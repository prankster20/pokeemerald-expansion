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 sheetId="1" state="visible" r:id="rId1"/>
    <sheet name="Threshold Summary" sheetId="2" state="visible" r:id="rId2"/>
    <sheet name="Player vs Boss" sheetId="3" state="visible" r:id="rId3"/>
    <sheet name="Boss vs Players" sheetId="4" state="visible" r:id="rId4"/>
    <sheet name="Move Comparison" sheetId="5" state="visible" r:id="rId5"/>
    <sheet name="All Boss Matchups" sheetId="6" state="visible" r:id="rId6"/>
    <sheet name="Encounter Pool" sheetId="7" state="visible" r:id="rId7"/>
    <sheet name="Nature Reference" sheetId="8" state="visible" r:id="rId8"/>
    <sheet name="Coverage" sheetId="9" state="visible" r:id="rId9"/>
    <sheet name="Pokemon Editor" sheetId="10" state="visible" r:id="rId10"/>
    <sheet name="Evolution Editor" sheetId="11" state="visible" r:id="rId11"/>
    <sheet name="Learnset Editor" sheetId="12" state="visible" r:id="rId12"/>
    <sheet name="Move Editor" sheetId="13" state="visible" r:id="rId13"/>
    <sheet name="Nature Editor" sheetId="14" state="visible" r:id="rId14"/>
    <sheet name="Type Chart" sheetId="15" state="visible" r:id="rId15"/>
    <sheet name="Boss Editor" sheetId="16" state="visible" r:id="rId16"/>
    <sheet name="Live Calculator" sheetId="17" state="visible" r:id="rId17"/>
  </sheets>
  <definedNames>
    <definedName name="_xlnm._FilterDatabase" localSheetId="0" hidden="1">'Scenario'!$A$1:$B$20</definedName>
    <definedName name="_xlnm._FilterDatabase" localSheetId="1" hidden="1">'Threshold Summary'!$A$1:$Z$33</definedName>
    <definedName name="_xlnm._FilterDatabase" localSheetId="2" hidden="1">'Player vs Boss'!$A$1:$R$33</definedName>
    <definedName name="_xlnm._FilterDatabase" localSheetId="3" hidden="1">'Boss vs Players'!$A$1:$Q$33</definedName>
    <definedName name="_xlnm._FilterDatabase" localSheetId="4" hidden="1">'Move Comparison'!$A$1:$R$1025</definedName>
    <definedName name="_xlnm._FilterDatabase" localSheetId="5" hidden="1">'All Boss Matchups'!$A$1:$L$97</definedName>
    <definedName name="_xlnm._FilterDatabase" localSheetId="6" hidden="1">'Encounter Pool'!$A$1:$C$33</definedName>
    <definedName name="_xlnm._FilterDatabase" localSheetId="7" hidden="1">'Nature Reference'!$A$1:$E$104</definedName>
    <definedName name="_xlnm._FilterDatabase" localSheetId="8" hidden="1">'Coverage'!$A$1:$C$16</definedName>
    <definedName name="_xlnm._FilterDatabase" localSheetId="9" hidden="1">'Pokemon Editor'!$A$1:$M$303</definedName>
    <definedName name="_xlnm._FilterDatabase" localSheetId="10" hidden="1">'Evolution Editor'!$A$1:$G$184</definedName>
    <definedName name="_xlnm._FilterDatabase" localSheetId="11" hidden="1">'Learnset Editor'!$A$1:$E$4567</definedName>
    <definedName name="_xlnm._FilterDatabase" localSheetId="12" hidden="1">'Move Editor'!$A$1:$G$562</definedName>
    <definedName name="_xlnm._FilterDatabase" localSheetId="13" hidden="1">'Nature Editor'!$A$1:$H$105</definedName>
    <definedName name="_xlnm._FilterDatabase" localSheetId="14" hidden="1">'Type Chart'!$A$1:$S$19</definedName>
    <definedName name="_xlnm._FilterDatabase" localSheetId="15" hidden="1">'Boss Editor'!$A$1:$P$4</definedName>
    <definedName name="_xlnm._FilterDatabase" localSheetId="16" hidden="1">'Live Calculator'!$A$1:$E$37</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color rgb="005F6B7A"/>
    </font>
  </fonts>
  <fills count="4">
    <fill>
      <patternFill/>
    </fill>
    <fill>
      <patternFill patternType="gray125"/>
    </fill>
    <fill>
      <patternFill patternType="solid">
        <fgColor rgb="00FFF2CC"/>
      </patternFill>
    </fill>
    <fill>
      <patternFill patternType="solid">
        <fgColor rgb="00172033"/>
      </patternFill>
    </fill>
  </fills>
  <borders count="3">
    <border>
      <left/>
      <right/>
      <top/>
      <bottom/>
      <diagonal/>
    </border>
    <border>
      <bottom style="medium">
        <color rgb="002878B5"/>
      </bottom>
    </border>
    <border>
      <bottom style="thin">
        <color rgb="00CBD5E1"/>
      </bottom>
    </border>
  </borders>
  <cellStyleXfs count="1">
    <xf numFmtId="0" fontId="0" fillId="0" borderId="0"/>
  </cellStyleXfs>
  <cellXfs count="6">
    <xf numFmtId="0" fontId="0" fillId="0" borderId="0" pivotButton="0" quotePrefix="0" xfId="0"/>
    <xf numFmtId="0" fontId="1" fillId="3" borderId="1" applyAlignment="1" pivotButton="0" quotePrefix="0" xfId="0">
      <alignment vertical="center" wrapText="1"/>
    </xf>
    <xf numFmtId="0" fontId="2" fillId="0" borderId="2" applyAlignment="1" pivotButton="0" quotePrefix="0" xfId="0">
      <alignment vertical="top"/>
    </xf>
    <xf numFmtId="0" fontId="0" fillId="0" borderId="2" applyAlignment="1" pivotButton="0" quotePrefix="0" xfId="0">
      <alignment vertical="top"/>
    </xf>
    <xf numFmtId="164" fontId="0" fillId="0" borderId="2" applyAlignment="1" pivotButton="0" quotePrefix="0" xfId="0">
      <alignment vertical="top"/>
    </xf>
    <xf numFmtId="0" fontId="0" fillId="2"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style val="10"/>
  <chart>
    <title>
      <tx>
        <rich>
          <a:bodyPr/>
          <a:p>
            <a:pPr>
              <a:defRPr/>
            </a:pPr>
            <a:r>
              <a:t>Top outgoing damage into Lileep</a:t>
            </a:r>
          </a:p>
        </rich>
      </tx>
    </title>
    <plotArea>
      <barChart>
        <barDir val="bar"/>
        <grouping val="clustered"/>
        <ser>
          <idx val="0"/>
          <order val="0"/>
          <tx>
            <strRef>
              <f>'Threshold Summary'!C1</f>
            </strRef>
          </tx>
          <spPr>
            <a:ln>
              <a:prstDash val="solid"/>
            </a:ln>
          </spPr>
          <cat>
            <numRef>
              <f>'Threshold Summary'!$A$2:$A$16</f>
            </numRef>
          </cat>
          <val>
            <numRef>
              <f>'Threshold Summary'!$C$2:$C$16</f>
            </numRef>
          </val>
        </ser>
        <gapWidth val="150"/>
        <axId val="10"/>
        <axId val="100"/>
      </barChart>
      <catAx>
        <axId val="10"/>
        <scaling>
          <orientation val="minMax"/>
        </scaling>
        <axPos val="l"/>
        <title>
          <tx>
            <rich>
              <a:bodyPr/>
              <a:p>
                <a:pPr>
                  <a:defRPr/>
                </a:pPr>
                <a:r>
                  <a:t>Average target HP</a:t>
                </a:r>
              </a:p>
            </rich>
          </tx>
        </title>
        <majorTickMark val="none"/>
        <minorTickMark val="none"/>
        <crossAx val="100"/>
        <lblOffset val="100"/>
      </catAx>
      <valAx>
        <axId val="100"/>
        <scaling>
          <orientation val="minMax"/>
        </scaling>
        <axPos val="l"/>
        <majorGridlines/>
        <title>
          <tx>
            <rich>
              <a:bodyPr/>
              <a:p>
                <a:pPr>
                  <a:defRPr/>
                </a:pPr>
                <a:r>
                  <a:t>Pokémon</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ThresholdTable" displayName="ThresholdTable" ref="A1:Z33" headerRowCount="1">
  <autoFilter ref="A1:Z33"/>
  <tableColumns count="26">
    <tableColumn id="1" name="Pokémon"/>
    <tableColumn id="2" name="Best outgoing move"/>
    <tableColumn id="3" name="Outgoing avg %"/>
    <tableColumn id="4" name="Strongest incoming move"/>
    <tableColumn id="5" name="Incoming avg %"/>
    <tableColumn id="6" name="Player Spe"/>
    <tableColumn id="7" name="Boss Spe"/>
    <tableColumn id="8" name="Outspeeds?"/>
    <tableColumn id="9" name="Net score"/>
    <tableColumn id="10" name="Rating"/>
    <tableColumn id="11" name="Species ID"/>
    <tableColumn id="12" name="Level"/>
    <tableColumn id="13" name="Nature"/>
    <tableColumn id="14" name="Ability"/>
    <tableColumn id="15" name="HP EV"/>
    <tableColumn id="16" name="Atk EV"/>
    <tableColumn id="17" name="Def EV"/>
    <tableColumn id="18" name="SpA EV"/>
    <tableColumn id="19" name="SpD EV"/>
    <tableColumn id="20" name="Spe EV"/>
    <tableColumn id="21" name="Outgoing min"/>
    <tableColumn id="22" name="Outgoing max"/>
    <tableColumn id="23" name="Incoming min"/>
    <tableColumn id="24" name="Incoming max"/>
    <tableColumn id="25" name="Origin Species ID"/>
    <tableColumn id="26" name="Move override"/>
  </tableColumns>
  <tableStyleInfo name="TableStyleMedium2" showFirstColumn="0" showLastColumn="0" showRowStripes="1" showColumnStripes="0"/>
</table>
</file>

<file path=xl/tables/table2.xml><?xml version="1.0" encoding="utf-8"?>
<table xmlns="http://schemas.openxmlformats.org/spreadsheetml/2006/main" id="2" name="PlayerOffenseTable" displayName="PlayerOffenseTable" ref="A1:R33" headerRowCount="1">
  <autoFilter ref="A1:R33"/>
  <tableColumns count="18">
    <tableColumn id="1" name="Pokémon"/>
    <tableColumn id="2" name="Available from"/>
    <tableColumn id="3" name="Level"/>
    <tableColumn id="4" name="Nature"/>
    <tableColumn id="5" name="Ability"/>
    <tableColumn id="6" name="Best move"/>
    <tableColumn id="7" name="Type"/>
    <tableColumn id="8" name="Category"/>
    <tableColumn id="9" name="Power"/>
    <tableColumn id="10" name="Accuracy"/>
    <tableColumn id="11" name="Min damage"/>
    <tableColumn id="12" name="Max damage"/>
    <tableColumn id="13" name="Average damage"/>
    <tableColumn id="14" name="Expected damage"/>
    <tableColumn id="15" name="Average % HP"/>
    <tableColumn id="16" name="KO threshold"/>
    <tableColumn id="17" name="Calculation notes"/>
    <tableColumn id="18" name="Species ID"/>
  </tableColumns>
  <tableStyleInfo name="TableStyleMedium2" showFirstColumn="0" showLastColumn="0" showRowStripes="1" showColumnStripes="0"/>
</table>
</file>

<file path=xl/tables/table3.xml><?xml version="1.0" encoding="utf-8"?>
<table xmlns="http://schemas.openxmlformats.org/spreadsheetml/2006/main" id="3" name="BossOffenseTable" displayName="BossOffenseTable" ref="A1:Q33" headerRowCount="1">
  <autoFilter ref="A1:Q33"/>
  <tableColumns count="17">
    <tableColumn id="1" name="Player Pokémon"/>
    <tableColumn id="2" name="Nature"/>
    <tableColumn id="3" name="Ability"/>
    <tableColumn id="4" name="Player HP"/>
    <tableColumn id="5" name="Boss attacker"/>
    <tableColumn id="6" name="Best boss move"/>
    <tableColumn id="7" name="Type"/>
    <tableColumn id="8" name="Category"/>
    <tableColumn id="9" name="Min damage"/>
    <tableColumn id="10" name="Max damage"/>
    <tableColumn id="11" name="Average damage"/>
    <tableColumn id="12" name="Expected damage"/>
    <tableColumn id="13" name="Average % HP"/>
    <tableColumn id="14" name="KO threshold"/>
    <tableColumn id="15" name="Player outspeeds?"/>
    <tableColumn id="16" name="Calculation notes"/>
    <tableColumn id="17" name="Species ID"/>
  </tableColumns>
  <tableStyleInfo name="TableStyleMedium2" showFirstColumn="0" showLastColumn="0" showRowStripes="1" showColumnStripes="0"/>
</table>
</file>

<file path=xl/tables/table4.xml><?xml version="1.0" encoding="utf-8"?>
<table xmlns="http://schemas.openxmlformats.org/spreadsheetml/2006/main" id="4" name="MoveComparisonTable" displayName="MoveComparisonTable" ref="A1:R1025" headerRowCount="1">
  <autoFilter ref="A1:R1025"/>
  <tableColumns count="18">
    <tableColumn id="1" name="Pokémon"/>
    <tableColumn id="2" name="Nature"/>
    <tableColumn id="3" name="Ability"/>
    <tableColumn id="4" name="Move"/>
    <tableColumn id="5" name="Type"/>
    <tableColumn id="6" name="Category"/>
    <tableColumn id="7" name="Power"/>
    <tableColumn id="8" name="Accuracy"/>
    <tableColumn id="9" name="Effectiveness"/>
    <tableColumn id="10" name="Min damage"/>
    <tableColumn id="11" name="Max damage"/>
    <tableColumn id="12" name="Average damage"/>
    <tableColumn id="13" name="Expected damage"/>
    <tableColumn id="14" name="Average % HP"/>
    <tableColumn id="15" name="KO threshold"/>
    <tableColumn id="16" name="Calculation notes"/>
    <tableColumn id="17" name="Origin Species ID"/>
    <tableColumn id="18" name="Move slot"/>
  </tableColumns>
  <tableStyleInfo name="TableStyleMedium2" showFirstColumn="0" showLastColumn="0" showRowStripes="1" showColumnStripes="0"/>
</table>
</file>

<file path=xl/tables/table5.xml><?xml version="1.0" encoding="utf-8"?>
<table xmlns="http://schemas.openxmlformats.org/spreadsheetml/2006/main" id="5" name="AllMatchupsTable" displayName="AllMatchupsTable" ref="A1:L97" headerRowCount="1">
  <autoFilter ref="A1:L97"/>
  <tableColumns count="12">
    <tableColumn id="1" name="Player Pokémon"/>
    <tableColumn id="2" name="Boss Pokémon"/>
    <tableColumn id="3" name="Boss level"/>
    <tableColumn id="4" name="Best move"/>
    <tableColumn id="5" name="Type"/>
    <tableColumn id="6" name="Min damage"/>
    <tableColumn id="7" name="Max damage"/>
    <tableColumn id="8" name="Average damage"/>
    <tableColumn id="9" name="Average % HP"/>
    <tableColumn id="10" name="KO threshold"/>
    <tableColumn id="11" name="Player Species ID"/>
    <tableColumn id="12" name="Boss Species ID"/>
  </tableColumns>
  <tableStyleInfo name="TableStyleMedium2" showFirstColumn="0" showLastColumn="0" showRowStripes="1" showColumnStripes="0"/>
</table>
</file>

<file path=xl/tables/table6.xml><?xml version="1.0" encoding="utf-8"?>
<table xmlns="http://schemas.openxmlformats.org/spreadsheetml/2006/main" id="6" name="EncounterPoolTable" displayName="EncounterPoolTable" ref="A1:C33" headerRowCount="1">
  <autoFilter ref="A1:C33"/>
  <tableColumns count="3">
    <tableColumn id="1" name="Pokémon"/>
    <tableColumn id="2" name="Species ID"/>
    <tableColumn id="3" name="Source"/>
  </tableColumns>
  <tableStyleInfo name="TableStyleMedium2" showFirstColumn="0" showLastColumn="0" showRowStripes="1" showColumnStripes="0"/>
</table>
</file>

<file path=xl/tables/table7.xml><?xml version="1.0" encoding="utf-8"?>
<table xmlns="http://schemas.openxmlformats.org/spreadsheetml/2006/main" id="7" name="NatureReferenceTable" displayName="NatureReferenceTable" ref="A1:E104" headerRowCount="1">
  <autoFilter ref="A1:E104"/>
  <tableColumns count="5">
    <tableColumn id="1" name="Nature"/>
    <tableColumn id="2" name="Current description"/>
    <tableColumn id="3" name="Stat up"/>
    <tableColumn id="4" name="Stat down"/>
    <tableColumn id="5" name="Availability"/>
  </tableColumns>
  <tableStyleInfo name="TableStyleMedium2" showFirstColumn="0" showLastColumn="0" showRowStripes="1" showColumnStripes="0"/>
</table>
</file>

<file path=xl/tables/table8.xml><?xml version="1.0" encoding="utf-8"?>
<table xmlns="http://schemas.openxmlformats.org/spreadsheetml/2006/main" id="8" name="CoverageTable" displayName="CoverageTable" ref="A1:C16" headerRowCount="1">
  <autoFilter ref="A1:C16"/>
  <tableColumns count="3">
    <tableColumn id="1" name="Mechanic"/>
    <tableColumn id="2" name="Status"/>
    <tableColumn id="3"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B20"/>
  <sheetViews>
    <sheetView showGridLines="0" workbookViewId="0">
      <pane ySplit="1" topLeftCell="A2" activePane="bottomLeft" state="frozen"/>
      <selection pane="bottomLeft" activeCell="A1" sqref="A1"/>
    </sheetView>
  </sheetViews>
  <sheetFormatPr baseColWidth="8" defaultRowHeight="15"/>
  <cols>
    <col width="31" customWidth="1" min="1" max="1"/>
    <col width="100" customWidth="1" min="2" max="2"/>
  </cols>
  <sheetData>
    <row r="1" ht="32" customHeight="1">
      <c r="A1" s="1" t="inlineStr">
        <is>
          <t>Setting</t>
        </is>
      </c>
      <c r="B1" s="1" t="inlineStr">
        <is>
          <t>Value</t>
        </is>
      </c>
    </row>
    <row r="2">
      <c r="A2" s="2" t="inlineStr">
        <is>
          <t>Scenario</t>
        </is>
      </c>
      <c r="B2" s="3" t="inlineStr">
        <is>
          <t>Pre-Roxanne: encounters through Route 116</t>
        </is>
      </c>
    </row>
    <row r="3">
      <c r="A3" s="2" t="inlineStr">
        <is>
          <t>Generated</t>
        </is>
      </c>
      <c r="B3" s="3" t="inlineStr">
        <is>
          <t>2026-08-17T11:15:23</t>
        </is>
      </c>
    </row>
    <row r="4">
      <c r="A4" s="2" t="inlineStr">
        <is>
          <t>Dex snapshot</t>
        </is>
      </c>
      <c r="B4" s="3" t="inlineStr">
        <is>
          <t>C:\Users\prana\Downloads\Decomps\romhack-docs\public\data\dex.json</t>
        </is>
      </c>
    </row>
    <row r="5">
      <c r="A5" s="2" t="inlineStr">
        <is>
          <t>Dex generatedAt</t>
        </is>
      </c>
      <c r="B5" s="3" t="inlineStr">
        <is>
          <t>2026-08-06T05:10:42.544Z</t>
        </is>
      </c>
    </row>
    <row r="6">
      <c r="A6" s="2" t="inlineStr">
        <is>
          <t>Google Sheet</t>
        </is>
      </c>
      <c r="B6" s="3" t="inlineStr">
        <is>
          <t>https://docs.google.com/spreadsheets/d/1hdZdmDTvVAbuoer8FHvYYZAVdjp9NGGppLklhBIi62w/edit</t>
        </is>
      </c>
    </row>
    <row r="7">
      <c r="A7" s="2" t="inlineStr">
        <is>
          <t>Level cap / player level</t>
        </is>
      </c>
      <c r="B7" s="3" t="n">
        <v>15</v>
      </c>
    </row>
    <row r="8">
      <c r="A8" s="2" t="inlineStr">
        <is>
          <t>Player Nature mode</t>
        </is>
      </c>
      <c r="B8" s="3" t="inlineStr">
        <is>
          <t>fixed: Neutral</t>
        </is>
      </c>
    </row>
    <row r="9">
      <c r="A9" s="2" t="inlineStr">
        <is>
          <t>Player Ability mode</t>
        </is>
      </c>
      <c r="B9" s="3" t="inlineStr">
        <is>
          <t>first</t>
        </is>
      </c>
    </row>
    <row r="10">
      <c r="A10" s="2" t="inlineStr">
        <is>
          <t>Move ranking metric</t>
        </is>
      </c>
      <c r="B10" s="3" t="inlineStr">
        <is>
          <t>expected</t>
        </is>
      </c>
    </row>
    <row r="11">
      <c r="A11" s="2" t="inlineStr">
        <is>
          <t>Weather</t>
        </is>
      </c>
      <c r="B11" s="3" t="inlineStr">
        <is>
          <t>None</t>
        </is>
      </c>
    </row>
    <row r="12">
      <c r="A12" s="2" t="inlineStr">
        <is>
          <t>Terrain</t>
        </is>
      </c>
      <c r="B12" s="3" t="inlineStr">
        <is>
          <t>None</t>
        </is>
      </c>
    </row>
    <row r="13">
      <c r="A13" s="2" t="inlineStr">
        <is>
          <t>Included maps</t>
        </is>
      </c>
      <c r="B13" s="3" t="inlineStr">
        <is>
          <t>MAP_ROUTE101, MAP_ROUTE103, MAP_ROUTE102, MAP_ROUTE104, MAP_PETALBURG_WOODS, MAP_ROUTE116</t>
        </is>
      </c>
    </row>
    <row r="14">
      <c r="A14" s="2" t="inlineStr">
        <is>
          <t>Included encounter methods</t>
        </is>
      </c>
      <c r="B14" s="3" t="inlineStr">
        <is>
          <t>Land, Sand</t>
        </is>
      </c>
    </row>
    <row r="15">
      <c r="A15" s="2" t="inlineStr">
        <is>
          <t>Excluded prerequisite moves</t>
        </is>
      </c>
      <c r="B15" s="3" t="inlineStr">
        <is>
          <t>MOVE_BELCH</t>
        </is>
      </c>
    </row>
    <row r="16">
      <c r="A16" s="2" t="inlineStr">
        <is>
          <t>Player species/forms analyzed</t>
        </is>
      </c>
      <c r="B16" s="3" t="n">
        <v>32</v>
      </c>
    </row>
    <row r="17">
      <c r="A17" s="2" t="inlineStr">
        <is>
          <t>Boss</t>
        </is>
      </c>
      <c r="B17" s="3" t="inlineStr">
        <is>
          <t>Roxanne (Fossil draft)</t>
        </is>
      </c>
    </row>
    <row r="18">
      <c r="A18" s="2" t="inlineStr">
        <is>
          <t>Target</t>
        </is>
      </c>
      <c r="B18" s="3" t="inlineStr">
        <is>
          <t>Lileep Lv. 15</t>
        </is>
      </c>
    </row>
    <row r="19">
      <c r="A19" s="2" t="inlineStr">
        <is>
          <t>Boss attacker</t>
        </is>
      </c>
      <c r="B19" s="3" t="inlineStr">
        <is>
          <t>Lileep Lv. 15</t>
        </is>
      </c>
    </row>
    <row r="20">
      <c r="A20" s="2" t="inlineStr">
        <is>
          <t>Important</t>
        </is>
      </c>
      <c r="B20" s="3" t="inlineStr">
        <is>
          <t>Empty boss move lists use all legal level-up moves. Enter exact trainers.party moves before treating boss offense as final.</t>
        </is>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3"/>
  <sheetViews>
    <sheetView showGridLines="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25" customWidth="1" min="4" max="4"/>
    <col width="42" customWidth="1" min="5" max="5"/>
    <col width="42" customWidth="1" min="6" max="6"/>
    <col width="42" customWidth="1" min="7" max="7"/>
    <col width="25" customWidth="1" min="8" max="8"/>
    <col width="11" customWidth="1" min="9" max="9"/>
    <col width="42" customWidth="1" min="10" max="10"/>
    <col width="42" customWidth="1" min="11" max="11"/>
    <col width="9" customWidth="1" min="12" max="12"/>
    <col width="9" customWidth="1" min="13" max="13"/>
    <col width="22" customWidth="1" min="14" max="14"/>
    <col width="9" customWidth="1" min="15" max="15"/>
    <col width="9" customWidth="1" min="16" max="16"/>
    <col width="9" customWidth="1" min="17" max="17"/>
    <col width="9" customWidth="1" min="18" max="18"/>
    <col width="9" customWidth="1" min="19" max="19"/>
    <col width="9" customWidth="1" min="20" max="20"/>
    <col width="42" customWidth="1" min="21" max="21"/>
    <col width="42" customWidth="1" min="22" max="22"/>
    <col width="42" customWidth="1" min="23" max="23"/>
    <col width="42" customWidth="1" min="24" max="24"/>
    <col width="20" customWidth="1" min="25" max="25"/>
    <col width="15" customWidth="1" min="26" max="26"/>
  </cols>
  <sheetData>
    <row r="1" ht="32" customHeight="1">
      <c r="A1" s="1" t="inlineStr">
        <is>
          <t>Pokémon</t>
        </is>
      </c>
      <c r="B1" s="1" t="inlineStr">
        <is>
          <t>Best outgoing move</t>
        </is>
      </c>
      <c r="C1" s="1" t="inlineStr">
        <is>
          <t>Outgoing avg %</t>
        </is>
      </c>
      <c r="D1" s="1" t="inlineStr">
        <is>
          <t>Strongest incoming move</t>
        </is>
      </c>
      <c r="E1" s="1" t="inlineStr">
        <is>
          <t>Incoming avg %</t>
        </is>
      </c>
      <c r="F1" s="1" t="inlineStr">
        <is>
          <t>Player Spe</t>
        </is>
      </c>
      <c r="G1" s="1" t="inlineStr">
        <is>
          <t>Boss Spe</t>
        </is>
      </c>
      <c r="H1" s="1" t="inlineStr">
        <is>
          <t>Outspeeds?</t>
        </is>
      </c>
      <c r="I1" s="1" t="inlineStr">
        <is>
          <t>Net score</t>
        </is>
      </c>
      <c r="J1" s="1" t="inlineStr">
        <is>
          <t>Rating</t>
        </is>
      </c>
      <c r="K1" s="1" t="inlineStr">
        <is>
          <t>Species ID</t>
        </is>
      </c>
      <c r="L1" s="1" t="inlineStr">
        <is>
          <t>Level</t>
        </is>
      </c>
      <c r="M1" s="1" t="inlineStr">
        <is>
          <t>Nature</t>
        </is>
      </c>
      <c r="N1" s="1" t="inlineStr">
        <is>
          <t>Ability</t>
        </is>
      </c>
      <c r="O1" s="1" t="inlineStr">
        <is>
          <t>HP EV</t>
        </is>
      </c>
      <c r="P1" s="1" t="inlineStr">
        <is>
          <t>Atk EV</t>
        </is>
      </c>
      <c r="Q1" s="1" t="inlineStr">
        <is>
          <t>Def EV</t>
        </is>
      </c>
      <c r="R1" s="1" t="inlineStr">
        <is>
          <t>SpA EV</t>
        </is>
      </c>
      <c r="S1" s="1" t="inlineStr">
        <is>
          <t>SpD EV</t>
        </is>
      </c>
      <c r="T1" s="1" t="inlineStr">
        <is>
          <t>Spe EV</t>
        </is>
      </c>
      <c r="U1" s="1" t="inlineStr">
        <is>
          <t>Outgoing min</t>
        </is>
      </c>
      <c r="V1" s="1" t="inlineStr">
        <is>
          <t>Outgoing max</t>
        </is>
      </c>
      <c r="W1" s="1" t="inlineStr">
        <is>
          <t>Incoming min</t>
        </is>
      </c>
      <c r="X1" s="1" t="inlineStr">
        <is>
          <t>Incoming max</t>
        </is>
      </c>
      <c r="Y1" s="1" t="inlineStr">
        <is>
          <t>Origin Species ID</t>
        </is>
      </c>
      <c r="Z1" s="1" t="inlineStr">
        <is>
          <t>Move override</t>
        </is>
      </c>
    </row>
    <row r="2">
      <c r="A2" s="3">
        <f>XLOOKUP(K2,'Pokemon Editor'!$A:$A,'Pokemon Editor'!$B:$B,K2)</f>
        <v/>
      </c>
      <c r="B2" s="3">
        <f>IF($Z2&lt;&gt;"",$Z2,IFERROR(INDEX(FILTER('Move Comparison'!$D$2:$D,'Move Comparison'!$Q$2:$Q=$Y2,'Move Comparison'!$M$2:$M=MAXIFS('Move Comparison'!$M$2:$M,'Move Comparison'!$Q$2:$Q,$Y2),'Move Comparison'!$D$2:$D&lt;&gt;""),1),""))</f>
        <v/>
      </c>
      <c r="C2" s="4">
        <f>IFERROR(LET(mtype,XLOOKUP($B2,'Move Editor'!$B:$B,'Move Editor'!$C:$C,""),cat,XLOOKUP($B2,'Move Editor'!$B:$B,'Move Editor'!$D:$D,""),pow,XLOOKUP($B2,'Move Editor'!$B:$B,'Move Editor'!$E:$E,0),acc,XLOOKUP($B2,'Move Editor'!$B:$B,'Move Editor'!$F:$F,100),atk,IF(cat="Physical",FLOOR((FLOOR(((2*XLOOKUP($K2,'Pokemon Editor'!$A:$A,'Pokemon Editor'!$F:$F,0)+31+FLOOR($P2/4))*$L2)/100)+5)*XLOOKUP($M2,'Nature Editor'!$A:$A,'Nature Editor'!$B:$B,1)),FLOOR((FLOOR(((2*XLOOKUP($K2,'Pokemon Editor'!$A:$A,'Pokemon Editor'!$H:$H,0)+31+FLOOR($R2/4))*$L2)/100)+5)*XLOOKUP($M2,'Nature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Editor'!$E:$E,1))),stab,IF(OR(mtype=XLOOKUP($K2,'Pokemon Editor'!$A:$A,'Pokemon Editor'!$C:$C,""),mtype=XLOOKUP($K2,'Pokemon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Chart'!$B$1:$S$1,0)))),base,IF(OR(cat="Status",pow=0),0,FLOOR(FLOOR(FLOOR((2*$L2/5+2)*pow*atk/def)/50)+2)),modifier,stab*eff,AVERAGE(ARRAYFORMULA(FLOOR(base*modifier*SEQUENCE(16,1,85,1)/100)))/(FLOOR(((2*XLOOKUP('Boss Editor'!$C$4,'Pokemon Editor'!$A:$A,'Pokemon Editor'!$E:$E,0)+31+FLOOR('Boss Editor'!$G$4/4))*'Boss Editor'!$D$4)/100)+'Boss Editor'!$D$4+10)),0)</f>
        <v/>
      </c>
      <c r="D2" s="5" t="inlineStr">
        <is>
          <t>Acid</t>
        </is>
      </c>
      <c r="E2" s="4">
        <f>IFERROR(LET(mtype,XLOOKUP($D2,'Move Editor'!$B:$B,'Move Editor'!$C:$C,""),cat,XLOOKUP($D2,'Move Editor'!$B:$B,'Move Editor'!$D:$D,""),pow,XLOOKUP($D2,'Move Editor'!$B:$B,'Move Editor'!$E:$E,0),acc,XLOOKUP($D2,'Move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Editor'!$D:$D,1))),def,IF(cat="Physical",FLOOR((FLOOR(((2*XLOOKUP($K2,'Pokemon Editor'!$A:$A,'Pokemon Editor'!$G:$G,0)+31+FLOOR($Q2/4))*$L2)/100)+5)*XLOOKUP($M2,'Nature Editor'!$A:$A,'Nature Editor'!$C:$C,1)),FLOOR((FLOOR(((2*XLOOKUP($K2,'Pokemon Editor'!$A:$A,'Pokemon Editor'!$I:$I,0)+31+FLOOR($S2/4))*$L2)/100)+5)*XLOOKUP($M2,'Nature Editor'!$A:$A,'Nature Editor'!$E:$E,1))),stab,IF(OR(mtype=XLOOKUP('Boss Editor'!$C$4,'Pokemon Editor'!$A:$A,'Pokemon Editor'!$C:$C,""),mtype=XLOOKUP('Boss Editor'!$C$4,'Pokemon Editor'!$A:$A,'Pokemon Editor'!$D:$D,"")),1.5,1),eff,(INDEX('Type Chart'!$B:$S,MATCH(mtype,'Type Chart'!$A:$A,0),MATCH(XLOOKUP($K2,'Pokemon Editor'!$A:$A,'Pokemon Editor'!$C:$C,""),'Type Chart'!$B$1:$S$1,0))*IF(XLOOKUP($K2,'Pokemon Editor'!$A:$A,'Pokemon Editor'!$D:$D,"")="",1,INDEX('Type Chart'!$B:$S,MATCH(mtype,'Type Chart'!$A:$A,0),MATCH(XLOOKUP($K2,'Pokemon Editor'!$A:$A,'Pokemon Editor'!$D:$D,""),'Type Chart'!$B$1:$S$1,0)))),base,IF(OR(cat="Status",pow=0),0,FLOOR(FLOOR(FLOOR((2*'Boss Editor'!$D$4/5+2)*pow*atk/def)/50)+2)),modifier,stab*eff,AVERAGE(ARRAYFORMULA(FLOOR(base*modifier*SEQUENCE(16,1,85,1)/100)))/(FLOOR(((2*XLOOKUP($K2,'Pokemon Editor'!$A:$A,'Pokemon Editor'!$E:$E,0)+31+FLOOR($O2/4))*$L2)/100)+$L2+10)),0)</f>
        <v/>
      </c>
      <c r="F2" s="3">
        <f>FLOOR((FLOOR(((2*XLOOKUP($K2,'Pokemon Editor'!$A:$A,'Pokemon Editor'!$J:$J,0)+31+FLOOR($T2/4))*$L2)/100)+5)*XLOOKUP($M2,'Nature Editor'!$A:$A,'Nature Editor'!$F:$F,1))</f>
        <v/>
      </c>
      <c r="G2" s="3">
        <f>FLOOR((FLOOR(((2*XLOOKUP('Boss Editor'!$C$4,'Pokemon Editor'!$A:$A,'Pokemon Editor'!$J:$J,0)+31+FLOOR('Boss Editor'!$L$4/4))*'Boss Editor'!$D$4)/100)+5)*XLOOKUP('Boss Editor'!$E$4,'Nature Editor'!$A:$A,'Nature Editor'!$F:$F,1))</f>
        <v/>
      </c>
      <c r="H2" s="3">
        <f>IF(F2&gt;G2,"Yes","No")</f>
        <v/>
      </c>
      <c r="I2" s="3">
        <f>C2-E2</f>
        <v/>
      </c>
      <c r="J2" s="3">
        <f>IFS(AND(C2&gt;=0.5,E2&lt;0.5),"Dominant",AND(C2&gt;=0.35,E2&lt;0.75),"Strong",AND(C2&gt;=0.25,E2&lt;1),"Viable",AND(C2&gt;=0.15,E2&lt;1.25),"Risky",TRUE,"Poor")</f>
        <v/>
      </c>
      <c r="K2" s="3">
        <f>REDUCE($Y2,SEQUENCE(2),LAMBDA(current_species,unused_step,IFERROR(INDEX(FILTER('Evolution Editor'!$D$2:$D,'Evolution Editor'!$A$2:$A=current_species,'Evolution Editor'!$F$2:$F=TRUE,'Evolution Editor'!$E$2:$E&lt;=$L2),1),current_species)))</f>
        <v/>
      </c>
      <c r="L2" s="5" t="n">
        <v>15</v>
      </c>
      <c r="M2" s="5" t="inlineStr">
        <is>
          <t>Neutral</t>
        </is>
      </c>
      <c r="N2" s="5" t="inlineStr">
        <is>
          <t>ABILITY_IRON_FIST</t>
        </is>
      </c>
      <c r="O2" s="5" t="n">
        <v>0</v>
      </c>
      <c r="P2" s="5" t="n">
        <v>0</v>
      </c>
      <c r="Q2" s="5" t="n">
        <v>0</v>
      </c>
      <c r="R2" s="5" t="n">
        <v>0</v>
      </c>
      <c r="S2" s="5" t="n">
        <v>0</v>
      </c>
      <c r="T2" s="5" t="n">
        <v>0</v>
      </c>
      <c r="U2" s="3">
        <f>IFERROR(LET(mtype,XLOOKUP($B2,'Move Editor'!$B:$B,'Move Editor'!$C:$C,""),cat,XLOOKUP($B2,'Move Editor'!$B:$B,'Move Editor'!$D:$D,""),pow,XLOOKUP($B2,'Move Editor'!$B:$B,'Move Editor'!$E:$E,0),acc,XLOOKUP($B2,'Move Editor'!$B:$B,'Move Editor'!$F:$F,100),atk,IF(cat="Physical",FLOOR((FLOOR(((2*XLOOKUP($K2,'Pokemon Editor'!$A:$A,'Pokemon Editor'!$F:$F,0)+31+FLOOR($P2/4))*$L2)/100)+5)*XLOOKUP($M2,'Nature Editor'!$A:$A,'Nature Editor'!$B:$B,1)),FLOOR((FLOOR(((2*XLOOKUP($K2,'Pokemon Editor'!$A:$A,'Pokemon Editor'!$H:$H,0)+31+FLOOR($R2/4))*$L2)/100)+5)*XLOOKUP($M2,'Nature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Editor'!$E:$E,1))),stab,IF(OR(mtype=XLOOKUP($K2,'Pokemon Editor'!$A:$A,'Pokemon Editor'!$C:$C,""),mtype=XLOOKUP($K2,'Pokemon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Chart'!$B$1:$S$1,0)))),base,IF(OR(cat="Status",pow=0),0,FLOOR(FLOOR(FLOOR((2*$L2/5+2)*pow*atk/def)/50)+2)),modifier,stab*eff,FLOOR(base*modifier*0.85)),0)</f>
        <v/>
      </c>
      <c r="V2" s="3">
        <f>IFERROR(LET(mtype,XLOOKUP($B2,'Move Editor'!$B:$B,'Move Editor'!$C:$C,""),cat,XLOOKUP($B2,'Move Editor'!$B:$B,'Move Editor'!$D:$D,""),pow,XLOOKUP($B2,'Move Editor'!$B:$B,'Move Editor'!$E:$E,0),acc,XLOOKUP($B2,'Move Editor'!$B:$B,'Move Editor'!$F:$F,100),atk,IF(cat="Physical",FLOOR((FLOOR(((2*XLOOKUP($K2,'Pokemon Editor'!$A:$A,'Pokemon Editor'!$F:$F,0)+31+FLOOR($P2/4))*$L2)/100)+5)*XLOOKUP($M2,'Nature Editor'!$A:$A,'Nature Editor'!$B:$B,1)),FLOOR((FLOOR(((2*XLOOKUP($K2,'Pokemon Editor'!$A:$A,'Pokemon Editor'!$H:$H,0)+31+FLOOR($R2/4))*$L2)/100)+5)*XLOOKUP($M2,'Nature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Editor'!$E:$E,1))),stab,IF(OR(mtype=XLOOKUP($K2,'Pokemon Editor'!$A:$A,'Pokemon Editor'!$C:$C,""),mtype=XLOOKUP($K2,'Pokemon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Chart'!$B$1:$S$1,0)))),base,IF(OR(cat="Status",pow=0),0,FLOOR(FLOOR(FLOOR((2*$L2/5+2)*pow*atk/def)/50)+2)),modifier,stab*eff,FLOOR(base*modifier)),0)</f>
        <v/>
      </c>
      <c r="W2" s="3">
        <f>IFERROR(LET(mtype,XLOOKUP($D2,'Move Editor'!$B:$B,'Move Editor'!$C:$C,""),cat,XLOOKUP($D2,'Move Editor'!$B:$B,'Move Editor'!$D:$D,""),pow,XLOOKUP($D2,'Move Editor'!$B:$B,'Move Editor'!$E:$E,0),acc,XLOOKUP($D2,'Move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Editor'!$D:$D,1))),def,IF(cat="Physical",FLOOR((FLOOR(((2*XLOOKUP($K2,'Pokemon Editor'!$A:$A,'Pokemon Editor'!$G:$G,0)+31+FLOOR($Q2/4))*$L2)/100)+5)*XLOOKUP($M2,'Nature Editor'!$A:$A,'Nature Editor'!$C:$C,1)),FLOOR((FLOOR(((2*XLOOKUP($K2,'Pokemon Editor'!$A:$A,'Pokemon Editor'!$I:$I,0)+31+FLOOR($S2/4))*$L2)/100)+5)*XLOOKUP($M2,'Nature Editor'!$A:$A,'Nature Editor'!$E:$E,1))),stab,IF(OR(mtype=XLOOKUP('Boss Editor'!$C$4,'Pokemon Editor'!$A:$A,'Pokemon Editor'!$C:$C,""),mtype=XLOOKUP('Boss Editor'!$C$4,'Pokemon Editor'!$A:$A,'Pokemon Editor'!$D:$D,"")),1.5,1),eff,(INDEX('Type Chart'!$B:$S,MATCH(mtype,'Type Chart'!$A:$A,0),MATCH(XLOOKUP($K2,'Pokemon Editor'!$A:$A,'Pokemon Editor'!$C:$C,""),'Type Chart'!$B$1:$S$1,0))*IF(XLOOKUP($K2,'Pokemon Editor'!$A:$A,'Pokemon Editor'!$D:$D,"")="",1,INDEX('Type Chart'!$B:$S,MATCH(mtype,'Type Chart'!$A:$A,0),MATCH(XLOOKUP($K2,'Pokemon Editor'!$A:$A,'Pokemon Editor'!$D:$D,""),'Type Chart'!$B$1:$S$1,0)))),base,IF(OR(cat="Status",pow=0),0,FLOOR(FLOOR(FLOOR((2*'Boss Editor'!$D$4/5+2)*pow*atk/def)/50)+2)),modifier,stab*eff,FLOOR(base*modifier*0.85)),0)</f>
        <v/>
      </c>
      <c r="X2" s="3">
        <f>IFERROR(LET(mtype,XLOOKUP($D2,'Move Editor'!$B:$B,'Move Editor'!$C:$C,""),cat,XLOOKUP($D2,'Move Editor'!$B:$B,'Move Editor'!$D:$D,""),pow,XLOOKUP($D2,'Move Editor'!$B:$B,'Move Editor'!$E:$E,0),acc,XLOOKUP($D2,'Move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Editor'!$D:$D,1))),def,IF(cat="Physical",FLOOR((FLOOR(((2*XLOOKUP($K2,'Pokemon Editor'!$A:$A,'Pokemon Editor'!$G:$G,0)+31+FLOOR($Q2/4))*$L2)/100)+5)*XLOOKUP($M2,'Nature Editor'!$A:$A,'Nature Editor'!$C:$C,1)),FLOOR((FLOOR(((2*XLOOKUP($K2,'Pokemon Editor'!$A:$A,'Pokemon Editor'!$I:$I,0)+31+FLOOR($S2/4))*$L2)/100)+5)*XLOOKUP($M2,'Nature Editor'!$A:$A,'Nature Editor'!$E:$E,1))),stab,IF(OR(mtype=XLOOKUP('Boss Editor'!$C$4,'Pokemon Editor'!$A:$A,'Pokemon Editor'!$C:$C,""),mtype=XLOOKUP('Boss Editor'!$C$4,'Pokemon Editor'!$A:$A,'Pokemon Editor'!$D:$D,"")),1.5,1),eff,(INDEX('Type Chart'!$B:$S,MATCH(mtype,'Type Chart'!$A:$A,0),MATCH(XLOOKUP($K2,'Pokemon Editor'!$A:$A,'Pokemon Editor'!$C:$C,""),'Type Chart'!$B$1:$S$1,0))*IF(XLOOKUP($K2,'Pokemon Editor'!$A:$A,'Pokemon Editor'!$D:$D,"")="",1,INDEX('Type Chart'!$B:$S,MATCH(mtype,'Type Chart'!$A:$A,0),MATCH(XLOOKUP($K2,'Pokemon Editor'!$A:$A,'Pokemon Editor'!$D:$D,""),'Type Chart'!$B$1:$S$1,0)))),base,IF(OR(cat="Status",pow=0),0,FLOOR(FLOOR(FLOOR((2*'Boss Editor'!$D$4/5+2)*pow*atk/def)/50)+2)),modifier,stab*eff,FLOOR(base*modifier)),0)</f>
        <v/>
      </c>
      <c r="Y2" s="3" t="inlineStr">
        <is>
          <t>SPECIES_PANCHAM</t>
        </is>
      </c>
      <c r="Z2" s="5" t="inlineStr"/>
    </row>
    <row r="3">
      <c r="A3" s="3">
        <f>XLOOKUP(K3,'Pokemon Editor'!$A:$A,'Pokemon Editor'!$B:$B,K3)</f>
        <v/>
      </c>
      <c r="B3" s="3">
        <f>IF($Z3&lt;&gt;"",$Z3,IFERROR(INDEX(FILTER('Move Comparison'!$D$2:$D,'Move Comparison'!$Q$2:$Q=$Y3,'Move Comparison'!$M$2:$M=MAXIFS('Move Comparison'!$M$2:$M,'Move Comparison'!$Q$2:$Q,$Y3),'Move Comparison'!$D$2:$D&lt;&gt;""),1),""))</f>
        <v/>
      </c>
      <c r="C3" s="4">
        <f>IFERROR(LET(mtype,XLOOKUP($B3,'Move Editor'!$B:$B,'Move Editor'!$C:$C,""),cat,XLOOKUP($B3,'Move Editor'!$B:$B,'Move Editor'!$D:$D,""),pow,XLOOKUP($B3,'Move Editor'!$B:$B,'Move Editor'!$E:$E,0),acc,XLOOKUP($B3,'Move Editor'!$B:$B,'Move Editor'!$F:$F,100),atk,IF(cat="Physical",FLOOR((FLOOR(((2*XLOOKUP($K3,'Pokemon Editor'!$A:$A,'Pokemon Editor'!$F:$F,0)+31+FLOOR($P3/4))*$L3)/100)+5)*XLOOKUP($M3,'Nature Editor'!$A:$A,'Nature Editor'!$B:$B,1)),FLOOR((FLOOR(((2*XLOOKUP($K3,'Pokemon Editor'!$A:$A,'Pokemon Editor'!$H:$H,0)+31+FLOOR($R3/4))*$L3)/100)+5)*XLOOKUP($M3,'Nature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Editor'!$E:$E,1))),stab,IF(OR(mtype=XLOOKUP($K3,'Pokemon Editor'!$A:$A,'Pokemon Editor'!$C:$C,""),mtype=XLOOKUP($K3,'Pokemon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Chart'!$B$1:$S$1,0)))),base,IF(OR(cat="Status",pow=0),0,FLOOR(FLOOR(FLOOR((2*$L3/5+2)*pow*atk/def)/50)+2)),modifier,stab*eff,AVERAGE(ARRAYFORMULA(FLOOR(base*modifier*SEQUENCE(16,1,85,1)/100)))/(FLOOR(((2*XLOOKUP('Boss Editor'!$C$4,'Pokemon Editor'!$A:$A,'Pokemon Editor'!$E:$E,0)+31+FLOOR('Boss Editor'!$G$4/4))*'Boss Editor'!$D$4)/100)+'Boss Editor'!$D$4+10)),0)</f>
        <v/>
      </c>
      <c r="D3" s="5" t="inlineStr">
        <is>
          <t>Astonish</t>
        </is>
      </c>
      <c r="E3" s="4">
        <f>IFERROR(LET(mtype,XLOOKUP($D3,'Move Editor'!$B:$B,'Move Editor'!$C:$C,""),cat,XLOOKUP($D3,'Move Editor'!$B:$B,'Move Editor'!$D:$D,""),pow,XLOOKUP($D3,'Move Editor'!$B:$B,'Move Editor'!$E:$E,0),acc,XLOOKUP($D3,'Move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Editor'!$D:$D,1))),def,IF(cat="Physical",FLOOR((FLOOR(((2*XLOOKUP($K3,'Pokemon Editor'!$A:$A,'Pokemon Editor'!$G:$G,0)+31+FLOOR($Q3/4))*$L3)/100)+5)*XLOOKUP($M3,'Nature Editor'!$A:$A,'Nature Editor'!$C:$C,1)),FLOOR((FLOOR(((2*XLOOKUP($K3,'Pokemon Editor'!$A:$A,'Pokemon Editor'!$I:$I,0)+31+FLOOR($S3/4))*$L3)/100)+5)*XLOOKUP($M3,'Nature Editor'!$A:$A,'Nature Editor'!$E:$E,1))),stab,IF(OR(mtype=XLOOKUP('Boss Editor'!$C$4,'Pokemon Editor'!$A:$A,'Pokemon Editor'!$C:$C,""),mtype=XLOOKUP('Boss Editor'!$C$4,'Pokemon Editor'!$A:$A,'Pokemon Editor'!$D:$D,"")),1.5,1),eff,(INDEX('Type Chart'!$B:$S,MATCH(mtype,'Type Chart'!$A:$A,0),MATCH(XLOOKUP($K3,'Pokemon Editor'!$A:$A,'Pokemon Editor'!$C:$C,""),'Type Chart'!$B$1:$S$1,0))*IF(XLOOKUP($K3,'Pokemon Editor'!$A:$A,'Pokemon Editor'!$D:$D,"")="",1,INDEX('Type Chart'!$B:$S,MATCH(mtype,'Type Chart'!$A:$A,0),MATCH(XLOOKUP($K3,'Pokemon Editor'!$A:$A,'Pokemon Editor'!$D:$D,""),'Type Chart'!$B$1:$S$1,0)))),base,IF(OR(cat="Status",pow=0),0,FLOOR(FLOOR(FLOOR((2*'Boss Editor'!$D$4/5+2)*pow*atk/def)/50)+2)),modifier,stab*eff,AVERAGE(ARRAYFORMULA(FLOOR(base*modifier*SEQUENCE(16,1,85,1)/100)))/(FLOOR(((2*XLOOKUP($K3,'Pokemon Editor'!$A:$A,'Pokemon Editor'!$E:$E,0)+31+FLOOR($O3/4))*$L3)/100)+$L3+10)),0)</f>
        <v/>
      </c>
      <c r="F3" s="3">
        <f>FLOOR((FLOOR(((2*XLOOKUP($K3,'Pokemon Editor'!$A:$A,'Pokemon Editor'!$J:$J,0)+31+FLOOR($T3/4))*$L3)/100)+5)*XLOOKUP($M3,'Nature Editor'!$A:$A,'Nature Editor'!$F:$F,1))</f>
        <v/>
      </c>
      <c r="G3" s="3">
        <f>FLOOR((FLOOR(((2*XLOOKUP('Boss Editor'!$C$4,'Pokemon Editor'!$A:$A,'Pokemon Editor'!$J:$J,0)+31+FLOOR('Boss Editor'!$L$4/4))*'Boss Editor'!$D$4)/100)+5)*XLOOKUP('Boss Editor'!$E$4,'Nature Editor'!$A:$A,'Nature Editor'!$F:$F,1))</f>
        <v/>
      </c>
      <c r="H3" s="3">
        <f>IF(F3&gt;G3,"Yes","No")</f>
        <v/>
      </c>
      <c r="I3" s="3">
        <f>C3-E3</f>
        <v/>
      </c>
      <c r="J3" s="3">
        <f>IFS(AND(C3&gt;=0.5,E3&lt;0.5),"Dominant",AND(C3&gt;=0.35,E3&lt;0.75),"Strong",AND(C3&gt;=0.25,E3&lt;1),"Viable",AND(C3&gt;=0.15,E3&lt;1.25),"Risky",TRUE,"Poor")</f>
        <v/>
      </c>
      <c r="K3" s="3">
        <f>REDUCE($Y3,SEQUENCE(2),LAMBDA(current_species,unused_step,IFERROR(INDEX(FILTER('Evolution Editor'!$D$2:$D,'Evolution Editor'!$A$2:$A=current_species,'Evolution Editor'!$F$2:$F=TRUE,'Evolution Editor'!$E$2:$E&lt;=$L3),1),current_species)))</f>
        <v/>
      </c>
      <c r="L3" s="5" t="n">
        <v>15</v>
      </c>
      <c r="M3" s="5" t="inlineStr">
        <is>
          <t>Neutral</t>
        </is>
      </c>
      <c r="N3" s="5" t="inlineStr">
        <is>
          <t>ABILITY_MOLD_BREAKER</t>
        </is>
      </c>
      <c r="O3" s="5" t="n">
        <v>0</v>
      </c>
      <c r="P3" s="5" t="n">
        <v>0</v>
      </c>
      <c r="Q3" s="5" t="n">
        <v>0</v>
      </c>
      <c r="R3" s="5" t="n">
        <v>0</v>
      </c>
      <c r="S3" s="5" t="n">
        <v>0</v>
      </c>
      <c r="T3" s="5" t="n">
        <v>0</v>
      </c>
      <c r="U3" s="3">
        <f>IFERROR(LET(mtype,XLOOKUP($B3,'Move Editor'!$B:$B,'Move Editor'!$C:$C,""),cat,XLOOKUP($B3,'Move Editor'!$B:$B,'Move Editor'!$D:$D,""),pow,XLOOKUP($B3,'Move Editor'!$B:$B,'Move Editor'!$E:$E,0),acc,XLOOKUP($B3,'Move Editor'!$B:$B,'Move Editor'!$F:$F,100),atk,IF(cat="Physical",FLOOR((FLOOR(((2*XLOOKUP($K3,'Pokemon Editor'!$A:$A,'Pokemon Editor'!$F:$F,0)+31+FLOOR($P3/4))*$L3)/100)+5)*XLOOKUP($M3,'Nature Editor'!$A:$A,'Nature Editor'!$B:$B,1)),FLOOR((FLOOR(((2*XLOOKUP($K3,'Pokemon Editor'!$A:$A,'Pokemon Editor'!$H:$H,0)+31+FLOOR($R3/4))*$L3)/100)+5)*XLOOKUP($M3,'Nature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Editor'!$E:$E,1))),stab,IF(OR(mtype=XLOOKUP($K3,'Pokemon Editor'!$A:$A,'Pokemon Editor'!$C:$C,""),mtype=XLOOKUP($K3,'Pokemon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Chart'!$B$1:$S$1,0)))),base,IF(OR(cat="Status",pow=0),0,FLOOR(FLOOR(FLOOR((2*$L3/5+2)*pow*atk/def)/50)+2)),modifier,stab*eff,FLOOR(base*modifier*0.85)),0)</f>
        <v/>
      </c>
      <c r="V3" s="3">
        <f>IFERROR(LET(mtype,XLOOKUP($B3,'Move Editor'!$B:$B,'Move Editor'!$C:$C,""),cat,XLOOKUP($B3,'Move Editor'!$B:$B,'Move Editor'!$D:$D,""),pow,XLOOKUP($B3,'Move Editor'!$B:$B,'Move Editor'!$E:$E,0),acc,XLOOKUP($B3,'Move Editor'!$B:$B,'Move Editor'!$F:$F,100),atk,IF(cat="Physical",FLOOR((FLOOR(((2*XLOOKUP($K3,'Pokemon Editor'!$A:$A,'Pokemon Editor'!$F:$F,0)+31+FLOOR($P3/4))*$L3)/100)+5)*XLOOKUP($M3,'Nature Editor'!$A:$A,'Nature Editor'!$B:$B,1)),FLOOR((FLOOR(((2*XLOOKUP($K3,'Pokemon Editor'!$A:$A,'Pokemon Editor'!$H:$H,0)+31+FLOOR($R3/4))*$L3)/100)+5)*XLOOKUP($M3,'Nature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Editor'!$E:$E,1))),stab,IF(OR(mtype=XLOOKUP($K3,'Pokemon Editor'!$A:$A,'Pokemon Editor'!$C:$C,""),mtype=XLOOKUP($K3,'Pokemon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Chart'!$B$1:$S$1,0)))),base,IF(OR(cat="Status",pow=0),0,FLOOR(FLOOR(FLOOR((2*$L3/5+2)*pow*atk/def)/50)+2)),modifier,stab*eff,FLOOR(base*modifier)),0)</f>
        <v/>
      </c>
      <c r="W3" s="3">
        <f>IFERROR(LET(mtype,XLOOKUP($D3,'Move Editor'!$B:$B,'Move Editor'!$C:$C,""),cat,XLOOKUP($D3,'Move Editor'!$B:$B,'Move Editor'!$D:$D,""),pow,XLOOKUP($D3,'Move Editor'!$B:$B,'Move Editor'!$E:$E,0),acc,XLOOKUP($D3,'Move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Editor'!$D:$D,1))),def,IF(cat="Physical",FLOOR((FLOOR(((2*XLOOKUP($K3,'Pokemon Editor'!$A:$A,'Pokemon Editor'!$G:$G,0)+31+FLOOR($Q3/4))*$L3)/100)+5)*XLOOKUP($M3,'Nature Editor'!$A:$A,'Nature Editor'!$C:$C,1)),FLOOR((FLOOR(((2*XLOOKUP($K3,'Pokemon Editor'!$A:$A,'Pokemon Editor'!$I:$I,0)+31+FLOOR($S3/4))*$L3)/100)+5)*XLOOKUP($M3,'Nature Editor'!$A:$A,'Nature Editor'!$E:$E,1))),stab,IF(OR(mtype=XLOOKUP('Boss Editor'!$C$4,'Pokemon Editor'!$A:$A,'Pokemon Editor'!$C:$C,""),mtype=XLOOKUP('Boss Editor'!$C$4,'Pokemon Editor'!$A:$A,'Pokemon Editor'!$D:$D,"")),1.5,1),eff,(INDEX('Type Chart'!$B:$S,MATCH(mtype,'Type Chart'!$A:$A,0),MATCH(XLOOKUP($K3,'Pokemon Editor'!$A:$A,'Pokemon Editor'!$C:$C,""),'Type Chart'!$B$1:$S$1,0))*IF(XLOOKUP($K3,'Pokemon Editor'!$A:$A,'Pokemon Editor'!$D:$D,"")="",1,INDEX('Type Chart'!$B:$S,MATCH(mtype,'Type Chart'!$A:$A,0),MATCH(XLOOKUP($K3,'Pokemon Editor'!$A:$A,'Pokemon Editor'!$D:$D,""),'Type Chart'!$B$1:$S$1,0)))),base,IF(OR(cat="Status",pow=0),0,FLOOR(FLOOR(FLOOR((2*'Boss Editor'!$D$4/5+2)*pow*atk/def)/50)+2)),modifier,stab*eff,FLOOR(base*modifier*0.85)),0)</f>
        <v/>
      </c>
      <c r="X3" s="3">
        <f>IFERROR(LET(mtype,XLOOKUP($D3,'Move Editor'!$B:$B,'Move Editor'!$C:$C,""),cat,XLOOKUP($D3,'Move Editor'!$B:$B,'Move Editor'!$D:$D,""),pow,XLOOKUP($D3,'Move Editor'!$B:$B,'Move Editor'!$E:$E,0),acc,XLOOKUP($D3,'Move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Editor'!$D:$D,1))),def,IF(cat="Physical",FLOOR((FLOOR(((2*XLOOKUP($K3,'Pokemon Editor'!$A:$A,'Pokemon Editor'!$G:$G,0)+31+FLOOR($Q3/4))*$L3)/100)+5)*XLOOKUP($M3,'Nature Editor'!$A:$A,'Nature Editor'!$C:$C,1)),FLOOR((FLOOR(((2*XLOOKUP($K3,'Pokemon Editor'!$A:$A,'Pokemon Editor'!$I:$I,0)+31+FLOOR($S3/4))*$L3)/100)+5)*XLOOKUP($M3,'Nature Editor'!$A:$A,'Nature Editor'!$E:$E,1))),stab,IF(OR(mtype=XLOOKUP('Boss Editor'!$C$4,'Pokemon Editor'!$A:$A,'Pokemon Editor'!$C:$C,""),mtype=XLOOKUP('Boss Editor'!$C$4,'Pokemon Editor'!$A:$A,'Pokemon Editor'!$D:$D,"")),1.5,1),eff,(INDEX('Type Chart'!$B:$S,MATCH(mtype,'Type Chart'!$A:$A,0),MATCH(XLOOKUP($K3,'Pokemon Editor'!$A:$A,'Pokemon Editor'!$C:$C,""),'Type Chart'!$B$1:$S$1,0))*IF(XLOOKUP($K3,'Pokemon Editor'!$A:$A,'Pokemon Editor'!$D:$D,"")="",1,INDEX('Type Chart'!$B:$S,MATCH(mtype,'Type Chart'!$A:$A,0),MATCH(XLOOKUP($K3,'Pokemon Editor'!$A:$A,'Pokemon Editor'!$D:$D,""),'Type Chart'!$B$1:$S$1,0)))),base,IF(OR(cat="Status",pow=0),0,FLOOR(FLOOR(FLOOR((2*'Boss Editor'!$D$4/5+2)*pow*atk/def)/50)+2)),modifier,stab*eff,FLOOR(base*modifier)),0)</f>
        <v/>
      </c>
      <c r="Y3" s="3" t="inlineStr">
        <is>
          <t>SPECIES_TINKATINK</t>
        </is>
      </c>
      <c r="Z3" s="5" t="inlineStr"/>
    </row>
    <row r="4">
      <c r="A4" s="3">
        <f>XLOOKUP(K4,'Pokemon Editor'!$A:$A,'Pokemon Editor'!$B:$B,K4)</f>
        <v/>
      </c>
      <c r="B4" s="3">
        <f>IF($Z4&lt;&gt;"",$Z4,IFERROR(INDEX(FILTER('Move Comparison'!$D$2:$D,'Move Comparison'!$Q$2:$Q=$Y4,'Move Comparison'!$M$2:$M=MAXIFS('Move Comparison'!$M$2:$M,'Move Comparison'!$Q$2:$Q,$Y4),'Move Comparison'!$D$2:$D&lt;&gt;""),1),""))</f>
        <v/>
      </c>
      <c r="C4" s="4">
        <f>IFERROR(LET(mtype,XLOOKUP($B4,'Move Editor'!$B:$B,'Move Editor'!$C:$C,""),cat,XLOOKUP($B4,'Move Editor'!$B:$B,'Move Editor'!$D:$D,""),pow,XLOOKUP($B4,'Move Editor'!$B:$B,'Move Editor'!$E:$E,0),acc,XLOOKUP($B4,'Move Editor'!$B:$B,'Move Editor'!$F:$F,100),atk,IF(cat="Physical",FLOOR((FLOOR(((2*XLOOKUP($K4,'Pokemon Editor'!$A:$A,'Pokemon Editor'!$F:$F,0)+31+FLOOR($P4/4))*$L4)/100)+5)*XLOOKUP($M4,'Nature Editor'!$A:$A,'Nature Editor'!$B:$B,1)),FLOOR((FLOOR(((2*XLOOKUP($K4,'Pokemon Editor'!$A:$A,'Pokemon Editor'!$H:$H,0)+31+FLOOR($R4/4))*$L4)/100)+5)*XLOOKUP($M4,'Nature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Editor'!$E:$E,1))),stab,IF(OR(mtype=XLOOKUP($K4,'Pokemon Editor'!$A:$A,'Pokemon Editor'!$C:$C,""),mtype=XLOOKUP($K4,'Pokemon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Chart'!$B$1:$S$1,0)))),base,IF(OR(cat="Status",pow=0),0,FLOOR(FLOOR(FLOOR((2*$L4/5+2)*pow*atk/def)/50)+2)),modifier,stab*eff,AVERAGE(ARRAYFORMULA(FLOOR(base*modifier*SEQUENCE(16,1,85,1)/100)))/(FLOOR(((2*XLOOKUP('Boss Editor'!$C$4,'Pokemon Editor'!$A:$A,'Pokemon Editor'!$E:$E,0)+31+FLOOR('Boss Editor'!$G$4/4))*'Boss Editor'!$D$4)/100)+'Boss Editor'!$D$4+10)),0)</f>
        <v/>
      </c>
      <c r="D4" s="5" t="inlineStr">
        <is>
          <t>Acid</t>
        </is>
      </c>
      <c r="E4" s="4">
        <f>IFERROR(LET(mtype,XLOOKUP($D4,'Move Editor'!$B:$B,'Move Editor'!$C:$C,""),cat,XLOOKUP($D4,'Move Editor'!$B:$B,'Move Editor'!$D:$D,""),pow,XLOOKUP($D4,'Move Editor'!$B:$B,'Move Editor'!$E:$E,0),acc,XLOOKUP($D4,'Move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Editor'!$D:$D,1))),def,IF(cat="Physical",FLOOR((FLOOR(((2*XLOOKUP($K4,'Pokemon Editor'!$A:$A,'Pokemon Editor'!$G:$G,0)+31+FLOOR($Q4/4))*$L4)/100)+5)*XLOOKUP($M4,'Nature Editor'!$A:$A,'Nature Editor'!$C:$C,1)),FLOOR((FLOOR(((2*XLOOKUP($K4,'Pokemon Editor'!$A:$A,'Pokemon Editor'!$I:$I,0)+31+FLOOR($S4/4))*$L4)/100)+5)*XLOOKUP($M4,'Nature Editor'!$A:$A,'Nature Editor'!$E:$E,1))),stab,IF(OR(mtype=XLOOKUP('Boss Editor'!$C$4,'Pokemon Editor'!$A:$A,'Pokemon Editor'!$C:$C,""),mtype=XLOOKUP('Boss Editor'!$C$4,'Pokemon Editor'!$A:$A,'Pokemon Editor'!$D:$D,"")),1.5,1),eff,(INDEX('Type Chart'!$B:$S,MATCH(mtype,'Type Chart'!$A:$A,0),MATCH(XLOOKUP($K4,'Pokemon Editor'!$A:$A,'Pokemon Editor'!$C:$C,""),'Type Chart'!$B$1:$S$1,0))*IF(XLOOKUP($K4,'Pokemon Editor'!$A:$A,'Pokemon Editor'!$D:$D,"")="",1,INDEX('Type Chart'!$B:$S,MATCH(mtype,'Type Chart'!$A:$A,0),MATCH(XLOOKUP($K4,'Pokemon Editor'!$A:$A,'Pokemon Editor'!$D:$D,""),'Type Chart'!$B$1:$S$1,0)))),base,IF(OR(cat="Status",pow=0),0,FLOOR(FLOOR(FLOOR((2*'Boss Editor'!$D$4/5+2)*pow*atk/def)/50)+2)),modifier,stab*eff,AVERAGE(ARRAYFORMULA(FLOOR(base*modifier*SEQUENCE(16,1,85,1)/100)))/(FLOOR(((2*XLOOKUP($K4,'Pokemon Editor'!$A:$A,'Pokemon Editor'!$E:$E,0)+31+FLOOR($O4/4))*$L4)/100)+$L4+10)),0)</f>
        <v/>
      </c>
      <c r="F4" s="3">
        <f>FLOOR((FLOOR(((2*XLOOKUP($K4,'Pokemon Editor'!$A:$A,'Pokemon Editor'!$J:$J,0)+31+FLOOR($T4/4))*$L4)/100)+5)*XLOOKUP($M4,'Nature Editor'!$A:$A,'Nature Editor'!$F:$F,1))</f>
        <v/>
      </c>
      <c r="G4" s="3">
        <f>FLOOR((FLOOR(((2*XLOOKUP('Boss Editor'!$C$4,'Pokemon Editor'!$A:$A,'Pokemon Editor'!$J:$J,0)+31+FLOOR('Boss Editor'!$L$4/4))*'Boss Editor'!$D$4)/100)+5)*XLOOKUP('Boss Editor'!$E$4,'Nature Editor'!$A:$A,'Nature Editor'!$F:$F,1))</f>
        <v/>
      </c>
      <c r="H4" s="3">
        <f>IF(F4&gt;G4,"Yes","No")</f>
        <v/>
      </c>
      <c r="I4" s="3">
        <f>C4-E4</f>
        <v/>
      </c>
      <c r="J4" s="3">
        <f>IFS(AND(C4&gt;=0.5,E4&lt;0.5),"Dominant",AND(C4&gt;=0.35,E4&lt;0.75),"Strong",AND(C4&gt;=0.25,E4&lt;1),"Viable",AND(C4&gt;=0.15,E4&lt;1.25),"Risky",TRUE,"Poor")</f>
        <v/>
      </c>
      <c r="K4" s="3">
        <f>REDUCE($Y4,SEQUENCE(2),LAMBDA(current_species,unused_step,IFERROR(INDEX(FILTER('Evolution Editor'!$D$2:$D,'Evolution Editor'!$A$2:$A=current_species,'Evolution Editor'!$F$2:$F=TRUE,'Evolution Editor'!$E$2:$E&lt;=$L4),1),current_species)))</f>
        <v/>
      </c>
      <c r="L4" s="5" t="n">
        <v>15</v>
      </c>
      <c r="M4" s="5" t="inlineStr">
        <is>
          <t>Neutral</t>
        </is>
      </c>
      <c r="N4" s="5" t="inlineStr">
        <is>
          <t>ABILITY_HONEY_GATHER</t>
        </is>
      </c>
      <c r="O4" s="5" t="n">
        <v>0</v>
      </c>
      <c r="P4" s="5" t="n">
        <v>0</v>
      </c>
      <c r="Q4" s="5" t="n">
        <v>0</v>
      </c>
      <c r="R4" s="5" t="n">
        <v>0</v>
      </c>
      <c r="S4" s="5" t="n">
        <v>0</v>
      </c>
      <c r="T4" s="5" t="n">
        <v>0</v>
      </c>
      <c r="U4" s="3">
        <f>IFERROR(LET(mtype,XLOOKUP($B4,'Move Editor'!$B:$B,'Move Editor'!$C:$C,""),cat,XLOOKUP($B4,'Move Editor'!$B:$B,'Move Editor'!$D:$D,""),pow,XLOOKUP($B4,'Move Editor'!$B:$B,'Move Editor'!$E:$E,0),acc,XLOOKUP($B4,'Move Editor'!$B:$B,'Move Editor'!$F:$F,100),atk,IF(cat="Physical",FLOOR((FLOOR(((2*XLOOKUP($K4,'Pokemon Editor'!$A:$A,'Pokemon Editor'!$F:$F,0)+31+FLOOR($P4/4))*$L4)/100)+5)*XLOOKUP($M4,'Nature Editor'!$A:$A,'Nature Editor'!$B:$B,1)),FLOOR((FLOOR(((2*XLOOKUP($K4,'Pokemon Editor'!$A:$A,'Pokemon Editor'!$H:$H,0)+31+FLOOR($R4/4))*$L4)/100)+5)*XLOOKUP($M4,'Nature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Editor'!$E:$E,1))),stab,IF(OR(mtype=XLOOKUP($K4,'Pokemon Editor'!$A:$A,'Pokemon Editor'!$C:$C,""),mtype=XLOOKUP($K4,'Pokemon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Chart'!$B$1:$S$1,0)))),base,IF(OR(cat="Status",pow=0),0,FLOOR(FLOOR(FLOOR((2*$L4/5+2)*pow*atk/def)/50)+2)),modifier,stab*eff,FLOOR(base*modifier*0.85)),0)</f>
        <v/>
      </c>
      <c r="V4" s="3">
        <f>IFERROR(LET(mtype,XLOOKUP($B4,'Move Editor'!$B:$B,'Move Editor'!$C:$C,""),cat,XLOOKUP($B4,'Move Editor'!$B:$B,'Move Editor'!$D:$D,""),pow,XLOOKUP($B4,'Move Editor'!$B:$B,'Move Editor'!$E:$E,0),acc,XLOOKUP($B4,'Move Editor'!$B:$B,'Move Editor'!$F:$F,100),atk,IF(cat="Physical",FLOOR((FLOOR(((2*XLOOKUP($K4,'Pokemon Editor'!$A:$A,'Pokemon Editor'!$F:$F,0)+31+FLOOR($P4/4))*$L4)/100)+5)*XLOOKUP($M4,'Nature Editor'!$A:$A,'Nature Editor'!$B:$B,1)),FLOOR((FLOOR(((2*XLOOKUP($K4,'Pokemon Editor'!$A:$A,'Pokemon Editor'!$H:$H,0)+31+FLOOR($R4/4))*$L4)/100)+5)*XLOOKUP($M4,'Nature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Editor'!$E:$E,1))),stab,IF(OR(mtype=XLOOKUP($K4,'Pokemon Editor'!$A:$A,'Pokemon Editor'!$C:$C,""),mtype=XLOOKUP($K4,'Pokemon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Chart'!$B$1:$S$1,0)))),base,IF(OR(cat="Status",pow=0),0,FLOOR(FLOOR(FLOOR((2*$L4/5+2)*pow*atk/def)/50)+2)),modifier,stab*eff,FLOOR(base*modifier)),0)</f>
        <v/>
      </c>
      <c r="W4" s="3">
        <f>IFERROR(LET(mtype,XLOOKUP($D4,'Move Editor'!$B:$B,'Move Editor'!$C:$C,""),cat,XLOOKUP($D4,'Move Editor'!$B:$B,'Move Editor'!$D:$D,""),pow,XLOOKUP($D4,'Move Editor'!$B:$B,'Move Editor'!$E:$E,0),acc,XLOOKUP($D4,'Move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Editor'!$D:$D,1))),def,IF(cat="Physical",FLOOR((FLOOR(((2*XLOOKUP($K4,'Pokemon Editor'!$A:$A,'Pokemon Editor'!$G:$G,0)+31+FLOOR($Q4/4))*$L4)/100)+5)*XLOOKUP($M4,'Nature Editor'!$A:$A,'Nature Editor'!$C:$C,1)),FLOOR((FLOOR(((2*XLOOKUP($K4,'Pokemon Editor'!$A:$A,'Pokemon Editor'!$I:$I,0)+31+FLOOR($S4/4))*$L4)/100)+5)*XLOOKUP($M4,'Nature Editor'!$A:$A,'Nature Editor'!$E:$E,1))),stab,IF(OR(mtype=XLOOKUP('Boss Editor'!$C$4,'Pokemon Editor'!$A:$A,'Pokemon Editor'!$C:$C,""),mtype=XLOOKUP('Boss Editor'!$C$4,'Pokemon Editor'!$A:$A,'Pokemon Editor'!$D:$D,"")),1.5,1),eff,(INDEX('Type Chart'!$B:$S,MATCH(mtype,'Type Chart'!$A:$A,0),MATCH(XLOOKUP($K4,'Pokemon Editor'!$A:$A,'Pokemon Editor'!$C:$C,""),'Type Chart'!$B$1:$S$1,0))*IF(XLOOKUP($K4,'Pokemon Editor'!$A:$A,'Pokemon Editor'!$D:$D,"")="",1,INDEX('Type Chart'!$B:$S,MATCH(mtype,'Type Chart'!$A:$A,0),MATCH(XLOOKUP($K4,'Pokemon Editor'!$A:$A,'Pokemon Editor'!$D:$D,""),'Type Chart'!$B$1:$S$1,0)))),base,IF(OR(cat="Status",pow=0),0,FLOOR(FLOOR(FLOOR((2*'Boss Editor'!$D$4/5+2)*pow*atk/def)/50)+2)),modifier,stab*eff,FLOOR(base*modifier*0.85)),0)</f>
        <v/>
      </c>
      <c r="X4" s="3">
        <f>IFERROR(LET(mtype,XLOOKUP($D4,'Move Editor'!$B:$B,'Move Editor'!$C:$C,""),cat,XLOOKUP($D4,'Move Editor'!$B:$B,'Move Editor'!$D:$D,""),pow,XLOOKUP($D4,'Move Editor'!$B:$B,'Move Editor'!$E:$E,0),acc,XLOOKUP($D4,'Move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Editor'!$D:$D,1))),def,IF(cat="Physical",FLOOR((FLOOR(((2*XLOOKUP($K4,'Pokemon Editor'!$A:$A,'Pokemon Editor'!$G:$G,0)+31+FLOOR($Q4/4))*$L4)/100)+5)*XLOOKUP($M4,'Nature Editor'!$A:$A,'Nature Editor'!$C:$C,1)),FLOOR((FLOOR(((2*XLOOKUP($K4,'Pokemon Editor'!$A:$A,'Pokemon Editor'!$I:$I,0)+31+FLOOR($S4/4))*$L4)/100)+5)*XLOOKUP($M4,'Nature Editor'!$A:$A,'Nature Editor'!$E:$E,1))),stab,IF(OR(mtype=XLOOKUP('Boss Editor'!$C$4,'Pokemon Editor'!$A:$A,'Pokemon Editor'!$C:$C,""),mtype=XLOOKUP('Boss Editor'!$C$4,'Pokemon Editor'!$A:$A,'Pokemon Editor'!$D:$D,"")),1.5,1),eff,(INDEX('Type Chart'!$B:$S,MATCH(mtype,'Type Chart'!$A:$A,0),MATCH(XLOOKUP($K4,'Pokemon Editor'!$A:$A,'Pokemon Editor'!$C:$C,""),'Type Chart'!$B$1:$S$1,0))*IF(XLOOKUP($K4,'Pokemon Editor'!$A:$A,'Pokemon Editor'!$D:$D,"")="",1,INDEX('Type Chart'!$B:$S,MATCH(mtype,'Type Chart'!$A:$A,0),MATCH(XLOOKUP($K4,'Pokemon Editor'!$A:$A,'Pokemon Editor'!$D:$D,""),'Type Chart'!$B$1:$S$1,0)))),base,IF(OR(cat="Status",pow=0),0,FLOOR(FLOOR(FLOOR((2*'Boss Editor'!$D$4/5+2)*pow*atk/def)/50)+2)),modifier,stab*eff,FLOOR(base*modifier)),0)</f>
        <v/>
      </c>
      <c r="Y4" s="3" t="inlineStr">
        <is>
          <t>SPECIES_COMBEE</t>
        </is>
      </c>
      <c r="Z4" s="5" t="inlineStr"/>
    </row>
    <row r="5">
      <c r="A5" s="3">
        <f>XLOOKUP(K5,'Pokemon Editor'!$A:$A,'Pokemon Editor'!$B:$B,K5)</f>
        <v/>
      </c>
      <c r="B5" s="3">
        <f>IF($Z5&lt;&gt;"",$Z5,IFERROR(INDEX(FILTER('Move Comparison'!$D$2:$D,'Move Comparison'!$Q$2:$Q=$Y5,'Move Comparison'!$M$2:$M=MAXIFS('Move Comparison'!$M$2:$M,'Move Comparison'!$Q$2:$Q,$Y5),'Move Comparison'!$D$2:$D&lt;&gt;""),1),""))</f>
        <v/>
      </c>
      <c r="C5" s="4">
        <f>IFERROR(LET(mtype,XLOOKUP($B5,'Move Editor'!$B:$B,'Move Editor'!$C:$C,""),cat,XLOOKUP($B5,'Move Editor'!$B:$B,'Move Editor'!$D:$D,""),pow,XLOOKUP($B5,'Move Editor'!$B:$B,'Move Editor'!$E:$E,0),acc,XLOOKUP($B5,'Move Editor'!$B:$B,'Move Editor'!$F:$F,100),atk,IF(cat="Physical",FLOOR((FLOOR(((2*XLOOKUP($K5,'Pokemon Editor'!$A:$A,'Pokemon Editor'!$F:$F,0)+31+FLOOR($P5/4))*$L5)/100)+5)*XLOOKUP($M5,'Nature Editor'!$A:$A,'Nature Editor'!$B:$B,1)),FLOOR((FLOOR(((2*XLOOKUP($K5,'Pokemon Editor'!$A:$A,'Pokemon Editor'!$H:$H,0)+31+FLOOR($R5/4))*$L5)/100)+5)*XLOOKUP($M5,'Nature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Editor'!$E:$E,1))),stab,IF(OR(mtype=XLOOKUP($K5,'Pokemon Editor'!$A:$A,'Pokemon Editor'!$C:$C,""),mtype=XLOOKUP($K5,'Pokemon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Chart'!$B$1:$S$1,0)))),base,IF(OR(cat="Status",pow=0),0,FLOOR(FLOOR(FLOOR((2*$L5/5+2)*pow*atk/def)/50)+2)),modifier,stab*eff,AVERAGE(ARRAYFORMULA(FLOOR(base*modifier*SEQUENCE(16,1,85,1)/100)))/(FLOOR(((2*XLOOKUP('Boss Editor'!$C$4,'Pokemon Editor'!$A:$A,'Pokemon Editor'!$E:$E,0)+31+FLOOR('Boss Editor'!$G$4/4))*'Boss Editor'!$D$4)/100)+'Boss Editor'!$D$4+10)),0)</f>
        <v/>
      </c>
      <c r="D5" s="5" t="inlineStr">
        <is>
          <t>Acid</t>
        </is>
      </c>
      <c r="E5" s="4">
        <f>IFERROR(LET(mtype,XLOOKUP($D5,'Move Editor'!$B:$B,'Move Editor'!$C:$C,""),cat,XLOOKUP($D5,'Move Editor'!$B:$B,'Move Editor'!$D:$D,""),pow,XLOOKUP($D5,'Move Editor'!$B:$B,'Move Editor'!$E:$E,0),acc,XLOOKUP($D5,'Move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Editor'!$D:$D,1))),def,IF(cat="Physical",FLOOR((FLOOR(((2*XLOOKUP($K5,'Pokemon Editor'!$A:$A,'Pokemon Editor'!$G:$G,0)+31+FLOOR($Q5/4))*$L5)/100)+5)*XLOOKUP($M5,'Nature Editor'!$A:$A,'Nature Editor'!$C:$C,1)),FLOOR((FLOOR(((2*XLOOKUP($K5,'Pokemon Editor'!$A:$A,'Pokemon Editor'!$I:$I,0)+31+FLOOR($S5/4))*$L5)/100)+5)*XLOOKUP($M5,'Nature Editor'!$A:$A,'Nature Editor'!$E:$E,1))),stab,IF(OR(mtype=XLOOKUP('Boss Editor'!$C$4,'Pokemon Editor'!$A:$A,'Pokemon Editor'!$C:$C,""),mtype=XLOOKUP('Boss Editor'!$C$4,'Pokemon Editor'!$A:$A,'Pokemon Editor'!$D:$D,"")),1.5,1),eff,(INDEX('Type Chart'!$B:$S,MATCH(mtype,'Type Chart'!$A:$A,0),MATCH(XLOOKUP($K5,'Pokemon Editor'!$A:$A,'Pokemon Editor'!$C:$C,""),'Type Chart'!$B$1:$S$1,0))*IF(XLOOKUP($K5,'Pokemon Editor'!$A:$A,'Pokemon Editor'!$D:$D,"")="",1,INDEX('Type Chart'!$B:$S,MATCH(mtype,'Type Chart'!$A:$A,0),MATCH(XLOOKUP($K5,'Pokemon Editor'!$A:$A,'Pokemon Editor'!$D:$D,""),'Type Chart'!$B$1:$S$1,0)))),base,IF(OR(cat="Status",pow=0),0,FLOOR(FLOOR(FLOOR((2*'Boss Editor'!$D$4/5+2)*pow*atk/def)/50)+2)),modifier,stab*eff,AVERAGE(ARRAYFORMULA(FLOOR(base*modifier*SEQUENCE(16,1,85,1)/100)))/(FLOOR(((2*XLOOKUP($K5,'Pokemon Editor'!$A:$A,'Pokemon Editor'!$E:$E,0)+31+FLOOR($O5/4))*$L5)/100)+$L5+10)),0)</f>
        <v/>
      </c>
      <c r="F5" s="3">
        <f>FLOOR((FLOOR(((2*XLOOKUP($K5,'Pokemon Editor'!$A:$A,'Pokemon Editor'!$J:$J,0)+31+FLOOR($T5/4))*$L5)/100)+5)*XLOOKUP($M5,'Nature Editor'!$A:$A,'Nature Editor'!$F:$F,1))</f>
        <v/>
      </c>
      <c r="G5" s="3">
        <f>FLOOR((FLOOR(((2*XLOOKUP('Boss Editor'!$C$4,'Pokemon Editor'!$A:$A,'Pokemon Editor'!$J:$J,0)+31+FLOOR('Boss Editor'!$L$4/4))*'Boss Editor'!$D$4)/100)+5)*XLOOKUP('Boss Editor'!$E$4,'Nature Editor'!$A:$A,'Nature Editor'!$F:$F,1))</f>
        <v/>
      </c>
      <c r="H5" s="3">
        <f>IF(F5&gt;G5,"Yes","No")</f>
        <v/>
      </c>
      <c r="I5" s="3">
        <f>C5-E5</f>
        <v/>
      </c>
      <c r="J5" s="3">
        <f>IFS(AND(C5&gt;=0.5,E5&lt;0.5),"Dominant",AND(C5&gt;=0.35,E5&lt;0.75),"Strong",AND(C5&gt;=0.25,E5&lt;1),"Viable",AND(C5&gt;=0.15,E5&lt;1.25),"Risky",TRUE,"Poor")</f>
        <v/>
      </c>
      <c r="K5" s="3">
        <f>REDUCE($Y5,SEQUENCE(2),LAMBDA(current_species,unused_step,IFERROR(INDEX(FILTER('Evolution Editor'!$D$2:$D,'Evolution Editor'!$A$2:$A=current_species,'Evolution Editor'!$F$2:$F=TRUE,'Evolution Editor'!$E$2:$E&lt;=$L5),1),current_species)))</f>
        <v/>
      </c>
      <c r="L5" s="5" t="n">
        <v>15</v>
      </c>
      <c r="M5" s="5" t="inlineStr">
        <is>
          <t>Neutral</t>
        </is>
      </c>
      <c r="N5" s="5" t="inlineStr">
        <is>
          <t>ABILITY_SWARM</t>
        </is>
      </c>
      <c r="O5" s="5" t="n">
        <v>0</v>
      </c>
      <c r="P5" s="5" t="n">
        <v>0</v>
      </c>
      <c r="Q5" s="5" t="n">
        <v>0</v>
      </c>
      <c r="R5" s="5" t="n">
        <v>0</v>
      </c>
      <c r="S5" s="5" t="n">
        <v>0</v>
      </c>
      <c r="T5" s="5" t="n">
        <v>0</v>
      </c>
      <c r="U5" s="3">
        <f>IFERROR(LET(mtype,XLOOKUP($B5,'Move Editor'!$B:$B,'Move Editor'!$C:$C,""),cat,XLOOKUP($B5,'Move Editor'!$B:$B,'Move Editor'!$D:$D,""),pow,XLOOKUP($B5,'Move Editor'!$B:$B,'Move Editor'!$E:$E,0),acc,XLOOKUP($B5,'Move Editor'!$B:$B,'Move Editor'!$F:$F,100),atk,IF(cat="Physical",FLOOR((FLOOR(((2*XLOOKUP($K5,'Pokemon Editor'!$A:$A,'Pokemon Editor'!$F:$F,0)+31+FLOOR($P5/4))*$L5)/100)+5)*XLOOKUP($M5,'Nature Editor'!$A:$A,'Nature Editor'!$B:$B,1)),FLOOR((FLOOR(((2*XLOOKUP($K5,'Pokemon Editor'!$A:$A,'Pokemon Editor'!$H:$H,0)+31+FLOOR($R5/4))*$L5)/100)+5)*XLOOKUP($M5,'Nature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Editor'!$E:$E,1))),stab,IF(OR(mtype=XLOOKUP($K5,'Pokemon Editor'!$A:$A,'Pokemon Editor'!$C:$C,""),mtype=XLOOKUP($K5,'Pokemon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Chart'!$B$1:$S$1,0)))),base,IF(OR(cat="Status",pow=0),0,FLOOR(FLOOR(FLOOR((2*$L5/5+2)*pow*atk/def)/50)+2)),modifier,stab*eff,FLOOR(base*modifier*0.85)),0)</f>
        <v/>
      </c>
      <c r="V5" s="3">
        <f>IFERROR(LET(mtype,XLOOKUP($B5,'Move Editor'!$B:$B,'Move Editor'!$C:$C,""),cat,XLOOKUP($B5,'Move Editor'!$B:$B,'Move Editor'!$D:$D,""),pow,XLOOKUP($B5,'Move Editor'!$B:$B,'Move Editor'!$E:$E,0),acc,XLOOKUP($B5,'Move Editor'!$B:$B,'Move Editor'!$F:$F,100),atk,IF(cat="Physical",FLOOR((FLOOR(((2*XLOOKUP($K5,'Pokemon Editor'!$A:$A,'Pokemon Editor'!$F:$F,0)+31+FLOOR($P5/4))*$L5)/100)+5)*XLOOKUP($M5,'Nature Editor'!$A:$A,'Nature Editor'!$B:$B,1)),FLOOR((FLOOR(((2*XLOOKUP($K5,'Pokemon Editor'!$A:$A,'Pokemon Editor'!$H:$H,0)+31+FLOOR($R5/4))*$L5)/100)+5)*XLOOKUP($M5,'Nature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Editor'!$E:$E,1))),stab,IF(OR(mtype=XLOOKUP($K5,'Pokemon Editor'!$A:$A,'Pokemon Editor'!$C:$C,""),mtype=XLOOKUP($K5,'Pokemon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Chart'!$B$1:$S$1,0)))),base,IF(OR(cat="Status",pow=0),0,FLOOR(FLOOR(FLOOR((2*$L5/5+2)*pow*atk/def)/50)+2)),modifier,stab*eff,FLOOR(base*modifier)),0)</f>
        <v/>
      </c>
      <c r="W5" s="3">
        <f>IFERROR(LET(mtype,XLOOKUP($D5,'Move Editor'!$B:$B,'Move Editor'!$C:$C,""),cat,XLOOKUP($D5,'Move Editor'!$B:$B,'Move Editor'!$D:$D,""),pow,XLOOKUP($D5,'Move Editor'!$B:$B,'Move Editor'!$E:$E,0),acc,XLOOKUP($D5,'Move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Editor'!$D:$D,1))),def,IF(cat="Physical",FLOOR((FLOOR(((2*XLOOKUP($K5,'Pokemon Editor'!$A:$A,'Pokemon Editor'!$G:$G,0)+31+FLOOR($Q5/4))*$L5)/100)+5)*XLOOKUP($M5,'Nature Editor'!$A:$A,'Nature Editor'!$C:$C,1)),FLOOR((FLOOR(((2*XLOOKUP($K5,'Pokemon Editor'!$A:$A,'Pokemon Editor'!$I:$I,0)+31+FLOOR($S5/4))*$L5)/100)+5)*XLOOKUP($M5,'Nature Editor'!$A:$A,'Nature Editor'!$E:$E,1))),stab,IF(OR(mtype=XLOOKUP('Boss Editor'!$C$4,'Pokemon Editor'!$A:$A,'Pokemon Editor'!$C:$C,""),mtype=XLOOKUP('Boss Editor'!$C$4,'Pokemon Editor'!$A:$A,'Pokemon Editor'!$D:$D,"")),1.5,1),eff,(INDEX('Type Chart'!$B:$S,MATCH(mtype,'Type Chart'!$A:$A,0),MATCH(XLOOKUP($K5,'Pokemon Editor'!$A:$A,'Pokemon Editor'!$C:$C,""),'Type Chart'!$B$1:$S$1,0))*IF(XLOOKUP($K5,'Pokemon Editor'!$A:$A,'Pokemon Editor'!$D:$D,"")="",1,INDEX('Type Chart'!$B:$S,MATCH(mtype,'Type Chart'!$A:$A,0),MATCH(XLOOKUP($K5,'Pokemon Editor'!$A:$A,'Pokemon Editor'!$D:$D,""),'Type Chart'!$B$1:$S$1,0)))),base,IF(OR(cat="Status",pow=0),0,FLOOR(FLOOR(FLOOR((2*'Boss Editor'!$D$4/5+2)*pow*atk/def)/50)+2)),modifier,stab*eff,FLOOR(base*modifier*0.85)),0)</f>
        <v/>
      </c>
      <c r="X5" s="3">
        <f>IFERROR(LET(mtype,XLOOKUP($D5,'Move Editor'!$B:$B,'Move Editor'!$C:$C,""),cat,XLOOKUP($D5,'Move Editor'!$B:$B,'Move Editor'!$D:$D,""),pow,XLOOKUP($D5,'Move Editor'!$B:$B,'Move Editor'!$E:$E,0),acc,XLOOKUP($D5,'Move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Editor'!$D:$D,1))),def,IF(cat="Physical",FLOOR((FLOOR(((2*XLOOKUP($K5,'Pokemon Editor'!$A:$A,'Pokemon Editor'!$G:$G,0)+31+FLOOR($Q5/4))*$L5)/100)+5)*XLOOKUP($M5,'Nature Editor'!$A:$A,'Nature Editor'!$C:$C,1)),FLOOR((FLOOR(((2*XLOOKUP($K5,'Pokemon Editor'!$A:$A,'Pokemon Editor'!$I:$I,0)+31+FLOOR($S5/4))*$L5)/100)+5)*XLOOKUP($M5,'Nature Editor'!$A:$A,'Nature Editor'!$E:$E,1))),stab,IF(OR(mtype=XLOOKUP('Boss Editor'!$C$4,'Pokemon Editor'!$A:$A,'Pokemon Editor'!$C:$C,""),mtype=XLOOKUP('Boss Editor'!$C$4,'Pokemon Editor'!$A:$A,'Pokemon Editor'!$D:$D,"")),1.5,1),eff,(INDEX('Type Chart'!$B:$S,MATCH(mtype,'Type Chart'!$A:$A,0),MATCH(XLOOKUP($K5,'Pokemon Editor'!$A:$A,'Pokemon Editor'!$C:$C,""),'Type Chart'!$B$1:$S$1,0))*IF(XLOOKUP($K5,'Pokemon Editor'!$A:$A,'Pokemon Editor'!$D:$D,"")="",1,INDEX('Type Chart'!$B:$S,MATCH(mtype,'Type Chart'!$A:$A,0),MATCH(XLOOKUP($K5,'Pokemon Editor'!$A:$A,'Pokemon Editor'!$D:$D,""),'Type Chart'!$B$1:$S$1,0)))),base,IF(OR(cat="Status",pow=0),0,FLOOR(FLOOR(FLOOR((2*'Boss Editor'!$D$4/5+2)*pow*atk/def)/50)+2)),modifier,stab*eff,FLOOR(base*modifier)),0)</f>
        <v/>
      </c>
      <c r="Y5" s="3" t="inlineStr">
        <is>
          <t>SPECIES_SEWADDLE</t>
        </is>
      </c>
      <c r="Z5" s="5" t="inlineStr"/>
    </row>
    <row r="6">
      <c r="A6" s="3">
        <f>XLOOKUP(K6,'Pokemon Editor'!$A:$A,'Pokemon Editor'!$B:$B,K6)</f>
        <v/>
      </c>
      <c r="B6" s="3">
        <f>IF($Z6&lt;&gt;"",$Z6,IFERROR(INDEX(FILTER('Move Comparison'!$D$2:$D,'Move Comparison'!$Q$2:$Q=$Y6,'Move Comparison'!$M$2:$M=MAXIFS('Move Comparison'!$M$2:$M,'Move Comparison'!$Q$2:$Q,$Y6),'Move Comparison'!$D$2:$D&lt;&gt;""),1),""))</f>
        <v/>
      </c>
      <c r="C6" s="4">
        <f>IFERROR(LET(mtype,XLOOKUP($B6,'Move Editor'!$B:$B,'Move Editor'!$C:$C,""),cat,XLOOKUP($B6,'Move Editor'!$B:$B,'Move Editor'!$D:$D,""),pow,XLOOKUP($B6,'Move Editor'!$B:$B,'Move Editor'!$E:$E,0),acc,XLOOKUP($B6,'Move Editor'!$B:$B,'Move Editor'!$F:$F,100),atk,IF(cat="Physical",FLOOR((FLOOR(((2*XLOOKUP($K6,'Pokemon Editor'!$A:$A,'Pokemon Editor'!$F:$F,0)+31+FLOOR($P6/4))*$L6)/100)+5)*XLOOKUP($M6,'Nature Editor'!$A:$A,'Nature Editor'!$B:$B,1)),FLOOR((FLOOR(((2*XLOOKUP($K6,'Pokemon Editor'!$A:$A,'Pokemon Editor'!$H:$H,0)+31+FLOOR($R6/4))*$L6)/100)+5)*XLOOKUP($M6,'Nature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Editor'!$E:$E,1))),stab,IF(OR(mtype=XLOOKUP($K6,'Pokemon Editor'!$A:$A,'Pokemon Editor'!$C:$C,""),mtype=XLOOKUP($K6,'Pokemon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Chart'!$B$1:$S$1,0)))),base,IF(OR(cat="Status",pow=0),0,FLOOR(FLOOR(FLOOR((2*$L6/5+2)*pow*atk/def)/50)+2)),modifier,stab*eff,AVERAGE(ARRAYFORMULA(FLOOR(base*modifier*SEQUENCE(16,1,85,1)/100)))/(FLOOR(((2*XLOOKUP('Boss Editor'!$C$4,'Pokemon Editor'!$A:$A,'Pokemon Editor'!$E:$E,0)+31+FLOOR('Boss Editor'!$G$4/4))*'Boss Editor'!$D$4)/100)+'Boss Editor'!$D$4+10)),0)</f>
        <v/>
      </c>
      <c r="D6" s="5" t="inlineStr">
        <is>
          <t>Acid</t>
        </is>
      </c>
      <c r="E6" s="4">
        <f>IFERROR(LET(mtype,XLOOKUP($D6,'Move Editor'!$B:$B,'Move Editor'!$C:$C,""),cat,XLOOKUP($D6,'Move Editor'!$B:$B,'Move Editor'!$D:$D,""),pow,XLOOKUP($D6,'Move Editor'!$B:$B,'Move Editor'!$E:$E,0),acc,XLOOKUP($D6,'Move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Editor'!$D:$D,1))),def,IF(cat="Physical",FLOOR((FLOOR(((2*XLOOKUP($K6,'Pokemon Editor'!$A:$A,'Pokemon Editor'!$G:$G,0)+31+FLOOR($Q6/4))*$L6)/100)+5)*XLOOKUP($M6,'Nature Editor'!$A:$A,'Nature Editor'!$C:$C,1)),FLOOR((FLOOR(((2*XLOOKUP($K6,'Pokemon Editor'!$A:$A,'Pokemon Editor'!$I:$I,0)+31+FLOOR($S6/4))*$L6)/100)+5)*XLOOKUP($M6,'Nature Editor'!$A:$A,'Nature Editor'!$E:$E,1))),stab,IF(OR(mtype=XLOOKUP('Boss Editor'!$C$4,'Pokemon Editor'!$A:$A,'Pokemon Editor'!$C:$C,""),mtype=XLOOKUP('Boss Editor'!$C$4,'Pokemon Editor'!$A:$A,'Pokemon Editor'!$D:$D,"")),1.5,1),eff,(INDEX('Type Chart'!$B:$S,MATCH(mtype,'Type Chart'!$A:$A,0),MATCH(XLOOKUP($K6,'Pokemon Editor'!$A:$A,'Pokemon Editor'!$C:$C,""),'Type Chart'!$B$1:$S$1,0))*IF(XLOOKUP($K6,'Pokemon Editor'!$A:$A,'Pokemon Editor'!$D:$D,"")="",1,INDEX('Type Chart'!$B:$S,MATCH(mtype,'Type Chart'!$A:$A,0),MATCH(XLOOKUP($K6,'Pokemon Editor'!$A:$A,'Pokemon Editor'!$D:$D,""),'Type Chart'!$B$1:$S$1,0)))),base,IF(OR(cat="Status",pow=0),0,FLOOR(FLOOR(FLOOR((2*'Boss Editor'!$D$4/5+2)*pow*atk/def)/50)+2)),modifier,stab*eff,AVERAGE(ARRAYFORMULA(FLOOR(base*modifier*SEQUENCE(16,1,85,1)/100)))/(FLOOR(((2*XLOOKUP($K6,'Pokemon Editor'!$A:$A,'Pokemon Editor'!$E:$E,0)+31+FLOOR($O6/4))*$L6)/100)+$L6+10)),0)</f>
        <v/>
      </c>
      <c r="F6" s="3">
        <f>FLOOR((FLOOR(((2*XLOOKUP($K6,'Pokemon Editor'!$A:$A,'Pokemon Editor'!$J:$J,0)+31+FLOOR($T6/4))*$L6)/100)+5)*XLOOKUP($M6,'Nature Editor'!$A:$A,'Nature Editor'!$F:$F,1))</f>
        <v/>
      </c>
      <c r="G6" s="3">
        <f>FLOOR((FLOOR(((2*XLOOKUP('Boss Editor'!$C$4,'Pokemon Editor'!$A:$A,'Pokemon Editor'!$J:$J,0)+31+FLOOR('Boss Editor'!$L$4/4))*'Boss Editor'!$D$4)/100)+5)*XLOOKUP('Boss Editor'!$E$4,'Nature Editor'!$A:$A,'Nature Editor'!$F:$F,1))</f>
        <v/>
      </c>
      <c r="H6" s="3">
        <f>IF(F6&gt;G6,"Yes","No")</f>
        <v/>
      </c>
      <c r="I6" s="3">
        <f>C6-E6</f>
        <v/>
      </c>
      <c r="J6" s="3">
        <f>IFS(AND(C6&gt;=0.5,E6&lt;0.5),"Dominant",AND(C6&gt;=0.35,E6&lt;0.75),"Strong",AND(C6&gt;=0.25,E6&lt;1),"Viable",AND(C6&gt;=0.15,E6&lt;1.25),"Risky",TRUE,"Poor")</f>
        <v/>
      </c>
      <c r="K6" s="3">
        <f>REDUCE($Y6,SEQUENCE(2),LAMBDA(current_species,unused_step,IFERROR(INDEX(FILTER('Evolution Editor'!$D$2:$D,'Evolution Editor'!$A$2:$A=current_species,'Evolution Editor'!$F$2:$F=TRUE,'Evolution Editor'!$E$2:$E&lt;=$L6),1),current_species)))</f>
        <v/>
      </c>
      <c r="L6" s="5" t="n">
        <v>15</v>
      </c>
      <c r="M6" s="5" t="inlineStr">
        <is>
          <t>Neutral</t>
        </is>
      </c>
      <c r="N6" s="5" t="inlineStr">
        <is>
          <t>ABILITY_TORRENT</t>
        </is>
      </c>
      <c r="O6" s="5" t="n">
        <v>0</v>
      </c>
      <c r="P6" s="5" t="n">
        <v>0</v>
      </c>
      <c r="Q6" s="5" t="n">
        <v>0</v>
      </c>
      <c r="R6" s="5" t="n">
        <v>0</v>
      </c>
      <c r="S6" s="5" t="n">
        <v>0</v>
      </c>
      <c r="T6" s="5" t="n">
        <v>0</v>
      </c>
      <c r="U6" s="3">
        <f>IFERROR(LET(mtype,XLOOKUP($B6,'Move Editor'!$B:$B,'Move Editor'!$C:$C,""),cat,XLOOKUP($B6,'Move Editor'!$B:$B,'Move Editor'!$D:$D,""),pow,XLOOKUP($B6,'Move Editor'!$B:$B,'Move Editor'!$E:$E,0),acc,XLOOKUP($B6,'Move Editor'!$B:$B,'Move Editor'!$F:$F,100),atk,IF(cat="Physical",FLOOR((FLOOR(((2*XLOOKUP($K6,'Pokemon Editor'!$A:$A,'Pokemon Editor'!$F:$F,0)+31+FLOOR($P6/4))*$L6)/100)+5)*XLOOKUP($M6,'Nature Editor'!$A:$A,'Nature Editor'!$B:$B,1)),FLOOR((FLOOR(((2*XLOOKUP($K6,'Pokemon Editor'!$A:$A,'Pokemon Editor'!$H:$H,0)+31+FLOOR($R6/4))*$L6)/100)+5)*XLOOKUP($M6,'Nature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Editor'!$E:$E,1))),stab,IF(OR(mtype=XLOOKUP($K6,'Pokemon Editor'!$A:$A,'Pokemon Editor'!$C:$C,""),mtype=XLOOKUP($K6,'Pokemon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Chart'!$B$1:$S$1,0)))),base,IF(OR(cat="Status",pow=0),0,FLOOR(FLOOR(FLOOR((2*$L6/5+2)*pow*atk/def)/50)+2)),modifier,stab*eff,FLOOR(base*modifier*0.85)),0)</f>
        <v/>
      </c>
      <c r="V6" s="3">
        <f>IFERROR(LET(mtype,XLOOKUP($B6,'Move Editor'!$B:$B,'Move Editor'!$C:$C,""),cat,XLOOKUP($B6,'Move Editor'!$B:$B,'Move Editor'!$D:$D,""),pow,XLOOKUP($B6,'Move Editor'!$B:$B,'Move Editor'!$E:$E,0),acc,XLOOKUP($B6,'Move Editor'!$B:$B,'Move Editor'!$F:$F,100),atk,IF(cat="Physical",FLOOR((FLOOR(((2*XLOOKUP($K6,'Pokemon Editor'!$A:$A,'Pokemon Editor'!$F:$F,0)+31+FLOOR($P6/4))*$L6)/100)+5)*XLOOKUP($M6,'Nature Editor'!$A:$A,'Nature Editor'!$B:$B,1)),FLOOR((FLOOR(((2*XLOOKUP($K6,'Pokemon Editor'!$A:$A,'Pokemon Editor'!$H:$H,0)+31+FLOOR($R6/4))*$L6)/100)+5)*XLOOKUP($M6,'Nature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Editor'!$E:$E,1))),stab,IF(OR(mtype=XLOOKUP($K6,'Pokemon Editor'!$A:$A,'Pokemon Editor'!$C:$C,""),mtype=XLOOKUP($K6,'Pokemon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Chart'!$B$1:$S$1,0)))),base,IF(OR(cat="Status",pow=0),0,FLOOR(FLOOR(FLOOR((2*$L6/5+2)*pow*atk/def)/50)+2)),modifier,stab*eff,FLOOR(base*modifier)),0)</f>
        <v/>
      </c>
      <c r="W6" s="3">
        <f>IFERROR(LET(mtype,XLOOKUP($D6,'Move Editor'!$B:$B,'Move Editor'!$C:$C,""),cat,XLOOKUP($D6,'Move Editor'!$B:$B,'Move Editor'!$D:$D,""),pow,XLOOKUP($D6,'Move Editor'!$B:$B,'Move Editor'!$E:$E,0),acc,XLOOKUP($D6,'Move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Editor'!$D:$D,1))),def,IF(cat="Physical",FLOOR((FLOOR(((2*XLOOKUP($K6,'Pokemon Editor'!$A:$A,'Pokemon Editor'!$G:$G,0)+31+FLOOR($Q6/4))*$L6)/100)+5)*XLOOKUP($M6,'Nature Editor'!$A:$A,'Nature Editor'!$C:$C,1)),FLOOR((FLOOR(((2*XLOOKUP($K6,'Pokemon Editor'!$A:$A,'Pokemon Editor'!$I:$I,0)+31+FLOOR($S6/4))*$L6)/100)+5)*XLOOKUP($M6,'Nature Editor'!$A:$A,'Nature Editor'!$E:$E,1))),stab,IF(OR(mtype=XLOOKUP('Boss Editor'!$C$4,'Pokemon Editor'!$A:$A,'Pokemon Editor'!$C:$C,""),mtype=XLOOKUP('Boss Editor'!$C$4,'Pokemon Editor'!$A:$A,'Pokemon Editor'!$D:$D,"")),1.5,1),eff,(INDEX('Type Chart'!$B:$S,MATCH(mtype,'Type Chart'!$A:$A,0),MATCH(XLOOKUP($K6,'Pokemon Editor'!$A:$A,'Pokemon Editor'!$C:$C,""),'Type Chart'!$B$1:$S$1,0))*IF(XLOOKUP($K6,'Pokemon Editor'!$A:$A,'Pokemon Editor'!$D:$D,"")="",1,INDEX('Type Chart'!$B:$S,MATCH(mtype,'Type Chart'!$A:$A,0),MATCH(XLOOKUP($K6,'Pokemon Editor'!$A:$A,'Pokemon Editor'!$D:$D,""),'Type Chart'!$B$1:$S$1,0)))),base,IF(OR(cat="Status",pow=0),0,FLOOR(FLOOR(FLOOR((2*'Boss Editor'!$D$4/5+2)*pow*atk/def)/50)+2)),modifier,stab*eff,FLOOR(base*modifier*0.85)),0)</f>
        <v/>
      </c>
      <c r="X6" s="3">
        <f>IFERROR(LET(mtype,XLOOKUP($D6,'Move Editor'!$B:$B,'Move Editor'!$C:$C,""),cat,XLOOKUP($D6,'Move Editor'!$B:$B,'Move Editor'!$D:$D,""),pow,XLOOKUP($D6,'Move Editor'!$B:$B,'Move Editor'!$E:$E,0),acc,XLOOKUP($D6,'Move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Editor'!$D:$D,1))),def,IF(cat="Physical",FLOOR((FLOOR(((2*XLOOKUP($K6,'Pokemon Editor'!$A:$A,'Pokemon Editor'!$G:$G,0)+31+FLOOR($Q6/4))*$L6)/100)+5)*XLOOKUP($M6,'Nature Editor'!$A:$A,'Nature Editor'!$C:$C,1)),FLOOR((FLOOR(((2*XLOOKUP($K6,'Pokemon Editor'!$A:$A,'Pokemon Editor'!$I:$I,0)+31+FLOOR($S6/4))*$L6)/100)+5)*XLOOKUP($M6,'Nature Editor'!$A:$A,'Nature Editor'!$E:$E,1))),stab,IF(OR(mtype=XLOOKUP('Boss Editor'!$C$4,'Pokemon Editor'!$A:$A,'Pokemon Editor'!$C:$C,""),mtype=XLOOKUP('Boss Editor'!$C$4,'Pokemon Editor'!$A:$A,'Pokemon Editor'!$D:$D,"")),1.5,1),eff,(INDEX('Type Chart'!$B:$S,MATCH(mtype,'Type Chart'!$A:$A,0),MATCH(XLOOKUP($K6,'Pokemon Editor'!$A:$A,'Pokemon Editor'!$C:$C,""),'Type Chart'!$B$1:$S$1,0))*IF(XLOOKUP($K6,'Pokemon Editor'!$A:$A,'Pokemon Editor'!$D:$D,"")="",1,INDEX('Type Chart'!$B:$S,MATCH(mtype,'Type Chart'!$A:$A,0),MATCH(XLOOKUP($K6,'Pokemon Editor'!$A:$A,'Pokemon Editor'!$D:$D,""),'Type Chart'!$B$1:$S$1,0)))),base,IF(OR(cat="Status",pow=0),0,FLOOR(FLOOR(FLOOR((2*'Boss Editor'!$D$4/5+2)*pow*atk/def)/50)+2)),modifier,stab*eff,FLOOR(base*modifier)),0)</f>
        <v/>
      </c>
      <c r="Y6" s="3" t="inlineStr">
        <is>
          <t>SPECIES_MUDKIP</t>
        </is>
      </c>
      <c r="Z6" s="5" t="inlineStr"/>
    </row>
    <row r="7">
      <c r="A7" s="3">
        <f>XLOOKUP(K7,'Pokemon Editor'!$A:$A,'Pokemon Editor'!$B:$B,K7)</f>
        <v/>
      </c>
      <c r="B7" s="3">
        <f>IF($Z7&lt;&gt;"",$Z7,IFERROR(INDEX(FILTER('Move Comparison'!$D$2:$D,'Move Comparison'!$Q$2:$Q=$Y7,'Move Comparison'!$M$2:$M=MAXIFS('Move Comparison'!$M$2:$M,'Move Comparison'!$Q$2:$Q,$Y7),'Move Comparison'!$D$2:$D&lt;&gt;""),1),""))</f>
        <v/>
      </c>
      <c r="C7" s="4">
        <f>IFERROR(LET(mtype,XLOOKUP($B7,'Move Editor'!$B:$B,'Move Editor'!$C:$C,""),cat,XLOOKUP($B7,'Move Editor'!$B:$B,'Move Editor'!$D:$D,""),pow,XLOOKUP($B7,'Move Editor'!$B:$B,'Move Editor'!$E:$E,0),acc,XLOOKUP($B7,'Move Editor'!$B:$B,'Move Editor'!$F:$F,100),atk,IF(cat="Physical",FLOOR((FLOOR(((2*XLOOKUP($K7,'Pokemon Editor'!$A:$A,'Pokemon Editor'!$F:$F,0)+31+FLOOR($P7/4))*$L7)/100)+5)*XLOOKUP($M7,'Nature Editor'!$A:$A,'Nature Editor'!$B:$B,1)),FLOOR((FLOOR(((2*XLOOKUP($K7,'Pokemon Editor'!$A:$A,'Pokemon Editor'!$H:$H,0)+31+FLOOR($R7/4))*$L7)/100)+5)*XLOOKUP($M7,'Nature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Editor'!$E:$E,1))),stab,IF(OR(mtype=XLOOKUP($K7,'Pokemon Editor'!$A:$A,'Pokemon Editor'!$C:$C,""),mtype=XLOOKUP($K7,'Pokemon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Chart'!$B$1:$S$1,0)))),base,IF(OR(cat="Status",pow=0),0,FLOOR(FLOOR(FLOOR((2*$L7/5+2)*pow*atk/def)/50)+2)),modifier,stab*eff,AVERAGE(ARRAYFORMULA(FLOOR(base*modifier*SEQUENCE(16,1,85,1)/100)))/(FLOOR(((2*XLOOKUP('Boss Editor'!$C$4,'Pokemon Editor'!$A:$A,'Pokemon Editor'!$E:$E,0)+31+FLOOR('Boss Editor'!$G$4/4))*'Boss Editor'!$D$4)/100)+'Boss Editor'!$D$4+10)),0)</f>
        <v/>
      </c>
      <c r="D7" s="5" t="inlineStr">
        <is>
          <t>Astonish</t>
        </is>
      </c>
      <c r="E7" s="4">
        <f>IFERROR(LET(mtype,XLOOKUP($D7,'Move Editor'!$B:$B,'Move Editor'!$C:$C,""),cat,XLOOKUP($D7,'Move Editor'!$B:$B,'Move Editor'!$D:$D,""),pow,XLOOKUP($D7,'Move Editor'!$B:$B,'Move Editor'!$E:$E,0),acc,XLOOKUP($D7,'Move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Editor'!$D:$D,1))),def,IF(cat="Physical",FLOOR((FLOOR(((2*XLOOKUP($K7,'Pokemon Editor'!$A:$A,'Pokemon Editor'!$G:$G,0)+31+FLOOR($Q7/4))*$L7)/100)+5)*XLOOKUP($M7,'Nature Editor'!$A:$A,'Nature Editor'!$C:$C,1)),FLOOR((FLOOR(((2*XLOOKUP($K7,'Pokemon Editor'!$A:$A,'Pokemon Editor'!$I:$I,0)+31+FLOOR($S7/4))*$L7)/100)+5)*XLOOKUP($M7,'Nature Editor'!$A:$A,'Nature Editor'!$E:$E,1))),stab,IF(OR(mtype=XLOOKUP('Boss Editor'!$C$4,'Pokemon Editor'!$A:$A,'Pokemon Editor'!$C:$C,""),mtype=XLOOKUP('Boss Editor'!$C$4,'Pokemon Editor'!$A:$A,'Pokemon Editor'!$D:$D,"")),1.5,1),eff,(INDEX('Type Chart'!$B:$S,MATCH(mtype,'Type Chart'!$A:$A,0),MATCH(XLOOKUP($K7,'Pokemon Editor'!$A:$A,'Pokemon Editor'!$C:$C,""),'Type Chart'!$B$1:$S$1,0))*IF(XLOOKUP($K7,'Pokemon Editor'!$A:$A,'Pokemon Editor'!$D:$D,"")="",1,INDEX('Type Chart'!$B:$S,MATCH(mtype,'Type Chart'!$A:$A,0),MATCH(XLOOKUP($K7,'Pokemon Editor'!$A:$A,'Pokemon Editor'!$D:$D,""),'Type Chart'!$B$1:$S$1,0)))),base,IF(OR(cat="Status",pow=0),0,FLOOR(FLOOR(FLOOR((2*'Boss Editor'!$D$4/5+2)*pow*atk/def)/50)+2)),modifier,stab*eff,AVERAGE(ARRAYFORMULA(FLOOR(base*modifier*SEQUENCE(16,1,85,1)/100)))/(FLOOR(((2*XLOOKUP($K7,'Pokemon Editor'!$A:$A,'Pokemon Editor'!$E:$E,0)+31+FLOOR($O7/4))*$L7)/100)+$L7+10)),0)</f>
        <v/>
      </c>
      <c r="F7" s="3">
        <f>FLOOR((FLOOR(((2*XLOOKUP($K7,'Pokemon Editor'!$A:$A,'Pokemon Editor'!$J:$J,0)+31+FLOOR($T7/4))*$L7)/100)+5)*XLOOKUP($M7,'Nature Editor'!$A:$A,'Nature Editor'!$F:$F,1))</f>
        <v/>
      </c>
      <c r="G7" s="3">
        <f>FLOOR((FLOOR(((2*XLOOKUP('Boss Editor'!$C$4,'Pokemon Editor'!$A:$A,'Pokemon Editor'!$J:$J,0)+31+FLOOR('Boss Editor'!$L$4/4))*'Boss Editor'!$D$4)/100)+5)*XLOOKUP('Boss Editor'!$E$4,'Nature Editor'!$A:$A,'Nature Editor'!$F:$F,1))</f>
        <v/>
      </c>
      <c r="H7" s="3">
        <f>IF(F7&gt;G7,"Yes","No")</f>
        <v/>
      </c>
      <c r="I7" s="3">
        <f>C7-E7</f>
        <v/>
      </c>
      <c r="J7" s="3">
        <f>IFS(AND(C7&gt;=0.5,E7&lt;0.5),"Dominant",AND(C7&gt;=0.35,E7&lt;0.75),"Strong",AND(C7&gt;=0.25,E7&lt;1),"Viable",AND(C7&gt;=0.15,E7&lt;1.25),"Risky",TRUE,"Poor")</f>
        <v/>
      </c>
      <c r="K7" s="3">
        <f>REDUCE($Y7,SEQUENCE(2),LAMBDA(current_species,unused_step,IFERROR(INDEX(FILTER('Evolution Editor'!$D$2:$D,'Evolution Editor'!$A$2:$A=current_species,'Evolution Editor'!$F$2:$F=TRUE,'Evolution Editor'!$E$2:$E&lt;=$L7),1),current_species)))</f>
        <v/>
      </c>
      <c r="L7" s="5" t="n">
        <v>15</v>
      </c>
      <c r="M7" s="5" t="inlineStr">
        <is>
          <t>Neutral</t>
        </is>
      </c>
      <c r="N7" s="5" t="inlineStr">
        <is>
          <t>ABILITY_POISON_POINT</t>
        </is>
      </c>
      <c r="O7" s="5" t="n">
        <v>0</v>
      </c>
      <c r="P7" s="5" t="n">
        <v>0</v>
      </c>
      <c r="Q7" s="5" t="n">
        <v>0</v>
      </c>
      <c r="R7" s="5" t="n">
        <v>0</v>
      </c>
      <c r="S7" s="5" t="n">
        <v>0</v>
      </c>
      <c r="T7" s="5" t="n">
        <v>0</v>
      </c>
      <c r="U7" s="3">
        <f>IFERROR(LET(mtype,XLOOKUP($B7,'Move Editor'!$B:$B,'Move Editor'!$C:$C,""),cat,XLOOKUP($B7,'Move Editor'!$B:$B,'Move Editor'!$D:$D,""),pow,XLOOKUP($B7,'Move Editor'!$B:$B,'Move Editor'!$E:$E,0),acc,XLOOKUP($B7,'Move Editor'!$B:$B,'Move Editor'!$F:$F,100),atk,IF(cat="Physical",FLOOR((FLOOR(((2*XLOOKUP($K7,'Pokemon Editor'!$A:$A,'Pokemon Editor'!$F:$F,0)+31+FLOOR($P7/4))*$L7)/100)+5)*XLOOKUP($M7,'Nature Editor'!$A:$A,'Nature Editor'!$B:$B,1)),FLOOR((FLOOR(((2*XLOOKUP($K7,'Pokemon Editor'!$A:$A,'Pokemon Editor'!$H:$H,0)+31+FLOOR($R7/4))*$L7)/100)+5)*XLOOKUP($M7,'Nature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Editor'!$E:$E,1))),stab,IF(OR(mtype=XLOOKUP($K7,'Pokemon Editor'!$A:$A,'Pokemon Editor'!$C:$C,""),mtype=XLOOKUP($K7,'Pokemon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Chart'!$B$1:$S$1,0)))),base,IF(OR(cat="Status",pow=0),0,FLOOR(FLOOR(FLOOR((2*$L7/5+2)*pow*atk/def)/50)+2)),modifier,stab*eff,FLOOR(base*modifier*0.85)),0)</f>
        <v/>
      </c>
      <c r="V7" s="3">
        <f>IFERROR(LET(mtype,XLOOKUP($B7,'Move Editor'!$B:$B,'Move Editor'!$C:$C,""),cat,XLOOKUP($B7,'Move Editor'!$B:$B,'Move Editor'!$D:$D,""),pow,XLOOKUP($B7,'Move Editor'!$B:$B,'Move Editor'!$E:$E,0),acc,XLOOKUP($B7,'Move Editor'!$B:$B,'Move Editor'!$F:$F,100),atk,IF(cat="Physical",FLOOR((FLOOR(((2*XLOOKUP($K7,'Pokemon Editor'!$A:$A,'Pokemon Editor'!$F:$F,0)+31+FLOOR($P7/4))*$L7)/100)+5)*XLOOKUP($M7,'Nature Editor'!$A:$A,'Nature Editor'!$B:$B,1)),FLOOR((FLOOR(((2*XLOOKUP($K7,'Pokemon Editor'!$A:$A,'Pokemon Editor'!$H:$H,0)+31+FLOOR($R7/4))*$L7)/100)+5)*XLOOKUP($M7,'Nature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Editor'!$E:$E,1))),stab,IF(OR(mtype=XLOOKUP($K7,'Pokemon Editor'!$A:$A,'Pokemon Editor'!$C:$C,""),mtype=XLOOKUP($K7,'Pokemon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Chart'!$B$1:$S$1,0)))),base,IF(OR(cat="Status",pow=0),0,FLOOR(FLOOR(FLOOR((2*$L7/5+2)*pow*atk/def)/50)+2)),modifier,stab*eff,FLOOR(base*modifier)),0)</f>
        <v/>
      </c>
      <c r="W7" s="3">
        <f>IFERROR(LET(mtype,XLOOKUP($D7,'Move Editor'!$B:$B,'Move Editor'!$C:$C,""),cat,XLOOKUP($D7,'Move Editor'!$B:$B,'Move Editor'!$D:$D,""),pow,XLOOKUP($D7,'Move Editor'!$B:$B,'Move Editor'!$E:$E,0),acc,XLOOKUP($D7,'Move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Editor'!$D:$D,1))),def,IF(cat="Physical",FLOOR((FLOOR(((2*XLOOKUP($K7,'Pokemon Editor'!$A:$A,'Pokemon Editor'!$G:$G,0)+31+FLOOR($Q7/4))*$L7)/100)+5)*XLOOKUP($M7,'Nature Editor'!$A:$A,'Nature Editor'!$C:$C,1)),FLOOR((FLOOR(((2*XLOOKUP($K7,'Pokemon Editor'!$A:$A,'Pokemon Editor'!$I:$I,0)+31+FLOOR($S7/4))*$L7)/100)+5)*XLOOKUP($M7,'Nature Editor'!$A:$A,'Nature Editor'!$E:$E,1))),stab,IF(OR(mtype=XLOOKUP('Boss Editor'!$C$4,'Pokemon Editor'!$A:$A,'Pokemon Editor'!$C:$C,""),mtype=XLOOKUP('Boss Editor'!$C$4,'Pokemon Editor'!$A:$A,'Pokemon Editor'!$D:$D,"")),1.5,1),eff,(INDEX('Type Chart'!$B:$S,MATCH(mtype,'Type Chart'!$A:$A,0),MATCH(XLOOKUP($K7,'Pokemon Editor'!$A:$A,'Pokemon Editor'!$C:$C,""),'Type Chart'!$B$1:$S$1,0))*IF(XLOOKUP($K7,'Pokemon Editor'!$A:$A,'Pokemon Editor'!$D:$D,"")="",1,INDEX('Type Chart'!$B:$S,MATCH(mtype,'Type Chart'!$A:$A,0),MATCH(XLOOKUP($K7,'Pokemon Editor'!$A:$A,'Pokemon Editor'!$D:$D,""),'Type Chart'!$B$1:$S$1,0)))),base,IF(OR(cat="Status",pow=0),0,FLOOR(FLOOR(FLOOR((2*'Boss Editor'!$D$4/5+2)*pow*atk/def)/50)+2)),modifier,stab*eff,FLOOR(base*modifier*0.85)),0)</f>
        <v/>
      </c>
      <c r="X7" s="3">
        <f>IFERROR(LET(mtype,XLOOKUP($D7,'Move Editor'!$B:$B,'Move Editor'!$C:$C,""),cat,XLOOKUP($D7,'Move Editor'!$B:$B,'Move Editor'!$D:$D,""),pow,XLOOKUP($D7,'Move Editor'!$B:$B,'Move Editor'!$E:$E,0),acc,XLOOKUP($D7,'Move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Editor'!$D:$D,1))),def,IF(cat="Physical",FLOOR((FLOOR(((2*XLOOKUP($K7,'Pokemon Editor'!$A:$A,'Pokemon Editor'!$G:$G,0)+31+FLOOR($Q7/4))*$L7)/100)+5)*XLOOKUP($M7,'Nature Editor'!$A:$A,'Nature Editor'!$C:$C,1)),FLOOR((FLOOR(((2*XLOOKUP($K7,'Pokemon Editor'!$A:$A,'Pokemon Editor'!$I:$I,0)+31+FLOOR($S7/4))*$L7)/100)+5)*XLOOKUP($M7,'Nature Editor'!$A:$A,'Nature Editor'!$E:$E,1))),stab,IF(OR(mtype=XLOOKUP('Boss Editor'!$C$4,'Pokemon Editor'!$A:$A,'Pokemon Editor'!$C:$C,""),mtype=XLOOKUP('Boss Editor'!$C$4,'Pokemon Editor'!$A:$A,'Pokemon Editor'!$D:$D,"")),1.5,1),eff,(INDEX('Type Chart'!$B:$S,MATCH(mtype,'Type Chart'!$A:$A,0),MATCH(XLOOKUP($K7,'Pokemon Editor'!$A:$A,'Pokemon Editor'!$C:$C,""),'Type Chart'!$B$1:$S$1,0))*IF(XLOOKUP($K7,'Pokemon Editor'!$A:$A,'Pokemon Editor'!$D:$D,"")="",1,INDEX('Type Chart'!$B:$S,MATCH(mtype,'Type Chart'!$A:$A,0),MATCH(XLOOKUP($K7,'Pokemon Editor'!$A:$A,'Pokemon Editor'!$D:$D,""),'Type Chart'!$B$1:$S$1,0)))),base,IF(OR(cat="Status",pow=0),0,FLOOR(FLOOR(FLOOR((2*'Boss Editor'!$D$4/5+2)*pow*atk/def)/50)+2)),modifier,stab*eff,FLOOR(base*modifier)),0)</f>
        <v/>
      </c>
      <c r="Y7" s="3" t="inlineStr">
        <is>
          <t>SPECIES_VENIPEDE</t>
        </is>
      </c>
      <c r="Z7" s="5" t="inlineStr"/>
    </row>
    <row r="8">
      <c r="A8" s="3">
        <f>XLOOKUP(K8,'Pokemon Editor'!$A:$A,'Pokemon Editor'!$B:$B,K8)</f>
        <v/>
      </c>
      <c r="B8" s="3">
        <f>IF($Z8&lt;&gt;"",$Z8,IFERROR(INDEX(FILTER('Move Comparison'!$D$2:$D,'Move Comparison'!$Q$2:$Q=$Y8,'Move Comparison'!$M$2:$M=MAXIFS('Move Comparison'!$M$2:$M,'Move Comparison'!$Q$2:$Q,$Y8),'Move Comparison'!$D$2:$D&lt;&gt;""),1),""))</f>
        <v/>
      </c>
      <c r="C8" s="4">
        <f>IFERROR(LET(mtype,XLOOKUP($B8,'Move Editor'!$B:$B,'Move Editor'!$C:$C,""),cat,XLOOKUP($B8,'Move Editor'!$B:$B,'Move Editor'!$D:$D,""),pow,XLOOKUP($B8,'Move Editor'!$B:$B,'Move Editor'!$E:$E,0),acc,XLOOKUP($B8,'Move Editor'!$B:$B,'Move Editor'!$F:$F,100),atk,IF(cat="Physical",FLOOR((FLOOR(((2*XLOOKUP($K8,'Pokemon Editor'!$A:$A,'Pokemon Editor'!$F:$F,0)+31+FLOOR($P8/4))*$L8)/100)+5)*XLOOKUP($M8,'Nature Editor'!$A:$A,'Nature Editor'!$B:$B,1)),FLOOR((FLOOR(((2*XLOOKUP($K8,'Pokemon Editor'!$A:$A,'Pokemon Editor'!$H:$H,0)+31+FLOOR($R8/4))*$L8)/100)+5)*XLOOKUP($M8,'Nature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Editor'!$E:$E,1))),stab,IF(OR(mtype=XLOOKUP($K8,'Pokemon Editor'!$A:$A,'Pokemon Editor'!$C:$C,""),mtype=XLOOKUP($K8,'Pokemon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Chart'!$B$1:$S$1,0)))),base,IF(OR(cat="Status",pow=0),0,FLOOR(FLOOR(FLOOR((2*$L8/5+2)*pow*atk/def)/50)+2)),modifier,stab*eff,AVERAGE(ARRAYFORMULA(FLOOR(base*modifier*SEQUENCE(16,1,85,1)/100)))/(FLOOR(((2*XLOOKUP('Boss Editor'!$C$4,'Pokemon Editor'!$A:$A,'Pokemon Editor'!$E:$E,0)+31+FLOOR('Boss Editor'!$G$4/4))*'Boss Editor'!$D$4)/100)+'Boss Editor'!$D$4+10)),0)</f>
        <v/>
      </c>
      <c r="D8" s="5" t="inlineStr">
        <is>
          <t>Acid</t>
        </is>
      </c>
      <c r="E8" s="4">
        <f>IFERROR(LET(mtype,XLOOKUP($D8,'Move Editor'!$B:$B,'Move Editor'!$C:$C,""),cat,XLOOKUP($D8,'Move Editor'!$B:$B,'Move Editor'!$D:$D,""),pow,XLOOKUP($D8,'Move Editor'!$B:$B,'Move Editor'!$E:$E,0),acc,XLOOKUP($D8,'Move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Editor'!$D:$D,1))),def,IF(cat="Physical",FLOOR((FLOOR(((2*XLOOKUP($K8,'Pokemon Editor'!$A:$A,'Pokemon Editor'!$G:$G,0)+31+FLOOR($Q8/4))*$L8)/100)+5)*XLOOKUP($M8,'Nature Editor'!$A:$A,'Nature Editor'!$C:$C,1)),FLOOR((FLOOR(((2*XLOOKUP($K8,'Pokemon Editor'!$A:$A,'Pokemon Editor'!$I:$I,0)+31+FLOOR($S8/4))*$L8)/100)+5)*XLOOKUP($M8,'Nature Editor'!$A:$A,'Nature Editor'!$E:$E,1))),stab,IF(OR(mtype=XLOOKUP('Boss Editor'!$C$4,'Pokemon Editor'!$A:$A,'Pokemon Editor'!$C:$C,""),mtype=XLOOKUP('Boss Editor'!$C$4,'Pokemon Editor'!$A:$A,'Pokemon Editor'!$D:$D,"")),1.5,1),eff,(INDEX('Type Chart'!$B:$S,MATCH(mtype,'Type Chart'!$A:$A,0),MATCH(XLOOKUP($K8,'Pokemon Editor'!$A:$A,'Pokemon Editor'!$C:$C,""),'Type Chart'!$B$1:$S$1,0))*IF(XLOOKUP($K8,'Pokemon Editor'!$A:$A,'Pokemon Editor'!$D:$D,"")="",1,INDEX('Type Chart'!$B:$S,MATCH(mtype,'Type Chart'!$A:$A,0),MATCH(XLOOKUP($K8,'Pokemon Editor'!$A:$A,'Pokemon Editor'!$D:$D,""),'Type Chart'!$B$1:$S$1,0)))),base,IF(OR(cat="Status",pow=0),0,FLOOR(FLOOR(FLOOR((2*'Boss Editor'!$D$4/5+2)*pow*atk/def)/50)+2)),modifier,stab*eff,AVERAGE(ARRAYFORMULA(FLOOR(base*modifier*SEQUENCE(16,1,85,1)/100)))/(FLOOR(((2*XLOOKUP($K8,'Pokemon Editor'!$A:$A,'Pokemon Editor'!$E:$E,0)+31+FLOOR($O8/4))*$L8)/100)+$L8+10)),0)</f>
        <v/>
      </c>
      <c r="F8" s="3">
        <f>FLOOR((FLOOR(((2*XLOOKUP($K8,'Pokemon Editor'!$A:$A,'Pokemon Editor'!$J:$J,0)+31+FLOOR($T8/4))*$L8)/100)+5)*XLOOKUP($M8,'Nature Editor'!$A:$A,'Nature Editor'!$F:$F,1))</f>
        <v/>
      </c>
      <c r="G8" s="3">
        <f>FLOOR((FLOOR(((2*XLOOKUP('Boss Editor'!$C$4,'Pokemon Editor'!$A:$A,'Pokemon Editor'!$J:$J,0)+31+FLOOR('Boss Editor'!$L$4/4))*'Boss Editor'!$D$4)/100)+5)*XLOOKUP('Boss Editor'!$E$4,'Nature Editor'!$A:$A,'Nature Editor'!$F:$F,1))</f>
        <v/>
      </c>
      <c r="H8" s="3">
        <f>IF(F8&gt;G8,"Yes","No")</f>
        <v/>
      </c>
      <c r="I8" s="3">
        <f>C8-E8</f>
        <v/>
      </c>
      <c r="J8" s="3">
        <f>IFS(AND(C8&gt;=0.5,E8&lt;0.5),"Dominant",AND(C8&gt;=0.35,E8&lt;0.75),"Strong",AND(C8&gt;=0.25,E8&lt;1),"Viable",AND(C8&gt;=0.15,E8&lt;1.25),"Risky",TRUE,"Poor")</f>
        <v/>
      </c>
      <c r="K8" s="3">
        <f>REDUCE($Y8,SEQUENCE(2),LAMBDA(current_species,unused_step,IFERROR(INDEX(FILTER('Evolution Editor'!$D$2:$D,'Evolution Editor'!$A$2:$A=current_species,'Evolution Editor'!$F$2:$F=TRUE,'Evolution Editor'!$E$2:$E&lt;=$L8),1),current_species)))</f>
        <v/>
      </c>
      <c r="L8" s="5" t="n">
        <v>15</v>
      </c>
      <c r="M8" s="5" t="inlineStr">
        <is>
          <t>Neutral</t>
        </is>
      </c>
      <c r="N8" s="5" t="inlineStr">
        <is>
          <t>ABILITY_SWARM</t>
        </is>
      </c>
      <c r="O8" s="5" t="n">
        <v>0</v>
      </c>
      <c r="P8" s="5" t="n">
        <v>0</v>
      </c>
      <c r="Q8" s="5" t="n">
        <v>0</v>
      </c>
      <c r="R8" s="5" t="n">
        <v>0</v>
      </c>
      <c r="S8" s="5" t="n">
        <v>0</v>
      </c>
      <c r="T8" s="5" t="n">
        <v>0</v>
      </c>
      <c r="U8" s="3">
        <f>IFERROR(LET(mtype,XLOOKUP($B8,'Move Editor'!$B:$B,'Move Editor'!$C:$C,""),cat,XLOOKUP($B8,'Move Editor'!$B:$B,'Move Editor'!$D:$D,""),pow,XLOOKUP($B8,'Move Editor'!$B:$B,'Move Editor'!$E:$E,0),acc,XLOOKUP($B8,'Move Editor'!$B:$B,'Move Editor'!$F:$F,100),atk,IF(cat="Physical",FLOOR((FLOOR(((2*XLOOKUP($K8,'Pokemon Editor'!$A:$A,'Pokemon Editor'!$F:$F,0)+31+FLOOR($P8/4))*$L8)/100)+5)*XLOOKUP($M8,'Nature Editor'!$A:$A,'Nature Editor'!$B:$B,1)),FLOOR((FLOOR(((2*XLOOKUP($K8,'Pokemon Editor'!$A:$A,'Pokemon Editor'!$H:$H,0)+31+FLOOR($R8/4))*$L8)/100)+5)*XLOOKUP($M8,'Nature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Editor'!$E:$E,1))),stab,IF(OR(mtype=XLOOKUP($K8,'Pokemon Editor'!$A:$A,'Pokemon Editor'!$C:$C,""),mtype=XLOOKUP($K8,'Pokemon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Chart'!$B$1:$S$1,0)))),base,IF(OR(cat="Status",pow=0),0,FLOOR(FLOOR(FLOOR((2*$L8/5+2)*pow*atk/def)/50)+2)),modifier,stab*eff,FLOOR(base*modifier*0.85)),0)</f>
        <v/>
      </c>
      <c r="V8" s="3">
        <f>IFERROR(LET(mtype,XLOOKUP($B8,'Move Editor'!$B:$B,'Move Editor'!$C:$C,""),cat,XLOOKUP($B8,'Move Editor'!$B:$B,'Move Editor'!$D:$D,""),pow,XLOOKUP($B8,'Move Editor'!$B:$B,'Move Editor'!$E:$E,0),acc,XLOOKUP($B8,'Move Editor'!$B:$B,'Move Editor'!$F:$F,100),atk,IF(cat="Physical",FLOOR((FLOOR(((2*XLOOKUP($K8,'Pokemon Editor'!$A:$A,'Pokemon Editor'!$F:$F,0)+31+FLOOR($P8/4))*$L8)/100)+5)*XLOOKUP($M8,'Nature Editor'!$A:$A,'Nature Editor'!$B:$B,1)),FLOOR((FLOOR(((2*XLOOKUP($K8,'Pokemon Editor'!$A:$A,'Pokemon Editor'!$H:$H,0)+31+FLOOR($R8/4))*$L8)/100)+5)*XLOOKUP($M8,'Nature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Editor'!$E:$E,1))),stab,IF(OR(mtype=XLOOKUP($K8,'Pokemon Editor'!$A:$A,'Pokemon Editor'!$C:$C,""),mtype=XLOOKUP($K8,'Pokemon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Chart'!$B$1:$S$1,0)))),base,IF(OR(cat="Status",pow=0),0,FLOOR(FLOOR(FLOOR((2*$L8/5+2)*pow*atk/def)/50)+2)),modifier,stab*eff,FLOOR(base*modifier)),0)</f>
        <v/>
      </c>
      <c r="W8" s="3">
        <f>IFERROR(LET(mtype,XLOOKUP($D8,'Move Editor'!$B:$B,'Move Editor'!$C:$C,""),cat,XLOOKUP($D8,'Move Editor'!$B:$B,'Move Editor'!$D:$D,""),pow,XLOOKUP($D8,'Move Editor'!$B:$B,'Move Editor'!$E:$E,0),acc,XLOOKUP($D8,'Move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Editor'!$D:$D,1))),def,IF(cat="Physical",FLOOR((FLOOR(((2*XLOOKUP($K8,'Pokemon Editor'!$A:$A,'Pokemon Editor'!$G:$G,0)+31+FLOOR($Q8/4))*$L8)/100)+5)*XLOOKUP($M8,'Nature Editor'!$A:$A,'Nature Editor'!$C:$C,1)),FLOOR((FLOOR(((2*XLOOKUP($K8,'Pokemon Editor'!$A:$A,'Pokemon Editor'!$I:$I,0)+31+FLOOR($S8/4))*$L8)/100)+5)*XLOOKUP($M8,'Nature Editor'!$A:$A,'Nature Editor'!$E:$E,1))),stab,IF(OR(mtype=XLOOKUP('Boss Editor'!$C$4,'Pokemon Editor'!$A:$A,'Pokemon Editor'!$C:$C,""),mtype=XLOOKUP('Boss Editor'!$C$4,'Pokemon Editor'!$A:$A,'Pokemon Editor'!$D:$D,"")),1.5,1),eff,(INDEX('Type Chart'!$B:$S,MATCH(mtype,'Type Chart'!$A:$A,0),MATCH(XLOOKUP($K8,'Pokemon Editor'!$A:$A,'Pokemon Editor'!$C:$C,""),'Type Chart'!$B$1:$S$1,0))*IF(XLOOKUP($K8,'Pokemon Editor'!$A:$A,'Pokemon Editor'!$D:$D,"")="",1,INDEX('Type Chart'!$B:$S,MATCH(mtype,'Type Chart'!$A:$A,0),MATCH(XLOOKUP($K8,'Pokemon Editor'!$A:$A,'Pokemon Editor'!$D:$D,""),'Type Chart'!$B$1:$S$1,0)))),base,IF(OR(cat="Status",pow=0),0,FLOOR(FLOOR(FLOOR((2*'Boss Editor'!$D$4/5+2)*pow*atk/def)/50)+2)),modifier,stab*eff,FLOOR(base*modifier*0.85)),0)</f>
        <v/>
      </c>
      <c r="X8" s="3">
        <f>IFERROR(LET(mtype,XLOOKUP($D8,'Move Editor'!$B:$B,'Move Editor'!$C:$C,""),cat,XLOOKUP($D8,'Move Editor'!$B:$B,'Move Editor'!$D:$D,""),pow,XLOOKUP($D8,'Move Editor'!$B:$B,'Move Editor'!$E:$E,0),acc,XLOOKUP($D8,'Move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Editor'!$D:$D,1))),def,IF(cat="Physical",FLOOR((FLOOR(((2*XLOOKUP($K8,'Pokemon Editor'!$A:$A,'Pokemon Editor'!$G:$G,0)+31+FLOOR($Q8/4))*$L8)/100)+5)*XLOOKUP($M8,'Nature Editor'!$A:$A,'Nature Editor'!$C:$C,1)),FLOOR((FLOOR(((2*XLOOKUP($K8,'Pokemon Editor'!$A:$A,'Pokemon Editor'!$I:$I,0)+31+FLOOR($S8/4))*$L8)/100)+5)*XLOOKUP($M8,'Nature Editor'!$A:$A,'Nature Editor'!$E:$E,1))),stab,IF(OR(mtype=XLOOKUP('Boss Editor'!$C$4,'Pokemon Editor'!$A:$A,'Pokemon Editor'!$C:$C,""),mtype=XLOOKUP('Boss Editor'!$C$4,'Pokemon Editor'!$A:$A,'Pokemon Editor'!$D:$D,"")),1.5,1),eff,(INDEX('Type Chart'!$B:$S,MATCH(mtype,'Type Chart'!$A:$A,0),MATCH(XLOOKUP($K8,'Pokemon Editor'!$A:$A,'Pokemon Editor'!$C:$C,""),'Type Chart'!$B$1:$S$1,0))*IF(XLOOKUP($K8,'Pokemon Editor'!$A:$A,'Pokemon Editor'!$D:$D,"")="",1,INDEX('Type Chart'!$B:$S,MATCH(mtype,'Type Chart'!$A:$A,0),MATCH(XLOOKUP($K8,'Pokemon Editor'!$A:$A,'Pokemon Editor'!$D:$D,""),'Type Chart'!$B$1:$S$1,0)))),base,IF(OR(cat="Status",pow=0),0,FLOOR(FLOOR(FLOOR((2*'Boss Editor'!$D$4/5+2)*pow*atk/def)/50)+2)),modifier,stab*eff,FLOOR(base*modifier)),0)</f>
        <v/>
      </c>
      <c r="Y8" s="3" t="inlineStr">
        <is>
          <t>SPECIES_BLIPBUG</t>
        </is>
      </c>
      <c r="Z8" s="5" t="inlineStr"/>
    </row>
    <row r="9">
      <c r="A9" s="3">
        <f>XLOOKUP(K9,'Pokemon Editor'!$A:$A,'Pokemon Editor'!$B:$B,K9)</f>
        <v/>
      </c>
      <c r="B9" s="3">
        <f>IF($Z9&lt;&gt;"",$Z9,IFERROR(INDEX(FILTER('Move Comparison'!$D$2:$D,'Move Comparison'!$Q$2:$Q=$Y9,'Move Comparison'!$M$2:$M=MAXIFS('Move Comparison'!$M$2:$M,'Move Comparison'!$Q$2:$Q,$Y9),'Move Comparison'!$D$2:$D&lt;&gt;""),1),""))</f>
        <v/>
      </c>
      <c r="C9" s="4">
        <f>IFERROR(LET(mtype,XLOOKUP($B9,'Move Editor'!$B:$B,'Move Editor'!$C:$C,""),cat,XLOOKUP($B9,'Move Editor'!$B:$B,'Move Editor'!$D:$D,""),pow,XLOOKUP($B9,'Move Editor'!$B:$B,'Move Editor'!$E:$E,0),acc,XLOOKUP($B9,'Move Editor'!$B:$B,'Move Editor'!$F:$F,100),atk,IF(cat="Physical",FLOOR((FLOOR(((2*XLOOKUP($K9,'Pokemon Editor'!$A:$A,'Pokemon Editor'!$F:$F,0)+31+FLOOR($P9/4))*$L9)/100)+5)*XLOOKUP($M9,'Nature Editor'!$A:$A,'Nature Editor'!$B:$B,1)),FLOOR((FLOOR(((2*XLOOKUP($K9,'Pokemon Editor'!$A:$A,'Pokemon Editor'!$H:$H,0)+31+FLOOR($R9/4))*$L9)/100)+5)*XLOOKUP($M9,'Nature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Editor'!$E:$E,1))),stab,IF(OR(mtype=XLOOKUP($K9,'Pokemon Editor'!$A:$A,'Pokemon Editor'!$C:$C,""),mtype=XLOOKUP($K9,'Pokemon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Chart'!$B$1:$S$1,0)))),base,IF(OR(cat="Status",pow=0),0,FLOOR(FLOOR(FLOOR((2*$L9/5+2)*pow*atk/def)/50)+2)),modifier,stab*eff,AVERAGE(ARRAYFORMULA(FLOOR(base*modifier*SEQUENCE(16,1,85,1)/100)))/(FLOOR(((2*XLOOKUP('Boss Editor'!$C$4,'Pokemon Editor'!$A:$A,'Pokemon Editor'!$E:$E,0)+31+FLOOR('Boss Editor'!$G$4/4))*'Boss Editor'!$D$4)/100)+'Boss Editor'!$D$4+10)),0)</f>
        <v/>
      </c>
      <c r="D9" s="5" t="inlineStr">
        <is>
          <t>Acid</t>
        </is>
      </c>
      <c r="E9" s="4">
        <f>IFERROR(LET(mtype,XLOOKUP($D9,'Move Editor'!$B:$B,'Move Editor'!$C:$C,""),cat,XLOOKUP($D9,'Move Editor'!$B:$B,'Move Editor'!$D:$D,""),pow,XLOOKUP($D9,'Move Editor'!$B:$B,'Move Editor'!$E:$E,0),acc,XLOOKUP($D9,'Move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Editor'!$D:$D,1))),def,IF(cat="Physical",FLOOR((FLOOR(((2*XLOOKUP($K9,'Pokemon Editor'!$A:$A,'Pokemon Editor'!$G:$G,0)+31+FLOOR($Q9/4))*$L9)/100)+5)*XLOOKUP($M9,'Nature Editor'!$A:$A,'Nature Editor'!$C:$C,1)),FLOOR((FLOOR(((2*XLOOKUP($K9,'Pokemon Editor'!$A:$A,'Pokemon Editor'!$I:$I,0)+31+FLOOR($S9/4))*$L9)/100)+5)*XLOOKUP($M9,'Nature Editor'!$A:$A,'Nature Editor'!$E:$E,1))),stab,IF(OR(mtype=XLOOKUP('Boss Editor'!$C$4,'Pokemon Editor'!$A:$A,'Pokemon Editor'!$C:$C,""),mtype=XLOOKUP('Boss Editor'!$C$4,'Pokemon Editor'!$A:$A,'Pokemon Editor'!$D:$D,"")),1.5,1),eff,(INDEX('Type Chart'!$B:$S,MATCH(mtype,'Type Chart'!$A:$A,0),MATCH(XLOOKUP($K9,'Pokemon Editor'!$A:$A,'Pokemon Editor'!$C:$C,""),'Type Chart'!$B$1:$S$1,0))*IF(XLOOKUP($K9,'Pokemon Editor'!$A:$A,'Pokemon Editor'!$D:$D,"")="",1,INDEX('Type Chart'!$B:$S,MATCH(mtype,'Type Chart'!$A:$A,0),MATCH(XLOOKUP($K9,'Pokemon Editor'!$A:$A,'Pokemon Editor'!$D:$D,""),'Type Chart'!$B$1:$S$1,0)))),base,IF(OR(cat="Status",pow=0),0,FLOOR(FLOOR(FLOOR((2*'Boss Editor'!$D$4/5+2)*pow*atk/def)/50)+2)),modifier,stab*eff,AVERAGE(ARRAYFORMULA(FLOOR(base*modifier*SEQUENCE(16,1,85,1)/100)))/(FLOOR(((2*XLOOKUP($K9,'Pokemon Editor'!$A:$A,'Pokemon Editor'!$E:$E,0)+31+FLOOR($O9/4))*$L9)/100)+$L9+10)),0)</f>
        <v/>
      </c>
      <c r="F9" s="3">
        <f>FLOOR((FLOOR(((2*XLOOKUP($K9,'Pokemon Editor'!$A:$A,'Pokemon Editor'!$J:$J,0)+31+FLOOR($T9/4))*$L9)/100)+5)*XLOOKUP($M9,'Nature Editor'!$A:$A,'Nature Editor'!$F:$F,1))</f>
        <v/>
      </c>
      <c r="G9" s="3">
        <f>FLOOR((FLOOR(((2*XLOOKUP('Boss Editor'!$C$4,'Pokemon Editor'!$A:$A,'Pokemon Editor'!$J:$J,0)+31+FLOOR('Boss Editor'!$L$4/4))*'Boss Editor'!$D$4)/100)+5)*XLOOKUP('Boss Editor'!$E$4,'Nature Editor'!$A:$A,'Nature Editor'!$F:$F,1))</f>
        <v/>
      </c>
      <c r="H9" s="3">
        <f>IF(F9&gt;G9,"Yes","No")</f>
        <v/>
      </c>
      <c r="I9" s="3">
        <f>C9-E9</f>
        <v/>
      </c>
      <c r="J9" s="3">
        <f>IFS(AND(C9&gt;=0.5,E9&lt;0.5),"Dominant",AND(C9&gt;=0.35,E9&lt;0.75),"Strong",AND(C9&gt;=0.25,E9&lt;1),"Viable",AND(C9&gt;=0.15,E9&lt;1.25),"Risky",TRUE,"Poor")</f>
        <v/>
      </c>
      <c r="K9" s="3">
        <f>REDUCE($Y9,SEQUENCE(2),LAMBDA(current_species,unused_step,IFERROR(INDEX(FILTER('Evolution Editor'!$D$2:$D,'Evolution Editor'!$A$2:$A=current_species,'Evolution Editor'!$F$2:$F=TRUE,'Evolution Editor'!$E$2:$E&lt;=$L9),1),current_species)))</f>
        <v/>
      </c>
      <c r="L9" s="5" t="n">
        <v>15</v>
      </c>
      <c r="M9" s="5" t="inlineStr">
        <is>
          <t>Neutral</t>
        </is>
      </c>
      <c r="N9" s="5" t="inlineStr">
        <is>
          <t>ABILITY_KEEN_EYE</t>
        </is>
      </c>
      <c r="O9" s="5" t="n">
        <v>0</v>
      </c>
      <c r="P9" s="5" t="n">
        <v>0</v>
      </c>
      <c r="Q9" s="5" t="n">
        <v>0</v>
      </c>
      <c r="R9" s="5" t="n">
        <v>0</v>
      </c>
      <c r="S9" s="5" t="n">
        <v>0</v>
      </c>
      <c r="T9" s="5" t="n">
        <v>0</v>
      </c>
      <c r="U9" s="3">
        <f>IFERROR(LET(mtype,XLOOKUP($B9,'Move Editor'!$B:$B,'Move Editor'!$C:$C,""),cat,XLOOKUP($B9,'Move Editor'!$B:$B,'Move Editor'!$D:$D,""),pow,XLOOKUP($B9,'Move Editor'!$B:$B,'Move Editor'!$E:$E,0),acc,XLOOKUP($B9,'Move Editor'!$B:$B,'Move Editor'!$F:$F,100),atk,IF(cat="Physical",FLOOR((FLOOR(((2*XLOOKUP($K9,'Pokemon Editor'!$A:$A,'Pokemon Editor'!$F:$F,0)+31+FLOOR($P9/4))*$L9)/100)+5)*XLOOKUP($M9,'Nature Editor'!$A:$A,'Nature Editor'!$B:$B,1)),FLOOR((FLOOR(((2*XLOOKUP($K9,'Pokemon Editor'!$A:$A,'Pokemon Editor'!$H:$H,0)+31+FLOOR($R9/4))*$L9)/100)+5)*XLOOKUP($M9,'Nature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Editor'!$E:$E,1))),stab,IF(OR(mtype=XLOOKUP($K9,'Pokemon Editor'!$A:$A,'Pokemon Editor'!$C:$C,""),mtype=XLOOKUP($K9,'Pokemon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Chart'!$B$1:$S$1,0)))),base,IF(OR(cat="Status",pow=0),0,FLOOR(FLOOR(FLOOR((2*$L9/5+2)*pow*atk/def)/50)+2)),modifier,stab*eff,FLOOR(base*modifier*0.85)),0)</f>
        <v/>
      </c>
      <c r="V9" s="3">
        <f>IFERROR(LET(mtype,XLOOKUP($B9,'Move Editor'!$B:$B,'Move Editor'!$C:$C,""),cat,XLOOKUP($B9,'Move Editor'!$B:$B,'Move Editor'!$D:$D,""),pow,XLOOKUP($B9,'Move Editor'!$B:$B,'Move Editor'!$E:$E,0),acc,XLOOKUP($B9,'Move Editor'!$B:$B,'Move Editor'!$F:$F,100),atk,IF(cat="Physical",FLOOR((FLOOR(((2*XLOOKUP($K9,'Pokemon Editor'!$A:$A,'Pokemon Editor'!$F:$F,0)+31+FLOOR($P9/4))*$L9)/100)+5)*XLOOKUP($M9,'Nature Editor'!$A:$A,'Nature Editor'!$B:$B,1)),FLOOR((FLOOR(((2*XLOOKUP($K9,'Pokemon Editor'!$A:$A,'Pokemon Editor'!$H:$H,0)+31+FLOOR($R9/4))*$L9)/100)+5)*XLOOKUP($M9,'Nature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Editor'!$E:$E,1))),stab,IF(OR(mtype=XLOOKUP($K9,'Pokemon Editor'!$A:$A,'Pokemon Editor'!$C:$C,""),mtype=XLOOKUP($K9,'Pokemon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Chart'!$B$1:$S$1,0)))),base,IF(OR(cat="Status",pow=0),0,FLOOR(FLOOR(FLOOR((2*$L9/5+2)*pow*atk/def)/50)+2)),modifier,stab*eff,FLOOR(base*modifier)),0)</f>
        <v/>
      </c>
      <c r="W9" s="3">
        <f>IFERROR(LET(mtype,XLOOKUP($D9,'Move Editor'!$B:$B,'Move Editor'!$C:$C,""),cat,XLOOKUP($D9,'Move Editor'!$B:$B,'Move Editor'!$D:$D,""),pow,XLOOKUP($D9,'Move Editor'!$B:$B,'Move Editor'!$E:$E,0),acc,XLOOKUP($D9,'Move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Editor'!$D:$D,1))),def,IF(cat="Physical",FLOOR((FLOOR(((2*XLOOKUP($K9,'Pokemon Editor'!$A:$A,'Pokemon Editor'!$G:$G,0)+31+FLOOR($Q9/4))*$L9)/100)+5)*XLOOKUP($M9,'Nature Editor'!$A:$A,'Nature Editor'!$C:$C,1)),FLOOR((FLOOR(((2*XLOOKUP($K9,'Pokemon Editor'!$A:$A,'Pokemon Editor'!$I:$I,0)+31+FLOOR($S9/4))*$L9)/100)+5)*XLOOKUP($M9,'Nature Editor'!$A:$A,'Nature Editor'!$E:$E,1))),stab,IF(OR(mtype=XLOOKUP('Boss Editor'!$C$4,'Pokemon Editor'!$A:$A,'Pokemon Editor'!$C:$C,""),mtype=XLOOKUP('Boss Editor'!$C$4,'Pokemon Editor'!$A:$A,'Pokemon Editor'!$D:$D,"")),1.5,1),eff,(INDEX('Type Chart'!$B:$S,MATCH(mtype,'Type Chart'!$A:$A,0),MATCH(XLOOKUP($K9,'Pokemon Editor'!$A:$A,'Pokemon Editor'!$C:$C,""),'Type Chart'!$B$1:$S$1,0))*IF(XLOOKUP($K9,'Pokemon Editor'!$A:$A,'Pokemon Editor'!$D:$D,"")="",1,INDEX('Type Chart'!$B:$S,MATCH(mtype,'Type Chart'!$A:$A,0),MATCH(XLOOKUP($K9,'Pokemon Editor'!$A:$A,'Pokemon Editor'!$D:$D,""),'Type Chart'!$B$1:$S$1,0)))),base,IF(OR(cat="Status",pow=0),0,FLOOR(FLOOR(FLOOR((2*'Boss Editor'!$D$4/5+2)*pow*atk/def)/50)+2)),modifier,stab*eff,FLOOR(base*modifier*0.85)),0)</f>
        <v/>
      </c>
      <c r="X9" s="3">
        <f>IFERROR(LET(mtype,XLOOKUP($D9,'Move Editor'!$B:$B,'Move Editor'!$C:$C,""),cat,XLOOKUP($D9,'Move Editor'!$B:$B,'Move Editor'!$D:$D,""),pow,XLOOKUP($D9,'Move Editor'!$B:$B,'Move Editor'!$E:$E,0),acc,XLOOKUP($D9,'Move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Editor'!$D:$D,1))),def,IF(cat="Physical",FLOOR((FLOOR(((2*XLOOKUP($K9,'Pokemon Editor'!$A:$A,'Pokemon Editor'!$G:$G,0)+31+FLOOR($Q9/4))*$L9)/100)+5)*XLOOKUP($M9,'Nature Editor'!$A:$A,'Nature Editor'!$C:$C,1)),FLOOR((FLOOR(((2*XLOOKUP($K9,'Pokemon Editor'!$A:$A,'Pokemon Editor'!$I:$I,0)+31+FLOOR($S9/4))*$L9)/100)+5)*XLOOKUP($M9,'Nature Editor'!$A:$A,'Nature Editor'!$E:$E,1))),stab,IF(OR(mtype=XLOOKUP('Boss Editor'!$C$4,'Pokemon Editor'!$A:$A,'Pokemon Editor'!$C:$C,""),mtype=XLOOKUP('Boss Editor'!$C$4,'Pokemon Editor'!$A:$A,'Pokemon Editor'!$D:$D,"")),1.5,1),eff,(INDEX('Type Chart'!$B:$S,MATCH(mtype,'Type Chart'!$A:$A,0),MATCH(XLOOKUP($K9,'Pokemon Editor'!$A:$A,'Pokemon Editor'!$C:$C,""),'Type Chart'!$B$1:$S$1,0))*IF(XLOOKUP($K9,'Pokemon Editor'!$A:$A,'Pokemon Editor'!$D:$D,"")="",1,INDEX('Type Chart'!$B:$S,MATCH(mtype,'Type Chart'!$A:$A,0),MATCH(XLOOKUP($K9,'Pokemon Editor'!$A:$A,'Pokemon Editor'!$D:$D,""),'Type Chart'!$B$1:$S$1,0)))),base,IF(OR(cat="Status",pow=0),0,FLOOR(FLOOR(FLOOR((2*'Boss Editor'!$D$4/5+2)*pow*atk/def)/50)+2)),modifier,stab*eff,FLOOR(base*modifier)),0)</f>
        <v/>
      </c>
      <c r="Y9" s="3" t="inlineStr">
        <is>
          <t>SPECIES_DUCKLETT</t>
        </is>
      </c>
      <c r="Z9" s="5" t="inlineStr"/>
    </row>
    <row r="10">
      <c r="A10" s="3">
        <f>XLOOKUP(K10,'Pokemon Editor'!$A:$A,'Pokemon Editor'!$B:$B,K10)</f>
        <v/>
      </c>
      <c r="B10" s="3">
        <f>IF($Z10&lt;&gt;"",$Z10,IFERROR(INDEX(FILTER('Move Comparison'!$D$2:$D,'Move Comparison'!$Q$2:$Q=$Y10,'Move Comparison'!$M$2:$M=MAXIFS('Move Comparison'!$M$2:$M,'Move Comparison'!$Q$2:$Q,$Y10),'Move Comparison'!$D$2:$D&lt;&gt;""),1),""))</f>
        <v/>
      </c>
      <c r="C10" s="4">
        <f>IFERROR(LET(mtype,XLOOKUP($B10,'Move Editor'!$B:$B,'Move Editor'!$C:$C,""),cat,XLOOKUP($B10,'Move Editor'!$B:$B,'Move Editor'!$D:$D,""),pow,XLOOKUP($B10,'Move Editor'!$B:$B,'Move Editor'!$E:$E,0),acc,XLOOKUP($B10,'Move Editor'!$B:$B,'Move Editor'!$F:$F,100),atk,IF(cat="Physical",FLOOR((FLOOR(((2*XLOOKUP($K10,'Pokemon Editor'!$A:$A,'Pokemon Editor'!$F:$F,0)+31+FLOOR($P10/4))*$L10)/100)+5)*XLOOKUP($M10,'Nature Editor'!$A:$A,'Nature Editor'!$B:$B,1)),FLOOR((FLOOR(((2*XLOOKUP($K10,'Pokemon Editor'!$A:$A,'Pokemon Editor'!$H:$H,0)+31+FLOOR($R10/4))*$L10)/100)+5)*XLOOKUP($M10,'Nature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Editor'!$E:$E,1))),stab,IF(OR(mtype=XLOOKUP($K10,'Pokemon Editor'!$A:$A,'Pokemon Editor'!$C:$C,""),mtype=XLOOKUP($K10,'Pokemon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Chart'!$B$1:$S$1,0)))),base,IF(OR(cat="Status",pow=0),0,FLOOR(FLOOR(FLOOR((2*$L10/5+2)*pow*atk/def)/50)+2)),modifier,stab*eff,AVERAGE(ARRAYFORMULA(FLOOR(base*modifier*SEQUENCE(16,1,85,1)/100)))/(FLOOR(((2*XLOOKUP('Boss Editor'!$C$4,'Pokemon Editor'!$A:$A,'Pokemon Editor'!$E:$E,0)+31+FLOOR('Boss Editor'!$G$4/4))*'Boss Editor'!$D$4)/100)+'Boss Editor'!$D$4+10)),0)</f>
        <v/>
      </c>
      <c r="D10" s="5" t="inlineStr">
        <is>
          <t>Acid</t>
        </is>
      </c>
      <c r="E10" s="4">
        <f>IFERROR(LET(mtype,XLOOKUP($D10,'Move Editor'!$B:$B,'Move Editor'!$C:$C,""),cat,XLOOKUP($D10,'Move Editor'!$B:$B,'Move Editor'!$D:$D,""),pow,XLOOKUP($D10,'Move Editor'!$B:$B,'Move Editor'!$E:$E,0),acc,XLOOKUP($D10,'Move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Editor'!$D:$D,1))),def,IF(cat="Physical",FLOOR((FLOOR(((2*XLOOKUP($K10,'Pokemon Editor'!$A:$A,'Pokemon Editor'!$G:$G,0)+31+FLOOR($Q10/4))*$L10)/100)+5)*XLOOKUP($M10,'Nature Editor'!$A:$A,'Nature Editor'!$C:$C,1)),FLOOR((FLOOR(((2*XLOOKUP($K10,'Pokemon Editor'!$A:$A,'Pokemon Editor'!$I:$I,0)+31+FLOOR($S10/4))*$L10)/100)+5)*XLOOKUP($M10,'Nature Editor'!$A:$A,'Nature Editor'!$E:$E,1))),stab,IF(OR(mtype=XLOOKUP('Boss Editor'!$C$4,'Pokemon Editor'!$A:$A,'Pokemon Editor'!$C:$C,""),mtype=XLOOKUP('Boss Editor'!$C$4,'Pokemon Editor'!$A:$A,'Pokemon Editor'!$D:$D,"")),1.5,1),eff,(INDEX('Type Chart'!$B:$S,MATCH(mtype,'Type Chart'!$A:$A,0),MATCH(XLOOKUP($K10,'Pokemon Editor'!$A:$A,'Pokemon Editor'!$C:$C,""),'Type Chart'!$B$1:$S$1,0))*IF(XLOOKUP($K10,'Pokemon Editor'!$A:$A,'Pokemon Editor'!$D:$D,"")="",1,INDEX('Type Chart'!$B:$S,MATCH(mtype,'Type Chart'!$A:$A,0),MATCH(XLOOKUP($K10,'Pokemon Editor'!$A:$A,'Pokemon Editor'!$D:$D,""),'Type Chart'!$B$1:$S$1,0)))),base,IF(OR(cat="Status",pow=0),0,FLOOR(FLOOR(FLOOR((2*'Boss Editor'!$D$4/5+2)*pow*atk/def)/50)+2)),modifier,stab*eff,AVERAGE(ARRAYFORMULA(FLOOR(base*modifier*SEQUENCE(16,1,85,1)/100)))/(FLOOR(((2*XLOOKUP($K10,'Pokemon Editor'!$A:$A,'Pokemon Editor'!$E:$E,0)+31+FLOOR($O10/4))*$L10)/100)+$L10+10)),0)</f>
        <v/>
      </c>
      <c r="F10" s="3">
        <f>FLOOR((FLOOR(((2*XLOOKUP($K10,'Pokemon Editor'!$A:$A,'Pokemon Editor'!$J:$J,0)+31+FLOOR($T10/4))*$L10)/100)+5)*XLOOKUP($M10,'Nature Editor'!$A:$A,'Nature Editor'!$F:$F,1))</f>
        <v/>
      </c>
      <c r="G10" s="3">
        <f>FLOOR((FLOOR(((2*XLOOKUP('Boss Editor'!$C$4,'Pokemon Editor'!$A:$A,'Pokemon Editor'!$J:$J,0)+31+FLOOR('Boss Editor'!$L$4/4))*'Boss Editor'!$D$4)/100)+5)*XLOOKUP('Boss Editor'!$E$4,'Nature Editor'!$A:$A,'Nature Editor'!$F:$F,1))</f>
        <v/>
      </c>
      <c r="H10" s="3">
        <f>IF(F10&gt;G10,"Yes","No")</f>
        <v/>
      </c>
      <c r="I10" s="3">
        <f>C10-E10</f>
        <v/>
      </c>
      <c r="J10" s="3">
        <f>IFS(AND(C10&gt;=0.5,E10&lt;0.5),"Dominant",AND(C10&gt;=0.35,E10&lt;0.75),"Strong",AND(C10&gt;=0.25,E10&lt;1),"Viable",AND(C10&gt;=0.15,E10&lt;1.25),"Risky",TRUE,"Poor")</f>
        <v/>
      </c>
      <c r="K10" s="3">
        <f>REDUCE($Y10,SEQUENCE(2),LAMBDA(current_species,unused_step,IFERROR(INDEX(FILTER('Evolution Editor'!$D$2:$D,'Evolution Editor'!$A$2:$A=current_species,'Evolution Editor'!$F$2:$F=TRUE,'Evolution Editor'!$E$2:$E&lt;=$L10),1),current_species)))</f>
        <v/>
      </c>
      <c r="L10" s="5" t="n">
        <v>15</v>
      </c>
      <c r="M10" s="5" t="inlineStr">
        <is>
          <t>Neutral</t>
        </is>
      </c>
      <c r="N10" s="5" t="inlineStr">
        <is>
          <t>ABILITY_RIVALRY</t>
        </is>
      </c>
      <c r="O10" s="5" t="n">
        <v>0</v>
      </c>
      <c r="P10" s="5" t="n">
        <v>0</v>
      </c>
      <c r="Q10" s="5" t="n">
        <v>0</v>
      </c>
      <c r="R10" s="5" t="n">
        <v>0</v>
      </c>
      <c r="S10" s="5" t="n">
        <v>0</v>
      </c>
      <c r="T10" s="5" t="n">
        <v>0</v>
      </c>
      <c r="U10" s="3">
        <f>IFERROR(LET(mtype,XLOOKUP($B10,'Move Editor'!$B:$B,'Move Editor'!$C:$C,""),cat,XLOOKUP($B10,'Move Editor'!$B:$B,'Move Editor'!$D:$D,""),pow,XLOOKUP($B10,'Move Editor'!$B:$B,'Move Editor'!$E:$E,0),acc,XLOOKUP($B10,'Move Editor'!$B:$B,'Move Editor'!$F:$F,100),atk,IF(cat="Physical",FLOOR((FLOOR(((2*XLOOKUP($K10,'Pokemon Editor'!$A:$A,'Pokemon Editor'!$F:$F,0)+31+FLOOR($P10/4))*$L10)/100)+5)*XLOOKUP($M10,'Nature Editor'!$A:$A,'Nature Editor'!$B:$B,1)),FLOOR((FLOOR(((2*XLOOKUP($K10,'Pokemon Editor'!$A:$A,'Pokemon Editor'!$H:$H,0)+31+FLOOR($R10/4))*$L10)/100)+5)*XLOOKUP($M10,'Nature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Editor'!$E:$E,1))),stab,IF(OR(mtype=XLOOKUP($K10,'Pokemon Editor'!$A:$A,'Pokemon Editor'!$C:$C,""),mtype=XLOOKUP($K10,'Pokemon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Chart'!$B$1:$S$1,0)))),base,IF(OR(cat="Status",pow=0),0,FLOOR(FLOOR(FLOOR((2*$L10/5+2)*pow*atk/def)/50)+2)),modifier,stab*eff,FLOOR(base*modifier*0.85)),0)</f>
        <v/>
      </c>
      <c r="V10" s="3">
        <f>IFERROR(LET(mtype,XLOOKUP($B10,'Move Editor'!$B:$B,'Move Editor'!$C:$C,""),cat,XLOOKUP($B10,'Move Editor'!$B:$B,'Move Editor'!$D:$D,""),pow,XLOOKUP($B10,'Move Editor'!$B:$B,'Move Editor'!$E:$E,0),acc,XLOOKUP($B10,'Move Editor'!$B:$B,'Move Editor'!$F:$F,100),atk,IF(cat="Physical",FLOOR((FLOOR(((2*XLOOKUP($K10,'Pokemon Editor'!$A:$A,'Pokemon Editor'!$F:$F,0)+31+FLOOR($P10/4))*$L10)/100)+5)*XLOOKUP($M10,'Nature Editor'!$A:$A,'Nature Editor'!$B:$B,1)),FLOOR((FLOOR(((2*XLOOKUP($K10,'Pokemon Editor'!$A:$A,'Pokemon Editor'!$H:$H,0)+31+FLOOR($R10/4))*$L10)/100)+5)*XLOOKUP($M10,'Nature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Editor'!$E:$E,1))),stab,IF(OR(mtype=XLOOKUP($K10,'Pokemon Editor'!$A:$A,'Pokemon Editor'!$C:$C,""),mtype=XLOOKUP($K10,'Pokemon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Chart'!$B$1:$S$1,0)))),base,IF(OR(cat="Status",pow=0),0,FLOOR(FLOOR(FLOOR((2*$L10/5+2)*pow*atk/def)/50)+2)),modifier,stab*eff,FLOOR(base*modifier)),0)</f>
        <v/>
      </c>
      <c r="W10" s="3">
        <f>IFERROR(LET(mtype,XLOOKUP($D10,'Move Editor'!$B:$B,'Move Editor'!$C:$C,""),cat,XLOOKUP($D10,'Move Editor'!$B:$B,'Move Editor'!$D:$D,""),pow,XLOOKUP($D10,'Move Editor'!$B:$B,'Move Editor'!$E:$E,0),acc,XLOOKUP($D10,'Move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Editor'!$D:$D,1))),def,IF(cat="Physical",FLOOR((FLOOR(((2*XLOOKUP($K10,'Pokemon Editor'!$A:$A,'Pokemon Editor'!$G:$G,0)+31+FLOOR($Q10/4))*$L10)/100)+5)*XLOOKUP($M10,'Nature Editor'!$A:$A,'Nature Editor'!$C:$C,1)),FLOOR((FLOOR(((2*XLOOKUP($K10,'Pokemon Editor'!$A:$A,'Pokemon Editor'!$I:$I,0)+31+FLOOR($S10/4))*$L10)/100)+5)*XLOOKUP($M10,'Nature Editor'!$A:$A,'Nature Editor'!$E:$E,1))),stab,IF(OR(mtype=XLOOKUP('Boss Editor'!$C$4,'Pokemon Editor'!$A:$A,'Pokemon Editor'!$C:$C,""),mtype=XLOOKUP('Boss Editor'!$C$4,'Pokemon Editor'!$A:$A,'Pokemon Editor'!$D:$D,"")),1.5,1),eff,(INDEX('Type Chart'!$B:$S,MATCH(mtype,'Type Chart'!$A:$A,0),MATCH(XLOOKUP($K10,'Pokemon Editor'!$A:$A,'Pokemon Editor'!$C:$C,""),'Type Chart'!$B$1:$S$1,0))*IF(XLOOKUP($K10,'Pokemon Editor'!$A:$A,'Pokemon Editor'!$D:$D,"")="",1,INDEX('Type Chart'!$B:$S,MATCH(mtype,'Type Chart'!$A:$A,0),MATCH(XLOOKUP($K10,'Pokemon Editor'!$A:$A,'Pokemon Editor'!$D:$D,""),'Type Chart'!$B$1:$S$1,0)))),base,IF(OR(cat="Status",pow=0),0,FLOOR(FLOOR(FLOOR((2*'Boss Editor'!$D$4/5+2)*pow*atk/def)/50)+2)),modifier,stab*eff,FLOOR(base*modifier*0.85)),0)</f>
        <v/>
      </c>
      <c r="X10" s="3">
        <f>IFERROR(LET(mtype,XLOOKUP($D10,'Move Editor'!$B:$B,'Move Editor'!$C:$C,""),cat,XLOOKUP($D10,'Move Editor'!$B:$B,'Move Editor'!$D:$D,""),pow,XLOOKUP($D10,'Move Editor'!$B:$B,'Move Editor'!$E:$E,0),acc,XLOOKUP($D10,'Move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Editor'!$D:$D,1))),def,IF(cat="Physical",FLOOR((FLOOR(((2*XLOOKUP($K10,'Pokemon Editor'!$A:$A,'Pokemon Editor'!$G:$G,0)+31+FLOOR($Q10/4))*$L10)/100)+5)*XLOOKUP($M10,'Nature Editor'!$A:$A,'Nature Editor'!$C:$C,1)),FLOOR((FLOOR(((2*XLOOKUP($K10,'Pokemon Editor'!$A:$A,'Pokemon Editor'!$I:$I,0)+31+FLOOR($S10/4))*$L10)/100)+5)*XLOOKUP($M10,'Nature Editor'!$A:$A,'Nature Editor'!$E:$E,1))),stab,IF(OR(mtype=XLOOKUP('Boss Editor'!$C$4,'Pokemon Editor'!$A:$A,'Pokemon Editor'!$C:$C,""),mtype=XLOOKUP('Boss Editor'!$C$4,'Pokemon Editor'!$A:$A,'Pokemon Editor'!$D:$D,"")),1.5,1),eff,(INDEX('Type Chart'!$B:$S,MATCH(mtype,'Type Chart'!$A:$A,0),MATCH(XLOOKUP($K10,'Pokemon Editor'!$A:$A,'Pokemon Editor'!$C:$C,""),'Type Chart'!$B$1:$S$1,0))*IF(XLOOKUP($K10,'Pokemon Editor'!$A:$A,'Pokemon Editor'!$D:$D,"")="",1,INDEX('Type Chart'!$B:$S,MATCH(mtype,'Type Chart'!$A:$A,0),MATCH(XLOOKUP($K10,'Pokemon Editor'!$A:$A,'Pokemon Editor'!$D:$D,""),'Type Chart'!$B$1:$S$1,0)))),base,IF(OR(cat="Status",pow=0),0,FLOOR(FLOOR(FLOOR((2*'Boss Editor'!$D$4/5+2)*pow*atk/def)/50)+2)),modifier,stab*eff,FLOOR(base*modifier)),0)</f>
        <v/>
      </c>
      <c r="Y10" s="3" t="inlineStr">
        <is>
          <t>SPECIES_SHINX</t>
        </is>
      </c>
      <c r="Z10" s="5" t="inlineStr"/>
    </row>
    <row r="11">
      <c r="A11" s="3">
        <f>XLOOKUP(K11,'Pokemon Editor'!$A:$A,'Pokemon Editor'!$B:$B,K11)</f>
        <v/>
      </c>
      <c r="B11" s="3">
        <f>IF($Z11&lt;&gt;"",$Z11,IFERROR(INDEX(FILTER('Move Comparison'!$D$2:$D,'Move Comparison'!$Q$2:$Q=$Y11,'Move Comparison'!$M$2:$M=MAXIFS('Move Comparison'!$M$2:$M,'Move Comparison'!$Q$2:$Q,$Y11),'Move Comparison'!$D$2:$D&lt;&gt;""),1),""))</f>
        <v/>
      </c>
      <c r="C11" s="4">
        <f>IFERROR(LET(mtype,XLOOKUP($B11,'Move Editor'!$B:$B,'Move Editor'!$C:$C,""),cat,XLOOKUP($B11,'Move Editor'!$B:$B,'Move Editor'!$D:$D,""),pow,XLOOKUP($B11,'Move Editor'!$B:$B,'Move Editor'!$E:$E,0),acc,XLOOKUP($B11,'Move Editor'!$B:$B,'Move Editor'!$F:$F,100),atk,IF(cat="Physical",FLOOR((FLOOR(((2*XLOOKUP($K11,'Pokemon Editor'!$A:$A,'Pokemon Editor'!$F:$F,0)+31+FLOOR($P11/4))*$L11)/100)+5)*XLOOKUP($M11,'Nature Editor'!$A:$A,'Nature Editor'!$B:$B,1)),FLOOR((FLOOR(((2*XLOOKUP($K11,'Pokemon Editor'!$A:$A,'Pokemon Editor'!$H:$H,0)+31+FLOOR($R11/4))*$L11)/100)+5)*XLOOKUP($M11,'Nature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Editor'!$E:$E,1))),stab,IF(OR(mtype=XLOOKUP($K11,'Pokemon Editor'!$A:$A,'Pokemon Editor'!$C:$C,""),mtype=XLOOKUP($K11,'Pokemon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Chart'!$B$1:$S$1,0)))),base,IF(OR(cat="Status",pow=0),0,FLOOR(FLOOR(FLOOR((2*$L11/5+2)*pow*atk/def)/50)+2)),modifier,stab*eff,AVERAGE(ARRAYFORMULA(FLOOR(base*modifier*SEQUENCE(16,1,85,1)/100)))/(FLOOR(((2*XLOOKUP('Boss Editor'!$C$4,'Pokemon Editor'!$A:$A,'Pokemon Editor'!$E:$E,0)+31+FLOOR('Boss Editor'!$G$4/4))*'Boss Editor'!$D$4)/100)+'Boss Editor'!$D$4+10)),0)</f>
        <v/>
      </c>
      <c r="D11" s="5" t="inlineStr">
        <is>
          <t>Acid</t>
        </is>
      </c>
      <c r="E11" s="4">
        <f>IFERROR(LET(mtype,XLOOKUP($D11,'Move Editor'!$B:$B,'Move Editor'!$C:$C,""),cat,XLOOKUP($D11,'Move Editor'!$B:$B,'Move Editor'!$D:$D,""),pow,XLOOKUP($D11,'Move Editor'!$B:$B,'Move Editor'!$E:$E,0),acc,XLOOKUP($D11,'Move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Editor'!$D:$D,1))),def,IF(cat="Physical",FLOOR((FLOOR(((2*XLOOKUP($K11,'Pokemon Editor'!$A:$A,'Pokemon Editor'!$G:$G,0)+31+FLOOR($Q11/4))*$L11)/100)+5)*XLOOKUP($M11,'Nature Editor'!$A:$A,'Nature Editor'!$C:$C,1)),FLOOR((FLOOR(((2*XLOOKUP($K11,'Pokemon Editor'!$A:$A,'Pokemon Editor'!$I:$I,0)+31+FLOOR($S11/4))*$L11)/100)+5)*XLOOKUP($M11,'Nature Editor'!$A:$A,'Nature Editor'!$E:$E,1))),stab,IF(OR(mtype=XLOOKUP('Boss Editor'!$C$4,'Pokemon Editor'!$A:$A,'Pokemon Editor'!$C:$C,""),mtype=XLOOKUP('Boss Editor'!$C$4,'Pokemon Editor'!$A:$A,'Pokemon Editor'!$D:$D,"")),1.5,1),eff,(INDEX('Type Chart'!$B:$S,MATCH(mtype,'Type Chart'!$A:$A,0),MATCH(XLOOKUP($K11,'Pokemon Editor'!$A:$A,'Pokemon Editor'!$C:$C,""),'Type Chart'!$B$1:$S$1,0))*IF(XLOOKUP($K11,'Pokemon Editor'!$A:$A,'Pokemon Editor'!$D:$D,"")="",1,INDEX('Type Chart'!$B:$S,MATCH(mtype,'Type Chart'!$A:$A,0),MATCH(XLOOKUP($K11,'Pokemon Editor'!$A:$A,'Pokemon Editor'!$D:$D,""),'Type Chart'!$B$1:$S$1,0)))),base,IF(OR(cat="Status",pow=0),0,FLOOR(FLOOR(FLOOR((2*'Boss Editor'!$D$4/5+2)*pow*atk/def)/50)+2)),modifier,stab*eff,AVERAGE(ARRAYFORMULA(FLOOR(base*modifier*SEQUENCE(16,1,85,1)/100)))/(FLOOR(((2*XLOOKUP($K11,'Pokemon Editor'!$A:$A,'Pokemon Editor'!$E:$E,0)+31+FLOOR($O11/4))*$L11)/100)+$L11+10)),0)</f>
        <v/>
      </c>
      <c r="F11" s="3">
        <f>FLOOR((FLOOR(((2*XLOOKUP($K11,'Pokemon Editor'!$A:$A,'Pokemon Editor'!$J:$J,0)+31+FLOOR($T11/4))*$L11)/100)+5)*XLOOKUP($M11,'Nature Editor'!$A:$A,'Nature Editor'!$F:$F,1))</f>
        <v/>
      </c>
      <c r="G11" s="3">
        <f>FLOOR((FLOOR(((2*XLOOKUP('Boss Editor'!$C$4,'Pokemon Editor'!$A:$A,'Pokemon Editor'!$J:$J,0)+31+FLOOR('Boss Editor'!$L$4/4))*'Boss Editor'!$D$4)/100)+5)*XLOOKUP('Boss Editor'!$E$4,'Nature Editor'!$A:$A,'Nature Editor'!$F:$F,1))</f>
        <v/>
      </c>
      <c r="H11" s="3">
        <f>IF(F11&gt;G11,"Yes","No")</f>
        <v/>
      </c>
      <c r="I11" s="3">
        <f>C11-E11</f>
        <v/>
      </c>
      <c r="J11" s="3">
        <f>IFS(AND(C11&gt;=0.5,E11&lt;0.5),"Dominant",AND(C11&gt;=0.35,E11&lt;0.75),"Strong",AND(C11&gt;=0.25,E11&lt;1),"Viable",AND(C11&gt;=0.15,E11&lt;1.25),"Risky",TRUE,"Poor")</f>
        <v/>
      </c>
      <c r="K11" s="3">
        <f>REDUCE($Y11,SEQUENCE(2),LAMBDA(current_species,unused_step,IFERROR(INDEX(FILTER('Evolution Editor'!$D$2:$D,'Evolution Editor'!$A$2:$A=current_species,'Evolution Editor'!$F$2:$F=TRUE,'Evolution Editor'!$E$2:$E&lt;=$L11),1),current_species)))</f>
        <v/>
      </c>
      <c r="L11" s="5" t="n">
        <v>15</v>
      </c>
      <c r="M11" s="5" t="inlineStr">
        <is>
          <t>Neutral</t>
        </is>
      </c>
      <c r="N11" s="5" t="inlineStr">
        <is>
          <t>ABILITY_RIVALRY</t>
        </is>
      </c>
      <c r="O11" s="5" t="n">
        <v>0</v>
      </c>
      <c r="P11" s="5" t="n">
        <v>0</v>
      </c>
      <c r="Q11" s="5" t="n">
        <v>0</v>
      </c>
      <c r="R11" s="5" t="n">
        <v>0</v>
      </c>
      <c r="S11" s="5" t="n">
        <v>0</v>
      </c>
      <c r="T11" s="5" t="n">
        <v>0</v>
      </c>
      <c r="U11" s="3">
        <f>IFERROR(LET(mtype,XLOOKUP($B11,'Move Editor'!$B:$B,'Move Editor'!$C:$C,""),cat,XLOOKUP($B11,'Move Editor'!$B:$B,'Move Editor'!$D:$D,""),pow,XLOOKUP($B11,'Move Editor'!$B:$B,'Move Editor'!$E:$E,0),acc,XLOOKUP($B11,'Move Editor'!$B:$B,'Move Editor'!$F:$F,100),atk,IF(cat="Physical",FLOOR((FLOOR(((2*XLOOKUP($K11,'Pokemon Editor'!$A:$A,'Pokemon Editor'!$F:$F,0)+31+FLOOR($P11/4))*$L11)/100)+5)*XLOOKUP($M11,'Nature Editor'!$A:$A,'Nature Editor'!$B:$B,1)),FLOOR((FLOOR(((2*XLOOKUP($K11,'Pokemon Editor'!$A:$A,'Pokemon Editor'!$H:$H,0)+31+FLOOR($R11/4))*$L11)/100)+5)*XLOOKUP($M11,'Nature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Editor'!$E:$E,1))),stab,IF(OR(mtype=XLOOKUP($K11,'Pokemon Editor'!$A:$A,'Pokemon Editor'!$C:$C,""),mtype=XLOOKUP($K11,'Pokemon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Chart'!$B$1:$S$1,0)))),base,IF(OR(cat="Status",pow=0),0,FLOOR(FLOOR(FLOOR((2*$L11/5+2)*pow*atk/def)/50)+2)),modifier,stab*eff,FLOOR(base*modifier*0.85)),0)</f>
        <v/>
      </c>
      <c r="V11" s="3">
        <f>IFERROR(LET(mtype,XLOOKUP($B11,'Move Editor'!$B:$B,'Move Editor'!$C:$C,""),cat,XLOOKUP($B11,'Move Editor'!$B:$B,'Move Editor'!$D:$D,""),pow,XLOOKUP($B11,'Move Editor'!$B:$B,'Move Editor'!$E:$E,0),acc,XLOOKUP($B11,'Move Editor'!$B:$B,'Move Editor'!$F:$F,100),atk,IF(cat="Physical",FLOOR((FLOOR(((2*XLOOKUP($K11,'Pokemon Editor'!$A:$A,'Pokemon Editor'!$F:$F,0)+31+FLOOR($P11/4))*$L11)/100)+5)*XLOOKUP($M11,'Nature Editor'!$A:$A,'Nature Editor'!$B:$B,1)),FLOOR((FLOOR(((2*XLOOKUP($K11,'Pokemon Editor'!$A:$A,'Pokemon Editor'!$H:$H,0)+31+FLOOR($R11/4))*$L11)/100)+5)*XLOOKUP($M11,'Nature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Editor'!$E:$E,1))),stab,IF(OR(mtype=XLOOKUP($K11,'Pokemon Editor'!$A:$A,'Pokemon Editor'!$C:$C,""),mtype=XLOOKUP($K11,'Pokemon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Chart'!$B$1:$S$1,0)))),base,IF(OR(cat="Status",pow=0),0,FLOOR(FLOOR(FLOOR((2*$L11/5+2)*pow*atk/def)/50)+2)),modifier,stab*eff,FLOOR(base*modifier)),0)</f>
        <v/>
      </c>
      <c r="W11" s="3">
        <f>IFERROR(LET(mtype,XLOOKUP($D11,'Move Editor'!$B:$B,'Move Editor'!$C:$C,""),cat,XLOOKUP($D11,'Move Editor'!$B:$B,'Move Editor'!$D:$D,""),pow,XLOOKUP($D11,'Move Editor'!$B:$B,'Move Editor'!$E:$E,0),acc,XLOOKUP($D11,'Move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Editor'!$D:$D,1))),def,IF(cat="Physical",FLOOR((FLOOR(((2*XLOOKUP($K11,'Pokemon Editor'!$A:$A,'Pokemon Editor'!$G:$G,0)+31+FLOOR($Q11/4))*$L11)/100)+5)*XLOOKUP($M11,'Nature Editor'!$A:$A,'Nature Editor'!$C:$C,1)),FLOOR((FLOOR(((2*XLOOKUP($K11,'Pokemon Editor'!$A:$A,'Pokemon Editor'!$I:$I,0)+31+FLOOR($S11/4))*$L11)/100)+5)*XLOOKUP($M11,'Nature Editor'!$A:$A,'Nature Editor'!$E:$E,1))),stab,IF(OR(mtype=XLOOKUP('Boss Editor'!$C$4,'Pokemon Editor'!$A:$A,'Pokemon Editor'!$C:$C,""),mtype=XLOOKUP('Boss Editor'!$C$4,'Pokemon Editor'!$A:$A,'Pokemon Editor'!$D:$D,"")),1.5,1),eff,(INDEX('Type Chart'!$B:$S,MATCH(mtype,'Type Chart'!$A:$A,0),MATCH(XLOOKUP($K11,'Pokemon Editor'!$A:$A,'Pokemon Editor'!$C:$C,""),'Type Chart'!$B$1:$S$1,0))*IF(XLOOKUP($K11,'Pokemon Editor'!$A:$A,'Pokemon Editor'!$D:$D,"")="",1,INDEX('Type Chart'!$B:$S,MATCH(mtype,'Type Chart'!$A:$A,0),MATCH(XLOOKUP($K11,'Pokemon Editor'!$A:$A,'Pokemon Editor'!$D:$D,""),'Type Chart'!$B$1:$S$1,0)))),base,IF(OR(cat="Status",pow=0),0,FLOOR(FLOOR(FLOOR((2*'Boss Editor'!$D$4/5+2)*pow*atk/def)/50)+2)),modifier,stab*eff,FLOOR(base*modifier*0.85)),0)</f>
        <v/>
      </c>
      <c r="X11" s="3">
        <f>IFERROR(LET(mtype,XLOOKUP($D11,'Move Editor'!$B:$B,'Move Editor'!$C:$C,""),cat,XLOOKUP($D11,'Move Editor'!$B:$B,'Move Editor'!$D:$D,""),pow,XLOOKUP($D11,'Move Editor'!$B:$B,'Move Editor'!$E:$E,0),acc,XLOOKUP($D11,'Move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Editor'!$D:$D,1))),def,IF(cat="Physical",FLOOR((FLOOR(((2*XLOOKUP($K11,'Pokemon Editor'!$A:$A,'Pokemon Editor'!$G:$G,0)+31+FLOOR($Q11/4))*$L11)/100)+5)*XLOOKUP($M11,'Nature Editor'!$A:$A,'Nature Editor'!$C:$C,1)),FLOOR((FLOOR(((2*XLOOKUP($K11,'Pokemon Editor'!$A:$A,'Pokemon Editor'!$I:$I,0)+31+FLOOR($S11/4))*$L11)/100)+5)*XLOOKUP($M11,'Nature Editor'!$A:$A,'Nature Editor'!$E:$E,1))),stab,IF(OR(mtype=XLOOKUP('Boss Editor'!$C$4,'Pokemon Editor'!$A:$A,'Pokemon Editor'!$C:$C,""),mtype=XLOOKUP('Boss Editor'!$C$4,'Pokemon Editor'!$A:$A,'Pokemon Editor'!$D:$D,"")),1.5,1),eff,(INDEX('Type Chart'!$B:$S,MATCH(mtype,'Type Chart'!$A:$A,0),MATCH(XLOOKUP($K11,'Pokemon Editor'!$A:$A,'Pokemon Editor'!$C:$C,""),'Type Chart'!$B$1:$S$1,0))*IF(XLOOKUP($K11,'Pokemon Editor'!$A:$A,'Pokemon Editor'!$D:$D,"")="",1,INDEX('Type Chart'!$B:$S,MATCH(mtype,'Type Chart'!$A:$A,0),MATCH(XLOOKUP($K11,'Pokemon Editor'!$A:$A,'Pokemon Editor'!$D:$D,""),'Type Chart'!$B$1:$S$1,0)))),base,IF(OR(cat="Status",pow=0),0,FLOOR(FLOOR(FLOOR((2*'Boss Editor'!$D$4/5+2)*pow*atk/def)/50)+2)),modifier,stab*eff,FLOOR(base*modifier)),0)</f>
        <v/>
      </c>
      <c r="Y11" s="3" t="inlineStr">
        <is>
          <t>SPECIES_LITLEO</t>
        </is>
      </c>
      <c r="Z11" s="5" t="inlineStr"/>
    </row>
    <row r="12">
      <c r="A12" s="3">
        <f>XLOOKUP(K12,'Pokemon Editor'!$A:$A,'Pokemon Editor'!$B:$B,K12)</f>
        <v/>
      </c>
      <c r="B12" s="3">
        <f>IF($Z12&lt;&gt;"",$Z12,IFERROR(INDEX(FILTER('Move Comparison'!$D$2:$D,'Move Comparison'!$Q$2:$Q=$Y12,'Move Comparison'!$M$2:$M=MAXIFS('Move Comparison'!$M$2:$M,'Move Comparison'!$Q$2:$Q,$Y12),'Move Comparison'!$D$2:$D&lt;&gt;""),1),""))</f>
        <v/>
      </c>
      <c r="C12" s="4">
        <f>IFERROR(LET(mtype,XLOOKUP($B12,'Move Editor'!$B:$B,'Move Editor'!$C:$C,""),cat,XLOOKUP($B12,'Move Editor'!$B:$B,'Move Editor'!$D:$D,""),pow,XLOOKUP($B12,'Move Editor'!$B:$B,'Move Editor'!$E:$E,0),acc,XLOOKUP($B12,'Move Editor'!$B:$B,'Move Editor'!$F:$F,100),atk,IF(cat="Physical",FLOOR((FLOOR(((2*XLOOKUP($K12,'Pokemon Editor'!$A:$A,'Pokemon Editor'!$F:$F,0)+31+FLOOR($P12/4))*$L12)/100)+5)*XLOOKUP($M12,'Nature Editor'!$A:$A,'Nature Editor'!$B:$B,1)),FLOOR((FLOOR(((2*XLOOKUP($K12,'Pokemon Editor'!$A:$A,'Pokemon Editor'!$H:$H,0)+31+FLOOR($R12/4))*$L12)/100)+5)*XLOOKUP($M12,'Nature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Editor'!$E:$E,1))),stab,IF(OR(mtype=XLOOKUP($K12,'Pokemon Editor'!$A:$A,'Pokemon Editor'!$C:$C,""),mtype=XLOOKUP($K12,'Pokemon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Chart'!$B$1:$S$1,0)))),base,IF(OR(cat="Status",pow=0),0,FLOOR(FLOOR(FLOOR((2*$L12/5+2)*pow*atk/def)/50)+2)),modifier,stab*eff,AVERAGE(ARRAYFORMULA(FLOOR(base*modifier*SEQUENCE(16,1,85,1)/100)))/(FLOOR(((2*XLOOKUP('Boss Editor'!$C$4,'Pokemon Editor'!$A:$A,'Pokemon Editor'!$E:$E,0)+31+FLOOR('Boss Editor'!$G$4/4))*'Boss Editor'!$D$4)/100)+'Boss Editor'!$D$4+10)),0)</f>
        <v/>
      </c>
      <c r="D12" s="5" t="inlineStr">
        <is>
          <t>Acid</t>
        </is>
      </c>
      <c r="E12" s="4">
        <f>IFERROR(LET(mtype,XLOOKUP($D12,'Move Editor'!$B:$B,'Move Editor'!$C:$C,""),cat,XLOOKUP($D12,'Move Editor'!$B:$B,'Move Editor'!$D:$D,""),pow,XLOOKUP($D12,'Move Editor'!$B:$B,'Move Editor'!$E:$E,0),acc,XLOOKUP($D12,'Move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Editor'!$D:$D,1))),def,IF(cat="Physical",FLOOR((FLOOR(((2*XLOOKUP($K12,'Pokemon Editor'!$A:$A,'Pokemon Editor'!$G:$G,0)+31+FLOOR($Q12/4))*$L12)/100)+5)*XLOOKUP($M12,'Nature Editor'!$A:$A,'Nature Editor'!$C:$C,1)),FLOOR((FLOOR(((2*XLOOKUP($K12,'Pokemon Editor'!$A:$A,'Pokemon Editor'!$I:$I,0)+31+FLOOR($S12/4))*$L12)/100)+5)*XLOOKUP($M12,'Nature Editor'!$A:$A,'Nature Editor'!$E:$E,1))),stab,IF(OR(mtype=XLOOKUP('Boss Editor'!$C$4,'Pokemon Editor'!$A:$A,'Pokemon Editor'!$C:$C,""),mtype=XLOOKUP('Boss Editor'!$C$4,'Pokemon Editor'!$A:$A,'Pokemon Editor'!$D:$D,"")),1.5,1),eff,(INDEX('Type Chart'!$B:$S,MATCH(mtype,'Type Chart'!$A:$A,0),MATCH(XLOOKUP($K12,'Pokemon Editor'!$A:$A,'Pokemon Editor'!$C:$C,""),'Type Chart'!$B$1:$S$1,0))*IF(XLOOKUP($K12,'Pokemon Editor'!$A:$A,'Pokemon Editor'!$D:$D,"")="",1,INDEX('Type Chart'!$B:$S,MATCH(mtype,'Type Chart'!$A:$A,0),MATCH(XLOOKUP($K12,'Pokemon Editor'!$A:$A,'Pokemon Editor'!$D:$D,""),'Type Chart'!$B$1:$S$1,0)))),base,IF(OR(cat="Status",pow=0),0,FLOOR(FLOOR(FLOOR((2*'Boss Editor'!$D$4/5+2)*pow*atk/def)/50)+2)),modifier,stab*eff,AVERAGE(ARRAYFORMULA(FLOOR(base*modifier*SEQUENCE(16,1,85,1)/100)))/(FLOOR(((2*XLOOKUP($K12,'Pokemon Editor'!$A:$A,'Pokemon Editor'!$E:$E,0)+31+FLOOR($O12/4))*$L12)/100)+$L12+10)),0)</f>
        <v/>
      </c>
      <c r="F12" s="3">
        <f>FLOOR((FLOOR(((2*XLOOKUP($K12,'Pokemon Editor'!$A:$A,'Pokemon Editor'!$J:$J,0)+31+FLOOR($T12/4))*$L12)/100)+5)*XLOOKUP($M12,'Nature Editor'!$A:$A,'Nature Editor'!$F:$F,1))</f>
        <v/>
      </c>
      <c r="G12" s="3">
        <f>FLOOR((FLOOR(((2*XLOOKUP('Boss Editor'!$C$4,'Pokemon Editor'!$A:$A,'Pokemon Editor'!$J:$J,0)+31+FLOOR('Boss Editor'!$L$4/4))*'Boss Editor'!$D$4)/100)+5)*XLOOKUP('Boss Editor'!$E$4,'Nature Editor'!$A:$A,'Nature Editor'!$F:$F,1))</f>
        <v/>
      </c>
      <c r="H12" s="3">
        <f>IF(F12&gt;G12,"Yes","No")</f>
        <v/>
      </c>
      <c r="I12" s="3">
        <f>C12-E12</f>
        <v/>
      </c>
      <c r="J12" s="3">
        <f>IFS(AND(C12&gt;=0.5,E12&lt;0.5),"Dominant",AND(C12&gt;=0.35,E12&lt;0.75),"Strong",AND(C12&gt;=0.25,E12&lt;1),"Viable",AND(C12&gt;=0.15,E12&lt;1.25),"Risky",TRUE,"Poor")</f>
        <v/>
      </c>
      <c r="K12" s="3">
        <f>REDUCE($Y12,SEQUENCE(2),LAMBDA(current_species,unused_step,IFERROR(INDEX(FILTER('Evolution Editor'!$D$2:$D,'Evolution Editor'!$A$2:$A=current_species,'Evolution Editor'!$F$2:$F=TRUE,'Evolution Editor'!$E$2:$E&lt;=$L12),1),current_species)))</f>
        <v/>
      </c>
      <c r="L12" s="5" t="n">
        <v>15</v>
      </c>
      <c r="M12" s="5" t="inlineStr">
        <is>
          <t>Neutral</t>
        </is>
      </c>
      <c r="N12" s="5" t="inlineStr">
        <is>
          <t>ABILITY_BLAZE</t>
        </is>
      </c>
      <c r="O12" s="5" t="n">
        <v>0</v>
      </c>
      <c r="P12" s="5" t="n">
        <v>0</v>
      </c>
      <c r="Q12" s="5" t="n">
        <v>0</v>
      </c>
      <c r="R12" s="5" t="n">
        <v>0</v>
      </c>
      <c r="S12" s="5" t="n">
        <v>0</v>
      </c>
      <c r="T12" s="5" t="n">
        <v>0</v>
      </c>
      <c r="U12" s="3">
        <f>IFERROR(LET(mtype,XLOOKUP($B12,'Move Editor'!$B:$B,'Move Editor'!$C:$C,""),cat,XLOOKUP($B12,'Move Editor'!$B:$B,'Move Editor'!$D:$D,""),pow,XLOOKUP($B12,'Move Editor'!$B:$B,'Move Editor'!$E:$E,0),acc,XLOOKUP($B12,'Move Editor'!$B:$B,'Move Editor'!$F:$F,100),atk,IF(cat="Physical",FLOOR((FLOOR(((2*XLOOKUP($K12,'Pokemon Editor'!$A:$A,'Pokemon Editor'!$F:$F,0)+31+FLOOR($P12/4))*$L12)/100)+5)*XLOOKUP($M12,'Nature Editor'!$A:$A,'Nature Editor'!$B:$B,1)),FLOOR((FLOOR(((2*XLOOKUP($K12,'Pokemon Editor'!$A:$A,'Pokemon Editor'!$H:$H,0)+31+FLOOR($R12/4))*$L12)/100)+5)*XLOOKUP($M12,'Nature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Editor'!$E:$E,1))),stab,IF(OR(mtype=XLOOKUP($K12,'Pokemon Editor'!$A:$A,'Pokemon Editor'!$C:$C,""),mtype=XLOOKUP($K12,'Pokemon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Chart'!$B$1:$S$1,0)))),base,IF(OR(cat="Status",pow=0),0,FLOOR(FLOOR(FLOOR((2*$L12/5+2)*pow*atk/def)/50)+2)),modifier,stab*eff,FLOOR(base*modifier*0.85)),0)</f>
        <v/>
      </c>
      <c r="V12" s="3">
        <f>IFERROR(LET(mtype,XLOOKUP($B12,'Move Editor'!$B:$B,'Move Editor'!$C:$C,""),cat,XLOOKUP($B12,'Move Editor'!$B:$B,'Move Editor'!$D:$D,""),pow,XLOOKUP($B12,'Move Editor'!$B:$B,'Move Editor'!$E:$E,0),acc,XLOOKUP($B12,'Move Editor'!$B:$B,'Move Editor'!$F:$F,100),atk,IF(cat="Physical",FLOOR((FLOOR(((2*XLOOKUP($K12,'Pokemon Editor'!$A:$A,'Pokemon Editor'!$F:$F,0)+31+FLOOR($P12/4))*$L12)/100)+5)*XLOOKUP($M12,'Nature Editor'!$A:$A,'Nature Editor'!$B:$B,1)),FLOOR((FLOOR(((2*XLOOKUP($K12,'Pokemon Editor'!$A:$A,'Pokemon Editor'!$H:$H,0)+31+FLOOR($R12/4))*$L12)/100)+5)*XLOOKUP($M12,'Nature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Editor'!$E:$E,1))),stab,IF(OR(mtype=XLOOKUP($K12,'Pokemon Editor'!$A:$A,'Pokemon Editor'!$C:$C,""),mtype=XLOOKUP($K12,'Pokemon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Chart'!$B$1:$S$1,0)))),base,IF(OR(cat="Status",pow=0),0,FLOOR(FLOOR(FLOOR((2*$L12/5+2)*pow*atk/def)/50)+2)),modifier,stab*eff,FLOOR(base*modifier)),0)</f>
        <v/>
      </c>
      <c r="W12" s="3">
        <f>IFERROR(LET(mtype,XLOOKUP($D12,'Move Editor'!$B:$B,'Move Editor'!$C:$C,""),cat,XLOOKUP($D12,'Move Editor'!$B:$B,'Move Editor'!$D:$D,""),pow,XLOOKUP($D12,'Move Editor'!$B:$B,'Move Editor'!$E:$E,0),acc,XLOOKUP($D12,'Move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Editor'!$D:$D,1))),def,IF(cat="Physical",FLOOR((FLOOR(((2*XLOOKUP($K12,'Pokemon Editor'!$A:$A,'Pokemon Editor'!$G:$G,0)+31+FLOOR($Q12/4))*$L12)/100)+5)*XLOOKUP($M12,'Nature Editor'!$A:$A,'Nature Editor'!$C:$C,1)),FLOOR((FLOOR(((2*XLOOKUP($K12,'Pokemon Editor'!$A:$A,'Pokemon Editor'!$I:$I,0)+31+FLOOR($S12/4))*$L12)/100)+5)*XLOOKUP($M12,'Nature Editor'!$A:$A,'Nature Editor'!$E:$E,1))),stab,IF(OR(mtype=XLOOKUP('Boss Editor'!$C$4,'Pokemon Editor'!$A:$A,'Pokemon Editor'!$C:$C,""),mtype=XLOOKUP('Boss Editor'!$C$4,'Pokemon Editor'!$A:$A,'Pokemon Editor'!$D:$D,"")),1.5,1),eff,(INDEX('Type Chart'!$B:$S,MATCH(mtype,'Type Chart'!$A:$A,0),MATCH(XLOOKUP($K12,'Pokemon Editor'!$A:$A,'Pokemon Editor'!$C:$C,""),'Type Chart'!$B$1:$S$1,0))*IF(XLOOKUP($K12,'Pokemon Editor'!$A:$A,'Pokemon Editor'!$D:$D,"")="",1,INDEX('Type Chart'!$B:$S,MATCH(mtype,'Type Chart'!$A:$A,0),MATCH(XLOOKUP($K12,'Pokemon Editor'!$A:$A,'Pokemon Editor'!$D:$D,""),'Type Chart'!$B$1:$S$1,0)))),base,IF(OR(cat="Status",pow=0),0,FLOOR(FLOOR(FLOOR((2*'Boss Editor'!$D$4/5+2)*pow*atk/def)/50)+2)),modifier,stab*eff,FLOOR(base*modifier*0.85)),0)</f>
        <v/>
      </c>
      <c r="X12" s="3">
        <f>IFERROR(LET(mtype,XLOOKUP($D12,'Move Editor'!$B:$B,'Move Editor'!$C:$C,""),cat,XLOOKUP($D12,'Move Editor'!$B:$B,'Move Editor'!$D:$D,""),pow,XLOOKUP($D12,'Move Editor'!$B:$B,'Move Editor'!$E:$E,0),acc,XLOOKUP($D12,'Move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Editor'!$D:$D,1))),def,IF(cat="Physical",FLOOR((FLOOR(((2*XLOOKUP($K12,'Pokemon Editor'!$A:$A,'Pokemon Editor'!$G:$G,0)+31+FLOOR($Q12/4))*$L12)/100)+5)*XLOOKUP($M12,'Nature Editor'!$A:$A,'Nature Editor'!$C:$C,1)),FLOOR((FLOOR(((2*XLOOKUP($K12,'Pokemon Editor'!$A:$A,'Pokemon Editor'!$I:$I,0)+31+FLOOR($S12/4))*$L12)/100)+5)*XLOOKUP($M12,'Nature Editor'!$A:$A,'Nature Editor'!$E:$E,1))),stab,IF(OR(mtype=XLOOKUP('Boss Editor'!$C$4,'Pokemon Editor'!$A:$A,'Pokemon Editor'!$C:$C,""),mtype=XLOOKUP('Boss Editor'!$C$4,'Pokemon Editor'!$A:$A,'Pokemon Editor'!$D:$D,"")),1.5,1),eff,(INDEX('Type Chart'!$B:$S,MATCH(mtype,'Type Chart'!$A:$A,0),MATCH(XLOOKUP($K12,'Pokemon Editor'!$A:$A,'Pokemon Editor'!$C:$C,""),'Type Chart'!$B$1:$S$1,0))*IF(XLOOKUP($K12,'Pokemon Editor'!$A:$A,'Pokemon Editor'!$D:$D,"")="",1,INDEX('Type Chart'!$B:$S,MATCH(mtype,'Type Chart'!$A:$A,0),MATCH(XLOOKUP($K12,'Pokemon Editor'!$A:$A,'Pokemon Editor'!$D:$D,""),'Type Chart'!$B$1:$S$1,0)))),base,IF(OR(cat="Status",pow=0),0,FLOOR(FLOOR(FLOOR((2*'Boss Editor'!$D$4/5+2)*pow*atk/def)/50)+2)),modifier,stab*eff,FLOOR(base*modifier)),0)</f>
        <v/>
      </c>
      <c r="Y12" s="3" t="inlineStr">
        <is>
          <t>SPECIES_TORCHIC</t>
        </is>
      </c>
      <c r="Z12" s="5" t="inlineStr"/>
    </row>
    <row r="13">
      <c r="A13" s="3">
        <f>XLOOKUP(K13,'Pokemon Editor'!$A:$A,'Pokemon Editor'!$B:$B,K13)</f>
        <v/>
      </c>
      <c r="B13" s="3">
        <f>IF($Z13&lt;&gt;"",$Z13,IFERROR(INDEX(FILTER('Move Comparison'!$D$2:$D,'Move Comparison'!$Q$2:$Q=$Y13,'Move Comparison'!$M$2:$M=MAXIFS('Move Comparison'!$M$2:$M,'Move Comparison'!$Q$2:$Q,$Y13),'Move Comparison'!$D$2:$D&lt;&gt;""),1),""))</f>
        <v/>
      </c>
      <c r="C13" s="4">
        <f>IFERROR(LET(mtype,XLOOKUP($B13,'Move Editor'!$B:$B,'Move Editor'!$C:$C,""),cat,XLOOKUP($B13,'Move Editor'!$B:$B,'Move Editor'!$D:$D,""),pow,XLOOKUP($B13,'Move Editor'!$B:$B,'Move Editor'!$E:$E,0),acc,XLOOKUP($B13,'Move Editor'!$B:$B,'Move Editor'!$F:$F,100),atk,IF(cat="Physical",FLOOR((FLOOR(((2*XLOOKUP($K13,'Pokemon Editor'!$A:$A,'Pokemon Editor'!$F:$F,0)+31+FLOOR($P13/4))*$L13)/100)+5)*XLOOKUP($M13,'Nature Editor'!$A:$A,'Nature Editor'!$B:$B,1)),FLOOR((FLOOR(((2*XLOOKUP($K13,'Pokemon Editor'!$A:$A,'Pokemon Editor'!$H:$H,0)+31+FLOOR($R13/4))*$L13)/100)+5)*XLOOKUP($M13,'Nature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Editor'!$E:$E,1))),stab,IF(OR(mtype=XLOOKUP($K13,'Pokemon Editor'!$A:$A,'Pokemon Editor'!$C:$C,""),mtype=XLOOKUP($K13,'Pokemon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Chart'!$B$1:$S$1,0)))),base,IF(OR(cat="Status",pow=0),0,FLOOR(FLOOR(FLOOR((2*$L13/5+2)*pow*atk/def)/50)+2)),modifier,stab*eff,AVERAGE(ARRAYFORMULA(FLOOR(base*modifier*SEQUENCE(16,1,85,1)/100)))/(FLOOR(((2*XLOOKUP('Boss Editor'!$C$4,'Pokemon Editor'!$A:$A,'Pokemon Editor'!$E:$E,0)+31+FLOOR('Boss Editor'!$G$4/4))*'Boss Editor'!$D$4)/100)+'Boss Editor'!$D$4+10)),0)</f>
        <v/>
      </c>
      <c r="D13" s="5" t="inlineStr">
        <is>
          <t>Astonish</t>
        </is>
      </c>
      <c r="E13" s="4">
        <f>IFERROR(LET(mtype,XLOOKUP($D13,'Move Editor'!$B:$B,'Move Editor'!$C:$C,""),cat,XLOOKUP($D13,'Move Editor'!$B:$B,'Move Editor'!$D:$D,""),pow,XLOOKUP($D13,'Move Editor'!$B:$B,'Move Editor'!$E:$E,0),acc,XLOOKUP($D13,'Move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Editor'!$D:$D,1))),def,IF(cat="Physical",FLOOR((FLOOR(((2*XLOOKUP($K13,'Pokemon Editor'!$A:$A,'Pokemon Editor'!$G:$G,0)+31+FLOOR($Q13/4))*$L13)/100)+5)*XLOOKUP($M13,'Nature Editor'!$A:$A,'Nature Editor'!$C:$C,1)),FLOOR((FLOOR(((2*XLOOKUP($K13,'Pokemon Editor'!$A:$A,'Pokemon Editor'!$I:$I,0)+31+FLOOR($S13/4))*$L13)/100)+5)*XLOOKUP($M13,'Nature Editor'!$A:$A,'Nature Editor'!$E:$E,1))),stab,IF(OR(mtype=XLOOKUP('Boss Editor'!$C$4,'Pokemon Editor'!$A:$A,'Pokemon Editor'!$C:$C,""),mtype=XLOOKUP('Boss Editor'!$C$4,'Pokemon Editor'!$A:$A,'Pokemon Editor'!$D:$D,"")),1.5,1),eff,(INDEX('Type Chart'!$B:$S,MATCH(mtype,'Type Chart'!$A:$A,0),MATCH(XLOOKUP($K13,'Pokemon Editor'!$A:$A,'Pokemon Editor'!$C:$C,""),'Type Chart'!$B$1:$S$1,0))*IF(XLOOKUP($K13,'Pokemon Editor'!$A:$A,'Pokemon Editor'!$D:$D,"")="",1,INDEX('Type Chart'!$B:$S,MATCH(mtype,'Type Chart'!$A:$A,0),MATCH(XLOOKUP($K13,'Pokemon Editor'!$A:$A,'Pokemon Editor'!$D:$D,""),'Type Chart'!$B$1:$S$1,0)))),base,IF(OR(cat="Status",pow=0),0,FLOOR(FLOOR(FLOOR((2*'Boss Editor'!$D$4/5+2)*pow*atk/def)/50)+2)),modifier,stab*eff,AVERAGE(ARRAYFORMULA(FLOOR(base*modifier*SEQUENCE(16,1,85,1)/100)))/(FLOOR(((2*XLOOKUP($K13,'Pokemon Editor'!$A:$A,'Pokemon Editor'!$E:$E,0)+31+FLOOR($O13/4))*$L13)/100)+$L13+10)),0)</f>
        <v/>
      </c>
      <c r="F13" s="3">
        <f>FLOOR((FLOOR(((2*XLOOKUP($K13,'Pokemon Editor'!$A:$A,'Pokemon Editor'!$J:$J,0)+31+FLOOR($T13/4))*$L13)/100)+5)*XLOOKUP($M13,'Nature Editor'!$A:$A,'Nature Editor'!$F:$F,1))</f>
        <v/>
      </c>
      <c r="G13" s="3">
        <f>FLOOR((FLOOR(((2*XLOOKUP('Boss Editor'!$C$4,'Pokemon Editor'!$A:$A,'Pokemon Editor'!$J:$J,0)+31+FLOOR('Boss Editor'!$L$4/4))*'Boss Editor'!$D$4)/100)+5)*XLOOKUP('Boss Editor'!$E$4,'Nature Editor'!$A:$A,'Nature Editor'!$F:$F,1))</f>
        <v/>
      </c>
      <c r="H13" s="3">
        <f>IF(F13&gt;G13,"Yes","No")</f>
        <v/>
      </c>
      <c r="I13" s="3">
        <f>C13-E13</f>
        <v/>
      </c>
      <c r="J13" s="3">
        <f>IFS(AND(C13&gt;=0.5,E13&lt;0.5),"Dominant",AND(C13&gt;=0.35,E13&lt;0.75),"Strong",AND(C13&gt;=0.25,E13&lt;1),"Viable",AND(C13&gt;=0.15,E13&lt;1.25),"Risky",TRUE,"Poor")</f>
        <v/>
      </c>
      <c r="K13" s="3">
        <f>REDUCE($Y13,SEQUENCE(2),LAMBDA(current_species,unused_step,IFERROR(INDEX(FILTER('Evolution Editor'!$D$2:$D,'Evolution Editor'!$A$2:$A=current_species,'Evolution Editor'!$F$2:$F=TRUE,'Evolution Editor'!$E$2:$E&lt;=$L13),1),current_species)))</f>
        <v/>
      </c>
      <c r="L13" s="5" t="n">
        <v>15</v>
      </c>
      <c r="M13" s="5" t="inlineStr">
        <is>
          <t>Neutral</t>
        </is>
      </c>
      <c r="N13" s="5" t="inlineStr">
        <is>
          <t>ABILITY_NATURAL_CURE</t>
        </is>
      </c>
      <c r="O13" s="5" t="n">
        <v>0</v>
      </c>
      <c r="P13" s="5" t="n">
        <v>0</v>
      </c>
      <c r="Q13" s="5" t="n">
        <v>0</v>
      </c>
      <c r="R13" s="5" t="n">
        <v>0</v>
      </c>
      <c r="S13" s="5" t="n">
        <v>0</v>
      </c>
      <c r="T13" s="5" t="n">
        <v>0</v>
      </c>
      <c r="U13" s="3">
        <f>IFERROR(LET(mtype,XLOOKUP($B13,'Move Editor'!$B:$B,'Move Editor'!$C:$C,""),cat,XLOOKUP($B13,'Move Editor'!$B:$B,'Move Editor'!$D:$D,""),pow,XLOOKUP($B13,'Move Editor'!$B:$B,'Move Editor'!$E:$E,0),acc,XLOOKUP($B13,'Move Editor'!$B:$B,'Move Editor'!$F:$F,100),atk,IF(cat="Physical",FLOOR((FLOOR(((2*XLOOKUP($K13,'Pokemon Editor'!$A:$A,'Pokemon Editor'!$F:$F,0)+31+FLOOR($P13/4))*$L13)/100)+5)*XLOOKUP($M13,'Nature Editor'!$A:$A,'Nature Editor'!$B:$B,1)),FLOOR((FLOOR(((2*XLOOKUP($K13,'Pokemon Editor'!$A:$A,'Pokemon Editor'!$H:$H,0)+31+FLOOR($R13/4))*$L13)/100)+5)*XLOOKUP($M13,'Nature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Editor'!$E:$E,1))),stab,IF(OR(mtype=XLOOKUP($K13,'Pokemon Editor'!$A:$A,'Pokemon Editor'!$C:$C,""),mtype=XLOOKUP($K13,'Pokemon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Chart'!$B$1:$S$1,0)))),base,IF(OR(cat="Status",pow=0),0,FLOOR(FLOOR(FLOOR((2*$L13/5+2)*pow*atk/def)/50)+2)),modifier,stab*eff,FLOOR(base*modifier*0.85)),0)</f>
        <v/>
      </c>
      <c r="V13" s="3">
        <f>IFERROR(LET(mtype,XLOOKUP($B13,'Move Editor'!$B:$B,'Move Editor'!$C:$C,""),cat,XLOOKUP($B13,'Move Editor'!$B:$B,'Move Editor'!$D:$D,""),pow,XLOOKUP($B13,'Move Editor'!$B:$B,'Move Editor'!$E:$E,0),acc,XLOOKUP($B13,'Move Editor'!$B:$B,'Move Editor'!$F:$F,100),atk,IF(cat="Physical",FLOOR((FLOOR(((2*XLOOKUP($K13,'Pokemon Editor'!$A:$A,'Pokemon Editor'!$F:$F,0)+31+FLOOR($P13/4))*$L13)/100)+5)*XLOOKUP($M13,'Nature Editor'!$A:$A,'Nature Editor'!$B:$B,1)),FLOOR((FLOOR(((2*XLOOKUP($K13,'Pokemon Editor'!$A:$A,'Pokemon Editor'!$H:$H,0)+31+FLOOR($R13/4))*$L13)/100)+5)*XLOOKUP($M13,'Nature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Editor'!$E:$E,1))),stab,IF(OR(mtype=XLOOKUP($K13,'Pokemon Editor'!$A:$A,'Pokemon Editor'!$C:$C,""),mtype=XLOOKUP($K13,'Pokemon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Chart'!$B$1:$S$1,0)))),base,IF(OR(cat="Status",pow=0),0,FLOOR(FLOOR(FLOOR((2*$L13/5+2)*pow*atk/def)/50)+2)),modifier,stab*eff,FLOOR(base*modifier)),0)</f>
        <v/>
      </c>
      <c r="W13" s="3">
        <f>IFERROR(LET(mtype,XLOOKUP($D13,'Move Editor'!$B:$B,'Move Editor'!$C:$C,""),cat,XLOOKUP($D13,'Move Editor'!$B:$B,'Move Editor'!$D:$D,""),pow,XLOOKUP($D13,'Move Editor'!$B:$B,'Move Editor'!$E:$E,0),acc,XLOOKUP($D13,'Move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Editor'!$D:$D,1))),def,IF(cat="Physical",FLOOR((FLOOR(((2*XLOOKUP($K13,'Pokemon Editor'!$A:$A,'Pokemon Editor'!$G:$G,0)+31+FLOOR($Q13/4))*$L13)/100)+5)*XLOOKUP($M13,'Nature Editor'!$A:$A,'Nature Editor'!$C:$C,1)),FLOOR((FLOOR(((2*XLOOKUP($K13,'Pokemon Editor'!$A:$A,'Pokemon Editor'!$I:$I,0)+31+FLOOR($S13/4))*$L13)/100)+5)*XLOOKUP($M13,'Nature Editor'!$A:$A,'Nature Editor'!$E:$E,1))),stab,IF(OR(mtype=XLOOKUP('Boss Editor'!$C$4,'Pokemon Editor'!$A:$A,'Pokemon Editor'!$C:$C,""),mtype=XLOOKUP('Boss Editor'!$C$4,'Pokemon Editor'!$A:$A,'Pokemon Editor'!$D:$D,"")),1.5,1),eff,(INDEX('Type Chart'!$B:$S,MATCH(mtype,'Type Chart'!$A:$A,0),MATCH(XLOOKUP($K13,'Pokemon Editor'!$A:$A,'Pokemon Editor'!$C:$C,""),'Type Chart'!$B$1:$S$1,0))*IF(XLOOKUP($K13,'Pokemon Editor'!$A:$A,'Pokemon Editor'!$D:$D,"")="",1,INDEX('Type Chart'!$B:$S,MATCH(mtype,'Type Chart'!$A:$A,0),MATCH(XLOOKUP($K13,'Pokemon Editor'!$A:$A,'Pokemon Editor'!$D:$D,""),'Type Chart'!$B$1:$S$1,0)))),base,IF(OR(cat="Status",pow=0),0,FLOOR(FLOOR(FLOOR((2*'Boss Editor'!$D$4/5+2)*pow*atk/def)/50)+2)),modifier,stab*eff,FLOOR(base*modifier*0.85)),0)</f>
        <v/>
      </c>
      <c r="X13" s="3">
        <f>IFERROR(LET(mtype,XLOOKUP($D13,'Move Editor'!$B:$B,'Move Editor'!$C:$C,""),cat,XLOOKUP($D13,'Move Editor'!$B:$B,'Move Editor'!$D:$D,""),pow,XLOOKUP($D13,'Move Editor'!$B:$B,'Move Editor'!$E:$E,0),acc,XLOOKUP($D13,'Move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Editor'!$D:$D,1))),def,IF(cat="Physical",FLOOR((FLOOR(((2*XLOOKUP($K13,'Pokemon Editor'!$A:$A,'Pokemon Editor'!$G:$G,0)+31+FLOOR($Q13/4))*$L13)/100)+5)*XLOOKUP($M13,'Nature Editor'!$A:$A,'Nature Editor'!$C:$C,1)),FLOOR((FLOOR(((2*XLOOKUP($K13,'Pokemon Editor'!$A:$A,'Pokemon Editor'!$I:$I,0)+31+FLOOR($S13/4))*$L13)/100)+5)*XLOOKUP($M13,'Nature Editor'!$A:$A,'Nature Editor'!$E:$E,1))),stab,IF(OR(mtype=XLOOKUP('Boss Editor'!$C$4,'Pokemon Editor'!$A:$A,'Pokemon Editor'!$C:$C,""),mtype=XLOOKUP('Boss Editor'!$C$4,'Pokemon Editor'!$A:$A,'Pokemon Editor'!$D:$D,"")),1.5,1),eff,(INDEX('Type Chart'!$B:$S,MATCH(mtype,'Type Chart'!$A:$A,0),MATCH(XLOOKUP($K13,'Pokemon Editor'!$A:$A,'Pokemon Editor'!$C:$C,""),'Type Chart'!$B$1:$S$1,0))*IF(XLOOKUP($K13,'Pokemon Editor'!$A:$A,'Pokemon Editor'!$D:$D,"")="",1,INDEX('Type Chart'!$B:$S,MATCH(mtype,'Type Chart'!$A:$A,0),MATCH(XLOOKUP($K13,'Pokemon Editor'!$A:$A,'Pokemon Editor'!$D:$D,""),'Type Chart'!$B$1:$S$1,0)))),base,IF(OR(cat="Status",pow=0),0,FLOOR(FLOOR(FLOOR((2*'Boss Editor'!$D$4/5+2)*pow*atk/def)/50)+2)),modifier,stab*eff,FLOOR(base*modifier)),0)</f>
        <v/>
      </c>
      <c r="Y13" s="3" t="inlineStr">
        <is>
          <t>SPECIES_BUDEW</t>
        </is>
      </c>
      <c r="Z13" s="5" t="inlineStr"/>
    </row>
    <row r="14">
      <c r="A14" s="3">
        <f>XLOOKUP(K14,'Pokemon Editor'!$A:$A,'Pokemon Editor'!$B:$B,K14)</f>
        <v/>
      </c>
      <c r="B14" s="3">
        <f>IF($Z14&lt;&gt;"",$Z14,IFERROR(INDEX(FILTER('Move Comparison'!$D$2:$D,'Move Comparison'!$Q$2:$Q=$Y14,'Move Comparison'!$M$2:$M=MAXIFS('Move Comparison'!$M$2:$M,'Move Comparison'!$Q$2:$Q,$Y14),'Move Comparison'!$D$2:$D&lt;&gt;""),1),""))</f>
        <v/>
      </c>
      <c r="C14" s="4">
        <f>IFERROR(LET(mtype,XLOOKUP($B14,'Move Editor'!$B:$B,'Move Editor'!$C:$C,""),cat,XLOOKUP($B14,'Move Editor'!$B:$B,'Move Editor'!$D:$D,""),pow,XLOOKUP($B14,'Move Editor'!$B:$B,'Move Editor'!$E:$E,0),acc,XLOOKUP($B14,'Move Editor'!$B:$B,'Move Editor'!$F:$F,100),atk,IF(cat="Physical",FLOOR((FLOOR(((2*XLOOKUP($K14,'Pokemon Editor'!$A:$A,'Pokemon Editor'!$F:$F,0)+31+FLOOR($P14/4))*$L14)/100)+5)*XLOOKUP($M14,'Nature Editor'!$A:$A,'Nature Editor'!$B:$B,1)),FLOOR((FLOOR(((2*XLOOKUP($K14,'Pokemon Editor'!$A:$A,'Pokemon Editor'!$H:$H,0)+31+FLOOR($R14/4))*$L14)/100)+5)*XLOOKUP($M14,'Nature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Editor'!$E:$E,1))),stab,IF(OR(mtype=XLOOKUP($K14,'Pokemon Editor'!$A:$A,'Pokemon Editor'!$C:$C,""),mtype=XLOOKUP($K14,'Pokemon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Chart'!$B$1:$S$1,0)))),base,IF(OR(cat="Status",pow=0),0,FLOOR(FLOOR(FLOOR((2*$L14/5+2)*pow*atk/def)/50)+2)),modifier,stab*eff,AVERAGE(ARRAYFORMULA(FLOOR(base*modifier*SEQUENCE(16,1,85,1)/100)))/(FLOOR(((2*XLOOKUP('Boss Editor'!$C$4,'Pokemon Editor'!$A:$A,'Pokemon Editor'!$E:$E,0)+31+FLOOR('Boss Editor'!$G$4/4))*'Boss Editor'!$D$4)/100)+'Boss Editor'!$D$4+10)),0)</f>
        <v/>
      </c>
      <c r="D14" s="5" t="inlineStr">
        <is>
          <t>Astonish</t>
        </is>
      </c>
      <c r="E14" s="4">
        <f>IFERROR(LET(mtype,XLOOKUP($D14,'Move Editor'!$B:$B,'Move Editor'!$C:$C,""),cat,XLOOKUP($D14,'Move Editor'!$B:$B,'Move Editor'!$D:$D,""),pow,XLOOKUP($D14,'Move Editor'!$B:$B,'Move Editor'!$E:$E,0),acc,XLOOKUP($D14,'Move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Editor'!$D:$D,1))),def,IF(cat="Physical",FLOOR((FLOOR(((2*XLOOKUP($K14,'Pokemon Editor'!$A:$A,'Pokemon Editor'!$G:$G,0)+31+FLOOR($Q14/4))*$L14)/100)+5)*XLOOKUP($M14,'Nature Editor'!$A:$A,'Nature Editor'!$C:$C,1)),FLOOR((FLOOR(((2*XLOOKUP($K14,'Pokemon Editor'!$A:$A,'Pokemon Editor'!$I:$I,0)+31+FLOOR($S14/4))*$L14)/100)+5)*XLOOKUP($M14,'Nature Editor'!$A:$A,'Nature Editor'!$E:$E,1))),stab,IF(OR(mtype=XLOOKUP('Boss Editor'!$C$4,'Pokemon Editor'!$A:$A,'Pokemon Editor'!$C:$C,""),mtype=XLOOKUP('Boss Editor'!$C$4,'Pokemon Editor'!$A:$A,'Pokemon Editor'!$D:$D,"")),1.5,1),eff,(INDEX('Type Chart'!$B:$S,MATCH(mtype,'Type Chart'!$A:$A,0),MATCH(XLOOKUP($K14,'Pokemon Editor'!$A:$A,'Pokemon Editor'!$C:$C,""),'Type Chart'!$B$1:$S$1,0))*IF(XLOOKUP($K14,'Pokemon Editor'!$A:$A,'Pokemon Editor'!$D:$D,"")="",1,INDEX('Type Chart'!$B:$S,MATCH(mtype,'Type Chart'!$A:$A,0),MATCH(XLOOKUP($K14,'Pokemon Editor'!$A:$A,'Pokemon Editor'!$D:$D,""),'Type Chart'!$B$1:$S$1,0)))),base,IF(OR(cat="Status",pow=0),0,FLOOR(FLOOR(FLOOR((2*'Boss Editor'!$D$4/5+2)*pow*atk/def)/50)+2)),modifier,stab*eff,AVERAGE(ARRAYFORMULA(FLOOR(base*modifier*SEQUENCE(16,1,85,1)/100)))/(FLOOR(((2*XLOOKUP($K14,'Pokemon Editor'!$A:$A,'Pokemon Editor'!$E:$E,0)+31+FLOOR($O14/4))*$L14)/100)+$L14+10)),0)</f>
        <v/>
      </c>
      <c r="F14" s="3">
        <f>FLOOR((FLOOR(((2*XLOOKUP($K14,'Pokemon Editor'!$A:$A,'Pokemon Editor'!$J:$J,0)+31+FLOOR($T14/4))*$L14)/100)+5)*XLOOKUP($M14,'Nature Editor'!$A:$A,'Nature Editor'!$F:$F,1))</f>
        <v/>
      </c>
      <c r="G14" s="3">
        <f>FLOOR((FLOOR(((2*XLOOKUP('Boss Editor'!$C$4,'Pokemon Editor'!$A:$A,'Pokemon Editor'!$J:$J,0)+31+FLOOR('Boss Editor'!$L$4/4))*'Boss Editor'!$D$4)/100)+5)*XLOOKUP('Boss Editor'!$E$4,'Nature Editor'!$A:$A,'Nature Editor'!$F:$F,1))</f>
        <v/>
      </c>
      <c r="H14" s="3">
        <f>IF(F14&gt;G14,"Yes","No")</f>
        <v/>
      </c>
      <c r="I14" s="3">
        <f>C14-E14</f>
        <v/>
      </c>
      <c r="J14" s="3">
        <f>IFS(AND(C14&gt;=0.5,E14&lt;0.5),"Dominant",AND(C14&gt;=0.35,E14&lt;0.75),"Strong",AND(C14&gt;=0.25,E14&lt;1),"Viable",AND(C14&gt;=0.15,E14&lt;1.25),"Risky",TRUE,"Poor")</f>
        <v/>
      </c>
      <c r="K14" s="3">
        <f>REDUCE($Y14,SEQUENCE(2),LAMBDA(current_species,unused_step,IFERROR(INDEX(FILTER('Evolution Editor'!$D$2:$D,'Evolution Editor'!$A$2:$A=current_species,'Evolution Editor'!$F$2:$F=TRUE,'Evolution Editor'!$E$2:$E&lt;=$L14),1),current_species)))</f>
        <v/>
      </c>
      <c r="L14" s="5" t="n">
        <v>15</v>
      </c>
      <c r="M14" s="5" t="inlineStr">
        <is>
          <t>Neutral</t>
        </is>
      </c>
      <c r="N14" s="5" t="inlineStr">
        <is>
          <t>ABILITY_RATTLED</t>
        </is>
      </c>
      <c r="O14" s="5" t="n">
        <v>0</v>
      </c>
      <c r="P14" s="5" t="n">
        <v>0</v>
      </c>
      <c r="Q14" s="5" t="n">
        <v>0</v>
      </c>
      <c r="R14" s="5" t="n">
        <v>0</v>
      </c>
      <c r="S14" s="5" t="n">
        <v>0</v>
      </c>
      <c r="T14" s="5" t="n">
        <v>0</v>
      </c>
      <c r="U14" s="3">
        <f>IFERROR(LET(mtype,XLOOKUP($B14,'Move Editor'!$B:$B,'Move Editor'!$C:$C,""),cat,XLOOKUP($B14,'Move Editor'!$B:$B,'Move Editor'!$D:$D,""),pow,XLOOKUP($B14,'Move Editor'!$B:$B,'Move Editor'!$E:$E,0),acc,XLOOKUP($B14,'Move Editor'!$B:$B,'Move Editor'!$F:$F,100),atk,IF(cat="Physical",FLOOR((FLOOR(((2*XLOOKUP($K14,'Pokemon Editor'!$A:$A,'Pokemon Editor'!$F:$F,0)+31+FLOOR($P14/4))*$L14)/100)+5)*XLOOKUP($M14,'Nature Editor'!$A:$A,'Nature Editor'!$B:$B,1)),FLOOR((FLOOR(((2*XLOOKUP($K14,'Pokemon Editor'!$A:$A,'Pokemon Editor'!$H:$H,0)+31+FLOOR($R14/4))*$L14)/100)+5)*XLOOKUP($M14,'Nature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Editor'!$E:$E,1))),stab,IF(OR(mtype=XLOOKUP($K14,'Pokemon Editor'!$A:$A,'Pokemon Editor'!$C:$C,""),mtype=XLOOKUP($K14,'Pokemon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Chart'!$B$1:$S$1,0)))),base,IF(OR(cat="Status",pow=0),0,FLOOR(FLOOR(FLOOR((2*$L14/5+2)*pow*atk/def)/50)+2)),modifier,stab*eff,FLOOR(base*modifier*0.85)),0)</f>
        <v/>
      </c>
      <c r="V14" s="3">
        <f>IFERROR(LET(mtype,XLOOKUP($B14,'Move Editor'!$B:$B,'Move Editor'!$C:$C,""),cat,XLOOKUP($B14,'Move Editor'!$B:$B,'Move Editor'!$D:$D,""),pow,XLOOKUP($B14,'Move Editor'!$B:$B,'Move Editor'!$E:$E,0),acc,XLOOKUP($B14,'Move Editor'!$B:$B,'Move Editor'!$F:$F,100),atk,IF(cat="Physical",FLOOR((FLOOR(((2*XLOOKUP($K14,'Pokemon Editor'!$A:$A,'Pokemon Editor'!$F:$F,0)+31+FLOOR($P14/4))*$L14)/100)+5)*XLOOKUP($M14,'Nature Editor'!$A:$A,'Nature Editor'!$B:$B,1)),FLOOR((FLOOR(((2*XLOOKUP($K14,'Pokemon Editor'!$A:$A,'Pokemon Editor'!$H:$H,0)+31+FLOOR($R14/4))*$L14)/100)+5)*XLOOKUP($M14,'Nature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Editor'!$E:$E,1))),stab,IF(OR(mtype=XLOOKUP($K14,'Pokemon Editor'!$A:$A,'Pokemon Editor'!$C:$C,""),mtype=XLOOKUP($K14,'Pokemon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Chart'!$B$1:$S$1,0)))),base,IF(OR(cat="Status",pow=0),0,FLOOR(FLOOR(FLOOR((2*$L14/5+2)*pow*atk/def)/50)+2)),modifier,stab*eff,FLOOR(base*modifier)),0)</f>
        <v/>
      </c>
      <c r="W14" s="3">
        <f>IFERROR(LET(mtype,XLOOKUP($D14,'Move Editor'!$B:$B,'Move Editor'!$C:$C,""),cat,XLOOKUP($D14,'Move Editor'!$B:$B,'Move Editor'!$D:$D,""),pow,XLOOKUP($D14,'Move Editor'!$B:$B,'Move Editor'!$E:$E,0),acc,XLOOKUP($D14,'Move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Editor'!$D:$D,1))),def,IF(cat="Physical",FLOOR((FLOOR(((2*XLOOKUP($K14,'Pokemon Editor'!$A:$A,'Pokemon Editor'!$G:$G,0)+31+FLOOR($Q14/4))*$L14)/100)+5)*XLOOKUP($M14,'Nature Editor'!$A:$A,'Nature Editor'!$C:$C,1)),FLOOR((FLOOR(((2*XLOOKUP($K14,'Pokemon Editor'!$A:$A,'Pokemon Editor'!$I:$I,0)+31+FLOOR($S14/4))*$L14)/100)+5)*XLOOKUP($M14,'Nature Editor'!$A:$A,'Nature Editor'!$E:$E,1))),stab,IF(OR(mtype=XLOOKUP('Boss Editor'!$C$4,'Pokemon Editor'!$A:$A,'Pokemon Editor'!$C:$C,""),mtype=XLOOKUP('Boss Editor'!$C$4,'Pokemon Editor'!$A:$A,'Pokemon Editor'!$D:$D,"")),1.5,1),eff,(INDEX('Type Chart'!$B:$S,MATCH(mtype,'Type Chart'!$A:$A,0),MATCH(XLOOKUP($K14,'Pokemon Editor'!$A:$A,'Pokemon Editor'!$C:$C,""),'Type Chart'!$B$1:$S$1,0))*IF(XLOOKUP($K14,'Pokemon Editor'!$A:$A,'Pokemon Editor'!$D:$D,"")="",1,INDEX('Type Chart'!$B:$S,MATCH(mtype,'Type Chart'!$A:$A,0),MATCH(XLOOKUP($K14,'Pokemon Editor'!$A:$A,'Pokemon Editor'!$D:$D,""),'Type Chart'!$B$1:$S$1,0)))),base,IF(OR(cat="Status",pow=0),0,FLOOR(FLOOR(FLOOR((2*'Boss Editor'!$D$4/5+2)*pow*atk/def)/50)+2)),modifier,stab*eff,FLOOR(base*modifier*0.85)),0)</f>
        <v/>
      </c>
      <c r="X14" s="3">
        <f>IFERROR(LET(mtype,XLOOKUP($D14,'Move Editor'!$B:$B,'Move Editor'!$C:$C,""),cat,XLOOKUP($D14,'Move Editor'!$B:$B,'Move Editor'!$D:$D,""),pow,XLOOKUP($D14,'Move Editor'!$B:$B,'Move Editor'!$E:$E,0),acc,XLOOKUP($D14,'Move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Editor'!$D:$D,1))),def,IF(cat="Physical",FLOOR((FLOOR(((2*XLOOKUP($K14,'Pokemon Editor'!$A:$A,'Pokemon Editor'!$G:$G,0)+31+FLOOR($Q14/4))*$L14)/100)+5)*XLOOKUP($M14,'Nature Editor'!$A:$A,'Nature Editor'!$C:$C,1)),FLOOR((FLOOR(((2*XLOOKUP($K14,'Pokemon Editor'!$A:$A,'Pokemon Editor'!$I:$I,0)+31+FLOOR($S14/4))*$L14)/100)+5)*XLOOKUP($M14,'Nature Editor'!$A:$A,'Nature Editor'!$E:$E,1))),stab,IF(OR(mtype=XLOOKUP('Boss Editor'!$C$4,'Pokemon Editor'!$A:$A,'Pokemon Editor'!$C:$C,""),mtype=XLOOKUP('Boss Editor'!$C$4,'Pokemon Editor'!$A:$A,'Pokemon Editor'!$D:$D,"")),1.5,1),eff,(INDEX('Type Chart'!$B:$S,MATCH(mtype,'Type Chart'!$A:$A,0),MATCH(XLOOKUP($K14,'Pokemon Editor'!$A:$A,'Pokemon Editor'!$C:$C,""),'Type Chart'!$B$1:$S$1,0))*IF(XLOOKUP($K14,'Pokemon Editor'!$A:$A,'Pokemon Editor'!$D:$D,"")="",1,INDEX('Type Chart'!$B:$S,MATCH(mtype,'Type Chart'!$A:$A,0),MATCH(XLOOKUP($K14,'Pokemon Editor'!$A:$A,'Pokemon Editor'!$D:$D,""),'Type Chart'!$B$1:$S$1,0)))),base,IF(OR(cat="Status",pow=0),0,FLOOR(FLOOR(FLOOR((2*'Boss Editor'!$D$4/5+2)*pow*atk/def)/50)+2)),modifier,stab*eff,FLOOR(base*modifier)),0)</f>
        <v/>
      </c>
      <c r="Y14" s="3" t="inlineStr">
        <is>
          <t>SPECIES_TOXEL</t>
        </is>
      </c>
      <c r="Z14" s="5" t="inlineStr"/>
    </row>
    <row r="15">
      <c r="A15" s="3">
        <f>XLOOKUP(K15,'Pokemon Editor'!$A:$A,'Pokemon Editor'!$B:$B,K15)</f>
        <v/>
      </c>
      <c r="B15" s="3">
        <f>IF($Z15&lt;&gt;"",$Z15,IFERROR(INDEX(FILTER('Move Comparison'!$D$2:$D,'Move Comparison'!$Q$2:$Q=$Y15,'Move Comparison'!$M$2:$M=MAXIFS('Move Comparison'!$M$2:$M,'Move Comparison'!$Q$2:$Q,$Y15),'Move Comparison'!$D$2:$D&lt;&gt;""),1),""))</f>
        <v/>
      </c>
      <c r="C15" s="4">
        <f>IFERROR(LET(mtype,XLOOKUP($B15,'Move Editor'!$B:$B,'Move Editor'!$C:$C,""),cat,XLOOKUP($B15,'Move Editor'!$B:$B,'Move Editor'!$D:$D,""),pow,XLOOKUP($B15,'Move Editor'!$B:$B,'Move Editor'!$E:$E,0),acc,XLOOKUP($B15,'Move Editor'!$B:$B,'Move Editor'!$F:$F,100),atk,IF(cat="Physical",FLOOR((FLOOR(((2*XLOOKUP($K15,'Pokemon Editor'!$A:$A,'Pokemon Editor'!$F:$F,0)+31+FLOOR($P15/4))*$L15)/100)+5)*XLOOKUP($M15,'Nature Editor'!$A:$A,'Nature Editor'!$B:$B,1)),FLOOR((FLOOR(((2*XLOOKUP($K15,'Pokemon Editor'!$A:$A,'Pokemon Editor'!$H:$H,0)+31+FLOOR($R15/4))*$L15)/100)+5)*XLOOKUP($M15,'Nature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Editor'!$E:$E,1))),stab,IF(OR(mtype=XLOOKUP($K15,'Pokemon Editor'!$A:$A,'Pokemon Editor'!$C:$C,""),mtype=XLOOKUP($K15,'Pokemon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Chart'!$B$1:$S$1,0)))),base,IF(OR(cat="Status",pow=0),0,FLOOR(FLOOR(FLOOR((2*$L15/5+2)*pow*atk/def)/50)+2)),modifier,stab*eff,AVERAGE(ARRAYFORMULA(FLOOR(base*modifier*SEQUENCE(16,1,85,1)/100)))/(FLOOR(((2*XLOOKUP('Boss Editor'!$C$4,'Pokemon Editor'!$A:$A,'Pokemon Editor'!$E:$E,0)+31+FLOOR('Boss Editor'!$G$4/4))*'Boss Editor'!$D$4)/100)+'Boss Editor'!$D$4+10)),0)</f>
        <v/>
      </c>
      <c r="D15" s="5" t="inlineStr">
        <is>
          <t>Acid</t>
        </is>
      </c>
      <c r="E15" s="4">
        <f>IFERROR(LET(mtype,XLOOKUP($D15,'Move Editor'!$B:$B,'Move Editor'!$C:$C,""),cat,XLOOKUP($D15,'Move Editor'!$B:$B,'Move Editor'!$D:$D,""),pow,XLOOKUP($D15,'Move Editor'!$B:$B,'Move Editor'!$E:$E,0),acc,XLOOKUP($D15,'Move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Editor'!$D:$D,1))),def,IF(cat="Physical",FLOOR((FLOOR(((2*XLOOKUP($K15,'Pokemon Editor'!$A:$A,'Pokemon Editor'!$G:$G,0)+31+FLOOR($Q15/4))*$L15)/100)+5)*XLOOKUP($M15,'Nature Editor'!$A:$A,'Nature Editor'!$C:$C,1)),FLOOR((FLOOR(((2*XLOOKUP($K15,'Pokemon Editor'!$A:$A,'Pokemon Editor'!$I:$I,0)+31+FLOOR($S15/4))*$L15)/100)+5)*XLOOKUP($M15,'Nature Editor'!$A:$A,'Nature Editor'!$E:$E,1))),stab,IF(OR(mtype=XLOOKUP('Boss Editor'!$C$4,'Pokemon Editor'!$A:$A,'Pokemon Editor'!$C:$C,""),mtype=XLOOKUP('Boss Editor'!$C$4,'Pokemon Editor'!$A:$A,'Pokemon Editor'!$D:$D,"")),1.5,1),eff,(INDEX('Type Chart'!$B:$S,MATCH(mtype,'Type Chart'!$A:$A,0),MATCH(XLOOKUP($K15,'Pokemon Editor'!$A:$A,'Pokemon Editor'!$C:$C,""),'Type Chart'!$B$1:$S$1,0))*IF(XLOOKUP($K15,'Pokemon Editor'!$A:$A,'Pokemon Editor'!$D:$D,"")="",1,INDEX('Type Chart'!$B:$S,MATCH(mtype,'Type Chart'!$A:$A,0),MATCH(XLOOKUP($K15,'Pokemon Editor'!$A:$A,'Pokemon Editor'!$D:$D,""),'Type Chart'!$B$1:$S$1,0)))),base,IF(OR(cat="Status",pow=0),0,FLOOR(FLOOR(FLOOR((2*'Boss Editor'!$D$4/5+2)*pow*atk/def)/50)+2)),modifier,stab*eff,AVERAGE(ARRAYFORMULA(FLOOR(base*modifier*SEQUENCE(16,1,85,1)/100)))/(FLOOR(((2*XLOOKUP($K15,'Pokemon Editor'!$A:$A,'Pokemon Editor'!$E:$E,0)+31+FLOOR($O15/4))*$L15)/100)+$L15+10)),0)</f>
        <v/>
      </c>
      <c r="F15" s="3">
        <f>FLOOR((FLOOR(((2*XLOOKUP($K15,'Pokemon Editor'!$A:$A,'Pokemon Editor'!$J:$J,0)+31+FLOOR($T15/4))*$L15)/100)+5)*XLOOKUP($M15,'Nature Editor'!$A:$A,'Nature Editor'!$F:$F,1))</f>
        <v/>
      </c>
      <c r="G15" s="3">
        <f>FLOOR((FLOOR(((2*XLOOKUP('Boss Editor'!$C$4,'Pokemon Editor'!$A:$A,'Pokemon Editor'!$J:$J,0)+31+FLOOR('Boss Editor'!$L$4/4))*'Boss Editor'!$D$4)/100)+5)*XLOOKUP('Boss Editor'!$E$4,'Nature Editor'!$A:$A,'Nature Editor'!$F:$F,1))</f>
        <v/>
      </c>
      <c r="H15" s="3">
        <f>IF(F15&gt;G15,"Yes","No")</f>
        <v/>
      </c>
      <c r="I15" s="3">
        <f>C15-E15</f>
        <v/>
      </c>
      <c r="J15" s="3">
        <f>IFS(AND(C15&gt;=0.5,E15&lt;0.5),"Dominant",AND(C15&gt;=0.35,E15&lt;0.75),"Strong",AND(C15&gt;=0.25,E15&lt;1),"Viable",AND(C15&gt;=0.15,E15&lt;1.25),"Risky",TRUE,"Poor")</f>
        <v/>
      </c>
      <c r="K15" s="3">
        <f>REDUCE($Y15,SEQUENCE(2),LAMBDA(current_species,unused_step,IFERROR(INDEX(FILTER('Evolution Editor'!$D$2:$D,'Evolution Editor'!$A$2:$A=current_species,'Evolution Editor'!$F$2:$F=TRUE,'Evolution Editor'!$E$2:$E&lt;=$L15),1),current_species)))</f>
        <v/>
      </c>
      <c r="L15" s="5" t="n">
        <v>15</v>
      </c>
      <c r="M15" s="5" t="inlineStr">
        <is>
          <t>Neutral</t>
        </is>
      </c>
      <c r="N15" s="5" t="inlineStr">
        <is>
          <t>ABILITY_GUTS</t>
        </is>
      </c>
      <c r="O15" s="5" t="n">
        <v>0</v>
      </c>
      <c r="P15" s="5" t="n">
        <v>0</v>
      </c>
      <c r="Q15" s="5" t="n">
        <v>0</v>
      </c>
      <c r="R15" s="5" t="n">
        <v>0</v>
      </c>
      <c r="S15" s="5" t="n">
        <v>0</v>
      </c>
      <c r="T15" s="5" t="n">
        <v>0</v>
      </c>
      <c r="U15" s="3">
        <f>IFERROR(LET(mtype,XLOOKUP($B15,'Move Editor'!$B:$B,'Move Editor'!$C:$C,""),cat,XLOOKUP($B15,'Move Editor'!$B:$B,'Move Editor'!$D:$D,""),pow,XLOOKUP($B15,'Move Editor'!$B:$B,'Move Editor'!$E:$E,0),acc,XLOOKUP($B15,'Move Editor'!$B:$B,'Move Editor'!$F:$F,100),atk,IF(cat="Physical",FLOOR((FLOOR(((2*XLOOKUP($K15,'Pokemon Editor'!$A:$A,'Pokemon Editor'!$F:$F,0)+31+FLOOR($P15/4))*$L15)/100)+5)*XLOOKUP($M15,'Nature Editor'!$A:$A,'Nature Editor'!$B:$B,1)),FLOOR((FLOOR(((2*XLOOKUP($K15,'Pokemon Editor'!$A:$A,'Pokemon Editor'!$H:$H,0)+31+FLOOR($R15/4))*$L15)/100)+5)*XLOOKUP($M15,'Nature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Editor'!$E:$E,1))),stab,IF(OR(mtype=XLOOKUP($K15,'Pokemon Editor'!$A:$A,'Pokemon Editor'!$C:$C,""),mtype=XLOOKUP($K15,'Pokemon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Chart'!$B$1:$S$1,0)))),base,IF(OR(cat="Status",pow=0),0,FLOOR(FLOOR(FLOOR((2*$L15/5+2)*pow*atk/def)/50)+2)),modifier,stab*eff,FLOOR(base*modifier*0.85)),0)</f>
        <v/>
      </c>
      <c r="V15" s="3">
        <f>IFERROR(LET(mtype,XLOOKUP($B15,'Move Editor'!$B:$B,'Move Editor'!$C:$C,""),cat,XLOOKUP($B15,'Move Editor'!$B:$B,'Move Editor'!$D:$D,""),pow,XLOOKUP($B15,'Move Editor'!$B:$B,'Move Editor'!$E:$E,0),acc,XLOOKUP($B15,'Move Editor'!$B:$B,'Move Editor'!$F:$F,100),atk,IF(cat="Physical",FLOOR((FLOOR(((2*XLOOKUP($K15,'Pokemon Editor'!$A:$A,'Pokemon Editor'!$F:$F,0)+31+FLOOR($P15/4))*$L15)/100)+5)*XLOOKUP($M15,'Nature Editor'!$A:$A,'Nature Editor'!$B:$B,1)),FLOOR((FLOOR(((2*XLOOKUP($K15,'Pokemon Editor'!$A:$A,'Pokemon Editor'!$H:$H,0)+31+FLOOR($R15/4))*$L15)/100)+5)*XLOOKUP($M15,'Nature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Editor'!$E:$E,1))),stab,IF(OR(mtype=XLOOKUP($K15,'Pokemon Editor'!$A:$A,'Pokemon Editor'!$C:$C,""),mtype=XLOOKUP($K15,'Pokemon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Chart'!$B$1:$S$1,0)))),base,IF(OR(cat="Status",pow=0),0,FLOOR(FLOOR(FLOOR((2*$L15/5+2)*pow*atk/def)/50)+2)),modifier,stab*eff,FLOOR(base*modifier)),0)</f>
        <v/>
      </c>
      <c r="W15" s="3">
        <f>IFERROR(LET(mtype,XLOOKUP($D15,'Move Editor'!$B:$B,'Move Editor'!$C:$C,""),cat,XLOOKUP($D15,'Move Editor'!$B:$B,'Move Editor'!$D:$D,""),pow,XLOOKUP($D15,'Move Editor'!$B:$B,'Move Editor'!$E:$E,0),acc,XLOOKUP($D15,'Move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Editor'!$D:$D,1))),def,IF(cat="Physical",FLOOR((FLOOR(((2*XLOOKUP($K15,'Pokemon Editor'!$A:$A,'Pokemon Editor'!$G:$G,0)+31+FLOOR($Q15/4))*$L15)/100)+5)*XLOOKUP($M15,'Nature Editor'!$A:$A,'Nature Editor'!$C:$C,1)),FLOOR((FLOOR(((2*XLOOKUP($K15,'Pokemon Editor'!$A:$A,'Pokemon Editor'!$I:$I,0)+31+FLOOR($S15/4))*$L15)/100)+5)*XLOOKUP($M15,'Nature Editor'!$A:$A,'Nature Editor'!$E:$E,1))),stab,IF(OR(mtype=XLOOKUP('Boss Editor'!$C$4,'Pokemon Editor'!$A:$A,'Pokemon Editor'!$C:$C,""),mtype=XLOOKUP('Boss Editor'!$C$4,'Pokemon Editor'!$A:$A,'Pokemon Editor'!$D:$D,"")),1.5,1),eff,(INDEX('Type Chart'!$B:$S,MATCH(mtype,'Type Chart'!$A:$A,0),MATCH(XLOOKUP($K15,'Pokemon Editor'!$A:$A,'Pokemon Editor'!$C:$C,""),'Type Chart'!$B$1:$S$1,0))*IF(XLOOKUP($K15,'Pokemon Editor'!$A:$A,'Pokemon Editor'!$D:$D,"")="",1,INDEX('Type Chart'!$B:$S,MATCH(mtype,'Type Chart'!$A:$A,0),MATCH(XLOOKUP($K15,'Pokemon Editor'!$A:$A,'Pokemon Editor'!$D:$D,""),'Type Chart'!$B$1:$S$1,0)))),base,IF(OR(cat="Status",pow=0),0,FLOOR(FLOOR(FLOOR((2*'Boss Editor'!$D$4/5+2)*pow*atk/def)/50)+2)),modifier,stab*eff,FLOOR(base*modifier*0.85)),0)</f>
        <v/>
      </c>
      <c r="X15" s="3">
        <f>IFERROR(LET(mtype,XLOOKUP($D15,'Move Editor'!$B:$B,'Move Editor'!$C:$C,""),cat,XLOOKUP($D15,'Move Editor'!$B:$B,'Move Editor'!$D:$D,""),pow,XLOOKUP($D15,'Move Editor'!$B:$B,'Move Editor'!$E:$E,0),acc,XLOOKUP($D15,'Move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Editor'!$D:$D,1))),def,IF(cat="Physical",FLOOR((FLOOR(((2*XLOOKUP($K15,'Pokemon Editor'!$A:$A,'Pokemon Editor'!$G:$G,0)+31+FLOOR($Q15/4))*$L15)/100)+5)*XLOOKUP($M15,'Nature Editor'!$A:$A,'Nature Editor'!$C:$C,1)),FLOOR((FLOOR(((2*XLOOKUP($K15,'Pokemon Editor'!$A:$A,'Pokemon Editor'!$I:$I,0)+31+FLOOR($S15/4))*$L15)/100)+5)*XLOOKUP($M15,'Nature Editor'!$A:$A,'Nature Editor'!$E:$E,1))),stab,IF(OR(mtype=XLOOKUP('Boss Editor'!$C$4,'Pokemon Editor'!$A:$A,'Pokemon Editor'!$C:$C,""),mtype=XLOOKUP('Boss Editor'!$C$4,'Pokemon Editor'!$A:$A,'Pokemon Editor'!$D:$D,"")),1.5,1),eff,(INDEX('Type Chart'!$B:$S,MATCH(mtype,'Type Chart'!$A:$A,0),MATCH(XLOOKUP($K15,'Pokemon Editor'!$A:$A,'Pokemon Editor'!$C:$C,""),'Type Chart'!$B$1:$S$1,0))*IF(XLOOKUP($K15,'Pokemon Editor'!$A:$A,'Pokemon Editor'!$D:$D,"")="",1,INDEX('Type Chart'!$B:$S,MATCH(mtype,'Type Chart'!$A:$A,0),MATCH(XLOOKUP($K15,'Pokemon Editor'!$A:$A,'Pokemon Editor'!$D:$D,""),'Type Chart'!$B$1:$S$1,0)))),base,IF(OR(cat="Status",pow=0),0,FLOOR(FLOOR(FLOOR((2*'Boss Editor'!$D$4/5+2)*pow*atk/def)/50)+2)),modifier,stab*eff,FLOOR(base*modifier)),0)</f>
        <v/>
      </c>
      <c r="Y15" s="3" t="inlineStr">
        <is>
          <t>SPECIES_TAILLOW</t>
        </is>
      </c>
      <c r="Z15" s="5" t="inlineStr"/>
    </row>
    <row r="16">
      <c r="A16" s="3">
        <f>XLOOKUP(K16,'Pokemon Editor'!$A:$A,'Pokemon Editor'!$B:$B,K16)</f>
        <v/>
      </c>
      <c r="B16" s="3">
        <f>IF($Z16&lt;&gt;"",$Z16,IFERROR(INDEX(FILTER('Move Comparison'!$D$2:$D,'Move Comparison'!$Q$2:$Q=$Y16,'Move Comparison'!$M$2:$M=MAXIFS('Move Comparison'!$M$2:$M,'Move Comparison'!$Q$2:$Q,$Y16),'Move Comparison'!$D$2:$D&lt;&gt;""),1),""))</f>
        <v/>
      </c>
      <c r="C16" s="4">
        <f>IFERROR(LET(mtype,XLOOKUP($B16,'Move Editor'!$B:$B,'Move Editor'!$C:$C,""),cat,XLOOKUP($B16,'Move Editor'!$B:$B,'Move Editor'!$D:$D,""),pow,XLOOKUP($B16,'Move Editor'!$B:$B,'Move Editor'!$E:$E,0),acc,XLOOKUP($B16,'Move Editor'!$B:$B,'Move Editor'!$F:$F,100),atk,IF(cat="Physical",FLOOR((FLOOR(((2*XLOOKUP($K16,'Pokemon Editor'!$A:$A,'Pokemon Editor'!$F:$F,0)+31+FLOOR($P16/4))*$L16)/100)+5)*XLOOKUP($M16,'Nature Editor'!$A:$A,'Nature Editor'!$B:$B,1)),FLOOR((FLOOR(((2*XLOOKUP($K16,'Pokemon Editor'!$A:$A,'Pokemon Editor'!$H:$H,0)+31+FLOOR($R16/4))*$L16)/100)+5)*XLOOKUP($M16,'Nature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Editor'!$E:$E,1))),stab,IF(OR(mtype=XLOOKUP($K16,'Pokemon Editor'!$A:$A,'Pokemon Editor'!$C:$C,""),mtype=XLOOKUP($K16,'Pokemon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Chart'!$B$1:$S$1,0)))),base,IF(OR(cat="Status",pow=0),0,FLOOR(FLOOR(FLOOR((2*$L16/5+2)*pow*atk/def)/50)+2)),modifier,stab*eff,AVERAGE(ARRAYFORMULA(FLOOR(base*modifier*SEQUENCE(16,1,85,1)/100)))/(FLOOR(((2*XLOOKUP('Boss Editor'!$C$4,'Pokemon Editor'!$A:$A,'Pokemon Editor'!$E:$E,0)+31+FLOOR('Boss Editor'!$G$4/4))*'Boss Editor'!$D$4)/100)+'Boss Editor'!$D$4+10)),0)</f>
        <v/>
      </c>
      <c r="D16" s="5" t="inlineStr">
        <is>
          <t>Acid</t>
        </is>
      </c>
      <c r="E16" s="4">
        <f>IFERROR(LET(mtype,XLOOKUP($D16,'Move Editor'!$B:$B,'Move Editor'!$C:$C,""),cat,XLOOKUP($D16,'Move Editor'!$B:$B,'Move Editor'!$D:$D,""),pow,XLOOKUP($D16,'Move Editor'!$B:$B,'Move Editor'!$E:$E,0),acc,XLOOKUP($D16,'Move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Editor'!$D:$D,1))),def,IF(cat="Physical",FLOOR((FLOOR(((2*XLOOKUP($K16,'Pokemon Editor'!$A:$A,'Pokemon Editor'!$G:$G,0)+31+FLOOR($Q16/4))*$L16)/100)+5)*XLOOKUP($M16,'Nature Editor'!$A:$A,'Nature Editor'!$C:$C,1)),FLOOR((FLOOR(((2*XLOOKUP($K16,'Pokemon Editor'!$A:$A,'Pokemon Editor'!$I:$I,0)+31+FLOOR($S16/4))*$L16)/100)+5)*XLOOKUP($M16,'Nature Editor'!$A:$A,'Nature Editor'!$E:$E,1))),stab,IF(OR(mtype=XLOOKUP('Boss Editor'!$C$4,'Pokemon Editor'!$A:$A,'Pokemon Editor'!$C:$C,""),mtype=XLOOKUP('Boss Editor'!$C$4,'Pokemon Editor'!$A:$A,'Pokemon Editor'!$D:$D,"")),1.5,1),eff,(INDEX('Type Chart'!$B:$S,MATCH(mtype,'Type Chart'!$A:$A,0),MATCH(XLOOKUP($K16,'Pokemon Editor'!$A:$A,'Pokemon Editor'!$C:$C,""),'Type Chart'!$B$1:$S$1,0))*IF(XLOOKUP($K16,'Pokemon Editor'!$A:$A,'Pokemon Editor'!$D:$D,"")="",1,INDEX('Type Chart'!$B:$S,MATCH(mtype,'Type Chart'!$A:$A,0),MATCH(XLOOKUP($K16,'Pokemon Editor'!$A:$A,'Pokemon Editor'!$D:$D,""),'Type Chart'!$B$1:$S$1,0)))),base,IF(OR(cat="Status",pow=0),0,FLOOR(FLOOR(FLOOR((2*'Boss Editor'!$D$4/5+2)*pow*atk/def)/50)+2)),modifier,stab*eff,AVERAGE(ARRAYFORMULA(FLOOR(base*modifier*SEQUENCE(16,1,85,1)/100)))/(FLOOR(((2*XLOOKUP($K16,'Pokemon Editor'!$A:$A,'Pokemon Editor'!$E:$E,0)+31+FLOOR($O16/4))*$L16)/100)+$L16+10)),0)</f>
        <v/>
      </c>
      <c r="F16" s="3">
        <f>FLOOR((FLOOR(((2*XLOOKUP($K16,'Pokemon Editor'!$A:$A,'Pokemon Editor'!$J:$J,0)+31+FLOOR($T16/4))*$L16)/100)+5)*XLOOKUP($M16,'Nature Editor'!$A:$A,'Nature Editor'!$F:$F,1))</f>
        <v/>
      </c>
      <c r="G16" s="3">
        <f>FLOOR((FLOOR(((2*XLOOKUP('Boss Editor'!$C$4,'Pokemon Editor'!$A:$A,'Pokemon Editor'!$J:$J,0)+31+FLOOR('Boss Editor'!$L$4/4))*'Boss Editor'!$D$4)/100)+5)*XLOOKUP('Boss Editor'!$E$4,'Nature Editor'!$A:$A,'Nature Editor'!$F:$F,1))</f>
        <v/>
      </c>
      <c r="H16" s="3">
        <f>IF(F16&gt;G16,"Yes","No")</f>
        <v/>
      </c>
      <c r="I16" s="3">
        <f>C16-E16</f>
        <v/>
      </c>
      <c r="J16" s="3">
        <f>IFS(AND(C16&gt;=0.5,E16&lt;0.5),"Dominant",AND(C16&gt;=0.35,E16&lt;0.75),"Strong",AND(C16&gt;=0.25,E16&lt;1),"Viable",AND(C16&gt;=0.15,E16&lt;1.25),"Risky",TRUE,"Poor")</f>
        <v/>
      </c>
      <c r="K16" s="3">
        <f>REDUCE($Y16,SEQUENCE(2),LAMBDA(current_species,unused_step,IFERROR(INDEX(FILTER('Evolution Editor'!$D$2:$D,'Evolution Editor'!$A$2:$A=current_species,'Evolution Editor'!$F$2:$F=TRUE,'Evolution Editor'!$E$2:$E&lt;=$L16),1),current_species)))</f>
        <v/>
      </c>
      <c r="L16" s="5" t="n">
        <v>15</v>
      </c>
      <c r="M16" s="5" t="inlineStr">
        <is>
          <t>Neutral</t>
        </is>
      </c>
      <c r="N16" s="5" t="inlineStr">
        <is>
          <t>ABILITY_KEEN_EYE</t>
        </is>
      </c>
      <c r="O16" s="5" t="n">
        <v>0</v>
      </c>
      <c r="P16" s="5" t="n">
        <v>0</v>
      </c>
      <c r="Q16" s="5" t="n">
        <v>0</v>
      </c>
      <c r="R16" s="5" t="n">
        <v>0</v>
      </c>
      <c r="S16" s="5" t="n">
        <v>0</v>
      </c>
      <c r="T16" s="5" t="n">
        <v>0</v>
      </c>
      <c r="U16" s="3">
        <f>IFERROR(LET(mtype,XLOOKUP($B16,'Move Editor'!$B:$B,'Move Editor'!$C:$C,""),cat,XLOOKUP($B16,'Move Editor'!$B:$B,'Move Editor'!$D:$D,""),pow,XLOOKUP($B16,'Move Editor'!$B:$B,'Move Editor'!$E:$E,0),acc,XLOOKUP($B16,'Move Editor'!$B:$B,'Move Editor'!$F:$F,100),atk,IF(cat="Physical",FLOOR((FLOOR(((2*XLOOKUP($K16,'Pokemon Editor'!$A:$A,'Pokemon Editor'!$F:$F,0)+31+FLOOR($P16/4))*$L16)/100)+5)*XLOOKUP($M16,'Nature Editor'!$A:$A,'Nature Editor'!$B:$B,1)),FLOOR((FLOOR(((2*XLOOKUP($K16,'Pokemon Editor'!$A:$A,'Pokemon Editor'!$H:$H,0)+31+FLOOR($R16/4))*$L16)/100)+5)*XLOOKUP($M16,'Nature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Editor'!$E:$E,1))),stab,IF(OR(mtype=XLOOKUP($K16,'Pokemon Editor'!$A:$A,'Pokemon Editor'!$C:$C,""),mtype=XLOOKUP($K16,'Pokemon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Chart'!$B$1:$S$1,0)))),base,IF(OR(cat="Status",pow=0),0,FLOOR(FLOOR(FLOOR((2*$L16/5+2)*pow*atk/def)/50)+2)),modifier,stab*eff,FLOOR(base*modifier*0.85)),0)</f>
        <v/>
      </c>
      <c r="V16" s="3">
        <f>IFERROR(LET(mtype,XLOOKUP($B16,'Move Editor'!$B:$B,'Move Editor'!$C:$C,""),cat,XLOOKUP($B16,'Move Editor'!$B:$B,'Move Editor'!$D:$D,""),pow,XLOOKUP($B16,'Move Editor'!$B:$B,'Move Editor'!$E:$E,0),acc,XLOOKUP($B16,'Move Editor'!$B:$B,'Move Editor'!$F:$F,100),atk,IF(cat="Physical",FLOOR((FLOOR(((2*XLOOKUP($K16,'Pokemon Editor'!$A:$A,'Pokemon Editor'!$F:$F,0)+31+FLOOR($P16/4))*$L16)/100)+5)*XLOOKUP($M16,'Nature Editor'!$A:$A,'Nature Editor'!$B:$B,1)),FLOOR((FLOOR(((2*XLOOKUP($K16,'Pokemon Editor'!$A:$A,'Pokemon Editor'!$H:$H,0)+31+FLOOR($R16/4))*$L16)/100)+5)*XLOOKUP($M16,'Nature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Editor'!$E:$E,1))),stab,IF(OR(mtype=XLOOKUP($K16,'Pokemon Editor'!$A:$A,'Pokemon Editor'!$C:$C,""),mtype=XLOOKUP($K16,'Pokemon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Chart'!$B$1:$S$1,0)))),base,IF(OR(cat="Status",pow=0),0,FLOOR(FLOOR(FLOOR((2*$L16/5+2)*pow*atk/def)/50)+2)),modifier,stab*eff,FLOOR(base*modifier)),0)</f>
        <v/>
      </c>
      <c r="W16" s="3">
        <f>IFERROR(LET(mtype,XLOOKUP($D16,'Move Editor'!$B:$B,'Move Editor'!$C:$C,""),cat,XLOOKUP($D16,'Move Editor'!$B:$B,'Move Editor'!$D:$D,""),pow,XLOOKUP($D16,'Move Editor'!$B:$B,'Move Editor'!$E:$E,0),acc,XLOOKUP($D16,'Move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Editor'!$D:$D,1))),def,IF(cat="Physical",FLOOR((FLOOR(((2*XLOOKUP($K16,'Pokemon Editor'!$A:$A,'Pokemon Editor'!$G:$G,0)+31+FLOOR($Q16/4))*$L16)/100)+5)*XLOOKUP($M16,'Nature Editor'!$A:$A,'Nature Editor'!$C:$C,1)),FLOOR((FLOOR(((2*XLOOKUP($K16,'Pokemon Editor'!$A:$A,'Pokemon Editor'!$I:$I,0)+31+FLOOR($S16/4))*$L16)/100)+5)*XLOOKUP($M16,'Nature Editor'!$A:$A,'Nature Editor'!$E:$E,1))),stab,IF(OR(mtype=XLOOKUP('Boss Editor'!$C$4,'Pokemon Editor'!$A:$A,'Pokemon Editor'!$C:$C,""),mtype=XLOOKUP('Boss Editor'!$C$4,'Pokemon Editor'!$A:$A,'Pokemon Editor'!$D:$D,"")),1.5,1),eff,(INDEX('Type Chart'!$B:$S,MATCH(mtype,'Type Chart'!$A:$A,0),MATCH(XLOOKUP($K16,'Pokemon Editor'!$A:$A,'Pokemon Editor'!$C:$C,""),'Type Chart'!$B$1:$S$1,0))*IF(XLOOKUP($K16,'Pokemon Editor'!$A:$A,'Pokemon Editor'!$D:$D,"")="",1,INDEX('Type Chart'!$B:$S,MATCH(mtype,'Type Chart'!$A:$A,0),MATCH(XLOOKUP($K16,'Pokemon Editor'!$A:$A,'Pokemon Editor'!$D:$D,""),'Type Chart'!$B$1:$S$1,0)))),base,IF(OR(cat="Status",pow=0),0,FLOOR(FLOOR(FLOOR((2*'Boss Editor'!$D$4/5+2)*pow*atk/def)/50)+2)),modifier,stab*eff,FLOOR(base*modifier*0.85)),0)</f>
        <v/>
      </c>
      <c r="X16" s="3">
        <f>IFERROR(LET(mtype,XLOOKUP($D16,'Move Editor'!$B:$B,'Move Editor'!$C:$C,""),cat,XLOOKUP($D16,'Move Editor'!$B:$B,'Move Editor'!$D:$D,""),pow,XLOOKUP($D16,'Move Editor'!$B:$B,'Move Editor'!$E:$E,0),acc,XLOOKUP($D16,'Move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Editor'!$D:$D,1))),def,IF(cat="Physical",FLOOR((FLOOR(((2*XLOOKUP($K16,'Pokemon Editor'!$A:$A,'Pokemon Editor'!$G:$G,0)+31+FLOOR($Q16/4))*$L16)/100)+5)*XLOOKUP($M16,'Nature Editor'!$A:$A,'Nature Editor'!$C:$C,1)),FLOOR((FLOOR(((2*XLOOKUP($K16,'Pokemon Editor'!$A:$A,'Pokemon Editor'!$I:$I,0)+31+FLOOR($S16/4))*$L16)/100)+5)*XLOOKUP($M16,'Nature Editor'!$A:$A,'Nature Editor'!$E:$E,1))),stab,IF(OR(mtype=XLOOKUP('Boss Editor'!$C$4,'Pokemon Editor'!$A:$A,'Pokemon Editor'!$C:$C,""),mtype=XLOOKUP('Boss Editor'!$C$4,'Pokemon Editor'!$A:$A,'Pokemon Editor'!$D:$D,"")),1.5,1),eff,(INDEX('Type Chart'!$B:$S,MATCH(mtype,'Type Chart'!$A:$A,0),MATCH(XLOOKUP($K16,'Pokemon Editor'!$A:$A,'Pokemon Editor'!$C:$C,""),'Type Chart'!$B$1:$S$1,0))*IF(XLOOKUP($K16,'Pokemon Editor'!$A:$A,'Pokemon Editor'!$D:$D,"")="",1,INDEX('Type Chart'!$B:$S,MATCH(mtype,'Type Chart'!$A:$A,0),MATCH(XLOOKUP($K16,'Pokemon Editor'!$A:$A,'Pokemon Editor'!$D:$D,""),'Type Chart'!$B$1:$S$1,0)))),base,IF(OR(cat="Status",pow=0),0,FLOOR(FLOOR(FLOOR((2*'Boss Editor'!$D$4/5+2)*pow*atk/def)/50)+2)),modifier,stab*eff,FLOOR(base*modifier)),0)</f>
        <v/>
      </c>
      <c r="Y16" s="3" t="inlineStr">
        <is>
          <t>SPECIES_STARLY</t>
        </is>
      </c>
      <c r="Z16" s="5" t="inlineStr"/>
    </row>
    <row r="17">
      <c r="A17" s="3">
        <f>XLOOKUP(K17,'Pokemon Editor'!$A:$A,'Pokemon Editor'!$B:$B,K17)</f>
        <v/>
      </c>
      <c r="B17" s="3">
        <f>IF($Z17&lt;&gt;"",$Z17,IFERROR(INDEX(FILTER('Move Comparison'!$D$2:$D,'Move Comparison'!$Q$2:$Q=$Y17,'Move Comparison'!$M$2:$M=MAXIFS('Move Comparison'!$M$2:$M,'Move Comparison'!$Q$2:$Q,$Y17),'Move Comparison'!$D$2:$D&lt;&gt;""),1),""))</f>
        <v/>
      </c>
      <c r="C17" s="4">
        <f>IFERROR(LET(mtype,XLOOKUP($B17,'Move Editor'!$B:$B,'Move Editor'!$C:$C,""),cat,XLOOKUP($B17,'Move Editor'!$B:$B,'Move Editor'!$D:$D,""),pow,XLOOKUP($B17,'Move Editor'!$B:$B,'Move Editor'!$E:$E,0),acc,XLOOKUP($B17,'Move Editor'!$B:$B,'Move Editor'!$F:$F,100),atk,IF(cat="Physical",FLOOR((FLOOR(((2*XLOOKUP($K17,'Pokemon Editor'!$A:$A,'Pokemon Editor'!$F:$F,0)+31+FLOOR($P17/4))*$L17)/100)+5)*XLOOKUP($M17,'Nature Editor'!$A:$A,'Nature Editor'!$B:$B,1)),FLOOR((FLOOR(((2*XLOOKUP($K17,'Pokemon Editor'!$A:$A,'Pokemon Editor'!$H:$H,0)+31+FLOOR($R17/4))*$L17)/100)+5)*XLOOKUP($M17,'Nature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Editor'!$E:$E,1))),stab,IF(OR(mtype=XLOOKUP($K17,'Pokemon Editor'!$A:$A,'Pokemon Editor'!$C:$C,""),mtype=XLOOKUP($K17,'Pokemon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Chart'!$B$1:$S$1,0)))),base,IF(OR(cat="Status",pow=0),0,FLOOR(FLOOR(FLOOR((2*$L17/5+2)*pow*atk/def)/50)+2)),modifier,stab*eff,AVERAGE(ARRAYFORMULA(FLOOR(base*modifier*SEQUENCE(16,1,85,1)/100)))/(FLOOR(((2*XLOOKUP('Boss Editor'!$C$4,'Pokemon Editor'!$A:$A,'Pokemon Editor'!$E:$E,0)+31+FLOOR('Boss Editor'!$G$4/4))*'Boss Editor'!$D$4)/100)+'Boss Editor'!$D$4+10)),0)</f>
        <v/>
      </c>
      <c r="D17" s="5" t="inlineStr">
        <is>
          <t>Acid</t>
        </is>
      </c>
      <c r="E17" s="4">
        <f>IFERROR(LET(mtype,XLOOKUP($D17,'Move Editor'!$B:$B,'Move Editor'!$C:$C,""),cat,XLOOKUP($D17,'Move Editor'!$B:$B,'Move Editor'!$D:$D,""),pow,XLOOKUP($D17,'Move Editor'!$B:$B,'Move Editor'!$E:$E,0),acc,XLOOKUP($D17,'Move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Editor'!$D:$D,1))),def,IF(cat="Physical",FLOOR((FLOOR(((2*XLOOKUP($K17,'Pokemon Editor'!$A:$A,'Pokemon Editor'!$G:$G,0)+31+FLOOR($Q17/4))*$L17)/100)+5)*XLOOKUP($M17,'Nature Editor'!$A:$A,'Nature Editor'!$C:$C,1)),FLOOR((FLOOR(((2*XLOOKUP($K17,'Pokemon Editor'!$A:$A,'Pokemon Editor'!$I:$I,0)+31+FLOOR($S17/4))*$L17)/100)+5)*XLOOKUP($M17,'Nature Editor'!$A:$A,'Nature Editor'!$E:$E,1))),stab,IF(OR(mtype=XLOOKUP('Boss Editor'!$C$4,'Pokemon Editor'!$A:$A,'Pokemon Editor'!$C:$C,""),mtype=XLOOKUP('Boss Editor'!$C$4,'Pokemon Editor'!$A:$A,'Pokemon Editor'!$D:$D,"")),1.5,1),eff,(INDEX('Type Chart'!$B:$S,MATCH(mtype,'Type Chart'!$A:$A,0),MATCH(XLOOKUP($K17,'Pokemon Editor'!$A:$A,'Pokemon Editor'!$C:$C,""),'Type Chart'!$B$1:$S$1,0))*IF(XLOOKUP($K17,'Pokemon Editor'!$A:$A,'Pokemon Editor'!$D:$D,"")="",1,INDEX('Type Chart'!$B:$S,MATCH(mtype,'Type Chart'!$A:$A,0),MATCH(XLOOKUP($K17,'Pokemon Editor'!$A:$A,'Pokemon Editor'!$D:$D,""),'Type Chart'!$B$1:$S$1,0)))),base,IF(OR(cat="Status",pow=0),0,FLOOR(FLOOR(FLOOR((2*'Boss Editor'!$D$4/5+2)*pow*atk/def)/50)+2)),modifier,stab*eff,AVERAGE(ARRAYFORMULA(FLOOR(base*modifier*SEQUENCE(16,1,85,1)/100)))/(FLOOR(((2*XLOOKUP($K17,'Pokemon Editor'!$A:$A,'Pokemon Editor'!$E:$E,0)+31+FLOOR($O17/4))*$L17)/100)+$L17+10)),0)</f>
        <v/>
      </c>
      <c r="F17" s="3">
        <f>FLOOR((FLOOR(((2*XLOOKUP($K17,'Pokemon Editor'!$A:$A,'Pokemon Editor'!$J:$J,0)+31+FLOOR($T17/4))*$L17)/100)+5)*XLOOKUP($M17,'Nature Editor'!$A:$A,'Nature Editor'!$F:$F,1))</f>
        <v/>
      </c>
      <c r="G17" s="3">
        <f>FLOOR((FLOOR(((2*XLOOKUP('Boss Editor'!$C$4,'Pokemon Editor'!$A:$A,'Pokemon Editor'!$J:$J,0)+31+FLOOR('Boss Editor'!$L$4/4))*'Boss Editor'!$D$4)/100)+5)*XLOOKUP('Boss Editor'!$E$4,'Nature Editor'!$A:$A,'Nature Editor'!$F:$F,1))</f>
        <v/>
      </c>
      <c r="H17" s="3">
        <f>IF(F17&gt;G17,"Yes","No")</f>
        <v/>
      </c>
      <c r="I17" s="3">
        <f>C17-E17</f>
        <v/>
      </c>
      <c r="J17" s="3">
        <f>IFS(AND(C17&gt;=0.5,E17&lt;0.5),"Dominant",AND(C17&gt;=0.35,E17&lt;0.75),"Strong",AND(C17&gt;=0.25,E17&lt;1),"Viable",AND(C17&gt;=0.15,E17&lt;1.25),"Risky",TRUE,"Poor")</f>
        <v/>
      </c>
      <c r="K17" s="3">
        <f>REDUCE($Y17,SEQUENCE(2),LAMBDA(current_species,unused_step,IFERROR(INDEX(FILTER('Evolution Editor'!$D$2:$D,'Evolution Editor'!$A$2:$A=current_species,'Evolution Editor'!$F$2:$F=TRUE,'Evolution Editor'!$E$2:$E&lt;=$L17),1),current_species)))</f>
        <v/>
      </c>
      <c r="L17" s="5" t="n">
        <v>15</v>
      </c>
      <c r="M17" s="5" t="inlineStr">
        <is>
          <t>Neutral</t>
        </is>
      </c>
      <c r="N17" s="5" t="inlineStr">
        <is>
          <t>ABILITY_WIND_POWER</t>
        </is>
      </c>
      <c r="O17" s="5" t="n">
        <v>0</v>
      </c>
      <c r="P17" s="5" t="n">
        <v>0</v>
      </c>
      <c r="Q17" s="5" t="n">
        <v>0</v>
      </c>
      <c r="R17" s="5" t="n">
        <v>0</v>
      </c>
      <c r="S17" s="5" t="n">
        <v>0</v>
      </c>
      <c r="T17" s="5" t="n">
        <v>0</v>
      </c>
      <c r="U17" s="3">
        <f>IFERROR(LET(mtype,XLOOKUP($B17,'Move Editor'!$B:$B,'Move Editor'!$C:$C,""),cat,XLOOKUP($B17,'Move Editor'!$B:$B,'Move Editor'!$D:$D,""),pow,XLOOKUP($B17,'Move Editor'!$B:$B,'Move Editor'!$E:$E,0),acc,XLOOKUP($B17,'Move Editor'!$B:$B,'Move Editor'!$F:$F,100),atk,IF(cat="Physical",FLOOR((FLOOR(((2*XLOOKUP($K17,'Pokemon Editor'!$A:$A,'Pokemon Editor'!$F:$F,0)+31+FLOOR($P17/4))*$L17)/100)+5)*XLOOKUP($M17,'Nature Editor'!$A:$A,'Nature Editor'!$B:$B,1)),FLOOR((FLOOR(((2*XLOOKUP($K17,'Pokemon Editor'!$A:$A,'Pokemon Editor'!$H:$H,0)+31+FLOOR($R17/4))*$L17)/100)+5)*XLOOKUP($M17,'Nature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Editor'!$E:$E,1))),stab,IF(OR(mtype=XLOOKUP($K17,'Pokemon Editor'!$A:$A,'Pokemon Editor'!$C:$C,""),mtype=XLOOKUP($K17,'Pokemon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Chart'!$B$1:$S$1,0)))),base,IF(OR(cat="Status",pow=0),0,FLOOR(FLOOR(FLOOR((2*$L17/5+2)*pow*atk/def)/50)+2)),modifier,stab*eff,FLOOR(base*modifier*0.85)),0)</f>
        <v/>
      </c>
      <c r="V17" s="3">
        <f>IFERROR(LET(mtype,XLOOKUP($B17,'Move Editor'!$B:$B,'Move Editor'!$C:$C,""),cat,XLOOKUP($B17,'Move Editor'!$B:$B,'Move Editor'!$D:$D,""),pow,XLOOKUP($B17,'Move Editor'!$B:$B,'Move Editor'!$E:$E,0),acc,XLOOKUP($B17,'Move Editor'!$B:$B,'Move Editor'!$F:$F,100),atk,IF(cat="Physical",FLOOR((FLOOR(((2*XLOOKUP($K17,'Pokemon Editor'!$A:$A,'Pokemon Editor'!$F:$F,0)+31+FLOOR($P17/4))*$L17)/100)+5)*XLOOKUP($M17,'Nature Editor'!$A:$A,'Nature Editor'!$B:$B,1)),FLOOR((FLOOR(((2*XLOOKUP($K17,'Pokemon Editor'!$A:$A,'Pokemon Editor'!$H:$H,0)+31+FLOOR($R17/4))*$L17)/100)+5)*XLOOKUP($M17,'Nature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Editor'!$E:$E,1))),stab,IF(OR(mtype=XLOOKUP($K17,'Pokemon Editor'!$A:$A,'Pokemon Editor'!$C:$C,""),mtype=XLOOKUP($K17,'Pokemon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Chart'!$B$1:$S$1,0)))),base,IF(OR(cat="Status",pow=0),0,FLOOR(FLOOR(FLOOR((2*$L17/5+2)*pow*atk/def)/50)+2)),modifier,stab*eff,FLOOR(base*modifier)),0)</f>
        <v/>
      </c>
      <c r="W17" s="3">
        <f>IFERROR(LET(mtype,XLOOKUP($D17,'Move Editor'!$B:$B,'Move Editor'!$C:$C,""),cat,XLOOKUP($D17,'Move Editor'!$B:$B,'Move Editor'!$D:$D,""),pow,XLOOKUP($D17,'Move Editor'!$B:$B,'Move Editor'!$E:$E,0),acc,XLOOKUP($D17,'Move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Editor'!$D:$D,1))),def,IF(cat="Physical",FLOOR((FLOOR(((2*XLOOKUP($K17,'Pokemon Editor'!$A:$A,'Pokemon Editor'!$G:$G,0)+31+FLOOR($Q17/4))*$L17)/100)+5)*XLOOKUP($M17,'Nature Editor'!$A:$A,'Nature Editor'!$C:$C,1)),FLOOR((FLOOR(((2*XLOOKUP($K17,'Pokemon Editor'!$A:$A,'Pokemon Editor'!$I:$I,0)+31+FLOOR($S17/4))*$L17)/100)+5)*XLOOKUP($M17,'Nature Editor'!$A:$A,'Nature Editor'!$E:$E,1))),stab,IF(OR(mtype=XLOOKUP('Boss Editor'!$C$4,'Pokemon Editor'!$A:$A,'Pokemon Editor'!$C:$C,""),mtype=XLOOKUP('Boss Editor'!$C$4,'Pokemon Editor'!$A:$A,'Pokemon Editor'!$D:$D,"")),1.5,1),eff,(INDEX('Type Chart'!$B:$S,MATCH(mtype,'Type Chart'!$A:$A,0),MATCH(XLOOKUP($K17,'Pokemon Editor'!$A:$A,'Pokemon Editor'!$C:$C,""),'Type Chart'!$B$1:$S$1,0))*IF(XLOOKUP($K17,'Pokemon Editor'!$A:$A,'Pokemon Editor'!$D:$D,"")="",1,INDEX('Type Chart'!$B:$S,MATCH(mtype,'Type Chart'!$A:$A,0),MATCH(XLOOKUP($K17,'Pokemon Editor'!$A:$A,'Pokemon Editor'!$D:$D,""),'Type Chart'!$B$1:$S$1,0)))),base,IF(OR(cat="Status",pow=0),0,FLOOR(FLOOR(FLOOR((2*'Boss Editor'!$D$4/5+2)*pow*atk/def)/50)+2)),modifier,stab*eff,FLOOR(base*modifier*0.85)),0)</f>
        <v/>
      </c>
      <c r="X17" s="3">
        <f>IFERROR(LET(mtype,XLOOKUP($D17,'Move Editor'!$B:$B,'Move Editor'!$C:$C,""),cat,XLOOKUP($D17,'Move Editor'!$B:$B,'Move Editor'!$D:$D,""),pow,XLOOKUP($D17,'Move Editor'!$B:$B,'Move Editor'!$E:$E,0),acc,XLOOKUP($D17,'Move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Editor'!$D:$D,1))),def,IF(cat="Physical",FLOOR((FLOOR(((2*XLOOKUP($K17,'Pokemon Editor'!$A:$A,'Pokemon Editor'!$G:$G,0)+31+FLOOR($Q17/4))*$L17)/100)+5)*XLOOKUP($M17,'Nature Editor'!$A:$A,'Nature Editor'!$C:$C,1)),FLOOR((FLOOR(((2*XLOOKUP($K17,'Pokemon Editor'!$A:$A,'Pokemon Editor'!$I:$I,0)+31+FLOOR($S17/4))*$L17)/100)+5)*XLOOKUP($M17,'Nature Editor'!$A:$A,'Nature Editor'!$E:$E,1))),stab,IF(OR(mtype=XLOOKUP('Boss Editor'!$C$4,'Pokemon Editor'!$A:$A,'Pokemon Editor'!$C:$C,""),mtype=XLOOKUP('Boss Editor'!$C$4,'Pokemon Editor'!$A:$A,'Pokemon Editor'!$D:$D,"")),1.5,1),eff,(INDEX('Type Chart'!$B:$S,MATCH(mtype,'Type Chart'!$A:$A,0),MATCH(XLOOKUP($K17,'Pokemon Editor'!$A:$A,'Pokemon Editor'!$C:$C,""),'Type Chart'!$B$1:$S$1,0))*IF(XLOOKUP($K17,'Pokemon Editor'!$A:$A,'Pokemon Editor'!$D:$D,"")="",1,INDEX('Type Chart'!$B:$S,MATCH(mtype,'Type Chart'!$A:$A,0),MATCH(XLOOKUP($K17,'Pokemon Editor'!$A:$A,'Pokemon Editor'!$D:$D,""),'Type Chart'!$B$1:$S$1,0)))),base,IF(OR(cat="Status",pow=0),0,FLOOR(FLOOR(FLOOR((2*'Boss Editor'!$D$4/5+2)*pow*atk/def)/50)+2)),modifier,stab*eff,FLOOR(base*modifier)),0)</f>
        <v/>
      </c>
      <c r="Y17" s="3" t="inlineStr">
        <is>
          <t>SPECIES_WATTREL</t>
        </is>
      </c>
      <c r="Z17" s="5" t="inlineStr"/>
    </row>
    <row r="18">
      <c r="A18" s="3">
        <f>XLOOKUP(K18,'Pokemon Editor'!$A:$A,'Pokemon Editor'!$B:$B,K18)</f>
        <v/>
      </c>
      <c r="B18" s="3">
        <f>IF($Z18&lt;&gt;"",$Z18,IFERROR(INDEX(FILTER('Move Comparison'!$D$2:$D,'Move Comparison'!$Q$2:$Q=$Y18,'Move Comparison'!$M$2:$M=MAXIFS('Move Comparison'!$M$2:$M,'Move Comparison'!$Q$2:$Q,$Y18),'Move Comparison'!$D$2:$D&lt;&gt;""),1),""))</f>
        <v/>
      </c>
      <c r="C18" s="4">
        <f>IFERROR(LET(mtype,XLOOKUP($B18,'Move Editor'!$B:$B,'Move Editor'!$C:$C,""),cat,XLOOKUP($B18,'Move Editor'!$B:$B,'Move Editor'!$D:$D,""),pow,XLOOKUP($B18,'Move Editor'!$B:$B,'Move Editor'!$E:$E,0),acc,XLOOKUP($B18,'Move Editor'!$B:$B,'Move Editor'!$F:$F,100),atk,IF(cat="Physical",FLOOR((FLOOR(((2*XLOOKUP($K18,'Pokemon Editor'!$A:$A,'Pokemon Editor'!$F:$F,0)+31+FLOOR($P18/4))*$L18)/100)+5)*XLOOKUP($M18,'Nature Editor'!$A:$A,'Nature Editor'!$B:$B,1)),FLOOR((FLOOR(((2*XLOOKUP($K18,'Pokemon Editor'!$A:$A,'Pokemon Editor'!$H:$H,0)+31+FLOOR($R18/4))*$L18)/100)+5)*XLOOKUP($M18,'Nature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Editor'!$E:$E,1))),stab,IF(OR(mtype=XLOOKUP($K18,'Pokemon Editor'!$A:$A,'Pokemon Editor'!$C:$C,""),mtype=XLOOKUP($K18,'Pokemon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Chart'!$B$1:$S$1,0)))),base,IF(OR(cat="Status",pow=0),0,FLOOR(FLOOR(FLOOR((2*$L18/5+2)*pow*atk/def)/50)+2)),modifier,stab*eff,AVERAGE(ARRAYFORMULA(FLOOR(base*modifier*SEQUENCE(16,1,85,1)/100)))/(FLOOR(((2*XLOOKUP('Boss Editor'!$C$4,'Pokemon Editor'!$A:$A,'Pokemon Editor'!$E:$E,0)+31+FLOOR('Boss Editor'!$G$4/4))*'Boss Editor'!$D$4)/100)+'Boss Editor'!$D$4+10)),0)</f>
        <v/>
      </c>
      <c r="D18" s="5" t="inlineStr">
        <is>
          <t>Acid</t>
        </is>
      </c>
      <c r="E18" s="4">
        <f>IFERROR(LET(mtype,XLOOKUP($D18,'Move Editor'!$B:$B,'Move Editor'!$C:$C,""),cat,XLOOKUP($D18,'Move Editor'!$B:$B,'Move Editor'!$D:$D,""),pow,XLOOKUP($D18,'Move Editor'!$B:$B,'Move Editor'!$E:$E,0),acc,XLOOKUP($D18,'Move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Editor'!$D:$D,1))),def,IF(cat="Physical",FLOOR((FLOOR(((2*XLOOKUP($K18,'Pokemon Editor'!$A:$A,'Pokemon Editor'!$G:$G,0)+31+FLOOR($Q18/4))*$L18)/100)+5)*XLOOKUP($M18,'Nature Editor'!$A:$A,'Nature Editor'!$C:$C,1)),FLOOR((FLOOR(((2*XLOOKUP($K18,'Pokemon Editor'!$A:$A,'Pokemon Editor'!$I:$I,0)+31+FLOOR($S18/4))*$L18)/100)+5)*XLOOKUP($M18,'Nature Editor'!$A:$A,'Nature Editor'!$E:$E,1))),stab,IF(OR(mtype=XLOOKUP('Boss Editor'!$C$4,'Pokemon Editor'!$A:$A,'Pokemon Editor'!$C:$C,""),mtype=XLOOKUP('Boss Editor'!$C$4,'Pokemon Editor'!$A:$A,'Pokemon Editor'!$D:$D,"")),1.5,1),eff,(INDEX('Type Chart'!$B:$S,MATCH(mtype,'Type Chart'!$A:$A,0),MATCH(XLOOKUP($K18,'Pokemon Editor'!$A:$A,'Pokemon Editor'!$C:$C,""),'Type Chart'!$B$1:$S$1,0))*IF(XLOOKUP($K18,'Pokemon Editor'!$A:$A,'Pokemon Editor'!$D:$D,"")="",1,INDEX('Type Chart'!$B:$S,MATCH(mtype,'Type Chart'!$A:$A,0),MATCH(XLOOKUP($K18,'Pokemon Editor'!$A:$A,'Pokemon Editor'!$D:$D,""),'Type Chart'!$B$1:$S$1,0)))),base,IF(OR(cat="Status",pow=0),0,FLOOR(FLOOR(FLOOR((2*'Boss Editor'!$D$4/5+2)*pow*atk/def)/50)+2)),modifier,stab*eff,AVERAGE(ARRAYFORMULA(FLOOR(base*modifier*SEQUENCE(16,1,85,1)/100)))/(FLOOR(((2*XLOOKUP($K18,'Pokemon Editor'!$A:$A,'Pokemon Editor'!$E:$E,0)+31+FLOOR($O18/4))*$L18)/100)+$L18+10)),0)</f>
        <v/>
      </c>
      <c r="F18" s="3">
        <f>FLOOR((FLOOR(((2*XLOOKUP($K18,'Pokemon Editor'!$A:$A,'Pokemon Editor'!$J:$J,0)+31+FLOOR($T18/4))*$L18)/100)+5)*XLOOKUP($M18,'Nature Editor'!$A:$A,'Nature Editor'!$F:$F,1))</f>
        <v/>
      </c>
      <c r="G18" s="3">
        <f>FLOOR((FLOOR(((2*XLOOKUP('Boss Editor'!$C$4,'Pokemon Editor'!$A:$A,'Pokemon Editor'!$J:$J,0)+31+FLOOR('Boss Editor'!$L$4/4))*'Boss Editor'!$D$4)/100)+5)*XLOOKUP('Boss Editor'!$E$4,'Nature Editor'!$A:$A,'Nature Editor'!$F:$F,1))</f>
        <v/>
      </c>
      <c r="H18" s="3">
        <f>IF(F18&gt;G18,"Yes","No")</f>
        <v/>
      </c>
      <c r="I18" s="3">
        <f>C18-E18</f>
        <v/>
      </c>
      <c r="J18" s="3">
        <f>IFS(AND(C18&gt;=0.5,E18&lt;0.5),"Dominant",AND(C18&gt;=0.35,E18&lt;0.75),"Strong",AND(C18&gt;=0.25,E18&lt;1),"Viable",AND(C18&gt;=0.15,E18&lt;1.25),"Risky",TRUE,"Poor")</f>
        <v/>
      </c>
      <c r="K18" s="3">
        <f>REDUCE($Y18,SEQUENCE(2),LAMBDA(current_species,unused_step,IFERROR(INDEX(FILTER('Evolution Editor'!$D$2:$D,'Evolution Editor'!$A$2:$A=current_species,'Evolution Editor'!$F$2:$F=TRUE,'Evolution Editor'!$E$2:$E&lt;=$L18),1),current_species)))</f>
        <v/>
      </c>
      <c r="L18" s="5" t="n">
        <v>15</v>
      </c>
      <c r="M18" s="5" t="inlineStr">
        <is>
          <t>Neutral</t>
        </is>
      </c>
      <c r="N18" s="5" t="inlineStr">
        <is>
          <t>ABILITY_SWARM</t>
        </is>
      </c>
      <c r="O18" s="5" t="n">
        <v>0</v>
      </c>
      <c r="P18" s="5" t="n">
        <v>0</v>
      </c>
      <c r="Q18" s="5" t="n">
        <v>0</v>
      </c>
      <c r="R18" s="5" t="n">
        <v>0</v>
      </c>
      <c r="S18" s="5" t="n">
        <v>0</v>
      </c>
      <c r="T18" s="5" t="n">
        <v>0</v>
      </c>
      <c r="U18" s="3">
        <f>IFERROR(LET(mtype,XLOOKUP($B18,'Move Editor'!$B:$B,'Move Editor'!$C:$C,""),cat,XLOOKUP($B18,'Move Editor'!$B:$B,'Move Editor'!$D:$D,""),pow,XLOOKUP($B18,'Move Editor'!$B:$B,'Move Editor'!$E:$E,0),acc,XLOOKUP($B18,'Move Editor'!$B:$B,'Move Editor'!$F:$F,100),atk,IF(cat="Physical",FLOOR((FLOOR(((2*XLOOKUP($K18,'Pokemon Editor'!$A:$A,'Pokemon Editor'!$F:$F,0)+31+FLOOR($P18/4))*$L18)/100)+5)*XLOOKUP($M18,'Nature Editor'!$A:$A,'Nature Editor'!$B:$B,1)),FLOOR((FLOOR(((2*XLOOKUP($K18,'Pokemon Editor'!$A:$A,'Pokemon Editor'!$H:$H,0)+31+FLOOR($R18/4))*$L18)/100)+5)*XLOOKUP($M18,'Nature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Editor'!$E:$E,1))),stab,IF(OR(mtype=XLOOKUP($K18,'Pokemon Editor'!$A:$A,'Pokemon Editor'!$C:$C,""),mtype=XLOOKUP($K18,'Pokemon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Chart'!$B$1:$S$1,0)))),base,IF(OR(cat="Status",pow=0),0,FLOOR(FLOOR(FLOOR((2*$L18/5+2)*pow*atk/def)/50)+2)),modifier,stab*eff,FLOOR(base*modifier*0.85)),0)</f>
        <v/>
      </c>
      <c r="V18" s="3">
        <f>IFERROR(LET(mtype,XLOOKUP($B18,'Move Editor'!$B:$B,'Move Editor'!$C:$C,""),cat,XLOOKUP($B18,'Move Editor'!$B:$B,'Move Editor'!$D:$D,""),pow,XLOOKUP($B18,'Move Editor'!$B:$B,'Move Editor'!$E:$E,0),acc,XLOOKUP($B18,'Move Editor'!$B:$B,'Move Editor'!$F:$F,100),atk,IF(cat="Physical",FLOOR((FLOOR(((2*XLOOKUP($K18,'Pokemon Editor'!$A:$A,'Pokemon Editor'!$F:$F,0)+31+FLOOR($P18/4))*$L18)/100)+5)*XLOOKUP($M18,'Nature Editor'!$A:$A,'Nature Editor'!$B:$B,1)),FLOOR((FLOOR(((2*XLOOKUP($K18,'Pokemon Editor'!$A:$A,'Pokemon Editor'!$H:$H,0)+31+FLOOR($R18/4))*$L18)/100)+5)*XLOOKUP($M18,'Nature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Editor'!$E:$E,1))),stab,IF(OR(mtype=XLOOKUP($K18,'Pokemon Editor'!$A:$A,'Pokemon Editor'!$C:$C,""),mtype=XLOOKUP($K18,'Pokemon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Chart'!$B$1:$S$1,0)))),base,IF(OR(cat="Status",pow=0),0,FLOOR(FLOOR(FLOOR((2*$L18/5+2)*pow*atk/def)/50)+2)),modifier,stab*eff,FLOOR(base*modifier)),0)</f>
        <v/>
      </c>
      <c r="W18" s="3">
        <f>IFERROR(LET(mtype,XLOOKUP($D18,'Move Editor'!$B:$B,'Move Editor'!$C:$C,""),cat,XLOOKUP($D18,'Move Editor'!$B:$B,'Move Editor'!$D:$D,""),pow,XLOOKUP($D18,'Move Editor'!$B:$B,'Move Editor'!$E:$E,0),acc,XLOOKUP($D18,'Move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Editor'!$D:$D,1))),def,IF(cat="Physical",FLOOR((FLOOR(((2*XLOOKUP($K18,'Pokemon Editor'!$A:$A,'Pokemon Editor'!$G:$G,0)+31+FLOOR($Q18/4))*$L18)/100)+5)*XLOOKUP($M18,'Nature Editor'!$A:$A,'Nature Editor'!$C:$C,1)),FLOOR((FLOOR(((2*XLOOKUP($K18,'Pokemon Editor'!$A:$A,'Pokemon Editor'!$I:$I,0)+31+FLOOR($S18/4))*$L18)/100)+5)*XLOOKUP($M18,'Nature Editor'!$A:$A,'Nature Editor'!$E:$E,1))),stab,IF(OR(mtype=XLOOKUP('Boss Editor'!$C$4,'Pokemon Editor'!$A:$A,'Pokemon Editor'!$C:$C,""),mtype=XLOOKUP('Boss Editor'!$C$4,'Pokemon Editor'!$A:$A,'Pokemon Editor'!$D:$D,"")),1.5,1),eff,(INDEX('Type Chart'!$B:$S,MATCH(mtype,'Type Chart'!$A:$A,0),MATCH(XLOOKUP($K18,'Pokemon Editor'!$A:$A,'Pokemon Editor'!$C:$C,""),'Type Chart'!$B$1:$S$1,0))*IF(XLOOKUP($K18,'Pokemon Editor'!$A:$A,'Pokemon Editor'!$D:$D,"")="",1,INDEX('Type Chart'!$B:$S,MATCH(mtype,'Type Chart'!$A:$A,0),MATCH(XLOOKUP($K18,'Pokemon Editor'!$A:$A,'Pokemon Editor'!$D:$D,""),'Type Chart'!$B$1:$S$1,0)))),base,IF(OR(cat="Status",pow=0),0,FLOOR(FLOOR(FLOOR((2*'Boss Editor'!$D$4/5+2)*pow*atk/def)/50)+2)),modifier,stab*eff,FLOOR(base*modifier*0.85)),0)</f>
        <v/>
      </c>
      <c r="X18" s="3">
        <f>IFERROR(LET(mtype,XLOOKUP($D18,'Move Editor'!$B:$B,'Move Editor'!$C:$C,""),cat,XLOOKUP($D18,'Move Editor'!$B:$B,'Move Editor'!$D:$D,""),pow,XLOOKUP($D18,'Move Editor'!$B:$B,'Move Editor'!$E:$E,0),acc,XLOOKUP($D18,'Move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Editor'!$D:$D,1))),def,IF(cat="Physical",FLOOR((FLOOR(((2*XLOOKUP($K18,'Pokemon Editor'!$A:$A,'Pokemon Editor'!$G:$G,0)+31+FLOOR($Q18/4))*$L18)/100)+5)*XLOOKUP($M18,'Nature Editor'!$A:$A,'Nature Editor'!$C:$C,1)),FLOOR((FLOOR(((2*XLOOKUP($K18,'Pokemon Editor'!$A:$A,'Pokemon Editor'!$I:$I,0)+31+FLOOR($S18/4))*$L18)/100)+5)*XLOOKUP($M18,'Nature Editor'!$A:$A,'Nature Editor'!$E:$E,1))),stab,IF(OR(mtype=XLOOKUP('Boss Editor'!$C$4,'Pokemon Editor'!$A:$A,'Pokemon Editor'!$C:$C,""),mtype=XLOOKUP('Boss Editor'!$C$4,'Pokemon Editor'!$A:$A,'Pokemon Editor'!$D:$D,"")),1.5,1),eff,(INDEX('Type Chart'!$B:$S,MATCH(mtype,'Type Chart'!$A:$A,0),MATCH(XLOOKUP($K18,'Pokemon Editor'!$A:$A,'Pokemon Editor'!$C:$C,""),'Type Chart'!$B$1:$S$1,0))*IF(XLOOKUP($K18,'Pokemon Editor'!$A:$A,'Pokemon Editor'!$D:$D,"")="",1,INDEX('Type Chart'!$B:$S,MATCH(mtype,'Type Chart'!$A:$A,0),MATCH(XLOOKUP($K18,'Pokemon Editor'!$A:$A,'Pokemon Editor'!$D:$D,""),'Type Chart'!$B$1:$S$1,0)))),base,IF(OR(cat="Status",pow=0),0,FLOOR(FLOOR(FLOOR((2*'Boss Editor'!$D$4/5+2)*pow*atk/def)/50)+2)),modifier,stab*eff,FLOOR(base*modifier)),0)</f>
        <v/>
      </c>
      <c r="Y18" s="3" t="inlineStr">
        <is>
          <t>SPECIES_NYMBLE</t>
        </is>
      </c>
      <c r="Z18" s="5" t="inlineStr"/>
    </row>
    <row r="19">
      <c r="A19" s="3">
        <f>XLOOKUP(K19,'Pokemon Editor'!$A:$A,'Pokemon Editor'!$B:$B,K19)</f>
        <v/>
      </c>
      <c r="B19" s="3">
        <f>IF($Z19&lt;&gt;"",$Z19,IFERROR(INDEX(FILTER('Move Comparison'!$D$2:$D,'Move Comparison'!$Q$2:$Q=$Y19,'Move Comparison'!$M$2:$M=MAXIFS('Move Comparison'!$M$2:$M,'Move Comparison'!$Q$2:$Q,$Y19),'Move Comparison'!$D$2:$D&lt;&gt;""),1),""))</f>
        <v/>
      </c>
      <c r="C19" s="4">
        <f>IFERROR(LET(mtype,XLOOKUP($B19,'Move Editor'!$B:$B,'Move Editor'!$C:$C,""),cat,XLOOKUP($B19,'Move Editor'!$B:$B,'Move Editor'!$D:$D,""),pow,XLOOKUP($B19,'Move Editor'!$B:$B,'Move Editor'!$E:$E,0),acc,XLOOKUP($B19,'Move Editor'!$B:$B,'Move Editor'!$F:$F,100),atk,IF(cat="Physical",FLOOR((FLOOR(((2*XLOOKUP($K19,'Pokemon Editor'!$A:$A,'Pokemon Editor'!$F:$F,0)+31+FLOOR($P19/4))*$L19)/100)+5)*XLOOKUP($M19,'Nature Editor'!$A:$A,'Nature Editor'!$B:$B,1)),FLOOR((FLOOR(((2*XLOOKUP($K19,'Pokemon Editor'!$A:$A,'Pokemon Editor'!$H:$H,0)+31+FLOOR($R19/4))*$L19)/100)+5)*XLOOKUP($M19,'Nature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Editor'!$E:$E,1))),stab,IF(OR(mtype=XLOOKUP($K19,'Pokemon Editor'!$A:$A,'Pokemon Editor'!$C:$C,""),mtype=XLOOKUP($K19,'Pokemon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Chart'!$B$1:$S$1,0)))),base,IF(OR(cat="Status",pow=0),0,FLOOR(FLOOR(FLOOR((2*$L19/5+2)*pow*atk/def)/50)+2)),modifier,stab*eff,AVERAGE(ARRAYFORMULA(FLOOR(base*modifier*SEQUENCE(16,1,85,1)/100)))/(FLOOR(((2*XLOOKUP('Boss Editor'!$C$4,'Pokemon Editor'!$A:$A,'Pokemon Editor'!$E:$E,0)+31+FLOOR('Boss Editor'!$G$4/4))*'Boss Editor'!$D$4)/100)+'Boss Editor'!$D$4+10)),0)</f>
        <v/>
      </c>
      <c r="D19" s="5" t="inlineStr">
        <is>
          <t>Astonish</t>
        </is>
      </c>
      <c r="E19" s="4">
        <f>IFERROR(LET(mtype,XLOOKUP($D19,'Move Editor'!$B:$B,'Move Editor'!$C:$C,""),cat,XLOOKUP($D19,'Move Editor'!$B:$B,'Move Editor'!$D:$D,""),pow,XLOOKUP($D19,'Move Editor'!$B:$B,'Move Editor'!$E:$E,0),acc,XLOOKUP($D19,'Move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Editor'!$D:$D,1))),def,IF(cat="Physical",FLOOR((FLOOR(((2*XLOOKUP($K19,'Pokemon Editor'!$A:$A,'Pokemon Editor'!$G:$G,0)+31+FLOOR($Q19/4))*$L19)/100)+5)*XLOOKUP($M19,'Nature Editor'!$A:$A,'Nature Editor'!$C:$C,1)),FLOOR((FLOOR(((2*XLOOKUP($K19,'Pokemon Editor'!$A:$A,'Pokemon Editor'!$I:$I,0)+31+FLOOR($S19/4))*$L19)/100)+5)*XLOOKUP($M19,'Nature Editor'!$A:$A,'Nature Editor'!$E:$E,1))),stab,IF(OR(mtype=XLOOKUP('Boss Editor'!$C$4,'Pokemon Editor'!$A:$A,'Pokemon Editor'!$C:$C,""),mtype=XLOOKUP('Boss Editor'!$C$4,'Pokemon Editor'!$A:$A,'Pokemon Editor'!$D:$D,"")),1.5,1),eff,(INDEX('Type Chart'!$B:$S,MATCH(mtype,'Type Chart'!$A:$A,0),MATCH(XLOOKUP($K19,'Pokemon Editor'!$A:$A,'Pokemon Editor'!$C:$C,""),'Type Chart'!$B$1:$S$1,0))*IF(XLOOKUP($K19,'Pokemon Editor'!$A:$A,'Pokemon Editor'!$D:$D,"")="",1,INDEX('Type Chart'!$B:$S,MATCH(mtype,'Type Chart'!$A:$A,0),MATCH(XLOOKUP($K19,'Pokemon Editor'!$A:$A,'Pokemon Editor'!$D:$D,""),'Type Chart'!$B$1:$S$1,0)))),base,IF(OR(cat="Status",pow=0),0,FLOOR(FLOOR(FLOOR((2*'Boss Editor'!$D$4/5+2)*pow*atk/def)/50)+2)),modifier,stab*eff,AVERAGE(ARRAYFORMULA(FLOOR(base*modifier*SEQUENCE(16,1,85,1)/100)))/(FLOOR(((2*XLOOKUP($K19,'Pokemon Editor'!$A:$A,'Pokemon Editor'!$E:$E,0)+31+FLOOR($O19/4))*$L19)/100)+$L19+10)),0)</f>
        <v/>
      </c>
      <c r="F19" s="3">
        <f>FLOOR((FLOOR(((2*XLOOKUP($K19,'Pokemon Editor'!$A:$A,'Pokemon Editor'!$J:$J,0)+31+FLOOR($T19/4))*$L19)/100)+5)*XLOOKUP($M19,'Nature Editor'!$A:$A,'Nature Editor'!$F:$F,1))</f>
        <v/>
      </c>
      <c r="G19" s="3">
        <f>FLOOR((FLOOR(((2*XLOOKUP('Boss Editor'!$C$4,'Pokemon Editor'!$A:$A,'Pokemon Editor'!$J:$J,0)+31+FLOOR('Boss Editor'!$L$4/4))*'Boss Editor'!$D$4)/100)+5)*XLOOKUP('Boss Editor'!$E$4,'Nature Editor'!$A:$A,'Nature Editor'!$F:$F,1))</f>
        <v/>
      </c>
      <c r="H19" s="3">
        <f>IF(F19&gt;G19,"Yes","No")</f>
        <v/>
      </c>
      <c r="I19" s="3">
        <f>C19-E19</f>
        <v/>
      </c>
      <c r="J19" s="3">
        <f>IFS(AND(C19&gt;=0.5,E19&lt;0.5),"Dominant",AND(C19&gt;=0.35,E19&lt;0.75),"Strong",AND(C19&gt;=0.25,E19&lt;1),"Viable",AND(C19&gt;=0.15,E19&lt;1.25),"Risky",TRUE,"Poor")</f>
        <v/>
      </c>
      <c r="K19" s="3">
        <f>REDUCE($Y19,SEQUENCE(2),LAMBDA(current_species,unused_step,IFERROR(INDEX(FILTER('Evolution Editor'!$D$2:$D,'Evolution Editor'!$A$2:$A=current_species,'Evolution Editor'!$F$2:$F=TRUE,'Evolution Editor'!$E$2:$E&lt;=$L19),1),current_species)))</f>
        <v/>
      </c>
      <c r="L19" s="5" t="n">
        <v>15</v>
      </c>
      <c r="M19" s="5" t="inlineStr">
        <is>
          <t>Neutral</t>
        </is>
      </c>
      <c r="N19" s="5" t="inlineStr">
        <is>
          <t>ABILITY_NATURAL_CURE</t>
        </is>
      </c>
      <c r="O19" s="5" t="n">
        <v>0</v>
      </c>
      <c r="P19" s="5" t="n">
        <v>0</v>
      </c>
      <c r="Q19" s="5" t="n">
        <v>0</v>
      </c>
      <c r="R19" s="5" t="n">
        <v>0</v>
      </c>
      <c r="S19" s="5" t="n">
        <v>0</v>
      </c>
      <c r="T19" s="5" t="n">
        <v>0</v>
      </c>
      <c r="U19" s="3">
        <f>IFERROR(LET(mtype,XLOOKUP($B19,'Move Editor'!$B:$B,'Move Editor'!$C:$C,""),cat,XLOOKUP($B19,'Move Editor'!$B:$B,'Move Editor'!$D:$D,""),pow,XLOOKUP($B19,'Move Editor'!$B:$B,'Move Editor'!$E:$E,0),acc,XLOOKUP($B19,'Move Editor'!$B:$B,'Move Editor'!$F:$F,100),atk,IF(cat="Physical",FLOOR((FLOOR(((2*XLOOKUP($K19,'Pokemon Editor'!$A:$A,'Pokemon Editor'!$F:$F,0)+31+FLOOR($P19/4))*$L19)/100)+5)*XLOOKUP($M19,'Nature Editor'!$A:$A,'Nature Editor'!$B:$B,1)),FLOOR((FLOOR(((2*XLOOKUP($K19,'Pokemon Editor'!$A:$A,'Pokemon Editor'!$H:$H,0)+31+FLOOR($R19/4))*$L19)/100)+5)*XLOOKUP($M19,'Nature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Editor'!$E:$E,1))),stab,IF(OR(mtype=XLOOKUP($K19,'Pokemon Editor'!$A:$A,'Pokemon Editor'!$C:$C,""),mtype=XLOOKUP($K19,'Pokemon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Chart'!$B$1:$S$1,0)))),base,IF(OR(cat="Status",pow=0),0,FLOOR(FLOOR(FLOOR((2*$L19/5+2)*pow*atk/def)/50)+2)),modifier,stab*eff,FLOOR(base*modifier*0.85)),0)</f>
        <v/>
      </c>
      <c r="V19" s="3">
        <f>IFERROR(LET(mtype,XLOOKUP($B19,'Move Editor'!$B:$B,'Move Editor'!$C:$C,""),cat,XLOOKUP($B19,'Move Editor'!$B:$B,'Move Editor'!$D:$D,""),pow,XLOOKUP($B19,'Move Editor'!$B:$B,'Move Editor'!$E:$E,0),acc,XLOOKUP($B19,'Move Editor'!$B:$B,'Move Editor'!$F:$F,100),atk,IF(cat="Physical",FLOOR((FLOOR(((2*XLOOKUP($K19,'Pokemon Editor'!$A:$A,'Pokemon Editor'!$F:$F,0)+31+FLOOR($P19/4))*$L19)/100)+5)*XLOOKUP($M19,'Nature Editor'!$A:$A,'Nature Editor'!$B:$B,1)),FLOOR((FLOOR(((2*XLOOKUP($K19,'Pokemon Editor'!$A:$A,'Pokemon Editor'!$H:$H,0)+31+FLOOR($R19/4))*$L19)/100)+5)*XLOOKUP($M19,'Nature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Editor'!$E:$E,1))),stab,IF(OR(mtype=XLOOKUP($K19,'Pokemon Editor'!$A:$A,'Pokemon Editor'!$C:$C,""),mtype=XLOOKUP($K19,'Pokemon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Chart'!$B$1:$S$1,0)))),base,IF(OR(cat="Status",pow=0),0,FLOOR(FLOOR(FLOOR((2*$L19/5+2)*pow*atk/def)/50)+2)),modifier,stab*eff,FLOOR(base*modifier)),0)</f>
        <v/>
      </c>
      <c r="W19" s="3">
        <f>IFERROR(LET(mtype,XLOOKUP($D19,'Move Editor'!$B:$B,'Move Editor'!$C:$C,""),cat,XLOOKUP($D19,'Move Editor'!$B:$B,'Move Editor'!$D:$D,""),pow,XLOOKUP($D19,'Move Editor'!$B:$B,'Move Editor'!$E:$E,0),acc,XLOOKUP($D19,'Move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Editor'!$D:$D,1))),def,IF(cat="Physical",FLOOR((FLOOR(((2*XLOOKUP($K19,'Pokemon Editor'!$A:$A,'Pokemon Editor'!$G:$G,0)+31+FLOOR($Q19/4))*$L19)/100)+5)*XLOOKUP($M19,'Nature Editor'!$A:$A,'Nature Editor'!$C:$C,1)),FLOOR((FLOOR(((2*XLOOKUP($K19,'Pokemon Editor'!$A:$A,'Pokemon Editor'!$I:$I,0)+31+FLOOR($S19/4))*$L19)/100)+5)*XLOOKUP($M19,'Nature Editor'!$A:$A,'Nature Editor'!$E:$E,1))),stab,IF(OR(mtype=XLOOKUP('Boss Editor'!$C$4,'Pokemon Editor'!$A:$A,'Pokemon Editor'!$C:$C,""),mtype=XLOOKUP('Boss Editor'!$C$4,'Pokemon Editor'!$A:$A,'Pokemon Editor'!$D:$D,"")),1.5,1),eff,(INDEX('Type Chart'!$B:$S,MATCH(mtype,'Type Chart'!$A:$A,0),MATCH(XLOOKUP($K19,'Pokemon Editor'!$A:$A,'Pokemon Editor'!$C:$C,""),'Type Chart'!$B$1:$S$1,0))*IF(XLOOKUP($K19,'Pokemon Editor'!$A:$A,'Pokemon Editor'!$D:$D,"")="",1,INDEX('Type Chart'!$B:$S,MATCH(mtype,'Type Chart'!$A:$A,0),MATCH(XLOOKUP($K19,'Pokemon Editor'!$A:$A,'Pokemon Editor'!$D:$D,""),'Type Chart'!$B$1:$S$1,0)))),base,IF(OR(cat="Status",pow=0),0,FLOOR(FLOOR(FLOOR((2*'Boss Editor'!$D$4/5+2)*pow*atk/def)/50)+2)),modifier,stab*eff,FLOOR(base*modifier*0.85)),0)</f>
        <v/>
      </c>
      <c r="X19" s="3">
        <f>IFERROR(LET(mtype,XLOOKUP($D19,'Move Editor'!$B:$B,'Move Editor'!$C:$C,""),cat,XLOOKUP($D19,'Move Editor'!$B:$B,'Move Editor'!$D:$D,""),pow,XLOOKUP($D19,'Move Editor'!$B:$B,'Move Editor'!$E:$E,0),acc,XLOOKUP($D19,'Move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Editor'!$D:$D,1))),def,IF(cat="Physical",FLOOR((FLOOR(((2*XLOOKUP($K19,'Pokemon Editor'!$A:$A,'Pokemon Editor'!$G:$G,0)+31+FLOOR($Q19/4))*$L19)/100)+5)*XLOOKUP($M19,'Nature Editor'!$A:$A,'Nature Editor'!$C:$C,1)),FLOOR((FLOOR(((2*XLOOKUP($K19,'Pokemon Editor'!$A:$A,'Pokemon Editor'!$I:$I,0)+31+FLOOR($S19/4))*$L19)/100)+5)*XLOOKUP($M19,'Nature Editor'!$A:$A,'Nature Editor'!$E:$E,1))),stab,IF(OR(mtype=XLOOKUP('Boss Editor'!$C$4,'Pokemon Editor'!$A:$A,'Pokemon Editor'!$C:$C,""),mtype=XLOOKUP('Boss Editor'!$C$4,'Pokemon Editor'!$A:$A,'Pokemon Editor'!$D:$D,"")),1.5,1),eff,(INDEX('Type Chart'!$B:$S,MATCH(mtype,'Type Chart'!$A:$A,0),MATCH(XLOOKUP($K19,'Pokemon Editor'!$A:$A,'Pokemon Editor'!$C:$C,""),'Type Chart'!$B$1:$S$1,0))*IF(XLOOKUP($K19,'Pokemon Editor'!$A:$A,'Pokemon Editor'!$D:$D,"")="",1,INDEX('Type Chart'!$B:$S,MATCH(mtype,'Type Chart'!$A:$A,0),MATCH(XLOOKUP($K19,'Pokemon Editor'!$A:$A,'Pokemon Editor'!$D:$D,""),'Type Chart'!$B$1:$S$1,0)))),base,IF(OR(cat="Status",pow=0),0,FLOOR(FLOOR(FLOOR((2*'Boss Editor'!$D$4/5+2)*pow*atk/def)/50)+2)),modifier,stab*eff,FLOOR(base*modifier)),0)</f>
        <v/>
      </c>
      <c r="Y19" s="3" t="inlineStr">
        <is>
          <t>SPECIES_PHANTUMP</t>
        </is>
      </c>
      <c r="Z19" s="5" t="inlineStr"/>
    </row>
    <row r="20">
      <c r="A20" s="3">
        <f>XLOOKUP(K20,'Pokemon Editor'!$A:$A,'Pokemon Editor'!$B:$B,K20)</f>
        <v/>
      </c>
      <c r="B20" s="3">
        <f>IF($Z20&lt;&gt;"",$Z20,IFERROR(INDEX(FILTER('Move Comparison'!$D$2:$D,'Move Comparison'!$Q$2:$Q=$Y20,'Move Comparison'!$M$2:$M=MAXIFS('Move Comparison'!$M$2:$M,'Move Comparison'!$Q$2:$Q,$Y20),'Move Comparison'!$D$2:$D&lt;&gt;""),1),""))</f>
        <v/>
      </c>
      <c r="C20" s="4">
        <f>IFERROR(LET(mtype,XLOOKUP($B20,'Move Editor'!$B:$B,'Move Editor'!$C:$C,""),cat,XLOOKUP($B20,'Move Editor'!$B:$B,'Move Editor'!$D:$D,""),pow,XLOOKUP($B20,'Move Editor'!$B:$B,'Move Editor'!$E:$E,0),acc,XLOOKUP($B20,'Move Editor'!$B:$B,'Move Editor'!$F:$F,100),atk,IF(cat="Physical",FLOOR((FLOOR(((2*XLOOKUP($K20,'Pokemon Editor'!$A:$A,'Pokemon Editor'!$F:$F,0)+31+FLOOR($P20/4))*$L20)/100)+5)*XLOOKUP($M20,'Nature Editor'!$A:$A,'Nature Editor'!$B:$B,1)),FLOOR((FLOOR(((2*XLOOKUP($K20,'Pokemon Editor'!$A:$A,'Pokemon Editor'!$H:$H,0)+31+FLOOR($R20/4))*$L20)/100)+5)*XLOOKUP($M20,'Nature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Editor'!$E:$E,1))),stab,IF(OR(mtype=XLOOKUP($K20,'Pokemon Editor'!$A:$A,'Pokemon Editor'!$C:$C,""),mtype=XLOOKUP($K20,'Pokemon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Chart'!$B$1:$S$1,0)))),base,IF(OR(cat="Status",pow=0),0,FLOOR(FLOOR(FLOOR((2*$L20/5+2)*pow*atk/def)/50)+2)),modifier,stab*eff,AVERAGE(ARRAYFORMULA(FLOOR(base*modifier*SEQUENCE(16,1,85,1)/100)))/(FLOOR(((2*XLOOKUP('Boss Editor'!$C$4,'Pokemon Editor'!$A:$A,'Pokemon Editor'!$E:$E,0)+31+FLOOR('Boss Editor'!$G$4/4))*'Boss Editor'!$D$4)/100)+'Boss Editor'!$D$4+10)),0)</f>
        <v/>
      </c>
      <c r="D20" s="5" t="inlineStr">
        <is>
          <t>Acid</t>
        </is>
      </c>
      <c r="E20" s="4">
        <f>IFERROR(LET(mtype,XLOOKUP($D20,'Move Editor'!$B:$B,'Move Editor'!$C:$C,""),cat,XLOOKUP($D20,'Move Editor'!$B:$B,'Move Editor'!$D:$D,""),pow,XLOOKUP($D20,'Move Editor'!$B:$B,'Move Editor'!$E:$E,0),acc,XLOOKUP($D20,'Move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Editor'!$D:$D,1))),def,IF(cat="Physical",FLOOR((FLOOR(((2*XLOOKUP($K20,'Pokemon Editor'!$A:$A,'Pokemon Editor'!$G:$G,0)+31+FLOOR($Q20/4))*$L20)/100)+5)*XLOOKUP($M20,'Nature Editor'!$A:$A,'Nature Editor'!$C:$C,1)),FLOOR((FLOOR(((2*XLOOKUP($K20,'Pokemon Editor'!$A:$A,'Pokemon Editor'!$I:$I,0)+31+FLOOR($S20/4))*$L20)/100)+5)*XLOOKUP($M20,'Nature Editor'!$A:$A,'Nature Editor'!$E:$E,1))),stab,IF(OR(mtype=XLOOKUP('Boss Editor'!$C$4,'Pokemon Editor'!$A:$A,'Pokemon Editor'!$C:$C,""),mtype=XLOOKUP('Boss Editor'!$C$4,'Pokemon Editor'!$A:$A,'Pokemon Editor'!$D:$D,"")),1.5,1),eff,(INDEX('Type Chart'!$B:$S,MATCH(mtype,'Type Chart'!$A:$A,0),MATCH(XLOOKUP($K20,'Pokemon Editor'!$A:$A,'Pokemon Editor'!$C:$C,""),'Type Chart'!$B$1:$S$1,0))*IF(XLOOKUP($K20,'Pokemon Editor'!$A:$A,'Pokemon Editor'!$D:$D,"")="",1,INDEX('Type Chart'!$B:$S,MATCH(mtype,'Type Chart'!$A:$A,0),MATCH(XLOOKUP($K20,'Pokemon Editor'!$A:$A,'Pokemon Editor'!$D:$D,""),'Type Chart'!$B$1:$S$1,0)))),base,IF(OR(cat="Status",pow=0),0,FLOOR(FLOOR(FLOOR((2*'Boss Editor'!$D$4/5+2)*pow*atk/def)/50)+2)),modifier,stab*eff,AVERAGE(ARRAYFORMULA(FLOOR(base*modifier*SEQUENCE(16,1,85,1)/100)))/(FLOOR(((2*XLOOKUP($K20,'Pokemon Editor'!$A:$A,'Pokemon Editor'!$E:$E,0)+31+FLOOR($O20/4))*$L20)/100)+$L20+10)),0)</f>
        <v/>
      </c>
      <c r="F20" s="3">
        <f>FLOOR((FLOOR(((2*XLOOKUP($K20,'Pokemon Editor'!$A:$A,'Pokemon Editor'!$J:$J,0)+31+FLOOR($T20/4))*$L20)/100)+5)*XLOOKUP($M20,'Nature Editor'!$A:$A,'Nature Editor'!$F:$F,1))</f>
        <v/>
      </c>
      <c r="G20" s="3">
        <f>FLOOR((FLOOR(((2*XLOOKUP('Boss Editor'!$C$4,'Pokemon Editor'!$A:$A,'Pokemon Editor'!$J:$J,0)+31+FLOOR('Boss Editor'!$L$4/4))*'Boss Editor'!$D$4)/100)+5)*XLOOKUP('Boss Editor'!$E$4,'Nature Editor'!$A:$A,'Nature Editor'!$F:$F,1))</f>
        <v/>
      </c>
      <c r="H20" s="3">
        <f>IF(F20&gt;G20,"Yes","No")</f>
        <v/>
      </c>
      <c r="I20" s="3">
        <f>C20-E20</f>
        <v/>
      </c>
      <c r="J20" s="3">
        <f>IFS(AND(C20&gt;=0.5,E20&lt;0.5),"Dominant",AND(C20&gt;=0.35,E20&lt;0.75),"Strong",AND(C20&gt;=0.25,E20&lt;1),"Viable",AND(C20&gt;=0.15,E20&lt;1.25),"Risky",TRUE,"Poor")</f>
        <v/>
      </c>
      <c r="K20" s="3">
        <f>REDUCE($Y20,SEQUENCE(2),LAMBDA(current_species,unused_step,IFERROR(INDEX(FILTER('Evolution Editor'!$D$2:$D,'Evolution Editor'!$A$2:$A=current_species,'Evolution Editor'!$F$2:$F=TRUE,'Evolution Editor'!$E$2:$E&lt;=$L20),1),current_species)))</f>
        <v/>
      </c>
      <c r="L20" s="5" t="n">
        <v>15</v>
      </c>
      <c r="M20" s="5" t="inlineStr">
        <is>
          <t>Neutral</t>
        </is>
      </c>
      <c r="N20" s="5" t="inlineStr">
        <is>
          <t>ABILITY_BIG_PECKS</t>
        </is>
      </c>
      <c r="O20" s="5" t="n">
        <v>0</v>
      </c>
      <c r="P20" s="5" t="n">
        <v>0</v>
      </c>
      <c r="Q20" s="5" t="n">
        <v>0</v>
      </c>
      <c r="R20" s="5" t="n">
        <v>0</v>
      </c>
      <c r="S20" s="5" t="n">
        <v>0</v>
      </c>
      <c r="T20" s="5" t="n">
        <v>0</v>
      </c>
      <c r="U20" s="3">
        <f>IFERROR(LET(mtype,XLOOKUP($B20,'Move Editor'!$B:$B,'Move Editor'!$C:$C,""),cat,XLOOKUP($B20,'Move Editor'!$B:$B,'Move Editor'!$D:$D,""),pow,XLOOKUP($B20,'Move Editor'!$B:$B,'Move Editor'!$E:$E,0),acc,XLOOKUP($B20,'Move Editor'!$B:$B,'Move Editor'!$F:$F,100),atk,IF(cat="Physical",FLOOR((FLOOR(((2*XLOOKUP($K20,'Pokemon Editor'!$A:$A,'Pokemon Editor'!$F:$F,0)+31+FLOOR($P20/4))*$L20)/100)+5)*XLOOKUP($M20,'Nature Editor'!$A:$A,'Nature Editor'!$B:$B,1)),FLOOR((FLOOR(((2*XLOOKUP($K20,'Pokemon Editor'!$A:$A,'Pokemon Editor'!$H:$H,0)+31+FLOOR($R20/4))*$L20)/100)+5)*XLOOKUP($M20,'Nature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Editor'!$E:$E,1))),stab,IF(OR(mtype=XLOOKUP($K20,'Pokemon Editor'!$A:$A,'Pokemon Editor'!$C:$C,""),mtype=XLOOKUP($K20,'Pokemon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Chart'!$B$1:$S$1,0)))),base,IF(OR(cat="Status",pow=0),0,FLOOR(FLOOR(FLOOR((2*$L20/5+2)*pow*atk/def)/50)+2)),modifier,stab*eff,FLOOR(base*modifier*0.85)),0)</f>
        <v/>
      </c>
      <c r="V20" s="3">
        <f>IFERROR(LET(mtype,XLOOKUP($B20,'Move Editor'!$B:$B,'Move Editor'!$C:$C,""),cat,XLOOKUP($B20,'Move Editor'!$B:$B,'Move Editor'!$D:$D,""),pow,XLOOKUP($B20,'Move Editor'!$B:$B,'Move Editor'!$E:$E,0),acc,XLOOKUP($B20,'Move Editor'!$B:$B,'Move Editor'!$F:$F,100),atk,IF(cat="Physical",FLOOR((FLOOR(((2*XLOOKUP($K20,'Pokemon Editor'!$A:$A,'Pokemon Editor'!$F:$F,0)+31+FLOOR($P20/4))*$L20)/100)+5)*XLOOKUP($M20,'Nature Editor'!$A:$A,'Nature Editor'!$B:$B,1)),FLOOR((FLOOR(((2*XLOOKUP($K20,'Pokemon Editor'!$A:$A,'Pokemon Editor'!$H:$H,0)+31+FLOOR($R20/4))*$L20)/100)+5)*XLOOKUP($M20,'Nature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Editor'!$E:$E,1))),stab,IF(OR(mtype=XLOOKUP($K20,'Pokemon Editor'!$A:$A,'Pokemon Editor'!$C:$C,""),mtype=XLOOKUP($K20,'Pokemon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Chart'!$B$1:$S$1,0)))),base,IF(OR(cat="Status",pow=0),0,FLOOR(FLOOR(FLOOR((2*$L20/5+2)*pow*atk/def)/50)+2)),modifier,stab*eff,FLOOR(base*modifier)),0)</f>
        <v/>
      </c>
      <c r="W20" s="3">
        <f>IFERROR(LET(mtype,XLOOKUP($D20,'Move Editor'!$B:$B,'Move Editor'!$C:$C,""),cat,XLOOKUP($D20,'Move Editor'!$B:$B,'Move Editor'!$D:$D,""),pow,XLOOKUP($D20,'Move Editor'!$B:$B,'Move Editor'!$E:$E,0),acc,XLOOKUP($D20,'Move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Editor'!$D:$D,1))),def,IF(cat="Physical",FLOOR((FLOOR(((2*XLOOKUP($K20,'Pokemon Editor'!$A:$A,'Pokemon Editor'!$G:$G,0)+31+FLOOR($Q20/4))*$L20)/100)+5)*XLOOKUP($M20,'Nature Editor'!$A:$A,'Nature Editor'!$C:$C,1)),FLOOR((FLOOR(((2*XLOOKUP($K20,'Pokemon Editor'!$A:$A,'Pokemon Editor'!$I:$I,0)+31+FLOOR($S20/4))*$L20)/100)+5)*XLOOKUP($M20,'Nature Editor'!$A:$A,'Nature Editor'!$E:$E,1))),stab,IF(OR(mtype=XLOOKUP('Boss Editor'!$C$4,'Pokemon Editor'!$A:$A,'Pokemon Editor'!$C:$C,""),mtype=XLOOKUP('Boss Editor'!$C$4,'Pokemon Editor'!$A:$A,'Pokemon Editor'!$D:$D,"")),1.5,1),eff,(INDEX('Type Chart'!$B:$S,MATCH(mtype,'Type Chart'!$A:$A,0),MATCH(XLOOKUP($K20,'Pokemon Editor'!$A:$A,'Pokemon Editor'!$C:$C,""),'Type Chart'!$B$1:$S$1,0))*IF(XLOOKUP($K20,'Pokemon Editor'!$A:$A,'Pokemon Editor'!$D:$D,"")="",1,INDEX('Type Chart'!$B:$S,MATCH(mtype,'Type Chart'!$A:$A,0),MATCH(XLOOKUP($K20,'Pokemon Editor'!$A:$A,'Pokemon Editor'!$D:$D,""),'Type Chart'!$B$1:$S$1,0)))),base,IF(OR(cat="Status",pow=0),0,FLOOR(FLOOR(FLOOR((2*'Boss Editor'!$D$4/5+2)*pow*atk/def)/50)+2)),modifier,stab*eff,FLOOR(base*modifier*0.85)),0)</f>
        <v/>
      </c>
      <c r="X20" s="3">
        <f>IFERROR(LET(mtype,XLOOKUP($D20,'Move Editor'!$B:$B,'Move Editor'!$C:$C,""),cat,XLOOKUP($D20,'Move Editor'!$B:$B,'Move Editor'!$D:$D,""),pow,XLOOKUP($D20,'Move Editor'!$B:$B,'Move Editor'!$E:$E,0),acc,XLOOKUP($D20,'Move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Editor'!$D:$D,1))),def,IF(cat="Physical",FLOOR((FLOOR(((2*XLOOKUP($K20,'Pokemon Editor'!$A:$A,'Pokemon Editor'!$G:$G,0)+31+FLOOR($Q20/4))*$L20)/100)+5)*XLOOKUP($M20,'Nature Editor'!$A:$A,'Nature Editor'!$C:$C,1)),FLOOR((FLOOR(((2*XLOOKUP($K20,'Pokemon Editor'!$A:$A,'Pokemon Editor'!$I:$I,0)+31+FLOOR($S20/4))*$L20)/100)+5)*XLOOKUP($M20,'Nature Editor'!$A:$A,'Nature Editor'!$E:$E,1))),stab,IF(OR(mtype=XLOOKUP('Boss Editor'!$C$4,'Pokemon Editor'!$A:$A,'Pokemon Editor'!$C:$C,""),mtype=XLOOKUP('Boss Editor'!$C$4,'Pokemon Editor'!$A:$A,'Pokemon Editor'!$D:$D,"")),1.5,1),eff,(INDEX('Type Chart'!$B:$S,MATCH(mtype,'Type Chart'!$A:$A,0),MATCH(XLOOKUP($K20,'Pokemon Editor'!$A:$A,'Pokemon Editor'!$C:$C,""),'Type Chart'!$B$1:$S$1,0))*IF(XLOOKUP($K20,'Pokemon Editor'!$A:$A,'Pokemon Editor'!$D:$D,"")="",1,INDEX('Type Chart'!$B:$S,MATCH(mtype,'Type Chart'!$A:$A,0),MATCH(XLOOKUP($K20,'Pokemon Editor'!$A:$A,'Pokemon Editor'!$D:$D,""),'Type Chart'!$B$1:$S$1,0)))),base,IF(OR(cat="Status",pow=0),0,FLOOR(FLOOR(FLOOR((2*'Boss Editor'!$D$4/5+2)*pow*atk/def)/50)+2)),modifier,stab*eff,FLOOR(base*modifier)),0)</f>
        <v/>
      </c>
      <c r="Y20" s="3" t="inlineStr">
        <is>
          <t>SPECIES_FLETCHLING</t>
        </is>
      </c>
      <c r="Z20" s="5" t="inlineStr"/>
    </row>
    <row r="21">
      <c r="A21" s="3">
        <f>XLOOKUP(K21,'Pokemon Editor'!$A:$A,'Pokemon Editor'!$B:$B,K21)</f>
        <v/>
      </c>
      <c r="B21" s="3">
        <f>IF($Z21&lt;&gt;"",$Z21,IFERROR(INDEX(FILTER('Move Comparison'!$D$2:$D,'Move Comparison'!$Q$2:$Q=$Y21,'Move Comparison'!$M$2:$M=MAXIFS('Move Comparison'!$M$2:$M,'Move Comparison'!$Q$2:$Q,$Y21),'Move Comparison'!$D$2:$D&lt;&gt;""),1),""))</f>
        <v/>
      </c>
      <c r="C21" s="4">
        <f>IFERROR(LET(mtype,XLOOKUP($B21,'Move Editor'!$B:$B,'Move Editor'!$C:$C,""),cat,XLOOKUP($B21,'Move Editor'!$B:$B,'Move Editor'!$D:$D,""),pow,XLOOKUP($B21,'Move Editor'!$B:$B,'Move Editor'!$E:$E,0),acc,XLOOKUP($B21,'Move Editor'!$B:$B,'Move Editor'!$F:$F,100),atk,IF(cat="Physical",FLOOR((FLOOR(((2*XLOOKUP($K21,'Pokemon Editor'!$A:$A,'Pokemon Editor'!$F:$F,0)+31+FLOOR($P21/4))*$L21)/100)+5)*XLOOKUP($M21,'Nature Editor'!$A:$A,'Nature Editor'!$B:$B,1)),FLOOR((FLOOR(((2*XLOOKUP($K21,'Pokemon Editor'!$A:$A,'Pokemon Editor'!$H:$H,0)+31+FLOOR($R21/4))*$L21)/100)+5)*XLOOKUP($M21,'Nature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Editor'!$E:$E,1))),stab,IF(OR(mtype=XLOOKUP($K21,'Pokemon Editor'!$A:$A,'Pokemon Editor'!$C:$C,""),mtype=XLOOKUP($K21,'Pokemon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Chart'!$B$1:$S$1,0)))),base,IF(OR(cat="Status",pow=0),0,FLOOR(FLOOR(FLOOR((2*$L21/5+2)*pow*atk/def)/50)+2)),modifier,stab*eff,AVERAGE(ARRAYFORMULA(FLOOR(base*modifier*SEQUENCE(16,1,85,1)/100)))/(FLOOR(((2*XLOOKUP('Boss Editor'!$C$4,'Pokemon Editor'!$A:$A,'Pokemon Editor'!$E:$E,0)+31+FLOOR('Boss Editor'!$G$4/4))*'Boss Editor'!$D$4)/100)+'Boss Editor'!$D$4+10)),0)</f>
        <v/>
      </c>
      <c r="D21" s="5" t="inlineStr">
        <is>
          <t>Acid</t>
        </is>
      </c>
      <c r="E21" s="4">
        <f>IFERROR(LET(mtype,XLOOKUP($D21,'Move Editor'!$B:$B,'Move Editor'!$C:$C,""),cat,XLOOKUP($D21,'Move Editor'!$B:$B,'Move Editor'!$D:$D,""),pow,XLOOKUP($D21,'Move Editor'!$B:$B,'Move Editor'!$E:$E,0),acc,XLOOKUP($D21,'Move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Editor'!$D:$D,1))),def,IF(cat="Physical",FLOOR((FLOOR(((2*XLOOKUP($K21,'Pokemon Editor'!$A:$A,'Pokemon Editor'!$G:$G,0)+31+FLOOR($Q21/4))*$L21)/100)+5)*XLOOKUP($M21,'Nature Editor'!$A:$A,'Nature Editor'!$C:$C,1)),FLOOR((FLOOR(((2*XLOOKUP($K21,'Pokemon Editor'!$A:$A,'Pokemon Editor'!$I:$I,0)+31+FLOOR($S21/4))*$L21)/100)+5)*XLOOKUP($M21,'Nature Editor'!$A:$A,'Nature Editor'!$E:$E,1))),stab,IF(OR(mtype=XLOOKUP('Boss Editor'!$C$4,'Pokemon Editor'!$A:$A,'Pokemon Editor'!$C:$C,""),mtype=XLOOKUP('Boss Editor'!$C$4,'Pokemon Editor'!$A:$A,'Pokemon Editor'!$D:$D,"")),1.5,1),eff,(INDEX('Type Chart'!$B:$S,MATCH(mtype,'Type Chart'!$A:$A,0),MATCH(XLOOKUP($K21,'Pokemon Editor'!$A:$A,'Pokemon Editor'!$C:$C,""),'Type Chart'!$B$1:$S$1,0))*IF(XLOOKUP($K21,'Pokemon Editor'!$A:$A,'Pokemon Editor'!$D:$D,"")="",1,INDEX('Type Chart'!$B:$S,MATCH(mtype,'Type Chart'!$A:$A,0),MATCH(XLOOKUP($K21,'Pokemon Editor'!$A:$A,'Pokemon Editor'!$D:$D,""),'Type Chart'!$B$1:$S$1,0)))),base,IF(OR(cat="Status",pow=0),0,FLOOR(FLOOR(FLOOR((2*'Boss Editor'!$D$4/5+2)*pow*atk/def)/50)+2)),modifier,stab*eff,AVERAGE(ARRAYFORMULA(FLOOR(base*modifier*SEQUENCE(16,1,85,1)/100)))/(FLOOR(((2*XLOOKUP($K21,'Pokemon Editor'!$A:$A,'Pokemon Editor'!$E:$E,0)+31+FLOOR($O21/4))*$L21)/100)+$L21+10)),0)</f>
        <v/>
      </c>
      <c r="F21" s="3">
        <f>FLOOR((FLOOR(((2*XLOOKUP($K21,'Pokemon Editor'!$A:$A,'Pokemon Editor'!$J:$J,0)+31+FLOOR($T21/4))*$L21)/100)+5)*XLOOKUP($M21,'Nature Editor'!$A:$A,'Nature Editor'!$F:$F,1))</f>
        <v/>
      </c>
      <c r="G21" s="3">
        <f>FLOOR((FLOOR(((2*XLOOKUP('Boss Editor'!$C$4,'Pokemon Editor'!$A:$A,'Pokemon Editor'!$J:$J,0)+31+FLOOR('Boss Editor'!$L$4/4))*'Boss Editor'!$D$4)/100)+5)*XLOOKUP('Boss Editor'!$E$4,'Nature Editor'!$A:$A,'Nature Editor'!$F:$F,1))</f>
        <v/>
      </c>
      <c r="H21" s="3">
        <f>IF(F21&gt;G21,"Yes","No")</f>
        <v/>
      </c>
      <c r="I21" s="3">
        <f>C21-E21</f>
        <v/>
      </c>
      <c r="J21" s="3">
        <f>IFS(AND(C21&gt;=0.5,E21&lt;0.5),"Dominant",AND(C21&gt;=0.35,E21&lt;0.75),"Strong",AND(C21&gt;=0.25,E21&lt;1),"Viable",AND(C21&gt;=0.15,E21&lt;1.25),"Risky",TRUE,"Poor")</f>
        <v/>
      </c>
      <c r="K21" s="3">
        <f>REDUCE($Y21,SEQUENCE(2),LAMBDA(current_species,unused_step,IFERROR(INDEX(FILTER('Evolution Editor'!$D$2:$D,'Evolution Editor'!$A$2:$A=current_species,'Evolution Editor'!$F$2:$F=TRUE,'Evolution Editor'!$E$2:$E&lt;=$L21),1),current_species)))</f>
        <v/>
      </c>
      <c r="L21" s="5" t="n">
        <v>15</v>
      </c>
      <c r="M21" s="5" t="inlineStr">
        <is>
          <t>Neutral</t>
        </is>
      </c>
      <c r="N21" s="5" t="inlineStr">
        <is>
          <t>ABILITY_FLASH_FIRE</t>
        </is>
      </c>
      <c r="O21" s="5" t="n">
        <v>0</v>
      </c>
      <c r="P21" s="5" t="n">
        <v>0</v>
      </c>
      <c r="Q21" s="5" t="n">
        <v>0</v>
      </c>
      <c r="R21" s="5" t="n">
        <v>0</v>
      </c>
      <c r="S21" s="5" t="n">
        <v>0</v>
      </c>
      <c r="T21" s="5" t="n">
        <v>0</v>
      </c>
      <c r="U21" s="3">
        <f>IFERROR(LET(mtype,XLOOKUP($B21,'Move Editor'!$B:$B,'Move Editor'!$C:$C,""),cat,XLOOKUP($B21,'Move Editor'!$B:$B,'Move Editor'!$D:$D,""),pow,XLOOKUP($B21,'Move Editor'!$B:$B,'Move Editor'!$E:$E,0),acc,XLOOKUP($B21,'Move Editor'!$B:$B,'Move Editor'!$F:$F,100),atk,IF(cat="Physical",FLOOR((FLOOR(((2*XLOOKUP($K21,'Pokemon Editor'!$A:$A,'Pokemon Editor'!$F:$F,0)+31+FLOOR($P21/4))*$L21)/100)+5)*XLOOKUP($M21,'Nature Editor'!$A:$A,'Nature Editor'!$B:$B,1)),FLOOR((FLOOR(((2*XLOOKUP($K21,'Pokemon Editor'!$A:$A,'Pokemon Editor'!$H:$H,0)+31+FLOOR($R21/4))*$L21)/100)+5)*XLOOKUP($M21,'Nature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Editor'!$E:$E,1))),stab,IF(OR(mtype=XLOOKUP($K21,'Pokemon Editor'!$A:$A,'Pokemon Editor'!$C:$C,""),mtype=XLOOKUP($K21,'Pokemon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Chart'!$B$1:$S$1,0)))),base,IF(OR(cat="Status",pow=0),0,FLOOR(FLOOR(FLOOR((2*$L21/5+2)*pow*atk/def)/50)+2)),modifier,stab*eff,FLOOR(base*modifier*0.85)),0)</f>
        <v/>
      </c>
      <c r="V21" s="3">
        <f>IFERROR(LET(mtype,XLOOKUP($B21,'Move Editor'!$B:$B,'Move Editor'!$C:$C,""),cat,XLOOKUP($B21,'Move Editor'!$B:$B,'Move Editor'!$D:$D,""),pow,XLOOKUP($B21,'Move Editor'!$B:$B,'Move Editor'!$E:$E,0),acc,XLOOKUP($B21,'Move Editor'!$B:$B,'Move Editor'!$F:$F,100),atk,IF(cat="Physical",FLOOR((FLOOR(((2*XLOOKUP($K21,'Pokemon Editor'!$A:$A,'Pokemon Editor'!$F:$F,0)+31+FLOOR($P21/4))*$L21)/100)+5)*XLOOKUP($M21,'Nature Editor'!$A:$A,'Nature Editor'!$B:$B,1)),FLOOR((FLOOR(((2*XLOOKUP($K21,'Pokemon Editor'!$A:$A,'Pokemon Editor'!$H:$H,0)+31+FLOOR($R21/4))*$L21)/100)+5)*XLOOKUP($M21,'Nature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Editor'!$E:$E,1))),stab,IF(OR(mtype=XLOOKUP($K21,'Pokemon Editor'!$A:$A,'Pokemon Editor'!$C:$C,""),mtype=XLOOKUP($K21,'Pokemon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Chart'!$B$1:$S$1,0)))),base,IF(OR(cat="Status",pow=0),0,FLOOR(FLOOR(FLOOR((2*$L21/5+2)*pow*atk/def)/50)+2)),modifier,stab*eff,FLOOR(base*modifier)),0)</f>
        <v/>
      </c>
      <c r="W21" s="3">
        <f>IFERROR(LET(mtype,XLOOKUP($D21,'Move Editor'!$B:$B,'Move Editor'!$C:$C,""),cat,XLOOKUP($D21,'Move Editor'!$B:$B,'Move Editor'!$D:$D,""),pow,XLOOKUP($D21,'Move Editor'!$B:$B,'Move Editor'!$E:$E,0),acc,XLOOKUP($D21,'Move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Editor'!$D:$D,1))),def,IF(cat="Physical",FLOOR((FLOOR(((2*XLOOKUP($K21,'Pokemon Editor'!$A:$A,'Pokemon Editor'!$G:$G,0)+31+FLOOR($Q21/4))*$L21)/100)+5)*XLOOKUP($M21,'Nature Editor'!$A:$A,'Nature Editor'!$C:$C,1)),FLOOR((FLOOR(((2*XLOOKUP($K21,'Pokemon Editor'!$A:$A,'Pokemon Editor'!$I:$I,0)+31+FLOOR($S21/4))*$L21)/100)+5)*XLOOKUP($M21,'Nature Editor'!$A:$A,'Nature Editor'!$E:$E,1))),stab,IF(OR(mtype=XLOOKUP('Boss Editor'!$C$4,'Pokemon Editor'!$A:$A,'Pokemon Editor'!$C:$C,""),mtype=XLOOKUP('Boss Editor'!$C$4,'Pokemon Editor'!$A:$A,'Pokemon Editor'!$D:$D,"")),1.5,1),eff,(INDEX('Type Chart'!$B:$S,MATCH(mtype,'Type Chart'!$A:$A,0),MATCH(XLOOKUP($K21,'Pokemon Editor'!$A:$A,'Pokemon Editor'!$C:$C,""),'Type Chart'!$B$1:$S$1,0))*IF(XLOOKUP($K21,'Pokemon Editor'!$A:$A,'Pokemon Editor'!$D:$D,"")="",1,INDEX('Type Chart'!$B:$S,MATCH(mtype,'Type Chart'!$A:$A,0),MATCH(XLOOKUP($K21,'Pokemon Editor'!$A:$A,'Pokemon Editor'!$D:$D,""),'Type Chart'!$B$1:$S$1,0)))),base,IF(OR(cat="Status",pow=0),0,FLOOR(FLOOR(FLOOR((2*'Boss Editor'!$D$4/5+2)*pow*atk/def)/50)+2)),modifier,stab*eff,FLOOR(base*modifier*0.85)),0)</f>
        <v/>
      </c>
      <c r="X21" s="3">
        <f>IFERROR(LET(mtype,XLOOKUP($D21,'Move Editor'!$B:$B,'Move Editor'!$C:$C,""),cat,XLOOKUP($D21,'Move Editor'!$B:$B,'Move Editor'!$D:$D,""),pow,XLOOKUP($D21,'Move Editor'!$B:$B,'Move Editor'!$E:$E,0),acc,XLOOKUP($D21,'Move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Editor'!$D:$D,1))),def,IF(cat="Physical",FLOOR((FLOOR(((2*XLOOKUP($K21,'Pokemon Editor'!$A:$A,'Pokemon Editor'!$G:$G,0)+31+FLOOR($Q21/4))*$L21)/100)+5)*XLOOKUP($M21,'Nature Editor'!$A:$A,'Nature Editor'!$C:$C,1)),FLOOR((FLOOR(((2*XLOOKUP($K21,'Pokemon Editor'!$A:$A,'Pokemon Editor'!$I:$I,0)+31+FLOOR($S21/4))*$L21)/100)+5)*XLOOKUP($M21,'Nature Editor'!$A:$A,'Nature Editor'!$E:$E,1))),stab,IF(OR(mtype=XLOOKUP('Boss Editor'!$C$4,'Pokemon Editor'!$A:$A,'Pokemon Editor'!$C:$C,""),mtype=XLOOKUP('Boss Editor'!$C$4,'Pokemon Editor'!$A:$A,'Pokemon Editor'!$D:$D,"")),1.5,1),eff,(INDEX('Type Chart'!$B:$S,MATCH(mtype,'Type Chart'!$A:$A,0),MATCH(XLOOKUP($K21,'Pokemon Editor'!$A:$A,'Pokemon Editor'!$C:$C,""),'Type Chart'!$B$1:$S$1,0))*IF(XLOOKUP($K21,'Pokemon Editor'!$A:$A,'Pokemon Editor'!$D:$D,"")="",1,INDEX('Type Chart'!$B:$S,MATCH(mtype,'Type Chart'!$A:$A,0),MATCH(XLOOKUP($K21,'Pokemon Editor'!$A:$A,'Pokemon Editor'!$D:$D,""),'Type Chart'!$B$1:$S$1,0)))),base,IF(OR(cat="Status",pow=0),0,FLOOR(FLOOR(FLOOR((2*'Boss Editor'!$D$4/5+2)*pow*atk/def)/50)+2)),modifier,stab*eff,FLOOR(base*modifier)),0)</f>
        <v/>
      </c>
      <c r="Y21" s="3" t="inlineStr">
        <is>
          <t>SPECIES_CHARCADET</t>
        </is>
      </c>
      <c r="Z21" s="5" t="inlineStr"/>
    </row>
    <row r="22">
      <c r="A22" s="3">
        <f>XLOOKUP(K22,'Pokemon Editor'!$A:$A,'Pokemon Editor'!$B:$B,K22)</f>
        <v/>
      </c>
      <c r="B22" s="3">
        <f>IF($Z22&lt;&gt;"",$Z22,IFERROR(INDEX(FILTER('Move Comparison'!$D$2:$D,'Move Comparison'!$Q$2:$Q=$Y22,'Move Comparison'!$M$2:$M=MAXIFS('Move Comparison'!$M$2:$M,'Move Comparison'!$Q$2:$Q,$Y22),'Move Comparison'!$D$2:$D&lt;&gt;""),1),""))</f>
        <v/>
      </c>
      <c r="C22" s="4">
        <f>IFERROR(LET(mtype,XLOOKUP($B22,'Move Editor'!$B:$B,'Move Editor'!$C:$C,""),cat,XLOOKUP($B22,'Move Editor'!$B:$B,'Move Editor'!$D:$D,""),pow,XLOOKUP($B22,'Move Editor'!$B:$B,'Move Editor'!$E:$E,0),acc,XLOOKUP($B22,'Move Editor'!$B:$B,'Move Editor'!$F:$F,100),atk,IF(cat="Physical",FLOOR((FLOOR(((2*XLOOKUP($K22,'Pokemon Editor'!$A:$A,'Pokemon Editor'!$F:$F,0)+31+FLOOR($P22/4))*$L22)/100)+5)*XLOOKUP($M22,'Nature Editor'!$A:$A,'Nature Editor'!$B:$B,1)),FLOOR((FLOOR(((2*XLOOKUP($K22,'Pokemon Editor'!$A:$A,'Pokemon Editor'!$H:$H,0)+31+FLOOR($R22/4))*$L22)/100)+5)*XLOOKUP($M22,'Nature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Editor'!$E:$E,1))),stab,IF(OR(mtype=XLOOKUP($K22,'Pokemon Editor'!$A:$A,'Pokemon Editor'!$C:$C,""),mtype=XLOOKUP($K22,'Pokemon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Chart'!$B$1:$S$1,0)))),base,IF(OR(cat="Status",pow=0),0,FLOOR(FLOOR(FLOOR((2*$L22/5+2)*pow*atk/def)/50)+2)),modifier,stab*eff,AVERAGE(ARRAYFORMULA(FLOOR(base*modifier*SEQUENCE(16,1,85,1)/100)))/(FLOOR(((2*XLOOKUP('Boss Editor'!$C$4,'Pokemon Editor'!$A:$A,'Pokemon Editor'!$E:$E,0)+31+FLOOR('Boss Editor'!$G$4/4))*'Boss Editor'!$D$4)/100)+'Boss Editor'!$D$4+10)),0)</f>
        <v/>
      </c>
      <c r="D22" s="5" t="inlineStr">
        <is>
          <t>Acid</t>
        </is>
      </c>
      <c r="E22" s="4">
        <f>IFERROR(LET(mtype,XLOOKUP($D22,'Move Editor'!$B:$B,'Move Editor'!$C:$C,""),cat,XLOOKUP($D22,'Move Editor'!$B:$B,'Move Editor'!$D:$D,""),pow,XLOOKUP($D22,'Move Editor'!$B:$B,'Move Editor'!$E:$E,0),acc,XLOOKUP($D22,'Move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Editor'!$D:$D,1))),def,IF(cat="Physical",FLOOR((FLOOR(((2*XLOOKUP($K22,'Pokemon Editor'!$A:$A,'Pokemon Editor'!$G:$G,0)+31+FLOOR($Q22/4))*$L22)/100)+5)*XLOOKUP($M22,'Nature Editor'!$A:$A,'Nature Editor'!$C:$C,1)),FLOOR((FLOOR(((2*XLOOKUP($K22,'Pokemon Editor'!$A:$A,'Pokemon Editor'!$I:$I,0)+31+FLOOR($S22/4))*$L22)/100)+5)*XLOOKUP($M22,'Nature Editor'!$A:$A,'Nature Editor'!$E:$E,1))),stab,IF(OR(mtype=XLOOKUP('Boss Editor'!$C$4,'Pokemon Editor'!$A:$A,'Pokemon Editor'!$C:$C,""),mtype=XLOOKUP('Boss Editor'!$C$4,'Pokemon Editor'!$A:$A,'Pokemon Editor'!$D:$D,"")),1.5,1),eff,(INDEX('Type Chart'!$B:$S,MATCH(mtype,'Type Chart'!$A:$A,0),MATCH(XLOOKUP($K22,'Pokemon Editor'!$A:$A,'Pokemon Editor'!$C:$C,""),'Type Chart'!$B$1:$S$1,0))*IF(XLOOKUP($K22,'Pokemon Editor'!$A:$A,'Pokemon Editor'!$D:$D,"")="",1,INDEX('Type Chart'!$B:$S,MATCH(mtype,'Type Chart'!$A:$A,0),MATCH(XLOOKUP($K22,'Pokemon Editor'!$A:$A,'Pokemon Editor'!$D:$D,""),'Type Chart'!$B$1:$S$1,0)))),base,IF(OR(cat="Status",pow=0),0,FLOOR(FLOOR(FLOOR((2*'Boss Editor'!$D$4/5+2)*pow*atk/def)/50)+2)),modifier,stab*eff,AVERAGE(ARRAYFORMULA(FLOOR(base*modifier*SEQUENCE(16,1,85,1)/100)))/(FLOOR(((2*XLOOKUP($K22,'Pokemon Editor'!$A:$A,'Pokemon Editor'!$E:$E,0)+31+FLOOR($O22/4))*$L22)/100)+$L22+10)),0)</f>
        <v/>
      </c>
      <c r="F22" s="3">
        <f>FLOOR((FLOOR(((2*XLOOKUP($K22,'Pokemon Editor'!$A:$A,'Pokemon Editor'!$J:$J,0)+31+FLOOR($T22/4))*$L22)/100)+5)*XLOOKUP($M22,'Nature Editor'!$A:$A,'Nature Editor'!$F:$F,1))</f>
        <v/>
      </c>
      <c r="G22" s="3">
        <f>FLOOR((FLOOR(((2*XLOOKUP('Boss Editor'!$C$4,'Pokemon Editor'!$A:$A,'Pokemon Editor'!$J:$J,0)+31+FLOOR('Boss Editor'!$L$4/4))*'Boss Editor'!$D$4)/100)+5)*XLOOKUP('Boss Editor'!$E$4,'Nature Editor'!$A:$A,'Nature Editor'!$F:$F,1))</f>
        <v/>
      </c>
      <c r="H22" s="3">
        <f>IF(F22&gt;G22,"Yes","No")</f>
        <v/>
      </c>
      <c r="I22" s="3">
        <f>C22-E22</f>
        <v/>
      </c>
      <c r="J22" s="3">
        <f>IFS(AND(C22&gt;=0.5,E22&lt;0.5),"Dominant",AND(C22&gt;=0.35,E22&lt;0.75),"Strong",AND(C22&gt;=0.25,E22&lt;1),"Viable",AND(C22&gt;=0.15,E22&lt;1.25),"Risky",TRUE,"Poor")</f>
        <v/>
      </c>
      <c r="K22" s="3">
        <f>REDUCE($Y22,SEQUENCE(2),LAMBDA(current_species,unused_step,IFERROR(INDEX(FILTER('Evolution Editor'!$D$2:$D,'Evolution Editor'!$A$2:$A=current_species,'Evolution Editor'!$F$2:$F=TRUE,'Evolution Editor'!$E$2:$E&lt;=$L22),1),current_species)))</f>
        <v/>
      </c>
      <c r="L22" s="5" t="n">
        <v>15</v>
      </c>
      <c r="M22" s="5" t="inlineStr">
        <is>
          <t>Neutral</t>
        </is>
      </c>
      <c r="N22" s="5" t="inlineStr">
        <is>
          <t>ABILITY_RUN_AWAY</t>
        </is>
      </c>
      <c r="O22" s="5" t="n">
        <v>0</v>
      </c>
      <c r="P22" s="5" t="n">
        <v>0</v>
      </c>
      <c r="Q22" s="5" t="n">
        <v>0</v>
      </c>
      <c r="R22" s="5" t="n">
        <v>0</v>
      </c>
      <c r="S22" s="5" t="n">
        <v>0</v>
      </c>
      <c r="T22" s="5" t="n">
        <v>0</v>
      </c>
      <c r="U22" s="3">
        <f>IFERROR(LET(mtype,XLOOKUP($B22,'Move Editor'!$B:$B,'Move Editor'!$C:$C,""),cat,XLOOKUP($B22,'Move Editor'!$B:$B,'Move Editor'!$D:$D,""),pow,XLOOKUP($B22,'Move Editor'!$B:$B,'Move Editor'!$E:$E,0),acc,XLOOKUP($B22,'Move Editor'!$B:$B,'Move Editor'!$F:$F,100),atk,IF(cat="Physical",FLOOR((FLOOR(((2*XLOOKUP($K22,'Pokemon Editor'!$A:$A,'Pokemon Editor'!$F:$F,0)+31+FLOOR($P22/4))*$L22)/100)+5)*XLOOKUP($M22,'Nature Editor'!$A:$A,'Nature Editor'!$B:$B,1)),FLOOR((FLOOR(((2*XLOOKUP($K22,'Pokemon Editor'!$A:$A,'Pokemon Editor'!$H:$H,0)+31+FLOOR($R22/4))*$L22)/100)+5)*XLOOKUP($M22,'Nature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Editor'!$E:$E,1))),stab,IF(OR(mtype=XLOOKUP($K22,'Pokemon Editor'!$A:$A,'Pokemon Editor'!$C:$C,""),mtype=XLOOKUP($K22,'Pokemon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Chart'!$B$1:$S$1,0)))),base,IF(OR(cat="Status",pow=0),0,FLOOR(FLOOR(FLOOR((2*$L22/5+2)*pow*atk/def)/50)+2)),modifier,stab*eff,FLOOR(base*modifier*0.85)),0)</f>
        <v/>
      </c>
      <c r="V22" s="3">
        <f>IFERROR(LET(mtype,XLOOKUP($B22,'Move Editor'!$B:$B,'Move Editor'!$C:$C,""),cat,XLOOKUP($B22,'Move Editor'!$B:$B,'Move Editor'!$D:$D,""),pow,XLOOKUP($B22,'Move Editor'!$B:$B,'Move Editor'!$E:$E,0),acc,XLOOKUP($B22,'Move Editor'!$B:$B,'Move Editor'!$F:$F,100),atk,IF(cat="Physical",FLOOR((FLOOR(((2*XLOOKUP($K22,'Pokemon Editor'!$A:$A,'Pokemon Editor'!$F:$F,0)+31+FLOOR($P22/4))*$L22)/100)+5)*XLOOKUP($M22,'Nature Editor'!$A:$A,'Nature Editor'!$B:$B,1)),FLOOR((FLOOR(((2*XLOOKUP($K22,'Pokemon Editor'!$A:$A,'Pokemon Editor'!$H:$H,0)+31+FLOOR($R22/4))*$L22)/100)+5)*XLOOKUP($M22,'Nature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Editor'!$E:$E,1))),stab,IF(OR(mtype=XLOOKUP($K22,'Pokemon Editor'!$A:$A,'Pokemon Editor'!$C:$C,""),mtype=XLOOKUP($K22,'Pokemon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Chart'!$B$1:$S$1,0)))),base,IF(OR(cat="Status",pow=0),0,FLOOR(FLOOR(FLOOR((2*$L22/5+2)*pow*atk/def)/50)+2)),modifier,stab*eff,FLOOR(base*modifier)),0)</f>
        <v/>
      </c>
      <c r="W22" s="3">
        <f>IFERROR(LET(mtype,XLOOKUP($D22,'Move Editor'!$B:$B,'Move Editor'!$C:$C,""),cat,XLOOKUP($D22,'Move Editor'!$B:$B,'Move Editor'!$D:$D,""),pow,XLOOKUP($D22,'Move Editor'!$B:$B,'Move Editor'!$E:$E,0),acc,XLOOKUP($D22,'Move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Editor'!$D:$D,1))),def,IF(cat="Physical",FLOOR((FLOOR(((2*XLOOKUP($K22,'Pokemon Editor'!$A:$A,'Pokemon Editor'!$G:$G,0)+31+FLOOR($Q22/4))*$L22)/100)+5)*XLOOKUP($M22,'Nature Editor'!$A:$A,'Nature Editor'!$C:$C,1)),FLOOR((FLOOR(((2*XLOOKUP($K22,'Pokemon Editor'!$A:$A,'Pokemon Editor'!$I:$I,0)+31+FLOOR($S22/4))*$L22)/100)+5)*XLOOKUP($M22,'Nature Editor'!$A:$A,'Nature Editor'!$E:$E,1))),stab,IF(OR(mtype=XLOOKUP('Boss Editor'!$C$4,'Pokemon Editor'!$A:$A,'Pokemon Editor'!$C:$C,""),mtype=XLOOKUP('Boss Editor'!$C$4,'Pokemon Editor'!$A:$A,'Pokemon Editor'!$D:$D,"")),1.5,1),eff,(INDEX('Type Chart'!$B:$S,MATCH(mtype,'Type Chart'!$A:$A,0),MATCH(XLOOKUP($K22,'Pokemon Editor'!$A:$A,'Pokemon Editor'!$C:$C,""),'Type Chart'!$B$1:$S$1,0))*IF(XLOOKUP($K22,'Pokemon Editor'!$A:$A,'Pokemon Editor'!$D:$D,"")="",1,INDEX('Type Chart'!$B:$S,MATCH(mtype,'Type Chart'!$A:$A,0),MATCH(XLOOKUP($K22,'Pokemon Editor'!$A:$A,'Pokemon Editor'!$D:$D,""),'Type Chart'!$B$1:$S$1,0)))),base,IF(OR(cat="Status",pow=0),0,FLOOR(FLOOR(FLOOR((2*'Boss Editor'!$D$4/5+2)*pow*atk/def)/50)+2)),modifier,stab*eff,FLOOR(base*modifier*0.85)),0)</f>
        <v/>
      </c>
      <c r="X22" s="3">
        <f>IFERROR(LET(mtype,XLOOKUP($D22,'Move Editor'!$B:$B,'Move Editor'!$C:$C,""),cat,XLOOKUP($D22,'Move Editor'!$B:$B,'Move Editor'!$D:$D,""),pow,XLOOKUP($D22,'Move Editor'!$B:$B,'Move Editor'!$E:$E,0),acc,XLOOKUP($D22,'Move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Editor'!$D:$D,1))),def,IF(cat="Physical",FLOOR((FLOOR(((2*XLOOKUP($K22,'Pokemon Editor'!$A:$A,'Pokemon Editor'!$G:$G,0)+31+FLOOR($Q22/4))*$L22)/100)+5)*XLOOKUP($M22,'Nature Editor'!$A:$A,'Nature Editor'!$C:$C,1)),FLOOR((FLOOR(((2*XLOOKUP($K22,'Pokemon Editor'!$A:$A,'Pokemon Editor'!$I:$I,0)+31+FLOOR($S22/4))*$L22)/100)+5)*XLOOKUP($M22,'Nature Editor'!$A:$A,'Nature Editor'!$E:$E,1))),stab,IF(OR(mtype=XLOOKUP('Boss Editor'!$C$4,'Pokemon Editor'!$A:$A,'Pokemon Editor'!$C:$C,""),mtype=XLOOKUP('Boss Editor'!$C$4,'Pokemon Editor'!$A:$A,'Pokemon Editor'!$D:$D,"")),1.5,1),eff,(INDEX('Type Chart'!$B:$S,MATCH(mtype,'Type Chart'!$A:$A,0),MATCH(XLOOKUP($K22,'Pokemon Editor'!$A:$A,'Pokemon Editor'!$C:$C,""),'Type Chart'!$B$1:$S$1,0))*IF(XLOOKUP($K22,'Pokemon Editor'!$A:$A,'Pokemon Editor'!$D:$D,"")="",1,INDEX('Type Chart'!$B:$S,MATCH(mtype,'Type Chart'!$A:$A,0),MATCH(XLOOKUP($K22,'Pokemon Editor'!$A:$A,'Pokemon Editor'!$D:$D,""),'Type Chart'!$B$1:$S$1,0)))),base,IF(OR(cat="Status",pow=0),0,FLOOR(FLOOR(FLOOR((2*'Boss Editor'!$D$4/5+2)*pow*atk/def)/50)+2)),modifier,stab*eff,FLOOR(base*modifier)),0)</f>
        <v/>
      </c>
      <c r="Y22" s="3" t="inlineStr">
        <is>
          <t>SPECIES_BUNEARY</t>
        </is>
      </c>
      <c r="Z22" s="5" t="inlineStr"/>
    </row>
    <row r="23">
      <c r="A23" s="3">
        <f>XLOOKUP(K23,'Pokemon Editor'!$A:$A,'Pokemon Editor'!$B:$B,K23)</f>
        <v/>
      </c>
      <c r="B23" s="3">
        <f>IF($Z23&lt;&gt;"",$Z23,IFERROR(INDEX(FILTER('Move Comparison'!$D$2:$D,'Move Comparison'!$Q$2:$Q=$Y23,'Move Comparison'!$M$2:$M=MAXIFS('Move Comparison'!$M$2:$M,'Move Comparison'!$Q$2:$Q,$Y23),'Move Comparison'!$D$2:$D&lt;&gt;""),1),""))</f>
        <v/>
      </c>
      <c r="C23" s="4">
        <f>IFERROR(LET(mtype,XLOOKUP($B23,'Move Editor'!$B:$B,'Move Editor'!$C:$C,""),cat,XLOOKUP($B23,'Move Editor'!$B:$B,'Move Editor'!$D:$D,""),pow,XLOOKUP($B23,'Move Editor'!$B:$B,'Move Editor'!$E:$E,0),acc,XLOOKUP($B23,'Move Editor'!$B:$B,'Move Editor'!$F:$F,100),atk,IF(cat="Physical",FLOOR((FLOOR(((2*XLOOKUP($K23,'Pokemon Editor'!$A:$A,'Pokemon Editor'!$F:$F,0)+31+FLOOR($P23/4))*$L23)/100)+5)*XLOOKUP($M23,'Nature Editor'!$A:$A,'Nature Editor'!$B:$B,1)),FLOOR((FLOOR(((2*XLOOKUP($K23,'Pokemon Editor'!$A:$A,'Pokemon Editor'!$H:$H,0)+31+FLOOR($R23/4))*$L23)/100)+5)*XLOOKUP($M23,'Nature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Editor'!$E:$E,1))),stab,IF(OR(mtype=XLOOKUP($K23,'Pokemon Editor'!$A:$A,'Pokemon Editor'!$C:$C,""),mtype=XLOOKUP($K23,'Pokemon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Chart'!$B$1:$S$1,0)))),base,IF(OR(cat="Status",pow=0),0,FLOOR(FLOOR(FLOOR((2*$L23/5+2)*pow*atk/def)/50)+2)),modifier,stab*eff,AVERAGE(ARRAYFORMULA(FLOOR(base*modifier*SEQUENCE(16,1,85,1)/100)))/(FLOOR(((2*XLOOKUP('Boss Editor'!$C$4,'Pokemon Editor'!$A:$A,'Pokemon Editor'!$E:$E,0)+31+FLOOR('Boss Editor'!$G$4/4))*'Boss Editor'!$D$4)/100)+'Boss Editor'!$D$4+10)),0)</f>
        <v/>
      </c>
      <c r="D23" s="5" t="inlineStr">
        <is>
          <t>Astonish</t>
        </is>
      </c>
      <c r="E23" s="4">
        <f>IFERROR(LET(mtype,XLOOKUP($D23,'Move Editor'!$B:$B,'Move Editor'!$C:$C,""),cat,XLOOKUP($D23,'Move Editor'!$B:$B,'Move Editor'!$D:$D,""),pow,XLOOKUP($D23,'Move Editor'!$B:$B,'Move Editor'!$E:$E,0),acc,XLOOKUP($D23,'Move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Editor'!$D:$D,1))),def,IF(cat="Physical",FLOOR((FLOOR(((2*XLOOKUP($K23,'Pokemon Editor'!$A:$A,'Pokemon Editor'!$G:$G,0)+31+FLOOR($Q23/4))*$L23)/100)+5)*XLOOKUP($M23,'Nature Editor'!$A:$A,'Nature Editor'!$C:$C,1)),FLOOR((FLOOR(((2*XLOOKUP($K23,'Pokemon Editor'!$A:$A,'Pokemon Editor'!$I:$I,0)+31+FLOOR($S23/4))*$L23)/100)+5)*XLOOKUP($M23,'Nature Editor'!$A:$A,'Nature Editor'!$E:$E,1))),stab,IF(OR(mtype=XLOOKUP('Boss Editor'!$C$4,'Pokemon Editor'!$A:$A,'Pokemon Editor'!$C:$C,""),mtype=XLOOKUP('Boss Editor'!$C$4,'Pokemon Editor'!$A:$A,'Pokemon Editor'!$D:$D,"")),1.5,1),eff,(INDEX('Type Chart'!$B:$S,MATCH(mtype,'Type Chart'!$A:$A,0),MATCH(XLOOKUP($K23,'Pokemon Editor'!$A:$A,'Pokemon Editor'!$C:$C,""),'Type Chart'!$B$1:$S$1,0))*IF(XLOOKUP($K23,'Pokemon Editor'!$A:$A,'Pokemon Editor'!$D:$D,"")="",1,INDEX('Type Chart'!$B:$S,MATCH(mtype,'Type Chart'!$A:$A,0),MATCH(XLOOKUP($K23,'Pokemon Editor'!$A:$A,'Pokemon Editor'!$D:$D,""),'Type Chart'!$B$1:$S$1,0)))),base,IF(OR(cat="Status",pow=0),0,FLOOR(FLOOR(FLOOR((2*'Boss Editor'!$D$4/5+2)*pow*atk/def)/50)+2)),modifier,stab*eff,AVERAGE(ARRAYFORMULA(FLOOR(base*modifier*SEQUENCE(16,1,85,1)/100)))/(FLOOR(((2*XLOOKUP($K23,'Pokemon Editor'!$A:$A,'Pokemon Editor'!$E:$E,0)+31+FLOOR($O23/4))*$L23)/100)+$L23+10)),0)</f>
        <v/>
      </c>
      <c r="F23" s="3">
        <f>FLOOR((FLOOR(((2*XLOOKUP($K23,'Pokemon Editor'!$A:$A,'Pokemon Editor'!$J:$J,0)+31+FLOOR($T23/4))*$L23)/100)+5)*XLOOKUP($M23,'Nature Editor'!$A:$A,'Nature Editor'!$F:$F,1))</f>
        <v/>
      </c>
      <c r="G23" s="3">
        <f>FLOOR((FLOOR(((2*XLOOKUP('Boss Editor'!$C$4,'Pokemon Editor'!$A:$A,'Pokemon Editor'!$J:$J,0)+31+FLOOR('Boss Editor'!$L$4/4))*'Boss Editor'!$D$4)/100)+5)*XLOOKUP('Boss Editor'!$E$4,'Nature Editor'!$A:$A,'Nature Editor'!$F:$F,1))</f>
        <v/>
      </c>
      <c r="H23" s="3">
        <f>IF(F23&gt;G23,"Yes","No")</f>
        <v/>
      </c>
      <c r="I23" s="3">
        <f>C23-E23</f>
        <v/>
      </c>
      <c r="J23" s="3">
        <f>IFS(AND(C23&gt;=0.5,E23&lt;0.5),"Dominant",AND(C23&gt;=0.35,E23&lt;0.75),"Strong",AND(C23&gt;=0.25,E23&lt;1),"Viable",AND(C23&gt;=0.15,E23&lt;1.25),"Risky",TRUE,"Poor")</f>
        <v/>
      </c>
      <c r="K23" s="3">
        <f>REDUCE($Y23,SEQUENCE(2),LAMBDA(current_species,unused_step,IFERROR(INDEX(FILTER('Evolution Editor'!$D$2:$D,'Evolution Editor'!$A$2:$A=current_species,'Evolution Editor'!$F$2:$F=TRUE,'Evolution Editor'!$E$2:$E&lt;=$L23),1),current_species)))</f>
        <v/>
      </c>
      <c r="L23" s="5" t="n">
        <v>15</v>
      </c>
      <c r="M23" s="5" t="inlineStr">
        <is>
          <t>Neutral</t>
        </is>
      </c>
      <c r="N23" s="5" t="inlineStr">
        <is>
          <t>ABILITY_AFTERMATH</t>
        </is>
      </c>
      <c r="O23" s="5" t="n">
        <v>0</v>
      </c>
      <c r="P23" s="5" t="n">
        <v>0</v>
      </c>
      <c r="Q23" s="5" t="n">
        <v>0</v>
      </c>
      <c r="R23" s="5" t="n">
        <v>0</v>
      </c>
      <c r="S23" s="5" t="n">
        <v>0</v>
      </c>
      <c r="T23" s="5" t="n">
        <v>0</v>
      </c>
      <c r="U23" s="3">
        <f>IFERROR(LET(mtype,XLOOKUP($B23,'Move Editor'!$B:$B,'Move Editor'!$C:$C,""),cat,XLOOKUP($B23,'Move Editor'!$B:$B,'Move Editor'!$D:$D,""),pow,XLOOKUP($B23,'Move Editor'!$B:$B,'Move Editor'!$E:$E,0),acc,XLOOKUP($B23,'Move Editor'!$B:$B,'Move Editor'!$F:$F,100),atk,IF(cat="Physical",FLOOR((FLOOR(((2*XLOOKUP($K23,'Pokemon Editor'!$A:$A,'Pokemon Editor'!$F:$F,0)+31+FLOOR($P23/4))*$L23)/100)+5)*XLOOKUP($M23,'Nature Editor'!$A:$A,'Nature Editor'!$B:$B,1)),FLOOR((FLOOR(((2*XLOOKUP($K23,'Pokemon Editor'!$A:$A,'Pokemon Editor'!$H:$H,0)+31+FLOOR($R23/4))*$L23)/100)+5)*XLOOKUP($M23,'Nature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Editor'!$E:$E,1))),stab,IF(OR(mtype=XLOOKUP($K23,'Pokemon Editor'!$A:$A,'Pokemon Editor'!$C:$C,""),mtype=XLOOKUP($K23,'Pokemon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Chart'!$B$1:$S$1,0)))),base,IF(OR(cat="Status",pow=0),0,FLOOR(FLOOR(FLOOR((2*$L23/5+2)*pow*atk/def)/50)+2)),modifier,stab*eff,FLOOR(base*modifier*0.85)),0)</f>
        <v/>
      </c>
      <c r="V23" s="3">
        <f>IFERROR(LET(mtype,XLOOKUP($B23,'Move Editor'!$B:$B,'Move Editor'!$C:$C,""),cat,XLOOKUP($B23,'Move Editor'!$B:$B,'Move Editor'!$D:$D,""),pow,XLOOKUP($B23,'Move Editor'!$B:$B,'Move Editor'!$E:$E,0),acc,XLOOKUP($B23,'Move Editor'!$B:$B,'Move Editor'!$F:$F,100),atk,IF(cat="Physical",FLOOR((FLOOR(((2*XLOOKUP($K23,'Pokemon Editor'!$A:$A,'Pokemon Editor'!$F:$F,0)+31+FLOOR($P23/4))*$L23)/100)+5)*XLOOKUP($M23,'Nature Editor'!$A:$A,'Nature Editor'!$B:$B,1)),FLOOR((FLOOR(((2*XLOOKUP($K23,'Pokemon Editor'!$A:$A,'Pokemon Editor'!$H:$H,0)+31+FLOOR($R23/4))*$L23)/100)+5)*XLOOKUP($M23,'Nature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Editor'!$E:$E,1))),stab,IF(OR(mtype=XLOOKUP($K23,'Pokemon Editor'!$A:$A,'Pokemon Editor'!$C:$C,""),mtype=XLOOKUP($K23,'Pokemon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Chart'!$B$1:$S$1,0)))),base,IF(OR(cat="Status",pow=0),0,FLOOR(FLOOR(FLOOR((2*$L23/5+2)*pow*atk/def)/50)+2)),modifier,stab*eff,FLOOR(base*modifier)),0)</f>
        <v/>
      </c>
      <c r="W23" s="3">
        <f>IFERROR(LET(mtype,XLOOKUP($D23,'Move Editor'!$B:$B,'Move Editor'!$C:$C,""),cat,XLOOKUP($D23,'Move Editor'!$B:$B,'Move Editor'!$D:$D,""),pow,XLOOKUP($D23,'Move Editor'!$B:$B,'Move Editor'!$E:$E,0),acc,XLOOKUP($D23,'Move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Editor'!$D:$D,1))),def,IF(cat="Physical",FLOOR((FLOOR(((2*XLOOKUP($K23,'Pokemon Editor'!$A:$A,'Pokemon Editor'!$G:$G,0)+31+FLOOR($Q23/4))*$L23)/100)+5)*XLOOKUP($M23,'Nature Editor'!$A:$A,'Nature Editor'!$C:$C,1)),FLOOR((FLOOR(((2*XLOOKUP($K23,'Pokemon Editor'!$A:$A,'Pokemon Editor'!$I:$I,0)+31+FLOOR($S23/4))*$L23)/100)+5)*XLOOKUP($M23,'Nature Editor'!$A:$A,'Nature Editor'!$E:$E,1))),stab,IF(OR(mtype=XLOOKUP('Boss Editor'!$C$4,'Pokemon Editor'!$A:$A,'Pokemon Editor'!$C:$C,""),mtype=XLOOKUP('Boss Editor'!$C$4,'Pokemon Editor'!$A:$A,'Pokemon Editor'!$D:$D,"")),1.5,1),eff,(INDEX('Type Chart'!$B:$S,MATCH(mtype,'Type Chart'!$A:$A,0),MATCH(XLOOKUP($K23,'Pokemon Editor'!$A:$A,'Pokemon Editor'!$C:$C,""),'Type Chart'!$B$1:$S$1,0))*IF(XLOOKUP($K23,'Pokemon Editor'!$A:$A,'Pokemon Editor'!$D:$D,"")="",1,INDEX('Type Chart'!$B:$S,MATCH(mtype,'Type Chart'!$A:$A,0),MATCH(XLOOKUP($K23,'Pokemon Editor'!$A:$A,'Pokemon Editor'!$D:$D,""),'Type Chart'!$B$1:$S$1,0)))),base,IF(OR(cat="Status",pow=0),0,FLOOR(FLOOR(FLOOR((2*'Boss Editor'!$D$4/5+2)*pow*atk/def)/50)+2)),modifier,stab*eff,FLOOR(base*modifier*0.85)),0)</f>
        <v/>
      </c>
      <c r="X23" s="3">
        <f>IFERROR(LET(mtype,XLOOKUP($D23,'Move Editor'!$B:$B,'Move Editor'!$C:$C,""),cat,XLOOKUP($D23,'Move Editor'!$B:$B,'Move Editor'!$D:$D,""),pow,XLOOKUP($D23,'Move Editor'!$B:$B,'Move Editor'!$E:$E,0),acc,XLOOKUP($D23,'Move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Editor'!$D:$D,1))),def,IF(cat="Physical",FLOOR((FLOOR(((2*XLOOKUP($K23,'Pokemon Editor'!$A:$A,'Pokemon Editor'!$G:$G,0)+31+FLOOR($Q23/4))*$L23)/100)+5)*XLOOKUP($M23,'Nature Editor'!$A:$A,'Nature Editor'!$C:$C,1)),FLOOR((FLOOR(((2*XLOOKUP($K23,'Pokemon Editor'!$A:$A,'Pokemon Editor'!$I:$I,0)+31+FLOOR($S23/4))*$L23)/100)+5)*XLOOKUP($M23,'Nature Editor'!$A:$A,'Nature Editor'!$E:$E,1))),stab,IF(OR(mtype=XLOOKUP('Boss Editor'!$C$4,'Pokemon Editor'!$A:$A,'Pokemon Editor'!$C:$C,""),mtype=XLOOKUP('Boss Editor'!$C$4,'Pokemon Editor'!$A:$A,'Pokemon Editor'!$D:$D,"")),1.5,1),eff,(INDEX('Type Chart'!$B:$S,MATCH(mtype,'Type Chart'!$A:$A,0),MATCH(XLOOKUP($K23,'Pokemon Editor'!$A:$A,'Pokemon Editor'!$C:$C,""),'Type Chart'!$B$1:$S$1,0))*IF(XLOOKUP($K23,'Pokemon Editor'!$A:$A,'Pokemon Editor'!$D:$D,"")="",1,INDEX('Type Chart'!$B:$S,MATCH(mtype,'Type Chart'!$A:$A,0),MATCH(XLOOKUP($K23,'Pokemon Editor'!$A:$A,'Pokemon Editor'!$D:$D,""),'Type Chart'!$B$1:$S$1,0)))),base,IF(OR(cat="Status",pow=0),0,FLOOR(FLOOR(FLOOR((2*'Boss Editor'!$D$4/5+2)*pow*atk/def)/50)+2)),modifier,stab*eff,FLOOR(base*modifier)),0)</f>
        <v/>
      </c>
      <c r="Y23" s="3" t="inlineStr">
        <is>
          <t>SPECIES_DRIFLOON</t>
        </is>
      </c>
      <c r="Z23" s="5" t="inlineStr"/>
    </row>
    <row r="24">
      <c r="A24" s="3">
        <f>XLOOKUP(K24,'Pokemon Editor'!$A:$A,'Pokemon Editor'!$B:$B,K24)</f>
        <v/>
      </c>
      <c r="B24" s="3">
        <f>IF($Z24&lt;&gt;"",$Z24,IFERROR(INDEX(FILTER('Move Comparison'!$D$2:$D,'Move Comparison'!$Q$2:$Q=$Y24,'Move Comparison'!$M$2:$M=MAXIFS('Move Comparison'!$M$2:$M,'Move Comparison'!$Q$2:$Q,$Y24),'Move Comparison'!$D$2:$D&lt;&gt;""),1),""))</f>
        <v/>
      </c>
      <c r="C24" s="4">
        <f>IFERROR(LET(mtype,XLOOKUP($B24,'Move Editor'!$B:$B,'Move Editor'!$C:$C,""),cat,XLOOKUP($B24,'Move Editor'!$B:$B,'Move Editor'!$D:$D,""),pow,XLOOKUP($B24,'Move Editor'!$B:$B,'Move Editor'!$E:$E,0),acc,XLOOKUP($B24,'Move Editor'!$B:$B,'Move Editor'!$F:$F,100),atk,IF(cat="Physical",FLOOR((FLOOR(((2*XLOOKUP($K24,'Pokemon Editor'!$A:$A,'Pokemon Editor'!$F:$F,0)+31+FLOOR($P24/4))*$L24)/100)+5)*XLOOKUP($M24,'Nature Editor'!$A:$A,'Nature Editor'!$B:$B,1)),FLOOR((FLOOR(((2*XLOOKUP($K24,'Pokemon Editor'!$A:$A,'Pokemon Editor'!$H:$H,0)+31+FLOOR($R24/4))*$L24)/100)+5)*XLOOKUP($M24,'Nature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Editor'!$E:$E,1))),stab,IF(OR(mtype=XLOOKUP($K24,'Pokemon Editor'!$A:$A,'Pokemon Editor'!$C:$C,""),mtype=XLOOKUP($K24,'Pokemon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Chart'!$B$1:$S$1,0)))),base,IF(OR(cat="Status",pow=0),0,FLOOR(FLOOR(FLOOR((2*$L24/5+2)*pow*atk/def)/50)+2)),modifier,stab*eff,AVERAGE(ARRAYFORMULA(FLOOR(base*modifier*SEQUENCE(16,1,85,1)/100)))/(FLOOR(((2*XLOOKUP('Boss Editor'!$C$4,'Pokemon Editor'!$A:$A,'Pokemon Editor'!$E:$E,0)+31+FLOOR('Boss Editor'!$G$4/4))*'Boss Editor'!$D$4)/100)+'Boss Editor'!$D$4+10)),0)</f>
        <v/>
      </c>
      <c r="D24" s="5" t="inlineStr">
        <is>
          <t>Acid</t>
        </is>
      </c>
      <c r="E24" s="4">
        <f>IFERROR(LET(mtype,XLOOKUP($D24,'Move Editor'!$B:$B,'Move Editor'!$C:$C,""),cat,XLOOKUP($D24,'Move Editor'!$B:$B,'Move Editor'!$D:$D,""),pow,XLOOKUP($D24,'Move Editor'!$B:$B,'Move Editor'!$E:$E,0),acc,XLOOKUP($D24,'Move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Editor'!$D:$D,1))),def,IF(cat="Physical",FLOOR((FLOOR(((2*XLOOKUP($K24,'Pokemon Editor'!$A:$A,'Pokemon Editor'!$G:$G,0)+31+FLOOR($Q24/4))*$L24)/100)+5)*XLOOKUP($M24,'Nature Editor'!$A:$A,'Nature Editor'!$C:$C,1)),FLOOR((FLOOR(((2*XLOOKUP($K24,'Pokemon Editor'!$A:$A,'Pokemon Editor'!$I:$I,0)+31+FLOOR($S24/4))*$L24)/100)+5)*XLOOKUP($M24,'Nature Editor'!$A:$A,'Nature Editor'!$E:$E,1))),stab,IF(OR(mtype=XLOOKUP('Boss Editor'!$C$4,'Pokemon Editor'!$A:$A,'Pokemon Editor'!$C:$C,""),mtype=XLOOKUP('Boss Editor'!$C$4,'Pokemon Editor'!$A:$A,'Pokemon Editor'!$D:$D,"")),1.5,1),eff,(INDEX('Type Chart'!$B:$S,MATCH(mtype,'Type Chart'!$A:$A,0),MATCH(XLOOKUP($K24,'Pokemon Editor'!$A:$A,'Pokemon Editor'!$C:$C,""),'Type Chart'!$B$1:$S$1,0))*IF(XLOOKUP($K24,'Pokemon Editor'!$A:$A,'Pokemon Editor'!$D:$D,"")="",1,INDEX('Type Chart'!$B:$S,MATCH(mtype,'Type Chart'!$A:$A,0),MATCH(XLOOKUP($K24,'Pokemon Editor'!$A:$A,'Pokemon Editor'!$D:$D,""),'Type Chart'!$B$1:$S$1,0)))),base,IF(OR(cat="Status",pow=0),0,FLOOR(FLOOR(FLOOR((2*'Boss Editor'!$D$4/5+2)*pow*atk/def)/50)+2)),modifier,stab*eff,AVERAGE(ARRAYFORMULA(FLOOR(base*modifier*SEQUENCE(16,1,85,1)/100)))/(FLOOR(((2*XLOOKUP($K24,'Pokemon Editor'!$A:$A,'Pokemon Editor'!$E:$E,0)+31+FLOOR($O24/4))*$L24)/100)+$L24+10)),0)</f>
        <v/>
      </c>
      <c r="F24" s="3">
        <f>FLOOR((FLOOR(((2*XLOOKUP($K24,'Pokemon Editor'!$A:$A,'Pokemon Editor'!$J:$J,0)+31+FLOOR($T24/4))*$L24)/100)+5)*XLOOKUP($M24,'Nature Editor'!$A:$A,'Nature Editor'!$F:$F,1))</f>
        <v/>
      </c>
      <c r="G24" s="3">
        <f>FLOOR((FLOOR(((2*XLOOKUP('Boss Editor'!$C$4,'Pokemon Editor'!$A:$A,'Pokemon Editor'!$J:$J,0)+31+FLOOR('Boss Editor'!$L$4/4))*'Boss Editor'!$D$4)/100)+5)*XLOOKUP('Boss Editor'!$E$4,'Nature Editor'!$A:$A,'Nature Editor'!$F:$F,1))</f>
        <v/>
      </c>
      <c r="H24" s="3">
        <f>IF(F24&gt;G24,"Yes","No")</f>
        <v/>
      </c>
      <c r="I24" s="3">
        <f>C24-E24</f>
        <v/>
      </c>
      <c r="J24" s="3">
        <f>IFS(AND(C24&gt;=0.5,E24&lt;0.5),"Dominant",AND(C24&gt;=0.35,E24&lt;0.75),"Strong",AND(C24&gt;=0.25,E24&lt;1),"Viable",AND(C24&gt;=0.15,E24&lt;1.25),"Risky",TRUE,"Poor")</f>
        <v/>
      </c>
      <c r="K24" s="3">
        <f>REDUCE($Y24,SEQUENCE(2),LAMBDA(current_species,unused_step,IFERROR(INDEX(FILTER('Evolution Editor'!$D$2:$D,'Evolution Editor'!$A$2:$A=current_species,'Evolution Editor'!$F$2:$F=TRUE,'Evolution Editor'!$E$2:$E&lt;=$L24),1),current_species)))</f>
        <v/>
      </c>
      <c r="L24" s="5" t="n">
        <v>15</v>
      </c>
      <c r="M24" s="5" t="inlineStr">
        <is>
          <t>Neutral</t>
        </is>
      </c>
      <c r="N24" s="5" t="inlineStr">
        <is>
          <t>ABILITY_KEEN_EYE</t>
        </is>
      </c>
      <c r="O24" s="5" t="n">
        <v>0</v>
      </c>
      <c r="P24" s="5" t="n">
        <v>0</v>
      </c>
      <c r="Q24" s="5" t="n">
        <v>0</v>
      </c>
      <c r="R24" s="5" t="n">
        <v>0</v>
      </c>
      <c r="S24" s="5" t="n">
        <v>0</v>
      </c>
      <c r="T24" s="5" t="n">
        <v>0</v>
      </c>
      <c r="U24" s="3">
        <f>IFERROR(LET(mtype,XLOOKUP($B24,'Move Editor'!$B:$B,'Move Editor'!$C:$C,""),cat,XLOOKUP($B24,'Move Editor'!$B:$B,'Move Editor'!$D:$D,""),pow,XLOOKUP($B24,'Move Editor'!$B:$B,'Move Editor'!$E:$E,0),acc,XLOOKUP($B24,'Move Editor'!$B:$B,'Move Editor'!$F:$F,100),atk,IF(cat="Physical",FLOOR((FLOOR(((2*XLOOKUP($K24,'Pokemon Editor'!$A:$A,'Pokemon Editor'!$F:$F,0)+31+FLOOR($P24/4))*$L24)/100)+5)*XLOOKUP($M24,'Nature Editor'!$A:$A,'Nature Editor'!$B:$B,1)),FLOOR((FLOOR(((2*XLOOKUP($K24,'Pokemon Editor'!$A:$A,'Pokemon Editor'!$H:$H,0)+31+FLOOR($R24/4))*$L24)/100)+5)*XLOOKUP($M24,'Nature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Editor'!$E:$E,1))),stab,IF(OR(mtype=XLOOKUP($K24,'Pokemon Editor'!$A:$A,'Pokemon Editor'!$C:$C,""),mtype=XLOOKUP($K24,'Pokemon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Chart'!$B$1:$S$1,0)))),base,IF(OR(cat="Status",pow=0),0,FLOOR(FLOOR(FLOOR((2*$L24/5+2)*pow*atk/def)/50)+2)),modifier,stab*eff,FLOOR(base*modifier*0.85)),0)</f>
        <v/>
      </c>
      <c r="V24" s="3">
        <f>IFERROR(LET(mtype,XLOOKUP($B24,'Move Editor'!$B:$B,'Move Editor'!$C:$C,""),cat,XLOOKUP($B24,'Move Editor'!$B:$B,'Move Editor'!$D:$D,""),pow,XLOOKUP($B24,'Move Editor'!$B:$B,'Move Editor'!$E:$E,0),acc,XLOOKUP($B24,'Move Editor'!$B:$B,'Move Editor'!$F:$F,100),atk,IF(cat="Physical",FLOOR((FLOOR(((2*XLOOKUP($K24,'Pokemon Editor'!$A:$A,'Pokemon Editor'!$F:$F,0)+31+FLOOR($P24/4))*$L24)/100)+5)*XLOOKUP($M24,'Nature Editor'!$A:$A,'Nature Editor'!$B:$B,1)),FLOOR((FLOOR(((2*XLOOKUP($K24,'Pokemon Editor'!$A:$A,'Pokemon Editor'!$H:$H,0)+31+FLOOR($R24/4))*$L24)/100)+5)*XLOOKUP($M24,'Nature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Editor'!$E:$E,1))),stab,IF(OR(mtype=XLOOKUP($K24,'Pokemon Editor'!$A:$A,'Pokemon Editor'!$C:$C,""),mtype=XLOOKUP($K24,'Pokemon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Chart'!$B$1:$S$1,0)))),base,IF(OR(cat="Status",pow=0),0,FLOOR(FLOOR(FLOOR((2*$L24/5+2)*pow*atk/def)/50)+2)),modifier,stab*eff,FLOOR(base*modifier)),0)</f>
        <v/>
      </c>
      <c r="W24" s="3">
        <f>IFERROR(LET(mtype,XLOOKUP($D24,'Move Editor'!$B:$B,'Move Editor'!$C:$C,""),cat,XLOOKUP($D24,'Move Editor'!$B:$B,'Move Editor'!$D:$D,""),pow,XLOOKUP($D24,'Move Editor'!$B:$B,'Move Editor'!$E:$E,0),acc,XLOOKUP($D24,'Move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Editor'!$D:$D,1))),def,IF(cat="Physical",FLOOR((FLOOR(((2*XLOOKUP($K24,'Pokemon Editor'!$A:$A,'Pokemon Editor'!$G:$G,0)+31+FLOOR($Q24/4))*$L24)/100)+5)*XLOOKUP($M24,'Nature Editor'!$A:$A,'Nature Editor'!$C:$C,1)),FLOOR((FLOOR(((2*XLOOKUP($K24,'Pokemon Editor'!$A:$A,'Pokemon Editor'!$I:$I,0)+31+FLOOR($S24/4))*$L24)/100)+5)*XLOOKUP($M24,'Nature Editor'!$A:$A,'Nature Editor'!$E:$E,1))),stab,IF(OR(mtype=XLOOKUP('Boss Editor'!$C$4,'Pokemon Editor'!$A:$A,'Pokemon Editor'!$C:$C,""),mtype=XLOOKUP('Boss Editor'!$C$4,'Pokemon Editor'!$A:$A,'Pokemon Editor'!$D:$D,"")),1.5,1),eff,(INDEX('Type Chart'!$B:$S,MATCH(mtype,'Type Chart'!$A:$A,0),MATCH(XLOOKUP($K24,'Pokemon Editor'!$A:$A,'Pokemon Editor'!$C:$C,""),'Type Chart'!$B$1:$S$1,0))*IF(XLOOKUP($K24,'Pokemon Editor'!$A:$A,'Pokemon Editor'!$D:$D,"")="",1,INDEX('Type Chart'!$B:$S,MATCH(mtype,'Type Chart'!$A:$A,0),MATCH(XLOOKUP($K24,'Pokemon Editor'!$A:$A,'Pokemon Editor'!$D:$D,""),'Type Chart'!$B$1:$S$1,0)))),base,IF(OR(cat="Status",pow=0),0,FLOOR(FLOOR(FLOOR((2*'Boss Editor'!$D$4/5+2)*pow*atk/def)/50)+2)),modifier,stab*eff,FLOOR(base*modifier*0.85)),0)</f>
        <v/>
      </c>
      <c r="X24" s="3">
        <f>IFERROR(LET(mtype,XLOOKUP($D24,'Move Editor'!$B:$B,'Move Editor'!$C:$C,""),cat,XLOOKUP($D24,'Move Editor'!$B:$B,'Move Editor'!$D:$D,""),pow,XLOOKUP($D24,'Move Editor'!$B:$B,'Move Editor'!$E:$E,0),acc,XLOOKUP($D24,'Move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Editor'!$D:$D,1))),def,IF(cat="Physical",FLOOR((FLOOR(((2*XLOOKUP($K24,'Pokemon Editor'!$A:$A,'Pokemon Editor'!$G:$G,0)+31+FLOOR($Q24/4))*$L24)/100)+5)*XLOOKUP($M24,'Nature Editor'!$A:$A,'Nature Editor'!$C:$C,1)),FLOOR((FLOOR(((2*XLOOKUP($K24,'Pokemon Editor'!$A:$A,'Pokemon Editor'!$I:$I,0)+31+FLOOR($S24/4))*$L24)/100)+5)*XLOOKUP($M24,'Nature Editor'!$A:$A,'Nature Editor'!$E:$E,1))),stab,IF(OR(mtype=XLOOKUP('Boss Editor'!$C$4,'Pokemon Editor'!$A:$A,'Pokemon Editor'!$C:$C,""),mtype=XLOOKUP('Boss Editor'!$C$4,'Pokemon Editor'!$A:$A,'Pokemon Editor'!$D:$D,"")),1.5,1),eff,(INDEX('Type Chart'!$B:$S,MATCH(mtype,'Type Chart'!$A:$A,0),MATCH(XLOOKUP($K24,'Pokemon Editor'!$A:$A,'Pokemon Editor'!$C:$C,""),'Type Chart'!$B$1:$S$1,0))*IF(XLOOKUP($K24,'Pokemon Editor'!$A:$A,'Pokemon Editor'!$D:$D,"")="",1,INDEX('Type Chart'!$B:$S,MATCH(mtype,'Type Chart'!$A:$A,0),MATCH(XLOOKUP($K24,'Pokemon Editor'!$A:$A,'Pokemon Editor'!$D:$D,""),'Type Chart'!$B$1:$S$1,0)))),base,IF(OR(cat="Status",pow=0),0,FLOOR(FLOOR(FLOOR((2*'Boss Editor'!$D$4/5+2)*pow*atk/def)/50)+2)),modifier,stab*eff,FLOOR(base*modifier)),0)</f>
        <v/>
      </c>
      <c r="Y24" s="3" t="inlineStr">
        <is>
          <t>SPECIES_SENTRET</t>
        </is>
      </c>
      <c r="Z24" s="5" t="inlineStr"/>
    </row>
    <row r="25">
      <c r="A25" s="3">
        <f>XLOOKUP(K25,'Pokemon Editor'!$A:$A,'Pokemon Editor'!$B:$B,K25)</f>
        <v/>
      </c>
      <c r="B25" s="3">
        <f>IF($Z25&lt;&gt;"",$Z25,IFERROR(INDEX(FILTER('Move Comparison'!$D$2:$D,'Move Comparison'!$Q$2:$Q=$Y25,'Move Comparison'!$M$2:$M=MAXIFS('Move Comparison'!$M$2:$M,'Move Comparison'!$Q$2:$Q,$Y25),'Move Comparison'!$D$2:$D&lt;&gt;""),1),""))</f>
        <v/>
      </c>
      <c r="C25" s="4">
        <f>IFERROR(LET(mtype,XLOOKUP($B25,'Move Editor'!$B:$B,'Move Editor'!$C:$C,""),cat,XLOOKUP($B25,'Move Editor'!$B:$B,'Move Editor'!$D:$D,""),pow,XLOOKUP($B25,'Move Editor'!$B:$B,'Move Editor'!$E:$E,0),acc,XLOOKUP($B25,'Move Editor'!$B:$B,'Move Editor'!$F:$F,100),atk,IF(cat="Physical",FLOOR((FLOOR(((2*XLOOKUP($K25,'Pokemon Editor'!$A:$A,'Pokemon Editor'!$F:$F,0)+31+FLOOR($P25/4))*$L25)/100)+5)*XLOOKUP($M25,'Nature Editor'!$A:$A,'Nature Editor'!$B:$B,1)),FLOOR((FLOOR(((2*XLOOKUP($K25,'Pokemon Editor'!$A:$A,'Pokemon Editor'!$H:$H,0)+31+FLOOR($R25/4))*$L25)/100)+5)*XLOOKUP($M25,'Nature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Editor'!$E:$E,1))),stab,IF(OR(mtype=XLOOKUP($K25,'Pokemon Editor'!$A:$A,'Pokemon Editor'!$C:$C,""),mtype=XLOOKUP($K25,'Pokemon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Chart'!$B$1:$S$1,0)))),base,IF(OR(cat="Status",pow=0),0,FLOOR(FLOOR(FLOOR((2*$L25/5+2)*pow*atk/def)/50)+2)),modifier,stab*eff,AVERAGE(ARRAYFORMULA(FLOOR(base*modifier*SEQUENCE(16,1,85,1)/100)))/(FLOOR(((2*XLOOKUP('Boss Editor'!$C$4,'Pokemon Editor'!$A:$A,'Pokemon Editor'!$E:$E,0)+31+FLOOR('Boss Editor'!$G$4/4))*'Boss Editor'!$D$4)/100)+'Boss Editor'!$D$4+10)),0)</f>
        <v/>
      </c>
      <c r="D25" s="5" t="inlineStr">
        <is>
          <t>Acid</t>
        </is>
      </c>
      <c r="E25" s="4">
        <f>IFERROR(LET(mtype,XLOOKUP($D25,'Move Editor'!$B:$B,'Move Editor'!$C:$C,""),cat,XLOOKUP($D25,'Move Editor'!$B:$B,'Move Editor'!$D:$D,""),pow,XLOOKUP($D25,'Move Editor'!$B:$B,'Move Editor'!$E:$E,0),acc,XLOOKUP($D25,'Move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Editor'!$D:$D,1))),def,IF(cat="Physical",FLOOR((FLOOR(((2*XLOOKUP($K25,'Pokemon Editor'!$A:$A,'Pokemon Editor'!$G:$G,0)+31+FLOOR($Q25/4))*$L25)/100)+5)*XLOOKUP($M25,'Nature Editor'!$A:$A,'Nature Editor'!$C:$C,1)),FLOOR((FLOOR(((2*XLOOKUP($K25,'Pokemon Editor'!$A:$A,'Pokemon Editor'!$I:$I,0)+31+FLOOR($S25/4))*$L25)/100)+5)*XLOOKUP($M25,'Nature Editor'!$A:$A,'Nature Editor'!$E:$E,1))),stab,IF(OR(mtype=XLOOKUP('Boss Editor'!$C$4,'Pokemon Editor'!$A:$A,'Pokemon Editor'!$C:$C,""),mtype=XLOOKUP('Boss Editor'!$C$4,'Pokemon Editor'!$A:$A,'Pokemon Editor'!$D:$D,"")),1.5,1),eff,(INDEX('Type Chart'!$B:$S,MATCH(mtype,'Type Chart'!$A:$A,0),MATCH(XLOOKUP($K25,'Pokemon Editor'!$A:$A,'Pokemon Editor'!$C:$C,""),'Type Chart'!$B$1:$S$1,0))*IF(XLOOKUP($K25,'Pokemon Editor'!$A:$A,'Pokemon Editor'!$D:$D,"")="",1,INDEX('Type Chart'!$B:$S,MATCH(mtype,'Type Chart'!$A:$A,0),MATCH(XLOOKUP($K25,'Pokemon Editor'!$A:$A,'Pokemon Editor'!$D:$D,""),'Type Chart'!$B$1:$S$1,0)))),base,IF(OR(cat="Status",pow=0),0,FLOOR(FLOOR(FLOOR((2*'Boss Editor'!$D$4/5+2)*pow*atk/def)/50)+2)),modifier,stab*eff,AVERAGE(ARRAYFORMULA(FLOOR(base*modifier*SEQUENCE(16,1,85,1)/100)))/(FLOOR(((2*XLOOKUP($K25,'Pokemon Editor'!$A:$A,'Pokemon Editor'!$E:$E,0)+31+FLOOR($O25/4))*$L25)/100)+$L25+10)),0)</f>
        <v/>
      </c>
      <c r="F25" s="3">
        <f>FLOOR((FLOOR(((2*XLOOKUP($K25,'Pokemon Editor'!$A:$A,'Pokemon Editor'!$J:$J,0)+31+FLOOR($T25/4))*$L25)/100)+5)*XLOOKUP($M25,'Nature Editor'!$A:$A,'Nature Editor'!$F:$F,1))</f>
        <v/>
      </c>
      <c r="G25" s="3">
        <f>FLOOR((FLOOR(((2*XLOOKUP('Boss Editor'!$C$4,'Pokemon Editor'!$A:$A,'Pokemon Editor'!$J:$J,0)+31+FLOOR('Boss Editor'!$L$4/4))*'Boss Editor'!$D$4)/100)+5)*XLOOKUP('Boss Editor'!$E$4,'Nature Editor'!$A:$A,'Nature Editor'!$F:$F,1))</f>
        <v/>
      </c>
      <c r="H25" s="3">
        <f>IF(F25&gt;G25,"Yes","No")</f>
        <v/>
      </c>
      <c r="I25" s="3">
        <f>C25-E25</f>
        <v/>
      </c>
      <c r="J25" s="3">
        <f>IFS(AND(C25&gt;=0.5,E25&lt;0.5),"Dominant",AND(C25&gt;=0.35,E25&lt;0.75),"Strong",AND(C25&gt;=0.25,E25&lt;1),"Viable",AND(C25&gt;=0.15,E25&lt;1.25),"Risky",TRUE,"Poor")</f>
        <v/>
      </c>
      <c r="K25" s="3">
        <f>REDUCE($Y25,SEQUENCE(2),LAMBDA(current_species,unused_step,IFERROR(INDEX(FILTER('Evolution Editor'!$D$2:$D,'Evolution Editor'!$A$2:$A=current_species,'Evolution Editor'!$F$2:$F=TRUE,'Evolution Editor'!$E$2:$E&lt;=$L25),1),current_species)))</f>
        <v/>
      </c>
      <c r="L25" s="5" t="n">
        <v>15</v>
      </c>
      <c r="M25" s="5" t="inlineStr">
        <is>
          <t>Neutral</t>
        </is>
      </c>
      <c r="N25" s="5" t="inlineStr">
        <is>
          <t>ABILITY_RUN_AWAY</t>
        </is>
      </c>
      <c r="O25" s="5" t="n">
        <v>0</v>
      </c>
      <c r="P25" s="5" t="n">
        <v>0</v>
      </c>
      <c r="Q25" s="5" t="n">
        <v>0</v>
      </c>
      <c r="R25" s="5" t="n">
        <v>0</v>
      </c>
      <c r="S25" s="5" t="n">
        <v>0</v>
      </c>
      <c r="T25" s="5" t="n">
        <v>0</v>
      </c>
      <c r="U25" s="3">
        <f>IFERROR(LET(mtype,XLOOKUP($B25,'Move Editor'!$B:$B,'Move Editor'!$C:$C,""),cat,XLOOKUP($B25,'Move Editor'!$B:$B,'Move Editor'!$D:$D,""),pow,XLOOKUP($B25,'Move Editor'!$B:$B,'Move Editor'!$E:$E,0),acc,XLOOKUP($B25,'Move Editor'!$B:$B,'Move Editor'!$F:$F,100),atk,IF(cat="Physical",FLOOR((FLOOR(((2*XLOOKUP($K25,'Pokemon Editor'!$A:$A,'Pokemon Editor'!$F:$F,0)+31+FLOOR($P25/4))*$L25)/100)+5)*XLOOKUP($M25,'Nature Editor'!$A:$A,'Nature Editor'!$B:$B,1)),FLOOR((FLOOR(((2*XLOOKUP($K25,'Pokemon Editor'!$A:$A,'Pokemon Editor'!$H:$H,0)+31+FLOOR($R25/4))*$L25)/100)+5)*XLOOKUP($M25,'Nature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Editor'!$E:$E,1))),stab,IF(OR(mtype=XLOOKUP($K25,'Pokemon Editor'!$A:$A,'Pokemon Editor'!$C:$C,""),mtype=XLOOKUP($K25,'Pokemon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Chart'!$B$1:$S$1,0)))),base,IF(OR(cat="Status",pow=0),0,FLOOR(FLOOR(FLOOR((2*$L25/5+2)*pow*atk/def)/50)+2)),modifier,stab*eff,FLOOR(base*modifier*0.85)),0)</f>
        <v/>
      </c>
      <c r="V25" s="3">
        <f>IFERROR(LET(mtype,XLOOKUP($B25,'Move Editor'!$B:$B,'Move Editor'!$C:$C,""),cat,XLOOKUP($B25,'Move Editor'!$B:$B,'Move Editor'!$D:$D,""),pow,XLOOKUP($B25,'Move Editor'!$B:$B,'Move Editor'!$E:$E,0),acc,XLOOKUP($B25,'Move Editor'!$B:$B,'Move Editor'!$F:$F,100),atk,IF(cat="Physical",FLOOR((FLOOR(((2*XLOOKUP($K25,'Pokemon Editor'!$A:$A,'Pokemon Editor'!$F:$F,0)+31+FLOOR($P25/4))*$L25)/100)+5)*XLOOKUP($M25,'Nature Editor'!$A:$A,'Nature Editor'!$B:$B,1)),FLOOR((FLOOR(((2*XLOOKUP($K25,'Pokemon Editor'!$A:$A,'Pokemon Editor'!$H:$H,0)+31+FLOOR($R25/4))*$L25)/100)+5)*XLOOKUP($M25,'Nature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Editor'!$E:$E,1))),stab,IF(OR(mtype=XLOOKUP($K25,'Pokemon Editor'!$A:$A,'Pokemon Editor'!$C:$C,""),mtype=XLOOKUP($K25,'Pokemon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Chart'!$B$1:$S$1,0)))),base,IF(OR(cat="Status",pow=0),0,FLOOR(FLOOR(FLOOR((2*$L25/5+2)*pow*atk/def)/50)+2)),modifier,stab*eff,FLOOR(base*modifier)),0)</f>
        <v/>
      </c>
      <c r="W25" s="3">
        <f>IFERROR(LET(mtype,XLOOKUP($D25,'Move Editor'!$B:$B,'Move Editor'!$C:$C,""),cat,XLOOKUP($D25,'Move Editor'!$B:$B,'Move Editor'!$D:$D,""),pow,XLOOKUP($D25,'Move Editor'!$B:$B,'Move Editor'!$E:$E,0),acc,XLOOKUP($D25,'Move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Editor'!$D:$D,1))),def,IF(cat="Physical",FLOOR((FLOOR(((2*XLOOKUP($K25,'Pokemon Editor'!$A:$A,'Pokemon Editor'!$G:$G,0)+31+FLOOR($Q25/4))*$L25)/100)+5)*XLOOKUP($M25,'Nature Editor'!$A:$A,'Nature Editor'!$C:$C,1)),FLOOR((FLOOR(((2*XLOOKUP($K25,'Pokemon Editor'!$A:$A,'Pokemon Editor'!$I:$I,0)+31+FLOOR($S25/4))*$L25)/100)+5)*XLOOKUP($M25,'Nature Editor'!$A:$A,'Nature Editor'!$E:$E,1))),stab,IF(OR(mtype=XLOOKUP('Boss Editor'!$C$4,'Pokemon Editor'!$A:$A,'Pokemon Editor'!$C:$C,""),mtype=XLOOKUP('Boss Editor'!$C$4,'Pokemon Editor'!$A:$A,'Pokemon Editor'!$D:$D,"")),1.5,1),eff,(INDEX('Type Chart'!$B:$S,MATCH(mtype,'Type Chart'!$A:$A,0),MATCH(XLOOKUP($K25,'Pokemon Editor'!$A:$A,'Pokemon Editor'!$C:$C,""),'Type Chart'!$B$1:$S$1,0))*IF(XLOOKUP($K25,'Pokemon Editor'!$A:$A,'Pokemon Editor'!$D:$D,"")="",1,INDEX('Type Chart'!$B:$S,MATCH(mtype,'Type Chart'!$A:$A,0),MATCH(XLOOKUP($K25,'Pokemon Editor'!$A:$A,'Pokemon Editor'!$D:$D,""),'Type Chart'!$B$1:$S$1,0)))),base,IF(OR(cat="Status",pow=0),0,FLOOR(FLOOR(FLOOR((2*'Boss Editor'!$D$4/5+2)*pow*atk/def)/50)+2)),modifier,stab*eff,FLOOR(base*modifier*0.85)),0)</f>
        <v/>
      </c>
      <c r="X25" s="3">
        <f>IFERROR(LET(mtype,XLOOKUP($D25,'Move Editor'!$B:$B,'Move Editor'!$C:$C,""),cat,XLOOKUP($D25,'Move Editor'!$B:$B,'Move Editor'!$D:$D,""),pow,XLOOKUP($D25,'Move Editor'!$B:$B,'Move Editor'!$E:$E,0),acc,XLOOKUP($D25,'Move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Editor'!$D:$D,1))),def,IF(cat="Physical",FLOOR((FLOOR(((2*XLOOKUP($K25,'Pokemon Editor'!$A:$A,'Pokemon Editor'!$G:$G,0)+31+FLOOR($Q25/4))*$L25)/100)+5)*XLOOKUP($M25,'Nature Editor'!$A:$A,'Nature Editor'!$C:$C,1)),FLOOR((FLOOR(((2*XLOOKUP($K25,'Pokemon Editor'!$A:$A,'Pokemon Editor'!$I:$I,0)+31+FLOOR($S25/4))*$L25)/100)+5)*XLOOKUP($M25,'Nature Editor'!$A:$A,'Nature Editor'!$E:$E,1))),stab,IF(OR(mtype=XLOOKUP('Boss Editor'!$C$4,'Pokemon Editor'!$A:$A,'Pokemon Editor'!$C:$C,""),mtype=XLOOKUP('Boss Editor'!$C$4,'Pokemon Editor'!$A:$A,'Pokemon Editor'!$D:$D,"")),1.5,1),eff,(INDEX('Type Chart'!$B:$S,MATCH(mtype,'Type Chart'!$A:$A,0),MATCH(XLOOKUP($K25,'Pokemon Editor'!$A:$A,'Pokemon Editor'!$C:$C,""),'Type Chart'!$B$1:$S$1,0))*IF(XLOOKUP($K25,'Pokemon Editor'!$A:$A,'Pokemon Editor'!$D:$D,"")="",1,INDEX('Type Chart'!$B:$S,MATCH(mtype,'Type Chart'!$A:$A,0),MATCH(XLOOKUP($K25,'Pokemon Editor'!$A:$A,'Pokemon Editor'!$D:$D,""),'Type Chart'!$B$1:$S$1,0)))),base,IF(OR(cat="Status",pow=0),0,FLOOR(FLOOR(FLOOR((2*'Boss Editor'!$D$4/5+2)*pow*atk/def)/50)+2)),modifier,stab*eff,FLOOR(base*modifier)),0)</f>
        <v/>
      </c>
      <c r="Y25" s="3" t="inlineStr">
        <is>
          <t>SPECIES_TANDEMAUS</t>
        </is>
      </c>
      <c r="Z25" s="5" t="inlineStr"/>
    </row>
    <row r="26">
      <c r="A26" s="3">
        <f>XLOOKUP(K26,'Pokemon Editor'!$A:$A,'Pokemon Editor'!$B:$B,K26)</f>
        <v/>
      </c>
      <c r="B26" s="3">
        <f>IF($Z26&lt;&gt;"",$Z26,IFERROR(INDEX(FILTER('Move Comparison'!$D$2:$D,'Move Comparison'!$Q$2:$Q=$Y26,'Move Comparison'!$M$2:$M=MAXIFS('Move Comparison'!$M$2:$M,'Move Comparison'!$Q$2:$Q,$Y26),'Move Comparison'!$D$2:$D&lt;&gt;""),1),""))</f>
        <v/>
      </c>
      <c r="C26" s="4">
        <f>IFERROR(LET(mtype,XLOOKUP($B26,'Move Editor'!$B:$B,'Move Editor'!$C:$C,""),cat,XLOOKUP($B26,'Move Editor'!$B:$B,'Move Editor'!$D:$D,""),pow,XLOOKUP($B26,'Move Editor'!$B:$B,'Move Editor'!$E:$E,0),acc,XLOOKUP($B26,'Move Editor'!$B:$B,'Move Editor'!$F:$F,100),atk,IF(cat="Physical",FLOOR((FLOOR(((2*XLOOKUP($K26,'Pokemon Editor'!$A:$A,'Pokemon Editor'!$F:$F,0)+31+FLOOR($P26/4))*$L26)/100)+5)*XLOOKUP($M26,'Nature Editor'!$A:$A,'Nature Editor'!$B:$B,1)),FLOOR((FLOOR(((2*XLOOKUP($K26,'Pokemon Editor'!$A:$A,'Pokemon Editor'!$H:$H,0)+31+FLOOR($R26/4))*$L26)/100)+5)*XLOOKUP($M26,'Nature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Editor'!$E:$E,1))),stab,IF(OR(mtype=XLOOKUP($K26,'Pokemon Editor'!$A:$A,'Pokemon Editor'!$C:$C,""),mtype=XLOOKUP($K26,'Pokemon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Chart'!$B$1:$S$1,0)))),base,IF(OR(cat="Status",pow=0),0,FLOOR(FLOOR(FLOOR((2*$L26/5+2)*pow*atk/def)/50)+2)),modifier,stab*eff,AVERAGE(ARRAYFORMULA(FLOOR(base*modifier*SEQUENCE(16,1,85,1)/100)))/(FLOOR(((2*XLOOKUP('Boss Editor'!$C$4,'Pokemon Editor'!$A:$A,'Pokemon Editor'!$E:$E,0)+31+FLOOR('Boss Editor'!$G$4/4))*'Boss Editor'!$D$4)/100)+'Boss Editor'!$D$4+10)),0)</f>
        <v/>
      </c>
      <c r="D26" s="5" t="inlineStr">
        <is>
          <t>Acid</t>
        </is>
      </c>
      <c r="E26" s="4">
        <f>IFERROR(LET(mtype,XLOOKUP($D26,'Move Editor'!$B:$B,'Move Editor'!$C:$C,""),cat,XLOOKUP($D26,'Move Editor'!$B:$B,'Move Editor'!$D:$D,""),pow,XLOOKUP($D26,'Move Editor'!$B:$B,'Move Editor'!$E:$E,0),acc,XLOOKUP($D26,'Move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Editor'!$D:$D,1))),def,IF(cat="Physical",FLOOR((FLOOR(((2*XLOOKUP($K26,'Pokemon Editor'!$A:$A,'Pokemon Editor'!$G:$G,0)+31+FLOOR($Q26/4))*$L26)/100)+5)*XLOOKUP($M26,'Nature Editor'!$A:$A,'Nature Editor'!$C:$C,1)),FLOOR((FLOOR(((2*XLOOKUP($K26,'Pokemon Editor'!$A:$A,'Pokemon Editor'!$I:$I,0)+31+FLOOR($S26/4))*$L26)/100)+5)*XLOOKUP($M26,'Nature Editor'!$A:$A,'Nature Editor'!$E:$E,1))),stab,IF(OR(mtype=XLOOKUP('Boss Editor'!$C$4,'Pokemon Editor'!$A:$A,'Pokemon Editor'!$C:$C,""),mtype=XLOOKUP('Boss Editor'!$C$4,'Pokemon Editor'!$A:$A,'Pokemon Editor'!$D:$D,"")),1.5,1),eff,(INDEX('Type Chart'!$B:$S,MATCH(mtype,'Type Chart'!$A:$A,0),MATCH(XLOOKUP($K26,'Pokemon Editor'!$A:$A,'Pokemon Editor'!$C:$C,""),'Type Chart'!$B$1:$S$1,0))*IF(XLOOKUP($K26,'Pokemon Editor'!$A:$A,'Pokemon Editor'!$D:$D,"")="",1,INDEX('Type Chart'!$B:$S,MATCH(mtype,'Type Chart'!$A:$A,0),MATCH(XLOOKUP($K26,'Pokemon Editor'!$A:$A,'Pokemon Editor'!$D:$D,""),'Type Chart'!$B$1:$S$1,0)))),base,IF(OR(cat="Status",pow=0),0,FLOOR(FLOOR(FLOOR((2*'Boss Editor'!$D$4/5+2)*pow*atk/def)/50)+2)),modifier,stab*eff,AVERAGE(ARRAYFORMULA(FLOOR(base*modifier*SEQUENCE(16,1,85,1)/100)))/(FLOOR(((2*XLOOKUP($K26,'Pokemon Editor'!$A:$A,'Pokemon Editor'!$E:$E,0)+31+FLOOR($O26/4))*$L26)/100)+$L26+10)),0)</f>
        <v/>
      </c>
      <c r="F26" s="3">
        <f>FLOOR((FLOOR(((2*XLOOKUP($K26,'Pokemon Editor'!$A:$A,'Pokemon Editor'!$J:$J,0)+31+FLOOR($T26/4))*$L26)/100)+5)*XLOOKUP($M26,'Nature Editor'!$A:$A,'Nature Editor'!$F:$F,1))</f>
        <v/>
      </c>
      <c r="G26" s="3">
        <f>FLOOR((FLOOR(((2*XLOOKUP('Boss Editor'!$C$4,'Pokemon Editor'!$A:$A,'Pokemon Editor'!$J:$J,0)+31+FLOOR('Boss Editor'!$L$4/4))*'Boss Editor'!$D$4)/100)+5)*XLOOKUP('Boss Editor'!$E$4,'Nature Editor'!$A:$A,'Nature Editor'!$F:$F,1))</f>
        <v/>
      </c>
      <c r="H26" s="3">
        <f>IF(F26&gt;G26,"Yes","No")</f>
        <v/>
      </c>
      <c r="I26" s="3">
        <f>C26-E26</f>
        <v/>
      </c>
      <c r="J26" s="3">
        <f>IFS(AND(C26&gt;=0.5,E26&lt;0.5),"Dominant",AND(C26&gt;=0.35,E26&lt;0.75),"Strong",AND(C26&gt;=0.25,E26&lt;1),"Viable",AND(C26&gt;=0.15,E26&lt;1.25),"Risky",TRUE,"Poor")</f>
        <v/>
      </c>
      <c r="K26" s="3">
        <f>REDUCE($Y26,SEQUENCE(2),LAMBDA(current_species,unused_step,IFERROR(INDEX(FILTER('Evolution Editor'!$D$2:$D,'Evolution Editor'!$A$2:$A=current_species,'Evolution Editor'!$F$2:$F=TRUE,'Evolution Editor'!$E$2:$E&lt;=$L26),1),current_species)))</f>
        <v/>
      </c>
      <c r="L26" s="5" t="n">
        <v>15</v>
      </c>
      <c r="M26" s="5" t="inlineStr">
        <is>
          <t>Neutral</t>
        </is>
      </c>
      <c r="N26" s="5" t="inlineStr">
        <is>
          <t>ABILITY_OVERGROW</t>
        </is>
      </c>
      <c r="O26" s="5" t="n">
        <v>0</v>
      </c>
      <c r="P26" s="5" t="n">
        <v>0</v>
      </c>
      <c r="Q26" s="5" t="n">
        <v>0</v>
      </c>
      <c r="R26" s="5" t="n">
        <v>0</v>
      </c>
      <c r="S26" s="5" t="n">
        <v>0</v>
      </c>
      <c r="T26" s="5" t="n">
        <v>0</v>
      </c>
      <c r="U26" s="3">
        <f>IFERROR(LET(mtype,XLOOKUP($B26,'Move Editor'!$B:$B,'Move Editor'!$C:$C,""),cat,XLOOKUP($B26,'Move Editor'!$B:$B,'Move Editor'!$D:$D,""),pow,XLOOKUP($B26,'Move Editor'!$B:$B,'Move Editor'!$E:$E,0),acc,XLOOKUP($B26,'Move Editor'!$B:$B,'Move Editor'!$F:$F,100),atk,IF(cat="Physical",FLOOR((FLOOR(((2*XLOOKUP($K26,'Pokemon Editor'!$A:$A,'Pokemon Editor'!$F:$F,0)+31+FLOOR($P26/4))*$L26)/100)+5)*XLOOKUP($M26,'Nature Editor'!$A:$A,'Nature Editor'!$B:$B,1)),FLOOR((FLOOR(((2*XLOOKUP($K26,'Pokemon Editor'!$A:$A,'Pokemon Editor'!$H:$H,0)+31+FLOOR($R26/4))*$L26)/100)+5)*XLOOKUP($M26,'Nature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Editor'!$E:$E,1))),stab,IF(OR(mtype=XLOOKUP($K26,'Pokemon Editor'!$A:$A,'Pokemon Editor'!$C:$C,""),mtype=XLOOKUP($K26,'Pokemon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Chart'!$B$1:$S$1,0)))),base,IF(OR(cat="Status",pow=0),0,FLOOR(FLOOR(FLOOR((2*$L26/5+2)*pow*atk/def)/50)+2)),modifier,stab*eff,FLOOR(base*modifier*0.85)),0)</f>
        <v/>
      </c>
      <c r="V26" s="3">
        <f>IFERROR(LET(mtype,XLOOKUP($B26,'Move Editor'!$B:$B,'Move Editor'!$C:$C,""),cat,XLOOKUP($B26,'Move Editor'!$B:$B,'Move Editor'!$D:$D,""),pow,XLOOKUP($B26,'Move Editor'!$B:$B,'Move Editor'!$E:$E,0),acc,XLOOKUP($B26,'Move Editor'!$B:$B,'Move Editor'!$F:$F,100),atk,IF(cat="Physical",FLOOR((FLOOR(((2*XLOOKUP($K26,'Pokemon Editor'!$A:$A,'Pokemon Editor'!$F:$F,0)+31+FLOOR($P26/4))*$L26)/100)+5)*XLOOKUP($M26,'Nature Editor'!$A:$A,'Nature Editor'!$B:$B,1)),FLOOR((FLOOR(((2*XLOOKUP($K26,'Pokemon Editor'!$A:$A,'Pokemon Editor'!$H:$H,0)+31+FLOOR($R26/4))*$L26)/100)+5)*XLOOKUP($M26,'Nature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Editor'!$E:$E,1))),stab,IF(OR(mtype=XLOOKUP($K26,'Pokemon Editor'!$A:$A,'Pokemon Editor'!$C:$C,""),mtype=XLOOKUP($K26,'Pokemon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Chart'!$B$1:$S$1,0)))),base,IF(OR(cat="Status",pow=0),0,FLOOR(FLOOR(FLOOR((2*$L26/5+2)*pow*atk/def)/50)+2)),modifier,stab*eff,FLOOR(base*modifier)),0)</f>
        <v/>
      </c>
      <c r="W26" s="3">
        <f>IFERROR(LET(mtype,XLOOKUP($D26,'Move Editor'!$B:$B,'Move Editor'!$C:$C,""),cat,XLOOKUP($D26,'Move Editor'!$B:$B,'Move Editor'!$D:$D,""),pow,XLOOKUP($D26,'Move Editor'!$B:$B,'Move Editor'!$E:$E,0),acc,XLOOKUP($D26,'Move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Editor'!$D:$D,1))),def,IF(cat="Physical",FLOOR((FLOOR(((2*XLOOKUP($K26,'Pokemon Editor'!$A:$A,'Pokemon Editor'!$G:$G,0)+31+FLOOR($Q26/4))*$L26)/100)+5)*XLOOKUP($M26,'Nature Editor'!$A:$A,'Nature Editor'!$C:$C,1)),FLOOR((FLOOR(((2*XLOOKUP($K26,'Pokemon Editor'!$A:$A,'Pokemon Editor'!$I:$I,0)+31+FLOOR($S26/4))*$L26)/100)+5)*XLOOKUP($M26,'Nature Editor'!$A:$A,'Nature Editor'!$E:$E,1))),stab,IF(OR(mtype=XLOOKUP('Boss Editor'!$C$4,'Pokemon Editor'!$A:$A,'Pokemon Editor'!$C:$C,""),mtype=XLOOKUP('Boss Editor'!$C$4,'Pokemon Editor'!$A:$A,'Pokemon Editor'!$D:$D,"")),1.5,1),eff,(INDEX('Type Chart'!$B:$S,MATCH(mtype,'Type Chart'!$A:$A,0),MATCH(XLOOKUP($K26,'Pokemon Editor'!$A:$A,'Pokemon Editor'!$C:$C,""),'Type Chart'!$B$1:$S$1,0))*IF(XLOOKUP($K26,'Pokemon Editor'!$A:$A,'Pokemon Editor'!$D:$D,"")="",1,INDEX('Type Chart'!$B:$S,MATCH(mtype,'Type Chart'!$A:$A,0),MATCH(XLOOKUP($K26,'Pokemon Editor'!$A:$A,'Pokemon Editor'!$D:$D,""),'Type Chart'!$B$1:$S$1,0)))),base,IF(OR(cat="Status",pow=0),0,FLOOR(FLOOR(FLOOR((2*'Boss Editor'!$D$4/5+2)*pow*atk/def)/50)+2)),modifier,stab*eff,FLOOR(base*modifier*0.85)),0)</f>
        <v/>
      </c>
      <c r="X26" s="3">
        <f>IFERROR(LET(mtype,XLOOKUP($D26,'Move Editor'!$B:$B,'Move Editor'!$C:$C,""),cat,XLOOKUP($D26,'Move Editor'!$B:$B,'Move Editor'!$D:$D,""),pow,XLOOKUP($D26,'Move Editor'!$B:$B,'Move Editor'!$E:$E,0),acc,XLOOKUP($D26,'Move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Editor'!$D:$D,1))),def,IF(cat="Physical",FLOOR((FLOOR(((2*XLOOKUP($K26,'Pokemon Editor'!$A:$A,'Pokemon Editor'!$G:$G,0)+31+FLOOR($Q26/4))*$L26)/100)+5)*XLOOKUP($M26,'Nature Editor'!$A:$A,'Nature Editor'!$C:$C,1)),FLOOR((FLOOR(((2*XLOOKUP($K26,'Pokemon Editor'!$A:$A,'Pokemon Editor'!$I:$I,0)+31+FLOOR($S26/4))*$L26)/100)+5)*XLOOKUP($M26,'Nature Editor'!$A:$A,'Nature Editor'!$E:$E,1))),stab,IF(OR(mtype=XLOOKUP('Boss Editor'!$C$4,'Pokemon Editor'!$A:$A,'Pokemon Editor'!$C:$C,""),mtype=XLOOKUP('Boss Editor'!$C$4,'Pokemon Editor'!$A:$A,'Pokemon Editor'!$D:$D,"")),1.5,1),eff,(INDEX('Type Chart'!$B:$S,MATCH(mtype,'Type Chart'!$A:$A,0),MATCH(XLOOKUP($K26,'Pokemon Editor'!$A:$A,'Pokemon Editor'!$C:$C,""),'Type Chart'!$B$1:$S$1,0))*IF(XLOOKUP($K26,'Pokemon Editor'!$A:$A,'Pokemon Editor'!$D:$D,"")="",1,INDEX('Type Chart'!$B:$S,MATCH(mtype,'Type Chart'!$A:$A,0),MATCH(XLOOKUP($K26,'Pokemon Editor'!$A:$A,'Pokemon Editor'!$D:$D,""),'Type Chart'!$B$1:$S$1,0)))),base,IF(OR(cat="Status",pow=0),0,FLOOR(FLOOR(FLOOR((2*'Boss Editor'!$D$4/5+2)*pow*atk/def)/50)+2)),modifier,stab*eff,FLOOR(base*modifier)),0)</f>
        <v/>
      </c>
      <c r="Y26" s="3" t="inlineStr">
        <is>
          <t>SPECIES_TREECKO</t>
        </is>
      </c>
      <c r="Z26" s="5" t="inlineStr"/>
    </row>
    <row r="27">
      <c r="A27" s="3">
        <f>XLOOKUP(K27,'Pokemon Editor'!$A:$A,'Pokemon Editor'!$B:$B,K27)</f>
        <v/>
      </c>
      <c r="B27" s="3">
        <f>IF($Z27&lt;&gt;"",$Z27,IFERROR(INDEX(FILTER('Move Comparison'!$D$2:$D,'Move Comparison'!$Q$2:$Q=$Y27,'Move Comparison'!$M$2:$M=MAXIFS('Move Comparison'!$M$2:$M,'Move Comparison'!$Q$2:$Q,$Y27),'Move Comparison'!$D$2:$D&lt;&gt;""),1),""))</f>
        <v/>
      </c>
      <c r="C27" s="4">
        <f>IFERROR(LET(mtype,XLOOKUP($B27,'Move Editor'!$B:$B,'Move Editor'!$C:$C,""),cat,XLOOKUP($B27,'Move Editor'!$B:$B,'Move Editor'!$D:$D,""),pow,XLOOKUP($B27,'Move Editor'!$B:$B,'Move Editor'!$E:$E,0),acc,XLOOKUP($B27,'Move Editor'!$B:$B,'Move Editor'!$F:$F,100),atk,IF(cat="Physical",FLOOR((FLOOR(((2*XLOOKUP($K27,'Pokemon Editor'!$A:$A,'Pokemon Editor'!$F:$F,0)+31+FLOOR($P27/4))*$L27)/100)+5)*XLOOKUP($M27,'Nature Editor'!$A:$A,'Nature Editor'!$B:$B,1)),FLOOR((FLOOR(((2*XLOOKUP($K27,'Pokemon Editor'!$A:$A,'Pokemon Editor'!$H:$H,0)+31+FLOOR($R27/4))*$L27)/100)+5)*XLOOKUP($M27,'Nature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Editor'!$E:$E,1))),stab,IF(OR(mtype=XLOOKUP($K27,'Pokemon Editor'!$A:$A,'Pokemon Editor'!$C:$C,""),mtype=XLOOKUP($K27,'Pokemon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Chart'!$B$1:$S$1,0)))),base,IF(OR(cat="Status",pow=0),0,FLOOR(FLOOR(FLOOR((2*$L27/5+2)*pow*atk/def)/50)+2)),modifier,stab*eff,AVERAGE(ARRAYFORMULA(FLOOR(base*modifier*SEQUENCE(16,1,85,1)/100)))/(FLOOR(((2*XLOOKUP('Boss Editor'!$C$4,'Pokemon Editor'!$A:$A,'Pokemon Editor'!$E:$E,0)+31+FLOOR('Boss Editor'!$G$4/4))*'Boss Editor'!$D$4)/100)+'Boss Editor'!$D$4+10)),0)</f>
        <v/>
      </c>
      <c r="D27" s="5" t="inlineStr">
        <is>
          <t>Acid</t>
        </is>
      </c>
      <c r="E27" s="4">
        <f>IFERROR(LET(mtype,XLOOKUP($D27,'Move Editor'!$B:$B,'Move Editor'!$C:$C,""),cat,XLOOKUP($D27,'Move Editor'!$B:$B,'Move Editor'!$D:$D,""),pow,XLOOKUP($D27,'Move Editor'!$B:$B,'Move Editor'!$E:$E,0),acc,XLOOKUP($D27,'Move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Editor'!$D:$D,1))),def,IF(cat="Physical",FLOOR((FLOOR(((2*XLOOKUP($K27,'Pokemon Editor'!$A:$A,'Pokemon Editor'!$G:$G,0)+31+FLOOR($Q27/4))*$L27)/100)+5)*XLOOKUP($M27,'Nature Editor'!$A:$A,'Nature Editor'!$C:$C,1)),FLOOR((FLOOR(((2*XLOOKUP($K27,'Pokemon Editor'!$A:$A,'Pokemon Editor'!$I:$I,0)+31+FLOOR($S27/4))*$L27)/100)+5)*XLOOKUP($M27,'Nature Editor'!$A:$A,'Nature Editor'!$E:$E,1))),stab,IF(OR(mtype=XLOOKUP('Boss Editor'!$C$4,'Pokemon Editor'!$A:$A,'Pokemon Editor'!$C:$C,""),mtype=XLOOKUP('Boss Editor'!$C$4,'Pokemon Editor'!$A:$A,'Pokemon Editor'!$D:$D,"")),1.5,1),eff,(INDEX('Type Chart'!$B:$S,MATCH(mtype,'Type Chart'!$A:$A,0),MATCH(XLOOKUP($K27,'Pokemon Editor'!$A:$A,'Pokemon Editor'!$C:$C,""),'Type Chart'!$B$1:$S$1,0))*IF(XLOOKUP($K27,'Pokemon Editor'!$A:$A,'Pokemon Editor'!$D:$D,"")="",1,INDEX('Type Chart'!$B:$S,MATCH(mtype,'Type Chart'!$A:$A,0),MATCH(XLOOKUP($K27,'Pokemon Editor'!$A:$A,'Pokemon Editor'!$D:$D,""),'Type Chart'!$B$1:$S$1,0)))),base,IF(OR(cat="Status",pow=0),0,FLOOR(FLOOR(FLOOR((2*'Boss Editor'!$D$4/5+2)*pow*atk/def)/50)+2)),modifier,stab*eff,AVERAGE(ARRAYFORMULA(FLOOR(base*modifier*SEQUENCE(16,1,85,1)/100)))/(FLOOR(((2*XLOOKUP($K27,'Pokemon Editor'!$A:$A,'Pokemon Editor'!$E:$E,0)+31+FLOOR($O27/4))*$L27)/100)+$L27+10)),0)</f>
        <v/>
      </c>
      <c r="F27" s="3">
        <f>FLOOR((FLOOR(((2*XLOOKUP($K27,'Pokemon Editor'!$A:$A,'Pokemon Editor'!$J:$J,0)+31+FLOOR($T27/4))*$L27)/100)+5)*XLOOKUP($M27,'Nature Editor'!$A:$A,'Nature Editor'!$F:$F,1))</f>
        <v/>
      </c>
      <c r="G27" s="3">
        <f>FLOOR((FLOOR(((2*XLOOKUP('Boss Editor'!$C$4,'Pokemon Editor'!$A:$A,'Pokemon Editor'!$J:$J,0)+31+FLOOR('Boss Editor'!$L$4/4))*'Boss Editor'!$D$4)/100)+5)*XLOOKUP('Boss Editor'!$E$4,'Nature Editor'!$A:$A,'Nature Editor'!$F:$F,1))</f>
        <v/>
      </c>
      <c r="H27" s="3">
        <f>IF(F27&gt;G27,"Yes","No")</f>
        <v/>
      </c>
      <c r="I27" s="3">
        <f>C27-E27</f>
        <v/>
      </c>
      <c r="J27" s="3">
        <f>IFS(AND(C27&gt;=0.5,E27&lt;0.5),"Dominant",AND(C27&gt;=0.35,E27&lt;0.75),"Strong",AND(C27&gt;=0.25,E27&lt;1),"Viable",AND(C27&gt;=0.15,E27&lt;1.25),"Risky",TRUE,"Poor")</f>
        <v/>
      </c>
      <c r="K27" s="3">
        <f>REDUCE($Y27,SEQUENCE(2),LAMBDA(current_species,unused_step,IFERROR(INDEX(FILTER('Evolution Editor'!$D$2:$D,'Evolution Editor'!$A$2:$A=current_species,'Evolution Editor'!$F$2:$F=TRUE,'Evolution Editor'!$E$2:$E&lt;=$L27),1),current_species)))</f>
        <v/>
      </c>
      <c r="L27" s="5" t="n">
        <v>15</v>
      </c>
      <c r="M27" s="5" t="inlineStr">
        <is>
          <t>Neutral</t>
        </is>
      </c>
      <c r="N27" s="5" t="inlineStr">
        <is>
          <t>ABILITY_FLUFFY</t>
        </is>
      </c>
      <c r="O27" s="5" t="n">
        <v>0</v>
      </c>
      <c r="P27" s="5" t="n">
        <v>0</v>
      </c>
      <c r="Q27" s="5" t="n">
        <v>0</v>
      </c>
      <c r="R27" s="5" t="n">
        <v>0</v>
      </c>
      <c r="S27" s="5" t="n">
        <v>0</v>
      </c>
      <c r="T27" s="5" t="n">
        <v>0</v>
      </c>
      <c r="U27" s="3">
        <f>IFERROR(LET(mtype,XLOOKUP($B27,'Move Editor'!$B:$B,'Move Editor'!$C:$C,""),cat,XLOOKUP($B27,'Move Editor'!$B:$B,'Move Editor'!$D:$D,""),pow,XLOOKUP($B27,'Move Editor'!$B:$B,'Move Editor'!$E:$E,0),acc,XLOOKUP($B27,'Move Editor'!$B:$B,'Move Editor'!$F:$F,100),atk,IF(cat="Physical",FLOOR((FLOOR(((2*XLOOKUP($K27,'Pokemon Editor'!$A:$A,'Pokemon Editor'!$F:$F,0)+31+FLOOR($P27/4))*$L27)/100)+5)*XLOOKUP($M27,'Nature Editor'!$A:$A,'Nature Editor'!$B:$B,1)),FLOOR((FLOOR(((2*XLOOKUP($K27,'Pokemon Editor'!$A:$A,'Pokemon Editor'!$H:$H,0)+31+FLOOR($R27/4))*$L27)/100)+5)*XLOOKUP($M27,'Nature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Editor'!$E:$E,1))),stab,IF(OR(mtype=XLOOKUP($K27,'Pokemon Editor'!$A:$A,'Pokemon Editor'!$C:$C,""),mtype=XLOOKUP($K27,'Pokemon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Chart'!$B$1:$S$1,0)))),base,IF(OR(cat="Status",pow=0),0,FLOOR(FLOOR(FLOOR((2*$L27/5+2)*pow*atk/def)/50)+2)),modifier,stab*eff,FLOOR(base*modifier*0.85)),0)</f>
        <v/>
      </c>
      <c r="V27" s="3">
        <f>IFERROR(LET(mtype,XLOOKUP($B27,'Move Editor'!$B:$B,'Move Editor'!$C:$C,""),cat,XLOOKUP($B27,'Move Editor'!$B:$B,'Move Editor'!$D:$D,""),pow,XLOOKUP($B27,'Move Editor'!$B:$B,'Move Editor'!$E:$E,0),acc,XLOOKUP($B27,'Move Editor'!$B:$B,'Move Editor'!$F:$F,100),atk,IF(cat="Physical",FLOOR((FLOOR(((2*XLOOKUP($K27,'Pokemon Editor'!$A:$A,'Pokemon Editor'!$F:$F,0)+31+FLOOR($P27/4))*$L27)/100)+5)*XLOOKUP($M27,'Nature Editor'!$A:$A,'Nature Editor'!$B:$B,1)),FLOOR((FLOOR(((2*XLOOKUP($K27,'Pokemon Editor'!$A:$A,'Pokemon Editor'!$H:$H,0)+31+FLOOR($R27/4))*$L27)/100)+5)*XLOOKUP($M27,'Nature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Editor'!$E:$E,1))),stab,IF(OR(mtype=XLOOKUP($K27,'Pokemon Editor'!$A:$A,'Pokemon Editor'!$C:$C,""),mtype=XLOOKUP($K27,'Pokemon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Chart'!$B$1:$S$1,0)))),base,IF(OR(cat="Status",pow=0),0,FLOOR(FLOOR(FLOOR((2*$L27/5+2)*pow*atk/def)/50)+2)),modifier,stab*eff,FLOOR(base*modifier)),0)</f>
        <v/>
      </c>
      <c r="W27" s="3">
        <f>IFERROR(LET(mtype,XLOOKUP($D27,'Move Editor'!$B:$B,'Move Editor'!$C:$C,""),cat,XLOOKUP($D27,'Move Editor'!$B:$B,'Move Editor'!$D:$D,""),pow,XLOOKUP($D27,'Move Editor'!$B:$B,'Move Editor'!$E:$E,0),acc,XLOOKUP($D27,'Move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Editor'!$D:$D,1))),def,IF(cat="Physical",FLOOR((FLOOR(((2*XLOOKUP($K27,'Pokemon Editor'!$A:$A,'Pokemon Editor'!$G:$G,0)+31+FLOOR($Q27/4))*$L27)/100)+5)*XLOOKUP($M27,'Nature Editor'!$A:$A,'Nature Editor'!$C:$C,1)),FLOOR((FLOOR(((2*XLOOKUP($K27,'Pokemon Editor'!$A:$A,'Pokemon Editor'!$I:$I,0)+31+FLOOR($S27/4))*$L27)/100)+5)*XLOOKUP($M27,'Nature Editor'!$A:$A,'Nature Editor'!$E:$E,1))),stab,IF(OR(mtype=XLOOKUP('Boss Editor'!$C$4,'Pokemon Editor'!$A:$A,'Pokemon Editor'!$C:$C,""),mtype=XLOOKUP('Boss Editor'!$C$4,'Pokemon Editor'!$A:$A,'Pokemon Editor'!$D:$D,"")),1.5,1),eff,(INDEX('Type Chart'!$B:$S,MATCH(mtype,'Type Chart'!$A:$A,0),MATCH(XLOOKUP($K27,'Pokemon Editor'!$A:$A,'Pokemon Editor'!$C:$C,""),'Type Chart'!$B$1:$S$1,0))*IF(XLOOKUP($K27,'Pokemon Editor'!$A:$A,'Pokemon Editor'!$D:$D,"")="",1,INDEX('Type Chart'!$B:$S,MATCH(mtype,'Type Chart'!$A:$A,0),MATCH(XLOOKUP($K27,'Pokemon Editor'!$A:$A,'Pokemon Editor'!$D:$D,""),'Type Chart'!$B$1:$S$1,0)))),base,IF(OR(cat="Status",pow=0),0,FLOOR(FLOOR(FLOOR((2*'Boss Editor'!$D$4/5+2)*pow*atk/def)/50)+2)),modifier,stab*eff,FLOOR(base*modifier*0.85)),0)</f>
        <v/>
      </c>
      <c r="X27" s="3">
        <f>IFERROR(LET(mtype,XLOOKUP($D27,'Move Editor'!$B:$B,'Move Editor'!$C:$C,""),cat,XLOOKUP($D27,'Move Editor'!$B:$B,'Move Editor'!$D:$D,""),pow,XLOOKUP($D27,'Move Editor'!$B:$B,'Move Editor'!$E:$E,0),acc,XLOOKUP($D27,'Move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Editor'!$D:$D,1))),def,IF(cat="Physical",FLOOR((FLOOR(((2*XLOOKUP($K27,'Pokemon Editor'!$A:$A,'Pokemon Editor'!$G:$G,0)+31+FLOOR($Q27/4))*$L27)/100)+5)*XLOOKUP($M27,'Nature Editor'!$A:$A,'Nature Editor'!$C:$C,1)),FLOOR((FLOOR(((2*XLOOKUP($K27,'Pokemon Editor'!$A:$A,'Pokemon Editor'!$I:$I,0)+31+FLOOR($S27/4))*$L27)/100)+5)*XLOOKUP($M27,'Nature Editor'!$A:$A,'Nature Editor'!$E:$E,1))),stab,IF(OR(mtype=XLOOKUP('Boss Editor'!$C$4,'Pokemon Editor'!$A:$A,'Pokemon Editor'!$C:$C,""),mtype=XLOOKUP('Boss Editor'!$C$4,'Pokemon Editor'!$A:$A,'Pokemon Editor'!$D:$D,"")),1.5,1),eff,(INDEX('Type Chart'!$B:$S,MATCH(mtype,'Type Chart'!$A:$A,0),MATCH(XLOOKUP($K27,'Pokemon Editor'!$A:$A,'Pokemon Editor'!$C:$C,""),'Type Chart'!$B$1:$S$1,0))*IF(XLOOKUP($K27,'Pokemon Editor'!$A:$A,'Pokemon Editor'!$D:$D,"")="",1,INDEX('Type Chart'!$B:$S,MATCH(mtype,'Type Chart'!$A:$A,0),MATCH(XLOOKUP($K27,'Pokemon Editor'!$A:$A,'Pokemon Editor'!$D:$D,""),'Type Chart'!$B$1:$S$1,0)))),base,IF(OR(cat="Status",pow=0),0,FLOOR(FLOOR(FLOOR((2*'Boss Editor'!$D$4/5+2)*pow*atk/def)/50)+2)),modifier,stab*eff,FLOOR(base*modifier)),0)</f>
        <v/>
      </c>
      <c r="Y27" s="3" t="inlineStr">
        <is>
          <t>SPECIES_STUFFUL</t>
        </is>
      </c>
      <c r="Z27" s="5" t="inlineStr"/>
    </row>
    <row r="28">
      <c r="A28" s="3">
        <f>XLOOKUP(K28,'Pokemon Editor'!$A:$A,'Pokemon Editor'!$B:$B,K28)</f>
        <v/>
      </c>
      <c r="B28" s="3">
        <f>IF($Z28&lt;&gt;"",$Z28,IFERROR(INDEX(FILTER('Move Comparison'!$D$2:$D,'Move Comparison'!$Q$2:$Q=$Y28,'Move Comparison'!$M$2:$M=MAXIFS('Move Comparison'!$M$2:$M,'Move Comparison'!$Q$2:$Q,$Y28),'Move Comparison'!$D$2:$D&lt;&gt;""),1),""))</f>
        <v/>
      </c>
      <c r="C28" s="4">
        <f>IFERROR(LET(mtype,XLOOKUP($B28,'Move Editor'!$B:$B,'Move Editor'!$C:$C,""),cat,XLOOKUP($B28,'Move Editor'!$B:$B,'Move Editor'!$D:$D,""),pow,XLOOKUP($B28,'Move Editor'!$B:$B,'Move Editor'!$E:$E,0),acc,XLOOKUP($B28,'Move Editor'!$B:$B,'Move Editor'!$F:$F,100),atk,IF(cat="Physical",FLOOR((FLOOR(((2*XLOOKUP($K28,'Pokemon Editor'!$A:$A,'Pokemon Editor'!$F:$F,0)+31+FLOOR($P28/4))*$L28)/100)+5)*XLOOKUP($M28,'Nature Editor'!$A:$A,'Nature Editor'!$B:$B,1)),FLOOR((FLOOR(((2*XLOOKUP($K28,'Pokemon Editor'!$A:$A,'Pokemon Editor'!$H:$H,0)+31+FLOOR($R28/4))*$L28)/100)+5)*XLOOKUP($M28,'Nature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Editor'!$E:$E,1))),stab,IF(OR(mtype=XLOOKUP($K28,'Pokemon Editor'!$A:$A,'Pokemon Editor'!$C:$C,""),mtype=XLOOKUP($K28,'Pokemon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Chart'!$B$1:$S$1,0)))),base,IF(OR(cat="Status",pow=0),0,FLOOR(FLOOR(FLOOR((2*$L28/5+2)*pow*atk/def)/50)+2)),modifier,stab*eff,AVERAGE(ARRAYFORMULA(FLOOR(base*modifier*SEQUENCE(16,1,85,1)/100)))/(FLOOR(((2*XLOOKUP('Boss Editor'!$C$4,'Pokemon Editor'!$A:$A,'Pokemon Editor'!$E:$E,0)+31+FLOOR('Boss Editor'!$G$4/4))*'Boss Editor'!$D$4)/100)+'Boss Editor'!$D$4+10)),0)</f>
        <v/>
      </c>
      <c r="D28" s="5" t="inlineStr">
        <is>
          <t>Astonish</t>
        </is>
      </c>
      <c r="E28" s="4">
        <f>IFERROR(LET(mtype,XLOOKUP($D28,'Move Editor'!$B:$B,'Move Editor'!$C:$C,""),cat,XLOOKUP($D28,'Move Editor'!$B:$B,'Move Editor'!$D:$D,""),pow,XLOOKUP($D28,'Move Editor'!$B:$B,'Move Editor'!$E:$E,0),acc,XLOOKUP($D28,'Move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Editor'!$D:$D,1))),def,IF(cat="Physical",FLOOR((FLOOR(((2*XLOOKUP($K28,'Pokemon Editor'!$A:$A,'Pokemon Editor'!$G:$G,0)+31+FLOOR($Q28/4))*$L28)/100)+5)*XLOOKUP($M28,'Nature Editor'!$A:$A,'Nature Editor'!$C:$C,1)),FLOOR((FLOOR(((2*XLOOKUP($K28,'Pokemon Editor'!$A:$A,'Pokemon Editor'!$I:$I,0)+31+FLOOR($S28/4))*$L28)/100)+5)*XLOOKUP($M28,'Nature Editor'!$A:$A,'Nature Editor'!$E:$E,1))),stab,IF(OR(mtype=XLOOKUP('Boss Editor'!$C$4,'Pokemon Editor'!$A:$A,'Pokemon Editor'!$C:$C,""),mtype=XLOOKUP('Boss Editor'!$C$4,'Pokemon Editor'!$A:$A,'Pokemon Editor'!$D:$D,"")),1.5,1),eff,(INDEX('Type Chart'!$B:$S,MATCH(mtype,'Type Chart'!$A:$A,0),MATCH(XLOOKUP($K28,'Pokemon Editor'!$A:$A,'Pokemon Editor'!$C:$C,""),'Type Chart'!$B$1:$S$1,0))*IF(XLOOKUP($K28,'Pokemon Editor'!$A:$A,'Pokemon Editor'!$D:$D,"")="",1,INDEX('Type Chart'!$B:$S,MATCH(mtype,'Type Chart'!$A:$A,0),MATCH(XLOOKUP($K28,'Pokemon Editor'!$A:$A,'Pokemon Editor'!$D:$D,""),'Type Chart'!$B$1:$S$1,0)))),base,IF(OR(cat="Status",pow=0),0,FLOOR(FLOOR(FLOOR((2*'Boss Editor'!$D$4/5+2)*pow*atk/def)/50)+2)),modifier,stab*eff,AVERAGE(ARRAYFORMULA(FLOOR(base*modifier*SEQUENCE(16,1,85,1)/100)))/(FLOOR(((2*XLOOKUP($K28,'Pokemon Editor'!$A:$A,'Pokemon Editor'!$E:$E,0)+31+FLOOR($O28/4))*$L28)/100)+$L28+10)),0)</f>
        <v/>
      </c>
      <c r="F28" s="3">
        <f>FLOOR((FLOOR(((2*XLOOKUP($K28,'Pokemon Editor'!$A:$A,'Pokemon Editor'!$J:$J,0)+31+FLOOR($T28/4))*$L28)/100)+5)*XLOOKUP($M28,'Nature Editor'!$A:$A,'Nature Editor'!$F:$F,1))</f>
        <v/>
      </c>
      <c r="G28" s="3">
        <f>FLOOR((FLOOR(((2*XLOOKUP('Boss Editor'!$C$4,'Pokemon Editor'!$A:$A,'Pokemon Editor'!$J:$J,0)+31+FLOOR('Boss Editor'!$L$4/4))*'Boss Editor'!$D$4)/100)+5)*XLOOKUP('Boss Editor'!$E$4,'Nature Editor'!$A:$A,'Nature Editor'!$F:$F,1))</f>
        <v/>
      </c>
      <c r="H28" s="3">
        <f>IF(F28&gt;G28,"Yes","No")</f>
        <v/>
      </c>
      <c r="I28" s="3">
        <f>C28-E28</f>
        <v/>
      </c>
      <c r="J28" s="3">
        <f>IFS(AND(C28&gt;=0.5,E28&lt;0.5),"Dominant",AND(C28&gt;=0.35,E28&lt;0.75),"Strong",AND(C28&gt;=0.25,E28&lt;1),"Viable",AND(C28&gt;=0.15,E28&lt;1.25),"Risky",TRUE,"Poor")</f>
        <v/>
      </c>
      <c r="K28" s="3">
        <f>REDUCE($Y28,SEQUENCE(2),LAMBDA(current_species,unused_step,IFERROR(INDEX(FILTER('Evolution Editor'!$D$2:$D,'Evolution Editor'!$A$2:$A=current_species,'Evolution Editor'!$F$2:$F=TRUE,'Evolution Editor'!$E$2:$E&lt;=$L28),1),current_species)))</f>
        <v/>
      </c>
      <c r="L28" s="5" t="n">
        <v>15</v>
      </c>
      <c r="M28" s="5" t="inlineStr">
        <is>
          <t>Neutral</t>
        </is>
      </c>
      <c r="N28" s="5" t="inlineStr">
        <is>
          <t>ABILITY_SYNCHRONIZE</t>
        </is>
      </c>
      <c r="O28" s="5" t="n">
        <v>0</v>
      </c>
      <c r="P28" s="5" t="n">
        <v>0</v>
      </c>
      <c r="Q28" s="5" t="n">
        <v>0</v>
      </c>
      <c r="R28" s="5" t="n">
        <v>0</v>
      </c>
      <c r="S28" s="5" t="n">
        <v>0</v>
      </c>
      <c r="T28" s="5" t="n">
        <v>0</v>
      </c>
      <c r="U28" s="3">
        <f>IFERROR(LET(mtype,XLOOKUP($B28,'Move Editor'!$B:$B,'Move Editor'!$C:$C,""),cat,XLOOKUP($B28,'Move Editor'!$B:$B,'Move Editor'!$D:$D,""),pow,XLOOKUP($B28,'Move Editor'!$B:$B,'Move Editor'!$E:$E,0),acc,XLOOKUP($B28,'Move Editor'!$B:$B,'Move Editor'!$F:$F,100),atk,IF(cat="Physical",FLOOR((FLOOR(((2*XLOOKUP($K28,'Pokemon Editor'!$A:$A,'Pokemon Editor'!$F:$F,0)+31+FLOOR($P28/4))*$L28)/100)+5)*XLOOKUP($M28,'Nature Editor'!$A:$A,'Nature Editor'!$B:$B,1)),FLOOR((FLOOR(((2*XLOOKUP($K28,'Pokemon Editor'!$A:$A,'Pokemon Editor'!$H:$H,0)+31+FLOOR($R28/4))*$L28)/100)+5)*XLOOKUP($M28,'Nature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Editor'!$E:$E,1))),stab,IF(OR(mtype=XLOOKUP($K28,'Pokemon Editor'!$A:$A,'Pokemon Editor'!$C:$C,""),mtype=XLOOKUP($K28,'Pokemon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Chart'!$B$1:$S$1,0)))),base,IF(OR(cat="Status",pow=0),0,FLOOR(FLOOR(FLOOR((2*$L28/5+2)*pow*atk/def)/50)+2)),modifier,stab*eff,FLOOR(base*modifier*0.85)),0)</f>
        <v/>
      </c>
      <c r="V28" s="3">
        <f>IFERROR(LET(mtype,XLOOKUP($B28,'Move Editor'!$B:$B,'Move Editor'!$C:$C,""),cat,XLOOKUP($B28,'Move Editor'!$B:$B,'Move Editor'!$D:$D,""),pow,XLOOKUP($B28,'Move Editor'!$B:$B,'Move Editor'!$E:$E,0),acc,XLOOKUP($B28,'Move Editor'!$B:$B,'Move Editor'!$F:$F,100),atk,IF(cat="Physical",FLOOR((FLOOR(((2*XLOOKUP($K28,'Pokemon Editor'!$A:$A,'Pokemon Editor'!$F:$F,0)+31+FLOOR($P28/4))*$L28)/100)+5)*XLOOKUP($M28,'Nature Editor'!$A:$A,'Nature Editor'!$B:$B,1)),FLOOR((FLOOR(((2*XLOOKUP($K28,'Pokemon Editor'!$A:$A,'Pokemon Editor'!$H:$H,0)+31+FLOOR($R28/4))*$L28)/100)+5)*XLOOKUP($M28,'Nature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Editor'!$E:$E,1))),stab,IF(OR(mtype=XLOOKUP($K28,'Pokemon Editor'!$A:$A,'Pokemon Editor'!$C:$C,""),mtype=XLOOKUP($K28,'Pokemon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Chart'!$B$1:$S$1,0)))),base,IF(OR(cat="Status",pow=0),0,FLOOR(FLOOR(FLOOR((2*$L28/5+2)*pow*atk/def)/50)+2)),modifier,stab*eff,FLOOR(base*modifier)),0)</f>
        <v/>
      </c>
      <c r="W28" s="3">
        <f>IFERROR(LET(mtype,XLOOKUP($D28,'Move Editor'!$B:$B,'Move Editor'!$C:$C,""),cat,XLOOKUP($D28,'Move Editor'!$B:$B,'Move Editor'!$D:$D,""),pow,XLOOKUP($D28,'Move Editor'!$B:$B,'Move Editor'!$E:$E,0),acc,XLOOKUP($D28,'Move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Editor'!$D:$D,1))),def,IF(cat="Physical",FLOOR((FLOOR(((2*XLOOKUP($K28,'Pokemon Editor'!$A:$A,'Pokemon Editor'!$G:$G,0)+31+FLOOR($Q28/4))*$L28)/100)+5)*XLOOKUP($M28,'Nature Editor'!$A:$A,'Nature Editor'!$C:$C,1)),FLOOR((FLOOR(((2*XLOOKUP($K28,'Pokemon Editor'!$A:$A,'Pokemon Editor'!$I:$I,0)+31+FLOOR($S28/4))*$L28)/100)+5)*XLOOKUP($M28,'Nature Editor'!$A:$A,'Nature Editor'!$E:$E,1))),stab,IF(OR(mtype=XLOOKUP('Boss Editor'!$C$4,'Pokemon Editor'!$A:$A,'Pokemon Editor'!$C:$C,""),mtype=XLOOKUP('Boss Editor'!$C$4,'Pokemon Editor'!$A:$A,'Pokemon Editor'!$D:$D,"")),1.5,1),eff,(INDEX('Type Chart'!$B:$S,MATCH(mtype,'Type Chart'!$A:$A,0),MATCH(XLOOKUP($K28,'Pokemon Editor'!$A:$A,'Pokemon Editor'!$C:$C,""),'Type Chart'!$B$1:$S$1,0))*IF(XLOOKUP($K28,'Pokemon Editor'!$A:$A,'Pokemon Editor'!$D:$D,"")="",1,INDEX('Type Chart'!$B:$S,MATCH(mtype,'Type Chart'!$A:$A,0),MATCH(XLOOKUP($K28,'Pokemon Editor'!$A:$A,'Pokemon Editor'!$D:$D,""),'Type Chart'!$B$1:$S$1,0)))),base,IF(OR(cat="Status",pow=0),0,FLOOR(FLOOR(FLOOR((2*'Boss Editor'!$D$4/5+2)*pow*atk/def)/50)+2)),modifier,stab*eff,FLOOR(base*modifier*0.85)),0)</f>
        <v/>
      </c>
      <c r="X28" s="3">
        <f>IFERROR(LET(mtype,XLOOKUP($D28,'Move Editor'!$B:$B,'Move Editor'!$C:$C,""),cat,XLOOKUP($D28,'Move Editor'!$B:$B,'Move Editor'!$D:$D,""),pow,XLOOKUP($D28,'Move Editor'!$B:$B,'Move Editor'!$E:$E,0),acc,XLOOKUP($D28,'Move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Editor'!$D:$D,1))),def,IF(cat="Physical",FLOOR((FLOOR(((2*XLOOKUP($K28,'Pokemon Editor'!$A:$A,'Pokemon Editor'!$G:$G,0)+31+FLOOR($Q28/4))*$L28)/100)+5)*XLOOKUP($M28,'Nature Editor'!$A:$A,'Nature Editor'!$C:$C,1)),FLOOR((FLOOR(((2*XLOOKUP($K28,'Pokemon Editor'!$A:$A,'Pokemon Editor'!$I:$I,0)+31+FLOOR($S28/4))*$L28)/100)+5)*XLOOKUP($M28,'Nature Editor'!$A:$A,'Nature Editor'!$E:$E,1))),stab,IF(OR(mtype=XLOOKUP('Boss Editor'!$C$4,'Pokemon Editor'!$A:$A,'Pokemon Editor'!$C:$C,""),mtype=XLOOKUP('Boss Editor'!$C$4,'Pokemon Editor'!$A:$A,'Pokemon Editor'!$D:$D,"")),1.5,1),eff,(INDEX('Type Chart'!$B:$S,MATCH(mtype,'Type Chart'!$A:$A,0),MATCH(XLOOKUP($K28,'Pokemon Editor'!$A:$A,'Pokemon Editor'!$C:$C,""),'Type Chart'!$B$1:$S$1,0))*IF(XLOOKUP($K28,'Pokemon Editor'!$A:$A,'Pokemon Editor'!$D:$D,"")="",1,INDEX('Type Chart'!$B:$S,MATCH(mtype,'Type Chart'!$A:$A,0),MATCH(XLOOKUP($K28,'Pokemon Editor'!$A:$A,'Pokemon Editor'!$D:$D,""),'Type Chart'!$B$1:$S$1,0)))),base,IF(OR(cat="Status",pow=0),0,FLOOR(FLOOR(FLOOR((2*'Boss Editor'!$D$4/5+2)*pow*atk/def)/50)+2)),modifier,stab*eff,FLOOR(base*modifier)),0)</f>
        <v/>
      </c>
      <c r="Y28" s="3" t="inlineStr">
        <is>
          <t>SPECIES_RALTS</t>
        </is>
      </c>
      <c r="Z28" s="5" t="inlineStr"/>
    </row>
    <row r="29">
      <c r="A29" s="3">
        <f>XLOOKUP(K29,'Pokemon Editor'!$A:$A,'Pokemon Editor'!$B:$B,K29)</f>
        <v/>
      </c>
      <c r="B29" s="3">
        <f>IF($Z29&lt;&gt;"",$Z29,IFERROR(INDEX(FILTER('Move Comparison'!$D$2:$D,'Move Comparison'!$Q$2:$Q=$Y29,'Move Comparison'!$M$2:$M=MAXIFS('Move Comparison'!$M$2:$M,'Move Comparison'!$Q$2:$Q,$Y29),'Move Comparison'!$D$2:$D&lt;&gt;""),1),""))</f>
        <v/>
      </c>
      <c r="C29" s="4">
        <f>IFERROR(LET(mtype,XLOOKUP($B29,'Move Editor'!$B:$B,'Move Editor'!$C:$C,""),cat,XLOOKUP($B29,'Move Editor'!$B:$B,'Move Editor'!$D:$D,""),pow,XLOOKUP($B29,'Move Editor'!$B:$B,'Move Editor'!$E:$E,0),acc,XLOOKUP($B29,'Move Editor'!$B:$B,'Move Editor'!$F:$F,100),atk,IF(cat="Physical",FLOOR((FLOOR(((2*XLOOKUP($K29,'Pokemon Editor'!$A:$A,'Pokemon Editor'!$F:$F,0)+31+FLOOR($P29/4))*$L29)/100)+5)*XLOOKUP($M29,'Nature Editor'!$A:$A,'Nature Editor'!$B:$B,1)),FLOOR((FLOOR(((2*XLOOKUP($K29,'Pokemon Editor'!$A:$A,'Pokemon Editor'!$H:$H,0)+31+FLOOR($R29/4))*$L29)/100)+5)*XLOOKUP($M29,'Nature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Editor'!$E:$E,1))),stab,IF(OR(mtype=XLOOKUP($K29,'Pokemon Editor'!$A:$A,'Pokemon Editor'!$C:$C,""),mtype=XLOOKUP($K29,'Pokemon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Chart'!$B$1:$S$1,0)))),base,IF(OR(cat="Status",pow=0),0,FLOOR(FLOOR(FLOOR((2*$L29/5+2)*pow*atk/def)/50)+2)),modifier,stab*eff,AVERAGE(ARRAYFORMULA(FLOOR(base*modifier*SEQUENCE(16,1,85,1)/100)))/(FLOOR(((2*XLOOKUP('Boss Editor'!$C$4,'Pokemon Editor'!$A:$A,'Pokemon Editor'!$E:$E,0)+31+FLOOR('Boss Editor'!$G$4/4))*'Boss Editor'!$D$4)/100)+'Boss Editor'!$D$4+10)),0)</f>
        <v/>
      </c>
      <c r="D29" s="5" t="inlineStr">
        <is>
          <t>Acid</t>
        </is>
      </c>
      <c r="E29" s="4">
        <f>IFERROR(LET(mtype,XLOOKUP($D29,'Move Editor'!$B:$B,'Move Editor'!$C:$C,""),cat,XLOOKUP($D29,'Move Editor'!$B:$B,'Move Editor'!$D:$D,""),pow,XLOOKUP($D29,'Move Editor'!$B:$B,'Move Editor'!$E:$E,0),acc,XLOOKUP($D29,'Move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Editor'!$D:$D,1))),def,IF(cat="Physical",FLOOR((FLOOR(((2*XLOOKUP($K29,'Pokemon Editor'!$A:$A,'Pokemon Editor'!$G:$G,0)+31+FLOOR($Q29/4))*$L29)/100)+5)*XLOOKUP($M29,'Nature Editor'!$A:$A,'Nature Editor'!$C:$C,1)),FLOOR((FLOOR(((2*XLOOKUP($K29,'Pokemon Editor'!$A:$A,'Pokemon Editor'!$I:$I,0)+31+FLOOR($S29/4))*$L29)/100)+5)*XLOOKUP($M29,'Nature Editor'!$A:$A,'Nature Editor'!$E:$E,1))),stab,IF(OR(mtype=XLOOKUP('Boss Editor'!$C$4,'Pokemon Editor'!$A:$A,'Pokemon Editor'!$C:$C,""),mtype=XLOOKUP('Boss Editor'!$C$4,'Pokemon Editor'!$A:$A,'Pokemon Editor'!$D:$D,"")),1.5,1),eff,(INDEX('Type Chart'!$B:$S,MATCH(mtype,'Type Chart'!$A:$A,0),MATCH(XLOOKUP($K29,'Pokemon Editor'!$A:$A,'Pokemon Editor'!$C:$C,""),'Type Chart'!$B$1:$S$1,0))*IF(XLOOKUP($K29,'Pokemon Editor'!$A:$A,'Pokemon Editor'!$D:$D,"")="",1,INDEX('Type Chart'!$B:$S,MATCH(mtype,'Type Chart'!$A:$A,0),MATCH(XLOOKUP($K29,'Pokemon Editor'!$A:$A,'Pokemon Editor'!$D:$D,""),'Type Chart'!$B$1:$S$1,0)))),base,IF(OR(cat="Status",pow=0),0,FLOOR(FLOOR(FLOOR((2*'Boss Editor'!$D$4/5+2)*pow*atk/def)/50)+2)),modifier,stab*eff,AVERAGE(ARRAYFORMULA(FLOOR(base*modifier*SEQUENCE(16,1,85,1)/100)))/(FLOOR(((2*XLOOKUP($K29,'Pokemon Editor'!$A:$A,'Pokemon Editor'!$E:$E,0)+31+FLOOR($O29/4))*$L29)/100)+$L29+10)),0)</f>
        <v/>
      </c>
      <c r="F29" s="3">
        <f>FLOOR((FLOOR(((2*XLOOKUP($K29,'Pokemon Editor'!$A:$A,'Pokemon Editor'!$J:$J,0)+31+FLOOR($T29/4))*$L29)/100)+5)*XLOOKUP($M29,'Nature Editor'!$A:$A,'Nature Editor'!$F:$F,1))</f>
        <v/>
      </c>
      <c r="G29" s="3">
        <f>FLOOR((FLOOR(((2*XLOOKUP('Boss Editor'!$C$4,'Pokemon Editor'!$A:$A,'Pokemon Editor'!$J:$J,0)+31+FLOOR('Boss Editor'!$L$4/4))*'Boss Editor'!$D$4)/100)+5)*XLOOKUP('Boss Editor'!$E$4,'Nature Editor'!$A:$A,'Nature Editor'!$F:$F,1))</f>
        <v/>
      </c>
      <c r="H29" s="3">
        <f>IF(F29&gt;G29,"Yes","No")</f>
        <v/>
      </c>
      <c r="I29" s="3">
        <f>C29-E29</f>
        <v/>
      </c>
      <c r="J29" s="3">
        <f>IFS(AND(C29&gt;=0.5,E29&lt;0.5),"Dominant",AND(C29&gt;=0.35,E29&lt;0.75),"Strong",AND(C29&gt;=0.25,E29&lt;1),"Viable",AND(C29&gt;=0.15,E29&lt;1.25),"Risky",TRUE,"Poor")</f>
        <v/>
      </c>
      <c r="K29" s="3">
        <f>REDUCE($Y29,SEQUENCE(2),LAMBDA(current_species,unused_step,IFERROR(INDEX(FILTER('Evolution Editor'!$D$2:$D,'Evolution Editor'!$A$2:$A=current_species,'Evolution Editor'!$F$2:$F=TRUE,'Evolution Editor'!$E$2:$E&lt;=$L29),1),current_species)))</f>
        <v/>
      </c>
      <c r="L29" s="5" t="n">
        <v>15</v>
      </c>
      <c r="M29" s="5" t="inlineStr">
        <is>
          <t>Neutral</t>
        </is>
      </c>
      <c r="N29" s="5" t="inlineStr">
        <is>
          <t>ABILITY_STATIC</t>
        </is>
      </c>
      <c r="O29" s="5" t="n">
        <v>0</v>
      </c>
      <c r="P29" s="5" t="n">
        <v>0</v>
      </c>
      <c r="Q29" s="5" t="n">
        <v>0</v>
      </c>
      <c r="R29" s="5" t="n">
        <v>0</v>
      </c>
      <c r="S29" s="5" t="n">
        <v>0</v>
      </c>
      <c r="T29" s="5" t="n">
        <v>0</v>
      </c>
      <c r="U29" s="3">
        <f>IFERROR(LET(mtype,XLOOKUP($B29,'Move Editor'!$B:$B,'Move Editor'!$C:$C,""),cat,XLOOKUP($B29,'Move Editor'!$B:$B,'Move Editor'!$D:$D,""),pow,XLOOKUP($B29,'Move Editor'!$B:$B,'Move Editor'!$E:$E,0),acc,XLOOKUP($B29,'Move Editor'!$B:$B,'Move Editor'!$F:$F,100),atk,IF(cat="Physical",FLOOR((FLOOR(((2*XLOOKUP($K29,'Pokemon Editor'!$A:$A,'Pokemon Editor'!$F:$F,0)+31+FLOOR($P29/4))*$L29)/100)+5)*XLOOKUP($M29,'Nature Editor'!$A:$A,'Nature Editor'!$B:$B,1)),FLOOR((FLOOR(((2*XLOOKUP($K29,'Pokemon Editor'!$A:$A,'Pokemon Editor'!$H:$H,0)+31+FLOOR($R29/4))*$L29)/100)+5)*XLOOKUP($M29,'Nature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Editor'!$E:$E,1))),stab,IF(OR(mtype=XLOOKUP($K29,'Pokemon Editor'!$A:$A,'Pokemon Editor'!$C:$C,""),mtype=XLOOKUP($K29,'Pokemon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Chart'!$B$1:$S$1,0)))),base,IF(OR(cat="Status",pow=0),0,FLOOR(FLOOR(FLOOR((2*$L29/5+2)*pow*atk/def)/50)+2)),modifier,stab*eff,FLOOR(base*modifier*0.85)),0)</f>
        <v/>
      </c>
      <c r="V29" s="3">
        <f>IFERROR(LET(mtype,XLOOKUP($B29,'Move Editor'!$B:$B,'Move Editor'!$C:$C,""),cat,XLOOKUP($B29,'Move Editor'!$B:$B,'Move Editor'!$D:$D,""),pow,XLOOKUP($B29,'Move Editor'!$B:$B,'Move Editor'!$E:$E,0),acc,XLOOKUP($B29,'Move Editor'!$B:$B,'Move Editor'!$F:$F,100),atk,IF(cat="Physical",FLOOR((FLOOR(((2*XLOOKUP($K29,'Pokemon Editor'!$A:$A,'Pokemon Editor'!$F:$F,0)+31+FLOOR($P29/4))*$L29)/100)+5)*XLOOKUP($M29,'Nature Editor'!$A:$A,'Nature Editor'!$B:$B,1)),FLOOR((FLOOR(((2*XLOOKUP($K29,'Pokemon Editor'!$A:$A,'Pokemon Editor'!$H:$H,0)+31+FLOOR($R29/4))*$L29)/100)+5)*XLOOKUP($M29,'Nature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Editor'!$E:$E,1))),stab,IF(OR(mtype=XLOOKUP($K29,'Pokemon Editor'!$A:$A,'Pokemon Editor'!$C:$C,""),mtype=XLOOKUP($K29,'Pokemon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Chart'!$B$1:$S$1,0)))),base,IF(OR(cat="Status",pow=0),0,FLOOR(FLOOR(FLOOR((2*$L29/5+2)*pow*atk/def)/50)+2)),modifier,stab*eff,FLOOR(base*modifier)),0)</f>
        <v/>
      </c>
      <c r="W29" s="3">
        <f>IFERROR(LET(mtype,XLOOKUP($D29,'Move Editor'!$B:$B,'Move Editor'!$C:$C,""),cat,XLOOKUP($D29,'Move Editor'!$B:$B,'Move Editor'!$D:$D,""),pow,XLOOKUP($D29,'Move Editor'!$B:$B,'Move Editor'!$E:$E,0),acc,XLOOKUP($D29,'Move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Editor'!$D:$D,1))),def,IF(cat="Physical",FLOOR((FLOOR(((2*XLOOKUP($K29,'Pokemon Editor'!$A:$A,'Pokemon Editor'!$G:$G,0)+31+FLOOR($Q29/4))*$L29)/100)+5)*XLOOKUP($M29,'Nature Editor'!$A:$A,'Nature Editor'!$C:$C,1)),FLOOR((FLOOR(((2*XLOOKUP($K29,'Pokemon Editor'!$A:$A,'Pokemon Editor'!$I:$I,0)+31+FLOOR($S29/4))*$L29)/100)+5)*XLOOKUP($M29,'Nature Editor'!$A:$A,'Nature Editor'!$E:$E,1))),stab,IF(OR(mtype=XLOOKUP('Boss Editor'!$C$4,'Pokemon Editor'!$A:$A,'Pokemon Editor'!$C:$C,""),mtype=XLOOKUP('Boss Editor'!$C$4,'Pokemon Editor'!$A:$A,'Pokemon Editor'!$D:$D,"")),1.5,1),eff,(INDEX('Type Chart'!$B:$S,MATCH(mtype,'Type Chart'!$A:$A,0),MATCH(XLOOKUP($K29,'Pokemon Editor'!$A:$A,'Pokemon Editor'!$C:$C,""),'Type Chart'!$B$1:$S$1,0))*IF(XLOOKUP($K29,'Pokemon Editor'!$A:$A,'Pokemon Editor'!$D:$D,"")="",1,INDEX('Type Chart'!$B:$S,MATCH(mtype,'Type Chart'!$A:$A,0),MATCH(XLOOKUP($K29,'Pokemon Editor'!$A:$A,'Pokemon Editor'!$D:$D,""),'Type Chart'!$B$1:$S$1,0)))),base,IF(OR(cat="Status",pow=0),0,FLOOR(FLOOR(FLOOR((2*'Boss Editor'!$D$4/5+2)*pow*atk/def)/50)+2)),modifier,stab*eff,FLOOR(base*modifier*0.85)),0)</f>
        <v/>
      </c>
      <c r="X29" s="3">
        <f>IFERROR(LET(mtype,XLOOKUP($D29,'Move Editor'!$B:$B,'Move Editor'!$C:$C,""),cat,XLOOKUP($D29,'Move Editor'!$B:$B,'Move Editor'!$D:$D,""),pow,XLOOKUP($D29,'Move Editor'!$B:$B,'Move Editor'!$E:$E,0),acc,XLOOKUP($D29,'Move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Editor'!$D:$D,1))),def,IF(cat="Physical",FLOOR((FLOOR(((2*XLOOKUP($K29,'Pokemon Editor'!$A:$A,'Pokemon Editor'!$G:$G,0)+31+FLOOR($Q29/4))*$L29)/100)+5)*XLOOKUP($M29,'Nature Editor'!$A:$A,'Nature Editor'!$C:$C,1)),FLOOR((FLOOR(((2*XLOOKUP($K29,'Pokemon Editor'!$A:$A,'Pokemon Editor'!$I:$I,0)+31+FLOOR($S29/4))*$L29)/100)+5)*XLOOKUP($M29,'Nature Editor'!$A:$A,'Nature Editor'!$E:$E,1))),stab,IF(OR(mtype=XLOOKUP('Boss Editor'!$C$4,'Pokemon Editor'!$A:$A,'Pokemon Editor'!$C:$C,""),mtype=XLOOKUP('Boss Editor'!$C$4,'Pokemon Editor'!$A:$A,'Pokemon Editor'!$D:$D,"")),1.5,1),eff,(INDEX('Type Chart'!$B:$S,MATCH(mtype,'Type Chart'!$A:$A,0),MATCH(XLOOKUP($K29,'Pokemon Editor'!$A:$A,'Pokemon Editor'!$C:$C,""),'Type Chart'!$B$1:$S$1,0))*IF(XLOOKUP($K29,'Pokemon Editor'!$A:$A,'Pokemon Editor'!$D:$D,"")="",1,INDEX('Type Chart'!$B:$S,MATCH(mtype,'Type Chart'!$A:$A,0),MATCH(XLOOKUP($K29,'Pokemon Editor'!$A:$A,'Pokemon Editor'!$D:$D,""),'Type Chart'!$B$1:$S$1,0)))),base,IF(OR(cat="Status",pow=0),0,FLOOR(FLOOR(FLOOR((2*'Boss Editor'!$D$4/5+2)*pow*atk/def)/50)+2)),modifier,stab*eff,FLOOR(base*modifier)),0)</f>
        <v/>
      </c>
      <c r="Y29" s="3" t="inlineStr">
        <is>
          <t>SPECIES_MAREEP</t>
        </is>
      </c>
      <c r="Z29" s="5" t="inlineStr"/>
    </row>
    <row r="30">
      <c r="A30" s="3">
        <f>XLOOKUP(K30,'Pokemon Editor'!$A:$A,'Pokemon Editor'!$B:$B,K30)</f>
        <v/>
      </c>
      <c r="B30" s="3">
        <f>IF($Z30&lt;&gt;"",$Z30,IFERROR(INDEX(FILTER('Move Comparison'!$D$2:$D,'Move Comparison'!$Q$2:$Q=$Y30,'Move Comparison'!$M$2:$M=MAXIFS('Move Comparison'!$M$2:$M,'Move Comparison'!$Q$2:$Q,$Y30),'Move Comparison'!$D$2:$D&lt;&gt;""),1),""))</f>
        <v/>
      </c>
      <c r="C30" s="4">
        <f>IFERROR(LET(mtype,XLOOKUP($B30,'Move Editor'!$B:$B,'Move Editor'!$C:$C,""),cat,XLOOKUP($B30,'Move Editor'!$B:$B,'Move Editor'!$D:$D,""),pow,XLOOKUP($B30,'Move Editor'!$B:$B,'Move Editor'!$E:$E,0),acc,XLOOKUP($B30,'Move Editor'!$B:$B,'Move Editor'!$F:$F,100),atk,IF(cat="Physical",FLOOR((FLOOR(((2*XLOOKUP($K30,'Pokemon Editor'!$A:$A,'Pokemon Editor'!$F:$F,0)+31+FLOOR($P30/4))*$L30)/100)+5)*XLOOKUP($M30,'Nature Editor'!$A:$A,'Nature Editor'!$B:$B,1)),FLOOR((FLOOR(((2*XLOOKUP($K30,'Pokemon Editor'!$A:$A,'Pokemon Editor'!$H:$H,0)+31+FLOOR($R30/4))*$L30)/100)+5)*XLOOKUP($M30,'Nature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Editor'!$E:$E,1))),stab,IF(OR(mtype=XLOOKUP($K30,'Pokemon Editor'!$A:$A,'Pokemon Editor'!$C:$C,""),mtype=XLOOKUP($K30,'Pokemon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Chart'!$B$1:$S$1,0)))),base,IF(OR(cat="Status",pow=0),0,FLOOR(FLOOR(FLOOR((2*$L30/5+2)*pow*atk/def)/50)+2)),modifier,stab*eff,AVERAGE(ARRAYFORMULA(FLOOR(base*modifier*SEQUENCE(16,1,85,1)/100)))/(FLOOR(((2*XLOOKUP('Boss Editor'!$C$4,'Pokemon Editor'!$A:$A,'Pokemon Editor'!$E:$E,0)+31+FLOOR('Boss Editor'!$G$4/4))*'Boss Editor'!$D$4)/100)+'Boss Editor'!$D$4+10)),0)</f>
        <v/>
      </c>
      <c r="D30" s="5" t="inlineStr">
        <is>
          <t>Acid</t>
        </is>
      </c>
      <c r="E30" s="4">
        <f>IFERROR(LET(mtype,XLOOKUP($D30,'Move Editor'!$B:$B,'Move Editor'!$C:$C,""),cat,XLOOKUP($D30,'Move Editor'!$B:$B,'Move Editor'!$D:$D,""),pow,XLOOKUP($D30,'Move Editor'!$B:$B,'Move Editor'!$E:$E,0),acc,XLOOKUP($D30,'Move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Editor'!$D:$D,1))),def,IF(cat="Physical",FLOOR((FLOOR(((2*XLOOKUP($K30,'Pokemon Editor'!$A:$A,'Pokemon Editor'!$G:$G,0)+31+FLOOR($Q30/4))*$L30)/100)+5)*XLOOKUP($M30,'Nature Editor'!$A:$A,'Nature Editor'!$C:$C,1)),FLOOR((FLOOR(((2*XLOOKUP($K30,'Pokemon Editor'!$A:$A,'Pokemon Editor'!$I:$I,0)+31+FLOOR($S30/4))*$L30)/100)+5)*XLOOKUP($M30,'Nature Editor'!$A:$A,'Nature Editor'!$E:$E,1))),stab,IF(OR(mtype=XLOOKUP('Boss Editor'!$C$4,'Pokemon Editor'!$A:$A,'Pokemon Editor'!$C:$C,""),mtype=XLOOKUP('Boss Editor'!$C$4,'Pokemon Editor'!$A:$A,'Pokemon Editor'!$D:$D,"")),1.5,1),eff,(INDEX('Type Chart'!$B:$S,MATCH(mtype,'Type Chart'!$A:$A,0),MATCH(XLOOKUP($K30,'Pokemon Editor'!$A:$A,'Pokemon Editor'!$C:$C,""),'Type Chart'!$B$1:$S$1,0))*IF(XLOOKUP($K30,'Pokemon Editor'!$A:$A,'Pokemon Editor'!$D:$D,"")="",1,INDEX('Type Chart'!$B:$S,MATCH(mtype,'Type Chart'!$A:$A,0),MATCH(XLOOKUP($K30,'Pokemon Editor'!$A:$A,'Pokemon Editor'!$D:$D,""),'Type Chart'!$B$1:$S$1,0)))),base,IF(OR(cat="Status",pow=0),0,FLOOR(FLOOR(FLOOR((2*'Boss Editor'!$D$4/5+2)*pow*atk/def)/50)+2)),modifier,stab*eff,AVERAGE(ARRAYFORMULA(FLOOR(base*modifier*SEQUENCE(16,1,85,1)/100)))/(FLOOR(((2*XLOOKUP($K30,'Pokemon Editor'!$A:$A,'Pokemon Editor'!$E:$E,0)+31+FLOOR($O30/4))*$L30)/100)+$L30+10)),0)</f>
        <v/>
      </c>
      <c r="F30" s="3">
        <f>FLOOR((FLOOR(((2*XLOOKUP($K30,'Pokemon Editor'!$A:$A,'Pokemon Editor'!$J:$J,0)+31+FLOOR($T30/4))*$L30)/100)+5)*XLOOKUP($M30,'Nature Editor'!$A:$A,'Nature Editor'!$F:$F,1))</f>
        <v/>
      </c>
      <c r="G30" s="3">
        <f>FLOOR((FLOOR(((2*XLOOKUP('Boss Editor'!$C$4,'Pokemon Editor'!$A:$A,'Pokemon Editor'!$J:$J,0)+31+FLOOR('Boss Editor'!$L$4/4))*'Boss Editor'!$D$4)/100)+5)*XLOOKUP('Boss Editor'!$E$4,'Nature Editor'!$A:$A,'Nature Editor'!$F:$F,1))</f>
        <v/>
      </c>
      <c r="H30" s="3">
        <f>IF(F30&gt;G30,"Yes","No")</f>
        <v/>
      </c>
      <c r="I30" s="3">
        <f>C30-E30</f>
        <v/>
      </c>
      <c r="J30" s="3">
        <f>IFS(AND(C30&gt;=0.5,E30&lt;0.5),"Dominant",AND(C30&gt;=0.35,E30&lt;0.75),"Strong",AND(C30&gt;=0.25,E30&lt;1),"Viable",AND(C30&gt;=0.15,E30&lt;1.25),"Risky",TRUE,"Poor")</f>
        <v/>
      </c>
      <c r="K30" s="3">
        <f>REDUCE($Y30,SEQUENCE(2),LAMBDA(current_species,unused_step,IFERROR(INDEX(FILTER('Evolution Editor'!$D$2:$D,'Evolution Editor'!$A$2:$A=current_species,'Evolution Editor'!$F$2:$F=TRUE,'Evolution Editor'!$E$2:$E&lt;=$L30),1),current_species)))</f>
        <v/>
      </c>
      <c r="L30" s="5" t="n">
        <v>15</v>
      </c>
      <c r="M30" s="5" t="inlineStr">
        <is>
          <t>Neutral</t>
        </is>
      </c>
      <c r="N30" s="5" t="inlineStr">
        <is>
          <t>ABILITY_EFFECT_SPORE</t>
        </is>
      </c>
      <c r="O30" s="5" t="n">
        <v>0</v>
      </c>
      <c r="P30" s="5" t="n">
        <v>0</v>
      </c>
      <c r="Q30" s="5" t="n">
        <v>0</v>
      </c>
      <c r="R30" s="5" t="n">
        <v>0</v>
      </c>
      <c r="S30" s="5" t="n">
        <v>0</v>
      </c>
      <c r="T30" s="5" t="n">
        <v>0</v>
      </c>
      <c r="U30" s="3">
        <f>IFERROR(LET(mtype,XLOOKUP($B30,'Move Editor'!$B:$B,'Move Editor'!$C:$C,""),cat,XLOOKUP($B30,'Move Editor'!$B:$B,'Move Editor'!$D:$D,""),pow,XLOOKUP($B30,'Move Editor'!$B:$B,'Move Editor'!$E:$E,0),acc,XLOOKUP($B30,'Move Editor'!$B:$B,'Move Editor'!$F:$F,100),atk,IF(cat="Physical",FLOOR((FLOOR(((2*XLOOKUP($K30,'Pokemon Editor'!$A:$A,'Pokemon Editor'!$F:$F,0)+31+FLOOR($P30/4))*$L30)/100)+5)*XLOOKUP($M30,'Nature Editor'!$A:$A,'Nature Editor'!$B:$B,1)),FLOOR((FLOOR(((2*XLOOKUP($K30,'Pokemon Editor'!$A:$A,'Pokemon Editor'!$H:$H,0)+31+FLOOR($R30/4))*$L30)/100)+5)*XLOOKUP($M30,'Nature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Editor'!$E:$E,1))),stab,IF(OR(mtype=XLOOKUP($K30,'Pokemon Editor'!$A:$A,'Pokemon Editor'!$C:$C,""),mtype=XLOOKUP($K30,'Pokemon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Chart'!$B$1:$S$1,0)))),base,IF(OR(cat="Status",pow=0),0,FLOOR(FLOOR(FLOOR((2*$L30/5+2)*pow*atk/def)/50)+2)),modifier,stab*eff,FLOOR(base*modifier*0.85)),0)</f>
        <v/>
      </c>
      <c r="V30" s="3">
        <f>IFERROR(LET(mtype,XLOOKUP($B30,'Move Editor'!$B:$B,'Move Editor'!$C:$C,""),cat,XLOOKUP($B30,'Move Editor'!$B:$B,'Move Editor'!$D:$D,""),pow,XLOOKUP($B30,'Move Editor'!$B:$B,'Move Editor'!$E:$E,0),acc,XLOOKUP($B30,'Move Editor'!$B:$B,'Move Editor'!$F:$F,100),atk,IF(cat="Physical",FLOOR((FLOOR(((2*XLOOKUP($K30,'Pokemon Editor'!$A:$A,'Pokemon Editor'!$F:$F,0)+31+FLOOR($P30/4))*$L30)/100)+5)*XLOOKUP($M30,'Nature Editor'!$A:$A,'Nature Editor'!$B:$B,1)),FLOOR((FLOOR(((2*XLOOKUP($K30,'Pokemon Editor'!$A:$A,'Pokemon Editor'!$H:$H,0)+31+FLOOR($R30/4))*$L30)/100)+5)*XLOOKUP($M30,'Nature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Editor'!$E:$E,1))),stab,IF(OR(mtype=XLOOKUP($K30,'Pokemon Editor'!$A:$A,'Pokemon Editor'!$C:$C,""),mtype=XLOOKUP($K30,'Pokemon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Chart'!$B$1:$S$1,0)))),base,IF(OR(cat="Status",pow=0),0,FLOOR(FLOOR(FLOOR((2*$L30/5+2)*pow*atk/def)/50)+2)),modifier,stab*eff,FLOOR(base*modifier)),0)</f>
        <v/>
      </c>
      <c r="W30" s="3">
        <f>IFERROR(LET(mtype,XLOOKUP($D30,'Move Editor'!$B:$B,'Move Editor'!$C:$C,""),cat,XLOOKUP($D30,'Move Editor'!$B:$B,'Move Editor'!$D:$D,""),pow,XLOOKUP($D30,'Move Editor'!$B:$B,'Move Editor'!$E:$E,0),acc,XLOOKUP($D30,'Move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Editor'!$D:$D,1))),def,IF(cat="Physical",FLOOR((FLOOR(((2*XLOOKUP($K30,'Pokemon Editor'!$A:$A,'Pokemon Editor'!$G:$G,0)+31+FLOOR($Q30/4))*$L30)/100)+5)*XLOOKUP($M30,'Nature Editor'!$A:$A,'Nature Editor'!$C:$C,1)),FLOOR((FLOOR(((2*XLOOKUP($K30,'Pokemon Editor'!$A:$A,'Pokemon Editor'!$I:$I,0)+31+FLOOR($S30/4))*$L30)/100)+5)*XLOOKUP($M30,'Nature Editor'!$A:$A,'Nature Editor'!$E:$E,1))),stab,IF(OR(mtype=XLOOKUP('Boss Editor'!$C$4,'Pokemon Editor'!$A:$A,'Pokemon Editor'!$C:$C,""),mtype=XLOOKUP('Boss Editor'!$C$4,'Pokemon Editor'!$A:$A,'Pokemon Editor'!$D:$D,"")),1.5,1),eff,(INDEX('Type Chart'!$B:$S,MATCH(mtype,'Type Chart'!$A:$A,0),MATCH(XLOOKUP($K30,'Pokemon Editor'!$A:$A,'Pokemon Editor'!$C:$C,""),'Type Chart'!$B$1:$S$1,0))*IF(XLOOKUP($K30,'Pokemon Editor'!$A:$A,'Pokemon Editor'!$D:$D,"")="",1,INDEX('Type Chart'!$B:$S,MATCH(mtype,'Type Chart'!$A:$A,0),MATCH(XLOOKUP($K30,'Pokemon Editor'!$A:$A,'Pokemon Editor'!$D:$D,""),'Type Chart'!$B$1:$S$1,0)))),base,IF(OR(cat="Status",pow=0),0,FLOOR(FLOOR(FLOOR((2*'Boss Editor'!$D$4/5+2)*pow*atk/def)/50)+2)),modifier,stab*eff,FLOOR(base*modifier*0.85)),0)</f>
        <v/>
      </c>
      <c r="X30" s="3">
        <f>IFERROR(LET(mtype,XLOOKUP($D30,'Move Editor'!$B:$B,'Move Editor'!$C:$C,""),cat,XLOOKUP($D30,'Move Editor'!$B:$B,'Move Editor'!$D:$D,""),pow,XLOOKUP($D30,'Move Editor'!$B:$B,'Move Editor'!$E:$E,0),acc,XLOOKUP($D30,'Move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Editor'!$D:$D,1))),def,IF(cat="Physical",FLOOR((FLOOR(((2*XLOOKUP($K30,'Pokemon Editor'!$A:$A,'Pokemon Editor'!$G:$G,0)+31+FLOOR($Q30/4))*$L30)/100)+5)*XLOOKUP($M30,'Nature Editor'!$A:$A,'Nature Editor'!$C:$C,1)),FLOOR((FLOOR(((2*XLOOKUP($K30,'Pokemon Editor'!$A:$A,'Pokemon Editor'!$I:$I,0)+31+FLOOR($S30/4))*$L30)/100)+5)*XLOOKUP($M30,'Nature Editor'!$A:$A,'Nature Editor'!$E:$E,1))),stab,IF(OR(mtype=XLOOKUP('Boss Editor'!$C$4,'Pokemon Editor'!$A:$A,'Pokemon Editor'!$C:$C,""),mtype=XLOOKUP('Boss Editor'!$C$4,'Pokemon Editor'!$A:$A,'Pokemon Editor'!$D:$D,"")),1.5,1),eff,(INDEX('Type Chart'!$B:$S,MATCH(mtype,'Type Chart'!$A:$A,0),MATCH(XLOOKUP($K30,'Pokemon Editor'!$A:$A,'Pokemon Editor'!$C:$C,""),'Type Chart'!$B$1:$S$1,0))*IF(XLOOKUP($K30,'Pokemon Editor'!$A:$A,'Pokemon Editor'!$D:$D,"")="",1,INDEX('Type Chart'!$B:$S,MATCH(mtype,'Type Chart'!$A:$A,0),MATCH(XLOOKUP($K30,'Pokemon Editor'!$A:$A,'Pokemon Editor'!$D:$D,""),'Type Chart'!$B$1:$S$1,0)))),base,IF(OR(cat="Status",pow=0),0,FLOOR(FLOOR(FLOOR((2*'Boss Editor'!$D$4/5+2)*pow*atk/def)/50)+2)),modifier,stab*eff,FLOOR(base*modifier)),0)</f>
        <v/>
      </c>
      <c r="Y30" s="3" t="inlineStr">
        <is>
          <t>SPECIES_PARAS</t>
        </is>
      </c>
      <c r="Z30" s="5" t="inlineStr"/>
    </row>
    <row r="31">
      <c r="A31" s="3">
        <f>XLOOKUP(K31,'Pokemon Editor'!$A:$A,'Pokemon Editor'!$B:$B,K31)</f>
        <v/>
      </c>
      <c r="B31" s="3">
        <f>IF($Z31&lt;&gt;"",$Z31,IFERROR(INDEX(FILTER('Move Comparison'!$D$2:$D,'Move Comparison'!$Q$2:$Q=$Y31,'Move Comparison'!$M$2:$M=MAXIFS('Move Comparison'!$M$2:$M,'Move Comparison'!$Q$2:$Q,$Y31),'Move Comparison'!$D$2:$D&lt;&gt;""),1),""))</f>
        <v/>
      </c>
      <c r="C31" s="4">
        <f>IFERROR(LET(mtype,XLOOKUP($B31,'Move Editor'!$B:$B,'Move Editor'!$C:$C,""),cat,XLOOKUP($B31,'Move Editor'!$B:$B,'Move Editor'!$D:$D,""),pow,XLOOKUP($B31,'Move Editor'!$B:$B,'Move Editor'!$E:$E,0),acc,XLOOKUP($B31,'Move Editor'!$B:$B,'Move Editor'!$F:$F,100),atk,IF(cat="Physical",FLOOR((FLOOR(((2*XLOOKUP($K31,'Pokemon Editor'!$A:$A,'Pokemon Editor'!$F:$F,0)+31+FLOOR($P31/4))*$L31)/100)+5)*XLOOKUP($M31,'Nature Editor'!$A:$A,'Nature Editor'!$B:$B,1)),FLOOR((FLOOR(((2*XLOOKUP($K31,'Pokemon Editor'!$A:$A,'Pokemon Editor'!$H:$H,0)+31+FLOOR($R31/4))*$L31)/100)+5)*XLOOKUP($M31,'Nature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Editor'!$E:$E,1))),stab,IF(OR(mtype=XLOOKUP($K31,'Pokemon Editor'!$A:$A,'Pokemon Editor'!$C:$C,""),mtype=XLOOKUP($K31,'Pokemon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Chart'!$B$1:$S$1,0)))),base,IF(OR(cat="Status",pow=0),0,FLOOR(FLOOR(FLOOR((2*$L31/5+2)*pow*atk/def)/50)+2)),modifier,stab*eff,AVERAGE(ARRAYFORMULA(FLOOR(base*modifier*SEQUENCE(16,1,85,1)/100)))/(FLOOR(((2*XLOOKUP('Boss Editor'!$C$4,'Pokemon Editor'!$A:$A,'Pokemon Editor'!$E:$E,0)+31+FLOOR('Boss Editor'!$G$4/4))*'Boss Editor'!$D$4)/100)+'Boss Editor'!$D$4+10)),0)</f>
        <v/>
      </c>
      <c r="D31" s="5" t="inlineStr">
        <is>
          <t>Acid</t>
        </is>
      </c>
      <c r="E31" s="4">
        <f>IFERROR(LET(mtype,XLOOKUP($D31,'Move Editor'!$B:$B,'Move Editor'!$C:$C,""),cat,XLOOKUP($D31,'Move Editor'!$B:$B,'Move Editor'!$D:$D,""),pow,XLOOKUP($D31,'Move Editor'!$B:$B,'Move Editor'!$E:$E,0),acc,XLOOKUP($D31,'Move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Editor'!$D:$D,1))),def,IF(cat="Physical",FLOOR((FLOOR(((2*XLOOKUP($K31,'Pokemon Editor'!$A:$A,'Pokemon Editor'!$G:$G,0)+31+FLOOR($Q31/4))*$L31)/100)+5)*XLOOKUP($M31,'Nature Editor'!$A:$A,'Nature Editor'!$C:$C,1)),FLOOR((FLOOR(((2*XLOOKUP($K31,'Pokemon Editor'!$A:$A,'Pokemon Editor'!$I:$I,0)+31+FLOOR($S31/4))*$L31)/100)+5)*XLOOKUP($M31,'Nature Editor'!$A:$A,'Nature Editor'!$E:$E,1))),stab,IF(OR(mtype=XLOOKUP('Boss Editor'!$C$4,'Pokemon Editor'!$A:$A,'Pokemon Editor'!$C:$C,""),mtype=XLOOKUP('Boss Editor'!$C$4,'Pokemon Editor'!$A:$A,'Pokemon Editor'!$D:$D,"")),1.5,1),eff,(INDEX('Type Chart'!$B:$S,MATCH(mtype,'Type Chart'!$A:$A,0),MATCH(XLOOKUP($K31,'Pokemon Editor'!$A:$A,'Pokemon Editor'!$C:$C,""),'Type Chart'!$B$1:$S$1,0))*IF(XLOOKUP($K31,'Pokemon Editor'!$A:$A,'Pokemon Editor'!$D:$D,"")="",1,INDEX('Type Chart'!$B:$S,MATCH(mtype,'Type Chart'!$A:$A,0),MATCH(XLOOKUP($K31,'Pokemon Editor'!$A:$A,'Pokemon Editor'!$D:$D,""),'Type Chart'!$B$1:$S$1,0)))),base,IF(OR(cat="Status",pow=0),0,FLOOR(FLOOR(FLOOR((2*'Boss Editor'!$D$4/5+2)*pow*atk/def)/50)+2)),modifier,stab*eff,AVERAGE(ARRAYFORMULA(FLOOR(base*modifier*SEQUENCE(16,1,85,1)/100)))/(FLOOR(((2*XLOOKUP($K31,'Pokemon Editor'!$A:$A,'Pokemon Editor'!$E:$E,0)+31+FLOOR($O31/4))*$L31)/100)+$L31+10)),0)</f>
        <v/>
      </c>
      <c r="F31" s="3">
        <f>FLOOR((FLOOR(((2*XLOOKUP($K31,'Pokemon Editor'!$A:$A,'Pokemon Editor'!$J:$J,0)+31+FLOOR($T31/4))*$L31)/100)+5)*XLOOKUP($M31,'Nature Editor'!$A:$A,'Nature Editor'!$F:$F,1))</f>
        <v/>
      </c>
      <c r="G31" s="3">
        <f>FLOOR((FLOOR(((2*XLOOKUP('Boss Editor'!$C$4,'Pokemon Editor'!$A:$A,'Pokemon Editor'!$J:$J,0)+31+FLOOR('Boss Editor'!$L$4/4))*'Boss Editor'!$D$4)/100)+5)*XLOOKUP('Boss Editor'!$E$4,'Nature Editor'!$A:$A,'Nature Editor'!$F:$F,1))</f>
        <v/>
      </c>
      <c r="H31" s="3">
        <f>IF(F31&gt;G31,"Yes","No")</f>
        <v/>
      </c>
      <c r="I31" s="3">
        <f>C31-E31</f>
        <v/>
      </c>
      <c r="J31" s="3">
        <f>IFS(AND(C31&gt;=0.5,E31&lt;0.5),"Dominant",AND(C31&gt;=0.35,E31&lt;0.75),"Strong",AND(C31&gt;=0.25,E31&lt;1),"Viable",AND(C31&gt;=0.15,E31&lt;1.25),"Risky",TRUE,"Poor")</f>
        <v/>
      </c>
      <c r="K31" s="3">
        <f>REDUCE($Y31,SEQUENCE(2),LAMBDA(current_species,unused_step,IFERROR(INDEX(FILTER('Evolution Editor'!$D$2:$D,'Evolution Editor'!$A$2:$A=current_species,'Evolution Editor'!$F$2:$F=TRUE,'Evolution Editor'!$E$2:$E&lt;=$L31),1),current_species)))</f>
        <v/>
      </c>
      <c r="L31" s="5" t="n">
        <v>15</v>
      </c>
      <c r="M31" s="5" t="inlineStr">
        <is>
          <t>Neutral</t>
        </is>
      </c>
      <c r="N31" s="5" t="inlineStr">
        <is>
          <t>ABILITY_LEAF_GUARD</t>
        </is>
      </c>
      <c r="O31" s="5" t="n">
        <v>0</v>
      </c>
      <c r="P31" s="5" t="n">
        <v>0</v>
      </c>
      <c r="Q31" s="5" t="n">
        <v>0</v>
      </c>
      <c r="R31" s="5" t="n">
        <v>0</v>
      </c>
      <c r="S31" s="5" t="n">
        <v>0</v>
      </c>
      <c r="T31" s="5" t="n">
        <v>0</v>
      </c>
      <c r="U31" s="3">
        <f>IFERROR(LET(mtype,XLOOKUP($B31,'Move Editor'!$B:$B,'Move Editor'!$C:$C,""),cat,XLOOKUP($B31,'Move Editor'!$B:$B,'Move Editor'!$D:$D,""),pow,XLOOKUP($B31,'Move Editor'!$B:$B,'Move Editor'!$E:$E,0),acc,XLOOKUP($B31,'Move Editor'!$B:$B,'Move Editor'!$F:$F,100),atk,IF(cat="Physical",FLOOR((FLOOR(((2*XLOOKUP($K31,'Pokemon Editor'!$A:$A,'Pokemon Editor'!$F:$F,0)+31+FLOOR($P31/4))*$L31)/100)+5)*XLOOKUP($M31,'Nature Editor'!$A:$A,'Nature Editor'!$B:$B,1)),FLOOR((FLOOR(((2*XLOOKUP($K31,'Pokemon Editor'!$A:$A,'Pokemon Editor'!$H:$H,0)+31+FLOOR($R31/4))*$L31)/100)+5)*XLOOKUP($M31,'Nature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Editor'!$E:$E,1))),stab,IF(OR(mtype=XLOOKUP($K31,'Pokemon Editor'!$A:$A,'Pokemon Editor'!$C:$C,""),mtype=XLOOKUP($K31,'Pokemon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Chart'!$B$1:$S$1,0)))),base,IF(OR(cat="Status",pow=0),0,FLOOR(FLOOR(FLOOR((2*$L31/5+2)*pow*atk/def)/50)+2)),modifier,stab*eff,FLOOR(base*modifier*0.85)),0)</f>
        <v/>
      </c>
      <c r="V31" s="3">
        <f>IFERROR(LET(mtype,XLOOKUP($B31,'Move Editor'!$B:$B,'Move Editor'!$C:$C,""),cat,XLOOKUP($B31,'Move Editor'!$B:$B,'Move Editor'!$D:$D,""),pow,XLOOKUP($B31,'Move Editor'!$B:$B,'Move Editor'!$E:$E,0),acc,XLOOKUP($B31,'Move Editor'!$B:$B,'Move Editor'!$F:$F,100),atk,IF(cat="Physical",FLOOR((FLOOR(((2*XLOOKUP($K31,'Pokemon Editor'!$A:$A,'Pokemon Editor'!$F:$F,0)+31+FLOOR($P31/4))*$L31)/100)+5)*XLOOKUP($M31,'Nature Editor'!$A:$A,'Nature Editor'!$B:$B,1)),FLOOR((FLOOR(((2*XLOOKUP($K31,'Pokemon Editor'!$A:$A,'Pokemon Editor'!$H:$H,0)+31+FLOOR($R31/4))*$L31)/100)+5)*XLOOKUP($M31,'Nature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Editor'!$E:$E,1))),stab,IF(OR(mtype=XLOOKUP($K31,'Pokemon Editor'!$A:$A,'Pokemon Editor'!$C:$C,""),mtype=XLOOKUP($K31,'Pokemon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Chart'!$B$1:$S$1,0)))),base,IF(OR(cat="Status",pow=0),0,FLOOR(FLOOR(FLOOR((2*$L31/5+2)*pow*atk/def)/50)+2)),modifier,stab*eff,FLOOR(base*modifier)),0)</f>
        <v/>
      </c>
      <c r="W31" s="3">
        <f>IFERROR(LET(mtype,XLOOKUP($D31,'Move Editor'!$B:$B,'Move Editor'!$C:$C,""),cat,XLOOKUP($D31,'Move Editor'!$B:$B,'Move Editor'!$D:$D,""),pow,XLOOKUP($D31,'Move Editor'!$B:$B,'Move Editor'!$E:$E,0),acc,XLOOKUP($D31,'Move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Editor'!$D:$D,1))),def,IF(cat="Physical",FLOOR((FLOOR(((2*XLOOKUP($K31,'Pokemon Editor'!$A:$A,'Pokemon Editor'!$G:$G,0)+31+FLOOR($Q31/4))*$L31)/100)+5)*XLOOKUP($M31,'Nature Editor'!$A:$A,'Nature Editor'!$C:$C,1)),FLOOR((FLOOR(((2*XLOOKUP($K31,'Pokemon Editor'!$A:$A,'Pokemon Editor'!$I:$I,0)+31+FLOOR($S31/4))*$L31)/100)+5)*XLOOKUP($M31,'Nature Editor'!$A:$A,'Nature Editor'!$E:$E,1))),stab,IF(OR(mtype=XLOOKUP('Boss Editor'!$C$4,'Pokemon Editor'!$A:$A,'Pokemon Editor'!$C:$C,""),mtype=XLOOKUP('Boss Editor'!$C$4,'Pokemon Editor'!$A:$A,'Pokemon Editor'!$D:$D,"")),1.5,1),eff,(INDEX('Type Chart'!$B:$S,MATCH(mtype,'Type Chart'!$A:$A,0),MATCH(XLOOKUP($K31,'Pokemon Editor'!$A:$A,'Pokemon Editor'!$C:$C,""),'Type Chart'!$B$1:$S$1,0))*IF(XLOOKUP($K31,'Pokemon Editor'!$A:$A,'Pokemon Editor'!$D:$D,"")="",1,INDEX('Type Chart'!$B:$S,MATCH(mtype,'Type Chart'!$A:$A,0),MATCH(XLOOKUP($K31,'Pokemon Editor'!$A:$A,'Pokemon Editor'!$D:$D,""),'Type Chart'!$B$1:$S$1,0)))),base,IF(OR(cat="Status",pow=0),0,FLOOR(FLOOR(FLOOR((2*'Boss Editor'!$D$4/5+2)*pow*atk/def)/50)+2)),modifier,stab*eff,FLOOR(base*modifier*0.85)),0)</f>
        <v/>
      </c>
      <c r="X31" s="3">
        <f>IFERROR(LET(mtype,XLOOKUP($D31,'Move Editor'!$B:$B,'Move Editor'!$C:$C,""),cat,XLOOKUP($D31,'Move Editor'!$B:$B,'Move Editor'!$D:$D,""),pow,XLOOKUP($D31,'Move Editor'!$B:$B,'Move Editor'!$E:$E,0),acc,XLOOKUP($D31,'Move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Editor'!$D:$D,1))),def,IF(cat="Physical",FLOOR((FLOOR(((2*XLOOKUP($K31,'Pokemon Editor'!$A:$A,'Pokemon Editor'!$G:$G,0)+31+FLOOR($Q31/4))*$L31)/100)+5)*XLOOKUP($M31,'Nature Editor'!$A:$A,'Nature Editor'!$C:$C,1)),FLOOR((FLOOR(((2*XLOOKUP($K31,'Pokemon Editor'!$A:$A,'Pokemon Editor'!$I:$I,0)+31+FLOOR($S31/4))*$L31)/100)+5)*XLOOKUP($M31,'Nature Editor'!$A:$A,'Nature Editor'!$E:$E,1))),stab,IF(OR(mtype=XLOOKUP('Boss Editor'!$C$4,'Pokemon Editor'!$A:$A,'Pokemon Editor'!$C:$C,""),mtype=XLOOKUP('Boss Editor'!$C$4,'Pokemon Editor'!$A:$A,'Pokemon Editor'!$D:$D,"")),1.5,1),eff,(INDEX('Type Chart'!$B:$S,MATCH(mtype,'Type Chart'!$A:$A,0),MATCH(XLOOKUP($K31,'Pokemon Editor'!$A:$A,'Pokemon Editor'!$C:$C,""),'Type Chart'!$B$1:$S$1,0))*IF(XLOOKUP($K31,'Pokemon Editor'!$A:$A,'Pokemon Editor'!$D:$D,"")="",1,INDEX('Type Chart'!$B:$S,MATCH(mtype,'Type Chart'!$A:$A,0),MATCH(XLOOKUP($K31,'Pokemon Editor'!$A:$A,'Pokemon Editor'!$D:$D,""),'Type Chart'!$B$1:$S$1,0)))),base,IF(OR(cat="Status",pow=0),0,FLOOR(FLOOR(FLOOR((2*'Boss Editor'!$D$4/5+2)*pow*atk/def)/50)+2)),modifier,stab*eff,FLOOR(base*modifier)),0)</f>
        <v/>
      </c>
      <c r="Y31" s="3" t="inlineStr">
        <is>
          <t>SPECIES_BOUNSWEET</t>
        </is>
      </c>
      <c r="Z31" s="5" t="inlineStr"/>
    </row>
    <row r="32">
      <c r="A32" s="3">
        <f>XLOOKUP(K32,'Pokemon Editor'!$A:$A,'Pokemon Editor'!$B:$B,K32)</f>
        <v/>
      </c>
      <c r="B32" s="3">
        <f>IF($Z32&lt;&gt;"",$Z32,IFERROR(INDEX(FILTER('Move Comparison'!$D$2:$D,'Move Comparison'!$Q$2:$Q=$Y32,'Move Comparison'!$M$2:$M=MAXIFS('Move Comparison'!$M$2:$M,'Move Comparison'!$Q$2:$Q,$Y32),'Move Comparison'!$D$2:$D&lt;&gt;""),1),""))</f>
        <v/>
      </c>
      <c r="C32" s="4">
        <f>IFERROR(LET(mtype,XLOOKUP($B32,'Move Editor'!$B:$B,'Move Editor'!$C:$C,""),cat,XLOOKUP($B32,'Move Editor'!$B:$B,'Move Editor'!$D:$D,""),pow,XLOOKUP($B32,'Move Editor'!$B:$B,'Move Editor'!$E:$E,0),acc,XLOOKUP($B32,'Move Editor'!$B:$B,'Move Editor'!$F:$F,100),atk,IF(cat="Physical",FLOOR((FLOOR(((2*XLOOKUP($K32,'Pokemon Editor'!$A:$A,'Pokemon Editor'!$F:$F,0)+31+FLOOR($P32/4))*$L32)/100)+5)*XLOOKUP($M32,'Nature Editor'!$A:$A,'Nature Editor'!$B:$B,1)),FLOOR((FLOOR(((2*XLOOKUP($K32,'Pokemon Editor'!$A:$A,'Pokemon Editor'!$H:$H,0)+31+FLOOR($R32/4))*$L32)/100)+5)*XLOOKUP($M32,'Nature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Editor'!$E:$E,1))),stab,IF(OR(mtype=XLOOKUP($K32,'Pokemon Editor'!$A:$A,'Pokemon Editor'!$C:$C,""),mtype=XLOOKUP($K32,'Pokemon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Chart'!$B$1:$S$1,0)))),base,IF(OR(cat="Status",pow=0),0,FLOOR(FLOOR(FLOOR((2*$L32/5+2)*pow*atk/def)/50)+2)),modifier,stab*eff,AVERAGE(ARRAYFORMULA(FLOOR(base*modifier*SEQUENCE(16,1,85,1)/100)))/(FLOOR(((2*XLOOKUP('Boss Editor'!$C$4,'Pokemon Editor'!$A:$A,'Pokemon Editor'!$E:$E,0)+31+FLOOR('Boss Editor'!$G$4/4))*'Boss Editor'!$D$4)/100)+'Boss Editor'!$D$4+10)),0)</f>
        <v/>
      </c>
      <c r="D32" s="5" t="inlineStr">
        <is>
          <t>Acid</t>
        </is>
      </c>
      <c r="E32" s="4">
        <f>IFERROR(LET(mtype,XLOOKUP($D32,'Move Editor'!$B:$B,'Move Editor'!$C:$C,""),cat,XLOOKUP($D32,'Move Editor'!$B:$B,'Move Editor'!$D:$D,""),pow,XLOOKUP($D32,'Move Editor'!$B:$B,'Move Editor'!$E:$E,0),acc,XLOOKUP($D32,'Move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Editor'!$D:$D,1))),def,IF(cat="Physical",FLOOR((FLOOR(((2*XLOOKUP($K32,'Pokemon Editor'!$A:$A,'Pokemon Editor'!$G:$G,0)+31+FLOOR($Q32/4))*$L32)/100)+5)*XLOOKUP($M32,'Nature Editor'!$A:$A,'Nature Editor'!$C:$C,1)),FLOOR((FLOOR(((2*XLOOKUP($K32,'Pokemon Editor'!$A:$A,'Pokemon Editor'!$I:$I,0)+31+FLOOR($S32/4))*$L32)/100)+5)*XLOOKUP($M32,'Nature Editor'!$A:$A,'Nature Editor'!$E:$E,1))),stab,IF(OR(mtype=XLOOKUP('Boss Editor'!$C$4,'Pokemon Editor'!$A:$A,'Pokemon Editor'!$C:$C,""),mtype=XLOOKUP('Boss Editor'!$C$4,'Pokemon Editor'!$A:$A,'Pokemon Editor'!$D:$D,"")),1.5,1),eff,(INDEX('Type Chart'!$B:$S,MATCH(mtype,'Type Chart'!$A:$A,0),MATCH(XLOOKUP($K32,'Pokemon Editor'!$A:$A,'Pokemon Editor'!$C:$C,""),'Type Chart'!$B$1:$S$1,0))*IF(XLOOKUP($K32,'Pokemon Editor'!$A:$A,'Pokemon Editor'!$D:$D,"")="",1,INDEX('Type Chart'!$B:$S,MATCH(mtype,'Type Chart'!$A:$A,0),MATCH(XLOOKUP($K32,'Pokemon Editor'!$A:$A,'Pokemon Editor'!$D:$D,""),'Type Chart'!$B$1:$S$1,0)))),base,IF(OR(cat="Status",pow=0),0,FLOOR(FLOOR(FLOOR((2*'Boss Editor'!$D$4/5+2)*pow*atk/def)/50)+2)),modifier,stab*eff,AVERAGE(ARRAYFORMULA(FLOOR(base*modifier*SEQUENCE(16,1,85,1)/100)))/(FLOOR(((2*XLOOKUP($K32,'Pokemon Editor'!$A:$A,'Pokemon Editor'!$E:$E,0)+31+FLOOR($O32/4))*$L32)/100)+$L32+10)),0)</f>
        <v/>
      </c>
      <c r="F32" s="3">
        <f>FLOOR((FLOOR(((2*XLOOKUP($K32,'Pokemon Editor'!$A:$A,'Pokemon Editor'!$J:$J,0)+31+FLOOR($T32/4))*$L32)/100)+5)*XLOOKUP($M32,'Nature Editor'!$A:$A,'Nature Editor'!$F:$F,1))</f>
        <v/>
      </c>
      <c r="G32" s="3">
        <f>FLOOR((FLOOR(((2*XLOOKUP('Boss Editor'!$C$4,'Pokemon Editor'!$A:$A,'Pokemon Editor'!$J:$J,0)+31+FLOOR('Boss Editor'!$L$4/4))*'Boss Editor'!$D$4)/100)+5)*XLOOKUP('Boss Editor'!$E$4,'Nature Editor'!$A:$A,'Nature Editor'!$F:$F,1))</f>
        <v/>
      </c>
      <c r="H32" s="3">
        <f>IF(F32&gt;G32,"Yes","No")</f>
        <v/>
      </c>
      <c r="I32" s="3">
        <f>C32-E32</f>
        <v/>
      </c>
      <c r="J32" s="3">
        <f>IFS(AND(C32&gt;=0.5,E32&lt;0.5),"Dominant",AND(C32&gt;=0.35,E32&lt;0.75),"Strong",AND(C32&gt;=0.25,E32&lt;1),"Viable",AND(C32&gt;=0.15,E32&lt;1.25),"Risky",TRUE,"Poor")</f>
        <v/>
      </c>
      <c r="K32" s="3">
        <f>REDUCE($Y32,SEQUENCE(2),LAMBDA(current_species,unused_step,IFERROR(INDEX(FILTER('Evolution Editor'!$D$2:$D,'Evolution Editor'!$A$2:$A=current_species,'Evolution Editor'!$F$2:$F=TRUE,'Evolution Editor'!$E$2:$E&lt;=$L32),1),current_species)))</f>
        <v/>
      </c>
      <c r="L32" s="5" t="n">
        <v>15</v>
      </c>
      <c r="M32" s="5" t="inlineStr">
        <is>
          <t>Neutral</t>
        </is>
      </c>
      <c r="N32" s="5" t="inlineStr">
        <is>
          <t>ABILITY_HONEY_GATHER</t>
        </is>
      </c>
      <c r="O32" s="5" t="n">
        <v>0</v>
      </c>
      <c r="P32" s="5" t="n">
        <v>0</v>
      </c>
      <c r="Q32" s="5" t="n">
        <v>0</v>
      </c>
      <c r="R32" s="5" t="n">
        <v>0</v>
      </c>
      <c r="S32" s="5" t="n">
        <v>0</v>
      </c>
      <c r="T32" s="5" t="n">
        <v>0</v>
      </c>
      <c r="U32" s="3">
        <f>IFERROR(LET(mtype,XLOOKUP($B32,'Move Editor'!$B:$B,'Move Editor'!$C:$C,""),cat,XLOOKUP($B32,'Move Editor'!$B:$B,'Move Editor'!$D:$D,""),pow,XLOOKUP($B32,'Move Editor'!$B:$B,'Move Editor'!$E:$E,0),acc,XLOOKUP($B32,'Move Editor'!$B:$B,'Move Editor'!$F:$F,100),atk,IF(cat="Physical",FLOOR((FLOOR(((2*XLOOKUP($K32,'Pokemon Editor'!$A:$A,'Pokemon Editor'!$F:$F,0)+31+FLOOR($P32/4))*$L32)/100)+5)*XLOOKUP($M32,'Nature Editor'!$A:$A,'Nature Editor'!$B:$B,1)),FLOOR((FLOOR(((2*XLOOKUP($K32,'Pokemon Editor'!$A:$A,'Pokemon Editor'!$H:$H,0)+31+FLOOR($R32/4))*$L32)/100)+5)*XLOOKUP($M32,'Nature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Editor'!$E:$E,1))),stab,IF(OR(mtype=XLOOKUP($K32,'Pokemon Editor'!$A:$A,'Pokemon Editor'!$C:$C,""),mtype=XLOOKUP($K32,'Pokemon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Chart'!$B$1:$S$1,0)))),base,IF(OR(cat="Status",pow=0),0,FLOOR(FLOOR(FLOOR((2*$L32/5+2)*pow*atk/def)/50)+2)),modifier,stab*eff,FLOOR(base*modifier*0.85)),0)</f>
        <v/>
      </c>
      <c r="V32" s="3">
        <f>IFERROR(LET(mtype,XLOOKUP($B32,'Move Editor'!$B:$B,'Move Editor'!$C:$C,""),cat,XLOOKUP($B32,'Move Editor'!$B:$B,'Move Editor'!$D:$D,""),pow,XLOOKUP($B32,'Move Editor'!$B:$B,'Move Editor'!$E:$E,0),acc,XLOOKUP($B32,'Move Editor'!$B:$B,'Move Editor'!$F:$F,100),atk,IF(cat="Physical",FLOOR((FLOOR(((2*XLOOKUP($K32,'Pokemon Editor'!$A:$A,'Pokemon Editor'!$F:$F,0)+31+FLOOR($P32/4))*$L32)/100)+5)*XLOOKUP($M32,'Nature Editor'!$A:$A,'Nature Editor'!$B:$B,1)),FLOOR((FLOOR(((2*XLOOKUP($K32,'Pokemon Editor'!$A:$A,'Pokemon Editor'!$H:$H,0)+31+FLOOR($R32/4))*$L32)/100)+5)*XLOOKUP($M32,'Nature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Editor'!$E:$E,1))),stab,IF(OR(mtype=XLOOKUP($K32,'Pokemon Editor'!$A:$A,'Pokemon Editor'!$C:$C,""),mtype=XLOOKUP($K32,'Pokemon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Chart'!$B$1:$S$1,0)))),base,IF(OR(cat="Status",pow=0),0,FLOOR(FLOOR(FLOOR((2*$L32/5+2)*pow*atk/def)/50)+2)),modifier,stab*eff,FLOOR(base*modifier)),0)</f>
        <v/>
      </c>
      <c r="W32" s="3">
        <f>IFERROR(LET(mtype,XLOOKUP($D32,'Move Editor'!$B:$B,'Move Editor'!$C:$C,""),cat,XLOOKUP($D32,'Move Editor'!$B:$B,'Move Editor'!$D:$D,""),pow,XLOOKUP($D32,'Move Editor'!$B:$B,'Move Editor'!$E:$E,0),acc,XLOOKUP($D32,'Move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Editor'!$D:$D,1))),def,IF(cat="Physical",FLOOR((FLOOR(((2*XLOOKUP($K32,'Pokemon Editor'!$A:$A,'Pokemon Editor'!$G:$G,0)+31+FLOOR($Q32/4))*$L32)/100)+5)*XLOOKUP($M32,'Nature Editor'!$A:$A,'Nature Editor'!$C:$C,1)),FLOOR((FLOOR(((2*XLOOKUP($K32,'Pokemon Editor'!$A:$A,'Pokemon Editor'!$I:$I,0)+31+FLOOR($S32/4))*$L32)/100)+5)*XLOOKUP($M32,'Nature Editor'!$A:$A,'Nature Editor'!$E:$E,1))),stab,IF(OR(mtype=XLOOKUP('Boss Editor'!$C$4,'Pokemon Editor'!$A:$A,'Pokemon Editor'!$C:$C,""),mtype=XLOOKUP('Boss Editor'!$C$4,'Pokemon Editor'!$A:$A,'Pokemon Editor'!$D:$D,"")),1.5,1),eff,(INDEX('Type Chart'!$B:$S,MATCH(mtype,'Type Chart'!$A:$A,0),MATCH(XLOOKUP($K32,'Pokemon Editor'!$A:$A,'Pokemon Editor'!$C:$C,""),'Type Chart'!$B$1:$S$1,0))*IF(XLOOKUP($K32,'Pokemon Editor'!$A:$A,'Pokemon Editor'!$D:$D,"")="",1,INDEX('Type Chart'!$B:$S,MATCH(mtype,'Type Chart'!$A:$A,0),MATCH(XLOOKUP($K32,'Pokemon Editor'!$A:$A,'Pokemon Editor'!$D:$D,""),'Type Chart'!$B$1:$S$1,0)))),base,IF(OR(cat="Status",pow=0),0,FLOOR(FLOOR(FLOOR((2*'Boss Editor'!$D$4/5+2)*pow*atk/def)/50)+2)),modifier,stab*eff,FLOOR(base*modifier*0.85)),0)</f>
        <v/>
      </c>
      <c r="X32" s="3">
        <f>IFERROR(LET(mtype,XLOOKUP($D32,'Move Editor'!$B:$B,'Move Editor'!$C:$C,""),cat,XLOOKUP($D32,'Move Editor'!$B:$B,'Move Editor'!$D:$D,""),pow,XLOOKUP($D32,'Move Editor'!$B:$B,'Move Editor'!$E:$E,0),acc,XLOOKUP($D32,'Move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Editor'!$D:$D,1))),def,IF(cat="Physical",FLOOR((FLOOR(((2*XLOOKUP($K32,'Pokemon Editor'!$A:$A,'Pokemon Editor'!$G:$G,0)+31+FLOOR($Q32/4))*$L32)/100)+5)*XLOOKUP($M32,'Nature Editor'!$A:$A,'Nature Editor'!$C:$C,1)),FLOOR((FLOOR(((2*XLOOKUP($K32,'Pokemon Editor'!$A:$A,'Pokemon Editor'!$I:$I,0)+31+FLOOR($S32/4))*$L32)/100)+5)*XLOOKUP($M32,'Nature Editor'!$A:$A,'Nature Editor'!$E:$E,1))),stab,IF(OR(mtype=XLOOKUP('Boss Editor'!$C$4,'Pokemon Editor'!$A:$A,'Pokemon Editor'!$C:$C,""),mtype=XLOOKUP('Boss Editor'!$C$4,'Pokemon Editor'!$A:$A,'Pokemon Editor'!$D:$D,"")),1.5,1),eff,(INDEX('Type Chart'!$B:$S,MATCH(mtype,'Type Chart'!$A:$A,0),MATCH(XLOOKUP($K32,'Pokemon Editor'!$A:$A,'Pokemon Editor'!$C:$C,""),'Type Chart'!$B$1:$S$1,0))*IF(XLOOKUP($K32,'Pokemon Editor'!$A:$A,'Pokemon Editor'!$D:$D,"")="",1,INDEX('Type Chart'!$B:$S,MATCH(mtype,'Type Chart'!$A:$A,0),MATCH(XLOOKUP($K32,'Pokemon Editor'!$A:$A,'Pokemon Editor'!$D:$D,""),'Type Chart'!$B$1:$S$1,0)))),base,IF(OR(cat="Status",pow=0),0,FLOOR(FLOOR(FLOOR((2*'Boss Editor'!$D$4/5+2)*pow*atk/def)/50)+2)),modifier,stab*eff,FLOOR(base*modifier)),0)</f>
        <v/>
      </c>
      <c r="Y32" s="3" t="inlineStr">
        <is>
          <t>SPECIES_CUTIEFLY</t>
        </is>
      </c>
      <c r="Z32" s="5" t="inlineStr"/>
    </row>
    <row r="33">
      <c r="A33" s="3">
        <f>XLOOKUP(K33,'Pokemon Editor'!$A:$A,'Pokemon Editor'!$B:$B,K33)</f>
        <v/>
      </c>
      <c r="B33" s="3">
        <f>IF($Z33&lt;&gt;"",$Z33,IFERROR(INDEX(FILTER('Move Comparison'!$D$2:$D,'Move Comparison'!$Q$2:$Q=$Y33,'Move Comparison'!$M$2:$M=MAXIFS('Move Comparison'!$M$2:$M,'Move Comparison'!$Q$2:$Q,$Y33),'Move Comparison'!$D$2:$D&lt;&gt;""),1),""))</f>
        <v/>
      </c>
      <c r="C33" s="4">
        <f>IFERROR(LET(mtype,XLOOKUP($B33,'Move Editor'!$B:$B,'Move Editor'!$C:$C,""),cat,XLOOKUP($B33,'Move Editor'!$B:$B,'Move Editor'!$D:$D,""),pow,XLOOKUP($B33,'Move Editor'!$B:$B,'Move Editor'!$E:$E,0),acc,XLOOKUP($B33,'Move Editor'!$B:$B,'Move Editor'!$F:$F,100),atk,IF(cat="Physical",FLOOR((FLOOR(((2*XLOOKUP($K33,'Pokemon Editor'!$A:$A,'Pokemon Editor'!$F:$F,0)+31+FLOOR($P33/4))*$L33)/100)+5)*XLOOKUP($M33,'Nature Editor'!$A:$A,'Nature Editor'!$B:$B,1)),FLOOR((FLOOR(((2*XLOOKUP($K33,'Pokemon Editor'!$A:$A,'Pokemon Editor'!$H:$H,0)+31+FLOOR($R33/4))*$L33)/100)+5)*XLOOKUP($M33,'Nature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Editor'!$E:$E,1))),stab,IF(OR(mtype=XLOOKUP($K33,'Pokemon Editor'!$A:$A,'Pokemon Editor'!$C:$C,""),mtype=XLOOKUP($K33,'Pokemon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Chart'!$B$1:$S$1,0)))),base,IF(OR(cat="Status",pow=0),0,FLOOR(FLOOR(FLOOR((2*$L33/5+2)*pow*atk/def)/50)+2)),modifier,stab*eff,AVERAGE(ARRAYFORMULA(FLOOR(base*modifier*SEQUENCE(16,1,85,1)/100)))/(FLOOR(((2*XLOOKUP('Boss Editor'!$C$4,'Pokemon Editor'!$A:$A,'Pokemon Editor'!$E:$E,0)+31+FLOOR('Boss Editor'!$G$4/4))*'Boss Editor'!$D$4)/100)+'Boss Editor'!$D$4+10)),0)</f>
        <v/>
      </c>
      <c r="D33" s="5" t="inlineStr">
        <is>
          <t>Acid</t>
        </is>
      </c>
      <c r="E33" s="4">
        <f>IFERROR(LET(mtype,XLOOKUP($D33,'Move Editor'!$B:$B,'Move Editor'!$C:$C,""),cat,XLOOKUP($D33,'Move Editor'!$B:$B,'Move Editor'!$D:$D,""),pow,XLOOKUP($D33,'Move Editor'!$B:$B,'Move Editor'!$E:$E,0),acc,XLOOKUP($D33,'Move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Editor'!$D:$D,1))),def,IF(cat="Physical",FLOOR((FLOOR(((2*XLOOKUP($K33,'Pokemon Editor'!$A:$A,'Pokemon Editor'!$G:$G,0)+31+FLOOR($Q33/4))*$L33)/100)+5)*XLOOKUP($M33,'Nature Editor'!$A:$A,'Nature Editor'!$C:$C,1)),FLOOR((FLOOR(((2*XLOOKUP($K33,'Pokemon Editor'!$A:$A,'Pokemon Editor'!$I:$I,0)+31+FLOOR($S33/4))*$L33)/100)+5)*XLOOKUP($M33,'Nature Editor'!$A:$A,'Nature Editor'!$E:$E,1))),stab,IF(OR(mtype=XLOOKUP('Boss Editor'!$C$4,'Pokemon Editor'!$A:$A,'Pokemon Editor'!$C:$C,""),mtype=XLOOKUP('Boss Editor'!$C$4,'Pokemon Editor'!$A:$A,'Pokemon Editor'!$D:$D,"")),1.5,1),eff,(INDEX('Type Chart'!$B:$S,MATCH(mtype,'Type Chart'!$A:$A,0),MATCH(XLOOKUP($K33,'Pokemon Editor'!$A:$A,'Pokemon Editor'!$C:$C,""),'Type Chart'!$B$1:$S$1,0))*IF(XLOOKUP($K33,'Pokemon Editor'!$A:$A,'Pokemon Editor'!$D:$D,"")="",1,INDEX('Type Chart'!$B:$S,MATCH(mtype,'Type Chart'!$A:$A,0),MATCH(XLOOKUP($K33,'Pokemon Editor'!$A:$A,'Pokemon Editor'!$D:$D,""),'Type Chart'!$B$1:$S$1,0)))),base,IF(OR(cat="Status",pow=0),0,FLOOR(FLOOR(FLOOR((2*'Boss Editor'!$D$4/5+2)*pow*atk/def)/50)+2)),modifier,stab*eff,AVERAGE(ARRAYFORMULA(FLOOR(base*modifier*SEQUENCE(16,1,85,1)/100)))/(FLOOR(((2*XLOOKUP($K33,'Pokemon Editor'!$A:$A,'Pokemon Editor'!$E:$E,0)+31+FLOOR($O33/4))*$L33)/100)+$L33+10)),0)</f>
        <v/>
      </c>
      <c r="F33" s="3">
        <f>FLOOR((FLOOR(((2*XLOOKUP($K33,'Pokemon Editor'!$A:$A,'Pokemon Editor'!$J:$J,0)+31+FLOOR($T33/4))*$L33)/100)+5)*XLOOKUP($M33,'Nature Editor'!$A:$A,'Nature Editor'!$F:$F,1))</f>
        <v/>
      </c>
      <c r="G33" s="3">
        <f>FLOOR((FLOOR(((2*XLOOKUP('Boss Editor'!$C$4,'Pokemon Editor'!$A:$A,'Pokemon Editor'!$J:$J,0)+31+FLOOR('Boss Editor'!$L$4/4))*'Boss Editor'!$D$4)/100)+5)*XLOOKUP('Boss Editor'!$E$4,'Nature Editor'!$A:$A,'Nature Editor'!$F:$F,1))</f>
        <v/>
      </c>
      <c r="H33" s="3">
        <f>IF(F33&gt;G33,"Yes","No")</f>
        <v/>
      </c>
      <c r="I33" s="3">
        <f>C33-E33</f>
        <v/>
      </c>
      <c r="J33" s="3">
        <f>IFS(AND(C33&gt;=0.5,E33&lt;0.5),"Dominant",AND(C33&gt;=0.35,E33&lt;0.75),"Strong",AND(C33&gt;=0.25,E33&lt;1),"Viable",AND(C33&gt;=0.15,E33&lt;1.25),"Risky",TRUE,"Poor")</f>
        <v/>
      </c>
      <c r="K33" s="3">
        <f>REDUCE($Y33,SEQUENCE(2),LAMBDA(current_species,unused_step,IFERROR(INDEX(FILTER('Evolution Editor'!$D$2:$D,'Evolution Editor'!$A$2:$A=current_species,'Evolution Editor'!$F$2:$F=TRUE,'Evolution Editor'!$E$2:$E&lt;=$L33),1),current_species)))</f>
        <v/>
      </c>
      <c r="L33" s="5" t="n">
        <v>15</v>
      </c>
      <c r="M33" s="5" t="inlineStr">
        <is>
          <t>Neutral</t>
        </is>
      </c>
      <c r="N33" s="5" t="inlineStr">
        <is>
          <t>ABILITY_CUTE_CHARM</t>
        </is>
      </c>
      <c r="O33" s="5" t="n">
        <v>0</v>
      </c>
      <c r="P33" s="5" t="n">
        <v>0</v>
      </c>
      <c r="Q33" s="5" t="n">
        <v>0</v>
      </c>
      <c r="R33" s="5" t="n">
        <v>0</v>
      </c>
      <c r="S33" s="5" t="n">
        <v>0</v>
      </c>
      <c r="T33" s="5" t="n">
        <v>0</v>
      </c>
      <c r="U33" s="3">
        <f>IFERROR(LET(mtype,XLOOKUP($B33,'Move Editor'!$B:$B,'Move Editor'!$C:$C,""),cat,XLOOKUP($B33,'Move Editor'!$B:$B,'Move Editor'!$D:$D,""),pow,XLOOKUP($B33,'Move Editor'!$B:$B,'Move Editor'!$E:$E,0),acc,XLOOKUP($B33,'Move Editor'!$B:$B,'Move Editor'!$F:$F,100),atk,IF(cat="Physical",FLOOR((FLOOR(((2*XLOOKUP($K33,'Pokemon Editor'!$A:$A,'Pokemon Editor'!$F:$F,0)+31+FLOOR($P33/4))*$L33)/100)+5)*XLOOKUP($M33,'Nature Editor'!$A:$A,'Nature Editor'!$B:$B,1)),FLOOR((FLOOR(((2*XLOOKUP($K33,'Pokemon Editor'!$A:$A,'Pokemon Editor'!$H:$H,0)+31+FLOOR($R33/4))*$L33)/100)+5)*XLOOKUP($M33,'Nature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Editor'!$E:$E,1))),stab,IF(OR(mtype=XLOOKUP($K33,'Pokemon Editor'!$A:$A,'Pokemon Editor'!$C:$C,""),mtype=XLOOKUP($K33,'Pokemon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Chart'!$B$1:$S$1,0)))),base,IF(OR(cat="Status",pow=0),0,FLOOR(FLOOR(FLOOR((2*$L33/5+2)*pow*atk/def)/50)+2)),modifier,stab*eff,FLOOR(base*modifier*0.85)),0)</f>
        <v/>
      </c>
      <c r="V33" s="3">
        <f>IFERROR(LET(mtype,XLOOKUP($B33,'Move Editor'!$B:$B,'Move Editor'!$C:$C,""),cat,XLOOKUP($B33,'Move Editor'!$B:$B,'Move Editor'!$D:$D,""),pow,XLOOKUP($B33,'Move Editor'!$B:$B,'Move Editor'!$E:$E,0),acc,XLOOKUP($B33,'Move Editor'!$B:$B,'Move Editor'!$F:$F,100),atk,IF(cat="Physical",FLOOR((FLOOR(((2*XLOOKUP($K33,'Pokemon Editor'!$A:$A,'Pokemon Editor'!$F:$F,0)+31+FLOOR($P33/4))*$L33)/100)+5)*XLOOKUP($M33,'Nature Editor'!$A:$A,'Nature Editor'!$B:$B,1)),FLOOR((FLOOR(((2*XLOOKUP($K33,'Pokemon Editor'!$A:$A,'Pokemon Editor'!$H:$H,0)+31+FLOOR($R33/4))*$L33)/100)+5)*XLOOKUP($M33,'Nature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Editor'!$E:$E,1))),stab,IF(OR(mtype=XLOOKUP($K33,'Pokemon Editor'!$A:$A,'Pokemon Editor'!$C:$C,""),mtype=XLOOKUP($K33,'Pokemon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Chart'!$B$1:$S$1,0)))),base,IF(OR(cat="Status",pow=0),0,FLOOR(FLOOR(FLOOR((2*$L33/5+2)*pow*atk/def)/50)+2)),modifier,stab*eff,FLOOR(base*modifier)),0)</f>
        <v/>
      </c>
      <c r="W33" s="3">
        <f>IFERROR(LET(mtype,XLOOKUP($D33,'Move Editor'!$B:$B,'Move Editor'!$C:$C,""),cat,XLOOKUP($D33,'Move Editor'!$B:$B,'Move Editor'!$D:$D,""),pow,XLOOKUP($D33,'Move Editor'!$B:$B,'Move Editor'!$E:$E,0),acc,XLOOKUP($D33,'Move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Editor'!$D:$D,1))),def,IF(cat="Physical",FLOOR((FLOOR(((2*XLOOKUP($K33,'Pokemon Editor'!$A:$A,'Pokemon Editor'!$G:$G,0)+31+FLOOR($Q33/4))*$L33)/100)+5)*XLOOKUP($M33,'Nature Editor'!$A:$A,'Nature Editor'!$C:$C,1)),FLOOR((FLOOR(((2*XLOOKUP($K33,'Pokemon Editor'!$A:$A,'Pokemon Editor'!$I:$I,0)+31+FLOOR($S33/4))*$L33)/100)+5)*XLOOKUP($M33,'Nature Editor'!$A:$A,'Nature Editor'!$E:$E,1))),stab,IF(OR(mtype=XLOOKUP('Boss Editor'!$C$4,'Pokemon Editor'!$A:$A,'Pokemon Editor'!$C:$C,""),mtype=XLOOKUP('Boss Editor'!$C$4,'Pokemon Editor'!$A:$A,'Pokemon Editor'!$D:$D,"")),1.5,1),eff,(INDEX('Type Chart'!$B:$S,MATCH(mtype,'Type Chart'!$A:$A,0),MATCH(XLOOKUP($K33,'Pokemon Editor'!$A:$A,'Pokemon Editor'!$C:$C,""),'Type Chart'!$B$1:$S$1,0))*IF(XLOOKUP($K33,'Pokemon Editor'!$A:$A,'Pokemon Editor'!$D:$D,"")="",1,INDEX('Type Chart'!$B:$S,MATCH(mtype,'Type Chart'!$A:$A,0),MATCH(XLOOKUP($K33,'Pokemon Editor'!$A:$A,'Pokemon Editor'!$D:$D,""),'Type Chart'!$B$1:$S$1,0)))),base,IF(OR(cat="Status",pow=0),0,FLOOR(FLOOR(FLOOR((2*'Boss Editor'!$D$4/5+2)*pow*atk/def)/50)+2)),modifier,stab*eff,FLOOR(base*modifier*0.85)),0)</f>
        <v/>
      </c>
      <c r="X33" s="3">
        <f>IFERROR(LET(mtype,XLOOKUP($D33,'Move Editor'!$B:$B,'Move Editor'!$C:$C,""),cat,XLOOKUP($D33,'Move Editor'!$B:$B,'Move Editor'!$D:$D,""),pow,XLOOKUP($D33,'Move Editor'!$B:$B,'Move Editor'!$E:$E,0),acc,XLOOKUP($D33,'Move Editor'!$B:$B,'Move Editor'!$F:$F,100),atk,IF(cat="Physical",FLOOR((FLOOR(((2*XLOOKUP('Boss Editor'!$C$4,'Pokemon Editor'!$A:$A,'Pokemon Editor'!$F:$F,0)+31+FLOOR('Boss Editor'!$H$4/4))*'Boss Editor'!$D$4)/100)+5)*XLOOKUP('Boss Editor'!$E$4,'Nature Editor'!$A:$A,'Nature Editor'!$B:$B,1)),FLOOR((FLOOR(((2*XLOOKUP('Boss Editor'!$C$4,'Pokemon Editor'!$A:$A,'Pokemon Editor'!$H:$H,0)+31+FLOOR('Boss Editor'!$J$4/4))*'Boss Editor'!$D$4)/100)+5)*XLOOKUP('Boss Editor'!$E$4,'Nature Editor'!$A:$A,'Nature Editor'!$D:$D,1))),def,IF(cat="Physical",FLOOR((FLOOR(((2*XLOOKUP($K33,'Pokemon Editor'!$A:$A,'Pokemon Editor'!$G:$G,0)+31+FLOOR($Q33/4))*$L33)/100)+5)*XLOOKUP($M33,'Nature Editor'!$A:$A,'Nature Editor'!$C:$C,1)),FLOOR((FLOOR(((2*XLOOKUP($K33,'Pokemon Editor'!$A:$A,'Pokemon Editor'!$I:$I,0)+31+FLOOR($S33/4))*$L33)/100)+5)*XLOOKUP($M33,'Nature Editor'!$A:$A,'Nature Editor'!$E:$E,1))),stab,IF(OR(mtype=XLOOKUP('Boss Editor'!$C$4,'Pokemon Editor'!$A:$A,'Pokemon Editor'!$C:$C,""),mtype=XLOOKUP('Boss Editor'!$C$4,'Pokemon Editor'!$A:$A,'Pokemon Editor'!$D:$D,"")),1.5,1),eff,(INDEX('Type Chart'!$B:$S,MATCH(mtype,'Type Chart'!$A:$A,0),MATCH(XLOOKUP($K33,'Pokemon Editor'!$A:$A,'Pokemon Editor'!$C:$C,""),'Type Chart'!$B$1:$S$1,0))*IF(XLOOKUP($K33,'Pokemon Editor'!$A:$A,'Pokemon Editor'!$D:$D,"")="",1,INDEX('Type Chart'!$B:$S,MATCH(mtype,'Type Chart'!$A:$A,0),MATCH(XLOOKUP($K33,'Pokemon Editor'!$A:$A,'Pokemon Editor'!$D:$D,""),'Type Chart'!$B$1:$S$1,0)))),base,IF(OR(cat="Status",pow=0),0,FLOOR(FLOOR(FLOOR((2*'Boss Editor'!$D$4/5+2)*pow*atk/def)/50)+2)),modifier,stab*eff,FLOOR(base*modifier)),0)</f>
        <v/>
      </c>
      <c r="Y33" s="3" t="inlineStr">
        <is>
          <t>SPECIES_MINCCINO</t>
        </is>
      </c>
      <c r="Z33" s="5" t="inlineStr"/>
    </row>
  </sheetData>
  <autoFilter ref="A1:Z33"/>
  <conditionalFormatting sqref="C2:C33">
    <cfRule type="colorScale" priority="1">
      <colorScale>
        <cfvo type="min"/>
        <cfvo type="percentile" val="50"/>
        <cfvo type="max"/>
        <color rgb="0063BE7B"/>
        <color rgb="00FFEB84"/>
        <color rgb="00F8696B"/>
      </colorScale>
    </cfRule>
  </conditionalFormatting>
  <conditionalFormatting sqref="E2:E33">
    <cfRule type="colorScale" priority="2">
      <colorScale>
        <cfvo type="min"/>
        <cfvo type="percentile" val="50"/>
        <cfvo type="max"/>
        <color rgb="0063BE7B"/>
        <color rgb="00FFEB84"/>
        <color rgb="00F8696B"/>
      </colorScale>
    </cfRule>
    <cfRule type="colorScale" priority="3">
      <colorScale>
        <cfvo type="min"/>
        <cfvo type="percentile" val="50"/>
        <cfvo type="max"/>
        <color rgb="0063BE7B"/>
        <color rgb="00FFEB84"/>
        <color rgb="00F8696B"/>
      </colorScale>
    </cfRule>
  </conditionalFormatting>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R33"/>
  <sheetViews>
    <sheetView showGridLines="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19" customWidth="1" min="13" max="13"/>
    <col width="17" customWidth="1" min="14" max="14"/>
    <col width="42" customWidth="1" min="15" max="15"/>
    <col width="42" customWidth="1" min="16" max="16"/>
    <col width="55" customWidth="1" min="17" max="17"/>
    <col width="20" customWidth="1" min="18" max="18"/>
  </cols>
  <sheetData>
    <row r="1" ht="32" customHeight="1">
      <c r="A1" s="1" t="inlineStr">
        <is>
          <t>Pokémon</t>
        </is>
      </c>
      <c r="B1" s="1" t="inlineStr">
        <is>
          <t>Available from</t>
        </is>
      </c>
      <c r="C1" s="1" t="inlineStr">
        <is>
          <t>Level</t>
        </is>
      </c>
      <c r="D1" s="1" t="inlineStr">
        <is>
          <t>Nature</t>
        </is>
      </c>
      <c r="E1" s="1" t="inlineStr">
        <is>
          <t>Ability</t>
        </is>
      </c>
      <c r="F1" s="1" t="inlineStr">
        <is>
          <t>Best move</t>
        </is>
      </c>
      <c r="G1" s="1" t="inlineStr">
        <is>
          <t>Type</t>
        </is>
      </c>
      <c r="H1" s="1" t="inlineStr">
        <is>
          <t>Category</t>
        </is>
      </c>
      <c r="I1" s="1" t="inlineStr">
        <is>
          <t>Power</t>
        </is>
      </c>
      <c r="J1" s="1" t="inlineStr">
        <is>
          <t>Accuracy</t>
        </is>
      </c>
      <c r="K1" s="1" t="inlineStr">
        <is>
          <t>Min damage</t>
        </is>
      </c>
      <c r="L1" s="1" t="inlineStr">
        <is>
          <t>Max damage</t>
        </is>
      </c>
      <c r="M1" s="1" t="inlineStr">
        <is>
          <t>Average damage</t>
        </is>
      </c>
      <c r="N1" s="1" t="inlineStr">
        <is>
          <t>Expected damage</t>
        </is>
      </c>
      <c r="O1" s="1" t="inlineStr">
        <is>
          <t>Average % HP</t>
        </is>
      </c>
      <c r="P1" s="1" t="inlineStr">
        <is>
          <t>KO threshold</t>
        </is>
      </c>
      <c r="Q1" s="1" t="inlineStr">
        <is>
          <t>Calculation notes</t>
        </is>
      </c>
      <c r="R1" s="1" t="inlineStr">
        <is>
          <t>Species ID</t>
        </is>
      </c>
    </row>
    <row r="2">
      <c r="A2" s="3">
        <f>XLOOKUP($R2,'Threshold Summary'!$Y:$Y,'Threshold Summary'!$A:$A,"")</f>
        <v/>
      </c>
      <c r="B2" s="3" t="inlineStr">
        <is>
          <t>Petalburg Woods / Land / night</t>
        </is>
      </c>
      <c r="C2" s="3">
        <f>XLOOKUP($R2,'Threshold Summary'!$Y:$Y,'Threshold Summary'!$L:$L,"")</f>
        <v/>
      </c>
      <c r="D2" s="3">
        <f>XLOOKUP($R2,'Threshold Summary'!$Y:$Y,'Threshold Summary'!$M:$M,"")</f>
        <v/>
      </c>
      <c r="E2" s="3">
        <f>XLOOKUP($R2,'Threshold Summary'!$Y:$Y,'Threshold Summary'!$N:$N,"")</f>
        <v/>
      </c>
      <c r="F2" s="3">
        <f>XLOOKUP($R2,'Threshold Summary'!$Y:$Y,'Threshold Summary'!$B:$B,"")</f>
        <v/>
      </c>
      <c r="G2" s="3">
        <f>XLOOKUP(F2,'Move Editor'!$B:$B,'Move Editor'!$C:$C,"")</f>
        <v/>
      </c>
      <c r="H2" s="3">
        <f>XLOOKUP(F2,'Move Editor'!$B:$B,'Move Editor'!$D:$D,"")</f>
        <v/>
      </c>
      <c r="I2" s="3">
        <f>XLOOKUP(F2,'Move Editor'!$B:$B,'Move Editor'!$E:$E,0)</f>
        <v/>
      </c>
      <c r="J2" s="3">
        <f>XLOOKUP(F2,'Move Editor'!$B:$B,'Move Editor'!$F:$F,0)</f>
        <v/>
      </c>
      <c r="K2" s="3">
        <f>XLOOKUP($R2,'Threshold Summary'!$Y:$Y,'Threshold Summary'!$U:$U,"")</f>
        <v/>
      </c>
      <c r="L2" s="3">
        <f>XLOOKUP($R2,'Threshold Summary'!$Y:$Y,'Threshold Summary'!$V:$V,"")</f>
        <v/>
      </c>
      <c r="M2" s="3">
        <f>AVERAGE(K2:L2)</f>
        <v/>
      </c>
      <c r="N2" s="3">
        <f>M2*J2/100</f>
        <v/>
      </c>
      <c r="O2" s="4">
        <f>XLOOKUP($R2,'Threshold Summary'!$Y:$Y,'Threshold Summary'!$C:$C,"")</f>
        <v/>
      </c>
      <c r="P2" s="3">
        <f>IF(O2&gt;=1,"OHKO",IF(O2&gt;=0.5,"2HKO",IF(O2&gt;=0.333,"3HKO",IF(O2&gt;=0.25,"4HKO","5HKO+"))))</f>
        <v/>
      </c>
      <c r="Q2" s="3" t="inlineStr">
        <is>
          <t>Live from Threshold Summary and editor tabs</t>
        </is>
      </c>
      <c r="R2" s="3" t="inlineStr">
        <is>
          <t>SPECIES_PARAS</t>
        </is>
      </c>
    </row>
    <row r="3">
      <c r="A3" s="3">
        <f>XLOOKUP($R3,'Threshold Summary'!$Y:$Y,'Threshold Summary'!$A:$A,"")</f>
        <v/>
      </c>
      <c r="B3" s="3" t="inlineStr">
        <is>
          <t>Route 103 / Land / day</t>
        </is>
      </c>
      <c r="C3" s="3">
        <f>XLOOKUP($R3,'Threshold Summary'!$Y:$Y,'Threshold Summary'!$L:$L,"")</f>
        <v/>
      </c>
      <c r="D3" s="3">
        <f>XLOOKUP($R3,'Threshold Summary'!$Y:$Y,'Threshold Summary'!$M:$M,"")</f>
        <v/>
      </c>
      <c r="E3" s="3">
        <f>XLOOKUP($R3,'Threshold Summary'!$Y:$Y,'Threshold Summary'!$N:$N,"")</f>
        <v/>
      </c>
      <c r="F3" s="3">
        <f>XLOOKUP($R3,'Threshold Summary'!$Y:$Y,'Threshold Summary'!$B:$B,"")</f>
        <v/>
      </c>
      <c r="G3" s="3">
        <f>XLOOKUP(F3,'Move Editor'!$B:$B,'Move Editor'!$C:$C,"")</f>
        <v/>
      </c>
      <c r="H3" s="3">
        <f>XLOOKUP(F3,'Move Editor'!$B:$B,'Move Editor'!$D:$D,"")</f>
        <v/>
      </c>
      <c r="I3" s="3">
        <f>XLOOKUP(F3,'Move Editor'!$B:$B,'Move Editor'!$E:$E,0)</f>
        <v/>
      </c>
      <c r="J3" s="3">
        <f>XLOOKUP(F3,'Move Editor'!$B:$B,'Move Editor'!$F:$F,0)</f>
        <v/>
      </c>
      <c r="K3" s="3">
        <f>XLOOKUP($R3,'Threshold Summary'!$Y:$Y,'Threshold Summary'!$U:$U,"")</f>
        <v/>
      </c>
      <c r="L3" s="3">
        <f>XLOOKUP($R3,'Threshold Summary'!$Y:$Y,'Threshold Summary'!$V:$V,"")</f>
        <v/>
      </c>
      <c r="M3" s="3">
        <f>AVERAGE(K3:L3)</f>
        <v/>
      </c>
      <c r="N3" s="3">
        <f>M3*J3/100</f>
        <v/>
      </c>
      <c r="O3" s="4">
        <f>XLOOKUP($R3,'Threshold Summary'!$Y:$Y,'Threshold Summary'!$C:$C,"")</f>
        <v/>
      </c>
      <c r="P3" s="3">
        <f>IF(O3&gt;=1,"OHKO",IF(O3&gt;=0.5,"2HKO",IF(O3&gt;=0.333,"3HKO",IF(O3&gt;=0.25,"4HKO","5HKO+"))))</f>
        <v/>
      </c>
      <c r="Q3" s="3" t="inlineStr">
        <is>
          <t>Live from Threshold Summary and editor tabs</t>
        </is>
      </c>
      <c r="R3" s="3" t="inlineStr">
        <is>
          <t>SPECIES_SENTRET</t>
        </is>
      </c>
    </row>
    <row r="4">
      <c r="A4" s="3">
        <f>XLOOKUP($R4,'Threshold Summary'!$Y:$Y,'Threshold Summary'!$A:$A,"")</f>
        <v/>
      </c>
      <c r="B4" s="3" t="inlineStr">
        <is>
          <t>Route 102 / Land / day</t>
        </is>
      </c>
      <c r="C4" s="3">
        <f>XLOOKUP($R4,'Threshold Summary'!$Y:$Y,'Threshold Summary'!$L:$L,"")</f>
        <v/>
      </c>
      <c r="D4" s="3">
        <f>XLOOKUP($R4,'Threshold Summary'!$Y:$Y,'Threshold Summary'!$M:$M,"")</f>
        <v/>
      </c>
      <c r="E4" s="3">
        <f>XLOOKUP($R4,'Threshold Summary'!$Y:$Y,'Threshold Summary'!$N:$N,"")</f>
        <v/>
      </c>
      <c r="F4" s="3">
        <f>XLOOKUP($R4,'Threshold Summary'!$Y:$Y,'Threshold Summary'!$B:$B,"")</f>
        <v/>
      </c>
      <c r="G4" s="3">
        <f>XLOOKUP(F4,'Move Editor'!$B:$B,'Move Editor'!$C:$C,"")</f>
        <v/>
      </c>
      <c r="H4" s="3">
        <f>XLOOKUP(F4,'Move Editor'!$B:$B,'Move Editor'!$D:$D,"")</f>
        <v/>
      </c>
      <c r="I4" s="3">
        <f>XLOOKUP(F4,'Move Editor'!$B:$B,'Move Editor'!$E:$E,0)</f>
        <v/>
      </c>
      <c r="J4" s="3">
        <f>XLOOKUP(F4,'Move Editor'!$B:$B,'Move Editor'!$F:$F,0)</f>
        <v/>
      </c>
      <c r="K4" s="3">
        <f>XLOOKUP($R4,'Threshold Summary'!$Y:$Y,'Threshold Summary'!$U:$U,"")</f>
        <v/>
      </c>
      <c r="L4" s="3">
        <f>XLOOKUP($R4,'Threshold Summary'!$Y:$Y,'Threshold Summary'!$V:$V,"")</f>
        <v/>
      </c>
      <c r="M4" s="3">
        <f>AVERAGE(K4:L4)</f>
        <v/>
      </c>
      <c r="N4" s="3">
        <f>M4*J4/100</f>
        <v/>
      </c>
      <c r="O4" s="4">
        <f>XLOOKUP($R4,'Threshold Summary'!$Y:$Y,'Threshold Summary'!$C:$C,"")</f>
        <v/>
      </c>
      <c r="P4" s="3">
        <f>IF(O4&gt;=1,"OHKO",IF(O4&gt;=0.5,"2HKO",IF(O4&gt;=0.333,"3HKO",IF(O4&gt;=0.25,"4HKO","5HKO+"))))</f>
        <v/>
      </c>
      <c r="Q4" s="3" t="inlineStr">
        <is>
          <t>Live from Threshold Summary and editor tabs</t>
        </is>
      </c>
      <c r="R4" s="3" t="inlineStr">
        <is>
          <t>SPECIES_MAREEP</t>
        </is>
      </c>
    </row>
    <row r="5">
      <c r="A5" s="3">
        <f>XLOOKUP($R5,'Threshold Summary'!$Y:$Y,'Threshold Summary'!$A:$A,"")</f>
        <v/>
      </c>
      <c r="B5" s="3" t="inlineStr">
        <is>
          <t>Starter</t>
        </is>
      </c>
      <c r="C5" s="3">
        <f>XLOOKUP($R5,'Threshold Summary'!$Y:$Y,'Threshold Summary'!$L:$L,"")</f>
        <v/>
      </c>
      <c r="D5" s="3">
        <f>XLOOKUP($R5,'Threshold Summary'!$Y:$Y,'Threshold Summary'!$M:$M,"")</f>
        <v/>
      </c>
      <c r="E5" s="3">
        <f>XLOOKUP($R5,'Threshold Summary'!$Y:$Y,'Threshold Summary'!$N:$N,"")</f>
        <v/>
      </c>
      <c r="F5" s="3">
        <f>XLOOKUP($R5,'Threshold Summary'!$Y:$Y,'Threshold Summary'!$B:$B,"")</f>
        <v/>
      </c>
      <c r="G5" s="3">
        <f>XLOOKUP(F5,'Move Editor'!$B:$B,'Move Editor'!$C:$C,"")</f>
        <v/>
      </c>
      <c r="H5" s="3">
        <f>XLOOKUP(F5,'Move Editor'!$B:$B,'Move Editor'!$D:$D,"")</f>
        <v/>
      </c>
      <c r="I5" s="3">
        <f>XLOOKUP(F5,'Move Editor'!$B:$B,'Move Editor'!$E:$E,0)</f>
        <v/>
      </c>
      <c r="J5" s="3">
        <f>XLOOKUP(F5,'Move Editor'!$B:$B,'Move Editor'!$F:$F,0)</f>
        <v/>
      </c>
      <c r="K5" s="3">
        <f>XLOOKUP($R5,'Threshold Summary'!$Y:$Y,'Threshold Summary'!$U:$U,"")</f>
        <v/>
      </c>
      <c r="L5" s="3">
        <f>XLOOKUP($R5,'Threshold Summary'!$Y:$Y,'Threshold Summary'!$V:$V,"")</f>
        <v/>
      </c>
      <c r="M5" s="3">
        <f>AVERAGE(K5:L5)</f>
        <v/>
      </c>
      <c r="N5" s="3">
        <f>M5*J5/100</f>
        <v/>
      </c>
      <c r="O5" s="4">
        <f>XLOOKUP($R5,'Threshold Summary'!$Y:$Y,'Threshold Summary'!$C:$C,"")</f>
        <v/>
      </c>
      <c r="P5" s="3">
        <f>IF(O5&gt;=1,"OHKO",IF(O5&gt;=0.5,"2HKO",IF(O5&gt;=0.333,"3HKO",IF(O5&gt;=0.25,"4HKO","5HKO+"))))</f>
        <v/>
      </c>
      <c r="Q5" s="3" t="inlineStr">
        <is>
          <t>Live from Threshold Summary and editor tabs</t>
        </is>
      </c>
      <c r="R5" s="3" t="inlineStr">
        <is>
          <t>SPECIES_TREECKO</t>
        </is>
      </c>
    </row>
    <row r="6">
      <c r="A6" s="3">
        <f>XLOOKUP($R6,'Threshold Summary'!$Y:$Y,'Threshold Summary'!$A:$A,"")</f>
        <v/>
      </c>
      <c r="B6" s="3" t="inlineStr">
        <is>
          <t>Starter</t>
        </is>
      </c>
      <c r="C6" s="3">
        <f>XLOOKUP($R6,'Threshold Summary'!$Y:$Y,'Threshold Summary'!$L:$L,"")</f>
        <v/>
      </c>
      <c r="D6" s="3">
        <f>XLOOKUP($R6,'Threshold Summary'!$Y:$Y,'Threshold Summary'!$M:$M,"")</f>
        <v/>
      </c>
      <c r="E6" s="3">
        <f>XLOOKUP($R6,'Threshold Summary'!$Y:$Y,'Threshold Summary'!$N:$N,"")</f>
        <v/>
      </c>
      <c r="F6" s="3">
        <f>XLOOKUP($R6,'Threshold Summary'!$Y:$Y,'Threshold Summary'!$B:$B,"")</f>
        <v/>
      </c>
      <c r="G6" s="3">
        <f>XLOOKUP(F6,'Move Editor'!$B:$B,'Move Editor'!$C:$C,"")</f>
        <v/>
      </c>
      <c r="H6" s="3">
        <f>XLOOKUP(F6,'Move Editor'!$B:$B,'Move Editor'!$D:$D,"")</f>
        <v/>
      </c>
      <c r="I6" s="3">
        <f>XLOOKUP(F6,'Move Editor'!$B:$B,'Move Editor'!$E:$E,0)</f>
        <v/>
      </c>
      <c r="J6" s="3">
        <f>XLOOKUP(F6,'Move Editor'!$B:$B,'Move Editor'!$F:$F,0)</f>
        <v/>
      </c>
      <c r="K6" s="3">
        <f>XLOOKUP($R6,'Threshold Summary'!$Y:$Y,'Threshold Summary'!$U:$U,"")</f>
        <v/>
      </c>
      <c r="L6" s="3">
        <f>XLOOKUP($R6,'Threshold Summary'!$Y:$Y,'Threshold Summary'!$V:$V,"")</f>
        <v/>
      </c>
      <c r="M6" s="3">
        <f>AVERAGE(K6:L6)</f>
        <v/>
      </c>
      <c r="N6" s="3">
        <f>M6*J6/100</f>
        <v/>
      </c>
      <c r="O6" s="4">
        <f>XLOOKUP($R6,'Threshold Summary'!$Y:$Y,'Threshold Summary'!$C:$C,"")</f>
        <v/>
      </c>
      <c r="P6" s="3">
        <f>IF(O6&gt;=1,"OHKO",IF(O6&gt;=0.5,"2HKO",IF(O6&gt;=0.333,"3HKO",IF(O6&gt;=0.25,"4HKO","5HKO+"))))</f>
        <v/>
      </c>
      <c r="Q6" s="3" t="inlineStr">
        <is>
          <t>Live from Threshold Summary and editor tabs</t>
        </is>
      </c>
      <c r="R6" s="3" t="inlineStr">
        <is>
          <t>SPECIES_TORCHIC</t>
        </is>
      </c>
    </row>
    <row r="7">
      <c r="A7" s="3">
        <f>XLOOKUP($R7,'Threshold Summary'!$Y:$Y,'Threshold Summary'!$A:$A,"")</f>
        <v/>
      </c>
      <c r="B7" s="3" t="inlineStr">
        <is>
          <t>Starter</t>
        </is>
      </c>
      <c r="C7" s="3">
        <f>XLOOKUP($R7,'Threshold Summary'!$Y:$Y,'Threshold Summary'!$L:$L,"")</f>
        <v/>
      </c>
      <c r="D7" s="3">
        <f>XLOOKUP($R7,'Threshold Summary'!$Y:$Y,'Threshold Summary'!$M:$M,"")</f>
        <v/>
      </c>
      <c r="E7" s="3">
        <f>XLOOKUP($R7,'Threshold Summary'!$Y:$Y,'Threshold Summary'!$N:$N,"")</f>
        <v/>
      </c>
      <c r="F7" s="3">
        <f>XLOOKUP($R7,'Threshold Summary'!$Y:$Y,'Threshold Summary'!$B:$B,"")</f>
        <v/>
      </c>
      <c r="G7" s="3">
        <f>XLOOKUP(F7,'Move Editor'!$B:$B,'Move Editor'!$C:$C,"")</f>
        <v/>
      </c>
      <c r="H7" s="3">
        <f>XLOOKUP(F7,'Move Editor'!$B:$B,'Move Editor'!$D:$D,"")</f>
        <v/>
      </c>
      <c r="I7" s="3">
        <f>XLOOKUP(F7,'Move Editor'!$B:$B,'Move Editor'!$E:$E,0)</f>
        <v/>
      </c>
      <c r="J7" s="3">
        <f>XLOOKUP(F7,'Move Editor'!$B:$B,'Move Editor'!$F:$F,0)</f>
        <v/>
      </c>
      <c r="K7" s="3">
        <f>XLOOKUP($R7,'Threshold Summary'!$Y:$Y,'Threshold Summary'!$U:$U,"")</f>
        <v/>
      </c>
      <c r="L7" s="3">
        <f>XLOOKUP($R7,'Threshold Summary'!$Y:$Y,'Threshold Summary'!$V:$V,"")</f>
        <v/>
      </c>
      <c r="M7" s="3">
        <f>AVERAGE(K7:L7)</f>
        <v/>
      </c>
      <c r="N7" s="3">
        <f>M7*J7/100</f>
        <v/>
      </c>
      <c r="O7" s="4">
        <f>XLOOKUP($R7,'Threshold Summary'!$Y:$Y,'Threshold Summary'!$C:$C,"")</f>
        <v/>
      </c>
      <c r="P7" s="3">
        <f>IF(O7&gt;=1,"OHKO",IF(O7&gt;=0.5,"2HKO",IF(O7&gt;=0.333,"3HKO",IF(O7&gt;=0.25,"4HKO","5HKO+"))))</f>
        <v/>
      </c>
      <c r="Q7" s="3" t="inlineStr">
        <is>
          <t>Live from Threshold Summary and editor tabs</t>
        </is>
      </c>
      <c r="R7" s="3" t="inlineStr">
        <is>
          <t>SPECIES_MUDKIP</t>
        </is>
      </c>
    </row>
    <row r="8">
      <c r="A8" s="3">
        <f>XLOOKUP($R8,'Threshold Summary'!$Y:$Y,'Threshold Summary'!$A:$A,"")</f>
        <v/>
      </c>
      <c r="B8" s="3" t="inlineStr">
        <is>
          <t>Route 104 / Land / north</t>
        </is>
      </c>
      <c r="C8" s="3">
        <f>XLOOKUP($R8,'Threshold Summary'!$Y:$Y,'Threshold Summary'!$L:$L,"")</f>
        <v/>
      </c>
      <c r="D8" s="3">
        <f>XLOOKUP($R8,'Threshold Summary'!$Y:$Y,'Threshold Summary'!$M:$M,"")</f>
        <v/>
      </c>
      <c r="E8" s="3">
        <f>XLOOKUP($R8,'Threshold Summary'!$Y:$Y,'Threshold Summary'!$N:$N,"")</f>
        <v/>
      </c>
      <c r="F8" s="3">
        <f>XLOOKUP($R8,'Threshold Summary'!$Y:$Y,'Threshold Summary'!$B:$B,"")</f>
        <v/>
      </c>
      <c r="G8" s="3">
        <f>XLOOKUP(F8,'Move Editor'!$B:$B,'Move Editor'!$C:$C,"")</f>
        <v/>
      </c>
      <c r="H8" s="3">
        <f>XLOOKUP(F8,'Move Editor'!$B:$B,'Move Editor'!$D:$D,"")</f>
        <v/>
      </c>
      <c r="I8" s="3">
        <f>XLOOKUP(F8,'Move Editor'!$B:$B,'Move Editor'!$E:$E,0)</f>
        <v/>
      </c>
      <c r="J8" s="3">
        <f>XLOOKUP(F8,'Move Editor'!$B:$B,'Move Editor'!$F:$F,0)</f>
        <v/>
      </c>
      <c r="K8" s="3">
        <f>XLOOKUP($R8,'Threshold Summary'!$Y:$Y,'Threshold Summary'!$U:$U,"")</f>
        <v/>
      </c>
      <c r="L8" s="3">
        <f>XLOOKUP($R8,'Threshold Summary'!$Y:$Y,'Threshold Summary'!$V:$V,"")</f>
        <v/>
      </c>
      <c r="M8" s="3">
        <f>AVERAGE(K8:L8)</f>
        <v/>
      </c>
      <c r="N8" s="3">
        <f>M8*J8/100</f>
        <v/>
      </c>
      <c r="O8" s="4">
        <f>XLOOKUP($R8,'Threshold Summary'!$Y:$Y,'Threshold Summary'!$C:$C,"")</f>
        <v/>
      </c>
      <c r="P8" s="3">
        <f>IF(O8&gt;=1,"OHKO",IF(O8&gt;=0.5,"2HKO",IF(O8&gt;=0.333,"3HKO",IF(O8&gt;=0.25,"4HKO","5HKO+"))))</f>
        <v/>
      </c>
      <c r="Q8" s="3" t="inlineStr">
        <is>
          <t>Live from Threshold Summary and editor tabs</t>
        </is>
      </c>
      <c r="R8" s="3" t="inlineStr">
        <is>
          <t>SPECIES_TAILLOW</t>
        </is>
      </c>
    </row>
    <row r="9">
      <c r="A9" s="3">
        <f>XLOOKUP($R9,'Threshold Summary'!$Y:$Y,'Threshold Summary'!$A:$A,"")</f>
        <v/>
      </c>
      <c r="B9" s="3" t="inlineStr">
        <is>
          <t>Route 102 / Land / day, Route 102 / Land / night</t>
        </is>
      </c>
      <c r="C9" s="3">
        <f>XLOOKUP($R9,'Threshold Summary'!$Y:$Y,'Threshold Summary'!$L:$L,"")</f>
        <v/>
      </c>
      <c r="D9" s="3">
        <f>XLOOKUP($R9,'Threshold Summary'!$Y:$Y,'Threshold Summary'!$M:$M,"")</f>
        <v/>
      </c>
      <c r="E9" s="3">
        <f>XLOOKUP($R9,'Threshold Summary'!$Y:$Y,'Threshold Summary'!$N:$N,"")</f>
        <v/>
      </c>
      <c r="F9" s="3">
        <f>XLOOKUP($R9,'Threshold Summary'!$Y:$Y,'Threshold Summary'!$B:$B,"")</f>
        <v/>
      </c>
      <c r="G9" s="3">
        <f>XLOOKUP(F9,'Move Editor'!$B:$B,'Move Editor'!$C:$C,"")</f>
        <v/>
      </c>
      <c r="H9" s="3">
        <f>XLOOKUP(F9,'Move Editor'!$B:$B,'Move Editor'!$D:$D,"")</f>
        <v/>
      </c>
      <c r="I9" s="3">
        <f>XLOOKUP(F9,'Move Editor'!$B:$B,'Move Editor'!$E:$E,0)</f>
        <v/>
      </c>
      <c r="J9" s="3">
        <f>XLOOKUP(F9,'Move Editor'!$B:$B,'Move Editor'!$F:$F,0)</f>
        <v/>
      </c>
      <c r="K9" s="3">
        <f>XLOOKUP($R9,'Threshold Summary'!$Y:$Y,'Threshold Summary'!$U:$U,"")</f>
        <v/>
      </c>
      <c r="L9" s="3">
        <f>XLOOKUP($R9,'Threshold Summary'!$Y:$Y,'Threshold Summary'!$V:$V,"")</f>
        <v/>
      </c>
      <c r="M9" s="3">
        <f>AVERAGE(K9:L9)</f>
        <v/>
      </c>
      <c r="N9" s="3">
        <f>M9*J9/100</f>
        <v/>
      </c>
      <c r="O9" s="4">
        <f>XLOOKUP($R9,'Threshold Summary'!$Y:$Y,'Threshold Summary'!$C:$C,"")</f>
        <v/>
      </c>
      <c r="P9" s="3">
        <f>IF(O9&gt;=1,"OHKO",IF(O9&gt;=0.5,"2HKO",IF(O9&gt;=0.333,"3HKO",IF(O9&gt;=0.25,"4HKO","5HKO+"))))</f>
        <v/>
      </c>
      <c r="Q9" s="3" t="inlineStr">
        <is>
          <t>Live from Threshold Summary and editor tabs</t>
        </is>
      </c>
      <c r="R9" s="3" t="inlineStr">
        <is>
          <t>SPECIES_RALTS</t>
        </is>
      </c>
    </row>
    <row r="10">
      <c r="A10" s="3">
        <f>XLOOKUP($R10,'Threshold Summary'!$Y:$Y,'Threshold Summary'!$A:$A,"")</f>
        <v/>
      </c>
      <c r="B10" s="3" t="inlineStr">
        <is>
          <t>Petalburg Woods / Land / day</t>
        </is>
      </c>
      <c r="C10" s="3">
        <f>XLOOKUP($R10,'Threshold Summary'!$Y:$Y,'Threshold Summary'!$L:$L,"")</f>
        <v/>
      </c>
      <c r="D10" s="3">
        <f>XLOOKUP($R10,'Threshold Summary'!$Y:$Y,'Threshold Summary'!$M:$M,"")</f>
        <v/>
      </c>
      <c r="E10" s="3">
        <f>XLOOKUP($R10,'Threshold Summary'!$Y:$Y,'Threshold Summary'!$N:$N,"")</f>
        <v/>
      </c>
      <c r="F10" s="3">
        <f>XLOOKUP($R10,'Threshold Summary'!$Y:$Y,'Threshold Summary'!$B:$B,"")</f>
        <v/>
      </c>
      <c r="G10" s="3">
        <f>XLOOKUP(F10,'Move Editor'!$B:$B,'Move Editor'!$C:$C,"")</f>
        <v/>
      </c>
      <c r="H10" s="3">
        <f>XLOOKUP(F10,'Move Editor'!$B:$B,'Move Editor'!$D:$D,"")</f>
        <v/>
      </c>
      <c r="I10" s="3">
        <f>XLOOKUP(F10,'Move Editor'!$B:$B,'Move Editor'!$E:$E,0)</f>
        <v/>
      </c>
      <c r="J10" s="3">
        <f>XLOOKUP(F10,'Move Editor'!$B:$B,'Move Editor'!$F:$F,0)</f>
        <v/>
      </c>
      <c r="K10" s="3">
        <f>XLOOKUP($R10,'Threshold Summary'!$Y:$Y,'Threshold Summary'!$U:$U,"")</f>
        <v/>
      </c>
      <c r="L10" s="3">
        <f>XLOOKUP($R10,'Threshold Summary'!$Y:$Y,'Threshold Summary'!$V:$V,"")</f>
        <v/>
      </c>
      <c r="M10" s="3">
        <f>AVERAGE(K10:L10)</f>
        <v/>
      </c>
      <c r="N10" s="3">
        <f>M10*J10/100</f>
        <v/>
      </c>
      <c r="O10" s="4">
        <f>XLOOKUP($R10,'Threshold Summary'!$Y:$Y,'Threshold Summary'!$C:$C,"")</f>
        <v/>
      </c>
      <c r="P10" s="3">
        <f>IF(O10&gt;=1,"OHKO",IF(O10&gt;=0.5,"2HKO",IF(O10&gt;=0.333,"3HKO",IF(O10&gt;=0.25,"4HKO","5HKO+"))))</f>
        <v/>
      </c>
      <c r="Q10" s="3" t="inlineStr">
        <is>
          <t>Live from Threshold Summary and editor tabs</t>
        </is>
      </c>
      <c r="R10" s="3" t="inlineStr">
        <is>
          <t>SPECIES_BUDEW</t>
        </is>
      </c>
    </row>
    <row r="11">
      <c r="A11" s="3">
        <f>XLOOKUP($R11,'Threshold Summary'!$Y:$Y,'Threshold Summary'!$A:$A,"")</f>
        <v/>
      </c>
      <c r="B11" s="3" t="inlineStr">
        <is>
          <t>Route 101 / Land / night, Route 103 / Land / night, Route 116 / Land / night</t>
        </is>
      </c>
      <c r="C11" s="3">
        <f>XLOOKUP($R11,'Threshold Summary'!$Y:$Y,'Threshold Summary'!$L:$L,"")</f>
        <v/>
      </c>
      <c r="D11" s="3">
        <f>XLOOKUP($R11,'Threshold Summary'!$Y:$Y,'Threshold Summary'!$M:$M,"")</f>
        <v/>
      </c>
      <c r="E11" s="3">
        <f>XLOOKUP($R11,'Threshold Summary'!$Y:$Y,'Threshold Summary'!$N:$N,"")</f>
        <v/>
      </c>
      <c r="F11" s="3">
        <f>XLOOKUP($R11,'Threshold Summary'!$Y:$Y,'Threshold Summary'!$B:$B,"")</f>
        <v/>
      </c>
      <c r="G11" s="3">
        <f>XLOOKUP(F11,'Move Editor'!$B:$B,'Move Editor'!$C:$C,"")</f>
        <v/>
      </c>
      <c r="H11" s="3">
        <f>XLOOKUP(F11,'Move Editor'!$B:$B,'Move Editor'!$D:$D,"")</f>
        <v/>
      </c>
      <c r="I11" s="3">
        <f>XLOOKUP(F11,'Move Editor'!$B:$B,'Move Editor'!$E:$E,0)</f>
        <v/>
      </c>
      <c r="J11" s="3">
        <f>XLOOKUP(F11,'Move Editor'!$B:$B,'Move Editor'!$F:$F,0)</f>
        <v/>
      </c>
      <c r="K11" s="3">
        <f>XLOOKUP($R11,'Threshold Summary'!$Y:$Y,'Threshold Summary'!$U:$U,"")</f>
        <v/>
      </c>
      <c r="L11" s="3">
        <f>XLOOKUP($R11,'Threshold Summary'!$Y:$Y,'Threshold Summary'!$V:$V,"")</f>
        <v/>
      </c>
      <c r="M11" s="3">
        <f>AVERAGE(K11:L11)</f>
        <v/>
      </c>
      <c r="N11" s="3">
        <f>M11*J11/100</f>
        <v/>
      </c>
      <c r="O11" s="4">
        <f>XLOOKUP($R11,'Threshold Summary'!$Y:$Y,'Threshold Summary'!$C:$C,"")</f>
        <v/>
      </c>
      <c r="P11" s="3">
        <f>IF(O11&gt;=1,"OHKO",IF(O11&gt;=0.5,"2HKO",IF(O11&gt;=0.333,"3HKO",IF(O11&gt;=0.25,"4HKO","5HKO+"))))</f>
        <v/>
      </c>
      <c r="Q11" s="3" t="inlineStr">
        <is>
          <t>Live from Threshold Summary and editor tabs</t>
        </is>
      </c>
      <c r="R11" s="3" t="inlineStr">
        <is>
          <t>SPECIES_STARLY</t>
        </is>
      </c>
    </row>
    <row r="12">
      <c r="A12" s="3">
        <f>XLOOKUP($R12,'Threshold Summary'!$Y:$Y,'Threshold Summary'!$A:$A,"")</f>
        <v/>
      </c>
      <c r="B12" s="3" t="inlineStr">
        <is>
          <t>Route 102 / Land / night</t>
        </is>
      </c>
      <c r="C12" s="3">
        <f>XLOOKUP($R12,'Threshold Summary'!$Y:$Y,'Threshold Summary'!$L:$L,"")</f>
        <v/>
      </c>
      <c r="D12" s="3">
        <f>XLOOKUP($R12,'Threshold Summary'!$Y:$Y,'Threshold Summary'!$M:$M,"")</f>
        <v/>
      </c>
      <c r="E12" s="3">
        <f>XLOOKUP($R12,'Threshold Summary'!$Y:$Y,'Threshold Summary'!$N:$N,"")</f>
        <v/>
      </c>
      <c r="F12" s="3">
        <f>XLOOKUP($R12,'Threshold Summary'!$Y:$Y,'Threshold Summary'!$B:$B,"")</f>
        <v/>
      </c>
      <c r="G12" s="3">
        <f>XLOOKUP(F12,'Move Editor'!$B:$B,'Move Editor'!$C:$C,"")</f>
        <v/>
      </c>
      <c r="H12" s="3">
        <f>XLOOKUP(F12,'Move Editor'!$B:$B,'Move Editor'!$D:$D,"")</f>
        <v/>
      </c>
      <c r="I12" s="3">
        <f>XLOOKUP(F12,'Move Editor'!$B:$B,'Move Editor'!$E:$E,0)</f>
        <v/>
      </c>
      <c r="J12" s="3">
        <f>XLOOKUP(F12,'Move Editor'!$B:$B,'Move Editor'!$F:$F,0)</f>
        <v/>
      </c>
      <c r="K12" s="3">
        <f>XLOOKUP($R12,'Threshold Summary'!$Y:$Y,'Threshold Summary'!$U:$U,"")</f>
        <v/>
      </c>
      <c r="L12" s="3">
        <f>XLOOKUP($R12,'Threshold Summary'!$Y:$Y,'Threshold Summary'!$V:$V,"")</f>
        <v/>
      </c>
      <c r="M12" s="3">
        <f>AVERAGE(K12:L12)</f>
        <v/>
      </c>
      <c r="N12" s="3">
        <f>M12*J12/100</f>
        <v/>
      </c>
      <c r="O12" s="4">
        <f>XLOOKUP($R12,'Threshold Summary'!$Y:$Y,'Threshold Summary'!$C:$C,"")</f>
        <v/>
      </c>
      <c r="P12" s="3">
        <f>IF(O12&gt;=1,"OHKO",IF(O12&gt;=0.5,"2HKO",IF(O12&gt;=0.333,"3HKO",IF(O12&gt;=0.25,"4HKO","5HKO+"))))</f>
        <v/>
      </c>
      <c r="Q12" s="3" t="inlineStr">
        <is>
          <t>Live from Threshold Summary and editor tabs</t>
        </is>
      </c>
      <c r="R12" s="3" t="inlineStr">
        <is>
          <t>SPECIES_SHINX</t>
        </is>
      </c>
    </row>
    <row r="13">
      <c r="A13" s="3">
        <f>XLOOKUP($R13,'Threshold Summary'!$Y:$Y,'Threshold Summary'!$A:$A,"")</f>
        <v/>
      </c>
      <c r="B13" s="3" t="inlineStr">
        <is>
          <t>Petalburg Woods / Land / day</t>
        </is>
      </c>
      <c r="C13" s="3">
        <f>XLOOKUP($R13,'Threshold Summary'!$Y:$Y,'Threshold Summary'!$L:$L,"")</f>
        <v/>
      </c>
      <c r="D13" s="3">
        <f>XLOOKUP($R13,'Threshold Summary'!$Y:$Y,'Threshold Summary'!$M:$M,"")</f>
        <v/>
      </c>
      <c r="E13" s="3">
        <f>XLOOKUP($R13,'Threshold Summary'!$Y:$Y,'Threshold Summary'!$N:$N,"")</f>
        <v/>
      </c>
      <c r="F13" s="3">
        <f>XLOOKUP($R13,'Threshold Summary'!$Y:$Y,'Threshold Summary'!$B:$B,"")</f>
        <v/>
      </c>
      <c r="G13" s="3">
        <f>XLOOKUP(F13,'Move Editor'!$B:$B,'Move Editor'!$C:$C,"")</f>
        <v/>
      </c>
      <c r="H13" s="3">
        <f>XLOOKUP(F13,'Move Editor'!$B:$B,'Move Editor'!$D:$D,"")</f>
        <v/>
      </c>
      <c r="I13" s="3">
        <f>XLOOKUP(F13,'Move Editor'!$B:$B,'Move Editor'!$E:$E,0)</f>
        <v/>
      </c>
      <c r="J13" s="3">
        <f>XLOOKUP(F13,'Move Editor'!$B:$B,'Move Editor'!$F:$F,0)</f>
        <v/>
      </c>
      <c r="K13" s="3">
        <f>XLOOKUP($R13,'Threshold Summary'!$Y:$Y,'Threshold Summary'!$U:$U,"")</f>
        <v/>
      </c>
      <c r="L13" s="3">
        <f>XLOOKUP($R13,'Threshold Summary'!$Y:$Y,'Threshold Summary'!$V:$V,"")</f>
        <v/>
      </c>
      <c r="M13" s="3">
        <f>AVERAGE(K13:L13)</f>
        <v/>
      </c>
      <c r="N13" s="3">
        <f>M13*J13/100</f>
        <v/>
      </c>
      <c r="O13" s="4">
        <f>XLOOKUP($R13,'Threshold Summary'!$Y:$Y,'Threshold Summary'!$C:$C,"")</f>
        <v/>
      </c>
      <c r="P13" s="3">
        <f>IF(O13&gt;=1,"OHKO",IF(O13&gt;=0.5,"2HKO",IF(O13&gt;=0.333,"3HKO",IF(O13&gt;=0.25,"4HKO","5HKO+"))))</f>
        <v/>
      </c>
      <c r="Q13" s="3" t="inlineStr">
        <is>
          <t>Live from Threshold Summary and editor tabs</t>
        </is>
      </c>
      <c r="R13" s="3" t="inlineStr">
        <is>
          <t>SPECIES_COMBEE</t>
        </is>
      </c>
    </row>
    <row r="14">
      <c r="A14" s="3">
        <f>XLOOKUP($R14,'Threshold Summary'!$Y:$Y,'Threshold Summary'!$A:$A,"")</f>
        <v/>
      </c>
      <c r="B14" s="3" t="inlineStr">
        <is>
          <t>Route 116 / Land / day</t>
        </is>
      </c>
      <c r="C14" s="3">
        <f>XLOOKUP($R14,'Threshold Summary'!$Y:$Y,'Threshold Summary'!$L:$L,"")</f>
        <v/>
      </c>
      <c r="D14" s="3">
        <f>XLOOKUP($R14,'Threshold Summary'!$Y:$Y,'Threshold Summary'!$M:$M,"")</f>
        <v/>
      </c>
      <c r="E14" s="3">
        <f>XLOOKUP($R14,'Threshold Summary'!$Y:$Y,'Threshold Summary'!$N:$N,"")</f>
        <v/>
      </c>
      <c r="F14" s="3">
        <f>XLOOKUP($R14,'Threshold Summary'!$Y:$Y,'Threshold Summary'!$B:$B,"")</f>
        <v/>
      </c>
      <c r="G14" s="3">
        <f>XLOOKUP(F14,'Move Editor'!$B:$B,'Move Editor'!$C:$C,"")</f>
        <v/>
      </c>
      <c r="H14" s="3">
        <f>XLOOKUP(F14,'Move Editor'!$B:$B,'Move Editor'!$D:$D,"")</f>
        <v/>
      </c>
      <c r="I14" s="3">
        <f>XLOOKUP(F14,'Move Editor'!$B:$B,'Move Editor'!$E:$E,0)</f>
        <v/>
      </c>
      <c r="J14" s="3">
        <f>XLOOKUP(F14,'Move Editor'!$B:$B,'Move Editor'!$F:$F,0)</f>
        <v/>
      </c>
      <c r="K14" s="3">
        <f>XLOOKUP($R14,'Threshold Summary'!$Y:$Y,'Threshold Summary'!$U:$U,"")</f>
        <v/>
      </c>
      <c r="L14" s="3">
        <f>XLOOKUP($R14,'Threshold Summary'!$Y:$Y,'Threshold Summary'!$V:$V,"")</f>
        <v/>
      </c>
      <c r="M14" s="3">
        <f>AVERAGE(K14:L14)</f>
        <v/>
      </c>
      <c r="N14" s="3">
        <f>M14*J14/100</f>
        <v/>
      </c>
      <c r="O14" s="4">
        <f>XLOOKUP($R14,'Threshold Summary'!$Y:$Y,'Threshold Summary'!$C:$C,"")</f>
        <v/>
      </c>
      <c r="P14" s="3">
        <f>IF(O14&gt;=1,"OHKO",IF(O14&gt;=0.5,"2HKO",IF(O14&gt;=0.333,"3HKO",IF(O14&gt;=0.25,"4HKO","5HKO+"))))</f>
        <v/>
      </c>
      <c r="Q14" s="3" t="inlineStr">
        <is>
          <t>Live from Threshold Summary and editor tabs</t>
        </is>
      </c>
      <c r="R14" s="3" t="inlineStr">
        <is>
          <t>SPECIES_DRIFLOON</t>
        </is>
      </c>
    </row>
    <row r="15">
      <c r="A15" s="3">
        <f>XLOOKUP($R15,'Threshold Summary'!$Y:$Y,'Threshold Summary'!$A:$A,"")</f>
        <v/>
      </c>
      <c r="B15" s="3" t="inlineStr">
        <is>
          <t>Route 104 / Land / north, Route 104 / Land / south</t>
        </is>
      </c>
      <c r="C15" s="3">
        <f>XLOOKUP($R15,'Threshold Summary'!$Y:$Y,'Threshold Summary'!$L:$L,"")</f>
        <v/>
      </c>
      <c r="D15" s="3">
        <f>XLOOKUP($R15,'Threshold Summary'!$Y:$Y,'Threshold Summary'!$M:$M,"")</f>
        <v/>
      </c>
      <c r="E15" s="3">
        <f>XLOOKUP($R15,'Threshold Summary'!$Y:$Y,'Threshold Summary'!$N:$N,"")</f>
        <v/>
      </c>
      <c r="F15" s="3">
        <f>XLOOKUP($R15,'Threshold Summary'!$Y:$Y,'Threshold Summary'!$B:$B,"")</f>
        <v/>
      </c>
      <c r="G15" s="3">
        <f>XLOOKUP(F15,'Move Editor'!$B:$B,'Move Editor'!$C:$C,"")</f>
        <v/>
      </c>
      <c r="H15" s="3">
        <f>XLOOKUP(F15,'Move Editor'!$B:$B,'Move Editor'!$D:$D,"")</f>
        <v/>
      </c>
      <c r="I15" s="3">
        <f>XLOOKUP(F15,'Move Editor'!$B:$B,'Move Editor'!$E:$E,0)</f>
        <v/>
      </c>
      <c r="J15" s="3">
        <f>XLOOKUP(F15,'Move Editor'!$B:$B,'Move Editor'!$F:$F,0)</f>
        <v/>
      </c>
      <c r="K15" s="3">
        <f>XLOOKUP($R15,'Threshold Summary'!$Y:$Y,'Threshold Summary'!$U:$U,"")</f>
        <v/>
      </c>
      <c r="L15" s="3">
        <f>XLOOKUP($R15,'Threshold Summary'!$Y:$Y,'Threshold Summary'!$V:$V,"")</f>
        <v/>
      </c>
      <c r="M15" s="3">
        <f>AVERAGE(K15:L15)</f>
        <v/>
      </c>
      <c r="N15" s="3">
        <f>M15*J15/100</f>
        <v/>
      </c>
      <c r="O15" s="4">
        <f>XLOOKUP($R15,'Threshold Summary'!$Y:$Y,'Threshold Summary'!$C:$C,"")</f>
        <v/>
      </c>
      <c r="P15" s="3">
        <f>IF(O15&gt;=1,"OHKO",IF(O15&gt;=0.5,"2HKO",IF(O15&gt;=0.333,"3HKO",IF(O15&gt;=0.25,"4HKO","5HKO+"))))</f>
        <v/>
      </c>
      <c r="Q15" s="3" t="inlineStr">
        <is>
          <t>Live from Threshold Summary and editor tabs</t>
        </is>
      </c>
      <c r="R15" s="3" t="inlineStr">
        <is>
          <t>SPECIES_BUNEARY</t>
        </is>
      </c>
    </row>
    <row r="16">
      <c r="A16" s="3">
        <f>XLOOKUP($R16,'Threshold Summary'!$Y:$Y,'Threshold Summary'!$A:$A,"")</f>
        <v/>
      </c>
      <c r="B16" s="3" t="inlineStr">
        <is>
          <t>Petalburg Woods / Land / day</t>
        </is>
      </c>
      <c r="C16" s="3">
        <f>XLOOKUP($R16,'Threshold Summary'!$Y:$Y,'Threshold Summary'!$L:$L,"")</f>
        <v/>
      </c>
      <c r="D16" s="3">
        <f>XLOOKUP($R16,'Threshold Summary'!$Y:$Y,'Threshold Summary'!$M:$M,"")</f>
        <v/>
      </c>
      <c r="E16" s="3">
        <f>XLOOKUP($R16,'Threshold Summary'!$Y:$Y,'Threshold Summary'!$N:$N,"")</f>
        <v/>
      </c>
      <c r="F16" s="3">
        <f>XLOOKUP($R16,'Threshold Summary'!$Y:$Y,'Threshold Summary'!$B:$B,"")</f>
        <v/>
      </c>
      <c r="G16" s="3">
        <f>XLOOKUP(F16,'Move Editor'!$B:$B,'Move Editor'!$C:$C,"")</f>
        <v/>
      </c>
      <c r="H16" s="3">
        <f>XLOOKUP(F16,'Move Editor'!$B:$B,'Move Editor'!$D:$D,"")</f>
        <v/>
      </c>
      <c r="I16" s="3">
        <f>XLOOKUP(F16,'Move Editor'!$B:$B,'Move Editor'!$E:$E,0)</f>
        <v/>
      </c>
      <c r="J16" s="3">
        <f>XLOOKUP(F16,'Move Editor'!$B:$B,'Move Editor'!$F:$F,0)</f>
        <v/>
      </c>
      <c r="K16" s="3">
        <f>XLOOKUP($R16,'Threshold Summary'!$Y:$Y,'Threshold Summary'!$U:$U,"")</f>
        <v/>
      </c>
      <c r="L16" s="3">
        <f>XLOOKUP($R16,'Threshold Summary'!$Y:$Y,'Threshold Summary'!$V:$V,"")</f>
        <v/>
      </c>
      <c r="M16" s="3">
        <f>AVERAGE(K16:L16)</f>
        <v/>
      </c>
      <c r="N16" s="3">
        <f>M16*J16/100</f>
        <v/>
      </c>
      <c r="O16" s="4">
        <f>XLOOKUP($R16,'Threshold Summary'!$Y:$Y,'Threshold Summary'!$C:$C,"")</f>
        <v/>
      </c>
      <c r="P16" s="3">
        <f>IF(O16&gt;=1,"OHKO",IF(O16&gt;=0.5,"2HKO",IF(O16&gt;=0.333,"3HKO",IF(O16&gt;=0.25,"4HKO","5HKO+"))))</f>
        <v/>
      </c>
      <c r="Q16" s="3" t="inlineStr">
        <is>
          <t>Live from Threshold Summary and editor tabs</t>
        </is>
      </c>
      <c r="R16" s="3" t="inlineStr">
        <is>
          <t>SPECIES_SEWADDLE</t>
        </is>
      </c>
    </row>
    <row r="17">
      <c r="A17" s="3">
        <f>XLOOKUP($R17,'Threshold Summary'!$Y:$Y,'Threshold Summary'!$A:$A,"")</f>
        <v/>
      </c>
      <c r="B17" s="3" t="inlineStr">
        <is>
          <t>Petalburg Woods / Land / night</t>
        </is>
      </c>
      <c r="C17" s="3">
        <f>XLOOKUP($R17,'Threshold Summary'!$Y:$Y,'Threshold Summary'!$L:$L,"")</f>
        <v/>
      </c>
      <c r="D17" s="3">
        <f>XLOOKUP($R17,'Threshold Summary'!$Y:$Y,'Threshold Summary'!$M:$M,"")</f>
        <v/>
      </c>
      <c r="E17" s="3">
        <f>XLOOKUP($R17,'Threshold Summary'!$Y:$Y,'Threshold Summary'!$N:$N,"")</f>
        <v/>
      </c>
      <c r="F17" s="3">
        <f>XLOOKUP($R17,'Threshold Summary'!$Y:$Y,'Threshold Summary'!$B:$B,"")</f>
        <v/>
      </c>
      <c r="G17" s="3">
        <f>XLOOKUP(F17,'Move Editor'!$B:$B,'Move Editor'!$C:$C,"")</f>
        <v/>
      </c>
      <c r="H17" s="3">
        <f>XLOOKUP(F17,'Move Editor'!$B:$B,'Move Editor'!$D:$D,"")</f>
        <v/>
      </c>
      <c r="I17" s="3">
        <f>XLOOKUP(F17,'Move Editor'!$B:$B,'Move Editor'!$E:$E,0)</f>
        <v/>
      </c>
      <c r="J17" s="3">
        <f>XLOOKUP(F17,'Move Editor'!$B:$B,'Move Editor'!$F:$F,0)</f>
        <v/>
      </c>
      <c r="K17" s="3">
        <f>XLOOKUP($R17,'Threshold Summary'!$Y:$Y,'Threshold Summary'!$U:$U,"")</f>
        <v/>
      </c>
      <c r="L17" s="3">
        <f>XLOOKUP($R17,'Threshold Summary'!$Y:$Y,'Threshold Summary'!$V:$V,"")</f>
        <v/>
      </c>
      <c r="M17" s="3">
        <f>AVERAGE(K17:L17)</f>
        <v/>
      </c>
      <c r="N17" s="3">
        <f>M17*J17/100</f>
        <v/>
      </c>
      <c r="O17" s="4">
        <f>XLOOKUP($R17,'Threshold Summary'!$Y:$Y,'Threshold Summary'!$C:$C,"")</f>
        <v/>
      </c>
      <c r="P17" s="3">
        <f>IF(O17&gt;=1,"OHKO",IF(O17&gt;=0.5,"2HKO",IF(O17&gt;=0.333,"3HKO",IF(O17&gt;=0.25,"4HKO","5HKO+"))))</f>
        <v/>
      </c>
      <c r="Q17" s="3" t="inlineStr">
        <is>
          <t>Live from Threshold Summary and editor tabs</t>
        </is>
      </c>
      <c r="R17" s="3" t="inlineStr">
        <is>
          <t>SPECIES_VENIPEDE</t>
        </is>
      </c>
    </row>
    <row r="18">
      <c r="A18" s="3">
        <f>XLOOKUP($R18,'Threshold Summary'!$Y:$Y,'Threshold Summary'!$A:$A,"")</f>
        <v/>
      </c>
      <c r="B18" s="3" t="inlineStr">
        <is>
          <t>Route 102 / Land / day, Route 102 / Land / night</t>
        </is>
      </c>
      <c r="C18" s="3">
        <f>XLOOKUP($R18,'Threshold Summary'!$Y:$Y,'Threshold Summary'!$L:$L,"")</f>
        <v/>
      </c>
      <c r="D18" s="3">
        <f>XLOOKUP($R18,'Threshold Summary'!$Y:$Y,'Threshold Summary'!$M:$M,"")</f>
        <v/>
      </c>
      <c r="E18" s="3">
        <f>XLOOKUP($R18,'Threshold Summary'!$Y:$Y,'Threshold Summary'!$N:$N,"")</f>
        <v/>
      </c>
      <c r="F18" s="3">
        <f>XLOOKUP($R18,'Threshold Summary'!$Y:$Y,'Threshold Summary'!$B:$B,"")</f>
        <v/>
      </c>
      <c r="G18" s="3">
        <f>XLOOKUP(F18,'Move Editor'!$B:$B,'Move Editor'!$C:$C,"")</f>
        <v/>
      </c>
      <c r="H18" s="3">
        <f>XLOOKUP(F18,'Move Editor'!$B:$B,'Move Editor'!$D:$D,"")</f>
        <v/>
      </c>
      <c r="I18" s="3">
        <f>XLOOKUP(F18,'Move Editor'!$B:$B,'Move Editor'!$E:$E,0)</f>
        <v/>
      </c>
      <c r="J18" s="3">
        <f>XLOOKUP(F18,'Move Editor'!$B:$B,'Move Editor'!$F:$F,0)</f>
        <v/>
      </c>
      <c r="K18" s="3">
        <f>XLOOKUP($R18,'Threshold Summary'!$Y:$Y,'Threshold Summary'!$U:$U,"")</f>
        <v/>
      </c>
      <c r="L18" s="3">
        <f>XLOOKUP($R18,'Threshold Summary'!$Y:$Y,'Threshold Summary'!$V:$V,"")</f>
        <v/>
      </c>
      <c r="M18" s="3">
        <f>AVERAGE(K18:L18)</f>
        <v/>
      </c>
      <c r="N18" s="3">
        <f>M18*J18/100</f>
        <v/>
      </c>
      <c r="O18" s="4">
        <f>XLOOKUP($R18,'Threshold Summary'!$Y:$Y,'Threshold Summary'!$C:$C,"")</f>
        <v/>
      </c>
      <c r="P18" s="3">
        <f>IF(O18&gt;=1,"OHKO",IF(O18&gt;=0.5,"2HKO",IF(O18&gt;=0.333,"3HKO",IF(O18&gt;=0.25,"4HKO","5HKO+"))))</f>
        <v/>
      </c>
      <c r="Q18" s="3" t="inlineStr">
        <is>
          <t>Live from Threshold Summary and editor tabs</t>
        </is>
      </c>
      <c r="R18" s="3" t="inlineStr">
        <is>
          <t>SPECIES_MINCCINO</t>
        </is>
      </c>
    </row>
    <row r="19">
      <c r="A19" s="3">
        <f>XLOOKUP($R19,'Threshold Summary'!$Y:$Y,'Threshold Summary'!$A:$A,"")</f>
        <v/>
      </c>
      <c r="B19" s="3" t="inlineStr">
        <is>
          <t>Route 104 / Land / south</t>
        </is>
      </c>
      <c r="C19" s="3">
        <f>XLOOKUP($R19,'Threshold Summary'!$Y:$Y,'Threshold Summary'!$L:$L,"")</f>
        <v/>
      </c>
      <c r="D19" s="3">
        <f>XLOOKUP($R19,'Threshold Summary'!$Y:$Y,'Threshold Summary'!$M:$M,"")</f>
        <v/>
      </c>
      <c r="E19" s="3">
        <f>XLOOKUP($R19,'Threshold Summary'!$Y:$Y,'Threshold Summary'!$N:$N,"")</f>
        <v/>
      </c>
      <c r="F19" s="3">
        <f>XLOOKUP($R19,'Threshold Summary'!$Y:$Y,'Threshold Summary'!$B:$B,"")</f>
        <v/>
      </c>
      <c r="G19" s="3">
        <f>XLOOKUP(F19,'Move Editor'!$B:$B,'Move Editor'!$C:$C,"")</f>
        <v/>
      </c>
      <c r="H19" s="3">
        <f>XLOOKUP(F19,'Move Editor'!$B:$B,'Move Editor'!$D:$D,"")</f>
        <v/>
      </c>
      <c r="I19" s="3">
        <f>XLOOKUP(F19,'Move Editor'!$B:$B,'Move Editor'!$E:$E,0)</f>
        <v/>
      </c>
      <c r="J19" s="3">
        <f>XLOOKUP(F19,'Move Editor'!$B:$B,'Move Editor'!$F:$F,0)</f>
        <v/>
      </c>
      <c r="K19" s="3">
        <f>XLOOKUP($R19,'Threshold Summary'!$Y:$Y,'Threshold Summary'!$U:$U,"")</f>
        <v/>
      </c>
      <c r="L19" s="3">
        <f>XLOOKUP($R19,'Threshold Summary'!$Y:$Y,'Threshold Summary'!$V:$V,"")</f>
        <v/>
      </c>
      <c r="M19" s="3">
        <f>AVERAGE(K19:L19)</f>
        <v/>
      </c>
      <c r="N19" s="3">
        <f>M19*J19/100</f>
        <v/>
      </c>
      <c r="O19" s="4">
        <f>XLOOKUP($R19,'Threshold Summary'!$Y:$Y,'Threshold Summary'!$C:$C,"")</f>
        <v/>
      </c>
      <c r="P19" s="3">
        <f>IF(O19&gt;=1,"OHKO",IF(O19&gt;=0.5,"2HKO",IF(O19&gt;=0.333,"3HKO",IF(O19&gt;=0.25,"4HKO","5HKO+"))))</f>
        <v/>
      </c>
      <c r="Q19" s="3" t="inlineStr">
        <is>
          <t>Live from Threshold Summary and editor tabs</t>
        </is>
      </c>
      <c r="R19" s="3" t="inlineStr">
        <is>
          <t>SPECIES_DUCKLETT</t>
        </is>
      </c>
    </row>
    <row r="20">
      <c r="A20" s="3">
        <f>XLOOKUP($R20,'Threshold Summary'!$Y:$Y,'Threshold Summary'!$A:$A,"")</f>
        <v/>
      </c>
      <c r="B20" s="3" t="inlineStr">
        <is>
          <t>Route 101 / Land / day, Route 103 / Land / day, Route 116 / Land / day</t>
        </is>
      </c>
      <c r="C20" s="3">
        <f>XLOOKUP($R20,'Threshold Summary'!$Y:$Y,'Threshold Summary'!$L:$L,"")</f>
        <v/>
      </c>
      <c r="D20" s="3">
        <f>XLOOKUP($R20,'Threshold Summary'!$Y:$Y,'Threshold Summary'!$M:$M,"")</f>
        <v/>
      </c>
      <c r="E20" s="3">
        <f>XLOOKUP($R20,'Threshold Summary'!$Y:$Y,'Threshold Summary'!$N:$N,"")</f>
        <v/>
      </c>
      <c r="F20" s="3">
        <f>XLOOKUP($R20,'Threshold Summary'!$Y:$Y,'Threshold Summary'!$B:$B,"")</f>
        <v/>
      </c>
      <c r="G20" s="3">
        <f>XLOOKUP(F20,'Move Editor'!$B:$B,'Move Editor'!$C:$C,"")</f>
        <v/>
      </c>
      <c r="H20" s="3">
        <f>XLOOKUP(F20,'Move Editor'!$B:$B,'Move Editor'!$D:$D,"")</f>
        <v/>
      </c>
      <c r="I20" s="3">
        <f>XLOOKUP(F20,'Move Editor'!$B:$B,'Move Editor'!$E:$E,0)</f>
        <v/>
      </c>
      <c r="J20" s="3">
        <f>XLOOKUP(F20,'Move Editor'!$B:$B,'Move Editor'!$F:$F,0)</f>
        <v/>
      </c>
      <c r="K20" s="3">
        <f>XLOOKUP($R20,'Threshold Summary'!$Y:$Y,'Threshold Summary'!$U:$U,"")</f>
        <v/>
      </c>
      <c r="L20" s="3">
        <f>XLOOKUP($R20,'Threshold Summary'!$Y:$Y,'Threshold Summary'!$V:$V,"")</f>
        <v/>
      </c>
      <c r="M20" s="3">
        <f>AVERAGE(K20:L20)</f>
        <v/>
      </c>
      <c r="N20" s="3">
        <f>M20*J20/100</f>
        <v/>
      </c>
      <c r="O20" s="4">
        <f>XLOOKUP($R20,'Threshold Summary'!$Y:$Y,'Threshold Summary'!$C:$C,"")</f>
        <v/>
      </c>
      <c r="P20" s="3">
        <f>IF(O20&gt;=1,"OHKO",IF(O20&gt;=0.5,"2HKO",IF(O20&gt;=0.333,"3HKO",IF(O20&gt;=0.25,"4HKO","5HKO+"))))</f>
        <v/>
      </c>
      <c r="Q20" s="3" t="inlineStr">
        <is>
          <t>Live from Threshold Summary and editor tabs</t>
        </is>
      </c>
      <c r="R20" s="3" t="inlineStr">
        <is>
          <t>SPECIES_FLETCHLING</t>
        </is>
      </c>
    </row>
    <row r="21">
      <c r="A21" s="3">
        <f>XLOOKUP($R21,'Threshold Summary'!$Y:$Y,'Threshold Summary'!$A:$A,"")</f>
        <v/>
      </c>
      <c r="B21" s="3" t="inlineStr">
        <is>
          <t>Route 104 / Land / north</t>
        </is>
      </c>
      <c r="C21" s="3">
        <f>XLOOKUP($R21,'Threshold Summary'!$Y:$Y,'Threshold Summary'!$L:$L,"")</f>
        <v/>
      </c>
      <c r="D21" s="3">
        <f>XLOOKUP($R21,'Threshold Summary'!$Y:$Y,'Threshold Summary'!$M:$M,"")</f>
        <v/>
      </c>
      <c r="E21" s="3">
        <f>XLOOKUP($R21,'Threshold Summary'!$Y:$Y,'Threshold Summary'!$N:$N,"")</f>
        <v/>
      </c>
      <c r="F21" s="3">
        <f>XLOOKUP($R21,'Threshold Summary'!$Y:$Y,'Threshold Summary'!$B:$B,"")</f>
        <v/>
      </c>
      <c r="G21" s="3">
        <f>XLOOKUP(F21,'Move Editor'!$B:$B,'Move Editor'!$C:$C,"")</f>
        <v/>
      </c>
      <c r="H21" s="3">
        <f>XLOOKUP(F21,'Move Editor'!$B:$B,'Move Editor'!$D:$D,"")</f>
        <v/>
      </c>
      <c r="I21" s="3">
        <f>XLOOKUP(F21,'Move Editor'!$B:$B,'Move Editor'!$E:$E,0)</f>
        <v/>
      </c>
      <c r="J21" s="3">
        <f>XLOOKUP(F21,'Move Editor'!$B:$B,'Move Editor'!$F:$F,0)</f>
        <v/>
      </c>
      <c r="K21" s="3">
        <f>XLOOKUP($R21,'Threshold Summary'!$Y:$Y,'Threshold Summary'!$U:$U,"")</f>
        <v/>
      </c>
      <c r="L21" s="3">
        <f>XLOOKUP($R21,'Threshold Summary'!$Y:$Y,'Threshold Summary'!$V:$V,"")</f>
        <v/>
      </c>
      <c r="M21" s="3">
        <f>AVERAGE(K21:L21)</f>
        <v/>
      </c>
      <c r="N21" s="3">
        <f>M21*J21/100</f>
        <v/>
      </c>
      <c r="O21" s="4">
        <f>XLOOKUP($R21,'Threshold Summary'!$Y:$Y,'Threshold Summary'!$C:$C,"")</f>
        <v/>
      </c>
      <c r="P21" s="3">
        <f>IF(O21&gt;=1,"OHKO",IF(O21&gt;=0.5,"2HKO",IF(O21&gt;=0.333,"3HKO",IF(O21&gt;=0.25,"4HKO","5HKO+"))))</f>
        <v/>
      </c>
      <c r="Q21" s="3" t="inlineStr">
        <is>
          <t>Live from Threshold Summary and editor tabs</t>
        </is>
      </c>
      <c r="R21" s="3" t="inlineStr">
        <is>
          <t>SPECIES_LITLEO</t>
        </is>
      </c>
    </row>
    <row r="22">
      <c r="A22" s="3">
        <f>XLOOKUP($R22,'Threshold Summary'!$Y:$Y,'Threshold Summary'!$A:$A,"")</f>
        <v/>
      </c>
      <c r="B22" s="3" t="inlineStr">
        <is>
          <t>Route 116 / Land / night</t>
        </is>
      </c>
      <c r="C22" s="3">
        <f>XLOOKUP($R22,'Threshold Summary'!$Y:$Y,'Threshold Summary'!$L:$L,"")</f>
        <v/>
      </c>
      <c r="D22" s="3">
        <f>XLOOKUP($R22,'Threshold Summary'!$Y:$Y,'Threshold Summary'!$M:$M,"")</f>
        <v/>
      </c>
      <c r="E22" s="3">
        <f>XLOOKUP($R22,'Threshold Summary'!$Y:$Y,'Threshold Summary'!$N:$N,"")</f>
        <v/>
      </c>
      <c r="F22" s="3">
        <f>XLOOKUP($R22,'Threshold Summary'!$Y:$Y,'Threshold Summary'!$B:$B,"")</f>
        <v/>
      </c>
      <c r="G22" s="3">
        <f>XLOOKUP(F22,'Move Editor'!$B:$B,'Move Editor'!$C:$C,"")</f>
        <v/>
      </c>
      <c r="H22" s="3">
        <f>XLOOKUP(F22,'Move Editor'!$B:$B,'Move Editor'!$D:$D,"")</f>
        <v/>
      </c>
      <c r="I22" s="3">
        <f>XLOOKUP(F22,'Move Editor'!$B:$B,'Move Editor'!$E:$E,0)</f>
        <v/>
      </c>
      <c r="J22" s="3">
        <f>XLOOKUP(F22,'Move Editor'!$B:$B,'Move Editor'!$F:$F,0)</f>
        <v/>
      </c>
      <c r="K22" s="3">
        <f>XLOOKUP($R22,'Threshold Summary'!$Y:$Y,'Threshold Summary'!$U:$U,"")</f>
        <v/>
      </c>
      <c r="L22" s="3">
        <f>XLOOKUP($R22,'Threshold Summary'!$Y:$Y,'Threshold Summary'!$V:$V,"")</f>
        <v/>
      </c>
      <c r="M22" s="3">
        <f>AVERAGE(K22:L22)</f>
        <v/>
      </c>
      <c r="N22" s="3">
        <f>M22*J22/100</f>
        <v/>
      </c>
      <c r="O22" s="4">
        <f>XLOOKUP($R22,'Threshold Summary'!$Y:$Y,'Threshold Summary'!$C:$C,"")</f>
        <v/>
      </c>
      <c r="P22" s="3">
        <f>IF(O22&gt;=1,"OHKO",IF(O22&gt;=0.5,"2HKO",IF(O22&gt;=0.333,"3HKO",IF(O22&gt;=0.25,"4HKO","5HKO+"))))</f>
        <v/>
      </c>
      <c r="Q22" s="3" t="inlineStr">
        <is>
          <t>Live from Threshold Summary and editor tabs</t>
        </is>
      </c>
      <c r="R22" s="3" t="inlineStr">
        <is>
          <t>SPECIES_PANCHAM</t>
        </is>
      </c>
    </row>
    <row r="23">
      <c r="A23" s="3">
        <f>XLOOKUP($R23,'Threshold Summary'!$Y:$Y,'Threshold Summary'!$A:$A,"")</f>
        <v/>
      </c>
      <c r="B23" s="3" t="inlineStr">
        <is>
          <t>Petalburg Woods / Land / night</t>
        </is>
      </c>
      <c r="C23" s="3">
        <f>XLOOKUP($R23,'Threshold Summary'!$Y:$Y,'Threshold Summary'!$L:$L,"")</f>
        <v/>
      </c>
      <c r="D23" s="3">
        <f>XLOOKUP($R23,'Threshold Summary'!$Y:$Y,'Threshold Summary'!$M:$M,"")</f>
        <v/>
      </c>
      <c r="E23" s="3">
        <f>XLOOKUP($R23,'Threshold Summary'!$Y:$Y,'Threshold Summary'!$N:$N,"")</f>
        <v/>
      </c>
      <c r="F23" s="3">
        <f>XLOOKUP($R23,'Threshold Summary'!$Y:$Y,'Threshold Summary'!$B:$B,"")</f>
        <v/>
      </c>
      <c r="G23" s="3">
        <f>XLOOKUP(F23,'Move Editor'!$B:$B,'Move Editor'!$C:$C,"")</f>
        <v/>
      </c>
      <c r="H23" s="3">
        <f>XLOOKUP(F23,'Move Editor'!$B:$B,'Move Editor'!$D:$D,"")</f>
        <v/>
      </c>
      <c r="I23" s="3">
        <f>XLOOKUP(F23,'Move Editor'!$B:$B,'Move Editor'!$E:$E,0)</f>
        <v/>
      </c>
      <c r="J23" s="3">
        <f>XLOOKUP(F23,'Move Editor'!$B:$B,'Move Editor'!$F:$F,0)</f>
        <v/>
      </c>
      <c r="K23" s="3">
        <f>XLOOKUP($R23,'Threshold Summary'!$Y:$Y,'Threshold Summary'!$U:$U,"")</f>
        <v/>
      </c>
      <c r="L23" s="3">
        <f>XLOOKUP($R23,'Threshold Summary'!$Y:$Y,'Threshold Summary'!$V:$V,"")</f>
        <v/>
      </c>
      <c r="M23" s="3">
        <f>AVERAGE(K23:L23)</f>
        <v/>
      </c>
      <c r="N23" s="3">
        <f>M23*J23/100</f>
        <v/>
      </c>
      <c r="O23" s="4">
        <f>XLOOKUP($R23,'Threshold Summary'!$Y:$Y,'Threshold Summary'!$C:$C,"")</f>
        <v/>
      </c>
      <c r="P23" s="3">
        <f>IF(O23&gt;=1,"OHKO",IF(O23&gt;=0.5,"2HKO",IF(O23&gt;=0.333,"3HKO",IF(O23&gt;=0.25,"4HKO","5HKO+"))))</f>
        <v/>
      </c>
      <c r="Q23" s="3" t="inlineStr">
        <is>
          <t>Live from Threshold Summary and editor tabs</t>
        </is>
      </c>
      <c r="R23" s="3" t="inlineStr">
        <is>
          <t>SPECIES_PHANTUMP</t>
        </is>
      </c>
    </row>
    <row r="24">
      <c r="A24" s="3">
        <f>XLOOKUP($R24,'Threshold Summary'!$Y:$Y,'Threshold Summary'!$A:$A,"")</f>
        <v/>
      </c>
      <c r="B24" s="3" t="inlineStr">
        <is>
          <t>Petalburg Woods / Land / day</t>
        </is>
      </c>
      <c r="C24" s="3">
        <f>XLOOKUP($R24,'Threshold Summary'!$Y:$Y,'Threshold Summary'!$L:$L,"")</f>
        <v/>
      </c>
      <c r="D24" s="3">
        <f>XLOOKUP($R24,'Threshold Summary'!$Y:$Y,'Threshold Summary'!$M:$M,"")</f>
        <v/>
      </c>
      <c r="E24" s="3">
        <f>XLOOKUP($R24,'Threshold Summary'!$Y:$Y,'Threshold Summary'!$N:$N,"")</f>
        <v/>
      </c>
      <c r="F24" s="3">
        <f>XLOOKUP($R24,'Threshold Summary'!$Y:$Y,'Threshold Summary'!$B:$B,"")</f>
        <v/>
      </c>
      <c r="G24" s="3">
        <f>XLOOKUP(F24,'Move Editor'!$B:$B,'Move Editor'!$C:$C,"")</f>
        <v/>
      </c>
      <c r="H24" s="3">
        <f>XLOOKUP(F24,'Move Editor'!$B:$B,'Move Editor'!$D:$D,"")</f>
        <v/>
      </c>
      <c r="I24" s="3">
        <f>XLOOKUP(F24,'Move Editor'!$B:$B,'Move Editor'!$E:$E,0)</f>
        <v/>
      </c>
      <c r="J24" s="3">
        <f>XLOOKUP(F24,'Move Editor'!$B:$B,'Move Editor'!$F:$F,0)</f>
        <v/>
      </c>
      <c r="K24" s="3">
        <f>XLOOKUP($R24,'Threshold Summary'!$Y:$Y,'Threshold Summary'!$U:$U,"")</f>
        <v/>
      </c>
      <c r="L24" s="3">
        <f>XLOOKUP($R24,'Threshold Summary'!$Y:$Y,'Threshold Summary'!$V:$V,"")</f>
        <v/>
      </c>
      <c r="M24" s="3">
        <f>AVERAGE(K24:L24)</f>
        <v/>
      </c>
      <c r="N24" s="3">
        <f>M24*J24/100</f>
        <v/>
      </c>
      <c r="O24" s="4">
        <f>XLOOKUP($R24,'Threshold Summary'!$Y:$Y,'Threshold Summary'!$C:$C,"")</f>
        <v/>
      </c>
      <c r="P24" s="3">
        <f>IF(O24&gt;=1,"OHKO",IF(O24&gt;=0.5,"2HKO",IF(O24&gt;=0.333,"3HKO",IF(O24&gt;=0.25,"4HKO","5HKO+"))))</f>
        <v/>
      </c>
      <c r="Q24" s="3" t="inlineStr">
        <is>
          <t>Live from Threshold Summary and editor tabs</t>
        </is>
      </c>
      <c r="R24" s="3" t="inlineStr">
        <is>
          <t>SPECIES_CUTIEFLY</t>
        </is>
      </c>
    </row>
    <row r="25">
      <c r="A25" s="3">
        <f>XLOOKUP($R25,'Threshold Summary'!$Y:$Y,'Threshold Summary'!$A:$A,"")</f>
        <v/>
      </c>
      <c r="B25" s="3" t="inlineStr">
        <is>
          <t>Route 116 / Land / day</t>
        </is>
      </c>
      <c r="C25" s="3">
        <f>XLOOKUP($R25,'Threshold Summary'!$Y:$Y,'Threshold Summary'!$L:$L,"")</f>
        <v/>
      </c>
      <c r="D25" s="3">
        <f>XLOOKUP($R25,'Threshold Summary'!$Y:$Y,'Threshold Summary'!$M:$M,"")</f>
        <v/>
      </c>
      <c r="E25" s="3">
        <f>XLOOKUP($R25,'Threshold Summary'!$Y:$Y,'Threshold Summary'!$N:$N,"")</f>
        <v/>
      </c>
      <c r="F25" s="3">
        <f>XLOOKUP($R25,'Threshold Summary'!$Y:$Y,'Threshold Summary'!$B:$B,"")</f>
        <v/>
      </c>
      <c r="G25" s="3">
        <f>XLOOKUP(F25,'Move Editor'!$B:$B,'Move Editor'!$C:$C,"")</f>
        <v/>
      </c>
      <c r="H25" s="3">
        <f>XLOOKUP(F25,'Move Editor'!$B:$B,'Move Editor'!$D:$D,"")</f>
        <v/>
      </c>
      <c r="I25" s="3">
        <f>XLOOKUP(F25,'Move Editor'!$B:$B,'Move Editor'!$E:$E,0)</f>
        <v/>
      </c>
      <c r="J25" s="3">
        <f>XLOOKUP(F25,'Move Editor'!$B:$B,'Move Editor'!$F:$F,0)</f>
        <v/>
      </c>
      <c r="K25" s="3">
        <f>XLOOKUP($R25,'Threshold Summary'!$Y:$Y,'Threshold Summary'!$U:$U,"")</f>
        <v/>
      </c>
      <c r="L25" s="3">
        <f>XLOOKUP($R25,'Threshold Summary'!$Y:$Y,'Threshold Summary'!$V:$V,"")</f>
        <v/>
      </c>
      <c r="M25" s="3">
        <f>AVERAGE(K25:L25)</f>
        <v/>
      </c>
      <c r="N25" s="3">
        <f>M25*J25/100</f>
        <v/>
      </c>
      <c r="O25" s="4">
        <f>XLOOKUP($R25,'Threshold Summary'!$Y:$Y,'Threshold Summary'!$C:$C,"")</f>
        <v/>
      </c>
      <c r="P25" s="3">
        <f>IF(O25&gt;=1,"OHKO",IF(O25&gt;=0.5,"2HKO",IF(O25&gt;=0.333,"3HKO",IF(O25&gt;=0.25,"4HKO","5HKO+"))))</f>
        <v/>
      </c>
      <c r="Q25" s="3" t="inlineStr">
        <is>
          <t>Live from Threshold Summary and editor tabs</t>
        </is>
      </c>
      <c r="R25" s="3" t="inlineStr">
        <is>
          <t>SPECIES_STUFFUL</t>
        </is>
      </c>
    </row>
    <row r="26">
      <c r="A26" s="3">
        <f>XLOOKUP($R26,'Threshold Summary'!$Y:$Y,'Threshold Summary'!$A:$A,"")</f>
        <v/>
      </c>
      <c r="B26" s="3" t="inlineStr">
        <is>
          <t>Petalburg Woods / Land / night</t>
        </is>
      </c>
      <c r="C26" s="3">
        <f>XLOOKUP($R26,'Threshold Summary'!$Y:$Y,'Threshold Summary'!$L:$L,"")</f>
        <v/>
      </c>
      <c r="D26" s="3">
        <f>XLOOKUP($R26,'Threshold Summary'!$Y:$Y,'Threshold Summary'!$M:$M,"")</f>
        <v/>
      </c>
      <c r="E26" s="3">
        <f>XLOOKUP($R26,'Threshold Summary'!$Y:$Y,'Threshold Summary'!$N:$N,"")</f>
        <v/>
      </c>
      <c r="F26" s="3">
        <f>XLOOKUP($R26,'Threshold Summary'!$Y:$Y,'Threshold Summary'!$B:$B,"")</f>
        <v/>
      </c>
      <c r="G26" s="3">
        <f>XLOOKUP(F26,'Move Editor'!$B:$B,'Move Editor'!$C:$C,"")</f>
        <v/>
      </c>
      <c r="H26" s="3">
        <f>XLOOKUP(F26,'Move Editor'!$B:$B,'Move Editor'!$D:$D,"")</f>
        <v/>
      </c>
      <c r="I26" s="3">
        <f>XLOOKUP(F26,'Move Editor'!$B:$B,'Move Editor'!$E:$E,0)</f>
        <v/>
      </c>
      <c r="J26" s="3">
        <f>XLOOKUP(F26,'Move Editor'!$B:$B,'Move Editor'!$F:$F,0)</f>
        <v/>
      </c>
      <c r="K26" s="3">
        <f>XLOOKUP($R26,'Threshold Summary'!$Y:$Y,'Threshold Summary'!$U:$U,"")</f>
        <v/>
      </c>
      <c r="L26" s="3">
        <f>XLOOKUP($R26,'Threshold Summary'!$Y:$Y,'Threshold Summary'!$V:$V,"")</f>
        <v/>
      </c>
      <c r="M26" s="3">
        <f>AVERAGE(K26:L26)</f>
        <v/>
      </c>
      <c r="N26" s="3">
        <f>M26*J26/100</f>
        <v/>
      </c>
      <c r="O26" s="4">
        <f>XLOOKUP($R26,'Threshold Summary'!$Y:$Y,'Threshold Summary'!$C:$C,"")</f>
        <v/>
      </c>
      <c r="P26" s="3">
        <f>IF(O26&gt;=1,"OHKO",IF(O26&gt;=0.5,"2HKO",IF(O26&gt;=0.333,"3HKO",IF(O26&gt;=0.25,"4HKO","5HKO+"))))</f>
        <v/>
      </c>
      <c r="Q26" s="3" t="inlineStr">
        <is>
          <t>Live from Threshold Summary and editor tabs</t>
        </is>
      </c>
      <c r="R26" s="3" t="inlineStr">
        <is>
          <t>SPECIES_BOUNSWEET</t>
        </is>
      </c>
    </row>
    <row r="27">
      <c r="A27" s="3">
        <f>XLOOKUP($R27,'Threshold Summary'!$Y:$Y,'Threshold Summary'!$A:$A,"")</f>
        <v/>
      </c>
      <c r="B27" s="3" t="inlineStr">
        <is>
          <t>Route 101 / Land / day, Route 103 / Land / day</t>
        </is>
      </c>
      <c r="C27" s="3">
        <f>XLOOKUP($R27,'Threshold Summary'!$Y:$Y,'Threshold Summary'!$L:$L,"")</f>
        <v/>
      </c>
      <c r="D27" s="3">
        <f>XLOOKUP($R27,'Threshold Summary'!$Y:$Y,'Threshold Summary'!$M:$M,"")</f>
        <v/>
      </c>
      <c r="E27" s="3">
        <f>XLOOKUP($R27,'Threshold Summary'!$Y:$Y,'Threshold Summary'!$N:$N,"")</f>
        <v/>
      </c>
      <c r="F27" s="3">
        <f>XLOOKUP($R27,'Threshold Summary'!$Y:$Y,'Threshold Summary'!$B:$B,"")</f>
        <v/>
      </c>
      <c r="G27" s="3">
        <f>XLOOKUP(F27,'Move Editor'!$B:$B,'Move Editor'!$C:$C,"")</f>
        <v/>
      </c>
      <c r="H27" s="3">
        <f>XLOOKUP(F27,'Move Editor'!$B:$B,'Move Editor'!$D:$D,"")</f>
        <v/>
      </c>
      <c r="I27" s="3">
        <f>XLOOKUP(F27,'Move Editor'!$B:$B,'Move Editor'!$E:$E,0)</f>
        <v/>
      </c>
      <c r="J27" s="3">
        <f>XLOOKUP(F27,'Move Editor'!$B:$B,'Move Editor'!$F:$F,0)</f>
        <v/>
      </c>
      <c r="K27" s="3">
        <f>XLOOKUP($R27,'Threshold Summary'!$Y:$Y,'Threshold Summary'!$U:$U,"")</f>
        <v/>
      </c>
      <c r="L27" s="3">
        <f>XLOOKUP($R27,'Threshold Summary'!$Y:$Y,'Threshold Summary'!$V:$V,"")</f>
        <v/>
      </c>
      <c r="M27" s="3">
        <f>AVERAGE(K27:L27)</f>
        <v/>
      </c>
      <c r="N27" s="3">
        <f>M27*J27/100</f>
        <v/>
      </c>
      <c r="O27" s="4">
        <f>XLOOKUP($R27,'Threshold Summary'!$Y:$Y,'Threshold Summary'!$C:$C,"")</f>
        <v/>
      </c>
      <c r="P27" s="3">
        <f>IF(O27&gt;=1,"OHKO",IF(O27&gt;=0.5,"2HKO",IF(O27&gt;=0.333,"3HKO",IF(O27&gt;=0.25,"4HKO","5HKO+"))))</f>
        <v/>
      </c>
      <c r="Q27" s="3" t="inlineStr">
        <is>
          <t>Live from Threshold Summary and editor tabs</t>
        </is>
      </c>
      <c r="R27" s="3" t="inlineStr">
        <is>
          <t>SPECIES_BLIPBUG</t>
        </is>
      </c>
    </row>
    <row r="28">
      <c r="A28" s="3">
        <f>XLOOKUP($R28,'Threshold Summary'!$Y:$Y,'Threshold Summary'!$A:$A,"")</f>
        <v/>
      </c>
      <c r="B28" s="3" t="inlineStr">
        <is>
          <t>Route 116 / Land / day, Route 116 / Land / night</t>
        </is>
      </c>
      <c r="C28" s="3">
        <f>XLOOKUP($R28,'Threshold Summary'!$Y:$Y,'Threshold Summary'!$L:$L,"")</f>
        <v/>
      </c>
      <c r="D28" s="3">
        <f>XLOOKUP($R28,'Threshold Summary'!$Y:$Y,'Threshold Summary'!$M:$M,"")</f>
        <v/>
      </c>
      <c r="E28" s="3">
        <f>XLOOKUP($R28,'Threshold Summary'!$Y:$Y,'Threshold Summary'!$N:$N,"")</f>
        <v/>
      </c>
      <c r="F28" s="3">
        <f>XLOOKUP($R28,'Threshold Summary'!$Y:$Y,'Threshold Summary'!$B:$B,"")</f>
        <v/>
      </c>
      <c r="G28" s="3">
        <f>XLOOKUP(F28,'Move Editor'!$B:$B,'Move Editor'!$C:$C,"")</f>
        <v/>
      </c>
      <c r="H28" s="3">
        <f>XLOOKUP(F28,'Move Editor'!$B:$B,'Move Editor'!$D:$D,"")</f>
        <v/>
      </c>
      <c r="I28" s="3">
        <f>XLOOKUP(F28,'Move Editor'!$B:$B,'Move Editor'!$E:$E,0)</f>
        <v/>
      </c>
      <c r="J28" s="3">
        <f>XLOOKUP(F28,'Move Editor'!$B:$B,'Move Editor'!$F:$F,0)</f>
        <v/>
      </c>
      <c r="K28" s="3">
        <f>XLOOKUP($R28,'Threshold Summary'!$Y:$Y,'Threshold Summary'!$U:$U,"")</f>
        <v/>
      </c>
      <c r="L28" s="3">
        <f>XLOOKUP($R28,'Threshold Summary'!$Y:$Y,'Threshold Summary'!$V:$V,"")</f>
        <v/>
      </c>
      <c r="M28" s="3">
        <f>AVERAGE(K28:L28)</f>
        <v/>
      </c>
      <c r="N28" s="3">
        <f>M28*J28/100</f>
        <v/>
      </c>
      <c r="O28" s="4">
        <f>XLOOKUP($R28,'Threshold Summary'!$Y:$Y,'Threshold Summary'!$C:$C,"")</f>
        <v/>
      </c>
      <c r="P28" s="3">
        <f>IF(O28&gt;=1,"OHKO",IF(O28&gt;=0.5,"2HKO",IF(O28&gt;=0.333,"3HKO",IF(O28&gt;=0.25,"4HKO","5HKO+"))))</f>
        <v/>
      </c>
      <c r="Q28" s="3" t="inlineStr">
        <is>
          <t>Live from Threshold Summary and editor tabs</t>
        </is>
      </c>
      <c r="R28" s="3" t="inlineStr">
        <is>
          <t>SPECIES_TOXEL</t>
        </is>
      </c>
    </row>
    <row r="29">
      <c r="A29" s="3">
        <f>XLOOKUP($R29,'Threshold Summary'!$Y:$Y,'Threshold Summary'!$A:$A,"")</f>
        <v/>
      </c>
      <c r="B29" s="3" t="inlineStr">
        <is>
          <t>Route 101 / Land / night, Route 103 / Land / night</t>
        </is>
      </c>
      <c r="C29" s="3">
        <f>XLOOKUP($R29,'Threshold Summary'!$Y:$Y,'Threshold Summary'!$L:$L,"")</f>
        <v/>
      </c>
      <c r="D29" s="3">
        <f>XLOOKUP($R29,'Threshold Summary'!$Y:$Y,'Threshold Summary'!$M:$M,"")</f>
        <v/>
      </c>
      <c r="E29" s="3">
        <f>XLOOKUP($R29,'Threshold Summary'!$Y:$Y,'Threshold Summary'!$N:$N,"")</f>
        <v/>
      </c>
      <c r="F29" s="3">
        <f>XLOOKUP($R29,'Threshold Summary'!$Y:$Y,'Threshold Summary'!$B:$B,"")</f>
        <v/>
      </c>
      <c r="G29" s="3">
        <f>XLOOKUP(F29,'Move Editor'!$B:$B,'Move Editor'!$C:$C,"")</f>
        <v/>
      </c>
      <c r="H29" s="3">
        <f>XLOOKUP(F29,'Move Editor'!$B:$B,'Move Editor'!$D:$D,"")</f>
        <v/>
      </c>
      <c r="I29" s="3">
        <f>XLOOKUP(F29,'Move Editor'!$B:$B,'Move Editor'!$E:$E,0)</f>
        <v/>
      </c>
      <c r="J29" s="3">
        <f>XLOOKUP(F29,'Move Editor'!$B:$B,'Move Editor'!$F:$F,0)</f>
        <v/>
      </c>
      <c r="K29" s="3">
        <f>XLOOKUP($R29,'Threshold Summary'!$Y:$Y,'Threshold Summary'!$U:$U,"")</f>
        <v/>
      </c>
      <c r="L29" s="3">
        <f>XLOOKUP($R29,'Threshold Summary'!$Y:$Y,'Threshold Summary'!$V:$V,"")</f>
        <v/>
      </c>
      <c r="M29" s="3">
        <f>AVERAGE(K29:L29)</f>
        <v/>
      </c>
      <c r="N29" s="3">
        <f>M29*J29/100</f>
        <v/>
      </c>
      <c r="O29" s="4">
        <f>XLOOKUP($R29,'Threshold Summary'!$Y:$Y,'Threshold Summary'!$C:$C,"")</f>
        <v/>
      </c>
      <c r="P29" s="3">
        <f>IF(O29&gt;=1,"OHKO",IF(O29&gt;=0.5,"2HKO",IF(O29&gt;=0.333,"3HKO",IF(O29&gt;=0.25,"4HKO","5HKO+"))))</f>
        <v/>
      </c>
      <c r="Q29" s="3" t="inlineStr">
        <is>
          <t>Live from Threshold Summary and editor tabs</t>
        </is>
      </c>
      <c r="R29" s="3" t="inlineStr">
        <is>
          <t>SPECIES_NYMBLE</t>
        </is>
      </c>
    </row>
    <row r="30">
      <c r="A30" s="3">
        <f>XLOOKUP($R30,'Threshold Summary'!$Y:$Y,'Threshold Summary'!$A:$A,"")</f>
        <v/>
      </c>
      <c r="B30" s="3" t="inlineStr">
        <is>
          <t>Route 103 / Land / night</t>
        </is>
      </c>
      <c r="C30" s="3">
        <f>XLOOKUP($R30,'Threshold Summary'!$Y:$Y,'Threshold Summary'!$L:$L,"")</f>
        <v/>
      </c>
      <c r="D30" s="3">
        <f>XLOOKUP($R30,'Threshold Summary'!$Y:$Y,'Threshold Summary'!$M:$M,"")</f>
        <v/>
      </c>
      <c r="E30" s="3">
        <f>XLOOKUP($R30,'Threshold Summary'!$Y:$Y,'Threshold Summary'!$N:$N,"")</f>
        <v/>
      </c>
      <c r="F30" s="3">
        <f>XLOOKUP($R30,'Threshold Summary'!$Y:$Y,'Threshold Summary'!$B:$B,"")</f>
        <v/>
      </c>
      <c r="G30" s="3">
        <f>XLOOKUP(F30,'Move Editor'!$B:$B,'Move Editor'!$C:$C,"")</f>
        <v/>
      </c>
      <c r="H30" s="3">
        <f>XLOOKUP(F30,'Move Editor'!$B:$B,'Move Editor'!$D:$D,"")</f>
        <v/>
      </c>
      <c r="I30" s="3">
        <f>XLOOKUP(F30,'Move Editor'!$B:$B,'Move Editor'!$E:$E,0)</f>
        <v/>
      </c>
      <c r="J30" s="3">
        <f>XLOOKUP(F30,'Move Editor'!$B:$B,'Move Editor'!$F:$F,0)</f>
        <v/>
      </c>
      <c r="K30" s="3">
        <f>XLOOKUP($R30,'Threshold Summary'!$Y:$Y,'Threshold Summary'!$U:$U,"")</f>
        <v/>
      </c>
      <c r="L30" s="3">
        <f>XLOOKUP($R30,'Threshold Summary'!$Y:$Y,'Threshold Summary'!$V:$V,"")</f>
        <v/>
      </c>
      <c r="M30" s="3">
        <f>AVERAGE(K30:L30)</f>
        <v/>
      </c>
      <c r="N30" s="3">
        <f>M30*J30/100</f>
        <v/>
      </c>
      <c r="O30" s="4">
        <f>XLOOKUP($R30,'Threshold Summary'!$Y:$Y,'Threshold Summary'!$C:$C,"")</f>
        <v/>
      </c>
      <c r="P30" s="3">
        <f>IF(O30&gt;=1,"OHKO",IF(O30&gt;=0.5,"2HKO",IF(O30&gt;=0.333,"3HKO",IF(O30&gt;=0.25,"4HKO","5HKO+"))))</f>
        <v/>
      </c>
      <c r="Q30" s="3" t="inlineStr">
        <is>
          <t>Live from Threshold Summary and editor tabs</t>
        </is>
      </c>
      <c r="R30" s="3" t="inlineStr">
        <is>
          <t>SPECIES_TANDEMAUS</t>
        </is>
      </c>
    </row>
    <row r="31">
      <c r="A31" s="3">
        <f>XLOOKUP($R31,'Threshold Summary'!$Y:$Y,'Threshold Summary'!$A:$A,"")</f>
        <v/>
      </c>
      <c r="B31" s="3" t="inlineStr">
        <is>
          <t>Route 102 / Land / day, Route 102 / Land / night</t>
        </is>
      </c>
      <c r="C31" s="3">
        <f>XLOOKUP($R31,'Threshold Summary'!$Y:$Y,'Threshold Summary'!$L:$L,"")</f>
        <v/>
      </c>
      <c r="D31" s="3">
        <f>XLOOKUP($R31,'Threshold Summary'!$Y:$Y,'Threshold Summary'!$M:$M,"")</f>
        <v/>
      </c>
      <c r="E31" s="3">
        <f>XLOOKUP($R31,'Threshold Summary'!$Y:$Y,'Threshold Summary'!$N:$N,"")</f>
        <v/>
      </c>
      <c r="F31" s="3">
        <f>XLOOKUP($R31,'Threshold Summary'!$Y:$Y,'Threshold Summary'!$B:$B,"")</f>
        <v/>
      </c>
      <c r="G31" s="3">
        <f>XLOOKUP(F31,'Move Editor'!$B:$B,'Move Editor'!$C:$C,"")</f>
        <v/>
      </c>
      <c r="H31" s="3">
        <f>XLOOKUP(F31,'Move Editor'!$B:$B,'Move Editor'!$D:$D,"")</f>
        <v/>
      </c>
      <c r="I31" s="3">
        <f>XLOOKUP(F31,'Move Editor'!$B:$B,'Move Editor'!$E:$E,0)</f>
        <v/>
      </c>
      <c r="J31" s="3">
        <f>XLOOKUP(F31,'Move Editor'!$B:$B,'Move Editor'!$F:$F,0)</f>
        <v/>
      </c>
      <c r="K31" s="3">
        <f>XLOOKUP($R31,'Threshold Summary'!$Y:$Y,'Threshold Summary'!$U:$U,"")</f>
        <v/>
      </c>
      <c r="L31" s="3">
        <f>XLOOKUP($R31,'Threshold Summary'!$Y:$Y,'Threshold Summary'!$V:$V,"")</f>
        <v/>
      </c>
      <c r="M31" s="3">
        <f>AVERAGE(K31:L31)</f>
        <v/>
      </c>
      <c r="N31" s="3">
        <f>M31*J31/100</f>
        <v/>
      </c>
      <c r="O31" s="4">
        <f>XLOOKUP($R31,'Threshold Summary'!$Y:$Y,'Threshold Summary'!$C:$C,"")</f>
        <v/>
      </c>
      <c r="P31" s="3">
        <f>IF(O31&gt;=1,"OHKO",IF(O31&gt;=0.5,"2HKO",IF(O31&gt;=0.333,"3HKO",IF(O31&gt;=0.25,"4HKO","5HKO+"))))</f>
        <v/>
      </c>
      <c r="Q31" s="3" t="inlineStr">
        <is>
          <t>Live from Threshold Summary and editor tabs</t>
        </is>
      </c>
      <c r="R31" s="3" t="inlineStr">
        <is>
          <t>SPECIES_CHARCADET</t>
        </is>
      </c>
    </row>
    <row r="32">
      <c r="A32" s="3">
        <f>XLOOKUP($R32,'Threshold Summary'!$Y:$Y,'Threshold Summary'!$A:$A,"")</f>
        <v/>
      </c>
      <c r="B32" s="3" t="inlineStr">
        <is>
          <t>Route 104 / Land / south</t>
        </is>
      </c>
      <c r="C32" s="3">
        <f>XLOOKUP($R32,'Threshold Summary'!$Y:$Y,'Threshold Summary'!$L:$L,"")</f>
        <v/>
      </c>
      <c r="D32" s="3">
        <f>XLOOKUP($R32,'Threshold Summary'!$Y:$Y,'Threshold Summary'!$M:$M,"")</f>
        <v/>
      </c>
      <c r="E32" s="3">
        <f>XLOOKUP($R32,'Threshold Summary'!$Y:$Y,'Threshold Summary'!$N:$N,"")</f>
        <v/>
      </c>
      <c r="F32" s="3">
        <f>XLOOKUP($R32,'Threshold Summary'!$Y:$Y,'Threshold Summary'!$B:$B,"")</f>
        <v/>
      </c>
      <c r="G32" s="3">
        <f>XLOOKUP(F32,'Move Editor'!$B:$B,'Move Editor'!$C:$C,"")</f>
        <v/>
      </c>
      <c r="H32" s="3">
        <f>XLOOKUP(F32,'Move Editor'!$B:$B,'Move Editor'!$D:$D,"")</f>
        <v/>
      </c>
      <c r="I32" s="3">
        <f>XLOOKUP(F32,'Move Editor'!$B:$B,'Move Editor'!$E:$E,0)</f>
        <v/>
      </c>
      <c r="J32" s="3">
        <f>XLOOKUP(F32,'Move Editor'!$B:$B,'Move Editor'!$F:$F,0)</f>
        <v/>
      </c>
      <c r="K32" s="3">
        <f>XLOOKUP($R32,'Threshold Summary'!$Y:$Y,'Threshold Summary'!$U:$U,"")</f>
        <v/>
      </c>
      <c r="L32" s="3">
        <f>XLOOKUP($R32,'Threshold Summary'!$Y:$Y,'Threshold Summary'!$V:$V,"")</f>
        <v/>
      </c>
      <c r="M32" s="3">
        <f>AVERAGE(K32:L32)</f>
        <v/>
      </c>
      <c r="N32" s="3">
        <f>M32*J32/100</f>
        <v/>
      </c>
      <c r="O32" s="4">
        <f>XLOOKUP($R32,'Threshold Summary'!$Y:$Y,'Threshold Summary'!$C:$C,"")</f>
        <v/>
      </c>
      <c r="P32" s="3">
        <f>IF(O32&gt;=1,"OHKO",IF(O32&gt;=0.5,"2HKO",IF(O32&gt;=0.333,"3HKO",IF(O32&gt;=0.25,"4HKO","5HKO+"))))</f>
        <v/>
      </c>
      <c r="Q32" s="3" t="inlineStr">
        <is>
          <t>Live from Threshold Summary and editor tabs</t>
        </is>
      </c>
      <c r="R32" s="3" t="inlineStr">
        <is>
          <t>SPECIES_WATTREL</t>
        </is>
      </c>
    </row>
    <row r="33">
      <c r="A33" s="3">
        <f>XLOOKUP($R33,'Threshold Summary'!$Y:$Y,'Threshold Summary'!$A:$A,"")</f>
        <v/>
      </c>
      <c r="B33" s="3" t="inlineStr">
        <is>
          <t>Route 116 / Land / night</t>
        </is>
      </c>
      <c r="C33" s="3">
        <f>XLOOKUP($R33,'Threshold Summary'!$Y:$Y,'Threshold Summary'!$L:$L,"")</f>
        <v/>
      </c>
      <c r="D33" s="3">
        <f>XLOOKUP($R33,'Threshold Summary'!$Y:$Y,'Threshold Summary'!$M:$M,"")</f>
        <v/>
      </c>
      <c r="E33" s="3">
        <f>XLOOKUP($R33,'Threshold Summary'!$Y:$Y,'Threshold Summary'!$N:$N,"")</f>
        <v/>
      </c>
      <c r="F33" s="3">
        <f>XLOOKUP($R33,'Threshold Summary'!$Y:$Y,'Threshold Summary'!$B:$B,"")</f>
        <v/>
      </c>
      <c r="G33" s="3">
        <f>XLOOKUP(F33,'Move Editor'!$B:$B,'Move Editor'!$C:$C,"")</f>
        <v/>
      </c>
      <c r="H33" s="3">
        <f>XLOOKUP(F33,'Move Editor'!$B:$B,'Move Editor'!$D:$D,"")</f>
        <v/>
      </c>
      <c r="I33" s="3">
        <f>XLOOKUP(F33,'Move Editor'!$B:$B,'Move Editor'!$E:$E,0)</f>
        <v/>
      </c>
      <c r="J33" s="3">
        <f>XLOOKUP(F33,'Move Editor'!$B:$B,'Move Editor'!$F:$F,0)</f>
        <v/>
      </c>
      <c r="K33" s="3">
        <f>XLOOKUP($R33,'Threshold Summary'!$Y:$Y,'Threshold Summary'!$U:$U,"")</f>
        <v/>
      </c>
      <c r="L33" s="3">
        <f>XLOOKUP($R33,'Threshold Summary'!$Y:$Y,'Threshold Summary'!$V:$V,"")</f>
        <v/>
      </c>
      <c r="M33" s="3">
        <f>AVERAGE(K33:L33)</f>
        <v/>
      </c>
      <c r="N33" s="3">
        <f>M33*J33/100</f>
        <v/>
      </c>
      <c r="O33" s="4">
        <f>XLOOKUP($R33,'Threshold Summary'!$Y:$Y,'Threshold Summary'!$C:$C,"")</f>
        <v/>
      </c>
      <c r="P33" s="3">
        <f>IF(O33&gt;=1,"OHKO",IF(O33&gt;=0.5,"2HKO",IF(O33&gt;=0.333,"3HKO",IF(O33&gt;=0.25,"4HKO","5HKO+"))))</f>
        <v/>
      </c>
      <c r="Q33" s="3" t="inlineStr">
        <is>
          <t>Live from Threshold Summary and editor tabs</t>
        </is>
      </c>
      <c r="R33" s="3" t="inlineStr">
        <is>
          <t>SPECIES_TINKATINK</t>
        </is>
      </c>
    </row>
  </sheetData>
  <autoFilter ref="A1:R33"/>
  <conditionalFormatting sqref="O2:O33">
    <cfRule type="colorScale" priority="1">
      <colorScale>
        <cfvo type="min"/>
        <cfvo type="percentile" val="50"/>
        <cfvo type="max"/>
        <color rgb="0063BE7B"/>
        <color rgb="00FFEB84"/>
        <color rgb="00F8696B"/>
      </colorScale>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33"/>
  <sheetViews>
    <sheetView showGridLines="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15" customWidth="1" min="5" max="5"/>
    <col width="42" customWidth="1" min="6" max="6"/>
    <col width="42" customWidth="1" min="7" max="7"/>
    <col width="42" customWidth="1" min="8" max="8"/>
    <col width="42" customWidth="1" min="9" max="9"/>
    <col width="42" customWidth="1" min="10" max="10"/>
    <col width="19" customWidth="1" min="11" max="11"/>
    <col width="42" customWidth="1" min="12" max="12"/>
    <col width="42" customWidth="1" min="13" max="13"/>
    <col width="42" customWidth="1" min="14" max="14"/>
    <col width="42" customWidth="1" min="15" max="15"/>
    <col width="55" customWidth="1" min="16" max="16"/>
    <col width="20" customWidth="1" min="17" max="17"/>
  </cols>
  <sheetData>
    <row r="1" ht="32" customHeight="1">
      <c r="A1" s="1" t="inlineStr">
        <is>
          <t>Player Pokémon</t>
        </is>
      </c>
      <c r="B1" s="1" t="inlineStr">
        <is>
          <t>Nature</t>
        </is>
      </c>
      <c r="C1" s="1" t="inlineStr">
        <is>
          <t>Ability</t>
        </is>
      </c>
      <c r="D1" s="1" t="inlineStr">
        <is>
          <t>Player HP</t>
        </is>
      </c>
      <c r="E1" s="1" t="inlineStr">
        <is>
          <t>Boss attacker</t>
        </is>
      </c>
      <c r="F1" s="1" t="inlineStr">
        <is>
          <t>Best boss move</t>
        </is>
      </c>
      <c r="G1" s="1" t="inlineStr">
        <is>
          <t>Type</t>
        </is>
      </c>
      <c r="H1" s="1" t="inlineStr">
        <is>
          <t>Category</t>
        </is>
      </c>
      <c r="I1" s="1" t="inlineStr">
        <is>
          <t>Min damage</t>
        </is>
      </c>
      <c r="J1" s="1" t="inlineStr">
        <is>
          <t>Max damage</t>
        </is>
      </c>
      <c r="K1" s="1" t="inlineStr">
        <is>
          <t>Average damage</t>
        </is>
      </c>
      <c r="L1" s="1" t="inlineStr">
        <is>
          <t>Expected damage</t>
        </is>
      </c>
      <c r="M1" s="1" t="inlineStr">
        <is>
          <t>Average % HP</t>
        </is>
      </c>
      <c r="N1" s="1" t="inlineStr">
        <is>
          <t>KO threshold</t>
        </is>
      </c>
      <c r="O1" s="1" t="inlineStr">
        <is>
          <t>Player outspeeds?</t>
        </is>
      </c>
      <c r="P1" s="1" t="inlineStr">
        <is>
          <t>Calculation notes</t>
        </is>
      </c>
      <c r="Q1" s="1" t="inlineStr">
        <is>
          <t>Species ID</t>
        </is>
      </c>
    </row>
    <row r="2">
      <c r="A2" s="3">
        <f>XLOOKUP($Q2,'Threshold Summary'!$Y:$Y,'Threshold Summary'!$A:$A,"")</f>
        <v/>
      </c>
      <c r="B2" s="3">
        <f>XLOOKUP($Q2,'Threshold Summary'!$Y:$Y,'Threshold Summary'!$M:$M,"")</f>
        <v/>
      </c>
      <c r="C2" s="3">
        <f>XLOOKUP($Q2,'Threshold Summary'!$Y:$Y,'Threshold Summary'!$N:$N,"")</f>
        <v/>
      </c>
      <c r="D2" s="3">
        <f>(FLOOR(((2*XLOOKUP(XLOOKUP($Q2,'Threshold Summary'!$Y:$Y,'Threshold Summary'!$K:$K,""),'Pokemon Editor'!$A:$A,'Pokemon Editor'!$E:$E,0)+31+FLOOR(XLOOKUP($Q2,'Threshold Summary'!$Y:$Y,'Threshold Summary'!$O:$O,"")/4))*XLOOKUP($Q2,'Threshold Summary'!$Y:$Y,'Threshold Summary'!$L:$L,""))/100)+XLOOKUP($Q2,'Threshold Summary'!$Y:$Y,'Threshold Summary'!$L:$L,"")+10)</f>
        <v/>
      </c>
      <c r="E2" s="3" t="inlineStr">
        <is>
          <t>Lileep</t>
        </is>
      </c>
      <c r="F2" s="3">
        <f>XLOOKUP($Q2,'Threshold Summary'!$Y:$Y,'Threshold Summary'!$D:$D,"")</f>
        <v/>
      </c>
      <c r="G2" s="3">
        <f>XLOOKUP(F2,'Move Editor'!$B:$B,'Move Editor'!$C:$C,"")</f>
        <v/>
      </c>
      <c r="H2" s="3">
        <f>XLOOKUP(F2,'Move Editor'!$B:$B,'Move Editor'!$D:$D,"")</f>
        <v/>
      </c>
      <c r="I2" s="3">
        <f>XLOOKUP($Q2,'Threshold Summary'!$Y:$Y,'Threshold Summary'!$W:$W,"")</f>
        <v/>
      </c>
      <c r="J2" s="3">
        <f>XLOOKUP($Q2,'Threshold Summary'!$Y:$Y,'Threshold Summary'!$X:$X,"")</f>
        <v/>
      </c>
      <c r="K2" s="3">
        <f>AVERAGE(I2:J2)</f>
        <v/>
      </c>
      <c r="L2" s="3">
        <f>K2*XLOOKUP(F2,'Move Editor'!$B:$B,'Move Editor'!$F:$F,100)/100</f>
        <v/>
      </c>
      <c r="M2" s="4">
        <f>XLOOKUP($Q2,'Threshold Summary'!$Y:$Y,'Threshold Summary'!$E:$E,"")</f>
        <v/>
      </c>
      <c r="N2" s="3">
        <f>IF(M2&gt;=1,"OHKO",IF(M2&gt;=0.5,"2HKO",IF(M2&gt;=0.333,"3HKO",IF(M2&gt;=0.25,"4HKO","5HKO+"))))</f>
        <v/>
      </c>
      <c r="O2" s="3">
        <f>XLOOKUP($Q2,'Threshold Summary'!$Y:$Y,'Threshold Summary'!$H:$H,"")</f>
        <v/>
      </c>
      <c r="P2" s="3" t="inlineStr">
        <is>
          <t>Live from Threshold Summary and editor tabs</t>
        </is>
      </c>
      <c r="Q2" s="3" t="inlineStr">
        <is>
          <t>SPECIES_PARAS</t>
        </is>
      </c>
    </row>
    <row r="3">
      <c r="A3" s="3">
        <f>XLOOKUP($Q3,'Threshold Summary'!$Y:$Y,'Threshold Summary'!$A:$A,"")</f>
        <v/>
      </c>
      <c r="B3" s="3">
        <f>XLOOKUP($Q3,'Threshold Summary'!$Y:$Y,'Threshold Summary'!$M:$M,"")</f>
        <v/>
      </c>
      <c r="C3" s="3">
        <f>XLOOKUP($Q3,'Threshold Summary'!$Y:$Y,'Threshold Summary'!$N:$N,"")</f>
        <v/>
      </c>
      <c r="D3" s="3">
        <f>(FLOOR(((2*XLOOKUP(XLOOKUP($Q3,'Threshold Summary'!$Y:$Y,'Threshold Summary'!$K:$K,""),'Pokemon Editor'!$A:$A,'Pokemon Editor'!$E:$E,0)+31+FLOOR(XLOOKUP($Q3,'Threshold Summary'!$Y:$Y,'Threshold Summary'!$O:$O,"")/4))*XLOOKUP($Q3,'Threshold Summary'!$Y:$Y,'Threshold Summary'!$L:$L,""))/100)+XLOOKUP($Q3,'Threshold Summary'!$Y:$Y,'Threshold Summary'!$L:$L,"")+10)</f>
        <v/>
      </c>
      <c r="E3" s="3" t="inlineStr">
        <is>
          <t>Lileep</t>
        </is>
      </c>
      <c r="F3" s="3">
        <f>XLOOKUP($Q3,'Threshold Summary'!$Y:$Y,'Threshold Summary'!$D:$D,"")</f>
        <v/>
      </c>
      <c r="G3" s="3">
        <f>XLOOKUP(F3,'Move Editor'!$B:$B,'Move Editor'!$C:$C,"")</f>
        <v/>
      </c>
      <c r="H3" s="3">
        <f>XLOOKUP(F3,'Move Editor'!$B:$B,'Move Editor'!$D:$D,"")</f>
        <v/>
      </c>
      <c r="I3" s="3">
        <f>XLOOKUP($Q3,'Threshold Summary'!$Y:$Y,'Threshold Summary'!$W:$W,"")</f>
        <v/>
      </c>
      <c r="J3" s="3">
        <f>XLOOKUP($Q3,'Threshold Summary'!$Y:$Y,'Threshold Summary'!$X:$X,"")</f>
        <v/>
      </c>
      <c r="K3" s="3">
        <f>AVERAGE(I3:J3)</f>
        <v/>
      </c>
      <c r="L3" s="3">
        <f>K3*XLOOKUP(F3,'Move Editor'!$B:$B,'Move Editor'!$F:$F,100)/100</f>
        <v/>
      </c>
      <c r="M3" s="4">
        <f>XLOOKUP($Q3,'Threshold Summary'!$Y:$Y,'Threshold Summary'!$E:$E,"")</f>
        <v/>
      </c>
      <c r="N3" s="3">
        <f>IF(M3&gt;=1,"OHKO",IF(M3&gt;=0.5,"2HKO",IF(M3&gt;=0.333,"3HKO",IF(M3&gt;=0.25,"4HKO","5HKO+"))))</f>
        <v/>
      </c>
      <c r="O3" s="3">
        <f>XLOOKUP($Q3,'Threshold Summary'!$Y:$Y,'Threshold Summary'!$H:$H,"")</f>
        <v/>
      </c>
      <c r="P3" s="3" t="inlineStr">
        <is>
          <t>Live from Threshold Summary and editor tabs</t>
        </is>
      </c>
      <c r="Q3" s="3" t="inlineStr">
        <is>
          <t>SPECIES_SENTRET</t>
        </is>
      </c>
    </row>
    <row r="4">
      <c r="A4" s="3">
        <f>XLOOKUP($Q4,'Threshold Summary'!$Y:$Y,'Threshold Summary'!$A:$A,"")</f>
        <v/>
      </c>
      <c r="B4" s="3">
        <f>XLOOKUP($Q4,'Threshold Summary'!$Y:$Y,'Threshold Summary'!$M:$M,"")</f>
        <v/>
      </c>
      <c r="C4" s="3">
        <f>XLOOKUP($Q4,'Threshold Summary'!$Y:$Y,'Threshold Summary'!$N:$N,"")</f>
        <v/>
      </c>
      <c r="D4" s="3">
        <f>(FLOOR(((2*XLOOKUP(XLOOKUP($Q4,'Threshold Summary'!$Y:$Y,'Threshold Summary'!$K:$K,""),'Pokemon Editor'!$A:$A,'Pokemon Editor'!$E:$E,0)+31+FLOOR(XLOOKUP($Q4,'Threshold Summary'!$Y:$Y,'Threshold Summary'!$O:$O,"")/4))*XLOOKUP($Q4,'Threshold Summary'!$Y:$Y,'Threshold Summary'!$L:$L,""))/100)+XLOOKUP($Q4,'Threshold Summary'!$Y:$Y,'Threshold Summary'!$L:$L,"")+10)</f>
        <v/>
      </c>
      <c r="E4" s="3" t="inlineStr">
        <is>
          <t>Lileep</t>
        </is>
      </c>
      <c r="F4" s="3">
        <f>XLOOKUP($Q4,'Threshold Summary'!$Y:$Y,'Threshold Summary'!$D:$D,"")</f>
        <v/>
      </c>
      <c r="G4" s="3">
        <f>XLOOKUP(F4,'Move Editor'!$B:$B,'Move Editor'!$C:$C,"")</f>
        <v/>
      </c>
      <c r="H4" s="3">
        <f>XLOOKUP(F4,'Move Editor'!$B:$B,'Move Editor'!$D:$D,"")</f>
        <v/>
      </c>
      <c r="I4" s="3">
        <f>XLOOKUP($Q4,'Threshold Summary'!$Y:$Y,'Threshold Summary'!$W:$W,"")</f>
        <v/>
      </c>
      <c r="J4" s="3">
        <f>XLOOKUP($Q4,'Threshold Summary'!$Y:$Y,'Threshold Summary'!$X:$X,"")</f>
        <v/>
      </c>
      <c r="K4" s="3">
        <f>AVERAGE(I4:J4)</f>
        <v/>
      </c>
      <c r="L4" s="3">
        <f>K4*XLOOKUP(F4,'Move Editor'!$B:$B,'Move Editor'!$F:$F,100)/100</f>
        <v/>
      </c>
      <c r="M4" s="4">
        <f>XLOOKUP($Q4,'Threshold Summary'!$Y:$Y,'Threshold Summary'!$E:$E,"")</f>
        <v/>
      </c>
      <c r="N4" s="3">
        <f>IF(M4&gt;=1,"OHKO",IF(M4&gt;=0.5,"2HKO",IF(M4&gt;=0.333,"3HKO",IF(M4&gt;=0.25,"4HKO","5HKO+"))))</f>
        <v/>
      </c>
      <c r="O4" s="3">
        <f>XLOOKUP($Q4,'Threshold Summary'!$Y:$Y,'Threshold Summary'!$H:$H,"")</f>
        <v/>
      </c>
      <c r="P4" s="3" t="inlineStr">
        <is>
          <t>Live from Threshold Summary and editor tabs</t>
        </is>
      </c>
      <c r="Q4" s="3" t="inlineStr">
        <is>
          <t>SPECIES_MAREEP</t>
        </is>
      </c>
    </row>
    <row r="5">
      <c r="A5" s="3">
        <f>XLOOKUP($Q5,'Threshold Summary'!$Y:$Y,'Threshold Summary'!$A:$A,"")</f>
        <v/>
      </c>
      <c r="B5" s="3">
        <f>XLOOKUP($Q5,'Threshold Summary'!$Y:$Y,'Threshold Summary'!$M:$M,"")</f>
        <v/>
      </c>
      <c r="C5" s="3">
        <f>XLOOKUP($Q5,'Threshold Summary'!$Y:$Y,'Threshold Summary'!$N:$N,"")</f>
        <v/>
      </c>
      <c r="D5" s="3">
        <f>(FLOOR(((2*XLOOKUP(XLOOKUP($Q5,'Threshold Summary'!$Y:$Y,'Threshold Summary'!$K:$K,""),'Pokemon Editor'!$A:$A,'Pokemon Editor'!$E:$E,0)+31+FLOOR(XLOOKUP($Q5,'Threshold Summary'!$Y:$Y,'Threshold Summary'!$O:$O,"")/4))*XLOOKUP($Q5,'Threshold Summary'!$Y:$Y,'Threshold Summary'!$L:$L,""))/100)+XLOOKUP($Q5,'Threshold Summary'!$Y:$Y,'Threshold Summary'!$L:$L,"")+10)</f>
        <v/>
      </c>
      <c r="E5" s="3" t="inlineStr">
        <is>
          <t>Lileep</t>
        </is>
      </c>
      <c r="F5" s="3">
        <f>XLOOKUP($Q5,'Threshold Summary'!$Y:$Y,'Threshold Summary'!$D:$D,"")</f>
        <v/>
      </c>
      <c r="G5" s="3">
        <f>XLOOKUP(F5,'Move Editor'!$B:$B,'Move Editor'!$C:$C,"")</f>
        <v/>
      </c>
      <c r="H5" s="3">
        <f>XLOOKUP(F5,'Move Editor'!$B:$B,'Move Editor'!$D:$D,"")</f>
        <v/>
      </c>
      <c r="I5" s="3">
        <f>XLOOKUP($Q5,'Threshold Summary'!$Y:$Y,'Threshold Summary'!$W:$W,"")</f>
        <v/>
      </c>
      <c r="J5" s="3">
        <f>XLOOKUP($Q5,'Threshold Summary'!$Y:$Y,'Threshold Summary'!$X:$X,"")</f>
        <v/>
      </c>
      <c r="K5" s="3">
        <f>AVERAGE(I5:J5)</f>
        <v/>
      </c>
      <c r="L5" s="3">
        <f>K5*XLOOKUP(F5,'Move Editor'!$B:$B,'Move Editor'!$F:$F,100)/100</f>
        <v/>
      </c>
      <c r="M5" s="4">
        <f>XLOOKUP($Q5,'Threshold Summary'!$Y:$Y,'Threshold Summary'!$E:$E,"")</f>
        <v/>
      </c>
      <c r="N5" s="3">
        <f>IF(M5&gt;=1,"OHKO",IF(M5&gt;=0.5,"2HKO",IF(M5&gt;=0.333,"3HKO",IF(M5&gt;=0.25,"4HKO","5HKO+"))))</f>
        <v/>
      </c>
      <c r="O5" s="3">
        <f>XLOOKUP($Q5,'Threshold Summary'!$Y:$Y,'Threshold Summary'!$H:$H,"")</f>
        <v/>
      </c>
      <c r="P5" s="3" t="inlineStr">
        <is>
          <t>Live from Threshold Summary and editor tabs</t>
        </is>
      </c>
      <c r="Q5" s="3" t="inlineStr">
        <is>
          <t>SPECIES_TREECKO</t>
        </is>
      </c>
    </row>
    <row r="6">
      <c r="A6" s="3">
        <f>XLOOKUP($Q6,'Threshold Summary'!$Y:$Y,'Threshold Summary'!$A:$A,"")</f>
        <v/>
      </c>
      <c r="B6" s="3">
        <f>XLOOKUP($Q6,'Threshold Summary'!$Y:$Y,'Threshold Summary'!$M:$M,"")</f>
        <v/>
      </c>
      <c r="C6" s="3">
        <f>XLOOKUP($Q6,'Threshold Summary'!$Y:$Y,'Threshold Summary'!$N:$N,"")</f>
        <v/>
      </c>
      <c r="D6" s="3">
        <f>(FLOOR(((2*XLOOKUP(XLOOKUP($Q6,'Threshold Summary'!$Y:$Y,'Threshold Summary'!$K:$K,""),'Pokemon Editor'!$A:$A,'Pokemon Editor'!$E:$E,0)+31+FLOOR(XLOOKUP($Q6,'Threshold Summary'!$Y:$Y,'Threshold Summary'!$O:$O,"")/4))*XLOOKUP($Q6,'Threshold Summary'!$Y:$Y,'Threshold Summary'!$L:$L,""))/100)+XLOOKUP($Q6,'Threshold Summary'!$Y:$Y,'Threshold Summary'!$L:$L,"")+10)</f>
        <v/>
      </c>
      <c r="E6" s="3" t="inlineStr">
        <is>
          <t>Lileep</t>
        </is>
      </c>
      <c r="F6" s="3">
        <f>XLOOKUP($Q6,'Threshold Summary'!$Y:$Y,'Threshold Summary'!$D:$D,"")</f>
        <v/>
      </c>
      <c r="G6" s="3">
        <f>XLOOKUP(F6,'Move Editor'!$B:$B,'Move Editor'!$C:$C,"")</f>
        <v/>
      </c>
      <c r="H6" s="3">
        <f>XLOOKUP(F6,'Move Editor'!$B:$B,'Move Editor'!$D:$D,"")</f>
        <v/>
      </c>
      <c r="I6" s="3">
        <f>XLOOKUP($Q6,'Threshold Summary'!$Y:$Y,'Threshold Summary'!$W:$W,"")</f>
        <v/>
      </c>
      <c r="J6" s="3">
        <f>XLOOKUP($Q6,'Threshold Summary'!$Y:$Y,'Threshold Summary'!$X:$X,"")</f>
        <v/>
      </c>
      <c r="K6" s="3">
        <f>AVERAGE(I6:J6)</f>
        <v/>
      </c>
      <c r="L6" s="3">
        <f>K6*XLOOKUP(F6,'Move Editor'!$B:$B,'Move Editor'!$F:$F,100)/100</f>
        <v/>
      </c>
      <c r="M6" s="4">
        <f>XLOOKUP($Q6,'Threshold Summary'!$Y:$Y,'Threshold Summary'!$E:$E,"")</f>
        <v/>
      </c>
      <c r="N6" s="3">
        <f>IF(M6&gt;=1,"OHKO",IF(M6&gt;=0.5,"2HKO",IF(M6&gt;=0.333,"3HKO",IF(M6&gt;=0.25,"4HKO","5HKO+"))))</f>
        <v/>
      </c>
      <c r="O6" s="3">
        <f>XLOOKUP($Q6,'Threshold Summary'!$Y:$Y,'Threshold Summary'!$H:$H,"")</f>
        <v/>
      </c>
      <c r="P6" s="3" t="inlineStr">
        <is>
          <t>Live from Threshold Summary and editor tabs</t>
        </is>
      </c>
      <c r="Q6" s="3" t="inlineStr">
        <is>
          <t>SPECIES_TORCHIC</t>
        </is>
      </c>
    </row>
    <row r="7">
      <c r="A7" s="3">
        <f>XLOOKUP($Q7,'Threshold Summary'!$Y:$Y,'Threshold Summary'!$A:$A,"")</f>
        <v/>
      </c>
      <c r="B7" s="3">
        <f>XLOOKUP($Q7,'Threshold Summary'!$Y:$Y,'Threshold Summary'!$M:$M,"")</f>
        <v/>
      </c>
      <c r="C7" s="3">
        <f>XLOOKUP($Q7,'Threshold Summary'!$Y:$Y,'Threshold Summary'!$N:$N,"")</f>
        <v/>
      </c>
      <c r="D7" s="3">
        <f>(FLOOR(((2*XLOOKUP(XLOOKUP($Q7,'Threshold Summary'!$Y:$Y,'Threshold Summary'!$K:$K,""),'Pokemon Editor'!$A:$A,'Pokemon Editor'!$E:$E,0)+31+FLOOR(XLOOKUP($Q7,'Threshold Summary'!$Y:$Y,'Threshold Summary'!$O:$O,"")/4))*XLOOKUP($Q7,'Threshold Summary'!$Y:$Y,'Threshold Summary'!$L:$L,""))/100)+XLOOKUP($Q7,'Threshold Summary'!$Y:$Y,'Threshold Summary'!$L:$L,"")+10)</f>
        <v/>
      </c>
      <c r="E7" s="3" t="inlineStr">
        <is>
          <t>Lileep</t>
        </is>
      </c>
      <c r="F7" s="3">
        <f>XLOOKUP($Q7,'Threshold Summary'!$Y:$Y,'Threshold Summary'!$D:$D,"")</f>
        <v/>
      </c>
      <c r="G7" s="3">
        <f>XLOOKUP(F7,'Move Editor'!$B:$B,'Move Editor'!$C:$C,"")</f>
        <v/>
      </c>
      <c r="H7" s="3">
        <f>XLOOKUP(F7,'Move Editor'!$B:$B,'Move Editor'!$D:$D,"")</f>
        <v/>
      </c>
      <c r="I7" s="3">
        <f>XLOOKUP($Q7,'Threshold Summary'!$Y:$Y,'Threshold Summary'!$W:$W,"")</f>
        <v/>
      </c>
      <c r="J7" s="3">
        <f>XLOOKUP($Q7,'Threshold Summary'!$Y:$Y,'Threshold Summary'!$X:$X,"")</f>
        <v/>
      </c>
      <c r="K7" s="3">
        <f>AVERAGE(I7:J7)</f>
        <v/>
      </c>
      <c r="L7" s="3">
        <f>K7*XLOOKUP(F7,'Move Editor'!$B:$B,'Move Editor'!$F:$F,100)/100</f>
        <v/>
      </c>
      <c r="M7" s="4">
        <f>XLOOKUP($Q7,'Threshold Summary'!$Y:$Y,'Threshold Summary'!$E:$E,"")</f>
        <v/>
      </c>
      <c r="N7" s="3">
        <f>IF(M7&gt;=1,"OHKO",IF(M7&gt;=0.5,"2HKO",IF(M7&gt;=0.333,"3HKO",IF(M7&gt;=0.25,"4HKO","5HKO+"))))</f>
        <v/>
      </c>
      <c r="O7" s="3">
        <f>XLOOKUP($Q7,'Threshold Summary'!$Y:$Y,'Threshold Summary'!$H:$H,"")</f>
        <v/>
      </c>
      <c r="P7" s="3" t="inlineStr">
        <is>
          <t>Live from Threshold Summary and editor tabs</t>
        </is>
      </c>
      <c r="Q7" s="3" t="inlineStr">
        <is>
          <t>SPECIES_MUDKIP</t>
        </is>
      </c>
    </row>
    <row r="8">
      <c r="A8" s="3">
        <f>XLOOKUP($Q8,'Threshold Summary'!$Y:$Y,'Threshold Summary'!$A:$A,"")</f>
        <v/>
      </c>
      <c r="B8" s="3">
        <f>XLOOKUP($Q8,'Threshold Summary'!$Y:$Y,'Threshold Summary'!$M:$M,"")</f>
        <v/>
      </c>
      <c r="C8" s="3">
        <f>XLOOKUP($Q8,'Threshold Summary'!$Y:$Y,'Threshold Summary'!$N:$N,"")</f>
        <v/>
      </c>
      <c r="D8" s="3">
        <f>(FLOOR(((2*XLOOKUP(XLOOKUP($Q8,'Threshold Summary'!$Y:$Y,'Threshold Summary'!$K:$K,""),'Pokemon Editor'!$A:$A,'Pokemon Editor'!$E:$E,0)+31+FLOOR(XLOOKUP($Q8,'Threshold Summary'!$Y:$Y,'Threshold Summary'!$O:$O,"")/4))*XLOOKUP($Q8,'Threshold Summary'!$Y:$Y,'Threshold Summary'!$L:$L,""))/100)+XLOOKUP($Q8,'Threshold Summary'!$Y:$Y,'Threshold Summary'!$L:$L,"")+10)</f>
        <v/>
      </c>
      <c r="E8" s="3" t="inlineStr">
        <is>
          <t>Lileep</t>
        </is>
      </c>
      <c r="F8" s="3">
        <f>XLOOKUP($Q8,'Threshold Summary'!$Y:$Y,'Threshold Summary'!$D:$D,"")</f>
        <v/>
      </c>
      <c r="G8" s="3">
        <f>XLOOKUP(F8,'Move Editor'!$B:$B,'Move Editor'!$C:$C,"")</f>
        <v/>
      </c>
      <c r="H8" s="3">
        <f>XLOOKUP(F8,'Move Editor'!$B:$B,'Move Editor'!$D:$D,"")</f>
        <v/>
      </c>
      <c r="I8" s="3">
        <f>XLOOKUP($Q8,'Threshold Summary'!$Y:$Y,'Threshold Summary'!$W:$W,"")</f>
        <v/>
      </c>
      <c r="J8" s="3">
        <f>XLOOKUP($Q8,'Threshold Summary'!$Y:$Y,'Threshold Summary'!$X:$X,"")</f>
        <v/>
      </c>
      <c r="K8" s="3">
        <f>AVERAGE(I8:J8)</f>
        <v/>
      </c>
      <c r="L8" s="3">
        <f>K8*XLOOKUP(F8,'Move Editor'!$B:$B,'Move Editor'!$F:$F,100)/100</f>
        <v/>
      </c>
      <c r="M8" s="4">
        <f>XLOOKUP($Q8,'Threshold Summary'!$Y:$Y,'Threshold Summary'!$E:$E,"")</f>
        <v/>
      </c>
      <c r="N8" s="3">
        <f>IF(M8&gt;=1,"OHKO",IF(M8&gt;=0.5,"2HKO",IF(M8&gt;=0.333,"3HKO",IF(M8&gt;=0.25,"4HKO","5HKO+"))))</f>
        <v/>
      </c>
      <c r="O8" s="3">
        <f>XLOOKUP($Q8,'Threshold Summary'!$Y:$Y,'Threshold Summary'!$H:$H,"")</f>
        <v/>
      </c>
      <c r="P8" s="3" t="inlineStr">
        <is>
          <t>Live from Threshold Summary and editor tabs</t>
        </is>
      </c>
      <c r="Q8" s="3" t="inlineStr">
        <is>
          <t>SPECIES_TAILLOW</t>
        </is>
      </c>
    </row>
    <row r="9">
      <c r="A9" s="3">
        <f>XLOOKUP($Q9,'Threshold Summary'!$Y:$Y,'Threshold Summary'!$A:$A,"")</f>
        <v/>
      </c>
      <c r="B9" s="3">
        <f>XLOOKUP($Q9,'Threshold Summary'!$Y:$Y,'Threshold Summary'!$M:$M,"")</f>
        <v/>
      </c>
      <c r="C9" s="3">
        <f>XLOOKUP($Q9,'Threshold Summary'!$Y:$Y,'Threshold Summary'!$N:$N,"")</f>
        <v/>
      </c>
      <c r="D9" s="3">
        <f>(FLOOR(((2*XLOOKUP(XLOOKUP($Q9,'Threshold Summary'!$Y:$Y,'Threshold Summary'!$K:$K,""),'Pokemon Editor'!$A:$A,'Pokemon Editor'!$E:$E,0)+31+FLOOR(XLOOKUP($Q9,'Threshold Summary'!$Y:$Y,'Threshold Summary'!$O:$O,"")/4))*XLOOKUP($Q9,'Threshold Summary'!$Y:$Y,'Threshold Summary'!$L:$L,""))/100)+XLOOKUP($Q9,'Threshold Summary'!$Y:$Y,'Threshold Summary'!$L:$L,"")+10)</f>
        <v/>
      </c>
      <c r="E9" s="3" t="inlineStr">
        <is>
          <t>Lileep</t>
        </is>
      </c>
      <c r="F9" s="3">
        <f>XLOOKUP($Q9,'Threshold Summary'!$Y:$Y,'Threshold Summary'!$D:$D,"")</f>
        <v/>
      </c>
      <c r="G9" s="3">
        <f>XLOOKUP(F9,'Move Editor'!$B:$B,'Move Editor'!$C:$C,"")</f>
        <v/>
      </c>
      <c r="H9" s="3">
        <f>XLOOKUP(F9,'Move Editor'!$B:$B,'Move Editor'!$D:$D,"")</f>
        <v/>
      </c>
      <c r="I9" s="3">
        <f>XLOOKUP($Q9,'Threshold Summary'!$Y:$Y,'Threshold Summary'!$W:$W,"")</f>
        <v/>
      </c>
      <c r="J9" s="3">
        <f>XLOOKUP($Q9,'Threshold Summary'!$Y:$Y,'Threshold Summary'!$X:$X,"")</f>
        <v/>
      </c>
      <c r="K9" s="3">
        <f>AVERAGE(I9:J9)</f>
        <v/>
      </c>
      <c r="L9" s="3">
        <f>K9*XLOOKUP(F9,'Move Editor'!$B:$B,'Move Editor'!$F:$F,100)/100</f>
        <v/>
      </c>
      <c r="M9" s="4">
        <f>XLOOKUP($Q9,'Threshold Summary'!$Y:$Y,'Threshold Summary'!$E:$E,"")</f>
        <v/>
      </c>
      <c r="N9" s="3">
        <f>IF(M9&gt;=1,"OHKO",IF(M9&gt;=0.5,"2HKO",IF(M9&gt;=0.333,"3HKO",IF(M9&gt;=0.25,"4HKO","5HKO+"))))</f>
        <v/>
      </c>
      <c r="O9" s="3">
        <f>XLOOKUP($Q9,'Threshold Summary'!$Y:$Y,'Threshold Summary'!$H:$H,"")</f>
        <v/>
      </c>
      <c r="P9" s="3" t="inlineStr">
        <is>
          <t>Live from Threshold Summary and editor tabs</t>
        </is>
      </c>
      <c r="Q9" s="3" t="inlineStr">
        <is>
          <t>SPECIES_RALTS</t>
        </is>
      </c>
    </row>
    <row r="10">
      <c r="A10" s="3">
        <f>XLOOKUP($Q10,'Threshold Summary'!$Y:$Y,'Threshold Summary'!$A:$A,"")</f>
        <v/>
      </c>
      <c r="B10" s="3">
        <f>XLOOKUP($Q10,'Threshold Summary'!$Y:$Y,'Threshold Summary'!$M:$M,"")</f>
        <v/>
      </c>
      <c r="C10" s="3">
        <f>XLOOKUP($Q10,'Threshold Summary'!$Y:$Y,'Threshold Summary'!$N:$N,"")</f>
        <v/>
      </c>
      <c r="D10" s="3">
        <f>(FLOOR(((2*XLOOKUP(XLOOKUP($Q10,'Threshold Summary'!$Y:$Y,'Threshold Summary'!$K:$K,""),'Pokemon Editor'!$A:$A,'Pokemon Editor'!$E:$E,0)+31+FLOOR(XLOOKUP($Q10,'Threshold Summary'!$Y:$Y,'Threshold Summary'!$O:$O,"")/4))*XLOOKUP($Q10,'Threshold Summary'!$Y:$Y,'Threshold Summary'!$L:$L,""))/100)+XLOOKUP($Q10,'Threshold Summary'!$Y:$Y,'Threshold Summary'!$L:$L,"")+10)</f>
        <v/>
      </c>
      <c r="E10" s="3" t="inlineStr">
        <is>
          <t>Lileep</t>
        </is>
      </c>
      <c r="F10" s="3">
        <f>XLOOKUP($Q10,'Threshold Summary'!$Y:$Y,'Threshold Summary'!$D:$D,"")</f>
        <v/>
      </c>
      <c r="G10" s="3">
        <f>XLOOKUP(F10,'Move Editor'!$B:$B,'Move Editor'!$C:$C,"")</f>
        <v/>
      </c>
      <c r="H10" s="3">
        <f>XLOOKUP(F10,'Move Editor'!$B:$B,'Move Editor'!$D:$D,"")</f>
        <v/>
      </c>
      <c r="I10" s="3">
        <f>XLOOKUP($Q10,'Threshold Summary'!$Y:$Y,'Threshold Summary'!$W:$W,"")</f>
        <v/>
      </c>
      <c r="J10" s="3">
        <f>XLOOKUP($Q10,'Threshold Summary'!$Y:$Y,'Threshold Summary'!$X:$X,"")</f>
        <v/>
      </c>
      <c r="K10" s="3">
        <f>AVERAGE(I10:J10)</f>
        <v/>
      </c>
      <c r="L10" s="3">
        <f>K10*XLOOKUP(F10,'Move Editor'!$B:$B,'Move Editor'!$F:$F,100)/100</f>
        <v/>
      </c>
      <c r="M10" s="4">
        <f>XLOOKUP($Q10,'Threshold Summary'!$Y:$Y,'Threshold Summary'!$E:$E,"")</f>
        <v/>
      </c>
      <c r="N10" s="3">
        <f>IF(M10&gt;=1,"OHKO",IF(M10&gt;=0.5,"2HKO",IF(M10&gt;=0.333,"3HKO",IF(M10&gt;=0.25,"4HKO","5HKO+"))))</f>
        <v/>
      </c>
      <c r="O10" s="3">
        <f>XLOOKUP($Q10,'Threshold Summary'!$Y:$Y,'Threshold Summary'!$H:$H,"")</f>
        <v/>
      </c>
      <c r="P10" s="3" t="inlineStr">
        <is>
          <t>Live from Threshold Summary and editor tabs</t>
        </is>
      </c>
      <c r="Q10" s="3" t="inlineStr">
        <is>
          <t>SPECIES_BUDEW</t>
        </is>
      </c>
    </row>
    <row r="11">
      <c r="A11" s="3">
        <f>XLOOKUP($Q11,'Threshold Summary'!$Y:$Y,'Threshold Summary'!$A:$A,"")</f>
        <v/>
      </c>
      <c r="B11" s="3">
        <f>XLOOKUP($Q11,'Threshold Summary'!$Y:$Y,'Threshold Summary'!$M:$M,"")</f>
        <v/>
      </c>
      <c r="C11" s="3">
        <f>XLOOKUP($Q11,'Threshold Summary'!$Y:$Y,'Threshold Summary'!$N:$N,"")</f>
        <v/>
      </c>
      <c r="D11" s="3">
        <f>(FLOOR(((2*XLOOKUP(XLOOKUP($Q11,'Threshold Summary'!$Y:$Y,'Threshold Summary'!$K:$K,""),'Pokemon Editor'!$A:$A,'Pokemon Editor'!$E:$E,0)+31+FLOOR(XLOOKUP($Q11,'Threshold Summary'!$Y:$Y,'Threshold Summary'!$O:$O,"")/4))*XLOOKUP($Q11,'Threshold Summary'!$Y:$Y,'Threshold Summary'!$L:$L,""))/100)+XLOOKUP($Q11,'Threshold Summary'!$Y:$Y,'Threshold Summary'!$L:$L,"")+10)</f>
        <v/>
      </c>
      <c r="E11" s="3" t="inlineStr">
        <is>
          <t>Lileep</t>
        </is>
      </c>
      <c r="F11" s="3">
        <f>XLOOKUP($Q11,'Threshold Summary'!$Y:$Y,'Threshold Summary'!$D:$D,"")</f>
        <v/>
      </c>
      <c r="G11" s="3">
        <f>XLOOKUP(F11,'Move Editor'!$B:$B,'Move Editor'!$C:$C,"")</f>
        <v/>
      </c>
      <c r="H11" s="3">
        <f>XLOOKUP(F11,'Move Editor'!$B:$B,'Move Editor'!$D:$D,"")</f>
        <v/>
      </c>
      <c r="I11" s="3">
        <f>XLOOKUP($Q11,'Threshold Summary'!$Y:$Y,'Threshold Summary'!$W:$W,"")</f>
        <v/>
      </c>
      <c r="J11" s="3">
        <f>XLOOKUP($Q11,'Threshold Summary'!$Y:$Y,'Threshold Summary'!$X:$X,"")</f>
        <v/>
      </c>
      <c r="K11" s="3">
        <f>AVERAGE(I11:J11)</f>
        <v/>
      </c>
      <c r="L11" s="3">
        <f>K11*XLOOKUP(F11,'Move Editor'!$B:$B,'Move Editor'!$F:$F,100)/100</f>
        <v/>
      </c>
      <c r="M11" s="4">
        <f>XLOOKUP($Q11,'Threshold Summary'!$Y:$Y,'Threshold Summary'!$E:$E,"")</f>
        <v/>
      </c>
      <c r="N11" s="3">
        <f>IF(M11&gt;=1,"OHKO",IF(M11&gt;=0.5,"2HKO",IF(M11&gt;=0.333,"3HKO",IF(M11&gt;=0.25,"4HKO","5HKO+"))))</f>
        <v/>
      </c>
      <c r="O11" s="3">
        <f>XLOOKUP($Q11,'Threshold Summary'!$Y:$Y,'Threshold Summary'!$H:$H,"")</f>
        <v/>
      </c>
      <c r="P11" s="3" t="inlineStr">
        <is>
          <t>Live from Threshold Summary and editor tabs</t>
        </is>
      </c>
      <c r="Q11" s="3" t="inlineStr">
        <is>
          <t>SPECIES_STARLY</t>
        </is>
      </c>
    </row>
    <row r="12">
      <c r="A12" s="3">
        <f>XLOOKUP($Q12,'Threshold Summary'!$Y:$Y,'Threshold Summary'!$A:$A,"")</f>
        <v/>
      </c>
      <c r="B12" s="3">
        <f>XLOOKUP($Q12,'Threshold Summary'!$Y:$Y,'Threshold Summary'!$M:$M,"")</f>
        <v/>
      </c>
      <c r="C12" s="3">
        <f>XLOOKUP($Q12,'Threshold Summary'!$Y:$Y,'Threshold Summary'!$N:$N,"")</f>
        <v/>
      </c>
      <c r="D12" s="3">
        <f>(FLOOR(((2*XLOOKUP(XLOOKUP($Q12,'Threshold Summary'!$Y:$Y,'Threshold Summary'!$K:$K,""),'Pokemon Editor'!$A:$A,'Pokemon Editor'!$E:$E,0)+31+FLOOR(XLOOKUP($Q12,'Threshold Summary'!$Y:$Y,'Threshold Summary'!$O:$O,"")/4))*XLOOKUP($Q12,'Threshold Summary'!$Y:$Y,'Threshold Summary'!$L:$L,""))/100)+XLOOKUP($Q12,'Threshold Summary'!$Y:$Y,'Threshold Summary'!$L:$L,"")+10)</f>
        <v/>
      </c>
      <c r="E12" s="3" t="inlineStr">
        <is>
          <t>Lileep</t>
        </is>
      </c>
      <c r="F12" s="3">
        <f>XLOOKUP($Q12,'Threshold Summary'!$Y:$Y,'Threshold Summary'!$D:$D,"")</f>
        <v/>
      </c>
      <c r="G12" s="3">
        <f>XLOOKUP(F12,'Move Editor'!$B:$B,'Move Editor'!$C:$C,"")</f>
        <v/>
      </c>
      <c r="H12" s="3">
        <f>XLOOKUP(F12,'Move Editor'!$B:$B,'Move Editor'!$D:$D,"")</f>
        <v/>
      </c>
      <c r="I12" s="3">
        <f>XLOOKUP($Q12,'Threshold Summary'!$Y:$Y,'Threshold Summary'!$W:$W,"")</f>
        <v/>
      </c>
      <c r="J12" s="3">
        <f>XLOOKUP($Q12,'Threshold Summary'!$Y:$Y,'Threshold Summary'!$X:$X,"")</f>
        <v/>
      </c>
      <c r="K12" s="3">
        <f>AVERAGE(I12:J12)</f>
        <v/>
      </c>
      <c r="L12" s="3">
        <f>K12*XLOOKUP(F12,'Move Editor'!$B:$B,'Move Editor'!$F:$F,100)/100</f>
        <v/>
      </c>
      <c r="M12" s="4">
        <f>XLOOKUP($Q12,'Threshold Summary'!$Y:$Y,'Threshold Summary'!$E:$E,"")</f>
        <v/>
      </c>
      <c r="N12" s="3">
        <f>IF(M12&gt;=1,"OHKO",IF(M12&gt;=0.5,"2HKO",IF(M12&gt;=0.333,"3HKO",IF(M12&gt;=0.25,"4HKO","5HKO+"))))</f>
        <v/>
      </c>
      <c r="O12" s="3">
        <f>XLOOKUP($Q12,'Threshold Summary'!$Y:$Y,'Threshold Summary'!$H:$H,"")</f>
        <v/>
      </c>
      <c r="P12" s="3" t="inlineStr">
        <is>
          <t>Live from Threshold Summary and editor tabs</t>
        </is>
      </c>
      <c r="Q12" s="3" t="inlineStr">
        <is>
          <t>SPECIES_SHINX</t>
        </is>
      </c>
    </row>
    <row r="13">
      <c r="A13" s="3">
        <f>XLOOKUP($Q13,'Threshold Summary'!$Y:$Y,'Threshold Summary'!$A:$A,"")</f>
        <v/>
      </c>
      <c r="B13" s="3">
        <f>XLOOKUP($Q13,'Threshold Summary'!$Y:$Y,'Threshold Summary'!$M:$M,"")</f>
        <v/>
      </c>
      <c r="C13" s="3">
        <f>XLOOKUP($Q13,'Threshold Summary'!$Y:$Y,'Threshold Summary'!$N:$N,"")</f>
        <v/>
      </c>
      <c r="D13" s="3">
        <f>(FLOOR(((2*XLOOKUP(XLOOKUP($Q13,'Threshold Summary'!$Y:$Y,'Threshold Summary'!$K:$K,""),'Pokemon Editor'!$A:$A,'Pokemon Editor'!$E:$E,0)+31+FLOOR(XLOOKUP($Q13,'Threshold Summary'!$Y:$Y,'Threshold Summary'!$O:$O,"")/4))*XLOOKUP($Q13,'Threshold Summary'!$Y:$Y,'Threshold Summary'!$L:$L,""))/100)+XLOOKUP($Q13,'Threshold Summary'!$Y:$Y,'Threshold Summary'!$L:$L,"")+10)</f>
        <v/>
      </c>
      <c r="E13" s="3" t="inlineStr">
        <is>
          <t>Lileep</t>
        </is>
      </c>
      <c r="F13" s="3">
        <f>XLOOKUP($Q13,'Threshold Summary'!$Y:$Y,'Threshold Summary'!$D:$D,"")</f>
        <v/>
      </c>
      <c r="G13" s="3">
        <f>XLOOKUP(F13,'Move Editor'!$B:$B,'Move Editor'!$C:$C,"")</f>
        <v/>
      </c>
      <c r="H13" s="3">
        <f>XLOOKUP(F13,'Move Editor'!$B:$B,'Move Editor'!$D:$D,"")</f>
        <v/>
      </c>
      <c r="I13" s="3">
        <f>XLOOKUP($Q13,'Threshold Summary'!$Y:$Y,'Threshold Summary'!$W:$W,"")</f>
        <v/>
      </c>
      <c r="J13" s="3">
        <f>XLOOKUP($Q13,'Threshold Summary'!$Y:$Y,'Threshold Summary'!$X:$X,"")</f>
        <v/>
      </c>
      <c r="K13" s="3">
        <f>AVERAGE(I13:J13)</f>
        <v/>
      </c>
      <c r="L13" s="3">
        <f>K13*XLOOKUP(F13,'Move Editor'!$B:$B,'Move Editor'!$F:$F,100)/100</f>
        <v/>
      </c>
      <c r="M13" s="4">
        <f>XLOOKUP($Q13,'Threshold Summary'!$Y:$Y,'Threshold Summary'!$E:$E,"")</f>
        <v/>
      </c>
      <c r="N13" s="3">
        <f>IF(M13&gt;=1,"OHKO",IF(M13&gt;=0.5,"2HKO",IF(M13&gt;=0.333,"3HKO",IF(M13&gt;=0.25,"4HKO","5HKO+"))))</f>
        <v/>
      </c>
      <c r="O13" s="3">
        <f>XLOOKUP($Q13,'Threshold Summary'!$Y:$Y,'Threshold Summary'!$H:$H,"")</f>
        <v/>
      </c>
      <c r="P13" s="3" t="inlineStr">
        <is>
          <t>Live from Threshold Summary and editor tabs</t>
        </is>
      </c>
      <c r="Q13" s="3" t="inlineStr">
        <is>
          <t>SPECIES_COMBEE</t>
        </is>
      </c>
    </row>
    <row r="14">
      <c r="A14" s="3">
        <f>XLOOKUP($Q14,'Threshold Summary'!$Y:$Y,'Threshold Summary'!$A:$A,"")</f>
        <v/>
      </c>
      <c r="B14" s="3">
        <f>XLOOKUP($Q14,'Threshold Summary'!$Y:$Y,'Threshold Summary'!$M:$M,"")</f>
        <v/>
      </c>
      <c r="C14" s="3">
        <f>XLOOKUP($Q14,'Threshold Summary'!$Y:$Y,'Threshold Summary'!$N:$N,"")</f>
        <v/>
      </c>
      <c r="D14" s="3">
        <f>(FLOOR(((2*XLOOKUP(XLOOKUP($Q14,'Threshold Summary'!$Y:$Y,'Threshold Summary'!$K:$K,""),'Pokemon Editor'!$A:$A,'Pokemon Editor'!$E:$E,0)+31+FLOOR(XLOOKUP($Q14,'Threshold Summary'!$Y:$Y,'Threshold Summary'!$O:$O,"")/4))*XLOOKUP($Q14,'Threshold Summary'!$Y:$Y,'Threshold Summary'!$L:$L,""))/100)+XLOOKUP($Q14,'Threshold Summary'!$Y:$Y,'Threshold Summary'!$L:$L,"")+10)</f>
        <v/>
      </c>
      <c r="E14" s="3" t="inlineStr">
        <is>
          <t>Lileep</t>
        </is>
      </c>
      <c r="F14" s="3">
        <f>XLOOKUP($Q14,'Threshold Summary'!$Y:$Y,'Threshold Summary'!$D:$D,"")</f>
        <v/>
      </c>
      <c r="G14" s="3">
        <f>XLOOKUP(F14,'Move Editor'!$B:$B,'Move Editor'!$C:$C,"")</f>
        <v/>
      </c>
      <c r="H14" s="3">
        <f>XLOOKUP(F14,'Move Editor'!$B:$B,'Move Editor'!$D:$D,"")</f>
        <v/>
      </c>
      <c r="I14" s="3">
        <f>XLOOKUP($Q14,'Threshold Summary'!$Y:$Y,'Threshold Summary'!$W:$W,"")</f>
        <v/>
      </c>
      <c r="J14" s="3">
        <f>XLOOKUP($Q14,'Threshold Summary'!$Y:$Y,'Threshold Summary'!$X:$X,"")</f>
        <v/>
      </c>
      <c r="K14" s="3">
        <f>AVERAGE(I14:J14)</f>
        <v/>
      </c>
      <c r="L14" s="3">
        <f>K14*XLOOKUP(F14,'Move Editor'!$B:$B,'Move Editor'!$F:$F,100)/100</f>
        <v/>
      </c>
      <c r="M14" s="4">
        <f>XLOOKUP($Q14,'Threshold Summary'!$Y:$Y,'Threshold Summary'!$E:$E,"")</f>
        <v/>
      </c>
      <c r="N14" s="3">
        <f>IF(M14&gt;=1,"OHKO",IF(M14&gt;=0.5,"2HKO",IF(M14&gt;=0.333,"3HKO",IF(M14&gt;=0.25,"4HKO","5HKO+"))))</f>
        <v/>
      </c>
      <c r="O14" s="3">
        <f>XLOOKUP($Q14,'Threshold Summary'!$Y:$Y,'Threshold Summary'!$H:$H,"")</f>
        <v/>
      </c>
      <c r="P14" s="3" t="inlineStr">
        <is>
          <t>Live from Threshold Summary and editor tabs</t>
        </is>
      </c>
      <c r="Q14" s="3" t="inlineStr">
        <is>
          <t>SPECIES_DRIFLOON</t>
        </is>
      </c>
    </row>
    <row r="15">
      <c r="A15" s="3">
        <f>XLOOKUP($Q15,'Threshold Summary'!$Y:$Y,'Threshold Summary'!$A:$A,"")</f>
        <v/>
      </c>
      <c r="B15" s="3">
        <f>XLOOKUP($Q15,'Threshold Summary'!$Y:$Y,'Threshold Summary'!$M:$M,"")</f>
        <v/>
      </c>
      <c r="C15" s="3">
        <f>XLOOKUP($Q15,'Threshold Summary'!$Y:$Y,'Threshold Summary'!$N:$N,"")</f>
        <v/>
      </c>
      <c r="D15" s="3">
        <f>(FLOOR(((2*XLOOKUP(XLOOKUP($Q15,'Threshold Summary'!$Y:$Y,'Threshold Summary'!$K:$K,""),'Pokemon Editor'!$A:$A,'Pokemon Editor'!$E:$E,0)+31+FLOOR(XLOOKUP($Q15,'Threshold Summary'!$Y:$Y,'Threshold Summary'!$O:$O,"")/4))*XLOOKUP($Q15,'Threshold Summary'!$Y:$Y,'Threshold Summary'!$L:$L,""))/100)+XLOOKUP($Q15,'Threshold Summary'!$Y:$Y,'Threshold Summary'!$L:$L,"")+10)</f>
        <v/>
      </c>
      <c r="E15" s="3" t="inlineStr">
        <is>
          <t>Lileep</t>
        </is>
      </c>
      <c r="F15" s="3">
        <f>XLOOKUP($Q15,'Threshold Summary'!$Y:$Y,'Threshold Summary'!$D:$D,"")</f>
        <v/>
      </c>
      <c r="G15" s="3">
        <f>XLOOKUP(F15,'Move Editor'!$B:$B,'Move Editor'!$C:$C,"")</f>
        <v/>
      </c>
      <c r="H15" s="3">
        <f>XLOOKUP(F15,'Move Editor'!$B:$B,'Move Editor'!$D:$D,"")</f>
        <v/>
      </c>
      <c r="I15" s="3">
        <f>XLOOKUP($Q15,'Threshold Summary'!$Y:$Y,'Threshold Summary'!$W:$W,"")</f>
        <v/>
      </c>
      <c r="J15" s="3">
        <f>XLOOKUP($Q15,'Threshold Summary'!$Y:$Y,'Threshold Summary'!$X:$X,"")</f>
        <v/>
      </c>
      <c r="K15" s="3">
        <f>AVERAGE(I15:J15)</f>
        <v/>
      </c>
      <c r="L15" s="3">
        <f>K15*XLOOKUP(F15,'Move Editor'!$B:$B,'Move Editor'!$F:$F,100)/100</f>
        <v/>
      </c>
      <c r="M15" s="4">
        <f>XLOOKUP($Q15,'Threshold Summary'!$Y:$Y,'Threshold Summary'!$E:$E,"")</f>
        <v/>
      </c>
      <c r="N15" s="3">
        <f>IF(M15&gt;=1,"OHKO",IF(M15&gt;=0.5,"2HKO",IF(M15&gt;=0.333,"3HKO",IF(M15&gt;=0.25,"4HKO","5HKO+"))))</f>
        <v/>
      </c>
      <c r="O15" s="3">
        <f>XLOOKUP($Q15,'Threshold Summary'!$Y:$Y,'Threshold Summary'!$H:$H,"")</f>
        <v/>
      </c>
      <c r="P15" s="3" t="inlineStr">
        <is>
          <t>Live from Threshold Summary and editor tabs</t>
        </is>
      </c>
      <c r="Q15" s="3" t="inlineStr">
        <is>
          <t>SPECIES_BUNEARY</t>
        </is>
      </c>
    </row>
    <row r="16">
      <c r="A16" s="3">
        <f>XLOOKUP($Q16,'Threshold Summary'!$Y:$Y,'Threshold Summary'!$A:$A,"")</f>
        <v/>
      </c>
      <c r="B16" s="3">
        <f>XLOOKUP($Q16,'Threshold Summary'!$Y:$Y,'Threshold Summary'!$M:$M,"")</f>
        <v/>
      </c>
      <c r="C16" s="3">
        <f>XLOOKUP($Q16,'Threshold Summary'!$Y:$Y,'Threshold Summary'!$N:$N,"")</f>
        <v/>
      </c>
      <c r="D16" s="3">
        <f>(FLOOR(((2*XLOOKUP(XLOOKUP($Q16,'Threshold Summary'!$Y:$Y,'Threshold Summary'!$K:$K,""),'Pokemon Editor'!$A:$A,'Pokemon Editor'!$E:$E,0)+31+FLOOR(XLOOKUP($Q16,'Threshold Summary'!$Y:$Y,'Threshold Summary'!$O:$O,"")/4))*XLOOKUP($Q16,'Threshold Summary'!$Y:$Y,'Threshold Summary'!$L:$L,""))/100)+XLOOKUP($Q16,'Threshold Summary'!$Y:$Y,'Threshold Summary'!$L:$L,"")+10)</f>
        <v/>
      </c>
      <c r="E16" s="3" t="inlineStr">
        <is>
          <t>Lileep</t>
        </is>
      </c>
      <c r="F16" s="3">
        <f>XLOOKUP($Q16,'Threshold Summary'!$Y:$Y,'Threshold Summary'!$D:$D,"")</f>
        <v/>
      </c>
      <c r="G16" s="3">
        <f>XLOOKUP(F16,'Move Editor'!$B:$B,'Move Editor'!$C:$C,"")</f>
        <v/>
      </c>
      <c r="H16" s="3">
        <f>XLOOKUP(F16,'Move Editor'!$B:$B,'Move Editor'!$D:$D,"")</f>
        <v/>
      </c>
      <c r="I16" s="3">
        <f>XLOOKUP($Q16,'Threshold Summary'!$Y:$Y,'Threshold Summary'!$W:$W,"")</f>
        <v/>
      </c>
      <c r="J16" s="3">
        <f>XLOOKUP($Q16,'Threshold Summary'!$Y:$Y,'Threshold Summary'!$X:$X,"")</f>
        <v/>
      </c>
      <c r="K16" s="3">
        <f>AVERAGE(I16:J16)</f>
        <v/>
      </c>
      <c r="L16" s="3">
        <f>K16*XLOOKUP(F16,'Move Editor'!$B:$B,'Move Editor'!$F:$F,100)/100</f>
        <v/>
      </c>
      <c r="M16" s="4">
        <f>XLOOKUP($Q16,'Threshold Summary'!$Y:$Y,'Threshold Summary'!$E:$E,"")</f>
        <v/>
      </c>
      <c r="N16" s="3">
        <f>IF(M16&gt;=1,"OHKO",IF(M16&gt;=0.5,"2HKO",IF(M16&gt;=0.333,"3HKO",IF(M16&gt;=0.25,"4HKO","5HKO+"))))</f>
        <v/>
      </c>
      <c r="O16" s="3">
        <f>XLOOKUP($Q16,'Threshold Summary'!$Y:$Y,'Threshold Summary'!$H:$H,"")</f>
        <v/>
      </c>
      <c r="P16" s="3" t="inlineStr">
        <is>
          <t>Live from Threshold Summary and editor tabs</t>
        </is>
      </c>
      <c r="Q16" s="3" t="inlineStr">
        <is>
          <t>SPECIES_SEWADDLE</t>
        </is>
      </c>
    </row>
    <row r="17">
      <c r="A17" s="3">
        <f>XLOOKUP($Q17,'Threshold Summary'!$Y:$Y,'Threshold Summary'!$A:$A,"")</f>
        <v/>
      </c>
      <c r="B17" s="3">
        <f>XLOOKUP($Q17,'Threshold Summary'!$Y:$Y,'Threshold Summary'!$M:$M,"")</f>
        <v/>
      </c>
      <c r="C17" s="3">
        <f>XLOOKUP($Q17,'Threshold Summary'!$Y:$Y,'Threshold Summary'!$N:$N,"")</f>
        <v/>
      </c>
      <c r="D17" s="3">
        <f>(FLOOR(((2*XLOOKUP(XLOOKUP($Q17,'Threshold Summary'!$Y:$Y,'Threshold Summary'!$K:$K,""),'Pokemon Editor'!$A:$A,'Pokemon Editor'!$E:$E,0)+31+FLOOR(XLOOKUP($Q17,'Threshold Summary'!$Y:$Y,'Threshold Summary'!$O:$O,"")/4))*XLOOKUP($Q17,'Threshold Summary'!$Y:$Y,'Threshold Summary'!$L:$L,""))/100)+XLOOKUP($Q17,'Threshold Summary'!$Y:$Y,'Threshold Summary'!$L:$L,"")+10)</f>
        <v/>
      </c>
      <c r="E17" s="3" t="inlineStr">
        <is>
          <t>Lileep</t>
        </is>
      </c>
      <c r="F17" s="3">
        <f>XLOOKUP($Q17,'Threshold Summary'!$Y:$Y,'Threshold Summary'!$D:$D,"")</f>
        <v/>
      </c>
      <c r="G17" s="3">
        <f>XLOOKUP(F17,'Move Editor'!$B:$B,'Move Editor'!$C:$C,"")</f>
        <v/>
      </c>
      <c r="H17" s="3">
        <f>XLOOKUP(F17,'Move Editor'!$B:$B,'Move Editor'!$D:$D,"")</f>
        <v/>
      </c>
      <c r="I17" s="3">
        <f>XLOOKUP($Q17,'Threshold Summary'!$Y:$Y,'Threshold Summary'!$W:$W,"")</f>
        <v/>
      </c>
      <c r="J17" s="3">
        <f>XLOOKUP($Q17,'Threshold Summary'!$Y:$Y,'Threshold Summary'!$X:$X,"")</f>
        <v/>
      </c>
      <c r="K17" s="3">
        <f>AVERAGE(I17:J17)</f>
        <v/>
      </c>
      <c r="L17" s="3">
        <f>K17*XLOOKUP(F17,'Move Editor'!$B:$B,'Move Editor'!$F:$F,100)/100</f>
        <v/>
      </c>
      <c r="M17" s="4">
        <f>XLOOKUP($Q17,'Threshold Summary'!$Y:$Y,'Threshold Summary'!$E:$E,"")</f>
        <v/>
      </c>
      <c r="N17" s="3">
        <f>IF(M17&gt;=1,"OHKO",IF(M17&gt;=0.5,"2HKO",IF(M17&gt;=0.333,"3HKO",IF(M17&gt;=0.25,"4HKO","5HKO+"))))</f>
        <v/>
      </c>
      <c r="O17" s="3">
        <f>XLOOKUP($Q17,'Threshold Summary'!$Y:$Y,'Threshold Summary'!$H:$H,"")</f>
        <v/>
      </c>
      <c r="P17" s="3" t="inlineStr">
        <is>
          <t>Live from Threshold Summary and editor tabs</t>
        </is>
      </c>
      <c r="Q17" s="3" t="inlineStr">
        <is>
          <t>SPECIES_VENIPEDE</t>
        </is>
      </c>
    </row>
    <row r="18">
      <c r="A18" s="3">
        <f>XLOOKUP($Q18,'Threshold Summary'!$Y:$Y,'Threshold Summary'!$A:$A,"")</f>
        <v/>
      </c>
      <c r="B18" s="3">
        <f>XLOOKUP($Q18,'Threshold Summary'!$Y:$Y,'Threshold Summary'!$M:$M,"")</f>
        <v/>
      </c>
      <c r="C18" s="3">
        <f>XLOOKUP($Q18,'Threshold Summary'!$Y:$Y,'Threshold Summary'!$N:$N,"")</f>
        <v/>
      </c>
      <c r="D18" s="3">
        <f>(FLOOR(((2*XLOOKUP(XLOOKUP($Q18,'Threshold Summary'!$Y:$Y,'Threshold Summary'!$K:$K,""),'Pokemon Editor'!$A:$A,'Pokemon Editor'!$E:$E,0)+31+FLOOR(XLOOKUP($Q18,'Threshold Summary'!$Y:$Y,'Threshold Summary'!$O:$O,"")/4))*XLOOKUP($Q18,'Threshold Summary'!$Y:$Y,'Threshold Summary'!$L:$L,""))/100)+XLOOKUP($Q18,'Threshold Summary'!$Y:$Y,'Threshold Summary'!$L:$L,"")+10)</f>
        <v/>
      </c>
      <c r="E18" s="3" t="inlineStr">
        <is>
          <t>Lileep</t>
        </is>
      </c>
      <c r="F18" s="3">
        <f>XLOOKUP($Q18,'Threshold Summary'!$Y:$Y,'Threshold Summary'!$D:$D,"")</f>
        <v/>
      </c>
      <c r="G18" s="3">
        <f>XLOOKUP(F18,'Move Editor'!$B:$B,'Move Editor'!$C:$C,"")</f>
        <v/>
      </c>
      <c r="H18" s="3">
        <f>XLOOKUP(F18,'Move Editor'!$B:$B,'Move Editor'!$D:$D,"")</f>
        <v/>
      </c>
      <c r="I18" s="3">
        <f>XLOOKUP($Q18,'Threshold Summary'!$Y:$Y,'Threshold Summary'!$W:$W,"")</f>
        <v/>
      </c>
      <c r="J18" s="3">
        <f>XLOOKUP($Q18,'Threshold Summary'!$Y:$Y,'Threshold Summary'!$X:$X,"")</f>
        <v/>
      </c>
      <c r="K18" s="3">
        <f>AVERAGE(I18:J18)</f>
        <v/>
      </c>
      <c r="L18" s="3">
        <f>K18*XLOOKUP(F18,'Move Editor'!$B:$B,'Move Editor'!$F:$F,100)/100</f>
        <v/>
      </c>
      <c r="M18" s="4">
        <f>XLOOKUP($Q18,'Threshold Summary'!$Y:$Y,'Threshold Summary'!$E:$E,"")</f>
        <v/>
      </c>
      <c r="N18" s="3">
        <f>IF(M18&gt;=1,"OHKO",IF(M18&gt;=0.5,"2HKO",IF(M18&gt;=0.333,"3HKO",IF(M18&gt;=0.25,"4HKO","5HKO+"))))</f>
        <v/>
      </c>
      <c r="O18" s="3">
        <f>XLOOKUP($Q18,'Threshold Summary'!$Y:$Y,'Threshold Summary'!$H:$H,"")</f>
        <v/>
      </c>
      <c r="P18" s="3" t="inlineStr">
        <is>
          <t>Live from Threshold Summary and editor tabs</t>
        </is>
      </c>
      <c r="Q18" s="3" t="inlineStr">
        <is>
          <t>SPECIES_MINCCINO</t>
        </is>
      </c>
    </row>
    <row r="19">
      <c r="A19" s="3">
        <f>XLOOKUP($Q19,'Threshold Summary'!$Y:$Y,'Threshold Summary'!$A:$A,"")</f>
        <v/>
      </c>
      <c r="B19" s="3">
        <f>XLOOKUP($Q19,'Threshold Summary'!$Y:$Y,'Threshold Summary'!$M:$M,"")</f>
        <v/>
      </c>
      <c r="C19" s="3">
        <f>XLOOKUP($Q19,'Threshold Summary'!$Y:$Y,'Threshold Summary'!$N:$N,"")</f>
        <v/>
      </c>
      <c r="D19" s="3">
        <f>(FLOOR(((2*XLOOKUP(XLOOKUP($Q19,'Threshold Summary'!$Y:$Y,'Threshold Summary'!$K:$K,""),'Pokemon Editor'!$A:$A,'Pokemon Editor'!$E:$E,0)+31+FLOOR(XLOOKUP($Q19,'Threshold Summary'!$Y:$Y,'Threshold Summary'!$O:$O,"")/4))*XLOOKUP($Q19,'Threshold Summary'!$Y:$Y,'Threshold Summary'!$L:$L,""))/100)+XLOOKUP($Q19,'Threshold Summary'!$Y:$Y,'Threshold Summary'!$L:$L,"")+10)</f>
        <v/>
      </c>
      <c r="E19" s="3" t="inlineStr">
        <is>
          <t>Lileep</t>
        </is>
      </c>
      <c r="F19" s="3">
        <f>XLOOKUP($Q19,'Threshold Summary'!$Y:$Y,'Threshold Summary'!$D:$D,"")</f>
        <v/>
      </c>
      <c r="G19" s="3">
        <f>XLOOKUP(F19,'Move Editor'!$B:$B,'Move Editor'!$C:$C,"")</f>
        <v/>
      </c>
      <c r="H19" s="3">
        <f>XLOOKUP(F19,'Move Editor'!$B:$B,'Move Editor'!$D:$D,"")</f>
        <v/>
      </c>
      <c r="I19" s="3">
        <f>XLOOKUP($Q19,'Threshold Summary'!$Y:$Y,'Threshold Summary'!$W:$W,"")</f>
        <v/>
      </c>
      <c r="J19" s="3">
        <f>XLOOKUP($Q19,'Threshold Summary'!$Y:$Y,'Threshold Summary'!$X:$X,"")</f>
        <v/>
      </c>
      <c r="K19" s="3">
        <f>AVERAGE(I19:J19)</f>
        <v/>
      </c>
      <c r="L19" s="3">
        <f>K19*XLOOKUP(F19,'Move Editor'!$B:$B,'Move Editor'!$F:$F,100)/100</f>
        <v/>
      </c>
      <c r="M19" s="4">
        <f>XLOOKUP($Q19,'Threshold Summary'!$Y:$Y,'Threshold Summary'!$E:$E,"")</f>
        <v/>
      </c>
      <c r="N19" s="3">
        <f>IF(M19&gt;=1,"OHKO",IF(M19&gt;=0.5,"2HKO",IF(M19&gt;=0.333,"3HKO",IF(M19&gt;=0.25,"4HKO","5HKO+"))))</f>
        <v/>
      </c>
      <c r="O19" s="3">
        <f>XLOOKUP($Q19,'Threshold Summary'!$Y:$Y,'Threshold Summary'!$H:$H,"")</f>
        <v/>
      </c>
      <c r="P19" s="3" t="inlineStr">
        <is>
          <t>Live from Threshold Summary and editor tabs</t>
        </is>
      </c>
      <c r="Q19" s="3" t="inlineStr">
        <is>
          <t>SPECIES_DUCKLETT</t>
        </is>
      </c>
    </row>
    <row r="20">
      <c r="A20" s="3">
        <f>XLOOKUP($Q20,'Threshold Summary'!$Y:$Y,'Threshold Summary'!$A:$A,"")</f>
        <v/>
      </c>
      <c r="B20" s="3">
        <f>XLOOKUP($Q20,'Threshold Summary'!$Y:$Y,'Threshold Summary'!$M:$M,"")</f>
        <v/>
      </c>
      <c r="C20" s="3">
        <f>XLOOKUP($Q20,'Threshold Summary'!$Y:$Y,'Threshold Summary'!$N:$N,"")</f>
        <v/>
      </c>
      <c r="D20" s="3">
        <f>(FLOOR(((2*XLOOKUP(XLOOKUP($Q20,'Threshold Summary'!$Y:$Y,'Threshold Summary'!$K:$K,""),'Pokemon Editor'!$A:$A,'Pokemon Editor'!$E:$E,0)+31+FLOOR(XLOOKUP($Q20,'Threshold Summary'!$Y:$Y,'Threshold Summary'!$O:$O,"")/4))*XLOOKUP($Q20,'Threshold Summary'!$Y:$Y,'Threshold Summary'!$L:$L,""))/100)+XLOOKUP($Q20,'Threshold Summary'!$Y:$Y,'Threshold Summary'!$L:$L,"")+10)</f>
        <v/>
      </c>
      <c r="E20" s="3" t="inlineStr">
        <is>
          <t>Lileep</t>
        </is>
      </c>
      <c r="F20" s="3">
        <f>XLOOKUP($Q20,'Threshold Summary'!$Y:$Y,'Threshold Summary'!$D:$D,"")</f>
        <v/>
      </c>
      <c r="G20" s="3">
        <f>XLOOKUP(F20,'Move Editor'!$B:$B,'Move Editor'!$C:$C,"")</f>
        <v/>
      </c>
      <c r="H20" s="3">
        <f>XLOOKUP(F20,'Move Editor'!$B:$B,'Move Editor'!$D:$D,"")</f>
        <v/>
      </c>
      <c r="I20" s="3">
        <f>XLOOKUP($Q20,'Threshold Summary'!$Y:$Y,'Threshold Summary'!$W:$W,"")</f>
        <v/>
      </c>
      <c r="J20" s="3">
        <f>XLOOKUP($Q20,'Threshold Summary'!$Y:$Y,'Threshold Summary'!$X:$X,"")</f>
        <v/>
      </c>
      <c r="K20" s="3">
        <f>AVERAGE(I20:J20)</f>
        <v/>
      </c>
      <c r="L20" s="3">
        <f>K20*XLOOKUP(F20,'Move Editor'!$B:$B,'Move Editor'!$F:$F,100)/100</f>
        <v/>
      </c>
      <c r="M20" s="4">
        <f>XLOOKUP($Q20,'Threshold Summary'!$Y:$Y,'Threshold Summary'!$E:$E,"")</f>
        <v/>
      </c>
      <c r="N20" s="3">
        <f>IF(M20&gt;=1,"OHKO",IF(M20&gt;=0.5,"2HKO",IF(M20&gt;=0.333,"3HKO",IF(M20&gt;=0.25,"4HKO","5HKO+"))))</f>
        <v/>
      </c>
      <c r="O20" s="3">
        <f>XLOOKUP($Q20,'Threshold Summary'!$Y:$Y,'Threshold Summary'!$H:$H,"")</f>
        <v/>
      </c>
      <c r="P20" s="3" t="inlineStr">
        <is>
          <t>Live from Threshold Summary and editor tabs</t>
        </is>
      </c>
      <c r="Q20" s="3" t="inlineStr">
        <is>
          <t>SPECIES_FLETCHLING</t>
        </is>
      </c>
    </row>
    <row r="21">
      <c r="A21" s="3">
        <f>XLOOKUP($Q21,'Threshold Summary'!$Y:$Y,'Threshold Summary'!$A:$A,"")</f>
        <v/>
      </c>
      <c r="B21" s="3">
        <f>XLOOKUP($Q21,'Threshold Summary'!$Y:$Y,'Threshold Summary'!$M:$M,"")</f>
        <v/>
      </c>
      <c r="C21" s="3">
        <f>XLOOKUP($Q21,'Threshold Summary'!$Y:$Y,'Threshold Summary'!$N:$N,"")</f>
        <v/>
      </c>
      <c r="D21" s="3">
        <f>(FLOOR(((2*XLOOKUP(XLOOKUP($Q21,'Threshold Summary'!$Y:$Y,'Threshold Summary'!$K:$K,""),'Pokemon Editor'!$A:$A,'Pokemon Editor'!$E:$E,0)+31+FLOOR(XLOOKUP($Q21,'Threshold Summary'!$Y:$Y,'Threshold Summary'!$O:$O,"")/4))*XLOOKUP($Q21,'Threshold Summary'!$Y:$Y,'Threshold Summary'!$L:$L,""))/100)+XLOOKUP($Q21,'Threshold Summary'!$Y:$Y,'Threshold Summary'!$L:$L,"")+10)</f>
        <v/>
      </c>
      <c r="E21" s="3" t="inlineStr">
        <is>
          <t>Lileep</t>
        </is>
      </c>
      <c r="F21" s="3">
        <f>XLOOKUP($Q21,'Threshold Summary'!$Y:$Y,'Threshold Summary'!$D:$D,"")</f>
        <v/>
      </c>
      <c r="G21" s="3">
        <f>XLOOKUP(F21,'Move Editor'!$B:$B,'Move Editor'!$C:$C,"")</f>
        <v/>
      </c>
      <c r="H21" s="3">
        <f>XLOOKUP(F21,'Move Editor'!$B:$B,'Move Editor'!$D:$D,"")</f>
        <v/>
      </c>
      <c r="I21" s="3">
        <f>XLOOKUP($Q21,'Threshold Summary'!$Y:$Y,'Threshold Summary'!$W:$W,"")</f>
        <v/>
      </c>
      <c r="J21" s="3">
        <f>XLOOKUP($Q21,'Threshold Summary'!$Y:$Y,'Threshold Summary'!$X:$X,"")</f>
        <v/>
      </c>
      <c r="K21" s="3">
        <f>AVERAGE(I21:J21)</f>
        <v/>
      </c>
      <c r="L21" s="3">
        <f>K21*XLOOKUP(F21,'Move Editor'!$B:$B,'Move Editor'!$F:$F,100)/100</f>
        <v/>
      </c>
      <c r="M21" s="4">
        <f>XLOOKUP($Q21,'Threshold Summary'!$Y:$Y,'Threshold Summary'!$E:$E,"")</f>
        <v/>
      </c>
      <c r="N21" s="3">
        <f>IF(M21&gt;=1,"OHKO",IF(M21&gt;=0.5,"2HKO",IF(M21&gt;=0.333,"3HKO",IF(M21&gt;=0.25,"4HKO","5HKO+"))))</f>
        <v/>
      </c>
      <c r="O21" s="3">
        <f>XLOOKUP($Q21,'Threshold Summary'!$Y:$Y,'Threshold Summary'!$H:$H,"")</f>
        <v/>
      </c>
      <c r="P21" s="3" t="inlineStr">
        <is>
          <t>Live from Threshold Summary and editor tabs</t>
        </is>
      </c>
      <c r="Q21" s="3" t="inlineStr">
        <is>
          <t>SPECIES_LITLEO</t>
        </is>
      </c>
    </row>
    <row r="22">
      <c r="A22" s="3">
        <f>XLOOKUP($Q22,'Threshold Summary'!$Y:$Y,'Threshold Summary'!$A:$A,"")</f>
        <v/>
      </c>
      <c r="B22" s="3">
        <f>XLOOKUP($Q22,'Threshold Summary'!$Y:$Y,'Threshold Summary'!$M:$M,"")</f>
        <v/>
      </c>
      <c r="C22" s="3">
        <f>XLOOKUP($Q22,'Threshold Summary'!$Y:$Y,'Threshold Summary'!$N:$N,"")</f>
        <v/>
      </c>
      <c r="D22" s="3">
        <f>(FLOOR(((2*XLOOKUP(XLOOKUP($Q22,'Threshold Summary'!$Y:$Y,'Threshold Summary'!$K:$K,""),'Pokemon Editor'!$A:$A,'Pokemon Editor'!$E:$E,0)+31+FLOOR(XLOOKUP($Q22,'Threshold Summary'!$Y:$Y,'Threshold Summary'!$O:$O,"")/4))*XLOOKUP($Q22,'Threshold Summary'!$Y:$Y,'Threshold Summary'!$L:$L,""))/100)+XLOOKUP($Q22,'Threshold Summary'!$Y:$Y,'Threshold Summary'!$L:$L,"")+10)</f>
        <v/>
      </c>
      <c r="E22" s="3" t="inlineStr">
        <is>
          <t>Lileep</t>
        </is>
      </c>
      <c r="F22" s="3">
        <f>XLOOKUP($Q22,'Threshold Summary'!$Y:$Y,'Threshold Summary'!$D:$D,"")</f>
        <v/>
      </c>
      <c r="G22" s="3">
        <f>XLOOKUP(F22,'Move Editor'!$B:$B,'Move Editor'!$C:$C,"")</f>
        <v/>
      </c>
      <c r="H22" s="3">
        <f>XLOOKUP(F22,'Move Editor'!$B:$B,'Move Editor'!$D:$D,"")</f>
        <v/>
      </c>
      <c r="I22" s="3">
        <f>XLOOKUP($Q22,'Threshold Summary'!$Y:$Y,'Threshold Summary'!$W:$W,"")</f>
        <v/>
      </c>
      <c r="J22" s="3">
        <f>XLOOKUP($Q22,'Threshold Summary'!$Y:$Y,'Threshold Summary'!$X:$X,"")</f>
        <v/>
      </c>
      <c r="K22" s="3">
        <f>AVERAGE(I22:J22)</f>
        <v/>
      </c>
      <c r="L22" s="3">
        <f>K22*XLOOKUP(F22,'Move Editor'!$B:$B,'Move Editor'!$F:$F,100)/100</f>
        <v/>
      </c>
      <c r="M22" s="4">
        <f>XLOOKUP($Q22,'Threshold Summary'!$Y:$Y,'Threshold Summary'!$E:$E,"")</f>
        <v/>
      </c>
      <c r="N22" s="3">
        <f>IF(M22&gt;=1,"OHKO",IF(M22&gt;=0.5,"2HKO",IF(M22&gt;=0.333,"3HKO",IF(M22&gt;=0.25,"4HKO","5HKO+"))))</f>
        <v/>
      </c>
      <c r="O22" s="3">
        <f>XLOOKUP($Q22,'Threshold Summary'!$Y:$Y,'Threshold Summary'!$H:$H,"")</f>
        <v/>
      </c>
      <c r="P22" s="3" t="inlineStr">
        <is>
          <t>Live from Threshold Summary and editor tabs</t>
        </is>
      </c>
      <c r="Q22" s="3" t="inlineStr">
        <is>
          <t>SPECIES_PANCHAM</t>
        </is>
      </c>
    </row>
    <row r="23">
      <c r="A23" s="3">
        <f>XLOOKUP($Q23,'Threshold Summary'!$Y:$Y,'Threshold Summary'!$A:$A,"")</f>
        <v/>
      </c>
      <c r="B23" s="3">
        <f>XLOOKUP($Q23,'Threshold Summary'!$Y:$Y,'Threshold Summary'!$M:$M,"")</f>
        <v/>
      </c>
      <c r="C23" s="3">
        <f>XLOOKUP($Q23,'Threshold Summary'!$Y:$Y,'Threshold Summary'!$N:$N,"")</f>
        <v/>
      </c>
      <c r="D23" s="3">
        <f>(FLOOR(((2*XLOOKUP(XLOOKUP($Q23,'Threshold Summary'!$Y:$Y,'Threshold Summary'!$K:$K,""),'Pokemon Editor'!$A:$A,'Pokemon Editor'!$E:$E,0)+31+FLOOR(XLOOKUP($Q23,'Threshold Summary'!$Y:$Y,'Threshold Summary'!$O:$O,"")/4))*XLOOKUP($Q23,'Threshold Summary'!$Y:$Y,'Threshold Summary'!$L:$L,""))/100)+XLOOKUP($Q23,'Threshold Summary'!$Y:$Y,'Threshold Summary'!$L:$L,"")+10)</f>
        <v/>
      </c>
      <c r="E23" s="3" t="inlineStr">
        <is>
          <t>Lileep</t>
        </is>
      </c>
      <c r="F23" s="3">
        <f>XLOOKUP($Q23,'Threshold Summary'!$Y:$Y,'Threshold Summary'!$D:$D,"")</f>
        <v/>
      </c>
      <c r="G23" s="3">
        <f>XLOOKUP(F23,'Move Editor'!$B:$B,'Move Editor'!$C:$C,"")</f>
        <v/>
      </c>
      <c r="H23" s="3">
        <f>XLOOKUP(F23,'Move Editor'!$B:$B,'Move Editor'!$D:$D,"")</f>
        <v/>
      </c>
      <c r="I23" s="3">
        <f>XLOOKUP($Q23,'Threshold Summary'!$Y:$Y,'Threshold Summary'!$W:$W,"")</f>
        <v/>
      </c>
      <c r="J23" s="3">
        <f>XLOOKUP($Q23,'Threshold Summary'!$Y:$Y,'Threshold Summary'!$X:$X,"")</f>
        <v/>
      </c>
      <c r="K23" s="3">
        <f>AVERAGE(I23:J23)</f>
        <v/>
      </c>
      <c r="L23" s="3">
        <f>K23*XLOOKUP(F23,'Move Editor'!$B:$B,'Move Editor'!$F:$F,100)/100</f>
        <v/>
      </c>
      <c r="M23" s="4">
        <f>XLOOKUP($Q23,'Threshold Summary'!$Y:$Y,'Threshold Summary'!$E:$E,"")</f>
        <v/>
      </c>
      <c r="N23" s="3">
        <f>IF(M23&gt;=1,"OHKO",IF(M23&gt;=0.5,"2HKO",IF(M23&gt;=0.333,"3HKO",IF(M23&gt;=0.25,"4HKO","5HKO+"))))</f>
        <v/>
      </c>
      <c r="O23" s="3">
        <f>XLOOKUP($Q23,'Threshold Summary'!$Y:$Y,'Threshold Summary'!$H:$H,"")</f>
        <v/>
      </c>
      <c r="P23" s="3" t="inlineStr">
        <is>
          <t>Live from Threshold Summary and editor tabs</t>
        </is>
      </c>
      <c r="Q23" s="3" t="inlineStr">
        <is>
          <t>SPECIES_PHANTUMP</t>
        </is>
      </c>
    </row>
    <row r="24">
      <c r="A24" s="3">
        <f>XLOOKUP($Q24,'Threshold Summary'!$Y:$Y,'Threshold Summary'!$A:$A,"")</f>
        <v/>
      </c>
      <c r="B24" s="3">
        <f>XLOOKUP($Q24,'Threshold Summary'!$Y:$Y,'Threshold Summary'!$M:$M,"")</f>
        <v/>
      </c>
      <c r="C24" s="3">
        <f>XLOOKUP($Q24,'Threshold Summary'!$Y:$Y,'Threshold Summary'!$N:$N,"")</f>
        <v/>
      </c>
      <c r="D24" s="3">
        <f>(FLOOR(((2*XLOOKUP(XLOOKUP($Q24,'Threshold Summary'!$Y:$Y,'Threshold Summary'!$K:$K,""),'Pokemon Editor'!$A:$A,'Pokemon Editor'!$E:$E,0)+31+FLOOR(XLOOKUP($Q24,'Threshold Summary'!$Y:$Y,'Threshold Summary'!$O:$O,"")/4))*XLOOKUP($Q24,'Threshold Summary'!$Y:$Y,'Threshold Summary'!$L:$L,""))/100)+XLOOKUP($Q24,'Threshold Summary'!$Y:$Y,'Threshold Summary'!$L:$L,"")+10)</f>
        <v/>
      </c>
      <c r="E24" s="3" t="inlineStr">
        <is>
          <t>Lileep</t>
        </is>
      </c>
      <c r="F24" s="3">
        <f>XLOOKUP($Q24,'Threshold Summary'!$Y:$Y,'Threshold Summary'!$D:$D,"")</f>
        <v/>
      </c>
      <c r="G24" s="3">
        <f>XLOOKUP(F24,'Move Editor'!$B:$B,'Move Editor'!$C:$C,"")</f>
        <v/>
      </c>
      <c r="H24" s="3">
        <f>XLOOKUP(F24,'Move Editor'!$B:$B,'Move Editor'!$D:$D,"")</f>
        <v/>
      </c>
      <c r="I24" s="3">
        <f>XLOOKUP($Q24,'Threshold Summary'!$Y:$Y,'Threshold Summary'!$W:$W,"")</f>
        <v/>
      </c>
      <c r="J24" s="3">
        <f>XLOOKUP($Q24,'Threshold Summary'!$Y:$Y,'Threshold Summary'!$X:$X,"")</f>
        <v/>
      </c>
      <c r="K24" s="3">
        <f>AVERAGE(I24:J24)</f>
        <v/>
      </c>
      <c r="L24" s="3">
        <f>K24*XLOOKUP(F24,'Move Editor'!$B:$B,'Move Editor'!$F:$F,100)/100</f>
        <v/>
      </c>
      <c r="M24" s="4">
        <f>XLOOKUP($Q24,'Threshold Summary'!$Y:$Y,'Threshold Summary'!$E:$E,"")</f>
        <v/>
      </c>
      <c r="N24" s="3">
        <f>IF(M24&gt;=1,"OHKO",IF(M24&gt;=0.5,"2HKO",IF(M24&gt;=0.333,"3HKO",IF(M24&gt;=0.25,"4HKO","5HKO+"))))</f>
        <v/>
      </c>
      <c r="O24" s="3">
        <f>XLOOKUP($Q24,'Threshold Summary'!$Y:$Y,'Threshold Summary'!$H:$H,"")</f>
        <v/>
      </c>
      <c r="P24" s="3" t="inlineStr">
        <is>
          <t>Live from Threshold Summary and editor tabs</t>
        </is>
      </c>
      <c r="Q24" s="3" t="inlineStr">
        <is>
          <t>SPECIES_CUTIEFLY</t>
        </is>
      </c>
    </row>
    <row r="25">
      <c r="A25" s="3">
        <f>XLOOKUP($Q25,'Threshold Summary'!$Y:$Y,'Threshold Summary'!$A:$A,"")</f>
        <v/>
      </c>
      <c r="B25" s="3">
        <f>XLOOKUP($Q25,'Threshold Summary'!$Y:$Y,'Threshold Summary'!$M:$M,"")</f>
        <v/>
      </c>
      <c r="C25" s="3">
        <f>XLOOKUP($Q25,'Threshold Summary'!$Y:$Y,'Threshold Summary'!$N:$N,"")</f>
        <v/>
      </c>
      <c r="D25" s="3">
        <f>(FLOOR(((2*XLOOKUP(XLOOKUP($Q25,'Threshold Summary'!$Y:$Y,'Threshold Summary'!$K:$K,""),'Pokemon Editor'!$A:$A,'Pokemon Editor'!$E:$E,0)+31+FLOOR(XLOOKUP($Q25,'Threshold Summary'!$Y:$Y,'Threshold Summary'!$O:$O,"")/4))*XLOOKUP($Q25,'Threshold Summary'!$Y:$Y,'Threshold Summary'!$L:$L,""))/100)+XLOOKUP($Q25,'Threshold Summary'!$Y:$Y,'Threshold Summary'!$L:$L,"")+10)</f>
        <v/>
      </c>
      <c r="E25" s="3" t="inlineStr">
        <is>
          <t>Lileep</t>
        </is>
      </c>
      <c r="F25" s="3">
        <f>XLOOKUP($Q25,'Threshold Summary'!$Y:$Y,'Threshold Summary'!$D:$D,"")</f>
        <v/>
      </c>
      <c r="G25" s="3">
        <f>XLOOKUP(F25,'Move Editor'!$B:$B,'Move Editor'!$C:$C,"")</f>
        <v/>
      </c>
      <c r="H25" s="3">
        <f>XLOOKUP(F25,'Move Editor'!$B:$B,'Move Editor'!$D:$D,"")</f>
        <v/>
      </c>
      <c r="I25" s="3">
        <f>XLOOKUP($Q25,'Threshold Summary'!$Y:$Y,'Threshold Summary'!$W:$W,"")</f>
        <v/>
      </c>
      <c r="J25" s="3">
        <f>XLOOKUP($Q25,'Threshold Summary'!$Y:$Y,'Threshold Summary'!$X:$X,"")</f>
        <v/>
      </c>
      <c r="K25" s="3">
        <f>AVERAGE(I25:J25)</f>
        <v/>
      </c>
      <c r="L25" s="3">
        <f>K25*XLOOKUP(F25,'Move Editor'!$B:$B,'Move Editor'!$F:$F,100)/100</f>
        <v/>
      </c>
      <c r="M25" s="4">
        <f>XLOOKUP($Q25,'Threshold Summary'!$Y:$Y,'Threshold Summary'!$E:$E,"")</f>
        <v/>
      </c>
      <c r="N25" s="3">
        <f>IF(M25&gt;=1,"OHKO",IF(M25&gt;=0.5,"2HKO",IF(M25&gt;=0.333,"3HKO",IF(M25&gt;=0.25,"4HKO","5HKO+"))))</f>
        <v/>
      </c>
      <c r="O25" s="3">
        <f>XLOOKUP($Q25,'Threshold Summary'!$Y:$Y,'Threshold Summary'!$H:$H,"")</f>
        <v/>
      </c>
      <c r="P25" s="3" t="inlineStr">
        <is>
          <t>Live from Threshold Summary and editor tabs</t>
        </is>
      </c>
      <c r="Q25" s="3" t="inlineStr">
        <is>
          <t>SPECIES_STUFFUL</t>
        </is>
      </c>
    </row>
    <row r="26">
      <c r="A26" s="3">
        <f>XLOOKUP($Q26,'Threshold Summary'!$Y:$Y,'Threshold Summary'!$A:$A,"")</f>
        <v/>
      </c>
      <c r="B26" s="3">
        <f>XLOOKUP($Q26,'Threshold Summary'!$Y:$Y,'Threshold Summary'!$M:$M,"")</f>
        <v/>
      </c>
      <c r="C26" s="3">
        <f>XLOOKUP($Q26,'Threshold Summary'!$Y:$Y,'Threshold Summary'!$N:$N,"")</f>
        <v/>
      </c>
      <c r="D26" s="3">
        <f>(FLOOR(((2*XLOOKUP(XLOOKUP($Q26,'Threshold Summary'!$Y:$Y,'Threshold Summary'!$K:$K,""),'Pokemon Editor'!$A:$A,'Pokemon Editor'!$E:$E,0)+31+FLOOR(XLOOKUP($Q26,'Threshold Summary'!$Y:$Y,'Threshold Summary'!$O:$O,"")/4))*XLOOKUP($Q26,'Threshold Summary'!$Y:$Y,'Threshold Summary'!$L:$L,""))/100)+XLOOKUP($Q26,'Threshold Summary'!$Y:$Y,'Threshold Summary'!$L:$L,"")+10)</f>
        <v/>
      </c>
      <c r="E26" s="3" t="inlineStr">
        <is>
          <t>Lileep</t>
        </is>
      </c>
      <c r="F26" s="3">
        <f>XLOOKUP($Q26,'Threshold Summary'!$Y:$Y,'Threshold Summary'!$D:$D,"")</f>
        <v/>
      </c>
      <c r="G26" s="3">
        <f>XLOOKUP(F26,'Move Editor'!$B:$B,'Move Editor'!$C:$C,"")</f>
        <v/>
      </c>
      <c r="H26" s="3">
        <f>XLOOKUP(F26,'Move Editor'!$B:$B,'Move Editor'!$D:$D,"")</f>
        <v/>
      </c>
      <c r="I26" s="3">
        <f>XLOOKUP($Q26,'Threshold Summary'!$Y:$Y,'Threshold Summary'!$W:$W,"")</f>
        <v/>
      </c>
      <c r="J26" s="3">
        <f>XLOOKUP($Q26,'Threshold Summary'!$Y:$Y,'Threshold Summary'!$X:$X,"")</f>
        <v/>
      </c>
      <c r="K26" s="3">
        <f>AVERAGE(I26:J26)</f>
        <v/>
      </c>
      <c r="L26" s="3">
        <f>K26*XLOOKUP(F26,'Move Editor'!$B:$B,'Move Editor'!$F:$F,100)/100</f>
        <v/>
      </c>
      <c r="M26" s="4">
        <f>XLOOKUP($Q26,'Threshold Summary'!$Y:$Y,'Threshold Summary'!$E:$E,"")</f>
        <v/>
      </c>
      <c r="N26" s="3">
        <f>IF(M26&gt;=1,"OHKO",IF(M26&gt;=0.5,"2HKO",IF(M26&gt;=0.333,"3HKO",IF(M26&gt;=0.25,"4HKO","5HKO+"))))</f>
        <v/>
      </c>
      <c r="O26" s="3">
        <f>XLOOKUP($Q26,'Threshold Summary'!$Y:$Y,'Threshold Summary'!$H:$H,"")</f>
        <v/>
      </c>
      <c r="P26" s="3" t="inlineStr">
        <is>
          <t>Live from Threshold Summary and editor tabs</t>
        </is>
      </c>
      <c r="Q26" s="3" t="inlineStr">
        <is>
          <t>SPECIES_BOUNSWEET</t>
        </is>
      </c>
    </row>
    <row r="27">
      <c r="A27" s="3">
        <f>XLOOKUP($Q27,'Threshold Summary'!$Y:$Y,'Threshold Summary'!$A:$A,"")</f>
        <v/>
      </c>
      <c r="B27" s="3">
        <f>XLOOKUP($Q27,'Threshold Summary'!$Y:$Y,'Threshold Summary'!$M:$M,"")</f>
        <v/>
      </c>
      <c r="C27" s="3">
        <f>XLOOKUP($Q27,'Threshold Summary'!$Y:$Y,'Threshold Summary'!$N:$N,"")</f>
        <v/>
      </c>
      <c r="D27" s="3">
        <f>(FLOOR(((2*XLOOKUP(XLOOKUP($Q27,'Threshold Summary'!$Y:$Y,'Threshold Summary'!$K:$K,""),'Pokemon Editor'!$A:$A,'Pokemon Editor'!$E:$E,0)+31+FLOOR(XLOOKUP($Q27,'Threshold Summary'!$Y:$Y,'Threshold Summary'!$O:$O,"")/4))*XLOOKUP($Q27,'Threshold Summary'!$Y:$Y,'Threshold Summary'!$L:$L,""))/100)+XLOOKUP($Q27,'Threshold Summary'!$Y:$Y,'Threshold Summary'!$L:$L,"")+10)</f>
        <v/>
      </c>
      <c r="E27" s="3" t="inlineStr">
        <is>
          <t>Lileep</t>
        </is>
      </c>
      <c r="F27" s="3">
        <f>XLOOKUP($Q27,'Threshold Summary'!$Y:$Y,'Threshold Summary'!$D:$D,"")</f>
        <v/>
      </c>
      <c r="G27" s="3">
        <f>XLOOKUP(F27,'Move Editor'!$B:$B,'Move Editor'!$C:$C,"")</f>
        <v/>
      </c>
      <c r="H27" s="3">
        <f>XLOOKUP(F27,'Move Editor'!$B:$B,'Move Editor'!$D:$D,"")</f>
        <v/>
      </c>
      <c r="I27" s="3">
        <f>XLOOKUP($Q27,'Threshold Summary'!$Y:$Y,'Threshold Summary'!$W:$W,"")</f>
        <v/>
      </c>
      <c r="J27" s="3">
        <f>XLOOKUP($Q27,'Threshold Summary'!$Y:$Y,'Threshold Summary'!$X:$X,"")</f>
        <v/>
      </c>
      <c r="K27" s="3">
        <f>AVERAGE(I27:J27)</f>
        <v/>
      </c>
      <c r="L27" s="3">
        <f>K27*XLOOKUP(F27,'Move Editor'!$B:$B,'Move Editor'!$F:$F,100)/100</f>
        <v/>
      </c>
      <c r="M27" s="4">
        <f>XLOOKUP($Q27,'Threshold Summary'!$Y:$Y,'Threshold Summary'!$E:$E,"")</f>
        <v/>
      </c>
      <c r="N27" s="3">
        <f>IF(M27&gt;=1,"OHKO",IF(M27&gt;=0.5,"2HKO",IF(M27&gt;=0.333,"3HKO",IF(M27&gt;=0.25,"4HKO","5HKO+"))))</f>
        <v/>
      </c>
      <c r="O27" s="3">
        <f>XLOOKUP($Q27,'Threshold Summary'!$Y:$Y,'Threshold Summary'!$H:$H,"")</f>
        <v/>
      </c>
      <c r="P27" s="3" t="inlineStr">
        <is>
          <t>Live from Threshold Summary and editor tabs</t>
        </is>
      </c>
      <c r="Q27" s="3" t="inlineStr">
        <is>
          <t>SPECIES_BLIPBUG</t>
        </is>
      </c>
    </row>
    <row r="28">
      <c r="A28" s="3">
        <f>XLOOKUP($Q28,'Threshold Summary'!$Y:$Y,'Threshold Summary'!$A:$A,"")</f>
        <v/>
      </c>
      <c r="B28" s="3">
        <f>XLOOKUP($Q28,'Threshold Summary'!$Y:$Y,'Threshold Summary'!$M:$M,"")</f>
        <v/>
      </c>
      <c r="C28" s="3">
        <f>XLOOKUP($Q28,'Threshold Summary'!$Y:$Y,'Threshold Summary'!$N:$N,"")</f>
        <v/>
      </c>
      <c r="D28" s="3">
        <f>(FLOOR(((2*XLOOKUP(XLOOKUP($Q28,'Threshold Summary'!$Y:$Y,'Threshold Summary'!$K:$K,""),'Pokemon Editor'!$A:$A,'Pokemon Editor'!$E:$E,0)+31+FLOOR(XLOOKUP($Q28,'Threshold Summary'!$Y:$Y,'Threshold Summary'!$O:$O,"")/4))*XLOOKUP($Q28,'Threshold Summary'!$Y:$Y,'Threshold Summary'!$L:$L,""))/100)+XLOOKUP($Q28,'Threshold Summary'!$Y:$Y,'Threshold Summary'!$L:$L,"")+10)</f>
        <v/>
      </c>
      <c r="E28" s="3" t="inlineStr">
        <is>
          <t>Lileep</t>
        </is>
      </c>
      <c r="F28" s="3">
        <f>XLOOKUP($Q28,'Threshold Summary'!$Y:$Y,'Threshold Summary'!$D:$D,"")</f>
        <v/>
      </c>
      <c r="G28" s="3">
        <f>XLOOKUP(F28,'Move Editor'!$B:$B,'Move Editor'!$C:$C,"")</f>
        <v/>
      </c>
      <c r="H28" s="3">
        <f>XLOOKUP(F28,'Move Editor'!$B:$B,'Move Editor'!$D:$D,"")</f>
        <v/>
      </c>
      <c r="I28" s="3">
        <f>XLOOKUP($Q28,'Threshold Summary'!$Y:$Y,'Threshold Summary'!$W:$W,"")</f>
        <v/>
      </c>
      <c r="J28" s="3">
        <f>XLOOKUP($Q28,'Threshold Summary'!$Y:$Y,'Threshold Summary'!$X:$X,"")</f>
        <v/>
      </c>
      <c r="K28" s="3">
        <f>AVERAGE(I28:J28)</f>
        <v/>
      </c>
      <c r="L28" s="3">
        <f>K28*XLOOKUP(F28,'Move Editor'!$B:$B,'Move Editor'!$F:$F,100)/100</f>
        <v/>
      </c>
      <c r="M28" s="4">
        <f>XLOOKUP($Q28,'Threshold Summary'!$Y:$Y,'Threshold Summary'!$E:$E,"")</f>
        <v/>
      </c>
      <c r="N28" s="3">
        <f>IF(M28&gt;=1,"OHKO",IF(M28&gt;=0.5,"2HKO",IF(M28&gt;=0.333,"3HKO",IF(M28&gt;=0.25,"4HKO","5HKO+"))))</f>
        <v/>
      </c>
      <c r="O28" s="3">
        <f>XLOOKUP($Q28,'Threshold Summary'!$Y:$Y,'Threshold Summary'!$H:$H,"")</f>
        <v/>
      </c>
      <c r="P28" s="3" t="inlineStr">
        <is>
          <t>Live from Threshold Summary and editor tabs</t>
        </is>
      </c>
      <c r="Q28" s="3" t="inlineStr">
        <is>
          <t>SPECIES_TOXEL</t>
        </is>
      </c>
    </row>
    <row r="29">
      <c r="A29" s="3">
        <f>XLOOKUP($Q29,'Threshold Summary'!$Y:$Y,'Threshold Summary'!$A:$A,"")</f>
        <v/>
      </c>
      <c r="B29" s="3">
        <f>XLOOKUP($Q29,'Threshold Summary'!$Y:$Y,'Threshold Summary'!$M:$M,"")</f>
        <v/>
      </c>
      <c r="C29" s="3">
        <f>XLOOKUP($Q29,'Threshold Summary'!$Y:$Y,'Threshold Summary'!$N:$N,"")</f>
        <v/>
      </c>
      <c r="D29" s="3">
        <f>(FLOOR(((2*XLOOKUP(XLOOKUP($Q29,'Threshold Summary'!$Y:$Y,'Threshold Summary'!$K:$K,""),'Pokemon Editor'!$A:$A,'Pokemon Editor'!$E:$E,0)+31+FLOOR(XLOOKUP($Q29,'Threshold Summary'!$Y:$Y,'Threshold Summary'!$O:$O,"")/4))*XLOOKUP($Q29,'Threshold Summary'!$Y:$Y,'Threshold Summary'!$L:$L,""))/100)+XLOOKUP($Q29,'Threshold Summary'!$Y:$Y,'Threshold Summary'!$L:$L,"")+10)</f>
        <v/>
      </c>
      <c r="E29" s="3" t="inlineStr">
        <is>
          <t>Lileep</t>
        </is>
      </c>
      <c r="F29" s="3">
        <f>XLOOKUP($Q29,'Threshold Summary'!$Y:$Y,'Threshold Summary'!$D:$D,"")</f>
        <v/>
      </c>
      <c r="G29" s="3">
        <f>XLOOKUP(F29,'Move Editor'!$B:$B,'Move Editor'!$C:$C,"")</f>
        <v/>
      </c>
      <c r="H29" s="3">
        <f>XLOOKUP(F29,'Move Editor'!$B:$B,'Move Editor'!$D:$D,"")</f>
        <v/>
      </c>
      <c r="I29" s="3">
        <f>XLOOKUP($Q29,'Threshold Summary'!$Y:$Y,'Threshold Summary'!$W:$W,"")</f>
        <v/>
      </c>
      <c r="J29" s="3">
        <f>XLOOKUP($Q29,'Threshold Summary'!$Y:$Y,'Threshold Summary'!$X:$X,"")</f>
        <v/>
      </c>
      <c r="K29" s="3">
        <f>AVERAGE(I29:J29)</f>
        <v/>
      </c>
      <c r="L29" s="3">
        <f>K29*XLOOKUP(F29,'Move Editor'!$B:$B,'Move Editor'!$F:$F,100)/100</f>
        <v/>
      </c>
      <c r="M29" s="4">
        <f>XLOOKUP($Q29,'Threshold Summary'!$Y:$Y,'Threshold Summary'!$E:$E,"")</f>
        <v/>
      </c>
      <c r="N29" s="3">
        <f>IF(M29&gt;=1,"OHKO",IF(M29&gt;=0.5,"2HKO",IF(M29&gt;=0.333,"3HKO",IF(M29&gt;=0.25,"4HKO","5HKO+"))))</f>
        <v/>
      </c>
      <c r="O29" s="3">
        <f>XLOOKUP($Q29,'Threshold Summary'!$Y:$Y,'Threshold Summary'!$H:$H,"")</f>
        <v/>
      </c>
      <c r="P29" s="3" t="inlineStr">
        <is>
          <t>Live from Threshold Summary and editor tabs</t>
        </is>
      </c>
      <c r="Q29" s="3" t="inlineStr">
        <is>
          <t>SPECIES_NYMBLE</t>
        </is>
      </c>
    </row>
    <row r="30">
      <c r="A30" s="3">
        <f>XLOOKUP($Q30,'Threshold Summary'!$Y:$Y,'Threshold Summary'!$A:$A,"")</f>
        <v/>
      </c>
      <c r="B30" s="3">
        <f>XLOOKUP($Q30,'Threshold Summary'!$Y:$Y,'Threshold Summary'!$M:$M,"")</f>
        <v/>
      </c>
      <c r="C30" s="3">
        <f>XLOOKUP($Q30,'Threshold Summary'!$Y:$Y,'Threshold Summary'!$N:$N,"")</f>
        <v/>
      </c>
      <c r="D30" s="3">
        <f>(FLOOR(((2*XLOOKUP(XLOOKUP($Q30,'Threshold Summary'!$Y:$Y,'Threshold Summary'!$K:$K,""),'Pokemon Editor'!$A:$A,'Pokemon Editor'!$E:$E,0)+31+FLOOR(XLOOKUP($Q30,'Threshold Summary'!$Y:$Y,'Threshold Summary'!$O:$O,"")/4))*XLOOKUP($Q30,'Threshold Summary'!$Y:$Y,'Threshold Summary'!$L:$L,""))/100)+XLOOKUP($Q30,'Threshold Summary'!$Y:$Y,'Threshold Summary'!$L:$L,"")+10)</f>
        <v/>
      </c>
      <c r="E30" s="3" t="inlineStr">
        <is>
          <t>Lileep</t>
        </is>
      </c>
      <c r="F30" s="3">
        <f>XLOOKUP($Q30,'Threshold Summary'!$Y:$Y,'Threshold Summary'!$D:$D,"")</f>
        <v/>
      </c>
      <c r="G30" s="3">
        <f>XLOOKUP(F30,'Move Editor'!$B:$B,'Move Editor'!$C:$C,"")</f>
        <v/>
      </c>
      <c r="H30" s="3">
        <f>XLOOKUP(F30,'Move Editor'!$B:$B,'Move Editor'!$D:$D,"")</f>
        <v/>
      </c>
      <c r="I30" s="3">
        <f>XLOOKUP($Q30,'Threshold Summary'!$Y:$Y,'Threshold Summary'!$W:$W,"")</f>
        <v/>
      </c>
      <c r="J30" s="3">
        <f>XLOOKUP($Q30,'Threshold Summary'!$Y:$Y,'Threshold Summary'!$X:$X,"")</f>
        <v/>
      </c>
      <c r="K30" s="3">
        <f>AVERAGE(I30:J30)</f>
        <v/>
      </c>
      <c r="L30" s="3">
        <f>K30*XLOOKUP(F30,'Move Editor'!$B:$B,'Move Editor'!$F:$F,100)/100</f>
        <v/>
      </c>
      <c r="M30" s="4">
        <f>XLOOKUP($Q30,'Threshold Summary'!$Y:$Y,'Threshold Summary'!$E:$E,"")</f>
        <v/>
      </c>
      <c r="N30" s="3">
        <f>IF(M30&gt;=1,"OHKO",IF(M30&gt;=0.5,"2HKO",IF(M30&gt;=0.333,"3HKO",IF(M30&gt;=0.25,"4HKO","5HKO+"))))</f>
        <v/>
      </c>
      <c r="O30" s="3">
        <f>XLOOKUP($Q30,'Threshold Summary'!$Y:$Y,'Threshold Summary'!$H:$H,"")</f>
        <v/>
      </c>
      <c r="P30" s="3" t="inlineStr">
        <is>
          <t>Live from Threshold Summary and editor tabs</t>
        </is>
      </c>
      <c r="Q30" s="3" t="inlineStr">
        <is>
          <t>SPECIES_TANDEMAUS</t>
        </is>
      </c>
    </row>
    <row r="31">
      <c r="A31" s="3">
        <f>XLOOKUP($Q31,'Threshold Summary'!$Y:$Y,'Threshold Summary'!$A:$A,"")</f>
        <v/>
      </c>
      <c r="B31" s="3">
        <f>XLOOKUP($Q31,'Threshold Summary'!$Y:$Y,'Threshold Summary'!$M:$M,"")</f>
        <v/>
      </c>
      <c r="C31" s="3">
        <f>XLOOKUP($Q31,'Threshold Summary'!$Y:$Y,'Threshold Summary'!$N:$N,"")</f>
        <v/>
      </c>
      <c r="D31" s="3">
        <f>(FLOOR(((2*XLOOKUP(XLOOKUP($Q31,'Threshold Summary'!$Y:$Y,'Threshold Summary'!$K:$K,""),'Pokemon Editor'!$A:$A,'Pokemon Editor'!$E:$E,0)+31+FLOOR(XLOOKUP($Q31,'Threshold Summary'!$Y:$Y,'Threshold Summary'!$O:$O,"")/4))*XLOOKUP($Q31,'Threshold Summary'!$Y:$Y,'Threshold Summary'!$L:$L,""))/100)+XLOOKUP($Q31,'Threshold Summary'!$Y:$Y,'Threshold Summary'!$L:$L,"")+10)</f>
        <v/>
      </c>
      <c r="E31" s="3" t="inlineStr">
        <is>
          <t>Lileep</t>
        </is>
      </c>
      <c r="F31" s="3">
        <f>XLOOKUP($Q31,'Threshold Summary'!$Y:$Y,'Threshold Summary'!$D:$D,"")</f>
        <v/>
      </c>
      <c r="G31" s="3">
        <f>XLOOKUP(F31,'Move Editor'!$B:$B,'Move Editor'!$C:$C,"")</f>
        <v/>
      </c>
      <c r="H31" s="3">
        <f>XLOOKUP(F31,'Move Editor'!$B:$B,'Move Editor'!$D:$D,"")</f>
        <v/>
      </c>
      <c r="I31" s="3">
        <f>XLOOKUP($Q31,'Threshold Summary'!$Y:$Y,'Threshold Summary'!$W:$W,"")</f>
        <v/>
      </c>
      <c r="J31" s="3">
        <f>XLOOKUP($Q31,'Threshold Summary'!$Y:$Y,'Threshold Summary'!$X:$X,"")</f>
        <v/>
      </c>
      <c r="K31" s="3">
        <f>AVERAGE(I31:J31)</f>
        <v/>
      </c>
      <c r="L31" s="3">
        <f>K31*XLOOKUP(F31,'Move Editor'!$B:$B,'Move Editor'!$F:$F,100)/100</f>
        <v/>
      </c>
      <c r="M31" s="4">
        <f>XLOOKUP($Q31,'Threshold Summary'!$Y:$Y,'Threshold Summary'!$E:$E,"")</f>
        <v/>
      </c>
      <c r="N31" s="3">
        <f>IF(M31&gt;=1,"OHKO",IF(M31&gt;=0.5,"2HKO",IF(M31&gt;=0.333,"3HKO",IF(M31&gt;=0.25,"4HKO","5HKO+"))))</f>
        <v/>
      </c>
      <c r="O31" s="3">
        <f>XLOOKUP($Q31,'Threshold Summary'!$Y:$Y,'Threshold Summary'!$H:$H,"")</f>
        <v/>
      </c>
      <c r="P31" s="3" t="inlineStr">
        <is>
          <t>Live from Threshold Summary and editor tabs</t>
        </is>
      </c>
      <c r="Q31" s="3" t="inlineStr">
        <is>
          <t>SPECIES_CHARCADET</t>
        </is>
      </c>
    </row>
    <row r="32">
      <c r="A32" s="3">
        <f>XLOOKUP($Q32,'Threshold Summary'!$Y:$Y,'Threshold Summary'!$A:$A,"")</f>
        <v/>
      </c>
      <c r="B32" s="3">
        <f>XLOOKUP($Q32,'Threshold Summary'!$Y:$Y,'Threshold Summary'!$M:$M,"")</f>
        <v/>
      </c>
      <c r="C32" s="3">
        <f>XLOOKUP($Q32,'Threshold Summary'!$Y:$Y,'Threshold Summary'!$N:$N,"")</f>
        <v/>
      </c>
      <c r="D32" s="3">
        <f>(FLOOR(((2*XLOOKUP(XLOOKUP($Q32,'Threshold Summary'!$Y:$Y,'Threshold Summary'!$K:$K,""),'Pokemon Editor'!$A:$A,'Pokemon Editor'!$E:$E,0)+31+FLOOR(XLOOKUP($Q32,'Threshold Summary'!$Y:$Y,'Threshold Summary'!$O:$O,"")/4))*XLOOKUP($Q32,'Threshold Summary'!$Y:$Y,'Threshold Summary'!$L:$L,""))/100)+XLOOKUP($Q32,'Threshold Summary'!$Y:$Y,'Threshold Summary'!$L:$L,"")+10)</f>
        <v/>
      </c>
      <c r="E32" s="3" t="inlineStr">
        <is>
          <t>Lileep</t>
        </is>
      </c>
      <c r="F32" s="3">
        <f>XLOOKUP($Q32,'Threshold Summary'!$Y:$Y,'Threshold Summary'!$D:$D,"")</f>
        <v/>
      </c>
      <c r="G32" s="3">
        <f>XLOOKUP(F32,'Move Editor'!$B:$B,'Move Editor'!$C:$C,"")</f>
        <v/>
      </c>
      <c r="H32" s="3">
        <f>XLOOKUP(F32,'Move Editor'!$B:$B,'Move Editor'!$D:$D,"")</f>
        <v/>
      </c>
      <c r="I32" s="3">
        <f>XLOOKUP($Q32,'Threshold Summary'!$Y:$Y,'Threshold Summary'!$W:$W,"")</f>
        <v/>
      </c>
      <c r="J32" s="3">
        <f>XLOOKUP($Q32,'Threshold Summary'!$Y:$Y,'Threshold Summary'!$X:$X,"")</f>
        <v/>
      </c>
      <c r="K32" s="3">
        <f>AVERAGE(I32:J32)</f>
        <v/>
      </c>
      <c r="L32" s="3">
        <f>K32*XLOOKUP(F32,'Move Editor'!$B:$B,'Move Editor'!$F:$F,100)/100</f>
        <v/>
      </c>
      <c r="M32" s="4">
        <f>XLOOKUP($Q32,'Threshold Summary'!$Y:$Y,'Threshold Summary'!$E:$E,"")</f>
        <v/>
      </c>
      <c r="N32" s="3">
        <f>IF(M32&gt;=1,"OHKO",IF(M32&gt;=0.5,"2HKO",IF(M32&gt;=0.333,"3HKO",IF(M32&gt;=0.25,"4HKO","5HKO+"))))</f>
        <v/>
      </c>
      <c r="O32" s="3">
        <f>XLOOKUP($Q32,'Threshold Summary'!$Y:$Y,'Threshold Summary'!$H:$H,"")</f>
        <v/>
      </c>
      <c r="P32" s="3" t="inlineStr">
        <is>
          <t>Live from Threshold Summary and editor tabs</t>
        </is>
      </c>
      <c r="Q32" s="3" t="inlineStr">
        <is>
          <t>SPECIES_WATTREL</t>
        </is>
      </c>
    </row>
    <row r="33">
      <c r="A33" s="3">
        <f>XLOOKUP($Q33,'Threshold Summary'!$Y:$Y,'Threshold Summary'!$A:$A,"")</f>
        <v/>
      </c>
      <c r="B33" s="3">
        <f>XLOOKUP($Q33,'Threshold Summary'!$Y:$Y,'Threshold Summary'!$M:$M,"")</f>
        <v/>
      </c>
      <c r="C33" s="3">
        <f>XLOOKUP($Q33,'Threshold Summary'!$Y:$Y,'Threshold Summary'!$N:$N,"")</f>
        <v/>
      </c>
      <c r="D33" s="3">
        <f>(FLOOR(((2*XLOOKUP(XLOOKUP($Q33,'Threshold Summary'!$Y:$Y,'Threshold Summary'!$K:$K,""),'Pokemon Editor'!$A:$A,'Pokemon Editor'!$E:$E,0)+31+FLOOR(XLOOKUP($Q33,'Threshold Summary'!$Y:$Y,'Threshold Summary'!$O:$O,"")/4))*XLOOKUP($Q33,'Threshold Summary'!$Y:$Y,'Threshold Summary'!$L:$L,""))/100)+XLOOKUP($Q33,'Threshold Summary'!$Y:$Y,'Threshold Summary'!$L:$L,"")+10)</f>
        <v/>
      </c>
      <c r="E33" s="3" t="inlineStr">
        <is>
          <t>Lileep</t>
        </is>
      </c>
      <c r="F33" s="3">
        <f>XLOOKUP($Q33,'Threshold Summary'!$Y:$Y,'Threshold Summary'!$D:$D,"")</f>
        <v/>
      </c>
      <c r="G33" s="3">
        <f>XLOOKUP(F33,'Move Editor'!$B:$B,'Move Editor'!$C:$C,"")</f>
        <v/>
      </c>
      <c r="H33" s="3">
        <f>XLOOKUP(F33,'Move Editor'!$B:$B,'Move Editor'!$D:$D,"")</f>
        <v/>
      </c>
      <c r="I33" s="3">
        <f>XLOOKUP($Q33,'Threshold Summary'!$Y:$Y,'Threshold Summary'!$W:$W,"")</f>
        <v/>
      </c>
      <c r="J33" s="3">
        <f>XLOOKUP($Q33,'Threshold Summary'!$Y:$Y,'Threshold Summary'!$X:$X,"")</f>
        <v/>
      </c>
      <c r="K33" s="3">
        <f>AVERAGE(I33:J33)</f>
        <v/>
      </c>
      <c r="L33" s="3">
        <f>K33*XLOOKUP(F33,'Move Editor'!$B:$B,'Move Editor'!$F:$F,100)/100</f>
        <v/>
      </c>
      <c r="M33" s="4">
        <f>XLOOKUP($Q33,'Threshold Summary'!$Y:$Y,'Threshold Summary'!$E:$E,"")</f>
        <v/>
      </c>
      <c r="N33" s="3">
        <f>IF(M33&gt;=1,"OHKO",IF(M33&gt;=0.5,"2HKO",IF(M33&gt;=0.333,"3HKO",IF(M33&gt;=0.25,"4HKO","5HKO+"))))</f>
        <v/>
      </c>
      <c r="O33" s="3">
        <f>XLOOKUP($Q33,'Threshold Summary'!$Y:$Y,'Threshold Summary'!$H:$H,"")</f>
        <v/>
      </c>
      <c r="P33" s="3" t="inlineStr">
        <is>
          <t>Live from Threshold Summary and editor tabs</t>
        </is>
      </c>
      <c r="Q33" s="3" t="inlineStr">
        <is>
          <t>SPECIES_TINKATINK</t>
        </is>
      </c>
    </row>
  </sheetData>
  <autoFilter ref="A1:Q33"/>
  <conditionalFormatting sqref="M2:M33">
    <cfRule type="colorScale" priority="1">
      <colorScale>
        <cfvo type="min"/>
        <cfvo type="percentile" val="50"/>
        <cfvo type="max"/>
        <color rgb="0063BE7B"/>
        <color rgb="00FFEB84"/>
        <color rgb="00F8696B"/>
      </colorScale>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1025"/>
  <sheetViews>
    <sheetView showGridLines="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55" customWidth="1" min="16" max="16"/>
    <col width="19" customWidth="1" min="17" max="17"/>
    <col width="11" customWidth="1" min="18" max="18"/>
  </cols>
  <sheetData>
    <row r="1" ht="32" customHeight="1">
      <c r="A1" s="1" t="inlineStr">
        <is>
          <t>Pokémon</t>
        </is>
      </c>
      <c r="B1" s="1" t="inlineStr">
        <is>
          <t>Nature</t>
        </is>
      </c>
      <c r="C1" s="1" t="inlineStr">
        <is>
          <t>Ability</t>
        </is>
      </c>
      <c r="D1" s="1" t="inlineStr">
        <is>
          <t>Move</t>
        </is>
      </c>
      <c r="E1" s="1" t="inlineStr">
        <is>
          <t>Type</t>
        </is>
      </c>
      <c r="F1" s="1" t="inlineStr">
        <is>
          <t>Category</t>
        </is>
      </c>
      <c r="G1" s="1" t="inlineStr">
        <is>
          <t>Power</t>
        </is>
      </c>
      <c r="H1" s="1" t="inlineStr">
        <is>
          <t>Accuracy</t>
        </is>
      </c>
      <c r="I1" s="1" t="inlineStr">
        <is>
          <t>Effectiveness</t>
        </is>
      </c>
      <c r="J1" s="1" t="inlineStr">
        <is>
          <t>Min damage</t>
        </is>
      </c>
      <c r="K1" s="1" t="inlineStr">
        <is>
          <t>Max damage</t>
        </is>
      </c>
      <c r="L1" s="1" t="inlineStr">
        <is>
          <t>Average damage</t>
        </is>
      </c>
      <c r="M1" s="1" t="inlineStr">
        <is>
          <t>Expected damage</t>
        </is>
      </c>
      <c r="N1" s="1" t="inlineStr">
        <is>
          <t>Average % HP</t>
        </is>
      </c>
      <c r="O1" s="1" t="inlineStr">
        <is>
          <t>KO threshold</t>
        </is>
      </c>
      <c r="P1" s="1" t="inlineStr">
        <is>
          <t>Calculation notes</t>
        </is>
      </c>
      <c r="Q1" s="1" t="inlineStr">
        <is>
          <t>Origin Species ID</t>
        </is>
      </c>
      <c r="R1" s="1" t="inlineStr">
        <is>
          <t>Move slot</t>
        </is>
      </c>
    </row>
    <row r="2">
      <c r="A2" s="3">
        <f>XLOOKUP($Q2,'Threshold Summary'!$Y:$Y,'Threshold Summary'!$A:$A,"")</f>
        <v/>
      </c>
      <c r="B2" s="3">
        <f>XLOOKUP($Q2,'Threshold Summary'!$Y:$Y,'Threshold Summary'!$M:$M,"")</f>
        <v/>
      </c>
      <c r="C2" s="3">
        <f>XLOOKUP($Q2,'Threshold Summary'!$Y:$Y,'Threshold Summary'!$N:$N,"")</f>
        <v/>
      </c>
      <c r="D2" s="3">
        <f>IFERROR(INDEX(FILTER('Learnset Editor'!$D$2:$D,'Learnset Editor'!$A$2:$A=XLOOKUP($Q2,'Threshold Summary'!$Y:$Y,'Threshold Summary'!$K:$K,""),'Learnset Editor'!$C$2:$C&lt;=XLOOKUP($Q2,'Threshold Summary'!$Y:$Y,'Threshold Summary'!$L:$L,"")),$R2),"")</f>
        <v/>
      </c>
      <c r="E2" s="3">
        <f>XLOOKUP(D2,'Move Editor'!$B:$B,'Move Editor'!$C:$C,"")</f>
        <v/>
      </c>
      <c r="F2" s="3">
        <f>XLOOKUP(D2,'Move Editor'!$B:$B,'Move Editor'!$D:$D,"")</f>
        <v/>
      </c>
      <c r="G2" s="3">
        <f>XLOOKUP(D2,'Move Editor'!$B:$B,'Move Editor'!$E:$E,0)</f>
        <v/>
      </c>
      <c r="H2" s="3">
        <f>XLOOKUP(D2,'Move Editor'!$B:$B,'Move Editor'!$F:$F,0)</f>
        <v/>
      </c>
      <c r="I2" s="3">
        <f>(INDEX('Type Chart'!$B:$S,MATCH(E2,'Type Chart'!$A:$A,0),MATCH(XLOOKUP('Boss Editor'!$C$4,'Pokemon Editor'!$A:$A,'Pokemon Editor'!$C:$C,""),'Type Chart'!$B$1:$S$1,0))*IF(XLOOKUP('Boss Editor'!$C$4,'Pokemon Editor'!$A:$A,'Pokemon Editor'!$D:$D,"")="",1,INDEX('Type Chart'!$B:$S,MATCH(E2,'Type Chart'!$A:$A,0),MATCH(XLOOKUP('Boss Editor'!$C$4,'Pokemon Editor'!$A:$A,'Pokemon Editor'!$D:$D,""),'Type Chart'!$B$1:$S$1,0))))</f>
        <v/>
      </c>
      <c r="J2" s="3">
        <f>IFERROR(LET(mtype,XLOOKUP($D2,'Move Editor'!$B:$B,'Move Editor'!$C:$C,""),cat,XLOOKUP($D2,'Move Editor'!$B:$B,'Move Editor'!$D:$D,""),pow,XLOOKUP($D2,'Move Editor'!$B:$B,'Move Editor'!$E:$E,0),acc,XLOOKUP($D2,'Move Editor'!$B:$B,'Move Editor'!$F:$F,100),atk,IF(cat="Physical",FLOOR((FLOOR(((2*XLOOKUP(XLOOKUP($Q2,'Threshold Summary'!$Y:$Y,'Threshold Summary'!$K:$K,""),'Pokemon Editor'!$A:$A,'Pokemon Editor'!$F:$F,0)+31+FLOOR(XLOOKUP($Q2,'Threshold Summary'!$Y:$Y,'Threshold Summary'!$P:$P,"")/4))*XLOOKUP($Q2,'Threshold Summary'!$Y:$Y,'Threshold Summary'!$L:$L,""))/100)+5)*XLOOKUP(XLOOKUP($Q2,'Threshold Summary'!$Y:$Y,'Threshold Summary'!$M:$M,""),'Nature Editor'!$A:$A,'Nature Editor'!$B:$B,1)),FLOOR((FLOOR(((2*XLOOKUP(XLOOKUP($Q2,'Threshold Summary'!$Y:$Y,'Threshold Summary'!$K:$K,""),'Pokemon Editor'!$A:$A,'Pokemon Editor'!$H:$H,0)+31+FLOOR(XLOOKUP($Q2,'Threshold Summary'!$Y:$Y,'Threshold Summary'!$R:$R,"")/4))*XLOOKUP($Q2,'Threshold Summary'!$Y:$Y,'Threshold Summary'!$L:$L,""))/100)+5)*XLOOKUP(XLOOKUP($Q2,'Threshold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Editor'!$E:$E,1))),stab,IF(OR(mtype=XLOOKUP(XLOOKUP($Q2,'Threshold Summary'!$Y:$Y,'Threshold Summary'!$K:$K,""),'Pokemon Editor'!$A:$A,'Pokemon Editor'!$C:$C,""),mtype=XLOOKUP(XLOOKUP($Q2,'Threshold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Chart'!$B$1:$S$1,0)))),base,IF(OR(cat="Status",pow=0),0,FLOOR(FLOOR(FLOOR((2*XLOOKUP($Q2,'Threshold Summary'!$Y:$Y,'Threshold Summary'!$L:$L,"")/5+2)*pow*atk/def)/50)+2)),modifier,stab*eff,FLOOR(base*modifier*0.85)),0)</f>
        <v/>
      </c>
      <c r="K2" s="3">
        <f>IFERROR(LET(mtype,XLOOKUP($D2,'Move Editor'!$B:$B,'Move Editor'!$C:$C,""),cat,XLOOKUP($D2,'Move Editor'!$B:$B,'Move Editor'!$D:$D,""),pow,XLOOKUP($D2,'Move Editor'!$B:$B,'Move Editor'!$E:$E,0),acc,XLOOKUP($D2,'Move Editor'!$B:$B,'Move Editor'!$F:$F,100),atk,IF(cat="Physical",FLOOR((FLOOR(((2*XLOOKUP(XLOOKUP($Q2,'Threshold Summary'!$Y:$Y,'Threshold Summary'!$K:$K,""),'Pokemon Editor'!$A:$A,'Pokemon Editor'!$F:$F,0)+31+FLOOR(XLOOKUP($Q2,'Threshold Summary'!$Y:$Y,'Threshold Summary'!$P:$P,"")/4))*XLOOKUP($Q2,'Threshold Summary'!$Y:$Y,'Threshold Summary'!$L:$L,""))/100)+5)*XLOOKUP(XLOOKUP($Q2,'Threshold Summary'!$Y:$Y,'Threshold Summary'!$M:$M,""),'Nature Editor'!$A:$A,'Nature Editor'!$B:$B,1)),FLOOR((FLOOR(((2*XLOOKUP(XLOOKUP($Q2,'Threshold Summary'!$Y:$Y,'Threshold Summary'!$K:$K,""),'Pokemon Editor'!$A:$A,'Pokemon Editor'!$H:$H,0)+31+FLOOR(XLOOKUP($Q2,'Threshold Summary'!$Y:$Y,'Threshold Summary'!$R:$R,"")/4))*XLOOKUP($Q2,'Threshold Summary'!$Y:$Y,'Threshold Summary'!$L:$L,""))/100)+5)*XLOOKUP(XLOOKUP($Q2,'Threshold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Editor'!$E:$E,1))),stab,IF(OR(mtype=XLOOKUP(XLOOKUP($Q2,'Threshold Summary'!$Y:$Y,'Threshold Summary'!$K:$K,""),'Pokemon Editor'!$A:$A,'Pokemon Editor'!$C:$C,""),mtype=XLOOKUP(XLOOKUP($Q2,'Threshold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Chart'!$B$1:$S$1,0)))),base,IF(OR(cat="Status",pow=0),0,FLOOR(FLOOR(FLOOR((2*XLOOKUP($Q2,'Threshold Summary'!$Y:$Y,'Threshold Summary'!$L:$L,"")/5+2)*pow*atk/def)/50)+2)),modifier,stab*eff,FLOOR(base*modifier)),0)</f>
        <v/>
      </c>
      <c r="L2" s="3">
        <f>IFERROR(LET(mtype,XLOOKUP($D2,'Move Editor'!$B:$B,'Move Editor'!$C:$C,""),cat,XLOOKUP($D2,'Move Editor'!$B:$B,'Move Editor'!$D:$D,""),pow,XLOOKUP($D2,'Move Editor'!$B:$B,'Move Editor'!$E:$E,0),acc,XLOOKUP($D2,'Move Editor'!$B:$B,'Move Editor'!$F:$F,100),atk,IF(cat="Physical",FLOOR((FLOOR(((2*XLOOKUP(XLOOKUP($Q2,'Threshold Summary'!$Y:$Y,'Threshold Summary'!$K:$K,""),'Pokemon Editor'!$A:$A,'Pokemon Editor'!$F:$F,0)+31+FLOOR(XLOOKUP($Q2,'Threshold Summary'!$Y:$Y,'Threshold Summary'!$P:$P,"")/4))*XLOOKUP($Q2,'Threshold Summary'!$Y:$Y,'Threshold Summary'!$L:$L,""))/100)+5)*XLOOKUP(XLOOKUP($Q2,'Threshold Summary'!$Y:$Y,'Threshold Summary'!$M:$M,""),'Nature Editor'!$A:$A,'Nature Editor'!$B:$B,1)),FLOOR((FLOOR(((2*XLOOKUP(XLOOKUP($Q2,'Threshold Summary'!$Y:$Y,'Threshold Summary'!$K:$K,""),'Pokemon Editor'!$A:$A,'Pokemon Editor'!$H:$H,0)+31+FLOOR(XLOOKUP($Q2,'Threshold Summary'!$Y:$Y,'Threshold Summary'!$R:$R,"")/4))*XLOOKUP($Q2,'Threshold Summary'!$Y:$Y,'Threshold Summary'!$L:$L,""))/100)+5)*XLOOKUP(XLOOKUP($Q2,'Threshold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Editor'!$E:$E,1))),stab,IF(OR(mtype=XLOOKUP(XLOOKUP($Q2,'Threshold Summary'!$Y:$Y,'Threshold Summary'!$K:$K,""),'Pokemon Editor'!$A:$A,'Pokemon Editor'!$C:$C,""),mtype=XLOOKUP(XLOOKUP($Q2,'Threshold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Chart'!$B$1:$S$1,0)))),base,IF(OR(cat="Status",pow=0),0,FLOOR(FLOOR(FLOOR((2*XLOOKUP($Q2,'Threshold Summary'!$Y:$Y,'Threshold Summary'!$L:$L,"")/5+2)*pow*atk/def)/50)+2)),modifier,stab*eff,AVERAGE(ARRAYFORMULA(FLOOR(base*modifier*SEQUENCE(16,1,85,1)/100)))),0)</f>
        <v/>
      </c>
      <c r="M2" s="3">
        <f>IFERROR(LET(mtype,XLOOKUP($D2,'Move Editor'!$B:$B,'Move Editor'!$C:$C,""),cat,XLOOKUP($D2,'Move Editor'!$B:$B,'Move Editor'!$D:$D,""),pow,XLOOKUP($D2,'Move Editor'!$B:$B,'Move Editor'!$E:$E,0),acc,XLOOKUP($D2,'Move Editor'!$B:$B,'Move Editor'!$F:$F,100),atk,IF(cat="Physical",FLOOR((FLOOR(((2*XLOOKUP(XLOOKUP($Q2,'Threshold Summary'!$Y:$Y,'Threshold Summary'!$K:$K,""),'Pokemon Editor'!$A:$A,'Pokemon Editor'!$F:$F,0)+31+FLOOR(XLOOKUP($Q2,'Threshold Summary'!$Y:$Y,'Threshold Summary'!$P:$P,"")/4))*XLOOKUP($Q2,'Threshold Summary'!$Y:$Y,'Threshold Summary'!$L:$L,""))/100)+5)*XLOOKUP(XLOOKUP($Q2,'Threshold Summary'!$Y:$Y,'Threshold Summary'!$M:$M,""),'Nature Editor'!$A:$A,'Nature Editor'!$B:$B,1)),FLOOR((FLOOR(((2*XLOOKUP(XLOOKUP($Q2,'Threshold Summary'!$Y:$Y,'Threshold Summary'!$K:$K,""),'Pokemon Editor'!$A:$A,'Pokemon Editor'!$H:$H,0)+31+FLOOR(XLOOKUP($Q2,'Threshold Summary'!$Y:$Y,'Threshold Summary'!$R:$R,"")/4))*XLOOKUP($Q2,'Threshold Summary'!$Y:$Y,'Threshold Summary'!$L:$L,""))/100)+5)*XLOOKUP(XLOOKUP($Q2,'Threshold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Editor'!$E:$E,1))),stab,IF(OR(mtype=XLOOKUP(XLOOKUP($Q2,'Threshold Summary'!$Y:$Y,'Threshold Summary'!$K:$K,""),'Pokemon Editor'!$A:$A,'Pokemon Editor'!$C:$C,""),mtype=XLOOKUP(XLOOKUP($Q2,'Threshold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Chart'!$B$1:$S$1,0)))),base,IF(OR(cat="Status",pow=0),0,FLOOR(FLOOR(FLOOR((2*XLOOKUP($Q2,'Threshold Summary'!$Y:$Y,'Threshold Summary'!$L:$L,"")/5+2)*pow*atk/def)/50)+2)),modifier,stab*eff,AVERAGE(ARRAYFORMULA(FLOOR(base*modifier*SEQUENCE(16,1,85,1)/100)))*MIN(1,acc/100)),0)</f>
        <v/>
      </c>
      <c r="N2" s="4">
        <f>IFERROR(LET(mtype,XLOOKUP($D2,'Move Editor'!$B:$B,'Move Editor'!$C:$C,""),cat,XLOOKUP($D2,'Move Editor'!$B:$B,'Move Editor'!$D:$D,""),pow,XLOOKUP($D2,'Move Editor'!$B:$B,'Move Editor'!$E:$E,0),acc,XLOOKUP($D2,'Move Editor'!$B:$B,'Move Editor'!$F:$F,100),atk,IF(cat="Physical",FLOOR((FLOOR(((2*XLOOKUP(XLOOKUP($Q2,'Threshold Summary'!$Y:$Y,'Threshold Summary'!$K:$K,""),'Pokemon Editor'!$A:$A,'Pokemon Editor'!$F:$F,0)+31+FLOOR(XLOOKUP($Q2,'Threshold Summary'!$Y:$Y,'Threshold Summary'!$P:$P,"")/4))*XLOOKUP($Q2,'Threshold Summary'!$Y:$Y,'Threshold Summary'!$L:$L,""))/100)+5)*XLOOKUP(XLOOKUP($Q2,'Threshold Summary'!$Y:$Y,'Threshold Summary'!$M:$M,""),'Nature Editor'!$A:$A,'Nature Editor'!$B:$B,1)),FLOOR((FLOOR(((2*XLOOKUP(XLOOKUP($Q2,'Threshold Summary'!$Y:$Y,'Threshold Summary'!$K:$K,""),'Pokemon Editor'!$A:$A,'Pokemon Editor'!$H:$H,0)+31+FLOOR(XLOOKUP($Q2,'Threshold Summary'!$Y:$Y,'Threshold Summary'!$R:$R,"")/4))*XLOOKUP($Q2,'Threshold Summary'!$Y:$Y,'Threshold Summary'!$L:$L,""))/100)+5)*XLOOKUP(XLOOKUP($Q2,'Threshold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Editor'!$E:$E,1))),stab,IF(OR(mtype=XLOOKUP(XLOOKUP($Q2,'Threshold Summary'!$Y:$Y,'Threshold Summary'!$K:$K,""),'Pokemon Editor'!$A:$A,'Pokemon Editor'!$C:$C,""),mtype=XLOOKUP(XLOOKUP($Q2,'Threshold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Chart'!$B$1:$S$1,0)))),base,IF(OR(cat="Status",pow=0),0,FLOOR(FLOOR(FLOOR((2*XLOOKUP($Q2,'Threshold Summary'!$Y:$Y,'Threshold Summary'!$L:$L,"")/5+2)*pow*atk/def)/50)+2)),modifier,stab*eff,AVERAGE(ARRAYFORMULA(FLOOR(base*modifier*SEQUENCE(16,1,85,1)/100)))/(FLOOR(((2*XLOOKUP('Boss Editor'!$C$4,'Pokemon Editor'!$A:$A,'Pokemon Editor'!$E:$E,0)+31+FLOOR('Boss Editor'!$G$4/4))*'Boss Editor'!$D$4)/100)+'Boss Editor'!$D$4+10)),0)</f>
        <v/>
      </c>
      <c r="O2" s="3">
        <f>IF(N2&gt;=1,"OHKO",IF(N2&gt;=0.5,"2HKO",IF(N2&gt;=0.333,"3HKO",IF(N2&gt;=0.25,"4HKO","5HKO+"))))</f>
        <v/>
      </c>
      <c r="P2" s="3" t="inlineStr">
        <is>
          <t>Live from editable databases</t>
        </is>
      </c>
      <c r="Q2" s="3" t="inlineStr">
        <is>
          <t>SPECIES_PARAS</t>
        </is>
      </c>
      <c r="R2" s="3" t="n">
        <v>1</v>
      </c>
    </row>
    <row r="3">
      <c r="A3" s="3">
        <f>XLOOKUP($Q3,'Threshold Summary'!$Y:$Y,'Threshold Summary'!$A:$A,"")</f>
        <v/>
      </c>
      <c r="B3" s="3">
        <f>XLOOKUP($Q3,'Threshold Summary'!$Y:$Y,'Threshold Summary'!$M:$M,"")</f>
        <v/>
      </c>
      <c r="C3" s="3">
        <f>XLOOKUP($Q3,'Threshold Summary'!$Y:$Y,'Threshold Summary'!$N:$N,"")</f>
        <v/>
      </c>
      <c r="D3" s="3">
        <f>IFERROR(INDEX(FILTER('Learnset Editor'!$D$2:$D,'Learnset Editor'!$A$2:$A=XLOOKUP($Q3,'Threshold Summary'!$Y:$Y,'Threshold Summary'!$K:$K,""),'Learnset Editor'!$C$2:$C&lt;=XLOOKUP($Q3,'Threshold Summary'!$Y:$Y,'Threshold Summary'!$L:$L,"")),$R3),"")</f>
        <v/>
      </c>
      <c r="E3" s="3">
        <f>XLOOKUP(D3,'Move Editor'!$B:$B,'Move Editor'!$C:$C,"")</f>
        <v/>
      </c>
      <c r="F3" s="3">
        <f>XLOOKUP(D3,'Move Editor'!$B:$B,'Move Editor'!$D:$D,"")</f>
        <v/>
      </c>
      <c r="G3" s="3">
        <f>XLOOKUP(D3,'Move Editor'!$B:$B,'Move Editor'!$E:$E,0)</f>
        <v/>
      </c>
      <c r="H3" s="3">
        <f>XLOOKUP(D3,'Move Editor'!$B:$B,'Move Editor'!$F:$F,0)</f>
        <v/>
      </c>
      <c r="I3" s="3">
        <f>(INDEX('Type Chart'!$B:$S,MATCH(E3,'Type Chart'!$A:$A,0),MATCH(XLOOKUP('Boss Editor'!$C$4,'Pokemon Editor'!$A:$A,'Pokemon Editor'!$C:$C,""),'Type Chart'!$B$1:$S$1,0))*IF(XLOOKUP('Boss Editor'!$C$4,'Pokemon Editor'!$A:$A,'Pokemon Editor'!$D:$D,"")="",1,INDEX('Type Chart'!$B:$S,MATCH(E3,'Type Chart'!$A:$A,0),MATCH(XLOOKUP('Boss Editor'!$C$4,'Pokemon Editor'!$A:$A,'Pokemon Editor'!$D:$D,""),'Type Chart'!$B$1:$S$1,0))))</f>
        <v/>
      </c>
      <c r="J3" s="3">
        <f>IFERROR(LET(mtype,XLOOKUP($D3,'Move Editor'!$B:$B,'Move Editor'!$C:$C,""),cat,XLOOKUP($D3,'Move Editor'!$B:$B,'Move Editor'!$D:$D,""),pow,XLOOKUP($D3,'Move Editor'!$B:$B,'Move Editor'!$E:$E,0),acc,XLOOKUP($D3,'Move Editor'!$B:$B,'Move Editor'!$F:$F,100),atk,IF(cat="Physical",FLOOR((FLOOR(((2*XLOOKUP(XLOOKUP($Q3,'Threshold Summary'!$Y:$Y,'Threshold Summary'!$K:$K,""),'Pokemon Editor'!$A:$A,'Pokemon Editor'!$F:$F,0)+31+FLOOR(XLOOKUP($Q3,'Threshold Summary'!$Y:$Y,'Threshold Summary'!$P:$P,"")/4))*XLOOKUP($Q3,'Threshold Summary'!$Y:$Y,'Threshold Summary'!$L:$L,""))/100)+5)*XLOOKUP(XLOOKUP($Q3,'Threshold Summary'!$Y:$Y,'Threshold Summary'!$M:$M,""),'Nature Editor'!$A:$A,'Nature Editor'!$B:$B,1)),FLOOR((FLOOR(((2*XLOOKUP(XLOOKUP($Q3,'Threshold Summary'!$Y:$Y,'Threshold Summary'!$K:$K,""),'Pokemon Editor'!$A:$A,'Pokemon Editor'!$H:$H,0)+31+FLOOR(XLOOKUP($Q3,'Threshold Summary'!$Y:$Y,'Threshold Summary'!$R:$R,"")/4))*XLOOKUP($Q3,'Threshold Summary'!$Y:$Y,'Threshold Summary'!$L:$L,""))/100)+5)*XLOOKUP(XLOOKUP($Q3,'Threshold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Editor'!$E:$E,1))),stab,IF(OR(mtype=XLOOKUP(XLOOKUP($Q3,'Threshold Summary'!$Y:$Y,'Threshold Summary'!$K:$K,""),'Pokemon Editor'!$A:$A,'Pokemon Editor'!$C:$C,""),mtype=XLOOKUP(XLOOKUP($Q3,'Threshold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Chart'!$B$1:$S$1,0)))),base,IF(OR(cat="Status",pow=0),0,FLOOR(FLOOR(FLOOR((2*XLOOKUP($Q3,'Threshold Summary'!$Y:$Y,'Threshold Summary'!$L:$L,"")/5+2)*pow*atk/def)/50)+2)),modifier,stab*eff,FLOOR(base*modifier*0.85)),0)</f>
        <v/>
      </c>
      <c r="K3" s="3">
        <f>IFERROR(LET(mtype,XLOOKUP($D3,'Move Editor'!$B:$B,'Move Editor'!$C:$C,""),cat,XLOOKUP($D3,'Move Editor'!$B:$B,'Move Editor'!$D:$D,""),pow,XLOOKUP($D3,'Move Editor'!$B:$B,'Move Editor'!$E:$E,0),acc,XLOOKUP($D3,'Move Editor'!$B:$B,'Move Editor'!$F:$F,100),atk,IF(cat="Physical",FLOOR((FLOOR(((2*XLOOKUP(XLOOKUP($Q3,'Threshold Summary'!$Y:$Y,'Threshold Summary'!$K:$K,""),'Pokemon Editor'!$A:$A,'Pokemon Editor'!$F:$F,0)+31+FLOOR(XLOOKUP($Q3,'Threshold Summary'!$Y:$Y,'Threshold Summary'!$P:$P,"")/4))*XLOOKUP($Q3,'Threshold Summary'!$Y:$Y,'Threshold Summary'!$L:$L,""))/100)+5)*XLOOKUP(XLOOKUP($Q3,'Threshold Summary'!$Y:$Y,'Threshold Summary'!$M:$M,""),'Nature Editor'!$A:$A,'Nature Editor'!$B:$B,1)),FLOOR((FLOOR(((2*XLOOKUP(XLOOKUP($Q3,'Threshold Summary'!$Y:$Y,'Threshold Summary'!$K:$K,""),'Pokemon Editor'!$A:$A,'Pokemon Editor'!$H:$H,0)+31+FLOOR(XLOOKUP($Q3,'Threshold Summary'!$Y:$Y,'Threshold Summary'!$R:$R,"")/4))*XLOOKUP($Q3,'Threshold Summary'!$Y:$Y,'Threshold Summary'!$L:$L,""))/100)+5)*XLOOKUP(XLOOKUP($Q3,'Threshold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Editor'!$E:$E,1))),stab,IF(OR(mtype=XLOOKUP(XLOOKUP($Q3,'Threshold Summary'!$Y:$Y,'Threshold Summary'!$K:$K,""),'Pokemon Editor'!$A:$A,'Pokemon Editor'!$C:$C,""),mtype=XLOOKUP(XLOOKUP($Q3,'Threshold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Chart'!$B$1:$S$1,0)))),base,IF(OR(cat="Status",pow=0),0,FLOOR(FLOOR(FLOOR((2*XLOOKUP($Q3,'Threshold Summary'!$Y:$Y,'Threshold Summary'!$L:$L,"")/5+2)*pow*atk/def)/50)+2)),modifier,stab*eff,FLOOR(base*modifier)),0)</f>
        <v/>
      </c>
      <c r="L3" s="3">
        <f>IFERROR(LET(mtype,XLOOKUP($D3,'Move Editor'!$B:$B,'Move Editor'!$C:$C,""),cat,XLOOKUP($D3,'Move Editor'!$B:$B,'Move Editor'!$D:$D,""),pow,XLOOKUP($D3,'Move Editor'!$B:$B,'Move Editor'!$E:$E,0),acc,XLOOKUP($D3,'Move Editor'!$B:$B,'Move Editor'!$F:$F,100),atk,IF(cat="Physical",FLOOR((FLOOR(((2*XLOOKUP(XLOOKUP($Q3,'Threshold Summary'!$Y:$Y,'Threshold Summary'!$K:$K,""),'Pokemon Editor'!$A:$A,'Pokemon Editor'!$F:$F,0)+31+FLOOR(XLOOKUP($Q3,'Threshold Summary'!$Y:$Y,'Threshold Summary'!$P:$P,"")/4))*XLOOKUP($Q3,'Threshold Summary'!$Y:$Y,'Threshold Summary'!$L:$L,""))/100)+5)*XLOOKUP(XLOOKUP($Q3,'Threshold Summary'!$Y:$Y,'Threshold Summary'!$M:$M,""),'Nature Editor'!$A:$A,'Nature Editor'!$B:$B,1)),FLOOR((FLOOR(((2*XLOOKUP(XLOOKUP($Q3,'Threshold Summary'!$Y:$Y,'Threshold Summary'!$K:$K,""),'Pokemon Editor'!$A:$A,'Pokemon Editor'!$H:$H,0)+31+FLOOR(XLOOKUP($Q3,'Threshold Summary'!$Y:$Y,'Threshold Summary'!$R:$R,"")/4))*XLOOKUP($Q3,'Threshold Summary'!$Y:$Y,'Threshold Summary'!$L:$L,""))/100)+5)*XLOOKUP(XLOOKUP($Q3,'Threshold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Editor'!$E:$E,1))),stab,IF(OR(mtype=XLOOKUP(XLOOKUP($Q3,'Threshold Summary'!$Y:$Y,'Threshold Summary'!$K:$K,""),'Pokemon Editor'!$A:$A,'Pokemon Editor'!$C:$C,""),mtype=XLOOKUP(XLOOKUP($Q3,'Threshold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Chart'!$B$1:$S$1,0)))),base,IF(OR(cat="Status",pow=0),0,FLOOR(FLOOR(FLOOR((2*XLOOKUP($Q3,'Threshold Summary'!$Y:$Y,'Threshold Summary'!$L:$L,"")/5+2)*pow*atk/def)/50)+2)),modifier,stab*eff,AVERAGE(ARRAYFORMULA(FLOOR(base*modifier*SEQUENCE(16,1,85,1)/100)))),0)</f>
        <v/>
      </c>
      <c r="M3" s="3">
        <f>IFERROR(LET(mtype,XLOOKUP($D3,'Move Editor'!$B:$B,'Move Editor'!$C:$C,""),cat,XLOOKUP($D3,'Move Editor'!$B:$B,'Move Editor'!$D:$D,""),pow,XLOOKUP($D3,'Move Editor'!$B:$B,'Move Editor'!$E:$E,0),acc,XLOOKUP($D3,'Move Editor'!$B:$B,'Move Editor'!$F:$F,100),atk,IF(cat="Physical",FLOOR((FLOOR(((2*XLOOKUP(XLOOKUP($Q3,'Threshold Summary'!$Y:$Y,'Threshold Summary'!$K:$K,""),'Pokemon Editor'!$A:$A,'Pokemon Editor'!$F:$F,0)+31+FLOOR(XLOOKUP($Q3,'Threshold Summary'!$Y:$Y,'Threshold Summary'!$P:$P,"")/4))*XLOOKUP($Q3,'Threshold Summary'!$Y:$Y,'Threshold Summary'!$L:$L,""))/100)+5)*XLOOKUP(XLOOKUP($Q3,'Threshold Summary'!$Y:$Y,'Threshold Summary'!$M:$M,""),'Nature Editor'!$A:$A,'Nature Editor'!$B:$B,1)),FLOOR((FLOOR(((2*XLOOKUP(XLOOKUP($Q3,'Threshold Summary'!$Y:$Y,'Threshold Summary'!$K:$K,""),'Pokemon Editor'!$A:$A,'Pokemon Editor'!$H:$H,0)+31+FLOOR(XLOOKUP($Q3,'Threshold Summary'!$Y:$Y,'Threshold Summary'!$R:$R,"")/4))*XLOOKUP($Q3,'Threshold Summary'!$Y:$Y,'Threshold Summary'!$L:$L,""))/100)+5)*XLOOKUP(XLOOKUP($Q3,'Threshold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Editor'!$E:$E,1))),stab,IF(OR(mtype=XLOOKUP(XLOOKUP($Q3,'Threshold Summary'!$Y:$Y,'Threshold Summary'!$K:$K,""),'Pokemon Editor'!$A:$A,'Pokemon Editor'!$C:$C,""),mtype=XLOOKUP(XLOOKUP($Q3,'Threshold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Chart'!$B$1:$S$1,0)))),base,IF(OR(cat="Status",pow=0),0,FLOOR(FLOOR(FLOOR((2*XLOOKUP($Q3,'Threshold Summary'!$Y:$Y,'Threshold Summary'!$L:$L,"")/5+2)*pow*atk/def)/50)+2)),modifier,stab*eff,AVERAGE(ARRAYFORMULA(FLOOR(base*modifier*SEQUENCE(16,1,85,1)/100)))*MIN(1,acc/100)),0)</f>
        <v/>
      </c>
      <c r="N3" s="4">
        <f>IFERROR(LET(mtype,XLOOKUP($D3,'Move Editor'!$B:$B,'Move Editor'!$C:$C,""),cat,XLOOKUP($D3,'Move Editor'!$B:$B,'Move Editor'!$D:$D,""),pow,XLOOKUP($D3,'Move Editor'!$B:$B,'Move Editor'!$E:$E,0),acc,XLOOKUP($D3,'Move Editor'!$B:$B,'Move Editor'!$F:$F,100),atk,IF(cat="Physical",FLOOR((FLOOR(((2*XLOOKUP(XLOOKUP($Q3,'Threshold Summary'!$Y:$Y,'Threshold Summary'!$K:$K,""),'Pokemon Editor'!$A:$A,'Pokemon Editor'!$F:$F,0)+31+FLOOR(XLOOKUP($Q3,'Threshold Summary'!$Y:$Y,'Threshold Summary'!$P:$P,"")/4))*XLOOKUP($Q3,'Threshold Summary'!$Y:$Y,'Threshold Summary'!$L:$L,""))/100)+5)*XLOOKUP(XLOOKUP($Q3,'Threshold Summary'!$Y:$Y,'Threshold Summary'!$M:$M,""),'Nature Editor'!$A:$A,'Nature Editor'!$B:$B,1)),FLOOR((FLOOR(((2*XLOOKUP(XLOOKUP($Q3,'Threshold Summary'!$Y:$Y,'Threshold Summary'!$K:$K,""),'Pokemon Editor'!$A:$A,'Pokemon Editor'!$H:$H,0)+31+FLOOR(XLOOKUP($Q3,'Threshold Summary'!$Y:$Y,'Threshold Summary'!$R:$R,"")/4))*XLOOKUP($Q3,'Threshold Summary'!$Y:$Y,'Threshold Summary'!$L:$L,""))/100)+5)*XLOOKUP(XLOOKUP($Q3,'Threshold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Editor'!$E:$E,1))),stab,IF(OR(mtype=XLOOKUP(XLOOKUP($Q3,'Threshold Summary'!$Y:$Y,'Threshold Summary'!$K:$K,""),'Pokemon Editor'!$A:$A,'Pokemon Editor'!$C:$C,""),mtype=XLOOKUP(XLOOKUP($Q3,'Threshold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Chart'!$B$1:$S$1,0)))),base,IF(OR(cat="Status",pow=0),0,FLOOR(FLOOR(FLOOR((2*XLOOKUP($Q3,'Threshold Summary'!$Y:$Y,'Threshold Summary'!$L:$L,"")/5+2)*pow*atk/def)/50)+2)),modifier,stab*eff,AVERAGE(ARRAYFORMULA(FLOOR(base*modifier*SEQUENCE(16,1,85,1)/100)))/(FLOOR(((2*XLOOKUP('Boss Editor'!$C$4,'Pokemon Editor'!$A:$A,'Pokemon Editor'!$E:$E,0)+31+FLOOR('Boss Editor'!$G$4/4))*'Boss Editor'!$D$4)/100)+'Boss Editor'!$D$4+10)),0)</f>
        <v/>
      </c>
      <c r="O3" s="3">
        <f>IF(N3&gt;=1,"OHKO",IF(N3&gt;=0.5,"2HKO",IF(N3&gt;=0.333,"3HKO",IF(N3&gt;=0.25,"4HKO","5HKO+"))))</f>
        <v/>
      </c>
      <c r="P3" s="3" t="inlineStr">
        <is>
          <t>Live from editable databases</t>
        </is>
      </c>
      <c r="Q3" s="3" t="inlineStr">
        <is>
          <t>SPECIES_PARAS</t>
        </is>
      </c>
      <c r="R3" s="3" t="n">
        <v>2</v>
      </c>
    </row>
    <row r="4">
      <c r="A4" s="3">
        <f>XLOOKUP($Q4,'Threshold Summary'!$Y:$Y,'Threshold Summary'!$A:$A,"")</f>
        <v/>
      </c>
      <c r="B4" s="3">
        <f>XLOOKUP($Q4,'Threshold Summary'!$Y:$Y,'Threshold Summary'!$M:$M,"")</f>
        <v/>
      </c>
      <c r="C4" s="3">
        <f>XLOOKUP($Q4,'Threshold Summary'!$Y:$Y,'Threshold Summary'!$N:$N,"")</f>
        <v/>
      </c>
      <c r="D4" s="3">
        <f>IFERROR(INDEX(FILTER('Learnset Editor'!$D$2:$D,'Learnset Editor'!$A$2:$A=XLOOKUP($Q4,'Threshold Summary'!$Y:$Y,'Threshold Summary'!$K:$K,""),'Learnset Editor'!$C$2:$C&lt;=XLOOKUP($Q4,'Threshold Summary'!$Y:$Y,'Threshold Summary'!$L:$L,"")),$R4),"")</f>
        <v/>
      </c>
      <c r="E4" s="3">
        <f>XLOOKUP(D4,'Move Editor'!$B:$B,'Move Editor'!$C:$C,"")</f>
        <v/>
      </c>
      <c r="F4" s="3">
        <f>XLOOKUP(D4,'Move Editor'!$B:$B,'Move Editor'!$D:$D,"")</f>
        <v/>
      </c>
      <c r="G4" s="3">
        <f>XLOOKUP(D4,'Move Editor'!$B:$B,'Move Editor'!$E:$E,0)</f>
        <v/>
      </c>
      <c r="H4" s="3">
        <f>XLOOKUP(D4,'Move Editor'!$B:$B,'Move Editor'!$F:$F,0)</f>
        <v/>
      </c>
      <c r="I4" s="3">
        <f>(INDEX('Type Chart'!$B:$S,MATCH(E4,'Type Chart'!$A:$A,0),MATCH(XLOOKUP('Boss Editor'!$C$4,'Pokemon Editor'!$A:$A,'Pokemon Editor'!$C:$C,""),'Type Chart'!$B$1:$S$1,0))*IF(XLOOKUP('Boss Editor'!$C$4,'Pokemon Editor'!$A:$A,'Pokemon Editor'!$D:$D,"")="",1,INDEX('Type Chart'!$B:$S,MATCH(E4,'Type Chart'!$A:$A,0),MATCH(XLOOKUP('Boss Editor'!$C$4,'Pokemon Editor'!$A:$A,'Pokemon Editor'!$D:$D,""),'Type Chart'!$B$1:$S$1,0))))</f>
        <v/>
      </c>
      <c r="J4" s="3">
        <f>IFERROR(LET(mtype,XLOOKUP($D4,'Move Editor'!$B:$B,'Move Editor'!$C:$C,""),cat,XLOOKUP($D4,'Move Editor'!$B:$B,'Move Editor'!$D:$D,""),pow,XLOOKUP($D4,'Move Editor'!$B:$B,'Move Editor'!$E:$E,0),acc,XLOOKUP($D4,'Move Editor'!$B:$B,'Move Editor'!$F:$F,100),atk,IF(cat="Physical",FLOOR((FLOOR(((2*XLOOKUP(XLOOKUP($Q4,'Threshold Summary'!$Y:$Y,'Threshold Summary'!$K:$K,""),'Pokemon Editor'!$A:$A,'Pokemon Editor'!$F:$F,0)+31+FLOOR(XLOOKUP($Q4,'Threshold Summary'!$Y:$Y,'Threshold Summary'!$P:$P,"")/4))*XLOOKUP($Q4,'Threshold Summary'!$Y:$Y,'Threshold Summary'!$L:$L,""))/100)+5)*XLOOKUP(XLOOKUP($Q4,'Threshold Summary'!$Y:$Y,'Threshold Summary'!$M:$M,""),'Nature Editor'!$A:$A,'Nature Editor'!$B:$B,1)),FLOOR((FLOOR(((2*XLOOKUP(XLOOKUP($Q4,'Threshold Summary'!$Y:$Y,'Threshold Summary'!$K:$K,""),'Pokemon Editor'!$A:$A,'Pokemon Editor'!$H:$H,0)+31+FLOOR(XLOOKUP($Q4,'Threshold Summary'!$Y:$Y,'Threshold Summary'!$R:$R,"")/4))*XLOOKUP($Q4,'Threshold Summary'!$Y:$Y,'Threshold Summary'!$L:$L,""))/100)+5)*XLOOKUP(XLOOKUP($Q4,'Threshold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Editor'!$E:$E,1))),stab,IF(OR(mtype=XLOOKUP(XLOOKUP($Q4,'Threshold Summary'!$Y:$Y,'Threshold Summary'!$K:$K,""),'Pokemon Editor'!$A:$A,'Pokemon Editor'!$C:$C,""),mtype=XLOOKUP(XLOOKUP($Q4,'Threshold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Chart'!$B$1:$S$1,0)))),base,IF(OR(cat="Status",pow=0),0,FLOOR(FLOOR(FLOOR((2*XLOOKUP($Q4,'Threshold Summary'!$Y:$Y,'Threshold Summary'!$L:$L,"")/5+2)*pow*atk/def)/50)+2)),modifier,stab*eff,FLOOR(base*modifier*0.85)),0)</f>
        <v/>
      </c>
      <c r="K4" s="3">
        <f>IFERROR(LET(mtype,XLOOKUP($D4,'Move Editor'!$B:$B,'Move Editor'!$C:$C,""),cat,XLOOKUP($D4,'Move Editor'!$B:$B,'Move Editor'!$D:$D,""),pow,XLOOKUP($D4,'Move Editor'!$B:$B,'Move Editor'!$E:$E,0),acc,XLOOKUP($D4,'Move Editor'!$B:$B,'Move Editor'!$F:$F,100),atk,IF(cat="Physical",FLOOR((FLOOR(((2*XLOOKUP(XLOOKUP($Q4,'Threshold Summary'!$Y:$Y,'Threshold Summary'!$K:$K,""),'Pokemon Editor'!$A:$A,'Pokemon Editor'!$F:$F,0)+31+FLOOR(XLOOKUP($Q4,'Threshold Summary'!$Y:$Y,'Threshold Summary'!$P:$P,"")/4))*XLOOKUP($Q4,'Threshold Summary'!$Y:$Y,'Threshold Summary'!$L:$L,""))/100)+5)*XLOOKUP(XLOOKUP($Q4,'Threshold Summary'!$Y:$Y,'Threshold Summary'!$M:$M,""),'Nature Editor'!$A:$A,'Nature Editor'!$B:$B,1)),FLOOR((FLOOR(((2*XLOOKUP(XLOOKUP($Q4,'Threshold Summary'!$Y:$Y,'Threshold Summary'!$K:$K,""),'Pokemon Editor'!$A:$A,'Pokemon Editor'!$H:$H,0)+31+FLOOR(XLOOKUP($Q4,'Threshold Summary'!$Y:$Y,'Threshold Summary'!$R:$R,"")/4))*XLOOKUP($Q4,'Threshold Summary'!$Y:$Y,'Threshold Summary'!$L:$L,""))/100)+5)*XLOOKUP(XLOOKUP($Q4,'Threshold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Editor'!$E:$E,1))),stab,IF(OR(mtype=XLOOKUP(XLOOKUP($Q4,'Threshold Summary'!$Y:$Y,'Threshold Summary'!$K:$K,""),'Pokemon Editor'!$A:$A,'Pokemon Editor'!$C:$C,""),mtype=XLOOKUP(XLOOKUP($Q4,'Threshold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Chart'!$B$1:$S$1,0)))),base,IF(OR(cat="Status",pow=0),0,FLOOR(FLOOR(FLOOR((2*XLOOKUP($Q4,'Threshold Summary'!$Y:$Y,'Threshold Summary'!$L:$L,"")/5+2)*pow*atk/def)/50)+2)),modifier,stab*eff,FLOOR(base*modifier)),0)</f>
        <v/>
      </c>
      <c r="L4" s="3">
        <f>IFERROR(LET(mtype,XLOOKUP($D4,'Move Editor'!$B:$B,'Move Editor'!$C:$C,""),cat,XLOOKUP($D4,'Move Editor'!$B:$B,'Move Editor'!$D:$D,""),pow,XLOOKUP($D4,'Move Editor'!$B:$B,'Move Editor'!$E:$E,0),acc,XLOOKUP($D4,'Move Editor'!$B:$B,'Move Editor'!$F:$F,100),atk,IF(cat="Physical",FLOOR((FLOOR(((2*XLOOKUP(XLOOKUP($Q4,'Threshold Summary'!$Y:$Y,'Threshold Summary'!$K:$K,""),'Pokemon Editor'!$A:$A,'Pokemon Editor'!$F:$F,0)+31+FLOOR(XLOOKUP($Q4,'Threshold Summary'!$Y:$Y,'Threshold Summary'!$P:$P,"")/4))*XLOOKUP($Q4,'Threshold Summary'!$Y:$Y,'Threshold Summary'!$L:$L,""))/100)+5)*XLOOKUP(XLOOKUP($Q4,'Threshold Summary'!$Y:$Y,'Threshold Summary'!$M:$M,""),'Nature Editor'!$A:$A,'Nature Editor'!$B:$B,1)),FLOOR((FLOOR(((2*XLOOKUP(XLOOKUP($Q4,'Threshold Summary'!$Y:$Y,'Threshold Summary'!$K:$K,""),'Pokemon Editor'!$A:$A,'Pokemon Editor'!$H:$H,0)+31+FLOOR(XLOOKUP($Q4,'Threshold Summary'!$Y:$Y,'Threshold Summary'!$R:$R,"")/4))*XLOOKUP($Q4,'Threshold Summary'!$Y:$Y,'Threshold Summary'!$L:$L,""))/100)+5)*XLOOKUP(XLOOKUP($Q4,'Threshold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Editor'!$E:$E,1))),stab,IF(OR(mtype=XLOOKUP(XLOOKUP($Q4,'Threshold Summary'!$Y:$Y,'Threshold Summary'!$K:$K,""),'Pokemon Editor'!$A:$A,'Pokemon Editor'!$C:$C,""),mtype=XLOOKUP(XLOOKUP($Q4,'Threshold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Chart'!$B$1:$S$1,0)))),base,IF(OR(cat="Status",pow=0),0,FLOOR(FLOOR(FLOOR((2*XLOOKUP($Q4,'Threshold Summary'!$Y:$Y,'Threshold Summary'!$L:$L,"")/5+2)*pow*atk/def)/50)+2)),modifier,stab*eff,AVERAGE(ARRAYFORMULA(FLOOR(base*modifier*SEQUENCE(16,1,85,1)/100)))),0)</f>
        <v/>
      </c>
      <c r="M4" s="3">
        <f>IFERROR(LET(mtype,XLOOKUP($D4,'Move Editor'!$B:$B,'Move Editor'!$C:$C,""),cat,XLOOKUP($D4,'Move Editor'!$B:$B,'Move Editor'!$D:$D,""),pow,XLOOKUP($D4,'Move Editor'!$B:$B,'Move Editor'!$E:$E,0),acc,XLOOKUP($D4,'Move Editor'!$B:$B,'Move Editor'!$F:$F,100),atk,IF(cat="Physical",FLOOR((FLOOR(((2*XLOOKUP(XLOOKUP($Q4,'Threshold Summary'!$Y:$Y,'Threshold Summary'!$K:$K,""),'Pokemon Editor'!$A:$A,'Pokemon Editor'!$F:$F,0)+31+FLOOR(XLOOKUP($Q4,'Threshold Summary'!$Y:$Y,'Threshold Summary'!$P:$P,"")/4))*XLOOKUP($Q4,'Threshold Summary'!$Y:$Y,'Threshold Summary'!$L:$L,""))/100)+5)*XLOOKUP(XLOOKUP($Q4,'Threshold Summary'!$Y:$Y,'Threshold Summary'!$M:$M,""),'Nature Editor'!$A:$A,'Nature Editor'!$B:$B,1)),FLOOR((FLOOR(((2*XLOOKUP(XLOOKUP($Q4,'Threshold Summary'!$Y:$Y,'Threshold Summary'!$K:$K,""),'Pokemon Editor'!$A:$A,'Pokemon Editor'!$H:$H,0)+31+FLOOR(XLOOKUP($Q4,'Threshold Summary'!$Y:$Y,'Threshold Summary'!$R:$R,"")/4))*XLOOKUP($Q4,'Threshold Summary'!$Y:$Y,'Threshold Summary'!$L:$L,""))/100)+5)*XLOOKUP(XLOOKUP($Q4,'Threshold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Editor'!$E:$E,1))),stab,IF(OR(mtype=XLOOKUP(XLOOKUP($Q4,'Threshold Summary'!$Y:$Y,'Threshold Summary'!$K:$K,""),'Pokemon Editor'!$A:$A,'Pokemon Editor'!$C:$C,""),mtype=XLOOKUP(XLOOKUP($Q4,'Threshold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Chart'!$B$1:$S$1,0)))),base,IF(OR(cat="Status",pow=0),0,FLOOR(FLOOR(FLOOR((2*XLOOKUP($Q4,'Threshold Summary'!$Y:$Y,'Threshold Summary'!$L:$L,"")/5+2)*pow*atk/def)/50)+2)),modifier,stab*eff,AVERAGE(ARRAYFORMULA(FLOOR(base*modifier*SEQUENCE(16,1,85,1)/100)))*MIN(1,acc/100)),0)</f>
        <v/>
      </c>
      <c r="N4" s="4">
        <f>IFERROR(LET(mtype,XLOOKUP($D4,'Move Editor'!$B:$B,'Move Editor'!$C:$C,""),cat,XLOOKUP($D4,'Move Editor'!$B:$B,'Move Editor'!$D:$D,""),pow,XLOOKUP($D4,'Move Editor'!$B:$B,'Move Editor'!$E:$E,0),acc,XLOOKUP($D4,'Move Editor'!$B:$B,'Move Editor'!$F:$F,100),atk,IF(cat="Physical",FLOOR((FLOOR(((2*XLOOKUP(XLOOKUP($Q4,'Threshold Summary'!$Y:$Y,'Threshold Summary'!$K:$K,""),'Pokemon Editor'!$A:$A,'Pokemon Editor'!$F:$F,0)+31+FLOOR(XLOOKUP($Q4,'Threshold Summary'!$Y:$Y,'Threshold Summary'!$P:$P,"")/4))*XLOOKUP($Q4,'Threshold Summary'!$Y:$Y,'Threshold Summary'!$L:$L,""))/100)+5)*XLOOKUP(XLOOKUP($Q4,'Threshold Summary'!$Y:$Y,'Threshold Summary'!$M:$M,""),'Nature Editor'!$A:$A,'Nature Editor'!$B:$B,1)),FLOOR((FLOOR(((2*XLOOKUP(XLOOKUP($Q4,'Threshold Summary'!$Y:$Y,'Threshold Summary'!$K:$K,""),'Pokemon Editor'!$A:$A,'Pokemon Editor'!$H:$H,0)+31+FLOOR(XLOOKUP($Q4,'Threshold Summary'!$Y:$Y,'Threshold Summary'!$R:$R,"")/4))*XLOOKUP($Q4,'Threshold Summary'!$Y:$Y,'Threshold Summary'!$L:$L,""))/100)+5)*XLOOKUP(XLOOKUP($Q4,'Threshold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Editor'!$E:$E,1))),stab,IF(OR(mtype=XLOOKUP(XLOOKUP($Q4,'Threshold Summary'!$Y:$Y,'Threshold Summary'!$K:$K,""),'Pokemon Editor'!$A:$A,'Pokemon Editor'!$C:$C,""),mtype=XLOOKUP(XLOOKUP($Q4,'Threshold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Chart'!$B$1:$S$1,0)))),base,IF(OR(cat="Status",pow=0),0,FLOOR(FLOOR(FLOOR((2*XLOOKUP($Q4,'Threshold Summary'!$Y:$Y,'Threshold Summary'!$L:$L,"")/5+2)*pow*atk/def)/50)+2)),modifier,stab*eff,AVERAGE(ARRAYFORMULA(FLOOR(base*modifier*SEQUENCE(16,1,85,1)/100)))/(FLOOR(((2*XLOOKUP('Boss Editor'!$C$4,'Pokemon Editor'!$A:$A,'Pokemon Editor'!$E:$E,0)+31+FLOOR('Boss Editor'!$G$4/4))*'Boss Editor'!$D$4)/100)+'Boss Editor'!$D$4+10)),0)</f>
        <v/>
      </c>
      <c r="O4" s="3">
        <f>IF(N4&gt;=1,"OHKO",IF(N4&gt;=0.5,"2HKO",IF(N4&gt;=0.333,"3HKO",IF(N4&gt;=0.25,"4HKO","5HKO+"))))</f>
        <v/>
      </c>
      <c r="P4" s="3" t="inlineStr">
        <is>
          <t>Live from editable databases</t>
        </is>
      </c>
      <c r="Q4" s="3" t="inlineStr">
        <is>
          <t>SPECIES_PARAS</t>
        </is>
      </c>
      <c r="R4" s="3" t="n">
        <v>3</v>
      </c>
    </row>
    <row r="5">
      <c r="A5" s="3">
        <f>XLOOKUP($Q5,'Threshold Summary'!$Y:$Y,'Threshold Summary'!$A:$A,"")</f>
        <v/>
      </c>
      <c r="B5" s="3">
        <f>XLOOKUP($Q5,'Threshold Summary'!$Y:$Y,'Threshold Summary'!$M:$M,"")</f>
        <v/>
      </c>
      <c r="C5" s="3">
        <f>XLOOKUP($Q5,'Threshold Summary'!$Y:$Y,'Threshold Summary'!$N:$N,"")</f>
        <v/>
      </c>
      <c r="D5" s="3">
        <f>IFERROR(INDEX(FILTER('Learnset Editor'!$D$2:$D,'Learnset Editor'!$A$2:$A=XLOOKUP($Q5,'Threshold Summary'!$Y:$Y,'Threshold Summary'!$K:$K,""),'Learnset Editor'!$C$2:$C&lt;=XLOOKUP($Q5,'Threshold Summary'!$Y:$Y,'Threshold Summary'!$L:$L,"")),$R5),"")</f>
        <v/>
      </c>
      <c r="E5" s="3">
        <f>XLOOKUP(D5,'Move Editor'!$B:$B,'Move Editor'!$C:$C,"")</f>
        <v/>
      </c>
      <c r="F5" s="3">
        <f>XLOOKUP(D5,'Move Editor'!$B:$B,'Move Editor'!$D:$D,"")</f>
        <v/>
      </c>
      <c r="G5" s="3">
        <f>XLOOKUP(D5,'Move Editor'!$B:$B,'Move Editor'!$E:$E,0)</f>
        <v/>
      </c>
      <c r="H5" s="3">
        <f>XLOOKUP(D5,'Move Editor'!$B:$B,'Move Editor'!$F:$F,0)</f>
        <v/>
      </c>
      <c r="I5" s="3">
        <f>(INDEX('Type Chart'!$B:$S,MATCH(E5,'Type Chart'!$A:$A,0),MATCH(XLOOKUP('Boss Editor'!$C$4,'Pokemon Editor'!$A:$A,'Pokemon Editor'!$C:$C,""),'Type Chart'!$B$1:$S$1,0))*IF(XLOOKUP('Boss Editor'!$C$4,'Pokemon Editor'!$A:$A,'Pokemon Editor'!$D:$D,"")="",1,INDEX('Type Chart'!$B:$S,MATCH(E5,'Type Chart'!$A:$A,0),MATCH(XLOOKUP('Boss Editor'!$C$4,'Pokemon Editor'!$A:$A,'Pokemon Editor'!$D:$D,""),'Type Chart'!$B$1:$S$1,0))))</f>
        <v/>
      </c>
      <c r="J5" s="3">
        <f>IFERROR(LET(mtype,XLOOKUP($D5,'Move Editor'!$B:$B,'Move Editor'!$C:$C,""),cat,XLOOKUP($D5,'Move Editor'!$B:$B,'Move Editor'!$D:$D,""),pow,XLOOKUP($D5,'Move Editor'!$B:$B,'Move Editor'!$E:$E,0),acc,XLOOKUP($D5,'Move Editor'!$B:$B,'Move Editor'!$F:$F,100),atk,IF(cat="Physical",FLOOR((FLOOR(((2*XLOOKUP(XLOOKUP($Q5,'Threshold Summary'!$Y:$Y,'Threshold Summary'!$K:$K,""),'Pokemon Editor'!$A:$A,'Pokemon Editor'!$F:$F,0)+31+FLOOR(XLOOKUP($Q5,'Threshold Summary'!$Y:$Y,'Threshold Summary'!$P:$P,"")/4))*XLOOKUP($Q5,'Threshold Summary'!$Y:$Y,'Threshold Summary'!$L:$L,""))/100)+5)*XLOOKUP(XLOOKUP($Q5,'Threshold Summary'!$Y:$Y,'Threshold Summary'!$M:$M,""),'Nature Editor'!$A:$A,'Nature Editor'!$B:$B,1)),FLOOR((FLOOR(((2*XLOOKUP(XLOOKUP($Q5,'Threshold Summary'!$Y:$Y,'Threshold Summary'!$K:$K,""),'Pokemon Editor'!$A:$A,'Pokemon Editor'!$H:$H,0)+31+FLOOR(XLOOKUP($Q5,'Threshold Summary'!$Y:$Y,'Threshold Summary'!$R:$R,"")/4))*XLOOKUP($Q5,'Threshold Summary'!$Y:$Y,'Threshold Summary'!$L:$L,""))/100)+5)*XLOOKUP(XLOOKUP($Q5,'Threshold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Editor'!$E:$E,1))),stab,IF(OR(mtype=XLOOKUP(XLOOKUP($Q5,'Threshold Summary'!$Y:$Y,'Threshold Summary'!$K:$K,""),'Pokemon Editor'!$A:$A,'Pokemon Editor'!$C:$C,""),mtype=XLOOKUP(XLOOKUP($Q5,'Threshold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Chart'!$B$1:$S$1,0)))),base,IF(OR(cat="Status",pow=0),0,FLOOR(FLOOR(FLOOR((2*XLOOKUP($Q5,'Threshold Summary'!$Y:$Y,'Threshold Summary'!$L:$L,"")/5+2)*pow*atk/def)/50)+2)),modifier,stab*eff,FLOOR(base*modifier*0.85)),0)</f>
        <v/>
      </c>
      <c r="K5" s="3">
        <f>IFERROR(LET(mtype,XLOOKUP($D5,'Move Editor'!$B:$B,'Move Editor'!$C:$C,""),cat,XLOOKUP($D5,'Move Editor'!$B:$B,'Move Editor'!$D:$D,""),pow,XLOOKUP($D5,'Move Editor'!$B:$B,'Move Editor'!$E:$E,0),acc,XLOOKUP($D5,'Move Editor'!$B:$B,'Move Editor'!$F:$F,100),atk,IF(cat="Physical",FLOOR((FLOOR(((2*XLOOKUP(XLOOKUP($Q5,'Threshold Summary'!$Y:$Y,'Threshold Summary'!$K:$K,""),'Pokemon Editor'!$A:$A,'Pokemon Editor'!$F:$F,0)+31+FLOOR(XLOOKUP($Q5,'Threshold Summary'!$Y:$Y,'Threshold Summary'!$P:$P,"")/4))*XLOOKUP($Q5,'Threshold Summary'!$Y:$Y,'Threshold Summary'!$L:$L,""))/100)+5)*XLOOKUP(XLOOKUP($Q5,'Threshold Summary'!$Y:$Y,'Threshold Summary'!$M:$M,""),'Nature Editor'!$A:$A,'Nature Editor'!$B:$B,1)),FLOOR((FLOOR(((2*XLOOKUP(XLOOKUP($Q5,'Threshold Summary'!$Y:$Y,'Threshold Summary'!$K:$K,""),'Pokemon Editor'!$A:$A,'Pokemon Editor'!$H:$H,0)+31+FLOOR(XLOOKUP($Q5,'Threshold Summary'!$Y:$Y,'Threshold Summary'!$R:$R,"")/4))*XLOOKUP($Q5,'Threshold Summary'!$Y:$Y,'Threshold Summary'!$L:$L,""))/100)+5)*XLOOKUP(XLOOKUP($Q5,'Threshold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Editor'!$E:$E,1))),stab,IF(OR(mtype=XLOOKUP(XLOOKUP($Q5,'Threshold Summary'!$Y:$Y,'Threshold Summary'!$K:$K,""),'Pokemon Editor'!$A:$A,'Pokemon Editor'!$C:$C,""),mtype=XLOOKUP(XLOOKUP($Q5,'Threshold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Chart'!$B$1:$S$1,0)))),base,IF(OR(cat="Status",pow=0),0,FLOOR(FLOOR(FLOOR((2*XLOOKUP($Q5,'Threshold Summary'!$Y:$Y,'Threshold Summary'!$L:$L,"")/5+2)*pow*atk/def)/50)+2)),modifier,stab*eff,FLOOR(base*modifier)),0)</f>
        <v/>
      </c>
      <c r="L5" s="3">
        <f>IFERROR(LET(mtype,XLOOKUP($D5,'Move Editor'!$B:$B,'Move Editor'!$C:$C,""),cat,XLOOKUP($D5,'Move Editor'!$B:$B,'Move Editor'!$D:$D,""),pow,XLOOKUP($D5,'Move Editor'!$B:$B,'Move Editor'!$E:$E,0),acc,XLOOKUP($D5,'Move Editor'!$B:$B,'Move Editor'!$F:$F,100),atk,IF(cat="Physical",FLOOR((FLOOR(((2*XLOOKUP(XLOOKUP($Q5,'Threshold Summary'!$Y:$Y,'Threshold Summary'!$K:$K,""),'Pokemon Editor'!$A:$A,'Pokemon Editor'!$F:$F,0)+31+FLOOR(XLOOKUP($Q5,'Threshold Summary'!$Y:$Y,'Threshold Summary'!$P:$P,"")/4))*XLOOKUP($Q5,'Threshold Summary'!$Y:$Y,'Threshold Summary'!$L:$L,""))/100)+5)*XLOOKUP(XLOOKUP($Q5,'Threshold Summary'!$Y:$Y,'Threshold Summary'!$M:$M,""),'Nature Editor'!$A:$A,'Nature Editor'!$B:$B,1)),FLOOR((FLOOR(((2*XLOOKUP(XLOOKUP($Q5,'Threshold Summary'!$Y:$Y,'Threshold Summary'!$K:$K,""),'Pokemon Editor'!$A:$A,'Pokemon Editor'!$H:$H,0)+31+FLOOR(XLOOKUP($Q5,'Threshold Summary'!$Y:$Y,'Threshold Summary'!$R:$R,"")/4))*XLOOKUP($Q5,'Threshold Summary'!$Y:$Y,'Threshold Summary'!$L:$L,""))/100)+5)*XLOOKUP(XLOOKUP($Q5,'Threshold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Editor'!$E:$E,1))),stab,IF(OR(mtype=XLOOKUP(XLOOKUP($Q5,'Threshold Summary'!$Y:$Y,'Threshold Summary'!$K:$K,""),'Pokemon Editor'!$A:$A,'Pokemon Editor'!$C:$C,""),mtype=XLOOKUP(XLOOKUP($Q5,'Threshold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Chart'!$B$1:$S$1,0)))),base,IF(OR(cat="Status",pow=0),0,FLOOR(FLOOR(FLOOR((2*XLOOKUP($Q5,'Threshold Summary'!$Y:$Y,'Threshold Summary'!$L:$L,"")/5+2)*pow*atk/def)/50)+2)),modifier,stab*eff,AVERAGE(ARRAYFORMULA(FLOOR(base*modifier*SEQUENCE(16,1,85,1)/100)))),0)</f>
        <v/>
      </c>
      <c r="M5" s="3">
        <f>IFERROR(LET(mtype,XLOOKUP($D5,'Move Editor'!$B:$B,'Move Editor'!$C:$C,""),cat,XLOOKUP($D5,'Move Editor'!$B:$B,'Move Editor'!$D:$D,""),pow,XLOOKUP($D5,'Move Editor'!$B:$B,'Move Editor'!$E:$E,0),acc,XLOOKUP($D5,'Move Editor'!$B:$B,'Move Editor'!$F:$F,100),atk,IF(cat="Physical",FLOOR((FLOOR(((2*XLOOKUP(XLOOKUP($Q5,'Threshold Summary'!$Y:$Y,'Threshold Summary'!$K:$K,""),'Pokemon Editor'!$A:$A,'Pokemon Editor'!$F:$F,0)+31+FLOOR(XLOOKUP($Q5,'Threshold Summary'!$Y:$Y,'Threshold Summary'!$P:$P,"")/4))*XLOOKUP($Q5,'Threshold Summary'!$Y:$Y,'Threshold Summary'!$L:$L,""))/100)+5)*XLOOKUP(XLOOKUP($Q5,'Threshold Summary'!$Y:$Y,'Threshold Summary'!$M:$M,""),'Nature Editor'!$A:$A,'Nature Editor'!$B:$B,1)),FLOOR((FLOOR(((2*XLOOKUP(XLOOKUP($Q5,'Threshold Summary'!$Y:$Y,'Threshold Summary'!$K:$K,""),'Pokemon Editor'!$A:$A,'Pokemon Editor'!$H:$H,0)+31+FLOOR(XLOOKUP($Q5,'Threshold Summary'!$Y:$Y,'Threshold Summary'!$R:$R,"")/4))*XLOOKUP($Q5,'Threshold Summary'!$Y:$Y,'Threshold Summary'!$L:$L,""))/100)+5)*XLOOKUP(XLOOKUP($Q5,'Threshold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Editor'!$E:$E,1))),stab,IF(OR(mtype=XLOOKUP(XLOOKUP($Q5,'Threshold Summary'!$Y:$Y,'Threshold Summary'!$K:$K,""),'Pokemon Editor'!$A:$A,'Pokemon Editor'!$C:$C,""),mtype=XLOOKUP(XLOOKUP($Q5,'Threshold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Chart'!$B$1:$S$1,0)))),base,IF(OR(cat="Status",pow=0),0,FLOOR(FLOOR(FLOOR((2*XLOOKUP($Q5,'Threshold Summary'!$Y:$Y,'Threshold Summary'!$L:$L,"")/5+2)*pow*atk/def)/50)+2)),modifier,stab*eff,AVERAGE(ARRAYFORMULA(FLOOR(base*modifier*SEQUENCE(16,1,85,1)/100)))*MIN(1,acc/100)),0)</f>
        <v/>
      </c>
      <c r="N5" s="4">
        <f>IFERROR(LET(mtype,XLOOKUP($D5,'Move Editor'!$B:$B,'Move Editor'!$C:$C,""),cat,XLOOKUP($D5,'Move Editor'!$B:$B,'Move Editor'!$D:$D,""),pow,XLOOKUP($D5,'Move Editor'!$B:$B,'Move Editor'!$E:$E,0),acc,XLOOKUP($D5,'Move Editor'!$B:$B,'Move Editor'!$F:$F,100),atk,IF(cat="Physical",FLOOR((FLOOR(((2*XLOOKUP(XLOOKUP($Q5,'Threshold Summary'!$Y:$Y,'Threshold Summary'!$K:$K,""),'Pokemon Editor'!$A:$A,'Pokemon Editor'!$F:$F,0)+31+FLOOR(XLOOKUP($Q5,'Threshold Summary'!$Y:$Y,'Threshold Summary'!$P:$P,"")/4))*XLOOKUP($Q5,'Threshold Summary'!$Y:$Y,'Threshold Summary'!$L:$L,""))/100)+5)*XLOOKUP(XLOOKUP($Q5,'Threshold Summary'!$Y:$Y,'Threshold Summary'!$M:$M,""),'Nature Editor'!$A:$A,'Nature Editor'!$B:$B,1)),FLOOR((FLOOR(((2*XLOOKUP(XLOOKUP($Q5,'Threshold Summary'!$Y:$Y,'Threshold Summary'!$K:$K,""),'Pokemon Editor'!$A:$A,'Pokemon Editor'!$H:$H,0)+31+FLOOR(XLOOKUP($Q5,'Threshold Summary'!$Y:$Y,'Threshold Summary'!$R:$R,"")/4))*XLOOKUP($Q5,'Threshold Summary'!$Y:$Y,'Threshold Summary'!$L:$L,""))/100)+5)*XLOOKUP(XLOOKUP($Q5,'Threshold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Editor'!$E:$E,1))),stab,IF(OR(mtype=XLOOKUP(XLOOKUP($Q5,'Threshold Summary'!$Y:$Y,'Threshold Summary'!$K:$K,""),'Pokemon Editor'!$A:$A,'Pokemon Editor'!$C:$C,""),mtype=XLOOKUP(XLOOKUP($Q5,'Threshold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Chart'!$B$1:$S$1,0)))),base,IF(OR(cat="Status",pow=0),0,FLOOR(FLOOR(FLOOR((2*XLOOKUP($Q5,'Threshold Summary'!$Y:$Y,'Threshold Summary'!$L:$L,"")/5+2)*pow*atk/def)/50)+2)),modifier,stab*eff,AVERAGE(ARRAYFORMULA(FLOOR(base*modifier*SEQUENCE(16,1,85,1)/100)))/(FLOOR(((2*XLOOKUP('Boss Editor'!$C$4,'Pokemon Editor'!$A:$A,'Pokemon Editor'!$E:$E,0)+31+FLOOR('Boss Editor'!$G$4/4))*'Boss Editor'!$D$4)/100)+'Boss Editor'!$D$4+10)),0)</f>
        <v/>
      </c>
      <c r="O5" s="3">
        <f>IF(N5&gt;=1,"OHKO",IF(N5&gt;=0.5,"2HKO",IF(N5&gt;=0.333,"3HKO",IF(N5&gt;=0.25,"4HKO","5HKO+"))))</f>
        <v/>
      </c>
      <c r="P5" s="3" t="inlineStr">
        <is>
          <t>Live from editable databases</t>
        </is>
      </c>
      <c r="Q5" s="3" t="inlineStr">
        <is>
          <t>SPECIES_PARAS</t>
        </is>
      </c>
      <c r="R5" s="3" t="n">
        <v>4</v>
      </c>
    </row>
    <row r="6">
      <c r="A6" s="3">
        <f>XLOOKUP($Q6,'Threshold Summary'!$Y:$Y,'Threshold Summary'!$A:$A,"")</f>
        <v/>
      </c>
      <c r="B6" s="3">
        <f>XLOOKUP($Q6,'Threshold Summary'!$Y:$Y,'Threshold Summary'!$M:$M,"")</f>
        <v/>
      </c>
      <c r="C6" s="3">
        <f>XLOOKUP($Q6,'Threshold Summary'!$Y:$Y,'Threshold Summary'!$N:$N,"")</f>
        <v/>
      </c>
      <c r="D6" s="3">
        <f>IFERROR(INDEX(FILTER('Learnset Editor'!$D$2:$D,'Learnset Editor'!$A$2:$A=XLOOKUP($Q6,'Threshold Summary'!$Y:$Y,'Threshold Summary'!$K:$K,""),'Learnset Editor'!$C$2:$C&lt;=XLOOKUP($Q6,'Threshold Summary'!$Y:$Y,'Threshold Summary'!$L:$L,"")),$R6),"")</f>
        <v/>
      </c>
      <c r="E6" s="3">
        <f>XLOOKUP(D6,'Move Editor'!$B:$B,'Move Editor'!$C:$C,"")</f>
        <v/>
      </c>
      <c r="F6" s="3">
        <f>XLOOKUP(D6,'Move Editor'!$B:$B,'Move Editor'!$D:$D,"")</f>
        <v/>
      </c>
      <c r="G6" s="3">
        <f>XLOOKUP(D6,'Move Editor'!$B:$B,'Move Editor'!$E:$E,0)</f>
        <v/>
      </c>
      <c r="H6" s="3">
        <f>XLOOKUP(D6,'Move Editor'!$B:$B,'Move Editor'!$F:$F,0)</f>
        <v/>
      </c>
      <c r="I6" s="3">
        <f>(INDEX('Type Chart'!$B:$S,MATCH(E6,'Type Chart'!$A:$A,0),MATCH(XLOOKUP('Boss Editor'!$C$4,'Pokemon Editor'!$A:$A,'Pokemon Editor'!$C:$C,""),'Type Chart'!$B$1:$S$1,0))*IF(XLOOKUP('Boss Editor'!$C$4,'Pokemon Editor'!$A:$A,'Pokemon Editor'!$D:$D,"")="",1,INDEX('Type Chart'!$B:$S,MATCH(E6,'Type Chart'!$A:$A,0),MATCH(XLOOKUP('Boss Editor'!$C$4,'Pokemon Editor'!$A:$A,'Pokemon Editor'!$D:$D,""),'Type Chart'!$B$1:$S$1,0))))</f>
        <v/>
      </c>
      <c r="J6" s="3">
        <f>IFERROR(LET(mtype,XLOOKUP($D6,'Move Editor'!$B:$B,'Move Editor'!$C:$C,""),cat,XLOOKUP($D6,'Move Editor'!$B:$B,'Move Editor'!$D:$D,""),pow,XLOOKUP($D6,'Move Editor'!$B:$B,'Move Editor'!$E:$E,0),acc,XLOOKUP($D6,'Move Editor'!$B:$B,'Move Editor'!$F:$F,100),atk,IF(cat="Physical",FLOOR((FLOOR(((2*XLOOKUP(XLOOKUP($Q6,'Threshold Summary'!$Y:$Y,'Threshold Summary'!$K:$K,""),'Pokemon Editor'!$A:$A,'Pokemon Editor'!$F:$F,0)+31+FLOOR(XLOOKUP($Q6,'Threshold Summary'!$Y:$Y,'Threshold Summary'!$P:$P,"")/4))*XLOOKUP($Q6,'Threshold Summary'!$Y:$Y,'Threshold Summary'!$L:$L,""))/100)+5)*XLOOKUP(XLOOKUP($Q6,'Threshold Summary'!$Y:$Y,'Threshold Summary'!$M:$M,""),'Nature Editor'!$A:$A,'Nature Editor'!$B:$B,1)),FLOOR((FLOOR(((2*XLOOKUP(XLOOKUP($Q6,'Threshold Summary'!$Y:$Y,'Threshold Summary'!$K:$K,""),'Pokemon Editor'!$A:$A,'Pokemon Editor'!$H:$H,0)+31+FLOOR(XLOOKUP($Q6,'Threshold Summary'!$Y:$Y,'Threshold Summary'!$R:$R,"")/4))*XLOOKUP($Q6,'Threshold Summary'!$Y:$Y,'Threshold Summary'!$L:$L,""))/100)+5)*XLOOKUP(XLOOKUP($Q6,'Threshold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Editor'!$E:$E,1))),stab,IF(OR(mtype=XLOOKUP(XLOOKUP($Q6,'Threshold Summary'!$Y:$Y,'Threshold Summary'!$K:$K,""),'Pokemon Editor'!$A:$A,'Pokemon Editor'!$C:$C,""),mtype=XLOOKUP(XLOOKUP($Q6,'Threshold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Chart'!$B$1:$S$1,0)))),base,IF(OR(cat="Status",pow=0),0,FLOOR(FLOOR(FLOOR((2*XLOOKUP($Q6,'Threshold Summary'!$Y:$Y,'Threshold Summary'!$L:$L,"")/5+2)*pow*atk/def)/50)+2)),modifier,stab*eff,FLOOR(base*modifier*0.85)),0)</f>
        <v/>
      </c>
      <c r="K6" s="3">
        <f>IFERROR(LET(mtype,XLOOKUP($D6,'Move Editor'!$B:$B,'Move Editor'!$C:$C,""),cat,XLOOKUP($D6,'Move Editor'!$B:$B,'Move Editor'!$D:$D,""),pow,XLOOKUP($D6,'Move Editor'!$B:$B,'Move Editor'!$E:$E,0),acc,XLOOKUP($D6,'Move Editor'!$B:$B,'Move Editor'!$F:$F,100),atk,IF(cat="Physical",FLOOR((FLOOR(((2*XLOOKUP(XLOOKUP($Q6,'Threshold Summary'!$Y:$Y,'Threshold Summary'!$K:$K,""),'Pokemon Editor'!$A:$A,'Pokemon Editor'!$F:$F,0)+31+FLOOR(XLOOKUP($Q6,'Threshold Summary'!$Y:$Y,'Threshold Summary'!$P:$P,"")/4))*XLOOKUP($Q6,'Threshold Summary'!$Y:$Y,'Threshold Summary'!$L:$L,""))/100)+5)*XLOOKUP(XLOOKUP($Q6,'Threshold Summary'!$Y:$Y,'Threshold Summary'!$M:$M,""),'Nature Editor'!$A:$A,'Nature Editor'!$B:$B,1)),FLOOR((FLOOR(((2*XLOOKUP(XLOOKUP($Q6,'Threshold Summary'!$Y:$Y,'Threshold Summary'!$K:$K,""),'Pokemon Editor'!$A:$A,'Pokemon Editor'!$H:$H,0)+31+FLOOR(XLOOKUP($Q6,'Threshold Summary'!$Y:$Y,'Threshold Summary'!$R:$R,"")/4))*XLOOKUP($Q6,'Threshold Summary'!$Y:$Y,'Threshold Summary'!$L:$L,""))/100)+5)*XLOOKUP(XLOOKUP($Q6,'Threshold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Editor'!$E:$E,1))),stab,IF(OR(mtype=XLOOKUP(XLOOKUP($Q6,'Threshold Summary'!$Y:$Y,'Threshold Summary'!$K:$K,""),'Pokemon Editor'!$A:$A,'Pokemon Editor'!$C:$C,""),mtype=XLOOKUP(XLOOKUP($Q6,'Threshold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Chart'!$B$1:$S$1,0)))),base,IF(OR(cat="Status",pow=0),0,FLOOR(FLOOR(FLOOR((2*XLOOKUP($Q6,'Threshold Summary'!$Y:$Y,'Threshold Summary'!$L:$L,"")/5+2)*pow*atk/def)/50)+2)),modifier,stab*eff,FLOOR(base*modifier)),0)</f>
        <v/>
      </c>
      <c r="L6" s="3">
        <f>IFERROR(LET(mtype,XLOOKUP($D6,'Move Editor'!$B:$B,'Move Editor'!$C:$C,""),cat,XLOOKUP($D6,'Move Editor'!$B:$B,'Move Editor'!$D:$D,""),pow,XLOOKUP($D6,'Move Editor'!$B:$B,'Move Editor'!$E:$E,0),acc,XLOOKUP($D6,'Move Editor'!$B:$B,'Move Editor'!$F:$F,100),atk,IF(cat="Physical",FLOOR((FLOOR(((2*XLOOKUP(XLOOKUP($Q6,'Threshold Summary'!$Y:$Y,'Threshold Summary'!$K:$K,""),'Pokemon Editor'!$A:$A,'Pokemon Editor'!$F:$F,0)+31+FLOOR(XLOOKUP($Q6,'Threshold Summary'!$Y:$Y,'Threshold Summary'!$P:$P,"")/4))*XLOOKUP($Q6,'Threshold Summary'!$Y:$Y,'Threshold Summary'!$L:$L,""))/100)+5)*XLOOKUP(XLOOKUP($Q6,'Threshold Summary'!$Y:$Y,'Threshold Summary'!$M:$M,""),'Nature Editor'!$A:$A,'Nature Editor'!$B:$B,1)),FLOOR((FLOOR(((2*XLOOKUP(XLOOKUP($Q6,'Threshold Summary'!$Y:$Y,'Threshold Summary'!$K:$K,""),'Pokemon Editor'!$A:$A,'Pokemon Editor'!$H:$H,0)+31+FLOOR(XLOOKUP($Q6,'Threshold Summary'!$Y:$Y,'Threshold Summary'!$R:$R,"")/4))*XLOOKUP($Q6,'Threshold Summary'!$Y:$Y,'Threshold Summary'!$L:$L,""))/100)+5)*XLOOKUP(XLOOKUP($Q6,'Threshold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Editor'!$E:$E,1))),stab,IF(OR(mtype=XLOOKUP(XLOOKUP($Q6,'Threshold Summary'!$Y:$Y,'Threshold Summary'!$K:$K,""),'Pokemon Editor'!$A:$A,'Pokemon Editor'!$C:$C,""),mtype=XLOOKUP(XLOOKUP($Q6,'Threshold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Chart'!$B$1:$S$1,0)))),base,IF(OR(cat="Status",pow=0),0,FLOOR(FLOOR(FLOOR((2*XLOOKUP($Q6,'Threshold Summary'!$Y:$Y,'Threshold Summary'!$L:$L,"")/5+2)*pow*atk/def)/50)+2)),modifier,stab*eff,AVERAGE(ARRAYFORMULA(FLOOR(base*modifier*SEQUENCE(16,1,85,1)/100)))),0)</f>
        <v/>
      </c>
      <c r="M6" s="3">
        <f>IFERROR(LET(mtype,XLOOKUP($D6,'Move Editor'!$B:$B,'Move Editor'!$C:$C,""),cat,XLOOKUP($D6,'Move Editor'!$B:$B,'Move Editor'!$D:$D,""),pow,XLOOKUP($D6,'Move Editor'!$B:$B,'Move Editor'!$E:$E,0),acc,XLOOKUP($D6,'Move Editor'!$B:$B,'Move Editor'!$F:$F,100),atk,IF(cat="Physical",FLOOR((FLOOR(((2*XLOOKUP(XLOOKUP($Q6,'Threshold Summary'!$Y:$Y,'Threshold Summary'!$K:$K,""),'Pokemon Editor'!$A:$A,'Pokemon Editor'!$F:$F,0)+31+FLOOR(XLOOKUP($Q6,'Threshold Summary'!$Y:$Y,'Threshold Summary'!$P:$P,"")/4))*XLOOKUP($Q6,'Threshold Summary'!$Y:$Y,'Threshold Summary'!$L:$L,""))/100)+5)*XLOOKUP(XLOOKUP($Q6,'Threshold Summary'!$Y:$Y,'Threshold Summary'!$M:$M,""),'Nature Editor'!$A:$A,'Nature Editor'!$B:$B,1)),FLOOR((FLOOR(((2*XLOOKUP(XLOOKUP($Q6,'Threshold Summary'!$Y:$Y,'Threshold Summary'!$K:$K,""),'Pokemon Editor'!$A:$A,'Pokemon Editor'!$H:$H,0)+31+FLOOR(XLOOKUP($Q6,'Threshold Summary'!$Y:$Y,'Threshold Summary'!$R:$R,"")/4))*XLOOKUP($Q6,'Threshold Summary'!$Y:$Y,'Threshold Summary'!$L:$L,""))/100)+5)*XLOOKUP(XLOOKUP($Q6,'Threshold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Editor'!$E:$E,1))),stab,IF(OR(mtype=XLOOKUP(XLOOKUP($Q6,'Threshold Summary'!$Y:$Y,'Threshold Summary'!$K:$K,""),'Pokemon Editor'!$A:$A,'Pokemon Editor'!$C:$C,""),mtype=XLOOKUP(XLOOKUP($Q6,'Threshold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Chart'!$B$1:$S$1,0)))),base,IF(OR(cat="Status",pow=0),0,FLOOR(FLOOR(FLOOR((2*XLOOKUP($Q6,'Threshold Summary'!$Y:$Y,'Threshold Summary'!$L:$L,"")/5+2)*pow*atk/def)/50)+2)),modifier,stab*eff,AVERAGE(ARRAYFORMULA(FLOOR(base*modifier*SEQUENCE(16,1,85,1)/100)))*MIN(1,acc/100)),0)</f>
        <v/>
      </c>
      <c r="N6" s="4">
        <f>IFERROR(LET(mtype,XLOOKUP($D6,'Move Editor'!$B:$B,'Move Editor'!$C:$C,""),cat,XLOOKUP($D6,'Move Editor'!$B:$B,'Move Editor'!$D:$D,""),pow,XLOOKUP($D6,'Move Editor'!$B:$B,'Move Editor'!$E:$E,0),acc,XLOOKUP($D6,'Move Editor'!$B:$B,'Move Editor'!$F:$F,100),atk,IF(cat="Physical",FLOOR((FLOOR(((2*XLOOKUP(XLOOKUP($Q6,'Threshold Summary'!$Y:$Y,'Threshold Summary'!$K:$K,""),'Pokemon Editor'!$A:$A,'Pokemon Editor'!$F:$F,0)+31+FLOOR(XLOOKUP($Q6,'Threshold Summary'!$Y:$Y,'Threshold Summary'!$P:$P,"")/4))*XLOOKUP($Q6,'Threshold Summary'!$Y:$Y,'Threshold Summary'!$L:$L,""))/100)+5)*XLOOKUP(XLOOKUP($Q6,'Threshold Summary'!$Y:$Y,'Threshold Summary'!$M:$M,""),'Nature Editor'!$A:$A,'Nature Editor'!$B:$B,1)),FLOOR((FLOOR(((2*XLOOKUP(XLOOKUP($Q6,'Threshold Summary'!$Y:$Y,'Threshold Summary'!$K:$K,""),'Pokemon Editor'!$A:$A,'Pokemon Editor'!$H:$H,0)+31+FLOOR(XLOOKUP($Q6,'Threshold Summary'!$Y:$Y,'Threshold Summary'!$R:$R,"")/4))*XLOOKUP($Q6,'Threshold Summary'!$Y:$Y,'Threshold Summary'!$L:$L,""))/100)+5)*XLOOKUP(XLOOKUP($Q6,'Threshold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Editor'!$E:$E,1))),stab,IF(OR(mtype=XLOOKUP(XLOOKUP($Q6,'Threshold Summary'!$Y:$Y,'Threshold Summary'!$K:$K,""),'Pokemon Editor'!$A:$A,'Pokemon Editor'!$C:$C,""),mtype=XLOOKUP(XLOOKUP($Q6,'Threshold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Chart'!$B$1:$S$1,0)))),base,IF(OR(cat="Status",pow=0),0,FLOOR(FLOOR(FLOOR((2*XLOOKUP($Q6,'Threshold Summary'!$Y:$Y,'Threshold Summary'!$L:$L,"")/5+2)*pow*atk/def)/50)+2)),modifier,stab*eff,AVERAGE(ARRAYFORMULA(FLOOR(base*modifier*SEQUENCE(16,1,85,1)/100)))/(FLOOR(((2*XLOOKUP('Boss Editor'!$C$4,'Pokemon Editor'!$A:$A,'Pokemon Editor'!$E:$E,0)+31+FLOOR('Boss Editor'!$G$4/4))*'Boss Editor'!$D$4)/100)+'Boss Editor'!$D$4+10)),0)</f>
        <v/>
      </c>
      <c r="O6" s="3">
        <f>IF(N6&gt;=1,"OHKO",IF(N6&gt;=0.5,"2HKO",IF(N6&gt;=0.333,"3HKO",IF(N6&gt;=0.25,"4HKO","5HKO+"))))</f>
        <v/>
      </c>
      <c r="P6" s="3" t="inlineStr">
        <is>
          <t>Live from editable databases</t>
        </is>
      </c>
      <c r="Q6" s="3" t="inlineStr">
        <is>
          <t>SPECIES_PARAS</t>
        </is>
      </c>
      <c r="R6" s="3" t="n">
        <v>5</v>
      </c>
    </row>
    <row r="7">
      <c r="A7" s="3">
        <f>XLOOKUP($Q7,'Threshold Summary'!$Y:$Y,'Threshold Summary'!$A:$A,"")</f>
        <v/>
      </c>
      <c r="B7" s="3">
        <f>XLOOKUP($Q7,'Threshold Summary'!$Y:$Y,'Threshold Summary'!$M:$M,"")</f>
        <v/>
      </c>
      <c r="C7" s="3">
        <f>XLOOKUP($Q7,'Threshold Summary'!$Y:$Y,'Threshold Summary'!$N:$N,"")</f>
        <v/>
      </c>
      <c r="D7" s="3">
        <f>IFERROR(INDEX(FILTER('Learnset Editor'!$D$2:$D,'Learnset Editor'!$A$2:$A=XLOOKUP($Q7,'Threshold Summary'!$Y:$Y,'Threshold Summary'!$K:$K,""),'Learnset Editor'!$C$2:$C&lt;=XLOOKUP($Q7,'Threshold Summary'!$Y:$Y,'Threshold Summary'!$L:$L,"")),$R7),"")</f>
        <v/>
      </c>
      <c r="E7" s="3">
        <f>XLOOKUP(D7,'Move Editor'!$B:$B,'Move Editor'!$C:$C,"")</f>
        <v/>
      </c>
      <c r="F7" s="3">
        <f>XLOOKUP(D7,'Move Editor'!$B:$B,'Move Editor'!$D:$D,"")</f>
        <v/>
      </c>
      <c r="G7" s="3">
        <f>XLOOKUP(D7,'Move Editor'!$B:$B,'Move Editor'!$E:$E,0)</f>
        <v/>
      </c>
      <c r="H7" s="3">
        <f>XLOOKUP(D7,'Move Editor'!$B:$B,'Move Editor'!$F:$F,0)</f>
        <v/>
      </c>
      <c r="I7" s="3">
        <f>(INDEX('Type Chart'!$B:$S,MATCH(E7,'Type Chart'!$A:$A,0),MATCH(XLOOKUP('Boss Editor'!$C$4,'Pokemon Editor'!$A:$A,'Pokemon Editor'!$C:$C,""),'Type Chart'!$B$1:$S$1,0))*IF(XLOOKUP('Boss Editor'!$C$4,'Pokemon Editor'!$A:$A,'Pokemon Editor'!$D:$D,"")="",1,INDEX('Type Chart'!$B:$S,MATCH(E7,'Type Chart'!$A:$A,0),MATCH(XLOOKUP('Boss Editor'!$C$4,'Pokemon Editor'!$A:$A,'Pokemon Editor'!$D:$D,""),'Type Chart'!$B$1:$S$1,0))))</f>
        <v/>
      </c>
      <c r="J7" s="3">
        <f>IFERROR(LET(mtype,XLOOKUP($D7,'Move Editor'!$B:$B,'Move Editor'!$C:$C,""),cat,XLOOKUP($D7,'Move Editor'!$B:$B,'Move Editor'!$D:$D,""),pow,XLOOKUP($D7,'Move Editor'!$B:$B,'Move Editor'!$E:$E,0),acc,XLOOKUP($D7,'Move Editor'!$B:$B,'Move Editor'!$F:$F,100),atk,IF(cat="Physical",FLOOR((FLOOR(((2*XLOOKUP(XLOOKUP($Q7,'Threshold Summary'!$Y:$Y,'Threshold Summary'!$K:$K,""),'Pokemon Editor'!$A:$A,'Pokemon Editor'!$F:$F,0)+31+FLOOR(XLOOKUP($Q7,'Threshold Summary'!$Y:$Y,'Threshold Summary'!$P:$P,"")/4))*XLOOKUP($Q7,'Threshold Summary'!$Y:$Y,'Threshold Summary'!$L:$L,""))/100)+5)*XLOOKUP(XLOOKUP($Q7,'Threshold Summary'!$Y:$Y,'Threshold Summary'!$M:$M,""),'Nature Editor'!$A:$A,'Nature Editor'!$B:$B,1)),FLOOR((FLOOR(((2*XLOOKUP(XLOOKUP($Q7,'Threshold Summary'!$Y:$Y,'Threshold Summary'!$K:$K,""),'Pokemon Editor'!$A:$A,'Pokemon Editor'!$H:$H,0)+31+FLOOR(XLOOKUP($Q7,'Threshold Summary'!$Y:$Y,'Threshold Summary'!$R:$R,"")/4))*XLOOKUP($Q7,'Threshold Summary'!$Y:$Y,'Threshold Summary'!$L:$L,""))/100)+5)*XLOOKUP(XLOOKUP($Q7,'Threshold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Editor'!$E:$E,1))),stab,IF(OR(mtype=XLOOKUP(XLOOKUP($Q7,'Threshold Summary'!$Y:$Y,'Threshold Summary'!$K:$K,""),'Pokemon Editor'!$A:$A,'Pokemon Editor'!$C:$C,""),mtype=XLOOKUP(XLOOKUP($Q7,'Threshold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Chart'!$B$1:$S$1,0)))),base,IF(OR(cat="Status",pow=0),0,FLOOR(FLOOR(FLOOR((2*XLOOKUP($Q7,'Threshold Summary'!$Y:$Y,'Threshold Summary'!$L:$L,"")/5+2)*pow*atk/def)/50)+2)),modifier,stab*eff,FLOOR(base*modifier*0.85)),0)</f>
        <v/>
      </c>
      <c r="K7" s="3">
        <f>IFERROR(LET(mtype,XLOOKUP($D7,'Move Editor'!$B:$B,'Move Editor'!$C:$C,""),cat,XLOOKUP($D7,'Move Editor'!$B:$B,'Move Editor'!$D:$D,""),pow,XLOOKUP($D7,'Move Editor'!$B:$B,'Move Editor'!$E:$E,0),acc,XLOOKUP($D7,'Move Editor'!$B:$B,'Move Editor'!$F:$F,100),atk,IF(cat="Physical",FLOOR((FLOOR(((2*XLOOKUP(XLOOKUP($Q7,'Threshold Summary'!$Y:$Y,'Threshold Summary'!$K:$K,""),'Pokemon Editor'!$A:$A,'Pokemon Editor'!$F:$F,0)+31+FLOOR(XLOOKUP($Q7,'Threshold Summary'!$Y:$Y,'Threshold Summary'!$P:$P,"")/4))*XLOOKUP($Q7,'Threshold Summary'!$Y:$Y,'Threshold Summary'!$L:$L,""))/100)+5)*XLOOKUP(XLOOKUP($Q7,'Threshold Summary'!$Y:$Y,'Threshold Summary'!$M:$M,""),'Nature Editor'!$A:$A,'Nature Editor'!$B:$B,1)),FLOOR((FLOOR(((2*XLOOKUP(XLOOKUP($Q7,'Threshold Summary'!$Y:$Y,'Threshold Summary'!$K:$K,""),'Pokemon Editor'!$A:$A,'Pokemon Editor'!$H:$H,0)+31+FLOOR(XLOOKUP($Q7,'Threshold Summary'!$Y:$Y,'Threshold Summary'!$R:$R,"")/4))*XLOOKUP($Q7,'Threshold Summary'!$Y:$Y,'Threshold Summary'!$L:$L,""))/100)+5)*XLOOKUP(XLOOKUP($Q7,'Threshold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Editor'!$E:$E,1))),stab,IF(OR(mtype=XLOOKUP(XLOOKUP($Q7,'Threshold Summary'!$Y:$Y,'Threshold Summary'!$K:$K,""),'Pokemon Editor'!$A:$A,'Pokemon Editor'!$C:$C,""),mtype=XLOOKUP(XLOOKUP($Q7,'Threshold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Chart'!$B$1:$S$1,0)))),base,IF(OR(cat="Status",pow=0),0,FLOOR(FLOOR(FLOOR((2*XLOOKUP($Q7,'Threshold Summary'!$Y:$Y,'Threshold Summary'!$L:$L,"")/5+2)*pow*atk/def)/50)+2)),modifier,stab*eff,FLOOR(base*modifier)),0)</f>
        <v/>
      </c>
      <c r="L7" s="3">
        <f>IFERROR(LET(mtype,XLOOKUP($D7,'Move Editor'!$B:$B,'Move Editor'!$C:$C,""),cat,XLOOKUP($D7,'Move Editor'!$B:$B,'Move Editor'!$D:$D,""),pow,XLOOKUP($D7,'Move Editor'!$B:$B,'Move Editor'!$E:$E,0),acc,XLOOKUP($D7,'Move Editor'!$B:$B,'Move Editor'!$F:$F,100),atk,IF(cat="Physical",FLOOR((FLOOR(((2*XLOOKUP(XLOOKUP($Q7,'Threshold Summary'!$Y:$Y,'Threshold Summary'!$K:$K,""),'Pokemon Editor'!$A:$A,'Pokemon Editor'!$F:$F,0)+31+FLOOR(XLOOKUP($Q7,'Threshold Summary'!$Y:$Y,'Threshold Summary'!$P:$P,"")/4))*XLOOKUP($Q7,'Threshold Summary'!$Y:$Y,'Threshold Summary'!$L:$L,""))/100)+5)*XLOOKUP(XLOOKUP($Q7,'Threshold Summary'!$Y:$Y,'Threshold Summary'!$M:$M,""),'Nature Editor'!$A:$A,'Nature Editor'!$B:$B,1)),FLOOR((FLOOR(((2*XLOOKUP(XLOOKUP($Q7,'Threshold Summary'!$Y:$Y,'Threshold Summary'!$K:$K,""),'Pokemon Editor'!$A:$A,'Pokemon Editor'!$H:$H,0)+31+FLOOR(XLOOKUP($Q7,'Threshold Summary'!$Y:$Y,'Threshold Summary'!$R:$R,"")/4))*XLOOKUP($Q7,'Threshold Summary'!$Y:$Y,'Threshold Summary'!$L:$L,""))/100)+5)*XLOOKUP(XLOOKUP($Q7,'Threshold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Editor'!$E:$E,1))),stab,IF(OR(mtype=XLOOKUP(XLOOKUP($Q7,'Threshold Summary'!$Y:$Y,'Threshold Summary'!$K:$K,""),'Pokemon Editor'!$A:$A,'Pokemon Editor'!$C:$C,""),mtype=XLOOKUP(XLOOKUP($Q7,'Threshold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Chart'!$B$1:$S$1,0)))),base,IF(OR(cat="Status",pow=0),0,FLOOR(FLOOR(FLOOR((2*XLOOKUP($Q7,'Threshold Summary'!$Y:$Y,'Threshold Summary'!$L:$L,"")/5+2)*pow*atk/def)/50)+2)),modifier,stab*eff,AVERAGE(ARRAYFORMULA(FLOOR(base*modifier*SEQUENCE(16,1,85,1)/100)))),0)</f>
        <v/>
      </c>
      <c r="M7" s="3">
        <f>IFERROR(LET(mtype,XLOOKUP($D7,'Move Editor'!$B:$B,'Move Editor'!$C:$C,""),cat,XLOOKUP($D7,'Move Editor'!$B:$B,'Move Editor'!$D:$D,""),pow,XLOOKUP($D7,'Move Editor'!$B:$B,'Move Editor'!$E:$E,0),acc,XLOOKUP($D7,'Move Editor'!$B:$B,'Move Editor'!$F:$F,100),atk,IF(cat="Physical",FLOOR((FLOOR(((2*XLOOKUP(XLOOKUP($Q7,'Threshold Summary'!$Y:$Y,'Threshold Summary'!$K:$K,""),'Pokemon Editor'!$A:$A,'Pokemon Editor'!$F:$F,0)+31+FLOOR(XLOOKUP($Q7,'Threshold Summary'!$Y:$Y,'Threshold Summary'!$P:$P,"")/4))*XLOOKUP($Q7,'Threshold Summary'!$Y:$Y,'Threshold Summary'!$L:$L,""))/100)+5)*XLOOKUP(XLOOKUP($Q7,'Threshold Summary'!$Y:$Y,'Threshold Summary'!$M:$M,""),'Nature Editor'!$A:$A,'Nature Editor'!$B:$B,1)),FLOOR((FLOOR(((2*XLOOKUP(XLOOKUP($Q7,'Threshold Summary'!$Y:$Y,'Threshold Summary'!$K:$K,""),'Pokemon Editor'!$A:$A,'Pokemon Editor'!$H:$H,0)+31+FLOOR(XLOOKUP($Q7,'Threshold Summary'!$Y:$Y,'Threshold Summary'!$R:$R,"")/4))*XLOOKUP($Q7,'Threshold Summary'!$Y:$Y,'Threshold Summary'!$L:$L,""))/100)+5)*XLOOKUP(XLOOKUP($Q7,'Threshold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Editor'!$E:$E,1))),stab,IF(OR(mtype=XLOOKUP(XLOOKUP($Q7,'Threshold Summary'!$Y:$Y,'Threshold Summary'!$K:$K,""),'Pokemon Editor'!$A:$A,'Pokemon Editor'!$C:$C,""),mtype=XLOOKUP(XLOOKUP($Q7,'Threshold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Chart'!$B$1:$S$1,0)))),base,IF(OR(cat="Status",pow=0),0,FLOOR(FLOOR(FLOOR((2*XLOOKUP($Q7,'Threshold Summary'!$Y:$Y,'Threshold Summary'!$L:$L,"")/5+2)*pow*atk/def)/50)+2)),modifier,stab*eff,AVERAGE(ARRAYFORMULA(FLOOR(base*modifier*SEQUENCE(16,1,85,1)/100)))*MIN(1,acc/100)),0)</f>
        <v/>
      </c>
      <c r="N7" s="4">
        <f>IFERROR(LET(mtype,XLOOKUP($D7,'Move Editor'!$B:$B,'Move Editor'!$C:$C,""),cat,XLOOKUP($D7,'Move Editor'!$B:$B,'Move Editor'!$D:$D,""),pow,XLOOKUP($D7,'Move Editor'!$B:$B,'Move Editor'!$E:$E,0),acc,XLOOKUP($D7,'Move Editor'!$B:$B,'Move Editor'!$F:$F,100),atk,IF(cat="Physical",FLOOR((FLOOR(((2*XLOOKUP(XLOOKUP($Q7,'Threshold Summary'!$Y:$Y,'Threshold Summary'!$K:$K,""),'Pokemon Editor'!$A:$A,'Pokemon Editor'!$F:$F,0)+31+FLOOR(XLOOKUP($Q7,'Threshold Summary'!$Y:$Y,'Threshold Summary'!$P:$P,"")/4))*XLOOKUP($Q7,'Threshold Summary'!$Y:$Y,'Threshold Summary'!$L:$L,""))/100)+5)*XLOOKUP(XLOOKUP($Q7,'Threshold Summary'!$Y:$Y,'Threshold Summary'!$M:$M,""),'Nature Editor'!$A:$A,'Nature Editor'!$B:$B,1)),FLOOR((FLOOR(((2*XLOOKUP(XLOOKUP($Q7,'Threshold Summary'!$Y:$Y,'Threshold Summary'!$K:$K,""),'Pokemon Editor'!$A:$A,'Pokemon Editor'!$H:$H,0)+31+FLOOR(XLOOKUP($Q7,'Threshold Summary'!$Y:$Y,'Threshold Summary'!$R:$R,"")/4))*XLOOKUP($Q7,'Threshold Summary'!$Y:$Y,'Threshold Summary'!$L:$L,""))/100)+5)*XLOOKUP(XLOOKUP($Q7,'Threshold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Editor'!$E:$E,1))),stab,IF(OR(mtype=XLOOKUP(XLOOKUP($Q7,'Threshold Summary'!$Y:$Y,'Threshold Summary'!$K:$K,""),'Pokemon Editor'!$A:$A,'Pokemon Editor'!$C:$C,""),mtype=XLOOKUP(XLOOKUP($Q7,'Threshold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Chart'!$B$1:$S$1,0)))),base,IF(OR(cat="Status",pow=0),0,FLOOR(FLOOR(FLOOR((2*XLOOKUP($Q7,'Threshold Summary'!$Y:$Y,'Threshold Summary'!$L:$L,"")/5+2)*pow*atk/def)/50)+2)),modifier,stab*eff,AVERAGE(ARRAYFORMULA(FLOOR(base*modifier*SEQUENCE(16,1,85,1)/100)))/(FLOOR(((2*XLOOKUP('Boss Editor'!$C$4,'Pokemon Editor'!$A:$A,'Pokemon Editor'!$E:$E,0)+31+FLOOR('Boss Editor'!$G$4/4))*'Boss Editor'!$D$4)/100)+'Boss Editor'!$D$4+10)),0)</f>
        <v/>
      </c>
      <c r="O7" s="3">
        <f>IF(N7&gt;=1,"OHKO",IF(N7&gt;=0.5,"2HKO",IF(N7&gt;=0.333,"3HKO",IF(N7&gt;=0.25,"4HKO","5HKO+"))))</f>
        <v/>
      </c>
      <c r="P7" s="3" t="inlineStr">
        <is>
          <t>Live from editable databases</t>
        </is>
      </c>
      <c r="Q7" s="3" t="inlineStr">
        <is>
          <t>SPECIES_PARAS</t>
        </is>
      </c>
      <c r="R7" s="3" t="n">
        <v>6</v>
      </c>
    </row>
    <row r="8">
      <c r="A8" s="3">
        <f>XLOOKUP($Q8,'Threshold Summary'!$Y:$Y,'Threshold Summary'!$A:$A,"")</f>
        <v/>
      </c>
      <c r="B8" s="3">
        <f>XLOOKUP($Q8,'Threshold Summary'!$Y:$Y,'Threshold Summary'!$M:$M,"")</f>
        <v/>
      </c>
      <c r="C8" s="3">
        <f>XLOOKUP($Q8,'Threshold Summary'!$Y:$Y,'Threshold Summary'!$N:$N,"")</f>
        <v/>
      </c>
      <c r="D8" s="3">
        <f>IFERROR(INDEX(FILTER('Learnset Editor'!$D$2:$D,'Learnset Editor'!$A$2:$A=XLOOKUP($Q8,'Threshold Summary'!$Y:$Y,'Threshold Summary'!$K:$K,""),'Learnset Editor'!$C$2:$C&lt;=XLOOKUP($Q8,'Threshold Summary'!$Y:$Y,'Threshold Summary'!$L:$L,"")),$R8),"")</f>
        <v/>
      </c>
      <c r="E8" s="3">
        <f>XLOOKUP(D8,'Move Editor'!$B:$B,'Move Editor'!$C:$C,"")</f>
        <v/>
      </c>
      <c r="F8" s="3">
        <f>XLOOKUP(D8,'Move Editor'!$B:$B,'Move Editor'!$D:$D,"")</f>
        <v/>
      </c>
      <c r="G8" s="3">
        <f>XLOOKUP(D8,'Move Editor'!$B:$B,'Move Editor'!$E:$E,0)</f>
        <v/>
      </c>
      <c r="H8" s="3">
        <f>XLOOKUP(D8,'Move Editor'!$B:$B,'Move Editor'!$F:$F,0)</f>
        <v/>
      </c>
      <c r="I8" s="3">
        <f>(INDEX('Type Chart'!$B:$S,MATCH(E8,'Type Chart'!$A:$A,0),MATCH(XLOOKUP('Boss Editor'!$C$4,'Pokemon Editor'!$A:$A,'Pokemon Editor'!$C:$C,""),'Type Chart'!$B$1:$S$1,0))*IF(XLOOKUP('Boss Editor'!$C$4,'Pokemon Editor'!$A:$A,'Pokemon Editor'!$D:$D,"")="",1,INDEX('Type Chart'!$B:$S,MATCH(E8,'Type Chart'!$A:$A,0),MATCH(XLOOKUP('Boss Editor'!$C$4,'Pokemon Editor'!$A:$A,'Pokemon Editor'!$D:$D,""),'Type Chart'!$B$1:$S$1,0))))</f>
        <v/>
      </c>
      <c r="J8" s="3">
        <f>IFERROR(LET(mtype,XLOOKUP($D8,'Move Editor'!$B:$B,'Move Editor'!$C:$C,""),cat,XLOOKUP($D8,'Move Editor'!$B:$B,'Move Editor'!$D:$D,""),pow,XLOOKUP($D8,'Move Editor'!$B:$B,'Move Editor'!$E:$E,0),acc,XLOOKUP($D8,'Move Editor'!$B:$B,'Move Editor'!$F:$F,100),atk,IF(cat="Physical",FLOOR((FLOOR(((2*XLOOKUP(XLOOKUP($Q8,'Threshold Summary'!$Y:$Y,'Threshold Summary'!$K:$K,""),'Pokemon Editor'!$A:$A,'Pokemon Editor'!$F:$F,0)+31+FLOOR(XLOOKUP($Q8,'Threshold Summary'!$Y:$Y,'Threshold Summary'!$P:$P,"")/4))*XLOOKUP($Q8,'Threshold Summary'!$Y:$Y,'Threshold Summary'!$L:$L,""))/100)+5)*XLOOKUP(XLOOKUP($Q8,'Threshold Summary'!$Y:$Y,'Threshold Summary'!$M:$M,""),'Nature Editor'!$A:$A,'Nature Editor'!$B:$B,1)),FLOOR((FLOOR(((2*XLOOKUP(XLOOKUP($Q8,'Threshold Summary'!$Y:$Y,'Threshold Summary'!$K:$K,""),'Pokemon Editor'!$A:$A,'Pokemon Editor'!$H:$H,0)+31+FLOOR(XLOOKUP($Q8,'Threshold Summary'!$Y:$Y,'Threshold Summary'!$R:$R,"")/4))*XLOOKUP($Q8,'Threshold Summary'!$Y:$Y,'Threshold Summary'!$L:$L,""))/100)+5)*XLOOKUP(XLOOKUP($Q8,'Threshold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Editor'!$E:$E,1))),stab,IF(OR(mtype=XLOOKUP(XLOOKUP($Q8,'Threshold Summary'!$Y:$Y,'Threshold Summary'!$K:$K,""),'Pokemon Editor'!$A:$A,'Pokemon Editor'!$C:$C,""),mtype=XLOOKUP(XLOOKUP($Q8,'Threshold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Chart'!$B$1:$S$1,0)))),base,IF(OR(cat="Status",pow=0),0,FLOOR(FLOOR(FLOOR((2*XLOOKUP($Q8,'Threshold Summary'!$Y:$Y,'Threshold Summary'!$L:$L,"")/5+2)*pow*atk/def)/50)+2)),modifier,stab*eff,FLOOR(base*modifier*0.85)),0)</f>
        <v/>
      </c>
      <c r="K8" s="3">
        <f>IFERROR(LET(mtype,XLOOKUP($D8,'Move Editor'!$B:$B,'Move Editor'!$C:$C,""),cat,XLOOKUP($D8,'Move Editor'!$B:$B,'Move Editor'!$D:$D,""),pow,XLOOKUP($D8,'Move Editor'!$B:$B,'Move Editor'!$E:$E,0),acc,XLOOKUP($D8,'Move Editor'!$B:$B,'Move Editor'!$F:$F,100),atk,IF(cat="Physical",FLOOR((FLOOR(((2*XLOOKUP(XLOOKUP($Q8,'Threshold Summary'!$Y:$Y,'Threshold Summary'!$K:$K,""),'Pokemon Editor'!$A:$A,'Pokemon Editor'!$F:$F,0)+31+FLOOR(XLOOKUP($Q8,'Threshold Summary'!$Y:$Y,'Threshold Summary'!$P:$P,"")/4))*XLOOKUP($Q8,'Threshold Summary'!$Y:$Y,'Threshold Summary'!$L:$L,""))/100)+5)*XLOOKUP(XLOOKUP($Q8,'Threshold Summary'!$Y:$Y,'Threshold Summary'!$M:$M,""),'Nature Editor'!$A:$A,'Nature Editor'!$B:$B,1)),FLOOR((FLOOR(((2*XLOOKUP(XLOOKUP($Q8,'Threshold Summary'!$Y:$Y,'Threshold Summary'!$K:$K,""),'Pokemon Editor'!$A:$A,'Pokemon Editor'!$H:$H,0)+31+FLOOR(XLOOKUP($Q8,'Threshold Summary'!$Y:$Y,'Threshold Summary'!$R:$R,"")/4))*XLOOKUP($Q8,'Threshold Summary'!$Y:$Y,'Threshold Summary'!$L:$L,""))/100)+5)*XLOOKUP(XLOOKUP($Q8,'Threshold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Editor'!$E:$E,1))),stab,IF(OR(mtype=XLOOKUP(XLOOKUP($Q8,'Threshold Summary'!$Y:$Y,'Threshold Summary'!$K:$K,""),'Pokemon Editor'!$A:$A,'Pokemon Editor'!$C:$C,""),mtype=XLOOKUP(XLOOKUP($Q8,'Threshold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Chart'!$B$1:$S$1,0)))),base,IF(OR(cat="Status",pow=0),0,FLOOR(FLOOR(FLOOR((2*XLOOKUP($Q8,'Threshold Summary'!$Y:$Y,'Threshold Summary'!$L:$L,"")/5+2)*pow*atk/def)/50)+2)),modifier,stab*eff,FLOOR(base*modifier)),0)</f>
        <v/>
      </c>
      <c r="L8" s="3">
        <f>IFERROR(LET(mtype,XLOOKUP($D8,'Move Editor'!$B:$B,'Move Editor'!$C:$C,""),cat,XLOOKUP($D8,'Move Editor'!$B:$B,'Move Editor'!$D:$D,""),pow,XLOOKUP($D8,'Move Editor'!$B:$B,'Move Editor'!$E:$E,0),acc,XLOOKUP($D8,'Move Editor'!$B:$B,'Move Editor'!$F:$F,100),atk,IF(cat="Physical",FLOOR((FLOOR(((2*XLOOKUP(XLOOKUP($Q8,'Threshold Summary'!$Y:$Y,'Threshold Summary'!$K:$K,""),'Pokemon Editor'!$A:$A,'Pokemon Editor'!$F:$F,0)+31+FLOOR(XLOOKUP($Q8,'Threshold Summary'!$Y:$Y,'Threshold Summary'!$P:$P,"")/4))*XLOOKUP($Q8,'Threshold Summary'!$Y:$Y,'Threshold Summary'!$L:$L,""))/100)+5)*XLOOKUP(XLOOKUP($Q8,'Threshold Summary'!$Y:$Y,'Threshold Summary'!$M:$M,""),'Nature Editor'!$A:$A,'Nature Editor'!$B:$B,1)),FLOOR((FLOOR(((2*XLOOKUP(XLOOKUP($Q8,'Threshold Summary'!$Y:$Y,'Threshold Summary'!$K:$K,""),'Pokemon Editor'!$A:$A,'Pokemon Editor'!$H:$H,0)+31+FLOOR(XLOOKUP($Q8,'Threshold Summary'!$Y:$Y,'Threshold Summary'!$R:$R,"")/4))*XLOOKUP($Q8,'Threshold Summary'!$Y:$Y,'Threshold Summary'!$L:$L,""))/100)+5)*XLOOKUP(XLOOKUP($Q8,'Threshold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Editor'!$E:$E,1))),stab,IF(OR(mtype=XLOOKUP(XLOOKUP($Q8,'Threshold Summary'!$Y:$Y,'Threshold Summary'!$K:$K,""),'Pokemon Editor'!$A:$A,'Pokemon Editor'!$C:$C,""),mtype=XLOOKUP(XLOOKUP($Q8,'Threshold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Chart'!$B$1:$S$1,0)))),base,IF(OR(cat="Status",pow=0),0,FLOOR(FLOOR(FLOOR((2*XLOOKUP($Q8,'Threshold Summary'!$Y:$Y,'Threshold Summary'!$L:$L,"")/5+2)*pow*atk/def)/50)+2)),modifier,stab*eff,AVERAGE(ARRAYFORMULA(FLOOR(base*modifier*SEQUENCE(16,1,85,1)/100)))),0)</f>
        <v/>
      </c>
      <c r="M8" s="3">
        <f>IFERROR(LET(mtype,XLOOKUP($D8,'Move Editor'!$B:$B,'Move Editor'!$C:$C,""),cat,XLOOKUP($D8,'Move Editor'!$B:$B,'Move Editor'!$D:$D,""),pow,XLOOKUP($D8,'Move Editor'!$B:$B,'Move Editor'!$E:$E,0),acc,XLOOKUP($D8,'Move Editor'!$B:$B,'Move Editor'!$F:$F,100),atk,IF(cat="Physical",FLOOR((FLOOR(((2*XLOOKUP(XLOOKUP($Q8,'Threshold Summary'!$Y:$Y,'Threshold Summary'!$K:$K,""),'Pokemon Editor'!$A:$A,'Pokemon Editor'!$F:$F,0)+31+FLOOR(XLOOKUP($Q8,'Threshold Summary'!$Y:$Y,'Threshold Summary'!$P:$P,"")/4))*XLOOKUP($Q8,'Threshold Summary'!$Y:$Y,'Threshold Summary'!$L:$L,""))/100)+5)*XLOOKUP(XLOOKUP($Q8,'Threshold Summary'!$Y:$Y,'Threshold Summary'!$M:$M,""),'Nature Editor'!$A:$A,'Nature Editor'!$B:$B,1)),FLOOR((FLOOR(((2*XLOOKUP(XLOOKUP($Q8,'Threshold Summary'!$Y:$Y,'Threshold Summary'!$K:$K,""),'Pokemon Editor'!$A:$A,'Pokemon Editor'!$H:$H,0)+31+FLOOR(XLOOKUP($Q8,'Threshold Summary'!$Y:$Y,'Threshold Summary'!$R:$R,"")/4))*XLOOKUP($Q8,'Threshold Summary'!$Y:$Y,'Threshold Summary'!$L:$L,""))/100)+5)*XLOOKUP(XLOOKUP($Q8,'Threshold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Editor'!$E:$E,1))),stab,IF(OR(mtype=XLOOKUP(XLOOKUP($Q8,'Threshold Summary'!$Y:$Y,'Threshold Summary'!$K:$K,""),'Pokemon Editor'!$A:$A,'Pokemon Editor'!$C:$C,""),mtype=XLOOKUP(XLOOKUP($Q8,'Threshold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Chart'!$B$1:$S$1,0)))),base,IF(OR(cat="Status",pow=0),0,FLOOR(FLOOR(FLOOR((2*XLOOKUP($Q8,'Threshold Summary'!$Y:$Y,'Threshold Summary'!$L:$L,"")/5+2)*pow*atk/def)/50)+2)),modifier,stab*eff,AVERAGE(ARRAYFORMULA(FLOOR(base*modifier*SEQUENCE(16,1,85,1)/100)))*MIN(1,acc/100)),0)</f>
        <v/>
      </c>
      <c r="N8" s="4">
        <f>IFERROR(LET(mtype,XLOOKUP($D8,'Move Editor'!$B:$B,'Move Editor'!$C:$C,""),cat,XLOOKUP($D8,'Move Editor'!$B:$B,'Move Editor'!$D:$D,""),pow,XLOOKUP($D8,'Move Editor'!$B:$B,'Move Editor'!$E:$E,0),acc,XLOOKUP($D8,'Move Editor'!$B:$B,'Move Editor'!$F:$F,100),atk,IF(cat="Physical",FLOOR((FLOOR(((2*XLOOKUP(XLOOKUP($Q8,'Threshold Summary'!$Y:$Y,'Threshold Summary'!$K:$K,""),'Pokemon Editor'!$A:$A,'Pokemon Editor'!$F:$F,0)+31+FLOOR(XLOOKUP($Q8,'Threshold Summary'!$Y:$Y,'Threshold Summary'!$P:$P,"")/4))*XLOOKUP($Q8,'Threshold Summary'!$Y:$Y,'Threshold Summary'!$L:$L,""))/100)+5)*XLOOKUP(XLOOKUP($Q8,'Threshold Summary'!$Y:$Y,'Threshold Summary'!$M:$M,""),'Nature Editor'!$A:$A,'Nature Editor'!$B:$B,1)),FLOOR((FLOOR(((2*XLOOKUP(XLOOKUP($Q8,'Threshold Summary'!$Y:$Y,'Threshold Summary'!$K:$K,""),'Pokemon Editor'!$A:$A,'Pokemon Editor'!$H:$H,0)+31+FLOOR(XLOOKUP($Q8,'Threshold Summary'!$Y:$Y,'Threshold Summary'!$R:$R,"")/4))*XLOOKUP($Q8,'Threshold Summary'!$Y:$Y,'Threshold Summary'!$L:$L,""))/100)+5)*XLOOKUP(XLOOKUP($Q8,'Threshold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Editor'!$E:$E,1))),stab,IF(OR(mtype=XLOOKUP(XLOOKUP($Q8,'Threshold Summary'!$Y:$Y,'Threshold Summary'!$K:$K,""),'Pokemon Editor'!$A:$A,'Pokemon Editor'!$C:$C,""),mtype=XLOOKUP(XLOOKUP($Q8,'Threshold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Chart'!$B$1:$S$1,0)))),base,IF(OR(cat="Status",pow=0),0,FLOOR(FLOOR(FLOOR((2*XLOOKUP($Q8,'Threshold Summary'!$Y:$Y,'Threshold Summary'!$L:$L,"")/5+2)*pow*atk/def)/50)+2)),modifier,stab*eff,AVERAGE(ARRAYFORMULA(FLOOR(base*modifier*SEQUENCE(16,1,85,1)/100)))/(FLOOR(((2*XLOOKUP('Boss Editor'!$C$4,'Pokemon Editor'!$A:$A,'Pokemon Editor'!$E:$E,0)+31+FLOOR('Boss Editor'!$G$4/4))*'Boss Editor'!$D$4)/100)+'Boss Editor'!$D$4+10)),0)</f>
        <v/>
      </c>
      <c r="O8" s="3">
        <f>IF(N8&gt;=1,"OHKO",IF(N8&gt;=0.5,"2HKO",IF(N8&gt;=0.333,"3HKO",IF(N8&gt;=0.25,"4HKO","5HKO+"))))</f>
        <v/>
      </c>
      <c r="P8" s="3" t="inlineStr">
        <is>
          <t>Live from editable databases</t>
        </is>
      </c>
      <c r="Q8" s="3" t="inlineStr">
        <is>
          <t>SPECIES_PARAS</t>
        </is>
      </c>
      <c r="R8" s="3" t="n">
        <v>7</v>
      </c>
    </row>
    <row r="9">
      <c r="A9" s="3">
        <f>XLOOKUP($Q9,'Threshold Summary'!$Y:$Y,'Threshold Summary'!$A:$A,"")</f>
        <v/>
      </c>
      <c r="B9" s="3">
        <f>XLOOKUP($Q9,'Threshold Summary'!$Y:$Y,'Threshold Summary'!$M:$M,"")</f>
        <v/>
      </c>
      <c r="C9" s="3">
        <f>XLOOKUP($Q9,'Threshold Summary'!$Y:$Y,'Threshold Summary'!$N:$N,"")</f>
        <v/>
      </c>
      <c r="D9" s="3">
        <f>IFERROR(INDEX(FILTER('Learnset Editor'!$D$2:$D,'Learnset Editor'!$A$2:$A=XLOOKUP($Q9,'Threshold Summary'!$Y:$Y,'Threshold Summary'!$K:$K,""),'Learnset Editor'!$C$2:$C&lt;=XLOOKUP($Q9,'Threshold Summary'!$Y:$Y,'Threshold Summary'!$L:$L,"")),$R9),"")</f>
        <v/>
      </c>
      <c r="E9" s="3">
        <f>XLOOKUP(D9,'Move Editor'!$B:$B,'Move Editor'!$C:$C,"")</f>
        <v/>
      </c>
      <c r="F9" s="3">
        <f>XLOOKUP(D9,'Move Editor'!$B:$B,'Move Editor'!$D:$D,"")</f>
        <v/>
      </c>
      <c r="G9" s="3">
        <f>XLOOKUP(D9,'Move Editor'!$B:$B,'Move Editor'!$E:$E,0)</f>
        <v/>
      </c>
      <c r="H9" s="3">
        <f>XLOOKUP(D9,'Move Editor'!$B:$B,'Move Editor'!$F:$F,0)</f>
        <v/>
      </c>
      <c r="I9" s="3">
        <f>(INDEX('Type Chart'!$B:$S,MATCH(E9,'Type Chart'!$A:$A,0),MATCH(XLOOKUP('Boss Editor'!$C$4,'Pokemon Editor'!$A:$A,'Pokemon Editor'!$C:$C,""),'Type Chart'!$B$1:$S$1,0))*IF(XLOOKUP('Boss Editor'!$C$4,'Pokemon Editor'!$A:$A,'Pokemon Editor'!$D:$D,"")="",1,INDEX('Type Chart'!$B:$S,MATCH(E9,'Type Chart'!$A:$A,0),MATCH(XLOOKUP('Boss Editor'!$C$4,'Pokemon Editor'!$A:$A,'Pokemon Editor'!$D:$D,""),'Type Chart'!$B$1:$S$1,0))))</f>
        <v/>
      </c>
      <c r="J9" s="3">
        <f>IFERROR(LET(mtype,XLOOKUP($D9,'Move Editor'!$B:$B,'Move Editor'!$C:$C,""),cat,XLOOKUP($D9,'Move Editor'!$B:$B,'Move Editor'!$D:$D,""),pow,XLOOKUP($D9,'Move Editor'!$B:$B,'Move Editor'!$E:$E,0),acc,XLOOKUP($D9,'Move Editor'!$B:$B,'Move Editor'!$F:$F,100),atk,IF(cat="Physical",FLOOR((FLOOR(((2*XLOOKUP(XLOOKUP($Q9,'Threshold Summary'!$Y:$Y,'Threshold Summary'!$K:$K,""),'Pokemon Editor'!$A:$A,'Pokemon Editor'!$F:$F,0)+31+FLOOR(XLOOKUP($Q9,'Threshold Summary'!$Y:$Y,'Threshold Summary'!$P:$P,"")/4))*XLOOKUP($Q9,'Threshold Summary'!$Y:$Y,'Threshold Summary'!$L:$L,""))/100)+5)*XLOOKUP(XLOOKUP($Q9,'Threshold Summary'!$Y:$Y,'Threshold Summary'!$M:$M,""),'Nature Editor'!$A:$A,'Nature Editor'!$B:$B,1)),FLOOR((FLOOR(((2*XLOOKUP(XLOOKUP($Q9,'Threshold Summary'!$Y:$Y,'Threshold Summary'!$K:$K,""),'Pokemon Editor'!$A:$A,'Pokemon Editor'!$H:$H,0)+31+FLOOR(XLOOKUP($Q9,'Threshold Summary'!$Y:$Y,'Threshold Summary'!$R:$R,"")/4))*XLOOKUP($Q9,'Threshold Summary'!$Y:$Y,'Threshold Summary'!$L:$L,""))/100)+5)*XLOOKUP(XLOOKUP($Q9,'Threshold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Editor'!$E:$E,1))),stab,IF(OR(mtype=XLOOKUP(XLOOKUP($Q9,'Threshold Summary'!$Y:$Y,'Threshold Summary'!$K:$K,""),'Pokemon Editor'!$A:$A,'Pokemon Editor'!$C:$C,""),mtype=XLOOKUP(XLOOKUP($Q9,'Threshold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Chart'!$B$1:$S$1,0)))),base,IF(OR(cat="Status",pow=0),0,FLOOR(FLOOR(FLOOR((2*XLOOKUP($Q9,'Threshold Summary'!$Y:$Y,'Threshold Summary'!$L:$L,"")/5+2)*pow*atk/def)/50)+2)),modifier,stab*eff,FLOOR(base*modifier*0.85)),0)</f>
        <v/>
      </c>
      <c r="K9" s="3">
        <f>IFERROR(LET(mtype,XLOOKUP($D9,'Move Editor'!$B:$B,'Move Editor'!$C:$C,""),cat,XLOOKUP($D9,'Move Editor'!$B:$B,'Move Editor'!$D:$D,""),pow,XLOOKUP($D9,'Move Editor'!$B:$B,'Move Editor'!$E:$E,0),acc,XLOOKUP($D9,'Move Editor'!$B:$B,'Move Editor'!$F:$F,100),atk,IF(cat="Physical",FLOOR((FLOOR(((2*XLOOKUP(XLOOKUP($Q9,'Threshold Summary'!$Y:$Y,'Threshold Summary'!$K:$K,""),'Pokemon Editor'!$A:$A,'Pokemon Editor'!$F:$F,0)+31+FLOOR(XLOOKUP($Q9,'Threshold Summary'!$Y:$Y,'Threshold Summary'!$P:$P,"")/4))*XLOOKUP($Q9,'Threshold Summary'!$Y:$Y,'Threshold Summary'!$L:$L,""))/100)+5)*XLOOKUP(XLOOKUP($Q9,'Threshold Summary'!$Y:$Y,'Threshold Summary'!$M:$M,""),'Nature Editor'!$A:$A,'Nature Editor'!$B:$B,1)),FLOOR((FLOOR(((2*XLOOKUP(XLOOKUP($Q9,'Threshold Summary'!$Y:$Y,'Threshold Summary'!$K:$K,""),'Pokemon Editor'!$A:$A,'Pokemon Editor'!$H:$H,0)+31+FLOOR(XLOOKUP($Q9,'Threshold Summary'!$Y:$Y,'Threshold Summary'!$R:$R,"")/4))*XLOOKUP($Q9,'Threshold Summary'!$Y:$Y,'Threshold Summary'!$L:$L,""))/100)+5)*XLOOKUP(XLOOKUP($Q9,'Threshold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Editor'!$E:$E,1))),stab,IF(OR(mtype=XLOOKUP(XLOOKUP($Q9,'Threshold Summary'!$Y:$Y,'Threshold Summary'!$K:$K,""),'Pokemon Editor'!$A:$A,'Pokemon Editor'!$C:$C,""),mtype=XLOOKUP(XLOOKUP($Q9,'Threshold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Chart'!$B$1:$S$1,0)))),base,IF(OR(cat="Status",pow=0),0,FLOOR(FLOOR(FLOOR((2*XLOOKUP($Q9,'Threshold Summary'!$Y:$Y,'Threshold Summary'!$L:$L,"")/5+2)*pow*atk/def)/50)+2)),modifier,stab*eff,FLOOR(base*modifier)),0)</f>
        <v/>
      </c>
      <c r="L9" s="3">
        <f>IFERROR(LET(mtype,XLOOKUP($D9,'Move Editor'!$B:$B,'Move Editor'!$C:$C,""),cat,XLOOKUP($D9,'Move Editor'!$B:$B,'Move Editor'!$D:$D,""),pow,XLOOKUP($D9,'Move Editor'!$B:$B,'Move Editor'!$E:$E,0),acc,XLOOKUP($D9,'Move Editor'!$B:$B,'Move Editor'!$F:$F,100),atk,IF(cat="Physical",FLOOR((FLOOR(((2*XLOOKUP(XLOOKUP($Q9,'Threshold Summary'!$Y:$Y,'Threshold Summary'!$K:$K,""),'Pokemon Editor'!$A:$A,'Pokemon Editor'!$F:$F,0)+31+FLOOR(XLOOKUP($Q9,'Threshold Summary'!$Y:$Y,'Threshold Summary'!$P:$P,"")/4))*XLOOKUP($Q9,'Threshold Summary'!$Y:$Y,'Threshold Summary'!$L:$L,""))/100)+5)*XLOOKUP(XLOOKUP($Q9,'Threshold Summary'!$Y:$Y,'Threshold Summary'!$M:$M,""),'Nature Editor'!$A:$A,'Nature Editor'!$B:$B,1)),FLOOR((FLOOR(((2*XLOOKUP(XLOOKUP($Q9,'Threshold Summary'!$Y:$Y,'Threshold Summary'!$K:$K,""),'Pokemon Editor'!$A:$A,'Pokemon Editor'!$H:$H,0)+31+FLOOR(XLOOKUP($Q9,'Threshold Summary'!$Y:$Y,'Threshold Summary'!$R:$R,"")/4))*XLOOKUP($Q9,'Threshold Summary'!$Y:$Y,'Threshold Summary'!$L:$L,""))/100)+5)*XLOOKUP(XLOOKUP($Q9,'Threshold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Editor'!$E:$E,1))),stab,IF(OR(mtype=XLOOKUP(XLOOKUP($Q9,'Threshold Summary'!$Y:$Y,'Threshold Summary'!$K:$K,""),'Pokemon Editor'!$A:$A,'Pokemon Editor'!$C:$C,""),mtype=XLOOKUP(XLOOKUP($Q9,'Threshold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Chart'!$B$1:$S$1,0)))),base,IF(OR(cat="Status",pow=0),0,FLOOR(FLOOR(FLOOR((2*XLOOKUP($Q9,'Threshold Summary'!$Y:$Y,'Threshold Summary'!$L:$L,"")/5+2)*pow*atk/def)/50)+2)),modifier,stab*eff,AVERAGE(ARRAYFORMULA(FLOOR(base*modifier*SEQUENCE(16,1,85,1)/100)))),0)</f>
        <v/>
      </c>
      <c r="M9" s="3">
        <f>IFERROR(LET(mtype,XLOOKUP($D9,'Move Editor'!$B:$B,'Move Editor'!$C:$C,""),cat,XLOOKUP($D9,'Move Editor'!$B:$B,'Move Editor'!$D:$D,""),pow,XLOOKUP($D9,'Move Editor'!$B:$B,'Move Editor'!$E:$E,0),acc,XLOOKUP($D9,'Move Editor'!$B:$B,'Move Editor'!$F:$F,100),atk,IF(cat="Physical",FLOOR((FLOOR(((2*XLOOKUP(XLOOKUP($Q9,'Threshold Summary'!$Y:$Y,'Threshold Summary'!$K:$K,""),'Pokemon Editor'!$A:$A,'Pokemon Editor'!$F:$F,0)+31+FLOOR(XLOOKUP($Q9,'Threshold Summary'!$Y:$Y,'Threshold Summary'!$P:$P,"")/4))*XLOOKUP($Q9,'Threshold Summary'!$Y:$Y,'Threshold Summary'!$L:$L,""))/100)+5)*XLOOKUP(XLOOKUP($Q9,'Threshold Summary'!$Y:$Y,'Threshold Summary'!$M:$M,""),'Nature Editor'!$A:$A,'Nature Editor'!$B:$B,1)),FLOOR((FLOOR(((2*XLOOKUP(XLOOKUP($Q9,'Threshold Summary'!$Y:$Y,'Threshold Summary'!$K:$K,""),'Pokemon Editor'!$A:$A,'Pokemon Editor'!$H:$H,0)+31+FLOOR(XLOOKUP($Q9,'Threshold Summary'!$Y:$Y,'Threshold Summary'!$R:$R,"")/4))*XLOOKUP($Q9,'Threshold Summary'!$Y:$Y,'Threshold Summary'!$L:$L,""))/100)+5)*XLOOKUP(XLOOKUP($Q9,'Threshold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Editor'!$E:$E,1))),stab,IF(OR(mtype=XLOOKUP(XLOOKUP($Q9,'Threshold Summary'!$Y:$Y,'Threshold Summary'!$K:$K,""),'Pokemon Editor'!$A:$A,'Pokemon Editor'!$C:$C,""),mtype=XLOOKUP(XLOOKUP($Q9,'Threshold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Chart'!$B$1:$S$1,0)))),base,IF(OR(cat="Status",pow=0),0,FLOOR(FLOOR(FLOOR((2*XLOOKUP($Q9,'Threshold Summary'!$Y:$Y,'Threshold Summary'!$L:$L,"")/5+2)*pow*atk/def)/50)+2)),modifier,stab*eff,AVERAGE(ARRAYFORMULA(FLOOR(base*modifier*SEQUENCE(16,1,85,1)/100)))*MIN(1,acc/100)),0)</f>
        <v/>
      </c>
      <c r="N9" s="4">
        <f>IFERROR(LET(mtype,XLOOKUP($D9,'Move Editor'!$B:$B,'Move Editor'!$C:$C,""),cat,XLOOKUP($D9,'Move Editor'!$B:$B,'Move Editor'!$D:$D,""),pow,XLOOKUP($D9,'Move Editor'!$B:$B,'Move Editor'!$E:$E,0),acc,XLOOKUP($D9,'Move Editor'!$B:$B,'Move Editor'!$F:$F,100),atk,IF(cat="Physical",FLOOR((FLOOR(((2*XLOOKUP(XLOOKUP($Q9,'Threshold Summary'!$Y:$Y,'Threshold Summary'!$K:$K,""),'Pokemon Editor'!$A:$A,'Pokemon Editor'!$F:$F,0)+31+FLOOR(XLOOKUP($Q9,'Threshold Summary'!$Y:$Y,'Threshold Summary'!$P:$P,"")/4))*XLOOKUP($Q9,'Threshold Summary'!$Y:$Y,'Threshold Summary'!$L:$L,""))/100)+5)*XLOOKUP(XLOOKUP($Q9,'Threshold Summary'!$Y:$Y,'Threshold Summary'!$M:$M,""),'Nature Editor'!$A:$A,'Nature Editor'!$B:$B,1)),FLOOR((FLOOR(((2*XLOOKUP(XLOOKUP($Q9,'Threshold Summary'!$Y:$Y,'Threshold Summary'!$K:$K,""),'Pokemon Editor'!$A:$A,'Pokemon Editor'!$H:$H,0)+31+FLOOR(XLOOKUP($Q9,'Threshold Summary'!$Y:$Y,'Threshold Summary'!$R:$R,"")/4))*XLOOKUP($Q9,'Threshold Summary'!$Y:$Y,'Threshold Summary'!$L:$L,""))/100)+5)*XLOOKUP(XLOOKUP($Q9,'Threshold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Editor'!$E:$E,1))),stab,IF(OR(mtype=XLOOKUP(XLOOKUP($Q9,'Threshold Summary'!$Y:$Y,'Threshold Summary'!$K:$K,""),'Pokemon Editor'!$A:$A,'Pokemon Editor'!$C:$C,""),mtype=XLOOKUP(XLOOKUP($Q9,'Threshold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Chart'!$B$1:$S$1,0)))),base,IF(OR(cat="Status",pow=0),0,FLOOR(FLOOR(FLOOR((2*XLOOKUP($Q9,'Threshold Summary'!$Y:$Y,'Threshold Summary'!$L:$L,"")/5+2)*pow*atk/def)/50)+2)),modifier,stab*eff,AVERAGE(ARRAYFORMULA(FLOOR(base*modifier*SEQUENCE(16,1,85,1)/100)))/(FLOOR(((2*XLOOKUP('Boss Editor'!$C$4,'Pokemon Editor'!$A:$A,'Pokemon Editor'!$E:$E,0)+31+FLOOR('Boss Editor'!$G$4/4))*'Boss Editor'!$D$4)/100)+'Boss Editor'!$D$4+10)),0)</f>
        <v/>
      </c>
      <c r="O9" s="3">
        <f>IF(N9&gt;=1,"OHKO",IF(N9&gt;=0.5,"2HKO",IF(N9&gt;=0.333,"3HKO",IF(N9&gt;=0.25,"4HKO","5HKO+"))))</f>
        <v/>
      </c>
      <c r="P9" s="3" t="inlineStr">
        <is>
          <t>Live from editable databases</t>
        </is>
      </c>
      <c r="Q9" s="3" t="inlineStr">
        <is>
          <t>SPECIES_PARAS</t>
        </is>
      </c>
      <c r="R9" s="3" t="n">
        <v>8</v>
      </c>
    </row>
    <row r="10">
      <c r="A10" s="3">
        <f>XLOOKUP($Q10,'Threshold Summary'!$Y:$Y,'Threshold Summary'!$A:$A,"")</f>
        <v/>
      </c>
      <c r="B10" s="3">
        <f>XLOOKUP($Q10,'Threshold Summary'!$Y:$Y,'Threshold Summary'!$M:$M,"")</f>
        <v/>
      </c>
      <c r="C10" s="3">
        <f>XLOOKUP($Q10,'Threshold Summary'!$Y:$Y,'Threshold Summary'!$N:$N,"")</f>
        <v/>
      </c>
      <c r="D10" s="3">
        <f>IFERROR(INDEX(FILTER('Learnset Editor'!$D$2:$D,'Learnset Editor'!$A$2:$A=XLOOKUP($Q10,'Threshold Summary'!$Y:$Y,'Threshold Summary'!$K:$K,""),'Learnset Editor'!$C$2:$C&lt;=XLOOKUP($Q10,'Threshold Summary'!$Y:$Y,'Threshold Summary'!$L:$L,"")),$R10),"")</f>
        <v/>
      </c>
      <c r="E10" s="3">
        <f>XLOOKUP(D10,'Move Editor'!$B:$B,'Move Editor'!$C:$C,"")</f>
        <v/>
      </c>
      <c r="F10" s="3">
        <f>XLOOKUP(D10,'Move Editor'!$B:$B,'Move Editor'!$D:$D,"")</f>
        <v/>
      </c>
      <c r="G10" s="3">
        <f>XLOOKUP(D10,'Move Editor'!$B:$B,'Move Editor'!$E:$E,0)</f>
        <v/>
      </c>
      <c r="H10" s="3">
        <f>XLOOKUP(D10,'Move Editor'!$B:$B,'Move Editor'!$F:$F,0)</f>
        <v/>
      </c>
      <c r="I10" s="3">
        <f>(INDEX('Type Chart'!$B:$S,MATCH(E10,'Type Chart'!$A:$A,0),MATCH(XLOOKUP('Boss Editor'!$C$4,'Pokemon Editor'!$A:$A,'Pokemon Editor'!$C:$C,""),'Type Chart'!$B$1:$S$1,0))*IF(XLOOKUP('Boss Editor'!$C$4,'Pokemon Editor'!$A:$A,'Pokemon Editor'!$D:$D,"")="",1,INDEX('Type Chart'!$B:$S,MATCH(E10,'Type Chart'!$A:$A,0),MATCH(XLOOKUP('Boss Editor'!$C$4,'Pokemon Editor'!$A:$A,'Pokemon Editor'!$D:$D,""),'Type Chart'!$B$1:$S$1,0))))</f>
        <v/>
      </c>
      <c r="J10" s="3">
        <f>IFERROR(LET(mtype,XLOOKUP($D10,'Move Editor'!$B:$B,'Move Editor'!$C:$C,""),cat,XLOOKUP($D10,'Move Editor'!$B:$B,'Move Editor'!$D:$D,""),pow,XLOOKUP($D10,'Move Editor'!$B:$B,'Move Editor'!$E:$E,0),acc,XLOOKUP($D10,'Move Editor'!$B:$B,'Move Editor'!$F:$F,100),atk,IF(cat="Physical",FLOOR((FLOOR(((2*XLOOKUP(XLOOKUP($Q10,'Threshold Summary'!$Y:$Y,'Threshold Summary'!$K:$K,""),'Pokemon Editor'!$A:$A,'Pokemon Editor'!$F:$F,0)+31+FLOOR(XLOOKUP($Q10,'Threshold Summary'!$Y:$Y,'Threshold Summary'!$P:$P,"")/4))*XLOOKUP($Q10,'Threshold Summary'!$Y:$Y,'Threshold Summary'!$L:$L,""))/100)+5)*XLOOKUP(XLOOKUP($Q10,'Threshold Summary'!$Y:$Y,'Threshold Summary'!$M:$M,""),'Nature Editor'!$A:$A,'Nature Editor'!$B:$B,1)),FLOOR((FLOOR(((2*XLOOKUP(XLOOKUP($Q10,'Threshold Summary'!$Y:$Y,'Threshold Summary'!$K:$K,""),'Pokemon Editor'!$A:$A,'Pokemon Editor'!$H:$H,0)+31+FLOOR(XLOOKUP($Q10,'Threshold Summary'!$Y:$Y,'Threshold Summary'!$R:$R,"")/4))*XLOOKUP($Q10,'Threshold Summary'!$Y:$Y,'Threshold Summary'!$L:$L,""))/100)+5)*XLOOKUP(XLOOKUP($Q10,'Threshold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Editor'!$E:$E,1))),stab,IF(OR(mtype=XLOOKUP(XLOOKUP($Q10,'Threshold Summary'!$Y:$Y,'Threshold Summary'!$K:$K,""),'Pokemon Editor'!$A:$A,'Pokemon Editor'!$C:$C,""),mtype=XLOOKUP(XLOOKUP($Q10,'Threshold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Chart'!$B$1:$S$1,0)))),base,IF(OR(cat="Status",pow=0),0,FLOOR(FLOOR(FLOOR((2*XLOOKUP($Q10,'Threshold Summary'!$Y:$Y,'Threshold Summary'!$L:$L,"")/5+2)*pow*atk/def)/50)+2)),modifier,stab*eff,FLOOR(base*modifier*0.85)),0)</f>
        <v/>
      </c>
      <c r="K10" s="3">
        <f>IFERROR(LET(mtype,XLOOKUP($D10,'Move Editor'!$B:$B,'Move Editor'!$C:$C,""),cat,XLOOKUP($D10,'Move Editor'!$B:$B,'Move Editor'!$D:$D,""),pow,XLOOKUP($D10,'Move Editor'!$B:$B,'Move Editor'!$E:$E,0),acc,XLOOKUP($D10,'Move Editor'!$B:$B,'Move Editor'!$F:$F,100),atk,IF(cat="Physical",FLOOR((FLOOR(((2*XLOOKUP(XLOOKUP($Q10,'Threshold Summary'!$Y:$Y,'Threshold Summary'!$K:$K,""),'Pokemon Editor'!$A:$A,'Pokemon Editor'!$F:$F,0)+31+FLOOR(XLOOKUP($Q10,'Threshold Summary'!$Y:$Y,'Threshold Summary'!$P:$P,"")/4))*XLOOKUP($Q10,'Threshold Summary'!$Y:$Y,'Threshold Summary'!$L:$L,""))/100)+5)*XLOOKUP(XLOOKUP($Q10,'Threshold Summary'!$Y:$Y,'Threshold Summary'!$M:$M,""),'Nature Editor'!$A:$A,'Nature Editor'!$B:$B,1)),FLOOR((FLOOR(((2*XLOOKUP(XLOOKUP($Q10,'Threshold Summary'!$Y:$Y,'Threshold Summary'!$K:$K,""),'Pokemon Editor'!$A:$A,'Pokemon Editor'!$H:$H,0)+31+FLOOR(XLOOKUP($Q10,'Threshold Summary'!$Y:$Y,'Threshold Summary'!$R:$R,"")/4))*XLOOKUP($Q10,'Threshold Summary'!$Y:$Y,'Threshold Summary'!$L:$L,""))/100)+5)*XLOOKUP(XLOOKUP($Q10,'Threshold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Editor'!$E:$E,1))),stab,IF(OR(mtype=XLOOKUP(XLOOKUP($Q10,'Threshold Summary'!$Y:$Y,'Threshold Summary'!$K:$K,""),'Pokemon Editor'!$A:$A,'Pokemon Editor'!$C:$C,""),mtype=XLOOKUP(XLOOKUP($Q10,'Threshold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Chart'!$B$1:$S$1,0)))),base,IF(OR(cat="Status",pow=0),0,FLOOR(FLOOR(FLOOR((2*XLOOKUP($Q10,'Threshold Summary'!$Y:$Y,'Threshold Summary'!$L:$L,"")/5+2)*pow*atk/def)/50)+2)),modifier,stab*eff,FLOOR(base*modifier)),0)</f>
        <v/>
      </c>
      <c r="L10" s="3">
        <f>IFERROR(LET(mtype,XLOOKUP($D10,'Move Editor'!$B:$B,'Move Editor'!$C:$C,""),cat,XLOOKUP($D10,'Move Editor'!$B:$B,'Move Editor'!$D:$D,""),pow,XLOOKUP($D10,'Move Editor'!$B:$B,'Move Editor'!$E:$E,0),acc,XLOOKUP($D10,'Move Editor'!$B:$B,'Move Editor'!$F:$F,100),atk,IF(cat="Physical",FLOOR((FLOOR(((2*XLOOKUP(XLOOKUP($Q10,'Threshold Summary'!$Y:$Y,'Threshold Summary'!$K:$K,""),'Pokemon Editor'!$A:$A,'Pokemon Editor'!$F:$F,0)+31+FLOOR(XLOOKUP($Q10,'Threshold Summary'!$Y:$Y,'Threshold Summary'!$P:$P,"")/4))*XLOOKUP($Q10,'Threshold Summary'!$Y:$Y,'Threshold Summary'!$L:$L,""))/100)+5)*XLOOKUP(XLOOKUP($Q10,'Threshold Summary'!$Y:$Y,'Threshold Summary'!$M:$M,""),'Nature Editor'!$A:$A,'Nature Editor'!$B:$B,1)),FLOOR((FLOOR(((2*XLOOKUP(XLOOKUP($Q10,'Threshold Summary'!$Y:$Y,'Threshold Summary'!$K:$K,""),'Pokemon Editor'!$A:$A,'Pokemon Editor'!$H:$H,0)+31+FLOOR(XLOOKUP($Q10,'Threshold Summary'!$Y:$Y,'Threshold Summary'!$R:$R,"")/4))*XLOOKUP($Q10,'Threshold Summary'!$Y:$Y,'Threshold Summary'!$L:$L,""))/100)+5)*XLOOKUP(XLOOKUP($Q10,'Threshold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Editor'!$E:$E,1))),stab,IF(OR(mtype=XLOOKUP(XLOOKUP($Q10,'Threshold Summary'!$Y:$Y,'Threshold Summary'!$K:$K,""),'Pokemon Editor'!$A:$A,'Pokemon Editor'!$C:$C,""),mtype=XLOOKUP(XLOOKUP($Q10,'Threshold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Chart'!$B$1:$S$1,0)))),base,IF(OR(cat="Status",pow=0),0,FLOOR(FLOOR(FLOOR((2*XLOOKUP($Q10,'Threshold Summary'!$Y:$Y,'Threshold Summary'!$L:$L,"")/5+2)*pow*atk/def)/50)+2)),modifier,stab*eff,AVERAGE(ARRAYFORMULA(FLOOR(base*modifier*SEQUENCE(16,1,85,1)/100)))),0)</f>
        <v/>
      </c>
      <c r="M10" s="3">
        <f>IFERROR(LET(mtype,XLOOKUP($D10,'Move Editor'!$B:$B,'Move Editor'!$C:$C,""),cat,XLOOKUP($D10,'Move Editor'!$B:$B,'Move Editor'!$D:$D,""),pow,XLOOKUP($D10,'Move Editor'!$B:$B,'Move Editor'!$E:$E,0),acc,XLOOKUP($D10,'Move Editor'!$B:$B,'Move Editor'!$F:$F,100),atk,IF(cat="Physical",FLOOR((FLOOR(((2*XLOOKUP(XLOOKUP($Q10,'Threshold Summary'!$Y:$Y,'Threshold Summary'!$K:$K,""),'Pokemon Editor'!$A:$A,'Pokemon Editor'!$F:$F,0)+31+FLOOR(XLOOKUP($Q10,'Threshold Summary'!$Y:$Y,'Threshold Summary'!$P:$P,"")/4))*XLOOKUP($Q10,'Threshold Summary'!$Y:$Y,'Threshold Summary'!$L:$L,""))/100)+5)*XLOOKUP(XLOOKUP($Q10,'Threshold Summary'!$Y:$Y,'Threshold Summary'!$M:$M,""),'Nature Editor'!$A:$A,'Nature Editor'!$B:$B,1)),FLOOR((FLOOR(((2*XLOOKUP(XLOOKUP($Q10,'Threshold Summary'!$Y:$Y,'Threshold Summary'!$K:$K,""),'Pokemon Editor'!$A:$A,'Pokemon Editor'!$H:$H,0)+31+FLOOR(XLOOKUP($Q10,'Threshold Summary'!$Y:$Y,'Threshold Summary'!$R:$R,"")/4))*XLOOKUP($Q10,'Threshold Summary'!$Y:$Y,'Threshold Summary'!$L:$L,""))/100)+5)*XLOOKUP(XLOOKUP($Q10,'Threshold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Editor'!$E:$E,1))),stab,IF(OR(mtype=XLOOKUP(XLOOKUP($Q10,'Threshold Summary'!$Y:$Y,'Threshold Summary'!$K:$K,""),'Pokemon Editor'!$A:$A,'Pokemon Editor'!$C:$C,""),mtype=XLOOKUP(XLOOKUP($Q10,'Threshold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Chart'!$B$1:$S$1,0)))),base,IF(OR(cat="Status",pow=0),0,FLOOR(FLOOR(FLOOR((2*XLOOKUP($Q10,'Threshold Summary'!$Y:$Y,'Threshold Summary'!$L:$L,"")/5+2)*pow*atk/def)/50)+2)),modifier,stab*eff,AVERAGE(ARRAYFORMULA(FLOOR(base*modifier*SEQUENCE(16,1,85,1)/100)))*MIN(1,acc/100)),0)</f>
        <v/>
      </c>
      <c r="N10" s="4">
        <f>IFERROR(LET(mtype,XLOOKUP($D10,'Move Editor'!$B:$B,'Move Editor'!$C:$C,""),cat,XLOOKUP($D10,'Move Editor'!$B:$B,'Move Editor'!$D:$D,""),pow,XLOOKUP($D10,'Move Editor'!$B:$B,'Move Editor'!$E:$E,0),acc,XLOOKUP($D10,'Move Editor'!$B:$B,'Move Editor'!$F:$F,100),atk,IF(cat="Physical",FLOOR((FLOOR(((2*XLOOKUP(XLOOKUP($Q10,'Threshold Summary'!$Y:$Y,'Threshold Summary'!$K:$K,""),'Pokemon Editor'!$A:$A,'Pokemon Editor'!$F:$F,0)+31+FLOOR(XLOOKUP($Q10,'Threshold Summary'!$Y:$Y,'Threshold Summary'!$P:$P,"")/4))*XLOOKUP($Q10,'Threshold Summary'!$Y:$Y,'Threshold Summary'!$L:$L,""))/100)+5)*XLOOKUP(XLOOKUP($Q10,'Threshold Summary'!$Y:$Y,'Threshold Summary'!$M:$M,""),'Nature Editor'!$A:$A,'Nature Editor'!$B:$B,1)),FLOOR((FLOOR(((2*XLOOKUP(XLOOKUP($Q10,'Threshold Summary'!$Y:$Y,'Threshold Summary'!$K:$K,""),'Pokemon Editor'!$A:$A,'Pokemon Editor'!$H:$H,0)+31+FLOOR(XLOOKUP($Q10,'Threshold Summary'!$Y:$Y,'Threshold Summary'!$R:$R,"")/4))*XLOOKUP($Q10,'Threshold Summary'!$Y:$Y,'Threshold Summary'!$L:$L,""))/100)+5)*XLOOKUP(XLOOKUP($Q10,'Threshold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Editor'!$E:$E,1))),stab,IF(OR(mtype=XLOOKUP(XLOOKUP($Q10,'Threshold Summary'!$Y:$Y,'Threshold Summary'!$K:$K,""),'Pokemon Editor'!$A:$A,'Pokemon Editor'!$C:$C,""),mtype=XLOOKUP(XLOOKUP($Q10,'Threshold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Chart'!$B$1:$S$1,0)))),base,IF(OR(cat="Status",pow=0),0,FLOOR(FLOOR(FLOOR((2*XLOOKUP($Q10,'Threshold Summary'!$Y:$Y,'Threshold Summary'!$L:$L,"")/5+2)*pow*atk/def)/50)+2)),modifier,stab*eff,AVERAGE(ARRAYFORMULA(FLOOR(base*modifier*SEQUENCE(16,1,85,1)/100)))/(FLOOR(((2*XLOOKUP('Boss Editor'!$C$4,'Pokemon Editor'!$A:$A,'Pokemon Editor'!$E:$E,0)+31+FLOOR('Boss Editor'!$G$4/4))*'Boss Editor'!$D$4)/100)+'Boss Editor'!$D$4+10)),0)</f>
        <v/>
      </c>
      <c r="O10" s="3">
        <f>IF(N10&gt;=1,"OHKO",IF(N10&gt;=0.5,"2HKO",IF(N10&gt;=0.333,"3HKO",IF(N10&gt;=0.25,"4HKO","5HKO+"))))</f>
        <v/>
      </c>
      <c r="P10" s="3" t="inlineStr">
        <is>
          <t>Live from editable databases</t>
        </is>
      </c>
      <c r="Q10" s="3" t="inlineStr">
        <is>
          <t>SPECIES_PARAS</t>
        </is>
      </c>
      <c r="R10" s="3" t="n">
        <v>9</v>
      </c>
    </row>
    <row r="11">
      <c r="A11" s="3">
        <f>XLOOKUP($Q11,'Threshold Summary'!$Y:$Y,'Threshold Summary'!$A:$A,"")</f>
        <v/>
      </c>
      <c r="B11" s="3">
        <f>XLOOKUP($Q11,'Threshold Summary'!$Y:$Y,'Threshold Summary'!$M:$M,"")</f>
        <v/>
      </c>
      <c r="C11" s="3">
        <f>XLOOKUP($Q11,'Threshold Summary'!$Y:$Y,'Threshold Summary'!$N:$N,"")</f>
        <v/>
      </c>
      <c r="D11" s="3">
        <f>IFERROR(INDEX(FILTER('Learnset Editor'!$D$2:$D,'Learnset Editor'!$A$2:$A=XLOOKUP($Q11,'Threshold Summary'!$Y:$Y,'Threshold Summary'!$K:$K,""),'Learnset Editor'!$C$2:$C&lt;=XLOOKUP($Q11,'Threshold Summary'!$Y:$Y,'Threshold Summary'!$L:$L,"")),$R11),"")</f>
        <v/>
      </c>
      <c r="E11" s="3">
        <f>XLOOKUP(D11,'Move Editor'!$B:$B,'Move Editor'!$C:$C,"")</f>
        <v/>
      </c>
      <c r="F11" s="3">
        <f>XLOOKUP(D11,'Move Editor'!$B:$B,'Move Editor'!$D:$D,"")</f>
        <v/>
      </c>
      <c r="G11" s="3">
        <f>XLOOKUP(D11,'Move Editor'!$B:$B,'Move Editor'!$E:$E,0)</f>
        <v/>
      </c>
      <c r="H11" s="3">
        <f>XLOOKUP(D11,'Move Editor'!$B:$B,'Move Editor'!$F:$F,0)</f>
        <v/>
      </c>
      <c r="I11" s="3">
        <f>(INDEX('Type Chart'!$B:$S,MATCH(E11,'Type Chart'!$A:$A,0),MATCH(XLOOKUP('Boss Editor'!$C$4,'Pokemon Editor'!$A:$A,'Pokemon Editor'!$C:$C,""),'Type Chart'!$B$1:$S$1,0))*IF(XLOOKUP('Boss Editor'!$C$4,'Pokemon Editor'!$A:$A,'Pokemon Editor'!$D:$D,"")="",1,INDEX('Type Chart'!$B:$S,MATCH(E11,'Type Chart'!$A:$A,0),MATCH(XLOOKUP('Boss Editor'!$C$4,'Pokemon Editor'!$A:$A,'Pokemon Editor'!$D:$D,""),'Type Chart'!$B$1:$S$1,0))))</f>
        <v/>
      </c>
      <c r="J11" s="3">
        <f>IFERROR(LET(mtype,XLOOKUP($D11,'Move Editor'!$B:$B,'Move Editor'!$C:$C,""),cat,XLOOKUP($D11,'Move Editor'!$B:$B,'Move Editor'!$D:$D,""),pow,XLOOKUP($D11,'Move Editor'!$B:$B,'Move Editor'!$E:$E,0),acc,XLOOKUP($D11,'Move Editor'!$B:$B,'Move Editor'!$F:$F,100),atk,IF(cat="Physical",FLOOR((FLOOR(((2*XLOOKUP(XLOOKUP($Q11,'Threshold Summary'!$Y:$Y,'Threshold Summary'!$K:$K,""),'Pokemon Editor'!$A:$A,'Pokemon Editor'!$F:$F,0)+31+FLOOR(XLOOKUP($Q11,'Threshold Summary'!$Y:$Y,'Threshold Summary'!$P:$P,"")/4))*XLOOKUP($Q11,'Threshold Summary'!$Y:$Y,'Threshold Summary'!$L:$L,""))/100)+5)*XLOOKUP(XLOOKUP($Q11,'Threshold Summary'!$Y:$Y,'Threshold Summary'!$M:$M,""),'Nature Editor'!$A:$A,'Nature Editor'!$B:$B,1)),FLOOR((FLOOR(((2*XLOOKUP(XLOOKUP($Q11,'Threshold Summary'!$Y:$Y,'Threshold Summary'!$K:$K,""),'Pokemon Editor'!$A:$A,'Pokemon Editor'!$H:$H,0)+31+FLOOR(XLOOKUP($Q11,'Threshold Summary'!$Y:$Y,'Threshold Summary'!$R:$R,"")/4))*XLOOKUP($Q11,'Threshold Summary'!$Y:$Y,'Threshold Summary'!$L:$L,""))/100)+5)*XLOOKUP(XLOOKUP($Q11,'Threshold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Editor'!$E:$E,1))),stab,IF(OR(mtype=XLOOKUP(XLOOKUP($Q11,'Threshold Summary'!$Y:$Y,'Threshold Summary'!$K:$K,""),'Pokemon Editor'!$A:$A,'Pokemon Editor'!$C:$C,""),mtype=XLOOKUP(XLOOKUP($Q11,'Threshold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Chart'!$B$1:$S$1,0)))),base,IF(OR(cat="Status",pow=0),0,FLOOR(FLOOR(FLOOR((2*XLOOKUP($Q11,'Threshold Summary'!$Y:$Y,'Threshold Summary'!$L:$L,"")/5+2)*pow*atk/def)/50)+2)),modifier,stab*eff,FLOOR(base*modifier*0.85)),0)</f>
        <v/>
      </c>
      <c r="K11" s="3">
        <f>IFERROR(LET(mtype,XLOOKUP($D11,'Move Editor'!$B:$B,'Move Editor'!$C:$C,""),cat,XLOOKUP($D11,'Move Editor'!$B:$B,'Move Editor'!$D:$D,""),pow,XLOOKUP($D11,'Move Editor'!$B:$B,'Move Editor'!$E:$E,0),acc,XLOOKUP($D11,'Move Editor'!$B:$B,'Move Editor'!$F:$F,100),atk,IF(cat="Physical",FLOOR((FLOOR(((2*XLOOKUP(XLOOKUP($Q11,'Threshold Summary'!$Y:$Y,'Threshold Summary'!$K:$K,""),'Pokemon Editor'!$A:$A,'Pokemon Editor'!$F:$F,0)+31+FLOOR(XLOOKUP($Q11,'Threshold Summary'!$Y:$Y,'Threshold Summary'!$P:$P,"")/4))*XLOOKUP($Q11,'Threshold Summary'!$Y:$Y,'Threshold Summary'!$L:$L,""))/100)+5)*XLOOKUP(XLOOKUP($Q11,'Threshold Summary'!$Y:$Y,'Threshold Summary'!$M:$M,""),'Nature Editor'!$A:$A,'Nature Editor'!$B:$B,1)),FLOOR((FLOOR(((2*XLOOKUP(XLOOKUP($Q11,'Threshold Summary'!$Y:$Y,'Threshold Summary'!$K:$K,""),'Pokemon Editor'!$A:$A,'Pokemon Editor'!$H:$H,0)+31+FLOOR(XLOOKUP($Q11,'Threshold Summary'!$Y:$Y,'Threshold Summary'!$R:$R,"")/4))*XLOOKUP($Q11,'Threshold Summary'!$Y:$Y,'Threshold Summary'!$L:$L,""))/100)+5)*XLOOKUP(XLOOKUP($Q11,'Threshold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Editor'!$E:$E,1))),stab,IF(OR(mtype=XLOOKUP(XLOOKUP($Q11,'Threshold Summary'!$Y:$Y,'Threshold Summary'!$K:$K,""),'Pokemon Editor'!$A:$A,'Pokemon Editor'!$C:$C,""),mtype=XLOOKUP(XLOOKUP($Q11,'Threshold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Chart'!$B$1:$S$1,0)))),base,IF(OR(cat="Status",pow=0),0,FLOOR(FLOOR(FLOOR((2*XLOOKUP($Q11,'Threshold Summary'!$Y:$Y,'Threshold Summary'!$L:$L,"")/5+2)*pow*atk/def)/50)+2)),modifier,stab*eff,FLOOR(base*modifier)),0)</f>
        <v/>
      </c>
      <c r="L11" s="3">
        <f>IFERROR(LET(mtype,XLOOKUP($D11,'Move Editor'!$B:$B,'Move Editor'!$C:$C,""),cat,XLOOKUP($D11,'Move Editor'!$B:$B,'Move Editor'!$D:$D,""),pow,XLOOKUP($D11,'Move Editor'!$B:$B,'Move Editor'!$E:$E,0),acc,XLOOKUP($D11,'Move Editor'!$B:$B,'Move Editor'!$F:$F,100),atk,IF(cat="Physical",FLOOR((FLOOR(((2*XLOOKUP(XLOOKUP($Q11,'Threshold Summary'!$Y:$Y,'Threshold Summary'!$K:$K,""),'Pokemon Editor'!$A:$A,'Pokemon Editor'!$F:$F,0)+31+FLOOR(XLOOKUP($Q11,'Threshold Summary'!$Y:$Y,'Threshold Summary'!$P:$P,"")/4))*XLOOKUP($Q11,'Threshold Summary'!$Y:$Y,'Threshold Summary'!$L:$L,""))/100)+5)*XLOOKUP(XLOOKUP($Q11,'Threshold Summary'!$Y:$Y,'Threshold Summary'!$M:$M,""),'Nature Editor'!$A:$A,'Nature Editor'!$B:$B,1)),FLOOR((FLOOR(((2*XLOOKUP(XLOOKUP($Q11,'Threshold Summary'!$Y:$Y,'Threshold Summary'!$K:$K,""),'Pokemon Editor'!$A:$A,'Pokemon Editor'!$H:$H,0)+31+FLOOR(XLOOKUP($Q11,'Threshold Summary'!$Y:$Y,'Threshold Summary'!$R:$R,"")/4))*XLOOKUP($Q11,'Threshold Summary'!$Y:$Y,'Threshold Summary'!$L:$L,""))/100)+5)*XLOOKUP(XLOOKUP($Q11,'Threshold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Editor'!$E:$E,1))),stab,IF(OR(mtype=XLOOKUP(XLOOKUP($Q11,'Threshold Summary'!$Y:$Y,'Threshold Summary'!$K:$K,""),'Pokemon Editor'!$A:$A,'Pokemon Editor'!$C:$C,""),mtype=XLOOKUP(XLOOKUP($Q11,'Threshold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Chart'!$B$1:$S$1,0)))),base,IF(OR(cat="Status",pow=0),0,FLOOR(FLOOR(FLOOR((2*XLOOKUP($Q11,'Threshold Summary'!$Y:$Y,'Threshold Summary'!$L:$L,"")/5+2)*pow*atk/def)/50)+2)),modifier,stab*eff,AVERAGE(ARRAYFORMULA(FLOOR(base*modifier*SEQUENCE(16,1,85,1)/100)))),0)</f>
        <v/>
      </c>
      <c r="M11" s="3">
        <f>IFERROR(LET(mtype,XLOOKUP($D11,'Move Editor'!$B:$B,'Move Editor'!$C:$C,""),cat,XLOOKUP($D11,'Move Editor'!$B:$B,'Move Editor'!$D:$D,""),pow,XLOOKUP($D11,'Move Editor'!$B:$B,'Move Editor'!$E:$E,0),acc,XLOOKUP($D11,'Move Editor'!$B:$B,'Move Editor'!$F:$F,100),atk,IF(cat="Physical",FLOOR((FLOOR(((2*XLOOKUP(XLOOKUP($Q11,'Threshold Summary'!$Y:$Y,'Threshold Summary'!$K:$K,""),'Pokemon Editor'!$A:$A,'Pokemon Editor'!$F:$F,0)+31+FLOOR(XLOOKUP($Q11,'Threshold Summary'!$Y:$Y,'Threshold Summary'!$P:$P,"")/4))*XLOOKUP($Q11,'Threshold Summary'!$Y:$Y,'Threshold Summary'!$L:$L,""))/100)+5)*XLOOKUP(XLOOKUP($Q11,'Threshold Summary'!$Y:$Y,'Threshold Summary'!$M:$M,""),'Nature Editor'!$A:$A,'Nature Editor'!$B:$B,1)),FLOOR((FLOOR(((2*XLOOKUP(XLOOKUP($Q11,'Threshold Summary'!$Y:$Y,'Threshold Summary'!$K:$K,""),'Pokemon Editor'!$A:$A,'Pokemon Editor'!$H:$H,0)+31+FLOOR(XLOOKUP($Q11,'Threshold Summary'!$Y:$Y,'Threshold Summary'!$R:$R,"")/4))*XLOOKUP($Q11,'Threshold Summary'!$Y:$Y,'Threshold Summary'!$L:$L,""))/100)+5)*XLOOKUP(XLOOKUP($Q11,'Threshold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Editor'!$E:$E,1))),stab,IF(OR(mtype=XLOOKUP(XLOOKUP($Q11,'Threshold Summary'!$Y:$Y,'Threshold Summary'!$K:$K,""),'Pokemon Editor'!$A:$A,'Pokemon Editor'!$C:$C,""),mtype=XLOOKUP(XLOOKUP($Q11,'Threshold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Chart'!$B$1:$S$1,0)))),base,IF(OR(cat="Status",pow=0),0,FLOOR(FLOOR(FLOOR((2*XLOOKUP($Q11,'Threshold Summary'!$Y:$Y,'Threshold Summary'!$L:$L,"")/5+2)*pow*atk/def)/50)+2)),modifier,stab*eff,AVERAGE(ARRAYFORMULA(FLOOR(base*modifier*SEQUENCE(16,1,85,1)/100)))*MIN(1,acc/100)),0)</f>
        <v/>
      </c>
      <c r="N11" s="4">
        <f>IFERROR(LET(mtype,XLOOKUP($D11,'Move Editor'!$B:$B,'Move Editor'!$C:$C,""),cat,XLOOKUP($D11,'Move Editor'!$B:$B,'Move Editor'!$D:$D,""),pow,XLOOKUP($D11,'Move Editor'!$B:$B,'Move Editor'!$E:$E,0),acc,XLOOKUP($D11,'Move Editor'!$B:$B,'Move Editor'!$F:$F,100),atk,IF(cat="Physical",FLOOR((FLOOR(((2*XLOOKUP(XLOOKUP($Q11,'Threshold Summary'!$Y:$Y,'Threshold Summary'!$K:$K,""),'Pokemon Editor'!$A:$A,'Pokemon Editor'!$F:$F,0)+31+FLOOR(XLOOKUP($Q11,'Threshold Summary'!$Y:$Y,'Threshold Summary'!$P:$P,"")/4))*XLOOKUP($Q11,'Threshold Summary'!$Y:$Y,'Threshold Summary'!$L:$L,""))/100)+5)*XLOOKUP(XLOOKUP($Q11,'Threshold Summary'!$Y:$Y,'Threshold Summary'!$M:$M,""),'Nature Editor'!$A:$A,'Nature Editor'!$B:$B,1)),FLOOR((FLOOR(((2*XLOOKUP(XLOOKUP($Q11,'Threshold Summary'!$Y:$Y,'Threshold Summary'!$K:$K,""),'Pokemon Editor'!$A:$A,'Pokemon Editor'!$H:$H,0)+31+FLOOR(XLOOKUP($Q11,'Threshold Summary'!$Y:$Y,'Threshold Summary'!$R:$R,"")/4))*XLOOKUP($Q11,'Threshold Summary'!$Y:$Y,'Threshold Summary'!$L:$L,""))/100)+5)*XLOOKUP(XLOOKUP($Q11,'Threshold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Editor'!$E:$E,1))),stab,IF(OR(mtype=XLOOKUP(XLOOKUP($Q11,'Threshold Summary'!$Y:$Y,'Threshold Summary'!$K:$K,""),'Pokemon Editor'!$A:$A,'Pokemon Editor'!$C:$C,""),mtype=XLOOKUP(XLOOKUP($Q11,'Threshold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Chart'!$B$1:$S$1,0)))),base,IF(OR(cat="Status",pow=0),0,FLOOR(FLOOR(FLOOR((2*XLOOKUP($Q11,'Threshold Summary'!$Y:$Y,'Threshold Summary'!$L:$L,"")/5+2)*pow*atk/def)/50)+2)),modifier,stab*eff,AVERAGE(ARRAYFORMULA(FLOOR(base*modifier*SEQUENCE(16,1,85,1)/100)))/(FLOOR(((2*XLOOKUP('Boss Editor'!$C$4,'Pokemon Editor'!$A:$A,'Pokemon Editor'!$E:$E,0)+31+FLOOR('Boss Editor'!$G$4/4))*'Boss Editor'!$D$4)/100)+'Boss Editor'!$D$4+10)),0)</f>
        <v/>
      </c>
      <c r="O11" s="3">
        <f>IF(N11&gt;=1,"OHKO",IF(N11&gt;=0.5,"2HKO",IF(N11&gt;=0.333,"3HKO",IF(N11&gt;=0.25,"4HKO","5HKO+"))))</f>
        <v/>
      </c>
      <c r="P11" s="3" t="inlineStr">
        <is>
          <t>Live from editable databases</t>
        </is>
      </c>
      <c r="Q11" s="3" t="inlineStr">
        <is>
          <t>SPECIES_PARAS</t>
        </is>
      </c>
      <c r="R11" s="3" t="n">
        <v>10</v>
      </c>
    </row>
    <row r="12">
      <c r="A12" s="3">
        <f>XLOOKUP($Q12,'Threshold Summary'!$Y:$Y,'Threshold Summary'!$A:$A,"")</f>
        <v/>
      </c>
      <c r="B12" s="3">
        <f>XLOOKUP($Q12,'Threshold Summary'!$Y:$Y,'Threshold Summary'!$M:$M,"")</f>
        <v/>
      </c>
      <c r="C12" s="3">
        <f>XLOOKUP($Q12,'Threshold Summary'!$Y:$Y,'Threshold Summary'!$N:$N,"")</f>
        <v/>
      </c>
      <c r="D12" s="3">
        <f>IFERROR(INDEX(FILTER('Learnset Editor'!$D$2:$D,'Learnset Editor'!$A$2:$A=XLOOKUP($Q12,'Threshold Summary'!$Y:$Y,'Threshold Summary'!$K:$K,""),'Learnset Editor'!$C$2:$C&lt;=XLOOKUP($Q12,'Threshold Summary'!$Y:$Y,'Threshold Summary'!$L:$L,"")),$R12),"")</f>
        <v/>
      </c>
      <c r="E12" s="3">
        <f>XLOOKUP(D12,'Move Editor'!$B:$B,'Move Editor'!$C:$C,"")</f>
        <v/>
      </c>
      <c r="F12" s="3">
        <f>XLOOKUP(D12,'Move Editor'!$B:$B,'Move Editor'!$D:$D,"")</f>
        <v/>
      </c>
      <c r="G12" s="3">
        <f>XLOOKUP(D12,'Move Editor'!$B:$B,'Move Editor'!$E:$E,0)</f>
        <v/>
      </c>
      <c r="H12" s="3">
        <f>XLOOKUP(D12,'Move Editor'!$B:$B,'Move Editor'!$F:$F,0)</f>
        <v/>
      </c>
      <c r="I12" s="3">
        <f>(INDEX('Type Chart'!$B:$S,MATCH(E12,'Type Chart'!$A:$A,0),MATCH(XLOOKUP('Boss Editor'!$C$4,'Pokemon Editor'!$A:$A,'Pokemon Editor'!$C:$C,""),'Type Chart'!$B$1:$S$1,0))*IF(XLOOKUP('Boss Editor'!$C$4,'Pokemon Editor'!$A:$A,'Pokemon Editor'!$D:$D,"")="",1,INDEX('Type Chart'!$B:$S,MATCH(E12,'Type Chart'!$A:$A,0),MATCH(XLOOKUP('Boss Editor'!$C$4,'Pokemon Editor'!$A:$A,'Pokemon Editor'!$D:$D,""),'Type Chart'!$B$1:$S$1,0))))</f>
        <v/>
      </c>
      <c r="J12" s="3">
        <f>IFERROR(LET(mtype,XLOOKUP($D12,'Move Editor'!$B:$B,'Move Editor'!$C:$C,""),cat,XLOOKUP($D12,'Move Editor'!$B:$B,'Move Editor'!$D:$D,""),pow,XLOOKUP($D12,'Move Editor'!$B:$B,'Move Editor'!$E:$E,0),acc,XLOOKUP($D12,'Move Editor'!$B:$B,'Move Editor'!$F:$F,100),atk,IF(cat="Physical",FLOOR((FLOOR(((2*XLOOKUP(XLOOKUP($Q12,'Threshold Summary'!$Y:$Y,'Threshold Summary'!$K:$K,""),'Pokemon Editor'!$A:$A,'Pokemon Editor'!$F:$F,0)+31+FLOOR(XLOOKUP($Q12,'Threshold Summary'!$Y:$Y,'Threshold Summary'!$P:$P,"")/4))*XLOOKUP($Q12,'Threshold Summary'!$Y:$Y,'Threshold Summary'!$L:$L,""))/100)+5)*XLOOKUP(XLOOKUP($Q12,'Threshold Summary'!$Y:$Y,'Threshold Summary'!$M:$M,""),'Nature Editor'!$A:$A,'Nature Editor'!$B:$B,1)),FLOOR((FLOOR(((2*XLOOKUP(XLOOKUP($Q12,'Threshold Summary'!$Y:$Y,'Threshold Summary'!$K:$K,""),'Pokemon Editor'!$A:$A,'Pokemon Editor'!$H:$H,0)+31+FLOOR(XLOOKUP($Q12,'Threshold Summary'!$Y:$Y,'Threshold Summary'!$R:$R,"")/4))*XLOOKUP($Q12,'Threshold Summary'!$Y:$Y,'Threshold Summary'!$L:$L,""))/100)+5)*XLOOKUP(XLOOKUP($Q12,'Threshold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Editor'!$E:$E,1))),stab,IF(OR(mtype=XLOOKUP(XLOOKUP($Q12,'Threshold Summary'!$Y:$Y,'Threshold Summary'!$K:$K,""),'Pokemon Editor'!$A:$A,'Pokemon Editor'!$C:$C,""),mtype=XLOOKUP(XLOOKUP($Q12,'Threshold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Chart'!$B$1:$S$1,0)))),base,IF(OR(cat="Status",pow=0),0,FLOOR(FLOOR(FLOOR((2*XLOOKUP($Q12,'Threshold Summary'!$Y:$Y,'Threshold Summary'!$L:$L,"")/5+2)*pow*atk/def)/50)+2)),modifier,stab*eff,FLOOR(base*modifier*0.85)),0)</f>
        <v/>
      </c>
      <c r="K12" s="3">
        <f>IFERROR(LET(mtype,XLOOKUP($D12,'Move Editor'!$B:$B,'Move Editor'!$C:$C,""),cat,XLOOKUP($D12,'Move Editor'!$B:$B,'Move Editor'!$D:$D,""),pow,XLOOKUP($D12,'Move Editor'!$B:$B,'Move Editor'!$E:$E,0),acc,XLOOKUP($D12,'Move Editor'!$B:$B,'Move Editor'!$F:$F,100),atk,IF(cat="Physical",FLOOR((FLOOR(((2*XLOOKUP(XLOOKUP($Q12,'Threshold Summary'!$Y:$Y,'Threshold Summary'!$K:$K,""),'Pokemon Editor'!$A:$A,'Pokemon Editor'!$F:$F,0)+31+FLOOR(XLOOKUP($Q12,'Threshold Summary'!$Y:$Y,'Threshold Summary'!$P:$P,"")/4))*XLOOKUP($Q12,'Threshold Summary'!$Y:$Y,'Threshold Summary'!$L:$L,""))/100)+5)*XLOOKUP(XLOOKUP($Q12,'Threshold Summary'!$Y:$Y,'Threshold Summary'!$M:$M,""),'Nature Editor'!$A:$A,'Nature Editor'!$B:$B,1)),FLOOR((FLOOR(((2*XLOOKUP(XLOOKUP($Q12,'Threshold Summary'!$Y:$Y,'Threshold Summary'!$K:$K,""),'Pokemon Editor'!$A:$A,'Pokemon Editor'!$H:$H,0)+31+FLOOR(XLOOKUP($Q12,'Threshold Summary'!$Y:$Y,'Threshold Summary'!$R:$R,"")/4))*XLOOKUP($Q12,'Threshold Summary'!$Y:$Y,'Threshold Summary'!$L:$L,""))/100)+5)*XLOOKUP(XLOOKUP($Q12,'Threshold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Editor'!$E:$E,1))),stab,IF(OR(mtype=XLOOKUP(XLOOKUP($Q12,'Threshold Summary'!$Y:$Y,'Threshold Summary'!$K:$K,""),'Pokemon Editor'!$A:$A,'Pokemon Editor'!$C:$C,""),mtype=XLOOKUP(XLOOKUP($Q12,'Threshold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Chart'!$B$1:$S$1,0)))),base,IF(OR(cat="Status",pow=0),0,FLOOR(FLOOR(FLOOR((2*XLOOKUP($Q12,'Threshold Summary'!$Y:$Y,'Threshold Summary'!$L:$L,"")/5+2)*pow*atk/def)/50)+2)),modifier,stab*eff,FLOOR(base*modifier)),0)</f>
        <v/>
      </c>
      <c r="L12" s="3">
        <f>IFERROR(LET(mtype,XLOOKUP($D12,'Move Editor'!$B:$B,'Move Editor'!$C:$C,""),cat,XLOOKUP($D12,'Move Editor'!$B:$B,'Move Editor'!$D:$D,""),pow,XLOOKUP($D12,'Move Editor'!$B:$B,'Move Editor'!$E:$E,0),acc,XLOOKUP($D12,'Move Editor'!$B:$B,'Move Editor'!$F:$F,100),atk,IF(cat="Physical",FLOOR((FLOOR(((2*XLOOKUP(XLOOKUP($Q12,'Threshold Summary'!$Y:$Y,'Threshold Summary'!$K:$K,""),'Pokemon Editor'!$A:$A,'Pokemon Editor'!$F:$F,0)+31+FLOOR(XLOOKUP($Q12,'Threshold Summary'!$Y:$Y,'Threshold Summary'!$P:$P,"")/4))*XLOOKUP($Q12,'Threshold Summary'!$Y:$Y,'Threshold Summary'!$L:$L,""))/100)+5)*XLOOKUP(XLOOKUP($Q12,'Threshold Summary'!$Y:$Y,'Threshold Summary'!$M:$M,""),'Nature Editor'!$A:$A,'Nature Editor'!$B:$B,1)),FLOOR((FLOOR(((2*XLOOKUP(XLOOKUP($Q12,'Threshold Summary'!$Y:$Y,'Threshold Summary'!$K:$K,""),'Pokemon Editor'!$A:$A,'Pokemon Editor'!$H:$H,0)+31+FLOOR(XLOOKUP($Q12,'Threshold Summary'!$Y:$Y,'Threshold Summary'!$R:$R,"")/4))*XLOOKUP($Q12,'Threshold Summary'!$Y:$Y,'Threshold Summary'!$L:$L,""))/100)+5)*XLOOKUP(XLOOKUP($Q12,'Threshold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Editor'!$E:$E,1))),stab,IF(OR(mtype=XLOOKUP(XLOOKUP($Q12,'Threshold Summary'!$Y:$Y,'Threshold Summary'!$K:$K,""),'Pokemon Editor'!$A:$A,'Pokemon Editor'!$C:$C,""),mtype=XLOOKUP(XLOOKUP($Q12,'Threshold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Chart'!$B$1:$S$1,0)))),base,IF(OR(cat="Status",pow=0),0,FLOOR(FLOOR(FLOOR((2*XLOOKUP($Q12,'Threshold Summary'!$Y:$Y,'Threshold Summary'!$L:$L,"")/5+2)*pow*atk/def)/50)+2)),modifier,stab*eff,AVERAGE(ARRAYFORMULA(FLOOR(base*modifier*SEQUENCE(16,1,85,1)/100)))),0)</f>
        <v/>
      </c>
      <c r="M12" s="3">
        <f>IFERROR(LET(mtype,XLOOKUP($D12,'Move Editor'!$B:$B,'Move Editor'!$C:$C,""),cat,XLOOKUP($D12,'Move Editor'!$B:$B,'Move Editor'!$D:$D,""),pow,XLOOKUP($D12,'Move Editor'!$B:$B,'Move Editor'!$E:$E,0),acc,XLOOKUP($D12,'Move Editor'!$B:$B,'Move Editor'!$F:$F,100),atk,IF(cat="Physical",FLOOR((FLOOR(((2*XLOOKUP(XLOOKUP($Q12,'Threshold Summary'!$Y:$Y,'Threshold Summary'!$K:$K,""),'Pokemon Editor'!$A:$A,'Pokemon Editor'!$F:$F,0)+31+FLOOR(XLOOKUP($Q12,'Threshold Summary'!$Y:$Y,'Threshold Summary'!$P:$P,"")/4))*XLOOKUP($Q12,'Threshold Summary'!$Y:$Y,'Threshold Summary'!$L:$L,""))/100)+5)*XLOOKUP(XLOOKUP($Q12,'Threshold Summary'!$Y:$Y,'Threshold Summary'!$M:$M,""),'Nature Editor'!$A:$A,'Nature Editor'!$B:$B,1)),FLOOR((FLOOR(((2*XLOOKUP(XLOOKUP($Q12,'Threshold Summary'!$Y:$Y,'Threshold Summary'!$K:$K,""),'Pokemon Editor'!$A:$A,'Pokemon Editor'!$H:$H,0)+31+FLOOR(XLOOKUP($Q12,'Threshold Summary'!$Y:$Y,'Threshold Summary'!$R:$R,"")/4))*XLOOKUP($Q12,'Threshold Summary'!$Y:$Y,'Threshold Summary'!$L:$L,""))/100)+5)*XLOOKUP(XLOOKUP($Q12,'Threshold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Editor'!$E:$E,1))),stab,IF(OR(mtype=XLOOKUP(XLOOKUP($Q12,'Threshold Summary'!$Y:$Y,'Threshold Summary'!$K:$K,""),'Pokemon Editor'!$A:$A,'Pokemon Editor'!$C:$C,""),mtype=XLOOKUP(XLOOKUP($Q12,'Threshold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Chart'!$B$1:$S$1,0)))),base,IF(OR(cat="Status",pow=0),0,FLOOR(FLOOR(FLOOR((2*XLOOKUP($Q12,'Threshold Summary'!$Y:$Y,'Threshold Summary'!$L:$L,"")/5+2)*pow*atk/def)/50)+2)),modifier,stab*eff,AVERAGE(ARRAYFORMULA(FLOOR(base*modifier*SEQUENCE(16,1,85,1)/100)))*MIN(1,acc/100)),0)</f>
        <v/>
      </c>
      <c r="N12" s="4">
        <f>IFERROR(LET(mtype,XLOOKUP($D12,'Move Editor'!$B:$B,'Move Editor'!$C:$C,""),cat,XLOOKUP($D12,'Move Editor'!$B:$B,'Move Editor'!$D:$D,""),pow,XLOOKUP($D12,'Move Editor'!$B:$B,'Move Editor'!$E:$E,0),acc,XLOOKUP($D12,'Move Editor'!$B:$B,'Move Editor'!$F:$F,100),atk,IF(cat="Physical",FLOOR((FLOOR(((2*XLOOKUP(XLOOKUP($Q12,'Threshold Summary'!$Y:$Y,'Threshold Summary'!$K:$K,""),'Pokemon Editor'!$A:$A,'Pokemon Editor'!$F:$F,0)+31+FLOOR(XLOOKUP($Q12,'Threshold Summary'!$Y:$Y,'Threshold Summary'!$P:$P,"")/4))*XLOOKUP($Q12,'Threshold Summary'!$Y:$Y,'Threshold Summary'!$L:$L,""))/100)+5)*XLOOKUP(XLOOKUP($Q12,'Threshold Summary'!$Y:$Y,'Threshold Summary'!$M:$M,""),'Nature Editor'!$A:$A,'Nature Editor'!$B:$B,1)),FLOOR((FLOOR(((2*XLOOKUP(XLOOKUP($Q12,'Threshold Summary'!$Y:$Y,'Threshold Summary'!$K:$K,""),'Pokemon Editor'!$A:$A,'Pokemon Editor'!$H:$H,0)+31+FLOOR(XLOOKUP($Q12,'Threshold Summary'!$Y:$Y,'Threshold Summary'!$R:$R,"")/4))*XLOOKUP($Q12,'Threshold Summary'!$Y:$Y,'Threshold Summary'!$L:$L,""))/100)+5)*XLOOKUP(XLOOKUP($Q12,'Threshold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Editor'!$E:$E,1))),stab,IF(OR(mtype=XLOOKUP(XLOOKUP($Q12,'Threshold Summary'!$Y:$Y,'Threshold Summary'!$K:$K,""),'Pokemon Editor'!$A:$A,'Pokemon Editor'!$C:$C,""),mtype=XLOOKUP(XLOOKUP($Q12,'Threshold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Chart'!$B$1:$S$1,0)))),base,IF(OR(cat="Status",pow=0),0,FLOOR(FLOOR(FLOOR((2*XLOOKUP($Q12,'Threshold Summary'!$Y:$Y,'Threshold Summary'!$L:$L,"")/5+2)*pow*atk/def)/50)+2)),modifier,stab*eff,AVERAGE(ARRAYFORMULA(FLOOR(base*modifier*SEQUENCE(16,1,85,1)/100)))/(FLOOR(((2*XLOOKUP('Boss Editor'!$C$4,'Pokemon Editor'!$A:$A,'Pokemon Editor'!$E:$E,0)+31+FLOOR('Boss Editor'!$G$4/4))*'Boss Editor'!$D$4)/100)+'Boss Editor'!$D$4+10)),0)</f>
        <v/>
      </c>
      <c r="O12" s="3">
        <f>IF(N12&gt;=1,"OHKO",IF(N12&gt;=0.5,"2HKO",IF(N12&gt;=0.333,"3HKO",IF(N12&gt;=0.25,"4HKO","5HKO+"))))</f>
        <v/>
      </c>
      <c r="P12" s="3" t="inlineStr">
        <is>
          <t>Live from editable databases</t>
        </is>
      </c>
      <c r="Q12" s="3" t="inlineStr">
        <is>
          <t>SPECIES_PARAS</t>
        </is>
      </c>
      <c r="R12" s="3" t="n">
        <v>11</v>
      </c>
    </row>
    <row r="13">
      <c r="A13" s="3">
        <f>XLOOKUP($Q13,'Threshold Summary'!$Y:$Y,'Threshold Summary'!$A:$A,"")</f>
        <v/>
      </c>
      <c r="B13" s="3">
        <f>XLOOKUP($Q13,'Threshold Summary'!$Y:$Y,'Threshold Summary'!$M:$M,"")</f>
        <v/>
      </c>
      <c r="C13" s="3">
        <f>XLOOKUP($Q13,'Threshold Summary'!$Y:$Y,'Threshold Summary'!$N:$N,"")</f>
        <v/>
      </c>
      <c r="D13" s="3">
        <f>IFERROR(INDEX(FILTER('Learnset Editor'!$D$2:$D,'Learnset Editor'!$A$2:$A=XLOOKUP($Q13,'Threshold Summary'!$Y:$Y,'Threshold Summary'!$K:$K,""),'Learnset Editor'!$C$2:$C&lt;=XLOOKUP($Q13,'Threshold Summary'!$Y:$Y,'Threshold Summary'!$L:$L,"")),$R13),"")</f>
        <v/>
      </c>
      <c r="E13" s="3">
        <f>XLOOKUP(D13,'Move Editor'!$B:$B,'Move Editor'!$C:$C,"")</f>
        <v/>
      </c>
      <c r="F13" s="3">
        <f>XLOOKUP(D13,'Move Editor'!$B:$B,'Move Editor'!$D:$D,"")</f>
        <v/>
      </c>
      <c r="G13" s="3">
        <f>XLOOKUP(D13,'Move Editor'!$B:$B,'Move Editor'!$E:$E,0)</f>
        <v/>
      </c>
      <c r="H13" s="3">
        <f>XLOOKUP(D13,'Move Editor'!$B:$B,'Move Editor'!$F:$F,0)</f>
        <v/>
      </c>
      <c r="I13" s="3">
        <f>(INDEX('Type Chart'!$B:$S,MATCH(E13,'Type Chart'!$A:$A,0),MATCH(XLOOKUP('Boss Editor'!$C$4,'Pokemon Editor'!$A:$A,'Pokemon Editor'!$C:$C,""),'Type Chart'!$B$1:$S$1,0))*IF(XLOOKUP('Boss Editor'!$C$4,'Pokemon Editor'!$A:$A,'Pokemon Editor'!$D:$D,"")="",1,INDEX('Type Chart'!$B:$S,MATCH(E13,'Type Chart'!$A:$A,0),MATCH(XLOOKUP('Boss Editor'!$C$4,'Pokemon Editor'!$A:$A,'Pokemon Editor'!$D:$D,""),'Type Chart'!$B$1:$S$1,0))))</f>
        <v/>
      </c>
      <c r="J13" s="3">
        <f>IFERROR(LET(mtype,XLOOKUP($D13,'Move Editor'!$B:$B,'Move Editor'!$C:$C,""),cat,XLOOKUP($D13,'Move Editor'!$B:$B,'Move Editor'!$D:$D,""),pow,XLOOKUP($D13,'Move Editor'!$B:$B,'Move Editor'!$E:$E,0),acc,XLOOKUP($D13,'Move Editor'!$B:$B,'Move Editor'!$F:$F,100),atk,IF(cat="Physical",FLOOR((FLOOR(((2*XLOOKUP(XLOOKUP($Q13,'Threshold Summary'!$Y:$Y,'Threshold Summary'!$K:$K,""),'Pokemon Editor'!$A:$A,'Pokemon Editor'!$F:$F,0)+31+FLOOR(XLOOKUP($Q13,'Threshold Summary'!$Y:$Y,'Threshold Summary'!$P:$P,"")/4))*XLOOKUP($Q13,'Threshold Summary'!$Y:$Y,'Threshold Summary'!$L:$L,""))/100)+5)*XLOOKUP(XLOOKUP($Q13,'Threshold Summary'!$Y:$Y,'Threshold Summary'!$M:$M,""),'Nature Editor'!$A:$A,'Nature Editor'!$B:$B,1)),FLOOR((FLOOR(((2*XLOOKUP(XLOOKUP($Q13,'Threshold Summary'!$Y:$Y,'Threshold Summary'!$K:$K,""),'Pokemon Editor'!$A:$A,'Pokemon Editor'!$H:$H,0)+31+FLOOR(XLOOKUP($Q13,'Threshold Summary'!$Y:$Y,'Threshold Summary'!$R:$R,"")/4))*XLOOKUP($Q13,'Threshold Summary'!$Y:$Y,'Threshold Summary'!$L:$L,""))/100)+5)*XLOOKUP(XLOOKUP($Q13,'Threshold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Editor'!$E:$E,1))),stab,IF(OR(mtype=XLOOKUP(XLOOKUP($Q13,'Threshold Summary'!$Y:$Y,'Threshold Summary'!$K:$K,""),'Pokemon Editor'!$A:$A,'Pokemon Editor'!$C:$C,""),mtype=XLOOKUP(XLOOKUP($Q13,'Threshold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Chart'!$B$1:$S$1,0)))),base,IF(OR(cat="Status",pow=0),0,FLOOR(FLOOR(FLOOR((2*XLOOKUP($Q13,'Threshold Summary'!$Y:$Y,'Threshold Summary'!$L:$L,"")/5+2)*pow*atk/def)/50)+2)),modifier,stab*eff,FLOOR(base*modifier*0.85)),0)</f>
        <v/>
      </c>
      <c r="K13" s="3">
        <f>IFERROR(LET(mtype,XLOOKUP($D13,'Move Editor'!$B:$B,'Move Editor'!$C:$C,""),cat,XLOOKUP($D13,'Move Editor'!$B:$B,'Move Editor'!$D:$D,""),pow,XLOOKUP($D13,'Move Editor'!$B:$B,'Move Editor'!$E:$E,0),acc,XLOOKUP($D13,'Move Editor'!$B:$B,'Move Editor'!$F:$F,100),atk,IF(cat="Physical",FLOOR((FLOOR(((2*XLOOKUP(XLOOKUP($Q13,'Threshold Summary'!$Y:$Y,'Threshold Summary'!$K:$K,""),'Pokemon Editor'!$A:$A,'Pokemon Editor'!$F:$F,0)+31+FLOOR(XLOOKUP($Q13,'Threshold Summary'!$Y:$Y,'Threshold Summary'!$P:$P,"")/4))*XLOOKUP($Q13,'Threshold Summary'!$Y:$Y,'Threshold Summary'!$L:$L,""))/100)+5)*XLOOKUP(XLOOKUP($Q13,'Threshold Summary'!$Y:$Y,'Threshold Summary'!$M:$M,""),'Nature Editor'!$A:$A,'Nature Editor'!$B:$B,1)),FLOOR((FLOOR(((2*XLOOKUP(XLOOKUP($Q13,'Threshold Summary'!$Y:$Y,'Threshold Summary'!$K:$K,""),'Pokemon Editor'!$A:$A,'Pokemon Editor'!$H:$H,0)+31+FLOOR(XLOOKUP($Q13,'Threshold Summary'!$Y:$Y,'Threshold Summary'!$R:$R,"")/4))*XLOOKUP($Q13,'Threshold Summary'!$Y:$Y,'Threshold Summary'!$L:$L,""))/100)+5)*XLOOKUP(XLOOKUP($Q13,'Threshold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Editor'!$E:$E,1))),stab,IF(OR(mtype=XLOOKUP(XLOOKUP($Q13,'Threshold Summary'!$Y:$Y,'Threshold Summary'!$K:$K,""),'Pokemon Editor'!$A:$A,'Pokemon Editor'!$C:$C,""),mtype=XLOOKUP(XLOOKUP($Q13,'Threshold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Chart'!$B$1:$S$1,0)))),base,IF(OR(cat="Status",pow=0),0,FLOOR(FLOOR(FLOOR((2*XLOOKUP($Q13,'Threshold Summary'!$Y:$Y,'Threshold Summary'!$L:$L,"")/5+2)*pow*atk/def)/50)+2)),modifier,stab*eff,FLOOR(base*modifier)),0)</f>
        <v/>
      </c>
      <c r="L13" s="3">
        <f>IFERROR(LET(mtype,XLOOKUP($D13,'Move Editor'!$B:$B,'Move Editor'!$C:$C,""),cat,XLOOKUP($D13,'Move Editor'!$B:$B,'Move Editor'!$D:$D,""),pow,XLOOKUP($D13,'Move Editor'!$B:$B,'Move Editor'!$E:$E,0),acc,XLOOKUP($D13,'Move Editor'!$B:$B,'Move Editor'!$F:$F,100),atk,IF(cat="Physical",FLOOR((FLOOR(((2*XLOOKUP(XLOOKUP($Q13,'Threshold Summary'!$Y:$Y,'Threshold Summary'!$K:$K,""),'Pokemon Editor'!$A:$A,'Pokemon Editor'!$F:$F,0)+31+FLOOR(XLOOKUP($Q13,'Threshold Summary'!$Y:$Y,'Threshold Summary'!$P:$P,"")/4))*XLOOKUP($Q13,'Threshold Summary'!$Y:$Y,'Threshold Summary'!$L:$L,""))/100)+5)*XLOOKUP(XLOOKUP($Q13,'Threshold Summary'!$Y:$Y,'Threshold Summary'!$M:$M,""),'Nature Editor'!$A:$A,'Nature Editor'!$B:$B,1)),FLOOR((FLOOR(((2*XLOOKUP(XLOOKUP($Q13,'Threshold Summary'!$Y:$Y,'Threshold Summary'!$K:$K,""),'Pokemon Editor'!$A:$A,'Pokemon Editor'!$H:$H,0)+31+FLOOR(XLOOKUP($Q13,'Threshold Summary'!$Y:$Y,'Threshold Summary'!$R:$R,"")/4))*XLOOKUP($Q13,'Threshold Summary'!$Y:$Y,'Threshold Summary'!$L:$L,""))/100)+5)*XLOOKUP(XLOOKUP($Q13,'Threshold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Editor'!$E:$E,1))),stab,IF(OR(mtype=XLOOKUP(XLOOKUP($Q13,'Threshold Summary'!$Y:$Y,'Threshold Summary'!$K:$K,""),'Pokemon Editor'!$A:$A,'Pokemon Editor'!$C:$C,""),mtype=XLOOKUP(XLOOKUP($Q13,'Threshold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Chart'!$B$1:$S$1,0)))),base,IF(OR(cat="Status",pow=0),0,FLOOR(FLOOR(FLOOR((2*XLOOKUP($Q13,'Threshold Summary'!$Y:$Y,'Threshold Summary'!$L:$L,"")/5+2)*pow*atk/def)/50)+2)),modifier,stab*eff,AVERAGE(ARRAYFORMULA(FLOOR(base*modifier*SEQUENCE(16,1,85,1)/100)))),0)</f>
        <v/>
      </c>
      <c r="M13" s="3">
        <f>IFERROR(LET(mtype,XLOOKUP($D13,'Move Editor'!$B:$B,'Move Editor'!$C:$C,""),cat,XLOOKUP($D13,'Move Editor'!$B:$B,'Move Editor'!$D:$D,""),pow,XLOOKUP($D13,'Move Editor'!$B:$B,'Move Editor'!$E:$E,0),acc,XLOOKUP($D13,'Move Editor'!$B:$B,'Move Editor'!$F:$F,100),atk,IF(cat="Physical",FLOOR((FLOOR(((2*XLOOKUP(XLOOKUP($Q13,'Threshold Summary'!$Y:$Y,'Threshold Summary'!$K:$K,""),'Pokemon Editor'!$A:$A,'Pokemon Editor'!$F:$F,0)+31+FLOOR(XLOOKUP($Q13,'Threshold Summary'!$Y:$Y,'Threshold Summary'!$P:$P,"")/4))*XLOOKUP($Q13,'Threshold Summary'!$Y:$Y,'Threshold Summary'!$L:$L,""))/100)+5)*XLOOKUP(XLOOKUP($Q13,'Threshold Summary'!$Y:$Y,'Threshold Summary'!$M:$M,""),'Nature Editor'!$A:$A,'Nature Editor'!$B:$B,1)),FLOOR((FLOOR(((2*XLOOKUP(XLOOKUP($Q13,'Threshold Summary'!$Y:$Y,'Threshold Summary'!$K:$K,""),'Pokemon Editor'!$A:$A,'Pokemon Editor'!$H:$H,0)+31+FLOOR(XLOOKUP($Q13,'Threshold Summary'!$Y:$Y,'Threshold Summary'!$R:$R,"")/4))*XLOOKUP($Q13,'Threshold Summary'!$Y:$Y,'Threshold Summary'!$L:$L,""))/100)+5)*XLOOKUP(XLOOKUP($Q13,'Threshold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Editor'!$E:$E,1))),stab,IF(OR(mtype=XLOOKUP(XLOOKUP($Q13,'Threshold Summary'!$Y:$Y,'Threshold Summary'!$K:$K,""),'Pokemon Editor'!$A:$A,'Pokemon Editor'!$C:$C,""),mtype=XLOOKUP(XLOOKUP($Q13,'Threshold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Chart'!$B$1:$S$1,0)))),base,IF(OR(cat="Status",pow=0),0,FLOOR(FLOOR(FLOOR((2*XLOOKUP($Q13,'Threshold Summary'!$Y:$Y,'Threshold Summary'!$L:$L,"")/5+2)*pow*atk/def)/50)+2)),modifier,stab*eff,AVERAGE(ARRAYFORMULA(FLOOR(base*modifier*SEQUENCE(16,1,85,1)/100)))*MIN(1,acc/100)),0)</f>
        <v/>
      </c>
      <c r="N13" s="4">
        <f>IFERROR(LET(mtype,XLOOKUP($D13,'Move Editor'!$B:$B,'Move Editor'!$C:$C,""),cat,XLOOKUP($D13,'Move Editor'!$B:$B,'Move Editor'!$D:$D,""),pow,XLOOKUP($D13,'Move Editor'!$B:$B,'Move Editor'!$E:$E,0),acc,XLOOKUP($D13,'Move Editor'!$B:$B,'Move Editor'!$F:$F,100),atk,IF(cat="Physical",FLOOR((FLOOR(((2*XLOOKUP(XLOOKUP($Q13,'Threshold Summary'!$Y:$Y,'Threshold Summary'!$K:$K,""),'Pokemon Editor'!$A:$A,'Pokemon Editor'!$F:$F,0)+31+FLOOR(XLOOKUP($Q13,'Threshold Summary'!$Y:$Y,'Threshold Summary'!$P:$P,"")/4))*XLOOKUP($Q13,'Threshold Summary'!$Y:$Y,'Threshold Summary'!$L:$L,""))/100)+5)*XLOOKUP(XLOOKUP($Q13,'Threshold Summary'!$Y:$Y,'Threshold Summary'!$M:$M,""),'Nature Editor'!$A:$A,'Nature Editor'!$B:$B,1)),FLOOR((FLOOR(((2*XLOOKUP(XLOOKUP($Q13,'Threshold Summary'!$Y:$Y,'Threshold Summary'!$K:$K,""),'Pokemon Editor'!$A:$A,'Pokemon Editor'!$H:$H,0)+31+FLOOR(XLOOKUP($Q13,'Threshold Summary'!$Y:$Y,'Threshold Summary'!$R:$R,"")/4))*XLOOKUP($Q13,'Threshold Summary'!$Y:$Y,'Threshold Summary'!$L:$L,""))/100)+5)*XLOOKUP(XLOOKUP($Q13,'Threshold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Editor'!$E:$E,1))),stab,IF(OR(mtype=XLOOKUP(XLOOKUP($Q13,'Threshold Summary'!$Y:$Y,'Threshold Summary'!$K:$K,""),'Pokemon Editor'!$A:$A,'Pokemon Editor'!$C:$C,""),mtype=XLOOKUP(XLOOKUP($Q13,'Threshold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Chart'!$B$1:$S$1,0)))),base,IF(OR(cat="Status",pow=0),0,FLOOR(FLOOR(FLOOR((2*XLOOKUP($Q13,'Threshold Summary'!$Y:$Y,'Threshold Summary'!$L:$L,"")/5+2)*pow*atk/def)/50)+2)),modifier,stab*eff,AVERAGE(ARRAYFORMULA(FLOOR(base*modifier*SEQUENCE(16,1,85,1)/100)))/(FLOOR(((2*XLOOKUP('Boss Editor'!$C$4,'Pokemon Editor'!$A:$A,'Pokemon Editor'!$E:$E,0)+31+FLOOR('Boss Editor'!$G$4/4))*'Boss Editor'!$D$4)/100)+'Boss Editor'!$D$4+10)),0)</f>
        <v/>
      </c>
      <c r="O13" s="3">
        <f>IF(N13&gt;=1,"OHKO",IF(N13&gt;=0.5,"2HKO",IF(N13&gt;=0.333,"3HKO",IF(N13&gt;=0.25,"4HKO","5HKO+"))))</f>
        <v/>
      </c>
      <c r="P13" s="3" t="inlineStr">
        <is>
          <t>Live from editable databases</t>
        </is>
      </c>
      <c r="Q13" s="3" t="inlineStr">
        <is>
          <t>SPECIES_PARAS</t>
        </is>
      </c>
      <c r="R13" s="3" t="n">
        <v>12</v>
      </c>
    </row>
    <row r="14">
      <c r="A14" s="3">
        <f>XLOOKUP($Q14,'Threshold Summary'!$Y:$Y,'Threshold Summary'!$A:$A,"")</f>
        <v/>
      </c>
      <c r="B14" s="3">
        <f>XLOOKUP($Q14,'Threshold Summary'!$Y:$Y,'Threshold Summary'!$M:$M,"")</f>
        <v/>
      </c>
      <c r="C14" s="3">
        <f>XLOOKUP($Q14,'Threshold Summary'!$Y:$Y,'Threshold Summary'!$N:$N,"")</f>
        <v/>
      </c>
      <c r="D14" s="3">
        <f>IFERROR(INDEX(FILTER('Learnset Editor'!$D$2:$D,'Learnset Editor'!$A$2:$A=XLOOKUP($Q14,'Threshold Summary'!$Y:$Y,'Threshold Summary'!$K:$K,""),'Learnset Editor'!$C$2:$C&lt;=XLOOKUP($Q14,'Threshold Summary'!$Y:$Y,'Threshold Summary'!$L:$L,"")),$R14),"")</f>
        <v/>
      </c>
      <c r="E14" s="3">
        <f>XLOOKUP(D14,'Move Editor'!$B:$B,'Move Editor'!$C:$C,"")</f>
        <v/>
      </c>
      <c r="F14" s="3">
        <f>XLOOKUP(D14,'Move Editor'!$B:$B,'Move Editor'!$D:$D,"")</f>
        <v/>
      </c>
      <c r="G14" s="3">
        <f>XLOOKUP(D14,'Move Editor'!$B:$B,'Move Editor'!$E:$E,0)</f>
        <v/>
      </c>
      <c r="H14" s="3">
        <f>XLOOKUP(D14,'Move Editor'!$B:$B,'Move Editor'!$F:$F,0)</f>
        <v/>
      </c>
      <c r="I14" s="3">
        <f>(INDEX('Type Chart'!$B:$S,MATCH(E14,'Type Chart'!$A:$A,0),MATCH(XLOOKUP('Boss Editor'!$C$4,'Pokemon Editor'!$A:$A,'Pokemon Editor'!$C:$C,""),'Type Chart'!$B$1:$S$1,0))*IF(XLOOKUP('Boss Editor'!$C$4,'Pokemon Editor'!$A:$A,'Pokemon Editor'!$D:$D,"")="",1,INDEX('Type Chart'!$B:$S,MATCH(E14,'Type Chart'!$A:$A,0),MATCH(XLOOKUP('Boss Editor'!$C$4,'Pokemon Editor'!$A:$A,'Pokemon Editor'!$D:$D,""),'Type Chart'!$B$1:$S$1,0))))</f>
        <v/>
      </c>
      <c r="J14" s="3">
        <f>IFERROR(LET(mtype,XLOOKUP($D14,'Move Editor'!$B:$B,'Move Editor'!$C:$C,""),cat,XLOOKUP($D14,'Move Editor'!$B:$B,'Move Editor'!$D:$D,""),pow,XLOOKUP($D14,'Move Editor'!$B:$B,'Move Editor'!$E:$E,0),acc,XLOOKUP($D14,'Move Editor'!$B:$B,'Move Editor'!$F:$F,100),atk,IF(cat="Physical",FLOOR((FLOOR(((2*XLOOKUP(XLOOKUP($Q14,'Threshold Summary'!$Y:$Y,'Threshold Summary'!$K:$K,""),'Pokemon Editor'!$A:$A,'Pokemon Editor'!$F:$F,0)+31+FLOOR(XLOOKUP($Q14,'Threshold Summary'!$Y:$Y,'Threshold Summary'!$P:$P,"")/4))*XLOOKUP($Q14,'Threshold Summary'!$Y:$Y,'Threshold Summary'!$L:$L,""))/100)+5)*XLOOKUP(XLOOKUP($Q14,'Threshold Summary'!$Y:$Y,'Threshold Summary'!$M:$M,""),'Nature Editor'!$A:$A,'Nature Editor'!$B:$B,1)),FLOOR((FLOOR(((2*XLOOKUP(XLOOKUP($Q14,'Threshold Summary'!$Y:$Y,'Threshold Summary'!$K:$K,""),'Pokemon Editor'!$A:$A,'Pokemon Editor'!$H:$H,0)+31+FLOOR(XLOOKUP($Q14,'Threshold Summary'!$Y:$Y,'Threshold Summary'!$R:$R,"")/4))*XLOOKUP($Q14,'Threshold Summary'!$Y:$Y,'Threshold Summary'!$L:$L,""))/100)+5)*XLOOKUP(XLOOKUP($Q14,'Threshold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Editor'!$E:$E,1))),stab,IF(OR(mtype=XLOOKUP(XLOOKUP($Q14,'Threshold Summary'!$Y:$Y,'Threshold Summary'!$K:$K,""),'Pokemon Editor'!$A:$A,'Pokemon Editor'!$C:$C,""),mtype=XLOOKUP(XLOOKUP($Q14,'Threshold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Chart'!$B$1:$S$1,0)))),base,IF(OR(cat="Status",pow=0),0,FLOOR(FLOOR(FLOOR((2*XLOOKUP($Q14,'Threshold Summary'!$Y:$Y,'Threshold Summary'!$L:$L,"")/5+2)*pow*atk/def)/50)+2)),modifier,stab*eff,FLOOR(base*modifier*0.85)),0)</f>
        <v/>
      </c>
      <c r="K14" s="3">
        <f>IFERROR(LET(mtype,XLOOKUP($D14,'Move Editor'!$B:$B,'Move Editor'!$C:$C,""),cat,XLOOKUP($D14,'Move Editor'!$B:$B,'Move Editor'!$D:$D,""),pow,XLOOKUP($D14,'Move Editor'!$B:$B,'Move Editor'!$E:$E,0),acc,XLOOKUP($D14,'Move Editor'!$B:$B,'Move Editor'!$F:$F,100),atk,IF(cat="Physical",FLOOR((FLOOR(((2*XLOOKUP(XLOOKUP($Q14,'Threshold Summary'!$Y:$Y,'Threshold Summary'!$K:$K,""),'Pokemon Editor'!$A:$A,'Pokemon Editor'!$F:$F,0)+31+FLOOR(XLOOKUP($Q14,'Threshold Summary'!$Y:$Y,'Threshold Summary'!$P:$P,"")/4))*XLOOKUP($Q14,'Threshold Summary'!$Y:$Y,'Threshold Summary'!$L:$L,""))/100)+5)*XLOOKUP(XLOOKUP($Q14,'Threshold Summary'!$Y:$Y,'Threshold Summary'!$M:$M,""),'Nature Editor'!$A:$A,'Nature Editor'!$B:$B,1)),FLOOR((FLOOR(((2*XLOOKUP(XLOOKUP($Q14,'Threshold Summary'!$Y:$Y,'Threshold Summary'!$K:$K,""),'Pokemon Editor'!$A:$A,'Pokemon Editor'!$H:$H,0)+31+FLOOR(XLOOKUP($Q14,'Threshold Summary'!$Y:$Y,'Threshold Summary'!$R:$R,"")/4))*XLOOKUP($Q14,'Threshold Summary'!$Y:$Y,'Threshold Summary'!$L:$L,""))/100)+5)*XLOOKUP(XLOOKUP($Q14,'Threshold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Editor'!$E:$E,1))),stab,IF(OR(mtype=XLOOKUP(XLOOKUP($Q14,'Threshold Summary'!$Y:$Y,'Threshold Summary'!$K:$K,""),'Pokemon Editor'!$A:$A,'Pokemon Editor'!$C:$C,""),mtype=XLOOKUP(XLOOKUP($Q14,'Threshold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Chart'!$B$1:$S$1,0)))),base,IF(OR(cat="Status",pow=0),0,FLOOR(FLOOR(FLOOR((2*XLOOKUP($Q14,'Threshold Summary'!$Y:$Y,'Threshold Summary'!$L:$L,"")/5+2)*pow*atk/def)/50)+2)),modifier,stab*eff,FLOOR(base*modifier)),0)</f>
        <v/>
      </c>
      <c r="L14" s="3">
        <f>IFERROR(LET(mtype,XLOOKUP($D14,'Move Editor'!$B:$B,'Move Editor'!$C:$C,""),cat,XLOOKUP($D14,'Move Editor'!$B:$B,'Move Editor'!$D:$D,""),pow,XLOOKUP($D14,'Move Editor'!$B:$B,'Move Editor'!$E:$E,0),acc,XLOOKUP($D14,'Move Editor'!$B:$B,'Move Editor'!$F:$F,100),atk,IF(cat="Physical",FLOOR((FLOOR(((2*XLOOKUP(XLOOKUP($Q14,'Threshold Summary'!$Y:$Y,'Threshold Summary'!$K:$K,""),'Pokemon Editor'!$A:$A,'Pokemon Editor'!$F:$F,0)+31+FLOOR(XLOOKUP($Q14,'Threshold Summary'!$Y:$Y,'Threshold Summary'!$P:$P,"")/4))*XLOOKUP($Q14,'Threshold Summary'!$Y:$Y,'Threshold Summary'!$L:$L,""))/100)+5)*XLOOKUP(XLOOKUP($Q14,'Threshold Summary'!$Y:$Y,'Threshold Summary'!$M:$M,""),'Nature Editor'!$A:$A,'Nature Editor'!$B:$B,1)),FLOOR((FLOOR(((2*XLOOKUP(XLOOKUP($Q14,'Threshold Summary'!$Y:$Y,'Threshold Summary'!$K:$K,""),'Pokemon Editor'!$A:$A,'Pokemon Editor'!$H:$H,0)+31+FLOOR(XLOOKUP($Q14,'Threshold Summary'!$Y:$Y,'Threshold Summary'!$R:$R,"")/4))*XLOOKUP($Q14,'Threshold Summary'!$Y:$Y,'Threshold Summary'!$L:$L,""))/100)+5)*XLOOKUP(XLOOKUP($Q14,'Threshold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Editor'!$E:$E,1))),stab,IF(OR(mtype=XLOOKUP(XLOOKUP($Q14,'Threshold Summary'!$Y:$Y,'Threshold Summary'!$K:$K,""),'Pokemon Editor'!$A:$A,'Pokemon Editor'!$C:$C,""),mtype=XLOOKUP(XLOOKUP($Q14,'Threshold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Chart'!$B$1:$S$1,0)))),base,IF(OR(cat="Status",pow=0),0,FLOOR(FLOOR(FLOOR((2*XLOOKUP($Q14,'Threshold Summary'!$Y:$Y,'Threshold Summary'!$L:$L,"")/5+2)*pow*atk/def)/50)+2)),modifier,stab*eff,AVERAGE(ARRAYFORMULA(FLOOR(base*modifier*SEQUENCE(16,1,85,1)/100)))),0)</f>
        <v/>
      </c>
      <c r="M14" s="3">
        <f>IFERROR(LET(mtype,XLOOKUP($D14,'Move Editor'!$B:$B,'Move Editor'!$C:$C,""),cat,XLOOKUP($D14,'Move Editor'!$B:$B,'Move Editor'!$D:$D,""),pow,XLOOKUP($D14,'Move Editor'!$B:$B,'Move Editor'!$E:$E,0),acc,XLOOKUP($D14,'Move Editor'!$B:$B,'Move Editor'!$F:$F,100),atk,IF(cat="Physical",FLOOR((FLOOR(((2*XLOOKUP(XLOOKUP($Q14,'Threshold Summary'!$Y:$Y,'Threshold Summary'!$K:$K,""),'Pokemon Editor'!$A:$A,'Pokemon Editor'!$F:$F,0)+31+FLOOR(XLOOKUP($Q14,'Threshold Summary'!$Y:$Y,'Threshold Summary'!$P:$P,"")/4))*XLOOKUP($Q14,'Threshold Summary'!$Y:$Y,'Threshold Summary'!$L:$L,""))/100)+5)*XLOOKUP(XLOOKUP($Q14,'Threshold Summary'!$Y:$Y,'Threshold Summary'!$M:$M,""),'Nature Editor'!$A:$A,'Nature Editor'!$B:$B,1)),FLOOR((FLOOR(((2*XLOOKUP(XLOOKUP($Q14,'Threshold Summary'!$Y:$Y,'Threshold Summary'!$K:$K,""),'Pokemon Editor'!$A:$A,'Pokemon Editor'!$H:$H,0)+31+FLOOR(XLOOKUP($Q14,'Threshold Summary'!$Y:$Y,'Threshold Summary'!$R:$R,"")/4))*XLOOKUP($Q14,'Threshold Summary'!$Y:$Y,'Threshold Summary'!$L:$L,""))/100)+5)*XLOOKUP(XLOOKUP($Q14,'Threshold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Editor'!$E:$E,1))),stab,IF(OR(mtype=XLOOKUP(XLOOKUP($Q14,'Threshold Summary'!$Y:$Y,'Threshold Summary'!$K:$K,""),'Pokemon Editor'!$A:$A,'Pokemon Editor'!$C:$C,""),mtype=XLOOKUP(XLOOKUP($Q14,'Threshold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Chart'!$B$1:$S$1,0)))),base,IF(OR(cat="Status",pow=0),0,FLOOR(FLOOR(FLOOR((2*XLOOKUP($Q14,'Threshold Summary'!$Y:$Y,'Threshold Summary'!$L:$L,"")/5+2)*pow*atk/def)/50)+2)),modifier,stab*eff,AVERAGE(ARRAYFORMULA(FLOOR(base*modifier*SEQUENCE(16,1,85,1)/100)))*MIN(1,acc/100)),0)</f>
        <v/>
      </c>
      <c r="N14" s="4">
        <f>IFERROR(LET(mtype,XLOOKUP($D14,'Move Editor'!$B:$B,'Move Editor'!$C:$C,""),cat,XLOOKUP($D14,'Move Editor'!$B:$B,'Move Editor'!$D:$D,""),pow,XLOOKUP($D14,'Move Editor'!$B:$B,'Move Editor'!$E:$E,0),acc,XLOOKUP($D14,'Move Editor'!$B:$B,'Move Editor'!$F:$F,100),atk,IF(cat="Physical",FLOOR((FLOOR(((2*XLOOKUP(XLOOKUP($Q14,'Threshold Summary'!$Y:$Y,'Threshold Summary'!$K:$K,""),'Pokemon Editor'!$A:$A,'Pokemon Editor'!$F:$F,0)+31+FLOOR(XLOOKUP($Q14,'Threshold Summary'!$Y:$Y,'Threshold Summary'!$P:$P,"")/4))*XLOOKUP($Q14,'Threshold Summary'!$Y:$Y,'Threshold Summary'!$L:$L,""))/100)+5)*XLOOKUP(XLOOKUP($Q14,'Threshold Summary'!$Y:$Y,'Threshold Summary'!$M:$M,""),'Nature Editor'!$A:$A,'Nature Editor'!$B:$B,1)),FLOOR((FLOOR(((2*XLOOKUP(XLOOKUP($Q14,'Threshold Summary'!$Y:$Y,'Threshold Summary'!$K:$K,""),'Pokemon Editor'!$A:$A,'Pokemon Editor'!$H:$H,0)+31+FLOOR(XLOOKUP($Q14,'Threshold Summary'!$Y:$Y,'Threshold Summary'!$R:$R,"")/4))*XLOOKUP($Q14,'Threshold Summary'!$Y:$Y,'Threshold Summary'!$L:$L,""))/100)+5)*XLOOKUP(XLOOKUP($Q14,'Threshold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Editor'!$E:$E,1))),stab,IF(OR(mtype=XLOOKUP(XLOOKUP($Q14,'Threshold Summary'!$Y:$Y,'Threshold Summary'!$K:$K,""),'Pokemon Editor'!$A:$A,'Pokemon Editor'!$C:$C,""),mtype=XLOOKUP(XLOOKUP($Q14,'Threshold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Chart'!$B$1:$S$1,0)))),base,IF(OR(cat="Status",pow=0),0,FLOOR(FLOOR(FLOOR((2*XLOOKUP($Q14,'Threshold Summary'!$Y:$Y,'Threshold Summary'!$L:$L,"")/5+2)*pow*atk/def)/50)+2)),modifier,stab*eff,AVERAGE(ARRAYFORMULA(FLOOR(base*modifier*SEQUENCE(16,1,85,1)/100)))/(FLOOR(((2*XLOOKUP('Boss Editor'!$C$4,'Pokemon Editor'!$A:$A,'Pokemon Editor'!$E:$E,0)+31+FLOOR('Boss Editor'!$G$4/4))*'Boss Editor'!$D$4)/100)+'Boss Editor'!$D$4+10)),0)</f>
        <v/>
      </c>
      <c r="O14" s="3">
        <f>IF(N14&gt;=1,"OHKO",IF(N14&gt;=0.5,"2HKO",IF(N14&gt;=0.333,"3HKO",IF(N14&gt;=0.25,"4HKO","5HKO+"))))</f>
        <v/>
      </c>
      <c r="P14" s="3" t="inlineStr">
        <is>
          <t>Live from editable databases</t>
        </is>
      </c>
      <c r="Q14" s="3" t="inlineStr">
        <is>
          <t>SPECIES_PARAS</t>
        </is>
      </c>
      <c r="R14" s="3" t="n">
        <v>13</v>
      </c>
    </row>
    <row r="15">
      <c r="A15" s="3">
        <f>XLOOKUP($Q15,'Threshold Summary'!$Y:$Y,'Threshold Summary'!$A:$A,"")</f>
        <v/>
      </c>
      <c r="B15" s="3">
        <f>XLOOKUP($Q15,'Threshold Summary'!$Y:$Y,'Threshold Summary'!$M:$M,"")</f>
        <v/>
      </c>
      <c r="C15" s="3">
        <f>XLOOKUP($Q15,'Threshold Summary'!$Y:$Y,'Threshold Summary'!$N:$N,"")</f>
        <v/>
      </c>
      <c r="D15" s="3">
        <f>IFERROR(INDEX(FILTER('Learnset Editor'!$D$2:$D,'Learnset Editor'!$A$2:$A=XLOOKUP($Q15,'Threshold Summary'!$Y:$Y,'Threshold Summary'!$K:$K,""),'Learnset Editor'!$C$2:$C&lt;=XLOOKUP($Q15,'Threshold Summary'!$Y:$Y,'Threshold Summary'!$L:$L,"")),$R15),"")</f>
        <v/>
      </c>
      <c r="E15" s="3">
        <f>XLOOKUP(D15,'Move Editor'!$B:$B,'Move Editor'!$C:$C,"")</f>
        <v/>
      </c>
      <c r="F15" s="3">
        <f>XLOOKUP(D15,'Move Editor'!$B:$B,'Move Editor'!$D:$D,"")</f>
        <v/>
      </c>
      <c r="G15" s="3">
        <f>XLOOKUP(D15,'Move Editor'!$B:$B,'Move Editor'!$E:$E,0)</f>
        <v/>
      </c>
      <c r="H15" s="3">
        <f>XLOOKUP(D15,'Move Editor'!$B:$B,'Move Editor'!$F:$F,0)</f>
        <v/>
      </c>
      <c r="I15" s="3">
        <f>(INDEX('Type Chart'!$B:$S,MATCH(E15,'Type Chart'!$A:$A,0),MATCH(XLOOKUP('Boss Editor'!$C$4,'Pokemon Editor'!$A:$A,'Pokemon Editor'!$C:$C,""),'Type Chart'!$B$1:$S$1,0))*IF(XLOOKUP('Boss Editor'!$C$4,'Pokemon Editor'!$A:$A,'Pokemon Editor'!$D:$D,"")="",1,INDEX('Type Chart'!$B:$S,MATCH(E15,'Type Chart'!$A:$A,0),MATCH(XLOOKUP('Boss Editor'!$C$4,'Pokemon Editor'!$A:$A,'Pokemon Editor'!$D:$D,""),'Type Chart'!$B$1:$S$1,0))))</f>
        <v/>
      </c>
      <c r="J15" s="3">
        <f>IFERROR(LET(mtype,XLOOKUP($D15,'Move Editor'!$B:$B,'Move Editor'!$C:$C,""),cat,XLOOKUP($D15,'Move Editor'!$B:$B,'Move Editor'!$D:$D,""),pow,XLOOKUP($D15,'Move Editor'!$B:$B,'Move Editor'!$E:$E,0),acc,XLOOKUP($D15,'Move Editor'!$B:$B,'Move Editor'!$F:$F,100),atk,IF(cat="Physical",FLOOR((FLOOR(((2*XLOOKUP(XLOOKUP($Q15,'Threshold Summary'!$Y:$Y,'Threshold Summary'!$K:$K,""),'Pokemon Editor'!$A:$A,'Pokemon Editor'!$F:$F,0)+31+FLOOR(XLOOKUP($Q15,'Threshold Summary'!$Y:$Y,'Threshold Summary'!$P:$P,"")/4))*XLOOKUP($Q15,'Threshold Summary'!$Y:$Y,'Threshold Summary'!$L:$L,""))/100)+5)*XLOOKUP(XLOOKUP($Q15,'Threshold Summary'!$Y:$Y,'Threshold Summary'!$M:$M,""),'Nature Editor'!$A:$A,'Nature Editor'!$B:$B,1)),FLOOR((FLOOR(((2*XLOOKUP(XLOOKUP($Q15,'Threshold Summary'!$Y:$Y,'Threshold Summary'!$K:$K,""),'Pokemon Editor'!$A:$A,'Pokemon Editor'!$H:$H,0)+31+FLOOR(XLOOKUP($Q15,'Threshold Summary'!$Y:$Y,'Threshold Summary'!$R:$R,"")/4))*XLOOKUP($Q15,'Threshold Summary'!$Y:$Y,'Threshold Summary'!$L:$L,""))/100)+5)*XLOOKUP(XLOOKUP($Q15,'Threshold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Editor'!$E:$E,1))),stab,IF(OR(mtype=XLOOKUP(XLOOKUP($Q15,'Threshold Summary'!$Y:$Y,'Threshold Summary'!$K:$K,""),'Pokemon Editor'!$A:$A,'Pokemon Editor'!$C:$C,""),mtype=XLOOKUP(XLOOKUP($Q15,'Threshold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Chart'!$B$1:$S$1,0)))),base,IF(OR(cat="Status",pow=0),0,FLOOR(FLOOR(FLOOR((2*XLOOKUP($Q15,'Threshold Summary'!$Y:$Y,'Threshold Summary'!$L:$L,"")/5+2)*pow*atk/def)/50)+2)),modifier,stab*eff,FLOOR(base*modifier*0.85)),0)</f>
        <v/>
      </c>
      <c r="K15" s="3">
        <f>IFERROR(LET(mtype,XLOOKUP($D15,'Move Editor'!$B:$B,'Move Editor'!$C:$C,""),cat,XLOOKUP($D15,'Move Editor'!$B:$B,'Move Editor'!$D:$D,""),pow,XLOOKUP($D15,'Move Editor'!$B:$B,'Move Editor'!$E:$E,0),acc,XLOOKUP($D15,'Move Editor'!$B:$B,'Move Editor'!$F:$F,100),atk,IF(cat="Physical",FLOOR((FLOOR(((2*XLOOKUP(XLOOKUP($Q15,'Threshold Summary'!$Y:$Y,'Threshold Summary'!$K:$K,""),'Pokemon Editor'!$A:$A,'Pokemon Editor'!$F:$F,0)+31+FLOOR(XLOOKUP($Q15,'Threshold Summary'!$Y:$Y,'Threshold Summary'!$P:$P,"")/4))*XLOOKUP($Q15,'Threshold Summary'!$Y:$Y,'Threshold Summary'!$L:$L,""))/100)+5)*XLOOKUP(XLOOKUP($Q15,'Threshold Summary'!$Y:$Y,'Threshold Summary'!$M:$M,""),'Nature Editor'!$A:$A,'Nature Editor'!$B:$B,1)),FLOOR((FLOOR(((2*XLOOKUP(XLOOKUP($Q15,'Threshold Summary'!$Y:$Y,'Threshold Summary'!$K:$K,""),'Pokemon Editor'!$A:$A,'Pokemon Editor'!$H:$H,0)+31+FLOOR(XLOOKUP($Q15,'Threshold Summary'!$Y:$Y,'Threshold Summary'!$R:$R,"")/4))*XLOOKUP($Q15,'Threshold Summary'!$Y:$Y,'Threshold Summary'!$L:$L,""))/100)+5)*XLOOKUP(XLOOKUP($Q15,'Threshold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Editor'!$E:$E,1))),stab,IF(OR(mtype=XLOOKUP(XLOOKUP($Q15,'Threshold Summary'!$Y:$Y,'Threshold Summary'!$K:$K,""),'Pokemon Editor'!$A:$A,'Pokemon Editor'!$C:$C,""),mtype=XLOOKUP(XLOOKUP($Q15,'Threshold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Chart'!$B$1:$S$1,0)))),base,IF(OR(cat="Status",pow=0),0,FLOOR(FLOOR(FLOOR((2*XLOOKUP($Q15,'Threshold Summary'!$Y:$Y,'Threshold Summary'!$L:$L,"")/5+2)*pow*atk/def)/50)+2)),modifier,stab*eff,FLOOR(base*modifier)),0)</f>
        <v/>
      </c>
      <c r="L15" s="3">
        <f>IFERROR(LET(mtype,XLOOKUP($D15,'Move Editor'!$B:$B,'Move Editor'!$C:$C,""),cat,XLOOKUP($D15,'Move Editor'!$B:$B,'Move Editor'!$D:$D,""),pow,XLOOKUP($D15,'Move Editor'!$B:$B,'Move Editor'!$E:$E,0),acc,XLOOKUP($D15,'Move Editor'!$B:$B,'Move Editor'!$F:$F,100),atk,IF(cat="Physical",FLOOR((FLOOR(((2*XLOOKUP(XLOOKUP($Q15,'Threshold Summary'!$Y:$Y,'Threshold Summary'!$K:$K,""),'Pokemon Editor'!$A:$A,'Pokemon Editor'!$F:$F,0)+31+FLOOR(XLOOKUP($Q15,'Threshold Summary'!$Y:$Y,'Threshold Summary'!$P:$P,"")/4))*XLOOKUP($Q15,'Threshold Summary'!$Y:$Y,'Threshold Summary'!$L:$L,""))/100)+5)*XLOOKUP(XLOOKUP($Q15,'Threshold Summary'!$Y:$Y,'Threshold Summary'!$M:$M,""),'Nature Editor'!$A:$A,'Nature Editor'!$B:$B,1)),FLOOR((FLOOR(((2*XLOOKUP(XLOOKUP($Q15,'Threshold Summary'!$Y:$Y,'Threshold Summary'!$K:$K,""),'Pokemon Editor'!$A:$A,'Pokemon Editor'!$H:$H,0)+31+FLOOR(XLOOKUP($Q15,'Threshold Summary'!$Y:$Y,'Threshold Summary'!$R:$R,"")/4))*XLOOKUP($Q15,'Threshold Summary'!$Y:$Y,'Threshold Summary'!$L:$L,""))/100)+5)*XLOOKUP(XLOOKUP($Q15,'Threshold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Editor'!$E:$E,1))),stab,IF(OR(mtype=XLOOKUP(XLOOKUP($Q15,'Threshold Summary'!$Y:$Y,'Threshold Summary'!$K:$K,""),'Pokemon Editor'!$A:$A,'Pokemon Editor'!$C:$C,""),mtype=XLOOKUP(XLOOKUP($Q15,'Threshold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Chart'!$B$1:$S$1,0)))),base,IF(OR(cat="Status",pow=0),0,FLOOR(FLOOR(FLOOR((2*XLOOKUP($Q15,'Threshold Summary'!$Y:$Y,'Threshold Summary'!$L:$L,"")/5+2)*pow*atk/def)/50)+2)),modifier,stab*eff,AVERAGE(ARRAYFORMULA(FLOOR(base*modifier*SEQUENCE(16,1,85,1)/100)))),0)</f>
        <v/>
      </c>
      <c r="M15" s="3">
        <f>IFERROR(LET(mtype,XLOOKUP($D15,'Move Editor'!$B:$B,'Move Editor'!$C:$C,""),cat,XLOOKUP($D15,'Move Editor'!$B:$B,'Move Editor'!$D:$D,""),pow,XLOOKUP($D15,'Move Editor'!$B:$B,'Move Editor'!$E:$E,0),acc,XLOOKUP($D15,'Move Editor'!$B:$B,'Move Editor'!$F:$F,100),atk,IF(cat="Physical",FLOOR((FLOOR(((2*XLOOKUP(XLOOKUP($Q15,'Threshold Summary'!$Y:$Y,'Threshold Summary'!$K:$K,""),'Pokemon Editor'!$A:$A,'Pokemon Editor'!$F:$F,0)+31+FLOOR(XLOOKUP($Q15,'Threshold Summary'!$Y:$Y,'Threshold Summary'!$P:$P,"")/4))*XLOOKUP($Q15,'Threshold Summary'!$Y:$Y,'Threshold Summary'!$L:$L,""))/100)+5)*XLOOKUP(XLOOKUP($Q15,'Threshold Summary'!$Y:$Y,'Threshold Summary'!$M:$M,""),'Nature Editor'!$A:$A,'Nature Editor'!$B:$B,1)),FLOOR((FLOOR(((2*XLOOKUP(XLOOKUP($Q15,'Threshold Summary'!$Y:$Y,'Threshold Summary'!$K:$K,""),'Pokemon Editor'!$A:$A,'Pokemon Editor'!$H:$H,0)+31+FLOOR(XLOOKUP($Q15,'Threshold Summary'!$Y:$Y,'Threshold Summary'!$R:$R,"")/4))*XLOOKUP($Q15,'Threshold Summary'!$Y:$Y,'Threshold Summary'!$L:$L,""))/100)+5)*XLOOKUP(XLOOKUP($Q15,'Threshold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Editor'!$E:$E,1))),stab,IF(OR(mtype=XLOOKUP(XLOOKUP($Q15,'Threshold Summary'!$Y:$Y,'Threshold Summary'!$K:$K,""),'Pokemon Editor'!$A:$A,'Pokemon Editor'!$C:$C,""),mtype=XLOOKUP(XLOOKUP($Q15,'Threshold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Chart'!$B$1:$S$1,0)))),base,IF(OR(cat="Status",pow=0),0,FLOOR(FLOOR(FLOOR((2*XLOOKUP($Q15,'Threshold Summary'!$Y:$Y,'Threshold Summary'!$L:$L,"")/5+2)*pow*atk/def)/50)+2)),modifier,stab*eff,AVERAGE(ARRAYFORMULA(FLOOR(base*modifier*SEQUENCE(16,1,85,1)/100)))*MIN(1,acc/100)),0)</f>
        <v/>
      </c>
      <c r="N15" s="4">
        <f>IFERROR(LET(mtype,XLOOKUP($D15,'Move Editor'!$B:$B,'Move Editor'!$C:$C,""),cat,XLOOKUP($D15,'Move Editor'!$B:$B,'Move Editor'!$D:$D,""),pow,XLOOKUP($D15,'Move Editor'!$B:$B,'Move Editor'!$E:$E,0),acc,XLOOKUP($D15,'Move Editor'!$B:$B,'Move Editor'!$F:$F,100),atk,IF(cat="Physical",FLOOR((FLOOR(((2*XLOOKUP(XLOOKUP($Q15,'Threshold Summary'!$Y:$Y,'Threshold Summary'!$K:$K,""),'Pokemon Editor'!$A:$A,'Pokemon Editor'!$F:$F,0)+31+FLOOR(XLOOKUP($Q15,'Threshold Summary'!$Y:$Y,'Threshold Summary'!$P:$P,"")/4))*XLOOKUP($Q15,'Threshold Summary'!$Y:$Y,'Threshold Summary'!$L:$L,""))/100)+5)*XLOOKUP(XLOOKUP($Q15,'Threshold Summary'!$Y:$Y,'Threshold Summary'!$M:$M,""),'Nature Editor'!$A:$A,'Nature Editor'!$B:$B,1)),FLOOR((FLOOR(((2*XLOOKUP(XLOOKUP($Q15,'Threshold Summary'!$Y:$Y,'Threshold Summary'!$K:$K,""),'Pokemon Editor'!$A:$A,'Pokemon Editor'!$H:$H,0)+31+FLOOR(XLOOKUP($Q15,'Threshold Summary'!$Y:$Y,'Threshold Summary'!$R:$R,"")/4))*XLOOKUP($Q15,'Threshold Summary'!$Y:$Y,'Threshold Summary'!$L:$L,""))/100)+5)*XLOOKUP(XLOOKUP($Q15,'Threshold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Editor'!$E:$E,1))),stab,IF(OR(mtype=XLOOKUP(XLOOKUP($Q15,'Threshold Summary'!$Y:$Y,'Threshold Summary'!$K:$K,""),'Pokemon Editor'!$A:$A,'Pokemon Editor'!$C:$C,""),mtype=XLOOKUP(XLOOKUP($Q15,'Threshold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Chart'!$B$1:$S$1,0)))),base,IF(OR(cat="Status",pow=0),0,FLOOR(FLOOR(FLOOR((2*XLOOKUP($Q15,'Threshold Summary'!$Y:$Y,'Threshold Summary'!$L:$L,"")/5+2)*pow*atk/def)/50)+2)),modifier,stab*eff,AVERAGE(ARRAYFORMULA(FLOOR(base*modifier*SEQUENCE(16,1,85,1)/100)))/(FLOOR(((2*XLOOKUP('Boss Editor'!$C$4,'Pokemon Editor'!$A:$A,'Pokemon Editor'!$E:$E,0)+31+FLOOR('Boss Editor'!$G$4/4))*'Boss Editor'!$D$4)/100)+'Boss Editor'!$D$4+10)),0)</f>
        <v/>
      </c>
      <c r="O15" s="3">
        <f>IF(N15&gt;=1,"OHKO",IF(N15&gt;=0.5,"2HKO",IF(N15&gt;=0.333,"3HKO",IF(N15&gt;=0.25,"4HKO","5HKO+"))))</f>
        <v/>
      </c>
      <c r="P15" s="3" t="inlineStr">
        <is>
          <t>Live from editable databases</t>
        </is>
      </c>
      <c r="Q15" s="3" t="inlineStr">
        <is>
          <t>SPECIES_PARAS</t>
        </is>
      </c>
      <c r="R15" s="3" t="n">
        <v>14</v>
      </c>
    </row>
    <row r="16">
      <c r="A16" s="3">
        <f>XLOOKUP($Q16,'Threshold Summary'!$Y:$Y,'Threshold Summary'!$A:$A,"")</f>
        <v/>
      </c>
      <c r="B16" s="3">
        <f>XLOOKUP($Q16,'Threshold Summary'!$Y:$Y,'Threshold Summary'!$M:$M,"")</f>
        <v/>
      </c>
      <c r="C16" s="3">
        <f>XLOOKUP($Q16,'Threshold Summary'!$Y:$Y,'Threshold Summary'!$N:$N,"")</f>
        <v/>
      </c>
      <c r="D16" s="3">
        <f>IFERROR(INDEX(FILTER('Learnset Editor'!$D$2:$D,'Learnset Editor'!$A$2:$A=XLOOKUP($Q16,'Threshold Summary'!$Y:$Y,'Threshold Summary'!$K:$K,""),'Learnset Editor'!$C$2:$C&lt;=XLOOKUP($Q16,'Threshold Summary'!$Y:$Y,'Threshold Summary'!$L:$L,"")),$R16),"")</f>
        <v/>
      </c>
      <c r="E16" s="3">
        <f>XLOOKUP(D16,'Move Editor'!$B:$B,'Move Editor'!$C:$C,"")</f>
        <v/>
      </c>
      <c r="F16" s="3">
        <f>XLOOKUP(D16,'Move Editor'!$B:$B,'Move Editor'!$D:$D,"")</f>
        <v/>
      </c>
      <c r="G16" s="3">
        <f>XLOOKUP(D16,'Move Editor'!$B:$B,'Move Editor'!$E:$E,0)</f>
        <v/>
      </c>
      <c r="H16" s="3">
        <f>XLOOKUP(D16,'Move Editor'!$B:$B,'Move Editor'!$F:$F,0)</f>
        <v/>
      </c>
      <c r="I16" s="3">
        <f>(INDEX('Type Chart'!$B:$S,MATCH(E16,'Type Chart'!$A:$A,0),MATCH(XLOOKUP('Boss Editor'!$C$4,'Pokemon Editor'!$A:$A,'Pokemon Editor'!$C:$C,""),'Type Chart'!$B$1:$S$1,0))*IF(XLOOKUP('Boss Editor'!$C$4,'Pokemon Editor'!$A:$A,'Pokemon Editor'!$D:$D,"")="",1,INDEX('Type Chart'!$B:$S,MATCH(E16,'Type Chart'!$A:$A,0),MATCH(XLOOKUP('Boss Editor'!$C$4,'Pokemon Editor'!$A:$A,'Pokemon Editor'!$D:$D,""),'Type Chart'!$B$1:$S$1,0))))</f>
        <v/>
      </c>
      <c r="J16" s="3">
        <f>IFERROR(LET(mtype,XLOOKUP($D16,'Move Editor'!$B:$B,'Move Editor'!$C:$C,""),cat,XLOOKUP($D16,'Move Editor'!$B:$B,'Move Editor'!$D:$D,""),pow,XLOOKUP($D16,'Move Editor'!$B:$B,'Move Editor'!$E:$E,0),acc,XLOOKUP($D16,'Move Editor'!$B:$B,'Move Editor'!$F:$F,100),atk,IF(cat="Physical",FLOOR((FLOOR(((2*XLOOKUP(XLOOKUP($Q16,'Threshold Summary'!$Y:$Y,'Threshold Summary'!$K:$K,""),'Pokemon Editor'!$A:$A,'Pokemon Editor'!$F:$F,0)+31+FLOOR(XLOOKUP($Q16,'Threshold Summary'!$Y:$Y,'Threshold Summary'!$P:$P,"")/4))*XLOOKUP($Q16,'Threshold Summary'!$Y:$Y,'Threshold Summary'!$L:$L,""))/100)+5)*XLOOKUP(XLOOKUP($Q16,'Threshold Summary'!$Y:$Y,'Threshold Summary'!$M:$M,""),'Nature Editor'!$A:$A,'Nature Editor'!$B:$B,1)),FLOOR((FLOOR(((2*XLOOKUP(XLOOKUP($Q16,'Threshold Summary'!$Y:$Y,'Threshold Summary'!$K:$K,""),'Pokemon Editor'!$A:$A,'Pokemon Editor'!$H:$H,0)+31+FLOOR(XLOOKUP($Q16,'Threshold Summary'!$Y:$Y,'Threshold Summary'!$R:$R,"")/4))*XLOOKUP($Q16,'Threshold Summary'!$Y:$Y,'Threshold Summary'!$L:$L,""))/100)+5)*XLOOKUP(XLOOKUP($Q16,'Threshold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Editor'!$E:$E,1))),stab,IF(OR(mtype=XLOOKUP(XLOOKUP($Q16,'Threshold Summary'!$Y:$Y,'Threshold Summary'!$K:$K,""),'Pokemon Editor'!$A:$A,'Pokemon Editor'!$C:$C,""),mtype=XLOOKUP(XLOOKUP($Q16,'Threshold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Chart'!$B$1:$S$1,0)))),base,IF(OR(cat="Status",pow=0),0,FLOOR(FLOOR(FLOOR((2*XLOOKUP($Q16,'Threshold Summary'!$Y:$Y,'Threshold Summary'!$L:$L,"")/5+2)*pow*atk/def)/50)+2)),modifier,stab*eff,FLOOR(base*modifier*0.85)),0)</f>
        <v/>
      </c>
      <c r="K16" s="3">
        <f>IFERROR(LET(mtype,XLOOKUP($D16,'Move Editor'!$B:$B,'Move Editor'!$C:$C,""),cat,XLOOKUP($D16,'Move Editor'!$B:$B,'Move Editor'!$D:$D,""),pow,XLOOKUP($D16,'Move Editor'!$B:$B,'Move Editor'!$E:$E,0),acc,XLOOKUP($D16,'Move Editor'!$B:$B,'Move Editor'!$F:$F,100),atk,IF(cat="Physical",FLOOR((FLOOR(((2*XLOOKUP(XLOOKUP($Q16,'Threshold Summary'!$Y:$Y,'Threshold Summary'!$K:$K,""),'Pokemon Editor'!$A:$A,'Pokemon Editor'!$F:$F,0)+31+FLOOR(XLOOKUP($Q16,'Threshold Summary'!$Y:$Y,'Threshold Summary'!$P:$P,"")/4))*XLOOKUP($Q16,'Threshold Summary'!$Y:$Y,'Threshold Summary'!$L:$L,""))/100)+5)*XLOOKUP(XLOOKUP($Q16,'Threshold Summary'!$Y:$Y,'Threshold Summary'!$M:$M,""),'Nature Editor'!$A:$A,'Nature Editor'!$B:$B,1)),FLOOR((FLOOR(((2*XLOOKUP(XLOOKUP($Q16,'Threshold Summary'!$Y:$Y,'Threshold Summary'!$K:$K,""),'Pokemon Editor'!$A:$A,'Pokemon Editor'!$H:$H,0)+31+FLOOR(XLOOKUP($Q16,'Threshold Summary'!$Y:$Y,'Threshold Summary'!$R:$R,"")/4))*XLOOKUP($Q16,'Threshold Summary'!$Y:$Y,'Threshold Summary'!$L:$L,""))/100)+5)*XLOOKUP(XLOOKUP($Q16,'Threshold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Editor'!$E:$E,1))),stab,IF(OR(mtype=XLOOKUP(XLOOKUP($Q16,'Threshold Summary'!$Y:$Y,'Threshold Summary'!$K:$K,""),'Pokemon Editor'!$A:$A,'Pokemon Editor'!$C:$C,""),mtype=XLOOKUP(XLOOKUP($Q16,'Threshold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Chart'!$B$1:$S$1,0)))),base,IF(OR(cat="Status",pow=0),0,FLOOR(FLOOR(FLOOR((2*XLOOKUP($Q16,'Threshold Summary'!$Y:$Y,'Threshold Summary'!$L:$L,"")/5+2)*pow*atk/def)/50)+2)),modifier,stab*eff,FLOOR(base*modifier)),0)</f>
        <v/>
      </c>
      <c r="L16" s="3">
        <f>IFERROR(LET(mtype,XLOOKUP($D16,'Move Editor'!$B:$B,'Move Editor'!$C:$C,""),cat,XLOOKUP($D16,'Move Editor'!$B:$B,'Move Editor'!$D:$D,""),pow,XLOOKUP($D16,'Move Editor'!$B:$B,'Move Editor'!$E:$E,0),acc,XLOOKUP($D16,'Move Editor'!$B:$B,'Move Editor'!$F:$F,100),atk,IF(cat="Physical",FLOOR((FLOOR(((2*XLOOKUP(XLOOKUP($Q16,'Threshold Summary'!$Y:$Y,'Threshold Summary'!$K:$K,""),'Pokemon Editor'!$A:$A,'Pokemon Editor'!$F:$F,0)+31+FLOOR(XLOOKUP($Q16,'Threshold Summary'!$Y:$Y,'Threshold Summary'!$P:$P,"")/4))*XLOOKUP($Q16,'Threshold Summary'!$Y:$Y,'Threshold Summary'!$L:$L,""))/100)+5)*XLOOKUP(XLOOKUP($Q16,'Threshold Summary'!$Y:$Y,'Threshold Summary'!$M:$M,""),'Nature Editor'!$A:$A,'Nature Editor'!$B:$B,1)),FLOOR((FLOOR(((2*XLOOKUP(XLOOKUP($Q16,'Threshold Summary'!$Y:$Y,'Threshold Summary'!$K:$K,""),'Pokemon Editor'!$A:$A,'Pokemon Editor'!$H:$H,0)+31+FLOOR(XLOOKUP($Q16,'Threshold Summary'!$Y:$Y,'Threshold Summary'!$R:$R,"")/4))*XLOOKUP($Q16,'Threshold Summary'!$Y:$Y,'Threshold Summary'!$L:$L,""))/100)+5)*XLOOKUP(XLOOKUP($Q16,'Threshold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Editor'!$E:$E,1))),stab,IF(OR(mtype=XLOOKUP(XLOOKUP($Q16,'Threshold Summary'!$Y:$Y,'Threshold Summary'!$K:$K,""),'Pokemon Editor'!$A:$A,'Pokemon Editor'!$C:$C,""),mtype=XLOOKUP(XLOOKUP($Q16,'Threshold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Chart'!$B$1:$S$1,0)))),base,IF(OR(cat="Status",pow=0),0,FLOOR(FLOOR(FLOOR((2*XLOOKUP($Q16,'Threshold Summary'!$Y:$Y,'Threshold Summary'!$L:$L,"")/5+2)*pow*atk/def)/50)+2)),modifier,stab*eff,AVERAGE(ARRAYFORMULA(FLOOR(base*modifier*SEQUENCE(16,1,85,1)/100)))),0)</f>
        <v/>
      </c>
      <c r="M16" s="3">
        <f>IFERROR(LET(mtype,XLOOKUP($D16,'Move Editor'!$B:$B,'Move Editor'!$C:$C,""),cat,XLOOKUP($D16,'Move Editor'!$B:$B,'Move Editor'!$D:$D,""),pow,XLOOKUP($D16,'Move Editor'!$B:$B,'Move Editor'!$E:$E,0),acc,XLOOKUP($D16,'Move Editor'!$B:$B,'Move Editor'!$F:$F,100),atk,IF(cat="Physical",FLOOR((FLOOR(((2*XLOOKUP(XLOOKUP($Q16,'Threshold Summary'!$Y:$Y,'Threshold Summary'!$K:$K,""),'Pokemon Editor'!$A:$A,'Pokemon Editor'!$F:$F,0)+31+FLOOR(XLOOKUP($Q16,'Threshold Summary'!$Y:$Y,'Threshold Summary'!$P:$P,"")/4))*XLOOKUP($Q16,'Threshold Summary'!$Y:$Y,'Threshold Summary'!$L:$L,""))/100)+5)*XLOOKUP(XLOOKUP($Q16,'Threshold Summary'!$Y:$Y,'Threshold Summary'!$M:$M,""),'Nature Editor'!$A:$A,'Nature Editor'!$B:$B,1)),FLOOR((FLOOR(((2*XLOOKUP(XLOOKUP($Q16,'Threshold Summary'!$Y:$Y,'Threshold Summary'!$K:$K,""),'Pokemon Editor'!$A:$A,'Pokemon Editor'!$H:$H,0)+31+FLOOR(XLOOKUP($Q16,'Threshold Summary'!$Y:$Y,'Threshold Summary'!$R:$R,"")/4))*XLOOKUP($Q16,'Threshold Summary'!$Y:$Y,'Threshold Summary'!$L:$L,""))/100)+5)*XLOOKUP(XLOOKUP($Q16,'Threshold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Editor'!$E:$E,1))),stab,IF(OR(mtype=XLOOKUP(XLOOKUP($Q16,'Threshold Summary'!$Y:$Y,'Threshold Summary'!$K:$K,""),'Pokemon Editor'!$A:$A,'Pokemon Editor'!$C:$C,""),mtype=XLOOKUP(XLOOKUP($Q16,'Threshold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Chart'!$B$1:$S$1,0)))),base,IF(OR(cat="Status",pow=0),0,FLOOR(FLOOR(FLOOR((2*XLOOKUP($Q16,'Threshold Summary'!$Y:$Y,'Threshold Summary'!$L:$L,"")/5+2)*pow*atk/def)/50)+2)),modifier,stab*eff,AVERAGE(ARRAYFORMULA(FLOOR(base*modifier*SEQUENCE(16,1,85,1)/100)))*MIN(1,acc/100)),0)</f>
        <v/>
      </c>
      <c r="N16" s="4">
        <f>IFERROR(LET(mtype,XLOOKUP($D16,'Move Editor'!$B:$B,'Move Editor'!$C:$C,""),cat,XLOOKUP($D16,'Move Editor'!$B:$B,'Move Editor'!$D:$D,""),pow,XLOOKUP($D16,'Move Editor'!$B:$B,'Move Editor'!$E:$E,0),acc,XLOOKUP($D16,'Move Editor'!$B:$B,'Move Editor'!$F:$F,100),atk,IF(cat="Physical",FLOOR((FLOOR(((2*XLOOKUP(XLOOKUP($Q16,'Threshold Summary'!$Y:$Y,'Threshold Summary'!$K:$K,""),'Pokemon Editor'!$A:$A,'Pokemon Editor'!$F:$F,0)+31+FLOOR(XLOOKUP($Q16,'Threshold Summary'!$Y:$Y,'Threshold Summary'!$P:$P,"")/4))*XLOOKUP($Q16,'Threshold Summary'!$Y:$Y,'Threshold Summary'!$L:$L,""))/100)+5)*XLOOKUP(XLOOKUP($Q16,'Threshold Summary'!$Y:$Y,'Threshold Summary'!$M:$M,""),'Nature Editor'!$A:$A,'Nature Editor'!$B:$B,1)),FLOOR((FLOOR(((2*XLOOKUP(XLOOKUP($Q16,'Threshold Summary'!$Y:$Y,'Threshold Summary'!$K:$K,""),'Pokemon Editor'!$A:$A,'Pokemon Editor'!$H:$H,0)+31+FLOOR(XLOOKUP($Q16,'Threshold Summary'!$Y:$Y,'Threshold Summary'!$R:$R,"")/4))*XLOOKUP($Q16,'Threshold Summary'!$Y:$Y,'Threshold Summary'!$L:$L,""))/100)+5)*XLOOKUP(XLOOKUP($Q16,'Threshold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Editor'!$E:$E,1))),stab,IF(OR(mtype=XLOOKUP(XLOOKUP($Q16,'Threshold Summary'!$Y:$Y,'Threshold Summary'!$K:$K,""),'Pokemon Editor'!$A:$A,'Pokemon Editor'!$C:$C,""),mtype=XLOOKUP(XLOOKUP($Q16,'Threshold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Chart'!$B$1:$S$1,0)))),base,IF(OR(cat="Status",pow=0),0,FLOOR(FLOOR(FLOOR((2*XLOOKUP($Q16,'Threshold Summary'!$Y:$Y,'Threshold Summary'!$L:$L,"")/5+2)*pow*atk/def)/50)+2)),modifier,stab*eff,AVERAGE(ARRAYFORMULA(FLOOR(base*modifier*SEQUENCE(16,1,85,1)/100)))/(FLOOR(((2*XLOOKUP('Boss Editor'!$C$4,'Pokemon Editor'!$A:$A,'Pokemon Editor'!$E:$E,0)+31+FLOOR('Boss Editor'!$G$4/4))*'Boss Editor'!$D$4)/100)+'Boss Editor'!$D$4+10)),0)</f>
        <v/>
      </c>
      <c r="O16" s="3">
        <f>IF(N16&gt;=1,"OHKO",IF(N16&gt;=0.5,"2HKO",IF(N16&gt;=0.333,"3HKO",IF(N16&gt;=0.25,"4HKO","5HKO+"))))</f>
        <v/>
      </c>
      <c r="P16" s="3" t="inlineStr">
        <is>
          <t>Live from editable databases</t>
        </is>
      </c>
      <c r="Q16" s="3" t="inlineStr">
        <is>
          <t>SPECIES_PARAS</t>
        </is>
      </c>
      <c r="R16" s="3" t="n">
        <v>15</v>
      </c>
    </row>
    <row r="17">
      <c r="A17" s="3">
        <f>XLOOKUP($Q17,'Threshold Summary'!$Y:$Y,'Threshold Summary'!$A:$A,"")</f>
        <v/>
      </c>
      <c r="B17" s="3">
        <f>XLOOKUP($Q17,'Threshold Summary'!$Y:$Y,'Threshold Summary'!$M:$M,"")</f>
        <v/>
      </c>
      <c r="C17" s="3">
        <f>XLOOKUP($Q17,'Threshold Summary'!$Y:$Y,'Threshold Summary'!$N:$N,"")</f>
        <v/>
      </c>
      <c r="D17" s="3">
        <f>IFERROR(INDEX(FILTER('Learnset Editor'!$D$2:$D,'Learnset Editor'!$A$2:$A=XLOOKUP($Q17,'Threshold Summary'!$Y:$Y,'Threshold Summary'!$K:$K,""),'Learnset Editor'!$C$2:$C&lt;=XLOOKUP($Q17,'Threshold Summary'!$Y:$Y,'Threshold Summary'!$L:$L,"")),$R17),"")</f>
        <v/>
      </c>
      <c r="E17" s="3">
        <f>XLOOKUP(D17,'Move Editor'!$B:$B,'Move Editor'!$C:$C,"")</f>
        <v/>
      </c>
      <c r="F17" s="3">
        <f>XLOOKUP(D17,'Move Editor'!$B:$B,'Move Editor'!$D:$D,"")</f>
        <v/>
      </c>
      <c r="G17" s="3">
        <f>XLOOKUP(D17,'Move Editor'!$B:$B,'Move Editor'!$E:$E,0)</f>
        <v/>
      </c>
      <c r="H17" s="3">
        <f>XLOOKUP(D17,'Move Editor'!$B:$B,'Move Editor'!$F:$F,0)</f>
        <v/>
      </c>
      <c r="I17" s="3">
        <f>(INDEX('Type Chart'!$B:$S,MATCH(E17,'Type Chart'!$A:$A,0),MATCH(XLOOKUP('Boss Editor'!$C$4,'Pokemon Editor'!$A:$A,'Pokemon Editor'!$C:$C,""),'Type Chart'!$B$1:$S$1,0))*IF(XLOOKUP('Boss Editor'!$C$4,'Pokemon Editor'!$A:$A,'Pokemon Editor'!$D:$D,"")="",1,INDEX('Type Chart'!$B:$S,MATCH(E17,'Type Chart'!$A:$A,0),MATCH(XLOOKUP('Boss Editor'!$C$4,'Pokemon Editor'!$A:$A,'Pokemon Editor'!$D:$D,""),'Type Chart'!$B$1:$S$1,0))))</f>
        <v/>
      </c>
      <c r="J17" s="3">
        <f>IFERROR(LET(mtype,XLOOKUP($D17,'Move Editor'!$B:$B,'Move Editor'!$C:$C,""),cat,XLOOKUP($D17,'Move Editor'!$B:$B,'Move Editor'!$D:$D,""),pow,XLOOKUP($D17,'Move Editor'!$B:$B,'Move Editor'!$E:$E,0),acc,XLOOKUP($D17,'Move Editor'!$B:$B,'Move Editor'!$F:$F,100),atk,IF(cat="Physical",FLOOR((FLOOR(((2*XLOOKUP(XLOOKUP($Q17,'Threshold Summary'!$Y:$Y,'Threshold Summary'!$K:$K,""),'Pokemon Editor'!$A:$A,'Pokemon Editor'!$F:$F,0)+31+FLOOR(XLOOKUP($Q17,'Threshold Summary'!$Y:$Y,'Threshold Summary'!$P:$P,"")/4))*XLOOKUP($Q17,'Threshold Summary'!$Y:$Y,'Threshold Summary'!$L:$L,""))/100)+5)*XLOOKUP(XLOOKUP($Q17,'Threshold Summary'!$Y:$Y,'Threshold Summary'!$M:$M,""),'Nature Editor'!$A:$A,'Nature Editor'!$B:$B,1)),FLOOR((FLOOR(((2*XLOOKUP(XLOOKUP($Q17,'Threshold Summary'!$Y:$Y,'Threshold Summary'!$K:$K,""),'Pokemon Editor'!$A:$A,'Pokemon Editor'!$H:$H,0)+31+FLOOR(XLOOKUP($Q17,'Threshold Summary'!$Y:$Y,'Threshold Summary'!$R:$R,"")/4))*XLOOKUP($Q17,'Threshold Summary'!$Y:$Y,'Threshold Summary'!$L:$L,""))/100)+5)*XLOOKUP(XLOOKUP($Q17,'Threshold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Editor'!$E:$E,1))),stab,IF(OR(mtype=XLOOKUP(XLOOKUP($Q17,'Threshold Summary'!$Y:$Y,'Threshold Summary'!$K:$K,""),'Pokemon Editor'!$A:$A,'Pokemon Editor'!$C:$C,""),mtype=XLOOKUP(XLOOKUP($Q17,'Threshold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Chart'!$B$1:$S$1,0)))),base,IF(OR(cat="Status",pow=0),0,FLOOR(FLOOR(FLOOR((2*XLOOKUP($Q17,'Threshold Summary'!$Y:$Y,'Threshold Summary'!$L:$L,"")/5+2)*pow*atk/def)/50)+2)),modifier,stab*eff,FLOOR(base*modifier*0.85)),0)</f>
        <v/>
      </c>
      <c r="K17" s="3">
        <f>IFERROR(LET(mtype,XLOOKUP($D17,'Move Editor'!$B:$B,'Move Editor'!$C:$C,""),cat,XLOOKUP($D17,'Move Editor'!$B:$B,'Move Editor'!$D:$D,""),pow,XLOOKUP($D17,'Move Editor'!$B:$B,'Move Editor'!$E:$E,0),acc,XLOOKUP($D17,'Move Editor'!$B:$B,'Move Editor'!$F:$F,100),atk,IF(cat="Physical",FLOOR((FLOOR(((2*XLOOKUP(XLOOKUP($Q17,'Threshold Summary'!$Y:$Y,'Threshold Summary'!$K:$K,""),'Pokemon Editor'!$A:$A,'Pokemon Editor'!$F:$F,0)+31+FLOOR(XLOOKUP($Q17,'Threshold Summary'!$Y:$Y,'Threshold Summary'!$P:$P,"")/4))*XLOOKUP($Q17,'Threshold Summary'!$Y:$Y,'Threshold Summary'!$L:$L,""))/100)+5)*XLOOKUP(XLOOKUP($Q17,'Threshold Summary'!$Y:$Y,'Threshold Summary'!$M:$M,""),'Nature Editor'!$A:$A,'Nature Editor'!$B:$B,1)),FLOOR((FLOOR(((2*XLOOKUP(XLOOKUP($Q17,'Threshold Summary'!$Y:$Y,'Threshold Summary'!$K:$K,""),'Pokemon Editor'!$A:$A,'Pokemon Editor'!$H:$H,0)+31+FLOOR(XLOOKUP($Q17,'Threshold Summary'!$Y:$Y,'Threshold Summary'!$R:$R,"")/4))*XLOOKUP($Q17,'Threshold Summary'!$Y:$Y,'Threshold Summary'!$L:$L,""))/100)+5)*XLOOKUP(XLOOKUP($Q17,'Threshold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Editor'!$E:$E,1))),stab,IF(OR(mtype=XLOOKUP(XLOOKUP($Q17,'Threshold Summary'!$Y:$Y,'Threshold Summary'!$K:$K,""),'Pokemon Editor'!$A:$A,'Pokemon Editor'!$C:$C,""),mtype=XLOOKUP(XLOOKUP($Q17,'Threshold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Chart'!$B$1:$S$1,0)))),base,IF(OR(cat="Status",pow=0),0,FLOOR(FLOOR(FLOOR((2*XLOOKUP($Q17,'Threshold Summary'!$Y:$Y,'Threshold Summary'!$L:$L,"")/5+2)*pow*atk/def)/50)+2)),modifier,stab*eff,FLOOR(base*modifier)),0)</f>
        <v/>
      </c>
      <c r="L17" s="3">
        <f>IFERROR(LET(mtype,XLOOKUP($D17,'Move Editor'!$B:$B,'Move Editor'!$C:$C,""),cat,XLOOKUP($D17,'Move Editor'!$B:$B,'Move Editor'!$D:$D,""),pow,XLOOKUP($D17,'Move Editor'!$B:$B,'Move Editor'!$E:$E,0),acc,XLOOKUP($D17,'Move Editor'!$B:$B,'Move Editor'!$F:$F,100),atk,IF(cat="Physical",FLOOR((FLOOR(((2*XLOOKUP(XLOOKUP($Q17,'Threshold Summary'!$Y:$Y,'Threshold Summary'!$K:$K,""),'Pokemon Editor'!$A:$A,'Pokemon Editor'!$F:$F,0)+31+FLOOR(XLOOKUP($Q17,'Threshold Summary'!$Y:$Y,'Threshold Summary'!$P:$P,"")/4))*XLOOKUP($Q17,'Threshold Summary'!$Y:$Y,'Threshold Summary'!$L:$L,""))/100)+5)*XLOOKUP(XLOOKUP($Q17,'Threshold Summary'!$Y:$Y,'Threshold Summary'!$M:$M,""),'Nature Editor'!$A:$A,'Nature Editor'!$B:$B,1)),FLOOR((FLOOR(((2*XLOOKUP(XLOOKUP($Q17,'Threshold Summary'!$Y:$Y,'Threshold Summary'!$K:$K,""),'Pokemon Editor'!$A:$A,'Pokemon Editor'!$H:$H,0)+31+FLOOR(XLOOKUP($Q17,'Threshold Summary'!$Y:$Y,'Threshold Summary'!$R:$R,"")/4))*XLOOKUP($Q17,'Threshold Summary'!$Y:$Y,'Threshold Summary'!$L:$L,""))/100)+5)*XLOOKUP(XLOOKUP($Q17,'Threshold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Editor'!$E:$E,1))),stab,IF(OR(mtype=XLOOKUP(XLOOKUP($Q17,'Threshold Summary'!$Y:$Y,'Threshold Summary'!$K:$K,""),'Pokemon Editor'!$A:$A,'Pokemon Editor'!$C:$C,""),mtype=XLOOKUP(XLOOKUP($Q17,'Threshold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Chart'!$B$1:$S$1,0)))),base,IF(OR(cat="Status",pow=0),0,FLOOR(FLOOR(FLOOR((2*XLOOKUP($Q17,'Threshold Summary'!$Y:$Y,'Threshold Summary'!$L:$L,"")/5+2)*pow*atk/def)/50)+2)),modifier,stab*eff,AVERAGE(ARRAYFORMULA(FLOOR(base*modifier*SEQUENCE(16,1,85,1)/100)))),0)</f>
        <v/>
      </c>
      <c r="M17" s="3">
        <f>IFERROR(LET(mtype,XLOOKUP($D17,'Move Editor'!$B:$B,'Move Editor'!$C:$C,""),cat,XLOOKUP($D17,'Move Editor'!$B:$B,'Move Editor'!$D:$D,""),pow,XLOOKUP($D17,'Move Editor'!$B:$B,'Move Editor'!$E:$E,0),acc,XLOOKUP($D17,'Move Editor'!$B:$B,'Move Editor'!$F:$F,100),atk,IF(cat="Physical",FLOOR((FLOOR(((2*XLOOKUP(XLOOKUP($Q17,'Threshold Summary'!$Y:$Y,'Threshold Summary'!$K:$K,""),'Pokemon Editor'!$A:$A,'Pokemon Editor'!$F:$F,0)+31+FLOOR(XLOOKUP($Q17,'Threshold Summary'!$Y:$Y,'Threshold Summary'!$P:$P,"")/4))*XLOOKUP($Q17,'Threshold Summary'!$Y:$Y,'Threshold Summary'!$L:$L,""))/100)+5)*XLOOKUP(XLOOKUP($Q17,'Threshold Summary'!$Y:$Y,'Threshold Summary'!$M:$M,""),'Nature Editor'!$A:$A,'Nature Editor'!$B:$B,1)),FLOOR((FLOOR(((2*XLOOKUP(XLOOKUP($Q17,'Threshold Summary'!$Y:$Y,'Threshold Summary'!$K:$K,""),'Pokemon Editor'!$A:$A,'Pokemon Editor'!$H:$H,0)+31+FLOOR(XLOOKUP($Q17,'Threshold Summary'!$Y:$Y,'Threshold Summary'!$R:$R,"")/4))*XLOOKUP($Q17,'Threshold Summary'!$Y:$Y,'Threshold Summary'!$L:$L,""))/100)+5)*XLOOKUP(XLOOKUP($Q17,'Threshold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Editor'!$E:$E,1))),stab,IF(OR(mtype=XLOOKUP(XLOOKUP($Q17,'Threshold Summary'!$Y:$Y,'Threshold Summary'!$K:$K,""),'Pokemon Editor'!$A:$A,'Pokemon Editor'!$C:$C,""),mtype=XLOOKUP(XLOOKUP($Q17,'Threshold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Chart'!$B$1:$S$1,0)))),base,IF(OR(cat="Status",pow=0),0,FLOOR(FLOOR(FLOOR((2*XLOOKUP($Q17,'Threshold Summary'!$Y:$Y,'Threshold Summary'!$L:$L,"")/5+2)*pow*atk/def)/50)+2)),modifier,stab*eff,AVERAGE(ARRAYFORMULA(FLOOR(base*modifier*SEQUENCE(16,1,85,1)/100)))*MIN(1,acc/100)),0)</f>
        <v/>
      </c>
      <c r="N17" s="4">
        <f>IFERROR(LET(mtype,XLOOKUP($D17,'Move Editor'!$B:$B,'Move Editor'!$C:$C,""),cat,XLOOKUP($D17,'Move Editor'!$B:$B,'Move Editor'!$D:$D,""),pow,XLOOKUP($D17,'Move Editor'!$B:$B,'Move Editor'!$E:$E,0),acc,XLOOKUP($D17,'Move Editor'!$B:$B,'Move Editor'!$F:$F,100),atk,IF(cat="Physical",FLOOR((FLOOR(((2*XLOOKUP(XLOOKUP($Q17,'Threshold Summary'!$Y:$Y,'Threshold Summary'!$K:$K,""),'Pokemon Editor'!$A:$A,'Pokemon Editor'!$F:$F,0)+31+FLOOR(XLOOKUP($Q17,'Threshold Summary'!$Y:$Y,'Threshold Summary'!$P:$P,"")/4))*XLOOKUP($Q17,'Threshold Summary'!$Y:$Y,'Threshold Summary'!$L:$L,""))/100)+5)*XLOOKUP(XLOOKUP($Q17,'Threshold Summary'!$Y:$Y,'Threshold Summary'!$M:$M,""),'Nature Editor'!$A:$A,'Nature Editor'!$B:$B,1)),FLOOR((FLOOR(((2*XLOOKUP(XLOOKUP($Q17,'Threshold Summary'!$Y:$Y,'Threshold Summary'!$K:$K,""),'Pokemon Editor'!$A:$A,'Pokemon Editor'!$H:$H,0)+31+FLOOR(XLOOKUP($Q17,'Threshold Summary'!$Y:$Y,'Threshold Summary'!$R:$R,"")/4))*XLOOKUP($Q17,'Threshold Summary'!$Y:$Y,'Threshold Summary'!$L:$L,""))/100)+5)*XLOOKUP(XLOOKUP($Q17,'Threshold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Editor'!$E:$E,1))),stab,IF(OR(mtype=XLOOKUP(XLOOKUP($Q17,'Threshold Summary'!$Y:$Y,'Threshold Summary'!$K:$K,""),'Pokemon Editor'!$A:$A,'Pokemon Editor'!$C:$C,""),mtype=XLOOKUP(XLOOKUP($Q17,'Threshold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Chart'!$B$1:$S$1,0)))),base,IF(OR(cat="Status",pow=0),0,FLOOR(FLOOR(FLOOR((2*XLOOKUP($Q17,'Threshold Summary'!$Y:$Y,'Threshold Summary'!$L:$L,"")/5+2)*pow*atk/def)/50)+2)),modifier,stab*eff,AVERAGE(ARRAYFORMULA(FLOOR(base*modifier*SEQUENCE(16,1,85,1)/100)))/(FLOOR(((2*XLOOKUP('Boss Editor'!$C$4,'Pokemon Editor'!$A:$A,'Pokemon Editor'!$E:$E,0)+31+FLOOR('Boss Editor'!$G$4/4))*'Boss Editor'!$D$4)/100)+'Boss Editor'!$D$4+10)),0)</f>
        <v/>
      </c>
      <c r="O17" s="3">
        <f>IF(N17&gt;=1,"OHKO",IF(N17&gt;=0.5,"2HKO",IF(N17&gt;=0.333,"3HKO",IF(N17&gt;=0.25,"4HKO","5HKO+"))))</f>
        <v/>
      </c>
      <c r="P17" s="3" t="inlineStr">
        <is>
          <t>Live from editable databases</t>
        </is>
      </c>
      <c r="Q17" s="3" t="inlineStr">
        <is>
          <t>SPECIES_PARAS</t>
        </is>
      </c>
      <c r="R17" s="3" t="n">
        <v>16</v>
      </c>
    </row>
    <row r="18">
      <c r="A18" s="3">
        <f>XLOOKUP($Q18,'Threshold Summary'!$Y:$Y,'Threshold Summary'!$A:$A,"")</f>
        <v/>
      </c>
      <c r="B18" s="3">
        <f>XLOOKUP($Q18,'Threshold Summary'!$Y:$Y,'Threshold Summary'!$M:$M,"")</f>
        <v/>
      </c>
      <c r="C18" s="3">
        <f>XLOOKUP($Q18,'Threshold Summary'!$Y:$Y,'Threshold Summary'!$N:$N,"")</f>
        <v/>
      </c>
      <c r="D18" s="3">
        <f>IFERROR(INDEX(FILTER('Learnset Editor'!$D$2:$D,'Learnset Editor'!$A$2:$A=XLOOKUP($Q18,'Threshold Summary'!$Y:$Y,'Threshold Summary'!$K:$K,""),'Learnset Editor'!$C$2:$C&lt;=XLOOKUP($Q18,'Threshold Summary'!$Y:$Y,'Threshold Summary'!$L:$L,"")),$R18),"")</f>
        <v/>
      </c>
      <c r="E18" s="3">
        <f>XLOOKUP(D18,'Move Editor'!$B:$B,'Move Editor'!$C:$C,"")</f>
        <v/>
      </c>
      <c r="F18" s="3">
        <f>XLOOKUP(D18,'Move Editor'!$B:$B,'Move Editor'!$D:$D,"")</f>
        <v/>
      </c>
      <c r="G18" s="3">
        <f>XLOOKUP(D18,'Move Editor'!$B:$B,'Move Editor'!$E:$E,0)</f>
        <v/>
      </c>
      <c r="H18" s="3">
        <f>XLOOKUP(D18,'Move Editor'!$B:$B,'Move Editor'!$F:$F,0)</f>
        <v/>
      </c>
      <c r="I18" s="3">
        <f>(INDEX('Type Chart'!$B:$S,MATCH(E18,'Type Chart'!$A:$A,0),MATCH(XLOOKUP('Boss Editor'!$C$4,'Pokemon Editor'!$A:$A,'Pokemon Editor'!$C:$C,""),'Type Chart'!$B$1:$S$1,0))*IF(XLOOKUP('Boss Editor'!$C$4,'Pokemon Editor'!$A:$A,'Pokemon Editor'!$D:$D,"")="",1,INDEX('Type Chart'!$B:$S,MATCH(E18,'Type Chart'!$A:$A,0),MATCH(XLOOKUP('Boss Editor'!$C$4,'Pokemon Editor'!$A:$A,'Pokemon Editor'!$D:$D,""),'Type Chart'!$B$1:$S$1,0))))</f>
        <v/>
      </c>
      <c r="J18" s="3">
        <f>IFERROR(LET(mtype,XLOOKUP($D18,'Move Editor'!$B:$B,'Move Editor'!$C:$C,""),cat,XLOOKUP($D18,'Move Editor'!$B:$B,'Move Editor'!$D:$D,""),pow,XLOOKUP($D18,'Move Editor'!$B:$B,'Move Editor'!$E:$E,0),acc,XLOOKUP($D18,'Move Editor'!$B:$B,'Move Editor'!$F:$F,100),atk,IF(cat="Physical",FLOOR((FLOOR(((2*XLOOKUP(XLOOKUP($Q18,'Threshold Summary'!$Y:$Y,'Threshold Summary'!$K:$K,""),'Pokemon Editor'!$A:$A,'Pokemon Editor'!$F:$F,0)+31+FLOOR(XLOOKUP($Q18,'Threshold Summary'!$Y:$Y,'Threshold Summary'!$P:$P,"")/4))*XLOOKUP($Q18,'Threshold Summary'!$Y:$Y,'Threshold Summary'!$L:$L,""))/100)+5)*XLOOKUP(XLOOKUP($Q18,'Threshold Summary'!$Y:$Y,'Threshold Summary'!$M:$M,""),'Nature Editor'!$A:$A,'Nature Editor'!$B:$B,1)),FLOOR((FLOOR(((2*XLOOKUP(XLOOKUP($Q18,'Threshold Summary'!$Y:$Y,'Threshold Summary'!$K:$K,""),'Pokemon Editor'!$A:$A,'Pokemon Editor'!$H:$H,0)+31+FLOOR(XLOOKUP($Q18,'Threshold Summary'!$Y:$Y,'Threshold Summary'!$R:$R,"")/4))*XLOOKUP($Q18,'Threshold Summary'!$Y:$Y,'Threshold Summary'!$L:$L,""))/100)+5)*XLOOKUP(XLOOKUP($Q18,'Threshold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Editor'!$E:$E,1))),stab,IF(OR(mtype=XLOOKUP(XLOOKUP($Q18,'Threshold Summary'!$Y:$Y,'Threshold Summary'!$K:$K,""),'Pokemon Editor'!$A:$A,'Pokemon Editor'!$C:$C,""),mtype=XLOOKUP(XLOOKUP($Q18,'Threshold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Chart'!$B$1:$S$1,0)))),base,IF(OR(cat="Status",pow=0),0,FLOOR(FLOOR(FLOOR((2*XLOOKUP($Q18,'Threshold Summary'!$Y:$Y,'Threshold Summary'!$L:$L,"")/5+2)*pow*atk/def)/50)+2)),modifier,stab*eff,FLOOR(base*modifier*0.85)),0)</f>
        <v/>
      </c>
      <c r="K18" s="3">
        <f>IFERROR(LET(mtype,XLOOKUP($D18,'Move Editor'!$B:$B,'Move Editor'!$C:$C,""),cat,XLOOKUP($D18,'Move Editor'!$B:$B,'Move Editor'!$D:$D,""),pow,XLOOKUP($D18,'Move Editor'!$B:$B,'Move Editor'!$E:$E,0),acc,XLOOKUP($D18,'Move Editor'!$B:$B,'Move Editor'!$F:$F,100),atk,IF(cat="Physical",FLOOR((FLOOR(((2*XLOOKUP(XLOOKUP($Q18,'Threshold Summary'!$Y:$Y,'Threshold Summary'!$K:$K,""),'Pokemon Editor'!$A:$A,'Pokemon Editor'!$F:$F,0)+31+FLOOR(XLOOKUP($Q18,'Threshold Summary'!$Y:$Y,'Threshold Summary'!$P:$P,"")/4))*XLOOKUP($Q18,'Threshold Summary'!$Y:$Y,'Threshold Summary'!$L:$L,""))/100)+5)*XLOOKUP(XLOOKUP($Q18,'Threshold Summary'!$Y:$Y,'Threshold Summary'!$M:$M,""),'Nature Editor'!$A:$A,'Nature Editor'!$B:$B,1)),FLOOR((FLOOR(((2*XLOOKUP(XLOOKUP($Q18,'Threshold Summary'!$Y:$Y,'Threshold Summary'!$K:$K,""),'Pokemon Editor'!$A:$A,'Pokemon Editor'!$H:$H,0)+31+FLOOR(XLOOKUP($Q18,'Threshold Summary'!$Y:$Y,'Threshold Summary'!$R:$R,"")/4))*XLOOKUP($Q18,'Threshold Summary'!$Y:$Y,'Threshold Summary'!$L:$L,""))/100)+5)*XLOOKUP(XLOOKUP($Q18,'Threshold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Editor'!$E:$E,1))),stab,IF(OR(mtype=XLOOKUP(XLOOKUP($Q18,'Threshold Summary'!$Y:$Y,'Threshold Summary'!$K:$K,""),'Pokemon Editor'!$A:$A,'Pokemon Editor'!$C:$C,""),mtype=XLOOKUP(XLOOKUP($Q18,'Threshold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Chart'!$B$1:$S$1,0)))),base,IF(OR(cat="Status",pow=0),0,FLOOR(FLOOR(FLOOR((2*XLOOKUP($Q18,'Threshold Summary'!$Y:$Y,'Threshold Summary'!$L:$L,"")/5+2)*pow*atk/def)/50)+2)),modifier,stab*eff,FLOOR(base*modifier)),0)</f>
        <v/>
      </c>
      <c r="L18" s="3">
        <f>IFERROR(LET(mtype,XLOOKUP($D18,'Move Editor'!$B:$B,'Move Editor'!$C:$C,""),cat,XLOOKUP($D18,'Move Editor'!$B:$B,'Move Editor'!$D:$D,""),pow,XLOOKUP($D18,'Move Editor'!$B:$B,'Move Editor'!$E:$E,0),acc,XLOOKUP($D18,'Move Editor'!$B:$B,'Move Editor'!$F:$F,100),atk,IF(cat="Physical",FLOOR((FLOOR(((2*XLOOKUP(XLOOKUP($Q18,'Threshold Summary'!$Y:$Y,'Threshold Summary'!$K:$K,""),'Pokemon Editor'!$A:$A,'Pokemon Editor'!$F:$F,0)+31+FLOOR(XLOOKUP($Q18,'Threshold Summary'!$Y:$Y,'Threshold Summary'!$P:$P,"")/4))*XLOOKUP($Q18,'Threshold Summary'!$Y:$Y,'Threshold Summary'!$L:$L,""))/100)+5)*XLOOKUP(XLOOKUP($Q18,'Threshold Summary'!$Y:$Y,'Threshold Summary'!$M:$M,""),'Nature Editor'!$A:$A,'Nature Editor'!$B:$B,1)),FLOOR((FLOOR(((2*XLOOKUP(XLOOKUP($Q18,'Threshold Summary'!$Y:$Y,'Threshold Summary'!$K:$K,""),'Pokemon Editor'!$A:$A,'Pokemon Editor'!$H:$H,0)+31+FLOOR(XLOOKUP($Q18,'Threshold Summary'!$Y:$Y,'Threshold Summary'!$R:$R,"")/4))*XLOOKUP($Q18,'Threshold Summary'!$Y:$Y,'Threshold Summary'!$L:$L,""))/100)+5)*XLOOKUP(XLOOKUP($Q18,'Threshold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Editor'!$E:$E,1))),stab,IF(OR(mtype=XLOOKUP(XLOOKUP($Q18,'Threshold Summary'!$Y:$Y,'Threshold Summary'!$K:$K,""),'Pokemon Editor'!$A:$A,'Pokemon Editor'!$C:$C,""),mtype=XLOOKUP(XLOOKUP($Q18,'Threshold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Chart'!$B$1:$S$1,0)))),base,IF(OR(cat="Status",pow=0),0,FLOOR(FLOOR(FLOOR((2*XLOOKUP($Q18,'Threshold Summary'!$Y:$Y,'Threshold Summary'!$L:$L,"")/5+2)*pow*atk/def)/50)+2)),modifier,stab*eff,AVERAGE(ARRAYFORMULA(FLOOR(base*modifier*SEQUENCE(16,1,85,1)/100)))),0)</f>
        <v/>
      </c>
      <c r="M18" s="3">
        <f>IFERROR(LET(mtype,XLOOKUP($D18,'Move Editor'!$B:$B,'Move Editor'!$C:$C,""),cat,XLOOKUP($D18,'Move Editor'!$B:$B,'Move Editor'!$D:$D,""),pow,XLOOKUP($D18,'Move Editor'!$B:$B,'Move Editor'!$E:$E,0),acc,XLOOKUP($D18,'Move Editor'!$B:$B,'Move Editor'!$F:$F,100),atk,IF(cat="Physical",FLOOR((FLOOR(((2*XLOOKUP(XLOOKUP($Q18,'Threshold Summary'!$Y:$Y,'Threshold Summary'!$K:$K,""),'Pokemon Editor'!$A:$A,'Pokemon Editor'!$F:$F,0)+31+FLOOR(XLOOKUP($Q18,'Threshold Summary'!$Y:$Y,'Threshold Summary'!$P:$P,"")/4))*XLOOKUP($Q18,'Threshold Summary'!$Y:$Y,'Threshold Summary'!$L:$L,""))/100)+5)*XLOOKUP(XLOOKUP($Q18,'Threshold Summary'!$Y:$Y,'Threshold Summary'!$M:$M,""),'Nature Editor'!$A:$A,'Nature Editor'!$B:$B,1)),FLOOR((FLOOR(((2*XLOOKUP(XLOOKUP($Q18,'Threshold Summary'!$Y:$Y,'Threshold Summary'!$K:$K,""),'Pokemon Editor'!$A:$A,'Pokemon Editor'!$H:$H,0)+31+FLOOR(XLOOKUP($Q18,'Threshold Summary'!$Y:$Y,'Threshold Summary'!$R:$R,"")/4))*XLOOKUP($Q18,'Threshold Summary'!$Y:$Y,'Threshold Summary'!$L:$L,""))/100)+5)*XLOOKUP(XLOOKUP($Q18,'Threshold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Editor'!$E:$E,1))),stab,IF(OR(mtype=XLOOKUP(XLOOKUP($Q18,'Threshold Summary'!$Y:$Y,'Threshold Summary'!$K:$K,""),'Pokemon Editor'!$A:$A,'Pokemon Editor'!$C:$C,""),mtype=XLOOKUP(XLOOKUP($Q18,'Threshold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Chart'!$B$1:$S$1,0)))),base,IF(OR(cat="Status",pow=0),0,FLOOR(FLOOR(FLOOR((2*XLOOKUP($Q18,'Threshold Summary'!$Y:$Y,'Threshold Summary'!$L:$L,"")/5+2)*pow*atk/def)/50)+2)),modifier,stab*eff,AVERAGE(ARRAYFORMULA(FLOOR(base*modifier*SEQUENCE(16,1,85,1)/100)))*MIN(1,acc/100)),0)</f>
        <v/>
      </c>
      <c r="N18" s="4">
        <f>IFERROR(LET(mtype,XLOOKUP($D18,'Move Editor'!$B:$B,'Move Editor'!$C:$C,""),cat,XLOOKUP($D18,'Move Editor'!$B:$B,'Move Editor'!$D:$D,""),pow,XLOOKUP($D18,'Move Editor'!$B:$B,'Move Editor'!$E:$E,0),acc,XLOOKUP($D18,'Move Editor'!$B:$B,'Move Editor'!$F:$F,100),atk,IF(cat="Physical",FLOOR((FLOOR(((2*XLOOKUP(XLOOKUP($Q18,'Threshold Summary'!$Y:$Y,'Threshold Summary'!$K:$K,""),'Pokemon Editor'!$A:$A,'Pokemon Editor'!$F:$F,0)+31+FLOOR(XLOOKUP($Q18,'Threshold Summary'!$Y:$Y,'Threshold Summary'!$P:$P,"")/4))*XLOOKUP($Q18,'Threshold Summary'!$Y:$Y,'Threshold Summary'!$L:$L,""))/100)+5)*XLOOKUP(XLOOKUP($Q18,'Threshold Summary'!$Y:$Y,'Threshold Summary'!$M:$M,""),'Nature Editor'!$A:$A,'Nature Editor'!$B:$B,1)),FLOOR((FLOOR(((2*XLOOKUP(XLOOKUP($Q18,'Threshold Summary'!$Y:$Y,'Threshold Summary'!$K:$K,""),'Pokemon Editor'!$A:$A,'Pokemon Editor'!$H:$H,0)+31+FLOOR(XLOOKUP($Q18,'Threshold Summary'!$Y:$Y,'Threshold Summary'!$R:$R,"")/4))*XLOOKUP($Q18,'Threshold Summary'!$Y:$Y,'Threshold Summary'!$L:$L,""))/100)+5)*XLOOKUP(XLOOKUP($Q18,'Threshold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Editor'!$E:$E,1))),stab,IF(OR(mtype=XLOOKUP(XLOOKUP($Q18,'Threshold Summary'!$Y:$Y,'Threshold Summary'!$K:$K,""),'Pokemon Editor'!$A:$A,'Pokemon Editor'!$C:$C,""),mtype=XLOOKUP(XLOOKUP($Q18,'Threshold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Chart'!$B$1:$S$1,0)))),base,IF(OR(cat="Status",pow=0),0,FLOOR(FLOOR(FLOOR((2*XLOOKUP($Q18,'Threshold Summary'!$Y:$Y,'Threshold Summary'!$L:$L,"")/5+2)*pow*atk/def)/50)+2)),modifier,stab*eff,AVERAGE(ARRAYFORMULA(FLOOR(base*modifier*SEQUENCE(16,1,85,1)/100)))/(FLOOR(((2*XLOOKUP('Boss Editor'!$C$4,'Pokemon Editor'!$A:$A,'Pokemon Editor'!$E:$E,0)+31+FLOOR('Boss Editor'!$G$4/4))*'Boss Editor'!$D$4)/100)+'Boss Editor'!$D$4+10)),0)</f>
        <v/>
      </c>
      <c r="O18" s="3">
        <f>IF(N18&gt;=1,"OHKO",IF(N18&gt;=0.5,"2HKO",IF(N18&gt;=0.333,"3HKO",IF(N18&gt;=0.25,"4HKO","5HKO+"))))</f>
        <v/>
      </c>
      <c r="P18" s="3" t="inlineStr">
        <is>
          <t>Live from editable databases</t>
        </is>
      </c>
      <c r="Q18" s="3" t="inlineStr">
        <is>
          <t>SPECIES_PARAS</t>
        </is>
      </c>
      <c r="R18" s="3" t="n">
        <v>17</v>
      </c>
    </row>
    <row r="19">
      <c r="A19" s="3">
        <f>XLOOKUP($Q19,'Threshold Summary'!$Y:$Y,'Threshold Summary'!$A:$A,"")</f>
        <v/>
      </c>
      <c r="B19" s="3">
        <f>XLOOKUP($Q19,'Threshold Summary'!$Y:$Y,'Threshold Summary'!$M:$M,"")</f>
        <v/>
      </c>
      <c r="C19" s="3">
        <f>XLOOKUP($Q19,'Threshold Summary'!$Y:$Y,'Threshold Summary'!$N:$N,"")</f>
        <v/>
      </c>
      <c r="D19" s="3">
        <f>IFERROR(INDEX(FILTER('Learnset Editor'!$D$2:$D,'Learnset Editor'!$A$2:$A=XLOOKUP($Q19,'Threshold Summary'!$Y:$Y,'Threshold Summary'!$K:$K,""),'Learnset Editor'!$C$2:$C&lt;=XLOOKUP($Q19,'Threshold Summary'!$Y:$Y,'Threshold Summary'!$L:$L,"")),$R19),"")</f>
        <v/>
      </c>
      <c r="E19" s="3">
        <f>XLOOKUP(D19,'Move Editor'!$B:$B,'Move Editor'!$C:$C,"")</f>
        <v/>
      </c>
      <c r="F19" s="3">
        <f>XLOOKUP(D19,'Move Editor'!$B:$B,'Move Editor'!$D:$D,"")</f>
        <v/>
      </c>
      <c r="G19" s="3">
        <f>XLOOKUP(D19,'Move Editor'!$B:$B,'Move Editor'!$E:$E,0)</f>
        <v/>
      </c>
      <c r="H19" s="3">
        <f>XLOOKUP(D19,'Move Editor'!$B:$B,'Move Editor'!$F:$F,0)</f>
        <v/>
      </c>
      <c r="I19" s="3">
        <f>(INDEX('Type Chart'!$B:$S,MATCH(E19,'Type Chart'!$A:$A,0),MATCH(XLOOKUP('Boss Editor'!$C$4,'Pokemon Editor'!$A:$A,'Pokemon Editor'!$C:$C,""),'Type Chart'!$B$1:$S$1,0))*IF(XLOOKUP('Boss Editor'!$C$4,'Pokemon Editor'!$A:$A,'Pokemon Editor'!$D:$D,"")="",1,INDEX('Type Chart'!$B:$S,MATCH(E19,'Type Chart'!$A:$A,0),MATCH(XLOOKUP('Boss Editor'!$C$4,'Pokemon Editor'!$A:$A,'Pokemon Editor'!$D:$D,""),'Type Chart'!$B$1:$S$1,0))))</f>
        <v/>
      </c>
      <c r="J19" s="3">
        <f>IFERROR(LET(mtype,XLOOKUP($D19,'Move Editor'!$B:$B,'Move Editor'!$C:$C,""),cat,XLOOKUP($D19,'Move Editor'!$B:$B,'Move Editor'!$D:$D,""),pow,XLOOKUP($D19,'Move Editor'!$B:$B,'Move Editor'!$E:$E,0),acc,XLOOKUP($D19,'Move Editor'!$B:$B,'Move Editor'!$F:$F,100),atk,IF(cat="Physical",FLOOR((FLOOR(((2*XLOOKUP(XLOOKUP($Q19,'Threshold Summary'!$Y:$Y,'Threshold Summary'!$K:$K,""),'Pokemon Editor'!$A:$A,'Pokemon Editor'!$F:$F,0)+31+FLOOR(XLOOKUP($Q19,'Threshold Summary'!$Y:$Y,'Threshold Summary'!$P:$P,"")/4))*XLOOKUP($Q19,'Threshold Summary'!$Y:$Y,'Threshold Summary'!$L:$L,""))/100)+5)*XLOOKUP(XLOOKUP($Q19,'Threshold Summary'!$Y:$Y,'Threshold Summary'!$M:$M,""),'Nature Editor'!$A:$A,'Nature Editor'!$B:$B,1)),FLOOR((FLOOR(((2*XLOOKUP(XLOOKUP($Q19,'Threshold Summary'!$Y:$Y,'Threshold Summary'!$K:$K,""),'Pokemon Editor'!$A:$A,'Pokemon Editor'!$H:$H,0)+31+FLOOR(XLOOKUP($Q19,'Threshold Summary'!$Y:$Y,'Threshold Summary'!$R:$R,"")/4))*XLOOKUP($Q19,'Threshold Summary'!$Y:$Y,'Threshold Summary'!$L:$L,""))/100)+5)*XLOOKUP(XLOOKUP($Q19,'Threshold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Editor'!$E:$E,1))),stab,IF(OR(mtype=XLOOKUP(XLOOKUP($Q19,'Threshold Summary'!$Y:$Y,'Threshold Summary'!$K:$K,""),'Pokemon Editor'!$A:$A,'Pokemon Editor'!$C:$C,""),mtype=XLOOKUP(XLOOKUP($Q19,'Threshold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Chart'!$B$1:$S$1,0)))),base,IF(OR(cat="Status",pow=0),0,FLOOR(FLOOR(FLOOR((2*XLOOKUP($Q19,'Threshold Summary'!$Y:$Y,'Threshold Summary'!$L:$L,"")/5+2)*pow*atk/def)/50)+2)),modifier,stab*eff,FLOOR(base*modifier*0.85)),0)</f>
        <v/>
      </c>
      <c r="K19" s="3">
        <f>IFERROR(LET(mtype,XLOOKUP($D19,'Move Editor'!$B:$B,'Move Editor'!$C:$C,""),cat,XLOOKUP($D19,'Move Editor'!$B:$B,'Move Editor'!$D:$D,""),pow,XLOOKUP($D19,'Move Editor'!$B:$B,'Move Editor'!$E:$E,0),acc,XLOOKUP($D19,'Move Editor'!$B:$B,'Move Editor'!$F:$F,100),atk,IF(cat="Physical",FLOOR((FLOOR(((2*XLOOKUP(XLOOKUP($Q19,'Threshold Summary'!$Y:$Y,'Threshold Summary'!$K:$K,""),'Pokemon Editor'!$A:$A,'Pokemon Editor'!$F:$F,0)+31+FLOOR(XLOOKUP($Q19,'Threshold Summary'!$Y:$Y,'Threshold Summary'!$P:$P,"")/4))*XLOOKUP($Q19,'Threshold Summary'!$Y:$Y,'Threshold Summary'!$L:$L,""))/100)+5)*XLOOKUP(XLOOKUP($Q19,'Threshold Summary'!$Y:$Y,'Threshold Summary'!$M:$M,""),'Nature Editor'!$A:$A,'Nature Editor'!$B:$B,1)),FLOOR((FLOOR(((2*XLOOKUP(XLOOKUP($Q19,'Threshold Summary'!$Y:$Y,'Threshold Summary'!$K:$K,""),'Pokemon Editor'!$A:$A,'Pokemon Editor'!$H:$H,0)+31+FLOOR(XLOOKUP($Q19,'Threshold Summary'!$Y:$Y,'Threshold Summary'!$R:$R,"")/4))*XLOOKUP($Q19,'Threshold Summary'!$Y:$Y,'Threshold Summary'!$L:$L,""))/100)+5)*XLOOKUP(XLOOKUP($Q19,'Threshold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Editor'!$E:$E,1))),stab,IF(OR(mtype=XLOOKUP(XLOOKUP($Q19,'Threshold Summary'!$Y:$Y,'Threshold Summary'!$K:$K,""),'Pokemon Editor'!$A:$A,'Pokemon Editor'!$C:$C,""),mtype=XLOOKUP(XLOOKUP($Q19,'Threshold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Chart'!$B$1:$S$1,0)))),base,IF(OR(cat="Status",pow=0),0,FLOOR(FLOOR(FLOOR((2*XLOOKUP($Q19,'Threshold Summary'!$Y:$Y,'Threshold Summary'!$L:$L,"")/5+2)*pow*atk/def)/50)+2)),modifier,stab*eff,FLOOR(base*modifier)),0)</f>
        <v/>
      </c>
      <c r="L19" s="3">
        <f>IFERROR(LET(mtype,XLOOKUP($D19,'Move Editor'!$B:$B,'Move Editor'!$C:$C,""),cat,XLOOKUP($D19,'Move Editor'!$B:$B,'Move Editor'!$D:$D,""),pow,XLOOKUP($D19,'Move Editor'!$B:$B,'Move Editor'!$E:$E,0),acc,XLOOKUP($D19,'Move Editor'!$B:$B,'Move Editor'!$F:$F,100),atk,IF(cat="Physical",FLOOR((FLOOR(((2*XLOOKUP(XLOOKUP($Q19,'Threshold Summary'!$Y:$Y,'Threshold Summary'!$K:$K,""),'Pokemon Editor'!$A:$A,'Pokemon Editor'!$F:$F,0)+31+FLOOR(XLOOKUP($Q19,'Threshold Summary'!$Y:$Y,'Threshold Summary'!$P:$P,"")/4))*XLOOKUP($Q19,'Threshold Summary'!$Y:$Y,'Threshold Summary'!$L:$L,""))/100)+5)*XLOOKUP(XLOOKUP($Q19,'Threshold Summary'!$Y:$Y,'Threshold Summary'!$M:$M,""),'Nature Editor'!$A:$A,'Nature Editor'!$B:$B,1)),FLOOR((FLOOR(((2*XLOOKUP(XLOOKUP($Q19,'Threshold Summary'!$Y:$Y,'Threshold Summary'!$K:$K,""),'Pokemon Editor'!$A:$A,'Pokemon Editor'!$H:$H,0)+31+FLOOR(XLOOKUP($Q19,'Threshold Summary'!$Y:$Y,'Threshold Summary'!$R:$R,"")/4))*XLOOKUP($Q19,'Threshold Summary'!$Y:$Y,'Threshold Summary'!$L:$L,""))/100)+5)*XLOOKUP(XLOOKUP($Q19,'Threshold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Editor'!$E:$E,1))),stab,IF(OR(mtype=XLOOKUP(XLOOKUP($Q19,'Threshold Summary'!$Y:$Y,'Threshold Summary'!$K:$K,""),'Pokemon Editor'!$A:$A,'Pokemon Editor'!$C:$C,""),mtype=XLOOKUP(XLOOKUP($Q19,'Threshold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Chart'!$B$1:$S$1,0)))),base,IF(OR(cat="Status",pow=0),0,FLOOR(FLOOR(FLOOR((2*XLOOKUP($Q19,'Threshold Summary'!$Y:$Y,'Threshold Summary'!$L:$L,"")/5+2)*pow*atk/def)/50)+2)),modifier,stab*eff,AVERAGE(ARRAYFORMULA(FLOOR(base*modifier*SEQUENCE(16,1,85,1)/100)))),0)</f>
        <v/>
      </c>
      <c r="M19" s="3">
        <f>IFERROR(LET(mtype,XLOOKUP($D19,'Move Editor'!$B:$B,'Move Editor'!$C:$C,""),cat,XLOOKUP($D19,'Move Editor'!$B:$B,'Move Editor'!$D:$D,""),pow,XLOOKUP($D19,'Move Editor'!$B:$B,'Move Editor'!$E:$E,0),acc,XLOOKUP($D19,'Move Editor'!$B:$B,'Move Editor'!$F:$F,100),atk,IF(cat="Physical",FLOOR((FLOOR(((2*XLOOKUP(XLOOKUP($Q19,'Threshold Summary'!$Y:$Y,'Threshold Summary'!$K:$K,""),'Pokemon Editor'!$A:$A,'Pokemon Editor'!$F:$F,0)+31+FLOOR(XLOOKUP($Q19,'Threshold Summary'!$Y:$Y,'Threshold Summary'!$P:$P,"")/4))*XLOOKUP($Q19,'Threshold Summary'!$Y:$Y,'Threshold Summary'!$L:$L,""))/100)+5)*XLOOKUP(XLOOKUP($Q19,'Threshold Summary'!$Y:$Y,'Threshold Summary'!$M:$M,""),'Nature Editor'!$A:$A,'Nature Editor'!$B:$B,1)),FLOOR((FLOOR(((2*XLOOKUP(XLOOKUP($Q19,'Threshold Summary'!$Y:$Y,'Threshold Summary'!$K:$K,""),'Pokemon Editor'!$A:$A,'Pokemon Editor'!$H:$H,0)+31+FLOOR(XLOOKUP($Q19,'Threshold Summary'!$Y:$Y,'Threshold Summary'!$R:$R,"")/4))*XLOOKUP($Q19,'Threshold Summary'!$Y:$Y,'Threshold Summary'!$L:$L,""))/100)+5)*XLOOKUP(XLOOKUP($Q19,'Threshold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Editor'!$E:$E,1))),stab,IF(OR(mtype=XLOOKUP(XLOOKUP($Q19,'Threshold Summary'!$Y:$Y,'Threshold Summary'!$K:$K,""),'Pokemon Editor'!$A:$A,'Pokemon Editor'!$C:$C,""),mtype=XLOOKUP(XLOOKUP($Q19,'Threshold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Chart'!$B$1:$S$1,0)))),base,IF(OR(cat="Status",pow=0),0,FLOOR(FLOOR(FLOOR((2*XLOOKUP($Q19,'Threshold Summary'!$Y:$Y,'Threshold Summary'!$L:$L,"")/5+2)*pow*atk/def)/50)+2)),modifier,stab*eff,AVERAGE(ARRAYFORMULA(FLOOR(base*modifier*SEQUENCE(16,1,85,1)/100)))*MIN(1,acc/100)),0)</f>
        <v/>
      </c>
      <c r="N19" s="4">
        <f>IFERROR(LET(mtype,XLOOKUP($D19,'Move Editor'!$B:$B,'Move Editor'!$C:$C,""),cat,XLOOKUP($D19,'Move Editor'!$B:$B,'Move Editor'!$D:$D,""),pow,XLOOKUP($D19,'Move Editor'!$B:$B,'Move Editor'!$E:$E,0),acc,XLOOKUP($D19,'Move Editor'!$B:$B,'Move Editor'!$F:$F,100),atk,IF(cat="Physical",FLOOR((FLOOR(((2*XLOOKUP(XLOOKUP($Q19,'Threshold Summary'!$Y:$Y,'Threshold Summary'!$K:$K,""),'Pokemon Editor'!$A:$A,'Pokemon Editor'!$F:$F,0)+31+FLOOR(XLOOKUP($Q19,'Threshold Summary'!$Y:$Y,'Threshold Summary'!$P:$P,"")/4))*XLOOKUP($Q19,'Threshold Summary'!$Y:$Y,'Threshold Summary'!$L:$L,""))/100)+5)*XLOOKUP(XLOOKUP($Q19,'Threshold Summary'!$Y:$Y,'Threshold Summary'!$M:$M,""),'Nature Editor'!$A:$A,'Nature Editor'!$B:$B,1)),FLOOR((FLOOR(((2*XLOOKUP(XLOOKUP($Q19,'Threshold Summary'!$Y:$Y,'Threshold Summary'!$K:$K,""),'Pokemon Editor'!$A:$A,'Pokemon Editor'!$H:$H,0)+31+FLOOR(XLOOKUP($Q19,'Threshold Summary'!$Y:$Y,'Threshold Summary'!$R:$R,"")/4))*XLOOKUP($Q19,'Threshold Summary'!$Y:$Y,'Threshold Summary'!$L:$L,""))/100)+5)*XLOOKUP(XLOOKUP($Q19,'Threshold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Editor'!$E:$E,1))),stab,IF(OR(mtype=XLOOKUP(XLOOKUP($Q19,'Threshold Summary'!$Y:$Y,'Threshold Summary'!$K:$K,""),'Pokemon Editor'!$A:$A,'Pokemon Editor'!$C:$C,""),mtype=XLOOKUP(XLOOKUP($Q19,'Threshold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Chart'!$B$1:$S$1,0)))),base,IF(OR(cat="Status",pow=0),0,FLOOR(FLOOR(FLOOR((2*XLOOKUP($Q19,'Threshold Summary'!$Y:$Y,'Threshold Summary'!$L:$L,"")/5+2)*pow*atk/def)/50)+2)),modifier,stab*eff,AVERAGE(ARRAYFORMULA(FLOOR(base*modifier*SEQUENCE(16,1,85,1)/100)))/(FLOOR(((2*XLOOKUP('Boss Editor'!$C$4,'Pokemon Editor'!$A:$A,'Pokemon Editor'!$E:$E,0)+31+FLOOR('Boss Editor'!$G$4/4))*'Boss Editor'!$D$4)/100)+'Boss Editor'!$D$4+10)),0)</f>
        <v/>
      </c>
      <c r="O19" s="3">
        <f>IF(N19&gt;=1,"OHKO",IF(N19&gt;=0.5,"2HKO",IF(N19&gt;=0.333,"3HKO",IF(N19&gt;=0.25,"4HKO","5HKO+"))))</f>
        <v/>
      </c>
      <c r="P19" s="3" t="inlineStr">
        <is>
          <t>Live from editable databases</t>
        </is>
      </c>
      <c r="Q19" s="3" t="inlineStr">
        <is>
          <t>SPECIES_PARAS</t>
        </is>
      </c>
      <c r="R19" s="3" t="n">
        <v>18</v>
      </c>
    </row>
    <row r="20">
      <c r="A20" s="3">
        <f>XLOOKUP($Q20,'Threshold Summary'!$Y:$Y,'Threshold Summary'!$A:$A,"")</f>
        <v/>
      </c>
      <c r="B20" s="3">
        <f>XLOOKUP($Q20,'Threshold Summary'!$Y:$Y,'Threshold Summary'!$M:$M,"")</f>
        <v/>
      </c>
      <c r="C20" s="3">
        <f>XLOOKUP($Q20,'Threshold Summary'!$Y:$Y,'Threshold Summary'!$N:$N,"")</f>
        <v/>
      </c>
      <c r="D20" s="3">
        <f>IFERROR(INDEX(FILTER('Learnset Editor'!$D$2:$D,'Learnset Editor'!$A$2:$A=XLOOKUP($Q20,'Threshold Summary'!$Y:$Y,'Threshold Summary'!$K:$K,""),'Learnset Editor'!$C$2:$C&lt;=XLOOKUP($Q20,'Threshold Summary'!$Y:$Y,'Threshold Summary'!$L:$L,"")),$R20),"")</f>
        <v/>
      </c>
      <c r="E20" s="3">
        <f>XLOOKUP(D20,'Move Editor'!$B:$B,'Move Editor'!$C:$C,"")</f>
        <v/>
      </c>
      <c r="F20" s="3">
        <f>XLOOKUP(D20,'Move Editor'!$B:$B,'Move Editor'!$D:$D,"")</f>
        <v/>
      </c>
      <c r="G20" s="3">
        <f>XLOOKUP(D20,'Move Editor'!$B:$B,'Move Editor'!$E:$E,0)</f>
        <v/>
      </c>
      <c r="H20" s="3">
        <f>XLOOKUP(D20,'Move Editor'!$B:$B,'Move Editor'!$F:$F,0)</f>
        <v/>
      </c>
      <c r="I20" s="3">
        <f>(INDEX('Type Chart'!$B:$S,MATCH(E20,'Type Chart'!$A:$A,0),MATCH(XLOOKUP('Boss Editor'!$C$4,'Pokemon Editor'!$A:$A,'Pokemon Editor'!$C:$C,""),'Type Chart'!$B$1:$S$1,0))*IF(XLOOKUP('Boss Editor'!$C$4,'Pokemon Editor'!$A:$A,'Pokemon Editor'!$D:$D,"")="",1,INDEX('Type Chart'!$B:$S,MATCH(E20,'Type Chart'!$A:$A,0),MATCH(XLOOKUP('Boss Editor'!$C$4,'Pokemon Editor'!$A:$A,'Pokemon Editor'!$D:$D,""),'Type Chart'!$B$1:$S$1,0))))</f>
        <v/>
      </c>
      <c r="J20" s="3">
        <f>IFERROR(LET(mtype,XLOOKUP($D20,'Move Editor'!$B:$B,'Move Editor'!$C:$C,""),cat,XLOOKUP($D20,'Move Editor'!$B:$B,'Move Editor'!$D:$D,""),pow,XLOOKUP($D20,'Move Editor'!$B:$B,'Move Editor'!$E:$E,0),acc,XLOOKUP($D20,'Move Editor'!$B:$B,'Move Editor'!$F:$F,100),atk,IF(cat="Physical",FLOOR((FLOOR(((2*XLOOKUP(XLOOKUP($Q20,'Threshold Summary'!$Y:$Y,'Threshold Summary'!$K:$K,""),'Pokemon Editor'!$A:$A,'Pokemon Editor'!$F:$F,0)+31+FLOOR(XLOOKUP($Q20,'Threshold Summary'!$Y:$Y,'Threshold Summary'!$P:$P,"")/4))*XLOOKUP($Q20,'Threshold Summary'!$Y:$Y,'Threshold Summary'!$L:$L,""))/100)+5)*XLOOKUP(XLOOKUP($Q20,'Threshold Summary'!$Y:$Y,'Threshold Summary'!$M:$M,""),'Nature Editor'!$A:$A,'Nature Editor'!$B:$B,1)),FLOOR((FLOOR(((2*XLOOKUP(XLOOKUP($Q20,'Threshold Summary'!$Y:$Y,'Threshold Summary'!$K:$K,""),'Pokemon Editor'!$A:$A,'Pokemon Editor'!$H:$H,0)+31+FLOOR(XLOOKUP($Q20,'Threshold Summary'!$Y:$Y,'Threshold Summary'!$R:$R,"")/4))*XLOOKUP($Q20,'Threshold Summary'!$Y:$Y,'Threshold Summary'!$L:$L,""))/100)+5)*XLOOKUP(XLOOKUP($Q20,'Threshold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Editor'!$E:$E,1))),stab,IF(OR(mtype=XLOOKUP(XLOOKUP($Q20,'Threshold Summary'!$Y:$Y,'Threshold Summary'!$K:$K,""),'Pokemon Editor'!$A:$A,'Pokemon Editor'!$C:$C,""),mtype=XLOOKUP(XLOOKUP($Q20,'Threshold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Chart'!$B$1:$S$1,0)))),base,IF(OR(cat="Status",pow=0),0,FLOOR(FLOOR(FLOOR((2*XLOOKUP($Q20,'Threshold Summary'!$Y:$Y,'Threshold Summary'!$L:$L,"")/5+2)*pow*atk/def)/50)+2)),modifier,stab*eff,FLOOR(base*modifier*0.85)),0)</f>
        <v/>
      </c>
      <c r="K20" s="3">
        <f>IFERROR(LET(mtype,XLOOKUP($D20,'Move Editor'!$B:$B,'Move Editor'!$C:$C,""),cat,XLOOKUP($D20,'Move Editor'!$B:$B,'Move Editor'!$D:$D,""),pow,XLOOKUP($D20,'Move Editor'!$B:$B,'Move Editor'!$E:$E,0),acc,XLOOKUP($D20,'Move Editor'!$B:$B,'Move Editor'!$F:$F,100),atk,IF(cat="Physical",FLOOR((FLOOR(((2*XLOOKUP(XLOOKUP($Q20,'Threshold Summary'!$Y:$Y,'Threshold Summary'!$K:$K,""),'Pokemon Editor'!$A:$A,'Pokemon Editor'!$F:$F,0)+31+FLOOR(XLOOKUP($Q20,'Threshold Summary'!$Y:$Y,'Threshold Summary'!$P:$P,"")/4))*XLOOKUP($Q20,'Threshold Summary'!$Y:$Y,'Threshold Summary'!$L:$L,""))/100)+5)*XLOOKUP(XLOOKUP($Q20,'Threshold Summary'!$Y:$Y,'Threshold Summary'!$M:$M,""),'Nature Editor'!$A:$A,'Nature Editor'!$B:$B,1)),FLOOR((FLOOR(((2*XLOOKUP(XLOOKUP($Q20,'Threshold Summary'!$Y:$Y,'Threshold Summary'!$K:$K,""),'Pokemon Editor'!$A:$A,'Pokemon Editor'!$H:$H,0)+31+FLOOR(XLOOKUP($Q20,'Threshold Summary'!$Y:$Y,'Threshold Summary'!$R:$R,"")/4))*XLOOKUP($Q20,'Threshold Summary'!$Y:$Y,'Threshold Summary'!$L:$L,""))/100)+5)*XLOOKUP(XLOOKUP($Q20,'Threshold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Editor'!$E:$E,1))),stab,IF(OR(mtype=XLOOKUP(XLOOKUP($Q20,'Threshold Summary'!$Y:$Y,'Threshold Summary'!$K:$K,""),'Pokemon Editor'!$A:$A,'Pokemon Editor'!$C:$C,""),mtype=XLOOKUP(XLOOKUP($Q20,'Threshold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Chart'!$B$1:$S$1,0)))),base,IF(OR(cat="Status",pow=0),0,FLOOR(FLOOR(FLOOR((2*XLOOKUP($Q20,'Threshold Summary'!$Y:$Y,'Threshold Summary'!$L:$L,"")/5+2)*pow*atk/def)/50)+2)),modifier,stab*eff,FLOOR(base*modifier)),0)</f>
        <v/>
      </c>
      <c r="L20" s="3">
        <f>IFERROR(LET(mtype,XLOOKUP($D20,'Move Editor'!$B:$B,'Move Editor'!$C:$C,""),cat,XLOOKUP($D20,'Move Editor'!$B:$B,'Move Editor'!$D:$D,""),pow,XLOOKUP($D20,'Move Editor'!$B:$B,'Move Editor'!$E:$E,0),acc,XLOOKUP($D20,'Move Editor'!$B:$B,'Move Editor'!$F:$F,100),atk,IF(cat="Physical",FLOOR((FLOOR(((2*XLOOKUP(XLOOKUP($Q20,'Threshold Summary'!$Y:$Y,'Threshold Summary'!$K:$K,""),'Pokemon Editor'!$A:$A,'Pokemon Editor'!$F:$F,0)+31+FLOOR(XLOOKUP($Q20,'Threshold Summary'!$Y:$Y,'Threshold Summary'!$P:$P,"")/4))*XLOOKUP($Q20,'Threshold Summary'!$Y:$Y,'Threshold Summary'!$L:$L,""))/100)+5)*XLOOKUP(XLOOKUP($Q20,'Threshold Summary'!$Y:$Y,'Threshold Summary'!$M:$M,""),'Nature Editor'!$A:$A,'Nature Editor'!$B:$B,1)),FLOOR((FLOOR(((2*XLOOKUP(XLOOKUP($Q20,'Threshold Summary'!$Y:$Y,'Threshold Summary'!$K:$K,""),'Pokemon Editor'!$A:$A,'Pokemon Editor'!$H:$H,0)+31+FLOOR(XLOOKUP($Q20,'Threshold Summary'!$Y:$Y,'Threshold Summary'!$R:$R,"")/4))*XLOOKUP($Q20,'Threshold Summary'!$Y:$Y,'Threshold Summary'!$L:$L,""))/100)+5)*XLOOKUP(XLOOKUP($Q20,'Threshold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Editor'!$E:$E,1))),stab,IF(OR(mtype=XLOOKUP(XLOOKUP($Q20,'Threshold Summary'!$Y:$Y,'Threshold Summary'!$K:$K,""),'Pokemon Editor'!$A:$A,'Pokemon Editor'!$C:$C,""),mtype=XLOOKUP(XLOOKUP($Q20,'Threshold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Chart'!$B$1:$S$1,0)))),base,IF(OR(cat="Status",pow=0),0,FLOOR(FLOOR(FLOOR((2*XLOOKUP($Q20,'Threshold Summary'!$Y:$Y,'Threshold Summary'!$L:$L,"")/5+2)*pow*atk/def)/50)+2)),modifier,stab*eff,AVERAGE(ARRAYFORMULA(FLOOR(base*modifier*SEQUENCE(16,1,85,1)/100)))),0)</f>
        <v/>
      </c>
      <c r="M20" s="3">
        <f>IFERROR(LET(mtype,XLOOKUP($D20,'Move Editor'!$B:$B,'Move Editor'!$C:$C,""),cat,XLOOKUP($D20,'Move Editor'!$B:$B,'Move Editor'!$D:$D,""),pow,XLOOKUP($D20,'Move Editor'!$B:$B,'Move Editor'!$E:$E,0),acc,XLOOKUP($D20,'Move Editor'!$B:$B,'Move Editor'!$F:$F,100),atk,IF(cat="Physical",FLOOR((FLOOR(((2*XLOOKUP(XLOOKUP($Q20,'Threshold Summary'!$Y:$Y,'Threshold Summary'!$K:$K,""),'Pokemon Editor'!$A:$A,'Pokemon Editor'!$F:$F,0)+31+FLOOR(XLOOKUP($Q20,'Threshold Summary'!$Y:$Y,'Threshold Summary'!$P:$P,"")/4))*XLOOKUP($Q20,'Threshold Summary'!$Y:$Y,'Threshold Summary'!$L:$L,""))/100)+5)*XLOOKUP(XLOOKUP($Q20,'Threshold Summary'!$Y:$Y,'Threshold Summary'!$M:$M,""),'Nature Editor'!$A:$A,'Nature Editor'!$B:$B,1)),FLOOR((FLOOR(((2*XLOOKUP(XLOOKUP($Q20,'Threshold Summary'!$Y:$Y,'Threshold Summary'!$K:$K,""),'Pokemon Editor'!$A:$A,'Pokemon Editor'!$H:$H,0)+31+FLOOR(XLOOKUP($Q20,'Threshold Summary'!$Y:$Y,'Threshold Summary'!$R:$R,"")/4))*XLOOKUP($Q20,'Threshold Summary'!$Y:$Y,'Threshold Summary'!$L:$L,""))/100)+5)*XLOOKUP(XLOOKUP($Q20,'Threshold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Editor'!$E:$E,1))),stab,IF(OR(mtype=XLOOKUP(XLOOKUP($Q20,'Threshold Summary'!$Y:$Y,'Threshold Summary'!$K:$K,""),'Pokemon Editor'!$A:$A,'Pokemon Editor'!$C:$C,""),mtype=XLOOKUP(XLOOKUP($Q20,'Threshold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Chart'!$B$1:$S$1,0)))),base,IF(OR(cat="Status",pow=0),0,FLOOR(FLOOR(FLOOR((2*XLOOKUP($Q20,'Threshold Summary'!$Y:$Y,'Threshold Summary'!$L:$L,"")/5+2)*pow*atk/def)/50)+2)),modifier,stab*eff,AVERAGE(ARRAYFORMULA(FLOOR(base*modifier*SEQUENCE(16,1,85,1)/100)))*MIN(1,acc/100)),0)</f>
        <v/>
      </c>
      <c r="N20" s="4">
        <f>IFERROR(LET(mtype,XLOOKUP($D20,'Move Editor'!$B:$B,'Move Editor'!$C:$C,""),cat,XLOOKUP($D20,'Move Editor'!$B:$B,'Move Editor'!$D:$D,""),pow,XLOOKUP($D20,'Move Editor'!$B:$B,'Move Editor'!$E:$E,0),acc,XLOOKUP($D20,'Move Editor'!$B:$B,'Move Editor'!$F:$F,100),atk,IF(cat="Physical",FLOOR((FLOOR(((2*XLOOKUP(XLOOKUP($Q20,'Threshold Summary'!$Y:$Y,'Threshold Summary'!$K:$K,""),'Pokemon Editor'!$A:$A,'Pokemon Editor'!$F:$F,0)+31+FLOOR(XLOOKUP($Q20,'Threshold Summary'!$Y:$Y,'Threshold Summary'!$P:$P,"")/4))*XLOOKUP($Q20,'Threshold Summary'!$Y:$Y,'Threshold Summary'!$L:$L,""))/100)+5)*XLOOKUP(XLOOKUP($Q20,'Threshold Summary'!$Y:$Y,'Threshold Summary'!$M:$M,""),'Nature Editor'!$A:$A,'Nature Editor'!$B:$B,1)),FLOOR((FLOOR(((2*XLOOKUP(XLOOKUP($Q20,'Threshold Summary'!$Y:$Y,'Threshold Summary'!$K:$K,""),'Pokemon Editor'!$A:$A,'Pokemon Editor'!$H:$H,0)+31+FLOOR(XLOOKUP($Q20,'Threshold Summary'!$Y:$Y,'Threshold Summary'!$R:$R,"")/4))*XLOOKUP($Q20,'Threshold Summary'!$Y:$Y,'Threshold Summary'!$L:$L,""))/100)+5)*XLOOKUP(XLOOKUP($Q20,'Threshold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Editor'!$E:$E,1))),stab,IF(OR(mtype=XLOOKUP(XLOOKUP($Q20,'Threshold Summary'!$Y:$Y,'Threshold Summary'!$K:$K,""),'Pokemon Editor'!$A:$A,'Pokemon Editor'!$C:$C,""),mtype=XLOOKUP(XLOOKUP($Q20,'Threshold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Chart'!$B$1:$S$1,0)))),base,IF(OR(cat="Status",pow=0),0,FLOOR(FLOOR(FLOOR((2*XLOOKUP($Q20,'Threshold Summary'!$Y:$Y,'Threshold Summary'!$L:$L,"")/5+2)*pow*atk/def)/50)+2)),modifier,stab*eff,AVERAGE(ARRAYFORMULA(FLOOR(base*modifier*SEQUENCE(16,1,85,1)/100)))/(FLOOR(((2*XLOOKUP('Boss Editor'!$C$4,'Pokemon Editor'!$A:$A,'Pokemon Editor'!$E:$E,0)+31+FLOOR('Boss Editor'!$G$4/4))*'Boss Editor'!$D$4)/100)+'Boss Editor'!$D$4+10)),0)</f>
        <v/>
      </c>
      <c r="O20" s="3">
        <f>IF(N20&gt;=1,"OHKO",IF(N20&gt;=0.5,"2HKO",IF(N20&gt;=0.333,"3HKO",IF(N20&gt;=0.25,"4HKO","5HKO+"))))</f>
        <v/>
      </c>
      <c r="P20" s="3" t="inlineStr">
        <is>
          <t>Live from editable databases</t>
        </is>
      </c>
      <c r="Q20" s="3" t="inlineStr">
        <is>
          <t>SPECIES_PARAS</t>
        </is>
      </c>
      <c r="R20" s="3" t="n">
        <v>19</v>
      </c>
    </row>
    <row r="21">
      <c r="A21" s="3">
        <f>XLOOKUP($Q21,'Threshold Summary'!$Y:$Y,'Threshold Summary'!$A:$A,"")</f>
        <v/>
      </c>
      <c r="B21" s="3">
        <f>XLOOKUP($Q21,'Threshold Summary'!$Y:$Y,'Threshold Summary'!$M:$M,"")</f>
        <v/>
      </c>
      <c r="C21" s="3">
        <f>XLOOKUP($Q21,'Threshold Summary'!$Y:$Y,'Threshold Summary'!$N:$N,"")</f>
        <v/>
      </c>
      <c r="D21" s="3">
        <f>IFERROR(INDEX(FILTER('Learnset Editor'!$D$2:$D,'Learnset Editor'!$A$2:$A=XLOOKUP($Q21,'Threshold Summary'!$Y:$Y,'Threshold Summary'!$K:$K,""),'Learnset Editor'!$C$2:$C&lt;=XLOOKUP($Q21,'Threshold Summary'!$Y:$Y,'Threshold Summary'!$L:$L,"")),$R21),"")</f>
        <v/>
      </c>
      <c r="E21" s="3">
        <f>XLOOKUP(D21,'Move Editor'!$B:$B,'Move Editor'!$C:$C,"")</f>
        <v/>
      </c>
      <c r="F21" s="3">
        <f>XLOOKUP(D21,'Move Editor'!$B:$B,'Move Editor'!$D:$D,"")</f>
        <v/>
      </c>
      <c r="G21" s="3">
        <f>XLOOKUP(D21,'Move Editor'!$B:$B,'Move Editor'!$E:$E,0)</f>
        <v/>
      </c>
      <c r="H21" s="3">
        <f>XLOOKUP(D21,'Move Editor'!$B:$B,'Move Editor'!$F:$F,0)</f>
        <v/>
      </c>
      <c r="I21" s="3">
        <f>(INDEX('Type Chart'!$B:$S,MATCH(E21,'Type Chart'!$A:$A,0),MATCH(XLOOKUP('Boss Editor'!$C$4,'Pokemon Editor'!$A:$A,'Pokemon Editor'!$C:$C,""),'Type Chart'!$B$1:$S$1,0))*IF(XLOOKUP('Boss Editor'!$C$4,'Pokemon Editor'!$A:$A,'Pokemon Editor'!$D:$D,"")="",1,INDEX('Type Chart'!$B:$S,MATCH(E21,'Type Chart'!$A:$A,0),MATCH(XLOOKUP('Boss Editor'!$C$4,'Pokemon Editor'!$A:$A,'Pokemon Editor'!$D:$D,""),'Type Chart'!$B$1:$S$1,0))))</f>
        <v/>
      </c>
      <c r="J21" s="3">
        <f>IFERROR(LET(mtype,XLOOKUP($D21,'Move Editor'!$B:$B,'Move Editor'!$C:$C,""),cat,XLOOKUP($D21,'Move Editor'!$B:$B,'Move Editor'!$D:$D,""),pow,XLOOKUP($D21,'Move Editor'!$B:$B,'Move Editor'!$E:$E,0),acc,XLOOKUP($D21,'Move Editor'!$B:$B,'Move Editor'!$F:$F,100),atk,IF(cat="Physical",FLOOR((FLOOR(((2*XLOOKUP(XLOOKUP($Q21,'Threshold Summary'!$Y:$Y,'Threshold Summary'!$K:$K,""),'Pokemon Editor'!$A:$A,'Pokemon Editor'!$F:$F,0)+31+FLOOR(XLOOKUP($Q21,'Threshold Summary'!$Y:$Y,'Threshold Summary'!$P:$P,"")/4))*XLOOKUP($Q21,'Threshold Summary'!$Y:$Y,'Threshold Summary'!$L:$L,""))/100)+5)*XLOOKUP(XLOOKUP($Q21,'Threshold Summary'!$Y:$Y,'Threshold Summary'!$M:$M,""),'Nature Editor'!$A:$A,'Nature Editor'!$B:$B,1)),FLOOR((FLOOR(((2*XLOOKUP(XLOOKUP($Q21,'Threshold Summary'!$Y:$Y,'Threshold Summary'!$K:$K,""),'Pokemon Editor'!$A:$A,'Pokemon Editor'!$H:$H,0)+31+FLOOR(XLOOKUP($Q21,'Threshold Summary'!$Y:$Y,'Threshold Summary'!$R:$R,"")/4))*XLOOKUP($Q21,'Threshold Summary'!$Y:$Y,'Threshold Summary'!$L:$L,""))/100)+5)*XLOOKUP(XLOOKUP($Q21,'Threshold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Editor'!$E:$E,1))),stab,IF(OR(mtype=XLOOKUP(XLOOKUP($Q21,'Threshold Summary'!$Y:$Y,'Threshold Summary'!$K:$K,""),'Pokemon Editor'!$A:$A,'Pokemon Editor'!$C:$C,""),mtype=XLOOKUP(XLOOKUP($Q21,'Threshold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Chart'!$B$1:$S$1,0)))),base,IF(OR(cat="Status",pow=0),0,FLOOR(FLOOR(FLOOR((2*XLOOKUP($Q21,'Threshold Summary'!$Y:$Y,'Threshold Summary'!$L:$L,"")/5+2)*pow*atk/def)/50)+2)),modifier,stab*eff,FLOOR(base*modifier*0.85)),0)</f>
        <v/>
      </c>
      <c r="K21" s="3">
        <f>IFERROR(LET(mtype,XLOOKUP($D21,'Move Editor'!$B:$B,'Move Editor'!$C:$C,""),cat,XLOOKUP($D21,'Move Editor'!$B:$B,'Move Editor'!$D:$D,""),pow,XLOOKUP($D21,'Move Editor'!$B:$B,'Move Editor'!$E:$E,0),acc,XLOOKUP($D21,'Move Editor'!$B:$B,'Move Editor'!$F:$F,100),atk,IF(cat="Physical",FLOOR((FLOOR(((2*XLOOKUP(XLOOKUP($Q21,'Threshold Summary'!$Y:$Y,'Threshold Summary'!$K:$K,""),'Pokemon Editor'!$A:$A,'Pokemon Editor'!$F:$F,0)+31+FLOOR(XLOOKUP($Q21,'Threshold Summary'!$Y:$Y,'Threshold Summary'!$P:$P,"")/4))*XLOOKUP($Q21,'Threshold Summary'!$Y:$Y,'Threshold Summary'!$L:$L,""))/100)+5)*XLOOKUP(XLOOKUP($Q21,'Threshold Summary'!$Y:$Y,'Threshold Summary'!$M:$M,""),'Nature Editor'!$A:$A,'Nature Editor'!$B:$B,1)),FLOOR((FLOOR(((2*XLOOKUP(XLOOKUP($Q21,'Threshold Summary'!$Y:$Y,'Threshold Summary'!$K:$K,""),'Pokemon Editor'!$A:$A,'Pokemon Editor'!$H:$H,0)+31+FLOOR(XLOOKUP($Q21,'Threshold Summary'!$Y:$Y,'Threshold Summary'!$R:$R,"")/4))*XLOOKUP($Q21,'Threshold Summary'!$Y:$Y,'Threshold Summary'!$L:$L,""))/100)+5)*XLOOKUP(XLOOKUP($Q21,'Threshold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Editor'!$E:$E,1))),stab,IF(OR(mtype=XLOOKUP(XLOOKUP($Q21,'Threshold Summary'!$Y:$Y,'Threshold Summary'!$K:$K,""),'Pokemon Editor'!$A:$A,'Pokemon Editor'!$C:$C,""),mtype=XLOOKUP(XLOOKUP($Q21,'Threshold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Chart'!$B$1:$S$1,0)))),base,IF(OR(cat="Status",pow=0),0,FLOOR(FLOOR(FLOOR((2*XLOOKUP($Q21,'Threshold Summary'!$Y:$Y,'Threshold Summary'!$L:$L,"")/5+2)*pow*atk/def)/50)+2)),modifier,stab*eff,FLOOR(base*modifier)),0)</f>
        <v/>
      </c>
      <c r="L21" s="3">
        <f>IFERROR(LET(mtype,XLOOKUP($D21,'Move Editor'!$B:$B,'Move Editor'!$C:$C,""),cat,XLOOKUP($D21,'Move Editor'!$B:$B,'Move Editor'!$D:$D,""),pow,XLOOKUP($D21,'Move Editor'!$B:$B,'Move Editor'!$E:$E,0),acc,XLOOKUP($D21,'Move Editor'!$B:$B,'Move Editor'!$F:$F,100),atk,IF(cat="Physical",FLOOR((FLOOR(((2*XLOOKUP(XLOOKUP($Q21,'Threshold Summary'!$Y:$Y,'Threshold Summary'!$K:$K,""),'Pokemon Editor'!$A:$A,'Pokemon Editor'!$F:$F,0)+31+FLOOR(XLOOKUP($Q21,'Threshold Summary'!$Y:$Y,'Threshold Summary'!$P:$P,"")/4))*XLOOKUP($Q21,'Threshold Summary'!$Y:$Y,'Threshold Summary'!$L:$L,""))/100)+5)*XLOOKUP(XLOOKUP($Q21,'Threshold Summary'!$Y:$Y,'Threshold Summary'!$M:$M,""),'Nature Editor'!$A:$A,'Nature Editor'!$B:$B,1)),FLOOR((FLOOR(((2*XLOOKUP(XLOOKUP($Q21,'Threshold Summary'!$Y:$Y,'Threshold Summary'!$K:$K,""),'Pokemon Editor'!$A:$A,'Pokemon Editor'!$H:$H,0)+31+FLOOR(XLOOKUP($Q21,'Threshold Summary'!$Y:$Y,'Threshold Summary'!$R:$R,"")/4))*XLOOKUP($Q21,'Threshold Summary'!$Y:$Y,'Threshold Summary'!$L:$L,""))/100)+5)*XLOOKUP(XLOOKUP($Q21,'Threshold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Editor'!$E:$E,1))),stab,IF(OR(mtype=XLOOKUP(XLOOKUP($Q21,'Threshold Summary'!$Y:$Y,'Threshold Summary'!$K:$K,""),'Pokemon Editor'!$A:$A,'Pokemon Editor'!$C:$C,""),mtype=XLOOKUP(XLOOKUP($Q21,'Threshold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Chart'!$B$1:$S$1,0)))),base,IF(OR(cat="Status",pow=0),0,FLOOR(FLOOR(FLOOR((2*XLOOKUP($Q21,'Threshold Summary'!$Y:$Y,'Threshold Summary'!$L:$L,"")/5+2)*pow*atk/def)/50)+2)),modifier,stab*eff,AVERAGE(ARRAYFORMULA(FLOOR(base*modifier*SEQUENCE(16,1,85,1)/100)))),0)</f>
        <v/>
      </c>
      <c r="M21" s="3">
        <f>IFERROR(LET(mtype,XLOOKUP($D21,'Move Editor'!$B:$B,'Move Editor'!$C:$C,""),cat,XLOOKUP($D21,'Move Editor'!$B:$B,'Move Editor'!$D:$D,""),pow,XLOOKUP($D21,'Move Editor'!$B:$B,'Move Editor'!$E:$E,0),acc,XLOOKUP($D21,'Move Editor'!$B:$B,'Move Editor'!$F:$F,100),atk,IF(cat="Physical",FLOOR((FLOOR(((2*XLOOKUP(XLOOKUP($Q21,'Threshold Summary'!$Y:$Y,'Threshold Summary'!$K:$K,""),'Pokemon Editor'!$A:$A,'Pokemon Editor'!$F:$F,0)+31+FLOOR(XLOOKUP($Q21,'Threshold Summary'!$Y:$Y,'Threshold Summary'!$P:$P,"")/4))*XLOOKUP($Q21,'Threshold Summary'!$Y:$Y,'Threshold Summary'!$L:$L,""))/100)+5)*XLOOKUP(XLOOKUP($Q21,'Threshold Summary'!$Y:$Y,'Threshold Summary'!$M:$M,""),'Nature Editor'!$A:$A,'Nature Editor'!$B:$B,1)),FLOOR((FLOOR(((2*XLOOKUP(XLOOKUP($Q21,'Threshold Summary'!$Y:$Y,'Threshold Summary'!$K:$K,""),'Pokemon Editor'!$A:$A,'Pokemon Editor'!$H:$H,0)+31+FLOOR(XLOOKUP($Q21,'Threshold Summary'!$Y:$Y,'Threshold Summary'!$R:$R,"")/4))*XLOOKUP($Q21,'Threshold Summary'!$Y:$Y,'Threshold Summary'!$L:$L,""))/100)+5)*XLOOKUP(XLOOKUP($Q21,'Threshold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Editor'!$E:$E,1))),stab,IF(OR(mtype=XLOOKUP(XLOOKUP($Q21,'Threshold Summary'!$Y:$Y,'Threshold Summary'!$K:$K,""),'Pokemon Editor'!$A:$A,'Pokemon Editor'!$C:$C,""),mtype=XLOOKUP(XLOOKUP($Q21,'Threshold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Chart'!$B$1:$S$1,0)))),base,IF(OR(cat="Status",pow=0),0,FLOOR(FLOOR(FLOOR((2*XLOOKUP($Q21,'Threshold Summary'!$Y:$Y,'Threshold Summary'!$L:$L,"")/5+2)*pow*atk/def)/50)+2)),modifier,stab*eff,AVERAGE(ARRAYFORMULA(FLOOR(base*modifier*SEQUENCE(16,1,85,1)/100)))*MIN(1,acc/100)),0)</f>
        <v/>
      </c>
      <c r="N21" s="4">
        <f>IFERROR(LET(mtype,XLOOKUP($D21,'Move Editor'!$B:$B,'Move Editor'!$C:$C,""),cat,XLOOKUP($D21,'Move Editor'!$B:$B,'Move Editor'!$D:$D,""),pow,XLOOKUP($D21,'Move Editor'!$B:$B,'Move Editor'!$E:$E,0),acc,XLOOKUP($D21,'Move Editor'!$B:$B,'Move Editor'!$F:$F,100),atk,IF(cat="Physical",FLOOR((FLOOR(((2*XLOOKUP(XLOOKUP($Q21,'Threshold Summary'!$Y:$Y,'Threshold Summary'!$K:$K,""),'Pokemon Editor'!$A:$A,'Pokemon Editor'!$F:$F,0)+31+FLOOR(XLOOKUP($Q21,'Threshold Summary'!$Y:$Y,'Threshold Summary'!$P:$P,"")/4))*XLOOKUP($Q21,'Threshold Summary'!$Y:$Y,'Threshold Summary'!$L:$L,""))/100)+5)*XLOOKUP(XLOOKUP($Q21,'Threshold Summary'!$Y:$Y,'Threshold Summary'!$M:$M,""),'Nature Editor'!$A:$A,'Nature Editor'!$B:$B,1)),FLOOR((FLOOR(((2*XLOOKUP(XLOOKUP($Q21,'Threshold Summary'!$Y:$Y,'Threshold Summary'!$K:$K,""),'Pokemon Editor'!$A:$A,'Pokemon Editor'!$H:$H,0)+31+FLOOR(XLOOKUP($Q21,'Threshold Summary'!$Y:$Y,'Threshold Summary'!$R:$R,"")/4))*XLOOKUP($Q21,'Threshold Summary'!$Y:$Y,'Threshold Summary'!$L:$L,""))/100)+5)*XLOOKUP(XLOOKUP($Q21,'Threshold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Editor'!$E:$E,1))),stab,IF(OR(mtype=XLOOKUP(XLOOKUP($Q21,'Threshold Summary'!$Y:$Y,'Threshold Summary'!$K:$K,""),'Pokemon Editor'!$A:$A,'Pokemon Editor'!$C:$C,""),mtype=XLOOKUP(XLOOKUP($Q21,'Threshold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Chart'!$B$1:$S$1,0)))),base,IF(OR(cat="Status",pow=0),0,FLOOR(FLOOR(FLOOR((2*XLOOKUP($Q21,'Threshold Summary'!$Y:$Y,'Threshold Summary'!$L:$L,"")/5+2)*pow*atk/def)/50)+2)),modifier,stab*eff,AVERAGE(ARRAYFORMULA(FLOOR(base*modifier*SEQUENCE(16,1,85,1)/100)))/(FLOOR(((2*XLOOKUP('Boss Editor'!$C$4,'Pokemon Editor'!$A:$A,'Pokemon Editor'!$E:$E,0)+31+FLOOR('Boss Editor'!$G$4/4))*'Boss Editor'!$D$4)/100)+'Boss Editor'!$D$4+10)),0)</f>
        <v/>
      </c>
      <c r="O21" s="3">
        <f>IF(N21&gt;=1,"OHKO",IF(N21&gt;=0.5,"2HKO",IF(N21&gt;=0.333,"3HKO",IF(N21&gt;=0.25,"4HKO","5HKO+"))))</f>
        <v/>
      </c>
      <c r="P21" s="3" t="inlineStr">
        <is>
          <t>Live from editable databases</t>
        </is>
      </c>
      <c r="Q21" s="3" t="inlineStr">
        <is>
          <t>SPECIES_PARAS</t>
        </is>
      </c>
      <c r="R21" s="3" t="n">
        <v>20</v>
      </c>
    </row>
    <row r="22">
      <c r="A22" s="3">
        <f>XLOOKUP($Q22,'Threshold Summary'!$Y:$Y,'Threshold Summary'!$A:$A,"")</f>
        <v/>
      </c>
      <c r="B22" s="3">
        <f>XLOOKUP($Q22,'Threshold Summary'!$Y:$Y,'Threshold Summary'!$M:$M,"")</f>
        <v/>
      </c>
      <c r="C22" s="3">
        <f>XLOOKUP($Q22,'Threshold Summary'!$Y:$Y,'Threshold Summary'!$N:$N,"")</f>
        <v/>
      </c>
      <c r="D22" s="3">
        <f>IFERROR(INDEX(FILTER('Learnset Editor'!$D$2:$D,'Learnset Editor'!$A$2:$A=XLOOKUP($Q22,'Threshold Summary'!$Y:$Y,'Threshold Summary'!$K:$K,""),'Learnset Editor'!$C$2:$C&lt;=XLOOKUP($Q22,'Threshold Summary'!$Y:$Y,'Threshold Summary'!$L:$L,"")),$R22),"")</f>
        <v/>
      </c>
      <c r="E22" s="3">
        <f>XLOOKUP(D22,'Move Editor'!$B:$B,'Move Editor'!$C:$C,"")</f>
        <v/>
      </c>
      <c r="F22" s="3">
        <f>XLOOKUP(D22,'Move Editor'!$B:$B,'Move Editor'!$D:$D,"")</f>
        <v/>
      </c>
      <c r="G22" s="3">
        <f>XLOOKUP(D22,'Move Editor'!$B:$B,'Move Editor'!$E:$E,0)</f>
        <v/>
      </c>
      <c r="H22" s="3">
        <f>XLOOKUP(D22,'Move Editor'!$B:$B,'Move Editor'!$F:$F,0)</f>
        <v/>
      </c>
      <c r="I22" s="3">
        <f>(INDEX('Type Chart'!$B:$S,MATCH(E22,'Type Chart'!$A:$A,0),MATCH(XLOOKUP('Boss Editor'!$C$4,'Pokemon Editor'!$A:$A,'Pokemon Editor'!$C:$C,""),'Type Chart'!$B$1:$S$1,0))*IF(XLOOKUP('Boss Editor'!$C$4,'Pokemon Editor'!$A:$A,'Pokemon Editor'!$D:$D,"")="",1,INDEX('Type Chart'!$B:$S,MATCH(E22,'Type Chart'!$A:$A,0),MATCH(XLOOKUP('Boss Editor'!$C$4,'Pokemon Editor'!$A:$A,'Pokemon Editor'!$D:$D,""),'Type Chart'!$B$1:$S$1,0))))</f>
        <v/>
      </c>
      <c r="J22" s="3">
        <f>IFERROR(LET(mtype,XLOOKUP($D22,'Move Editor'!$B:$B,'Move Editor'!$C:$C,""),cat,XLOOKUP($D22,'Move Editor'!$B:$B,'Move Editor'!$D:$D,""),pow,XLOOKUP($D22,'Move Editor'!$B:$B,'Move Editor'!$E:$E,0),acc,XLOOKUP($D22,'Move Editor'!$B:$B,'Move Editor'!$F:$F,100),atk,IF(cat="Physical",FLOOR((FLOOR(((2*XLOOKUP(XLOOKUP($Q22,'Threshold Summary'!$Y:$Y,'Threshold Summary'!$K:$K,""),'Pokemon Editor'!$A:$A,'Pokemon Editor'!$F:$F,0)+31+FLOOR(XLOOKUP($Q22,'Threshold Summary'!$Y:$Y,'Threshold Summary'!$P:$P,"")/4))*XLOOKUP($Q22,'Threshold Summary'!$Y:$Y,'Threshold Summary'!$L:$L,""))/100)+5)*XLOOKUP(XLOOKUP($Q22,'Threshold Summary'!$Y:$Y,'Threshold Summary'!$M:$M,""),'Nature Editor'!$A:$A,'Nature Editor'!$B:$B,1)),FLOOR((FLOOR(((2*XLOOKUP(XLOOKUP($Q22,'Threshold Summary'!$Y:$Y,'Threshold Summary'!$K:$K,""),'Pokemon Editor'!$A:$A,'Pokemon Editor'!$H:$H,0)+31+FLOOR(XLOOKUP($Q22,'Threshold Summary'!$Y:$Y,'Threshold Summary'!$R:$R,"")/4))*XLOOKUP($Q22,'Threshold Summary'!$Y:$Y,'Threshold Summary'!$L:$L,""))/100)+5)*XLOOKUP(XLOOKUP($Q22,'Threshold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Editor'!$E:$E,1))),stab,IF(OR(mtype=XLOOKUP(XLOOKUP($Q22,'Threshold Summary'!$Y:$Y,'Threshold Summary'!$K:$K,""),'Pokemon Editor'!$A:$A,'Pokemon Editor'!$C:$C,""),mtype=XLOOKUP(XLOOKUP($Q22,'Threshold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Chart'!$B$1:$S$1,0)))),base,IF(OR(cat="Status",pow=0),0,FLOOR(FLOOR(FLOOR((2*XLOOKUP($Q22,'Threshold Summary'!$Y:$Y,'Threshold Summary'!$L:$L,"")/5+2)*pow*atk/def)/50)+2)),modifier,stab*eff,FLOOR(base*modifier*0.85)),0)</f>
        <v/>
      </c>
      <c r="K22" s="3">
        <f>IFERROR(LET(mtype,XLOOKUP($D22,'Move Editor'!$B:$B,'Move Editor'!$C:$C,""),cat,XLOOKUP($D22,'Move Editor'!$B:$B,'Move Editor'!$D:$D,""),pow,XLOOKUP($D22,'Move Editor'!$B:$B,'Move Editor'!$E:$E,0),acc,XLOOKUP($D22,'Move Editor'!$B:$B,'Move Editor'!$F:$F,100),atk,IF(cat="Physical",FLOOR((FLOOR(((2*XLOOKUP(XLOOKUP($Q22,'Threshold Summary'!$Y:$Y,'Threshold Summary'!$K:$K,""),'Pokemon Editor'!$A:$A,'Pokemon Editor'!$F:$F,0)+31+FLOOR(XLOOKUP($Q22,'Threshold Summary'!$Y:$Y,'Threshold Summary'!$P:$P,"")/4))*XLOOKUP($Q22,'Threshold Summary'!$Y:$Y,'Threshold Summary'!$L:$L,""))/100)+5)*XLOOKUP(XLOOKUP($Q22,'Threshold Summary'!$Y:$Y,'Threshold Summary'!$M:$M,""),'Nature Editor'!$A:$A,'Nature Editor'!$B:$B,1)),FLOOR((FLOOR(((2*XLOOKUP(XLOOKUP($Q22,'Threshold Summary'!$Y:$Y,'Threshold Summary'!$K:$K,""),'Pokemon Editor'!$A:$A,'Pokemon Editor'!$H:$H,0)+31+FLOOR(XLOOKUP($Q22,'Threshold Summary'!$Y:$Y,'Threshold Summary'!$R:$R,"")/4))*XLOOKUP($Q22,'Threshold Summary'!$Y:$Y,'Threshold Summary'!$L:$L,""))/100)+5)*XLOOKUP(XLOOKUP($Q22,'Threshold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Editor'!$E:$E,1))),stab,IF(OR(mtype=XLOOKUP(XLOOKUP($Q22,'Threshold Summary'!$Y:$Y,'Threshold Summary'!$K:$K,""),'Pokemon Editor'!$A:$A,'Pokemon Editor'!$C:$C,""),mtype=XLOOKUP(XLOOKUP($Q22,'Threshold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Chart'!$B$1:$S$1,0)))),base,IF(OR(cat="Status",pow=0),0,FLOOR(FLOOR(FLOOR((2*XLOOKUP($Q22,'Threshold Summary'!$Y:$Y,'Threshold Summary'!$L:$L,"")/5+2)*pow*atk/def)/50)+2)),modifier,stab*eff,FLOOR(base*modifier)),0)</f>
        <v/>
      </c>
      <c r="L22" s="3">
        <f>IFERROR(LET(mtype,XLOOKUP($D22,'Move Editor'!$B:$B,'Move Editor'!$C:$C,""),cat,XLOOKUP($D22,'Move Editor'!$B:$B,'Move Editor'!$D:$D,""),pow,XLOOKUP($D22,'Move Editor'!$B:$B,'Move Editor'!$E:$E,0),acc,XLOOKUP($D22,'Move Editor'!$B:$B,'Move Editor'!$F:$F,100),atk,IF(cat="Physical",FLOOR((FLOOR(((2*XLOOKUP(XLOOKUP($Q22,'Threshold Summary'!$Y:$Y,'Threshold Summary'!$K:$K,""),'Pokemon Editor'!$A:$A,'Pokemon Editor'!$F:$F,0)+31+FLOOR(XLOOKUP($Q22,'Threshold Summary'!$Y:$Y,'Threshold Summary'!$P:$P,"")/4))*XLOOKUP($Q22,'Threshold Summary'!$Y:$Y,'Threshold Summary'!$L:$L,""))/100)+5)*XLOOKUP(XLOOKUP($Q22,'Threshold Summary'!$Y:$Y,'Threshold Summary'!$M:$M,""),'Nature Editor'!$A:$A,'Nature Editor'!$B:$B,1)),FLOOR((FLOOR(((2*XLOOKUP(XLOOKUP($Q22,'Threshold Summary'!$Y:$Y,'Threshold Summary'!$K:$K,""),'Pokemon Editor'!$A:$A,'Pokemon Editor'!$H:$H,0)+31+FLOOR(XLOOKUP($Q22,'Threshold Summary'!$Y:$Y,'Threshold Summary'!$R:$R,"")/4))*XLOOKUP($Q22,'Threshold Summary'!$Y:$Y,'Threshold Summary'!$L:$L,""))/100)+5)*XLOOKUP(XLOOKUP($Q22,'Threshold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Editor'!$E:$E,1))),stab,IF(OR(mtype=XLOOKUP(XLOOKUP($Q22,'Threshold Summary'!$Y:$Y,'Threshold Summary'!$K:$K,""),'Pokemon Editor'!$A:$A,'Pokemon Editor'!$C:$C,""),mtype=XLOOKUP(XLOOKUP($Q22,'Threshold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Chart'!$B$1:$S$1,0)))),base,IF(OR(cat="Status",pow=0),0,FLOOR(FLOOR(FLOOR((2*XLOOKUP($Q22,'Threshold Summary'!$Y:$Y,'Threshold Summary'!$L:$L,"")/5+2)*pow*atk/def)/50)+2)),modifier,stab*eff,AVERAGE(ARRAYFORMULA(FLOOR(base*modifier*SEQUENCE(16,1,85,1)/100)))),0)</f>
        <v/>
      </c>
      <c r="M22" s="3">
        <f>IFERROR(LET(mtype,XLOOKUP($D22,'Move Editor'!$B:$B,'Move Editor'!$C:$C,""),cat,XLOOKUP($D22,'Move Editor'!$B:$B,'Move Editor'!$D:$D,""),pow,XLOOKUP($D22,'Move Editor'!$B:$B,'Move Editor'!$E:$E,0),acc,XLOOKUP($D22,'Move Editor'!$B:$B,'Move Editor'!$F:$F,100),atk,IF(cat="Physical",FLOOR((FLOOR(((2*XLOOKUP(XLOOKUP($Q22,'Threshold Summary'!$Y:$Y,'Threshold Summary'!$K:$K,""),'Pokemon Editor'!$A:$A,'Pokemon Editor'!$F:$F,0)+31+FLOOR(XLOOKUP($Q22,'Threshold Summary'!$Y:$Y,'Threshold Summary'!$P:$P,"")/4))*XLOOKUP($Q22,'Threshold Summary'!$Y:$Y,'Threshold Summary'!$L:$L,""))/100)+5)*XLOOKUP(XLOOKUP($Q22,'Threshold Summary'!$Y:$Y,'Threshold Summary'!$M:$M,""),'Nature Editor'!$A:$A,'Nature Editor'!$B:$B,1)),FLOOR((FLOOR(((2*XLOOKUP(XLOOKUP($Q22,'Threshold Summary'!$Y:$Y,'Threshold Summary'!$K:$K,""),'Pokemon Editor'!$A:$A,'Pokemon Editor'!$H:$H,0)+31+FLOOR(XLOOKUP($Q22,'Threshold Summary'!$Y:$Y,'Threshold Summary'!$R:$R,"")/4))*XLOOKUP($Q22,'Threshold Summary'!$Y:$Y,'Threshold Summary'!$L:$L,""))/100)+5)*XLOOKUP(XLOOKUP($Q22,'Threshold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Editor'!$E:$E,1))),stab,IF(OR(mtype=XLOOKUP(XLOOKUP($Q22,'Threshold Summary'!$Y:$Y,'Threshold Summary'!$K:$K,""),'Pokemon Editor'!$A:$A,'Pokemon Editor'!$C:$C,""),mtype=XLOOKUP(XLOOKUP($Q22,'Threshold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Chart'!$B$1:$S$1,0)))),base,IF(OR(cat="Status",pow=0),0,FLOOR(FLOOR(FLOOR((2*XLOOKUP($Q22,'Threshold Summary'!$Y:$Y,'Threshold Summary'!$L:$L,"")/5+2)*pow*atk/def)/50)+2)),modifier,stab*eff,AVERAGE(ARRAYFORMULA(FLOOR(base*modifier*SEQUENCE(16,1,85,1)/100)))*MIN(1,acc/100)),0)</f>
        <v/>
      </c>
      <c r="N22" s="4">
        <f>IFERROR(LET(mtype,XLOOKUP($D22,'Move Editor'!$B:$B,'Move Editor'!$C:$C,""),cat,XLOOKUP($D22,'Move Editor'!$B:$B,'Move Editor'!$D:$D,""),pow,XLOOKUP($D22,'Move Editor'!$B:$B,'Move Editor'!$E:$E,0),acc,XLOOKUP($D22,'Move Editor'!$B:$B,'Move Editor'!$F:$F,100),atk,IF(cat="Physical",FLOOR((FLOOR(((2*XLOOKUP(XLOOKUP($Q22,'Threshold Summary'!$Y:$Y,'Threshold Summary'!$K:$K,""),'Pokemon Editor'!$A:$A,'Pokemon Editor'!$F:$F,0)+31+FLOOR(XLOOKUP($Q22,'Threshold Summary'!$Y:$Y,'Threshold Summary'!$P:$P,"")/4))*XLOOKUP($Q22,'Threshold Summary'!$Y:$Y,'Threshold Summary'!$L:$L,""))/100)+5)*XLOOKUP(XLOOKUP($Q22,'Threshold Summary'!$Y:$Y,'Threshold Summary'!$M:$M,""),'Nature Editor'!$A:$A,'Nature Editor'!$B:$B,1)),FLOOR((FLOOR(((2*XLOOKUP(XLOOKUP($Q22,'Threshold Summary'!$Y:$Y,'Threshold Summary'!$K:$K,""),'Pokemon Editor'!$A:$A,'Pokemon Editor'!$H:$H,0)+31+FLOOR(XLOOKUP($Q22,'Threshold Summary'!$Y:$Y,'Threshold Summary'!$R:$R,"")/4))*XLOOKUP($Q22,'Threshold Summary'!$Y:$Y,'Threshold Summary'!$L:$L,""))/100)+5)*XLOOKUP(XLOOKUP($Q22,'Threshold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Editor'!$E:$E,1))),stab,IF(OR(mtype=XLOOKUP(XLOOKUP($Q22,'Threshold Summary'!$Y:$Y,'Threshold Summary'!$K:$K,""),'Pokemon Editor'!$A:$A,'Pokemon Editor'!$C:$C,""),mtype=XLOOKUP(XLOOKUP($Q22,'Threshold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Chart'!$B$1:$S$1,0)))),base,IF(OR(cat="Status",pow=0),0,FLOOR(FLOOR(FLOOR((2*XLOOKUP($Q22,'Threshold Summary'!$Y:$Y,'Threshold Summary'!$L:$L,"")/5+2)*pow*atk/def)/50)+2)),modifier,stab*eff,AVERAGE(ARRAYFORMULA(FLOOR(base*modifier*SEQUENCE(16,1,85,1)/100)))/(FLOOR(((2*XLOOKUP('Boss Editor'!$C$4,'Pokemon Editor'!$A:$A,'Pokemon Editor'!$E:$E,0)+31+FLOOR('Boss Editor'!$G$4/4))*'Boss Editor'!$D$4)/100)+'Boss Editor'!$D$4+10)),0)</f>
        <v/>
      </c>
      <c r="O22" s="3">
        <f>IF(N22&gt;=1,"OHKO",IF(N22&gt;=0.5,"2HKO",IF(N22&gt;=0.333,"3HKO",IF(N22&gt;=0.25,"4HKO","5HKO+"))))</f>
        <v/>
      </c>
      <c r="P22" s="3" t="inlineStr">
        <is>
          <t>Live from editable databases</t>
        </is>
      </c>
      <c r="Q22" s="3" t="inlineStr">
        <is>
          <t>SPECIES_PARAS</t>
        </is>
      </c>
      <c r="R22" s="3" t="n">
        <v>21</v>
      </c>
    </row>
    <row r="23">
      <c r="A23" s="3">
        <f>XLOOKUP($Q23,'Threshold Summary'!$Y:$Y,'Threshold Summary'!$A:$A,"")</f>
        <v/>
      </c>
      <c r="B23" s="3">
        <f>XLOOKUP($Q23,'Threshold Summary'!$Y:$Y,'Threshold Summary'!$M:$M,"")</f>
        <v/>
      </c>
      <c r="C23" s="3">
        <f>XLOOKUP($Q23,'Threshold Summary'!$Y:$Y,'Threshold Summary'!$N:$N,"")</f>
        <v/>
      </c>
      <c r="D23" s="3">
        <f>IFERROR(INDEX(FILTER('Learnset Editor'!$D$2:$D,'Learnset Editor'!$A$2:$A=XLOOKUP($Q23,'Threshold Summary'!$Y:$Y,'Threshold Summary'!$K:$K,""),'Learnset Editor'!$C$2:$C&lt;=XLOOKUP($Q23,'Threshold Summary'!$Y:$Y,'Threshold Summary'!$L:$L,"")),$R23),"")</f>
        <v/>
      </c>
      <c r="E23" s="3">
        <f>XLOOKUP(D23,'Move Editor'!$B:$B,'Move Editor'!$C:$C,"")</f>
        <v/>
      </c>
      <c r="F23" s="3">
        <f>XLOOKUP(D23,'Move Editor'!$B:$B,'Move Editor'!$D:$D,"")</f>
        <v/>
      </c>
      <c r="G23" s="3">
        <f>XLOOKUP(D23,'Move Editor'!$B:$B,'Move Editor'!$E:$E,0)</f>
        <v/>
      </c>
      <c r="H23" s="3">
        <f>XLOOKUP(D23,'Move Editor'!$B:$B,'Move Editor'!$F:$F,0)</f>
        <v/>
      </c>
      <c r="I23" s="3">
        <f>(INDEX('Type Chart'!$B:$S,MATCH(E23,'Type Chart'!$A:$A,0),MATCH(XLOOKUP('Boss Editor'!$C$4,'Pokemon Editor'!$A:$A,'Pokemon Editor'!$C:$C,""),'Type Chart'!$B$1:$S$1,0))*IF(XLOOKUP('Boss Editor'!$C$4,'Pokemon Editor'!$A:$A,'Pokemon Editor'!$D:$D,"")="",1,INDEX('Type Chart'!$B:$S,MATCH(E23,'Type Chart'!$A:$A,0),MATCH(XLOOKUP('Boss Editor'!$C$4,'Pokemon Editor'!$A:$A,'Pokemon Editor'!$D:$D,""),'Type Chart'!$B$1:$S$1,0))))</f>
        <v/>
      </c>
      <c r="J23" s="3">
        <f>IFERROR(LET(mtype,XLOOKUP($D23,'Move Editor'!$B:$B,'Move Editor'!$C:$C,""),cat,XLOOKUP($D23,'Move Editor'!$B:$B,'Move Editor'!$D:$D,""),pow,XLOOKUP($D23,'Move Editor'!$B:$B,'Move Editor'!$E:$E,0),acc,XLOOKUP($D23,'Move Editor'!$B:$B,'Move Editor'!$F:$F,100),atk,IF(cat="Physical",FLOOR((FLOOR(((2*XLOOKUP(XLOOKUP($Q23,'Threshold Summary'!$Y:$Y,'Threshold Summary'!$K:$K,""),'Pokemon Editor'!$A:$A,'Pokemon Editor'!$F:$F,0)+31+FLOOR(XLOOKUP($Q23,'Threshold Summary'!$Y:$Y,'Threshold Summary'!$P:$P,"")/4))*XLOOKUP($Q23,'Threshold Summary'!$Y:$Y,'Threshold Summary'!$L:$L,""))/100)+5)*XLOOKUP(XLOOKUP($Q23,'Threshold Summary'!$Y:$Y,'Threshold Summary'!$M:$M,""),'Nature Editor'!$A:$A,'Nature Editor'!$B:$B,1)),FLOOR((FLOOR(((2*XLOOKUP(XLOOKUP($Q23,'Threshold Summary'!$Y:$Y,'Threshold Summary'!$K:$K,""),'Pokemon Editor'!$A:$A,'Pokemon Editor'!$H:$H,0)+31+FLOOR(XLOOKUP($Q23,'Threshold Summary'!$Y:$Y,'Threshold Summary'!$R:$R,"")/4))*XLOOKUP($Q23,'Threshold Summary'!$Y:$Y,'Threshold Summary'!$L:$L,""))/100)+5)*XLOOKUP(XLOOKUP($Q23,'Threshold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Editor'!$E:$E,1))),stab,IF(OR(mtype=XLOOKUP(XLOOKUP($Q23,'Threshold Summary'!$Y:$Y,'Threshold Summary'!$K:$K,""),'Pokemon Editor'!$A:$A,'Pokemon Editor'!$C:$C,""),mtype=XLOOKUP(XLOOKUP($Q23,'Threshold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Chart'!$B$1:$S$1,0)))),base,IF(OR(cat="Status",pow=0),0,FLOOR(FLOOR(FLOOR((2*XLOOKUP($Q23,'Threshold Summary'!$Y:$Y,'Threshold Summary'!$L:$L,"")/5+2)*pow*atk/def)/50)+2)),modifier,stab*eff,FLOOR(base*modifier*0.85)),0)</f>
        <v/>
      </c>
      <c r="K23" s="3">
        <f>IFERROR(LET(mtype,XLOOKUP($D23,'Move Editor'!$B:$B,'Move Editor'!$C:$C,""),cat,XLOOKUP($D23,'Move Editor'!$B:$B,'Move Editor'!$D:$D,""),pow,XLOOKUP($D23,'Move Editor'!$B:$B,'Move Editor'!$E:$E,0),acc,XLOOKUP($D23,'Move Editor'!$B:$B,'Move Editor'!$F:$F,100),atk,IF(cat="Physical",FLOOR((FLOOR(((2*XLOOKUP(XLOOKUP($Q23,'Threshold Summary'!$Y:$Y,'Threshold Summary'!$K:$K,""),'Pokemon Editor'!$A:$A,'Pokemon Editor'!$F:$F,0)+31+FLOOR(XLOOKUP($Q23,'Threshold Summary'!$Y:$Y,'Threshold Summary'!$P:$P,"")/4))*XLOOKUP($Q23,'Threshold Summary'!$Y:$Y,'Threshold Summary'!$L:$L,""))/100)+5)*XLOOKUP(XLOOKUP($Q23,'Threshold Summary'!$Y:$Y,'Threshold Summary'!$M:$M,""),'Nature Editor'!$A:$A,'Nature Editor'!$B:$B,1)),FLOOR((FLOOR(((2*XLOOKUP(XLOOKUP($Q23,'Threshold Summary'!$Y:$Y,'Threshold Summary'!$K:$K,""),'Pokemon Editor'!$A:$A,'Pokemon Editor'!$H:$H,0)+31+FLOOR(XLOOKUP($Q23,'Threshold Summary'!$Y:$Y,'Threshold Summary'!$R:$R,"")/4))*XLOOKUP($Q23,'Threshold Summary'!$Y:$Y,'Threshold Summary'!$L:$L,""))/100)+5)*XLOOKUP(XLOOKUP($Q23,'Threshold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Editor'!$E:$E,1))),stab,IF(OR(mtype=XLOOKUP(XLOOKUP($Q23,'Threshold Summary'!$Y:$Y,'Threshold Summary'!$K:$K,""),'Pokemon Editor'!$A:$A,'Pokemon Editor'!$C:$C,""),mtype=XLOOKUP(XLOOKUP($Q23,'Threshold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Chart'!$B$1:$S$1,0)))),base,IF(OR(cat="Status",pow=0),0,FLOOR(FLOOR(FLOOR((2*XLOOKUP($Q23,'Threshold Summary'!$Y:$Y,'Threshold Summary'!$L:$L,"")/5+2)*pow*atk/def)/50)+2)),modifier,stab*eff,FLOOR(base*modifier)),0)</f>
        <v/>
      </c>
      <c r="L23" s="3">
        <f>IFERROR(LET(mtype,XLOOKUP($D23,'Move Editor'!$B:$B,'Move Editor'!$C:$C,""),cat,XLOOKUP($D23,'Move Editor'!$B:$B,'Move Editor'!$D:$D,""),pow,XLOOKUP($D23,'Move Editor'!$B:$B,'Move Editor'!$E:$E,0),acc,XLOOKUP($D23,'Move Editor'!$B:$B,'Move Editor'!$F:$F,100),atk,IF(cat="Physical",FLOOR((FLOOR(((2*XLOOKUP(XLOOKUP($Q23,'Threshold Summary'!$Y:$Y,'Threshold Summary'!$K:$K,""),'Pokemon Editor'!$A:$A,'Pokemon Editor'!$F:$F,0)+31+FLOOR(XLOOKUP($Q23,'Threshold Summary'!$Y:$Y,'Threshold Summary'!$P:$P,"")/4))*XLOOKUP($Q23,'Threshold Summary'!$Y:$Y,'Threshold Summary'!$L:$L,""))/100)+5)*XLOOKUP(XLOOKUP($Q23,'Threshold Summary'!$Y:$Y,'Threshold Summary'!$M:$M,""),'Nature Editor'!$A:$A,'Nature Editor'!$B:$B,1)),FLOOR((FLOOR(((2*XLOOKUP(XLOOKUP($Q23,'Threshold Summary'!$Y:$Y,'Threshold Summary'!$K:$K,""),'Pokemon Editor'!$A:$A,'Pokemon Editor'!$H:$H,0)+31+FLOOR(XLOOKUP($Q23,'Threshold Summary'!$Y:$Y,'Threshold Summary'!$R:$R,"")/4))*XLOOKUP($Q23,'Threshold Summary'!$Y:$Y,'Threshold Summary'!$L:$L,""))/100)+5)*XLOOKUP(XLOOKUP($Q23,'Threshold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Editor'!$E:$E,1))),stab,IF(OR(mtype=XLOOKUP(XLOOKUP($Q23,'Threshold Summary'!$Y:$Y,'Threshold Summary'!$K:$K,""),'Pokemon Editor'!$A:$A,'Pokemon Editor'!$C:$C,""),mtype=XLOOKUP(XLOOKUP($Q23,'Threshold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Chart'!$B$1:$S$1,0)))),base,IF(OR(cat="Status",pow=0),0,FLOOR(FLOOR(FLOOR((2*XLOOKUP($Q23,'Threshold Summary'!$Y:$Y,'Threshold Summary'!$L:$L,"")/5+2)*pow*atk/def)/50)+2)),modifier,stab*eff,AVERAGE(ARRAYFORMULA(FLOOR(base*modifier*SEQUENCE(16,1,85,1)/100)))),0)</f>
        <v/>
      </c>
      <c r="M23" s="3">
        <f>IFERROR(LET(mtype,XLOOKUP($D23,'Move Editor'!$B:$B,'Move Editor'!$C:$C,""),cat,XLOOKUP($D23,'Move Editor'!$B:$B,'Move Editor'!$D:$D,""),pow,XLOOKUP($D23,'Move Editor'!$B:$B,'Move Editor'!$E:$E,0),acc,XLOOKUP($D23,'Move Editor'!$B:$B,'Move Editor'!$F:$F,100),atk,IF(cat="Physical",FLOOR((FLOOR(((2*XLOOKUP(XLOOKUP($Q23,'Threshold Summary'!$Y:$Y,'Threshold Summary'!$K:$K,""),'Pokemon Editor'!$A:$A,'Pokemon Editor'!$F:$F,0)+31+FLOOR(XLOOKUP($Q23,'Threshold Summary'!$Y:$Y,'Threshold Summary'!$P:$P,"")/4))*XLOOKUP($Q23,'Threshold Summary'!$Y:$Y,'Threshold Summary'!$L:$L,""))/100)+5)*XLOOKUP(XLOOKUP($Q23,'Threshold Summary'!$Y:$Y,'Threshold Summary'!$M:$M,""),'Nature Editor'!$A:$A,'Nature Editor'!$B:$B,1)),FLOOR((FLOOR(((2*XLOOKUP(XLOOKUP($Q23,'Threshold Summary'!$Y:$Y,'Threshold Summary'!$K:$K,""),'Pokemon Editor'!$A:$A,'Pokemon Editor'!$H:$H,0)+31+FLOOR(XLOOKUP($Q23,'Threshold Summary'!$Y:$Y,'Threshold Summary'!$R:$R,"")/4))*XLOOKUP($Q23,'Threshold Summary'!$Y:$Y,'Threshold Summary'!$L:$L,""))/100)+5)*XLOOKUP(XLOOKUP($Q23,'Threshold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Editor'!$E:$E,1))),stab,IF(OR(mtype=XLOOKUP(XLOOKUP($Q23,'Threshold Summary'!$Y:$Y,'Threshold Summary'!$K:$K,""),'Pokemon Editor'!$A:$A,'Pokemon Editor'!$C:$C,""),mtype=XLOOKUP(XLOOKUP($Q23,'Threshold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Chart'!$B$1:$S$1,0)))),base,IF(OR(cat="Status",pow=0),0,FLOOR(FLOOR(FLOOR((2*XLOOKUP($Q23,'Threshold Summary'!$Y:$Y,'Threshold Summary'!$L:$L,"")/5+2)*pow*atk/def)/50)+2)),modifier,stab*eff,AVERAGE(ARRAYFORMULA(FLOOR(base*modifier*SEQUENCE(16,1,85,1)/100)))*MIN(1,acc/100)),0)</f>
        <v/>
      </c>
      <c r="N23" s="4">
        <f>IFERROR(LET(mtype,XLOOKUP($D23,'Move Editor'!$B:$B,'Move Editor'!$C:$C,""),cat,XLOOKUP($D23,'Move Editor'!$B:$B,'Move Editor'!$D:$D,""),pow,XLOOKUP($D23,'Move Editor'!$B:$B,'Move Editor'!$E:$E,0),acc,XLOOKUP($D23,'Move Editor'!$B:$B,'Move Editor'!$F:$F,100),atk,IF(cat="Physical",FLOOR((FLOOR(((2*XLOOKUP(XLOOKUP($Q23,'Threshold Summary'!$Y:$Y,'Threshold Summary'!$K:$K,""),'Pokemon Editor'!$A:$A,'Pokemon Editor'!$F:$F,0)+31+FLOOR(XLOOKUP($Q23,'Threshold Summary'!$Y:$Y,'Threshold Summary'!$P:$P,"")/4))*XLOOKUP($Q23,'Threshold Summary'!$Y:$Y,'Threshold Summary'!$L:$L,""))/100)+5)*XLOOKUP(XLOOKUP($Q23,'Threshold Summary'!$Y:$Y,'Threshold Summary'!$M:$M,""),'Nature Editor'!$A:$A,'Nature Editor'!$B:$B,1)),FLOOR((FLOOR(((2*XLOOKUP(XLOOKUP($Q23,'Threshold Summary'!$Y:$Y,'Threshold Summary'!$K:$K,""),'Pokemon Editor'!$A:$A,'Pokemon Editor'!$H:$H,0)+31+FLOOR(XLOOKUP($Q23,'Threshold Summary'!$Y:$Y,'Threshold Summary'!$R:$R,"")/4))*XLOOKUP($Q23,'Threshold Summary'!$Y:$Y,'Threshold Summary'!$L:$L,""))/100)+5)*XLOOKUP(XLOOKUP($Q23,'Threshold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Editor'!$E:$E,1))),stab,IF(OR(mtype=XLOOKUP(XLOOKUP($Q23,'Threshold Summary'!$Y:$Y,'Threshold Summary'!$K:$K,""),'Pokemon Editor'!$A:$A,'Pokemon Editor'!$C:$C,""),mtype=XLOOKUP(XLOOKUP($Q23,'Threshold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Chart'!$B$1:$S$1,0)))),base,IF(OR(cat="Status",pow=0),0,FLOOR(FLOOR(FLOOR((2*XLOOKUP($Q23,'Threshold Summary'!$Y:$Y,'Threshold Summary'!$L:$L,"")/5+2)*pow*atk/def)/50)+2)),modifier,stab*eff,AVERAGE(ARRAYFORMULA(FLOOR(base*modifier*SEQUENCE(16,1,85,1)/100)))/(FLOOR(((2*XLOOKUP('Boss Editor'!$C$4,'Pokemon Editor'!$A:$A,'Pokemon Editor'!$E:$E,0)+31+FLOOR('Boss Editor'!$G$4/4))*'Boss Editor'!$D$4)/100)+'Boss Editor'!$D$4+10)),0)</f>
        <v/>
      </c>
      <c r="O23" s="3">
        <f>IF(N23&gt;=1,"OHKO",IF(N23&gt;=0.5,"2HKO",IF(N23&gt;=0.333,"3HKO",IF(N23&gt;=0.25,"4HKO","5HKO+"))))</f>
        <v/>
      </c>
      <c r="P23" s="3" t="inlineStr">
        <is>
          <t>Live from editable databases</t>
        </is>
      </c>
      <c r="Q23" s="3" t="inlineStr">
        <is>
          <t>SPECIES_PARAS</t>
        </is>
      </c>
      <c r="R23" s="3" t="n">
        <v>22</v>
      </c>
    </row>
    <row r="24">
      <c r="A24" s="3">
        <f>XLOOKUP($Q24,'Threshold Summary'!$Y:$Y,'Threshold Summary'!$A:$A,"")</f>
        <v/>
      </c>
      <c r="B24" s="3">
        <f>XLOOKUP($Q24,'Threshold Summary'!$Y:$Y,'Threshold Summary'!$M:$M,"")</f>
        <v/>
      </c>
      <c r="C24" s="3">
        <f>XLOOKUP($Q24,'Threshold Summary'!$Y:$Y,'Threshold Summary'!$N:$N,"")</f>
        <v/>
      </c>
      <c r="D24" s="3">
        <f>IFERROR(INDEX(FILTER('Learnset Editor'!$D$2:$D,'Learnset Editor'!$A$2:$A=XLOOKUP($Q24,'Threshold Summary'!$Y:$Y,'Threshold Summary'!$K:$K,""),'Learnset Editor'!$C$2:$C&lt;=XLOOKUP($Q24,'Threshold Summary'!$Y:$Y,'Threshold Summary'!$L:$L,"")),$R24),"")</f>
        <v/>
      </c>
      <c r="E24" s="3">
        <f>XLOOKUP(D24,'Move Editor'!$B:$B,'Move Editor'!$C:$C,"")</f>
        <v/>
      </c>
      <c r="F24" s="3">
        <f>XLOOKUP(D24,'Move Editor'!$B:$B,'Move Editor'!$D:$D,"")</f>
        <v/>
      </c>
      <c r="G24" s="3">
        <f>XLOOKUP(D24,'Move Editor'!$B:$B,'Move Editor'!$E:$E,0)</f>
        <v/>
      </c>
      <c r="H24" s="3">
        <f>XLOOKUP(D24,'Move Editor'!$B:$B,'Move Editor'!$F:$F,0)</f>
        <v/>
      </c>
      <c r="I24" s="3">
        <f>(INDEX('Type Chart'!$B:$S,MATCH(E24,'Type Chart'!$A:$A,0),MATCH(XLOOKUP('Boss Editor'!$C$4,'Pokemon Editor'!$A:$A,'Pokemon Editor'!$C:$C,""),'Type Chart'!$B$1:$S$1,0))*IF(XLOOKUP('Boss Editor'!$C$4,'Pokemon Editor'!$A:$A,'Pokemon Editor'!$D:$D,"")="",1,INDEX('Type Chart'!$B:$S,MATCH(E24,'Type Chart'!$A:$A,0),MATCH(XLOOKUP('Boss Editor'!$C$4,'Pokemon Editor'!$A:$A,'Pokemon Editor'!$D:$D,""),'Type Chart'!$B$1:$S$1,0))))</f>
        <v/>
      </c>
      <c r="J24" s="3">
        <f>IFERROR(LET(mtype,XLOOKUP($D24,'Move Editor'!$B:$B,'Move Editor'!$C:$C,""),cat,XLOOKUP($D24,'Move Editor'!$B:$B,'Move Editor'!$D:$D,""),pow,XLOOKUP($D24,'Move Editor'!$B:$B,'Move Editor'!$E:$E,0),acc,XLOOKUP($D24,'Move Editor'!$B:$B,'Move Editor'!$F:$F,100),atk,IF(cat="Physical",FLOOR((FLOOR(((2*XLOOKUP(XLOOKUP($Q24,'Threshold Summary'!$Y:$Y,'Threshold Summary'!$K:$K,""),'Pokemon Editor'!$A:$A,'Pokemon Editor'!$F:$F,0)+31+FLOOR(XLOOKUP($Q24,'Threshold Summary'!$Y:$Y,'Threshold Summary'!$P:$P,"")/4))*XLOOKUP($Q24,'Threshold Summary'!$Y:$Y,'Threshold Summary'!$L:$L,""))/100)+5)*XLOOKUP(XLOOKUP($Q24,'Threshold Summary'!$Y:$Y,'Threshold Summary'!$M:$M,""),'Nature Editor'!$A:$A,'Nature Editor'!$B:$B,1)),FLOOR((FLOOR(((2*XLOOKUP(XLOOKUP($Q24,'Threshold Summary'!$Y:$Y,'Threshold Summary'!$K:$K,""),'Pokemon Editor'!$A:$A,'Pokemon Editor'!$H:$H,0)+31+FLOOR(XLOOKUP($Q24,'Threshold Summary'!$Y:$Y,'Threshold Summary'!$R:$R,"")/4))*XLOOKUP($Q24,'Threshold Summary'!$Y:$Y,'Threshold Summary'!$L:$L,""))/100)+5)*XLOOKUP(XLOOKUP($Q24,'Threshold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Editor'!$E:$E,1))),stab,IF(OR(mtype=XLOOKUP(XLOOKUP($Q24,'Threshold Summary'!$Y:$Y,'Threshold Summary'!$K:$K,""),'Pokemon Editor'!$A:$A,'Pokemon Editor'!$C:$C,""),mtype=XLOOKUP(XLOOKUP($Q24,'Threshold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Chart'!$B$1:$S$1,0)))),base,IF(OR(cat="Status",pow=0),0,FLOOR(FLOOR(FLOOR((2*XLOOKUP($Q24,'Threshold Summary'!$Y:$Y,'Threshold Summary'!$L:$L,"")/5+2)*pow*atk/def)/50)+2)),modifier,stab*eff,FLOOR(base*modifier*0.85)),0)</f>
        <v/>
      </c>
      <c r="K24" s="3">
        <f>IFERROR(LET(mtype,XLOOKUP($D24,'Move Editor'!$B:$B,'Move Editor'!$C:$C,""),cat,XLOOKUP($D24,'Move Editor'!$B:$B,'Move Editor'!$D:$D,""),pow,XLOOKUP($D24,'Move Editor'!$B:$B,'Move Editor'!$E:$E,0),acc,XLOOKUP($D24,'Move Editor'!$B:$B,'Move Editor'!$F:$F,100),atk,IF(cat="Physical",FLOOR((FLOOR(((2*XLOOKUP(XLOOKUP($Q24,'Threshold Summary'!$Y:$Y,'Threshold Summary'!$K:$K,""),'Pokemon Editor'!$A:$A,'Pokemon Editor'!$F:$F,0)+31+FLOOR(XLOOKUP($Q24,'Threshold Summary'!$Y:$Y,'Threshold Summary'!$P:$P,"")/4))*XLOOKUP($Q24,'Threshold Summary'!$Y:$Y,'Threshold Summary'!$L:$L,""))/100)+5)*XLOOKUP(XLOOKUP($Q24,'Threshold Summary'!$Y:$Y,'Threshold Summary'!$M:$M,""),'Nature Editor'!$A:$A,'Nature Editor'!$B:$B,1)),FLOOR((FLOOR(((2*XLOOKUP(XLOOKUP($Q24,'Threshold Summary'!$Y:$Y,'Threshold Summary'!$K:$K,""),'Pokemon Editor'!$A:$A,'Pokemon Editor'!$H:$H,0)+31+FLOOR(XLOOKUP($Q24,'Threshold Summary'!$Y:$Y,'Threshold Summary'!$R:$R,"")/4))*XLOOKUP($Q24,'Threshold Summary'!$Y:$Y,'Threshold Summary'!$L:$L,""))/100)+5)*XLOOKUP(XLOOKUP($Q24,'Threshold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Editor'!$E:$E,1))),stab,IF(OR(mtype=XLOOKUP(XLOOKUP($Q24,'Threshold Summary'!$Y:$Y,'Threshold Summary'!$K:$K,""),'Pokemon Editor'!$A:$A,'Pokemon Editor'!$C:$C,""),mtype=XLOOKUP(XLOOKUP($Q24,'Threshold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Chart'!$B$1:$S$1,0)))),base,IF(OR(cat="Status",pow=0),0,FLOOR(FLOOR(FLOOR((2*XLOOKUP($Q24,'Threshold Summary'!$Y:$Y,'Threshold Summary'!$L:$L,"")/5+2)*pow*atk/def)/50)+2)),modifier,stab*eff,FLOOR(base*modifier)),0)</f>
        <v/>
      </c>
      <c r="L24" s="3">
        <f>IFERROR(LET(mtype,XLOOKUP($D24,'Move Editor'!$B:$B,'Move Editor'!$C:$C,""),cat,XLOOKUP($D24,'Move Editor'!$B:$B,'Move Editor'!$D:$D,""),pow,XLOOKUP($D24,'Move Editor'!$B:$B,'Move Editor'!$E:$E,0),acc,XLOOKUP($D24,'Move Editor'!$B:$B,'Move Editor'!$F:$F,100),atk,IF(cat="Physical",FLOOR((FLOOR(((2*XLOOKUP(XLOOKUP($Q24,'Threshold Summary'!$Y:$Y,'Threshold Summary'!$K:$K,""),'Pokemon Editor'!$A:$A,'Pokemon Editor'!$F:$F,0)+31+FLOOR(XLOOKUP($Q24,'Threshold Summary'!$Y:$Y,'Threshold Summary'!$P:$P,"")/4))*XLOOKUP($Q24,'Threshold Summary'!$Y:$Y,'Threshold Summary'!$L:$L,""))/100)+5)*XLOOKUP(XLOOKUP($Q24,'Threshold Summary'!$Y:$Y,'Threshold Summary'!$M:$M,""),'Nature Editor'!$A:$A,'Nature Editor'!$B:$B,1)),FLOOR((FLOOR(((2*XLOOKUP(XLOOKUP($Q24,'Threshold Summary'!$Y:$Y,'Threshold Summary'!$K:$K,""),'Pokemon Editor'!$A:$A,'Pokemon Editor'!$H:$H,0)+31+FLOOR(XLOOKUP($Q24,'Threshold Summary'!$Y:$Y,'Threshold Summary'!$R:$R,"")/4))*XLOOKUP($Q24,'Threshold Summary'!$Y:$Y,'Threshold Summary'!$L:$L,""))/100)+5)*XLOOKUP(XLOOKUP($Q24,'Threshold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Editor'!$E:$E,1))),stab,IF(OR(mtype=XLOOKUP(XLOOKUP($Q24,'Threshold Summary'!$Y:$Y,'Threshold Summary'!$K:$K,""),'Pokemon Editor'!$A:$A,'Pokemon Editor'!$C:$C,""),mtype=XLOOKUP(XLOOKUP($Q24,'Threshold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Chart'!$B$1:$S$1,0)))),base,IF(OR(cat="Status",pow=0),0,FLOOR(FLOOR(FLOOR((2*XLOOKUP($Q24,'Threshold Summary'!$Y:$Y,'Threshold Summary'!$L:$L,"")/5+2)*pow*atk/def)/50)+2)),modifier,stab*eff,AVERAGE(ARRAYFORMULA(FLOOR(base*modifier*SEQUENCE(16,1,85,1)/100)))),0)</f>
        <v/>
      </c>
      <c r="M24" s="3">
        <f>IFERROR(LET(mtype,XLOOKUP($D24,'Move Editor'!$B:$B,'Move Editor'!$C:$C,""),cat,XLOOKUP($D24,'Move Editor'!$B:$B,'Move Editor'!$D:$D,""),pow,XLOOKUP($D24,'Move Editor'!$B:$B,'Move Editor'!$E:$E,0),acc,XLOOKUP($D24,'Move Editor'!$B:$B,'Move Editor'!$F:$F,100),atk,IF(cat="Physical",FLOOR((FLOOR(((2*XLOOKUP(XLOOKUP($Q24,'Threshold Summary'!$Y:$Y,'Threshold Summary'!$K:$K,""),'Pokemon Editor'!$A:$A,'Pokemon Editor'!$F:$F,0)+31+FLOOR(XLOOKUP($Q24,'Threshold Summary'!$Y:$Y,'Threshold Summary'!$P:$P,"")/4))*XLOOKUP($Q24,'Threshold Summary'!$Y:$Y,'Threshold Summary'!$L:$L,""))/100)+5)*XLOOKUP(XLOOKUP($Q24,'Threshold Summary'!$Y:$Y,'Threshold Summary'!$M:$M,""),'Nature Editor'!$A:$A,'Nature Editor'!$B:$B,1)),FLOOR((FLOOR(((2*XLOOKUP(XLOOKUP($Q24,'Threshold Summary'!$Y:$Y,'Threshold Summary'!$K:$K,""),'Pokemon Editor'!$A:$A,'Pokemon Editor'!$H:$H,0)+31+FLOOR(XLOOKUP($Q24,'Threshold Summary'!$Y:$Y,'Threshold Summary'!$R:$R,"")/4))*XLOOKUP($Q24,'Threshold Summary'!$Y:$Y,'Threshold Summary'!$L:$L,""))/100)+5)*XLOOKUP(XLOOKUP($Q24,'Threshold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Editor'!$E:$E,1))),stab,IF(OR(mtype=XLOOKUP(XLOOKUP($Q24,'Threshold Summary'!$Y:$Y,'Threshold Summary'!$K:$K,""),'Pokemon Editor'!$A:$A,'Pokemon Editor'!$C:$C,""),mtype=XLOOKUP(XLOOKUP($Q24,'Threshold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Chart'!$B$1:$S$1,0)))),base,IF(OR(cat="Status",pow=0),0,FLOOR(FLOOR(FLOOR((2*XLOOKUP($Q24,'Threshold Summary'!$Y:$Y,'Threshold Summary'!$L:$L,"")/5+2)*pow*atk/def)/50)+2)),modifier,stab*eff,AVERAGE(ARRAYFORMULA(FLOOR(base*modifier*SEQUENCE(16,1,85,1)/100)))*MIN(1,acc/100)),0)</f>
        <v/>
      </c>
      <c r="N24" s="4">
        <f>IFERROR(LET(mtype,XLOOKUP($D24,'Move Editor'!$B:$B,'Move Editor'!$C:$C,""),cat,XLOOKUP($D24,'Move Editor'!$B:$B,'Move Editor'!$D:$D,""),pow,XLOOKUP($D24,'Move Editor'!$B:$B,'Move Editor'!$E:$E,0),acc,XLOOKUP($D24,'Move Editor'!$B:$B,'Move Editor'!$F:$F,100),atk,IF(cat="Physical",FLOOR((FLOOR(((2*XLOOKUP(XLOOKUP($Q24,'Threshold Summary'!$Y:$Y,'Threshold Summary'!$K:$K,""),'Pokemon Editor'!$A:$A,'Pokemon Editor'!$F:$F,0)+31+FLOOR(XLOOKUP($Q24,'Threshold Summary'!$Y:$Y,'Threshold Summary'!$P:$P,"")/4))*XLOOKUP($Q24,'Threshold Summary'!$Y:$Y,'Threshold Summary'!$L:$L,""))/100)+5)*XLOOKUP(XLOOKUP($Q24,'Threshold Summary'!$Y:$Y,'Threshold Summary'!$M:$M,""),'Nature Editor'!$A:$A,'Nature Editor'!$B:$B,1)),FLOOR((FLOOR(((2*XLOOKUP(XLOOKUP($Q24,'Threshold Summary'!$Y:$Y,'Threshold Summary'!$K:$K,""),'Pokemon Editor'!$A:$A,'Pokemon Editor'!$H:$H,0)+31+FLOOR(XLOOKUP($Q24,'Threshold Summary'!$Y:$Y,'Threshold Summary'!$R:$R,"")/4))*XLOOKUP($Q24,'Threshold Summary'!$Y:$Y,'Threshold Summary'!$L:$L,""))/100)+5)*XLOOKUP(XLOOKUP($Q24,'Threshold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Editor'!$E:$E,1))),stab,IF(OR(mtype=XLOOKUP(XLOOKUP($Q24,'Threshold Summary'!$Y:$Y,'Threshold Summary'!$K:$K,""),'Pokemon Editor'!$A:$A,'Pokemon Editor'!$C:$C,""),mtype=XLOOKUP(XLOOKUP($Q24,'Threshold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Chart'!$B$1:$S$1,0)))),base,IF(OR(cat="Status",pow=0),0,FLOOR(FLOOR(FLOOR((2*XLOOKUP($Q24,'Threshold Summary'!$Y:$Y,'Threshold Summary'!$L:$L,"")/5+2)*pow*atk/def)/50)+2)),modifier,stab*eff,AVERAGE(ARRAYFORMULA(FLOOR(base*modifier*SEQUENCE(16,1,85,1)/100)))/(FLOOR(((2*XLOOKUP('Boss Editor'!$C$4,'Pokemon Editor'!$A:$A,'Pokemon Editor'!$E:$E,0)+31+FLOOR('Boss Editor'!$G$4/4))*'Boss Editor'!$D$4)/100)+'Boss Editor'!$D$4+10)),0)</f>
        <v/>
      </c>
      <c r="O24" s="3">
        <f>IF(N24&gt;=1,"OHKO",IF(N24&gt;=0.5,"2HKO",IF(N24&gt;=0.333,"3HKO",IF(N24&gt;=0.25,"4HKO","5HKO+"))))</f>
        <v/>
      </c>
      <c r="P24" s="3" t="inlineStr">
        <is>
          <t>Live from editable databases</t>
        </is>
      </c>
      <c r="Q24" s="3" t="inlineStr">
        <is>
          <t>SPECIES_PARAS</t>
        </is>
      </c>
      <c r="R24" s="3" t="n">
        <v>23</v>
      </c>
    </row>
    <row r="25">
      <c r="A25" s="3">
        <f>XLOOKUP($Q25,'Threshold Summary'!$Y:$Y,'Threshold Summary'!$A:$A,"")</f>
        <v/>
      </c>
      <c r="B25" s="3">
        <f>XLOOKUP($Q25,'Threshold Summary'!$Y:$Y,'Threshold Summary'!$M:$M,"")</f>
        <v/>
      </c>
      <c r="C25" s="3">
        <f>XLOOKUP($Q25,'Threshold Summary'!$Y:$Y,'Threshold Summary'!$N:$N,"")</f>
        <v/>
      </c>
      <c r="D25" s="3">
        <f>IFERROR(INDEX(FILTER('Learnset Editor'!$D$2:$D,'Learnset Editor'!$A$2:$A=XLOOKUP($Q25,'Threshold Summary'!$Y:$Y,'Threshold Summary'!$K:$K,""),'Learnset Editor'!$C$2:$C&lt;=XLOOKUP($Q25,'Threshold Summary'!$Y:$Y,'Threshold Summary'!$L:$L,"")),$R25),"")</f>
        <v/>
      </c>
      <c r="E25" s="3">
        <f>XLOOKUP(D25,'Move Editor'!$B:$B,'Move Editor'!$C:$C,"")</f>
        <v/>
      </c>
      <c r="F25" s="3">
        <f>XLOOKUP(D25,'Move Editor'!$B:$B,'Move Editor'!$D:$D,"")</f>
        <v/>
      </c>
      <c r="G25" s="3">
        <f>XLOOKUP(D25,'Move Editor'!$B:$B,'Move Editor'!$E:$E,0)</f>
        <v/>
      </c>
      <c r="H25" s="3">
        <f>XLOOKUP(D25,'Move Editor'!$B:$B,'Move Editor'!$F:$F,0)</f>
        <v/>
      </c>
      <c r="I25" s="3">
        <f>(INDEX('Type Chart'!$B:$S,MATCH(E25,'Type Chart'!$A:$A,0),MATCH(XLOOKUP('Boss Editor'!$C$4,'Pokemon Editor'!$A:$A,'Pokemon Editor'!$C:$C,""),'Type Chart'!$B$1:$S$1,0))*IF(XLOOKUP('Boss Editor'!$C$4,'Pokemon Editor'!$A:$A,'Pokemon Editor'!$D:$D,"")="",1,INDEX('Type Chart'!$B:$S,MATCH(E25,'Type Chart'!$A:$A,0),MATCH(XLOOKUP('Boss Editor'!$C$4,'Pokemon Editor'!$A:$A,'Pokemon Editor'!$D:$D,""),'Type Chart'!$B$1:$S$1,0))))</f>
        <v/>
      </c>
      <c r="J25" s="3">
        <f>IFERROR(LET(mtype,XLOOKUP($D25,'Move Editor'!$B:$B,'Move Editor'!$C:$C,""),cat,XLOOKUP($D25,'Move Editor'!$B:$B,'Move Editor'!$D:$D,""),pow,XLOOKUP($D25,'Move Editor'!$B:$B,'Move Editor'!$E:$E,0),acc,XLOOKUP($D25,'Move Editor'!$B:$B,'Move Editor'!$F:$F,100),atk,IF(cat="Physical",FLOOR((FLOOR(((2*XLOOKUP(XLOOKUP($Q25,'Threshold Summary'!$Y:$Y,'Threshold Summary'!$K:$K,""),'Pokemon Editor'!$A:$A,'Pokemon Editor'!$F:$F,0)+31+FLOOR(XLOOKUP($Q25,'Threshold Summary'!$Y:$Y,'Threshold Summary'!$P:$P,"")/4))*XLOOKUP($Q25,'Threshold Summary'!$Y:$Y,'Threshold Summary'!$L:$L,""))/100)+5)*XLOOKUP(XLOOKUP($Q25,'Threshold Summary'!$Y:$Y,'Threshold Summary'!$M:$M,""),'Nature Editor'!$A:$A,'Nature Editor'!$B:$B,1)),FLOOR((FLOOR(((2*XLOOKUP(XLOOKUP($Q25,'Threshold Summary'!$Y:$Y,'Threshold Summary'!$K:$K,""),'Pokemon Editor'!$A:$A,'Pokemon Editor'!$H:$H,0)+31+FLOOR(XLOOKUP($Q25,'Threshold Summary'!$Y:$Y,'Threshold Summary'!$R:$R,"")/4))*XLOOKUP($Q25,'Threshold Summary'!$Y:$Y,'Threshold Summary'!$L:$L,""))/100)+5)*XLOOKUP(XLOOKUP($Q25,'Threshold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Editor'!$E:$E,1))),stab,IF(OR(mtype=XLOOKUP(XLOOKUP($Q25,'Threshold Summary'!$Y:$Y,'Threshold Summary'!$K:$K,""),'Pokemon Editor'!$A:$A,'Pokemon Editor'!$C:$C,""),mtype=XLOOKUP(XLOOKUP($Q25,'Threshold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Chart'!$B$1:$S$1,0)))),base,IF(OR(cat="Status",pow=0),0,FLOOR(FLOOR(FLOOR((2*XLOOKUP($Q25,'Threshold Summary'!$Y:$Y,'Threshold Summary'!$L:$L,"")/5+2)*pow*atk/def)/50)+2)),modifier,stab*eff,FLOOR(base*modifier*0.85)),0)</f>
        <v/>
      </c>
      <c r="K25" s="3">
        <f>IFERROR(LET(mtype,XLOOKUP($D25,'Move Editor'!$B:$B,'Move Editor'!$C:$C,""),cat,XLOOKUP($D25,'Move Editor'!$B:$B,'Move Editor'!$D:$D,""),pow,XLOOKUP($D25,'Move Editor'!$B:$B,'Move Editor'!$E:$E,0),acc,XLOOKUP($D25,'Move Editor'!$B:$B,'Move Editor'!$F:$F,100),atk,IF(cat="Physical",FLOOR((FLOOR(((2*XLOOKUP(XLOOKUP($Q25,'Threshold Summary'!$Y:$Y,'Threshold Summary'!$K:$K,""),'Pokemon Editor'!$A:$A,'Pokemon Editor'!$F:$F,0)+31+FLOOR(XLOOKUP($Q25,'Threshold Summary'!$Y:$Y,'Threshold Summary'!$P:$P,"")/4))*XLOOKUP($Q25,'Threshold Summary'!$Y:$Y,'Threshold Summary'!$L:$L,""))/100)+5)*XLOOKUP(XLOOKUP($Q25,'Threshold Summary'!$Y:$Y,'Threshold Summary'!$M:$M,""),'Nature Editor'!$A:$A,'Nature Editor'!$B:$B,1)),FLOOR((FLOOR(((2*XLOOKUP(XLOOKUP($Q25,'Threshold Summary'!$Y:$Y,'Threshold Summary'!$K:$K,""),'Pokemon Editor'!$A:$A,'Pokemon Editor'!$H:$H,0)+31+FLOOR(XLOOKUP($Q25,'Threshold Summary'!$Y:$Y,'Threshold Summary'!$R:$R,"")/4))*XLOOKUP($Q25,'Threshold Summary'!$Y:$Y,'Threshold Summary'!$L:$L,""))/100)+5)*XLOOKUP(XLOOKUP($Q25,'Threshold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Editor'!$E:$E,1))),stab,IF(OR(mtype=XLOOKUP(XLOOKUP($Q25,'Threshold Summary'!$Y:$Y,'Threshold Summary'!$K:$K,""),'Pokemon Editor'!$A:$A,'Pokemon Editor'!$C:$C,""),mtype=XLOOKUP(XLOOKUP($Q25,'Threshold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Chart'!$B$1:$S$1,0)))),base,IF(OR(cat="Status",pow=0),0,FLOOR(FLOOR(FLOOR((2*XLOOKUP($Q25,'Threshold Summary'!$Y:$Y,'Threshold Summary'!$L:$L,"")/5+2)*pow*atk/def)/50)+2)),modifier,stab*eff,FLOOR(base*modifier)),0)</f>
        <v/>
      </c>
      <c r="L25" s="3">
        <f>IFERROR(LET(mtype,XLOOKUP($D25,'Move Editor'!$B:$B,'Move Editor'!$C:$C,""),cat,XLOOKUP($D25,'Move Editor'!$B:$B,'Move Editor'!$D:$D,""),pow,XLOOKUP($D25,'Move Editor'!$B:$B,'Move Editor'!$E:$E,0),acc,XLOOKUP($D25,'Move Editor'!$B:$B,'Move Editor'!$F:$F,100),atk,IF(cat="Physical",FLOOR((FLOOR(((2*XLOOKUP(XLOOKUP($Q25,'Threshold Summary'!$Y:$Y,'Threshold Summary'!$K:$K,""),'Pokemon Editor'!$A:$A,'Pokemon Editor'!$F:$F,0)+31+FLOOR(XLOOKUP($Q25,'Threshold Summary'!$Y:$Y,'Threshold Summary'!$P:$P,"")/4))*XLOOKUP($Q25,'Threshold Summary'!$Y:$Y,'Threshold Summary'!$L:$L,""))/100)+5)*XLOOKUP(XLOOKUP($Q25,'Threshold Summary'!$Y:$Y,'Threshold Summary'!$M:$M,""),'Nature Editor'!$A:$A,'Nature Editor'!$B:$B,1)),FLOOR((FLOOR(((2*XLOOKUP(XLOOKUP($Q25,'Threshold Summary'!$Y:$Y,'Threshold Summary'!$K:$K,""),'Pokemon Editor'!$A:$A,'Pokemon Editor'!$H:$H,0)+31+FLOOR(XLOOKUP($Q25,'Threshold Summary'!$Y:$Y,'Threshold Summary'!$R:$R,"")/4))*XLOOKUP($Q25,'Threshold Summary'!$Y:$Y,'Threshold Summary'!$L:$L,""))/100)+5)*XLOOKUP(XLOOKUP($Q25,'Threshold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Editor'!$E:$E,1))),stab,IF(OR(mtype=XLOOKUP(XLOOKUP($Q25,'Threshold Summary'!$Y:$Y,'Threshold Summary'!$K:$K,""),'Pokemon Editor'!$A:$A,'Pokemon Editor'!$C:$C,""),mtype=XLOOKUP(XLOOKUP($Q25,'Threshold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Chart'!$B$1:$S$1,0)))),base,IF(OR(cat="Status",pow=0),0,FLOOR(FLOOR(FLOOR((2*XLOOKUP($Q25,'Threshold Summary'!$Y:$Y,'Threshold Summary'!$L:$L,"")/5+2)*pow*atk/def)/50)+2)),modifier,stab*eff,AVERAGE(ARRAYFORMULA(FLOOR(base*modifier*SEQUENCE(16,1,85,1)/100)))),0)</f>
        <v/>
      </c>
      <c r="M25" s="3">
        <f>IFERROR(LET(mtype,XLOOKUP($D25,'Move Editor'!$B:$B,'Move Editor'!$C:$C,""),cat,XLOOKUP($D25,'Move Editor'!$B:$B,'Move Editor'!$D:$D,""),pow,XLOOKUP($D25,'Move Editor'!$B:$B,'Move Editor'!$E:$E,0),acc,XLOOKUP($D25,'Move Editor'!$B:$B,'Move Editor'!$F:$F,100),atk,IF(cat="Physical",FLOOR((FLOOR(((2*XLOOKUP(XLOOKUP($Q25,'Threshold Summary'!$Y:$Y,'Threshold Summary'!$K:$K,""),'Pokemon Editor'!$A:$A,'Pokemon Editor'!$F:$F,0)+31+FLOOR(XLOOKUP($Q25,'Threshold Summary'!$Y:$Y,'Threshold Summary'!$P:$P,"")/4))*XLOOKUP($Q25,'Threshold Summary'!$Y:$Y,'Threshold Summary'!$L:$L,""))/100)+5)*XLOOKUP(XLOOKUP($Q25,'Threshold Summary'!$Y:$Y,'Threshold Summary'!$M:$M,""),'Nature Editor'!$A:$A,'Nature Editor'!$B:$B,1)),FLOOR((FLOOR(((2*XLOOKUP(XLOOKUP($Q25,'Threshold Summary'!$Y:$Y,'Threshold Summary'!$K:$K,""),'Pokemon Editor'!$A:$A,'Pokemon Editor'!$H:$H,0)+31+FLOOR(XLOOKUP($Q25,'Threshold Summary'!$Y:$Y,'Threshold Summary'!$R:$R,"")/4))*XLOOKUP($Q25,'Threshold Summary'!$Y:$Y,'Threshold Summary'!$L:$L,""))/100)+5)*XLOOKUP(XLOOKUP($Q25,'Threshold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Editor'!$E:$E,1))),stab,IF(OR(mtype=XLOOKUP(XLOOKUP($Q25,'Threshold Summary'!$Y:$Y,'Threshold Summary'!$K:$K,""),'Pokemon Editor'!$A:$A,'Pokemon Editor'!$C:$C,""),mtype=XLOOKUP(XLOOKUP($Q25,'Threshold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Chart'!$B$1:$S$1,0)))),base,IF(OR(cat="Status",pow=0),0,FLOOR(FLOOR(FLOOR((2*XLOOKUP($Q25,'Threshold Summary'!$Y:$Y,'Threshold Summary'!$L:$L,"")/5+2)*pow*atk/def)/50)+2)),modifier,stab*eff,AVERAGE(ARRAYFORMULA(FLOOR(base*modifier*SEQUENCE(16,1,85,1)/100)))*MIN(1,acc/100)),0)</f>
        <v/>
      </c>
      <c r="N25" s="4">
        <f>IFERROR(LET(mtype,XLOOKUP($D25,'Move Editor'!$B:$B,'Move Editor'!$C:$C,""),cat,XLOOKUP($D25,'Move Editor'!$B:$B,'Move Editor'!$D:$D,""),pow,XLOOKUP($D25,'Move Editor'!$B:$B,'Move Editor'!$E:$E,0),acc,XLOOKUP($D25,'Move Editor'!$B:$B,'Move Editor'!$F:$F,100),atk,IF(cat="Physical",FLOOR((FLOOR(((2*XLOOKUP(XLOOKUP($Q25,'Threshold Summary'!$Y:$Y,'Threshold Summary'!$K:$K,""),'Pokemon Editor'!$A:$A,'Pokemon Editor'!$F:$F,0)+31+FLOOR(XLOOKUP($Q25,'Threshold Summary'!$Y:$Y,'Threshold Summary'!$P:$P,"")/4))*XLOOKUP($Q25,'Threshold Summary'!$Y:$Y,'Threshold Summary'!$L:$L,""))/100)+5)*XLOOKUP(XLOOKUP($Q25,'Threshold Summary'!$Y:$Y,'Threshold Summary'!$M:$M,""),'Nature Editor'!$A:$A,'Nature Editor'!$B:$B,1)),FLOOR((FLOOR(((2*XLOOKUP(XLOOKUP($Q25,'Threshold Summary'!$Y:$Y,'Threshold Summary'!$K:$K,""),'Pokemon Editor'!$A:$A,'Pokemon Editor'!$H:$H,0)+31+FLOOR(XLOOKUP($Q25,'Threshold Summary'!$Y:$Y,'Threshold Summary'!$R:$R,"")/4))*XLOOKUP($Q25,'Threshold Summary'!$Y:$Y,'Threshold Summary'!$L:$L,""))/100)+5)*XLOOKUP(XLOOKUP($Q25,'Threshold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Editor'!$E:$E,1))),stab,IF(OR(mtype=XLOOKUP(XLOOKUP($Q25,'Threshold Summary'!$Y:$Y,'Threshold Summary'!$K:$K,""),'Pokemon Editor'!$A:$A,'Pokemon Editor'!$C:$C,""),mtype=XLOOKUP(XLOOKUP($Q25,'Threshold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Chart'!$B$1:$S$1,0)))),base,IF(OR(cat="Status",pow=0),0,FLOOR(FLOOR(FLOOR((2*XLOOKUP($Q25,'Threshold Summary'!$Y:$Y,'Threshold Summary'!$L:$L,"")/5+2)*pow*atk/def)/50)+2)),modifier,stab*eff,AVERAGE(ARRAYFORMULA(FLOOR(base*modifier*SEQUENCE(16,1,85,1)/100)))/(FLOOR(((2*XLOOKUP('Boss Editor'!$C$4,'Pokemon Editor'!$A:$A,'Pokemon Editor'!$E:$E,0)+31+FLOOR('Boss Editor'!$G$4/4))*'Boss Editor'!$D$4)/100)+'Boss Editor'!$D$4+10)),0)</f>
        <v/>
      </c>
      <c r="O25" s="3">
        <f>IF(N25&gt;=1,"OHKO",IF(N25&gt;=0.5,"2HKO",IF(N25&gt;=0.333,"3HKO",IF(N25&gt;=0.25,"4HKO","5HKO+"))))</f>
        <v/>
      </c>
      <c r="P25" s="3" t="inlineStr">
        <is>
          <t>Live from editable databases</t>
        </is>
      </c>
      <c r="Q25" s="3" t="inlineStr">
        <is>
          <t>SPECIES_PARAS</t>
        </is>
      </c>
      <c r="R25" s="3" t="n">
        <v>24</v>
      </c>
    </row>
    <row r="26">
      <c r="A26" s="3">
        <f>XLOOKUP($Q26,'Threshold Summary'!$Y:$Y,'Threshold Summary'!$A:$A,"")</f>
        <v/>
      </c>
      <c r="B26" s="3">
        <f>XLOOKUP($Q26,'Threshold Summary'!$Y:$Y,'Threshold Summary'!$M:$M,"")</f>
        <v/>
      </c>
      <c r="C26" s="3">
        <f>XLOOKUP($Q26,'Threshold Summary'!$Y:$Y,'Threshold Summary'!$N:$N,"")</f>
        <v/>
      </c>
      <c r="D26" s="3">
        <f>IFERROR(INDEX(FILTER('Learnset Editor'!$D$2:$D,'Learnset Editor'!$A$2:$A=XLOOKUP($Q26,'Threshold Summary'!$Y:$Y,'Threshold Summary'!$K:$K,""),'Learnset Editor'!$C$2:$C&lt;=XLOOKUP($Q26,'Threshold Summary'!$Y:$Y,'Threshold Summary'!$L:$L,"")),$R26),"")</f>
        <v/>
      </c>
      <c r="E26" s="3">
        <f>XLOOKUP(D26,'Move Editor'!$B:$B,'Move Editor'!$C:$C,"")</f>
        <v/>
      </c>
      <c r="F26" s="3">
        <f>XLOOKUP(D26,'Move Editor'!$B:$B,'Move Editor'!$D:$D,"")</f>
        <v/>
      </c>
      <c r="G26" s="3">
        <f>XLOOKUP(D26,'Move Editor'!$B:$B,'Move Editor'!$E:$E,0)</f>
        <v/>
      </c>
      <c r="H26" s="3">
        <f>XLOOKUP(D26,'Move Editor'!$B:$B,'Move Editor'!$F:$F,0)</f>
        <v/>
      </c>
      <c r="I26" s="3">
        <f>(INDEX('Type Chart'!$B:$S,MATCH(E26,'Type Chart'!$A:$A,0),MATCH(XLOOKUP('Boss Editor'!$C$4,'Pokemon Editor'!$A:$A,'Pokemon Editor'!$C:$C,""),'Type Chart'!$B$1:$S$1,0))*IF(XLOOKUP('Boss Editor'!$C$4,'Pokemon Editor'!$A:$A,'Pokemon Editor'!$D:$D,"")="",1,INDEX('Type Chart'!$B:$S,MATCH(E26,'Type Chart'!$A:$A,0),MATCH(XLOOKUP('Boss Editor'!$C$4,'Pokemon Editor'!$A:$A,'Pokemon Editor'!$D:$D,""),'Type Chart'!$B$1:$S$1,0))))</f>
        <v/>
      </c>
      <c r="J26" s="3">
        <f>IFERROR(LET(mtype,XLOOKUP($D26,'Move Editor'!$B:$B,'Move Editor'!$C:$C,""),cat,XLOOKUP($D26,'Move Editor'!$B:$B,'Move Editor'!$D:$D,""),pow,XLOOKUP($D26,'Move Editor'!$B:$B,'Move Editor'!$E:$E,0),acc,XLOOKUP($D26,'Move Editor'!$B:$B,'Move Editor'!$F:$F,100),atk,IF(cat="Physical",FLOOR((FLOOR(((2*XLOOKUP(XLOOKUP($Q26,'Threshold Summary'!$Y:$Y,'Threshold Summary'!$K:$K,""),'Pokemon Editor'!$A:$A,'Pokemon Editor'!$F:$F,0)+31+FLOOR(XLOOKUP($Q26,'Threshold Summary'!$Y:$Y,'Threshold Summary'!$P:$P,"")/4))*XLOOKUP($Q26,'Threshold Summary'!$Y:$Y,'Threshold Summary'!$L:$L,""))/100)+5)*XLOOKUP(XLOOKUP($Q26,'Threshold Summary'!$Y:$Y,'Threshold Summary'!$M:$M,""),'Nature Editor'!$A:$A,'Nature Editor'!$B:$B,1)),FLOOR((FLOOR(((2*XLOOKUP(XLOOKUP($Q26,'Threshold Summary'!$Y:$Y,'Threshold Summary'!$K:$K,""),'Pokemon Editor'!$A:$A,'Pokemon Editor'!$H:$H,0)+31+FLOOR(XLOOKUP($Q26,'Threshold Summary'!$Y:$Y,'Threshold Summary'!$R:$R,"")/4))*XLOOKUP($Q26,'Threshold Summary'!$Y:$Y,'Threshold Summary'!$L:$L,""))/100)+5)*XLOOKUP(XLOOKUP($Q26,'Threshold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Editor'!$E:$E,1))),stab,IF(OR(mtype=XLOOKUP(XLOOKUP($Q26,'Threshold Summary'!$Y:$Y,'Threshold Summary'!$K:$K,""),'Pokemon Editor'!$A:$A,'Pokemon Editor'!$C:$C,""),mtype=XLOOKUP(XLOOKUP($Q26,'Threshold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Chart'!$B$1:$S$1,0)))),base,IF(OR(cat="Status",pow=0),0,FLOOR(FLOOR(FLOOR((2*XLOOKUP($Q26,'Threshold Summary'!$Y:$Y,'Threshold Summary'!$L:$L,"")/5+2)*pow*atk/def)/50)+2)),modifier,stab*eff,FLOOR(base*modifier*0.85)),0)</f>
        <v/>
      </c>
      <c r="K26" s="3">
        <f>IFERROR(LET(mtype,XLOOKUP($D26,'Move Editor'!$B:$B,'Move Editor'!$C:$C,""),cat,XLOOKUP($D26,'Move Editor'!$B:$B,'Move Editor'!$D:$D,""),pow,XLOOKUP($D26,'Move Editor'!$B:$B,'Move Editor'!$E:$E,0),acc,XLOOKUP($D26,'Move Editor'!$B:$B,'Move Editor'!$F:$F,100),atk,IF(cat="Physical",FLOOR((FLOOR(((2*XLOOKUP(XLOOKUP($Q26,'Threshold Summary'!$Y:$Y,'Threshold Summary'!$K:$K,""),'Pokemon Editor'!$A:$A,'Pokemon Editor'!$F:$F,0)+31+FLOOR(XLOOKUP($Q26,'Threshold Summary'!$Y:$Y,'Threshold Summary'!$P:$P,"")/4))*XLOOKUP($Q26,'Threshold Summary'!$Y:$Y,'Threshold Summary'!$L:$L,""))/100)+5)*XLOOKUP(XLOOKUP($Q26,'Threshold Summary'!$Y:$Y,'Threshold Summary'!$M:$M,""),'Nature Editor'!$A:$A,'Nature Editor'!$B:$B,1)),FLOOR((FLOOR(((2*XLOOKUP(XLOOKUP($Q26,'Threshold Summary'!$Y:$Y,'Threshold Summary'!$K:$K,""),'Pokemon Editor'!$A:$A,'Pokemon Editor'!$H:$H,0)+31+FLOOR(XLOOKUP($Q26,'Threshold Summary'!$Y:$Y,'Threshold Summary'!$R:$R,"")/4))*XLOOKUP($Q26,'Threshold Summary'!$Y:$Y,'Threshold Summary'!$L:$L,""))/100)+5)*XLOOKUP(XLOOKUP($Q26,'Threshold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Editor'!$E:$E,1))),stab,IF(OR(mtype=XLOOKUP(XLOOKUP($Q26,'Threshold Summary'!$Y:$Y,'Threshold Summary'!$K:$K,""),'Pokemon Editor'!$A:$A,'Pokemon Editor'!$C:$C,""),mtype=XLOOKUP(XLOOKUP($Q26,'Threshold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Chart'!$B$1:$S$1,0)))),base,IF(OR(cat="Status",pow=0),0,FLOOR(FLOOR(FLOOR((2*XLOOKUP($Q26,'Threshold Summary'!$Y:$Y,'Threshold Summary'!$L:$L,"")/5+2)*pow*atk/def)/50)+2)),modifier,stab*eff,FLOOR(base*modifier)),0)</f>
        <v/>
      </c>
      <c r="L26" s="3">
        <f>IFERROR(LET(mtype,XLOOKUP($D26,'Move Editor'!$B:$B,'Move Editor'!$C:$C,""),cat,XLOOKUP($D26,'Move Editor'!$B:$B,'Move Editor'!$D:$D,""),pow,XLOOKUP($D26,'Move Editor'!$B:$B,'Move Editor'!$E:$E,0),acc,XLOOKUP($D26,'Move Editor'!$B:$B,'Move Editor'!$F:$F,100),atk,IF(cat="Physical",FLOOR((FLOOR(((2*XLOOKUP(XLOOKUP($Q26,'Threshold Summary'!$Y:$Y,'Threshold Summary'!$K:$K,""),'Pokemon Editor'!$A:$A,'Pokemon Editor'!$F:$F,0)+31+FLOOR(XLOOKUP($Q26,'Threshold Summary'!$Y:$Y,'Threshold Summary'!$P:$P,"")/4))*XLOOKUP($Q26,'Threshold Summary'!$Y:$Y,'Threshold Summary'!$L:$L,""))/100)+5)*XLOOKUP(XLOOKUP($Q26,'Threshold Summary'!$Y:$Y,'Threshold Summary'!$M:$M,""),'Nature Editor'!$A:$A,'Nature Editor'!$B:$B,1)),FLOOR((FLOOR(((2*XLOOKUP(XLOOKUP($Q26,'Threshold Summary'!$Y:$Y,'Threshold Summary'!$K:$K,""),'Pokemon Editor'!$A:$A,'Pokemon Editor'!$H:$H,0)+31+FLOOR(XLOOKUP($Q26,'Threshold Summary'!$Y:$Y,'Threshold Summary'!$R:$R,"")/4))*XLOOKUP($Q26,'Threshold Summary'!$Y:$Y,'Threshold Summary'!$L:$L,""))/100)+5)*XLOOKUP(XLOOKUP($Q26,'Threshold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Editor'!$E:$E,1))),stab,IF(OR(mtype=XLOOKUP(XLOOKUP($Q26,'Threshold Summary'!$Y:$Y,'Threshold Summary'!$K:$K,""),'Pokemon Editor'!$A:$A,'Pokemon Editor'!$C:$C,""),mtype=XLOOKUP(XLOOKUP($Q26,'Threshold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Chart'!$B$1:$S$1,0)))),base,IF(OR(cat="Status",pow=0),0,FLOOR(FLOOR(FLOOR((2*XLOOKUP($Q26,'Threshold Summary'!$Y:$Y,'Threshold Summary'!$L:$L,"")/5+2)*pow*atk/def)/50)+2)),modifier,stab*eff,AVERAGE(ARRAYFORMULA(FLOOR(base*modifier*SEQUENCE(16,1,85,1)/100)))),0)</f>
        <v/>
      </c>
      <c r="M26" s="3">
        <f>IFERROR(LET(mtype,XLOOKUP($D26,'Move Editor'!$B:$B,'Move Editor'!$C:$C,""),cat,XLOOKUP($D26,'Move Editor'!$B:$B,'Move Editor'!$D:$D,""),pow,XLOOKUP($D26,'Move Editor'!$B:$B,'Move Editor'!$E:$E,0),acc,XLOOKUP($D26,'Move Editor'!$B:$B,'Move Editor'!$F:$F,100),atk,IF(cat="Physical",FLOOR((FLOOR(((2*XLOOKUP(XLOOKUP($Q26,'Threshold Summary'!$Y:$Y,'Threshold Summary'!$K:$K,""),'Pokemon Editor'!$A:$A,'Pokemon Editor'!$F:$F,0)+31+FLOOR(XLOOKUP($Q26,'Threshold Summary'!$Y:$Y,'Threshold Summary'!$P:$P,"")/4))*XLOOKUP($Q26,'Threshold Summary'!$Y:$Y,'Threshold Summary'!$L:$L,""))/100)+5)*XLOOKUP(XLOOKUP($Q26,'Threshold Summary'!$Y:$Y,'Threshold Summary'!$M:$M,""),'Nature Editor'!$A:$A,'Nature Editor'!$B:$B,1)),FLOOR((FLOOR(((2*XLOOKUP(XLOOKUP($Q26,'Threshold Summary'!$Y:$Y,'Threshold Summary'!$K:$K,""),'Pokemon Editor'!$A:$A,'Pokemon Editor'!$H:$H,0)+31+FLOOR(XLOOKUP($Q26,'Threshold Summary'!$Y:$Y,'Threshold Summary'!$R:$R,"")/4))*XLOOKUP($Q26,'Threshold Summary'!$Y:$Y,'Threshold Summary'!$L:$L,""))/100)+5)*XLOOKUP(XLOOKUP($Q26,'Threshold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Editor'!$E:$E,1))),stab,IF(OR(mtype=XLOOKUP(XLOOKUP($Q26,'Threshold Summary'!$Y:$Y,'Threshold Summary'!$K:$K,""),'Pokemon Editor'!$A:$A,'Pokemon Editor'!$C:$C,""),mtype=XLOOKUP(XLOOKUP($Q26,'Threshold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Chart'!$B$1:$S$1,0)))),base,IF(OR(cat="Status",pow=0),0,FLOOR(FLOOR(FLOOR((2*XLOOKUP($Q26,'Threshold Summary'!$Y:$Y,'Threshold Summary'!$L:$L,"")/5+2)*pow*atk/def)/50)+2)),modifier,stab*eff,AVERAGE(ARRAYFORMULA(FLOOR(base*modifier*SEQUENCE(16,1,85,1)/100)))*MIN(1,acc/100)),0)</f>
        <v/>
      </c>
      <c r="N26" s="4">
        <f>IFERROR(LET(mtype,XLOOKUP($D26,'Move Editor'!$B:$B,'Move Editor'!$C:$C,""),cat,XLOOKUP($D26,'Move Editor'!$B:$B,'Move Editor'!$D:$D,""),pow,XLOOKUP($D26,'Move Editor'!$B:$B,'Move Editor'!$E:$E,0),acc,XLOOKUP($D26,'Move Editor'!$B:$B,'Move Editor'!$F:$F,100),atk,IF(cat="Physical",FLOOR((FLOOR(((2*XLOOKUP(XLOOKUP($Q26,'Threshold Summary'!$Y:$Y,'Threshold Summary'!$K:$K,""),'Pokemon Editor'!$A:$A,'Pokemon Editor'!$F:$F,0)+31+FLOOR(XLOOKUP($Q26,'Threshold Summary'!$Y:$Y,'Threshold Summary'!$P:$P,"")/4))*XLOOKUP($Q26,'Threshold Summary'!$Y:$Y,'Threshold Summary'!$L:$L,""))/100)+5)*XLOOKUP(XLOOKUP($Q26,'Threshold Summary'!$Y:$Y,'Threshold Summary'!$M:$M,""),'Nature Editor'!$A:$A,'Nature Editor'!$B:$B,1)),FLOOR((FLOOR(((2*XLOOKUP(XLOOKUP($Q26,'Threshold Summary'!$Y:$Y,'Threshold Summary'!$K:$K,""),'Pokemon Editor'!$A:$A,'Pokemon Editor'!$H:$H,0)+31+FLOOR(XLOOKUP($Q26,'Threshold Summary'!$Y:$Y,'Threshold Summary'!$R:$R,"")/4))*XLOOKUP($Q26,'Threshold Summary'!$Y:$Y,'Threshold Summary'!$L:$L,""))/100)+5)*XLOOKUP(XLOOKUP($Q26,'Threshold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Editor'!$E:$E,1))),stab,IF(OR(mtype=XLOOKUP(XLOOKUP($Q26,'Threshold Summary'!$Y:$Y,'Threshold Summary'!$K:$K,""),'Pokemon Editor'!$A:$A,'Pokemon Editor'!$C:$C,""),mtype=XLOOKUP(XLOOKUP($Q26,'Threshold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Chart'!$B$1:$S$1,0)))),base,IF(OR(cat="Status",pow=0),0,FLOOR(FLOOR(FLOOR((2*XLOOKUP($Q26,'Threshold Summary'!$Y:$Y,'Threshold Summary'!$L:$L,"")/5+2)*pow*atk/def)/50)+2)),modifier,stab*eff,AVERAGE(ARRAYFORMULA(FLOOR(base*modifier*SEQUENCE(16,1,85,1)/100)))/(FLOOR(((2*XLOOKUP('Boss Editor'!$C$4,'Pokemon Editor'!$A:$A,'Pokemon Editor'!$E:$E,0)+31+FLOOR('Boss Editor'!$G$4/4))*'Boss Editor'!$D$4)/100)+'Boss Editor'!$D$4+10)),0)</f>
        <v/>
      </c>
      <c r="O26" s="3">
        <f>IF(N26&gt;=1,"OHKO",IF(N26&gt;=0.5,"2HKO",IF(N26&gt;=0.333,"3HKO",IF(N26&gt;=0.25,"4HKO","5HKO+"))))</f>
        <v/>
      </c>
      <c r="P26" s="3" t="inlineStr">
        <is>
          <t>Live from editable databases</t>
        </is>
      </c>
      <c r="Q26" s="3" t="inlineStr">
        <is>
          <t>SPECIES_PARAS</t>
        </is>
      </c>
      <c r="R26" s="3" t="n">
        <v>25</v>
      </c>
    </row>
    <row r="27">
      <c r="A27" s="3">
        <f>XLOOKUP($Q27,'Threshold Summary'!$Y:$Y,'Threshold Summary'!$A:$A,"")</f>
        <v/>
      </c>
      <c r="B27" s="3">
        <f>XLOOKUP($Q27,'Threshold Summary'!$Y:$Y,'Threshold Summary'!$M:$M,"")</f>
        <v/>
      </c>
      <c r="C27" s="3">
        <f>XLOOKUP($Q27,'Threshold Summary'!$Y:$Y,'Threshold Summary'!$N:$N,"")</f>
        <v/>
      </c>
      <c r="D27" s="3">
        <f>IFERROR(INDEX(FILTER('Learnset Editor'!$D$2:$D,'Learnset Editor'!$A$2:$A=XLOOKUP($Q27,'Threshold Summary'!$Y:$Y,'Threshold Summary'!$K:$K,""),'Learnset Editor'!$C$2:$C&lt;=XLOOKUP($Q27,'Threshold Summary'!$Y:$Y,'Threshold Summary'!$L:$L,"")),$R27),"")</f>
        <v/>
      </c>
      <c r="E27" s="3">
        <f>XLOOKUP(D27,'Move Editor'!$B:$B,'Move Editor'!$C:$C,"")</f>
        <v/>
      </c>
      <c r="F27" s="3">
        <f>XLOOKUP(D27,'Move Editor'!$B:$B,'Move Editor'!$D:$D,"")</f>
        <v/>
      </c>
      <c r="G27" s="3">
        <f>XLOOKUP(D27,'Move Editor'!$B:$B,'Move Editor'!$E:$E,0)</f>
        <v/>
      </c>
      <c r="H27" s="3">
        <f>XLOOKUP(D27,'Move Editor'!$B:$B,'Move Editor'!$F:$F,0)</f>
        <v/>
      </c>
      <c r="I27" s="3">
        <f>(INDEX('Type Chart'!$B:$S,MATCH(E27,'Type Chart'!$A:$A,0),MATCH(XLOOKUP('Boss Editor'!$C$4,'Pokemon Editor'!$A:$A,'Pokemon Editor'!$C:$C,""),'Type Chart'!$B$1:$S$1,0))*IF(XLOOKUP('Boss Editor'!$C$4,'Pokemon Editor'!$A:$A,'Pokemon Editor'!$D:$D,"")="",1,INDEX('Type Chart'!$B:$S,MATCH(E27,'Type Chart'!$A:$A,0),MATCH(XLOOKUP('Boss Editor'!$C$4,'Pokemon Editor'!$A:$A,'Pokemon Editor'!$D:$D,""),'Type Chart'!$B$1:$S$1,0))))</f>
        <v/>
      </c>
      <c r="J27" s="3">
        <f>IFERROR(LET(mtype,XLOOKUP($D27,'Move Editor'!$B:$B,'Move Editor'!$C:$C,""),cat,XLOOKUP($D27,'Move Editor'!$B:$B,'Move Editor'!$D:$D,""),pow,XLOOKUP($D27,'Move Editor'!$B:$B,'Move Editor'!$E:$E,0),acc,XLOOKUP($D27,'Move Editor'!$B:$B,'Move Editor'!$F:$F,100),atk,IF(cat="Physical",FLOOR((FLOOR(((2*XLOOKUP(XLOOKUP($Q27,'Threshold Summary'!$Y:$Y,'Threshold Summary'!$K:$K,""),'Pokemon Editor'!$A:$A,'Pokemon Editor'!$F:$F,0)+31+FLOOR(XLOOKUP($Q27,'Threshold Summary'!$Y:$Y,'Threshold Summary'!$P:$P,"")/4))*XLOOKUP($Q27,'Threshold Summary'!$Y:$Y,'Threshold Summary'!$L:$L,""))/100)+5)*XLOOKUP(XLOOKUP($Q27,'Threshold Summary'!$Y:$Y,'Threshold Summary'!$M:$M,""),'Nature Editor'!$A:$A,'Nature Editor'!$B:$B,1)),FLOOR((FLOOR(((2*XLOOKUP(XLOOKUP($Q27,'Threshold Summary'!$Y:$Y,'Threshold Summary'!$K:$K,""),'Pokemon Editor'!$A:$A,'Pokemon Editor'!$H:$H,0)+31+FLOOR(XLOOKUP($Q27,'Threshold Summary'!$Y:$Y,'Threshold Summary'!$R:$R,"")/4))*XLOOKUP($Q27,'Threshold Summary'!$Y:$Y,'Threshold Summary'!$L:$L,""))/100)+5)*XLOOKUP(XLOOKUP($Q27,'Threshold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Editor'!$E:$E,1))),stab,IF(OR(mtype=XLOOKUP(XLOOKUP($Q27,'Threshold Summary'!$Y:$Y,'Threshold Summary'!$K:$K,""),'Pokemon Editor'!$A:$A,'Pokemon Editor'!$C:$C,""),mtype=XLOOKUP(XLOOKUP($Q27,'Threshold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Chart'!$B$1:$S$1,0)))),base,IF(OR(cat="Status",pow=0),0,FLOOR(FLOOR(FLOOR((2*XLOOKUP($Q27,'Threshold Summary'!$Y:$Y,'Threshold Summary'!$L:$L,"")/5+2)*pow*atk/def)/50)+2)),modifier,stab*eff,FLOOR(base*modifier*0.85)),0)</f>
        <v/>
      </c>
      <c r="K27" s="3">
        <f>IFERROR(LET(mtype,XLOOKUP($D27,'Move Editor'!$B:$B,'Move Editor'!$C:$C,""),cat,XLOOKUP($D27,'Move Editor'!$B:$B,'Move Editor'!$D:$D,""),pow,XLOOKUP($D27,'Move Editor'!$B:$B,'Move Editor'!$E:$E,0),acc,XLOOKUP($D27,'Move Editor'!$B:$B,'Move Editor'!$F:$F,100),atk,IF(cat="Physical",FLOOR((FLOOR(((2*XLOOKUP(XLOOKUP($Q27,'Threshold Summary'!$Y:$Y,'Threshold Summary'!$K:$K,""),'Pokemon Editor'!$A:$A,'Pokemon Editor'!$F:$F,0)+31+FLOOR(XLOOKUP($Q27,'Threshold Summary'!$Y:$Y,'Threshold Summary'!$P:$P,"")/4))*XLOOKUP($Q27,'Threshold Summary'!$Y:$Y,'Threshold Summary'!$L:$L,""))/100)+5)*XLOOKUP(XLOOKUP($Q27,'Threshold Summary'!$Y:$Y,'Threshold Summary'!$M:$M,""),'Nature Editor'!$A:$A,'Nature Editor'!$B:$B,1)),FLOOR((FLOOR(((2*XLOOKUP(XLOOKUP($Q27,'Threshold Summary'!$Y:$Y,'Threshold Summary'!$K:$K,""),'Pokemon Editor'!$A:$A,'Pokemon Editor'!$H:$H,0)+31+FLOOR(XLOOKUP($Q27,'Threshold Summary'!$Y:$Y,'Threshold Summary'!$R:$R,"")/4))*XLOOKUP($Q27,'Threshold Summary'!$Y:$Y,'Threshold Summary'!$L:$L,""))/100)+5)*XLOOKUP(XLOOKUP($Q27,'Threshold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Editor'!$E:$E,1))),stab,IF(OR(mtype=XLOOKUP(XLOOKUP($Q27,'Threshold Summary'!$Y:$Y,'Threshold Summary'!$K:$K,""),'Pokemon Editor'!$A:$A,'Pokemon Editor'!$C:$C,""),mtype=XLOOKUP(XLOOKUP($Q27,'Threshold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Chart'!$B$1:$S$1,0)))),base,IF(OR(cat="Status",pow=0),0,FLOOR(FLOOR(FLOOR((2*XLOOKUP($Q27,'Threshold Summary'!$Y:$Y,'Threshold Summary'!$L:$L,"")/5+2)*pow*atk/def)/50)+2)),modifier,stab*eff,FLOOR(base*modifier)),0)</f>
        <v/>
      </c>
      <c r="L27" s="3">
        <f>IFERROR(LET(mtype,XLOOKUP($D27,'Move Editor'!$B:$B,'Move Editor'!$C:$C,""),cat,XLOOKUP($D27,'Move Editor'!$B:$B,'Move Editor'!$D:$D,""),pow,XLOOKUP($D27,'Move Editor'!$B:$B,'Move Editor'!$E:$E,0),acc,XLOOKUP($D27,'Move Editor'!$B:$B,'Move Editor'!$F:$F,100),atk,IF(cat="Physical",FLOOR((FLOOR(((2*XLOOKUP(XLOOKUP($Q27,'Threshold Summary'!$Y:$Y,'Threshold Summary'!$K:$K,""),'Pokemon Editor'!$A:$A,'Pokemon Editor'!$F:$F,0)+31+FLOOR(XLOOKUP($Q27,'Threshold Summary'!$Y:$Y,'Threshold Summary'!$P:$P,"")/4))*XLOOKUP($Q27,'Threshold Summary'!$Y:$Y,'Threshold Summary'!$L:$L,""))/100)+5)*XLOOKUP(XLOOKUP($Q27,'Threshold Summary'!$Y:$Y,'Threshold Summary'!$M:$M,""),'Nature Editor'!$A:$A,'Nature Editor'!$B:$B,1)),FLOOR((FLOOR(((2*XLOOKUP(XLOOKUP($Q27,'Threshold Summary'!$Y:$Y,'Threshold Summary'!$K:$K,""),'Pokemon Editor'!$A:$A,'Pokemon Editor'!$H:$H,0)+31+FLOOR(XLOOKUP($Q27,'Threshold Summary'!$Y:$Y,'Threshold Summary'!$R:$R,"")/4))*XLOOKUP($Q27,'Threshold Summary'!$Y:$Y,'Threshold Summary'!$L:$L,""))/100)+5)*XLOOKUP(XLOOKUP($Q27,'Threshold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Editor'!$E:$E,1))),stab,IF(OR(mtype=XLOOKUP(XLOOKUP($Q27,'Threshold Summary'!$Y:$Y,'Threshold Summary'!$K:$K,""),'Pokemon Editor'!$A:$A,'Pokemon Editor'!$C:$C,""),mtype=XLOOKUP(XLOOKUP($Q27,'Threshold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Chart'!$B$1:$S$1,0)))),base,IF(OR(cat="Status",pow=0),0,FLOOR(FLOOR(FLOOR((2*XLOOKUP($Q27,'Threshold Summary'!$Y:$Y,'Threshold Summary'!$L:$L,"")/5+2)*pow*atk/def)/50)+2)),modifier,stab*eff,AVERAGE(ARRAYFORMULA(FLOOR(base*modifier*SEQUENCE(16,1,85,1)/100)))),0)</f>
        <v/>
      </c>
      <c r="M27" s="3">
        <f>IFERROR(LET(mtype,XLOOKUP($D27,'Move Editor'!$B:$B,'Move Editor'!$C:$C,""),cat,XLOOKUP($D27,'Move Editor'!$B:$B,'Move Editor'!$D:$D,""),pow,XLOOKUP($D27,'Move Editor'!$B:$B,'Move Editor'!$E:$E,0),acc,XLOOKUP($D27,'Move Editor'!$B:$B,'Move Editor'!$F:$F,100),atk,IF(cat="Physical",FLOOR((FLOOR(((2*XLOOKUP(XLOOKUP($Q27,'Threshold Summary'!$Y:$Y,'Threshold Summary'!$K:$K,""),'Pokemon Editor'!$A:$A,'Pokemon Editor'!$F:$F,0)+31+FLOOR(XLOOKUP($Q27,'Threshold Summary'!$Y:$Y,'Threshold Summary'!$P:$P,"")/4))*XLOOKUP($Q27,'Threshold Summary'!$Y:$Y,'Threshold Summary'!$L:$L,""))/100)+5)*XLOOKUP(XLOOKUP($Q27,'Threshold Summary'!$Y:$Y,'Threshold Summary'!$M:$M,""),'Nature Editor'!$A:$A,'Nature Editor'!$B:$B,1)),FLOOR((FLOOR(((2*XLOOKUP(XLOOKUP($Q27,'Threshold Summary'!$Y:$Y,'Threshold Summary'!$K:$K,""),'Pokemon Editor'!$A:$A,'Pokemon Editor'!$H:$H,0)+31+FLOOR(XLOOKUP($Q27,'Threshold Summary'!$Y:$Y,'Threshold Summary'!$R:$R,"")/4))*XLOOKUP($Q27,'Threshold Summary'!$Y:$Y,'Threshold Summary'!$L:$L,""))/100)+5)*XLOOKUP(XLOOKUP($Q27,'Threshold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Editor'!$E:$E,1))),stab,IF(OR(mtype=XLOOKUP(XLOOKUP($Q27,'Threshold Summary'!$Y:$Y,'Threshold Summary'!$K:$K,""),'Pokemon Editor'!$A:$A,'Pokemon Editor'!$C:$C,""),mtype=XLOOKUP(XLOOKUP($Q27,'Threshold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Chart'!$B$1:$S$1,0)))),base,IF(OR(cat="Status",pow=0),0,FLOOR(FLOOR(FLOOR((2*XLOOKUP($Q27,'Threshold Summary'!$Y:$Y,'Threshold Summary'!$L:$L,"")/5+2)*pow*atk/def)/50)+2)),modifier,stab*eff,AVERAGE(ARRAYFORMULA(FLOOR(base*modifier*SEQUENCE(16,1,85,1)/100)))*MIN(1,acc/100)),0)</f>
        <v/>
      </c>
      <c r="N27" s="4">
        <f>IFERROR(LET(mtype,XLOOKUP($D27,'Move Editor'!$B:$B,'Move Editor'!$C:$C,""),cat,XLOOKUP($D27,'Move Editor'!$B:$B,'Move Editor'!$D:$D,""),pow,XLOOKUP($D27,'Move Editor'!$B:$B,'Move Editor'!$E:$E,0),acc,XLOOKUP($D27,'Move Editor'!$B:$B,'Move Editor'!$F:$F,100),atk,IF(cat="Physical",FLOOR((FLOOR(((2*XLOOKUP(XLOOKUP($Q27,'Threshold Summary'!$Y:$Y,'Threshold Summary'!$K:$K,""),'Pokemon Editor'!$A:$A,'Pokemon Editor'!$F:$F,0)+31+FLOOR(XLOOKUP($Q27,'Threshold Summary'!$Y:$Y,'Threshold Summary'!$P:$P,"")/4))*XLOOKUP($Q27,'Threshold Summary'!$Y:$Y,'Threshold Summary'!$L:$L,""))/100)+5)*XLOOKUP(XLOOKUP($Q27,'Threshold Summary'!$Y:$Y,'Threshold Summary'!$M:$M,""),'Nature Editor'!$A:$A,'Nature Editor'!$B:$B,1)),FLOOR((FLOOR(((2*XLOOKUP(XLOOKUP($Q27,'Threshold Summary'!$Y:$Y,'Threshold Summary'!$K:$K,""),'Pokemon Editor'!$A:$A,'Pokemon Editor'!$H:$H,0)+31+FLOOR(XLOOKUP($Q27,'Threshold Summary'!$Y:$Y,'Threshold Summary'!$R:$R,"")/4))*XLOOKUP($Q27,'Threshold Summary'!$Y:$Y,'Threshold Summary'!$L:$L,""))/100)+5)*XLOOKUP(XLOOKUP($Q27,'Threshold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Editor'!$E:$E,1))),stab,IF(OR(mtype=XLOOKUP(XLOOKUP($Q27,'Threshold Summary'!$Y:$Y,'Threshold Summary'!$K:$K,""),'Pokemon Editor'!$A:$A,'Pokemon Editor'!$C:$C,""),mtype=XLOOKUP(XLOOKUP($Q27,'Threshold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Chart'!$B$1:$S$1,0)))),base,IF(OR(cat="Status",pow=0),0,FLOOR(FLOOR(FLOOR((2*XLOOKUP($Q27,'Threshold Summary'!$Y:$Y,'Threshold Summary'!$L:$L,"")/5+2)*pow*atk/def)/50)+2)),modifier,stab*eff,AVERAGE(ARRAYFORMULA(FLOOR(base*modifier*SEQUENCE(16,1,85,1)/100)))/(FLOOR(((2*XLOOKUP('Boss Editor'!$C$4,'Pokemon Editor'!$A:$A,'Pokemon Editor'!$E:$E,0)+31+FLOOR('Boss Editor'!$G$4/4))*'Boss Editor'!$D$4)/100)+'Boss Editor'!$D$4+10)),0)</f>
        <v/>
      </c>
      <c r="O27" s="3">
        <f>IF(N27&gt;=1,"OHKO",IF(N27&gt;=0.5,"2HKO",IF(N27&gt;=0.333,"3HKO",IF(N27&gt;=0.25,"4HKO","5HKO+"))))</f>
        <v/>
      </c>
      <c r="P27" s="3" t="inlineStr">
        <is>
          <t>Live from editable databases</t>
        </is>
      </c>
      <c r="Q27" s="3" t="inlineStr">
        <is>
          <t>SPECIES_PARAS</t>
        </is>
      </c>
      <c r="R27" s="3" t="n">
        <v>26</v>
      </c>
    </row>
    <row r="28">
      <c r="A28" s="3">
        <f>XLOOKUP($Q28,'Threshold Summary'!$Y:$Y,'Threshold Summary'!$A:$A,"")</f>
        <v/>
      </c>
      <c r="B28" s="3">
        <f>XLOOKUP($Q28,'Threshold Summary'!$Y:$Y,'Threshold Summary'!$M:$M,"")</f>
        <v/>
      </c>
      <c r="C28" s="3">
        <f>XLOOKUP($Q28,'Threshold Summary'!$Y:$Y,'Threshold Summary'!$N:$N,"")</f>
        <v/>
      </c>
      <c r="D28" s="3">
        <f>IFERROR(INDEX(FILTER('Learnset Editor'!$D$2:$D,'Learnset Editor'!$A$2:$A=XLOOKUP($Q28,'Threshold Summary'!$Y:$Y,'Threshold Summary'!$K:$K,""),'Learnset Editor'!$C$2:$C&lt;=XLOOKUP($Q28,'Threshold Summary'!$Y:$Y,'Threshold Summary'!$L:$L,"")),$R28),"")</f>
        <v/>
      </c>
      <c r="E28" s="3">
        <f>XLOOKUP(D28,'Move Editor'!$B:$B,'Move Editor'!$C:$C,"")</f>
        <v/>
      </c>
      <c r="F28" s="3">
        <f>XLOOKUP(D28,'Move Editor'!$B:$B,'Move Editor'!$D:$D,"")</f>
        <v/>
      </c>
      <c r="G28" s="3">
        <f>XLOOKUP(D28,'Move Editor'!$B:$B,'Move Editor'!$E:$E,0)</f>
        <v/>
      </c>
      <c r="H28" s="3">
        <f>XLOOKUP(D28,'Move Editor'!$B:$B,'Move Editor'!$F:$F,0)</f>
        <v/>
      </c>
      <c r="I28" s="3">
        <f>(INDEX('Type Chart'!$B:$S,MATCH(E28,'Type Chart'!$A:$A,0),MATCH(XLOOKUP('Boss Editor'!$C$4,'Pokemon Editor'!$A:$A,'Pokemon Editor'!$C:$C,""),'Type Chart'!$B$1:$S$1,0))*IF(XLOOKUP('Boss Editor'!$C$4,'Pokemon Editor'!$A:$A,'Pokemon Editor'!$D:$D,"")="",1,INDEX('Type Chart'!$B:$S,MATCH(E28,'Type Chart'!$A:$A,0),MATCH(XLOOKUP('Boss Editor'!$C$4,'Pokemon Editor'!$A:$A,'Pokemon Editor'!$D:$D,""),'Type Chart'!$B$1:$S$1,0))))</f>
        <v/>
      </c>
      <c r="J28" s="3">
        <f>IFERROR(LET(mtype,XLOOKUP($D28,'Move Editor'!$B:$B,'Move Editor'!$C:$C,""),cat,XLOOKUP($D28,'Move Editor'!$B:$B,'Move Editor'!$D:$D,""),pow,XLOOKUP($D28,'Move Editor'!$B:$B,'Move Editor'!$E:$E,0),acc,XLOOKUP($D28,'Move Editor'!$B:$B,'Move Editor'!$F:$F,100),atk,IF(cat="Physical",FLOOR((FLOOR(((2*XLOOKUP(XLOOKUP($Q28,'Threshold Summary'!$Y:$Y,'Threshold Summary'!$K:$K,""),'Pokemon Editor'!$A:$A,'Pokemon Editor'!$F:$F,0)+31+FLOOR(XLOOKUP($Q28,'Threshold Summary'!$Y:$Y,'Threshold Summary'!$P:$P,"")/4))*XLOOKUP($Q28,'Threshold Summary'!$Y:$Y,'Threshold Summary'!$L:$L,""))/100)+5)*XLOOKUP(XLOOKUP($Q28,'Threshold Summary'!$Y:$Y,'Threshold Summary'!$M:$M,""),'Nature Editor'!$A:$A,'Nature Editor'!$B:$B,1)),FLOOR((FLOOR(((2*XLOOKUP(XLOOKUP($Q28,'Threshold Summary'!$Y:$Y,'Threshold Summary'!$K:$K,""),'Pokemon Editor'!$A:$A,'Pokemon Editor'!$H:$H,0)+31+FLOOR(XLOOKUP($Q28,'Threshold Summary'!$Y:$Y,'Threshold Summary'!$R:$R,"")/4))*XLOOKUP($Q28,'Threshold Summary'!$Y:$Y,'Threshold Summary'!$L:$L,""))/100)+5)*XLOOKUP(XLOOKUP($Q28,'Threshold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Editor'!$E:$E,1))),stab,IF(OR(mtype=XLOOKUP(XLOOKUP($Q28,'Threshold Summary'!$Y:$Y,'Threshold Summary'!$K:$K,""),'Pokemon Editor'!$A:$A,'Pokemon Editor'!$C:$C,""),mtype=XLOOKUP(XLOOKUP($Q28,'Threshold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Chart'!$B$1:$S$1,0)))),base,IF(OR(cat="Status",pow=0),0,FLOOR(FLOOR(FLOOR((2*XLOOKUP($Q28,'Threshold Summary'!$Y:$Y,'Threshold Summary'!$L:$L,"")/5+2)*pow*atk/def)/50)+2)),modifier,stab*eff,FLOOR(base*modifier*0.85)),0)</f>
        <v/>
      </c>
      <c r="K28" s="3">
        <f>IFERROR(LET(mtype,XLOOKUP($D28,'Move Editor'!$B:$B,'Move Editor'!$C:$C,""),cat,XLOOKUP($D28,'Move Editor'!$B:$B,'Move Editor'!$D:$D,""),pow,XLOOKUP($D28,'Move Editor'!$B:$B,'Move Editor'!$E:$E,0),acc,XLOOKUP($D28,'Move Editor'!$B:$B,'Move Editor'!$F:$F,100),atk,IF(cat="Physical",FLOOR((FLOOR(((2*XLOOKUP(XLOOKUP($Q28,'Threshold Summary'!$Y:$Y,'Threshold Summary'!$K:$K,""),'Pokemon Editor'!$A:$A,'Pokemon Editor'!$F:$F,0)+31+FLOOR(XLOOKUP($Q28,'Threshold Summary'!$Y:$Y,'Threshold Summary'!$P:$P,"")/4))*XLOOKUP($Q28,'Threshold Summary'!$Y:$Y,'Threshold Summary'!$L:$L,""))/100)+5)*XLOOKUP(XLOOKUP($Q28,'Threshold Summary'!$Y:$Y,'Threshold Summary'!$M:$M,""),'Nature Editor'!$A:$A,'Nature Editor'!$B:$B,1)),FLOOR((FLOOR(((2*XLOOKUP(XLOOKUP($Q28,'Threshold Summary'!$Y:$Y,'Threshold Summary'!$K:$K,""),'Pokemon Editor'!$A:$A,'Pokemon Editor'!$H:$H,0)+31+FLOOR(XLOOKUP($Q28,'Threshold Summary'!$Y:$Y,'Threshold Summary'!$R:$R,"")/4))*XLOOKUP($Q28,'Threshold Summary'!$Y:$Y,'Threshold Summary'!$L:$L,""))/100)+5)*XLOOKUP(XLOOKUP($Q28,'Threshold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Editor'!$E:$E,1))),stab,IF(OR(mtype=XLOOKUP(XLOOKUP($Q28,'Threshold Summary'!$Y:$Y,'Threshold Summary'!$K:$K,""),'Pokemon Editor'!$A:$A,'Pokemon Editor'!$C:$C,""),mtype=XLOOKUP(XLOOKUP($Q28,'Threshold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Chart'!$B$1:$S$1,0)))),base,IF(OR(cat="Status",pow=0),0,FLOOR(FLOOR(FLOOR((2*XLOOKUP($Q28,'Threshold Summary'!$Y:$Y,'Threshold Summary'!$L:$L,"")/5+2)*pow*atk/def)/50)+2)),modifier,stab*eff,FLOOR(base*modifier)),0)</f>
        <v/>
      </c>
      <c r="L28" s="3">
        <f>IFERROR(LET(mtype,XLOOKUP($D28,'Move Editor'!$B:$B,'Move Editor'!$C:$C,""),cat,XLOOKUP($D28,'Move Editor'!$B:$B,'Move Editor'!$D:$D,""),pow,XLOOKUP($D28,'Move Editor'!$B:$B,'Move Editor'!$E:$E,0),acc,XLOOKUP($D28,'Move Editor'!$B:$B,'Move Editor'!$F:$F,100),atk,IF(cat="Physical",FLOOR((FLOOR(((2*XLOOKUP(XLOOKUP($Q28,'Threshold Summary'!$Y:$Y,'Threshold Summary'!$K:$K,""),'Pokemon Editor'!$A:$A,'Pokemon Editor'!$F:$F,0)+31+FLOOR(XLOOKUP($Q28,'Threshold Summary'!$Y:$Y,'Threshold Summary'!$P:$P,"")/4))*XLOOKUP($Q28,'Threshold Summary'!$Y:$Y,'Threshold Summary'!$L:$L,""))/100)+5)*XLOOKUP(XLOOKUP($Q28,'Threshold Summary'!$Y:$Y,'Threshold Summary'!$M:$M,""),'Nature Editor'!$A:$A,'Nature Editor'!$B:$B,1)),FLOOR((FLOOR(((2*XLOOKUP(XLOOKUP($Q28,'Threshold Summary'!$Y:$Y,'Threshold Summary'!$K:$K,""),'Pokemon Editor'!$A:$A,'Pokemon Editor'!$H:$H,0)+31+FLOOR(XLOOKUP($Q28,'Threshold Summary'!$Y:$Y,'Threshold Summary'!$R:$R,"")/4))*XLOOKUP($Q28,'Threshold Summary'!$Y:$Y,'Threshold Summary'!$L:$L,""))/100)+5)*XLOOKUP(XLOOKUP($Q28,'Threshold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Editor'!$E:$E,1))),stab,IF(OR(mtype=XLOOKUP(XLOOKUP($Q28,'Threshold Summary'!$Y:$Y,'Threshold Summary'!$K:$K,""),'Pokemon Editor'!$A:$A,'Pokemon Editor'!$C:$C,""),mtype=XLOOKUP(XLOOKUP($Q28,'Threshold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Chart'!$B$1:$S$1,0)))),base,IF(OR(cat="Status",pow=0),0,FLOOR(FLOOR(FLOOR((2*XLOOKUP($Q28,'Threshold Summary'!$Y:$Y,'Threshold Summary'!$L:$L,"")/5+2)*pow*atk/def)/50)+2)),modifier,stab*eff,AVERAGE(ARRAYFORMULA(FLOOR(base*modifier*SEQUENCE(16,1,85,1)/100)))),0)</f>
        <v/>
      </c>
      <c r="M28" s="3">
        <f>IFERROR(LET(mtype,XLOOKUP($D28,'Move Editor'!$B:$B,'Move Editor'!$C:$C,""),cat,XLOOKUP($D28,'Move Editor'!$B:$B,'Move Editor'!$D:$D,""),pow,XLOOKUP($D28,'Move Editor'!$B:$B,'Move Editor'!$E:$E,0),acc,XLOOKUP($D28,'Move Editor'!$B:$B,'Move Editor'!$F:$F,100),atk,IF(cat="Physical",FLOOR((FLOOR(((2*XLOOKUP(XLOOKUP($Q28,'Threshold Summary'!$Y:$Y,'Threshold Summary'!$K:$K,""),'Pokemon Editor'!$A:$A,'Pokemon Editor'!$F:$F,0)+31+FLOOR(XLOOKUP($Q28,'Threshold Summary'!$Y:$Y,'Threshold Summary'!$P:$P,"")/4))*XLOOKUP($Q28,'Threshold Summary'!$Y:$Y,'Threshold Summary'!$L:$L,""))/100)+5)*XLOOKUP(XLOOKUP($Q28,'Threshold Summary'!$Y:$Y,'Threshold Summary'!$M:$M,""),'Nature Editor'!$A:$A,'Nature Editor'!$B:$B,1)),FLOOR((FLOOR(((2*XLOOKUP(XLOOKUP($Q28,'Threshold Summary'!$Y:$Y,'Threshold Summary'!$K:$K,""),'Pokemon Editor'!$A:$A,'Pokemon Editor'!$H:$H,0)+31+FLOOR(XLOOKUP($Q28,'Threshold Summary'!$Y:$Y,'Threshold Summary'!$R:$R,"")/4))*XLOOKUP($Q28,'Threshold Summary'!$Y:$Y,'Threshold Summary'!$L:$L,""))/100)+5)*XLOOKUP(XLOOKUP($Q28,'Threshold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Editor'!$E:$E,1))),stab,IF(OR(mtype=XLOOKUP(XLOOKUP($Q28,'Threshold Summary'!$Y:$Y,'Threshold Summary'!$K:$K,""),'Pokemon Editor'!$A:$A,'Pokemon Editor'!$C:$C,""),mtype=XLOOKUP(XLOOKUP($Q28,'Threshold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Chart'!$B$1:$S$1,0)))),base,IF(OR(cat="Status",pow=0),0,FLOOR(FLOOR(FLOOR((2*XLOOKUP($Q28,'Threshold Summary'!$Y:$Y,'Threshold Summary'!$L:$L,"")/5+2)*pow*atk/def)/50)+2)),modifier,stab*eff,AVERAGE(ARRAYFORMULA(FLOOR(base*modifier*SEQUENCE(16,1,85,1)/100)))*MIN(1,acc/100)),0)</f>
        <v/>
      </c>
      <c r="N28" s="4">
        <f>IFERROR(LET(mtype,XLOOKUP($D28,'Move Editor'!$B:$B,'Move Editor'!$C:$C,""),cat,XLOOKUP($D28,'Move Editor'!$B:$B,'Move Editor'!$D:$D,""),pow,XLOOKUP($D28,'Move Editor'!$B:$B,'Move Editor'!$E:$E,0),acc,XLOOKUP($D28,'Move Editor'!$B:$B,'Move Editor'!$F:$F,100),atk,IF(cat="Physical",FLOOR((FLOOR(((2*XLOOKUP(XLOOKUP($Q28,'Threshold Summary'!$Y:$Y,'Threshold Summary'!$K:$K,""),'Pokemon Editor'!$A:$A,'Pokemon Editor'!$F:$F,0)+31+FLOOR(XLOOKUP($Q28,'Threshold Summary'!$Y:$Y,'Threshold Summary'!$P:$P,"")/4))*XLOOKUP($Q28,'Threshold Summary'!$Y:$Y,'Threshold Summary'!$L:$L,""))/100)+5)*XLOOKUP(XLOOKUP($Q28,'Threshold Summary'!$Y:$Y,'Threshold Summary'!$M:$M,""),'Nature Editor'!$A:$A,'Nature Editor'!$B:$B,1)),FLOOR((FLOOR(((2*XLOOKUP(XLOOKUP($Q28,'Threshold Summary'!$Y:$Y,'Threshold Summary'!$K:$K,""),'Pokemon Editor'!$A:$A,'Pokemon Editor'!$H:$H,0)+31+FLOOR(XLOOKUP($Q28,'Threshold Summary'!$Y:$Y,'Threshold Summary'!$R:$R,"")/4))*XLOOKUP($Q28,'Threshold Summary'!$Y:$Y,'Threshold Summary'!$L:$L,""))/100)+5)*XLOOKUP(XLOOKUP($Q28,'Threshold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Editor'!$E:$E,1))),stab,IF(OR(mtype=XLOOKUP(XLOOKUP($Q28,'Threshold Summary'!$Y:$Y,'Threshold Summary'!$K:$K,""),'Pokemon Editor'!$A:$A,'Pokemon Editor'!$C:$C,""),mtype=XLOOKUP(XLOOKUP($Q28,'Threshold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Chart'!$B$1:$S$1,0)))),base,IF(OR(cat="Status",pow=0),0,FLOOR(FLOOR(FLOOR((2*XLOOKUP($Q28,'Threshold Summary'!$Y:$Y,'Threshold Summary'!$L:$L,"")/5+2)*pow*atk/def)/50)+2)),modifier,stab*eff,AVERAGE(ARRAYFORMULA(FLOOR(base*modifier*SEQUENCE(16,1,85,1)/100)))/(FLOOR(((2*XLOOKUP('Boss Editor'!$C$4,'Pokemon Editor'!$A:$A,'Pokemon Editor'!$E:$E,0)+31+FLOOR('Boss Editor'!$G$4/4))*'Boss Editor'!$D$4)/100)+'Boss Editor'!$D$4+10)),0)</f>
        <v/>
      </c>
      <c r="O28" s="3">
        <f>IF(N28&gt;=1,"OHKO",IF(N28&gt;=0.5,"2HKO",IF(N28&gt;=0.333,"3HKO",IF(N28&gt;=0.25,"4HKO","5HKO+"))))</f>
        <v/>
      </c>
      <c r="P28" s="3" t="inlineStr">
        <is>
          <t>Live from editable databases</t>
        </is>
      </c>
      <c r="Q28" s="3" t="inlineStr">
        <is>
          <t>SPECIES_PARAS</t>
        </is>
      </c>
      <c r="R28" s="3" t="n">
        <v>27</v>
      </c>
    </row>
    <row r="29">
      <c r="A29" s="3">
        <f>XLOOKUP($Q29,'Threshold Summary'!$Y:$Y,'Threshold Summary'!$A:$A,"")</f>
        <v/>
      </c>
      <c r="B29" s="3">
        <f>XLOOKUP($Q29,'Threshold Summary'!$Y:$Y,'Threshold Summary'!$M:$M,"")</f>
        <v/>
      </c>
      <c r="C29" s="3">
        <f>XLOOKUP($Q29,'Threshold Summary'!$Y:$Y,'Threshold Summary'!$N:$N,"")</f>
        <v/>
      </c>
      <c r="D29" s="3">
        <f>IFERROR(INDEX(FILTER('Learnset Editor'!$D$2:$D,'Learnset Editor'!$A$2:$A=XLOOKUP($Q29,'Threshold Summary'!$Y:$Y,'Threshold Summary'!$K:$K,""),'Learnset Editor'!$C$2:$C&lt;=XLOOKUP($Q29,'Threshold Summary'!$Y:$Y,'Threshold Summary'!$L:$L,"")),$R29),"")</f>
        <v/>
      </c>
      <c r="E29" s="3">
        <f>XLOOKUP(D29,'Move Editor'!$B:$B,'Move Editor'!$C:$C,"")</f>
        <v/>
      </c>
      <c r="F29" s="3">
        <f>XLOOKUP(D29,'Move Editor'!$B:$B,'Move Editor'!$D:$D,"")</f>
        <v/>
      </c>
      <c r="G29" s="3">
        <f>XLOOKUP(D29,'Move Editor'!$B:$B,'Move Editor'!$E:$E,0)</f>
        <v/>
      </c>
      <c r="H29" s="3">
        <f>XLOOKUP(D29,'Move Editor'!$B:$B,'Move Editor'!$F:$F,0)</f>
        <v/>
      </c>
      <c r="I29" s="3">
        <f>(INDEX('Type Chart'!$B:$S,MATCH(E29,'Type Chart'!$A:$A,0),MATCH(XLOOKUP('Boss Editor'!$C$4,'Pokemon Editor'!$A:$A,'Pokemon Editor'!$C:$C,""),'Type Chart'!$B$1:$S$1,0))*IF(XLOOKUP('Boss Editor'!$C$4,'Pokemon Editor'!$A:$A,'Pokemon Editor'!$D:$D,"")="",1,INDEX('Type Chart'!$B:$S,MATCH(E29,'Type Chart'!$A:$A,0),MATCH(XLOOKUP('Boss Editor'!$C$4,'Pokemon Editor'!$A:$A,'Pokemon Editor'!$D:$D,""),'Type Chart'!$B$1:$S$1,0))))</f>
        <v/>
      </c>
      <c r="J29" s="3">
        <f>IFERROR(LET(mtype,XLOOKUP($D29,'Move Editor'!$B:$B,'Move Editor'!$C:$C,""),cat,XLOOKUP($D29,'Move Editor'!$B:$B,'Move Editor'!$D:$D,""),pow,XLOOKUP($D29,'Move Editor'!$B:$B,'Move Editor'!$E:$E,0),acc,XLOOKUP($D29,'Move Editor'!$B:$B,'Move Editor'!$F:$F,100),atk,IF(cat="Physical",FLOOR((FLOOR(((2*XLOOKUP(XLOOKUP($Q29,'Threshold Summary'!$Y:$Y,'Threshold Summary'!$K:$K,""),'Pokemon Editor'!$A:$A,'Pokemon Editor'!$F:$F,0)+31+FLOOR(XLOOKUP($Q29,'Threshold Summary'!$Y:$Y,'Threshold Summary'!$P:$P,"")/4))*XLOOKUP($Q29,'Threshold Summary'!$Y:$Y,'Threshold Summary'!$L:$L,""))/100)+5)*XLOOKUP(XLOOKUP($Q29,'Threshold Summary'!$Y:$Y,'Threshold Summary'!$M:$M,""),'Nature Editor'!$A:$A,'Nature Editor'!$B:$B,1)),FLOOR((FLOOR(((2*XLOOKUP(XLOOKUP($Q29,'Threshold Summary'!$Y:$Y,'Threshold Summary'!$K:$K,""),'Pokemon Editor'!$A:$A,'Pokemon Editor'!$H:$H,0)+31+FLOOR(XLOOKUP($Q29,'Threshold Summary'!$Y:$Y,'Threshold Summary'!$R:$R,"")/4))*XLOOKUP($Q29,'Threshold Summary'!$Y:$Y,'Threshold Summary'!$L:$L,""))/100)+5)*XLOOKUP(XLOOKUP($Q29,'Threshold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Editor'!$E:$E,1))),stab,IF(OR(mtype=XLOOKUP(XLOOKUP($Q29,'Threshold Summary'!$Y:$Y,'Threshold Summary'!$K:$K,""),'Pokemon Editor'!$A:$A,'Pokemon Editor'!$C:$C,""),mtype=XLOOKUP(XLOOKUP($Q29,'Threshold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Chart'!$B$1:$S$1,0)))),base,IF(OR(cat="Status",pow=0),0,FLOOR(FLOOR(FLOOR((2*XLOOKUP($Q29,'Threshold Summary'!$Y:$Y,'Threshold Summary'!$L:$L,"")/5+2)*pow*atk/def)/50)+2)),modifier,stab*eff,FLOOR(base*modifier*0.85)),0)</f>
        <v/>
      </c>
      <c r="K29" s="3">
        <f>IFERROR(LET(mtype,XLOOKUP($D29,'Move Editor'!$B:$B,'Move Editor'!$C:$C,""),cat,XLOOKUP($D29,'Move Editor'!$B:$B,'Move Editor'!$D:$D,""),pow,XLOOKUP($D29,'Move Editor'!$B:$B,'Move Editor'!$E:$E,0),acc,XLOOKUP($D29,'Move Editor'!$B:$B,'Move Editor'!$F:$F,100),atk,IF(cat="Physical",FLOOR((FLOOR(((2*XLOOKUP(XLOOKUP($Q29,'Threshold Summary'!$Y:$Y,'Threshold Summary'!$K:$K,""),'Pokemon Editor'!$A:$A,'Pokemon Editor'!$F:$F,0)+31+FLOOR(XLOOKUP($Q29,'Threshold Summary'!$Y:$Y,'Threshold Summary'!$P:$P,"")/4))*XLOOKUP($Q29,'Threshold Summary'!$Y:$Y,'Threshold Summary'!$L:$L,""))/100)+5)*XLOOKUP(XLOOKUP($Q29,'Threshold Summary'!$Y:$Y,'Threshold Summary'!$M:$M,""),'Nature Editor'!$A:$A,'Nature Editor'!$B:$B,1)),FLOOR((FLOOR(((2*XLOOKUP(XLOOKUP($Q29,'Threshold Summary'!$Y:$Y,'Threshold Summary'!$K:$K,""),'Pokemon Editor'!$A:$A,'Pokemon Editor'!$H:$H,0)+31+FLOOR(XLOOKUP($Q29,'Threshold Summary'!$Y:$Y,'Threshold Summary'!$R:$R,"")/4))*XLOOKUP($Q29,'Threshold Summary'!$Y:$Y,'Threshold Summary'!$L:$L,""))/100)+5)*XLOOKUP(XLOOKUP($Q29,'Threshold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Editor'!$E:$E,1))),stab,IF(OR(mtype=XLOOKUP(XLOOKUP($Q29,'Threshold Summary'!$Y:$Y,'Threshold Summary'!$K:$K,""),'Pokemon Editor'!$A:$A,'Pokemon Editor'!$C:$C,""),mtype=XLOOKUP(XLOOKUP($Q29,'Threshold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Chart'!$B$1:$S$1,0)))),base,IF(OR(cat="Status",pow=0),0,FLOOR(FLOOR(FLOOR((2*XLOOKUP($Q29,'Threshold Summary'!$Y:$Y,'Threshold Summary'!$L:$L,"")/5+2)*pow*atk/def)/50)+2)),modifier,stab*eff,FLOOR(base*modifier)),0)</f>
        <v/>
      </c>
      <c r="L29" s="3">
        <f>IFERROR(LET(mtype,XLOOKUP($D29,'Move Editor'!$B:$B,'Move Editor'!$C:$C,""),cat,XLOOKUP($D29,'Move Editor'!$B:$B,'Move Editor'!$D:$D,""),pow,XLOOKUP($D29,'Move Editor'!$B:$B,'Move Editor'!$E:$E,0),acc,XLOOKUP($D29,'Move Editor'!$B:$B,'Move Editor'!$F:$F,100),atk,IF(cat="Physical",FLOOR((FLOOR(((2*XLOOKUP(XLOOKUP($Q29,'Threshold Summary'!$Y:$Y,'Threshold Summary'!$K:$K,""),'Pokemon Editor'!$A:$A,'Pokemon Editor'!$F:$F,0)+31+FLOOR(XLOOKUP($Q29,'Threshold Summary'!$Y:$Y,'Threshold Summary'!$P:$P,"")/4))*XLOOKUP($Q29,'Threshold Summary'!$Y:$Y,'Threshold Summary'!$L:$L,""))/100)+5)*XLOOKUP(XLOOKUP($Q29,'Threshold Summary'!$Y:$Y,'Threshold Summary'!$M:$M,""),'Nature Editor'!$A:$A,'Nature Editor'!$B:$B,1)),FLOOR((FLOOR(((2*XLOOKUP(XLOOKUP($Q29,'Threshold Summary'!$Y:$Y,'Threshold Summary'!$K:$K,""),'Pokemon Editor'!$A:$A,'Pokemon Editor'!$H:$H,0)+31+FLOOR(XLOOKUP($Q29,'Threshold Summary'!$Y:$Y,'Threshold Summary'!$R:$R,"")/4))*XLOOKUP($Q29,'Threshold Summary'!$Y:$Y,'Threshold Summary'!$L:$L,""))/100)+5)*XLOOKUP(XLOOKUP($Q29,'Threshold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Editor'!$E:$E,1))),stab,IF(OR(mtype=XLOOKUP(XLOOKUP($Q29,'Threshold Summary'!$Y:$Y,'Threshold Summary'!$K:$K,""),'Pokemon Editor'!$A:$A,'Pokemon Editor'!$C:$C,""),mtype=XLOOKUP(XLOOKUP($Q29,'Threshold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Chart'!$B$1:$S$1,0)))),base,IF(OR(cat="Status",pow=0),0,FLOOR(FLOOR(FLOOR((2*XLOOKUP($Q29,'Threshold Summary'!$Y:$Y,'Threshold Summary'!$L:$L,"")/5+2)*pow*atk/def)/50)+2)),modifier,stab*eff,AVERAGE(ARRAYFORMULA(FLOOR(base*modifier*SEQUENCE(16,1,85,1)/100)))),0)</f>
        <v/>
      </c>
      <c r="M29" s="3">
        <f>IFERROR(LET(mtype,XLOOKUP($D29,'Move Editor'!$B:$B,'Move Editor'!$C:$C,""),cat,XLOOKUP($D29,'Move Editor'!$B:$B,'Move Editor'!$D:$D,""),pow,XLOOKUP($D29,'Move Editor'!$B:$B,'Move Editor'!$E:$E,0),acc,XLOOKUP($D29,'Move Editor'!$B:$B,'Move Editor'!$F:$F,100),atk,IF(cat="Physical",FLOOR((FLOOR(((2*XLOOKUP(XLOOKUP($Q29,'Threshold Summary'!$Y:$Y,'Threshold Summary'!$K:$K,""),'Pokemon Editor'!$A:$A,'Pokemon Editor'!$F:$F,0)+31+FLOOR(XLOOKUP($Q29,'Threshold Summary'!$Y:$Y,'Threshold Summary'!$P:$P,"")/4))*XLOOKUP($Q29,'Threshold Summary'!$Y:$Y,'Threshold Summary'!$L:$L,""))/100)+5)*XLOOKUP(XLOOKUP($Q29,'Threshold Summary'!$Y:$Y,'Threshold Summary'!$M:$M,""),'Nature Editor'!$A:$A,'Nature Editor'!$B:$B,1)),FLOOR((FLOOR(((2*XLOOKUP(XLOOKUP($Q29,'Threshold Summary'!$Y:$Y,'Threshold Summary'!$K:$K,""),'Pokemon Editor'!$A:$A,'Pokemon Editor'!$H:$H,0)+31+FLOOR(XLOOKUP($Q29,'Threshold Summary'!$Y:$Y,'Threshold Summary'!$R:$R,"")/4))*XLOOKUP($Q29,'Threshold Summary'!$Y:$Y,'Threshold Summary'!$L:$L,""))/100)+5)*XLOOKUP(XLOOKUP($Q29,'Threshold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Editor'!$E:$E,1))),stab,IF(OR(mtype=XLOOKUP(XLOOKUP($Q29,'Threshold Summary'!$Y:$Y,'Threshold Summary'!$K:$K,""),'Pokemon Editor'!$A:$A,'Pokemon Editor'!$C:$C,""),mtype=XLOOKUP(XLOOKUP($Q29,'Threshold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Chart'!$B$1:$S$1,0)))),base,IF(OR(cat="Status",pow=0),0,FLOOR(FLOOR(FLOOR((2*XLOOKUP($Q29,'Threshold Summary'!$Y:$Y,'Threshold Summary'!$L:$L,"")/5+2)*pow*atk/def)/50)+2)),modifier,stab*eff,AVERAGE(ARRAYFORMULA(FLOOR(base*modifier*SEQUENCE(16,1,85,1)/100)))*MIN(1,acc/100)),0)</f>
        <v/>
      </c>
      <c r="N29" s="4">
        <f>IFERROR(LET(mtype,XLOOKUP($D29,'Move Editor'!$B:$B,'Move Editor'!$C:$C,""),cat,XLOOKUP($D29,'Move Editor'!$B:$B,'Move Editor'!$D:$D,""),pow,XLOOKUP($D29,'Move Editor'!$B:$B,'Move Editor'!$E:$E,0),acc,XLOOKUP($D29,'Move Editor'!$B:$B,'Move Editor'!$F:$F,100),atk,IF(cat="Physical",FLOOR((FLOOR(((2*XLOOKUP(XLOOKUP($Q29,'Threshold Summary'!$Y:$Y,'Threshold Summary'!$K:$K,""),'Pokemon Editor'!$A:$A,'Pokemon Editor'!$F:$F,0)+31+FLOOR(XLOOKUP($Q29,'Threshold Summary'!$Y:$Y,'Threshold Summary'!$P:$P,"")/4))*XLOOKUP($Q29,'Threshold Summary'!$Y:$Y,'Threshold Summary'!$L:$L,""))/100)+5)*XLOOKUP(XLOOKUP($Q29,'Threshold Summary'!$Y:$Y,'Threshold Summary'!$M:$M,""),'Nature Editor'!$A:$A,'Nature Editor'!$B:$B,1)),FLOOR((FLOOR(((2*XLOOKUP(XLOOKUP($Q29,'Threshold Summary'!$Y:$Y,'Threshold Summary'!$K:$K,""),'Pokemon Editor'!$A:$A,'Pokemon Editor'!$H:$H,0)+31+FLOOR(XLOOKUP($Q29,'Threshold Summary'!$Y:$Y,'Threshold Summary'!$R:$R,"")/4))*XLOOKUP($Q29,'Threshold Summary'!$Y:$Y,'Threshold Summary'!$L:$L,""))/100)+5)*XLOOKUP(XLOOKUP($Q29,'Threshold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Editor'!$E:$E,1))),stab,IF(OR(mtype=XLOOKUP(XLOOKUP($Q29,'Threshold Summary'!$Y:$Y,'Threshold Summary'!$K:$K,""),'Pokemon Editor'!$A:$A,'Pokemon Editor'!$C:$C,""),mtype=XLOOKUP(XLOOKUP($Q29,'Threshold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Chart'!$B$1:$S$1,0)))),base,IF(OR(cat="Status",pow=0),0,FLOOR(FLOOR(FLOOR((2*XLOOKUP($Q29,'Threshold Summary'!$Y:$Y,'Threshold Summary'!$L:$L,"")/5+2)*pow*atk/def)/50)+2)),modifier,stab*eff,AVERAGE(ARRAYFORMULA(FLOOR(base*modifier*SEQUENCE(16,1,85,1)/100)))/(FLOOR(((2*XLOOKUP('Boss Editor'!$C$4,'Pokemon Editor'!$A:$A,'Pokemon Editor'!$E:$E,0)+31+FLOOR('Boss Editor'!$G$4/4))*'Boss Editor'!$D$4)/100)+'Boss Editor'!$D$4+10)),0)</f>
        <v/>
      </c>
      <c r="O29" s="3">
        <f>IF(N29&gt;=1,"OHKO",IF(N29&gt;=0.5,"2HKO",IF(N29&gt;=0.333,"3HKO",IF(N29&gt;=0.25,"4HKO","5HKO+"))))</f>
        <v/>
      </c>
      <c r="P29" s="3" t="inlineStr">
        <is>
          <t>Live from editable databases</t>
        </is>
      </c>
      <c r="Q29" s="3" t="inlineStr">
        <is>
          <t>SPECIES_PARAS</t>
        </is>
      </c>
      <c r="R29" s="3" t="n">
        <v>28</v>
      </c>
    </row>
    <row r="30">
      <c r="A30" s="3">
        <f>XLOOKUP($Q30,'Threshold Summary'!$Y:$Y,'Threshold Summary'!$A:$A,"")</f>
        <v/>
      </c>
      <c r="B30" s="3">
        <f>XLOOKUP($Q30,'Threshold Summary'!$Y:$Y,'Threshold Summary'!$M:$M,"")</f>
        <v/>
      </c>
      <c r="C30" s="3">
        <f>XLOOKUP($Q30,'Threshold Summary'!$Y:$Y,'Threshold Summary'!$N:$N,"")</f>
        <v/>
      </c>
      <c r="D30" s="3">
        <f>IFERROR(INDEX(FILTER('Learnset Editor'!$D$2:$D,'Learnset Editor'!$A$2:$A=XLOOKUP($Q30,'Threshold Summary'!$Y:$Y,'Threshold Summary'!$K:$K,""),'Learnset Editor'!$C$2:$C&lt;=XLOOKUP($Q30,'Threshold Summary'!$Y:$Y,'Threshold Summary'!$L:$L,"")),$R30),"")</f>
        <v/>
      </c>
      <c r="E30" s="3">
        <f>XLOOKUP(D30,'Move Editor'!$B:$B,'Move Editor'!$C:$C,"")</f>
        <v/>
      </c>
      <c r="F30" s="3">
        <f>XLOOKUP(D30,'Move Editor'!$B:$B,'Move Editor'!$D:$D,"")</f>
        <v/>
      </c>
      <c r="G30" s="3">
        <f>XLOOKUP(D30,'Move Editor'!$B:$B,'Move Editor'!$E:$E,0)</f>
        <v/>
      </c>
      <c r="H30" s="3">
        <f>XLOOKUP(D30,'Move Editor'!$B:$B,'Move Editor'!$F:$F,0)</f>
        <v/>
      </c>
      <c r="I30" s="3">
        <f>(INDEX('Type Chart'!$B:$S,MATCH(E30,'Type Chart'!$A:$A,0),MATCH(XLOOKUP('Boss Editor'!$C$4,'Pokemon Editor'!$A:$A,'Pokemon Editor'!$C:$C,""),'Type Chart'!$B$1:$S$1,0))*IF(XLOOKUP('Boss Editor'!$C$4,'Pokemon Editor'!$A:$A,'Pokemon Editor'!$D:$D,"")="",1,INDEX('Type Chart'!$B:$S,MATCH(E30,'Type Chart'!$A:$A,0),MATCH(XLOOKUP('Boss Editor'!$C$4,'Pokemon Editor'!$A:$A,'Pokemon Editor'!$D:$D,""),'Type Chart'!$B$1:$S$1,0))))</f>
        <v/>
      </c>
      <c r="J30" s="3">
        <f>IFERROR(LET(mtype,XLOOKUP($D30,'Move Editor'!$B:$B,'Move Editor'!$C:$C,""),cat,XLOOKUP($D30,'Move Editor'!$B:$B,'Move Editor'!$D:$D,""),pow,XLOOKUP($D30,'Move Editor'!$B:$B,'Move Editor'!$E:$E,0),acc,XLOOKUP($D30,'Move Editor'!$B:$B,'Move Editor'!$F:$F,100),atk,IF(cat="Physical",FLOOR((FLOOR(((2*XLOOKUP(XLOOKUP($Q30,'Threshold Summary'!$Y:$Y,'Threshold Summary'!$K:$K,""),'Pokemon Editor'!$A:$A,'Pokemon Editor'!$F:$F,0)+31+FLOOR(XLOOKUP($Q30,'Threshold Summary'!$Y:$Y,'Threshold Summary'!$P:$P,"")/4))*XLOOKUP($Q30,'Threshold Summary'!$Y:$Y,'Threshold Summary'!$L:$L,""))/100)+5)*XLOOKUP(XLOOKUP($Q30,'Threshold Summary'!$Y:$Y,'Threshold Summary'!$M:$M,""),'Nature Editor'!$A:$A,'Nature Editor'!$B:$B,1)),FLOOR((FLOOR(((2*XLOOKUP(XLOOKUP($Q30,'Threshold Summary'!$Y:$Y,'Threshold Summary'!$K:$K,""),'Pokemon Editor'!$A:$A,'Pokemon Editor'!$H:$H,0)+31+FLOOR(XLOOKUP($Q30,'Threshold Summary'!$Y:$Y,'Threshold Summary'!$R:$R,"")/4))*XLOOKUP($Q30,'Threshold Summary'!$Y:$Y,'Threshold Summary'!$L:$L,""))/100)+5)*XLOOKUP(XLOOKUP($Q30,'Threshold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Editor'!$E:$E,1))),stab,IF(OR(mtype=XLOOKUP(XLOOKUP($Q30,'Threshold Summary'!$Y:$Y,'Threshold Summary'!$K:$K,""),'Pokemon Editor'!$A:$A,'Pokemon Editor'!$C:$C,""),mtype=XLOOKUP(XLOOKUP($Q30,'Threshold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Chart'!$B$1:$S$1,0)))),base,IF(OR(cat="Status",pow=0),0,FLOOR(FLOOR(FLOOR((2*XLOOKUP($Q30,'Threshold Summary'!$Y:$Y,'Threshold Summary'!$L:$L,"")/5+2)*pow*atk/def)/50)+2)),modifier,stab*eff,FLOOR(base*modifier*0.85)),0)</f>
        <v/>
      </c>
      <c r="K30" s="3">
        <f>IFERROR(LET(mtype,XLOOKUP($D30,'Move Editor'!$B:$B,'Move Editor'!$C:$C,""),cat,XLOOKUP($D30,'Move Editor'!$B:$B,'Move Editor'!$D:$D,""),pow,XLOOKUP($D30,'Move Editor'!$B:$B,'Move Editor'!$E:$E,0),acc,XLOOKUP($D30,'Move Editor'!$B:$B,'Move Editor'!$F:$F,100),atk,IF(cat="Physical",FLOOR((FLOOR(((2*XLOOKUP(XLOOKUP($Q30,'Threshold Summary'!$Y:$Y,'Threshold Summary'!$K:$K,""),'Pokemon Editor'!$A:$A,'Pokemon Editor'!$F:$F,0)+31+FLOOR(XLOOKUP($Q30,'Threshold Summary'!$Y:$Y,'Threshold Summary'!$P:$P,"")/4))*XLOOKUP($Q30,'Threshold Summary'!$Y:$Y,'Threshold Summary'!$L:$L,""))/100)+5)*XLOOKUP(XLOOKUP($Q30,'Threshold Summary'!$Y:$Y,'Threshold Summary'!$M:$M,""),'Nature Editor'!$A:$A,'Nature Editor'!$B:$B,1)),FLOOR((FLOOR(((2*XLOOKUP(XLOOKUP($Q30,'Threshold Summary'!$Y:$Y,'Threshold Summary'!$K:$K,""),'Pokemon Editor'!$A:$A,'Pokemon Editor'!$H:$H,0)+31+FLOOR(XLOOKUP($Q30,'Threshold Summary'!$Y:$Y,'Threshold Summary'!$R:$R,"")/4))*XLOOKUP($Q30,'Threshold Summary'!$Y:$Y,'Threshold Summary'!$L:$L,""))/100)+5)*XLOOKUP(XLOOKUP($Q30,'Threshold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Editor'!$E:$E,1))),stab,IF(OR(mtype=XLOOKUP(XLOOKUP($Q30,'Threshold Summary'!$Y:$Y,'Threshold Summary'!$K:$K,""),'Pokemon Editor'!$A:$A,'Pokemon Editor'!$C:$C,""),mtype=XLOOKUP(XLOOKUP($Q30,'Threshold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Chart'!$B$1:$S$1,0)))),base,IF(OR(cat="Status",pow=0),0,FLOOR(FLOOR(FLOOR((2*XLOOKUP($Q30,'Threshold Summary'!$Y:$Y,'Threshold Summary'!$L:$L,"")/5+2)*pow*atk/def)/50)+2)),modifier,stab*eff,FLOOR(base*modifier)),0)</f>
        <v/>
      </c>
      <c r="L30" s="3">
        <f>IFERROR(LET(mtype,XLOOKUP($D30,'Move Editor'!$B:$B,'Move Editor'!$C:$C,""),cat,XLOOKUP($D30,'Move Editor'!$B:$B,'Move Editor'!$D:$D,""),pow,XLOOKUP($D30,'Move Editor'!$B:$B,'Move Editor'!$E:$E,0),acc,XLOOKUP($D30,'Move Editor'!$B:$B,'Move Editor'!$F:$F,100),atk,IF(cat="Physical",FLOOR((FLOOR(((2*XLOOKUP(XLOOKUP($Q30,'Threshold Summary'!$Y:$Y,'Threshold Summary'!$K:$K,""),'Pokemon Editor'!$A:$A,'Pokemon Editor'!$F:$F,0)+31+FLOOR(XLOOKUP($Q30,'Threshold Summary'!$Y:$Y,'Threshold Summary'!$P:$P,"")/4))*XLOOKUP($Q30,'Threshold Summary'!$Y:$Y,'Threshold Summary'!$L:$L,""))/100)+5)*XLOOKUP(XLOOKUP($Q30,'Threshold Summary'!$Y:$Y,'Threshold Summary'!$M:$M,""),'Nature Editor'!$A:$A,'Nature Editor'!$B:$B,1)),FLOOR((FLOOR(((2*XLOOKUP(XLOOKUP($Q30,'Threshold Summary'!$Y:$Y,'Threshold Summary'!$K:$K,""),'Pokemon Editor'!$A:$A,'Pokemon Editor'!$H:$H,0)+31+FLOOR(XLOOKUP($Q30,'Threshold Summary'!$Y:$Y,'Threshold Summary'!$R:$R,"")/4))*XLOOKUP($Q30,'Threshold Summary'!$Y:$Y,'Threshold Summary'!$L:$L,""))/100)+5)*XLOOKUP(XLOOKUP($Q30,'Threshold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Editor'!$E:$E,1))),stab,IF(OR(mtype=XLOOKUP(XLOOKUP($Q30,'Threshold Summary'!$Y:$Y,'Threshold Summary'!$K:$K,""),'Pokemon Editor'!$A:$A,'Pokemon Editor'!$C:$C,""),mtype=XLOOKUP(XLOOKUP($Q30,'Threshold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Chart'!$B$1:$S$1,0)))),base,IF(OR(cat="Status",pow=0),0,FLOOR(FLOOR(FLOOR((2*XLOOKUP($Q30,'Threshold Summary'!$Y:$Y,'Threshold Summary'!$L:$L,"")/5+2)*pow*atk/def)/50)+2)),modifier,stab*eff,AVERAGE(ARRAYFORMULA(FLOOR(base*modifier*SEQUENCE(16,1,85,1)/100)))),0)</f>
        <v/>
      </c>
      <c r="M30" s="3">
        <f>IFERROR(LET(mtype,XLOOKUP($D30,'Move Editor'!$B:$B,'Move Editor'!$C:$C,""),cat,XLOOKUP($D30,'Move Editor'!$B:$B,'Move Editor'!$D:$D,""),pow,XLOOKUP($D30,'Move Editor'!$B:$B,'Move Editor'!$E:$E,0),acc,XLOOKUP($D30,'Move Editor'!$B:$B,'Move Editor'!$F:$F,100),atk,IF(cat="Physical",FLOOR((FLOOR(((2*XLOOKUP(XLOOKUP($Q30,'Threshold Summary'!$Y:$Y,'Threshold Summary'!$K:$K,""),'Pokemon Editor'!$A:$A,'Pokemon Editor'!$F:$F,0)+31+FLOOR(XLOOKUP($Q30,'Threshold Summary'!$Y:$Y,'Threshold Summary'!$P:$P,"")/4))*XLOOKUP($Q30,'Threshold Summary'!$Y:$Y,'Threshold Summary'!$L:$L,""))/100)+5)*XLOOKUP(XLOOKUP($Q30,'Threshold Summary'!$Y:$Y,'Threshold Summary'!$M:$M,""),'Nature Editor'!$A:$A,'Nature Editor'!$B:$B,1)),FLOOR((FLOOR(((2*XLOOKUP(XLOOKUP($Q30,'Threshold Summary'!$Y:$Y,'Threshold Summary'!$K:$K,""),'Pokemon Editor'!$A:$A,'Pokemon Editor'!$H:$H,0)+31+FLOOR(XLOOKUP($Q30,'Threshold Summary'!$Y:$Y,'Threshold Summary'!$R:$R,"")/4))*XLOOKUP($Q30,'Threshold Summary'!$Y:$Y,'Threshold Summary'!$L:$L,""))/100)+5)*XLOOKUP(XLOOKUP($Q30,'Threshold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Editor'!$E:$E,1))),stab,IF(OR(mtype=XLOOKUP(XLOOKUP($Q30,'Threshold Summary'!$Y:$Y,'Threshold Summary'!$K:$K,""),'Pokemon Editor'!$A:$A,'Pokemon Editor'!$C:$C,""),mtype=XLOOKUP(XLOOKUP($Q30,'Threshold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Chart'!$B$1:$S$1,0)))),base,IF(OR(cat="Status",pow=0),0,FLOOR(FLOOR(FLOOR((2*XLOOKUP($Q30,'Threshold Summary'!$Y:$Y,'Threshold Summary'!$L:$L,"")/5+2)*pow*atk/def)/50)+2)),modifier,stab*eff,AVERAGE(ARRAYFORMULA(FLOOR(base*modifier*SEQUENCE(16,1,85,1)/100)))*MIN(1,acc/100)),0)</f>
        <v/>
      </c>
      <c r="N30" s="4">
        <f>IFERROR(LET(mtype,XLOOKUP($D30,'Move Editor'!$B:$B,'Move Editor'!$C:$C,""),cat,XLOOKUP($D30,'Move Editor'!$B:$B,'Move Editor'!$D:$D,""),pow,XLOOKUP($D30,'Move Editor'!$B:$B,'Move Editor'!$E:$E,0),acc,XLOOKUP($D30,'Move Editor'!$B:$B,'Move Editor'!$F:$F,100),atk,IF(cat="Physical",FLOOR((FLOOR(((2*XLOOKUP(XLOOKUP($Q30,'Threshold Summary'!$Y:$Y,'Threshold Summary'!$K:$K,""),'Pokemon Editor'!$A:$A,'Pokemon Editor'!$F:$F,0)+31+FLOOR(XLOOKUP($Q30,'Threshold Summary'!$Y:$Y,'Threshold Summary'!$P:$P,"")/4))*XLOOKUP($Q30,'Threshold Summary'!$Y:$Y,'Threshold Summary'!$L:$L,""))/100)+5)*XLOOKUP(XLOOKUP($Q30,'Threshold Summary'!$Y:$Y,'Threshold Summary'!$M:$M,""),'Nature Editor'!$A:$A,'Nature Editor'!$B:$B,1)),FLOOR((FLOOR(((2*XLOOKUP(XLOOKUP($Q30,'Threshold Summary'!$Y:$Y,'Threshold Summary'!$K:$K,""),'Pokemon Editor'!$A:$A,'Pokemon Editor'!$H:$H,0)+31+FLOOR(XLOOKUP($Q30,'Threshold Summary'!$Y:$Y,'Threshold Summary'!$R:$R,"")/4))*XLOOKUP($Q30,'Threshold Summary'!$Y:$Y,'Threshold Summary'!$L:$L,""))/100)+5)*XLOOKUP(XLOOKUP($Q30,'Threshold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Editor'!$E:$E,1))),stab,IF(OR(mtype=XLOOKUP(XLOOKUP($Q30,'Threshold Summary'!$Y:$Y,'Threshold Summary'!$K:$K,""),'Pokemon Editor'!$A:$A,'Pokemon Editor'!$C:$C,""),mtype=XLOOKUP(XLOOKUP($Q30,'Threshold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Chart'!$B$1:$S$1,0)))),base,IF(OR(cat="Status",pow=0),0,FLOOR(FLOOR(FLOOR((2*XLOOKUP($Q30,'Threshold Summary'!$Y:$Y,'Threshold Summary'!$L:$L,"")/5+2)*pow*atk/def)/50)+2)),modifier,stab*eff,AVERAGE(ARRAYFORMULA(FLOOR(base*modifier*SEQUENCE(16,1,85,1)/100)))/(FLOOR(((2*XLOOKUP('Boss Editor'!$C$4,'Pokemon Editor'!$A:$A,'Pokemon Editor'!$E:$E,0)+31+FLOOR('Boss Editor'!$G$4/4))*'Boss Editor'!$D$4)/100)+'Boss Editor'!$D$4+10)),0)</f>
        <v/>
      </c>
      <c r="O30" s="3">
        <f>IF(N30&gt;=1,"OHKO",IF(N30&gt;=0.5,"2HKO",IF(N30&gt;=0.333,"3HKO",IF(N30&gt;=0.25,"4HKO","5HKO+"))))</f>
        <v/>
      </c>
      <c r="P30" s="3" t="inlineStr">
        <is>
          <t>Live from editable databases</t>
        </is>
      </c>
      <c r="Q30" s="3" t="inlineStr">
        <is>
          <t>SPECIES_PARAS</t>
        </is>
      </c>
      <c r="R30" s="3" t="n">
        <v>29</v>
      </c>
    </row>
    <row r="31">
      <c r="A31" s="3">
        <f>XLOOKUP($Q31,'Threshold Summary'!$Y:$Y,'Threshold Summary'!$A:$A,"")</f>
        <v/>
      </c>
      <c r="B31" s="3">
        <f>XLOOKUP($Q31,'Threshold Summary'!$Y:$Y,'Threshold Summary'!$M:$M,"")</f>
        <v/>
      </c>
      <c r="C31" s="3">
        <f>XLOOKUP($Q31,'Threshold Summary'!$Y:$Y,'Threshold Summary'!$N:$N,"")</f>
        <v/>
      </c>
      <c r="D31" s="3">
        <f>IFERROR(INDEX(FILTER('Learnset Editor'!$D$2:$D,'Learnset Editor'!$A$2:$A=XLOOKUP($Q31,'Threshold Summary'!$Y:$Y,'Threshold Summary'!$K:$K,""),'Learnset Editor'!$C$2:$C&lt;=XLOOKUP($Q31,'Threshold Summary'!$Y:$Y,'Threshold Summary'!$L:$L,"")),$R31),"")</f>
        <v/>
      </c>
      <c r="E31" s="3">
        <f>XLOOKUP(D31,'Move Editor'!$B:$B,'Move Editor'!$C:$C,"")</f>
        <v/>
      </c>
      <c r="F31" s="3">
        <f>XLOOKUP(D31,'Move Editor'!$B:$B,'Move Editor'!$D:$D,"")</f>
        <v/>
      </c>
      <c r="G31" s="3">
        <f>XLOOKUP(D31,'Move Editor'!$B:$B,'Move Editor'!$E:$E,0)</f>
        <v/>
      </c>
      <c r="H31" s="3">
        <f>XLOOKUP(D31,'Move Editor'!$B:$B,'Move Editor'!$F:$F,0)</f>
        <v/>
      </c>
      <c r="I31" s="3">
        <f>(INDEX('Type Chart'!$B:$S,MATCH(E31,'Type Chart'!$A:$A,0),MATCH(XLOOKUP('Boss Editor'!$C$4,'Pokemon Editor'!$A:$A,'Pokemon Editor'!$C:$C,""),'Type Chart'!$B$1:$S$1,0))*IF(XLOOKUP('Boss Editor'!$C$4,'Pokemon Editor'!$A:$A,'Pokemon Editor'!$D:$D,"")="",1,INDEX('Type Chart'!$B:$S,MATCH(E31,'Type Chart'!$A:$A,0),MATCH(XLOOKUP('Boss Editor'!$C$4,'Pokemon Editor'!$A:$A,'Pokemon Editor'!$D:$D,""),'Type Chart'!$B$1:$S$1,0))))</f>
        <v/>
      </c>
      <c r="J31" s="3">
        <f>IFERROR(LET(mtype,XLOOKUP($D31,'Move Editor'!$B:$B,'Move Editor'!$C:$C,""),cat,XLOOKUP($D31,'Move Editor'!$B:$B,'Move Editor'!$D:$D,""),pow,XLOOKUP($D31,'Move Editor'!$B:$B,'Move Editor'!$E:$E,0),acc,XLOOKUP($D31,'Move Editor'!$B:$B,'Move Editor'!$F:$F,100),atk,IF(cat="Physical",FLOOR((FLOOR(((2*XLOOKUP(XLOOKUP($Q31,'Threshold Summary'!$Y:$Y,'Threshold Summary'!$K:$K,""),'Pokemon Editor'!$A:$A,'Pokemon Editor'!$F:$F,0)+31+FLOOR(XLOOKUP($Q31,'Threshold Summary'!$Y:$Y,'Threshold Summary'!$P:$P,"")/4))*XLOOKUP($Q31,'Threshold Summary'!$Y:$Y,'Threshold Summary'!$L:$L,""))/100)+5)*XLOOKUP(XLOOKUP($Q31,'Threshold Summary'!$Y:$Y,'Threshold Summary'!$M:$M,""),'Nature Editor'!$A:$A,'Nature Editor'!$B:$B,1)),FLOOR((FLOOR(((2*XLOOKUP(XLOOKUP($Q31,'Threshold Summary'!$Y:$Y,'Threshold Summary'!$K:$K,""),'Pokemon Editor'!$A:$A,'Pokemon Editor'!$H:$H,0)+31+FLOOR(XLOOKUP($Q31,'Threshold Summary'!$Y:$Y,'Threshold Summary'!$R:$R,"")/4))*XLOOKUP($Q31,'Threshold Summary'!$Y:$Y,'Threshold Summary'!$L:$L,""))/100)+5)*XLOOKUP(XLOOKUP($Q31,'Threshold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Editor'!$E:$E,1))),stab,IF(OR(mtype=XLOOKUP(XLOOKUP($Q31,'Threshold Summary'!$Y:$Y,'Threshold Summary'!$K:$K,""),'Pokemon Editor'!$A:$A,'Pokemon Editor'!$C:$C,""),mtype=XLOOKUP(XLOOKUP($Q31,'Threshold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Chart'!$B$1:$S$1,0)))),base,IF(OR(cat="Status",pow=0),0,FLOOR(FLOOR(FLOOR((2*XLOOKUP($Q31,'Threshold Summary'!$Y:$Y,'Threshold Summary'!$L:$L,"")/5+2)*pow*atk/def)/50)+2)),modifier,stab*eff,FLOOR(base*modifier*0.85)),0)</f>
        <v/>
      </c>
      <c r="K31" s="3">
        <f>IFERROR(LET(mtype,XLOOKUP($D31,'Move Editor'!$B:$B,'Move Editor'!$C:$C,""),cat,XLOOKUP($D31,'Move Editor'!$B:$B,'Move Editor'!$D:$D,""),pow,XLOOKUP($D31,'Move Editor'!$B:$B,'Move Editor'!$E:$E,0),acc,XLOOKUP($D31,'Move Editor'!$B:$B,'Move Editor'!$F:$F,100),atk,IF(cat="Physical",FLOOR((FLOOR(((2*XLOOKUP(XLOOKUP($Q31,'Threshold Summary'!$Y:$Y,'Threshold Summary'!$K:$K,""),'Pokemon Editor'!$A:$A,'Pokemon Editor'!$F:$F,0)+31+FLOOR(XLOOKUP($Q31,'Threshold Summary'!$Y:$Y,'Threshold Summary'!$P:$P,"")/4))*XLOOKUP($Q31,'Threshold Summary'!$Y:$Y,'Threshold Summary'!$L:$L,""))/100)+5)*XLOOKUP(XLOOKUP($Q31,'Threshold Summary'!$Y:$Y,'Threshold Summary'!$M:$M,""),'Nature Editor'!$A:$A,'Nature Editor'!$B:$B,1)),FLOOR((FLOOR(((2*XLOOKUP(XLOOKUP($Q31,'Threshold Summary'!$Y:$Y,'Threshold Summary'!$K:$K,""),'Pokemon Editor'!$A:$A,'Pokemon Editor'!$H:$H,0)+31+FLOOR(XLOOKUP($Q31,'Threshold Summary'!$Y:$Y,'Threshold Summary'!$R:$R,"")/4))*XLOOKUP($Q31,'Threshold Summary'!$Y:$Y,'Threshold Summary'!$L:$L,""))/100)+5)*XLOOKUP(XLOOKUP($Q31,'Threshold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Editor'!$E:$E,1))),stab,IF(OR(mtype=XLOOKUP(XLOOKUP($Q31,'Threshold Summary'!$Y:$Y,'Threshold Summary'!$K:$K,""),'Pokemon Editor'!$A:$A,'Pokemon Editor'!$C:$C,""),mtype=XLOOKUP(XLOOKUP($Q31,'Threshold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Chart'!$B$1:$S$1,0)))),base,IF(OR(cat="Status",pow=0),0,FLOOR(FLOOR(FLOOR((2*XLOOKUP($Q31,'Threshold Summary'!$Y:$Y,'Threshold Summary'!$L:$L,"")/5+2)*pow*atk/def)/50)+2)),modifier,stab*eff,FLOOR(base*modifier)),0)</f>
        <v/>
      </c>
      <c r="L31" s="3">
        <f>IFERROR(LET(mtype,XLOOKUP($D31,'Move Editor'!$B:$B,'Move Editor'!$C:$C,""),cat,XLOOKUP($D31,'Move Editor'!$B:$B,'Move Editor'!$D:$D,""),pow,XLOOKUP($D31,'Move Editor'!$B:$B,'Move Editor'!$E:$E,0),acc,XLOOKUP($D31,'Move Editor'!$B:$B,'Move Editor'!$F:$F,100),atk,IF(cat="Physical",FLOOR((FLOOR(((2*XLOOKUP(XLOOKUP($Q31,'Threshold Summary'!$Y:$Y,'Threshold Summary'!$K:$K,""),'Pokemon Editor'!$A:$A,'Pokemon Editor'!$F:$F,0)+31+FLOOR(XLOOKUP($Q31,'Threshold Summary'!$Y:$Y,'Threshold Summary'!$P:$P,"")/4))*XLOOKUP($Q31,'Threshold Summary'!$Y:$Y,'Threshold Summary'!$L:$L,""))/100)+5)*XLOOKUP(XLOOKUP($Q31,'Threshold Summary'!$Y:$Y,'Threshold Summary'!$M:$M,""),'Nature Editor'!$A:$A,'Nature Editor'!$B:$B,1)),FLOOR((FLOOR(((2*XLOOKUP(XLOOKUP($Q31,'Threshold Summary'!$Y:$Y,'Threshold Summary'!$K:$K,""),'Pokemon Editor'!$A:$A,'Pokemon Editor'!$H:$H,0)+31+FLOOR(XLOOKUP($Q31,'Threshold Summary'!$Y:$Y,'Threshold Summary'!$R:$R,"")/4))*XLOOKUP($Q31,'Threshold Summary'!$Y:$Y,'Threshold Summary'!$L:$L,""))/100)+5)*XLOOKUP(XLOOKUP($Q31,'Threshold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Editor'!$E:$E,1))),stab,IF(OR(mtype=XLOOKUP(XLOOKUP($Q31,'Threshold Summary'!$Y:$Y,'Threshold Summary'!$K:$K,""),'Pokemon Editor'!$A:$A,'Pokemon Editor'!$C:$C,""),mtype=XLOOKUP(XLOOKUP($Q31,'Threshold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Chart'!$B$1:$S$1,0)))),base,IF(OR(cat="Status",pow=0),0,FLOOR(FLOOR(FLOOR((2*XLOOKUP($Q31,'Threshold Summary'!$Y:$Y,'Threshold Summary'!$L:$L,"")/5+2)*pow*atk/def)/50)+2)),modifier,stab*eff,AVERAGE(ARRAYFORMULA(FLOOR(base*modifier*SEQUENCE(16,1,85,1)/100)))),0)</f>
        <v/>
      </c>
      <c r="M31" s="3">
        <f>IFERROR(LET(mtype,XLOOKUP($D31,'Move Editor'!$B:$B,'Move Editor'!$C:$C,""),cat,XLOOKUP($D31,'Move Editor'!$B:$B,'Move Editor'!$D:$D,""),pow,XLOOKUP($D31,'Move Editor'!$B:$B,'Move Editor'!$E:$E,0),acc,XLOOKUP($D31,'Move Editor'!$B:$B,'Move Editor'!$F:$F,100),atk,IF(cat="Physical",FLOOR((FLOOR(((2*XLOOKUP(XLOOKUP($Q31,'Threshold Summary'!$Y:$Y,'Threshold Summary'!$K:$K,""),'Pokemon Editor'!$A:$A,'Pokemon Editor'!$F:$F,0)+31+FLOOR(XLOOKUP($Q31,'Threshold Summary'!$Y:$Y,'Threshold Summary'!$P:$P,"")/4))*XLOOKUP($Q31,'Threshold Summary'!$Y:$Y,'Threshold Summary'!$L:$L,""))/100)+5)*XLOOKUP(XLOOKUP($Q31,'Threshold Summary'!$Y:$Y,'Threshold Summary'!$M:$M,""),'Nature Editor'!$A:$A,'Nature Editor'!$B:$B,1)),FLOOR((FLOOR(((2*XLOOKUP(XLOOKUP($Q31,'Threshold Summary'!$Y:$Y,'Threshold Summary'!$K:$K,""),'Pokemon Editor'!$A:$A,'Pokemon Editor'!$H:$H,0)+31+FLOOR(XLOOKUP($Q31,'Threshold Summary'!$Y:$Y,'Threshold Summary'!$R:$R,"")/4))*XLOOKUP($Q31,'Threshold Summary'!$Y:$Y,'Threshold Summary'!$L:$L,""))/100)+5)*XLOOKUP(XLOOKUP($Q31,'Threshold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Editor'!$E:$E,1))),stab,IF(OR(mtype=XLOOKUP(XLOOKUP($Q31,'Threshold Summary'!$Y:$Y,'Threshold Summary'!$K:$K,""),'Pokemon Editor'!$A:$A,'Pokemon Editor'!$C:$C,""),mtype=XLOOKUP(XLOOKUP($Q31,'Threshold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Chart'!$B$1:$S$1,0)))),base,IF(OR(cat="Status",pow=0),0,FLOOR(FLOOR(FLOOR((2*XLOOKUP($Q31,'Threshold Summary'!$Y:$Y,'Threshold Summary'!$L:$L,"")/5+2)*pow*atk/def)/50)+2)),modifier,stab*eff,AVERAGE(ARRAYFORMULA(FLOOR(base*modifier*SEQUENCE(16,1,85,1)/100)))*MIN(1,acc/100)),0)</f>
        <v/>
      </c>
      <c r="N31" s="4">
        <f>IFERROR(LET(mtype,XLOOKUP($D31,'Move Editor'!$B:$B,'Move Editor'!$C:$C,""),cat,XLOOKUP($D31,'Move Editor'!$B:$B,'Move Editor'!$D:$D,""),pow,XLOOKUP($D31,'Move Editor'!$B:$B,'Move Editor'!$E:$E,0),acc,XLOOKUP($D31,'Move Editor'!$B:$B,'Move Editor'!$F:$F,100),atk,IF(cat="Physical",FLOOR((FLOOR(((2*XLOOKUP(XLOOKUP($Q31,'Threshold Summary'!$Y:$Y,'Threshold Summary'!$K:$K,""),'Pokemon Editor'!$A:$A,'Pokemon Editor'!$F:$F,0)+31+FLOOR(XLOOKUP($Q31,'Threshold Summary'!$Y:$Y,'Threshold Summary'!$P:$P,"")/4))*XLOOKUP($Q31,'Threshold Summary'!$Y:$Y,'Threshold Summary'!$L:$L,""))/100)+5)*XLOOKUP(XLOOKUP($Q31,'Threshold Summary'!$Y:$Y,'Threshold Summary'!$M:$M,""),'Nature Editor'!$A:$A,'Nature Editor'!$B:$B,1)),FLOOR((FLOOR(((2*XLOOKUP(XLOOKUP($Q31,'Threshold Summary'!$Y:$Y,'Threshold Summary'!$K:$K,""),'Pokemon Editor'!$A:$A,'Pokemon Editor'!$H:$H,0)+31+FLOOR(XLOOKUP($Q31,'Threshold Summary'!$Y:$Y,'Threshold Summary'!$R:$R,"")/4))*XLOOKUP($Q31,'Threshold Summary'!$Y:$Y,'Threshold Summary'!$L:$L,""))/100)+5)*XLOOKUP(XLOOKUP($Q31,'Threshold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Editor'!$E:$E,1))),stab,IF(OR(mtype=XLOOKUP(XLOOKUP($Q31,'Threshold Summary'!$Y:$Y,'Threshold Summary'!$K:$K,""),'Pokemon Editor'!$A:$A,'Pokemon Editor'!$C:$C,""),mtype=XLOOKUP(XLOOKUP($Q31,'Threshold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Chart'!$B$1:$S$1,0)))),base,IF(OR(cat="Status",pow=0),0,FLOOR(FLOOR(FLOOR((2*XLOOKUP($Q31,'Threshold Summary'!$Y:$Y,'Threshold Summary'!$L:$L,"")/5+2)*pow*atk/def)/50)+2)),modifier,stab*eff,AVERAGE(ARRAYFORMULA(FLOOR(base*modifier*SEQUENCE(16,1,85,1)/100)))/(FLOOR(((2*XLOOKUP('Boss Editor'!$C$4,'Pokemon Editor'!$A:$A,'Pokemon Editor'!$E:$E,0)+31+FLOOR('Boss Editor'!$G$4/4))*'Boss Editor'!$D$4)/100)+'Boss Editor'!$D$4+10)),0)</f>
        <v/>
      </c>
      <c r="O31" s="3">
        <f>IF(N31&gt;=1,"OHKO",IF(N31&gt;=0.5,"2HKO",IF(N31&gt;=0.333,"3HKO",IF(N31&gt;=0.25,"4HKO","5HKO+"))))</f>
        <v/>
      </c>
      <c r="P31" s="3" t="inlineStr">
        <is>
          <t>Live from editable databases</t>
        </is>
      </c>
      <c r="Q31" s="3" t="inlineStr">
        <is>
          <t>SPECIES_PARAS</t>
        </is>
      </c>
      <c r="R31" s="3" t="n">
        <v>30</v>
      </c>
    </row>
    <row r="32">
      <c r="A32" s="3">
        <f>XLOOKUP($Q32,'Threshold Summary'!$Y:$Y,'Threshold Summary'!$A:$A,"")</f>
        <v/>
      </c>
      <c r="B32" s="3">
        <f>XLOOKUP($Q32,'Threshold Summary'!$Y:$Y,'Threshold Summary'!$M:$M,"")</f>
        <v/>
      </c>
      <c r="C32" s="3">
        <f>XLOOKUP($Q32,'Threshold Summary'!$Y:$Y,'Threshold Summary'!$N:$N,"")</f>
        <v/>
      </c>
      <c r="D32" s="3">
        <f>IFERROR(INDEX(FILTER('Learnset Editor'!$D$2:$D,'Learnset Editor'!$A$2:$A=XLOOKUP($Q32,'Threshold Summary'!$Y:$Y,'Threshold Summary'!$K:$K,""),'Learnset Editor'!$C$2:$C&lt;=XLOOKUP($Q32,'Threshold Summary'!$Y:$Y,'Threshold Summary'!$L:$L,"")),$R32),"")</f>
        <v/>
      </c>
      <c r="E32" s="3">
        <f>XLOOKUP(D32,'Move Editor'!$B:$B,'Move Editor'!$C:$C,"")</f>
        <v/>
      </c>
      <c r="F32" s="3">
        <f>XLOOKUP(D32,'Move Editor'!$B:$B,'Move Editor'!$D:$D,"")</f>
        <v/>
      </c>
      <c r="G32" s="3">
        <f>XLOOKUP(D32,'Move Editor'!$B:$B,'Move Editor'!$E:$E,0)</f>
        <v/>
      </c>
      <c r="H32" s="3">
        <f>XLOOKUP(D32,'Move Editor'!$B:$B,'Move Editor'!$F:$F,0)</f>
        <v/>
      </c>
      <c r="I32" s="3">
        <f>(INDEX('Type Chart'!$B:$S,MATCH(E32,'Type Chart'!$A:$A,0),MATCH(XLOOKUP('Boss Editor'!$C$4,'Pokemon Editor'!$A:$A,'Pokemon Editor'!$C:$C,""),'Type Chart'!$B$1:$S$1,0))*IF(XLOOKUP('Boss Editor'!$C$4,'Pokemon Editor'!$A:$A,'Pokemon Editor'!$D:$D,"")="",1,INDEX('Type Chart'!$B:$S,MATCH(E32,'Type Chart'!$A:$A,0),MATCH(XLOOKUP('Boss Editor'!$C$4,'Pokemon Editor'!$A:$A,'Pokemon Editor'!$D:$D,""),'Type Chart'!$B$1:$S$1,0))))</f>
        <v/>
      </c>
      <c r="J32" s="3">
        <f>IFERROR(LET(mtype,XLOOKUP($D32,'Move Editor'!$B:$B,'Move Editor'!$C:$C,""),cat,XLOOKUP($D32,'Move Editor'!$B:$B,'Move Editor'!$D:$D,""),pow,XLOOKUP($D32,'Move Editor'!$B:$B,'Move Editor'!$E:$E,0),acc,XLOOKUP($D32,'Move Editor'!$B:$B,'Move Editor'!$F:$F,100),atk,IF(cat="Physical",FLOOR((FLOOR(((2*XLOOKUP(XLOOKUP($Q32,'Threshold Summary'!$Y:$Y,'Threshold Summary'!$K:$K,""),'Pokemon Editor'!$A:$A,'Pokemon Editor'!$F:$F,0)+31+FLOOR(XLOOKUP($Q32,'Threshold Summary'!$Y:$Y,'Threshold Summary'!$P:$P,"")/4))*XLOOKUP($Q32,'Threshold Summary'!$Y:$Y,'Threshold Summary'!$L:$L,""))/100)+5)*XLOOKUP(XLOOKUP($Q32,'Threshold Summary'!$Y:$Y,'Threshold Summary'!$M:$M,""),'Nature Editor'!$A:$A,'Nature Editor'!$B:$B,1)),FLOOR((FLOOR(((2*XLOOKUP(XLOOKUP($Q32,'Threshold Summary'!$Y:$Y,'Threshold Summary'!$K:$K,""),'Pokemon Editor'!$A:$A,'Pokemon Editor'!$H:$H,0)+31+FLOOR(XLOOKUP($Q32,'Threshold Summary'!$Y:$Y,'Threshold Summary'!$R:$R,"")/4))*XLOOKUP($Q32,'Threshold Summary'!$Y:$Y,'Threshold Summary'!$L:$L,""))/100)+5)*XLOOKUP(XLOOKUP($Q32,'Threshold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Editor'!$E:$E,1))),stab,IF(OR(mtype=XLOOKUP(XLOOKUP($Q32,'Threshold Summary'!$Y:$Y,'Threshold Summary'!$K:$K,""),'Pokemon Editor'!$A:$A,'Pokemon Editor'!$C:$C,""),mtype=XLOOKUP(XLOOKUP($Q32,'Threshold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Chart'!$B$1:$S$1,0)))),base,IF(OR(cat="Status",pow=0),0,FLOOR(FLOOR(FLOOR((2*XLOOKUP($Q32,'Threshold Summary'!$Y:$Y,'Threshold Summary'!$L:$L,"")/5+2)*pow*atk/def)/50)+2)),modifier,stab*eff,FLOOR(base*modifier*0.85)),0)</f>
        <v/>
      </c>
      <c r="K32" s="3">
        <f>IFERROR(LET(mtype,XLOOKUP($D32,'Move Editor'!$B:$B,'Move Editor'!$C:$C,""),cat,XLOOKUP($D32,'Move Editor'!$B:$B,'Move Editor'!$D:$D,""),pow,XLOOKUP($D32,'Move Editor'!$B:$B,'Move Editor'!$E:$E,0),acc,XLOOKUP($D32,'Move Editor'!$B:$B,'Move Editor'!$F:$F,100),atk,IF(cat="Physical",FLOOR((FLOOR(((2*XLOOKUP(XLOOKUP($Q32,'Threshold Summary'!$Y:$Y,'Threshold Summary'!$K:$K,""),'Pokemon Editor'!$A:$A,'Pokemon Editor'!$F:$F,0)+31+FLOOR(XLOOKUP($Q32,'Threshold Summary'!$Y:$Y,'Threshold Summary'!$P:$P,"")/4))*XLOOKUP($Q32,'Threshold Summary'!$Y:$Y,'Threshold Summary'!$L:$L,""))/100)+5)*XLOOKUP(XLOOKUP($Q32,'Threshold Summary'!$Y:$Y,'Threshold Summary'!$M:$M,""),'Nature Editor'!$A:$A,'Nature Editor'!$B:$B,1)),FLOOR((FLOOR(((2*XLOOKUP(XLOOKUP($Q32,'Threshold Summary'!$Y:$Y,'Threshold Summary'!$K:$K,""),'Pokemon Editor'!$A:$A,'Pokemon Editor'!$H:$H,0)+31+FLOOR(XLOOKUP($Q32,'Threshold Summary'!$Y:$Y,'Threshold Summary'!$R:$R,"")/4))*XLOOKUP($Q32,'Threshold Summary'!$Y:$Y,'Threshold Summary'!$L:$L,""))/100)+5)*XLOOKUP(XLOOKUP($Q32,'Threshold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Editor'!$E:$E,1))),stab,IF(OR(mtype=XLOOKUP(XLOOKUP($Q32,'Threshold Summary'!$Y:$Y,'Threshold Summary'!$K:$K,""),'Pokemon Editor'!$A:$A,'Pokemon Editor'!$C:$C,""),mtype=XLOOKUP(XLOOKUP($Q32,'Threshold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Chart'!$B$1:$S$1,0)))),base,IF(OR(cat="Status",pow=0),0,FLOOR(FLOOR(FLOOR((2*XLOOKUP($Q32,'Threshold Summary'!$Y:$Y,'Threshold Summary'!$L:$L,"")/5+2)*pow*atk/def)/50)+2)),modifier,stab*eff,FLOOR(base*modifier)),0)</f>
        <v/>
      </c>
      <c r="L32" s="3">
        <f>IFERROR(LET(mtype,XLOOKUP($D32,'Move Editor'!$B:$B,'Move Editor'!$C:$C,""),cat,XLOOKUP($D32,'Move Editor'!$B:$B,'Move Editor'!$D:$D,""),pow,XLOOKUP($D32,'Move Editor'!$B:$B,'Move Editor'!$E:$E,0),acc,XLOOKUP($D32,'Move Editor'!$B:$B,'Move Editor'!$F:$F,100),atk,IF(cat="Physical",FLOOR((FLOOR(((2*XLOOKUP(XLOOKUP($Q32,'Threshold Summary'!$Y:$Y,'Threshold Summary'!$K:$K,""),'Pokemon Editor'!$A:$A,'Pokemon Editor'!$F:$F,0)+31+FLOOR(XLOOKUP($Q32,'Threshold Summary'!$Y:$Y,'Threshold Summary'!$P:$P,"")/4))*XLOOKUP($Q32,'Threshold Summary'!$Y:$Y,'Threshold Summary'!$L:$L,""))/100)+5)*XLOOKUP(XLOOKUP($Q32,'Threshold Summary'!$Y:$Y,'Threshold Summary'!$M:$M,""),'Nature Editor'!$A:$A,'Nature Editor'!$B:$B,1)),FLOOR((FLOOR(((2*XLOOKUP(XLOOKUP($Q32,'Threshold Summary'!$Y:$Y,'Threshold Summary'!$K:$K,""),'Pokemon Editor'!$A:$A,'Pokemon Editor'!$H:$H,0)+31+FLOOR(XLOOKUP($Q32,'Threshold Summary'!$Y:$Y,'Threshold Summary'!$R:$R,"")/4))*XLOOKUP($Q32,'Threshold Summary'!$Y:$Y,'Threshold Summary'!$L:$L,""))/100)+5)*XLOOKUP(XLOOKUP($Q32,'Threshold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Editor'!$E:$E,1))),stab,IF(OR(mtype=XLOOKUP(XLOOKUP($Q32,'Threshold Summary'!$Y:$Y,'Threshold Summary'!$K:$K,""),'Pokemon Editor'!$A:$A,'Pokemon Editor'!$C:$C,""),mtype=XLOOKUP(XLOOKUP($Q32,'Threshold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Chart'!$B$1:$S$1,0)))),base,IF(OR(cat="Status",pow=0),0,FLOOR(FLOOR(FLOOR((2*XLOOKUP($Q32,'Threshold Summary'!$Y:$Y,'Threshold Summary'!$L:$L,"")/5+2)*pow*atk/def)/50)+2)),modifier,stab*eff,AVERAGE(ARRAYFORMULA(FLOOR(base*modifier*SEQUENCE(16,1,85,1)/100)))),0)</f>
        <v/>
      </c>
      <c r="M32" s="3">
        <f>IFERROR(LET(mtype,XLOOKUP($D32,'Move Editor'!$B:$B,'Move Editor'!$C:$C,""),cat,XLOOKUP($D32,'Move Editor'!$B:$B,'Move Editor'!$D:$D,""),pow,XLOOKUP($D32,'Move Editor'!$B:$B,'Move Editor'!$E:$E,0),acc,XLOOKUP($D32,'Move Editor'!$B:$B,'Move Editor'!$F:$F,100),atk,IF(cat="Physical",FLOOR((FLOOR(((2*XLOOKUP(XLOOKUP($Q32,'Threshold Summary'!$Y:$Y,'Threshold Summary'!$K:$K,""),'Pokemon Editor'!$A:$A,'Pokemon Editor'!$F:$F,0)+31+FLOOR(XLOOKUP($Q32,'Threshold Summary'!$Y:$Y,'Threshold Summary'!$P:$P,"")/4))*XLOOKUP($Q32,'Threshold Summary'!$Y:$Y,'Threshold Summary'!$L:$L,""))/100)+5)*XLOOKUP(XLOOKUP($Q32,'Threshold Summary'!$Y:$Y,'Threshold Summary'!$M:$M,""),'Nature Editor'!$A:$A,'Nature Editor'!$B:$B,1)),FLOOR((FLOOR(((2*XLOOKUP(XLOOKUP($Q32,'Threshold Summary'!$Y:$Y,'Threshold Summary'!$K:$K,""),'Pokemon Editor'!$A:$A,'Pokemon Editor'!$H:$H,0)+31+FLOOR(XLOOKUP($Q32,'Threshold Summary'!$Y:$Y,'Threshold Summary'!$R:$R,"")/4))*XLOOKUP($Q32,'Threshold Summary'!$Y:$Y,'Threshold Summary'!$L:$L,""))/100)+5)*XLOOKUP(XLOOKUP($Q32,'Threshold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Editor'!$E:$E,1))),stab,IF(OR(mtype=XLOOKUP(XLOOKUP($Q32,'Threshold Summary'!$Y:$Y,'Threshold Summary'!$K:$K,""),'Pokemon Editor'!$A:$A,'Pokemon Editor'!$C:$C,""),mtype=XLOOKUP(XLOOKUP($Q32,'Threshold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Chart'!$B$1:$S$1,0)))),base,IF(OR(cat="Status",pow=0),0,FLOOR(FLOOR(FLOOR((2*XLOOKUP($Q32,'Threshold Summary'!$Y:$Y,'Threshold Summary'!$L:$L,"")/5+2)*pow*atk/def)/50)+2)),modifier,stab*eff,AVERAGE(ARRAYFORMULA(FLOOR(base*modifier*SEQUENCE(16,1,85,1)/100)))*MIN(1,acc/100)),0)</f>
        <v/>
      </c>
      <c r="N32" s="4">
        <f>IFERROR(LET(mtype,XLOOKUP($D32,'Move Editor'!$B:$B,'Move Editor'!$C:$C,""),cat,XLOOKUP($D32,'Move Editor'!$B:$B,'Move Editor'!$D:$D,""),pow,XLOOKUP($D32,'Move Editor'!$B:$B,'Move Editor'!$E:$E,0),acc,XLOOKUP($D32,'Move Editor'!$B:$B,'Move Editor'!$F:$F,100),atk,IF(cat="Physical",FLOOR((FLOOR(((2*XLOOKUP(XLOOKUP($Q32,'Threshold Summary'!$Y:$Y,'Threshold Summary'!$K:$K,""),'Pokemon Editor'!$A:$A,'Pokemon Editor'!$F:$F,0)+31+FLOOR(XLOOKUP($Q32,'Threshold Summary'!$Y:$Y,'Threshold Summary'!$P:$P,"")/4))*XLOOKUP($Q32,'Threshold Summary'!$Y:$Y,'Threshold Summary'!$L:$L,""))/100)+5)*XLOOKUP(XLOOKUP($Q32,'Threshold Summary'!$Y:$Y,'Threshold Summary'!$M:$M,""),'Nature Editor'!$A:$A,'Nature Editor'!$B:$B,1)),FLOOR((FLOOR(((2*XLOOKUP(XLOOKUP($Q32,'Threshold Summary'!$Y:$Y,'Threshold Summary'!$K:$K,""),'Pokemon Editor'!$A:$A,'Pokemon Editor'!$H:$H,0)+31+FLOOR(XLOOKUP($Q32,'Threshold Summary'!$Y:$Y,'Threshold Summary'!$R:$R,"")/4))*XLOOKUP($Q32,'Threshold Summary'!$Y:$Y,'Threshold Summary'!$L:$L,""))/100)+5)*XLOOKUP(XLOOKUP($Q32,'Threshold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Editor'!$E:$E,1))),stab,IF(OR(mtype=XLOOKUP(XLOOKUP($Q32,'Threshold Summary'!$Y:$Y,'Threshold Summary'!$K:$K,""),'Pokemon Editor'!$A:$A,'Pokemon Editor'!$C:$C,""),mtype=XLOOKUP(XLOOKUP($Q32,'Threshold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Chart'!$B$1:$S$1,0)))),base,IF(OR(cat="Status",pow=0),0,FLOOR(FLOOR(FLOOR((2*XLOOKUP($Q32,'Threshold Summary'!$Y:$Y,'Threshold Summary'!$L:$L,"")/5+2)*pow*atk/def)/50)+2)),modifier,stab*eff,AVERAGE(ARRAYFORMULA(FLOOR(base*modifier*SEQUENCE(16,1,85,1)/100)))/(FLOOR(((2*XLOOKUP('Boss Editor'!$C$4,'Pokemon Editor'!$A:$A,'Pokemon Editor'!$E:$E,0)+31+FLOOR('Boss Editor'!$G$4/4))*'Boss Editor'!$D$4)/100)+'Boss Editor'!$D$4+10)),0)</f>
        <v/>
      </c>
      <c r="O32" s="3">
        <f>IF(N32&gt;=1,"OHKO",IF(N32&gt;=0.5,"2HKO",IF(N32&gt;=0.333,"3HKO",IF(N32&gt;=0.25,"4HKO","5HKO+"))))</f>
        <v/>
      </c>
      <c r="P32" s="3" t="inlineStr">
        <is>
          <t>Live from editable databases</t>
        </is>
      </c>
      <c r="Q32" s="3" t="inlineStr">
        <is>
          <t>SPECIES_PARAS</t>
        </is>
      </c>
      <c r="R32" s="3" t="n">
        <v>31</v>
      </c>
    </row>
    <row r="33">
      <c r="A33" s="3">
        <f>XLOOKUP($Q33,'Threshold Summary'!$Y:$Y,'Threshold Summary'!$A:$A,"")</f>
        <v/>
      </c>
      <c r="B33" s="3">
        <f>XLOOKUP($Q33,'Threshold Summary'!$Y:$Y,'Threshold Summary'!$M:$M,"")</f>
        <v/>
      </c>
      <c r="C33" s="3">
        <f>XLOOKUP($Q33,'Threshold Summary'!$Y:$Y,'Threshold Summary'!$N:$N,"")</f>
        <v/>
      </c>
      <c r="D33" s="3">
        <f>IFERROR(INDEX(FILTER('Learnset Editor'!$D$2:$D,'Learnset Editor'!$A$2:$A=XLOOKUP($Q33,'Threshold Summary'!$Y:$Y,'Threshold Summary'!$K:$K,""),'Learnset Editor'!$C$2:$C&lt;=XLOOKUP($Q33,'Threshold Summary'!$Y:$Y,'Threshold Summary'!$L:$L,"")),$R33),"")</f>
        <v/>
      </c>
      <c r="E33" s="3">
        <f>XLOOKUP(D33,'Move Editor'!$B:$B,'Move Editor'!$C:$C,"")</f>
        <v/>
      </c>
      <c r="F33" s="3">
        <f>XLOOKUP(D33,'Move Editor'!$B:$B,'Move Editor'!$D:$D,"")</f>
        <v/>
      </c>
      <c r="G33" s="3">
        <f>XLOOKUP(D33,'Move Editor'!$B:$B,'Move Editor'!$E:$E,0)</f>
        <v/>
      </c>
      <c r="H33" s="3">
        <f>XLOOKUP(D33,'Move Editor'!$B:$B,'Move Editor'!$F:$F,0)</f>
        <v/>
      </c>
      <c r="I33" s="3">
        <f>(INDEX('Type Chart'!$B:$S,MATCH(E33,'Type Chart'!$A:$A,0),MATCH(XLOOKUP('Boss Editor'!$C$4,'Pokemon Editor'!$A:$A,'Pokemon Editor'!$C:$C,""),'Type Chart'!$B$1:$S$1,0))*IF(XLOOKUP('Boss Editor'!$C$4,'Pokemon Editor'!$A:$A,'Pokemon Editor'!$D:$D,"")="",1,INDEX('Type Chart'!$B:$S,MATCH(E33,'Type Chart'!$A:$A,0),MATCH(XLOOKUP('Boss Editor'!$C$4,'Pokemon Editor'!$A:$A,'Pokemon Editor'!$D:$D,""),'Type Chart'!$B$1:$S$1,0))))</f>
        <v/>
      </c>
      <c r="J33" s="3">
        <f>IFERROR(LET(mtype,XLOOKUP($D33,'Move Editor'!$B:$B,'Move Editor'!$C:$C,""),cat,XLOOKUP($D33,'Move Editor'!$B:$B,'Move Editor'!$D:$D,""),pow,XLOOKUP($D33,'Move Editor'!$B:$B,'Move Editor'!$E:$E,0),acc,XLOOKUP($D33,'Move Editor'!$B:$B,'Move Editor'!$F:$F,100),atk,IF(cat="Physical",FLOOR((FLOOR(((2*XLOOKUP(XLOOKUP($Q33,'Threshold Summary'!$Y:$Y,'Threshold Summary'!$K:$K,""),'Pokemon Editor'!$A:$A,'Pokemon Editor'!$F:$F,0)+31+FLOOR(XLOOKUP($Q33,'Threshold Summary'!$Y:$Y,'Threshold Summary'!$P:$P,"")/4))*XLOOKUP($Q33,'Threshold Summary'!$Y:$Y,'Threshold Summary'!$L:$L,""))/100)+5)*XLOOKUP(XLOOKUP($Q33,'Threshold Summary'!$Y:$Y,'Threshold Summary'!$M:$M,""),'Nature Editor'!$A:$A,'Nature Editor'!$B:$B,1)),FLOOR((FLOOR(((2*XLOOKUP(XLOOKUP($Q33,'Threshold Summary'!$Y:$Y,'Threshold Summary'!$K:$K,""),'Pokemon Editor'!$A:$A,'Pokemon Editor'!$H:$H,0)+31+FLOOR(XLOOKUP($Q33,'Threshold Summary'!$Y:$Y,'Threshold Summary'!$R:$R,"")/4))*XLOOKUP($Q33,'Threshold Summary'!$Y:$Y,'Threshold Summary'!$L:$L,""))/100)+5)*XLOOKUP(XLOOKUP($Q33,'Threshold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Editor'!$E:$E,1))),stab,IF(OR(mtype=XLOOKUP(XLOOKUP($Q33,'Threshold Summary'!$Y:$Y,'Threshold Summary'!$K:$K,""),'Pokemon Editor'!$A:$A,'Pokemon Editor'!$C:$C,""),mtype=XLOOKUP(XLOOKUP($Q33,'Threshold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Chart'!$B$1:$S$1,0)))),base,IF(OR(cat="Status",pow=0),0,FLOOR(FLOOR(FLOOR((2*XLOOKUP($Q33,'Threshold Summary'!$Y:$Y,'Threshold Summary'!$L:$L,"")/5+2)*pow*atk/def)/50)+2)),modifier,stab*eff,FLOOR(base*modifier*0.85)),0)</f>
        <v/>
      </c>
      <c r="K33" s="3">
        <f>IFERROR(LET(mtype,XLOOKUP($D33,'Move Editor'!$B:$B,'Move Editor'!$C:$C,""),cat,XLOOKUP($D33,'Move Editor'!$B:$B,'Move Editor'!$D:$D,""),pow,XLOOKUP($D33,'Move Editor'!$B:$B,'Move Editor'!$E:$E,0),acc,XLOOKUP($D33,'Move Editor'!$B:$B,'Move Editor'!$F:$F,100),atk,IF(cat="Physical",FLOOR((FLOOR(((2*XLOOKUP(XLOOKUP($Q33,'Threshold Summary'!$Y:$Y,'Threshold Summary'!$K:$K,""),'Pokemon Editor'!$A:$A,'Pokemon Editor'!$F:$F,0)+31+FLOOR(XLOOKUP($Q33,'Threshold Summary'!$Y:$Y,'Threshold Summary'!$P:$P,"")/4))*XLOOKUP($Q33,'Threshold Summary'!$Y:$Y,'Threshold Summary'!$L:$L,""))/100)+5)*XLOOKUP(XLOOKUP($Q33,'Threshold Summary'!$Y:$Y,'Threshold Summary'!$M:$M,""),'Nature Editor'!$A:$A,'Nature Editor'!$B:$B,1)),FLOOR((FLOOR(((2*XLOOKUP(XLOOKUP($Q33,'Threshold Summary'!$Y:$Y,'Threshold Summary'!$K:$K,""),'Pokemon Editor'!$A:$A,'Pokemon Editor'!$H:$H,0)+31+FLOOR(XLOOKUP($Q33,'Threshold Summary'!$Y:$Y,'Threshold Summary'!$R:$R,"")/4))*XLOOKUP($Q33,'Threshold Summary'!$Y:$Y,'Threshold Summary'!$L:$L,""))/100)+5)*XLOOKUP(XLOOKUP($Q33,'Threshold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Editor'!$E:$E,1))),stab,IF(OR(mtype=XLOOKUP(XLOOKUP($Q33,'Threshold Summary'!$Y:$Y,'Threshold Summary'!$K:$K,""),'Pokemon Editor'!$A:$A,'Pokemon Editor'!$C:$C,""),mtype=XLOOKUP(XLOOKUP($Q33,'Threshold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Chart'!$B$1:$S$1,0)))),base,IF(OR(cat="Status",pow=0),0,FLOOR(FLOOR(FLOOR((2*XLOOKUP($Q33,'Threshold Summary'!$Y:$Y,'Threshold Summary'!$L:$L,"")/5+2)*pow*atk/def)/50)+2)),modifier,stab*eff,FLOOR(base*modifier)),0)</f>
        <v/>
      </c>
      <c r="L33" s="3">
        <f>IFERROR(LET(mtype,XLOOKUP($D33,'Move Editor'!$B:$B,'Move Editor'!$C:$C,""),cat,XLOOKUP($D33,'Move Editor'!$B:$B,'Move Editor'!$D:$D,""),pow,XLOOKUP($D33,'Move Editor'!$B:$B,'Move Editor'!$E:$E,0),acc,XLOOKUP($D33,'Move Editor'!$B:$B,'Move Editor'!$F:$F,100),atk,IF(cat="Physical",FLOOR((FLOOR(((2*XLOOKUP(XLOOKUP($Q33,'Threshold Summary'!$Y:$Y,'Threshold Summary'!$K:$K,""),'Pokemon Editor'!$A:$A,'Pokemon Editor'!$F:$F,0)+31+FLOOR(XLOOKUP($Q33,'Threshold Summary'!$Y:$Y,'Threshold Summary'!$P:$P,"")/4))*XLOOKUP($Q33,'Threshold Summary'!$Y:$Y,'Threshold Summary'!$L:$L,""))/100)+5)*XLOOKUP(XLOOKUP($Q33,'Threshold Summary'!$Y:$Y,'Threshold Summary'!$M:$M,""),'Nature Editor'!$A:$A,'Nature Editor'!$B:$B,1)),FLOOR((FLOOR(((2*XLOOKUP(XLOOKUP($Q33,'Threshold Summary'!$Y:$Y,'Threshold Summary'!$K:$K,""),'Pokemon Editor'!$A:$A,'Pokemon Editor'!$H:$H,0)+31+FLOOR(XLOOKUP($Q33,'Threshold Summary'!$Y:$Y,'Threshold Summary'!$R:$R,"")/4))*XLOOKUP($Q33,'Threshold Summary'!$Y:$Y,'Threshold Summary'!$L:$L,""))/100)+5)*XLOOKUP(XLOOKUP($Q33,'Threshold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Editor'!$E:$E,1))),stab,IF(OR(mtype=XLOOKUP(XLOOKUP($Q33,'Threshold Summary'!$Y:$Y,'Threshold Summary'!$K:$K,""),'Pokemon Editor'!$A:$A,'Pokemon Editor'!$C:$C,""),mtype=XLOOKUP(XLOOKUP($Q33,'Threshold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Chart'!$B$1:$S$1,0)))),base,IF(OR(cat="Status",pow=0),0,FLOOR(FLOOR(FLOOR((2*XLOOKUP($Q33,'Threshold Summary'!$Y:$Y,'Threshold Summary'!$L:$L,"")/5+2)*pow*atk/def)/50)+2)),modifier,stab*eff,AVERAGE(ARRAYFORMULA(FLOOR(base*modifier*SEQUENCE(16,1,85,1)/100)))),0)</f>
        <v/>
      </c>
      <c r="M33" s="3">
        <f>IFERROR(LET(mtype,XLOOKUP($D33,'Move Editor'!$B:$B,'Move Editor'!$C:$C,""),cat,XLOOKUP($D33,'Move Editor'!$B:$B,'Move Editor'!$D:$D,""),pow,XLOOKUP($D33,'Move Editor'!$B:$B,'Move Editor'!$E:$E,0),acc,XLOOKUP($D33,'Move Editor'!$B:$B,'Move Editor'!$F:$F,100),atk,IF(cat="Physical",FLOOR((FLOOR(((2*XLOOKUP(XLOOKUP($Q33,'Threshold Summary'!$Y:$Y,'Threshold Summary'!$K:$K,""),'Pokemon Editor'!$A:$A,'Pokemon Editor'!$F:$F,0)+31+FLOOR(XLOOKUP($Q33,'Threshold Summary'!$Y:$Y,'Threshold Summary'!$P:$P,"")/4))*XLOOKUP($Q33,'Threshold Summary'!$Y:$Y,'Threshold Summary'!$L:$L,""))/100)+5)*XLOOKUP(XLOOKUP($Q33,'Threshold Summary'!$Y:$Y,'Threshold Summary'!$M:$M,""),'Nature Editor'!$A:$A,'Nature Editor'!$B:$B,1)),FLOOR((FLOOR(((2*XLOOKUP(XLOOKUP($Q33,'Threshold Summary'!$Y:$Y,'Threshold Summary'!$K:$K,""),'Pokemon Editor'!$A:$A,'Pokemon Editor'!$H:$H,0)+31+FLOOR(XLOOKUP($Q33,'Threshold Summary'!$Y:$Y,'Threshold Summary'!$R:$R,"")/4))*XLOOKUP($Q33,'Threshold Summary'!$Y:$Y,'Threshold Summary'!$L:$L,""))/100)+5)*XLOOKUP(XLOOKUP($Q33,'Threshold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Editor'!$E:$E,1))),stab,IF(OR(mtype=XLOOKUP(XLOOKUP($Q33,'Threshold Summary'!$Y:$Y,'Threshold Summary'!$K:$K,""),'Pokemon Editor'!$A:$A,'Pokemon Editor'!$C:$C,""),mtype=XLOOKUP(XLOOKUP($Q33,'Threshold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Chart'!$B$1:$S$1,0)))),base,IF(OR(cat="Status",pow=0),0,FLOOR(FLOOR(FLOOR((2*XLOOKUP($Q33,'Threshold Summary'!$Y:$Y,'Threshold Summary'!$L:$L,"")/5+2)*pow*atk/def)/50)+2)),modifier,stab*eff,AVERAGE(ARRAYFORMULA(FLOOR(base*modifier*SEQUENCE(16,1,85,1)/100)))*MIN(1,acc/100)),0)</f>
        <v/>
      </c>
      <c r="N33" s="4">
        <f>IFERROR(LET(mtype,XLOOKUP($D33,'Move Editor'!$B:$B,'Move Editor'!$C:$C,""),cat,XLOOKUP($D33,'Move Editor'!$B:$B,'Move Editor'!$D:$D,""),pow,XLOOKUP($D33,'Move Editor'!$B:$B,'Move Editor'!$E:$E,0),acc,XLOOKUP($D33,'Move Editor'!$B:$B,'Move Editor'!$F:$F,100),atk,IF(cat="Physical",FLOOR((FLOOR(((2*XLOOKUP(XLOOKUP($Q33,'Threshold Summary'!$Y:$Y,'Threshold Summary'!$K:$K,""),'Pokemon Editor'!$A:$A,'Pokemon Editor'!$F:$F,0)+31+FLOOR(XLOOKUP($Q33,'Threshold Summary'!$Y:$Y,'Threshold Summary'!$P:$P,"")/4))*XLOOKUP($Q33,'Threshold Summary'!$Y:$Y,'Threshold Summary'!$L:$L,""))/100)+5)*XLOOKUP(XLOOKUP($Q33,'Threshold Summary'!$Y:$Y,'Threshold Summary'!$M:$M,""),'Nature Editor'!$A:$A,'Nature Editor'!$B:$B,1)),FLOOR((FLOOR(((2*XLOOKUP(XLOOKUP($Q33,'Threshold Summary'!$Y:$Y,'Threshold Summary'!$K:$K,""),'Pokemon Editor'!$A:$A,'Pokemon Editor'!$H:$H,0)+31+FLOOR(XLOOKUP($Q33,'Threshold Summary'!$Y:$Y,'Threshold Summary'!$R:$R,"")/4))*XLOOKUP($Q33,'Threshold Summary'!$Y:$Y,'Threshold Summary'!$L:$L,""))/100)+5)*XLOOKUP(XLOOKUP($Q33,'Threshold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Editor'!$E:$E,1))),stab,IF(OR(mtype=XLOOKUP(XLOOKUP($Q33,'Threshold Summary'!$Y:$Y,'Threshold Summary'!$K:$K,""),'Pokemon Editor'!$A:$A,'Pokemon Editor'!$C:$C,""),mtype=XLOOKUP(XLOOKUP($Q33,'Threshold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Chart'!$B$1:$S$1,0)))),base,IF(OR(cat="Status",pow=0),0,FLOOR(FLOOR(FLOOR((2*XLOOKUP($Q33,'Threshold Summary'!$Y:$Y,'Threshold Summary'!$L:$L,"")/5+2)*pow*atk/def)/50)+2)),modifier,stab*eff,AVERAGE(ARRAYFORMULA(FLOOR(base*modifier*SEQUENCE(16,1,85,1)/100)))/(FLOOR(((2*XLOOKUP('Boss Editor'!$C$4,'Pokemon Editor'!$A:$A,'Pokemon Editor'!$E:$E,0)+31+FLOOR('Boss Editor'!$G$4/4))*'Boss Editor'!$D$4)/100)+'Boss Editor'!$D$4+10)),0)</f>
        <v/>
      </c>
      <c r="O33" s="3">
        <f>IF(N33&gt;=1,"OHKO",IF(N33&gt;=0.5,"2HKO",IF(N33&gt;=0.333,"3HKO",IF(N33&gt;=0.25,"4HKO","5HKO+"))))</f>
        <v/>
      </c>
      <c r="P33" s="3" t="inlineStr">
        <is>
          <t>Live from editable databases</t>
        </is>
      </c>
      <c r="Q33" s="3" t="inlineStr">
        <is>
          <t>SPECIES_PARAS</t>
        </is>
      </c>
      <c r="R33" s="3" t="n">
        <v>32</v>
      </c>
    </row>
    <row r="34">
      <c r="A34" s="3">
        <f>XLOOKUP($Q34,'Threshold Summary'!$Y:$Y,'Threshold Summary'!$A:$A,"")</f>
        <v/>
      </c>
      <c r="B34" s="3">
        <f>XLOOKUP($Q34,'Threshold Summary'!$Y:$Y,'Threshold Summary'!$M:$M,"")</f>
        <v/>
      </c>
      <c r="C34" s="3">
        <f>XLOOKUP($Q34,'Threshold Summary'!$Y:$Y,'Threshold Summary'!$N:$N,"")</f>
        <v/>
      </c>
      <c r="D34" s="3">
        <f>IFERROR(INDEX(FILTER('Learnset Editor'!$D$2:$D,'Learnset Editor'!$A$2:$A=XLOOKUP($Q34,'Threshold Summary'!$Y:$Y,'Threshold Summary'!$K:$K,""),'Learnset Editor'!$C$2:$C&lt;=XLOOKUP($Q34,'Threshold Summary'!$Y:$Y,'Threshold Summary'!$L:$L,"")),$R34),"")</f>
        <v/>
      </c>
      <c r="E34" s="3">
        <f>XLOOKUP(D34,'Move Editor'!$B:$B,'Move Editor'!$C:$C,"")</f>
        <v/>
      </c>
      <c r="F34" s="3">
        <f>XLOOKUP(D34,'Move Editor'!$B:$B,'Move Editor'!$D:$D,"")</f>
        <v/>
      </c>
      <c r="G34" s="3">
        <f>XLOOKUP(D34,'Move Editor'!$B:$B,'Move Editor'!$E:$E,0)</f>
        <v/>
      </c>
      <c r="H34" s="3">
        <f>XLOOKUP(D34,'Move Editor'!$B:$B,'Move Editor'!$F:$F,0)</f>
        <v/>
      </c>
      <c r="I34" s="3">
        <f>(INDEX('Type Chart'!$B:$S,MATCH(E34,'Type Chart'!$A:$A,0),MATCH(XLOOKUP('Boss Editor'!$C$4,'Pokemon Editor'!$A:$A,'Pokemon Editor'!$C:$C,""),'Type Chart'!$B$1:$S$1,0))*IF(XLOOKUP('Boss Editor'!$C$4,'Pokemon Editor'!$A:$A,'Pokemon Editor'!$D:$D,"")="",1,INDEX('Type Chart'!$B:$S,MATCH(E34,'Type Chart'!$A:$A,0),MATCH(XLOOKUP('Boss Editor'!$C$4,'Pokemon Editor'!$A:$A,'Pokemon Editor'!$D:$D,""),'Type Chart'!$B$1:$S$1,0))))</f>
        <v/>
      </c>
      <c r="J34" s="3">
        <f>IFERROR(LET(mtype,XLOOKUP($D34,'Move Editor'!$B:$B,'Move Editor'!$C:$C,""),cat,XLOOKUP($D34,'Move Editor'!$B:$B,'Move Editor'!$D:$D,""),pow,XLOOKUP($D34,'Move Editor'!$B:$B,'Move Editor'!$E:$E,0),acc,XLOOKUP($D34,'Move Editor'!$B:$B,'Move Editor'!$F:$F,100),atk,IF(cat="Physical",FLOOR((FLOOR(((2*XLOOKUP(XLOOKUP($Q34,'Threshold Summary'!$Y:$Y,'Threshold Summary'!$K:$K,""),'Pokemon Editor'!$A:$A,'Pokemon Editor'!$F:$F,0)+31+FLOOR(XLOOKUP($Q34,'Threshold Summary'!$Y:$Y,'Threshold Summary'!$P:$P,"")/4))*XLOOKUP($Q34,'Threshold Summary'!$Y:$Y,'Threshold Summary'!$L:$L,""))/100)+5)*XLOOKUP(XLOOKUP($Q34,'Threshold Summary'!$Y:$Y,'Threshold Summary'!$M:$M,""),'Nature Editor'!$A:$A,'Nature Editor'!$B:$B,1)),FLOOR((FLOOR(((2*XLOOKUP(XLOOKUP($Q34,'Threshold Summary'!$Y:$Y,'Threshold Summary'!$K:$K,""),'Pokemon Editor'!$A:$A,'Pokemon Editor'!$H:$H,0)+31+FLOOR(XLOOKUP($Q34,'Threshold Summary'!$Y:$Y,'Threshold Summary'!$R:$R,"")/4))*XLOOKUP($Q34,'Threshold Summary'!$Y:$Y,'Threshold Summary'!$L:$L,""))/100)+5)*XLOOKUP(XLOOKUP($Q34,'Threshold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Editor'!$E:$E,1))),stab,IF(OR(mtype=XLOOKUP(XLOOKUP($Q34,'Threshold Summary'!$Y:$Y,'Threshold Summary'!$K:$K,""),'Pokemon Editor'!$A:$A,'Pokemon Editor'!$C:$C,""),mtype=XLOOKUP(XLOOKUP($Q34,'Threshold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Chart'!$B$1:$S$1,0)))),base,IF(OR(cat="Status",pow=0),0,FLOOR(FLOOR(FLOOR((2*XLOOKUP($Q34,'Threshold Summary'!$Y:$Y,'Threshold Summary'!$L:$L,"")/5+2)*pow*atk/def)/50)+2)),modifier,stab*eff,FLOOR(base*modifier*0.85)),0)</f>
        <v/>
      </c>
      <c r="K34" s="3">
        <f>IFERROR(LET(mtype,XLOOKUP($D34,'Move Editor'!$B:$B,'Move Editor'!$C:$C,""),cat,XLOOKUP($D34,'Move Editor'!$B:$B,'Move Editor'!$D:$D,""),pow,XLOOKUP($D34,'Move Editor'!$B:$B,'Move Editor'!$E:$E,0),acc,XLOOKUP($D34,'Move Editor'!$B:$B,'Move Editor'!$F:$F,100),atk,IF(cat="Physical",FLOOR((FLOOR(((2*XLOOKUP(XLOOKUP($Q34,'Threshold Summary'!$Y:$Y,'Threshold Summary'!$K:$K,""),'Pokemon Editor'!$A:$A,'Pokemon Editor'!$F:$F,0)+31+FLOOR(XLOOKUP($Q34,'Threshold Summary'!$Y:$Y,'Threshold Summary'!$P:$P,"")/4))*XLOOKUP($Q34,'Threshold Summary'!$Y:$Y,'Threshold Summary'!$L:$L,""))/100)+5)*XLOOKUP(XLOOKUP($Q34,'Threshold Summary'!$Y:$Y,'Threshold Summary'!$M:$M,""),'Nature Editor'!$A:$A,'Nature Editor'!$B:$B,1)),FLOOR((FLOOR(((2*XLOOKUP(XLOOKUP($Q34,'Threshold Summary'!$Y:$Y,'Threshold Summary'!$K:$K,""),'Pokemon Editor'!$A:$A,'Pokemon Editor'!$H:$H,0)+31+FLOOR(XLOOKUP($Q34,'Threshold Summary'!$Y:$Y,'Threshold Summary'!$R:$R,"")/4))*XLOOKUP($Q34,'Threshold Summary'!$Y:$Y,'Threshold Summary'!$L:$L,""))/100)+5)*XLOOKUP(XLOOKUP($Q34,'Threshold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Editor'!$E:$E,1))),stab,IF(OR(mtype=XLOOKUP(XLOOKUP($Q34,'Threshold Summary'!$Y:$Y,'Threshold Summary'!$K:$K,""),'Pokemon Editor'!$A:$A,'Pokemon Editor'!$C:$C,""),mtype=XLOOKUP(XLOOKUP($Q34,'Threshold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Chart'!$B$1:$S$1,0)))),base,IF(OR(cat="Status",pow=0),0,FLOOR(FLOOR(FLOOR((2*XLOOKUP($Q34,'Threshold Summary'!$Y:$Y,'Threshold Summary'!$L:$L,"")/5+2)*pow*atk/def)/50)+2)),modifier,stab*eff,FLOOR(base*modifier)),0)</f>
        <v/>
      </c>
      <c r="L34" s="3">
        <f>IFERROR(LET(mtype,XLOOKUP($D34,'Move Editor'!$B:$B,'Move Editor'!$C:$C,""),cat,XLOOKUP($D34,'Move Editor'!$B:$B,'Move Editor'!$D:$D,""),pow,XLOOKUP($D34,'Move Editor'!$B:$B,'Move Editor'!$E:$E,0),acc,XLOOKUP($D34,'Move Editor'!$B:$B,'Move Editor'!$F:$F,100),atk,IF(cat="Physical",FLOOR((FLOOR(((2*XLOOKUP(XLOOKUP($Q34,'Threshold Summary'!$Y:$Y,'Threshold Summary'!$K:$K,""),'Pokemon Editor'!$A:$A,'Pokemon Editor'!$F:$F,0)+31+FLOOR(XLOOKUP($Q34,'Threshold Summary'!$Y:$Y,'Threshold Summary'!$P:$P,"")/4))*XLOOKUP($Q34,'Threshold Summary'!$Y:$Y,'Threshold Summary'!$L:$L,""))/100)+5)*XLOOKUP(XLOOKUP($Q34,'Threshold Summary'!$Y:$Y,'Threshold Summary'!$M:$M,""),'Nature Editor'!$A:$A,'Nature Editor'!$B:$B,1)),FLOOR((FLOOR(((2*XLOOKUP(XLOOKUP($Q34,'Threshold Summary'!$Y:$Y,'Threshold Summary'!$K:$K,""),'Pokemon Editor'!$A:$A,'Pokemon Editor'!$H:$H,0)+31+FLOOR(XLOOKUP($Q34,'Threshold Summary'!$Y:$Y,'Threshold Summary'!$R:$R,"")/4))*XLOOKUP($Q34,'Threshold Summary'!$Y:$Y,'Threshold Summary'!$L:$L,""))/100)+5)*XLOOKUP(XLOOKUP($Q34,'Threshold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Editor'!$E:$E,1))),stab,IF(OR(mtype=XLOOKUP(XLOOKUP($Q34,'Threshold Summary'!$Y:$Y,'Threshold Summary'!$K:$K,""),'Pokemon Editor'!$A:$A,'Pokemon Editor'!$C:$C,""),mtype=XLOOKUP(XLOOKUP($Q34,'Threshold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Chart'!$B$1:$S$1,0)))),base,IF(OR(cat="Status",pow=0),0,FLOOR(FLOOR(FLOOR((2*XLOOKUP($Q34,'Threshold Summary'!$Y:$Y,'Threshold Summary'!$L:$L,"")/5+2)*pow*atk/def)/50)+2)),modifier,stab*eff,AVERAGE(ARRAYFORMULA(FLOOR(base*modifier*SEQUENCE(16,1,85,1)/100)))),0)</f>
        <v/>
      </c>
      <c r="M34" s="3">
        <f>IFERROR(LET(mtype,XLOOKUP($D34,'Move Editor'!$B:$B,'Move Editor'!$C:$C,""),cat,XLOOKUP($D34,'Move Editor'!$B:$B,'Move Editor'!$D:$D,""),pow,XLOOKUP($D34,'Move Editor'!$B:$B,'Move Editor'!$E:$E,0),acc,XLOOKUP($D34,'Move Editor'!$B:$B,'Move Editor'!$F:$F,100),atk,IF(cat="Physical",FLOOR((FLOOR(((2*XLOOKUP(XLOOKUP($Q34,'Threshold Summary'!$Y:$Y,'Threshold Summary'!$K:$K,""),'Pokemon Editor'!$A:$A,'Pokemon Editor'!$F:$F,0)+31+FLOOR(XLOOKUP($Q34,'Threshold Summary'!$Y:$Y,'Threshold Summary'!$P:$P,"")/4))*XLOOKUP($Q34,'Threshold Summary'!$Y:$Y,'Threshold Summary'!$L:$L,""))/100)+5)*XLOOKUP(XLOOKUP($Q34,'Threshold Summary'!$Y:$Y,'Threshold Summary'!$M:$M,""),'Nature Editor'!$A:$A,'Nature Editor'!$B:$B,1)),FLOOR((FLOOR(((2*XLOOKUP(XLOOKUP($Q34,'Threshold Summary'!$Y:$Y,'Threshold Summary'!$K:$K,""),'Pokemon Editor'!$A:$A,'Pokemon Editor'!$H:$H,0)+31+FLOOR(XLOOKUP($Q34,'Threshold Summary'!$Y:$Y,'Threshold Summary'!$R:$R,"")/4))*XLOOKUP($Q34,'Threshold Summary'!$Y:$Y,'Threshold Summary'!$L:$L,""))/100)+5)*XLOOKUP(XLOOKUP($Q34,'Threshold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Editor'!$E:$E,1))),stab,IF(OR(mtype=XLOOKUP(XLOOKUP($Q34,'Threshold Summary'!$Y:$Y,'Threshold Summary'!$K:$K,""),'Pokemon Editor'!$A:$A,'Pokemon Editor'!$C:$C,""),mtype=XLOOKUP(XLOOKUP($Q34,'Threshold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Chart'!$B$1:$S$1,0)))),base,IF(OR(cat="Status",pow=0),0,FLOOR(FLOOR(FLOOR((2*XLOOKUP($Q34,'Threshold Summary'!$Y:$Y,'Threshold Summary'!$L:$L,"")/5+2)*pow*atk/def)/50)+2)),modifier,stab*eff,AVERAGE(ARRAYFORMULA(FLOOR(base*modifier*SEQUENCE(16,1,85,1)/100)))*MIN(1,acc/100)),0)</f>
        <v/>
      </c>
      <c r="N34" s="4">
        <f>IFERROR(LET(mtype,XLOOKUP($D34,'Move Editor'!$B:$B,'Move Editor'!$C:$C,""),cat,XLOOKUP($D34,'Move Editor'!$B:$B,'Move Editor'!$D:$D,""),pow,XLOOKUP($D34,'Move Editor'!$B:$B,'Move Editor'!$E:$E,0),acc,XLOOKUP($D34,'Move Editor'!$B:$B,'Move Editor'!$F:$F,100),atk,IF(cat="Physical",FLOOR((FLOOR(((2*XLOOKUP(XLOOKUP($Q34,'Threshold Summary'!$Y:$Y,'Threshold Summary'!$K:$K,""),'Pokemon Editor'!$A:$A,'Pokemon Editor'!$F:$F,0)+31+FLOOR(XLOOKUP($Q34,'Threshold Summary'!$Y:$Y,'Threshold Summary'!$P:$P,"")/4))*XLOOKUP($Q34,'Threshold Summary'!$Y:$Y,'Threshold Summary'!$L:$L,""))/100)+5)*XLOOKUP(XLOOKUP($Q34,'Threshold Summary'!$Y:$Y,'Threshold Summary'!$M:$M,""),'Nature Editor'!$A:$A,'Nature Editor'!$B:$B,1)),FLOOR((FLOOR(((2*XLOOKUP(XLOOKUP($Q34,'Threshold Summary'!$Y:$Y,'Threshold Summary'!$K:$K,""),'Pokemon Editor'!$A:$A,'Pokemon Editor'!$H:$H,0)+31+FLOOR(XLOOKUP($Q34,'Threshold Summary'!$Y:$Y,'Threshold Summary'!$R:$R,"")/4))*XLOOKUP($Q34,'Threshold Summary'!$Y:$Y,'Threshold Summary'!$L:$L,""))/100)+5)*XLOOKUP(XLOOKUP($Q34,'Threshold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Editor'!$E:$E,1))),stab,IF(OR(mtype=XLOOKUP(XLOOKUP($Q34,'Threshold Summary'!$Y:$Y,'Threshold Summary'!$K:$K,""),'Pokemon Editor'!$A:$A,'Pokemon Editor'!$C:$C,""),mtype=XLOOKUP(XLOOKUP($Q34,'Threshold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Chart'!$B$1:$S$1,0)))),base,IF(OR(cat="Status",pow=0),0,FLOOR(FLOOR(FLOOR((2*XLOOKUP($Q34,'Threshold Summary'!$Y:$Y,'Threshold Summary'!$L:$L,"")/5+2)*pow*atk/def)/50)+2)),modifier,stab*eff,AVERAGE(ARRAYFORMULA(FLOOR(base*modifier*SEQUENCE(16,1,85,1)/100)))/(FLOOR(((2*XLOOKUP('Boss Editor'!$C$4,'Pokemon Editor'!$A:$A,'Pokemon Editor'!$E:$E,0)+31+FLOOR('Boss Editor'!$G$4/4))*'Boss Editor'!$D$4)/100)+'Boss Editor'!$D$4+10)),0)</f>
        <v/>
      </c>
      <c r="O34" s="3">
        <f>IF(N34&gt;=1,"OHKO",IF(N34&gt;=0.5,"2HKO",IF(N34&gt;=0.333,"3HKO",IF(N34&gt;=0.25,"4HKO","5HKO+"))))</f>
        <v/>
      </c>
      <c r="P34" s="3" t="inlineStr">
        <is>
          <t>Live from editable databases</t>
        </is>
      </c>
      <c r="Q34" s="3" t="inlineStr">
        <is>
          <t>SPECIES_SENTRET</t>
        </is>
      </c>
      <c r="R34" s="3" t="n">
        <v>1</v>
      </c>
    </row>
    <row r="35">
      <c r="A35" s="3">
        <f>XLOOKUP($Q35,'Threshold Summary'!$Y:$Y,'Threshold Summary'!$A:$A,"")</f>
        <v/>
      </c>
      <c r="B35" s="3">
        <f>XLOOKUP($Q35,'Threshold Summary'!$Y:$Y,'Threshold Summary'!$M:$M,"")</f>
        <v/>
      </c>
      <c r="C35" s="3">
        <f>XLOOKUP($Q35,'Threshold Summary'!$Y:$Y,'Threshold Summary'!$N:$N,"")</f>
        <v/>
      </c>
      <c r="D35" s="3">
        <f>IFERROR(INDEX(FILTER('Learnset Editor'!$D$2:$D,'Learnset Editor'!$A$2:$A=XLOOKUP($Q35,'Threshold Summary'!$Y:$Y,'Threshold Summary'!$K:$K,""),'Learnset Editor'!$C$2:$C&lt;=XLOOKUP($Q35,'Threshold Summary'!$Y:$Y,'Threshold Summary'!$L:$L,"")),$R35),"")</f>
        <v/>
      </c>
      <c r="E35" s="3">
        <f>XLOOKUP(D35,'Move Editor'!$B:$B,'Move Editor'!$C:$C,"")</f>
        <v/>
      </c>
      <c r="F35" s="3">
        <f>XLOOKUP(D35,'Move Editor'!$B:$B,'Move Editor'!$D:$D,"")</f>
        <v/>
      </c>
      <c r="G35" s="3">
        <f>XLOOKUP(D35,'Move Editor'!$B:$B,'Move Editor'!$E:$E,0)</f>
        <v/>
      </c>
      <c r="H35" s="3">
        <f>XLOOKUP(D35,'Move Editor'!$B:$B,'Move Editor'!$F:$F,0)</f>
        <v/>
      </c>
      <c r="I35" s="3">
        <f>(INDEX('Type Chart'!$B:$S,MATCH(E35,'Type Chart'!$A:$A,0),MATCH(XLOOKUP('Boss Editor'!$C$4,'Pokemon Editor'!$A:$A,'Pokemon Editor'!$C:$C,""),'Type Chart'!$B$1:$S$1,0))*IF(XLOOKUP('Boss Editor'!$C$4,'Pokemon Editor'!$A:$A,'Pokemon Editor'!$D:$D,"")="",1,INDEX('Type Chart'!$B:$S,MATCH(E35,'Type Chart'!$A:$A,0),MATCH(XLOOKUP('Boss Editor'!$C$4,'Pokemon Editor'!$A:$A,'Pokemon Editor'!$D:$D,""),'Type Chart'!$B$1:$S$1,0))))</f>
        <v/>
      </c>
      <c r="J35" s="3">
        <f>IFERROR(LET(mtype,XLOOKUP($D35,'Move Editor'!$B:$B,'Move Editor'!$C:$C,""),cat,XLOOKUP($D35,'Move Editor'!$B:$B,'Move Editor'!$D:$D,""),pow,XLOOKUP($D35,'Move Editor'!$B:$B,'Move Editor'!$E:$E,0),acc,XLOOKUP($D35,'Move Editor'!$B:$B,'Move Editor'!$F:$F,100),atk,IF(cat="Physical",FLOOR((FLOOR(((2*XLOOKUP(XLOOKUP($Q35,'Threshold Summary'!$Y:$Y,'Threshold Summary'!$K:$K,""),'Pokemon Editor'!$A:$A,'Pokemon Editor'!$F:$F,0)+31+FLOOR(XLOOKUP($Q35,'Threshold Summary'!$Y:$Y,'Threshold Summary'!$P:$P,"")/4))*XLOOKUP($Q35,'Threshold Summary'!$Y:$Y,'Threshold Summary'!$L:$L,""))/100)+5)*XLOOKUP(XLOOKUP($Q35,'Threshold Summary'!$Y:$Y,'Threshold Summary'!$M:$M,""),'Nature Editor'!$A:$A,'Nature Editor'!$B:$B,1)),FLOOR((FLOOR(((2*XLOOKUP(XLOOKUP($Q35,'Threshold Summary'!$Y:$Y,'Threshold Summary'!$K:$K,""),'Pokemon Editor'!$A:$A,'Pokemon Editor'!$H:$H,0)+31+FLOOR(XLOOKUP($Q35,'Threshold Summary'!$Y:$Y,'Threshold Summary'!$R:$R,"")/4))*XLOOKUP($Q35,'Threshold Summary'!$Y:$Y,'Threshold Summary'!$L:$L,""))/100)+5)*XLOOKUP(XLOOKUP($Q35,'Threshold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Editor'!$E:$E,1))),stab,IF(OR(mtype=XLOOKUP(XLOOKUP($Q35,'Threshold Summary'!$Y:$Y,'Threshold Summary'!$K:$K,""),'Pokemon Editor'!$A:$A,'Pokemon Editor'!$C:$C,""),mtype=XLOOKUP(XLOOKUP($Q35,'Threshold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Chart'!$B$1:$S$1,0)))),base,IF(OR(cat="Status",pow=0),0,FLOOR(FLOOR(FLOOR((2*XLOOKUP($Q35,'Threshold Summary'!$Y:$Y,'Threshold Summary'!$L:$L,"")/5+2)*pow*atk/def)/50)+2)),modifier,stab*eff,FLOOR(base*modifier*0.85)),0)</f>
        <v/>
      </c>
      <c r="K35" s="3">
        <f>IFERROR(LET(mtype,XLOOKUP($D35,'Move Editor'!$B:$B,'Move Editor'!$C:$C,""),cat,XLOOKUP($D35,'Move Editor'!$B:$B,'Move Editor'!$D:$D,""),pow,XLOOKUP($D35,'Move Editor'!$B:$B,'Move Editor'!$E:$E,0),acc,XLOOKUP($D35,'Move Editor'!$B:$B,'Move Editor'!$F:$F,100),atk,IF(cat="Physical",FLOOR((FLOOR(((2*XLOOKUP(XLOOKUP($Q35,'Threshold Summary'!$Y:$Y,'Threshold Summary'!$K:$K,""),'Pokemon Editor'!$A:$A,'Pokemon Editor'!$F:$F,0)+31+FLOOR(XLOOKUP($Q35,'Threshold Summary'!$Y:$Y,'Threshold Summary'!$P:$P,"")/4))*XLOOKUP($Q35,'Threshold Summary'!$Y:$Y,'Threshold Summary'!$L:$L,""))/100)+5)*XLOOKUP(XLOOKUP($Q35,'Threshold Summary'!$Y:$Y,'Threshold Summary'!$M:$M,""),'Nature Editor'!$A:$A,'Nature Editor'!$B:$B,1)),FLOOR((FLOOR(((2*XLOOKUP(XLOOKUP($Q35,'Threshold Summary'!$Y:$Y,'Threshold Summary'!$K:$K,""),'Pokemon Editor'!$A:$A,'Pokemon Editor'!$H:$H,0)+31+FLOOR(XLOOKUP($Q35,'Threshold Summary'!$Y:$Y,'Threshold Summary'!$R:$R,"")/4))*XLOOKUP($Q35,'Threshold Summary'!$Y:$Y,'Threshold Summary'!$L:$L,""))/100)+5)*XLOOKUP(XLOOKUP($Q35,'Threshold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Editor'!$E:$E,1))),stab,IF(OR(mtype=XLOOKUP(XLOOKUP($Q35,'Threshold Summary'!$Y:$Y,'Threshold Summary'!$K:$K,""),'Pokemon Editor'!$A:$A,'Pokemon Editor'!$C:$C,""),mtype=XLOOKUP(XLOOKUP($Q35,'Threshold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Chart'!$B$1:$S$1,0)))),base,IF(OR(cat="Status",pow=0),0,FLOOR(FLOOR(FLOOR((2*XLOOKUP($Q35,'Threshold Summary'!$Y:$Y,'Threshold Summary'!$L:$L,"")/5+2)*pow*atk/def)/50)+2)),modifier,stab*eff,FLOOR(base*modifier)),0)</f>
        <v/>
      </c>
      <c r="L35" s="3">
        <f>IFERROR(LET(mtype,XLOOKUP($D35,'Move Editor'!$B:$B,'Move Editor'!$C:$C,""),cat,XLOOKUP($D35,'Move Editor'!$B:$B,'Move Editor'!$D:$D,""),pow,XLOOKUP($D35,'Move Editor'!$B:$B,'Move Editor'!$E:$E,0),acc,XLOOKUP($D35,'Move Editor'!$B:$B,'Move Editor'!$F:$F,100),atk,IF(cat="Physical",FLOOR((FLOOR(((2*XLOOKUP(XLOOKUP($Q35,'Threshold Summary'!$Y:$Y,'Threshold Summary'!$K:$K,""),'Pokemon Editor'!$A:$A,'Pokemon Editor'!$F:$F,0)+31+FLOOR(XLOOKUP($Q35,'Threshold Summary'!$Y:$Y,'Threshold Summary'!$P:$P,"")/4))*XLOOKUP($Q35,'Threshold Summary'!$Y:$Y,'Threshold Summary'!$L:$L,""))/100)+5)*XLOOKUP(XLOOKUP($Q35,'Threshold Summary'!$Y:$Y,'Threshold Summary'!$M:$M,""),'Nature Editor'!$A:$A,'Nature Editor'!$B:$B,1)),FLOOR((FLOOR(((2*XLOOKUP(XLOOKUP($Q35,'Threshold Summary'!$Y:$Y,'Threshold Summary'!$K:$K,""),'Pokemon Editor'!$A:$A,'Pokemon Editor'!$H:$H,0)+31+FLOOR(XLOOKUP($Q35,'Threshold Summary'!$Y:$Y,'Threshold Summary'!$R:$R,"")/4))*XLOOKUP($Q35,'Threshold Summary'!$Y:$Y,'Threshold Summary'!$L:$L,""))/100)+5)*XLOOKUP(XLOOKUP($Q35,'Threshold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Editor'!$E:$E,1))),stab,IF(OR(mtype=XLOOKUP(XLOOKUP($Q35,'Threshold Summary'!$Y:$Y,'Threshold Summary'!$K:$K,""),'Pokemon Editor'!$A:$A,'Pokemon Editor'!$C:$C,""),mtype=XLOOKUP(XLOOKUP($Q35,'Threshold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Chart'!$B$1:$S$1,0)))),base,IF(OR(cat="Status",pow=0),0,FLOOR(FLOOR(FLOOR((2*XLOOKUP($Q35,'Threshold Summary'!$Y:$Y,'Threshold Summary'!$L:$L,"")/5+2)*pow*atk/def)/50)+2)),modifier,stab*eff,AVERAGE(ARRAYFORMULA(FLOOR(base*modifier*SEQUENCE(16,1,85,1)/100)))),0)</f>
        <v/>
      </c>
      <c r="M35" s="3">
        <f>IFERROR(LET(mtype,XLOOKUP($D35,'Move Editor'!$B:$B,'Move Editor'!$C:$C,""),cat,XLOOKUP($D35,'Move Editor'!$B:$B,'Move Editor'!$D:$D,""),pow,XLOOKUP($D35,'Move Editor'!$B:$B,'Move Editor'!$E:$E,0),acc,XLOOKUP($D35,'Move Editor'!$B:$B,'Move Editor'!$F:$F,100),atk,IF(cat="Physical",FLOOR((FLOOR(((2*XLOOKUP(XLOOKUP($Q35,'Threshold Summary'!$Y:$Y,'Threshold Summary'!$K:$K,""),'Pokemon Editor'!$A:$A,'Pokemon Editor'!$F:$F,0)+31+FLOOR(XLOOKUP($Q35,'Threshold Summary'!$Y:$Y,'Threshold Summary'!$P:$P,"")/4))*XLOOKUP($Q35,'Threshold Summary'!$Y:$Y,'Threshold Summary'!$L:$L,""))/100)+5)*XLOOKUP(XLOOKUP($Q35,'Threshold Summary'!$Y:$Y,'Threshold Summary'!$M:$M,""),'Nature Editor'!$A:$A,'Nature Editor'!$B:$B,1)),FLOOR((FLOOR(((2*XLOOKUP(XLOOKUP($Q35,'Threshold Summary'!$Y:$Y,'Threshold Summary'!$K:$K,""),'Pokemon Editor'!$A:$A,'Pokemon Editor'!$H:$H,0)+31+FLOOR(XLOOKUP($Q35,'Threshold Summary'!$Y:$Y,'Threshold Summary'!$R:$R,"")/4))*XLOOKUP($Q35,'Threshold Summary'!$Y:$Y,'Threshold Summary'!$L:$L,""))/100)+5)*XLOOKUP(XLOOKUP($Q35,'Threshold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Editor'!$E:$E,1))),stab,IF(OR(mtype=XLOOKUP(XLOOKUP($Q35,'Threshold Summary'!$Y:$Y,'Threshold Summary'!$K:$K,""),'Pokemon Editor'!$A:$A,'Pokemon Editor'!$C:$C,""),mtype=XLOOKUP(XLOOKUP($Q35,'Threshold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Chart'!$B$1:$S$1,0)))),base,IF(OR(cat="Status",pow=0),0,FLOOR(FLOOR(FLOOR((2*XLOOKUP($Q35,'Threshold Summary'!$Y:$Y,'Threshold Summary'!$L:$L,"")/5+2)*pow*atk/def)/50)+2)),modifier,stab*eff,AVERAGE(ARRAYFORMULA(FLOOR(base*modifier*SEQUENCE(16,1,85,1)/100)))*MIN(1,acc/100)),0)</f>
        <v/>
      </c>
      <c r="N35" s="4">
        <f>IFERROR(LET(mtype,XLOOKUP($D35,'Move Editor'!$B:$B,'Move Editor'!$C:$C,""),cat,XLOOKUP($D35,'Move Editor'!$B:$B,'Move Editor'!$D:$D,""),pow,XLOOKUP($D35,'Move Editor'!$B:$B,'Move Editor'!$E:$E,0),acc,XLOOKUP($D35,'Move Editor'!$B:$B,'Move Editor'!$F:$F,100),atk,IF(cat="Physical",FLOOR((FLOOR(((2*XLOOKUP(XLOOKUP($Q35,'Threshold Summary'!$Y:$Y,'Threshold Summary'!$K:$K,""),'Pokemon Editor'!$A:$A,'Pokemon Editor'!$F:$F,0)+31+FLOOR(XLOOKUP($Q35,'Threshold Summary'!$Y:$Y,'Threshold Summary'!$P:$P,"")/4))*XLOOKUP($Q35,'Threshold Summary'!$Y:$Y,'Threshold Summary'!$L:$L,""))/100)+5)*XLOOKUP(XLOOKUP($Q35,'Threshold Summary'!$Y:$Y,'Threshold Summary'!$M:$M,""),'Nature Editor'!$A:$A,'Nature Editor'!$B:$B,1)),FLOOR((FLOOR(((2*XLOOKUP(XLOOKUP($Q35,'Threshold Summary'!$Y:$Y,'Threshold Summary'!$K:$K,""),'Pokemon Editor'!$A:$A,'Pokemon Editor'!$H:$H,0)+31+FLOOR(XLOOKUP($Q35,'Threshold Summary'!$Y:$Y,'Threshold Summary'!$R:$R,"")/4))*XLOOKUP($Q35,'Threshold Summary'!$Y:$Y,'Threshold Summary'!$L:$L,""))/100)+5)*XLOOKUP(XLOOKUP($Q35,'Threshold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Editor'!$E:$E,1))),stab,IF(OR(mtype=XLOOKUP(XLOOKUP($Q35,'Threshold Summary'!$Y:$Y,'Threshold Summary'!$K:$K,""),'Pokemon Editor'!$A:$A,'Pokemon Editor'!$C:$C,""),mtype=XLOOKUP(XLOOKUP($Q35,'Threshold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Chart'!$B$1:$S$1,0)))),base,IF(OR(cat="Status",pow=0),0,FLOOR(FLOOR(FLOOR((2*XLOOKUP($Q35,'Threshold Summary'!$Y:$Y,'Threshold Summary'!$L:$L,"")/5+2)*pow*atk/def)/50)+2)),modifier,stab*eff,AVERAGE(ARRAYFORMULA(FLOOR(base*modifier*SEQUENCE(16,1,85,1)/100)))/(FLOOR(((2*XLOOKUP('Boss Editor'!$C$4,'Pokemon Editor'!$A:$A,'Pokemon Editor'!$E:$E,0)+31+FLOOR('Boss Editor'!$G$4/4))*'Boss Editor'!$D$4)/100)+'Boss Editor'!$D$4+10)),0)</f>
        <v/>
      </c>
      <c r="O35" s="3">
        <f>IF(N35&gt;=1,"OHKO",IF(N35&gt;=0.5,"2HKO",IF(N35&gt;=0.333,"3HKO",IF(N35&gt;=0.25,"4HKO","5HKO+"))))</f>
        <v/>
      </c>
      <c r="P35" s="3" t="inlineStr">
        <is>
          <t>Live from editable databases</t>
        </is>
      </c>
      <c r="Q35" s="3" t="inlineStr">
        <is>
          <t>SPECIES_SENTRET</t>
        </is>
      </c>
      <c r="R35" s="3" t="n">
        <v>2</v>
      </c>
    </row>
    <row r="36">
      <c r="A36" s="3">
        <f>XLOOKUP($Q36,'Threshold Summary'!$Y:$Y,'Threshold Summary'!$A:$A,"")</f>
        <v/>
      </c>
      <c r="B36" s="3">
        <f>XLOOKUP($Q36,'Threshold Summary'!$Y:$Y,'Threshold Summary'!$M:$M,"")</f>
        <v/>
      </c>
      <c r="C36" s="3">
        <f>XLOOKUP($Q36,'Threshold Summary'!$Y:$Y,'Threshold Summary'!$N:$N,"")</f>
        <v/>
      </c>
      <c r="D36" s="3">
        <f>IFERROR(INDEX(FILTER('Learnset Editor'!$D$2:$D,'Learnset Editor'!$A$2:$A=XLOOKUP($Q36,'Threshold Summary'!$Y:$Y,'Threshold Summary'!$K:$K,""),'Learnset Editor'!$C$2:$C&lt;=XLOOKUP($Q36,'Threshold Summary'!$Y:$Y,'Threshold Summary'!$L:$L,"")),$R36),"")</f>
        <v/>
      </c>
      <c r="E36" s="3">
        <f>XLOOKUP(D36,'Move Editor'!$B:$B,'Move Editor'!$C:$C,"")</f>
        <v/>
      </c>
      <c r="F36" s="3">
        <f>XLOOKUP(D36,'Move Editor'!$B:$B,'Move Editor'!$D:$D,"")</f>
        <v/>
      </c>
      <c r="G36" s="3">
        <f>XLOOKUP(D36,'Move Editor'!$B:$B,'Move Editor'!$E:$E,0)</f>
        <v/>
      </c>
      <c r="H36" s="3">
        <f>XLOOKUP(D36,'Move Editor'!$B:$B,'Move Editor'!$F:$F,0)</f>
        <v/>
      </c>
      <c r="I36" s="3">
        <f>(INDEX('Type Chart'!$B:$S,MATCH(E36,'Type Chart'!$A:$A,0),MATCH(XLOOKUP('Boss Editor'!$C$4,'Pokemon Editor'!$A:$A,'Pokemon Editor'!$C:$C,""),'Type Chart'!$B$1:$S$1,0))*IF(XLOOKUP('Boss Editor'!$C$4,'Pokemon Editor'!$A:$A,'Pokemon Editor'!$D:$D,"")="",1,INDEX('Type Chart'!$B:$S,MATCH(E36,'Type Chart'!$A:$A,0),MATCH(XLOOKUP('Boss Editor'!$C$4,'Pokemon Editor'!$A:$A,'Pokemon Editor'!$D:$D,""),'Type Chart'!$B$1:$S$1,0))))</f>
        <v/>
      </c>
      <c r="J36" s="3">
        <f>IFERROR(LET(mtype,XLOOKUP($D36,'Move Editor'!$B:$B,'Move Editor'!$C:$C,""),cat,XLOOKUP($D36,'Move Editor'!$B:$B,'Move Editor'!$D:$D,""),pow,XLOOKUP($D36,'Move Editor'!$B:$B,'Move Editor'!$E:$E,0),acc,XLOOKUP($D36,'Move Editor'!$B:$B,'Move Editor'!$F:$F,100),atk,IF(cat="Physical",FLOOR((FLOOR(((2*XLOOKUP(XLOOKUP($Q36,'Threshold Summary'!$Y:$Y,'Threshold Summary'!$K:$K,""),'Pokemon Editor'!$A:$A,'Pokemon Editor'!$F:$F,0)+31+FLOOR(XLOOKUP($Q36,'Threshold Summary'!$Y:$Y,'Threshold Summary'!$P:$P,"")/4))*XLOOKUP($Q36,'Threshold Summary'!$Y:$Y,'Threshold Summary'!$L:$L,""))/100)+5)*XLOOKUP(XLOOKUP($Q36,'Threshold Summary'!$Y:$Y,'Threshold Summary'!$M:$M,""),'Nature Editor'!$A:$A,'Nature Editor'!$B:$B,1)),FLOOR((FLOOR(((2*XLOOKUP(XLOOKUP($Q36,'Threshold Summary'!$Y:$Y,'Threshold Summary'!$K:$K,""),'Pokemon Editor'!$A:$A,'Pokemon Editor'!$H:$H,0)+31+FLOOR(XLOOKUP($Q36,'Threshold Summary'!$Y:$Y,'Threshold Summary'!$R:$R,"")/4))*XLOOKUP($Q36,'Threshold Summary'!$Y:$Y,'Threshold Summary'!$L:$L,""))/100)+5)*XLOOKUP(XLOOKUP($Q36,'Threshold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Editor'!$E:$E,1))),stab,IF(OR(mtype=XLOOKUP(XLOOKUP($Q36,'Threshold Summary'!$Y:$Y,'Threshold Summary'!$K:$K,""),'Pokemon Editor'!$A:$A,'Pokemon Editor'!$C:$C,""),mtype=XLOOKUP(XLOOKUP($Q36,'Threshold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Chart'!$B$1:$S$1,0)))),base,IF(OR(cat="Status",pow=0),0,FLOOR(FLOOR(FLOOR((2*XLOOKUP($Q36,'Threshold Summary'!$Y:$Y,'Threshold Summary'!$L:$L,"")/5+2)*pow*atk/def)/50)+2)),modifier,stab*eff,FLOOR(base*modifier*0.85)),0)</f>
        <v/>
      </c>
      <c r="K36" s="3">
        <f>IFERROR(LET(mtype,XLOOKUP($D36,'Move Editor'!$B:$B,'Move Editor'!$C:$C,""),cat,XLOOKUP($D36,'Move Editor'!$B:$B,'Move Editor'!$D:$D,""),pow,XLOOKUP($D36,'Move Editor'!$B:$B,'Move Editor'!$E:$E,0),acc,XLOOKUP($D36,'Move Editor'!$B:$B,'Move Editor'!$F:$F,100),atk,IF(cat="Physical",FLOOR((FLOOR(((2*XLOOKUP(XLOOKUP($Q36,'Threshold Summary'!$Y:$Y,'Threshold Summary'!$K:$K,""),'Pokemon Editor'!$A:$A,'Pokemon Editor'!$F:$F,0)+31+FLOOR(XLOOKUP($Q36,'Threshold Summary'!$Y:$Y,'Threshold Summary'!$P:$P,"")/4))*XLOOKUP($Q36,'Threshold Summary'!$Y:$Y,'Threshold Summary'!$L:$L,""))/100)+5)*XLOOKUP(XLOOKUP($Q36,'Threshold Summary'!$Y:$Y,'Threshold Summary'!$M:$M,""),'Nature Editor'!$A:$A,'Nature Editor'!$B:$B,1)),FLOOR((FLOOR(((2*XLOOKUP(XLOOKUP($Q36,'Threshold Summary'!$Y:$Y,'Threshold Summary'!$K:$K,""),'Pokemon Editor'!$A:$A,'Pokemon Editor'!$H:$H,0)+31+FLOOR(XLOOKUP($Q36,'Threshold Summary'!$Y:$Y,'Threshold Summary'!$R:$R,"")/4))*XLOOKUP($Q36,'Threshold Summary'!$Y:$Y,'Threshold Summary'!$L:$L,""))/100)+5)*XLOOKUP(XLOOKUP($Q36,'Threshold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Editor'!$E:$E,1))),stab,IF(OR(mtype=XLOOKUP(XLOOKUP($Q36,'Threshold Summary'!$Y:$Y,'Threshold Summary'!$K:$K,""),'Pokemon Editor'!$A:$A,'Pokemon Editor'!$C:$C,""),mtype=XLOOKUP(XLOOKUP($Q36,'Threshold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Chart'!$B$1:$S$1,0)))),base,IF(OR(cat="Status",pow=0),0,FLOOR(FLOOR(FLOOR((2*XLOOKUP($Q36,'Threshold Summary'!$Y:$Y,'Threshold Summary'!$L:$L,"")/5+2)*pow*atk/def)/50)+2)),modifier,stab*eff,FLOOR(base*modifier)),0)</f>
        <v/>
      </c>
      <c r="L36" s="3">
        <f>IFERROR(LET(mtype,XLOOKUP($D36,'Move Editor'!$B:$B,'Move Editor'!$C:$C,""),cat,XLOOKUP($D36,'Move Editor'!$B:$B,'Move Editor'!$D:$D,""),pow,XLOOKUP($D36,'Move Editor'!$B:$B,'Move Editor'!$E:$E,0),acc,XLOOKUP($D36,'Move Editor'!$B:$B,'Move Editor'!$F:$F,100),atk,IF(cat="Physical",FLOOR((FLOOR(((2*XLOOKUP(XLOOKUP($Q36,'Threshold Summary'!$Y:$Y,'Threshold Summary'!$K:$K,""),'Pokemon Editor'!$A:$A,'Pokemon Editor'!$F:$F,0)+31+FLOOR(XLOOKUP($Q36,'Threshold Summary'!$Y:$Y,'Threshold Summary'!$P:$P,"")/4))*XLOOKUP($Q36,'Threshold Summary'!$Y:$Y,'Threshold Summary'!$L:$L,""))/100)+5)*XLOOKUP(XLOOKUP($Q36,'Threshold Summary'!$Y:$Y,'Threshold Summary'!$M:$M,""),'Nature Editor'!$A:$A,'Nature Editor'!$B:$B,1)),FLOOR((FLOOR(((2*XLOOKUP(XLOOKUP($Q36,'Threshold Summary'!$Y:$Y,'Threshold Summary'!$K:$K,""),'Pokemon Editor'!$A:$A,'Pokemon Editor'!$H:$H,0)+31+FLOOR(XLOOKUP($Q36,'Threshold Summary'!$Y:$Y,'Threshold Summary'!$R:$R,"")/4))*XLOOKUP($Q36,'Threshold Summary'!$Y:$Y,'Threshold Summary'!$L:$L,""))/100)+5)*XLOOKUP(XLOOKUP($Q36,'Threshold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Editor'!$E:$E,1))),stab,IF(OR(mtype=XLOOKUP(XLOOKUP($Q36,'Threshold Summary'!$Y:$Y,'Threshold Summary'!$K:$K,""),'Pokemon Editor'!$A:$A,'Pokemon Editor'!$C:$C,""),mtype=XLOOKUP(XLOOKUP($Q36,'Threshold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Chart'!$B$1:$S$1,0)))),base,IF(OR(cat="Status",pow=0),0,FLOOR(FLOOR(FLOOR((2*XLOOKUP($Q36,'Threshold Summary'!$Y:$Y,'Threshold Summary'!$L:$L,"")/5+2)*pow*atk/def)/50)+2)),modifier,stab*eff,AVERAGE(ARRAYFORMULA(FLOOR(base*modifier*SEQUENCE(16,1,85,1)/100)))),0)</f>
        <v/>
      </c>
      <c r="M36" s="3">
        <f>IFERROR(LET(mtype,XLOOKUP($D36,'Move Editor'!$B:$B,'Move Editor'!$C:$C,""),cat,XLOOKUP($D36,'Move Editor'!$B:$B,'Move Editor'!$D:$D,""),pow,XLOOKUP($D36,'Move Editor'!$B:$B,'Move Editor'!$E:$E,0),acc,XLOOKUP($D36,'Move Editor'!$B:$B,'Move Editor'!$F:$F,100),atk,IF(cat="Physical",FLOOR((FLOOR(((2*XLOOKUP(XLOOKUP($Q36,'Threshold Summary'!$Y:$Y,'Threshold Summary'!$K:$K,""),'Pokemon Editor'!$A:$A,'Pokemon Editor'!$F:$F,0)+31+FLOOR(XLOOKUP($Q36,'Threshold Summary'!$Y:$Y,'Threshold Summary'!$P:$P,"")/4))*XLOOKUP($Q36,'Threshold Summary'!$Y:$Y,'Threshold Summary'!$L:$L,""))/100)+5)*XLOOKUP(XLOOKUP($Q36,'Threshold Summary'!$Y:$Y,'Threshold Summary'!$M:$M,""),'Nature Editor'!$A:$A,'Nature Editor'!$B:$B,1)),FLOOR((FLOOR(((2*XLOOKUP(XLOOKUP($Q36,'Threshold Summary'!$Y:$Y,'Threshold Summary'!$K:$K,""),'Pokemon Editor'!$A:$A,'Pokemon Editor'!$H:$H,0)+31+FLOOR(XLOOKUP($Q36,'Threshold Summary'!$Y:$Y,'Threshold Summary'!$R:$R,"")/4))*XLOOKUP($Q36,'Threshold Summary'!$Y:$Y,'Threshold Summary'!$L:$L,""))/100)+5)*XLOOKUP(XLOOKUP($Q36,'Threshold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Editor'!$E:$E,1))),stab,IF(OR(mtype=XLOOKUP(XLOOKUP($Q36,'Threshold Summary'!$Y:$Y,'Threshold Summary'!$K:$K,""),'Pokemon Editor'!$A:$A,'Pokemon Editor'!$C:$C,""),mtype=XLOOKUP(XLOOKUP($Q36,'Threshold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Chart'!$B$1:$S$1,0)))),base,IF(OR(cat="Status",pow=0),0,FLOOR(FLOOR(FLOOR((2*XLOOKUP($Q36,'Threshold Summary'!$Y:$Y,'Threshold Summary'!$L:$L,"")/5+2)*pow*atk/def)/50)+2)),modifier,stab*eff,AVERAGE(ARRAYFORMULA(FLOOR(base*modifier*SEQUENCE(16,1,85,1)/100)))*MIN(1,acc/100)),0)</f>
        <v/>
      </c>
      <c r="N36" s="4">
        <f>IFERROR(LET(mtype,XLOOKUP($D36,'Move Editor'!$B:$B,'Move Editor'!$C:$C,""),cat,XLOOKUP($D36,'Move Editor'!$B:$B,'Move Editor'!$D:$D,""),pow,XLOOKUP($D36,'Move Editor'!$B:$B,'Move Editor'!$E:$E,0),acc,XLOOKUP($D36,'Move Editor'!$B:$B,'Move Editor'!$F:$F,100),atk,IF(cat="Physical",FLOOR((FLOOR(((2*XLOOKUP(XLOOKUP($Q36,'Threshold Summary'!$Y:$Y,'Threshold Summary'!$K:$K,""),'Pokemon Editor'!$A:$A,'Pokemon Editor'!$F:$F,0)+31+FLOOR(XLOOKUP($Q36,'Threshold Summary'!$Y:$Y,'Threshold Summary'!$P:$P,"")/4))*XLOOKUP($Q36,'Threshold Summary'!$Y:$Y,'Threshold Summary'!$L:$L,""))/100)+5)*XLOOKUP(XLOOKUP($Q36,'Threshold Summary'!$Y:$Y,'Threshold Summary'!$M:$M,""),'Nature Editor'!$A:$A,'Nature Editor'!$B:$B,1)),FLOOR((FLOOR(((2*XLOOKUP(XLOOKUP($Q36,'Threshold Summary'!$Y:$Y,'Threshold Summary'!$K:$K,""),'Pokemon Editor'!$A:$A,'Pokemon Editor'!$H:$H,0)+31+FLOOR(XLOOKUP($Q36,'Threshold Summary'!$Y:$Y,'Threshold Summary'!$R:$R,"")/4))*XLOOKUP($Q36,'Threshold Summary'!$Y:$Y,'Threshold Summary'!$L:$L,""))/100)+5)*XLOOKUP(XLOOKUP($Q36,'Threshold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Editor'!$E:$E,1))),stab,IF(OR(mtype=XLOOKUP(XLOOKUP($Q36,'Threshold Summary'!$Y:$Y,'Threshold Summary'!$K:$K,""),'Pokemon Editor'!$A:$A,'Pokemon Editor'!$C:$C,""),mtype=XLOOKUP(XLOOKUP($Q36,'Threshold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Chart'!$B$1:$S$1,0)))),base,IF(OR(cat="Status",pow=0),0,FLOOR(FLOOR(FLOOR((2*XLOOKUP($Q36,'Threshold Summary'!$Y:$Y,'Threshold Summary'!$L:$L,"")/5+2)*pow*atk/def)/50)+2)),modifier,stab*eff,AVERAGE(ARRAYFORMULA(FLOOR(base*modifier*SEQUENCE(16,1,85,1)/100)))/(FLOOR(((2*XLOOKUP('Boss Editor'!$C$4,'Pokemon Editor'!$A:$A,'Pokemon Editor'!$E:$E,0)+31+FLOOR('Boss Editor'!$G$4/4))*'Boss Editor'!$D$4)/100)+'Boss Editor'!$D$4+10)),0)</f>
        <v/>
      </c>
      <c r="O36" s="3">
        <f>IF(N36&gt;=1,"OHKO",IF(N36&gt;=0.5,"2HKO",IF(N36&gt;=0.333,"3HKO",IF(N36&gt;=0.25,"4HKO","5HKO+"))))</f>
        <v/>
      </c>
      <c r="P36" s="3" t="inlineStr">
        <is>
          <t>Live from editable databases</t>
        </is>
      </c>
      <c r="Q36" s="3" t="inlineStr">
        <is>
          <t>SPECIES_SENTRET</t>
        </is>
      </c>
      <c r="R36" s="3" t="n">
        <v>3</v>
      </c>
    </row>
    <row r="37">
      <c r="A37" s="3">
        <f>XLOOKUP($Q37,'Threshold Summary'!$Y:$Y,'Threshold Summary'!$A:$A,"")</f>
        <v/>
      </c>
      <c r="B37" s="3">
        <f>XLOOKUP($Q37,'Threshold Summary'!$Y:$Y,'Threshold Summary'!$M:$M,"")</f>
        <v/>
      </c>
      <c r="C37" s="3">
        <f>XLOOKUP($Q37,'Threshold Summary'!$Y:$Y,'Threshold Summary'!$N:$N,"")</f>
        <v/>
      </c>
      <c r="D37" s="3">
        <f>IFERROR(INDEX(FILTER('Learnset Editor'!$D$2:$D,'Learnset Editor'!$A$2:$A=XLOOKUP($Q37,'Threshold Summary'!$Y:$Y,'Threshold Summary'!$K:$K,""),'Learnset Editor'!$C$2:$C&lt;=XLOOKUP($Q37,'Threshold Summary'!$Y:$Y,'Threshold Summary'!$L:$L,"")),$R37),"")</f>
        <v/>
      </c>
      <c r="E37" s="3">
        <f>XLOOKUP(D37,'Move Editor'!$B:$B,'Move Editor'!$C:$C,"")</f>
        <v/>
      </c>
      <c r="F37" s="3">
        <f>XLOOKUP(D37,'Move Editor'!$B:$B,'Move Editor'!$D:$D,"")</f>
        <v/>
      </c>
      <c r="G37" s="3">
        <f>XLOOKUP(D37,'Move Editor'!$B:$B,'Move Editor'!$E:$E,0)</f>
        <v/>
      </c>
      <c r="H37" s="3">
        <f>XLOOKUP(D37,'Move Editor'!$B:$B,'Move Editor'!$F:$F,0)</f>
        <v/>
      </c>
      <c r="I37" s="3">
        <f>(INDEX('Type Chart'!$B:$S,MATCH(E37,'Type Chart'!$A:$A,0),MATCH(XLOOKUP('Boss Editor'!$C$4,'Pokemon Editor'!$A:$A,'Pokemon Editor'!$C:$C,""),'Type Chart'!$B$1:$S$1,0))*IF(XLOOKUP('Boss Editor'!$C$4,'Pokemon Editor'!$A:$A,'Pokemon Editor'!$D:$D,"")="",1,INDEX('Type Chart'!$B:$S,MATCH(E37,'Type Chart'!$A:$A,0),MATCH(XLOOKUP('Boss Editor'!$C$4,'Pokemon Editor'!$A:$A,'Pokemon Editor'!$D:$D,""),'Type Chart'!$B$1:$S$1,0))))</f>
        <v/>
      </c>
      <c r="J37" s="3">
        <f>IFERROR(LET(mtype,XLOOKUP($D37,'Move Editor'!$B:$B,'Move Editor'!$C:$C,""),cat,XLOOKUP($D37,'Move Editor'!$B:$B,'Move Editor'!$D:$D,""),pow,XLOOKUP($D37,'Move Editor'!$B:$B,'Move Editor'!$E:$E,0),acc,XLOOKUP($D37,'Move Editor'!$B:$B,'Move Editor'!$F:$F,100),atk,IF(cat="Physical",FLOOR((FLOOR(((2*XLOOKUP(XLOOKUP($Q37,'Threshold Summary'!$Y:$Y,'Threshold Summary'!$K:$K,""),'Pokemon Editor'!$A:$A,'Pokemon Editor'!$F:$F,0)+31+FLOOR(XLOOKUP($Q37,'Threshold Summary'!$Y:$Y,'Threshold Summary'!$P:$P,"")/4))*XLOOKUP($Q37,'Threshold Summary'!$Y:$Y,'Threshold Summary'!$L:$L,""))/100)+5)*XLOOKUP(XLOOKUP($Q37,'Threshold Summary'!$Y:$Y,'Threshold Summary'!$M:$M,""),'Nature Editor'!$A:$A,'Nature Editor'!$B:$B,1)),FLOOR((FLOOR(((2*XLOOKUP(XLOOKUP($Q37,'Threshold Summary'!$Y:$Y,'Threshold Summary'!$K:$K,""),'Pokemon Editor'!$A:$A,'Pokemon Editor'!$H:$H,0)+31+FLOOR(XLOOKUP($Q37,'Threshold Summary'!$Y:$Y,'Threshold Summary'!$R:$R,"")/4))*XLOOKUP($Q37,'Threshold Summary'!$Y:$Y,'Threshold Summary'!$L:$L,""))/100)+5)*XLOOKUP(XLOOKUP($Q37,'Threshold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Editor'!$E:$E,1))),stab,IF(OR(mtype=XLOOKUP(XLOOKUP($Q37,'Threshold Summary'!$Y:$Y,'Threshold Summary'!$K:$K,""),'Pokemon Editor'!$A:$A,'Pokemon Editor'!$C:$C,""),mtype=XLOOKUP(XLOOKUP($Q37,'Threshold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Chart'!$B$1:$S$1,0)))),base,IF(OR(cat="Status",pow=0),0,FLOOR(FLOOR(FLOOR((2*XLOOKUP($Q37,'Threshold Summary'!$Y:$Y,'Threshold Summary'!$L:$L,"")/5+2)*pow*atk/def)/50)+2)),modifier,stab*eff,FLOOR(base*modifier*0.85)),0)</f>
        <v/>
      </c>
      <c r="K37" s="3">
        <f>IFERROR(LET(mtype,XLOOKUP($D37,'Move Editor'!$B:$B,'Move Editor'!$C:$C,""),cat,XLOOKUP($D37,'Move Editor'!$B:$B,'Move Editor'!$D:$D,""),pow,XLOOKUP($D37,'Move Editor'!$B:$B,'Move Editor'!$E:$E,0),acc,XLOOKUP($D37,'Move Editor'!$B:$B,'Move Editor'!$F:$F,100),atk,IF(cat="Physical",FLOOR((FLOOR(((2*XLOOKUP(XLOOKUP($Q37,'Threshold Summary'!$Y:$Y,'Threshold Summary'!$K:$K,""),'Pokemon Editor'!$A:$A,'Pokemon Editor'!$F:$F,0)+31+FLOOR(XLOOKUP($Q37,'Threshold Summary'!$Y:$Y,'Threshold Summary'!$P:$P,"")/4))*XLOOKUP($Q37,'Threshold Summary'!$Y:$Y,'Threshold Summary'!$L:$L,""))/100)+5)*XLOOKUP(XLOOKUP($Q37,'Threshold Summary'!$Y:$Y,'Threshold Summary'!$M:$M,""),'Nature Editor'!$A:$A,'Nature Editor'!$B:$B,1)),FLOOR((FLOOR(((2*XLOOKUP(XLOOKUP($Q37,'Threshold Summary'!$Y:$Y,'Threshold Summary'!$K:$K,""),'Pokemon Editor'!$A:$A,'Pokemon Editor'!$H:$H,0)+31+FLOOR(XLOOKUP($Q37,'Threshold Summary'!$Y:$Y,'Threshold Summary'!$R:$R,"")/4))*XLOOKUP($Q37,'Threshold Summary'!$Y:$Y,'Threshold Summary'!$L:$L,""))/100)+5)*XLOOKUP(XLOOKUP($Q37,'Threshold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Editor'!$E:$E,1))),stab,IF(OR(mtype=XLOOKUP(XLOOKUP($Q37,'Threshold Summary'!$Y:$Y,'Threshold Summary'!$K:$K,""),'Pokemon Editor'!$A:$A,'Pokemon Editor'!$C:$C,""),mtype=XLOOKUP(XLOOKUP($Q37,'Threshold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Chart'!$B$1:$S$1,0)))),base,IF(OR(cat="Status",pow=0),0,FLOOR(FLOOR(FLOOR((2*XLOOKUP($Q37,'Threshold Summary'!$Y:$Y,'Threshold Summary'!$L:$L,"")/5+2)*pow*atk/def)/50)+2)),modifier,stab*eff,FLOOR(base*modifier)),0)</f>
        <v/>
      </c>
      <c r="L37" s="3">
        <f>IFERROR(LET(mtype,XLOOKUP($D37,'Move Editor'!$B:$B,'Move Editor'!$C:$C,""),cat,XLOOKUP($D37,'Move Editor'!$B:$B,'Move Editor'!$D:$D,""),pow,XLOOKUP($D37,'Move Editor'!$B:$B,'Move Editor'!$E:$E,0),acc,XLOOKUP($D37,'Move Editor'!$B:$B,'Move Editor'!$F:$F,100),atk,IF(cat="Physical",FLOOR((FLOOR(((2*XLOOKUP(XLOOKUP($Q37,'Threshold Summary'!$Y:$Y,'Threshold Summary'!$K:$K,""),'Pokemon Editor'!$A:$A,'Pokemon Editor'!$F:$F,0)+31+FLOOR(XLOOKUP($Q37,'Threshold Summary'!$Y:$Y,'Threshold Summary'!$P:$P,"")/4))*XLOOKUP($Q37,'Threshold Summary'!$Y:$Y,'Threshold Summary'!$L:$L,""))/100)+5)*XLOOKUP(XLOOKUP($Q37,'Threshold Summary'!$Y:$Y,'Threshold Summary'!$M:$M,""),'Nature Editor'!$A:$A,'Nature Editor'!$B:$B,1)),FLOOR((FLOOR(((2*XLOOKUP(XLOOKUP($Q37,'Threshold Summary'!$Y:$Y,'Threshold Summary'!$K:$K,""),'Pokemon Editor'!$A:$A,'Pokemon Editor'!$H:$H,0)+31+FLOOR(XLOOKUP($Q37,'Threshold Summary'!$Y:$Y,'Threshold Summary'!$R:$R,"")/4))*XLOOKUP($Q37,'Threshold Summary'!$Y:$Y,'Threshold Summary'!$L:$L,""))/100)+5)*XLOOKUP(XLOOKUP($Q37,'Threshold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Editor'!$E:$E,1))),stab,IF(OR(mtype=XLOOKUP(XLOOKUP($Q37,'Threshold Summary'!$Y:$Y,'Threshold Summary'!$K:$K,""),'Pokemon Editor'!$A:$A,'Pokemon Editor'!$C:$C,""),mtype=XLOOKUP(XLOOKUP($Q37,'Threshold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Chart'!$B$1:$S$1,0)))),base,IF(OR(cat="Status",pow=0),0,FLOOR(FLOOR(FLOOR((2*XLOOKUP($Q37,'Threshold Summary'!$Y:$Y,'Threshold Summary'!$L:$L,"")/5+2)*pow*atk/def)/50)+2)),modifier,stab*eff,AVERAGE(ARRAYFORMULA(FLOOR(base*modifier*SEQUENCE(16,1,85,1)/100)))),0)</f>
        <v/>
      </c>
      <c r="M37" s="3">
        <f>IFERROR(LET(mtype,XLOOKUP($D37,'Move Editor'!$B:$B,'Move Editor'!$C:$C,""),cat,XLOOKUP($D37,'Move Editor'!$B:$B,'Move Editor'!$D:$D,""),pow,XLOOKUP($D37,'Move Editor'!$B:$B,'Move Editor'!$E:$E,0),acc,XLOOKUP($D37,'Move Editor'!$B:$B,'Move Editor'!$F:$F,100),atk,IF(cat="Physical",FLOOR((FLOOR(((2*XLOOKUP(XLOOKUP($Q37,'Threshold Summary'!$Y:$Y,'Threshold Summary'!$K:$K,""),'Pokemon Editor'!$A:$A,'Pokemon Editor'!$F:$F,0)+31+FLOOR(XLOOKUP($Q37,'Threshold Summary'!$Y:$Y,'Threshold Summary'!$P:$P,"")/4))*XLOOKUP($Q37,'Threshold Summary'!$Y:$Y,'Threshold Summary'!$L:$L,""))/100)+5)*XLOOKUP(XLOOKUP($Q37,'Threshold Summary'!$Y:$Y,'Threshold Summary'!$M:$M,""),'Nature Editor'!$A:$A,'Nature Editor'!$B:$B,1)),FLOOR((FLOOR(((2*XLOOKUP(XLOOKUP($Q37,'Threshold Summary'!$Y:$Y,'Threshold Summary'!$K:$K,""),'Pokemon Editor'!$A:$A,'Pokemon Editor'!$H:$H,0)+31+FLOOR(XLOOKUP($Q37,'Threshold Summary'!$Y:$Y,'Threshold Summary'!$R:$R,"")/4))*XLOOKUP($Q37,'Threshold Summary'!$Y:$Y,'Threshold Summary'!$L:$L,""))/100)+5)*XLOOKUP(XLOOKUP($Q37,'Threshold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Editor'!$E:$E,1))),stab,IF(OR(mtype=XLOOKUP(XLOOKUP($Q37,'Threshold Summary'!$Y:$Y,'Threshold Summary'!$K:$K,""),'Pokemon Editor'!$A:$A,'Pokemon Editor'!$C:$C,""),mtype=XLOOKUP(XLOOKUP($Q37,'Threshold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Chart'!$B$1:$S$1,0)))),base,IF(OR(cat="Status",pow=0),0,FLOOR(FLOOR(FLOOR((2*XLOOKUP($Q37,'Threshold Summary'!$Y:$Y,'Threshold Summary'!$L:$L,"")/5+2)*pow*atk/def)/50)+2)),modifier,stab*eff,AVERAGE(ARRAYFORMULA(FLOOR(base*modifier*SEQUENCE(16,1,85,1)/100)))*MIN(1,acc/100)),0)</f>
        <v/>
      </c>
      <c r="N37" s="4">
        <f>IFERROR(LET(mtype,XLOOKUP($D37,'Move Editor'!$B:$B,'Move Editor'!$C:$C,""),cat,XLOOKUP($D37,'Move Editor'!$B:$B,'Move Editor'!$D:$D,""),pow,XLOOKUP($D37,'Move Editor'!$B:$B,'Move Editor'!$E:$E,0),acc,XLOOKUP($D37,'Move Editor'!$B:$B,'Move Editor'!$F:$F,100),atk,IF(cat="Physical",FLOOR((FLOOR(((2*XLOOKUP(XLOOKUP($Q37,'Threshold Summary'!$Y:$Y,'Threshold Summary'!$K:$K,""),'Pokemon Editor'!$A:$A,'Pokemon Editor'!$F:$F,0)+31+FLOOR(XLOOKUP($Q37,'Threshold Summary'!$Y:$Y,'Threshold Summary'!$P:$P,"")/4))*XLOOKUP($Q37,'Threshold Summary'!$Y:$Y,'Threshold Summary'!$L:$L,""))/100)+5)*XLOOKUP(XLOOKUP($Q37,'Threshold Summary'!$Y:$Y,'Threshold Summary'!$M:$M,""),'Nature Editor'!$A:$A,'Nature Editor'!$B:$B,1)),FLOOR((FLOOR(((2*XLOOKUP(XLOOKUP($Q37,'Threshold Summary'!$Y:$Y,'Threshold Summary'!$K:$K,""),'Pokemon Editor'!$A:$A,'Pokemon Editor'!$H:$H,0)+31+FLOOR(XLOOKUP($Q37,'Threshold Summary'!$Y:$Y,'Threshold Summary'!$R:$R,"")/4))*XLOOKUP($Q37,'Threshold Summary'!$Y:$Y,'Threshold Summary'!$L:$L,""))/100)+5)*XLOOKUP(XLOOKUP($Q37,'Threshold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Editor'!$E:$E,1))),stab,IF(OR(mtype=XLOOKUP(XLOOKUP($Q37,'Threshold Summary'!$Y:$Y,'Threshold Summary'!$K:$K,""),'Pokemon Editor'!$A:$A,'Pokemon Editor'!$C:$C,""),mtype=XLOOKUP(XLOOKUP($Q37,'Threshold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Chart'!$B$1:$S$1,0)))),base,IF(OR(cat="Status",pow=0),0,FLOOR(FLOOR(FLOOR((2*XLOOKUP($Q37,'Threshold Summary'!$Y:$Y,'Threshold Summary'!$L:$L,"")/5+2)*pow*atk/def)/50)+2)),modifier,stab*eff,AVERAGE(ARRAYFORMULA(FLOOR(base*modifier*SEQUENCE(16,1,85,1)/100)))/(FLOOR(((2*XLOOKUP('Boss Editor'!$C$4,'Pokemon Editor'!$A:$A,'Pokemon Editor'!$E:$E,0)+31+FLOOR('Boss Editor'!$G$4/4))*'Boss Editor'!$D$4)/100)+'Boss Editor'!$D$4+10)),0)</f>
        <v/>
      </c>
      <c r="O37" s="3">
        <f>IF(N37&gt;=1,"OHKO",IF(N37&gt;=0.5,"2HKO",IF(N37&gt;=0.333,"3HKO",IF(N37&gt;=0.25,"4HKO","5HKO+"))))</f>
        <v/>
      </c>
      <c r="P37" s="3" t="inlineStr">
        <is>
          <t>Live from editable databases</t>
        </is>
      </c>
      <c r="Q37" s="3" t="inlineStr">
        <is>
          <t>SPECIES_SENTRET</t>
        </is>
      </c>
      <c r="R37" s="3" t="n">
        <v>4</v>
      </c>
    </row>
    <row r="38">
      <c r="A38" s="3">
        <f>XLOOKUP($Q38,'Threshold Summary'!$Y:$Y,'Threshold Summary'!$A:$A,"")</f>
        <v/>
      </c>
      <c r="B38" s="3">
        <f>XLOOKUP($Q38,'Threshold Summary'!$Y:$Y,'Threshold Summary'!$M:$M,"")</f>
        <v/>
      </c>
      <c r="C38" s="3">
        <f>XLOOKUP($Q38,'Threshold Summary'!$Y:$Y,'Threshold Summary'!$N:$N,"")</f>
        <v/>
      </c>
      <c r="D38" s="3">
        <f>IFERROR(INDEX(FILTER('Learnset Editor'!$D$2:$D,'Learnset Editor'!$A$2:$A=XLOOKUP($Q38,'Threshold Summary'!$Y:$Y,'Threshold Summary'!$K:$K,""),'Learnset Editor'!$C$2:$C&lt;=XLOOKUP($Q38,'Threshold Summary'!$Y:$Y,'Threshold Summary'!$L:$L,"")),$R38),"")</f>
        <v/>
      </c>
      <c r="E38" s="3">
        <f>XLOOKUP(D38,'Move Editor'!$B:$B,'Move Editor'!$C:$C,"")</f>
        <v/>
      </c>
      <c r="F38" s="3">
        <f>XLOOKUP(D38,'Move Editor'!$B:$B,'Move Editor'!$D:$D,"")</f>
        <v/>
      </c>
      <c r="G38" s="3">
        <f>XLOOKUP(D38,'Move Editor'!$B:$B,'Move Editor'!$E:$E,0)</f>
        <v/>
      </c>
      <c r="H38" s="3">
        <f>XLOOKUP(D38,'Move Editor'!$B:$B,'Move Editor'!$F:$F,0)</f>
        <v/>
      </c>
      <c r="I38" s="3">
        <f>(INDEX('Type Chart'!$B:$S,MATCH(E38,'Type Chart'!$A:$A,0),MATCH(XLOOKUP('Boss Editor'!$C$4,'Pokemon Editor'!$A:$A,'Pokemon Editor'!$C:$C,""),'Type Chart'!$B$1:$S$1,0))*IF(XLOOKUP('Boss Editor'!$C$4,'Pokemon Editor'!$A:$A,'Pokemon Editor'!$D:$D,"")="",1,INDEX('Type Chart'!$B:$S,MATCH(E38,'Type Chart'!$A:$A,0),MATCH(XLOOKUP('Boss Editor'!$C$4,'Pokemon Editor'!$A:$A,'Pokemon Editor'!$D:$D,""),'Type Chart'!$B$1:$S$1,0))))</f>
        <v/>
      </c>
      <c r="J38" s="3">
        <f>IFERROR(LET(mtype,XLOOKUP($D38,'Move Editor'!$B:$B,'Move Editor'!$C:$C,""),cat,XLOOKUP($D38,'Move Editor'!$B:$B,'Move Editor'!$D:$D,""),pow,XLOOKUP($D38,'Move Editor'!$B:$B,'Move Editor'!$E:$E,0),acc,XLOOKUP($D38,'Move Editor'!$B:$B,'Move Editor'!$F:$F,100),atk,IF(cat="Physical",FLOOR((FLOOR(((2*XLOOKUP(XLOOKUP($Q38,'Threshold Summary'!$Y:$Y,'Threshold Summary'!$K:$K,""),'Pokemon Editor'!$A:$A,'Pokemon Editor'!$F:$F,0)+31+FLOOR(XLOOKUP($Q38,'Threshold Summary'!$Y:$Y,'Threshold Summary'!$P:$P,"")/4))*XLOOKUP($Q38,'Threshold Summary'!$Y:$Y,'Threshold Summary'!$L:$L,""))/100)+5)*XLOOKUP(XLOOKUP($Q38,'Threshold Summary'!$Y:$Y,'Threshold Summary'!$M:$M,""),'Nature Editor'!$A:$A,'Nature Editor'!$B:$B,1)),FLOOR((FLOOR(((2*XLOOKUP(XLOOKUP($Q38,'Threshold Summary'!$Y:$Y,'Threshold Summary'!$K:$K,""),'Pokemon Editor'!$A:$A,'Pokemon Editor'!$H:$H,0)+31+FLOOR(XLOOKUP($Q38,'Threshold Summary'!$Y:$Y,'Threshold Summary'!$R:$R,"")/4))*XLOOKUP($Q38,'Threshold Summary'!$Y:$Y,'Threshold Summary'!$L:$L,""))/100)+5)*XLOOKUP(XLOOKUP($Q38,'Threshold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Editor'!$E:$E,1))),stab,IF(OR(mtype=XLOOKUP(XLOOKUP($Q38,'Threshold Summary'!$Y:$Y,'Threshold Summary'!$K:$K,""),'Pokemon Editor'!$A:$A,'Pokemon Editor'!$C:$C,""),mtype=XLOOKUP(XLOOKUP($Q38,'Threshold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Chart'!$B$1:$S$1,0)))),base,IF(OR(cat="Status",pow=0),0,FLOOR(FLOOR(FLOOR((2*XLOOKUP($Q38,'Threshold Summary'!$Y:$Y,'Threshold Summary'!$L:$L,"")/5+2)*pow*atk/def)/50)+2)),modifier,stab*eff,FLOOR(base*modifier*0.85)),0)</f>
        <v/>
      </c>
      <c r="K38" s="3">
        <f>IFERROR(LET(mtype,XLOOKUP($D38,'Move Editor'!$B:$B,'Move Editor'!$C:$C,""),cat,XLOOKUP($D38,'Move Editor'!$B:$B,'Move Editor'!$D:$D,""),pow,XLOOKUP($D38,'Move Editor'!$B:$B,'Move Editor'!$E:$E,0),acc,XLOOKUP($D38,'Move Editor'!$B:$B,'Move Editor'!$F:$F,100),atk,IF(cat="Physical",FLOOR((FLOOR(((2*XLOOKUP(XLOOKUP($Q38,'Threshold Summary'!$Y:$Y,'Threshold Summary'!$K:$K,""),'Pokemon Editor'!$A:$A,'Pokemon Editor'!$F:$F,0)+31+FLOOR(XLOOKUP($Q38,'Threshold Summary'!$Y:$Y,'Threshold Summary'!$P:$P,"")/4))*XLOOKUP($Q38,'Threshold Summary'!$Y:$Y,'Threshold Summary'!$L:$L,""))/100)+5)*XLOOKUP(XLOOKUP($Q38,'Threshold Summary'!$Y:$Y,'Threshold Summary'!$M:$M,""),'Nature Editor'!$A:$A,'Nature Editor'!$B:$B,1)),FLOOR((FLOOR(((2*XLOOKUP(XLOOKUP($Q38,'Threshold Summary'!$Y:$Y,'Threshold Summary'!$K:$K,""),'Pokemon Editor'!$A:$A,'Pokemon Editor'!$H:$H,0)+31+FLOOR(XLOOKUP($Q38,'Threshold Summary'!$Y:$Y,'Threshold Summary'!$R:$R,"")/4))*XLOOKUP($Q38,'Threshold Summary'!$Y:$Y,'Threshold Summary'!$L:$L,""))/100)+5)*XLOOKUP(XLOOKUP($Q38,'Threshold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Editor'!$E:$E,1))),stab,IF(OR(mtype=XLOOKUP(XLOOKUP($Q38,'Threshold Summary'!$Y:$Y,'Threshold Summary'!$K:$K,""),'Pokemon Editor'!$A:$A,'Pokemon Editor'!$C:$C,""),mtype=XLOOKUP(XLOOKUP($Q38,'Threshold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Chart'!$B$1:$S$1,0)))),base,IF(OR(cat="Status",pow=0),0,FLOOR(FLOOR(FLOOR((2*XLOOKUP($Q38,'Threshold Summary'!$Y:$Y,'Threshold Summary'!$L:$L,"")/5+2)*pow*atk/def)/50)+2)),modifier,stab*eff,FLOOR(base*modifier)),0)</f>
        <v/>
      </c>
      <c r="L38" s="3">
        <f>IFERROR(LET(mtype,XLOOKUP($D38,'Move Editor'!$B:$B,'Move Editor'!$C:$C,""),cat,XLOOKUP($D38,'Move Editor'!$B:$B,'Move Editor'!$D:$D,""),pow,XLOOKUP($D38,'Move Editor'!$B:$B,'Move Editor'!$E:$E,0),acc,XLOOKUP($D38,'Move Editor'!$B:$B,'Move Editor'!$F:$F,100),atk,IF(cat="Physical",FLOOR((FLOOR(((2*XLOOKUP(XLOOKUP($Q38,'Threshold Summary'!$Y:$Y,'Threshold Summary'!$K:$K,""),'Pokemon Editor'!$A:$A,'Pokemon Editor'!$F:$F,0)+31+FLOOR(XLOOKUP($Q38,'Threshold Summary'!$Y:$Y,'Threshold Summary'!$P:$P,"")/4))*XLOOKUP($Q38,'Threshold Summary'!$Y:$Y,'Threshold Summary'!$L:$L,""))/100)+5)*XLOOKUP(XLOOKUP($Q38,'Threshold Summary'!$Y:$Y,'Threshold Summary'!$M:$M,""),'Nature Editor'!$A:$A,'Nature Editor'!$B:$B,1)),FLOOR((FLOOR(((2*XLOOKUP(XLOOKUP($Q38,'Threshold Summary'!$Y:$Y,'Threshold Summary'!$K:$K,""),'Pokemon Editor'!$A:$A,'Pokemon Editor'!$H:$H,0)+31+FLOOR(XLOOKUP($Q38,'Threshold Summary'!$Y:$Y,'Threshold Summary'!$R:$R,"")/4))*XLOOKUP($Q38,'Threshold Summary'!$Y:$Y,'Threshold Summary'!$L:$L,""))/100)+5)*XLOOKUP(XLOOKUP($Q38,'Threshold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Editor'!$E:$E,1))),stab,IF(OR(mtype=XLOOKUP(XLOOKUP($Q38,'Threshold Summary'!$Y:$Y,'Threshold Summary'!$K:$K,""),'Pokemon Editor'!$A:$A,'Pokemon Editor'!$C:$C,""),mtype=XLOOKUP(XLOOKUP($Q38,'Threshold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Chart'!$B$1:$S$1,0)))),base,IF(OR(cat="Status",pow=0),0,FLOOR(FLOOR(FLOOR((2*XLOOKUP($Q38,'Threshold Summary'!$Y:$Y,'Threshold Summary'!$L:$L,"")/5+2)*pow*atk/def)/50)+2)),modifier,stab*eff,AVERAGE(ARRAYFORMULA(FLOOR(base*modifier*SEQUENCE(16,1,85,1)/100)))),0)</f>
        <v/>
      </c>
      <c r="M38" s="3">
        <f>IFERROR(LET(mtype,XLOOKUP($D38,'Move Editor'!$B:$B,'Move Editor'!$C:$C,""),cat,XLOOKUP($D38,'Move Editor'!$B:$B,'Move Editor'!$D:$D,""),pow,XLOOKUP($D38,'Move Editor'!$B:$B,'Move Editor'!$E:$E,0),acc,XLOOKUP($D38,'Move Editor'!$B:$B,'Move Editor'!$F:$F,100),atk,IF(cat="Physical",FLOOR((FLOOR(((2*XLOOKUP(XLOOKUP($Q38,'Threshold Summary'!$Y:$Y,'Threshold Summary'!$K:$K,""),'Pokemon Editor'!$A:$A,'Pokemon Editor'!$F:$F,0)+31+FLOOR(XLOOKUP($Q38,'Threshold Summary'!$Y:$Y,'Threshold Summary'!$P:$P,"")/4))*XLOOKUP($Q38,'Threshold Summary'!$Y:$Y,'Threshold Summary'!$L:$L,""))/100)+5)*XLOOKUP(XLOOKUP($Q38,'Threshold Summary'!$Y:$Y,'Threshold Summary'!$M:$M,""),'Nature Editor'!$A:$A,'Nature Editor'!$B:$B,1)),FLOOR((FLOOR(((2*XLOOKUP(XLOOKUP($Q38,'Threshold Summary'!$Y:$Y,'Threshold Summary'!$K:$K,""),'Pokemon Editor'!$A:$A,'Pokemon Editor'!$H:$H,0)+31+FLOOR(XLOOKUP($Q38,'Threshold Summary'!$Y:$Y,'Threshold Summary'!$R:$R,"")/4))*XLOOKUP($Q38,'Threshold Summary'!$Y:$Y,'Threshold Summary'!$L:$L,""))/100)+5)*XLOOKUP(XLOOKUP($Q38,'Threshold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Editor'!$E:$E,1))),stab,IF(OR(mtype=XLOOKUP(XLOOKUP($Q38,'Threshold Summary'!$Y:$Y,'Threshold Summary'!$K:$K,""),'Pokemon Editor'!$A:$A,'Pokemon Editor'!$C:$C,""),mtype=XLOOKUP(XLOOKUP($Q38,'Threshold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Chart'!$B$1:$S$1,0)))),base,IF(OR(cat="Status",pow=0),0,FLOOR(FLOOR(FLOOR((2*XLOOKUP($Q38,'Threshold Summary'!$Y:$Y,'Threshold Summary'!$L:$L,"")/5+2)*pow*atk/def)/50)+2)),modifier,stab*eff,AVERAGE(ARRAYFORMULA(FLOOR(base*modifier*SEQUENCE(16,1,85,1)/100)))*MIN(1,acc/100)),0)</f>
        <v/>
      </c>
      <c r="N38" s="4">
        <f>IFERROR(LET(mtype,XLOOKUP($D38,'Move Editor'!$B:$B,'Move Editor'!$C:$C,""),cat,XLOOKUP($D38,'Move Editor'!$B:$B,'Move Editor'!$D:$D,""),pow,XLOOKUP($D38,'Move Editor'!$B:$B,'Move Editor'!$E:$E,0),acc,XLOOKUP($D38,'Move Editor'!$B:$B,'Move Editor'!$F:$F,100),atk,IF(cat="Physical",FLOOR((FLOOR(((2*XLOOKUP(XLOOKUP($Q38,'Threshold Summary'!$Y:$Y,'Threshold Summary'!$K:$K,""),'Pokemon Editor'!$A:$A,'Pokemon Editor'!$F:$F,0)+31+FLOOR(XLOOKUP($Q38,'Threshold Summary'!$Y:$Y,'Threshold Summary'!$P:$P,"")/4))*XLOOKUP($Q38,'Threshold Summary'!$Y:$Y,'Threshold Summary'!$L:$L,""))/100)+5)*XLOOKUP(XLOOKUP($Q38,'Threshold Summary'!$Y:$Y,'Threshold Summary'!$M:$M,""),'Nature Editor'!$A:$A,'Nature Editor'!$B:$B,1)),FLOOR((FLOOR(((2*XLOOKUP(XLOOKUP($Q38,'Threshold Summary'!$Y:$Y,'Threshold Summary'!$K:$K,""),'Pokemon Editor'!$A:$A,'Pokemon Editor'!$H:$H,0)+31+FLOOR(XLOOKUP($Q38,'Threshold Summary'!$Y:$Y,'Threshold Summary'!$R:$R,"")/4))*XLOOKUP($Q38,'Threshold Summary'!$Y:$Y,'Threshold Summary'!$L:$L,""))/100)+5)*XLOOKUP(XLOOKUP($Q38,'Threshold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Editor'!$E:$E,1))),stab,IF(OR(mtype=XLOOKUP(XLOOKUP($Q38,'Threshold Summary'!$Y:$Y,'Threshold Summary'!$K:$K,""),'Pokemon Editor'!$A:$A,'Pokemon Editor'!$C:$C,""),mtype=XLOOKUP(XLOOKUP($Q38,'Threshold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Chart'!$B$1:$S$1,0)))),base,IF(OR(cat="Status",pow=0),0,FLOOR(FLOOR(FLOOR((2*XLOOKUP($Q38,'Threshold Summary'!$Y:$Y,'Threshold Summary'!$L:$L,"")/5+2)*pow*atk/def)/50)+2)),modifier,stab*eff,AVERAGE(ARRAYFORMULA(FLOOR(base*modifier*SEQUENCE(16,1,85,1)/100)))/(FLOOR(((2*XLOOKUP('Boss Editor'!$C$4,'Pokemon Editor'!$A:$A,'Pokemon Editor'!$E:$E,0)+31+FLOOR('Boss Editor'!$G$4/4))*'Boss Editor'!$D$4)/100)+'Boss Editor'!$D$4+10)),0)</f>
        <v/>
      </c>
      <c r="O38" s="3">
        <f>IF(N38&gt;=1,"OHKO",IF(N38&gt;=0.5,"2HKO",IF(N38&gt;=0.333,"3HKO",IF(N38&gt;=0.25,"4HKO","5HKO+"))))</f>
        <v/>
      </c>
      <c r="P38" s="3" t="inlineStr">
        <is>
          <t>Live from editable databases</t>
        </is>
      </c>
      <c r="Q38" s="3" t="inlineStr">
        <is>
          <t>SPECIES_SENTRET</t>
        </is>
      </c>
      <c r="R38" s="3" t="n">
        <v>5</v>
      </c>
    </row>
    <row r="39">
      <c r="A39" s="3">
        <f>XLOOKUP($Q39,'Threshold Summary'!$Y:$Y,'Threshold Summary'!$A:$A,"")</f>
        <v/>
      </c>
      <c r="B39" s="3">
        <f>XLOOKUP($Q39,'Threshold Summary'!$Y:$Y,'Threshold Summary'!$M:$M,"")</f>
        <v/>
      </c>
      <c r="C39" s="3">
        <f>XLOOKUP($Q39,'Threshold Summary'!$Y:$Y,'Threshold Summary'!$N:$N,"")</f>
        <v/>
      </c>
      <c r="D39" s="3">
        <f>IFERROR(INDEX(FILTER('Learnset Editor'!$D$2:$D,'Learnset Editor'!$A$2:$A=XLOOKUP($Q39,'Threshold Summary'!$Y:$Y,'Threshold Summary'!$K:$K,""),'Learnset Editor'!$C$2:$C&lt;=XLOOKUP($Q39,'Threshold Summary'!$Y:$Y,'Threshold Summary'!$L:$L,"")),$R39),"")</f>
        <v/>
      </c>
      <c r="E39" s="3">
        <f>XLOOKUP(D39,'Move Editor'!$B:$B,'Move Editor'!$C:$C,"")</f>
        <v/>
      </c>
      <c r="F39" s="3">
        <f>XLOOKUP(D39,'Move Editor'!$B:$B,'Move Editor'!$D:$D,"")</f>
        <v/>
      </c>
      <c r="G39" s="3">
        <f>XLOOKUP(D39,'Move Editor'!$B:$B,'Move Editor'!$E:$E,0)</f>
        <v/>
      </c>
      <c r="H39" s="3">
        <f>XLOOKUP(D39,'Move Editor'!$B:$B,'Move Editor'!$F:$F,0)</f>
        <v/>
      </c>
      <c r="I39" s="3">
        <f>(INDEX('Type Chart'!$B:$S,MATCH(E39,'Type Chart'!$A:$A,0),MATCH(XLOOKUP('Boss Editor'!$C$4,'Pokemon Editor'!$A:$A,'Pokemon Editor'!$C:$C,""),'Type Chart'!$B$1:$S$1,0))*IF(XLOOKUP('Boss Editor'!$C$4,'Pokemon Editor'!$A:$A,'Pokemon Editor'!$D:$D,"")="",1,INDEX('Type Chart'!$B:$S,MATCH(E39,'Type Chart'!$A:$A,0),MATCH(XLOOKUP('Boss Editor'!$C$4,'Pokemon Editor'!$A:$A,'Pokemon Editor'!$D:$D,""),'Type Chart'!$B$1:$S$1,0))))</f>
        <v/>
      </c>
      <c r="J39" s="3">
        <f>IFERROR(LET(mtype,XLOOKUP($D39,'Move Editor'!$B:$B,'Move Editor'!$C:$C,""),cat,XLOOKUP($D39,'Move Editor'!$B:$B,'Move Editor'!$D:$D,""),pow,XLOOKUP($D39,'Move Editor'!$B:$B,'Move Editor'!$E:$E,0),acc,XLOOKUP($D39,'Move Editor'!$B:$B,'Move Editor'!$F:$F,100),atk,IF(cat="Physical",FLOOR((FLOOR(((2*XLOOKUP(XLOOKUP($Q39,'Threshold Summary'!$Y:$Y,'Threshold Summary'!$K:$K,""),'Pokemon Editor'!$A:$A,'Pokemon Editor'!$F:$F,0)+31+FLOOR(XLOOKUP($Q39,'Threshold Summary'!$Y:$Y,'Threshold Summary'!$P:$P,"")/4))*XLOOKUP($Q39,'Threshold Summary'!$Y:$Y,'Threshold Summary'!$L:$L,""))/100)+5)*XLOOKUP(XLOOKUP($Q39,'Threshold Summary'!$Y:$Y,'Threshold Summary'!$M:$M,""),'Nature Editor'!$A:$A,'Nature Editor'!$B:$B,1)),FLOOR((FLOOR(((2*XLOOKUP(XLOOKUP($Q39,'Threshold Summary'!$Y:$Y,'Threshold Summary'!$K:$K,""),'Pokemon Editor'!$A:$A,'Pokemon Editor'!$H:$H,0)+31+FLOOR(XLOOKUP($Q39,'Threshold Summary'!$Y:$Y,'Threshold Summary'!$R:$R,"")/4))*XLOOKUP($Q39,'Threshold Summary'!$Y:$Y,'Threshold Summary'!$L:$L,""))/100)+5)*XLOOKUP(XLOOKUP($Q39,'Threshold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Editor'!$E:$E,1))),stab,IF(OR(mtype=XLOOKUP(XLOOKUP($Q39,'Threshold Summary'!$Y:$Y,'Threshold Summary'!$K:$K,""),'Pokemon Editor'!$A:$A,'Pokemon Editor'!$C:$C,""),mtype=XLOOKUP(XLOOKUP($Q39,'Threshold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Chart'!$B$1:$S$1,0)))),base,IF(OR(cat="Status",pow=0),0,FLOOR(FLOOR(FLOOR((2*XLOOKUP($Q39,'Threshold Summary'!$Y:$Y,'Threshold Summary'!$L:$L,"")/5+2)*pow*atk/def)/50)+2)),modifier,stab*eff,FLOOR(base*modifier*0.85)),0)</f>
        <v/>
      </c>
      <c r="K39" s="3">
        <f>IFERROR(LET(mtype,XLOOKUP($D39,'Move Editor'!$B:$B,'Move Editor'!$C:$C,""),cat,XLOOKUP($D39,'Move Editor'!$B:$B,'Move Editor'!$D:$D,""),pow,XLOOKUP($D39,'Move Editor'!$B:$B,'Move Editor'!$E:$E,0),acc,XLOOKUP($D39,'Move Editor'!$B:$B,'Move Editor'!$F:$F,100),atk,IF(cat="Physical",FLOOR((FLOOR(((2*XLOOKUP(XLOOKUP($Q39,'Threshold Summary'!$Y:$Y,'Threshold Summary'!$K:$K,""),'Pokemon Editor'!$A:$A,'Pokemon Editor'!$F:$F,0)+31+FLOOR(XLOOKUP($Q39,'Threshold Summary'!$Y:$Y,'Threshold Summary'!$P:$P,"")/4))*XLOOKUP($Q39,'Threshold Summary'!$Y:$Y,'Threshold Summary'!$L:$L,""))/100)+5)*XLOOKUP(XLOOKUP($Q39,'Threshold Summary'!$Y:$Y,'Threshold Summary'!$M:$M,""),'Nature Editor'!$A:$A,'Nature Editor'!$B:$B,1)),FLOOR((FLOOR(((2*XLOOKUP(XLOOKUP($Q39,'Threshold Summary'!$Y:$Y,'Threshold Summary'!$K:$K,""),'Pokemon Editor'!$A:$A,'Pokemon Editor'!$H:$H,0)+31+FLOOR(XLOOKUP($Q39,'Threshold Summary'!$Y:$Y,'Threshold Summary'!$R:$R,"")/4))*XLOOKUP($Q39,'Threshold Summary'!$Y:$Y,'Threshold Summary'!$L:$L,""))/100)+5)*XLOOKUP(XLOOKUP($Q39,'Threshold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Editor'!$E:$E,1))),stab,IF(OR(mtype=XLOOKUP(XLOOKUP($Q39,'Threshold Summary'!$Y:$Y,'Threshold Summary'!$K:$K,""),'Pokemon Editor'!$A:$A,'Pokemon Editor'!$C:$C,""),mtype=XLOOKUP(XLOOKUP($Q39,'Threshold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Chart'!$B$1:$S$1,0)))),base,IF(OR(cat="Status",pow=0),0,FLOOR(FLOOR(FLOOR((2*XLOOKUP($Q39,'Threshold Summary'!$Y:$Y,'Threshold Summary'!$L:$L,"")/5+2)*pow*atk/def)/50)+2)),modifier,stab*eff,FLOOR(base*modifier)),0)</f>
        <v/>
      </c>
      <c r="L39" s="3">
        <f>IFERROR(LET(mtype,XLOOKUP($D39,'Move Editor'!$B:$B,'Move Editor'!$C:$C,""),cat,XLOOKUP($D39,'Move Editor'!$B:$B,'Move Editor'!$D:$D,""),pow,XLOOKUP($D39,'Move Editor'!$B:$B,'Move Editor'!$E:$E,0),acc,XLOOKUP($D39,'Move Editor'!$B:$B,'Move Editor'!$F:$F,100),atk,IF(cat="Physical",FLOOR((FLOOR(((2*XLOOKUP(XLOOKUP($Q39,'Threshold Summary'!$Y:$Y,'Threshold Summary'!$K:$K,""),'Pokemon Editor'!$A:$A,'Pokemon Editor'!$F:$F,0)+31+FLOOR(XLOOKUP($Q39,'Threshold Summary'!$Y:$Y,'Threshold Summary'!$P:$P,"")/4))*XLOOKUP($Q39,'Threshold Summary'!$Y:$Y,'Threshold Summary'!$L:$L,""))/100)+5)*XLOOKUP(XLOOKUP($Q39,'Threshold Summary'!$Y:$Y,'Threshold Summary'!$M:$M,""),'Nature Editor'!$A:$A,'Nature Editor'!$B:$B,1)),FLOOR((FLOOR(((2*XLOOKUP(XLOOKUP($Q39,'Threshold Summary'!$Y:$Y,'Threshold Summary'!$K:$K,""),'Pokemon Editor'!$A:$A,'Pokemon Editor'!$H:$H,0)+31+FLOOR(XLOOKUP($Q39,'Threshold Summary'!$Y:$Y,'Threshold Summary'!$R:$R,"")/4))*XLOOKUP($Q39,'Threshold Summary'!$Y:$Y,'Threshold Summary'!$L:$L,""))/100)+5)*XLOOKUP(XLOOKUP($Q39,'Threshold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Editor'!$E:$E,1))),stab,IF(OR(mtype=XLOOKUP(XLOOKUP($Q39,'Threshold Summary'!$Y:$Y,'Threshold Summary'!$K:$K,""),'Pokemon Editor'!$A:$A,'Pokemon Editor'!$C:$C,""),mtype=XLOOKUP(XLOOKUP($Q39,'Threshold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Chart'!$B$1:$S$1,0)))),base,IF(OR(cat="Status",pow=0),0,FLOOR(FLOOR(FLOOR((2*XLOOKUP($Q39,'Threshold Summary'!$Y:$Y,'Threshold Summary'!$L:$L,"")/5+2)*pow*atk/def)/50)+2)),modifier,stab*eff,AVERAGE(ARRAYFORMULA(FLOOR(base*modifier*SEQUENCE(16,1,85,1)/100)))),0)</f>
        <v/>
      </c>
      <c r="M39" s="3">
        <f>IFERROR(LET(mtype,XLOOKUP($D39,'Move Editor'!$B:$B,'Move Editor'!$C:$C,""),cat,XLOOKUP($D39,'Move Editor'!$B:$B,'Move Editor'!$D:$D,""),pow,XLOOKUP($D39,'Move Editor'!$B:$B,'Move Editor'!$E:$E,0),acc,XLOOKUP($D39,'Move Editor'!$B:$B,'Move Editor'!$F:$F,100),atk,IF(cat="Physical",FLOOR((FLOOR(((2*XLOOKUP(XLOOKUP($Q39,'Threshold Summary'!$Y:$Y,'Threshold Summary'!$K:$K,""),'Pokemon Editor'!$A:$A,'Pokemon Editor'!$F:$F,0)+31+FLOOR(XLOOKUP($Q39,'Threshold Summary'!$Y:$Y,'Threshold Summary'!$P:$P,"")/4))*XLOOKUP($Q39,'Threshold Summary'!$Y:$Y,'Threshold Summary'!$L:$L,""))/100)+5)*XLOOKUP(XLOOKUP($Q39,'Threshold Summary'!$Y:$Y,'Threshold Summary'!$M:$M,""),'Nature Editor'!$A:$A,'Nature Editor'!$B:$B,1)),FLOOR((FLOOR(((2*XLOOKUP(XLOOKUP($Q39,'Threshold Summary'!$Y:$Y,'Threshold Summary'!$K:$K,""),'Pokemon Editor'!$A:$A,'Pokemon Editor'!$H:$H,0)+31+FLOOR(XLOOKUP($Q39,'Threshold Summary'!$Y:$Y,'Threshold Summary'!$R:$R,"")/4))*XLOOKUP($Q39,'Threshold Summary'!$Y:$Y,'Threshold Summary'!$L:$L,""))/100)+5)*XLOOKUP(XLOOKUP($Q39,'Threshold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Editor'!$E:$E,1))),stab,IF(OR(mtype=XLOOKUP(XLOOKUP($Q39,'Threshold Summary'!$Y:$Y,'Threshold Summary'!$K:$K,""),'Pokemon Editor'!$A:$A,'Pokemon Editor'!$C:$C,""),mtype=XLOOKUP(XLOOKUP($Q39,'Threshold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Chart'!$B$1:$S$1,0)))),base,IF(OR(cat="Status",pow=0),0,FLOOR(FLOOR(FLOOR((2*XLOOKUP($Q39,'Threshold Summary'!$Y:$Y,'Threshold Summary'!$L:$L,"")/5+2)*pow*atk/def)/50)+2)),modifier,stab*eff,AVERAGE(ARRAYFORMULA(FLOOR(base*modifier*SEQUENCE(16,1,85,1)/100)))*MIN(1,acc/100)),0)</f>
        <v/>
      </c>
      <c r="N39" s="4">
        <f>IFERROR(LET(mtype,XLOOKUP($D39,'Move Editor'!$B:$B,'Move Editor'!$C:$C,""),cat,XLOOKUP($D39,'Move Editor'!$B:$B,'Move Editor'!$D:$D,""),pow,XLOOKUP($D39,'Move Editor'!$B:$B,'Move Editor'!$E:$E,0),acc,XLOOKUP($D39,'Move Editor'!$B:$B,'Move Editor'!$F:$F,100),atk,IF(cat="Physical",FLOOR((FLOOR(((2*XLOOKUP(XLOOKUP($Q39,'Threshold Summary'!$Y:$Y,'Threshold Summary'!$K:$K,""),'Pokemon Editor'!$A:$A,'Pokemon Editor'!$F:$F,0)+31+FLOOR(XLOOKUP($Q39,'Threshold Summary'!$Y:$Y,'Threshold Summary'!$P:$P,"")/4))*XLOOKUP($Q39,'Threshold Summary'!$Y:$Y,'Threshold Summary'!$L:$L,""))/100)+5)*XLOOKUP(XLOOKUP($Q39,'Threshold Summary'!$Y:$Y,'Threshold Summary'!$M:$M,""),'Nature Editor'!$A:$A,'Nature Editor'!$B:$B,1)),FLOOR((FLOOR(((2*XLOOKUP(XLOOKUP($Q39,'Threshold Summary'!$Y:$Y,'Threshold Summary'!$K:$K,""),'Pokemon Editor'!$A:$A,'Pokemon Editor'!$H:$H,0)+31+FLOOR(XLOOKUP($Q39,'Threshold Summary'!$Y:$Y,'Threshold Summary'!$R:$R,"")/4))*XLOOKUP($Q39,'Threshold Summary'!$Y:$Y,'Threshold Summary'!$L:$L,""))/100)+5)*XLOOKUP(XLOOKUP($Q39,'Threshold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Editor'!$E:$E,1))),stab,IF(OR(mtype=XLOOKUP(XLOOKUP($Q39,'Threshold Summary'!$Y:$Y,'Threshold Summary'!$K:$K,""),'Pokemon Editor'!$A:$A,'Pokemon Editor'!$C:$C,""),mtype=XLOOKUP(XLOOKUP($Q39,'Threshold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Chart'!$B$1:$S$1,0)))),base,IF(OR(cat="Status",pow=0),0,FLOOR(FLOOR(FLOOR((2*XLOOKUP($Q39,'Threshold Summary'!$Y:$Y,'Threshold Summary'!$L:$L,"")/5+2)*pow*atk/def)/50)+2)),modifier,stab*eff,AVERAGE(ARRAYFORMULA(FLOOR(base*modifier*SEQUENCE(16,1,85,1)/100)))/(FLOOR(((2*XLOOKUP('Boss Editor'!$C$4,'Pokemon Editor'!$A:$A,'Pokemon Editor'!$E:$E,0)+31+FLOOR('Boss Editor'!$G$4/4))*'Boss Editor'!$D$4)/100)+'Boss Editor'!$D$4+10)),0)</f>
        <v/>
      </c>
      <c r="O39" s="3">
        <f>IF(N39&gt;=1,"OHKO",IF(N39&gt;=0.5,"2HKO",IF(N39&gt;=0.333,"3HKO",IF(N39&gt;=0.25,"4HKO","5HKO+"))))</f>
        <v/>
      </c>
      <c r="P39" s="3" t="inlineStr">
        <is>
          <t>Live from editable databases</t>
        </is>
      </c>
      <c r="Q39" s="3" t="inlineStr">
        <is>
          <t>SPECIES_SENTRET</t>
        </is>
      </c>
      <c r="R39" s="3" t="n">
        <v>6</v>
      </c>
    </row>
    <row r="40">
      <c r="A40" s="3">
        <f>XLOOKUP($Q40,'Threshold Summary'!$Y:$Y,'Threshold Summary'!$A:$A,"")</f>
        <v/>
      </c>
      <c r="B40" s="3">
        <f>XLOOKUP($Q40,'Threshold Summary'!$Y:$Y,'Threshold Summary'!$M:$M,"")</f>
        <v/>
      </c>
      <c r="C40" s="3">
        <f>XLOOKUP($Q40,'Threshold Summary'!$Y:$Y,'Threshold Summary'!$N:$N,"")</f>
        <v/>
      </c>
      <c r="D40" s="3">
        <f>IFERROR(INDEX(FILTER('Learnset Editor'!$D$2:$D,'Learnset Editor'!$A$2:$A=XLOOKUP($Q40,'Threshold Summary'!$Y:$Y,'Threshold Summary'!$K:$K,""),'Learnset Editor'!$C$2:$C&lt;=XLOOKUP($Q40,'Threshold Summary'!$Y:$Y,'Threshold Summary'!$L:$L,"")),$R40),"")</f>
        <v/>
      </c>
      <c r="E40" s="3">
        <f>XLOOKUP(D40,'Move Editor'!$B:$B,'Move Editor'!$C:$C,"")</f>
        <v/>
      </c>
      <c r="F40" s="3">
        <f>XLOOKUP(D40,'Move Editor'!$B:$B,'Move Editor'!$D:$D,"")</f>
        <v/>
      </c>
      <c r="G40" s="3">
        <f>XLOOKUP(D40,'Move Editor'!$B:$B,'Move Editor'!$E:$E,0)</f>
        <v/>
      </c>
      <c r="H40" s="3">
        <f>XLOOKUP(D40,'Move Editor'!$B:$B,'Move Editor'!$F:$F,0)</f>
        <v/>
      </c>
      <c r="I40" s="3">
        <f>(INDEX('Type Chart'!$B:$S,MATCH(E40,'Type Chart'!$A:$A,0),MATCH(XLOOKUP('Boss Editor'!$C$4,'Pokemon Editor'!$A:$A,'Pokemon Editor'!$C:$C,""),'Type Chart'!$B$1:$S$1,0))*IF(XLOOKUP('Boss Editor'!$C$4,'Pokemon Editor'!$A:$A,'Pokemon Editor'!$D:$D,"")="",1,INDEX('Type Chart'!$B:$S,MATCH(E40,'Type Chart'!$A:$A,0),MATCH(XLOOKUP('Boss Editor'!$C$4,'Pokemon Editor'!$A:$A,'Pokemon Editor'!$D:$D,""),'Type Chart'!$B$1:$S$1,0))))</f>
        <v/>
      </c>
      <c r="J40" s="3">
        <f>IFERROR(LET(mtype,XLOOKUP($D40,'Move Editor'!$B:$B,'Move Editor'!$C:$C,""),cat,XLOOKUP($D40,'Move Editor'!$B:$B,'Move Editor'!$D:$D,""),pow,XLOOKUP($D40,'Move Editor'!$B:$B,'Move Editor'!$E:$E,0),acc,XLOOKUP($D40,'Move Editor'!$B:$B,'Move Editor'!$F:$F,100),atk,IF(cat="Physical",FLOOR((FLOOR(((2*XLOOKUP(XLOOKUP($Q40,'Threshold Summary'!$Y:$Y,'Threshold Summary'!$K:$K,""),'Pokemon Editor'!$A:$A,'Pokemon Editor'!$F:$F,0)+31+FLOOR(XLOOKUP($Q40,'Threshold Summary'!$Y:$Y,'Threshold Summary'!$P:$P,"")/4))*XLOOKUP($Q40,'Threshold Summary'!$Y:$Y,'Threshold Summary'!$L:$L,""))/100)+5)*XLOOKUP(XLOOKUP($Q40,'Threshold Summary'!$Y:$Y,'Threshold Summary'!$M:$M,""),'Nature Editor'!$A:$A,'Nature Editor'!$B:$B,1)),FLOOR((FLOOR(((2*XLOOKUP(XLOOKUP($Q40,'Threshold Summary'!$Y:$Y,'Threshold Summary'!$K:$K,""),'Pokemon Editor'!$A:$A,'Pokemon Editor'!$H:$H,0)+31+FLOOR(XLOOKUP($Q40,'Threshold Summary'!$Y:$Y,'Threshold Summary'!$R:$R,"")/4))*XLOOKUP($Q40,'Threshold Summary'!$Y:$Y,'Threshold Summary'!$L:$L,""))/100)+5)*XLOOKUP(XLOOKUP($Q40,'Threshold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Editor'!$E:$E,1))),stab,IF(OR(mtype=XLOOKUP(XLOOKUP($Q40,'Threshold Summary'!$Y:$Y,'Threshold Summary'!$K:$K,""),'Pokemon Editor'!$A:$A,'Pokemon Editor'!$C:$C,""),mtype=XLOOKUP(XLOOKUP($Q40,'Threshold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Chart'!$B$1:$S$1,0)))),base,IF(OR(cat="Status",pow=0),0,FLOOR(FLOOR(FLOOR((2*XLOOKUP($Q40,'Threshold Summary'!$Y:$Y,'Threshold Summary'!$L:$L,"")/5+2)*pow*atk/def)/50)+2)),modifier,stab*eff,FLOOR(base*modifier*0.85)),0)</f>
        <v/>
      </c>
      <c r="K40" s="3">
        <f>IFERROR(LET(mtype,XLOOKUP($D40,'Move Editor'!$B:$B,'Move Editor'!$C:$C,""),cat,XLOOKUP($D40,'Move Editor'!$B:$B,'Move Editor'!$D:$D,""),pow,XLOOKUP($D40,'Move Editor'!$B:$B,'Move Editor'!$E:$E,0),acc,XLOOKUP($D40,'Move Editor'!$B:$B,'Move Editor'!$F:$F,100),atk,IF(cat="Physical",FLOOR((FLOOR(((2*XLOOKUP(XLOOKUP($Q40,'Threshold Summary'!$Y:$Y,'Threshold Summary'!$K:$K,""),'Pokemon Editor'!$A:$A,'Pokemon Editor'!$F:$F,0)+31+FLOOR(XLOOKUP($Q40,'Threshold Summary'!$Y:$Y,'Threshold Summary'!$P:$P,"")/4))*XLOOKUP($Q40,'Threshold Summary'!$Y:$Y,'Threshold Summary'!$L:$L,""))/100)+5)*XLOOKUP(XLOOKUP($Q40,'Threshold Summary'!$Y:$Y,'Threshold Summary'!$M:$M,""),'Nature Editor'!$A:$A,'Nature Editor'!$B:$B,1)),FLOOR((FLOOR(((2*XLOOKUP(XLOOKUP($Q40,'Threshold Summary'!$Y:$Y,'Threshold Summary'!$K:$K,""),'Pokemon Editor'!$A:$A,'Pokemon Editor'!$H:$H,0)+31+FLOOR(XLOOKUP($Q40,'Threshold Summary'!$Y:$Y,'Threshold Summary'!$R:$R,"")/4))*XLOOKUP($Q40,'Threshold Summary'!$Y:$Y,'Threshold Summary'!$L:$L,""))/100)+5)*XLOOKUP(XLOOKUP($Q40,'Threshold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Editor'!$E:$E,1))),stab,IF(OR(mtype=XLOOKUP(XLOOKUP($Q40,'Threshold Summary'!$Y:$Y,'Threshold Summary'!$K:$K,""),'Pokemon Editor'!$A:$A,'Pokemon Editor'!$C:$C,""),mtype=XLOOKUP(XLOOKUP($Q40,'Threshold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Chart'!$B$1:$S$1,0)))),base,IF(OR(cat="Status",pow=0),0,FLOOR(FLOOR(FLOOR((2*XLOOKUP($Q40,'Threshold Summary'!$Y:$Y,'Threshold Summary'!$L:$L,"")/5+2)*pow*atk/def)/50)+2)),modifier,stab*eff,FLOOR(base*modifier)),0)</f>
        <v/>
      </c>
      <c r="L40" s="3">
        <f>IFERROR(LET(mtype,XLOOKUP($D40,'Move Editor'!$B:$B,'Move Editor'!$C:$C,""),cat,XLOOKUP($D40,'Move Editor'!$B:$B,'Move Editor'!$D:$D,""),pow,XLOOKUP($D40,'Move Editor'!$B:$B,'Move Editor'!$E:$E,0),acc,XLOOKUP($D40,'Move Editor'!$B:$B,'Move Editor'!$F:$F,100),atk,IF(cat="Physical",FLOOR((FLOOR(((2*XLOOKUP(XLOOKUP($Q40,'Threshold Summary'!$Y:$Y,'Threshold Summary'!$K:$K,""),'Pokemon Editor'!$A:$A,'Pokemon Editor'!$F:$F,0)+31+FLOOR(XLOOKUP($Q40,'Threshold Summary'!$Y:$Y,'Threshold Summary'!$P:$P,"")/4))*XLOOKUP($Q40,'Threshold Summary'!$Y:$Y,'Threshold Summary'!$L:$L,""))/100)+5)*XLOOKUP(XLOOKUP($Q40,'Threshold Summary'!$Y:$Y,'Threshold Summary'!$M:$M,""),'Nature Editor'!$A:$A,'Nature Editor'!$B:$B,1)),FLOOR((FLOOR(((2*XLOOKUP(XLOOKUP($Q40,'Threshold Summary'!$Y:$Y,'Threshold Summary'!$K:$K,""),'Pokemon Editor'!$A:$A,'Pokemon Editor'!$H:$H,0)+31+FLOOR(XLOOKUP($Q40,'Threshold Summary'!$Y:$Y,'Threshold Summary'!$R:$R,"")/4))*XLOOKUP($Q40,'Threshold Summary'!$Y:$Y,'Threshold Summary'!$L:$L,""))/100)+5)*XLOOKUP(XLOOKUP($Q40,'Threshold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Editor'!$E:$E,1))),stab,IF(OR(mtype=XLOOKUP(XLOOKUP($Q40,'Threshold Summary'!$Y:$Y,'Threshold Summary'!$K:$K,""),'Pokemon Editor'!$A:$A,'Pokemon Editor'!$C:$C,""),mtype=XLOOKUP(XLOOKUP($Q40,'Threshold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Chart'!$B$1:$S$1,0)))),base,IF(OR(cat="Status",pow=0),0,FLOOR(FLOOR(FLOOR((2*XLOOKUP($Q40,'Threshold Summary'!$Y:$Y,'Threshold Summary'!$L:$L,"")/5+2)*pow*atk/def)/50)+2)),modifier,stab*eff,AVERAGE(ARRAYFORMULA(FLOOR(base*modifier*SEQUENCE(16,1,85,1)/100)))),0)</f>
        <v/>
      </c>
      <c r="M40" s="3">
        <f>IFERROR(LET(mtype,XLOOKUP($D40,'Move Editor'!$B:$B,'Move Editor'!$C:$C,""),cat,XLOOKUP($D40,'Move Editor'!$B:$B,'Move Editor'!$D:$D,""),pow,XLOOKUP($D40,'Move Editor'!$B:$B,'Move Editor'!$E:$E,0),acc,XLOOKUP($D40,'Move Editor'!$B:$B,'Move Editor'!$F:$F,100),atk,IF(cat="Physical",FLOOR((FLOOR(((2*XLOOKUP(XLOOKUP($Q40,'Threshold Summary'!$Y:$Y,'Threshold Summary'!$K:$K,""),'Pokemon Editor'!$A:$A,'Pokemon Editor'!$F:$F,0)+31+FLOOR(XLOOKUP($Q40,'Threshold Summary'!$Y:$Y,'Threshold Summary'!$P:$P,"")/4))*XLOOKUP($Q40,'Threshold Summary'!$Y:$Y,'Threshold Summary'!$L:$L,""))/100)+5)*XLOOKUP(XLOOKUP($Q40,'Threshold Summary'!$Y:$Y,'Threshold Summary'!$M:$M,""),'Nature Editor'!$A:$A,'Nature Editor'!$B:$B,1)),FLOOR((FLOOR(((2*XLOOKUP(XLOOKUP($Q40,'Threshold Summary'!$Y:$Y,'Threshold Summary'!$K:$K,""),'Pokemon Editor'!$A:$A,'Pokemon Editor'!$H:$H,0)+31+FLOOR(XLOOKUP($Q40,'Threshold Summary'!$Y:$Y,'Threshold Summary'!$R:$R,"")/4))*XLOOKUP($Q40,'Threshold Summary'!$Y:$Y,'Threshold Summary'!$L:$L,""))/100)+5)*XLOOKUP(XLOOKUP($Q40,'Threshold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Editor'!$E:$E,1))),stab,IF(OR(mtype=XLOOKUP(XLOOKUP($Q40,'Threshold Summary'!$Y:$Y,'Threshold Summary'!$K:$K,""),'Pokemon Editor'!$A:$A,'Pokemon Editor'!$C:$C,""),mtype=XLOOKUP(XLOOKUP($Q40,'Threshold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Chart'!$B$1:$S$1,0)))),base,IF(OR(cat="Status",pow=0),0,FLOOR(FLOOR(FLOOR((2*XLOOKUP($Q40,'Threshold Summary'!$Y:$Y,'Threshold Summary'!$L:$L,"")/5+2)*pow*atk/def)/50)+2)),modifier,stab*eff,AVERAGE(ARRAYFORMULA(FLOOR(base*modifier*SEQUENCE(16,1,85,1)/100)))*MIN(1,acc/100)),0)</f>
        <v/>
      </c>
      <c r="N40" s="4">
        <f>IFERROR(LET(mtype,XLOOKUP($D40,'Move Editor'!$B:$B,'Move Editor'!$C:$C,""),cat,XLOOKUP($D40,'Move Editor'!$B:$B,'Move Editor'!$D:$D,""),pow,XLOOKUP($D40,'Move Editor'!$B:$B,'Move Editor'!$E:$E,0),acc,XLOOKUP($D40,'Move Editor'!$B:$B,'Move Editor'!$F:$F,100),atk,IF(cat="Physical",FLOOR((FLOOR(((2*XLOOKUP(XLOOKUP($Q40,'Threshold Summary'!$Y:$Y,'Threshold Summary'!$K:$K,""),'Pokemon Editor'!$A:$A,'Pokemon Editor'!$F:$F,0)+31+FLOOR(XLOOKUP($Q40,'Threshold Summary'!$Y:$Y,'Threshold Summary'!$P:$P,"")/4))*XLOOKUP($Q40,'Threshold Summary'!$Y:$Y,'Threshold Summary'!$L:$L,""))/100)+5)*XLOOKUP(XLOOKUP($Q40,'Threshold Summary'!$Y:$Y,'Threshold Summary'!$M:$M,""),'Nature Editor'!$A:$A,'Nature Editor'!$B:$B,1)),FLOOR((FLOOR(((2*XLOOKUP(XLOOKUP($Q40,'Threshold Summary'!$Y:$Y,'Threshold Summary'!$K:$K,""),'Pokemon Editor'!$A:$A,'Pokemon Editor'!$H:$H,0)+31+FLOOR(XLOOKUP($Q40,'Threshold Summary'!$Y:$Y,'Threshold Summary'!$R:$R,"")/4))*XLOOKUP($Q40,'Threshold Summary'!$Y:$Y,'Threshold Summary'!$L:$L,""))/100)+5)*XLOOKUP(XLOOKUP($Q40,'Threshold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Editor'!$E:$E,1))),stab,IF(OR(mtype=XLOOKUP(XLOOKUP($Q40,'Threshold Summary'!$Y:$Y,'Threshold Summary'!$K:$K,""),'Pokemon Editor'!$A:$A,'Pokemon Editor'!$C:$C,""),mtype=XLOOKUP(XLOOKUP($Q40,'Threshold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Chart'!$B$1:$S$1,0)))),base,IF(OR(cat="Status",pow=0),0,FLOOR(FLOOR(FLOOR((2*XLOOKUP($Q40,'Threshold Summary'!$Y:$Y,'Threshold Summary'!$L:$L,"")/5+2)*pow*atk/def)/50)+2)),modifier,stab*eff,AVERAGE(ARRAYFORMULA(FLOOR(base*modifier*SEQUENCE(16,1,85,1)/100)))/(FLOOR(((2*XLOOKUP('Boss Editor'!$C$4,'Pokemon Editor'!$A:$A,'Pokemon Editor'!$E:$E,0)+31+FLOOR('Boss Editor'!$G$4/4))*'Boss Editor'!$D$4)/100)+'Boss Editor'!$D$4+10)),0)</f>
        <v/>
      </c>
      <c r="O40" s="3">
        <f>IF(N40&gt;=1,"OHKO",IF(N40&gt;=0.5,"2HKO",IF(N40&gt;=0.333,"3HKO",IF(N40&gt;=0.25,"4HKO","5HKO+"))))</f>
        <v/>
      </c>
      <c r="P40" s="3" t="inlineStr">
        <is>
          <t>Live from editable databases</t>
        </is>
      </c>
      <c r="Q40" s="3" t="inlineStr">
        <is>
          <t>SPECIES_SENTRET</t>
        </is>
      </c>
      <c r="R40" s="3" t="n">
        <v>7</v>
      </c>
    </row>
    <row r="41">
      <c r="A41" s="3">
        <f>XLOOKUP($Q41,'Threshold Summary'!$Y:$Y,'Threshold Summary'!$A:$A,"")</f>
        <v/>
      </c>
      <c r="B41" s="3">
        <f>XLOOKUP($Q41,'Threshold Summary'!$Y:$Y,'Threshold Summary'!$M:$M,"")</f>
        <v/>
      </c>
      <c r="C41" s="3">
        <f>XLOOKUP($Q41,'Threshold Summary'!$Y:$Y,'Threshold Summary'!$N:$N,"")</f>
        <v/>
      </c>
      <c r="D41" s="3">
        <f>IFERROR(INDEX(FILTER('Learnset Editor'!$D$2:$D,'Learnset Editor'!$A$2:$A=XLOOKUP($Q41,'Threshold Summary'!$Y:$Y,'Threshold Summary'!$K:$K,""),'Learnset Editor'!$C$2:$C&lt;=XLOOKUP($Q41,'Threshold Summary'!$Y:$Y,'Threshold Summary'!$L:$L,"")),$R41),"")</f>
        <v/>
      </c>
      <c r="E41" s="3">
        <f>XLOOKUP(D41,'Move Editor'!$B:$B,'Move Editor'!$C:$C,"")</f>
        <v/>
      </c>
      <c r="F41" s="3">
        <f>XLOOKUP(D41,'Move Editor'!$B:$B,'Move Editor'!$D:$D,"")</f>
        <v/>
      </c>
      <c r="G41" s="3">
        <f>XLOOKUP(D41,'Move Editor'!$B:$B,'Move Editor'!$E:$E,0)</f>
        <v/>
      </c>
      <c r="H41" s="3">
        <f>XLOOKUP(D41,'Move Editor'!$B:$B,'Move Editor'!$F:$F,0)</f>
        <v/>
      </c>
      <c r="I41" s="3">
        <f>(INDEX('Type Chart'!$B:$S,MATCH(E41,'Type Chart'!$A:$A,0),MATCH(XLOOKUP('Boss Editor'!$C$4,'Pokemon Editor'!$A:$A,'Pokemon Editor'!$C:$C,""),'Type Chart'!$B$1:$S$1,0))*IF(XLOOKUP('Boss Editor'!$C$4,'Pokemon Editor'!$A:$A,'Pokemon Editor'!$D:$D,"")="",1,INDEX('Type Chart'!$B:$S,MATCH(E41,'Type Chart'!$A:$A,0),MATCH(XLOOKUP('Boss Editor'!$C$4,'Pokemon Editor'!$A:$A,'Pokemon Editor'!$D:$D,""),'Type Chart'!$B$1:$S$1,0))))</f>
        <v/>
      </c>
      <c r="J41" s="3">
        <f>IFERROR(LET(mtype,XLOOKUP($D41,'Move Editor'!$B:$B,'Move Editor'!$C:$C,""),cat,XLOOKUP($D41,'Move Editor'!$B:$B,'Move Editor'!$D:$D,""),pow,XLOOKUP($D41,'Move Editor'!$B:$B,'Move Editor'!$E:$E,0),acc,XLOOKUP($D41,'Move Editor'!$B:$B,'Move Editor'!$F:$F,100),atk,IF(cat="Physical",FLOOR((FLOOR(((2*XLOOKUP(XLOOKUP($Q41,'Threshold Summary'!$Y:$Y,'Threshold Summary'!$K:$K,""),'Pokemon Editor'!$A:$A,'Pokemon Editor'!$F:$F,0)+31+FLOOR(XLOOKUP($Q41,'Threshold Summary'!$Y:$Y,'Threshold Summary'!$P:$P,"")/4))*XLOOKUP($Q41,'Threshold Summary'!$Y:$Y,'Threshold Summary'!$L:$L,""))/100)+5)*XLOOKUP(XLOOKUP($Q41,'Threshold Summary'!$Y:$Y,'Threshold Summary'!$M:$M,""),'Nature Editor'!$A:$A,'Nature Editor'!$B:$B,1)),FLOOR((FLOOR(((2*XLOOKUP(XLOOKUP($Q41,'Threshold Summary'!$Y:$Y,'Threshold Summary'!$K:$K,""),'Pokemon Editor'!$A:$A,'Pokemon Editor'!$H:$H,0)+31+FLOOR(XLOOKUP($Q41,'Threshold Summary'!$Y:$Y,'Threshold Summary'!$R:$R,"")/4))*XLOOKUP($Q41,'Threshold Summary'!$Y:$Y,'Threshold Summary'!$L:$L,""))/100)+5)*XLOOKUP(XLOOKUP($Q41,'Threshold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Editor'!$E:$E,1))),stab,IF(OR(mtype=XLOOKUP(XLOOKUP($Q41,'Threshold Summary'!$Y:$Y,'Threshold Summary'!$K:$K,""),'Pokemon Editor'!$A:$A,'Pokemon Editor'!$C:$C,""),mtype=XLOOKUP(XLOOKUP($Q41,'Threshold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Chart'!$B$1:$S$1,0)))),base,IF(OR(cat="Status",pow=0),0,FLOOR(FLOOR(FLOOR((2*XLOOKUP($Q41,'Threshold Summary'!$Y:$Y,'Threshold Summary'!$L:$L,"")/5+2)*pow*atk/def)/50)+2)),modifier,stab*eff,FLOOR(base*modifier*0.85)),0)</f>
        <v/>
      </c>
      <c r="K41" s="3">
        <f>IFERROR(LET(mtype,XLOOKUP($D41,'Move Editor'!$B:$B,'Move Editor'!$C:$C,""),cat,XLOOKUP($D41,'Move Editor'!$B:$B,'Move Editor'!$D:$D,""),pow,XLOOKUP($D41,'Move Editor'!$B:$B,'Move Editor'!$E:$E,0),acc,XLOOKUP($D41,'Move Editor'!$B:$B,'Move Editor'!$F:$F,100),atk,IF(cat="Physical",FLOOR((FLOOR(((2*XLOOKUP(XLOOKUP($Q41,'Threshold Summary'!$Y:$Y,'Threshold Summary'!$K:$K,""),'Pokemon Editor'!$A:$A,'Pokemon Editor'!$F:$F,0)+31+FLOOR(XLOOKUP($Q41,'Threshold Summary'!$Y:$Y,'Threshold Summary'!$P:$P,"")/4))*XLOOKUP($Q41,'Threshold Summary'!$Y:$Y,'Threshold Summary'!$L:$L,""))/100)+5)*XLOOKUP(XLOOKUP($Q41,'Threshold Summary'!$Y:$Y,'Threshold Summary'!$M:$M,""),'Nature Editor'!$A:$A,'Nature Editor'!$B:$B,1)),FLOOR((FLOOR(((2*XLOOKUP(XLOOKUP($Q41,'Threshold Summary'!$Y:$Y,'Threshold Summary'!$K:$K,""),'Pokemon Editor'!$A:$A,'Pokemon Editor'!$H:$H,0)+31+FLOOR(XLOOKUP($Q41,'Threshold Summary'!$Y:$Y,'Threshold Summary'!$R:$R,"")/4))*XLOOKUP($Q41,'Threshold Summary'!$Y:$Y,'Threshold Summary'!$L:$L,""))/100)+5)*XLOOKUP(XLOOKUP($Q41,'Threshold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Editor'!$E:$E,1))),stab,IF(OR(mtype=XLOOKUP(XLOOKUP($Q41,'Threshold Summary'!$Y:$Y,'Threshold Summary'!$K:$K,""),'Pokemon Editor'!$A:$A,'Pokemon Editor'!$C:$C,""),mtype=XLOOKUP(XLOOKUP($Q41,'Threshold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Chart'!$B$1:$S$1,0)))),base,IF(OR(cat="Status",pow=0),0,FLOOR(FLOOR(FLOOR((2*XLOOKUP($Q41,'Threshold Summary'!$Y:$Y,'Threshold Summary'!$L:$L,"")/5+2)*pow*atk/def)/50)+2)),modifier,stab*eff,FLOOR(base*modifier)),0)</f>
        <v/>
      </c>
      <c r="L41" s="3">
        <f>IFERROR(LET(mtype,XLOOKUP($D41,'Move Editor'!$B:$B,'Move Editor'!$C:$C,""),cat,XLOOKUP($D41,'Move Editor'!$B:$B,'Move Editor'!$D:$D,""),pow,XLOOKUP($D41,'Move Editor'!$B:$B,'Move Editor'!$E:$E,0),acc,XLOOKUP($D41,'Move Editor'!$B:$B,'Move Editor'!$F:$F,100),atk,IF(cat="Physical",FLOOR((FLOOR(((2*XLOOKUP(XLOOKUP($Q41,'Threshold Summary'!$Y:$Y,'Threshold Summary'!$K:$K,""),'Pokemon Editor'!$A:$A,'Pokemon Editor'!$F:$F,0)+31+FLOOR(XLOOKUP($Q41,'Threshold Summary'!$Y:$Y,'Threshold Summary'!$P:$P,"")/4))*XLOOKUP($Q41,'Threshold Summary'!$Y:$Y,'Threshold Summary'!$L:$L,""))/100)+5)*XLOOKUP(XLOOKUP($Q41,'Threshold Summary'!$Y:$Y,'Threshold Summary'!$M:$M,""),'Nature Editor'!$A:$A,'Nature Editor'!$B:$B,1)),FLOOR((FLOOR(((2*XLOOKUP(XLOOKUP($Q41,'Threshold Summary'!$Y:$Y,'Threshold Summary'!$K:$K,""),'Pokemon Editor'!$A:$A,'Pokemon Editor'!$H:$H,0)+31+FLOOR(XLOOKUP($Q41,'Threshold Summary'!$Y:$Y,'Threshold Summary'!$R:$R,"")/4))*XLOOKUP($Q41,'Threshold Summary'!$Y:$Y,'Threshold Summary'!$L:$L,""))/100)+5)*XLOOKUP(XLOOKUP($Q41,'Threshold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Editor'!$E:$E,1))),stab,IF(OR(mtype=XLOOKUP(XLOOKUP($Q41,'Threshold Summary'!$Y:$Y,'Threshold Summary'!$K:$K,""),'Pokemon Editor'!$A:$A,'Pokemon Editor'!$C:$C,""),mtype=XLOOKUP(XLOOKUP($Q41,'Threshold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Chart'!$B$1:$S$1,0)))),base,IF(OR(cat="Status",pow=0),0,FLOOR(FLOOR(FLOOR((2*XLOOKUP($Q41,'Threshold Summary'!$Y:$Y,'Threshold Summary'!$L:$L,"")/5+2)*pow*atk/def)/50)+2)),modifier,stab*eff,AVERAGE(ARRAYFORMULA(FLOOR(base*modifier*SEQUENCE(16,1,85,1)/100)))),0)</f>
        <v/>
      </c>
      <c r="M41" s="3">
        <f>IFERROR(LET(mtype,XLOOKUP($D41,'Move Editor'!$B:$B,'Move Editor'!$C:$C,""),cat,XLOOKUP($D41,'Move Editor'!$B:$B,'Move Editor'!$D:$D,""),pow,XLOOKUP($D41,'Move Editor'!$B:$B,'Move Editor'!$E:$E,0),acc,XLOOKUP($D41,'Move Editor'!$B:$B,'Move Editor'!$F:$F,100),atk,IF(cat="Physical",FLOOR((FLOOR(((2*XLOOKUP(XLOOKUP($Q41,'Threshold Summary'!$Y:$Y,'Threshold Summary'!$K:$K,""),'Pokemon Editor'!$A:$A,'Pokemon Editor'!$F:$F,0)+31+FLOOR(XLOOKUP($Q41,'Threshold Summary'!$Y:$Y,'Threshold Summary'!$P:$P,"")/4))*XLOOKUP($Q41,'Threshold Summary'!$Y:$Y,'Threshold Summary'!$L:$L,""))/100)+5)*XLOOKUP(XLOOKUP($Q41,'Threshold Summary'!$Y:$Y,'Threshold Summary'!$M:$M,""),'Nature Editor'!$A:$A,'Nature Editor'!$B:$B,1)),FLOOR((FLOOR(((2*XLOOKUP(XLOOKUP($Q41,'Threshold Summary'!$Y:$Y,'Threshold Summary'!$K:$K,""),'Pokemon Editor'!$A:$A,'Pokemon Editor'!$H:$H,0)+31+FLOOR(XLOOKUP($Q41,'Threshold Summary'!$Y:$Y,'Threshold Summary'!$R:$R,"")/4))*XLOOKUP($Q41,'Threshold Summary'!$Y:$Y,'Threshold Summary'!$L:$L,""))/100)+5)*XLOOKUP(XLOOKUP($Q41,'Threshold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Editor'!$E:$E,1))),stab,IF(OR(mtype=XLOOKUP(XLOOKUP($Q41,'Threshold Summary'!$Y:$Y,'Threshold Summary'!$K:$K,""),'Pokemon Editor'!$A:$A,'Pokemon Editor'!$C:$C,""),mtype=XLOOKUP(XLOOKUP($Q41,'Threshold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Chart'!$B$1:$S$1,0)))),base,IF(OR(cat="Status",pow=0),0,FLOOR(FLOOR(FLOOR((2*XLOOKUP($Q41,'Threshold Summary'!$Y:$Y,'Threshold Summary'!$L:$L,"")/5+2)*pow*atk/def)/50)+2)),modifier,stab*eff,AVERAGE(ARRAYFORMULA(FLOOR(base*modifier*SEQUENCE(16,1,85,1)/100)))*MIN(1,acc/100)),0)</f>
        <v/>
      </c>
      <c r="N41" s="4">
        <f>IFERROR(LET(mtype,XLOOKUP($D41,'Move Editor'!$B:$B,'Move Editor'!$C:$C,""),cat,XLOOKUP($D41,'Move Editor'!$B:$B,'Move Editor'!$D:$D,""),pow,XLOOKUP($D41,'Move Editor'!$B:$B,'Move Editor'!$E:$E,0),acc,XLOOKUP($D41,'Move Editor'!$B:$B,'Move Editor'!$F:$F,100),atk,IF(cat="Physical",FLOOR((FLOOR(((2*XLOOKUP(XLOOKUP($Q41,'Threshold Summary'!$Y:$Y,'Threshold Summary'!$K:$K,""),'Pokemon Editor'!$A:$A,'Pokemon Editor'!$F:$F,0)+31+FLOOR(XLOOKUP($Q41,'Threshold Summary'!$Y:$Y,'Threshold Summary'!$P:$P,"")/4))*XLOOKUP($Q41,'Threshold Summary'!$Y:$Y,'Threshold Summary'!$L:$L,""))/100)+5)*XLOOKUP(XLOOKUP($Q41,'Threshold Summary'!$Y:$Y,'Threshold Summary'!$M:$M,""),'Nature Editor'!$A:$A,'Nature Editor'!$B:$B,1)),FLOOR((FLOOR(((2*XLOOKUP(XLOOKUP($Q41,'Threshold Summary'!$Y:$Y,'Threshold Summary'!$K:$K,""),'Pokemon Editor'!$A:$A,'Pokemon Editor'!$H:$H,0)+31+FLOOR(XLOOKUP($Q41,'Threshold Summary'!$Y:$Y,'Threshold Summary'!$R:$R,"")/4))*XLOOKUP($Q41,'Threshold Summary'!$Y:$Y,'Threshold Summary'!$L:$L,""))/100)+5)*XLOOKUP(XLOOKUP($Q41,'Threshold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Editor'!$E:$E,1))),stab,IF(OR(mtype=XLOOKUP(XLOOKUP($Q41,'Threshold Summary'!$Y:$Y,'Threshold Summary'!$K:$K,""),'Pokemon Editor'!$A:$A,'Pokemon Editor'!$C:$C,""),mtype=XLOOKUP(XLOOKUP($Q41,'Threshold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Chart'!$B$1:$S$1,0)))),base,IF(OR(cat="Status",pow=0),0,FLOOR(FLOOR(FLOOR((2*XLOOKUP($Q41,'Threshold Summary'!$Y:$Y,'Threshold Summary'!$L:$L,"")/5+2)*pow*atk/def)/50)+2)),modifier,stab*eff,AVERAGE(ARRAYFORMULA(FLOOR(base*modifier*SEQUENCE(16,1,85,1)/100)))/(FLOOR(((2*XLOOKUP('Boss Editor'!$C$4,'Pokemon Editor'!$A:$A,'Pokemon Editor'!$E:$E,0)+31+FLOOR('Boss Editor'!$G$4/4))*'Boss Editor'!$D$4)/100)+'Boss Editor'!$D$4+10)),0)</f>
        <v/>
      </c>
      <c r="O41" s="3">
        <f>IF(N41&gt;=1,"OHKO",IF(N41&gt;=0.5,"2HKO",IF(N41&gt;=0.333,"3HKO",IF(N41&gt;=0.25,"4HKO","5HKO+"))))</f>
        <v/>
      </c>
      <c r="P41" s="3" t="inlineStr">
        <is>
          <t>Live from editable databases</t>
        </is>
      </c>
      <c r="Q41" s="3" t="inlineStr">
        <is>
          <t>SPECIES_SENTRET</t>
        </is>
      </c>
      <c r="R41" s="3" t="n">
        <v>8</v>
      </c>
    </row>
    <row r="42">
      <c r="A42" s="3">
        <f>XLOOKUP($Q42,'Threshold Summary'!$Y:$Y,'Threshold Summary'!$A:$A,"")</f>
        <v/>
      </c>
      <c r="B42" s="3">
        <f>XLOOKUP($Q42,'Threshold Summary'!$Y:$Y,'Threshold Summary'!$M:$M,"")</f>
        <v/>
      </c>
      <c r="C42" s="3">
        <f>XLOOKUP($Q42,'Threshold Summary'!$Y:$Y,'Threshold Summary'!$N:$N,"")</f>
        <v/>
      </c>
      <c r="D42" s="3">
        <f>IFERROR(INDEX(FILTER('Learnset Editor'!$D$2:$D,'Learnset Editor'!$A$2:$A=XLOOKUP($Q42,'Threshold Summary'!$Y:$Y,'Threshold Summary'!$K:$K,""),'Learnset Editor'!$C$2:$C&lt;=XLOOKUP($Q42,'Threshold Summary'!$Y:$Y,'Threshold Summary'!$L:$L,"")),$R42),"")</f>
        <v/>
      </c>
      <c r="E42" s="3">
        <f>XLOOKUP(D42,'Move Editor'!$B:$B,'Move Editor'!$C:$C,"")</f>
        <v/>
      </c>
      <c r="F42" s="3">
        <f>XLOOKUP(D42,'Move Editor'!$B:$B,'Move Editor'!$D:$D,"")</f>
        <v/>
      </c>
      <c r="G42" s="3">
        <f>XLOOKUP(D42,'Move Editor'!$B:$B,'Move Editor'!$E:$E,0)</f>
        <v/>
      </c>
      <c r="H42" s="3">
        <f>XLOOKUP(D42,'Move Editor'!$B:$B,'Move Editor'!$F:$F,0)</f>
        <v/>
      </c>
      <c r="I42" s="3">
        <f>(INDEX('Type Chart'!$B:$S,MATCH(E42,'Type Chart'!$A:$A,0),MATCH(XLOOKUP('Boss Editor'!$C$4,'Pokemon Editor'!$A:$A,'Pokemon Editor'!$C:$C,""),'Type Chart'!$B$1:$S$1,0))*IF(XLOOKUP('Boss Editor'!$C$4,'Pokemon Editor'!$A:$A,'Pokemon Editor'!$D:$D,"")="",1,INDEX('Type Chart'!$B:$S,MATCH(E42,'Type Chart'!$A:$A,0),MATCH(XLOOKUP('Boss Editor'!$C$4,'Pokemon Editor'!$A:$A,'Pokemon Editor'!$D:$D,""),'Type Chart'!$B$1:$S$1,0))))</f>
        <v/>
      </c>
      <c r="J42" s="3">
        <f>IFERROR(LET(mtype,XLOOKUP($D42,'Move Editor'!$B:$B,'Move Editor'!$C:$C,""),cat,XLOOKUP($D42,'Move Editor'!$B:$B,'Move Editor'!$D:$D,""),pow,XLOOKUP($D42,'Move Editor'!$B:$B,'Move Editor'!$E:$E,0),acc,XLOOKUP($D42,'Move Editor'!$B:$B,'Move Editor'!$F:$F,100),atk,IF(cat="Physical",FLOOR((FLOOR(((2*XLOOKUP(XLOOKUP($Q42,'Threshold Summary'!$Y:$Y,'Threshold Summary'!$K:$K,""),'Pokemon Editor'!$A:$A,'Pokemon Editor'!$F:$F,0)+31+FLOOR(XLOOKUP($Q42,'Threshold Summary'!$Y:$Y,'Threshold Summary'!$P:$P,"")/4))*XLOOKUP($Q42,'Threshold Summary'!$Y:$Y,'Threshold Summary'!$L:$L,""))/100)+5)*XLOOKUP(XLOOKUP($Q42,'Threshold Summary'!$Y:$Y,'Threshold Summary'!$M:$M,""),'Nature Editor'!$A:$A,'Nature Editor'!$B:$B,1)),FLOOR((FLOOR(((2*XLOOKUP(XLOOKUP($Q42,'Threshold Summary'!$Y:$Y,'Threshold Summary'!$K:$K,""),'Pokemon Editor'!$A:$A,'Pokemon Editor'!$H:$H,0)+31+FLOOR(XLOOKUP($Q42,'Threshold Summary'!$Y:$Y,'Threshold Summary'!$R:$R,"")/4))*XLOOKUP($Q42,'Threshold Summary'!$Y:$Y,'Threshold Summary'!$L:$L,""))/100)+5)*XLOOKUP(XLOOKUP($Q42,'Threshold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Editor'!$E:$E,1))),stab,IF(OR(mtype=XLOOKUP(XLOOKUP($Q42,'Threshold Summary'!$Y:$Y,'Threshold Summary'!$K:$K,""),'Pokemon Editor'!$A:$A,'Pokemon Editor'!$C:$C,""),mtype=XLOOKUP(XLOOKUP($Q42,'Threshold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Chart'!$B$1:$S$1,0)))),base,IF(OR(cat="Status",pow=0),0,FLOOR(FLOOR(FLOOR((2*XLOOKUP($Q42,'Threshold Summary'!$Y:$Y,'Threshold Summary'!$L:$L,"")/5+2)*pow*atk/def)/50)+2)),modifier,stab*eff,FLOOR(base*modifier*0.85)),0)</f>
        <v/>
      </c>
      <c r="K42" s="3">
        <f>IFERROR(LET(mtype,XLOOKUP($D42,'Move Editor'!$B:$B,'Move Editor'!$C:$C,""),cat,XLOOKUP($D42,'Move Editor'!$B:$B,'Move Editor'!$D:$D,""),pow,XLOOKUP($D42,'Move Editor'!$B:$B,'Move Editor'!$E:$E,0),acc,XLOOKUP($D42,'Move Editor'!$B:$B,'Move Editor'!$F:$F,100),atk,IF(cat="Physical",FLOOR((FLOOR(((2*XLOOKUP(XLOOKUP($Q42,'Threshold Summary'!$Y:$Y,'Threshold Summary'!$K:$K,""),'Pokemon Editor'!$A:$A,'Pokemon Editor'!$F:$F,0)+31+FLOOR(XLOOKUP($Q42,'Threshold Summary'!$Y:$Y,'Threshold Summary'!$P:$P,"")/4))*XLOOKUP($Q42,'Threshold Summary'!$Y:$Y,'Threshold Summary'!$L:$L,""))/100)+5)*XLOOKUP(XLOOKUP($Q42,'Threshold Summary'!$Y:$Y,'Threshold Summary'!$M:$M,""),'Nature Editor'!$A:$A,'Nature Editor'!$B:$B,1)),FLOOR((FLOOR(((2*XLOOKUP(XLOOKUP($Q42,'Threshold Summary'!$Y:$Y,'Threshold Summary'!$K:$K,""),'Pokemon Editor'!$A:$A,'Pokemon Editor'!$H:$H,0)+31+FLOOR(XLOOKUP($Q42,'Threshold Summary'!$Y:$Y,'Threshold Summary'!$R:$R,"")/4))*XLOOKUP($Q42,'Threshold Summary'!$Y:$Y,'Threshold Summary'!$L:$L,""))/100)+5)*XLOOKUP(XLOOKUP($Q42,'Threshold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Editor'!$E:$E,1))),stab,IF(OR(mtype=XLOOKUP(XLOOKUP($Q42,'Threshold Summary'!$Y:$Y,'Threshold Summary'!$K:$K,""),'Pokemon Editor'!$A:$A,'Pokemon Editor'!$C:$C,""),mtype=XLOOKUP(XLOOKUP($Q42,'Threshold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Chart'!$B$1:$S$1,0)))),base,IF(OR(cat="Status",pow=0),0,FLOOR(FLOOR(FLOOR((2*XLOOKUP($Q42,'Threshold Summary'!$Y:$Y,'Threshold Summary'!$L:$L,"")/5+2)*pow*atk/def)/50)+2)),modifier,stab*eff,FLOOR(base*modifier)),0)</f>
        <v/>
      </c>
      <c r="L42" s="3">
        <f>IFERROR(LET(mtype,XLOOKUP($D42,'Move Editor'!$B:$B,'Move Editor'!$C:$C,""),cat,XLOOKUP($D42,'Move Editor'!$B:$B,'Move Editor'!$D:$D,""),pow,XLOOKUP($D42,'Move Editor'!$B:$B,'Move Editor'!$E:$E,0),acc,XLOOKUP($D42,'Move Editor'!$B:$B,'Move Editor'!$F:$F,100),atk,IF(cat="Physical",FLOOR((FLOOR(((2*XLOOKUP(XLOOKUP($Q42,'Threshold Summary'!$Y:$Y,'Threshold Summary'!$K:$K,""),'Pokemon Editor'!$A:$A,'Pokemon Editor'!$F:$F,0)+31+FLOOR(XLOOKUP($Q42,'Threshold Summary'!$Y:$Y,'Threshold Summary'!$P:$P,"")/4))*XLOOKUP($Q42,'Threshold Summary'!$Y:$Y,'Threshold Summary'!$L:$L,""))/100)+5)*XLOOKUP(XLOOKUP($Q42,'Threshold Summary'!$Y:$Y,'Threshold Summary'!$M:$M,""),'Nature Editor'!$A:$A,'Nature Editor'!$B:$B,1)),FLOOR((FLOOR(((2*XLOOKUP(XLOOKUP($Q42,'Threshold Summary'!$Y:$Y,'Threshold Summary'!$K:$K,""),'Pokemon Editor'!$A:$A,'Pokemon Editor'!$H:$H,0)+31+FLOOR(XLOOKUP($Q42,'Threshold Summary'!$Y:$Y,'Threshold Summary'!$R:$R,"")/4))*XLOOKUP($Q42,'Threshold Summary'!$Y:$Y,'Threshold Summary'!$L:$L,""))/100)+5)*XLOOKUP(XLOOKUP($Q42,'Threshold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Editor'!$E:$E,1))),stab,IF(OR(mtype=XLOOKUP(XLOOKUP($Q42,'Threshold Summary'!$Y:$Y,'Threshold Summary'!$K:$K,""),'Pokemon Editor'!$A:$A,'Pokemon Editor'!$C:$C,""),mtype=XLOOKUP(XLOOKUP($Q42,'Threshold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Chart'!$B$1:$S$1,0)))),base,IF(OR(cat="Status",pow=0),0,FLOOR(FLOOR(FLOOR((2*XLOOKUP($Q42,'Threshold Summary'!$Y:$Y,'Threshold Summary'!$L:$L,"")/5+2)*pow*atk/def)/50)+2)),modifier,stab*eff,AVERAGE(ARRAYFORMULA(FLOOR(base*modifier*SEQUENCE(16,1,85,1)/100)))),0)</f>
        <v/>
      </c>
      <c r="M42" s="3">
        <f>IFERROR(LET(mtype,XLOOKUP($D42,'Move Editor'!$B:$B,'Move Editor'!$C:$C,""),cat,XLOOKUP($D42,'Move Editor'!$B:$B,'Move Editor'!$D:$D,""),pow,XLOOKUP($D42,'Move Editor'!$B:$B,'Move Editor'!$E:$E,0),acc,XLOOKUP($D42,'Move Editor'!$B:$B,'Move Editor'!$F:$F,100),atk,IF(cat="Physical",FLOOR((FLOOR(((2*XLOOKUP(XLOOKUP($Q42,'Threshold Summary'!$Y:$Y,'Threshold Summary'!$K:$K,""),'Pokemon Editor'!$A:$A,'Pokemon Editor'!$F:$F,0)+31+FLOOR(XLOOKUP($Q42,'Threshold Summary'!$Y:$Y,'Threshold Summary'!$P:$P,"")/4))*XLOOKUP($Q42,'Threshold Summary'!$Y:$Y,'Threshold Summary'!$L:$L,""))/100)+5)*XLOOKUP(XLOOKUP($Q42,'Threshold Summary'!$Y:$Y,'Threshold Summary'!$M:$M,""),'Nature Editor'!$A:$A,'Nature Editor'!$B:$B,1)),FLOOR((FLOOR(((2*XLOOKUP(XLOOKUP($Q42,'Threshold Summary'!$Y:$Y,'Threshold Summary'!$K:$K,""),'Pokemon Editor'!$A:$A,'Pokemon Editor'!$H:$H,0)+31+FLOOR(XLOOKUP($Q42,'Threshold Summary'!$Y:$Y,'Threshold Summary'!$R:$R,"")/4))*XLOOKUP($Q42,'Threshold Summary'!$Y:$Y,'Threshold Summary'!$L:$L,""))/100)+5)*XLOOKUP(XLOOKUP($Q42,'Threshold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Editor'!$E:$E,1))),stab,IF(OR(mtype=XLOOKUP(XLOOKUP($Q42,'Threshold Summary'!$Y:$Y,'Threshold Summary'!$K:$K,""),'Pokemon Editor'!$A:$A,'Pokemon Editor'!$C:$C,""),mtype=XLOOKUP(XLOOKUP($Q42,'Threshold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Chart'!$B$1:$S$1,0)))),base,IF(OR(cat="Status",pow=0),0,FLOOR(FLOOR(FLOOR((2*XLOOKUP($Q42,'Threshold Summary'!$Y:$Y,'Threshold Summary'!$L:$L,"")/5+2)*pow*atk/def)/50)+2)),modifier,stab*eff,AVERAGE(ARRAYFORMULA(FLOOR(base*modifier*SEQUENCE(16,1,85,1)/100)))*MIN(1,acc/100)),0)</f>
        <v/>
      </c>
      <c r="N42" s="4">
        <f>IFERROR(LET(mtype,XLOOKUP($D42,'Move Editor'!$B:$B,'Move Editor'!$C:$C,""),cat,XLOOKUP($D42,'Move Editor'!$B:$B,'Move Editor'!$D:$D,""),pow,XLOOKUP($D42,'Move Editor'!$B:$B,'Move Editor'!$E:$E,0),acc,XLOOKUP($D42,'Move Editor'!$B:$B,'Move Editor'!$F:$F,100),atk,IF(cat="Physical",FLOOR((FLOOR(((2*XLOOKUP(XLOOKUP($Q42,'Threshold Summary'!$Y:$Y,'Threshold Summary'!$K:$K,""),'Pokemon Editor'!$A:$A,'Pokemon Editor'!$F:$F,0)+31+FLOOR(XLOOKUP($Q42,'Threshold Summary'!$Y:$Y,'Threshold Summary'!$P:$P,"")/4))*XLOOKUP($Q42,'Threshold Summary'!$Y:$Y,'Threshold Summary'!$L:$L,""))/100)+5)*XLOOKUP(XLOOKUP($Q42,'Threshold Summary'!$Y:$Y,'Threshold Summary'!$M:$M,""),'Nature Editor'!$A:$A,'Nature Editor'!$B:$B,1)),FLOOR((FLOOR(((2*XLOOKUP(XLOOKUP($Q42,'Threshold Summary'!$Y:$Y,'Threshold Summary'!$K:$K,""),'Pokemon Editor'!$A:$A,'Pokemon Editor'!$H:$H,0)+31+FLOOR(XLOOKUP($Q42,'Threshold Summary'!$Y:$Y,'Threshold Summary'!$R:$R,"")/4))*XLOOKUP($Q42,'Threshold Summary'!$Y:$Y,'Threshold Summary'!$L:$L,""))/100)+5)*XLOOKUP(XLOOKUP($Q42,'Threshold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Editor'!$E:$E,1))),stab,IF(OR(mtype=XLOOKUP(XLOOKUP($Q42,'Threshold Summary'!$Y:$Y,'Threshold Summary'!$K:$K,""),'Pokemon Editor'!$A:$A,'Pokemon Editor'!$C:$C,""),mtype=XLOOKUP(XLOOKUP($Q42,'Threshold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Chart'!$B$1:$S$1,0)))),base,IF(OR(cat="Status",pow=0),0,FLOOR(FLOOR(FLOOR((2*XLOOKUP($Q42,'Threshold Summary'!$Y:$Y,'Threshold Summary'!$L:$L,"")/5+2)*pow*atk/def)/50)+2)),modifier,stab*eff,AVERAGE(ARRAYFORMULA(FLOOR(base*modifier*SEQUENCE(16,1,85,1)/100)))/(FLOOR(((2*XLOOKUP('Boss Editor'!$C$4,'Pokemon Editor'!$A:$A,'Pokemon Editor'!$E:$E,0)+31+FLOOR('Boss Editor'!$G$4/4))*'Boss Editor'!$D$4)/100)+'Boss Editor'!$D$4+10)),0)</f>
        <v/>
      </c>
      <c r="O42" s="3">
        <f>IF(N42&gt;=1,"OHKO",IF(N42&gt;=0.5,"2HKO",IF(N42&gt;=0.333,"3HKO",IF(N42&gt;=0.25,"4HKO","5HKO+"))))</f>
        <v/>
      </c>
      <c r="P42" s="3" t="inlineStr">
        <is>
          <t>Live from editable databases</t>
        </is>
      </c>
      <c r="Q42" s="3" t="inlineStr">
        <is>
          <t>SPECIES_SENTRET</t>
        </is>
      </c>
      <c r="R42" s="3" t="n">
        <v>9</v>
      </c>
    </row>
    <row r="43">
      <c r="A43" s="3">
        <f>XLOOKUP($Q43,'Threshold Summary'!$Y:$Y,'Threshold Summary'!$A:$A,"")</f>
        <v/>
      </c>
      <c r="B43" s="3">
        <f>XLOOKUP($Q43,'Threshold Summary'!$Y:$Y,'Threshold Summary'!$M:$M,"")</f>
        <v/>
      </c>
      <c r="C43" s="3">
        <f>XLOOKUP($Q43,'Threshold Summary'!$Y:$Y,'Threshold Summary'!$N:$N,"")</f>
        <v/>
      </c>
      <c r="D43" s="3">
        <f>IFERROR(INDEX(FILTER('Learnset Editor'!$D$2:$D,'Learnset Editor'!$A$2:$A=XLOOKUP($Q43,'Threshold Summary'!$Y:$Y,'Threshold Summary'!$K:$K,""),'Learnset Editor'!$C$2:$C&lt;=XLOOKUP($Q43,'Threshold Summary'!$Y:$Y,'Threshold Summary'!$L:$L,"")),$R43),"")</f>
        <v/>
      </c>
      <c r="E43" s="3">
        <f>XLOOKUP(D43,'Move Editor'!$B:$B,'Move Editor'!$C:$C,"")</f>
        <v/>
      </c>
      <c r="F43" s="3">
        <f>XLOOKUP(D43,'Move Editor'!$B:$B,'Move Editor'!$D:$D,"")</f>
        <v/>
      </c>
      <c r="G43" s="3">
        <f>XLOOKUP(D43,'Move Editor'!$B:$B,'Move Editor'!$E:$E,0)</f>
        <v/>
      </c>
      <c r="H43" s="3">
        <f>XLOOKUP(D43,'Move Editor'!$B:$B,'Move Editor'!$F:$F,0)</f>
        <v/>
      </c>
      <c r="I43" s="3">
        <f>(INDEX('Type Chart'!$B:$S,MATCH(E43,'Type Chart'!$A:$A,0),MATCH(XLOOKUP('Boss Editor'!$C$4,'Pokemon Editor'!$A:$A,'Pokemon Editor'!$C:$C,""),'Type Chart'!$B$1:$S$1,0))*IF(XLOOKUP('Boss Editor'!$C$4,'Pokemon Editor'!$A:$A,'Pokemon Editor'!$D:$D,"")="",1,INDEX('Type Chart'!$B:$S,MATCH(E43,'Type Chart'!$A:$A,0),MATCH(XLOOKUP('Boss Editor'!$C$4,'Pokemon Editor'!$A:$A,'Pokemon Editor'!$D:$D,""),'Type Chart'!$B$1:$S$1,0))))</f>
        <v/>
      </c>
      <c r="J43" s="3">
        <f>IFERROR(LET(mtype,XLOOKUP($D43,'Move Editor'!$B:$B,'Move Editor'!$C:$C,""),cat,XLOOKUP($D43,'Move Editor'!$B:$B,'Move Editor'!$D:$D,""),pow,XLOOKUP($D43,'Move Editor'!$B:$B,'Move Editor'!$E:$E,0),acc,XLOOKUP($D43,'Move Editor'!$B:$B,'Move Editor'!$F:$F,100),atk,IF(cat="Physical",FLOOR((FLOOR(((2*XLOOKUP(XLOOKUP($Q43,'Threshold Summary'!$Y:$Y,'Threshold Summary'!$K:$K,""),'Pokemon Editor'!$A:$A,'Pokemon Editor'!$F:$F,0)+31+FLOOR(XLOOKUP($Q43,'Threshold Summary'!$Y:$Y,'Threshold Summary'!$P:$P,"")/4))*XLOOKUP($Q43,'Threshold Summary'!$Y:$Y,'Threshold Summary'!$L:$L,""))/100)+5)*XLOOKUP(XLOOKUP($Q43,'Threshold Summary'!$Y:$Y,'Threshold Summary'!$M:$M,""),'Nature Editor'!$A:$A,'Nature Editor'!$B:$B,1)),FLOOR((FLOOR(((2*XLOOKUP(XLOOKUP($Q43,'Threshold Summary'!$Y:$Y,'Threshold Summary'!$K:$K,""),'Pokemon Editor'!$A:$A,'Pokemon Editor'!$H:$H,0)+31+FLOOR(XLOOKUP($Q43,'Threshold Summary'!$Y:$Y,'Threshold Summary'!$R:$R,"")/4))*XLOOKUP($Q43,'Threshold Summary'!$Y:$Y,'Threshold Summary'!$L:$L,""))/100)+5)*XLOOKUP(XLOOKUP($Q43,'Threshold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Editor'!$E:$E,1))),stab,IF(OR(mtype=XLOOKUP(XLOOKUP($Q43,'Threshold Summary'!$Y:$Y,'Threshold Summary'!$K:$K,""),'Pokemon Editor'!$A:$A,'Pokemon Editor'!$C:$C,""),mtype=XLOOKUP(XLOOKUP($Q43,'Threshold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Chart'!$B$1:$S$1,0)))),base,IF(OR(cat="Status",pow=0),0,FLOOR(FLOOR(FLOOR((2*XLOOKUP($Q43,'Threshold Summary'!$Y:$Y,'Threshold Summary'!$L:$L,"")/5+2)*pow*atk/def)/50)+2)),modifier,stab*eff,FLOOR(base*modifier*0.85)),0)</f>
        <v/>
      </c>
      <c r="K43" s="3">
        <f>IFERROR(LET(mtype,XLOOKUP($D43,'Move Editor'!$B:$B,'Move Editor'!$C:$C,""),cat,XLOOKUP($D43,'Move Editor'!$B:$B,'Move Editor'!$D:$D,""),pow,XLOOKUP($D43,'Move Editor'!$B:$B,'Move Editor'!$E:$E,0),acc,XLOOKUP($D43,'Move Editor'!$B:$B,'Move Editor'!$F:$F,100),atk,IF(cat="Physical",FLOOR((FLOOR(((2*XLOOKUP(XLOOKUP($Q43,'Threshold Summary'!$Y:$Y,'Threshold Summary'!$K:$K,""),'Pokemon Editor'!$A:$A,'Pokemon Editor'!$F:$F,0)+31+FLOOR(XLOOKUP($Q43,'Threshold Summary'!$Y:$Y,'Threshold Summary'!$P:$P,"")/4))*XLOOKUP($Q43,'Threshold Summary'!$Y:$Y,'Threshold Summary'!$L:$L,""))/100)+5)*XLOOKUP(XLOOKUP($Q43,'Threshold Summary'!$Y:$Y,'Threshold Summary'!$M:$M,""),'Nature Editor'!$A:$A,'Nature Editor'!$B:$B,1)),FLOOR((FLOOR(((2*XLOOKUP(XLOOKUP($Q43,'Threshold Summary'!$Y:$Y,'Threshold Summary'!$K:$K,""),'Pokemon Editor'!$A:$A,'Pokemon Editor'!$H:$H,0)+31+FLOOR(XLOOKUP($Q43,'Threshold Summary'!$Y:$Y,'Threshold Summary'!$R:$R,"")/4))*XLOOKUP($Q43,'Threshold Summary'!$Y:$Y,'Threshold Summary'!$L:$L,""))/100)+5)*XLOOKUP(XLOOKUP($Q43,'Threshold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Editor'!$E:$E,1))),stab,IF(OR(mtype=XLOOKUP(XLOOKUP($Q43,'Threshold Summary'!$Y:$Y,'Threshold Summary'!$K:$K,""),'Pokemon Editor'!$A:$A,'Pokemon Editor'!$C:$C,""),mtype=XLOOKUP(XLOOKUP($Q43,'Threshold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Chart'!$B$1:$S$1,0)))),base,IF(OR(cat="Status",pow=0),0,FLOOR(FLOOR(FLOOR((2*XLOOKUP($Q43,'Threshold Summary'!$Y:$Y,'Threshold Summary'!$L:$L,"")/5+2)*pow*atk/def)/50)+2)),modifier,stab*eff,FLOOR(base*modifier)),0)</f>
        <v/>
      </c>
      <c r="L43" s="3">
        <f>IFERROR(LET(mtype,XLOOKUP($D43,'Move Editor'!$B:$B,'Move Editor'!$C:$C,""),cat,XLOOKUP($D43,'Move Editor'!$B:$B,'Move Editor'!$D:$D,""),pow,XLOOKUP($D43,'Move Editor'!$B:$B,'Move Editor'!$E:$E,0),acc,XLOOKUP($D43,'Move Editor'!$B:$B,'Move Editor'!$F:$F,100),atk,IF(cat="Physical",FLOOR((FLOOR(((2*XLOOKUP(XLOOKUP($Q43,'Threshold Summary'!$Y:$Y,'Threshold Summary'!$K:$K,""),'Pokemon Editor'!$A:$A,'Pokemon Editor'!$F:$F,0)+31+FLOOR(XLOOKUP($Q43,'Threshold Summary'!$Y:$Y,'Threshold Summary'!$P:$P,"")/4))*XLOOKUP($Q43,'Threshold Summary'!$Y:$Y,'Threshold Summary'!$L:$L,""))/100)+5)*XLOOKUP(XLOOKUP($Q43,'Threshold Summary'!$Y:$Y,'Threshold Summary'!$M:$M,""),'Nature Editor'!$A:$A,'Nature Editor'!$B:$B,1)),FLOOR((FLOOR(((2*XLOOKUP(XLOOKUP($Q43,'Threshold Summary'!$Y:$Y,'Threshold Summary'!$K:$K,""),'Pokemon Editor'!$A:$A,'Pokemon Editor'!$H:$H,0)+31+FLOOR(XLOOKUP($Q43,'Threshold Summary'!$Y:$Y,'Threshold Summary'!$R:$R,"")/4))*XLOOKUP($Q43,'Threshold Summary'!$Y:$Y,'Threshold Summary'!$L:$L,""))/100)+5)*XLOOKUP(XLOOKUP($Q43,'Threshold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Editor'!$E:$E,1))),stab,IF(OR(mtype=XLOOKUP(XLOOKUP($Q43,'Threshold Summary'!$Y:$Y,'Threshold Summary'!$K:$K,""),'Pokemon Editor'!$A:$A,'Pokemon Editor'!$C:$C,""),mtype=XLOOKUP(XLOOKUP($Q43,'Threshold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Chart'!$B$1:$S$1,0)))),base,IF(OR(cat="Status",pow=0),0,FLOOR(FLOOR(FLOOR((2*XLOOKUP($Q43,'Threshold Summary'!$Y:$Y,'Threshold Summary'!$L:$L,"")/5+2)*pow*atk/def)/50)+2)),modifier,stab*eff,AVERAGE(ARRAYFORMULA(FLOOR(base*modifier*SEQUENCE(16,1,85,1)/100)))),0)</f>
        <v/>
      </c>
      <c r="M43" s="3">
        <f>IFERROR(LET(mtype,XLOOKUP($D43,'Move Editor'!$B:$B,'Move Editor'!$C:$C,""),cat,XLOOKUP($D43,'Move Editor'!$B:$B,'Move Editor'!$D:$D,""),pow,XLOOKUP($D43,'Move Editor'!$B:$B,'Move Editor'!$E:$E,0),acc,XLOOKUP($D43,'Move Editor'!$B:$B,'Move Editor'!$F:$F,100),atk,IF(cat="Physical",FLOOR((FLOOR(((2*XLOOKUP(XLOOKUP($Q43,'Threshold Summary'!$Y:$Y,'Threshold Summary'!$K:$K,""),'Pokemon Editor'!$A:$A,'Pokemon Editor'!$F:$F,0)+31+FLOOR(XLOOKUP($Q43,'Threshold Summary'!$Y:$Y,'Threshold Summary'!$P:$P,"")/4))*XLOOKUP($Q43,'Threshold Summary'!$Y:$Y,'Threshold Summary'!$L:$L,""))/100)+5)*XLOOKUP(XLOOKUP($Q43,'Threshold Summary'!$Y:$Y,'Threshold Summary'!$M:$M,""),'Nature Editor'!$A:$A,'Nature Editor'!$B:$B,1)),FLOOR((FLOOR(((2*XLOOKUP(XLOOKUP($Q43,'Threshold Summary'!$Y:$Y,'Threshold Summary'!$K:$K,""),'Pokemon Editor'!$A:$A,'Pokemon Editor'!$H:$H,0)+31+FLOOR(XLOOKUP($Q43,'Threshold Summary'!$Y:$Y,'Threshold Summary'!$R:$R,"")/4))*XLOOKUP($Q43,'Threshold Summary'!$Y:$Y,'Threshold Summary'!$L:$L,""))/100)+5)*XLOOKUP(XLOOKUP($Q43,'Threshold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Editor'!$E:$E,1))),stab,IF(OR(mtype=XLOOKUP(XLOOKUP($Q43,'Threshold Summary'!$Y:$Y,'Threshold Summary'!$K:$K,""),'Pokemon Editor'!$A:$A,'Pokemon Editor'!$C:$C,""),mtype=XLOOKUP(XLOOKUP($Q43,'Threshold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Chart'!$B$1:$S$1,0)))),base,IF(OR(cat="Status",pow=0),0,FLOOR(FLOOR(FLOOR((2*XLOOKUP($Q43,'Threshold Summary'!$Y:$Y,'Threshold Summary'!$L:$L,"")/5+2)*pow*atk/def)/50)+2)),modifier,stab*eff,AVERAGE(ARRAYFORMULA(FLOOR(base*modifier*SEQUENCE(16,1,85,1)/100)))*MIN(1,acc/100)),0)</f>
        <v/>
      </c>
      <c r="N43" s="4">
        <f>IFERROR(LET(mtype,XLOOKUP($D43,'Move Editor'!$B:$B,'Move Editor'!$C:$C,""),cat,XLOOKUP($D43,'Move Editor'!$B:$B,'Move Editor'!$D:$D,""),pow,XLOOKUP($D43,'Move Editor'!$B:$B,'Move Editor'!$E:$E,0),acc,XLOOKUP($D43,'Move Editor'!$B:$B,'Move Editor'!$F:$F,100),atk,IF(cat="Physical",FLOOR((FLOOR(((2*XLOOKUP(XLOOKUP($Q43,'Threshold Summary'!$Y:$Y,'Threshold Summary'!$K:$K,""),'Pokemon Editor'!$A:$A,'Pokemon Editor'!$F:$F,0)+31+FLOOR(XLOOKUP($Q43,'Threshold Summary'!$Y:$Y,'Threshold Summary'!$P:$P,"")/4))*XLOOKUP($Q43,'Threshold Summary'!$Y:$Y,'Threshold Summary'!$L:$L,""))/100)+5)*XLOOKUP(XLOOKUP($Q43,'Threshold Summary'!$Y:$Y,'Threshold Summary'!$M:$M,""),'Nature Editor'!$A:$A,'Nature Editor'!$B:$B,1)),FLOOR((FLOOR(((2*XLOOKUP(XLOOKUP($Q43,'Threshold Summary'!$Y:$Y,'Threshold Summary'!$K:$K,""),'Pokemon Editor'!$A:$A,'Pokemon Editor'!$H:$H,0)+31+FLOOR(XLOOKUP($Q43,'Threshold Summary'!$Y:$Y,'Threshold Summary'!$R:$R,"")/4))*XLOOKUP($Q43,'Threshold Summary'!$Y:$Y,'Threshold Summary'!$L:$L,""))/100)+5)*XLOOKUP(XLOOKUP($Q43,'Threshold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Editor'!$E:$E,1))),stab,IF(OR(mtype=XLOOKUP(XLOOKUP($Q43,'Threshold Summary'!$Y:$Y,'Threshold Summary'!$K:$K,""),'Pokemon Editor'!$A:$A,'Pokemon Editor'!$C:$C,""),mtype=XLOOKUP(XLOOKUP($Q43,'Threshold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Chart'!$B$1:$S$1,0)))),base,IF(OR(cat="Status",pow=0),0,FLOOR(FLOOR(FLOOR((2*XLOOKUP($Q43,'Threshold Summary'!$Y:$Y,'Threshold Summary'!$L:$L,"")/5+2)*pow*atk/def)/50)+2)),modifier,stab*eff,AVERAGE(ARRAYFORMULA(FLOOR(base*modifier*SEQUENCE(16,1,85,1)/100)))/(FLOOR(((2*XLOOKUP('Boss Editor'!$C$4,'Pokemon Editor'!$A:$A,'Pokemon Editor'!$E:$E,0)+31+FLOOR('Boss Editor'!$G$4/4))*'Boss Editor'!$D$4)/100)+'Boss Editor'!$D$4+10)),0)</f>
        <v/>
      </c>
      <c r="O43" s="3">
        <f>IF(N43&gt;=1,"OHKO",IF(N43&gt;=0.5,"2HKO",IF(N43&gt;=0.333,"3HKO",IF(N43&gt;=0.25,"4HKO","5HKO+"))))</f>
        <v/>
      </c>
      <c r="P43" s="3" t="inlineStr">
        <is>
          <t>Live from editable databases</t>
        </is>
      </c>
      <c r="Q43" s="3" t="inlineStr">
        <is>
          <t>SPECIES_SENTRET</t>
        </is>
      </c>
      <c r="R43" s="3" t="n">
        <v>10</v>
      </c>
    </row>
    <row r="44">
      <c r="A44" s="3">
        <f>XLOOKUP($Q44,'Threshold Summary'!$Y:$Y,'Threshold Summary'!$A:$A,"")</f>
        <v/>
      </c>
      <c r="B44" s="3">
        <f>XLOOKUP($Q44,'Threshold Summary'!$Y:$Y,'Threshold Summary'!$M:$M,"")</f>
        <v/>
      </c>
      <c r="C44" s="3">
        <f>XLOOKUP($Q44,'Threshold Summary'!$Y:$Y,'Threshold Summary'!$N:$N,"")</f>
        <v/>
      </c>
      <c r="D44" s="3">
        <f>IFERROR(INDEX(FILTER('Learnset Editor'!$D$2:$D,'Learnset Editor'!$A$2:$A=XLOOKUP($Q44,'Threshold Summary'!$Y:$Y,'Threshold Summary'!$K:$K,""),'Learnset Editor'!$C$2:$C&lt;=XLOOKUP($Q44,'Threshold Summary'!$Y:$Y,'Threshold Summary'!$L:$L,"")),$R44),"")</f>
        <v/>
      </c>
      <c r="E44" s="3">
        <f>XLOOKUP(D44,'Move Editor'!$B:$B,'Move Editor'!$C:$C,"")</f>
        <v/>
      </c>
      <c r="F44" s="3">
        <f>XLOOKUP(D44,'Move Editor'!$B:$B,'Move Editor'!$D:$D,"")</f>
        <v/>
      </c>
      <c r="G44" s="3">
        <f>XLOOKUP(D44,'Move Editor'!$B:$B,'Move Editor'!$E:$E,0)</f>
        <v/>
      </c>
      <c r="H44" s="3">
        <f>XLOOKUP(D44,'Move Editor'!$B:$B,'Move Editor'!$F:$F,0)</f>
        <v/>
      </c>
      <c r="I44" s="3">
        <f>(INDEX('Type Chart'!$B:$S,MATCH(E44,'Type Chart'!$A:$A,0),MATCH(XLOOKUP('Boss Editor'!$C$4,'Pokemon Editor'!$A:$A,'Pokemon Editor'!$C:$C,""),'Type Chart'!$B$1:$S$1,0))*IF(XLOOKUP('Boss Editor'!$C$4,'Pokemon Editor'!$A:$A,'Pokemon Editor'!$D:$D,"")="",1,INDEX('Type Chart'!$B:$S,MATCH(E44,'Type Chart'!$A:$A,0),MATCH(XLOOKUP('Boss Editor'!$C$4,'Pokemon Editor'!$A:$A,'Pokemon Editor'!$D:$D,""),'Type Chart'!$B$1:$S$1,0))))</f>
        <v/>
      </c>
      <c r="J44" s="3">
        <f>IFERROR(LET(mtype,XLOOKUP($D44,'Move Editor'!$B:$B,'Move Editor'!$C:$C,""),cat,XLOOKUP($D44,'Move Editor'!$B:$B,'Move Editor'!$D:$D,""),pow,XLOOKUP($D44,'Move Editor'!$B:$B,'Move Editor'!$E:$E,0),acc,XLOOKUP($D44,'Move Editor'!$B:$B,'Move Editor'!$F:$F,100),atk,IF(cat="Physical",FLOOR((FLOOR(((2*XLOOKUP(XLOOKUP($Q44,'Threshold Summary'!$Y:$Y,'Threshold Summary'!$K:$K,""),'Pokemon Editor'!$A:$A,'Pokemon Editor'!$F:$F,0)+31+FLOOR(XLOOKUP($Q44,'Threshold Summary'!$Y:$Y,'Threshold Summary'!$P:$P,"")/4))*XLOOKUP($Q44,'Threshold Summary'!$Y:$Y,'Threshold Summary'!$L:$L,""))/100)+5)*XLOOKUP(XLOOKUP($Q44,'Threshold Summary'!$Y:$Y,'Threshold Summary'!$M:$M,""),'Nature Editor'!$A:$A,'Nature Editor'!$B:$B,1)),FLOOR((FLOOR(((2*XLOOKUP(XLOOKUP($Q44,'Threshold Summary'!$Y:$Y,'Threshold Summary'!$K:$K,""),'Pokemon Editor'!$A:$A,'Pokemon Editor'!$H:$H,0)+31+FLOOR(XLOOKUP($Q44,'Threshold Summary'!$Y:$Y,'Threshold Summary'!$R:$R,"")/4))*XLOOKUP($Q44,'Threshold Summary'!$Y:$Y,'Threshold Summary'!$L:$L,""))/100)+5)*XLOOKUP(XLOOKUP($Q44,'Threshold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Editor'!$E:$E,1))),stab,IF(OR(mtype=XLOOKUP(XLOOKUP($Q44,'Threshold Summary'!$Y:$Y,'Threshold Summary'!$K:$K,""),'Pokemon Editor'!$A:$A,'Pokemon Editor'!$C:$C,""),mtype=XLOOKUP(XLOOKUP($Q44,'Threshold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Chart'!$B$1:$S$1,0)))),base,IF(OR(cat="Status",pow=0),0,FLOOR(FLOOR(FLOOR((2*XLOOKUP($Q44,'Threshold Summary'!$Y:$Y,'Threshold Summary'!$L:$L,"")/5+2)*pow*atk/def)/50)+2)),modifier,stab*eff,FLOOR(base*modifier*0.85)),0)</f>
        <v/>
      </c>
      <c r="K44" s="3">
        <f>IFERROR(LET(mtype,XLOOKUP($D44,'Move Editor'!$B:$B,'Move Editor'!$C:$C,""),cat,XLOOKUP($D44,'Move Editor'!$B:$B,'Move Editor'!$D:$D,""),pow,XLOOKUP($D44,'Move Editor'!$B:$B,'Move Editor'!$E:$E,0),acc,XLOOKUP($D44,'Move Editor'!$B:$B,'Move Editor'!$F:$F,100),atk,IF(cat="Physical",FLOOR((FLOOR(((2*XLOOKUP(XLOOKUP($Q44,'Threshold Summary'!$Y:$Y,'Threshold Summary'!$K:$K,""),'Pokemon Editor'!$A:$A,'Pokemon Editor'!$F:$F,0)+31+FLOOR(XLOOKUP($Q44,'Threshold Summary'!$Y:$Y,'Threshold Summary'!$P:$P,"")/4))*XLOOKUP($Q44,'Threshold Summary'!$Y:$Y,'Threshold Summary'!$L:$L,""))/100)+5)*XLOOKUP(XLOOKUP($Q44,'Threshold Summary'!$Y:$Y,'Threshold Summary'!$M:$M,""),'Nature Editor'!$A:$A,'Nature Editor'!$B:$B,1)),FLOOR((FLOOR(((2*XLOOKUP(XLOOKUP($Q44,'Threshold Summary'!$Y:$Y,'Threshold Summary'!$K:$K,""),'Pokemon Editor'!$A:$A,'Pokemon Editor'!$H:$H,0)+31+FLOOR(XLOOKUP($Q44,'Threshold Summary'!$Y:$Y,'Threshold Summary'!$R:$R,"")/4))*XLOOKUP($Q44,'Threshold Summary'!$Y:$Y,'Threshold Summary'!$L:$L,""))/100)+5)*XLOOKUP(XLOOKUP($Q44,'Threshold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Editor'!$E:$E,1))),stab,IF(OR(mtype=XLOOKUP(XLOOKUP($Q44,'Threshold Summary'!$Y:$Y,'Threshold Summary'!$K:$K,""),'Pokemon Editor'!$A:$A,'Pokemon Editor'!$C:$C,""),mtype=XLOOKUP(XLOOKUP($Q44,'Threshold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Chart'!$B$1:$S$1,0)))),base,IF(OR(cat="Status",pow=0),0,FLOOR(FLOOR(FLOOR((2*XLOOKUP($Q44,'Threshold Summary'!$Y:$Y,'Threshold Summary'!$L:$L,"")/5+2)*pow*atk/def)/50)+2)),modifier,stab*eff,FLOOR(base*modifier)),0)</f>
        <v/>
      </c>
      <c r="L44" s="3">
        <f>IFERROR(LET(mtype,XLOOKUP($D44,'Move Editor'!$B:$B,'Move Editor'!$C:$C,""),cat,XLOOKUP($D44,'Move Editor'!$B:$B,'Move Editor'!$D:$D,""),pow,XLOOKUP($D44,'Move Editor'!$B:$B,'Move Editor'!$E:$E,0),acc,XLOOKUP($D44,'Move Editor'!$B:$B,'Move Editor'!$F:$F,100),atk,IF(cat="Physical",FLOOR((FLOOR(((2*XLOOKUP(XLOOKUP($Q44,'Threshold Summary'!$Y:$Y,'Threshold Summary'!$K:$K,""),'Pokemon Editor'!$A:$A,'Pokemon Editor'!$F:$F,0)+31+FLOOR(XLOOKUP($Q44,'Threshold Summary'!$Y:$Y,'Threshold Summary'!$P:$P,"")/4))*XLOOKUP($Q44,'Threshold Summary'!$Y:$Y,'Threshold Summary'!$L:$L,""))/100)+5)*XLOOKUP(XLOOKUP($Q44,'Threshold Summary'!$Y:$Y,'Threshold Summary'!$M:$M,""),'Nature Editor'!$A:$A,'Nature Editor'!$B:$B,1)),FLOOR((FLOOR(((2*XLOOKUP(XLOOKUP($Q44,'Threshold Summary'!$Y:$Y,'Threshold Summary'!$K:$K,""),'Pokemon Editor'!$A:$A,'Pokemon Editor'!$H:$H,0)+31+FLOOR(XLOOKUP($Q44,'Threshold Summary'!$Y:$Y,'Threshold Summary'!$R:$R,"")/4))*XLOOKUP($Q44,'Threshold Summary'!$Y:$Y,'Threshold Summary'!$L:$L,""))/100)+5)*XLOOKUP(XLOOKUP($Q44,'Threshold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Editor'!$E:$E,1))),stab,IF(OR(mtype=XLOOKUP(XLOOKUP($Q44,'Threshold Summary'!$Y:$Y,'Threshold Summary'!$K:$K,""),'Pokemon Editor'!$A:$A,'Pokemon Editor'!$C:$C,""),mtype=XLOOKUP(XLOOKUP($Q44,'Threshold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Chart'!$B$1:$S$1,0)))),base,IF(OR(cat="Status",pow=0),0,FLOOR(FLOOR(FLOOR((2*XLOOKUP($Q44,'Threshold Summary'!$Y:$Y,'Threshold Summary'!$L:$L,"")/5+2)*pow*atk/def)/50)+2)),modifier,stab*eff,AVERAGE(ARRAYFORMULA(FLOOR(base*modifier*SEQUENCE(16,1,85,1)/100)))),0)</f>
        <v/>
      </c>
      <c r="M44" s="3">
        <f>IFERROR(LET(mtype,XLOOKUP($D44,'Move Editor'!$B:$B,'Move Editor'!$C:$C,""),cat,XLOOKUP($D44,'Move Editor'!$B:$B,'Move Editor'!$D:$D,""),pow,XLOOKUP($D44,'Move Editor'!$B:$B,'Move Editor'!$E:$E,0),acc,XLOOKUP($D44,'Move Editor'!$B:$B,'Move Editor'!$F:$F,100),atk,IF(cat="Physical",FLOOR((FLOOR(((2*XLOOKUP(XLOOKUP($Q44,'Threshold Summary'!$Y:$Y,'Threshold Summary'!$K:$K,""),'Pokemon Editor'!$A:$A,'Pokemon Editor'!$F:$F,0)+31+FLOOR(XLOOKUP($Q44,'Threshold Summary'!$Y:$Y,'Threshold Summary'!$P:$P,"")/4))*XLOOKUP($Q44,'Threshold Summary'!$Y:$Y,'Threshold Summary'!$L:$L,""))/100)+5)*XLOOKUP(XLOOKUP($Q44,'Threshold Summary'!$Y:$Y,'Threshold Summary'!$M:$M,""),'Nature Editor'!$A:$A,'Nature Editor'!$B:$B,1)),FLOOR((FLOOR(((2*XLOOKUP(XLOOKUP($Q44,'Threshold Summary'!$Y:$Y,'Threshold Summary'!$K:$K,""),'Pokemon Editor'!$A:$A,'Pokemon Editor'!$H:$H,0)+31+FLOOR(XLOOKUP($Q44,'Threshold Summary'!$Y:$Y,'Threshold Summary'!$R:$R,"")/4))*XLOOKUP($Q44,'Threshold Summary'!$Y:$Y,'Threshold Summary'!$L:$L,""))/100)+5)*XLOOKUP(XLOOKUP($Q44,'Threshold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Editor'!$E:$E,1))),stab,IF(OR(mtype=XLOOKUP(XLOOKUP($Q44,'Threshold Summary'!$Y:$Y,'Threshold Summary'!$K:$K,""),'Pokemon Editor'!$A:$A,'Pokemon Editor'!$C:$C,""),mtype=XLOOKUP(XLOOKUP($Q44,'Threshold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Chart'!$B$1:$S$1,0)))),base,IF(OR(cat="Status",pow=0),0,FLOOR(FLOOR(FLOOR((2*XLOOKUP($Q44,'Threshold Summary'!$Y:$Y,'Threshold Summary'!$L:$L,"")/5+2)*pow*atk/def)/50)+2)),modifier,stab*eff,AVERAGE(ARRAYFORMULA(FLOOR(base*modifier*SEQUENCE(16,1,85,1)/100)))*MIN(1,acc/100)),0)</f>
        <v/>
      </c>
      <c r="N44" s="4">
        <f>IFERROR(LET(mtype,XLOOKUP($D44,'Move Editor'!$B:$B,'Move Editor'!$C:$C,""),cat,XLOOKUP($D44,'Move Editor'!$B:$B,'Move Editor'!$D:$D,""),pow,XLOOKUP($D44,'Move Editor'!$B:$B,'Move Editor'!$E:$E,0),acc,XLOOKUP($D44,'Move Editor'!$B:$B,'Move Editor'!$F:$F,100),atk,IF(cat="Physical",FLOOR((FLOOR(((2*XLOOKUP(XLOOKUP($Q44,'Threshold Summary'!$Y:$Y,'Threshold Summary'!$K:$K,""),'Pokemon Editor'!$A:$A,'Pokemon Editor'!$F:$F,0)+31+FLOOR(XLOOKUP($Q44,'Threshold Summary'!$Y:$Y,'Threshold Summary'!$P:$P,"")/4))*XLOOKUP($Q44,'Threshold Summary'!$Y:$Y,'Threshold Summary'!$L:$L,""))/100)+5)*XLOOKUP(XLOOKUP($Q44,'Threshold Summary'!$Y:$Y,'Threshold Summary'!$M:$M,""),'Nature Editor'!$A:$A,'Nature Editor'!$B:$B,1)),FLOOR((FLOOR(((2*XLOOKUP(XLOOKUP($Q44,'Threshold Summary'!$Y:$Y,'Threshold Summary'!$K:$K,""),'Pokemon Editor'!$A:$A,'Pokemon Editor'!$H:$H,0)+31+FLOOR(XLOOKUP($Q44,'Threshold Summary'!$Y:$Y,'Threshold Summary'!$R:$R,"")/4))*XLOOKUP($Q44,'Threshold Summary'!$Y:$Y,'Threshold Summary'!$L:$L,""))/100)+5)*XLOOKUP(XLOOKUP($Q44,'Threshold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Editor'!$E:$E,1))),stab,IF(OR(mtype=XLOOKUP(XLOOKUP($Q44,'Threshold Summary'!$Y:$Y,'Threshold Summary'!$K:$K,""),'Pokemon Editor'!$A:$A,'Pokemon Editor'!$C:$C,""),mtype=XLOOKUP(XLOOKUP($Q44,'Threshold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Chart'!$B$1:$S$1,0)))),base,IF(OR(cat="Status",pow=0),0,FLOOR(FLOOR(FLOOR((2*XLOOKUP($Q44,'Threshold Summary'!$Y:$Y,'Threshold Summary'!$L:$L,"")/5+2)*pow*atk/def)/50)+2)),modifier,stab*eff,AVERAGE(ARRAYFORMULA(FLOOR(base*modifier*SEQUENCE(16,1,85,1)/100)))/(FLOOR(((2*XLOOKUP('Boss Editor'!$C$4,'Pokemon Editor'!$A:$A,'Pokemon Editor'!$E:$E,0)+31+FLOOR('Boss Editor'!$G$4/4))*'Boss Editor'!$D$4)/100)+'Boss Editor'!$D$4+10)),0)</f>
        <v/>
      </c>
      <c r="O44" s="3">
        <f>IF(N44&gt;=1,"OHKO",IF(N44&gt;=0.5,"2HKO",IF(N44&gt;=0.333,"3HKO",IF(N44&gt;=0.25,"4HKO","5HKO+"))))</f>
        <v/>
      </c>
      <c r="P44" s="3" t="inlineStr">
        <is>
          <t>Live from editable databases</t>
        </is>
      </c>
      <c r="Q44" s="3" t="inlineStr">
        <is>
          <t>SPECIES_SENTRET</t>
        </is>
      </c>
      <c r="R44" s="3" t="n">
        <v>11</v>
      </c>
    </row>
    <row r="45">
      <c r="A45" s="3">
        <f>XLOOKUP($Q45,'Threshold Summary'!$Y:$Y,'Threshold Summary'!$A:$A,"")</f>
        <v/>
      </c>
      <c r="B45" s="3">
        <f>XLOOKUP($Q45,'Threshold Summary'!$Y:$Y,'Threshold Summary'!$M:$M,"")</f>
        <v/>
      </c>
      <c r="C45" s="3">
        <f>XLOOKUP($Q45,'Threshold Summary'!$Y:$Y,'Threshold Summary'!$N:$N,"")</f>
        <v/>
      </c>
      <c r="D45" s="3">
        <f>IFERROR(INDEX(FILTER('Learnset Editor'!$D$2:$D,'Learnset Editor'!$A$2:$A=XLOOKUP($Q45,'Threshold Summary'!$Y:$Y,'Threshold Summary'!$K:$K,""),'Learnset Editor'!$C$2:$C&lt;=XLOOKUP($Q45,'Threshold Summary'!$Y:$Y,'Threshold Summary'!$L:$L,"")),$R45),"")</f>
        <v/>
      </c>
      <c r="E45" s="3">
        <f>XLOOKUP(D45,'Move Editor'!$B:$B,'Move Editor'!$C:$C,"")</f>
        <v/>
      </c>
      <c r="F45" s="3">
        <f>XLOOKUP(D45,'Move Editor'!$B:$B,'Move Editor'!$D:$D,"")</f>
        <v/>
      </c>
      <c r="G45" s="3">
        <f>XLOOKUP(D45,'Move Editor'!$B:$B,'Move Editor'!$E:$E,0)</f>
        <v/>
      </c>
      <c r="H45" s="3">
        <f>XLOOKUP(D45,'Move Editor'!$B:$B,'Move Editor'!$F:$F,0)</f>
        <v/>
      </c>
      <c r="I45" s="3">
        <f>(INDEX('Type Chart'!$B:$S,MATCH(E45,'Type Chart'!$A:$A,0),MATCH(XLOOKUP('Boss Editor'!$C$4,'Pokemon Editor'!$A:$A,'Pokemon Editor'!$C:$C,""),'Type Chart'!$B$1:$S$1,0))*IF(XLOOKUP('Boss Editor'!$C$4,'Pokemon Editor'!$A:$A,'Pokemon Editor'!$D:$D,"")="",1,INDEX('Type Chart'!$B:$S,MATCH(E45,'Type Chart'!$A:$A,0),MATCH(XLOOKUP('Boss Editor'!$C$4,'Pokemon Editor'!$A:$A,'Pokemon Editor'!$D:$D,""),'Type Chart'!$B$1:$S$1,0))))</f>
        <v/>
      </c>
      <c r="J45" s="3">
        <f>IFERROR(LET(mtype,XLOOKUP($D45,'Move Editor'!$B:$B,'Move Editor'!$C:$C,""),cat,XLOOKUP($D45,'Move Editor'!$B:$B,'Move Editor'!$D:$D,""),pow,XLOOKUP($D45,'Move Editor'!$B:$B,'Move Editor'!$E:$E,0),acc,XLOOKUP($D45,'Move Editor'!$B:$B,'Move Editor'!$F:$F,100),atk,IF(cat="Physical",FLOOR((FLOOR(((2*XLOOKUP(XLOOKUP($Q45,'Threshold Summary'!$Y:$Y,'Threshold Summary'!$K:$K,""),'Pokemon Editor'!$A:$A,'Pokemon Editor'!$F:$F,0)+31+FLOOR(XLOOKUP($Q45,'Threshold Summary'!$Y:$Y,'Threshold Summary'!$P:$P,"")/4))*XLOOKUP($Q45,'Threshold Summary'!$Y:$Y,'Threshold Summary'!$L:$L,""))/100)+5)*XLOOKUP(XLOOKUP($Q45,'Threshold Summary'!$Y:$Y,'Threshold Summary'!$M:$M,""),'Nature Editor'!$A:$A,'Nature Editor'!$B:$B,1)),FLOOR((FLOOR(((2*XLOOKUP(XLOOKUP($Q45,'Threshold Summary'!$Y:$Y,'Threshold Summary'!$K:$K,""),'Pokemon Editor'!$A:$A,'Pokemon Editor'!$H:$H,0)+31+FLOOR(XLOOKUP($Q45,'Threshold Summary'!$Y:$Y,'Threshold Summary'!$R:$R,"")/4))*XLOOKUP($Q45,'Threshold Summary'!$Y:$Y,'Threshold Summary'!$L:$L,""))/100)+5)*XLOOKUP(XLOOKUP($Q45,'Threshold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Editor'!$E:$E,1))),stab,IF(OR(mtype=XLOOKUP(XLOOKUP($Q45,'Threshold Summary'!$Y:$Y,'Threshold Summary'!$K:$K,""),'Pokemon Editor'!$A:$A,'Pokemon Editor'!$C:$C,""),mtype=XLOOKUP(XLOOKUP($Q45,'Threshold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Chart'!$B$1:$S$1,0)))),base,IF(OR(cat="Status",pow=0),0,FLOOR(FLOOR(FLOOR((2*XLOOKUP($Q45,'Threshold Summary'!$Y:$Y,'Threshold Summary'!$L:$L,"")/5+2)*pow*atk/def)/50)+2)),modifier,stab*eff,FLOOR(base*modifier*0.85)),0)</f>
        <v/>
      </c>
      <c r="K45" s="3">
        <f>IFERROR(LET(mtype,XLOOKUP($D45,'Move Editor'!$B:$B,'Move Editor'!$C:$C,""),cat,XLOOKUP($D45,'Move Editor'!$B:$B,'Move Editor'!$D:$D,""),pow,XLOOKUP($D45,'Move Editor'!$B:$B,'Move Editor'!$E:$E,0),acc,XLOOKUP($D45,'Move Editor'!$B:$B,'Move Editor'!$F:$F,100),atk,IF(cat="Physical",FLOOR((FLOOR(((2*XLOOKUP(XLOOKUP($Q45,'Threshold Summary'!$Y:$Y,'Threshold Summary'!$K:$K,""),'Pokemon Editor'!$A:$A,'Pokemon Editor'!$F:$F,0)+31+FLOOR(XLOOKUP($Q45,'Threshold Summary'!$Y:$Y,'Threshold Summary'!$P:$P,"")/4))*XLOOKUP($Q45,'Threshold Summary'!$Y:$Y,'Threshold Summary'!$L:$L,""))/100)+5)*XLOOKUP(XLOOKUP($Q45,'Threshold Summary'!$Y:$Y,'Threshold Summary'!$M:$M,""),'Nature Editor'!$A:$A,'Nature Editor'!$B:$B,1)),FLOOR((FLOOR(((2*XLOOKUP(XLOOKUP($Q45,'Threshold Summary'!$Y:$Y,'Threshold Summary'!$K:$K,""),'Pokemon Editor'!$A:$A,'Pokemon Editor'!$H:$H,0)+31+FLOOR(XLOOKUP($Q45,'Threshold Summary'!$Y:$Y,'Threshold Summary'!$R:$R,"")/4))*XLOOKUP($Q45,'Threshold Summary'!$Y:$Y,'Threshold Summary'!$L:$L,""))/100)+5)*XLOOKUP(XLOOKUP($Q45,'Threshold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Editor'!$E:$E,1))),stab,IF(OR(mtype=XLOOKUP(XLOOKUP($Q45,'Threshold Summary'!$Y:$Y,'Threshold Summary'!$K:$K,""),'Pokemon Editor'!$A:$A,'Pokemon Editor'!$C:$C,""),mtype=XLOOKUP(XLOOKUP($Q45,'Threshold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Chart'!$B$1:$S$1,0)))),base,IF(OR(cat="Status",pow=0),0,FLOOR(FLOOR(FLOOR((2*XLOOKUP($Q45,'Threshold Summary'!$Y:$Y,'Threshold Summary'!$L:$L,"")/5+2)*pow*atk/def)/50)+2)),modifier,stab*eff,FLOOR(base*modifier)),0)</f>
        <v/>
      </c>
      <c r="L45" s="3">
        <f>IFERROR(LET(mtype,XLOOKUP($D45,'Move Editor'!$B:$B,'Move Editor'!$C:$C,""),cat,XLOOKUP($D45,'Move Editor'!$B:$B,'Move Editor'!$D:$D,""),pow,XLOOKUP($D45,'Move Editor'!$B:$B,'Move Editor'!$E:$E,0),acc,XLOOKUP($D45,'Move Editor'!$B:$B,'Move Editor'!$F:$F,100),atk,IF(cat="Physical",FLOOR((FLOOR(((2*XLOOKUP(XLOOKUP($Q45,'Threshold Summary'!$Y:$Y,'Threshold Summary'!$K:$K,""),'Pokemon Editor'!$A:$A,'Pokemon Editor'!$F:$F,0)+31+FLOOR(XLOOKUP($Q45,'Threshold Summary'!$Y:$Y,'Threshold Summary'!$P:$P,"")/4))*XLOOKUP($Q45,'Threshold Summary'!$Y:$Y,'Threshold Summary'!$L:$L,""))/100)+5)*XLOOKUP(XLOOKUP($Q45,'Threshold Summary'!$Y:$Y,'Threshold Summary'!$M:$M,""),'Nature Editor'!$A:$A,'Nature Editor'!$B:$B,1)),FLOOR((FLOOR(((2*XLOOKUP(XLOOKUP($Q45,'Threshold Summary'!$Y:$Y,'Threshold Summary'!$K:$K,""),'Pokemon Editor'!$A:$A,'Pokemon Editor'!$H:$H,0)+31+FLOOR(XLOOKUP($Q45,'Threshold Summary'!$Y:$Y,'Threshold Summary'!$R:$R,"")/4))*XLOOKUP($Q45,'Threshold Summary'!$Y:$Y,'Threshold Summary'!$L:$L,""))/100)+5)*XLOOKUP(XLOOKUP($Q45,'Threshold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Editor'!$E:$E,1))),stab,IF(OR(mtype=XLOOKUP(XLOOKUP($Q45,'Threshold Summary'!$Y:$Y,'Threshold Summary'!$K:$K,""),'Pokemon Editor'!$A:$A,'Pokemon Editor'!$C:$C,""),mtype=XLOOKUP(XLOOKUP($Q45,'Threshold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Chart'!$B$1:$S$1,0)))),base,IF(OR(cat="Status",pow=0),0,FLOOR(FLOOR(FLOOR((2*XLOOKUP($Q45,'Threshold Summary'!$Y:$Y,'Threshold Summary'!$L:$L,"")/5+2)*pow*atk/def)/50)+2)),modifier,stab*eff,AVERAGE(ARRAYFORMULA(FLOOR(base*modifier*SEQUENCE(16,1,85,1)/100)))),0)</f>
        <v/>
      </c>
      <c r="M45" s="3">
        <f>IFERROR(LET(mtype,XLOOKUP($D45,'Move Editor'!$B:$B,'Move Editor'!$C:$C,""),cat,XLOOKUP($D45,'Move Editor'!$B:$B,'Move Editor'!$D:$D,""),pow,XLOOKUP($D45,'Move Editor'!$B:$B,'Move Editor'!$E:$E,0),acc,XLOOKUP($D45,'Move Editor'!$B:$B,'Move Editor'!$F:$F,100),atk,IF(cat="Physical",FLOOR((FLOOR(((2*XLOOKUP(XLOOKUP($Q45,'Threshold Summary'!$Y:$Y,'Threshold Summary'!$K:$K,""),'Pokemon Editor'!$A:$A,'Pokemon Editor'!$F:$F,0)+31+FLOOR(XLOOKUP($Q45,'Threshold Summary'!$Y:$Y,'Threshold Summary'!$P:$P,"")/4))*XLOOKUP($Q45,'Threshold Summary'!$Y:$Y,'Threshold Summary'!$L:$L,""))/100)+5)*XLOOKUP(XLOOKUP($Q45,'Threshold Summary'!$Y:$Y,'Threshold Summary'!$M:$M,""),'Nature Editor'!$A:$A,'Nature Editor'!$B:$B,1)),FLOOR((FLOOR(((2*XLOOKUP(XLOOKUP($Q45,'Threshold Summary'!$Y:$Y,'Threshold Summary'!$K:$K,""),'Pokemon Editor'!$A:$A,'Pokemon Editor'!$H:$H,0)+31+FLOOR(XLOOKUP($Q45,'Threshold Summary'!$Y:$Y,'Threshold Summary'!$R:$R,"")/4))*XLOOKUP($Q45,'Threshold Summary'!$Y:$Y,'Threshold Summary'!$L:$L,""))/100)+5)*XLOOKUP(XLOOKUP($Q45,'Threshold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Editor'!$E:$E,1))),stab,IF(OR(mtype=XLOOKUP(XLOOKUP($Q45,'Threshold Summary'!$Y:$Y,'Threshold Summary'!$K:$K,""),'Pokemon Editor'!$A:$A,'Pokemon Editor'!$C:$C,""),mtype=XLOOKUP(XLOOKUP($Q45,'Threshold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Chart'!$B$1:$S$1,0)))),base,IF(OR(cat="Status",pow=0),0,FLOOR(FLOOR(FLOOR((2*XLOOKUP($Q45,'Threshold Summary'!$Y:$Y,'Threshold Summary'!$L:$L,"")/5+2)*pow*atk/def)/50)+2)),modifier,stab*eff,AVERAGE(ARRAYFORMULA(FLOOR(base*modifier*SEQUENCE(16,1,85,1)/100)))*MIN(1,acc/100)),0)</f>
        <v/>
      </c>
      <c r="N45" s="4">
        <f>IFERROR(LET(mtype,XLOOKUP($D45,'Move Editor'!$B:$B,'Move Editor'!$C:$C,""),cat,XLOOKUP($D45,'Move Editor'!$B:$B,'Move Editor'!$D:$D,""),pow,XLOOKUP($D45,'Move Editor'!$B:$B,'Move Editor'!$E:$E,0),acc,XLOOKUP($D45,'Move Editor'!$B:$B,'Move Editor'!$F:$F,100),atk,IF(cat="Physical",FLOOR((FLOOR(((2*XLOOKUP(XLOOKUP($Q45,'Threshold Summary'!$Y:$Y,'Threshold Summary'!$K:$K,""),'Pokemon Editor'!$A:$A,'Pokemon Editor'!$F:$F,0)+31+FLOOR(XLOOKUP($Q45,'Threshold Summary'!$Y:$Y,'Threshold Summary'!$P:$P,"")/4))*XLOOKUP($Q45,'Threshold Summary'!$Y:$Y,'Threshold Summary'!$L:$L,""))/100)+5)*XLOOKUP(XLOOKUP($Q45,'Threshold Summary'!$Y:$Y,'Threshold Summary'!$M:$M,""),'Nature Editor'!$A:$A,'Nature Editor'!$B:$B,1)),FLOOR((FLOOR(((2*XLOOKUP(XLOOKUP($Q45,'Threshold Summary'!$Y:$Y,'Threshold Summary'!$K:$K,""),'Pokemon Editor'!$A:$A,'Pokemon Editor'!$H:$H,0)+31+FLOOR(XLOOKUP($Q45,'Threshold Summary'!$Y:$Y,'Threshold Summary'!$R:$R,"")/4))*XLOOKUP($Q45,'Threshold Summary'!$Y:$Y,'Threshold Summary'!$L:$L,""))/100)+5)*XLOOKUP(XLOOKUP($Q45,'Threshold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Editor'!$E:$E,1))),stab,IF(OR(mtype=XLOOKUP(XLOOKUP($Q45,'Threshold Summary'!$Y:$Y,'Threshold Summary'!$K:$K,""),'Pokemon Editor'!$A:$A,'Pokemon Editor'!$C:$C,""),mtype=XLOOKUP(XLOOKUP($Q45,'Threshold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Chart'!$B$1:$S$1,0)))),base,IF(OR(cat="Status",pow=0),0,FLOOR(FLOOR(FLOOR((2*XLOOKUP($Q45,'Threshold Summary'!$Y:$Y,'Threshold Summary'!$L:$L,"")/5+2)*pow*atk/def)/50)+2)),modifier,stab*eff,AVERAGE(ARRAYFORMULA(FLOOR(base*modifier*SEQUENCE(16,1,85,1)/100)))/(FLOOR(((2*XLOOKUP('Boss Editor'!$C$4,'Pokemon Editor'!$A:$A,'Pokemon Editor'!$E:$E,0)+31+FLOOR('Boss Editor'!$G$4/4))*'Boss Editor'!$D$4)/100)+'Boss Editor'!$D$4+10)),0)</f>
        <v/>
      </c>
      <c r="O45" s="3">
        <f>IF(N45&gt;=1,"OHKO",IF(N45&gt;=0.5,"2HKO",IF(N45&gt;=0.333,"3HKO",IF(N45&gt;=0.25,"4HKO","5HKO+"))))</f>
        <v/>
      </c>
      <c r="P45" s="3" t="inlineStr">
        <is>
          <t>Live from editable databases</t>
        </is>
      </c>
      <c r="Q45" s="3" t="inlineStr">
        <is>
          <t>SPECIES_SENTRET</t>
        </is>
      </c>
      <c r="R45" s="3" t="n">
        <v>12</v>
      </c>
    </row>
    <row r="46">
      <c r="A46" s="3">
        <f>XLOOKUP($Q46,'Threshold Summary'!$Y:$Y,'Threshold Summary'!$A:$A,"")</f>
        <v/>
      </c>
      <c r="B46" s="3">
        <f>XLOOKUP($Q46,'Threshold Summary'!$Y:$Y,'Threshold Summary'!$M:$M,"")</f>
        <v/>
      </c>
      <c r="C46" s="3">
        <f>XLOOKUP($Q46,'Threshold Summary'!$Y:$Y,'Threshold Summary'!$N:$N,"")</f>
        <v/>
      </c>
      <c r="D46" s="3">
        <f>IFERROR(INDEX(FILTER('Learnset Editor'!$D$2:$D,'Learnset Editor'!$A$2:$A=XLOOKUP($Q46,'Threshold Summary'!$Y:$Y,'Threshold Summary'!$K:$K,""),'Learnset Editor'!$C$2:$C&lt;=XLOOKUP($Q46,'Threshold Summary'!$Y:$Y,'Threshold Summary'!$L:$L,"")),$R46),"")</f>
        <v/>
      </c>
      <c r="E46" s="3">
        <f>XLOOKUP(D46,'Move Editor'!$B:$B,'Move Editor'!$C:$C,"")</f>
        <v/>
      </c>
      <c r="F46" s="3">
        <f>XLOOKUP(D46,'Move Editor'!$B:$B,'Move Editor'!$D:$D,"")</f>
        <v/>
      </c>
      <c r="G46" s="3">
        <f>XLOOKUP(D46,'Move Editor'!$B:$B,'Move Editor'!$E:$E,0)</f>
        <v/>
      </c>
      <c r="H46" s="3">
        <f>XLOOKUP(D46,'Move Editor'!$B:$B,'Move Editor'!$F:$F,0)</f>
        <v/>
      </c>
      <c r="I46" s="3">
        <f>(INDEX('Type Chart'!$B:$S,MATCH(E46,'Type Chart'!$A:$A,0),MATCH(XLOOKUP('Boss Editor'!$C$4,'Pokemon Editor'!$A:$A,'Pokemon Editor'!$C:$C,""),'Type Chart'!$B$1:$S$1,0))*IF(XLOOKUP('Boss Editor'!$C$4,'Pokemon Editor'!$A:$A,'Pokemon Editor'!$D:$D,"")="",1,INDEX('Type Chart'!$B:$S,MATCH(E46,'Type Chart'!$A:$A,0),MATCH(XLOOKUP('Boss Editor'!$C$4,'Pokemon Editor'!$A:$A,'Pokemon Editor'!$D:$D,""),'Type Chart'!$B$1:$S$1,0))))</f>
        <v/>
      </c>
      <c r="J46" s="3">
        <f>IFERROR(LET(mtype,XLOOKUP($D46,'Move Editor'!$B:$B,'Move Editor'!$C:$C,""),cat,XLOOKUP($D46,'Move Editor'!$B:$B,'Move Editor'!$D:$D,""),pow,XLOOKUP($D46,'Move Editor'!$B:$B,'Move Editor'!$E:$E,0),acc,XLOOKUP($D46,'Move Editor'!$B:$B,'Move Editor'!$F:$F,100),atk,IF(cat="Physical",FLOOR((FLOOR(((2*XLOOKUP(XLOOKUP($Q46,'Threshold Summary'!$Y:$Y,'Threshold Summary'!$K:$K,""),'Pokemon Editor'!$A:$A,'Pokemon Editor'!$F:$F,0)+31+FLOOR(XLOOKUP($Q46,'Threshold Summary'!$Y:$Y,'Threshold Summary'!$P:$P,"")/4))*XLOOKUP($Q46,'Threshold Summary'!$Y:$Y,'Threshold Summary'!$L:$L,""))/100)+5)*XLOOKUP(XLOOKUP($Q46,'Threshold Summary'!$Y:$Y,'Threshold Summary'!$M:$M,""),'Nature Editor'!$A:$A,'Nature Editor'!$B:$B,1)),FLOOR((FLOOR(((2*XLOOKUP(XLOOKUP($Q46,'Threshold Summary'!$Y:$Y,'Threshold Summary'!$K:$K,""),'Pokemon Editor'!$A:$A,'Pokemon Editor'!$H:$H,0)+31+FLOOR(XLOOKUP($Q46,'Threshold Summary'!$Y:$Y,'Threshold Summary'!$R:$R,"")/4))*XLOOKUP($Q46,'Threshold Summary'!$Y:$Y,'Threshold Summary'!$L:$L,""))/100)+5)*XLOOKUP(XLOOKUP($Q46,'Threshold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Editor'!$E:$E,1))),stab,IF(OR(mtype=XLOOKUP(XLOOKUP($Q46,'Threshold Summary'!$Y:$Y,'Threshold Summary'!$K:$K,""),'Pokemon Editor'!$A:$A,'Pokemon Editor'!$C:$C,""),mtype=XLOOKUP(XLOOKUP($Q46,'Threshold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Chart'!$B$1:$S$1,0)))),base,IF(OR(cat="Status",pow=0),0,FLOOR(FLOOR(FLOOR((2*XLOOKUP($Q46,'Threshold Summary'!$Y:$Y,'Threshold Summary'!$L:$L,"")/5+2)*pow*atk/def)/50)+2)),modifier,stab*eff,FLOOR(base*modifier*0.85)),0)</f>
        <v/>
      </c>
      <c r="K46" s="3">
        <f>IFERROR(LET(mtype,XLOOKUP($D46,'Move Editor'!$B:$B,'Move Editor'!$C:$C,""),cat,XLOOKUP($D46,'Move Editor'!$B:$B,'Move Editor'!$D:$D,""),pow,XLOOKUP($D46,'Move Editor'!$B:$B,'Move Editor'!$E:$E,0),acc,XLOOKUP($D46,'Move Editor'!$B:$B,'Move Editor'!$F:$F,100),atk,IF(cat="Physical",FLOOR((FLOOR(((2*XLOOKUP(XLOOKUP($Q46,'Threshold Summary'!$Y:$Y,'Threshold Summary'!$K:$K,""),'Pokemon Editor'!$A:$A,'Pokemon Editor'!$F:$F,0)+31+FLOOR(XLOOKUP($Q46,'Threshold Summary'!$Y:$Y,'Threshold Summary'!$P:$P,"")/4))*XLOOKUP($Q46,'Threshold Summary'!$Y:$Y,'Threshold Summary'!$L:$L,""))/100)+5)*XLOOKUP(XLOOKUP($Q46,'Threshold Summary'!$Y:$Y,'Threshold Summary'!$M:$M,""),'Nature Editor'!$A:$A,'Nature Editor'!$B:$B,1)),FLOOR((FLOOR(((2*XLOOKUP(XLOOKUP($Q46,'Threshold Summary'!$Y:$Y,'Threshold Summary'!$K:$K,""),'Pokemon Editor'!$A:$A,'Pokemon Editor'!$H:$H,0)+31+FLOOR(XLOOKUP($Q46,'Threshold Summary'!$Y:$Y,'Threshold Summary'!$R:$R,"")/4))*XLOOKUP($Q46,'Threshold Summary'!$Y:$Y,'Threshold Summary'!$L:$L,""))/100)+5)*XLOOKUP(XLOOKUP($Q46,'Threshold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Editor'!$E:$E,1))),stab,IF(OR(mtype=XLOOKUP(XLOOKUP($Q46,'Threshold Summary'!$Y:$Y,'Threshold Summary'!$K:$K,""),'Pokemon Editor'!$A:$A,'Pokemon Editor'!$C:$C,""),mtype=XLOOKUP(XLOOKUP($Q46,'Threshold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Chart'!$B$1:$S$1,0)))),base,IF(OR(cat="Status",pow=0),0,FLOOR(FLOOR(FLOOR((2*XLOOKUP($Q46,'Threshold Summary'!$Y:$Y,'Threshold Summary'!$L:$L,"")/5+2)*pow*atk/def)/50)+2)),modifier,stab*eff,FLOOR(base*modifier)),0)</f>
        <v/>
      </c>
      <c r="L46" s="3">
        <f>IFERROR(LET(mtype,XLOOKUP($D46,'Move Editor'!$B:$B,'Move Editor'!$C:$C,""),cat,XLOOKUP($D46,'Move Editor'!$B:$B,'Move Editor'!$D:$D,""),pow,XLOOKUP($D46,'Move Editor'!$B:$B,'Move Editor'!$E:$E,0),acc,XLOOKUP($D46,'Move Editor'!$B:$B,'Move Editor'!$F:$F,100),atk,IF(cat="Physical",FLOOR((FLOOR(((2*XLOOKUP(XLOOKUP($Q46,'Threshold Summary'!$Y:$Y,'Threshold Summary'!$K:$K,""),'Pokemon Editor'!$A:$A,'Pokemon Editor'!$F:$F,0)+31+FLOOR(XLOOKUP($Q46,'Threshold Summary'!$Y:$Y,'Threshold Summary'!$P:$P,"")/4))*XLOOKUP($Q46,'Threshold Summary'!$Y:$Y,'Threshold Summary'!$L:$L,""))/100)+5)*XLOOKUP(XLOOKUP($Q46,'Threshold Summary'!$Y:$Y,'Threshold Summary'!$M:$M,""),'Nature Editor'!$A:$A,'Nature Editor'!$B:$B,1)),FLOOR((FLOOR(((2*XLOOKUP(XLOOKUP($Q46,'Threshold Summary'!$Y:$Y,'Threshold Summary'!$K:$K,""),'Pokemon Editor'!$A:$A,'Pokemon Editor'!$H:$H,0)+31+FLOOR(XLOOKUP($Q46,'Threshold Summary'!$Y:$Y,'Threshold Summary'!$R:$R,"")/4))*XLOOKUP($Q46,'Threshold Summary'!$Y:$Y,'Threshold Summary'!$L:$L,""))/100)+5)*XLOOKUP(XLOOKUP($Q46,'Threshold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Editor'!$E:$E,1))),stab,IF(OR(mtype=XLOOKUP(XLOOKUP($Q46,'Threshold Summary'!$Y:$Y,'Threshold Summary'!$K:$K,""),'Pokemon Editor'!$A:$A,'Pokemon Editor'!$C:$C,""),mtype=XLOOKUP(XLOOKUP($Q46,'Threshold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Chart'!$B$1:$S$1,0)))),base,IF(OR(cat="Status",pow=0),0,FLOOR(FLOOR(FLOOR((2*XLOOKUP($Q46,'Threshold Summary'!$Y:$Y,'Threshold Summary'!$L:$L,"")/5+2)*pow*atk/def)/50)+2)),modifier,stab*eff,AVERAGE(ARRAYFORMULA(FLOOR(base*modifier*SEQUENCE(16,1,85,1)/100)))),0)</f>
        <v/>
      </c>
      <c r="M46" s="3">
        <f>IFERROR(LET(mtype,XLOOKUP($D46,'Move Editor'!$B:$B,'Move Editor'!$C:$C,""),cat,XLOOKUP($D46,'Move Editor'!$B:$B,'Move Editor'!$D:$D,""),pow,XLOOKUP($D46,'Move Editor'!$B:$B,'Move Editor'!$E:$E,0),acc,XLOOKUP($D46,'Move Editor'!$B:$B,'Move Editor'!$F:$F,100),atk,IF(cat="Physical",FLOOR((FLOOR(((2*XLOOKUP(XLOOKUP($Q46,'Threshold Summary'!$Y:$Y,'Threshold Summary'!$K:$K,""),'Pokemon Editor'!$A:$A,'Pokemon Editor'!$F:$F,0)+31+FLOOR(XLOOKUP($Q46,'Threshold Summary'!$Y:$Y,'Threshold Summary'!$P:$P,"")/4))*XLOOKUP($Q46,'Threshold Summary'!$Y:$Y,'Threshold Summary'!$L:$L,""))/100)+5)*XLOOKUP(XLOOKUP($Q46,'Threshold Summary'!$Y:$Y,'Threshold Summary'!$M:$M,""),'Nature Editor'!$A:$A,'Nature Editor'!$B:$B,1)),FLOOR((FLOOR(((2*XLOOKUP(XLOOKUP($Q46,'Threshold Summary'!$Y:$Y,'Threshold Summary'!$K:$K,""),'Pokemon Editor'!$A:$A,'Pokemon Editor'!$H:$H,0)+31+FLOOR(XLOOKUP($Q46,'Threshold Summary'!$Y:$Y,'Threshold Summary'!$R:$R,"")/4))*XLOOKUP($Q46,'Threshold Summary'!$Y:$Y,'Threshold Summary'!$L:$L,""))/100)+5)*XLOOKUP(XLOOKUP($Q46,'Threshold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Editor'!$E:$E,1))),stab,IF(OR(mtype=XLOOKUP(XLOOKUP($Q46,'Threshold Summary'!$Y:$Y,'Threshold Summary'!$K:$K,""),'Pokemon Editor'!$A:$A,'Pokemon Editor'!$C:$C,""),mtype=XLOOKUP(XLOOKUP($Q46,'Threshold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Chart'!$B$1:$S$1,0)))),base,IF(OR(cat="Status",pow=0),0,FLOOR(FLOOR(FLOOR((2*XLOOKUP($Q46,'Threshold Summary'!$Y:$Y,'Threshold Summary'!$L:$L,"")/5+2)*pow*atk/def)/50)+2)),modifier,stab*eff,AVERAGE(ARRAYFORMULA(FLOOR(base*modifier*SEQUENCE(16,1,85,1)/100)))*MIN(1,acc/100)),0)</f>
        <v/>
      </c>
      <c r="N46" s="4">
        <f>IFERROR(LET(mtype,XLOOKUP($D46,'Move Editor'!$B:$B,'Move Editor'!$C:$C,""),cat,XLOOKUP($D46,'Move Editor'!$B:$B,'Move Editor'!$D:$D,""),pow,XLOOKUP($D46,'Move Editor'!$B:$B,'Move Editor'!$E:$E,0),acc,XLOOKUP($D46,'Move Editor'!$B:$B,'Move Editor'!$F:$F,100),atk,IF(cat="Physical",FLOOR((FLOOR(((2*XLOOKUP(XLOOKUP($Q46,'Threshold Summary'!$Y:$Y,'Threshold Summary'!$K:$K,""),'Pokemon Editor'!$A:$A,'Pokemon Editor'!$F:$F,0)+31+FLOOR(XLOOKUP($Q46,'Threshold Summary'!$Y:$Y,'Threshold Summary'!$P:$P,"")/4))*XLOOKUP($Q46,'Threshold Summary'!$Y:$Y,'Threshold Summary'!$L:$L,""))/100)+5)*XLOOKUP(XLOOKUP($Q46,'Threshold Summary'!$Y:$Y,'Threshold Summary'!$M:$M,""),'Nature Editor'!$A:$A,'Nature Editor'!$B:$B,1)),FLOOR((FLOOR(((2*XLOOKUP(XLOOKUP($Q46,'Threshold Summary'!$Y:$Y,'Threshold Summary'!$K:$K,""),'Pokemon Editor'!$A:$A,'Pokemon Editor'!$H:$H,0)+31+FLOOR(XLOOKUP($Q46,'Threshold Summary'!$Y:$Y,'Threshold Summary'!$R:$R,"")/4))*XLOOKUP($Q46,'Threshold Summary'!$Y:$Y,'Threshold Summary'!$L:$L,""))/100)+5)*XLOOKUP(XLOOKUP($Q46,'Threshold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Editor'!$E:$E,1))),stab,IF(OR(mtype=XLOOKUP(XLOOKUP($Q46,'Threshold Summary'!$Y:$Y,'Threshold Summary'!$K:$K,""),'Pokemon Editor'!$A:$A,'Pokemon Editor'!$C:$C,""),mtype=XLOOKUP(XLOOKUP($Q46,'Threshold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Chart'!$B$1:$S$1,0)))),base,IF(OR(cat="Status",pow=0),0,FLOOR(FLOOR(FLOOR((2*XLOOKUP($Q46,'Threshold Summary'!$Y:$Y,'Threshold Summary'!$L:$L,"")/5+2)*pow*atk/def)/50)+2)),modifier,stab*eff,AVERAGE(ARRAYFORMULA(FLOOR(base*modifier*SEQUENCE(16,1,85,1)/100)))/(FLOOR(((2*XLOOKUP('Boss Editor'!$C$4,'Pokemon Editor'!$A:$A,'Pokemon Editor'!$E:$E,0)+31+FLOOR('Boss Editor'!$G$4/4))*'Boss Editor'!$D$4)/100)+'Boss Editor'!$D$4+10)),0)</f>
        <v/>
      </c>
      <c r="O46" s="3">
        <f>IF(N46&gt;=1,"OHKO",IF(N46&gt;=0.5,"2HKO",IF(N46&gt;=0.333,"3HKO",IF(N46&gt;=0.25,"4HKO","5HKO+"))))</f>
        <v/>
      </c>
      <c r="P46" s="3" t="inlineStr">
        <is>
          <t>Live from editable databases</t>
        </is>
      </c>
      <c r="Q46" s="3" t="inlineStr">
        <is>
          <t>SPECIES_SENTRET</t>
        </is>
      </c>
      <c r="R46" s="3" t="n">
        <v>13</v>
      </c>
    </row>
    <row r="47">
      <c r="A47" s="3">
        <f>XLOOKUP($Q47,'Threshold Summary'!$Y:$Y,'Threshold Summary'!$A:$A,"")</f>
        <v/>
      </c>
      <c r="B47" s="3">
        <f>XLOOKUP($Q47,'Threshold Summary'!$Y:$Y,'Threshold Summary'!$M:$M,"")</f>
        <v/>
      </c>
      <c r="C47" s="3">
        <f>XLOOKUP($Q47,'Threshold Summary'!$Y:$Y,'Threshold Summary'!$N:$N,"")</f>
        <v/>
      </c>
      <c r="D47" s="3">
        <f>IFERROR(INDEX(FILTER('Learnset Editor'!$D$2:$D,'Learnset Editor'!$A$2:$A=XLOOKUP($Q47,'Threshold Summary'!$Y:$Y,'Threshold Summary'!$K:$K,""),'Learnset Editor'!$C$2:$C&lt;=XLOOKUP($Q47,'Threshold Summary'!$Y:$Y,'Threshold Summary'!$L:$L,"")),$R47),"")</f>
        <v/>
      </c>
      <c r="E47" s="3">
        <f>XLOOKUP(D47,'Move Editor'!$B:$B,'Move Editor'!$C:$C,"")</f>
        <v/>
      </c>
      <c r="F47" s="3">
        <f>XLOOKUP(D47,'Move Editor'!$B:$B,'Move Editor'!$D:$D,"")</f>
        <v/>
      </c>
      <c r="G47" s="3">
        <f>XLOOKUP(D47,'Move Editor'!$B:$B,'Move Editor'!$E:$E,0)</f>
        <v/>
      </c>
      <c r="H47" s="3">
        <f>XLOOKUP(D47,'Move Editor'!$B:$B,'Move Editor'!$F:$F,0)</f>
        <v/>
      </c>
      <c r="I47" s="3">
        <f>(INDEX('Type Chart'!$B:$S,MATCH(E47,'Type Chart'!$A:$A,0),MATCH(XLOOKUP('Boss Editor'!$C$4,'Pokemon Editor'!$A:$A,'Pokemon Editor'!$C:$C,""),'Type Chart'!$B$1:$S$1,0))*IF(XLOOKUP('Boss Editor'!$C$4,'Pokemon Editor'!$A:$A,'Pokemon Editor'!$D:$D,"")="",1,INDEX('Type Chart'!$B:$S,MATCH(E47,'Type Chart'!$A:$A,0),MATCH(XLOOKUP('Boss Editor'!$C$4,'Pokemon Editor'!$A:$A,'Pokemon Editor'!$D:$D,""),'Type Chart'!$B$1:$S$1,0))))</f>
        <v/>
      </c>
      <c r="J47" s="3">
        <f>IFERROR(LET(mtype,XLOOKUP($D47,'Move Editor'!$B:$B,'Move Editor'!$C:$C,""),cat,XLOOKUP($D47,'Move Editor'!$B:$B,'Move Editor'!$D:$D,""),pow,XLOOKUP($D47,'Move Editor'!$B:$B,'Move Editor'!$E:$E,0),acc,XLOOKUP($D47,'Move Editor'!$B:$B,'Move Editor'!$F:$F,100),atk,IF(cat="Physical",FLOOR((FLOOR(((2*XLOOKUP(XLOOKUP($Q47,'Threshold Summary'!$Y:$Y,'Threshold Summary'!$K:$K,""),'Pokemon Editor'!$A:$A,'Pokemon Editor'!$F:$F,0)+31+FLOOR(XLOOKUP($Q47,'Threshold Summary'!$Y:$Y,'Threshold Summary'!$P:$P,"")/4))*XLOOKUP($Q47,'Threshold Summary'!$Y:$Y,'Threshold Summary'!$L:$L,""))/100)+5)*XLOOKUP(XLOOKUP($Q47,'Threshold Summary'!$Y:$Y,'Threshold Summary'!$M:$M,""),'Nature Editor'!$A:$A,'Nature Editor'!$B:$B,1)),FLOOR((FLOOR(((2*XLOOKUP(XLOOKUP($Q47,'Threshold Summary'!$Y:$Y,'Threshold Summary'!$K:$K,""),'Pokemon Editor'!$A:$A,'Pokemon Editor'!$H:$H,0)+31+FLOOR(XLOOKUP($Q47,'Threshold Summary'!$Y:$Y,'Threshold Summary'!$R:$R,"")/4))*XLOOKUP($Q47,'Threshold Summary'!$Y:$Y,'Threshold Summary'!$L:$L,""))/100)+5)*XLOOKUP(XLOOKUP($Q47,'Threshold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Editor'!$E:$E,1))),stab,IF(OR(mtype=XLOOKUP(XLOOKUP($Q47,'Threshold Summary'!$Y:$Y,'Threshold Summary'!$K:$K,""),'Pokemon Editor'!$A:$A,'Pokemon Editor'!$C:$C,""),mtype=XLOOKUP(XLOOKUP($Q47,'Threshold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Chart'!$B$1:$S$1,0)))),base,IF(OR(cat="Status",pow=0),0,FLOOR(FLOOR(FLOOR((2*XLOOKUP($Q47,'Threshold Summary'!$Y:$Y,'Threshold Summary'!$L:$L,"")/5+2)*pow*atk/def)/50)+2)),modifier,stab*eff,FLOOR(base*modifier*0.85)),0)</f>
        <v/>
      </c>
      <c r="K47" s="3">
        <f>IFERROR(LET(mtype,XLOOKUP($D47,'Move Editor'!$B:$B,'Move Editor'!$C:$C,""),cat,XLOOKUP($D47,'Move Editor'!$B:$B,'Move Editor'!$D:$D,""),pow,XLOOKUP($D47,'Move Editor'!$B:$B,'Move Editor'!$E:$E,0),acc,XLOOKUP($D47,'Move Editor'!$B:$B,'Move Editor'!$F:$F,100),atk,IF(cat="Physical",FLOOR((FLOOR(((2*XLOOKUP(XLOOKUP($Q47,'Threshold Summary'!$Y:$Y,'Threshold Summary'!$K:$K,""),'Pokemon Editor'!$A:$A,'Pokemon Editor'!$F:$F,0)+31+FLOOR(XLOOKUP($Q47,'Threshold Summary'!$Y:$Y,'Threshold Summary'!$P:$P,"")/4))*XLOOKUP($Q47,'Threshold Summary'!$Y:$Y,'Threshold Summary'!$L:$L,""))/100)+5)*XLOOKUP(XLOOKUP($Q47,'Threshold Summary'!$Y:$Y,'Threshold Summary'!$M:$M,""),'Nature Editor'!$A:$A,'Nature Editor'!$B:$B,1)),FLOOR((FLOOR(((2*XLOOKUP(XLOOKUP($Q47,'Threshold Summary'!$Y:$Y,'Threshold Summary'!$K:$K,""),'Pokemon Editor'!$A:$A,'Pokemon Editor'!$H:$H,0)+31+FLOOR(XLOOKUP($Q47,'Threshold Summary'!$Y:$Y,'Threshold Summary'!$R:$R,"")/4))*XLOOKUP($Q47,'Threshold Summary'!$Y:$Y,'Threshold Summary'!$L:$L,""))/100)+5)*XLOOKUP(XLOOKUP($Q47,'Threshold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Editor'!$E:$E,1))),stab,IF(OR(mtype=XLOOKUP(XLOOKUP($Q47,'Threshold Summary'!$Y:$Y,'Threshold Summary'!$K:$K,""),'Pokemon Editor'!$A:$A,'Pokemon Editor'!$C:$C,""),mtype=XLOOKUP(XLOOKUP($Q47,'Threshold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Chart'!$B$1:$S$1,0)))),base,IF(OR(cat="Status",pow=0),0,FLOOR(FLOOR(FLOOR((2*XLOOKUP($Q47,'Threshold Summary'!$Y:$Y,'Threshold Summary'!$L:$L,"")/5+2)*pow*atk/def)/50)+2)),modifier,stab*eff,FLOOR(base*modifier)),0)</f>
        <v/>
      </c>
      <c r="L47" s="3">
        <f>IFERROR(LET(mtype,XLOOKUP($D47,'Move Editor'!$B:$B,'Move Editor'!$C:$C,""),cat,XLOOKUP($D47,'Move Editor'!$B:$B,'Move Editor'!$D:$D,""),pow,XLOOKUP($D47,'Move Editor'!$B:$B,'Move Editor'!$E:$E,0),acc,XLOOKUP($D47,'Move Editor'!$B:$B,'Move Editor'!$F:$F,100),atk,IF(cat="Physical",FLOOR((FLOOR(((2*XLOOKUP(XLOOKUP($Q47,'Threshold Summary'!$Y:$Y,'Threshold Summary'!$K:$K,""),'Pokemon Editor'!$A:$A,'Pokemon Editor'!$F:$F,0)+31+FLOOR(XLOOKUP($Q47,'Threshold Summary'!$Y:$Y,'Threshold Summary'!$P:$P,"")/4))*XLOOKUP($Q47,'Threshold Summary'!$Y:$Y,'Threshold Summary'!$L:$L,""))/100)+5)*XLOOKUP(XLOOKUP($Q47,'Threshold Summary'!$Y:$Y,'Threshold Summary'!$M:$M,""),'Nature Editor'!$A:$A,'Nature Editor'!$B:$B,1)),FLOOR((FLOOR(((2*XLOOKUP(XLOOKUP($Q47,'Threshold Summary'!$Y:$Y,'Threshold Summary'!$K:$K,""),'Pokemon Editor'!$A:$A,'Pokemon Editor'!$H:$H,0)+31+FLOOR(XLOOKUP($Q47,'Threshold Summary'!$Y:$Y,'Threshold Summary'!$R:$R,"")/4))*XLOOKUP($Q47,'Threshold Summary'!$Y:$Y,'Threshold Summary'!$L:$L,""))/100)+5)*XLOOKUP(XLOOKUP($Q47,'Threshold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Editor'!$E:$E,1))),stab,IF(OR(mtype=XLOOKUP(XLOOKUP($Q47,'Threshold Summary'!$Y:$Y,'Threshold Summary'!$K:$K,""),'Pokemon Editor'!$A:$A,'Pokemon Editor'!$C:$C,""),mtype=XLOOKUP(XLOOKUP($Q47,'Threshold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Chart'!$B$1:$S$1,0)))),base,IF(OR(cat="Status",pow=0),0,FLOOR(FLOOR(FLOOR((2*XLOOKUP($Q47,'Threshold Summary'!$Y:$Y,'Threshold Summary'!$L:$L,"")/5+2)*pow*atk/def)/50)+2)),modifier,stab*eff,AVERAGE(ARRAYFORMULA(FLOOR(base*modifier*SEQUENCE(16,1,85,1)/100)))),0)</f>
        <v/>
      </c>
      <c r="M47" s="3">
        <f>IFERROR(LET(mtype,XLOOKUP($D47,'Move Editor'!$B:$B,'Move Editor'!$C:$C,""),cat,XLOOKUP($D47,'Move Editor'!$B:$B,'Move Editor'!$D:$D,""),pow,XLOOKUP($D47,'Move Editor'!$B:$B,'Move Editor'!$E:$E,0),acc,XLOOKUP($D47,'Move Editor'!$B:$B,'Move Editor'!$F:$F,100),atk,IF(cat="Physical",FLOOR((FLOOR(((2*XLOOKUP(XLOOKUP($Q47,'Threshold Summary'!$Y:$Y,'Threshold Summary'!$K:$K,""),'Pokemon Editor'!$A:$A,'Pokemon Editor'!$F:$F,0)+31+FLOOR(XLOOKUP($Q47,'Threshold Summary'!$Y:$Y,'Threshold Summary'!$P:$P,"")/4))*XLOOKUP($Q47,'Threshold Summary'!$Y:$Y,'Threshold Summary'!$L:$L,""))/100)+5)*XLOOKUP(XLOOKUP($Q47,'Threshold Summary'!$Y:$Y,'Threshold Summary'!$M:$M,""),'Nature Editor'!$A:$A,'Nature Editor'!$B:$B,1)),FLOOR((FLOOR(((2*XLOOKUP(XLOOKUP($Q47,'Threshold Summary'!$Y:$Y,'Threshold Summary'!$K:$K,""),'Pokemon Editor'!$A:$A,'Pokemon Editor'!$H:$H,0)+31+FLOOR(XLOOKUP($Q47,'Threshold Summary'!$Y:$Y,'Threshold Summary'!$R:$R,"")/4))*XLOOKUP($Q47,'Threshold Summary'!$Y:$Y,'Threshold Summary'!$L:$L,""))/100)+5)*XLOOKUP(XLOOKUP($Q47,'Threshold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Editor'!$E:$E,1))),stab,IF(OR(mtype=XLOOKUP(XLOOKUP($Q47,'Threshold Summary'!$Y:$Y,'Threshold Summary'!$K:$K,""),'Pokemon Editor'!$A:$A,'Pokemon Editor'!$C:$C,""),mtype=XLOOKUP(XLOOKUP($Q47,'Threshold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Chart'!$B$1:$S$1,0)))),base,IF(OR(cat="Status",pow=0),0,FLOOR(FLOOR(FLOOR((2*XLOOKUP($Q47,'Threshold Summary'!$Y:$Y,'Threshold Summary'!$L:$L,"")/5+2)*pow*atk/def)/50)+2)),modifier,stab*eff,AVERAGE(ARRAYFORMULA(FLOOR(base*modifier*SEQUENCE(16,1,85,1)/100)))*MIN(1,acc/100)),0)</f>
        <v/>
      </c>
      <c r="N47" s="4">
        <f>IFERROR(LET(mtype,XLOOKUP($D47,'Move Editor'!$B:$B,'Move Editor'!$C:$C,""),cat,XLOOKUP($D47,'Move Editor'!$B:$B,'Move Editor'!$D:$D,""),pow,XLOOKUP($D47,'Move Editor'!$B:$B,'Move Editor'!$E:$E,0),acc,XLOOKUP($D47,'Move Editor'!$B:$B,'Move Editor'!$F:$F,100),atk,IF(cat="Physical",FLOOR((FLOOR(((2*XLOOKUP(XLOOKUP($Q47,'Threshold Summary'!$Y:$Y,'Threshold Summary'!$K:$K,""),'Pokemon Editor'!$A:$A,'Pokemon Editor'!$F:$F,0)+31+FLOOR(XLOOKUP($Q47,'Threshold Summary'!$Y:$Y,'Threshold Summary'!$P:$P,"")/4))*XLOOKUP($Q47,'Threshold Summary'!$Y:$Y,'Threshold Summary'!$L:$L,""))/100)+5)*XLOOKUP(XLOOKUP($Q47,'Threshold Summary'!$Y:$Y,'Threshold Summary'!$M:$M,""),'Nature Editor'!$A:$A,'Nature Editor'!$B:$B,1)),FLOOR((FLOOR(((2*XLOOKUP(XLOOKUP($Q47,'Threshold Summary'!$Y:$Y,'Threshold Summary'!$K:$K,""),'Pokemon Editor'!$A:$A,'Pokemon Editor'!$H:$H,0)+31+FLOOR(XLOOKUP($Q47,'Threshold Summary'!$Y:$Y,'Threshold Summary'!$R:$R,"")/4))*XLOOKUP($Q47,'Threshold Summary'!$Y:$Y,'Threshold Summary'!$L:$L,""))/100)+5)*XLOOKUP(XLOOKUP($Q47,'Threshold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Editor'!$E:$E,1))),stab,IF(OR(mtype=XLOOKUP(XLOOKUP($Q47,'Threshold Summary'!$Y:$Y,'Threshold Summary'!$K:$K,""),'Pokemon Editor'!$A:$A,'Pokemon Editor'!$C:$C,""),mtype=XLOOKUP(XLOOKUP($Q47,'Threshold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Chart'!$B$1:$S$1,0)))),base,IF(OR(cat="Status",pow=0),0,FLOOR(FLOOR(FLOOR((2*XLOOKUP($Q47,'Threshold Summary'!$Y:$Y,'Threshold Summary'!$L:$L,"")/5+2)*pow*atk/def)/50)+2)),modifier,stab*eff,AVERAGE(ARRAYFORMULA(FLOOR(base*modifier*SEQUENCE(16,1,85,1)/100)))/(FLOOR(((2*XLOOKUP('Boss Editor'!$C$4,'Pokemon Editor'!$A:$A,'Pokemon Editor'!$E:$E,0)+31+FLOOR('Boss Editor'!$G$4/4))*'Boss Editor'!$D$4)/100)+'Boss Editor'!$D$4+10)),0)</f>
        <v/>
      </c>
      <c r="O47" s="3">
        <f>IF(N47&gt;=1,"OHKO",IF(N47&gt;=0.5,"2HKO",IF(N47&gt;=0.333,"3HKO",IF(N47&gt;=0.25,"4HKO","5HKO+"))))</f>
        <v/>
      </c>
      <c r="P47" s="3" t="inlineStr">
        <is>
          <t>Live from editable databases</t>
        </is>
      </c>
      <c r="Q47" s="3" t="inlineStr">
        <is>
          <t>SPECIES_SENTRET</t>
        </is>
      </c>
      <c r="R47" s="3" t="n">
        <v>14</v>
      </c>
    </row>
    <row r="48">
      <c r="A48" s="3">
        <f>XLOOKUP($Q48,'Threshold Summary'!$Y:$Y,'Threshold Summary'!$A:$A,"")</f>
        <v/>
      </c>
      <c r="B48" s="3">
        <f>XLOOKUP($Q48,'Threshold Summary'!$Y:$Y,'Threshold Summary'!$M:$M,"")</f>
        <v/>
      </c>
      <c r="C48" s="3">
        <f>XLOOKUP($Q48,'Threshold Summary'!$Y:$Y,'Threshold Summary'!$N:$N,"")</f>
        <v/>
      </c>
      <c r="D48" s="3">
        <f>IFERROR(INDEX(FILTER('Learnset Editor'!$D$2:$D,'Learnset Editor'!$A$2:$A=XLOOKUP($Q48,'Threshold Summary'!$Y:$Y,'Threshold Summary'!$K:$K,""),'Learnset Editor'!$C$2:$C&lt;=XLOOKUP($Q48,'Threshold Summary'!$Y:$Y,'Threshold Summary'!$L:$L,"")),$R48),"")</f>
        <v/>
      </c>
      <c r="E48" s="3">
        <f>XLOOKUP(D48,'Move Editor'!$B:$B,'Move Editor'!$C:$C,"")</f>
        <v/>
      </c>
      <c r="F48" s="3">
        <f>XLOOKUP(D48,'Move Editor'!$B:$B,'Move Editor'!$D:$D,"")</f>
        <v/>
      </c>
      <c r="G48" s="3">
        <f>XLOOKUP(D48,'Move Editor'!$B:$B,'Move Editor'!$E:$E,0)</f>
        <v/>
      </c>
      <c r="H48" s="3">
        <f>XLOOKUP(D48,'Move Editor'!$B:$B,'Move Editor'!$F:$F,0)</f>
        <v/>
      </c>
      <c r="I48" s="3">
        <f>(INDEX('Type Chart'!$B:$S,MATCH(E48,'Type Chart'!$A:$A,0),MATCH(XLOOKUP('Boss Editor'!$C$4,'Pokemon Editor'!$A:$A,'Pokemon Editor'!$C:$C,""),'Type Chart'!$B$1:$S$1,0))*IF(XLOOKUP('Boss Editor'!$C$4,'Pokemon Editor'!$A:$A,'Pokemon Editor'!$D:$D,"")="",1,INDEX('Type Chart'!$B:$S,MATCH(E48,'Type Chart'!$A:$A,0),MATCH(XLOOKUP('Boss Editor'!$C$4,'Pokemon Editor'!$A:$A,'Pokemon Editor'!$D:$D,""),'Type Chart'!$B$1:$S$1,0))))</f>
        <v/>
      </c>
      <c r="J48" s="3">
        <f>IFERROR(LET(mtype,XLOOKUP($D48,'Move Editor'!$B:$B,'Move Editor'!$C:$C,""),cat,XLOOKUP($D48,'Move Editor'!$B:$B,'Move Editor'!$D:$D,""),pow,XLOOKUP($D48,'Move Editor'!$B:$B,'Move Editor'!$E:$E,0),acc,XLOOKUP($D48,'Move Editor'!$B:$B,'Move Editor'!$F:$F,100),atk,IF(cat="Physical",FLOOR((FLOOR(((2*XLOOKUP(XLOOKUP($Q48,'Threshold Summary'!$Y:$Y,'Threshold Summary'!$K:$K,""),'Pokemon Editor'!$A:$A,'Pokemon Editor'!$F:$F,0)+31+FLOOR(XLOOKUP($Q48,'Threshold Summary'!$Y:$Y,'Threshold Summary'!$P:$P,"")/4))*XLOOKUP($Q48,'Threshold Summary'!$Y:$Y,'Threshold Summary'!$L:$L,""))/100)+5)*XLOOKUP(XLOOKUP($Q48,'Threshold Summary'!$Y:$Y,'Threshold Summary'!$M:$M,""),'Nature Editor'!$A:$A,'Nature Editor'!$B:$B,1)),FLOOR((FLOOR(((2*XLOOKUP(XLOOKUP($Q48,'Threshold Summary'!$Y:$Y,'Threshold Summary'!$K:$K,""),'Pokemon Editor'!$A:$A,'Pokemon Editor'!$H:$H,0)+31+FLOOR(XLOOKUP($Q48,'Threshold Summary'!$Y:$Y,'Threshold Summary'!$R:$R,"")/4))*XLOOKUP($Q48,'Threshold Summary'!$Y:$Y,'Threshold Summary'!$L:$L,""))/100)+5)*XLOOKUP(XLOOKUP($Q48,'Threshold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Editor'!$E:$E,1))),stab,IF(OR(mtype=XLOOKUP(XLOOKUP($Q48,'Threshold Summary'!$Y:$Y,'Threshold Summary'!$K:$K,""),'Pokemon Editor'!$A:$A,'Pokemon Editor'!$C:$C,""),mtype=XLOOKUP(XLOOKUP($Q48,'Threshold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Chart'!$B$1:$S$1,0)))),base,IF(OR(cat="Status",pow=0),0,FLOOR(FLOOR(FLOOR((2*XLOOKUP($Q48,'Threshold Summary'!$Y:$Y,'Threshold Summary'!$L:$L,"")/5+2)*pow*atk/def)/50)+2)),modifier,stab*eff,FLOOR(base*modifier*0.85)),0)</f>
        <v/>
      </c>
      <c r="K48" s="3">
        <f>IFERROR(LET(mtype,XLOOKUP($D48,'Move Editor'!$B:$B,'Move Editor'!$C:$C,""),cat,XLOOKUP($D48,'Move Editor'!$B:$B,'Move Editor'!$D:$D,""),pow,XLOOKUP($D48,'Move Editor'!$B:$B,'Move Editor'!$E:$E,0),acc,XLOOKUP($D48,'Move Editor'!$B:$B,'Move Editor'!$F:$F,100),atk,IF(cat="Physical",FLOOR((FLOOR(((2*XLOOKUP(XLOOKUP($Q48,'Threshold Summary'!$Y:$Y,'Threshold Summary'!$K:$K,""),'Pokemon Editor'!$A:$A,'Pokemon Editor'!$F:$F,0)+31+FLOOR(XLOOKUP($Q48,'Threshold Summary'!$Y:$Y,'Threshold Summary'!$P:$P,"")/4))*XLOOKUP($Q48,'Threshold Summary'!$Y:$Y,'Threshold Summary'!$L:$L,""))/100)+5)*XLOOKUP(XLOOKUP($Q48,'Threshold Summary'!$Y:$Y,'Threshold Summary'!$M:$M,""),'Nature Editor'!$A:$A,'Nature Editor'!$B:$B,1)),FLOOR((FLOOR(((2*XLOOKUP(XLOOKUP($Q48,'Threshold Summary'!$Y:$Y,'Threshold Summary'!$K:$K,""),'Pokemon Editor'!$A:$A,'Pokemon Editor'!$H:$H,0)+31+FLOOR(XLOOKUP($Q48,'Threshold Summary'!$Y:$Y,'Threshold Summary'!$R:$R,"")/4))*XLOOKUP($Q48,'Threshold Summary'!$Y:$Y,'Threshold Summary'!$L:$L,""))/100)+5)*XLOOKUP(XLOOKUP($Q48,'Threshold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Editor'!$E:$E,1))),stab,IF(OR(mtype=XLOOKUP(XLOOKUP($Q48,'Threshold Summary'!$Y:$Y,'Threshold Summary'!$K:$K,""),'Pokemon Editor'!$A:$A,'Pokemon Editor'!$C:$C,""),mtype=XLOOKUP(XLOOKUP($Q48,'Threshold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Chart'!$B$1:$S$1,0)))),base,IF(OR(cat="Status",pow=0),0,FLOOR(FLOOR(FLOOR((2*XLOOKUP($Q48,'Threshold Summary'!$Y:$Y,'Threshold Summary'!$L:$L,"")/5+2)*pow*atk/def)/50)+2)),modifier,stab*eff,FLOOR(base*modifier)),0)</f>
        <v/>
      </c>
      <c r="L48" s="3">
        <f>IFERROR(LET(mtype,XLOOKUP($D48,'Move Editor'!$B:$B,'Move Editor'!$C:$C,""),cat,XLOOKUP($D48,'Move Editor'!$B:$B,'Move Editor'!$D:$D,""),pow,XLOOKUP($D48,'Move Editor'!$B:$B,'Move Editor'!$E:$E,0),acc,XLOOKUP($D48,'Move Editor'!$B:$B,'Move Editor'!$F:$F,100),atk,IF(cat="Physical",FLOOR((FLOOR(((2*XLOOKUP(XLOOKUP($Q48,'Threshold Summary'!$Y:$Y,'Threshold Summary'!$K:$K,""),'Pokemon Editor'!$A:$A,'Pokemon Editor'!$F:$F,0)+31+FLOOR(XLOOKUP($Q48,'Threshold Summary'!$Y:$Y,'Threshold Summary'!$P:$P,"")/4))*XLOOKUP($Q48,'Threshold Summary'!$Y:$Y,'Threshold Summary'!$L:$L,""))/100)+5)*XLOOKUP(XLOOKUP($Q48,'Threshold Summary'!$Y:$Y,'Threshold Summary'!$M:$M,""),'Nature Editor'!$A:$A,'Nature Editor'!$B:$B,1)),FLOOR((FLOOR(((2*XLOOKUP(XLOOKUP($Q48,'Threshold Summary'!$Y:$Y,'Threshold Summary'!$K:$K,""),'Pokemon Editor'!$A:$A,'Pokemon Editor'!$H:$H,0)+31+FLOOR(XLOOKUP($Q48,'Threshold Summary'!$Y:$Y,'Threshold Summary'!$R:$R,"")/4))*XLOOKUP($Q48,'Threshold Summary'!$Y:$Y,'Threshold Summary'!$L:$L,""))/100)+5)*XLOOKUP(XLOOKUP($Q48,'Threshold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Editor'!$E:$E,1))),stab,IF(OR(mtype=XLOOKUP(XLOOKUP($Q48,'Threshold Summary'!$Y:$Y,'Threshold Summary'!$K:$K,""),'Pokemon Editor'!$A:$A,'Pokemon Editor'!$C:$C,""),mtype=XLOOKUP(XLOOKUP($Q48,'Threshold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Chart'!$B$1:$S$1,0)))),base,IF(OR(cat="Status",pow=0),0,FLOOR(FLOOR(FLOOR((2*XLOOKUP($Q48,'Threshold Summary'!$Y:$Y,'Threshold Summary'!$L:$L,"")/5+2)*pow*atk/def)/50)+2)),modifier,stab*eff,AVERAGE(ARRAYFORMULA(FLOOR(base*modifier*SEQUENCE(16,1,85,1)/100)))),0)</f>
        <v/>
      </c>
      <c r="M48" s="3">
        <f>IFERROR(LET(mtype,XLOOKUP($D48,'Move Editor'!$B:$B,'Move Editor'!$C:$C,""),cat,XLOOKUP($D48,'Move Editor'!$B:$B,'Move Editor'!$D:$D,""),pow,XLOOKUP($D48,'Move Editor'!$B:$B,'Move Editor'!$E:$E,0),acc,XLOOKUP($D48,'Move Editor'!$B:$B,'Move Editor'!$F:$F,100),atk,IF(cat="Physical",FLOOR((FLOOR(((2*XLOOKUP(XLOOKUP($Q48,'Threshold Summary'!$Y:$Y,'Threshold Summary'!$K:$K,""),'Pokemon Editor'!$A:$A,'Pokemon Editor'!$F:$F,0)+31+FLOOR(XLOOKUP($Q48,'Threshold Summary'!$Y:$Y,'Threshold Summary'!$P:$P,"")/4))*XLOOKUP($Q48,'Threshold Summary'!$Y:$Y,'Threshold Summary'!$L:$L,""))/100)+5)*XLOOKUP(XLOOKUP($Q48,'Threshold Summary'!$Y:$Y,'Threshold Summary'!$M:$M,""),'Nature Editor'!$A:$A,'Nature Editor'!$B:$B,1)),FLOOR((FLOOR(((2*XLOOKUP(XLOOKUP($Q48,'Threshold Summary'!$Y:$Y,'Threshold Summary'!$K:$K,""),'Pokemon Editor'!$A:$A,'Pokemon Editor'!$H:$H,0)+31+FLOOR(XLOOKUP($Q48,'Threshold Summary'!$Y:$Y,'Threshold Summary'!$R:$R,"")/4))*XLOOKUP($Q48,'Threshold Summary'!$Y:$Y,'Threshold Summary'!$L:$L,""))/100)+5)*XLOOKUP(XLOOKUP($Q48,'Threshold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Editor'!$E:$E,1))),stab,IF(OR(mtype=XLOOKUP(XLOOKUP($Q48,'Threshold Summary'!$Y:$Y,'Threshold Summary'!$K:$K,""),'Pokemon Editor'!$A:$A,'Pokemon Editor'!$C:$C,""),mtype=XLOOKUP(XLOOKUP($Q48,'Threshold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Chart'!$B$1:$S$1,0)))),base,IF(OR(cat="Status",pow=0),0,FLOOR(FLOOR(FLOOR((2*XLOOKUP($Q48,'Threshold Summary'!$Y:$Y,'Threshold Summary'!$L:$L,"")/5+2)*pow*atk/def)/50)+2)),modifier,stab*eff,AVERAGE(ARRAYFORMULA(FLOOR(base*modifier*SEQUENCE(16,1,85,1)/100)))*MIN(1,acc/100)),0)</f>
        <v/>
      </c>
      <c r="N48" s="4">
        <f>IFERROR(LET(mtype,XLOOKUP($D48,'Move Editor'!$B:$B,'Move Editor'!$C:$C,""),cat,XLOOKUP($D48,'Move Editor'!$B:$B,'Move Editor'!$D:$D,""),pow,XLOOKUP($D48,'Move Editor'!$B:$B,'Move Editor'!$E:$E,0),acc,XLOOKUP($D48,'Move Editor'!$B:$B,'Move Editor'!$F:$F,100),atk,IF(cat="Physical",FLOOR((FLOOR(((2*XLOOKUP(XLOOKUP($Q48,'Threshold Summary'!$Y:$Y,'Threshold Summary'!$K:$K,""),'Pokemon Editor'!$A:$A,'Pokemon Editor'!$F:$F,0)+31+FLOOR(XLOOKUP($Q48,'Threshold Summary'!$Y:$Y,'Threshold Summary'!$P:$P,"")/4))*XLOOKUP($Q48,'Threshold Summary'!$Y:$Y,'Threshold Summary'!$L:$L,""))/100)+5)*XLOOKUP(XLOOKUP($Q48,'Threshold Summary'!$Y:$Y,'Threshold Summary'!$M:$M,""),'Nature Editor'!$A:$A,'Nature Editor'!$B:$B,1)),FLOOR((FLOOR(((2*XLOOKUP(XLOOKUP($Q48,'Threshold Summary'!$Y:$Y,'Threshold Summary'!$K:$K,""),'Pokemon Editor'!$A:$A,'Pokemon Editor'!$H:$H,0)+31+FLOOR(XLOOKUP($Q48,'Threshold Summary'!$Y:$Y,'Threshold Summary'!$R:$R,"")/4))*XLOOKUP($Q48,'Threshold Summary'!$Y:$Y,'Threshold Summary'!$L:$L,""))/100)+5)*XLOOKUP(XLOOKUP($Q48,'Threshold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Editor'!$E:$E,1))),stab,IF(OR(mtype=XLOOKUP(XLOOKUP($Q48,'Threshold Summary'!$Y:$Y,'Threshold Summary'!$K:$K,""),'Pokemon Editor'!$A:$A,'Pokemon Editor'!$C:$C,""),mtype=XLOOKUP(XLOOKUP($Q48,'Threshold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Chart'!$B$1:$S$1,0)))),base,IF(OR(cat="Status",pow=0),0,FLOOR(FLOOR(FLOOR((2*XLOOKUP($Q48,'Threshold Summary'!$Y:$Y,'Threshold Summary'!$L:$L,"")/5+2)*pow*atk/def)/50)+2)),modifier,stab*eff,AVERAGE(ARRAYFORMULA(FLOOR(base*modifier*SEQUENCE(16,1,85,1)/100)))/(FLOOR(((2*XLOOKUP('Boss Editor'!$C$4,'Pokemon Editor'!$A:$A,'Pokemon Editor'!$E:$E,0)+31+FLOOR('Boss Editor'!$G$4/4))*'Boss Editor'!$D$4)/100)+'Boss Editor'!$D$4+10)),0)</f>
        <v/>
      </c>
      <c r="O48" s="3">
        <f>IF(N48&gt;=1,"OHKO",IF(N48&gt;=0.5,"2HKO",IF(N48&gt;=0.333,"3HKO",IF(N48&gt;=0.25,"4HKO","5HKO+"))))</f>
        <v/>
      </c>
      <c r="P48" s="3" t="inlineStr">
        <is>
          <t>Live from editable databases</t>
        </is>
      </c>
      <c r="Q48" s="3" t="inlineStr">
        <is>
          <t>SPECIES_SENTRET</t>
        </is>
      </c>
      <c r="R48" s="3" t="n">
        <v>15</v>
      </c>
    </row>
    <row r="49">
      <c r="A49" s="3">
        <f>XLOOKUP($Q49,'Threshold Summary'!$Y:$Y,'Threshold Summary'!$A:$A,"")</f>
        <v/>
      </c>
      <c r="B49" s="3">
        <f>XLOOKUP($Q49,'Threshold Summary'!$Y:$Y,'Threshold Summary'!$M:$M,"")</f>
        <v/>
      </c>
      <c r="C49" s="3">
        <f>XLOOKUP($Q49,'Threshold Summary'!$Y:$Y,'Threshold Summary'!$N:$N,"")</f>
        <v/>
      </c>
      <c r="D49" s="3">
        <f>IFERROR(INDEX(FILTER('Learnset Editor'!$D$2:$D,'Learnset Editor'!$A$2:$A=XLOOKUP($Q49,'Threshold Summary'!$Y:$Y,'Threshold Summary'!$K:$K,""),'Learnset Editor'!$C$2:$C&lt;=XLOOKUP($Q49,'Threshold Summary'!$Y:$Y,'Threshold Summary'!$L:$L,"")),$R49),"")</f>
        <v/>
      </c>
      <c r="E49" s="3">
        <f>XLOOKUP(D49,'Move Editor'!$B:$B,'Move Editor'!$C:$C,"")</f>
        <v/>
      </c>
      <c r="F49" s="3">
        <f>XLOOKUP(D49,'Move Editor'!$B:$B,'Move Editor'!$D:$D,"")</f>
        <v/>
      </c>
      <c r="G49" s="3">
        <f>XLOOKUP(D49,'Move Editor'!$B:$B,'Move Editor'!$E:$E,0)</f>
        <v/>
      </c>
      <c r="H49" s="3">
        <f>XLOOKUP(D49,'Move Editor'!$B:$B,'Move Editor'!$F:$F,0)</f>
        <v/>
      </c>
      <c r="I49" s="3">
        <f>(INDEX('Type Chart'!$B:$S,MATCH(E49,'Type Chart'!$A:$A,0),MATCH(XLOOKUP('Boss Editor'!$C$4,'Pokemon Editor'!$A:$A,'Pokemon Editor'!$C:$C,""),'Type Chart'!$B$1:$S$1,0))*IF(XLOOKUP('Boss Editor'!$C$4,'Pokemon Editor'!$A:$A,'Pokemon Editor'!$D:$D,"")="",1,INDEX('Type Chart'!$B:$S,MATCH(E49,'Type Chart'!$A:$A,0),MATCH(XLOOKUP('Boss Editor'!$C$4,'Pokemon Editor'!$A:$A,'Pokemon Editor'!$D:$D,""),'Type Chart'!$B$1:$S$1,0))))</f>
        <v/>
      </c>
      <c r="J49" s="3">
        <f>IFERROR(LET(mtype,XLOOKUP($D49,'Move Editor'!$B:$B,'Move Editor'!$C:$C,""),cat,XLOOKUP($D49,'Move Editor'!$B:$B,'Move Editor'!$D:$D,""),pow,XLOOKUP($D49,'Move Editor'!$B:$B,'Move Editor'!$E:$E,0),acc,XLOOKUP($D49,'Move Editor'!$B:$B,'Move Editor'!$F:$F,100),atk,IF(cat="Physical",FLOOR((FLOOR(((2*XLOOKUP(XLOOKUP($Q49,'Threshold Summary'!$Y:$Y,'Threshold Summary'!$K:$K,""),'Pokemon Editor'!$A:$A,'Pokemon Editor'!$F:$F,0)+31+FLOOR(XLOOKUP($Q49,'Threshold Summary'!$Y:$Y,'Threshold Summary'!$P:$P,"")/4))*XLOOKUP($Q49,'Threshold Summary'!$Y:$Y,'Threshold Summary'!$L:$L,""))/100)+5)*XLOOKUP(XLOOKUP($Q49,'Threshold Summary'!$Y:$Y,'Threshold Summary'!$M:$M,""),'Nature Editor'!$A:$A,'Nature Editor'!$B:$B,1)),FLOOR((FLOOR(((2*XLOOKUP(XLOOKUP($Q49,'Threshold Summary'!$Y:$Y,'Threshold Summary'!$K:$K,""),'Pokemon Editor'!$A:$A,'Pokemon Editor'!$H:$H,0)+31+FLOOR(XLOOKUP($Q49,'Threshold Summary'!$Y:$Y,'Threshold Summary'!$R:$R,"")/4))*XLOOKUP($Q49,'Threshold Summary'!$Y:$Y,'Threshold Summary'!$L:$L,""))/100)+5)*XLOOKUP(XLOOKUP($Q49,'Threshold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Editor'!$E:$E,1))),stab,IF(OR(mtype=XLOOKUP(XLOOKUP($Q49,'Threshold Summary'!$Y:$Y,'Threshold Summary'!$K:$K,""),'Pokemon Editor'!$A:$A,'Pokemon Editor'!$C:$C,""),mtype=XLOOKUP(XLOOKUP($Q49,'Threshold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Chart'!$B$1:$S$1,0)))),base,IF(OR(cat="Status",pow=0),0,FLOOR(FLOOR(FLOOR((2*XLOOKUP($Q49,'Threshold Summary'!$Y:$Y,'Threshold Summary'!$L:$L,"")/5+2)*pow*atk/def)/50)+2)),modifier,stab*eff,FLOOR(base*modifier*0.85)),0)</f>
        <v/>
      </c>
      <c r="K49" s="3">
        <f>IFERROR(LET(mtype,XLOOKUP($D49,'Move Editor'!$B:$B,'Move Editor'!$C:$C,""),cat,XLOOKUP($D49,'Move Editor'!$B:$B,'Move Editor'!$D:$D,""),pow,XLOOKUP($D49,'Move Editor'!$B:$B,'Move Editor'!$E:$E,0),acc,XLOOKUP($D49,'Move Editor'!$B:$B,'Move Editor'!$F:$F,100),atk,IF(cat="Physical",FLOOR((FLOOR(((2*XLOOKUP(XLOOKUP($Q49,'Threshold Summary'!$Y:$Y,'Threshold Summary'!$K:$K,""),'Pokemon Editor'!$A:$A,'Pokemon Editor'!$F:$F,0)+31+FLOOR(XLOOKUP($Q49,'Threshold Summary'!$Y:$Y,'Threshold Summary'!$P:$P,"")/4))*XLOOKUP($Q49,'Threshold Summary'!$Y:$Y,'Threshold Summary'!$L:$L,""))/100)+5)*XLOOKUP(XLOOKUP($Q49,'Threshold Summary'!$Y:$Y,'Threshold Summary'!$M:$M,""),'Nature Editor'!$A:$A,'Nature Editor'!$B:$B,1)),FLOOR((FLOOR(((2*XLOOKUP(XLOOKUP($Q49,'Threshold Summary'!$Y:$Y,'Threshold Summary'!$K:$K,""),'Pokemon Editor'!$A:$A,'Pokemon Editor'!$H:$H,0)+31+FLOOR(XLOOKUP($Q49,'Threshold Summary'!$Y:$Y,'Threshold Summary'!$R:$R,"")/4))*XLOOKUP($Q49,'Threshold Summary'!$Y:$Y,'Threshold Summary'!$L:$L,""))/100)+5)*XLOOKUP(XLOOKUP($Q49,'Threshold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Editor'!$E:$E,1))),stab,IF(OR(mtype=XLOOKUP(XLOOKUP($Q49,'Threshold Summary'!$Y:$Y,'Threshold Summary'!$K:$K,""),'Pokemon Editor'!$A:$A,'Pokemon Editor'!$C:$C,""),mtype=XLOOKUP(XLOOKUP($Q49,'Threshold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Chart'!$B$1:$S$1,0)))),base,IF(OR(cat="Status",pow=0),0,FLOOR(FLOOR(FLOOR((2*XLOOKUP($Q49,'Threshold Summary'!$Y:$Y,'Threshold Summary'!$L:$L,"")/5+2)*pow*atk/def)/50)+2)),modifier,stab*eff,FLOOR(base*modifier)),0)</f>
        <v/>
      </c>
      <c r="L49" s="3">
        <f>IFERROR(LET(mtype,XLOOKUP($D49,'Move Editor'!$B:$B,'Move Editor'!$C:$C,""),cat,XLOOKUP($D49,'Move Editor'!$B:$B,'Move Editor'!$D:$D,""),pow,XLOOKUP($D49,'Move Editor'!$B:$B,'Move Editor'!$E:$E,0),acc,XLOOKUP($D49,'Move Editor'!$B:$B,'Move Editor'!$F:$F,100),atk,IF(cat="Physical",FLOOR((FLOOR(((2*XLOOKUP(XLOOKUP($Q49,'Threshold Summary'!$Y:$Y,'Threshold Summary'!$K:$K,""),'Pokemon Editor'!$A:$A,'Pokemon Editor'!$F:$F,0)+31+FLOOR(XLOOKUP($Q49,'Threshold Summary'!$Y:$Y,'Threshold Summary'!$P:$P,"")/4))*XLOOKUP($Q49,'Threshold Summary'!$Y:$Y,'Threshold Summary'!$L:$L,""))/100)+5)*XLOOKUP(XLOOKUP($Q49,'Threshold Summary'!$Y:$Y,'Threshold Summary'!$M:$M,""),'Nature Editor'!$A:$A,'Nature Editor'!$B:$B,1)),FLOOR((FLOOR(((2*XLOOKUP(XLOOKUP($Q49,'Threshold Summary'!$Y:$Y,'Threshold Summary'!$K:$K,""),'Pokemon Editor'!$A:$A,'Pokemon Editor'!$H:$H,0)+31+FLOOR(XLOOKUP($Q49,'Threshold Summary'!$Y:$Y,'Threshold Summary'!$R:$R,"")/4))*XLOOKUP($Q49,'Threshold Summary'!$Y:$Y,'Threshold Summary'!$L:$L,""))/100)+5)*XLOOKUP(XLOOKUP($Q49,'Threshold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Editor'!$E:$E,1))),stab,IF(OR(mtype=XLOOKUP(XLOOKUP($Q49,'Threshold Summary'!$Y:$Y,'Threshold Summary'!$K:$K,""),'Pokemon Editor'!$A:$A,'Pokemon Editor'!$C:$C,""),mtype=XLOOKUP(XLOOKUP($Q49,'Threshold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Chart'!$B$1:$S$1,0)))),base,IF(OR(cat="Status",pow=0),0,FLOOR(FLOOR(FLOOR((2*XLOOKUP($Q49,'Threshold Summary'!$Y:$Y,'Threshold Summary'!$L:$L,"")/5+2)*pow*atk/def)/50)+2)),modifier,stab*eff,AVERAGE(ARRAYFORMULA(FLOOR(base*modifier*SEQUENCE(16,1,85,1)/100)))),0)</f>
        <v/>
      </c>
      <c r="M49" s="3">
        <f>IFERROR(LET(mtype,XLOOKUP($D49,'Move Editor'!$B:$B,'Move Editor'!$C:$C,""),cat,XLOOKUP($D49,'Move Editor'!$B:$B,'Move Editor'!$D:$D,""),pow,XLOOKUP($D49,'Move Editor'!$B:$B,'Move Editor'!$E:$E,0),acc,XLOOKUP($D49,'Move Editor'!$B:$B,'Move Editor'!$F:$F,100),atk,IF(cat="Physical",FLOOR((FLOOR(((2*XLOOKUP(XLOOKUP($Q49,'Threshold Summary'!$Y:$Y,'Threshold Summary'!$K:$K,""),'Pokemon Editor'!$A:$A,'Pokemon Editor'!$F:$F,0)+31+FLOOR(XLOOKUP($Q49,'Threshold Summary'!$Y:$Y,'Threshold Summary'!$P:$P,"")/4))*XLOOKUP($Q49,'Threshold Summary'!$Y:$Y,'Threshold Summary'!$L:$L,""))/100)+5)*XLOOKUP(XLOOKUP($Q49,'Threshold Summary'!$Y:$Y,'Threshold Summary'!$M:$M,""),'Nature Editor'!$A:$A,'Nature Editor'!$B:$B,1)),FLOOR((FLOOR(((2*XLOOKUP(XLOOKUP($Q49,'Threshold Summary'!$Y:$Y,'Threshold Summary'!$K:$K,""),'Pokemon Editor'!$A:$A,'Pokemon Editor'!$H:$H,0)+31+FLOOR(XLOOKUP($Q49,'Threshold Summary'!$Y:$Y,'Threshold Summary'!$R:$R,"")/4))*XLOOKUP($Q49,'Threshold Summary'!$Y:$Y,'Threshold Summary'!$L:$L,""))/100)+5)*XLOOKUP(XLOOKUP($Q49,'Threshold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Editor'!$E:$E,1))),stab,IF(OR(mtype=XLOOKUP(XLOOKUP($Q49,'Threshold Summary'!$Y:$Y,'Threshold Summary'!$K:$K,""),'Pokemon Editor'!$A:$A,'Pokemon Editor'!$C:$C,""),mtype=XLOOKUP(XLOOKUP($Q49,'Threshold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Chart'!$B$1:$S$1,0)))),base,IF(OR(cat="Status",pow=0),0,FLOOR(FLOOR(FLOOR((2*XLOOKUP($Q49,'Threshold Summary'!$Y:$Y,'Threshold Summary'!$L:$L,"")/5+2)*pow*atk/def)/50)+2)),modifier,stab*eff,AVERAGE(ARRAYFORMULA(FLOOR(base*modifier*SEQUENCE(16,1,85,1)/100)))*MIN(1,acc/100)),0)</f>
        <v/>
      </c>
      <c r="N49" s="4">
        <f>IFERROR(LET(mtype,XLOOKUP($D49,'Move Editor'!$B:$B,'Move Editor'!$C:$C,""),cat,XLOOKUP($D49,'Move Editor'!$B:$B,'Move Editor'!$D:$D,""),pow,XLOOKUP($D49,'Move Editor'!$B:$B,'Move Editor'!$E:$E,0),acc,XLOOKUP($D49,'Move Editor'!$B:$B,'Move Editor'!$F:$F,100),atk,IF(cat="Physical",FLOOR((FLOOR(((2*XLOOKUP(XLOOKUP($Q49,'Threshold Summary'!$Y:$Y,'Threshold Summary'!$K:$K,""),'Pokemon Editor'!$A:$A,'Pokemon Editor'!$F:$F,0)+31+FLOOR(XLOOKUP($Q49,'Threshold Summary'!$Y:$Y,'Threshold Summary'!$P:$P,"")/4))*XLOOKUP($Q49,'Threshold Summary'!$Y:$Y,'Threshold Summary'!$L:$L,""))/100)+5)*XLOOKUP(XLOOKUP($Q49,'Threshold Summary'!$Y:$Y,'Threshold Summary'!$M:$M,""),'Nature Editor'!$A:$A,'Nature Editor'!$B:$B,1)),FLOOR((FLOOR(((2*XLOOKUP(XLOOKUP($Q49,'Threshold Summary'!$Y:$Y,'Threshold Summary'!$K:$K,""),'Pokemon Editor'!$A:$A,'Pokemon Editor'!$H:$H,0)+31+FLOOR(XLOOKUP($Q49,'Threshold Summary'!$Y:$Y,'Threshold Summary'!$R:$R,"")/4))*XLOOKUP($Q49,'Threshold Summary'!$Y:$Y,'Threshold Summary'!$L:$L,""))/100)+5)*XLOOKUP(XLOOKUP($Q49,'Threshold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Editor'!$E:$E,1))),stab,IF(OR(mtype=XLOOKUP(XLOOKUP($Q49,'Threshold Summary'!$Y:$Y,'Threshold Summary'!$K:$K,""),'Pokemon Editor'!$A:$A,'Pokemon Editor'!$C:$C,""),mtype=XLOOKUP(XLOOKUP($Q49,'Threshold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Chart'!$B$1:$S$1,0)))),base,IF(OR(cat="Status",pow=0),0,FLOOR(FLOOR(FLOOR((2*XLOOKUP($Q49,'Threshold Summary'!$Y:$Y,'Threshold Summary'!$L:$L,"")/5+2)*pow*atk/def)/50)+2)),modifier,stab*eff,AVERAGE(ARRAYFORMULA(FLOOR(base*modifier*SEQUENCE(16,1,85,1)/100)))/(FLOOR(((2*XLOOKUP('Boss Editor'!$C$4,'Pokemon Editor'!$A:$A,'Pokemon Editor'!$E:$E,0)+31+FLOOR('Boss Editor'!$G$4/4))*'Boss Editor'!$D$4)/100)+'Boss Editor'!$D$4+10)),0)</f>
        <v/>
      </c>
      <c r="O49" s="3">
        <f>IF(N49&gt;=1,"OHKO",IF(N49&gt;=0.5,"2HKO",IF(N49&gt;=0.333,"3HKO",IF(N49&gt;=0.25,"4HKO","5HKO+"))))</f>
        <v/>
      </c>
      <c r="P49" s="3" t="inlineStr">
        <is>
          <t>Live from editable databases</t>
        </is>
      </c>
      <c r="Q49" s="3" t="inlineStr">
        <is>
          <t>SPECIES_SENTRET</t>
        </is>
      </c>
      <c r="R49" s="3" t="n">
        <v>16</v>
      </c>
    </row>
    <row r="50">
      <c r="A50" s="3">
        <f>XLOOKUP($Q50,'Threshold Summary'!$Y:$Y,'Threshold Summary'!$A:$A,"")</f>
        <v/>
      </c>
      <c r="B50" s="3">
        <f>XLOOKUP($Q50,'Threshold Summary'!$Y:$Y,'Threshold Summary'!$M:$M,"")</f>
        <v/>
      </c>
      <c r="C50" s="3">
        <f>XLOOKUP($Q50,'Threshold Summary'!$Y:$Y,'Threshold Summary'!$N:$N,"")</f>
        <v/>
      </c>
      <c r="D50" s="3">
        <f>IFERROR(INDEX(FILTER('Learnset Editor'!$D$2:$D,'Learnset Editor'!$A$2:$A=XLOOKUP($Q50,'Threshold Summary'!$Y:$Y,'Threshold Summary'!$K:$K,""),'Learnset Editor'!$C$2:$C&lt;=XLOOKUP($Q50,'Threshold Summary'!$Y:$Y,'Threshold Summary'!$L:$L,"")),$R50),"")</f>
        <v/>
      </c>
      <c r="E50" s="3">
        <f>XLOOKUP(D50,'Move Editor'!$B:$B,'Move Editor'!$C:$C,"")</f>
        <v/>
      </c>
      <c r="F50" s="3">
        <f>XLOOKUP(D50,'Move Editor'!$B:$B,'Move Editor'!$D:$D,"")</f>
        <v/>
      </c>
      <c r="G50" s="3">
        <f>XLOOKUP(D50,'Move Editor'!$B:$B,'Move Editor'!$E:$E,0)</f>
        <v/>
      </c>
      <c r="H50" s="3">
        <f>XLOOKUP(D50,'Move Editor'!$B:$B,'Move Editor'!$F:$F,0)</f>
        <v/>
      </c>
      <c r="I50" s="3">
        <f>(INDEX('Type Chart'!$B:$S,MATCH(E50,'Type Chart'!$A:$A,0),MATCH(XLOOKUP('Boss Editor'!$C$4,'Pokemon Editor'!$A:$A,'Pokemon Editor'!$C:$C,""),'Type Chart'!$B$1:$S$1,0))*IF(XLOOKUP('Boss Editor'!$C$4,'Pokemon Editor'!$A:$A,'Pokemon Editor'!$D:$D,"")="",1,INDEX('Type Chart'!$B:$S,MATCH(E50,'Type Chart'!$A:$A,0),MATCH(XLOOKUP('Boss Editor'!$C$4,'Pokemon Editor'!$A:$A,'Pokemon Editor'!$D:$D,""),'Type Chart'!$B$1:$S$1,0))))</f>
        <v/>
      </c>
      <c r="J50" s="3">
        <f>IFERROR(LET(mtype,XLOOKUP($D50,'Move Editor'!$B:$B,'Move Editor'!$C:$C,""),cat,XLOOKUP($D50,'Move Editor'!$B:$B,'Move Editor'!$D:$D,""),pow,XLOOKUP($D50,'Move Editor'!$B:$B,'Move Editor'!$E:$E,0),acc,XLOOKUP($D50,'Move Editor'!$B:$B,'Move Editor'!$F:$F,100),atk,IF(cat="Physical",FLOOR((FLOOR(((2*XLOOKUP(XLOOKUP($Q50,'Threshold Summary'!$Y:$Y,'Threshold Summary'!$K:$K,""),'Pokemon Editor'!$A:$A,'Pokemon Editor'!$F:$F,0)+31+FLOOR(XLOOKUP($Q50,'Threshold Summary'!$Y:$Y,'Threshold Summary'!$P:$P,"")/4))*XLOOKUP($Q50,'Threshold Summary'!$Y:$Y,'Threshold Summary'!$L:$L,""))/100)+5)*XLOOKUP(XLOOKUP($Q50,'Threshold Summary'!$Y:$Y,'Threshold Summary'!$M:$M,""),'Nature Editor'!$A:$A,'Nature Editor'!$B:$B,1)),FLOOR((FLOOR(((2*XLOOKUP(XLOOKUP($Q50,'Threshold Summary'!$Y:$Y,'Threshold Summary'!$K:$K,""),'Pokemon Editor'!$A:$A,'Pokemon Editor'!$H:$H,0)+31+FLOOR(XLOOKUP($Q50,'Threshold Summary'!$Y:$Y,'Threshold Summary'!$R:$R,"")/4))*XLOOKUP($Q50,'Threshold Summary'!$Y:$Y,'Threshold Summary'!$L:$L,""))/100)+5)*XLOOKUP(XLOOKUP($Q50,'Threshold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Editor'!$E:$E,1))),stab,IF(OR(mtype=XLOOKUP(XLOOKUP($Q50,'Threshold Summary'!$Y:$Y,'Threshold Summary'!$K:$K,""),'Pokemon Editor'!$A:$A,'Pokemon Editor'!$C:$C,""),mtype=XLOOKUP(XLOOKUP($Q50,'Threshold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Chart'!$B$1:$S$1,0)))),base,IF(OR(cat="Status",pow=0),0,FLOOR(FLOOR(FLOOR((2*XLOOKUP($Q50,'Threshold Summary'!$Y:$Y,'Threshold Summary'!$L:$L,"")/5+2)*pow*atk/def)/50)+2)),modifier,stab*eff,FLOOR(base*modifier*0.85)),0)</f>
        <v/>
      </c>
      <c r="K50" s="3">
        <f>IFERROR(LET(mtype,XLOOKUP($D50,'Move Editor'!$B:$B,'Move Editor'!$C:$C,""),cat,XLOOKUP($D50,'Move Editor'!$B:$B,'Move Editor'!$D:$D,""),pow,XLOOKUP($D50,'Move Editor'!$B:$B,'Move Editor'!$E:$E,0),acc,XLOOKUP($D50,'Move Editor'!$B:$B,'Move Editor'!$F:$F,100),atk,IF(cat="Physical",FLOOR((FLOOR(((2*XLOOKUP(XLOOKUP($Q50,'Threshold Summary'!$Y:$Y,'Threshold Summary'!$K:$K,""),'Pokemon Editor'!$A:$A,'Pokemon Editor'!$F:$F,0)+31+FLOOR(XLOOKUP($Q50,'Threshold Summary'!$Y:$Y,'Threshold Summary'!$P:$P,"")/4))*XLOOKUP($Q50,'Threshold Summary'!$Y:$Y,'Threshold Summary'!$L:$L,""))/100)+5)*XLOOKUP(XLOOKUP($Q50,'Threshold Summary'!$Y:$Y,'Threshold Summary'!$M:$M,""),'Nature Editor'!$A:$A,'Nature Editor'!$B:$B,1)),FLOOR((FLOOR(((2*XLOOKUP(XLOOKUP($Q50,'Threshold Summary'!$Y:$Y,'Threshold Summary'!$K:$K,""),'Pokemon Editor'!$A:$A,'Pokemon Editor'!$H:$H,0)+31+FLOOR(XLOOKUP($Q50,'Threshold Summary'!$Y:$Y,'Threshold Summary'!$R:$R,"")/4))*XLOOKUP($Q50,'Threshold Summary'!$Y:$Y,'Threshold Summary'!$L:$L,""))/100)+5)*XLOOKUP(XLOOKUP($Q50,'Threshold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Editor'!$E:$E,1))),stab,IF(OR(mtype=XLOOKUP(XLOOKUP($Q50,'Threshold Summary'!$Y:$Y,'Threshold Summary'!$K:$K,""),'Pokemon Editor'!$A:$A,'Pokemon Editor'!$C:$C,""),mtype=XLOOKUP(XLOOKUP($Q50,'Threshold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Chart'!$B$1:$S$1,0)))),base,IF(OR(cat="Status",pow=0),0,FLOOR(FLOOR(FLOOR((2*XLOOKUP($Q50,'Threshold Summary'!$Y:$Y,'Threshold Summary'!$L:$L,"")/5+2)*pow*atk/def)/50)+2)),modifier,stab*eff,FLOOR(base*modifier)),0)</f>
        <v/>
      </c>
      <c r="L50" s="3">
        <f>IFERROR(LET(mtype,XLOOKUP($D50,'Move Editor'!$B:$B,'Move Editor'!$C:$C,""),cat,XLOOKUP($D50,'Move Editor'!$B:$B,'Move Editor'!$D:$D,""),pow,XLOOKUP($D50,'Move Editor'!$B:$B,'Move Editor'!$E:$E,0),acc,XLOOKUP($D50,'Move Editor'!$B:$B,'Move Editor'!$F:$F,100),atk,IF(cat="Physical",FLOOR((FLOOR(((2*XLOOKUP(XLOOKUP($Q50,'Threshold Summary'!$Y:$Y,'Threshold Summary'!$K:$K,""),'Pokemon Editor'!$A:$A,'Pokemon Editor'!$F:$F,0)+31+FLOOR(XLOOKUP($Q50,'Threshold Summary'!$Y:$Y,'Threshold Summary'!$P:$P,"")/4))*XLOOKUP($Q50,'Threshold Summary'!$Y:$Y,'Threshold Summary'!$L:$L,""))/100)+5)*XLOOKUP(XLOOKUP($Q50,'Threshold Summary'!$Y:$Y,'Threshold Summary'!$M:$M,""),'Nature Editor'!$A:$A,'Nature Editor'!$B:$B,1)),FLOOR((FLOOR(((2*XLOOKUP(XLOOKUP($Q50,'Threshold Summary'!$Y:$Y,'Threshold Summary'!$K:$K,""),'Pokemon Editor'!$A:$A,'Pokemon Editor'!$H:$H,0)+31+FLOOR(XLOOKUP($Q50,'Threshold Summary'!$Y:$Y,'Threshold Summary'!$R:$R,"")/4))*XLOOKUP($Q50,'Threshold Summary'!$Y:$Y,'Threshold Summary'!$L:$L,""))/100)+5)*XLOOKUP(XLOOKUP($Q50,'Threshold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Editor'!$E:$E,1))),stab,IF(OR(mtype=XLOOKUP(XLOOKUP($Q50,'Threshold Summary'!$Y:$Y,'Threshold Summary'!$K:$K,""),'Pokemon Editor'!$A:$A,'Pokemon Editor'!$C:$C,""),mtype=XLOOKUP(XLOOKUP($Q50,'Threshold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Chart'!$B$1:$S$1,0)))),base,IF(OR(cat="Status",pow=0),0,FLOOR(FLOOR(FLOOR((2*XLOOKUP($Q50,'Threshold Summary'!$Y:$Y,'Threshold Summary'!$L:$L,"")/5+2)*pow*atk/def)/50)+2)),modifier,stab*eff,AVERAGE(ARRAYFORMULA(FLOOR(base*modifier*SEQUENCE(16,1,85,1)/100)))),0)</f>
        <v/>
      </c>
      <c r="M50" s="3">
        <f>IFERROR(LET(mtype,XLOOKUP($D50,'Move Editor'!$B:$B,'Move Editor'!$C:$C,""),cat,XLOOKUP($D50,'Move Editor'!$B:$B,'Move Editor'!$D:$D,""),pow,XLOOKUP($D50,'Move Editor'!$B:$B,'Move Editor'!$E:$E,0),acc,XLOOKUP($D50,'Move Editor'!$B:$B,'Move Editor'!$F:$F,100),atk,IF(cat="Physical",FLOOR((FLOOR(((2*XLOOKUP(XLOOKUP($Q50,'Threshold Summary'!$Y:$Y,'Threshold Summary'!$K:$K,""),'Pokemon Editor'!$A:$A,'Pokemon Editor'!$F:$F,0)+31+FLOOR(XLOOKUP($Q50,'Threshold Summary'!$Y:$Y,'Threshold Summary'!$P:$P,"")/4))*XLOOKUP($Q50,'Threshold Summary'!$Y:$Y,'Threshold Summary'!$L:$L,""))/100)+5)*XLOOKUP(XLOOKUP($Q50,'Threshold Summary'!$Y:$Y,'Threshold Summary'!$M:$M,""),'Nature Editor'!$A:$A,'Nature Editor'!$B:$B,1)),FLOOR((FLOOR(((2*XLOOKUP(XLOOKUP($Q50,'Threshold Summary'!$Y:$Y,'Threshold Summary'!$K:$K,""),'Pokemon Editor'!$A:$A,'Pokemon Editor'!$H:$H,0)+31+FLOOR(XLOOKUP($Q50,'Threshold Summary'!$Y:$Y,'Threshold Summary'!$R:$R,"")/4))*XLOOKUP($Q50,'Threshold Summary'!$Y:$Y,'Threshold Summary'!$L:$L,""))/100)+5)*XLOOKUP(XLOOKUP($Q50,'Threshold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Editor'!$E:$E,1))),stab,IF(OR(mtype=XLOOKUP(XLOOKUP($Q50,'Threshold Summary'!$Y:$Y,'Threshold Summary'!$K:$K,""),'Pokemon Editor'!$A:$A,'Pokemon Editor'!$C:$C,""),mtype=XLOOKUP(XLOOKUP($Q50,'Threshold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Chart'!$B$1:$S$1,0)))),base,IF(OR(cat="Status",pow=0),0,FLOOR(FLOOR(FLOOR((2*XLOOKUP($Q50,'Threshold Summary'!$Y:$Y,'Threshold Summary'!$L:$L,"")/5+2)*pow*atk/def)/50)+2)),modifier,stab*eff,AVERAGE(ARRAYFORMULA(FLOOR(base*modifier*SEQUENCE(16,1,85,1)/100)))*MIN(1,acc/100)),0)</f>
        <v/>
      </c>
      <c r="N50" s="4">
        <f>IFERROR(LET(mtype,XLOOKUP($D50,'Move Editor'!$B:$B,'Move Editor'!$C:$C,""),cat,XLOOKUP($D50,'Move Editor'!$B:$B,'Move Editor'!$D:$D,""),pow,XLOOKUP($D50,'Move Editor'!$B:$B,'Move Editor'!$E:$E,0),acc,XLOOKUP($D50,'Move Editor'!$B:$B,'Move Editor'!$F:$F,100),atk,IF(cat="Physical",FLOOR((FLOOR(((2*XLOOKUP(XLOOKUP($Q50,'Threshold Summary'!$Y:$Y,'Threshold Summary'!$K:$K,""),'Pokemon Editor'!$A:$A,'Pokemon Editor'!$F:$F,0)+31+FLOOR(XLOOKUP($Q50,'Threshold Summary'!$Y:$Y,'Threshold Summary'!$P:$P,"")/4))*XLOOKUP($Q50,'Threshold Summary'!$Y:$Y,'Threshold Summary'!$L:$L,""))/100)+5)*XLOOKUP(XLOOKUP($Q50,'Threshold Summary'!$Y:$Y,'Threshold Summary'!$M:$M,""),'Nature Editor'!$A:$A,'Nature Editor'!$B:$B,1)),FLOOR((FLOOR(((2*XLOOKUP(XLOOKUP($Q50,'Threshold Summary'!$Y:$Y,'Threshold Summary'!$K:$K,""),'Pokemon Editor'!$A:$A,'Pokemon Editor'!$H:$H,0)+31+FLOOR(XLOOKUP($Q50,'Threshold Summary'!$Y:$Y,'Threshold Summary'!$R:$R,"")/4))*XLOOKUP($Q50,'Threshold Summary'!$Y:$Y,'Threshold Summary'!$L:$L,""))/100)+5)*XLOOKUP(XLOOKUP($Q50,'Threshold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Editor'!$E:$E,1))),stab,IF(OR(mtype=XLOOKUP(XLOOKUP($Q50,'Threshold Summary'!$Y:$Y,'Threshold Summary'!$K:$K,""),'Pokemon Editor'!$A:$A,'Pokemon Editor'!$C:$C,""),mtype=XLOOKUP(XLOOKUP($Q50,'Threshold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Chart'!$B$1:$S$1,0)))),base,IF(OR(cat="Status",pow=0),0,FLOOR(FLOOR(FLOOR((2*XLOOKUP($Q50,'Threshold Summary'!$Y:$Y,'Threshold Summary'!$L:$L,"")/5+2)*pow*atk/def)/50)+2)),modifier,stab*eff,AVERAGE(ARRAYFORMULA(FLOOR(base*modifier*SEQUENCE(16,1,85,1)/100)))/(FLOOR(((2*XLOOKUP('Boss Editor'!$C$4,'Pokemon Editor'!$A:$A,'Pokemon Editor'!$E:$E,0)+31+FLOOR('Boss Editor'!$G$4/4))*'Boss Editor'!$D$4)/100)+'Boss Editor'!$D$4+10)),0)</f>
        <v/>
      </c>
      <c r="O50" s="3">
        <f>IF(N50&gt;=1,"OHKO",IF(N50&gt;=0.5,"2HKO",IF(N50&gt;=0.333,"3HKO",IF(N50&gt;=0.25,"4HKO","5HKO+"))))</f>
        <v/>
      </c>
      <c r="P50" s="3" t="inlineStr">
        <is>
          <t>Live from editable databases</t>
        </is>
      </c>
      <c r="Q50" s="3" t="inlineStr">
        <is>
          <t>SPECIES_SENTRET</t>
        </is>
      </c>
      <c r="R50" s="3" t="n">
        <v>17</v>
      </c>
    </row>
    <row r="51">
      <c r="A51" s="3">
        <f>XLOOKUP($Q51,'Threshold Summary'!$Y:$Y,'Threshold Summary'!$A:$A,"")</f>
        <v/>
      </c>
      <c r="B51" s="3">
        <f>XLOOKUP($Q51,'Threshold Summary'!$Y:$Y,'Threshold Summary'!$M:$M,"")</f>
        <v/>
      </c>
      <c r="C51" s="3">
        <f>XLOOKUP($Q51,'Threshold Summary'!$Y:$Y,'Threshold Summary'!$N:$N,"")</f>
        <v/>
      </c>
      <c r="D51" s="3">
        <f>IFERROR(INDEX(FILTER('Learnset Editor'!$D$2:$D,'Learnset Editor'!$A$2:$A=XLOOKUP($Q51,'Threshold Summary'!$Y:$Y,'Threshold Summary'!$K:$K,""),'Learnset Editor'!$C$2:$C&lt;=XLOOKUP($Q51,'Threshold Summary'!$Y:$Y,'Threshold Summary'!$L:$L,"")),$R51),"")</f>
        <v/>
      </c>
      <c r="E51" s="3">
        <f>XLOOKUP(D51,'Move Editor'!$B:$B,'Move Editor'!$C:$C,"")</f>
        <v/>
      </c>
      <c r="F51" s="3">
        <f>XLOOKUP(D51,'Move Editor'!$B:$B,'Move Editor'!$D:$D,"")</f>
        <v/>
      </c>
      <c r="G51" s="3">
        <f>XLOOKUP(D51,'Move Editor'!$B:$B,'Move Editor'!$E:$E,0)</f>
        <v/>
      </c>
      <c r="H51" s="3">
        <f>XLOOKUP(D51,'Move Editor'!$B:$B,'Move Editor'!$F:$F,0)</f>
        <v/>
      </c>
      <c r="I51" s="3">
        <f>(INDEX('Type Chart'!$B:$S,MATCH(E51,'Type Chart'!$A:$A,0),MATCH(XLOOKUP('Boss Editor'!$C$4,'Pokemon Editor'!$A:$A,'Pokemon Editor'!$C:$C,""),'Type Chart'!$B$1:$S$1,0))*IF(XLOOKUP('Boss Editor'!$C$4,'Pokemon Editor'!$A:$A,'Pokemon Editor'!$D:$D,"")="",1,INDEX('Type Chart'!$B:$S,MATCH(E51,'Type Chart'!$A:$A,0),MATCH(XLOOKUP('Boss Editor'!$C$4,'Pokemon Editor'!$A:$A,'Pokemon Editor'!$D:$D,""),'Type Chart'!$B$1:$S$1,0))))</f>
        <v/>
      </c>
      <c r="J51" s="3">
        <f>IFERROR(LET(mtype,XLOOKUP($D51,'Move Editor'!$B:$B,'Move Editor'!$C:$C,""),cat,XLOOKUP($D51,'Move Editor'!$B:$B,'Move Editor'!$D:$D,""),pow,XLOOKUP($D51,'Move Editor'!$B:$B,'Move Editor'!$E:$E,0),acc,XLOOKUP($D51,'Move Editor'!$B:$B,'Move Editor'!$F:$F,100),atk,IF(cat="Physical",FLOOR((FLOOR(((2*XLOOKUP(XLOOKUP($Q51,'Threshold Summary'!$Y:$Y,'Threshold Summary'!$K:$K,""),'Pokemon Editor'!$A:$A,'Pokemon Editor'!$F:$F,0)+31+FLOOR(XLOOKUP($Q51,'Threshold Summary'!$Y:$Y,'Threshold Summary'!$P:$P,"")/4))*XLOOKUP($Q51,'Threshold Summary'!$Y:$Y,'Threshold Summary'!$L:$L,""))/100)+5)*XLOOKUP(XLOOKUP($Q51,'Threshold Summary'!$Y:$Y,'Threshold Summary'!$M:$M,""),'Nature Editor'!$A:$A,'Nature Editor'!$B:$B,1)),FLOOR((FLOOR(((2*XLOOKUP(XLOOKUP($Q51,'Threshold Summary'!$Y:$Y,'Threshold Summary'!$K:$K,""),'Pokemon Editor'!$A:$A,'Pokemon Editor'!$H:$H,0)+31+FLOOR(XLOOKUP($Q51,'Threshold Summary'!$Y:$Y,'Threshold Summary'!$R:$R,"")/4))*XLOOKUP($Q51,'Threshold Summary'!$Y:$Y,'Threshold Summary'!$L:$L,""))/100)+5)*XLOOKUP(XLOOKUP($Q51,'Threshold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Editor'!$E:$E,1))),stab,IF(OR(mtype=XLOOKUP(XLOOKUP($Q51,'Threshold Summary'!$Y:$Y,'Threshold Summary'!$K:$K,""),'Pokemon Editor'!$A:$A,'Pokemon Editor'!$C:$C,""),mtype=XLOOKUP(XLOOKUP($Q51,'Threshold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Chart'!$B$1:$S$1,0)))),base,IF(OR(cat="Status",pow=0),0,FLOOR(FLOOR(FLOOR((2*XLOOKUP($Q51,'Threshold Summary'!$Y:$Y,'Threshold Summary'!$L:$L,"")/5+2)*pow*atk/def)/50)+2)),modifier,stab*eff,FLOOR(base*modifier*0.85)),0)</f>
        <v/>
      </c>
      <c r="K51" s="3">
        <f>IFERROR(LET(mtype,XLOOKUP($D51,'Move Editor'!$B:$B,'Move Editor'!$C:$C,""),cat,XLOOKUP($D51,'Move Editor'!$B:$B,'Move Editor'!$D:$D,""),pow,XLOOKUP($D51,'Move Editor'!$B:$B,'Move Editor'!$E:$E,0),acc,XLOOKUP($D51,'Move Editor'!$B:$B,'Move Editor'!$F:$F,100),atk,IF(cat="Physical",FLOOR((FLOOR(((2*XLOOKUP(XLOOKUP($Q51,'Threshold Summary'!$Y:$Y,'Threshold Summary'!$K:$K,""),'Pokemon Editor'!$A:$A,'Pokemon Editor'!$F:$F,0)+31+FLOOR(XLOOKUP($Q51,'Threshold Summary'!$Y:$Y,'Threshold Summary'!$P:$P,"")/4))*XLOOKUP($Q51,'Threshold Summary'!$Y:$Y,'Threshold Summary'!$L:$L,""))/100)+5)*XLOOKUP(XLOOKUP($Q51,'Threshold Summary'!$Y:$Y,'Threshold Summary'!$M:$M,""),'Nature Editor'!$A:$A,'Nature Editor'!$B:$B,1)),FLOOR((FLOOR(((2*XLOOKUP(XLOOKUP($Q51,'Threshold Summary'!$Y:$Y,'Threshold Summary'!$K:$K,""),'Pokemon Editor'!$A:$A,'Pokemon Editor'!$H:$H,0)+31+FLOOR(XLOOKUP($Q51,'Threshold Summary'!$Y:$Y,'Threshold Summary'!$R:$R,"")/4))*XLOOKUP($Q51,'Threshold Summary'!$Y:$Y,'Threshold Summary'!$L:$L,""))/100)+5)*XLOOKUP(XLOOKUP($Q51,'Threshold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Editor'!$E:$E,1))),stab,IF(OR(mtype=XLOOKUP(XLOOKUP($Q51,'Threshold Summary'!$Y:$Y,'Threshold Summary'!$K:$K,""),'Pokemon Editor'!$A:$A,'Pokemon Editor'!$C:$C,""),mtype=XLOOKUP(XLOOKUP($Q51,'Threshold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Chart'!$B$1:$S$1,0)))),base,IF(OR(cat="Status",pow=0),0,FLOOR(FLOOR(FLOOR((2*XLOOKUP($Q51,'Threshold Summary'!$Y:$Y,'Threshold Summary'!$L:$L,"")/5+2)*pow*atk/def)/50)+2)),modifier,stab*eff,FLOOR(base*modifier)),0)</f>
        <v/>
      </c>
      <c r="L51" s="3">
        <f>IFERROR(LET(mtype,XLOOKUP($D51,'Move Editor'!$B:$B,'Move Editor'!$C:$C,""),cat,XLOOKUP($D51,'Move Editor'!$B:$B,'Move Editor'!$D:$D,""),pow,XLOOKUP($D51,'Move Editor'!$B:$B,'Move Editor'!$E:$E,0),acc,XLOOKUP($D51,'Move Editor'!$B:$B,'Move Editor'!$F:$F,100),atk,IF(cat="Physical",FLOOR((FLOOR(((2*XLOOKUP(XLOOKUP($Q51,'Threshold Summary'!$Y:$Y,'Threshold Summary'!$K:$K,""),'Pokemon Editor'!$A:$A,'Pokemon Editor'!$F:$F,0)+31+FLOOR(XLOOKUP($Q51,'Threshold Summary'!$Y:$Y,'Threshold Summary'!$P:$P,"")/4))*XLOOKUP($Q51,'Threshold Summary'!$Y:$Y,'Threshold Summary'!$L:$L,""))/100)+5)*XLOOKUP(XLOOKUP($Q51,'Threshold Summary'!$Y:$Y,'Threshold Summary'!$M:$M,""),'Nature Editor'!$A:$A,'Nature Editor'!$B:$B,1)),FLOOR((FLOOR(((2*XLOOKUP(XLOOKUP($Q51,'Threshold Summary'!$Y:$Y,'Threshold Summary'!$K:$K,""),'Pokemon Editor'!$A:$A,'Pokemon Editor'!$H:$H,0)+31+FLOOR(XLOOKUP($Q51,'Threshold Summary'!$Y:$Y,'Threshold Summary'!$R:$R,"")/4))*XLOOKUP($Q51,'Threshold Summary'!$Y:$Y,'Threshold Summary'!$L:$L,""))/100)+5)*XLOOKUP(XLOOKUP($Q51,'Threshold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Editor'!$E:$E,1))),stab,IF(OR(mtype=XLOOKUP(XLOOKUP($Q51,'Threshold Summary'!$Y:$Y,'Threshold Summary'!$K:$K,""),'Pokemon Editor'!$A:$A,'Pokemon Editor'!$C:$C,""),mtype=XLOOKUP(XLOOKUP($Q51,'Threshold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Chart'!$B$1:$S$1,0)))),base,IF(OR(cat="Status",pow=0),0,FLOOR(FLOOR(FLOOR((2*XLOOKUP($Q51,'Threshold Summary'!$Y:$Y,'Threshold Summary'!$L:$L,"")/5+2)*pow*atk/def)/50)+2)),modifier,stab*eff,AVERAGE(ARRAYFORMULA(FLOOR(base*modifier*SEQUENCE(16,1,85,1)/100)))),0)</f>
        <v/>
      </c>
      <c r="M51" s="3">
        <f>IFERROR(LET(mtype,XLOOKUP($D51,'Move Editor'!$B:$B,'Move Editor'!$C:$C,""),cat,XLOOKUP($D51,'Move Editor'!$B:$B,'Move Editor'!$D:$D,""),pow,XLOOKUP($D51,'Move Editor'!$B:$B,'Move Editor'!$E:$E,0),acc,XLOOKUP($D51,'Move Editor'!$B:$B,'Move Editor'!$F:$F,100),atk,IF(cat="Physical",FLOOR((FLOOR(((2*XLOOKUP(XLOOKUP($Q51,'Threshold Summary'!$Y:$Y,'Threshold Summary'!$K:$K,""),'Pokemon Editor'!$A:$A,'Pokemon Editor'!$F:$F,0)+31+FLOOR(XLOOKUP($Q51,'Threshold Summary'!$Y:$Y,'Threshold Summary'!$P:$P,"")/4))*XLOOKUP($Q51,'Threshold Summary'!$Y:$Y,'Threshold Summary'!$L:$L,""))/100)+5)*XLOOKUP(XLOOKUP($Q51,'Threshold Summary'!$Y:$Y,'Threshold Summary'!$M:$M,""),'Nature Editor'!$A:$A,'Nature Editor'!$B:$B,1)),FLOOR((FLOOR(((2*XLOOKUP(XLOOKUP($Q51,'Threshold Summary'!$Y:$Y,'Threshold Summary'!$K:$K,""),'Pokemon Editor'!$A:$A,'Pokemon Editor'!$H:$H,0)+31+FLOOR(XLOOKUP($Q51,'Threshold Summary'!$Y:$Y,'Threshold Summary'!$R:$R,"")/4))*XLOOKUP($Q51,'Threshold Summary'!$Y:$Y,'Threshold Summary'!$L:$L,""))/100)+5)*XLOOKUP(XLOOKUP($Q51,'Threshold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Editor'!$E:$E,1))),stab,IF(OR(mtype=XLOOKUP(XLOOKUP($Q51,'Threshold Summary'!$Y:$Y,'Threshold Summary'!$K:$K,""),'Pokemon Editor'!$A:$A,'Pokemon Editor'!$C:$C,""),mtype=XLOOKUP(XLOOKUP($Q51,'Threshold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Chart'!$B$1:$S$1,0)))),base,IF(OR(cat="Status",pow=0),0,FLOOR(FLOOR(FLOOR((2*XLOOKUP($Q51,'Threshold Summary'!$Y:$Y,'Threshold Summary'!$L:$L,"")/5+2)*pow*atk/def)/50)+2)),modifier,stab*eff,AVERAGE(ARRAYFORMULA(FLOOR(base*modifier*SEQUENCE(16,1,85,1)/100)))*MIN(1,acc/100)),0)</f>
        <v/>
      </c>
      <c r="N51" s="4">
        <f>IFERROR(LET(mtype,XLOOKUP($D51,'Move Editor'!$B:$B,'Move Editor'!$C:$C,""),cat,XLOOKUP($D51,'Move Editor'!$B:$B,'Move Editor'!$D:$D,""),pow,XLOOKUP($D51,'Move Editor'!$B:$B,'Move Editor'!$E:$E,0),acc,XLOOKUP($D51,'Move Editor'!$B:$B,'Move Editor'!$F:$F,100),atk,IF(cat="Physical",FLOOR((FLOOR(((2*XLOOKUP(XLOOKUP($Q51,'Threshold Summary'!$Y:$Y,'Threshold Summary'!$K:$K,""),'Pokemon Editor'!$A:$A,'Pokemon Editor'!$F:$F,0)+31+FLOOR(XLOOKUP($Q51,'Threshold Summary'!$Y:$Y,'Threshold Summary'!$P:$P,"")/4))*XLOOKUP($Q51,'Threshold Summary'!$Y:$Y,'Threshold Summary'!$L:$L,""))/100)+5)*XLOOKUP(XLOOKUP($Q51,'Threshold Summary'!$Y:$Y,'Threshold Summary'!$M:$M,""),'Nature Editor'!$A:$A,'Nature Editor'!$B:$B,1)),FLOOR((FLOOR(((2*XLOOKUP(XLOOKUP($Q51,'Threshold Summary'!$Y:$Y,'Threshold Summary'!$K:$K,""),'Pokemon Editor'!$A:$A,'Pokemon Editor'!$H:$H,0)+31+FLOOR(XLOOKUP($Q51,'Threshold Summary'!$Y:$Y,'Threshold Summary'!$R:$R,"")/4))*XLOOKUP($Q51,'Threshold Summary'!$Y:$Y,'Threshold Summary'!$L:$L,""))/100)+5)*XLOOKUP(XLOOKUP($Q51,'Threshold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Editor'!$E:$E,1))),stab,IF(OR(mtype=XLOOKUP(XLOOKUP($Q51,'Threshold Summary'!$Y:$Y,'Threshold Summary'!$K:$K,""),'Pokemon Editor'!$A:$A,'Pokemon Editor'!$C:$C,""),mtype=XLOOKUP(XLOOKUP($Q51,'Threshold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Chart'!$B$1:$S$1,0)))),base,IF(OR(cat="Status",pow=0),0,FLOOR(FLOOR(FLOOR((2*XLOOKUP($Q51,'Threshold Summary'!$Y:$Y,'Threshold Summary'!$L:$L,"")/5+2)*pow*atk/def)/50)+2)),modifier,stab*eff,AVERAGE(ARRAYFORMULA(FLOOR(base*modifier*SEQUENCE(16,1,85,1)/100)))/(FLOOR(((2*XLOOKUP('Boss Editor'!$C$4,'Pokemon Editor'!$A:$A,'Pokemon Editor'!$E:$E,0)+31+FLOOR('Boss Editor'!$G$4/4))*'Boss Editor'!$D$4)/100)+'Boss Editor'!$D$4+10)),0)</f>
        <v/>
      </c>
      <c r="O51" s="3">
        <f>IF(N51&gt;=1,"OHKO",IF(N51&gt;=0.5,"2HKO",IF(N51&gt;=0.333,"3HKO",IF(N51&gt;=0.25,"4HKO","5HKO+"))))</f>
        <v/>
      </c>
      <c r="P51" s="3" t="inlineStr">
        <is>
          <t>Live from editable databases</t>
        </is>
      </c>
      <c r="Q51" s="3" t="inlineStr">
        <is>
          <t>SPECIES_SENTRET</t>
        </is>
      </c>
      <c r="R51" s="3" t="n">
        <v>18</v>
      </c>
    </row>
    <row r="52">
      <c r="A52" s="3">
        <f>XLOOKUP($Q52,'Threshold Summary'!$Y:$Y,'Threshold Summary'!$A:$A,"")</f>
        <v/>
      </c>
      <c r="B52" s="3">
        <f>XLOOKUP($Q52,'Threshold Summary'!$Y:$Y,'Threshold Summary'!$M:$M,"")</f>
        <v/>
      </c>
      <c r="C52" s="3">
        <f>XLOOKUP($Q52,'Threshold Summary'!$Y:$Y,'Threshold Summary'!$N:$N,"")</f>
        <v/>
      </c>
      <c r="D52" s="3">
        <f>IFERROR(INDEX(FILTER('Learnset Editor'!$D$2:$D,'Learnset Editor'!$A$2:$A=XLOOKUP($Q52,'Threshold Summary'!$Y:$Y,'Threshold Summary'!$K:$K,""),'Learnset Editor'!$C$2:$C&lt;=XLOOKUP($Q52,'Threshold Summary'!$Y:$Y,'Threshold Summary'!$L:$L,"")),$R52),"")</f>
        <v/>
      </c>
      <c r="E52" s="3">
        <f>XLOOKUP(D52,'Move Editor'!$B:$B,'Move Editor'!$C:$C,"")</f>
        <v/>
      </c>
      <c r="F52" s="3">
        <f>XLOOKUP(D52,'Move Editor'!$B:$B,'Move Editor'!$D:$D,"")</f>
        <v/>
      </c>
      <c r="G52" s="3">
        <f>XLOOKUP(D52,'Move Editor'!$B:$B,'Move Editor'!$E:$E,0)</f>
        <v/>
      </c>
      <c r="H52" s="3">
        <f>XLOOKUP(D52,'Move Editor'!$B:$B,'Move Editor'!$F:$F,0)</f>
        <v/>
      </c>
      <c r="I52" s="3">
        <f>(INDEX('Type Chart'!$B:$S,MATCH(E52,'Type Chart'!$A:$A,0),MATCH(XLOOKUP('Boss Editor'!$C$4,'Pokemon Editor'!$A:$A,'Pokemon Editor'!$C:$C,""),'Type Chart'!$B$1:$S$1,0))*IF(XLOOKUP('Boss Editor'!$C$4,'Pokemon Editor'!$A:$A,'Pokemon Editor'!$D:$D,"")="",1,INDEX('Type Chart'!$B:$S,MATCH(E52,'Type Chart'!$A:$A,0),MATCH(XLOOKUP('Boss Editor'!$C$4,'Pokemon Editor'!$A:$A,'Pokemon Editor'!$D:$D,""),'Type Chart'!$B$1:$S$1,0))))</f>
        <v/>
      </c>
      <c r="J52" s="3">
        <f>IFERROR(LET(mtype,XLOOKUP($D52,'Move Editor'!$B:$B,'Move Editor'!$C:$C,""),cat,XLOOKUP($D52,'Move Editor'!$B:$B,'Move Editor'!$D:$D,""),pow,XLOOKUP($D52,'Move Editor'!$B:$B,'Move Editor'!$E:$E,0),acc,XLOOKUP($D52,'Move Editor'!$B:$B,'Move Editor'!$F:$F,100),atk,IF(cat="Physical",FLOOR((FLOOR(((2*XLOOKUP(XLOOKUP($Q52,'Threshold Summary'!$Y:$Y,'Threshold Summary'!$K:$K,""),'Pokemon Editor'!$A:$A,'Pokemon Editor'!$F:$F,0)+31+FLOOR(XLOOKUP($Q52,'Threshold Summary'!$Y:$Y,'Threshold Summary'!$P:$P,"")/4))*XLOOKUP($Q52,'Threshold Summary'!$Y:$Y,'Threshold Summary'!$L:$L,""))/100)+5)*XLOOKUP(XLOOKUP($Q52,'Threshold Summary'!$Y:$Y,'Threshold Summary'!$M:$M,""),'Nature Editor'!$A:$A,'Nature Editor'!$B:$B,1)),FLOOR((FLOOR(((2*XLOOKUP(XLOOKUP($Q52,'Threshold Summary'!$Y:$Y,'Threshold Summary'!$K:$K,""),'Pokemon Editor'!$A:$A,'Pokemon Editor'!$H:$H,0)+31+FLOOR(XLOOKUP($Q52,'Threshold Summary'!$Y:$Y,'Threshold Summary'!$R:$R,"")/4))*XLOOKUP($Q52,'Threshold Summary'!$Y:$Y,'Threshold Summary'!$L:$L,""))/100)+5)*XLOOKUP(XLOOKUP($Q52,'Threshold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Editor'!$E:$E,1))),stab,IF(OR(mtype=XLOOKUP(XLOOKUP($Q52,'Threshold Summary'!$Y:$Y,'Threshold Summary'!$K:$K,""),'Pokemon Editor'!$A:$A,'Pokemon Editor'!$C:$C,""),mtype=XLOOKUP(XLOOKUP($Q52,'Threshold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Chart'!$B$1:$S$1,0)))),base,IF(OR(cat="Status",pow=0),0,FLOOR(FLOOR(FLOOR((2*XLOOKUP($Q52,'Threshold Summary'!$Y:$Y,'Threshold Summary'!$L:$L,"")/5+2)*pow*atk/def)/50)+2)),modifier,stab*eff,FLOOR(base*modifier*0.85)),0)</f>
        <v/>
      </c>
      <c r="K52" s="3">
        <f>IFERROR(LET(mtype,XLOOKUP($D52,'Move Editor'!$B:$B,'Move Editor'!$C:$C,""),cat,XLOOKUP($D52,'Move Editor'!$B:$B,'Move Editor'!$D:$D,""),pow,XLOOKUP($D52,'Move Editor'!$B:$B,'Move Editor'!$E:$E,0),acc,XLOOKUP($D52,'Move Editor'!$B:$B,'Move Editor'!$F:$F,100),atk,IF(cat="Physical",FLOOR((FLOOR(((2*XLOOKUP(XLOOKUP($Q52,'Threshold Summary'!$Y:$Y,'Threshold Summary'!$K:$K,""),'Pokemon Editor'!$A:$A,'Pokemon Editor'!$F:$F,0)+31+FLOOR(XLOOKUP($Q52,'Threshold Summary'!$Y:$Y,'Threshold Summary'!$P:$P,"")/4))*XLOOKUP($Q52,'Threshold Summary'!$Y:$Y,'Threshold Summary'!$L:$L,""))/100)+5)*XLOOKUP(XLOOKUP($Q52,'Threshold Summary'!$Y:$Y,'Threshold Summary'!$M:$M,""),'Nature Editor'!$A:$A,'Nature Editor'!$B:$B,1)),FLOOR((FLOOR(((2*XLOOKUP(XLOOKUP($Q52,'Threshold Summary'!$Y:$Y,'Threshold Summary'!$K:$K,""),'Pokemon Editor'!$A:$A,'Pokemon Editor'!$H:$H,0)+31+FLOOR(XLOOKUP($Q52,'Threshold Summary'!$Y:$Y,'Threshold Summary'!$R:$R,"")/4))*XLOOKUP($Q52,'Threshold Summary'!$Y:$Y,'Threshold Summary'!$L:$L,""))/100)+5)*XLOOKUP(XLOOKUP($Q52,'Threshold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Editor'!$E:$E,1))),stab,IF(OR(mtype=XLOOKUP(XLOOKUP($Q52,'Threshold Summary'!$Y:$Y,'Threshold Summary'!$K:$K,""),'Pokemon Editor'!$A:$A,'Pokemon Editor'!$C:$C,""),mtype=XLOOKUP(XLOOKUP($Q52,'Threshold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Chart'!$B$1:$S$1,0)))),base,IF(OR(cat="Status",pow=0),0,FLOOR(FLOOR(FLOOR((2*XLOOKUP($Q52,'Threshold Summary'!$Y:$Y,'Threshold Summary'!$L:$L,"")/5+2)*pow*atk/def)/50)+2)),modifier,stab*eff,FLOOR(base*modifier)),0)</f>
        <v/>
      </c>
      <c r="L52" s="3">
        <f>IFERROR(LET(mtype,XLOOKUP($D52,'Move Editor'!$B:$B,'Move Editor'!$C:$C,""),cat,XLOOKUP($D52,'Move Editor'!$B:$B,'Move Editor'!$D:$D,""),pow,XLOOKUP($D52,'Move Editor'!$B:$B,'Move Editor'!$E:$E,0),acc,XLOOKUP($D52,'Move Editor'!$B:$B,'Move Editor'!$F:$F,100),atk,IF(cat="Physical",FLOOR((FLOOR(((2*XLOOKUP(XLOOKUP($Q52,'Threshold Summary'!$Y:$Y,'Threshold Summary'!$K:$K,""),'Pokemon Editor'!$A:$A,'Pokemon Editor'!$F:$F,0)+31+FLOOR(XLOOKUP($Q52,'Threshold Summary'!$Y:$Y,'Threshold Summary'!$P:$P,"")/4))*XLOOKUP($Q52,'Threshold Summary'!$Y:$Y,'Threshold Summary'!$L:$L,""))/100)+5)*XLOOKUP(XLOOKUP($Q52,'Threshold Summary'!$Y:$Y,'Threshold Summary'!$M:$M,""),'Nature Editor'!$A:$A,'Nature Editor'!$B:$B,1)),FLOOR((FLOOR(((2*XLOOKUP(XLOOKUP($Q52,'Threshold Summary'!$Y:$Y,'Threshold Summary'!$K:$K,""),'Pokemon Editor'!$A:$A,'Pokemon Editor'!$H:$H,0)+31+FLOOR(XLOOKUP($Q52,'Threshold Summary'!$Y:$Y,'Threshold Summary'!$R:$R,"")/4))*XLOOKUP($Q52,'Threshold Summary'!$Y:$Y,'Threshold Summary'!$L:$L,""))/100)+5)*XLOOKUP(XLOOKUP($Q52,'Threshold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Editor'!$E:$E,1))),stab,IF(OR(mtype=XLOOKUP(XLOOKUP($Q52,'Threshold Summary'!$Y:$Y,'Threshold Summary'!$K:$K,""),'Pokemon Editor'!$A:$A,'Pokemon Editor'!$C:$C,""),mtype=XLOOKUP(XLOOKUP($Q52,'Threshold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Chart'!$B$1:$S$1,0)))),base,IF(OR(cat="Status",pow=0),0,FLOOR(FLOOR(FLOOR((2*XLOOKUP($Q52,'Threshold Summary'!$Y:$Y,'Threshold Summary'!$L:$L,"")/5+2)*pow*atk/def)/50)+2)),modifier,stab*eff,AVERAGE(ARRAYFORMULA(FLOOR(base*modifier*SEQUENCE(16,1,85,1)/100)))),0)</f>
        <v/>
      </c>
      <c r="M52" s="3">
        <f>IFERROR(LET(mtype,XLOOKUP($D52,'Move Editor'!$B:$B,'Move Editor'!$C:$C,""),cat,XLOOKUP($D52,'Move Editor'!$B:$B,'Move Editor'!$D:$D,""),pow,XLOOKUP($D52,'Move Editor'!$B:$B,'Move Editor'!$E:$E,0),acc,XLOOKUP($D52,'Move Editor'!$B:$B,'Move Editor'!$F:$F,100),atk,IF(cat="Physical",FLOOR((FLOOR(((2*XLOOKUP(XLOOKUP($Q52,'Threshold Summary'!$Y:$Y,'Threshold Summary'!$K:$K,""),'Pokemon Editor'!$A:$A,'Pokemon Editor'!$F:$F,0)+31+FLOOR(XLOOKUP($Q52,'Threshold Summary'!$Y:$Y,'Threshold Summary'!$P:$P,"")/4))*XLOOKUP($Q52,'Threshold Summary'!$Y:$Y,'Threshold Summary'!$L:$L,""))/100)+5)*XLOOKUP(XLOOKUP($Q52,'Threshold Summary'!$Y:$Y,'Threshold Summary'!$M:$M,""),'Nature Editor'!$A:$A,'Nature Editor'!$B:$B,1)),FLOOR((FLOOR(((2*XLOOKUP(XLOOKUP($Q52,'Threshold Summary'!$Y:$Y,'Threshold Summary'!$K:$K,""),'Pokemon Editor'!$A:$A,'Pokemon Editor'!$H:$H,0)+31+FLOOR(XLOOKUP($Q52,'Threshold Summary'!$Y:$Y,'Threshold Summary'!$R:$R,"")/4))*XLOOKUP($Q52,'Threshold Summary'!$Y:$Y,'Threshold Summary'!$L:$L,""))/100)+5)*XLOOKUP(XLOOKUP($Q52,'Threshold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Editor'!$E:$E,1))),stab,IF(OR(mtype=XLOOKUP(XLOOKUP($Q52,'Threshold Summary'!$Y:$Y,'Threshold Summary'!$K:$K,""),'Pokemon Editor'!$A:$A,'Pokemon Editor'!$C:$C,""),mtype=XLOOKUP(XLOOKUP($Q52,'Threshold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Chart'!$B$1:$S$1,0)))),base,IF(OR(cat="Status",pow=0),0,FLOOR(FLOOR(FLOOR((2*XLOOKUP($Q52,'Threshold Summary'!$Y:$Y,'Threshold Summary'!$L:$L,"")/5+2)*pow*atk/def)/50)+2)),modifier,stab*eff,AVERAGE(ARRAYFORMULA(FLOOR(base*modifier*SEQUENCE(16,1,85,1)/100)))*MIN(1,acc/100)),0)</f>
        <v/>
      </c>
      <c r="N52" s="4">
        <f>IFERROR(LET(mtype,XLOOKUP($D52,'Move Editor'!$B:$B,'Move Editor'!$C:$C,""),cat,XLOOKUP($D52,'Move Editor'!$B:$B,'Move Editor'!$D:$D,""),pow,XLOOKUP($D52,'Move Editor'!$B:$B,'Move Editor'!$E:$E,0),acc,XLOOKUP($D52,'Move Editor'!$B:$B,'Move Editor'!$F:$F,100),atk,IF(cat="Physical",FLOOR((FLOOR(((2*XLOOKUP(XLOOKUP($Q52,'Threshold Summary'!$Y:$Y,'Threshold Summary'!$K:$K,""),'Pokemon Editor'!$A:$A,'Pokemon Editor'!$F:$F,0)+31+FLOOR(XLOOKUP($Q52,'Threshold Summary'!$Y:$Y,'Threshold Summary'!$P:$P,"")/4))*XLOOKUP($Q52,'Threshold Summary'!$Y:$Y,'Threshold Summary'!$L:$L,""))/100)+5)*XLOOKUP(XLOOKUP($Q52,'Threshold Summary'!$Y:$Y,'Threshold Summary'!$M:$M,""),'Nature Editor'!$A:$A,'Nature Editor'!$B:$B,1)),FLOOR((FLOOR(((2*XLOOKUP(XLOOKUP($Q52,'Threshold Summary'!$Y:$Y,'Threshold Summary'!$K:$K,""),'Pokemon Editor'!$A:$A,'Pokemon Editor'!$H:$H,0)+31+FLOOR(XLOOKUP($Q52,'Threshold Summary'!$Y:$Y,'Threshold Summary'!$R:$R,"")/4))*XLOOKUP($Q52,'Threshold Summary'!$Y:$Y,'Threshold Summary'!$L:$L,""))/100)+5)*XLOOKUP(XLOOKUP($Q52,'Threshold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Editor'!$E:$E,1))),stab,IF(OR(mtype=XLOOKUP(XLOOKUP($Q52,'Threshold Summary'!$Y:$Y,'Threshold Summary'!$K:$K,""),'Pokemon Editor'!$A:$A,'Pokemon Editor'!$C:$C,""),mtype=XLOOKUP(XLOOKUP($Q52,'Threshold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Chart'!$B$1:$S$1,0)))),base,IF(OR(cat="Status",pow=0),0,FLOOR(FLOOR(FLOOR((2*XLOOKUP($Q52,'Threshold Summary'!$Y:$Y,'Threshold Summary'!$L:$L,"")/5+2)*pow*atk/def)/50)+2)),modifier,stab*eff,AVERAGE(ARRAYFORMULA(FLOOR(base*modifier*SEQUENCE(16,1,85,1)/100)))/(FLOOR(((2*XLOOKUP('Boss Editor'!$C$4,'Pokemon Editor'!$A:$A,'Pokemon Editor'!$E:$E,0)+31+FLOOR('Boss Editor'!$G$4/4))*'Boss Editor'!$D$4)/100)+'Boss Editor'!$D$4+10)),0)</f>
        <v/>
      </c>
      <c r="O52" s="3">
        <f>IF(N52&gt;=1,"OHKO",IF(N52&gt;=0.5,"2HKO",IF(N52&gt;=0.333,"3HKO",IF(N52&gt;=0.25,"4HKO","5HKO+"))))</f>
        <v/>
      </c>
      <c r="P52" s="3" t="inlineStr">
        <is>
          <t>Live from editable databases</t>
        </is>
      </c>
      <c r="Q52" s="3" t="inlineStr">
        <is>
          <t>SPECIES_SENTRET</t>
        </is>
      </c>
      <c r="R52" s="3" t="n">
        <v>19</v>
      </c>
    </row>
    <row r="53">
      <c r="A53" s="3">
        <f>XLOOKUP($Q53,'Threshold Summary'!$Y:$Y,'Threshold Summary'!$A:$A,"")</f>
        <v/>
      </c>
      <c r="B53" s="3">
        <f>XLOOKUP($Q53,'Threshold Summary'!$Y:$Y,'Threshold Summary'!$M:$M,"")</f>
        <v/>
      </c>
      <c r="C53" s="3">
        <f>XLOOKUP($Q53,'Threshold Summary'!$Y:$Y,'Threshold Summary'!$N:$N,"")</f>
        <v/>
      </c>
      <c r="D53" s="3">
        <f>IFERROR(INDEX(FILTER('Learnset Editor'!$D$2:$D,'Learnset Editor'!$A$2:$A=XLOOKUP($Q53,'Threshold Summary'!$Y:$Y,'Threshold Summary'!$K:$K,""),'Learnset Editor'!$C$2:$C&lt;=XLOOKUP($Q53,'Threshold Summary'!$Y:$Y,'Threshold Summary'!$L:$L,"")),$R53),"")</f>
        <v/>
      </c>
      <c r="E53" s="3">
        <f>XLOOKUP(D53,'Move Editor'!$B:$B,'Move Editor'!$C:$C,"")</f>
        <v/>
      </c>
      <c r="F53" s="3">
        <f>XLOOKUP(D53,'Move Editor'!$B:$B,'Move Editor'!$D:$D,"")</f>
        <v/>
      </c>
      <c r="G53" s="3">
        <f>XLOOKUP(D53,'Move Editor'!$B:$B,'Move Editor'!$E:$E,0)</f>
        <v/>
      </c>
      <c r="H53" s="3">
        <f>XLOOKUP(D53,'Move Editor'!$B:$B,'Move Editor'!$F:$F,0)</f>
        <v/>
      </c>
      <c r="I53" s="3">
        <f>(INDEX('Type Chart'!$B:$S,MATCH(E53,'Type Chart'!$A:$A,0),MATCH(XLOOKUP('Boss Editor'!$C$4,'Pokemon Editor'!$A:$A,'Pokemon Editor'!$C:$C,""),'Type Chart'!$B$1:$S$1,0))*IF(XLOOKUP('Boss Editor'!$C$4,'Pokemon Editor'!$A:$A,'Pokemon Editor'!$D:$D,"")="",1,INDEX('Type Chart'!$B:$S,MATCH(E53,'Type Chart'!$A:$A,0),MATCH(XLOOKUP('Boss Editor'!$C$4,'Pokemon Editor'!$A:$A,'Pokemon Editor'!$D:$D,""),'Type Chart'!$B$1:$S$1,0))))</f>
        <v/>
      </c>
      <c r="J53" s="3">
        <f>IFERROR(LET(mtype,XLOOKUP($D53,'Move Editor'!$B:$B,'Move Editor'!$C:$C,""),cat,XLOOKUP($D53,'Move Editor'!$B:$B,'Move Editor'!$D:$D,""),pow,XLOOKUP($D53,'Move Editor'!$B:$B,'Move Editor'!$E:$E,0),acc,XLOOKUP($D53,'Move Editor'!$B:$B,'Move Editor'!$F:$F,100),atk,IF(cat="Physical",FLOOR((FLOOR(((2*XLOOKUP(XLOOKUP($Q53,'Threshold Summary'!$Y:$Y,'Threshold Summary'!$K:$K,""),'Pokemon Editor'!$A:$A,'Pokemon Editor'!$F:$F,0)+31+FLOOR(XLOOKUP($Q53,'Threshold Summary'!$Y:$Y,'Threshold Summary'!$P:$P,"")/4))*XLOOKUP($Q53,'Threshold Summary'!$Y:$Y,'Threshold Summary'!$L:$L,""))/100)+5)*XLOOKUP(XLOOKUP($Q53,'Threshold Summary'!$Y:$Y,'Threshold Summary'!$M:$M,""),'Nature Editor'!$A:$A,'Nature Editor'!$B:$B,1)),FLOOR((FLOOR(((2*XLOOKUP(XLOOKUP($Q53,'Threshold Summary'!$Y:$Y,'Threshold Summary'!$K:$K,""),'Pokemon Editor'!$A:$A,'Pokemon Editor'!$H:$H,0)+31+FLOOR(XLOOKUP($Q53,'Threshold Summary'!$Y:$Y,'Threshold Summary'!$R:$R,"")/4))*XLOOKUP($Q53,'Threshold Summary'!$Y:$Y,'Threshold Summary'!$L:$L,""))/100)+5)*XLOOKUP(XLOOKUP($Q53,'Threshold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Editor'!$E:$E,1))),stab,IF(OR(mtype=XLOOKUP(XLOOKUP($Q53,'Threshold Summary'!$Y:$Y,'Threshold Summary'!$K:$K,""),'Pokemon Editor'!$A:$A,'Pokemon Editor'!$C:$C,""),mtype=XLOOKUP(XLOOKUP($Q53,'Threshold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Chart'!$B$1:$S$1,0)))),base,IF(OR(cat="Status",pow=0),0,FLOOR(FLOOR(FLOOR((2*XLOOKUP($Q53,'Threshold Summary'!$Y:$Y,'Threshold Summary'!$L:$L,"")/5+2)*pow*atk/def)/50)+2)),modifier,stab*eff,FLOOR(base*modifier*0.85)),0)</f>
        <v/>
      </c>
      <c r="K53" s="3">
        <f>IFERROR(LET(mtype,XLOOKUP($D53,'Move Editor'!$B:$B,'Move Editor'!$C:$C,""),cat,XLOOKUP($D53,'Move Editor'!$B:$B,'Move Editor'!$D:$D,""),pow,XLOOKUP($D53,'Move Editor'!$B:$B,'Move Editor'!$E:$E,0),acc,XLOOKUP($D53,'Move Editor'!$B:$B,'Move Editor'!$F:$F,100),atk,IF(cat="Physical",FLOOR((FLOOR(((2*XLOOKUP(XLOOKUP($Q53,'Threshold Summary'!$Y:$Y,'Threshold Summary'!$K:$K,""),'Pokemon Editor'!$A:$A,'Pokemon Editor'!$F:$F,0)+31+FLOOR(XLOOKUP($Q53,'Threshold Summary'!$Y:$Y,'Threshold Summary'!$P:$P,"")/4))*XLOOKUP($Q53,'Threshold Summary'!$Y:$Y,'Threshold Summary'!$L:$L,""))/100)+5)*XLOOKUP(XLOOKUP($Q53,'Threshold Summary'!$Y:$Y,'Threshold Summary'!$M:$M,""),'Nature Editor'!$A:$A,'Nature Editor'!$B:$B,1)),FLOOR((FLOOR(((2*XLOOKUP(XLOOKUP($Q53,'Threshold Summary'!$Y:$Y,'Threshold Summary'!$K:$K,""),'Pokemon Editor'!$A:$A,'Pokemon Editor'!$H:$H,0)+31+FLOOR(XLOOKUP($Q53,'Threshold Summary'!$Y:$Y,'Threshold Summary'!$R:$R,"")/4))*XLOOKUP($Q53,'Threshold Summary'!$Y:$Y,'Threshold Summary'!$L:$L,""))/100)+5)*XLOOKUP(XLOOKUP($Q53,'Threshold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Editor'!$E:$E,1))),stab,IF(OR(mtype=XLOOKUP(XLOOKUP($Q53,'Threshold Summary'!$Y:$Y,'Threshold Summary'!$K:$K,""),'Pokemon Editor'!$A:$A,'Pokemon Editor'!$C:$C,""),mtype=XLOOKUP(XLOOKUP($Q53,'Threshold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Chart'!$B$1:$S$1,0)))),base,IF(OR(cat="Status",pow=0),0,FLOOR(FLOOR(FLOOR((2*XLOOKUP($Q53,'Threshold Summary'!$Y:$Y,'Threshold Summary'!$L:$L,"")/5+2)*pow*atk/def)/50)+2)),modifier,stab*eff,FLOOR(base*modifier)),0)</f>
        <v/>
      </c>
      <c r="L53" s="3">
        <f>IFERROR(LET(mtype,XLOOKUP($D53,'Move Editor'!$B:$B,'Move Editor'!$C:$C,""),cat,XLOOKUP($D53,'Move Editor'!$B:$B,'Move Editor'!$D:$D,""),pow,XLOOKUP($D53,'Move Editor'!$B:$B,'Move Editor'!$E:$E,0),acc,XLOOKUP($D53,'Move Editor'!$B:$B,'Move Editor'!$F:$F,100),atk,IF(cat="Physical",FLOOR((FLOOR(((2*XLOOKUP(XLOOKUP($Q53,'Threshold Summary'!$Y:$Y,'Threshold Summary'!$K:$K,""),'Pokemon Editor'!$A:$A,'Pokemon Editor'!$F:$F,0)+31+FLOOR(XLOOKUP($Q53,'Threshold Summary'!$Y:$Y,'Threshold Summary'!$P:$P,"")/4))*XLOOKUP($Q53,'Threshold Summary'!$Y:$Y,'Threshold Summary'!$L:$L,""))/100)+5)*XLOOKUP(XLOOKUP($Q53,'Threshold Summary'!$Y:$Y,'Threshold Summary'!$M:$M,""),'Nature Editor'!$A:$A,'Nature Editor'!$B:$B,1)),FLOOR((FLOOR(((2*XLOOKUP(XLOOKUP($Q53,'Threshold Summary'!$Y:$Y,'Threshold Summary'!$K:$K,""),'Pokemon Editor'!$A:$A,'Pokemon Editor'!$H:$H,0)+31+FLOOR(XLOOKUP($Q53,'Threshold Summary'!$Y:$Y,'Threshold Summary'!$R:$R,"")/4))*XLOOKUP($Q53,'Threshold Summary'!$Y:$Y,'Threshold Summary'!$L:$L,""))/100)+5)*XLOOKUP(XLOOKUP($Q53,'Threshold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Editor'!$E:$E,1))),stab,IF(OR(mtype=XLOOKUP(XLOOKUP($Q53,'Threshold Summary'!$Y:$Y,'Threshold Summary'!$K:$K,""),'Pokemon Editor'!$A:$A,'Pokemon Editor'!$C:$C,""),mtype=XLOOKUP(XLOOKUP($Q53,'Threshold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Chart'!$B$1:$S$1,0)))),base,IF(OR(cat="Status",pow=0),0,FLOOR(FLOOR(FLOOR((2*XLOOKUP($Q53,'Threshold Summary'!$Y:$Y,'Threshold Summary'!$L:$L,"")/5+2)*pow*atk/def)/50)+2)),modifier,stab*eff,AVERAGE(ARRAYFORMULA(FLOOR(base*modifier*SEQUENCE(16,1,85,1)/100)))),0)</f>
        <v/>
      </c>
      <c r="M53" s="3">
        <f>IFERROR(LET(mtype,XLOOKUP($D53,'Move Editor'!$B:$B,'Move Editor'!$C:$C,""),cat,XLOOKUP($D53,'Move Editor'!$B:$B,'Move Editor'!$D:$D,""),pow,XLOOKUP($D53,'Move Editor'!$B:$B,'Move Editor'!$E:$E,0),acc,XLOOKUP($D53,'Move Editor'!$B:$B,'Move Editor'!$F:$F,100),atk,IF(cat="Physical",FLOOR((FLOOR(((2*XLOOKUP(XLOOKUP($Q53,'Threshold Summary'!$Y:$Y,'Threshold Summary'!$K:$K,""),'Pokemon Editor'!$A:$A,'Pokemon Editor'!$F:$F,0)+31+FLOOR(XLOOKUP($Q53,'Threshold Summary'!$Y:$Y,'Threshold Summary'!$P:$P,"")/4))*XLOOKUP($Q53,'Threshold Summary'!$Y:$Y,'Threshold Summary'!$L:$L,""))/100)+5)*XLOOKUP(XLOOKUP($Q53,'Threshold Summary'!$Y:$Y,'Threshold Summary'!$M:$M,""),'Nature Editor'!$A:$A,'Nature Editor'!$B:$B,1)),FLOOR((FLOOR(((2*XLOOKUP(XLOOKUP($Q53,'Threshold Summary'!$Y:$Y,'Threshold Summary'!$K:$K,""),'Pokemon Editor'!$A:$A,'Pokemon Editor'!$H:$H,0)+31+FLOOR(XLOOKUP($Q53,'Threshold Summary'!$Y:$Y,'Threshold Summary'!$R:$R,"")/4))*XLOOKUP($Q53,'Threshold Summary'!$Y:$Y,'Threshold Summary'!$L:$L,""))/100)+5)*XLOOKUP(XLOOKUP($Q53,'Threshold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Editor'!$E:$E,1))),stab,IF(OR(mtype=XLOOKUP(XLOOKUP($Q53,'Threshold Summary'!$Y:$Y,'Threshold Summary'!$K:$K,""),'Pokemon Editor'!$A:$A,'Pokemon Editor'!$C:$C,""),mtype=XLOOKUP(XLOOKUP($Q53,'Threshold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Chart'!$B$1:$S$1,0)))),base,IF(OR(cat="Status",pow=0),0,FLOOR(FLOOR(FLOOR((2*XLOOKUP($Q53,'Threshold Summary'!$Y:$Y,'Threshold Summary'!$L:$L,"")/5+2)*pow*atk/def)/50)+2)),modifier,stab*eff,AVERAGE(ARRAYFORMULA(FLOOR(base*modifier*SEQUENCE(16,1,85,1)/100)))*MIN(1,acc/100)),0)</f>
        <v/>
      </c>
      <c r="N53" s="4">
        <f>IFERROR(LET(mtype,XLOOKUP($D53,'Move Editor'!$B:$B,'Move Editor'!$C:$C,""),cat,XLOOKUP($D53,'Move Editor'!$B:$B,'Move Editor'!$D:$D,""),pow,XLOOKUP($D53,'Move Editor'!$B:$B,'Move Editor'!$E:$E,0),acc,XLOOKUP($D53,'Move Editor'!$B:$B,'Move Editor'!$F:$F,100),atk,IF(cat="Physical",FLOOR((FLOOR(((2*XLOOKUP(XLOOKUP($Q53,'Threshold Summary'!$Y:$Y,'Threshold Summary'!$K:$K,""),'Pokemon Editor'!$A:$A,'Pokemon Editor'!$F:$F,0)+31+FLOOR(XLOOKUP($Q53,'Threshold Summary'!$Y:$Y,'Threshold Summary'!$P:$P,"")/4))*XLOOKUP($Q53,'Threshold Summary'!$Y:$Y,'Threshold Summary'!$L:$L,""))/100)+5)*XLOOKUP(XLOOKUP($Q53,'Threshold Summary'!$Y:$Y,'Threshold Summary'!$M:$M,""),'Nature Editor'!$A:$A,'Nature Editor'!$B:$B,1)),FLOOR((FLOOR(((2*XLOOKUP(XLOOKUP($Q53,'Threshold Summary'!$Y:$Y,'Threshold Summary'!$K:$K,""),'Pokemon Editor'!$A:$A,'Pokemon Editor'!$H:$H,0)+31+FLOOR(XLOOKUP($Q53,'Threshold Summary'!$Y:$Y,'Threshold Summary'!$R:$R,"")/4))*XLOOKUP($Q53,'Threshold Summary'!$Y:$Y,'Threshold Summary'!$L:$L,""))/100)+5)*XLOOKUP(XLOOKUP($Q53,'Threshold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Editor'!$E:$E,1))),stab,IF(OR(mtype=XLOOKUP(XLOOKUP($Q53,'Threshold Summary'!$Y:$Y,'Threshold Summary'!$K:$K,""),'Pokemon Editor'!$A:$A,'Pokemon Editor'!$C:$C,""),mtype=XLOOKUP(XLOOKUP($Q53,'Threshold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Chart'!$B$1:$S$1,0)))),base,IF(OR(cat="Status",pow=0),0,FLOOR(FLOOR(FLOOR((2*XLOOKUP($Q53,'Threshold Summary'!$Y:$Y,'Threshold Summary'!$L:$L,"")/5+2)*pow*atk/def)/50)+2)),modifier,stab*eff,AVERAGE(ARRAYFORMULA(FLOOR(base*modifier*SEQUENCE(16,1,85,1)/100)))/(FLOOR(((2*XLOOKUP('Boss Editor'!$C$4,'Pokemon Editor'!$A:$A,'Pokemon Editor'!$E:$E,0)+31+FLOOR('Boss Editor'!$G$4/4))*'Boss Editor'!$D$4)/100)+'Boss Editor'!$D$4+10)),0)</f>
        <v/>
      </c>
      <c r="O53" s="3">
        <f>IF(N53&gt;=1,"OHKO",IF(N53&gt;=0.5,"2HKO",IF(N53&gt;=0.333,"3HKO",IF(N53&gt;=0.25,"4HKO","5HKO+"))))</f>
        <v/>
      </c>
      <c r="P53" s="3" t="inlineStr">
        <is>
          <t>Live from editable databases</t>
        </is>
      </c>
      <c r="Q53" s="3" t="inlineStr">
        <is>
          <t>SPECIES_SENTRET</t>
        </is>
      </c>
      <c r="R53" s="3" t="n">
        <v>20</v>
      </c>
    </row>
    <row r="54">
      <c r="A54" s="3">
        <f>XLOOKUP($Q54,'Threshold Summary'!$Y:$Y,'Threshold Summary'!$A:$A,"")</f>
        <v/>
      </c>
      <c r="B54" s="3">
        <f>XLOOKUP($Q54,'Threshold Summary'!$Y:$Y,'Threshold Summary'!$M:$M,"")</f>
        <v/>
      </c>
      <c r="C54" s="3">
        <f>XLOOKUP($Q54,'Threshold Summary'!$Y:$Y,'Threshold Summary'!$N:$N,"")</f>
        <v/>
      </c>
      <c r="D54" s="3">
        <f>IFERROR(INDEX(FILTER('Learnset Editor'!$D$2:$D,'Learnset Editor'!$A$2:$A=XLOOKUP($Q54,'Threshold Summary'!$Y:$Y,'Threshold Summary'!$K:$K,""),'Learnset Editor'!$C$2:$C&lt;=XLOOKUP($Q54,'Threshold Summary'!$Y:$Y,'Threshold Summary'!$L:$L,"")),$R54),"")</f>
        <v/>
      </c>
      <c r="E54" s="3">
        <f>XLOOKUP(D54,'Move Editor'!$B:$B,'Move Editor'!$C:$C,"")</f>
        <v/>
      </c>
      <c r="F54" s="3">
        <f>XLOOKUP(D54,'Move Editor'!$B:$B,'Move Editor'!$D:$D,"")</f>
        <v/>
      </c>
      <c r="G54" s="3">
        <f>XLOOKUP(D54,'Move Editor'!$B:$B,'Move Editor'!$E:$E,0)</f>
        <v/>
      </c>
      <c r="H54" s="3">
        <f>XLOOKUP(D54,'Move Editor'!$B:$B,'Move Editor'!$F:$F,0)</f>
        <v/>
      </c>
      <c r="I54" s="3">
        <f>(INDEX('Type Chart'!$B:$S,MATCH(E54,'Type Chart'!$A:$A,0),MATCH(XLOOKUP('Boss Editor'!$C$4,'Pokemon Editor'!$A:$A,'Pokemon Editor'!$C:$C,""),'Type Chart'!$B$1:$S$1,0))*IF(XLOOKUP('Boss Editor'!$C$4,'Pokemon Editor'!$A:$A,'Pokemon Editor'!$D:$D,"")="",1,INDEX('Type Chart'!$B:$S,MATCH(E54,'Type Chart'!$A:$A,0),MATCH(XLOOKUP('Boss Editor'!$C$4,'Pokemon Editor'!$A:$A,'Pokemon Editor'!$D:$D,""),'Type Chart'!$B$1:$S$1,0))))</f>
        <v/>
      </c>
      <c r="J54" s="3">
        <f>IFERROR(LET(mtype,XLOOKUP($D54,'Move Editor'!$B:$B,'Move Editor'!$C:$C,""),cat,XLOOKUP($D54,'Move Editor'!$B:$B,'Move Editor'!$D:$D,""),pow,XLOOKUP($D54,'Move Editor'!$B:$B,'Move Editor'!$E:$E,0),acc,XLOOKUP($D54,'Move Editor'!$B:$B,'Move Editor'!$F:$F,100),atk,IF(cat="Physical",FLOOR((FLOOR(((2*XLOOKUP(XLOOKUP($Q54,'Threshold Summary'!$Y:$Y,'Threshold Summary'!$K:$K,""),'Pokemon Editor'!$A:$A,'Pokemon Editor'!$F:$F,0)+31+FLOOR(XLOOKUP($Q54,'Threshold Summary'!$Y:$Y,'Threshold Summary'!$P:$P,"")/4))*XLOOKUP($Q54,'Threshold Summary'!$Y:$Y,'Threshold Summary'!$L:$L,""))/100)+5)*XLOOKUP(XLOOKUP($Q54,'Threshold Summary'!$Y:$Y,'Threshold Summary'!$M:$M,""),'Nature Editor'!$A:$A,'Nature Editor'!$B:$B,1)),FLOOR((FLOOR(((2*XLOOKUP(XLOOKUP($Q54,'Threshold Summary'!$Y:$Y,'Threshold Summary'!$K:$K,""),'Pokemon Editor'!$A:$A,'Pokemon Editor'!$H:$H,0)+31+FLOOR(XLOOKUP($Q54,'Threshold Summary'!$Y:$Y,'Threshold Summary'!$R:$R,"")/4))*XLOOKUP($Q54,'Threshold Summary'!$Y:$Y,'Threshold Summary'!$L:$L,""))/100)+5)*XLOOKUP(XLOOKUP($Q54,'Threshold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Editor'!$E:$E,1))),stab,IF(OR(mtype=XLOOKUP(XLOOKUP($Q54,'Threshold Summary'!$Y:$Y,'Threshold Summary'!$K:$K,""),'Pokemon Editor'!$A:$A,'Pokemon Editor'!$C:$C,""),mtype=XLOOKUP(XLOOKUP($Q54,'Threshold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Chart'!$B$1:$S$1,0)))),base,IF(OR(cat="Status",pow=0),0,FLOOR(FLOOR(FLOOR((2*XLOOKUP($Q54,'Threshold Summary'!$Y:$Y,'Threshold Summary'!$L:$L,"")/5+2)*pow*atk/def)/50)+2)),modifier,stab*eff,FLOOR(base*modifier*0.85)),0)</f>
        <v/>
      </c>
      <c r="K54" s="3">
        <f>IFERROR(LET(mtype,XLOOKUP($D54,'Move Editor'!$B:$B,'Move Editor'!$C:$C,""),cat,XLOOKUP($D54,'Move Editor'!$B:$B,'Move Editor'!$D:$D,""),pow,XLOOKUP($D54,'Move Editor'!$B:$B,'Move Editor'!$E:$E,0),acc,XLOOKUP($D54,'Move Editor'!$B:$B,'Move Editor'!$F:$F,100),atk,IF(cat="Physical",FLOOR((FLOOR(((2*XLOOKUP(XLOOKUP($Q54,'Threshold Summary'!$Y:$Y,'Threshold Summary'!$K:$K,""),'Pokemon Editor'!$A:$A,'Pokemon Editor'!$F:$F,0)+31+FLOOR(XLOOKUP($Q54,'Threshold Summary'!$Y:$Y,'Threshold Summary'!$P:$P,"")/4))*XLOOKUP($Q54,'Threshold Summary'!$Y:$Y,'Threshold Summary'!$L:$L,""))/100)+5)*XLOOKUP(XLOOKUP($Q54,'Threshold Summary'!$Y:$Y,'Threshold Summary'!$M:$M,""),'Nature Editor'!$A:$A,'Nature Editor'!$B:$B,1)),FLOOR((FLOOR(((2*XLOOKUP(XLOOKUP($Q54,'Threshold Summary'!$Y:$Y,'Threshold Summary'!$K:$K,""),'Pokemon Editor'!$A:$A,'Pokemon Editor'!$H:$H,0)+31+FLOOR(XLOOKUP($Q54,'Threshold Summary'!$Y:$Y,'Threshold Summary'!$R:$R,"")/4))*XLOOKUP($Q54,'Threshold Summary'!$Y:$Y,'Threshold Summary'!$L:$L,""))/100)+5)*XLOOKUP(XLOOKUP($Q54,'Threshold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Editor'!$E:$E,1))),stab,IF(OR(mtype=XLOOKUP(XLOOKUP($Q54,'Threshold Summary'!$Y:$Y,'Threshold Summary'!$K:$K,""),'Pokemon Editor'!$A:$A,'Pokemon Editor'!$C:$C,""),mtype=XLOOKUP(XLOOKUP($Q54,'Threshold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Chart'!$B$1:$S$1,0)))),base,IF(OR(cat="Status",pow=0),0,FLOOR(FLOOR(FLOOR((2*XLOOKUP($Q54,'Threshold Summary'!$Y:$Y,'Threshold Summary'!$L:$L,"")/5+2)*pow*atk/def)/50)+2)),modifier,stab*eff,FLOOR(base*modifier)),0)</f>
        <v/>
      </c>
      <c r="L54" s="3">
        <f>IFERROR(LET(mtype,XLOOKUP($D54,'Move Editor'!$B:$B,'Move Editor'!$C:$C,""),cat,XLOOKUP($D54,'Move Editor'!$B:$B,'Move Editor'!$D:$D,""),pow,XLOOKUP($D54,'Move Editor'!$B:$B,'Move Editor'!$E:$E,0),acc,XLOOKUP($D54,'Move Editor'!$B:$B,'Move Editor'!$F:$F,100),atk,IF(cat="Physical",FLOOR((FLOOR(((2*XLOOKUP(XLOOKUP($Q54,'Threshold Summary'!$Y:$Y,'Threshold Summary'!$K:$K,""),'Pokemon Editor'!$A:$A,'Pokemon Editor'!$F:$F,0)+31+FLOOR(XLOOKUP($Q54,'Threshold Summary'!$Y:$Y,'Threshold Summary'!$P:$P,"")/4))*XLOOKUP($Q54,'Threshold Summary'!$Y:$Y,'Threshold Summary'!$L:$L,""))/100)+5)*XLOOKUP(XLOOKUP($Q54,'Threshold Summary'!$Y:$Y,'Threshold Summary'!$M:$M,""),'Nature Editor'!$A:$A,'Nature Editor'!$B:$B,1)),FLOOR((FLOOR(((2*XLOOKUP(XLOOKUP($Q54,'Threshold Summary'!$Y:$Y,'Threshold Summary'!$K:$K,""),'Pokemon Editor'!$A:$A,'Pokemon Editor'!$H:$H,0)+31+FLOOR(XLOOKUP($Q54,'Threshold Summary'!$Y:$Y,'Threshold Summary'!$R:$R,"")/4))*XLOOKUP($Q54,'Threshold Summary'!$Y:$Y,'Threshold Summary'!$L:$L,""))/100)+5)*XLOOKUP(XLOOKUP($Q54,'Threshold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Editor'!$E:$E,1))),stab,IF(OR(mtype=XLOOKUP(XLOOKUP($Q54,'Threshold Summary'!$Y:$Y,'Threshold Summary'!$K:$K,""),'Pokemon Editor'!$A:$A,'Pokemon Editor'!$C:$C,""),mtype=XLOOKUP(XLOOKUP($Q54,'Threshold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Chart'!$B$1:$S$1,0)))),base,IF(OR(cat="Status",pow=0),0,FLOOR(FLOOR(FLOOR((2*XLOOKUP($Q54,'Threshold Summary'!$Y:$Y,'Threshold Summary'!$L:$L,"")/5+2)*pow*atk/def)/50)+2)),modifier,stab*eff,AVERAGE(ARRAYFORMULA(FLOOR(base*modifier*SEQUENCE(16,1,85,1)/100)))),0)</f>
        <v/>
      </c>
      <c r="M54" s="3">
        <f>IFERROR(LET(mtype,XLOOKUP($D54,'Move Editor'!$B:$B,'Move Editor'!$C:$C,""),cat,XLOOKUP($D54,'Move Editor'!$B:$B,'Move Editor'!$D:$D,""),pow,XLOOKUP($D54,'Move Editor'!$B:$B,'Move Editor'!$E:$E,0),acc,XLOOKUP($D54,'Move Editor'!$B:$B,'Move Editor'!$F:$F,100),atk,IF(cat="Physical",FLOOR((FLOOR(((2*XLOOKUP(XLOOKUP($Q54,'Threshold Summary'!$Y:$Y,'Threshold Summary'!$K:$K,""),'Pokemon Editor'!$A:$A,'Pokemon Editor'!$F:$F,0)+31+FLOOR(XLOOKUP($Q54,'Threshold Summary'!$Y:$Y,'Threshold Summary'!$P:$P,"")/4))*XLOOKUP($Q54,'Threshold Summary'!$Y:$Y,'Threshold Summary'!$L:$L,""))/100)+5)*XLOOKUP(XLOOKUP($Q54,'Threshold Summary'!$Y:$Y,'Threshold Summary'!$M:$M,""),'Nature Editor'!$A:$A,'Nature Editor'!$B:$B,1)),FLOOR((FLOOR(((2*XLOOKUP(XLOOKUP($Q54,'Threshold Summary'!$Y:$Y,'Threshold Summary'!$K:$K,""),'Pokemon Editor'!$A:$A,'Pokemon Editor'!$H:$H,0)+31+FLOOR(XLOOKUP($Q54,'Threshold Summary'!$Y:$Y,'Threshold Summary'!$R:$R,"")/4))*XLOOKUP($Q54,'Threshold Summary'!$Y:$Y,'Threshold Summary'!$L:$L,""))/100)+5)*XLOOKUP(XLOOKUP($Q54,'Threshold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Editor'!$E:$E,1))),stab,IF(OR(mtype=XLOOKUP(XLOOKUP($Q54,'Threshold Summary'!$Y:$Y,'Threshold Summary'!$K:$K,""),'Pokemon Editor'!$A:$A,'Pokemon Editor'!$C:$C,""),mtype=XLOOKUP(XLOOKUP($Q54,'Threshold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Chart'!$B$1:$S$1,0)))),base,IF(OR(cat="Status",pow=0),0,FLOOR(FLOOR(FLOOR((2*XLOOKUP($Q54,'Threshold Summary'!$Y:$Y,'Threshold Summary'!$L:$L,"")/5+2)*pow*atk/def)/50)+2)),modifier,stab*eff,AVERAGE(ARRAYFORMULA(FLOOR(base*modifier*SEQUENCE(16,1,85,1)/100)))*MIN(1,acc/100)),0)</f>
        <v/>
      </c>
      <c r="N54" s="4">
        <f>IFERROR(LET(mtype,XLOOKUP($D54,'Move Editor'!$B:$B,'Move Editor'!$C:$C,""),cat,XLOOKUP($D54,'Move Editor'!$B:$B,'Move Editor'!$D:$D,""),pow,XLOOKUP($D54,'Move Editor'!$B:$B,'Move Editor'!$E:$E,0),acc,XLOOKUP($D54,'Move Editor'!$B:$B,'Move Editor'!$F:$F,100),atk,IF(cat="Physical",FLOOR((FLOOR(((2*XLOOKUP(XLOOKUP($Q54,'Threshold Summary'!$Y:$Y,'Threshold Summary'!$K:$K,""),'Pokemon Editor'!$A:$A,'Pokemon Editor'!$F:$F,0)+31+FLOOR(XLOOKUP($Q54,'Threshold Summary'!$Y:$Y,'Threshold Summary'!$P:$P,"")/4))*XLOOKUP($Q54,'Threshold Summary'!$Y:$Y,'Threshold Summary'!$L:$L,""))/100)+5)*XLOOKUP(XLOOKUP($Q54,'Threshold Summary'!$Y:$Y,'Threshold Summary'!$M:$M,""),'Nature Editor'!$A:$A,'Nature Editor'!$B:$B,1)),FLOOR((FLOOR(((2*XLOOKUP(XLOOKUP($Q54,'Threshold Summary'!$Y:$Y,'Threshold Summary'!$K:$K,""),'Pokemon Editor'!$A:$A,'Pokemon Editor'!$H:$H,0)+31+FLOOR(XLOOKUP($Q54,'Threshold Summary'!$Y:$Y,'Threshold Summary'!$R:$R,"")/4))*XLOOKUP($Q54,'Threshold Summary'!$Y:$Y,'Threshold Summary'!$L:$L,""))/100)+5)*XLOOKUP(XLOOKUP($Q54,'Threshold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Editor'!$E:$E,1))),stab,IF(OR(mtype=XLOOKUP(XLOOKUP($Q54,'Threshold Summary'!$Y:$Y,'Threshold Summary'!$K:$K,""),'Pokemon Editor'!$A:$A,'Pokemon Editor'!$C:$C,""),mtype=XLOOKUP(XLOOKUP($Q54,'Threshold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Chart'!$B$1:$S$1,0)))),base,IF(OR(cat="Status",pow=0),0,FLOOR(FLOOR(FLOOR((2*XLOOKUP($Q54,'Threshold Summary'!$Y:$Y,'Threshold Summary'!$L:$L,"")/5+2)*pow*atk/def)/50)+2)),modifier,stab*eff,AVERAGE(ARRAYFORMULA(FLOOR(base*modifier*SEQUENCE(16,1,85,1)/100)))/(FLOOR(((2*XLOOKUP('Boss Editor'!$C$4,'Pokemon Editor'!$A:$A,'Pokemon Editor'!$E:$E,0)+31+FLOOR('Boss Editor'!$G$4/4))*'Boss Editor'!$D$4)/100)+'Boss Editor'!$D$4+10)),0)</f>
        <v/>
      </c>
      <c r="O54" s="3">
        <f>IF(N54&gt;=1,"OHKO",IF(N54&gt;=0.5,"2HKO",IF(N54&gt;=0.333,"3HKO",IF(N54&gt;=0.25,"4HKO","5HKO+"))))</f>
        <v/>
      </c>
      <c r="P54" s="3" t="inlineStr">
        <is>
          <t>Live from editable databases</t>
        </is>
      </c>
      <c r="Q54" s="3" t="inlineStr">
        <is>
          <t>SPECIES_SENTRET</t>
        </is>
      </c>
      <c r="R54" s="3" t="n">
        <v>21</v>
      </c>
    </row>
    <row r="55">
      <c r="A55" s="3">
        <f>XLOOKUP($Q55,'Threshold Summary'!$Y:$Y,'Threshold Summary'!$A:$A,"")</f>
        <v/>
      </c>
      <c r="B55" s="3">
        <f>XLOOKUP($Q55,'Threshold Summary'!$Y:$Y,'Threshold Summary'!$M:$M,"")</f>
        <v/>
      </c>
      <c r="C55" s="3">
        <f>XLOOKUP($Q55,'Threshold Summary'!$Y:$Y,'Threshold Summary'!$N:$N,"")</f>
        <v/>
      </c>
      <c r="D55" s="3">
        <f>IFERROR(INDEX(FILTER('Learnset Editor'!$D$2:$D,'Learnset Editor'!$A$2:$A=XLOOKUP($Q55,'Threshold Summary'!$Y:$Y,'Threshold Summary'!$K:$K,""),'Learnset Editor'!$C$2:$C&lt;=XLOOKUP($Q55,'Threshold Summary'!$Y:$Y,'Threshold Summary'!$L:$L,"")),$R55),"")</f>
        <v/>
      </c>
      <c r="E55" s="3">
        <f>XLOOKUP(D55,'Move Editor'!$B:$B,'Move Editor'!$C:$C,"")</f>
        <v/>
      </c>
      <c r="F55" s="3">
        <f>XLOOKUP(D55,'Move Editor'!$B:$B,'Move Editor'!$D:$D,"")</f>
        <v/>
      </c>
      <c r="G55" s="3">
        <f>XLOOKUP(D55,'Move Editor'!$B:$B,'Move Editor'!$E:$E,0)</f>
        <v/>
      </c>
      <c r="H55" s="3">
        <f>XLOOKUP(D55,'Move Editor'!$B:$B,'Move Editor'!$F:$F,0)</f>
        <v/>
      </c>
      <c r="I55" s="3">
        <f>(INDEX('Type Chart'!$B:$S,MATCH(E55,'Type Chart'!$A:$A,0),MATCH(XLOOKUP('Boss Editor'!$C$4,'Pokemon Editor'!$A:$A,'Pokemon Editor'!$C:$C,""),'Type Chart'!$B$1:$S$1,0))*IF(XLOOKUP('Boss Editor'!$C$4,'Pokemon Editor'!$A:$A,'Pokemon Editor'!$D:$D,"")="",1,INDEX('Type Chart'!$B:$S,MATCH(E55,'Type Chart'!$A:$A,0),MATCH(XLOOKUP('Boss Editor'!$C$4,'Pokemon Editor'!$A:$A,'Pokemon Editor'!$D:$D,""),'Type Chart'!$B$1:$S$1,0))))</f>
        <v/>
      </c>
      <c r="J55" s="3">
        <f>IFERROR(LET(mtype,XLOOKUP($D55,'Move Editor'!$B:$B,'Move Editor'!$C:$C,""),cat,XLOOKUP($D55,'Move Editor'!$B:$B,'Move Editor'!$D:$D,""),pow,XLOOKUP($D55,'Move Editor'!$B:$B,'Move Editor'!$E:$E,0),acc,XLOOKUP($D55,'Move Editor'!$B:$B,'Move Editor'!$F:$F,100),atk,IF(cat="Physical",FLOOR((FLOOR(((2*XLOOKUP(XLOOKUP($Q55,'Threshold Summary'!$Y:$Y,'Threshold Summary'!$K:$K,""),'Pokemon Editor'!$A:$A,'Pokemon Editor'!$F:$F,0)+31+FLOOR(XLOOKUP($Q55,'Threshold Summary'!$Y:$Y,'Threshold Summary'!$P:$P,"")/4))*XLOOKUP($Q55,'Threshold Summary'!$Y:$Y,'Threshold Summary'!$L:$L,""))/100)+5)*XLOOKUP(XLOOKUP($Q55,'Threshold Summary'!$Y:$Y,'Threshold Summary'!$M:$M,""),'Nature Editor'!$A:$A,'Nature Editor'!$B:$B,1)),FLOOR((FLOOR(((2*XLOOKUP(XLOOKUP($Q55,'Threshold Summary'!$Y:$Y,'Threshold Summary'!$K:$K,""),'Pokemon Editor'!$A:$A,'Pokemon Editor'!$H:$H,0)+31+FLOOR(XLOOKUP($Q55,'Threshold Summary'!$Y:$Y,'Threshold Summary'!$R:$R,"")/4))*XLOOKUP($Q55,'Threshold Summary'!$Y:$Y,'Threshold Summary'!$L:$L,""))/100)+5)*XLOOKUP(XLOOKUP($Q55,'Threshold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Editor'!$E:$E,1))),stab,IF(OR(mtype=XLOOKUP(XLOOKUP($Q55,'Threshold Summary'!$Y:$Y,'Threshold Summary'!$K:$K,""),'Pokemon Editor'!$A:$A,'Pokemon Editor'!$C:$C,""),mtype=XLOOKUP(XLOOKUP($Q55,'Threshold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Chart'!$B$1:$S$1,0)))),base,IF(OR(cat="Status",pow=0),0,FLOOR(FLOOR(FLOOR((2*XLOOKUP($Q55,'Threshold Summary'!$Y:$Y,'Threshold Summary'!$L:$L,"")/5+2)*pow*atk/def)/50)+2)),modifier,stab*eff,FLOOR(base*modifier*0.85)),0)</f>
        <v/>
      </c>
      <c r="K55" s="3">
        <f>IFERROR(LET(mtype,XLOOKUP($D55,'Move Editor'!$B:$B,'Move Editor'!$C:$C,""),cat,XLOOKUP($D55,'Move Editor'!$B:$B,'Move Editor'!$D:$D,""),pow,XLOOKUP($D55,'Move Editor'!$B:$B,'Move Editor'!$E:$E,0),acc,XLOOKUP($D55,'Move Editor'!$B:$B,'Move Editor'!$F:$F,100),atk,IF(cat="Physical",FLOOR((FLOOR(((2*XLOOKUP(XLOOKUP($Q55,'Threshold Summary'!$Y:$Y,'Threshold Summary'!$K:$K,""),'Pokemon Editor'!$A:$A,'Pokemon Editor'!$F:$F,0)+31+FLOOR(XLOOKUP($Q55,'Threshold Summary'!$Y:$Y,'Threshold Summary'!$P:$P,"")/4))*XLOOKUP($Q55,'Threshold Summary'!$Y:$Y,'Threshold Summary'!$L:$L,""))/100)+5)*XLOOKUP(XLOOKUP($Q55,'Threshold Summary'!$Y:$Y,'Threshold Summary'!$M:$M,""),'Nature Editor'!$A:$A,'Nature Editor'!$B:$B,1)),FLOOR((FLOOR(((2*XLOOKUP(XLOOKUP($Q55,'Threshold Summary'!$Y:$Y,'Threshold Summary'!$K:$K,""),'Pokemon Editor'!$A:$A,'Pokemon Editor'!$H:$H,0)+31+FLOOR(XLOOKUP($Q55,'Threshold Summary'!$Y:$Y,'Threshold Summary'!$R:$R,"")/4))*XLOOKUP($Q55,'Threshold Summary'!$Y:$Y,'Threshold Summary'!$L:$L,""))/100)+5)*XLOOKUP(XLOOKUP($Q55,'Threshold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Editor'!$E:$E,1))),stab,IF(OR(mtype=XLOOKUP(XLOOKUP($Q55,'Threshold Summary'!$Y:$Y,'Threshold Summary'!$K:$K,""),'Pokemon Editor'!$A:$A,'Pokemon Editor'!$C:$C,""),mtype=XLOOKUP(XLOOKUP($Q55,'Threshold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Chart'!$B$1:$S$1,0)))),base,IF(OR(cat="Status",pow=0),0,FLOOR(FLOOR(FLOOR((2*XLOOKUP($Q55,'Threshold Summary'!$Y:$Y,'Threshold Summary'!$L:$L,"")/5+2)*pow*atk/def)/50)+2)),modifier,stab*eff,FLOOR(base*modifier)),0)</f>
        <v/>
      </c>
      <c r="L55" s="3">
        <f>IFERROR(LET(mtype,XLOOKUP($D55,'Move Editor'!$B:$B,'Move Editor'!$C:$C,""),cat,XLOOKUP($D55,'Move Editor'!$B:$B,'Move Editor'!$D:$D,""),pow,XLOOKUP($D55,'Move Editor'!$B:$B,'Move Editor'!$E:$E,0),acc,XLOOKUP($D55,'Move Editor'!$B:$B,'Move Editor'!$F:$F,100),atk,IF(cat="Physical",FLOOR((FLOOR(((2*XLOOKUP(XLOOKUP($Q55,'Threshold Summary'!$Y:$Y,'Threshold Summary'!$K:$K,""),'Pokemon Editor'!$A:$A,'Pokemon Editor'!$F:$F,0)+31+FLOOR(XLOOKUP($Q55,'Threshold Summary'!$Y:$Y,'Threshold Summary'!$P:$P,"")/4))*XLOOKUP($Q55,'Threshold Summary'!$Y:$Y,'Threshold Summary'!$L:$L,""))/100)+5)*XLOOKUP(XLOOKUP($Q55,'Threshold Summary'!$Y:$Y,'Threshold Summary'!$M:$M,""),'Nature Editor'!$A:$A,'Nature Editor'!$B:$B,1)),FLOOR((FLOOR(((2*XLOOKUP(XLOOKUP($Q55,'Threshold Summary'!$Y:$Y,'Threshold Summary'!$K:$K,""),'Pokemon Editor'!$A:$A,'Pokemon Editor'!$H:$H,0)+31+FLOOR(XLOOKUP($Q55,'Threshold Summary'!$Y:$Y,'Threshold Summary'!$R:$R,"")/4))*XLOOKUP($Q55,'Threshold Summary'!$Y:$Y,'Threshold Summary'!$L:$L,""))/100)+5)*XLOOKUP(XLOOKUP($Q55,'Threshold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Editor'!$E:$E,1))),stab,IF(OR(mtype=XLOOKUP(XLOOKUP($Q55,'Threshold Summary'!$Y:$Y,'Threshold Summary'!$K:$K,""),'Pokemon Editor'!$A:$A,'Pokemon Editor'!$C:$C,""),mtype=XLOOKUP(XLOOKUP($Q55,'Threshold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Chart'!$B$1:$S$1,0)))),base,IF(OR(cat="Status",pow=0),0,FLOOR(FLOOR(FLOOR((2*XLOOKUP($Q55,'Threshold Summary'!$Y:$Y,'Threshold Summary'!$L:$L,"")/5+2)*pow*atk/def)/50)+2)),modifier,stab*eff,AVERAGE(ARRAYFORMULA(FLOOR(base*modifier*SEQUENCE(16,1,85,1)/100)))),0)</f>
        <v/>
      </c>
      <c r="M55" s="3">
        <f>IFERROR(LET(mtype,XLOOKUP($D55,'Move Editor'!$B:$B,'Move Editor'!$C:$C,""),cat,XLOOKUP($D55,'Move Editor'!$B:$B,'Move Editor'!$D:$D,""),pow,XLOOKUP($D55,'Move Editor'!$B:$B,'Move Editor'!$E:$E,0),acc,XLOOKUP($D55,'Move Editor'!$B:$B,'Move Editor'!$F:$F,100),atk,IF(cat="Physical",FLOOR((FLOOR(((2*XLOOKUP(XLOOKUP($Q55,'Threshold Summary'!$Y:$Y,'Threshold Summary'!$K:$K,""),'Pokemon Editor'!$A:$A,'Pokemon Editor'!$F:$F,0)+31+FLOOR(XLOOKUP($Q55,'Threshold Summary'!$Y:$Y,'Threshold Summary'!$P:$P,"")/4))*XLOOKUP($Q55,'Threshold Summary'!$Y:$Y,'Threshold Summary'!$L:$L,""))/100)+5)*XLOOKUP(XLOOKUP($Q55,'Threshold Summary'!$Y:$Y,'Threshold Summary'!$M:$M,""),'Nature Editor'!$A:$A,'Nature Editor'!$B:$B,1)),FLOOR((FLOOR(((2*XLOOKUP(XLOOKUP($Q55,'Threshold Summary'!$Y:$Y,'Threshold Summary'!$K:$K,""),'Pokemon Editor'!$A:$A,'Pokemon Editor'!$H:$H,0)+31+FLOOR(XLOOKUP($Q55,'Threshold Summary'!$Y:$Y,'Threshold Summary'!$R:$R,"")/4))*XLOOKUP($Q55,'Threshold Summary'!$Y:$Y,'Threshold Summary'!$L:$L,""))/100)+5)*XLOOKUP(XLOOKUP($Q55,'Threshold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Editor'!$E:$E,1))),stab,IF(OR(mtype=XLOOKUP(XLOOKUP($Q55,'Threshold Summary'!$Y:$Y,'Threshold Summary'!$K:$K,""),'Pokemon Editor'!$A:$A,'Pokemon Editor'!$C:$C,""),mtype=XLOOKUP(XLOOKUP($Q55,'Threshold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Chart'!$B$1:$S$1,0)))),base,IF(OR(cat="Status",pow=0),0,FLOOR(FLOOR(FLOOR((2*XLOOKUP($Q55,'Threshold Summary'!$Y:$Y,'Threshold Summary'!$L:$L,"")/5+2)*pow*atk/def)/50)+2)),modifier,stab*eff,AVERAGE(ARRAYFORMULA(FLOOR(base*modifier*SEQUENCE(16,1,85,1)/100)))*MIN(1,acc/100)),0)</f>
        <v/>
      </c>
      <c r="N55" s="4">
        <f>IFERROR(LET(mtype,XLOOKUP($D55,'Move Editor'!$B:$B,'Move Editor'!$C:$C,""),cat,XLOOKUP($D55,'Move Editor'!$B:$B,'Move Editor'!$D:$D,""),pow,XLOOKUP($D55,'Move Editor'!$B:$B,'Move Editor'!$E:$E,0),acc,XLOOKUP($D55,'Move Editor'!$B:$B,'Move Editor'!$F:$F,100),atk,IF(cat="Physical",FLOOR((FLOOR(((2*XLOOKUP(XLOOKUP($Q55,'Threshold Summary'!$Y:$Y,'Threshold Summary'!$K:$K,""),'Pokemon Editor'!$A:$A,'Pokemon Editor'!$F:$F,0)+31+FLOOR(XLOOKUP($Q55,'Threshold Summary'!$Y:$Y,'Threshold Summary'!$P:$P,"")/4))*XLOOKUP($Q55,'Threshold Summary'!$Y:$Y,'Threshold Summary'!$L:$L,""))/100)+5)*XLOOKUP(XLOOKUP($Q55,'Threshold Summary'!$Y:$Y,'Threshold Summary'!$M:$M,""),'Nature Editor'!$A:$A,'Nature Editor'!$B:$B,1)),FLOOR((FLOOR(((2*XLOOKUP(XLOOKUP($Q55,'Threshold Summary'!$Y:$Y,'Threshold Summary'!$K:$K,""),'Pokemon Editor'!$A:$A,'Pokemon Editor'!$H:$H,0)+31+FLOOR(XLOOKUP($Q55,'Threshold Summary'!$Y:$Y,'Threshold Summary'!$R:$R,"")/4))*XLOOKUP($Q55,'Threshold Summary'!$Y:$Y,'Threshold Summary'!$L:$L,""))/100)+5)*XLOOKUP(XLOOKUP($Q55,'Threshold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Editor'!$E:$E,1))),stab,IF(OR(mtype=XLOOKUP(XLOOKUP($Q55,'Threshold Summary'!$Y:$Y,'Threshold Summary'!$K:$K,""),'Pokemon Editor'!$A:$A,'Pokemon Editor'!$C:$C,""),mtype=XLOOKUP(XLOOKUP($Q55,'Threshold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Chart'!$B$1:$S$1,0)))),base,IF(OR(cat="Status",pow=0),0,FLOOR(FLOOR(FLOOR((2*XLOOKUP($Q55,'Threshold Summary'!$Y:$Y,'Threshold Summary'!$L:$L,"")/5+2)*pow*atk/def)/50)+2)),modifier,stab*eff,AVERAGE(ARRAYFORMULA(FLOOR(base*modifier*SEQUENCE(16,1,85,1)/100)))/(FLOOR(((2*XLOOKUP('Boss Editor'!$C$4,'Pokemon Editor'!$A:$A,'Pokemon Editor'!$E:$E,0)+31+FLOOR('Boss Editor'!$G$4/4))*'Boss Editor'!$D$4)/100)+'Boss Editor'!$D$4+10)),0)</f>
        <v/>
      </c>
      <c r="O55" s="3">
        <f>IF(N55&gt;=1,"OHKO",IF(N55&gt;=0.5,"2HKO",IF(N55&gt;=0.333,"3HKO",IF(N55&gt;=0.25,"4HKO","5HKO+"))))</f>
        <v/>
      </c>
      <c r="P55" s="3" t="inlineStr">
        <is>
          <t>Live from editable databases</t>
        </is>
      </c>
      <c r="Q55" s="3" t="inlineStr">
        <is>
          <t>SPECIES_SENTRET</t>
        </is>
      </c>
      <c r="R55" s="3" t="n">
        <v>22</v>
      </c>
    </row>
    <row r="56">
      <c r="A56" s="3">
        <f>XLOOKUP($Q56,'Threshold Summary'!$Y:$Y,'Threshold Summary'!$A:$A,"")</f>
        <v/>
      </c>
      <c r="B56" s="3">
        <f>XLOOKUP($Q56,'Threshold Summary'!$Y:$Y,'Threshold Summary'!$M:$M,"")</f>
        <v/>
      </c>
      <c r="C56" s="3">
        <f>XLOOKUP($Q56,'Threshold Summary'!$Y:$Y,'Threshold Summary'!$N:$N,"")</f>
        <v/>
      </c>
      <c r="D56" s="3">
        <f>IFERROR(INDEX(FILTER('Learnset Editor'!$D$2:$D,'Learnset Editor'!$A$2:$A=XLOOKUP($Q56,'Threshold Summary'!$Y:$Y,'Threshold Summary'!$K:$K,""),'Learnset Editor'!$C$2:$C&lt;=XLOOKUP($Q56,'Threshold Summary'!$Y:$Y,'Threshold Summary'!$L:$L,"")),$R56),"")</f>
        <v/>
      </c>
      <c r="E56" s="3">
        <f>XLOOKUP(D56,'Move Editor'!$B:$B,'Move Editor'!$C:$C,"")</f>
        <v/>
      </c>
      <c r="F56" s="3">
        <f>XLOOKUP(D56,'Move Editor'!$B:$B,'Move Editor'!$D:$D,"")</f>
        <v/>
      </c>
      <c r="G56" s="3">
        <f>XLOOKUP(D56,'Move Editor'!$B:$B,'Move Editor'!$E:$E,0)</f>
        <v/>
      </c>
      <c r="H56" s="3">
        <f>XLOOKUP(D56,'Move Editor'!$B:$B,'Move Editor'!$F:$F,0)</f>
        <v/>
      </c>
      <c r="I56" s="3">
        <f>(INDEX('Type Chart'!$B:$S,MATCH(E56,'Type Chart'!$A:$A,0),MATCH(XLOOKUP('Boss Editor'!$C$4,'Pokemon Editor'!$A:$A,'Pokemon Editor'!$C:$C,""),'Type Chart'!$B$1:$S$1,0))*IF(XLOOKUP('Boss Editor'!$C$4,'Pokemon Editor'!$A:$A,'Pokemon Editor'!$D:$D,"")="",1,INDEX('Type Chart'!$B:$S,MATCH(E56,'Type Chart'!$A:$A,0),MATCH(XLOOKUP('Boss Editor'!$C$4,'Pokemon Editor'!$A:$A,'Pokemon Editor'!$D:$D,""),'Type Chart'!$B$1:$S$1,0))))</f>
        <v/>
      </c>
      <c r="J56" s="3">
        <f>IFERROR(LET(mtype,XLOOKUP($D56,'Move Editor'!$B:$B,'Move Editor'!$C:$C,""),cat,XLOOKUP($D56,'Move Editor'!$B:$B,'Move Editor'!$D:$D,""),pow,XLOOKUP($D56,'Move Editor'!$B:$B,'Move Editor'!$E:$E,0),acc,XLOOKUP($D56,'Move Editor'!$B:$B,'Move Editor'!$F:$F,100),atk,IF(cat="Physical",FLOOR((FLOOR(((2*XLOOKUP(XLOOKUP($Q56,'Threshold Summary'!$Y:$Y,'Threshold Summary'!$K:$K,""),'Pokemon Editor'!$A:$A,'Pokemon Editor'!$F:$F,0)+31+FLOOR(XLOOKUP($Q56,'Threshold Summary'!$Y:$Y,'Threshold Summary'!$P:$P,"")/4))*XLOOKUP($Q56,'Threshold Summary'!$Y:$Y,'Threshold Summary'!$L:$L,""))/100)+5)*XLOOKUP(XLOOKUP($Q56,'Threshold Summary'!$Y:$Y,'Threshold Summary'!$M:$M,""),'Nature Editor'!$A:$A,'Nature Editor'!$B:$B,1)),FLOOR((FLOOR(((2*XLOOKUP(XLOOKUP($Q56,'Threshold Summary'!$Y:$Y,'Threshold Summary'!$K:$K,""),'Pokemon Editor'!$A:$A,'Pokemon Editor'!$H:$H,0)+31+FLOOR(XLOOKUP($Q56,'Threshold Summary'!$Y:$Y,'Threshold Summary'!$R:$R,"")/4))*XLOOKUP($Q56,'Threshold Summary'!$Y:$Y,'Threshold Summary'!$L:$L,""))/100)+5)*XLOOKUP(XLOOKUP($Q56,'Threshold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Editor'!$E:$E,1))),stab,IF(OR(mtype=XLOOKUP(XLOOKUP($Q56,'Threshold Summary'!$Y:$Y,'Threshold Summary'!$K:$K,""),'Pokemon Editor'!$A:$A,'Pokemon Editor'!$C:$C,""),mtype=XLOOKUP(XLOOKUP($Q56,'Threshold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Chart'!$B$1:$S$1,0)))),base,IF(OR(cat="Status",pow=0),0,FLOOR(FLOOR(FLOOR((2*XLOOKUP($Q56,'Threshold Summary'!$Y:$Y,'Threshold Summary'!$L:$L,"")/5+2)*pow*atk/def)/50)+2)),modifier,stab*eff,FLOOR(base*modifier*0.85)),0)</f>
        <v/>
      </c>
      <c r="K56" s="3">
        <f>IFERROR(LET(mtype,XLOOKUP($D56,'Move Editor'!$B:$B,'Move Editor'!$C:$C,""),cat,XLOOKUP($D56,'Move Editor'!$B:$B,'Move Editor'!$D:$D,""),pow,XLOOKUP($D56,'Move Editor'!$B:$B,'Move Editor'!$E:$E,0),acc,XLOOKUP($D56,'Move Editor'!$B:$B,'Move Editor'!$F:$F,100),atk,IF(cat="Physical",FLOOR((FLOOR(((2*XLOOKUP(XLOOKUP($Q56,'Threshold Summary'!$Y:$Y,'Threshold Summary'!$K:$K,""),'Pokemon Editor'!$A:$A,'Pokemon Editor'!$F:$F,0)+31+FLOOR(XLOOKUP($Q56,'Threshold Summary'!$Y:$Y,'Threshold Summary'!$P:$P,"")/4))*XLOOKUP($Q56,'Threshold Summary'!$Y:$Y,'Threshold Summary'!$L:$L,""))/100)+5)*XLOOKUP(XLOOKUP($Q56,'Threshold Summary'!$Y:$Y,'Threshold Summary'!$M:$M,""),'Nature Editor'!$A:$A,'Nature Editor'!$B:$B,1)),FLOOR((FLOOR(((2*XLOOKUP(XLOOKUP($Q56,'Threshold Summary'!$Y:$Y,'Threshold Summary'!$K:$K,""),'Pokemon Editor'!$A:$A,'Pokemon Editor'!$H:$H,0)+31+FLOOR(XLOOKUP($Q56,'Threshold Summary'!$Y:$Y,'Threshold Summary'!$R:$R,"")/4))*XLOOKUP($Q56,'Threshold Summary'!$Y:$Y,'Threshold Summary'!$L:$L,""))/100)+5)*XLOOKUP(XLOOKUP($Q56,'Threshold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Editor'!$E:$E,1))),stab,IF(OR(mtype=XLOOKUP(XLOOKUP($Q56,'Threshold Summary'!$Y:$Y,'Threshold Summary'!$K:$K,""),'Pokemon Editor'!$A:$A,'Pokemon Editor'!$C:$C,""),mtype=XLOOKUP(XLOOKUP($Q56,'Threshold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Chart'!$B$1:$S$1,0)))),base,IF(OR(cat="Status",pow=0),0,FLOOR(FLOOR(FLOOR((2*XLOOKUP($Q56,'Threshold Summary'!$Y:$Y,'Threshold Summary'!$L:$L,"")/5+2)*pow*atk/def)/50)+2)),modifier,stab*eff,FLOOR(base*modifier)),0)</f>
        <v/>
      </c>
      <c r="L56" s="3">
        <f>IFERROR(LET(mtype,XLOOKUP($D56,'Move Editor'!$B:$B,'Move Editor'!$C:$C,""),cat,XLOOKUP($D56,'Move Editor'!$B:$B,'Move Editor'!$D:$D,""),pow,XLOOKUP($D56,'Move Editor'!$B:$B,'Move Editor'!$E:$E,0),acc,XLOOKUP($D56,'Move Editor'!$B:$B,'Move Editor'!$F:$F,100),atk,IF(cat="Physical",FLOOR((FLOOR(((2*XLOOKUP(XLOOKUP($Q56,'Threshold Summary'!$Y:$Y,'Threshold Summary'!$K:$K,""),'Pokemon Editor'!$A:$A,'Pokemon Editor'!$F:$F,0)+31+FLOOR(XLOOKUP($Q56,'Threshold Summary'!$Y:$Y,'Threshold Summary'!$P:$P,"")/4))*XLOOKUP($Q56,'Threshold Summary'!$Y:$Y,'Threshold Summary'!$L:$L,""))/100)+5)*XLOOKUP(XLOOKUP($Q56,'Threshold Summary'!$Y:$Y,'Threshold Summary'!$M:$M,""),'Nature Editor'!$A:$A,'Nature Editor'!$B:$B,1)),FLOOR((FLOOR(((2*XLOOKUP(XLOOKUP($Q56,'Threshold Summary'!$Y:$Y,'Threshold Summary'!$K:$K,""),'Pokemon Editor'!$A:$A,'Pokemon Editor'!$H:$H,0)+31+FLOOR(XLOOKUP($Q56,'Threshold Summary'!$Y:$Y,'Threshold Summary'!$R:$R,"")/4))*XLOOKUP($Q56,'Threshold Summary'!$Y:$Y,'Threshold Summary'!$L:$L,""))/100)+5)*XLOOKUP(XLOOKUP($Q56,'Threshold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Editor'!$E:$E,1))),stab,IF(OR(mtype=XLOOKUP(XLOOKUP($Q56,'Threshold Summary'!$Y:$Y,'Threshold Summary'!$K:$K,""),'Pokemon Editor'!$A:$A,'Pokemon Editor'!$C:$C,""),mtype=XLOOKUP(XLOOKUP($Q56,'Threshold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Chart'!$B$1:$S$1,0)))),base,IF(OR(cat="Status",pow=0),0,FLOOR(FLOOR(FLOOR((2*XLOOKUP($Q56,'Threshold Summary'!$Y:$Y,'Threshold Summary'!$L:$L,"")/5+2)*pow*atk/def)/50)+2)),modifier,stab*eff,AVERAGE(ARRAYFORMULA(FLOOR(base*modifier*SEQUENCE(16,1,85,1)/100)))),0)</f>
        <v/>
      </c>
      <c r="M56" s="3">
        <f>IFERROR(LET(mtype,XLOOKUP($D56,'Move Editor'!$B:$B,'Move Editor'!$C:$C,""),cat,XLOOKUP($D56,'Move Editor'!$B:$B,'Move Editor'!$D:$D,""),pow,XLOOKUP($D56,'Move Editor'!$B:$B,'Move Editor'!$E:$E,0),acc,XLOOKUP($D56,'Move Editor'!$B:$B,'Move Editor'!$F:$F,100),atk,IF(cat="Physical",FLOOR((FLOOR(((2*XLOOKUP(XLOOKUP($Q56,'Threshold Summary'!$Y:$Y,'Threshold Summary'!$K:$K,""),'Pokemon Editor'!$A:$A,'Pokemon Editor'!$F:$F,0)+31+FLOOR(XLOOKUP($Q56,'Threshold Summary'!$Y:$Y,'Threshold Summary'!$P:$P,"")/4))*XLOOKUP($Q56,'Threshold Summary'!$Y:$Y,'Threshold Summary'!$L:$L,""))/100)+5)*XLOOKUP(XLOOKUP($Q56,'Threshold Summary'!$Y:$Y,'Threshold Summary'!$M:$M,""),'Nature Editor'!$A:$A,'Nature Editor'!$B:$B,1)),FLOOR((FLOOR(((2*XLOOKUP(XLOOKUP($Q56,'Threshold Summary'!$Y:$Y,'Threshold Summary'!$K:$K,""),'Pokemon Editor'!$A:$A,'Pokemon Editor'!$H:$H,0)+31+FLOOR(XLOOKUP($Q56,'Threshold Summary'!$Y:$Y,'Threshold Summary'!$R:$R,"")/4))*XLOOKUP($Q56,'Threshold Summary'!$Y:$Y,'Threshold Summary'!$L:$L,""))/100)+5)*XLOOKUP(XLOOKUP($Q56,'Threshold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Editor'!$E:$E,1))),stab,IF(OR(mtype=XLOOKUP(XLOOKUP($Q56,'Threshold Summary'!$Y:$Y,'Threshold Summary'!$K:$K,""),'Pokemon Editor'!$A:$A,'Pokemon Editor'!$C:$C,""),mtype=XLOOKUP(XLOOKUP($Q56,'Threshold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Chart'!$B$1:$S$1,0)))),base,IF(OR(cat="Status",pow=0),0,FLOOR(FLOOR(FLOOR((2*XLOOKUP($Q56,'Threshold Summary'!$Y:$Y,'Threshold Summary'!$L:$L,"")/5+2)*pow*atk/def)/50)+2)),modifier,stab*eff,AVERAGE(ARRAYFORMULA(FLOOR(base*modifier*SEQUENCE(16,1,85,1)/100)))*MIN(1,acc/100)),0)</f>
        <v/>
      </c>
      <c r="N56" s="4">
        <f>IFERROR(LET(mtype,XLOOKUP($D56,'Move Editor'!$B:$B,'Move Editor'!$C:$C,""),cat,XLOOKUP($D56,'Move Editor'!$B:$B,'Move Editor'!$D:$D,""),pow,XLOOKUP($D56,'Move Editor'!$B:$B,'Move Editor'!$E:$E,0),acc,XLOOKUP($D56,'Move Editor'!$B:$B,'Move Editor'!$F:$F,100),atk,IF(cat="Physical",FLOOR((FLOOR(((2*XLOOKUP(XLOOKUP($Q56,'Threshold Summary'!$Y:$Y,'Threshold Summary'!$K:$K,""),'Pokemon Editor'!$A:$A,'Pokemon Editor'!$F:$F,0)+31+FLOOR(XLOOKUP($Q56,'Threshold Summary'!$Y:$Y,'Threshold Summary'!$P:$P,"")/4))*XLOOKUP($Q56,'Threshold Summary'!$Y:$Y,'Threshold Summary'!$L:$L,""))/100)+5)*XLOOKUP(XLOOKUP($Q56,'Threshold Summary'!$Y:$Y,'Threshold Summary'!$M:$M,""),'Nature Editor'!$A:$A,'Nature Editor'!$B:$B,1)),FLOOR((FLOOR(((2*XLOOKUP(XLOOKUP($Q56,'Threshold Summary'!$Y:$Y,'Threshold Summary'!$K:$K,""),'Pokemon Editor'!$A:$A,'Pokemon Editor'!$H:$H,0)+31+FLOOR(XLOOKUP($Q56,'Threshold Summary'!$Y:$Y,'Threshold Summary'!$R:$R,"")/4))*XLOOKUP($Q56,'Threshold Summary'!$Y:$Y,'Threshold Summary'!$L:$L,""))/100)+5)*XLOOKUP(XLOOKUP($Q56,'Threshold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Editor'!$E:$E,1))),stab,IF(OR(mtype=XLOOKUP(XLOOKUP($Q56,'Threshold Summary'!$Y:$Y,'Threshold Summary'!$K:$K,""),'Pokemon Editor'!$A:$A,'Pokemon Editor'!$C:$C,""),mtype=XLOOKUP(XLOOKUP($Q56,'Threshold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Chart'!$B$1:$S$1,0)))),base,IF(OR(cat="Status",pow=0),0,FLOOR(FLOOR(FLOOR((2*XLOOKUP($Q56,'Threshold Summary'!$Y:$Y,'Threshold Summary'!$L:$L,"")/5+2)*pow*atk/def)/50)+2)),modifier,stab*eff,AVERAGE(ARRAYFORMULA(FLOOR(base*modifier*SEQUENCE(16,1,85,1)/100)))/(FLOOR(((2*XLOOKUP('Boss Editor'!$C$4,'Pokemon Editor'!$A:$A,'Pokemon Editor'!$E:$E,0)+31+FLOOR('Boss Editor'!$G$4/4))*'Boss Editor'!$D$4)/100)+'Boss Editor'!$D$4+10)),0)</f>
        <v/>
      </c>
      <c r="O56" s="3">
        <f>IF(N56&gt;=1,"OHKO",IF(N56&gt;=0.5,"2HKO",IF(N56&gt;=0.333,"3HKO",IF(N56&gt;=0.25,"4HKO","5HKO+"))))</f>
        <v/>
      </c>
      <c r="P56" s="3" t="inlineStr">
        <is>
          <t>Live from editable databases</t>
        </is>
      </c>
      <c r="Q56" s="3" t="inlineStr">
        <is>
          <t>SPECIES_SENTRET</t>
        </is>
      </c>
      <c r="R56" s="3" t="n">
        <v>23</v>
      </c>
    </row>
    <row r="57">
      <c r="A57" s="3">
        <f>XLOOKUP($Q57,'Threshold Summary'!$Y:$Y,'Threshold Summary'!$A:$A,"")</f>
        <v/>
      </c>
      <c r="B57" s="3">
        <f>XLOOKUP($Q57,'Threshold Summary'!$Y:$Y,'Threshold Summary'!$M:$M,"")</f>
        <v/>
      </c>
      <c r="C57" s="3">
        <f>XLOOKUP($Q57,'Threshold Summary'!$Y:$Y,'Threshold Summary'!$N:$N,"")</f>
        <v/>
      </c>
      <c r="D57" s="3">
        <f>IFERROR(INDEX(FILTER('Learnset Editor'!$D$2:$D,'Learnset Editor'!$A$2:$A=XLOOKUP($Q57,'Threshold Summary'!$Y:$Y,'Threshold Summary'!$K:$K,""),'Learnset Editor'!$C$2:$C&lt;=XLOOKUP($Q57,'Threshold Summary'!$Y:$Y,'Threshold Summary'!$L:$L,"")),$R57),"")</f>
        <v/>
      </c>
      <c r="E57" s="3">
        <f>XLOOKUP(D57,'Move Editor'!$B:$B,'Move Editor'!$C:$C,"")</f>
        <v/>
      </c>
      <c r="F57" s="3">
        <f>XLOOKUP(D57,'Move Editor'!$B:$B,'Move Editor'!$D:$D,"")</f>
        <v/>
      </c>
      <c r="G57" s="3">
        <f>XLOOKUP(D57,'Move Editor'!$B:$B,'Move Editor'!$E:$E,0)</f>
        <v/>
      </c>
      <c r="H57" s="3">
        <f>XLOOKUP(D57,'Move Editor'!$B:$B,'Move Editor'!$F:$F,0)</f>
        <v/>
      </c>
      <c r="I57" s="3">
        <f>(INDEX('Type Chart'!$B:$S,MATCH(E57,'Type Chart'!$A:$A,0),MATCH(XLOOKUP('Boss Editor'!$C$4,'Pokemon Editor'!$A:$A,'Pokemon Editor'!$C:$C,""),'Type Chart'!$B$1:$S$1,0))*IF(XLOOKUP('Boss Editor'!$C$4,'Pokemon Editor'!$A:$A,'Pokemon Editor'!$D:$D,"")="",1,INDEX('Type Chart'!$B:$S,MATCH(E57,'Type Chart'!$A:$A,0),MATCH(XLOOKUP('Boss Editor'!$C$4,'Pokemon Editor'!$A:$A,'Pokemon Editor'!$D:$D,""),'Type Chart'!$B$1:$S$1,0))))</f>
        <v/>
      </c>
      <c r="J57" s="3">
        <f>IFERROR(LET(mtype,XLOOKUP($D57,'Move Editor'!$B:$B,'Move Editor'!$C:$C,""),cat,XLOOKUP($D57,'Move Editor'!$B:$B,'Move Editor'!$D:$D,""),pow,XLOOKUP($D57,'Move Editor'!$B:$B,'Move Editor'!$E:$E,0),acc,XLOOKUP($D57,'Move Editor'!$B:$B,'Move Editor'!$F:$F,100),atk,IF(cat="Physical",FLOOR((FLOOR(((2*XLOOKUP(XLOOKUP($Q57,'Threshold Summary'!$Y:$Y,'Threshold Summary'!$K:$K,""),'Pokemon Editor'!$A:$A,'Pokemon Editor'!$F:$F,0)+31+FLOOR(XLOOKUP($Q57,'Threshold Summary'!$Y:$Y,'Threshold Summary'!$P:$P,"")/4))*XLOOKUP($Q57,'Threshold Summary'!$Y:$Y,'Threshold Summary'!$L:$L,""))/100)+5)*XLOOKUP(XLOOKUP($Q57,'Threshold Summary'!$Y:$Y,'Threshold Summary'!$M:$M,""),'Nature Editor'!$A:$A,'Nature Editor'!$B:$B,1)),FLOOR((FLOOR(((2*XLOOKUP(XLOOKUP($Q57,'Threshold Summary'!$Y:$Y,'Threshold Summary'!$K:$K,""),'Pokemon Editor'!$A:$A,'Pokemon Editor'!$H:$H,0)+31+FLOOR(XLOOKUP($Q57,'Threshold Summary'!$Y:$Y,'Threshold Summary'!$R:$R,"")/4))*XLOOKUP($Q57,'Threshold Summary'!$Y:$Y,'Threshold Summary'!$L:$L,""))/100)+5)*XLOOKUP(XLOOKUP($Q57,'Threshold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Editor'!$E:$E,1))),stab,IF(OR(mtype=XLOOKUP(XLOOKUP($Q57,'Threshold Summary'!$Y:$Y,'Threshold Summary'!$K:$K,""),'Pokemon Editor'!$A:$A,'Pokemon Editor'!$C:$C,""),mtype=XLOOKUP(XLOOKUP($Q57,'Threshold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Chart'!$B$1:$S$1,0)))),base,IF(OR(cat="Status",pow=0),0,FLOOR(FLOOR(FLOOR((2*XLOOKUP($Q57,'Threshold Summary'!$Y:$Y,'Threshold Summary'!$L:$L,"")/5+2)*pow*atk/def)/50)+2)),modifier,stab*eff,FLOOR(base*modifier*0.85)),0)</f>
        <v/>
      </c>
      <c r="K57" s="3">
        <f>IFERROR(LET(mtype,XLOOKUP($D57,'Move Editor'!$B:$B,'Move Editor'!$C:$C,""),cat,XLOOKUP($D57,'Move Editor'!$B:$B,'Move Editor'!$D:$D,""),pow,XLOOKUP($D57,'Move Editor'!$B:$B,'Move Editor'!$E:$E,0),acc,XLOOKUP($D57,'Move Editor'!$B:$B,'Move Editor'!$F:$F,100),atk,IF(cat="Physical",FLOOR((FLOOR(((2*XLOOKUP(XLOOKUP($Q57,'Threshold Summary'!$Y:$Y,'Threshold Summary'!$K:$K,""),'Pokemon Editor'!$A:$A,'Pokemon Editor'!$F:$F,0)+31+FLOOR(XLOOKUP($Q57,'Threshold Summary'!$Y:$Y,'Threshold Summary'!$P:$P,"")/4))*XLOOKUP($Q57,'Threshold Summary'!$Y:$Y,'Threshold Summary'!$L:$L,""))/100)+5)*XLOOKUP(XLOOKUP($Q57,'Threshold Summary'!$Y:$Y,'Threshold Summary'!$M:$M,""),'Nature Editor'!$A:$A,'Nature Editor'!$B:$B,1)),FLOOR((FLOOR(((2*XLOOKUP(XLOOKUP($Q57,'Threshold Summary'!$Y:$Y,'Threshold Summary'!$K:$K,""),'Pokemon Editor'!$A:$A,'Pokemon Editor'!$H:$H,0)+31+FLOOR(XLOOKUP($Q57,'Threshold Summary'!$Y:$Y,'Threshold Summary'!$R:$R,"")/4))*XLOOKUP($Q57,'Threshold Summary'!$Y:$Y,'Threshold Summary'!$L:$L,""))/100)+5)*XLOOKUP(XLOOKUP($Q57,'Threshold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Editor'!$E:$E,1))),stab,IF(OR(mtype=XLOOKUP(XLOOKUP($Q57,'Threshold Summary'!$Y:$Y,'Threshold Summary'!$K:$K,""),'Pokemon Editor'!$A:$A,'Pokemon Editor'!$C:$C,""),mtype=XLOOKUP(XLOOKUP($Q57,'Threshold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Chart'!$B$1:$S$1,0)))),base,IF(OR(cat="Status",pow=0),0,FLOOR(FLOOR(FLOOR((2*XLOOKUP($Q57,'Threshold Summary'!$Y:$Y,'Threshold Summary'!$L:$L,"")/5+2)*pow*atk/def)/50)+2)),modifier,stab*eff,FLOOR(base*modifier)),0)</f>
        <v/>
      </c>
      <c r="L57" s="3">
        <f>IFERROR(LET(mtype,XLOOKUP($D57,'Move Editor'!$B:$B,'Move Editor'!$C:$C,""),cat,XLOOKUP($D57,'Move Editor'!$B:$B,'Move Editor'!$D:$D,""),pow,XLOOKUP($D57,'Move Editor'!$B:$B,'Move Editor'!$E:$E,0),acc,XLOOKUP($D57,'Move Editor'!$B:$B,'Move Editor'!$F:$F,100),atk,IF(cat="Physical",FLOOR((FLOOR(((2*XLOOKUP(XLOOKUP($Q57,'Threshold Summary'!$Y:$Y,'Threshold Summary'!$K:$K,""),'Pokemon Editor'!$A:$A,'Pokemon Editor'!$F:$F,0)+31+FLOOR(XLOOKUP($Q57,'Threshold Summary'!$Y:$Y,'Threshold Summary'!$P:$P,"")/4))*XLOOKUP($Q57,'Threshold Summary'!$Y:$Y,'Threshold Summary'!$L:$L,""))/100)+5)*XLOOKUP(XLOOKUP($Q57,'Threshold Summary'!$Y:$Y,'Threshold Summary'!$M:$M,""),'Nature Editor'!$A:$A,'Nature Editor'!$B:$B,1)),FLOOR((FLOOR(((2*XLOOKUP(XLOOKUP($Q57,'Threshold Summary'!$Y:$Y,'Threshold Summary'!$K:$K,""),'Pokemon Editor'!$A:$A,'Pokemon Editor'!$H:$H,0)+31+FLOOR(XLOOKUP($Q57,'Threshold Summary'!$Y:$Y,'Threshold Summary'!$R:$R,"")/4))*XLOOKUP($Q57,'Threshold Summary'!$Y:$Y,'Threshold Summary'!$L:$L,""))/100)+5)*XLOOKUP(XLOOKUP($Q57,'Threshold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Editor'!$E:$E,1))),stab,IF(OR(mtype=XLOOKUP(XLOOKUP($Q57,'Threshold Summary'!$Y:$Y,'Threshold Summary'!$K:$K,""),'Pokemon Editor'!$A:$A,'Pokemon Editor'!$C:$C,""),mtype=XLOOKUP(XLOOKUP($Q57,'Threshold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Chart'!$B$1:$S$1,0)))),base,IF(OR(cat="Status",pow=0),0,FLOOR(FLOOR(FLOOR((2*XLOOKUP($Q57,'Threshold Summary'!$Y:$Y,'Threshold Summary'!$L:$L,"")/5+2)*pow*atk/def)/50)+2)),modifier,stab*eff,AVERAGE(ARRAYFORMULA(FLOOR(base*modifier*SEQUENCE(16,1,85,1)/100)))),0)</f>
        <v/>
      </c>
      <c r="M57" s="3">
        <f>IFERROR(LET(mtype,XLOOKUP($D57,'Move Editor'!$B:$B,'Move Editor'!$C:$C,""),cat,XLOOKUP($D57,'Move Editor'!$B:$B,'Move Editor'!$D:$D,""),pow,XLOOKUP($D57,'Move Editor'!$B:$B,'Move Editor'!$E:$E,0),acc,XLOOKUP($D57,'Move Editor'!$B:$B,'Move Editor'!$F:$F,100),atk,IF(cat="Physical",FLOOR((FLOOR(((2*XLOOKUP(XLOOKUP($Q57,'Threshold Summary'!$Y:$Y,'Threshold Summary'!$K:$K,""),'Pokemon Editor'!$A:$A,'Pokemon Editor'!$F:$F,0)+31+FLOOR(XLOOKUP($Q57,'Threshold Summary'!$Y:$Y,'Threshold Summary'!$P:$P,"")/4))*XLOOKUP($Q57,'Threshold Summary'!$Y:$Y,'Threshold Summary'!$L:$L,""))/100)+5)*XLOOKUP(XLOOKUP($Q57,'Threshold Summary'!$Y:$Y,'Threshold Summary'!$M:$M,""),'Nature Editor'!$A:$A,'Nature Editor'!$B:$B,1)),FLOOR((FLOOR(((2*XLOOKUP(XLOOKUP($Q57,'Threshold Summary'!$Y:$Y,'Threshold Summary'!$K:$K,""),'Pokemon Editor'!$A:$A,'Pokemon Editor'!$H:$H,0)+31+FLOOR(XLOOKUP($Q57,'Threshold Summary'!$Y:$Y,'Threshold Summary'!$R:$R,"")/4))*XLOOKUP($Q57,'Threshold Summary'!$Y:$Y,'Threshold Summary'!$L:$L,""))/100)+5)*XLOOKUP(XLOOKUP($Q57,'Threshold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Editor'!$E:$E,1))),stab,IF(OR(mtype=XLOOKUP(XLOOKUP($Q57,'Threshold Summary'!$Y:$Y,'Threshold Summary'!$K:$K,""),'Pokemon Editor'!$A:$A,'Pokemon Editor'!$C:$C,""),mtype=XLOOKUP(XLOOKUP($Q57,'Threshold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Chart'!$B$1:$S$1,0)))),base,IF(OR(cat="Status",pow=0),0,FLOOR(FLOOR(FLOOR((2*XLOOKUP($Q57,'Threshold Summary'!$Y:$Y,'Threshold Summary'!$L:$L,"")/5+2)*pow*atk/def)/50)+2)),modifier,stab*eff,AVERAGE(ARRAYFORMULA(FLOOR(base*modifier*SEQUENCE(16,1,85,1)/100)))*MIN(1,acc/100)),0)</f>
        <v/>
      </c>
      <c r="N57" s="4">
        <f>IFERROR(LET(mtype,XLOOKUP($D57,'Move Editor'!$B:$B,'Move Editor'!$C:$C,""),cat,XLOOKUP($D57,'Move Editor'!$B:$B,'Move Editor'!$D:$D,""),pow,XLOOKUP($D57,'Move Editor'!$B:$B,'Move Editor'!$E:$E,0),acc,XLOOKUP($D57,'Move Editor'!$B:$B,'Move Editor'!$F:$F,100),atk,IF(cat="Physical",FLOOR((FLOOR(((2*XLOOKUP(XLOOKUP($Q57,'Threshold Summary'!$Y:$Y,'Threshold Summary'!$K:$K,""),'Pokemon Editor'!$A:$A,'Pokemon Editor'!$F:$F,0)+31+FLOOR(XLOOKUP($Q57,'Threshold Summary'!$Y:$Y,'Threshold Summary'!$P:$P,"")/4))*XLOOKUP($Q57,'Threshold Summary'!$Y:$Y,'Threshold Summary'!$L:$L,""))/100)+5)*XLOOKUP(XLOOKUP($Q57,'Threshold Summary'!$Y:$Y,'Threshold Summary'!$M:$M,""),'Nature Editor'!$A:$A,'Nature Editor'!$B:$B,1)),FLOOR((FLOOR(((2*XLOOKUP(XLOOKUP($Q57,'Threshold Summary'!$Y:$Y,'Threshold Summary'!$K:$K,""),'Pokemon Editor'!$A:$A,'Pokemon Editor'!$H:$H,0)+31+FLOOR(XLOOKUP($Q57,'Threshold Summary'!$Y:$Y,'Threshold Summary'!$R:$R,"")/4))*XLOOKUP($Q57,'Threshold Summary'!$Y:$Y,'Threshold Summary'!$L:$L,""))/100)+5)*XLOOKUP(XLOOKUP($Q57,'Threshold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Editor'!$E:$E,1))),stab,IF(OR(mtype=XLOOKUP(XLOOKUP($Q57,'Threshold Summary'!$Y:$Y,'Threshold Summary'!$K:$K,""),'Pokemon Editor'!$A:$A,'Pokemon Editor'!$C:$C,""),mtype=XLOOKUP(XLOOKUP($Q57,'Threshold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Chart'!$B$1:$S$1,0)))),base,IF(OR(cat="Status",pow=0),0,FLOOR(FLOOR(FLOOR((2*XLOOKUP($Q57,'Threshold Summary'!$Y:$Y,'Threshold Summary'!$L:$L,"")/5+2)*pow*atk/def)/50)+2)),modifier,stab*eff,AVERAGE(ARRAYFORMULA(FLOOR(base*modifier*SEQUENCE(16,1,85,1)/100)))/(FLOOR(((2*XLOOKUP('Boss Editor'!$C$4,'Pokemon Editor'!$A:$A,'Pokemon Editor'!$E:$E,0)+31+FLOOR('Boss Editor'!$G$4/4))*'Boss Editor'!$D$4)/100)+'Boss Editor'!$D$4+10)),0)</f>
        <v/>
      </c>
      <c r="O57" s="3">
        <f>IF(N57&gt;=1,"OHKO",IF(N57&gt;=0.5,"2HKO",IF(N57&gt;=0.333,"3HKO",IF(N57&gt;=0.25,"4HKO","5HKO+"))))</f>
        <v/>
      </c>
      <c r="P57" s="3" t="inlineStr">
        <is>
          <t>Live from editable databases</t>
        </is>
      </c>
      <c r="Q57" s="3" t="inlineStr">
        <is>
          <t>SPECIES_SENTRET</t>
        </is>
      </c>
      <c r="R57" s="3" t="n">
        <v>24</v>
      </c>
    </row>
    <row r="58">
      <c r="A58" s="3">
        <f>XLOOKUP($Q58,'Threshold Summary'!$Y:$Y,'Threshold Summary'!$A:$A,"")</f>
        <v/>
      </c>
      <c r="B58" s="3">
        <f>XLOOKUP($Q58,'Threshold Summary'!$Y:$Y,'Threshold Summary'!$M:$M,"")</f>
        <v/>
      </c>
      <c r="C58" s="3">
        <f>XLOOKUP($Q58,'Threshold Summary'!$Y:$Y,'Threshold Summary'!$N:$N,"")</f>
        <v/>
      </c>
      <c r="D58" s="3">
        <f>IFERROR(INDEX(FILTER('Learnset Editor'!$D$2:$D,'Learnset Editor'!$A$2:$A=XLOOKUP($Q58,'Threshold Summary'!$Y:$Y,'Threshold Summary'!$K:$K,""),'Learnset Editor'!$C$2:$C&lt;=XLOOKUP($Q58,'Threshold Summary'!$Y:$Y,'Threshold Summary'!$L:$L,"")),$R58),"")</f>
        <v/>
      </c>
      <c r="E58" s="3">
        <f>XLOOKUP(D58,'Move Editor'!$B:$B,'Move Editor'!$C:$C,"")</f>
        <v/>
      </c>
      <c r="F58" s="3">
        <f>XLOOKUP(D58,'Move Editor'!$B:$B,'Move Editor'!$D:$D,"")</f>
        <v/>
      </c>
      <c r="G58" s="3">
        <f>XLOOKUP(D58,'Move Editor'!$B:$B,'Move Editor'!$E:$E,0)</f>
        <v/>
      </c>
      <c r="H58" s="3">
        <f>XLOOKUP(D58,'Move Editor'!$B:$B,'Move Editor'!$F:$F,0)</f>
        <v/>
      </c>
      <c r="I58" s="3">
        <f>(INDEX('Type Chart'!$B:$S,MATCH(E58,'Type Chart'!$A:$A,0),MATCH(XLOOKUP('Boss Editor'!$C$4,'Pokemon Editor'!$A:$A,'Pokemon Editor'!$C:$C,""),'Type Chart'!$B$1:$S$1,0))*IF(XLOOKUP('Boss Editor'!$C$4,'Pokemon Editor'!$A:$A,'Pokemon Editor'!$D:$D,"")="",1,INDEX('Type Chart'!$B:$S,MATCH(E58,'Type Chart'!$A:$A,0),MATCH(XLOOKUP('Boss Editor'!$C$4,'Pokemon Editor'!$A:$A,'Pokemon Editor'!$D:$D,""),'Type Chart'!$B$1:$S$1,0))))</f>
        <v/>
      </c>
      <c r="J58" s="3">
        <f>IFERROR(LET(mtype,XLOOKUP($D58,'Move Editor'!$B:$B,'Move Editor'!$C:$C,""),cat,XLOOKUP($D58,'Move Editor'!$B:$B,'Move Editor'!$D:$D,""),pow,XLOOKUP($D58,'Move Editor'!$B:$B,'Move Editor'!$E:$E,0),acc,XLOOKUP($D58,'Move Editor'!$B:$B,'Move Editor'!$F:$F,100),atk,IF(cat="Physical",FLOOR((FLOOR(((2*XLOOKUP(XLOOKUP($Q58,'Threshold Summary'!$Y:$Y,'Threshold Summary'!$K:$K,""),'Pokemon Editor'!$A:$A,'Pokemon Editor'!$F:$F,0)+31+FLOOR(XLOOKUP($Q58,'Threshold Summary'!$Y:$Y,'Threshold Summary'!$P:$P,"")/4))*XLOOKUP($Q58,'Threshold Summary'!$Y:$Y,'Threshold Summary'!$L:$L,""))/100)+5)*XLOOKUP(XLOOKUP($Q58,'Threshold Summary'!$Y:$Y,'Threshold Summary'!$M:$M,""),'Nature Editor'!$A:$A,'Nature Editor'!$B:$B,1)),FLOOR((FLOOR(((2*XLOOKUP(XLOOKUP($Q58,'Threshold Summary'!$Y:$Y,'Threshold Summary'!$K:$K,""),'Pokemon Editor'!$A:$A,'Pokemon Editor'!$H:$H,0)+31+FLOOR(XLOOKUP($Q58,'Threshold Summary'!$Y:$Y,'Threshold Summary'!$R:$R,"")/4))*XLOOKUP($Q58,'Threshold Summary'!$Y:$Y,'Threshold Summary'!$L:$L,""))/100)+5)*XLOOKUP(XLOOKUP($Q58,'Threshold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Editor'!$E:$E,1))),stab,IF(OR(mtype=XLOOKUP(XLOOKUP($Q58,'Threshold Summary'!$Y:$Y,'Threshold Summary'!$K:$K,""),'Pokemon Editor'!$A:$A,'Pokemon Editor'!$C:$C,""),mtype=XLOOKUP(XLOOKUP($Q58,'Threshold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Chart'!$B$1:$S$1,0)))),base,IF(OR(cat="Status",pow=0),0,FLOOR(FLOOR(FLOOR((2*XLOOKUP($Q58,'Threshold Summary'!$Y:$Y,'Threshold Summary'!$L:$L,"")/5+2)*pow*atk/def)/50)+2)),modifier,stab*eff,FLOOR(base*modifier*0.85)),0)</f>
        <v/>
      </c>
      <c r="K58" s="3">
        <f>IFERROR(LET(mtype,XLOOKUP($D58,'Move Editor'!$B:$B,'Move Editor'!$C:$C,""),cat,XLOOKUP($D58,'Move Editor'!$B:$B,'Move Editor'!$D:$D,""),pow,XLOOKUP($D58,'Move Editor'!$B:$B,'Move Editor'!$E:$E,0),acc,XLOOKUP($D58,'Move Editor'!$B:$B,'Move Editor'!$F:$F,100),atk,IF(cat="Physical",FLOOR((FLOOR(((2*XLOOKUP(XLOOKUP($Q58,'Threshold Summary'!$Y:$Y,'Threshold Summary'!$K:$K,""),'Pokemon Editor'!$A:$A,'Pokemon Editor'!$F:$F,0)+31+FLOOR(XLOOKUP($Q58,'Threshold Summary'!$Y:$Y,'Threshold Summary'!$P:$P,"")/4))*XLOOKUP($Q58,'Threshold Summary'!$Y:$Y,'Threshold Summary'!$L:$L,""))/100)+5)*XLOOKUP(XLOOKUP($Q58,'Threshold Summary'!$Y:$Y,'Threshold Summary'!$M:$M,""),'Nature Editor'!$A:$A,'Nature Editor'!$B:$B,1)),FLOOR((FLOOR(((2*XLOOKUP(XLOOKUP($Q58,'Threshold Summary'!$Y:$Y,'Threshold Summary'!$K:$K,""),'Pokemon Editor'!$A:$A,'Pokemon Editor'!$H:$H,0)+31+FLOOR(XLOOKUP($Q58,'Threshold Summary'!$Y:$Y,'Threshold Summary'!$R:$R,"")/4))*XLOOKUP($Q58,'Threshold Summary'!$Y:$Y,'Threshold Summary'!$L:$L,""))/100)+5)*XLOOKUP(XLOOKUP($Q58,'Threshold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Editor'!$E:$E,1))),stab,IF(OR(mtype=XLOOKUP(XLOOKUP($Q58,'Threshold Summary'!$Y:$Y,'Threshold Summary'!$K:$K,""),'Pokemon Editor'!$A:$A,'Pokemon Editor'!$C:$C,""),mtype=XLOOKUP(XLOOKUP($Q58,'Threshold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Chart'!$B$1:$S$1,0)))),base,IF(OR(cat="Status",pow=0),0,FLOOR(FLOOR(FLOOR((2*XLOOKUP($Q58,'Threshold Summary'!$Y:$Y,'Threshold Summary'!$L:$L,"")/5+2)*pow*atk/def)/50)+2)),modifier,stab*eff,FLOOR(base*modifier)),0)</f>
        <v/>
      </c>
      <c r="L58" s="3">
        <f>IFERROR(LET(mtype,XLOOKUP($D58,'Move Editor'!$B:$B,'Move Editor'!$C:$C,""),cat,XLOOKUP($D58,'Move Editor'!$B:$B,'Move Editor'!$D:$D,""),pow,XLOOKUP($D58,'Move Editor'!$B:$B,'Move Editor'!$E:$E,0),acc,XLOOKUP($D58,'Move Editor'!$B:$B,'Move Editor'!$F:$F,100),atk,IF(cat="Physical",FLOOR((FLOOR(((2*XLOOKUP(XLOOKUP($Q58,'Threshold Summary'!$Y:$Y,'Threshold Summary'!$K:$K,""),'Pokemon Editor'!$A:$A,'Pokemon Editor'!$F:$F,0)+31+FLOOR(XLOOKUP($Q58,'Threshold Summary'!$Y:$Y,'Threshold Summary'!$P:$P,"")/4))*XLOOKUP($Q58,'Threshold Summary'!$Y:$Y,'Threshold Summary'!$L:$L,""))/100)+5)*XLOOKUP(XLOOKUP($Q58,'Threshold Summary'!$Y:$Y,'Threshold Summary'!$M:$M,""),'Nature Editor'!$A:$A,'Nature Editor'!$B:$B,1)),FLOOR((FLOOR(((2*XLOOKUP(XLOOKUP($Q58,'Threshold Summary'!$Y:$Y,'Threshold Summary'!$K:$K,""),'Pokemon Editor'!$A:$A,'Pokemon Editor'!$H:$H,0)+31+FLOOR(XLOOKUP($Q58,'Threshold Summary'!$Y:$Y,'Threshold Summary'!$R:$R,"")/4))*XLOOKUP($Q58,'Threshold Summary'!$Y:$Y,'Threshold Summary'!$L:$L,""))/100)+5)*XLOOKUP(XLOOKUP($Q58,'Threshold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Editor'!$E:$E,1))),stab,IF(OR(mtype=XLOOKUP(XLOOKUP($Q58,'Threshold Summary'!$Y:$Y,'Threshold Summary'!$K:$K,""),'Pokemon Editor'!$A:$A,'Pokemon Editor'!$C:$C,""),mtype=XLOOKUP(XLOOKUP($Q58,'Threshold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Chart'!$B$1:$S$1,0)))),base,IF(OR(cat="Status",pow=0),0,FLOOR(FLOOR(FLOOR((2*XLOOKUP($Q58,'Threshold Summary'!$Y:$Y,'Threshold Summary'!$L:$L,"")/5+2)*pow*atk/def)/50)+2)),modifier,stab*eff,AVERAGE(ARRAYFORMULA(FLOOR(base*modifier*SEQUENCE(16,1,85,1)/100)))),0)</f>
        <v/>
      </c>
      <c r="M58" s="3">
        <f>IFERROR(LET(mtype,XLOOKUP($D58,'Move Editor'!$B:$B,'Move Editor'!$C:$C,""),cat,XLOOKUP($D58,'Move Editor'!$B:$B,'Move Editor'!$D:$D,""),pow,XLOOKUP($D58,'Move Editor'!$B:$B,'Move Editor'!$E:$E,0),acc,XLOOKUP($D58,'Move Editor'!$B:$B,'Move Editor'!$F:$F,100),atk,IF(cat="Physical",FLOOR((FLOOR(((2*XLOOKUP(XLOOKUP($Q58,'Threshold Summary'!$Y:$Y,'Threshold Summary'!$K:$K,""),'Pokemon Editor'!$A:$A,'Pokemon Editor'!$F:$F,0)+31+FLOOR(XLOOKUP($Q58,'Threshold Summary'!$Y:$Y,'Threshold Summary'!$P:$P,"")/4))*XLOOKUP($Q58,'Threshold Summary'!$Y:$Y,'Threshold Summary'!$L:$L,""))/100)+5)*XLOOKUP(XLOOKUP($Q58,'Threshold Summary'!$Y:$Y,'Threshold Summary'!$M:$M,""),'Nature Editor'!$A:$A,'Nature Editor'!$B:$B,1)),FLOOR((FLOOR(((2*XLOOKUP(XLOOKUP($Q58,'Threshold Summary'!$Y:$Y,'Threshold Summary'!$K:$K,""),'Pokemon Editor'!$A:$A,'Pokemon Editor'!$H:$H,0)+31+FLOOR(XLOOKUP($Q58,'Threshold Summary'!$Y:$Y,'Threshold Summary'!$R:$R,"")/4))*XLOOKUP($Q58,'Threshold Summary'!$Y:$Y,'Threshold Summary'!$L:$L,""))/100)+5)*XLOOKUP(XLOOKUP($Q58,'Threshold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Editor'!$E:$E,1))),stab,IF(OR(mtype=XLOOKUP(XLOOKUP($Q58,'Threshold Summary'!$Y:$Y,'Threshold Summary'!$K:$K,""),'Pokemon Editor'!$A:$A,'Pokemon Editor'!$C:$C,""),mtype=XLOOKUP(XLOOKUP($Q58,'Threshold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Chart'!$B$1:$S$1,0)))),base,IF(OR(cat="Status",pow=0),0,FLOOR(FLOOR(FLOOR((2*XLOOKUP($Q58,'Threshold Summary'!$Y:$Y,'Threshold Summary'!$L:$L,"")/5+2)*pow*atk/def)/50)+2)),modifier,stab*eff,AVERAGE(ARRAYFORMULA(FLOOR(base*modifier*SEQUENCE(16,1,85,1)/100)))*MIN(1,acc/100)),0)</f>
        <v/>
      </c>
      <c r="N58" s="4">
        <f>IFERROR(LET(mtype,XLOOKUP($D58,'Move Editor'!$B:$B,'Move Editor'!$C:$C,""),cat,XLOOKUP($D58,'Move Editor'!$B:$B,'Move Editor'!$D:$D,""),pow,XLOOKUP($D58,'Move Editor'!$B:$B,'Move Editor'!$E:$E,0),acc,XLOOKUP($D58,'Move Editor'!$B:$B,'Move Editor'!$F:$F,100),atk,IF(cat="Physical",FLOOR((FLOOR(((2*XLOOKUP(XLOOKUP($Q58,'Threshold Summary'!$Y:$Y,'Threshold Summary'!$K:$K,""),'Pokemon Editor'!$A:$A,'Pokemon Editor'!$F:$F,0)+31+FLOOR(XLOOKUP($Q58,'Threshold Summary'!$Y:$Y,'Threshold Summary'!$P:$P,"")/4))*XLOOKUP($Q58,'Threshold Summary'!$Y:$Y,'Threshold Summary'!$L:$L,""))/100)+5)*XLOOKUP(XLOOKUP($Q58,'Threshold Summary'!$Y:$Y,'Threshold Summary'!$M:$M,""),'Nature Editor'!$A:$A,'Nature Editor'!$B:$B,1)),FLOOR((FLOOR(((2*XLOOKUP(XLOOKUP($Q58,'Threshold Summary'!$Y:$Y,'Threshold Summary'!$K:$K,""),'Pokemon Editor'!$A:$A,'Pokemon Editor'!$H:$H,0)+31+FLOOR(XLOOKUP($Q58,'Threshold Summary'!$Y:$Y,'Threshold Summary'!$R:$R,"")/4))*XLOOKUP($Q58,'Threshold Summary'!$Y:$Y,'Threshold Summary'!$L:$L,""))/100)+5)*XLOOKUP(XLOOKUP($Q58,'Threshold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Editor'!$E:$E,1))),stab,IF(OR(mtype=XLOOKUP(XLOOKUP($Q58,'Threshold Summary'!$Y:$Y,'Threshold Summary'!$K:$K,""),'Pokemon Editor'!$A:$A,'Pokemon Editor'!$C:$C,""),mtype=XLOOKUP(XLOOKUP($Q58,'Threshold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Chart'!$B$1:$S$1,0)))),base,IF(OR(cat="Status",pow=0),0,FLOOR(FLOOR(FLOOR((2*XLOOKUP($Q58,'Threshold Summary'!$Y:$Y,'Threshold Summary'!$L:$L,"")/5+2)*pow*atk/def)/50)+2)),modifier,stab*eff,AVERAGE(ARRAYFORMULA(FLOOR(base*modifier*SEQUENCE(16,1,85,1)/100)))/(FLOOR(((2*XLOOKUP('Boss Editor'!$C$4,'Pokemon Editor'!$A:$A,'Pokemon Editor'!$E:$E,0)+31+FLOOR('Boss Editor'!$G$4/4))*'Boss Editor'!$D$4)/100)+'Boss Editor'!$D$4+10)),0)</f>
        <v/>
      </c>
      <c r="O58" s="3">
        <f>IF(N58&gt;=1,"OHKO",IF(N58&gt;=0.5,"2HKO",IF(N58&gt;=0.333,"3HKO",IF(N58&gt;=0.25,"4HKO","5HKO+"))))</f>
        <v/>
      </c>
      <c r="P58" s="3" t="inlineStr">
        <is>
          <t>Live from editable databases</t>
        </is>
      </c>
      <c r="Q58" s="3" t="inlineStr">
        <is>
          <t>SPECIES_SENTRET</t>
        </is>
      </c>
      <c r="R58" s="3" t="n">
        <v>25</v>
      </c>
    </row>
    <row r="59">
      <c r="A59" s="3">
        <f>XLOOKUP($Q59,'Threshold Summary'!$Y:$Y,'Threshold Summary'!$A:$A,"")</f>
        <v/>
      </c>
      <c r="B59" s="3">
        <f>XLOOKUP($Q59,'Threshold Summary'!$Y:$Y,'Threshold Summary'!$M:$M,"")</f>
        <v/>
      </c>
      <c r="C59" s="3">
        <f>XLOOKUP($Q59,'Threshold Summary'!$Y:$Y,'Threshold Summary'!$N:$N,"")</f>
        <v/>
      </c>
      <c r="D59" s="3">
        <f>IFERROR(INDEX(FILTER('Learnset Editor'!$D$2:$D,'Learnset Editor'!$A$2:$A=XLOOKUP($Q59,'Threshold Summary'!$Y:$Y,'Threshold Summary'!$K:$K,""),'Learnset Editor'!$C$2:$C&lt;=XLOOKUP($Q59,'Threshold Summary'!$Y:$Y,'Threshold Summary'!$L:$L,"")),$R59),"")</f>
        <v/>
      </c>
      <c r="E59" s="3">
        <f>XLOOKUP(D59,'Move Editor'!$B:$B,'Move Editor'!$C:$C,"")</f>
        <v/>
      </c>
      <c r="F59" s="3">
        <f>XLOOKUP(D59,'Move Editor'!$B:$B,'Move Editor'!$D:$D,"")</f>
        <v/>
      </c>
      <c r="G59" s="3">
        <f>XLOOKUP(D59,'Move Editor'!$B:$B,'Move Editor'!$E:$E,0)</f>
        <v/>
      </c>
      <c r="H59" s="3">
        <f>XLOOKUP(D59,'Move Editor'!$B:$B,'Move Editor'!$F:$F,0)</f>
        <v/>
      </c>
      <c r="I59" s="3">
        <f>(INDEX('Type Chart'!$B:$S,MATCH(E59,'Type Chart'!$A:$A,0),MATCH(XLOOKUP('Boss Editor'!$C$4,'Pokemon Editor'!$A:$A,'Pokemon Editor'!$C:$C,""),'Type Chart'!$B$1:$S$1,0))*IF(XLOOKUP('Boss Editor'!$C$4,'Pokemon Editor'!$A:$A,'Pokemon Editor'!$D:$D,"")="",1,INDEX('Type Chart'!$B:$S,MATCH(E59,'Type Chart'!$A:$A,0),MATCH(XLOOKUP('Boss Editor'!$C$4,'Pokemon Editor'!$A:$A,'Pokemon Editor'!$D:$D,""),'Type Chart'!$B$1:$S$1,0))))</f>
        <v/>
      </c>
      <c r="J59" s="3">
        <f>IFERROR(LET(mtype,XLOOKUP($D59,'Move Editor'!$B:$B,'Move Editor'!$C:$C,""),cat,XLOOKUP($D59,'Move Editor'!$B:$B,'Move Editor'!$D:$D,""),pow,XLOOKUP($D59,'Move Editor'!$B:$B,'Move Editor'!$E:$E,0),acc,XLOOKUP($D59,'Move Editor'!$B:$B,'Move Editor'!$F:$F,100),atk,IF(cat="Physical",FLOOR((FLOOR(((2*XLOOKUP(XLOOKUP($Q59,'Threshold Summary'!$Y:$Y,'Threshold Summary'!$K:$K,""),'Pokemon Editor'!$A:$A,'Pokemon Editor'!$F:$F,0)+31+FLOOR(XLOOKUP($Q59,'Threshold Summary'!$Y:$Y,'Threshold Summary'!$P:$P,"")/4))*XLOOKUP($Q59,'Threshold Summary'!$Y:$Y,'Threshold Summary'!$L:$L,""))/100)+5)*XLOOKUP(XLOOKUP($Q59,'Threshold Summary'!$Y:$Y,'Threshold Summary'!$M:$M,""),'Nature Editor'!$A:$A,'Nature Editor'!$B:$B,1)),FLOOR((FLOOR(((2*XLOOKUP(XLOOKUP($Q59,'Threshold Summary'!$Y:$Y,'Threshold Summary'!$K:$K,""),'Pokemon Editor'!$A:$A,'Pokemon Editor'!$H:$H,0)+31+FLOOR(XLOOKUP($Q59,'Threshold Summary'!$Y:$Y,'Threshold Summary'!$R:$R,"")/4))*XLOOKUP($Q59,'Threshold Summary'!$Y:$Y,'Threshold Summary'!$L:$L,""))/100)+5)*XLOOKUP(XLOOKUP($Q59,'Threshold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Editor'!$E:$E,1))),stab,IF(OR(mtype=XLOOKUP(XLOOKUP($Q59,'Threshold Summary'!$Y:$Y,'Threshold Summary'!$K:$K,""),'Pokemon Editor'!$A:$A,'Pokemon Editor'!$C:$C,""),mtype=XLOOKUP(XLOOKUP($Q59,'Threshold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Chart'!$B$1:$S$1,0)))),base,IF(OR(cat="Status",pow=0),0,FLOOR(FLOOR(FLOOR((2*XLOOKUP($Q59,'Threshold Summary'!$Y:$Y,'Threshold Summary'!$L:$L,"")/5+2)*pow*atk/def)/50)+2)),modifier,stab*eff,FLOOR(base*modifier*0.85)),0)</f>
        <v/>
      </c>
      <c r="K59" s="3">
        <f>IFERROR(LET(mtype,XLOOKUP($D59,'Move Editor'!$B:$B,'Move Editor'!$C:$C,""),cat,XLOOKUP($D59,'Move Editor'!$B:$B,'Move Editor'!$D:$D,""),pow,XLOOKUP($D59,'Move Editor'!$B:$B,'Move Editor'!$E:$E,0),acc,XLOOKUP($D59,'Move Editor'!$B:$B,'Move Editor'!$F:$F,100),atk,IF(cat="Physical",FLOOR((FLOOR(((2*XLOOKUP(XLOOKUP($Q59,'Threshold Summary'!$Y:$Y,'Threshold Summary'!$K:$K,""),'Pokemon Editor'!$A:$A,'Pokemon Editor'!$F:$F,0)+31+FLOOR(XLOOKUP($Q59,'Threshold Summary'!$Y:$Y,'Threshold Summary'!$P:$P,"")/4))*XLOOKUP($Q59,'Threshold Summary'!$Y:$Y,'Threshold Summary'!$L:$L,""))/100)+5)*XLOOKUP(XLOOKUP($Q59,'Threshold Summary'!$Y:$Y,'Threshold Summary'!$M:$M,""),'Nature Editor'!$A:$A,'Nature Editor'!$B:$B,1)),FLOOR((FLOOR(((2*XLOOKUP(XLOOKUP($Q59,'Threshold Summary'!$Y:$Y,'Threshold Summary'!$K:$K,""),'Pokemon Editor'!$A:$A,'Pokemon Editor'!$H:$H,0)+31+FLOOR(XLOOKUP($Q59,'Threshold Summary'!$Y:$Y,'Threshold Summary'!$R:$R,"")/4))*XLOOKUP($Q59,'Threshold Summary'!$Y:$Y,'Threshold Summary'!$L:$L,""))/100)+5)*XLOOKUP(XLOOKUP($Q59,'Threshold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Editor'!$E:$E,1))),stab,IF(OR(mtype=XLOOKUP(XLOOKUP($Q59,'Threshold Summary'!$Y:$Y,'Threshold Summary'!$K:$K,""),'Pokemon Editor'!$A:$A,'Pokemon Editor'!$C:$C,""),mtype=XLOOKUP(XLOOKUP($Q59,'Threshold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Chart'!$B$1:$S$1,0)))),base,IF(OR(cat="Status",pow=0),0,FLOOR(FLOOR(FLOOR((2*XLOOKUP($Q59,'Threshold Summary'!$Y:$Y,'Threshold Summary'!$L:$L,"")/5+2)*pow*atk/def)/50)+2)),modifier,stab*eff,FLOOR(base*modifier)),0)</f>
        <v/>
      </c>
      <c r="L59" s="3">
        <f>IFERROR(LET(mtype,XLOOKUP($D59,'Move Editor'!$B:$B,'Move Editor'!$C:$C,""),cat,XLOOKUP($D59,'Move Editor'!$B:$B,'Move Editor'!$D:$D,""),pow,XLOOKUP($D59,'Move Editor'!$B:$B,'Move Editor'!$E:$E,0),acc,XLOOKUP($D59,'Move Editor'!$B:$B,'Move Editor'!$F:$F,100),atk,IF(cat="Physical",FLOOR((FLOOR(((2*XLOOKUP(XLOOKUP($Q59,'Threshold Summary'!$Y:$Y,'Threshold Summary'!$K:$K,""),'Pokemon Editor'!$A:$A,'Pokemon Editor'!$F:$F,0)+31+FLOOR(XLOOKUP($Q59,'Threshold Summary'!$Y:$Y,'Threshold Summary'!$P:$P,"")/4))*XLOOKUP($Q59,'Threshold Summary'!$Y:$Y,'Threshold Summary'!$L:$L,""))/100)+5)*XLOOKUP(XLOOKUP($Q59,'Threshold Summary'!$Y:$Y,'Threshold Summary'!$M:$M,""),'Nature Editor'!$A:$A,'Nature Editor'!$B:$B,1)),FLOOR((FLOOR(((2*XLOOKUP(XLOOKUP($Q59,'Threshold Summary'!$Y:$Y,'Threshold Summary'!$K:$K,""),'Pokemon Editor'!$A:$A,'Pokemon Editor'!$H:$H,0)+31+FLOOR(XLOOKUP($Q59,'Threshold Summary'!$Y:$Y,'Threshold Summary'!$R:$R,"")/4))*XLOOKUP($Q59,'Threshold Summary'!$Y:$Y,'Threshold Summary'!$L:$L,""))/100)+5)*XLOOKUP(XLOOKUP($Q59,'Threshold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Editor'!$E:$E,1))),stab,IF(OR(mtype=XLOOKUP(XLOOKUP($Q59,'Threshold Summary'!$Y:$Y,'Threshold Summary'!$K:$K,""),'Pokemon Editor'!$A:$A,'Pokemon Editor'!$C:$C,""),mtype=XLOOKUP(XLOOKUP($Q59,'Threshold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Chart'!$B$1:$S$1,0)))),base,IF(OR(cat="Status",pow=0),0,FLOOR(FLOOR(FLOOR((2*XLOOKUP($Q59,'Threshold Summary'!$Y:$Y,'Threshold Summary'!$L:$L,"")/5+2)*pow*atk/def)/50)+2)),modifier,stab*eff,AVERAGE(ARRAYFORMULA(FLOOR(base*modifier*SEQUENCE(16,1,85,1)/100)))),0)</f>
        <v/>
      </c>
      <c r="M59" s="3">
        <f>IFERROR(LET(mtype,XLOOKUP($D59,'Move Editor'!$B:$B,'Move Editor'!$C:$C,""),cat,XLOOKUP($D59,'Move Editor'!$B:$B,'Move Editor'!$D:$D,""),pow,XLOOKUP($D59,'Move Editor'!$B:$B,'Move Editor'!$E:$E,0),acc,XLOOKUP($D59,'Move Editor'!$B:$B,'Move Editor'!$F:$F,100),atk,IF(cat="Physical",FLOOR((FLOOR(((2*XLOOKUP(XLOOKUP($Q59,'Threshold Summary'!$Y:$Y,'Threshold Summary'!$K:$K,""),'Pokemon Editor'!$A:$A,'Pokemon Editor'!$F:$F,0)+31+FLOOR(XLOOKUP($Q59,'Threshold Summary'!$Y:$Y,'Threshold Summary'!$P:$P,"")/4))*XLOOKUP($Q59,'Threshold Summary'!$Y:$Y,'Threshold Summary'!$L:$L,""))/100)+5)*XLOOKUP(XLOOKUP($Q59,'Threshold Summary'!$Y:$Y,'Threshold Summary'!$M:$M,""),'Nature Editor'!$A:$A,'Nature Editor'!$B:$B,1)),FLOOR((FLOOR(((2*XLOOKUP(XLOOKUP($Q59,'Threshold Summary'!$Y:$Y,'Threshold Summary'!$K:$K,""),'Pokemon Editor'!$A:$A,'Pokemon Editor'!$H:$H,0)+31+FLOOR(XLOOKUP($Q59,'Threshold Summary'!$Y:$Y,'Threshold Summary'!$R:$R,"")/4))*XLOOKUP($Q59,'Threshold Summary'!$Y:$Y,'Threshold Summary'!$L:$L,""))/100)+5)*XLOOKUP(XLOOKUP($Q59,'Threshold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Editor'!$E:$E,1))),stab,IF(OR(mtype=XLOOKUP(XLOOKUP($Q59,'Threshold Summary'!$Y:$Y,'Threshold Summary'!$K:$K,""),'Pokemon Editor'!$A:$A,'Pokemon Editor'!$C:$C,""),mtype=XLOOKUP(XLOOKUP($Q59,'Threshold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Chart'!$B$1:$S$1,0)))),base,IF(OR(cat="Status",pow=0),0,FLOOR(FLOOR(FLOOR((2*XLOOKUP($Q59,'Threshold Summary'!$Y:$Y,'Threshold Summary'!$L:$L,"")/5+2)*pow*atk/def)/50)+2)),modifier,stab*eff,AVERAGE(ARRAYFORMULA(FLOOR(base*modifier*SEQUENCE(16,1,85,1)/100)))*MIN(1,acc/100)),0)</f>
        <v/>
      </c>
      <c r="N59" s="4">
        <f>IFERROR(LET(mtype,XLOOKUP($D59,'Move Editor'!$B:$B,'Move Editor'!$C:$C,""),cat,XLOOKUP($D59,'Move Editor'!$B:$B,'Move Editor'!$D:$D,""),pow,XLOOKUP($D59,'Move Editor'!$B:$B,'Move Editor'!$E:$E,0),acc,XLOOKUP($D59,'Move Editor'!$B:$B,'Move Editor'!$F:$F,100),atk,IF(cat="Physical",FLOOR((FLOOR(((2*XLOOKUP(XLOOKUP($Q59,'Threshold Summary'!$Y:$Y,'Threshold Summary'!$K:$K,""),'Pokemon Editor'!$A:$A,'Pokemon Editor'!$F:$F,0)+31+FLOOR(XLOOKUP($Q59,'Threshold Summary'!$Y:$Y,'Threshold Summary'!$P:$P,"")/4))*XLOOKUP($Q59,'Threshold Summary'!$Y:$Y,'Threshold Summary'!$L:$L,""))/100)+5)*XLOOKUP(XLOOKUP($Q59,'Threshold Summary'!$Y:$Y,'Threshold Summary'!$M:$M,""),'Nature Editor'!$A:$A,'Nature Editor'!$B:$B,1)),FLOOR((FLOOR(((2*XLOOKUP(XLOOKUP($Q59,'Threshold Summary'!$Y:$Y,'Threshold Summary'!$K:$K,""),'Pokemon Editor'!$A:$A,'Pokemon Editor'!$H:$H,0)+31+FLOOR(XLOOKUP($Q59,'Threshold Summary'!$Y:$Y,'Threshold Summary'!$R:$R,"")/4))*XLOOKUP($Q59,'Threshold Summary'!$Y:$Y,'Threshold Summary'!$L:$L,""))/100)+5)*XLOOKUP(XLOOKUP($Q59,'Threshold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Editor'!$E:$E,1))),stab,IF(OR(mtype=XLOOKUP(XLOOKUP($Q59,'Threshold Summary'!$Y:$Y,'Threshold Summary'!$K:$K,""),'Pokemon Editor'!$A:$A,'Pokemon Editor'!$C:$C,""),mtype=XLOOKUP(XLOOKUP($Q59,'Threshold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Chart'!$B$1:$S$1,0)))),base,IF(OR(cat="Status",pow=0),0,FLOOR(FLOOR(FLOOR((2*XLOOKUP($Q59,'Threshold Summary'!$Y:$Y,'Threshold Summary'!$L:$L,"")/5+2)*pow*atk/def)/50)+2)),modifier,stab*eff,AVERAGE(ARRAYFORMULA(FLOOR(base*modifier*SEQUENCE(16,1,85,1)/100)))/(FLOOR(((2*XLOOKUP('Boss Editor'!$C$4,'Pokemon Editor'!$A:$A,'Pokemon Editor'!$E:$E,0)+31+FLOOR('Boss Editor'!$G$4/4))*'Boss Editor'!$D$4)/100)+'Boss Editor'!$D$4+10)),0)</f>
        <v/>
      </c>
      <c r="O59" s="3">
        <f>IF(N59&gt;=1,"OHKO",IF(N59&gt;=0.5,"2HKO",IF(N59&gt;=0.333,"3HKO",IF(N59&gt;=0.25,"4HKO","5HKO+"))))</f>
        <v/>
      </c>
      <c r="P59" s="3" t="inlineStr">
        <is>
          <t>Live from editable databases</t>
        </is>
      </c>
      <c r="Q59" s="3" t="inlineStr">
        <is>
          <t>SPECIES_SENTRET</t>
        </is>
      </c>
      <c r="R59" s="3" t="n">
        <v>26</v>
      </c>
    </row>
    <row r="60">
      <c r="A60" s="3">
        <f>XLOOKUP($Q60,'Threshold Summary'!$Y:$Y,'Threshold Summary'!$A:$A,"")</f>
        <v/>
      </c>
      <c r="B60" s="3">
        <f>XLOOKUP($Q60,'Threshold Summary'!$Y:$Y,'Threshold Summary'!$M:$M,"")</f>
        <v/>
      </c>
      <c r="C60" s="3">
        <f>XLOOKUP($Q60,'Threshold Summary'!$Y:$Y,'Threshold Summary'!$N:$N,"")</f>
        <v/>
      </c>
      <c r="D60" s="3">
        <f>IFERROR(INDEX(FILTER('Learnset Editor'!$D$2:$D,'Learnset Editor'!$A$2:$A=XLOOKUP($Q60,'Threshold Summary'!$Y:$Y,'Threshold Summary'!$K:$K,""),'Learnset Editor'!$C$2:$C&lt;=XLOOKUP($Q60,'Threshold Summary'!$Y:$Y,'Threshold Summary'!$L:$L,"")),$R60),"")</f>
        <v/>
      </c>
      <c r="E60" s="3">
        <f>XLOOKUP(D60,'Move Editor'!$B:$B,'Move Editor'!$C:$C,"")</f>
        <v/>
      </c>
      <c r="F60" s="3">
        <f>XLOOKUP(D60,'Move Editor'!$B:$B,'Move Editor'!$D:$D,"")</f>
        <v/>
      </c>
      <c r="G60" s="3">
        <f>XLOOKUP(D60,'Move Editor'!$B:$B,'Move Editor'!$E:$E,0)</f>
        <v/>
      </c>
      <c r="H60" s="3">
        <f>XLOOKUP(D60,'Move Editor'!$B:$B,'Move Editor'!$F:$F,0)</f>
        <v/>
      </c>
      <c r="I60" s="3">
        <f>(INDEX('Type Chart'!$B:$S,MATCH(E60,'Type Chart'!$A:$A,0),MATCH(XLOOKUP('Boss Editor'!$C$4,'Pokemon Editor'!$A:$A,'Pokemon Editor'!$C:$C,""),'Type Chart'!$B$1:$S$1,0))*IF(XLOOKUP('Boss Editor'!$C$4,'Pokemon Editor'!$A:$A,'Pokemon Editor'!$D:$D,"")="",1,INDEX('Type Chart'!$B:$S,MATCH(E60,'Type Chart'!$A:$A,0),MATCH(XLOOKUP('Boss Editor'!$C$4,'Pokemon Editor'!$A:$A,'Pokemon Editor'!$D:$D,""),'Type Chart'!$B$1:$S$1,0))))</f>
        <v/>
      </c>
      <c r="J60" s="3">
        <f>IFERROR(LET(mtype,XLOOKUP($D60,'Move Editor'!$B:$B,'Move Editor'!$C:$C,""),cat,XLOOKUP($D60,'Move Editor'!$B:$B,'Move Editor'!$D:$D,""),pow,XLOOKUP($D60,'Move Editor'!$B:$B,'Move Editor'!$E:$E,0),acc,XLOOKUP($D60,'Move Editor'!$B:$B,'Move Editor'!$F:$F,100),atk,IF(cat="Physical",FLOOR((FLOOR(((2*XLOOKUP(XLOOKUP($Q60,'Threshold Summary'!$Y:$Y,'Threshold Summary'!$K:$K,""),'Pokemon Editor'!$A:$A,'Pokemon Editor'!$F:$F,0)+31+FLOOR(XLOOKUP($Q60,'Threshold Summary'!$Y:$Y,'Threshold Summary'!$P:$P,"")/4))*XLOOKUP($Q60,'Threshold Summary'!$Y:$Y,'Threshold Summary'!$L:$L,""))/100)+5)*XLOOKUP(XLOOKUP($Q60,'Threshold Summary'!$Y:$Y,'Threshold Summary'!$M:$M,""),'Nature Editor'!$A:$A,'Nature Editor'!$B:$B,1)),FLOOR((FLOOR(((2*XLOOKUP(XLOOKUP($Q60,'Threshold Summary'!$Y:$Y,'Threshold Summary'!$K:$K,""),'Pokemon Editor'!$A:$A,'Pokemon Editor'!$H:$H,0)+31+FLOOR(XLOOKUP($Q60,'Threshold Summary'!$Y:$Y,'Threshold Summary'!$R:$R,"")/4))*XLOOKUP($Q60,'Threshold Summary'!$Y:$Y,'Threshold Summary'!$L:$L,""))/100)+5)*XLOOKUP(XLOOKUP($Q60,'Threshold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Editor'!$E:$E,1))),stab,IF(OR(mtype=XLOOKUP(XLOOKUP($Q60,'Threshold Summary'!$Y:$Y,'Threshold Summary'!$K:$K,""),'Pokemon Editor'!$A:$A,'Pokemon Editor'!$C:$C,""),mtype=XLOOKUP(XLOOKUP($Q60,'Threshold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Chart'!$B$1:$S$1,0)))),base,IF(OR(cat="Status",pow=0),0,FLOOR(FLOOR(FLOOR((2*XLOOKUP($Q60,'Threshold Summary'!$Y:$Y,'Threshold Summary'!$L:$L,"")/5+2)*pow*atk/def)/50)+2)),modifier,stab*eff,FLOOR(base*modifier*0.85)),0)</f>
        <v/>
      </c>
      <c r="K60" s="3">
        <f>IFERROR(LET(mtype,XLOOKUP($D60,'Move Editor'!$B:$B,'Move Editor'!$C:$C,""),cat,XLOOKUP($D60,'Move Editor'!$B:$B,'Move Editor'!$D:$D,""),pow,XLOOKUP($D60,'Move Editor'!$B:$B,'Move Editor'!$E:$E,0),acc,XLOOKUP($D60,'Move Editor'!$B:$B,'Move Editor'!$F:$F,100),atk,IF(cat="Physical",FLOOR((FLOOR(((2*XLOOKUP(XLOOKUP($Q60,'Threshold Summary'!$Y:$Y,'Threshold Summary'!$K:$K,""),'Pokemon Editor'!$A:$A,'Pokemon Editor'!$F:$F,0)+31+FLOOR(XLOOKUP($Q60,'Threshold Summary'!$Y:$Y,'Threshold Summary'!$P:$P,"")/4))*XLOOKUP($Q60,'Threshold Summary'!$Y:$Y,'Threshold Summary'!$L:$L,""))/100)+5)*XLOOKUP(XLOOKUP($Q60,'Threshold Summary'!$Y:$Y,'Threshold Summary'!$M:$M,""),'Nature Editor'!$A:$A,'Nature Editor'!$B:$B,1)),FLOOR((FLOOR(((2*XLOOKUP(XLOOKUP($Q60,'Threshold Summary'!$Y:$Y,'Threshold Summary'!$K:$K,""),'Pokemon Editor'!$A:$A,'Pokemon Editor'!$H:$H,0)+31+FLOOR(XLOOKUP($Q60,'Threshold Summary'!$Y:$Y,'Threshold Summary'!$R:$R,"")/4))*XLOOKUP($Q60,'Threshold Summary'!$Y:$Y,'Threshold Summary'!$L:$L,""))/100)+5)*XLOOKUP(XLOOKUP($Q60,'Threshold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Editor'!$E:$E,1))),stab,IF(OR(mtype=XLOOKUP(XLOOKUP($Q60,'Threshold Summary'!$Y:$Y,'Threshold Summary'!$K:$K,""),'Pokemon Editor'!$A:$A,'Pokemon Editor'!$C:$C,""),mtype=XLOOKUP(XLOOKUP($Q60,'Threshold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Chart'!$B$1:$S$1,0)))),base,IF(OR(cat="Status",pow=0),0,FLOOR(FLOOR(FLOOR((2*XLOOKUP($Q60,'Threshold Summary'!$Y:$Y,'Threshold Summary'!$L:$L,"")/5+2)*pow*atk/def)/50)+2)),modifier,stab*eff,FLOOR(base*modifier)),0)</f>
        <v/>
      </c>
      <c r="L60" s="3">
        <f>IFERROR(LET(mtype,XLOOKUP($D60,'Move Editor'!$B:$B,'Move Editor'!$C:$C,""),cat,XLOOKUP($D60,'Move Editor'!$B:$B,'Move Editor'!$D:$D,""),pow,XLOOKUP($D60,'Move Editor'!$B:$B,'Move Editor'!$E:$E,0),acc,XLOOKUP($D60,'Move Editor'!$B:$B,'Move Editor'!$F:$F,100),atk,IF(cat="Physical",FLOOR((FLOOR(((2*XLOOKUP(XLOOKUP($Q60,'Threshold Summary'!$Y:$Y,'Threshold Summary'!$K:$K,""),'Pokemon Editor'!$A:$A,'Pokemon Editor'!$F:$F,0)+31+FLOOR(XLOOKUP($Q60,'Threshold Summary'!$Y:$Y,'Threshold Summary'!$P:$P,"")/4))*XLOOKUP($Q60,'Threshold Summary'!$Y:$Y,'Threshold Summary'!$L:$L,""))/100)+5)*XLOOKUP(XLOOKUP($Q60,'Threshold Summary'!$Y:$Y,'Threshold Summary'!$M:$M,""),'Nature Editor'!$A:$A,'Nature Editor'!$B:$B,1)),FLOOR((FLOOR(((2*XLOOKUP(XLOOKUP($Q60,'Threshold Summary'!$Y:$Y,'Threshold Summary'!$K:$K,""),'Pokemon Editor'!$A:$A,'Pokemon Editor'!$H:$H,0)+31+FLOOR(XLOOKUP($Q60,'Threshold Summary'!$Y:$Y,'Threshold Summary'!$R:$R,"")/4))*XLOOKUP($Q60,'Threshold Summary'!$Y:$Y,'Threshold Summary'!$L:$L,""))/100)+5)*XLOOKUP(XLOOKUP($Q60,'Threshold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Editor'!$E:$E,1))),stab,IF(OR(mtype=XLOOKUP(XLOOKUP($Q60,'Threshold Summary'!$Y:$Y,'Threshold Summary'!$K:$K,""),'Pokemon Editor'!$A:$A,'Pokemon Editor'!$C:$C,""),mtype=XLOOKUP(XLOOKUP($Q60,'Threshold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Chart'!$B$1:$S$1,0)))),base,IF(OR(cat="Status",pow=0),0,FLOOR(FLOOR(FLOOR((2*XLOOKUP($Q60,'Threshold Summary'!$Y:$Y,'Threshold Summary'!$L:$L,"")/5+2)*pow*atk/def)/50)+2)),modifier,stab*eff,AVERAGE(ARRAYFORMULA(FLOOR(base*modifier*SEQUENCE(16,1,85,1)/100)))),0)</f>
        <v/>
      </c>
      <c r="M60" s="3">
        <f>IFERROR(LET(mtype,XLOOKUP($D60,'Move Editor'!$B:$B,'Move Editor'!$C:$C,""),cat,XLOOKUP($D60,'Move Editor'!$B:$B,'Move Editor'!$D:$D,""),pow,XLOOKUP($D60,'Move Editor'!$B:$B,'Move Editor'!$E:$E,0),acc,XLOOKUP($D60,'Move Editor'!$B:$B,'Move Editor'!$F:$F,100),atk,IF(cat="Physical",FLOOR((FLOOR(((2*XLOOKUP(XLOOKUP($Q60,'Threshold Summary'!$Y:$Y,'Threshold Summary'!$K:$K,""),'Pokemon Editor'!$A:$A,'Pokemon Editor'!$F:$F,0)+31+FLOOR(XLOOKUP($Q60,'Threshold Summary'!$Y:$Y,'Threshold Summary'!$P:$P,"")/4))*XLOOKUP($Q60,'Threshold Summary'!$Y:$Y,'Threshold Summary'!$L:$L,""))/100)+5)*XLOOKUP(XLOOKUP($Q60,'Threshold Summary'!$Y:$Y,'Threshold Summary'!$M:$M,""),'Nature Editor'!$A:$A,'Nature Editor'!$B:$B,1)),FLOOR((FLOOR(((2*XLOOKUP(XLOOKUP($Q60,'Threshold Summary'!$Y:$Y,'Threshold Summary'!$K:$K,""),'Pokemon Editor'!$A:$A,'Pokemon Editor'!$H:$H,0)+31+FLOOR(XLOOKUP($Q60,'Threshold Summary'!$Y:$Y,'Threshold Summary'!$R:$R,"")/4))*XLOOKUP($Q60,'Threshold Summary'!$Y:$Y,'Threshold Summary'!$L:$L,""))/100)+5)*XLOOKUP(XLOOKUP($Q60,'Threshold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Editor'!$E:$E,1))),stab,IF(OR(mtype=XLOOKUP(XLOOKUP($Q60,'Threshold Summary'!$Y:$Y,'Threshold Summary'!$K:$K,""),'Pokemon Editor'!$A:$A,'Pokemon Editor'!$C:$C,""),mtype=XLOOKUP(XLOOKUP($Q60,'Threshold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Chart'!$B$1:$S$1,0)))),base,IF(OR(cat="Status",pow=0),0,FLOOR(FLOOR(FLOOR((2*XLOOKUP($Q60,'Threshold Summary'!$Y:$Y,'Threshold Summary'!$L:$L,"")/5+2)*pow*atk/def)/50)+2)),modifier,stab*eff,AVERAGE(ARRAYFORMULA(FLOOR(base*modifier*SEQUENCE(16,1,85,1)/100)))*MIN(1,acc/100)),0)</f>
        <v/>
      </c>
      <c r="N60" s="4">
        <f>IFERROR(LET(mtype,XLOOKUP($D60,'Move Editor'!$B:$B,'Move Editor'!$C:$C,""),cat,XLOOKUP($D60,'Move Editor'!$B:$B,'Move Editor'!$D:$D,""),pow,XLOOKUP($D60,'Move Editor'!$B:$B,'Move Editor'!$E:$E,0),acc,XLOOKUP($D60,'Move Editor'!$B:$B,'Move Editor'!$F:$F,100),atk,IF(cat="Physical",FLOOR((FLOOR(((2*XLOOKUP(XLOOKUP($Q60,'Threshold Summary'!$Y:$Y,'Threshold Summary'!$K:$K,""),'Pokemon Editor'!$A:$A,'Pokemon Editor'!$F:$F,0)+31+FLOOR(XLOOKUP($Q60,'Threshold Summary'!$Y:$Y,'Threshold Summary'!$P:$P,"")/4))*XLOOKUP($Q60,'Threshold Summary'!$Y:$Y,'Threshold Summary'!$L:$L,""))/100)+5)*XLOOKUP(XLOOKUP($Q60,'Threshold Summary'!$Y:$Y,'Threshold Summary'!$M:$M,""),'Nature Editor'!$A:$A,'Nature Editor'!$B:$B,1)),FLOOR((FLOOR(((2*XLOOKUP(XLOOKUP($Q60,'Threshold Summary'!$Y:$Y,'Threshold Summary'!$K:$K,""),'Pokemon Editor'!$A:$A,'Pokemon Editor'!$H:$H,0)+31+FLOOR(XLOOKUP($Q60,'Threshold Summary'!$Y:$Y,'Threshold Summary'!$R:$R,"")/4))*XLOOKUP($Q60,'Threshold Summary'!$Y:$Y,'Threshold Summary'!$L:$L,""))/100)+5)*XLOOKUP(XLOOKUP($Q60,'Threshold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Editor'!$E:$E,1))),stab,IF(OR(mtype=XLOOKUP(XLOOKUP($Q60,'Threshold Summary'!$Y:$Y,'Threshold Summary'!$K:$K,""),'Pokemon Editor'!$A:$A,'Pokemon Editor'!$C:$C,""),mtype=XLOOKUP(XLOOKUP($Q60,'Threshold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Chart'!$B$1:$S$1,0)))),base,IF(OR(cat="Status",pow=0),0,FLOOR(FLOOR(FLOOR((2*XLOOKUP($Q60,'Threshold Summary'!$Y:$Y,'Threshold Summary'!$L:$L,"")/5+2)*pow*atk/def)/50)+2)),modifier,stab*eff,AVERAGE(ARRAYFORMULA(FLOOR(base*modifier*SEQUENCE(16,1,85,1)/100)))/(FLOOR(((2*XLOOKUP('Boss Editor'!$C$4,'Pokemon Editor'!$A:$A,'Pokemon Editor'!$E:$E,0)+31+FLOOR('Boss Editor'!$G$4/4))*'Boss Editor'!$D$4)/100)+'Boss Editor'!$D$4+10)),0)</f>
        <v/>
      </c>
      <c r="O60" s="3">
        <f>IF(N60&gt;=1,"OHKO",IF(N60&gt;=0.5,"2HKO",IF(N60&gt;=0.333,"3HKO",IF(N60&gt;=0.25,"4HKO","5HKO+"))))</f>
        <v/>
      </c>
      <c r="P60" s="3" t="inlineStr">
        <is>
          <t>Live from editable databases</t>
        </is>
      </c>
      <c r="Q60" s="3" t="inlineStr">
        <is>
          <t>SPECIES_SENTRET</t>
        </is>
      </c>
      <c r="R60" s="3" t="n">
        <v>27</v>
      </c>
    </row>
    <row r="61">
      <c r="A61" s="3">
        <f>XLOOKUP($Q61,'Threshold Summary'!$Y:$Y,'Threshold Summary'!$A:$A,"")</f>
        <v/>
      </c>
      <c r="B61" s="3">
        <f>XLOOKUP($Q61,'Threshold Summary'!$Y:$Y,'Threshold Summary'!$M:$M,"")</f>
        <v/>
      </c>
      <c r="C61" s="3">
        <f>XLOOKUP($Q61,'Threshold Summary'!$Y:$Y,'Threshold Summary'!$N:$N,"")</f>
        <v/>
      </c>
      <c r="D61" s="3">
        <f>IFERROR(INDEX(FILTER('Learnset Editor'!$D$2:$D,'Learnset Editor'!$A$2:$A=XLOOKUP($Q61,'Threshold Summary'!$Y:$Y,'Threshold Summary'!$K:$K,""),'Learnset Editor'!$C$2:$C&lt;=XLOOKUP($Q61,'Threshold Summary'!$Y:$Y,'Threshold Summary'!$L:$L,"")),$R61),"")</f>
        <v/>
      </c>
      <c r="E61" s="3">
        <f>XLOOKUP(D61,'Move Editor'!$B:$B,'Move Editor'!$C:$C,"")</f>
        <v/>
      </c>
      <c r="F61" s="3">
        <f>XLOOKUP(D61,'Move Editor'!$B:$B,'Move Editor'!$D:$D,"")</f>
        <v/>
      </c>
      <c r="G61" s="3">
        <f>XLOOKUP(D61,'Move Editor'!$B:$B,'Move Editor'!$E:$E,0)</f>
        <v/>
      </c>
      <c r="H61" s="3">
        <f>XLOOKUP(D61,'Move Editor'!$B:$B,'Move Editor'!$F:$F,0)</f>
        <v/>
      </c>
      <c r="I61" s="3">
        <f>(INDEX('Type Chart'!$B:$S,MATCH(E61,'Type Chart'!$A:$A,0),MATCH(XLOOKUP('Boss Editor'!$C$4,'Pokemon Editor'!$A:$A,'Pokemon Editor'!$C:$C,""),'Type Chart'!$B$1:$S$1,0))*IF(XLOOKUP('Boss Editor'!$C$4,'Pokemon Editor'!$A:$A,'Pokemon Editor'!$D:$D,"")="",1,INDEX('Type Chart'!$B:$S,MATCH(E61,'Type Chart'!$A:$A,0),MATCH(XLOOKUP('Boss Editor'!$C$4,'Pokemon Editor'!$A:$A,'Pokemon Editor'!$D:$D,""),'Type Chart'!$B$1:$S$1,0))))</f>
        <v/>
      </c>
      <c r="J61" s="3">
        <f>IFERROR(LET(mtype,XLOOKUP($D61,'Move Editor'!$B:$B,'Move Editor'!$C:$C,""),cat,XLOOKUP($D61,'Move Editor'!$B:$B,'Move Editor'!$D:$D,""),pow,XLOOKUP($D61,'Move Editor'!$B:$B,'Move Editor'!$E:$E,0),acc,XLOOKUP($D61,'Move Editor'!$B:$B,'Move Editor'!$F:$F,100),atk,IF(cat="Physical",FLOOR((FLOOR(((2*XLOOKUP(XLOOKUP($Q61,'Threshold Summary'!$Y:$Y,'Threshold Summary'!$K:$K,""),'Pokemon Editor'!$A:$A,'Pokemon Editor'!$F:$F,0)+31+FLOOR(XLOOKUP($Q61,'Threshold Summary'!$Y:$Y,'Threshold Summary'!$P:$P,"")/4))*XLOOKUP($Q61,'Threshold Summary'!$Y:$Y,'Threshold Summary'!$L:$L,""))/100)+5)*XLOOKUP(XLOOKUP($Q61,'Threshold Summary'!$Y:$Y,'Threshold Summary'!$M:$M,""),'Nature Editor'!$A:$A,'Nature Editor'!$B:$B,1)),FLOOR((FLOOR(((2*XLOOKUP(XLOOKUP($Q61,'Threshold Summary'!$Y:$Y,'Threshold Summary'!$K:$K,""),'Pokemon Editor'!$A:$A,'Pokemon Editor'!$H:$H,0)+31+FLOOR(XLOOKUP($Q61,'Threshold Summary'!$Y:$Y,'Threshold Summary'!$R:$R,"")/4))*XLOOKUP($Q61,'Threshold Summary'!$Y:$Y,'Threshold Summary'!$L:$L,""))/100)+5)*XLOOKUP(XLOOKUP($Q61,'Threshold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Editor'!$E:$E,1))),stab,IF(OR(mtype=XLOOKUP(XLOOKUP($Q61,'Threshold Summary'!$Y:$Y,'Threshold Summary'!$K:$K,""),'Pokemon Editor'!$A:$A,'Pokemon Editor'!$C:$C,""),mtype=XLOOKUP(XLOOKUP($Q61,'Threshold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Chart'!$B$1:$S$1,0)))),base,IF(OR(cat="Status",pow=0),0,FLOOR(FLOOR(FLOOR((2*XLOOKUP($Q61,'Threshold Summary'!$Y:$Y,'Threshold Summary'!$L:$L,"")/5+2)*pow*atk/def)/50)+2)),modifier,stab*eff,FLOOR(base*modifier*0.85)),0)</f>
        <v/>
      </c>
      <c r="K61" s="3">
        <f>IFERROR(LET(mtype,XLOOKUP($D61,'Move Editor'!$B:$B,'Move Editor'!$C:$C,""),cat,XLOOKUP($D61,'Move Editor'!$B:$B,'Move Editor'!$D:$D,""),pow,XLOOKUP($D61,'Move Editor'!$B:$B,'Move Editor'!$E:$E,0),acc,XLOOKUP($D61,'Move Editor'!$B:$B,'Move Editor'!$F:$F,100),atk,IF(cat="Physical",FLOOR((FLOOR(((2*XLOOKUP(XLOOKUP($Q61,'Threshold Summary'!$Y:$Y,'Threshold Summary'!$K:$K,""),'Pokemon Editor'!$A:$A,'Pokemon Editor'!$F:$F,0)+31+FLOOR(XLOOKUP($Q61,'Threshold Summary'!$Y:$Y,'Threshold Summary'!$P:$P,"")/4))*XLOOKUP($Q61,'Threshold Summary'!$Y:$Y,'Threshold Summary'!$L:$L,""))/100)+5)*XLOOKUP(XLOOKUP($Q61,'Threshold Summary'!$Y:$Y,'Threshold Summary'!$M:$M,""),'Nature Editor'!$A:$A,'Nature Editor'!$B:$B,1)),FLOOR((FLOOR(((2*XLOOKUP(XLOOKUP($Q61,'Threshold Summary'!$Y:$Y,'Threshold Summary'!$K:$K,""),'Pokemon Editor'!$A:$A,'Pokemon Editor'!$H:$H,0)+31+FLOOR(XLOOKUP($Q61,'Threshold Summary'!$Y:$Y,'Threshold Summary'!$R:$R,"")/4))*XLOOKUP($Q61,'Threshold Summary'!$Y:$Y,'Threshold Summary'!$L:$L,""))/100)+5)*XLOOKUP(XLOOKUP($Q61,'Threshold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Editor'!$E:$E,1))),stab,IF(OR(mtype=XLOOKUP(XLOOKUP($Q61,'Threshold Summary'!$Y:$Y,'Threshold Summary'!$K:$K,""),'Pokemon Editor'!$A:$A,'Pokemon Editor'!$C:$C,""),mtype=XLOOKUP(XLOOKUP($Q61,'Threshold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Chart'!$B$1:$S$1,0)))),base,IF(OR(cat="Status",pow=0),0,FLOOR(FLOOR(FLOOR((2*XLOOKUP($Q61,'Threshold Summary'!$Y:$Y,'Threshold Summary'!$L:$L,"")/5+2)*pow*atk/def)/50)+2)),modifier,stab*eff,FLOOR(base*modifier)),0)</f>
        <v/>
      </c>
      <c r="L61" s="3">
        <f>IFERROR(LET(mtype,XLOOKUP($D61,'Move Editor'!$B:$B,'Move Editor'!$C:$C,""),cat,XLOOKUP($D61,'Move Editor'!$B:$B,'Move Editor'!$D:$D,""),pow,XLOOKUP($D61,'Move Editor'!$B:$B,'Move Editor'!$E:$E,0),acc,XLOOKUP($D61,'Move Editor'!$B:$B,'Move Editor'!$F:$F,100),atk,IF(cat="Physical",FLOOR((FLOOR(((2*XLOOKUP(XLOOKUP($Q61,'Threshold Summary'!$Y:$Y,'Threshold Summary'!$K:$K,""),'Pokemon Editor'!$A:$A,'Pokemon Editor'!$F:$F,0)+31+FLOOR(XLOOKUP($Q61,'Threshold Summary'!$Y:$Y,'Threshold Summary'!$P:$P,"")/4))*XLOOKUP($Q61,'Threshold Summary'!$Y:$Y,'Threshold Summary'!$L:$L,""))/100)+5)*XLOOKUP(XLOOKUP($Q61,'Threshold Summary'!$Y:$Y,'Threshold Summary'!$M:$M,""),'Nature Editor'!$A:$A,'Nature Editor'!$B:$B,1)),FLOOR((FLOOR(((2*XLOOKUP(XLOOKUP($Q61,'Threshold Summary'!$Y:$Y,'Threshold Summary'!$K:$K,""),'Pokemon Editor'!$A:$A,'Pokemon Editor'!$H:$H,0)+31+FLOOR(XLOOKUP($Q61,'Threshold Summary'!$Y:$Y,'Threshold Summary'!$R:$R,"")/4))*XLOOKUP($Q61,'Threshold Summary'!$Y:$Y,'Threshold Summary'!$L:$L,""))/100)+5)*XLOOKUP(XLOOKUP($Q61,'Threshold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Editor'!$E:$E,1))),stab,IF(OR(mtype=XLOOKUP(XLOOKUP($Q61,'Threshold Summary'!$Y:$Y,'Threshold Summary'!$K:$K,""),'Pokemon Editor'!$A:$A,'Pokemon Editor'!$C:$C,""),mtype=XLOOKUP(XLOOKUP($Q61,'Threshold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Chart'!$B$1:$S$1,0)))),base,IF(OR(cat="Status",pow=0),0,FLOOR(FLOOR(FLOOR((2*XLOOKUP($Q61,'Threshold Summary'!$Y:$Y,'Threshold Summary'!$L:$L,"")/5+2)*pow*atk/def)/50)+2)),modifier,stab*eff,AVERAGE(ARRAYFORMULA(FLOOR(base*modifier*SEQUENCE(16,1,85,1)/100)))),0)</f>
        <v/>
      </c>
      <c r="M61" s="3">
        <f>IFERROR(LET(mtype,XLOOKUP($D61,'Move Editor'!$B:$B,'Move Editor'!$C:$C,""),cat,XLOOKUP($D61,'Move Editor'!$B:$B,'Move Editor'!$D:$D,""),pow,XLOOKUP($D61,'Move Editor'!$B:$B,'Move Editor'!$E:$E,0),acc,XLOOKUP($D61,'Move Editor'!$B:$B,'Move Editor'!$F:$F,100),atk,IF(cat="Physical",FLOOR((FLOOR(((2*XLOOKUP(XLOOKUP($Q61,'Threshold Summary'!$Y:$Y,'Threshold Summary'!$K:$K,""),'Pokemon Editor'!$A:$A,'Pokemon Editor'!$F:$F,0)+31+FLOOR(XLOOKUP($Q61,'Threshold Summary'!$Y:$Y,'Threshold Summary'!$P:$P,"")/4))*XLOOKUP($Q61,'Threshold Summary'!$Y:$Y,'Threshold Summary'!$L:$L,""))/100)+5)*XLOOKUP(XLOOKUP($Q61,'Threshold Summary'!$Y:$Y,'Threshold Summary'!$M:$M,""),'Nature Editor'!$A:$A,'Nature Editor'!$B:$B,1)),FLOOR((FLOOR(((2*XLOOKUP(XLOOKUP($Q61,'Threshold Summary'!$Y:$Y,'Threshold Summary'!$K:$K,""),'Pokemon Editor'!$A:$A,'Pokemon Editor'!$H:$H,0)+31+FLOOR(XLOOKUP($Q61,'Threshold Summary'!$Y:$Y,'Threshold Summary'!$R:$R,"")/4))*XLOOKUP($Q61,'Threshold Summary'!$Y:$Y,'Threshold Summary'!$L:$L,""))/100)+5)*XLOOKUP(XLOOKUP($Q61,'Threshold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Editor'!$E:$E,1))),stab,IF(OR(mtype=XLOOKUP(XLOOKUP($Q61,'Threshold Summary'!$Y:$Y,'Threshold Summary'!$K:$K,""),'Pokemon Editor'!$A:$A,'Pokemon Editor'!$C:$C,""),mtype=XLOOKUP(XLOOKUP($Q61,'Threshold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Chart'!$B$1:$S$1,0)))),base,IF(OR(cat="Status",pow=0),0,FLOOR(FLOOR(FLOOR((2*XLOOKUP($Q61,'Threshold Summary'!$Y:$Y,'Threshold Summary'!$L:$L,"")/5+2)*pow*atk/def)/50)+2)),modifier,stab*eff,AVERAGE(ARRAYFORMULA(FLOOR(base*modifier*SEQUENCE(16,1,85,1)/100)))*MIN(1,acc/100)),0)</f>
        <v/>
      </c>
      <c r="N61" s="4">
        <f>IFERROR(LET(mtype,XLOOKUP($D61,'Move Editor'!$B:$B,'Move Editor'!$C:$C,""),cat,XLOOKUP($D61,'Move Editor'!$B:$B,'Move Editor'!$D:$D,""),pow,XLOOKUP($D61,'Move Editor'!$B:$B,'Move Editor'!$E:$E,0),acc,XLOOKUP($D61,'Move Editor'!$B:$B,'Move Editor'!$F:$F,100),atk,IF(cat="Physical",FLOOR((FLOOR(((2*XLOOKUP(XLOOKUP($Q61,'Threshold Summary'!$Y:$Y,'Threshold Summary'!$K:$K,""),'Pokemon Editor'!$A:$A,'Pokemon Editor'!$F:$F,0)+31+FLOOR(XLOOKUP($Q61,'Threshold Summary'!$Y:$Y,'Threshold Summary'!$P:$P,"")/4))*XLOOKUP($Q61,'Threshold Summary'!$Y:$Y,'Threshold Summary'!$L:$L,""))/100)+5)*XLOOKUP(XLOOKUP($Q61,'Threshold Summary'!$Y:$Y,'Threshold Summary'!$M:$M,""),'Nature Editor'!$A:$A,'Nature Editor'!$B:$B,1)),FLOOR((FLOOR(((2*XLOOKUP(XLOOKUP($Q61,'Threshold Summary'!$Y:$Y,'Threshold Summary'!$K:$K,""),'Pokemon Editor'!$A:$A,'Pokemon Editor'!$H:$H,0)+31+FLOOR(XLOOKUP($Q61,'Threshold Summary'!$Y:$Y,'Threshold Summary'!$R:$R,"")/4))*XLOOKUP($Q61,'Threshold Summary'!$Y:$Y,'Threshold Summary'!$L:$L,""))/100)+5)*XLOOKUP(XLOOKUP($Q61,'Threshold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Editor'!$E:$E,1))),stab,IF(OR(mtype=XLOOKUP(XLOOKUP($Q61,'Threshold Summary'!$Y:$Y,'Threshold Summary'!$K:$K,""),'Pokemon Editor'!$A:$A,'Pokemon Editor'!$C:$C,""),mtype=XLOOKUP(XLOOKUP($Q61,'Threshold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Chart'!$B$1:$S$1,0)))),base,IF(OR(cat="Status",pow=0),0,FLOOR(FLOOR(FLOOR((2*XLOOKUP($Q61,'Threshold Summary'!$Y:$Y,'Threshold Summary'!$L:$L,"")/5+2)*pow*atk/def)/50)+2)),modifier,stab*eff,AVERAGE(ARRAYFORMULA(FLOOR(base*modifier*SEQUENCE(16,1,85,1)/100)))/(FLOOR(((2*XLOOKUP('Boss Editor'!$C$4,'Pokemon Editor'!$A:$A,'Pokemon Editor'!$E:$E,0)+31+FLOOR('Boss Editor'!$G$4/4))*'Boss Editor'!$D$4)/100)+'Boss Editor'!$D$4+10)),0)</f>
        <v/>
      </c>
      <c r="O61" s="3">
        <f>IF(N61&gt;=1,"OHKO",IF(N61&gt;=0.5,"2HKO",IF(N61&gt;=0.333,"3HKO",IF(N61&gt;=0.25,"4HKO","5HKO+"))))</f>
        <v/>
      </c>
      <c r="P61" s="3" t="inlineStr">
        <is>
          <t>Live from editable databases</t>
        </is>
      </c>
      <c r="Q61" s="3" t="inlineStr">
        <is>
          <t>SPECIES_SENTRET</t>
        </is>
      </c>
      <c r="R61" s="3" t="n">
        <v>28</v>
      </c>
    </row>
    <row r="62">
      <c r="A62" s="3">
        <f>XLOOKUP($Q62,'Threshold Summary'!$Y:$Y,'Threshold Summary'!$A:$A,"")</f>
        <v/>
      </c>
      <c r="B62" s="3">
        <f>XLOOKUP($Q62,'Threshold Summary'!$Y:$Y,'Threshold Summary'!$M:$M,"")</f>
        <v/>
      </c>
      <c r="C62" s="3">
        <f>XLOOKUP($Q62,'Threshold Summary'!$Y:$Y,'Threshold Summary'!$N:$N,"")</f>
        <v/>
      </c>
      <c r="D62" s="3">
        <f>IFERROR(INDEX(FILTER('Learnset Editor'!$D$2:$D,'Learnset Editor'!$A$2:$A=XLOOKUP($Q62,'Threshold Summary'!$Y:$Y,'Threshold Summary'!$K:$K,""),'Learnset Editor'!$C$2:$C&lt;=XLOOKUP($Q62,'Threshold Summary'!$Y:$Y,'Threshold Summary'!$L:$L,"")),$R62),"")</f>
        <v/>
      </c>
      <c r="E62" s="3">
        <f>XLOOKUP(D62,'Move Editor'!$B:$B,'Move Editor'!$C:$C,"")</f>
        <v/>
      </c>
      <c r="F62" s="3">
        <f>XLOOKUP(D62,'Move Editor'!$B:$B,'Move Editor'!$D:$D,"")</f>
        <v/>
      </c>
      <c r="G62" s="3">
        <f>XLOOKUP(D62,'Move Editor'!$B:$B,'Move Editor'!$E:$E,0)</f>
        <v/>
      </c>
      <c r="H62" s="3">
        <f>XLOOKUP(D62,'Move Editor'!$B:$B,'Move Editor'!$F:$F,0)</f>
        <v/>
      </c>
      <c r="I62" s="3">
        <f>(INDEX('Type Chart'!$B:$S,MATCH(E62,'Type Chart'!$A:$A,0),MATCH(XLOOKUP('Boss Editor'!$C$4,'Pokemon Editor'!$A:$A,'Pokemon Editor'!$C:$C,""),'Type Chart'!$B$1:$S$1,0))*IF(XLOOKUP('Boss Editor'!$C$4,'Pokemon Editor'!$A:$A,'Pokemon Editor'!$D:$D,"")="",1,INDEX('Type Chart'!$B:$S,MATCH(E62,'Type Chart'!$A:$A,0),MATCH(XLOOKUP('Boss Editor'!$C$4,'Pokemon Editor'!$A:$A,'Pokemon Editor'!$D:$D,""),'Type Chart'!$B$1:$S$1,0))))</f>
        <v/>
      </c>
      <c r="J62" s="3">
        <f>IFERROR(LET(mtype,XLOOKUP($D62,'Move Editor'!$B:$B,'Move Editor'!$C:$C,""),cat,XLOOKUP($D62,'Move Editor'!$B:$B,'Move Editor'!$D:$D,""),pow,XLOOKUP($D62,'Move Editor'!$B:$B,'Move Editor'!$E:$E,0),acc,XLOOKUP($D62,'Move Editor'!$B:$B,'Move Editor'!$F:$F,100),atk,IF(cat="Physical",FLOOR((FLOOR(((2*XLOOKUP(XLOOKUP($Q62,'Threshold Summary'!$Y:$Y,'Threshold Summary'!$K:$K,""),'Pokemon Editor'!$A:$A,'Pokemon Editor'!$F:$F,0)+31+FLOOR(XLOOKUP($Q62,'Threshold Summary'!$Y:$Y,'Threshold Summary'!$P:$P,"")/4))*XLOOKUP($Q62,'Threshold Summary'!$Y:$Y,'Threshold Summary'!$L:$L,""))/100)+5)*XLOOKUP(XLOOKUP($Q62,'Threshold Summary'!$Y:$Y,'Threshold Summary'!$M:$M,""),'Nature Editor'!$A:$A,'Nature Editor'!$B:$B,1)),FLOOR((FLOOR(((2*XLOOKUP(XLOOKUP($Q62,'Threshold Summary'!$Y:$Y,'Threshold Summary'!$K:$K,""),'Pokemon Editor'!$A:$A,'Pokemon Editor'!$H:$H,0)+31+FLOOR(XLOOKUP($Q62,'Threshold Summary'!$Y:$Y,'Threshold Summary'!$R:$R,"")/4))*XLOOKUP($Q62,'Threshold Summary'!$Y:$Y,'Threshold Summary'!$L:$L,""))/100)+5)*XLOOKUP(XLOOKUP($Q62,'Threshold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Editor'!$E:$E,1))),stab,IF(OR(mtype=XLOOKUP(XLOOKUP($Q62,'Threshold Summary'!$Y:$Y,'Threshold Summary'!$K:$K,""),'Pokemon Editor'!$A:$A,'Pokemon Editor'!$C:$C,""),mtype=XLOOKUP(XLOOKUP($Q62,'Threshold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Chart'!$B$1:$S$1,0)))),base,IF(OR(cat="Status",pow=0),0,FLOOR(FLOOR(FLOOR((2*XLOOKUP($Q62,'Threshold Summary'!$Y:$Y,'Threshold Summary'!$L:$L,"")/5+2)*pow*atk/def)/50)+2)),modifier,stab*eff,FLOOR(base*modifier*0.85)),0)</f>
        <v/>
      </c>
      <c r="K62" s="3">
        <f>IFERROR(LET(mtype,XLOOKUP($D62,'Move Editor'!$B:$B,'Move Editor'!$C:$C,""),cat,XLOOKUP($D62,'Move Editor'!$B:$B,'Move Editor'!$D:$D,""),pow,XLOOKUP($D62,'Move Editor'!$B:$B,'Move Editor'!$E:$E,0),acc,XLOOKUP($D62,'Move Editor'!$B:$B,'Move Editor'!$F:$F,100),atk,IF(cat="Physical",FLOOR((FLOOR(((2*XLOOKUP(XLOOKUP($Q62,'Threshold Summary'!$Y:$Y,'Threshold Summary'!$K:$K,""),'Pokemon Editor'!$A:$A,'Pokemon Editor'!$F:$F,0)+31+FLOOR(XLOOKUP($Q62,'Threshold Summary'!$Y:$Y,'Threshold Summary'!$P:$P,"")/4))*XLOOKUP($Q62,'Threshold Summary'!$Y:$Y,'Threshold Summary'!$L:$L,""))/100)+5)*XLOOKUP(XLOOKUP($Q62,'Threshold Summary'!$Y:$Y,'Threshold Summary'!$M:$M,""),'Nature Editor'!$A:$A,'Nature Editor'!$B:$B,1)),FLOOR((FLOOR(((2*XLOOKUP(XLOOKUP($Q62,'Threshold Summary'!$Y:$Y,'Threshold Summary'!$K:$K,""),'Pokemon Editor'!$A:$A,'Pokemon Editor'!$H:$H,0)+31+FLOOR(XLOOKUP($Q62,'Threshold Summary'!$Y:$Y,'Threshold Summary'!$R:$R,"")/4))*XLOOKUP($Q62,'Threshold Summary'!$Y:$Y,'Threshold Summary'!$L:$L,""))/100)+5)*XLOOKUP(XLOOKUP($Q62,'Threshold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Editor'!$E:$E,1))),stab,IF(OR(mtype=XLOOKUP(XLOOKUP($Q62,'Threshold Summary'!$Y:$Y,'Threshold Summary'!$K:$K,""),'Pokemon Editor'!$A:$A,'Pokemon Editor'!$C:$C,""),mtype=XLOOKUP(XLOOKUP($Q62,'Threshold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Chart'!$B$1:$S$1,0)))),base,IF(OR(cat="Status",pow=0),0,FLOOR(FLOOR(FLOOR((2*XLOOKUP($Q62,'Threshold Summary'!$Y:$Y,'Threshold Summary'!$L:$L,"")/5+2)*pow*atk/def)/50)+2)),modifier,stab*eff,FLOOR(base*modifier)),0)</f>
        <v/>
      </c>
      <c r="L62" s="3">
        <f>IFERROR(LET(mtype,XLOOKUP($D62,'Move Editor'!$B:$B,'Move Editor'!$C:$C,""),cat,XLOOKUP($D62,'Move Editor'!$B:$B,'Move Editor'!$D:$D,""),pow,XLOOKUP($D62,'Move Editor'!$B:$B,'Move Editor'!$E:$E,0),acc,XLOOKUP($D62,'Move Editor'!$B:$B,'Move Editor'!$F:$F,100),atk,IF(cat="Physical",FLOOR((FLOOR(((2*XLOOKUP(XLOOKUP($Q62,'Threshold Summary'!$Y:$Y,'Threshold Summary'!$K:$K,""),'Pokemon Editor'!$A:$A,'Pokemon Editor'!$F:$F,0)+31+FLOOR(XLOOKUP($Q62,'Threshold Summary'!$Y:$Y,'Threshold Summary'!$P:$P,"")/4))*XLOOKUP($Q62,'Threshold Summary'!$Y:$Y,'Threshold Summary'!$L:$L,""))/100)+5)*XLOOKUP(XLOOKUP($Q62,'Threshold Summary'!$Y:$Y,'Threshold Summary'!$M:$M,""),'Nature Editor'!$A:$A,'Nature Editor'!$B:$B,1)),FLOOR((FLOOR(((2*XLOOKUP(XLOOKUP($Q62,'Threshold Summary'!$Y:$Y,'Threshold Summary'!$K:$K,""),'Pokemon Editor'!$A:$A,'Pokemon Editor'!$H:$H,0)+31+FLOOR(XLOOKUP($Q62,'Threshold Summary'!$Y:$Y,'Threshold Summary'!$R:$R,"")/4))*XLOOKUP($Q62,'Threshold Summary'!$Y:$Y,'Threshold Summary'!$L:$L,""))/100)+5)*XLOOKUP(XLOOKUP($Q62,'Threshold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Editor'!$E:$E,1))),stab,IF(OR(mtype=XLOOKUP(XLOOKUP($Q62,'Threshold Summary'!$Y:$Y,'Threshold Summary'!$K:$K,""),'Pokemon Editor'!$A:$A,'Pokemon Editor'!$C:$C,""),mtype=XLOOKUP(XLOOKUP($Q62,'Threshold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Chart'!$B$1:$S$1,0)))),base,IF(OR(cat="Status",pow=0),0,FLOOR(FLOOR(FLOOR((2*XLOOKUP($Q62,'Threshold Summary'!$Y:$Y,'Threshold Summary'!$L:$L,"")/5+2)*pow*atk/def)/50)+2)),modifier,stab*eff,AVERAGE(ARRAYFORMULA(FLOOR(base*modifier*SEQUENCE(16,1,85,1)/100)))),0)</f>
        <v/>
      </c>
      <c r="M62" s="3">
        <f>IFERROR(LET(mtype,XLOOKUP($D62,'Move Editor'!$B:$B,'Move Editor'!$C:$C,""),cat,XLOOKUP($D62,'Move Editor'!$B:$B,'Move Editor'!$D:$D,""),pow,XLOOKUP($D62,'Move Editor'!$B:$B,'Move Editor'!$E:$E,0),acc,XLOOKUP($D62,'Move Editor'!$B:$B,'Move Editor'!$F:$F,100),atk,IF(cat="Physical",FLOOR((FLOOR(((2*XLOOKUP(XLOOKUP($Q62,'Threshold Summary'!$Y:$Y,'Threshold Summary'!$K:$K,""),'Pokemon Editor'!$A:$A,'Pokemon Editor'!$F:$F,0)+31+FLOOR(XLOOKUP($Q62,'Threshold Summary'!$Y:$Y,'Threshold Summary'!$P:$P,"")/4))*XLOOKUP($Q62,'Threshold Summary'!$Y:$Y,'Threshold Summary'!$L:$L,""))/100)+5)*XLOOKUP(XLOOKUP($Q62,'Threshold Summary'!$Y:$Y,'Threshold Summary'!$M:$M,""),'Nature Editor'!$A:$A,'Nature Editor'!$B:$B,1)),FLOOR((FLOOR(((2*XLOOKUP(XLOOKUP($Q62,'Threshold Summary'!$Y:$Y,'Threshold Summary'!$K:$K,""),'Pokemon Editor'!$A:$A,'Pokemon Editor'!$H:$H,0)+31+FLOOR(XLOOKUP($Q62,'Threshold Summary'!$Y:$Y,'Threshold Summary'!$R:$R,"")/4))*XLOOKUP($Q62,'Threshold Summary'!$Y:$Y,'Threshold Summary'!$L:$L,""))/100)+5)*XLOOKUP(XLOOKUP($Q62,'Threshold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Editor'!$E:$E,1))),stab,IF(OR(mtype=XLOOKUP(XLOOKUP($Q62,'Threshold Summary'!$Y:$Y,'Threshold Summary'!$K:$K,""),'Pokemon Editor'!$A:$A,'Pokemon Editor'!$C:$C,""),mtype=XLOOKUP(XLOOKUP($Q62,'Threshold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Chart'!$B$1:$S$1,0)))),base,IF(OR(cat="Status",pow=0),0,FLOOR(FLOOR(FLOOR((2*XLOOKUP($Q62,'Threshold Summary'!$Y:$Y,'Threshold Summary'!$L:$L,"")/5+2)*pow*atk/def)/50)+2)),modifier,stab*eff,AVERAGE(ARRAYFORMULA(FLOOR(base*modifier*SEQUENCE(16,1,85,1)/100)))*MIN(1,acc/100)),0)</f>
        <v/>
      </c>
      <c r="N62" s="4">
        <f>IFERROR(LET(mtype,XLOOKUP($D62,'Move Editor'!$B:$B,'Move Editor'!$C:$C,""),cat,XLOOKUP($D62,'Move Editor'!$B:$B,'Move Editor'!$D:$D,""),pow,XLOOKUP($D62,'Move Editor'!$B:$B,'Move Editor'!$E:$E,0),acc,XLOOKUP($D62,'Move Editor'!$B:$B,'Move Editor'!$F:$F,100),atk,IF(cat="Physical",FLOOR((FLOOR(((2*XLOOKUP(XLOOKUP($Q62,'Threshold Summary'!$Y:$Y,'Threshold Summary'!$K:$K,""),'Pokemon Editor'!$A:$A,'Pokemon Editor'!$F:$F,0)+31+FLOOR(XLOOKUP($Q62,'Threshold Summary'!$Y:$Y,'Threshold Summary'!$P:$P,"")/4))*XLOOKUP($Q62,'Threshold Summary'!$Y:$Y,'Threshold Summary'!$L:$L,""))/100)+5)*XLOOKUP(XLOOKUP($Q62,'Threshold Summary'!$Y:$Y,'Threshold Summary'!$M:$M,""),'Nature Editor'!$A:$A,'Nature Editor'!$B:$B,1)),FLOOR((FLOOR(((2*XLOOKUP(XLOOKUP($Q62,'Threshold Summary'!$Y:$Y,'Threshold Summary'!$K:$K,""),'Pokemon Editor'!$A:$A,'Pokemon Editor'!$H:$H,0)+31+FLOOR(XLOOKUP($Q62,'Threshold Summary'!$Y:$Y,'Threshold Summary'!$R:$R,"")/4))*XLOOKUP($Q62,'Threshold Summary'!$Y:$Y,'Threshold Summary'!$L:$L,""))/100)+5)*XLOOKUP(XLOOKUP($Q62,'Threshold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Editor'!$E:$E,1))),stab,IF(OR(mtype=XLOOKUP(XLOOKUP($Q62,'Threshold Summary'!$Y:$Y,'Threshold Summary'!$K:$K,""),'Pokemon Editor'!$A:$A,'Pokemon Editor'!$C:$C,""),mtype=XLOOKUP(XLOOKUP($Q62,'Threshold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Chart'!$B$1:$S$1,0)))),base,IF(OR(cat="Status",pow=0),0,FLOOR(FLOOR(FLOOR((2*XLOOKUP($Q62,'Threshold Summary'!$Y:$Y,'Threshold Summary'!$L:$L,"")/5+2)*pow*atk/def)/50)+2)),modifier,stab*eff,AVERAGE(ARRAYFORMULA(FLOOR(base*modifier*SEQUENCE(16,1,85,1)/100)))/(FLOOR(((2*XLOOKUP('Boss Editor'!$C$4,'Pokemon Editor'!$A:$A,'Pokemon Editor'!$E:$E,0)+31+FLOOR('Boss Editor'!$G$4/4))*'Boss Editor'!$D$4)/100)+'Boss Editor'!$D$4+10)),0)</f>
        <v/>
      </c>
      <c r="O62" s="3">
        <f>IF(N62&gt;=1,"OHKO",IF(N62&gt;=0.5,"2HKO",IF(N62&gt;=0.333,"3HKO",IF(N62&gt;=0.25,"4HKO","5HKO+"))))</f>
        <v/>
      </c>
      <c r="P62" s="3" t="inlineStr">
        <is>
          <t>Live from editable databases</t>
        </is>
      </c>
      <c r="Q62" s="3" t="inlineStr">
        <is>
          <t>SPECIES_SENTRET</t>
        </is>
      </c>
      <c r="R62" s="3" t="n">
        <v>29</v>
      </c>
    </row>
    <row r="63">
      <c r="A63" s="3">
        <f>XLOOKUP($Q63,'Threshold Summary'!$Y:$Y,'Threshold Summary'!$A:$A,"")</f>
        <v/>
      </c>
      <c r="B63" s="3">
        <f>XLOOKUP($Q63,'Threshold Summary'!$Y:$Y,'Threshold Summary'!$M:$M,"")</f>
        <v/>
      </c>
      <c r="C63" s="3">
        <f>XLOOKUP($Q63,'Threshold Summary'!$Y:$Y,'Threshold Summary'!$N:$N,"")</f>
        <v/>
      </c>
      <c r="D63" s="3">
        <f>IFERROR(INDEX(FILTER('Learnset Editor'!$D$2:$D,'Learnset Editor'!$A$2:$A=XLOOKUP($Q63,'Threshold Summary'!$Y:$Y,'Threshold Summary'!$K:$K,""),'Learnset Editor'!$C$2:$C&lt;=XLOOKUP($Q63,'Threshold Summary'!$Y:$Y,'Threshold Summary'!$L:$L,"")),$R63),"")</f>
        <v/>
      </c>
      <c r="E63" s="3">
        <f>XLOOKUP(D63,'Move Editor'!$B:$B,'Move Editor'!$C:$C,"")</f>
        <v/>
      </c>
      <c r="F63" s="3">
        <f>XLOOKUP(D63,'Move Editor'!$B:$B,'Move Editor'!$D:$D,"")</f>
        <v/>
      </c>
      <c r="G63" s="3">
        <f>XLOOKUP(D63,'Move Editor'!$B:$B,'Move Editor'!$E:$E,0)</f>
        <v/>
      </c>
      <c r="H63" s="3">
        <f>XLOOKUP(D63,'Move Editor'!$B:$B,'Move Editor'!$F:$F,0)</f>
        <v/>
      </c>
      <c r="I63" s="3">
        <f>(INDEX('Type Chart'!$B:$S,MATCH(E63,'Type Chart'!$A:$A,0),MATCH(XLOOKUP('Boss Editor'!$C$4,'Pokemon Editor'!$A:$A,'Pokemon Editor'!$C:$C,""),'Type Chart'!$B$1:$S$1,0))*IF(XLOOKUP('Boss Editor'!$C$4,'Pokemon Editor'!$A:$A,'Pokemon Editor'!$D:$D,"")="",1,INDEX('Type Chart'!$B:$S,MATCH(E63,'Type Chart'!$A:$A,0),MATCH(XLOOKUP('Boss Editor'!$C$4,'Pokemon Editor'!$A:$A,'Pokemon Editor'!$D:$D,""),'Type Chart'!$B$1:$S$1,0))))</f>
        <v/>
      </c>
      <c r="J63" s="3">
        <f>IFERROR(LET(mtype,XLOOKUP($D63,'Move Editor'!$B:$B,'Move Editor'!$C:$C,""),cat,XLOOKUP($D63,'Move Editor'!$B:$B,'Move Editor'!$D:$D,""),pow,XLOOKUP($D63,'Move Editor'!$B:$B,'Move Editor'!$E:$E,0),acc,XLOOKUP($D63,'Move Editor'!$B:$B,'Move Editor'!$F:$F,100),atk,IF(cat="Physical",FLOOR((FLOOR(((2*XLOOKUP(XLOOKUP($Q63,'Threshold Summary'!$Y:$Y,'Threshold Summary'!$K:$K,""),'Pokemon Editor'!$A:$A,'Pokemon Editor'!$F:$F,0)+31+FLOOR(XLOOKUP($Q63,'Threshold Summary'!$Y:$Y,'Threshold Summary'!$P:$P,"")/4))*XLOOKUP($Q63,'Threshold Summary'!$Y:$Y,'Threshold Summary'!$L:$L,""))/100)+5)*XLOOKUP(XLOOKUP($Q63,'Threshold Summary'!$Y:$Y,'Threshold Summary'!$M:$M,""),'Nature Editor'!$A:$A,'Nature Editor'!$B:$B,1)),FLOOR((FLOOR(((2*XLOOKUP(XLOOKUP($Q63,'Threshold Summary'!$Y:$Y,'Threshold Summary'!$K:$K,""),'Pokemon Editor'!$A:$A,'Pokemon Editor'!$H:$H,0)+31+FLOOR(XLOOKUP($Q63,'Threshold Summary'!$Y:$Y,'Threshold Summary'!$R:$R,"")/4))*XLOOKUP($Q63,'Threshold Summary'!$Y:$Y,'Threshold Summary'!$L:$L,""))/100)+5)*XLOOKUP(XLOOKUP($Q63,'Threshold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Editor'!$E:$E,1))),stab,IF(OR(mtype=XLOOKUP(XLOOKUP($Q63,'Threshold Summary'!$Y:$Y,'Threshold Summary'!$K:$K,""),'Pokemon Editor'!$A:$A,'Pokemon Editor'!$C:$C,""),mtype=XLOOKUP(XLOOKUP($Q63,'Threshold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Chart'!$B$1:$S$1,0)))),base,IF(OR(cat="Status",pow=0),0,FLOOR(FLOOR(FLOOR((2*XLOOKUP($Q63,'Threshold Summary'!$Y:$Y,'Threshold Summary'!$L:$L,"")/5+2)*pow*atk/def)/50)+2)),modifier,stab*eff,FLOOR(base*modifier*0.85)),0)</f>
        <v/>
      </c>
      <c r="K63" s="3">
        <f>IFERROR(LET(mtype,XLOOKUP($D63,'Move Editor'!$B:$B,'Move Editor'!$C:$C,""),cat,XLOOKUP($D63,'Move Editor'!$B:$B,'Move Editor'!$D:$D,""),pow,XLOOKUP($D63,'Move Editor'!$B:$B,'Move Editor'!$E:$E,0),acc,XLOOKUP($D63,'Move Editor'!$B:$B,'Move Editor'!$F:$F,100),atk,IF(cat="Physical",FLOOR((FLOOR(((2*XLOOKUP(XLOOKUP($Q63,'Threshold Summary'!$Y:$Y,'Threshold Summary'!$K:$K,""),'Pokemon Editor'!$A:$A,'Pokemon Editor'!$F:$F,0)+31+FLOOR(XLOOKUP($Q63,'Threshold Summary'!$Y:$Y,'Threshold Summary'!$P:$P,"")/4))*XLOOKUP($Q63,'Threshold Summary'!$Y:$Y,'Threshold Summary'!$L:$L,""))/100)+5)*XLOOKUP(XLOOKUP($Q63,'Threshold Summary'!$Y:$Y,'Threshold Summary'!$M:$M,""),'Nature Editor'!$A:$A,'Nature Editor'!$B:$B,1)),FLOOR((FLOOR(((2*XLOOKUP(XLOOKUP($Q63,'Threshold Summary'!$Y:$Y,'Threshold Summary'!$K:$K,""),'Pokemon Editor'!$A:$A,'Pokemon Editor'!$H:$H,0)+31+FLOOR(XLOOKUP($Q63,'Threshold Summary'!$Y:$Y,'Threshold Summary'!$R:$R,"")/4))*XLOOKUP($Q63,'Threshold Summary'!$Y:$Y,'Threshold Summary'!$L:$L,""))/100)+5)*XLOOKUP(XLOOKUP($Q63,'Threshold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Editor'!$E:$E,1))),stab,IF(OR(mtype=XLOOKUP(XLOOKUP($Q63,'Threshold Summary'!$Y:$Y,'Threshold Summary'!$K:$K,""),'Pokemon Editor'!$A:$A,'Pokemon Editor'!$C:$C,""),mtype=XLOOKUP(XLOOKUP($Q63,'Threshold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Chart'!$B$1:$S$1,0)))),base,IF(OR(cat="Status",pow=0),0,FLOOR(FLOOR(FLOOR((2*XLOOKUP($Q63,'Threshold Summary'!$Y:$Y,'Threshold Summary'!$L:$L,"")/5+2)*pow*atk/def)/50)+2)),modifier,stab*eff,FLOOR(base*modifier)),0)</f>
        <v/>
      </c>
      <c r="L63" s="3">
        <f>IFERROR(LET(mtype,XLOOKUP($D63,'Move Editor'!$B:$B,'Move Editor'!$C:$C,""),cat,XLOOKUP($D63,'Move Editor'!$B:$B,'Move Editor'!$D:$D,""),pow,XLOOKUP($D63,'Move Editor'!$B:$B,'Move Editor'!$E:$E,0),acc,XLOOKUP($D63,'Move Editor'!$B:$B,'Move Editor'!$F:$F,100),atk,IF(cat="Physical",FLOOR((FLOOR(((2*XLOOKUP(XLOOKUP($Q63,'Threshold Summary'!$Y:$Y,'Threshold Summary'!$K:$K,""),'Pokemon Editor'!$A:$A,'Pokemon Editor'!$F:$F,0)+31+FLOOR(XLOOKUP($Q63,'Threshold Summary'!$Y:$Y,'Threshold Summary'!$P:$P,"")/4))*XLOOKUP($Q63,'Threshold Summary'!$Y:$Y,'Threshold Summary'!$L:$L,""))/100)+5)*XLOOKUP(XLOOKUP($Q63,'Threshold Summary'!$Y:$Y,'Threshold Summary'!$M:$M,""),'Nature Editor'!$A:$A,'Nature Editor'!$B:$B,1)),FLOOR((FLOOR(((2*XLOOKUP(XLOOKUP($Q63,'Threshold Summary'!$Y:$Y,'Threshold Summary'!$K:$K,""),'Pokemon Editor'!$A:$A,'Pokemon Editor'!$H:$H,0)+31+FLOOR(XLOOKUP($Q63,'Threshold Summary'!$Y:$Y,'Threshold Summary'!$R:$R,"")/4))*XLOOKUP($Q63,'Threshold Summary'!$Y:$Y,'Threshold Summary'!$L:$L,""))/100)+5)*XLOOKUP(XLOOKUP($Q63,'Threshold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Editor'!$E:$E,1))),stab,IF(OR(mtype=XLOOKUP(XLOOKUP($Q63,'Threshold Summary'!$Y:$Y,'Threshold Summary'!$K:$K,""),'Pokemon Editor'!$A:$A,'Pokemon Editor'!$C:$C,""),mtype=XLOOKUP(XLOOKUP($Q63,'Threshold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Chart'!$B$1:$S$1,0)))),base,IF(OR(cat="Status",pow=0),0,FLOOR(FLOOR(FLOOR((2*XLOOKUP($Q63,'Threshold Summary'!$Y:$Y,'Threshold Summary'!$L:$L,"")/5+2)*pow*atk/def)/50)+2)),modifier,stab*eff,AVERAGE(ARRAYFORMULA(FLOOR(base*modifier*SEQUENCE(16,1,85,1)/100)))),0)</f>
        <v/>
      </c>
      <c r="M63" s="3">
        <f>IFERROR(LET(mtype,XLOOKUP($D63,'Move Editor'!$B:$B,'Move Editor'!$C:$C,""),cat,XLOOKUP($D63,'Move Editor'!$B:$B,'Move Editor'!$D:$D,""),pow,XLOOKUP($D63,'Move Editor'!$B:$B,'Move Editor'!$E:$E,0),acc,XLOOKUP($D63,'Move Editor'!$B:$B,'Move Editor'!$F:$F,100),atk,IF(cat="Physical",FLOOR((FLOOR(((2*XLOOKUP(XLOOKUP($Q63,'Threshold Summary'!$Y:$Y,'Threshold Summary'!$K:$K,""),'Pokemon Editor'!$A:$A,'Pokemon Editor'!$F:$F,0)+31+FLOOR(XLOOKUP($Q63,'Threshold Summary'!$Y:$Y,'Threshold Summary'!$P:$P,"")/4))*XLOOKUP($Q63,'Threshold Summary'!$Y:$Y,'Threshold Summary'!$L:$L,""))/100)+5)*XLOOKUP(XLOOKUP($Q63,'Threshold Summary'!$Y:$Y,'Threshold Summary'!$M:$M,""),'Nature Editor'!$A:$A,'Nature Editor'!$B:$B,1)),FLOOR((FLOOR(((2*XLOOKUP(XLOOKUP($Q63,'Threshold Summary'!$Y:$Y,'Threshold Summary'!$K:$K,""),'Pokemon Editor'!$A:$A,'Pokemon Editor'!$H:$H,0)+31+FLOOR(XLOOKUP($Q63,'Threshold Summary'!$Y:$Y,'Threshold Summary'!$R:$R,"")/4))*XLOOKUP($Q63,'Threshold Summary'!$Y:$Y,'Threshold Summary'!$L:$L,""))/100)+5)*XLOOKUP(XLOOKUP($Q63,'Threshold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Editor'!$E:$E,1))),stab,IF(OR(mtype=XLOOKUP(XLOOKUP($Q63,'Threshold Summary'!$Y:$Y,'Threshold Summary'!$K:$K,""),'Pokemon Editor'!$A:$A,'Pokemon Editor'!$C:$C,""),mtype=XLOOKUP(XLOOKUP($Q63,'Threshold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Chart'!$B$1:$S$1,0)))),base,IF(OR(cat="Status",pow=0),0,FLOOR(FLOOR(FLOOR((2*XLOOKUP($Q63,'Threshold Summary'!$Y:$Y,'Threshold Summary'!$L:$L,"")/5+2)*pow*atk/def)/50)+2)),modifier,stab*eff,AVERAGE(ARRAYFORMULA(FLOOR(base*modifier*SEQUENCE(16,1,85,1)/100)))*MIN(1,acc/100)),0)</f>
        <v/>
      </c>
      <c r="N63" s="4">
        <f>IFERROR(LET(mtype,XLOOKUP($D63,'Move Editor'!$B:$B,'Move Editor'!$C:$C,""),cat,XLOOKUP($D63,'Move Editor'!$B:$B,'Move Editor'!$D:$D,""),pow,XLOOKUP($D63,'Move Editor'!$B:$B,'Move Editor'!$E:$E,0),acc,XLOOKUP($D63,'Move Editor'!$B:$B,'Move Editor'!$F:$F,100),atk,IF(cat="Physical",FLOOR((FLOOR(((2*XLOOKUP(XLOOKUP($Q63,'Threshold Summary'!$Y:$Y,'Threshold Summary'!$K:$K,""),'Pokemon Editor'!$A:$A,'Pokemon Editor'!$F:$F,0)+31+FLOOR(XLOOKUP($Q63,'Threshold Summary'!$Y:$Y,'Threshold Summary'!$P:$P,"")/4))*XLOOKUP($Q63,'Threshold Summary'!$Y:$Y,'Threshold Summary'!$L:$L,""))/100)+5)*XLOOKUP(XLOOKUP($Q63,'Threshold Summary'!$Y:$Y,'Threshold Summary'!$M:$M,""),'Nature Editor'!$A:$A,'Nature Editor'!$B:$B,1)),FLOOR((FLOOR(((2*XLOOKUP(XLOOKUP($Q63,'Threshold Summary'!$Y:$Y,'Threshold Summary'!$K:$K,""),'Pokemon Editor'!$A:$A,'Pokemon Editor'!$H:$H,0)+31+FLOOR(XLOOKUP($Q63,'Threshold Summary'!$Y:$Y,'Threshold Summary'!$R:$R,"")/4))*XLOOKUP($Q63,'Threshold Summary'!$Y:$Y,'Threshold Summary'!$L:$L,""))/100)+5)*XLOOKUP(XLOOKUP($Q63,'Threshold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Editor'!$E:$E,1))),stab,IF(OR(mtype=XLOOKUP(XLOOKUP($Q63,'Threshold Summary'!$Y:$Y,'Threshold Summary'!$K:$K,""),'Pokemon Editor'!$A:$A,'Pokemon Editor'!$C:$C,""),mtype=XLOOKUP(XLOOKUP($Q63,'Threshold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Chart'!$B$1:$S$1,0)))),base,IF(OR(cat="Status",pow=0),0,FLOOR(FLOOR(FLOOR((2*XLOOKUP($Q63,'Threshold Summary'!$Y:$Y,'Threshold Summary'!$L:$L,"")/5+2)*pow*atk/def)/50)+2)),modifier,stab*eff,AVERAGE(ARRAYFORMULA(FLOOR(base*modifier*SEQUENCE(16,1,85,1)/100)))/(FLOOR(((2*XLOOKUP('Boss Editor'!$C$4,'Pokemon Editor'!$A:$A,'Pokemon Editor'!$E:$E,0)+31+FLOOR('Boss Editor'!$G$4/4))*'Boss Editor'!$D$4)/100)+'Boss Editor'!$D$4+10)),0)</f>
        <v/>
      </c>
      <c r="O63" s="3">
        <f>IF(N63&gt;=1,"OHKO",IF(N63&gt;=0.5,"2HKO",IF(N63&gt;=0.333,"3HKO",IF(N63&gt;=0.25,"4HKO","5HKO+"))))</f>
        <v/>
      </c>
      <c r="P63" s="3" t="inlineStr">
        <is>
          <t>Live from editable databases</t>
        </is>
      </c>
      <c r="Q63" s="3" t="inlineStr">
        <is>
          <t>SPECIES_SENTRET</t>
        </is>
      </c>
      <c r="R63" s="3" t="n">
        <v>30</v>
      </c>
    </row>
    <row r="64">
      <c r="A64" s="3">
        <f>XLOOKUP($Q64,'Threshold Summary'!$Y:$Y,'Threshold Summary'!$A:$A,"")</f>
        <v/>
      </c>
      <c r="B64" s="3">
        <f>XLOOKUP($Q64,'Threshold Summary'!$Y:$Y,'Threshold Summary'!$M:$M,"")</f>
        <v/>
      </c>
      <c r="C64" s="3">
        <f>XLOOKUP($Q64,'Threshold Summary'!$Y:$Y,'Threshold Summary'!$N:$N,"")</f>
        <v/>
      </c>
      <c r="D64" s="3">
        <f>IFERROR(INDEX(FILTER('Learnset Editor'!$D$2:$D,'Learnset Editor'!$A$2:$A=XLOOKUP($Q64,'Threshold Summary'!$Y:$Y,'Threshold Summary'!$K:$K,""),'Learnset Editor'!$C$2:$C&lt;=XLOOKUP($Q64,'Threshold Summary'!$Y:$Y,'Threshold Summary'!$L:$L,"")),$R64),"")</f>
        <v/>
      </c>
      <c r="E64" s="3">
        <f>XLOOKUP(D64,'Move Editor'!$B:$B,'Move Editor'!$C:$C,"")</f>
        <v/>
      </c>
      <c r="F64" s="3">
        <f>XLOOKUP(D64,'Move Editor'!$B:$B,'Move Editor'!$D:$D,"")</f>
        <v/>
      </c>
      <c r="G64" s="3">
        <f>XLOOKUP(D64,'Move Editor'!$B:$B,'Move Editor'!$E:$E,0)</f>
        <v/>
      </c>
      <c r="H64" s="3">
        <f>XLOOKUP(D64,'Move Editor'!$B:$B,'Move Editor'!$F:$F,0)</f>
        <v/>
      </c>
      <c r="I64" s="3">
        <f>(INDEX('Type Chart'!$B:$S,MATCH(E64,'Type Chart'!$A:$A,0),MATCH(XLOOKUP('Boss Editor'!$C$4,'Pokemon Editor'!$A:$A,'Pokemon Editor'!$C:$C,""),'Type Chart'!$B$1:$S$1,0))*IF(XLOOKUP('Boss Editor'!$C$4,'Pokemon Editor'!$A:$A,'Pokemon Editor'!$D:$D,"")="",1,INDEX('Type Chart'!$B:$S,MATCH(E64,'Type Chart'!$A:$A,0),MATCH(XLOOKUP('Boss Editor'!$C$4,'Pokemon Editor'!$A:$A,'Pokemon Editor'!$D:$D,""),'Type Chart'!$B$1:$S$1,0))))</f>
        <v/>
      </c>
      <c r="J64" s="3">
        <f>IFERROR(LET(mtype,XLOOKUP($D64,'Move Editor'!$B:$B,'Move Editor'!$C:$C,""),cat,XLOOKUP($D64,'Move Editor'!$B:$B,'Move Editor'!$D:$D,""),pow,XLOOKUP($D64,'Move Editor'!$B:$B,'Move Editor'!$E:$E,0),acc,XLOOKUP($D64,'Move Editor'!$B:$B,'Move Editor'!$F:$F,100),atk,IF(cat="Physical",FLOOR((FLOOR(((2*XLOOKUP(XLOOKUP($Q64,'Threshold Summary'!$Y:$Y,'Threshold Summary'!$K:$K,""),'Pokemon Editor'!$A:$A,'Pokemon Editor'!$F:$F,0)+31+FLOOR(XLOOKUP($Q64,'Threshold Summary'!$Y:$Y,'Threshold Summary'!$P:$P,"")/4))*XLOOKUP($Q64,'Threshold Summary'!$Y:$Y,'Threshold Summary'!$L:$L,""))/100)+5)*XLOOKUP(XLOOKUP($Q64,'Threshold Summary'!$Y:$Y,'Threshold Summary'!$M:$M,""),'Nature Editor'!$A:$A,'Nature Editor'!$B:$B,1)),FLOOR((FLOOR(((2*XLOOKUP(XLOOKUP($Q64,'Threshold Summary'!$Y:$Y,'Threshold Summary'!$K:$K,""),'Pokemon Editor'!$A:$A,'Pokemon Editor'!$H:$H,0)+31+FLOOR(XLOOKUP($Q64,'Threshold Summary'!$Y:$Y,'Threshold Summary'!$R:$R,"")/4))*XLOOKUP($Q64,'Threshold Summary'!$Y:$Y,'Threshold Summary'!$L:$L,""))/100)+5)*XLOOKUP(XLOOKUP($Q64,'Threshold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Editor'!$E:$E,1))),stab,IF(OR(mtype=XLOOKUP(XLOOKUP($Q64,'Threshold Summary'!$Y:$Y,'Threshold Summary'!$K:$K,""),'Pokemon Editor'!$A:$A,'Pokemon Editor'!$C:$C,""),mtype=XLOOKUP(XLOOKUP($Q64,'Threshold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Chart'!$B$1:$S$1,0)))),base,IF(OR(cat="Status",pow=0),0,FLOOR(FLOOR(FLOOR((2*XLOOKUP($Q64,'Threshold Summary'!$Y:$Y,'Threshold Summary'!$L:$L,"")/5+2)*pow*atk/def)/50)+2)),modifier,stab*eff,FLOOR(base*modifier*0.85)),0)</f>
        <v/>
      </c>
      <c r="K64" s="3">
        <f>IFERROR(LET(mtype,XLOOKUP($D64,'Move Editor'!$B:$B,'Move Editor'!$C:$C,""),cat,XLOOKUP($D64,'Move Editor'!$B:$B,'Move Editor'!$D:$D,""),pow,XLOOKUP($D64,'Move Editor'!$B:$B,'Move Editor'!$E:$E,0),acc,XLOOKUP($D64,'Move Editor'!$B:$B,'Move Editor'!$F:$F,100),atk,IF(cat="Physical",FLOOR((FLOOR(((2*XLOOKUP(XLOOKUP($Q64,'Threshold Summary'!$Y:$Y,'Threshold Summary'!$K:$K,""),'Pokemon Editor'!$A:$A,'Pokemon Editor'!$F:$F,0)+31+FLOOR(XLOOKUP($Q64,'Threshold Summary'!$Y:$Y,'Threshold Summary'!$P:$P,"")/4))*XLOOKUP($Q64,'Threshold Summary'!$Y:$Y,'Threshold Summary'!$L:$L,""))/100)+5)*XLOOKUP(XLOOKUP($Q64,'Threshold Summary'!$Y:$Y,'Threshold Summary'!$M:$M,""),'Nature Editor'!$A:$A,'Nature Editor'!$B:$B,1)),FLOOR((FLOOR(((2*XLOOKUP(XLOOKUP($Q64,'Threshold Summary'!$Y:$Y,'Threshold Summary'!$K:$K,""),'Pokemon Editor'!$A:$A,'Pokemon Editor'!$H:$H,0)+31+FLOOR(XLOOKUP($Q64,'Threshold Summary'!$Y:$Y,'Threshold Summary'!$R:$R,"")/4))*XLOOKUP($Q64,'Threshold Summary'!$Y:$Y,'Threshold Summary'!$L:$L,""))/100)+5)*XLOOKUP(XLOOKUP($Q64,'Threshold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Editor'!$E:$E,1))),stab,IF(OR(mtype=XLOOKUP(XLOOKUP($Q64,'Threshold Summary'!$Y:$Y,'Threshold Summary'!$K:$K,""),'Pokemon Editor'!$A:$A,'Pokemon Editor'!$C:$C,""),mtype=XLOOKUP(XLOOKUP($Q64,'Threshold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Chart'!$B$1:$S$1,0)))),base,IF(OR(cat="Status",pow=0),0,FLOOR(FLOOR(FLOOR((2*XLOOKUP($Q64,'Threshold Summary'!$Y:$Y,'Threshold Summary'!$L:$L,"")/5+2)*pow*atk/def)/50)+2)),modifier,stab*eff,FLOOR(base*modifier)),0)</f>
        <v/>
      </c>
      <c r="L64" s="3">
        <f>IFERROR(LET(mtype,XLOOKUP($D64,'Move Editor'!$B:$B,'Move Editor'!$C:$C,""),cat,XLOOKUP($D64,'Move Editor'!$B:$B,'Move Editor'!$D:$D,""),pow,XLOOKUP($D64,'Move Editor'!$B:$B,'Move Editor'!$E:$E,0),acc,XLOOKUP($D64,'Move Editor'!$B:$B,'Move Editor'!$F:$F,100),atk,IF(cat="Physical",FLOOR((FLOOR(((2*XLOOKUP(XLOOKUP($Q64,'Threshold Summary'!$Y:$Y,'Threshold Summary'!$K:$K,""),'Pokemon Editor'!$A:$A,'Pokemon Editor'!$F:$F,0)+31+FLOOR(XLOOKUP($Q64,'Threshold Summary'!$Y:$Y,'Threshold Summary'!$P:$P,"")/4))*XLOOKUP($Q64,'Threshold Summary'!$Y:$Y,'Threshold Summary'!$L:$L,""))/100)+5)*XLOOKUP(XLOOKUP($Q64,'Threshold Summary'!$Y:$Y,'Threshold Summary'!$M:$M,""),'Nature Editor'!$A:$A,'Nature Editor'!$B:$B,1)),FLOOR((FLOOR(((2*XLOOKUP(XLOOKUP($Q64,'Threshold Summary'!$Y:$Y,'Threshold Summary'!$K:$K,""),'Pokemon Editor'!$A:$A,'Pokemon Editor'!$H:$H,0)+31+FLOOR(XLOOKUP($Q64,'Threshold Summary'!$Y:$Y,'Threshold Summary'!$R:$R,"")/4))*XLOOKUP($Q64,'Threshold Summary'!$Y:$Y,'Threshold Summary'!$L:$L,""))/100)+5)*XLOOKUP(XLOOKUP($Q64,'Threshold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Editor'!$E:$E,1))),stab,IF(OR(mtype=XLOOKUP(XLOOKUP($Q64,'Threshold Summary'!$Y:$Y,'Threshold Summary'!$K:$K,""),'Pokemon Editor'!$A:$A,'Pokemon Editor'!$C:$C,""),mtype=XLOOKUP(XLOOKUP($Q64,'Threshold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Chart'!$B$1:$S$1,0)))),base,IF(OR(cat="Status",pow=0),0,FLOOR(FLOOR(FLOOR((2*XLOOKUP($Q64,'Threshold Summary'!$Y:$Y,'Threshold Summary'!$L:$L,"")/5+2)*pow*atk/def)/50)+2)),modifier,stab*eff,AVERAGE(ARRAYFORMULA(FLOOR(base*modifier*SEQUENCE(16,1,85,1)/100)))),0)</f>
        <v/>
      </c>
      <c r="M64" s="3">
        <f>IFERROR(LET(mtype,XLOOKUP($D64,'Move Editor'!$B:$B,'Move Editor'!$C:$C,""),cat,XLOOKUP($D64,'Move Editor'!$B:$B,'Move Editor'!$D:$D,""),pow,XLOOKUP($D64,'Move Editor'!$B:$B,'Move Editor'!$E:$E,0),acc,XLOOKUP($D64,'Move Editor'!$B:$B,'Move Editor'!$F:$F,100),atk,IF(cat="Physical",FLOOR((FLOOR(((2*XLOOKUP(XLOOKUP($Q64,'Threshold Summary'!$Y:$Y,'Threshold Summary'!$K:$K,""),'Pokemon Editor'!$A:$A,'Pokemon Editor'!$F:$F,0)+31+FLOOR(XLOOKUP($Q64,'Threshold Summary'!$Y:$Y,'Threshold Summary'!$P:$P,"")/4))*XLOOKUP($Q64,'Threshold Summary'!$Y:$Y,'Threshold Summary'!$L:$L,""))/100)+5)*XLOOKUP(XLOOKUP($Q64,'Threshold Summary'!$Y:$Y,'Threshold Summary'!$M:$M,""),'Nature Editor'!$A:$A,'Nature Editor'!$B:$B,1)),FLOOR((FLOOR(((2*XLOOKUP(XLOOKUP($Q64,'Threshold Summary'!$Y:$Y,'Threshold Summary'!$K:$K,""),'Pokemon Editor'!$A:$A,'Pokemon Editor'!$H:$H,0)+31+FLOOR(XLOOKUP($Q64,'Threshold Summary'!$Y:$Y,'Threshold Summary'!$R:$R,"")/4))*XLOOKUP($Q64,'Threshold Summary'!$Y:$Y,'Threshold Summary'!$L:$L,""))/100)+5)*XLOOKUP(XLOOKUP($Q64,'Threshold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Editor'!$E:$E,1))),stab,IF(OR(mtype=XLOOKUP(XLOOKUP($Q64,'Threshold Summary'!$Y:$Y,'Threshold Summary'!$K:$K,""),'Pokemon Editor'!$A:$A,'Pokemon Editor'!$C:$C,""),mtype=XLOOKUP(XLOOKUP($Q64,'Threshold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Chart'!$B$1:$S$1,0)))),base,IF(OR(cat="Status",pow=0),0,FLOOR(FLOOR(FLOOR((2*XLOOKUP($Q64,'Threshold Summary'!$Y:$Y,'Threshold Summary'!$L:$L,"")/5+2)*pow*atk/def)/50)+2)),modifier,stab*eff,AVERAGE(ARRAYFORMULA(FLOOR(base*modifier*SEQUENCE(16,1,85,1)/100)))*MIN(1,acc/100)),0)</f>
        <v/>
      </c>
      <c r="N64" s="4">
        <f>IFERROR(LET(mtype,XLOOKUP($D64,'Move Editor'!$B:$B,'Move Editor'!$C:$C,""),cat,XLOOKUP($D64,'Move Editor'!$B:$B,'Move Editor'!$D:$D,""),pow,XLOOKUP($D64,'Move Editor'!$B:$B,'Move Editor'!$E:$E,0),acc,XLOOKUP($D64,'Move Editor'!$B:$B,'Move Editor'!$F:$F,100),atk,IF(cat="Physical",FLOOR((FLOOR(((2*XLOOKUP(XLOOKUP($Q64,'Threshold Summary'!$Y:$Y,'Threshold Summary'!$K:$K,""),'Pokemon Editor'!$A:$A,'Pokemon Editor'!$F:$F,0)+31+FLOOR(XLOOKUP($Q64,'Threshold Summary'!$Y:$Y,'Threshold Summary'!$P:$P,"")/4))*XLOOKUP($Q64,'Threshold Summary'!$Y:$Y,'Threshold Summary'!$L:$L,""))/100)+5)*XLOOKUP(XLOOKUP($Q64,'Threshold Summary'!$Y:$Y,'Threshold Summary'!$M:$M,""),'Nature Editor'!$A:$A,'Nature Editor'!$B:$B,1)),FLOOR((FLOOR(((2*XLOOKUP(XLOOKUP($Q64,'Threshold Summary'!$Y:$Y,'Threshold Summary'!$K:$K,""),'Pokemon Editor'!$A:$A,'Pokemon Editor'!$H:$H,0)+31+FLOOR(XLOOKUP($Q64,'Threshold Summary'!$Y:$Y,'Threshold Summary'!$R:$R,"")/4))*XLOOKUP($Q64,'Threshold Summary'!$Y:$Y,'Threshold Summary'!$L:$L,""))/100)+5)*XLOOKUP(XLOOKUP($Q64,'Threshold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Editor'!$E:$E,1))),stab,IF(OR(mtype=XLOOKUP(XLOOKUP($Q64,'Threshold Summary'!$Y:$Y,'Threshold Summary'!$K:$K,""),'Pokemon Editor'!$A:$A,'Pokemon Editor'!$C:$C,""),mtype=XLOOKUP(XLOOKUP($Q64,'Threshold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Chart'!$B$1:$S$1,0)))),base,IF(OR(cat="Status",pow=0),0,FLOOR(FLOOR(FLOOR((2*XLOOKUP($Q64,'Threshold Summary'!$Y:$Y,'Threshold Summary'!$L:$L,"")/5+2)*pow*atk/def)/50)+2)),modifier,stab*eff,AVERAGE(ARRAYFORMULA(FLOOR(base*modifier*SEQUENCE(16,1,85,1)/100)))/(FLOOR(((2*XLOOKUP('Boss Editor'!$C$4,'Pokemon Editor'!$A:$A,'Pokemon Editor'!$E:$E,0)+31+FLOOR('Boss Editor'!$G$4/4))*'Boss Editor'!$D$4)/100)+'Boss Editor'!$D$4+10)),0)</f>
        <v/>
      </c>
      <c r="O64" s="3">
        <f>IF(N64&gt;=1,"OHKO",IF(N64&gt;=0.5,"2HKO",IF(N64&gt;=0.333,"3HKO",IF(N64&gt;=0.25,"4HKO","5HKO+"))))</f>
        <v/>
      </c>
      <c r="P64" s="3" t="inlineStr">
        <is>
          <t>Live from editable databases</t>
        </is>
      </c>
      <c r="Q64" s="3" t="inlineStr">
        <is>
          <t>SPECIES_SENTRET</t>
        </is>
      </c>
      <c r="R64" s="3" t="n">
        <v>31</v>
      </c>
    </row>
    <row r="65">
      <c r="A65" s="3">
        <f>XLOOKUP($Q65,'Threshold Summary'!$Y:$Y,'Threshold Summary'!$A:$A,"")</f>
        <v/>
      </c>
      <c r="B65" s="3">
        <f>XLOOKUP($Q65,'Threshold Summary'!$Y:$Y,'Threshold Summary'!$M:$M,"")</f>
        <v/>
      </c>
      <c r="C65" s="3">
        <f>XLOOKUP($Q65,'Threshold Summary'!$Y:$Y,'Threshold Summary'!$N:$N,"")</f>
        <v/>
      </c>
      <c r="D65" s="3">
        <f>IFERROR(INDEX(FILTER('Learnset Editor'!$D$2:$D,'Learnset Editor'!$A$2:$A=XLOOKUP($Q65,'Threshold Summary'!$Y:$Y,'Threshold Summary'!$K:$K,""),'Learnset Editor'!$C$2:$C&lt;=XLOOKUP($Q65,'Threshold Summary'!$Y:$Y,'Threshold Summary'!$L:$L,"")),$R65),"")</f>
        <v/>
      </c>
      <c r="E65" s="3">
        <f>XLOOKUP(D65,'Move Editor'!$B:$B,'Move Editor'!$C:$C,"")</f>
        <v/>
      </c>
      <c r="F65" s="3">
        <f>XLOOKUP(D65,'Move Editor'!$B:$B,'Move Editor'!$D:$D,"")</f>
        <v/>
      </c>
      <c r="G65" s="3">
        <f>XLOOKUP(D65,'Move Editor'!$B:$B,'Move Editor'!$E:$E,0)</f>
        <v/>
      </c>
      <c r="H65" s="3">
        <f>XLOOKUP(D65,'Move Editor'!$B:$B,'Move Editor'!$F:$F,0)</f>
        <v/>
      </c>
      <c r="I65" s="3">
        <f>(INDEX('Type Chart'!$B:$S,MATCH(E65,'Type Chart'!$A:$A,0),MATCH(XLOOKUP('Boss Editor'!$C$4,'Pokemon Editor'!$A:$A,'Pokemon Editor'!$C:$C,""),'Type Chart'!$B$1:$S$1,0))*IF(XLOOKUP('Boss Editor'!$C$4,'Pokemon Editor'!$A:$A,'Pokemon Editor'!$D:$D,"")="",1,INDEX('Type Chart'!$B:$S,MATCH(E65,'Type Chart'!$A:$A,0),MATCH(XLOOKUP('Boss Editor'!$C$4,'Pokemon Editor'!$A:$A,'Pokemon Editor'!$D:$D,""),'Type Chart'!$B$1:$S$1,0))))</f>
        <v/>
      </c>
      <c r="J65" s="3">
        <f>IFERROR(LET(mtype,XLOOKUP($D65,'Move Editor'!$B:$B,'Move Editor'!$C:$C,""),cat,XLOOKUP($D65,'Move Editor'!$B:$B,'Move Editor'!$D:$D,""),pow,XLOOKUP($D65,'Move Editor'!$B:$B,'Move Editor'!$E:$E,0),acc,XLOOKUP($D65,'Move Editor'!$B:$B,'Move Editor'!$F:$F,100),atk,IF(cat="Physical",FLOOR((FLOOR(((2*XLOOKUP(XLOOKUP($Q65,'Threshold Summary'!$Y:$Y,'Threshold Summary'!$K:$K,""),'Pokemon Editor'!$A:$A,'Pokemon Editor'!$F:$F,0)+31+FLOOR(XLOOKUP($Q65,'Threshold Summary'!$Y:$Y,'Threshold Summary'!$P:$P,"")/4))*XLOOKUP($Q65,'Threshold Summary'!$Y:$Y,'Threshold Summary'!$L:$L,""))/100)+5)*XLOOKUP(XLOOKUP($Q65,'Threshold Summary'!$Y:$Y,'Threshold Summary'!$M:$M,""),'Nature Editor'!$A:$A,'Nature Editor'!$B:$B,1)),FLOOR((FLOOR(((2*XLOOKUP(XLOOKUP($Q65,'Threshold Summary'!$Y:$Y,'Threshold Summary'!$K:$K,""),'Pokemon Editor'!$A:$A,'Pokemon Editor'!$H:$H,0)+31+FLOOR(XLOOKUP($Q65,'Threshold Summary'!$Y:$Y,'Threshold Summary'!$R:$R,"")/4))*XLOOKUP($Q65,'Threshold Summary'!$Y:$Y,'Threshold Summary'!$L:$L,""))/100)+5)*XLOOKUP(XLOOKUP($Q65,'Threshold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Editor'!$E:$E,1))),stab,IF(OR(mtype=XLOOKUP(XLOOKUP($Q65,'Threshold Summary'!$Y:$Y,'Threshold Summary'!$K:$K,""),'Pokemon Editor'!$A:$A,'Pokemon Editor'!$C:$C,""),mtype=XLOOKUP(XLOOKUP($Q65,'Threshold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Chart'!$B$1:$S$1,0)))),base,IF(OR(cat="Status",pow=0),0,FLOOR(FLOOR(FLOOR((2*XLOOKUP($Q65,'Threshold Summary'!$Y:$Y,'Threshold Summary'!$L:$L,"")/5+2)*pow*atk/def)/50)+2)),modifier,stab*eff,FLOOR(base*modifier*0.85)),0)</f>
        <v/>
      </c>
      <c r="K65" s="3">
        <f>IFERROR(LET(mtype,XLOOKUP($D65,'Move Editor'!$B:$B,'Move Editor'!$C:$C,""),cat,XLOOKUP($D65,'Move Editor'!$B:$B,'Move Editor'!$D:$D,""),pow,XLOOKUP($D65,'Move Editor'!$B:$B,'Move Editor'!$E:$E,0),acc,XLOOKUP($D65,'Move Editor'!$B:$B,'Move Editor'!$F:$F,100),atk,IF(cat="Physical",FLOOR((FLOOR(((2*XLOOKUP(XLOOKUP($Q65,'Threshold Summary'!$Y:$Y,'Threshold Summary'!$K:$K,""),'Pokemon Editor'!$A:$A,'Pokemon Editor'!$F:$F,0)+31+FLOOR(XLOOKUP($Q65,'Threshold Summary'!$Y:$Y,'Threshold Summary'!$P:$P,"")/4))*XLOOKUP($Q65,'Threshold Summary'!$Y:$Y,'Threshold Summary'!$L:$L,""))/100)+5)*XLOOKUP(XLOOKUP($Q65,'Threshold Summary'!$Y:$Y,'Threshold Summary'!$M:$M,""),'Nature Editor'!$A:$A,'Nature Editor'!$B:$B,1)),FLOOR((FLOOR(((2*XLOOKUP(XLOOKUP($Q65,'Threshold Summary'!$Y:$Y,'Threshold Summary'!$K:$K,""),'Pokemon Editor'!$A:$A,'Pokemon Editor'!$H:$H,0)+31+FLOOR(XLOOKUP($Q65,'Threshold Summary'!$Y:$Y,'Threshold Summary'!$R:$R,"")/4))*XLOOKUP($Q65,'Threshold Summary'!$Y:$Y,'Threshold Summary'!$L:$L,""))/100)+5)*XLOOKUP(XLOOKUP($Q65,'Threshold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Editor'!$E:$E,1))),stab,IF(OR(mtype=XLOOKUP(XLOOKUP($Q65,'Threshold Summary'!$Y:$Y,'Threshold Summary'!$K:$K,""),'Pokemon Editor'!$A:$A,'Pokemon Editor'!$C:$C,""),mtype=XLOOKUP(XLOOKUP($Q65,'Threshold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Chart'!$B$1:$S$1,0)))),base,IF(OR(cat="Status",pow=0),0,FLOOR(FLOOR(FLOOR((2*XLOOKUP($Q65,'Threshold Summary'!$Y:$Y,'Threshold Summary'!$L:$L,"")/5+2)*pow*atk/def)/50)+2)),modifier,stab*eff,FLOOR(base*modifier)),0)</f>
        <v/>
      </c>
      <c r="L65" s="3">
        <f>IFERROR(LET(mtype,XLOOKUP($D65,'Move Editor'!$B:$B,'Move Editor'!$C:$C,""),cat,XLOOKUP($D65,'Move Editor'!$B:$B,'Move Editor'!$D:$D,""),pow,XLOOKUP($D65,'Move Editor'!$B:$B,'Move Editor'!$E:$E,0),acc,XLOOKUP($D65,'Move Editor'!$B:$B,'Move Editor'!$F:$F,100),atk,IF(cat="Physical",FLOOR((FLOOR(((2*XLOOKUP(XLOOKUP($Q65,'Threshold Summary'!$Y:$Y,'Threshold Summary'!$K:$K,""),'Pokemon Editor'!$A:$A,'Pokemon Editor'!$F:$F,0)+31+FLOOR(XLOOKUP($Q65,'Threshold Summary'!$Y:$Y,'Threshold Summary'!$P:$P,"")/4))*XLOOKUP($Q65,'Threshold Summary'!$Y:$Y,'Threshold Summary'!$L:$L,""))/100)+5)*XLOOKUP(XLOOKUP($Q65,'Threshold Summary'!$Y:$Y,'Threshold Summary'!$M:$M,""),'Nature Editor'!$A:$A,'Nature Editor'!$B:$B,1)),FLOOR((FLOOR(((2*XLOOKUP(XLOOKUP($Q65,'Threshold Summary'!$Y:$Y,'Threshold Summary'!$K:$K,""),'Pokemon Editor'!$A:$A,'Pokemon Editor'!$H:$H,0)+31+FLOOR(XLOOKUP($Q65,'Threshold Summary'!$Y:$Y,'Threshold Summary'!$R:$R,"")/4))*XLOOKUP($Q65,'Threshold Summary'!$Y:$Y,'Threshold Summary'!$L:$L,""))/100)+5)*XLOOKUP(XLOOKUP($Q65,'Threshold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Editor'!$E:$E,1))),stab,IF(OR(mtype=XLOOKUP(XLOOKUP($Q65,'Threshold Summary'!$Y:$Y,'Threshold Summary'!$K:$K,""),'Pokemon Editor'!$A:$A,'Pokemon Editor'!$C:$C,""),mtype=XLOOKUP(XLOOKUP($Q65,'Threshold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Chart'!$B$1:$S$1,0)))),base,IF(OR(cat="Status",pow=0),0,FLOOR(FLOOR(FLOOR((2*XLOOKUP($Q65,'Threshold Summary'!$Y:$Y,'Threshold Summary'!$L:$L,"")/5+2)*pow*atk/def)/50)+2)),modifier,stab*eff,AVERAGE(ARRAYFORMULA(FLOOR(base*modifier*SEQUENCE(16,1,85,1)/100)))),0)</f>
        <v/>
      </c>
      <c r="M65" s="3">
        <f>IFERROR(LET(mtype,XLOOKUP($D65,'Move Editor'!$B:$B,'Move Editor'!$C:$C,""),cat,XLOOKUP($D65,'Move Editor'!$B:$B,'Move Editor'!$D:$D,""),pow,XLOOKUP($D65,'Move Editor'!$B:$B,'Move Editor'!$E:$E,0),acc,XLOOKUP($D65,'Move Editor'!$B:$B,'Move Editor'!$F:$F,100),atk,IF(cat="Physical",FLOOR((FLOOR(((2*XLOOKUP(XLOOKUP($Q65,'Threshold Summary'!$Y:$Y,'Threshold Summary'!$K:$K,""),'Pokemon Editor'!$A:$A,'Pokemon Editor'!$F:$F,0)+31+FLOOR(XLOOKUP($Q65,'Threshold Summary'!$Y:$Y,'Threshold Summary'!$P:$P,"")/4))*XLOOKUP($Q65,'Threshold Summary'!$Y:$Y,'Threshold Summary'!$L:$L,""))/100)+5)*XLOOKUP(XLOOKUP($Q65,'Threshold Summary'!$Y:$Y,'Threshold Summary'!$M:$M,""),'Nature Editor'!$A:$A,'Nature Editor'!$B:$B,1)),FLOOR((FLOOR(((2*XLOOKUP(XLOOKUP($Q65,'Threshold Summary'!$Y:$Y,'Threshold Summary'!$K:$K,""),'Pokemon Editor'!$A:$A,'Pokemon Editor'!$H:$H,0)+31+FLOOR(XLOOKUP($Q65,'Threshold Summary'!$Y:$Y,'Threshold Summary'!$R:$R,"")/4))*XLOOKUP($Q65,'Threshold Summary'!$Y:$Y,'Threshold Summary'!$L:$L,""))/100)+5)*XLOOKUP(XLOOKUP($Q65,'Threshold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Editor'!$E:$E,1))),stab,IF(OR(mtype=XLOOKUP(XLOOKUP($Q65,'Threshold Summary'!$Y:$Y,'Threshold Summary'!$K:$K,""),'Pokemon Editor'!$A:$A,'Pokemon Editor'!$C:$C,""),mtype=XLOOKUP(XLOOKUP($Q65,'Threshold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Chart'!$B$1:$S$1,0)))),base,IF(OR(cat="Status",pow=0),0,FLOOR(FLOOR(FLOOR((2*XLOOKUP($Q65,'Threshold Summary'!$Y:$Y,'Threshold Summary'!$L:$L,"")/5+2)*pow*atk/def)/50)+2)),modifier,stab*eff,AVERAGE(ARRAYFORMULA(FLOOR(base*modifier*SEQUENCE(16,1,85,1)/100)))*MIN(1,acc/100)),0)</f>
        <v/>
      </c>
      <c r="N65" s="4">
        <f>IFERROR(LET(mtype,XLOOKUP($D65,'Move Editor'!$B:$B,'Move Editor'!$C:$C,""),cat,XLOOKUP($D65,'Move Editor'!$B:$B,'Move Editor'!$D:$D,""),pow,XLOOKUP($D65,'Move Editor'!$B:$B,'Move Editor'!$E:$E,0),acc,XLOOKUP($D65,'Move Editor'!$B:$B,'Move Editor'!$F:$F,100),atk,IF(cat="Physical",FLOOR((FLOOR(((2*XLOOKUP(XLOOKUP($Q65,'Threshold Summary'!$Y:$Y,'Threshold Summary'!$K:$K,""),'Pokemon Editor'!$A:$A,'Pokemon Editor'!$F:$F,0)+31+FLOOR(XLOOKUP($Q65,'Threshold Summary'!$Y:$Y,'Threshold Summary'!$P:$P,"")/4))*XLOOKUP($Q65,'Threshold Summary'!$Y:$Y,'Threshold Summary'!$L:$L,""))/100)+5)*XLOOKUP(XLOOKUP($Q65,'Threshold Summary'!$Y:$Y,'Threshold Summary'!$M:$M,""),'Nature Editor'!$A:$A,'Nature Editor'!$B:$B,1)),FLOOR((FLOOR(((2*XLOOKUP(XLOOKUP($Q65,'Threshold Summary'!$Y:$Y,'Threshold Summary'!$K:$K,""),'Pokemon Editor'!$A:$A,'Pokemon Editor'!$H:$H,0)+31+FLOOR(XLOOKUP($Q65,'Threshold Summary'!$Y:$Y,'Threshold Summary'!$R:$R,"")/4))*XLOOKUP($Q65,'Threshold Summary'!$Y:$Y,'Threshold Summary'!$L:$L,""))/100)+5)*XLOOKUP(XLOOKUP($Q65,'Threshold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Editor'!$E:$E,1))),stab,IF(OR(mtype=XLOOKUP(XLOOKUP($Q65,'Threshold Summary'!$Y:$Y,'Threshold Summary'!$K:$K,""),'Pokemon Editor'!$A:$A,'Pokemon Editor'!$C:$C,""),mtype=XLOOKUP(XLOOKUP($Q65,'Threshold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Chart'!$B$1:$S$1,0)))),base,IF(OR(cat="Status",pow=0),0,FLOOR(FLOOR(FLOOR((2*XLOOKUP($Q65,'Threshold Summary'!$Y:$Y,'Threshold Summary'!$L:$L,"")/5+2)*pow*atk/def)/50)+2)),modifier,stab*eff,AVERAGE(ARRAYFORMULA(FLOOR(base*modifier*SEQUENCE(16,1,85,1)/100)))/(FLOOR(((2*XLOOKUP('Boss Editor'!$C$4,'Pokemon Editor'!$A:$A,'Pokemon Editor'!$E:$E,0)+31+FLOOR('Boss Editor'!$G$4/4))*'Boss Editor'!$D$4)/100)+'Boss Editor'!$D$4+10)),0)</f>
        <v/>
      </c>
      <c r="O65" s="3">
        <f>IF(N65&gt;=1,"OHKO",IF(N65&gt;=0.5,"2HKO",IF(N65&gt;=0.333,"3HKO",IF(N65&gt;=0.25,"4HKO","5HKO+"))))</f>
        <v/>
      </c>
      <c r="P65" s="3" t="inlineStr">
        <is>
          <t>Live from editable databases</t>
        </is>
      </c>
      <c r="Q65" s="3" t="inlineStr">
        <is>
          <t>SPECIES_SENTRET</t>
        </is>
      </c>
      <c r="R65" s="3" t="n">
        <v>32</v>
      </c>
    </row>
    <row r="66">
      <c r="A66" s="3">
        <f>XLOOKUP($Q66,'Threshold Summary'!$Y:$Y,'Threshold Summary'!$A:$A,"")</f>
        <v/>
      </c>
      <c r="B66" s="3">
        <f>XLOOKUP($Q66,'Threshold Summary'!$Y:$Y,'Threshold Summary'!$M:$M,"")</f>
        <v/>
      </c>
      <c r="C66" s="3">
        <f>XLOOKUP($Q66,'Threshold Summary'!$Y:$Y,'Threshold Summary'!$N:$N,"")</f>
        <v/>
      </c>
      <c r="D66" s="3">
        <f>IFERROR(INDEX(FILTER('Learnset Editor'!$D$2:$D,'Learnset Editor'!$A$2:$A=XLOOKUP($Q66,'Threshold Summary'!$Y:$Y,'Threshold Summary'!$K:$K,""),'Learnset Editor'!$C$2:$C&lt;=XLOOKUP($Q66,'Threshold Summary'!$Y:$Y,'Threshold Summary'!$L:$L,"")),$R66),"")</f>
        <v/>
      </c>
      <c r="E66" s="3">
        <f>XLOOKUP(D66,'Move Editor'!$B:$B,'Move Editor'!$C:$C,"")</f>
        <v/>
      </c>
      <c r="F66" s="3">
        <f>XLOOKUP(D66,'Move Editor'!$B:$B,'Move Editor'!$D:$D,"")</f>
        <v/>
      </c>
      <c r="G66" s="3">
        <f>XLOOKUP(D66,'Move Editor'!$B:$B,'Move Editor'!$E:$E,0)</f>
        <v/>
      </c>
      <c r="H66" s="3">
        <f>XLOOKUP(D66,'Move Editor'!$B:$B,'Move Editor'!$F:$F,0)</f>
        <v/>
      </c>
      <c r="I66" s="3">
        <f>(INDEX('Type Chart'!$B:$S,MATCH(E66,'Type Chart'!$A:$A,0),MATCH(XLOOKUP('Boss Editor'!$C$4,'Pokemon Editor'!$A:$A,'Pokemon Editor'!$C:$C,""),'Type Chart'!$B$1:$S$1,0))*IF(XLOOKUP('Boss Editor'!$C$4,'Pokemon Editor'!$A:$A,'Pokemon Editor'!$D:$D,"")="",1,INDEX('Type Chart'!$B:$S,MATCH(E66,'Type Chart'!$A:$A,0),MATCH(XLOOKUP('Boss Editor'!$C$4,'Pokemon Editor'!$A:$A,'Pokemon Editor'!$D:$D,""),'Type Chart'!$B$1:$S$1,0))))</f>
        <v/>
      </c>
      <c r="J66" s="3">
        <f>IFERROR(LET(mtype,XLOOKUP($D66,'Move Editor'!$B:$B,'Move Editor'!$C:$C,""),cat,XLOOKUP($D66,'Move Editor'!$B:$B,'Move Editor'!$D:$D,""),pow,XLOOKUP($D66,'Move Editor'!$B:$B,'Move Editor'!$E:$E,0),acc,XLOOKUP($D66,'Move Editor'!$B:$B,'Move Editor'!$F:$F,100),atk,IF(cat="Physical",FLOOR((FLOOR(((2*XLOOKUP(XLOOKUP($Q66,'Threshold Summary'!$Y:$Y,'Threshold Summary'!$K:$K,""),'Pokemon Editor'!$A:$A,'Pokemon Editor'!$F:$F,0)+31+FLOOR(XLOOKUP($Q66,'Threshold Summary'!$Y:$Y,'Threshold Summary'!$P:$P,"")/4))*XLOOKUP($Q66,'Threshold Summary'!$Y:$Y,'Threshold Summary'!$L:$L,""))/100)+5)*XLOOKUP(XLOOKUP($Q66,'Threshold Summary'!$Y:$Y,'Threshold Summary'!$M:$M,""),'Nature Editor'!$A:$A,'Nature Editor'!$B:$B,1)),FLOOR((FLOOR(((2*XLOOKUP(XLOOKUP($Q66,'Threshold Summary'!$Y:$Y,'Threshold Summary'!$K:$K,""),'Pokemon Editor'!$A:$A,'Pokemon Editor'!$H:$H,0)+31+FLOOR(XLOOKUP($Q66,'Threshold Summary'!$Y:$Y,'Threshold Summary'!$R:$R,"")/4))*XLOOKUP($Q66,'Threshold Summary'!$Y:$Y,'Threshold Summary'!$L:$L,""))/100)+5)*XLOOKUP(XLOOKUP($Q66,'Threshold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Editor'!$E:$E,1))),stab,IF(OR(mtype=XLOOKUP(XLOOKUP($Q66,'Threshold Summary'!$Y:$Y,'Threshold Summary'!$K:$K,""),'Pokemon Editor'!$A:$A,'Pokemon Editor'!$C:$C,""),mtype=XLOOKUP(XLOOKUP($Q66,'Threshold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Chart'!$B$1:$S$1,0)))),base,IF(OR(cat="Status",pow=0),0,FLOOR(FLOOR(FLOOR((2*XLOOKUP($Q66,'Threshold Summary'!$Y:$Y,'Threshold Summary'!$L:$L,"")/5+2)*pow*atk/def)/50)+2)),modifier,stab*eff,FLOOR(base*modifier*0.85)),0)</f>
        <v/>
      </c>
      <c r="K66" s="3">
        <f>IFERROR(LET(mtype,XLOOKUP($D66,'Move Editor'!$B:$B,'Move Editor'!$C:$C,""),cat,XLOOKUP($D66,'Move Editor'!$B:$B,'Move Editor'!$D:$D,""),pow,XLOOKUP($D66,'Move Editor'!$B:$B,'Move Editor'!$E:$E,0),acc,XLOOKUP($D66,'Move Editor'!$B:$B,'Move Editor'!$F:$F,100),atk,IF(cat="Physical",FLOOR((FLOOR(((2*XLOOKUP(XLOOKUP($Q66,'Threshold Summary'!$Y:$Y,'Threshold Summary'!$K:$K,""),'Pokemon Editor'!$A:$A,'Pokemon Editor'!$F:$F,0)+31+FLOOR(XLOOKUP($Q66,'Threshold Summary'!$Y:$Y,'Threshold Summary'!$P:$P,"")/4))*XLOOKUP($Q66,'Threshold Summary'!$Y:$Y,'Threshold Summary'!$L:$L,""))/100)+5)*XLOOKUP(XLOOKUP($Q66,'Threshold Summary'!$Y:$Y,'Threshold Summary'!$M:$M,""),'Nature Editor'!$A:$A,'Nature Editor'!$B:$B,1)),FLOOR((FLOOR(((2*XLOOKUP(XLOOKUP($Q66,'Threshold Summary'!$Y:$Y,'Threshold Summary'!$K:$K,""),'Pokemon Editor'!$A:$A,'Pokemon Editor'!$H:$H,0)+31+FLOOR(XLOOKUP($Q66,'Threshold Summary'!$Y:$Y,'Threshold Summary'!$R:$R,"")/4))*XLOOKUP($Q66,'Threshold Summary'!$Y:$Y,'Threshold Summary'!$L:$L,""))/100)+5)*XLOOKUP(XLOOKUP($Q66,'Threshold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Editor'!$E:$E,1))),stab,IF(OR(mtype=XLOOKUP(XLOOKUP($Q66,'Threshold Summary'!$Y:$Y,'Threshold Summary'!$K:$K,""),'Pokemon Editor'!$A:$A,'Pokemon Editor'!$C:$C,""),mtype=XLOOKUP(XLOOKUP($Q66,'Threshold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Chart'!$B$1:$S$1,0)))),base,IF(OR(cat="Status",pow=0),0,FLOOR(FLOOR(FLOOR((2*XLOOKUP($Q66,'Threshold Summary'!$Y:$Y,'Threshold Summary'!$L:$L,"")/5+2)*pow*atk/def)/50)+2)),modifier,stab*eff,FLOOR(base*modifier)),0)</f>
        <v/>
      </c>
      <c r="L66" s="3">
        <f>IFERROR(LET(mtype,XLOOKUP($D66,'Move Editor'!$B:$B,'Move Editor'!$C:$C,""),cat,XLOOKUP($D66,'Move Editor'!$B:$B,'Move Editor'!$D:$D,""),pow,XLOOKUP($D66,'Move Editor'!$B:$B,'Move Editor'!$E:$E,0),acc,XLOOKUP($D66,'Move Editor'!$B:$B,'Move Editor'!$F:$F,100),atk,IF(cat="Physical",FLOOR((FLOOR(((2*XLOOKUP(XLOOKUP($Q66,'Threshold Summary'!$Y:$Y,'Threshold Summary'!$K:$K,""),'Pokemon Editor'!$A:$A,'Pokemon Editor'!$F:$F,0)+31+FLOOR(XLOOKUP($Q66,'Threshold Summary'!$Y:$Y,'Threshold Summary'!$P:$P,"")/4))*XLOOKUP($Q66,'Threshold Summary'!$Y:$Y,'Threshold Summary'!$L:$L,""))/100)+5)*XLOOKUP(XLOOKUP($Q66,'Threshold Summary'!$Y:$Y,'Threshold Summary'!$M:$M,""),'Nature Editor'!$A:$A,'Nature Editor'!$B:$B,1)),FLOOR((FLOOR(((2*XLOOKUP(XLOOKUP($Q66,'Threshold Summary'!$Y:$Y,'Threshold Summary'!$K:$K,""),'Pokemon Editor'!$A:$A,'Pokemon Editor'!$H:$H,0)+31+FLOOR(XLOOKUP($Q66,'Threshold Summary'!$Y:$Y,'Threshold Summary'!$R:$R,"")/4))*XLOOKUP($Q66,'Threshold Summary'!$Y:$Y,'Threshold Summary'!$L:$L,""))/100)+5)*XLOOKUP(XLOOKUP($Q66,'Threshold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Editor'!$E:$E,1))),stab,IF(OR(mtype=XLOOKUP(XLOOKUP($Q66,'Threshold Summary'!$Y:$Y,'Threshold Summary'!$K:$K,""),'Pokemon Editor'!$A:$A,'Pokemon Editor'!$C:$C,""),mtype=XLOOKUP(XLOOKUP($Q66,'Threshold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Chart'!$B$1:$S$1,0)))),base,IF(OR(cat="Status",pow=0),0,FLOOR(FLOOR(FLOOR((2*XLOOKUP($Q66,'Threshold Summary'!$Y:$Y,'Threshold Summary'!$L:$L,"")/5+2)*pow*atk/def)/50)+2)),modifier,stab*eff,AVERAGE(ARRAYFORMULA(FLOOR(base*modifier*SEQUENCE(16,1,85,1)/100)))),0)</f>
        <v/>
      </c>
      <c r="M66" s="3">
        <f>IFERROR(LET(mtype,XLOOKUP($D66,'Move Editor'!$B:$B,'Move Editor'!$C:$C,""),cat,XLOOKUP($D66,'Move Editor'!$B:$B,'Move Editor'!$D:$D,""),pow,XLOOKUP($D66,'Move Editor'!$B:$B,'Move Editor'!$E:$E,0),acc,XLOOKUP($D66,'Move Editor'!$B:$B,'Move Editor'!$F:$F,100),atk,IF(cat="Physical",FLOOR((FLOOR(((2*XLOOKUP(XLOOKUP($Q66,'Threshold Summary'!$Y:$Y,'Threshold Summary'!$K:$K,""),'Pokemon Editor'!$A:$A,'Pokemon Editor'!$F:$F,0)+31+FLOOR(XLOOKUP($Q66,'Threshold Summary'!$Y:$Y,'Threshold Summary'!$P:$P,"")/4))*XLOOKUP($Q66,'Threshold Summary'!$Y:$Y,'Threshold Summary'!$L:$L,""))/100)+5)*XLOOKUP(XLOOKUP($Q66,'Threshold Summary'!$Y:$Y,'Threshold Summary'!$M:$M,""),'Nature Editor'!$A:$A,'Nature Editor'!$B:$B,1)),FLOOR((FLOOR(((2*XLOOKUP(XLOOKUP($Q66,'Threshold Summary'!$Y:$Y,'Threshold Summary'!$K:$K,""),'Pokemon Editor'!$A:$A,'Pokemon Editor'!$H:$H,0)+31+FLOOR(XLOOKUP($Q66,'Threshold Summary'!$Y:$Y,'Threshold Summary'!$R:$R,"")/4))*XLOOKUP($Q66,'Threshold Summary'!$Y:$Y,'Threshold Summary'!$L:$L,""))/100)+5)*XLOOKUP(XLOOKUP($Q66,'Threshold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Editor'!$E:$E,1))),stab,IF(OR(mtype=XLOOKUP(XLOOKUP($Q66,'Threshold Summary'!$Y:$Y,'Threshold Summary'!$K:$K,""),'Pokemon Editor'!$A:$A,'Pokemon Editor'!$C:$C,""),mtype=XLOOKUP(XLOOKUP($Q66,'Threshold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Chart'!$B$1:$S$1,0)))),base,IF(OR(cat="Status",pow=0),0,FLOOR(FLOOR(FLOOR((2*XLOOKUP($Q66,'Threshold Summary'!$Y:$Y,'Threshold Summary'!$L:$L,"")/5+2)*pow*atk/def)/50)+2)),modifier,stab*eff,AVERAGE(ARRAYFORMULA(FLOOR(base*modifier*SEQUENCE(16,1,85,1)/100)))*MIN(1,acc/100)),0)</f>
        <v/>
      </c>
      <c r="N66" s="4">
        <f>IFERROR(LET(mtype,XLOOKUP($D66,'Move Editor'!$B:$B,'Move Editor'!$C:$C,""),cat,XLOOKUP($D66,'Move Editor'!$B:$B,'Move Editor'!$D:$D,""),pow,XLOOKUP($D66,'Move Editor'!$B:$B,'Move Editor'!$E:$E,0),acc,XLOOKUP($D66,'Move Editor'!$B:$B,'Move Editor'!$F:$F,100),atk,IF(cat="Physical",FLOOR((FLOOR(((2*XLOOKUP(XLOOKUP($Q66,'Threshold Summary'!$Y:$Y,'Threshold Summary'!$K:$K,""),'Pokemon Editor'!$A:$A,'Pokemon Editor'!$F:$F,0)+31+FLOOR(XLOOKUP($Q66,'Threshold Summary'!$Y:$Y,'Threshold Summary'!$P:$P,"")/4))*XLOOKUP($Q66,'Threshold Summary'!$Y:$Y,'Threshold Summary'!$L:$L,""))/100)+5)*XLOOKUP(XLOOKUP($Q66,'Threshold Summary'!$Y:$Y,'Threshold Summary'!$M:$M,""),'Nature Editor'!$A:$A,'Nature Editor'!$B:$B,1)),FLOOR((FLOOR(((2*XLOOKUP(XLOOKUP($Q66,'Threshold Summary'!$Y:$Y,'Threshold Summary'!$K:$K,""),'Pokemon Editor'!$A:$A,'Pokemon Editor'!$H:$H,0)+31+FLOOR(XLOOKUP($Q66,'Threshold Summary'!$Y:$Y,'Threshold Summary'!$R:$R,"")/4))*XLOOKUP($Q66,'Threshold Summary'!$Y:$Y,'Threshold Summary'!$L:$L,""))/100)+5)*XLOOKUP(XLOOKUP($Q66,'Threshold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Editor'!$E:$E,1))),stab,IF(OR(mtype=XLOOKUP(XLOOKUP($Q66,'Threshold Summary'!$Y:$Y,'Threshold Summary'!$K:$K,""),'Pokemon Editor'!$A:$A,'Pokemon Editor'!$C:$C,""),mtype=XLOOKUP(XLOOKUP($Q66,'Threshold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Chart'!$B$1:$S$1,0)))),base,IF(OR(cat="Status",pow=0),0,FLOOR(FLOOR(FLOOR((2*XLOOKUP($Q66,'Threshold Summary'!$Y:$Y,'Threshold Summary'!$L:$L,"")/5+2)*pow*atk/def)/50)+2)),modifier,stab*eff,AVERAGE(ARRAYFORMULA(FLOOR(base*modifier*SEQUENCE(16,1,85,1)/100)))/(FLOOR(((2*XLOOKUP('Boss Editor'!$C$4,'Pokemon Editor'!$A:$A,'Pokemon Editor'!$E:$E,0)+31+FLOOR('Boss Editor'!$G$4/4))*'Boss Editor'!$D$4)/100)+'Boss Editor'!$D$4+10)),0)</f>
        <v/>
      </c>
      <c r="O66" s="3">
        <f>IF(N66&gt;=1,"OHKO",IF(N66&gt;=0.5,"2HKO",IF(N66&gt;=0.333,"3HKO",IF(N66&gt;=0.25,"4HKO","5HKO+"))))</f>
        <v/>
      </c>
      <c r="P66" s="3" t="inlineStr">
        <is>
          <t>Live from editable databases</t>
        </is>
      </c>
      <c r="Q66" s="3" t="inlineStr">
        <is>
          <t>SPECIES_MAREEP</t>
        </is>
      </c>
      <c r="R66" s="3" t="n">
        <v>1</v>
      </c>
    </row>
    <row r="67">
      <c r="A67" s="3">
        <f>XLOOKUP($Q67,'Threshold Summary'!$Y:$Y,'Threshold Summary'!$A:$A,"")</f>
        <v/>
      </c>
      <c r="B67" s="3">
        <f>XLOOKUP($Q67,'Threshold Summary'!$Y:$Y,'Threshold Summary'!$M:$M,"")</f>
        <v/>
      </c>
      <c r="C67" s="3">
        <f>XLOOKUP($Q67,'Threshold Summary'!$Y:$Y,'Threshold Summary'!$N:$N,"")</f>
        <v/>
      </c>
      <c r="D67" s="3">
        <f>IFERROR(INDEX(FILTER('Learnset Editor'!$D$2:$D,'Learnset Editor'!$A$2:$A=XLOOKUP($Q67,'Threshold Summary'!$Y:$Y,'Threshold Summary'!$K:$K,""),'Learnset Editor'!$C$2:$C&lt;=XLOOKUP($Q67,'Threshold Summary'!$Y:$Y,'Threshold Summary'!$L:$L,"")),$R67),"")</f>
        <v/>
      </c>
      <c r="E67" s="3">
        <f>XLOOKUP(D67,'Move Editor'!$B:$B,'Move Editor'!$C:$C,"")</f>
        <v/>
      </c>
      <c r="F67" s="3">
        <f>XLOOKUP(D67,'Move Editor'!$B:$B,'Move Editor'!$D:$D,"")</f>
        <v/>
      </c>
      <c r="G67" s="3">
        <f>XLOOKUP(D67,'Move Editor'!$B:$B,'Move Editor'!$E:$E,0)</f>
        <v/>
      </c>
      <c r="H67" s="3">
        <f>XLOOKUP(D67,'Move Editor'!$B:$B,'Move Editor'!$F:$F,0)</f>
        <v/>
      </c>
      <c r="I67" s="3">
        <f>(INDEX('Type Chart'!$B:$S,MATCH(E67,'Type Chart'!$A:$A,0),MATCH(XLOOKUP('Boss Editor'!$C$4,'Pokemon Editor'!$A:$A,'Pokemon Editor'!$C:$C,""),'Type Chart'!$B$1:$S$1,0))*IF(XLOOKUP('Boss Editor'!$C$4,'Pokemon Editor'!$A:$A,'Pokemon Editor'!$D:$D,"")="",1,INDEX('Type Chart'!$B:$S,MATCH(E67,'Type Chart'!$A:$A,0),MATCH(XLOOKUP('Boss Editor'!$C$4,'Pokemon Editor'!$A:$A,'Pokemon Editor'!$D:$D,""),'Type Chart'!$B$1:$S$1,0))))</f>
        <v/>
      </c>
      <c r="J67" s="3">
        <f>IFERROR(LET(mtype,XLOOKUP($D67,'Move Editor'!$B:$B,'Move Editor'!$C:$C,""),cat,XLOOKUP($D67,'Move Editor'!$B:$B,'Move Editor'!$D:$D,""),pow,XLOOKUP($D67,'Move Editor'!$B:$B,'Move Editor'!$E:$E,0),acc,XLOOKUP($D67,'Move Editor'!$B:$B,'Move Editor'!$F:$F,100),atk,IF(cat="Physical",FLOOR((FLOOR(((2*XLOOKUP(XLOOKUP($Q67,'Threshold Summary'!$Y:$Y,'Threshold Summary'!$K:$K,""),'Pokemon Editor'!$A:$A,'Pokemon Editor'!$F:$F,0)+31+FLOOR(XLOOKUP($Q67,'Threshold Summary'!$Y:$Y,'Threshold Summary'!$P:$P,"")/4))*XLOOKUP($Q67,'Threshold Summary'!$Y:$Y,'Threshold Summary'!$L:$L,""))/100)+5)*XLOOKUP(XLOOKUP($Q67,'Threshold Summary'!$Y:$Y,'Threshold Summary'!$M:$M,""),'Nature Editor'!$A:$A,'Nature Editor'!$B:$B,1)),FLOOR((FLOOR(((2*XLOOKUP(XLOOKUP($Q67,'Threshold Summary'!$Y:$Y,'Threshold Summary'!$K:$K,""),'Pokemon Editor'!$A:$A,'Pokemon Editor'!$H:$H,0)+31+FLOOR(XLOOKUP($Q67,'Threshold Summary'!$Y:$Y,'Threshold Summary'!$R:$R,"")/4))*XLOOKUP($Q67,'Threshold Summary'!$Y:$Y,'Threshold Summary'!$L:$L,""))/100)+5)*XLOOKUP(XLOOKUP($Q67,'Threshold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Editor'!$E:$E,1))),stab,IF(OR(mtype=XLOOKUP(XLOOKUP($Q67,'Threshold Summary'!$Y:$Y,'Threshold Summary'!$K:$K,""),'Pokemon Editor'!$A:$A,'Pokemon Editor'!$C:$C,""),mtype=XLOOKUP(XLOOKUP($Q67,'Threshold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Chart'!$B$1:$S$1,0)))),base,IF(OR(cat="Status",pow=0),0,FLOOR(FLOOR(FLOOR((2*XLOOKUP($Q67,'Threshold Summary'!$Y:$Y,'Threshold Summary'!$L:$L,"")/5+2)*pow*atk/def)/50)+2)),modifier,stab*eff,FLOOR(base*modifier*0.85)),0)</f>
        <v/>
      </c>
      <c r="K67" s="3">
        <f>IFERROR(LET(mtype,XLOOKUP($D67,'Move Editor'!$B:$B,'Move Editor'!$C:$C,""),cat,XLOOKUP($D67,'Move Editor'!$B:$B,'Move Editor'!$D:$D,""),pow,XLOOKUP($D67,'Move Editor'!$B:$B,'Move Editor'!$E:$E,0),acc,XLOOKUP($D67,'Move Editor'!$B:$B,'Move Editor'!$F:$F,100),atk,IF(cat="Physical",FLOOR((FLOOR(((2*XLOOKUP(XLOOKUP($Q67,'Threshold Summary'!$Y:$Y,'Threshold Summary'!$K:$K,""),'Pokemon Editor'!$A:$A,'Pokemon Editor'!$F:$F,0)+31+FLOOR(XLOOKUP($Q67,'Threshold Summary'!$Y:$Y,'Threshold Summary'!$P:$P,"")/4))*XLOOKUP($Q67,'Threshold Summary'!$Y:$Y,'Threshold Summary'!$L:$L,""))/100)+5)*XLOOKUP(XLOOKUP($Q67,'Threshold Summary'!$Y:$Y,'Threshold Summary'!$M:$M,""),'Nature Editor'!$A:$A,'Nature Editor'!$B:$B,1)),FLOOR((FLOOR(((2*XLOOKUP(XLOOKUP($Q67,'Threshold Summary'!$Y:$Y,'Threshold Summary'!$K:$K,""),'Pokemon Editor'!$A:$A,'Pokemon Editor'!$H:$H,0)+31+FLOOR(XLOOKUP($Q67,'Threshold Summary'!$Y:$Y,'Threshold Summary'!$R:$R,"")/4))*XLOOKUP($Q67,'Threshold Summary'!$Y:$Y,'Threshold Summary'!$L:$L,""))/100)+5)*XLOOKUP(XLOOKUP($Q67,'Threshold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Editor'!$E:$E,1))),stab,IF(OR(mtype=XLOOKUP(XLOOKUP($Q67,'Threshold Summary'!$Y:$Y,'Threshold Summary'!$K:$K,""),'Pokemon Editor'!$A:$A,'Pokemon Editor'!$C:$C,""),mtype=XLOOKUP(XLOOKUP($Q67,'Threshold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Chart'!$B$1:$S$1,0)))),base,IF(OR(cat="Status",pow=0),0,FLOOR(FLOOR(FLOOR((2*XLOOKUP($Q67,'Threshold Summary'!$Y:$Y,'Threshold Summary'!$L:$L,"")/5+2)*pow*atk/def)/50)+2)),modifier,stab*eff,FLOOR(base*modifier)),0)</f>
        <v/>
      </c>
      <c r="L67" s="3">
        <f>IFERROR(LET(mtype,XLOOKUP($D67,'Move Editor'!$B:$B,'Move Editor'!$C:$C,""),cat,XLOOKUP($D67,'Move Editor'!$B:$B,'Move Editor'!$D:$D,""),pow,XLOOKUP($D67,'Move Editor'!$B:$B,'Move Editor'!$E:$E,0),acc,XLOOKUP($D67,'Move Editor'!$B:$B,'Move Editor'!$F:$F,100),atk,IF(cat="Physical",FLOOR((FLOOR(((2*XLOOKUP(XLOOKUP($Q67,'Threshold Summary'!$Y:$Y,'Threshold Summary'!$K:$K,""),'Pokemon Editor'!$A:$A,'Pokemon Editor'!$F:$F,0)+31+FLOOR(XLOOKUP($Q67,'Threshold Summary'!$Y:$Y,'Threshold Summary'!$P:$P,"")/4))*XLOOKUP($Q67,'Threshold Summary'!$Y:$Y,'Threshold Summary'!$L:$L,""))/100)+5)*XLOOKUP(XLOOKUP($Q67,'Threshold Summary'!$Y:$Y,'Threshold Summary'!$M:$M,""),'Nature Editor'!$A:$A,'Nature Editor'!$B:$B,1)),FLOOR((FLOOR(((2*XLOOKUP(XLOOKUP($Q67,'Threshold Summary'!$Y:$Y,'Threshold Summary'!$K:$K,""),'Pokemon Editor'!$A:$A,'Pokemon Editor'!$H:$H,0)+31+FLOOR(XLOOKUP($Q67,'Threshold Summary'!$Y:$Y,'Threshold Summary'!$R:$R,"")/4))*XLOOKUP($Q67,'Threshold Summary'!$Y:$Y,'Threshold Summary'!$L:$L,""))/100)+5)*XLOOKUP(XLOOKUP($Q67,'Threshold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Editor'!$E:$E,1))),stab,IF(OR(mtype=XLOOKUP(XLOOKUP($Q67,'Threshold Summary'!$Y:$Y,'Threshold Summary'!$K:$K,""),'Pokemon Editor'!$A:$A,'Pokemon Editor'!$C:$C,""),mtype=XLOOKUP(XLOOKUP($Q67,'Threshold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Chart'!$B$1:$S$1,0)))),base,IF(OR(cat="Status",pow=0),0,FLOOR(FLOOR(FLOOR((2*XLOOKUP($Q67,'Threshold Summary'!$Y:$Y,'Threshold Summary'!$L:$L,"")/5+2)*pow*atk/def)/50)+2)),modifier,stab*eff,AVERAGE(ARRAYFORMULA(FLOOR(base*modifier*SEQUENCE(16,1,85,1)/100)))),0)</f>
        <v/>
      </c>
      <c r="M67" s="3">
        <f>IFERROR(LET(mtype,XLOOKUP($D67,'Move Editor'!$B:$B,'Move Editor'!$C:$C,""),cat,XLOOKUP($D67,'Move Editor'!$B:$B,'Move Editor'!$D:$D,""),pow,XLOOKUP($D67,'Move Editor'!$B:$B,'Move Editor'!$E:$E,0),acc,XLOOKUP($D67,'Move Editor'!$B:$B,'Move Editor'!$F:$F,100),atk,IF(cat="Physical",FLOOR((FLOOR(((2*XLOOKUP(XLOOKUP($Q67,'Threshold Summary'!$Y:$Y,'Threshold Summary'!$K:$K,""),'Pokemon Editor'!$A:$A,'Pokemon Editor'!$F:$F,0)+31+FLOOR(XLOOKUP($Q67,'Threshold Summary'!$Y:$Y,'Threshold Summary'!$P:$P,"")/4))*XLOOKUP($Q67,'Threshold Summary'!$Y:$Y,'Threshold Summary'!$L:$L,""))/100)+5)*XLOOKUP(XLOOKUP($Q67,'Threshold Summary'!$Y:$Y,'Threshold Summary'!$M:$M,""),'Nature Editor'!$A:$A,'Nature Editor'!$B:$B,1)),FLOOR((FLOOR(((2*XLOOKUP(XLOOKUP($Q67,'Threshold Summary'!$Y:$Y,'Threshold Summary'!$K:$K,""),'Pokemon Editor'!$A:$A,'Pokemon Editor'!$H:$H,0)+31+FLOOR(XLOOKUP($Q67,'Threshold Summary'!$Y:$Y,'Threshold Summary'!$R:$R,"")/4))*XLOOKUP($Q67,'Threshold Summary'!$Y:$Y,'Threshold Summary'!$L:$L,""))/100)+5)*XLOOKUP(XLOOKUP($Q67,'Threshold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Editor'!$E:$E,1))),stab,IF(OR(mtype=XLOOKUP(XLOOKUP($Q67,'Threshold Summary'!$Y:$Y,'Threshold Summary'!$K:$K,""),'Pokemon Editor'!$A:$A,'Pokemon Editor'!$C:$C,""),mtype=XLOOKUP(XLOOKUP($Q67,'Threshold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Chart'!$B$1:$S$1,0)))),base,IF(OR(cat="Status",pow=0),0,FLOOR(FLOOR(FLOOR((2*XLOOKUP($Q67,'Threshold Summary'!$Y:$Y,'Threshold Summary'!$L:$L,"")/5+2)*pow*atk/def)/50)+2)),modifier,stab*eff,AVERAGE(ARRAYFORMULA(FLOOR(base*modifier*SEQUENCE(16,1,85,1)/100)))*MIN(1,acc/100)),0)</f>
        <v/>
      </c>
      <c r="N67" s="4">
        <f>IFERROR(LET(mtype,XLOOKUP($D67,'Move Editor'!$B:$B,'Move Editor'!$C:$C,""),cat,XLOOKUP($D67,'Move Editor'!$B:$B,'Move Editor'!$D:$D,""),pow,XLOOKUP($D67,'Move Editor'!$B:$B,'Move Editor'!$E:$E,0),acc,XLOOKUP($D67,'Move Editor'!$B:$B,'Move Editor'!$F:$F,100),atk,IF(cat="Physical",FLOOR((FLOOR(((2*XLOOKUP(XLOOKUP($Q67,'Threshold Summary'!$Y:$Y,'Threshold Summary'!$K:$K,""),'Pokemon Editor'!$A:$A,'Pokemon Editor'!$F:$F,0)+31+FLOOR(XLOOKUP($Q67,'Threshold Summary'!$Y:$Y,'Threshold Summary'!$P:$P,"")/4))*XLOOKUP($Q67,'Threshold Summary'!$Y:$Y,'Threshold Summary'!$L:$L,""))/100)+5)*XLOOKUP(XLOOKUP($Q67,'Threshold Summary'!$Y:$Y,'Threshold Summary'!$M:$M,""),'Nature Editor'!$A:$A,'Nature Editor'!$B:$B,1)),FLOOR((FLOOR(((2*XLOOKUP(XLOOKUP($Q67,'Threshold Summary'!$Y:$Y,'Threshold Summary'!$K:$K,""),'Pokemon Editor'!$A:$A,'Pokemon Editor'!$H:$H,0)+31+FLOOR(XLOOKUP($Q67,'Threshold Summary'!$Y:$Y,'Threshold Summary'!$R:$R,"")/4))*XLOOKUP($Q67,'Threshold Summary'!$Y:$Y,'Threshold Summary'!$L:$L,""))/100)+5)*XLOOKUP(XLOOKUP($Q67,'Threshold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Editor'!$E:$E,1))),stab,IF(OR(mtype=XLOOKUP(XLOOKUP($Q67,'Threshold Summary'!$Y:$Y,'Threshold Summary'!$K:$K,""),'Pokemon Editor'!$A:$A,'Pokemon Editor'!$C:$C,""),mtype=XLOOKUP(XLOOKUP($Q67,'Threshold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Chart'!$B$1:$S$1,0)))),base,IF(OR(cat="Status",pow=0),0,FLOOR(FLOOR(FLOOR((2*XLOOKUP($Q67,'Threshold Summary'!$Y:$Y,'Threshold Summary'!$L:$L,"")/5+2)*pow*atk/def)/50)+2)),modifier,stab*eff,AVERAGE(ARRAYFORMULA(FLOOR(base*modifier*SEQUENCE(16,1,85,1)/100)))/(FLOOR(((2*XLOOKUP('Boss Editor'!$C$4,'Pokemon Editor'!$A:$A,'Pokemon Editor'!$E:$E,0)+31+FLOOR('Boss Editor'!$G$4/4))*'Boss Editor'!$D$4)/100)+'Boss Editor'!$D$4+10)),0)</f>
        <v/>
      </c>
      <c r="O67" s="3">
        <f>IF(N67&gt;=1,"OHKO",IF(N67&gt;=0.5,"2HKO",IF(N67&gt;=0.333,"3HKO",IF(N67&gt;=0.25,"4HKO","5HKO+"))))</f>
        <v/>
      </c>
      <c r="P67" s="3" t="inlineStr">
        <is>
          <t>Live from editable databases</t>
        </is>
      </c>
      <c r="Q67" s="3" t="inlineStr">
        <is>
          <t>SPECIES_MAREEP</t>
        </is>
      </c>
      <c r="R67" s="3" t="n">
        <v>2</v>
      </c>
    </row>
    <row r="68">
      <c r="A68" s="3">
        <f>XLOOKUP($Q68,'Threshold Summary'!$Y:$Y,'Threshold Summary'!$A:$A,"")</f>
        <v/>
      </c>
      <c r="B68" s="3">
        <f>XLOOKUP($Q68,'Threshold Summary'!$Y:$Y,'Threshold Summary'!$M:$M,"")</f>
        <v/>
      </c>
      <c r="C68" s="3">
        <f>XLOOKUP($Q68,'Threshold Summary'!$Y:$Y,'Threshold Summary'!$N:$N,"")</f>
        <v/>
      </c>
      <c r="D68" s="3">
        <f>IFERROR(INDEX(FILTER('Learnset Editor'!$D$2:$D,'Learnset Editor'!$A$2:$A=XLOOKUP($Q68,'Threshold Summary'!$Y:$Y,'Threshold Summary'!$K:$K,""),'Learnset Editor'!$C$2:$C&lt;=XLOOKUP($Q68,'Threshold Summary'!$Y:$Y,'Threshold Summary'!$L:$L,"")),$R68),"")</f>
        <v/>
      </c>
      <c r="E68" s="3">
        <f>XLOOKUP(D68,'Move Editor'!$B:$B,'Move Editor'!$C:$C,"")</f>
        <v/>
      </c>
      <c r="F68" s="3">
        <f>XLOOKUP(D68,'Move Editor'!$B:$B,'Move Editor'!$D:$D,"")</f>
        <v/>
      </c>
      <c r="G68" s="3">
        <f>XLOOKUP(D68,'Move Editor'!$B:$B,'Move Editor'!$E:$E,0)</f>
        <v/>
      </c>
      <c r="H68" s="3">
        <f>XLOOKUP(D68,'Move Editor'!$B:$B,'Move Editor'!$F:$F,0)</f>
        <v/>
      </c>
      <c r="I68" s="3">
        <f>(INDEX('Type Chart'!$B:$S,MATCH(E68,'Type Chart'!$A:$A,0),MATCH(XLOOKUP('Boss Editor'!$C$4,'Pokemon Editor'!$A:$A,'Pokemon Editor'!$C:$C,""),'Type Chart'!$B$1:$S$1,0))*IF(XLOOKUP('Boss Editor'!$C$4,'Pokemon Editor'!$A:$A,'Pokemon Editor'!$D:$D,"")="",1,INDEX('Type Chart'!$B:$S,MATCH(E68,'Type Chart'!$A:$A,0),MATCH(XLOOKUP('Boss Editor'!$C$4,'Pokemon Editor'!$A:$A,'Pokemon Editor'!$D:$D,""),'Type Chart'!$B$1:$S$1,0))))</f>
        <v/>
      </c>
      <c r="J68" s="3">
        <f>IFERROR(LET(mtype,XLOOKUP($D68,'Move Editor'!$B:$B,'Move Editor'!$C:$C,""),cat,XLOOKUP($D68,'Move Editor'!$B:$B,'Move Editor'!$D:$D,""),pow,XLOOKUP($D68,'Move Editor'!$B:$B,'Move Editor'!$E:$E,0),acc,XLOOKUP($D68,'Move Editor'!$B:$B,'Move Editor'!$F:$F,100),atk,IF(cat="Physical",FLOOR((FLOOR(((2*XLOOKUP(XLOOKUP($Q68,'Threshold Summary'!$Y:$Y,'Threshold Summary'!$K:$K,""),'Pokemon Editor'!$A:$A,'Pokemon Editor'!$F:$F,0)+31+FLOOR(XLOOKUP($Q68,'Threshold Summary'!$Y:$Y,'Threshold Summary'!$P:$P,"")/4))*XLOOKUP($Q68,'Threshold Summary'!$Y:$Y,'Threshold Summary'!$L:$L,""))/100)+5)*XLOOKUP(XLOOKUP($Q68,'Threshold Summary'!$Y:$Y,'Threshold Summary'!$M:$M,""),'Nature Editor'!$A:$A,'Nature Editor'!$B:$B,1)),FLOOR((FLOOR(((2*XLOOKUP(XLOOKUP($Q68,'Threshold Summary'!$Y:$Y,'Threshold Summary'!$K:$K,""),'Pokemon Editor'!$A:$A,'Pokemon Editor'!$H:$H,0)+31+FLOOR(XLOOKUP($Q68,'Threshold Summary'!$Y:$Y,'Threshold Summary'!$R:$R,"")/4))*XLOOKUP($Q68,'Threshold Summary'!$Y:$Y,'Threshold Summary'!$L:$L,""))/100)+5)*XLOOKUP(XLOOKUP($Q68,'Threshold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Editor'!$E:$E,1))),stab,IF(OR(mtype=XLOOKUP(XLOOKUP($Q68,'Threshold Summary'!$Y:$Y,'Threshold Summary'!$K:$K,""),'Pokemon Editor'!$A:$A,'Pokemon Editor'!$C:$C,""),mtype=XLOOKUP(XLOOKUP($Q68,'Threshold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Chart'!$B$1:$S$1,0)))),base,IF(OR(cat="Status",pow=0),0,FLOOR(FLOOR(FLOOR((2*XLOOKUP($Q68,'Threshold Summary'!$Y:$Y,'Threshold Summary'!$L:$L,"")/5+2)*pow*atk/def)/50)+2)),modifier,stab*eff,FLOOR(base*modifier*0.85)),0)</f>
        <v/>
      </c>
      <c r="K68" s="3">
        <f>IFERROR(LET(mtype,XLOOKUP($D68,'Move Editor'!$B:$B,'Move Editor'!$C:$C,""),cat,XLOOKUP($D68,'Move Editor'!$B:$B,'Move Editor'!$D:$D,""),pow,XLOOKUP($D68,'Move Editor'!$B:$B,'Move Editor'!$E:$E,0),acc,XLOOKUP($D68,'Move Editor'!$B:$B,'Move Editor'!$F:$F,100),atk,IF(cat="Physical",FLOOR((FLOOR(((2*XLOOKUP(XLOOKUP($Q68,'Threshold Summary'!$Y:$Y,'Threshold Summary'!$K:$K,""),'Pokemon Editor'!$A:$A,'Pokemon Editor'!$F:$F,0)+31+FLOOR(XLOOKUP($Q68,'Threshold Summary'!$Y:$Y,'Threshold Summary'!$P:$P,"")/4))*XLOOKUP($Q68,'Threshold Summary'!$Y:$Y,'Threshold Summary'!$L:$L,""))/100)+5)*XLOOKUP(XLOOKUP($Q68,'Threshold Summary'!$Y:$Y,'Threshold Summary'!$M:$M,""),'Nature Editor'!$A:$A,'Nature Editor'!$B:$B,1)),FLOOR((FLOOR(((2*XLOOKUP(XLOOKUP($Q68,'Threshold Summary'!$Y:$Y,'Threshold Summary'!$K:$K,""),'Pokemon Editor'!$A:$A,'Pokemon Editor'!$H:$H,0)+31+FLOOR(XLOOKUP($Q68,'Threshold Summary'!$Y:$Y,'Threshold Summary'!$R:$R,"")/4))*XLOOKUP($Q68,'Threshold Summary'!$Y:$Y,'Threshold Summary'!$L:$L,""))/100)+5)*XLOOKUP(XLOOKUP($Q68,'Threshold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Editor'!$E:$E,1))),stab,IF(OR(mtype=XLOOKUP(XLOOKUP($Q68,'Threshold Summary'!$Y:$Y,'Threshold Summary'!$K:$K,""),'Pokemon Editor'!$A:$A,'Pokemon Editor'!$C:$C,""),mtype=XLOOKUP(XLOOKUP($Q68,'Threshold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Chart'!$B$1:$S$1,0)))),base,IF(OR(cat="Status",pow=0),0,FLOOR(FLOOR(FLOOR((2*XLOOKUP($Q68,'Threshold Summary'!$Y:$Y,'Threshold Summary'!$L:$L,"")/5+2)*pow*atk/def)/50)+2)),modifier,stab*eff,FLOOR(base*modifier)),0)</f>
        <v/>
      </c>
      <c r="L68" s="3">
        <f>IFERROR(LET(mtype,XLOOKUP($D68,'Move Editor'!$B:$B,'Move Editor'!$C:$C,""),cat,XLOOKUP($D68,'Move Editor'!$B:$B,'Move Editor'!$D:$D,""),pow,XLOOKUP($D68,'Move Editor'!$B:$B,'Move Editor'!$E:$E,0),acc,XLOOKUP($D68,'Move Editor'!$B:$B,'Move Editor'!$F:$F,100),atk,IF(cat="Physical",FLOOR((FLOOR(((2*XLOOKUP(XLOOKUP($Q68,'Threshold Summary'!$Y:$Y,'Threshold Summary'!$K:$K,""),'Pokemon Editor'!$A:$A,'Pokemon Editor'!$F:$F,0)+31+FLOOR(XLOOKUP($Q68,'Threshold Summary'!$Y:$Y,'Threshold Summary'!$P:$P,"")/4))*XLOOKUP($Q68,'Threshold Summary'!$Y:$Y,'Threshold Summary'!$L:$L,""))/100)+5)*XLOOKUP(XLOOKUP($Q68,'Threshold Summary'!$Y:$Y,'Threshold Summary'!$M:$M,""),'Nature Editor'!$A:$A,'Nature Editor'!$B:$B,1)),FLOOR((FLOOR(((2*XLOOKUP(XLOOKUP($Q68,'Threshold Summary'!$Y:$Y,'Threshold Summary'!$K:$K,""),'Pokemon Editor'!$A:$A,'Pokemon Editor'!$H:$H,0)+31+FLOOR(XLOOKUP($Q68,'Threshold Summary'!$Y:$Y,'Threshold Summary'!$R:$R,"")/4))*XLOOKUP($Q68,'Threshold Summary'!$Y:$Y,'Threshold Summary'!$L:$L,""))/100)+5)*XLOOKUP(XLOOKUP($Q68,'Threshold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Editor'!$E:$E,1))),stab,IF(OR(mtype=XLOOKUP(XLOOKUP($Q68,'Threshold Summary'!$Y:$Y,'Threshold Summary'!$K:$K,""),'Pokemon Editor'!$A:$A,'Pokemon Editor'!$C:$C,""),mtype=XLOOKUP(XLOOKUP($Q68,'Threshold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Chart'!$B$1:$S$1,0)))),base,IF(OR(cat="Status",pow=0),0,FLOOR(FLOOR(FLOOR((2*XLOOKUP($Q68,'Threshold Summary'!$Y:$Y,'Threshold Summary'!$L:$L,"")/5+2)*pow*atk/def)/50)+2)),modifier,stab*eff,AVERAGE(ARRAYFORMULA(FLOOR(base*modifier*SEQUENCE(16,1,85,1)/100)))),0)</f>
        <v/>
      </c>
      <c r="M68" s="3">
        <f>IFERROR(LET(mtype,XLOOKUP($D68,'Move Editor'!$B:$B,'Move Editor'!$C:$C,""),cat,XLOOKUP($D68,'Move Editor'!$B:$B,'Move Editor'!$D:$D,""),pow,XLOOKUP($D68,'Move Editor'!$B:$B,'Move Editor'!$E:$E,0),acc,XLOOKUP($D68,'Move Editor'!$B:$B,'Move Editor'!$F:$F,100),atk,IF(cat="Physical",FLOOR((FLOOR(((2*XLOOKUP(XLOOKUP($Q68,'Threshold Summary'!$Y:$Y,'Threshold Summary'!$K:$K,""),'Pokemon Editor'!$A:$A,'Pokemon Editor'!$F:$F,0)+31+FLOOR(XLOOKUP($Q68,'Threshold Summary'!$Y:$Y,'Threshold Summary'!$P:$P,"")/4))*XLOOKUP($Q68,'Threshold Summary'!$Y:$Y,'Threshold Summary'!$L:$L,""))/100)+5)*XLOOKUP(XLOOKUP($Q68,'Threshold Summary'!$Y:$Y,'Threshold Summary'!$M:$M,""),'Nature Editor'!$A:$A,'Nature Editor'!$B:$B,1)),FLOOR((FLOOR(((2*XLOOKUP(XLOOKUP($Q68,'Threshold Summary'!$Y:$Y,'Threshold Summary'!$K:$K,""),'Pokemon Editor'!$A:$A,'Pokemon Editor'!$H:$H,0)+31+FLOOR(XLOOKUP($Q68,'Threshold Summary'!$Y:$Y,'Threshold Summary'!$R:$R,"")/4))*XLOOKUP($Q68,'Threshold Summary'!$Y:$Y,'Threshold Summary'!$L:$L,""))/100)+5)*XLOOKUP(XLOOKUP($Q68,'Threshold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Editor'!$E:$E,1))),stab,IF(OR(mtype=XLOOKUP(XLOOKUP($Q68,'Threshold Summary'!$Y:$Y,'Threshold Summary'!$K:$K,""),'Pokemon Editor'!$A:$A,'Pokemon Editor'!$C:$C,""),mtype=XLOOKUP(XLOOKUP($Q68,'Threshold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Chart'!$B$1:$S$1,0)))),base,IF(OR(cat="Status",pow=0),0,FLOOR(FLOOR(FLOOR((2*XLOOKUP($Q68,'Threshold Summary'!$Y:$Y,'Threshold Summary'!$L:$L,"")/5+2)*pow*atk/def)/50)+2)),modifier,stab*eff,AVERAGE(ARRAYFORMULA(FLOOR(base*modifier*SEQUENCE(16,1,85,1)/100)))*MIN(1,acc/100)),0)</f>
        <v/>
      </c>
      <c r="N68" s="4">
        <f>IFERROR(LET(mtype,XLOOKUP($D68,'Move Editor'!$B:$B,'Move Editor'!$C:$C,""),cat,XLOOKUP($D68,'Move Editor'!$B:$B,'Move Editor'!$D:$D,""),pow,XLOOKUP($D68,'Move Editor'!$B:$B,'Move Editor'!$E:$E,0),acc,XLOOKUP($D68,'Move Editor'!$B:$B,'Move Editor'!$F:$F,100),atk,IF(cat="Physical",FLOOR((FLOOR(((2*XLOOKUP(XLOOKUP($Q68,'Threshold Summary'!$Y:$Y,'Threshold Summary'!$K:$K,""),'Pokemon Editor'!$A:$A,'Pokemon Editor'!$F:$F,0)+31+FLOOR(XLOOKUP($Q68,'Threshold Summary'!$Y:$Y,'Threshold Summary'!$P:$P,"")/4))*XLOOKUP($Q68,'Threshold Summary'!$Y:$Y,'Threshold Summary'!$L:$L,""))/100)+5)*XLOOKUP(XLOOKUP($Q68,'Threshold Summary'!$Y:$Y,'Threshold Summary'!$M:$M,""),'Nature Editor'!$A:$A,'Nature Editor'!$B:$B,1)),FLOOR((FLOOR(((2*XLOOKUP(XLOOKUP($Q68,'Threshold Summary'!$Y:$Y,'Threshold Summary'!$K:$K,""),'Pokemon Editor'!$A:$A,'Pokemon Editor'!$H:$H,0)+31+FLOOR(XLOOKUP($Q68,'Threshold Summary'!$Y:$Y,'Threshold Summary'!$R:$R,"")/4))*XLOOKUP($Q68,'Threshold Summary'!$Y:$Y,'Threshold Summary'!$L:$L,""))/100)+5)*XLOOKUP(XLOOKUP($Q68,'Threshold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Editor'!$E:$E,1))),stab,IF(OR(mtype=XLOOKUP(XLOOKUP($Q68,'Threshold Summary'!$Y:$Y,'Threshold Summary'!$K:$K,""),'Pokemon Editor'!$A:$A,'Pokemon Editor'!$C:$C,""),mtype=XLOOKUP(XLOOKUP($Q68,'Threshold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Chart'!$B$1:$S$1,0)))),base,IF(OR(cat="Status",pow=0),0,FLOOR(FLOOR(FLOOR((2*XLOOKUP($Q68,'Threshold Summary'!$Y:$Y,'Threshold Summary'!$L:$L,"")/5+2)*pow*atk/def)/50)+2)),modifier,stab*eff,AVERAGE(ARRAYFORMULA(FLOOR(base*modifier*SEQUENCE(16,1,85,1)/100)))/(FLOOR(((2*XLOOKUP('Boss Editor'!$C$4,'Pokemon Editor'!$A:$A,'Pokemon Editor'!$E:$E,0)+31+FLOOR('Boss Editor'!$G$4/4))*'Boss Editor'!$D$4)/100)+'Boss Editor'!$D$4+10)),0)</f>
        <v/>
      </c>
      <c r="O68" s="3">
        <f>IF(N68&gt;=1,"OHKO",IF(N68&gt;=0.5,"2HKO",IF(N68&gt;=0.333,"3HKO",IF(N68&gt;=0.25,"4HKO","5HKO+"))))</f>
        <v/>
      </c>
      <c r="P68" s="3" t="inlineStr">
        <is>
          <t>Live from editable databases</t>
        </is>
      </c>
      <c r="Q68" s="3" t="inlineStr">
        <is>
          <t>SPECIES_MAREEP</t>
        </is>
      </c>
      <c r="R68" s="3" t="n">
        <v>3</v>
      </c>
    </row>
    <row r="69">
      <c r="A69" s="3">
        <f>XLOOKUP($Q69,'Threshold Summary'!$Y:$Y,'Threshold Summary'!$A:$A,"")</f>
        <v/>
      </c>
      <c r="B69" s="3">
        <f>XLOOKUP($Q69,'Threshold Summary'!$Y:$Y,'Threshold Summary'!$M:$M,"")</f>
        <v/>
      </c>
      <c r="C69" s="3">
        <f>XLOOKUP($Q69,'Threshold Summary'!$Y:$Y,'Threshold Summary'!$N:$N,"")</f>
        <v/>
      </c>
      <c r="D69" s="3">
        <f>IFERROR(INDEX(FILTER('Learnset Editor'!$D$2:$D,'Learnset Editor'!$A$2:$A=XLOOKUP($Q69,'Threshold Summary'!$Y:$Y,'Threshold Summary'!$K:$K,""),'Learnset Editor'!$C$2:$C&lt;=XLOOKUP($Q69,'Threshold Summary'!$Y:$Y,'Threshold Summary'!$L:$L,"")),$R69),"")</f>
        <v/>
      </c>
      <c r="E69" s="3">
        <f>XLOOKUP(D69,'Move Editor'!$B:$B,'Move Editor'!$C:$C,"")</f>
        <v/>
      </c>
      <c r="F69" s="3">
        <f>XLOOKUP(D69,'Move Editor'!$B:$B,'Move Editor'!$D:$D,"")</f>
        <v/>
      </c>
      <c r="G69" s="3">
        <f>XLOOKUP(D69,'Move Editor'!$B:$B,'Move Editor'!$E:$E,0)</f>
        <v/>
      </c>
      <c r="H69" s="3">
        <f>XLOOKUP(D69,'Move Editor'!$B:$B,'Move Editor'!$F:$F,0)</f>
        <v/>
      </c>
      <c r="I69" s="3">
        <f>(INDEX('Type Chart'!$B:$S,MATCH(E69,'Type Chart'!$A:$A,0),MATCH(XLOOKUP('Boss Editor'!$C$4,'Pokemon Editor'!$A:$A,'Pokemon Editor'!$C:$C,""),'Type Chart'!$B$1:$S$1,0))*IF(XLOOKUP('Boss Editor'!$C$4,'Pokemon Editor'!$A:$A,'Pokemon Editor'!$D:$D,"")="",1,INDEX('Type Chart'!$B:$S,MATCH(E69,'Type Chart'!$A:$A,0),MATCH(XLOOKUP('Boss Editor'!$C$4,'Pokemon Editor'!$A:$A,'Pokemon Editor'!$D:$D,""),'Type Chart'!$B$1:$S$1,0))))</f>
        <v/>
      </c>
      <c r="J69" s="3">
        <f>IFERROR(LET(mtype,XLOOKUP($D69,'Move Editor'!$B:$B,'Move Editor'!$C:$C,""),cat,XLOOKUP($D69,'Move Editor'!$B:$B,'Move Editor'!$D:$D,""),pow,XLOOKUP($D69,'Move Editor'!$B:$B,'Move Editor'!$E:$E,0),acc,XLOOKUP($D69,'Move Editor'!$B:$B,'Move Editor'!$F:$F,100),atk,IF(cat="Physical",FLOOR((FLOOR(((2*XLOOKUP(XLOOKUP($Q69,'Threshold Summary'!$Y:$Y,'Threshold Summary'!$K:$K,""),'Pokemon Editor'!$A:$A,'Pokemon Editor'!$F:$F,0)+31+FLOOR(XLOOKUP($Q69,'Threshold Summary'!$Y:$Y,'Threshold Summary'!$P:$P,"")/4))*XLOOKUP($Q69,'Threshold Summary'!$Y:$Y,'Threshold Summary'!$L:$L,""))/100)+5)*XLOOKUP(XLOOKUP($Q69,'Threshold Summary'!$Y:$Y,'Threshold Summary'!$M:$M,""),'Nature Editor'!$A:$A,'Nature Editor'!$B:$B,1)),FLOOR((FLOOR(((2*XLOOKUP(XLOOKUP($Q69,'Threshold Summary'!$Y:$Y,'Threshold Summary'!$K:$K,""),'Pokemon Editor'!$A:$A,'Pokemon Editor'!$H:$H,0)+31+FLOOR(XLOOKUP($Q69,'Threshold Summary'!$Y:$Y,'Threshold Summary'!$R:$R,"")/4))*XLOOKUP($Q69,'Threshold Summary'!$Y:$Y,'Threshold Summary'!$L:$L,""))/100)+5)*XLOOKUP(XLOOKUP($Q69,'Threshold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Editor'!$E:$E,1))),stab,IF(OR(mtype=XLOOKUP(XLOOKUP($Q69,'Threshold Summary'!$Y:$Y,'Threshold Summary'!$K:$K,""),'Pokemon Editor'!$A:$A,'Pokemon Editor'!$C:$C,""),mtype=XLOOKUP(XLOOKUP($Q69,'Threshold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Chart'!$B$1:$S$1,0)))),base,IF(OR(cat="Status",pow=0),0,FLOOR(FLOOR(FLOOR((2*XLOOKUP($Q69,'Threshold Summary'!$Y:$Y,'Threshold Summary'!$L:$L,"")/5+2)*pow*atk/def)/50)+2)),modifier,stab*eff,FLOOR(base*modifier*0.85)),0)</f>
        <v/>
      </c>
      <c r="K69" s="3">
        <f>IFERROR(LET(mtype,XLOOKUP($D69,'Move Editor'!$B:$B,'Move Editor'!$C:$C,""),cat,XLOOKUP($D69,'Move Editor'!$B:$B,'Move Editor'!$D:$D,""),pow,XLOOKUP($D69,'Move Editor'!$B:$B,'Move Editor'!$E:$E,0),acc,XLOOKUP($D69,'Move Editor'!$B:$B,'Move Editor'!$F:$F,100),atk,IF(cat="Physical",FLOOR((FLOOR(((2*XLOOKUP(XLOOKUP($Q69,'Threshold Summary'!$Y:$Y,'Threshold Summary'!$K:$K,""),'Pokemon Editor'!$A:$A,'Pokemon Editor'!$F:$F,0)+31+FLOOR(XLOOKUP($Q69,'Threshold Summary'!$Y:$Y,'Threshold Summary'!$P:$P,"")/4))*XLOOKUP($Q69,'Threshold Summary'!$Y:$Y,'Threshold Summary'!$L:$L,""))/100)+5)*XLOOKUP(XLOOKUP($Q69,'Threshold Summary'!$Y:$Y,'Threshold Summary'!$M:$M,""),'Nature Editor'!$A:$A,'Nature Editor'!$B:$B,1)),FLOOR((FLOOR(((2*XLOOKUP(XLOOKUP($Q69,'Threshold Summary'!$Y:$Y,'Threshold Summary'!$K:$K,""),'Pokemon Editor'!$A:$A,'Pokemon Editor'!$H:$H,0)+31+FLOOR(XLOOKUP($Q69,'Threshold Summary'!$Y:$Y,'Threshold Summary'!$R:$R,"")/4))*XLOOKUP($Q69,'Threshold Summary'!$Y:$Y,'Threshold Summary'!$L:$L,""))/100)+5)*XLOOKUP(XLOOKUP($Q69,'Threshold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Editor'!$E:$E,1))),stab,IF(OR(mtype=XLOOKUP(XLOOKUP($Q69,'Threshold Summary'!$Y:$Y,'Threshold Summary'!$K:$K,""),'Pokemon Editor'!$A:$A,'Pokemon Editor'!$C:$C,""),mtype=XLOOKUP(XLOOKUP($Q69,'Threshold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Chart'!$B$1:$S$1,0)))),base,IF(OR(cat="Status",pow=0),0,FLOOR(FLOOR(FLOOR((2*XLOOKUP($Q69,'Threshold Summary'!$Y:$Y,'Threshold Summary'!$L:$L,"")/5+2)*pow*atk/def)/50)+2)),modifier,stab*eff,FLOOR(base*modifier)),0)</f>
        <v/>
      </c>
      <c r="L69" s="3">
        <f>IFERROR(LET(mtype,XLOOKUP($D69,'Move Editor'!$B:$B,'Move Editor'!$C:$C,""),cat,XLOOKUP($D69,'Move Editor'!$B:$B,'Move Editor'!$D:$D,""),pow,XLOOKUP($D69,'Move Editor'!$B:$B,'Move Editor'!$E:$E,0),acc,XLOOKUP($D69,'Move Editor'!$B:$B,'Move Editor'!$F:$F,100),atk,IF(cat="Physical",FLOOR((FLOOR(((2*XLOOKUP(XLOOKUP($Q69,'Threshold Summary'!$Y:$Y,'Threshold Summary'!$K:$K,""),'Pokemon Editor'!$A:$A,'Pokemon Editor'!$F:$F,0)+31+FLOOR(XLOOKUP($Q69,'Threshold Summary'!$Y:$Y,'Threshold Summary'!$P:$P,"")/4))*XLOOKUP($Q69,'Threshold Summary'!$Y:$Y,'Threshold Summary'!$L:$L,""))/100)+5)*XLOOKUP(XLOOKUP($Q69,'Threshold Summary'!$Y:$Y,'Threshold Summary'!$M:$M,""),'Nature Editor'!$A:$A,'Nature Editor'!$B:$B,1)),FLOOR((FLOOR(((2*XLOOKUP(XLOOKUP($Q69,'Threshold Summary'!$Y:$Y,'Threshold Summary'!$K:$K,""),'Pokemon Editor'!$A:$A,'Pokemon Editor'!$H:$H,0)+31+FLOOR(XLOOKUP($Q69,'Threshold Summary'!$Y:$Y,'Threshold Summary'!$R:$R,"")/4))*XLOOKUP($Q69,'Threshold Summary'!$Y:$Y,'Threshold Summary'!$L:$L,""))/100)+5)*XLOOKUP(XLOOKUP($Q69,'Threshold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Editor'!$E:$E,1))),stab,IF(OR(mtype=XLOOKUP(XLOOKUP($Q69,'Threshold Summary'!$Y:$Y,'Threshold Summary'!$K:$K,""),'Pokemon Editor'!$A:$A,'Pokemon Editor'!$C:$C,""),mtype=XLOOKUP(XLOOKUP($Q69,'Threshold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Chart'!$B$1:$S$1,0)))),base,IF(OR(cat="Status",pow=0),0,FLOOR(FLOOR(FLOOR((2*XLOOKUP($Q69,'Threshold Summary'!$Y:$Y,'Threshold Summary'!$L:$L,"")/5+2)*pow*atk/def)/50)+2)),modifier,stab*eff,AVERAGE(ARRAYFORMULA(FLOOR(base*modifier*SEQUENCE(16,1,85,1)/100)))),0)</f>
        <v/>
      </c>
      <c r="M69" s="3">
        <f>IFERROR(LET(mtype,XLOOKUP($D69,'Move Editor'!$B:$B,'Move Editor'!$C:$C,""),cat,XLOOKUP($D69,'Move Editor'!$B:$B,'Move Editor'!$D:$D,""),pow,XLOOKUP($D69,'Move Editor'!$B:$B,'Move Editor'!$E:$E,0),acc,XLOOKUP($D69,'Move Editor'!$B:$B,'Move Editor'!$F:$F,100),atk,IF(cat="Physical",FLOOR((FLOOR(((2*XLOOKUP(XLOOKUP($Q69,'Threshold Summary'!$Y:$Y,'Threshold Summary'!$K:$K,""),'Pokemon Editor'!$A:$A,'Pokemon Editor'!$F:$F,0)+31+FLOOR(XLOOKUP($Q69,'Threshold Summary'!$Y:$Y,'Threshold Summary'!$P:$P,"")/4))*XLOOKUP($Q69,'Threshold Summary'!$Y:$Y,'Threshold Summary'!$L:$L,""))/100)+5)*XLOOKUP(XLOOKUP($Q69,'Threshold Summary'!$Y:$Y,'Threshold Summary'!$M:$M,""),'Nature Editor'!$A:$A,'Nature Editor'!$B:$B,1)),FLOOR((FLOOR(((2*XLOOKUP(XLOOKUP($Q69,'Threshold Summary'!$Y:$Y,'Threshold Summary'!$K:$K,""),'Pokemon Editor'!$A:$A,'Pokemon Editor'!$H:$H,0)+31+FLOOR(XLOOKUP($Q69,'Threshold Summary'!$Y:$Y,'Threshold Summary'!$R:$R,"")/4))*XLOOKUP($Q69,'Threshold Summary'!$Y:$Y,'Threshold Summary'!$L:$L,""))/100)+5)*XLOOKUP(XLOOKUP($Q69,'Threshold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Editor'!$E:$E,1))),stab,IF(OR(mtype=XLOOKUP(XLOOKUP($Q69,'Threshold Summary'!$Y:$Y,'Threshold Summary'!$K:$K,""),'Pokemon Editor'!$A:$A,'Pokemon Editor'!$C:$C,""),mtype=XLOOKUP(XLOOKUP($Q69,'Threshold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Chart'!$B$1:$S$1,0)))),base,IF(OR(cat="Status",pow=0),0,FLOOR(FLOOR(FLOOR((2*XLOOKUP($Q69,'Threshold Summary'!$Y:$Y,'Threshold Summary'!$L:$L,"")/5+2)*pow*atk/def)/50)+2)),modifier,stab*eff,AVERAGE(ARRAYFORMULA(FLOOR(base*modifier*SEQUENCE(16,1,85,1)/100)))*MIN(1,acc/100)),0)</f>
        <v/>
      </c>
      <c r="N69" s="4">
        <f>IFERROR(LET(mtype,XLOOKUP($D69,'Move Editor'!$B:$B,'Move Editor'!$C:$C,""),cat,XLOOKUP($D69,'Move Editor'!$B:$B,'Move Editor'!$D:$D,""),pow,XLOOKUP($D69,'Move Editor'!$B:$B,'Move Editor'!$E:$E,0),acc,XLOOKUP($D69,'Move Editor'!$B:$B,'Move Editor'!$F:$F,100),atk,IF(cat="Physical",FLOOR((FLOOR(((2*XLOOKUP(XLOOKUP($Q69,'Threshold Summary'!$Y:$Y,'Threshold Summary'!$K:$K,""),'Pokemon Editor'!$A:$A,'Pokemon Editor'!$F:$F,0)+31+FLOOR(XLOOKUP($Q69,'Threshold Summary'!$Y:$Y,'Threshold Summary'!$P:$P,"")/4))*XLOOKUP($Q69,'Threshold Summary'!$Y:$Y,'Threshold Summary'!$L:$L,""))/100)+5)*XLOOKUP(XLOOKUP($Q69,'Threshold Summary'!$Y:$Y,'Threshold Summary'!$M:$M,""),'Nature Editor'!$A:$A,'Nature Editor'!$B:$B,1)),FLOOR((FLOOR(((2*XLOOKUP(XLOOKUP($Q69,'Threshold Summary'!$Y:$Y,'Threshold Summary'!$K:$K,""),'Pokemon Editor'!$A:$A,'Pokemon Editor'!$H:$H,0)+31+FLOOR(XLOOKUP($Q69,'Threshold Summary'!$Y:$Y,'Threshold Summary'!$R:$R,"")/4))*XLOOKUP($Q69,'Threshold Summary'!$Y:$Y,'Threshold Summary'!$L:$L,""))/100)+5)*XLOOKUP(XLOOKUP($Q69,'Threshold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Editor'!$E:$E,1))),stab,IF(OR(mtype=XLOOKUP(XLOOKUP($Q69,'Threshold Summary'!$Y:$Y,'Threshold Summary'!$K:$K,""),'Pokemon Editor'!$A:$A,'Pokemon Editor'!$C:$C,""),mtype=XLOOKUP(XLOOKUP($Q69,'Threshold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Chart'!$B$1:$S$1,0)))),base,IF(OR(cat="Status",pow=0),0,FLOOR(FLOOR(FLOOR((2*XLOOKUP($Q69,'Threshold Summary'!$Y:$Y,'Threshold Summary'!$L:$L,"")/5+2)*pow*atk/def)/50)+2)),modifier,stab*eff,AVERAGE(ARRAYFORMULA(FLOOR(base*modifier*SEQUENCE(16,1,85,1)/100)))/(FLOOR(((2*XLOOKUP('Boss Editor'!$C$4,'Pokemon Editor'!$A:$A,'Pokemon Editor'!$E:$E,0)+31+FLOOR('Boss Editor'!$G$4/4))*'Boss Editor'!$D$4)/100)+'Boss Editor'!$D$4+10)),0)</f>
        <v/>
      </c>
      <c r="O69" s="3">
        <f>IF(N69&gt;=1,"OHKO",IF(N69&gt;=0.5,"2HKO",IF(N69&gt;=0.333,"3HKO",IF(N69&gt;=0.25,"4HKO","5HKO+"))))</f>
        <v/>
      </c>
      <c r="P69" s="3" t="inlineStr">
        <is>
          <t>Live from editable databases</t>
        </is>
      </c>
      <c r="Q69" s="3" t="inlineStr">
        <is>
          <t>SPECIES_MAREEP</t>
        </is>
      </c>
      <c r="R69" s="3" t="n">
        <v>4</v>
      </c>
    </row>
    <row r="70">
      <c r="A70" s="3">
        <f>XLOOKUP($Q70,'Threshold Summary'!$Y:$Y,'Threshold Summary'!$A:$A,"")</f>
        <v/>
      </c>
      <c r="B70" s="3">
        <f>XLOOKUP($Q70,'Threshold Summary'!$Y:$Y,'Threshold Summary'!$M:$M,"")</f>
        <v/>
      </c>
      <c r="C70" s="3">
        <f>XLOOKUP($Q70,'Threshold Summary'!$Y:$Y,'Threshold Summary'!$N:$N,"")</f>
        <v/>
      </c>
      <c r="D70" s="3">
        <f>IFERROR(INDEX(FILTER('Learnset Editor'!$D$2:$D,'Learnset Editor'!$A$2:$A=XLOOKUP($Q70,'Threshold Summary'!$Y:$Y,'Threshold Summary'!$K:$K,""),'Learnset Editor'!$C$2:$C&lt;=XLOOKUP($Q70,'Threshold Summary'!$Y:$Y,'Threshold Summary'!$L:$L,"")),$R70),"")</f>
        <v/>
      </c>
      <c r="E70" s="3">
        <f>XLOOKUP(D70,'Move Editor'!$B:$B,'Move Editor'!$C:$C,"")</f>
        <v/>
      </c>
      <c r="F70" s="3">
        <f>XLOOKUP(D70,'Move Editor'!$B:$B,'Move Editor'!$D:$D,"")</f>
        <v/>
      </c>
      <c r="G70" s="3">
        <f>XLOOKUP(D70,'Move Editor'!$B:$B,'Move Editor'!$E:$E,0)</f>
        <v/>
      </c>
      <c r="H70" s="3">
        <f>XLOOKUP(D70,'Move Editor'!$B:$B,'Move Editor'!$F:$F,0)</f>
        <v/>
      </c>
      <c r="I70" s="3">
        <f>(INDEX('Type Chart'!$B:$S,MATCH(E70,'Type Chart'!$A:$A,0),MATCH(XLOOKUP('Boss Editor'!$C$4,'Pokemon Editor'!$A:$A,'Pokemon Editor'!$C:$C,""),'Type Chart'!$B$1:$S$1,0))*IF(XLOOKUP('Boss Editor'!$C$4,'Pokemon Editor'!$A:$A,'Pokemon Editor'!$D:$D,"")="",1,INDEX('Type Chart'!$B:$S,MATCH(E70,'Type Chart'!$A:$A,0),MATCH(XLOOKUP('Boss Editor'!$C$4,'Pokemon Editor'!$A:$A,'Pokemon Editor'!$D:$D,""),'Type Chart'!$B$1:$S$1,0))))</f>
        <v/>
      </c>
      <c r="J70" s="3">
        <f>IFERROR(LET(mtype,XLOOKUP($D70,'Move Editor'!$B:$B,'Move Editor'!$C:$C,""),cat,XLOOKUP($D70,'Move Editor'!$B:$B,'Move Editor'!$D:$D,""),pow,XLOOKUP($D70,'Move Editor'!$B:$B,'Move Editor'!$E:$E,0),acc,XLOOKUP($D70,'Move Editor'!$B:$B,'Move Editor'!$F:$F,100),atk,IF(cat="Physical",FLOOR((FLOOR(((2*XLOOKUP(XLOOKUP($Q70,'Threshold Summary'!$Y:$Y,'Threshold Summary'!$K:$K,""),'Pokemon Editor'!$A:$A,'Pokemon Editor'!$F:$F,0)+31+FLOOR(XLOOKUP($Q70,'Threshold Summary'!$Y:$Y,'Threshold Summary'!$P:$P,"")/4))*XLOOKUP($Q70,'Threshold Summary'!$Y:$Y,'Threshold Summary'!$L:$L,""))/100)+5)*XLOOKUP(XLOOKUP($Q70,'Threshold Summary'!$Y:$Y,'Threshold Summary'!$M:$M,""),'Nature Editor'!$A:$A,'Nature Editor'!$B:$B,1)),FLOOR((FLOOR(((2*XLOOKUP(XLOOKUP($Q70,'Threshold Summary'!$Y:$Y,'Threshold Summary'!$K:$K,""),'Pokemon Editor'!$A:$A,'Pokemon Editor'!$H:$H,0)+31+FLOOR(XLOOKUP($Q70,'Threshold Summary'!$Y:$Y,'Threshold Summary'!$R:$R,"")/4))*XLOOKUP($Q70,'Threshold Summary'!$Y:$Y,'Threshold Summary'!$L:$L,""))/100)+5)*XLOOKUP(XLOOKUP($Q70,'Threshold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Editor'!$E:$E,1))),stab,IF(OR(mtype=XLOOKUP(XLOOKUP($Q70,'Threshold Summary'!$Y:$Y,'Threshold Summary'!$K:$K,""),'Pokemon Editor'!$A:$A,'Pokemon Editor'!$C:$C,""),mtype=XLOOKUP(XLOOKUP($Q70,'Threshold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Chart'!$B$1:$S$1,0)))),base,IF(OR(cat="Status",pow=0),0,FLOOR(FLOOR(FLOOR((2*XLOOKUP($Q70,'Threshold Summary'!$Y:$Y,'Threshold Summary'!$L:$L,"")/5+2)*pow*atk/def)/50)+2)),modifier,stab*eff,FLOOR(base*modifier*0.85)),0)</f>
        <v/>
      </c>
      <c r="K70" s="3">
        <f>IFERROR(LET(mtype,XLOOKUP($D70,'Move Editor'!$B:$B,'Move Editor'!$C:$C,""),cat,XLOOKUP($D70,'Move Editor'!$B:$B,'Move Editor'!$D:$D,""),pow,XLOOKUP($D70,'Move Editor'!$B:$B,'Move Editor'!$E:$E,0),acc,XLOOKUP($D70,'Move Editor'!$B:$B,'Move Editor'!$F:$F,100),atk,IF(cat="Physical",FLOOR((FLOOR(((2*XLOOKUP(XLOOKUP($Q70,'Threshold Summary'!$Y:$Y,'Threshold Summary'!$K:$K,""),'Pokemon Editor'!$A:$A,'Pokemon Editor'!$F:$F,0)+31+FLOOR(XLOOKUP($Q70,'Threshold Summary'!$Y:$Y,'Threshold Summary'!$P:$P,"")/4))*XLOOKUP($Q70,'Threshold Summary'!$Y:$Y,'Threshold Summary'!$L:$L,""))/100)+5)*XLOOKUP(XLOOKUP($Q70,'Threshold Summary'!$Y:$Y,'Threshold Summary'!$M:$M,""),'Nature Editor'!$A:$A,'Nature Editor'!$B:$B,1)),FLOOR((FLOOR(((2*XLOOKUP(XLOOKUP($Q70,'Threshold Summary'!$Y:$Y,'Threshold Summary'!$K:$K,""),'Pokemon Editor'!$A:$A,'Pokemon Editor'!$H:$H,0)+31+FLOOR(XLOOKUP($Q70,'Threshold Summary'!$Y:$Y,'Threshold Summary'!$R:$R,"")/4))*XLOOKUP($Q70,'Threshold Summary'!$Y:$Y,'Threshold Summary'!$L:$L,""))/100)+5)*XLOOKUP(XLOOKUP($Q70,'Threshold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Editor'!$E:$E,1))),stab,IF(OR(mtype=XLOOKUP(XLOOKUP($Q70,'Threshold Summary'!$Y:$Y,'Threshold Summary'!$K:$K,""),'Pokemon Editor'!$A:$A,'Pokemon Editor'!$C:$C,""),mtype=XLOOKUP(XLOOKUP($Q70,'Threshold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Chart'!$B$1:$S$1,0)))),base,IF(OR(cat="Status",pow=0),0,FLOOR(FLOOR(FLOOR((2*XLOOKUP($Q70,'Threshold Summary'!$Y:$Y,'Threshold Summary'!$L:$L,"")/5+2)*pow*atk/def)/50)+2)),modifier,stab*eff,FLOOR(base*modifier)),0)</f>
        <v/>
      </c>
      <c r="L70" s="3">
        <f>IFERROR(LET(mtype,XLOOKUP($D70,'Move Editor'!$B:$B,'Move Editor'!$C:$C,""),cat,XLOOKUP($D70,'Move Editor'!$B:$B,'Move Editor'!$D:$D,""),pow,XLOOKUP($D70,'Move Editor'!$B:$B,'Move Editor'!$E:$E,0),acc,XLOOKUP($D70,'Move Editor'!$B:$B,'Move Editor'!$F:$F,100),atk,IF(cat="Physical",FLOOR((FLOOR(((2*XLOOKUP(XLOOKUP($Q70,'Threshold Summary'!$Y:$Y,'Threshold Summary'!$K:$K,""),'Pokemon Editor'!$A:$A,'Pokemon Editor'!$F:$F,0)+31+FLOOR(XLOOKUP($Q70,'Threshold Summary'!$Y:$Y,'Threshold Summary'!$P:$P,"")/4))*XLOOKUP($Q70,'Threshold Summary'!$Y:$Y,'Threshold Summary'!$L:$L,""))/100)+5)*XLOOKUP(XLOOKUP($Q70,'Threshold Summary'!$Y:$Y,'Threshold Summary'!$M:$M,""),'Nature Editor'!$A:$A,'Nature Editor'!$B:$B,1)),FLOOR((FLOOR(((2*XLOOKUP(XLOOKUP($Q70,'Threshold Summary'!$Y:$Y,'Threshold Summary'!$K:$K,""),'Pokemon Editor'!$A:$A,'Pokemon Editor'!$H:$H,0)+31+FLOOR(XLOOKUP($Q70,'Threshold Summary'!$Y:$Y,'Threshold Summary'!$R:$R,"")/4))*XLOOKUP($Q70,'Threshold Summary'!$Y:$Y,'Threshold Summary'!$L:$L,""))/100)+5)*XLOOKUP(XLOOKUP($Q70,'Threshold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Editor'!$E:$E,1))),stab,IF(OR(mtype=XLOOKUP(XLOOKUP($Q70,'Threshold Summary'!$Y:$Y,'Threshold Summary'!$K:$K,""),'Pokemon Editor'!$A:$A,'Pokemon Editor'!$C:$C,""),mtype=XLOOKUP(XLOOKUP($Q70,'Threshold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Chart'!$B$1:$S$1,0)))),base,IF(OR(cat="Status",pow=0),0,FLOOR(FLOOR(FLOOR((2*XLOOKUP($Q70,'Threshold Summary'!$Y:$Y,'Threshold Summary'!$L:$L,"")/5+2)*pow*atk/def)/50)+2)),modifier,stab*eff,AVERAGE(ARRAYFORMULA(FLOOR(base*modifier*SEQUENCE(16,1,85,1)/100)))),0)</f>
        <v/>
      </c>
      <c r="M70" s="3">
        <f>IFERROR(LET(mtype,XLOOKUP($D70,'Move Editor'!$B:$B,'Move Editor'!$C:$C,""),cat,XLOOKUP($D70,'Move Editor'!$B:$B,'Move Editor'!$D:$D,""),pow,XLOOKUP($D70,'Move Editor'!$B:$B,'Move Editor'!$E:$E,0),acc,XLOOKUP($D70,'Move Editor'!$B:$B,'Move Editor'!$F:$F,100),atk,IF(cat="Physical",FLOOR((FLOOR(((2*XLOOKUP(XLOOKUP($Q70,'Threshold Summary'!$Y:$Y,'Threshold Summary'!$K:$K,""),'Pokemon Editor'!$A:$A,'Pokemon Editor'!$F:$F,0)+31+FLOOR(XLOOKUP($Q70,'Threshold Summary'!$Y:$Y,'Threshold Summary'!$P:$P,"")/4))*XLOOKUP($Q70,'Threshold Summary'!$Y:$Y,'Threshold Summary'!$L:$L,""))/100)+5)*XLOOKUP(XLOOKUP($Q70,'Threshold Summary'!$Y:$Y,'Threshold Summary'!$M:$M,""),'Nature Editor'!$A:$A,'Nature Editor'!$B:$B,1)),FLOOR((FLOOR(((2*XLOOKUP(XLOOKUP($Q70,'Threshold Summary'!$Y:$Y,'Threshold Summary'!$K:$K,""),'Pokemon Editor'!$A:$A,'Pokemon Editor'!$H:$H,0)+31+FLOOR(XLOOKUP($Q70,'Threshold Summary'!$Y:$Y,'Threshold Summary'!$R:$R,"")/4))*XLOOKUP($Q70,'Threshold Summary'!$Y:$Y,'Threshold Summary'!$L:$L,""))/100)+5)*XLOOKUP(XLOOKUP($Q70,'Threshold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Editor'!$E:$E,1))),stab,IF(OR(mtype=XLOOKUP(XLOOKUP($Q70,'Threshold Summary'!$Y:$Y,'Threshold Summary'!$K:$K,""),'Pokemon Editor'!$A:$A,'Pokemon Editor'!$C:$C,""),mtype=XLOOKUP(XLOOKUP($Q70,'Threshold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Chart'!$B$1:$S$1,0)))),base,IF(OR(cat="Status",pow=0),0,FLOOR(FLOOR(FLOOR((2*XLOOKUP($Q70,'Threshold Summary'!$Y:$Y,'Threshold Summary'!$L:$L,"")/5+2)*pow*atk/def)/50)+2)),modifier,stab*eff,AVERAGE(ARRAYFORMULA(FLOOR(base*modifier*SEQUENCE(16,1,85,1)/100)))*MIN(1,acc/100)),0)</f>
        <v/>
      </c>
      <c r="N70" s="4">
        <f>IFERROR(LET(mtype,XLOOKUP($D70,'Move Editor'!$B:$B,'Move Editor'!$C:$C,""),cat,XLOOKUP($D70,'Move Editor'!$B:$B,'Move Editor'!$D:$D,""),pow,XLOOKUP($D70,'Move Editor'!$B:$B,'Move Editor'!$E:$E,0),acc,XLOOKUP($D70,'Move Editor'!$B:$B,'Move Editor'!$F:$F,100),atk,IF(cat="Physical",FLOOR((FLOOR(((2*XLOOKUP(XLOOKUP($Q70,'Threshold Summary'!$Y:$Y,'Threshold Summary'!$K:$K,""),'Pokemon Editor'!$A:$A,'Pokemon Editor'!$F:$F,0)+31+FLOOR(XLOOKUP($Q70,'Threshold Summary'!$Y:$Y,'Threshold Summary'!$P:$P,"")/4))*XLOOKUP($Q70,'Threshold Summary'!$Y:$Y,'Threshold Summary'!$L:$L,""))/100)+5)*XLOOKUP(XLOOKUP($Q70,'Threshold Summary'!$Y:$Y,'Threshold Summary'!$M:$M,""),'Nature Editor'!$A:$A,'Nature Editor'!$B:$B,1)),FLOOR((FLOOR(((2*XLOOKUP(XLOOKUP($Q70,'Threshold Summary'!$Y:$Y,'Threshold Summary'!$K:$K,""),'Pokemon Editor'!$A:$A,'Pokemon Editor'!$H:$H,0)+31+FLOOR(XLOOKUP($Q70,'Threshold Summary'!$Y:$Y,'Threshold Summary'!$R:$R,"")/4))*XLOOKUP($Q70,'Threshold Summary'!$Y:$Y,'Threshold Summary'!$L:$L,""))/100)+5)*XLOOKUP(XLOOKUP($Q70,'Threshold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Editor'!$E:$E,1))),stab,IF(OR(mtype=XLOOKUP(XLOOKUP($Q70,'Threshold Summary'!$Y:$Y,'Threshold Summary'!$K:$K,""),'Pokemon Editor'!$A:$A,'Pokemon Editor'!$C:$C,""),mtype=XLOOKUP(XLOOKUP($Q70,'Threshold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Chart'!$B$1:$S$1,0)))),base,IF(OR(cat="Status",pow=0),0,FLOOR(FLOOR(FLOOR((2*XLOOKUP($Q70,'Threshold Summary'!$Y:$Y,'Threshold Summary'!$L:$L,"")/5+2)*pow*atk/def)/50)+2)),modifier,stab*eff,AVERAGE(ARRAYFORMULA(FLOOR(base*modifier*SEQUENCE(16,1,85,1)/100)))/(FLOOR(((2*XLOOKUP('Boss Editor'!$C$4,'Pokemon Editor'!$A:$A,'Pokemon Editor'!$E:$E,0)+31+FLOOR('Boss Editor'!$G$4/4))*'Boss Editor'!$D$4)/100)+'Boss Editor'!$D$4+10)),0)</f>
        <v/>
      </c>
      <c r="O70" s="3">
        <f>IF(N70&gt;=1,"OHKO",IF(N70&gt;=0.5,"2HKO",IF(N70&gt;=0.333,"3HKO",IF(N70&gt;=0.25,"4HKO","5HKO+"))))</f>
        <v/>
      </c>
      <c r="P70" s="3" t="inlineStr">
        <is>
          <t>Live from editable databases</t>
        </is>
      </c>
      <c r="Q70" s="3" t="inlineStr">
        <is>
          <t>SPECIES_MAREEP</t>
        </is>
      </c>
      <c r="R70" s="3" t="n">
        <v>5</v>
      </c>
    </row>
    <row r="71">
      <c r="A71" s="3">
        <f>XLOOKUP($Q71,'Threshold Summary'!$Y:$Y,'Threshold Summary'!$A:$A,"")</f>
        <v/>
      </c>
      <c r="B71" s="3">
        <f>XLOOKUP($Q71,'Threshold Summary'!$Y:$Y,'Threshold Summary'!$M:$M,"")</f>
        <v/>
      </c>
      <c r="C71" s="3">
        <f>XLOOKUP($Q71,'Threshold Summary'!$Y:$Y,'Threshold Summary'!$N:$N,"")</f>
        <v/>
      </c>
      <c r="D71" s="3">
        <f>IFERROR(INDEX(FILTER('Learnset Editor'!$D$2:$D,'Learnset Editor'!$A$2:$A=XLOOKUP($Q71,'Threshold Summary'!$Y:$Y,'Threshold Summary'!$K:$K,""),'Learnset Editor'!$C$2:$C&lt;=XLOOKUP($Q71,'Threshold Summary'!$Y:$Y,'Threshold Summary'!$L:$L,"")),$R71),"")</f>
        <v/>
      </c>
      <c r="E71" s="3">
        <f>XLOOKUP(D71,'Move Editor'!$B:$B,'Move Editor'!$C:$C,"")</f>
        <v/>
      </c>
      <c r="F71" s="3">
        <f>XLOOKUP(D71,'Move Editor'!$B:$B,'Move Editor'!$D:$D,"")</f>
        <v/>
      </c>
      <c r="G71" s="3">
        <f>XLOOKUP(D71,'Move Editor'!$B:$B,'Move Editor'!$E:$E,0)</f>
        <v/>
      </c>
      <c r="H71" s="3">
        <f>XLOOKUP(D71,'Move Editor'!$B:$B,'Move Editor'!$F:$F,0)</f>
        <v/>
      </c>
      <c r="I71" s="3">
        <f>(INDEX('Type Chart'!$B:$S,MATCH(E71,'Type Chart'!$A:$A,0),MATCH(XLOOKUP('Boss Editor'!$C$4,'Pokemon Editor'!$A:$A,'Pokemon Editor'!$C:$C,""),'Type Chart'!$B$1:$S$1,0))*IF(XLOOKUP('Boss Editor'!$C$4,'Pokemon Editor'!$A:$A,'Pokemon Editor'!$D:$D,"")="",1,INDEX('Type Chart'!$B:$S,MATCH(E71,'Type Chart'!$A:$A,0),MATCH(XLOOKUP('Boss Editor'!$C$4,'Pokemon Editor'!$A:$A,'Pokemon Editor'!$D:$D,""),'Type Chart'!$B$1:$S$1,0))))</f>
        <v/>
      </c>
      <c r="J71" s="3">
        <f>IFERROR(LET(mtype,XLOOKUP($D71,'Move Editor'!$B:$B,'Move Editor'!$C:$C,""),cat,XLOOKUP($D71,'Move Editor'!$B:$B,'Move Editor'!$D:$D,""),pow,XLOOKUP($D71,'Move Editor'!$B:$B,'Move Editor'!$E:$E,0),acc,XLOOKUP($D71,'Move Editor'!$B:$B,'Move Editor'!$F:$F,100),atk,IF(cat="Physical",FLOOR((FLOOR(((2*XLOOKUP(XLOOKUP($Q71,'Threshold Summary'!$Y:$Y,'Threshold Summary'!$K:$K,""),'Pokemon Editor'!$A:$A,'Pokemon Editor'!$F:$F,0)+31+FLOOR(XLOOKUP($Q71,'Threshold Summary'!$Y:$Y,'Threshold Summary'!$P:$P,"")/4))*XLOOKUP($Q71,'Threshold Summary'!$Y:$Y,'Threshold Summary'!$L:$L,""))/100)+5)*XLOOKUP(XLOOKUP($Q71,'Threshold Summary'!$Y:$Y,'Threshold Summary'!$M:$M,""),'Nature Editor'!$A:$A,'Nature Editor'!$B:$B,1)),FLOOR((FLOOR(((2*XLOOKUP(XLOOKUP($Q71,'Threshold Summary'!$Y:$Y,'Threshold Summary'!$K:$K,""),'Pokemon Editor'!$A:$A,'Pokemon Editor'!$H:$H,0)+31+FLOOR(XLOOKUP($Q71,'Threshold Summary'!$Y:$Y,'Threshold Summary'!$R:$R,"")/4))*XLOOKUP($Q71,'Threshold Summary'!$Y:$Y,'Threshold Summary'!$L:$L,""))/100)+5)*XLOOKUP(XLOOKUP($Q71,'Threshold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Editor'!$E:$E,1))),stab,IF(OR(mtype=XLOOKUP(XLOOKUP($Q71,'Threshold Summary'!$Y:$Y,'Threshold Summary'!$K:$K,""),'Pokemon Editor'!$A:$A,'Pokemon Editor'!$C:$C,""),mtype=XLOOKUP(XLOOKUP($Q71,'Threshold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Chart'!$B$1:$S$1,0)))),base,IF(OR(cat="Status",pow=0),0,FLOOR(FLOOR(FLOOR((2*XLOOKUP($Q71,'Threshold Summary'!$Y:$Y,'Threshold Summary'!$L:$L,"")/5+2)*pow*atk/def)/50)+2)),modifier,stab*eff,FLOOR(base*modifier*0.85)),0)</f>
        <v/>
      </c>
      <c r="K71" s="3">
        <f>IFERROR(LET(mtype,XLOOKUP($D71,'Move Editor'!$B:$B,'Move Editor'!$C:$C,""),cat,XLOOKUP($D71,'Move Editor'!$B:$B,'Move Editor'!$D:$D,""),pow,XLOOKUP($D71,'Move Editor'!$B:$B,'Move Editor'!$E:$E,0),acc,XLOOKUP($D71,'Move Editor'!$B:$B,'Move Editor'!$F:$F,100),atk,IF(cat="Physical",FLOOR((FLOOR(((2*XLOOKUP(XLOOKUP($Q71,'Threshold Summary'!$Y:$Y,'Threshold Summary'!$K:$K,""),'Pokemon Editor'!$A:$A,'Pokemon Editor'!$F:$F,0)+31+FLOOR(XLOOKUP($Q71,'Threshold Summary'!$Y:$Y,'Threshold Summary'!$P:$P,"")/4))*XLOOKUP($Q71,'Threshold Summary'!$Y:$Y,'Threshold Summary'!$L:$L,""))/100)+5)*XLOOKUP(XLOOKUP($Q71,'Threshold Summary'!$Y:$Y,'Threshold Summary'!$M:$M,""),'Nature Editor'!$A:$A,'Nature Editor'!$B:$B,1)),FLOOR((FLOOR(((2*XLOOKUP(XLOOKUP($Q71,'Threshold Summary'!$Y:$Y,'Threshold Summary'!$K:$K,""),'Pokemon Editor'!$A:$A,'Pokemon Editor'!$H:$H,0)+31+FLOOR(XLOOKUP($Q71,'Threshold Summary'!$Y:$Y,'Threshold Summary'!$R:$R,"")/4))*XLOOKUP($Q71,'Threshold Summary'!$Y:$Y,'Threshold Summary'!$L:$L,""))/100)+5)*XLOOKUP(XLOOKUP($Q71,'Threshold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Editor'!$E:$E,1))),stab,IF(OR(mtype=XLOOKUP(XLOOKUP($Q71,'Threshold Summary'!$Y:$Y,'Threshold Summary'!$K:$K,""),'Pokemon Editor'!$A:$A,'Pokemon Editor'!$C:$C,""),mtype=XLOOKUP(XLOOKUP($Q71,'Threshold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Chart'!$B$1:$S$1,0)))),base,IF(OR(cat="Status",pow=0),0,FLOOR(FLOOR(FLOOR((2*XLOOKUP($Q71,'Threshold Summary'!$Y:$Y,'Threshold Summary'!$L:$L,"")/5+2)*pow*atk/def)/50)+2)),modifier,stab*eff,FLOOR(base*modifier)),0)</f>
        <v/>
      </c>
      <c r="L71" s="3">
        <f>IFERROR(LET(mtype,XLOOKUP($D71,'Move Editor'!$B:$B,'Move Editor'!$C:$C,""),cat,XLOOKUP($D71,'Move Editor'!$B:$B,'Move Editor'!$D:$D,""),pow,XLOOKUP($D71,'Move Editor'!$B:$B,'Move Editor'!$E:$E,0),acc,XLOOKUP($D71,'Move Editor'!$B:$B,'Move Editor'!$F:$F,100),atk,IF(cat="Physical",FLOOR((FLOOR(((2*XLOOKUP(XLOOKUP($Q71,'Threshold Summary'!$Y:$Y,'Threshold Summary'!$K:$K,""),'Pokemon Editor'!$A:$A,'Pokemon Editor'!$F:$F,0)+31+FLOOR(XLOOKUP($Q71,'Threshold Summary'!$Y:$Y,'Threshold Summary'!$P:$P,"")/4))*XLOOKUP($Q71,'Threshold Summary'!$Y:$Y,'Threshold Summary'!$L:$L,""))/100)+5)*XLOOKUP(XLOOKUP($Q71,'Threshold Summary'!$Y:$Y,'Threshold Summary'!$M:$M,""),'Nature Editor'!$A:$A,'Nature Editor'!$B:$B,1)),FLOOR((FLOOR(((2*XLOOKUP(XLOOKUP($Q71,'Threshold Summary'!$Y:$Y,'Threshold Summary'!$K:$K,""),'Pokemon Editor'!$A:$A,'Pokemon Editor'!$H:$H,0)+31+FLOOR(XLOOKUP($Q71,'Threshold Summary'!$Y:$Y,'Threshold Summary'!$R:$R,"")/4))*XLOOKUP($Q71,'Threshold Summary'!$Y:$Y,'Threshold Summary'!$L:$L,""))/100)+5)*XLOOKUP(XLOOKUP($Q71,'Threshold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Editor'!$E:$E,1))),stab,IF(OR(mtype=XLOOKUP(XLOOKUP($Q71,'Threshold Summary'!$Y:$Y,'Threshold Summary'!$K:$K,""),'Pokemon Editor'!$A:$A,'Pokemon Editor'!$C:$C,""),mtype=XLOOKUP(XLOOKUP($Q71,'Threshold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Chart'!$B$1:$S$1,0)))),base,IF(OR(cat="Status",pow=0),0,FLOOR(FLOOR(FLOOR((2*XLOOKUP($Q71,'Threshold Summary'!$Y:$Y,'Threshold Summary'!$L:$L,"")/5+2)*pow*atk/def)/50)+2)),modifier,stab*eff,AVERAGE(ARRAYFORMULA(FLOOR(base*modifier*SEQUENCE(16,1,85,1)/100)))),0)</f>
        <v/>
      </c>
      <c r="M71" s="3">
        <f>IFERROR(LET(mtype,XLOOKUP($D71,'Move Editor'!$B:$B,'Move Editor'!$C:$C,""),cat,XLOOKUP($D71,'Move Editor'!$B:$B,'Move Editor'!$D:$D,""),pow,XLOOKUP($D71,'Move Editor'!$B:$B,'Move Editor'!$E:$E,0),acc,XLOOKUP($D71,'Move Editor'!$B:$B,'Move Editor'!$F:$F,100),atk,IF(cat="Physical",FLOOR((FLOOR(((2*XLOOKUP(XLOOKUP($Q71,'Threshold Summary'!$Y:$Y,'Threshold Summary'!$K:$K,""),'Pokemon Editor'!$A:$A,'Pokemon Editor'!$F:$F,0)+31+FLOOR(XLOOKUP($Q71,'Threshold Summary'!$Y:$Y,'Threshold Summary'!$P:$P,"")/4))*XLOOKUP($Q71,'Threshold Summary'!$Y:$Y,'Threshold Summary'!$L:$L,""))/100)+5)*XLOOKUP(XLOOKUP($Q71,'Threshold Summary'!$Y:$Y,'Threshold Summary'!$M:$M,""),'Nature Editor'!$A:$A,'Nature Editor'!$B:$B,1)),FLOOR((FLOOR(((2*XLOOKUP(XLOOKUP($Q71,'Threshold Summary'!$Y:$Y,'Threshold Summary'!$K:$K,""),'Pokemon Editor'!$A:$A,'Pokemon Editor'!$H:$H,0)+31+FLOOR(XLOOKUP($Q71,'Threshold Summary'!$Y:$Y,'Threshold Summary'!$R:$R,"")/4))*XLOOKUP($Q71,'Threshold Summary'!$Y:$Y,'Threshold Summary'!$L:$L,""))/100)+5)*XLOOKUP(XLOOKUP($Q71,'Threshold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Editor'!$E:$E,1))),stab,IF(OR(mtype=XLOOKUP(XLOOKUP($Q71,'Threshold Summary'!$Y:$Y,'Threshold Summary'!$K:$K,""),'Pokemon Editor'!$A:$A,'Pokemon Editor'!$C:$C,""),mtype=XLOOKUP(XLOOKUP($Q71,'Threshold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Chart'!$B$1:$S$1,0)))),base,IF(OR(cat="Status",pow=0),0,FLOOR(FLOOR(FLOOR((2*XLOOKUP($Q71,'Threshold Summary'!$Y:$Y,'Threshold Summary'!$L:$L,"")/5+2)*pow*atk/def)/50)+2)),modifier,stab*eff,AVERAGE(ARRAYFORMULA(FLOOR(base*modifier*SEQUENCE(16,1,85,1)/100)))*MIN(1,acc/100)),0)</f>
        <v/>
      </c>
      <c r="N71" s="4">
        <f>IFERROR(LET(mtype,XLOOKUP($D71,'Move Editor'!$B:$B,'Move Editor'!$C:$C,""),cat,XLOOKUP($D71,'Move Editor'!$B:$B,'Move Editor'!$D:$D,""),pow,XLOOKUP($D71,'Move Editor'!$B:$B,'Move Editor'!$E:$E,0),acc,XLOOKUP($D71,'Move Editor'!$B:$B,'Move Editor'!$F:$F,100),atk,IF(cat="Physical",FLOOR((FLOOR(((2*XLOOKUP(XLOOKUP($Q71,'Threshold Summary'!$Y:$Y,'Threshold Summary'!$K:$K,""),'Pokemon Editor'!$A:$A,'Pokemon Editor'!$F:$F,0)+31+FLOOR(XLOOKUP($Q71,'Threshold Summary'!$Y:$Y,'Threshold Summary'!$P:$P,"")/4))*XLOOKUP($Q71,'Threshold Summary'!$Y:$Y,'Threshold Summary'!$L:$L,""))/100)+5)*XLOOKUP(XLOOKUP($Q71,'Threshold Summary'!$Y:$Y,'Threshold Summary'!$M:$M,""),'Nature Editor'!$A:$A,'Nature Editor'!$B:$B,1)),FLOOR((FLOOR(((2*XLOOKUP(XLOOKUP($Q71,'Threshold Summary'!$Y:$Y,'Threshold Summary'!$K:$K,""),'Pokemon Editor'!$A:$A,'Pokemon Editor'!$H:$H,0)+31+FLOOR(XLOOKUP($Q71,'Threshold Summary'!$Y:$Y,'Threshold Summary'!$R:$R,"")/4))*XLOOKUP($Q71,'Threshold Summary'!$Y:$Y,'Threshold Summary'!$L:$L,""))/100)+5)*XLOOKUP(XLOOKUP($Q71,'Threshold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Editor'!$E:$E,1))),stab,IF(OR(mtype=XLOOKUP(XLOOKUP($Q71,'Threshold Summary'!$Y:$Y,'Threshold Summary'!$K:$K,""),'Pokemon Editor'!$A:$A,'Pokemon Editor'!$C:$C,""),mtype=XLOOKUP(XLOOKUP($Q71,'Threshold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Chart'!$B$1:$S$1,0)))),base,IF(OR(cat="Status",pow=0),0,FLOOR(FLOOR(FLOOR((2*XLOOKUP($Q71,'Threshold Summary'!$Y:$Y,'Threshold Summary'!$L:$L,"")/5+2)*pow*atk/def)/50)+2)),modifier,stab*eff,AVERAGE(ARRAYFORMULA(FLOOR(base*modifier*SEQUENCE(16,1,85,1)/100)))/(FLOOR(((2*XLOOKUP('Boss Editor'!$C$4,'Pokemon Editor'!$A:$A,'Pokemon Editor'!$E:$E,0)+31+FLOOR('Boss Editor'!$G$4/4))*'Boss Editor'!$D$4)/100)+'Boss Editor'!$D$4+10)),0)</f>
        <v/>
      </c>
      <c r="O71" s="3">
        <f>IF(N71&gt;=1,"OHKO",IF(N71&gt;=0.5,"2HKO",IF(N71&gt;=0.333,"3HKO",IF(N71&gt;=0.25,"4HKO","5HKO+"))))</f>
        <v/>
      </c>
      <c r="P71" s="3" t="inlineStr">
        <is>
          <t>Live from editable databases</t>
        </is>
      </c>
      <c r="Q71" s="3" t="inlineStr">
        <is>
          <t>SPECIES_MAREEP</t>
        </is>
      </c>
      <c r="R71" s="3" t="n">
        <v>6</v>
      </c>
    </row>
    <row r="72">
      <c r="A72" s="3">
        <f>XLOOKUP($Q72,'Threshold Summary'!$Y:$Y,'Threshold Summary'!$A:$A,"")</f>
        <v/>
      </c>
      <c r="B72" s="3">
        <f>XLOOKUP($Q72,'Threshold Summary'!$Y:$Y,'Threshold Summary'!$M:$M,"")</f>
        <v/>
      </c>
      <c r="C72" s="3">
        <f>XLOOKUP($Q72,'Threshold Summary'!$Y:$Y,'Threshold Summary'!$N:$N,"")</f>
        <v/>
      </c>
      <c r="D72" s="3">
        <f>IFERROR(INDEX(FILTER('Learnset Editor'!$D$2:$D,'Learnset Editor'!$A$2:$A=XLOOKUP($Q72,'Threshold Summary'!$Y:$Y,'Threshold Summary'!$K:$K,""),'Learnset Editor'!$C$2:$C&lt;=XLOOKUP($Q72,'Threshold Summary'!$Y:$Y,'Threshold Summary'!$L:$L,"")),$R72),"")</f>
        <v/>
      </c>
      <c r="E72" s="3">
        <f>XLOOKUP(D72,'Move Editor'!$B:$B,'Move Editor'!$C:$C,"")</f>
        <v/>
      </c>
      <c r="F72" s="3">
        <f>XLOOKUP(D72,'Move Editor'!$B:$B,'Move Editor'!$D:$D,"")</f>
        <v/>
      </c>
      <c r="G72" s="3">
        <f>XLOOKUP(D72,'Move Editor'!$B:$B,'Move Editor'!$E:$E,0)</f>
        <v/>
      </c>
      <c r="H72" s="3">
        <f>XLOOKUP(D72,'Move Editor'!$B:$B,'Move Editor'!$F:$F,0)</f>
        <v/>
      </c>
      <c r="I72" s="3">
        <f>(INDEX('Type Chart'!$B:$S,MATCH(E72,'Type Chart'!$A:$A,0),MATCH(XLOOKUP('Boss Editor'!$C$4,'Pokemon Editor'!$A:$A,'Pokemon Editor'!$C:$C,""),'Type Chart'!$B$1:$S$1,0))*IF(XLOOKUP('Boss Editor'!$C$4,'Pokemon Editor'!$A:$A,'Pokemon Editor'!$D:$D,"")="",1,INDEX('Type Chart'!$B:$S,MATCH(E72,'Type Chart'!$A:$A,0),MATCH(XLOOKUP('Boss Editor'!$C$4,'Pokemon Editor'!$A:$A,'Pokemon Editor'!$D:$D,""),'Type Chart'!$B$1:$S$1,0))))</f>
        <v/>
      </c>
      <c r="J72" s="3">
        <f>IFERROR(LET(mtype,XLOOKUP($D72,'Move Editor'!$B:$B,'Move Editor'!$C:$C,""),cat,XLOOKUP($D72,'Move Editor'!$B:$B,'Move Editor'!$D:$D,""),pow,XLOOKUP($D72,'Move Editor'!$B:$B,'Move Editor'!$E:$E,0),acc,XLOOKUP($D72,'Move Editor'!$B:$B,'Move Editor'!$F:$F,100),atk,IF(cat="Physical",FLOOR((FLOOR(((2*XLOOKUP(XLOOKUP($Q72,'Threshold Summary'!$Y:$Y,'Threshold Summary'!$K:$K,""),'Pokemon Editor'!$A:$A,'Pokemon Editor'!$F:$F,0)+31+FLOOR(XLOOKUP($Q72,'Threshold Summary'!$Y:$Y,'Threshold Summary'!$P:$P,"")/4))*XLOOKUP($Q72,'Threshold Summary'!$Y:$Y,'Threshold Summary'!$L:$L,""))/100)+5)*XLOOKUP(XLOOKUP($Q72,'Threshold Summary'!$Y:$Y,'Threshold Summary'!$M:$M,""),'Nature Editor'!$A:$A,'Nature Editor'!$B:$B,1)),FLOOR((FLOOR(((2*XLOOKUP(XLOOKUP($Q72,'Threshold Summary'!$Y:$Y,'Threshold Summary'!$K:$K,""),'Pokemon Editor'!$A:$A,'Pokemon Editor'!$H:$H,0)+31+FLOOR(XLOOKUP($Q72,'Threshold Summary'!$Y:$Y,'Threshold Summary'!$R:$R,"")/4))*XLOOKUP($Q72,'Threshold Summary'!$Y:$Y,'Threshold Summary'!$L:$L,""))/100)+5)*XLOOKUP(XLOOKUP($Q72,'Threshold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Editor'!$E:$E,1))),stab,IF(OR(mtype=XLOOKUP(XLOOKUP($Q72,'Threshold Summary'!$Y:$Y,'Threshold Summary'!$K:$K,""),'Pokemon Editor'!$A:$A,'Pokemon Editor'!$C:$C,""),mtype=XLOOKUP(XLOOKUP($Q72,'Threshold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Chart'!$B$1:$S$1,0)))),base,IF(OR(cat="Status",pow=0),0,FLOOR(FLOOR(FLOOR((2*XLOOKUP($Q72,'Threshold Summary'!$Y:$Y,'Threshold Summary'!$L:$L,"")/5+2)*pow*atk/def)/50)+2)),modifier,stab*eff,FLOOR(base*modifier*0.85)),0)</f>
        <v/>
      </c>
      <c r="K72" s="3">
        <f>IFERROR(LET(mtype,XLOOKUP($D72,'Move Editor'!$B:$B,'Move Editor'!$C:$C,""),cat,XLOOKUP($D72,'Move Editor'!$B:$B,'Move Editor'!$D:$D,""),pow,XLOOKUP($D72,'Move Editor'!$B:$B,'Move Editor'!$E:$E,0),acc,XLOOKUP($D72,'Move Editor'!$B:$B,'Move Editor'!$F:$F,100),atk,IF(cat="Physical",FLOOR((FLOOR(((2*XLOOKUP(XLOOKUP($Q72,'Threshold Summary'!$Y:$Y,'Threshold Summary'!$K:$K,""),'Pokemon Editor'!$A:$A,'Pokemon Editor'!$F:$F,0)+31+FLOOR(XLOOKUP($Q72,'Threshold Summary'!$Y:$Y,'Threshold Summary'!$P:$P,"")/4))*XLOOKUP($Q72,'Threshold Summary'!$Y:$Y,'Threshold Summary'!$L:$L,""))/100)+5)*XLOOKUP(XLOOKUP($Q72,'Threshold Summary'!$Y:$Y,'Threshold Summary'!$M:$M,""),'Nature Editor'!$A:$A,'Nature Editor'!$B:$B,1)),FLOOR((FLOOR(((2*XLOOKUP(XLOOKUP($Q72,'Threshold Summary'!$Y:$Y,'Threshold Summary'!$K:$K,""),'Pokemon Editor'!$A:$A,'Pokemon Editor'!$H:$H,0)+31+FLOOR(XLOOKUP($Q72,'Threshold Summary'!$Y:$Y,'Threshold Summary'!$R:$R,"")/4))*XLOOKUP($Q72,'Threshold Summary'!$Y:$Y,'Threshold Summary'!$L:$L,""))/100)+5)*XLOOKUP(XLOOKUP($Q72,'Threshold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Editor'!$E:$E,1))),stab,IF(OR(mtype=XLOOKUP(XLOOKUP($Q72,'Threshold Summary'!$Y:$Y,'Threshold Summary'!$K:$K,""),'Pokemon Editor'!$A:$A,'Pokemon Editor'!$C:$C,""),mtype=XLOOKUP(XLOOKUP($Q72,'Threshold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Chart'!$B$1:$S$1,0)))),base,IF(OR(cat="Status",pow=0),0,FLOOR(FLOOR(FLOOR((2*XLOOKUP($Q72,'Threshold Summary'!$Y:$Y,'Threshold Summary'!$L:$L,"")/5+2)*pow*atk/def)/50)+2)),modifier,stab*eff,FLOOR(base*modifier)),0)</f>
        <v/>
      </c>
      <c r="L72" s="3">
        <f>IFERROR(LET(mtype,XLOOKUP($D72,'Move Editor'!$B:$B,'Move Editor'!$C:$C,""),cat,XLOOKUP($D72,'Move Editor'!$B:$B,'Move Editor'!$D:$D,""),pow,XLOOKUP($D72,'Move Editor'!$B:$B,'Move Editor'!$E:$E,0),acc,XLOOKUP($D72,'Move Editor'!$B:$B,'Move Editor'!$F:$F,100),atk,IF(cat="Physical",FLOOR((FLOOR(((2*XLOOKUP(XLOOKUP($Q72,'Threshold Summary'!$Y:$Y,'Threshold Summary'!$K:$K,""),'Pokemon Editor'!$A:$A,'Pokemon Editor'!$F:$F,0)+31+FLOOR(XLOOKUP($Q72,'Threshold Summary'!$Y:$Y,'Threshold Summary'!$P:$P,"")/4))*XLOOKUP($Q72,'Threshold Summary'!$Y:$Y,'Threshold Summary'!$L:$L,""))/100)+5)*XLOOKUP(XLOOKUP($Q72,'Threshold Summary'!$Y:$Y,'Threshold Summary'!$M:$M,""),'Nature Editor'!$A:$A,'Nature Editor'!$B:$B,1)),FLOOR((FLOOR(((2*XLOOKUP(XLOOKUP($Q72,'Threshold Summary'!$Y:$Y,'Threshold Summary'!$K:$K,""),'Pokemon Editor'!$A:$A,'Pokemon Editor'!$H:$H,0)+31+FLOOR(XLOOKUP($Q72,'Threshold Summary'!$Y:$Y,'Threshold Summary'!$R:$R,"")/4))*XLOOKUP($Q72,'Threshold Summary'!$Y:$Y,'Threshold Summary'!$L:$L,""))/100)+5)*XLOOKUP(XLOOKUP($Q72,'Threshold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Editor'!$E:$E,1))),stab,IF(OR(mtype=XLOOKUP(XLOOKUP($Q72,'Threshold Summary'!$Y:$Y,'Threshold Summary'!$K:$K,""),'Pokemon Editor'!$A:$A,'Pokemon Editor'!$C:$C,""),mtype=XLOOKUP(XLOOKUP($Q72,'Threshold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Chart'!$B$1:$S$1,0)))),base,IF(OR(cat="Status",pow=0),0,FLOOR(FLOOR(FLOOR((2*XLOOKUP($Q72,'Threshold Summary'!$Y:$Y,'Threshold Summary'!$L:$L,"")/5+2)*pow*atk/def)/50)+2)),modifier,stab*eff,AVERAGE(ARRAYFORMULA(FLOOR(base*modifier*SEQUENCE(16,1,85,1)/100)))),0)</f>
        <v/>
      </c>
      <c r="M72" s="3">
        <f>IFERROR(LET(mtype,XLOOKUP($D72,'Move Editor'!$B:$B,'Move Editor'!$C:$C,""),cat,XLOOKUP($D72,'Move Editor'!$B:$B,'Move Editor'!$D:$D,""),pow,XLOOKUP($D72,'Move Editor'!$B:$B,'Move Editor'!$E:$E,0),acc,XLOOKUP($D72,'Move Editor'!$B:$B,'Move Editor'!$F:$F,100),atk,IF(cat="Physical",FLOOR((FLOOR(((2*XLOOKUP(XLOOKUP($Q72,'Threshold Summary'!$Y:$Y,'Threshold Summary'!$K:$K,""),'Pokemon Editor'!$A:$A,'Pokemon Editor'!$F:$F,0)+31+FLOOR(XLOOKUP($Q72,'Threshold Summary'!$Y:$Y,'Threshold Summary'!$P:$P,"")/4))*XLOOKUP($Q72,'Threshold Summary'!$Y:$Y,'Threshold Summary'!$L:$L,""))/100)+5)*XLOOKUP(XLOOKUP($Q72,'Threshold Summary'!$Y:$Y,'Threshold Summary'!$M:$M,""),'Nature Editor'!$A:$A,'Nature Editor'!$B:$B,1)),FLOOR((FLOOR(((2*XLOOKUP(XLOOKUP($Q72,'Threshold Summary'!$Y:$Y,'Threshold Summary'!$K:$K,""),'Pokemon Editor'!$A:$A,'Pokemon Editor'!$H:$H,0)+31+FLOOR(XLOOKUP($Q72,'Threshold Summary'!$Y:$Y,'Threshold Summary'!$R:$R,"")/4))*XLOOKUP($Q72,'Threshold Summary'!$Y:$Y,'Threshold Summary'!$L:$L,""))/100)+5)*XLOOKUP(XLOOKUP($Q72,'Threshold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Editor'!$E:$E,1))),stab,IF(OR(mtype=XLOOKUP(XLOOKUP($Q72,'Threshold Summary'!$Y:$Y,'Threshold Summary'!$K:$K,""),'Pokemon Editor'!$A:$A,'Pokemon Editor'!$C:$C,""),mtype=XLOOKUP(XLOOKUP($Q72,'Threshold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Chart'!$B$1:$S$1,0)))),base,IF(OR(cat="Status",pow=0),0,FLOOR(FLOOR(FLOOR((2*XLOOKUP($Q72,'Threshold Summary'!$Y:$Y,'Threshold Summary'!$L:$L,"")/5+2)*pow*atk/def)/50)+2)),modifier,stab*eff,AVERAGE(ARRAYFORMULA(FLOOR(base*modifier*SEQUENCE(16,1,85,1)/100)))*MIN(1,acc/100)),0)</f>
        <v/>
      </c>
      <c r="N72" s="4">
        <f>IFERROR(LET(mtype,XLOOKUP($D72,'Move Editor'!$B:$B,'Move Editor'!$C:$C,""),cat,XLOOKUP($D72,'Move Editor'!$B:$B,'Move Editor'!$D:$D,""),pow,XLOOKUP($D72,'Move Editor'!$B:$B,'Move Editor'!$E:$E,0),acc,XLOOKUP($D72,'Move Editor'!$B:$B,'Move Editor'!$F:$F,100),atk,IF(cat="Physical",FLOOR((FLOOR(((2*XLOOKUP(XLOOKUP($Q72,'Threshold Summary'!$Y:$Y,'Threshold Summary'!$K:$K,""),'Pokemon Editor'!$A:$A,'Pokemon Editor'!$F:$F,0)+31+FLOOR(XLOOKUP($Q72,'Threshold Summary'!$Y:$Y,'Threshold Summary'!$P:$P,"")/4))*XLOOKUP($Q72,'Threshold Summary'!$Y:$Y,'Threshold Summary'!$L:$L,""))/100)+5)*XLOOKUP(XLOOKUP($Q72,'Threshold Summary'!$Y:$Y,'Threshold Summary'!$M:$M,""),'Nature Editor'!$A:$A,'Nature Editor'!$B:$B,1)),FLOOR((FLOOR(((2*XLOOKUP(XLOOKUP($Q72,'Threshold Summary'!$Y:$Y,'Threshold Summary'!$K:$K,""),'Pokemon Editor'!$A:$A,'Pokemon Editor'!$H:$H,0)+31+FLOOR(XLOOKUP($Q72,'Threshold Summary'!$Y:$Y,'Threshold Summary'!$R:$R,"")/4))*XLOOKUP($Q72,'Threshold Summary'!$Y:$Y,'Threshold Summary'!$L:$L,""))/100)+5)*XLOOKUP(XLOOKUP($Q72,'Threshold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Editor'!$E:$E,1))),stab,IF(OR(mtype=XLOOKUP(XLOOKUP($Q72,'Threshold Summary'!$Y:$Y,'Threshold Summary'!$K:$K,""),'Pokemon Editor'!$A:$A,'Pokemon Editor'!$C:$C,""),mtype=XLOOKUP(XLOOKUP($Q72,'Threshold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Chart'!$B$1:$S$1,0)))),base,IF(OR(cat="Status",pow=0),0,FLOOR(FLOOR(FLOOR((2*XLOOKUP($Q72,'Threshold Summary'!$Y:$Y,'Threshold Summary'!$L:$L,"")/5+2)*pow*atk/def)/50)+2)),modifier,stab*eff,AVERAGE(ARRAYFORMULA(FLOOR(base*modifier*SEQUENCE(16,1,85,1)/100)))/(FLOOR(((2*XLOOKUP('Boss Editor'!$C$4,'Pokemon Editor'!$A:$A,'Pokemon Editor'!$E:$E,0)+31+FLOOR('Boss Editor'!$G$4/4))*'Boss Editor'!$D$4)/100)+'Boss Editor'!$D$4+10)),0)</f>
        <v/>
      </c>
      <c r="O72" s="3">
        <f>IF(N72&gt;=1,"OHKO",IF(N72&gt;=0.5,"2HKO",IF(N72&gt;=0.333,"3HKO",IF(N72&gt;=0.25,"4HKO","5HKO+"))))</f>
        <v/>
      </c>
      <c r="P72" s="3" t="inlineStr">
        <is>
          <t>Live from editable databases</t>
        </is>
      </c>
      <c r="Q72" s="3" t="inlineStr">
        <is>
          <t>SPECIES_MAREEP</t>
        </is>
      </c>
      <c r="R72" s="3" t="n">
        <v>7</v>
      </c>
    </row>
    <row r="73">
      <c r="A73" s="3">
        <f>XLOOKUP($Q73,'Threshold Summary'!$Y:$Y,'Threshold Summary'!$A:$A,"")</f>
        <v/>
      </c>
      <c r="B73" s="3">
        <f>XLOOKUP($Q73,'Threshold Summary'!$Y:$Y,'Threshold Summary'!$M:$M,"")</f>
        <v/>
      </c>
      <c r="C73" s="3">
        <f>XLOOKUP($Q73,'Threshold Summary'!$Y:$Y,'Threshold Summary'!$N:$N,"")</f>
        <v/>
      </c>
      <c r="D73" s="3">
        <f>IFERROR(INDEX(FILTER('Learnset Editor'!$D$2:$D,'Learnset Editor'!$A$2:$A=XLOOKUP($Q73,'Threshold Summary'!$Y:$Y,'Threshold Summary'!$K:$K,""),'Learnset Editor'!$C$2:$C&lt;=XLOOKUP($Q73,'Threshold Summary'!$Y:$Y,'Threshold Summary'!$L:$L,"")),$R73),"")</f>
        <v/>
      </c>
      <c r="E73" s="3">
        <f>XLOOKUP(D73,'Move Editor'!$B:$B,'Move Editor'!$C:$C,"")</f>
        <v/>
      </c>
      <c r="F73" s="3">
        <f>XLOOKUP(D73,'Move Editor'!$B:$B,'Move Editor'!$D:$D,"")</f>
        <v/>
      </c>
      <c r="G73" s="3">
        <f>XLOOKUP(D73,'Move Editor'!$B:$B,'Move Editor'!$E:$E,0)</f>
        <v/>
      </c>
      <c r="H73" s="3">
        <f>XLOOKUP(D73,'Move Editor'!$B:$B,'Move Editor'!$F:$F,0)</f>
        <v/>
      </c>
      <c r="I73" s="3">
        <f>(INDEX('Type Chart'!$B:$S,MATCH(E73,'Type Chart'!$A:$A,0),MATCH(XLOOKUP('Boss Editor'!$C$4,'Pokemon Editor'!$A:$A,'Pokemon Editor'!$C:$C,""),'Type Chart'!$B$1:$S$1,0))*IF(XLOOKUP('Boss Editor'!$C$4,'Pokemon Editor'!$A:$A,'Pokemon Editor'!$D:$D,"")="",1,INDEX('Type Chart'!$B:$S,MATCH(E73,'Type Chart'!$A:$A,0),MATCH(XLOOKUP('Boss Editor'!$C$4,'Pokemon Editor'!$A:$A,'Pokemon Editor'!$D:$D,""),'Type Chart'!$B$1:$S$1,0))))</f>
        <v/>
      </c>
      <c r="J73" s="3">
        <f>IFERROR(LET(mtype,XLOOKUP($D73,'Move Editor'!$B:$B,'Move Editor'!$C:$C,""),cat,XLOOKUP($D73,'Move Editor'!$B:$B,'Move Editor'!$D:$D,""),pow,XLOOKUP($D73,'Move Editor'!$B:$B,'Move Editor'!$E:$E,0),acc,XLOOKUP($D73,'Move Editor'!$B:$B,'Move Editor'!$F:$F,100),atk,IF(cat="Physical",FLOOR((FLOOR(((2*XLOOKUP(XLOOKUP($Q73,'Threshold Summary'!$Y:$Y,'Threshold Summary'!$K:$K,""),'Pokemon Editor'!$A:$A,'Pokemon Editor'!$F:$F,0)+31+FLOOR(XLOOKUP($Q73,'Threshold Summary'!$Y:$Y,'Threshold Summary'!$P:$P,"")/4))*XLOOKUP($Q73,'Threshold Summary'!$Y:$Y,'Threshold Summary'!$L:$L,""))/100)+5)*XLOOKUP(XLOOKUP($Q73,'Threshold Summary'!$Y:$Y,'Threshold Summary'!$M:$M,""),'Nature Editor'!$A:$A,'Nature Editor'!$B:$B,1)),FLOOR((FLOOR(((2*XLOOKUP(XLOOKUP($Q73,'Threshold Summary'!$Y:$Y,'Threshold Summary'!$K:$K,""),'Pokemon Editor'!$A:$A,'Pokemon Editor'!$H:$H,0)+31+FLOOR(XLOOKUP($Q73,'Threshold Summary'!$Y:$Y,'Threshold Summary'!$R:$R,"")/4))*XLOOKUP($Q73,'Threshold Summary'!$Y:$Y,'Threshold Summary'!$L:$L,""))/100)+5)*XLOOKUP(XLOOKUP($Q73,'Threshold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Editor'!$E:$E,1))),stab,IF(OR(mtype=XLOOKUP(XLOOKUP($Q73,'Threshold Summary'!$Y:$Y,'Threshold Summary'!$K:$K,""),'Pokemon Editor'!$A:$A,'Pokemon Editor'!$C:$C,""),mtype=XLOOKUP(XLOOKUP($Q73,'Threshold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Chart'!$B$1:$S$1,0)))),base,IF(OR(cat="Status",pow=0),0,FLOOR(FLOOR(FLOOR((2*XLOOKUP($Q73,'Threshold Summary'!$Y:$Y,'Threshold Summary'!$L:$L,"")/5+2)*pow*atk/def)/50)+2)),modifier,stab*eff,FLOOR(base*modifier*0.85)),0)</f>
        <v/>
      </c>
      <c r="K73" s="3">
        <f>IFERROR(LET(mtype,XLOOKUP($D73,'Move Editor'!$B:$B,'Move Editor'!$C:$C,""),cat,XLOOKUP($D73,'Move Editor'!$B:$B,'Move Editor'!$D:$D,""),pow,XLOOKUP($D73,'Move Editor'!$B:$B,'Move Editor'!$E:$E,0),acc,XLOOKUP($D73,'Move Editor'!$B:$B,'Move Editor'!$F:$F,100),atk,IF(cat="Physical",FLOOR((FLOOR(((2*XLOOKUP(XLOOKUP($Q73,'Threshold Summary'!$Y:$Y,'Threshold Summary'!$K:$K,""),'Pokemon Editor'!$A:$A,'Pokemon Editor'!$F:$F,0)+31+FLOOR(XLOOKUP($Q73,'Threshold Summary'!$Y:$Y,'Threshold Summary'!$P:$P,"")/4))*XLOOKUP($Q73,'Threshold Summary'!$Y:$Y,'Threshold Summary'!$L:$L,""))/100)+5)*XLOOKUP(XLOOKUP($Q73,'Threshold Summary'!$Y:$Y,'Threshold Summary'!$M:$M,""),'Nature Editor'!$A:$A,'Nature Editor'!$B:$B,1)),FLOOR((FLOOR(((2*XLOOKUP(XLOOKUP($Q73,'Threshold Summary'!$Y:$Y,'Threshold Summary'!$K:$K,""),'Pokemon Editor'!$A:$A,'Pokemon Editor'!$H:$H,0)+31+FLOOR(XLOOKUP($Q73,'Threshold Summary'!$Y:$Y,'Threshold Summary'!$R:$R,"")/4))*XLOOKUP($Q73,'Threshold Summary'!$Y:$Y,'Threshold Summary'!$L:$L,""))/100)+5)*XLOOKUP(XLOOKUP($Q73,'Threshold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Editor'!$E:$E,1))),stab,IF(OR(mtype=XLOOKUP(XLOOKUP($Q73,'Threshold Summary'!$Y:$Y,'Threshold Summary'!$K:$K,""),'Pokemon Editor'!$A:$A,'Pokemon Editor'!$C:$C,""),mtype=XLOOKUP(XLOOKUP($Q73,'Threshold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Chart'!$B$1:$S$1,0)))),base,IF(OR(cat="Status",pow=0),0,FLOOR(FLOOR(FLOOR((2*XLOOKUP($Q73,'Threshold Summary'!$Y:$Y,'Threshold Summary'!$L:$L,"")/5+2)*pow*atk/def)/50)+2)),modifier,stab*eff,FLOOR(base*modifier)),0)</f>
        <v/>
      </c>
      <c r="L73" s="3">
        <f>IFERROR(LET(mtype,XLOOKUP($D73,'Move Editor'!$B:$B,'Move Editor'!$C:$C,""),cat,XLOOKUP($D73,'Move Editor'!$B:$B,'Move Editor'!$D:$D,""),pow,XLOOKUP($D73,'Move Editor'!$B:$B,'Move Editor'!$E:$E,0),acc,XLOOKUP($D73,'Move Editor'!$B:$B,'Move Editor'!$F:$F,100),atk,IF(cat="Physical",FLOOR((FLOOR(((2*XLOOKUP(XLOOKUP($Q73,'Threshold Summary'!$Y:$Y,'Threshold Summary'!$K:$K,""),'Pokemon Editor'!$A:$A,'Pokemon Editor'!$F:$F,0)+31+FLOOR(XLOOKUP($Q73,'Threshold Summary'!$Y:$Y,'Threshold Summary'!$P:$P,"")/4))*XLOOKUP($Q73,'Threshold Summary'!$Y:$Y,'Threshold Summary'!$L:$L,""))/100)+5)*XLOOKUP(XLOOKUP($Q73,'Threshold Summary'!$Y:$Y,'Threshold Summary'!$M:$M,""),'Nature Editor'!$A:$A,'Nature Editor'!$B:$B,1)),FLOOR((FLOOR(((2*XLOOKUP(XLOOKUP($Q73,'Threshold Summary'!$Y:$Y,'Threshold Summary'!$K:$K,""),'Pokemon Editor'!$A:$A,'Pokemon Editor'!$H:$H,0)+31+FLOOR(XLOOKUP($Q73,'Threshold Summary'!$Y:$Y,'Threshold Summary'!$R:$R,"")/4))*XLOOKUP($Q73,'Threshold Summary'!$Y:$Y,'Threshold Summary'!$L:$L,""))/100)+5)*XLOOKUP(XLOOKUP($Q73,'Threshold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Editor'!$E:$E,1))),stab,IF(OR(mtype=XLOOKUP(XLOOKUP($Q73,'Threshold Summary'!$Y:$Y,'Threshold Summary'!$K:$K,""),'Pokemon Editor'!$A:$A,'Pokemon Editor'!$C:$C,""),mtype=XLOOKUP(XLOOKUP($Q73,'Threshold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Chart'!$B$1:$S$1,0)))),base,IF(OR(cat="Status",pow=0),0,FLOOR(FLOOR(FLOOR((2*XLOOKUP($Q73,'Threshold Summary'!$Y:$Y,'Threshold Summary'!$L:$L,"")/5+2)*pow*atk/def)/50)+2)),modifier,stab*eff,AVERAGE(ARRAYFORMULA(FLOOR(base*modifier*SEQUENCE(16,1,85,1)/100)))),0)</f>
        <v/>
      </c>
      <c r="M73" s="3">
        <f>IFERROR(LET(mtype,XLOOKUP($D73,'Move Editor'!$B:$B,'Move Editor'!$C:$C,""),cat,XLOOKUP($D73,'Move Editor'!$B:$B,'Move Editor'!$D:$D,""),pow,XLOOKUP($D73,'Move Editor'!$B:$B,'Move Editor'!$E:$E,0),acc,XLOOKUP($D73,'Move Editor'!$B:$B,'Move Editor'!$F:$F,100),atk,IF(cat="Physical",FLOOR((FLOOR(((2*XLOOKUP(XLOOKUP($Q73,'Threshold Summary'!$Y:$Y,'Threshold Summary'!$K:$K,""),'Pokemon Editor'!$A:$A,'Pokemon Editor'!$F:$F,0)+31+FLOOR(XLOOKUP($Q73,'Threshold Summary'!$Y:$Y,'Threshold Summary'!$P:$P,"")/4))*XLOOKUP($Q73,'Threshold Summary'!$Y:$Y,'Threshold Summary'!$L:$L,""))/100)+5)*XLOOKUP(XLOOKUP($Q73,'Threshold Summary'!$Y:$Y,'Threshold Summary'!$M:$M,""),'Nature Editor'!$A:$A,'Nature Editor'!$B:$B,1)),FLOOR((FLOOR(((2*XLOOKUP(XLOOKUP($Q73,'Threshold Summary'!$Y:$Y,'Threshold Summary'!$K:$K,""),'Pokemon Editor'!$A:$A,'Pokemon Editor'!$H:$H,0)+31+FLOOR(XLOOKUP($Q73,'Threshold Summary'!$Y:$Y,'Threshold Summary'!$R:$R,"")/4))*XLOOKUP($Q73,'Threshold Summary'!$Y:$Y,'Threshold Summary'!$L:$L,""))/100)+5)*XLOOKUP(XLOOKUP($Q73,'Threshold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Editor'!$E:$E,1))),stab,IF(OR(mtype=XLOOKUP(XLOOKUP($Q73,'Threshold Summary'!$Y:$Y,'Threshold Summary'!$K:$K,""),'Pokemon Editor'!$A:$A,'Pokemon Editor'!$C:$C,""),mtype=XLOOKUP(XLOOKUP($Q73,'Threshold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Chart'!$B$1:$S$1,0)))),base,IF(OR(cat="Status",pow=0),0,FLOOR(FLOOR(FLOOR((2*XLOOKUP($Q73,'Threshold Summary'!$Y:$Y,'Threshold Summary'!$L:$L,"")/5+2)*pow*atk/def)/50)+2)),modifier,stab*eff,AVERAGE(ARRAYFORMULA(FLOOR(base*modifier*SEQUENCE(16,1,85,1)/100)))*MIN(1,acc/100)),0)</f>
        <v/>
      </c>
      <c r="N73" s="4">
        <f>IFERROR(LET(mtype,XLOOKUP($D73,'Move Editor'!$B:$B,'Move Editor'!$C:$C,""),cat,XLOOKUP($D73,'Move Editor'!$B:$B,'Move Editor'!$D:$D,""),pow,XLOOKUP($D73,'Move Editor'!$B:$B,'Move Editor'!$E:$E,0),acc,XLOOKUP($D73,'Move Editor'!$B:$B,'Move Editor'!$F:$F,100),atk,IF(cat="Physical",FLOOR((FLOOR(((2*XLOOKUP(XLOOKUP($Q73,'Threshold Summary'!$Y:$Y,'Threshold Summary'!$K:$K,""),'Pokemon Editor'!$A:$A,'Pokemon Editor'!$F:$F,0)+31+FLOOR(XLOOKUP($Q73,'Threshold Summary'!$Y:$Y,'Threshold Summary'!$P:$P,"")/4))*XLOOKUP($Q73,'Threshold Summary'!$Y:$Y,'Threshold Summary'!$L:$L,""))/100)+5)*XLOOKUP(XLOOKUP($Q73,'Threshold Summary'!$Y:$Y,'Threshold Summary'!$M:$M,""),'Nature Editor'!$A:$A,'Nature Editor'!$B:$B,1)),FLOOR((FLOOR(((2*XLOOKUP(XLOOKUP($Q73,'Threshold Summary'!$Y:$Y,'Threshold Summary'!$K:$K,""),'Pokemon Editor'!$A:$A,'Pokemon Editor'!$H:$H,0)+31+FLOOR(XLOOKUP($Q73,'Threshold Summary'!$Y:$Y,'Threshold Summary'!$R:$R,"")/4))*XLOOKUP($Q73,'Threshold Summary'!$Y:$Y,'Threshold Summary'!$L:$L,""))/100)+5)*XLOOKUP(XLOOKUP($Q73,'Threshold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Editor'!$E:$E,1))),stab,IF(OR(mtype=XLOOKUP(XLOOKUP($Q73,'Threshold Summary'!$Y:$Y,'Threshold Summary'!$K:$K,""),'Pokemon Editor'!$A:$A,'Pokemon Editor'!$C:$C,""),mtype=XLOOKUP(XLOOKUP($Q73,'Threshold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Chart'!$B$1:$S$1,0)))),base,IF(OR(cat="Status",pow=0),0,FLOOR(FLOOR(FLOOR((2*XLOOKUP($Q73,'Threshold Summary'!$Y:$Y,'Threshold Summary'!$L:$L,"")/5+2)*pow*atk/def)/50)+2)),modifier,stab*eff,AVERAGE(ARRAYFORMULA(FLOOR(base*modifier*SEQUENCE(16,1,85,1)/100)))/(FLOOR(((2*XLOOKUP('Boss Editor'!$C$4,'Pokemon Editor'!$A:$A,'Pokemon Editor'!$E:$E,0)+31+FLOOR('Boss Editor'!$G$4/4))*'Boss Editor'!$D$4)/100)+'Boss Editor'!$D$4+10)),0)</f>
        <v/>
      </c>
      <c r="O73" s="3">
        <f>IF(N73&gt;=1,"OHKO",IF(N73&gt;=0.5,"2HKO",IF(N73&gt;=0.333,"3HKO",IF(N73&gt;=0.25,"4HKO","5HKO+"))))</f>
        <v/>
      </c>
      <c r="P73" s="3" t="inlineStr">
        <is>
          <t>Live from editable databases</t>
        </is>
      </c>
      <c r="Q73" s="3" t="inlineStr">
        <is>
          <t>SPECIES_MAREEP</t>
        </is>
      </c>
      <c r="R73" s="3" t="n">
        <v>8</v>
      </c>
    </row>
    <row r="74">
      <c r="A74" s="3">
        <f>XLOOKUP($Q74,'Threshold Summary'!$Y:$Y,'Threshold Summary'!$A:$A,"")</f>
        <v/>
      </c>
      <c r="B74" s="3">
        <f>XLOOKUP($Q74,'Threshold Summary'!$Y:$Y,'Threshold Summary'!$M:$M,"")</f>
        <v/>
      </c>
      <c r="C74" s="3">
        <f>XLOOKUP($Q74,'Threshold Summary'!$Y:$Y,'Threshold Summary'!$N:$N,"")</f>
        <v/>
      </c>
      <c r="D74" s="3">
        <f>IFERROR(INDEX(FILTER('Learnset Editor'!$D$2:$D,'Learnset Editor'!$A$2:$A=XLOOKUP($Q74,'Threshold Summary'!$Y:$Y,'Threshold Summary'!$K:$K,""),'Learnset Editor'!$C$2:$C&lt;=XLOOKUP($Q74,'Threshold Summary'!$Y:$Y,'Threshold Summary'!$L:$L,"")),$R74),"")</f>
        <v/>
      </c>
      <c r="E74" s="3">
        <f>XLOOKUP(D74,'Move Editor'!$B:$B,'Move Editor'!$C:$C,"")</f>
        <v/>
      </c>
      <c r="F74" s="3">
        <f>XLOOKUP(D74,'Move Editor'!$B:$B,'Move Editor'!$D:$D,"")</f>
        <v/>
      </c>
      <c r="G74" s="3">
        <f>XLOOKUP(D74,'Move Editor'!$B:$B,'Move Editor'!$E:$E,0)</f>
        <v/>
      </c>
      <c r="H74" s="3">
        <f>XLOOKUP(D74,'Move Editor'!$B:$B,'Move Editor'!$F:$F,0)</f>
        <v/>
      </c>
      <c r="I74" s="3">
        <f>(INDEX('Type Chart'!$B:$S,MATCH(E74,'Type Chart'!$A:$A,0),MATCH(XLOOKUP('Boss Editor'!$C$4,'Pokemon Editor'!$A:$A,'Pokemon Editor'!$C:$C,""),'Type Chart'!$B$1:$S$1,0))*IF(XLOOKUP('Boss Editor'!$C$4,'Pokemon Editor'!$A:$A,'Pokemon Editor'!$D:$D,"")="",1,INDEX('Type Chart'!$B:$S,MATCH(E74,'Type Chart'!$A:$A,0),MATCH(XLOOKUP('Boss Editor'!$C$4,'Pokemon Editor'!$A:$A,'Pokemon Editor'!$D:$D,""),'Type Chart'!$B$1:$S$1,0))))</f>
        <v/>
      </c>
      <c r="J74" s="3">
        <f>IFERROR(LET(mtype,XLOOKUP($D74,'Move Editor'!$B:$B,'Move Editor'!$C:$C,""),cat,XLOOKUP($D74,'Move Editor'!$B:$B,'Move Editor'!$D:$D,""),pow,XLOOKUP($D74,'Move Editor'!$B:$B,'Move Editor'!$E:$E,0),acc,XLOOKUP($D74,'Move Editor'!$B:$B,'Move Editor'!$F:$F,100),atk,IF(cat="Physical",FLOOR((FLOOR(((2*XLOOKUP(XLOOKUP($Q74,'Threshold Summary'!$Y:$Y,'Threshold Summary'!$K:$K,""),'Pokemon Editor'!$A:$A,'Pokemon Editor'!$F:$F,0)+31+FLOOR(XLOOKUP($Q74,'Threshold Summary'!$Y:$Y,'Threshold Summary'!$P:$P,"")/4))*XLOOKUP($Q74,'Threshold Summary'!$Y:$Y,'Threshold Summary'!$L:$L,""))/100)+5)*XLOOKUP(XLOOKUP($Q74,'Threshold Summary'!$Y:$Y,'Threshold Summary'!$M:$M,""),'Nature Editor'!$A:$A,'Nature Editor'!$B:$B,1)),FLOOR((FLOOR(((2*XLOOKUP(XLOOKUP($Q74,'Threshold Summary'!$Y:$Y,'Threshold Summary'!$K:$K,""),'Pokemon Editor'!$A:$A,'Pokemon Editor'!$H:$H,0)+31+FLOOR(XLOOKUP($Q74,'Threshold Summary'!$Y:$Y,'Threshold Summary'!$R:$R,"")/4))*XLOOKUP($Q74,'Threshold Summary'!$Y:$Y,'Threshold Summary'!$L:$L,""))/100)+5)*XLOOKUP(XLOOKUP($Q74,'Threshold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Editor'!$E:$E,1))),stab,IF(OR(mtype=XLOOKUP(XLOOKUP($Q74,'Threshold Summary'!$Y:$Y,'Threshold Summary'!$K:$K,""),'Pokemon Editor'!$A:$A,'Pokemon Editor'!$C:$C,""),mtype=XLOOKUP(XLOOKUP($Q74,'Threshold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Chart'!$B$1:$S$1,0)))),base,IF(OR(cat="Status",pow=0),0,FLOOR(FLOOR(FLOOR((2*XLOOKUP($Q74,'Threshold Summary'!$Y:$Y,'Threshold Summary'!$L:$L,"")/5+2)*pow*atk/def)/50)+2)),modifier,stab*eff,FLOOR(base*modifier*0.85)),0)</f>
        <v/>
      </c>
      <c r="K74" s="3">
        <f>IFERROR(LET(mtype,XLOOKUP($D74,'Move Editor'!$B:$B,'Move Editor'!$C:$C,""),cat,XLOOKUP($D74,'Move Editor'!$B:$B,'Move Editor'!$D:$D,""),pow,XLOOKUP($D74,'Move Editor'!$B:$B,'Move Editor'!$E:$E,0),acc,XLOOKUP($D74,'Move Editor'!$B:$B,'Move Editor'!$F:$F,100),atk,IF(cat="Physical",FLOOR((FLOOR(((2*XLOOKUP(XLOOKUP($Q74,'Threshold Summary'!$Y:$Y,'Threshold Summary'!$K:$K,""),'Pokemon Editor'!$A:$A,'Pokemon Editor'!$F:$F,0)+31+FLOOR(XLOOKUP($Q74,'Threshold Summary'!$Y:$Y,'Threshold Summary'!$P:$P,"")/4))*XLOOKUP($Q74,'Threshold Summary'!$Y:$Y,'Threshold Summary'!$L:$L,""))/100)+5)*XLOOKUP(XLOOKUP($Q74,'Threshold Summary'!$Y:$Y,'Threshold Summary'!$M:$M,""),'Nature Editor'!$A:$A,'Nature Editor'!$B:$B,1)),FLOOR((FLOOR(((2*XLOOKUP(XLOOKUP($Q74,'Threshold Summary'!$Y:$Y,'Threshold Summary'!$K:$K,""),'Pokemon Editor'!$A:$A,'Pokemon Editor'!$H:$H,0)+31+FLOOR(XLOOKUP($Q74,'Threshold Summary'!$Y:$Y,'Threshold Summary'!$R:$R,"")/4))*XLOOKUP($Q74,'Threshold Summary'!$Y:$Y,'Threshold Summary'!$L:$L,""))/100)+5)*XLOOKUP(XLOOKUP($Q74,'Threshold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Editor'!$E:$E,1))),stab,IF(OR(mtype=XLOOKUP(XLOOKUP($Q74,'Threshold Summary'!$Y:$Y,'Threshold Summary'!$K:$K,""),'Pokemon Editor'!$A:$A,'Pokemon Editor'!$C:$C,""),mtype=XLOOKUP(XLOOKUP($Q74,'Threshold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Chart'!$B$1:$S$1,0)))),base,IF(OR(cat="Status",pow=0),0,FLOOR(FLOOR(FLOOR((2*XLOOKUP($Q74,'Threshold Summary'!$Y:$Y,'Threshold Summary'!$L:$L,"")/5+2)*pow*atk/def)/50)+2)),modifier,stab*eff,FLOOR(base*modifier)),0)</f>
        <v/>
      </c>
      <c r="L74" s="3">
        <f>IFERROR(LET(mtype,XLOOKUP($D74,'Move Editor'!$B:$B,'Move Editor'!$C:$C,""),cat,XLOOKUP($D74,'Move Editor'!$B:$B,'Move Editor'!$D:$D,""),pow,XLOOKUP($D74,'Move Editor'!$B:$B,'Move Editor'!$E:$E,0),acc,XLOOKUP($D74,'Move Editor'!$B:$B,'Move Editor'!$F:$F,100),atk,IF(cat="Physical",FLOOR((FLOOR(((2*XLOOKUP(XLOOKUP($Q74,'Threshold Summary'!$Y:$Y,'Threshold Summary'!$K:$K,""),'Pokemon Editor'!$A:$A,'Pokemon Editor'!$F:$F,0)+31+FLOOR(XLOOKUP($Q74,'Threshold Summary'!$Y:$Y,'Threshold Summary'!$P:$P,"")/4))*XLOOKUP($Q74,'Threshold Summary'!$Y:$Y,'Threshold Summary'!$L:$L,""))/100)+5)*XLOOKUP(XLOOKUP($Q74,'Threshold Summary'!$Y:$Y,'Threshold Summary'!$M:$M,""),'Nature Editor'!$A:$A,'Nature Editor'!$B:$B,1)),FLOOR((FLOOR(((2*XLOOKUP(XLOOKUP($Q74,'Threshold Summary'!$Y:$Y,'Threshold Summary'!$K:$K,""),'Pokemon Editor'!$A:$A,'Pokemon Editor'!$H:$H,0)+31+FLOOR(XLOOKUP($Q74,'Threshold Summary'!$Y:$Y,'Threshold Summary'!$R:$R,"")/4))*XLOOKUP($Q74,'Threshold Summary'!$Y:$Y,'Threshold Summary'!$L:$L,""))/100)+5)*XLOOKUP(XLOOKUP($Q74,'Threshold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Editor'!$E:$E,1))),stab,IF(OR(mtype=XLOOKUP(XLOOKUP($Q74,'Threshold Summary'!$Y:$Y,'Threshold Summary'!$K:$K,""),'Pokemon Editor'!$A:$A,'Pokemon Editor'!$C:$C,""),mtype=XLOOKUP(XLOOKUP($Q74,'Threshold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Chart'!$B$1:$S$1,0)))),base,IF(OR(cat="Status",pow=0),0,FLOOR(FLOOR(FLOOR((2*XLOOKUP($Q74,'Threshold Summary'!$Y:$Y,'Threshold Summary'!$L:$L,"")/5+2)*pow*atk/def)/50)+2)),modifier,stab*eff,AVERAGE(ARRAYFORMULA(FLOOR(base*modifier*SEQUENCE(16,1,85,1)/100)))),0)</f>
        <v/>
      </c>
      <c r="M74" s="3">
        <f>IFERROR(LET(mtype,XLOOKUP($D74,'Move Editor'!$B:$B,'Move Editor'!$C:$C,""),cat,XLOOKUP($D74,'Move Editor'!$B:$B,'Move Editor'!$D:$D,""),pow,XLOOKUP($D74,'Move Editor'!$B:$B,'Move Editor'!$E:$E,0),acc,XLOOKUP($D74,'Move Editor'!$B:$B,'Move Editor'!$F:$F,100),atk,IF(cat="Physical",FLOOR((FLOOR(((2*XLOOKUP(XLOOKUP($Q74,'Threshold Summary'!$Y:$Y,'Threshold Summary'!$K:$K,""),'Pokemon Editor'!$A:$A,'Pokemon Editor'!$F:$F,0)+31+FLOOR(XLOOKUP($Q74,'Threshold Summary'!$Y:$Y,'Threshold Summary'!$P:$P,"")/4))*XLOOKUP($Q74,'Threshold Summary'!$Y:$Y,'Threshold Summary'!$L:$L,""))/100)+5)*XLOOKUP(XLOOKUP($Q74,'Threshold Summary'!$Y:$Y,'Threshold Summary'!$M:$M,""),'Nature Editor'!$A:$A,'Nature Editor'!$B:$B,1)),FLOOR((FLOOR(((2*XLOOKUP(XLOOKUP($Q74,'Threshold Summary'!$Y:$Y,'Threshold Summary'!$K:$K,""),'Pokemon Editor'!$A:$A,'Pokemon Editor'!$H:$H,0)+31+FLOOR(XLOOKUP($Q74,'Threshold Summary'!$Y:$Y,'Threshold Summary'!$R:$R,"")/4))*XLOOKUP($Q74,'Threshold Summary'!$Y:$Y,'Threshold Summary'!$L:$L,""))/100)+5)*XLOOKUP(XLOOKUP($Q74,'Threshold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Editor'!$E:$E,1))),stab,IF(OR(mtype=XLOOKUP(XLOOKUP($Q74,'Threshold Summary'!$Y:$Y,'Threshold Summary'!$K:$K,""),'Pokemon Editor'!$A:$A,'Pokemon Editor'!$C:$C,""),mtype=XLOOKUP(XLOOKUP($Q74,'Threshold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Chart'!$B$1:$S$1,0)))),base,IF(OR(cat="Status",pow=0),0,FLOOR(FLOOR(FLOOR((2*XLOOKUP($Q74,'Threshold Summary'!$Y:$Y,'Threshold Summary'!$L:$L,"")/5+2)*pow*atk/def)/50)+2)),modifier,stab*eff,AVERAGE(ARRAYFORMULA(FLOOR(base*modifier*SEQUENCE(16,1,85,1)/100)))*MIN(1,acc/100)),0)</f>
        <v/>
      </c>
      <c r="N74" s="4">
        <f>IFERROR(LET(mtype,XLOOKUP($D74,'Move Editor'!$B:$B,'Move Editor'!$C:$C,""),cat,XLOOKUP($D74,'Move Editor'!$B:$B,'Move Editor'!$D:$D,""),pow,XLOOKUP($D74,'Move Editor'!$B:$B,'Move Editor'!$E:$E,0),acc,XLOOKUP($D74,'Move Editor'!$B:$B,'Move Editor'!$F:$F,100),atk,IF(cat="Physical",FLOOR((FLOOR(((2*XLOOKUP(XLOOKUP($Q74,'Threshold Summary'!$Y:$Y,'Threshold Summary'!$K:$K,""),'Pokemon Editor'!$A:$A,'Pokemon Editor'!$F:$F,0)+31+FLOOR(XLOOKUP($Q74,'Threshold Summary'!$Y:$Y,'Threshold Summary'!$P:$P,"")/4))*XLOOKUP($Q74,'Threshold Summary'!$Y:$Y,'Threshold Summary'!$L:$L,""))/100)+5)*XLOOKUP(XLOOKUP($Q74,'Threshold Summary'!$Y:$Y,'Threshold Summary'!$M:$M,""),'Nature Editor'!$A:$A,'Nature Editor'!$B:$B,1)),FLOOR((FLOOR(((2*XLOOKUP(XLOOKUP($Q74,'Threshold Summary'!$Y:$Y,'Threshold Summary'!$K:$K,""),'Pokemon Editor'!$A:$A,'Pokemon Editor'!$H:$H,0)+31+FLOOR(XLOOKUP($Q74,'Threshold Summary'!$Y:$Y,'Threshold Summary'!$R:$R,"")/4))*XLOOKUP($Q74,'Threshold Summary'!$Y:$Y,'Threshold Summary'!$L:$L,""))/100)+5)*XLOOKUP(XLOOKUP($Q74,'Threshold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Editor'!$E:$E,1))),stab,IF(OR(mtype=XLOOKUP(XLOOKUP($Q74,'Threshold Summary'!$Y:$Y,'Threshold Summary'!$K:$K,""),'Pokemon Editor'!$A:$A,'Pokemon Editor'!$C:$C,""),mtype=XLOOKUP(XLOOKUP($Q74,'Threshold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Chart'!$B$1:$S$1,0)))),base,IF(OR(cat="Status",pow=0),0,FLOOR(FLOOR(FLOOR((2*XLOOKUP($Q74,'Threshold Summary'!$Y:$Y,'Threshold Summary'!$L:$L,"")/5+2)*pow*atk/def)/50)+2)),modifier,stab*eff,AVERAGE(ARRAYFORMULA(FLOOR(base*modifier*SEQUENCE(16,1,85,1)/100)))/(FLOOR(((2*XLOOKUP('Boss Editor'!$C$4,'Pokemon Editor'!$A:$A,'Pokemon Editor'!$E:$E,0)+31+FLOOR('Boss Editor'!$G$4/4))*'Boss Editor'!$D$4)/100)+'Boss Editor'!$D$4+10)),0)</f>
        <v/>
      </c>
      <c r="O74" s="3">
        <f>IF(N74&gt;=1,"OHKO",IF(N74&gt;=0.5,"2HKO",IF(N74&gt;=0.333,"3HKO",IF(N74&gt;=0.25,"4HKO","5HKO+"))))</f>
        <v/>
      </c>
      <c r="P74" s="3" t="inlineStr">
        <is>
          <t>Live from editable databases</t>
        </is>
      </c>
      <c r="Q74" s="3" t="inlineStr">
        <is>
          <t>SPECIES_MAREEP</t>
        </is>
      </c>
      <c r="R74" s="3" t="n">
        <v>9</v>
      </c>
    </row>
    <row r="75">
      <c r="A75" s="3">
        <f>XLOOKUP($Q75,'Threshold Summary'!$Y:$Y,'Threshold Summary'!$A:$A,"")</f>
        <v/>
      </c>
      <c r="B75" s="3">
        <f>XLOOKUP($Q75,'Threshold Summary'!$Y:$Y,'Threshold Summary'!$M:$M,"")</f>
        <v/>
      </c>
      <c r="C75" s="3">
        <f>XLOOKUP($Q75,'Threshold Summary'!$Y:$Y,'Threshold Summary'!$N:$N,"")</f>
        <v/>
      </c>
      <c r="D75" s="3">
        <f>IFERROR(INDEX(FILTER('Learnset Editor'!$D$2:$D,'Learnset Editor'!$A$2:$A=XLOOKUP($Q75,'Threshold Summary'!$Y:$Y,'Threshold Summary'!$K:$K,""),'Learnset Editor'!$C$2:$C&lt;=XLOOKUP($Q75,'Threshold Summary'!$Y:$Y,'Threshold Summary'!$L:$L,"")),$R75),"")</f>
        <v/>
      </c>
      <c r="E75" s="3">
        <f>XLOOKUP(D75,'Move Editor'!$B:$B,'Move Editor'!$C:$C,"")</f>
        <v/>
      </c>
      <c r="F75" s="3">
        <f>XLOOKUP(D75,'Move Editor'!$B:$B,'Move Editor'!$D:$D,"")</f>
        <v/>
      </c>
      <c r="G75" s="3">
        <f>XLOOKUP(D75,'Move Editor'!$B:$B,'Move Editor'!$E:$E,0)</f>
        <v/>
      </c>
      <c r="H75" s="3">
        <f>XLOOKUP(D75,'Move Editor'!$B:$B,'Move Editor'!$F:$F,0)</f>
        <v/>
      </c>
      <c r="I75" s="3">
        <f>(INDEX('Type Chart'!$B:$S,MATCH(E75,'Type Chart'!$A:$A,0),MATCH(XLOOKUP('Boss Editor'!$C$4,'Pokemon Editor'!$A:$A,'Pokemon Editor'!$C:$C,""),'Type Chart'!$B$1:$S$1,0))*IF(XLOOKUP('Boss Editor'!$C$4,'Pokemon Editor'!$A:$A,'Pokemon Editor'!$D:$D,"")="",1,INDEX('Type Chart'!$B:$S,MATCH(E75,'Type Chart'!$A:$A,0),MATCH(XLOOKUP('Boss Editor'!$C$4,'Pokemon Editor'!$A:$A,'Pokemon Editor'!$D:$D,""),'Type Chart'!$B$1:$S$1,0))))</f>
        <v/>
      </c>
      <c r="J75" s="3">
        <f>IFERROR(LET(mtype,XLOOKUP($D75,'Move Editor'!$B:$B,'Move Editor'!$C:$C,""),cat,XLOOKUP($D75,'Move Editor'!$B:$B,'Move Editor'!$D:$D,""),pow,XLOOKUP($D75,'Move Editor'!$B:$B,'Move Editor'!$E:$E,0),acc,XLOOKUP($D75,'Move Editor'!$B:$B,'Move Editor'!$F:$F,100),atk,IF(cat="Physical",FLOOR((FLOOR(((2*XLOOKUP(XLOOKUP($Q75,'Threshold Summary'!$Y:$Y,'Threshold Summary'!$K:$K,""),'Pokemon Editor'!$A:$A,'Pokemon Editor'!$F:$F,0)+31+FLOOR(XLOOKUP($Q75,'Threshold Summary'!$Y:$Y,'Threshold Summary'!$P:$P,"")/4))*XLOOKUP($Q75,'Threshold Summary'!$Y:$Y,'Threshold Summary'!$L:$L,""))/100)+5)*XLOOKUP(XLOOKUP($Q75,'Threshold Summary'!$Y:$Y,'Threshold Summary'!$M:$M,""),'Nature Editor'!$A:$A,'Nature Editor'!$B:$B,1)),FLOOR((FLOOR(((2*XLOOKUP(XLOOKUP($Q75,'Threshold Summary'!$Y:$Y,'Threshold Summary'!$K:$K,""),'Pokemon Editor'!$A:$A,'Pokemon Editor'!$H:$H,0)+31+FLOOR(XLOOKUP($Q75,'Threshold Summary'!$Y:$Y,'Threshold Summary'!$R:$R,"")/4))*XLOOKUP($Q75,'Threshold Summary'!$Y:$Y,'Threshold Summary'!$L:$L,""))/100)+5)*XLOOKUP(XLOOKUP($Q75,'Threshold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Editor'!$E:$E,1))),stab,IF(OR(mtype=XLOOKUP(XLOOKUP($Q75,'Threshold Summary'!$Y:$Y,'Threshold Summary'!$K:$K,""),'Pokemon Editor'!$A:$A,'Pokemon Editor'!$C:$C,""),mtype=XLOOKUP(XLOOKUP($Q75,'Threshold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Chart'!$B$1:$S$1,0)))),base,IF(OR(cat="Status",pow=0),0,FLOOR(FLOOR(FLOOR((2*XLOOKUP($Q75,'Threshold Summary'!$Y:$Y,'Threshold Summary'!$L:$L,"")/5+2)*pow*atk/def)/50)+2)),modifier,stab*eff,FLOOR(base*modifier*0.85)),0)</f>
        <v/>
      </c>
      <c r="K75" s="3">
        <f>IFERROR(LET(mtype,XLOOKUP($D75,'Move Editor'!$B:$B,'Move Editor'!$C:$C,""),cat,XLOOKUP($D75,'Move Editor'!$B:$B,'Move Editor'!$D:$D,""),pow,XLOOKUP($D75,'Move Editor'!$B:$B,'Move Editor'!$E:$E,0),acc,XLOOKUP($D75,'Move Editor'!$B:$B,'Move Editor'!$F:$F,100),atk,IF(cat="Physical",FLOOR((FLOOR(((2*XLOOKUP(XLOOKUP($Q75,'Threshold Summary'!$Y:$Y,'Threshold Summary'!$K:$K,""),'Pokemon Editor'!$A:$A,'Pokemon Editor'!$F:$F,0)+31+FLOOR(XLOOKUP($Q75,'Threshold Summary'!$Y:$Y,'Threshold Summary'!$P:$P,"")/4))*XLOOKUP($Q75,'Threshold Summary'!$Y:$Y,'Threshold Summary'!$L:$L,""))/100)+5)*XLOOKUP(XLOOKUP($Q75,'Threshold Summary'!$Y:$Y,'Threshold Summary'!$M:$M,""),'Nature Editor'!$A:$A,'Nature Editor'!$B:$B,1)),FLOOR((FLOOR(((2*XLOOKUP(XLOOKUP($Q75,'Threshold Summary'!$Y:$Y,'Threshold Summary'!$K:$K,""),'Pokemon Editor'!$A:$A,'Pokemon Editor'!$H:$H,0)+31+FLOOR(XLOOKUP($Q75,'Threshold Summary'!$Y:$Y,'Threshold Summary'!$R:$R,"")/4))*XLOOKUP($Q75,'Threshold Summary'!$Y:$Y,'Threshold Summary'!$L:$L,""))/100)+5)*XLOOKUP(XLOOKUP($Q75,'Threshold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Editor'!$E:$E,1))),stab,IF(OR(mtype=XLOOKUP(XLOOKUP($Q75,'Threshold Summary'!$Y:$Y,'Threshold Summary'!$K:$K,""),'Pokemon Editor'!$A:$A,'Pokemon Editor'!$C:$C,""),mtype=XLOOKUP(XLOOKUP($Q75,'Threshold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Chart'!$B$1:$S$1,0)))),base,IF(OR(cat="Status",pow=0),0,FLOOR(FLOOR(FLOOR((2*XLOOKUP($Q75,'Threshold Summary'!$Y:$Y,'Threshold Summary'!$L:$L,"")/5+2)*pow*atk/def)/50)+2)),modifier,stab*eff,FLOOR(base*modifier)),0)</f>
        <v/>
      </c>
      <c r="L75" s="3">
        <f>IFERROR(LET(mtype,XLOOKUP($D75,'Move Editor'!$B:$B,'Move Editor'!$C:$C,""),cat,XLOOKUP($D75,'Move Editor'!$B:$B,'Move Editor'!$D:$D,""),pow,XLOOKUP($D75,'Move Editor'!$B:$B,'Move Editor'!$E:$E,0),acc,XLOOKUP($D75,'Move Editor'!$B:$B,'Move Editor'!$F:$F,100),atk,IF(cat="Physical",FLOOR((FLOOR(((2*XLOOKUP(XLOOKUP($Q75,'Threshold Summary'!$Y:$Y,'Threshold Summary'!$K:$K,""),'Pokemon Editor'!$A:$A,'Pokemon Editor'!$F:$F,0)+31+FLOOR(XLOOKUP($Q75,'Threshold Summary'!$Y:$Y,'Threshold Summary'!$P:$P,"")/4))*XLOOKUP($Q75,'Threshold Summary'!$Y:$Y,'Threshold Summary'!$L:$L,""))/100)+5)*XLOOKUP(XLOOKUP($Q75,'Threshold Summary'!$Y:$Y,'Threshold Summary'!$M:$M,""),'Nature Editor'!$A:$A,'Nature Editor'!$B:$B,1)),FLOOR((FLOOR(((2*XLOOKUP(XLOOKUP($Q75,'Threshold Summary'!$Y:$Y,'Threshold Summary'!$K:$K,""),'Pokemon Editor'!$A:$A,'Pokemon Editor'!$H:$H,0)+31+FLOOR(XLOOKUP($Q75,'Threshold Summary'!$Y:$Y,'Threshold Summary'!$R:$R,"")/4))*XLOOKUP($Q75,'Threshold Summary'!$Y:$Y,'Threshold Summary'!$L:$L,""))/100)+5)*XLOOKUP(XLOOKUP($Q75,'Threshold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Editor'!$E:$E,1))),stab,IF(OR(mtype=XLOOKUP(XLOOKUP($Q75,'Threshold Summary'!$Y:$Y,'Threshold Summary'!$K:$K,""),'Pokemon Editor'!$A:$A,'Pokemon Editor'!$C:$C,""),mtype=XLOOKUP(XLOOKUP($Q75,'Threshold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Chart'!$B$1:$S$1,0)))),base,IF(OR(cat="Status",pow=0),0,FLOOR(FLOOR(FLOOR((2*XLOOKUP($Q75,'Threshold Summary'!$Y:$Y,'Threshold Summary'!$L:$L,"")/5+2)*pow*atk/def)/50)+2)),modifier,stab*eff,AVERAGE(ARRAYFORMULA(FLOOR(base*modifier*SEQUENCE(16,1,85,1)/100)))),0)</f>
        <v/>
      </c>
      <c r="M75" s="3">
        <f>IFERROR(LET(mtype,XLOOKUP($D75,'Move Editor'!$B:$B,'Move Editor'!$C:$C,""),cat,XLOOKUP($D75,'Move Editor'!$B:$B,'Move Editor'!$D:$D,""),pow,XLOOKUP($D75,'Move Editor'!$B:$B,'Move Editor'!$E:$E,0),acc,XLOOKUP($D75,'Move Editor'!$B:$B,'Move Editor'!$F:$F,100),atk,IF(cat="Physical",FLOOR((FLOOR(((2*XLOOKUP(XLOOKUP($Q75,'Threshold Summary'!$Y:$Y,'Threshold Summary'!$K:$K,""),'Pokemon Editor'!$A:$A,'Pokemon Editor'!$F:$F,0)+31+FLOOR(XLOOKUP($Q75,'Threshold Summary'!$Y:$Y,'Threshold Summary'!$P:$P,"")/4))*XLOOKUP($Q75,'Threshold Summary'!$Y:$Y,'Threshold Summary'!$L:$L,""))/100)+5)*XLOOKUP(XLOOKUP($Q75,'Threshold Summary'!$Y:$Y,'Threshold Summary'!$M:$M,""),'Nature Editor'!$A:$A,'Nature Editor'!$B:$B,1)),FLOOR((FLOOR(((2*XLOOKUP(XLOOKUP($Q75,'Threshold Summary'!$Y:$Y,'Threshold Summary'!$K:$K,""),'Pokemon Editor'!$A:$A,'Pokemon Editor'!$H:$H,0)+31+FLOOR(XLOOKUP($Q75,'Threshold Summary'!$Y:$Y,'Threshold Summary'!$R:$R,"")/4))*XLOOKUP($Q75,'Threshold Summary'!$Y:$Y,'Threshold Summary'!$L:$L,""))/100)+5)*XLOOKUP(XLOOKUP($Q75,'Threshold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Editor'!$E:$E,1))),stab,IF(OR(mtype=XLOOKUP(XLOOKUP($Q75,'Threshold Summary'!$Y:$Y,'Threshold Summary'!$K:$K,""),'Pokemon Editor'!$A:$A,'Pokemon Editor'!$C:$C,""),mtype=XLOOKUP(XLOOKUP($Q75,'Threshold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Chart'!$B$1:$S$1,0)))),base,IF(OR(cat="Status",pow=0),0,FLOOR(FLOOR(FLOOR((2*XLOOKUP($Q75,'Threshold Summary'!$Y:$Y,'Threshold Summary'!$L:$L,"")/5+2)*pow*atk/def)/50)+2)),modifier,stab*eff,AVERAGE(ARRAYFORMULA(FLOOR(base*modifier*SEQUENCE(16,1,85,1)/100)))*MIN(1,acc/100)),0)</f>
        <v/>
      </c>
      <c r="N75" s="4">
        <f>IFERROR(LET(mtype,XLOOKUP($D75,'Move Editor'!$B:$B,'Move Editor'!$C:$C,""),cat,XLOOKUP($D75,'Move Editor'!$B:$B,'Move Editor'!$D:$D,""),pow,XLOOKUP($D75,'Move Editor'!$B:$B,'Move Editor'!$E:$E,0),acc,XLOOKUP($D75,'Move Editor'!$B:$B,'Move Editor'!$F:$F,100),atk,IF(cat="Physical",FLOOR((FLOOR(((2*XLOOKUP(XLOOKUP($Q75,'Threshold Summary'!$Y:$Y,'Threshold Summary'!$K:$K,""),'Pokemon Editor'!$A:$A,'Pokemon Editor'!$F:$F,0)+31+FLOOR(XLOOKUP($Q75,'Threshold Summary'!$Y:$Y,'Threshold Summary'!$P:$P,"")/4))*XLOOKUP($Q75,'Threshold Summary'!$Y:$Y,'Threshold Summary'!$L:$L,""))/100)+5)*XLOOKUP(XLOOKUP($Q75,'Threshold Summary'!$Y:$Y,'Threshold Summary'!$M:$M,""),'Nature Editor'!$A:$A,'Nature Editor'!$B:$B,1)),FLOOR((FLOOR(((2*XLOOKUP(XLOOKUP($Q75,'Threshold Summary'!$Y:$Y,'Threshold Summary'!$K:$K,""),'Pokemon Editor'!$A:$A,'Pokemon Editor'!$H:$H,0)+31+FLOOR(XLOOKUP($Q75,'Threshold Summary'!$Y:$Y,'Threshold Summary'!$R:$R,"")/4))*XLOOKUP($Q75,'Threshold Summary'!$Y:$Y,'Threshold Summary'!$L:$L,""))/100)+5)*XLOOKUP(XLOOKUP($Q75,'Threshold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Editor'!$E:$E,1))),stab,IF(OR(mtype=XLOOKUP(XLOOKUP($Q75,'Threshold Summary'!$Y:$Y,'Threshold Summary'!$K:$K,""),'Pokemon Editor'!$A:$A,'Pokemon Editor'!$C:$C,""),mtype=XLOOKUP(XLOOKUP($Q75,'Threshold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Chart'!$B$1:$S$1,0)))),base,IF(OR(cat="Status",pow=0),0,FLOOR(FLOOR(FLOOR((2*XLOOKUP($Q75,'Threshold Summary'!$Y:$Y,'Threshold Summary'!$L:$L,"")/5+2)*pow*atk/def)/50)+2)),modifier,stab*eff,AVERAGE(ARRAYFORMULA(FLOOR(base*modifier*SEQUENCE(16,1,85,1)/100)))/(FLOOR(((2*XLOOKUP('Boss Editor'!$C$4,'Pokemon Editor'!$A:$A,'Pokemon Editor'!$E:$E,0)+31+FLOOR('Boss Editor'!$G$4/4))*'Boss Editor'!$D$4)/100)+'Boss Editor'!$D$4+10)),0)</f>
        <v/>
      </c>
      <c r="O75" s="3">
        <f>IF(N75&gt;=1,"OHKO",IF(N75&gt;=0.5,"2HKO",IF(N75&gt;=0.333,"3HKO",IF(N75&gt;=0.25,"4HKO","5HKO+"))))</f>
        <v/>
      </c>
      <c r="P75" s="3" t="inlineStr">
        <is>
          <t>Live from editable databases</t>
        </is>
      </c>
      <c r="Q75" s="3" t="inlineStr">
        <is>
          <t>SPECIES_MAREEP</t>
        </is>
      </c>
      <c r="R75" s="3" t="n">
        <v>10</v>
      </c>
    </row>
    <row r="76">
      <c r="A76" s="3">
        <f>XLOOKUP($Q76,'Threshold Summary'!$Y:$Y,'Threshold Summary'!$A:$A,"")</f>
        <v/>
      </c>
      <c r="B76" s="3">
        <f>XLOOKUP($Q76,'Threshold Summary'!$Y:$Y,'Threshold Summary'!$M:$M,"")</f>
        <v/>
      </c>
      <c r="C76" s="3">
        <f>XLOOKUP($Q76,'Threshold Summary'!$Y:$Y,'Threshold Summary'!$N:$N,"")</f>
        <v/>
      </c>
      <c r="D76" s="3">
        <f>IFERROR(INDEX(FILTER('Learnset Editor'!$D$2:$D,'Learnset Editor'!$A$2:$A=XLOOKUP($Q76,'Threshold Summary'!$Y:$Y,'Threshold Summary'!$K:$K,""),'Learnset Editor'!$C$2:$C&lt;=XLOOKUP($Q76,'Threshold Summary'!$Y:$Y,'Threshold Summary'!$L:$L,"")),$R76),"")</f>
        <v/>
      </c>
      <c r="E76" s="3">
        <f>XLOOKUP(D76,'Move Editor'!$B:$B,'Move Editor'!$C:$C,"")</f>
        <v/>
      </c>
      <c r="F76" s="3">
        <f>XLOOKUP(D76,'Move Editor'!$B:$B,'Move Editor'!$D:$D,"")</f>
        <v/>
      </c>
      <c r="G76" s="3">
        <f>XLOOKUP(D76,'Move Editor'!$B:$B,'Move Editor'!$E:$E,0)</f>
        <v/>
      </c>
      <c r="H76" s="3">
        <f>XLOOKUP(D76,'Move Editor'!$B:$B,'Move Editor'!$F:$F,0)</f>
        <v/>
      </c>
      <c r="I76" s="3">
        <f>(INDEX('Type Chart'!$B:$S,MATCH(E76,'Type Chart'!$A:$A,0),MATCH(XLOOKUP('Boss Editor'!$C$4,'Pokemon Editor'!$A:$A,'Pokemon Editor'!$C:$C,""),'Type Chart'!$B$1:$S$1,0))*IF(XLOOKUP('Boss Editor'!$C$4,'Pokemon Editor'!$A:$A,'Pokemon Editor'!$D:$D,"")="",1,INDEX('Type Chart'!$B:$S,MATCH(E76,'Type Chart'!$A:$A,0),MATCH(XLOOKUP('Boss Editor'!$C$4,'Pokemon Editor'!$A:$A,'Pokemon Editor'!$D:$D,""),'Type Chart'!$B$1:$S$1,0))))</f>
        <v/>
      </c>
      <c r="J76" s="3">
        <f>IFERROR(LET(mtype,XLOOKUP($D76,'Move Editor'!$B:$B,'Move Editor'!$C:$C,""),cat,XLOOKUP($D76,'Move Editor'!$B:$B,'Move Editor'!$D:$D,""),pow,XLOOKUP($D76,'Move Editor'!$B:$B,'Move Editor'!$E:$E,0),acc,XLOOKUP($D76,'Move Editor'!$B:$B,'Move Editor'!$F:$F,100),atk,IF(cat="Physical",FLOOR((FLOOR(((2*XLOOKUP(XLOOKUP($Q76,'Threshold Summary'!$Y:$Y,'Threshold Summary'!$K:$K,""),'Pokemon Editor'!$A:$A,'Pokemon Editor'!$F:$F,0)+31+FLOOR(XLOOKUP($Q76,'Threshold Summary'!$Y:$Y,'Threshold Summary'!$P:$P,"")/4))*XLOOKUP($Q76,'Threshold Summary'!$Y:$Y,'Threshold Summary'!$L:$L,""))/100)+5)*XLOOKUP(XLOOKUP($Q76,'Threshold Summary'!$Y:$Y,'Threshold Summary'!$M:$M,""),'Nature Editor'!$A:$A,'Nature Editor'!$B:$B,1)),FLOOR((FLOOR(((2*XLOOKUP(XLOOKUP($Q76,'Threshold Summary'!$Y:$Y,'Threshold Summary'!$K:$K,""),'Pokemon Editor'!$A:$A,'Pokemon Editor'!$H:$H,0)+31+FLOOR(XLOOKUP($Q76,'Threshold Summary'!$Y:$Y,'Threshold Summary'!$R:$R,"")/4))*XLOOKUP($Q76,'Threshold Summary'!$Y:$Y,'Threshold Summary'!$L:$L,""))/100)+5)*XLOOKUP(XLOOKUP($Q76,'Threshold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Editor'!$E:$E,1))),stab,IF(OR(mtype=XLOOKUP(XLOOKUP($Q76,'Threshold Summary'!$Y:$Y,'Threshold Summary'!$K:$K,""),'Pokemon Editor'!$A:$A,'Pokemon Editor'!$C:$C,""),mtype=XLOOKUP(XLOOKUP($Q76,'Threshold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Chart'!$B$1:$S$1,0)))),base,IF(OR(cat="Status",pow=0),0,FLOOR(FLOOR(FLOOR((2*XLOOKUP($Q76,'Threshold Summary'!$Y:$Y,'Threshold Summary'!$L:$L,"")/5+2)*pow*atk/def)/50)+2)),modifier,stab*eff,FLOOR(base*modifier*0.85)),0)</f>
        <v/>
      </c>
      <c r="K76" s="3">
        <f>IFERROR(LET(mtype,XLOOKUP($D76,'Move Editor'!$B:$B,'Move Editor'!$C:$C,""),cat,XLOOKUP($D76,'Move Editor'!$B:$B,'Move Editor'!$D:$D,""),pow,XLOOKUP($D76,'Move Editor'!$B:$B,'Move Editor'!$E:$E,0),acc,XLOOKUP($D76,'Move Editor'!$B:$B,'Move Editor'!$F:$F,100),atk,IF(cat="Physical",FLOOR((FLOOR(((2*XLOOKUP(XLOOKUP($Q76,'Threshold Summary'!$Y:$Y,'Threshold Summary'!$K:$K,""),'Pokemon Editor'!$A:$A,'Pokemon Editor'!$F:$F,0)+31+FLOOR(XLOOKUP($Q76,'Threshold Summary'!$Y:$Y,'Threshold Summary'!$P:$P,"")/4))*XLOOKUP($Q76,'Threshold Summary'!$Y:$Y,'Threshold Summary'!$L:$L,""))/100)+5)*XLOOKUP(XLOOKUP($Q76,'Threshold Summary'!$Y:$Y,'Threshold Summary'!$M:$M,""),'Nature Editor'!$A:$A,'Nature Editor'!$B:$B,1)),FLOOR((FLOOR(((2*XLOOKUP(XLOOKUP($Q76,'Threshold Summary'!$Y:$Y,'Threshold Summary'!$K:$K,""),'Pokemon Editor'!$A:$A,'Pokemon Editor'!$H:$H,0)+31+FLOOR(XLOOKUP($Q76,'Threshold Summary'!$Y:$Y,'Threshold Summary'!$R:$R,"")/4))*XLOOKUP($Q76,'Threshold Summary'!$Y:$Y,'Threshold Summary'!$L:$L,""))/100)+5)*XLOOKUP(XLOOKUP($Q76,'Threshold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Editor'!$E:$E,1))),stab,IF(OR(mtype=XLOOKUP(XLOOKUP($Q76,'Threshold Summary'!$Y:$Y,'Threshold Summary'!$K:$K,""),'Pokemon Editor'!$A:$A,'Pokemon Editor'!$C:$C,""),mtype=XLOOKUP(XLOOKUP($Q76,'Threshold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Chart'!$B$1:$S$1,0)))),base,IF(OR(cat="Status",pow=0),0,FLOOR(FLOOR(FLOOR((2*XLOOKUP($Q76,'Threshold Summary'!$Y:$Y,'Threshold Summary'!$L:$L,"")/5+2)*pow*atk/def)/50)+2)),modifier,stab*eff,FLOOR(base*modifier)),0)</f>
        <v/>
      </c>
      <c r="L76" s="3">
        <f>IFERROR(LET(mtype,XLOOKUP($D76,'Move Editor'!$B:$B,'Move Editor'!$C:$C,""),cat,XLOOKUP($D76,'Move Editor'!$B:$B,'Move Editor'!$D:$D,""),pow,XLOOKUP($D76,'Move Editor'!$B:$B,'Move Editor'!$E:$E,0),acc,XLOOKUP($D76,'Move Editor'!$B:$B,'Move Editor'!$F:$F,100),atk,IF(cat="Physical",FLOOR((FLOOR(((2*XLOOKUP(XLOOKUP($Q76,'Threshold Summary'!$Y:$Y,'Threshold Summary'!$K:$K,""),'Pokemon Editor'!$A:$A,'Pokemon Editor'!$F:$F,0)+31+FLOOR(XLOOKUP($Q76,'Threshold Summary'!$Y:$Y,'Threshold Summary'!$P:$P,"")/4))*XLOOKUP($Q76,'Threshold Summary'!$Y:$Y,'Threshold Summary'!$L:$L,""))/100)+5)*XLOOKUP(XLOOKUP($Q76,'Threshold Summary'!$Y:$Y,'Threshold Summary'!$M:$M,""),'Nature Editor'!$A:$A,'Nature Editor'!$B:$B,1)),FLOOR((FLOOR(((2*XLOOKUP(XLOOKUP($Q76,'Threshold Summary'!$Y:$Y,'Threshold Summary'!$K:$K,""),'Pokemon Editor'!$A:$A,'Pokemon Editor'!$H:$H,0)+31+FLOOR(XLOOKUP($Q76,'Threshold Summary'!$Y:$Y,'Threshold Summary'!$R:$R,"")/4))*XLOOKUP($Q76,'Threshold Summary'!$Y:$Y,'Threshold Summary'!$L:$L,""))/100)+5)*XLOOKUP(XLOOKUP($Q76,'Threshold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Editor'!$E:$E,1))),stab,IF(OR(mtype=XLOOKUP(XLOOKUP($Q76,'Threshold Summary'!$Y:$Y,'Threshold Summary'!$K:$K,""),'Pokemon Editor'!$A:$A,'Pokemon Editor'!$C:$C,""),mtype=XLOOKUP(XLOOKUP($Q76,'Threshold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Chart'!$B$1:$S$1,0)))),base,IF(OR(cat="Status",pow=0),0,FLOOR(FLOOR(FLOOR((2*XLOOKUP($Q76,'Threshold Summary'!$Y:$Y,'Threshold Summary'!$L:$L,"")/5+2)*pow*atk/def)/50)+2)),modifier,stab*eff,AVERAGE(ARRAYFORMULA(FLOOR(base*modifier*SEQUENCE(16,1,85,1)/100)))),0)</f>
        <v/>
      </c>
      <c r="M76" s="3">
        <f>IFERROR(LET(mtype,XLOOKUP($D76,'Move Editor'!$B:$B,'Move Editor'!$C:$C,""),cat,XLOOKUP($D76,'Move Editor'!$B:$B,'Move Editor'!$D:$D,""),pow,XLOOKUP($D76,'Move Editor'!$B:$B,'Move Editor'!$E:$E,0),acc,XLOOKUP($D76,'Move Editor'!$B:$B,'Move Editor'!$F:$F,100),atk,IF(cat="Physical",FLOOR((FLOOR(((2*XLOOKUP(XLOOKUP($Q76,'Threshold Summary'!$Y:$Y,'Threshold Summary'!$K:$K,""),'Pokemon Editor'!$A:$A,'Pokemon Editor'!$F:$F,0)+31+FLOOR(XLOOKUP($Q76,'Threshold Summary'!$Y:$Y,'Threshold Summary'!$P:$P,"")/4))*XLOOKUP($Q76,'Threshold Summary'!$Y:$Y,'Threshold Summary'!$L:$L,""))/100)+5)*XLOOKUP(XLOOKUP($Q76,'Threshold Summary'!$Y:$Y,'Threshold Summary'!$M:$M,""),'Nature Editor'!$A:$A,'Nature Editor'!$B:$B,1)),FLOOR((FLOOR(((2*XLOOKUP(XLOOKUP($Q76,'Threshold Summary'!$Y:$Y,'Threshold Summary'!$K:$K,""),'Pokemon Editor'!$A:$A,'Pokemon Editor'!$H:$H,0)+31+FLOOR(XLOOKUP($Q76,'Threshold Summary'!$Y:$Y,'Threshold Summary'!$R:$R,"")/4))*XLOOKUP($Q76,'Threshold Summary'!$Y:$Y,'Threshold Summary'!$L:$L,""))/100)+5)*XLOOKUP(XLOOKUP($Q76,'Threshold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Editor'!$E:$E,1))),stab,IF(OR(mtype=XLOOKUP(XLOOKUP($Q76,'Threshold Summary'!$Y:$Y,'Threshold Summary'!$K:$K,""),'Pokemon Editor'!$A:$A,'Pokemon Editor'!$C:$C,""),mtype=XLOOKUP(XLOOKUP($Q76,'Threshold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Chart'!$B$1:$S$1,0)))),base,IF(OR(cat="Status",pow=0),0,FLOOR(FLOOR(FLOOR((2*XLOOKUP($Q76,'Threshold Summary'!$Y:$Y,'Threshold Summary'!$L:$L,"")/5+2)*pow*atk/def)/50)+2)),modifier,stab*eff,AVERAGE(ARRAYFORMULA(FLOOR(base*modifier*SEQUENCE(16,1,85,1)/100)))*MIN(1,acc/100)),0)</f>
        <v/>
      </c>
      <c r="N76" s="4">
        <f>IFERROR(LET(mtype,XLOOKUP($D76,'Move Editor'!$B:$B,'Move Editor'!$C:$C,""),cat,XLOOKUP($D76,'Move Editor'!$B:$B,'Move Editor'!$D:$D,""),pow,XLOOKUP($D76,'Move Editor'!$B:$B,'Move Editor'!$E:$E,0),acc,XLOOKUP($D76,'Move Editor'!$B:$B,'Move Editor'!$F:$F,100),atk,IF(cat="Physical",FLOOR((FLOOR(((2*XLOOKUP(XLOOKUP($Q76,'Threshold Summary'!$Y:$Y,'Threshold Summary'!$K:$K,""),'Pokemon Editor'!$A:$A,'Pokemon Editor'!$F:$F,0)+31+FLOOR(XLOOKUP($Q76,'Threshold Summary'!$Y:$Y,'Threshold Summary'!$P:$P,"")/4))*XLOOKUP($Q76,'Threshold Summary'!$Y:$Y,'Threshold Summary'!$L:$L,""))/100)+5)*XLOOKUP(XLOOKUP($Q76,'Threshold Summary'!$Y:$Y,'Threshold Summary'!$M:$M,""),'Nature Editor'!$A:$A,'Nature Editor'!$B:$B,1)),FLOOR((FLOOR(((2*XLOOKUP(XLOOKUP($Q76,'Threshold Summary'!$Y:$Y,'Threshold Summary'!$K:$K,""),'Pokemon Editor'!$A:$A,'Pokemon Editor'!$H:$H,0)+31+FLOOR(XLOOKUP($Q76,'Threshold Summary'!$Y:$Y,'Threshold Summary'!$R:$R,"")/4))*XLOOKUP($Q76,'Threshold Summary'!$Y:$Y,'Threshold Summary'!$L:$L,""))/100)+5)*XLOOKUP(XLOOKUP($Q76,'Threshold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Editor'!$E:$E,1))),stab,IF(OR(mtype=XLOOKUP(XLOOKUP($Q76,'Threshold Summary'!$Y:$Y,'Threshold Summary'!$K:$K,""),'Pokemon Editor'!$A:$A,'Pokemon Editor'!$C:$C,""),mtype=XLOOKUP(XLOOKUP($Q76,'Threshold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Chart'!$B$1:$S$1,0)))),base,IF(OR(cat="Status",pow=0),0,FLOOR(FLOOR(FLOOR((2*XLOOKUP($Q76,'Threshold Summary'!$Y:$Y,'Threshold Summary'!$L:$L,"")/5+2)*pow*atk/def)/50)+2)),modifier,stab*eff,AVERAGE(ARRAYFORMULA(FLOOR(base*modifier*SEQUENCE(16,1,85,1)/100)))/(FLOOR(((2*XLOOKUP('Boss Editor'!$C$4,'Pokemon Editor'!$A:$A,'Pokemon Editor'!$E:$E,0)+31+FLOOR('Boss Editor'!$G$4/4))*'Boss Editor'!$D$4)/100)+'Boss Editor'!$D$4+10)),0)</f>
        <v/>
      </c>
      <c r="O76" s="3">
        <f>IF(N76&gt;=1,"OHKO",IF(N76&gt;=0.5,"2HKO",IF(N76&gt;=0.333,"3HKO",IF(N76&gt;=0.25,"4HKO","5HKO+"))))</f>
        <v/>
      </c>
      <c r="P76" s="3" t="inlineStr">
        <is>
          <t>Live from editable databases</t>
        </is>
      </c>
      <c r="Q76" s="3" t="inlineStr">
        <is>
          <t>SPECIES_MAREEP</t>
        </is>
      </c>
      <c r="R76" s="3" t="n">
        <v>11</v>
      </c>
    </row>
    <row r="77">
      <c r="A77" s="3">
        <f>XLOOKUP($Q77,'Threshold Summary'!$Y:$Y,'Threshold Summary'!$A:$A,"")</f>
        <v/>
      </c>
      <c r="B77" s="3">
        <f>XLOOKUP($Q77,'Threshold Summary'!$Y:$Y,'Threshold Summary'!$M:$M,"")</f>
        <v/>
      </c>
      <c r="C77" s="3">
        <f>XLOOKUP($Q77,'Threshold Summary'!$Y:$Y,'Threshold Summary'!$N:$N,"")</f>
        <v/>
      </c>
      <c r="D77" s="3">
        <f>IFERROR(INDEX(FILTER('Learnset Editor'!$D$2:$D,'Learnset Editor'!$A$2:$A=XLOOKUP($Q77,'Threshold Summary'!$Y:$Y,'Threshold Summary'!$K:$K,""),'Learnset Editor'!$C$2:$C&lt;=XLOOKUP($Q77,'Threshold Summary'!$Y:$Y,'Threshold Summary'!$L:$L,"")),$R77),"")</f>
        <v/>
      </c>
      <c r="E77" s="3">
        <f>XLOOKUP(D77,'Move Editor'!$B:$B,'Move Editor'!$C:$C,"")</f>
        <v/>
      </c>
      <c r="F77" s="3">
        <f>XLOOKUP(D77,'Move Editor'!$B:$B,'Move Editor'!$D:$D,"")</f>
        <v/>
      </c>
      <c r="G77" s="3">
        <f>XLOOKUP(D77,'Move Editor'!$B:$B,'Move Editor'!$E:$E,0)</f>
        <v/>
      </c>
      <c r="H77" s="3">
        <f>XLOOKUP(D77,'Move Editor'!$B:$B,'Move Editor'!$F:$F,0)</f>
        <v/>
      </c>
      <c r="I77" s="3">
        <f>(INDEX('Type Chart'!$B:$S,MATCH(E77,'Type Chart'!$A:$A,0),MATCH(XLOOKUP('Boss Editor'!$C$4,'Pokemon Editor'!$A:$A,'Pokemon Editor'!$C:$C,""),'Type Chart'!$B$1:$S$1,0))*IF(XLOOKUP('Boss Editor'!$C$4,'Pokemon Editor'!$A:$A,'Pokemon Editor'!$D:$D,"")="",1,INDEX('Type Chart'!$B:$S,MATCH(E77,'Type Chart'!$A:$A,0),MATCH(XLOOKUP('Boss Editor'!$C$4,'Pokemon Editor'!$A:$A,'Pokemon Editor'!$D:$D,""),'Type Chart'!$B$1:$S$1,0))))</f>
        <v/>
      </c>
      <c r="J77" s="3">
        <f>IFERROR(LET(mtype,XLOOKUP($D77,'Move Editor'!$B:$B,'Move Editor'!$C:$C,""),cat,XLOOKUP($D77,'Move Editor'!$B:$B,'Move Editor'!$D:$D,""),pow,XLOOKUP($D77,'Move Editor'!$B:$B,'Move Editor'!$E:$E,0),acc,XLOOKUP($D77,'Move Editor'!$B:$B,'Move Editor'!$F:$F,100),atk,IF(cat="Physical",FLOOR((FLOOR(((2*XLOOKUP(XLOOKUP($Q77,'Threshold Summary'!$Y:$Y,'Threshold Summary'!$K:$K,""),'Pokemon Editor'!$A:$A,'Pokemon Editor'!$F:$F,0)+31+FLOOR(XLOOKUP($Q77,'Threshold Summary'!$Y:$Y,'Threshold Summary'!$P:$P,"")/4))*XLOOKUP($Q77,'Threshold Summary'!$Y:$Y,'Threshold Summary'!$L:$L,""))/100)+5)*XLOOKUP(XLOOKUP($Q77,'Threshold Summary'!$Y:$Y,'Threshold Summary'!$M:$M,""),'Nature Editor'!$A:$A,'Nature Editor'!$B:$B,1)),FLOOR((FLOOR(((2*XLOOKUP(XLOOKUP($Q77,'Threshold Summary'!$Y:$Y,'Threshold Summary'!$K:$K,""),'Pokemon Editor'!$A:$A,'Pokemon Editor'!$H:$H,0)+31+FLOOR(XLOOKUP($Q77,'Threshold Summary'!$Y:$Y,'Threshold Summary'!$R:$R,"")/4))*XLOOKUP($Q77,'Threshold Summary'!$Y:$Y,'Threshold Summary'!$L:$L,""))/100)+5)*XLOOKUP(XLOOKUP($Q77,'Threshold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Editor'!$E:$E,1))),stab,IF(OR(mtype=XLOOKUP(XLOOKUP($Q77,'Threshold Summary'!$Y:$Y,'Threshold Summary'!$K:$K,""),'Pokemon Editor'!$A:$A,'Pokemon Editor'!$C:$C,""),mtype=XLOOKUP(XLOOKUP($Q77,'Threshold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Chart'!$B$1:$S$1,0)))),base,IF(OR(cat="Status",pow=0),0,FLOOR(FLOOR(FLOOR((2*XLOOKUP($Q77,'Threshold Summary'!$Y:$Y,'Threshold Summary'!$L:$L,"")/5+2)*pow*atk/def)/50)+2)),modifier,stab*eff,FLOOR(base*modifier*0.85)),0)</f>
        <v/>
      </c>
      <c r="K77" s="3">
        <f>IFERROR(LET(mtype,XLOOKUP($D77,'Move Editor'!$B:$B,'Move Editor'!$C:$C,""),cat,XLOOKUP($D77,'Move Editor'!$B:$B,'Move Editor'!$D:$D,""),pow,XLOOKUP($D77,'Move Editor'!$B:$B,'Move Editor'!$E:$E,0),acc,XLOOKUP($D77,'Move Editor'!$B:$B,'Move Editor'!$F:$F,100),atk,IF(cat="Physical",FLOOR((FLOOR(((2*XLOOKUP(XLOOKUP($Q77,'Threshold Summary'!$Y:$Y,'Threshold Summary'!$K:$K,""),'Pokemon Editor'!$A:$A,'Pokemon Editor'!$F:$F,0)+31+FLOOR(XLOOKUP($Q77,'Threshold Summary'!$Y:$Y,'Threshold Summary'!$P:$P,"")/4))*XLOOKUP($Q77,'Threshold Summary'!$Y:$Y,'Threshold Summary'!$L:$L,""))/100)+5)*XLOOKUP(XLOOKUP($Q77,'Threshold Summary'!$Y:$Y,'Threshold Summary'!$M:$M,""),'Nature Editor'!$A:$A,'Nature Editor'!$B:$B,1)),FLOOR((FLOOR(((2*XLOOKUP(XLOOKUP($Q77,'Threshold Summary'!$Y:$Y,'Threshold Summary'!$K:$K,""),'Pokemon Editor'!$A:$A,'Pokemon Editor'!$H:$H,0)+31+FLOOR(XLOOKUP($Q77,'Threshold Summary'!$Y:$Y,'Threshold Summary'!$R:$R,"")/4))*XLOOKUP($Q77,'Threshold Summary'!$Y:$Y,'Threshold Summary'!$L:$L,""))/100)+5)*XLOOKUP(XLOOKUP($Q77,'Threshold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Editor'!$E:$E,1))),stab,IF(OR(mtype=XLOOKUP(XLOOKUP($Q77,'Threshold Summary'!$Y:$Y,'Threshold Summary'!$K:$K,""),'Pokemon Editor'!$A:$A,'Pokemon Editor'!$C:$C,""),mtype=XLOOKUP(XLOOKUP($Q77,'Threshold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Chart'!$B$1:$S$1,0)))),base,IF(OR(cat="Status",pow=0),0,FLOOR(FLOOR(FLOOR((2*XLOOKUP($Q77,'Threshold Summary'!$Y:$Y,'Threshold Summary'!$L:$L,"")/5+2)*pow*atk/def)/50)+2)),modifier,stab*eff,FLOOR(base*modifier)),0)</f>
        <v/>
      </c>
      <c r="L77" s="3">
        <f>IFERROR(LET(mtype,XLOOKUP($D77,'Move Editor'!$B:$B,'Move Editor'!$C:$C,""),cat,XLOOKUP($D77,'Move Editor'!$B:$B,'Move Editor'!$D:$D,""),pow,XLOOKUP($D77,'Move Editor'!$B:$B,'Move Editor'!$E:$E,0),acc,XLOOKUP($D77,'Move Editor'!$B:$B,'Move Editor'!$F:$F,100),atk,IF(cat="Physical",FLOOR((FLOOR(((2*XLOOKUP(XLOOKUP($Q77,'Threshold Summary'!$Y:$Y,'Threshold Summary'!$K:$K,""),'Pokemon Editor'!$A:$A,'Pokemon Editor'!$F:$F,0)+31+FLOOR(XLOOKUP($Q77,'Threshold Summary'!$Y:$Y,'Threshold Summary'!$P:$P,"")/4))*XLOOKUP($Q77,'Threshold Summary'!$Y:$Y,'Threshold Summary'!$L:$L,""))/100)+5)*XLOOKUP(XLOOKUP($Q77,'Threshold Summary'!$Y:$Y,'Threshold Summary'!$M:$M,""),'Nature Editor'!$A:$A,'Nature Editor'!$B:$B,1)),FLOOR((FLOOR(((2*XLOOKUP(XLOOKUP($Q77,'Threshold Summary'!$Y:$Y,'Threshold Summary'!$K:$K,""),'Pokemon Editor'!$A:$A,'Pokemon Editor'!$H:$H,0)+31+FLOOR(XLOOKUP($Q77,'Threshold Summary'!$Y:$Y,'Threshold Summary'!$R:$R,"")/4))*XLOOKUP($Q77,'Threshold Summary'!$Y:$Y,'Threshold Summary'!$L:$L,""))/100)+5)*XLOOKUP(XLOOKUP($Q77,'Threshold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Editor'!$E:$E,1))),stab,IF(OR(mtype=XLOOKUP(XLOOKUP($Q77,'Threshold Summary'!$Y:$Y,'Threshold Summary'!$K:$K,""),'Pokemon Editor'!$A:$A,'Pokemon Editor'!$C:$C,""),mtype=XLOOKUP(XLOOKUP($Q77,'Threshold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Chart'!$B$1:$S$1,0)))),base,IF(OR(cat="Status",pow=0),0,FLOOR(FLOOR(FLOOR((2*XLOOKUP($Q77,'Threshold Summary'!$Y:$Y,'Threshold Summary'!$L:$L,"")/5+2)*pow*atk/def)/50)+2)),modifier,stab*eff,AVERAGE(ARRAYFORMULA(FLOOR(base*modifier*SEQUENCE(16,1,85,1)/100)))),0)</f>
        <v/>
      </c>
      <c r="M77" s="3">
        <f>IFERROR(LET(mtype,XLOOKUP($D77,'Move Editor'!$B:$B,'Move Editor'!$C:$C,""),cat,XLOOKUP($D77,'Move Editor'!$B:$B,'Move Editor'!$D:$D,""),pow,XLOOKUP($D77,'Move Editor'!$B:$B,'Move Editor'!$E:$E,0),acc,XLOOKUP($D77,'Move Editor'!$B:$B,'Move Editor'!$F:$F,100),atk,IF(cat="Physical",FLOOR((FLOOR(((2*XLOOKUP(XLOOKUP($Q77,'Threshold Summary'!$Y:$Y,'Threshold Summary'!$K:$K,""),'Pokemon Editor'!$A:$A,'Pokemon Editor'!$F:$F,0)+31+FLOOR(XLOOKUP($Q77,'Threshold Summary'!$Y:$Y,'Threshold Summary'!$P:$P,"")/4))*XLOOKUP($Q77,'Threshold Summary'!$Y:$Y,'Threshold Summary'!$L:$L,""))/100)+5)*XLOOKUP(XLOOKUP($Q77,'Threshold Summary'!$Y:$Y,'Threshold Summary'!$M:$M,""),'Nature Editor'!$A:$A,'Nature Editor'!$B:$B,1)),FLOOR((FLOOR(((2*XLOOKUP(XLOOKUP($Q77,'Threshold Summary'!$Y:$Y,'Threshold Summary'!$K:$K,""),'Pokemon Editor'!$A:$A,'Pokemon Editor'!$H:$H,0)+31+FLOOR(XLOOKUP($Q77,'Threshold Summary'!$Y:$Y,'Threshold Summary'!$R:$R,"")/4))*XLOOKUP($Q77,'Threshold Summary'!$Y:$Y,'Threshold Summary'!$L:$L,""))/100)+5)*XLOOKUP(XLOOKUP($Q77,'Threshold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Editor'!$E:$E,1))),stab,IF(OR(mtype=XLOOKUP(XLOOKUP($Q77,'Threshold Summary'!$Y:$Y,'Threshold Summary'!$K:$K,""),'Pokemon Editor'!$A:$A,'Pokemon Editor'!$C:$C,""),mtype=XLOOKUP(XLOOKUP($Q77,'Threshold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Chart'!$B$1:$S$1,0)))),base,IF(OR(cat="Status",pow=0),0,FLOOR(FLOOR(FLOOR((2*XLOOKUP($Q77,'Threshold Summary'!$Y:$Y,'Threshold Summary'!$L:$L,"")/5+2)*pow*atk/def)/50)+2)),modifier,stab*eff,AVERAGE(ARRAYFORMULA(FLOOR(base*modifier*SEQUENCE(16,1,85,1)/100)))*MIN(1,acc/100)),0)</f>
        <v/>
      </c>
      <c r="N77" s="4">
        <f>IFERROR(LET(mtype,XLOOKUP($D77,'Move Editor'!$B:$B,'Move Editor'!$C:$C,""),cat,XLOOKUP($D77,'Move Editor'!$B:$B,'Move Editor'!$D:$D,""),pow,XLOOKUP($D77,'Move Editor'!$B:$B,'Move Editor'!$E:$E,0),acc,XLOOKUP($D77,'Move Editor'!$B:$B,'Move Editor'!$F:$F,100),atk,IF(cat="Physical",FLOOR((FLOOR(((2*XLOOKUP(XLOOKUP($Q77,'Threshold Summary'!$Y:$Y,'Threshold Summary'!$K:$K,""),'Pokemon Editor'!$A:$A,'Pokemon Editor'!$F:$F,0)+31+FLOOR(XLOOKUP($Q77,'Threshold Summary'!$Y:$Y,'Threshold Summary'!$P:$P,"")/4))*XLOOKUP($Q77,'Threshold Summary'!$Y:$Y,'Threshold Summary'!$L:$L,""))/100)+5)*XLOOKUP(XLOOKUP($Q77,'Threshold Summary'!$Y:$Y,'Threshold Summary'!$M:$M,""),'Nature Editor'!$A:$A,'Nature Editor'!$B:$B,1)),FLOOR((FLOOR(((2*XLOOKUP(XLOOKUP($Q77,'Threshold Summary'!$Y:$Y,'Threshold Summary'!$K:$K,""),'Pokemon Editor'!$A:$A,'Pokemon Editor'!$H:$H,0)+31+FLOOR(XLOOKUP($Q77,'Threshold Summary'!$Y:$Y,'Threshold Summary'!$R:$R,"")/4))*XLOOKUP($Q77,'Threshold Summary'!$Y:$Y,'Threshold Summary'!$L:$L,""))/100)+5)*XLOOKUP(XLOOKUP($Q77,'Threshold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Editor'!$E:$E,1))),stab,IF(OR(mtype=XLOOKUP(XLOOKUP($Q77,'Threshold Summary'!$Y:$Y,'Threshold Summary'!$K:$K,""),'Pokemon Editor'!$A:$A,'Pokemon Editor'!$C:$C,""),mtype=XLOOKUP(XLOOKUP($Q77,'Threshold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Chart'!$B$1:$S$1,0)))),base,IF(OR(cat="Status",pow=0),0,FLOOR(FLOOR(FLOOR((2*XLOOKUP($Q77,'Threshold Summary'!$Y:$Y,'Threshold Summary'!$L:$L,"")/5+2)*pow*atk/def)/50)+2)),modifier,stab*eff,AVERAGE(ARRAYFORMULA(FLOOR(base*modifier*SEQUENCE(16,1,85,1)/100)))/(FLOOR(((2*XLOOKUP('Boss Editor'!$C$4,'Pokemon Editor'!$A:$A,'Pokemon Editor'!$E:$E,0)+31+FLOOR('Boss Editor'!$G$4/4))*'Boss Editor'!$D$4)/100)+'Boss Editor'!$D$4+10)),0)</f>
        <v/>
      </c>
      <c r="O77" s="3">
        <f>IF(N77&gt;=1,"OHKO",IF(N77&gt;=0.5,"2HKO",IF(N77&gt;=0.333,"3HKO",IF(N77&gt;=0.25,"4HKO","5HKO+"))))</f>
        <v/>
      </c>
      <c r="P77" s="3" t="inlineStr">
        <is>
          <t>Live from editable databases</t>
        </is>
      </c>
      <c r="Q77" s="3" t="inlineStr">
        <is>
          <t>SPECIES_MAREEP</t>
        </is>
      </c>
      <c r="R77" s="3" t="n">
        <v>12</v>
      </c>
    </row>
    <row r="78">
      <c r="A78" s="3">
        <f>XLOOKUP($Q78,'Threshold Summary'!$Y:$Y,'Threshold Summary'!$A:$A,"")</f>
        <v/>
      </c>
      <c r="B78" s="3">
        <f>XLOOKUP($Q78,'Threshold Summary'!$Y:$Y,'Threshold Summary'!$M:$M,"")</f>
        <v/>
      </c>
      <c r="C78" s="3">
        <f>XLOOKUP($Q78,'Threshold Summary'!$Y:$Y,'Threshold Summary'!$N:$N,"")</f>
        <v/>
      </c>
      <c r="D78" s="3">
        <f>IFERROR(INDEX(FILTER('Learnset Editor'!$D$2:$D,'Learnset Editor'!$A$2:$A=XLOOKUP($Q78,'Threshold Summary'!$Y:$Y,'Threshold Summary'!$K:$K,""),'Learnset Editor'!$C$2:$C&lt;=XLOOKUP($Q78,'Threshold Summary'!$Y:$Y,'Threshold Summary'!$L:$L,"")),$R78),"")</f>
        <v/>
      </c>
      <c r="E78" s="3">
        <f>XLOOKUP(D78,'Move Editor'!$B:$B,'Move Editor'!$C:$C,"")</f>
        <v/>
      </c>
      <c r="F78" s="3">
        <f>XLOOKUP(D78,'Move Editor'!$B:$B,'Move Editor'!$D:$D,"")</f>
        <v/>
      </c>
      <c r="G78" s="3">
        <f>XLOOKUP(D78,'Move Editor'!$B:$B,'Move Editor'!$E:$E,0)</f>
        <v/>
      </c>
      <c r="H78" s="3">
        <f>XLOOKUP(D78,'Move Editor'!$B:$B,'Move Editor'!$F:$F,0)</f>
        <v/>
      </c>
      <c r="I78" s="3">
        <f>(INDEX('Type Chart'!$B:$S,MATCH(E78,'Type Chart'!$A:$A,0),MATCH(XLOOKUP('Boss Editor'!$C$4,'Pokemon Editor'!$A:$A,'Pokemon Editor'!$C:$C,""),'Type Chart'!$B$1:$S$1,0))*IF(XLOOKUP('Boss Editor'!$C$4,'Pokemon Editor'!$A:$A,'Pokemon Editor'!$D:$D,"")="",1,INDEX('Type Chart'!$B:$S,MATCH(E78,'Type Chart'!$A:$A,0),MATCH(XLOOKUP('Boss Editor'!$C$4,'Pokemon Editor'!$A:$A,'Pokemon Editor'!$D:$D,""),'Type Chart'!$B$1:$S$1,0))))</f>
        <v/>
      </c>
      <c r="J78" s="3">
        <f>IFERROR(LET(mtype,XLOOKUP($D78,'Move Editor'!$B:$B,'Move Editor'!$C:$C,""),cat,XLOOKUP($D78,'Move Editor'!$B:$B,'Move Editor'!$D:$D,""),pow,XLOOKUP($D78,'Move Editor'!$B:$B,'Move Editor'!$E:$E,0),acc,XLOOKUP($D78,'Move Editor'!$B:$B,'Move Editor'!$F:$F,100),atk,IF(cat="Physical",FLOOR((FLOOR(((2*XLOOKUP(XLOOKUP($Q78,'Threshold Summary'!$Y:$Y,'Threshold Summary'!$K:$K,""),'Pokemon Editor'!$A:$A,'Pokemon Editor'!$F:$F,0)+31+FLOOR(XLOOKUP($Q78,'Threshold Summary'!$Y:$Y,'Threshold Summary'!$P:$P,"")/4))*XLOOKUP($Q78,'Threshold Summary'!$Y:$Y,'Threshold Summary'!$L:$L,""))/100)+5)*XLOOKUP(XLOOKUP($Q78,'Threshold Summary'!$Y:$Y,'Threshold Summary'!$M:$M,""),'Nature Editor'!$A:$A,'Nature Editor'!$B:$B,1)),FLOOR((FLOOR(((2*XLOOKUP(XLOOKUP($Q78,'Threshold Summary'!$Y:$Y,'Threshold Summary'!$K:$K,""),'Pokemon Editor'!$A:$A,'Pokemon Editor'!$H:$H,0)+31+FLOOR(XLOOKUP($Q78,'Threshold Summary'!$Y:$Y,'Threshold Summary'!$R:$R,"")/4))*XLOOKUP($Q78,'Threshold Summary'!$Y:$Y,'Threshold Summary'!$L:$L,""))/100)+5)*XLOOKUP(XLOOKUP($Q78,'Threshold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Editor'!$E:$E,1))),stab,IF(OR(mtype=XLOOKUP(XLOOKUP($Q78,'Threshold Summary'!$Y:$Y,'Threshold Summary'!$K:$K,""),'Pokemon Editor'!$A:$A,'Pokemon Editor'!$C:$C,""),mtype=XLOOKUP(XLOOKUP($Q78,'Threshold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Chart'!$B$1:$S$1,0)))),base,IF(OR(cat="Status",pow=0),0,FLOOR(FLOOR(FLOOR((2*XLOOKUP($Q78,'Threshold Summary'!$Y:$Y,'Threshold Summary'!$L:$L,"")/5+2)*pow*atk/def)/50)+2)),modifier,stab*eff,FLOOR(base*modifier*0.85)),0)</f>
        <v/>
      </c>
      <c r="K78" s="3">
        <f>IFERROR(LET(mtype,XLOOKUP($D78,'Move Editor'!$B:$B,'Move Editor'!$C:$C,""),cat,XLOOKUP($D78,'Move Editor'!$B:$B,'Move Editor'!$D:$D,""),pow,XLOOKUP($D78,'Move Editor'!$B:$B,'Move Editor'!$E:$E,0),acc,XLOOKUP($D78,'Move Editor'!$B:$B,'Move Editor'!$F:$F,100),atk,IF(cat="Physical",FLOOR((FLOOR(((2*XLOOKUP(XLOOKUP($Q78,'Threshold Summary'!$Y:$Y,'Threshold Summary'!$K:$K,""),'Pokemon Editor'!$A:$A,'Pokemon Editor'!$F:$F,0)+31+FLOOR(XLOOKUP($Q78,'Threshold Summary'!$Y:$Y,'Threshold Summary'!$P:$P,"")/4))*XLOOKUP($Q78,'Threshold Summary'!$Y:$Y,'Threshold Summary'!$L:$L,""))/100)+5)*XLOOKUP(XLOOKUP($Q78,'Threshold Summary'!$Y:$Y,'Threshold Summary'!$M:$M,""),'Nature Editor'!$A:$A,'Nature Editor'!$B:$B,1)),FLOOR((FLOOR(((2*XLOOKUP(XLOOKUP($Q78,'Threshold Summary'!$Y:$Y,'Threshold Summary'!$K:$K,""),'Pokemon Editor'!$A:$A,'Pokemon Editor'!$H:$H,0)+31+FLOOR(XLOOKUP($Q78,'Threshold Summary'!$Y:$Y,'Threshold Summary'!$R:$R,"")/4))*XLOOKUP($Q78,'Threshold Summary'!$Y:$Y,'Threshold Summary'!$L:$L,""))/100)+5)*XLOOKUP(XLOOKUP($Q78,'Threshold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Editor'!$E:$E,1))),stab,IF(OR(mtype=XLOOKUP(XLOOKUP($Q78,'Threshold Summary'!$Y:$Y,'Threshold Summary'!$K:$K,""),'Pokemon Editor'!$A:$A,'Pokemon Editor'!$C:$C,""),mtype=XLOOKUP(XLOOKUP($Q78,'Threshold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Chart'!$B$1:$S$1,0)))),base,IF(OR(cat="Status",pow=0),0,FLOOR(FLOOR(FLOOR((2*XLOOKUP($Q78,'Threshold Summary'!$Y:$Y,'Threshold Summary'!$L:$L,"")/5+2)*pow*atk/def)/50)+2)),modifier,stab*eff,FLOOR(base*modifier)),0)</f>
        <v/>
      </c>
      <c r="L78" s="3">
        <f>IFERROR(LET(mtype,XLOOKUP($D78,'Move Editor'!$B:$B,'Move Editor'!$C:$C,""),cat,XLOOKUP($D78,'Move Editor'!$B:$B,'Move Editor'!$D:$D,""),pow,XLOOKUP($D78,'Move Editor'!$B:$B,'Move Editor'!$E:$E,0),acc,XLOOKUP($D78,'Move Editor'!$B:$B,'Move Editor'!$F:$F,100),atk,IF(cat="Physical",FLOOR((FLOOR(((2*XLOOKUP(XLOOKUP($Q78,'Threshold Summary'!$Y:$Y,'Threshold Summary'!$K:$K,""),'Pokemon Editor'!$A:$A,'Pokemon Editor'!$F:$F,0)+31+FLOOR(XLOOKUP($Q78,'Threshold Summary'!$Y:$Y,'Threshold Summary'!$P:$P,"")/4))*XLOOKUP($Q78,'Threshold Summary'!$Y:$Y,'Threshold Summary'!$L:$L,""))/100)+5)*XLOOKUP(XLOOKUP($Q78,'Threshold Summary'!$Y:$Y,'Threshold Summary'!$M:$M,""),'Nature Editor'!$A:$A,'Nature Editor'!$B:$B,1)),FLOOR((FLOOR(((2*XLOOKUP(XLOOKUP($Q78,'Threshold Summary'!$Y:$Y,'Threshold Summary'!$K:$K,""),'Pokemon Editor'!$A:$A,'Pokemon Editor'!$H:$H,0)+31+FLOOR(XLOOKUP($Q78,'Threshold Summary'!$Y:$Y,'Threshold Summary'!$R:$R,"")/4))*XLOOKUP($Q78,'Threshold Summary'!$Y:$Y,'Threshold Summary'!$L:$L,""))/100)+5)*XLOOKUP(XLOOKUP($Q78,'Threshold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Editor'!$E:$E,1))),stab,IF(OR(mtype=XLOOKUP(XLOOKUP($Q78,'Threshold Summary'!$Y:$Y,'Threshold Summary'!$K:$K,""),'Pokemon Editor'!$A:$A,'Pokemon Editor'!$C:$C,""),mtype=XLOOKUP(XLOOKUP($Q78,'Threshold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Chart'!$B$1:$S$1,0)))),base,IF(OR(cat="Status",pow=0),0,FLOOR(FLOOR(FLOOR((2*XLOOKUP($Q78,'Threshold Summary'!$Y:$Y,'Threshold Summary'!$L:$L,"")/5+2)*pow*atk/def)/50)+2)),modifier,stab*eff,AVERAGE(ARRAYFORMULA(FLOOR(base*modifier*SEQUENCE(16,1,85,1)/100)))),0)</f>
        <v/>
      </c>
      <c r="M78" s="3">
        <f>IFERROR(LET(mtype,XLOOKUP($D78,'Move Editor'!$B:$B,'Move Editor'!$C:$C,""),cat,XLOOKUP($D78,'Move Editor'!$B:$B,'Move Editor'!$D:$D,""),pow,XLOOKUP($D78,'Move Editor'!$B:$B,'Move Editor'!$E:$E,0),acc,XLOOKUP($D78,'Move Editor'!$B:$B,'Move Editor'!$F:$F,100),atk,IF(cat="Physical",FLOOR((FLOOR(((2*XLOOKUP(XLOOKUP($Q78,'Threshold Summary'!$Y:$Y,'Threshold Summary'!$K:$K,""),'Pokemon Editor'!$A:$A,'Pokemon Editor'!$F:$F,0)+31+FLOOR(XLOOKUP($Q78,'Threshold Summary'!$Y:$Y,'Threshold Summary'!$P:$P,"")/4))*XLOOKUP($Q78,'Threshold Summary'!$Y:$Y,'Threshold Summary'!$L:$L,""))/100)+5)*XLOOKUP(XLOOKUP($Q78,'Threshold Summary'!$Y:$Y,'Threshold Summary'!$M:$M,""),'Nature Editor'!$A:$A,'Nature Editor'!$B:$B,1)),FLOOR((FLOOR(((2*XLOOKUP(XLOOKUP($Q78,'Threshold Summary'!$Y:$Y,'Threshold Summary'!$K:$K,""),'Pokemon Editor'!$A:$A,'Pokemon Editor'!$H:$H,0)+31+FLOOR(XLOOKUP($Q78,'Threshold Summary'!$Y:$Y,'Threshold Summary'!$R:$R,"")/4))*XLOOKUP($Q78,'Threshold Summary'!$Y:$Y,'Threshold Summary'!$L:$L,""))/100)+5)*XLOOKUP(XLOOKUP($Q78,'Threshold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Editor'!$E:$E,1))),stab,IF(OR(mtype=XLOOKUP(XLOOKUP($Q78,'Threshold Summary'!$Y:$Y,'Threshold Summary'!$K:$K,""),'Pokemon Editor'!$A:$A,'Pokemon Editor'!$C:$C,""),mtype=XLOOKUP(XLOOKUP($Q78,'Threshold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Chart'!$B$1:$S$1,0)))),base,IF(OR(cat="Status",pow=0),0,FLOOR(FLOOR(FLOOR((2*XLOOKUP($Q78,'Threshold Summary'!$Y:$Y,'Threshold Summary'!$L:$L,"")/5+2)*pow*atk/def)/50)+2)),modifier,stab*eff,AVERAGE(ARRAYFORMULA(FLOOR(base*modifier*SEQUENCE(16,1,85,1)/100)))*MIN(1,acc/100)),0)</f>
        <v/>
      </c>
      <c r="N78" s="4">
        <f>IFERROR(LET(mtype,XLOOKUP($D78,'Move Editor'!$B:$B,'Move Editor'!$C:$C,""),cat,XLOOKUP($D78,'Move Editor'!$B:$B,'Move Editor'!$D:$D,""),pow,XLOOKUP($D78,'Move Editor'!$B:$B,'Move Editor'!$E:$E,0),acc,XLOOKUP($D78,'Move Editor'!$B:$B,'Move Editor'!$F:$F,100),atk,IF(cat="Physical",FLOOR((FLOOR(((2*XLOOKUP(XLOOKUP($Q78,'Threshold Summary'!$Y:$Y,'Threshold Summary'!$K:$K,""),'Pokemon Editor'!$A:$A,'Pokemon Editor'!$F:$F,0)+31+FLOOR(XLOOKUP($Q78,'Threshold Summary'!$Y:$Y,'Threshold Summary'!$P:$P,"")/4))*XLOOKUP($Q78,'Threshold Summary'!$Y:$Y,'Threshold Summary'!$L:$L,""))/100)+5)*XLOOKUP(XLOOKUP($Q78,'Threshold Summary'!$Y:$Y,'Threshold Summary'!$M:$M,""),'Nature Editor'!$A:$A,'Nature Editor'!$B:$B,1)),FLOOR((FLOOR(((2*XLOOKUP(XLOOKUP($Q78,'Threshold Summary'!$Y:$Y,'Threshold Summary'!$K:$K,""),'Pokemon Editor'!$A:$A,'Pokemon Editor'!$H:$H,0)+31+FLOOR(XLOOKUP($Q78,'Threshold Summary'!$Y:$Y,'Threshold Summary'!$R:$R,"")/4))*XLOOKUP($Q78,'Threshold Summary'!$Y:$Y,'Threshold Summary'!$L:$L,""))/100)+5)*XLOOKUP(XLOOKUP($Q78,'Threshold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Editor'!$E:$E,1))),stab,IF(OR(mtype=XLOOKUP(XLOOKUP($Q78,'Threshold Summary'!$Y:$Y,'Threshold Summary'!$K:$K,""),'Pokemon Editor'!$A:$A,'Pokemon Editor'!$C:$C,""),mtype=XLOOKUP(XLOOKUP($Q78,'Threshold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Chart'!$B$1:$S$1,0)))),base,IF(OR(cat="Status",pow=0),0,FLOOR(FLOOR(FLOOR((2*XLOOKUP($Q78,'Threshold Summary'!$Y:$Y,'Threshold Summary'!$L:$L,"")/5+2)*pow*atk/def)/50)+2)),modifier,stab*eff,AVERAGE(ARRAYFORMULA(FLOOR(base*modifier*SEQUENCE(16,1,85,1)/100)))/(FLOOR(((2*XLOOKUP('Boss Editor'!$C$4,'Pokemon Editor'!$A:$A,'Pokemon Editor'!$E:$E,0)+31+FLOOR('Boss Editor'!$G$4/4))*'Boss Editor'!$D$4)/100)+'Boss Editor'!$D$4+10)),0)</f>
        <v/>
      </c>
      <c r="O78" s="3">
        <f>IF(N78&gt;=1,"OHKO",IF(N78&gt;=0.5,"2HKO",IF(N78&gt;=0.333,"3HKO",IF(N78&gt;=0.25,"4HKO","5HKO+"))))</f>
        <v/>
      </c>
      <c r="P78" s="3" t="inlineStr">
        <is>
          <t>Live from editable databases</t>
        </is>
      </c>
      <c r="Q78" s="3" t="inlineStr">
        <is>
          <t>SPECIES_MAREEP</t>
        </is>
      </c>
      <c r="R78" s="3" t="n">
        <v>13</v>
      </c>
    </row>
    <row r="79">
      <c r="A79" s="3">
        <f>XLOOKUP($Q79,'Threshold Summary'!$Y:$Y,'Threshold Summary'!$A:$A,"")</f>
        <v/>
      </c>
      <c r="B79" s="3">
        <f>XLOOKUP($Q79,'Threshold Summary'!$Y:$Y,'Threshold Summary'!$M:$M,"")</f>
        <v/>
      </c>
      <c r="C79" s="3">
        <f>XLOOKUP($Q79,'Threshold Summary'!$Y:$Y,'Threshold Summary'!$N:$N,"")</f>
        <v/>
      </c>
      <c r="D79" s="3">
        <f>IFERROR(INDEX(FILTER('Learnset Editor'!$D$2:$D,'Learnset Editor'!$A$2:$A=XLOOKUP($Q79,'Threshold Summary'!$Y:$Y,'Threshold Summary'!$K:$K,""),'Learnset Editor'!$C$2:$C&lt;=XLOOKUP($Q79,'Threshold Summary'!$Y:$Y,'Threshold Summary'!$L:$L,"")),$R79),"")</f>
        <v/>
      </c>
      <c r="E79" s="3">
        <f>XLOOKUP(D79,'Move Editor'!$B:$B,'Move Editor'!$C:$C,"")</f>
        <v/>
      </c>
      <c r="F79" s="3">
        <f>XLOOKUP(D79,'Move Editor'!$B:$B,'Move Editor'!$D:$D,"")</f>
        <v/>
      </c>
      <c r="G79" s="3">
        <f>XLOOKUP(D79,'Move Editor'!$B:$B,'Move Editor'!$E:$E,0)</f>
        <v/>
      </c>
      <c r="H79" s="3">
        <f>XLOOKUP(D79,'Move Editor'!$B:$B,'Move Editor'!$F:$F,0)</f>
        <v/>
      </c>
      <c r="I79" s="3">
        <f>(INDEX('Type Chart'!$B:$S,MATCH(E79,'Type Chart'!$A:$A,0),MATCH(XLOOKUP('Boss Editor'!$C$4,'Pokemon Editor'!$A:$A,'Pokemon Editor'!$C:$C,""),'Type Chart'!$B$1:$S$1,0))*IF(XLOOKUP('Boss Editor'!$C$4,'Pokemon Editor'!$A:$A,'Pokemon Editor'!$D:$D,"")="",1,INDEX('Type Chart'!$B:$S,MATCH(E79,'Type Chart'!$A:$A,0),MATCH(XLOOKUP('Boss Editor'!$C$4,'Pokemon Editor'!$A:$A,'Pokemon Editor'!$D:$D,""),'Type Chart'!$B$1:$S$1,0))))</f>
        <v/>
      </c>
      <c r="J79" s="3">
        <f>IFERROR(LET(mtype,XLOOKUP($D79,'Move Editor'!$B:$B,'Move Editor'!$C:$C,""),cat,XLOOKUP($D79,'Move Editor'!$B:$B,'Move Editor'!$D:$D,""),pow,XLOOKUP($D79,'Move Editor'!$B:$B,'Move Editor'!$E:$E,0),acc,XLOOKUP($D79,'Move Editor'!$B:$B,'Move Editor'!$F:$F,100),atk,IF(cat="Physical",FLOOR((FLOOR(((2*XLOOKUP(XLOOKUP($Q79,'Threshold Summary'!$Y:$Y,'Threshold Summary'!$K:$K,""),'Pokemon Editor'!$A:$A,'Pokemon Editor'!$F:$F,0)+31+FLOOR(XLOOKUP($Q79,'Threshold Summary'!$Y:$Y,'Threshold Summary'!$P:$P,"")/4))*XLOOKUP($Q79,'Threshold Summary'!$Y:$Y,'Threshold Summary'!$L:$L,""))/100)+5)*XLOOKUP(XLOOKUP($Q79,'Threshold Summary'!$Y:$Y,'Threshold Summary'!$M:$M,""),'Nature Editor'!$A:$A,'Nature Editor'!$B:$B,1)),FLOOR((FLOOR(((2*XLOOKUP(XLOOKUP($Q79,'Threshold Summary'!$Y:$Y,'Threshold Summary'!$K:$K,""),'Pokemon Editor'!$A:$A,'Pokemon Editor'!$H:$H,0)+31+FLOOR(XLOOKUP($Q79,'Threshold Summary'!$Y:$Y,'Threshold Summary'!$R:$R,"")/4))*XLOOKUP($Q79,'Threshold Summary'!$Y:$Y,'Threshold Summary'!$L:$L,""))/100)+5)*XLOOKUP(XLOOKUP($Q79,'Threshold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Editor'!$E:$E,1))),stab,IF(OR(mtype=XLOOKUP(XLOOKUP($Q79,'Threshold Summary'!$Y:$Y,'Threshold Summary'!$K:$K,""),'Pokemon Editor'!$A:$A,'Pokemon Editor'!$C:$C,""),mtype=XLOOKUP(XLOOKUP($Q79,'Threshold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Chart'!$B$1:$S$1,0)))),base,IF(OR(cat="Status",pow=0),0,FLOOR(FLOOR(FLOOR((2*XLOOKUP($Q79,'Threshold Summary'!$Y:$Y,'Threshold Summary'!$L:$L,"")/5+2)*pow*atk/def)/50)+2)),modifier,stab*eff,FLOOR(base*modifier*0.85)),0)</f>
        <v/>
      </c>
      <c r="K79" s="3">
        <f>IFERROR(LET(mtype,XLOOKUP($D79,'Move Editor'!$B:$B,'Move Editor'!$C:$C,""),cat,XLOOKUP($D79,'Move Editor'!$B:$B,'Move Editor'!$D:$D,""),pow,XLOOKUP($D79,'Move Editor'!$B:$B,'Move Editor'!$E:$E,0),acc,XLOOKUP($D79,'Move Editor'!$B:$B,'Move Editor'!$F:$F,100),atk,IF(cat="Physical",FLOOR((FLOOR(((2*XLOOKUP(XLOOKUP($Q79,'Threshold Summary'!$Y:$Y,'Threshold Summary'!$K:$K,""),'Pokemon Editor'!$A:$A,'Pokemon Editor'!$F:$F,0)+31+FLOOR(XLOOKUP($Q79,'Threshold Summary'!$Y:$Y,'Threshold Summary'!$P:$P,"")/4))*XLOOKUP($Q79,'Threshold Summary'!$Y:$Y,'Threshold Summary'!$L:$L,""))/100)+5)*XLOOKUP(XLOOKUP($Q79,'Threshold Summary'!$Y:$Y,'Threshold Summary'!$M:$M,""),'Nature Editor'!$A:$A,'Nature Editor'!$B:$B,1)),FLOOR((FLOOR(((2*XLOOKUP(XLOOKUP($Q79,'Threshold Summary'!$Y:$Y,'Threshold Summary'!$K:$K,""),'Pokemon Editor'!$A:$A,'Pokemon Editor'!$H:$H,0)+31+FLOOR(XLOOKUP($Q79,'Threshold Summary'!$Y:$Y,'Threshold Summary'!$R:$R,"")/4))*XLOOKUP($Q79,'Threshold Summary'!$Y:$Y,'Threshold Summary'!$L:$L,""))/100)+5)*XLOOKUP(XLOOKUP($Q79,'Threshold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Editor'!$E:$E,1))),stab,IF(OR(mtype=XLOOKUP(XLOOKUP($Q79,'Threshold Summary'!$Y:$Y,'Threshold Summary'!$K:$K,""),'Pokemon Editor'!$A:$A,'Pokemon Editor'!$C:$C,""),mtype=XLOOKUP(XLOOKUP($Q79,'Threshold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Chart'!$B$1:$S$1,0)))),base,IF(OR(cat="Status",pow=0),0,FLOOR(FLOOR(FLOOR((2*XLOOKUP($Q79,'Threshold Summary'!$Y:$Y,'Threshold Summary'!$L:$L,"")/5+2)*pow*atk/def)/50)+2)),modifier,stab*eff,FLOOR(base*modifier)),0)</f>
        <v/>
      </c>
      <c r="L79" s="3">
        <f>IFERROR(LET(mtype,XLOOKUP($D79,'Move Editor'!$B:$B,'Move Editor'!$C:$C,""),cat,XLOOKUP($D79,'Move Editor'!$B:$B,'Move Editor'!$D:$D,""),pow,XLOOKUP($D79,'Move Editor'!$B:$B,'Move Editor'!$E:$E,0),acc,XLOOKUP($D79,'Move Editor'!$B:$B,'Move Editor'!$F:$F,100),atk,IF(cat="Physical",FLOOR((FLOOR(((2*XLOOKUP(XLOOKUP($Q79,'Threshold Summary'!$Y:$Y,'Threshold Summary'!$K:$K,""),'Pokemon Editor'!$A:$A,'Pokemon Editor'!$F:$F,0)+31+FLOOR(XLOOKUP($Q79,'Threshold Summary'!$Y:$Y,'Threshold Summary'!$P:$P,"")/4))*XLOOKUP($Q79,'Threshold Summary'!$Y:$Y,'Threshold Summary'!$L:$L,""))/100)+5)*XLOOKUP(XLOOKUP($Q79,'Threshold Summary'!$Y:$Y,'Threshold Summary'!$M:$M,""),'Nature Editor'!$A:$A,'Nature Editor'!$B:$B,1)),FLOOR((FLOOR(((2*XLOOKUP(XLOOKUP($Q79,'Threshold Summary'!$Y:$Y,'Threshold Summary'!$K:$K,""),'Pokemon Editor'!$A:$A,'Pokemon Editor'!$H:$H,0)+31+FLOOR(XLOOKUP($Q79,'Threshold Summary'!$Y:$Y,'Threshold Summary'!$R:$R,"")/4))*XLOOKUP($Q79,'Threshold Summary'!$Y:$Y,'Threshold Summary'!$L:$L,""))/100)+5)*XLOOKUP(XLOOKUP($Q79,'Threshold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Editor'!$E:$E,1))),stab,IF(OR(mtype=XLOOKUP(XLOOKUP($Q79,'Threshold Summary'!$Y:$Y,'Threshold Summary'!$K:$K,""),'Pokemon Editor'!$A:$A,'Pokemon Editor'!$C:$C,""),mtype=XLOOKUP(XLOOKUP($Q79,'Threshold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Chart'!$B$1:$S$1,0)))),base,IF(OR(cat="Status",pow=0),0,FLOOR(FLOOR(FLOOR((2*XLOOKUP($Q79,'Threshold Summary'!$Y:$Y,'Threshold Summary'!$L:$L,"")/5+2)*pow*atk/def)/50)+2)),modifier,stab*eff,AVERAGE(ARRAYFORMULA(FLOOR(base*modifier*SEQUENCE(16,1,85,1)/100)))),0)</f>
        <v/>
      </c>
      <c r="M79" s="3">
        <f>IFERROR(LET(mtype,XLOOKUP($D79,'Move Editor'!$B:$B,'Move Editor'!$C:$C,""),cat,XLOOKUP($D79,'Move Editor'!$B:$B,'Move Editor'!$D:$D,""),pow,XLOOKUP($D79,'Move Editor'!$B:$B,'Move Editor'!$E:$E,0),acc,XLOOKUP($D79,'Move Editor'!$B:$B,'Move Editor'!$F:$F,100),atk,IF(cat="Physical",FLOOR((FLOOR(((2*XLOOKUP(XLOOKUP($Q79,'Threshold Summary'!$Y:$Y,'Threshold Summary'!$K:$K,""),'Pokemon Editor'!$A:$A,'Pokemon Editor'!$F:$F,0)+31+FLOOR(XLOOKUP($Q79,'Threshold Summary'!$Y:$Y,'Threshold Summary'!$P:$P,"")/4))*XLOOKUP($Q79,'Threshold Summary'!$Y:$Y,'Threshold Summary'!$L:$L,""))/100)+5)*XLOOKUP(XLOOKUP($Q79,'Threshold Summary'!$Y:$Y,'Threshold Summary'!$M:$M,""),'Nature Editor'!$A:$A,'Nature Editor'!$B:$B,1)),FLOOR((FLOOR(((2*XLOOKUP(XLOOKUP($Q79,'Threshold Summary'!$Y:$Y,'Threshold Summary'!$K:$K,""),'Pokemon Editor'!$A:$A,'Pokemon Editor'!$H:$H,0)+31+FLOOR(XLOOKUP($Q79,'Threshold Summary'!$Y:$Y,'Threshold Summary'!$R:$R,"")/4))*XLOOKUP($Q79,'Threshold Summary'!$Y:$Y,'Threshold Summary'!$L:$L,""))/100)+5)*XLOOKUP(XLOOKUP($Q79,'Threshold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Editor'!$E:$E,1))),stab,IF(OR(mtype=XLOOKUP(XLOOKUP($Q79,'Threshold Summary'!$Y:$Y,'Threshold Summary'!$K:$K,""),'Pokemon Editor'!$A:$A,'Pokemon Editor'!$C:$C,""),mtype=XLOOKUP(XLOOKUP($Q79,'Threshold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Chart'!$B$1:$S$1,0)))),base,IF(OR(cat="Status",pow=0),0,FLOOR(FLOOR(FLOOR((2*XLOOKUP($Q79,'Threshold Summary'!$Y:$Y,'Threshold Summary'!$L:$L,"")/5+2)*pow*atk/def)/50)+2)),modifier,stab*eff,AVERAGE(ARRAYFORMULA(FLOOR(base*modifier*SEQUENCE(16,1,85,1)/100)))*MIN(1,acc/100)),0)</f>
        <v/>
      </c>
      <c r="N79" s="4">
        <f>IFERROR(LET(mtype,XLOOKUP($D79,'Move Editor'!$B:$B,'Move Editor'!$C:$C,""),cat,XLOOKUP($D79,'Move Editor'!$B:$B,'Move Editor'!$D:$D,""),pow,XLOOKUP($D79,'Move Editor'!$B:$B,'Move Editor'!$E:$E,0),acc,XLOOKUP($D79,'Move Editor'!$B:$B,'Move Editor'!$F:$F,100),atk,IF(cat="Physical",FLOOR((FLOOR(((2*XLOOKUP(XLOOKUP($Q79,'Threshold Summary'!$Y:$Y,'Threshold Summary'!$K:$K,""),'Pokemon Editor'!$A:$A,'Pokemon Editor'!$F:$F,0)+31+FLOOR(XLOOKUP($Q79,'Threshold Summary'!$Y:$Y,'Threshold Summary'!$P:$P,"")/4))*XLOOKUP($Q79,'Threshold Summary'!$Y:$Y,'Threshold Summary'!$L:$L,""))/100)+5)*XLOOKUP(XLOOKUP($Q79,'Threshold Summary'!$Y:$Y,'Threshold Summary'!$M:$M,""),'Nature Editor'!$A:$A,'Nature Editor'!$B:$B,1)),FLOOR((FLOOR(((2*XLOOKUP(XLOOKUP($Q79,'Threshold Summary'!$Y:$Y,'Threshold Summary'!$K:$K,""),'Pokemon Editor'!$A:$A,'Pokemon Editor'!$H:$H,0)+31+FLOOR(XLOOKUP($Q79,'Threshold Summary'!$Y:$Y,'Threshold Summary'!$R:$R,"")/4))*XLOOKUP($Q79,'Threshold Summary'!$Y:$Y,'Threshold Summary'!$L:$L,""))/100)+5)*XLOOKUP(XLOOKUP($Q79,'Threshold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Editor'!$E:$E,1))),stab,IF(OR(mtype=XLOOKUP(XLOOKUP($Q79,'Threshold Summary'!$Y:$Y,'Threshold Summary'!$K:$K,""),'Pokemon Editor'!$A:$A,'Pokemon Editor'!$C:$C,""),mtype=XLOOKUP(XLOOKUP($Q79,'Threshold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Chart'!$B$1:$S$1,0)))),base,IF(OR(cat="Status",pow=0),0,FLOOR(FLOOR(FLOOR((2*XLOOKUP($Q79,'Threshold Summary'!$Y:$Y,'Threshold Summary'!$L:$L,"")/5+2)*pow*atk/def)/50)+2)),modifier,stab*eff,AVERAGE(ARRAYFORMULA(FLOOR(base*modifier*SEQUENCE(16,1,85,1)/100)))/(FLOOR(((2*XLOOKUP('Boss Editor'!$C$4,'Pokemon Editor'!$A:$A,'Pokemon Editor'!$E:$E,0)+31+FLOOR('Boss Editor'!$G$4/4))*'Boss Editor'!$D$4)/100)+'Boss Editor'!$D$4+10)),0)</f>
        <v/>
      </c>
      <c r="O79" s="3">
        <f>IF(N79&gt;=1,"OHKO",IF(N79&gt;=0.5,"2HKO",IF(N79&gt;=0.333,"3HKO",IF(N79&gt;=0.25,"4HKO","5HKO+"))))</f>
        <v/>
      </c>
      <c r="P79" s="3" t="inlineStr">
        <is>
          <t>Live from editable databases</t>
        </is>
      </c>
      <c r="Q79" s="3" t="inlineStr">
        <is>
          <t>SPECIES_MAREEP</t>
        </is>
      </c>
      <c r="R79" s="3" t="n">
        <v>14</v>
      </c>
    </row>
    <row r="80">
      <c r="A80" s="3">
        <f>XLOOKUP($Q80,'Threshold Summary'!$Y:$Y,'Threshold Summary'!$A:$A,"")</f>
        <v/>
      </c>
      <c r="B80" s="3">
        <f>XLOOKUP($Q80,'Threshold Summary'!$Y:$Y,'Threshold Summary'!$M:$M,"")</f>
        <v/>
      </c>
      <c r="C80" s="3">
        <f>XLOOKUP($Q80,'Threshold Summary'!$Y:$Y,'Threshold Summary'!$N:$N,"")</f>
        <v/>
      </c>
      <c r="D80" s="3">
        <f>IFERROR(INDEX(FILTER('Learnset Editor'!$D$2:$D,'Learnset Editor'!$A$2:$A=XLOOKUP($Q80,'Threshold Summary'!$Y:$Y,'Threshold Summary'!$K:$K,""),'Learnset Editor'!$C$2:$C&lt;=XLOOKUP($Q80,'Threshold Summary'!$Y:$Y,'Threshold Summary'!$L:$L,"")),$R80),"")</f>
        <v/>
      </c>
      <c r="E80" s="3">
        <f>XLOOKUP(D80,'Move Editor'!$B:$B,'Move Editor'!$C:$C,"")</f>
        <v/>
      </c>
      <c r="F80" s="3">
        <f>XLOOKUP(D80,'Move Editor'!$B:$B,'Move Editor'!$D:$D,"")</f>
        <v/>
      </c>
      <c r="G80" s="3">
        <f>XLOOKUP(D80,'Move Editor'!$B:$B,'Move Editor'!$E:$E,0)</f>
        <v/>
      </c>
      <c r="H80" s="3">
        <f>XLOOKUP(D80,'Move Editor'!$B:$B,'Move Editor'!$F:$F,0)</f>
        <v/>
      </c>
      <c r="I80" s="3">
        <f>(INDEX('Type Chart'!$B:$S,MATCH(E80,'Type Chart'!$A:$A,0),MATCH(XLOOKUP('Boss Editor'!$C$4,'Pokemon Editor'!$A:$A,'Pokemon Editor'!$C:$C,""),'Type Chart'!$B$1:$S$1,0))*IF(XLOOKUP('Boss Editor'!$C$4,'Pokemon Editor'!$A:$A,'Pokemon Editor'!$D:$D,"")="",1,INDEX('Type Chart'!$B:$S,MATCH(E80,'Type Chart'!$A:$A,0),MATCH(XLOOKUP('Boss Editor'!$C$4,'Pokemon Editor'!$A:$A,'Pokemon Editor'!$D:$D,""),'Type Chart'!$B$1:$S$1,0))))</f>
        <v/>
      </c>
      <c r="J80" s="3">
        <f>IFERROR(LET(mtype,XLOOKUP($D80,'Move Editor'!$B:$B,'Move Editor'!$C:$C,""),cat,XLOOKUP($D80,'Move Editor'!$B:$B,'Move Editor'!$D:$D,""),pow,XLOOKUP($D80,'Move Editor'!$B:$B,'Move Editor'!$E:$E,0),acc,XLOOKUP($D80,'Move Editor'!$B:$B,'Move Editor'!$F:$F,100),atk,IF(cat="Physical",FLOOR((FLOOR(((2*XLOOKUP(XLOOKUP($Q80,'Threshold Summary'!$Y:$Y,'Threshold Summary'!$K:$K,""),'Pokemon Editor'!$A:$A,'Pokemon Editor'!$F:$F,0)+31+FLOOR(XLOOKUP($Q80,'Threshold Summary'!$Y:$Y,'Threshold Summary'!$P:$P,"")/4))*XLOOKUP($Q80,'Threshold Summary'!$Y:$Y,'Threshold Summary'!$L:$L,""))/100)+5)*XLOOKUP(XLOOKUP($Q80,'Threshold Summary'!$Y:$Y,'Threshold Summary'!$M:$M,""),'Nature Editor'!$A:$A,'Nature Editor'!$B:$B,1)),FLOOR((FLOOR(((2*XLOOKUP(XLOOKUP($Q80,'Threshold Summary'!$Y:$Y,'Threshold Summary'!$K:$K,""),'Pokemon Editor'!$A:$A,'Pokemon Editor'!$H:$H,0)+31+FLOOR(XLOOKUP($Q80,'Threshold Summary'!$Y:$Y,'Threshold Summary'!$R:$R,"")/4))*XLOOKUP($Q80,'Threshold Summary'!$Y:$Y,'Threshold Summary'!$L:$L,""))/100)+5)*XLOOKUP(XLOOKUP($Q80,'Threshold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Editor'!$E:$E,1))),stab,IF(OR(mtype=XLOOKUP(XLOOKUP($Q80,'Threshold Summary'!$Y:$Y,'Threshold Summary'!$K:$K,""),'Pokemon Editor'!$A:$A,'Pokemon Editor'!$C:$C,""),mtype=XLOOKUP(XLOOKUP($Q80,'Threshold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Chart'!$B$1:$S$1,0)))),base,IF(OR(cat="Status",pow=0),0,FLOOR(FLOOR(FLOOR((2*XLOOKUP($Q80,'Threshold Summary'!$Y:$Y,'Threshold Summary'!$L:$L,"")/5+2)*pow*atk/def)/50)+2)),modifier,stab*eff,FLOOR(base*modifier*0.85)),0)</f>
        <v/>
      </c>
      <c r="K80" s="3">
        <f>IFERROR(LET(mtype,XLOOKUP($D80,'Move Editor'!$B:$B,'Move Editor'!$C:$C,""),cat,XLOOKUP($D80,'Move Editor'!$B:$B,'Move Editor'!$D:$D,""),pow,XLOOKUP($D80,'Move Editor'!$B:$B,'Move Editor'!$E:$E,0),acc,XLOOKUP($D80,'Move Editor'!$B:$B,'Move Editor'!$F:$F,100),atk,IF(cat="Physical",FLOOR((FLOOR(((2*XLOOKUP(XLOOKUP($Q80,'Threshold Summary'!$Y:$Y,'Threshold Summary'!$K:$K,""),'Pokemon Editor'!$A:$A,'Pokemon Editor'!$F:$F,0)+31+FLOOR(XLOOKUP($Q80,'Threshold Summary'!$Y:$Y,'Threshold Summary'!$P:$P,"")/4))*XLOOKUP($Q80,'Threshold Summary'!$Y:$Y,'Threshold Summary'!$L:$L,""))/100)+5)*XLOOKUP(XLOOKUP($Q80,'Threshold Summary'!$Y:$Y,'Threshold Summary'!$M:$M,""),'Nature Editor'!$A:$A,'Nature Editor'!$B:$B,1)),FLOOR((FLOOR(((2*XLOOKUP(XLOOKUP($Q80,'Threshold Summary'!$Y:$Y,'Threshold Summary'!$K:$K,""),'Pokemon Editor'!$A:$A,'Pokemon Editor'!$H:$H,0)+31+FLOOR(XLOOKUP($Q80,'Threshold Summary'!$Y:$Y,'Threshold Summary'!$R:$R,"")/4))*XLOOKUP($Q80,'Threshold Summary'!$Y:$Y,'Threshold Summary'!$L:$L,""))/100)+5)*XLOOKUP(XLOOKUP($Q80,'Threshold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Editor'!$E:$E,1))),stab,IF(OR(mtype=XLOOKUP(XLOOKUP($Q80,'Threshold Summary'!$Y:$Y,'Threshold Summary'!$K:$K,""),'Pokemon Editor'!$A:$A,'Pokemon Editor'!$C:$C,""),mtype=XLOOKUP(XLOOKUP($Q80,'Threshold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Chart'!$B$1:$S$1,0)))),base,IF(OR(cat="Status",pow=0),0,FLOOR(FLOOR(FLOOR((2*XLOOKUP($Q80,'Threshold Summary'!$Y:$Y,'Threshold Summary'!$L:$L,"")/5+2)*pow*atk/def)/50)+2)),modifier,stab*eff,FLOOR(base*modifier)),0)</f>
        <v/>
      </c>
      <c r="L80" s="3">
        <f>IFERROR(LET(mtype,XLOOKUP($D80,'Move Editor'!$B:$B,'Move Editor'!$C:$C,""),cat,XLOOKUP($D80,'Move Editor'!$B:$B,'Move Editor'!$D:$D,""),pow,XLOOKUP($D80,'Move Editor'!$B:$B,'Move Editor'!$E:$E,0),acc,XLOOKUP($D80,'Move Editor'!$B:$B,'Move Editor'!$F:$F,100),atk,IF(cat="Physical",FLOOR((FLOOR(((2*XLOOKUP(XLOOKUP($Q80,'Threshold Summary'!$Y:$Y,'Threshold Summary'!$K:$K,""),'Pokemon Editor'!$A:$A,'Pokemon Editor'!$F:$F,0)+31+FLOOR(XLOOKUP($Q80,'Threshold Summary'!$Y:$Y,'Threshold Summary'!$P:$P,"")/4))*XLOOKUP($Q80,'Threshold Summary'!$Y:$Y,'Threshold Summary'!$L:$L,""))/100)+5)*XLOOKUP(XLOOKUP($Q80,'Threshold Summary'!$Y:$Y,'Threshold Summary'!$M:$M,""),'Nature Editor'!$A:$A,'Nature Editor'!$B:$B,1)),FLOOR((FLOOR(((2*XLOOKUP(XLOOKUP($Q80,'Threshold Summary'!$Y:$Y,'Threshold Summary'!$K:$K,""),'Pokemon Editor'!$A:$A,'Pokemon Editor'!$H:$H,0)+31+FLOOR(XLOOKUP($Q80,'Threshold Summary'!$Y:$Y,'Threshold Summary'!$R:$R,"")/4))*XLOOKUP($Q80,'Threshold Summary'!$Y:$Y,'Threshold Summary'!$L:$L,""))/100)+5)*XLOOKUP(XLOOKUP($Q80,'Threshold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Editor'!$E:$E,1))),stab,IF(OR(mtype=XLOOKUP(XLOOKUP($Q80,'Threshold Summary'!$Y:$Y,'Threshold Summary'!$K:$K,""),'Pokemon Editor'!$A:$A,'Pokemon Editor'!$C:$C,""),mtype=XLOOKUP(XLOOKUP($Q80,'Threshold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Chart'!$B$1:$S$1,0)))),base,IF(OR(cat="Status",pow=0),0,FLOOR(FLOOR(FLOOR((2*XLOOKUP($Q80,'Threshold Summary'!$Y:$Y,'Threshold Summary'!$L:$L,"")/5+2)*pow*atk/def)/50)+2)),modifier,stab*eff,AVERAGE(ARRAYFORMULA(FLOOR(base*modifier*SEQUENCE(16,1,85,1)/100)))),0)</f>
        <v/>
      </c>
      <c r="M80" s="3">
        <f>IFERROR(LET(mtype,XLOOKUP($D80,'Move Editor'!$B:$B,'Move Editor'!$C:$C,""),cat,XLOOKUP($D80,'Move Editor'!$B:$B,'Move Editor'!$D:$D,""),pow,XLOOKUP($D80,'Move Editor'!$B:$B,'Move Editor'!$E:$E,0),acc,XLOOKUP($D80,'Move Editor'!$B:$B,'Move Editor'!$F:$F,100),atk,IF(cat="Physical",FLOOR((FLOOR(((2*XLOOKUP(XLOOKUP($Q80,'Threshold Summary'!$Y:$Y,'Threshold Summary'!$K:$K,""),'Pokemon Editor'!$A:$A,'Pokemon Editor'!$F:$F,0)+31+FLOOR(XLOOKUP($Q80,'Threshold Summary'!$Y:$Y,'Threshold Summary'!$P:$P,"")/4))*XLOOKUP($Q80,'Threshold Summary'!$Y:$Y,'Threshold Summary'!$L:$L,""))/100)+5)*XLOOKUP(XLOOKUP($Q80,'Threshold Summary'!$Y:$Y,'Threshold Summary'!$M:$M,""),'Nature Editor'!$A:$A,'Nature Editor'!$B:$B,1)),FLOOR((FLOOR(((2*XLOOKUP(XLOOKUP($Q80,'Threshold Summary'!$Y:$Y,'Threshold Summary'!$K:$K,""),'Pokemon Editor'!$A:$A,'Pokemon Editor'!$H:$H,0)+31+FLOOR(XLOOKUP($Q80,'Threshold Summary'!$Y:$Y,'Threshold Summary'!$R:$R,"")/4))*XLOOKUP($Q80,'Threshold Summary'!$Y:$Y,'Threshold Summary'!$L:$L,""))/100)+5)*XLOOKUP(XLOOKUP($Q80,'Threshold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Editor'!$E:$E,1))),stab,IF(OR(mtype=XLOOKUP(XLOOKUP($Q80,'Threshold Summary'!$Y:$Y,'Threshold Summary'!$K:$K,""),'Pokemon Editor'!$A:$A,'Pokemon Editor'!$C:$C,""),mtype=XLOOKUP(XLOOKUP($Q80,'Threshold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Chart'!$B$1:$S$1,0)))),base,IF(OR(cat="Status",pow=0),0,FLOOR(FLOOR(FLOOR((2*XLOOKUP($Q80,'Threshold Summary'!$Y:$Y,'Threshold Summary'!$L:$L,"")/5+2)*pow*atk/def)/50)+2)),modifier,stab*eff,AVERAGE(ARRAYFORMULA(FLOOR(base*modifier*SEQUENCE(16,1,85,1)/100)))*MIN(1,acc/100)),0)</f>
        <v/>
      </c>
      <c r="N80" s="4">
        <f>IFERROR(LET(mtype,XLOOKUP($D80,'Move Editor'!$B:$B,'Move Editor'!$C:$C,""),cat,XLOOKUP($D80,'Move Editor'!$B:$B,'Move Editor'!$D:$D,""),pow,XLOOKUP($D80,'Move Editor'!$B:$B,'Move Editor'!$E:$E,0),acc,XLOOKUP($D80,'Move Editor'!$B:$B,'Move Editor'!$F:$F,100),atk,IF(cat="Physical",FLOOR((FLOOR(((2*XLOOKUP(XLOOKUP($Q80,'Threshold Summary'!$Y:$Y,'Threshold Summary'!$K:$K,""),'Pokemon Editor'!$A:$A,'Pokemon Editor'!$F:$F,0)+31+FLOOR(XLOOKUP($Q80,'Threshold Summary'!$Y:$Y,'Threshold Summary'!$P:$P,"")/4))*XLOOKUP($Q80,'Threshold Summary'!$Y:$Y,'Threshold Summary'!$L:$L,""))/100)+5)*XLOOKUP(XLOOKUP($Q80,'Threshold Summary'!$Y:$Y,'Threshold Summary'!$M:$M,""),'Nature Editor'!$A:$A,'Nature Editor'!$B:$B,1)),FLOOR((FLOOR(((2*XLOOKUP(XLOOKUP($Q80,'Threshold Summary'!$Y:$Y,'Threshold Summary'!$K:$K,""),'Pokemon Editor'!$A:$A,'Pokemon Editor'!$H:$H,0)+31+FLOOR(XLOOKUP($Q80,'Threshold Summary'!$Y:$Y,'Threshold Summary'!$R:$R,"")/4))*XLOOKUP($Q80,'Threshold Summary'!$Y:$Y,'Threshold Summary'!$L:$L,""))/100)+5)*XLOOKUP(XLOOKUP($Q80,'Threshold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Editor'!$E:$E,1))),stab,IF(OR(mtype=XLOOKUP(XLOOKUP($Q80,'Threshold Summary'!$Y:$Y,'Threshold Summary'!$K:$K,""),'Pokemon Editor'!$A:$A,'Pokemon Editor'!$C:$C,""),mtype=XLOOKUP(XLOOKUP($Q80,'Threshold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Chart'!$B$1:$S$1,0)))),base,IF(OR(cat="Status",pow=0),0,FLOOR(FLOOR(FLOOR((2*XLOOKUP($Q80,'Threshold Summary'!$Y:$Y,'Threshold Summary'!$L:$L,"")/5+2)*pow*atk/def)/50)+2)),modifier,stab*eff,AVERAGE(ARRAYFORMULA(FLOOR(base*modifier*SEQUENCE(16,1,85,1)/100)))/(FLOOR(((2*XLOOKUP('Boss Editor'!$C$4,'Pokemon Editor'!$A:$A,'Pokemon Editor'!$E:$E,0)+31+FLOOR('Boss Editor'!$G$4/4))*'Boss Editor'!$D$4)/100)+'Boss Editor'!$D$4+10)),0)</f>
        <v/>
      </c>
      <c r="O80" s="3">
        <f>IF(N80&gt;=1,"OHKO",IF(N80&gt;=0.5,"2HKO",IF(N80&gt;=0.333,"3HKO",IF(N80&gt;=0.25,"4HKO","5HKO+"))))</f>
        <v/>
      </c>
      <c r="P80" s="3" t="inlineStr">
        <is>
          <t>Live from editable databases</t>
        </is>
      </c>
      <c r="Q80" s="3" t="inlineStr">
        <is>
          <t>SPECIES_MAREEP</t>
        </is>
      </c>
      <c r="R80" s="3" t="n">
        <v>15</v>
      </c>
    </row>
    <row r="81">
      <c r="A81" s="3">
        <f>XLOOKUP($Q81,'Threshold Summary'!$Y:$Y,'Threshold Summary'!$A:$A,"")</f>
        <v/>
      </c>
      <c r="B81" s="3">
        <f>XLOOKUP($Q81,'Threshold Summary'!$Y:$Y,'Threshold Summary'!$M:$M,"")</f>
        <v/>
      </c>
      <c r="C81" s="3">
        <f>XLOOKUP($Q81,'Threshold Summary'!$Y:$Y,'Threshold Summary'!$N:$N,"")</f>
        <v/>
      </c>
      <c r="D81" s="3">
        <f>IFERROR(INDEX(FILTER('Learnset Editor'!$D$2:$D,'Learnset Editor'!$A$2:$A=XLOOKUP($Q81,'Threshold Summary'!$Y:$Y,'Threshold Summary'!$K:$K,""),'Learnset Editor'!$C$2:$C&lt;=XLOOKUP($Q81,'Threshold Summary'!$Y:$Y,'Threshold Summary'!$L:$L,"")),$R81),"")</f>
        <v/>
      </c>
      <c r="E81" s="3">
        <f>XLOOKUP(D81,'Move Editor'!$B:$B,'Move Editor'!$C:$C,"")</f>
        <v/>
      </c>
      <c r="F81" s="3">
        <f>XLOOKUP(D81,'Move Editor'!$B:$B,'Move Editor'!$D:$D,"")</f>
        <v/>
      </c>
      <c r="G81" s="3">
        <f>XLOOKUP(D81,'Move Editor'!$B:$B,'Move Editor'!$E:$E,0)</f>
        <v/>
      </c>
      <c r="H81" s="3">
        <f>XLOOKUP(D81,'Move Editor'!$B:$B,'Move Editor'!$F:$F,0)</f>
        <v/>
      </c>
      <c r="I81" s="3">
        <f>(INDEX('Type Chart'!$B:$S,MATCH(E81,'Type Chart'!$A:$A,0),MATCH(XLOOKUP('Boss Editor'!$C$4,'Pokemon Editor'!$A:$A,'Pokemon Editor'!$C:$C,""),'Type Chart'!$B$1:$S$1,0))*IF(XLOOKUP('Boss Editor'!$C$4,'Pokemon Editor'!$A:$A,'Pokemon Editor'!$D:$D,"")="",1,INDEX('Type Chart'!$B:$S,MATCH(E81,'Type Chart'!$A:$A,0),MATCH(XLOOKUP('Boss Editor'!$C$4,'Pokemon Editor'!$A:$A,'Pokemon Editor'!$D:$D,""),'Type Chart'!$B$1:$S$1,0))))</f>
        <v/>
      </c>
      <c r="J81" s="3">
        <f>IFERROR(LET(mtype,XLOOKUP($D81,'Move Editor'!$B:$B,'Move Editor'!$C:$C,""),cat,XLOOKUP($D81,'Move Editor'!$B:$B,'Move Editor'!$D:$D,""),pow,XLOOKUP($D81,'Move Editor'!$B:$B,'Move Editor'!$E:$E,0),acc,XLOOKUP($D81,'Move Editor'!$B:$B,'Move Editor'!$F:$F,100),atk,IF(cat="Physical",FLOOR((FLOOR(((2*XLOOKUP(XLOOKUP($Q81,'Threshold Summary'!$Y:$Y,'Threshold Summary'!$K:$K,""),'Pokemon Editor'!$A:$A,'Pokemon Editor'!$F:$F,0)+31+FLOOR(XLOOKUP($Q81,'Threshold Summary'!$Y:$Y,'Threshold Summary'!$P:$P,"")/4))*XLOOKUP($Q81,'Threshold Summary'!$Y:$Y,'Threshold Summary'!$L:$L,""))/100)+5)*XLOOKUP(XLOOKUP($Q81,'Threshold Summary'!$Y:$Y,'Threshold Summary'!$M:$M,""),'Nature Editor'!$A:$A,'Nature Editor'!$B:$B,1)),FLOOR((FLOOR(((2*XLOOKUP(XLOOKUP($Q81,'Threshold Summary'!$Y:$Y,'Threshold Summary'!$K:$K,""),'Pokemon Editor'!$A:$A,'Pokemon Editor'!$H:$H,0)+31+FLOOR(XLOOKUP($Q81,'Threshold Summary'!$Y:$Y,'Threshold Summary'!$R:$R,"")/4))*XLOOKUP($Q81,'Threshold Summary'!$Y:$Y,'Threshold Summary'!$L:$L,""))/100)+5)*XLOOKUP(XLOOKUP($Q81,'Threshold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Editor'!$E:$E,1))),stab,IF(OR(mtype=XLOOKUP(XLOOKUP($Q81,'Threshold Summary'!$Y:$Y,'Threshold Summary'!$K:$K,""),'Pokemon Editor'!$A:$A,'Pokemon Editor'!$C:$C,""),mtype=XLOOKUP(XLOOKUP($Q81,'Threshold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Chart'!$B$1:$S$1,0)))),base,IF(OR(cat="Status",pow=0),0,FLOOR(FLOOR(FLOOR((2*XLOOKUP($Q81,'Threshold Summary'!$Y:$Y,'Threshold Summary'!$L:$L,"")/5+2)*pow*atk/def)/50)+2)),modifier,stab*eff,FLOOR(base*modifier*0.85)),0)</f>
        <v/>
      </c>
      <c r="K81" s="3">
        <f>IFERROR(LET(mtype,XLOOKUP($D81,'Move Editor'!$B:$B,'Move Editor'!$C:$C,""),cat,XLOOKUP($D81,'Move Editor'!$B:$B,'Move Editor'!$D:$D,""),pow,XLOOKUP($D81,'Move Editor'!$B:$B,'Move Editor'!$E:$E,0),acc,XLOOKUP($D81,'Move Editor'!$B:$B,'Move Editor'!$F:$F,100),atk,IF(cat="Physical",FLOOR((FLOOR(((2*XLOOKUP(XLOOKUP($Q81,'Threshold Summary'!$Y:$Y,'Threshold Summary'!$K:$K,""),'Pokemon Editor'!$A:$A,'Pokemon Editor'!$F:$F,0)+31+FLOOR(XLOOKUP($Q81,'Threshold Summary'!$Y:$Y,'Threshold Summary'!$P:$P,"")/4))*XLOOKUP($Q81,'Threshold Summary'!$Y:$Y,'Threshold Summary'!$L:$L,""))/100)+5)*XLOOKUP(XLOOKUP($Q81,'Threshold Summary'!$Y:$Y,'Threshold Summary'!$M:$M,""),'Nature Editor'!$A:$A,'Nature Editor'!$B:$B,1)),FLOOR((FLOOR(((2*XLOOKUP(XLOOKUP($Q81,'Threshold Summary'!$Y:$Y,'Threshold Summary'!$K:$K,""),'Pokemon Editor'!$A:$A,'Pokemon Editor'!$H:$H,0)+31+FLOOR(XLOOKUP($Q81,'Threshold Summary'!$Y:$Y,'Threshold Summary'!$R:$R,"")/4))*XLOOKUP($Q81,'Threshold Summary'!$Y:$Y,'Threshold Summary'!$L:$L,""))/100)+5)*XLOOKUP(XLOOKUP($Q81,'Threshold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Editor'!$E:$E,1))),stab,IF(OR(mtype=XLOOKUP(XLOOKUP($Q81,'Threshold Summary'!$Y:$Y,'Threshold Summary'!$K:$K,""),'Pokemon Editor'!$A:$A,'Pokemon Editor'!$C:$C,""),mtype=XLOOKUP(XLOOKUP($Q81,'Threshold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Chart'!$B$1:$S$1,0)))),base,IF(OR(cat="Status",pow=0),0,FLOOR(FLOOR(FLOOR((2*XLOOKUP($Q81,'Threshold Summary'!$Y:$Y,'Threshold Summary'!$L:$L,"")/5+2)*pow*atk/def)/50)+2)),modifier,stab*eff,FLOOR(base*modifier)),0)</f>
        <v/>
      </c>
      <c r="L81" s="3">
        <f>IFERROR(LET(mtype,XLOOKUP($D81,'Move Editor'!$B:$B,'Move Editor'!$C:$C,""),cat,XLOOKUP($D81,'Move Editor'!$B:$B,'Move Editor'!$D:$D,""),pow,XLOOKUP($D81,'Move Editor'!$B:$B,'Move Editor'!$E:$E,0),acc,XLOOKUP($D81,'Move Editor'!$B:$B,'Move Editor'!$F:$F,100),atk,IF(cat="Physical",FLOOR((FLOOR(((2*XLOOKUP(XLOOKUP($Q81,'Threshold Summary'!$Y:$Y,'Threshold Summary'!$K:$K,""),'Pokemon Editor'!$A:$A,'Pokemon Editor'!$F:$F,0)+31+FLOOR(XLOOKUP($Q81,'Threshold Summary'!$Y:$Y,'Threshold Summary'!$P:$P,"")/4))*XLOOKUP($Q81,'Threshold Summary'!$Y:$Y,'Threshold Summary'!$L:$L,""))/100)+5)*XLOOKUP(XLOOKUP($Q81,'Threshold Summary'!$Y:$Y,'Threshold Summary'!$M:$M,""),'Nature Editor'!$A:$A,'Nature Editor'!$B:$B,1)),FLOOR((FLOOR(((2*XLOOKUP(XLOOKUP($Q81,'Threshold Summary'!$Y:$Y,'Threshold Summary'!$K:$K,""),'Pokemon Editor'!$A:$A,'Pokemon Editor'!$H:$H,0)+31+FLOOR(XLOOKUP($Q81,'Threshold Summary'!$Y:$Y,'Threshold Summary'!$R:$R,"")/4))*XLOOKUP($Q81,'Threshold Summary'!$Y:$Y,'Threshold Summary'!$L:$L,""))/100)+5)*XLOOKUP(XLOOKUP($Q81,'Threshold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Editor'!$E:$E,1))),stab,IF(OR(mtype=XLOOKUP(XLOOKUP($Q81,'Threshold Summary'!$Y:$Y,'Threshold Summary'!$K:$K,""),'Pokemon Editor'!$A:$A,'Pokemon Editor'!$C:$C,""),mtype=XLOOKUP(XLOOKUP($Q81,'Threshold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Chart'!$B$1:$S$1,0)))),base,IF(OR(cat="Status",pow=0),0,FLOOR(FLOOR(FLOOR((2*XLOOKUP($Q81,'Threshold Summary'!$Y:$Y,'Threshold Summary'!$L:$L,"")/5+2)*pow*atk/def)/50)+2)),modifier,stab*eff,AVERAGE(ARRAYFORMULA(FLOOR(base*modifier*SEQUENCE(16,1,85,1)/100)))),0)</f>
        <v/>
      </c>
      <c r="M81" s="3">
        <f>IFERROR(LET(mtype,XLOOKUP($D81,'Move Editor'!$B:$B,'Move Editor'!$C:$C,""),cat,XLOOKUP($D81,'Move Editor'!$B:$B,'Move Editor'!$D:$D,""),pow,XLOOKUP($D81,'Move Editor'!$B:$B,'Move Editor'!$E:$E,0),acc,XLOOKUP($D81,'Move Editor'!$B:$B,'Move Editor'!$F:$F,100),atk,IF(cat="Physical",FLOOR((FLOOR(((2*XLOOKUP(XLOOKUP($Q81,'Threshold Summary'!$Y:$Y,'Threshold Summary'!$K:$K,""),'Pokemon Editor'!$A:$A,'Pokemon Editor'!$F:$F,0)+31+FLOOR(XLOOKUP($Q81,'Threshold Summary'!$Y:$Y,'Threshold Summary'!$P:$P,"")/4))*XLOOKUP($Q81,'Threshold Summary'!$Y:$Y,'Threshold Summary'!$L:$L,""))/100)+5)*XLOOKUP(XLOOKUP($Q81,'Threshold Summary'!$Y:$Y,'Threshold Summary'!$M:$M,""),'Nature Editor'!$A:$A,'Nature Editor'!$B:$B,1)),FLOOR((FLOOR(((2*XLOOKUP(XLOOKUP($Q81,'Threshold Summary'!$Y:$Y,'Threshold Summary'!$K:$K,""),'Pokemon Editor'!$A:$A,'Pokemon Editor'!$H:$H,0)+31+FLOOR(XLOOKUP($Q81,'Threshold Summary'!$Y:$Y,'Threshold Summary'!$R:$R,"")/4))*XLOOKUP($Q81,'Threshold Summary'!$Y:$Y,'Threshold Summary'!$L:$L,""))/100)+5)*XLOOKUP(XLOOKUP($Q81,'Threshold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Editor'!$E:$E,1))),stab,IF(OR(mtype=XLOOKUP(XLOOKUP($Q81,'Threshold Summary'!$Y:$Y,'Threshold Summary'!$K:$K,""),'Pokemon Editor'!$A:$A,'Pokemon Editor'!$C:$C,""),mtype=XLOOKUP(XLOOKUP($Q81,'Threshold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Chart'!$B$1:$S$1,0)))),base,IF(OR(cat="Status",pow=0),0,FLOOR(FLOOR(FLOOR((2*XLOOKUP($Q81,'Threshold Summary'!$Y:$Y,'Threshold Summary'!$L:$L,"")/5+2)*pow*atk/def)/50)+2)),modifier,stab*eff,AVERAGE(ARRAYFORMULA(FLOOR(base*modifier*SEQUENCE(16,1,85,1)/100)))*MIN(1,acc/100)),0)</f>
        <v/>
      </c>
      <c r="N81" s="4">
        <f>IFERROR(LET(mtype,XLOOKUP($D81,'Move Editor'!$B:$B,'Move Editor'!$C:$C,""),cat,XLOOKUP($D81,'Move Editor'!$B:$B,'Move Editor'!$D:$D,""),pow,XLOOKUP($D81,'Move Editor'!$B:$B,'Move Editor'!$E:$E,0),acc,XLOOKUP($D81,'Move Editor'!$B:$B,'Move Editor'!$F:$F,100),atk,IF(cat="Physical",FLOOR((FLOOR(((2*XLOOKUP(XLOOKUP($Q81,'Threshold Summary'!$Y:$Y,'Threshold Summary'!$K:$K,""),'Pokemon Editor'!$A:$A,'Pokemon Editor'!$F:$F,0)+31+FLOOR(XLOOKUP($Q81,'Threshold Summary'!$Y:$Y,'Threshold Summary'!$P:$P,"")/4))*XLOOKUP($Q81,'Threshold Summary'!$Y:$Y,'Threshold Summary'!$L:$L,""))/100)+5)*XLOOKUP(XLOOKUP($Q81,'Threshold Summary'!$Y:$Y,'Threshold Summary'!$M:$M,""),'Nature Editor'!$A:$A,'Nature Editor'!$B:$B,1)),FLOOR((FLOOR(((2*XLOOKUP(XLOOKUP($Q81,'Threshold Summary'!$Y:$Y,'Threshold Summary'!$K:$K,""),'Pokemon Editor'!$A:$A,'Pokemon Editor'!$H:$H,0)+31+FLOOR(XLOOKUP($Q81,'Threshold Summary'!$Y:$Y,'Threshold Summary'!$R:$R,"")/4))*XLOOKUP($Q81,'Threshold Summary'!$Y:$Y,'Threshold Summary'!$L:$L,""))/100)+5)*XLOOKUP(XLOOKUP($Q81,'Threshold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Editor'!$E:$E,1))),stab,IF(OR(mtype=XLOOKUP(XLOOKUP($Q81,'Threshold Summary'!$Y:$Y,'Threshold Summary'!$K:$K,""),'Pokemon Editor'!$A:$A,'Pokemon Editor'!$C:$C,""),mtype=XLOOKUP(XLOOKUP($Q81,'Threshold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Chart'!$B$1:$S$1,0)))),base,IF(OR(cat="Status",pow=0),0,FLOOR(FLOOR(FLOOR((2*XLOOKUP($Q81,'Threshold Summary'!$Y:$Y,'Threshold Summary'!$L:$L,"")/5+2)*pow*atk/def)/50)+2)),modifier,stab*eff,AVERAGE(ARRAYFORMULA(FLOOR(base*modifier*SEQUENCE(16,1,85,1)/100)))/(FLOOR(((2*XLOOKUP('Boss Editor'!$C$4,'Pokemon Editor'!$A:$A,'Pokemon Editor'!$E:$E,0)+31+FLOOR('Boss Editor'!$G$4/4))*'Boss Editor'!$D$4)/100)+'Boss Editor'!$D$4+10)),0)</f>
        <v/>
      </c>
      <c r="O81" s="3">
        <f>IF(N81&gt;=1,"OHKO",IF(N81&gt;=0.5,"2HKO",IF(N81&gt;=0.333,"3HKO",IF(N81&gt;=0.25,"4HKO","5HKO+"))))</f>
        <v/>
      </c>
      <c r="P81" s="3" t="inlineStr">
        <is>
          <t>Live from editable databases</t>
        </is>
      </c>
      <c r="Q81" s="3" t="inlineStr">
        <is>
          <t>SPECIES_MAREEP</t>
        </is>
      </c>
      <c r="R81" s="3" t="n">
        <v>16</v>
      </c>
    </row>
    <row r="82">
      <c r="A82" s="3">
        <f>XLOOKUP($Q82,'Threshold Summary'!$Y:$Y,'Threshold Summary'!$A:$A,"")</f>
        <v/>
      </c>
      <c r="B82" s="3">
        <f>XLOOKUP($Q82,'Threshold Summary'!$Y:$Y,'Threshold Summary'!$M:$M,"")</f>
        <v/>
      </c>
      <c r="C82" s="3">
        <f>XLOOKUP($Q82,'Threshold Summary'!$Y:$Y,'Threshold Summary'!$N:$N,"")</f>
        <v/>
      </c>
      <c r="D82" s="3">
        <f>IFERROR(INDEX(FILTER('Learnset Editor'!$D$2:$D,'Learnset Editor'!$A$2:$A=XLOOKUP($Q82,'Threshold Summary'!$Y:$Y,'Threshold Summary'!$K:$K,""),'Learnset Editor'!$C$2:$C&lt;=XLOOKUP($Q82,'Threshold Summary'!$Y:$Y,'Threshold Summary'!$L:$L,"")),$R82),"")</f>
        <v/>
      </c>
      <c r="E82" s="3">
        <f>XLOOKUP(D82,'Move Editor'!$B:$B,'Move Editor'!$C:$C,"")</f>
        <v/>
      </c>
      <c r="F82" s="3">
        <f>XLOOKUP(D82,'Move Editor'!$B:$B,'Move Editor'!$D:$D,"")</f>
        <v/>
      </c>
      <c r="G82" s="3">
        <f>XLOOKUP(D82,'Move Editor'!$B:$B,'Move Editor'!$E:$E,0)</f>
        <v/>
      </c>
      <c r="H82" s="3">
        <f>XLOOKUP(D82,'Move Editor'!$B:$B,'Move Editor'!$F:$F,0)</f>
        <v/>
      </c>
      <c r="I82" s="3">
        <f>(INDEX('Type Chart'!$B:$S,MATCH(E82,'Type Chart'!$A:$A,0),MATCH(XLOOKUP('Boss Editor'!$C$4,'Pokemon Editor'!$A:$A,'Pokemon Editor'!$C:$C,""),'Type Chart'!$B$1:$S$1,0))*IF(XLOOKUP('Boss Editor'!$C$4,'Pokemon Editor'!$A:$A,'Pokemon Editor'!$D:$D,"")="",1,INDEX('Type Chart'!$B:$S,MATCH(E82,'Type Chart'!$A:$A,0),MATCH(XLOOKUP('Boss Editor'!$C$4,'Pokemon Editor'!$A:$A,'Pokemon Editor'!$D:$D,""),'Type Chart'!$B$1:$S$1,0))))</f>
        <v/>
      </c>
      <c r="J82" s="3">
        <f>IFERROR(LET(mtype,XLOOKUP($D82,'Move Editor'!$B:$B,'Move Editor'!$C:$C,""),cat,XLOOKUP($D82,'Move Editor'!$B:$B,'Move Editor'!$D:$D,""),pow,XLOOKUP($D82,'Move Editor'!$B:$B,'Move Editor'!$E:$E,0),acc,XLOOKUP($D82,'Move Editor'!$B:$B,'Move Editor'!$F:$F,100),atk,IF(cat="Physical",FLOOR((FLOOR(((2*XLOOKUP(XLOOKUP($Q82,'Threshold Summary'!$Y:$Y,'Threshold Summary'!$K:$K,""),'Pokemon Editor'!$A:$A,'Pokemon Editor'!$F:$F,0)+31+FLOOR(XLOOKUP($Q82,'Threshold Summary'!$Y:$Y,'Threshold Summary'!$P:$P,"")/4))*XLOOKUP($Q82,'Threshold Summary'!$Y:$Y,'Threshold Summary'!$L:$L,""))/100)+5)*XLOOKUP(XLOOKUP($Q82,'Threshold Summary'!$Y:$Y,'Threshold Summary'!$M:$M,""),'Nature Editor'!$A:$A,'Nature Editor'!$B:$B,1)),FLOOR((FLOOR(((2*XLOOKUP(XLOOKUP($Q82,'Threshold Summary'!$Y:$Y,'Threshold Summary'!$K:$K,""),'Pokemon Editor'!$A:$A,'Pokemon Editor'!$H:$H,0)+31+FLOOR(XLOOKUP($Q82,'Threshold Summary'!$Y:$Y,'Threshold Summary'!$R:$R,"")/4))*XLOOKUP($Q82,'Threshold Summary'!$Y:$Y,'Threshold Summary'!$L:$L,""))/100)+5)*XLOOKUP(XLOOKUP($Q82,'Threshold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Editor'!$E:$E,1))),stab,IF(OR(mtype=XLOOKUP(XLOOKUP($Q82,'Threshold Summary'!$Y:$Y,'Threshold Summary'!$K:$K,""),'Pokemon Editor'!$A:$A,'Pokemon Editor'!$C:$C,""),mtype=XLOOKUP(XLOOKUP($Q82,'Threshold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Chart'!$B$1:$S$1,0)))),base,IF(OR(cat="Status",pow=0),0,FLOOR(FLOOR(FLOOR((2*XLOOKUP($Q82,'Threshold Summary'!$Y:$Y,'Threshold Summary'!$L:$L,"")/5+2)*pow*atk/def)/50)+2)),modifier,stab*eff,FLOOR(base*modifier*0.85)),0)</f>
        <v/>
      </c>
      <c r="K82" s="3">
        <f>IFERROR(LET(mtype,XLOOKUP($D82,'Move Editor'!$B:$B,'Move Editor'!$C:$C,""),cat,XLOOKUP($D82,'Move Editor'!$B:$B,'Move Editor'!$D:$D,""),pow,XLOOKUP($D82,'Move Editor'!$B:$B,'Move Editor'!$E:$E,0),acc,XLOOKUP($D82,'Move Editor'!$B:$B,'Move Editor'!$F:$F,100),atk,IF(cat="Physical",FLOOR((FLOOR(((2*XLOOKUP(XLOOKUP($Q82,'Threshold Summary'!$Y:$Y,'Threshold Summary'!$K:$K,""),'Pokemon Editor'!$A:$A,'Pokemon Editor'!$F:$F,0)+31+FLOOR(XLOOKUP($Q82,'Threshold Summary'!$Y:$Y,'Threshold Summary'!$P:$P,"")/4))*XLOOKUP($Q82,'Threshold Summary'!$Y:$Y,'Threshold Summary'!$L:$L,""))/100)+5)*XLOOKUP(XLOOKUP($Q82,'Threshold Summary'!$Y:$Y,'Threshold Summary'!$M:$M,""),'Nature Editor'!$A:$A,'Nature Editor'!$B:$B,1)),FLOOR((FLOOR(((2*XLOOKUP(XLOOKUP($Q82,'Threshold Summary'!$Y:$Y,'Threshold Summary'!$K:$K,""),'Pokemon Editor'!$A:$A,'Pokemon Editor'!$H:$H,0)+31+FLOOR(XLOOKUP($Q82,'Threshold Summary'!$Y:$Y,'Threshold Summary'!$R:$R,"")/4))*XLOOKUP($Q82,'Threshold Summary'!$Y:$Y,'Threshold Summary'!$L:$L,""))/100)+5)*XLOOKUP(XLOOKUP($Q82,'Threshold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Editor'!$E:$E,1))),stab,IF(OR(mtype=XLOOKUP(XLOOKUP($Q82,'Threshold Summary'!$Y:$Y,'Threshold Summary'!$K:$K,""),'Pokemon Editor'!$A:$A,'Pokemon Editor'!$C:$C,""),mtype=XLOOKUP(XLOOKUP($Q82,'Threshold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Chart'!$B$1:$S$1,0)))),base,IF(OR(cat="Status",pow=0),0,FLOOR(FLOOR(FLOOR((2*XLOOKUP($Q82,'Threshold Summary'!$Y:$Y,'Threshold Summary'!$L:$L,"")/5+2)*pow*atk/def)/50)+2)),modifier,stab*eff,FLOOR(base*modifier)),0)</f>
        <v/>
      </c>
      <c r="L82" s="3">
        <f>IFERROR(LET(mtype,XLOOKUP($D82,'Move Editor'!$B:$B,'Move Editor'!$C:$C,""),cat,XLOOKUP($D82,'Move Editor'!$B:$B,'Move Editor'!$D:$D,""),pow,XLOOKUP($D82,'Move Editor'!$B:$B,'Move Editor'!$E:$E,0),acc,XLOOKUP($D82,'Move Editor'!$B:$B,'Move Editor'!$F:$F,100),atk,IF(cat="Physical",FLOOR((FLOOR(((2*XLOOKUP(XLOOKUP($Q82,'Threshold Summary'!$Y:$Y,'Threshold Summary'!$K:$K,""),'Pokemon Editor'!$A:$A,'Pokemon Editor'!$F:$F,0)+31+FLOOR(XLOOKUP($Q82,'Threshold Summary'!$Y:$Y,'Threshold Summary'!$P:$P,"")/4))*XLOOKUP($Q82,'Threshold Summary'!$Y:$Y,'Threshold Summary'!$L:$L,""))/100)+5)*XLOOKUP(XLOOKUP($Q82,'Threshold Summary'!$Y:$Y,'Threshold Summary'!$M:$M,""),'Nature Editor'!$A:$A,'Nature Editor'!$B:$B,1)),FLOOR((FLOOR(((2*XLOOKUP(XLOOKUP($Q82,'Threshold Summary'!$Y:$Y,'Threshold Summary'!$K:$K,""),'Pokemon Editor'!$A:$A,'Pokemon Editor'!$H:$H,0)+31+FLOOR(XLOOKUP($Q82,'Threshold Summary'!$Y:$Y,'Threshold Summary'!$R:$R,"")/4))*XLOOKUP($Q82,'Threshold Summary'!$Y:$Y,'Threshold Summary'!$L:$L,""))/100)+5)*XLOOKUP(XLOOKUP($Q82,'Threshold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Editor'!$E:$E,1))),stab,IF(OR(mtype=XLOOKUP(XLOOKUP($Q82,'Threshold Summary'!$Y:$Y,'Threshold Summary'!$K:$K,""),'Pokemon Editor'!$A:$A,'Pokemon Editor'!$C:$C,""),mtype=XLOOKUP(XLOOKUP($Q82,'Threshold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Chart'!$B$1:$S$1,0)))),base,IF(OR(cat="Status",pow=0),0,FLOOR(FLOOR(FLOOR((2*XLOOKUP($Q82,'Threshold Summary'!$Y:$Y,'Threshold Summary'!$L:$L,"")/5+2)*pow*atk/def)/50)+2)),modifier,stab*eff,AVERAGE(ARRAYFORMULA(FLOOR(base*modifier*SEQUENCE(16,1,85,1)/100)))),0)</f>
        <v/>
      </c>
      <c r="M82" s="3">
        <f>IFERROR(LET(mtype,XLOOKUP($D82,'Move Editor'!$B:$B,'Move Editor'!$C:$C,""),cat,XLOOKUP($D82,'Move Editor'!$B:$B,'Move Editor'!$D:$D,""),pow,XLOOKUP($D82,'Move Editor'!$B:$B,'Move Editor'!$E:$E,0),acc,XLOOKUP($D82,'Move Editor'!$B:$B,'Move Editor'!$F:$F,100),atk,IF(cat="Physical",FLOOR((FLOOR(((2*XLOOKUP(XLOOKUP($Q82,'Threshold Summary'!$Y:$Y,'Threshold Summary'!$K:$K,""),'Pokemon Editor'!$A:$A,'Pokemon Editor'!$F:$F,0)+31+FLOOR(XLOOKUP($Q82,'Threshold Summary'!$Y:$Y,'Threshold Summary'!$P:$P,"")/4))*XLOOKUP($Q82,'Threshold Summary'!$Y:$Y,'Threshold Summary'!$L:$L,""))/100)+5)*XLOOKUP(XLOOKUP($Q82,'Threshold Summary'!$Y:$Y,'Threshold Summary'!$M:$M,""),'Nature Editor'!$A:$A,'Nature Editor'!$B:$B,1)),FLOOR((FLOOR(((2*XLOOKUP(XLOOKUP($Q82,'Threshold Summary'!$Y:$Y,'Threshold Summary'!$K:$K,""),'Pokemon Editor'!$A:$A,'Pokemon Editor'!$H:$H,0)+31+FLOOR(XLOOKUP($Q82,'Threshold Summary'!$Y:$Y,'Threshold Summary'!$R:$R,"")/4))*XLOOKUP($Q82,'Threshold Summary'!$Y:$Y,'Threshold Summary'!$L:$L,""))/100)+5)*XLOOKUP(XLOOKUP($Q82,'Threshold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Editor'!$E:$E,1))),stab,IF(OR(mtype=XLOOKUP(XLOOKUP($Q82,'Threshold Summary'!$Y:$Y,'Threshold Summary'!$K:$K,""),'Pokemon Editor'!$A:$A,'Pokemon Editor'!$C:$C,""),mtype=XLOOKUP(XLOOKUP($Q82,'Threshold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Chart'!$B$1:$S$1,0)))),base,IF(OR(cat="Status",pow=0),0,FLOOR(FLOOR(FLOOR((2*XLOOKUP($Q82,'Threshold Summary'!$Y:$Y,'Threshold Summary'!$L:$L,"")/5+2)*pow*atk/def)/50)+2)),modifier,stab*eff,AVERAGE(ARRAYFORMULA(FLOOR(base*modifier*SEQUENCE(16,1,85,1)/100)))*MIN(1,acc/100)),0)</f>
        <v/>
      </c>
      <c r="N82" s="4">
        <f>IFERROR(LET(mtype,XLOOKUP($D82,'Move Editor'!$B:$B,'Move Editor'!$C:$C,""),cat,XLOOKUP($D82,'Move Editor'!$B:$B,'Move Editor'!$D:$D,""),pow,XLOOKUP($D82,'Move Editor'!$B:$B,'Move Editor'!$E:$E,0),acc,XLOOKUP($D82,'Move Editor'!$B:$B,'Move Editor'!$F:$F,100),atk,IF(cat="Physical",FLOOR((FLOOR(((2*XLOOKUP(XLOOKUP($Q82,'Threshold Summary'!$Y:$Y,'Threshold Summary'!$K:$K,""),'Pokemon Editor'!$A:$A,'Pokemon Editor'!$F:$F,0)+31+FLOOR(XLOOKUP($Q82,'Threshold Summary'!$Y:$Y,'Threshold Summary'!$P:$P,"")/4))*XLOOKUP($Q82,'Threshold Summary'!$Y:$Y,'Threshold Summary'!$L:$L,""))/100)+5)*XLOOKUP(XLOOKUP($Q82,'Threshold Summary'!$Y:$Y,'Threshold Summary'!$M:$M,""),'Nature Editor'!$A:$A,'Nature Editor'!$B:$B,1)),FLOOR((FLOOR(((2*XLOOKUP(XLOOKUP($Q82,'Threshold Summary'!$Y:$Y,'Threshold Summary'!$K:$K,""),'Pokemon Editor'!$A:$A,'Pokemon Editor'!$H:$H,0)+31+FLOOR(XLOOKUP($Q82,'Threshold Summary'!$Y:$Y,'Threshold Summary'!$R:$R,"")/4))*XLOOKUP($Q82,'Threshold Summary'!$Y:$Y,'Threshold Summary'!$L:$L,""))/100)+5)*XLOOKUP(XLOOKUP($Q82,'Threshold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Editor'!$E:$E,1))),stab,IF(OR(mtype=XLOOKUP(XLOOKUP($Q82,'Threshold Summary'!$Y:$Y,'Threshold Summary'!$K:$K,""),'Pokemon Editor'!$A:$A,'Pokemon Editor'!$C:$C,""),mtype=XLOOKUP(XLOOKUP($Q82,'Threshold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Chart'!$B$1:$S$1,0)))),base,IF(OR(cat="Status",pow=0),0,FLOOR(FLOOR(FLOOR((2*XLOOKUP($Q82,'Threshold Summary'!$Y:$Y,'Threshold Summary'!$L:$L,"")/5+2)*pow*atk/def)/50)+2)),modifier,stab*eff,AVERAGE(ARRAYFORMULA(FLOOR(base*modifier*SEQUENCE(16,1,85,1)/100)))/(FLOOR(((2*XLOOKUP('Boss Editor'!$C$4,'Pokemon Editor'!$A:$A,'Pokemon Editor'!$E:$E,0)+31+FLOOR('Boss Editor'!$G$4/4))*'Boss Editor'!$D$4)/100)+'Boss Editor'!$D$4+10)),0)</f>
        <v/>
      </c>
      <c r="O82" s="3">
        <f>IF(N82&gt;=1,"OHKO",IF(N82&gt;=0.5,"2HKO",IF(N82&gt;=0.333,"3HKO",IF(N82&gt;=0.25,"4HKO","5HKO+"))))</f>
        <v/>
      </c>
      <c r="P82" s="3" t="inlineStr">
        <is>
          <t>Live from editable databases</t>
        </is>
      </c>
      <c r="Q82" s="3" t="inlineStr">
        <is>
          <t>SPECIES_MAREEP</t>
        </is>
      </c>
      <c r="R82" s="3" t="n">
        <v>17</v>
      </c>
    </row>
    <row r="83">
      <c r="A83" s="3">
        <f>XLOOKUP($Q83,'Threshold Summary'!$Y:$Y,'Threshold Summary'!$A:$A,"")</f>
        <v/>
      </c>
      <c r="B83" s="3">
        <f>XLOOKUP($Q83,'Threshold Summary'!$Y:$Y,'Threshold Summary'!$M:$M,"")</f>
        <v/>
      </c>
      <c r="C83" s="3">
        <f>XLOOKUP($Q83,'Threshold Summary'!$Y:$Y,'Threshold Summary'!$N:$N,"")</f>
        <v/>
      </c>
      <c r="D83" s="3">
        <f>IFERROR(INDEX(FILTER('Learnset Editor'!$D$2:$D,'Learnset Editor'!$A$2:$A=XLOOKUP($Q83,'Threshold Summary'!$Y:$Y,'Threshold Summary'!$K:$K,""),'Learnset Editor'!$C$2:$C&lt;=XLOOKUP($Q83,'Threshold Summary'!$Y:$Y,'Threshold Summary'!$L:$L,"")),$R83),"")</f>
        <v/>
      </c>
      <c r="E83" s="3">
        <f>XLOOKUP(D83,'Move Editor'!$B:$B,'Move Editor'!$C:$C,"")</f>
        <v/>
      </c>
      <c r="F83" s="3">
        <f>XLOOKUP(D83,'Move Editor'!$B:$B,'Move Editor'!$D:$D,"")</f>
        <v/>
      </c>
      <c r="G83" s="3">
        <f>XLOOKUP(D83,'Move Editor'!$B:$B,'Move Editor'!$E:$E,0)</f>
        <v/>
      </c>
      <c r="H83" s="3">
        <f>XLOOKUP(D83,'Move Editor'!$B:$B,'Move Editor'!$F:$F,0)</f>
        <v/>
      </c>
      <c r="I83" s="3">
        <f>(INDEX('Type Chart'!$B:$S,MATCH(E83,'Type Chart'!$A:$A,0),MATCH(XLOOKUP('Boss Editor'!$C$4,'Pokemon Editor'!$A:$A,'Pokemon Editor'!$C:$C,""),'Type Chart'!$B$1:$S$1,0))*IF(XLOOKUP('Boss Editor'!$C$4,'Pokemon Editor'!$A:$A,'Pokemon Editor'!$D:$D,"")="",1,INDEX('Type Chart'!$B:$S,MATCH(E83,'Type Chart'!$A:$A,0),MATCH(XLOOKUP('Boss Editor'!$C$4,'Pokemon Editor'!$A:$A,'Pokemon Editor'!$D:$D,""),'Type Chart'!$B$1:$S$1,0))))</f>
        <v/>
      </c>
      <c r="J83" s="3">
        <f>IFERROR(LET(mtype,XLOOKUP($D83,'Move Editor'!$B:$B,'Move Editor'!$C:$C,""),cat,XLOOKUP($D83,'Move Editor'!$B:$B,'Move Editor'!$D:$D,""),pow,XLOOKUP($D83,'Move Editor'!$B:$B,'Move Editor'!$E:$E,0),acc,XLOOKUP($D83,'Move Editor'!$B:$B,'Move Editor'!$F:$F,100),atk,IF(cat="Physical",FLOOR((FLOOR(((2*XLOOKUP(XLOOKUP($Q83,'Threshold Summary'!$Y:$Y,'Threshold Summary'!$K:$K,""),'Pokemon Editor'!$A:$A,'Pokemon Editor'!$F:$F,0)+31+FLOOR(XLOOKUP($Q83,'Threshold Summary'!$Y:$Y,'Threshold Summary'!$P:$P,"")/4))*XLOOKUP($Q83,'Threshold Summary'!$Y:$Y,'Threshold Summary'!$L:$L,""))/100)+5)*XLOOKUP(XLOOKUP($Q83,'Threshold Summary'!$Y:$Y,'Threshold Summary'!$M:$M,""),'Nature Editor'!$A:$A,'Nature Editor'!$B:$B,1)),FLOOR((FLOOR(((2*XLOOKUP(XLOOKUP($Q83,'Threshold Summary'!$Y:$Y,'Threshold Summary'!$K:$K,""),'Pokemon Editor'!$A:$A,'Pokemon Editor'!$H:$H,0)+31+FLOOR(XLOOKUP($Q83,'Threshold Summary'!$Y:$Y,'Threshold Summary'!$R:$R,"")/4))*XLOOKUP($Q83,'Threshold Summary'!$Y:$Y,'Threshold Summary'!$L:$L,""))/100)+5)*XLOOKUP(XLOOKUP($Q83,'Threshold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Editor'!$E:$E,1))),stab,IF(OR(mtype=XLOOKUP(XLOOKUP($Q83,'Threshold Summary'!$Y:$Y,'Threshold Summary'!$K:$K,""),'Pokemon Editor'!$A:$A,'Pokemon Editor'!$C:$C,""),mtype=XLOOKUP(XLOOKUP($Q83,'Threshold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Chart'!$B$1:$S$1,0)))),base,IF(OR(cat="Status",pow=0),0,FLOOR(FLOOR(FLOOR((2*XLOOKUP($Q83,'Threshold Summary'!$Y:$Y,'Threshold Summary'!$L:$L,"")/5+2)*pow*atk/def)/50)+2)),modifier,stab*eff,FLOOR(base*modifier*0.85)),0)</f>
        <v/>
      </c>
      <c r="K83" s="3">
        <f>IFERROR(LET(mtype,XLOOKUP($D83,'Move Editor'!$B:$B,'Move Editor'!$C:$C,""),cat,XLOOKUP($D83,'Move Editor'!$B:$B,'Move Editor'!$D:$D,""),pow,XLOOKUP($D83,'Move Editor'!$B:$B,'Move Editor'!$E:$E,0),acc,XLOOKUP($D83,'Move Editor'!$B:$B,'Move Editor'!$F:$F,100),atk,IF(cat="Physical",FLOOR((FLOOR(((2*XLOOKUP(XLOOKUP($Q83,'Threshold Summary'!$Y:$Y,'Threshold Summary'!$K:$K,""),'Pokemon Editor'!$A:$A,'Pokemon Editor'!$F:$F,0)+31+FLOOR(XLOOKUP($Q83,'Threshold Summary'!$Y:$Y,'Threshold Summary'!$P:$P,"")/4))*XLOOKUP($Q83,'Threshold Summary'!$Y:$Y,'Threshold Summary'!$L:$L,""))/100)+5)*XLOOKUP(XLOOKUP($Q83,'Threshold Summary'!$Y:$Y,'Threshold Summary'!$M:$M,""),'Nature Editor'!$A:$A,'Nature Editor'!$B:$B,1)),FLOOR((FLOOR(((2*XLOOKUP(XLOOKUP($Q83,'Threshold Summary'!$Y:$Y,'Threshold Summary'!$K:$K,""),'Pokemon Editor'!$A:$A,'Pokemon Editor'!$H:$H,0)+31+FLOOR(XLOOKUP($Q83,'Threshold Summary'!$Y:$Y,'Threshold Summary'!$R:$R,"")/4))*XLOOKUP($Q83,'Threshold Summary'!$Y:$Y,'Threshold Summary'!$L:$L,""))/100)+5)*XLOOKUP(XLOOKUP($Q83,'Threshold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Editor'!$E:$E,1))),stab,IF(OR(mtype=XLOOKUP(XLOOKUP($Q83,'Threshold Summary'!$Y:$Y,'Threshold Summary'!$K:$K,""),'Pokemon Editor'!$A:$A,'Pokemon Editor'!$C:$C,""),mtype=XLOOKUP(XLOOKUP($Q83,'Threshold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Chart'!$B$1:$S$1,0)))),base,IF(OR(cat="Status",pow=0),0,FLOOR(FLOOR(FLOOR((2*XLOOKUP($Q83,'Threshold Summary'!$Y:$Y,'Threshold Summary'!$L:$L,"")/5+2)*pow*atk/def)/50)+2)),modifier,stab*eff,FLOOR(base*modifier)),0)</f>
        <v/>
      </c>
      <c r="L83" s="3">
        <f>IFERROR(LET(mtype,XLOOKUP($D83,'Move Editor'!$B:$B,'Move Editor'!$C:$C,""),cat,XLOOKUP($D83,'Move Editor'!$B:$B,'Move Editor'!$D:$D,""),pow,XLOOKUP($D83,'Move Editor'!$B:$B,'Move Editor'!$E:$E,0),acc,XLOOKUP($D83,'Move Editor'!$B:$B,'Move Editor'!$F:$F,100),atk,IF(cat="Physical",FLOOR((FLOOR(((2*XLOOKUP(XLOOKUP($Q83,'Threshold Summary'!$Y:$Y,'Threshold Summary'!$K:$K,""),'Pokemon Editor'!$A:$A,'Pokemon Editor'!$F:$F,0)+31+FLOOR(XLOOKUP($Q83,'Threshold Summary'!$Y:$Y,'Threshold Summary'!$P:$P,"")/4))*XLOOKUP($Q83,'Threshold Summary'!$Y:$Y,'Threshold Summary'!$L:$L,""))/100)+5)*XLOOKUP(XLOOKUP($Q83,'Threshold Summary'!$Y:$Y,'Threshold Summary'!$M:$M,""),'Nature Editor'!$A:$A,'Nature Editor'!$B:$B,1)),FLOOR((FLOOR(((2*XLOOKUP(XLOOKUP($Q83,'Threshold Summary'!$Y:$Y,'Threshold Summary'!$K:$K,""),'Pokemon Editor'!$A:$A,'Pokemon Editor'!$H:$H,0)+31+FLOOR(XLOOKUP($Q83,'Threshold Summary'!$Y:$Y,'Threshold Summary'!$R:$R,"")/4))*XLOOKUP($Q83,'Threshold Summary'!$Y:$Y,'Threshold Summary'!$L:$L,""))/100)+5)*XLOOKUP(XLOOKUP($Q83,'Threshold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Editor'!$E:$E,1))),stab,IF(OR(mtype=XLOOKUP(XLOOKUP($Q83,'Threshold Summary'!$Y:$Y,'Threshold Summary'!$K:$K,""),'Pokemon Editor'!$A:$A,'Pokemon Editor'!$C:$C,""),mtype=XLOOKUP(XLOOKUP($Q83,'Threshold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Chart'!$B$1:$S$1,0)))),base,IF(OR(cat="Status",pow=0),0,FLOOR(FLOOR(FLOOR((2*XLOOKUP($Q83,'Threshold Summary'!$Y:$Y,'Threshold Summary'!$L:$L,"")/5+2)*pow*atk/def)/50)+2)),modifier,stab*eff,AVERAGE(ARRAYFORMULA(FLOOR(base*modifier*SEQUENCE(16,1,85,1)/100)))),0)</f>
        <v/>
      </c>
      <c r="M83" s="3">
        <f>IFERROR(LET(mtype,XLOOKUP($D83,'Move Editor'!$B:$B,'Move Editor'!$C:$C,""),cat,XLOOKUP($D83,'Move Editor'!$B:$B,'Move Editor'!$D:$D,""),pow,XLOOKUP($D83,'Move Editor'!$B:$B,'Move Editor'!$E:$E,0),acc,XLOOKUP($D83,'Move Editor'!$B:$B,'Move Editor'!$F:$F,100),atk,IF(cat="Physical",FLOOR((FLOOR(((2*XLOOKUP(XLOOKUP($Q83,'Threshold Summary'!$Y:$Y,'Threshold Summary'!$K:$K,""),'Pokemon Editor'!$A:$A,'Pokemon Editor'!$F:$F,0)+31+FLOOR(XLOOKUP($Q83,'Threshold Summary'!$Y:$Y,'Threshold Summary'!$P:$P,"")/4))*XLOOKUP($Q83,'Threshold Summary'!$Y:$Y,'Threshold Summary'!$L:$L,""))/100)+5)*XLOOKUP(XLOOKUP($Q83,'Threshold Summary'!$Y:$Y,'Threshold Summary'!$M:$M,""),'Nature Editor'!$A:$A,'Nature Editor'!$B:$B,1)),FLOOR((FLOOR(((2*XLOOKUP(XLOOKUP($Q83,'Threshold Summary'!$Y:$Y,'Threshold Summary'!$K:$K,""),'Pokemon Editor'!$A:$A,'Pokemon Editor'!$H:$H,0)+31+FLOOR(XLOOKUP($Q83,'Threshold Summary'!$Y:$Y,'Threshold Summary'!$R:$R,"")/4))*XLOOKUP($Q83,'Threshold Summary'!$Y:$Y,'Threshold Summary'!$L:$L,""))/100)+5)*XLOOKUP(XLOOKUP($Q83,'Threshold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Editor'!$E:$E,1))),stab,IF(OR(mtype=XLOOKUP(XLOOKUP($Q83,'Threshold Summary'!$Y:$Y,'Threshold Summary'!$K:$K,""),'Pokemon Editor'!$A:$A,'Pokemon Editor'!$C:$C,""),mtype=XLOOKUP(XLOOKUP($Q83,'Threshold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Chart'!$B$1:$S$1,0)))),base,IF(OR(cat="Status",pow=0),0,FLOOR(FLOOR(FLOOR((2*XLOOKUP($Q83,'Threshold Summary'!$Y:$Y,'Threshold Summary'!$L:$L,"")/5+2)*pow*atk/def)/50)+2)),modifier,stab*eff,AVERAGE(ARRAYFORMULA(FLOOR(base*modifier*SEQUENCE(16,1,85,1)/100)))*MIN(1,acc/100)),0)</f>
        <v/>
      </c>
      <c r="N83" s="4">
        <f>IFERROR(LET(mtype,XLOOKUP($D83,'Move Editor'!$B:$B,'Move Editor'!$C:$C,""),cat,XLOOKUP($D83,'Move Editor'!$B:$B,'Move Editor'!$D:$D,""),pow,XLOOKUP($D83,'Move Editor'!$B:$B,'Move Editor'!$E:$E,0),acc,XLOOKUP($D83,'Move Editor'!$B:$B,'Move Editor'!$F:$F,100),atk,IF(cat="Physical",FLOOR((FLOOR(((2*XLOOKUP(XLOOKUP($Q83,'Threshold Summary'!$Y:$Y,'Threshold Summary'!$K:$K,""),'Pokemon Editor'!$A:$A,'Pokemon Editor'!$F:$F,0)+31+FLOOR(XLOOKUP($Q83,'Threshold Summary'!$Y:$Y,'Threshold Summary'!$P:$P,"")/4))*XLOOKUP($Q83,'Threshold Summary'!$Y:$Y,'Threshold Summary'!$L:$L,""))/100)+5)*XLOOKUP(XLOOKUP($Q83,'Threshold Summary'!$Y:$Y,'Threshold Summary'!$M:$M,""),'Nature Editor'!$A:$A,'Nature Editor'!$B:$B,1)),FLOOR((FLOOR(((2*XLOOKUP(XLOOKUP($Q83,'Threshold Summary'!$Y:$Y,'Threshold Summary'!$K:$K,""),'Pokemon Editor'!$A:$A,'Pokemon Editor'!$H:$H,0)+31+FLOOR(XLOOKUP($Q83,'Threshold Summary'!$Y:$Y,'Threshold Summary'!$R:$R,"")/4))*XLOOKUP($Q83,'Threshold Summary'!$Y:$Y,'Threshold Summary'!$L:$L,""))/100)+5)*XLOOKUP(XLOOKUP($Q83,'Threshold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Editor'!$E:$E,1))),stab,IF(OR(mtype=XLOOKUP(XLOOKUP($Q83,'Threshold Summary'!$Y:$Y,'Threshold Summary'!$K:$K,""),'Pokemon Editor'!$A:$A,'Pokemon Editor'!$C:$C,""),mtype=XLOOKUP(XLOOKUP($Q83,'Threshold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Chart'!$B$1:$S$1,0)))),base,IF(OR(cat="Status",pow=0),0,FLOOR(FLOOR(FLOOR((2*XLOOKUP($Q83,'Threshold Summary'!$Y:$Y,'Threshold Summary'!$L:$L,"")/5+2)*pow*atk/def)/50)+2)),modifier,stab*eff,AVERAGE(ARRAYFORMULA(FLOOR(base*modifier*SEQUENCE(16,1,85,1)/100)))/(FLOOR(((2*XLOOKUP('Boss Editor'!$C$4,'Pokemon Editor'!$A:$A,'Pokemon Editor'!$E:$E,0)+31+FLOOR('Boss Editor'!$G$4/4))*'Boss Editor'!$D$4)/100)+'Boss Editor'!$D$4+10)),0)</f>
        <v/>
      </c>
      <c r="O83" s="3">
        <f>IF(N83&gt;=1,"OHKO",IF(N83&gt;=0.5,"2HKO",IF(N83&gt;=0.333,"3HKO",IF(N83&gt;=0.25,"4HKO","5HKO+"))))</f>
        <v/>
      </c>
      <c r="P83" s="3" t="inlineStr">
        <is>
          <t>Live from editable databases</t>
        </is>
      </c>
      <c r="Q83" s="3" t="inlineStr">
        <is>
          <t>SPECIES_MAREEP</t>
        </is>
      </c>
      <c r="R83" s="3" t="n">
        <v>18</v>
      </c>
    </row>
    <row r="84">
      <c r="A84" s="3">
        <f>XLOOKUP($Q84,'Threshold Summary'!$Y:$Y,'Threshold Summary'!$A:$A,"")</f>
        <v/>
      </c>
      <c r="B84" s="3">
        <f>XLOOKUP($Q84,'Threshold Summary'!$Y:$Y,'Threshold Summary'!$M:$M,"")</f>
        <v/>
      </c>
      <c r="C84" s="3">
        <f>XLOOKUP($Q84,'Threshold Summary'!$Y:$Y,'Threshold Summary'!$N:$N,"")</f>
        <v/>
      </c>
      <c r="D84" s="3">
        <f>IFERROR(INDEX(FILTER('Learnset Editor'!$D$2:$D,'Learnset Editor'!$A$2:$A=XLOOKUP($Q84,'Threshold Summary'!$Y:$Y,'Threshold Summary'!$K:$K,""),'Learnset Editor'!$C$2:$C&lt;=XLOOKUP($Q84,'Threshold Summary'!$Y:$Y,'Threshold Summary'!$L:$L,"")),$R84),"")</f>
        <v/>
      </c>
      <c r="E84" s="3">
        <f>XLOOKUP(D84,'Move Editor'!$B:$B,'Move Editor'!$C:$C,"")</f>
        <v/>
      </c>
      <c r="F84" s="3">
        <f>XLOOKUP(D84,'Move Editor'!$B:$B,'Move Editor'!$D:$D,"")</f>
        <v/>
      </c>
      <c r="G84" s="3">
        <f>XLOOKUP(D84,'Move Editor'!$B:$B,'Move Editor'!$E:$E,0)</f>
        <v/>
      </c>
      <c r="H84" s="3">
        <f>XLOOKUP(D84,'Move Editor'!$B:$B,'Move Editor'!$F:$F,0)</f>
        <v/>
      </c>
      <c r="I84" s="3">
        <f>(INDEX('Type Chart'!$B:$S,MATCH(E84,'Type Chart'!$A:$A,0),MATCH(XLOOKUP('Boss Editor'!$C$4,'Pokemon Editor'!$A:$A,'Pokemon Editor'!$C:$C,""),'Type Chart'!$B$1:$S$1,0))*IF(XLOOKUP('Boss Editor'!$C$4,'Pokemon Editor'!$A:$A,'Pokemon Editor'!$D:$D,"")="",1,INDEX('Type Chart'!$B:$S,MATCH(E84,'Type Chart'!$A:$A,0),MATCH(XLOOKUP('Boss Editor'!$C$4,'Pokemon Editor'!$A:$A,'Pokemon Editor'!$D:$D,""),'Type Chart'!$B$1:$S$1,0))))</f>
        <v/>
      </c>
      <c r="J84" s="3">
        <f>IFERROR(LET(mtype,XLOOKUP($D84,'Move Editor'!$B:$B,'Move Editor'!$C:$C,""),cat,XLOOKUP($D84,'Move Editor'!$B:$B,'Move Editor'!$D:$D,""),pow,XLOOKUP($D84,'Move Editor'!$B:$B,'Move Editor'!$E:$E,0),acc,XLOOKUP($D84,'Move Editor'!$B:$B,'Move Editor'!$F:$F,100),atk,IF(cat="Physical",FLOOR((FLOOR(((2*XLOOKUP(XLOOKUP($Q84,'Threshold Summary'!$Y:$Y,'Threshold Summary'!$K:$K,""),'Pokemon Editor'!$A:$A,'Pokemon Editor'!$F:$F,0)+31+FLOOR(XLOOKUP($Q84,'Threshold Summary'!$Y:$Y,'Threshold Summary'!$P:$P,"")/4))*XLOOKUP($Q84,'Threshold Summary'!$Y:$Y,'Threshold Summary'!$L:$L,""))/100)+5)*XLOOKUP(XLOOKUP($Q84,'Threshold Summary'!$Y:$Y,'Threshold Summary'!$M:$M,""),'Nature Editor'!$A:$A,'Nature Editor'!$B:$B,1)),FLOOR((FLOOR(((2*XLOOKUP(XLOOKUP($Q84,'Threshold Summary'!$Y:$Y,'Threshold Summary'!$K:$K,""),'Pokemon Editor'!$A:$A,'Pokemon Editor'!$H:$H,0)+31+FLOOR(XLOOKUP($Q84,'Threshold Summary'!$Y:$Y,'Threshold Summary'!$R:$R,"")/4))*XLOOKUP($Q84,'Threshold Summary'!$Y:$Y,'Threshold Summary'!$L:$L,""))/100)+5)*XLOOKUP(XLOOKUP($Q84,'Threshold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Editor'!$E:$E,1))),stab,IF(OR(mtype=XLOOKUP(XLOOKUP($Q84,'Threshold Summary'!$Y:$Y,'Threshold Summary'!$K:$K,""),'Pokemon Editor'!$A:$A,'Pokemon Editor'!$C:$C,""),mtype=XLOOKUP(XLOOKUP($Q84,'Threshold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Chart'!$B$1:$S$1,0)))),base,IF(OR(cat="Status",pow=0),0,FLOOR(FLOOR(FLOOR((2*XLOOKUP($Q84,'Threshold Summary'!$Y:$Y,'Threshold Summary'!$L:$L,"")/5+2)*pow*atk/def)/50)+2)),modifier,stab*eff,FLOOR(base*modifier*0.85)),0)</f>
        <v/>
      </c>
      <c r="K84" s="3">
        <f>IFERROR(LET(mtype,XLOOKUP($D84,'Move Editor'!$B:$B,'Move Editor'!$C:$C,""),cat,XLOOKUP($D84,'Move Editor'!$B:$B,'Move Editor'!$D:$D,""),pow,XLOOKUP($D84,'Move Editor'!$B:$B,'Move Editor'!$E:$E,0),acc,XLOOKUP($D84,'Move Editor'!$B:$B,'Move Editor'!$F:$F,100),atk,IF(cat="Physical",FLOOR((FLOOR(((2*XLOOKUP(XLOOKUP($Q84,'Threshold Summary'!$Y:$Y,'Threshold Summary'!$K:$K,""),'Pokemon Editor'!$A:$A,'Pokemon Editor'!$F:$F,0)+31+FLOOR(XLOOKUP($Q84,'Threshold Summary'!$Y:$Y,'Threshold Summary'!$P:$P,"")/4))*XLOOKUP($Q84,'Threshold Summary'!$Y:$Y,'Threshold Summary'!$L:$L,""))/100)+5)*XLOOKUP(XLOOKUP($Q84,'Threshold Summary'!$Y:$Y,'Threshold Summary'!$M:$M,""),'Nature Editor'!$A:$A,'Nature Editor'!$B:$B,1)),FLOOR((FLOOR(((2*XLOOKUP(XLOOKUP($Q84,'Threshold Summary'!$Y:$Y,'Threshold Summary'!$K:$K,""),'Pokemon Editor'!$A:$A,'Pokemon Editor'!$H:$H,0)+31+FLOOR(XLOOKUP($Q84,'Threshold Summary'!$Y:$Y,'Threshold Summary'!$R:$R,"")/4))*XLOOKUP($Q84,'Threshold Summary'!$Y:$Y,'Threshold Summary'!$L:$L,""))/100)+5)*XLOOKUP(XLOOKUP($Q84,'Threshold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Editor'!$E:$E,1))),stab,IF(OR(mtype=XLOOKUP(XLOOKUP($Q84,'Threshold Summary'!$Y:$Y,'Threshold Summary'!$K:$K,""),'Pokemon Editor'!$A:$A,'Pokemon Editor'!$C:$C,""),mtype=XLOOKUP(XLOOKUP($Q84,'Threshold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Chart'!$B$1:$S$1,0)))),base,IF(OR(cat="Status",pow=0),0,FLOOR(FLOOR(FLOOR((2*XLOOKUP($Q84,'Threshold Summary'!$Y:$Y,'Threshold Summary'!$L:$L,"")/5+2)*pow*atk/def)/50)+2)),modifier,stab*eff,FLOOR(base*modifier)),0)</f>
        <v/>
      </c>
      <c r="L84" s="3">
        <f>IFERROR(LET(mtype,XLOOKUP($D84,'Move Editor'!$B:$B,'Move Editor'!$C:$C,""),cat,XLOOKUP($D84,'Move Editor'!$B:$B,'Move Editor'!$D:$D,""),pow,XLOOKUP($D84,'Move Editor'!$B:$B,'Move Editor'!$E:$E,0),acc,XLOOKUP($D84,'Move Editor'!$B:$B,'Move Editor'!$F:$F,100),atk,IF(cat="Physical",FLOOR((FLOOR(((2*XLOOKUP(XLOOKUP($Q84,'Threshold Summary'!$Y:$Y,'Threshold Summary'!$K:$K,""),'Pokemon Editor'!$A:$A,'Pokemon Editor'!$F:$F,0)+31+FLOOR(XLOOKUP($Q84,'Threshold Summary'!$Y:$Y,'Threshold Summary'!$P:$P,"")/4))*XLOOKUP($Q84,'Threshold Summary'!$Y:$Y,'Threshold Summary'!$L:$L,""))/100)+5)*XLOOKUP(XLOOKUP($Q84,'Threshold Summary'!$Y:$Y,'Threshold Summary'!$M:$M,""),'Nature Editor'!$A:$A,'Nature Editor'!$B:$B,1)),FLOOR((FLOOR(((2*XLOOKUP(XLOOKUP($Q84,'Threshold Summary'!$Y:$Y,'Threshold Summary'!$K:$K,""),'Pokemon Editor'!$A:$A,'Pokemon Editor'!$H:$H,0)+31+FLOOR(XLOOKUP($Q84,'Threshold Summary'!$Y:$Y,'Threshold Summary'!$R:$R,"")/4))*XLOOKUP($Q84,'Threshold Summary'!$Y:$Y,'Threshold Summary'!$L:$L,""))/100)+5)*XLOOKUP(XLOOKUP($Q84,'Threshold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Editor'!$E:$E,1))),stab,IF(OR(mtype=XLOOKUP(XLOOKUP($Q84,'Threshold Summary'!$Y:$Y,'Threshold Summary'!$K:$K,""),'Pokemon Editor'!$A:$A,'Pokemon Editor'!$C:$C,""),mtype=XLOOKUP(XLOOKUP($Q84,'Threshold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Chart'!$B$1:$S$1,0)))),base,IF(OR(cat="Status",pow=0),0,FLOOR(FLOOR(FLOOR((2*XLOOKUP($Q84,'Threshold Summary'!$Y:$Y,'Threshold Summary'!$L:$L,"")/5+2)*pow*atk/def)/50)+2)),modifier,stab*eff,AVERAGE(ARRAYFORMULA(FLOOR(base*modifier*SEQUENCE(16,1,85,1)/100)))),0)</f>
        <v/>
      </c>
      <c r="M84" s="3">
        <f>IFERROR(LET(mtype,XLOOKUP($D84,'Move Editor'!$B:$B,'Move Editor'!$C:$C,""),cat,XLOOKUP($D84,'Move Editor'!$B:$B,'Move Editor'!$D:$D,""),pow,XLOOKUP($D84,'Move Editor'!$B:$B,'Move Editor'!$E:$E,0),acc,XLOOKUP($D84,'Move Editor'!$B:$B,'Move Editor'!$F:$F,100),atk,IF(cat="Physical",FLOOR((FLOOR(((2*XLOOKUP(XLOOKUP($Q84,'Threshold Summary'!$Y:$Y,'Threshold Summary'!$K:$K,""),'Pokemon Editor'!$A:$A,'Pokemon Editor'!$F:$F,0)+31+FLOOR(XLOOKUP($Q84,'Threshold Summary'!$Y:$Y,'Threshold Summary'!$P:$P,"")/4))*XLOOKUP($Q84,'Threshold Summary'!$Y:$Y,'Threshold Summary'!$L:$L,""))/100)+5)*XLOOKUP(XLOOKUP($Q84,'Threshold Summary'!$Y:$Y,'Threshold Summary'!$M:$M,""),'Nature Editor'!$A:$A,'Nature Editor'!$B:$B,1)),FLOOR((FLOOR(((2*XLOOKUP(XLOOKUP($Q84,'Threshold Summary'!$Y:$Y,'Threshold Summary'!$K:$K,""),'Pokemon Editor'!$A:$A,'Pokemon Editor'!$H:$H,0)+31+FLOOR(XLOOKUP($Q84,'Threshold Summary'!$Y:$Y,'Threshold Summary'!$R:$R,"")/4))*XLOOKUP($Q84,'Threshold Summary'!$Y:$Y,'Threshold Summary'!$L:$L,""))/100)+5)*XLOOKUP(XLOOKUP($Q84,'Threshold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Editor'!$E:$E,1))),stab,IF(OR(mtype=XLOOKUP(XLOOKUP($Q84,'Threshold Summary'!$Y:$Y,'Threshold Summary'!$K:$K,""),'Pokemon Editor'!$A:$A,'Pokemon Editor'!$C:$C,""),mtype=XLOOKUP(XLOOKUP($Q84,'Threshold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Chart'!$B$1:$S$1,0)))),base,IF(OR(cat="Status",pow=0),0,FLOOR(FLOOR(FLOOR((2*XLOOKUP($Q84,'Threshold Summary'!$Y:$Y,'Threshold Summary'!$L:$L,"")/5+2)*pow*atk/def)/50)+2)),modifier,stab*eff,AVERAGE(ARRAYFORMULA(FLOOR(base*modifier*SEQUENCE(16,1,85,1)/100)))*MIN(1,acc/100)),0)</f>
        <v/>
      </c>
      <c r="N84" s="4">
        <f>IFERROR(LET(mtype,XLOOKUP($D84,'Move Editor'!$B:$B,'Move Editor'!$C:$C,""),cat,XLOOKUP($D84,'Move Editor'!$B:$B,'Move Editor'!$D:$D,""),pow,XLOOKUP($D84,'Move Editor'!$B:$B,'Move Editor'!$E:$E,0),acc,XLOOKUP($D84,'Move Editor'!$B:$B,'Move Editor'!$F:$F,100),atk,IF(cat="Physical",FLOOR((FLOOR(((2*XLOOKUP(XLOOKUP($Q84,'Threshold Summary'!$Y:$Y,'Threshold Summary'!$K:$K,""),'Pokemon Editor'!$A:$A,'Pokemon Editor'!$F:$F,0)+31+FLOOR(XLOOKUP($Q84,'Threshold Summary'!$Y:$Y,'Threshold Summary'!$P:$P,"")/4))*XLOOKUP($Q84,'Threshold Summary'!$Y:$Y,'Threshold Summary'!$L:$L,""))/100)+5)*XLOOKUP(XLOOKUP($Q84,'Threshold Summary'!$Y:$Y,'Threshold Summary'!$M:$M,""),'Nature Editor'!$A:$A,'Nature Editor'!$B:$B,1)),FLOOR((FLOOR(((2*XLOOKUP(XLOOKUP($Q84,'Threshold Summary'!$Y:$Y,'Threshold Summary'!$K:$K,""),'Pokemon Editor'!$A:$A,'Pokemon Editor'!$H:$H,0)+31+FLOOR(XLOOKUP($Q84,'Threshold Summary'!$Y:$Y,'Threshold Summary'!$R:$R,"")/4))*XLOOKUP($Q84,'Threshold Summary'!$Y:$Y,'Threshold Summary'!$L:$L,""))/100)+5)*XLOOKUP(XLOOKUP($Q84,'Threshold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Editor'!$E:$E,1))),stab,IF(OR(mtype=XLOOKUP(XLOOKUP($Q84,'Threshold Summary'!$Y:$Y,'Threshold Summary'!$K:$K,""),'Pokemon Editor'!$A:$A,'Pokemon Editor'!$C:$C,""),mtype=XLOOKUP(XLOOKUP($Q84,'Threshold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Chart'!$B$1:$S$1,0)))),base,IF(OR(cat="Status",pow=0),0,FLOOR(FLOOR(FLOOR((2*XLOOKUP($Q84,'Threshold Summary'!$Y:$Y,'Threshold Summary'!$L:$L,"")/5+2)*pow*atk/def)/50)+2)),modifier,stab*eff,AVERAGE(ARRAYFORMULA(FLOOR(base*modifier*SEQUENCE(16,1,85,1)/100)))/(FLOOR(((2*XLOOKUP('Boss Editor'!$C$4,'Pokemon Editor'!$A:$A,'Pokemon Editor'!$E:$E,0)+31+FLOOR('Boss Editor'!$G$4/4))*'Boss Editor'!$D$4)/100)+'Boss Editor'!$D$4+10)),0)</f>
        <v/>
      </c>
      <c r="O84" s="3">
        <f>IF(N84&gt;=1,"OHKO",IF(N84&gt;=0.5,"2HKO",IF(N84&gt;=0.333,"3HKO",IF(N84&gt;=0.25,"4HKO","5HKO+"))))</f>
        <v/>
      </c>
      <c r="P84" s="3" t="inlineStr">
        <is>
          <t>Live from editable databases</t>
        </is>
      </c>
      <c r="Q84" s="3" t="inlineStr">
        <is>
          <t>SPECIES_MAREEP</t>
        </is>
      </c>
      <c r="R84" s="3" t="n">
        <v>19</v>
      </c>
    </row>
    <row r="85">
      <c r="A85" s="3">
        <f>XLOOKUP($Q85,'Threshold Summary'!$Y:$Y,'Threshold Summary'!$A:$A,"")</f>
        <v/>
      </c>
      <c r="B85" s="3">
        <f>XLOOKUP($Q85,'Threshold Summary'!$Y:$Y,'Threshold Summary'!$M:$M,"")</f>
        <v/>
      </c>
      <c r="C85" s="3">
        <f>XLOOKUP($Q85,'Threshold Summary'!$Y:$Y,'Threshold Summary'!$N:$N,"")</f>
        <v/>
      </c>
      <c r="D85" s="3">
        <f>IFERROR(INDEX(FILTER('Learnset Editor'!$D$2:$D,'Learnset Editor'!$A$2:$A=XLOOKUP($Q85,'Threshold Summary'!$Y:$Y,'Threshold Summary'!$K:$K,""),'Learnset Editor'!$C$2:$C&lt;=XLOOKUP($Q85,'Threshold Summary'!$Y:$Y,'Threshold Summary'!$L:$L,"")),$R85),"")</f>
        <v/>
      </c>
      <c r="E85" s="3">
        <f>XLOOKUP(D85,'Move Editor'!$B:$B,'Move Editor'!$C:$C,"")</f>
        <v/>
      </c>
      <c r="F85" s="3">
        <f>XLOOKUP(D85,'Move Editor'!$B:$B,'Move Editor'!$D:$D,"")</f>
        <v/>
      </c>
      <c r="G85" s="3">
        <f>XLOOKUP(D85,'Move Editor'!$B:$B,'Move Editor'!$E:$E,0)</f>
        <v/>
      </c>
      <c r="H85" s="3">
        <f>XLOOKUP(D85,'Move Editor'!$B:$B,'Move Editor'!$F:$F,0)</f>
        <v/>
      </c>
      <c r="I85" s="3">
        <f>(INDEX('Type Chart'!$B:$S,MATCH(E85,'Type Chart'!$A:$A,0),MATCH(XLOOKUP('Boss Editor'!$C$4,'Pokemon Editor'!$A:$A,'Pokemon Editor'!$C:$C,""),'Type Chart'!$B$1:$S$1,0))*IF(XLOOKUP('Boss Editor'!$C$4,'Pokemon Editor'!$A:$A,'Pokemon Editor'!$D:$D,"")="",1,INDEX('Type Chart'!$B:$S,MATCH(E85,'Type Chart'!$A:$A,0),MATCH(XLOOKUP('Boss Editor'!$C$4,'Pokemon Editor'!$A:$A,'Pokemon Editor'!$D:$D,""),'Type Chart'!$B$1:$S$1,0))))</f>
        <v/>
      </c>
      <c r="J85" s="3">
        <f>IFERROR(LET(mtype,XLOOKUP($D85,'Move Editor'!$B:$B,'Move Editor'!$C:$C,""),cat,XLOOKUP($D85,'Move Editor'!$B:$B,'Move Editor'!$D:$D,""),pow,XLOOKUP($D85,'Move Editor'!$B:$B,'Move Editor'!$E:$E,0),acc,XLOOKUP($D85,'Move Editor'!$B:$B,'Move Editor'!$F:$F,100),atk,IF(cat="Physical",FLOOR((FLOOR(((2*XLOOKUP(XLOOKUP($Q85,'Threshold Summary'!$Y:$Y,'Threshold Summary'!$K:$K,""),'Pokemon Editor'!$A:$A,'Pokemon Editor'!$F:$F,0)+31+FLOOR(XLOOKUP($Q85,'Threshold Summary'!$Y:$Y,'Threshold Summary'!$P:$P,"")/4))*XLOOKUP($Q85,'Threshold Summary'!$Y:$Y,'Threshold Summary'!$L:$L,""))/100)+5)*XLOOKUP(XLOOKUP($Q85,'Threshold Summary'!$Y:$Y,'Threshold Summary'!$M:$M,""),'Nature Editor'!$A:$A,'Nature Editor'!$B:$B,1)),FLOOR((FLOOR(((2*XLOOKUP(XLOOKUP($Q85,'Threshold Summary'!$Y:$Y,'Threshold Summary'!$K:$K,""),'Pokemon Editor'!$A:$A,'Pokemon Editor'!$H:$H,0)+31+FLOOR(XLOOKUP($Q85,'Threshold Summary'!$Y:$Y,'Threshold Summary'!$R:$R,"")/4))*XLOOKUP($Q85,'Threshold Summary'!$Y:$Y,'Threshold Summary'!$L:$L,""))/100)+5)*XLOOKUP(XLOOKUP($Q85,'Threshold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Editor'!$E:$E,1))),stab,IF(OR(mtype=XLOOKUP(XLOOKUP($Q85,'Threshold Summary'!$Y:$Y,'Threshold Summary'!$K:$K,""),'Pokemon Editor'!$A:$A,'Pokemon Editor'!$C:$C,""),mtype=XLOOKUP(XLOOKUP($Q85,'Threshold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Chart'!$B$1:$S$1,0)))),base,IF(OR(cat="Status",pow=0),0,FLOOR(FLOOR(FLOOR((2*XLOOKUP($Q85,'Threshold Summary'!$Y:$Y,'Threshold Summary'!$L:$L,"")/5+2)*pow*atk/def)/50)+2)),modifier,stab*eff,FLOOR(base*modifier*0.85)),0)</f>
        <v/>
      </c>
      <c r="K85" s="3">
        <f>IFERROR(LET(mtype,XLOOKUP($D85,'Move Editor'!$B:$B,'Move Editor'!$C:$C,""),cat,XLOOKUP($D85,'Move Editor'!$B:$B,'Move Editor'!$D:$D,""),pow,XLOOKUP($D85,'Move Editor'!$B:$B,'Move Editor'!$E:$E,0),acc,XLOOKUP($D85,'Move Editor'!$B:$B,'Move Editor'!$F:$F,100),atk,IF(cat="Physical",FLOOR((FLOOR(((2*XLOOKUP(XLOOKUP($Q85,'Threshold Summary'!$Y:$Y,'Threshold Summary'!$K:$K,""),'Pokemon Editor'!$A:$A,'Pokemon Editor'!$F:$F,0)+31+FLOOR(XLOOKUP($Q85,'Threshold Summary'!$Y:$Y,'Threshold Summary'!$P:$P,"")/4))*XLOOKUP($Q85,'Threshold Summary'!$Y:$Y,'Threshold Summary'!$L:$L,""))/100)+5)*XLOOKUP(XLOOKUP($Q85,'Threshold Summary'!$Y:$Y,'Threshold Summary'!$M:$M,""),'Nature Editor'!$A:$A,'Nature Editor'!$B:$B,1)),FLOOR((FLOOR(((2*XLOOKUP(XLOOKUP($Q85,'Threshold Summary'!$Y:$Y,'Threshold Summary'!$K:$K,""),'Pokemon Editor'!$A:$A,'Pokemon Editor'!$H:$H,0)+31+FLOOR(XLOOKUP($Q85,'Threshold Summary'!$Y:$Y,'Threshold Summary'!$R:$R,"")/4))*XLOOKUP($Q85,'Threshold Summary'!$Y:$Y,'Threshold Summary'!$L:$L,""))/100)+5)*XLOOKUP(XLOOKUP($Q85,'Threshold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Editor'!$E:$E,1))),stab,IF(OR(mtype=XLOOKUP(XLOOKUP($Q85,'Threshold Summary'!$Y:$Y,'Threshold Summary'!$K:$K,""),'Pokemon Editor'!$A:$A,'Pokemon Editor'!$C:$C,""),mtype=XLOOKUP(XLOOKUP($Q85,'Threshold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Chart'!$B$1:$S$1,0)))),base,IF(OR(cat="Status",pow=0),0,FLOOR(FLOOR(FLOOR((2*XLOOKUP($Q85,'Threshold Summary'!$Y:$Y,'Threshold Summary'!$L:$L,"")/5+2)*pow*atk/def)/50)+2)),modifier,stab*eff,FLOOR(base*modifier)),0)</f>
        <v/>
      </c>
      <c r="L85" s="3">
        <f>IFERROR(LET(mtype,XLOOKUP($D85,'Move Editor'!$B:$B,'Move Editor'!$C:$C,""),cat,XLOOKUP($D85,'Move Editor'!$B:$B,'Move Editor'!$D:$D,""),pow,XLOOKUP($D85,'Move Editor'!$B:$B,'Move Editor'!$E:$E,0),acc,XLOOKUP($D85,'Move Editor'!$B:$B,'Move Editor'!$F:$F,100),atk,IF(cat="Physical",FLOOR((FLOOR(((2*XLOOKUP(XLOOKUP($Q85,'Threshold Summary'!$Y:$Y,'Threshold Summary'!$K:$K,""),'Pokemon Editor'!$A:$A,'Pokemon Editor'!$F:$F,0)+31+FLOOR(XLOOKUP($Q85,'Threshold Summary'!$Y:$Y,'Threshold Summary'!$P:$P,"")/4))*XLOOKUP($Q85,'Threshold Summary'!$Y:$Y,'Threshold Summary'!$L:$L,""))/100)+5)*XLOOKUP(XLOOKUP($Q85,'Threshold Summary'!$Y:$Y,'Threshold Summary'!$M:$M,""),'Nature Editor'!$A:$A,'Nature Editor'!$B:$B,1)),FLOOR((FLOOR(((2*XLOOKUP(XLOOKUP($Q85,'Threshold Summary'!$Y:$Y,'Threshold Summary'!$K:$K,""),'Pokemon Editor'!$A:$A,'Pokemon Editor'!$H:$H,0)+31+FLOOR(XLOOKUP($Q85,'Threshold Summary'!$Y:$Y,'Threshold Summary'!$R:$R,"")/4))*XLOOKUP($Q85,'Threshold Summary'!$Y:$Y,'Threshold Summary'!$L:$L,""))/100)+5)*XLOOKUP(XLOOKUP($Q85,'Threshold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Editor'!$E:$E,1))),stab,IF(OR(mtype=XLOOKUP(XLOOKUP($Q85,'Threshold Summary'!$Y:$Y,'Threshold Summary'!$K:$K,""),'Pokemon Editor'!$A:$A,'Pokemon Editor'!$C:$C,""),mtype=XLOOKUP(XLOOKUP($Q85,'Threshold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Chart'!$B$1:$S$1,0)))),base,IF(OR(cat="Status",pow=0),0,FLOOR(FLOOR(FLOOR((2*XLOOKUP($Q85,'Threshold Summary'!$Y:$Y,'Threshold Summary'!$L:$L,"")/5+2)*pow*atk/def)/50)+2)),modifier,stab*eff,AVERAGE(ARRAYFORMULA(FLOOR(base*modifier*SEQUENCE(16,1,85,1)/100)))),0)</f>
        <v/>
      </c>
      <c r="M85" s="3">
        <f>IFERROR(LET(mtype,XLOOKUP($D85,'Move Editor'!$B:$B,'Move Editor'!$C:$C,""),cat,XLOOKUP($D85,'Move Editor'!$B:$B,'Move Editor'!$D:$D,""),pow,XLOOKUP($D85,'Move Editor'!$B:$B,'Move Editor'!$E:$E,0),acc,XLOOKUP($D85,'Move Editor'!$B:$B,'Move Editor'!$F:$F,100),atk,IF(cat="Physical",FLOOR((FLOOR(((2*XLOOKUP(XLOOKUP($Q85,'Threshold Summary'!$Y:$Y,'Threshold Summary'!$K:$K,""),'Pokemon Editor'!$A:$A,'Pokemon Editor'!$F:$F,0)+31+FLOOR(XLOOKUP($Q85,'Threshold Summary'!$Y:$Y,'Threshold Summary'!$P:$P,"")/4))*XLOOKUP($Q85,'Threshold Summary'!$Y:$Y,'Threshold Summary'!$L:$L,""))/100)+5)*XLOOKUP(XLOOKUP($Q85,'Threshold Summary'!$Y:$Y,'Threshold Summary'!$M:$M,""),'Nature Editor'!$A:$A,'Nature Editor'!$B:$B,1)),FLOOR((FLOOR(((2*XLOOKUP(XLOOKUP($Q85,'Threshold Summary'!$Y:$Y,'Threshold Summary'!$K:$K,""),'Pokemon Editor'!$A:$A,'Pokemon Editor'!$H:$H,0)+31+FLOOR(XLOOKUP($Q85,'Threshold Summary'!$Y:$Y,'Threshold Summary'!$R:$R,"")/4))*XLOOKUP($Q85,'Threshold Summary'!$Y:$Y,'Threshold Summary'!$L:$L,""))/100)+5)*XLOOKUP(XLOOKUP($Q85,'Threshold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Editor'!$E:$E,1))),stab,IF(OR(mtype=XLOOKUP(XLOOKUP($Q85,'Threshold Summary'!$Y:$Y,'Threshold Summary'!$K:$K,""),'Pokemon Editor'!$A:$A,'Pokemon Editor'!$C:$C,""),mtype=XLOOKUP(XLOOKUP($Q85,'Threshold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Chart'!$B$1:$S$1,0)))),base,IF(OR(cat="Status",pow=0),0,FLOOR(FLOOR(FLOOR((2*XLOOKUP($Q85,'Threshold Summary'!$Y:$Y,'Threshold Summary'!$L:$L,"")/5+2)*pow*atk/def)/50)+2)),modifier,stab*eff,AVERAGE(ARRAYFORMULA(FLOOR(base*modifier*SEQUENCE(16,1,85,1)/100)))*MIN(1,acc/100)),0)</f>
        <v/>
      </c>
      <c r="N85" s="4">
        <f>IFERROR(LET(mtype,XLOOKUP($D85,'Move Editor'!$B:$B,'Move Editor'!$C:$C,""),cat,XLOOKUP($D85,'Move Editor'!$B:$B,'Move Editor'!$D:$D,""),pow,XLOOKUP($D85,'Move Editor'!$B:$B,'Move Editor'!$E:$E,0),acc,XLOOKUP($D85,'Move Editor'!$B:$B,'Move Editor'!$F:$F,100),atk,IF(cat="Physical",FLOOR((FLOOR(((2*XLOOKUP(XLOOKUP($Q85,'Threshold Summary'!$Y:$Y,'Threshold Summary'!$K:$K,""),'Pokemon Editor'!$A:$A,'Pokemon Editor'!$F:$F,0)+31+FLOOR(XLOOKUP($Q85,'Threshold Summary'!$Y:$Y,'Threshold Summary'!$P:$P,"")/4))*XLOOKUP($Q85,'Threshold Summary'!$Y:$Y,'Threshold Summary'!$L:$L,""))/100)+5)*XLOOKUP(XLOOKUP($Q85,'Threshold Summary'!$Y:$Y,'Threshold Summary'!$M:$M,""),'Nature Editor'!$A:$A,'Nature Editor'!$B:$B,1)),FLOOR((FLOOR(((2*XLOOKUP(XLOOKUP($Q85,'Threshold Summary'!$Y:$Y,'Threshold Summary'!$K:$K,""),'Pokemon Editor'!$A:$A,'Pokemon Editor'!$H:$H,0)+31+FLOOR(XLOOKUP($Q85,'Threshold Summary'!$Y:$Y,'Threshold Summary'!$R:$R,"")/4))*XLOOKUP($Q85,'Threshold Summary'!$Y:$Y,'Threshold Summary'!$L:$L,""))/100)+5)*XLOOKUP(XLOOKUP($Q85,'Threshold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Editor'!$E:$E,1))),stab,IF(OR(mtype=XLOOKUP(XLOOKUP($Q85,'Threshold Summary'!$Y:$Y,'Threshold Summary'!$K:$K,""),'Pokemon Editor'!$A:$A,'Pokemon Editor'!$C:$C,""),mtype=XLOOKUP(XLOOKUP($Q85,'Threshold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Chart'!$B$1:$S$1,0)))),base,IF(OR(cat="Status",pow=0),0,FLOOR(FLOOR(FLOOR((2*XLOOKUP($Q85,'Threshold Summary'!$Y:$Y,'Threshold Summary'!$L:$L,"")/5+2)*pow*atk/def)/50)+2)),modifier,stab*eff,AVERAGE(ARRAYFORMULA(FLOOR(base*modifier*SEQUENCE(16,1,85,1)/100)))/(FLOOR(((2*XLOOKUP('Boss Editor'!$C$4,'Pokemon Editor'!$A:$A,'Pokemon Editor'!$E:$E,0)+31+FLOOR('Boss Editor'!$G$4/4))*'Boss Editor'!$D$4)/100)+'Boss Editor'!$D$4+10)),0)</f>
        <v/>
      </c>
      <c r="O85" s="3">
        <f>IF(N85&gt;=1,"OHKO",IF(N85&gt;=0.5,"2HKO",IF(N85&gt;=0.333,"3HKO",IF(N85&gt;=0.25,"4HKO","5HKO+"))))</f>
        <v/>
      </c>
      <c r="P85" s="3" t="inlineStr">
        <is>
          <t>Live from editable databases</t>
        </is>
      </c>
      <c r="Q85" s="3" t="inlineStr">
        <is>
          <t>SPECIES_MAREEP</t>
        </is>
      </c>
      <c r="R85" s="3" t="n">
        <v>20</v>
      </c>
    </row>
    <row r="86">
      <c r="A86" s="3">
        <f>XLOOKUP($Q86,'Threshold Summary'!$Y:$Y,'Threshold Summary'!$A:$A,"")</f>
        <v/>
      </c>
      <c r="B86" s="3">
        <f>XLOOKUP($Q86,'Threshold Summary'!$Y:$Y,'Threshold Summary'!$M:$M,"")</f>
        <v/>
      </c>
      <c r="C86" s="3">
        <f>XLOOKUP($Q86,'Threshold Summary'!$Y:$Y,'Threshold Summary'!$N:$N,"")</f>
        <v/>
      </c>
      <c r="D86" s="3">
        <f>IFERROR(INDEX(FILTER('Learnset Editor'!$D$2:$D,'Learnset Editor'!$A$2:$A=XLOOKUP($Q86,'Threshold Summary'!$Y:$Y,'Threshold Summary'!$K:$K,""),'Learnset Editor'!$C$2:$C&lt;=XLOOKUP($Q86,'Threshold Summary'!$Y:$Y,'Threshold Summary'!$L:$L,"")),$R86),"")</f>
        <v/>
      </c>
      <c r="E86" s="3">
        <f>XLOOKUP(D86,'Move Editor'!$B:$B,'Move Editor'!$C:$C,"")</f>
        <v/>
      </c>
      <c r="F86" s="3">
        <f>XLOOKUP(D86,'Move Editor'!$B:$B,'Move Editor'!$D:$D,"")</f>
        <v/>
      </c>
      <c r="G86" s="3">
        <f>XLOOKUP(D86,'Move Editor'!$B:$B,'Move Editor'!$E:$E,0)</f>
        <v/>
      </c>
      <c r="H86" s="3">
        <f>XLOOKUP(D86,'Move Editor'!$B:$B,'Move Editor'!$F:$F,0)</f>
        <v/>
      </c>
      <c r="I86" s="3">
        <f>(INDEX('Type Chart'!$B:$S,MATCH(E86,'Type Chart'!$A:$A,0),MATCH(XLOOKUP('Boss Editor'!$C$4,'Pokemon Editor'!$A:$A,'Pokemon Editor'!$C:$C,""),'Type Chart'!$B$1:$S$1,0))*IF(XLOOKUP('Boss Editor'!$C$4,'Pokemon Editor'!$A:$A,'Pokemon Editor'!$D:$D,"")="",1,INDEX('Type Chart'!$B:$S,MATCH(E86,'Type Chart'!$A:$A,0),MATCH(XLOOKUP('Boss Editor'!$C$4,'Pokemon Editor'!$A:$A,'Pokemon Editor'!$D:$D,""),'Type Chart'!$B$1:$S$1,0))))</f>
        <v/>
      </c>
      <c r="J86" s="3">
        <f>IFERROR(LET(mtype,XLOOKUP($D86,'Move Editor'!$B:$B,'Move Editor'!$C:$C,""),cat,XLOOKUP($D86,'Move Editor'!$B:$B,'Move Editor'!$D:$D,""),pow,XLOOKUP($D86,'Move Editor'!$B:$B,'Move Editor'!$E:$E,0),acc,XLOOKUP($D86,'Move Editor'!$B:$B,'Move Editor'!$F:$F,100),atk,IF(cat="Physical",FLOOR((FLOOR(((2*XLOOKUP(XLOOKUP($Q86,'Threshold Summary'!$Y:$Y,'Threshold Summary'!$K:$K,""),'Pokemon Editor'!$A:$A,'Pokemon Editor'!$F:$F,0)+31+FLOOR(XLOOKUP($Q86,'Threshold Summary'!$Y:$Y,'Threshold Summary'!$P:$P,"")/4))*XLOOKUP($Q86,'Threshold Summary'!$Y:$Y,'Threshold Summary'!$L:$L,""))/100)+5)*XLOOKUP(XLOOKUP($Q86,'Threshold Summary'!$Y:$Y,'Threshold Summary'!$M:$M,""),'Nature Editor'!$A:$A,'Nature Editor'!$B:$B,1)),FLOOR((FLOOR(((2*XLOOKUP(XLOOKUP($Q86,'Threshold Summary'!$Y:$Y,'Threshold Summary'!$K:$K,""),'Pokemon Editor'!$A:$A,'Pokemon Editor'!$H:$H,0)+31+FLOOR(XLOOKUP($Q86,'Threshold Summary'!$Y:$Y,'Threshold Summary'!$R:$R,"")/4))*XLOOKUP($Q86,'Threshold Summary'!$Y:$Y,'Threshold Summary'!$L:$L,""))/100)+5)*XLOOKUP(XLOOKUP($Q86,'Threshold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Editor'!$E:$E,1))),stab,IF(OR(mtype=XLOOKUP(XLOOKUP($Q86,'Threshold Summary'!$Y:$Y,'Threshold Summary'!$K:$K,""),'Pokemon Editor'!$A:$A,'Pokemon Editor'!$C:$C,""),mtype=XLOOKUP(XLOOKUP($Q86,'Threshold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Chart'!$B$1:$S$1,0)))),base,IF(OR(cat="Status",pow=0),0,FLOOR(FLOOR(FLOOR((2*XLOOKUP($Q86,'Threshold Summary'!$Y:$Y,'Threshold Summary'!$L:$L,"")/5+2)*pow*atk/def)/50)+2)),modifier,stab*eff,FLOOR(base*modifier*0.85)),0)</f>
        <v/>
      </c>
      <c r="K86" s="3">
        <f>IFERROR(LET(mtype,XLOOKUP($D86,'Move Editor'!$B:$B,'Move Editor'!$C:$C,""),cat,XLOOKUP($D86,'Move Editor'!$B:$B,'Move Editor'!$D:$D,""),pow,XLOOKUP($D86,'Move Editor'!$B:$B,'Move Editor'!$E:$E,0),acc,XLOOKUP($D86,'Move Editor'!$B:$B,'Move Editor'!$F:$F,100),atk,IF(cat="Physical",FLOOR((FLOOR(((2*XLOOKUP(XLOOKUP($Q86,'Threshold Summary'!$Y:$Y,'Threshold Summary'!$K:$K,""),'Pokemon Editor'!$A:$A,'Pokemon Editor'!$F:$F,0)+31+FLOOR(XLOOKUP($Q86,'Threshold Summary'!$Y:$Y,'Threshold Summary'!$P:$P,"")/4))*XLOOKUP($Q86,'Threshold Summary'!$Y:$Y,'Threshold Summary'!$L:$L,""))/100)+5)*XLOOKUP(XLOOKUP($Q86,'Threshold Summary'!$Y:$Y,'Threshold Summary'!$M:$M,""),'Nature Editor'!$A:$A,'Nature Editor'!$B:$B,1)),FLOOR((FLOOR(((2*XLOOKUP(XLOOKUP($Q86,'Threshold Summary'!$Y:$Y,'Threshold Summary'!$K:$K,""),'Pokemon Editor'!$A:$A,'Pokemon Editor'!$H:$H,0)+31+FLOOR(XLOOKUP($Q86,'Threshold Summary'!$Y:$Y,'Threshold Summary'!$R:$R,"")/4))*XLOOKUP($Q86,'Threshold Summary'!$Y:$Y,'Threshold Summary'!$L:$L,""))/100)+5)*XLOOKUP(XLOOKUP($Q86,'Threshold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Editor'!$E:$E,1))),stab,IF(OR(mtype=XLOOKUP(XLOOKUP($Q86,'Threshold Summary'!$Y:$Y,'Threshold Summary'!$K:$K,""),'Pokemon Editor'!$A:$A,'Pokemon Editor'!$C:$C,""),mtype=XLOOKUP(XLOOKUP($Q86,'Threshold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Chart'!$B$1:$S$1,0)))),base,IF(OR(cat="Status",pow=0),0,FLOOR(FLOOR(FLOOR((2*XLOOKUP($Q86,'Threshold Summary'!$Y:$Y,'Threshold Summary'!$L:$L,"")/5+2)*pow*atk/def)/50)+2)),modifier,stab*eff,FLOOR(base*modifier)),0)</f>
        <v/>
      </c>
      <c r="L86" s="3">
        <f>IFERROR(LET(mtype,XLOOKUP($D86,'Move Editor'!$B:$B,'Move Editor'!$C:$C,""),cat,XLOOKUP($D86,'Move Editor'!$B:$B,'Move Editor'!$D:$D,""),pow,XLOOKUP($D86,'Move Editor'!$B:$B,'Move Editor'!$E:$E,0),acc,XLOOKUP($D86,'Move Editor'!$B:$B,'Move Editor'!$F:$F,100),atk,IF(cat="Physical",FLOOR((FLOOR(((2*XLOOKUP(XLOOKUP($Q86,'Threshold Summary'!$Y:$Y,'Threshold Summary'!$K:$K,""),'Pokemon Editor'!$A:$A,'Pokemon Editor'!$F:$F,0)+31+FLOOR(XLOOKUP($Q86,'Threshold Summary'!$Y:$Y,'Threshold Summary'!$P:$P,"")/4))*XLOOKUP($Q86,'Threshold Summary'!$Y:$Y,'Threshold Summary'!$L:$L,""))/100)+5)*XLOOKUP(XLOOKUP($Q86,'Threshold Summary'!$Y:$Y,'Threshold Summary'!$M:$M,""),'Nature Editor'!$A:$A,'Nature Editor'!$B:$B,1)),FLOOR((FLOOR(((2*XLOOKUP(XLOOKUP($Q86,'Threshold Summary'!$Y:$Y,'Threshold Summary'!$K:$K,""),'Pokemon Editor'!$A:$A,'Pokemon Editor'!$H:$H,0)+31+FLOOR(XLOOKUP($Q86,'Threshold Summary'!$Y:$Y,'Threshold Summary'!$R:$R,"")/4))*XLOOKUP($Q86,'Threshold Summary'!$Y:$Y,'Threshold Summary'!$L:$L,""))/100)+5)*XLOOKUP(XLOOKUP($Q86,'Threshold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Editor'!$E:$E,1))),stab,IF(OR(mtype=XLOOKUP(XLOOKUP($Q86,'Threshold Summary'!$Y:$Y,'Threshold Summary'!$K:$K,""),'Pokemon Editor'!$A:$A,'Pokemon Editor'!$C:$C,""),mtype=XLOOKUP(XLOOKUP($Q86,'Threshold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Chart'!$B$1:$S$1,0)))),base,IF(OR(cat="Status",pow=0),0,FLOOR(FLOOR(FLOOR((2*XLOOKUP($Q86,'Threshold Summary'!$Y:$Y,'Threshold Summary'!$L:$L,"")/5+2)*pow*atk/def)/50)+2)),modifier,stab*eff,AVERAGE(ARRAYFORMULA(FLOOR(base*modifier*SEQUENCE(16,1,85,1)/100)))),0)</f>
        <v/>
      </c>
      <c r="M86" s="3">
        <f>IFERROR(LET(mtype,XLOOKUP($D86,'Move Editor'!$B:$B,'Move Editor'!$C:$C,""),cat,XLOOKUP($D86,'Move Editor'!$B:$B,'Move Editor'!$D:$D,""),pow,XLOOKUP($D86,'Move Editor'!$B:$B,'Move Editor'!$E:$E,0),acc,XLOOKUP($D86,'Move Editor'!$B:$B,'Move Editor'!$F:$F,100),atk,IF(cat="Physical",FLOOR((FLOOR(((2*XLOOKUP(XLOOKUP($Q86,'Threshold Summary'!$Y:$Y,'Threshold Summary'!$K:$K,""),'Pokemon Editor'!$A:$A,'Pokemon Editor'!$F:$F,0)+31+FLOOR(XLOOKUP($Q86,'Threshold Summary'!$Y:$Y,'Threshold Summary'!$P:$P,"")/4))*XLOOKUP($Q86,'Threshold Summary'!$Y:$Y,'Threshold Summary'!$L:$L,""))/100)+5)*XLOOKUP(XLOOKUP($Q86,'Threshold Summary'!$Y:$Y,'Threshold Summary'!$M:$M,""),'Nature Editor'!$A:$A,'Nature Editor'!$B:$B,1)),FLOOR((FLOOR(((2*XLOOKUP(XLOOKUP($Q86,'Threshold Summary'!$Y:$Y,'Threshold Summary'!$K:$K,""),'Pokemon Editor'!$A:$A,'Pokemon Editor'!$H:$H,0)+31+FLOOR(XLOOKUP($Q86,'Threshold Summary'!$Y:$Y,'Threshold Summary'!$R:$R,"")/4))*XLOOKUP($Q86,'Threshold Summary'!$Y:$Y,'Threshold Summary'!$L:$L,""))/100)+5)*XLOOKUP(XLOOKUP($Q86,'Threshold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Editor'!$E:$E,1))),stab,IF(OR(mtype=XLOOKUP(XLOOKUP($Q86,'Threshold Summary'!$Y:$Y,'Threshold Summary'!$K:$K,""),'Pokemon Editor'!$A:$A,'Pokemon Editor'!$C:$C,""),mtype=XLOOKUP(XLOOKUP($Q86,'Threshold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Chart'!$B$1:$S$1,0)))),base,IF(OR(cat="Status",pow=0),0,FLOOR(FLOOR(FLOOR((2*XLOOKUP($Q86,'Threshold Summary'!$Y:$Y,'Threshold Summary'!$L:$L,"")/5+2)*pow*atk/def)/50)+2)),modifier,stab*eff,AVERAGE(ARRAYFORMULA(FLOOR(base*modifier*SEQUENCE(16,1,85,1)/100)))*MIN(1,acc/100)),0)</f>
        <v/>
      </c>
      <c r="N86" s="4">
        <f>IFERROR(LET(mtype,XLOOKUP($D86,'Move Editor'!$B:$B,'Move Editor'!$C:$C,""),cat,XLOOKUP($D86,'Move Editor'!$B:$B,'Move Editor'!$D:$D,""),pow,XLOOKUP($D86,'Move Editor'!$B:$B,'Move Editor'!$E:$E,0),acc,XLOOKUP($D86,'Move Editor'!$B:$B,'Move Editor'!$F:$F,100),atk,IF(cat="Physical",FLOOR((FLOOR(((2*XLOOKUP(XLOOKUP($Q86,'Threshold Summary'!$Y:$Y,'Threshold Summary'!$K:$K,""),'Pokemon Editor'!$A:$A,'Pokemon Editor'!$F:$F,0)+31+FLOOR(XLOOKUP($Q86,'Threshold Summary'!$Y:$Y,'Threshold Summary'!$P:$P,"")/4))*XLOOKUP($Q86,'Threshold Summary'!$Y:$Y,'Threshold Summary'!$L:$L,""))/100)+5)*XLOOKUP(XLOOKUP($Q86,'Threshold Summary'!$Y:$Y,'Threshold Summary'!$M:$M,""),'Nature Editor'!$A:$A,'Nature Editor'!$B:$B,1)),FLOOR((FLOOR(((2*XLOOKUP(XLOOKUP($Q86,'Threshold Summary'!$Y:$Y,'Threshold Summary'!$K:$K,""),'Pokemon Editor'!$A:$A,'Pokemon Editor'!$H:$H,0)+31+FLOOR(XLOOKUP($Q86,'Threshold Summary'!$Y:$Y,'Threshold Summary'!$R:$R,"")/4))*XLOOKUP($Q86,'Threshold Summary'!$Y:$Y,'Threshold Summary'!$L:$L,""))/100)+5)*XLOOKUP(XLOOKUP($Q86,'Threshold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Editor'!$E:$E,1))),stab,IF(OR(mtype=XLOOKUP(XLOOKUP($Q86,'Threshold Summary'!$Y:$Y,'Threshold Summary'!$K:$K,""),'Pokemon Editor'!$A:$A,'Pokemon Editor'!$C:$C,""),mtype=XLOOKUP(XLOOKUP($Q86,'Threshold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Chart'!$B$1:$S$1,0)))),base,IF(OR(cat="Status",pow=0),0,FLOOR(FLOOR(FLOOR((2*XLOOKUP($Q86,'Threshold Summary'!$Y:$Y,'Threshold Summary'!$L:$L,"")/5+2)*pow*atk/def)/50)+2)),modifier,stab*eff,AVERAGE(ARRAYFORMULA(FLOOR(base*modifier*SEQUENCE(16,1,85,1)/100)))/(FLOOR(((2*XLOOKUP('Boss Editor'!$C$4,'Pokemon Editor'!$A:$A,'Pokemon Editor'!$E:$E,0)+31+FLOOR('Boss Editor'!$G$4/4))*'Boss Editor'!$D$4)/100)+'Boss Editor'!$D$4+10)),0)</f>
        <v/>
      </c>
      <c r="O86" s="3">
        <f>IF(N86&gt;=1,"OHKO",IF(N86&gt;=0.5,"2HKO",IF(N86&gt;=0.333,"3HKO",IF(N86&gt;=0.25,"4HKO","5HKO+"))))</f>
        <v/>
      </c>
      <c r="P86" s="3" t="inlineStr">
        <is>
          <t>Live from editable databases</t>
        </is>
      </c>
      <c r="Q86" s="3" t="inlineStr">
        <is>
          <t>SPECIES_MAREEP</t>
        </is>
      </c>
      <c r="R86" s="3" t="n">
        <v>21</v>
      </c>
    </row>
    <row r="87">
      <c r="A87" s="3">
        <f>XLOOKUP($Q87,'Threshold Summary'!$Y:$Y,'Threshold Summary'!$A:$A,"")</f>
        <v/>
      </c>
      <c r="B87" s="3">
        <f>XLOOKUP($Q87,'Threshold Summary'!$Y:$Y,'Threshold Summary'!$M:$M,"")</f>
        <v/>
      </c>
      <c r="C87" s="3">
        <f>XLOOKUP($Q87,'Threshold Summary'!$Y:$Y,'Threshold Summary'!$N:$N,"")</f>
        <v/>
      </c>
      <c r="D87" s="3">
        <f>IFERROR(INDEX(FILTER('Learnset Editor'!$D$2:$D,'Learnset Editor'!$A$2:$A=XLOOKUP($Q87,'Threshold Summary'!$Y:$Y,'Threshold Summary'!$K:$K,""),'Learnset Editor'!$C$2:$C&lt;=XLOOKUP($Q87,'Threshold Summary'!$Y:$Y,'Threshold Summary'!$L:$L,"")),$R87),"")</f>
        <v/>
      </c>
      <c r="E87" s="3">
        <f>XLOOKUP(D87,'Move Editor'!$B:$B,'Move Editor'!$C:$C,"")</f>
        <v/>
      </c>
      <c r="F87" s="3">
        <f>XLOOKUP(D87,'Move Editor'!$B:$B,'Move Editor'!$D:$D,"")</f>
        <v/>
      </c>
      <c r="G87" s="3">
        <f>XLOOKUP(D87,'Move Editor'!$B:$B,'Move Editor'!$E:$E,0)</f>
        <v/>
      </c>
      <c r="H87" s="3">
        <f>XLOOKUP(D87,'Move Editor'!$B:$B,'Move Editor'!$F:$F,0)</f>
        <v/>
      </c>
      <c r="I87" s="3">
        <f>(INDEX('Type Chart'!$B:$S,MATCH(E87,'Type Chart'!$A:$A,0),MATCH(XLOOKUP('Boss Editor'!$C$4,'Pokemon Editor'!$A:$A,'Pokemon Editor'!$C:$C,""),'Type Chart'!$B$1:$S$1,0))*IF(XLOOKUP('Boss Editor'!$C$4,'Pokemon Editor'!$A:$A,'Pokemon Editor'!$D:$D,"")="",1,INDEX('Type Chart'!$B:$S,MATCH(E87,'Type Chart'!$A:$A,0),MATCH(XLOOKUP('Boss Editor'!$C$4,'Pokemon Editor'!$A:$A,'Pokemon Editor'!$D:$D,""),'Type Chart'!$B$1:$S$1,0))))</f>
        <v/>
      </c>
      <c r="J87" s="3">
        <f>IFERROR(LET(mtype,XLOOKUP($D87,'Move Editor'!$B:$B,'Move Editor'!$C:$C,""),cat,XLOOKUP($D87,'Move Editor'!$B:$B,'Move Editor'!$D:$D,""),pow,XLOOKUP($D87,'Move Editor'!$B:$B,'Move Editor'!$E:$E,0),acc,XLOOKUP($D87,'Move Editor'!$B:$B,'Move Editor'!$F:$F,100),atk,IF(cat="Physical",FLOOR((FLOOR(((2*XLOOKUP(XLOOKUP($Q87,'Threshold Summary'!$Y:$Y,'Threshold Summary'!$K:$K,""),'Pokemon Editor'!$A:$A,'Pokemon Editor'!$F:$F,0)+31+FLOOR(XLOOKUP($Q87,'Threshold Summary'!$Y:$Y,'Threshold Summary'!$P:$P,"")/4))*XLOOKUP($Q87,'Threshold Summary'!$Y:$Y,'Threshold Summary'!$L:$L,""))/100)+5)*XLOOKUP(XLOOKUP($Q87,'Threshold Summary'!$Y:$Y,'Threshold Summary'!$M:$M,""),'Nature Editor'!$A:$A,'Nature Editor'!$B:$B,1)),FLOOR((FLOOR(((2*XLOOKUP(XLOOKUP($Q87,'Threshold Summary'!$Y:$Y,'Threshold Summary'!$K:$K,""),'Pokemon Editor'!$A:$A,'Pokemon Editor'!$H:$H,0)+31+FLOOR(XLOOKUP($Q87,'Threshold Summary'!$Y:$Y,'Threshold Summary'!$R:$R,"")/4))*XLOOKUP($Q87,'Threshold Summary'!$Y:$Y,'Threshold Summary'!$L:$L,""))/100)+5)*XLOOKUP(XLOOKUP($Q87,'Threshold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Editor'!$E:$E,1))),stab,IF(OR(mtype=XLOOKUP(XLOOKUP($Q87,'Threshold Summary'!$Y:$Y,'Threshold Summary'!$K:$K,""),'Pokemon Editor'!$A:$A,'Pokemon Editor'!$C:$C,""),mtype=XLOOKUP(XLOOKUP($Q87,'Threshold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Chart'!$B$1:$S$1,0)))),base,IF(OR(cat="Status",pow=0),0,FLOOR(FLOOR(FLOOR((2*XLOOKUP($Q87,'Threshold Summary'!$Y:$Y,'Threshold Summary'!$L:$L,"")/5+2)*pow*atk/def)/50)+2)),modifier,stab*eff,FLOOR(base*modifier*0.85)),0)</f>
        <v/>
      </c>
      <c r="K87" s="3">
        <f>IFERROR(LET(mtype,XLOOKUP($D87,'Move Editor'!$B:$B,'Move Editor'!$C:$C,""),cat,XLOOKUP($D87,'Move Editor'!$B:$B,'Move Editor'!$D:$D,""),pow,XLOOKUP($D87,'Move Editor'!$B:$B,'Move Editor'!$E:$E,0),acc,XLOOKUP($D87,'Move Editor'!$B:$B,'Move Editor'!$F:$F,100),atk,IF(cat="Physical",FLOOR((FLOOR(((2*XLOOKUP(XLOOKUP($Q87,'Threshold Summary'!$Y:$Y,'Threshold Summary'!$K:$K,""),'Pokemon Editor'!$A:$A,'Pokemon Editor'!$F:$F,0)+31+FLOOR(XLOOKUP($Q87,'Threshold Summary'!$Y:$Y,'Threshold Summary'!$P:$P,"")/4))*XLOOKUP($Q87,'Threshold Summary'!$Y:$Y,'Threshold Summary'!$L:$L,""))/100)+5)*XLOOKUP(XLOOKUP($Q87,'Threshold Summary'!$Y:$Y,'Threshold Summary'!$M:$M,""),'Nature Editor'!$A:$A,'Nature Editor'!$B:$B,1)),FLOOR((FLOOR(((2*XLOOKUP(XLOOKUP($Q87,'Threshold Summary'!$Y:$Y,'Threshold Summary'!$K:$K,""),'Pokemon Editor'!$A:$A,'Pokemon Editor'!$H:$H,0)+31+FLOOR(XLOOKUP($Q87,'Threshold Summary'!$Y:$Y,'Threshold Summary'!$R:$R,"")/4))*XLOOKUP($Q87,'Threshold Summary'!$Y:$Y,'Threshold Summary'!$L:$L,""))/100)+5)*XLOOKUP(XLOOKUP($Q87,'Threshold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Editor'!$E:$E,1))),stab,IF(OR(mtype=XLOOKUP(XLOOKUP($Q87,'Threshold Summary'!$Y:$Y,'Threshold Summary'!$K:$K,""),'Pokemon Editor'!$A:$A,'Pokemon Editor'!$C:$C,""),mtype=XLOOKUP(XLOOKUP($Q87,'Threshold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Chart'!$B$1:$S$1,0)))),base,IF(OR(cat="Status",pow=0),0,FLOOR(FLOOR(FLOOR((2*XLOOKUP($Q87,'Threshold Summary'!$Y:$Y,'Threshold Summary'!$L:$L,"")/5+2)*pow*atk/def)/50)+2)),modifier,stab*eff,FLOOR(base*modifier)),0)</f>
        <v/>
      </c>
      <c r="L87" s="3">
        <f>IFERROR(LET(mtype,XLOOKUP($D87,'Move Editor'!$B:$B,'Move Editor'!$C:$C,""),cat,XLOOKUP($D87,'Move Editor'!$B:$B,'Move Editor'!$D:$D,""),pow,XLOOKUP($D87,'Move Editor'!$B:$B,'Move Editor'!$E:$E,0),acc,XLOOKUP($D87,'Move Editor'!$B:$B,'Move Editor'!$F:$F,100),atk,IF(cat="Physical",FLOOR((FLOOR(((2*XLOOKUP(XLOOKUP($Q87,'Threshold Summary'!$Y:$Y,'Threshold Summary'!$K:$K,""),'Pokemon Editor'!$A:$A,'Pokemon Editor'!$F:$F,0)+31+FLOOR(XLOOKUP($Q87,'Threshold Summary'!$Y:$Y,'Threshold Summary'!$P:$P,"")/4))*XLOOKUP($Q87,'Threshold Summary'!$Y:$Y,'Threshold Summary'!$L:$L,""))/100)+5)*XLOOKUP(XLOOKUP($Q87,'Threshold Summary'!$Y:$Y,'Threshold Summary'!$M:$M,""),'Nature Editor'!$A:$A,'Nature Editor'!$B:$B,1)),FLOOR((FLOOR(((2*XLOOKUP(XLOOKUP($Q87,'Threshold Summary'!$Y:$Y,'Threshold Summary'!$K:$K,""),'Pokemon Editor'!$A:$A,'Pokemon Editor'!$H:$H,0)+31+FLOOR(XLOOKUP($Q87,'Threshold Summary'!$Y:$Y,'Threshold Summary'!$R:$R,"")/4))*XLOOKUP($Q87,'Threshold Summary'!$Y:$Y,'Threshold Summary'!$L:$L,""))/100)+5)*XLOOKUP(XLOOKUP($Q87,'Threshold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Editor'!$E:$E,1))),stab,IF(OR(mtype=XLOOKUP(XLOOKUP($Q87,'Threshold Summary'!$Y:$Y,'Threshold Summary'!$K:$K,""),'Pokemon Editor'!$A:$A,'Pokemon Editor'!$C:$C,""),mtype=XLOOKUP(XLOOKUP($Q87,'Threshold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Chart'!$B$1:$S$1,0)))),base,IF(OR(cat="Status",pow=0),0,FLOOR(FLOOR(FLOOR((2*XLOOKUP($Q87,'Threshold Summary'!$Y:$Y,'Threshold Summary'!$L:$L,"")/5+2)*pow*atk/def)/50)+2)),modifier,stab*eff,AVERAGE(ARRAYFORMULA(FLOOR(base*modifier*SEQUENCE(16,1,85,1)/100)))),0)</f>
        <v/>
      </c>
      <c r="M87" s="3">
        <f>IFERROR(LET(mtype,XLOOKUP($D87,'Move Editor'!$B:$B,'Move Editor'!$C:$C,""),cat,XLOOKUP($D87,'Move Editor'!$B:$B,'Move Editor'!$D:$D,""),pow,XLOOKUP($D87,'Move Editor'!$B:$B,'Move Editor'!$E:$E,0),acc,XLOOKUP($D87,'Move Editor'!$B:$B,'Move Editor'!$F:$F,100),atk,IF(cat="Physical",FLOOR((FLOOR(((2*XLOOKUP(XLOOKUP($Q87,'Threshold Summary'!$Y:$Y,'Threshold Summary'!$K:$K,""),'Pokemon Editor'!$A:$A,'Pokemon Editor'!$F:$F,0)+31+FLOOR(XLOOKUP($Q87,'Threshold Summary'!$Y:$Y,'Threshold Summary'!$P:$P,"")/4))*XLOOKUP($Q87,'Threshold Summary'!$Y:$Y,'Threshold Summary'!$L:$L,""))/100)+5)*XLOOKUP(XLOOKUP($Q87,'Threshold Summary'!$Y:$Y,'Threshold Summary'!$M:$M,""),'Nature Editor'!$A:$A,'Nature Editor'!$B:$B,1)),FLOOR((FLOOR(((2*XLOOKUP(XLOOKUP($Q87,'Threshold Summary'!$Y:$Y,'Threshold Summary'!$K:$K,""),'Pokemon Editor'!$A:$A,'Pokemon Editor'!$H:$H,0)+31+FLOOR(XLOOKUP($Q87,'Threshold Summary'!$Y:$Y,'Threshold Summary'!$R:$R,"")/4))*XLOOKUP($Q87,'Threshold Summary'!$Y:$Y,'Threshold Summary'!$L:$L,""))/100)+5)*XLOOKUP(XLOOKUP($Q87,'Threshold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Editor'!$E:$E,1))),stab,IF(OR(mtype=XLOOKUP(XLOOKUP($Q87,'Threshold Summary'!$Y:$Y,'Threshold Summary'!$K:$K,""),'Pokemon Editor'!$A:$A,'Pokemon Editor'!$C:$C,""),mtype=XLOOKUP(XLOOKUP($Q87,'Threshold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Chart'!$B$1:$S$1,0)))),base,IF(OR(cat="Status",pow=0),0,FLOOR(FLOOR(FLOOR((2*XLOOKUP($Q87,'Threshold Summary'!$Y:$Y,'Threshold Summary'!$L:$L,"")/5+2)*pow*atk/def)/50)+2)),modifier,stab*eff,AVERAGE(ARRAYFORMULA(FLOOR(base*modifier*SEQUENCE(16,1,85,1)/100)))*MIN(1,acc/100)),0)</f>
        <v/>
      </c>
      <c r="N87" s="4">
        <f>IFERROR(LET(mtype,XLOOKUP($D87,'Move Editor'!$B:$B,'Move Editor'!$C:$C,""),cat,XLOOKUP($D87,'Move Editor'!$B:$B,'Move Editor'!$D:$D,""),pow,XLOOKUP($D87,'Move Editor'!$B:$B,'Move Editor'!$E:$E,0),acc,XLOOKUP($D87,'Move Editor'!$B:$B,'Move Editor'!$F:$F,100),atk,IF(cat="Physical",FLOOR((FLOOR(((2*XLOOKUP(XLOOKUP($Q87,'Threshold Summary'!$Y:$Y,'Threshold Summary'!$K:$K,""),'Pokemon Editor'!$A:$A,'Pokemon Editor'!$F:$F,0)+31+FLOOR(XLOOKUP($Q87,'Threshold Summary'!$Y:$Y,'Threshold Summary'!$P:$P,"")/4))*XLOOKUP($Q87,'Threshold Summary'!$Y:$Y,'Threshold Summary'!$L:$L,""))/100)+5)*XLOOKUP(XLOOKUP($Q87,'Threshold Summary'!$Y:$Y,'Threshold Summary'!$M:$M,""),'Nature Editor'!$A:$A,'Nature Editor'!$B:$B,1)),FLOOR((FLOOR(((2*XLOOKUP(XLOOKUP($Q87,'Threshold Summary'!$Y:$Y,'Threshold Summary'!$K:$K,""),'Pokemon Editor'!$A:$A,'Pokemon Editor'!$H:$H,0)+31+FLOOR(XLOOKUP($Q87,'Threshold Summary'!$Y:$Y,'Threshold Summary'!$R:$R,"")/4))*XLOOKUP($Q87,'Threshold Summary'!$Y:$Y,'Threshold Summary'!$L:$L,""))/100)+5)*XLOOKUP(XLOOKUP($Q87,'Threshold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Editor'!$E:$E,1))),stab,IF(OR(mtype=XLOOKUP(XLOOKUP($Q87,'Threshold Summary'!$Y:$Y,'Threshold Summary'!$K:$K,""),'Pokemon Editor'!$A:$A,'Pokemon Editor'!$C:$C,""),mtype=XLOOKUP(XLOOKUP($Q87,'Threshold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Chart'!$B$1:$S$1,0)))),base,IF(OR(cat="Status",pow=0),0,FLOOR(FLOOR(FLOOR((2*XLOOKUP($Q87,'Threshold Summary'!$Y:$Y,'Threshold Summary'!$L:$L,"")/5+2)*pow*atk/def)/50)+2)),modifier,stab*eff,AVERAGE(ARRAYFORMULA(FLOOR(base*modifier*SEQUENCE(16,1,85,1)/100)))/(FLOOR(((2*XLOOKUP('Boss Editor'!$C$4,'Pokemon Editor'!$A:$A,'Pokemon Editor'!$E:$E,0)+31+FLOOR('Boss Editor'!$G$4/4))*'Boss Editor'!$D$4)/100)+'Boss Editor'!$D$4+10)),0)</f>
        <v/>
      </c>
      <c r="O87" s="3">
        <f>IF(N87&gt;=1,"OHKO",IF(N87&gt;=0.5,"2HKO",IF(N87&gt;=0.333,"3HKO",IF(N87&gt;=0.25,"4HKO","5HKO+"))))</f>
        <v/>
      </c>
      <c r="P87" s="3" t="inlineStr">
        <is>
          <t>Live from editable databases</t>
        </is>
      </c>
      <c r="Q87" s="3" t="inlineStr">
        <is>
          <t>SPECIES_MAREEP</t>
        </is>
      </c>
      <c r="R87" s="3" t="n">
        <v>22</v>
      </c>
    </row>
    <row r="88">
      <c r="A88" s="3">
        <f>XLOOKUP($Q88,'Threshold Summary'!$Y:$Y,'Threshold Summary'!$A:$A,"")</f>
        <v/>
      </c>
      <c r="B88" s="3">
        <f>XLOOKUP($Q88,'Threshold Summary'!$Y:$Y,'Threshold Summary'!$M:$M,"")</f>
        <v/>
      </c>
      <c r="C88" s="3">
        <f>XLOOKUP($Q88,'Threshold Summary'!$Y:$Y,'Threshold Summary'!$N:$N,"")</f>
        <v/>
      </c>
      <c r="D88" s="3">
        <f>IFERROR(INDEX(FILTER('Learnset Editor'!$D$2:$D,'Learnset Editor'!$A$2:$A=XLOOKUP($Q88,'Threshold Summary'!$Y:$Y,'Threshold Summary'!$K:$K,""),'Learnset Editor'!$C$2:$C&lt;=XLOOKUP($Q88,'Threshold Summary'!$Y:$Y,'Threshold Summary'!$L:$L,"")),$R88),"")</f>
        <v/>
      </c>
      <c r="E88" s="3">
        <f>XLOOKUP(D88,'Move Editor'!$B:$B,'Move Editor'!$C:$C,"")</f>
        <v/>
      </c>
      <c r="F88" s="3">
        <f>XLOOKUP(D88,'Move Editor'!$B:$B,'Move Editor'!$D:$D,"")</f>
        <v/>
      </c>
      <c r="G88" s="3">
        <f>XLOOKUP(D88,'Move Editor'!$B:$B,'Move Editor'!$E:$E,0)</f>
        <v/>
      </c>
      <c r="H88" s="3">
        <f>XLOOKUP(D88,'Move Editor'!$B:$B,'Move Editor'!$F:$F,0)</f>
        <v/>
      </c>
      <c r="I88" s="3">
        <f>(INDEX('Type Chart'!$B:$S,MATCH(E88,'Type Chart'!$A:$A,0),MATCH(XLOOKUP('Boss Editor'!$C$4,'Pokemon Editor'!$A:$A,'Pokemon Editor'!$C:$C,""),'Type Chart'!$B$1:$S$1,0))*IF(XLOOKUP('Boss Editor'!$C$4,'Pokemon Editor'!$A:$A,'Pokemon Editor'!$D:$D,"")="",1,INDEX('Type Chart'!$B:$S,MATCH(E88,'Type Chart'!$A:$A,0),MATCH(XLOOKUP('Boss Editor'!$C$4,'Pokemon Editor'!$A:$A,'Pokemon Editor'!$D:$D,""),'Type Chart'!$B$1:$S$1,0))))</f>
        <v/>
      </c>
      <c r="J88" s="3">
        <f>IFERROR(LET(mtype,XLOOKUP($D88,'Move Editor'!$B:$B,'Move Editor'!$C:$C,""),cat,XLOOKUP($D88,'Move Editor'!$B:$B,'Move Editor'!$D:$D,""),pow,XLOOKUP($D88,'Move Editor'!$B:$B,'Move Editor'!$E:$E,0),acc,XLOOKUP($D88,'Move Editor'!$B:$B,'Move Editor'!$F:$F,100),atk,IF(cat="Physical",FLOOR((FLOOR(((2*XLOOKUP(XLOOKUP($Q88,'Threshold Summary'!$Y:$Y,'Threshold Summary'!$K:$K,""),'Pokemon Editor'!$A:$A,'Pokemon Editor'!$F:$F,0)+31+FLOOR(XLOOKUP($Q88,'Threshold Summary'!$Y:$Y,'Threshold Summary'!$P:$P,"")/4))*XLOOKUP($Q88,'Threshold Summary'!$Y:$Y,'Threshold Summary'!$L:$L,""))/100)+5)*XLOOKUP(XLOOKUP($Q88,'Threshold Summary'!$Y:$Y,'Threshold Summary'!$M:$M,""),'Nature Editor'!$A:$A,'Nature Editor'!$B:$B,1)),FLOOR((FLOOR(((2*XLOOKUP(XLOOKUP($Q88,'Threshold Summary'!$Y:$Y,'Threshold Summary'!$K:$K,""),'Pokemon Editor'!$A:$A,'Pokemon Editor'!$H:$H,0)+31+FLOOR(XLOOKUP($Q88,'Threshold Summary'!$Y:$Y,'Threshold Summary'!$R:$R,"")/4))*XLOOKUP($Q88,'Threshold Summary'!$Y:$Y,'Threshold Summary'!$L:$L,""))/100)+5)*XLOOKUP(XLOOKUP($Q88,'Threshold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Editor'!$E:$E,1))),stab,IF(OR(mtype=XLOOKUP(XLOOKUP($Q88,'Threshold Summary'!$Y:$Y,'Threshold Summary'!$K:$K,""),'Pokemon Editor'!$A:$A,'Pokemon Editor'!$C:$C,""),mtype=XLOOKUP(XLOOKUP($Q88,'Threshold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Chart'!$B$1:$S$1,0)))),base,IF(OR(cat="Status",pow=0),0,FLOOR(FLOOR(FLOOR((2*XLOOKUP($Q88,'Threshold Summary'!$Y:$Y,'Threshold Summary'!$L:$L,"")/5+2)*pow*atk/def)/50)+2)),modifier,stab*eff,FLOOR(base*modifier*0.85)),0)</f>
        <v/>
      </c>
      <c r="K88" s="3">
        <f>IFERROR(LET(mtype,XLOOKUP($D88,'Move Editor'!$B:$B,'Move Editor'!$C:$C,""),cat,XLOOKUP($D88,'Move Editor'!$B:$B,'Move Editor'!$D:$D,""),pow,XLOOKUP($D88,'Move Editor'!$B:$B,'Move Editor'!$E:$E,0),acc,XLOOKUP($D88,'Move Editor'!$B:$B,'Move Editor'!$F:$F,100),atk,IF(cat="Physical",FLOOR((FLOOR(((2*XLOOKUP(XLOOKUP($Q88,'Threshold Summary'!$Y:$Y,'Threshold Summary'!$K:$K,""),'Pokemon Editor'!$A:$A,'Pokemon Editor'!$F:$F,0)+31+FLOOR(XLOOKUP($Q88,'Threshold Summary'!$Y:$Y,'Threshold Summary'!$P:$P,"")/4))*XLOOKUP($Q88,'Threshold Summary'!$Y:$Y,'Threshold Summary'!$L:$L,""))/100)+5)*XLOOKUP(XLOOKUP($Q88,'Threshold Summary'!$Y:$Y,'Threshold Summary'!$M:$M,""),'Nature Editor'!$A:$A,'Nature Editor'!$B:$B,1)),FLOOR((FLOOR(((2*XLOOKUP(XLOOKUP($Q88,'Threshold Summary'!$Y:$Y,'Threshold Summary'!$K:$K,""),'Pokemon Editor'!$A:$A,'Pokemon Editor'!$H:$H,0)+31+FLOOR(XLOOKUP($Q88,'Threshold Summary'!$Y:$Y,'Threshold Summary'!$R:$R,"")/4))*XLOOKUP($Q88,'Threshold Summary'!$Y:$Y,'Threshold Summary'!$L:$L,""))/100)+5)*XLOOKUP(XLOOKUP($Q88,'Threshold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Editor'!$E:$E,1))),stab,IF(OR(mtype=XLOOKUP(XLOOKUP($Q88,'Threshold Summary'!$Y:$Y,'Threshold Summary'!$K:$K,""),'Pokemon Editor'!$A:$A,'Pokemon Editor'!$C:$C,""),mtype=XLOOKUP(XLOOKUP($Q88,'Threshold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Chart'!$B$1:$S$1,0)))),base,IF(OR(cat="Status",pow=0),0,FLOOR(FLOOR(FLOOR((2*XLOOKUP($Q88,'Threshold Summary'!$Y:$Y,'Threshold Summary'!$L:$L,"")/5+2)*pow*atk/def)/50)+2)),modifier,stab*eff,FLOOR(base*modifier)),0)</f>
        <v/>
      </c>
      <c r="L88" s="3">
        <f>IFERROR(LET(mtype,XLOOKUP($D88,'Move Editor'!$B:$B,'Move Editor'!$C:$C,""),cat,XLOOKUP($D88,'Move Editor'!$B:$B,'Move Editor'!$D:$D,""),pow,XLOOKUP($D88,'Move Editor'!$B:$B,'Move Editor'!$E:$E,0),acc,XLOOKUP($D88,'Move Editor'!$B:$B,'Move Editor'!$F:$F,100),atk,IF(cat="Physical",FLOOR((FLOOR(((2*XLOOKUP(XLOOKUP($Q88,'Threshold Summary'!$Y:$Y,'Threshold Summary'!$K:$K,""),'Pokemon Editor'!$A:$A,'Pokemon Editor'!$F:$F,0)+31+FLOOR(XLOOKUP($Q88,'Threshold Summary'!$Y:$Y,'Threshold Summary'!$P:$P,"")/4))*XLOOKUP($Q88,'Threshold Summary'!$Y:$Y,'Threshold Summary'!$L:$L,""))/100)+5)*XLOOKUP(XLOOKUP($Q88,'Threshold Summary'!$Y:$Y,'Threshold Summary'!$M:$M,""),'Nature Editor'!$A:$A,'Nature Editor'!$B:$B,1)),FLOOR((FLOOR(((2*XLOOKUP(XLOOKUP($Q88,'Threshold Summary'!$Y:$Y,'Threshold Summary'!$K:$K,""),'Pokemon Editor'!$A:$A,'Pokemon Editor'!$H:$H,0)+31+FLOOR(XLOOKUP($Q88,'Threshold Summary'!$Y:$Y,'Threshold Summary'!$R:$R,"")/4))*XLOOKUP($Q88,'Threshold Summary'!$Y:$Y,'Threshold Summary'!$L:$L,""))/100)+5)*XLOOKUP(XLOOKUP($Q88,'Threshold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Editor'!$E:$E,1))),stab,IF(OR(mtype=XLOOKUP(XLOOKUP($Q88,'Threshold Summary'!$Y:$Y,'Threshold Summary'!$K:$K,""),'Pokemon Editor'!$A:$A,'Pokemon Editor'!$C:$C,""),mtype=XLOOKUP(XLOOKUP($Q88,'Threshold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Chart'!$B$1:$S$1,0)))),base,IF(OR(cat="Status",pow=0),0,FLOOR(FLOOR(FLOOR((2*XLOOKUP($Q88,'Threshold Summary'!$Y:$Y,'Threshold Summary'!$L:$L,"")/5+2)*pow*atk/def)/50)+2)),modifier,stab*eff,AVERAGE(ARRAYFORMULA(FLOOR(base*modifier*SEQUENCE(16,1,85,1)/100)))),0)</f>
        <v/>
      </c>
      <c r="M88" s="3">
        <f>IFERROR(LET(mtype,XLOOKUP($D88,'Move Editor'!$B:$B,'Move Editor'!$C:$C,""),cat,XLOOKUP($D88,'Move Editor'!$B:$B,'Move Editor'!$D:$D,""),pow,XLOOKUP($D88,'Move Editor'!$B:$B,'Move Editor'!$E:$E,0),acc,XLOOKUP($D88,'Move Editor'!$B:$B,'Move Editor'!$F:$F,100),atk,IF(cat="Physical",FLOOR((FLOOR(((2*XLOOKUP(XLOOKUP($Q88,'Threshold Summary'!$Y:$Y,'Threshold Summary'!$K:$K,""),'Pokemon Editor'!$A:$A,'Pokemon Editor'!$F:$F,0)+31+FLOOR(XLOOKUP($Q88,'Threshold Summary'!$Y:$Y,'Threshold Summary'!$P:$P,"")/4))*XLOOKUP($Q88,'Threshold Summary'!$Y:$Y,'Threshold Summary'!$L:$L,""))/100)+5)*XLOOKUP(XLOOKUP($Q88,'Threshold Summary'!$Y:$Y,'Threshold Summary'!$M:$M,""),'Nature Editor'!$A:$A,'Nature Editor'!$B:$B,1)),FLOOR((FLOOR(((2*XLOOKUP(XLOOKUP($Q88,'Threshold Summary'!$Y:$Y,'Threshold Summary'!$K:$K,""),'Pokemon Editor'!$A:$A,'Pokemon Editor'!$H:$H,0)+31+FLOOR(XLOOKUP($Q88,'Threshold Summary'!$Y:$Y,'Threshold Summary'!$R:$R,"")/4))*XLOOKUP($Q88,'Threshold Summary'!$Y:$Y,'Threshold Summary'!$L:$L,""))/100)+5)*XLOOKUP(XLOOKUP($Q88,'Threshold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Editor'!$E:$E,1))),stab,IF(OR(mtype=XLOOKUP(XLOOKUP($Q88,'Threshold Summary'!$Y:$Y,'Threshold Summary'!$K:$K,""),'Pokemon Editor'!$A:$A,'Pokemon Editor'!$C:$C,""),mtype=XLOOKUP(XLOOKUP($Q88,'Threshold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Chart'!$B$1:$S$1,0)))),base,IF(OR(cat="Status",pow=0),0,FLOOR(FLOOR(FLOOR((2*XLOOKUP($Q88,'Threshold Summary'!$Y:$Y,'Threshold Summary'!$L:$L,"")/5+2)*pow*atk/def)/50)+2)),modifier,stab*eff,AVERAGE(ARRAYFORMULA(FLOOR(base*modifier*SEQUENCE(16,1,85,1)/100)))*MIN(1,acc/100)),0)</f>
        <v/>
      </c>
      <c r="N88" s="4">
        <f>IFERROR(LET(mtype,XLOOKUP($D88,'Move Editor'!$B:$B,'Move Editor'!$C:$C,""),cat,XLOOKUP($D88,'Move Editor'!$B:$B,'Move Editor'!$D:$D,""),pow,XLOOKUP($D88,'Move Editor'!$B:$B,'Move Editor'!$E:$E,0),acc,XLOOKUP($D88,'Move Editor'!$B:$B,'Move Editor'!$F:$F,100),atk,IF(cat="Physical",FLOOR((FLOOR(((2*XLOOKUP(XLOOKUP($Q88,'Threshold Summary'!$Y:$Y,'Threshold Summary'!$K:$K,""),'Pokemon Editor'!$A:$A,'Pokemon Editor'!$F:$F,0)+31+FLOOR(XLOOKUP($Q88,'Threshold Summary'!$Y:$Y,'Threshold Summary'!$P:$P,"")/4))*XLOOKUP($Q88,'Threshold Summary'!$Y:$Y,'Threshold Summary'!$L:$L,""))/100)+5)*XLOOKUP(XLOOKUP($Q88,'Threshold Summary'!$Y:$Y,'Threshold Summary'!$M:$M,""),'Nature Editor'!$A:$A,'Nature Editor'!$B:$B,1)),FLOOR((FLOOR(((2*XLOOKUP(XLOOKUP($Q88,'Threshold Summary'!$Y:$Y,'Threshold Summary'!$K:$K,""),'Pokemon Editor'!$A:$A,'Pokemon Editor'!$H:$H,0)+31+FLOOR(XLOOKUP($Q88,'Threshold Summary'!$Y:$Y,'Threshold Summary'!$R:$R,"")/4))*XLOOKUP($Q88,'Threshold Summary'!$Y:$Y,'Threshold Summary'!$L:$L,""))/100)+5)*XLOOKUP(XLOOKUP($Q88,'Threshold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Editor'!$E:$E,1))),stab,IF(OR(mtype=XLOOKUP(XLOOKUP($Q88,'Threshold Summary'!$Y:$Y,'Threshold Summary'!$K:$K,""),'Pokemon Editor'!$A:$A,'Pokemon Editor'!$C:$C,""),mtype=XLOOKUP(XLOOKUP($Q88,'Threshold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Chart'!$B$1:$S$1,0)))),base,IF(OR(cat="Status",pow=0),0,FLOOR(FLOOR(FLOOR((2*XLOOKUP($Q88,'Threshold Summary'!$Y:$Y,'Threshold Summary'!$L:$L,"")/5+2)*pow*atk/def)/50)+2)),modifier,stab*eff,AVERAGE(ARRAYFORMULA(FLOOR(base*modifier*SEQUENCE(16,1,85,1)/100)))/(FLOOR(((2*XLOOKUP('Boss Editor'!$C$4,'Pokemon Editor'!$A:$A,'Pokemon Editor'!$E:$E,0)+31+FLOOR('Boss Editor'!$G$4/4))*'Boss Editor'!$D$4)/100)+'Boss Editor'!$D$4+10)),0)</f>
        <v/>
      </c>
      <c r="O88" s="3">
        <f>IF(N88&gt;=1,"OHKO",IF(N88&gt;=0.5,"2HKO",IF(N88&gt;=0.333,"3HKO",IF(N88&gt;=0.25,"4HKO","5HKO+"))))</f>
        <v/>
      </c>
      <c r="P88" s="3" t="inlineStr">
        <is>
          <t>Live from editable databases</t>
        </is>
      </c>
      <c r="Q88" s="3" t="inlineStr">
        <is>
          <t>SPECIES_MAREEP</t>
        </is>
      </c>
      <c r="R88" s="3" t="n">
        <v>23</v>
      </c>
    </row>
    <row r="89">
      <c r="A89" s="3">
        <f>XLOOKUP($Q89,'Threshold Summary'!$Y:$Y,'Threshold Summary'!$A:$A,"")</f>
        <v/>
      </c>
      <c r="B89" s="3">
        <f>XLOOKUP($Q89,'Threshold Summary'!$Y:$Y,'Threshold Summary'!$M:$M,"")</f>
        <v/>
      </c>
      <c r="C89" s="3">
        <f>XLOOKUP($Q89,'Threshold Summary'!$Y:$Y,'Threshold Summary'!$N:$N,"")</f>
        <v/>
      </c>
      <c r="D89" s="3">
        <f>IFERROR(INDEX(FILTER('Learnset Editor'!$D$2:$D,'Learnset Editor'!$A$2:$A=XLOOKUP($Q89,'Threshold Summary'!$Y:$Y,'Threshold Summary'!$K:$K,""),'Learnset Editor'!$C$2:$C&lt;=XLOOKUP($Q89,'Threshold Summary'!$Y:$Y,'Threshold Summary'!$L:$L,"")),$R89),"")</f>
        <v/>
      </c>
      <c r="E89" s="3">
        <f>XLOOKUP(D89,'Move Editor'!$B:$B,'Move Editor'!$C:$C,"")</f>
        <v/>
      </c>
      <c r="F89" s="3">
        <f>XLOOKUP(D89,'Move Editor'!$B:$B,'Move Editor'!$D:$D,"")</f>
        <v/>
      </c>
      <c r="G89" s="3">
        <f>XLOOKUP(D89,'Move Editor'!$B:$B,'Move Editor'!$E:$E,0)</f>
        <v/>
      </c>
      <c r="H89" s="3">
        <f>XLOOKUP(D89,'Move Editor'!$B:$B,'Move Editor'!$F:$F,0)</f>
        <v/>
      </c>
      <c r="I89" s="3">
        <f>(INDEX('Type Chart'!$B:$S,MATCH(E89,'Type Chart'!$A:$A,0),MATCH(XLOOKUP('Boss Editor'!$C$4,'Pokemon Editor'!$A:$A,'Pokemon Editor'!$C:$C,""),'Type Chart'!$B$1:$S$1,0))*IF(XLOOKUP('Boss Editor'!$C$4,'Pokemon Editor'!$A:$A,'Pokemon Editor'!$D:$D,"")="",1,INDEX('Type Chart'!$B:$S,MATCH(E89,'Type Chart'!$A:$A,0),MATCH(XLOOKUP('Boss Editor'!$C$4,'Pokemon Editor'!$A:$A,'Pokemon Editor'!$D:$D,""),'Type Chart'!$B$1:$S$1,0))))</f>
        <v/>
      </c>
      <c r="J89" s="3">
        <f>IFERROR(LET(mtype,XLOOKUP($D89,'Move Editor'!$B:$B,'Move Editor'!$C:$C,""),cat,XLOOKUP($D89,'Move Editor'!$B:$B,'Move Editor'!$D:$D,""),pow,XLOOKUP($D89,'Move Editor'!$B:$B,'Move Editor'!$E:$E,0),acc,XLOOKUP($D89,'Move Editor'!$B:$B,'Move Editor'!$F:$F,100),atk,IF(cat="Physical",FLOOR((FLOOR(((2*XLOOKUP(XLOOKUP($Q89,'Threshold Summary'!$Y:$Y,'Threshold Summary'!$K:$K,""),'Pokemon Editor'!$A:$A,'Pokemon Editor'!$F:$F,0)+31+FLOOR(XLOOKUP($Q89,'Threshold Summary'!$Y:$Y,'Threshold Summary'!$P:$P,"")/4))*XLOOKUP($Q89,'Threshold Summary'!$Y:$Y,'Threshold Summary'!$L:$L,""))/100)+5)*XLOOKUP(XLOOKUP($Q89,'Threshold Summary'!$Y:$Y,'Threshold Summary'!$M:$M,""),'Nature Editor'!$A:$A,'Nature Editor'!$B:$B,1)),FLOOR((FLOOR(((2*XLOOKUP(XLOOKUP($Q89,'Threshold Summary'!$Y:$Y,'Threshold Summary'!$K:$K,""),'Pokemon Editor'!$A:$A,'Pokemon Editor'!$H:$H,0)+31+FLOOR(XLOOKUP($Q89,'Threshold Summary'!$Y:$Y,'Threshold Summary'!$R:$R,"")/4))*XLOOKUP($Q89,'Threshold Summary'!$Y:$Y,'Threshold Summary'!$L:$L,""))/100)+5)*XLOOKUP(XLOOKUP($Q89,'Threshold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Editor'!$E:$E,1))),stab,IF(OR(mtype=XLOOKUP(XLOOKUP($Q89,'Threshold Summary'!$Y:$Y,'Threshold Summary'!$K:$K,""),'Pokemon Editor'!$A:$A,'Pokemon Editor'!$C:$C,""),mtype=XLOOKUP(XLOOKUP($Q89,'Threshold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Chart'!$B$1:$S$1,0)))),base,IF(OR(cat="Status",pow=0),0,FLOOR(FLOOR(FLOOR((2*XLOOKUP($Q89,'Threshold Summary'!$Y:$Y,'Threshold Summary'!$L:$L,"")/5+2)*pow*atk/def)/50)+2)),modifier,stab*eff,FLOOR(base*modifier*0.85)),0)</f>
        <v/>
      </c>
      <c r="K89" s="3">
        <f>IFERROR(LET(mtype,XLOOKUP($D89,'Move Editor'!$B:$B,'Move Editor'!$C:$C,""),cat,XLOOKUP($D89,'Move Editor'!$B:$B,'Move Editor'!$D:$D,""),pow,XLOOKUP($D89,'Move Editor'!$B:$B,'Move Editor'!$E:$E,0),acc,XLOOKUP($D89,'Move Editor'!$B:$B,'Move Editor'!$F:$F,100),atk,IF(cat="Physical",FLOOR((FLOOR(((2*XLOOKUP(XLOOKUP($Q89,'Threshold Summary'!$Y:$Y,'Threshold Summary'!$K:$K,""),'Pokemon Editor'!$A:$A,'Pokemon Editor'!$F:$F,0)+31+FLOOR(XLOOKUP($Q89,'Threshold Summary'!$Y:$Y,'Threshold Summary'!$P:$P,"")/4))*XLOOKUP($Q89,'Threshold Summary'!$Y:$Y,'Threshold Summary'!$L:$L,""))/100)+5)*XLOOKUP(XLOOKUP($Q89,'Threshold Summary'!$Y:$Y,'Threshold Summary'!$M:$M,""),'Nature Editor'!$A:$A,'Nature Editor'!$B:$B,1)),FLOOR((FLOOR(((2*XLOOKUP(XLOOKUP($Q89,'Threshold Summary'!$Y:$Y,'Threshold Summary'!$K:$K,""),'Pokemon Editor'!$A:$A,'Pokemon Editor'!$H:$H,0)+31+FLOOR(XLOOKUP($Q89,'Threshold Summary'!$Y:$Y,'Threshold Summary'!$R:$R,"")/4))*XLOOKUP($Q89,'Threshold Summary'!$Y:$Y,'Threshold Summary'!$L:$L,""))/100)+5)*XLOOKUP(XLOOKUP($Q89,'Threshold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Editor'!$E:$E,1))),stab,IF(OR(mtype=XLOOKUP(XLOOKUP($Q89,'Threshold Summary'!$Y:$Y,'Threshold Summary'!$K:$K,""),'Pokemon Editor'!$A:$A,'Pokemon Editor'!$C:$C,""),mtype=XLOOKUP(XLOOKUP($Q89,'Threshold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Chart'!$B$1:$S$1,0)))),base,IF(OR(cat="Status",pow=0),0,FLOOR(FLOOR(FLOOR((2*XLOOKUP($Q89,'Threshold Summary'!$Y:$Y,'Threshold Summary'!$L:$L,"")/5+2)*pow*atk/def)/50)+2)),modifier,stab*eff,FLOOR(base*modifier)),0)</f>
        <v/>
      </c>
      <c r="L89" s="3">
        <f>IFERROR(LET(mtype,XLOOKUP($D89,'Move Editor'!$B:$B,'Move Editor'!$C:$C,""),cat,XLOOKUP($D89,'Move Editor'!$B:$B,'Move Editor'!$D:$D,""),pow,XLOOKUP($D89,'Move Editor'!$B:$B,'Move Editor'!$E:$E,0),acc,XLOOKUP($D89,'Move Editor'!$B:$B,'Move Editor'!$F:$F,100),atk,IF(cat="Physical",FLOOR((FLOOR(((2*XLOOKUP(XLOOKUP($Q89,'Threshold Summary'!$Y:$Y,'Threshold Summary'!$K:$K,""),'Pokemon Editor'!$A:$A,'Pokemon Editor'!$F:$F,0)+31+FLOOR(XLOOKUP($Q89,'Threshold Summary'!$Y:$Y,'Threshold Summary'!$P:$P,"")/4))*XLOOKUP($Q89,'Threshold Summary'!$Y:$Y,'Threshold Summary'!$L:$L,""))/100)+5)*XLOOKUP(XLOOKUP($Q89,'Threshold Summary'!$Y:$Y,'Threshold Summary'!$M:$M,""),'Nature Editor'!$A:$A,'Nature Editor'!$B:$B,1)),FLOOR((FLOOR(((2*XLOOKUP(XLOOKUP($Q89,'Threshold Summary'!$Y:$Y,'Threshold Summary'!$K:$K,""),'Pokemon Editor'!$A:$A,'Pokemon Editor'!$H:$H,0)+31+FLOOR(XLOOKUP($Q89,'Threshold Summary'!$Y:$Y,'Threshold Summary'!$R:$R,"")/4))*XLOOKUP($Q89,'Threshold Summary'!$Y:$Y,'Threshold Summary'!$L:$L,""))/100)+5)*XLOOKUP(XLOOKUP($Q89,'Threshold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Editor'!$E:$E,1))),stab,IF(OR(mtype=XLOOKUP(XLOOKUP($Q89,'Threshold Summary'!$Y:$Y,'Threshold Summary'!$K:$K,""),'Pokemon Editor'!$A:$A,'Pokemon Editor'!$C:$C,""),mtype=XLOOKUP(XLOOKUP($Q89,'Threshold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Chart'!$B$1:$S$1,0)))),base,IF(OR(cat="Status",pow=0),0,FLOOR(FLOOR(FLOOR((2*XLOOKUP($Q89,'Threshold Summary'!$Y:$Y,'Threshold Summary'!$L:$L,"")/5+2)*pow*atk/def)/50)+2)),modifier,stab*eff,AVERAGE(ARRAYFORMULA(FLOOR(base*modifier*SEQUENCE(16,1,85,1)/100)))),0)</f>
        <v/>
      </c>
      <c r="M89" s="3">
        <f>IFERROR(LET(mtype,XLOOKUP($D89,'Move Editor'!$B:$B,'Move Editor'!$C:$C,""),cat,XLOOKUP($D89,'Move Editor'!$B:$B,'Move Editor'!$D:$D,""),pow,XLOOKUP($D89,'Move Editor'!$B:$B,'Move Editor'!$E:$E,0),acc,XLOOKUP($D89,'Move Editor'!$B:$B,'Move Editor'!$F:$F,100),atk,IF(cat="Physical",FLOOR((FLOOR(((2*XLOOKUP(XLOOKUP($Q89,'Threshold Summary'!$Y:$Y,'Threshold Summary'!$K:$K,""),'Pokemon Editor'!$A:$A,'Pokemon Editor'!$F:$F,0)+31+FLOOR(XLOOKUP($Q89,'Threshold Summary'!$Y:$Y,'Threshold Summary'!$P:$P,"")/4))*XLOOKUP($Q89,'Threshold Summary'!$Y:$Y,'Threshold Summary'!$L:$L,""))/100)+5)*XLOOKUP(XLOOKUP($Q89,'Threshold Summary'!$Y:$Y,'Threshold Summary'!$M:$M,""),'Nature Editor'!$A:$A,'Nature Editor'!$B:$B,1)),FLOOR((FLOOR(((2*XLOOKUP(XLOOKUP($Q89,'Threshold Summary'!$Y:$Y,'Threshold Summary'!$K:$K,""),'Pokemon Editor'!$A:$A,'Pokemon Editor'!$H:$H,0)+31+FLOOR(XLOOKUP($Q89,'Threshold Summary'!$Y:$Y,'Threshold Summary'!$R:$R,"")/4))*XLOOKUP($Q89,'Threshold Summary'!$Y:$Y,'Threshold Summary'!$L:$L,""))/100)+5)*XLOOKUP(XLOOKUP($Q89,'Threshold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Editor'!$E:$E,1))),stab,IF(OR(mtype=XLOOKUP(XLOOKUP($Q89,'Threshold Summary'!$Y:$Y,'Threshold Summary'!$K:$K,""),'Pokemon Editor'!$A:$A,'Pokemon Editor'!$C:$C,""),mtype=XLOOKUP(XLOOKUP($Q89,'Threshold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Chart'!$B$1:$S$1,0)))),base,IF(OR(cat="Status",pow=0),0,FLOOR(FLOOR(FLOOR((2*XLOOKUP($Q89,'Threshold Summary'!$Y:$Y,'Threshold Summary'!$L:$L,"")/5+2)*pow*atk/def)/50)+2)),modifier,stab*eff,AVERAGE(ARRAYFORMULA(FLOOR(base*modifier*SEQUENCE(16,1,85,1)/100)))*MIN(1,acc/100)),0)</f>
        <v/>
      </c>
      <c r="N89" s="4">
        <f>IFERROR(LET(mtype,XLOOKUP($D89,'Move Editor'!$B:$B,'Move Editor'!$C:$C,""),cat,XLOOKUP($D89,'Move Editor'!$B:$B,'Move Editor'!$D:$D,""),pow,XLOOKUP($D89,'Move Editor'!$B:$B,'Move Editor'!$E:$E,0),acc,XLOOKUP($D89,'Move Editor'!$B:$B,'Move Editor'!$F:$F,100),atk,IF(cat="Physical",FLOOR((FLOOR(((2*XLOOKUP(XLOOKUP($Q89,'Threshold Summary'!$Y:$Y,'Threshold Summary'!$K:$K,""),'Pokemon Editor'!$A:$A,'Pokemon Editor'!$F:$F,0)+31+FLOOR(XLOOKUP($Q89,'Threshold Summary'!$Y:$Y,'Threshold Summary'!$P:$P,"")/4))*XLOOKUP($Q89,'Threshold Summary'!$Y:$Y,'Threshold Summary'!$L:$L,""))/100)+5)*XLOOKUP(XLOOKUP($Q89,'Threshold Summary'!$Y:$Y,'Threshold Summary'!$M:$M,""),'Nature Editor'!$A:$A,'Nature Editor'!$B:$B,1)),FLOOR((FLOOR(((2*XLOOKUP(XLOOKUP($Q89,'Threshold Summary'!$Y:$Y,'Threshold Summary'!$K:$K,""),'Pokemon Editor'!$A:$A,'Pokemon Editor'!$H:$H,0)+31+FLOOR(XLOOKUP($Q89,'Threshold Summary'!$Y:$Y,'Threshold Summary'!$R:$R,"")/4))*XLOOKUP($Q89,'Threshold Summary'!$Y:$Y,'Threshold Summary'!$L:$L,""))/100)+5)*XLOOKUP(XLOOKUP($Q89,'Threshold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Editor'!$E:$E,1))),stab,IF(OR(mtype=XLOOKUP(XLOOKUP($Q89,'Threshold Summary'!$Y:$Y,'Threshold Summary'!$K:$K,""),'Pokemon Editor'!$A:$A,'Pokemon Editor'!$C:$C,""),mtype=XLOOKUP(XLOOKUP($Q89,'Threshold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Chart'!$B$1:$S$1,0)))),base,IF(OR(cat="Status",pow=0),0,FLOOR(FLOOR(FLOOR((2*XLOOKUP($Q89,'Threshold Summary'!$Y:$Y,'Threshold Summary'!$L:$L,"")/5+2)*pow*atk/def)/50)+2)),modifier,stab*eff,AVERAGE(ARRAYFORMULA(FLOOR(base*modifier*SEQUENCE(16,1,85,1)/100)))/(FLOOR(((2*XLOOKUP('Boss Editor'!$C$4,'Pokemon Editor'!$A:$A,'Pokemon Editor'!$E:$E,0)+31+FLOOR('Boss Editor'!$G$4/4))*'Boss Editor'!$D$4)/100)+'Boss Editor'!$D$4+10)),0)</f>
        <v/>
      </c>
      <c r="O89" s="3">
        <f>IF(N89&gt;=1,"OHKO",IF(N89&gt;=0.5,"2HKO",IF(N89&gt;=0.333,"3HKO",IF(N89&gt;=0.25,"4HKO","5HKO+"))))</f>
        <v/>
      </c>
      <c r="P89" s="3" t="inlineStr">
        <is>
          <t>Live from editable databases</t>
        </is>
      </c>
      <c r="Q89" s="3" t="inlineStr">
        <is>
          <t>SPECIES_MAREEP</t>
        </is>
      </c>
      <c r="R89" s="3" t="n">
        <v>24</v>
      </c>
    </row>
    <row r="90">
      <c r="A90" s="3">
        <f>XLOOKUP($Q90,'Threshold Summary'!$Y:$Y,'Threshold Summary'!$A:$A,"")</f>
        <v/>
      </c>
      <c r="B90" s="3">
        <f>XLOOKUP($Q90,'Threshold Summary'!$Y:$Y,'Threshold Summary'!$M:$M,"")</f>
        <v/>
      </c>
      <c r="C90" s="3">
        <f>XLOOKUP($Q90,'Threshold Summary'!$Y:$Y,'Threshold Summary'!$N:$N,"")</f>
        <v/>
      </c>
      <c r="D90" s="3">
        <f>IFERROR(INDEX(FILTER('Learnset Editor'!$D$2:$D,'Learnset Editor'!$A$2:$A=XLOOKUP($Q90,'Threshold Summary'!$Y:$Y,'Threshold Summary'!$K:$K,""),'Learnset Editor'!$C$2:$C&lt;=XLOOKUP($Q90,'Threshold Summary'!$Y:$Y,'Threshold Summary'!$L:$L,"")),$R90),"")</f>
        <v/>
      </c>
      <c r="E90" s="3">
        <f>XLOOKUP(D90,'Move Editor'!$B:$B,'Move Editor'!$C:$C,"")</f>
        <v/>
      </c>
      <c r="F90" s="3">
        <f>XLOOKUP(D90,'Move Editor'!$B:$B,'Move Editor'!$D:$D,"")</f>
        <v/>
      </c>
      <c r="G90" s="3">
        <f>XLOOKUP(D90,'Move Editor'!$B:$B,'Move Editor'!$E:$E,0)</f>
        <v/>
      </c>
      <c r="H90" s="3">
        <f>XLOOKUP(D90,'Move Editor'!$B:$B,'Move Editor'!$F:$F,0)</f>
        <v/>
      </c>
      <c r="I90" s="3">
        <f>(INDEX('Type Chart'!$B:$S,MATCH(E90,'Type Chart'!$A:$A,0),MATCH(XLOOKUP('Boss Editor'!$C$4,'Pokemon Editor'!$A:$A,'Pokemon Editor'!$C:$C,""),'Type Chart'!$B$1:$S$1,0))*IF(XLOOKUP('Boss Editor'!$C$4,'Pokemon Editor'!$A:$A,'Pokemon Editor'!$D:$D,"")="",1,INDEX('Type Chart'!$B:$S,MATCH(E90,'Type Chart'!$A:$A,0),MATCH(XLOOKUP('Boss Editor'!$C$4,'Pokemon Editor'!$A:$A,'Pokemon Editor'!$D:$D,""),'Type Chart'!$B$1:$S$1,0))))</f>
        <v/>
      </c>
      <c r="J90" s="3">
        <f>IFERROR(LET(mtype,XLOOKUP($D90,'Move Editor'!$B:$B,'Move Editor'!$C:$C,""),cat,XLOOKUP($D90,'Move Editor'!$B:$B,'Move Editor'!$D:$D,""),pow,XLOOKUP($D90,'Move Editor'!$B:$B,'Move Editor'!$E:$E,0),acc,XLOOKUP($D90,'Move Editor'!$B:$B,'Move Editor'!$F:$F,100),atk,IF(cat="Physical",FLOOR((FLOOR(((2*XLOOKUP(XLOOKUP($Q90,'Threshold Summary'!$Y:$Y,'Threshold Summary'!$K:$K,""),'Pokemon Editor'!$A:$A,'Pokemon Editor'!$F:$F,0)+31+FLOOR(XLOOKUP($Q90,'Threshold Summary'!$Y:$Y,'Threshold Summary'!$P:$P,"")/4))*XLOOKUP($Q90,'Threshold Summary'!$Y:$Y,'Threshold Summary'!$L:$L,""))/100)+5)*XLOOKUP(XLOOKUP($Q90,'Threshold Summary'!$Y:$Y,'Threshold Summary'!$M:$M,""),'Nature Editor'!$A:$A,'Nature Editor'!$B:$B,1)),FLOOR((FLOOR(((2*XLOOKUP(XLOOKUP($Q90,'Threshold Summary'!$Y:$Y,'Threshold Summary'!$K:$K,""),'Pokemon Editor'!$A:$A,'Pokemon Editor'!$H:$H,0)+31+FLOOR(XLOOKUP($Q90,'Threshold Summary'!$Y:$Y,'Threshold Summary'!$R:$R,"")/4))*XLOOKUP($Q90,'Threshold Summary'!$Y:$Y,'Threshold Summary'!$L:$L,""))/100)+5)*XLOOKUP(XLOOKUP($Q90,'Threshold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Editor'!$E:$E,1))),stab,IF(OR(mtype=XLOOKUP(XLOOKUP($Q90,'Threshold Summary'!$Y:$Y,'Threshold Summary'!$K:$K,""),'Pokemon Editor'!$A:$A,'Pokemon Editor'!$C:$C,""),mtype=XLOOKUP(XLOOKUP($Q90,'Threshold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Chart'!$B$1:$S$1,0)))),base,IF(OR(cat="Status",pow=0),0,FLOOR(FLOOR(FLOOR((2*XLOOKUP($Q90,'Threshold Summary'!$Y:$Y,'Threshold Summary'!$L:$L,"")/5+2)*pow*atk/def)/50)+2)),modifier,stab*eff,FLOOR(base*modifier*0.85)),0)</f>
        <v/>
      </c>
      <c r="K90" s="3">
        <f>IFERROR(LET(mtype,XLOOKUP($D90,'Move Editor'!$B:$B,'Move Editor'!$C:$C,""),cat,XLOOKUP($D90,'Move Editor'!$B:$B,'Move Editor'!$D:$D,""),pow,XLOOKUP($D90,'Move Editor'!$B:$B,'Move Editor'!$E:$E,0),acc,XLOOKUP($D90,'Move Editor'!$B:$B,'Move Editor'!$F:$F,100),atk,IF(cat="Physical",FLOOR((FLOOR(((2*XLOOKUP(XLOOKUP($Q90,'Threshold Summary'!$Y:$Y,'Threshold Summary'!$K:$K,""),'Pokemon Editor'!$A:$A,'Pokemon Editor'!$F:$F,0)+31+FLOOR(XLOOKUP($Q90,'Threshold Summary'!$Y:$Y,'Threshold Summary'!$P:$P,"")/4))*XLOOKUP($Q90,'Threshold Summary'!$Y:$Y,'Threshold Summary'!$L:$L,""))/100)+5)*XLOOKUP(XLOOKUP($Q90,'Threshold Summary'!$Y:$Y,'Threshold Summary'!$M:$M,""),'Nature Editor'!$A:$A,'Nature Editor'!$B:$B,1)),FLOOR((FLOOR(((2*XLOOKUP(XLOOKUP($Q90,'Threshold Summary'!$Y:$Y,'Threshold Summary'!$K:$K,""),'Pokemon Editor'!$A:$A,'Pokemon Editor'!$H:$H,0)+31+FLOOR(XLOOKUP($Q90,'Threshold Summary'!$Y:$Y,'Threshold Summary'!$R:$R,"")/4))*XLOOKUP($Q90,'Threshold Summary'!$Y:$Y,'Threshold Summary'!$L:$L,""))/100)+5)*XLOOKUP(XLOOKUP($Q90,'Threshold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Editor'!$E:$E,1))),stab,IF(OR(mtype=XLOOKUP(XLOOKUP($Q90,'Threshold Summary'!$Y:$Y,'Threshold Summary'!$K:$K,""),'Pokemon Editor'!$A:$A,'Pokemon Editor'!$C:$C,""),mtype=XLOOKUP(XLOOKUP($Q90,'Threshold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Chart'!$B$1:$S$1,0)))),base,IF(OR(cat="Status",pow=0),0,FLOOR(FLOOR(FLOOR((2*XLOOKUP($Q90,'Threshold Summary'!$Y:$Y,'Threshold Summary'!$L:$L,"")/5+2)*pow*atk/def)/50)+2)),modifier,stab*eff,FLOOR(base*modifier)),0)</f>
        <v/>
      </c>
      <c r="L90" s="3">
        <f>IFERROR(LET(mtype,XLOOKUP($D90,'Move Editor'!$B:$B,'Move Editor'!$C:$C,""),cat,XLOOKUP($D90,'Move Editor'!$B:$B,'Move Editor'!$D:$D,""),pow,XLOOKUP($D90,'Move Editor'!$B:$B,'Move Editor'!$E:$E,0),acc,XLOOKUP($D90,'Move Editor'!$B:$B,'Move Editor'!$F:$F,100),atk,IF(cat="Physical",FLOOR((FLOOR(((2*XLOOKUP(XLOOKUP($Q90,'Threshold Summary'!$Y:$Y,'Threshold Summary'!$K:$K,""),'Pokemon Editor'!$A:$A,'Pokemon Editor'!$F:$F,0)+31+FLOOR(XLOOKUP($Q90,'Threshold Summary'!$Y:$Y,'Threshold Summary'!$P:$P,"")/4))*XLOOKUP($Q90,'Threshold Summary'!$Y:$Y,'Threshold Summary'!$L:$L,""))/100)+5)*XLOOKUP(XLOOKUP($Q90,'Threshold Summary'!$Y:$Y,'Threshold Summary'!$M:$M,""),'Nature Editor'!$A:$A,'Nature Editor'!$B:$B,1)),FLOOR((FLOOR(((2*XLOOKUP(XLOOKUP($Q90,'Threshold Summary'!$Y:$Y,'Threshold Summary'!$K:$K,""),'Pokemon Editor'!$A:$A,'Pokemon Editor'!$H:$H,0)+31+FLOOR(XLOOKUP($Q90,'Threshold Summary'!$Y:$Y,'Threshold Summary'!$R:$R,"")/4))*XLOOKUP($Q90,'Threshold Summary'!$Y:$Y,'Threshold Summary'!$L:$L,""))/100)+5)*XLOOKUP(XLOOKUP($Q90,'Threshold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Editor'!$E:$E,1))),stab,IF(OR(mtype=XLOOKUP(XLOOKUP($Q90,'Threshold Summary'!$Y:$Y,'Threshold Summary'!$K:$K,""),'Pokemon Editor'!$A:$A,'Pokemon Editor'!$C:$C,""),mtype=XLOOKUP(XLOOKUP($Q90,'Threshold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Chart'!$B$1:$S$1,0)))),base,IF(OR(cat="Status",pow=0),0,FLOOR(FLOOR(FLOOR((2*XLOOKUP($Q90,'Threshold Summary'!$Y:$Y,'Threshold Summary'!$L:$L,"")/5+2)*pow*atk/def)/50)+2)),modifier,stab*eff,AVERAGE(ARRAYFORMULA(FLOOR(base*modifier*SEQUENCE(16,1,85,1)/100)))),0)</f>
        <v/>
      </c>
      <c r="M90" s="3">
        <f>IFERROR(LET(mtype,XLOOKUP($D90,'Move Editor'!$B:$B,'Move Editor'!$C:$C,""),cat,XLOOKUP($D90,'Move Editor'!$B:$B,'Move Editor'!$D:$D,""),pow,XLOOKUP($D90,'Move Editor'!$B:$B,'Move Editor'!$E:$E,0),acc,XLOOKUP($D90,'Move Editor'!$B:$B,'Move Editor'!$F:$F,100),atk,IF(cat="Physical",FLOOR((FLOOR(((2*XLOOKUP(XLOOKUP($Q90,'Threshold Summary'!$Y:$Y,'Threshold Summary'!$K:$K,""),'Pokemon Editor'!$A:$A,'Pokemon Editor'!$F:$F,0)+31+FLOOR(XLOOKUP($Q90,'Threshold Summary'!$Y:$Y,'Threshold Summary'!$P:$P,"")/4))*XLOOKUP($Q90,'Threshold Summary'!$Y:$Y,'Threshold Summary'!$L:$L,""))/100)+5)*XLOOKUP(XLOOKUP($Q90,'Threshold Summary'!$Y:$Y,'Threshold Summary'!$M:$M,""),'Nature Editor'!$A:$A,'Nature Editor'!$B:$B,1)),FLOOR((FLOOR(((2*XLOOKUP(XLOOKUP($Q90,'Threshold Summary'!$Y:$Y,'Threshold Summary'!$K:$K,""),'Pokemon Editor'!$A:$A,'Pokemon Editor'!$H:$H,0)+31+FLOOR(XLOOKUP($Q90,'Threshold Summary'!$Y:$Y,'Threshold Summary'!$R:$R,"")/4))*XLOOKUP($Q90,'Threshold Summary'!$Y:$Y,'Threshold Summary'!$L:$L,""))/100)+5)*XLOOKUP(XLOOKUP($Q90,'Threshold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Editor'!$E:$E,1))),stab,IF(OR(mtype=XLOOKUP(XLOOKUP($Q90,'Threshold Summary'!$Y:$Y,'Threshold Summary'!$K:$K,""),'Pokemon Editor'!$A:$A,'Pokemon Editor'!$C:$C,""),mtype=XLOOKUP(XLOOKUP($Q90,'Threshold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Chart'!$B$1:$S$1,0)))),base,IF(OR(cat="Status",pow=0),0,FLOOR(FLOOR(FLOOR((2*XLOOKUP($Q90,'Threshold Summary'!$Y:$Y,'Threshold Summary'!$L:$L,"")/5+2)*pow*atk/def)/50)+2)),modifier,stab*eff,AVERAGE(ARRAYFORMULA(FLOOR(base*modifier*SEQUENCE(16,1,85,1)/100)))*MIN(1,acc/100)),0)</f>
        <v/>
      </c>
      <c r="N90" s="4">
        <f>IFERROR(LET(mtype,XLOOKUP($D90,'Move Editor'!$B:$B,'Move Editor'!$C:$C,""),cat,XLOOKUP($D90,'Move Editor'!$B:$B,'Move Editor'!$D:$D,""),pow,XLOOKUP($D90,'Move Editor'!$B:$B,'Move Editor'!$E:$E,0),acc,XLOOKUP($D90,'Move Editor'!$B:$B,'Move Editor'!$F:$F,100),atk,IF(cat="Physical",FLOOR((FLOOR(((2*XLOOKUP(XLOOKUP($Q90,'Threshold Summary'!$Y:$Y,'Threshold Summary'!$K:$K,""),'Pokemon Editor'!$A:$A,'Pokemon Editor'!$F:$F,0)+31+FLOOR(XLOOKUP($Q90,'Threshold Summary'!$Y:$Y,'Threshold Summary'!$P:$P,"")/4))*XLOOKUP($Q90,'Threshold Summary'!$Y:$Y,'Threshold Summary'!$L:$L,""))/100)+5)*XLOOKUP(XLOOKUP($Q90,'Threshold Summary'!$Y:$Y,'Threshold Summary'!$M:$M,""),'Nature Editor'!$A:$A,'Nature Editor'!$B:$B,1)),FLOOR((FLOOR(((2*XLOOKUP(XLOOKUP($Q90,'Threshold Summary'!$Y:$Y,'Threshold Summary'!$K:$K,""),'Pokemon Editor'!$A:$A,'Pokemon Editor'!$H:$H,0)+31+FLOOR(XLOOKUP($Q90,'Threshold Summary'!$Y:$Y,'Threshold Summary'!$R:$R,"")/4))*XLOOKUP($Q90,'Threshold Summary'!$Y:$Y,'Threshold Summary'!$L:$L,""))/100)+5)*XLOOKUP(XLOOKUP($Q90,'Threshold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Editor'!$E:$E,1))),stab,IF(OR(mtype=XLOOKUP(XLOOKUP($Q90,'Threshold Summary'!$Y:$Y,'Threshold Summary'!$K:$K,""),'Pokemon Editor'!$A:$A,'Pokemon Editor'!$C:$C,""),mtype=XLOOKUP(XLOOKUP($Q90,'Threshold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Chart'!$B$1:$S$1,0)))),base,IF(OR(cat="Status",pow=0),0,FLOOR(FLOOR(FLOOR((2*XLOOKUP($Q90,'Threshold Summary'!$Y:$Y,'Threshold Summary'!$L:$L,"")/5+2)*pow*atk/def)/50)+2)),modifier,stab*eff,AVERAGE(ARRAYFORMULA(FLOOR(base*modifier*SEQUENCE(16,1,85,1)/100)))/(FLOOR(((2*XLOOKUP('Boss Editor'!$C$4,'Pokemon Editor'!$A:$A,'Pokemon Editor'!$E:$E,0)+31+FLOOR('Boss Editor'!$G$4/4))*'Boss Editor'!$D$4)/100)+'Boss Editor'!$D$4+10)),0)</f>
        <v/>
      </c>
      <c r="O90" s="3">
        <f>IF(N90&gt;=1,"OHKO",IF(N90&gt;=0.5,"2HKO",IF(N90&gt;=0.333,"3HKO",IF(N90&gt;=0.25,"4HKO","5HKO+"))))</f>
        <v/>
      </c>
      <c r="P90" s="3" t="inlineStr">
        <is>
          <t>Live from editable databases</t>
        </is>
      </c>
      <c r="Q90" s="3" t="inlineStr">
        <is>
          <t>SPECIES_MAREEP</t>
        </is>
      </c>
      <c r="R90" s="3" t="n">
        <v>25</v>
      </c>
    </row>
    <row r="91">
      <c r="A91" s="3">
        <f>XLOOKUP($Q91,'Threshold Summary'!$Y:$Y,'Threshold Summary'!$A:$A,"")</f>
        <v/>
      </c>
      <c r="B91" s="3">
        <f>XLOOKUP($Q91,'Threshold Summary'!$Y:$Y,'Threshold Summary'!$M:$M,"")</f>
        <v/>
      </c>
      <c r="C91" s="3">
        <f>XLOOKUP($Q91,'Threshold Summary'!$Y:$Y,'Threshold Summary'!$N:$N,"")</f>
        <v/>
      </c>
      <c r="D91" s="3">
        <f>IFERROR(INDEX(FILTER('Learnset Editor'!$D$2:$D,'Learnset Editor'!$A$2:$A=XLOOKUP($Q91,'Threshold Summary'!$Y:$Y,'Threshold Summary'!$K:$K,""),'Learnset Editor'!$C$2:$C&lt;=XLOOKUP($Q91,'Threshold Summary'!$Y:$Y,'Threshold Summary'!$L:$L,"")),$R91),"")</f>
        <v/>
      </c>
      <c r="E91" s="3">
        <f>XLOOKUP(D91,'Move Editor'!$B:$B,'Move Editor'!$C:$C,"")</f>
        <v/>
      </c>
      <c r="F91" s="3">
        <f>XLOOKUP(D91,'Move Editor'!$B:$B,'Move Editor'!$D:$D,"")</f>
        <v/>
      </c>
      <c r="G91" s="3">
        <f>XLOOKUP(D91,'Move Editor'!$B:$B,'Move Editor'!$E:$E,0)</f>
        <v/>
      </c>
      <c r="H91" s="3">
        <f>XLOOKUP(D91,'Move Editor'!$B:$B,'Move Editor'!$F:$F,0)</f>
        <v/>
      </c>
      <c r="I91" s="3">
        <f>(INDEX('Type Chart'!$B:$S,MATCH(E91,'Type Chart'!$A:$A,0),MATCH(XLOOKUP('Boss Editor'!$C$4,'Pokemon Editor'!$A:$A,'Pokemon Editor'!$C:$C,""),'Type Chart'!$B$1:$S$1,0))*IF(XLOOKUP('Boss Editor'!$C$4,'Pokemon Editor'!$A:$A,'Pokemon Editor'!$D:$D,"")="",1,INDEX('Type Chart'!$B:$S,MATCH(E91,'Type Chart'!$A:$A,0),MATCH(XLOOKUP('Boss Editor'!$C$4,'Pokemon Editor'!$A:$A,'Pokemon Editor'!$D:$D,""),'Type Chart'!$B$1:$S$1,0))))</f>
        <v/>
      </c>
      <c r="J91" s="3">
        <f>IFERROR(LET(mtype,XLOOKUP($D91,'Move Editor'!$B:$B,'Move Editor'!$C:$C,""),cat,XLOOKUP($D91,'Move Editor'!$B:$B,'Move Editor'!$D:$D,""),pow,XLOOKUP($D91,'Move Editor'!$B:$B,'Move Editor'!$E:$E,0),acc,XLOOKUP($D91,'Move Editor'!$B:$B,'Move Editor'!$F:$F,100),atk,IF(cat="Physical",FLOOR((FLOOR(((2*XLOOKUP(XLOOKUP($Q91,'Threshold Summary'!$Y:$Y,'Threshold Summary'!$K:$K,""),'Pokemon Editor'!$A:$A,'Pokemon Editor'!$F:$F,0)+31+FLOOR(XLOOKUP($Q91,'Threshold Summary'!$Y:$Y,'Threshold Summary'!$P:$P,"")/4))*XLOOKUP($Q91,'Threshold Summary'!$Y:$Y,'Threshold Summary'!$L:$L,""))/100)+5)*XLOOKUP(XLOOKUP($Q91,'Threshold Summary'!$Y:$Y,'Threshold Summary'!$M:$M,""),'Nature Editor'!$A:$A,'Nature Editor'!$B:$B,1)),FLOOR((FLOOR(((2*XLOOKUP(XLOOKUP($Q91,'Threshold Summary'!$Y:$Y,'Threshold Summary'!$K:$K,""),'Pokemon Editor'!$A:$A,'Pokemon Editor'!$H:$H,0)+31+FLOOR(XLOOKUP($Q91,'Threshold Summary'!$Y:$Y,'Threshold Summary'!$R:$R,"")/4))*XLOOKUP($Q91,'Threshold Summary'!$Y:$Y,'Threshold Summary'!$L:$L,""))/100)+5)*XLOOKUP(XLOOKUP($Q91,'Threshold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Editor'!$E:$E,1))),stab,IF(OR(mtype=XLOOKUP(XLOOKUP($Q91,'Threshold Summary'!$Y:$Y,'Threshold Summary'!$K:$K,""),'Pokemon Editor'!$A:$A,'Pokemon Editor'!$C:$C,""),mtype=XLOOKUP(XLOOKUP($Q91,'Threshold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Chart'!$B$1:$S$1,0)))),base,IF(OR(cat="Status",pow=0),0,FLOOR(FLOOR(FLOOR((2*XLOOKUP($Q91,'Threshold Summary'!$Y:$Y,'Threshold Summary'!$L:$L,"")/5+2)*pow*atk/def)/50)+2)),modifier,stab*eff,FLOOR(base*modifier*0.85)),0)</f>
        <v/>
      </c>
      <c r="K91" s="3">
        <f>IFERROR(LET(mtype,XLOOKUP($D91,'Move Editor'!$B:$B,'Move Editor'!$C:$C,""),cat,XLOOKUP($D91,'Move Editor'!$B:$B,'Move Editor'!$D:$D,""),pow,XLOOKUP($D91,'Move Editor'!$B:$B,'Move Editor'!$E:$E,0),acc,XLOOKUP($D91,'Move Editor'!$B:$B,'Move Editor'!$F:$F,100),atk,IF(cat="Physical",FLOOR((FLOOR(((2*XLOOKUP(XLOOKUP($Q91,'Threshold Summary'!$Y:$Y,'Threshold Summary'!$K:$K,""),'Pokemon Editor'!$A:$A,'Pokemon Editor'!$F:$F,0)+31+FLOOR(XLOOKUP($Q91,'Threshold Summary'!$Y:$Y,'Threshold Summary'!$P:$P,"")/4))*XLOOKUP($Q91,'Threshold Summary'!$Y:$Y,'Threshold Summary'!$L:$L,""))/100)+5)*XLOOKUP(XLOOKUP($Q91,'Threshold Summary'!$Y:$Y,'Threshold Summary'!$M:$M,""),'Nature Editor'!$A:$A,'Nature Editor'!$B:$B,1)),FLOOR((FLOOR(((2*XLOOKUP(XLOOKUP($Q91,'Threshold Summary'!$Y:$Y,'Threshold Summary'!$K:$K,""),'Pokemon Editor'!$A:$A,'Pokemon Editor'!$H:$H,0)+31+FLOOR(XLOOKUP($Q91,'Threshold Summary'!$Y:$Y,'Threshold Summary'!$R:$R,"")/4))*XLOOKUP($Q91,'Threshold Summary'!$Y:$Y,'Threshold Summary'!$L:$L,""))/100)+5)*XLOOKUP(XLOOKUP($Q91,'Threshold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Editor'!$E:$E,1))),stab,IF(OR(mtype=XLOOKUP(XLOOKUP($Q91,'Threshold Summary'!$Y:$Y,'Threshold Summary'!$K:$K,""),'Pokemon Editor'!$A:$A,'Pokemon Editor'!$C:$C,""),mtype=XLOOKUP(XLOOKUP($Q91,'Threshold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Chart'!$B$1:$S$1,0)))),base,IF(OR(cat="Status",pow=0),0,FLOOR(FLOOR(FLOOR((2*XLOOKUP($Q91,'Threshold Summary'!$Y:$Y,'Threshold Summary'!$L:$L,"")/5+2)*pow*atk/def)/50)+2)),modifier,stab*eff,FLOOR(base*modifier)),0)</f>
        <v/>
      </c>
      <c r="L91" s="3">
        <f>IFERROR(LET(mtype,XLOOKUP($D91,'Move Editor'!$B:$B,'Move Editor'!$C:$C,""),cat,XLOOKUP($D91,'Move Editor'!$B:$B,'Move Editor'!$D:$D,""),pow,XLOOKUP($D91,'Move Editor'!$B:$B,'Move Editor'!$E:$E,0),acc,XLOOKUP($D91,'Move Editor'!$B:$B,'Move Editor'!$F:$F,100),atk,IF(cat="Physical",FLOOR((FLOOR(((2*XLOOKUP(XLOOKUP($Q91,'Threshold Summary'!$Y:$Y,'Threshold Summary'!$K:$K,""),'Pokemon Editor'!$A:$A,'Pokemon Editor'!$F:$F,0)+31+FLOOR(XLOOKUP($Q91,'Threshold Summary'!$Y:$Y,'Threshold Summary'!$P:$P,"")/4))*XLOOKUP($Q91,'Threshold Summary'!$Y:$Y,'Threshold Summary'!$L:$L,""))/100)+5)*XLOOKUP(XLOOKUP($Q91,'Threshold Summary'!$Y:$Y,'Threshold Summary'!$M:$M,""),'Nature Editor'!$A:$A,'Nature Editor'!$B:$B,1)),FLOOR((FLOOR(((2*XLOOKUP(XLOOKUP($Q91,'Threshold Summary'!$Y:$Y,'Threshold Summary'!$K:$K,""),'Pokemon Editor'!$A:$A,'Pokemon Editor'!$H:$H,0)+31+FLOOR(XLOOKUP($Q91,'Threshold Summary'!$Y:$Y,'Threshold Summary'!$R:$R,"")/4))*XLOOKUP($Q91,'Threshold Summary'!$Y:$Y,'Threshold Summary'!$L:$L,""))/100)+5)*XLOOKUP(XLOOKUP($Q91,'Threshold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Editor'!$E:$E,1))),stab,IF(OR(mtype=XLOOKUP(XLOOKUP($Q91,'Threshold Summary'!$Y:$Y,'Threshold Summary'!$K:$K,""),'Pokemon Editor'!$A:$A,'Pokemon Editor'!$C:$C,""),mtype=XLOOKUP(XLOOKUP($Q91,'Threshold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Chart'!$B$1:$S$1,0)))),base,IF(OR(cat="Status",pow=0),0,FLOOR(FLOOR(FLOOR((2*XLOOKUP($Q91,'Threshold Summary'!$Y:$Y,'Threshold Summary'!$L:$L,"")/5+2)*pow*atk/def)/50)+2)),modifier,stab*eff,AVERAGE(ARRAYFORMULA(FLOOR(base*modifier*SEQUENCE(16,1,85,1)/100)))),0)</f>
        <v/>
      </c>
      <c r="M91" s="3">
        <f>IFERROR(LET(mtype,XLOOKUP($D91,'Move Editor'!$B:$B,'Move Editor'!$C:$C,""),cat,XLOOKUP($D91,'Move Editor'!$B:$B,'Move Editor'!$D:$D,""),pow,XLOOKUP($D91,'Move Editor'!$B:$B,'Move Editor'!$E:$E,0),acc,XLOOKUP($D91,'Move Editor'!$B:$B,'Move Editor'!$F:$F,100),atk,IF(cat="Physical",FLOOR((FLOOR(((2*XLOOKUP(XLOOKUP($Q91,'Threshold Summary'!$Y:$Y,'Threshold Summary'!$K:$K,""),'Pokemon Editor'!$A:$A,'Pokemon Editor'!$F:$F,0)+31+FLOOR(XLOOKUP($Q91,'Threshold Summary'!$Y:$Y,'Threshold Summary'!$P:$P,"")/4))*XLOOKUP($Q91,'Threshold Summary'!$Y:$Y,'Threshold Summary'!$L:$L,""))/100)+5)*XLOOKUP(XLOOKUP($Q91,'Threshold Summary'!$Y:$Y,'Threshold Summary'!$M:$M,""),'Nature Editor'!$A:$A,'Nature Editor'!$B:$B,1)),FLOOR((FLOOR(((2*XLOOKUP(XLOOKUP($Q91,'Threshold Summary'!$Y:$Y,'Threshold Summary'!$K:$K,""),'Pokemon Editor'!$A:$A,'Pokemon Editor'!$H:$H,0)+31+FLOOR(XLOOKUP($Q91,'Threshold Summary'!$Y:$Y,'Threshold Summary'!$R:$R,"")/4))*XLOOKUP($Q91,'Threshold Summary'!$Y:$Y,'Threshold Summary'!$L:$L,""))/100)+5)*XLOOKUP(XLOOKUP($Q91,'Threshold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Editor'!$E:$E,1))),stab,IF(OR(mtype=XLOOKUP(XLOOKUP($Q91,'Threshold Summary'!$Y:$Y,'Threshold Summary'!$K:$K,""),'Pokemon Editor'!$A:$A,'Pokemon Editor'!$C:$C,""),mtype=XLOOKUP(XLOOKUP($Q91,'Threshold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Chart'!$B$1:$S$1,0)))),base,IF(OR(cat="Status",pow=0),0,FLOOR(FLOOR(FLOOR((2*XLOOKUP($Q91,'Threshold Summary'!$Y:$Y,'Threshold Summary'!$L:$L,"")/5+2)*pow*atk/def)/50)+2)),modifier,stab*eff,AVERAGE(ARRAYFORMULA(FLOOR(base*modifier*SEQUENCE(16,1,85,1)/100)))*MIN(1,acc/100)),0)</f>
        <v/>
      </c>
      <c r="N91" s="4">
        <f>IFERROR(LET(mtype,XLOOKUP($D91,'Move Editor'!$B:$B,'Move Editor'!$C:$C,""),cat,XLOOKUP($D91,'Move Editor'!$B:$B,'Move Editor'!$D:$D,""),pow,XLOOKUP($D91,'Move Editor'!$B:$B,'Move Editor'!$E:$E,0),acc,XLOOKUP($D91,'Move Editor'!$B:$B,'Move Editor'!$F:$F,100),atk,IF(cat="Physical",FLOOR((FLOOR(((2*XLOOKUP(XLOOKUP($Q91,'Threshold Summary'!$Y:$Y,'Threshold Summary'!$K:$K,""),'Pokemon Editor'!$A:$A,'Pokemon Editor'!$F:$F,0)+31+FLOOR(XLOOKUP($Q91,'Threshold Summary'!$Y:$Y,'Threshold Summary'!$P:$P,"")/4))*XLOOKUP($Q91,'Threshold Summary'!$Y:$Y,'Threshold Summary'!$L:$L,""))/100)+5)*XLOOKUP(XLOOKUP($Q91,'Threshold Summary'!$Y:$Y,'Threshold Summary'!$M:$M,""),'Nature Editor'!$A:$A,'Nature Editor'!$B:$B,1)),FLOOR((FLOOR(((2*XLOOKUP(XLOOKUP($Q91,'Threshold Summary'!$Y:$Y,'Threshold Summary'!$K:$K,""),'Pokemon Editor'!$A:$A,'Pokemon Editor'!$H:$H,0)+31+FLOOR(XLOOKUP($Q91,'Threshold Summary'!$Y:$Y,'Threshold Summary'!$R:$R,"")/4))*XLOOKUP($Q91,'Threshold Summary'!$Y:$Y,'Threshold Summary'!$L:$L,""))/100)+5)*XLOOKUP(XLOOKUP($Q91,'Threshold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Editor'!$E:$E,1))),stab,IF(OR(mtype=XLOOKUP(XLOOKUP($Q91,'Threshold Summary'!$Y:$Y,'Threshold Summary'!$K:$K,""),'Pokemon Editor'!$A:$A,'Pokemon Editor'!$C:$C,""),mtype=XLOOKUP(XLOOKUP($Q91,'Threshold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Chart'!$B$1:$S$1,0)))),base,IF(OR(cat="Status",pow=0),0,FLOOR(FLOOR(FLOOR((2*XLOOKUP($Q91,'Threshold Summary'!$Y:$Y,'Threshold Summary'!$L:$L,"")/5+2)*pow*atk/def)/50)+2)),modifier,stab*eff,AVERAGE(ARRAYFORMULA(FLOOR(base*modifier*SEQUENCE(16,1,85,1)/100)))/(FLOOR(((2*XLOOKUP('Boss Editor'!$C$4,'Pokemon Editor'!$A:$A,'Pokemon Editor'!$E:$E,0)+31+FLOOR('Boss Editor'!$G$4/4))*'Boss Editor'!$D$4)/100)+'Boss Editor'!$D$4+10)),0)</f>
        <v/>
      </c>
      <c r="O91" s="3">
        <f>IF(N91&gt;=1,"OHKO",IF(N91&gt;=0.5,"2HKO",IF(N91&gt;=0.333,"3HKO",IF(N91&gt;=0.25,"4HKO","5HKO+"))))</f>
        <v/>
      </c>
      <c r="P91" s="3" t="inlineStr">
        <is>
          <t>Live from editable databases</t>
        </is>
      </c>
      <c r="Q91" s="3" t="inlineStr">
        <is>
          <t>SPECIES_MAREEP</t>
        </is>
      </c>
      <c r="R91" s="3" t="n">
        <v>26</v>
      </c>
    </row>
    <row r="92">
      <c r="A92" s="3">
        <f>XLOOKUP($Q92,'Threshold Summary'!$Y:$Y,'Threshold Summary'!$A:$A,"")</f>
        <v/>
      </c>
      <c r="B92" s="3">
        <f>XLOOKUP($Q92,'Threshold Summary'!$Y:$Y,'Threshold Summary'!$M:$M,"")</f>
        <v/>
      </c>
      <c r="C92" s="3">
        <f>XLOOKUP($Q92,'Threshold Summary'!$Y:$Y,'Threshold Summary'!$N:$N,"")</f>
        <v/>
      </c>
      <c r="D92" s="3">
        <f>IFERROR(INDEX(FILTER('Learnset Editor'!$D$2:$D,'Learnset Editor'!$A$2:$A=XLOOKUP($Q92,'Threshold Summary'!$Y:$Y,'Threshold Summary'!$K:$K,""),'Learnset Editor'!$C$2:$C&lt;=XLOOKUP($Q92,'Threshold Summary'!$Y:$Y,'Threshold Summary'!$L:$L,"")),$R92),"")</f>
        <v/>
      </c>
      <c r="E92" s="3">
        <f>XLOOKUP(D92,'Move Editor'!$B:$B,'Move Editor'!$C:$C,"")</f>
        <v/>
      </c>
      <c r="F92" s="3">
        <f>XLOOKUP(D92,'Move Editor'!$B:$B,'Move Editor'!$D:$D,"")</f>
        <v/>
      </c>
      <c r="G92" s="3">
        <f>XLOOKUP(D92,'Move Editor'!$B:$B,'Move Editor'!$E:$E,0)</f>
        <v/>
      </c>
      <c r="H92" s="3">
        <f>XLOOKUP(D92,'Move Editor'!$B:$B,'Move Editor'!$F:$F,0)</f>
        <v/>
      </c>
      <c r="I92" s="3">
        <f>(INDEX('Type Chart'!$B:$S,MATCH(E92,'Type Chart'!$A:$A,0),MATCH(XLOOKUP('Boss Editor'!$C$4,'Pokemon Editor'!$A:$A,'Pokemon Editor'!$C:$C,""),'Type Chart'!$B$1:$S$1,0))*IF(XLOOKUP('Boss Editor'!$C$4,'Pokemon Editor'!$A:$A,'Pokemon Editor'!$D:$D,"")="",1,INDEX('Type Chart'!$B:$S,MATCH(E92,'Type Chart'!$A:$A,0),MATCH(XLOOKUP('Boss Editor'!$C$4,'Pokemon Editor'!$A:$A,'Pokemon Editor'!$D:$D,""),'Type Chart'!$B$1:$S$1,0))))</f>
        <v/>
      </c>
      <c r="J92" s="3">
        <f>IFERROR(LET(mtype,XLOOKUP($D92,'Move Editor'!$B:$B,'Move Editor'!$C:$C,""),cat,XLOOKUP($D92,'Move Editor'!$B:$B,'Move Editor'!$D:$D,""),pow,XLOOKUP($D92,'Move Editor'!$B:$B,'Move Editor'!$E:$E,0),acc,XLOOKUP($D92,'Move Editor'!$B:$B,'Move Editor'!$F:$F,100),atk,IF(cat="Physical",FLOOR((FLOOR(((2*XLOOKUP(XLOOKUP($Q92,'Threshold Summary'!$Y:$Y,'Threshold Summary'!$K:$K,""),'Pokemon Editor'!$A:$A,'Pokemon Editor'!$F:$F,0)+31+FLOOR(XLOOKUP($Q92,'Threshold Summary'!$Y:$Y,'Threshold Summary'!$P:$P,"")/4))*XLOOKUP($Q92,'Threshold Summary'!$Y:$Y,'Threshold Summary'!$L:$L,""))/100)+5)*XLOOKUP(XLOOKUP($Q92,'Threshold Summary'!$Y:$Y,'Threshold Summary'!$M:$M,""),'Nature Editor'!$A:$A,'Nature Editor'!$B:$B,1)),FLOOR((FLOOR(((2*XLOOKUP(XLOOKUP($Q92,'Threshold Summary'!$Y:$Y,'Threshold Summary'!$K:$K,""),'Pokemon Editor'!$A:$A,'Pokemon Editor'!$H:$H,0)+31+FLOOR(XLOOKUP($Q92,'Threshold Summary'!$Y:$Y,'Threshold Summary'!$R:$R,"")/4))*XLOOKUP($Q92,'Threshold Summary'!$Y:$Y,'Threshold Summary'!$L:$L,""))/100)+5)*XLOOKUP(XLOOKUP($Q92,'Threshold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Editor'!$E:$E,1))),stab,IF(OR(mtype=XLOOKUP(XLOOKUP($Q92,'Threshold Summary'!$Y:$Y,'Threshold Summary'!$K:$K,""),'Pokemon Editor'!$A:$A,'Pokemon Editor'!$C:$C,""),mtype=XLOOKUP(XLOOKUP($Q92,'Threshold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Chart'!$B$1:$S$1,0)))),base,IF(OR(cat="Status",pow=0),0,FLOOR(FLOOR(FLOOR((2*XLOOKUP($Q92,'Threshold Summary'!$Y:$Y,'Threshold Summary'!$L:$L,"")/5+2)*pow*atk/def)/50)+2)),modifier,stab*eff,FLOOR(base*modifier*0.85)),0)</f>
        <v/>
      </c>
      <c r="K92" s="3">
        <f>IFERROR(LET(mtype,XLOOKUP($D92,'Move Editor'!$B:$B,'Move Editor'!$C:$C,""),cat,XLOOKUP($D92,'Move Editor'!$B:$B,'Move Editor'!$D:$D,""),pow,XLOOKUP($D92,'Move Editor'!$B:$B,'Move Editor'!$E:$E,0),acc,XLOOKUP($D92,'Move Editor'!$B:$B,'Move Editor'!$F:$F,100),atk,IF(cat="Physical",FLOOR((FLOOR(((2*XLOOKUP(XLOOKUP($Q92,'Threshold Summary'!$Y:$Y,'Threshold Summary'!$K:$K,""),'Pokemon Editor'!$A:$A,'Pokemon Editor'!$F:$F,0)+31+FLOOR(XLOOKUP($Q92,'Threshold Summary'!$Y:$Y,'Threshold Summary'!$P:$P,"")/4))*XLOOKUP($Q92,'Threshold Summary'!$Y:$Y,'Threshold Summary'!$L:$L,""))/100)+5)*XLOOKUP(XLOOKUP($Q92,'Threshold Summary'!$Y:$Y,'Threshold Summary'!$M:$M,""),'Nature Editor'!$A:$A,'Nature Editor'!$B:$B,1)),FLOOR((FLOOR(((2*XLOOKUP(XLOOKUP($Q92,'Threshold Summary'!$Y:$Y,'Threshold Summary'!$K:$K,""),'Pokemon Editor'!$A:$A,'Pokemon Editor'!$H:$H,0)+31+FLOOR(XLOOKUP($Q92,'Threshold Summary'!$Y:$Y,'Threshold Summary'!$R:$R,"")/4))*XLOOKUP($Q92,'Threshold Summary'!$Y:$Y,'Threshold Summary'!$L:$L,""))/100)+5)*XLOOKUP(XLOOKUP($Q92,'Threshold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Editor'!$E:$E,1))),stab,IF(OR(mtype=XLOOKUP(XLOOKUP($Q92,'Threshold Summary'!$Y:$Y,'Threshold Summary'!$K:$K,""),'Pokemon Editor'!$A:$A,'Pokemon Editor'!$C:$C,""),mtype=XLOOKUP(XLOOKUP($Q92,'Threshold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Chart'!$B$1:$S$1,0)))),base,IF(OR(cat="Status",pow=0),0,FLOOR(FLOOR(FLOOR((2*XLOOKUP($Q92,'Threshold Summary'!$Y:$Y,'Threshold Summary'!$L:$L,"")/5+2)*pow*atk/def)/50)+2)),modifier,stab*eff,FLOOR(base*modifier)),0)</f>
        <v/>
      </c>
      <c r="L92" s="3">
        <f>IFERROR(LET(mtype,XLOOKUP($D92,'Move Editor'!$B:$B,'Move Editor'!$C:$C,""),cat,XLOOKUP($D92,'Move Editor'!$B:$B,'Move Editor'!$D:$D,""),pow,XLOOKUP($D92,'Move Editor'!$B:$B,'Move Editor'!$E:$E,0),acc,XLOOKUP($D92,'Move Editor'!$B:$B,'Move Editor'!$F:$F,100),atk,IF(cat="Physical",FLOOR((FLOOR(((2*XLOOKUP(XLOOKUP($Q92,'Threshold Summary'!$Y:$Y,'Threshold Summary'!$K:$K,""),'Pokemon Editor'!$A:$A,'Pokemon Editor'!$F:$F,0)+31+FLOOR(XLOOKUP($Q92,'Threshold Summary'!$Y:$Y,'Threshold Summary'!$P:$P,"")/4))*XLOOKUP($Q92,'Threshold Summary'!$Y:$Y,'Threshold Summary'!$L:$L,""))/100)+5)*XLOOKUP(XLOOKUP($Q92,'Threshold Summary'!$Y:$Y,'Threshold Summary'!$M:$M,""),'Nature Editor'!$A:$A,'Nature Editor'!$B:$B,1)),FLOOR((FLOOR(((2*XLOOKUP(XLOOKUP($Q92,'Threshold Summary'!$Y:$Y,'Threshold Summary'!$K:$K,""),'Pokemon Editor'!$A:$A,'Pokemon Editor'!$H:$H,0)+31+FLOOR(XLOOKUP($Q92,'Threshold Summary'!$Y:$Y,'Threshold Summary'!$R:$R,"")/4))*XLOOKUP($Q92,'Threshold Summary'!$Y:$Y,'Threshold Summary'!$L:$L,""))/100)+5)*XLOOKUP(XLOOKUP($Q92,'Threshold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Editor'!$E:$E,1))),stab,IF(OR(mtype=XLOOKUP(XLOOKUP($Q92,'Threshold Summary'!$Y:$Y,'Threshold Summary'!$K:$K,""),'Pokemon Editor'!$A:$A,'Pokemon Editor'!$C:$C,""),mtype=XLOOKUP(XLOOKUP($Q92,'Threshold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Chart'!$B$1:$S$1,0)))),base,IF(OR(cat="Status",pow=0),0,FLOOR(FLOOR(FLOOR((2*XLOOKUP($Q92,'Threshold Summary'!$Y:$Y,'Threshold Summary'!$L:$L,"")/5+2)*pow*atk/def)/50)+2)),modifier,stab*eff,AVERAGE(ARRAYFORMULA(FLOOR(base*modifier*SEQUENCE(16,1,85,1)/100)))),0)</f>
        <v/>
      </c>
      <c r="M92" s="3">
        <f>IFERROR(LET(mtype,XLOOKUP($D92,'Move Editor'!$B:$B,'Move Editor'!$C:$C,""),cat,XLOOKUP($D92,'Move Editor'!$B:$B,'Move Editor'!$D:$D,""),pow,XLOOKUP($D92,'Move Editor'!$B:$B,'Move Editor'!$E:$E,0),acc,XLOOKUP($D92,'Move Editor'!$B:$B,'Move Editor'!$F:$F,100),atk,IF(cat="Physical",FLOOR((FLOOR(((2*XLOOKUP(XLOOKUP($Q92,'Threshold Summary'!$Y:$Y,'Threshold Summary'!$K:$K,""),'Pokemon Editor'!$A:$A,'Pokemon Editor'!$F:$F,0)+31+FLOOR(XLOOKUP($Q92,'Threshold Summary'!$Y:$Y,'Threshold Summary'!$P:$P,"")/4))*XLOOKUP($Q92,'Threshold Summary'!$Y:$Y,'Threshold Summary'!$L:$L,""))/100)+5)*XLOOKUP(XLOOKUP($Q92,'Threshold Summary'!$Y:$Y,'Threshold Summary'!$M:$M,""),'Nature Editor'!$A:$A,'Nature Editor'!$B:$B,1)),FLOOR((FLOOR(((2*XLOOKUP(XLOOKUP($Q92,'Threshold Summary'!$Y:$Y,'Threshold Summary'!$K:$K,""),'Pokemon Editor'!$A:$A,'Pokemon Editor'!$H:$H,0)+31+FLOOR(XLOOKUP($Q92,'Threshold Summary'!$Y:$Y,'Threshold Summary'!$R:$R,"")/4))*XLOOKUP($Q92,'Threshold Summary'!$Y:$Y,'Threshold Summary'!$L:$L,""))/100)+5)*XLOOKUP(XLOOKUP($Q92,'Threshold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Editor'!$E:$E,1))),stab,IF(OR(mtype=XLOOKUP(XLOOKUP($Q92,'Threshold Summary'!$Y:$Y,'Threshold Summary'!$K:$K,""),'Pokemon Editor'!$A:$A,'Pokemon Editor'!$C:$C,""),mtype=XLOOKUP(XLOOKUP($Q92,'Threshold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Chart'!$B$1:$S$1,0)))),base,IF(OR(cat="Status",pow=0),0,FLOOR(FLOOR(FLOOR((2*XLOOKUP($Q92,'Threshold Summary'!$Y:$Y,'Threshold Summary'!$L:$L,"")/5+2)*pow*atk/def)/50)+2)),modifier,stab*eff,AVERAGE(ARRAYFORMULA(FLOOR(base*modifier*SEQUENCE(16,1,85,1)/100)))*MIN(1,acc/100)),0)</f>
        <v/>
      </c>
      <c r="N92" s="4">
        <f>IFERROR(LET(mtype,XLOOKUP($D92,'Move Editor'!$B:$B,'Move Editor'!$C:$C,""),cat,XLOOKUP($D92,'Move Editor'!$B:$B,'Move Editor'!$D:$D,""),pow,XLOOKUP($D92,'Move Editor'!$B:$B,'Move Editor'!$E:$E,0),acc,XLOOKUP($D92,'Move Editor'!$B:$B,'Move Editor'!$F:$F,100),atk,IF(cat="Physical",FLOOR((FLOOR(((2*XLOOKUP(XLOOKUP($Q92,'Threshold Summary'!$Y:$Y,'Threshold Summary'!$K:$K,""),'Pokemon Editor'!$A:$A,'Pokemon Editor'!$F:$F,0)+31+FLOOR(XLOOKUP($Q92,'Threshold Summary'!$Y:$Y,'Threshold Summary'!$P:$P,"")/4))*XLOOKUP($Q92,'Threshold Summary'!$Y:$Y,'Threshold Summary'!$L:$L,""))/100)+5)*XLOOKUP(XLOOKUP($Q92,'Threshold Summary'!$Y:$Y,'Threshold Summary'!$M:$M,""),'Nature Editor'!$A:$A,'Nature Editor'!$B:$B,1)),FLOOR((FLOOR(((2*XLOOKUP(XLOOKUP($Q92,'Threshold Summary'!$Y:$Y,'Threshold Summary'!$K:$K,""),'Pokemon Editor'!$A:$A,'Pokemon Editor'!$H:$H,0)+31+FLOOR(XLOOKUP($Q92,'Threshold Summary'!$Y:$Y,'Threshold Summary'!$R:$R,"")/4))*XLOOKUP($Q92,'Threshold Summary'!$Y:$Y,'Threshold Summary'!$L:$L,""))/100)+5)*XLOOKUP(XLOOKUP($Q92,'Threshold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Editor'!$E:$E,1))),stab,IF(OR(mtype=XLOOKUP(XLOOKUP($Q92,'Threshold Summary'!$Y:$Y,'Threshold Summary'!$K:$K,""),'Pokemon Editor'!$A:$A,'Pokemon Editor'!$C:$C,""),mtype=XLOOKUP(XLOOKUP($Q92,'Threshold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Chart'!$B$1:$S$1,0)))),base,IF(OR(cat="Status",pow=0),0,FLOOR(FLOOR(FLOOR((2*XLOOKUP($Q92,'Threshold Summary'!$Y:$Y,'Threshold Summary'!$L:$L,"")/5+2)*pow*atk/def)/50)+2)),modifier,stab*eff,AVERAGE(ARRAYFORMULA(FLOOR(base*modifier*SEQUENCE(16,1,85,1)/100)))/(FLOOR(((2*XLOOKUP('Boss Editor'!$C$4,'Pokemon Editor'!$A:$A,'Pokemon Editor'!$E:$E,0)+31+FLOOR('Boss Editor'!$G$4/4))*'Boss Editor'!$D$4)/100)+'Boss Editor'!$D$4+10)),0)</f>
        <v/>
      </c>
      <c r="O92" s="3">
        <f>IF(N92&gt;=1,"OHKO",IF(N92&gt;=0.5,"2HKO",IF(N92&gt;=0.333,"3HKO",IF(N92&gt;=0.25,"4HKO","5HKO+"))))</f>
        <v/>
      </c>
      <c r="P92" s="3" t="inlineStr">
        <is>
          <t>Live from editable databases</t>
        </is>
      </c>
      <c r="Q92" s="3" t="inlineStr">
        <is>
          <t>SPECIES_MAREEP</t>
        </is>
      </c>
      <c r="R92" s="3" t="n">
        <v>27</v>
      </c>
    </row>
    <row r="93">
      <c r="A93" s="3">
        <f>XLOOKUP($Q93,'Threshold Summary'!$Y:$Y,'Threshold Summary'!$A:$A,"")</f>
        <v/>
      </c>
      <c r="B93" s="3">
        <f>XLOOKUP($Q93,'Threshold Summary'!$Y:$Y,'Threshold Summary'!$M:$M,"")</f>
        <v/>
      </c>
      <c r="C93" s="3">
        <f>XLOOKUP($Q93,'Threshold Summary'!$Y:$Y,'Threshold Summary'!$N:$N,"")</f>
        <v/>
      </c>
      <c r="D93" s="3">
        <f>IFERROR(INDEX(FILTER('Learnset Editor'!$D$2:$D,'Learnset Editor'!$A$2:$A=XLOOKUP($Q93,'Threshold Summary'!$Y:$Y,'Threshold Summary'!$K:$K,""),'Learnset Editor'!$C$2:$C&lt;=XLOOKUP($Q93,'Threshold Summary'!$Y:$Y,'Threshold Summary'!$L:$L,"")),$R93),"")</f>
        <v/>
      </c>
      <c r="E93" s="3">
        <f>XLOOKUP(D93,'Move Editor'!$B:$B,'Move Editor'!$C:$C,"")</f>
        <v/>
      </c>
      <c r="F93" s="3">
        <f>XLOOKUP(D93,'Move Editor'!$B:$B,'Move Editor'!$D:$D,"")</f>
        <v/>
      </c>
      <c r="G93" s="3">
        <f>XLOOKUP(D93,'Move Editor'!$B:$B,'Move Editor'!$E:$E,0)</f>
        <v/>
      </c>
      <c r="H93" s="3">
        <f>XLOOKUP(D93,'Move Editor'!$B:$B,'Move Editor'!$F:$F,0)</f>
        <v/>
      </c>
      <c r="I93" s="3">
        <f>(INDEX('Type Chart'!$B:$S,MATCH(E93,'Type Chart'!$A:$A,0),MATCH(XLOOKUP('Boss Editor'!$C$4,'Pokemon Editor'!$A:$A,'Pokemon Editor'!$C:$C,""),'Type Chart'!$B$1:$S$1,0))*IF(XLOOKUP('Boss Editor'!$C$4,'Pokemon Editor'!$A:$A,'Pokemon Editor'!$D:$D,"")="",1,INDEX('Type Chart'!$B:$S,MATCH(E93,'Type Chart'!$A:$A,0),MATCH(XLOOKUP('Boss Editor'!$C$4,'Pokemon Editor'!$A:$A,'Pokemon Editor'!$D:$D,""),'Type Chart'!$B$1:$S$1,0))))</f>
        <v/>
      </c>
      <c r="J93" s="3">
        <f>IFERROR(LET(mtype,XLOOKUP($D93,'Move Editor'!$B:$B,'Move Editor'!$C:$C,""),cat,XLOOKUP($D93,'Move Editor'!$B:$B,'Move Editor'!$D:$D,""),pow,XLOOKUP($D93,'Move Editor'!$B:$B,'Move Editor'!$E:$E,0),acc,XLOOKUP($D93,'Move Editor'!$B:$B,'Move Editor'!$F:$F,100),atk,IF(cat="Physical",FLOOR((FLOOR(((2*XLOOKUP(XLOOKUP($Q93,'Threshold Summary'!$Y:$Y,'Threshold Summary'!$K:$K,""),'Pokemon Editor'!$A:$A,'Pokemon Editor'!$F:$F,0)+31+FLOOR(XLOOKUP($Q93,'Threshold Summary'!$Y:$Y,'Threshold Summary'!$P:$P,"")/4))*XLOOKUP($Q93,'Threshold Summary'!$Y:$Y,'Threshold Summary'!$L:$L,""))/100)+5)*XLOOKUP(XLOOKUP($Q93,'Threshold Summary'!$Y:$Y,'Threshold Summary'!$M:$M,""),'Nature Editor'!$A:$A,'Nature Editor'!$B:$B,1)),FLOOR((FLOOR(((2*XLOOKUP(XLOOKUP($Q93,'Threshold Summary'!$Y:$Y,'Threshold Summary'!$K:$K,""),'Pokemon Editor'!$A:$A,'Pokemon Editor'!$H:$H,0)+31+FLOOR(XLOOKUP($Q93,'Threshold Summary'!$Y:$Y,'Threshold Summary'!$R:$R,"")/4))*XLOOKUP($Q93,'Threshold Summary'!$Y:$Y,'Threshold Summary'!$L:$L,""))/100)+5)*XLOOKUP(XLOOKUP($Q93,'Threshold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Editor'!$E:$E,1))),stab,IF(OR(mtype=XLOOKUP(XLOOKUP($Q93,'Threshold Summary'!$Y:$Y,'Threshold Summary'!$K:$K,""),'Pokemon Editor'!$A:$A,'Pokemon Editor'!$C:$C,""),mtype=XLOOKUP(XLOOKUP($Q93,'Threshold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Chart'!$B$1:$S$1,0)))),base,IF(OR(cat="Status",pow=0),0,FLOOR(FLOOR(FLOOR((2*XLOOKUP($Q93,'Threshold Summary'!$Y:$Y,'Threshold Summary'!$L:$L,"")/5+2)*pow*atk/def)/50)+2)),modifier,stab*eff,FLOOR(base*modifier*0.85)),0)</f>
        <v/>
      </c>
      <c r="K93" s="3">
        <f>IFERROR(LET(mtype,XLOOKUP($D93,'Move Editor'!$B:$B,'Move Editor'!$C:$C,""),cat,XLOOKUP($D93,'Move Editor'!$B:$B,'Move Editor'!$D:$D,""),pow,XLOOKUP($D93,'Move Editor'!$B:$B,'Move Editor'!$E:$E,0),acc,XLOOKUP($D93,'Move Editor'!$B:$B,'Move Editor'!$F:$F,100),atk,IF(cat="Physical",FLOOR((FLOOR(((2*XLOOKUP(XLOOKUP($Q93,'Threshold Summary'!$Y:$Y,'Threshold Summary'!$K:$K,""),'Pokemon Editor'!$A:$A,'Pokemon Editor'!$F:$F,0)+31+FLOOR(XLOOKUP($Q93,'Threshold Summary'!$Y:$Y,'Threshold Summary'!$P:$P,"")/4))*XLOOKUP($Q93,'Threshold Summary'!$Y:$Y,'Threshold Summary'!$L:$L,""))/100)+5)*XLOOKUP(XLOOKUP($Q93,'Threshold Summary'!$Y:$Y,'Threshold Summary'!$M:$M,""),'Nature Editor'!$A:$A,'Nature Editor'!$B:$B,1)),FLOOR((FLOOR(((2*XLOOKUP(XLOOKUP($Q93,'Threshold Summary'!$Y:$Y,'Threshold Summary'!$K:$K,""),'Pokemon Editor'!$A:$A,'Pokemon Editor'!$H:$H,0)+31+FLOOR(XLOOKUP($Q93,'Threshold Summary'!$Y:$Y,'Threshold Summary'!$R:$R,"")/4))*XLOOKUP($Q93,'Threshold Summary'!$Y:$Y,'Threshold Summary'!$L:$L,""))/100)+5)*XLOOKUP(XLOOKUP($Q93,'Threshold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Editor'!$E:$E,1))),stab,IF(OR(mtype=XLOOKUP(XLOOKUP($Q93,'Threshold Summary'!$Y:$Y,'Threshold Summary'!$K:$K,""),'Pokemon Editor'!$A:$A,'Pokemon Editor'!$C:$C,""),mtype=XLOOKUP(XLOOKUP($Q93,'Threshold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Chart'!$B$1:$S$1,0)))),base,IF(OR(cat="Status",pow=0),0,FLOOR(FLOOR(FLOOR((2*XLOOKUP($Q93,'Threshold Summary'!$Y:$Y,'Threshold Summary'!$L:$L,"")/5+2)*pow*atk/def)/50)+2)),modifier,stab*eff,FLOOR(base*modifier)),0)</f>
        <v/>
      </c>
      <c r="L93" s="3">
        <f>IFERROR(LET(mtype,XLOOKUP($D93,'Move Editor'!$B:$B,'Move Editor'!$C:$C,""),cat,XLOOKUP($D93,'Move Editor'!$B:$B,'Move Editor'!$D:$D,""),pow,XLOOKUP($D93,'Move Editor'!$B:$B,'Move Editor'!$E:$E,0),acc,XLOOKUP($D93,'Move Editor'!$B:$B,'Move Editor'!$F:$F,100),atk,IF(cat="Physical",FLOOR((FLOOR(((2*XLOOKUP(XLOOKUP($Q93,'Threshold Summary'!$Y:$Y,'Threshold Summary'!$K:$K,""),'Pokemon Editor'!$A:$A,'Pokemon Editor'!$F:$F,0)+31+FLOOR(XLOOKUP($Q93,'Threshold Summary'!$Y:$Y,'Threshold Summary'!$P:$P,"")/4))*XLOOKUP($Q93,'Threshold Summary'!$Y:$Y,'Threshold Summary'!$L:$L,""))/100)+5)*XLOOKUP(XLOOKUP($Q93,'Threshold Summary'!$Y:$Y,'Threshold Summary'!$M:$M,""),'Nature Editor'!$A:$A,'Nature Editor'!$B:$B,1)),FLOOR((FLOOR(((2*XLOOKUP(XLOOKUP($Q93,'Threshold Summary'!$Y:$Y,'Threshold Summary'!$K:$K,""),'Pokemon Editor'!$A:$A,'Pokemon Editor'!$H:$H,0)+31+FLOOR(XLOOKUP($Q93,'Threshold Summary'!$Y:$Y,'Threshold Summary'!$R:$R,"")/4))*XLOOKUP($Q93,'Threshold Summary'!$Y:$Y,'Threshold Summary'!$L:$L,""))/100)+5)*XLOOKUP(XLOOKUP($Q93,'Threshold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Editor'!$E:$E,1))),stab,IF(OR(mtype=XLOOKUP(XLOOKUP($Q93,'Threshold Summary'!$Y:$Y,'Threshold Summary'!$K:$K,""),'Pokemon Editor'!$A:$A,'Pokemon Editor'!$C:$C,""),mtype=XLOOKUP(XLOOKUP($Q93,'Threshold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Chart'!$B$1:$S$1,0)))),base,IF(OR(cat="Status",pow=0),0,FLOOR(FLOOR(FLOOR((2*XLOOKUP($Q93,'Threshold Summary'!$Y:$Y,'Threshold Summary'!$L:$L,"")/5+2)*pow*atk/def)/50)+2)),modifier,stab*eff,AVERAGE(ARRAYFORMULA(FLOOR(base*modifier*SEQUENCE(16,1,85,1)/100)))),0)</f>
        <v/>
      </c>
      <c r="M93" s="3">
        <f>IFERROR(LET(mtype,XLOOKUP($D93,'Move Editor'!$B:$B,'Move Editor'!$C:$C,""),cat,XLOOKUP($D93,'Move Editor'!$B:$B,'Move Editor'!$D:$D,""),pow,XLOOKUP($D93,'Move Editor'!$B:$B,'Move Editor'!$E:$E,0),acc,XLOOKUP($D93,'Move Editor'!$B:$B,'Move Editor'!$F:$F,100),atk,IF(cat="Physical",FLOOR((FLOOR(((2*XLOOKUP(XLOOKUP($Q93,'Threshold Summary'!$Y:$Y,'Threshold Summary'!$K:$K,""),'Pokemon Editor'!$A:$A,'Pokemon Editor'!$F:$F,0)+31+FLOOR(XLOOKUP($Q93,'Threshold Summary'!$Y:$Y,'Threshold Summary'!$P:$P,"")/4))*XLOOKUP($Q93,'Threshold Summary'!$Y:$Y,'Threshold Summary'!$L:$L,""))/100)+5)*XLOOKUP(XLOOKUP($Q93,'Threshold Summary'!$Y:$Y,'Threshold Summary'!$M:$M,""),'Nature Editor'!$A:$A,'Nature Editor'!$B:$B,1)),FLOOR((FLOOR(((2*XLOOKUP(XLOOKUP($Q93,'Threshold Summary'!$Y:$Y,'Threshold Summary'!$K:$K,""),'Pokemon Editor'!$A:$A,'Pokemon Editor'!$H:$H,0)+31+FLOOR(XLOOKUP($Q93,'Threshold Summary'!$Y:$Y,'Threshold Summary'!$R:$R,"")/4))*XLOOKUP($Q93,'Threshold Summary'!$Y:$Y,'Threshold Summary'!$L:$L,""))/100)+5)*XLOOKUP(XLOOKUP($Q93,'Threshold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Editor'!$E:$E,1))),stab,IF(OR(mtype=XLOOKUP(XLOOKUP($Q93,'Threshold Summary'!$Y:$Y,'Threshold Summary'!$K:$K,""),'Pokemon Editor'!$A:$A,'Pokemon Editor'!$C:$C,""),mtype=XLOOKUP(XLOOKUP($Q93,'Threshold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Chart'!$B$1:$S$1,0)))),base,IF(OR(cat="Status",pow=0),0,FLOOR(FLOOR(FLOOR((2*XLOOKUP($Q93,'Threshold Summary'!$Y:$Y,'Threshold Summary'!$L:$L,"")/5+2)*pow*atk/def)/50)+2)),modifier,stab*eff,AVERAGE(ARRAYFORMULA(FLOOR(base*modifier*SEQUENCE(16,1,85,1)/100)))*MIN(1,acc/100)),0)</f>
        <v/>
      </c>
      <c r="N93" s="4">
        <f>IFERROR(LET(mtype,XLOOKUP($D93,'Move Editor'!$B:$B,'Move Editor'!$C:$C,""),cat,XLOOKUP($D93,'Move Editor'!$B:$B,'Move Editor'!$D:$D,""),pow,XLOOKUP($D93,'Move Editor'!$B:$B,'Move Editor'!$E:$E,0),acc,XLOOKUP($D93,'Move Editor'!$B:$B,'Move Editor'!$F:$F,100),atk,IF(cat="Physical",FLOOR((FLOOR(((2*XLOOKUP(XLOOKUP($Q93,'Threshold Summary'!$Y:$Y,'Threshold Summary'!$K:$K,""),'Pokemon Editor'!$A:$A,'Pokemon Editor'!$F:$F,0)+31+FLOOR(XLOOKUP($Q93,'Threshold Summary'!$Y:$Y,'Threshold Summary'!$P:$P,"")/4))*XLOOKUP($Q93,'Threshold Summary'!$Y:$Y,'Threshold Summary'!$L:$L,""))/100)+5)*XLOOKUP(XLOOKUP($Q93,'Threshold Summary'!$Y:$Y,'Threshold Summary'!$M:$M,""),'Nature Editor'!$A:$A,'Nature Editor'!$B:$B,1)),FLOOR((FLOOR(((2*XLOOKUP(XLOOKUP($Q93,'Threshold Summary'!$Y:$Y,'Threshold Summary'!$K:$K,""),'Pokemon Editor'!$A:$A,'Pokemon Editor'!$H:$H,0)+31+FLOOR(XLOOKUP($Q93,'Threshold Summary'!$Y:$Y,'Threshold Summary'!$R:$R,"")/4))*XLOOKUP($Q93,'Threshold Summary'!$Y:$Y,'Threshold Summary'!$L:$L,""))/100)+5)*XLOOKUP(XLOOKUP($Q93,'Threshold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Editor'!$E:$E,1))),stab,IF(OR(mtype=XLOOKUP(XLOOKUP($Q93,'Threshold Summary'!$Y:$Y,'Threshold Summary'!$K:$K,""),'Pokemon Editor'!$A:$A,'Pokemon Editor'!$C:$C,""),mtype=XLOOKUP(XLOOKUP($Q93,'Threshold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Chart'!$B$1:$S$1,0)))),base,IF(OR(cat="Status",pow=0),0,FLOOR(FLOOR(FLOOR((2*XLOOKUP($Q93,'Threshold Summary'!$Y:$Y,'Threshold Summary'!$L:$L,"")/5+2)*pow*atk/def)/50)+2)),modifier,stab*eff,AVERAGE(ARRAYFORMULA(FLOOR(base*modifier*SEQUENCE(16,1,85,1)/100)))/(FLOOR(((2*XLOOKUP('Boss Editor'!$C$4,'Pokemon Editor'!$A:$A,'Pokemon Editor'!$E:$E,0)+31+FLOOR('Boss Editor'!$G$4/4))*'Boss Editor'!$D$4)/100)+'Boss Editor'!$D$4+10)),0)</f>
        <v/>
      </c>
      <c r="O93" s="3">
        <f>IF(N93&gt;=1,"OHKO",IF(N93&gt;=0.5,"2HKO",IF(N93&gt;=0.333,"3HKO",IF(N93&gt;=0.25,"4HKO","5HKO+"))))</f>
        <v/>
      </c>
      <c r="P93" s="3" t="inlineStr">
        <is>
          <t>Live from editable databases</t>
        </is>
      </c>
      <c r="Q93" s="3" t="inlineStr">
        <is>
          <t>SPECIES_MAREEP</t>
        </is>
      </c>
      <c r="R93" s="3" t="n">
        <v>28</v>
      </c>
    </row>
    <row r="94">
      <c r="A94" s="3">
        <f>XLOOKUP($Q94,'Threshold Summary'!$Y:$Y,'Threshold Summary'!$A:$A,"")</f>
        <v/>
      </c>
      <c r="B94" s="3">
        <f>XLOOKUP($Q94,'Threshold Summary'!$Y:$Y,'Threshold Summary'!$M:$M,"")</f>
        <v/>
      </c>
      <c r="C94" s="3">
        <f>XLOOKUP($Q94,'Threshold Summary'!$Y:$Y,'Threshold Summary'!$N:$N,"")</f>
        <v/>
      </c>
      <c r="D94" s="3">
        <f>IFERROR(INDEX(FILTER('Learnset Editor'!$D$2:$D,'Learnset Editor'!$A$2:$A=XLOOKUP($Q94,'Threshold Summary'!$Y:$Y,'Threshold Summary'!$K:$K,""),'Learnset Editor'!$C$2:$C&lt;=XLOOKUP($Q94,'Threshold Summary'!$Y:$Y,'Threshold Summary'!$L:$L,"")),$R94),"")</f>
        <v/>
      </c>
      <c r="E94" s="3">
        <f>XLOOKUP(D94,'Move Editor'!$B:$B,'Move Editor'!$C:$C,"")</f>
        <v/>
      </c>
      <c r="F94" s="3">
        <f>XLOOKUP(D94,'Move Editor'!$B:$B,'Move Editor'!$D:$D,"")</f>
        <v/>
      </c>
      <c r="G94" s="3">
        <f>XLOOKUP(D94,'Move Editor'!$B:$B,'Move Editor'!$E:$E,0)</f>
        <v/>
      </c>
      <c r="H94" s="3">
        <f>XLOOKUP(D94,'Move Editor'!$B:$B,'Move Editor'!$F:$F,0)</f>
        <v/>
      </c>
      <c r="I94" s="3">
        <f>(INDEX('Type Chart'!$B:$S,MATCH(E94,'Type Chart'!$A:$A,0),MATCH(XLOOKUP('Boss Editor'!$C$4,'Pokemon Editor'!$A:$A,'Pokemon Editor'!$C:$C,""),'Type Chart'!$B$1:$S$1,0))*IF(XLOOKUP('Boss Editor'!$C$4,'Pokemon Editor'!$A:$A,'Pokemon Editor'!$D:$D,"")="",1,INDEX('Type Chart'!$B:$S,MATCH(E94,'Type Chart'!$A:$A,0),MATCH(XLOOKUP('Boss Editor'!$C$4,'Pokemon Editor'!$A:$A,'Pokemon Editor'!$D:$D,""),'Type Chart'!$B$1:$S$1,0))))</f>
        <v/>
      </c>
      <c r="J94" s="3">
        <f>IFERROR(LET(mtype,XLOOKUP($D94,'Move Editor'!$B:$B,'Move Editor'!$C:$C,""),cat,XLOOKUP($D94,'Move Editor'!$B:$B,'Move Editor'!$D:$D,""),pow,XLOOKUP($D94,'Move Editor'!$B:$B,'Move Editor'!$E:$E,0),acc,XLOOKUP($D94,'Move Editor'!$B:$B,'Move Editor'!$F:$F,100),atk,IF(cat="Physical",FLOOR((FLOOR(((2*XLOOKUP(XLOOKUP($Q94,'Threshold Summary'!$Y:$Y,'Threshold Summary'!$K:$K,""),'Pokemon Editor'!$A:$A,'Pokemon Editor'!$F:$F,0)+31+FLOOR(XLOOKUP($Q94,'Threshold Summary'!$Y:$Y,'Threshold Summary'!$P:$P,"")/4))*XLOOKUP($Q94,'Threshold Summary'!$Y:$Y,'Threshold Summary'!$L:$L,""))/100)+5)*XLOOKUP(XLOOKUP($Q94,'Threshold Summary'!$Y:$Y,'Threshold Summary'!$M:$M,""),'Nature Editor'!$A:$A,'Nature Editor'!$B:$B,1)),FLOOR((FLOOR(((2*XLOOKUP(XLOOKUP($Q94,'Threshold Summary'!$Y:$Y,'Threshold Summary'!$K:$K,""),'Pokemon Editor'!$A:$A,'Pokemon Editor'!$H:$H,0)+31+FLOOR(XLOOKUP($Q94,'Threshold Summary'!$Y:$Y,'Threshold Summary'!$R:$R,"")/4))*XLOOKUP($Q94,'Threshold Summary'!$Y:$Y,'Threshold Summary'!$L:$L,""))/100)+5)*XLOOKUP(XLOOKUP($Q94,'Threshold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Editor'!$E:$E,1))),stab,IF(OR(mtype=XLOOKUP(XLOOKUP($Q94,'Threshold Summary'!$Y:$Y,'Threshold Summary'!$K:$K,""),'Pokemon Editor'!$A:$A,'Pokemon Editor'!$C:$C,""),mtype=XLOOKUP(XLOOKUP($Q94,'Threshold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Chart'!$B$1:$S$1,0)))),base,IF(OR(cat="Status",pow=0),0,FLOOR(FLOOR(FLOOR((2*XLOOKUP($Q94,'Threshold Summary'!$Y:$Y,'Threshold Summary'!$L:$L,"")/5+2)*pow*atk/def)/50)+2)),modifier,stab*eff,FLOOR(base*modifier*0.85)),0)</f>
        <v/>
      </c>
      <c r="K94" s="3">
        <f>IFERROR(LET(mtype,XLOOKUP($D94,'Move Editor'!$B:$B,'Move Editor'!$C:$C,""),cat,XLOOKUP($D94,'Move Editor'!$B:$B,'Move Editor'!$D:$D,""),pow,XLOOKUP($D94,'Move Editor'!$B:$B,'Move Editor'!$E:$E,0),acc,XLOOKUP($D94,'Move Editor'!$B:$B,'Move Editor'!$F:$F,100),atk,IF(cat="Physical",FLOOR((FLOOR(((2*XLOOKUP(XLOOKUP($Q94,'Threshold Summary'!$Y:$Y,'Threshold Summary'!$K:$K,""),'Pokemon Editor'!$A:$A,'Pokemon Editor'!$F:$F,0)+31+FLOOR(XLOOKUP($Q94,'Threshold Summary'!$Y:$Y,'Threshold Summary'!$P:$P,"")/4))*XLOOKUP($Q94,'Threshold Summary'!$Y:$Y,'Threshold Summary'!$L:$L,""))/100)+5)*XLOOKUP(XLOOKUP($Q94,'Threshold Summary'!$Y:$Y,'Threshold Summary'!$M:$M,""),'Nature Editor'!$A:$A,'Nature Editor'!$B:$B,1)),FLOOR((FLOOR(((2*XLOOKUP(XLOOKUP($Q94,'Threshold Summary'!$Y:$Y,'Threshold Summary'!$K:$K,""),'Pokemon Editor'!$A:$A,'Pokemon Editor'!$H:$H,0)+31+FLOOR(XLOOKUP($Q94,'Threshold Summary'!$Y:$Y,'Threshold Summary'!$R:$R,"")/4))*XLOOKUP($Q94,'Threshold Summary'!$Y:$Y,'Threshold Summary'!$L:$L,""))/100)+5)*XLOOKUP(XLOOKUP($Q94,'Threshold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Editor'!$E:$E,1))),stab,IF(OR(mtype=XLOOKUP(XLOOKUP($Q94,'Threshold Summary'!$Y:$Y,'Threshold Summary'!$K:$K,""),'Pokemon Editor'!$A:$A,'Pokemon Editor'!$C:$C,""),mtype=XLOOKUP(XLOOKUP($Q94,'Threshold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Chart'!$B$1:$S$1,0)))),base,IF(OR(cat="Status",pow=0),0,FLOOR(FLOOR(FLOOR((2*XLOOKUP($Q94,'Threshold Summary'!$Y:$Y,'Threshold Summary'!$L:$L,"")/5+2)*pow*atk/def)/50)+2)),modifier,stab*eff,FLOOR(base*modifier)),0)</f>
        <v/>
      </c>
      <c r="L94" s="3">
        <f>IFERROR(LET(mtype,XLOOKUP($D94,'Move Editor'!$B:$B,'Move Editor'!$C:$C,""),cat,XLOOKUP($D94,'Move Editor'!$B:$B,'Move Editor'!$D:$D,""),pow,XLOOKUP($D94,'Move Editor'!$B:$B,'Move Editor'!$E:$E,0),acc,XLOOKUP($D94,'Move Editor'!$B:$B,'Move Editor'!$F:$F,100),atk,IF(cat="Physical",FLOOR((FLOOR(((2*XLOOKUP(XLOOKUP($Q94,'Threshold Summary'!$Y:$Y,'Threshold Summary'!$K:$K,""),'Pokemon Editor'!$A:$A,'Pokemon Editor'!$F:$F,0)+31+FLOOR(XLOOKUP($Q94,'Threshold Summary'!$Y:$Y,'Threshold Summary'!$P:$P,"")/4))*XLOOKUP($Q94,'Threshold Summary'!$Y:$Y,'Threshold Summary'!$L:$L,""))/100)+5)*XLOOKUP(XLOOKUP($Q94,'Threshold Summary'!$Y:$Y,'Threshold Summary'!$M:$M,""),'Nature Editor'!$A:$A,'Nature Editor'!$B:$B,1)),FLOOR((FLOOR(((2*XLOOKUP(XLOOKUP($Q94,'Threshold Summary'!$Y:$Y,'Threshold Summary'!$K:$K,""),'Pokemon Editor'!$A:$A,'Pokemon Editor'!$H:$H,0)+31+FLOOR(XLOOKUP($Q94,'Threshold Summary'!$Y:$Y,'Threshold Summary'!$R:$R,"")/4))*XLOOKUP($Q94,'Threshold Summary'!$Y:$Y,'Threshold Summary'!$L:$L,""))/100)+5)*XLOOKUP(XLOOKUP($Q94,'Threshold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Editor'!$E:$E,1))),stab,IF(OR(mtype=XLOOKUP(XLOOKUP($Q94,'Threshold Summary'!$Y:$Y,'Threshold Summary'!$K:$K,""),'Pokemon Editor'!$A:$A,'Pokemon Editor'!$C:$C,""),mtype=XLOOKUP(XLOOKUP($Q94,'Threshold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Chart'!$B$1:$S$1,0)))),base,IF(OR(cat="Status",pow=0),0,FLOOR(FLOOR(FLOOR((2*XLOOKUP($Q94,'Threshold Summary'!$Y:$Y,'Threshold Summary'!$L:$L,"")/5+2)*pow*atk/def)/50)+2)),modifier,stab*eff,AVERAGE(ARRAYFORMULA(FLOOR(base*modifier*SEQUENCE(16,1,85,1)/100)))),0)</f>
        <v/>
      </c>
      <c r="M94" s="3">
        <f>IFERROR(LET(mtype,XLOOKUP($D94,'Move Editor'!$B:$B,'Move Editor'!$C:$C,""),cat,XLOOKUP($D94,'Move Editor'!$B:$B,'Move Editor'!$D:$D,""),pow,XLOOKUP($D94,'Move Editor'!$B:$B,'Move Editor'!$E:$E,0),acc,XLOOKUP($D94,'Move Editor'!$B:$B,'Move Editor'!$F:$F,100),atk,IF(cat="Physical",FLOOR((FLOOR(((2*XLOOKUP(XLOOKUP($Q94,'Threshold Summary'!$Y:$Y,'Threshold Summary'!$K:$K,""),'Pokemon Editor'!$A:$A,'Pokemon Editor'!$F:$F,0)+31+FLOOR(XLOOKUP($Q94,'Threshold Summary'!$Y:$Y,'Threshold Summary'!$P:$P,"")/4))*XLOOKUP($Q94,'Threshold Summary'!$Y:$Y,'Threshold Summary'!$L:$L,""))/100)+5)*XLOOKUP(XLOOKUP($Q94,'Threshold Summary'!$Y:$Y,'Threshold Summary'!$M:$M,""),'Nature Editor'!$A:$A,'Nature Editor'!$B:$B,1)),FLOOR((FLOOR(((2*XLOOKUP(XLOOKUP($Q94,'Threshold Summary'!$Y:$Y,'Threshold Summary'!$K:$K,""),'Pokemon Editor'!$A:$A,'Pokemon Editor'!$H:$H,0)+31+FLOOR(XLOOKUP($Q94,'Threshold Summary'!$Y:$Y,'Threshold Summary'!$R:$R,"")/4))*XLOOKUP($Q94,'Threshold Summary'!$Y:$Y,'Threshold Summary'!$L:$L,""))/100)+5)*XLOOKUP(XLOOKUP($Q94,'Threshold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Editor'!$E:$E,1))),stab,IF(OR(mtype=XLOOKUP(XLOOKUP($Q94,'Threshold Summary'!$Y:$Y,'Threshold Summary'!$K:$K,""),'Pokemon Editor'!$A:$A,'Pokemon Editor'!$C:$C,""),mtype=XLOOKUP(XLOOKUP($Q94,'Threshold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Chart'!$B$1:$S$1,0)))),base,IF(OR(cat="Status",pow=0),0,FLOOR(FLOOR(FLOOR((2*XLOOKUP($Q94,'Threshold Summary'!$Y:$Y,'Threshold Summary'!$L:$L,"")/5+2)*pow*atk/def)/50)+2)),modifier,stab*eff,AVERAGE(ARRAYFORMULA(FLOOR(base*modifier*SEQUENCE(16,1,85,1)/100)))*MIN(1,acc/100)),0)</f>
        <v/>
      </c>
      <c r="N94" s="4">
        <f>IFERROR(LET(mtype,XLOOKUP($D94,'Move Editor'!$B:$B,'Move Editor'!$C:$C,""),cat,XLOOKUP($D94,'Move Editor'!$B:$B,'Move Editor'!$D:$D,""),pow,XLOOKUP($D94,'Move Editor'!$B:$B,'Move Editor'!$E:$E,0),acc,XLOOKUP($D94,'Move Editor'!$B:$B,'Move Editor'!$F:$F,100),atk,IF(cat="Physical",FLOOR((FLOOR(((2*XLOOKUP(XLOOKUP($Q94,'Threshold Summary'!$Y:$Y,'Threshold Summary'!$K:$K,""),'Pokemon Editor'!$A:$A,'Pokemon Editor'!$F:$F,0)+31+FLOOR(XLOOKUP($Q94,'Threshold Summary'!$Y:$Y,'Threshold Summary'!$P:$P,"")/4))*XLOOKUP($Q94,'Threshold Summary'!$Y:$Y,'Threshold Summary'!$L:$L,""))/100)+5)*XLOOKUP(XLOOKUP($Q94,'Threshold Summary'!$Y:$Y,'Threshold Summary'!$M:$M,""),'Nature Editor'!$A:$A,'Nature Editor'!$B:$B,1)),FLOOR((FLOOR(((2*XLOOKUP(XLOOKUP($Q94,'Threshold Summary'!$Y:$Y,'Threshold Summary'!$K:$K,""),'Pokemon Editor'!$A:$A,'Pokemon Editor'!$H:$H,0)+31+FLOOR(XLOOKUP($Q94,'Threshold Summary'!$Y:$Y,'Threshold Summary'!$R:$R,"")/4))*XLOOKUP($Q94,'Threshold Summary'!$Y:$Y,'Threshold Summary'!$L:$L,""))/100)+5)*XLOOKUP(XLOOKUP($Q94,'Threshold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Editor'!$E:$E,1))),stab,IF(OR(mtype=XLOOKUP(XLOOKUP($Q94,'Threshold Summary'!$Y:$Y,'Threshold Summary'!$K:$K,""),'Pokemon Editor'!$A:$A,'Pokemon Editor'!$C:$C,""),mtype=XLOOKUP(XLOOKUP($Q94,'Threshold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Chart'!$B$1:$S$1,0)))),base,IF(OR(cat="Status",pow=0),0,FLOOR(FLOOR(FLOOR((2*XLOOKUP($Q94,'Threshold Summary'!$Y:$Y,'Threshold Summary'!$L:$L,"")/5+2)*pow*atk/def)/50)+2)),modifier,stab*eff,AVERAGE(ARRAYFORMULA(FLOOR(base*modifier*SEQUENCE(16,1,85,1)/100)))/(FLOOR(((2*XLOOKUP('Boss Editor'!$C$4,'Pokemon Editor'!$A:$A,'Pokemon Editor'!$E:$E,0)+31+FLOOR('Boss Editor'!$G$4/4))*'Boss Editor'!$D$4)/100)+'Boss Editor'!$D$4+10)),0)</f>
        <v/>
      </c>
      <c r="O94" s="3">
        <f>IF(N94&gt;=1,"OHKO",IF(N94&gt;=0.5,"2HKO",IF(N94&gt;=0.333,"3HKO",IF(N94&gt;=0.25,"4HKO","5HKO+"))))</f>
        <v/>
      </c>
      <c r="P94" s="3" t="inlineStr">
        <is>
          <t>Live from editable databases</t>
        </is>
      </c>
      <c r="Q94" s="3" t="inlineStr">
        <is>
          <t>SPECIES_MAREEP</t>
        </is>
      </c>
      <c r="R94" s="3" t="n">
        <v>29</v>
      </c>
    </row>
    <row r="95">
      <c r="A95" s="3">
        <f>XLOOKUP($Q95,'Threshold Summary'!$Y:$Y,'Threshold Summary'!$A:$A,"")</f>
        <v/>
      </c>
      <c r="B95" s="3">
        <f>XLOOKUP($Q95,'Threshold Summary'!$Y:$Y,'Threshold Summary'!$M:$M,"")</f>
        <v/>
      </c>
      <c r="C95" s="3">
        <f>XLOOKUP($Q95,'Threshold Summary'!$Y:$Y,'Threshold Summary'!$N:$N,"")</f>
        <v/>
      </c>
      <c r="D95" s="3">
        <f>IFERROR(INDEX(FILTER('Learnset Editor'!$D$2:$D,'Learnset Editor'!$A$2:$A=XLOOKUP($Q95,'Threshold Summary'!$Y:$Y,'Threshold Summary'!$K:$K,""),'Learnset Editor'!$C$2:$C&lt;=XLOOKUP($Q95,'Threshold Summary'!$Y:$Y,'Threshold Summary'!$L:$L,"")),$R95),"")</f>
        <v/>
      </c>
      <c r="E95" s="3">
        <f>XLOOKUP(D95,'Move Editor'!$B:$B,'Move Editor'!$C:$C,"")</f>
        <v/>
      </c>
      <c r="F95" s="3">
        <f>XLOOKUP(D95,'Move Editor'!$B:$B,'Move Editor'!$D:$D,"")</f>
        <v/>
      </c>
      <c r="G95" s="3">
        <f>XLOOKUP(D95,'Move Editor'!$B:$B,'Move Editor'!$E:$E,0)</f>
        <v/>
      </c>
      <c r="H95" s="3">
        <f>XLOOKUP(D95,'Move Editor'!$B:$B,'Move Editor'!$F:$F,0)</f>
        <v/>
      </c>
      <c r="I95" s="3">
        <f>(INDEX('Type Chart'!$B:$S,MATCH(E95,'Type Chart'!$A:$A,0),MATCH(XLOOKUP('Boss Editor'!$C$4,'Pokemon Editor'!$A:$A,'Pokemon Editor'!$C:$C,""),'Type Chart'!$B$1:$S$1,0))*IF(XLOOKUP('Boss Editor'!$C$4,'Pokemon Editor'!$A:$A,'Pokemon Editor'!$D:$D,"")="",1,INDEX('Type Chart'!$B:$S,MATCH(E95,'Type Chart'!$A:$A,0),MATCH(XLOOKUP('Boss Editor'!$C$4,'Pokemon Editor'!$A:$A,'Pokemon Editor'!$D:$D,""),'Type Chart'!$B$1:$S$1,0))))</f>
        <v/>
      </c>
      <c r="J95" s="3">
        <f>IFERROR(LET(mtype,XLOOKUP($D95,'Move Editor'!$B:$B,'Move Editor'!$C:$C,""),cat,XLOOKUP($D95,'Move Editor'!$B:$B,'Move Editor'!$D:$D,""),pow,XLOOKUP($D95,'Move Editor'!$B:$B,'Move Editor'!$E:$E,0),acc,XLOOKUP($D95,'Move Editor'!$B:$B,'Move Editor'!$F:$F,100),atk,IF(cat="Physical",FLOOR((FLOOR(((2*XLOOKUP(XLOOKUP($Q95,'Threshold Summary'!$Y:$Y,'Threshold Summary'!$K:$K,""),'Pokemon Editor'!$A:$A,'Pokemon Editor'!$F:$F,0)+31+FLOOR(XLOOKUP($Q95,'Threshold Summary'!$Y:$Y,'Threshold Summary'!$P:$P,"")/4))*XLOOKUP($Q95,'Threshold Summary'!$Y:$Y,'Threshold Summary'!$L:$L,""))/100)+5)*XLOOKUP(XLOOKUP($Q95,'Threshold Summary'!$Y:$Y,'Threshold Summary'!$M:$M,""),'Nature Editor'!$A:$A,'Nature Editor'!$B:$B,1)),FLOOR((FLOOR(((2*XLOOKUP(XLOOKUP($Q95,'Threshold Summary'!$Y:$Y,'Threshold Summary'!$K:$K,""),'Pokemon Editor'!$A:$A,'Pokemon Editor'!$H:$H,0)+31+FLOOR(XLOOKUP($Q95,'Threshold Summary'!$Y:$Y,'Threshold Summary'!$R:$R,"")/4))*XLOOKUP($Q95,'Threshold Summary'!$Y:$Y,'Threshold Summary'!$L:$L,""))/100)+5)*XLOOKUP(XLOOKUP($Q95,'Threshold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Editor'!$E:$E,1))),stab,IF(OR(mtype=XLOOKUP(XLOOKUP($Q95,'Threshold Summary'!$Y:$Y,'Threshold Summary'!$K:$K,""),'Pokemon Editor'!$A:$A,'Pokemon Editor'!$C:$C,""),mtype=XLOOKUP(XLOOKUP($Q95,'Threshold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Chart'!$B$1:$S$1,0)))),base,IF(OR(cat="Status",pow=0),0,FLOOR(FLOOR(FLOOR((2*XLOOKUP($Q95,'Threshold Summary'!$Y:$Y,'Threshold Summary'!$L:$L,"")/5+2)*pow*atk/def)/50)+2)),modifier,stab*eff,FLOOR(base*modifier*0.85)),0)</f>
        <v/>
      </c>
      <c r="K95" s="3">
        <f>IFERROR(LET(mtype,XLOOKUP($D95,'Move Editor'!$B:$B,'Move Editor'!$C:$C,""),cat,XLOOKUP($D95,'Move Editor'!$B:$B,'Move Editor'!$D:$D,""),pow,XLOOKUP($D95,'Move Editor'!$B:$B,'Move Editor'!$E:$E,0),acc,XLOOKUP($D95,'Move Editor'!$B:$B,'Move Editor'!$F:$F,100),atk,IF(cat="Physical",FLOOR((FLOOR(((2*XLOOKUP(XLOOKUP($Q95,'Threshold Summary'!$Y:$Y,'Threshold Summary'!$K:$K,""),'Pokemon Editor'!$A:$A,'Pokemon Editor'!$F:$F,0)+31+FLOOR(XLOOKUP($Q95,'Threshold Summary'!$Y:$Y,'Threshold Summary'!$P:$P,"")/4))*XLOOKUP($Q95,'Threshold Summary'!$Y:$Y,'Threshold Summary'!$L:$L,""))/100)+5)*XLOOKUP(XLOOKUP($Q95,'Threshold Summary'!$Y:$Y,'Threshold Summary'!$M:$M,""),'Nature Editor'!$A:$A,'Nature Editor'!$B:$B,1)),FLOOR((FLOOR(((2*XLOOKUP(XLOOKUP($Q95,'Threshold Summary'!$Y:$Y,'Threshold Summary'!$K:$K,""),'Pokemon Editor'!$A:$A,'Pokemon Editor'!$H:$H,0)+31+FLOOR(XLOOKUP($Q95,'Threshold Summary'!$Y:$Y,'Threshold Summary'!$R:$R,"")/4))*XLOOKUP($Q95,'Threshold Summary'!$Y:$Y,'Threshold Summary'!$L:$L,""))/100)+5)*XLOOKUP(XLOOKUP($Q95,'Threshold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Editor'!$E:$E,1))),stab,IF(OR(mtype=XLOOKUP(XLOOKUP($Q95,'Threshold Summary'!$Y:$Y,'Threshold Summary'!$K:$K,""),'Pokemon Editor'!$A:$A,'Pokemon Editor'!$C:$C,""),mtype=XLOOKUP(XLOOKUP($Q95,'Threshold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Chart'!$B$1:$S$1,0)))),base,IF(OR(cat="Status",pow=0),0,FLOOR(FLOOR(FLOOR((2*XLOOKUP($Q95,'Threshold Summary'!$Y:$Y,'Threshold Summary'!$L:$L,"")/5+2)*pow*atk/def)/50)+2)),modifier,stab*eff,FLOOR(base*modifier)),0)</f>
        <v/>
      </c>
      <c r="L95" s="3">
        <f>IFERROR(LET(mtype,XLOOKUP($D95,'Move Editor'!$B:$B,'Move Editor'!$C:$C,""),cat,XLOOKUP($D95,'Move Editor'!$B:$B,'Move Editor'!$D:$D,""),pow,XLOOKUP($D95,'Move Editor'!$B:$B,'Move Editor'!$E:$E,0),acc,XLOOKUP($D95,'Move Editor'!$B:$B,'Move Editor'!$F:$F,100),atk,IF(cat="Physical",FLOOR((FLOOR(((2*XLOOKUP(XLOOKUP($Q95,'Threshold Summary'!$Y:$Y,'Threshold Summary'!$K:$K,""),'Pokemon Editor'!$A:$A,'Pokemon Editor'!$F:$F,0)+31+FLOOR(XLOOKUP($Q95,'Threshold Summary'!$Y:$Y,'Threshold Summary'!$P:$P,"")/4))*XLOOKUP($Q95,'Threshold Summary'!$Y:$Y,'Threshold Summary'!$L:$L,""))/100)+5)*XLOOKUP(XLOOKUP($Q95,'Threshold Summary'!$Y:$Y,'Threshold Summary'!$M:$M,""),'Nature Editor'!$A:$A,'Nature Editor'!$B:$B,1)),FLOOR((FLOOR(((2*XLOOKUP(XLOOKUP($Q95,'Threshold Summary'!$Y:$Y,'Threshold Summary'!$K:$K,""),'Pokemon Editor'!$A:$A,'Pokemon Editor'!$H:$H,0)+31+FLOOR(XLOOKUP($Q95,'Threshold Summary'!$Y:$Y,'Threshold Summary'!$R:$R,"")/4))*XLOOKUP($Q95,'Threshold Summary'!$Y:$Y,'Threshold Summary'!$L:$L,""))/100)+5)*XLOOKUP(XLOOKUP($Q95,'Threshold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Editor'!$E:$E,1))),stab,IF(OR(mtype=XLOOKUP(XLOOKUP($Q95,'Threshold Summary'!$Y:$Y,'Threshold Summary'!$K:$K,""),'Pokemon Editor'!$A:$A,'Pokemon Editor'!$C:$C,""),mtype=XLOOKUP(XLOOKUP($Q95,'Threshold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Chart'!$B$1:$S$1,0)))),base,IF(OR(cat="Status",pow=0),0,FLOOR(FLOOR(FLOOR((2*XLOOKUP($Q95,'Threshold Summary'!$Y:$Y,'Threshold Summary'!$L:$L,"")/5+2)*pow*atk/def)/50)+2)),modifier,stab*eff,AVERAGE(ARRAYFORMULA(FLOOR(base*modifier*SEQUENCE(16,1,85,1)/100)))),0)</f>
        <v/>
      </c>
      <c r="M95" s="3">
        <f>IFERROR(LET(mtype,XLOOKUP($D95,'Move Editor'!$B:$B,'Move Editor'!$C:$C,""),cat,XLOOKUP($D95,'Move Editor'!$B:$B,'Move Editor'!$D:$D,""),pow,XLOOKUP($D95,'Move Editor'!$B:$B,'Move Editor'!$E:$E,0),acc,XLOOKUP($D95,'Move Editor'!$B:$B,'Move Editor'!$F:$F,100),atk,IF(cat="Physical",FLOOR((FLOOR(((2*XLOOKUP(XLOOKUP($Q95,'Threshold Summary'!$Y:$Y,'Threshold Summary'!$K:$K,""),'Pokemon Editor'!$A:$A,'Pokemon Editor'!$F:$F,0)+31+FLOOR(XLOOKUP($Q95,'Threshold Summary'!$Y:$Y,'Threshold Summary'!$P:$P,"")/4))*XLOOKUP($Q95,'Threshold Summary'!$Y:$Y,'Threshold Summary'!$L:$L,""))/100)+5)*XLOOKUP(XLOOKUP($Q95,'Threshold Summary'!$Y:$Y,'Threshold Summary'!$M:$M,""),'Nature Editor'!$A:$A,'Nature Editor'!$B:$B,1)),FLOOR((FLOOR(((2*XLOOKUP(XLOOKUP($Q95,'Threshold Summary'!$Y:$Y,'Threshold Summary'!$K:$K,""),'Pokemon Editor'!$A:$A,'Pokemon Editor'!$H:$H,0)+31+FLOOR(XLOOKUP($Q95,'Threshold Summary'!$Y:$Y,'Threshold Summary'!$R:$R,"")/4))*XLOOKUP($Q95,'Threshold Summary'!$Y:$Y,'Threshold Summary'!$L:$L,""))/100)+5)*XLOOKUP(XLOOKUP($Q95,'Threshold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Editor'!$E:$E,1))),stab,IF(OR(mtype=XLOOKUP(XLOOKUP($Q95,'Threshold Summary'!$Y:$Y,'Threshold Summary'!$K:$K,""),'Pokemon Editor'!$A:$A,'Pokemon Editor'!$C:$C,""),mtype=XLOOKUP(XLOOKUP($Q95,'Threshold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Chart'!$B$1:$S$1,0)))),base,IF(OR(cat="Status",pow=0),0,FLOOR(FLOOR(FLOOR((2*XLOOKUP($Q95,'Threshold Summary'!$Y:$Y,'Threshold Summary'!$L:$L,"")/5+2)*pow*atk/def)/50)+2)),modifier,stab*eff,AVERAGE(ARRAYFORMULA(FLOOR(base*modifier*SEQUENCE(16,1,85,1)/100)))*MIN(1,acc/100)),0)</f>
        <v/>
      </c>
      <c r="N95" s="4">
        <f>IFERROR(LET(mtype,XLOOKUP($D95,'Move Editor'!$B:$B,'Move Editor'!$C:$C,""),cat,XLOOKUP($D95,'Move Editor'!$B:$B,'Move Editor'!$D:$D,""),pow,XLOOKUP($D95,'Move Editor'!$B:$B,'Move Editor'!$E:$E,0),acc,XLOOKUP($D95,'Move Editor'!$B:$B,'Move Editor'!$F:$F,100),atk,IF(cat="Physical",FLOOR((FLOOR(((2*XLOOKUP(XLOOKUP($Q95,'Threshold Summary'!$Y:$Y,'Threshold Summary'!$K:$K,""),'Pokemon Editor'!$A:$A,'Pokemon Editor'!$F:$F,0)+31+FLOOR(XLOOKUP($Q95,'Threshold Summary'!$Y:$Y,'Threshold Summary'!$P:$P,"")/4))*XLOOKUP($Q95,'Threshold Summary'!$Y:$Y,'Threshold Summary'!$L:$L,""))/100)+5)*XLOOKUP(XLOOKUP($Q95,'Threshold Summary'!$Y:$Y,'Threshold Summary'!$M:$M,""),'Nature Editor'!$A:$A,'Nature Editor'!$B:$B,1)),FLOOR((FLOOR(((2*XLOOKUP(XLOOKUP($Q95,'Threshold Summary'!$Y:$Y,'Threshold Summary'!$K:$K,""),'Pokemon Editor'!$A:$A,'Pokemon Editor'!$H:$H,0)+31+FLOOR(XLOOKUP($Q95,'Threshold Summary'!$Y:$Y,'Threshold Summary'!$R:$R,"")/4))*XLOOKUP($Q95,'Threshold Summary'!$Y:$Y,'Threshold Summary'!$L:$L,""))/100)+5)*XLOOKUP(XLOOKUP($Q95,'Threshold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Editor'!$E:$E,1))),stab,IF(OR(mtype=XLOOKUP(XLOOKUP($Q95,'Threshold Summary'!$Y:$Y,'Threshold Summary'!$K:$K,""),'Pokemon Editor'!$A:$A,'Pokemon Editor'!$C:$C,""),mtype=XLOOKUP(XLOOKUP($Q95,'Threshold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Chart'!$B$1:$S$1,0)))),base,IF(OR(cat="Status",pow=0),0,FLOOR(FLOOR(FLOOR((2*XLOOKUP($Q95,'Threshold Summary'!$Y:$Y,'Threshold Summary'!$L:$L,"")/5+2)*pow*atk/def)/50)+2)),modifier,stab*eff,AVERAGE(ARRAYFORMULA(FLOOR(base*modifier*SEQUENCE(16,1,85,1)/100)))/(FLOOR(((2*XLOOKUP('Boss Editor'!$C$4,'Pokemon Editor'!$A:$A,'Pokemon Editor'!$E:$E,0)+31+FLOOR('Boss Editor'!$G$4/4))*'Boss Editor'!$D$4)/100)+'Boss Editor'!$D$4+10)),0)</f>
        <v/>
      </c>
      <c r="O95" s="3">
        <f>IF(N95&gt;=1,"OHKO",IF(N95&gt;=0.5,"2HKO",IF(N95&gt;=0.333,"3HKO",IF(N95&gt;=0.25,"4HKO","5HKO+"))))</f>
        <v/>
      </c>
      <c r="P95" s="3" t="inlineStr">
        <is>
          <t>Live from editable databases</t>
        </is>
      </c>
      <c r="Q95" s="3" t="inlineStr">
        <is>
          <t>SPECIES_MAREEP</t>
        </is>
      </c>
      <c r="R95" s="3" t="n">
        <v>30</v>
      </c>
    </row>
    <row r="96">
      <c r="A96" s="3">
        <f>XLOOKUP($Q96,'Threshold Summary'!$Y:$Y,'Threshold Summary'!$A:$A,"")</f>
        <v/>
      </c>
      <c r="B96" s="3">
        <f>XLOOKUP($Q96,'Threshold Summary'!$Y:$Y,'Threshold Summary'!$M:$M,"")</f>
        <v/>
      </c>
      <c r="C96" s="3">
        <f>XLOOKUP($Q96,'Threshold Summary'!$Y:$Y,'Threshold Summary'!$N:$N,"")</f>
        <v/>
      </c>
      <c r="D96" s="3">
        <f>IFERROR(INDEX(FILTER('Learnset Editor'!$D$2:$D,'Learnset Editor'!$A$2:$A=XLOOKUP($Q96,'Threshold Summary'!$Y:$Y,'Threshold Summary'!$K:$K,""),'Learnset Editor'!$C$2:$C&lt;=XLOOKUP($Q96,'Threshold Summary'!$Y:$Y,'Threshold Summary'!$L:$L,"")),$R96),"")</f>
        <v/>
      </c>
      <c r="E96" s="3">
        <f>XLOOKUP(D96,'Move Editor'!$B:$B,'Move Editor'!$C:$C,"")</f>
        <v/>
      </c>
      <c r="F96" s="3">
        <f>XLOOKUP(D96,'Move Editor'!$B:$B,'Move Editor'!$D:$D,"")</f>
        <v/>
      </c>
      <c r="G96" s="3">
        <f>XLOOKUP(D96,'Move Editor'!$B:$B,'Move Editor'!$E:$E,0)</f>
        <v/>
      </c>
      <c r="H96" s="3">
        <f>XLOOKUP(D96,'Move Editor'!$B:$B,'Move Editor'!$F:$F,0)</f>
        <v/>
      </c>
      <c r="I96" s="3">
        <f>(INDEX('Type Chart'!$B:$S,MATCH(E96,'Type Chart'!$A:$A,0),MATCH(XLOOKUP('Boss Editor'!$C$4,'Pokemon Editor'!$A:$A,'Pokemon Editor'!$C:$C,""),'Type Chart'!$B$1:$S$1,0))*IF(XLOOKUP('Boss Editor'!$C$4,'Pokemon Editor'!$A:$A,'Pokemon Editor'!$D:$D,"")="",1,INDEX('Type Chart'!$B:$S,MATCH(E96,'Type Chart'!$A:$A,0),MATCH(XLOOKUP('Boss Editor'!$C$4,'Pokemon Editor'!$A:$A,'Pokemon Editor'!$D:$D,""),'Type Chart'!$B$1:$S$1,0))))</f>
        <v/>
      </c>
      <c r="J96" s="3">
        <f>IFERROR(LET(mtype,XLOOKUP($D96,'Move Editor'!$B:$B,'Move Editor'!$C:$C,""),cat,XLOOKUP($D96,'Move Editor'!$B:$B,'Move Editor'!$D:$D,""),pow,XLOOKUP($D96,'Move Editor'!$B:$B,'Move Editor'!$E:$E,0),acc,XLOOKUP($D96,'Move Editor'!$B:$B,'Move Editor'!$F:$F,100),atk,IF(cat="Physical",FLOOR((FLOOR(((2*XLOOKUP(XLOOKUP($Q96,'Threshold Summary'!$Y:$Y,'Threshold Summary'!$K:$K,""),'Pokemon Editor'!$A:$A,'Pokemon Editor'!$F:$F,0)+31+FLOOR(XLOOKUP($Q96,'Threshold Summary'!$Y:$Y,'Threshold Summary'!$P:$P,"")/4))*XLOOKUP($Q96,'Threshold Summary'!$Y:$Y,'Threshold Summary'!$L:$L,""))/100)+5)*XLOOKUP(XLOOKUP($Q96,'Threshold Summary'!$Y:$Y,'Threshold Summary'!$M:$M,""),'Nature Editor'!$A:$A,'Nature Editor'!$B:$B,1)),FLOOR((FLOOR(((2*XLOOKUP(XLOOKUP($Q96,'Threshold Summary'!$Y:$Y,'Threshold Summary'!$K:$K,""),'Pokemon Editor'!$A:$A,'Pokemon Editor'!$H:$H,0)+31+FLOOR(XLOOKUP($Q96,'Threshold Summary'!$Y:$Y,'Threshold Summary'!$R:$R,"")/4))*XLOOKUP($Q96,'Threshold Summary'!$Y:$Y,'Threshold Summary'!$L:$L,""))/100)+5)*XLOOKUP(XLOOKUP($Q96,'Threshold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Editor'!$E:$E,1))),stab,IF(OR(mtype=XLOOKUP(XLOOKUP($Q96,'Threshold Summary'!$Y:$Y,'Threshold Summary'!$K:$K,""),'Pokemon Editor'!$A:$A,'Pokemon Editor'!$C:$C,""),mtype=XLOOKUP(XLOOKUP($Q96,'Threshold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Chart'!$B$1:$S$1,0)))),base,IF(OR(cat="Status",pow=0),0,FLOOR(FLOOR(FLOOR((2*XLOOKUP($Q96,'Threshold Summary'!$Y:$Y,'Threshold Summary'!$L:$L,"")/5+2)*pow*atk/def)/50)+2)),modifier,stab*eff,FLOOR(base*modifier*0.85)),0)</f>
        <v/>
      </c>
      <c r="K96" s="3">
        <f>IFERROR(LET(mtype,XLOOKUP($D96,'Move Editor'!$B:$B,'Move Editor'!$C:$C,""),cat,XLOOKUP($D96,'Move Editor'!$B:$B,'Move Editor'!$D:$D,""),pow,XLOOKUP($D96,'Move Editor'!$B:$B,'Move Editor'!$E:$E,0),acc,XLOOKUP($D96,'Move Editor'!$B:$B,'Move Editor'!$F:$F,100),atk,IF(cat="Physical",FLOOR((FLOOR(((2*XLOOKUP(XLOOKUP($Q96,'Threshold Summary'!$Y:$Y,'Threshold Summary'!$K:$K,""),'Pokemon Editor'!$A:$A,'Pokemon Editor'!$F:$F,0)+31+FLOOR(XLOOKUP($Q96,'Threshold Summary'!$Y:$Y,'Threshold Summary'!$P:$P,"")/4))*XLOOKUP($Q96,'Threshold Summary'!$Y:$Y,'Threshold Summary'!$L:$L,""))/100)+5)*XLOOKUP(XLOOKUP($Q96,'Threshold Summary'!$Y:$Y,'Threshold Summary'!$M:$M,""),'Nature Editor'!$A:$A,'Nature Editor'!$B:$B,1)),FLOOR((FLOOR(((2*XLOOKUP(XLOOKUP($Q96,'Threshold Summary'!$Y:$Y,'Threshold Summary'!$K:$K,""),'Pokemon Editor'!$A:$A,'Pokemon Editor'!$H:$H,0)+31+FLOOR(XLOOKUP($Q96,'Threshold Summary'!$Y:$Y,'Threshold Summary'!$R:$R,"")/4))*XLOOKUP($Q96,'Threshold Summary'!$Y:$Y,'Threshold Summary'!$L:$L,""))/100)+5)*XLOOKUP(XLOOKUP($Q96,'Threshold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Editor'!$E:$E,1))),stab,IF(OR(mtype=XLOOKUP(XLOOKUP($Q96,'Threshold Summary'!$Y:$Y,'Threshold Summary'!$K:$K,""),'Pokemon Editor'!$A:$A,'Pokemon Editor'!$C:$C,""),mtype=XLOOKUP(XLOOKUP($Q96,'Threshold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Chart'!$B$1:$S$1,0)))),base,IF(OR(cat="Status",pow=0),0,FLOOR(FLOOR(FLOOR((2*XLOOKUP($Q96,'Threshold Summary'!$Y:$Y,'Threshold Summary'!$L:$L,"")/5+2)*pow*atk/def)/50)+2)),modifier,stab*eff,FLOOR(base*modifier)),0)</f>
        <v/>
      </c>
      <c r="L96" s="3">
        <f>IFERROR(LET(mtype,XLOOKUP($D96,'Move Editor'!$B:$B,'Move Editor'!$C:$C,""),cat,XLOOKUP($D96,'Move Editor'!$B:$B,'Move Editor'!$D:$D,""),pow,XLOOKUP($D96,'Move Editor'!$B:$B,'Move Editor'!$E:$E,0),acc,XLOOKUP($D96,'Move Editor'!$B:$B,'Move Editor'!$F:$F,100),atk,IF(cat="Physical",FLOOR((FLOOR(((2*XLOOKUP(XLOOKUP($Q96,'Threshold Summary'!$Y:$Y,'Threshold Summary'!$K:$K,""),'Pokemon Editor'!$A:$A,'Pokemon Editor'!$F:$F,0)+31+FLOOR(XLOOKUP($Q96,'Threshold Summary'!$Y:$Y,'Threshold Summary'!$P:$P,"")/4))*XLOOKUP($Q96,'Threshold Summary'!$Y:$Y,'Threshold Summary'!$L:$L,""))/100)+5)*XLOOKUP(XLOOKUP($Q96,'Threshold Summary'!$Y:$Y,'Threshold Summary'!$M:$M,""),'Nature Editor'!$A:$A,'Nature Editor'!$B:$B,1)),FLOOR((FLOOR(((2*XLOOKUP(XLOOKUP($Q96,'Threshold Summary'!$Y:$Y,'Threshold Summary'!$K:$K,""),'Pokemon Editor'!$A:$A,'Pokemon Editor'!$H:$H,0)+31+FLOOR(XLOOKUP($Q96,'Threshold Summary'!$Y:$Y,'Threshold Summary'!$R:$R,"")/4))*XLOOKUP($Q96,'Threshold Summary'!$Y:$Y,'Threshold Summary'!$L:$L,""))/100)+5)*XLOOKUP(XLOOKUP($Q96,'Threshold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Editor'!$E:$E,1))),stab,IF(OR(mtype=XLOOKUP(XLOOKUP($Q96,'Threshold Summary'!$Y:$Y,'Threshold Summary'!$K:$K,""),'Pokemon Editor'!$A:$A,'Pokemon Editor'!$C:$C,""),mtype=XLOOKUP(XLOOKUP($Q96,'Threshold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Chart'!$B$1:$S$1,0)))),base,IF(OR(cat="Status",pow=0),0,FLOOR(FLOOR(FLOOR((2*XLOOKUP($Q96,'Threshold Summary'!$Y:$Y,'Threshold Summary'!$L:$L,"")/5+2)*pow*atk/def)/50)+2)),modifier,stab*eff,AVERAGE(ARRAYFORMULA(FLOOR(base*modifier*SEQUENCE(16,1,85,1)/100)))),0)</f>
        <v/>
      </c>
      <c r="M96" s="3">
        <f>IFERROR(LET(mtype,XLOOKUP($D96,'Move Editor'!$B:$B,'Move Editor'!$C:$C,""),cat,XLOOKUP($D96,'Move Editor'!$B:$B,'Move Editor'!$D:$D,""),pow,XLOOKUP($D96,'Move Editor'!$B:$B,'Move Editor'!$E:$E,0),acc,XLOOKUP($D96,'Move Editor'!$B:$B,'Move Editor'!$F:$F,100),atk,IF(cat="Physical",FLOOR((FLOOR(((2*XLOOKUP(XLOOKUP($Q96,'Threshold Summary'!$Y:$Y,'Threshold Summary'!$K:$K,""),'Pokemon Editor'!$A:$A,'Pokemon Editor'!$F:$F,0)+31+FLOOR(XLOOKUP($Q96,'Threshold Summary'!$Y:$Y,'Threshold Summary'!$P:$P,"")/4))*XLOOKUP($Q96,'Threshold Summary'!$Y:$Y,'Threshold Summary'!$L:$L,""))/100)+5)*XLOOKUP(XLOOKUP($Q96,'Threshold Summary'!$Y:$Y,'Threshold Summary'!$M:$M,""),'Nature Editor'!$A:$A,'Nature Editor'!$B:$B,1)),FLOOR((FLOOR(((2*XLOOKUP(XLOOKUP($Q96,'Threshold Summary'!$Y:$Y,'Threshold Summary'!$K:$K,""),'Pokemon Editor'!$A:$A,'Pokemon Editor'!$H:$H,0)+31+FLOOR(XLOOKUP($Q96,'Threshold Summary'!$Y:$Y,'Threshold Summary'!$R:$R,"")/4))*XLOOKUP($Q96,'Threshold Summary'!$Y:$Y,'Threshold Summary'!$L:$L,""))/100)+5)*XLOOKUP(XLOOKUP($Q96,'Threshold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Editor'!$E:$E,1))),stab,IF(OR(mtype=XLOOKUP(XLOOKUP($Q96,'Threshold Summary'!$Y:$Y,'Threshold Summary'!$K:$K,""),'Pokemon Editor'!$A:$A,'Pokemon Editor'!$C:$C,""),mtype=XLOOKUP(XLOOKUP($Q96,'Threshold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Chart'!$B$1:$S$1,0)))),base,IF(OR(cat="Status",pow=0),0,FLOOR(FLOOR(FLOOR((2*XLOOKUP($Q96,'Threshold Summary'!$Y:$Y,'Threshold Summary'!$L:$L,"")/5+2)*pow*atk/def)/50)+2)),modifier,stab*eff,AVERAGE(ARRAYFORMULA(FLOOR(base*modifier*SEQUENCE(16,1,85,1)/100)))*MIN(1,acc/100)),0)</f>
        <v/>
      </c>
      <c r="N96" s="4">
        <f>IFERROR(LET(mtype,XLOOKUP($D96,'Move Editor'!$B:$B,'Move Editor'!$C:$C,""),cat,XLOOKUP($D96,'Move Editor'!$B:$B,'Move Editor'!$D:$D,""),pow,XLOOKUP($D96,'Move Editor'!$B:$B,'Move Editor'!$E:$E,0),acc,XLOOKUP($D96,'Move Editor'!$B:$B,'Move Editor'!$F:$F,100),atk,IF(cat="Physical",FLOOR((FLOOR(((2*XLOOKUP(XLOOKUP($Q96,'Threshold Summary'!$Y:$Y,'Threshold Summary'!$K:$K,""),'Pokemon Editor'!$A:$A,'Pokemon Editor'!$F:$F,0)+31+FLOOR(XLOOKUP($Q96,'Threshold Summary'!$Y:$Y,'Threshold Summary'!$P:$P,"")/4))*XLOOKUP($Q96,'Threshold Summary'!$Y:$Y,'Threshold Summary'!$L:$L,""))/100)+5)*XLOOKUP(XLOOKUP($Q96,'Threshold Summary'!$Y:$Y,'Threshold Summary'!$M:$M,""),'Nature Editor'!$A:$A,'Nature Editor'!$B:$B,1)),FLOOR((FLOOR(((2*XLOOKUP(XLOOKUP($Q96,'Threshold Summary'!$Y:$Y,'Threshold Summary'!$K:$K,""),'Pokemon Editor'!$A:$A,'Pokemon Editor'!$H:$H,0)+31+FLOOR(XLOOKUP($Q96,'Threshold Summary'!$Y:$Y,'Threshold Summary'!$R:$R,"")/4))*XLOOKUP($Q96,'Threshold Summary'!$Y:$Y,'Threshold Summary'!$L:$L,""))/100)+5)*XLOOKUP(XLOOKUP($Q96,'Threshold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Editor'!$E:$E,1))),stab,IF(OR(mtype=XLOOKUP(XLOOKUP($Q96,'Threshold Summary'!$Y:$Y,'Threshold Summary'!$K:$K,""),'Pokemon Editor'!$A:$A,'Pokemon Editor'!$C:$C,""),mtype=XLOOKUP(XLOOKUP($Q96,'Threshold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Chart'!$B$1:$S$1,0)))),base,IF(OR(cat="Status",pow=0),0,FLOOR(FLOOR(FLOOR((2*XLOOKUP($Q96,'Threshold Summary'!$Y:$Y,'Threshold Summary'!$L:$L,"")/5+2)*pow*atk/def)/50)+2)),modifier,stab*eff,AVERAGE(ARRAYFORMULA(FLOOR(base*modifier*SEQUENCE(16,1,85,1)/100)))/(FLOOR(((2*XLOOKUP('Boss Editor'!$C$4,'Pokemon Editor'!$A:$A,'Pokemon Editor'!$E:$E,0)+31+FLOOR('Boss Editor'!$G$4/4))*'Boss Editor'!$D$4)/100)+'Boss Editor'!$D$4+10)),0)</f>
        <v/>
      </c>
      <c r="O96" s="3">
        <f>IF(N96&gt;=1,"OHKO",IF(N96&gt;=0.5,"2HKO",IF(N96&gt;=0.333,"3HKO",IF(N96&gt;=0.25,"4HKO","5HKO+"))))</f>
        <v/>
      </c>
      <c r="P96" s="3" t="inlineStr">
        <is>
          <t>Live from editable databases</t>
        </is>
      </c>
      <c r="Q96" s="3" t="inlineStr">
        <is>
          <t>SPECIES_MAREEP</t>
        </is>
      </c>
      <c r="R96" s="3" t="n">
        <v>31</v>
      </c>
    </row>
    <row r="97">
      <c r="A97" s="3">
        <f>XLOOKUP($Q97,'Threshold Summary'!$Y:$Y,'Threshold Summary'!$A:$A,"")</f>
        <v/>
      </c>
      <c r="B97" s="3">
        <f>XLOOKUP($Q97,'Threshold Summary'!$Y:$Y,'Threshold Summary'!$M:$M,"")</f>
        <v/>
      </c>
      <c r="C97" s="3">
        <f>XLOOKUP($Q97,'Threshold Summary'!$Y:$Y,'Threshold Summary'!$N:$N,"")</f>
        <v/>
      </c>
      <c r="D97" s="3">
        <f>IFERROR(INDEX(FILTER('Learnset Editor'!$D$2:$D,'Learnset Editor'!$A$2:$A=XLOOKUP($Q97,'Threshold Summary'!$Y:$Y,'Threshold Summary'!$K:$K,""),'Learnset Editor'!$C$2:$C&lt;=XLOOKUP($Q97,'Threshold Summary'!$Y:$Y,'Threshold Summary'!$L:$L,"")),$R97),"")</f>
        <v/>
      </c>
      <c r="E97" s="3">
        <f>XLOOKUP(D97,'Move Editor'!$B:$B,'Move Editor'!$C:$C,"")</f>
        <v/>
      </c>
      <c r="F97" s="3">
        <f>XLOOKUP(D97,'Move Editor'!$B:$B,'Move Editor'!$D:$D,"")</f>
        <v/>
      </c>
      <c r="G97" s="3">
        <f>XLOOKUP(D97,'Move Editor'!$B:$B,'Move Editor'!$E:$E,0)</f>
        <v/>
      </c>
      <c r="H97" s="3">
        <f>XLOOKUP(D97,'Move Editor'!$B:$B,'Move Editor'!$F:$F,0)</f>
        <v/>
      </c>
      <c r="I97" s="3">
        <f>(INDEX('Type Chart'!$B:$S,MATCH(E97,'Type Chart'!$A:$A,0),MATCH(XLOOKUP('Boss Editor'!$C$4,'Pokemon Editor'!$A:$A,'Pokemon Editor'!$C:$C,""),'Type Chart'!$B$1:$S$1,0))*IF(XLOOKUP('Boss Editor'!$C$4,'Pokemon Editor'!$A:$A,'Pokemon Editor'!$D:$D,"")="",1,INDEX('Type Chart'!$B:$S,MATCH(E97,'Type Chart'!$A:$A,0),MATCH(XLOOKUP('Boss Editor'!$C$4,'Pokemon Editor'!$A:$A,'Pokemon Editor'!$D:$D,""),'Type Chart'!$B$1:$S$1,0))))</f>
        <v/>
      </c>
      <c r="J97" s="3">
        <f>IFERROR(LET(mtype,XLOOKUP($D97,'Move Editor'!$B:$B,'Move Editor'!$C:$C,""),cat,XLOOKUP($D97,'Move Editor'!$B:$B,'Move Editor'!$D:$D,""),pow,XLOOKUP($D97,'Move Editor'!$B:$B,'Move Editor'!$E:$E,0),acc,XLOOKUP($D97,'Move Editor'!$B:$B,'Move Editor'!$F:$F,100),atk,IF(cat="Physical",FLOOR((FLOOR(((2*XLOOKUP(XLOOKUP($Q97,'Threshold Summary'!$Y:$Y,'Threshold Summary'!$K:$K,""),'Pokemon Editor'!$A:$A,'Pokemon Editor'!$F:$F,0)+31+FLOOR(XLOOKUP($Q97,'Threshold Summary'!$Y:$Y,'Threshold Summary'!$P:$P,"")/4))*XLOOKUP($Q97,'Threshold Summary'!$Y:$Y,'Threshold Summary'!$L:$L,""))/100)+5)*XLOOKUP(XLOOKUP($Q97,'Threshold Summary'!$Y:$Y,'Threshold Summary'!$M:$M,""),'Nature Editor'!$A:$A,'Nature Editor'!$B:$B,1)),FLOOR((FLOOR(((2*XLOOKUP(XLOOKUP($Q97,'Threshold Summary'!$Y:$Y,'Threshold Summary'!$K:$K,""),'Pokemon Editor'!$A:$A,'Pokemon Editor'!$H:$H,0)+31+FLOOR(XLOOKUP($Q97,'Threshold Summary'!$Y:$Y,'Threshold Summary'!$R:$R,"")/4))*XLOOKUP($Q97,'Threshold Summary'!$Y:$Y,'Threshold Summary'!$L:$L,""))/100)+5)*XLOOKUP(XLOOKUP($Q97,'Threshold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Editor'!$E:$E,1))),stab,IF(OR(mtype=XLOOKUP(XLOOKUP($Q97,'Threshold Summary'!$Y:$Y,'Threshold Summary'!$K:$K,""),'Pokemon Editor'!$A:$A,'Pokemon Editor'!$C:$C,""),mtype=XLOOKUP(XLOOKUP($Q97,'Threshold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Chart'!$B$1:$S$1,0)))),base,IF(OR(cat="Status",pow=0),0,FLOOR(FLOOR(FLOOR((2*XLOOKUP($Q97,'Threshold Summary'!$Y:$Y,'Threshold Summary'!$L:$L,"")/5+2)*pow*atk/def)/50)+2)),modifier,stab*eff,FLOOR(base*modifier*0.85)),0)</f>
        <v/>
      </c>
      <c r="K97" s="3">
        <f>IFERROR(LET(mtype,XLOOKUP($D97,'Move Editor'!$B:$B,'Move Editor'!$C:$C,""),cat,XLOOKUP($D97,'Move Editor'!$B:$B,'Move Editor'!$D:$D,""),pow,XLOOKUP($D97,'Move Editor'!$B:$B,'Move Editor'!$E:$E,0),acc,XLOOKUP($D97,'Move Editor'!$B:$B,'Move Editor'!$F:$F,100),atk,IF(cat="Physical",FLOOR((FLOOR(((2*XLOOKUP(XLOOKUP($Q97,'Threshold Summary'!$Y:$Y,'Threshold Summary'!$K:$K,""),'Pokemon Editor'!$A:$A,'Pokemon Editor'!$F:$F,0)+31+FLOOR(XLOOKUP($Q97,'Threshold Summary'!$Y:$Y,'Threshold Summary'!$P:$P,"")/4))*XLOOKUP($Q97,'Threshold Summary'!$Y:$Y,'Threshold Summary'!$L:$L,""))/100)+5)*XLOOKUP(XLOOKUP($Q97,'Threshold Summary'!$Y:$Y,'Threshold Summary'!$M:$M,""),'Nature Editor'!$A:$A,'Nature Editor'!$B:$B,1)),FLOOR((FLOOR(((2*XLOOKUP(XLOOKUP($Q97,'Threshold Summary'!$Y:$Y,'Threshold Summary'!$K:$K,""),'Pokemon Editor'!$A:$A,'Pokemon Editor'!$H:$H,0)+31+FLOOR(XLOOKUP($Q97,'Threshold Summary'!$Y:$Y,'Threshold Summary'!$R:$R,"")/4))*XLOOKUP($Q97,'Threshold Summary'!$Y:$Y,'Threshold Summary'!$L:$L,""))/100)+5)*XLOOKUP(XLOOKUP($Q97,'Threshold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Editor'!$E:$E,1))),stab,IF(OR(mtype=XLOOKUP(XLOOKUP($Q97,'Threshold Summary'!$Y:$Y,'Threshold Summary'!$K:$K,""),'Pokemon Editor'!$A:$A,'Pokemon Editor'!$C:$C,""),mtype=XLOOKUP(XLOOKUP($Q97,'Threshold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Chart'!$B$1:$S$1,0)))),base,IF(OR(cat="Status",pow=0),0,FLOOR(FLOOR(FLOOR((2*XLOOKUP($Q97,'Threshold Summary'!$Y:$Y,'Threshold Summary'!$L:$L,"")/5+2)*pow*atk/def)/50)+2)),modifier,stab*eff,FLOOR(base*modifier)),0)</f>
        <v/>
      </c>
      <c r="L97" s="3">
        <f>IFERROR(LET(mtype,XLOOKUP($D97,'Move Editor'!$B:$B,'Move Editor'!$C:$C,""),cat,XLOOKUP($D97,'Move Editor'!$B:$B,'Move Editor'!$D:$D,""),pow,XLOOKUP($D97,'Move Editor'!$B:$B,'Move Editor'!$E:$E,0),acc,XLOOKUP($D97,'Move Editor'!$B:$B,'Move Editor'!$F:$F,100),atk,IF(cat="Physical",FLOOR((FLOOR(((2*XLOOKUP(XLOOKUP($Q97,'Threshold Summary'!$Y:$Y,'Threshold Summary'!$K:$K,""),'Pokemon Editor'!$A:$A,'Pokemon Editor'!$F:$F,0)+31+FLOOR(XLOOKUP($Q97,'Threshold Summary'!$Y:$Y,'Threshold Summary'!$P:$P,"")/4))*XLOOKUP($Q97,'Threshold Summary'!$Y:$Y,'Threshold Summary'!$L:$L,""))/100)+5)*XLOOKUP(XLOOKUP($Q97,'Threshold Summary'!$Y:$Y,'Threshold Summary'!$M:$M,""),'Nature Editor'!$A:$A,'Nature Editor'!$B:$B,1)),FLOOR((FLOOR(((2*XLOOKUP(XLOOKUP($Q97,'Threshold Summary'!$Y:$Y,'Threshold Summary'!$K:$K,""),'Pokemon Editor'!$A:$A,'Pokemon Editor'!$H:$H,0)+31+FLOOR(XLOOKUP($Q97,'Threshold Summary'!$Y:$Y,'Threshold Summary'!$R:$R,"")/4))*XLOOKUP($Q97,'Threshold Summary'!$Y:$Y,'Threshold Summary'!$L:$L,""))/100)+5)*XLOOKUP(XLOOKUP($Q97,'Threshold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Editor'!$E:$E,1))),stab,IF(OR(mtype=XLOOKUP(XLOOKUP($Q97,'Threshold Summary'!$Y:$Y,'Threshold Summary'!$K:$K,""),'Pokemon Editor'!$A:$A,'Pokemon Editor'!$C:$C,""),mtype=XLOOKUP(XLOOKUP($Q97,'Threshold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Chart'!$B$1:$S$1,0)))),base,IF(OR(cat="Status",pow=0),0,FLOOR(FLOOR(FLOOR((2*XLOOKUP($Q97,'Threshold Summary'!$Y:$Y,'Threshold Summary'!$L:$L,"")/5+2)*pow*atk/def)/50)+2)),modifier,stab*eff,AVERAGE(ARRAYFORMULA(FLOOR(base*modifier*SEQUENCE(16,1,85,1)/100)))),0)</f>
        <v/>
      </c>
      <c r="M97" s="3">
        <f>IFERROR(LET(mtype,XLOOKUP($D97,'Move Editor'!$B:$B,'Move Editor'!$C:$C,""),cat,XLOOKUP($D97,'Move Editor'!$B:$B,'Move Editor'!$D:$D,""),pow,XLOOKUP($D97,'Move Editor'!$B:$B,'Move Editor'!$E:$E,0),acc,XLOOKUP($D97,'Move Editor'!$B:$B,'Move Editor'!$F:$F,100),atk,IF(cat="Physical",FLOOR((FLOOR(((2*XLOOKUP(XLOOKUP($Q97,'Threshold Summary'!$Y:$Y,'Threshold Summary'!$K:$K,""),'Pokemon Editor'!$A:$A,'Pokemon Editor'!$F:$F,0)+31+FLOOR(XLOOKUP($Q97,'Threshold Summary'!$Y:$Y,'Threshold Summary'!$P:$P,"")/4))*XLOOKUP($Q97,'Threshold Summary'!$Y:$Y,'Threshold Summary'!$L:$L,""))/100)+5)*XLOOKUP(XLOOKUP($Q97,'Threshold Summary'!$Y:$Y,'Threshold Summary'!$M:$M,""),'Nature Editor'!$A:$A,'Nature Editor'!$B:$B,1)),FLOOR((FLOOR(((2*XLOOKUP(XLOOKUP($Q97,'Threshold Summary'!$Y:$Y,'Threshold Summary'!$K:$K,""),'Pokemon Editor'!$A:$A,'Pokemon Editor'!$H:$H,0)+31+FLOOR(XLOOKUP($Q97,'Threshold Summary'!$Y:$Y,'Threshold Summary'!$R:$R,"")/4))*XLOOKUP($Q97,'Threshold Summary'!$Y:$Y,'Threshold Summary'!$L:$L,""))/100)+5)*XLOOKUP(XLOOKUP($Q97,'Threshold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Editor'!$E:$E,1))),stab,IF(OR(mtype=XLOOKUP(XLOOKUP($Q97,'Threshold Summary'!$Y:$Y,'Threshold Summary'!$K:$K,""),'Pokemon Editor'!$A:$A,'Pokemon Editor'!$C:$C,""),mtype=XLOOKUP(XLOOKUP($Q97,'Threshold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Chart'!$B$1:$S$1,0)))),base,IF(OR(cat="Status",pow=0),0,FLOOR(FLOOR(FLOOR((2*XLOOKUP($Q97,'Threshold Summary'!$Y:$Y,'Threshold Summary'!$L:$L,"")/5+2)*pow*atk/def)/50)+2)),modifier,stab*eff,AVERAGE(ARRAYFORMULA(FLOOR(base*modifier*SEQUENCE(16,1,85,1)/100)))*MIN(1,acc/100)),0)</f>
        <v/>
      </c>
      <c r="N97" s="4">
        <f>IFERROR(LET(mtype,XLOOKUP($D97,'Move Editor'!$B:$B,'Move Editor'!$C:$C,""),cat,XLOOKUP($D97,'Move Editor'!$B:$B,'Move Editor'!$D:$D,""),pow,XLOOKUP($D97,'Move Editor'!$B:$B,'Move Editor'!$E:$E,0),acc,XLOOKUP($D97,'Move Editor'!$B:$B,'Move Editor'!$F:$F,100),atk,IF(cat="Physical",FLOOR((FLOOR(((2*XLOOKUP(XLOOKUP($Q97,'Threshold Summary'!$Y:$Y,'Threshold Summary'!$K:$K,""),'Pokemon Editor'!$A:$A,'Pokemon Editor'!$F:$F,0)+31+FLOOR(XLOOKUP($Q97,'Threshold Summary'!$Y:$Y,'Threshold Summary'!$P:$P,"")/4))*XLOOKUP($Q97,'Threshold Summary'!$Y:$Y,'Threshold Summary'!$L:$L,""))/100)+5)*XLOOKUP(XLOOKUP($Q97,'Threshold Summary'!$Y:$Y,'Threshold Summary'!$M:$M,""),'Nature Editor'!$A:$A,'Nature Editor'!$B:$B,1)),FLOOR((FLOOR(((2*XLOOKUP(XLOOKUP($Q97,'Threshold Summary'!$Y:$Y,'Threshold Summary'!$K:$K,""),'Pokemon Editor'!$A:$A,'Pokemon Editor'!$H:$H,0)+31+FLOOR(XLOOKUP($Q97,'Threshold Summary'!$Y:$Y,'Threshold Summary'!$R:$R,"")/4))*XLOOKUP($Q97,'Threshold Summary'!$Y:$Y,'Threshold Summary'!$L:$L,""))/100)+5)*XLOOKUP(XLOOKUP($Q97,'Threshold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Editor'!$E:$E,1))),stab,IF(OR(mtype=XLOOKUP(XLOOKUP($Q97,'Threshold Summary'!$Y:$Y,'Threshold Summary'!$K:$K,""),'Pokemon Editor'!$A:$A,'Pokemon Editor'!$C:$C,""),mtype=XLOOKUP(XLOOKUP($Q97,'Threshold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Chart'!$B$1:$S$1,0)))),base,IF(OR(cat="Status",pow=0),0,FLOOR(FLOOR(FLOOR((2*XLOOKUP($Q97,'Threshold Summary'!$Y:$Y,'Threshold Summary'!$L:$L,"")/5+2)*pow*atk/def)/50)+2)),modifier,stab*eff,AVERAGE(ARRAYFORMULA(FLOOR(base*modifier*SEQUENCE(16,1,85,1)/100)))/(FLOOR(((2*XLOOKUP('Boss Editor'!$C$4,'Pokemon Editor'!$A:$A,'Pokemon Editor'!$E:$E,0)+31+FLOOR('Boss Editor'!$G$4/4))*'Boss Editor'!$D$4)/100)+'Boss Editor'!$D$4+10)),0)</f>
        <v/>
      </c>
      <c r="O97" s="3">
        <f>IF(N97&gt;=1,"OHKO",IF(N97&gt;=0.5,"2HKO",IF(N97&gt;=0.333,"3HKO",IF(N97&gt;=0.25,"4HKO","5HKO+"))))</f>
        <v/>
      </c>
      <c r="P97" s="3" t="inlineStr">
        <is>
          <t>Live from editable databases</t>
        </is>
      </c>
      <c r="Q97" s="3" t="inlineStr">
        <is>
          <t>SPECIES_MAREEP</t>
        </is>
      </c>
      <c r="R97" s="3" t="n">
        <v>32</v>
      </c>
    </row>
    <row r="98">
      <c r="A98" s="3">
        <f>XLOOKUP($Q98,'Threshold Summary'!$Y:$Y,'Threshold Summary'!$A:$A,"")</f>
        <v/>
      </c>
      <c r="B98" s="3">
        <f>XLOOKUP($Q98,'Threshold Summary'!$Y:$Y,'Threshold Summary'!$M:$M,"")</f>
        <v/>
      </c>
      <c r="C98" s="3">
        <f>XLOOKUP($Q98,'Threshold Summary'!$Y:$Y,'Threshold Summary'!$N:$N,"")</f>
        <v/>
      </c>
      <c r="D98" s="3">
        <f>IFERROR(INDEX(FILTER('Learnset Editor'!$D$2:$D,'Learnset Editor'!$A$2:$A=XLOOKUP($Q98,'Threshold Summary'!$Y:$Y,'Threshold Summary'!$K:$K,""),'Learnset Editor'!$C$2:$C&lt;=XLOOKUP($Q98,'Threshold Summary'!$Y:$Y,'Threshold Summary'!$L:$L,"")),$R98),"")</f>
        <v/>
      </c>
      <c r="E98" s="3">
        <f>XLOOKUP(D98,'Move Editor'!$B:$B,'Move Editor'!$C:$C,"")</f>
        <v/>
      </c>
      <c r="F98" s="3">
        <f>XLOOKUP(D98,'Move Editor'!$B:$B,'Move Editor'!$D:$D,"")</f>
        <v/>
      </c>
      <c r="G98" s="3">
        <f>XLOOKUP(D98,'Move Editor'!$B:$B,'Move Editor'!$E:$E,0)</f>
        <v/>
      </c>
      <c r="H98" s="3">
        <f>XLOOKUP(D98,'Move Editor'!$B:$B,'Move Editor'!$F:$F,0)</f>
        <v/>
      </c>
      <c r="I98" s="3">
        <f>(INDEX('Type Chart'!$B:$S,MATCH(E98,'Type Chart'!$A:$A,0),MATCH(XLOOKUP('Boss Editor'!$C$4,'Pokemon Editor'!$A:$A,'Pokemon Editor'!$C:$C,""),'Type Chart'!$B$1:$S$1,0))*IF(XLOOKUP('Boss Editor'!$C$4,'Pokemon Editor'!$A:$A,'Pokemon Editor'!$D:$D,"")="",1,INDEX('Type Chart'!$B:$S,MATCH(E98,'Type Chart'!$A:$A,0),MATCH(XLOOKUP('Boss Editor'!$C$4,'Pokemon Editor'!$A:$A,'Pokemon Editor'!$D:$D,""),'Type Chart'!$B$1:$S$1,0))))</f>
        <v/>
      </c>
      <c r="J98" s="3">
        <f>IFERROR(LET(mtype,XLOOKUP($D98,'Move Editor'!$B:$B,'Move Editor'!$C:$C,""),cat,XLOOKUP($D98,'Move Editor'!$B:$B,'Move Editor'!$D:$D,""),pow,XLOOKUP($D98,'Move Editor'!$B:$B,'Move Editor'!$E:$E,0),acc,XLOOKUP($D98,'Move Editor'!$B:$B,'Move Editor'!$F:$F,100),atk,IF(cat="Physical",FLOOR((FLOOR(((2*XLOOKUP(XLOOKUP($Q98,'Threshold Summary'!$Y:$Y,'Threshold Summary'!$K:$K,""),'Pokemon Editor'!$A:$A,'Pokemon Editor'!$F:$F,0)+31+FLOOR(XLOOKUP($Q98,'Threshold Summary'!$Y:$Y,'Threshold Summary'!$P:$P,"")/4))*XLOOKUP($Q98,'Threshold Summary'!$Y:$Y,'Threshold Summary'!$L:$L,""))/100)+5)*XLOOKUP(XLOOKUP($Q98,'Threshold Summary'!$Y:$Y,'Threshold Summary'!$M:$M,""),'Nature Editor'!$A:$A,'Nature Editor'!$B:$B,1)),FLOOR((FLOOR(((2*XLOOKUP(XLOOKUP($Q98,'Threshold Summary'!$Y:$Y,'Threshold Summary'!$K:$K,""),'Pokemon Editor'!$A:$A,'Pokemon Editor'!$H:$H,0)+31+FLOOR(XLOOKUP($Q98,'Threshold Summary'!$Y:$Y,'Threshold Summary'!$R:$R,"")/4))*XLOOKUP($Q98,'Threshold Summary'!$Y:$Y,'Threshold Summary'!$L:$L,""))/100)+5)*XLOOKUP(XLOOKUP($Q98,'Threshold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Editor'!$E:$E,1))),stab,IF(OR(mtype=XLOOKUP(XLOOKUP($Q98,'Threshold Summary'!$Y:$Y,'Threshold Summary'!$K:$K,""),'Pokemon Editor'!$A:$A,'Pokemon Editor'!$C:$C,""),mtype=XLOOKUP(XLOOKUP($Q98,'Threshold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Chart'!$B$1:$S$1,0)))),base,IF(OR(cat="Status",pow=0),0,FLOOR(FLOOR(FLOOR((2*XLOOKUP($Q98,'Threshold Summary'!$Y:$Y,'Threshold Summary'!$L:$L,"")/5+2)*pow*atk/def)/50)+2)),modifier,stab*eff,FLOOR(base*modifier*0.85)),0)</f>
        <v/>
      </c>
      <c r="K98" s="3">
        <f>IFERROR(LET(mtype,XLOOKUP($D98,'Move Editor'!$B:$B,'Move Editor'!$C:$C,""),cat,XLOOKUP($D98,'Move Editor'!$B:$B,'Move Editor'!$D:$D,""),pow,XLOOKUP($D98,'Move Editor'!$B:$B,'Move Editor'!$E:$E,0),acc,XLOOKUP($D98,'Move Editor'!$B:$B,'Move Editor'!$F:$F,100),atk,IF(cat="Physical",FLOOR((FLOOR(((2*XLOOKUP(XLOOKUP($Q98,'Threshold Summary'!$Y:$Y,'Threshold Summary'!$K:$K,""),'Pokemon Editor'!$A:$A,'Pokemon Editor'!$F:$F,0)+31+FLOOR(XLOOKUP($Q98,'Threshold Summary'!$Y:$Y,'Threshold Summary'!$P:$P,"")/4))*XLOOKUP($Q98,'Threshold Summary'!$Y:$Y,'Threshold Summary'!$L:$L,""))/100)+5)*XLOOKUP(XLOOKUP($Q98,'Threshold Summary'!$Y:$Y,'Threshold Summary'!$M:$M,""),'Nature Editor'!$A:$A,'Nature Editor'!$B:$B,1)),FLOOR((FLOOR(((2*XLOOKUP(XLOOKUP($Q98,'Threshold Summary'!$Y:$Y,'Threshold Summary'!$K:$K,""),'Pokemon Editor'!$A:$A,'Pokemon Editor'!$H:$H,0)+31+FLOOR(XLOOKUP($Q98,'Threshold Summary'!$Y:$Y,'Threshold Summary'!$R:$R,"")/4))*XLOOKUP($Q98,'Threshold Summary'!$Y:$Y,'Threshold Summary'!$L:$L,""))/100)+5)*XLOOKUP(XLOOKUP($Q98,'Threshold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Editor'!$E:$E,1))),stab,IF(OR(mtype=XLOOKUP(XLOOKUP($Q98,'Threshold Summary'!$Y:$Y,'Threshold Summary'!$K:$K,""),'Pokemon Editor'!$A:$A,'Pokemon Editor'!$C:$C,""),mtype=XLOOKUP(XLOOKUP($Q98,'Threshold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Chart'!$B$1:$S$1,0)))),base,IF(OR(cat="Status",pow=0),0,FLOOR(FLOOR(FLOOR((2*XLOOKUP($Q98,'Threshold Summary'!$Y:$Y,'Threshold Summary'!$L:$L,"")/5+2)*pow*atk/def)/50)+2)),modifier,stab*eff,FLOOR(base*modifier)),0)</f>
        <v/>
      </c>
      <c r="L98" s="3">
        <f>IFERROR(LET(mtype,XLOOKUP($D98,'Move Editor'!$B:$B,'Move Editor'!$C:$C,""),cat,XLOOKUP($D98,'Move Editor'!$B:$B,'Move Editor'!$D:$D,""),pow,XLOOKUP($D98,'Move Editor'!$B:$B,'Move Editor'!$E:$E,0),acc,XLOOKUP($D98,'Move Editor'!$B:$B,'Move Editor'!$F:$F,100),atk,IF(cat="Physical",FLOOR((FLOOR(((2*XLOOKUP(XLOOKUP($Q98,'Threshold Summary'!$Y:$Y,'Threshold Summary'!$K:$K,""),'Pokemon Editor'!$A:$A,'Pokemon Editor'!$F:$F,0)+31+FLOOR(XLOOKUP($Q98,'Threshold Summary'!$Y:$Y,'Threshold Summary'!$P:$P,"")/4))*XLOOKUP($Q98,'Threshold Summary'!$Y:$Y,'Threshold Summary'!$L:$L,""))/100)+5)*XLOOKUP(XLOOKUP($Q98,'Threshold Summary'!$Y:$Y,'Threshold Summary'!$M:$M,""),'Nature Editor'!$A:$A,'Nature Editor'!$B:$B,1)),FLOOR((FLOOR(((2*XLOOKUP(XLOOKUP($Q98,'Threshold Summary'!$Y:$Y,'Threshold Summary'!$K:$K,""),'Pokemon Editor'!$A:$A,'Pokemon Editor'!$H:$H,0)+31+FLOOR(XLOOKUP($Q98,'Threshold Summary'!$Y:$Y,'Threshold Summary'!$R:$R,"")/4))*XLOOKUP($Q98,'Threshold Summary'!$Y:$Y,'Threshold Summary'!$L:$L,""))/100)+5)*XLOOKUP(XLOOKUP($Q98,'Threshold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Editor'!$E:$E,1))),stab,IF(OR(mtype=XLOOKUP(XLOOKUP($Q98,'Threshold Summary'!$Y:$Y,'Threshold Summary'!$K:$K,""),'Pokemon Editor'!$A:$A,'Pokemon Editor'!$C:$C,""),mtype=XLOOKUP(XLOOKUP($Q98,'Threshold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Chart'!$B$1:$S$1,0)))),base,IF(OR(cat="Status",pow=0),0,FLOOR(FLOOR(FLOOR((2*XLOOKUP($Q98,'Threshold Summary'!$Y:$Y,'Threshold Summary'!$L:$L,"")/5+2)*pow*atk/def)/50)+2)),modifier,stab*eff,AVERAGE(ARRAYFORMULA(FLOOR(base*modifier*SEQUENCE(16,1,85,1)/100)))),0)</f>
        <v/>
      </c>
      <c r="M98" s="3">
        <f>IFERROR(LET(mtype,XLOOKUP($D98,'Move Editor'!$B:$B,'Move Editor'!$C:$C,""),cat,XLOOKUP($D98,'Move Editor'!$B:$B,'Move Editor'!$D:$D,""),pow,XLOOKUP($D98,'Move Editor'!$B:$B,'Move Editor'!$E:$E,0),acc,XLOOKUP($D98,'Move Editor'!$B:$B,'Move Editor'!$F:$F,100),atk,IF(cat="Physical",FLOOR((FLOOR(((2*XLOOKUP(XLOOKUP($Q98,'Threshold Summary'!$Y:$Y,'Threshold Summary'!$K:$K,""),'Pokemon Editor'!$A:$A,'Pokemon Editor'!$F:$F,0)+31+FLOOR(XLOOKUP($Q98,'Threshold Summary'!$Y:$Y,'Threshold Summary'!$P:$P,"")/4))*XLOOKUP($Q98,'Threshold Summary'!$Y:$Y,'Threshold Summary'!$L:$L,""))/100)+5)*XLOOKUP(XLOOKUP($Q98,'Threshold Summary'!$Y:$Y,'Threshold Summary'!$M:$M,""),'Nature Editor'!$A:$A,'Nature Editor'!$B:$B,1)),FLOOR((FLOOR(((2*XLOOKUP(XLOOKUP($Q98,'Threshold Summary'!$Y:$Y,'Threshold Summary'!$K:$K,""),'Pokemon Editor'!$A:$A,'Pokemon Editor'!$H:$H,0)+31+FLOOR(XLOOKUP($Q98,'Threshold Summary'!$Y:$Y,'Threshold Summary'!$R:$R,"")/4))*XLOOKUP($Q98,'Threshold Summary'!$Y:$Y,'Threshold Summary'!$L:$L,""))/100)+5)*XLOOKUP(XLOOKUP($Q98,'Threshold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Editor'!$E:$E,1))),stab,IF(OR(mtype=XLOOKUP(XLOOKUP($Q98,'Threshold Summary'!$Y:$Y,'Threshold Summary'!$K:$K,""),'Pokemon Editor'!$A:$A,'Pokemon Editor'!$C:$C,""),mtype=XLOOKUP(XLOOKUP($Q98,'Threshold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Chart'!$B$1:$S$1,0)))),base,IF(OR(cat="Status",pow=0),0,FLOOR(FLOOR(FLOOR((2*XLOOKUP($Q98,'Threshold Summary'!$Y:$Y,'Threshold Summary'!$L:$L,"")/5+2)*pow*atk/def)/50)+2)),modifier,stab*eff,AVERAGE(ARRAYFORMULA(FLOOR(base*modifier*SEQUENCE(16,1,85,1)/100)))*MIN(1,acc/100)),0)</f>
        <v/>
      </c>
      <c r="N98" s="4">
        <f>IFERROR(LET(mtype,XLOOKUP($D98,'Move Editor'!$B:$B,'Move Editor'!$C:$C,""),cat,XLOOKUP($D98,'Move Editor'!$B:$B,'Move Editor'!$D:$D,""),pow,XLOOKUP($D98,'Move Editor'!$B:$B,'Move Editor'!$E:$E,0),acc,XLOOKUP($D98,'Move Editor'!$B:$B,'Move Editor'!$F:$F,100),atk,IF(cat="Physical",FLOOR((FLOOR(((2*XLOOKUP(XLOOKUP($Q98,'Threshold Summary'!$Y:$Y,'Threshold Summary'!$K:$K,""),'Pokemon Editor'!$A:$A,'Pokemon Editor'!$F:$F,0)+31+FLOOR(XLOOKUP($Q98,'Threshold Summary'!$Y:$Y,'Threshold Summary'!$P:$P,"")/4))*XLOOKUP($Q98,'Threshold Summary'!$Y:$Y,'Threshold Summary'!$L:$L,""))/100)+5)*XLOOKUP(XLOOKUP($Q98,'Threshold Summary'!$Y:$Y,'Threshold Summary'!$M:$M,""),'Nature Editor'!$A:$A,'Nature Editor'!$B:$B,1)),FLOOR((FLOOR(((2*XLOOKUP(XLOOKUP($Q98,'Threshold Summary'!$Y:$Y,'Threshold Summary'!$K:$K,""),'Pokemon Editor'!$A:$A,'Pokemon Editor'!$H:$H,0)+31+FLOOR(XLOOKUP($Q98,'Threshold Summary'!$Y:$Y,'Threshold Summary'!$R:$R,"")/4))*XLOOKUP($Q98,'Threshold Summary'!$Y:$Y,'Threshold Summary'!$L:$L,""))/100)+5)*XLOOKUP(XLOOKUP($Q98,'Threshold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Editor'!$E:$E,1))),stab,IF(OR(mtype=XLOOKUP(XLOOKUP($Q98,'Threshold Summary'!$Y:$Y,'Threshold Summary'!$K:$K,""),'Pokemon Editor'!$A:$A,'Pokemon Editor'!$C:$C,""),mtype=XLOOKUP(XLOOKUP($Q98,'Threshold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Chart'!$B$1:$S$1,0)))),base,IF(OR(cat="Status",pow=0),0,FLOOR(FLOOR(FLOOR((2*XLOOKUP($Q98,'Threshold Summary'!$Y:$Y,'Threshold Summary'!$L:$L,"")/5+2)*pow*atk/def)/50)+2)),modifier,stab*eff,AVERAGE(ARRAYFORMULA(FLOOR(base*modifier*SEQUENCE(16,1,85,1)/100)))/(FLOOR(((2*XLOOKUP('Boss Editor'!$C$4,'Pokemon Editor'!$A:$A,'Pokemon Editor'!$E:$E,0)+31+FLOOR('Boss Editor'!$G$4/4))*'Boss Editor'!$D$4)/100)+'Boss Editor'!$D$4+10)),0)</f>
        <v/>
      </c>
      <c r="O98" s="3">
        <f>IF(N98&gt;=1,"OHKO",IF(N98&gt;=0.5,"2HKO",IF(N98&gt;=0.333,"3HKO",IF(N98&gt;=0.25,"4HKO","5HKO+"))))</f>
        <v/>
      </c>
      <c r="P98" s="3" t="inlineStr">
        <is>
          <t>Live from editable databases</t>
        </is>
      </c>
      <c r="Q98" s="3" t="inlineStr">
        <is>
          <t>SPECIES_TREECKO</t>
        </is>
      </c>
      <c r="R98" s="3" t="n">
        <v>1</v>
      </c>
    </row>
    <row r="99">
      <c r="A99" s="3">
        <f>XLOOKUP($Q99,'Threshold Summary'!$Y:$Y,'Threshold Summary'!$A:$A,"")</f>
        <v/>
      </c>
      <c r="B99" s="3">
        <f>XLOOKUP($Q99,'Threshold Summary'!$Y:$Y,'Threshold Summary'!$M:$M,"")</f>
        <v/>
      </c>
      <c r="C99" s="3">
        <f>XLOOKUP($Q99,'Threshold Summary'!$Y:$Y,'Threshold Summary'!$N:$N,"")</f>
        <v/>
      </c>
      <c r="D99" s="3">
        <f>IFERROR(INDEX(FILTER('Learnset Editor'!$D$2:$D,'Learnset Editor'!$A$2:$A=XLOOKUP($Q99,'Threshold Summary'!$Y:$Y,'Threshold Summary'!$K:$K,""),'Learnset Editor'!$C$2:$C&lt;=XLOOKUP($Q99,'Threshold Summary'!$Y:$Y,'Threshold Summary'!$L:$L,"")),$R99),"")</f>
        <v/>
      </c>
      <c r="E99" s="3">
        <f>XLOOKUP(D99,'Move Editor'!$B:$B,'Move Editor'!$C:$C,"")</f>
        <v/>
      </c>
      <c r="F99" s="3">
        <f>XLOOKUP(D99,'Move Editor'!$B:$B,'Move Editor'!$D:$D,"")</f>
        <v/>
      </c>
      <c r="G99" s="3">
        <f>XLOOKUP(D99,'Move Editor'!$B:$B,'Move Editor'!$E:$E,0)</f>
        <v/>
      </c>
      <c r="H99" s="3">
        <f>XLOOKUP(D99,'Move Editor'!$B:$B,'Move Editor'!$F:$F,0)</f>
        <v/>
      </c>
      <c r="I99" s="3">
        <f>(INDEX('Type Chart'!$B:$S,MATCH(E99,'Type Chart'!$A:$A,0),MATCH(XLOOKUP('Boss Editor'!$C$4,'Pokemon Editor'!$A:$A,'Pokemon Editor'!$C:$C,""),'Type Chart'!$B$1:$S$1,0))*IF(XLOOKUP('Boss Editor'!$C$4,'Pokemon Editor'!$A:$A,'Pokemon Editor'!$D:$D,"")="",1,INDEX('Type Chart'!$B:$S,MATCH(E99,'Type Chart'!$A:$A,0),MATCH(XLOOKUP('Boss Editor'!$C$4,'Pokemon Editor'!$A:$A,'Pokemon Editor'!$D:$D,""),'Type Chart'!$B$1:$S$1,0))))</f>
        <v/>
      </c>
      <c r="J99" s="3">
        <f>IFERROR(LET(mtype,XLOOKUP($D99,'Move Editor'!$B:$B,'Move Editor'!$C:$C,""),cat,XLOOKUP($D99,'Move Editor'!$B:$B,'Move Editor'!$D:$D,""),pow,XLOOKUP($D99,'Move Editor'!$B:$B,'Move Editor'!$E:$E,0),acc,XLOOKUP($D99,'Move Editor'!$B:$B,'Move Editor'!$F:$F,100),atk,IF(cat="Physical",FLOOR((FLOOR(((2*XLOOKUP(XLOOKUP($Q99,'Threshold Summary'!$Y:$Y,'Threshold Summary'!$K:$K,""),'Pokemon Editor'!$A:$A,'Pokemon Editor'!$F:$F,0)+31+FLOOR(XLOOKUP($Q99,'Threshold Summary'!$Y:$Y,'Threshold Summary'!$P:$P,"")/4))*XLOOKUP($Q99,'Threshold Summary'!$Y:$Y,'Threshold Summary'!$L:$L,""))/100)+5)*XLOOKUP(XLOOKUP($Q99,'Threshold Summary'!$Y:$Y,'Threshold Summary'!$M:$M,""),'Nature Editor'!$A:$A,'Nature Editor'!$B:$B,1)),FLOOR((FLOOR(((2*XLOOKUP(XLOOKUP($Q99,'Threshold Summary'!$Y:$Y,'Threshold Summary'!$K:$K,""),'Pokemon Editor'!$A:$A,'Pokemon Editor'!$H:$H,0)+31+FLOOR(XLOOKUP($Q99,'Threshold Summary'!$Y:$Y,'Threshold Summary'!$R:$R,"")/4))*XLOOKUP($Q99,'Threshold Summary'!$Y:$Y,'Threshold Summary'!$L:$L,""))/100)+5)*XLOOKUP(XLOOKUP($Q99,'Threshold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Editor'!$E:$E,1))),stab,IF(OR(mtype=XLOOKUP(XLOOKUP($Q99,'Threshold Summary'!$Y:$Y,'Threshold Summary'!$K:$K,""),'Pokemon Editor'!$A:$A,'Pokemon Editor'!$C:$C,""),mtype=XLOOKUP(XLOOKUP($Q99,'Threshold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Chart'!$B$1:$S$1,0)))),base,IF(OR(cat="Status",pow=0),0,FLOOR(FLOOR(FLOOR((2*XLOOKUP($Q99,'Threshold Summary'!$Y:$Y,'Threshold Summary'!$L:$L,"")/5+2)*pow*atk/def)/50)+2)),modifier,stab*eff,FLOOR(base*modifier*0.85)),0)</f>
        <v/>
      </c>
      <c r="K99" s="3">
        <f>IFERROR(LET(mtype,XLOOKUP($D99,'Move Editor'!$B:$B,'Move Editor'!$C:$C,""),cat,XLOOKUP($D99,'Move Editor'!$B:$B,'Move Editor'!$D:$D,""),pow,XLOOKUP($D99,'Move Editor'!$B:$B,'Move Editor'!$E:$E,0),acc,XLOOKUP($D99,'Move Editor'!$B:$B,'Move Editor'!$F:$F,100),atk,IF(cat="Physical",FLOOR((FLOOR(((2*XLOOKUP(XLOOKUP($Q99,'Threshold Summary'!$Y:$Y,'Threshold Summary'!$K:$K,""),'Pokemon Editor'!$A:$A,'Pokemon Editor'!$F:$F,0)+31+FLOOR(XLOOKUP($Q99,'Threshold Summary'!$Y:$Y,'Threshold Summary'!$P:$P,"")/4))*XLOOKUP($Q99,'Threshold Summary'!$Y:$Y,'Threshold Summary'!$L:$L,""))/100)+5)*XLOOKUP(XLOOKUP($Q99,'Threshold Summary'!$Y:$Y,'Threshold Summary'!$M:$M,""),'Nature Editor'!$A:$A,'Nature Editor'!$B:$B,1)),FLOOR((FLOOR(((2*XLOOKUP(XLOOKUP($Q99,'Threshold Summary'!$Y:$Y,'Threshold Summary'!$K:$K,""),'Pokemon Editor'!$A:$A,'Pokemon Editor'!$H:$H,0)+31+FLOOR(XLOOKUP($Q99,'Threshold Summary'!$Y:$Y,'Threshold Summary'!$R:$R,"")/4))*XLOOKUP($Q99,'Threshold Summary'!$Y:$Y,'Threshold Summary'!$L:$L,""))/100)+5)*XLOOKUP(XLOOKUP($Q99,'Threshold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Editor'!$E:$E,1))),stab,IF(OR(mtype=XLOOKUP(XLOOKUP($Q99,'Threshold Summary'!$Y:$Y,'Threshold Summary'!$K:$K,""),'Pokemon Editor'!$A:$A,'Pokemon Editor'!$C:$C,""),mtype=XLOOKUP(XLOOKUP($Q99,'Threshold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Chart'!$B$1:$S$1,0)))),base,IF(OR(cat="Status",pow=0),0,FLOOR(FLOOR(FLOOR((2*XLOOKUP($Q99,'Threshold Summary'!$Y:$Y,'Threshold Summary'!$L:$L,"")/5+2)*pow*atk/def)/50)+2)),modifier,stab*eff,FLOOR(base*modifier)),0)</f>
        <v/>
      </c>
      <c r="L99" s="3">
        <f>IFERROR(LET(mtype,XLOOKUP($D99,'Move Editor'!$B:$B,'Move Editor'!$C:$C,""),cat,XLOOKUP($D99,'Move Editor'!$B:$B,'Move Editor'!$D:$D,""),pow,XLOOKUP($D99,'Move Editor'!$B:$B,'Move Editor'!$E:$E,0),acc,XLOOKUP($D99,'Move Editor'!$B:$B,'Move Editor'!$F:$F,100),atk,IF(cat="Physical",FLOOR((FLOOR(((2*XLOOKUP(XLOOKUP($Q99,'Threshold Summary'!$Y:$Y,'Threshold Summary'!$K:$K,""),'Pokemon Editor'!$A:$A,'Pokemon Editor'!$F:$F,0)+31+FLOOR(XLOOKUP($Q99,'Threshold Summary'!$Y:$Y,'Threshold Summary'!$P:$P,"")/4))*XLOOKUP($Q99,'Threshold Summary'!$Y:$Y,'Threshold Summary'!$L:$L,""))/100)+5)*XLOOKUP(XLOOKUP($Q99,'Threshold Summary'!$Y:$Y,'Threshold Summary'!$M:$M,""),'Nature Editor'!$A:$A,'Nature Editor'!$B:$B,1)),FLOOR((FLOOR(((2*XLOOKUP(XLOOKUP($Q99,'Threshold Summary'!$Y:$Y,'Threshold Summary'!$K:$K,""),'Pokemon Editor'!$A:$A,'Pokemon Editor'!$H:$H,0)+31+FLOOR(XLOOKUP($Q99,'Threshold Summary'!$Y:$Y,'Threshold Summary'!$R:$R,"")/4))*XLOOKUP($Q99,'Threshold Summary'!$Y:$Y,'Threshold Summary'!$L:$L,""))/100)+5)*XLOOKUP(XLOOKUP($Q99,'Threshold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Editor'!$E:$E,1))),stab,IF(OR(mtype=XLOOKUP(XLOOKUP($Q99,'Threshold Summary'!$Y:$Y,'Threshold Summary'!$K:$K,""),'Pokemon Editor'!$A:$A,'Pokemon Editor'!$C:$C,""),mtype=XLOOKUP(XLOOKUP($Q99,'Threshold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Chart'!$B$1:$S$1,0)))),base,IF(OR(cat="Status",pow=0),0,FLOOR(FLOOR(FLOOR((2*XLOOKUP($Q99,'Threshold Summary'!$Y:$Y,'Threshold Summary'!$L:$L,"")/5+2)*pow*atk/def)/50)+2)),modifier,stab*eff,AVERAGE(ARRAYFORMULA(FLOOR(base*modifier*SEQUENCE(16,1,85,1)/100)))),0)</f>
        <v/>
      </c>
      <c r="M99" s="3">
        <f>IFERROR(LET(mtype,XLOOKUP($D99,'Move Editor'!$B:$B,'Move Editor'!$C:$C,""),cat,XLOOKUP($D99,'Move Editor'!$B:$B,'Move Editor'!$D:$D,""),pow,XLOOKUP($D99,'Move Editor'!$B:$B,'Move Editor'!$E:$E,0),acc,XLOOKUP($D99,'Move Editor'!$B:$B,'Move Editor'!$F:$F,100),atk,IF(cat="Physical",FLOOR((FLOOR(((2*XLOOKUP(XLOOKUP($Q99,'Threshold Summary'!$Y:$Y,'Threshold Summary'!$K:$K,""),'Pokemon Editor'!$A:$A,'Pokemon Editor'!$F:$F,0)+31+FLOOR(XLOOKUP($Q99,'Threshold Summary'!$Y:$Y,'Threshold Summary'!$P:$P,"")/4))*XLOOKUP($Q99,'Threshold Summary'!$Y:$Y,'Threshold Summary'!$L:$L,""))/100)+5)*XLOOKUP(XLOOKUP($Q99,'Threshold Summary'!$Y:$Y,'Threshold Summary'!$M:$M,""),'Nature Editor'!$A:$A,'Nature Editor'!$B:$B,1)),FLOOR((FLOOR(((2*XLOOKUP(XLOOKUP($Q99,'Threshold Summary'!$Y:$Y,'Threshold Summary'!$K:$K,""),'Pokemon Editor'!$A:$A,'Pokemon Editor'!$H:$H,0)+31+FLOOR(XLOOKUP($Q99,'Threshold Summary'!$Y:$Y,'Threshold Summary'!$R:$R,"")/4))*XLOOKUP($Q99,'Threshold Summary'!$Y:$Y,'Threshold Summary'!$L:$L,""))/100)+5)*XLOOKUP(XLOOKUP($Q99,'Threshold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Editor'!$E:$E,1))),stab,IF(OR(mtype=XLOOKUP(XLOOKUP($Q99,'Threshold Summary'!$Y:$Y,'Threshold Summary'!$K:$K,""),'Pokemon Editor'!$A:$A,'Pokemon Editor'!$C:$C,""),mtype=XLOOKUP(XLOOKUP($Q99,'Threshold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Chart'!$B$1:$S$1,0)))),base,IF(OR(cat="Status",pow=0),0,FLOOR(FLOOR(FLOOR((2*XLOOKUP($Q99,'Threshold Summary'!$Y:$Y,'Threshold Summary'!$L:$L,"")/5+2)*pow*atk/def)/50)+2)),modifier,stab*eff,AVERAGE(ARRAYFORMULA(FLOOR(base*modifier*SEQUENCE(16,1,85,1)/100)))*MIN(1,acc/100)),0)</f>
        <v/>
      </c>
      <c r="N99" s="4">
        <f>IFERROR(LET(mtype,XLOOKUP($D99,'Move Editor'!$B:$B,'Move Editor'!$C:$C,""),cat,XLOOKUP($D99,'Move Editor'!$B:$B,'Move Editor'!$D:$D,""),pow,XLOOKUP($D99,'Move Editor'!$B:$B,'Move Editor'!$E:$E,0),acc,XLOOKUP($D99,'Move Editor'!$B:$B,'Move Editor'!$F:$F,100),atk,IF(cat="Physical",FLOOR((FLOOR(((2*XLOOKUP(XLOOKUP($Q99,'Threshold Summary'!$Y:$Y,'Threshold Summary'!$K:$K,""),'Pokemon Editor'!$A:$A,'Pokemon Editor'!$F:$F,0)+31+FLOOR(XLOOKUP($Q99,'Threshold Summary'!$Y:$Y,'Threshold Summary'!$P:$P,"")/4))*XLOOKUP($Q99,'Threshold Summary'!$Y:$Y,'Threshold Summary'!$L:$L,""))/100)+5)*XLOOKUP(XLOOKUP($Q99,'Threshold Summary'!$Y:$Y,'Threshold Summary'!$M:$M,""),'Nature Editor'!$A:$A,'Nature Editor'!$B:$B,1)),FLOOR((FLOOR(((2*XLOOKUP(XLOOKUP($Q99,'Threshold Summary'!$Y:$Y,'Threshold Summary'!$K:$K,""),'Pokemon Editor'!$A:$A,'Pokemon Editor'!$H:$H,0)+31+FLOOR(XLOOKUP($Q99,'Threshold Summary'!$Y:$Y,'Threshold Summary'!$R:$R,"")/4))*XLOOKUP($Q99,'Threshold Summary'!$Y:$Y,'Threshold Summary'!$L:$L,""))/100)+5)*XLOOKUP(XLOOKUP($Q99,'Threshold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Editor'!$E:$E,1))),stab,IF(OR(mtype=XLOOKUP(XLOOKUP($Q99,'Threshold Summary'!$Y:$Y,'Threshold Summary'!$K:$K,""),'Pokemon Editor'!$A:$A,'Pokemon Editor'!$C:$C,""),mtype=XLOOKUP(XLOOKUP($Q99,'Threshold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Chart'!$B$1:$S$1,0)))),base,IF(OR(cat="Status",pow=0),0,FLOOR(FLOOR(FLOOR((2*XLOOKUP($Q99,'Threshold Summary'!$Y:$Y,'Threshold Summary'!$L:$L,"")/5+2)*pow*atk/def)/50)+2)),modifier,stab*eff,AVERAGE(ARRAYFORMULA(FLOOR(base*modifier*SEQUENCE(16,1,85,1)/100)))/(FLOOR(((2*XLOOKUP('Boss Editor'!$C$4,'Pokemon Editor'!$A:$A,'Pokemon Editor'!$E:$E,0)+31+FLOOR('Boss Editor'!$G$4/4))*'Boss Editor'!$D$4)/100)+'Boss Editor'!$D$4+10)),0)</f>
        <v/>
      </c>
      <c r="O99" s="3">
        <f>IF(N99&gt;=1,"OHKO",IF(N99&gt;=0.5,"2HKO",IF(N99&gt;=0.333,"3HKO",IF(N99&gt;=0.25,"4HKO","5HKO+"))))</f>
        <v/>
      </c>
      <c r="P99" s="3" t="inlineStr">
        <is>
          <t>Live from editable databases</t>
        </is>
      </c>
      <c r="Q99" s="3" t="inlineStr">
        <is>
          <t>SPECIES_TREECKO</t>
        </is>
      </c>
      <c r="R99" s="3" t="n">
        <v>2</v>
      </c>
    </row>
    <row r="100">
      <c r="A100" s="3">
        <f>XLOOKUP($Q100,'Threshold Summary'!$Y:$Y,'Threshold Summary'!$A:$A,"")</f>
        <v/>
      </c>
      <c r="B100" s="3">
        <f>XLOOKUP($Q100,'Threshold Summary'!$Y:$Y,'Threshold Summary'!$M:$M,"")</f>
        <v/>
      </c>
      <c r="C100" s="3">
        <f>XLOOKUP($Q100,'Threshold Summary'!$Y:$Y,'Threshold Summary'!$N:$N,"")</f>
        <v/>
      </c>
      <c r="D100" s="3">
        <f>IFERROR(INDEX(FILTER('Learnset Editor'!$D$2:$D,'Learnset Editor'!$A$2:$A=XLOOKUP($Q100,'Threshold Summary'!$Y:$Y,'Threshold Summary'!$K:$K,""),'Learnset Editor'!$C$2:$C&lt;=XLOOKUP($Q100,'Threshold Summary'!$Y:$Y,'Threshold Summary'!$L:$L,"")),$R100),"")</f>
        <v/>
      </c>
      <c r="E100" s="3">
        <f>XLOOKUP(D100,'Move Editor'!$B:$B,'Move Editor'!$C:$C,"")</f>
        <v/>
      </c>
      <c r="F100" s="3">
        <f>XLOOKUP(D100,'Move Editor'!$B:$B,'Move Editor'!$D:$D,"")</f>
        <v/>
      </c>
      <c r="G100" s="3">
        <f>XLOOKUP(D100,'Move Editor'!$B:$B,'Move Editor'!$E:$E,0)</f>
        <v/>
      </c>
      <c r="H100" s="3">
        <f>XLOOKUP(D100,'Move Editor'!$B:$B,'Move Editor'!$F:$F,0)</f>
        <v/>
      </c>
      <c r="I100" s="3">
        <f>(INDEX('Type Chart'!$B:$S,MATCH(E100,'Type Chart'!$A:$A,0),MATCH(XLOOKUP('Boss Editor'!$C$4,'Pokemon Editor'!$A:$A,'Pokemon Editor'!$C:$C,""),'Type Chart'!$B$1:$S$1,0))*IF(XLOOKUP('Boss Editor'!$C$4,'Pokemon Editor'!$A:$A,'Pokemon Editor'!$D:$D,"")="",1,INDEX('Type Chart'!$B:$S,MATCH(E100,'Type Chart'!$A:$A,0),MATCH(XLOOKUP('Boss Editor'!$C$4,'Pokemon Editor'!$A:$A,'Pokemon Editor'!$D:$D,""),'Type Chart'!$B$1:$S$1,0))))</f>
        <v/>
      </c>
      <c r="J100" s="3">
        <f>IFERROR(LET(mtype,XLOOKUP($D100,'Move Editor'!$B:$B,'Move Editor'!$C:$C,""),cat,XLOOKUP($D100,'Move Editor'!$B:$B,'Move Editor'!$D:$D,""),pow,XLOOKUP($D100,'Move Editor'!$B:$B,'Move Editor'!$E:$E,0),acc,XLOOKUP($D100,'Move Editor'!$B:$B,'Move Editor'!$F:$F,100),atk,IF(cat="Physical",FLOOR((FLOOR(((2*XLOOKUP(XLOOKUP($Q100,'Threshold Summary'!$Y:$Y,'Threshold Summary'!$K:$K,""),'Pokemon Editor'!$A:$A,'Pokemon Editor'!$F:$F,0)+31+FLOOR(XLOOKUP($Q100,'Threshold Summary'!$Y:$Y,'Threshold Summary'!$P:$P,"")/4))*XLOOKUP($Q100,'Threshold Summary'!$Y:$Y,'Threshold Summary'!$L:$L,""))/100)+5)*XLOOKUP(XLOOKUP($Q100,'Threshold Summary'!$Y:$Y,'Threshold Summary'!$M:$M,""),'Nature Editor'!$A:$A,'Nature Editor'!$B:$B,1)),FLOOR((FLOOR(((2*XLOOKUP(XLOOKUP($Q100,'Threshold Summary'!$Y:$Y,'Threshold Summary'!$K:$K,""),'Pokemon Editor'!$A:$A,'Pokemon Editor'!$H:$H,0)+31+FLOOR(XLOOKUP($Q100,'Threshold Summary'!$Y:$Y,'Threshold Summary'!$R:$R,"")/4))*XLOOKUP($Q100,'Threshold Summary'!$Y:$Y,'Threshold Summary'!$L:$L,""))/100)+5)*XLOOKUP(XLOOKUP($Q100,'Threshold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Editor'!$E:$E,1))),stab,IF(OR(mtype=XLOOKUP(XLOOKUP($Q100,'Threshold Summary'!$Y:$Y,'Threshold Summary'!$K:$K,""),'Pokemon Editor'!$A:$A,'Pokemon Editor'!$C:$C,""),mtype=XLOOKUP(XLOOKUP($Q100,'Threshold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Chart'!$B$1:$S$1,0)))),base,IF(OR(cat="Status",pow=0),0,FLOOR(FLOOR(FLOOR((2*XLOOKUP($Q100,'Threshold Summary'!$Y:$Y,'Threshold Summary'!$L:$L,"")/5+2)*pow*atk/def)/50)+2)),modifier,stab*eff,FLOOR(base*modifier*0.85)),0)</f>
        <v/>
      </c>
      <c r="K100" s="3">
        <f>IFERROR(LET(mtype,XLOOKUP($D100,'Move Editor'!$B:$B,'Move Editor'!$C:$C,""),cat,XLOOKUP($D100,'Move Editor'!$B:$B,'Move Editor'!$D:$D,""),pow,XLOOKUP($D100,'Move Editor'!$B:$B,'Move Editor'!$E:$E,0),acc,XLOOKUP($D100,'Move Editor'!$B:$B,'Move Editor'!$F:$F,100),atk,IF(cat="Physical",FLOOR((FLOOR(((2*XLOOKUP(XLOOKUP($Q100,'Threshold Summary'!$Y:$Y,'Threshold Summary'!$K:$K,""),'Pokemon Editor'!$A:$A,'Pokemon Editor'!$F:$F,0)+31+FLOOR(XLOOKUP($Q100,'Threshold Summary'!$Y:$Y,'Threshold Summary'!$P:$P,"")/4))*XLOOKUP($Q100,'Threshold Summary'!$Y:$Y,'Threshold Summary'!$L:$L,""))/100)+5)*XLOOKUP(XLOOKUP($Q100,'Threshold Summary'!$Y:$Y,'Threshold Summary'!$M:$M,""),'Nature Editor'!$A:$A,'Nature Editor'!$B:$B,1)),FLOOR((FLOOR(((2*XLOOKUP(XLOOKUP($Q100,'Threshold Summary'!$Y:$Y,'Threshold Summary'!$K:$K,""),'Pokemon Editor'!$A:$A,'Pokemon Editor'!$H:$H,0)+31+FLOOR(XLOOKUP($Q100,'Threshold Summary'!$Y:$Y,'Threshold Summary'!$R:$R,"")/4))*XLOOKUP($Q100,'Threshold Summary'!$Y:$Y,'Threshold Summary'!$L:$L,""))/100)+5)*XLOOKUP(XLOOKUP($Q100,'Threshold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Editor'!$E:$E,1))),stab,IF(OR(mtype=XLOOKUP(XLOOKUP($Q100,'Threshold Summary'!$Y:$Y,'Threshold Summary'!$K:$K,""),'Pokemon Editor'!$A:$A,'Pokemon Editor'!$C:$C,""),mtype=XLOOKUP(XLOOKUP($Q100,'Threshold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Chart'!$B$1:$S$1,0)))),base,IF(OR(cat="Status",pow=0),0,FLOOR(FLOOR(FLOOR((2*XLOOKUP($Q100,'Threshold Summary'!$Y:$Y,'Threshold Summary'!$L:$L,"")/5+2)*pow*atk/def)/50)+2)),modifier,stab*eff,FLOOR(base*modifier)),0)</f>
        <v/>
      </c>
      <c r="L100" s="3">
        <f>IFERROR(LET(mtype,XLOOKUP($D100,'Move Editor'!$B:$B,'Move Editor'!$C:$C,""),cat,XLOOKUP($D100,'Move Editor'!$B:$B,'Move Editor'!$D:$D,""),pow,XLOOKUP($D100,'Move Editor'!$B:$B,'Move Editor'!$E:$E,0),acc,XLOOKUP($D100,'Move Editor'!$B:$B,'Move Editor'!$F:$F,100),atk,IF(cat="Physical",FLOOR((FLOOR(((2*XLOOKUP(XLOOKUP($Q100,'Threshold Summary'!$Y:$Y,'Threshold Summary'!$K:$K,""),'Pokemon Editor'!$A:$A,'Pokemon Editor'!$F:$F,0)+31+FLOOR(XLOOKUP($Q100,'Threshold Summary'!$Y:$Y,'Threshold Summary'!$P:$P,"")/4))*XLOOKUP($Q100,'Threshold Summary'!$Y:$Y,'Threshold Summary'!$L:$L,""))/100)+5)*XLOOKUP(XLOOKUP($Q100,'Threshold Summary'!$Y:$Y,'Threshold Summary'!$M:$M,""),'Nature Editor'!$A:$A,'Nature Editor'!$B:$B,1)),FLOOR((FLOOR(((2*XLOOKUP(XLOOKUP($Q100,'Threshold Summary'!$Y:$Y,'Threshold Summary'!$K:$K,""),'Pokemon Editor'!$A:$A,'Pokemon Editor'!$H:$H,0)+31+FLOOR(XLOOKUP($Q100,'Threshold Summary'!$Y:$Y,'Threshold Summary'!$R:$R,"")/4))*XLOOKUP($Q100,'Threshold Summary'!$Y:$Y,'Threshold Summary'!$L:$L,""))/100)+5)*XLOOKUP(XLOOKUP($Q100,'Threshold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Editor'!$E:$E,1))),stab,IF(OR(mtype=XLOOKUP(XLOOKUP($Q100,'Threshold Summary'!$Y:$Y,'Threshold Summary'!$K:$K,""),'Pokemon Editor'!$A:$A,'Pokemon Editor'!$C:$C,""),mtype=XLOOKUP(XLOOKUP($Q100,'Threshold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Chart'!$B$1:$S$1,0)))),base,IF(OR(cat="Status",pow=0),0,FLOOR(FLOOR(FLOOR((2*XLOOKUP($Q100,'Threshold Summary'!$Y:$Y,'Threshold Summary'!$L:$L,"")/5+2)*pow*atk/def)/50)+2)),modifier,stab*eff,AVERAGE(ARRAYFORMULA(FLOOR(base*modifier*SEQUENCE(16,1,85,1)/100)))),0)</f>
        <v/>
      </c>
      <c r="M100" s="3">
        <f>IFERROR(LET(mtype,XLOOKUP($D100,'Move Editor'!$B:$B,'Move Editor'!$C:$C,""),cat,XLOOKUP($D100,'Move Editor'!$B:$B,'Move Editor'!$D:$D,""),pow,XLOOKUP($D100,'Move Editor'!$B:$B,'Move Editor'!$E:$E,0),acc,XLOOKUP($D100,'Move Editor'!$B:$B,'Move Editor'!$F:$F,100),atk,IF(cat="Physical",FLOOR((FLOOR(((2*XLOOKUP(XLOOKUP($Q100,'Threshold Summary'!$Y:$Y,'Threshold Summary'!$K:$K,""),'Pokemon Editor'!$A:$A,'Pokemon Editor'!$F:$F,0)+31+FLOOR(XLOOKUP($Q100,'Threshold Summary'!$Y:$Y,'Threshold Summary'!$P:$P,"")/4))*XLOOKUP($Q100,'Threshold Summary'!$Y:$Y,'Threshold Summary'!$L:$L,""))/100)+5)*XLOOKUP(XLOOKUP($Q100,'Threshold Summary'!$Y:$Y,'Threshold Summary'!$M:$M,""),'Nature Editor'!$A:$A,'Nature Editor'!$B:$B,1)),FLOOR((FLOOR(((2*XLOOKUP(XLOOKUP($Q100,'Threshold Summary'!$Y:$Y,'Threshold Summary'!$K:$K,""),'Pokemon Editor'!$A:$A,'Pokemon Editor'!$H:$H,0)+31+FLOOR(XLOOKUP($Q100,'Threshold Summary'!$Y:$Y,'Threshold Summary'!$R:$R,"")/4))*XLOOKUP($Q100,'Threshold Summary'!$Y:$Y,'Threshold Summary'!$L:$L,""))/100)+5)*XLOOKUP(XLOOKUP($Q100,'Threshold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Editor'!$E:$E,1))),stab,IF(OR(mtype=XLOOKUP(XLOOKUP($Q100,'Threshold Summary'!$Y:$Y,'Threshold Summary'!$K:$K,""),'Pokemon Editor'!$A:$A,'Pokemon Editor'!$C:$C,""),mtype=XLOOKUP(XLOOKUP($Q100,'Threshold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Chart'!$B$1:$S$1,0)))),base,IF(OR(cat="Status",pow=0),0,FLOOR(FLOOR(FLOOR((2*XLOOKUP($Q100,'Threshold Summary'!$Y:$Y,'Threshold Summary'!$L:$L,"")/5+2)*pow*atk/def)/50)+2)),modifier,stab*eff,AVERAGE(ARRAYFORMULA(FLOOR(base*modifier*SEQUENCE(16,1,85,1)/100)))*MIN(1,acc/100)),0)</f>
        <v/>
      </c>
      <c r="N100" s="4">
        <f>IFERROR(LET(mtype,XLOOKUP($D100,'Move Editor'!$B:$B,'Move Editor'!$C:$C,""),cat,XLOOKUP($D100,'Move Editor'!$B:$B,'Move Editor'!$D:$D,""),pow,XLOOKUP($D100,'Move Editor'!$B:$B,'Move Editor'!$E:$E,0),acc,XLOOKUP($D100,'Move Editor'!$B:$B,'Move Editor'!$F:$F,100),atk,IF(cat="Physical",FLOOR((FLOOR(((2*XLOOKUP(XLOOKUP($Q100,'Threshold Summary'!$Y:$Y,'Threshold Summary'!$K:$K,""),'Pokemon Editor'!$A:$A,'Pokemon Editor'!$F:$F,0)+31+FLOOR(XLOOKUP($Q100,'Threshold Summary'!$Y:$Y,'Threshold Summary'!$P:$P,"")/4))*XLOOKUP($Q100,'Threshold Summary'!$Y:$Y,'Threshold Summary'!$L:$L,""))/100)+5)*XLOOKUP(XLOOKUP($Q100,'Threshold Summary'!$Y:$Y,'Threshold Summary'!$M:$M,""),'Nature Editor'!$A:$A,'Nature Editor'!$B:$B,1)),FLOOR((FLOOR(((2*XLOOKUP(XLOOKUP($Q100,'Threshold Summary'!$Y:$Y,'Threshold Summary'!$K:$K,""),'Pokemon Editor'!$A:$A,'Pokemon Editor'!$H:$H,0)+31+FLOOR(XLOOKUP($Q100,'Threshold Summary'!$Y:$Y,'Threshold Summary'!$R:$R,"")/4))*XLOOKUP($Q100,'Threshold Summary'!$Y:$Y,'Threshold Summary'!$L:$L,""))/100)+5)*XLOOKUP(XLOOKUP($Q100,'Threshold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Editor'!$E:$E,1))),stab,IF(OR(mtype=XLOOKUP(XLOOKUP($Q100,'Threshold Summary'!$Y:$Y,'Threshold Summary'!$K:$K,""),'Pokemon Editor'!$A:$A,'Pokemon Editor'!$C:$C,""),mtype=XLOOKUP(XLOOKUP($Q100,'Threshold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Chart'!$B$1:$S$1,0)))),base,IF(OR(cat="Status",pow=0),0,FLOOR(FLOOR(FLOOR((2*XLOOKUP($Q100,'Threshold Summary'!$Y:$Y,'Threshold Summary'!$L:$L,"")/5+2)*pow*atk/def)/50)+2)),modifier,stab*eff,AVERAGE(ARRAYFORMULA(FLOOR(base*modifier*SEQUENCE(16,1,85,1)/100)))/(FLOOR(((2*XLOOKUP('Boss Editor'!$C$4,'Pokemon Editor'!$A:$A,'Pokemon Editor'!$E:$E,0)+31+FLOOR('Boss Editor'!$G$4/4))*'Boss Editor'!$D$4)/100)+'Boss Editor'!$D$4+10)),0)</f>
        <v/>
      </c>
      <c r="O100" s="3">
        <f>IF(N100&gt;=1,"OHKO",IF(N100&gt;=0.5,"2HKO",IF(N100&gt;=0.333,"3HKO",IF(N100&gt;=0.25,"4HKO","5HKO+"))))</f>
        <v/>
      </c>
      <c r="P100" s="3" t="inlineStr">
        <is>
          <t>Live from editable databases</t>
        </is>
      </c>
      <c r="Q100" s="3" t="inlineStr">
        <is>
          <t>SPECIES_TREECKO</t>
        </is>
      </c>
      <c r="R100" s="3" t="n">
        <v>3</v>
      </c>
    </row>
    <row r="101">
      <c r="A101" s="3">
        <f>XLOOKUP($Q101,'Threshold Summary'!$Y:$Y,'Threshold Summary'!$A:$A,"")</f>
        <v/>
      </c>
      <c r="B101" s="3">
        <f>XLOOKUP($Q101,'Threshold Summary'!$Y:$Y,'Threshold Summary'!$M:$M,"")</f>
        <v/>
      </c>
      <c r="C101" s="3">
        <f>XLOOKUP($Q101,'Threshold Summary'!$Y:$Y,'Threshold Summary'!$N:$N,"")</f>
        <v/>
      </c>
      <c r="D101" s="3">
        <f>IFERROR(INDEX(FILTER('Learnset Editor'!$D$2:$D,'Learnset Editor'!$A$2:$A=XLOOKUP($Q101,'Threshold Summary'!$Y:$Y,'Threshold Summary'!$K:$K,""),'Learnset Editor'!$C$2:$C&lt;=XLOOKUP($Q101,'Threshold Summary'!$Y:$Y,'Threshold Summary'!$L:$L,"")),$R101),"")</f>
        <v/>
      </c>
      <c r="E101" s="3">
        <f>XLOOKUP(D101,'Move Editor'!$B:$B,'Move Editor'!$C:$C,"")</f>
        <v/>
      </c>
      <c r="F101" s="3">
        <f>XLOOKUP(D101,'Move Editor'!$B:$B,'Move Editor'!$D:$D,"")</f>
        <v/>
      </c>
      <c r="G101" s="3">
        <f>XLOOKUP(D101,'Move Editor'!$B:$B,'Move Editor'!$E:$E,0)</f>
        <v/>
      </c>
      <c r="H101" s="3">
        <f>XLOOKUP(D101,'Move Editor'!$B:$B,'Move Editor'!$F:$F,0)</f>
        <v/>
      </c>
      <c r="I101" s="3">
        <f>(INDEX('Type Chart'!$B:$S,MATCH(E101,'Type Chart'!$A:$A,0),MATCH(XLOOKUP('Boss Editor'!$C$4,'Pokemon Editor'!$A:$A,'Pokemon Editor'!$C:$C,""),'Type Chart'!$B$1:$S$1,0))*IF(XLOOKUP('Boss Editor'!$C$4,'Pokemon Editor'!$A:$A,'Pokemon Editor'!$D:$D,"")="",1,INDEX('Type Chart'!$B:$S,MATCH(E101,'Type Chart'!$A:$A,0),MATCH(XLOOKUP('Boss Editor'!$C$4,'Pokemon Editor'!$A:$A,'Pokemon Editor'!$D:$D,""),'Type Chart'!$B$1:$S$1,0))))</f>
        <v/>
      </c>
      <c r="J101" s="3">
        <f>IFERROR(LET(mtype,XLOOKUP($D101,'Move Editor'!$B:$B,'Move Editor'!$C:$C,""),cat,XLOOKUP($D101,'Move Editor'!$B:$B,'Move Editor'!$D:$D,""),pow,XLOOKUP($D101,'Move Editor'!$B:$B,'Move Editor'!$E:$E,0),acc,XLOOKUP($D101,'Move Editor'!$B:$B,'Move Editor'!$F:$F,100),atk,IF(cat="Physical",FLOOR((FLOOR(((2*XLOOKUP(XLOOKUP($Q101,'Threshold Summary'!$Y:$Y,'Threshold Summary'!$K:$K,""),'Pokemon Editor'!$A:$A,'Pokemon Editor'!$F:$F,0)+31+FLOOR(XLOOKUP($Q101,'Threshold Summary'!$Y:$Y,'Threshold Summary'!$P:$P,"")/4))*XLOOKUP($Q101,'Threshold Summary'!$Y:$Y,'Threshold Summary'!$L:$L,""))/100)+5)*XLOOKUP(XLOOKUP($Q101,'Threshold Summary'!$Y:$Y,'Threshold Summary'!$M:$M,""),'Nature Editor'!$A:$A,'Nature Editor'!$B:$B,1)),FLOOR((FLOOR(((2*XLOOKUP(XLOOKUP($Q101,'Threshold Summary'!$Y:$Y,'Threshold Summary'!$K:$K,""),'Pokemon Editor'!$A:$A,'Pokemon Editor'!$H:$H,0)+31+FLOOR(XLOOKUP($Q101,'Threshold Summary'!$Y:$Y,'Threshold Summary'!$R:$R,"")/4))*XLOOKUP($Q101,'Threshold Summary'!$Y:$Y,'Threshold Summary'!$L:$L,""))/100)+5)*XLOOKUP(XLOOKUP($Q101,'Threshold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Editor'!$E:$E,1))),stab,IF(OR(mtype=XLOOKUP(XLOOKUP($Q101,'Threshold Summary'!$Y:$Y,'Threshold Summary'!$K:$K,""),'Pokemon Editor'!$A:$A,'Pokemon Editor'!$C:$C,""),mtype=XLOOKUP(XLOOKUP($Q101,'Threshold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Chart'!$B$1:$S$1,0)))),base,IF(OR(cat="Status",pow=0),0,FLOOR(FLOOR(FLOOR((2*XLOOKUP($Q101,'Threshold Summary'!$Y:$Y,'Threshold Summary'!$L:$L,"")/5+2)*pow*atk/def)/50)+2)),modifier,stab*eff,FLOOR(base*modifier*0.85)),0)</f>
        <v/>
      </c>
      <c r="K101" s="3">
        <f>IFERROR(LET(mtype,XLOOKUP($D101,'Move Editor'!$B:$B,'Move Editor'!$C:$C,""),cat,XLOOKUP($D101,'Move Editor'!$B:$B,'Move Editor'!$D:$D,""),pow,XLOOKUP($D101,'Move Editor'!$B:$B,'Move Editor'!$E:$E,0),acc,XLOOKUP($D101,'Move Editor'!$B:$B,'Move Editor'!$F:$F,100),atk,IF(cat="Physical",FLOOR((FLOOR(((2*XLOOKUP(XLOOKUP($Q101,'Threshold Summary'!$Y:$Y,'Threshold Summary'!$K:$K,""),'Pokemon Editor'!$A:$A,'Pokemon Editor'!$F:$F,0)+31+FLOOR(XLOOKUP($Q101,'Threshold Summary'!$Y:$Y,'Threshold Summary'!$P:$P,"")/4))*XLOOKUP($Q101,'Threshold Summary'!$Y:$Y,'Threshold Summary'!$L:$L,""))/100)+5)*XLOOKUP(XLOOKUP($Q101,'Threshold Summary'!$Y:$Y,'Threshold Summary'!$M:$M,""),'Nature Editor'!$A:$A,'Nature Editor'!$B:$B,1)),FLOOR((FLOOR(((2*XLOOKUP(XLOOKUP($Q101,'Threshold Summary'!$Y:$Y,'Threshold Summary'!$K:$K,""),'Pokemon Editor'!$A:$A,'Pokemon Editor'!$H:$H,0)+31+FLOOR(XLOOKUP($Q101,'Threshold Summary'!$Y:$Y,'Threshold Summary'!$R:$R,"")/4))*XLOOKUP($Q101,'Threshold Summary'!$Y:$Y,'Threshold Summary'!$L:$L,""))/100)+5)*XLOOKUP(XLOOKUP($Q101,'Threshold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Editor'!$E:$E,1))),stab,IF(OR(mtype=XLOOKUP(XLOOKUP($Q101,'Threshold Summary'!$Y:$Y,'Threshold Summary'!$K:$K,""),'Pokemon Editor'!$A:$A,'Pokemon Editor'!$C:$C,""),mtype=XLOOKUP(XLOOKUP($Q101,'Threshold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Chart'!$B$1:$S$1,0)))),base,IF(OR(cat="Status",pow=0),0,FLOOR(FLOOR(FLOOR((2*XLOOKUP($Q101,'Threshold Summary'!$Y:$Y,'Threshold Summary'!$L:$L,"")/5+2)*pow*atk/def)/50)+2)),modifier,stab*eff,FLOOR(base*modifier)),0)</f>
        <v/>
      </c>
      <c r="L101" s="3">
        <f>IFERROR(LET(mtype,XLOOKUP($D101,'Move Editor'!$B:$B,'Move Editor'!$C:$C,""),cat,XLOOKUP($D101,'Move Editor'!$B:$B,'Move Editor'!$D:$D,""),pow,XLOOKUP($D101,'Move Editor'!$B:$B,'Move Editor'!$E:$E,0),acc,XLOOKUP($D101,'Move Editor'!$B:$B,'Move Editor'!$F:$F,100),atk,IF(cat="Physical",FLOOR((FLOOR(((2*XLOOKUP(XLOOKUP($Q101,'Threshold Summary'!$Y:$Y,'Threshold Summary'!$K:$K,""),'Pokemon Editor'!$A:$A,'Pokemon Editor'!$F:$F,0)+31+FLOOR(XLOOKUP($Q101,'Threshold Summary'!$Y:$Y,'Threshold Summary'!$P:$P,"")/4))*XLOOKUP($Q101,'Threshold Summary'!$Y:$Y,'Threshold Summary'!$L:$L,""))/100)+5)*XLOOKUP(XLOOKUP($Q101,'Threshold Summary'!$Y:$Y,'Threshold Summary'!$M:$M,""),'Nature Editor'!$A:$A,'Nature Editor'!$B:$B,1)),FLOOR((FLOOR(((2*XLOOKUP(XLOOKUP($Q101,'Threshold Summary'!$Y:$Y,'Threshold Summary'!$K:$K,""),'Pokemon Editor'!$A:$A,'Pokemon Editor'!$H:$H,0)+31+FLOOR(XLOOKUP($Q101,'Threshold Summary'!$Y:$Y,'Threshold Summary'!$R:$R,"")/4))*XLOOKUP($Q101,'Threshold Summary'!$Y:$Y,'Threshold Summary'!$L:$L,""))/100)+5)*XLOOKUP(XLOOKUP($Q101,'Threshold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Editor'!$E:$E,1))),stab,IF(OR(mtype=XLOOKUP(XLOOKUP($Q101,'Threshold Summary'!$Y:$Y,'Threshold Summary'!$K:$K,""),'Pokemon Editor'!$A:$A,'Pokemon Editor'!$C:$C,""),mtype=XLOOKUP(XLOOKUP($Q101,'Threshold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Chart'!$B$1:$S$1,0)))),base,IF(OR(cat="Status",pow=0),0,FLOOR(FLOOR(FLOOR((2*XLOOKUP($Q101,'Threshold Summary'!$Y:$Y,'Threshold Summary'!$L:$L,"")/5+2)*pow*atk/def)/50)+2)),modifier,stab*eff,AVERAGE(ARRAYFORMULA(FLOOR(base*modifier*SEQUENCE(16,1,85,1)/100)))),0)</f>
        <v/>
      </c>
      <c r="M101" s="3">
        <f>IFERROR(LET(mtype,XLOOKUP($D101,'Move Editor'!$B:$B,'Move Editor'!$C:$C,""),cat,XLOOKUP($D101,'Move Editor'!$B:$B,'Move Editor'!$D:$D,""),pow,XLOOKUP($D101,'Move Editor'!$B:$B,'Move Editor'!$E:$E,0),acc,XLOOKUP($D101,'Move Editor'!$B:$B,'Move Editor'!$F:$F,100),atk,IF(cat="Physical",FLOOR((FLOOR(((2*XLOOKUP(XLOOKUP($Q101,'Threshold Summary'!$Y:$Y,'Threshold Summary'!$K:$K,""),'Pokemon Editor'!$A:$A,'Pokemon Editor'!$F:$F,0)+31+FLOOR(XLOOKUP($Q101,'Threshold Summary'!$Y:$Y,'Threshold Summary'!$P:$P,"")/4))*XLOOKUP($Q101,'Threshold Summary'!$Y:$Y,'Threshold Summary'!$L:$L,""))/100)+5)*XLOOKUP(XLOOKUP($Q101,'Threshold Summary'!$Y:$Y,'Threshold Summary'!$M:$M,""),'Nature Editor'!$A:$A,'Nature Editor'!$B:$B,1)),FLOOR((FLOOR(((2*XLOOKUP(XLOOKUP($Q101,'Threshold Summary'!$Y:$Y,'Threshold Summary'!$K:$K,""),'Pokemon Editor'!$A:$A,'Pokemon Editor'!$H:$H,0)+31+FLOOR(XLOOKUP($Q101,'Threshold Summary'!$Y:$Y,'Threshold Summary'!$R:$R,"")/4))*XLOOKUP($Q101,'Threshold Summary'!$Y:$Y,'Threshold Summary'!$L:$L,""))/100)+5)*XLOOKUP(XLOOKUP($Q101,'Threshold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Editor'!$E:$E,1))),stab,IF(OR(mtype=XLOOKUP(XLOOKUP($Q101,'Threshold Summary'!$Y:$Y,'Threshold Summary'!$K:$K,""),'Pokemon Editor'!$A:$A,'Pokemon Editor'!$C:$C,""),mtype=XLOOKUP(XLOOKUP($Q101,'Threshold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Chart'!$B$1:$S$1,0)))),base,IF(OR(cat="Status",pow=0),0,FLOOR(FLOOR(FLOOR((2*XLOOKUP($Q101,'Threshold Summary'!$Y:$Y,'Threshold Summary'!$L:$L,"")/5+2)*pow*atk/def)/50)+2)),modifier,stab*eff,AVERAGE(ARRAYFORMULA(FLOOR(base*modifier*SEQUENCE(16,1,85,1)/100)))*MIN(1,acc/100)),0)</f>
        <v/>
      </c>
      <c r="N101" s="4">
        <f>IFERROR(LET(mtype,XLOOKUP($D101,'Move Editor'!$B:$B,'Move Editor'!$C:$C,""),cat,XLOOKUP($D101,'Move Editor'!$B:$B,'Move Editor'!$D:$D,""),pow,XLOOKUP($D101,'Move Editor'!$B:$B,'Move Editor'!$E:$E,0),acc,XLOOKUP($D101,'Move Editor'!$B:$B,'Move Editor'!$F:$F,100),atk,IF(cat="Physical",FLOOR((FLOOR(((2*XLOOKUP(XLOOKUP($Q101,'Threshold Summary'!$Y:$Y,'Threshold Summary'!$K:$K,""),'Pokemon Editor'!$A:$A,'Pokemon Editor'!$F:$F,0)+31+FLOOR(XLOOKUP($Q101,'Threshold Summary'!$Y:$Y,'Threshold Summary'!$P:$P,"")/4))*XLOOKUP($Q101,'Threshold Summary'!$Y:$Y,'Threshold Summary'!$L:$L,""))/100)+5)*XLOOKUP(XLOOKUP($Q101,'Threshold Summary'!$Y:$Y,'Threshold Summary'!$M:$M,""),'Nature Editor'!$A:$A,'Nature Editor'!$B:$B,1)),FLOOR((FLOOR(((2*XLOOKUP(XLOOKUP($Q101,'Threshold Summary'!$Y:$Y,'Threshold Summary'!$K:$K,""),'Pokemon Editor'!$A:$A,'Pokemon Editor'!$H:$H,0)+31+FLOOR(XLOOKUP($Q101,'Threshold Summary'!$Y:$Y,'Threshold Summary'!$R:$R,"")/4))*XLOOKUP($Q101,'Threshold Summary'!$Y:$Y,'Threshold Summary'!$L:$L,""))/100)+5)*XLOOKUP(XLOOKUP($Q101,'Threshold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Editor'!$E:$E,1))),stab,IF(OR(mtype=XLOOKUP(XLOOKUP($Q101,'Threshold Summary'!$Y:$Y,'Threshold Summary'!$K:$K,""),'Pokemon Editor'!$A:$A,'Pokemon Editor'!$C:$C,""),mtype=XLOOKUP(XLOOKUP($Q101,'Threshold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Chart'!$B$1:$S$1,0)))),base,IF(OR(cat="Status",pow=0),0,FLOOR(FLOOR(FLOOR((2*XLOOKUP($Q101,'Threshold Summary'!$Y:$Y,'Threshold Summary'!$L:$L,"")/5+2)*pow*atk/def)/50)+2)),modifier,stab*eff,AVERAGE(ARRAYFORMULA(FLOOR(base*modifier*SEQUENCE(16,1,85,1)/100)))/(FLOOR(((2*XLOOKUP('Boss Editor'!$C$4,'Pokemon Editor'!$A:$A,'Pokemon Editor'!$E:$E,0)+31+FLOOR('Boss Editor'!$G$4/4))*'Boss Editor'!$D$4)/100)+'Boss Editor'!$D$4+10)),0)</f>
        <v/>
      </c>
      <c r="O101" s="3">
        <f>IF(N101&gt;=1,"OHKO",IF(N101&gt;=0.5,"2HKO",IF(N101&gt;=0.333,"3HKO",IF(N101&gt;=0.25,"4HKO","5HKO+"))))</f>
        <v/>
      </c>
      <c r="P101" s="3" t="inlineStr">
        <is>
          <t>Live from editable databases</t>
        </is>
      </c>
      <c r="Q101" s="3" t="inlineStr">
        <is>
          <t>SPECIES_TREECKO</t>
        </is>
      </c>
      <c r="R101" s="3" t="n">
        <v>4</v>
      </c>
    </row>
    <row r="102">
      <c r="A102" s="3">
        <f>XLOOKUP($Q102,'Threshold Summary'!$Y:$Y,'Threshold Summary'!$A:$A,"")</f>
        <v/>
      </c>
      <c r="B102" s="3">
        <f>XLOOKUP($Q102,'Threshold Summary'!$Y:$Y,'Threshold Summary'!$M:$M,"")</f>
        <v/>
      </c>
      <c r="C102" s="3">
        <f>XLOOKUP($Q102,'Threshold Summary'!$Y:$Y,'Threshold Summary'!$N:$N,"")</f>
        <v/>
      </c>
      <c r="D102" s="3">
        <f>IFERROR(INDEX(FILTER('Learnset Editor'!$D$2:$D,'Learnset Editor'!$A$2:$A=XLOOKUP($Q102,'Threshold Summary'!$Y:$Y,'Threshold Summary'!$K:$K,""),'Learnset Editor'!$C$2:$C&lt;=XLOOKUP($Q102,'Threshold Summary'!$Y:$Y,'Threshold Summary'!$L:$L,"")),$R102),"")</f>
        <v/>
      </c>
      <c r="E102" s="3">
        <f>XLOOKUP(D102,'Move Editor'!$B:$B,'Move Editor'!$C:$C,"")</f>
        <v/>
      </c>
      <c r="F102" s="3">
        <f>XLOOKUP(D102,'Move Editor'!$B:$B,'Move Editor'!$D:$D,"")</f>
        <v/>
      </c>
      <c r="G102" s="3">
        <f>XLOOKUP(D102,'Move Editor'!$B:$B,'Move Editor'!$E:$E,0)</f>
        <v/>
      </c>
      <c r="H102" s="3">
        <f>XLOOKUP(D102,'Move Editor'!$B:$B,'Move Editor'!$F:$F,0)</f>
        <v/>
      </c>
      <c r="I102" s="3">
        <f>(INDEX('Type Chart'!$B:$S,MATCH(E102,'Type Chart'!$A:$A,0),MATCH(XLOOKUP('Boss Editor'!$C$4,'Pokemon Editor'!$A:$A,'Pokemon Editor'!$C:$C,""),'Type Chart'!$B$1:$S$1,0))*IF(XLOOKUP('Boss Editor'!$C$4,'Pokemon Editor'!$A:$A,'Pokemon Editor'!$D:$D,"")="",1,INDEX('Type Chart'!$B:$S,MATCH(E102,'Type Chart'!$A:$A,0),MATCH(XLOOKUP('Boss Editor'!$C$4,'Pokemon Editor'!$A:$A,'Pokemon Editor'!$D:$D,""),'Type Chart'!$B$1:$S$1,0))))</f>
        <v/>
      </c>
      <c r="J102" s="3">
        <f>IFERROR(LET(mtype,XLOOKUP($D102,'Move Editor'!$B:$B,'Move Editor'!$C:$C,""),cat,XLOOKUP($D102,'Move Editor'!$B:$B,'Move Editor'!$D:$D,""),pow,XLOOKUP($D102,'Move Editor'!$B:$B,'Move Editor'!$E:$E,0),acc,XLOOKUP($D102,'Move Editor'!$B:$B,'Move Editor'!$F:$F,100),atk,IF(cat="Physical",FLOOR((FLOOR(((2*XLOOKUP(XLOOKUP($Q102,'Threshold Summary'!$Y:$Y,'Threshold Summary'!$K:$K,""),'Pokemon Editor'!$A:$A,'Pokemon Editor'!$F:$F,0)+31+FLOOR(XLOOKUP($Q102,'Threshold Summary'!$Y:$Y,'Threshold Summary'!$P:$P,"")/4))*XLOOKUP($Q102,'Threshold Summary'!$Y:$Y,'Threshold Summary'!$L:$L,""))/100)+5)*XLOOKUP(XLOOKUP($Q102,'Threshold Summary'!$Y:$Y,'Threshold Summary'!$M:$M,""),'Nature Editor'!$A:$A,'Nature Editor'!$B:$B,1)),FLOOR((FLOOR(((2*XLOOKUP(XLOOKUP($Q102,'Threshold Summary'!$Y:$Y,'Threshold Summary'!$K:$K,""),'Pokemon Editor'!$A:$A,'Pokemon Editor'!$H:$H,0)+31+FLOOR(XLOOKUP($Q102,'Threshold Summary'!$Y:$Y,'Threshold Summary'!$R:$R,"")/4))*XLOOKUP($Q102,'Threshold Summary'!$Y:$Y,'Threshold Summary'!$L:$L,""))/100)+5)*XLOOKUP(XLOOKUP($Q102,'Threshold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Editor'!$E:$E,1))),stab,IF(OR(mtype=XLOOKUP(XLOOKUP($Q102,'Threshold Summary'!$Y:$Y,'Threshold Summary'!$K:$K,""),'Pokemon Editor'!$A:$A,'Pokemon Editor'!$C:$C,""),mtype=XLOOKUP(XLOOKUP($Q102,'Threshold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Chart'!$B$1:$S$1,0)))),base,IF(OR(cat="Status",pow=0),0,FLOOR(FLOOR(FLOOR((2*XLOOKUP($Q102,'Threshold Summary'!$Y:$Y,'Threshold Summary'!$L:$L,"")/5+2)*pow*atk/def)/50)+2)),modifier,stab*eff,FLOOR(base*modifier*0.85)),0)</f>
        <v/>
      </c>
      <c r="K102" s="3">
        <f>IFERROR(LET(mtype,XLOOKUP($D102,'Move Editor'!$B:$B,'Move Editor'!$C:$C,""),cat,XLOOKUP($D102,'Move Editor'!$B:$B,'Move Editor'!$D:$D,""),pow,XLOOKUP($D102,'Move Editor'!$B:$B,'Move Editor'!$E:$E,0),acc,XLOOKUP($D102,'Move Editor'!$B:$B,'Move Editor'!$F:$F,100),atk,IF(cat="Physical",FLOOR((FLOOR(((2*XLOOKUP(XLOOKUP($Q102,'Threshold Summary'!$Y:$Y,'Threshold Summary'!$K:$K,""),'Pokemon Editor'!$A:$A,'Pokemon Editor'!$F:$F,0)+31+FLOOR(XLOOKUP($Q102,'Threshold Summary'!$Y:$Y,'Threshold Summary'!$P:$P,"")/4))*XLOOKUP($Q102,'Threshold Summary'!$Y:$Y,'Threshold Summary'!$L:$L,""))/100)+5)*XLOOKUP(XLOOKUP($Q102,'Threshold Summary'!$Y:$Y,'Threshold Summary'!$M:$M,""),'Nature Editor'!$A:$A,'Nature Editor'!$B:$B,1)),FLOOR((FLOOR(((2*XLOOKUP(XLOOKUP($Q102,'Threshold Summary'!$Y:$Y,'Threshold Summary'!$K:$K,""),'Pokemon Editor'!$A:$A,'Pokemon Editor'!$H:$H,0)+31+FLOOR(XLOOKUP($Q102,'Threshold Summary'!$Y:$Y,'Threshold Summary'!$R:$R,"")/4))*XLOOKUP($Q102,'Threshold Summary'!$Y:$Y,'Threshold Summary'!$L:$L,""))/100)+5)*XLOOKUP(XLOOKUP($Q102,'Threshold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Editor'!$E:$E,1))),stab,IF(OR(mtype=XLOOKUP(XLOOKUP($Q102,'Threshold Summary'!$Y:$Y,'Threshold Summary'!$K:$K,""),'Pokemon Editor'!$A:$A,'Pokemon Editor'!$C:$C,""),mtype=XLOOKUP(XLOOKUP($Q102,'Threshold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Chart'!$B$1:$S$1,0)))),base,IF(OR(cat="Status",pow=0),0,FLOOR(FLOOR(FLOOR((2*XLOOKUP($Q102,'Threshold Summary'!$Y:$Y,'Threshold Summary'!$L:$L,"")/5+2)*pow*atk/def)/50)+2)),modifier,stab*eff,FLOOR(base*modifier)),0)</f>
        <v/>
      </c>
      <c r="L102" s="3">
        <f>IFERROR(LET(mtype,XLOOKUP($D102,'Move Editor'!$B:$B,'Move Editor'!$C:$C,""),cat,XLOOKUP($D102,'Move Editor'!$B:$B,'Move Editor'!$D:$D,""),pow,XLOOKUP($D102,'Move Editor'!$B:$B,'Move Editor'!$E:$E,0),acc,XLOOKUP($D102,'Move Editor'!$B:$B,'Move Editor'!$F:$F,100),atk,IF(cat="Physical",FLOOR((FLOOR(((2*XLOOKUP(XLOOKUP($Q102,'Threshold Summary'!$Y:$Y,'Threshold Summary'!$K:$K,""),'Pokemon Editor'!$A:$A,'Pokemon Editor'!$F:$F,0)+31+FLOOR(XLOOKUP($Q102,'Threshold Summary'!$Y:$Y,'Threshold Summary'!$P:$P,"")/4))*XLOOKUP($Q102,'Threshold Summary'!$Y:$Y,'Threshold Summary'!$L:$L,""))/100)+5)*XLOOKUP(XLOOKUP($Q102,'Threshold Summary'!$Y:$Y,'Threshold Summary'!$M:$M,""),'Nature Editor'!$A:$A,'Nature Editor'!$B:$B,1)),FLOOR((FLOOR(((2*XLOOKUP(XLOOKUP($Q102,'Threshold Summary'!$Y:$Y,'Threshold Summary'!$K:$K,""),'Pokemon Editor'!$A:$A,'Pokemon Editor'!$H:$H,0)+31+FLOOR(XLOOKUP($Q102,'Threshold Summary'!$Y:$Y,'Threshold Summary'!$R:$R,"")/4))*XLOOKUP($Q102,'Threshold Summary'!$Y:$Y,'Threshold Summary'!$L:$L,""))/100)+5)*XLOOKUP(XLOOKUP($Q102,'Threshold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Editor'!$E:$E,1))),stab,IF(OR(mtype=XLOOKUP(XLOOKUP($Q102,'Threshold Summary'!$Y:$Y,'Threshold Summary'!$K:$K,""),'Pokemon Editor'!$A:$A,'Pokemon Editor'!$C:$C,""),mtype=XLOOKUP(XLOOKUP($Q102,'Threshold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Chart'!$B$1:$S$1,0)))),base,IF(OR(cat="Status",pow=0),0,FLOOR(FLOOR(FLOOR((2*XLOOKUP($Q102,'Threshold Summary'!$Y:$Y,'Threshold Summary'!$L:$L,"")/5+2)*pow*atk/def)/50)+2)),modifier,stab*eff,AVERAGE(ARRAYFORMULA(FLOOR(base*modifier*SEQUENCE(16,1,85,1)/100)))),0)</f>
        <v/>
      </c>
      <c r="M102" s="3">
        <f>IFERROR(LET(mtype,XLOOKUP($D102,'Move Editor'!$B:$B,'Move Editor'!$C:$C,""),cat,XLOOKUP($D102,'Move Editor'!$B:$B,'Move Editor'!$D:$D,""),pow,XLOOKUP($D102,'Move Editor'!$B:$B,'Move Editor'!$E:$E,0),acc,XLOOKUP($D102,'Move Editor'!$B:$B,'Move Editor'!$F:$F,100),atk,IF(cat="Physical",FLOOR((FLOOR(((2*XLOOKUP(XLOOKUP($Q102,'Threshold Summary'!$Y:$Y,'Threshold Summary'!$K:$K,""),'Pokemon Editor'!$A:$A,'Pokemon Editor'!$F:$F,0)+31+FLOOR(XLOOKUP($Q102,'Threshold Summary'!$Y:$Y,'Threshold Summary'!$P:$P,"")/4))*XLOOKUP($Q102,'Threshold Summary'!$Y:$Y,'Threshold Summary'!$L:$L,""))/100)+5)*XLOOKUP(XLOOKUP($Q102,'Threshold Summary'!$Y:$Y,'Threshold Summary'!$M:$M,""),'Nature Editor'!$A:$A,'Nature Editor'!$B:$B,1)),FLOOR((FLOOR(((2*XLOOKUP(XLOOKUP($Q102,'Threshold Summary'!$Y:$Y,'Threshold Summary'!$K:$K,""),'Pokemon Editor'!$A:$A,'Pokemon Editor'!$H:$H,0)+31+FLOOR(XLOOKUP($Q102,'Threshold Summary'!$Y:$Y,'Threshold Summary'!$R:$R,"")/4))*XLOOKUP($Q102,'Threshold Summary'!$Y:$Y,'Threshold Summary'!$L:$L,""))/100)+5)*XLOOKUP(XLOOKUP($Q102,'Threshold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Editor'!$E:$E,1))),stab,IF(OR(mtype=XLOOKUP(XLOOKUP($Q102,'Threshold Summary'!$Y:$Y,'Threshold Summary'!$K:$K,""),'Pokemon Editor'!$A:$A,'Pokemon Editor'!$C:$C,""),mtype=XLOOKUP(XLOOKUP($Q102,'Threshold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Chart'!$B$1:$S$1,0)))),base,IF(OR(cat="Status",pow=0),0,FLOOR(FLOOR(FLOOR((2*XLOOKUP($Q102,'Threshold Summary'!$Y:$Y,'Threshold Summary'!$L:$L,"")/5+2)*pow*atk/def)/50)+2)),modifier,stab*eff,AVERAGE(ARRAYFORMULA(FLOOR(base*modifier*SEQUENCE(16,1,85,1)/100)))*MIN(1,acc/100)),0)</f>
        <v/>
      </c>
      <c r="N102" s="4">
        <f>IFERROR(LET(mtype,XLOOKUP($D102,'Move Editor'!$B:$B,'Move Editor'!$C:$C,""),cat,XLOOKUP($D102,'Move Editor'!$B:$B,'Move Editor'!$D:$D,""),pow,XLOOKUP($D102,'Move Editor'!$B:$B,'Move Editor'!$E:$E,0),acc,XLOOKUP($D102,'Move Editor'!$B:$B,'Move Editor'!$F:$F,100),atk,IF(cat="Physical",FLOOR((FLOOR(((2*XLOOKUP(XLOOKUP($Q102,'Threshold Summary'!$Y:$Y,'Threshold Summary'!$K:$K,""),'Pokemon Editor'!$A:$A,'Pokemon Editor'!$F:$F,0)+31+FLOOR(XLOOKUP($Q102,'Threshold Summary'!$Y:$Y,'Threshold Summary'!$P:$P,"")/4))*XLOOKUP($Q102,'Threshold Summary'!$Y:$Y,'Threshold Summary'!$L:$L,""))/100)+5)*XLOOKUP(XLOOKUP($Q102,'Threshold Summary'!$Y:$Y,'Threshold Summary'!$M:$M,""),'Nature Editor'!$A:$A,'Nature Editor'!$B:$B,1)),FLOOR((FLOOR(((2*XLOOKUP(XLOOKUP($Q102,'Threshold Summary'!$Y:$Y,'Threshold Summary'!$K:$K,""),'Pokemon Editor'!$A:$A,'Pokemon Editor'!$H:$H,0)+31+FLOOR(XLOOKUP($Q102,'Threshold Summary'!$Y:$Y,'Threshold Summary'!$R:$R,"")/4))*XLOOKUP($Q102,'Threshold Summary'!$Y:$Y,'Threshold Summary'!$L:$L,""))/100)+5)*XLOOKUP(XLOOKUP($Q102,'Threshold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Editor'!$E:$E,1))),stab,IF(OR(mtype=XLOOKUP(XLOOKUP($Q102,'Threshold Summary'!$Y:$Y,'Threshold Summary'!$K:$K,""),'Pokemon Editor'!$A:$A,'Pokemon Editor'!$C:$C,""),mtype=XLOOKUP(XLOOKUP($Q102,'Threshold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Chart'!$B$1:$S$1,0)))),base,IF(OR(cat="Status",pow=0),0,FLOOR(FLOOR(FLOOR((2*XLOOKUP($Q102,'Threshold Summary'!$Y:$Y,'Threshold Summary'!$L:$L,"")/5+2)*pow*atk/def)/50)+2)),modifier,stab*eff,AVERAGE(ARRAYFORMULA(FLOOR(base*modifier*SEQUENCE(16,1,85,1)/100)))/(FLOOR(((2*XLOOKUP('Boss Editor'!$C$4,'Pokemon Editor'!$A:$A,'Pokemon Editor'!$E:$E,0)+31+FLOOR('Boss Editor'!$G$4/4))*'Boss Editor'!$D$4)/100)+'Boss Editor'!$D$4+10)),0)</f>
        <v/>
      </c>
      <c r="O102" s="3">
        <f>IF(N102&gt;=1,"OHKO",IF(N102&gt;=0.5,"2HKO",IF(N102&gt;=0.333,"3HKO",IF(N102&gt;=0.25,"4HKO","5HKO+"))))</f>
        <v/>
      </c>
      <c r="P102" s="3" t="inlineStr">
        <is>
          <t>Live from editable databases</t>
        </is>
      </c>
      <c r="Q102" s="3" t="inlineStr">
        <is>
          <t>SPECIES_TREECKO</t>
        </is>
      </c>
      <c r="R102" s="3" t="n">
        <v>5</v>
      </c>
    </row>
    <row r="103">
      <c r="A103" s="3">
        <f>XLOOKUP($Q103,'Threshold Summary'!$Y:$Y,'Threshold Summary'!$A:$A,"")</f>
        <v/>
      </c>
      <c r="B103" s="3">
        <f>XLOOKUP($Q103,'Threshold Summary'!$Y:$Y,'Threshold Summary'!$M:$M,"")</f>
        <v/>
      </c>
      <c r="C103" s="3">
        <f>XLOOKUP($Q103,'Threshold Summary'!$Y:$Y,'Threshold Summary'!$N:$N,"")</f>
        <v/>
      </c>
      <c r="D103" s="3">
        <f>IFERROR(INDEX(FILTER('Learnset Editor'!$D$2:$D,'Learnset Editor'!$A$2:$A=XLOOKUP($Q103,'Threshold Summary'!$Y:$Y,'Threshold Summary'!$K:$K,""),'Learnset Editor'!$C$2:$C&lt;=XLOOKUP($Q103,'Threshold Summary'!$Y:$Y,'Threshold Summary'!$L:$L,"")),$R103),"")</f>
        <v/>
      </c>
      <c r="E103" s="3">
        <f>XLOOKUP(D103,'Move Editor'!$B:$B,'Move Editor'!$C:$C,"")</f>
        <v/>
      </c>
      <c r="F103" s="3">
        <f>XLOOKUP(D103,'Move Editor'!$B:$B,'Move Editor'!$D:$D,"")</f>
        <v/>
      </c>
      <c r="G103" s="3">
        <f>XLOOKUP(D103,'Move Editor'!$B:$B,'Move Editor'!$E:$E,0)</f>
        <v/>
      </c>
      <c r="H103" s="3">
        <f>XLOOKUP(D103,'Move Editor'!$B:$B,'Move Editor'!$F:$F,0)</f>
        <v/>
      </c>
      <c r="I103" s="3">
        <f>(INDEX('Type Chart'!$B:$S,MATCH(E103,'Type Chart'!$A:$A,0),MATCH(XLOOKUP('Boss Editor'!$C$4,'Pokemon Editor'!$A:$A,'Pokemon Editor'!$C:$C,""),'Type Chart'!$B$1:$S$1,0))*IF(XLOOKUP('Boss Editor'!$C$4,'Pokemon Editor'!$A:$A,'Pokemon Editor'!$D:$D,"")="",1,INDEX('Type Chart'!$B:$S,MATCH(E103,'Type Chart'!$A:$A,0),MATCH(XLOOKUP('Boss Editor'!$C$4,'Pokemon Editor'!$A:$A,'Pokemon Editor'!$D:$D,""),'Type Chart'!$B$1:$S$1,0))))</f>
        <v/>
      </c>
      <c r="J103" s="3">
        <f>IFERROR(LET(mtype,XLOOKUP($D103,'Move Editor'!$B:$B,'Move Editor'!$C:$C,""),cat,XLOOKUP($D103,'Move Editor'!$B:$B,'Move Editor'!$D:$D,""),pow,XLOOKUP($D103,'Move Editor'!$B:$B,'Move Editor'!$E:$E,0),acc,XLOOKUP($D103,'Move Editor'!$B:$B,'Move Editor'!$F:$F,100),atk,IF(cat="Physical",FLOOR((FLOOR(((2*XLOOKUP(XLOOKUP($Q103,'Threshold Summary'!$Y:$Y,'Threshold Summary'!$K:$K,""),'Pokemon Editor'!$A:$A,'Pokemon Editor'!$F:$F,0)+31+FLOOR(XLOOKUP($Q103,'Threshold Summary'!$Y:$Y,'Threshold Summary'!$P:$P,"")/4))*XLOOKUP($Q103,'Threshold Summary'!$Y:$Y,'Threshold Summary'!$L:$L,""))/100)+5)*XLOOKUP(XLOOKUP($Q103,'Threshold Summary'!$Y:$Y,'Threshold Summary'!$M:$M,""),'Nature Editor'!$A:$A,'Nature Editor'!$B:$B,1)),FLOOR((FLOOR(((2*XLOOKUP(XLOOKUP($Q103,'Threshold Summary'!$Y:$Y,'Threshold Summary'!$K:$K,""),'Pokemon Editor'!$A:$A,'Pokemon Editor'!$H:$H,0)+31+FLOOR(XLOOKUP($Q103,'Threshold Summary'!$Y:$Y,'Threshold Summary'!$R:$R,"")/4))*XLOOKUP($Q103,'Threshold Summary'!$Y:$Y,'Threshold Summary'!$L:$L,""))/100)+5)*XLOOKUP(XLOOKUP($Q103,'Threshold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Editor'!$E:$E,1))),stab,IF(OR(mtype=XLOOKUP(XLOOKUP($Q103,'Threshold Summary'!$Y:$Y,'Threshold Summary'!$K:$K,""),'Pokemon Editor'!$A:$A,'Pokemon Editor'!$C:$C,""),mtype=XLOOKUP(XLOOKUP($Q103,'Threshold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Chart'!$B$1:$S$1,0)))),base,IF(OR(cat="Status",pow=0),0,FLOOR(FLOOR(FLOOR((2*XLOOKUP($Q103,'Threshold Summary'!$Y:$Y,'Threshold Summary'!$L:$L,"")/5+2)*pow*atk/def)/50)+2)),modifier,stab*eff,FLOOR(base*modifier*0.85)),0)</f>
        <v/>
      </c>
      <c r="K103" s="3">
        <f>IFERROR(LET(mtype,XLOOKUP($D103,'Move Editor'!$B:$B,'Move Editor'!$C:$C,""),cat,XLOOKUP($D103,'Move Editor'!$B:$B,'Move Editor'!$D:$D,""),pow,XLOOKUP($D103,'Move Editor'!$B:$B,'Move Editor'!$E:$E,0),acc,XLOOKUP($D103,'Move Editor'!$B:$B,'Move Editor'!$F:$F,100),atk,IF(cat="Physical",FLOOR((FLOOR(((2*XLOOKUP(XLOOKUP($Q103,'Threshold Summary'!$Y:$Y,'Threshold Summary'!$K:$K,""),'Pokemon Editor'!$A:$A,'Pokemon Editor'!$F:$F,0)+31+FLOOR(XLOOKUP($Q103,'Threshold Summary'!$Y:$Y,'Threshold Summary'!$P:$P,"")/4))*XLOOKUP($Q103,'Threshold Summary'!$Y:$Y,'Threshold Summary'!$L:$L,""))/100)+5)*XLOOKUP(XLOOKUP($Q103,'Threshold Summary'!$Y:$Y,'Threshold Summary'!$M:$M,""),'Nature Editor'!$A:$A,'Nature Editor'!$B:$B,1)),FLOOR((FLOOR(((2*XLOOKUP(XLOOKUP($Q103,'Threshold Summary'!$Y:$Y,'Threshold Summary'!$K:$K,""),'Pokemon Editor'!$A:$A,'Pokemon Editor'!$H:$H,0)+31+FLOOR(XLOOKUP($Q103,'Threshold Summary'!$Y:$Y,'Threshold Summary'!$R:$R,"")/4))*XLOOKUP($Q103,'Threshold Summary'!$Y:$Y,'Threshold Summary'!$L:$L,""))/100)+5)*XLOOKUP(XLOOKUP($Q103,'Threshold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Editor'!$E:$E,1))),stab,IF(OR(mtype=XLOOKUP(XLOOKUP($Q103,'Threshold Summary'!$Y:$Y,'Threshold Summary'!$K:$K,""),'Pokemon Editor'!$A:$A,'Pokemon Editor'!$C:$C,""),mtype=XLOOKUP(XLOOKUP($Q103,'Threshold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Chart'!$B$1:$S$1,0)))),base,IF(OR(cat="Status",pow=0),0,FLOOR(FLOOR(FLOOR((2*XLOOKUP($Q103,'Threshold Summary'!$Y:$Y,'Threshold Summary'!$L:$L,"")/5+2)*pow*atk/def)/50)+2)),modifier,stab*eff,FLOOR(base*modifier)),0)</f>
        <v/>
      </c>
      <c r="L103" s="3">
        <f>IFERROR(LET(mtype,XLOOKUP($D103,'Move Editor'!$B:$B,'Move Editor'!$C:$C,""),cat,XLOOKUP($D103,'Move Editor'!$B:$B,'Move Editor'!$D:$D,""),pow,XLOOKUP($D103,'Move Editor'!$B:$B,'Move Editor'!$E:$E,0),acc,XLOOKUP($D103,'Move Editor'!$B:$B,'Move Editor'!$F:$F,100),atk,IF(cat="Physical",FLOOR((FLOOR(((2*XLOOKUP(XLOOKUP($Q103,'Threshold Summary'!$Y:$Y,'Threshold Summary'!$K:$K,""),'Pokemon Editor'!$A:$A,'Pokemon Editor'!$F:$F,0)+31+FLOOR(XLOOKUP($Q103,'Threshold Summary'!$Y:$Y,'Threshold Summary'!$P:$P,"")/4))*XLOOKUP($Q103,'Threshold Summary'!$Y:$Y,'Threshold Summary'!$L:$L,""))/100)+5)*XLOOKUP(XLOOKUP($Q103,'Threshold Summary'!$Y:$Y,'Threshold Summary'!$M:$M,""),'Nature Editor'!$A:$A,'Nature Editor'!$B:$B,1)),FLOOR((FLOOR(((2*XLOOKUP(XLOOKUP($Q103,'Threshold Summary'!$Y:$Y,'Threshold Summary'!$K:$K,""),'Pokemon Editor'!$A:$A,'Pokemon Editor'!$H:$H,0)+31+FLOOR(XLOOKUP($Q103,'Threshold Summary'!$Y:$Y,'Threshold Summary'!$R:$R,"")/4))*XLOOKUP($Q103,'Threshold Summary'!$Y:$Y,'Threshold Summary'!$L:$L,""))/100)+5)*XLOOKUP(XLOOKUP($Q103,'Threshold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Editor'!$E:$E,1))),stab,IF(OR(mtype=XLOOKUP(XLOOKUP($Q103,'Threshold Summary'!$Y:$Y,'Threshold Summary'!$K:$K,""),'Pokemon Editor'!$A:$A,'Pokemon Editor'!$C:$C,""),mtype=XLOOKUP(XLOOKUP($Q103,'Threshold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Chart'!$B$1:$S$1,0)))),base,IF(OR(cat="Status",pow=0),0,FLOOR(FLOOR(FLOOR((2*XLOOKUP($Q103,'Threshold Summary'!$Y:$Y,'Threshold Summary'!$L:$L,"")/5+2)*pow*atk/def)/50)+2)),modifier,stab*eff,AVERAGE(ARRAYFORMULA(FLOOR(base*modifier*SEQUENCE(16,1,85,1)/100)))),0)</f>
        <v/>
      </c>
      <c r="M103" s="3">
        <f>IFERROR(LET(mtype,XLOOKUP($D103,'Move Editor'!$B:$B,'Move Editor'!$C:$C,""),cat,XLOOKUP($D103,'Move Editor'!$B:$B,'Move Editor'!$D:$D,""),pow,XLOOKUP($D103,'Move Editor'!$B:$B,'Move Editor'!$E:$E,0),acc,XLOOKUP($D103,'Move Editor'!$B:$B,'Move Editor'!$F:$F,100),atk,IF(cat="Physical",FLOOR((FLOOR(((2*XLOOKUP(XLOOKUP($Q103,'Threshold Summary'!$Y:$Y,'Threshold Summary'!$K:$K,""),'Pokemon Editor'!$A:$A,'Pokemon Editor'!$F:$F,0)+31+FLOOR(XLOOKUP($Q103,'Threshold Summary'!$Y:$Y,'Threshold Summary'!$P:$P,"")/4))*XLOOKUP($Q103,'Threshold Summary'!$Y:$Y,'Threshold Summary'!$L:$L,""))/100)+5)*XLOOKUP(XLOOKUP($Q103,'Threshold Summary'!$Y:$Y,'Threshold Summary'!$M:$M,""),'Nature Editor'!$A:$A,'Nature Editor'!$B:$B,1)),FLOOR((FLOOR(((2*XLOOKUP(XLOOKUP($Q103,'Threshold Summary'!$Y:$Y,'Threshold Summary'!$K:$K,""),'Pokemon Editor'!$A:$A,'Pokemon Editor'!$H:$H,0)+31+FLOOR(XLOOKUP($Q103,'Threshold Summary'!$Y:$Y,'Threshold Summary'!$R:$R,"")/4))*XLOOKUP($Q103,'Threshold Summary'!$Y:$Y,'Threshold Summary'!$L:$L,""))/100)+5)*XLOOKUP(XLOOKUP($Q103,'Threshold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Editor'!$E:$E,1))),stab,IF(OR(mtype=XLOOKUP(XLOOKUP($Q103,'Threshold Summary'!$Y:$Y,'Threshold Summary'!$K:$K,""),'Pokemon Editor'!$A:$A,'Pokemon Editor'!$C:$C,""),mtype=XLOOKUP(XLOOKUP($Q103,'Threshold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Chart'!$B$1:$S$1,0)))),base,IF(OR(cat="Status",pow=0),0,FLOOR(FLOOR(FLOOR((2*XLOOKUP($Q103,'Threshold Summary'!$Y:$Y,'Threshold Summary'!$L:$L,"")/5+2)*pow*atk/def)/50)+2)),modifier,stab*eff,AVERAGE(ARRAYFORMULA(FLOOR(base*modifier*SEQUENCE(16,1,85,1)/100)))*MIN(1,acc/100)),0)</f>
        <v/>
      </c>
      <c r="N103" s="4">
        <f>IFERROR(LET(mtype,XLOOKUP($D103,'Move Editor'!$B:$B,'Move Editor'!$C:$C,""),cat,XLOOKUP($D103,'Move Editor'!$B:$B,'Move Editor'!$D:$D,""),pow,XLOOKUP($D103,'Move Editor'!$B:$B,'Move Editor'!$E:$E,0),acc,XLOOKUP($D103,'Move Editor'!$B:$B,'Move Editor'!$F:$F,100),atk,IF(cat="Physical",FLOOR((FLOOR(((2*XLOOKUP(XLOOKUP($Q103,'Threshold Summary'!$Y:$Y,'Threshold Summary'!$K:$K,""),'Pokemon Editor'!$A:$A,'Pokemon Editor'!$F:$F,0)+31+FLOOR(XLOOKUP($Q103,'Threshold Summary'!$Y:$Y,'Threshold Summary'!$P:$P,"")/4))*XLOOKUP($Q103,'Threshold Summary'!$Y:$Y,'Threshold Summary'!$L:$L,""))/100)+5)*XLOOKUP(XLOOKUP($Q103,'Threshold Summary'!$Y:$Y,'Threshold Summary'!$M:$M,""),'Nature Editor'!$A:$A,'Nature Editor'!$B:$B,1)),FLOOR((FLOOR(((2*XLOOKUP(XLOOKUP($Q103,'Threshold Summary'!$Y:$Y,'Threshold Summary'!$K:$K,""),'Pokemon Editor'!$A:$A,'Pokemon Editor'!$H:$H,0)+31+FLOOR(XLOOKUP($Q103,'Threshold Summary'!$Y:$Y,'Threshold Summary'!$R:$R,"")/4))*XLOOKUP($Q103,'Threshold Summary'!$Y:$Y,'Threshold Summary'!$L:$L,""))/100)+5)*XLOOKUP(XLOOKUP($Q103,'Threshold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Editor'!$E:$E,1))),stab,IF(OR(mtype=XLOOKUP(XLOOKUP($Q103,'Threshold Summary'!$Y:$Y,'Threshold Summary'!$K:$K,""),'Pokemon Editor'!$A:$A,'Pokemon Editor'!$C:$C,""),mtype=XLOOKUP(XLOOKUP($Q103,'Threshold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Chart'!$B$1:$S$1,0)))),base,IF(OR(cat="Status",pow=0),0,FLOOR(FLOOR(FLOOR((2*XLOOKUP($Q103,'Threshold Summary'!$Y:$Y,'Threshold Summary'!$L:$L,"")/5+2)*pow*atk/def)/50)+2)),modifier,stab*eff,AVERAGE(ARRAYFORMULA(FLOOR(base*modifier*SEQUENCE(16,1,85,1)/100)))/(FLOOR(((2*XLOOKUP('Boss Editor'!$C$4,'Pokemon Editor'!$A:$A,'Pokemon Editor'!$E:$E,0)+31+FLOOR('Boss Editor'!$G$4/4))*'Boss Editor'!$D$4)/100)+'Boss Editor'!$D$4+10)),0)</f>
        <v/>
      </c>
      <c r="O103" s="3">
        <f>IF(N103&gt;=1,"OHKO",IF(N103&gt;=0.5,"2HKO",IF(N103&gt;=0.333,"3HKO",IF(N103&gt;=0.25,"4HKO","5HKO+"))))</f>
        <v/>
      </c>
      <c r="P103" s="3" t="inlineStr">
        <is>
          <t>Live from editable databases</t>
        </is>
      </c>
      <c r="Q103" s="3" t="inlineStr">
        <is>
          <t>SPECIES_TREECKO</t>
        </is>
      </c>
      <c r="R103" s="3" t="n">
        <v>6</v>
      </c>
    </row>
    <row r="104">
      <c r="A104" s="3">
        <f>XLOOKUP($Q104,'Threshold Summary'!$Y:$Y,'Threshold Summary'!$A:$A,"")</f>
        <v/>
      </c>
      <c r="B104" s="3">
        <f>XLOOKUP($Q104,'Threshold Summary'!$Y:$Y,'Threshold Summary'!$M:$M,"")</f>
        <v/>
      </c>
      <c r="C104" s="3">
        <f>XLOOKUP($Q104,'Threshold Summary'!$Y:$Y,'Threshold Summary'!$N:$N,"")</f>
        <v/>
      </c>
      <c r="D104" s="3">
        <f>IFERROR(INDEX(FILTER('Learnset Editor'!$D$2:$D,'Learnset Editor'!$A$2:$A=XLOOKUP($Q104,'Threshold Summary'!$Y:$Y,'Threshold Summary'!$K:$K,""),'Learnset Editor'!$C$2:$C&lt;=XLOOKUP($Q104,'Threshold Summary'!$Y:$Y,'Threshold Summary'!$L:$L,"")),$R104),"")</f>
        <v/>
      </c>
      <c r="E104" s="3">
        <f>XLOOKUP(D104,'Move Editor'!$B:$B,'Move Editor'!$C:$C,"")</f>
        <v/>
      </c>
      <c r="F104" s="3">
        <f>XLOOKUP(D104,'Move Editor'!$B:$B,'Move Editor'!$D:$D,"")</f>
        <v/>
      </c>
      <c r="G104" s="3">
        <f>XLOOKUP(D104,'Move Editor'!$B:$B,'Move Editor'!$E:$E,0)</f>
        <v/>
      </c>
      <c r="H104" s="3">
        <f>XLOOKUP(D104,'Move Editor'!$B:$B,'Move Editor'!$F:$F,0)</f>
        <v/>
      </c>
      <c r="I104" s="3">
        <f>(INDEX('Type Chart'!$B:$S,MATCH(E104,'Type Chart'!$A:$A,0),MATCH(XLOOKUP('Boss Editor'!$C$4,'Pokemon Editor'!$A:$A,'Pokemon Editor'!$C:$C,""),'Type Chart'!$B$1:$S$1,0))*IF(XLOOKUP('Boss Editor'!$C$4,'Pokemon Editor'!$A:$A,'Pokemon Editor'!$D:$D,"")="",1,INDEX('Type Chart'!$B:$S,MATCH(E104,'Type Chart'!$A:$A,0),MATCH(XLOOKUP('Boss Editor'!$C$4,'Pokemon Editor'!$A:$A,'Pokemon Editor'!$D:$D,""),'Type Chart'!$B$1:$S$1,0))))</f>
        <v/>
      </c>
      <c r="J104" s="3">
        <f>IFERROR(LET(mtype,XLOOKUP($D104,'Move Editor'!$B:$B,'Move Editor'!$C:$C,""),cat,XLOOKUP($D104,'Move Editor'!$B:$B,'Move Editor'!$D:$D,""),pow,XLOOKUP($D104,'Move Editor'!$B:$B,'Move Editor'!$E:$E,0),acc,XLOOKUP($D104,'Move Editor'!$B:$B,'Move Editor'!$F:$F,100),atk,IF(cat="Physical",FLOOR((FLOOR(((2*XLOOKUP(XLOOKUP($Q104,'Threshold Summary'!$Y:$Y,'Threshold Summary'!$K:$K,""),'Pokemon Editor'!$A:$A,'Pokemon Editor'!$F:$F,0)+31+FLOOR(XLOOKUP($Q104,'Threshold Summary'!$Y:$Y,'Threshold Summary'!$P:$P,"")/4))*XLOOKUP($Q104,'Threshold Summary'!$Y:$Y,'Threshold Summary'!$L:$L,""))/100)+5)*XLOOKUP(XLOOKUP($Q104,'Threshold Summary'!$Y:$Y,'Threshold Summary'!$M:$M,""),'Nature Editor'!$A:$A,'Nature Editor'!$B:$B,1)),FLOOR((FLOOR(((2*XLOOKUP(XLOOKUP($Q104,'Threshold Summary'!$Y:$Y,'Threshold Summary'!$K:$K,""),'Pokemon Editor'!$A:$A,'Pokemon Editor'!$H:$H,0)+31+FLOOR(XLOOKUP($Q104,'Threshold Summary'!$Y:$Y,'Threshold Summary'!$R:$R,"")/4))*XLOOKUP($Q104,'Threshold Summary'!$Y:$Y,'Threshold Summary'!$L:$L,""))/100)+5)*XLOOKUP(XLOOKUP($Q104,'Threshold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Editor'!$E:$E,1))),stab,IF(OR(mtype=XLOOKUP(XLOOKUP($Q104,'Threshold Summary'!$Y:$Y,'Threshold Summary'!$K:$K,""),'Pokemon Editor'!$A:$A,'Pokemon Editor'!$C:$C,""),mtype=XLOOKUP(XLOOKUP($Q104,'Threshold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Chart'!$B$1:$S$1,0)))),base,IF(OR(cat="Status",pow=0),0,FLOOR(FLOOR(FLOOR((2*XLOOKUP($Q104,'Threshold Summary'!$Y:$Y,'Threshold Summary'!$L:$L,"")/5+2)*pow*atk/def)/50)+2)),modifier,stab*eff,FLOOR(base*modifier*0.85)),0)</f>
        <v/>
      </c>
      <c r="K104" s="3">
        <f>IFERROR(LET(mtype,XLOOKUP($D104,'Move Editor'!$B:$B,'Move Editor'!$C:$C,""),cat,XLOOKUP($D104,'Move Editor'!$B:$B,'Move Editor'!$D:$D,""),pow,XLOOKUP($D104,'Move Editor'!$B:$B,'Move Editor'!$E:$E,0),acc,XLOOKUP($D104,'Move Editor'!$B:$B,'Move Editor'!$F:$F,100),atk,IF(cat="Physical",FLOOR((FLOOR(((2*XLOOKUP(XLOOKUP($Q104,'Threshold Summary'!$Y:$Y,'Threshold Summary'!$K:$K,""),'Pokemon Editor'!$A:$A,'Pokemon Editor'!$F:$F,0)+31+FLOOR(XLOOKUP($Q104,'Threshold Summary'!$Y:$Y,'Threshold Summary'!$P:$P,"")/4))*XLOOKUP($Q104,'Threshold Summary'!$Y:$Y,'Threshold Summary'!$L:$L,""))/100)+5)*XLOOKUP(XLOOKUP($Q104,'Threshold Summary'!$Y:$Y,'Threshold Summary'!$M:$M,""),'Nature Editor'!$A:$A,'Nature Editor'!$B:$B,1)),FLOOR((FLOOR(((2*XLOOKUP(XLOOKUP($Q104,'Threshold Summary'!$Y:$Y,'Threshold Summary'!$K:$K,""),'Pokemon Editor'!$A:$A,'Pokemon Editor'!$H:$H,0)+31+FLOOR(XLOOKUP($Q104,'Threshold Summary'!$Y:$Y,'Threshold Summary'!$R:$R,"")/4))*XLOOKUP($Q104,'Threshold Summary'!$Y:$Y,'Threshold Summary'!$L:$L,""))/100)+5)*XLOOKUP(XLOOKUP($Q104,'Threshold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Editor'!$E:$E,1))),stab,IF(OR(mtype=XLOOKUP(XLOOKUP($Q104,'Threshold Summary'!$Y:$Y,'Threshold Summary'!$K:$K,""),'Pokemon Editor'!$A:$A,'Pokemon Editor'!$C:$C,""),mtype=XLOOKUP(XLOOKUP($Q104,'Threshold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Chart'!$B$1:$S$1,0)))),base,IF(OR(cat="Status",pow=0),0,FLOOR(FLOOR(FLOOR((2*XLOOKUP($Q104,'Threshold Summary'!$Y:$Y,'Threshold Summary'!$L:$L,"")/5+2)*pow*atk/def)/50)+2)),modifier,stab*eff,FLOOR(base*modifier)),0)</f>
        <v/>
      </c>
      <c r="L104" s="3">
        <f>IFERROR(LET(mtype,XLOOKUP($D104,'Move Editor'!$B:$B,'Move Editor'!$C:$C,""),cat,XLOOKUP($D104,'Move Editor'!$B:$B,'Move Editor'!$D:$D,""),pow,XLOOKUP($D104,'Move Editor'!$B:$B,'Move Editor'!$E:$E,0),acc,XLOOKUP($D104,'Move Editor'!$B:$B,'Move Editor'!$F:$F,100),atk,IF(cat="Physical",FLOOR((FLOOR(((2*XLOOKUP(XLOOKUP($Q104,'Threshold Summary'!$Y:$Y,'Threshold Summary'!$K:$K,""),'Pokemon Editor'!$A:$A,'Pokemon Editor'!$F:$F,0)+31+FLOOR(XLOOKUP($Q104,'Threshold Summary'!$Y:$Y,'Threshold Summary'!$P:$P,"")/4))*XLOOKUP($Q104,'Threshold Summary'!$Y:$Y,'Threshold Summary'!$L:$L,""))/100)+5)*XLOOKUP(XLOOKUP($Q104,'Threshold Summary'!$Y:$Y,'Threshold Summary'!$M:$M,""),'Nature Editor'!$A:$A,'Nature Editor'!$B:$B,1)),FLOOR((FLOOR(((2*XLOOKUP(XLOOKUP($Q104,'Threshold Summary'!$Y:$Y,'Threshold Summary'!$K:$K,""),'Pokemon Editor'!$A:$A,'Pokemon Editor'!$H:$H,0)+31+FLOOR(XLOOKUP($Q104,'Threshold Summary'!$Y:$Y,'Threshold Summary'!$R:$R,"")/4))*XLOOKUP($Q104,'Threshold Summary'!$Y:$Y,'Threshold Summary'!$L:$L,""))/100)+5)*XLOOKUP(XLOOKUP($Q104,'Threshold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Editor'!$E:$E,1))),stab,IF(OR(mtype=XLOOKUP(XLOOKUP($Q104,'Threshold Summary'!$Y:$Y,'Threshold Summary'!$K:$K,""),'Pokemon Editor'!$A:$A,'Pokemon Editor'!$C:$C,""),mtype=XLOOKUP(XLOOKUP($Q104,'Threshold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Chart'!$B$1:$S$1,0)))),base,IF(OR(cat="Status",pow=0),0,FLOOR(FLOOR(FLOOR((2*XLOOKUP($Q104,'Threshold Summary'!$Y:$Y,'Threshold Summary'!$L:$L,"")/5+2)*pow*atk/def)/50)+2)),modifier,stab*eff,AVERAGE(ARRAYFORMULA(FLOOR(base*modifier*SEQUENCE(16,1,85,1)/100)))),0)</f>
        <v/>
      </c>
      <c r="M104" s="3">
        <f>IFERROR(LET(mtype,XLOOKUP($D104,'Move Editor'!$B:$B,'Move Editor'!$C:$C,""),cat,XLOOKUP($D104,'Move Editor'!$B:$B,'Move Editor'!$D:$D,""),pow,XLOOKUP($D104,'Move Editor'!$B:$B,'Move Editor'!$E:$E,0),acc,XLOOKUP($D104,'Move Editor'!$B:$B,'Move Editor'!$F:$F,100),atk,IF(cat="Physical",FLOOR((FLOOR(((2*XLOOKUP(XLOOKUP($Q104,'Threshold Summary'!$Y:$Y,'Threshold Summary'!$K:$K,""),'Pokemon Editor'!$A:$A,'Pokemon Editor'!$F:$F,0)+31+FLOOR(XLOOKUP($Q104,'Threshold Summary'!$Y:$Y,'Threshold Summary'!$P:$P,"")/4))*XLOOKUP($Q104,'Threshold Summary'!$Y:$Y,'Threshold Summary'!$L:$L,""))/100)+5)*XLOOKUP(XLOOKUP($Q104,'Threshold Summary'!$Y:$Y,'Threshold Summary'!$M:$M,""),'Nature Editor'!$A:$A,'Nature Editor'!$B:$B,1)),FLOOR((FLOOR(((2*XLOOKUP(XLOOKUP($Q104,'Threshold Summary'!$Y:$Y,'Threshold Summary'!$K:$K,""),'Pokemon Editor'!$A:$A,'Pokemon Editor'!$H:$H,0)+31+FLOOR(XLOOKUP($Q104,'Threshold Summary'!$Y:$Y,'Threshold Summary'!$R:$R,"")/4))*XLOOKUP($Q104,'Threshold Summary'!$Y:$Y,'Threshold Summary'!$L:$L,""))/100)+5)*XLOOKUP(XLOOKUP($Q104,'Threshold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Editor'!$E:$E,1))),stab,IF(OR(mtype=XLOOKUP(XLOOKUP($Q104,'Threshold Summary'!$Y:$Y,'Threshold Summary'!$K:$K,""),'Pokemon Editor'!$A:$A,'Pokemon Editor'!$C:$C,""),mtype=XLOOKUP(XLOOKUP($Q104,'Threshold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Chart'!$B$1:$S$1,0)))),base,IF(OR(cat="Status",pow=0),0,FLOOR(FLOOR(FLOOR((2*XLOOKUP($Q104,'Threshold Summary'!$Y:$Y,'Threshold Summary'!$L:$L,"")/5+2)*pow*atk/def)/50)+2)),modifier,stab*eff,AVERAGE(ARRAYFORMULA(FLOOR(base*modifier*SEQUENCE(16,1,85,1)/100)))*MIN(1,acc/100)),0)</f>
        <v/>
      </c>
      <c r="N104" s="4">
        <f>IFERROR(LET(mtype,XLOOKUP($D104,'Move Editor'!$B:$B,'Move Editor'!$C:$C,""),cat,XLOOKUP($D104,'Move Editor'!$B:$B,'Move Editor'!$D:$D,""),pow,XLOOKUP($D104,'Move Editor'!$B:$B,'Move Editor'!$E:$E,0),acc,XLOOKUP($D104,'Move Editor'!$B:$B,'Move Editor'!$F:$F,100),atk,IF(cat="Physical",FLOOR((FLOOR(((2*XLOOKUP(XLOOKUP($Q104,'Threshold Summary'!$Y:$Y,'Threshold Summary'!$K:$K,""),'Pokemon Editor'!$A:$A,'Pokemon Editor'!$F:$F,0)+31+FLOOR(XLOOKUP($Q104,'Threshold Summary'!$Y:$Y,'Threshold Summary'!$P:$P,"")/4))*XLOOKUP($Q104,'Threshold Summary'!$Y:$Y,'Threshold Summary'!$L:$L,""))/100)+5)*XLOOKUP(XLOOKUP($Q104,'Threshold Summary'!$Y:$Y,'Threshold Summary'!$M:$M,""),'Nature Editor'!$A:$A,'Nature Editor'!$B:$B,1)),FLOOR((FLOOR(((2*XLOOKUP(XLOOKUP($Q104,'Threshold Summary'!$Y:$Y,'Threshold Summary'!$K:$K,""),'Pokemon Editor'!$A:$A,'Pokemon Editor'!$H:$H,0)+31+FLOOR(XLOOKUP($Q104,'Threshold Summary'!$Y:$Y,'Threshold Summary'!$R:$R,"")/4))*XLOOKUP($Q104,'Threshold Summary'!$Y:$Y,'Threshold Summary'!$L:$L,""))/100)+5)*XLOOKUP(XLOOKUP($Q104,'Threshold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Editor'!$E:$E,1))),stab,IF(OR(mtype=XLOOKUP(XLOOKUP($Q104,'Threshold Summary'!$Y:$Y,'Threshold Summary'!$K:$K,""),'Pokemon Editor'!$A:$A,'Pokemon Editor'!$C:$C,""),mtype=XLOOKUP(XLOOKUP($Q104,'Threshold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Chart'!$B$1:$S$1,0)))),base,IF(OR(cat="Status",pow=0),0,FLOOR(FLOOR(FLOOR((2*XLOOKUP($Q104,'Threshold Summary'!$Y:$Y,'Threshold Summary'!$L:$L,"")/5+2)*pow*atk/def)/50)+2)),modifier,stab*eff,AVERAGE(ARRAYFORMULA(FLOOR(base*modifier*SEQUENCE(16,1,85,1)/100)))/(FLOOR(((2*XLOOKUP('Boss Editor'!$C$4,'Pokemon Editor'!$A:$A,'Pokemon Editor'!$E:$E,0)+31+FLOOR('Boss Editor'!$G$4/4))*'Boss Editor'!$D$4)/100)+'Boss Editor'!$D$4+10)),0)</f>
        <v/>
      </c>
      <c r="O104" s="3">
        <f>IF(N104&gt;=1,"OHKO",IF(N104&gt;=0.5,"2HKO",IF(N104&gt;=0.333,"3HKO",IF(N104&gt;=0.25,"4HKO","5HKO+"))))</f>
        <v/>
      </c>
      <c r="P104" s="3" t="inlineStr">
        <is>
          <t>Live from editable databases</t>
        </is>
      </c>
      <c r="Q104" s="3" t="inlineStr">
        <is>
          <t>SPECIES_TREECKO</t>
        </is>
      </c>
      <c r="R104" s="3" t="n">
        <v>7</v>
      </c>
    </row>
    <row r="105">
      <c r="A105" s="3">
        <f>XLOOKUP($Q105,'Threshold Summary'!$Y:$Y,'Threshold Summary'!$A:$A,"")</f>
        <v/>
      </c>
      <c r="B105" s="3">
        <f>XLOOKUP($Q105,'Threshold Summary'!$Y:$Y,'Threshold Summary'!$M:$M,"")</f>
        <v/>
      </c>
      <c r="C105" s="3">
        <f>XLOOKUP($Q105,'Threshold Summary'!$Y:$Y,'Threshold Summary'!$N:$N,"")</f>
        <v/>
      </c>
      <c r="D105" s="3">
        <f>IFERROR(INDEX(FILTER('Learnset Editor'!$D$2:$D,'Learnset Editor'!$A$2:$A=XLOOKUP($Q105,'Threshold Summary'!$Y:$Y,'Threshold Summary'!$K:$K,""),'Learnset Editor'!$C$2:$C&lt;=XLOOKUP($Q105,'Threshold Summary'!$Y:$Y,'Threshold Summary'!$L:$L,"")),$R105),"")</f>
        <v/>
      </c>
      <c r="E105" s="3">
        <f>XLOOKUP(D105,'Move Editor'!$B:$B,'Move Editor'!$C:$C,"")</f>
        <v/>
      </c>
      <c r="F105" s="3">
        <f>XLOOKUP(D105,'Move Editor'!$B:$B,'Move Editor'!$D:$D,"")</f>
        <v/>
      </c>
      <c r="G105" s="3">
        <f>XLOOKUP(D105,'Move Editor'!$B:$B,'Move Editor'!$E:$E,0)</f>
        <v/>
      </c>
      <c r="H105" s="3">
        <f>XLOOKUP(D105,'Move Editor'!$B:$B,'Move Editor'!$F:$F,0)</f>
        <v/>
      </c>
      <c r="I105" s="3">
        <f>(INDEX('Type Chart'!$B:$S,MATCH(E105,'Type Chart'!$A:$A,0),MATCH(XLOOKUP('Boss Editor'!$C$4,'Pokemon Editor'!$A:$A,'Pokemon Editor'!$C:$C,""),'Type Chart'!$B$1:$S$1,0))*IF(XLOOKUP('Boss Editor'!$C$4,'Pokemon Editor'!$A:$A,'Pokemon Editor'!$D:$D,"")="",1,INDEX('Type Chart'!$B:$S,MATCH(E105,'Type Chart'!$A:$A,0),MATCH(XLOOKUP('Boss Editor'!$C$4,'Pokemon Editor'!$A:$A,'Pokemon Editor'!$D:$D,""),'Type Chart'!$B$1:$S$1,0))))</f>
        <v/>
      </c>
      <c r="J105" s="3">
        <f>IFERROR(LET(mtype,XLOOKUP($D105,'Move Editor'!$B:$B,'Move Editor'!$C:$C,""),cat,XLOOKUP($D105,'Move Editor'!$B:$B,'Move Editor'!$D:$D,""),pow,XLOOKUP($D105,'Move Editor'!$B:$B,'Move Editor'!$E:$E,0),acc,XLOOKUP($D105,'Move Editor'!$B:$B,'Move Editor'!$F:$F,100),atk,IF(cat="Physical",FLOOR((FLOOR(((2*XLOOKUP(XLOOKUP($Q105,'Threshold Summary'!$Y:$Y,'Threshold Summary'!$K:$K,""),'Pokemon Editor'!$A:$A,'Pokemon Editor'!$F:$F,0)+31+FLOOR(XLOOKUP($Q105,'Threshold Summary'!$Y:$Y,'Threshold Summary'!$P:$P,"")/4))*XLOOKUP($Q105,'Threshold Summary'!$Y:$Y,'Threshold Summary'!$L:$L,""))/100)+5)*XLOOKUP(XLOOKUP($Q105,'Threshold Summary'!$Y:$Y,'Threshold Summary'!$M:$M,""),'Nature Editor'!$A:$A,'Nature Editor'!$B:$B,1)),FLOOR((FLOOR(((2*XLOOKUP(XLOOKUP($Q105,'Threshold Summary'!$Y:$Y,'Threshold Summary'!$K:$K,""),'Pokemon Editor'!$A:$A,'Pokemon Editor'!$H:$H,0)+31+FLOOR(XLOOKUP($Q105,'Threshold Summary'!$Y:$Y,'Threshold Summary'!$R:$R,"")/4))*XLOOKUP($Q105,'Threshold Summary'!$Y:$Y,'Threshold Summary'!$L:$L,""))/100)+5)*XLOOKUP(XLOOKUP($Q105,'Threshold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Editor'!$E:$E,1))),stab,IF(OR(mtype=XLOOKUP(XLOOKUP($Q105,'Threshold Summary'!$Y:$Y,'Threshold Summary'!$K:$K,""),'Pokemon Editor'!$A:$A,'Pokemon Editor'!$C:$C,""),mtype=XLOOKUP(XLOOKUP($Q105,'Threshold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Chart'!$B$1:$S$1,0)))),base,IF(OR(cat="Status",pow=0),0,FLOOR(FLOOR(FLOOR((2*XLOOKUP($Q105,'Threshold Summary'!$Y:$Y,'Threshold Summary'!$L:$L,"")/5+2)*pow*atk/def)/50)+2)),modifier,stab*eff,FLOOR(base*modifier*0.85)),0)</f>
        <v/>
      </c>
      <c r="K105" s="3">
        <f>IFERROR(LET(mtype,XLOOKUP($D105,'Move Editor'!$B:$B,'Move Editor'!$C:$C,""),cat,XLOOKUP($D105,'Move Editor'!$B:$B,'Move Editor'!$D:$D,""),pow,XLOOKUP($D105,'Move Editor'!$B:$B,'Move Editor'!$E:$E,0),acc,XLOOKUP($D105,'Move Editor'!$B:$B,'Move Editor'!$F:$F,100),atk,IF(cat="Physical",FLOOR((FLOOR(((2*XLOOKUP(XLOOKUP($Q105,'Threshold Summary'!$Y:$Y,'Threshold Summary'!$K:$K,""),'Pokemon Editor'!$A:$A,'Pokemon Editor'!$F:$F,0)+31+FLOOR(XLOOKUP($Q105,'Threshold Summary'!$Y:$Y,'Threshold Summary'!$P:$P,"")/4))*XLOOKUP($Q105,'Threshold Summary'!$Y:$Y,'Threshold Summary'!$L:$L,""))/100)+5)*XLOOKUP(XLOOKUP($Q105,'Threshold Summary'!$Y:$Y,'Threshold Summary'!$M:$M,""),'Nature Editor'!$A:$A,'Nature Editor'!$B:$B,1)),FLOOR((FLOOR(((2*XLOOKUP(XLOOKUP($Q105,'Threshold Summary'!$Y:$Y,'Threshold Summary'!$K:$K,""),'Pokemon Editor'!$A:$A,'Pokemon Editor'!$H:$H,0)+31+FLOOR(XLOOKUP($Q105,'Threshold Summary'!$Y:$Y,'Threshold Summary'!$R:$R,"")/4))*XLOOKUP($Q105,'Threshold Summary'!$Y:$Y,'Threshold Summary'!$L:$L,""))/100)+5)*XLOOKUP(XLOOKUP($Q105,'Threshold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Editor'!$E:$E,1))),stab,IF(OR(mtype=XLOOKUP(XLOOKUP($Q105,'Threshold Summary'!$Y:$Y,'Threshold Summary'!$K:$K,""),'Pokemon Editor'!$A:$A,'Pokemon Editor'!$C:$C,""),mtype=XLOOKUP(XLOOKUP($Q105,'Threshold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Chart'!$B$1:$S$1,0)))),base,IF(OR(cat="Status",pow=0),0,FLOOR(FLOOR(FLOOR((2*XLOOKUP($Q105,'Threshold Summary'!$Y:$Y,'Threshold Summary'!$L:$L,"")/5+2)*pow*atk/def)/50)+2)),modifier,stab*eff,FLOOR(base*modifier)),0)</f>
        <v/>
      </c>
      <c r="L105" s="3">
        <f>IFERROR(LET(mtype,XLOOKUP($D105,'Move Editor'!$B:$B,'Move Editor'!$C:$C,""),cat,XLOOKUP($D105,'Move Editor'!$B:$B,'Move Editor'!$D:$D,""),pow,XLOOKUP($D105,'Move Editor'!$B:$B,'Move Editor'!$E:$E,0),acc,XLOOKUP($D105,'Move Editor'!$B:$B,'Move Editor'!$F:$F,100),atk,IF(cat="Physical",FLOOR((FLOOR(((2*XLOOKUP(XLOOKUP($Q105,'Threshold Summary'!$Y:$Y,'Threshold Summary'!$K:$K,""),'Pokemon Editor'!$A:$A,'Pokemon Editor'!$F:$F,0)+31+FLOOR(XLOOKUP($Q105,'Threshold Summary'!$Y:$Y,'Threshold Summary'!$P:$P,"")/4))*XLOOKUP($Q105,'Threshold Summary'!$Y:$Y,'Threshold Summary'!$L:$L,""))/100)+5)*XLOOKUP(XLOOKUP($Q105,'Threshold Summary'!$Y:$Y,'Threshold Summary'!$M:$M,""),'Nature Editor'!$A:$A,'Nature Editor'!$B:$B,1)),FLOOR((FLOOR(((2*XLOOKUP(XLOOKUP($Q105,'Threshold Summary'!$Y:$Y,'Threshold Summary'!$K:$K,""),'Pokemon Editor'!$A:$A,'Pokemon Editor'!$H:$H,0)+31+FLOOR(XLOOKUP($Q105,'Threshold Summary'!$Y:$Y,'Threshold Summary'!$R:$R,"")/4))*XLOOKUP($Q105,'Threshold Summary'!$Y:$Y,'Threshold Summary'!$L:$L,""))/100)+5)*XLOOKUP(XLOOKUP($Q105,'Threshold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Editor'!$E:$E,1))),stab,IF(OR(mtype=XLOOKUP(XLOOKUP($Q105,'Threshold Summary'!$Y:$Y,'Threshold Summary'!$K:$K,""),'Pokemon Editor'!$A:$A,'Pokemon Editor'!$C:$C,""),mtype=XLOOKUP(XLOOKUP($Q105,'Threshold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Chart'!$B$1:$S$1,0)))),base,IF(OR(cat="Status",pow=0),0,FLOOR(FLOOR(FLOOR((2*XLOOKUP($Q105,'Threshold Summary'!$Y:$Y,'Threshold Summary'!$L:$L,"")/5+2)*pow*atk/def)/50)+2)),modifier,stab*eff,AVERAGE(ARRAYFORMULA(FLOOR(base*modifier*SEQUENCE(16,1,85,1)/100)))),0)</f>
        <v/>
      </c>
      <c r="M105" s="3">
        <f>IFERROR(LET(mtype,XLOOKUP($D105,'Move Editor'!$B:$B,'Move Editor'!$C:$C,""),cat,XLOOKUP($D105,'Move Editor'!$B:$B,'Move Editor'!$D:$D,""),pow,XLOOKUP($D105,'Move Editor'!$B:$B,'Move Editor'!$E:$E,0),acc,XLOOKUP($D105,'Move Editor'!$B:$B,'Move Editor'!$F:$F,100),atk,IF(cat="Physical",FLOOR((FLOOR(((2*XLOOKUP(XLOOKUP($Q105,'Threshold Summary'!$Y:$Y,'Threshold Summary'!$K:$K,""),'Pokemon Editor'!$A:$A,'Pokemon Editor'!$F:$F,0)+31+FLOOR(XLOOKUP($Q105,'Threshold Summary'!$Y:$Y,'Threshold Summary'!$P:$P,"")/4))*XLOOKUP($Q105,'Threshold Summary'!$Y:$Y,'Threshold Summary'!$L:$L,""))/100)+5)*XLOOKUP(XLOOKUP($Q105,'Threshold Summary'!$Y:$Y,'Threshold Summary'!$M:$M,""),'Nature Editor'!$A:$A,'Nature Editor'!$B:$B,1)),FLOOR((FLOOR(((2*XLOOKUP(XLOOKUP($Q105,'Threshold Summary'!$Y:$Y,'Threshold Summary'!$K:$K,""),'Pokemon Editor'!$A:$A,'Pokemon Editor'!$H:$H,0)+31+FLOOR(XLOOKUP($Q105,'Threshold Summary'!$Y:$Y,'Threshold Summary'!$R:$R,"")/4))*XLOOKUP($Q105,'Threshold Summary'!$Y:$Y,'Threshold Summary'!$L:$L,""))/100)+5)*XLOOKUP(XLOOKUP($Q105,'Threshold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Editor'!$E:$E,1))),stab,IF(OR(mtype=XLOOKUP(XLOOKUP($Q105,'Threshold Summary'!$Y:$Y,'Threshold Summary'!$K:$K,""),'Pokemon Editor'!$A:$A,'Pokemon Editor'!$C:$C,""),mtype=XLOOKUP(XLOOKUP($Q105,'Threshold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Chart'!$B$1:$S$1,0)))),base,IF(OR(cat="Status",pow=0),0,FLOOR(FLOOR(FLOOR((2*XLOOKUP($Q105,'Threshold Summary'!$Y:$Y,'Threshold Summary'!$L:$L,"")/5+2)*pow*atk/def)/50)+2)),modifier,stab*eff,AVERAGE(ARRAYFORMULA(FLOOR(base*modifier*SEQUENCE(16,1,85,1)/100)))*MIN(1,acc/100)),0)</f>
        <v/>
      </c>
      <c r="N105" s="4">
        <f>IFERROR(LET(mtype,XLOOKUP($D105,'Move Editor'!$B:$B,'Move Editor'!$C:$C,""),cat,XLOOKUP($D105,'Move Editor'!$B:$B,'Move Editor'!$D:$D,""),pow,XLOOKUP($D105,'Move Editor'!$B:$B,'Move Editor'!$E:$E,0),acc,XLOOKUP($D105,'Move Editor'!$B:$B,'Move Editor'!$F:$F,100),atk,IF(cat="Physical",FLOOR((FLOOR(((2*XLOOKUP(XLOOKUP($Q105,'Threshold Summary'!$Y:$Y,'Threshold Summary'!$K:$K,""),'Pokemon Editor'!$A:$A,'Pokemon Editor'!$F:$F,0)+31+FLOOR(XLOOKUP($Q105,'Threshold Summary'!$Y:$Y,'Threshold Summary'!$P:$P,"")/4))*XLOOKUP($Q105,'Threshold Summary'!$Y:$Y,'Threshold Summary'!$L:$L,""))/100)+5)*XLOOKUP(XLOOKUP($Q105,'Threshold Summary'!$Y:$Y,'Threshold Summary'!$M:$M,""),'Nature Editor'!$A:$A,'Nature Editor'!$B:$B,1)),FLOOR((FLOOR(((2*XLOOKUP(XLOOKUP($Q105,'Threshold Summary'!$Y:$Y,'Threshold Summary'!$K:$K,""),'Pokemon Editor'!$A:$A,'Pokemon Editor'!$H:$H,0)+31+FLOOR(XLOOKUP($Q105,'Threshold Summary'!$Y:$Y,'Threshold Summary'!$R:$R,"")/4))*XLOOKUP($Q105,'Threshold Summary'!$Y:$Y,'Threshold Summary'!$L:$L,""))/100)+5)*XLOOKUP(XLOOKUP($Q105,'Threshold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Editor'!$E:$E,1))),stab,IF(OR(mtype=XLOOKUP(XLOOKUP($Q105,'Threshold Summary'!$Y:$Y,'Threshold Summary'!$K:$K,""),'Pokemon Editor'!$A:$A,'Pokemon Editor'!$C:$C,""),mtype=XLOOKUP(XLOOKUP($Q105,'Threshold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Chart'!$B$1:$S$1,0)))),base,IF(OR(cat="Status",pow=0),0,FLOOR(FLOOR(FLOOR((2*XLOOKUP($Q105,'Threshold Summary'!$Y:$Y,'Threshold Summary'!$L:$L,"")/5+2)*pow*atk/def)/50)+2)),modifier,stab*eff,AVERAGE(ARRAYFORMULA(FLOOR(base*modifier*SEQUENCE(16,1,85,1)/100)))/(FLOOR(((2*XLOOKUP('Boss Editor'!$C$4,'Pokemon Editor'!$A:$A,'Pokemon Editor'!$E:$E,0)+31+FLOOR('Boss Editor'!$G$4/4))*'Boss Editor'!$D$4)/100)+'Boss Editor'!$D$4+10)),0)</f>
        <v/>
      </c>
      <c r="O105" s="3">
        <f>IF(N105&gt;=1,"OHKO",IF(N105&gt;=0.5,"2HKO",IF(N105&gt;=0.333,"3HKO",IF(N105&gt;=0.25,"4HKO","5HKO+"))))</f>
        <v/>
      </c>
      <c r="P105" s="3" t="inlineStr">
        <is>
          <t>Live from editable databases</t>
        </is>
      </c>
      <c r="Q105" s="3" t="inlineStr">
        <is>
          <t>SPECIES_TREECKO</t>
        </is>
      </c>
      <c r="R105" s="3" t="n">
        <v>8</v>
      </c>
    </row>
    <row r="106">
      <c r="A106" s="3">
        <f>XLOOKUP($Q106,'Threshold Summary'!$Y:$Y,'Threshold Summary'!$A:$A,"")</f>
        <v/>
      </c>
      <c r="B106" s="3">
        <f>XLOOKUP($Q106,'Threshold Summary'!$Y:$Y,'Threshold Summary'!$M:$M,"")</f>
        <v/>
      </c>
      <c r="C106" s="3">
        <f>XLOOKUP($Q106,'Threshold Summary'!$Y:$Y,'Threshold Summary'!$N:$N,"")</f>
        <v/>
      </c>
      <c r="D106" s="3">
        <f>IFERROR(INDEX(FILTER('Learnset Editor'!$D$2:$D,'Learnset Editor'!$A$2:$A=XLOOKUP($Q106,'Threshold Summary'!$Y:$Y,'Threshold Summary'!$K:$K,""),'Learnset Editor'!$C$2:$C&lt;=XLOOKUP($Q106,'Threshold Summary'!$Y:$Y,'Threshold Summary'!$L:$L,"")),$R106),"")</f>
        <v/>
      </c>
      <c r="E106" s="3">
        <f>XLOOKUP(D106,'Move Editor'!$B:$B,'Move Editor'!$C:$C,"")</f>
        <v/>
      </c>
      <c r="F106" s="3">
        <f>XLOOKUP(D106,'Move Editor'!$B:$B,'Move Editor'!$D:$D,"")</f>
        <v/>
      </c>
      <c r="G106" s="3">
        <f>XLOOKUP(D106,'Move Editor'!$B:$B,'Move Editor'!$E:$E,0)</f>
        <v/>
      </c>
      <c r="H106" s="3">
        <f>XLOOKUP(D106,'Move Editor'!$B:$B,'Move Editor'!$F:$F,0)</f>
        <v/>
      </c>
      <c r="I106" s="3">
        <f>(INDEX('Type Chart'!$B:$S,MATCH(E106,'Type Chart'!$A:$A,0),MATCH(XLOOKUP('Boss Editor'!$C$4,'Pokemon Editor'!$A:$A,'Pokemon Editor'!$C:$C,""),'Type Chart'!$B$1:$S$1,0))*IF(XLOOKUP('Boss Editor'!$C$4,'Pokemon Editor'!$A:$A,'Pokemon Editor'!$D:$D,"")="",1,INDEX('Type Chart'!$B:$S,MATCH(E106,'Type Chart'!$A:$A,0),MATCH(XLOOKUP('Boss Editor'!$C$4,'Pokemon Editor'!$A:$A,'Pokemon Editor'!$D:$D,""),'Type Chart'!$B$1:$S$1,0))))</f>
        <v/>
      </c>
      <c r="J106" s="3">
        <f>IFERROR(LET(mtype,XLOOKUP($D106,'Move Editor'!$B:$B,'Move Editor'!$C:$C,""),cat,XLOOKUP($D106,'Move Editor'!$B:$B,'Move Editor'!$D:$D,""),pow,XLOOKUP($D106,'Move Editor'!$B:$B,'Move Editor'!$E:$E,0),acc,XLOOKUP($D106,'Move Editor'!$B:$B,'Move Editor'!$F:$F,100),atk,IF(cat="Physical",FLOOR((FLOOR(((2*XLOOKUP(XLOOKUP($Q106,'Threshold Summary'!$Y:$Y,'Threshold Summary'!$K:$K,""),'Pokemon Editor'!$A:$A,'Pokemon Editor'!$F:$F,0)+31+FLOOR(XLOOKUP($Q106,'Threshold Summary'!$Y:$Y,'Threshold Summary'!$P:$P,"")/4))*XLOOKUP($Q106,'Threshold Summary'!$Y:$Y,'Threshold Summary'!$L:$L,""))/100)+5)*XLOOKUP(XLOOKUP($Q106,'Threshold Summary'!$Y:$Y,'Threshold Summary'!$M:$M,""),'Nature Editor'!$A:$A,'Nature Editor'!$B:$B,1)),FLOOR((FLOOR(((2*XLOOKUP(XLOOKUP($Q106,'Threshold Summary'!$Y:$Y,'Threshold Summary'!$K:$K,""),'Pokemon Editor'!$A:$A,'Pokemon Editor'!$H:$H,0)+31+FLOOR(XLOOKUP($Q106,'Threshold Summary'!$Y:$Y,'Threshold Summary'!$R:$R,"")/4))*XLOOKUP($Q106,'Threshold Summary'!$Y:$Y,'Threshold Summary'!$L:$L,""))/100)+5)*XLOOKUP(XLOOKUP($Q106,'Threshold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Editor'!$E:$E,1))),stab,IF(OR(mtype=XLOOKUP(XLOOKUP($Q106,'Threshold Summary'!$Y:$Y,'Threshold Summary'!$K:$K,""),'Pokemon Editor'!$A:$A,'Pokemon Editor'!$C:$C,""),mtype=XLOOKUP(XLOOKUP($Q106,'Threshold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Chart'!$B$1:$S$1,0)))),base,IF(OR(cat="Status",pow=0),0,FLOOR(FLOOR(FLOOR((2*XLOOKUP($Q106,'Threshold Summary'!$Y:$Y,'Threshold Summary'!$L:$L,"")/5+2)*pow*atk/def)/50)+2)),modifier,stab*eff,FLOOR(base*modifier*0.85)),0)</f>
        <v/>
      </c>
      <c r="K106" s="3">
        <f>IFERROR(LET(mtype,XLOOKUP($D106,'Move Editor'!$B:$B,'Move Editor'!$C:$C,""),cat,XLOOKUP($D106,'Move Editor'!$B:$B,'Move Editor'!$D:$D,""),pow,XLOOKUP($D106,'Move Editor'!$B:$B,'Move Editor'!$E:$E,0),acc,XLOOKUP($D106,'Move Editor'!$B:$B,'Move Editor'!$F:$F,100),atk,IF(cat="Physical",FLOOR((FLOOR(((2*XLOOKUP(XLOOKUP($Q106,'Threshold Summary'!$Y:$Y,'Threshold Summary'!$K:$K,""),'Pokemon Editor'!$A:$A,'Pokemon Editor'!$F:$F,0)+31+FLOOR(XLOOKUP($Q106,'Threshold Summary'!$Y:$Y,'Threshold Summary'!$P:$P,"")/4))*XLOOKUP($Q106,'Threshold Summary'!$Y:$Y,'Threshold Summary'!$L:$L,""))/100)+5)*XLOOKUP(XLOOKUP($Q106,'Threshold Summary'!$Y:$Y,'Threshold Summary'!$M:$M,""),'Nature Editor'!$A:$A,'Nature Editor'!$B:$B,1)),FLOOR((FLOOR(((2*XLOOKUP(XLOOKUP($Q106,'Threshold Summary'!$Y:$Y,'Threshold Summary'!$K:$K,""),'Pokemon Editor'!$A:$A,'Pokemon Editor'!$H:$H,0)+31+FLOOR(XLOOKUP($Q106,'Threshold Summary'!$Y:$Y,'Threshold Summary'!$R:$R,"")/4))*XLOOKUP($Q106,'Threshold Summary'!$Y:$Y,'Threshold Summary'!$L:$L,""))/100)+5)*XLOOKUP(XLOOKUP($Q106,'Threshold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Editor'!$E:$E,1))),stab,IF(OR(mtype=XLOOKUP(XLOOKUP($Q106,'Threshold Summary'!$Y:$Y,'Threshold Summary'!$K:$K,""),'Pokemon Editor'!$A:$A,'Pokemon Editor'!$C:$C,""),mtype=XLOOKUP(XLOOKUP($Q106,'Threshold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Chart'!$B$1:$S$1,0)))),base,IF(OR(cat="Status",pow=0),0,FLOOR(FLOOR(FLOOR((2*XLOOKUP($Q106,'Threshold Summary'!$Y:$Y,'Threshold Summary'!$L:$L,"")/5+2)*pow*atk/def)/50)+2)),modifier,stab*eff,FLOOR(base*modifier)),0)</f>
        <v/>
      </c>
      <c r="L106" s="3">
        <f>IFERROR(LET(mtype,XLOOKUP($D106,'Move Editor'!$B:$B,'Move Editor'!$C:$C,""),cat,XLOOKUP($D106,'Move Editor'!$B:$B,'Move Editor'!$D:$D,""),pow,XLOOKUP($D106,'Move Editor'!$B:$B,'Move Editor'!$E:$E,0),acc,XLOOKUP($D106,'Move Editor'!$B:$B,'Move Editor'!$F:$F,100),atk,IF(cat="Physical",FLOOR((FLOOR(((2*XLOOKUP(XLOOKUP($Q106,'Threshold Summary'!$Y:$Y,'Threshold Summary'!$K:$K,""),'Pokemon Editor'!$A:$A,'Pokemon Editor'!$F:$F,0)+31+FLOOR(XLOOKUP($Q106,'Threshold Summary'!$Y:$Y,'Threshold Summary'!$P:$P,"")/4))*XLOOKUP($Q106,'Threshold Summary'!$Y:$Y,'Threshold Summary'!$L:$L,""))/100)+5)*XLOOKUP(XLOOKUP($Q106,'Threshold Summary'!$Y:$Y,'Threshold Summary'!$M:$M,""),'Nature Editor'!$A:$A,'Nature Editor'!$B:$B,1)),FLOOR((FLOOR(((2*XLOOKUP(XLOOKUP($Q106,'Threshold Summary'!$Y:$Y,'Threshold Summary'!$K:$K,""),'Pokemon Editor'!$A:$A,'Pokemon Editor'!$H:$H,0)+31+FLOOR(XLOOKUP($Q106,'Threshold Summary'!$Y:$Y,'Threshold Summary'!$R:$R,"")/4))*XLOOKUP($Q106,'Threshold Summary'!$Y:$Y,'Threshold Summary'!$L:$L,""))/100)+5)*XLOOKUP(XLOOKUP($Q106,'Threshold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Editor'!$E:$E,1))),stab,IF(OR(mtype=XLOOKUP(XLOOKUP($Q106,'Threshold Summary'!$Y:$Y,'Threshold Summary'!$K:$K,""),'Pokemon Editor'!$A:$A,'Pokemon Editor'!$C:$C,""),mtype=XLOOKUP(XLOOKUP($Q106,'Threshold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Chart'!$B$1:$S$1,0)))),base,IF(OR(cat="Status",pow=0),0,FLOOR(FLOOR(FLOOR((2*XLOOKUP($Q106,'Threshold Summary'!$Y:$Y,'Threshold Summary'!$L:$L,"")/5+2)*pow*atk/def)/50)+2)),modifier,stab*eff,AVERAGE(ARRAYFORMULA(FLOOR(base*modifier*SEQUENCE(16,1,85,1)/100)))),0)</f>
        <v/>
      </c>
      <c r="M106" s="3">
        <f>IFERROR(LET(mtype,XLOOKUP($D106,'Move Editor'!$B:$B,'Move Editor'!$C:$C,""),cat,XLOOKUP($D106,'Move Editor'!$B:$B,'Move Editor'!$D:$D,""),pow,XLOOKUP($D106,'Move Editor'!$B:$B,'Move Editor'!$E:$E,0),acc,XLOOKUP($D106,'Move Editor'!$B:$B,'Move Editor'!$F:$F,100),atk,IF(cat="Physical",FLOOR((FLOOR(((2*XLOOKUP(XLOOKUP($Q106,'Threshold Summary'!$Y:$Y,'Threshold Summary'!$K:$K,""),'Pokemon Editor'!$A:$A,'Pokemon Editor'!$F:$F,0)+31+FLOOR(XLOOKUP($Q106,'Threshold Summary'!$Y:$Y,'Threshold Summary'!$P:$P,"")/4))*XLOOKUP($Q106,'Threshold Summary'!$Y:$Y,'Threshold Summary'!$L:$L,""))/100)+5)*XLOOKUP(XLOOKUP($Q106,'Threshold Summary'!$Y:$Y,'Threshold Summary'!$M:$M,""),'Nature Editor'!$A:$A,'Nature Editor'!$B:$B,1)),FLOOR((FLOOR(((2*XLOOKUP(XLOOKUP($Q106,'Threshold Summary'!$Y:$Y,'Threshold Summary'!$K:$K,""),'Pokemon Editor'!$A:$A,'Pokemon Editor'!$H:$H,0)+31+FLOOR(XLOOKUP($Q106,'Threshold Summary'!$Y:$Y,'Threshold Summary'!$R:$R,"")/4))*XLOOKUP($Q106,'Threshold Summary'!$Y:$Y,'Threshold Summary'!$L:$L,""))/100)+5)*XLOOKUP(XLOOKUP($Q106,'Threshold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Editor'!$E:$E,1))),stab,IF(OR(mtype=XLOOKUP(XLOOKUP($Q106,'Threshold Summary'!$Y:$Y,'Threshold Summary'!$K:$K,""),'Pokemon Editor'!$A:$A,'Pokemon Editor'!$C:$C,""),mtype=XLOOKUP(XLOOKUP($Q106,'Threshold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Chart'!$B$1:$S$1,0)))),base,IF(OR(cat="Status",pow=0),0,FLOOR(FLOOR(FLOOR((2*XLOOKUP($Q106,'Threshold Summary'!$Y:$Y,'Threshold Summary'!$L:$L,"")/5+2)*pow*atk/def)/50)+2)),modifier,stab*eff,AVERAGE(ARRAYFORMULA(FLOOR(base*modifier*SEQUENCE(16,1,85,1)/100)))*MIN(1,acc/100)),0)</f>
        <v/>
      </c>
      <c r="N106" s="4">
        <f>IFERROR(LET(mtype,XLOOKUP($D106,'Move Editor'!$B:$B,'Move Editor'!$C:$C,""),cat,XLOOKUP($D106,'Move Editor'!$B:$B,'Move Editor'!$D:$D,""),pow,XLOOKUP($D106,'Move Editor'!$B:$B,'Move Editor'!$E:$E,0),acc,XLOOKUP($D106,'Move Editor'!$B:$B,'Move Editor'!$F:$F,100),atk,IF(cat="Physical",FLOOR((FLOOR(((2*XLOOKUP(XLOOKUP($Q106,'Threshold Summary'!$Y:$Y,'Threshold Summary'!$K:$K,""),'Pokemon Editor'!$A:$A,'Pokemon Editor'!$F:$F,0)+31+FLOOR(XLOOKUP($Q106,'Threshold Summary'!$Y:$Y,'Threshold Summary'!$P:$P,"")/4))*XLOOKUP($Q106,'Threshold Summary'!$Y:$Y,'Threshold Summary'!$L:$L,""))/100)+5)*XLOOKUP(XLOOKUP($Q106,'Threshold Summary'!$Y:$Y,'Threshold Summary'!$M:$M,""),'Nature Editor'!$A:$A,'Nature Editor'!$B:$B,1)),FLOOR((FLOOR(((2*XLOOKUP(XLOOKUP($Q106,'Threshold Summary'!$Y:$Y,'Threshold Summary'!$K:$K,""),'Pokemon Editor'!$A:$A,'Pokemon Editor'!$H:$H,0)+31+FLOOR(XLOOKUP($Q106,'Threshold Summary'!$Y:$Y,'Threshold Summary'!$R:$R,"")/4))*XLOOKUP($Q106,'Threshold Summary'!$Y:$Y,'Threshold Summary'!$L:$L,""))/100)+5)*XLOOKUP(XLOOKUP($Q106,'Threshold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Editor'!$E:$E,1))),stab,IF(OR(mtype=XLOOKUP(XLOOKUP($Q106,'Threshold Summary'!$Y:$Y,'Threshold Summary'!$K:$K,""),'Pokemon Editor'!$A:$A,'Pokemon Editor'!$C:$C,""),mtype=XLOOKUP(XLOOKUP($Q106,'Threshold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Chart'!$B$1:$S$1,0)))),base,IF(OR(cat="Status",pow=0),0,FLOOR(FLOOR(FLOOR((2*XLOOKUP($Q106,'Threshold Summary'!$Y:$Y,'Threshold Summary'!$L:$L,"")/5+2)*pow*atk/def)/50)+2)),modifier,stab*eff,AVERAGE(ARRAYFORMULA(FLOOR(base*modifier*SEQUENCE(16,1,85,1)/100)))/(FLOOR(((2*XLOOKUP('Boss Editor'!$C$4,'Pokemon Editor'!$A:$A,'Pokemon Editor'!$E:$E,0)+31+FLOOR('Boss Editor'!$G$4/4))*'Boss Editor'!$D$4)/100)+'Boss Editor'!$D$4+10)),0)</f>
        <v/>
      </c>
      <c r="O106" s="3">
        <f>IF(N106&gt;=1,"OHKO",IF(N106&gt;=0.5,"2HKO",IF(N106&gt;=0.333,"3HKO",IF(N106&gt;=0.25,"4HKO","5HKO+"))))</f>
        <v/>
      </c>
      <c r="P106" s="3" t="inlineStr">
        <is>
          <t>Live from editable databases</t>
        </is>
      </c>
      <c r="Q106" s="3" t="inlineStr">
        <is>
          <t>SPECIES_TREECKO</t>
        </is>
      </c>
      <c r="R106" s="3" t="n">
        <v>9</v>
      </c>
    </row>
    <row r="107">
      <c r="A107" s="3">
        <f>XLOOKUP($Q107,'Threshold Summary'!$Y:$Y,'Threshold Summary'!$A:$A,"")</f>
        <v/>
      </c>
      <c r="B107" s="3">
        <f>XLOOKUP($Q107,'Threshold Summary'!$Y:$Y,'Threshold Summary'!$M:$M,"")</f>
        <v/>
      </c>
      <c r="C107" s="3">
        <f>XLOOKUP($Q107,'Threshold Summary'!$Y:$Y,'Threshold Summary'!$N:$N,"")</f>
        <v/>
      </c>
      <c r="D107" s="3">
        <f>IFERROR(INDEX(FILTER('Learnset Editor'!$D$2:$D,'Learnset Editor'!$A$2:$A=XLOOKUP($Q107,'Threshold Summary'!$Y:$Y,'Threshold Summary'!$K:$K,""),'Learnset Editor'!$C$2:$C&lt;=XLOOKUP($Q107,'Threshold Summary'!$Y:$Y,'Threshold Summary'!$L:$L,"")),$R107),"")</f>
        <v/>
      </c>
      <c r="E107" s="3">
        <f>XLOOKUP(D107,'Move Editor'!$B:$B,'Move Editor'!$C:$C,"")</f>
        <v/>
      </c>
      <c r="F107" s="3">
        <f>XLOOKUP(D107,'Move Editor'!$B:$B,'Move Editor'!$D:$D,"")</f>
        <v/>
      </c>
      <c r="G107" s="3">
        <f>XLOOKUP(D107,'Move Editor'!$B:$B,'Move Editor'!$E:$E,0)</f>
        <v/>
      </c>
      <c r="H107" s="3">
        <f>XLOOKUP(D107,'Move Editor'!$B:$B,'Move Editor'!$F:$F,0)</f>
        <v/>
      </c>
      <c r="I107" s="3">
        <f>(INDEX('Type Chart'!$B:$S,MATCH(E107,'Type Chart'!$A:$A,0),MATCH(XLOOKUP('Boss Editor'!$C$4,'Pokemon Editor'!$A:$A,'Pokemon Editor'!$C:$C,""),'Type Chart'!$B$1:$S$1,0))*IF(XLOOKUP('Boss Editor'!$C$4,'Pokemon Editor'!$A:$A,'Pokemon Editor'!$D:$D,"")="",1,INDEX('Type Chart'!$B:$S,MATCH(E107,'Type Chart'!$A:$A,0),MATCH(XLOOKUP('Boss Editor'!$C$4,'Pokemon Editor'!$A:$A,'Pokemon Editor'!$D:$D,""),'Type Chart'!$B$1:$S$1,0))))</f>
        <v/>
      </c>
      <c r="J107" s="3">
        <f>IFERROR(LET(mtype,XLOOKUP($D107,'Move Editor'!$B:$B,'Move Editor'!$C:$C,""),cat,XLOOKUP($D107,'Move Editor'!$B:$B,'Move Editor'!$D:$D,""),pow,XLOOKUP($D107,'Move Editor'!$B:$B,'Move Editor'!$E:$E,0),acc,XLOOKUP($D107,'Move Editor'!$B:$B,'Move Editor'!$F:$F,100),atk,IF(cat="Physical",FLOOR((FLOOR(((2*XLOOKUP(XLOOKUP($Q107,'Threshold Summary'!$Y:$Y,'Threshold Summary'!$K:$K,""),'Pokemon Editor'!$A:$A,'Pokemon Editor'!$F:$F,0)+31+FLOOR(XLOOKUP($Q107,'Threshold Summary'!$Y:$Y,'Threshold Summary'!$P:$P,"")/4))*XLOOKUP($Q107,'Threshold Summary'!$Y:$Y,'Threshold Summary'!$L:$L,""))/100)+5)*XLOOKUP(XLOOKUP($Q107,'Threshold Summary'!$Y:$Y,'Threshold Summary'!$M:$M,""),'Nature Editor'!$A:$A,'Nature Editor'!$B:$B,1)),FLOOR((FLOOR(((2*XLOOKUP(XLOOKUP($Q107,'Threshold Summary'!$Y:$Y,'Threshold Summary'!$K:$K,""),'Pokemon Editor'!$A:$A,'Pokemon Editor'!$H:$H,0)+31+FLOOR(XLOOKUP($Q107,'Threshold Summary'!$Y:$Y,'Threshold Summary'!$R:$R,"")/4))*XLOOKUP($Q107,'Threshold Summary'!$Y:$Y,'Threshold Summary'!$L:$L,""))/100)+5)*XLOOKUP(XLOOKUP($Q107,'Threshold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Editor'!$E:$E,1))),stab,IF(OR(mtype=XLOOKUP(XLOOKUP($Q107,'Threshold Summary'!$Y:$Y,'Threshold Summary'!$K:$K,""),'Pokemon Editor'!$A:$A,'Pokemon Editor'!$C:$C,""),mtype=XLOOKUP(XLOOKUP($Q107,'Threshold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Chart'!$B$1:$S$1,0)))),base,IF(OR(cat="Status",pow=0),0,FLOOR(FLOOR(FLOOR((2*XLOOKUP($Q107,'Threshold Summary'!$Y:$Y,'Threshold Summary'!$L:$L,"")/5+2)*pow*atk/def)/50)+2)),modifier,stab*eff,FLOOR(base*modifier*0.85)),0)</f>
        <v/>
      </c>
      <c r="K107" s="3">
        <f>IFERROR(LET(mtype,XLOOKUP($D107,'Move Editor'!$B:$B,'Move Editor'!$C:$C,""),cat,XLOOKUP($D107,'Move Editor'!$B:$B,'Move Editor'!$D:$D,""),pow,XLOOKUP($D107,'Move Editor'!$B:$B,'Move Editor'!$E:$E,0),acc,XLOOKUP($D107,'Move Editor'!$B:$B,'Move Editor'!$F:$F,100),atk,IF(cat="Physical",FLOOR((FLOOR(((2*XLOOKUP(XLOOKUP($Q107,'Threshold Summary'!$Y:$Y,'Threshold Summary'!$K:$K,""),'Pokemon Editor'!$A:$A,'Pokemon Editor'!$F:$F,0)+31+FLOOR(XLOOKUP($Q107,'Threshold Summary'!$Y:$Y,'Threshold Summary'!$P:$P,"")/4))*XLOOKUP($Q107,'Threshold Summary'!$Y:$Y,'Threshold Summary'!$L:$L,""))/100)+5)*XLOOKUP(XLOOKUP($Q107,'Threshold Summary'!$Y:$Y,'Threshold Summary'!$M:$M,""),'Nature Editor'!$A:$A,'Nature Editor'!$B:$B,1)),FLOOR((FLOOR(((2*XLOOKUP(XLOOKUP($Q107,'Threshold Summary'!$Y:$Y,'Threshold Summary'!$K:$K,""),'Pokemon Editor'!$A:$A,'Pokemon Editor'!$H:$H,0)+31+FLOOR(XLOOKUP($Q107,'Threshold Summary'!$Y:$Y,'Threshold Summary'!$R:$R,"")/4))*XLOOKUP($Q107,'Threshold Summary'!$Y:$Y,'Threshold Summary'!$L:$L,""))/100)+5)*XLOOKUP(XLOOKUP($Q107,'Threshold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Editor'!$E:$E,1))),stab,IF(OR(mtype=XLOOKUP(XLOOKUP($Q107,'Threshold Summary'!$Y:$Y,'Threshold Summary'!$K:$K,""),'Pokemon Editor'!$A:$A,'Pokemon Editor'!$C:$C,""),mtype=XLOOKUP(XLOOKUP($Q107,'Threshold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Chart'!$B$1:$S$1,0)))),base,IF(OR(cat="Status",pow=0),0,FLOOR(FLOOR(FLOOR((2*XLOOKUP($Q107,'Threshold Summary'!$Y:$Y,'Threshold Summary'!$L:$L,"")/5+2)*pow*atk/def)/50)+2)),modifier,stab*eff,FLOOR(base*modifier)),0)</f>
        <v/>
      </c>
      <c r="L107" s="3">
        <f>IFERROR(LET(mtype,XLOOKUP($D107,'Move Editor'!$B:$B,'Move Editor'!$C:$C,""),cat,XLOOKUP($D107,'Move Editor'!$B:$B,'Move Editor'!$D:$D,""),pow,XLOOKUP($D107,'Move Editor'!$B:$B,'Move Editor'!$E:$E,0),acc,XLOOKUP($D107,'Move Editor'!$B:$B,'Move Editor'!$F:$F,100),atk,IF(cat="Physical",FLOOR((FLOOR(((2*XLOOKUP(XLOOKUP($Q107,'Threshold Summary'!$Y:$Y,'Threshold Summary'!$K:$K,""),'Pokemon Editor'!$A:$A,'Pokemon Editor'!$F:$F,0)+31+FLOOR(XLOOKUP($Q107,'Threshold Summary'!$Y:$Y,'Threshold Summary'!$P:$P,"")/4))*XLOOKUP($Q107,'Threshold Summary'!$Y:$Y,'Threshold Summary'!$L:$L,""))/100)+5)*XLOOKUP(XLOOKUP($Q107,'Threshold Summary'!$Y:$Y,'Threshold Summary'!$M:$M,""),'Nature Editor'!$A:$A,'Nature Editor'!$B:$B,1)),FLOOR((FLOOR(((2*XLOOKUP(XLOOKUP($Q107,'Threshold Summary'!$Y:$Y,'Threshold Summary'!$K:$K,""),'Pokemon Editor'!$A:$A,'Pokemon Editor'!$H:$H,0)+31+FLOOR(XLOOKUP($Q107,'Threshold Summary'!$Y:$Y,'Threshold Summary'!$R:$R,"")/4))*XLOOKUP($Q107,'Threshold Summary'!$Y:$Y,'Threshold Summary'!$L:$L,""))/100)+5)*XLOOKUP(XLOOKUP($Q107,'Threshold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Editor'!$E:$E,1))),stab,IF(OR(mtype=XLOOKUP(XLOOKUP($Q107,'Threshold Summary'!$Y:$Y,'Threshold Summary'!$K:$K,""),'Pokemon Editor'!$A:$A,'Pokemon Editor'!$C:$C,""),mtype=XLOOKUP(XLOOKUP($Q107,'Threshold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Chart'!$B$1:$S$1,0)))),base,IF(OR(cat="Status",pow=0),0,FLOOR(FLOOR(FLOOR((2*XLOOKUP($Q107,'Threshold Summary'!$Y:$Y,'Threshold Summary'!$L:$L,"")/5+2)*pow*atk/def)/50)+2)),modifier,stab*eff,AVERAGE(ARRAYFORMULA(FLOOR(base*modifier*SEQUENCE(16,1,85,1)/100)))),0)</f>
        <v/>
      </c>
      <c r="M107" s="3">
        <f>IFERROR(LET(mtype,XLOOKUP($D107,'Move Editor'!$B:$B,'Move Editor'!$C:$C,""),cat,XLOOKUP($D107,'Move Editor'!$B:$B,'Move Editor'!$D:$D,""),pow,XLOOKUP($D107,'Move Editor'!$B:$B,'Move Editor'!$E:$E,0),acc,XLOOKUP($D107,'Move Editor'!$B:$B,'Move Editor'!$F:$F,100),atk,IF(cat="Physical",FLOOR((FLOOR(((2*XLOOKUP(XLOOKUP($Q107,'Threshold Summary'!$Y:$Y,'Threshold Summary'!$K:$K,""),'Pokemon Editor'!$A:$A,'Pokemon Editor'!$F:$F,0)+31+FLOOR(XLOOKUP($Q107,'Threshold Summary'!$Y:$Y,'Threshold Summary'!$P:$P,"")/4))*XLOOKUP($Q107,'Threshold Summary'!$Y:$Y,'Threshold Summary'!$L:$L,""))/100)+5)*XLOOKUP(XLOOKUP($Q107,'Threshold Summary'!$Y:$Y,'Threshold Summary'!$M:$M,""),'Nature Editor'!$A:$A,'Nature Editor'!$B:$B,1)),FLOOR((FLOOR(((2*XLOOKUP(XLOOKUP($Q107,'Threshold Summary'!$Y:$Y,'Threshold Summary'!$K:$K,""),'Pokemon Editor'!$A:$A,'Pokemon Editor'!$H:$H,0)+31+FLOOR(XLOOKUP($Q107,'Threshold Summary'!$Y:$Y,'Threshold Summary'!$R:$R,"")/4))*XLOOKUP($Q107,'Threshold Summary'!$Y:$Y,'Threshold Summary'!$L:$L,""))/100)+5)*XLOOKUP(XLOOKUP($Q107,'Threshold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Editor'!$E:$E,1))),stab,IF(OR(mtype=XLOOKUP(XLOOKUP($Q107,'Threshold Summary'!$Y:$Y,'Threshold Summary'!$K:$K,""),'Pokemon Editor'!$A:$A,'Pokemon Editor'!$C:$C,""),mtype=XLOOKUP(XLOOKUP($Q107,'Threshold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Chart'!$B$1:$S$1,0)))),base,IF(OR(cat="Status",pow=0),0,FLOOR(FLOOR(FLOOR((2*XLOOKUP($Q107,'Threshold Summary'!$Y:$Y,'Threshold Summary'!$L:$L,"")/5+2)*pow*atk/def)/50)+2)),modifier,stab*eff,AVERAGE(ARRAYFORMULA(FLOOR(base*modifier*SEQUENCE(16,1,85,1)/100)))*MIN(1,acc/100)),0)</f>
        <v/>
      </c>
      <c r="N107" s="4">
        <f>IFERROR(LET(mtype,XLOOKUP($D107,'Move Editor'!$B:$B,'Move Editor'!$C:$C,""),cat,XLOOKUP($D107,'Move Editor'!$B:$B,'Move Editor'!$D:$D,""),pow,XLOOKUP($D107,'Move Editor'!$B:$B,'Move Editor'!$E:$E,0),acc,XLOOKUP($D107,'Move Editor'!$B:$B,'Move Editor'!$F:$F,100),atk,IF(cat="Physical",FLOOR((FLOOR(((2*XLOOKUP(XLOOKUP($Q107,'Threshold Summary'!$Y:$Y,'Threshold Summary'!$K:$K,""),'Pokemon Editor'!$A:$A,'Pokemon Editor'!$F:$F,0)+31+FLOOR(XLOOKUP($Q107,'Threshold Summary'!$Y:$Y,'Threshold Summary'!$P:$P,"")/4))*XLOOKUP($Q107,'Threshold Summary'!$Y:$Y,'Threshold Summary'!$L:$L,""))/100)+5)*XLOOKUP(XLOOKUP($Q107,'Threshold Summary'!$Y:$Y,'Threshold Summary'!$M:$M,""),'Nature Editor'!$A:$A,'Nature Editor'!$B:$B,1)),FLOOR((FLOOR(((2*XLOOKUP(XLOOKUP($Q107,'Threshold Summary'!$Y:$Y,'Threshold Summary'!$K:$K,""),'Pokemon Editor'!$A:$A,'Pokemon Editor'!$H:$H,0)+31+FLOOR(XLOOKUP($Q107,'Threshold Summary'!$Y:$Y,'Threshold Summary'!$R:$R,"")/4))*XLOOKUP($Q107,'Threshold Summary'!$Y:$Y,'Threshold Summary'!$L:$L,""))/100)+5)*XLOOKUP(XLOOKUP($Q107,'Threshold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Editor'!$E:$E,1))),stab,IF(OR(mtype=XLOOKUP(XLOOKUP($Q107,'Threshold Summary'!$Y:$Y,'Threshold Summary'!$K:$K,""),'Pokemon Editor'!$A:$A,'Pokemon Editor'!$C:$C,""),mtype=XLOOKUP(XLOOKUP($Q107,'Threshold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Chart'!$B$1:$S$1,0)))),base,IF(OR(cat="Status",pow=0),0,FLOOR(FLOOR(FLOOR((2*XLOOKUP($Q107,'Threshold Summary'!$Y:$Y,'Threshold Summary'!$L:$L,"")/5+2)*pow*atk/def)/50)+2)),modifier,stab*eff,AVERAGE(ARRAYFORMULA(FLOOR(base*modifier*SEQUENCE(16,1,85,1)/100)))/(FLOOR(((2*XLOOKUP('Boss Editor'!$C$4,'Pokemon Editor'!$A:$A,'Pokemon Editor'!$E:$E,0)+31+FLOOR('Boss Editor'!$G$4/4))*'Boss Editor'!$D$4)/100)+'Boss Editor'!$D$4+10)),0)</f>
        <v/>
      </c>
      <c r="O107" s="3">
        <f>IF(N107&gt;=1,"OHKO",IF(N107&gt;=0.5,"2HKO",IF(N107&gt;=0.333,"3HKO",IF(N107&gt;=0.25,"4HKO","5HKO+"))))</f>
        <v/>
      </c>
      <c r="P107" s="3" t="inlineStr">
        <is>
          <t>Live from editable databases</t>
        </is>
      </c>
      <c r="Q107" s="3" t="inlineStr">
        <is>
          <t>SPECIES_TREECKO</t>
        </is>
      </c>
      <c r="R107" s="3" t="n">
        <v>10</v>
      </c>
    </row>
    <row r="108">
      <c r="A108" s="3">
        <f>XLOOKUP($Q108,'Threshold Summary'!$Y:$Y,'Threshold Summary'!$A:$A,"")</f>
        <v/>
      </c>
      <c r="B108" s="3">
        <f>XLOOKUP($Q108,'Threshold Summary'!$Y:$Y,'Threshold Summary'!$M:$M,"")</f>
        <v/>
      </c>
      <c r="C108" s="3">
        <f>XLOOKUP($Q108,'Threshold Summary'!$Y:$Y,'Threshold Summary'!$N:$N,"")</f>
        <v/>
      </c>
      <c r="D108" s="3">
        <f>IFERROR(INDEX(FILTER('Learnset Editor'!$D$2:$D,'Learnset Editor'!$A$2:$A=XLOOKUP($Q108,'Threshold Summary'!$Y:$Y,'Threshold Summary'!$K:$K,""),'Learnset Editor'!$C$2:$C&lt;=XLOOKUP($Q108,'Threshold Summary'!$Y:$Y,'Threshold Summary'!$L:$L,"")),$R108),"")</f>
        <v/>
      </c>
      <c r="E108" s="3">
        <f>XLOOKUP(D108,'Move Editor'!$B:$B,'Move Editor'!$C:$C,"")</f>
        <v/>
      </c>
      <c r="F108" s="3">
        <f>XLOOKUP(D108,'Move Editor'!$B:$B,'Move Editor'!$D:$D,"")</f>
        <v/>
      </c>
      <c r="G108" s="3">
        <f>XLOOKUP(D108,'Move Editor'!$B:$B,'Move Editor'!$E:$E,0)</f>
        <v/>
      </c>
      <c r="H108" s="3">
        <f>XLOOKUP(D108,'Move Editor'!$B:$B,'Move Editor'!$F:$F,0)</f>
        <v/>
      </c>
      <c r="I108" s="3">
        <f>(INDEX('Type Chart'!$B:$S,MATCH(E108,'Type Chart'!$A:$A,0),MATCH(XLOOKUP('Boss Editor'!$C$4,'Pokemon Editor'!$A:$A,'Pokemon Editor'!$C:$C,""),'Type Chart'!$B$1:$S$1,0))*IF(XLOOKUP('Boss Editor'!$C$4,'Pokemon Editor'!$A:$A,'Pokemon Editor'!$D:$D,"")="",1,INDEX('Type Chart'!$B:$S,MATCH(E108,'Type Chart'!$A:$A,0),MATCH(XLOOKUP('Boss Editor'!$C$4,'Pokemon Editor'!$A:$A,'Pokemon Editor'!$D:$D,""),'Type Chart'!$B$1:$S$1,0))))</f>
        <v/>
      </c>
      <c r="J108" s="3">
        <f>IFERROR(LET(mtype,XLOOKUP($D108,'Move Editor'!$B:$B,'Move Editor'!$C:$C,""),cat,XLOOKUP($D108,'Move Editor'!$B:$B,'Move Editor'!$D:$D,""),pow,XLOOKUP($D108,'Move Editor'!$B:$B,'Move Editor'!$E:$E,0),acc,XLOOKUP($D108,'Move Editor'!$B:$B,'Move Editor'!$F:$F,100),atk,IF(cat="Physical",FLOOR((FLOOR(((2*XLOOKUP(XLOOKUP($Q108,'Threshold Summary'!$Y:$Y,'Threshold Summary'!$K:$K,""),'Pokemon Editor'!$A:$A,'Pokemon Editor'!$F:$F,0)+31+FLOOR(XLOOKUP($Q108,'Threshold Summary'!$Y:$Y,'Threshold Summary'!$P:$P,"")/4))*XLOOKUP($Q108,'Threshold Summary'!$Y:$Y,'Threshold Summary'!$L:$L,""))/100)+5)*XLOOKUP(XLOOKUP($Q108,'Threshold Summary'!$Y:$Y,'Threshold Summary'!$M:$M,""),'Nature Editor'!$A:$A,'Nature Editor'!$B:$B,1)),FLOOR((FLOOR(((2*XLOOKUP(XLOOKUP($Q108,'Threshold Summary'!$Y:$Y,'Threshold Summary'!$K:$K,""),'Pokemon Editor'!$A:$A,'Pokemon Editor'!$H:$H,0)+31+FLOOR(XLOOKUP($Q108,'Threshold Summary'!$Y:$Y,'Threshold Summary'!$R:$R,"")/4))*XLOOKUP($Q108,'Threshold Summary'!$Y:$Y,'Threshold Summary'!$L:$L,""))/100)+5)*XLOOKUP(XLOOKUP($Q108,'Threshold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Editor'!$E:$E,1))),stab,IF(OR(mtype=XLOOKUP(XLOOKUP($Q108,'Threshold Summary'!$Y:$Y,'Threshold Summary'!$K:$K,""),'Pokemon Editor'!$A:$A,'Pokemon Editor'!$C:$C,""),mtype=XLOOKUP(XLOOKUP($Q108,'Threshold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Chart'!$B$1:$S$1,0)))),base,IF(OR(cat="Status",pow=0),0,FLOOR(FLOOR(FLOOR((2*XLOOKUP($Q108,'Threshold Summary'!$Y:$Y,'Threshold Summary'!$L:$L,"")/5+2)*pow*atk/def)/50)+2)),modifier,stab*eff,FLOOR(base*modifier*0.85)),0)</f>
        <v/>
      </c>
      <c r="K108" s="3">
        <f>IFERROR(LET(mtype,XLOOKUP($D108,'Move Editor'!$B:$B,'Move Editor'!$C:$C,""),cat,XLOOKUP($D108,'Move Editor'!$B:$B,'Move Editor'!$D:$D,""),pow,XLOOKUP($D108,'Move Editor'!$B:$B,'Move Editor'!$E:$E,0),acc,XLOOKUP($D108,'Move Editor'!$B:$B,'Move Editor'!$F:$F,100),atk,IF(cat="Physical",FLOOR((FLOOR(((2*XLOOKUP(XLOOKUP($Q108,'Threshold Summary'!$Y:$Y,'Threshold Summary'!$K:$K,""),'Pokemon Editor'!$A:$A,'Pokemon Editor'!$F:$F,0)+31+FLOOR(XLOOKUP($Q108,'Threshold Summary'!$Y:$Y,'Threshold Summary'!$P:$P,"")/4))*XLOOKUP($Q108,'Threshold Summary'!$Y:$Y,'Threshold Summary'!$L:$L,""))/100)+5)*XLOOKUP(XLOOKUP($Q108,'Threshold Summary'!$Y:$Y,'Threshold Summary'!$M:$M,""),'Nature Editor'!$A:$A,'Nature Editor'!$B:$B,1)),FLOOR((FLOOR(((2*XLOOKUP(XLOOKUP($Q108,'Threshold Summary'!$Y:$Y,'Threshold Summary'!$K:$K,""),'Pokemon Editor'!$A:$A,'Pokemon Editor'!$H:$H,0)+31+FLOOR(XLOOKUP($Q108,'Threshold Summary'!$Y:$Y,'Threshold Summary'!$R:$R,"")/4))*XLOOKUP($Q108,'Threshold Summary'!$Y:$Y,'Threshold Summary'!$L:$L,""))/100)+5)*XLOOKUP(XLOOKUP($Q108,'Threshold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Editor'!$E:$E,1))),stab,IF(OR(mtype=XLOOKUP(XLOOKUP($Q108,'Threshold Summary'!$Y:$Y,'Threshold Summary'!$K:$K,""),'Pokemon Editor'!$A:$A,'Pokemon Editor'!$C:$C,""),mtype=XLOOKUP(XLOOKUP($Q108,'Threshold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Chart'!$B$1:$S$1,0)))),base,IF(OR(cat="Status",pow=0),0,FLOOR(FLOOR(FLOOR((2*XLOOKUP($Q108,'Threshold Summary'!$Y:$Y,'Threshold Summary'!$L:$L,"")/5+2)*pow*atk/def)/50)+2)),modifier,stab*eff,FLOOR(base*modifier)),0)</f>
        <v/>
      </c>
      <c r="L108" s="3">
        <f>IFERROR(LET(mtype,XLOOKUP($D108,'Move Editor'!$B:$B,'Move Editor'!$C:$C,""),cat,XLOOKUP($D108,'Move Editor'!$B:$B,'Move Editor'!$D:$D,""),pow,XLOOKUP($D108,'Move Editor'!$B:$B,'Move Editor'!$E:$E,0),acc,XLOOKUP($D108,'Move Editor'!$B:$B,'Move Editor'!$F:$F,100),atk,IF(cat="Physical",FLOOR((FLOOR(((2*XLOOKUP(XLOOKUP($Q108,'Threshold Summary'!$Y:$Y,'Threshold Summary'!$K:$K,""),'Pokemon Editor'!$A:$A,'Pokemon Editor'!$F:$F,0)+31+FLOOR(XLOOKUP($Q108,'Threshold Summary'!$Y:$Y,'Threshold Summary'!$P:$P,"")/4))*XLOOKUP($Q108,'Threshold Summary'!$Y:$Y,'Threshold Summary'!$L:$L,""))/100)+5)*XLOOKUP(XLOOKUP($Q108,'Threshold Summary'!$Y:$Y,'Threshold Summary'!$M:$M,""),'Nature Editor'!$A:$A,'Nature Editor'!$B:$B,1)),FLOOR((FLOOR(((2*XLOOKUP(XLOOKUP($Q108,'Threshold Summary'!$Y:$Y,'Threshold Summary'!$K:$K,""),'Pokemon Editor'!$A:$A,'Pokemon Editor'!$H:$H,0)+31+FLOOR(XLOOKUP($Q108,'Threshold Summary'!$Y:$Y,'Threshold Summary'!$R:$R,"")/4))*XLOOKUP($Q108,'Threshold Summary'!$Y:$Y,'Threshold Summary'!$L:$L,""))/100)+5)*XLOOKUP(XLOOKUP($Q108,'Threshold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Editor'!$E:$E,1))),stab,IF(OR(mtype=XLOOKUP(XLOOKUP($Q108,'Threshold Summary'!$Y:$Y,'Threshold Summary'!$K:$K,""),'Pokemon Editor'!$A:$A,'Pokemon Editor'!$C:$C,""),mtype=XLOOKUP(XLOOKUP($Q108,'Threshold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Chart'!$B$1:$S$1,0)))),base,IF(OR(cat="Status",pow=0),0,FLOOR(FLOOR(FLOOR((2*XLOOKUP($Q108,'Threshold Summary'!$Y:$Y,'Threshold Summary'!$L:$L,"")/5+2)*pow*atk/def)/50)+2)),modifier,stab*eff,AVERAGE(ARRAYFORMULA(FLOOR(base*modifier*SEQUENCE(16,1,85,1)/100)))),0)</f>
        <v/>
      </c>
      <c r="M108" s="3">
        <f>IFERROR(LET(mtype,XLOOKUP($D108,'Move Editor'!$B:$B,'Move Editor'!$C:$C,""),cat,XLOOKUP($D108,'Move Editor'!$B:$B,'Move Editor'!$D:$D,""),pow,XLOOKUP($D108,'Move Editor'!$B:$B,'Move Editor'!$E:$E,0),acc,XLOOKUP($D108,'Move Editor'!$B:$B,'Move Editor'!$F:$F,100),atk,IF(cat="Physical",FLOOR((FLOOR(((2*XLOOKUP(XLOOKUP($Q108,'Threshold Summary'!$Y:$Y,'Threshold Summary'!$K:$K,""),'Pokemon Editor'!$A:$A,'Pokemon Editor'!$F:$F,0)+31+FLOOR(XLOOKUP($Q108,'Threshold Summary'!$Y:$Y,'Threshold Summary'!$P:$P,"")/4))*XLOOKUP($Q108,'Threshold Summary'!$Y:$Y,'Threshold Summary'!$L:$L,""))/100)+5)*XLOOKUP(XLOOKUP($Q108,'Threshold Summary'!$Y:$Y,'Threshold Summary'!$M:$M,""),'Nature Editor'!$A:$A,'Nature Editor'!$B:$B,1)),FLOOR((FLOOR(((2*XLOOKUP(XLOOKUP($Q108,'Threshold Summary'!$Y:$Y,'Threshold Summary'!$K:$K,""),'Pokemon Editor'!$A:$A,'Pokemon Editor'!$H:$H,0)+31+FLOOR(XLOOKUP($Q108,'Threshold Summary'!$Y:$Y,'Threshold Summary'!$R:$R,"")/4))*XLOOKUP($Q108,'Threshold Summary'!$Y:$Y,'Threshold Summary'!$L:$L,""))/100)+5)*XLOOKUP(XLOOKUP($Q108,'Threshold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Editor'!$E:$E,1))),stab,IF(OR(mtype=XLOOKUP(XLOOKUP($Q108,'Threshold Summary'!$Y:$Y,'Threshold Summary'!$K:$K,""),'Pokemon Editor'!$A:$A,'Pokemon Editor'!$C:$C,""),mtype=XLOOKUP(XLOOKUP($Q108,'Threshold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Chart'!$B$1:$S$1,0)))),base,IF(OR(cat="Status",pow=0),0,FLOOR(FLOOR(FLOOR((2*XLOOKUP($Q108,'Threshold Summary'!$Y:$Y,'Threshold Summary'!$L:$L,"")/5+2)*pow*atk/def)/50)+2)),modifier,stab*eff,AVERAGE(ARRAYFORMULA(FLOOR(base*modifier*SEQUENCE(16,1,85,1)/100)))*MIN(1,acc/100)),0)</f>
        <v/>
      </c>
      <c r="N108" s="4">
        <f>IFERROR(LET(mtype,XLOOKUP($D108,'Move Editor'!$B:$B,'Move Editor'!$C:$C,""),cat,XLOOKUP($D108,'Move Editor'!$B:$B,'Move Editor'!$D:$D,""),pow,XLOOKUP($D108,'Move Editor'!$B:$B,'Move Editor'!$E:$E,0),acc,XLOOKUP($D108,'Move Editor'!$B:$B,'Move Editor'!$F:$F,100),atk,IF(cat="Physical",FLOOR((FLOOR(((2*XLOOKUP(XLOOKUP($Q108,'Threshold Summary'!$Y:$Y,'Threshold Summary'!$K:$K,""),'Pokemon Editor'!$A:$A,'Pokemon Editor'!$F:$F,0)+31+FLOOR(XLOOKUP($Q108,'Threshold Summary'!$Y:$Y,'Threshold Summary'!$P:$P,"")/4))*XLOOKUP($Q108,'Threshold Summary'!$Y:$Y,'Threshold Summary'!$L:$L,""))/100)+5)*XLOOKUP(XLOOKUP($Q108,'Threshold Summary'!$Y:$Y,'Threshold Summary'!$M:$M,""),'Nature Editor'!$A:$A,'Nature Editor'!$B:$B,1)),FLOOR((FLOOR(((2*XLOOKUP(XLOOKUP($Q108,'Threshold Summary'!$Y:$Y,'Threshold Summary'!$K:$K,""),'Pokemon Editor'!$A:$A,'Pokemon Editor'!$H:$H,0)+31+FLOOR(XLOOKUP($Q108,'Threshold Summary'!$Y:$Y,'Threshold Summary'!$R:$R,"")/4))*XLOOKUP($Q108,'Threshold Summary'!$Y:$Y,'Threshold Summary'!$L:$L,""))/100)+5)*XLOOKUP(XLOOKUP($Q108,'Threshold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Editor'!$E:$E,1))),stab,IF(OR(mtype=XLOOKUP(XLOOKUP($Q108,'Threshold Summary'!$Y:$Y,'Threshold Summary'!$K:$K,""),'Pokemon Editor'!$A:$A,'Pokemon Editor'!$C:$C,""),mtype=XLOOKUP(XLOOKUP($Q108,'Threshold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Chart'!$B$1:$S$1,0)))),base,IF(OR(cat="Status",pow=0),0,FLOOR(FLOOR(FLOOR((2*XLOOKUP($Q108,'Threshold Summary'!$Y:$Y,'Threshold Summary'!$L:$L,"")/5+2)*pow*atk/def)/50)+2)),modifier,stab*eff,AVERAGE(ARRAYFORMULA(FLOOR(base*modifier*SEQUENCE(16,1,85,1)/100)))/(FLOOR(((2*XLOOKUP('Boss Editor'!$C$4,'Pokemon Editor'!$A:$A,'Pokemon Editor'!$E:$E,0)+31+FLOOR('Boss Editor'!$G$4/4))*'Boss Editor'!$D$4)/100)+'Boss Editor'!$D$4+10)),0)</f>
        <v/>
      </c>
      <c r="O108" s="3">
        <f>IF(N108&gt;=1,"OHKO",IF(N108&gt;=0.5,"2HKO",IF(N108&gt;=0.333,"3HKO",IF(N108&gt;=0.25,"4HKO","5HKO+"))))</f>
        <v/>
      </c>
      <c r="P108" s="3" t="inlineStr">
        <is>
          <t>Live from editable databases</t>
        </is>
      </c>
      <c r="Q108" s="3" t="inlineStr">
        <is>
          <t>SPECIES_TREECKO</t>
        </is>
      </c>
      <c r="R108" s="3" t="n">
        <v>11</v>
      </c>
    </row>
    <row r="109">
      <c r="A109" s="3">
        <f>XLOOKUP($Q109,'Threshold Summary'!$Y:$Y,'Threshold Summary'!$A:$A,"")</f>
        <v/>
      </c>
      <c r="B109" s="3">
        <f>XLOOKUP($Q109,'Threshold Summary'!$Y:$Y,'Threshold Summary'!$M:$M,"")</f>
        <v/>
      </c>
      <c r="C109" s="3">
        <f>XLOOKUP($Q109,'Threshold Summary'!$Y:$Y,'Threshold Summary'!$N:$N,"")</f>
        <v/>
      </c>
      <c r="D109" s="3">
        <f>IFERROR(INDEX(FILTER('Learnset Editor'!$D$2:$D,'Learnset Editor'!$A$2:$A=XLOOKUP($Q109,'Threshold Summary'!$Y:$Y,'Threshold Summary'!$K:$K,""),'Learnset Editor'!$C$2:$C&lt;=XLOOKUP($Q109,'Threshold Summary'!$Y:$Y,'Threshold Summary'!$L:$L,"")),$R109),"")</f>
        <v/>
      </c>
      <c r="E109" s="3">
        <f>XLOOKUP(D109,'Move Editor'!$B:$B,'Move Editor'!$C:$C,"")</f>
        <v/>
      </c>
      <c r="F109" s="3">
        <f>XLOOKUP(D109,'Move Editor'!$B:$B,'Move Editor'!$D:$D,"")</f>
        <v/>
      </c>
      <c r="G109" s="3">
        <f>XLOOKUP(D109,'Move Editor'!$B:$B,'Move Editor'!$E:$E,0)</f>
        <v/>
      </c>
      <c r="H109" s="3">
        <f>XLOOKUP(D109,'Move Editor'!$B:$B,'Move Editor'!$F:$F,0)</f>
        <v/>
      </c>
      <c r="I109" s="3">
        <f>(INDEX('Type Chart'!$B:$S,MATCH(E109,'Type Chart'!$A:$A,0),MATCH(XLOOKUP('Boss Editor'!$C$4,'Pokemon Editor'!$A:$A,'Pokemon Editor'!$C:$C,""),'Type Chart'!$B$1:$S$1,0))*IF(XLOOKUP('Boss Editor'!$C$4,'Pokemon Editor'!$A:$A,'Pokemon Editor'!$D:$D,"")="",1,INDEX('Type Chart'!$B:$S,MATCH(E109,'Type Chart'!$A:$A,0),MATCH(XLOOKUP('Boss Editor'!$C$4,'Pokemon Editor'!$A:$A,'Pokemon Editor'!$D:$D,""),'Type Chart'!$B$1:$S$1,0))))</f>
        <v/>
      </c>
      <c r="J109" s="3">
        <f>IFERROR(LET(mtype,XLOOKUP($D109,'Move Editor'!$B:$B,'Move Editor'!$C:$C,""),cat,XLOOKUP($D109,'Move Editor'!$B:$B,'Move Editor'!$D:$D,""),pow,XLOOKUP($D109,'Move Editor'!$B:$B,'Move Editor'!$E:$E,0),acc,XLOOKUP($D109,'Move Editor'!$B:$B,'Move Editor'!$F:$F,100),atk,IF(cat="Physical",FLOOR((FLOOR(((2*XLOOKUP(XLOOKUP($Q109,'Threshold Summary'!$Y:$Y,'Threshold Summary'!$K:$K,""),'Pokemon Editor'!$A:$A,'Pokemon Editor'!$F:$F,0)+31+FLOOR(XLOOKUP($Q109,'Threshold Summary'!$Y:$Y,'Threshold Summary'!$P:$P,"")/4))*XLOOKUP($Q109,'Threshold Summary'!$Y:$Y,'Threshold Summary'!$L:$L,""))/100)+5)*XLOOKUP(XLOOKUP($Q109,'Threshold Summary'!$Y:$Y,'Threshold Summary'!$M:$M,""),'Nature Editor'!$A:$A,'Nature Editor'!$B:$B,1)),FLOOR((FLOOR(((2*XLOOKUP(XLOOKUP($Q109,'Threshold Summary'!$Y:$Y,'Threshold Summary'!$K:$K,""),'Pokemon Editor'!$A:$A,'Pokemon Editor'!$H:$H,0)+31+FLOOR(XLOOKUP($Q109,'Threshold Summary'!$Y:$Y,'Threshold Summary'!$R:$R,"")/4))*XLOOKUP($Q109,'Threshold Summary'!$Y:$Y,'Threshold Summary'!$L:$L,""))/100)+5)*XLOOKUP(XLOOKUP($Q109,'Threshold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Editor'!$E:$E,1))),stab,IF(OR(mtype=XLOOKUP(XLOOKUP($Q109,'Threshold Summary'!$Y:$Y,'Threshold Summary'!$K:$K,""),'Pokemon Editor'!$A:$A,'Pokemon Editor'!$C:$C,""),mtype=XLOOKUP(XLOOKUP($Q109,'Threshold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Chart'!$B$1:$S$1,0)))),base,IF(OR(cat="Status",pow=0),0,FLOOR(FLOOR(FLOOR((2*XLOOKUP($Q109,'Threshold Summary'!$Y:$Y,'Threshold Summary'!$L:$L,"")/5+2)*pow*atk/def)/50)+2)),modifier,stab*eff,FLOOR(base*modifier*0.85)),0)</f>
        <v/>
      </c>
      <c r="K109" s="3">
        <f>IFERROR(LET(mtype,XLOOKUP($D109,'Move Editor'!$B:$B,'Move Editor'!$C:$C,""),cat,XLOOKUP($D109,'Move Editor'!$B:$B,'Move Editor'!$D:$D,""),pow,XLOOKUP($D109,'Move Editor'!$B:$B,'Move Editor'!$E:$E,0),acc,XLOOKUP($D109,'Move Editor'!$B:$B,'Move Editor'!$F:$F,100),atk,IF(cat="Physical",FLOOR((FLOOR(((2*XLOOKUP(XLOOKUP($Q109,'Threshold Summary'!$Y:$Y,'Threshold Summary'!$K:$K,""),'Pokemon Editor'!$A:$A,'Pokemon Editor'!$F:$F,0)+31+FLOOR(XLOOKUP($Q109,'Threshold Summary'!$Y:$Y,'Threshold Summary'!$P:$P,"")/4))*XLOOKUP($Q109,'Threshold Summary'!$Y:$Y,'Threshold Summary'!$L:$L,""))/100)+5)*XLOOKUP(XLOOKUP($Q109,'Threshold Summary'!$Y:$Y,'Threshold Summary'!$M:$M,""),'Nature Editor'!$A:$A,'Nature Editor'!$B:$B,1)),FLOOR((FLOOR(((2*XLOOKUP(XLOOKUP($Q109,'Threshold Summary'!$Y:$Y,'Threshold Summary'!$K:$K,""),'Pokemon Editor'!$A:$A,'Pokemon Editor'!$H:$H,0)+31+FLOOR(XLOOKUP($Q109,'Threshold Summary'!$Y:$Y,'Threshold Summary'!$R:$R,"")/4))*XLOOKUP($Q109,'Threshold Summary'!$Y:$Y,'Threshold Summary'!$L:$L,""))/100)+5)*XLOOKUP(XLOOKUP($Q109,'Threshold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Editor'!$E:$E,1))),stab,IF(OR(mtype=XLOOKUP(XLOOKUP($Q109,'Threshold Summary'!$Y:$Y,'Threshold Summary'!$K:$K,""),'Pokemon Editor'!$A:$A,'Pokemon Editor'!$C:$C,""),mtype=XLOOKUP(XLOOKUP($Q109,'Threshold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Chart'!$B$1:$S$1,0)))),base,IF(OR(cat="Status",pow=0),0,FLOOR(FLOOR(FLOOR((2*XLOOKUP($Q109,'Threshold Summary'!$Y:$Y,'Threshold Summary'!$L:$L,"")/5+2)*pow*atk/def)/50)+2)),modifier,stab*eff,FLOOR(base*modifier)),0)</f>
        <v/>
      </c>
      <c r="L109" s="3">
        <f>IFERROR(LET(mtype,XLOOKUP($D109,'Move Editor'!$B:$B,'Move Editor'!$C:$C,""),cat,XLOOKUP($D109,'Move Editor'!$B:$B,'Move Editor'!$D:$D,""),pow,XLOOKUP($D109,'Move Editor'!$B:$B,'Move Editor'!$E:$E,0),acc,XLOOKUP($D109,'Move Editor'!$B:$B,'Move Editor'!$F:$F,100),atk,IF(cat="Physical",FLOOR((FLOOR(((2*XLOOKUP(XLOOKUP($Q109,'Threshold Summary'!$Y:$Y,'Threshold Summary'!$K:$K,""),'Pokemon Editor'!$A:$A,'Pokemon Editor'!$F:$F,0)+31+FLOOR(XLOOKUP($Q109,'Threshold Summary'!$Y:$Y,'Threshold Summary'!$P:$P,"")/4))*XLOOKUP($Q109,'Threshold Summary'!$Y:$Y,'Threshold Summary'!$L:$L,""))/100)+5)*XLOOKUP(XLOOKUP($Q109,'Threshold Summary'!$Y:$Y,'Threshold Summary'!$M:$M,""),'Nature Editor'!$A:$A,'Nature Editor'!$B:$B,1)),FLOOR((FLOOR(((2*XLOOKUP(XLOOKUP($Q109,'Threshold Summary'!$Y:$Y,'Threshold Summary'!$K:$K,""),'Pokemon Editor'!$A:$A,'Pokemon Editor'!$H:$H,0)+31+FLOOR(XLOOKUP($Q109,'Threshold Summary'!$Y:$Y,'Threshold Summary'!$R:$R,"")/4))*XLOOKUP($Q109,'Threshold Summary'!$Y:$Y,'Threshold Summary'!$L:$L,""))/100)+5)*XLOOKUP(XLOOKUP($Q109,'Threshold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Editor'!$E:$E,1))),stab,IF(OR(mtype=XLOOKUP(XLOOKUP($Q109,'Threshold Summary'!$Y:$Y,'Threshold Summary'!$K:$K,""),'Pokemon Editor'!$A:$A,'Pokemon Editor'!$C:$C,""),mtype=XLOOKUP(XLOOKUP($Q109,'Threshold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Chart'!$B$1:$S$1,0)))),base,IF(OR(cat="Status",pow=0),0,FLOOR(FLOOR(FLOOR((2*XLOOKUP($Q109,'Threshold Summary'!$Y:$Y,'Threshold Summary'!$L:$L,"")/5+2)*pow*atk/def)/50)+2)),modifier,stab*eff,AVERAGE(ARRAYFORMULA(FLOOR(base*modifier*SEQUENCE(16,1,85,1)/100)))),0)</f>
        <v/>
      </c>
      <c r="M109" s="3">
        <f>IFERROR(LET(mtype,XLOOKUP($D109,'Move Editor'!$B:$B,'Move Editor'!$C:$C,""),cat,XLOOKUP($D109,'Move Editor'!$B:$B,'Move Editor'!$D:$D,""),pow,XLOOKUP($D109,'Move Editor'!$B:$B,'Move Editor'!$E:$E,0),acc,XLOOKUP($D109,'Move Editor'!$B:$B,'Move Editor'!$F:$F,100),atk,IF(cat="Physical",FLOOR((FLOOR(((2*XLOOKUP(XLOOKUP($Q109,'Threshold Summary'!$Y:$Y,'Threshold Summary'!$K:$K,""),'Pokemon Editor'!$A:$A,'Pokemon Editor'!$F:$F,0)+31+FLOOR(XLOOKUP($Q109,'Threshold Summary'!$Y:$Y,'Threshold Summary'!$P:$P,"")/4))*XLOOKUP($Q109,'Threshold Summary'!$Y:$Y,'Threshold Summary'!$L:$L,""))/100)+5)*XLOOKUP(XLOOKUP($Q109,'Threshold Summary'!$Y:$Y,'Threshold Summary'!$M:$M,""),'Nature Editor'!$A:$A,'Nature Editor'!$B:$B,1)),FLOOR((FLOOR(((2*XLOOKUP(XLOOKUP($Q109,'Threshold Summary'!$Y:$Y,'Threshold Summary'!$K:$K,""),'Pokemon Editor'!$A:$A,'Pokemon Editor'!$H:$H,0)+31+FLOOR(XLOOKUP($Q109,'Threshold Summary'!$Y:$Y,'Threshold Summary'!$R:$R,"")/4))*XLOOKUP($Q109,'Threshold Summary'!$Y:$Y,'Threshold Summary'!$L:$L,""))/100)+5)*XLOOKUP(XLOOKUP($Q109,'Threshold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Editor'!$E:$E,1))),stab,IF(OR(mtype=XLOOKUP(XLOOKUP($Q109,'Threshold Summary'!$Y:$Y,'Threshold Summary'!$K:$K,""),'Pokemon Editor'!$A:$A,'Pokemon Editor'!$C:$C,""),mtype=XLOOKUP(XLOOKUP($Q109,'Threshold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Chart'!$B$1:$S$1,0)))),base,IF(OR(cat="Status",pow=0),0,FLOOR(FLOOR(FLOOR((2*XLOOKUP($Q109,'Threshold Summary'!$Y:$Y,'Threshold Summary'!$L:$L,"")/5+2)*pow*atk/def)/50)+2)),modifier,stab*eff,AVERAGE(ARRAYFORMULA(FLOOR(base*modifier*SEQUENCE(16,1,85,1)/100)))*MIN(1,acc/100)),0)</f>
        <v/>
      </c>
      <c r="N109" s="4">
        <f>IFERROR(LET(mtype,XLOOKUP($D109,'Move Editor'!$B:$B,'Move Editor'!$C:$C,""),cat,XLOOKUP($D109,'Move Editor'!$B:$B,'Move Editor'!$D:$D,""),pow,XLOOKUP($D109,'Move Editor'!$B:$B,'Move Editor'!$E:$E,0),acc,XLOOKUP($D109,'Move Editor'!$B:$B,'Move Editor'!$F:$F,100),atk,IF(cat="Physical",FLOOR((FLOOR(((2*XLOOKUP(XLOOKUP($Q109,'Threshold Summary'!$Y:$Y,'Threshold Summary'!$K:$K,""),'Pokemon Editor'!$A:$A,'Pokemon Editor'!$F:$F,0)+31+FLOOR(XLOOKUP($Q109,'Threshold Summary'!$Y:$Y,'Threshold Summary'!$P:$P,"")/4))*XLOOKUP($Q109,'Threshold Summary'!$Y:$Y,'Threshold Summary'!$L:$L,""))/100)+5)*XLOOKUP(XLOOKUP($Q109,'Threshold Summary'!$Y:$Y,'Threshold Summary'!$M:$M,""),'Nature Editor'!$A:$A,'Nature Editor'!$B:$B,1)),FLOOR((FLOOR(((2*XLOOKUP(XLOOKUP($Q109,'Threshold Summary'!$Y:$Y,'Threshold Summary'!$K:$K,""),'Pokemon Editor'!$A:$A,'Pokemon Editor'!$H:$H,0)+31+FLOOR(XLOOKUP($Q109,'Threshold Summary'!$Y:$Y,'Threshold Summary'!$R:$R,"")/4))*XLOOKUP($Q109,'Threshold Summary'!$Y:$Y,'Threshold Summary'!$L:$L,""))/100)+5)*XLOOKUP(XLOOKUP($Q109,'Threshold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Editor'!$E:$E,1))),stab,IF(OR(mtype=XLOOKUP(XLOOKUP($Q109,'Threshold Summary'!$Y:$Y,'Threshold Summary'!$K:$K,""),'Pokemon Editor'!$A:$A,'Pokemon Editor'!$C:$C,""),mtype=XLOOKUP(XLOOKUP($Q109,'Threshold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Chart'!$B$1:$S$1,0)))),base,IF(OR(cat="Status",pow=0),0,FLOOR(FLOOR(FLOOR((2*XLOOKUP($Q109,'Threshold Summary'!$Y:$Y,'Threshold Summary'!$L:$L,"")/5+2)*pow*atk/def)/50)+2)),modifier,stab*eff,AVERAGE(ARRAYFORMULA(FLOOR(base*modifier*SEQUENCE(16,1,85,1)/100)))/(FLOOR(((2*XLOOKUP('Boss Editor'!$C$4,'Pokemon Editor'!$A:$A,'Pokemon Editor'!$E:$E,0)+31+FLOOR('Boss Editor'!$G$4/4))*'Boss Editor'!$D$4)/100)+'Boss Editor'!$D$4+10)),0)</f>
        <v/>
      </c>
      <c r="O109" s="3">
        <f>IF(N109&gt;=1,"OHKO",IF(N109&gt;=0.5,"2HKO",IF(N109&gt;=0.333,"3HKO",IF(N109&gt;=0.25,"4HKO","5HKO+"))))</f>
        <v/>
      </c>
      <c r="P109" s="3" t="inlineStr">
        <is>
          <t>Live from editable databases</t>
        </is>
      </c>
      <c r="Q109" s="3" t="inlineStr">
        <is>
          <t>SPECIES_TREECKO</t>
        </is>
      </c>
      <c r="R109" s="3" t="n">
        <v>12</v>
      </c>
    </row>
    <row r="110">
      <c r="A110" s="3">
        <f>XLOOKUP($Q110,'Threshold Summary'!$Y:$Y,'Threshold Summary'!$A:$A,"")</f>
        <v/>
      </c>
      <c r="B110" s="3">
        <f>XLOOKUP($Q110,'Threshold Summary'!$Y:$Y,'Threshold Summary'!$M:$M,"")</f>
        <v/>
      </c>
      <c r="C110" s="3">
        <f>XLOOKUP($Q110,'Threshold Summary'!$Y:$Y,'Threshold Summary'!$N:$N,"")</f>
        <v/>
      </c>
      <c r="D110" s="3">
        <f>IFERROR(INDEX(FILTER('Learnset Editor'!$D$2:$D,'Learnset Editor'!$A$2:$A=XLOOKUP($Q110,'Threshold Summary'!$Y:$Y,'Threshold Summary'!$K:$K,""),'Learnset Editor'!$C$2:$C&lt;=XLOOKUP($Q110,'Threshold Summary'!$Y:$Y,'Threshold Summary'!$L:$L,"")),$R110),"")</f>
        <v/>
      </c>
      <c r="E110" s="3">
        <f>XLOOKUP(D110,'Move Editor'!$B:$B,'Move Editor'!$C:$C,"")</f>
        <v/>
      </c>
      <c r="F110" s="3">
        <f>XLOOKUP(D110,'Move Editor'!$B:$B,'Move Editor'!$D:$D,"")</f>
        <v/>
      </c>
      <c r="G110" s="3">
        <f>XLOOKUP(D110,'Move Editor'!$B:$B,'Move Editor'!$E:$E,0)</f>
        <v/>
      </c>
      <c r="H110" s="3">
        <f>XLOOKUP(D110,'Move Editor'!$B:$B,'Move Editor'!$F:$F,0)</f>
        <v/>
      </c>
      <c r="I110" s="3">
        <f>(INDEX('Type Chart'!$B:$S,MATCH(E110,'Type Chart'!$A:$A,0),MATCH(XLOOKUP('Boss Editor'!$C$4,'Pokemon Editor'!$A:$A,'Pokemon Editor'!$C:$C,""),'Type Chart'!$B$1:$S$1,0))*IF(XLOOKUP('Boss Editor'!$C$4,'Pokemon Editor'!$A:$A,'Pokemon Editor'!$D:$D,"")="",1,INDEX('Type Chart'!$B:$S,MATCH(E110,'Type Chart'!$A:$A,0),MATCH(XLOOKUP('Boss Editor'!$C$4,'Pokemon Editor'!$A:$A,'Pokemon Editor'!$D:$D,""),'Type Chart'!$B$1:$S$1,0))))</f>
        <v/>
      </c>
      <c r="J110" s="3">
        <f>IFERROR(LET(mtype,XLOOKUP($D110,'Move Editor'!$B:$B,'Move Editor'!$C:$C,""),cat,XLOOKUP($D110,'Move Editor'!$B:$B,'Move Editor'!$D:$D,""),pow,XLOOKUP($D110,'Move Editor'!$B:$B,'Move Editor'!$E:$E,0),acc,XLOOKUP($D110,'Move Editor'!$B:$B,'Move Editor'!$F:$F,100),atk,IF(cat="Physical",FLOOR((FLOOR(((2*XLOOKUP(XLOOKUP($Q110,'Threshold Summary'!$Y:$Y,'Threshold Summary'!$K:$K,""),'Pokemon Editor'!$A:$A,'Pokemon Editor'!$F:$F,0)+31+FLOOR(XLOOKUP($Q110,'Threshold Summary'!$Y:$Y,'Threshold Summary'!$P:$P,"")/4))*XLOOKUP($Q110,'Threshold Summary'!$Y:$Y,'Threshold Summary'!$L:$L,""))/100)+5)*XLOOKUP(XLOOKUP($Q110,'Threshold Summary'!$Y:$Y,'Threshold Summary'!$M:$M,""),'Nature Editor'!$A:$A,'Nature Editor'!$B:$B,1)),FLOOR((FLOOR(((2*XLOOKUP(XLOOKUP($Q110,'Threshold Summary'!$Y:$Y,'Threshold Summary'!$K:$K,""),'Pokemon Editor'!$A:$A,'Pokemon Editor'!$H:$H,0)+31+FLOOR(XLOOKUP($Q110,'Threshold Summary'!$Y:$Y,'Threshold Summary'!$R:$R,"")/4))*XLOOKUP($Q110,'Threshold Summary'!$Y:$Y,'Threshold Summary'!$L:$L,""))/100)+5)*XLOOKUP(XLOOKUP($Q110,'Threshold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Editor'!$E:$E,1))),stab,IF(OR(mtype=XLOOKUP(XLOOKUP($Q110,'Threshold Summary'!$Y:$Y,'Threshold Summary'!$K:$K,""),'Pokemon Editor'!$A:$A,'Pokemon Editor'!$C:$C,""),mtype=XLOOKUP(XLOOKUP($Q110,'Threshold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Chart'!$B$1:$S$1,0)))),base,IF(OR(cat="Status",pow=0),0,FLOOR(FLOOR(FLOOR((2*XLOOKUP($Q110,'Threshold Summary'!$Y:$Y,'Threshold Summary'!$L:$L,"")/5+2)*pow*atk/def)/50)+2)),modifier,stab*eff,FLOOR(base*modifier*0.85)),0)</f>
        <v/>
      </c>
      <c r="K110" s="3">
        <f>IFERROR(LET(mtype,XLOOKUP($D110,'Move Editor'!$B:$B,'Move Editor'!$C:$C,""),cat,XLOOKUP($D110,'Move Editor'!$B:$B,'Move Editor'!$D:$D,""),pow,XLOOKUP($D110,'Move Editor'!$B:$B,'Move Editor'!$E:$E,0),acc,XLOOKUP($D110,'Move Editor'!$B:$B,'Move Editor'!$F:$F,100),atk,IF(cat="Physical",FLOOR((FLOOR(((2*XLOOKUP(XLOOKUP($Q110,'Threshold Summary'!$Y:$Y,'Threshold Summary'!$K:$K,""),'Pokemon Editor'!$A:$A,'Pokemon Editor'!$F:$F,0)+31+FLOOR(XLOOKUP($Q110,'Threshold Summary'!$Y:$Y,'Threshold Summary'!$P:$P,"")/4))*XLOOKUP($Q110,'Threshold Summary'!$Y:$Y,'Threshold Summary'!$L:$L,""))/100)+5)*XLOOKUP(XLOOKUP($Q110,'Threshold Summary'!$Y:$Y,'Threshold Summary'!$M:$M,""),'Nature Editor'!$A:$A,'Nature Editor'!$B:$B,1)),FLOOR((FLOOR(((2*XLOOKUP(XLOOKUP($Q110,'Threshold Summary'!$Y:$Y,'Threshold Summary'!$K:$K,""),'Pokemon Editor'!$A:$A,'Pokemon Editor'!$H:$H,0)+31+FLOOR(XLOOKUP($Q110,'Threshold Summary'!$Y:$Y,'Threshold Summary'!$R:$R,"")/4))*XLOOKUP($Q110,'Threshold Summary'!$Y:$Y,'Threshold Summary'!$L:$L,""))/100)+5)*XLOOKUP(XLOOKUP($Q110,'Threshold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Editor'!$E:$E,1))),stab,IF(OR(mtype=XLOOKUP(XLOOKUP($Q110,'Threshold Summary'!$Y:$Y,'Threshold Summary'!$K:$K,""),'Pokemon Editor'!$A:$A,'Pokemon Editor'!$C:$C,""),mtype=XLOOKUP(XLOOKUP($Q110,'Threshold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Chart'!$B$1:$S$1,0)))),base,IF(OR(cat="Status",pow=0),0,FLOOR(FLOOR(FLOOR((2*XLOOKUP($Q110,'Threshold Summary'!$Y:$Y,'Threshold Summary'!$L:$L,"")/5+2)*pow*atk/def)/50)+2)),modifier,stab*eff,FLOOR(base*modifier)),0)</f>
        <v/>
      </c>
      <c r="L110" s="3">
        <f>IFERROR(LET(mtype,XLOOKUP($D110,'Move Editor'!$B:$B,'Move Editor'!$C:$C,""),cat,XLOOKUP($D110,'Move Editor'!$B:$B,'Move Editor'!$D:$D,""),pow,XLOOKUP($D110,'Move Editor'!$B:$B,'Move Editor'!$E:$E,0),acc,XLOOKUP($D110,'Move Editor'!$B:$B,'Move Editor'!$F:$F,100),atk,IF(cat="Physical",FLOOR((FLOOR(((2*XLOOKUP(XLOOKUP($Q110,'Threshold Summary'!$Y:$Y,'Threshold Summary'!$K:$K,""),'Pokemon Editor'!$A:$A,'Pokemon Editor'!$F:$F,0)+31+FLOOR(XLOOKUP($Q110,'Threshold Summary'!$Y:$Y,'Threshold Summary'!$P:$P,"")/4))*XLOOKUP($Q110,'Threshold Summary'!$Y:$Y,'Threshold Summary'!$L:$L,""))/100)+5)*XLOOKUP(XLOOKUP($Q110,'Threshold Summary'!$Y:$Y,'Threshold Summary'!$M:$M,""),'Nature Editor'!$A:$A,'Nature Editor'!$B:$B,1)),FLOOR((FLOOR(((2*XLOOKUP(XLOOKUP($Q110,'Threshold Summary'!$Y:$Y,'Threshold Summary'!$K:$K,""),'Pokemon Editor'!$A:$A,'Pokemon Editor'!$H:$H,0)+31+FLOOR(XLOOKUP($Q110,'Threshold Summary'!$Y:$Y,'Threshold Summary'!$R:$R,"")/4))*XLOOKUP($Q110,'Threshold Summary'!$Y:$Y,'Threshold Summary'!$L:$L,""))/100)+5)*XLOOKUP(XLOOKUP($Q110,'Threshold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Editor'!$E:$E,1))),stab,IF(OR(mtype=XLOOKUP(XLOOKUP($Q110,'Threshold Summary'!$Y:$Y,'Threshold Summary'!$K:$K,""),'Pokemon Editor'!$A:$A,'Pokemon Editor'!$C:$C,""),mtype=XLOOKUP(XLOOKUP($Q110,'Threshold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Chart'!$B$1:$S$1,0)))),base,IF(OR(cat="Status",pow=0),0,FLOOR(FLOOR(FLOOR((2*XLOOKUP($Q110,'Threshold Summary'!$Y:$Y,'Threshold Summary'!$L:$L,"")/5+2)*pow*atk/def)/50)+2)),modifier,stab*eff,AVERAGE(ARRAYFORMULA(FLOOR(base*modifier*SEQUENCE(16,1,85,1)/100)))),0)</f>
        <v/>
      </c>
      <c r="M110" s="3">
        <f>IFERROR(LET(mtype,XLOOKUP($D110,'Move Editor'!$B:$B,'Move Editor'!$C:$C,""),cat,XLOOKUP($D110,'Move Editor'!$B:$B,'Move Editor'!$D:$D,""),pow,XLOOKUP($D110,'Move Editor'!$B:$B,'Move Editor'!$E:$E,0),acc,XLOOKUP($D110,'Move Editor'!$B:$B,'Move Editor'!$F:$F,100),atk,IF(cat="Physical",FLOOR((FLOOR(((2*XLOOKUP(XLOOKUP($Q110,'Threshold Summary'!$Y:$Y,'Threshold Summary'!$K:$K,""),'Pokemon Editor'!$A:$A,'Pokemon Editor'!$F:$F,0)+31+FLOOR(XLOOKUP($Q110,'Threshold Summary'!$Y:$Y,'Threshold Summary'!$P:$P,"")/4))*XLOOKUP($Q110,'Threshold Summary'!$Y:$Y,'Threshold Summary'!$L:$L,""))/100)+5)*XLOOKUP(XLOOKUP($Q110,'Threshold Summary'!$Y:$Y,'Threshold Summary'!$M:$M,""),'Nature Editor'!$A:$A,'Nature Editor'!$B:$B,1)),FLOOR((FLOOR(((2*XLOOKUP(XLOOKUP($Q110,'Threshold Summary'!$Y:$Y,'Threshold Summary'!$K:$K,""),'Pokemon Editor'!$A:$A,'Pokemon Editor'!$H:$H,0)+31+FLOOR(XLOOKUP($Q110,'Threshold Summary'!$Y:$Y,'Threshold Summary'!$R:$R,"")/4))*XLOOKUP($Q110,'Threshold Summary'!$Y:$Y,'Threshold Summary'!$L:$L,""))/100)+5)*XLOOKUP(XLOOKUP($Q110,'Threshold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Editor'!$E:$E,1))),stab,IF(OR(mtype=XLOOKUP(XLOOKUP($Q110,'Threshold Summary'!$Y:$Y,'Threshold Summary'!$K:$K,""),'Pokemon Editor'!$A:$A,'Pokemon Editor'!$C:$C,""),mtype=XLOOKUP(XLOOKUP($Q110,'Threshold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Chart'!$B$1:$S$1,0)))),base,IF(OR(cat="Status",pow=0),0,FLOOR(FLOOR(FLOOR((2*XLOOKUP($Q110,'Threshold Summary'!$Y:$Y,'Threshold Summary'!$L:$L,"")/5+2)*pow*atk/def)/50)+2)),modifier,stab*eff,AVERAGE(ARRAYFORMULA(FLOOR(base*modifier*SEQUENCE(16,1,85,1)/100)))*MIN(1,acc/100)),0)</f>
        <v/>
      </c>
      <c r="N110" s="4">
        <f>IFERROR(LET(mtype,XLOOKUP($D110,'Move Editor'!$B:$B,'Move Editor'!$C:$C,""),cat,XLOOKUP($D110,'Move Editor'!$B:$B,'Move Editor'!$D:$D,""),pow,XLOOKUP($D110,'Move Editor'!$B:$B,'Move Editor'!$E:$E,0),acc,XLOOKUP($D110,'Move Editor'!$B:$B,'Move Editor'!$F:$F,100),atk,IF(cat="Physical",FLOOR((FLOOR(((2*XLOOKUP(XLOOKUP($Q110,'Threshold Summary'!$Y:$Y,'Threshold Summary'!$K:$K,""),'Pokemon Editor'!$A:$A,'Pokemon Editor'!$F:$F,0)+31+FLOOR(XLOOKUP($Q110,'Threshold Summary'!$Y:$Y,'Threshold Summary'!$P:$P,"")/4))*XLOOKUP($Q110,'Threshold Summary'!$Y:$Y,'Threshold Summary'!$L:$L,""))/100)+5)*XLOOKUP(XLOOKUP($Q110,'Threshold Summary'!$Y:$Y,'Threshold Summary'!$M:$M,""),'Nature Editor'!$A:$A,'Nature Editor'!$B:$B,1)),FLOOR((FLOOR(((2*XLOOKUP(XLOOKUP($Q110,'Threshold Summary'!$Y:$Y,'Threshold Summary'!$K:$K,""),'Pokemon Editor'!$A:$A,'Pokemon Editor'!$H:$H,0)+31+FLOOR(XLOOKUP($Q110,'Threshold Summary'!$Y:$Y,'Threshold Summary'!$R:$R,"")/4))*XLOOKUP($Q110,'Threshold Summary'!$Y:$Y,'Threshold Summary'!$L:$L,""))/100)+5)*XLOOKUP(XLOOKUP($Q110,'Threshold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Editor'!$E:$E,1))),stab,IF(OR(mtype=XLOOKUP(XLOOKUP($Q110,'Threshold Summary'!$Y:$Y,'Threshold Summary'!$K:$K,""),'Pokemon Editor'!$A:$A,'Pokemon Editor'!$C:$C,""),mtype=XLOOKUP(XLOOKUP($Q110,'Threshold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Chart'!$B$1:$S$1,0)))),base,IF(OR(cat="Status",pow=0),0,FLOOR(FLOOR(FLOOR((2*XLOOKUP($Q110,'Threshold Summary'!$Y:$Y,'Threshold Summary'!$L:$L,"")/5+2)*pow*atk/def)/50)+2)),modifier,stab*eff,AVERAGE(ARRAYFORMULA(FLOOR(base*modifier*SEQUENCE(16,1,85,1)/100)))/(FLOOR(((2*XLOOKUP('Boss Editor'!$C$4,'Pokemon Editor'!$A:$A,'Pokemon Editor'!$E:$E,0)+31+FLOOR('Boss Editor'!$G$4/4))*'Boss Editor'!$D$4)/100)+'Boss Editor'!$D$4+10)),0)</f>
        <v/>
      </c>
      <c r="O110" s="3">
        <f>IF(N110&gt;=1,"OHKO",IF(N110&gt;=0.5,"2HKO",IF(N110&gt;=0.333,"3HKO",IF(N110&gt;=0.25,"4HKO","5HKO+"))))</f>
        <v/>
      </c>
      <c r="P110" s="3" t="inlineStr">
        <is>
          <t>Live from editable databases</t>
        </is>
      </c>
      <c r="Q110" s="3" t="inlineStr">
        <is>
          <t>SPECIES_TREECKO</t>
        </is>
      </c>
      <c r="R110" s="3" t="n">
        <v>13</v>
      </c>
    </row>
    <row r="111">
      <c r="A111" s="3">
        <f>XLOOKUP($Q111,'Threshold Summary'!$Y:$Y,'Threshold Summary'!$A:$A,"")</f>
        <v/>
      </c>
      <c r="B111" s="3">
        <f>XLOOKUP($Q111,'Threshold Summary'!$Y:$Y,'Threshold Summary'!$M:$M,"")</f>
        <v/>
      </c>
      <c r="C111" s="3">
        <f>XLOOKUP($Q111,'Threshold Summary'!$Y:$Y,'Threshold Summary'!$N:$N,"")</f>
        <v/>
      </c>
      <c r="D111" s="3">
        <f>IFERROR(INDEX(FILTER('Learnset Editor'!$D$2:$D,'Learnset Editor'!$A$2:$A=XLOOKUP($Q111,'Threshold Summary'!$Y:$Y,'Threshold Summary'!$K:$K,""),'Learnset Editor'!$C$2:$C&lt;=XLOOKUP($Q111,'Threshold Summary'!$Y:$Y,'Threshold Summary'!$L:$L,"")),$R111),"")</f>
        <v/>
      </c>
      <c r="E111" s="3">
        <f>XLOOKUP(D111,'Move Editor'!$B:$B,'Move Editor'!$C:$C,"")</f>
        <v/>
      </c>
      <c r="F111" s="3">
        <f>XLOOKUP(D111,'Move Editor'!$B:$B,'Move Editor'!$D:$D,"")</f>
        <v/>
      </c>
      <c r="G111" s="3">
        <f>XLOOKUP(D111,'Move Editor'!$B:$B,'Move Editor'!$E:$E,0)</f>
        <v/>
      </c>
      <c r="H111" s="3">
        <f>XLOOKUP(D111,'Move Editor'!$B:$B,'Move Editor'!$F:$F,0)</f>
        <v/>
      </c>
      <c r="I111" s="3">
        <f>(INDEX('Type Chart'!$B:$S,MATCH(E111,'Type Chart'!$A:$A,0),MATCH(XLOOKUP('Boss Editor'!$C$4,'Pokemon Editor'!$A:$A,'Pokemon Editor'!$C:$C,""),'Type Chart'!$B$1:$S$1,0))*IF(XLOOKUP('Boss Editor'!$C$4,'Pokemon Editor'!$A:$A,'Pokemon Editor'!$D:$D,"")="",1,INDEX('Type Chart'!$B:$S,MATCH(E111,'Type Chart'!$A:$A,0),MATCH(XLOOKUP('Boss Editor'!$C$4,'Pokemon Editor'!$A:$A,'Pokemon Editor'!$D:$D,""),'Type Chart'!$B$1:$S$1,0))))</f>
        <v/>
      </c>
      <c r="J111" s="3">
        <f>IFERROR(LET(mtype,XLOOKUP($D111,'Move Editor'!$B:$B,'Move Editor'!$C:$C,""),cat,XLOOKUP($D111,'Move Editor'!$B:$B,'Move Editor'!$D:$D,""),pow,XLOOKUP($D111,'Move Editor'!$B:$B,'Move Editor'!$E:$E,0),acc,XLOOKUP($D111,'Move Editor'!$B:$B,'Move Editor'!$F:$F,100),atk,IF(cat="Physical",FLOOR((FLOOR(((2*XLOOKUP(XLOOKUP($Q111,'Threshold Summary'!$Y:$Y,'Threshold Summary'!$K:$K,""),'Pokemon Editor'!$A:$A,'Pokemon Editor'!$F:$F,0)+31+FLOOR(XLOOKUP($Q111,'Threshold Summary'!$Y:$Y,'Threshold Summary'!$P:$P,"")/4))*XLOOKUP($Q111,'Threshold Summary'!$Y:$Y,'Threshold Summary'!$L:$L,""))/100)+5)*XLOOKUP(XLOOKUP($Q111,'Threshold Summary'!$Y:$Y,'Threshold Summary'!$M:$M,""),'Nature Editor'!$A:$A,'Nature Editor'!$B:$B,1)),FLOOR((FLOOR(((2*XLOOKUP(XLOOKUP($Q111,'Threshold Summary'!$Y:$Y,'Threshold Summary'!$K:$K,""),'Pokemon Editor'!$A:$A,'Pokemon Editor'!$H:$H,0)+31+FLOOR(XLOOKUP($Q111,'Threshold Summary'!$Y:$Y,'Threshold Summary'!$R:$R,"")/4))*XLOOKUP($Q111,'Threshold Summary'!$Y:$Y,'Threshold Summary'!$L:$L,""))/100)+5)*XLOOKUP(XLOOKUP($Q111,'Threshold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Editor'!$E:$E,1))),stab,IF(OR(mtype=XLOOKUP(XLOOKUP($Q111,'Threshold Summary'!$Y:$Y,'Threshold Summary'!$K:$K,""),'Pokemon Editor'!$A:$A,'Pokemon Editor'!$C:$C,""),mtype=XLOOKUP(XLOOKUP($Q111,'Threshold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Chart'!$B$1:$S$1,0)))),base,IF(OR(cat="Status",pow=0),0,FLOOR(FLOOR(FLOOR((2*XLOOKUP($Q111,'Threshold Summary'!$Y:$Y,'Threshold Summary'!$L:$L,"")/5+2)*pow*atk/def)/50)+2)),modifier,stab*eff,FLOOR(base*modifier*0.85)),0)</f>
        <v/>
      </c>
      <c r="K111" s="3">
        <f>IFERROR(LET(mtype,XLOOKUP($D111,'Move Editor'!$B:$B,'Move Editor'!$C:$C,""),cat,XLOOKUP($D111,'Move Editor'!$B:$B,'Move Editor'!$D:$D,""),pow,XLOOKUP($D111,'Move Editor'!$B:$B,'Move Editor'!$E:$E,0),acc,XLOOKUP($D111,'Move Editor'!$B:$B,'Move Editor'!$F:$F,100),atk,IF(cat="Physical",FLOOR((FLOOR(((2*XLOOKUP(XLOOKUP($Q111,'Threshold Summary'!$Y:$Y,'Threshold Summary'!$K:$K,""),'Pokemon Editor'!$A:$A,'Pokemon Editor'!$F:$F,0)+31+FLOOR(XLOOKUP($Q111,'Threshold Summary'!$Y:$Y,'Threshold Summary'!$P:$P,"")/4))*XLOOKUP($Q111,'Threshold Summary'!$Y:$Y,'Threshold Summary'!$L:$L,""))/100)+5)*XLOOKUP(XLOOKUP($Q111,'Threshold Summary'!$Y:$Y,'Threshold Summary'!$M:$M,""),'Nature Editor'!$A:$A,'Nature Editor'!$B:$B,1)),FLOOR((FLOOR(((2*XLOOKUP(XLOOKUP($Q111,'Threshold Summary'!$Y:$Y,'Threshold Summary'!$K:$K,""),'Pokemon Editor'!$A:$A,'Pokemon Editor'!$H:$H,0)+31+FLOOR(XLOOKUP($Q111,'Threshold Summary'!$Y:$Y,'Threshold Summary'!$R:$R,"")/4))*XLOOKUP($Q111,'Threshold Summary'!$Y:$Y,'Threshold Summary'!$L:$L,""))/100)+5)*XLOOKUP(XLOOKUP($Q111,'Threshold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Editor'!$E:$E,1))),stab,IF(OR(mtype=XLOOKUP(XLOOKUP($Q111,'Threshold Summary'!$Y:$Y,'Threshold Summary'!$K:$K,""),'Pokemon Editor'!$A:$A,'Pokemon Editor'!$C:$C,""),mtype=XLOOKUP(XLOOKUP($Q111,'Threshold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Chart'!$B$1:$S$1,0)))),base,IF(OR(cat="Status",pow=0),0,FLOOR(FLOOR(FLOOR((2*XLOOKUP($Q111,'Threshold Summary'!$Y:$Y,'Threshold Summary'!$L:$L,"")/5+2)*pow*atk/def)/50)+2)),modifier,stab*eff,FLOOR(base*modifier)),0)</f>
        <v/>
      </c>
      <c r="L111" s="3">
        <f>IFERROR(LET(mtype,XLOOKUP($D111,'Move Editor'!$B:$B,'Move Editor'!$C:$C,""),cat,XLOOKUP($D111,'Move Editor'!$B:$B,'Move Editor'!$D:$D,""),pow,XLOOKUP($D111,'Move Editor'!$B:$B,'Move Editor'!$E:$E,0),acc,XLOOKUP($D111,'Move Editor'!$B:$B,'Move Editor'!$F:$F,100),atk,IF(cat="Physical",FLOOR((FLOOR(((2*XLOOKUP(XLOOKUP($Q111,'Threshold Summary'!$Y:$Y,'Threshold Summary'!$K:$K,""),'Pokemon Editor'!$A:$A,'Pokemon Editor'!$F:$F,0)+31+FLOOR(XLOOKUP($Q111,'Threshold Summary'!$Y:$Y,'Threshold Summary'!$P:$P,"")/4))*XLOOKUP($Q111,'Threshold Summary'!$Y:$Y,'Threshold Summary'!$L:$L,""))/100)+5)*XLOOKUP(XLOOKUP($Q111,'Threshold Summary'!$Y:$Y,'Threshold Summary'!$M:$M,""),'Nature Editor'!$A:$A,'Nature Editor'!$B:$B,1)),FLOOR((FLOOR(((2*XLOOKUP(XLOOKUP($Q111,'Threshold Summary'!$Y:$Y,'Threshold Summary'!$K:$K,""),'Pokemon Editor'!$A:$A,'Pokemon Editor'!$H:$H,0)+31+FLOOR(XLOOKUP($Q111,'Threshold Summary'!$Y:$Y,'Threshold Summary'!$R:$R,"")/4))*XLOOKUP($Q111,'Threshold Summary'!$Y:$Y,'Threshold Summary'!$L:$L,""))/100)+5)*XLOOKUP(XLOOKUP($Q111,'Threshold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Editor'!$E:$E,1))),stab,IF(OR(mtype=XLOOKUP(XLOOKUP($Q111,'Threshold Summary'!$Y:$Y,'Threshold Summary'!$K:$K,""),'Pokemon Editor'!$A:$A,'Pokemon Editor'!$C:$C,""),mtype=XLOOKUP(XLOOKUP($Q111,'Threshold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Chart'!$B$1:$S$1,0)))),base,IF(OR(cat="Status",pow=0),0,FLOOR(FLOOR(FLOOR((2*XLOOKUP($Q111,'Threshold Summary'!$Y:$Y,'Threshold Summary'!$L:$L,"")/5+2)*pow*atk/def)/50)+2)),modifier,stab*eff,AVERAGE(ARRAYFORMULA(FLOOR(base*modifier*SEQUENCE(16,1,85,1)/100)))),0)</f>
        <v/>
      </c>
      <c r="M111" s="3">
        <f>IFERROR(LET(mtype,XLOOKUP($D111,'Move Editor'!$B:$B,'Move Editor'!$C:$C,""),cat,XLOOKUP($D111,'Move Editor'!$B:$B,'Move Editor'!$D:$D,""),pow,XLOOKUP($D111,'Move Editor'!$B:$B,'Move Editor'!$E:$E,0),acc,XLOOKUP($D111,'Move Editor'!$B:$B,'Move Editor'!$F:$F,100),atk,IF(cat="Physical",FLOOR((FLOOR(((2*XLOOKUP(XLOOKUP($Q111,'Threshold Summary'!$Y:$Y,'Threshold Summary'!$K:$K,""),'Pokemon Editor'!$A:$A,'Pokemon Editor'!$F:$F,0)+31+FLOOR(XLOOKUP($Q111,'Threshold Summary'!$Y:$Y,'Threshold Summary'!$P:$P,"")/4))*XLOOKUP($Q111,'Threshold Summary'!$Y:$Y,'Threshold Summary'!$L:$L,""))/100)+5)*XLOOKUP(XLOOKUP($Q111,'Threshold Summary'!$Y:$Y,'Threshold Summary'!$M:$M,""),'Nature Editor'!$A:$A,'Nature Editor'!$B:$B,1)),FLOOR((FLOOR(((2*XLOOKUP(XLOOKUP($Q111,'Threshold Summary'!$Y:$Y,'Threshold Summary'!$K:$K,""),'Pokemon Editor'!$A:$A,'Pokemon Editor'!$H:$H,0)+31+FLOOR(XLOOKUP($Q111,'Threshold Summary'!$Y:$Y,'Threshold Summary'!$R:$R,"")/4))*XLOOKUP($Q111,'Threshold Summary'!$Y:$Y,'Threshold Summary'!$L:$L,""))/100)+5)*XLOOKUP(XLOOKUP($Q111,'Threshold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Editor'!$E:$E,1))),stab,IF(OR(mtype=XLOOKUP(XLOOKUP($Q111,'Threshold Summary'!$Y:$Y,'Threshold Summary'!$K:$K,""),'Pokemon Editor'!$A:$A,'Pokemon Editor'!$C:$C,""),mtype=XLOOKUP(XLOOKUP($Q111,'Threshold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Chart'!$B$1:$S$1,0)))),base,IF(OR(cat="Status",pow=0),0,FLOOR(FLOOR(FLOOR((2*XLOOKUP($Q111,'Threshold Summary'!$Y:$Y,'Threshold Summary'!$L:$L,"")/5+2)*pow*atk/def)/50)+2)),modifier,stab*eff,AVERAGE(ARRAYFORMULA(FLOOR(base*modifier*SEQUENCE(16,1,85,1)/100)))*MIN(1,acc/100)),0)</f>
        <v/>
      </c>
      <c r="N111" s="4">
        <f>IFERROR(LET(mtype,XLOOKUP($D111,'Move Editor'!$B:$B,'Move Editor'!$C:$C,""),cat,XLOOKUP($D111,'Move Editor'!$B:$B,'Move Editor'!$D:$D,""),pow,XLOOKUP($D111,'Move Editor'!$B:$B,'Move Editor'!$E:$E,0),acc,XLOOKUP($D111,'Move Editor'!$B:$B,'Move Editor'!$F:$F,100),atk,IF(cat="Physical",FLOOR((FLOOR(((2*XLOOKUP(XLOOKUP($Q111,'Threshold Summary'!$Y:$Y,'Threshold Summary'!$K:$K,""),'Pokemon Editor'!$A:$A,'Pokemon Editor'!$F:$F,0)+31+FLOOR(XLOOKUP($Q111,'Threshold Summary'!$Y:$Y,'Threshold Summary'!$P:$P,"")/4))*XLOOKUP($Q111,'Threshold Summary'!$Y:$Y,'Threshold Summary'!$L:$L,""))/100)+5)*XLOOKUP(XLOOKUP($Q111,'Threshold Summary'!$Y:$Y,'Threshold Summary'!$M:$M,""),'Nature Editor'!$A:$A,'Nature Editor'!$B:$B,1)),FLOOR((FLOOR(((2*XLOOKUP(XLOOKUP($Q111,'Threshold Summary'!$Y:$Y,'Threshold Summary'!$K:$K,""),'Pokemon Editor'!$A:$A,'Pokemon Editor'!$H:$H,0)+31+FLOOR(XLOOKUP($Q111,'Threshold Summary'!$Y:$Y,'Threshold Summary'!$R:$R,"")/4))*XLOOKUP($Q111,'Threshold Summary'!$Y:$Y,'Threshold Summary'!$L:$L,""))/100)+5)*XLOOKUP(XLOOKUP($Q111,'Threshold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Editor'!$E:$E,1))),stab,IF(OR(mtype=XLOOKUP(XLOOKUP($Q111,'Threshold Summary'!$Y:$Y,'Threshold Summary'!$K:$K,""),'Pokemon Editor'!$A:$A,'Pokemon Editor'!$C:$C,""),mtype=XLOOKUP(XLOOKUP($Q111,'Threshold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Chart'!$B$1:$S$1,0)))),base,IF(OR(cat="Status",pow=0),0,FLOOR(FLOOR(FLOOR((2*XLOOKUP($Q111,'Threshold Summary'!$Y:$Y,'Threshold Summary'!$L:$L,"")/5+2)*pow*atk/def)/50)+2)),modifier,stab*eff,AVERAGE(ARRAYFORMULA(FLOOR(base*modifier*SEQUENCE(16,1,85,1)/100)))/(FLOOR(((2*XLOOKUP('Boss Editor'!$C$4,'Pokemon Editor'!$A:$A,'Pokemon Editor'!$E:$E,0)+31+FLOOR('Boss Editor'!$G$4/4))*'Boss Editor'!$D$4)/100)+'Boss Editor'!$D$4+10)),0)</f>
        <v/>
      </c>
      <c r="O111" s="3">
        <f>IF(N111&gt;=1,"OHKO",IF(N111&gt;=0.5,"2HKO",IF(N111&gt;=0.333,"3HKO",IF(N111&gt;=0.25,"4HKO","5HKO+"))))</f>
        <v/>
      </c>
      <c r="P111" s="3" t="inlineStr">
        <is>
          <t>Live from editable databases</t>
        </is>
      </c>
      <c r="Q111" s="3" t="inlineStr">
        <is>
          <t>SPECIES_TREECKO</t>
        </is>
      </c>
      <c r="R111" s="3" t="n">
        <v>14</v>
      </c>
    </row>
    <row r="112">
      <c r="A112" s="3">
        <f>XLOOKUP($Q112,'Threshold Summary'!$Y:$Y,'Threshold Summary'!$A:$A,"")</f>
        <v/>
      </c>
      <c r="B112" s="3">
        <f>XLOOKUP($Q112,'Threshold Summary'!$Y:$Y,'Threshold Summary'!$M:$M,"")</f>
        <v/>
      </c>
      <c r="C112" s="3">
        <f>XLOOKUP($Q112,'Threshold Summary'!$Y:$Y,'Threshold Summary'!$N:$N,"")</f>
        <v/>
      </c>
      <c r="D112" s="3">
        <f>IFERROR(INDEX(FILTER('Learnset Editor'!$D$2:$D,'Learnset Editor'!$A$2:$A=XLOOKUP($Q112,'Threshold Summary'!$Y:$Y,'Threshold Summary'!$K:$K,""),'Learnset Editor'!$C$2:$C&lt;=XLOOKUP($Q112,'Threshold Summary'!$Y:$Y,'Threshold Summary'!$L:$L,"")),$R112),"")</f>
        <v/>
      </c>
      <c r="E112" s="3">
        <f>XLOOKUP(D112,'Move Editor'!$B:$B,'Move Editor'!$C:$C,"")</f>
        <v/>
      </c>
      <c r="F112" s="3">
        <f>XLOOKUP(D112,'Move Editor'!$B:$B,'Move Editor'!$D:$D,"")</f>
        <v/>
      </c>
      <c r="G112" s="3">
        <f>XLOOKUP(D112,'Move Editor'!$B:$B,'Move Editor'!$E:$E,0)</f>
        <v/>
      </c>
      <c r="H112" s="3">
        <f>XLOOKUP(D112,'Move Editor'!$B:$B,'Move Editor'!$F:$F,0)</f>
        <v/>
      </c>
      <c r="I112" s="3">
        <f>(INDEX('Type Chart'!$B:$S,MATCH(E112,'Type Chart'!$A:$A,0),MATCH(XLOOKUP('Boss Editor'!$C$4,'Pokemon Editor'!$A:$A,'Pokemon Editor'!$C:$C,""),'Type Chart'!$B$1:$S$1,0))*IF(XLOOKUP('Boss Editor'!$C$4,'Pokemon Editor'!$A:$A,'Pokemon Editor'!$D:$D,"")="",1,INDEX('Type Chart'!$B:$S,MATCH(E112,'Type Chart'!$A:$A,0),MATCH(XLOOKUP('Boss Editor'!$C$4,'Pokemon Editor'!$A:$A,'Pokemon Editor'!$D:$D,""),'Type Chart'!$B$1:$S$1,0))))</f>
        <v/>
      </c>
      <c r="J112" s="3">
        <f>IFERROR(LET(mtype,XLOOKUP($D112,'Move Editor'!$B:$B,'Move Editor'!$C:$C,""),cat,XLOOKUP($D112,'Move Editor'!$B:$B,'Move Editor'!$D:$D,""),pow,XLOOKUP($D112,'Move Editor'!$B:$B,'Move Editor'!$E:$E,0),acc,XLOOKUP($D112,'Move Editor'!$B:$B,'Move Editor'!$F:$F,100),atk,IF(cat="Physical",FLOOR((FLOOR(((2*XLOOKUP(XLOOKUP($Q112,'Threshold Summary'!$Y:$Y,'Threshold Summary'!$K:$K,""),'Pokemon Editor'!$A:$A,'Pokemon Editor'!$F:$F,0)+31+FLOOR(XLOOKUP($Q112,'Threshold Summary'!$Y:$Y,'Threshold Summary'!$P:$P,"")/4))*XLOOKUP($Q112,'Threshold Summary'!$Y:$Y,'Threshold Summary'!$L:$L,""))/100)+5)*XLOOKUP(XLOOKUP($Q112,'Threshold Summary'!$Y:$Y,'Threshold Summary'!$M:$M,""),'Nature Editor'!$A:$A,'Nature Editor'!$B:$B,1)),FLOOR((FLOOR(((2*XLOOKUP(XLOOKUP($Q112,'Threshold Summary'!$Y:$Y,'Threshold Summary'!$K:$K,""),'Pokemon Editor'!$A:$A,'Pokemon Editor'!$H:$H,0)+31+FLOOR(XLOOKUP($Q112,'Threshold Summary'!$Y:$Y,'Threshold Summary'!$R:$R,"")/4))*XLOOKUP($Q112,'Threshold Summary'!$Y:$Y,'Threshold Summary'!$L:$L,""))/100)+5)*XLOOKUP(XLOOKUP($Q112,'Threshold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Editor'!$E:$E,1))),stab,IF(OR(mtype=XLOOKUP(XLOOKUP($Q112,'Threshold Summary'!$Y:$Y,'Threshold Summary'!$K:$K,""),'Pokemon Editor'!$A:$A,'Pokemon Editor'!$C:$C,""),mtype=XLOOKUP(XLOOKUP($Q112,'Threshold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Chart'!$B$1:$S$1,0)))),base,IF(OR(cat="Status",pow=0),0,FLOOR(FLOOR(FLOOR((2*XLOOKUP($Q112,'Threshold Summary'!$Y:$Y,'Threshold Summary'!$L:$L,"")/5+2)*pow*atk/def)/50)+2)),modifier,stab*eff,FLOOR(base*modifier*0.85)),0)</f>
        <v/>
      </c>
      <c r="K112" s="3">
        <f>IFERROR(LET(mtype,XLOOKUP($D112,'Move Editor'!$B:$B,'Move Editor'!$C:$C,""),cat,XLOOKUP($D112,'Move Editor'!$B:$B,'Move Editor'!$D:$D,""),pow,XLOOKUP($D112,'Move Editor'!$B:$B,'Move Editor'!$E:$E,0),acc,XLOOKUP($D112,'Move Editor'!$B:$B,'Move Editor'!$F:$F,100),atk,IF(cat="Physical",FLOOR((FLOOR(((2*XLOOKUP(XLOOKUP($Q112,'Threshold Summary'!$Y:$Y,'Threshold Summary'!$K:$K,""),'Pokemon Editor'!$A:$A,'Pokemon Editor'!$F:$F,0)+31+FLOOR(XLOOKUP($Q112,'Threshold Summary'!$Y:$Y,'Threshold Summary'!$P:$P,"")/4))*XLOOKUP($Q112,'Threshold Summary'!$Y:$Y,'Threshold Summary'!$L:$L,""))/100)+5)*XLOOKUP(XLOOKUP($Q112,'Threshold Summary'!$Y:$Y,'Threshold Summary'!$M:$M,""),'Nature Editor'!$A:$A,'Nature Editor'!$B:$B,1)),FLOOR((FLOOR(((2*XLOOKUP(XLOOKUP($Q112,'Threshold Summary'!$Y:$Y,'Threshold Summary'!$K:$K,""),'Pokemon Editor'!$A:$A,'Pokemon Editor'!$H:$H,0)+31+FLOOR(XLOOKUP($Q112,'Threshold Summary'!$Y:$Y,'Threshold Summary'!$R:$R,"")/4))*XLOOKUP($Q112,'Threshold Summary'!$Y:$Y,'Threshold Summary'!$L:$L,""))/100)+5)*XLOOKUP(XLOOKUP($Q112,'Threshold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Editor'!$E:$E,1))),stab,IF(OR(mtype=XLOOKUP(XLOOKUP($Q112,'Threshold Summary'!$Y:$Y,'Threshold Summary'!$K:$K,""),'Pokemon Editor'!$A:$A,'Pokemon Editor'!$C:$C,""),mtype=XLOOKUP(XLOOKUP($Q112,'Threshold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Chart'!$B$1:$S$1,0)))),base,IF(OR(cat="Status",pow=0),0,FLOOR(FLOOR(FLOOR((2*XLOOKUP($Q112,'Threshold Summary'!$Y:$Y,'Threshold Summary'!$L:$L,"")/5+2)*pow*atk/def)/50)+2)),modifier,stab*eff,FLOOR(base*modifier)),0)</f>
        <v/>
      </c>
      <c r="L112" s="3">
        <f>IFERROR(LET(mtype,XLOOKUP($D112,'Move Editor'!$B:$B,'Move Editor'!$C:$C,""),cat,XLOOKUP($D112,'Move Editor'!$B:$B,'Move Editor'!$D:$D,""),pow,XLOOKUP($D112,'Move Editor'!$B:$B,'Move Editor'!$E:$E,0),acc,XLOOKUP($D112,'Move Editor'!$B:$B,'Move Editor'!$F:$F,100),atk,IF(cat="Physical",FLOOR((FLOOR(((2*XLOOKUP(XLOOKUP($Q112,'Threshold Summary'!$Y:$Y,'Threshold Summary'!$K:$K,""),'Pokemon Editor'!$A:$A,'Pokemon Editor'!$F:$F,0)+31+FLOOR(XLOOKUP($Q112,'Threshold Summary'!$Y:$Y,'Threshold Summary'!$P:$P,"")/4))*XLOOKUP($Q112,'Threshold Summary'!$Y:$Y,'Threshold Summary'!$L:$L,""))/100)+5)*XLOOKUP(XLOOKUP($Q112,'Threshold Summary'!$Y:$Y,'Threshold Summary'!$M:$M,""),'Nature Editor'!$A:$A,'Nature Editor'!$B:$B,1)),FLOOR((FLOOR(((2*XLOOKUP(XLOOKUP($Q112,'Threshold Summary'!$Y:$Y,'Threshold Summary'!$K:$K,""),'Pokemon Editor'!$A:$A,'Pokemon Editor'!$H:$H,0)+31+FLOOR(XLOOKUP($Q112,'Threshold Summary'!$Y:$Y,'Threshold Summary'!$R:$R,"")/4))*XLOOKUP($Q112,'Threshold Summary'!$Y:$Y,'Threshold Summary'!$L:$L,""))/100)+5)*XLOOKUP(XLOOKUP($Q112,'Threshold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Editor'!$E:$E,1))),stab,IF(OR(mtype=XLOOKUP(XLOOKUP($Q112,'Threshold Summary'!$Y:$Y,'Threshold Summary'!$K:$K,""),'Pokemon Editor'!$A:$A,'Pokemon Editor'!$C:$C,""),mtype=XLOOKUP(XLOOKUP($Q112,'Threshold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Chart'!$B$1:$S$1,0)))),base,IF(OR(cat="Status",pow=0),0,FLOOR(FLOOR(FLOOR((2*XLOOKUP($Q112,'Threshold Summary'!$Y:$Y,'Threshold Summary'!$L:$L,"")/5+2)*pow*atk/def)/50)+2)),modifier,stab*eff,AVERAGE(ARRAYFORMULA(FLOOR(base*modifier*SEQUENCE(16,1,85,1)/100)))),0)</f>
        <v/>
      </c>
      <c r="M112" s="3">
        <f>IFERROR(LET(mtype,XLOOKUP($D112,'Move Editor'!$B:$B,'Move Editor'!$C:$C,""),cat,XLOOKUP($D112,'Move Editor'!$B:$B,'Move Editor'!$D:$D,""),pow,XLOOKUP($D112,'Move Editor'!$B:$B,'Move Editor'!$E:$E,0),acc,XLOOKUP($D112,'Move Editor'!$B:$B,'Move Editor'!$F:$F,100),atk,IF(cat="Physical",FLOOR((FLOOR(((2*XLOOKUP(XLOOKUP($Q112,'Threshold Summary'!$Y:$Y,'Threshold Summary'!$K:$K,""),'Pokemon Editor'!$A:$A,'Pokemon Editor'!$F:$F,0)+31+FLOOR(XLOOKUP($Q112,'Threshold Summary'!$Y:$Y,'Threshold Summary'!$P:$P,"")/4))*XLOOKUP($Q112,'Threshold Summary'!$Y:$Y,'Threshold Summary'!$L:$L,""))/100)+5)*XLOOKUP(XLOOKUP($Q112,'Threshold Summary'!$Y:$Y,'Threshold Summary'!$M:$M,""),'Nature Editor'!$A:$A,'Nature Editor'!$B:$B,1)),FLOOR((FLOOR(((2*XLOOKUP(XLOOKUP($Q112,'Threshold Summary'!$Y:$Y,'Threshold Summary'!$K:$K,""),'Pokemon Editor'!$A:$A,'Pokemon Editor'!$H:$H,0)+31+FLOOR(XLOOKUP($Q112,'Threshold Summary'!$Y:$Y,'Threshold Summary'!$R:$R,"")/4))*XLOOKUP($Q112,'Threshold Summary'!$Y:$Y,'Threshold Summary'!$L:$L,""))/100)+5)*XLOOKUP(XLOOKUP($Q112,'Threshold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Editor'!$E:$E,1))),stab,IF(OR(mtype=XLOOKUP(XLOOKUP($Q112,'Threshold Summary'!$Y:$Y,'Threshold Summary'!$K:$K,""),'Pokemon Editor'!$A:$A,'Pokemon Editor'!$C:$C,""),mtype=XLOOKUP(XLOOKUP($Q112,'Threshold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Chart'!$B$1:$S$1,0)))),base,IF(OR(cat="Status",pow=0),0,FLOOR(FLOOR(FLOOR((2*XLOOKUP($Q112,'Threshold Summary'!$Y:$Y,'Threshold Summary'!$L:$L,"")/5+2)*pow*atk/def)/50)+2)),modifier,stab*eff,AVERAGE(ARRAYFORMULA(FLOOR(base*modifier*SEQUENCE(16,1,85,1)/100)))*MIN(1,acc/100)),0)</f>
        <v/>
      </c>
      <c r="N112" s="4">
        <f>IFERROR(LET(mtype,XLOOKUP($D112,'Move Editor'!$B:$B,'Move Editor'!$C:$C,""),cat,XLOOKUP($D112,'Move Editor'!$B:$B,'Move Editor'!$D:$D,""),pow,XLOOKUP($D112,'Move Editor'!$B:$B,'Move Editor'!$E:$E,0),acc,XLOOKUP($D112,'Move Editor'!$B:$B,'Move Editor'!$F:$F,100),atk,IF(cat="Physical",FLOOR((FLOOR(((2*XLOOKUP(XLOOKUP($Q112,'Threshold Summary'!$Y:$Y,'Threshold Summary'!$K:$K,""),'Pokemon Editor'!$A:$A,'Pokemon Editor'!$F:$F,0)+31+FLOOR(XLOOKUP($Q112,'Threshold Summary'!$Y:$Y,'Threshold Summary'!$P:$P,"")/4))*XLOOKUP($Q112,'Threshold Summary'!$Y:$Y,'Threshold Summary'!$L:$L,""))/100)+5)*XLOOKUP(XLOOKUP($Q112,'Threshold Summary'!$Y:$Y,'Threshold Summary'!$M:$M,""),'Nature Editor'!$A:$A,'Nature Editor'!$B:$B,1)),FLOOR((FLOOR(((2*XLOOKUP(XLOOKUP($Q112,'Threshold Summary'!$Y:$Y,'Threshold Summary'!$K:$K,""),'Pokemon Editor'!$A:$A,'Pokemon Editor'!$H:$H,0)+31+FLOOR(XLOOKUP($Q112,'Threshold Summary'!$Y:$Y,'Threshold Summary'!$R:$R,"")/4))*XLOOKUP($Q112,'Threshold Summary'!$Y:$Y,'Threshold Summary'!$L:$L,""))/100)+5)*XLOOKUP(XLOOKUP($Q112,'Threshold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Editor'!$E:$E,1))),stab,IF(OR(mtype=XLOOKUP(XLOOKUP($Q112,'Threshold Summary'!$Y:$Y,'Threshold Summary'!$K:$K,""),'Pokemon Editor'!$A:$A,'Pokemon Editor'!$C:$C,""),mtype=XLOOKUP(XLOOKUP($Q112,'Threshold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Chart'!$B$1:$S$1,0)))),base,IF(OR(cat="Status",pow=0),0,FLOOR(FLOOR(FLOOR((2*XLOOKUP($Q112,'Threshold Summary'!$Y:$Y,'Threshold Summary'!$L:$L,"")/5+2)*pow*atk/def)/50)+2)),modifier,stab*eff,AVERAGE(ARRAYFORMULA(FLOOR(base*modifier*SEQUENCE(16,1,85,1)/100)))/(FLOOR(((2*XLOOKUP('Boss Editor'!$C$4,'Pokemon Editor'!$A:$A,'Pokemon Editor'!$E:$E,0)+31+FLOOR('Boss Editor'!$G$4/4))*'Boss Editor'!$D$4)/100)+'Boss Editor'!$D$4+10)),0)</f>
        <v/>
      </c>
      <c r="O112" s="3">
        <f>IF(N112&gt;=1,"OHKO",IF(N112&gt;=0.5,"2HKO",IF(N112&gt;=0.333,"3HKO",IF(N112&gt;=0.25,"4HKO","5HKO+"))))</f>
        <v/>
      </c>
      <c r="P112" s="3" t="inlineStr">
        <is>
          <t>Live from editable databases</t>
        </is>
      </c>
      <c r="Q112" s="3" t="inlineStr">
        <is>
          <t>SPECIES_TREECKO</t>
        </is>
      </c>
      <c r="R112" s="3" t="n">
        <v>15</v>
      </c>
    </row>
    <row r="113">
      <c r="A113" s="3">
        <f>XLOOKUP($Q113,'Threshold Summary'!$Y:$Y,'Threshold Summary'!$A:$A,"")</f>
        <v/>
      </c>
      <c r="B113" s="3">
        <f>XLOOKUP($Q113,'Threshold Summary'!$Y:$Y,'Threshold Summary'!$M:$M,"")</f>
        <v/>
      </c>
      <c r="C113" s="3">
        <f>XLOOKUP($Q113,'Threshold Summary'!$Y:$Y,'Threshold Summary'!$N:$N,"")</f>
        <v/>
      </c>
      <c r="D113" s="3">
        <f>IFERROR(INDEX(FILTER('Learnset Editor'!$D$2:$D,'Learnset Editor'!$A$2:$A=XLOOKUP($Q113,'Threshold Summary'!$Y:$Y,'Threshold Summary'!$K:$K,""),'Learnset Editor'!$C$2:$C&lt;=XLOOKUP($Q113,'Threshold Summary'!$Y:$Y,'Threshold Summary'!$L:$L,"")),$R113),"")</f>
        <v/>
      </c>
      <c r="E113" s="3">
        <f>XLOOKUP(D113,'Move Editor'!$B:$B,'Move Editor'!$C:$C,"")</f>
        <v/>
      </c>
      <c r="F113" s="3">
        <f>XLOOKUP(D113,'Move Editor'!$B:$B,'Move Editor'!$D:$D,"")</f>
        <v/>
      </c>
      <c r="G113" s="3">
        <f>XLOOKUP(D113,'Move Editor'!$B:$B,'Move Editor'!$E:$E,0)</f>
        <v/>
      </c>
      <c r="H113" s="3">
        <f>XLOOKUP(D113,'Move Editor'!$B:$B,'Move Editor'!$F:$F,0)</f>
        <v/>
      </c>
      <c r="I113" s="3">
        <f>(INDEX('Type Chart'!$B:$S,MATCH(E113,'Type Chart'!$A:$A,0),MATCH(XLOOKUP('Boss Editor'!$C$4,'Pokemon Editor'!$A:$A,'Pokemon Editor'!$C:$C,""),'Type Chart'!$B$1:$S$1,0))*IF(XLOOKUP('Boss Editor'!$C$4,'Pokemon Editor'!$A:$A,'Pokemon Editor'!$D:$D,"")="",1,INDEX('Type Chart'!$B:$S,MATCH(E113,'Type Chart'!$A:$A,0),MATCH(XLOOKUP('Boss Editor'!$C$4,'Pokemon Editor'!$A:$A,'Pokemon Editor'!$D:$D,""),'Type Chart'!$B$1:$S$1,0))))</f>
        <v/>
      </c>
      <c r="J113" s="3">
        <f>IFERROR(LET(mtype,XLOOKUP($D113,'Move Editor'!$B:$B,'Move Editor'!$C:$C,""),cat,XLOOKUP($D113,'Move Editor'!$B:$B,'Move Editor'!$D:$D,""),pow,XLOOKUP($D113,'Move Editor'!$B:$B,'Move Editor'!$E:$E,0),acc,XLOOKUP($D113,'Move Editor'!$B:$B,'Move Editor'!$F:$F,100),atk,IF(cat="Physical",FLOOR((FLOOR(((2*XLOOKUP(XLOOKUP($Q113,'Threshold Summary'!$Y:$Y,'Threshold Summary'!$K:$K,""),'Pokemon Editor'!$A:$A,'Pokemon Editor'!$F:$F,0)+31+FLOOR(XLOOKUP($Q113,'Threshold Summary'!$Y:$Y,'Threshold Summary'!$P:$P,"")/4))*XLOOKUP($Q113,'Threshold Summary'!$Y:$Y,'Threshold Summary'!$L:$L,""))/100)+5)*XLOOKUP(XLOOKUP($Q113,'Threshold Summary'!$Y:$Y,'Threshold Summary'!$M:$M,""),'Nature Editor'!$A:$A,'Nature Editor'!$B:$B,1)),FLOOR((FLOOR(((2*XLOOKUP(XLOOKUP($Q113,'Threshold Summary'!$Y:$Y,'Threshold Summary'!$K:$K,""),'Pokemon Editor'!$A:$A,'Pokemon Editor'!$H:$H,0)+31+FLOOR(XLOOKUP($Q113,'Threshold Summary'!$Y:$Y,'Threshold Summary'!$R:$R,"")/4))*XLOOKUP($Q113,'Threshold Summary'!$Y:$Y,'Threshold Summary'!$L:$L,""))/100)+5)*XLOOKUP(XLOOKUP($Q113,'Threshold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Editor'!$E:$E,1))),stab,IF(OR(mtype=XLOOKUP(XLOOKUP($Q113,'Threshold Summary'!$Y:$Y,'Threshold Summary'!$K:$K,""),'Pokemon Editor'!$A:$A,'Pokemon Editor'!$C:$C,""),mtype=XLOOKUP(XLOOKUP($Q113,'Threshold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Chart'!$B$1:$S$1,0)))),base,IF(OR(cat="Status",pow=0),0,FLOOR(FLOOR(FLOOR((2*XLOOKUP($Q113,'Threshold Summary'!$Y:$Y,'Threshold Summary'!$L:$L,"")/5+2)*pow*atk/def)/50)+2)),modifier,stab*eff,FLOOR(base*modifier*0.85)),0)</f>
        <v/>
      </c>
      <c r="K113" s="3">
        <f>IFERROR(LET(mtype,XLOOKUP($D113,'Move Editor'!$B:$B,'Move Editor'!$C:$C,""),cat,XLOOKUP($D113,'Move Editor'!$B:$B,'Move Editor'!$D:$D,""),pow,XLOOKUP($D113,'Move Editor'!$B:$B,'Move Editor'!$E:$E,0),acc,XLOOKUP($D113,'Move Editor'!$B:$B,'Move Editor'!$F:$F,100),atk,IF(cat="Physical",FLOOR((FLOOR(((2*XLOOKUP(XLOOKUP($Q113,'Threshold Summary'!$Y:$Y,'Threshold Summary'!$K:$K,""),'Pokemon Editor'!$A:$A,'Pokemon Editor'!$F:$F,0)+31+FLOOR(XLOOKUP($Q113,'Threshold Summary'!$Y:$Y,'Threshold Summary'!$P:$P,"")/4))*XLOOKUP($Q113,'Threshold Summary'!$Y:$Y,'Threshold Summary'!$L:$L,""))/100)+5)*XLOOKUP(XLOOKUP($Q113,'Threshold Summary'!$Y:$Y,'Threshold Summary'!$M:$M,""),'Nature Editor'!$A:$A,'Nature Editor'!$B:$B,1)),FLOOR((FLOOR(((2*XLOOKUP(XLOOKUP($Q113,'Threshold Summary'!$Y:$Y,'Threshold Summary'!$K:$K,""),'Pokemon Editor'!$A:$A,'Pokemon Editor'!$H:$H,0)+31+FLOOR(XLOOKUP($Q113,'Threshold Summary'!$Y:$Y,'Threshold Summary'!$R:$R,"")/4))*XLOOKUP($Q113,'Threshold Summary'!$Y:$Y,'Threshold Summary'!$L:$L,""))/100)+5)*XLOOKUP(XLOOKUP($Q113,'Threshold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Editor'!$E:$E,1))),stab,IF(OR(mtype=XLOOKUP(XLOOKUP($Q113,'Threshold Summary'!$Y:$Y,'Threshold Summary'!$K:$K,""),'Pokemon Editor'!$A:$A,'Pokemon Editor'!$C:$C,""),mtype=XLOOKUP(XLOOKUP($Q113,'Threshold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Chart'!$B$1:$S$1,0)))),base,IF(OR(cat="Status",pow=0),0,FLOOR(FLOOR(FLOOR((2*XLOOKUP($Q113,'Threshold Summary'!$Y:$Y,'Threshold Summary'!$L:$L,"")/5+2)*pow*atk/def)/50)+2)),modifier,stab*eff,FLOOR(base*modifier)),0)</f>
        <v/>
      </c>
      <c r="L113" s="3">
        <f>IFERROR(LET(mtype,XLOOKUP($D113,'Move Editor'!$B:$B,'Move Editor'!$C:$C,""),cat,XLOOKUP($D113,'Move Editor'!$B:$B,'Move Editor'!$D:$D,""),pow,XLOOKUP($D113,'Move Editor'!$B:$B,'Move Editor'!$E:$E,0),acc,XLOOKUP($D113,'Move Editor'!$B:$B,'Move Editor'!$F:$F,100),atk,IF(cat="Physical",FLOOR((FLOOR(((2*XLOOKUP(XLOOKUP($Q113,'Threshold Summary'!$Y:$Y,'Threshold Summary'!$K:$K,""),'Pokemon Editor'!$A:$A,'Pokemon Editor'!$F:$F,0)+31+FLOOR(XLOOKUP($Q113,'Threshold Summary'!$Y:$Y,'Threshold Summary'!$P:$P,"")/4))*XLOOKUP($Q113,'Threshold Summary'!$Y:$Y,'Threshold Summary'!$L:$L,""))/100)+5)*XLOOKUP(XLOOKUP($Q113,'Threshold Summary'!$Y:$Y,'Threshold Summary'!$M:$M,""),'Nature Editor'!$A:$A,'Nature Editor'!$B:$B,1)),FLOOR((FLOOR(((2*XLOOKUP(XLOOKUP($Q113,'Threshold Summary'!$Y:$Y,'Threshold Summary'!$K:$K,""),'Pokemon Editor'!$A:$A,'Pokemon Editor'!$H:$H,0)+31+FLOOR(XLOOKUP($Q113,'Threshold Summary'!$Y:$Y,'Threshold Summary'!$R:$R,"")/4))*XLOOKUP($Q113,'Threshold Summary'!$Y:$Y,'Threshold Summary'!$L:$L,""))/100)+5)*XLOOKUP(XLOOKUP($Q113,'Threshold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Editor'!$E:$E,1))),stab,IF(OR(mtype=XLOOKUP(XLOOKUP($Q113,'Threshold Summary'!$Y:$Y,'Threshold Summary'!$K:$K,""),'Pokemon Editor'!$A:$A,'Pokemon Editor'!$C:$C,""),mtype=XLOOKUP(XLOOKUP($Q113,'Threshold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Chart'!$B$1:$S$1,0)))),base,IF(OR(cat="Status",pow=0),0,FLOOR(FLOOR(FLOOR((2*XLOOKUP($Q113,'Threshold Summary'!$Y:$Y,'Threshold Summary'!$L:$L,"")/5+2)*pow*atk/def)/50)+2)),modifier,stab*eff,AVERAGE(ARRAYFORMULA(FLOOR(base*modifier*SEQUENCE(16,1,85,1)/100)))),0)</f>
        <v/>
      </c>
      <c r="M113" s="3">
        <f>IFERROR(LET(mtype,XLOOKUP($D113,'Move Editor'!$B:$B,'Move Editor'!$C:$C,""),cat,XLOOKUP($D113,'Move Editor'!$B:$B,'Move Editor'!$D:$D,""),pow,XLOOKUP($D113,'Move Editor'!$B:$B,'Move Editor'!$E:$E,0),acc,XLOOKUP($D113,'Move Editor'!$B:$B,'Move Editor'!$F:$F,100),atk,IF(cat="Physical",FLOOR((FLOOR(((2*XLOOKUP(XLOOKUP($Q113,'Threshold Summary'!$Y:$Y,'Threshold Summary'!$K:$K,""),'Pokemon Editor'!$A:$A,'Pokemon Editor'!$F:$F,0)+31+FLOOR(XLOOKUP($Q113,'Threshold Summary'!$Y:$Y,'Threshold Summary'!$P:$P,"")/4))*XLOOKUP($Q113,'Threshold Summary'!$Y:$Y,'Threshold Summary'!$L:$L,""))/100)+5)*XLOOKUP(XLOOKUP($Q113,'Threshold Summary'!$Y:$Y,'Threshold Summary'!$M:$M,""),'Nature Editor'!$A:$A,'Nature Editor'!$B:$B,1)),FLOOR((FLOOR(((2*XLOOKUP(XLOOKUP($Q113,'Threshold Summary'!$Y:$Y,'Threshold Summary'!$K:$K,""),'Pokemon Editor'!$A:$A,'Pokemon Editor'!$H:$H,0)+31+FLOOR(XLOOKUP($Q113,'Threshold Summary'!$Y:$Y,'Threshold Summary'!$R:$R,"")/4))*XLOOKUP($Q113,'Threshold Summary'!$Y:$Y,'Threshold Summary'!$L:$L,""))/100)+5)*XLOOKUP(XLOOKUP($Q113,'Threshold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Editor'!$E:$E,1))),stab,IF(OR(mtype=XLOOKUP(XLOOKUP($Q113,'Threshold Summary'!$Y:$Y,'Threshold Summary'!$K:$K,""),'Pokemon Editor'!$A:$A,'Pokemon Editor'!$C:$C,""),mtype=XLOOKUP(XLOOKUP($Q113,'Threshold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Chart'!$B$1:$S$1,0)))),base,IF(OR(cat="Status",pow=0),0,FLOOR(FLOOR(FLOOR((2*XLOOKUP($Q113,'Threshold Summary'!$Y:$Y,'Threshold Summary'!$L:$L,"")/5+2)*pow*atk/def)/50)+2)),modifier,stab*eff,AVERAGE(ARRAYFORMULA(FLOOR(base*modifier*SEQUENCE(16,1,85,1)/100)))*MIN(1,acc/100)),0)</f>
        <v/>
      </c>
      <c r="N113" s="4">
        <f>IFERROR(LET(mtype,XLOOKUP($D113,'Move Editor'!$B:$B,'Move Editor'!$C:$C,""),cat,XLOOKUP($D113,'Move Editor'!$B:$B,'Move Editor'!$D:$D,""),pow,XLOOKUP($D113,'Move Editor'!$B:$B,'Move Editor'!$E:$E,0),acc,XLOOKUP($D113,'Move Editor'!$B:$B,'Move Editor'!$F:$F,100),atk,IF(cat="Physical",FLOOR((FLOOR(((2*XLOOKUP(XLOOKUP($Q113,'Threshold Summary'!$Y:$Y,'Threshold Summary'!$K:$K,""),'Pokemon Editor'!$A:$A,'Pokemon Editor'!$F:$F,0)+31+FLOOR(XLOOKUP($Q113,'Threshold Summary'!$Y:$Y,'Threshold Summary'!$P:$P,"")/4))*XLOOKUP($Q113,'Threshold Summary'!$Y:$Y,'Threshold Summary'!$L:$L,""))/100)+5)*XLOOKUP(XLOOKUP($Q113,'Threshold Summary'!$Y:$Y,'Threshold Summary'!$M:$M,""),'Nature Editor'!$A:$A,'Nature Editor'!$B:$B,1)),FLOOR((FLOOR(((2*XLOOKUP(XLOOKUP($Q113,'Threshold Summary'!$Y:$Y,'Threshold Summary'!$K:$K,""),'Pokemon Editor'!$A:$A,'Pokemon Editor'!$H:$H,0)+31+FLOOR(XLOOKUP($Q113,'Threshold Summary'!$Y:$Y,'Threshold Summary'!$R:$R,"")/4))*XLOOKUP($Q113,'Threshold Summary'!$Y:$Y,'Threshold Summary'!$L:$L,""))/100)+5)*XLOOKUP(XLOOKUP($Q113,'Threshold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Editor'!$E:$E,1))),stab,IF(OR(mtype=XLOOKUP(XLOOKUP($Q113,'Threshold Summary'!$Y:$Y,'Threshold Summary'!$K:$K,""),'Pokemon Editor'!$A:$A,'Pokemon Editor'!$C:$C,""),mtype=XLOOKUP(XLOOKUP($Q113,'Threshold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Chart'!$B$1:$S$1,0)))),base,IF(OR(cat="Status",pow=0),0,FLOOR(FLOOR(FLOOR((2*XLOOKUP($Q113,'Threshold Summary'!$Y:$Y,'Threshold Summary'!$L:$L,"")/5+2)*pow*atk/def)/50)+2)),modifier,stab*eff,AVERAGE(ARRAYFORMULA(FLOOR(base*modifier*SEQUENCE(16,1,85,1)/100)))/(FLOOR(((2*XLOOKUP('Boss Editor'!$C$4,'Pokemon Editor'!$A:$A,'Pokemon Editor'!$E:$E,0)+31+FLOOR('Boss Editor'!$G$4/4))*'Boss Editor'!$D$4)/100)+'Boss Editor'!$D$4+10)),0)</f>
        <v/>
      </c>
      <c r="O113" s="3">
        <f>IF(N113&gt;=1,"OHKO",IF(N113&gt;=0.5,"2HKO",IF(N113&gt;=0.333,"3HKO",IF(N113&gt;=0.25,"4HKO","5HKO+"))))</f>
        <v/>
      </c>
      <c r="P113" s="3" t="inlineStr">
        <is>
          <t>Live from editable databases</t>
        </is>
      </c>
      <c r="Q113" s="3" t="inlineStr">
        <is>
          <t>SPECIES_TREECKO</t>
        </is>
      </c>
      <c r="R113" s="3" t="n">
        <v>16</v>
      </c>
    </row>
    <row r="114">
      <c r="A114" s="3">
        <f>XLOOKUP($Q114,'Threshold Summary'!$Y:$Y,'Threshold Summary'!$A:$A,"")</f>
        <v/>
      </c>
      <c r="B114" s="3">
        <f>XLOOKUP($Q114,'Threshold Summary'!$Y:$Y,'Threshold Summary'!$M:$M,"")</f>
        <v/>
      </c>
      <c r="C114" s="3">
        <f>XLOOKUP($Q114,'Threshold Summary'!$Y:$Y,'Threshold Summary'!$N:$N,"")</f>
        <v/>
      </c>
      <c r="D114" s="3">
        <f>IFERROR(INDEX(FILTER('Learnset Editor'!$D$2:$D,'Learnset Editor'!$A$2:$A=XLOOKUP($Q114,'Threshold Summary'!$Y:$Y,'Threshold Summary'!$K:$K,""),'Learnset Editor'!$C$2:$C&lt;=XLOOKUP($Q114,'Threshold Summary'!$Y:$Y,'Threshold Summary'!$L:$L,"")),$R114),"")</f>
        <v/>
      </c>
      <c r="E114" s="3">
        <f>XLOOKUP(D114,'Move Editor'!$B:$B,'Move Editor'!$C:$C,"")</f>
        <v/>
      </c>
      <c r="F114" s="3">
        <f>XLOOKUP(D114,'Move Editor'!$B:$B,'Move Editor'!$D:$D,"")</f>
        <v/>
      </c>
      <c r="G114" s="3">
        <f>XLOOKUP(D114,'Move Editor'!$B:$B,'Move Editor'!$E:$E,0)</f>
        <v/>
      </c>
      <c r="H114" s="3">
        <f>XLOOKUP(D114,'Move Editor'!$B:$B,'Move Editor'!$F:$F,0)</f>
        <v/>
      </c>
      <c r="I114" s="3">
        <f>(INDEX('Type Chart'!$B:$S,MATCH(E114,'Type Chart'!$A:$A,0),MATCH(XLOOKUP('Boss Editor'!$C$4,'Pokemon Editor'!$A:$A,'Pokemon Editor'!$C:$C,""),'Type Chart'!$B$1:$S$1,0))*IF(XLOOKUP('Boss Editor'!$C$4,'Pokemon Editor'!$A:$A,'Pokemon Editor'!$D:$D,"")="",1,INDEX('Type Chart'!$B:$S,MATCH(E114,'Type Chart'!$A:$A,0),MATCH(XLOOKUP('Boss Editor'!$C$4,'Pokemon Editor'!$A:$A,'Pokemon Editor'!$D:$D,""),'Type Chart'!$B$1:$S$1,0))))</f>
        <v/>
      </c>
      <c r="J114" s="3">
        <f>IFERROR(LET(mtype,XLOOKUP($D114,'Move Editor'!$B:$B,'Move Editor'!$C:$C,""),cat,XLOOKUP($D114,'Move Editor'!$B:$B,'Move Editor'!$D:$D,""),pow,XLOOKUP($D114,'Move Editor'!$B:$B,'Move Editor'!$E:$E,0),acc,XLOOKUP($D114,'Move Editor'!$B:$B,'Move Editor'!$F:$F,100),atk,IF(cat="Physical",FLOOR((FLOOR(((2*XLOOKUP(XLOOKUP($Q114,'Threshold Summary'!$Y:$Y,'Threshold Summary'!$K:$K,""),'Pokemon Editor'!$A:$A,'Pokemon Editor'!$F:$F,0)+31+FLOOR(XLOOKUP($Q114,'Threshold Summary'!$Y:$Y,'Threshold Summary'!$P:$P,"")/4))*XLOOKUP($Q114,'Threshold Summary'!$Y:$Y,'Threshold Summary'!$L:$L,""))/100)+5)*XLOOKUP(XLOOKUP($Q114,'Threshold Summary'!$Y:$Y,'Threshold Summary'!$M:$M,""),'Nature Editor'!$A:$A,'Nature Editor'!$B:$B,1)),FLOOR((FLOOR(((2*XLOOKUP(XLOOKUP($Q114,'Threshold Summary'!$Y:$Y,'Threshold Summary'!$K:$K,""),'Pokemon Editor'!$A:$A,'Pokemon Editor'!$H:$H,0)+31+FLOOR(XLOOKUP($Q114,'Threshold Summary'!$Y:$Y,'Threshold Summary'!$R:$R,"")/4))*XLOOKUP($Q114,'Threshold Summary'!$Y:$Y,'Threshold Summary'!$L:$L,""))/100)+5)*XLOOKUP(XLOOKUP($Q114,'Threshold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Editor'!$E:$E,1))),stab,IF(OR(mtype=XLOOKUP(XLOOKUP($Q114,'Threshold Summary'!$Y:$Y,'Threshold Summary'!$K:$K,""),'Pokemon Editor'!$A:$A,'Pokemon Editor'!$C:$C,""),mtype=XLOOKUP(XLOOKUP($Q114,'Threshold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Chart'!$B$1:$S$1,0)))),base,IF(OR(cat="Status",pow=0),0,FLOOR(FLOOR(FLOOR((2*XLOOKUP($Q114,'Threshold Summary'!$Y:$Y,'Threshold Summary'!$L:$L,"")/5+2)*pow*atk/def)/50)+2)),modifier,stab*eff,FLOOR(base*modifier*0.85)),0)</f>
        <v/>
      </c>
      <c r="K114" s="3">
        <f>IFERROR(LET(mtype,XLOOKUP($D114,'Move Editor'!$B:$B,'Move Editor'!$C:$C,""),cat,XLOOKUP($D114,'Move Editor'!$B:$B,'Move Editor'!$D:$D,""),pow,XLOOKUP($D114,'Move Editor'!$B:$B,'Move Editor'!$E:$E,0),acc,XLOOKUP($D114,'Move Editor'!$B:$B,'Move Editor'!$F:$F,100),atk,IF(cat="Physical",FLOOR((FLOOR(((2*XLOOKUP(XLOOKUP($Q114,'Threshold Summary'!$Y:$Y,'Threshold Summary'!$K:$K,""),'Pokemon Editor'!$A:$A,'Pokemon Editor'!$F:$F,0)+31+FLOOR(XLOOKUP($Q114,'Threshold Summary'!$Y:$Y,'Threshold Summary'!$P:$P,"")/4))*XLOOKUP($Q114,'Threshold Summary'!$Y:$Y,'Threshold Summary'!$L:$L,""))/100)+5)*XLOOKUP(XLOOKUP($Q114,'Threshold Summary'!$Y:$Y,'Threshold Summary'!$M:$M,""),'Nature Editor'!$A:$A,'Nature Editor'!$B:$B,1)),FLOOR((FLOOR(((2*XLOOKUP(XLOOKUP($Q114,'Threshold Summary'!$Y:$Y,'Threshold Summary'!$K:$K,""),'Pokemon Editor'!$A:$A,'Pokemon Editor'!$H:$H,0)+31+FLOOR(XLOOKUP($Q114,'Threshold Summary'!$Y:$Y,'Threshold Summary'!$R:$R,"")/4))*XLOOKUP($Q114,'Threshold Summary'!$Y:$Y,'Threshold Summary'!$L:$L,""))/100)+5)*XLOOKUP(XLOOKUP($Q114,'Threshold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Editor'!$E:$E,1))),stab,IF(OR(mtype=XLOOKUP(XLOOKUP($Q114,'Threshold Summary'!$Y:$Y,'Threshold Summary'!$K:$K,""),'Pokemon Editor'!$A:$A,'Pokemon Editor'!$C:$C,""),mtype=XLOOKUP(XLOOKUP($Q114,'Threshold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Chart'!$B$1:$S$1,0)))),base,IF(OR(cat="Status",pow=0),0,FLOOR(FLOOR(FLOOR((2*XLOOKUP($Q114,'Threshold Summary'!$Y:$Y,'Threshold Summary'!$L:$L,"")/5+2)*pow*atk/def)/50)+2)),modifier,stab*eff,FLOOR(base*modifier)),0)</f>
        <v/>
      </c>
      <c r="L114" s="3">
        <f>IFERROR(LET(mtype,XLOOKUP($D114,'Move Editor'!$B:$B,'Move Editor'!$C:$C,""),cat,XLOOKUP($D114,'Move Editor'!$B:$B,'Move Editor'!$D:$D,""),pow,XLOOKUP($D114,'Move Editor'!$B:$B,'Move Editor'!$E:$E,0),acc,XLOOKUP($D114,'Move Editor'!$B:$B,'Move Editor'!$F:$F,100),atk,IF(cat="Physical",FLOOR((FLOOR(((2*XLOOKUP(XLOOKUP($Q114,'Threshold Summary'!$Y:$Y,'Threshold Summary'!$K:$K,""),'Pokemon Editor'!$A:$A,'Pokemon Editor'!$F:$F,0)+31+FLOOR(XLOOKUP($Q114,'Threshold Summary'!$Y:$Y,'Threshold Summary'!$P:$P,"")/4))*XLOOKUP($Q114,'Threshold Summary'!$Y:$Y,'Threshold Summary'!$L:$L,""))/100)+5)*XLOOKUP(XLOOKUP($Q114,'Threshold Summary'!$Y:$Y,'Threshold Summary'!$M:$M,""),'Nature Editor'!$A:$A,'Nature Editor'!$B:$B,1)),FLOOR((FLOOR(((2*XLOOKUP(XLOOKUP($Q114,'Threshold Summary'!$Y:$Y,'Threshold Summary'!$K:$K,""),'Pokemon Editor'!$A:$A,'Pokemon Editor'!$H:$H,0)+31+FLOOR(XLOOKUP($Q114,'Threshold Summary'!$Y:$Y,'Threshold Summary'!$R:$R,"")/4))*XLOOKUP($Q114,'Threshold Summary'!$Y:$Y,'Threshold Summary'!$L:$L,""))/100)+5)*XLOOKUP(XLOOKUP($Q114,'Threshold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Editor'!$E:$E,1))),stab,IF(OR(mtype=XLOOKUP(XLOOKUP($Q114,'Threshold Summary'!$Y:$Y,'Threshold Summary'!$K:$K,""),'Pokemon Editor'!$A:$A,'Pokemon Editor'!$C:$C,""),mtype=XLOOKUP(XLOOKUP($Q114,'Threshold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Chart'!$B$1:$S$1,0)))),base,IF(OR(cat="Status",pow=0),0,FLOOR(FLOOR(FLOOR((2*XLOOKUP($Q114,'Threshold Summary'!$Y:$Y,'Threshold Summary'!$L:$L,"")/5+2)*pow*atk/def)/50)+2)),modifier,stab*eff,AVERAGE(ARRAYFORMULA(FLOOR(base*modifier*SEQUENCE(16,1,85,1)/100)))),0)</f>
        <v/>
      </c>
      <c r="M114" s="3">
        <f>IFERROR(LET(mtype,XLOOKUP($D114,'Move Editor'!$B:$B,'Move Editor'!$C:$C,""),cat,XLOOKUP($D114,'Move Editor'!$B:$B,'Move Editor'!$D:$D,""),pow,XLOOKUP($D114,'Move Editor'!$B:$B,'Move Editor'!$E:$E,0),acc,XLOOKUP($D114,'Move Editor'!$B:$B,'Move Editor'!$F:$F,100),atk,IF(cat="Physical",FLOOR((FLOOR(((2*XLOOKUP(XLOOKUP($Q114,'Threshold Summary'!$Y:$Y,'Threshold Summary'!$K:$K,""),'Pokemon Editor'!$A:$A,'Pokemon Editor'!$F:$F,0)+31+FLOOR(XLOOKUP($Q114,'Threshold Summary'!$Y:$Y,'Threshold Summary'!$P:$P,"")/4))*XLOOKUP($Q114,'Threshold Summary'!$Y:$Y,'Threshold Summary'!$L:$L,""))/100)+5)*XLOOKUP(XLOOKUP($Q114,'Threshold Summary'!$Y:$Y,'Threshold Summary'!$M:$M,""),'Nature Editor'!$A:$A,'Nature Editor'!$B:$B,1)),FLOOR((FLOOR(((2*XLOOKUP(XLOOKUP($Q114,'Threshold Summary'!$Y:$Y,'Threshold Summary'!$K:$K,""),'Pokemon Editor'!$A:$A,'Pokemon Editor'!$H:$H,0)+31+FLOOR(XLOOKUP($Q114,'Threshold Summary'!$Y:$Y,'Threshold Summary'!$R:$R,"")/4))*XLOOKUP($Q114,'Threshold Summary'!$Y:$Y,'Threshold Summary'!$L:$L,""))/100)+5)*XLOOKUP(XLOOKUP($Q114,'Threshold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Editor'!$E:$E,1))),stab,IF(OR(mtype=XLOOKUP(XLOOKUP($Q114,'Threshold Summary'!$Y:$Y,'Threshold Summary'!$K:$K,""),'Pokemon Editor'!$A:$A,'Pokemon Editor'!$C:$C,""),mtype=XLOOKUP(XLOOKUP($Q114,'Threshold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Chart'!$B$1:$S$1,0)))),base,IF(OR(cat="Status",pow=0),0,FLOOR(FLOOR(FLOOR((2*XLOOKUP($Q114,'Threshold Summary'!$Y:$Y,'Threshold Summary'!$L:$L,"")/5+2)*pow*atk/def)/50)+2)),modifier,stab*eff,AVERAGE(ARRAYFORMULA(FLOOR(base*modifier*SEQUENCE(16,1,85,1)/100)))*MIN(1,acc/100)),0)</f>
        <v/>
      </c>
      <c r="N114" s="4">
        <f>IFERROR(LET(mtype,XLOOKUP($D114,'Move Editor'!$B:$B,'Move Editor'!$C:$C,""),cat,XLOOKUP($D114,'Move Editor'!$B:$B,'Move Editor'!$D:$D,""),pow,XLOOKUP($D114,'Move Editor'!$B:$B,'Move Editor'!$E:$E,0),acc,XLOOKUP($D114,'Move Editor'!$B:$B,'Move Editor'!$F:$F,100),atk,IF(cat="Physical",FLOOR((FLOOR(((2*XLOOKUP(XLOOKUP($Q114,'Threshold Summary'!$Y:$Y,'Threshold Summary'!$K:$K,""),'Pokemon Editor'!$A:$A,'Pokemon Editor'!$F:$F,0)+31+FLOOR(XLOOKUP($Q114,'Threshold Summary'!$Y:$Y,'Threshold Summary'!$P:$P,"")/4))*XLOOKUP($Q114,'Threshold Summary'!$Y:$Y,'Threshold Summary'!$L:$L,""))/100)+5)*XLOOKUP(XLOOKUP($Q114,'Threshold Summary'!$Y:$Y,'Threshold Summary'!$M:$M,""),'Nature Editor'!$A:$A,'Nature Editor'!$B:$B,1)),FLOOR((FLOOR(((2*XLOOKUP(XLOOKUP($Q114,'Threshold Summary'!$Y:$Y,'Threshold Summary'!$K:$K,""),'Pokemon Editor'!$A:$A,'Pokemon Editor'!$H:$H,0)+31+FLOOR(XLOOKUP($Q114,'Threshold Summary'!$Y:$Y,'Threshold Summary'!$R:$R,"")/4))*XLOOKUP($Q114,'Threshold Summary'!$Y:$Y,'Threshold Summary'!$L:$L,""))/100)+5)*XLOOKUP(XLOOKUP($Q114,'Threshold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Editor'!$E:$E,1))),stab,IF(OR(mtype=XLOOKUP(XLOOKUP($Q114,'Threshold Summary'!$Y:$Y,'Threshold Summary'!$K:$K,""),'Pokemon Editor'!$A:$A,'Pokemon Editor'!$C:$C,""),mtype=XLOOKUP(XLOOKUP($Q114,'Threshold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Chart'!$B$1:$S$1,0)))),base,IF(OR(cat="Status",pow=0),0,FLOOR(FLOOR(FLOOR((2*XLOOKUP($Q114,'Threshold Summary'!$Y:$Y,'Threshold Summary'!$L:$L,"")/5+2)*pow*atk/def)/50)+2)),modifier,stab*eff,AVERAGE(ARRAYFORMULA(FLOOR(base*modifier*SEQUENCE(16,1,85,1)/100)))/(FLOOR(((2*XLOOKUP('Boss Editor'!$C$4,'Pokemon Editor'!$A:$A,'Pokemon Editor'!$E:$E,0)+31+FLOOR('Boss Editor'!$G$4/4))*'Boss Editor'!$D$4)/100)+'Boss Editor'!$D$4+10)),0)</f>
        <v/>
      </c>
      <c r="O114" s="3">
        <f>IF(N114&gt;=1,"OHKO",IF(N114&gt;=0.5,"2HKO",IF(N114&gt;=0.333,"3HKO",IF(N114&gt;=0.25,"4HKO","5HKO+"))))</f>
        <v/>
      </c>
      <c r="P114" s="3" t="inlineStr">
        <is>
          <t>Live from editable databases</t>
        </is>
      </c>
      <c r="Q114" s="3" t="inlineStr">
        <is>
          <t>SPECIES_TREECKO</t>
        </is>
      </c>
      <c r="R114" s="3" t="n">
        <v>17</v>
      </c>
    </row>
    <row r="115">
      <c r="A115" s="3">
        <f>XLOOKUP($Q115,'Threshold Summary'!$Y:$Y,'Threshold Summary'!$A:$A,"")</f>
        <v/>
      </c>
      <c r="B115" s="3">
        <f>XLOOKUP($Q115,'Threshold Summary'!$Y:$Y,'Threshold Summary'!$M:$M,"")</f>
        <v/>
      </c>
      <c r="C115" s="3">
        <f>XLOOKUP($Q115,'Threshold Summary'!$Y:$Y,'Threshold Summary'!$N:$N,"")</f>
        <v/>
      </c>
      <c r="D115" s="3">
        <f>IFERROR(INDEX(FILTER('Learnset Editor'!$D$2:$D,'Learnset Editor'!$A$2:$A=XLOOKUP($Q115,'Threshold Summary'!$Y:$Y,'Threshold Summary'!$K:$K,""),'Learnset Editor'!$C$2:$C&lt;=XLOOKUP($Q115,'Threshold Summary'!$Y:$Y,'Threshold Summary'!$L:$L,"")),$R115),"")</f>
        <v/>
      </c>
      <c r="E115" s="3">
        <f>XLOOKUP(D115,'Move Editor'!$B:$B,'Move Editor'!$C:$C,"")</f>
        <v/>
      </c>
      <c r="F115" s="3">
        <f>XLOOKUP(D115,'Move Editor'!$B:$B,'Move Editor'!$D:$D,"")</f>
        <v/>
      </c>
      <c r="G115" s="3">
        <f>XLOOKUP(D115,'Move Editor'!$B:$B,'Move Editor'!$E:$E,0)</f>
        <v/>
      </c>
      <c r="H115" s="3">
        <f>XLOOKUP(D115,'Move Editor'!$B:$B,'Move Editor'!$F:$F,0)</f>
        <v/>
      </c>
      <c r="I115" s="3">
        <f>(INDEX('Type Chart'!$B:$S,MATCH(E115,'Type Chart'!$A:$A,0),MATCH(XLOOKUP('Boss Editor'!$C$4,'Pokemon Editor'!$A:$A,'Pokemon Editor'!$C:$C,""),'Type Chart'!$B$1:$S$1,0))*IF(XLOOKUP('Boss Editor'!$C$4,'Pokemon Editor'!$A:$A,'Pokemon Editor'!$D:$D,"")="",1,INDEX('Type Chart'!$B:$S,MATCH(E115,'Type Chart'!$A:$A,0),MATCH(XLOOKUP('Boss Editor'!$C$4,'Pokemon Editor'!$A:$A,'Pokemon Editor'!$D:$D,""),'Type Chart'!$B$1:$S$1,0))))</f>
        <v/>
      </c>
      <c r="J115" s="3">
        <f>IFERROR(LET(mtype,XLOOKUP($D115,'Move Editor'!$B:$B,'Move Editor'!$C:$C,""),cat,XLOOKUP($D115,'Move Editor'!$B:$B,'Move Editor'!$D:$D,""),pow,XLOOKUP($D115,'Move Editor'!$B:$B,'Move Editor'!$E:$E,0),acc,XLOOKUP($D115,'Move Editor'!$B:$B,'Move Editor'!$F:$F,100),atk,IF(cat="Physical",FLOOR((FLOOR(((2*XLOOKUP(XLOOKUP($Q115,'Threshold Summary'!$Y:$Y,'Threshold Summary'!$K:$K,""),'Pokemon Editor'!$A:$A,'Pokemon Editor'!$F:$F,0)+31+FLOOR(XLOOKUP($Q115,'Threshold Summary'!$Y:$Y,'Threshold Summary'!$P:$P,"")/4))*XLOOKUP($Q115,'Threshold Summary'!$Y:$Y,'Threshold Summary'!$L:$L,""))/100)+5)*XLOOKUP(XLOOKUP($Q115,'Threshold Summary'!$Y:$Y,'Threshold Summary'!$M:$M,""),'Nature Editor'!$A:$A,'Nature Editor'!$B:$B,1)),FLOOR((FLOOR(((2*XLOOKUP(XLOOKUP($Q115,'Threshold Summary'!$Y:$Y,'Threshold Summary'!$K:$K,""),'Pokemon Editor'!$A:$A,'Pokemon Editor'!$H:$H,0)+31+FLOOR(XLOOKUP($Q115,'Threshold Summary'!$Y:$Y,'Threshold Summary'!$R:$R,"")/4))*XLOOKUP($Q115,'Threshold Summary'!$Y:$Y,'Threshold Summary'!$L:$L,""))/100)+5)*XLOOKUP(XLOOKUP($Q115,'Threshold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Editor'!$E:$E,1))),stab,IF(OR(mtype=XLOOKUP(XLOOKUP($Q115,'Threshold Summary'!$Y:$Y,'Threshold Summary'!$K:$K,""),'Pokemon Editor'!$A:$A,'Pokemon Editor'!$C:$C,""),mtype=XLOOKUP(XLOOKUP($Q115,'Threshold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Chart'!$B$1:$S$1,0)))),base,IF(OR(cat="Status",pow=0),0,FLOOR(FLOOR(FLOOR((2*XLOOKUP($Q115,'Threshold Summary'!$Y:$Y,'Threshold Summary'!$L:$L,"")/5+2)*pow*atk/def)/50)+2)),modifier,stab*eff,FLOOR(base*modifier*0.85)),0)</f>
        <v/>
      </c>
      <c r="K115" s="3">
        <f>IFERROR(LET(mtype,XLOOKUP($D115,'Move Editor'!$B:$B,'Move Editor'!$C:$C,""),cat,XLOOKUP($D115,'Move Editor'!$B:$B,'Move Editor'!$D:$D,""),pow,XLOOKUP($D115,'Move Editor'!$B:$B,'Move Editor'!$E:$E,0),acc,XLOOKUP($D115,'Move Editor'!$B:$B,'Move Editor'!$F:$F,100),atk,IF(cat="Physical",FLOOR((FLOOR(((2*XLOOKUP(XLOOKUP($Q115,'Threshold Summary'!$Y:$Y,'Threshold Summary'!$K:$K,""),'Pokemon Editor'!$A:$A,'Pokemon Editor'!$F:$F,0)+31+FLOOR(XLOOKUP($Q115,'Threshold Summary'!$Y:$Y,'Threshold Summary'!$P:$P,"")/4))*XLOOKUP($Q115,'Threshold Summary'!$Y:$Y,'Threshold Summary'!$L:$L,""))/100)+5)*XLOOKUP(XLOOKUP($Q115,'Threshold Summary'!$Y:$Y,'Threshold Summary'!$M:$M,""),'Nature Editor'!$A:$A,'Nature Editor'!$B:$B,1)),FLOOR((FLOOR(((2*XLOOKUP(XLOOKUP($Q115,'Threshold Summary'!$Y:$Y,'Threshold Summary'!$K:$K,""),'Pokemon Editor'!$A:$A,'Pokemon Editor'!$H:$H,0)+31+FLOOR(XLOOKUP($Q115,'Threshold Summary'!$Y:$Y,'Threshold Summary'!$R:$R,"")/4))*XLOOKUP($Q115,'Threshold Summary'!$Y:$Y,'Threshold Summary'!$L:$L,""))/100)+5)*XLOOKUP(XLOOKUP($Q115,'Threshold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Editor'!$E:$E,1))),stab,IF(OR(mtype=XLOOKUP(XLOOKUP($Q115,'Threshold Summary'!$Y:$Y,'Threshold Summary'!$K:$K,""),'Pokemon Editor'!$A:$A,'Pokemon Editor'!$C:$C,""),mtype=XLOOKUP(XLOOKUP($Q115,'Threshold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Chart'!$B$1:$S$1,0)))),base,IF(OR(cat="Status",pow=0),0,FLOOR(FLOOR(FLOOR((2*XLOOKUP($Q115,'Threshold Summary'!$Y:$Y,'Threshold Summary'!$L:$L,"")/5+2)*pow*atk/def)/50)+2)),modifier,stab*eff,FLOOR(base*modifier)),0)</f>
        <v/>
      </c>
      <c r="L115" s="3">
        <f>IFERROR(LET(mtype,XLOOKUP($D115,'Move Editor'!$B:$B,'Move Editor'!$C:$C,""),cat,XLOOKUP($D115,'Move Editor'!$B:$B,'Move Editor'!$D:$D,""),pow,XLOOKUP($D115,'Move Editor'!$B:$B,'Move Editor'!$E:$E,0),acc,XLOOKUP($D115,'Move Editor'!$B:$B,'Move Editor'!$F:$F,100),atk,IF(cat="Physical",FLOOR((FLOOR(((2*XLOOKUP(XLOOKUP($Q115,'Threshold Summary'!$Y:$Y,'Threshold Summary'!$K:$K,""),'Pokemon Editor'!$A:$A,'Pokemon Editor'!$F:$F,0)+31+FLOOR(XLOOKUP($Q115,'Threshold Summary'!$Y:$Y,'Threshold Summary'!$P:$P,"")/4))*XLOOKUP($Q115,'Threshold Summary'!$Y:$Y,'Threshold Summary'!$L:$L,""))/100)+5)*XLOOKUP(XLOOKUP($Q115,'Threshold Summary'!$Y:$Y,'Threshold Summary'!$M:$M,""),'Nature Editor'!$A:$A,'Nature Editor'!$B:$B,1)),FLOOR((FLOOR(((2*XLOOKUP(XLOOKUP($Q115,'Threshold Summary'!$Y:$Y,'Threshold Summary'!$K:$K,""),'Pokemon Editor'!$A:$A,'Pokemon Editor'!$H:$H,0)+31+FLOOR(XLOOKUP($Q115,'Threshold Summary'!$Y:$Y,'Threshold Summary'!$R:$R,"")/4))*XLOOKUP($Q115,'Threshold Summary'!$Y:$Y,'Threshold Summary'!$L:$L,""))/100)+5)*XLOOKUP(XLOOKUP($Q115,'Threshold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Editor'!$E:$E,1))),stab,IF(OR(mtype=XLOOKUP(XLOOKUP($Q115,'Threshold Summary'!$Y:$Y,'Threshold Summary'!$K:$K,""),'Pokemon Editor'!$A:$A,'Pokemon Editor'!$C:$C,""),mtype=XLOOKUP(XLOOKUP($Q115,'Threshold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Chart'!$B$1:$S$1,0)))),base,IF(OR(cat="Status",pow=0),0,FLOOR(FLOOR(FLOOR((2*XLOOKUP($Q115,'Threshold Summary'!$Y:$Y,'Threshold Summary'!$L:$L,"")/5+2)*pow*atk/def)/50)+2)),modifier,stab*eff,AVERAGE(ARRAYFORMULA(FLOOR(base*modifier*SEQUENCE(16,1,85,1)/100)))),0)</f>
        <v/>
      </c>
      <c r="M115" s="3">
        <f>IFERROR(LET(mtype,XLOOKUP($D115,'Move Editor'!$B:$B,'Move Editor'!$C:$C,""),cat,XLOOKUP($D115,'Move Editor'!$B:$B,'Move Editor'!$D:$D,""),pow,XLOOKUP($D115,'Move Editor'!$B:$B,'Move Editor'!$E:$E,0),acc,XLOOKUP($D115,'Move Editor'!$B:$B,'Move Editor'!$F:$F,100),atk,IF(cat="Physical",FLOOR((FLOOR(((2*XLOOKUP(XLOOKUP($Q115,'Threshold Summary'!$Y:$Y,'Threshold Summary'!$K:$K,""),'Pokemon Editor'!$A:$A,'Pokemon Editor'!$F:$F,0)+31+FLOOR(XLOOKUP($Q115,'Threshold Summary'!$Y:$Y,'Threshold Summary'!$P:$P,"")/4))*XLOOKUP($Q115,'Threshold Summary'!$Y:$Y,'Threshold Summary'!$L:$L,""))/100)+5)*XLOOKUP(XLOOKUP($Q115,'Threshold Summary'!$Y:$Y,'Threshold Summary'!$M:$M,""),'Nature Editor'!$A:$A,'Nature Editor'!$B:$B,1)),FLOOR((FLOOR(((2*XLOOKUP(XLOOKUP($Q115,'Threshold Summary'!$Y:$Y,'Threshold Summary'!$K:$K,""),'Pokemon Editor'!$A:$A,'Pokemon Editor'!$H:$H,0)+31+FLOOR(XLOOKUP($Q115,'Threshold Summary'!$Y:$Y,'Threshold Summary'!$R:$R,"")/4))*XLOOKUP($Q115,'Threshold Summary'!$Y:$Y,'Threshold Summary'!$L:$L,""))/100)+5)*XLOOKUP(XLOOKUP($Q115,'Threshold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Editor'!$E:$E,1))),stab,IF(OR(mtype=XLOOKUP(XLOOKUP($Q115,'Threshold Summary'!$Y:$Y,'Threshold Summary'!$K:$K,""),'Pokemon Editor'!$A:$A,'Pokemon Editor'!$C:$C,""),mtype=XLOOKUP(XLOOKUP($Q115,'Threshold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Chart'!$B$1:$S$1,0)))),base,IF(OR(cat="Status",pow=0),0,FLOOR(FLOOR(FLOOR((2*XLOOKUP($Q115,'Threshold Summary'!$Y:$Y,'Threshold Summary'!$L:$L,"")/5+2)*pow*atk/def)/50)+2)),modifier,stab*eff,AVERAGE(ARRAYFORMULA(FLOOR(base*modifier*SEQUENCE(16,1,85,1)/100)))*MIN(1,acc/100)),0)</f>
        <v/>
      </c>
      <c r="N115" s="4">
        <f>IFERROR(LET(mtype,XLOOKUP($D115,'Move Editor'!$B:$B,'Move Editor'!$C:$C,""),cat,XLOOKUP($D115,'Move Editor'!$B:$B,'Move Editor'!$D:$D,""),pow,XLOOKUP($D115,'Move Editor'!$B:$B,'Move Editor'!$E:$E,0),acc,XLOOKUP($D115,'Move Editor'!$B:$B,'Move Editor'!$F:$F,100),atk,IF(cat="Physical",FLOOR((FLOOR(((2*XLOOKUP(XLOOKUP($Q115,'Threshold Summary'!$Y:$Y,'Threshold Summary'!$K:$K,""),'Pokemon Editor'!$A:$A,'Pokemon Editor'!$F:$F,0)+31+FLOOR(XLOOKUP($Q115,'Threshold Summary'!$Y:$Y,'Threshold Summary'!$P:$P,"")/4))*XLOOKUP($Q115,'Threshold Summary'!$Y:$Y,'Threshold Summary'!$L:$L,""))/100)+5)*XLOOKUP(XLOOKUP($Q115,'Threshold Summary'!$Y:$Y,'Threshold Summary'!$M:$M,""),'Nature Editor'!$A:$A,'Nature Editor'!$B:$B,1)),FLOOR((FLOOR(((2*XLOOKUP(XLOOKUP($Q115,'Threshold Summary'!$Y:$Y,'Threshold Summary'!$K:$K,""),'Pokemon Editor'!$A:$A,'Pokemon Editor'!$H:$H,0)+31+FLOOR(XLOOKUP($Q115,'Threshold Summary'!$Y:$Y,'Threshold Summary'!$R:$R,"")/4))*XLOOKUP($Q115,'Threshold Summary'!$Y:$Y,'Threshold Summary'!$L:$L,""))/100)+5)*XLOOKUP(XLOOKUP($Q115,'Threshold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Editor'!$E:$E,1))),stab,IF(OR(mtype=XLOOKUP(XLOOKUP($Q115,'Threshold Summary'!$Y:$Y,'Threshold Summary'!$K:$K,""),'Pokemon Editor'!$A:$A,'Pokemon Editor'!$C:$C,""),mtype=XLOOKUP(XLOOKUP($Q115,'Threshold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Chart'!$B$1:$S$1,0)))),base,IF(OR(cat="Status",pow=0),0,FLOOR(FLOOR(FLOOR((2*XLOOKUP($Q115,'Threshold Summary'!$Y:$Y,'Threshold Summary'!$L:$L,"")/5+2)*pow*atk/def)/50)+2)),modifier,stab*eff,AVERAGE(ARRAYFORMULA(FLOOR(base*modifier*SEQUENCE(16,1,85,1)/100)))/(FLOOR(((2*XLOOKUP('Boss Editor'!$C$4,'Pokemon Editor'!$A:$A,'Pokemon Editor'!$E:$E,0)+31+FLOOR('Boss Editor'!$G$4/4))*'Boss Editor'!$D$4)/100)+'Boss Editor'!$D$4+10)),0)</f>
        <v/>
      </c>
      <c r="O115" s="3">
        <f>IF(N115&gt;=1,"OHKO",IF(N115&gt;=0.5,"2HKO",IF(N115&gt;=0.333,"3HKO",IF(N115&gt;=0.25,"4HKO","5HKO+"))))</f>
        <v/>
      </c>
      <c r="P115" s="3" t="inlineStr">
        <is>
          <t>Live from editable databases</t>
        </is>
      </c>
      <c r="Q115" s="3" t="inlineStr">
        <is>
          <t>SPECIES_TREECKO</t>
        </is>
      </c>
      <c r="R115" s="3" t="n">
        <v>18</v>
      </c>
    </row>
    <row r="116">
      <c r="A116" s="3">
        <f>XLOOKUP($Q116,'Threshold Summary'!$Y:$Y,'Threshold Summary'!$A:$A,"")</f>
        <v/>
      </c>
      <c r="B116" s="3">
        <f>XLOOKUP($Q116,'Threshold Summary'!$Y:$Y,'Threshold Summary'!$M:$M,"")</f>
        <v/>
      </c>
      <c r="C116" s="3">
        <f>XLOOKUP($Q116,'Threshold Summary'!$Y:$Y,'Threshold Summary'!$N:$N,"")</f>
        <v/>
      </c>
      <c r="D116" s="3">
        <f>IFERROR(INDEX(FILTER('Learnset Editor'!$D$2:$D,'Learnset Editor'!$A$2:$A=XLOOKUP($Q116,'Threshold Summary'!$Y:$Y,'Threshold Summary'!$K:$K,""),'Learnset Editor'!$C$2:$C&lt;=XLOOKUP($Q116,'Threshold Summary'!$Y:$Y,'Threshold Summary'!$L:$L,"")),$R116),"")</f>
        <v/>
      </c>
      <c r="E116" s="3">
        <f>XLOOKUP(D116,'Move Editor'!$B:$B,'Move Editor'!$C:$C,"")</f>
        <v/>
      </c>
      <c r="F116" s="3">
        <f>XLOOKUP(D116,'Move Editor'!$B:$B,'Move Editor'!$D:$D,"")</f>
        <v/>
      </c>
      <c r="G116" s="3">
        <f>XLOOKUP(D116,'Move Editor'!$B:$B,'Move Editor'!$E:$E,0)</f>
        <v/>
      </c>
      <c r="H116" s="3">
        <f>XLOOKUP(D116,'Move Editor'!$B:$B,'Move Editor'!$F:$F,0)</f>
        <v/>
      </c>
      <c r="I116" s="3">
        <f>(INDEX('Type Chart'!$B:$S,MATCH(E116,'Type Chart'!$A:$A,0),MATCH(XLOOKUP('Boss Editor'!$C$4,'Pokemon Editor'!$A:$A,'Pokemon Editor'!$C:$C,""),'Type Chart'!$B$1:$S$1,0))*IF(XLOOKUP('Boss Editor'!$C$4,'Pokemon Editor'!$A:$A,'Pokemon Editor'!$D:$D,"")="",1,INDEX('Type Chart'!$B:$S,MATCH(E116,'Type Chart'!$A:$A,0),MATCH(XLOOKUP('Boss Editor'!$C$4,'Pokemon Editor'!$A:$A,'Pokemon Editor'!$D:$D,""),'Type Chart'!$B$1:$S$1,0))))</f>
        <v/>
      </c>
      <c r="J116" s="3">
        <f>IFERROR(LET(mtype,XLOOKUP($D116,'Move Editor'!$B:$B,'Move Editor'!$C:$C,""),cat,XLOOKUP($D116,'Move Editor'!$B:$B,'Move Editor'!$D:$D,""),pow,XLOOKUP($D116,'Move Editor'!$B:$B,'Move Editor'!$E:$E,0),acc,XLOOKUP($D116,'Move Editor'!$B:$B,'Move Editor'!$F:$F,100),atk,IF(cat="Physical",FLOOR((FLOOR(((2*XLOOKUP(XLOOKUP($Q116,'Threshold Summary'!$Y:$Y,'Threshold Summary'!$K:$K,""),'Pokemon Editor'!$A:$A,'Pokemon Editor'!$F:$F,0)+31+FLOOR(XLOOKUP($Q116,'Threshold Summary'!$Y:$Y,'Threshold Summary'!$P:$P,"")/4))*XLOOKUP($Q116,'Threshold Summary'!$Y:$Y,'Threshold Summary'!$L:$L,""))/100)+5)*XLOOKUP(XLOOKUP($Q116,'Threshold Summary'!$Y:$Y,'Threshold Summary'!$M:$M,""),'Nature Editor'!$A:$A,'Nature Editor'!$B:$B,1)),FLOOR((FLOOR(((2*XLOOKUP(XLOOKUP($Q116,'Threshold Summary'!$Y:$Y,'Threshold Summary'!$K:$K,""),'Pokemon Editor'!$A:$A,'Pokemon Editor'!$H:$H,0)+31+FLOOR(XLOOKUP($Q116,'Threshold Summary'!$Y:$Y,'Threshold Summary'!$R:$R,"")/4))*XLOOKUP($Q116,'Threshold Summary'!$Y:$Y,'Threshold Summary'!$L:$L,""))/100)+5)*XLOOKUP(XLOOKUP($Q116,'Threshold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Editor'!$E:$E,1))),stab,IF(OR(mtype=XLOOKUP(XLOOKUP($Q116,'Threshold Summary'!$Y:$Y,'Threshold Summary'!$K:$K,""),'Pokemon Editor'!$A:$A,'Pokemon Editor'!$C:$C,""),mtype=XLOOKUP(XLOOKUP($Q116,'Threshold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Chart'!$B$1:$S$1,0)))),base,IF(OR(cat="Status",pow=0),0,FLOOR(FLOOR(FLOOR((2*XLOOKUP($Q116,'Threshold Summary'!$Y:$Y,'Threshold Summary'!$L:$L,"")/5+2)*pow*atk/def)/50)+2)),modifier,stab*eff,FLOOR(base*modifier*0.85)),0)</f>
        <v/>
      </c>
      <c r="K116" s="3">
        <f>IFERROR(LET(mtype,XLOOKUP($D116,'Move Editor'!$B:$B,'Move Editor'!$C:$C,""),cat,XLOOKUP($D116,'Move Editor'!$B:$B,'Move Editor'!$D:$D,""),pow,XLOOKUP($D116,'Move Editor'!$B:$B,'Move Editor'!$E:$E,0),acc,XLOOKUP($D116,'Move Editor'!$B:$B,'Move Editor'!$F:$F,100),atk,IF(cat="Physical",FLOOR((FLOOR(((2*XLOOKUP(XLOOKUP($Q116,'Threshold Summary'!$Y:$Y,'Threshold Summary'!$K:$K,""),'Pokemon Editor'!$A:$A,'Pokemon Editor'!$F:$F,0)+31+FLOOR(XLOOKUP($Q116,'Threshold Summary'!$Y:$Y,'Threshold Summary'!$P:$P,"")/4))*XLOOKUP($Q116,'Threshold Summary'!$Y:$Y,'Threshold Summary'!$L:$L,""))/100)+5)*XLOOKUP(XLOOKUP($Q116,'Threshold Summary'!$Y:$Y,'Threshold Summary'!$M:$M,""),'Nature Editor'!$A:$A,'Nature Editor'!$B:$B,1)),FLOOR((FLOOR(((2*XLOOKUP(XLOOKUP($Q116,'Threshold Summary'!$Y:$Y,'Threshold Summary'!$K:$K,""),'Pokemon Editor'!$A:$A,'Pokemon Editor'!$H:$H,0)+31+FLOOR(XLOOKUP($Q116,'Threshold Summary'!$Y:$Y,'Threshold Summary'!$R:$R,"")/4))*XLOOKUP($Q116,'Threshold Summary'!$Y:$Y,'Threshold Summary'!$L:$L,""))/100)+5)*XLOOKUP(XLOOKUP($Q116,'Threshold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Editor'!$E:$E,1))),stab,IF(OR(mtype=XLOOKUP(XLOOKUP($Q116,'Threshold Summary'!$Y:$Y,'Threshold Summary'!$K:$K,""),'Pokemon Editor'!$A:$A,'Pokemon Editor'!$C:$C,""),mtype=XLOOKUP(XLOOKUP($Q116,'Threshold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Chart'!$B$1:$S$1,0)))),base,IF(OR(cat="Status",pow=0),0,FLOOR(FLOOR(FLOOR((2*XLOOKUP($Q116,'Threshold Summary'!$Y:$Y,'Threshold Summary'!$L:$L,"")/5+2)*pow*atk/def)/50)+2)),modifier,stab*eff,FLOOR(base*modifier)),0)</f>
        <v/>
      </c>
      <c r="L116" s="3">
        <f>IFERROR(LET(mtype,XLOOKUP($D116,'Move Editor'!$B:$B,'Move Editor'!$C:$C,""),cat,XLOOKUP($D116,'Move Editor'!$B:$B,'Move Editor'!$D:$D,""),pow,XLOOKUP($D116,'Move Editor'!$B:$B,'Move Editor'!$E:$E,0),acc,XLOOKUP($D116,'Move Editor'!$B:$B,'Move Editor'!$F:$F,100),atk,IF(cat="Physical",FLOOR((FLOOR(((2*XLOOKUP(XLOOKUP($Q116,'Threshold Summary'!$Y:$Y,'Threshold Summary'!$K:$K,""),'Pokemon Editor'!$A:$A,'Pokemon Editor'!$F:$F,0)+31+FLOOR(XLOOKUP($Q116,'Threshold Summary'!$Y:$Y,'Threshold Summary'!$P:$P,"")/4))*XLOOKUP($Q116,'Threshold Summary'!$Y:$Y,'Threshold Summary'!$L:$L,""))/100)+5)*XLOOKUP(XLOOKUP($Q116,'Threshold Summary'!$Y:$Y,'Threshold Summary'!$M:$M,""),'Nature Editor'!$A:$A,'Nature Editor'!$B:$B,1)),FLOOR((FLOOR(((2*XLOOKUP(XLOOKUP($Q116,'Threshold Summary'!$Y:$Y,'Threshold Summary'!$K:$K,""),'Pokemon Editor'!$A:$A,'Pokemon Editor'!$H:$H,0)+31+FLOOR(XLOOKUP($Q116,'Threshold Summary'!$Y:$Y,'Threshold Summary'!$R:$R,"")/4))*XLOOKUP($Q116,'Threshold Summary'!$Y:$Y,'Threshold Summary'!$L:$L,""))/100)+5)*XLOOKUP(XLOOKUP($Q116,'Threshold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Editor'!$E:$E,1))),stab,IF(OR(mtype=XLOOKUP(XLOOKUP($Q116,'Threshold Summary'!$Y:$Y,'Threshold Summary'!$K:$K,""),'Pokemon Editor'!$A:$A,'Pokemon Editor'!$C:$C,""),mtype=XLOOKUP(XLOOKUP($Q116,'Threshold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Chart'!$B$1:$S$1,0)))),base,IF(OR(cat="Status",pow=0),0,FLOOR(FLOOR(FLOOR((2*XLOOKUP($Q116,'Threshold Summary'!$Y:$Y,'Threshold Summary'!$L:$L,"")/5+2)*pow*atk/def)/50)+2)),modifier,stab*eff,AVERAGE(ARRAYFORMULA(FLOOR(base*modifier*SEQUENCE(16,1,85,1)/100)))),0)</f>
        <v/>
      </c>
      <c r="M116" s="3">
        <f>IFERROR(LET(mtype,XLOOKUP($D116,'Move Editor'!$B:$B,'Move Editor'!$C:$C,""),cat,XLOOKUP($D116,'Move Editor'!$B:$B,'Move Editor'!$D:$D,""),pow,XLOOKUP($D116,'Move Editor'!$B:$B,'Move Editor'!$E:$E,0),acc,XLOOKUP($D116,'Move Editor'!$B:$B,'Move Editor'!$F:$F,100),atk,IF(cat="Physical",FLOOR((FLOOR(((2*XLOOKUP(XLOOKUP($Q116,'Threshold Summary'!$Y:$Y,'Threshold Summary'!$K:$K,""),'Pokemon Editor'!$A:$A,'Pokemon Editor'!$F:$F,0)+31+FLOOR(XLOOKUP($Q116,'Threshold Summary'!$Y:$Y,'Threshold Summary'!$P:$P,"")/4))*XLOOKUP($Q116,'Threshold Summary'!$Y:$Y,'Threshold Summary'!$L:$L,""))/100)+5)*XLOOKUP(XLOOKUP($Q116,'Threshold Summary'!$Y:$Y,'Threshold Summary'!$M:$M,""),'Nature Editor'!$A:$A,'Nature Editor'!$B:$B,1)),FLOOR((FLOOR(((2*XLOOKUP(XLOOKUP($Q116,'Threshold Summary'!$Y:$Y,'Threshold Summary'!$K:$K,""),'Pokemon Editor'!$A:$A,'Pokemon Editor'!$H:$H,0)+31+FLOOR(XLOOKUP($Q116,'Threshold Summary'!$Y:$Y,'Threshold Summary'!$R:$R,"")/4))*XLOOKUP($Q116,'Threshold Summary'!$Y:$Y,'Threshold Summary'!$L:$L,""))/100)+5)*XLOOKUP(XLOOKUP($Q116,'Threshold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Editor'!$E:$E,1))),stab,IF(OR(mtype=XLOOKUP(XLOOKUP($Q116,'Threshold Summary'!$Y:$Y,'Threshold Summary'!$K:$K,""),'Pokemon Editor'!$A:$A,'Pokemon Editor'!$C:$C,""),mtype=XLOOKUP(XLOOKUP($Q116,'Threshold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Chart'!$B$1:$S$1,0)))),base,IF(OR(cat="Status",pow=0),0,FLOOR(FLOOR(FLOOR((2*XLOOKUP($Q116,'Threshold Summary'!$Y:$Y,'Threshold Summary'!$L:$L,"")/5+2)*pow*atk/def)/50)+2)),modifier,stab*eff,AVERAGE(ARRAYFORMULA(FLOOR(base*modifier*SEQUENCE(16,1,85,1)/100)))*MIN(1,acc/100)),0)</f>
        <v/>
      </c>
      <c r="N116" s="4">
        <f>IFERROR(LET(mtype,XLOOKUP($D116,'Move Editor'!$B:$B,'Move Editor'!$C:$C,""),cat,XLOOKUP($D116,'Move Editor'!$B:$B,'Move Editor'!$D:$D,""),pow,XLOOKUP($D116,'Move Editor'!$B:$B,'Move Editor'!$E:$E,0),acc,XLOOKUP($D116,'Move Editor'!$B:$B,'Move Editor'!$F:$F,100),atk,IF(cat="Physical",FLOOR((FLOOR(((2*XLOOKUP(XLOOKUP($Q116,'Threshold Summary'!$Y:$Y,'Threshold Summary'!$K:$K,""),'Pokemon Editor'!$A:$A,'Pokemon Editor'!$F:$F,0)+31+FLOOR(XLOOKUP($Q116,'Threshold Summary'!$Y:$Y,'Threshold Summary'!$P:$P,"")/4))*XLOOKUP($Q116,'Threshold Summary'!$Y:$Y,'Threshold Summary'!$L:$L,""))/100)+5)*XLOOKUP(XLOOKUP($Q116,'Threshold Summary'!$Y:$Y,'Threshold Summary'!$M:$M,""),'Nature Editor'!$A:$A,'Nature Editor'!$B:$B,1)),FLOOR((FLOOR(((2*XLOOKUP(XLOOKUP($Q116,'Threshold Summary'!$Y:$Y,'Threshold Summary'!$K:$K,""),'Pokemon Editor'!$A:$A,'Pokemon Editor'!$H:$H,0)+31+FLOOR(XLOOKUP($Q116,'Threshold Summary'!$Y:$Y,'Threshold Summary'!$R:$R,"")/4))*XLOOKUP($Q116,'Threshold Summary'!$Y:$Y,'Threshold Summary'!$L:$L,""))/100)+5)*XLOOKUP(XLOOKUP($Q116,'Threshold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Editor'!$E:$E,1))),stab,IF(OR(mtype=XLOOKUP(XLOOKUP($Q116,'Threshold Summary'!$Y:$Y,'Threshold Summary'!$K:$K,""),'Pokemon Editor'!$A:$A,'Pokemon Editor'!$C:$C,""),mtype=XLOOKUP(XLOOKUP($Q116,'Threshold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Chart'!$B$1:$S$1,0)))),base,IF(OR(cat="Status",pow=0),0,FLOOR(FLOOR(FLOOR((2*XLOOKUP($Q116,'Threshold Summary'!$Y:$Y,'Threshold Summary'!$L:$L,"")/5+2)*pow*atk/def)/50)+2)),modifier,stab*eff,AVERAGE(ARRAYFORMULA(FLOOR(base*modifier*SEQUENCE(16,1,85,1)/100)))/(FLOOR(((2*XLOOKUP('Boss Editor'!$C$4,'Pokemon Editor'!$A:$A,'Pokemon Editor'!$E:$E,0)+31+FLOOR('Boss Editor'!$G$4/4))*'Boss Editor'!$D$4)/100)+'Boss Editor'!$D$4+10)),0)</f>
        <v/>
      </c>
      <c r="O116" s="3">
        <f>IF(N116&gt;=1,"OHKO",IF(N116&gt;=0.5,"2HKO",IF(N116&gt;=0.333,"3HKO",IF(N116&gt;=0.25,"4HKO","5HKO+"))))</f>
        <v/>
      </c>
      <c r="P116" s="3" t="inlineStr">
        <is>
          <t>Live from editable databases</t>
        </is>
      </c>
      <c r="Q116" s="3" t="inlineStr">
        <is>
          <t>SPECIES_TREECKO</t>
        </is>
      </c>
      <c r="R116" s="3" t="n">
        <v>19</v>
      </c>
    </row>
    <row r="117">
      <c r="A117" s="3">
        <f>XLOOKUP($Q117,'Threshold Summary'!$Y:$Y,'Threshold Summary'!$A:$A,"")</f>
        <v/>
      </c>
      <c r="B117" s="3">
        <f>XLOOKUP($Q117,'Threshold Summary'!$Y:$Y,'Threshold Summary'!$M:$M,"")</f>
        <v/>
      </c>
      <c r="C117" s="3">
        <f>XLOOKUP($Q117,'Threshold Summary'!$Y:$Y,'Threshold Summary'!$N:$N,"")</f>
        <v/>
      </c>
      <c r="D117" s="3">
        <f>IFERROR(INDEX(FILTER('Learnset Editor'!$D$2:$D,'Learnset Editor'!$A$2:$A=XLOOKUP($Q117,'Threshold Summary'!$Y:$Y,'Threshold Summary'!$K:$K,""),'Learnset Editor'!$C$2:$C&lt;=XLOOKUP($Q117,'Threshold Summary'!$Y:$Y,'Threshold Summary'!$L:$L,"")),$R117),"")</f>
        <v/>
      </c>
      <c r="E117" s="3">
        <f>XLOOKUP(D117,'Move Editor'!$B:$B,'Move Editor'!$C:$C,"")</f>
        <v/>
      </c>
      <c r="F117" s="3">
        <f>XLOOKUP(D117,'Move Editor'!$B:$B,'Move Editor'!$D:$D,"")</f>
        <v/>
      </c>
      <c r="G117" s="3">
        <f>XLOOKUP(D117,'Move Editor'!$B:$B,'Move Editor'!$E:$E,0)</f>
        <v/>
      </c>
      <c r="H117" s="3">
        <f>XLOOKUP(D117,'Move Editor'!$B:$B,'Move Editor'!$F:$F,0)</f>
        <v/>
      </c>
      <c r="I117" s="3">
        <f>(INDEX('Type Chart'!$B:$S,MATCH(E117,'Type Chart'!$A:$A,0),MATCH(XLOOKUP('Boss Editor'!$C$4,'Pokemon Editor'!$A:$A,'Pokemon Editor'!$C:$C,""),'Type Chart'!$B$1:$S$1,0))*IF(XLOOKUP('Boss Editor'!$C$4,'Pokemon Editor'!$A:$A,'Pokemon Editor'!$D:$D,"")="",1,INDEX('Type Chart'!$B:$S,MATCH(E117,'Type Chart'!$A:$A,0),MATCH(XLOOKUP('Boss Editor'!$C$4,'Pokemon Editor'!$A:$A,'Pokemon Editor'!$D:$D,""),'Type Chart'!$B$1:$S$1,0))))</f>
        <v/>
      </c>
      <c r="J117" s="3">
        <f>IFERROR(LET(mtype,XLOOKUP($D117,'Move Editor'!$B:$B,'Move Editor'!$C:$C,""),cat,XLOOKUP($D117,'Move Editor'!$B:$B,'Move Editor'!$D:$D,""),pow,XLOOKUP($D117,'Move Editor'!$B:$B,'Move Editor'!$E:$E,0),acc,XLOOKUP($D117,'Move Editor'!$B:$B,'Move Editor'!$F:$F,100),atk,IF(cat="Physical",FLOOR((FLOOR(((2*XLOOKUP(XLOOKUP($Q117,'Threshold Summary'!$Y:$Y,'Threshold Summary'!$K:$K,""),'Pokemon Editor'!$A:$A,'Pokemon Editor'!$F:$F,0)+31+FLOOR(XLOOKUP($Q117,'Threshold Summary'!$Y:$Y,'Threshold Summary'!$P:$P,"")/4))*XLOOKUP($Q117,'Threshold Summary'!$Y:$Y,'Threshold Summary'!$L:$L,""))/100)+5)*XLOOKUP(XLOOKUP($Q117,'Threshold Summary'!$Y:$Y,'Threshold Summary'!$M:$M,""),'Nature Editor'!$A:$A,'Nature Editor'!$B:$B,1)),FLOOR((FLOOR(((2*XLOOKUP(XLOOKUP($Q117,'Threshold Summary'!$Y:$Y,'Threshold Summary'!$K:$K,""),'Pokemon Editor'!$A:$A,'Pokemon Editor'!$H:$H,0)+31+FLOOR(XLOOKUP($Q117,'Threshold Summary'!$Y:$Y,'Threshold Summary'!$R:$R,"")/4))*XLOOKUP($Q117,'Threshold Summary'!$Y:$Y,'Threshold Summary'!$L:$L,""))/100)+5)*XLOOKUP(XLOOKUP($Q117,'Threshold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Editor'!$E:$E,1))),stab,IF(OR(mtype=XLOOKUP(XLOOKUP($Q117,'Threshold Summary'!$Y:$Y,'Threshold Summary'!$K:$K,""),'Pokemon Editor'!$A:$A,'Pokemon Editor'!$C:$C,""),mtype=XLOOKUP(XLOOKUP($Q117,'Threshold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Chart'!$B$1:$S$1,0)))),base,IF(OR(cat="Status",pow=0),0,FLOOR(FLOOR(FLOOR((2*XLOOKUP($Q117,'Threshold Summary'!$Y:$Y,'Threshold Summary'!$L:$L,"")/5+2)*pow*atk/def)/50)+2)),modifier,stab*eff,FLOOR(base*modifier*0.85)),0)</f>
        <v/>
      </c>
      <c r="K117" s="3">
        <f>IFERROR(LET(mtype,XLOOKUP($D117,'Move Editor'!$B:$B,'Move Editor'!$C:$C,""),cat,XLOOKUP($D117,'Move Editor'!$B:$B,'Move Editor'!$D:$D,""),pow,XLOOKUP($D117,'Move Editor'!$B:$B,'Move Editor'!$E:$E,0),acc,XLOOKUP($D117,'Move Editor'!$B:$B,'Move Editor'!$F:$F,100),atk,IF(cat="Physical",FLOOR((FLOOR(((2*XLOOKUP(XLOOKUP($Q117,'Threshold Summary'!$Y:$Y,'Threshold Summary'!$K:$K,""),'Pokemon Editor'!$A:$A,'Pokemon Editor'!$F:$F,0)+31+FLOOR(XLOOKUP($Q117,'Threshold Summary'!$Y:$Y,'Threshold Summary'!$P:$P,"")/4))*XLOOKUP($Q117,'Threshold Summary'!$Y:$Y,'Threshold Summary'!$L:$L,""))/100)+5)*XLOOKUP(XLOOKUP($Q117,'Threshold Summary'!$Y:$Y,'Threshold Summary'!$M:$M,""),'Nature Editor'!$A:$A,'Nature Editor'!$B:$B,1)),FLOOR((FLOOR(((2*XLOOKUP(XLOOKUP($Q117,'Threshold Summary'!$Y:$Y,'Threshold Summary'!$K:$K,""),'Pokemon Editor'!$A:$A,'Pokemon Editor'!$H:$H,0)+31+FLOOR(XLOOKUP($Q117,'Threshold Summary'!$Y:$Y,'Threshold Summary'!$R:$R,"")/4))*XLOOKUP($Q117,'Threshold Summary'!$Y:$Y,'Threshold Summary'!$L:$L,""))/100)+5)*XLOOKUP(XLOOKUP($Q117,'Threshold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Editor'!$E:$E,1))),stab,IF(OR(mtype=XLOOKUP(XLOOKUP($Q117,'Threshold Summary'!$Y:$Y,'Threshold Summary'!$K:$K,""),'Pokemon Editor'!$A:$A,'Pokemon Editor'!$C:$C,""),mtype=XLOOKUP(XLOOKUP($Q117,'Threshold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Chart'!$B$1:$S$1,0)))),base,IF(OR(cat="Status",pow=0),0,FLOOR(FLOOR(FLOOR((2*XLOOKUP($Q117,'Threshold Summary'!$Y:$Y,'Threshold Summary'!$L:$L,"")/5+2)*pow*atk/def)/50)+2)),modifier,stab*eff,FLOOR(base*modifier)),0)</f>
        <v/>
      </c>
      <c r="L117" s="3">
        <f>IFERROR(LET(mtype,XLOOKUP($D117,'Move Editor'!$B:$B,'Move Editor'!$C:$C,""),cat,XLOOKUP($D117,'Move Editor'!$B:$B,'Move Editor'!$D:$D,""),pow,XLOOKUP($D117,'Move Editor'!$B:$B,'Move Editor'!$E:$E,0),acc,XLOOKUP($D117,'Move Editor'!$B:$B,'Move Editor'!$F:$F,100),atk,IF(cat="Physical",FLOOR((FLOOR(((2*XLOOKUP(XLOOKUP($Q117,'Threshold Summary'!$Y:$Y,'Threshold Summary'!$K:$K,""),'Pokemon Editor'!$A:$A,'Pokemon Editor'!$F:$F,0)+31+FLOOR(XLOOKUP($Q117,'Threshold Summary'!$Y:$Y,'Threshold Summary'!$P:$P,"")/4))*XLOOKUP($Q117,'Threshold Summary'!$Y:$Y,'Threshold Summary'!$L:$L,""))/100)+5)*XLOOKUP(XLOOKUP($Q117,'Threshold Summary'!$Y:$Y,'Threshold Summary'!$M:$M,""),'Nature Editor'!$A:$A,'Nature Editor'!$B:$B,1)),FLOOR((FLOOR(((2*XLOOKUP(XLOOKUP($Q117,'Threshold Summary'!$Y:$Y,'Threshold Summary'!$K:$K,""),'Pokemon Editor'!$A:$A,'Pokemon Editor'!$H:$H,0)+31+FLOOR(XLOOKUP($Q117,'Threshold Summary'!$Y:$Y,'Threshold Summary'!$R:$R,"")/4))*XLOOKUP($Q117,'Threshold Summary'!$Y:$Y,'Threshold Summary'!$L:$L,""))/100)+5)*XLOOKUP(XLOOKUP($Q117,'Threshold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Editor'!$E:$E,1))),stab,IF(OR(mtype=XLOOKUP(XLOOKUP($Q117,'Threshold Summary'!$Y:$Y,'Threshold Summary'!$K:$K,""),'Pokemon Editor'!$A:$A,'Pokemon Editor'!$C:$C,""),mtype=XLOOKUP(XLOOKUP($Q117,'Threshold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Chart'!$B$1:$S$1,0)))),base,IF(OR(cat="Status",pow=0),0,FLOOR(FLOOR(FLOOR((2*XLOOKUP($Q117,'Threshold Summary'!$Y:$Y,'Threshold Summary'!$L:$L,"")/5+2)*pow*atk/def)/50)+2)),modifier,stab*eff,AVERAGE(ARRAYFORMULA(FLOOR(base*modifier*SEQUENCE(16,1,85,1)/100)))),0)</f>
        <v/>
      </c>
      <c r="M117" s="3">
        <f>IFERROR(LET(mtype,XLOOKUP($D117,'Move Editor'!$B:$B,'Move Editor'!$C:$C,""),cat,XLOOKUP($D117,'Move Editor'!$B:$B,'Move Editor'!$D:$D,""),pow,XLOOKUP($D117,'Move Editor'!$B:$B,'Move Editor'!$E:$E,0),acc,XLOOKUP($D117,'Move Editor'!$B:$B,'Move Editor'!$F:$F,100),atk,IF(cat="Physical",FLOOR((FLOOR(((2*XLOOKUP(XLOOKUP($Q117,'Threshold Summary'!$Y:$Y,'Threshold Summary'!$K:$K,""),'Pokemon Editor'!$A:$A,'Pokemon Editor'!$F:$F,0)+31+FLOOR(XLOOKUP($Q117,'Threshold Summary'!$Y:$Y,'Threshold Summary'!$P:$P,"")/4))*XLOOKUP($Q117,'Threshold Summary'!$Y:$Y,'Threshold Summary'!$L:$L,""))/100)+5)*XLOOKUP(XLOOKUP($Q117,'Threshold Summary'!$Y:$Y,'Threshold Summary'!$M:$M,""),'Nature Editor'!$A:$A,'Nature Editor'!$B:$B,1)),FLOOR((FLOOR(((2*XLOOKUP(XLOOKUP($Q117,'Threshold Summary'!$Y:$Y,'Threshold Summary'!$K:$K,""),'Pokemon Editor'!$A:$A,'Pokemon Editor'!$H:$H,0)+31+FLOOR(XLOOKUP($Q117,'Threshold Summary'!$Y:$Y,'Threshold Summary'!$R:$R,"")/4))*XLOOKUP($Q117,'Threshold Summary'!$Y:$Y,'Threshold Summary'!$L:$L,""))/100)+5)*XLOOKUP(XLOOKUP($Q117,'Threshold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Editor'!$E:$E,1))),stab,IF(OR(mtype=XLOOKUP(XLOOKUP($Q117,'Threshold Summary'!$Y:$Y,'Threshold Summary'!$K:$K,""),'Pokemon Editor'!$A:$A,'Pokemon Editor'!$C:$C,""),mtype=XLOOKUP(XLOOKUP($Q117,'Threshold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Chart'!$B$1:$S$1,0)))),base,IF(OR(cat="Status",pow=0),0,FLOOR(FLOOR(FLOOR((2*XLOOKUP($Q117,'Threshold Summary'!$Y:$Y,'Threshold Summary'!$L:$L,"")/5+2)*pow*atk/def)/50)+2)),modifier,stab*eff,AVERAGE(ARRAYFORMULA(FLOOR(base*modifier*SEQUENCE(16,1,85,1)/100)))*MIN(1,acc/100)),0)</f>
        <v/>
      </c>
      <c r="N117" s="4">
        <f>IFERROR(LET(mtype,XLOOKUP($D117,'Move Editor'!$B:$B,'Move Editor'!$C:$C,""),cat,XLOOKUP($D117,'Move Editor'!$B:$B,'Move Editor'!$D:$D,""),pow,XLOOKUP($D117,'Move Editor'!$B:$B,'Move Editor'!$E:$E,0),acc,XLOOKUP($D117,'Move Editor'!$B:$B,'Move Editor'!$F:$F,100),atk,IF(cat="Physical",FLOOR((FLOOR(((2*XLOOKUP(XLOOKUP($Q117,'Threshold Summary'!$Y:$Y,'Threshold Summary'!$K:$K,""),'Pokemon Editor'!$A:$A,'Pokemon Editor'!$F:$F,0)+31+FLOOR(XLOOKUP($Q117,'Threshold Summary'!$Y:$Y,'Threshold Summary'!$P:$P,"")/4))*XLOOKUP($Q117,'Threshold Summary'!$Y:$Y,'Threshold Summary'!$L:$L,""))/100)+5)*XLOOKUP(XLOOKUP($Q117,'Threshold Summary'!$Y:$Y,'Threshold Summary'!$M:$M,""),'Nature Editor'!$A:$A,'Nature Editor'!$B:$B,1)),FLOOR((FLOOR(((2*XLOOKUP(XLOOKUP($Q117,'Threshold Summary'!$Y:$Y,'Threshold Summary'!$K:$K,""),'Pokemon Editor'!$A:$A,'Pokemon Editor'!$H:$H,0)+31+FLOOR(XLOOKUP($Q117,'Threshold Summary'!$Y:$Y,'Threshold Summary'!$R:$R,"")/4))*XLOOKUP($Q117,'Threshold Summary'!$Y:$Y,'Threshold Summary'!$L:$L,""))/100)+5)*XLOOKUP(XLOOKUP($Q117,'Threshold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Editor'!$E:$E,1))),stab,IF(OR(mtype=XLOOKUP(XLOOKUP($Q117,'Threshold Summary'!$Y:$Y,'Threshold Summary'!$K:$K,""),'Pokemon Editor'!$A:$A,'Pokemon Editor'!$C:$C,""),mtype=XLOOKUP(XLOOKUP($Q117,'Threshold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Chart'!$B$1:$S$1,0)))),base,IF(OR(cat="Status",pow=0),0,FLOOR(FLOOR(FLOOR((2*XLOOKUP($Q117,'Threshold Summary'!$Y:$Y,'Threshold Summary'!$L:$L,"")/5+2)*pow*atk/def)/50)+2)),modifier,stab*eff,AVERAGE(ARRAYFORMULA(FLOOR(base*modifier*SEQUENCE(16,1,85,1)/100)))/(FLOOR(((2*XLOOKUP('Boss Editor'!$C$4,'Pokemon Editor'!$A:$A,'Pokemon Editor'!$E:$E,0)+31+FLOOR('Boss Editor'!$G$4/4))*'Boss Editor'!$D$4)/100)+'Boss Editor'!$D$4+10)),0)</f>
        <v/>
      </c>
      <c r="O117" s="3">
        <f>IF(N117&gt;=1,"OHKO",IF(N117&gt;=0.5,"2HKO",IF(N117&gt;=0.333,"3HKO",IF(N117&gt;=0.25,"4HKO","5HKO+"))))</f>
        <v/>
      </c>
      <c r="P117" s="3" t="inlineStr">
        <is>
          <t>Live from editable databases</t>
        </is>
      </c>
      <c r="Q117" s="3" t="inlineStr">
        <is>
          <t>SPECIES_TREECKO</t>
        </is>
      </c>
      <c r="R117" s="3" t="n">
        <v>20</v>
      </c>
    </row>
    <row r="118">
      <c r="A118" s="3">
        <f>XLOOKUP($Q118,'Threshold Summary'!$Y:$Y,'Threshold Summary'!$A:$A,"")</f>
        <v/>
      </c>
      <c r="B118" s="3">
        <f>XLOOKUP($Q118,'Threshold Summary'!$Y:$Y,'Threshold Summary'!$M:$M,"")</f>
        <v/>
      </c>
      <c r="C118" s="3">
        <f>XLOOKUP($Q118,'Threshold Summary'!$Y:$Y,'Threshold Summary'!$N:$N,"")</f>
        <v/>
      </c>
      <c r="D118" s="3">
        <f>IFERROR(INDEX(FILTER('Learnset Editor'!$D$2:$D,'Learnset Editor'!$A$2:$A=XLOOKUP($Q118,'Threshold Summary'!$Y:$Y,'Threshold Summary'!$K:$K,""),'Learnset Editor'!$C$2:$C&lt;=XLOOKUP($Q118,'Threshold Summary'!$Y:$Y,'Threshold Summary'!$L:$L,"")),$R118),"")</f>
        <v/>
      </c>
      <c r="E118" s="3">
        <f>XLOOKUP(D118,'Move Editor'!$B:$B,'Move Editor'!$C:$C,"")</f>
        <v/>
      </c>
      <c r="F118" s="3">
        <f>XLOOKUP(D118,'Move Editor'!$B:$B,'Move Editor'!$D:$D,"")</f>
        <v/>
      </c>
      <c r="G118" s="3">
        <f>XLOOKUP(D118,'Move Editor'!$B:$B,'Move Editor'!$E:$E,0)</f>
        <v/>
      </c>
      <c r="H118" s="3">
        <f>XLOOKUP(D118,'Move Editor'!$B:$B,'Move Editor'!$F:$F,0)</f>
        <v/>
      </c>
      <c r="I118" s="3">
        <f>(INDEX('Type Chart'!$B:$S,MATCH(E118,'Type Chart'!$A:$A,0),MATCH(XLOOKUP('Boss Editor'!$C$4,'Pokemon Editor'!$A:$A,'Pokemon Editor'!$C:$C,""),'Type Chart'!$B$1:$S$1,0))*IF(XLOOKUP('Boss Editor'!$C$4,'Pokemon Editor'!$A:$A,'Pokemon Editor'!$D:$D,"")="",1,INDEX('Type Chart'!$B:$S,MATCH(E118,'Type Chart'!$A:$A,0),MATCH(XLOOKUP('Boss Editor'!$C$4,'Pokemon Editor'!$A:$A,'Pokemon Editor'!$D:$D,""),'Type Chart'!$B$1:$S$1,0))))</f>
        <v/>
      </c>
      <c r="J118" s="3">
        <f>IFERROR(LET(mtype,XLOOKUP($D118,'Move Editor'!$B:$B,'Move Editor'!$C:$C,""),cat,XLOOKUP($D118,'Move Editor'!$B:$B,'Move Editor'!$D:$D,""),pow,XLOOKUP($D118,'Move Editor'!$B:$B,'Move Editor'!$E:$E,0),acc,XLOOKUP($D118,'Move Editor'!$B:$B,'Move Editor'!$F:$F,100),atk,IF(cat="Physical",FLOOR((FLOOR(((2*XLOOKUP(XLOOKUP($Q118,'Threshold Summary'!$Y:$Y,'Threshold Summary'!$K:$K,""),'Pokemon Editor'!$A:$A,'Pokemon Editor'!$F:$F,0)+31+FLOOR(XLOOKUP($Q118,'Threshold Summary'!$Y:$Y,'Threshold Summary'!$P:$P,"")/4))*XLOOKUP($Q118,'Threshold Summary'!$Y:$Y,'Threshold Summary'!$L:$L,""))/100)+5)*XLOOKUP(XLOOKUP($Q118,'Threshold Summary'!$Y:$Y,'Threshold Summary'!$M:$M,""),'Nature Editor'!$A:$A,'Nature Editor'!$B:$B,1)),FLOOR((FLOOR(((2*XLOOKUP(XLOOKUP($Q118,'Threshold Summary'!$Y:$Y,'Threshold Summary'!$K:$K,""),'Pokemon Editor'!$A:$A,'Pokemon Editor'!$H:$H,0)+31+FLOOR(XLOOKUP($Q118,'Threshold Summary'!$Y:$Y,'Threshold Summary'!$R:$R,"")/4))*XLOOKUP($Q118,'Threshold Summary'!$Y:$Y,'Threshold Summary'!$L:$L,""))/100)+5)*XLOOKUP(XLOOKUP($Q118,'Threshold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Editor'!$E:$E,1))),stab,IF(OR(mtype=XLOOKUP(XLOOKUP($Q118,'Threshold Summary'!$Y:$Y,'Threshold Summary'!$K:$K,""),'Pokemon Editor'!$A:$A,'Pokemon Editor'!$C:$C,""),mtype=XLOOKUP(XLOOKUP($Q118,'Threshold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Chart'!$B$1:$S$1,0)))),base,IF(OR(cat="Status",pow=0),0,FLOOR(FLOOR(FLOOR((2*XLOOKUP($Q118,'Threshold Summary'!$Y:$Y,'Threshold Summary'!$L:$L,"")/5+2)*pow*atk/def)/50)+2)),modifier,stab*eff,FLOOR(base*modifier*0.85)),0)</f>
        <v/>
      </c>
      <c r="K118" s="3">
        <f>IFERROR(LET(mtype,XLOOKUP($D118,'Move Editor'!$B:$B,'Move Editor'!$C:$C,""),cat,XLOOKUP($D118,'Move Editor'!$B:$B,'Move Editor'!$D:$D,""),pow,XLOOKUP($D118,'Move Editor'!$B:$B,'Move Editor'!$E:$E,0),acc,XLOOKUP($D118,'Move Editor'!$B:$B,'Move Editor'!$F:$F,100),atk,IF(cat="Physical",FLOOR((FLOOR(((2*XLOOKUP(XLOOKUP($Q118,'Threshold Summary'!$Y:$Y,'Threshold Summary'!$K:$K,""),'Pokemon Editor'!$A:$A,'Pokemon Editor'!$F:$F,0)+31+FLOOR(XLOOKUP($Q118,'Threshold Summary'!$Y:$Y,'Threshold Summary'!$P:$P,"")/4))*XLOOKUP($Q118,'Threshold Summary'!$Y:$Y,'Threshold Summary'!$L:$L,""))/100)+5)*XLOOKUP(XLOOKUP($Q118,'Threshold Summary'!$Y:$Y,'Threshold Summary'!$M:$M,""),'Nature Editor'!$A:$A,'Nature Editor'!$B:$B,1)),FLOOR((FLOOR(((2*XLOOKUP(XLOOKUP($Q118,'Threshold Summary'!$Y:$Y,'Threshold Summary'!$K:$K,""),'Pokemon Editor'!$A:$A,'Pokemon Editor'!$H:$H,0)+31+FLOOR(XLOOKUP($Q118,'Threshold Summary'!$Y:$Y,'Threshold Summary'!$R:$R,"")/4))*XLOOKUP($Q118,'Threshold Summary'!$Y:$Y,'Threshold Summary'!$L:$L,""))/100)+5)*XLOOKUP(XLOOKUP($Q118,'Threshold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Editor'!$E:$E,1))),stab,IF(OR(mtype=XLOOKUP(XLOOKUP($Q118,'Threshold Summary'!$Y:$Y,'Threshold Summary'!$K:$K,""),'Pokemon Editor'!$A:$A,'Pokemon Editor'!$C:$C,""),mtype=XLOOKUP(XLOOKUP($Q118,'Threshold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Chart'!$B$1:$S$1,0)))),base,IF(OR(cat="Status",pow=0),0,FLOOR(FLOOR(FLOOR((2*XLOOKUP($Q118,'Threshold Summary'!$Y:$Y,'Threshold Summary'!$L:$L,"")/5+2)*pow*atk/def)/50)+2)),modifier,stab*eff,FLOOR(base*modifier)),0)</f>
        <v/>
      </c>
      <c r="L118" s="3">
        <f>IFERROR(LET(mtype,XLOOKUP($D118,'Move Editor'!$B:$B,'Move Editor'!$C:$C,""),cat,XLOOKUP($D118,'Move Editor'!$B:$B,'Move Editor'!$D:$D,""),pow,XLOOKUP($D118,'Move Editor'!$B:$B,'Move Editor'!$E:$E,0),acc,XLOOKUP($D118,'Move Editor'!$B:$B,'Move Editor'!$F:$F,100),atk,IF(cat="Physical",FLOOR((FLOOR(((2*XLOOKUP(XLOOKUP($Q118,'Threshold Summary'!$Y:$Y,'Threshold Summary'!$K:$K,""),'Pokemon Editor'!$A:$A,'Pokemon Editor'!$F:$F,0)+31+FLOOR(XLOOKUP($Q118,'Threshold Summary'!$Y:$Y,'Threshold Summary'!$P:$P,"")/4))*XLOOKUP($Q118,'Threshold Summary'!$Y:$Y,'Threshold Summary'!$L:$L,""))/100)+5)*XLOOKUP(XLOOKUP($Q118,'Threshold Summary'!$Y:$Y,'Threshold Summary'!$M:$M,""),'Nature Editor'!$A:$A,'Nature Editor'!$B:$B,1)),FLOOR((FLOOR(((2*XLOOKUP(XLOOKUP($Q118,'Threshold Summary'!$Y:$Y,'Threshold Summary'!$K:$K,""),'Pokemon Editor'!$A:$A,'Pokemon Editor'!$H:$H,0)+31+FLOOR(XLOOKUP($Q118,'Threshold Summary'!$Y:$Y,'Threshold Summary'!$R:$R,"")/4))*XLOOKUP($Q118,'Threshold Summary'!$Y:$Y,'Threshold Summary'!$L:$L,""))/100)+5)*XLOOKUP(XLOOKUP($Q118,'Threshold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Editor'!$E:$E,1))),stab,IF(OR(mtype=XLOOKUP(XLOOKUP($Q118,'Threshold Summary'!$Y:$Y,'Threshold Summary'!$K:$K,""),'Pokemon Editor'!$A:$A,'Pokemon Editor'!$C:$C,""),mtype=XLOOKUP(XLOOKUP($Q118,'Threshold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Chart'!$B$1:$S$1,0)))),base,IF(OR(cat="Status",pow=0),0,FLOOR(FLOOR(FLOOR((2*XLOOKUP($Q118,'Threshold Summary'!$Y:$Y,'Threshold Summary'!$L:$L,"")/5+2)*pow*atk/def)/50)+2)),modifier,stab*eff,AVERAGE(ARRAYFORMULA(FLOOR(base*modifier*SEQUENCE(16,1,85,1)/100)))),0)</f>
        <v/>
      </c>
      <c r="M118" s="3">
        <f>IFERROR(LET(mtype,XLOOKUP($D118,'Move Editor'!$B:$B,'Move Editor'!$C:$C,""),cat,XLOOKUP($D118,'Move Editor'!$B:$B,'Move Editor'!$D:$D,""),pow,XLOOKUP($D118,'Move Editor'!$B:$B,'Move Editor'!$E:$E,0),acc,XLOOKUP($D118,'Move Editor'!$B:$B,'Move Editor'!$F:$F,100),atk,IF(cat="Physical",FLOOR((FLOOR(((2*XLOOKUP(XLOOKUP($Q118,'Threshold Summary'!$Y:$Y,'Threshold Summary'!$K:$K,""),'Pokemon Editor'!$A:$A,'Pokemon Editor'!$F:$F,0)+31+FLOOR(XLOOKUP($Q118,'Threshold Summary'!$Y:$Y,'Threshold Summary'!$P:$P,"")/4))*XLOOKUP($Q118,'Threshold Summary'!$Y:$Y,'Threshold Summary'!$L:$L,""))/100)+5)*XLOOKUP(XLOOKUP($Q118,'Threshold Summary'!$Y:$Y,'Threshold Summary'!$M:$M,""),'Nature Editor'!$A:$A,'Nature Editor'!$B:$B,1)),FLOOR((FLOOR(((2*XLOOKUP(XLOOKUP($Q118,'Threshold Summary'!$Y:$Y,'Threshold Summary'!$K:$K,""),'Pokemon Editor'!$A:$A,'Pokemon Editor'!$H:$H,0)+31+FLOOR(XLOOKUP($Q118,'Threshold Summary'!$Y:$Y,'Threshold Summary'!$R:$R,"")/4))*XLOOKUP($Q118,'Threshold Summary'!$Y:$Y,'Threshold Summary'!$L:$L,""))/100)+5)*XLOOKUP(XLOOKUP($Q118,'Threshold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Editor'!$E:$E,1))),stab,IF(OR(mtype=XLOOKUP(XLOOKUP($Q118,'Threshold Summary'!$Y:$Y,'Threshold Summary'!$K:$K,""),'Pokemon Editor'!$A:$A,'Pokemon Editor'!$C:$C,""),mtype=XLOOKUP(XLOOKUP($Q118,'Threshold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Chart'!$B$1:$S$1,0)))),base,IF(OR(cat="Status",pow=0),0,FLOOR(FLOOR(FLOOR((2*XLOOKUP($Q118,'Threshold Summary'!$Y:$Y,'Threshold Summary'!$L:$L,"")/5+2)*pow*atk/def)/50)+2)),modifier,stab*eff,AVERAGE(ARRAYFORMULA(FLOOR(base*modifier*SEQUENCE(16,1,85,1)/100)))*MIN(1,acc/100)),0)</f>
        <v/>
      </c>
      <c r="N118" s="4">
        <f>IFERROR(LET(mtype,XLOOKUP($D118,'Move Editor'!$B:$B,'Move Editor'!$C:$C,""),cat,XLOOKUP($D118,'Move Editor'!$B:$B,'Move Editor'!$D:$D,""),pow,XLOOKUP($D118,'Move Editor'!$B:$B,'Move Editor'!$E:$E,0),acc,XLOOKUP($D118,'Move Editor'!$B:$B,'Move Editor'!$F:$F,100),atk,IF(cat="Physical",FLOOR((FLOOR(((2*XLOOKUP(XLOOKUP($Q118,'Threshold Summary'!$Y:$Y,'Threshold Summary'!$K:$K,""),'Pokemon Editor'!$A:$A,'Pokemon Editor'!$F:$F,0)+31+FLOOR(XLOOKUP($Q118,'Threshold Summary'!$Y:$Y,'Threshold Summary'!$P:$P,"")/4))*XLOOKUP($Q118,'Threshold Summary'!$Y:$Y,'Threshold Summary'!$L:$L,""))/100)+5)*XLOOKUP(XLOOKUP($Q118,'Threshold Summary'!$Y:$Y,'Threshold Summary'!$M:$M,""),'Nature Editor'!$A:$A,'Nature Editor'!$B:$B,1)),FLOOR((FLOOR(((2*XLOOKUP(XLOOKUP($Q118,'Threshold Summary'!$Y:$Y,'Threshold Summary'!$K:$K,""),'Pokemon Editor'!$A:$A,'Pokemon Editor'!$H:$H,0)+31+FLOOR(XLOOKUP($Q118,'Threshold Summary'!$Y:$Y,'Threshold Summary'!$R:$R,"")/4))*XLOOKUP($Q118,'Threshold Summary'!$Y:$Y,'Threshold Summary'!$L:$L,""))/100)+5)*XLOOKUP(XLOOKUP($Q118,'Threshold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Editor'!$E:$E,1))),stab,IF(OR(mtype=XLOOKUP(XLOOKUP($Q118,'Threshold Summary'!$Y:$Y,'Threshold Summary'!$K:$K,""),'Pokemon Editor'!$A:$A,'Pokemon Editor'!$C:$C,""),mtype=XLOOKUP(XLOOKUP($Q118,'Threshold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Chart'!$B$1:$S$1,0)))),base,IF(OR(cat="Status",pow=0),0,FLOOR(FLOOR(FLOOR((2*XLOOKUP($Q118,'Threshold Summary'!$Y:$Y,'Threshold Summary'!$L:$L,"")/5+2)*pow*atk/def)/50)+2)),modifier,stab*eff,AVERAGE(ARRAYFORMULA(FLOOR(base*modifier*SEQUENCE(16,1,85,1)/100)))/(FLOOR(((2*XLOOKUP('Boss Editor'!$C$4,'Pokemon Editor'!$A:$A,'Pokemon Editor'!$E:$E,0)+31+FLOOR('Boss Editor'!$G$4/4))*'Boss Editor'!$D$4)/100)+'Boss Editor'!$D$4+10)),0)</f>
        <v/>
      </c>
      <c r="O118" s="3">
        <f>IF(N118&gt;=1,"OHKO",IF(N118&gt;=0.5,"2HKO",IF(N118&gt;=0.333,"3HKO",IF(N118&gt;=0.25,"4HKO","5HKO+"))))</f>
        <v/>
      </c>
      <c r="P118" s="3" t="inlineStr">
        <is>
          <t>Live from editable databases</t>
        </is>
      </c>
      <c r="Q118" s="3" t="inlineStr">
        <is>
          <t>SPECIES_TREECKO</t>
        </is>
      </c>
      <c r="R118" s="3" t="n">
        <v>21</v>
      </c>
    </row>
    <row r="119">
      <c r="A119" s="3">
        <f>XLOOKUP($Q119,'Threshold Summary'!$Y:$Y,'Threshold Summary'!$A:$A,"")</f>
        <v/>
      </c>
      <c r="B119" s="3">
        <f>XLOOKUP($Q119,'Threshold Summary'!$Y:$Y,'Threshold Summary'!$M:$M,"")</f>
        <v/>
      </c>
      <c r="C119" s="3">
        <f>XLOOKUP($Q119,'Threshold Summary'!$Y:$Y,'Threshold Summary'!$N:$N,"")</f>
        <v/>
      </c>
      <c r="D119" s="3">
        <f>IFERROR(INDEX(FILTER('Learnset Editor'!$D$2:$D,'Learnset Editor'!$A$2:$A=XLOOKUP($Q119,'Threshold Summary'!$Y:$Y,'Threshold Summary'!$K:$K,""),'Learnset Editor'!$C$2:$C&lt;=XLOOKUP($Q119,'Threshold Summary'!$Y:$Y,'Threshold Summary'!$L:$L,"")),$R119),"")</f>
        <v/>
      </c>
      <c r="E119" s="3">
        <f>XLOOKUP(D119,'Move Editor'!$B:$B,'Move Editor'!$C:$C,"")</f>
        <v/>
      </c>
      <c r="F119" s="3">
        <f>XLOOKUP(D119,'Move Editor'!$B:$B,'Move Editor'!$D:$D,"")</f>
        <v/>
      </c>
      <c r="G119" s="3">
        <f>XLOOKUP(D119,'Move Editor'!$B:$B,'Move Editor'!$E:$E,0)</f>
        <v/>
      </c>
      <c r="H119" s="3">
        <f>XLOOKUP(D119,'Move Editor'!$B:$B,'Move Editor'!$F:$F,0)</f>
        <v/>
      </c>
      <c r="I119" s="3">
        <f>(INDEX('Type Chart'!$B:$S,MATCH(E119,'Type Chart'!$A:$A,0),MATCH(XLOOKUP('Boss Editor'!$C$4,'Pokemon Editor'!$A:$A,'Pokemon Editor'!$C:$C,""),'Type Chart'!$B$1:$S$1,0))*IF(XLOOKUP('Boss Editor'!$C$4,'Pokemon Editor'!$A:$A,'Pokemon Editor'!$D:$D,"")="",1,INDEX('Type Chart'!$B:$S,MATCH(E119,'Type Chart'!$A:$A,0),MATCH(XLOOKUP('Boss Editor'!$C$4,'Pokemon Editor'!$A:$A,'Pokemon Editor'!$D:$D,""),'Type Chart'!$B$1:$S$1,0))))</f>
        <v/>
      </c>
      <c r="J119" s="3">
        <f>IFERROR(LET(mtype,XLOOKUP($D119,'Move Editor'!$B:$B,'Move Editor'!$C:$C,""),cat,XLOOKUP($D119,'Move Editor'!$B:$B,'Move Editor'!$D:$D,""),pow,XLOOKUP($D119,'Move Editor'!$B:$B,'Move Editor'!$E:$E,0),acc,XLOOKUP($D119,'Move Editor'!$B:$B,'Move Editor'!$F:$F,100),atk,IF(cat="Physical",FLOOR((FLOOR(((2*XLOOKUP(XLOOKUP($Q119,'Threshold Summary'!$Y:$Y,'Threshold Summary'!$K:$K,""),'Pokemon Editor'!$A:$A,'Pokemon Editor'!$F:$F,0)+31+FLOOR(XLOOKUP($Q119,'Threshold Summary'!$Y:$Y,'Threshold Summary'!$P:$P,"")/4))*XLOOKUP($Q119,'Threshold Summary'!$Y:$Y,'Threshold Summary'!$L:$L,""))/100)+5)*XLOOKUP(XLOOKUP($Q119,'Threshold Summary'!$Y:$Y,'Threshold Summary'!$M:$M,""),'Nature Editor'!$A:$A,'Nature Editor'!$B:$B,1)),FLOOR((FLOOR(((2*XLOOKUP(XLOOKUP($Q119,'Threshold Summary'!$Y:$Y,'Threshold Summary'!$K:$K,""),'Pokemon Editor'!$A:$A,'Pokemon Editor'!$H:$H,0)+31+FLOOR(XLOOKUP($Q119,'Threshold Summary'!$Y:$Y,'Threshold Summary'!$R:$R,"")/4))*XLOOKUP($Q119,'Threshold Summary'!$Y:$Y,'Threshold Summary'!$L:$L,""))/100)+5)*XLOOKUP(XLOOKUP($Q119,'Threshold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Editor'!$E:$E,1))),stab,IF(OR(mtype=XLOOKUP(XLOOKUP($Q119,'Threshold Summary'!$Y:$Y,'Threshold Summary'!$K:$K,""),'Pokemon Editor'!$A:$A,'Pokemon Editor'!$C:$C,""),mtype=XLOOKUP(XLOOKUP($Q119,'Threshold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Chart'!$B$1:$S$1,0)))),base,IF(OR(cat="Status",pow=0),0,FLOOR(FLOOR(FLOOR((2*XLOOKUP($Q119,'Threshold Summary'!$Y:$Y,'Threshold Summary'!$L:$L,"")/5+2)*pow*atk/def)/50)+2)),modifier,stab*eff,FLOOR(base*modifier*0.85)),0)</f>
        <v/>
      </c>
      <c r="K119" s="3">
        <f>IFERROR(LET(mtype,XLOOKUP($D119,'Move Editor'!$B:$B,'Move Editor'!$C:$C,""),cat,XLOOKUP($D119,'Move Editor'!$B:$B,'Move Editor'!$D:$D,""),pow,XLOOKUP($D119,'Move Editor'!$B:$B,'Move Editor'!$E:$E,0),acc,XLOOKUP($D119,'Move Editor'!$B:$B,'Move Editor'!$F:$F,100),atk,IF(cat="Physical",FLOOR((FLOOR(((2*XLOOKUP(XLOOKUP($Q119,'Threshold Summary'!$Y:$Y,'Threshold Summary'!$K:$K,""),'Pokemon Editor'!$A:$A,'Pokemon Editor'!$F:$F,0)+31+FLOOR(XLOOKUP($Q119,'Threshold Summary'!$Y:$Y,'Threshold Summary'!$P:$P,"")/4))*XLOOKUP($Q119,'Threshold Summary'!$Y:$Y,'Threshold Summary'!$L:$L,""))/100)+5)*XLOOKUP(XLOOKUP($Q119,'Threshold Summary'!$Y:$Y,'Threshold Summary'!$M:$M,""),'Nature Editor'!$A:$A,'Nature Editor'!$B:$B,1)),FLOOR((FLOOR(((2*XLOOKUP(XLOOKUP($Q119,'Threshold Summary'!$Y:$Y,'Threshold Summary'!$K:$K,""),'Pokemon Editor'!$A:$A,'Pokemon Editor'!$H:$H,0)+31+FLOOR(XLOOKUP($Q119,'Threshold Summary'!$Y:$Y,'Threshold Summary'!$R:$R,"")/4))*XLOOKUP($Q119,'Threshold Summary'!$Y:$Y,'Threshold Summary'!$L:$L,""))/100)+5)*XLOOKUP(XLOOKUP($Q119,'Threshold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Editor'!$E:$E,1))),stab,IF(OR(mtype=XLOOKUP(XLOOKUP($Q119,'Threshold Summary'!$Y:$Y,'Threshold Summary'!$K:$K,""),'Pokemon Editor'!$A:$A,'Pokemon Editor'!$C:$C,""),mtype=XLOOKUP(XLOOKUP($Q119,'Threshold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Chart'!$B$1:$S$1,0)))),base,IF(OR(cat="Status",pow=0),0,FLOOR(FLOOR(FLOOR((2*XLOOKUP($Q119,'Threshold Summary'!$Y:$Y,'Threshold Summary'!$L:$L,"")/5+2)*pow*atk/def)/50)+2)),modifier,stab*eff,FLOOR(base*modifier)),0)</f>
        <v/>
      </c>
      <c r="L119" s="3">
        <f>IFERROR(LET(mtype,XLOOKUP($D119,'Move Editor'!$B:$B,'Move Editor'!$C:$C,""),cat,XLOOKUP($D119,'Move Editor'!$B:$B,'Move Editor'!$D:$D,""),pow,XLOOKUP($D119,'Move Editor'!$B:$B,'Move Editor'!$E:$E,0),acc,XLOOKUP($D119,'Move Editor'!$B:$B,'Move Editor'!$F:$F,100),atk,IF(cat="Physical",FLOOR((FLOOR(((2*XLOOKUP(XLOOKUP($Q119,'Threshold Summary'!$Y:$Y,'Threshold Summary'!$K:$K,""),'Pokemon Editor'!$A:$A,'Pokemon Editor'!$F:$F,0)+31+FLOOR(XLOOKUP($Q119,'Threshold Summary'!$Y:$Y,'Threshold Summary'!$P:$P,"")/4))*XLOOKUP($Q119,'Threshold Summary'!$Y:$Y,'Threshold Summary'!$L:$L,""))/100)+5)*XLOOKUP(XLOOKUP($Q119,'Threshold Summary'!$Y:$Y,'Threshold Summary'!$M:$M,""),'Nature Editor'!$A:$A,'Nature Editor'!$B:$B,1)),FLOOR((FLOOR(((2*XLOOKUP(XLOOKUP($Q119,'Threshold Summary'!$Y:$Y,'Threshold Summary'!$K:$K,""),'Pokemon Editor'!$A:$A,'Pokemon Editor'!$H:$H,0)+31+FLOOR(XLOOKUP($Q119,'Threshold Summary'!$Y:$Y,'Threshold Summary'!$R:$R,"")/4))*XLOOKUP($Q119,'Threshold Summary'!$Y:$Y,'Threshold Summary'!$L:$L,""))/100)+5)*XLOOKUP(XLOOKUP($Q119,'Threshold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Editor'!$E:$E,1))),stab,IF(OR(mtype=XLOOKUP(XLOOKUP($Q119,'Threshold Summary'!$Y:$Y,'Threshold Summary'!$K:$K,""),'Pokemon Editor'!$A:$A,'Pokemon Editor'!$C:$C,""),mtype=XLOOKUP(XLOOKUP($Q119,'Threshold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Chart'!$B$1:$S$1,0)))),base,IF(OR(cat="Status",pow=0),0,FLOOR(FLOOR(FLOOR((2*XLOOKUP($Q119,'Threshold Summary'!$Y:$Y,'Threshold Summary'!$L:$L,"")/5+2)*pow*atk/def)/50)+2)),modifier,stab*eff,AVERAGE(ARRAYFORMULA(FLOOR(base*modifier*SEQUENCE(16,1,85,1)/100)))),0)</f>
        <v/>
      </c>
      <c r="M119" s="3">
        <f>IFERROR(LET(mtype,XLOOKUP($D119,'Move Editor'!$B:$B,'Move Editor'!$C:$C,""),cat,XLOOKUP($D119,'Move Editor'!$B:$B,'Move Editor'!$D:$D,""),pow,XLOOKUP($D119,'Move Editor'!$B:$B,'Move Editor'!$E:$E,0),acc,XLOOKUP($D119,'Move Editor'!$B:$B,'Move Editor'!$F:$F,100),atk,IF(cat="Physical",FLOOR((FLOOR(((2*XLOOKUP(XLOOKUP($Q119,'Threshold Summary'!$Y:$Y,'Threshold Summary'!$K:$K,""),'Pokemon Editor'!$A:$A,'Pokemon Editor'!$F:$F,0)+31+FLOOR(XLOOKUP($Q119,'Threshold Summary'!$Y:$Y,'Threshold Summary'!$P:$P,"")/4))*XLOOKUP($Q119,'Threshold Summary'!$Y:$Y,'Threshold Summary'!$L:$L,""))/100)+5)*XLOOKUP(XLOOKUP($Q119,'Threshold Summary'!$Y:$Y,'Threshold Summary'!$M:$M,""),'Nature Editor'!$A:$A,'Nature Editor'!$B:$B,1)),FLOOR((FLOOR(((2*XLOOKUP(XLOOKUP($Q119,'Threshold Summary'!$Y:$Y,'Threshold Summary'!$K:$K,""),'Pokemon Editor'!$A:$A,'Pokemon Editor'!$H:$H,0)+31+FLOOR(XLOOKUP($Q119,'Threshold Summary'!$Y:$Y,'Threshold Summary'!$R:$R,"")/4))*XLOOKUP($Q119,'Threshold Summary'!$Y:$Y,'Threshold Summary'!$L:$L,""))/100)+5)*XLOOKUP(XLOOKUP($Q119,'Threshold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Editor'!$E:$E,1))),stab,IF(OR(mtype=XLOOKUP(XLOOKUP($Q119,'Threshold Summary'!$Y:$Y,'Threshold Summary'!$K:$K,""),'Pokemon Editor'!$A:$A,'Pokemon Editor'!$C:$C,""),mtype=XLOOKUP(XLOOKUP($Q119,'Threshold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Chart'!$B$1:$S$1,0)))),base,IF(OR(cat="Status",pow=0),0,FLOOR(FLOOR(FLOOR((2*XLOOKUP($Q119,'Threshold Summary'!$Y:$Y,'Threshold Summary'!$L:$L,"")/5+2)*pow*atk/def)/50)+2)),modifier,stab*eff,AVERAGE(ARRAYFORMULA(FLOOR(base*modifier*SEQUENCE(16,1,85,1)/100)))*MIN(1,acc/100)),0)</f>
        <v/>
      </c>
      <c r="N119" s="4">
        <f>IFERROR(LET(mtype,XLOOKUP($D119,'Move Editor'!$B:$B,'Move Editor'!$C:$C,""),cat,XLOOKUP($D119,'Move Editor'!$B:$B,'Move Editor'!$D:$D,""),pow,XLOOKUP($D119,'Move Editor'!$B:$B,'Move Editor'!$E:$E,0),acc,XLOOKUP($D119,'Move Editor'!$B:$B,'Move Editor'!$F:$F,100),atk,IF(cat="Physical",FLOOR((FLOOR(((2*XLOOKUP(XLOOKUP($Q119,'Threshold Summary'!$Y:$Y,'Threshold Summary'!$K:$K,""),'Pokemon Editor'!$A:$A,'Pokemon Editor'!$F:$F,0)+31+FLOOR(XLOOKUP($Q119,'Threshold Summary'!$Y:$Y,'Threshold Summary'!$P:$P,"")/4))*XLOOKUP($Q119,'Threshold Summary'!$Y:$Y,'Threshold Summary'!$L:$L,""))/100)+5)*XLOOKUP(XLOOKUP($Q119,'Threshold Summary'!$Y:$Y,'Threshold Summary'!$M:$M,""),'Nature Editor'!$A:$A,'Nature Editor'!$B:$B,1)),FLOOR((FLOOR(((2*XLOOKUP(XLOOKUP($Q119,'Threshold Summary'!$Y:$Y,'Threshold Summary'!$K:$K,""),'Pokemon Editor'!$A:$A,'Pokemon Editor'!$H:$H,0)+31+FLOOR(XLOOKUP($Q119,'Threshold Summary'!$Y:$Y,'Threshold Summary'!$R:$R,"")/4))*XLOOKUP($Q119,'Threshold Summary'!$Y:$Y,'Threshold Summary'!$L:$L,""))/100)+5)*XLOOKUP(XLOOKUP($Q119,'Threshold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Editor'!$E:$E,1))),stab,IF(OR(mtype=XLOOKUP(XLOOKUP($Q119,'Threshold Summary'!$Y:$Y,'Threshold Summary'!$K:$K,""),'Pokemon Editor'!$A:$A,'Pokemon Editor'!$C:$C,""),mtype=XLOOKUP(XLOOKUP($Q119,'Threshold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Chart'!$B$1:$S$1,0)))),base,IF(OR(cat="Status",pow=0),0,FLOOR(FLOOR(FLOOR((2*XLOOKUP($Q119,'Threshold Summary'!$Y:$Y,'Threshold Summary'!$L:$L,"")/5+2)*pow*atk/def)/50)+2)),modifier,stab*eff,AVERAGE(ARRAYFORMULA(FLOOR(base*modifier*SEQUENCE(16,1,85,1)/100)))/(FLOOR(((2*XLOOKUP('Boss Editor'!$C$4,'Pokemon Editor'!$A:$A,'Pokemon Editor'!$E:$E,0)+31+FLOOR('Boss Editor'!$G$4/4))*'Boss Editor'!$D$4)/100)+'Boss Editor'!$D$4+10)),0)</f>
        <v/>
      </c>
      <c r="O119" s="3">
        <f>IF(N119&gt;=1,"OHKO",IF(N119&gt;=0.5,"2HKO",IF(N119&gt;=0.333,"3HKO",IF(N119&gt;=0.25,"4HKO","5HKO+"))))</f>
        <v/>
      </c>
      <c r="P119" s="3" t="inlineStr">
        <is>
          <t>Live from editable databases</t>
        </is>
      </c>
      <c r="Q119" s="3" t="inlineStr">
        <is>
          <t>SPECIES_TREECKO</t>
        </is>
      </c>
      <c r="R119" s="3" t="n">
        <v>22</v>
      </c>
    </row>
    <row r="120">
      <c r="A120" s="3">
        <f>XLOOKUP($Q120,'Threshold Summary'!$Y:$Y,'Threshold Summary'!$A:$A,"")</f>
        <v/>
      </c>
      <c r="B120" s="3">
        <f>XLOOKUP($Q120,'Threshold Summary'!$Y:$Y,'Threshold Summary'!$M:$M,"")</f>
        <v/>
      </c>
      <c r="C120" s="3">
        <f>XLOOKUP($Q120,'Threshold Summary'!$Y:$Y,'Threshold Summary'!$N:$N,"")</f>
        <v/>
      </c>
      <c r="D120" s="3">
        <f>IFERROR(INDEX(FILTER('Learnset Editor'!$D$2:$D,'Learnset Editor'!$A$2:$A=XLOOKUP($Q120,'Threshold Summary'!$Y:$Y,'Threshold Summary'!$K:$K,""),'Learnset Editor'!$C$2:$C&lt;=XLOOKUP($Q120,'Threshold Summary'!$Y:$Y,'Threshold Summary'!$L:$L,"")),$R120),"")</f>
        <v/>
      </c>
      <c r="E120" s="3">
        <f>XLOOKUP(D120,'Move Editor'!$B:$B,'Move Editor'!$C:$C,"")</f>
        <v/>
      </c>
      <c r="F120" s="3">
        <f>XLOOKUP(D120,'Move Editor'!$B:$B,'Move Editor'!$D:$D,"")</f>
        <v/>
      </c>
      <c r="G120" s="3">
        <f>XLOOKUP(D120,'Move Editor'!$B:$B,'Move Editor'!$E:$E,0)</f>
        <v/>
      </c>
      <c r="H120" s="3">
        <f>XLOOKUP(D120,'Move Editor'!$B:$B,'Move Editor'!$F:$F,0)</f>
        <v/>
      </c>
      <c r="I120" s="3">
        <f>(INDEX('Type Chart'!$B:$S,MATCH(E120,'Type Chart'!$A:$A,0),MATCH(XLOOKUP('Boss Editor'!$C$4,'Pokemon Editor'!$A:$A,'Pokemon Editor'!$C:$C,""),'Type Chart'!$B$1:$S$1,0))*IF(XLOOKUP('Boss Editor'!$C$4,'Pokemon Editor'!$A:$A,'Pokemon Editor'!$D:$D,"")="",1,INDEX('Type Chart'!$B:$S,MATCH(E120,'Type Chart'!$A:$A,0),MATCH(XLOOKUP('Boss Editor'!$C$4,'Pokemon Editor'!$A:$A,'Pokemon Editor'!$D:$D,""),'Type Chart'!$B$1:$S$1,0))))</f>
        <v/>
      </c>
      <c r="J120" s="3">
        <f>IFERROR(LET(mtype,XLOOKUP($D120,'Move Editor'!$B:$B,'Move Editor'!$C:$C,""),cat,XLOOKUP($D120,'Move Editor'!$B:$B,'Move Editor'!$D:$D,""),pow,XLOOKUP($D120,'Move Editor'!$B:$B,'Move Editor'!$E:$E,0),acc,XLOOKUP($D120,'Move Editor'!$B:$B,'Move Editor'!$F:$F,100),atk,IF(cat="Physical",FLOOR((FLOOR(((2*XLOOKUP(XLOOKUP($Q120,'Threshold Summary'!$Y:$Y,'Threshold Summary'!$K:$K,""),'Pokemon Editor'!$A:$A,'Pokemon Editor'!$F:$F,0)+31+FLOOR(XLOOKUP($Q120,'Threshold Summary'!$Y:$Y,'Threshold Summary'!$P:$P,"")/4))*XLOOKUP($Q120,'Threshold Summary'!$Y:$Y,'Threshold Summary'!$L:$L,""))/100)+5)*XLOOKUP(XLOOKUP($Q120,'Threshold Summary'!$Y:$Y,'Threshold Summary'!$M:$M,""),'Nature Editor'!$A:$A,'Nature Editor'!$B:$B,1)),FLOOR((FLOOR(((2*XLOOKUP(XLOOKUP($Q120,'Threshold Summary'!$Y:$Y,'Threshold Summary'!$K:$K,""),'Pokemon Editor'!$A:$A,'Pokemon Editor'!$H:$H,0)+31+FLOOR(XLOOKUP($Q120,'Threshold Summary'!$Y:$Y,'Threshold Summary'!$R:$R,"")/4))*XLOOKUP($Q120,'Threshold Summary'!$Y:$Y,'Threshold Summary'!$L:$L,""))/100)+5)*XLOOKUP(XLOOKUP($Q120,'Threshold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Editor'!$E:$E,1))),stab,IF(OR(mtype=XLOOKUP(XLOOKUP($Q120,'Threshold Summary'!$Y:$Y,'Threshold Summary'!$K:$K,""),'Pokemon Editor'!$A:$A,'Pokemon Editor'!$C:$C,""),mtype=XLOOKUP(XLOOKUP($Q120,'Threshold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Chart'!$B$1:$S$1,0)))),base,IF(OR(cat="Status",pow=0),0,FLOOR(FLOOR(FLOOR((2*XLOOKUP($Q120,'Threshold Summary'!$Y:$Y,'Threshold Summary'!$L:$L,"")/5+2)*pow*atk/def)/50)+2)),modifier,stab*eff,FLOOR(base*modifier*0.85)),0)</f>
        <v/>
      </c>
      <c r="K120" s="3">
        <f>IFERROR(LET(mtype,XLOOKUP($D120,'Move Editor'!$B:$B,'Move Editor'!$C:$C,""),cat,XLOOKUP($D120,'Move Editor'!$B:$B,'Move Editor'!$D:$D,""),pow,XLOOKUP($D120,'Move Editor'!$B:$B,'Move Editor'!$E:$E,0),acc,XLOOKUP($D120,'Move Editor'!$B:$B,'Move Editor'!$F:$F,100),atk,IF(cat="Physical",FLOOR((FLOOR(((2*XLOOKUP(XLOOKUP($Q120,'Threshold Summary'!$Y:$Y,'Threshold Summary'!$K:$K,""),'Pokemon Editor'!$A:$A,'Pokemon Editor'!$F:$F,0)+31+FLOOR(XLOOKUP($Q120,'Threshold Summary'!$Y:$Y,'Threshold Summary'!$P:$P,"")/4))*XLOOKUP($Q120,'Threshold Summary'!$Y:$Y,'Threshold Summary'!$L:$L,""))/100)+5)*XLOOKUP(XLOOKUP($Q120,'Threshold Summary'!$Y:$Y,'Threshold Summary'!$M:$M,""),'Nature Editor'!$A:$A,'Nature Editor'!$B:$B,1)),FLOOR((FLOOR(((2*XLOOKUP(XLOOKUP($Q120,'Threshold Summary'!$Y:$Y,'Threshold Summary'!$K:$K,""),'Pokemon Editor'!$A:$A,'Pokemon Editor'!$H:$H,0)+31+FLOOR(XLOOKUP($Q120,'Threshold Summary'!$Y:$Y,'Threshold Summary'!$R:$R,"")/4))*XLOOKUP($Q120,'Threshold Summary'!$Y:$Y,'Threshold Summary'!$L:$L,""))/100)+5)*XLOOKUP(XLOOKUP($Q120,'Threshold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Editor'!$E:$E,1))),stab,IF(OR(mtype=XLOOKUP(XLOOKUP($Q120,'Threshold Summary'!$Y:$Y,'Threshold Summary'!$K:$K,""),'Pokemon Editor'!$A:$A,'Pokemon Editor'!$C:$C,""),mtype=XLOOKUP(XLOOKUP($Q120,'Threshold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Chart'!$B$1:$S$1,0)))),base,IF(OR(cat="Status",pow=0),0,FLOOR(FLOOR(FLOOR((2*XLOOKUP($Q120,'Threshold Summary'!$Y:$Y,'Threshold Summary'!$L:$L,"")/5+2)*pow*atk/def)/50)+2)),modifier,stab*eff,FLOOR(base*modifier)),0)</f>
        <v/>
      </c>
      <c r="L120" s="3">
        <f>IFERROR(LET(mtype,XLOOKUP($D120,'Move Editor'!$B:$B,'Move Editor'!$C:$C,""),cat,XLOOKUP($D120,'Move Editor'!$B:$B,'Move Editor'!$D:$D,""),pow,XLOOKUP($D120,'Move Editor'!$B:$B,'Move Editor'!$E:$E,0),acc,XLOOKUP($D120,'Move Editor'!$B:$B,'Move Editor'!$F:$F,100),atk,IF(cat="Physical",FLOOR((FLOOR(((2*XLOOKUP(XLOOKUP($Q120,'Threshold Summary'!$Y:$Y,'Threshold Summary'!$K:$K,""),'Pokemon Editor'!$A:$A,'Pokemon Editor'!$F:$F,0)+31+FLOOR(XLOOKUP($Q120,'Threshold Summary'!$Y:$Y,'Threshold Summary'!$P:$P,"")/4))*XLOOKUP($Q120,'Threshold Summary'!$Y:$Y,'Threshold Summary'!$L:$L,""))/100)+5)*XLOOKUP(XLOOKUP($Q120,'Threshold Summary'!$Y:$Y,'Threshold Summary'!$M:$M,""),'Nature Editor'!$A:$A,'Nature Editor'!$B:$B,1)),FLOOR((FLOOR(((2*XLOOKUP(XLOOKUP($Q120,'Threshold Summary'!$Y:$Y,'Threshold Summary'!$K:$K,""),'Pokemon Editor'!$A:$A,'Pokemon Editor'!$H:$H,0)+31+FLOOR(XLOOKUP($Q120,'Threshold Summary'!$Y:$Y,'Threshold Summary'!$R:$R,"")/4))*XLOOKUP($Q120,'Threshold Summary'!$Y:$Y,'Threshold Summary'!$L:$L,""))/100)+5)*XLOOKUP(XLOOKUP($Q120,'Threshold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Editor'!$E:$E,1))),stab,IF(OR(mtype=XLOOKUP(XLOOKUP($Q120,'Threshold Summary'!$Y:$Y,'Threshold Summary'!$K:$K,""),'Pokemon Editor'!$A:$A,'Pokemon Editor'!$C:$C,""),mtype=XLOOKUP(XLOOKUP($Q120,'Threshold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Chart'!$B$1:$S$1,0)))),base,IF(OR(cat="Status",pow=0),0,FLOOR(FLOOR(FLOOR((2*XLOOKUP($Q120,'Threshold Summary'!$Y:$Y,'Threshold Summary'!$L:$L,"")/5+2)*pow*atk/def)/50)+2)),modifier,stab*eff,AVERAGE(ARRAYFORMULA(FLOOR(base*modifier*SEQUENCE(16,1,85,1)/100)))),0)</f>
        <v/>
      </c>
      <c r="M120" s="3">
        <f>IFERROR(LET(mtype,XLOOKUP($D120,'Move Editor'!$B:$B,'Move Editor'!$C:$C,""),cat,XLOOKUP($D120,'Move Editor'!$B:$B,'Move Editor'!$D:$D,""),pow,XLOOKUP($D120,'Move Editor'!$B:$B,'Move Editor'!$E:$E,0),acc,XLOOKUP($D120,'Move Editor'!$B:$B,'Move Editor'!$F:$F,100),atk,IF(cat="Physical",FLOOR((FLOOR(((2*XLOOKUP(XLOOKUP($Q120,'Threshold Summary'!$Y:$Y,'Threshold Summary'!$K:$K,""),'Pokemon Editor'!$A:$A,'Pokemon Editor'!$F:$F,0)+31+FLOOR(XLOOKUP($Q120,'Threshold Summary'!$Y:$Y,'Threshold Summary'!$P:$P,"")/4))*XLOOKUP($Q120,'Threshold Summary'!$Y:$Y,'Threshold Summary'!$L:$L,""))/100)+5)*XLOOKUP(XLOOKUP($Q120,'Threshold Summary'!$Y:$Y,'Threshold Summary'!$M:$M,""),'Nature Editor'!$A:$A,'Nature Editor'!$B:$B,1)),FLOOR((FLOOR(((2*XLOOKUP(XLOOKUP($Q120,'Threshold Summary'!$Y:$Y,'Threshold Summary'!$K:$K,""),'Pokemon Editor'!$A:$A,'Pokemon Editor'!$H:$H,0)+31+FLOOR(XLOOKUP($Q120,'Threshold Summary'!$Y:$Y,'Threshold Summary'!$R:$R,"")/4))*XLOOKUP($Q120,'Threshold Summary'!$Y:$Y,'Threshold Summary'!$L:$L,""))/100)+5)*XLOOKUP(XLOOKUP($Q120,'Threshold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Editor'!$E:$E,1))),stab,IF(OR(mtype=XLOOKUP(XLOOKUP($Q120,'Threshold Summary'!$Y:$Y,'Threshold Summary'!$K:$K,""),'Pokemon Editor'!$A:$A,'Pokemon Editor'!$C:$C,""),mtype=XLOOKUP(XLOOKUP($Q120,'Threshold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Chart'!$B$1:$S$1,0)))),base,IF(OR(cat="Status",pow=0),0,FLOOR(FLOOR(FLOOR((2*XLOOKUP($Q120,'Threshold Summary'!$Y:$Y,'Threshold Summary'!$L:$L,"")/5+2)*pow*atk/def)/50)+2)),modifier,stab*eff,AVERAGE(ARRAYFORMULA(FLOOR(base*modifier*SEQUENCE(16,1,85,1)/100)))*MIN(1,acc/100)),0)</f>
        <v/>
      </c>
      <c r="N120" s="4">
        <f>IFERROR(LET(mtype,XLOOKUP($D120,'Move Editor'!$B:$B,'Move Editor'!$C:$C,""),cat,XLOOKUP($D120,'Move Editor'!$B:$B,'Move Editor'!$D:$D,""),pow,XLOOKUP($D120,'Move Editor'!$B:$B,'Move Editor'!$E:$E,0),acc,XLOOKUP($D120,'Move Editor'!$B:$B,'Move Editor'!$F:$F,100),atk,IF(cat="Physical",FLOOR((FLOOR(((2*XLOOKUP(XLOOKUP($Q120,'Threshold Summary'!$Y:$Y,'Threshold Summary'!$K:$K,""),'Pokemon Editor'!$A:$A,'Pokemon Editor'!$F:$F,0)+31+FLOOR(XLOOKUP($Q120,'Threshold Summary'!$Y:$Y,'Threshold Summary'!$P:$P,"")/4))*XLOOKUP($Q120,'Threshold Summary'!$Y:$Y,'Threshold Summary'!$L:$L,""))/100)+5)*XLOOKUP(XLOOKUP($Q120,'Threshold Summary'!$Y:$Y,'Threshold Summary'!$M:$M,""),'Nature Editor'!$A:$A,'Nature Editor'!$B:$B,1)),FLOOR((FLOOR(((2*XLOOKUP(XLOOKUP($Q120,'Threshold Summary'!$Y:$Y,'Threshold Summary'!$K:$K,""),'Pokemon Editor'!$A:$A,'Pokemon Editor'!$H:$H,0)+31+FLOOR(XLOOKUP($Q120,'Threshold Summary'!$Y:$Y,'Threshold Summary'!$R:$R,"")/4))*XLOOKUP($Q120,'Threshold Summary'!$Y:$Y,'Threshold Summary'!$L:$L,""))/100)+5)*XLOOKUP(XLOOKUP($Q120,'Threshold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Editor'!$E:$E,1))),stab,IF(OR(mtype=XLOOKUP(XLOOKUP($Q120,'Threshold Summary'!$Y:$Y,'Threshold Summary'!$K:$K,""),'Pokemon Editor'!$A:$A,'Pokemon Editor'!$C:$C,""),mtype=XLOOKUP(XLOOKUP($Q120,'Threshold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Chart'!$B$1:$S$1,0)))),base,IF(OR(cat="Status",pow=0),0,FLOOR(FLOOR(FLOOR((2*XLOOKUP($Q120,'Threshold Summary'!$Y:$Y,'Threshold Summary'!$L:$L,"")/5+2)*pow*atk/def)/50)+2)),modifier,stab*eff,AVERAGE(ARRAYFORMULA(FLOOR(base*modifier*SEQUENCE(16,1,85,1)/100)))/(FLOOR(((2*XLOOKUP('Boss Editor'!$C$4,'Pokemon Editor'!$A:$A,'Pokemon Editor'!$E:$E,0)+31+FLOOR('Boss Editor'!$G$4/4))*'Boss Editor'!$D$4)/100)+'Boss Editor'!$D$4+10)),0)</f>
        <v/>
      </c>
      <c r="O120" s="3">
        <f>IF(N120&gt;=1,"OHKO",IF(N120&gt;=0.5,"2HKO",IF(N120&gt;=0.333,"3HKO",IF(N120&gt;=0.25,"4HKO","5HKO+"))))</f>
        <v/>
      </c>
      <c r="P120" s="3" t="inlineStr">
        <is>
          <t>Live from editable databases</t>
        </is>
      </c>
      <c r="Q120" s="3" t="inlineStr">
        <is>
          <t>SPECIES_TREECKO</t>
        </is>
      </c>
      <c r="R120" s="3" t="n">
        <v>23</v>
      </c>
    </row>
    <row r="121">
      <c r="A121" s="3">
        <f>XLOOKUP($Q121,'Threshold Summary'!$Y:$Y,'Threshold Summary'!$A:$A,"")</f>
        <v/>
      </c>
      <c r="B121" s="3">
        <f>XLOOKUP($Q121,'Threshold Summary'!$Y:$Y,'Threshold Summary'!$M:$M,"")</f>
        <v/>
      </c>
      <c r="C121" s="3">
        <f>XLOOKUP($Q121,'Threshold Summary'!$Y:$Y,'Threshold Summary'!$N:$N,"")</f>
        <v/>
      </c>
      <c r="D121" s="3">
        <f>IFERROR(INDEX(FILTER('Learnset Editor'!$D$2:$D,'Learnset Editor'!$A$2:$A=XLOOKUP($Q121,'Threshold Summary'!$Y:$Y,'Threshold Summary'!$K:$K,""),'Learnset Editor'!$C$2:$C&lt;=XLOOKUP($Q121,'Threshold Summary'!$Y:$Y,'Threshold Summary'!$L:$L,"")),$R121),"")</f>
        <v/>
      </c>
      <c r="E121" s="3">
        <f>XLOOKUP(D121,'Move Editor'!$B:$B,'Move Editor'!$C:$C,"")</f>
        <v/>
      </c>
      <c r="F121" s="3">
        <f>XLOOKUP(D121,'Move Editor'!$B:$B,'Move Editor'!$D:$D,"")</f>
        <v/>
      </c>
      <c r="G121" s="3">
        <f>XLOOKUP(D121,'Move Editor'!$B:$B,'Move Editor'!$E:$E,0)</f>
        <v/>
      </c>
      <c r="H121" s="3">
        <f>XLOOKUP(D121,'Move Editor'!$B:$B,'Move Editor'!$F:$F,0)</f>
        <v/>
      </c>
      <c r="I121" s="3">
        <f>(INDEX('Type Chart'!$B:$S,MATCH(E121,'Type Chart'!$A:$A,0),MATCH(XLOOKUP('Boss Editor'!$C$4,'Pokemon Editor'!$A:$A,'Pokemon Editor'!$C:$C,""),'Type Chart'!$B$1:$S$1,0))*IF(XLOOKUP('Boss Editor'!$C$4,'Pokemon Editor'!$A:$A,'Pokemon Editor'!$D:$D,"")="",1,INDEX('Type Chart'!$B:$S,MATCH(E121,'Type Chart'!$A:$A,0),MATCH(XLOOKUP('Boss Editor'!$C$4,'Pokemon Editor'!$A:$A,'Pokemon Editor'!$D:$D,""),'Type Chart'!$B$1:$S$1,0))))</f>
        <v/>
      </c>
      <c r="J121" s="3">
        <f>IFERROR(LET(mtype,XLOOKUP($D121,'Move Editor'!$B:$B,'Move Editor'!$C:$C,""),cat,XLOOKUP($D121,'Move Editor'!$B:$B,'Move Editor'!$D:$D,""),pow,XLOOKUP($D121,'Move Editor'!$B:$B,'Move Editor'!$E:$E,0),acc,XLOOKUP($D121,'Move Editor'!$B:$B,'Move Editor'!$F:$F,100),atk,IF(cat="Physical",FLOOR((FLOOR(((2*XLOOKUP(XLOOKUP($Q121,'Threshold Summary'!$Y:$Y,'Threshold Summary'!$K:$K,""),'Pokemon Editor'!$A:$A,'Pokemon Editor'!$F:$F,0)+31+FLOOR(XLOOKUP($Q121,'Threshold Summary'!$Y:$Y,'Threshold Summary'!$P:$P,"")/4))*XLOOKUP($Q121,'Threshold Summary'!$Y:$Y,'Threshold Summary'!$L:$L,""))/100)+5)*XLOOKUP(XLOOKUP($Q121,'Threshold Summary'!$Y:$Y,'Threshold Summary'!$M:$M,""),'Nature Editor'!$A:$A,'Nature Editor'!$B:$B,1)),FLOOR((FLOOR(((2*XLOOKUP(XLOOKUP($Q121,'Threshold Summary'!$Y:$Y,'Threshold Summary'!$K:$K,""),'Pokemon Editor'!$A:$A,'Pokemon Editor'!$H:$H,0)+31+FLOOR(XLOOKUP($Q121,'Threshold Summary'!$Y:$Y,'Threshold Summary'!$R:$R,"")/4))*XLOOKUP($Q121,'Threshold Summary'!$Y:$Y,'Threshold Summary'!$L:$L,""))/100)+5)*XLOOKUP(XLOOKUP($Q121,'Threshold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Editor'!$E:$E,1))),stab,IF(OR(mtype=XLOOKUP(XLOOKUP($Q121,'Threshold Summary'!$Y:$Y,'Threshold Summary'!$K:$K,""),'Pokemon Editor'!$A:$A,'Pokemon Editor'!$C:$C,""),mtype=XLOOKUP(XLOOKUP($Q121,'Threshold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Chart'!$B$1:$S$1,0)))),base,IF(OR(cat="Status",pow=0),0,FLOOR(FLOOR(FLOOR((2*XLOOKUP($Q121,'Threshold Summary'!$Y:$Y,'Threshold Summary'!$L:$L,"")/5+2)*pow*atk/def)/50)+2)),modifier,stab*eff,FLOOR(base*modifier*0.85)),0)</f>
        <v/>
      </c>
      <c r="K121" s="3">
        <f>IFERROR(LET(mtype,XLOOKUP($D121,'Move Editor'!$B:$B,'Move Editor'!$C:$C,""),cat,XLOOKUP($D121,'Move Editor'!$B:$B,'Move Editor'!$D:$D,""),pow,XLOOKUP($D121,'Move Editor'!$B:$B,'Move Editor'!$E:$E,0),acc,XLOOKUP($D121,'Move Editor'!$B:$B,'Move Editor'!$F:$F,100),atk,IF(cat="Physical",FLOOR((FLOOR(((2*XLOOKUP(XLOOKUP($Q121,'Threshold Summary'!$Y:$Y,'Threshold Summary'!$K:$K,""),'Pokemon Editor'!$A:$A,'Pokemon Editor'!$F:$F,0)+31+FLOOR(XLOOKUP($Q121,'Threshold Summary'!$Y:$Y,'Threshold Summary'!$P:$P,"")/4))*XLOOKUP($Q121,'Threshold Summary'!$Y:$Y,'Threshold Summary'!$L:$L,""))/100)+5)*XLOOKUP(XLOOKUP($Q121,'Threshold Summary'!$Y:$Y,'Threshold Summary'!$M:$M,""),'Nature Editor'!$A:$A,'Nature Editor'!$B:$B,1)),FLOOR((FLOOR(((2*XLOOKUP(XLOOKUP($Q121,'Threshold Summary'!$Y:$Y,'Threshold Summary'!$K:$K,""),'Pokemon Editor'!$A:$A,'Pokemon Editor'!$H:$H,0)+31+FLOOR(XLOOKUP($Q121,'Threshold Summary'!$Y:$Y,'Threshold Summary'!$R:$R,"")/4))*XLOOKUP($Q121,'Threshold Summary'!$Y:$Y,'Threshold Summary'!$L:$L,""))/100)+5)*XLOOKUP(XLOOKUP($Q121,'Threshold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Editor'!$E:$E,1))),stab,IF(OR(mtype=XLOOKUP(XLOOKUP($Q121,'Threshold Summary'!$Y:$Y,'Threshold Summary'!$K:$K,""),'Pokemon Editor'!$A:$A,'Pokemon Editor'!$C:$C,""),mtype=XLOOKUP(XLOOKUP($Q121,'Threshold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Chart'!$B$1:$S$1,0)))),base,IF(OR(cat="Status",pow=0),0,FLOOR(FLOOR(FLOOR((2*XLOOKUP($Q121,'Threshold Summary'!$Y:$Y,'Threshold Summary'!$L:$L,"")/5+2)*pow*atk/def)/50)+2)),modifier,stab*eff,FLOOR(base*modifier)),0)</f>
        <v/>
      </c>
      <c r="L121" s="3">
        <f>IFERROR(LET(mtype,XLOOKUP($D121,'Move Editor'!$B:$B,'Move Editor'!$C:$C,""),cat,XLOOKUP($D121,'Move Editor'!$B:$B,'Move Editor'!$D:$D,""),pow,XLOOKUP($D121,'Move Editor'!$B:$B,'Move Editor'!$E:$E,0),acc,XLOOKUP($D121,'Move Editor'!$B:$B,'Move Editor'!$F:$F,100),atk,IF(cat="Physical",FLOOR((FLOOR(((2*XLOOKUP(XLOOKUP($Q121,'Threshold Summary'!$Y:$Y,'Threshold Summary'!$K:$K,""),'Pokemon Editor'!$A:$A,'Pokemon Editor'!$F:$F,0)+31+FLOOR(XLOOKUP($Q121,'Threshold Summary'!$Y:$Y,'Threshold Summary'!$P:$P,"")/4))*XLOOKUP($Q121,'Threshold Summary'!$Y:$Y,'Threshold Summary'!$L:$L,""))/100)+5)*XLOOKUP(XLOOKUP($Q121,'Threshold Summary'!$Y:$Y,'Threshold Summary'!$M:$M,""),'Nature Editor'!$A:$A,'Nature Editor'!$B:$B,1)),FLOOR((FLOOR(((2*XLOOKUP(XLOOKUP($Q121,'Threshold Summary'!$Y:$Y,'Threshold Summary'!$K:$K,""),'Pokemon Editor'!$A:$A,'Pokemon Editor'!$H:$H,0)+31+FLOOR(XLOOKUP($Q121,'Threshold Summary'!$Y:$Y,'Threshold Summary'!$R:$R,"")/4))*XLOOKUP($Q121,'Threshold Summary'!$Y:$Y,'Threshold Summary'!$L:$L,""))/100)+5)*XLOOKUP(XLOOKUP($Q121,'Threshold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Editor'!$E:$E,1))),stab,IF(OR(mtype=XLOOKUP(XLOOKUP($Q121,'Threshold Summary'!$Y:$Y,'Threshold Summary'!$K:$K,""),'Pokemon Editor'!$A:$A,'Pokemon Editor'!$C:$C,""),mtype=XLOOKUP(XLOOKUP($Q121,'Threshold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Chart'!$B$1:$S$1,0)))),base,IF(OR(cat="Status",pow=0),0,FLOOR(FLOOR(FLOOR((2*XLOOKUP($Q121,'Threshold Summary'!$Y:$Y,'Threshold Summary'!$L:$L,"")/5+2)*pow*atk/def)/50)+2)),modifier,stab*eff,AVERAGE(ARRAYFORMULA(FLOOR(base*modifier*SEQUENCE(16,1,85,1)/100)))),0)</f>
        <v/>
      </c>
      <c r="M121" s="3">
        <f>IFERROR(LET(mtype,XLOOKUP($D121,'Move Editor'!$B:$B,'Move Editor'!$C:$C,""),cat,XLOOKUP($D121,'Move Editor'!$B:$B,'Move Editor'!$D:$D,""),pow,XLOOKUP($D121,'Move Editor'!$B:$B,'Move Editor'!$E:$E,0),acc,XLOOKUP($D121,'Move Editor'!$B:$B,'Move Editor'!$F:$F,100),atk,IF(cat="Physical",FLOOR((FLOOR(((2*XLOOKUP(XLOOKUP($Q121,'Threshold Summary'!$Y:$Y,'Threshold Summary'!$K:$K,""),'Pokemon Editor'!$A:$A,'Pokemon Editor'!$F:$F,0)+31+FLOOR(XLOOKUP($Q121,'Threshold Summary'!$Y:$Y,'Threshold Summary'!$P:$P,"")/4))*XLOOKUP($Q121,'Threshold Summary'!$Y:$Y,'Threshold Summary'!$L:$L,""))/100)+5)*XLOOKUP(XLOOKUP($Q121,'Threshold Summary'!$Y:$Y,'Threshold Summary'!$M:$M,""),'Nature Editor'!$A:$A,'Nature Editor'!$B:$B,1)),FLOOR((FLOOR(((2*XLOOKUP(XLOOKUP($Q121,'Threshold Summary'!$Y:$Y,'Threshold Summary'!$K:$K,""),'Pokemon Editor'!$A:$A,'Pokemon Editor'!$H:$H,0)+31+FLOOR(XLOOKUP($Q121,'Threshold Summary'!$Y:$Y,'Threshold Summary'!$R:$R,"")/4))*XLOOKUP($Q121,'Threshold Summary'!$Y:$Y,'Threshold Summary'!$L:$L,""))/100)+5)*XLOOKUP(XLOOKUP($Q121,'Threshold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Editor'!$E:$E,1))),stab,IF(OR(mtype=XLOOKUP(XLOOKUP($Q121,'Threshold Summary'!$Y:$Y,'Threshold Summary'!$K:$K,""),'Pokemon Editor'!$A:$A,'Pokemon Editor'!$C:$C,""),mtype=XLOOKUP(XLOOKUP($Q121,'Threshold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Chart'!$B$1:$S$1,0)))),base,IF(OR(cat="Status",pow=0),0,FLOOR(FLOOR(FLOOR((2*XLOOKUP($Q121,'Threshold Summary'!$Y:$Y,'Threshold Summary'!$L:$L,"")/5+2)*pow*atk/def)/50)+2)),modifier,stab*eff,AVERAGE(ARRAYFORMULA(FLOOR(base*modifier*SEQUENCE(16,1,85,1)/100)))*MIN(1,acc/100)),0)</f>
        <v/>
      </c>
      <c r="N121" s="4">
        <f>IFERROR(LET(mtype,XLOOKUP($D121,'Move Editor'!$B:$B,'Move Editor'!$C:$C,""),cat,XLOOKUP($D121,'Move Editor'!$B:$B,'Move Editor'!$D:$D,""),pow,XLOOKUP($D121,'Move Editor'!$B:$B,'Move Editor'!$E:$E,0),acc,XLOOKUP($D121,'Move Editor'!$B:$B,'Move Editor'!$F:$F,100),atk,IF(cat="Physical",FLOOR((FLOOR(((2*XLOOKUP(XLOOKUP($Q121,'Threshold Summary'!$Y:$Y,'Threshold Summary'!$K:$K,""),'Pokemon Editor'!$A:$A,'Pokemon Editor'!$F:$F,0)+31+FLOOR(XLOOKUP($Q121,'Threshold Summary'!$Y:$Y,'Threshold Summary'!$P:$P,"")/4))*XLOOKUP($Q121,'Threshold Summary'!$Y:$Y,'Threshold Summary'!$L:$L,""))/100)+5)*XLOOKUP(XLOOKUP($Q121,'Threshold Summary'!$Y:$Y,'Threshold Summary'!$M:$M,""),'Nature Editor'!$A:$A,'Nature Editor'!$B:$B,1)),FLOOR((FLOOR(((2*XLOOKUP(XLOOKUP($Q121,'Threshold Summary'!$Y:$Y,'Threshold Summary'!$K:$K,""),'Pokemon Editor'!$A:$A,'Pokemon Editor'!$H:$H,0)+31+FLOOR(XLOOKUP($Q121,'Threshold Summary'!$Y:$Y,'Threshold Summary'!$R:$R,"")/4))*XLOOKUP($Q121,'Threshold Summary'!$Y:$Y,'Threshold Summary'!$L:$L,""))/100)+5)*XLOOKUP(XLOOKUP($Q121,'Threshold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Editor'!$E:$E,1))),stab,IF(OR(mtype=XLOOKUP(XLOOKUP($Q121,'Threshold Summary'!$Y:$Y,'Threshold Summary'!$K:$K,""),'Pokemon Editor'!$A:$A,'Pokemon Editor'!$C:$C,""),mtype=XLOOKUP(XLOOKUP($Q121,'Threshold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Chart'!$B$1:$S$1,0)))),base,IF(OR(cat="Status",pow=0),0,FLOOR(FLOOR(FLOOR((2*XLOOKUP($Q121,'Threshold Summary'!$Y:$Y,'Threshold Summary'!$L:$L,"")/5+2)*pow*atk/def)/50)+2)),modifier,stab*eff,AVERAGE(ARRAYFORMULA(FLOOR(base*modifier*SEQUENCE(16,1,85,1)/100)))/(FLOOR(((2*XLOOKUP('Boss Editor'!$C$4,'Pokemon Editor'!$A:$A,'Pokemon Editor'!$E:$E,0)+31+FLOOR('Boss Editor'!$G$4/4))*'Boss Editor'!$D$4)/100)+'Boss Editor'!$D$4+10)),0)</f>
        <v/>
      </c>
      <c r="O121" s="3">
        <f>IF(N121&gt;=1,"OHKO",IF(N121&gt;=0.5,"2HKO",IF(N121&gt;=0.333,"3HKO",IF(N121&gt;=0.25,"4HKO","5HKO+"))))</f>
        <v/>
      </c>
      <c r="P121" s="3" t="inlineStr">
        <is>
          <t>Live from editable databases</t>
        </is>
      </c>
      <c r="Q121" s="3" t="inlineStr">
        <is>
          <t>SPECIES_TREECKO</t>
        </is>
      </c>
      <c r="R121" s="3" t="n">
        <v>24</v>
      </c>
    </row>
    <row r="122">
      <c r="A122" s="3">
        <f>XLOOKUP($Q122,'Threshold Summary'!$Y:$Y,'Threshold Summary'!$A:$A,"")</f>
        <v/>
      </c>
      <c r="B122" s="3">
        <f>XLOOKUP($Q122,'Threshold Summary'!$Y:$Y,'Threshold Summary'!$M:$M,"")</f>
        <v/>
      </c>
      <c r="C122" s="3">
        <f>XLOOKUP($Q122,'Threshold Summary'!$Y:$Y,'Threshold Summary'!$N:$N,"")</f>
        <v/>
      </c>
      <c r="D122" s="3">
        <f>IFERROR(INDEX(FILTER('Learnset Editor'!$D$2:$D,'Learnset Editor'!$A$2:$A=XLOOKUP($Q122,'Threshold Summary'!$Y:$Y,'Threshold Summary'!$K:$K,""),'Learnset Editor'!$C$2:$C&lt;=XLOOKUP($Q122,'Threshold Summary'!$Y:$Y,'Threshold Summary'!$L:$L,"")),$R122),"")</f>
        <v/>
      </c>
      <c r="E122" s="3">
        <f>XLOOKUP(D122,'Move Editor'!$B:$B,'Move Editor'!$C:$C,"")</f>
        <v/>
      </c>
      <c r="F122" s="3">
        <f>XLOOKUP(D122,'Move Editor'!$B:$B,'Move Editor'!$D:$D,"")</f>
        <v/>
      </c>
      <c r="G122" s="3">
        <f>XLOOKUP(D122,'Move Editor'!$B:$B,'Move Editor'!$E:$E,0)</f>
        <v/>
      </c>
      <c r="H122" s="3">
        <f>XLOOKUP(D122,'Move Editor'!$B:$B,'Move Editor'!$F:$F,0)</f>
        <v/>
      </c>
      <c r="I122" s="3">
        <f>(INDEX('Type Chart'!$B:$S,MATCH(E122,'Type Chart'!$A:$A,0),MATCH(XLOOKUP('Boss Editor'!$C$4,'Pokemon Editor'!$A:$A,'Pokemon Editor'!$C:$C,""),'Type Chart'!$B$1:$S$1,0))*IF(XLOOKUP('Boss Editor'!$C$4,'Pokemon Editor'!$A:$A,'Pokemon Editor'!$D:$D,"")="",1,INDEX('Type Chart'!$B:$S,MATCH(E122,'Type Chart'!$A:$A,0),MATCH(XLOOKUP('Boss Editor'!$C$4,'Pokemon Editor'!$A:$A,'Pokemon Editor'!$D:$D,""),'Type Chart'!$B$1:$S$1,0))))</f>
        <v/>
      </c>
      <c r="J122" s="3">
        <f>IFERROR(LET(mtype,XLOOKUP($D122,'Move Editor'!$B:$B,'Move Editor'!$C:$C,""),cat,XLOOKUP($D122,'Move Editor'!$B:$B,'Move Editor'!$D:$D,""),pow,XLOOKUP($D122,'Move Editor'!$B:$B,'Move Editor'!$E:$E,0),acc,XLOOKUP($D122,'Move Editor'!$B:$B,'Move Editor'!$F:$F,100),atk,IF(cat="Physical",FLOOR((FLOOR(((2*XLOOKUP(XLOOKUP($Q122,'Threshold Summary'!$Y:$Y,'Threshold Summary'!$K:$K,""),'Pokemon Editor'!$A:$A,'Pokemon Editor'!$F:$F,0)+31+FLOOR(XLOOKUP($Q122,'Threshold Summary'!$Y:$Y,'Threshold Summary'!$P:$P,"")/4))*XLOOKUP($Q122,'Threshold Summary'!$Y:$Y,'Threshold Summary'!$L:$L,""))/100)+5)*XLOOKUP(XLOOKUP($Q122,'Threshold Summary'!$Y:$Y,'Threshold Summary'!$M:$M,""),'Nature Editor'!$A:$A,'Nature Editor'!$B:$B,1)),FLOOR((FLOOR(((2*XLOOKUP(XLOOKUP($Q122,'Threshold Summary'!$Y:$Y,'Threshold Summary'!$K:$K,""),'Pokemon Editor'!$A:$A,'Pokemon Editor'!$H:$H,0)+31+FLOOR(XLOOKUP($Q122,'Threshold Summary'!$Y:$Y,'Threshold Summary'!$R:$R,"")/4))*XLOOKUP($Q122,'Threshold Summary'!$Y:$Y,'Threshold Summary'!$L:$L,""))/100)+5)*XLOOKUP(XLOOKUP($Q122,'Threshold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Editor'!$E:$E,1))),stab,IF(OR(mtype=XLOOKUP(XLOOKUP($Q122,'Threshold Summary'!$Y:$Y,'Threshold Summary'!$K:$K,""),'Pokemon Editor'!$A:$A,'Pokemon Editor'!$C:$C,""),mtype=XLOOKUP(XLOOKUP($Q122,'Threshold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Chart'!$B$1:$S$1,0)))),base,IF(OR(cat="Status",pow=0),0,FLOOR(FLOOR(FLOOR((2*XLOOKUP($Q122,'Threshold Summary'!$Y:$Y,'Threshold Summary'!$L:$L,"")/5+2)*pow*atk/def)/50)+2)),modifier,stab*eff,FLOOR(base*modifier*0.85)),0)</f>
        <v/>
      </c>
      <c r="K122" s="3">
        <f>IFERROR(LET(mtype,XLOOKUP($D122,'Move Editor'!$B:$B,'Move Editor'!$C:$C,""),cat,XLOOKUP($D122,'Move Editor'!$B:$B,'Move Editor'!$D:$D,""),pow,XLOOKUP($D122,'Move Editor'!$B:$B,'Move Editor'!$E:$E,0),acc,XLOOKUP($D122,'Move Editor'!$B:$B,'Move Editor'!$F:$F,100),atk,IF(cat="Physical",FLOOR((FLOOR(((2*XLOOKUP(XLOOKUP($Q122,'Threshold Summary'!$Y:$Y,'Threshold Summary'!$K:$K,""),'Pokemon Editor'!$A:$A,'Pokemon Editor'!$F:$F,0)+31+FLOOR(XLOOKUP($Q122,'Threshold Summary'!$Y:$Y,'Threshold Summary'!$P:$P,"")/4))*XLOOKUP($Q122,'Threshold Summary'!$Y:$Y,'Threshold Summary'!$L:$L,""))/100)+5)*XLOOKUP(XLOOKUP($Q122,'Threshold Summary'!$Y:$Y,'Threshold Summary'!$M:$M,""),'Nature Editor'!$A:$A,'Nature Editor'!$B:$B,1)),FLOOR((FLOOR(((2*XLOOKUP(XLOOKUP($Q122,'Threshold Summary'!$Y:$Y,'Threshold Summary'!$K:$K,""),'Pokemon Editor'!$A:$A,'Pokemon Editor'!$H:$H,0)+31+FLOOR(XLOOKUP($Q122,'Threshold Summary'!$Y:$Y,'Threshold Summary'!$R:$R,"")/4))*XLOOKUP($Q122,'Threshold Summary'!$Y:$Y,'Threshold Summary'!$L:$L,""))/100)+5)*XLOOKUP(XLOOKUP($Q122,'Threshold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Editor'!$E:$E,1))),stab,IF(OR(mtype=XLOOKUP(XLOOKUP($Q122,'Threshold Summary'!$Y:$Y,'Threshold Summary'!$K:$K,""),'Pokemon Editor'!$A:$A,'Pokemon Editor'!$C:$C,""),mtype=XLOOKUP(XLOOKUP($Q122,'Threshold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Chart'!$B$1:$S$1,0)))),base,IF(OR(cat="Status",pow=0),0,FLOOR(FLOOR(FLOOR((2*XLOOKUP($Q122,'Threshold Summary'!$Y:$Y,'Threshold Summary'!$L:$L,"")/5+2)*pow*atk/def)/50)+2)),modifier,stab*eff,FLOOR(base*modifier)),0)</f>
        <v/>
      </c>
      <c r="L122" s="3">
        <f>IFERROR(LET(mtype,XLOOKUP($D122,'Move Editor'!$B:$B,'Move Editor'!$C:$C,""),cat,XLOOKUP($D122,'Move Editor'!$B:$B,'Move Editor'!$D:$D,""),pow,XLOOKUP($D122,'Move Editor'!$B:$B,'Move Editor'!$E:$E,0),acc,XLOOKUP($D122,'Move Editor'!$B:$B,'Move Editor'!$F:$F,100),atk,IF(cat="Physical",FLOOR((FLOOR(((2*XLOOKUP(XLOOKUP($Q122,'Threshold Summary'!$Y:$Y,'Threshold Summary'!$K:$K,""),'Pokemon Editor'!$A:$A,'Pokemon Editor'!$F:$F,0)+31+FLOOR(XLOOKUP($Q122,'Threshold Summary'!$Y:$Y,'Threshold Summary'!$P:$P,"")/4))*XLOOKUP($Q122,'Threshold Summary'!$Y:$Y,'Threshold Summary'!$L:$L,""))/100)+5)*XLOOKUP(XLOOKUP($Q122,'Threshold Summary'!$Y:$Y,'Threshold Summary'!$M:$M,""),'Nature Editor'!$A:$A,'Nature Editor'!$B:$B,1)),FLOOR((FLOOR(((2*XLOOKUP(XLOOKUP($Q122,'Threshold Summary'!$Y:$Y,'Threshold Summary'!$K:$K,""),'Pokemon Editor'!$A:$A,'Pokemon Editor'!$H:$H,0)+31+FLOOR(XLOOKUP($Q122,'Threshold Summary'!$Y:$Y,'Threshold Summary'!$R:$R,"")/4))*XLOOKUP($Q122,'Threshold Summary'!$Y:$Y,'Threshold Summary'!$L:$L,""))/100)+5)*XLOOKUP(XLOOKUP($Q122,'Threshold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Editor'!$E:$E,1))),stab,IF(OR(mtype=XLOOKUP(XLOOKUP($Q122,'Threshold Summary'!$Y:$Y,'Threshold Summary'!$K:$K,""),'Pokemon Editor'!$A:$A,'Pokemon Editor'!$C:$C,""),mtype=XLOOKUP(XLOOKUP($Q122,'Threshold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Chart'!$B$1:$S$1,0)))),base,IF(OR(cat="Status",pow=0),0,FLOOR(FLOOR(FLOOR((2*XLOOKUP($Q122,'Threshold Summary'!$Y:$Y,'Threshold Summary'!$L:$L,"")/5+2)*pow*atk/def)/50)+2)),modifier,stab*eff,AVERAGE(ARRAYFORMULA(FLOOR(base*modifier*SEQUENCE(16,1,85,1)/100)))),0)</f>
        <v/>
      </c>
      <c r="M122" s="3">
        <f>IFERROR(LET(mtype,XLOOKUP($D122,'Move Editor'!$B:$B,'Move Editor'!$C:$C,""),cat,XLOOKUP($D122,'Move Editor'!$B:$B,'Move Editor'!$D:$D,""),pow,XLOOKUP($D122,'Move Editor'!$B:$B,'Move Editor'!$E:$E,0),acc,XLOOKUP($D122,'Move Editor'!$B:$B,'Move Editor'!$F:$F,100),atk,IF(cat="Physical",FLOOR((FLOOR(((2*XLOOKUP(XLOOKUP($Q122,'Threshold Summary'!$Y:$Y,'Threshold Summary'!$K:$K,""),'Pokemon Editor'!$A:$A,'Pokemon Editor'!$F:$F,0)+31+FLOOR(XLOOKUP($Q122,'Threshold Summary'!$Y:$Y,'Threshold Summary'!$P:$P,"")/4))*XLOOKUP($Q122,'Threshold Summary'!$Y:$Y,'Threshold Summary'!$L:$L,""))/100)+5)*XLOOKUP(XLOOKUP($Q122,'Threshold Summary'!$Y:$Y,'Threshold Summary'!$M:$M,""),'Nature Editor'!$A:$A,'Nature Editor'!$B:$B,1)),FLOOR((FLOOR(((2*XLOOKUP(XLOOKUP($Q122,'Threshold Summary'!$Y:$Y,'Threshold Summary'!$K:$K,""),'Pokemon Editor'!$A:$A,'Pokemon Editor'!$H:$H,0)+31+FLOOR(XLOOKUP($Q122,'Threshold Summary'!$Y:$Y,'Threshold Summary'!$R:$R,"")/4))*XLOOKUP($Q122,'Threshold Summary'!$Y:$Y,'Threshold Summary'!$L:$L,""))/100)+5)*XLOOKUP(XLOOKUP($Q122,'Threshold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Editor'!$E:$E,1))),stab,IF(OR(mtype=XLOOKUP(XLOOKUP($Q122,'Threshold Summary'!$Y:$Y,'Threshold Summary'!$K:$K,""),'Pokemon Editor'!$A:$A,'Pokemon Editor'!$C:$C,""),mtype=XLOOKUP(XLOOKUP($Q122,'Threshold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Chart'!$B$1:$S$1,0)))),base,IF(OR(cat="Status",pow=0),0,FLOOR(FLOOR(FLOOR((2*XLOOKUP($Q122,'Threshold Summary'!$Y:$Y,'Threshold Summary'!$L:$L,"")/5+2)*pow*atk/def)/50)+2)),modifier,stab*eff,AVERAGE(ARRAYFORMULA(FLOOR(base*modifier*SEQUENCE(16,1,85,1)/100)))*MIN(1,acc/100)),0)</f>
        <v/>
      </c>
      <c r="N122" s="4">
        <f>IFERROR(LET(mtype,XLOOKUP($D122,'Move Editor'!$B:$B,'Move Editor'!$C:$C,""),cat,XLOOKUP($D122,'Move Editor'!$B:$B,'Move Editor'!$D:$D,""),pow,XLOOKUP($D122,'Move Editor'!$B:$B,'Move Editor'!$E:$E,0),acc,XLOOKUP($D122,'Move Editor'!$B:$B,'Move Editor'!$F:$F,100),atk,IF(cat="Physical",FLOOR((FLOOR(((2*XLOOKUP(XLOOKUP($Q122,'Threshold Summary'!$Y:$Y,'Threshold Summary'!$K:$K,""),'Pokemon Editor'!$A:$A,'Pokemon Editor'!$F:$F,0)+31+FLOOR(XLOOKUP($Q122,'Threshold Summary'!$Y:$Y,'Threshold Summary'!$P:$P,"")/4))*XLOOKUP($Q122,'Threshold Summary'!$Y:$Y,'Threshold Summary'!$L:$L,""))/100)+5)*XLOOKUP(XLOOKUP($Q122,'Threshold Summary'!$Y:$Y,'Threshold Summary'!$M:$M,""),'Nature Editor'!$A:$A,'Nature Editor'!$B:$B,1)),FLOOR((FLOOR(((2*XLOOKUP(XLOOKUP($Q122,'Threshold Summary'!$Y:$Y,'Threshold Summary'!$K:$K,""),'Pokemon Editor'!$A:$A,'Pokemon Editor'!$H:$H,0)+31+FLOOR(XLOOKUP($Q122,'Threshold Summary'!$Y:$Y,'Threshold Summary'!$R:$R,"")/4))*XLOOKUP($Q122,'Threshold Summary'!$Y:$Y,'Threshold Summary'!$L:$L,""))/100)+5)*XLOOKUP(XLOOKUP($Q122,'Threshold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Editor'!$E:$E,1))),stab,IF(OR(mtype=XLOOKUP(XLOOKUP($Q122,'Threshold Summary'!$Y:$Y,'Threshold Summary'!$K:$K,""),'Pokemon Editor'!$A:$A,'Pokemon Editor'!$C:$C,""),mtype=XLOOKUP(XLOOKUP($Q122,'Threshold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Chart'!$B$1:$S$1,0)))),base,IF(OR(cat="Status",pow=0),0,FLOOR(FLOOR(FLOOR((2*XLOOKUP($Q122,'Threshold Summary'!$Y:$Y,'Threshold Summary'!$L:$L,"")/5+2)*pow*atk/def)/50)+2)),modifier,stab*eff,AVERAGE(ARRAYFORMULA(FLOOR(base*modifier*SEQUENCE(16,1,85,1)/100)))/(FLOOR(((2*XLOOKUP('Boss Editor'!$C$4,'Pokemon Editor'!$A:$A,'Pokemon Editor'!$E:$E,0)+31+FLOOR('Boss Editor'!$G$4/4))*'Boss Editor'!$D$4)/100)+'Boss Editor'!$D$4+10)),0)</f>
        <v/>
      </c>
      <c r="O122" s="3">
        <f>IF(N122&gt;=1,"OHKO",IF(N122&gt;=0.5,"2HKO",IF(N122&gt;=0.333,"3HKO",IF(N122&gt;=0.25,"4HKO","5HKO+"))))</f>
        <v/>
      </c>
      <c r="P122" s="3" t="inlineStr">
        <is>
          <t>Live from editable databases</t>
        </is>
      </c>
      <c r="Q122" s="3" t="inlineStr">
        <is>
          <t>SPECIES_TREECKO</t>
        </is>
      </c>
      <c r="R122" s="3" t="n">
        <v>25</v>
      </c>
    </row>
    <row r="123">
      <c r="A123" s="3">
        <f>XLOOKUP($Q123,'Threshold Summary'!$Y:$Y,'Threshold Summary'!$A:$A,"")</f>
        <v/>
      </c>
      <c r="B123" s="3">
        <f>XLOOKUP($Q123,'Threshold Summary'!$Y:$Y,'Threshold Summary'!$M:$M,"")</f>
        <v/>
      </c>
      <c r="C123" s="3">
        <f>XLOOKUP($Q123,'Threshold Summary'!$Y:$Y,'Threshold Summary'!$N:$N,"")</f>
        <v/>
      </c>
      <c r="D123" s="3">
        <f>IFERROR(INDEX(FILTER('Learnset Editor'!$D$2:$D,'Learnset Editor'!$A$2:$A=XLOOKUP($Q123,'Threshold Summary'!$Y:$Y,'Threshold Summary'!$K:$K,""),'Learnset Editor'!$C$2:$C&lt;=XLOOKUP($Q123,'Threshold Summary'!$Y:$Y,'Threshold Summary'!$L:$L,"")),$R123),"")</f>
        <v/>
      </c>
      <c r="E123" s="3">
        <f>XLOOKUP(D123,'Move Editor'!$B:$B,'Move Editor'!$C:$C,"")</f>
        <v/>
      </c>
      <c r="F123" s="3">
        <f>XLOOKUP(D123,'Move Editor'!$B:$B,'Move Editor'!$D:$D,"")</f>
        <v/>
      </c>
      <c r="G123" s="3">
        <f>XLOOKUP(D123,'Move Editor'!$B:$B,'Move Editor'!$E:$E,0)</f>
        <v/>
      </c>
      <c r="H123" s="3">
        <f>XLOOKUP(D123,'Move Editor'!$B:$B,'Move Editor'!$F:$F,0)</f>
        <v/>
      </c>
      <c r="I123" s="3">
        <f>(INDEX('Type Chart'!$B:$S,MATCH(E123,'Type Chart'!$A:$A,0),MATCH(XLOOKUP('Boss Editor'!$C$4,'Pokemon Editor'!$A:$A,'Pokemon Editor'!$C:$C,""),'Type Chart'!$B$1:$S$1,0))*IF(XLOOKUP('Boss Editor'!$C$4,'Pokemon Editor'!$A:$A,'Pokemon Editor'!$D:$D,"")="",1,INDEX('Type Chart'!$B:$S,MATCH(E123,'Type Chart'!$A:$A,0),MATCH(XLOOKUP('Boss Editor'!$C$4,'Pokemon Editor'!$A:$A,'Pokemon Editor'!$D:$D,""),'Type Chart'!$B$1:$S$1,0))))</f>
        <v/>
      </c>
      <c r="J123" s="3">
        <f>IFERROR(LET(mtype,XLOOKUP($D123,'Move Editor'!$B:$B,'Move Editor'!$C:$C,""),cat,XLOOKUP($D123,'Move Editor'!$B:$B,'Move Editor'!$D:$D,""),pow,XLOOKUP($D123,'Move Editor'!$B:$B,'Move Editor'!$E:$E,0),acc,XLOOKUP($D123,'Move Editor'!$B:$B,'Move Editor'!$F:$F,100),atk,IF(cat="Physical",FLOOR((FLOOR(((2*XLOOKUP(XLOOKUP($Q123,'Threshold Summary'!$Y:$Y,'Threshold Summary'!$K:$K,""),'Pokemon Editor'!$A:$A,'Pokemon Editor'!$F:$F,0)+31+FLOOR(XLOOKUP($Q123,'Threshold Summary'!$Y:$Y,'Threshold Summary'!$P:$P,"")/4))*XLOOKUP($Q123,'Threshold Summary'!$Y:$Y,'Threshold Summary'!$L:$L,""))/100)+5)*XLOOKUP(XLOOKUP($Q123,'Threshold Summary'!$Y:$Y,'Threshold Summary'!$M:$M,""),'Nature Editor'!$A:$A,'Nature Editor'!$B:$B,1)),FLOOR((FLOOR(((2*XLOOKUP(XLOOKUP($Q123,'Threshold Summary'!$Y:$Y,'Threshold Summary'!$K:$K,""),'Pokemon Editor'!$A:$A,'Pokemon Editor'!$H:$H,0)+31+FLOOR(XLOOKUP($Q123,'Threshold Summary'!$Y:$Y,'Threshold Summary'!$R:$R,"")/4))*XLOOKUP($Q123,'Threshold Summary'!$Y:$Y,'Threshold Summary'!$L:$L,""))/100)+5)*XLOOKUP(XLOOKUP($Q123,'Threshold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Editor'!$E:$E,1))),stab,IF(OR(mtype=XLOOKUP(XLOOKUP($Q123,'Threshold Summary'!$Y:$Y,'Threshold Summary'!$K:$K,""),'Pokemon Editor'!$A:$A,'Pokemon Editor'!$C:$C,""),mtype=XLOOKUP(XLOOKUP($Q123,'Threshold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Chart'!$B$1:$S$1,0)))),base,IF(OR(cat="Status",pow=0),0,FLOOR(FLOOR(FLOOR((2*XLOOKUP($Q123,'Threshold Summary'!$Y:$Y,'Threshold Summary'!$L:$L,"")/5+2)*pow*atk/def)/50)+2)),modifier,stab*eff,FLOOR(base*modifier*0.85)),0)</f>
        <v/>
      </c>
      <c r="K123" s="3">
        <f>IFERROR(LET(mtype,XLOOKUP($D123,'Move Editor'!$B:$B,'Move Editor'!$C:$C,""),cat,XLOOKUP($D123,'Move Editor'!$B:$B,'Move Editor'!$D:$D,""),pow,XLOOKUP($D123,'Move Editor'!$B:$B,'Move Editor'!$E:$E,0),acc,XLOOKUP($D123,'Move Editor'!$B:$B,'Move Editor'!$F:$F,100),atk,IF(cat="Physical",FLOOR((FLOOR(((2*XLOOKUP(XLOOKUP($Q123,'Threshold Summary'!$Y:$Y,'Threshold Summary'!$K:$K,""),'Pokemon Editor'!$A:$A,'Pokemon Editor'!$F:$F,0)+31+FLOOR(XLOOKUP($Q123,'Threshold Summary'!$Y:$Y,'Threshold Summary'!$P:$P,"")/4))*XLOOKUP($Q123,'Threshold Summary'!$Y:$Y,'Threshold Summary'!$L:$L,""))/100)+5)*XLOOKUP(XLOOKUP($Q123,'Threshold Summary'!$Y:$Y,'Threshold Summary'!$M:$M,""),'Nature Editor'!$A:$A,'Nature Editor'!$B:$B,1)),FLOOR((FLOOR(((2*XLOOKUP(XLOOKUP($Q123,'Threshold Summary'!$Y:$Y,'Threshold Summary'!$K:$K,""),'Pokemon Editor'!$A:$A,'Pokemon Editor'!$H:$H,0)+31+FLOOR(XLOOKUP($Q123,'Threshold Summary'!$Y:$Y,'Threshold Summary'!$R:$R,"")/4))*XLOOKUP($Q123,'Threshold Summary'!$Y:$Y,'Threshold Summary'!$L:$L,""))/100)+5)*XLOOKUP(XLOOKUP($Q123,'Threshold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Editor'!$E:$E,1))),stab,IF(OR(mtype=XLOOKUP(XLOOKUP($Q123,'Threshold Summary'!$Y:$Y,'Threshold Summary'!$K:$K,""),'Pokemon Editor'!$A:$A,'Pokemon Editor'!$C:$C,""),mtype=XLOOKUP(XLOOKUP($Q123,'Threshold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Chart'!$B$1:$S$1,0)))),base,IF(OR(cat="Status",pow=0),0,FLOOR(FLOOR(FLOOR((2*XLOOKUP($Q123,'Threshold Summary'!$Y:$Y,'Threshold Summary'!$L:$L,"")/5+2)*pow*atk/def)/50)+2)),modifier,stab*eff,FLOOR(base*modifier)),0)</f>
        <v/>
      </c>
      <c r="L123" s="3">
        <f>IFERROR(LET(mtype,XLOOKUP($D123,'Move Editor'!$B:$B,'Move Editor'!$C:$C,""),cat,XLOOKUP($D123,'Move Editor'!$B:$B,'Move Editor'!$D:$D,""),pow,XLOOKUP($D123,'Move Editor'!$B:$B,'Move Editor'!$E:$E,0),acc,XLOOKUP($D123,'Move Editor'!$B:$B,'Move Editor'!$F:$F,100),atk,IF(cat="Physical",FLOOR((FLOOR(((2*XLOOKUP(XLOOKUP($Q123,'Threshold Summary'!$Y:$Y,'Threshold Summary'!$K:$K,""),'Pokemon Editor'!$A:$A,'Pokemon Editor'!$F:$F,0)+31+FLOOR(XLOOKUP($Q123,'Threshold Summary'!$Y:$Y,'Threshold Summary'!$P:$P,"")/4))*XLOOKUP($Q123,'Threshold Summary'!$Y:$Y,'Threshold Summary'!$L:$L,""))/100)+5)*XLOOKUP(XLOOKUP($Q123,'Threshold Summary'!$Y:$Y,'Threshold Summary'!$M:$M,""),'Nature Editor'!$A:$A,'Nature Editor'!$B:$B,1)),FLOOR((FLOOR(((2*XLOOKUP(XLOOKUP($Q123,'Threshold Summary'!$Y:$Y,'Threshold Summary'!$K:$K,""),'Pokemon Editor'!$A:$A,'Pokemon Editor'!$H:$H,0)+31+FLOOR(XLOOKUP($Q123,'Threshold Summary'!$Y:$Y,'Threshold Summary'!$R:$R,"")/4))*XLOOKUP($Q123,'Threshold Summary'!$Y:$Y,'Threshold Summary'!$L:$L,""))/100)+5)*XLOOKUP(XLOOKUP($Q123,'Threshold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Editor'!$E:$E,1))),stab,IF(OR(mtype=XLOOKUP(XLOOKUP($Q123,'Threshold Summary'!$Y:$Y,'Threshold Summary'!$K:$K,""),'Pokemon Editor'!$A:$A,'Pokemon Editor'!$C:$C,""),mtype=XLOOKUP(XLOOKUP($Q123,'Threshold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Chart'!$B$1:$S$1,0)))),base,IF(OR(cat="Status",pow=0),0,FLOOR(FLOOR(FLOOR((2*XLOOKUP($Q123,'Threshold Summary'!$Y:$Y,'Threshold Summary'!$L:$L,"")/5+2)*pow*atk/def)/50)+2)),modifier,stab*eff,AVERAGE(ARRAYFORMULA(FLOOR(base*modifier*SEQUENCE(16,1,85,1)/100)))),0)</f>
        <v/>
      </c>
      <c r="M123" s="3">
        <f>IFERROR(LET(mtype,XLOOKUP($D123,'Move Editor'!$B:$B,'Move Editor'!$C:$C,""),cat,XLOOKUP($D123,'Move Editor'!$B:$B,'Move Editor'!$D:$D,""),pow,XLOOKUP($D123,'Move Editor'!$B:$B,'Move Editor'!$E:$E,0),acc,XLOOKUP($D123,'Move Editor'!$B:$B,'Move Editor'!$F:$F,100),atk,IF(cat="Physical",FLOOR((FLOOR(((2*XLOOKUP(XLOOKUP($Q123,'Threshold Summary'!$Y:$Y,'Threshold Summary'!$K:$K,""),'Pokemon Editor'!$A:$A,'Pokemon Editor'!$F:$F,0)+31+FLOOR(XLOOKUP($Q123,'Threshold Summary'!$Y:$Y,'Threshold Summary'!$P:$P,"")/4))*XLOOKUP($Q123,'Threshold Summary'!$Y:$Y,'Threshold Summary'!$L:$L,""))/100)+5)*XLOOKUP(XLOOKUP($Q123,'Threshold Summary'!$Y:$Y,'Threshold Summary'!$M:$M,""),'Nature Editor'!$A:$A,'Nature Editor'!$B:$B,1)),FLOOR((FLOOR(((2*XLOOKUP(XLOOKUP($Q123,'Threshold Summary'!$Y:$Y,'Threshold Summary'!$K:$K,""),'Pokemon Editor'!$A:$A,'Pokemon Editor'!$H:$H,0)+31+FLOOR(XLOOKUP($Q123,'Threshold Summary'!$Y:$Y,'Threshold Summary'!$R:$R,"")/4))*XLOOKUP($Q123,'Threshold Summary'!$Y:$Y,'Threshold Summary'!$L:$L,""))/100)+5)*XLOOKUP(XLOOKUP($Q123,'Threshold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Editor'!$E:$E,1))),stab,IF(OR(mtype=XLOOKUP(XLOOKUP($Q123,'Threshold Summary'!$Y:$Y,'Threshold Summary'!$K:$K,""),'Pokemon Editor'!$A:$A,'Pokemon Editor'!$C:$C,""),mtype=XLOOKUP(XLOOKUP($Q123,'Threshold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Chart'!$B$1:$S$1,0)))),base,IF(OR(cat="Status",pow=0),0,FLOOR(FLOOR(FLOOR((2*XLOOKUP($Q123,'Threshold Summary'!$Y:$Y,'Threshold Summary'!$L:$L,"")/5+2)*pow*atk/def)/50)+2)),modifier,stab*eff,AVERAGE(ARRAYFORMULA(FLOOR(base*modifier*SEQUENCE(16,1,85,1)/100)))*MIN(1,acc/100)),0)</f>
        <v/>
      </c>
      <c r="N123" s="4">
        <f>IFERROR(LET(mtype,XLOOKUP($D123,'Move Editor'!$B:$B,'Move Editor'!$C:$C,""),cat,XLOOKUP($D123,'Move Editor'!$B:$B,'Move Editor'!$D:$D,""),pow,XLOOKUP($D123,'Move Editor'!$B:$B,'Move Editor'!$E:$E,0),acc,XLOOKUP($D123,'Move Editor'!$B:$B,'Move Editor'!$F:$F,100),atk,IF(cat="Physical",FLOOR((FLOOR(((2*XLOOKUP(XLOOKUP($Q123,'Threshold Summary'!$Y:$Y,'Threshold Summary'!$K:$K,""),'Pokemon Editor'!$A:$A,'Pokemon Editor'!$F:$F,0)+31+FLOOR(XLOOKUP($Q123,'Threshold Summary'!$Y:$Y,'Threshold Summary'!$P:$P,"")/4))*XLOOKUP($Q123,'Threshold Summary'!$Y:$Y,'Threshold Summary'!$L:$L,""))/100)+5)*XLOOKUP(XLOOKUP($Q123,'Threshold Summary'!$Y:$Y,'Threshold Summary'!$M:$M,""),'Nature Editor'!$A:$A,'Nature Editor'!$B:$B,1)),FLOOR((FLOOR(((2*XLOOKUP(XLOOKUP($Q123,'Threshold Summary'!$Y:$Y,'Threshold Summary'!$K:$K,""),'Pokemon Editor'!$A:$A,'Pokemon Editor'!$H:$H,0)+31+FLOOR(XLOOKUP($Q123,'Threshold Summary'!$Y:$Y,'Threshold Summary'!$R:$R,"")/4))*XLOOKUP($Q123,'Threshold Summary'!$Y:$Y,'Threshold Summary'!$L:$L,""))/100)+5)*XLOOKUP(XLOOKUP($Q123,'Threshold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Editor'!$E:$E,1))),stab,IF(OR(mtype=XLOOKUP(XLOOKUP($Q123,'Threshold Summary'!$Y:$Y,'Threshold Summary'!$K:$K,""),'Pokemon Editor'!$A:$A,'Pokemon Editor'!$C:$C,""),mtype=XLOOKUP(XLOOKUP($Q123,'Threshold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Chart'!$B$1:$S$1,0)))),base,IF(OR(cat="Status",pow=0),0,FLOOR(FLOOR(FLOOR((2*XLOOKUP($Q123,'Threshold Summary'!$Y:$Y,'Threshold Summary'!$L:$L,"")/5+2)*pow*atk/def)/50)+2)),modifier,stab*eff,AVERAGE(ARRAYFORMULA(FLOOR(base*modifier*SEQUENCE(16,1,85,1)/100)))/(FLOOR(((2*XLOOKUP('Boss Editor'!$C$4,'Pokemon Editor'!$A:$A,'Pokemon Editor'!$E:$E,0)+31+FLOOR('Boss Editor'!$G$4/4))*'Boss Editor'!$D$4)/100)+'Boss Editor'!$D$4+10)),0)</f>
        <v/>
      </c>
      <c r="O123" s="3">
        <f>IF(N123&gt;=1,"OHKO",IF(N123&gt;=0.5,"2HKO",IF(N123&gt;=0.333,"3HKO",IF(N123&gt;=0.25,"4HKO","5HKO+"))))</f>
        <v/>
      </c>
      <c r="P123" s="3" t="inlineStr">
        <is>
          <t>Live from editable databases</t>
        </is>
      </c>
      <c r="Q123" s="3" t="inlineStr">
        <is>
          <t>SPECIES_TREECKO</t>
        </is>
      </c>
      <c r="R123" s="3" t="n">
        <v>26</v>
      </c>
    </row>
    <row r="124">
      <c r="A124" s="3">
        <f>XLOOKUP($Q124,'Threshold Summary'!$Y:$Y,'Threshold Summary'!$A:$A,"")</f>
        <v/>
      </c>
      <c r="B124" s="3">
        <f>XLOOKUP($Q124,'Threshold Summary'!$Y:$Y,'Threshold Summary'!$M:$M,"")</f>
        <v/>
      </c>
      <c r="C124" s="3">
        <f>XLOOKUP($Q124,'Threshold Summary'!$Y:$Y,'Threshold Summary'!$N:$N,"")</f>
        <v/>
      </c>
      <c r="D124" s="3">
        <f>IFERROR(INDEX(FILTER('Learnset Editor'!$D$2:$D,'Learnset Editor'!$A$2:$A=XLOOKUP($Q124,'Threshold Summary'!$Y:$Y,'Threshold Summary'!$K:$K,""),'Learnset Editor'!$C$2:$C&lt;=XLOOKUP($Q124,'Threshold Summary'!$Y:$Y,'Threshold Summary'!$L:$L,"")),$R124),"")</f>
        <v/>
      </c>
      <c r="E124" s="3">
        <f>XLOOKUP(D124,'Move Editor'!$B:$B,'Move Editor'!$C:$C,"")</f>
        <v/>
      </c>
      <c r="F124" s="3">
        <f>XLOOKUP(D124,'Move Editor'!$B:$B,'Move Editor'!$D:$D,"")</f>
        <v/>
      </c>
      <c r="G124" s="3">
        <f>XLOOKUP(D124,'Move Editor'!$B:$B,'Move Editor'!$E:$E,0)</f>
        <v/>
      </c>
      <c r="H124" s="3">
        <f>XLOOKUP(D124,'Move Editor'!$B:$B,'Move Editor'!$F:$F,0)</f>
        <v/>
      </c>
      <c r="I124" s="3">
        <f>(INDEX('Type Chart'!$B:$S,MATCH(E124,'Type Chart'!$A:$A,0),MATCH(XLOOKUP('Boss Editor'!$C$4,'Pokemon Editor'!$A:$A,'Pokemon Editor'!$C:$C,""),'Type Chart'!$B$1:$S$1,0))*IF(XLOOKUP('Boss Editor'!$C$4,'Pokemon Editor'!$A:$A,'Pokemon Editor'!$D:$D,"")="",1,INDEX('Type Chart'!$B:$S,MATCH(E124,'Type Chart'!$A:$A,0),MATCH(XLOOKUP('Boss Editor'!$C$4,'Pokemon Editor'!$A:$A,'Pokemon Editor'!$D:$D,""),'Type Chart'!$B$1:$S$1,0))))</f>
        <v/>
      </c>
      <c r="J124" s="3">
        <f>IFERROR(LET(mtype,XLOOKUP($D124,'Move Editor'!$B:$B,'Move Editor'!$C:$C,""),cat,XLOOKUP($D124,'Move Editor'!$B:$B,'Move Editor'!$D:$D,""),pow,XLOOKUP($D124,'Move Editor'!$B:$B,'Move Editor'!$E:$E,0),acc,XLOOKUP($D124,'Move Editor'!$B:$B,'Move Editor'!$F:$F,100),atk,IF(cat="Physical",FLOOR((FLOOR(((2*XLOOKUP(XLOOKUP($Q124,'Threshold Summary'!$Y:$Y,'Threshold Summary'!$K:$K,""),'Pokemon Editor'!$A:$A,'Pokemon Editor'!$F:$F,0)+31+FLOOR(XLOOKUP($Q124,'Threshold Summary'!$Y:$Y,'Threshold Summary'!$P:$P,"")/4))*XLOOKUP($Q124,'Threshold Summary'!$Y:$Y,'Threshold Summary'!$L:$L,""))/100)+5)*XLOOKUP(XLOOKUP($Q124,'Threshold Summary'!$Y:$Y,'Threshold Summary'!$M:$M,""),'Nature Editor'!$A:$A,'Nature Editor'!$B:$B,1)),FLOOR((FLOOR(((2*XLOOKUP(XLOOKUP($Q124,'Threshold Summary'!$Y:$Y,'Threshold Summary'!$K:$K,""),'Pokemon Editor'!$A:$A,'Pokemon Editor'!$H:$H,0)+31+FLOOR(XLOOKUP($Q124,'Threshold Summary'!$Y:$Y,'Threshold Summary'!$R:$R,"")/4))*XLOOKUP($Q124,'Threshold Summary'!$Y:$Y,'Threshold Summary'!$L:$L,""))/100)+5)*XLOOKUP(XLOOKUP($Q124,'Threshold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Editor'!$E:$E,1))),stab,IF(OR(mtype=XLOOKUP(XLOOKUP($Q124,'Threshold Summary'!$Y:$Y,'Threshold Summary'!$K:$K,""),'Pokemon Editor'!$A:$A,'Pokemon Editor'!$C:$C,""),mtype=XLOOKUP(XLOOKUP($Q124,'Threshold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Chart'!$B$1:$S$1,0)))),base,IF(OR(cat="Status",pow=0),0,FLOOR(FLOOR(FLOOR((2*XLOOKUP($Q124,'Threshold Summary'!$Y:$Y,'Threshold Summary'!$L:$L,"")/5+2)*pow*atk/def)/50)+2)),modifier,stab*eff,FLOOR(base*modifier*0.85)),0)</f>
        <v/>
      </c>
      <c r="K124" s="3">
        <f>IFERROR(LET(mtype,XLOOKUP($D124,'Move Editor'!$B:$B,'Move Editor'!$C:$C,""),cat,XLOOKUP($D124,'Move Editor'!$B:$B,'Move Editor'!$D:$D,""),pow,XLOOKUP($D124,'Move Editor'!$B:$B,'Move Editor'!$E:$E,0),acc,XLOOKUP($D124,'Move Editor'!$B:$B,'Move Editor'!$F:$F,100),atk,IF(cat="Physical",FLOOR((FLOOR(((2*XLOOKUP(XLOOKUP($Q124,'Threshold Summary'!$Y:$Y,'Threshold Summary'!$K:$K,""),'Pokemon Editor'!$A:$A,'Pokemon Editor'!$F:$F,0)+31+FLOOR(XLOOKUP($Q124,'Threshold Summary'!$Y:$Y,'Threshold Summary'!$P:$P,"")/4))*XLOOKUP($Q124,'Threshold Summary'!$Y:$Y,'Threshold Summary'!$L:$L,""))/100)+5)*XLOOKUP(XLOOKUP($Q124,'Threshold Summary'!$Y:$Y,'Threshold Summary'!$M:$M,""),'Nature Editor'!$A:$A,'Nature Editor'!$B:$B,1)),FLOOR((FLOOR(((2*XLOOKUP(XLOOKUP($Q124,'Threshold Summary'!$Y:$Y,'Threshold Summary'!$K:$K,""),'Pokemon Editor'!$A:$A,'Pokemon Editor'!$H:$H,0)+31+FLOOR(XLOOKUP($Q124,'Threshold Summary'!$Y:$Y,'Threshold Summary'!$R:$R,"")/4))*XLOOKUP($Q124,'Threshold Summary'!$Y:$Y,'Threshold Summary'!$L:$L,""))/100)+5)*XLOOKUP(XLOOKUP($Q124,'Threshold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Editor'!$E:$E,1))),stab,IF(OR(mtype=XLOOKUP(XLOOKUP($Q124,'Threshold Summary'!$Y:$Y,'Threshold Summary'!$K:$K,""),'Pokemon Editor'!$A:$A,'Pokemon Editor'!$C:$C,""),mtype=XLOOKUP(XLOOKUP($Q124,'Threshold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Chart'!$B$1:$S$1,0)))),base,IF(OR(cat="Status",pow=0),0,FLOOR(FLOOR(FLOOR((2*XLOOKUP($Q124,'Threshold Summary'!$Y:$Y,'Threshold Summary'!$L:$L,"")/5+2)*pow*atk/def)/50)+2)),modifier,stab*eff,FLOOR(base*modifier)),0)</f>
        <v/>
      </c>
      <c r="L124" s="3">
        <f>IFERROR(LET(mtype,XLOOKUP($D124,'Move Editor'!$B:$B,'Move Editor'!$C:$C,""),cat,XLOOKUP($D124,'Move Editor'!$B:$B,'Move Editor'!$D:$D,""),pow,XLOOKUP($D124,'Move Editor'!$B:$B,'Move Editor'!$E:$E,0),acc,XLOOKUP($D124,'Move Editor'!$B:$B,'Move Editor'!$F:$F,100),atk,IF(cat="Physical",FLOOR((FLOOR(((2*XLOOKUP(XLOOKUP($Q124,'Threshold Summary'!$Y:$Y,'Threshold Summary'!$K:$K,""),'Pokemon Editor'!$A:$A,'Pokemon Editor'!$F:$F,0)+31+FLOOR(XLOOKUP($Q124,'Threshold Summary'!$Y:$Y,'Threshold Summary'!$P:$P,"")/4))*XLOOKUP($Q124,'Threshold Summary'!$Y:$Y,'Threshold Summary'!$L:$L,""))/100)+5)*XLOOKUP(XLOOKUP($Q124,'Threshold Summary'!$Y:$Y,'Threshold Summary'!$M:$M,""),'Nature Editor'!$A:$A,'Nature Editor'!$B:$B,1)),FLOOR((FLOOR(((2*XLOOKUP(XLOOKUP($Q124,'Threshold Summary'!$Y:$Y,'Threshold Summary'!$K:$K,""),'Pokemon Editor'!$A:$A,'Pokemon Editor'!$H:$H,0)+31+FLOOR(XLOOKUP($Q124,'Threshold Summary'!$Y:$Y,'Threshold Summary'!$R:$R,"")/4))*XLOOKUP($Q124,'Threshold Summary'!$Y:$Y,'Threshold Summary'!$L:$L,""))/100)+5)*XLOOKUP(XLOOKUP($Q124,'Threshold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Editor'!$E:$E,1))),stab,IF(OR(mtype=XLOOKUP(XLOOKUP($Q124,'Threshold Summary'!$Y:$Y,'Threshold Summary'!$K:$K,""),'Pokemon Editor'!$A:$A,'Pokemon Editor'!$C:$C,""),mtype=XLOOKUP(XLOOKUP($Q124,'Threshold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Chart'!$B$1:$S$1,0)))),base,IF(OR(cat="Status",pow=0),0,FLOOR(FLOOR(FLOOR((2*XLOOKUP($Q124,'Threshold Summary'!$Y:$Y,'Threshold Summary'!$L:$L,"")/5+2)*pow*atk/def)/50)+2)),modifier,stab*eff,AVERAGE(ARRAYFORMULA(FLOOR(base*modifier*SEQUENCE(16,1,85,1)/100)))),0)</f>
        <v/>
      </c>
      <c r="M124" s="3">
        <f>IFERROR(LET(mtype,XLOOKUP($D124,'Move Editor'!$B:$B,'Move Editor'!$C:$C,""),cat,XLOOKUP($D124,'Move Editor'!$B:$B,'Move Editor'!$D:$D,""),pow,XLOOKUP($D124,'Move Editor'!$B:$B,'Move Editor'!$E:$E,0),acc,XLOOKUP($D124,'Move Editor'!$B:$B,'Move Editor'!$F:$F,100),atk,IF(cat="Physical",FLOOR((FLOOR(((2*XLOOKUP(XLOOKUP($Q124,'Threshold Summary'!$Y:$Y,'Threshold Summary'!$K:$K,""),'Pokemon Editor'!$A:$A,'Pokemon Editor'!$F:$F,0)+31+FLOOR(XLOOKUP($Q124,'Threshold Summary'!$Y:$Y,'Threshold Summary'!$P:$P,"")/4))*XLOOKUP($Q124,'Threshold Summary'!$Y:$Y,'Threshold Summary'!$L:$L,""))/100)+5)*XLOOKUP(XLOOKUP($Q124,'Threshold Summary'!$Y:$Y,'Threshold Summary'!$M:$M,""),'Nature Editor'!$A:$A,'Nature Editor'!$B:$B,1)),FLOOR((FLOOR(((2*XLOOKUP(XLOOKUP($Q124,'Threshold Summary'!$Y:$Y,'Threshold Summary'!$K:$K,""),'Pokemon Editor'!$A:$A,'Pokemon Editor'!$H:$H,0)+31+FLOOR(XLOOKUP($Q124,'Threshold Summary'!$Y:$Y,'Threshold Summary'!$R:$R,"")/4))*XLOOKUP($Q124,'Threshold Summary'!$Y:$Y,'Threshold Summary'!$L:$L,""))/100)+5)*XLOOKUP(XLOOKUP($Q124,'Threshold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Editor'!$E:$E,1))),stab,IF(OR(mtype=XLOOKUP(XLOOKUP($Q124,'Threshold Summary'!$Y:$Y,'Threshold Summary'!$K:$K,""),'Pokemon Editor'!$A:$A,'Pokemon Editor'!$C:$C,""),mtype=XLOOKUP(XLOOKUP($Q124,'Threshold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Chart'!$B$1:$S$1,0)))),base,IF(OR(cat="Status",pow=0),0,FLOOR(FLOOR(FLOOR((2*XLOOKUP($Q124,'Threshold Summary'!$Y:$Y,'Threshold Summary'!$L:$L,"")/5+2)*pow*atk/def)/50)+2)),modifier,stab*eff,AVERAGE(ARRAYFORMULA(FLOOR(base*modifier*SEQUENCE(16,1,85,1)/100)))*MIN(1,acc/100)),0)</f>
        <v/>
      </c>
      <c r="N124" s="4">
        <f>IFERROR(LET(mtype,XLOOKUP($D124,'Move Editor'!$B:$B,'Move Editor'!$C:$C,""),cat,XLOOKUP($D124,'Move Editor'!$B:$B,'Move Editor'!$D:$D,""),pow,XLOOKUP($D124,'Move Editor'!$B:$B,'Move Editor'!$E:$E,0),acc,XLOOKUP($D124,'Move Editor'!$B:$B,'Move Editor'!$F:$F,100),atk,IF(cat="Physical",FLOOR((FLOOR(((2*XLOOKUP(XLOOKUP($Q124,'Threshold Summary'!$Y:$Y,'Threshold Summary'!$K:$K,""),'Pokemon Editor'!$A:$A,'Pokemon Editor'!$F:$F,0)+31+FLOOR(XLOOKUP($Q124,'Threshold Summary'!$Y:$Y,'Threshold Summary'!$P:$P,"")/4))*XLOOKUP($Q124,'Threshold Summary'!$Y:$Y,'Threshold Summary'!$L:$L,""))/100)+5)*XLOOKUP(XLOOKUP($Q124,'Threshold Summary'!$Y:$Y,'Threshold Summary'!$M:$M,""),'Nature Editor'!$A:$A,'Nature Editor'!$B:$B,1)),FLOOR((FLOOR(((2*XLOOKUP(XLOOKUP($Q124,'Threshold Summary'!$Y:$Y,'Threshold Summary'!$K:$K,""),'Pokemon Editor'!$A:$A,'Pokemon Editor'!$H:$H,0)+31+FLOOR(XLOOKUP($Q124,'Threshold Summary'!$Y:$Y,'Threshold Summary'!$R:$R,"")/4))*XLOOKUP($Q124,'Threshold Summary'!$Y:$Y,'Threshold Summary'!$L:$L,""))/100)+5)*XLOOKUP(XLOOKUP($Q124,'Threshold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Editor'!$E:$E,1))),stab,IF(OR(mtype=XLOOKUP(XLOOKUP($Q124,'Threshold Summary'!$Y:$Y,'Threshold Summary'!$K:$K,""),'Pokemon Editor'!$A:$A,'Pokemon Editor'!$C:$C,""),mtype=XLOOKUP(XLOOKUP($Q124,'Threshold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Chart'!$B$1:$S$1,0)))),base,IF(OR(cat="Status",pow=0),0,FLOOR(FLOOR(FLOOR((2*XLOOKUP($Q124,'Threshold Summary'!$Y:$Y,'Threshold Summary'!$L:$L,"")/5+2)*pow*atk/def)/50)+2)),modifier,stab*eff,AVERAGE(ARRAYFORMULA(FLOOR(base*modifier*SEQUENCE(16,1,85,1)/100)))/(FLOOR(((2*XLOOKUP('Boss Editor'!$C$4,'Pokemon Editor'!$A:$A,'Pokemon Editor'!$E:$E,0)+31+FLOOR('Boss Editor'!$G$4/4))*'Boss Editor'!$D$4)/100)+'Boss Editor'!$D$4+10)),0)</f>
        <v/>
      </c>
      <c r="O124" s="3">
        <f>IF(N124&gt;=1,"OHKO",IF(N124&gt;=0.5,"2HKO",IF(N124&gt;=0.333,"3HKO",IF(N124&gt;=0.25,"4HKO","5HKO+"))))</f>
        <v/>
      </c>
      <c r="P124" s="3" t="inlineStr">
        <is>
          <t>Live from editable databases</t>
        </is>
      </c>
      <c r="Q124" s="3" t="inlineStr">
        <is>
          <t>SPECIES_TREECKO</t>
        </is>
      </c>
      <c r="R124" s="3" t="n">
        <v>27</v>
      </c>
    </row>
    <row r="125">
      <c r="A125" s="3">
        <f>XLOOKUP($Q125,'Threshold Summary'!$Y:$Y,'Threshold Summary'!$A:$A,"")</f>
        <v/>
      </c>
      <c r="B125" s="3">
        <f>XLOOKUP($Q125,'Threshold Summary'!$Y:$Y,'Threshold Summary'!$M:$M,"")</f>
        <v/>
      </c>
      <c r="C125" s="3">
        <f>XLOOKUP($Q125,'Threshold Summary'!$Y:$Y,'Threshold Summary'!$N:$N,"")</f>
        <v/>
      </c>
      <c r="D125" s="3">
        <f>IFERROR(INDEX(FILTER('Learnset Editor'!$D$2:$D,'Learnset Editor'!$A$2:$A=XLOOKUP($Q125,'Threshold Summary'!$Y:$Y,'Threshold Summary'!$K:$K,""),'Learnset Editor'!$C$2:$C&lt;=XLOOKUP($Q125,'Threshold Summary'!$Y:$Y,'Threshold Summary'!$L:$L,"")),$R125),"")</f>
        <v/>
      </c>
      <c r="E125" s="3">
        <f>XLOOKUP(D125,'Move Editor'!$B:$B,'Move Editor'!$C:$C,"")</f>
        <v/>
      </c>
      <c r="F125" s="3">
        <f>XLOOKUP(D125,'Move Editor'!$B:$B,'Move Editor'!$D:$D,"")</f>
        <v/>
      </c>
      <c r="G125" s="3">
        <f>XLOOKUP(D125,'Move Editor'!$B:$B,'Move Editor'!$E:$E,0)</f>
        <v/>
      </c>
      <c r="H125" s="3">
        <f>XLOOKUP(D125,'Move Editor'!$B:$B,'Move Editor'!$F:$F,0)</f>
        <v/>
      </c>
      <c r="I125" s="3">
        <f>(INDEX('Type Chart'!$B:$S,MATCH(E125,'Type Chart'!$A:$A,0),MATCH(XLOOKUP('Boss Editor'!$C$4,'Pokemon Editor'!$A:$A,'Pokemon Editor'!$C:$C,""),'Type Chart'!$B$1:$S$1,0))*IF(XLOOKUP('Boss Editor'!$C$4,'Pokemon Editor'!$A:$A,'Pokemon Editor'!$D:$D,"")="",1,INDEX('Type Chart'!$B:$S,MATCH(E125,'Type Chart'!$A:$A,0),MATCH(XLOOKUP('Boss Editor'!$C$4,'Pokemon Editor'!$A:$A,'Pokemon Editor'!$D:$D,""),'Type Chart'!$B$1:$S$1,0))))</f>
        <v/>
      </c>
      <c r="J125" s="3">
        <f>IFERROR(LET(mtype,XLOOKUP($D125,'Move Editor'!$B:$B,'Move Editor'!$C:$C,""),cat,XLOOKUP($D125,'Move Editor'!$B:$B,'Move Editor'!$D:$D,""),pow,XLOOKUP($D125,'Move Editor'!$B:$B,'Move Editor'!$E:$E,0),acc,XLOOKUP($D125,'Move Editor'!$B:$B,'Move Editor'!$F:$F,100),atk,IF(cat="Physical",FLOOR((FLOOR(((2*XLOOKUP(XLOOKUP($Q125,'Threshold Summary'!$Y:$Y,'Threshold Summary'!$K:$K,""),'Pokemon Editor'!$A:$A,'Pokemon Editor'!$F:$F,0)+31+FLOOR(XLOOKUP($Q125,'Threshold Summary'!$Y:$Y,'Threshold Summary'!$P:$P,"")/4))*XLOOKUP($Q125,'Threshold Summary'!$Y:$Y,'Threshold Summary'!$L:$L,""))/100)+5)*XLOOKUP(XLOOKUP($Q125,'Threshold Summary'!$Y:$Y,'Threshold Summary'!$M:$M,""),'Nature Editor'!$A:$A,'Nature Editor'!$B:$B,1)),FLOOR((FLOOR(((2*XLOOKUP(XLOOKUP($Q125,'Threshold Summary'!$Y:$Y,'Threshold Summary'!$K:$K,""),'Pokemon Editor'!$A:$A,'Pokemon Editor'!$H:$H,0)+31+FLOOR(XLOOKUP($Q125,'Threshold Summary'!$Y:$Y,'Threshold Summary'!$R:$R,"")/4))*XLOOKUP($Q125,'Threshold Summary'!$Y:$Y,'Threshold Summary'!$L:$L,""))/100)+5)*XLOOKUP(XLOOKUP($Q125,'Threshold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Editor'!$E:$E,1))),stab,IF(OR(mtype=XLOOKUP(XLOOKUP($Q125,'Threshold Summary'!$Y:$Y,'Threshold Summary'!$K:$K,""),'Pokemon Editor'!$A:$A,'Pokemon Editor'!$C:$C,""),mtype=XLOOKUP(XLOOKUP($Q125,'Threshold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Chart'!$B$1:$S$1,0)))),base,IF(OR(cat="Status",pow=0),0,FLOOR(FLOOR(FLOOR((2*XLOOKUP($Q125,'Threshold Summary'!$Y:$Y,'Threshold Summary'!$L:$L,"")/5+2)*pow*atk/def)/50)+2)),modifier,stab*eff,FLOOR(base*modifier*0.85)),0)</f>
        <v/>
      </c>
      <c r="K125" s="3">
        <f>IFERROR(LET(mtype,XLOOKUP($D125,'Move Editor'!$B:$B,'Move Editor'!$C:$C,""),cat,XLOOKUP($D125,'Move Editor'!$B:$B,'Move Editor'!$D:$D,""),pow,XLOOKUP($D125,'Move Editor'!$B:$B,'Move Editor'!$E:$E,0),acc,XLOOKUP($D125,'Move Editor'!$B:$B,'Move Editor'!$F:$F,100),atk,IF(cat="Physical",FLOOR((FLOOR(((2*XLOOKUP(XLOOKUP($Q125,'Threshold Summary'!$Y:$Y,'Threshold Summary'!$K:$K,""),'Pokemon Editor'!$A:$A,'Pokemon Editor'!$F:$F,0)+31+FLOOR(XLOOKUP($Q125,'Threshold Summary'!$Y:$Y,'Threshold Summary'!$P:$P,"")/4))*XLOOKUP($Q125,'Threshold Summary'!$Y:$Y,'Threshold Summary'!$L:$L,""))/100)+5)*XLOOKUP(XLOOKUP($Q125,'Threshold Summary'!$Y:$Y,'Threshold Summary'!$M:$M,""),'Nature Editor'!$A:$A,'Nature Editor'!$B:$B,1)),FLOOR((FLOOR(((2*XLOOKUP(XLOOKUP($Q125,'Threshold Summary'!$Y:$Y,'Threshold Summary'!$K:$K,""),'Pokemon Editor'!$A:$A,'Pokemon Editor'!$H:$H,0)+31+FLOOR(XLOOKUP($Q125,'Threshold Summary'!$Y:$Y,'Threshold Summary'!$R:$R,"")/4))*XLOOKUP($Q125,'Threshold Summary'!$Y:$Y,'Threshold Summary'!$L:$L,""))/100)+5)*XLOOKUP(XLOOKUP($Q125,'Threshold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Editor'!$E:$E,1))),stab,IF(OR(mtype=XLOOKUP(XLOOKUP($Q125,'Threshold Summary'!$Y:$Y,'Threshold Summary'!$K:$K,""),'Pokemon Editor'!$A:$A,'Pokemon Editor'!$C:$C,""),mtype=XLOOKUP(XLOOKUP($Q125,'Threshold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Chart'!$B$1:$S$1,0)))),base,IF(OR(cat="Status",pow=0),0,FLOOR(FLOOR(FLOOR((2*XLOOKUP($Q125,'Threshold Summary'!$Y:$Y,'Threshold Summary'!$L:$L,"")/5+2)*pow*atk/def)/50)+2)),modifier,stab*eff,FLOOR(base*modifier)),0)</f>
        <v/>
      </c>
      <c r="L125" s="3">
        <f>IFERROR(LET(mtype,XLOOKUP($D125,'Move Editor'!$B:$B,'Move Editor'!$C:$C,""),cat,XLOOKUP($D125,'Move Editor'!$B:$B,'Move Editor'!$D:$D,""),pow,XLOOKUP($D125,'Move Editor'!$B:$B,'Move Editor'!$E:$E,0),acc,XLOOKUP($D125,'Move Editor'!$B:$B,'Move Editor'!$F:$F,100),atk,IF(cat="Physical",FLOOR((FLOOR(((2*XLOOKUP(XLOOKUP($Q125,'Threshold Summary'!$Y:$Y,'Threshold Summary'!$K:$K,""),'Pokemon Editor'!$A:$A,'Pokemon Editor'!$F:$F,0)+31+FLOOR(XLOOKUP($Q125,'Threshold Summary'!$Y:$Y,'Threshold Summary'!$P:$P,"")/4))*XLOOKUP($Q125,'Threshold Summary'!$Y:$Y,'Threshold Summary'!$L:$L,""))/100)+5)*XLOOKUP(XLOOKUP($Q125,'Threshold Summary'!$Y:$Y,'Threshold Summary'!$M:$M,""),'Nature Editor'!$A:$A,'Nature Editor'!$B:$B,1)),FLOOR((FLOOR(((2*XLOOKUP(XLOOKUP($Q125,'Threshold Summary'!$Y:$Y,'Threshold Summary'!$K:$K,""),'Pokemon Editor'!$A:$A,'Pokemon Editor'!$H:$H,0)+31+FLOOR(XLOOKUP($Q125,'Threshold Summary'!$Y:$Y,'Threshold Summary'!$R:$R,"")/4))*XLOOKUP($Q125,'Threshold Summary'!$Y:$Y,'Threshold Summary'!$L:$L,""))/100)+5)*XLOOKUP(XLOOKUP($Q125,'Threshold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Editor'!$E:$E,1))),stab,IF(OR(mtype=XLOOKUP(XLOOKUP($Q125,'Threshold Summary'!$Y:$Y,'Threshold Summary'!$K:$K,""),'Pokemon Editor'!$A:$A,'Pokemon Editor'!$C:$C,""),mtype=XLOOKUP(XLOOKUP($Q125,'Threshold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Chart'!$B$1:$S$1,0)))),base,IF(OR(cat="Status",pow=0),0,FLOOR(FLOOR(FLOOR((2*XLOOKUP($Q125,'Threshold Summary'!$Y:$Y,'Threshold Summary'!$L:$L,"")/5+2)*pow*atk/def)/50)+2)),modifier,stab*eff,AVERAGE(ARRAYFORMULA(FLOOR(base*modifier*SEQUENCE(16,1,85,1)/100)))),0)</f>
        <v/>
      </c>
      <c r="M125" s="3">
        <f>IFERROR(LET(mtype,XLOOKUP($D125,'Move Editor'!$B:$B,'Move Editor'!$C:$C,""),cat,XLOOKUP($D125,'Move Editor'!$B:$B,'Move Editor'!$D:$D,""),pow,XLOOKUP($D125,'Move Editor'!$B:$B,'Move Editor'!$E:$E,0),acc,XLOOKUP($D125,'Move Editor'!$B:$B,'Move Editor'!$F:$F,100),atk,IF(cat="Physical",FLOOR((FLOOR(((2*XLOOKUP(XLOOKUP($Q125,'Threshold Summary'!$Y:$Y,'Threshold Summary'!$K:$K,""),'Pokemon Editor'!$A:$A,'Pokemon Editor'!$F:$F,0)+31+FLOOR(XLOOKUP($Q125,'Threshold Summary'!$Y:$Y,'Threshold Summary'!$P:$P,"")/4))*XLOOKUP($Q125,'Threshold Summary'!$Y:$Y,'Threshold Summary'!$L:$L,""))/100)+5)*XLOOKUP(XLOOKUP($Q125,'Threshold Summary'!$Y:$Y,'Threshold Summary'!$M:$M,""),'Nature Editor'!$A:$A,'Nature Editor'!$B:$B,1)),FLOOR((FLOOR(((2*XLOOKUP(XLOOKUP($Q125,'Threshold Summary'!$Y:$Y,'Threshold Summary'!$K:$K,""),'Pokemon Editor'!$A:$A,'Pokemon Editor'!$H:$H,0)+31+FLOOR(XLOOKUP($Q125,'Threshold Summary'!$Y:$Y,'Threshold Summary'!$R:$R,"")/4))*XLOOKUP($Q125,'Threshold Summary'!$Y:$Y,'Threshold Summary'!$L:$L,""))/100)+5)*XLOOKUP(XLOOKUP($Q125,'Threshold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Editor'!$E:$E,1))),stab,IF(OR(mtype=XLOOKUP(XLOOKUP($Q125,'Threshold Summary'!$Y:$Y,'Threshold Summary'!$K:$K,""),'Pokemon Editor'!$A:$A,'Pokemon Editor'!$C:$C,""),mtype=XLOOKUP(XLOOKUP($Q125,'Threshold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Chart'!$B$1:$S$1,0)))),base,IF(OR(cat="Status",pow=0),0,FLOOR(FLOOR(FLOOR((2*XLOOKUP($Q125,'Threshold Summary'!$Y:$Y,'Threshold Summary'!$L:$L,"")/5+2)*pow*atk/def)/50)+2)),modifier,stab*eff,AVERAGE(ARRAYFORMULA(FLOOR(base*modifier*SEQUENCE(16,1,85,1)/100)))*MIN(1,acc/100)),0)</f>
        <v/>
      </c>
      <c r="N125" s="4">
        <f>IFERROR(LET(mtype,XLOOKUP($D125,'Move Editor'!$B:$B,'Move Editor'!$C:$C,""),cat,XLOOKUP($D125,'Move Editor'!$B:$B,'Move Editor'!$D:$D,""),pow,XLOOKUP($D125,'Move Editor'!$B:$B,'Move Editor'!$E:$E,0),acc,XLOOKUP($D125,'Move Editor'!$B:$B,'Move Editor'!$F:$F,100),atk,IF(cat="Physical",FLOOR((FLOOR(((2*XLOOKUP(XLOOKUP($Q125,'Threshold Summary'!$Y:$Y,'Threshold Summary'!$K:$K,""),'Pokemon Editor'!$A:$A,'Pokemon Editor'!$F:$F,0)+31+FLOOR(XLOOKUP($Q125,'Threshold Summary'!$Y:$Y,'Threshold Summary'!$P:$P,"")/4))*XLOOKUP($Q125,'Threshold Summary'!$Y:$Y,'Threshold Summary'!$L:$L,""))/100)+5)*XLOOKUP(XLOOKUP($Q125,'Threshold Summary'!$Y:$Y,'Threshold Summary'!$M:$M,""),'Nature Editor'!$A:$A,'Nature Editor'!$B:$B,1)),FLOOR((FLOOR(((2*XLOOKUP(XLOOKUP($Q125,'Threshold Summary'!$Y:$Y,'Threshold Summary'!$K:$K,""),'Pokemon Editor'!$A:$A,'Pokemon Editor'!$H:$H,0)+31+FLOOR(XLOOKUP($Q125,'Threshold Summary'!$Y:$Y,'Threshold Summary'!$R:$R,"")/4))*XLOOKUP($Q125,'Threshold Summary'!$Y:$Y,'Threshold Summary'!$L:$L,""))/100)+5)*XLOOKUP(XLOOKUP($Q125,'Threshold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Editor'!$E:$E,1))),stab,IF(OR(mtype=XLOOKUP(XLOOKUP($Q125,'Threshold Summary'!$Y:$Y,'Threshold Summary'!$K:$K,""),'Pokemon Editor'!$A:$A,'Pokemon Editor'!$C:$C,""),mtype=XLOOKUP(XLOOKUP($Q125,'Threshold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Chart'!$B$1:$S$1,0)))),base,IF(OR(cat="Status",pow=0),0,FLOOR(FLOOR(FLOOR((2*XLOOKUP($Q125,'Threshold Summary'!$Y:$Y,'Threshold Summary'!$L:$L,"")/5+2)*pow*atk/def)/50)+2)),modifier,stab*eff,AVERAGE(ARRAYFORMULA(FLOOR(base*modifier*SEQUENCE(16,1,85,1)/100)))/(FLOOR(((2*XLOOKUP('Boss Editor'!$C$4,'Pokemon Editor'!$A:$A,'Pokemon Editor'!$E:$E,0)+31+FLOOR('Boss Editor'!$G$4/4))*'Boss Editor'!$D$4)/100)+'Boss Editor'!$D$4+10)),0)</f>
        <v/>
      </c>
      <c r="O125" s="3">
        <f>IF(N125&gt;=1,"OHKO",IF(N125&gt;=0.5,"2HKO",IF(N125&gt;=0.333,"3HKO",IF(N125&gt;=0.25,"4HKO","5HKO+"))))</f>
        <v/>
      </c>
      <c r="P125" s="3" t="inlineStr">
        <is>
          <t>Live from editable databases</t>
        </is>
      </c>
      <c r="Q125" s="3" t="inlineStr">
        <is>
          <t>SPECIES_TREECKO</t>
        </is>
      </c>
      <c r="R125" s="3" t="n">
        <v>28</v>
      </c>
    </row>
    <row r="126">
      <c r="A126" s="3">
        <f>XLOOKUP($Q126,'Threshold Summary'!$Y:$Y,'Threshold Summary'!$A:$A,"")</f>
        <v/>
      </c>
      <c r="B126" s="3">
        <f>XLOOKUP($Q126,'Threshold Summary'!$Y:$Y,'Threshold Summary'!$M:$M,"")</f>
        <v/>
      </c>
      <c r="C126" s="3">
        <f>XLOOKUP($Q126,'Threshold Summary'!$Y:$Y,'Threshold Summary'!$N:$N,"")</f>
        <v/>
      </c>
      <c r="D126" s="3">
        <f>IFERROR(INDEX(FILTER('Learnset Editor'!$D$2:$D,'Learnset Editor'!$A$2:$A=XLOOKUP($Q126,'Threshold Summary'!$Y:$Y,'Threshold Summary'!$K:$K,""),'Learnset Editor'!$C$2:$C&lt;=XLOOKUP($Q126,'Threshold Summary'!$Y:$Y,'Threshold Summary'!$L:$L,"")),$R126),"")</f>
        <v/>
      </c>
      <c r="E126" s="3">
        <f>XLOOKUP(D126,'Move Editor'!$B:$B,'Move Editor'!$C:$C,"")</f>
        <v/>
      </c>
      <c r="F126" s="3">
        <f>XLOOKUP(D126,'Move Editor'!$B:$B,'Move Editor'!$D:$D,"")</f>
        <v/>
      </c>
      <c r="G126" s="3">
        <f>XLOOKUP(D126,'Move Editor'!$B:$B,'Move Editor'!$E:$E,0)</f>
        <v/>
      </c>
      <c r="H126" s="3">
        <f>XLOOKUP(D126,'Move Editor'!$B:$B,'Move Editor'!$F:$F,0)</f>
        <v/>
      </c>
      <c r="I126" s="3">
        <f>(INDEX('Type Chart'!$B:$S,MATCH(E126,'Type Chart'!$A:$A,0),MATCH(XLOOKUP('Boss Editor'!$C$4,'Pokemon Editor'!$A:$A,'Pokemon Editor'!$C:$C,""),'Type Chart'!$B$1:$S$1,0))*IF(XLOOKUP('Boss Editor'!$C$4,'Pokemon Editor'!$A:$A,'Pokemon Editor'!$D:$D,"")="",1,INDEX('Type Chart'!$B:$S,MATCH(E126,'Type Chart'!$A:$A,0),MATCH(XLOOKUP('Boss Editor'!$C$4,'Pokemon Editor'!$A:$A,'Pokemon Editor'!$D:$D,""),'Type Chart'!$B$1:$S$1,0))))</f>
        <v/>
      </c>
      <c r="J126" s="3">
        <f>IFERROR(LET(mtype,XLOOKUP($D126,'Move Editor'!$B:$B,'Move Editor'!$C:$C,""),cat,XLOOKUP($D126,'Move Editor'!$B:$B,'Move Editor'!$D:$D,""),pow,XLOOKUP($D126,'Move Editor'!$B:$B,'Move Editor'!$E:$E,0),acc,XLOOKUP($D126,'Move Editor'!$B:$B,'Move Editor'!$F:$F,100),atk,IF(cat="Physical",FLOOR((FLOOR(((2*XLOOKUP(XLOOKUP($Q126,'Threshold Summary'!$Y:$Y,'Threshold Summary'!$K:$K,""),'Pokemon Editor'!$A:$A,'Pokemon Editor'!$F:$F,0)+31+FLOOR(XLOOKUP($Q126,'Threshold Summary'!$Y:$Y,'Threshold Summary'!$P:$P,"")/4))*XLOOKUP($Q126,'Threshold Summary'!$Y:$Y,'Threshold Summary'!$L:$L,""))/100)+5)*XLOOKUP(XLOOKUP($Q126,'Threshold Summary'!$Y:$Y,'Threshold Summary'!$M:$M,""),'Nature Editor'!$A:$A,'Nature Editor'!$B:$B,1)),FLOOR((FLOOR(((2*XLOOKUP(XLOOKUP($Q126,'Threshold Summary'!$Y:$Y,'Threshold Summary'!$K:$K,""),'Pokemon Editor'!$A:$A,'Pokemon Editor'!$H:$H,0)+31+FLOOR(XLOOKUP($Q126,'Threshold Summary'!$Y:$Y,'Threshold Summary'!$R:$R,"")/4))*XLOOKUP($Q126,'Threshold Summary'!$Y:$Y,'Threshold Summary'!$L:$L,""))/100)+5)*XLOOKUP(XLOOKUP($Q126,'Threshold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Editor'!$E:$E,1))),stab,IF(OR(mtype=XLOOKUP(XLOOKUP($Q126,'Threshold Summary'!$Y:$Y,'Threshold Summary'!$K:$K,""),'Pokemon Editor'!$A:$A,'Pokemon Editor'!$C:$C,""),mtype=XLOOKUP(XLOOKUP($Q126,'Threshold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Chart'!$B$1:$S$1,0)))),base,IF(OR(cat="Status",pow=0),0,FLOOR(FLOOR(FLOOR((2*XLOOKUP($Q126,'Threshold Summary'!$Y:$Y,'Threshold Summary'!$L:$L,"")/5+2)*pow*atk/def)/50)+2)),modifier,stab*eff,FLOOR(base*modifier*0.85)),0)</f>
        <v/>
      </c>
      <c r="K126" s="3">
        <f>IFERROR(LET(mtype,XLOOKUP($D126,'Move Editor'!$B:$B,'Move Editor'!$C:$C,""),cat,XLOOKUP($D126,'Move Editor'!$B:$B,'Move Editor'!$D:$D,""),pow,XLOOKUP($D126,'Move Editor'!$B:$B,'Move Editor'!$E:$E,0),acc,XLOOKUP($D126,'Move Editor'!$B:$B,'Move Editor'!$F:$F,100),atk,IF(cat="Physical",FLOOR((FLOOR(((2*XLOOKUP(XLOOKUP($Q126,'Threshold Summary'!$Y:$Y,'Threshold Summary'!$K:$K,""),'Pokemon Editor'!$A:$A,'Pokemon Editor'!$F:$F,0)+31+FLOOR(XLOOKUP($Q126,'Threshold Summary'!$Y:$Y,'Threshold Summary'!$P:$P,"")/4))*XLOOKUP($Q126,'Threshold Summary'!$Y:$Y,'Threshold Summary'!$L:$L,""))/100)+5)*XLOOKUP(XLOOKUP($Q126,'Threshold Summary'!$Y:$Y,'Threshold Summary'!$M:$M,""),'Nature Editor'!$A:$A,'Nature Editor'!$B:$B,1)),FLOOR((FLOOR(((2*XLOOKUP(XLOOKUP($Q126,'Threshold Summary'!$Y:$Y,'Threshold Summary'!$K:$K,""),'Pokemon Editor'!$A:$A,'Pokemon Editor'!$H:$H,0)+31+FLOOR(XLOOKUP($Q126,'Threshold Summary'!$Y:$Y,'Threshold Summary'!$R:$R,"")/4))*XLOOKUP($Q126,'Threshold Summary'!$Y:$Y,'Threshold Summary'!$L:$L,""))/100)+5)*XLOOKUP(XLOOKUP($Q126,'Threshold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Editor'!$E:$E,1))),stab,IF(OR(mtype=XLOOKUP(XLOOKUP($Q126,'Threshold Summary'!$Y:$Y,'Threshold Summary'!$K:$K,""),'Pokemon Editor'!$A:$A,'Pokemon Editor'!$C:$C,""),mtype=XLOOKUP(XLOOKUP($Q126,'Threshold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Chart'!$B$1:$S$1,0)))),base,IF(OR(cat="Status",pow=0),0,FLOOR(FLOOR(FLOOR((2*XLOOKUP($Q126,'Threshold Summary'!$Y:$Y,'Threshold Summary'!$L:$L,"")/5+2)*pow*atk/def)/50)+2)),modifier,stab*eff,FLOOR(base*modifier)),0)</f>
        <v/>
      </c>
      <c r="L126" s="3">
        <f>IFERROR(LET(mtype,XLOOKUP($D126,'Move Editor'!$B:$B,'Move Editor'!$C:$C,""),cat,XLOOKUP($D126,'Move Editor'!$B:$B,'Move Editor'!$D:$D,""),pow,XLOOKUP($D126,'Move Editor'!$B:$B,'Move Editor'!$E:$E,0),acc,XLOOKUP($D126,'Move Editor'!$B:$B,'Move Editor'!$F:$F,100),atk,IF(cat="Physical",FLOOR((FLOOR(((2*XLOOKUP(XLOOKUP($Q126,'Threshold Summary'!$Y:$Y,'Threshold Summary'!$K:$K,""),'Pokemon Editor'!$A:$A,'Pokemon Editor'!$F:$F,0)+31+FLOOR(XLOOKUP($Q126,'Threshold Summary'!$Y:$Y,'Threshold Summary'!$P:$P,"")/4))*XLOOKUP($Q126,'Threshold Summary'!$Y:$Y,'Threshold Summary'!$L:$L,""))/100)+5)*XLOOKUP(XLOOKUP($Q126,'Threshold Summary'!$Y:$Y,'Threshold Summary'!$M:$M,""),'Nature Editor'!$A:$A,'Nature Editor'!$B:$B,1)),FLOOR((FLOOR(((2*XLOOKUP(XLOOKUP($Q126,'Threshold Summary'!$Y:$Y,'Threshold Summary'!$K:$K,""),'Pokemon Editor'!$A:$A,'Pokemon Editor'!$H:$H,0)+31+FLOOR(XLOOKUP($Q126,'Threshold Summary'!$Y:$Y,'Threshold Summary'!$R:$R,"")/4))*XLOOKUP($Q126,'Threshold Summary'!$Y:$Y,'Threshold Summary'!$L:$L,""))/100)+5)*XLOOKUP(XLOOKUP($Q126,'Threshold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Editor'!$E:$E,1))),stab,IF(OR(mtype=XLOOKUP(XLOOKUP($Q126,'Threshold Summary'!$Y:$Y,'Threshold Summary'!$K:$K,""),'Pokemon Editor'!$A:$A,'Pokemon Editor'!$C:$C,""),mtype=XLOOKUP(XLOOKUP($Q126,'Threshold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Chart'!$B$1:$S$1,0)))),base,IF(OR(cat="Status",pow=0),0,FLOOR(FLOOR(FLOOR((2*XLOOKUP($Q126,'Threshold Summary'!$Y:$Y,'Threshold Summary'!$L:$L,"")/5+2)*pow*atk/def)/50)+2)),modifier,stab*eff,AVERAGE(ARRAYFORMULA(FLOOR(base*modifier*SEQUENCE(16,1,85,1)/100)))),0)</f>
        <v/>
      </c>
      <c r="M126" s="3">
        <f>IFERROR(LET(mtype,XLOOKUP($D126,'Move Editor'!$B:$B,'Move Editor'!$C:$C,""),cat,XLOOKUP($D126,'Move Editor'!$B:$B,'Move Editor'!$D:$D,""),pow,XLOOKUP($D126,'Move Editor'!$B:$B,'Move Editor'!$E:$E,0),acc,XLOOKUP($D126,'Move Editor'!$B:$B,'Move Editor'!$F:$F,100),atk,IF(cat="Physical",FLOOR((FLOOR(((2*XLOOKUP(XLOOKUP($Q126,'Threshold Summary'!$Y:$Y,'Threshold Summary'!$K:$K,""),'Pokemon Editor'!$A:$A,'Pokemon Editor'!$F:$F,0)+31+FLOOR(XLOOKUP($Q126,'Threshold Summary'!$Y:$Y,'Threshold Summary'!$P:$P,"")/4))*XLOOKUP($Q126,'Threshold Summary'!$Y:$Y,'Threshold Summary'!$L:$L,""))/100)+5)*XLOOKUP(XLOOKUP($Q126,'Threshold Summary'!$Y:$Y,'Threshold Summary'!$M:$M,""),'Nature Editor'!$A:$A,'Nature Editor'!$B:$B,1)),FLOOR((FLOOR(((2*XLOOKUP(XLOOKUP($Q126,'Threshold Summary'!$Y:$Y,'Threshold Summary'!$K:$K,""),'Pokemon Editor'!$A:$A,'Pokemon Editor'!$H:$H,0)+31+FLOOR(XLOOKUP($Q126,'Threshold Summary'!$Y:$Y,'Threshold Summary'!$R:$R,"")/4))*XLOOKUP($Q126,'Threshold Summary'!$Y:$Y,'Threshold Summary'!$L:$L,""))/100)+5)*XLOOKUP(XLOOKUP($Q126,'Threshold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Editor'!$E:$E,1))),stab,IF(OR(mtype=XLOOKUP(XLOOKUP($Q126,'Threshold Summary'!$Y:$Y,'Threshold Summary'!$K:$K,""),'Pokemon Editor'!$A:$A,'Pokemon Editor'!$C:$C,""),mtype=XLOOKUP(XLOOKUP($Q126,'Threshold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Chart'!$B$1:$S$1,0)))),base,IF(OR(cat="Status",pow=0),0,FLOOR(FLOOR(FLOOR((2*XLOOKUP($Q126,'Threshold Summary'!$Y:$Y,'Threshold Summary'!$L:$L,"")/5+2)*pow*atk/def)/50)+2)),modifier,stab*eff,AVERAGE(ARRAYFORMULA(FLOOR(base*modifier*SEQUENCE(16,1,85,1)/100)))*MIN(1,acc/100)),0)</f>
        <v/>
      </c>
      <c r="N126" s="4">
        <f>IFERROR(LET(mtype,XLOOKUP($D126,'Move Editor'!$B:$B,'Move Editor'!$C:$C,""),cat,XLOOKUP($D126,'Move Editor'!$B:$B,'Move Editor'!$D:$D,""),pow,XLOOKUP($D126,'Move Editor'!$B:$B,'Move Editor'!$E:$E,0),acc,XLOOKUP($D126,'Move Editor'!$B:$B,'Move Editor'!$F:$F,100),atk,IF(cat="Physical",FLOOR((FLOOR(((2*XLOOKUP(XLOOKUP($Q126,'Threshold Summary'!$Y:$Y,'Threshold Summary'!$K:$K,""),'Pokemon Editor'!$A:$A,'Pokemon Editor'!$F:$F,0)+31+FLOOR(XLOOKUP($Q126,'Threshold Summary'!$Y:$Y,'Threshold Summary'!$P:$P,"")/4))*XLOOKUP($Q126,'Threshold Summary'!$Y:$Y,'Threshold Summary'!$L:$L,""))/100)+5)*XLOOKUP(XLOOKUP($Q126,'Threshold Summary'!$Y:$Y,'Threshold Summary'!$M:$M,""),'Nature Editor'!$A:$A,'Nature Editor'!$B:$B,1)),FLOOR((FLOOR(((2*XLOOKUP(XLOOKUP($Q126,'Threshold Summary'!$Y:$Y,'Threshold Summary'!$K:$K,""),'Pokemon Editor'!$A:$A,'Pokemon Editor'!$H:$H,0)+31+FLOOR(XLOOKUP($Q126,'Threshold Summary'!$Y:$Y,'Threshold Summary'!$R:$R,"")/4))*XLOOKUP($Q126,'Threshold Summary'!$Y:$Y,'Threshold Summary'!$L:$L,""))/100)+5)*XLOOKUP(XLOOKUP($Q126,'Threshold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Editor'!$E:$E,1))),stab,IF(OR(mtype=XLOOKUP(XLOOKUP($Q126,'Threshold Summary'!$Y:$Y,'Threshold Summary'!$K:$K,""),'Pokemon Editor'!$A:$A,'Pokemon Editor'!$C:$C,""),mtype=XLOOKUP(XLOOKUP($Q126,'Threshold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Chart'!$B$1:$S$1,0)))),base,IF(OR(cat="Status",pow=0),0,FLOOR(FLOOR(FLOOR((2*XLOOKUP($Q126,'Threshold Summary'!$Y:$Y,'Threshold Summary'!$L:$L,"")/5+2)*pow*atk/def)/50)+2)),modifier,stab*eff,AVERAGE(ARRAYFORMULA(FLOOR(base*modifier*SEQUENCE(16,1,85,1)/100)))/(FLOOR(((2*XLOOKUP('Boss Editor'!$C$4,'Pokemon Editor'!$A:$A,'Pokemon Editor'!$E:$E,0)+31+FLOOR('Boss Editor'!$G$4/4))*'Boss Editor'!$D$4)/100)+'Boss Editor'!$D$4+10)),0)</f>
        <v/>
      </c>
      <c r="O126" s="3">
        <f>IF(N126&gt;=1,"OHKO",IF(N126&gt;=0.5,"2HKO",IF(N126&gt;=0.333,"3HKO",IF(N126&gt;=0.25,"4HKO","5HKO+"))))</f>
        <v/>
      </c>
      <c r="P126" s="3" t="inlineStr">
        <is>
          <t>Live from editable databases</t>
        </is>
      </c>
      <c r="Q126" s="3" t="inlineStr">
        <is>
          <t>SPECIES_TREECKO</t>
        </is>
      </c>
      <c r="R126" s="3" t="n">
        <v>29</v>
      </c>
    </row>
    <row r="127">
      <c r="A127" s="3">
        <f>XLOOKUP($Q127,'Threshold Summary'!$Y:$Y,'Threshold Summary'!$A:$A,"")</f>
        <v/>
      </c>
      <c r="B127" s="3">
        <f>XLOOKUP($Q127,'Threshold Summary'!$Y:$Y,'Threshold Summary'!$M:$M,"")</f>
        <v/>
      </c>
      <c r="C127" s="3">
        <f>XLOOKUP($Q127,'Threshold Summary'!$Y:$Y,'Threshold Summary'!$N:$N,"")</f>
        <v/>
      </c>
      <c r="D127" s="3">
        <f>IFERROR(INDEX(FILTER('Learnset Editor'!$D$2:$D,'Learnset Editor'!$A$2:$A=XLOOKUP($Q127,'Threshold Summary'!$Y:$Y,'Threshold Summary'!$K:$K,""),'Learnset Editor'!$C$2:$C&lt;=XLOOKUP($Q127,'Threshold Summary'!$Y:$Y,'Threshold Summary'!$L:$L,"")),$R127),"")</f>
        <v/>
      </c>
      <c r="E127" s="3">
        <f>XLOOKUP(D127,'Move Editor'!$B:$B,'Move Editor'!$C:$C,"")</f>
        <v/>
      </c>
      <c r="F127" s="3">
        <f>XLOOKUP(D127,'Move Editor'!$B:$B,'Move Editor'!$D:$D,"")</f>
        <v/>
      </c>
      <c r="G127" s="3">
        <f>XLOOKUP(D127,'Move Editor'!$B:$B,'Move Editor'!$E:$E,0)</f>
        <v/>
      </c>
      <c r="H127" s="3">
        <f>XLOOKUP(D127,'Move Editor'!$B:$B,'Move Editor'!$F:$F,0)</f>
        <v/>
      </c>
      <c r="I127" s="3">
        <f>(INDEX('Type Chart'!$B:$S,MATCH(E127,'Type Chart'!$A:$A,0),MATCH(XLOOKUP('Boss Editor'!$C$4,'Pokemon Editor'!$A:$A,'Pokemon Editor'!$C:$C,""),'Type Chart'!$B$1:$S$1,0))*IF(XLOOKUP('Boss Editor'!$C$4,'Pokemon Editor'!$A:$A,'Pokemon Editor'!$D:$D,"")="",1,INDEX('Type Chart'!$B:$S,MATCH(E127,'Type Chart'!$A:$A,0),MATCH(XLOOKUP('Boss Editor'!$C$4,'Pokemon Editor'!$A:$A,'Pokemon Editor'!$D:$D,""),'Type Chart'!$B$1:$S$1,0))))</f>
        <v/>
      </c>
      <c r="J127" s="3">
        <f>IFERROR(LET(mtype,XLOOKUP($D127,'Move Editor'!$B:$B,'Move Editor'!$C:$C,""),cat,XLOOKUP($D127,'Move Editor'!$B:$B,'Move Editor'!$D:$D,""),pow,XLOOKUP($D127,'Move Editor'!$B:$B,'Move Editor'!$E:$E,0),acc,XLOOKUP($D127,'Move Editor'!$B:$B,'Move Editor'!$F:$F,100),atk,IF(cat="Physical",FLOOR((FLOOR(((2*XLOOKUP(XLOOKUP($Q127,'Threshold Summary'!$Y:$Y,'Threshold Summary'!$K:$K,""),'Pokemon Editor'!$A:$A,'Pokemon Editor'!$F:$F,0)+31+FLOOR(XLOOKUP($Q127,'Threshold Summary'!$Y:$Y,'Threshold Summary'!$P:$P,"")/4))*XLOOKUP($Q127,'Threshold Summary'!$Y:$Y,'Threshold Summary'!$L:$L,""))/100)+5)*XLOOKUP(XLOOKUP($Q127,'Threshold Summary'!$Y:$Y,'Threshold Summary'!$M:$M,""),'Nature Editor'!$A:$A,'Nature Editor'!$B:$B,1)),FLOOR((FLOOR(((2*XLOOKUP(XLOOKUP($Q127,'Threshold Summary'!$Y:$Y,'Threshold Summary'!$K:$K,""),'Pokemon Editor'!$A:$A,'Pokemon Editor'!$H:$H,0)+31+FLOOR(XLOOKUP($Q127,'Threshold Summary'!$Y:$Y,'Threshold Summary'!$R:$R,"")/4))*XLOOKUP($Q127,'Threshold Summary'!$Y:$Y,'Threshold Summary'!$L:$L,""))/100)+5)*XLOOKUP(XLOOKUP($Q127,'Threshold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Editor'!$E:$E,1))),stab,IF(OR(mtype=XLOOKUP(XLOOKUP($Q127,'Threshold Summary'!$Y:$Y,'Threshold Summary'!$K:$K,""),'Pokemon Editor'!$A:$A,'Pokemon Editor'!$C:$C,""),mtype=XLOOKUP(XLOOKUP($Q127,'Threshold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Chart'!$B$1:$S$1,0)))),base,IF(OR(cat="Status",pow=0),0,FLOOR(FLOOR(FLOOR((2*XLOOKUP($Q127,'Threshold Summary'!$Y:$Y,'Threshold Summary'!$L:$L,"")/5+2)*pow*atk/def)/50)+2)),modifier,stab*eff,FLOOR(base*modifier*0.85)),0)</f>
        <v/>
      </c>
      <c r="K127" s="3">
        <f>IFERROR(LET(mtype,XLOOKUP($D127,'Move Editor'!$B:$B,'Move Editor'!$C:$C,""),cat,XLOOKUP($D127,'Move Editor'!$B:$B,'Move Editor'!$D:$D,""),pow,XLOOKUP($D127,'Move Editor'!$B:$B,'Move Editor'!$E:$E,0),acc,XLOOKUP($D127,'Move Editor'!$B:$B,'Move Editor'!$F:$F,100),atk,IF(cat="Physical",FLOOR((FLOOR(((2*XLOOKUP(XLOOKUP($Q127,'Threshold Summary'!$Y:$Y,'Threshold Summary'!$K:$K,""),'Pokemon Editor'!$A:$A,'Pokemon Editor'!$F:$F,0)+31+FLOOR(XLOOKUP($Q127,'Threshold Summary'!$Y:$Y,'Threshold Summary'!$P:$P,"")/4))*XLOOKUP($Q127,'Threshold Summary'!$Y:$Y,'Threshold Summary'!$L:$L,""))/100)+5)*XLOOKUP(XLOOKUP($Q127,'Threshold Summary'!$Y:$Y,'Threshold Summary'!$M:$M,""),'Nature Editor'!$A:$A,'Nature Editor'!$B:$B,1)),FLOOR((FLOOR(((2*XLOOKUP(XLOOKUP($Q127,'Threshold Summary'!$Y:$Y,'Threshold Summary'!$K:$K,""),'Pokemon Editor'!$A:$A,'Pokemon Editor'!$H:$H,0)+31+FLOOR(XLOOKUP($Q127,'Threshold Summary'!$Y:$Y,'Threshold Summary'!$R:$R,"")/4))*XLOOKUP($Q127,'Threshold Summary'!$Y:$Y,'Threshold Summary'!$L:$L,""))/100)+5)*XLOOKUP(XLOOKUP($Q127,'Threshold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Editor'!$E:$E,1))),stab,IF(OR(mtype=XLOOKUP(XLOOKUP($Q127,'Threshold Summary'!$Y:$Y,'Threshold Summary'!$K:$K,""),'Pokemon Editor'!$A:$A,'Pokemon Editor'!$C:$C,""),mtype=XLOOKUP(XLOOKUP($Q127,'Threshold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Chart'!$B$1:$S$1,0)))),base,IF(OR(cat="Status",pow=0),0,FLOOR(FLOOR(FLOOR((2*XLOOKUP($Q127,'Threshold Summary'!$Y:$Y,'Threshold Summary'!$L:$L,"")/5+2)*pow*atk/def)/50)+2)),modifier,stab*eff,FLOOR(base*modifier)),0)</f>
        <v/>
      </c>
      <c r="L127" s="3">
        <f>IFERROR(LET(mtype,XLOOKUP($D127,'Move Editor'!$B:$B,'Move Editor'!$C:$C,""),cat,XLOOKUP($D127,'Move Editor'!$B:$B,'Move Editor'!$D:$D,""),pow,XLOOKUP($D127,'Move Editor'!$B:$B,'Move Editor'!$E:$E,0),acc,XLOOKUP($D127,'Move Editor'!$B:$B,'Move Editor'!$F:$F,100),atk,IF(cat="Physical",FLOOR((FLOOR(((2*XLOOKUP(XLOOKUP($Q127,'Threshold Summary'!$Y:$Y,'Threshold Summary'!$K:$K,""),'Pokemon Editor'!$A:$A,'Pokemon Editor'!$F:$F,0)+31+FLOOR(XLOOKUP($Q127,'Threshold Summary'!$Y:$Y,'Threshold Summary'!$P:$P,"")/4))*XLOOKUP($Q127,'Threshold Summary'!$Y:$Y,'Threshold Summary'!$L:$L,""))/100)+5)*XLOOKUP(XLOOKUP($Q127,'Threshold Summary'!$Y:$Y,'Threshold Summary'!$M:$M,""),'Nature Editor'!$A:$A,'Nature Editor'!$B:$B,1)),FLOOR((FLOOR(((2*XLOOKUP(XLOOKUP($Q127,'Threshold Summary'!$Y:$Y,'Threshold Summary'!$K:$K,""),'Pokemon Editor'!$A:$A,'Pokemon Editor'!$H:$H,0)+31+FLOOR(XLOOKUP($Q127,'Threshold Summary'!$Y:$Y,'Threshold Summary'!$R:$R,"")/4))*XLOOKUP($Q127,'Threshold Summary'!$Y:$Y,'Threshold Summary'!$L:$L,""))/100)+5)*XLOOKUP(XLOOKUP($Q127,'Threshold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Editor'!$E:$E,1))),stab,IF(OR(mtype=XLOOKUP(XLOOKUP($Q127,'Threshold Summary'!$Y:$Y,'Threshold Summary'!$K:$K,""),'Pokemon Editor'!$A:$A,'Pokemon Editor'!$C:$C,""),mtype=XLOOKUP(XLOOKUP($Q127,'Threshold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Chart'!$B$1:$S$1,0)))),base,IF(OR(cat="Status",pow=0),0,FLOOR(FLOOR(FLOOR((2*XLOOKUP($Q127,'Threshold Summary'!$Y:$Y,'Threshold Summary'!$L:$L,"")/5+2)*pow*atk/def)/50)+2)),modifier,stab*eff,AVERAGE(ARRAYFORMULA(FLOOR(base*modifier*SEQUENCE(16,1,85,1)/100)))),0)</f>
        <v/>
      </c>
      <c r="M127" s="3">
        <f>IFERROR(LET(mtype,XLOOKUP($D127,'Move Editor'!$B:$B,'Move Editor'!$C:$C,""),cat,XLOOKUP($D127,'Move Editor'!$B:$B,'Move Editor'!$D:$D,""),pow,XLOOKUP($D127,'Move Editor'!$B:$B,'Move Editor'!$E:$E,0),acc,XLOOKUP($D127,'Move Editor'!$B:$B,'Move Editor'!$F:$F,100),atk,IF(cat="Physical",FLOOR((FLOOR(((2*XLOOKUP(XLOOKUP($Q127,'Threshold Summary'!$Y:$Y,'Threshold Summary'!$K:$K,""),'Pokemon Editor'!$A:$A,'Pokemon Editor'!$F:$F,0)+31+FLOOR(XLOOKUP($Q127,'Threshold Summary'!$Y:$Y,'Threshold Summary'!$P:$P,"")/4))*XLOOKUP($Q127,'Threshold Summary'!$Y:$Y,'Threshold Summary'!$L:$L,""))/100)+5)*XLOOKUP(XLOOKUP($Q127,'Threshold Summary'!$Y:$Y,'Threshold Summary'!$M:$M,""),'Nature Editor'!$A:$A,'Nature Editor'!$B:$B,1)),FLOOR((FLOOR(((2*XLOOKUP(XLOOKUP($Q127,'Threshold Summary'!$Y:$Y,'Threshold Summary'!$K:$K,""),'Pokemon Editor'!$A:$A,'Pokemon Editor'!$H:$H,0)+31+FLOOR(XLOOKUP($Q127,'Threshold Summary'!$Y:$Y,'Threshold Summary'!$R:$R,"")/4))*XLOOKUP($Q127,'Threshold Summary'!$Y:$Y,'Threshold Summary'!$L:$L,""))/100)+5)*XLOOKUP(XLOOKUP($Q127,'Threshold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Editor'!$E:$E,1))),stab,IF(OR(mtype=XLOOKUP(XLOOKUP($Q127,'Threshold Summary'!$Y:$Y,'Threshold Summary'!$K:$K,""),'Pokemon Editor'!$A:$A,'Pokemon Editor'!$C:$C,""),mtype=XLOOKUP(XLOOKUP($Q127,'Threshold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Chart'!$B$1:$S$1,0)))),base,IF(OR(cat="Status",pow=0),0,FLOOR(FLOOR(FLOOR((2*XLOOKUP($Q127,'Threshold Summary'!$Y:$Y,'Threshold Summary'!$L:$L,"")/5+2)*pow*atk/def)/50)+2)),modifier,stab*eff,AVERAGE(ARRAYFORMULA(FLOOR(base*modifier*SEQUENCE(16,1,85,1)/100)))*MIN(1,acc/100)),0)</f>
        <v/>
      </c>
      <c r="N127" s="4">
        <f>IFERROR(LET(mtype,XLOOKUP($D127,'Move Editor'!$B:$B,'Move Editor'!$C:$C,""),cat,XLOOKUP($D127,'Move Editor'!$B:$B,'Move Editor'!$D:$D,""),pow,XLOOKUP($D127,'Move Editor'!$B:$B,'Move Editor'!$E:$E,0),acc,XLOOKUP($D127,'Move Editor'!$B:$B,'Move Editor'!$F:$F,100),atk,IF(cat="Physical",FLOOR((FLOOR(((2*XLOOKUP(XLOOKUP($Q127,'Threshold Summary'!$Y:$Y,'Threshold Summary'!$K:$K,""),'Pokemon Editor'!$A:$A,'Pokemon Editor'!$F:$F,0)+31+FLOOR(XLOOKUP($Q127,'Threshold Summary'!$Y:$Y,'Threshold Summary'!$P:$P,"")/4))*XLOOKUP($Q127,'Threshold Summary'!$Y:$Y,'Threshold Summary'!$L:$L,""))/100)+5)*XLOOKUP(XLOOKUP($Q127,'Threshold Summary'!$Y:$Y,'Threshold Summary'!$M:$M,""),'Nature Editor'!$A:$A,'Nature Editor'!$B:$B,1)),FLOOR((FLOOR(((2*XLOOKUP(XLOOKUP($Q127,'Threshold Summary'!$Y:$Y,'Threshold Summary'!$K:$K,""),'Pokemon Editor'!$A:$A,'Pokemon Editor'!$H:$H,0)+31+FLOOR(XLOOKUP($Q127,'Threshold Summary'!$Y:$Y,'Threshold Summary'!$R:$R,"")/4))*XLOOKUP($Q127,'Threshold Summary'!$Y:$Y,'Threshold Summary'!$L:$L,""))/100)+5)*XLOOKUP(XLOOKUP($Q127,'Threshold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Editor'!$E:$E,1))),stab,IF(OR(mtype=XLOOKUP(XLOOKUP($Q127,'Threshold Summary'!$Y:$Y,'Threshold Summary'!$K:$K,""),'Pokemon Editor'!$A:$A,'Pokemon Editor'!$C:$C,""),mtype=XLOOKUP(XLOOKUP($Q127,'Threshold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Chart'!$B$1:$S$1,0)))),base,IF(OR(cat="Status",pow=0),0,FLOOR(FLOOR(FLOOR((2*XLOOKUP($Q127,'Threshold Summary'!$Y:$Y,'Threshold Summary'!$L:$L,"")/5+2)*pow*atk/def)/50)+2)),modifier,stab*eff,AVERAGE(ARRAYFORMULA(FLOOR(base*modifier*SEQUENCE(16,1,85,1)/100)))/(FLOOR(((2*XLOOKUP('Boss Editor'!$C$4,'Pokemon Editor'!$A:$A,'Pokemon Editor'!$E:$E,0)+31+FLOOR('Boss Editor'!$G$4/4))*'Boss Editor'!$D$4)/100)+'Boss Editor'!$D$4+10)),0)</f>
        <v/>
      </c>
      <c r="O127" s="3">
        <f>IF(N127&gt;=1,"OHKO",IF(N127&gt;=0.5,"2HKO",IF(N127&gt;=0.333,"3HKO",IF(N127&gt;=0.25,"4HKO","5HKO+"))))</f>
        <v/>
      </c>
      <c r="P127" s="3" t="inlineStr">
        <is>
          <t>Live from editable databases</t>
        </is>
      </c>
      <c r="Q127" s="3" t="inlineStr">
        <is>
          <t>SPECIES_TREECKO</t>
        </is>
      </c>
      <c r="R127" s="3" t="n">
        <v>30</v>
      </c>
    </row>
    <row r="128">
      <c r="A128" s="3">
        <f>XLOOKUP($Q128,'Threshold Summary'!$Y:$Y,'Threshold Summary'!$A:$A,"")</f>
        <v/>
      </c>
      <c r="B128" s="3">
        <f>XLOOKUP($Q128,'Threshold Summary'!$Y:$Y,'Threshold Summary'!$M:$M,"")</f>
        <v/>
      </c>
      <c r="C128" s="3">
        <f>XLOOKUP($Q128,'Threshold Summary'!$Y:$Y,'Threshold Summary'!$N:$N,"")</f>
        <v/>
      </c>
      <c r="D128" s="3">
        <f>IFERROR(INDEX(FILTER('Learnset Editor'!$D$2:$D,'Learnset Editor'!$A$2:$A=XLOOKUP($Q128,'Threshold Summary'!$Y:$Y,'Threshold Summary'!$K:$K,""),'Learnset Editor'!$C$2:$C&lt;=XLOOKUP($Q128,'Threshold Summary'!$Y:$Y,'Threshold Summary'!$L:$L,"")),$R128),"")</f>
        <v/>
      </c>
      <c r="E128" s="3">
        <f>XLOOKUP(D128,'Move Editor'!$B:$B,'Move Editor'!$C:$C,"")</f>
        <v/>
      </c>
      <c r="F128" s="3">
        <f>XLOOKUP(D128,'Move Editor'!$B:$B,'Move Editor'!$D:$D,"")</f>
        <v/>
      </c>
      <c r="G128" s="3">
        <f>XLOOKUP(D128,'Move Editor'!$B:$B,'Move Editor'!$E:$E,0)</f>
        <v/>
      </c>
      <c r="H128" s="3">
        <f>XLOOKUP(D128,'Move Editor'!$B:$B,'Move Editor'!$F:$F,0)</f>
        <v/>
      </c>
      <c r="I128" s="3">
        <f>(INDEX('Type Chart'!$B:$S,MATCH(E128,'Type Chart'!$A:$A,0),MATCH(XLOOKUP('Boss Editor'!$C$4,'Pokemon Editor'!$A:$A,'Pokemon Editor'!$C:$C,""),'Type Chart'!$B$1:$S$1,0))*IF(XLOOKUP('Boss Editor'!$C$4,'Pokemon Editor'!$A:$A,'Pokemon Editor'!$D:$D,"")="",1,INDEX('Type Chart'!$B:$S,MATCH(E128,'Type Chart'!$A:$A,0),MATCH(XLOOKUP('Boss Editor'!$C$4,'Pokemon Editor'!$A:$A,'Pokemon Editor'!$D:$D,""),'Type Chart'!$B$1:$S$1,0))))</f>
        <v/>
      </c>
      <c r="J128" s="3">
        <f>IFERROR(LET(mtype,XLOOKUP($D128,'Move Editor'!$B:$B,'Move Editor'!$C:$C,""),cat,XLOOKUP($D128,'Move Editor'!$B:$B,'Move Editor'!$D:$D,""),pow,XLOOKUP($D128,'Move Editor'!$B:$B,'Move Editor'!$E:$E,0),acc,XLOOKUP($D128,'Move Editor'!$B:$B,'Move Editor'!$F:$F,100),atk,IF(cat="Physical",FLOOR((FLOOR(((2*XLOOKUP(XLOOKUP($Q128,'Threshold Summary'!$Y:$Y,'Threshold Summary'!$K:$K,""),'Pokemon Editor'!$A:$A,'Pokemon Editor'!$F:$F,0)+31+FLOOR(XLOOKUP($Q128,'Threshold Summary'!$Y:$Y,'Threshold Summary'!$P:$P,"")/4))*XLOOKUP($Q128,'Threshold Summary'!$Y:$Y,'Threshold Summary'!$L:$L,""))/100)+5)*XLOOKUP(XLOOKUP($Q128,'Threshold Summary'!$Y:$Y,'Threshold Summary'!$M:$M,""),'Nature Editor'!$A:$A,'Nature Editor'!$B:$B,1)),FLOOR((FLOOR(((2*XLOOKUP(XLOOKUP($Q128,'Threshold Summary'!$Y:$Y,'Threshold Summary'!$K:$K,""),'Pokemon Editor'!$A:$A,'Pokemon Editor'!$H:$H,0)+31+FLOOR(XLOOKUP($Q128,'Threshold Summary'!$Y:$Y,'Threshold Summary'!$R:$R,"")/4))*XLOOKUP($Q128,'Threshold Summary'!$Y:$Y,'Threshold Summary'!$L:$L,""))/100)+5)*XLOOKUP(XLOOKUP($Q128,'Threshold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Editor'!$E:$E,1))),stab,IF(OR(mtype=XLOOKUP(XLOOKUP($Q128,'Threshold Summary'!$Y:$Y,'Threshold Summary'!$K:$K,""),'Pokemon Editor'!$A:$A,'Pokemon Editor'!$C:$C,""),mtype=XLOOKUP(XLOOKUP($Q128,'Threshold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Chart'!$B$1:$S$1,0)))),base,IF(OR(cat="Status",pow=0),0,FLOOR(FLOOR(FLOOR((2*XLOOKUP($Q128,'Threshold Summary'!$Y:$Y,'Threshold Summary'!$L:$L,"")/5+2)*pow*atk/def)/50)+2)),modifier,stab*eff,FLOOR(base*modifier*0.85)),0)</f>
        <v/>
      </c>
      <c r="K128" s="3">
        <f>IFERROR(LET(mtype,XLOOKUP($D128,'Move Editor'!$B:$B,'Move Editor'!$C:$C,""),cat,XLOOKUP($D128,'Move Editor'!$B:$B,'Move Editor'!$D:$D,""),pow,XLOOKUP($D128,'Move Editor'!$B:$B,'Move Editor'!$E:$E,0),acc,XLOOKUP($D128,'Move Editor'!$B:$B,'Move Editor'!$F:$F,100),atk,IF(cat="Physical",FLOOR((FLOOR(((2*XLOOKUP(XLOOKUP($Q128,'Threshold Summary'!$Y:$Y,'Threshold Summary'!$K:$K,""),'Pokemon Editor'!$A:$A,'Pokemon Editor'!$F:$F,0)+31+FLOOR(XLOOKUP($Q128,'Threshold Summary'!$Y:$Y,'Threshold Summary'!$P:$P,"")/4))*XLOOKUP($Q128,'Threshold Summary'!$Y:$Y,'Threshold Summary'!$L:$L,""))/100)+5)*XLOOKUP(XLOOKUP($Q128,'Threshold Summary'!$Y:$Y,'Threshold Summary'!$M:$M,""),'Nature Editor'!$A:$A,'Nature Editor'!$B:$B,1)),FLOOR((FLOOR(((2*XLOOKUP(XLOOKUP($Q128,'Threshold Summary'!$Y:$Y,'Threshold Summary'!$K:$K,""),'Pokemon Editor'!$A:$A,'Pokemon Editor'!$H:$H,0)+31+FLOOR(XLOOKUP($Q128,'Threshold Summary'!$Y:$Y,'Threshold Summary'!$R:$R,"")/4))*XLOOKUP($Q128,'Threshold Summary'!$Y:$Y,'Threshold Summary'!$L:$L,""))/100)+5)*XLOOKUP(XLOOKUP($Q128,'Threshold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Editor'!$E:$E,1))),stab,IF(OR(mtype=XLOOKUP(XLOOKUP($Q128,'Threshold Summary'!$Y:$Y,'Threshold Summary'!$K:$K,""),'Pokemon Editor'!$A:$A,'Pokemon Editor'!$C:$C,""),mtype=XLOOKUP(XLOOKUP($Q128,'Threshold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Chart'!$B$1:$S$1,0)))),base,IF(OR(cat="Status",pow=0),0,FLOOR(FLOOR(FLOOR((2*XLOOKUP($Q128,'Threshold Summary'!$Y:$Y,'Threshold Summary'!$L:$L,"")/5+2)*pow*atk/def)/50)+2)),modifier,stab*eff,FLOOR(base*modifier)),0)</f>
        <v/>
      </c>
      <c r="L128" s="3">
        <f>IFERROR(LET(mtype,XLOOKUP($D128,'Move Editor'!$B:$B,'Move Editor'!$C:$C,""),cat,XLOOKUP($D128,'Move Editor'!$B:$B,'Move Editor'!$D:$D,""),pow,XLOOKUP($D128,'Move Editor'!$B:$B,'Move Editor'!$E:$E,0),acc,XLOOKUP($D128,'Move Editor'!$B:$B,'Move Editor'!$F:$F,100),atk,IF(cat="Physical",FLOOR((FLOOR(((2*XLOOKUP(XLOOKUP($Q128,'Threshold Summary'!$Y:$Y,'Threshold Summary'!$K:$K,""),'Pokemon Editor'!$A:$A,'Pokemon Editor'!$F:$F,0)+31+FLOOR(XLOOKUP($Q128,'Threshold Summary'!$Y:$Y,'Threshold Summary'!$P:$P,"")/4))*XLOOKUP($Q128,'Threshold Summary'!$Y:$Y,'Threshold Summary'!$L:$L,""))/100)+5)*XLOOKUP(XLOOKUP($Q128,'Threshold Summary'!$Y:$Y,'Threshold Summary'!$M:$M,""),'Nature Editor'!$A:$A,'Nature Editor'!$B:$B,1)),FLOOR((FLOOR(((2*XLOOKUP(XLOOKUP($Q128,'Threshold Summary'!$Y:$Y,'Threshold Summary'!$K:$K,""),'Pokemon Editor'!$A:$A,'Pokemon Editor'!$H:$H,0)+31+FLOOR(XLOOKUP($Q128,'Threshold Summary'!$Y:$Y,'Threshold Summary'!$R:$R,"")/4))*XLOOKUP($Q128,'Threshold Summary'!$Y:$Y,'Threshold Summary'!$L:$L,""))/100)+5)*XLOOKUP(XLOOKUP($Q128,'Threshold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Editor'!$E:$E,1))),stab,IF(OR(mtype=XLOOKUP(XLOOKUP($Q128,'Threshold Summary'!$Y:$Y,'Threshold Summary'!$K:$K,""),'Pokemon Editor'!$A:$A,'Pokemon Editor'!$C:$C,""),mtype=XLOOKUP(XLOOKUP($Q128,'Threshold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Chart'!$B$1:$S$1,0)))),base,IF(OR(cat="Status",pow=0),0,FLOOR(FLOOR(FLOOR((2*XLOOKUP($Q128,'Threshold Summary'!$Y:$Y,'Threshold Summary'!$L:$L,"")/5+2)*pow*atk/def)/50)+2)),modifier,stab*eff,AVERAGE(ARRAYFORMULA(FLOOR(base*modifier*SEQUENCE(16,1,85,1)/100)))),0)</f>
        <v/>
      </c>
      <c r="M128" s="3">
        <f>IFERROR(LET(mtype,XLOOKUP($D128,'Move Editor'!$B:$B,'Move Editor'!$C:$C,""),cat,XLOOKUP($D128,'Move Editor'!$B:$B,'Move Editor'!$D:$D,""),pow,XLOOKUP($D128,'Move Editor'!$B:$B,'Move Editor'!$E:$E,0),acc,XLOOKUP($D128,'Move Editor'!$B:$B,'Move Editor'!$F:$F,100),atk,IF(cat="Physical",FLOOR((FLOOR(((2*XLOOKUP(XLOOKUP($Q128,'Threshold Summary'!$Y:$Y,'Threshold Summary'!$K:$K,""),'Pokemon Editor'!$A:$A,'Pokemon Editor'!$F:$F,0)+31+FLOOR(XLOOKUP($Q128,'Threshold Summary'!$Y:$Y,'Threshold Summary'!$P:$P,"")/4))*XLOOKUP($Q128,'Threshold Summary'!$Y:$Y,'Threshold Summary'!$L:$L,""))/100)+5)*XLOOKUP(XLOOKUP($Q128,'Threshold Summary'!$Y:$Y,'Threshold Summary'!$M:$M,""),'Nature Editor'!$A:$A,'Nature Editor'!$B:$B,1)),FLOOR((FLOOR(((2*XLOOKUP(XLOOKUP($Q128,'Threshold Summary'!$Y:$Y,'Threshold Summary'!$K:$K,""),'Pokemon Editor'!$A:$A,'Pokemon Editor'!$H:$H,0)+31+FLOOR(XLOOKUP($Q128,'Threshold Summary'!$Y:$Y,'Threshold Summary'!$R:$R,"")/4))*XLOOKUP($Q128,'Threshold Summary'!$Y:$Y,'Threshold Summary'!$L:$L,""))/100)+5)*XLOOKUP(XLOOKUP($Q128,'Threshold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Editor'!$E:$E,1))),stab,IF(OR(mtype=XLOOKUP(XLOOKUP($Q128,'Threshold Summary'!$Y:$Y,'Threshold Summary'!$K:$K,""),'Pokemon Editor'!$A:$A,'Pokemon Editor'!$C:$C,""),mtype=XLOOKUP(XLOOKUP($Q128,'Threshold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Chart'!$B$1:$S$1,0)))),base,IF(OR(cat="Status",pow=0),0,FLOOR(FLOOR(FLOOR((2*XLOOKUP($Q128,'Threshold Summary'!$Y:$Y,'Threshold Summary'!$L:$L,"")/5+2)*pow*atk/def)/50)+2)),modifier,stab*eff,AVERAGE(ARRAYFORMULA(FLOOR(base*modifier*SEQUENCE(16,1,85,1)/100)))*MIN(1,acc/100)),0)</f>
        <v/>
      </c>
      <c r="N128" s="4">
        <f>IFERROR(LET(mtype,XLOOKUP($D128,'Move Editor'!$B:$B,'Move Editor'!$C:$C,""),cat,XLOOKUP($D128,'Move Editor'!$B:$B,'Move Editor'!$D:$D,""),pow,XLOOKUP($D128,'Move Editor'!$B:$B,'Move Editor'!$E:$E,0),acc,XLOOKUP($D128,'Move Editor'!$B:$B,'Move Editor'!$F:$F,100),atk,IF(cat="Physical",FLOOR((FLOOR(((2*XLOOKUP(XLOOKUP($Q128,'Threshold Summary'!$Y:$Y,'Threshold Summary'!$K:$K,""),'Pokemon Editor'!$A:$A,'Pokemon Editor'!$F:$F,0)+31+FLOOR(XLOOKUP($Q128,'Threshold Summary'!$Y:$Y,'Threshold Summary'!$P:$P,"")/4))*XLOOKUP($Q128,'Threshold Summary'!$Y:$Y,'Threshold Summary'!$L:$L,""))/100)+5)*XLOOKUP(XLOOKUP($Q128,'Threshold Summary'!$Y:$Y,'Threshold Summary'!$M:$M,""),'Nature Editor'!$A:$A,'Nature Editor'!$B:$B,1)),FLOOR((FLOOR(((2*XLOOKUP(XLOOKUP($Q128,'Threshold Summary'!$Y:$Y,'Threshold Summary'!$K:$K,""),'Pokemon Editor'!$A:$A,'Pokemon Editor'!$H:$H,0)+31+FLOOR(XLOOKUP($Q128,'Threshold Summary'!$Y:$Y,'Threshold Summary'!$R:$R,"")/4))*XLOOKUP($Q128,'Threshold Summary'!$Y:$Y,'Threshold Summary'!$L:$L,""))/100)+5)*XLOOKUP(XLOOKUP($Q128,'Threshold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Editor'!$E:$E,1))),stab,IF(OR(mtype=XLOOKUP(XLOOKUP($Q128,'Threshold Summary'!$Y:$Y,'Threshold Summary'!$K:$K,""),'Pokemon Editor'!$A:$A,'Pokemon Editor'!$C:$C,""),mtype=XLOOKUP(XLOOKUP($Q128,'Threshold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Chart'!$B$1:$S$1,0)))),base,IF(OR(cat="Status",pow=0),0,FLOOR(FLOOR(FLOOR((2*XLOOKUP($Q128,'Threshold Summary'!$Y:$Y,'Threshold Summary'!$L:$L,"")/5+2)*pow*atk/def)/50)+2)),modifier,stab*eff,AVERAGE(ARRAYFORMULA(FLOOR(base*modifier*SEQUENCE(16,1,85,1)/100)))/(FLOOR(((2*XLOOKUP('Boss Editor'!$C$4,'Pokemon Editor'!$A:$A,'Pokemon Editor'!$E:$E,0)+31+FLOOR('Boss Editor'!$G$4/4))*'Boss Editor'!$D$4)/100)+'Boss Editor'!$D$4+10)),0)</f>
        <v/>
      </c>
      <c r="O128" s="3">
        <f>IF(N128&gt;=1,"OHKO",IF(N128&gt;=0.5,"2HKO",IF(N128&gt;=0.333,"3HKO",IF(N128&gt;=0.25,"4HKO","5HKO+"))))</f>
        <v/>
      </c>
      <c r="P128" s="3" t="inlineStr">
        <is>
          <t>Live from editable databases</t>
        </is>
      </c>
      <c r="Q128" s="3" t="inlineStr">
        <is>
          <t>SPECIES_TREECKO</t>
        </is>
      </c>
      <c r="R128" s="3" t="n">
        <v>31</v>
      </c>
    </row>
    <row r="129">
      <c r="A129" s="3">
        <f>XLOOKUP($Q129,'Threshold Summary'!$Y:$Y,'Threshold Summary'!$A:$A,"")</f>
        <v/>
      </c>
      <c r="B129" s="3">
        <f>XLOOKUP($Q129,'Threshold Summary'!$Y:$Y,'Threshold Summary'!$M:$M,"")</f>
        <v/>
      </c>
      <c r="C129" s="3">
        <f>XLOOKUP($Q129,'Threshold Summary'!$Y:$Y,'Threshold Summary'!$N:$N,"")</f>
        <v/>
      </c>
      <c r="D129" s="3">
        <f>IFERROR(INDEX(FILTER('Learnset Editor'!$D$2:$D,'Learnset Editor'!$A$2:$A=XLOOKUP($Q129,'Threshold Summary'!$Y:$Y,'Threshold Summary'!$K:$K,""),'Learnset Editor'!$C$2:$C&lt;=XLOOKUP($Q129,'Threshold Summary'!$Y:$Y,'Threshold Summary'!$L:$L,"")),$R129),"")</f>
        <v/>
      </c>
      <c r="E129" s="3">
        <f>XLOOKUP(D129,'Move Editor'!$B:$B,'Move Editor'!$C:$C,"")</f>
        <v/>
      </c>
      <c r="F129" s="3">
        <f>XLOOKUP(D129,'Move Editor'!$B:$B,'Move Editor'!$D:$D,"")</f>
        <v/>
      </c>
      <c r="G129" s="3">
        <f>XLOOKUP(D129,'Move Editor'!$B:$B,'Move Editor'!$E:$E,0)</f>
        <v/>
      </c>
      <c r="H129" s="3">
        <f>XLOOKUP(D129,'Move Editor'!$B:$B,'Move Editor'!$F:$F,0)</f>
        <v/>
      </c>
      <c r="I129" s="3">
        <f>(INDEX('Type Chart'!$B:$S,MATCH(E129,'Type Chart'!$A:$A,0),MATCH(XLOOKUP('Boss Editor'!$C$4,'Pokemon Editor'!$A:$A,'Pokemon Editor'!$C:$C,""),'Type Chart'!$B$1:$S$1,0))*IF(XLOOKUP('Boss Editor'!$C$4,'Pokemon Editor'!$A:$A,'Pokemon Editor'!$D:$D,"")="",1,INDEX('Type Chart'!$B:$S,MATCH(E129,'Type Chart'!$A:$A,0),MATCH(XLOOKUP('Boss Editor'!$C$4,'Pokemon Editor'!$A:$A,'Pokemon Editor'!$D:$D,""),'Type Chart'!$B$1:$S$1,0))))</f>
        <v/>
      </c>
      <c r="J129" s="3">
        <f>IFERROR(LET(mtype,XLOOKUP($D129,'Move Editor'!$B:$B,'Move Editor'!$C:$C,""),cat,XLOOKUP($D129,'Move Editor'!$B:$B,'Move Editor'!$D:$D,""),pow,XLOOKUP($D129,'Move Editor'!$B:$B,'Move Editor'!$E:$E,0),acc,XLOOKUP($D129,'Move Editor'!$B:$B,'Move Editor'!$F:$F,100),atk,IF(cat="Physical",FLOOR((FLOOR(((2*XLOOKUP(XLOOKUP($Q129,'Threshold Summary'!$Y:$Y,'Threshold Summary'!$K:$K,""),'Pokemon Editor'!$A:$A,'Pokemon Editor'!$F:$F,0)+31+FLOOR(XLOOKUP($Q129,'Threshold Summary'!$Y:$Y,'Threshold Summary'!$P:$P,"")/4))*XLOOKUP($Q129,'Threshold Summary'!$Y:$Y,'Threshold Summary'!$L:$L,""))/100)+5)*XLOOKUP(XLOOKUP($Q129,'Threshold Summary'!$Y:$Y,'Threshold Summary'!$M:$M,""),'Nature Editor'!$A:$A,'Nature Editor'!$B:$B,1)),FLOOR((FLOOR(((2*XLOOKUP(XLOOKUP($Q129,'Threshold Summary'!$Y:$Y,'Threshold Summary'!$K:$K,""),'Pokemon Editor'!$A:$A,'Pokemon Editor'!$H:$H,0)+31+FLOOR(XLOOKUP($Q129,'Threshold Summary'!$Y:$Y,'Threshold Summary'!$R:$R,"")/4))*XLOOKUP($Q129,'Threshold Summary'!$Y:$Y,'Threshold Summary'!$L:$L,""))/100)+5)*XLOOKUP(XLOOKUP($Q129,'Threshold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Editor'!$E:$E,1))),stab,IF(OR(mtype=XLOOKUP(XLOOKUP($Q129,'Threshold Summary'!$Y:$Y,'Threshold Summary'!$K:$K,""),'Pokemon Editor'!$A:$A,'Pokemon Editor'!$C:$C,""),mtype=XLOOKUP(XLOOKUP($Q129,'Threshold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Chart'!$B$1:$S$1,0)))),base,IF(OR(cat="Status",pow=0),0,FLOOR(FLOOR(FLOOR((2*XLOOKUP($Q129,'Threshold Summary'!$Y:$Y,'Threshold Summary'!$L:$L,"")/5+2)*pow*atk/def)/50)+2)),modifier,stab*eff,FLOOR(base*modifier*0.85)),0)</f>
        <v/>
      </c>
      <c r="K129" s="3">
        <f>IFERROR(LET(mtype,XLOOKUP($D129,'Move Editor'!$B:$B,'Move Editor'!$C:$C,""),cat,XLOOKUP($D129,'Move Editor'!$B:$B,'Move Editor'!$D:$D,""),pow,XLOOKUP($D129,'Move Editor'!$B:$B,'Move Editor'!$E:$E,0),acc,XLOOKUP($D129,'Move Editor'!$B:$B,'Move Editor'!$F:$F,100),atk,IF(cat="Physical",FLOOR((FLOOR(((2*XLOOKUP(XLOOKUP($Q129,'Threshold Summary'!$Y:$Y,'Threshold Summary'!$K:$K,""),'Pokemon Editor'!$A:$A,'Pokemon Editor'!$F:$F,0)+31+FLOOR(XLOOKUP($Q129,'Threshold Summary'!$Y:$Y,'Threshold Summary'!$P:$P,"")/4))*XLOOKUP($Q129,'Threshold Summary'!$Y:$Y,'Threshold Summary'!$L:$L,""))/100)+5)*XLOOKUP(XLOOKUP($Q129,'Threshold Summary'!$Y:$Y,'Threshold Summary'!$M:$M,""),'Nature Editor'!$A:$A,'Nature Editor'!$B:$B,1)),FLOOR((FLOOR(((2*XLOOKUP(XLOOKUP($Q129,'Threshold Summary'!$Y:$Y,'Threshold Summary'!$K:$K,""),'Pokemon Editor'!$A:$A,'Pokemon Editor'!$H:$H,0)+31+FLOOR(XLOOKUP($Q129,'Threshold Summary'!$Y:$Y,'Threshold Summary'!$R:$R,"")/4))*XLOOKUP($Q129,'Threshold Summary'!$Y:$Y,'Threshold Summary'!$L:$L,""))/100)+5)*XLOOKUP(XLOOKUP($Q129,'Threshold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Editor'!$E:$E,1))),stab,IF(OR(mtype=XLOOKUP(XLOOKUP($Q129,'Threshold Summary'!$Y:$Y,'Threshold Summary'!$K:$K,""),'Pokemon Editor'!$A:$A,'Pokemon Editor'!$C:$C,""),mtype=XLOOKUP(XLOOKUP($Q129,'Threshold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Chart'!$B$1:$S$1,0)))),base,IF(OR(cat="Status",pow=0),0,FLOOR(FLOOR(FLOOR((2*XLOOKUP($Q129,'Threshold Summary'!$Y:$Y,'Threshold Summary'!$L:$L,"")/5+2)*pow*atk/def)/50)+2)),modifier,stab*eff,FLOOR(base*modifier)),0)</f>
        <v/>
      </c>
      <c r="L129" s="3">
        <f>IFERROR(LET(mtype,XLOOKUP($D129,'Move Editor'!$B:$B,'Move Editor'!$C:$C,""),cat,XLOOKUP($D129,'Move Editor'!$B:$B,'Move Editor'!$D:$D,""),pow,XLOOKUP($D129,'Move Editor'!$B:$B,'Move Editor'!$E:$E,0),acc,XLOOKUP($D129,'Move Editor'!$B:$B,'Move Editor'!$F:$F,100),atk,IF(cat="Physical",FLOOR((FLOOR(((2*XLOOKUP(XLOOKUP($Q129,'Threshold Summary'!$Y:$Y,'Threshold Summary'!$K:$K,""),'Pokemon Editor'!$A:$A,'Pokemon Editor'!$F:$F,0)+31+FLOOR(XLOOKUP($Q129,'Threshold Summary'!$Y:$Y,'Threshold Summary'!$P:$P,"")/4))*XLOOKUP($Q129,'Threshold Summary'!$Y:$Y,'Threshold Summary'!$L:$L,""))/100)+5)*XLOOKUP(XLOOKUP($Q129,'Threshold Summary'!$Y:$Y,'Threshold Summary'!$M:$M,""),'Nature Editor'!$A:$A,'Nature Editor'!$B:$B,1)),FLOOR((FLOOR(((2*XLOOKUP(XLOOKUP($Q129,'Threshold Summary'!$Y:$Y,'Threshold Summary'!$K:$K,""),'Pokemon Editor'!$A:$A,'Pokemon Editor'!$H:$H,0)+31+FLOOR(XLOOKUP($Q129,'Threshold Summary'!$Y:$Y,'Threshold Summary'!$R:$R,"")/4))*XLOOKUP($Q129,'Threshold Summary'!$Y:$Y,'Threshold Summary'!$L:$L,""))/100)+5)*XLOOKUP(XLOOKUP($Q129,'Threshold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Editor'!$E:$E,1))),stab,IF(OR(mtype=XLOOKUP(XLOOKUP($Q129,'Threshold Summary'!$Y:$Y,'Threshold Summary'!$K:$K,""),'Pokemon Editor'!$A:$A,'Pokemon Editor'!$C:$C,""),mtype=XLOOKUP(XLOOKUP($Q129,'Threshold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Chart'!$B$1:$S$1,0)))),base,IF(OR(cat="Status",pow=0),0,FLOOR(FLOOR(FLOOR((2*XLOOKUP($Q129,'Threshold Summary'!$Y:$Y,'Threshold Summary'!$L:$L,"")/5+2)*pow*atk/def)/50)+2)),modifier,stab*eff,AVERAGE(ARRAYFORMULA(FLOOR(base*modifier*SEQUENCE(16,1,85,1)/100)))),0)</f>
        <v/>
      </c>
      <c r="M129" s="3">
        <f>IFERROR(LET(mtype,XLOOKUP($D129,'Move Editor'!$B:$B,'Move Editor'!$C:$C,""),cat,XLOOKUP($D129,'Move Editor'!$B:$B,'Move Editor'!$D:$D,""),pow,XLOOKUP($D129,'Move Editor'!$B:$B,'Move Editor'!$E:$E,0),acc,XLOOKUP($D129,'Move Editor'!$B:$B,'Move Editor'!$F:$F,100),atk,IF(cat="Physical",FLOOR((FLOOR(((2*XLOOKUP(XLOOKUP($Q129,'Threshold Summary'!$Y:$Y,'Threshold Summary'!$K:$K,""),'Pokemon Editor'!$A:$A,'Pokemon Editor'!$F:$F,0)+31+FLOOR(XLOOKUP($Q129,'Threshold Summary'!$Y:$Y,'Threshold Summary'!$P:$P,"")/4))*XLOOKUP($Q129,'Threshold Summary'!$Y:$Y,'Threshold Summary'!$L:$L,""))/100)+5)*XLOOKUP(XLOOKUP($Q129,'Threshold Summary'!$Y:$Y,'Threshold Summary'!$M:$M,""),'Nature Editor'!$A:$A,'Nature Editor'!$B:$B,1)),FLOOR((FLOOR(((2*XLOOKUP(XLOOKUP($Q129,'Threshold Summary'!$Y:$Y,'Threshold Summary'!$K:$K,""),'Pokemon Editor'!$A:$A,'Pokemon Editor'!$H:$H,0)+31+FLOOR(XLOOKUP($Q129,'Threshold Summary'!$Y:$Y,'Threshold Summary'!$R:$R,"")/4))*XLOOKUP($Q129,'Threshold Summary'!$Y:$Y,'Threshold Summary'!$L:$L,""))/100)+5)*XLOOKUP(XLOOKUP($Q129,'Threshold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Editor'!$E:$E,1))),stab,IF(OR(mtype=XLOOKUP(XLOOKUP($Q129,'Threshold Summary'!$Y:$Y,'Threshold Summary'!$K:$K,""),'Pokemon Editor'!$A:$A,'Pokemon Editor'!$C:$C,""),mtype=XLOOKUP(XLOOKUP($Q129,'Threshold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Chart'!$B$1:$S$1,0)))),base,IF(OR(cat="Status",pow=0),0,FLOOR(FLOOR(FLOOR((2*XLOOKUP($Q129,'Threshold Summary'!$Y:$Y,'Threshold Summary'!$L:$L,"")/5+2)*pow*atk/def)/50)+2)),modifier,stab*eff,AVERAGE(ARRAYFORMULA(FLOOR(base*modifier*SEQUENCE(16,1,85,1)/100)))*MIN(1,acc/100)),0)</f>
        <v/>
      </c>
      <c r="N129" s="4">
        <f>IFERROR(LET(mtype,XLOOKUP($D129,'Move Editor'!$B:$B,'Move Editor'!$C:$C,""),cat,XLOOKUP($D129,'Move Editor'!$B:$B,'Move Editor'!$D:$D,""),pow,XLOOKUP($D129,'Move Editor'!$B:$B,'Move Editor'!$E:$E,0),acc,XLOOKUP($D129,'Move Editor'!$B:$B,'Move Editor'!$F:$F,100),atk,IF(cat="Physical",FLOOR((FLOOR(((2*XLOOKUP(XLOOKUP($Q129,'Threshold Summary'!$Y:$Y,'Threshold Summary'!$K:$K,""),'Pokemon Editor'!$A:$A,'Pokemon Editor'!$F:$F,0)+31+FLOOR(XLOOKUP($Q129,'Threshold Summary'!$Y:$Y,'Threshold Summary'!$P:$P,"")/4))*XLOOKUP($Q129,'Threshold Summary'!$Y:$Y,'Threshold Summary'!$L:$L,""))/100)+5)*XLOOKUP(XLOOKUP($Q129,'Threshold Summary'!$Y:$Y,'Threshold Summary'!$M:$M,""),'Nature Editor'!$A:$A,'Nature Editor'!$B:$B,1)),FLOOR((FLOOR(((2*XLOOKUP(XLOOKUP($Q129,'Threshold Summary'!$Y:$Y,'Threshold Summary'!$K:$K,""),'Pokemon Editor'!$A:$A,'Pokemon Editor'!$H:$H,0)+31+FLOOR(XLOOKUP($Q129,'Threshold Summary'!$Y:$Y,'Threshold Summary'!$R:$R,"")/4))*XLOOKUP($Q129,'Threshold Summary'!$Y:$Y,'Threshold Summary'!$L:$L,""))/100)+5)*XLOOKUP(XLOOKUP($Q129,'Threshold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Editor'!$E:$E,1))),stab,IF(OR(mtype=XLOOKUP(XLOOKUP($Q129,'Threshold Summary'!$Y:$Y,'Threshold Summary'!$K:$K,""),'Pokemon Editor'!$A:$A,'Pokemon Editor'!$C:$C,""),mtype=XLOOKUP(XLOOKUP($Q129,'Threshold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Chart'!$B$1:$S$1,0)))),base,IF(OR(cat="Status",pow=0),0,FLOOR(FLOOR(FLOOR((2*XLOOKUP($Q129,'Threshold Summary'!$Y:$Y,'Threshold Summary'!$L:$L,"")/5+2)*pow*atk/def)/50)+2)),modifier,stab*eff,AVERAGE(ARRAYFORMULA(FLOOR(base*modifier*SEQUENCE(16,1,85,1)/100)))/(FLOOR(((2*XLOOKUP('Boss Editor'!$C$4,'Pokemon Editor'!$A:$A,'Pokemon Editor'!$E:$E,0)+31+FLOOR('Boss Editor'!$G$4/4))*'Boss Editor'!$D$4)/100)+'Boss Editor'!$D$4+10)),0)</f>
        <v/>
      </c>
      <c r="O129" s="3">
        <f>IF(N129&gt;=1,"OHKO",IF(N129&gt;=0.5,"2HKO",IF(N129&gt;=0.333,"3HKO",IF(N129&gt;=0.25,"4HKO","5HKO+"))))</f>
        <v/>
      </c>
      <c r="P129" s="3" t="inlineStr">
        <is>
          <t>Live from editable databases</t>
        </is>
      </c>
      <c r="Q129" s="3" t="inlineStr">
        <is>
          <t>SPECIES_TREECKO</t>
        </is>
      </c>
      <c r="R129" s="3" t="n">
        <v>32</v>
      </c>
    </row>
    <row r="130">
      <c r="A130" s="3">
        <f>XLOOKUP($Q130,'Threshold Summary'!$Y:$Y,'Threshold Summary'!$A:$A,"")</f>
        <v/>
      </c>
      <c r="B130" s="3">
        <f>XLOOKUP($Q130,'Threshold Summary'!$Y:$Y,'Threshold Summary'!$M:$M,"")</f>
        <v/>
      </c>
      <c r="C130" s="3">
        <f>XLOOKUP($Q130,'Threshold Summary'!$Y:$Y,'Threshold Summary'!$N:$N,"")</f>
        <v/>
      </c>
      <c r="D130" s="3">
        <f>IFERROR(INDEX(FILTER('Learnset Editor'!$D$2:$D,'Learnset Editor'!$A$2:$A=XLOOKUP($Q130,'Threshold Summary'!$Y:$Y,'Threshold Summary'!$K:$K,""),'Learnset Editor'!$C$2:$C&lt;=XLOOKUP($Q130,'Threshold Summary'!$Y:$Y,'Threshold Summary'!$L:$L,"")),$R130),"")</f>
        <v/>
      </c>
      <c r="E130" s="3">
        <f>XLOOKUP(D130,'Move Editor'!$B:$B,'Move Editor'!$C:$C,"")</f>
        <v/>
      </c>
      <c r="F130" s="3">
        <f>XLOOKUP(D130,'Move Editor'!$B:$B,'Move Editor'!$D:$D,"")</f>
        <v/>
      </c>
      <c r="G130" s="3">
        <f>XLOOKUP(D130,'Move Editor'!$B:$B,'Move Editor'!$E:$E,0)</f>
        <v/>
      </c>
      <c r="H130" s="3">
        <f>XLOOKUP(D130,'Move Editor'!$B:$B,'Move Editor'!$F:$F,0)</f>
        <v/>
      </c>
      <c r="I130" s="3">
        <f>(INDEX('Type Chart'!$B:$S,MATCH(E130,'Type Chart'!$A:$A,0),MATCH(XLOOKUP('Boss Editor'!$C$4,'Pokemon Editor'!$A:$A,'Pokemon Editor'!$C:$C,""),'Type Chart'!$B$1:$S$1,0))*IF(XLOOKUP('Boss Editor'!$C$4,'Pokemon Editor'!$A:$A,'Pokemon Editor'!$D:$D,"")="",1,INDEX('Type Chart'!$B:$S,MATCH(E130,'Type Chart'!$A:$A,0),MATCH(XLOOKUP('Boss Editor'!$C$4,'Pokemon Editor'!$A:$A,'Pokemon Editor'!$D:$D,""),'Type Chart'!$B$1:$S$1,0))))</f>
        <v/>
      </c>
      <c r="J130" s="3">
        <f>IFERROR(LET(mtype,XLOOKUP($D130,'Move Editor'!$B:$B,'Move Editor'!$C:$C,""),cat,XLOOKUP($D130,'Move Editor'!$B:$B,'Move Editor'!$D:$D,""),pow,XLOOKUP($D130,'Move Editor'!$B:$B,'Move Editor'!$E:$E,0),acc,XLOOKUP($D130,'Move Editor'!$B:$B,'Move Editor'!$F:$F,100),atk,IF(cat="Physical",FLOOR((FLOOR(((2*XLOOKUP(XLOOKUP($Q130,'Threshold Summary'!$Y:$Y,'Threshold Summary'!$K:$K,""),'Pokemon Editor'!$A:$A,'Pokemon Editor'!$F:$F,0)+31+FLOOR(XLOOKUP($Q130,'Threshold Summary'!$Y:$Y,'Threshold Summary'!$P:$P,"")/4))*XLOOKUP($Q130,'Threshold Summary'!$Y:$Y,'Threshold Summary'!$L:$L,""))/100)+5)*XLOOKUP(XLOOKUP($Q130,'Threshold Summary'!$Y:$Y,'Threshold Summary'!$M:$M,""),'Nature Editor'!$A:$A,'Nature Editor'!$B:$B,1)),FLOOR((FLOOR(((2*XLOOKUP(XLOOKUP($Q130,'Threshold Summary'!$Y:$Y,'Threshold Summary'!$K:$K,""),'Pokemon Editor'!$A:$A,'Pokemon Editor'!$H:$H,0)+31+FLOOR(XLOOKUP($Q130,'Threshold Summary'!$Y:$Y,'Threshold Summary'!$R:$R,"")/4))*XLOOKUP($Q130,'Threshold Summary'!$Y:$Y,'Threshold Summary'!$L:$L,""))/100)+5)*XLOOKUP(XLOOKUP($Q130,'Threshold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Editor'!$E:$E,1))),stab,IF(OR(mtype=XLOOKUP(XLOOKUP($Q130,'Threshold Summary'!$Y:$Y,'Threshold Summary'!$K:$K,""),'Pokemon Editor'!$A:$A,'Pokemon Editor'!$C:$C,""),mtype=XLOOKUP(XLOOKUP($Q130,'Threshold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Chart'!$B$1:$S$1,0)))),base,IF(OR(cat="Status",pow=0),0,FLOOR(FLOOR(FLOOR((2*XLOOKUP($Q130,'Threshold Summary'!$Y:$Y,'Threshold Summary'!$L:$L,"")/5+2)*pow*atk/def)/50)+2)),modifier,stab*eff,FLOOR(base*modifier*0.85)),0)</f>
        <v/>
      </c>
      <c r="K130" s="3">
        <f>IFERROR(LET(mtype,XLOOKUP($D130,'Move Editor'!$B:$B,'Move Editor'!$C:$C,""),cat,XLOOKUP($D130,'Move Editor'!$B:$B,'Move Editor'!$D:$D,""),pow,XLOOKUP($D130,'Move Editor'!$B:$B,'Move Editor'!$E:$E,0),acc,XLOOKUP($D130,'Move Editor'!$B:$B,'Move Editor'!$F:$F,100),atk,IF(cat="Physical",FLOOR((FLOOR(((2*XLOOKUP(XLOOKUP($Q130,'Threshold Summary'!$Y:$Y,'Threshold Summary'!$K:$K,""),'Pokemon Editor'!$A:$A,'Pokemon Editor'!$F:$F,0)+31+FLOOR(XLOOKUP($Q130,'Threshold Summary'!$Y:$Y,'Threshold Summary'!$P:$P,"")/4))*XLOOKUP($Q130,'Threshold Summary'!$Y:$Y,'Threshold Summary'!$L:$L,""))/100)+5)*XLOOKUP(XLOOKUP($Q130,'Threshold Summary'!$Y:$Y,'Threshold Summary'!$M:$M,""),'Nature Editor'!$A:$A,'Nature Editor'!$B:$B,1)),FLOOR((FLOOR(((2*XLOOKUP(XLOOKUP($Q130,'Threshold Summary'!$Y:$Y,'Threshold Summary'!$K:$K,""),'Pokemon Editor'!$A:$A,'Pokemon Editor'!$H:$H,0)+31+FLOOR(XLOOKUP($Q130,'Threshold Summary'!$Y:$Y,'Threshold Summary'!$R:$R,"")/4))*XLOOKUP($Q130,'Threshold Summary'!$Y:$Y,'Threshold Summary'!$L:$L,""))/100)+5)*XLOOKUP(XLOOKUP($Q130,'Threshold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Editor'!$E:$E,1))),stab,IF(OR(mtype=XLOOKUP(XLOOKUP($Q130,'Threshold Summary'!$Y:$Y,'Threshold Summary'!$K:$K,""),'Pokemon Editor'!$A:$A,'Pokemon Editor'!$C:$C,""),mtype=XLOOKUP(XLOOKUP($Q130,'Threshold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Chart'!$B$1:$S$1,0)))),base,IF(OR(cat="Status",pow=0),0,FLOOR(FLOOR(FLOOR((2*XLOOKUP($Q130,'Threshold Summary'!$Y:$Y,'Threshold Summary'!$L:$L,"")/5+2)*pow*atk/def)/50)+2)),modifier,stab*eff,FLOOR(base*modifier)),0)</f>
        <v/>
      </c>
      <c r="L130" s="3">
        <f>IFERROR(LET(mtype,XLOOKUP($D130,'Move Editor'!$B:$B,'Move Editor'!$C:$C,""),cat,XLOOKUP($D130,'Move Editor'!$B:$B,'Move Editor'!$D:$D,""),pow,XLOOKUP($D130,'Move Editor'!$B:$B,'Move Editor'!$E:$E,0),acc,XLOOKUP($D130,'Move Editor'!$B:$B,'Move Editor'!$F:$F,100),atk,IF(cat="Physical",FLOOR((FLOOR(((2*XLOOKUP(XLOOKUP($Q130,'Threshold Summary'!$Y:$Y,'Threshold Summary'!$K:$K,""),'Pokemon Editor'!$A:$A,'Pokemon Editor'!$F:$F,0)+31+FLOOR(XLOOKUP($Q130,'Threshold Summary'!$Y:$Y,'Threshold Summary'!$P:$P,"")/4))*XLOOKUP($Q130,'Threshold Summary'!$Y:$Y,'Threshold Summary'!$L:$L,""))/100)+5)*XLOOKUP(XLOOKUP($Q130,'Threshold Summary'!$Y:$Y,'Threshold Summary'!$M:$M,""),'Nature Editor'!$A:$A,'Nature Editor'!$B:$B,1)),FLOOR((FLOOR(((2*XLOOKUP(XLOOKUP($Q130,'Threshold Summary'!$Y:$Y,'Threshold Summary'!$K:$K,""),'Pokemon Editor'!$A:$A,'Pokemon Editor'!$H:$H,0)+31+FLOOR(XLOOKUP($Q130,'Threshold Summary'!$Y:$Y,'Threshold Summary'!$R:$R,"")/4))*XLOOKUP($Q130,'Threshold Summary'!$Y:$Y,'Threshold Summary'!$L:$L,""))/100)+5)*XLOOKUP(XLOOKUP($Q130,'Threshold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Editor'!$E:$E,1))),stab,IF(OR(mtype=XLOOKUP(XLOOKUP($Q130,'Threshold Summary'!$Y:$Y,'Threshold Summary'!$K:$K,""),'Pokemon Editor'!$A:$A,'Pokemon Editor'!$C:$C,""),mtype=XLOOKUP(XLOOKUP($Q130,'Threshold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Chart'!$B$1:$S$1,0)))),base,IF(OR(cat="Status",pow=0),0,FLOOR(FLOOR(FLOOR((2*XLOOKUP($Q130,'Threshold Summary'!$Y:$Y,'Threshold Summary'!$L:$L,"")/5+2)*pow*atk/def)/50)+2)),modifier,stab*eff,AVERAGE(ARRAYFORMULA(FLOOR(base*modifier*SEQUENCE(16,1,85,1)/100)))),0)</f>
        <v/>
      </c>
      <c r="M130" s="3">
        <f>IFERROR(LET(mtype,XLOOKUP($D130,'Move Editor'!$B:$B,'Move Editor'!$C:$C,""),cat,XLOOKUP($D130,'Move Editor'!$B:$B,'Move Editor'!$D:$D,""),pow,XLOOKUP($D130,'Move Editor'!$B:$B,'Move Editor'!$E:$E,0),acc,XLOOKUP($D130,'Move Editor'!$B:$B,'Move Editor'!$F:$F,100),atk,IF(cat="Physical",FLOOR((FLOOR(((2*XLOOKUP(XLOOKUP($Q130,'Threshold Summary'!$Y:$Y,'Threshold Summary'!$K:$K,""),'Pokemon Editor'!$A:$A,'Pokemon Editor'!$F:$F,0)+31+FLOOR(XLOOKUP($Q130,'Threshold Summary'!$Y:$Y,'Threshold Summary'!$P:$P,"")/4))*XLOOKUP($Q130,'Threshold Summary'!$Y:$Y,'Threshold Summary'!$L:$L,""))/100)+5)*XLOOKUP(XLOOKUP($Q130,'Threshold Summary'!$Y:$Y,'Threshold Summary'!$M:$M,""),'Nature Editor'!$A:$A,'Nature Editor'!$B:$B,1)),FLOOR((FLOOR(((2*XLOOKUP(XLOOKUP($Q130,'Threshold Summary'!$Y:$Y,'Threshold Summary'!$K:$K,""),'Pokemon Editor'!$A:$A,'Pokemon Editor'!$H:$H,0)+31+FLOOR(XLOOKUP($Q130,'Threshold Summary'!$Y:$Y,'Threshold Summary'!$R:$R,"")/4))*XLOOKUP($Q130,'Threshold Summary'!$Y:$Y,'Threshold Summary'!$L:$L,""))/100)+5)*XLOOKUP(XLOOKUP($Q130,'Threshold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Editor'!$E:$E,1))),stab,IF(OR(mtype=XLOOKUP(XLOOKUP($Q130,'Threshold Summary'!$Y:$Y,'Threshold Summary'!$K:$K,""),'Pokemon Editor'!$A:$A,'Pokemon Editor'!$C:$C,""),mtype=XLOOKUP(XLOOKUP($Q130,'Threshold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Chart'!$B$1:$S$1,0)))),base,IF(OR(cat="Status",pow=0),0,FLOOR(FLOOR(FLOOR((2*XLOOKUP($Q130,'Threshold Summary'!$Y:$Y,'Threshold Summary'!$L:$L,"")/5+2)*pow*atk/def)/50)+2)),modifier,stab*eff,AVERAGE(ARRAYFORMULA(FLOOR(base*modifier*SEQUENCE(16,1,85,1)/100)))*MIN(1,acc/100)),0)</f>
        <v/>
      </c>
      <c r="N130" s="4">
        <f>IFERROR(LET(mtype,XLOOKUP($D130,'Move Editor'!$B:$B,'Move Editor'!$C:$C,""),cat,XLOOKUP($D130,'Move Editor'!$B:$B,'Move Editor'!$D:$D,""),pow,XLOOKUP($D130,'Move Editor'!$B:$B,'Move Editor'!$E:$E,0),acc,XLOOKUP($D130,'Move Editor'!$B:$B,'Move Editor'!$F:$F,100),atk,IF(cat="Physical",FLOOR((FLOOR(((2*XLOOKUP(XLOOKUP($Q130,'Threshold Summary'!$Y:$Y,'Threshold Summary'!$K:$K,""),'Pokemon Editor'!$A:$A,'Pokemon Editor'!$F:$F,0)+31+FLOOR(XLOOKUP($Q130,'Threshold Summary'!$Y:$Y,'Threshold Summary'!$P:$P,"")/4))*XLOOKUP($Q130,'Threshold Summary'!$Y:$Y,'Threshold Summary'!$L:$L,""))/100)+5)*XLOOKUP(XLOOKUP($Q130,'Threshold Summary'!$Y:$Y,'Threshold Summary'!$M:$M,""),'Nature Editor'!$A:$A,'Nature Editor'!$B:$B,1)),FLOOR((FLOOR(((2*XLOOKUP(XLOOKUP($Q130,'Threshold Summary'!$Y:$Y,'Threshold Summary'!$K:$K,""),'Pokemon Editor'!$A:$A,'Pokemon Editor'!$H:$H,0)+31+FLOOR(XLOOKUP($Q130,'Threshold Summary'!$Y:$Y,'Threshold Summary'!$R:$R,"")/4))*XLOOKUP($Q130,'Threshold Summary'!$Y:$Y,'Threshold Summary'!$L:$L,""))/100)+5)*XLOOKUP(XLOOKUP($Q130,'Threshold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Editor'!$E:$E,1))),stab,IF(OR(mtype=XLOOKUP(XLOOKUP($Q130,'Threshold Summary'!$Y:$Y,'Threshold Summary'!$K:$K,""),'Pokemon Editor'!$A:$A,'Pokemon Editor'!$C:$C,""),mtype=XLOOKUP(XLOOKUP($Q130,'Threshold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Chart'!$B$1:$S$1,0)))),base,IF(OR(cat="Status",pow=0),0,FLOOR(FLOOR(FLOOR((2*XLOOKUP($Q130,'Threshold Summary'!$Y:$Y,'Threshold Summary'!$L:$L,"")/5+2)*pow*atk/def)/50)+2)),modifier,stab*eff,AVERAGE(ARRAYFORMULA(FLOOR(base*modifier*SEQUENCE(16,1,85,1)/100)))/(FLOOR(((2*XLOOKUP('Boss Editor'!$C$4,'Pokemon Editor'!$A:$A,'Pokemon Editor'!$E:$E,0)+31+FLOOR('Boss Editor'!$G$4/4))*'Boss Editor'!$D$4)/100)+'Boss Editor'!$D$4+10)),0)</f>
        <v/>
      </c>
      <c r="O130" s="3">
        <f>IF(N130&gt;=1,"OHKO",IF(N130&gt;=0.5,"2HKO",IF(N130&gt;=0.333,"3HKO",IF(N130&gt;=0.25,"4HKO","5HKO+"))))</f>
        <v/>
      </c>
      <c r="P130" s="3" t="inlineStr">
        <is>
          <t>Live from editable databases</t>
        </is>
      </c>
      <c r="Q130" s="3" t="inlineStr">
        <is>
          <t>SPECIES_TORCHIC</t>
        </is>
      </c>
      <c r="R130" s="3" t="n">
        <v>1</v>
      </c>
    </row>
    <row r="131">
      <c r="A131" s="3">
        <f>XLOOKUP($Q131,'Threshold Summary'!$Y:$Y,'Threshold Summary'!$A:$A,"")</f>
        <v/>
      </c>
      <c r="B131" s="3">
        <f>XLOOKUP($Q131,'Threshold Summary'!$Y:$Y,'Threshold Summary'!$M:$M,"")</f>
        <v/>
      </c>
      <c r="C131" s="3">
        <f>XLOOKUP($Q131,'Threshold Summary'!$Y:$Y,'Threshold Summary'!$N:$N,"")</f>
        <v/>
      </c>
      <c r="D131" s="3">
        <f>IFERROR(INDEX(FILTER('Learnset Editor'!$D$2:$D,'Learnset Editor'!$A$2:$A=XLOOKUP($Q131,'Threshold Summary'!$Y:$Y,'Threshold Summary'!$K:$K,""),'Learnset Editor'!$C$2:$C&lt;=XLOOKUP($Q131,'Threshold Summary'!$Y:$Y,'Threshold Summary'!$L:$L,"")),$R131),"")</f>
        <v/>
      </c>
      <c r="E131" s="3">
        <f>XLOOKUP(D131,'Move Editor'!$B:$B,'Move Editor'!$C:$C,"")</f>
        <v/>
      </c>
      <c r="F131" s="3">
        <f>XLOOKUP(D131,'Move Editor'!$B:$B,'Move Editor'!$D:$D,"")</f>
        <v/>
      </c>
      <c r="G131" s="3">
        <f>XLOOKUP(D131,'Move Editor'!$B:$B,'Move Editor'!$E:$E,0)</f>
        <v/>
      </c>
      <c r="H131" s="3">
        <f>XLOOKUP(D131,'Move Editor'!$B:$B,'Move Editor'!$F:$F,0)</f>
        <v/>
      </c>
      <c r="I131" s="3">
        <f>(INDEX('Type Chart'!$B:$S,MATCH(E131,'Type Chart'!$A:$A,0),MATCH(XLOOKUP('Boss Editor'!$C$4,'Pokemon Editor'!$A:$A,'Pokemon Editor'!$C:$C,""),'Type Chart'!$B$1:$S$1,0))*IF(XLOOKUP('Boss Editor'!$C$4,'Pokemon Editor'!$A:$A,'Pokemon Editor'!$D:$D,"")="",1,INDEX('Type Chart'!$B:$S,MATCH(E131,'Type Chart'!$A:$A,0),MATCH(XLOOKUP('Boss Editor'!$C$4,'Pokemon Editor'!$A:$A,'Pokemon Editor'!$D:$D,""),'Type Chart'!$B$1:$S$1,0))))</f>
        <v/>
      </c>
      <c r="J131" s="3">
        <f>IFERROR(LET(mtype,XLOOKUP($D131,'Move Editor'!$B:$B,'Move Editor'!$C:$C,""),cat,XLOOKUP($D131,'Move Editor'!$B:$B,'Move Editor'!$D:$D,""),pow,XLOOKUP($D131,'Move Editor'!$B:$B,'Move Editor'!$E:$E,0),acc,XLOOKUP($D131,'Move Editor'!$B:$B,'Move Editor'!$F:$F,100),atk,IF(cat="Physical",FLOOR((FLOOR(((2*XLOOKUP(XLOOKUP($Q131,'Threshold Summary'!$Y:$Y,'Threshold Summary'!$K:$K,""),'Pokemon Editor'!$A:$A,'Pokemon Editor'!$F:$F,0)+31+FLOOR(XLOOKUP($Q131,'Threshold Summary'!$Y:$Y,'Threshold Summary'!$P:$P,"")/4))*XLOOKUP($Q131,'Threshold Summary'!$Y:$Y,'Threshold Summary'!$L:$L,""))/100)+5)*XLOOKUP(XLOOKUP($Q131,'Threshold Summary'!$Y:$Y,'Threshold Summary'!$M:$M,""),'Nature Editor'!$A:$A,'Nature Editor'!$B:$B,1)),FLOOR((FLOOR(((2*XLOOKUP(XLOOKUP($Q131,'Threshold Summary'!$Y:$Y,'Threshold Summary'!$K:$K,""),'Pokemon Editor'!$A:$A,'Pokemon Editor'!$H:$H,0)+31+FLOOR(XLOOKUP($Q131,'Threshold Summary'!$Y:$Y,'Threshold Summary'!$R:$R,"")/4))*XLOOKUP($Q131,'Threshold Summary'!$Y:$Y,'Threshold Summary'!$L:$L,""))/100)+5)*XLOOKUP(XLOOKUP($Q131,'Threshold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Editor'!$E:$E,1))),stab,IF(OR(mtype=XLOOKUP(XLOOKUP($Q131,'Threshold Summary'!$Y:$Y,'Threshold Summary'!$K:$K,""),'Pokemon Editor'!$A:$A,'Pokemon Editor'!$C:$C,""),mtype=XLOOKUP(XLOOKUP($Q131,'Threshold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Chart'!$B$1:$S$1,0)))),base,IF(OR(cat="Status",pow=0),0,FLOOR(FLOOR(FLOOR((2*XLOOKUP($Q131,'Threshold Summary'!$Y:$Y,'Threshold Summary'!$L:$L,"")/5+2)*pow*atk/def)/50)+2)),modifier,stab*eff,FLOOR(base*modifier*0.85)),0)</f>
        <v/>
      </c>
      <c r="K131" s="3">
        <f>IFERROR(LET(mtype,XLOOKUP($D131,'Move Editor'!$B:$B,'Move Editor'!$C:$C,""),cat,XLOOKUP($D131,'Move Editor'!$B:$B,'Move Editor'!$D:$D,""),pow,XLOOKUP($D131,'Move Editor'!$B:$B,'Move Editor'!$E:$E,0),acc,XLOOKUP($D131,'Move Editor'!$B:$B,'Move Editor'!$F:$F,100),atk,IF(cat="Physical",FLOOR((FLOOR(((2*XLOOKUP(XLOOKUP($Q131,'Threshold Summary'!$Y:$Y,'Threshold Summary'!$K:$K,""),'Pokemon Editor'!$A:$A,'Pokemon Editor'!$F:$F,0)+31+FLOOR(XLOOKUP($Q131,'Threshold Summary'!$Y:$Y,'Threshold Summary'!$P:$P,"")/4))*XLOOKUP($Q131,'Threshold Summary'!$Y:$Y,'Threshold Summary'!$L:$L,""))/100)+5)*XLOOKUP(XLOOKUP($Q131,'Threshold Summary'!$Y:$Y,'Threshold Summary'!$M:$M,""),'Nature Editor'!$A:$A,'Nature Editor'!$B:$B,1)),FLOOR((FLOOR(((2*XLOOKUP(XLOOKUP($Q131,'Threshold Summary'!$Y:$Y,'Threshold Summary'!$K:$K,""),'Pokemon Editor'!$A:$A,'Pokemon Editor'!$H:$H,0)+31+FLOOR(XLOOKUP($Q131,'Threshold Summary'!$Y:$Y,'Threshold Summary'!$R:$R,"")/4))*XLOOKUP($Q131,'Threshold Summary'!$Y:$Y,'Threshold Summary'!$L:$L,""))/100)+5)*XLOOKUP(XLOOKUP($Q131,'Threshold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Editor'!$E:$E,1))),stab,IF(OR(mtype=XLOOKUP(XLOOKUP($Q131,'Threshold Summary'!$Y:$Y,'Threshold Summary'!$K:$K,""),'Pokemon Editor'!$A:$A,'Pokemon Editor'!$C:$C,""),mtype=XLOOKUP(XLOOKUP($Q131,'Threshold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Chart'!$B$1:$S$1,0)))),base,IF(OR(cat="Status",pow=0),0,FLOOR(FLOOR(FLOOR((2*XLOOKUP($Q131,'Threshold Summary'!$Y:$Y,'Threshold Summary'!$L:$L,"")/5+2)*pow*atk/def)/50)+2)),modifier,stab*eff,FLOOR(base*modifier)),0)</f>
        <v/>
      </c>
      <c r="L131" s="3">
        <f>IFERROR(LET(mtype,XLOOKUP($D131,'Move Editor'!$B:$B,'Move Editor'!$C:$C,""),cat,XLOOKUP($D131,'Move Editor'!$B:$B,'Move Editor'!$D:$D,""),pow,XLOOKUP($D131,'Move Editor'!$B:$B,'Move Editor'!$E:$E,0),acc,XLOOKUP($D131,'Move Editor'!$B:$B,'Move Editor'!$F:$F,100),atk,IF(cat="Physical",FLOOR((FLOOR(((2*XLOOKUP(XLOOKUP($Q131,'Threshold Summary'!$Y:$Y,'Threshold Summary'!$K:$K,""),'Pokemon Editor'!$A:$A,'Pokemon Editor'!$F:$F,0)+31+FLOOR(XLOOKUP($Q131,'Threshold Summary'!$Y:$Y,'Threshold Summary'!$P:$P,"")/4))*XLOOKUP($Q131,'Threshold Summary'!$Y:$Y,'Threshold Summary'!$L:$L,""))/100)+5)*XLOOKUP(XLOOKUP($Q131,'Threshold Summary'!$Y:$Y,'Threshold Summary'!$M:$M,""),'Nature Editor'!$A:$A,'Nature Editor'!$B:$B,1)),FLOOR((FLOOR(((2*XLOOKUP(XLOOKUP($Q131,'Threshold Summary'!$Y:$Y,'Threshold Summary'!$K:$K,""),'Pokemon Editor'!$A:$A,'Pokemon Editor'!$H:$H,0)+31+FLOOR(XLOOKUP($Q131,'Threshold Summary'!$Y:$Y,'Threshold Summary'!$R:$R,"")/4))*XLOOKUP($Q131,'Threshold Summary'!$Y:$Y,'Threshold Summary'!$L:$L,""))/100)+5)*XLOOKUP(XLOOKUP($Q131,'Threshold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Editor'!$E:$E,1))),stab,IF(OR(mtype=XLOOKUP(XLOOKUP($Q131,'Threshold Summary'!$Y:$Y,'Threshold Summary'!$K:$K,""),'Pokemon Editor'!$A:$A,'Pokemon Editor'!$C:$C,""),mtype=XLOOKUP(XLOOKUP($Q131,'Threshold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Chart'!$B$1:$S$1,0)))),base,IF(OR(cat="Status",pow=0),0,FLOOR(FLOOR(FLOOR((2*XLOOKUP($Q131,'Threshold Summary'!$Y:$Y,'Threshold Summary'!$L:$L,"")/5+2)*pow*atk/def)/50)+2)),modifier,stab*eff,AVERAGE(ARRAYFORMULA(FLOOR(base*modifier*SEQUENCE(16,1,85,1)/100)))),0)</f>
        <v/>
      </c>
      <c r="M131" s="3">
        <f>IFERROR(LET(mtype,XLOOKUP($D131,'Move Editor'!$B:$B,'Move Editor'!$C:$C,""),cat,XLOOKUP($D131,'Move Editor'!$B:$B,'Move Editor'!$D:$D,""),pow,XLOOKUP($D131,'Move Editor'!$B:$B,'Move Editor'!$E:$E,0),acc,XLOOKUP($D131,'Move Editor'!$B:$B,'Move Editor'!$F:$F,100),atk,IF(cat="Physical",FLOOR((FLOOR(((2*XLOOKUP(XLOOKUP($Q131,'Threshold Summary'!$Y:$Y,'Threshold Summary'!$K:$K,""),'Pokemon Editor'!$A:$A,'Pokemon Editor'!$F:$F,0)+31+FLOOR(XLOOKUP($Q131,'Threshold Summary'!$Y:$Y,'Threshold Summary'!$P:$P,"")/4))*XLOOKUP($Q131,'Threshold Summary'!$Y:$Y,'Threshold Summary'!$L:$L,""))/100)+5)*XLOOKUP(XLOOKUP($Q131,'Threshold Summary'!$Y:$Y,'Threshold Summary'!$M:$M,""),'Nature Editor'!$A:$A,'Nature Editor'!$B:$B,1)),FLOOR((FLOOR(((2*XLOOKUP(XLOOKUP($Q131,'Threshold Summary'!$Y:$Y,'Threshold Summary'!$K:$K,""),'Pokemon Editor'!$A:$A,'Pokemon Editor'!$H:$H,0)+31+FLOOR(XLOOKUP($Q131,'Threshold Summary'!$Y:$Y,'Threshold Summary'!$R:$R,"")/4))*XLOOKUP($Q131,'Threshold Summary'!$Y:$Y,'Threshold Summary'!$L:$L,""))/100)+5)*XLOOKUP(XLOOKUP($Q131,'Threshold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Editor'!$E:$E,1))),stab,IF(OR(mtype=XLOOKUP(XLOOKUP($Q131,'Threshold Summary'!$Y:$Y,'Threshold Summary'!$K:$K,""),'Pokemon Editor'!$A:$A,'Pokemon Editor'!$C:$C,""),mtype=XLOOKUP(XLOOKUP($Q131,'Threshold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Chart'!$B$1:$S$1,0)))),base,IF(OR(cat="Status",pow=0),0,FLOOR(FLOOR(FLOOR((2*XLOOKUP($Q131,'Threshold Summary'!$Y:$Y,'Threshold Summary'!$L:$L,"")/5+2)*pow*atk/def)/50)+2)),modifier,stab*eff,AVERAGE(ARRAYFORMULA(FLOOR(base*modifier*SEQUENCE(16,1,85,1)/100)))*MIN(1,acc/100)),0)</f>
        <v/>
      </c>
      <c r="N131" s="4">
        <f>IFERROR(LET(mtype,XLOOKUP($D131,'Move Editor'!$B:$B,'Move Editor'!$C:$C,""),cat,XLOOKUP($D131,'Move Editor'!$B:$B,'Move Editor'!$D:$D,""),pow,XLOOKUP($D131,'Move Editor'!$B:$B,'Move Editor'!$E:$E,0),acc,XLOOKUP($D131,'Move Editor'!$B:$B,'Move Editor'!$F:$F,100),atk,IF(cat="Physical",FLOOR((FLOOR(((2*XLOOKUP(XLOOKUP($Q131,'Threshold Summary'!$Y:$Y,'Threshold Summary'!$K:$K,""),'Pokemon Editor'!$A:$A,'Pokemon Editor'!$F:$F,0)+31+FLOOR(XLOOKUP($Q131,'Threshold Summary'!$Y:$Y,'Threshold Summary'!$P:$P,"")/4))*XLOOKUP($Q131,'Threshold Summary'!$Y:$Y,'Threshold Summary'!$L:$L,""))/100)+5)*XLOOKUP(XLOOKUP($Q131,'Threshold Summary'!$Y:$Y,'Threshold Summary'!$M:$M,""),'Nature Editor'!$A:$A,'Nature Editor'!$B:$B,1)),FLOOR((FLOOR(((2*XLOOKUP(XLOOKUP($Q131,'Threshold Summary'!$Y:$Y,'Threshold Summary'!$K:$K,""),'Pokemon Editor'!$A:$A,'Pokemon Editor'!$H:$H,0)+31+FLOOR(XLOOKUP($Q131,'Threshold Summary'!$Y:$Y,'Threshold Summary'!$R:$R,"")/4))*XLOOKUP($Q131,'Threshold Summary'!$Y:$Y,'Threshold Summary'!$L:$L,""))/100)+5)*XLOOKUP(XLOOKUP($Q131,'Threshold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Editor'!$E:$E,1))),stab,IF(OR(mtype=XLOOKUP(XLOOKUP($Q131,'Threshold Summary'!$Y:$Y,'Threshold Summary'!$K:$K,""),'Pokemon Editor'!$A:$A,'Pokemon Editor'!$C:$C,""),mtype=XLOOKUP(XLOOKUP($Q131,'Threshold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Chart'!$B$1:$S$1,0)))),base,IF(OR(cat="Status",pow=0),0,FLOOR(FLOOR(FLOOR((2*XLOOKUP($Q131,'Threshold Summary'!$Y:$Y,'Threshold Summary'!$L:$L,"")/5+2)*pow*atk/def)/50)+2)),modifier,stab*eff,AVERAGE(ARRAYFORMULA(FLOOR(base*modifier*SEQUENCE(16,1,85,1)/100)))/(FLOOR(((2*XLOOKUP('Boss Editor'!$C$4,'Pokemon Editor'!$A:$A,'Pokemon Editor'!$E:$E,0)+31+FLOOR('Boss Editor'!$G$4/4))*'Boss Editor'!$D$4)/100)+'Boss Editor'!$D$4+10)),0)</f>
        <v/>
      </c>
      <c r="O131" s="3">
        <f>IF(N131&gt;=1,"OHKO",IF(N131&gt;=0.5,"2HKO",IF(N131&gt;=0.333,"3HKO",IF(N131&gt;=0.25,"4HKO","5HKO+"))))</f>
        <v/>
      </c>
      <c r="P131" s="3" t="inlineStr">
        <is>
          <t>Live from editable databases</t>
        </is>
      </c>
      <c r="Q131" s="3" t="inlineStr">
        <is>
          <t>SPECIES_TORCHIC</t>
        </is>
      </c>
      <c r="R131" s="3" t="n">
        <v>2</v>
      </c>
    </row>
    <row r="132">
      <c r="A132" s="3">
        <f>XLOOKUP($Q132,'Threshold Summary'!$Y:$Y,'Threshold Summary'!$A:$A,"")</f>
        <v/>
      </c>
      <c r="B132" s="3">
        <f>XLOOKUP($Q132,'Threshold Summary'!$Y:$Y,'Threshold Summary'!$M:$M,"")</f>
        <v/>
      </c>
      <c r="C132" s="3">
        <f>XLOOKUP($Q132,'Threshold Summary'!$Y:$Y,'Threshold Summary'!$N:$N,"")</f>
        <v/>
      </c>
      <c r="D132" s="3">
        <f>IFERROR(INDEX(FILTER('Learnset Editor'!$D$2:$D,'Learnset Editor'!$A$2:$A=XLOOKUP($Q132,'Threshold Summary'!$Y:$Y,'Threshold Summary'!$K:$K,""),'Learnset Editor'!$C$2:$C&lt;=XLOOKUP($Q132,'Threshold Summary'!$Y:$Y,'Threshold Summary'!$L:$L,"")),$R132),"")</f>
        <v/>
      </c>
      <c r="E132" s="3">
        <f>XLOOKUP(D132,'Move Editor'!$B:$B,'Move Editor'!$C:$C,"")</f>
        <v/>
      </c>
      <c r="F132" s="3">
        <f>XLOOKUP(D132,'Move Editor'!$B:$B,'Move Editor'!$D:$D,"")</f>
        <v/>
      </c>
      <c r="G132" s="3">
        <f>XLOOKUP(D132,'Move Editor'!$B:$B,'Move Editor'!$E:$E,0)</f>
        <v/>
      </c>
      <c r="H132" s="3">
        <f>XLOOKUP(D132,'Move Editor'!$B:$B,'Move Editor'!$F:$F,0)</f>
        <v/>
      </c>
      <c r="I132" s="3">
        <f>(INDEX('Type Chart'!$B:$S,MATCH(E132,'Type Chart'!$A:$A,0),MATCH(XLOOKUP('Boss Editor'!$C$4,'Pokemon Editor'!$A:$A,'Pokemon Editor'!$C:$C,""),'Type Chart'!$B$1:$S$1,0))*IF(XLOOKUP('Boss Editor'!$C$4,'Pokemon Editor'!$A:$A,'Pokemon Editor'!$D:$D,"")="",1,INDEX('Type Chart'!$B:$S,MATCH(E132,'Type Chart'!$A:$A,0),MATCH(XLOOKUP('Boss Editor'!$C$4,'Pokemon Editor'!$A:$A,'Pokemon Editor'!$D:$D,""),'Type Chart'!$B$1:$S$1,0))))</f>
        <v/>
      </c>
      <c r="J132" s="3">
        <f>IFERROR(LET(mtype,XLOOKUP($D132,'Move Editor'!$B:$B,'Move Editor'!$C:$C,""),cat,XLOOKUP($D132,'Move Editor'!$B:$B,'Move Editor'!$D:$D,""),pow,XLOOKUP($D132,'Move Editor'!$B:$B,'Move Editor'!$E:$E,0),acc,XLOOKUP($D132,'Move Editor'!$B:$B,'Move Editor'!$F:$F,100),atk,IF(cat="Physical",FLOOR((FLOOR(((2*XLOOKUP(XLOOKUP($Q132,'Threshold Summary'!$Y:$Y,'Threshold Summary'!$K:$K,""),'Pokemon Editor'!$A:$A,'Pokemon Editor'!$F:$F,0)+31+FLOOR(XLOOKUP($Q132,'Threshold Summary'!$Y:$Y,'Threshold Summary'!$P:$P,"")/4))*XLOOKUP($Q132,'Threshold Summary'!$Y:$Y,'Threshold Summary'!$L:$L,""))/100)+5)*XLOOKUP(XLOOKUP($Q132,'Threshold Summary'!$Y:$Y,'Threshold Summary'!$M:$M,""),'Nature Editor'!$A:$A,'Nature Editor'!$B:$B,1)),FLOOR((FLOOR(((2*XLOOKUP(XLOOKUP($Q132,'Threshold Summary'!$Y:$Y,'Threshold Summary'!$K:$K,""),'Pokemon Editor'!$A:$A,'Pokemon Editor'!$H:$H,0)+31+FLOOR(XLOOKUP($Q132,'Threshold Summary'!$Y:$Y,'Threshold Summary'!$R:$R,"")/4))*XLOOKUP($Q132,'Threshold Summary'!$Y:$Y,'Threshold Summary'!$L:$L,""))/100)+5)*XLOOKUP(XLOOKUP($Q132,'Threshold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Editor'!$E:$E,1))),stab,IF(OR(mtype=XLOOKUP(XLOOKUP($Q132,'Threshold Summary'!$Y:$Y,'Threshold Summary'!$K:$K,""),'Pokemon Editor'!$A:$A,'Pokemon Editor'!$C:$C,""),mtype=XLOOKUP(XLOOKUP($Q132,'Threshold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Chart'!$B$1:$S$1,0)))),base,IF(OR(cat="Status",pow=0),0,FLOOR(FLOOR(FLOOR((2*XLOOKUP($Q132,'Threshold Summary'!$Y:$Y,'Threshold Summary'!$L:$L,"")/5+2)*pow*atk/def)/50)+2)),modifier,stab*eff,FLOOR(base*modifier*0.85)),0)</f>
        <v/>
      </c>
      <c r="K132" s="3">
        <f>IFERROR(LET(mtype,XLOOKUP($D132,'Move Editor'!$B:$B,'Move Editor'!$C:$C,""),cat,XLOOKUP($D132,'Move Editor'!$B:$B,'Move Editor'!$D:$D,""),pow,XLOOKUP($D132,'Move Editor'!$B:$B,'Move Editor'!$E:$E,0),acc,XLOOKUP($D132,'Move Editor'!$B:$B,'Move Editor'!$F:$F,100),atk,IF(cat="Physical",FLOOR((FLOOR(((2*XLOOKUP(XLOOKUP($Q132,'Threshold Summary'!$Y:$Y,'Threshold Summary'!$K:$K,""),'Pokemon Editor'!$A:$A,'Pokemon Editor'!$F:$F,0)+31+FLOOR(XLOOKUP($Q132,'Threshold Summary'!$Y:$Y,'Threshold Summary'!$P:$P,"")/4))*XLOOKUP($Q132,'Threshold Summary'!$Y:$Y,'Threshold Summary'!$L:$L,""))/100)+5)*XLOOKUP(XLOOKUP($Q132,'Threshold Summary'!$Y:$Y,'Threshold Summary'!$M:$M,""),'Nature Editor'!$A:$A,'Nature Editor'!$B:$B,1)),FLOOR((FLOOR(((2*XLOOKUP(XLOOKUP($Q132,'Threshold Summary'!$Y:$Y,'Threshold Summary'!$K:$K,""),'Pokemon Editor'!$A:$A,'Pokemon Editor'!$H:$H,0)+31+FLOOR(XLOOKUP($Q132,'Threshold Summary'!$Y:$Y,'Threshold Summary'!$R:$R,"")/4))*XLOOKUP($Q132,'Threshold Summary'!$Y:$Y,'Threshold Summary'!$L:$L,""))/100)+5)*XLOOKUP(XLOOKUP($Q132,'Threshold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Editor'!$E:$E,1))),stab,IF(OR(mtype=XLOOKUP(XLOOKUP($Q132,'Threshold Summary'!$Y:$Y,'Threshold Summary'!$K:$K,""),'Pokemon Editor'!$A:$A,'Pokemon Editor'!$C:$C,""),mtype=XLOOKUP(XLOOKUP($Q132,'Threshold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Chart'!$B$1:$S$1,0)))),base,IF(OR(cat="Status",pow=0),0,FLOOR(FLOOR(FLOOR((2*XLOOKUP($Q132,'Threshold Summary'!$Y:$Y,'Threshold Summary'!$L:$L,"")/5+2)*pow*atk/def)/50)+2)),modifier,stab*eff,FLOOR(base*modifier)),0)</f>
        <v/>
      </c>
      <c r="L132" s="3">
        <f>IFERROR(LET(mtype,XLOOKUP($D132,'Move Editor'!$B:$B,'Move Editor'!$C:$C,""),cat,XLOOKUP($D132,'Move Editor'!$B:$B,'Move Editor'!$D:$D,""),pow,XLOOKUP($D132,'Move Editor'!$B:$B,'Move Editor'!$E:$E,0),acc,XLOOKUP($D132,'Move Editor'!$B:$B,'Move Editor'!$F:$F,100),atk,IF(cat="Physical",FLOOR((FLOOR(((2*XLOOKUP(XLOOKUP($Q132,'Threshold Summary'!$Y:$Y,'Threshold Summary'!$K:$K,""),'Pokemon Editor'!$A:$A,'Pokemon Editor'!$F:$F,0)+31+FLOOR(XLOOKUP($Q132,'Threshold Summary'!$Y:$Y,'Threshold Summary'!$P:$P,"")/4))*XLOOKUP($Q132,'Threshold Summary'!$Y:$Y,'Threshold Summary'!$L:$L,""))/100)+5)*XLOOKUP(XLOOKUP($Q132,'Threshold Summary'!$Y:$Y,'Threshold Summary'!$M:$M,""),'Nature Editor'!$A:$A,'Nature Editor'!$B:$B,1)),FLOOR((FLOOR(((2*XLOOKUP(XLOOKUP($Q132,'Threshold Summary'!$Y:$Y,'Threshold Summary'!$K:$K,""),'Pokemon Editor'!$A:$A,'Pokemon Editor'!$H:$H,0)+31+FLOOR(XLOOKUP($Q132,'Threshold Summary'!$Y:$Y,'Threshold Summary'!$R:$R,"")/4))*XLOOKUP($Q132,'Threshold Summary'!$Y:$Y,'Threshold Summary'!$L:$L,""))/100)+5)*XLOOKUP(XLOOKUP($Q132,'Threshold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Editor'!$E:$E,1))),stab,IF(OR(mtype=XLOOKUP(XLOOKUP($Q132,'Threshold Summary'!$Y:$Y,'Threshold Summary'!$K:$K,""),'Pokemon Editor'!$A:$A,'Pokemon Editor'!$C:$C,""),mtype=XLOOKUP(XLOOKUP($Q132,'Threshold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Chart'!$B$1:$S$1,0)))),base,IF(OR(cat="Status",pow=0),0,FLOOR(FLOOR(FLOOR((2*XLOOKUP($Q132,'Threshold Summary'!$Y:$Y,'Threshold Summary'!$L:$L,"")/5+2)*pow*atk/def)/50)+2)),modifier,stab*eff,AVERAGE(ARRAYFORMULA(FLOOR(base*modifier*SEQUENCE(16,1,85,1)/100)))),0)</f>
        <v/>
      </c>
      <c r="M132" s="3">
        <f>IFERROR(LET(mtype,XLOOKUP($D132,'Move Editor'!$B:$B,'Move Editor'!$C:$C,""),cat,XLOOKUP($D132,'Move Editor'!$B:$B,'Move Editor'!$D:$D,""),pow,XLOOKUP($D132,'Move Editor'!$B:$B,'Move Editor'!$E:$E,0),acc,XLOOKUP($D132,'Move Editor'!$B:$B,'Move Editor'!$F:$F,100),atk,IF(cat="Physical",FLOOR((FLOOR(((2*XLOOKUP(XLOOKUP($Q132,'Threshold Summary'!$Y:$Y,'Threshold Summary'!$K:$K,""),'Pokemon Editor'!$A:$A,'Pokemon Editor'!$F:$F,0)+31+FLOOR(XLOOKUP($Q132,'Threshold Summary'!$Y:$Y,'Threshold Summary'!$P:$P,"")/4))*XLOOKUP($Q132,'Threshold Summary'!$Y:$Y,'Threshold Summary'!$L:$L,""))/100)+5)*XLOOKUP(XLOOKUP($Q132,'Threshold Summary'!$Y:$Y,'Threshold Summary'!$M:$M,""),'Nature Editor'!$A:$A,'Nature Editor'!$B:$B,1)),FLOOR((FLOOR(((2*XLOOKUP(XLOOKUP($Q132,'Threshold Summary'!$Y:$Y,'Threshold Summary'!$K:$K,""),'Pokemon Editor'!$A:$A,'Pokemon Editor'!$H:$H,0)+31+FLOOR(XLOOKUP($Q132,'Threshold Summary'!$Y:$Y,'Threshold Summary'!$R:$R,"")/4))*XLOOKUP($Q132,'Threshold Summary'!$Y:$Y,'Threshold Summary'!$L:$L,""))/100)+5)*XLOOKUP(XLOOKUP($Q132,'Threshold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Editor'!$E:$E,1))),stab,IF(OR(mtype=XLOOKUP(XLOOKUP($Q132,'Threshold Summary'!$Y:$Y,'Threshold Summary'!$K:$K,""),'Pokemon Editor'!$A:$A,'Pokemon Editor'!$C:$C,""),mtype=XLOOKUP(XLOOKUP($Q132,'Threshold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Chart'!$B$1:$S$1,0)))),base,IF(OR(cat="Status",pow=0),0,FLOOR(FLOOR(FLOOR((2*XLOOKUP($Q132,'Threshold Summary'!$Y:$Y,'Threshold Summary'!$L:$L,"")/5+2)*pow*atk/def)/50)+2)),modifier,stab*eff,AVERAGE(ARRAYFORMULA(FLOOR(base*modifier*SEQUENCE(16,1,85,1)/100)))*MIN(1,acc/100)),0)</f>
        <v/>
      </c>
      <c r="N132" s="4">
        <f>IFERROR(LET(mtype,XLOOKUP($D132,'Move Editor'!$B:$B,'Move Editor'!$C:$C,""),cat,XLOOKUP($D132,'Move Editor'!$B:$B,'Move Editor'!$D:$D,""),pow,XLOOKUP($D132,'Move Editor'!$B:$B,'Move Editor'!$E:$E,0),acc,XLOOKUP($D132,'Move Editor'!$B:$B,'Move Editor'!$F:$F,100),atk,IF(cat="Physical",FLOOR((FLOOR(((2*XLOOKUP(XLOOKUP($Q132,'Threshold Summary'!$Y:$Y,'Threshold Summary'!$K:$K,""),'Pokemon Editor'!$A:$A,'Pokemon Editor'!$F:$F,0)+31+FLOOR(XLOOKUP($Q132,'Threshold Summary'!$Y:$Y,'Threshold Summary'!$P:$P,"")/4))*XLOOKUP($Q132,'Threshold Summary'!$Y:$Y,'Threshold Summary'!$L:$L,""))/100)+5)*XLOOKUP(XLOOKUP($Q132,'Threshold Summary'!$Y:$Y,'Threshold Summary'!$M:$M,""),'Nature Editor'!$A:$A,'Nature Editor'!$B:$B,1)),FLOOR((FLOOR(((2*XLOOKUP(XLOOKUP($Q132,'Threshold Summary'!$Y:$Y,'Threshold Summary'!$K:$K,""),'Pokemon Editor'!$A:$A,'Pokemon Editor'!$H:$H,0)+31+FLOOR(XLOOKUP($Q132,'Threshold Summary'!$Y:$Y,'Threshold Summary'!$R:$R,"")/4))*XLOOKUP($Q132,'Threshold Summary'!$Y:$Y,'Threshold Summary'!$L:$L,""))/100)+5)*XLOOKUP(XLOOKUP($Q132,'Threshold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Editor'!$E:$E,1))),stab,IF(OR(mtype=XLOOKUP(XLOOKUP($Q132,'Threshold Summary'!$Y:$Y,'Threshold Summary'!$K:$K,""),'Pokemon Editor'!$A:$A,'Pokemon Editor'!$C:$C,""),mtype=XLOOKUP(XLOOKUP($Q132,'Threshold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Chart'!$B$1:$S$1,0)))),base,IF(OR(cat="Status",pow=0),0,FLOOR(FLOOR(FLOOR((2*XLOOKUP($Q132,'Threshold Summary'!$Y:$Y,'Threshold Summary'!$L:$L,"")/5+2)*pow*atk/def)/50)+2)),modifier,stab*eff,AVERAGE(ARRAYFORMULA(FLOOR(base*modifier*SEQUENCE(16,1,85,1)/100)))/(FLOOR(((2*XLOOKUP('Boss Editor'!$C$4,'Pokemon Editor'!$A:$A,'Pokemon Editor'!$E:$E,0)+31+FLOOR('Boss Editor'!$G$4/4))*'Boss Editor'!$D$4)/100)+'Boss Editor'!$D$4+10)),0)</f>
        <v/>
      </c>
      <c r="O132" s="3">
        <f>IF(N132&gt;=1,"OHKO",IF(N132&gt;=0.5,"2HKO",IF(N132&gt;=0.333,"3HKO",IF(N132&gt;=0.25,"4HKO","5HKO+"))))</f>
        <v/>
      </c>
      <c r="P132" s="3" t="inlineStr">
        <is>
          <t>Live from editable databases</t>
        </is>
      </c>
      <c r="Q132" s="3" t="inlineStr">
        <is>
          <t>SPECIES_TORCHIC</t>
        </is>
      </c>
      <c r="R132" s="3" t="n">
        <v>3</v>
      </c>
    </row>
    <row r="133">
      <c r="A133" s="3">
        <f>XLOOKUP($Q133,'Threshold Summary'!$Y:$Y,'Threshold Summary'!$A:$A,"")</f>
        <v/>
      </c>
      <c r="B133" s="3">
        <f>XLOOKUP($Q133,'Threshold Summary'!$Y:$Y,'Threshold Summary'!$M:$M,"")</f>
        <v/>
      </c>
      <c r="C133" s="3">
        <f>XLOOKUP($Q133,'Threshold Summary'!$Y:$Y,'Threshold Summary'!$N:$N,"")</f>
        <v/>
      </c>
      <c r="D133" s="3">
        <f>IFERROR(INDEX(FILTER('Learnset Editor'!$D$2:$D,'Learnset Editor'!$A$2:$A=XLOOKUP($Q133,'Threshold Summary'!$Y:$Y,'Threshold Summary'!$K:$K,""),'Learnset Editor'!$C$2:$C&lt;=XLOOKUP($Q133,'Threshold Summary'!$Y:$Y,'Threshold Summary'!$L:$L,"")),$R133),"")</f>
        <v/>
      </c>
      <c r="E133" s="3">
        <f>XLOOKUP(D133,'Move Editor'!$B:$B,'Move Editor'!$C:$C,"")</f>
        <v/>
      </c>
      <c r="F133" s="3">
        <f>XLOOKUP(D133,'Move Editor'!$B:$B,'Move Editor'!$D:$D,"")</f>
        <v/>
      </c>
      <c r="G133" s="3">
        <f>XLOOKUP(D133,'Move Editor'!$B:$B,'Move Editor'!$E:$E,0)</f>
        <v/>
      </c>
      <c r="H133" s="3">
        <f>XLOOKUP(D133,'Move Editor'!$B:$B,'Move Editor'!$F:$F,0)</f>
        <v/>
      </c>
      <c r="I133" s="3">
        <f>(INDEX('Type Chart'!$B:$S,MATCH(E133,'Type Chart'!$A:$A,0),MATCH(XLOOKUP('Boss Editor'!$C$4,'Pokemon Editor'!$A:$A,'Pokemon Editor'!$C:$C,""),'Type Chart'!$B$1:$S$1,0))*IF(XLOOKUP('Boss Editor'!$C$4,'Pokemon Editor'!$A:$A,'Pokemon Editor'!$D:$D,"")="",1,INDEX('Type Chart'!$B:$S,MATCH(E133,'Type Chart'!$A:$A,0),MATCH(XLOOKUP('Boss Editor'!$C$4,'Pokemon Editor'!$A:$A,'Pokemon Editor'!$D:$D,""),'Type Chart'!$B$1:$S$1,0))))</f>
        <v/>
      </c>
      <c r="J133" s="3">
        <f>IFERROR(LET(mtype,XLOOKUP($D133,'Move Editor'!$B:$B,'Move Editor'!$C:$C,""),cat,XLOOKUP($D133,'Move Editor'!$B:$B,'Move Editor'!$D:$D,""),pow,XLOOKUP($D133,'Move Editor'!$B:$B,'Move Editor'!$E:$E,0),acc,XLOOKUP($D133,'Move Editor'!$B:$B,'Move Editor'!$F:$F,100),atk,IF(cat="Physical",FLOOR((FLOOR(((2*XLOOKUP(XLOOKUP($Q133,'Threshold Summary'!$Y:$Y,'Threshold Summary'!$K:$K,""),'Pokemon Editor'!$A:$A,'Pokemon Editor'!$F:$F,0)+31+FLOOR(XLOOKUP($Q133,'Threshold Summary'!$Y:$Y,'Threshold Summary'!$P:$P,"")/4))*XLOOKUP($Q133,'Threshold Summary'!$Y:$Y,'Threshold Summary'!$L:$L,""))/100)+5)*XLOOKUP(XLOOKUP($Q133,'Threshold Summary'!$Y:$Y,'Threshold Summary'!$M:$M,""),'Nature Editor'!$A:$A,'Nature Editor'!$B:$B,1)),FLOOR((FLOOR(((2*XLOOKUP(XLOOKUP($Q133,'Threshold Summary'!$Y:$Y,'Threshold Summary'!$K:$K,""),'Pokemon Editor'!$A:$A,'Pokemon Editor'!$H:$H,0)+31+FLOOR(XLOOKUP($Q133,'Threshold Summary'!$Y:$Y,'Threshold Summary'!$R:$R,"")/4))*XLOOKUP($Q133,'Threshold Summary'!$Y:$Y,'Threshold Summary'!$L:$L,""))/100)+5)*XLOOKUP(XLOOKUP($Q133,'Threshold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Editor'!$E:$E,1))),stab,IF(OR(mtype=XLOOKUP(XLOOKUP($Q133,'Threshold Summary'!$Y:$Y,'Threshold Summary'!$K:$K,""),'Pokemon Editor'!$A:$A,'Pokemon Editor'!$C:$C,""),mtype=XLOOKUP(XLOOKUP($Q133,'Threshold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Chart'!$B$1:$S$1,0)))),base,IF(OR(cat="Status",pow=0),0,FLOOR(FLOOR(FLOOR((2*XLOOKUP($Q133,'Threshold Summary'!$Y:$Y,'Threshold Summary'!$L:$L,"")/5+2)*pow*atk/def)/50)+2)),modifier,stab*eff,FLOOR(base*modifier*0.85)),0)</f>
        <v/>
      </c>
      <c r="K133" s="3">
        <f>IFERROR(LET(mtype,XLOOKUP($D133,'Move Editor'!$B:$B,'Move Editor'!$C:$C,""),cat,XLOOKUP($D133,'Move Editor'!$B:$B,'Move Editor'!$D:$D,""),pow,XLOOKUP($D133,'Move Editor'!$B:$B,'Move Editor'!$E:$E,0),acc,XLOOKUP($D133,'Move Editor'!$B:$B,'Move Editor'!$F:$F,100),atk,IF(cat="Physical",FLOOR((FLOOR(((2*XLOOKUP(XLOOKUP($Q133,'Threshold Summary'!$Y:$Y,'Threshold Summary'!$K:$K,""),'Pokemon Editor'!$A:$A,'Pokemon Editor'!$F:$F,0)+31+FLOOR(XLOOKUP($Q133,'Threshold Summary'!$Y:$Y,'Threshold Summary'!$P:$P,"")/4))*XLOOKUP($Q133,'Threshold Summary'!$Y:$Y,'Threshold Summary'!$L:$L,""))/100)+5)*XLOOKUP(XLOOKUP($Q133,'Threshold Summary'!$Y:$Y,'Threshold Summary'!$M:$M,""),'Nature Editor'!$A:$A,'Nature Editor'!$B:$B,1)),FLOOR((FLOOR(((2*XLOOKUP(XLOOKUP($Q133,'Threshold Summary'!$Y:$Y,'Threshold Summary'!$K:$K,""),'Pokemon Editor'!$A:$A,'Pokemon Editor'!$H:$H,0)+31+FLOOR(XLOOKUP($Q133,'Threshold Summary'!$Y:$Y,'Threshold Summary'!$R:$R,"")/4))*XLOOKUP($Q133,'Threshold Summary'!$Y:$Y,'Threshold Summary'!$L:$L,""))/100)+5)*XLOOKUP(XLOOKUP($Q133,'Threshold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Editor'!$E:$E,1))),stab,IF(OR(mtype=XLOOKUP(XLOOKUP($Q133,'Threshold Summary'!$Y:$Y,'Threshold Summary'!$K:$K,""),'Pokemon Editor'!$A:$A,'Pokemon Editor'!$C:$C,""),mtype=XLOOKUP(XLOOKUP($Q133,'Threshold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Chart'!$B$1:$S$1,0)))),base,IF(OR(cat="Status",pow=0),0,FLOOR(FLOOR(FLOOR((2*XLOOKUP($Q133,'Threshold Summary'!$Y:$Y,'Threshold Summary'!$L:$L,"")/5+2)*pow*atk/def)/50)+2)),modifier,stab*eff,FLOOR(base*modifier)),0)</f>
        <v/>
      </c>
      <c r="L133" s="3">
        <f>IFERROR(LET(mtype,XLOOKUP($D133,'Move Editor'!$B:$B,'Move Editor'!$C:$C,""),cat,XLOOKUP($D133,'Move Editor'!$B:$B,'Move Editor'!$D:$D,""),pow,XLOOKUP($D133,'Move Editor'!$B:$B,'Move Editor'!$E:$E,0),acc,XLOOKUP($D133,'Move Editor'!$B:$B,'Move Editor'!$F:$F,100),atk,IF(cat="Physical",FLOOR((FLOOR(((2*XLOOKUP(XLOOKUP($Q133,'Threshold Summary'!$Y:$Y,'Threshold Summary'!$K:$K,""),'Pokemon Editor'!$A:$A,'Pokemon Editor'!$F:$F,0)+31+FLOOR(XLOOKUP($Q133,'Threshold Summary'!$Y:$Y,'Threshold Summary'!$P:$P,"")/4))*XLOOKUP($Q133,'Threshold Summary'!$Y:$Y,'Threshold Summary'!$L:$L,""))/100)+5)*XLOOKUP(XLOOKUP($Q133,'Threshold Summary'!$Y:$Y,'Threshold Summary'!$M:$M,""),'Nature Editor'!$A:$A,'Nature Editor'!$B:$B,1)),FLOOR((FLOOR(((2*XLOOKUP(XLOOKUP($Q133,'Threshold Summary'!$Y:$Y,'Threshold Summary'!$K:$K,""),'Pokemon Editor'!$A:$A,'Pokemon Editor'!$H:$H,0)+31+FLOOR(XLOOKUP($Q133,'Threshold Summary'!$Y:$Y,'Threshold Summary'!$R:$R,"")/4))*XLOOKUP($Q133,'Threshold Summary'!$Y:$Y,'Threshold Summary'!$L:$L,""))/100)+5)*XLOOKUP(XLOOKUP($Q133,'Threshold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Editor'!$E:$E,1))),stab,IF(OR(mtype=XLOOKUP(XLOOKUP($Q133,'Threshold Summary'!$Y:$Y,'Threshold Summary'!$K:$K,""),'Pokemon Editor'!$A:$A,'Pokemon Editor'!$C:$C,""),mtype=XLOOKUP(XLOOKUP($Q133,'Threshold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Chart'!$B$1:$S$1,0)))),base,IF(OR(cat="Status",pow=0),0,FLOOR(FLOOR(FLOOR((2*XLOOKUP($Q133,'Threshold Summary'!$Y:$Y,'Threshold Summary'!$L:$L,"")/5+2)*pow*atk/def)/50)+2)),modifier,stab*eff,AVERAGE(ARRAYFORMULA(FLOOR(base*modifier*SEQUENCE(16,1,85,1)/100)))),0)</f>
        <v/>
      </c>
      <c r="M133" s="3">
        <f>IFERROR(LET(mtype,XLOOKUP($D133,'Move Editor'!$B:$B,'Move Editor'!$C:$C,""),cat,XLOOKUP($D133,'Move Editor'!$B:$B,'Move Editor'!$D:$D,""),pow,XLOOKUP($D133,'Move Editor'!$B:$B,'Move Editor'!$E:$E,0),acc,XLOOKUP($D133,'Move Editor'!$B:$B,'Move Editor'!$F:$F,100),atk,IF(cat="Physical",FLOOR((FLOOR(((2*XLOOKUP(XLOOKUP($Q133,'Threshold Summary'!$Y:$Y,'Threshold Summary'!$K:$K,""),'Pokemon Editor'!$A:$A,'Pokemon Editor'!$F:$F,0)+31+FLOOR(XLOOKUP($Q133,'Threshold Summary'!$Y:$Y,'Threshold Summary'!$P:$P,"")/4))*XLOOKUP($Q133,'Threshold Summary'!$Y:$Y,'Threshold Summary'!$L:$L,""))/100)+5)*XLOOKUP(XLOOKUP($Q133,'Threshold Summary'!$Y:$Y,'Threshold Summary'!$M:$M,""),'Nature Editor'!$A:$A,'Nature Editor'!$B:$B,1)),FLOOR((FLOOR(((2*XLOOKUP(XLOOKUP($Q133,'Threshold Summary'!$Y:$Y,'Threshold Summary'!$K:$K,""),'Pokemon Editor'!$A:$A,'Pokemon Editor'!$H:$H,0)+31+FLOOR(XLOOKUP($Q133,'Threshold Summary'!$Y:$Y,'Threshold Summary'!$R:$R,"")/4))*XLOOKUP($Q133,'Threshold Summary'!$Y:$Y,'Threshold Summary'!$L:$L,""))/100)+5)*XLOOKUP(XLOOKUP($Q133,'Threshold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Editor'!$E:$E,1))),stab,IF(OR(mtype=XLOOKUP(XLOOKUP($Q133,'Threshold Summary'!$Y:$Y,'Threshold Summary'!$K:$K,""),'Pokemon Editor'!$A:$A,'Pokemon Editor'!$C:$C,""),mtype=XLOOKUP(XLOOKUP($Q133,'Threshold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Chart'!$B$1:$S$1,0)))),base,IF(OR(cat="Status",pow=0),0,FLOOR(FLOOR(FLOOR((2*XLOOKUP($Q133,'Threshold Summary'!$Y:$Y,'Threshold Summary'!$L:$L,"")/5+2)*pow*atk/def)/50)+2)),modifier,stab*eff,AVERAGE(ARRAYFORMULA(FLOOR(base*modifier*SEQUENCE(16,1,85,1)/100)))*MIN(1,acc/100)),0)</f>
        <v/>
      </c>
      <c r="N133" s="4">
        <f>IFERROR(LET(mtype,XLOOKUP($D133,'Move Editor'!$B:$B,'Move Editor'!$C:$C,""),cat,XLOOKUP($D133,'Move Editor'!$B:$B,'Move Editor'!$D:$D,""),pow,XLOOKUP($D133,'Move Editor'!$B:$B,'Move Editor'!$E:$E,0),acc,XLOOKUP($D133,'Move Editor'!$B:$B,'Move Editor'!$F:$F,100),atk,IF(cat="Physical",FLOOR((FLOOR(((2*XLOOKUP(XLOOKUP($Q133,'Threshold Summary'!$Y:$Y,'Threshold Summary'!$K:$K,""),'Pokemon Editor'!$A:$A,'Pokemon Editor'!$F:$F,0)+31+FLOOR(XLOOKUP($Q133,'Threshold Summary'!$Y:$Y,'Threshold Summary'!$P:$P,"")/4))*XLOOKUP($Q133,'Threshold Summary'!$Y:$Y,'Threshold Summary'!$L:$L,""))/100)+5)*XLOOKUP(XLOOKUP($Q133,'Threshold Summary'!$Y:$Y,'Threshold Summary'!$M:$M,""),'Nature Editor'!$A:$A,'Nature Editor'!$B:$B,1)),FLOOR((FLOOR(((2*XLOOKUP(XLOOKUP($Q133,'Threshold Summary'!$Y:$Y,'Threshold Summary'!$K:$K,""),'Pokemon Editor'!$A:$A,'Pokemon Editor'!$H:$H,0)+31+FLOOR(XLOOKUP($Q133,'Threshold Summary'!$Y:$Y,'Threshold Summary'!$R:$R,"")/4))*XLOOKUP($Q133,'Threshold Summary'!$Y:$Y,'Threshold Summary'!$L:$L,""))/100)+5)*XLOOKUP(XLOOKUP($Q133,'Threshold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Editor'!$E:$E,1))),stab,IF(OR(mtype=XLOOKUP(XLOOKUP($Q133,'Threshold Summary'!$Y:$Y,'Threshold Summary'!$K:$K,""),'Pokemon Editor'!$A:$A,'Pokemon Editor'!$C:$C,""),mtype=XLOOKUP(XLOOKUP($Q133,'Threshold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Chart'!$B$1:$S$1,0)))),base,IF(OR(cat="Status",pow=0),0,FLOOR(FLOOR(FLOOR((2*XLOOKUP($Q133,'Threshold Summary'!$Y:$Y,'Threshold Summary'!$L:$L,"")/5+2)*pow*atk/def)/50)+2)),modifier,stab*eff,AVERAGE(ARRAYFORMULA(FLOOR(base*modifier*SEQUENCE(16,1,85,1)/100)))/(FLOOR(((2*XLOOKUP('Boss Editor'!$C$4,'Pokemon Editor'!$A:$A,'Pokemon Editor'!$E:$E,0)+31+FLOOR('Boss Editor'!$G$4/4))*'Boss Editor'!$D$4)/100)+'Boss Editor'!$D$4+10)),0)</f>
        <v/>
      </c>
      <c r="O133" s="3">
        <f>IF(N133&gt;=1,"OHKO",IF(N133&gt;=0.5,"2HKO",IF(N133&gt;=0.333,"3HKO",IF(N133&gt;=0.25,"4HKO","5HKO+"))))</f>
        <v/>
      </c>
      <c r="P133" s="3" t="inlineStr">
        <is>
          <t>Live from editable databases</t>
        </is>
      </c>
      <c r="Q133" s="3" t="inlineStr">
        <is>
          <t>SPECIES_TORCHIC</t>
        </is>
      </c>
      <c r="R133" s="3" t="n">
        <v>4</v>
      </c>
    </row>
    <row r="134">
      <c r="A134" s="3">
        <f>XLOOKUP($Q134,'Threshold Summary'!$Y:$Y,'Threshold Summary'!$A:$A,"")</f>
        <v/>
      </c>
      <c r="B134" s="3">
        <f>XLOOKUP($Q134,'Threshold Summary'!$Y:$Y,'Threshold Summary'!$M:$M,"")</f>
        <v/>
      </c>
      <c r="C134" s="3">
        <f>XLOOKUP($Q134,'Threshold Summary'!$Y:$Y,'Threshold Summary'!$N:$N,"")</f>
        <v/>
      </c>
      <c r="D134" s="3">
        <f>IFERROR(INDEX(FILTER('Learnset Editor'!$D$2:$D,'Learnset Editor'!$A$2:$A=XLOOKUP($Q134,'Threshold Summary'!$Y:$Y,'Threshold Summary'!$K:$K,""),'Learnset Editor'!$C$2:$C&lt;=XLOOKUP($Q134,'Threshold Summary'!$Y:$Y,'Threshold Summary'!$L:$L,"")),$R134),"")</f>
        <v/>
      </c>
      <c r="E134" s="3">
        <f>XLOOKUP(D134,'Move Editor'!$B:$B,'Move Editor'!$C:$C,"")</f>
        <v/>
      </c>
      <c r="F134" s="3">
        <f>XLOOKUP(D134,'Move Editor'!$B:$B,'Move Editor'!$D:$D,"")</f>
        <v/>
      </c>
      <c r="G134" s="3">
        <f>XLOOKUP(D134,'Move Editor'!$B:$B,'Move Editor'!$E:$E,0)</f>
        <v/>
      </c>
      <c r="H134" s="3">
        <f>XLOOKUP(D134,'Move Editor'!$B:$B,'Move Editor'!$F:$F,0)</f>
        <v/>
      </c>
      <c r="I134" s="3">
        <f>(INDEX('Type Chart'!$B:$S,MATCH(E134,'Type Chart'!$A:$A,0),MATCH(XLOOKUP('Boss Editor'!$C$4,'Pokemon Editor'!$A:$A,'Pokemon Editor'!$C:$C,""),'Type Chart'!$B$1:$S$1,0))*IF(XLOOKUP('Boss Editor'!$C$4,'Pokemon Editor'!$A:$A,'Pokemon Editor'!$D:$D,"")="",1,INDEX('Type Chart'!$B:$S,MATCH(E134,'Type Chart'!$A:$A,0),MATCH(XLOOKUP('Boss Editor'!$C$4,'Pokemon Editor'!$A:$A,'Pokemon Editor'!$D:$D,""),'Type Chart'!$B$1:$S$1,0))))</f>
        <v/>
      </c>
      <c r="J134" s="3">
        <f>IFERROR(LET(mtype,XLOOKUP($D134,'Move Editor'!$B:$B,'Move Editor'!$C:$C,""),cat,XLOOKUP($D134,'Move Editor'!$B:$B,'Move Editor'!$D:$D,""),pow,XLOOKUP($D134,'Move Editor'!$B:$B,'Move Editor'!$E:$E,0),acc,XLOOKUP($D134,'Move Editor'!$B:$B,'Move Editor'!$F:$F,100),atk,IF(cat="Physical",FLOOR((FLOOR(((2*XLOOKUP(XLOOKUP($Q134,'Threshold Summary'!$Y:$Y,'Threshold Summary'!$K:$K,""),'Pokemon Editor'!$A:$A,'Pokemon Editor'!$F:$F,0)+31+FLOOR(XLOOKUP($Q134,'Threshold Summary'!$Y:$Y,'Threshold Summary'!$P:$P,"")/4))*XLOOKUP($Q134,'Threshold Summary'!$Y:$Y,'Threshold Summary'!$L:$L,""))/100)+5)*XLOOKUP(XLOOKUP($Q134,'Threshold Summary'!$Y:$Y,'Threshold Summary'!$M:$M,""),'Nature Editor'!$A:$A,'Nature Editor'!$B:$B,1)),FLOOR((FLOOR(((2*XLOOKUP(XLOOKUP($Q134,'Threshold Summary'!$Y:$Y,'Threshold Summary'!$K:$K,""),'Pokemon Editor'!$A:$A,'Pokemon Editor'!$H:$H,0)+31+FLOOR(XLOOKUP($Q134,'Threshold Summary'!$Y:$Y,'Threshold Summary'!$R:$R,"")/4))*XLOOKUP($Q134,'Threshold Summary'!$Y:$Y,'Threshold Summary'!$L:$L,""))/100)+5)*XLOOKUP(XLOOKUP($Q134,'Threshold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Editor'!$E:$E,1))),stab,IF(OR(mtype=XLOOKUP(XLOOKUP($Q134,'Threshold Summary'!$Y:$Y,'Threshold Summary'!$K:$K,""),'Pokemon Editor'!$A:$A,'Pokemon Editor'!$C:$C,""),mtype=XLOOKUP(XLOOKUP($Q134,'Threshold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Chart'!$B$1:$S$1,0)))),base,IF(OR(cat="Status",pow=0),0,FLOOR(FLOOR(FLOOR((2*XLOOKUP($Q134,'Threshold Summary'!$Y:$Y,'Threshold Summary'!$L:$L,"")/5+2)*pow*atk/def)/50)+2)),modifier,stab*eff,FLOOR(base*modifier*0.85)),0)</f>
        <v/>
      </c>
      <c r="K134" s="3">
        <f>IFERROR(LET(mtype,XLOOKUP($D134,'Move Editor'!$B:$B,'Move Editor'!$C:$C,""),cat,XLOOKUP($D134,'Move Editor'!$B:$B,'Move Editor'!$D:$D,""),pow,XLOOKUP($D134,'Move Editor'!$B:$B,'Move Editor'!$E:$E,0),acc,XLOOKUP($D134,'Move Editor'!$B:$B,'Move Editor'!$F:$F,100),atk,IF(cat="Physical",FLOOR((FLOOR(((2*XLOOKUP(XLOOKUP($Q134,'Threshold Summary'!$Y:$Y,'Threshold Summary'!$K:$K,""),'Pokemon Editor'!$A:$A,'Pokemon Editor'!$F:$F,0)+31+FLOOR(XLOOKUP($Q134,'Threshold Summary'!$Y:$Y,'Threshold Summary'!$P:$P,"")/4))*XLOOKUP($Q134,'Threshold Summary'!$Y:$Y,'Threshold Summary'!$L:$L,""))/100)+5)*XLOOKUP(XLOOKUP($Q134,'Threshold Summary'!$Y:$Y,'Threshold Summary'!$M:$M,""),'Nature Editor'!$A:$A,'Nature Editor'!$B:$B,1)),FLOOR((FLOOR(((2*XLOOKUP(XLOOKUP($Q134,'Threshold Summary'!$Y:$Y,'Threshold Summary'!$K:$K,""),'Pokemon Editor'!$A:$A,'Pokemon Editor'!$H:$H,0)+31+FLOOR(XLOOKUP($Q134,'Threshold Summary'!$Y:$Y,'Threshold Summary'!$R:$R,"")/4))*XLOOKUP($Q134,'Threshold Summary'!$Y:$Y,'Threshold Summary'!$L:$L,""))/100)+5)*XLOOKUP(XLOOKUP($Q134,'Threshold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Editor'!$E:$E,1))),stab,IF(OR(mtype=XLOOKUP(XLOOKUP($Q134,'Threshold Summary'!$Y:$Y,'Threshold Summary'!$K:$K,""),'Pokemon Editor'!$A:$A,'Pokemon Editor'!$C:$C,""),mtype=XLOOKUP(XLOOKUP($Q134,'Threshold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Chart'!$B$1:$S$1,0)))),base,IF(OR(cat="Status",pow=0),0,FLOOR(FLOOR(FLOOR((2*XLOOKUP($Q134,'Threshold Summary'!$Y:$Y,'Threshold Summary'!$L:$L,"")/5+2)*pow*atk/def)/50)+2)),modifier,stab*eff,FLOOR(base*modifier)),0)</f>
        <v/>
      </c>
      <c r="L134" s="3">
        <f>IFERROR(LET(mtype,XLOOKUP($D134,'Move Editor'!$B:$B,'Move Editor'!$C:$C,""),cat,XLOOKUP($D134,'Move Editor'!$B:$B,'Move Editor'!$D:$D,""),pow,XLOOKUP($D134,'Move Editor'!$B:$B,'Move Editor'!$E:$E,0),acc,XLOOKUP($D134,'Move Editor'!$B:$B,'Move Editor'!$F:$F,100),atk,IF(cat="Physical",FLOOR((FLOOR(((2*XLOOKUP(XLOOKUP($Q134,'Threshold Summary'!$Y:$Y,'Threshold Summary'!$K:$K,""),'Pokemon Editor'!$A:$A,'Pokemon Editor'!$F:$F,0)+31+FLOOR(XLOOKUP($Q134,'Threshold Summary'!$Y:$Y,'Threshold Summary'!$P:$P,"")/4))*XLOOKUP($Q134,'Threshold Summary'!$Y:$Y,'Threshold Summary'!$L:$L,""))/100)+5)*XLOOKUP(XLOOKUP($Q134,'Threshold Summary'!$Y:$Y,'Threshold Summary'!$M:$M,""),'Nature Editor'!$A:$A,'Nature Editor'!$B:$B,1)),FLOOR((FLOOR(((2*XLOOKUP(XLOOKUP($Q134,'Threshold Summary'!$Y:$Y,'Threshold Summary'!$K:$K,""),'Pokemon Editor'!$A:$A,'Pokemon Editor'!$H:$H,0)+31+FLOOR(XLOOKUP($Q134,'Threshold Summary'!$Y:$Y,'Threshold Summary'!$R:$R,"")/4))*XLOOKUP($Q134,'Threshold Summary'!$Y:$Y,'Threshold Summary'!$L:$L,""))/100)+5)*XLOOKUP(XLOOKUP($Q134,'Threshold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Editor'!$E:$E,1))),stab,IF(OR(mtype=XLOOKUP(XLOOKUP($Q134,'Threshold Summary'!$Y:$Y,'Threshold Summary'!$K:$K,""),'Pokemon Editor'!$A:$A,'Pokemon Editor'!$C:$C,""),mtype=XLOOKUP(XLOOKUP($Q134,'Threshold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Chart'!$B$1:$S$1,0)))),base,IF(OR(cat="Status",pow=0),0,FLOOR(FLOOR(FLOOR((2*XLOOKUP($Q134,'Threshold Summary'!$Y:$Y,'Threshold Summary'!$L:$L,"")/5+2)*pow*atk/def)/50)+2)),modifier,stab*eff,AVERAGE(ARRAYFORMULA(FLOOR(base*modifier*SEQUENCE(16,1,85,1)/100)))),0)</f>
        <v/>
      </c>
      <c r="M134" s="3">
        <f>IFERROR(LET(mtype,XLOOKUP($D134,'Move Editor'!$B:$B,'Move Editor'!$C:$C,""),cat,XLOOKUP($D134,'Move Editor'!$B:$B,'Move Editor'!$D:$D,""),pow,XLOOKUP($D134,'Move Editor'!$B:$B,'Move Editor'!$E:$E,0),acc,XLOOKUP($D134,'Move Editor'!$B:$B,'Move Editor'!$F:$F,100),atk,IF(cat="Physical",FLOOR((FLOOR(((2*XLOOKUP(XLOOKUP($Q134,'Threshold Summary'!$Y:$Y,'Threshold Summary'!$K:$K,""),'Pokemon Editor'!$A:$A,'Pokemon Editor'!$F:$F,0)+31+FLOOR(XLOOKUP($Q134,'Threshold Summary'!$Y:$Y,'Threshold Summary'!$P:$P,"")/4))*XLOOKUP($Q134,'Threshold Summary'!$Y:$Y,'Threshold Summary'!$L:$L,""))/100)+5)*XLOOKUP(XLOOKUP($Q134,'Threshold Summary'!$Y:$Y,'Threshold Summary'!$M:$M,""),'Nature Editor'!$A:$A,'Nature Editor'!$B:$B,1)),FLOOR((FLOOR(((2*XLOOKUP(XLOOKUP($Q134,'Threshold Summary'!$Y:$Y,'Threshold Summary'!$K:$K,""),'Pokemon Editor'!$A:$A,'Pokemon Editor'!$H:$H,0)+31+FLOOR(XLOOKUP($Q134,'Threshold Summary'!$Y:$Y,'Threshold Summary'!$R:$R,"")/4))*XLOOKUP($Q134,'Threshold Summary'!$Y:$Y,'Threshold Summary'!$L:$L,""))/100)+5)*XLOOKUP(XLOOKUP($Q134,'Threshold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Editor'!$E:$E,1))),stab,IF(OR(mtype=XLOOKUP(XLOOKUP($Q134,'Threshold Summary'!$Y:$Y,'Threshold Summary'!$K:$K,""),'Pokemon Editor'!$A:$A,'Pokemon Editor'!$C:$C,""),mtype=XLOOKUP(XLOOKUP($Q134,'Threshold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Chart'!$B$1:$S$1,0)))),base,IF(OR(cat="Status",pow=0),0,FLOOR(FLOOR(FLOOR((2*XLOOKUP($Q134,'Threshold Summary'!$Y:$Y,'Threshold Summary'!$L:$L,"")/5+2)*pow*atk/def)/50)+2)),modifier,stab*eff,AVERAGE(ARRAYFORMULA(FLOOR(base*modifier*SEQUENCE(16,1,85,1)/100)))*MIN(1,acc/100)),0)</f>
        <v/>
      </c>
      <c r="N134" s="4">
        <f>IFERROR(LET(mtype,XLOOKUP($D134,'Move Editor'!$B:$B,'Move Editor'!$C:$C,""),cat,XLOOKUP($D134,'Move Editor'!$B:$B,'Move Editor'!$D:$D,""),pow,XLOOKUP($D134,'Move Editor'!$B:$B,'Move Editor'!$E:$E,0),acc,XLOOKUP($D134,'Move Editor'!$B:$B,'Move Editor'!$F:$F,100),atk,IF(cat="Physical",FLOOR((FLOOR(((2*XLOOKUP(XLOOKUP($Q134,'Threshold Summary'!$Y:$Y,'Threshold Summary'!$K:$K,""),'Pokemon Editor'!$A:$A,'Pokemon Editor'!$F:$F,0)+31+FLOOR(XLOOKUP($Q134,'Threshold Summary'!$Y:$Y,'Threshold Summary'!$P:$P,"")/4))*XLOOKUP($Q134,'Threshold Summary'!$Y:$Y,'Threshold Summary'!$L:$L,""))/100)+5)*XLOOKUP(XLOOKUP($Q134,'Threshold Summary'!$Y:$Y,'Threshold Summary'!$M:$M,""),'Nature Editor'!$A:$A,'Nature Editor'!$B:$B,1)),FLOOR((FLOOR(((2*XLOOKUP(XLOOKUP($Q134,'Threshold Summary'!$Y:$Y,'Threshold Summary'!$K:$K,""),'Pokemon Editor'!$A:$A,'Pokemon Editor'!$H:$H,0)+31+FLOOR(XLOOKUP($Q134,'Threshold Summary'!$Y:$Y,'Threshold Summary'!$R:$R,"")/4))*XLOOKUP($Q134,'Threshold Summary'!$Y:$Y,'Threshold Summary'!$L:$L,""))/100)+5)*XLOOKUP(XLOOKUP($Q134,'Threshold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Editor'!$E:$E,1))),stab,IF(OR(mtype=XLOOKUP(XLOOKUP($Q134,'Threshold Summary'!$Y:$Y,'Threshold Summary'!$K:$K,""),'Pokemon Editor'!$A:$A,'Pokemon Editor'!$C:$C,""),mtype=XLOOKUP(XLOOKUP($Q134,'Threshold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Chart'!$B$1:$S$1,0)))),base,IF(OR(cat="Status",pow=0),0,FLOOR(FLOOR(FLOOR((2*XLOOKUP($Q134,'Threshold Summary'!$Y:$Y,'Threshold Summary'!$L:$L,"")/5+2)*pow*atk/def)/50)+2)),modifier,stab*eff,AVERAGE(ARRAYFORMULA(FLOOR(base*modifier*SEQUENCE(16,1,85,1)/100)))/(FLOOR(((2*XLOOKUP('Boss Editor'!$C$4,'Pokemon Editor'!$A:$A,'Pokemon Editor'!$E:$E,0)+31+FLOOR('Boss Editor'!$G$4/4))*'Boss Editor'!$D$4)/100)+'Boss Editor'!$D$4+10)),0)</f>
        <v/>
      </c>
      <c r="O134" s="3">
        <f>IF(N134&gt;=1,"OHKO",IF(N134&gt;=0.5,"2HKO",IF(N134&gt;=0.333,"3HKO",IF(N134&gt;=0.25,"4HKO","5HKO+"))))</f>
        <v/>
      </c>
      <c r="P134" s="3" t="inlineStr">
        <is>
          <t>Live from editable databases</t>
        </is>
      </c>
      <c r="Q134" s="3" t="inlineStr">
        <is>
          <t>SPECIES_TORCHIC</t>
        </is>
      </c>
      <c r="R134" s="3" t="n">
        <v>5</v>
      </c>
    </row>
    <row r="135">
      <c r="A135" s="3">
        <f>XLOOKUP($Q135,'Threshold Summary'!$Y:$Y,'Threshold Summary'!$A:$A,"")</f>
        <v/>
      </c>
      <c r="B135" s="3">
        <f>XLOOKUP($Q135,'Threshold Summary'!$Y:$Y,'Threshold Summary'!$M:$M,"")</f>
        <v/>
      </c>
      <c r="C135" s="3">
        <f>XLOOKUP($Q135,'Threshold Summary'!$Y:$Y,'Threshold Summary'!$N:$N,"")</f>
        <v/>
      </c>
      <c r="D135" s="3">
        <f>IFERROR(INDEX(FILTER('Learnset Editor'!$D$2:$D,'Learnset Editor'!$A$2:$A=XLOOKUP($Q135,'Threshold Summary'!$Y:$Y,'Threshold Summary'!$K:$K,""),'Learnset Editor'!$C$2:$C&lt;=XLOOKUP($Q135,'Threshold Summary'!$Y:$Y,'Threshold Summary'!$L:$L,"")),$R135),"")</f>
        <v/>
      </c>
      <c r="E135" s="3">
        <f>XLOOKUP(D135,'Move Editor'!$B:$B,'Move Editor'!$C:$C,"")</f>
        <v/>
      </c>
      <c r="F135" s="3">
        <f>XLOOKUP(D135,'Move Editor'!$B:$B,'Move Editor'!$D:$D,"")</f>
        <v/>
      </c>
      <c r="G135" s="3">
        <f>XLOOKUP(D135,'Move Editor'!$B:$B,'Move Editor'!$E:$E,0)</f>
        <v/>
      </c>
      <c r="H135" s="3">
        <f>XLOOKUP(D135,'Move Editor'!$B:$B,'Move Editor'!$F:$F,0)</f>
        <v/>
      </c>
      <c r="I135" s="3">
        <f>(INDEX('Type Chart'!$B:$S,MATCH(E135,'Type Chart'!$A:$A,0),MATCH(XLOOKUP('Boss Editor'!$C$4,'Pokemon Editor'!$A:$A,'Pokemon Editor'!$C:$C,""),'Type Chart'!$B$1:$S$1,0))*IF(XLOOKUP('Boss Editor'!$C$4,'Pokemon Editor'!$A:$A,'Pokemon Editor'!$D:$D,"")="",1,INDEX('Type Chart'!$B:$S,MATCH(E135,'Type Chart'!$A:$A,0),MATCH(XLOOKUP('Boss Editor'!$C$4,'Pokemon Editor'!$A:$A,'Pokemon Editor'!$D:$D,""),'Type Chart'!$B$1:$S$1,0))))</f>
        <v/>
      </c>
      <c r="J135" s="3">
        <f>IFERROR(LET(mtype,XLOOKUP($D135,'Move Editor'!$B:$B,'Move Editor'!$C:$C,""),cat,XLOOKUP($D135,'Move Editor'!$B:$B,'Move Editor'!$D:$D,""),pow,XLOOKUP($D135,'Move Editor'!$B:$B,'Move Editor'!$E:$E,0),acc,XLOOKUP($D135,'Move Editor'!$B:$B,'Move Editor'!$F:$F,100),atk,IF(cat="Physical",FLOOR((FLOOR(((2*XLOOKUP(XLOOKUP($Q135,'Threshold Summary'!$Y:$Y,'Threshold Summary'!$K:$K,""),'Pokemon Editor'!$A:$A,'Pokemon Editor'!$F:$F,0)+31+FLOOR(XLOOKUP($Q135,'Threshold Summary'!$Y:$Y,'Threshold Summary'!$P:$P,"")/4))*XLOOKUP($Q135,'Threshold Summary'!$Y:$Y,'Threshold Summary'!$L:$L,""))/100)+5)*XLOOKUP(XLOOKUP($Q135,'Threshold Summary'!$Y:$Y,'Threshold Summary'!$M:$M,""),'Nature Editor'!$A:$A,'Nature Editor'!$B:$B,1)),FLOOR((FLOOR(((2*XLOOKUP(XLOOKUP($Q135,'Threshold Summary'!$Y:$Y,'Threshold Summary'!$K:$K,""),'Pokemon Editor'!$A:$A,'Pokemon Editor'!$H:$H,0)+31+FLOOR(XLOOKUP($Q135,'Threshold Summary'!$Y:$Y,'Threshold Summary'!$R:$R,"")/4))*XLOOKUP($Q135,'Threshold Summary'!$Y:$Y,'Threshold Summary'!$L:$L,""))/100)+5)*XLOOKUP(XLOOKUP($Q135,'Threshold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Editor'!$E:$E,1))),stab,IF(OR(mtype=XLOOKUP(XLOOKUP($Q135,'Threshold Summary'!$Y:$Y,'Threshold Summary'!$K:$K,""),'Pokemon Editor'!$A:$A,'Pokemon Editor'!$C:$C,""),mtype=XLOOKUP(XLOOKUP($Q135,'Threshold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Chart'!$B$1:$S$1,0)))),base,IF(OR(cat="Status",pow=0),0,FLOOR(FLOOR(FLOOR((2*XLOOKUP($Q135,'Threshold Summary'!$Y:$Y,'Threshold Summary'!$L:$L,"")/5+2)*pow*atk/def)/50)+2)),modifier,stab*eff,FLOOR(base*modifier*0.85)),0)</f>
        <v/>
      </c>
      <c r="K135" s="3">
        <f>IFERROR(LET(mtype,XLOOKUP($D135,'Move Editor'!$B:$B,'Move Editor'!$C:$C,""),cat,XLOOKUP($D135,'Move Editor'!$B:$B,'Move Editor'!$D:$D,""),pow,XLOOKUP($D135,'Move Editor'!$B:$B,'Move Editor'!$E:$E,0),acc,XLOOKUP($D135,'Move Editor'!$B:$B,'Move Editor'!$F:$F,100),atk,IF(cat="Physical",FLOOR((FLOOR(((2*XLOOKUP(XLOOKUP($Q135,'Threshold Summary'!$Y:$Y,'Threshold Summary'!$K:$K,""),'Pokemon Editor'!$A:$A,'Pokemon Editor'!$F:$F,0)+31+FLOOR(XLOOKUP($Q135,'Threshold Summary'!$Y:$Y,'Threshold Summary'!$P:$P,"")/4))*XLOOKUP($Q135,'Threshold Summary'!$Y:$Y,'Threshold Summary'!$L:$L,""))/100)+5)*XLOOKUP(XLOOKUP($Q135,'Threshold Summary'!$Y:$Y,'Threshold Summary'!$M:$M,""),'Nature Editor'!$A:$A,'Nature Editor'!$B:$B,1)),FLOOR((FLOOR(((2*XLOOKUP(XLOOKUP($Q135,'Threshold Summary'!$Y:$Y,'Threshold Summary'!$K:$K,""),'Pokemon Editor'!$A:$A,'Pokemon Editor'!$H:$H,0)+31+FLOOR(XLOOKUP($Q135,'Threshold Summary'!$Y:$Y,'Threshold Summary'!$R:$R,"")/4))*XLOOKUP($Q135,'Threshold Summary'!$Y:$Y,'Threshold Summary'!$L:$L,""))/100)+5)*XLOOKUP(XLOOKUP($Q135,'Threshold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Editor'!$E:$E,1))),stab,IF(OR(mtype=XLOOKUP(XLOOKUP($Q135,'Threshold Summary'!$Y:$Y,'Threshold Summary'!$K:$K,""),'Pokemon Editor'!$A:$A,'Pokemon Editor'!$C:$C,""),mtype=XLOOKUP(XLOOKUP($Q135,'Threshold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Chart'!$B$1:$S$1,0)))),base,IF(OR(cat="Status",pow=0),0,FLOOR(FLOOR(FLOOR((2*XLOOKUP($Q135,'Threshold Summary'!$Y:$Y,'Threshold Summary'!$L:$L,"")/5+2)*pow*atk/def)/50)+2)),modifier,stab*eff,FLOOR(base*modifier)),0)</f>
        <v/>
      </c>
      <c r="L135" s="3">
        <f>IFERROR(LET(mtype,XLOOKUP($D135,'Move Editor'!$B:$B,'Move Editor'!$C:$C,""),cat,XLOOKUP($D135,'Move Editor'!$B:$B,'Move Editor'!$D:$D,""),pow,XLOOKUP($D135,'Move Editor'!$B:$B,'Move Editor'!$E:$E,0),acc,XLOOKUP($D135,'Move Editor'!$B:$B,'Move Editor'!$F:$F,100),atk,IF(cat="Physical",FLOOR((FLOOR(((2*XLOOKUP(XLOOKUP($Q135,'Threshold Summary'!$Y:$Y,'Threshold Summary'!$K:$K,""),'Pokemon Editor'!$A:$A,'Pokemon Editor'!$F:$F,0)+31+FLOOR(XLOOKUP($Q135,'Threshold Summary'!$Y:$Y,'Threshold Summary'!$P:$P,"")/4))*XLOOKUP($Q135,'Threshold Summary'!$Y:$Y,'Threshold Summary'!$L:$L,""))/100)+5)*XLOOKUP(XLOOKUP($Q135,'Threshold Summary'!$Y:$Y,'Threshold Summary'!$M:$M,""),'Nature Editor'!$A:$A,'Nature Editor'!$B:$B,1)),FLOOR((FLOOR(((2*XLOOKUP(XLOOKUP($Q135,'Threshold Summary'!$Y:$Y,'Threshold Summary'!$K:$K,""),'Pokemon Editor'!$A:$A,'Pokemon Editor'!$H:$H,0)+31+FLOOR(XLOOKUP($Q135,'Threshold Summary'!$Y:$Y,'Threshold Summary'!$R:$R,"")/4))*XLOOKUP($Q135,'Threshold Summary'!$Y:$Y,'Threshold Summary'!$L:$L,""))/100)+5)*XLOOKUP(XLOOKUP($Q135,'Threshold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Editor'!$E:$E,1))),stab,IF(OR(mtype=XLOOKUP(XLOOKUP($Q135,'Threshold Summary'!$Y:$Y,'Threshold Summary'!$K:$K,""),'Pokemon Editor'!$A:$A,'Pokemon Editor'!$C:$C,""),mtype=XLOOKUP(XLOOKUP($Q135,'Threshold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Chart'!$B$1:$S$1,0)))),base,IF(OR(cat="Status",pow=0),0,FLOOR(FLOOR(FLOOR((2*XLOOKUP($Q135,'Threshold Summary'!$Y:$Y,'Threshold Summary'!$L:$L,"")/5+2)*pow*atk/def)/50)+2)),modifier,stab*eff,AVERAGE(ARRAYFORMULA(FLOOR(base*modifier*SEQUENCE(16,1,85,1)/100)))),0)</f>
        <v/>
      </c>
      <c r="M135" s="3">
        <f>IFERROR(LET(mtype,XLOOKUP($D135,'Move Editor'!$B:$B,'Move Editor'!$C:$C,""),cat,XLOOKUP($D135,'Move Editor'!$B:$B,'Move Editor'!$D:$D,""),pow,XLOOKUP($D135,'Move Editor'!$B:$B,'Move Editor'!$E:$E,0),acc,XLOOKUP($D135,'Move Editor'!$B:$B,'Move Editor'!$F:$F,100),atk,IF(cat="Physical",FLOOR((FLOOR(((2*XLOOKUP(XLOOKUP($Q135,'Threshold Summary'!$Y:$Y,'Threshold Summary'!$K:$K,""),'Pokemon Editor'!$A:$A,'Pokemon Editor'!$F:$F,0)+31+FLOOR(XLOOKUP($Q135,'Threshold Summary'!$Y:$Y,'Threshold Summary'!$P:$P,"")/4))*XLOOKUP($Q135,'Threshold Summary'!$Y:$Y,'Threshold Summary'!$L:$L,""))/100)+5)*XLOOKUP(XLOOKUP($Q135,'Threshold Summary'!$Y:$Y,'Threshold Summary'!$M:$M,""),'Nature Editor'!$A:$A,'Nature Editor'!$B:$B,1)),FLOOR((FLOOR(((2*XLOOKUP(XLOOKUP($Q135,'Threshold Summary'!$Y:$Y,'Threshold Summary'!$K:$K,""),'Pokemon Editor'!$A:$A,'Pokemon Editor'!$H:$H,0)+31+FLOOR(XLOOKUP($Q135,'Threshold Summary'!$Y:$Y,'Threshold Summary'!$R:$R,"")/4))*XLOOKUP($Q135,'Threshold Summary'!$Y:$Y,'Threshold Summary'!$L:$L,""))/100)+5)*XLOOKUP(XLOOKUP($Q135,'Threshold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Editor'!$E:$E,1))),stab,IF(OR(mtype=XLOOKUP(XLOOKUP($Q135,'Threshold Summary'!$Y:$Y,'Threshold Summary'!$K:$K,""),'Pokemon Editor'!$A:$A,'Pokemon Editor'!$C:$C,""),mtype=XLOOKUP(XLOOKUP($Q135,'Threshold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Chart'!$B$1:$S$1,0)))),base,IF(OR(cat="Status",pow=0),0,FLOOR(FLOOR(FLOOR((2*XLOOKUP($Q135,'Threshold Summary'!$Y:$Y,'Threshold Summary'!$L:$L,"")/5+2)*pow*atk/def)/50)+2)),modifier,stab*eff,AVERAGE(ARRAYFORMULA(FLOOR(base*modifier*SEQUENCE(16,1,85,1)/100)))*MIN(1,acc/100)),0)</f>
        <v/>
      </c>
      <c r="N135" s="4">
        <f>IFERROR(LET(mtype,XLOOKUP($D135,'Move Editor'!$B:$B,'Move Editor'!$C:$C,""),cat,XLOOKUP($D135,'Move Editor'!$B:$B,'Move Editor'!$D:$D,""),pow,XLOOKUP($D135,'Move Editor'!$B:$B,'Move Editor'!$E:$E,0),acc,XLOOKUP($D135,'Move Editor'!$B:$B,'Move Editor'!$F:$F,100),atk,IF(cat="Physical",FLOOR((FLOOR(((2*XLOOKUP(XLOOKUP($Q135,'Threshold Summary'!$Y:$Y,'Threshold Summary'!$K:$K,""),'Pokemon Editor'!$A:$A,'Pokemon Editor'!$F:$F,0)+31+FLOOR(XLOOKUP($Q135,'Threshold Summary'!$Y:$Y,'Threshold Summary'!$P:$P,"")/4))*XLOOKUP($Q135,'Threshold Summary'!$Y:$Y,'Threshold Summary'!$L:$L,""))/100)+5)*XLOOKUP(XLOOKUP($Q135,'Threshold Summary'!$Y:$Y,'Threshold Summary'!$M:$M,""),'Nature Editor'!$A:$A,'Nature Editor'!$B:$B,1)),FLOOR((FLOOR(((2*XLOOKUP(XLOOKUP($Q135,'Threshold Summary'!$Y:$Y,'Threshold Summary'!$K:$K,""),'Pokemon Editor'!$A:$A,'Pokemon Editor'!$H:$H,0)+31+FLOOR(XLOOKUP($Q135,'Threshold Summary'!$Y:$Y,'Threshold Summary'!$R:$R,"")/4))*XLOOKUP($Q135,'Threshold Summary'!$Y:$Y,'Threshold Summary'!$L:$L,""))/100)+5)*XLOOKUP(XLOOKUP($Q135,'Threshold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Editor'!$E:$E,1))),stab,IF(OR(mtype=XLOOKUP(XLOOKUP($Q135,'Threshold Summary'!$Y:$Y,'Threshold Summary'!$K:$K,""),'Pokemon Editor'!$A:$A,'Pokemon Editor'!$C:$C,""),mtype=XLOOKUP(XLOOKUP($Q135,'Threshold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Chart'!$B$1:$S$1,0)))),base,IF(OR(cat="Status",pow=0),0,FLOOR(FLOOR(FLOOR((2*XLOOKUP($Q135,'Threshold Summary'!$Y:$Y,'Threshold Summary'!$L:$L,"")/5+2)*pow*atk/def)/50)+2)),modifier,stab*eff,AVERAGE(ARRAYFORMULA(FLOOR(base*modifier*SEQUENCE(16,1,85,1)/100)))/(FLOOR(((2*XLOOKUP('Boss Editor'!$C$4,'Pokemon Editor'!$A:$A,'Pokemon Editor'!$E:$E,0)+31+FLOOR('Boss Editor'!$G$4/4))*'Boss Editor'!$D$4)/100)+'Boss Editor'!$D$4+10)),0)</f>
        <v/>
      </c>
      <c r="O135" s="3">
        <f>IF(N135&gt;=1,"OHKO",IF(N135&gt;=0.5,"2HKO",IF(N135&gt;=0.333,"3HKO",IF(N135&gt;=0.25,"4HKO","5HKO+"))))</f>
        <v/>
      </c>
      <c r="P135" s="3" t="inlineStr">
        <is>
          <t>Live from editable databases</t>
        </is>
      </c>
      <c r="Q135" s="3" t="inlineStr">
        <is>
          <t>SPECIES_TORCHIC</t>
        </is>
      </c>
      <c r="R135" s="3" t="n">
        <v>6</v>
      </c>
    </row>
    <row r="136">
      <c r="A136" s="3">
        <f>XLOOKUP($Q136,'Threshold Summary'!$Y:$Y,'Threshold Summary'!$A:$A,"")</f>
        <v/>
      </c>
      <c r="B136" s="3">
        <f>XLOOKUP($Q136,'Threshold Summary'!$Y:$Y,'Threshold Summary'!$M:$M,"")</f>
        <v/>
      </c>
      <c r="C136" s="3">
        <f>XLOOKUP($Q136,'Threshold Summary'!$Y:$Y,'Threshold Summary'!$N:$N,"")</f>
        <v/>
      </c>
      <c r="D136" s="3">
        <f>IFERROR(INDEX(FILTER('Learnset Editor'!$D$2:$D,'Learnset Editor'!$A$2:$A=XLOOKUP($Q136,'Threshold Summary'!$Y:$Y,'Threshold Summary'!$K:$K,""),'Learnset Editor'!$C$2:$C&lt;=XLOOKUP($Q136,'Threshold Summary'!$Y:$Y,'Threshold Summary'!$L:$L,"")),$R136),"")</f>
        <v/>
      </c>
      <c r="E136" s="3">
        <f>XLOOKUP(D136,'Move Editor'!$B:$B,'Move Editor'!$C:$C,"")</f>
        <v/>
      </c>
      <c r="F136" s="3">
        <f>XLOOKUP(D136,'Move Editor'!$B:$B,'Move Editor'!$D:$D,"")</f>
        <v/>
      </c>
      <c r="G136" s="3">
        <f>XLOOKUP(D136,'Move Editor'!$B:$B,'Move Editor'!$E:$E,0)</f>
        <v/>
      </c>
      <c r="H136" s="3">
        <f>XLOOKUP(D136,'Move Editor'!$B:$B,'Move Editor'!$F:$F,0)</f>
        <v/>
      </c>
      <c r="I136" s="3">
        <f>(INDEX('Type Chart'!$B:$S,MATCH(E136,'Type Chart'!$A:$A,0),MATCH(XLOOKUP('Boss Editor'!$C$4,'Pokemon Editor'!$A:$A,'Pokemon Editor'!$C:$C,""),'Type Chart'!$B$1:$S$1,0))*IF(XLOOKUP('Boss Editor'!$C$4,'Pokemon Editor'!$A:$A,'Pokemon Editor'!$D:$D,"")="",1,INDEX('Type Chart'!$B:$S,MATCH(E136,'Type Chart'!$A:$A,0),MATCH(XLOOKUP('Boss Editor'!$C$4,'Pokemon Editor'!$A:$A,'Pokemon Editor'!$D:$D,""),'Type Chart'!$B$1:$S$1,0))))</f>
        <v/>
      </c>
      <c r="J136" s="3">
        <f>IFERROR(LET(mtype,XLOOKUP($D136,'Move Editor'!$B:$B,'Move Editor'!$C:$C,""),cat,XLOOKUP($D136,'Move Editor'!$B:$B,'Move Editor'!$D:$D,""),pow,XLOOKUP($D136,'Move Editor'!$B:$B,'Move Editor'!$E:$E,0),acc,XLOOKUP($D136,'Move Editor'!$B:$B,'Move Editor'!$F:$F,100),atk,IF(cat="Physical",FLOOR((FLOOR(((2*XLOOKUP(XLOOKUP($Q136,'Threshold Summary'!$Y:$Y,'Threshold Summary'!$K:$K,""),'Pokemon Editor'!$A:$A,'Pokemon Editor'!$F:$F,0)+31+FLOOR(XLOOKUP($Q136,'Threshold Summary'!$Y:$Y,'Threshold Summary'!$P:$P,"")/4))*XLOOKUP($Q136,'Threshold Summary'!$Y:$Y,'Threshold Summary'!$L:$L,""))/100)+5)*XLOOKUP(XLOOKUP($Q136,'Threshold Summary'!$Y:$Y,'Threshold Summary'!$M:$M,""),'Nature Editor'!$A:$A,'Nature Editor'!$B:$B,1)),FLOOR((FLOOR(((2*XLOOKUP(XLOOKUP($Q136,'Threshold Summary'!$Y:$Y,'Threshold Summary'!$K:$K,""),'Pokemon Editor'!$A:$A,'Pokemon Editor'!$H:$H,0)+31+FLOOR(XLOOKUP($Q136,'Threshold Summary'!$Y:$Y,'Threshold Summary'!$R:$R,"")/4))*XLOOKUP($Q136,'Threshold Summary'!$Y:$Y,'Threshold Summary'!$L:$L,""))/100)+5)*XLOOKUP(XLOOKUP($Q136,'Threshold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Editor'!$E:$E,1))),stab,IF(OR(mtype=XLOOKUP(XLOOKUP($Q136,'Threshold Summary'!$Y:$Y,'Threshold Summary'!$K:$K,""),'Pokemon Editor'!$A:$A,'Pokemon Editor'!$C:$C,""),mtype=XLOOKUP(XLOOKUP($Q136,'Threshold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Chart'!$B$1:$S$1,0)))),base,IF(OR(cat="Status",pow=0),0,FLOOR(FLOOR(FLOOR((2*XLOOKUP($Q136,'Threshold Summary'!$Y:$Y,'Threshold Summary'!$L:$L,"")/5+2)*pow*atk/def)/50)+2)),modifier,stab*eff,FLOOR(base*modifier*0.85)),0)</f>
        <v/>
      </c>
      <c r="K136" s="3">
        <f>IFERROR(LET(mtype,XLOOKUP($D136,'Move Editor'!$B:$B,'Move Editor'!$C:$C,""),cat,XLOOKUP($D136,'Move Editor'!$B:$B,'Move Editor'!$D:$D,""),pow,XLOOKUP($D136,'Move Editor'!$B:$B,'Move Editor'!$E:$E,0),acc,XLOOKUP($D136,'Move Editor'!$B:$B,'Move Editor'!$F:$F,100),atk,IF(cat="Physical",FLOOR((FLOOR(((2*XLOOKUP(XLOOKUP($Q136,'Threshold Summary'!$Y:$Y,'Threshold Summary'!$K:$K,""),'Pokemon Editor'!$A:$A,'Pokemon Editor'!$F:$F,0)+31+FLOOR(XLOOKUP($Q136,'Threshold Summary'!$Y:$Y,'Threshold Summary'!$P:$P,"")/4))*XLOOKUP($Q136,'Threshold Summary'!$Y:$Y,'Threshold Summary'!$L:$L,""))/100)+5)*XLOOKUP(XLOOKUP($Q136,'Threshold Summary'!$Y:$Y,'Threshold Summary'!$M:$M,""),'Nature Editor'!$A:$A,'Nature Editor'!$B:$B,1)),FLOOR((FLOOR(((2*XLOOKUP(XLOOKUP($Q136,'Threshold Summary'!$Y:$Y,'Threshold Summary'!$K:$K,""),'Pokemon Editor'!$A:$A,'Pokemon Editor'!$H:$H,0)+31+FLOOR(XLOOKUP($Q136,'Threshold Summary'!$Y:$Y,'Threshold Summary'!$R:$R,"")/4))*XLOOKUP($Q136,'Threshold Summary'!$Y:$Y,'Threshold Summary'!$L:$L,""))/100)+5)*XLOOKUP(XLOOKUP($Q136,'Threshold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Editor'!$E:$E,1))),stab,IF(OR(mtype=XLOOKUP(XLOOKUP($Q136,'Threshold Summary'!$Y:$Y,'Threshold Summary'!$K:$K,""),'Pokemon Editor'!$A:$A,'Pokemon Editor'!$C:$C,""),mtype=XLOOKUP(XLOOKUP($Q136,'Threshold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Chart'!$B$1:$S$1,0)))),base,IF(OR(cat="Status",pow=0),0,FLOOR(FLOOR(FLOOR((2*XLOOKUP($Q136,'Threshold Summary'!$Y:$Y,'Threshold Summary'!$L:$L,"")/5+2)*pow*atk/def)/50)+2)),modifier,stab*eff,FLOOR(base*modifier)),0)</f>
        <v/>
      </c>
      <c r="L136" s="3">
        <f>IFERROR(LET(mtype,XLOOKUP($D136,'Move Editor'!$B:$B,'Move Editor'!$C:$C,""),cat,XLOOKUP($D136,'Move Editor'!$B:$B,'Move Editor'!$D:$D,""),pow,XLOOKUP($D136,'Move Editor'!$B:$B,'Move Editor'!$E:$E,0),acc,XLOOKUP($D136,'Move Editor'!$B:$B,'Move Editor'!$F:$F,100),atk,IF(cat="Physical",FLOOR((FLOOR(((2*XLOOKUP(XLOOKUP($Q136,'Threshold Summary'!$Y:$Y,'Threshold Summary'!$K:$K,""),'Pokemon Editor'!$A:$A,'Pokemon Editor'!$F:$F,0)+31+FLOOR(XLOOKUP($Q136,'Threshold Summary'!$Y:$Y,'Threshold Summary'!$P:$P,"")/4))*XLOOKUP($Q136,'Threshold Summary'!$Y:$Y,'Threshold Summary'!$L:$L,""))/100)+5)*XLOOKUP(XLOOKUP($Q136,'Threshold Summary'!$Y:$Y,'Threshold Summary'!$M:$M,""),'Nature Editor'!$A:$A,'Nature Editor'!$B:$B,1)),FLOOR((FLOOR(((2*XLOOKUP(XLOOKUP($Q136,'Threshold Summary'!$Y:$Y,'Threshold Summary'!$K:$K,""),'Pokemon Editor'!$A:$A,'Pokemon Editor'!$H:$H,0)+31+FLOOR(XLOOKUP($Q136,'Threshold Summary'!$Y:$Y,'Threshold Summary'!$R:$R,"")/4))*XLOOKUP($Q136,'Threshold Summary'!$Y:$Y,'Threshold Summary'!$L:$L,""))/100)+5)*XLOOKUP(XLOOKUP($Q136,'Threshold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Editor'!$E:$E,1))),stab,IF(OR(mtype=XLOOKUP(XLOOKUP($Q136,'Threshold Summary'!$Y:$Y,'Threshold Summary'!$K:$K,""),'Pokemon Editor'!$A:$A,'Pokemon Editor'!$C:$C,""),mtype=XLOOKUP(XLOOKUP($Q136,'Threshold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Chart'!$B$1:$S$1,0)))),base,IF(OR(cat="Status",pow=0),0,FLOOR(FLOOR(FLOOR((2*XLOOKUP($Q136,'Threshold Summary'!$Y:$Y,'Threshold Summary'!$L:$L,"")/5+2)*pow*atk/def)/50)+2)),modifier,stab*eff,AVERAGE(ARRAYFORMULA(FLOOR(base*modifier*SEQUENCE(16,1,85,1)/100)))),0)</f>
        <v/>
      </c>
      <c r="M136" s="3">
        <f>IFERROR(LET(mtype,XLOOKUP($D136,'Move Editor'!$B:$B,'Move Editor'!$C:$C,""),cat,XLOOKUP($D136,'Move Editor'!$B:$B,'Move Editor'!$D:$D,""),pow,XLOOKUP($D136,'Move Editor'!$B:$B,'Move Editor'!$E:$E,0),acc,XLOOKUP($D136,'Move Editor'!$B:$B,'Move Editor'!$F:$F,100),atk,IF(cat="Physical",FLOOR((FLOOR(((2*XLOOKUP(XLOOKUP($Q136,'Threshold Summary'!$Y:$Y,'Threshold Summary'!$K:$K,""),'Pokemon Editor'!$A:$A,'Pokemon Editor'!$F:$F,0)+31+FLOOR(XLOOKUP($Q136,'Threshold Summary'!$Y:$Y,'Threshold Summary'!$P:$P,"")/4))*XLOOKUP($Q136,'Threshold Summary'!$Y:$Y,'Threshold Summary'!$L:$L,""))/100)+5)*XLOOKUP(XLOOKUP($Q136,'Threshold Summary'!$Y:$Y,'Threshold Summary'!$M:$M,""),'Nature Editor'!$A:$A,'Nature Editor'!$B:$B,1)),FLOOR((FLOOR(((2*XLOOKUP(XLOOKUP($Q136,'Threshold Summary'!$Y:$Y,'Threshold Summary'!$K:$K,""),'Pokemon Editor'!$A:$A,'Pokemon Editor'!$H:$H,0)+31+FLOOR(XLOOKUP($Q136,'Threshold Summary'!$Y:$Y,'Threshold Summary'!$R:$R,"")/4))*XLOOKUP($Q136,'Threshold Summary'!$Y:$Y,'Threshold Summary'!$L:$L,""))/100)+5)*XLOOKUP(XLOOKUP($Q136,'Threshold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Editor'!$E:$E,1))),stab,IF(OR(mtype=XLOOKUP(XLOOKUP($Q136,'Threshold Summary'!$Y:$Y,'Threshold Summary'!$K:$K,""),'Pokemon Editor'!$A:$A,'Pokemon Editor'!$C:$C,""),mtype=XLOOKUP(XLOOKUP($Q136,'Threshold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Chart'!$B$1:$S$1,0)))),base,IF(OR(cat="Status",pow=0),0,FLOOR(FLOOR(FLOOR((2*XLOOKUP($Q136,'Threshold Summary'!$Y:$Y,'Threshold Summary'!$L:$L,"")/5+2)*pow*atk/def)/50)+2)),modifier,stab*eff,AVERAGE(ARRAYFORMULA(FLOOR(base*modifier*SEQUENCE(16,1,85,1)/100)))*MIN(1,acc/100)),0)</f>
        <v/>
      </c>
      <c r="N136" s="4">
        <f>IFERROR(LET(mtype,XLOOKUP($D136,'Move Editor'!$B:$B,'Move Editor'!$C:$C,""),cat,XLOOKUP($D136,'Move Editor'!$B:$B,'Move Editor'!$D:$D,""),pow,XLOOKUP($D136,'Move Editor'!$B:$B,'Move Editor'!$E:$E,0),acc,XLOOKUP($D136,'Move Editor'!$B:$B,'Move Editor'!$F:$F,100),atk,IF(cat="Physical",FLOOR((FLOOR(((2*XLOOKUP(XLOOKUP($Q136,'Threshold Summary'!$Y:$Y,'Threshold Summary'!$K:$K,""),'Pokemon Editor'!$A:$A,'Pokemon Editor'!$F:$F,0)+31+FLOOR(XLOOKUP($Q136,'Threshold Summary'!$Y:$Y,'Threshold Summary'!$P:$P,"")/4))*XLOOKUP($Q136,'Threshold Summary'!$Y:$Y,'Threshold Summary'!$L:$L,""))/100)+5)*XLOOKUP(XLOOKUP($Q136,'Threshold Summary'!$Y:$Y,'Threshold Summary'!$M:$M,""),'Nature Editor'!$A:$A,'Nature Editor'!$B:$B,1)),FLOOR((FLOOR(((2*XLOOKUP(XLOOKUP($Q136,'Threshold Summary'!$Y:$Y,'Threshold Summary'!$K:$K,""),'Pokemon Editor'!$A:$A,'Pokemon Editor'!$H:$H,0)+31+FLOOR(XLOOKUP($Q136,'Threshold Summary'!$Y:$Y,'Threshold Summary'!$R:$R,"")/4))*XLOOKUP($Q136,'Threshold Summary'!$Y:$Y,'Threshold Summary'!$L:$L,""))/100)+5)*XLOOKUP(XLOOKUP($Q136,'Threshold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Editor'!$E:$E,1))),stab,IF(OR(mtype=XLOOKUP(XLOOKUP($Q136,'Threshold Summary'!$Y:$Y,'Threshold Summary'!$K:$K,""),'Pokemon Editor'!$A:$A,'Pokemon Editor'!$C:$C,""),mtype=XLOOKUP(XLOOKUP($Q136,'Threshold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Chart'!$B$1:$S$1,0)))),base,IF(OR(cat="Status",pow=0),0,FLOOR(FLOOR(FLOOR((2*XLOOKUP($Q136,'Threshold Summary'!$Y:$Y,'Threshold Summary'!$L:$L,"")/5+2)*pow*atk/def)/50)+2)),modifier,stab*eff,AVERAGE(ARRAYFORMULA(FLOOR(base*modifier*SEQUENCE(16,1,85,1)/100)))/(FLOOR(((2*XLOOKUP('Boss Editor'!$C$4,'Pokemon Editor'!$A:$A,'Pokemon Editor'!$E:$E,0)+31+FLOOR('Boss Editor'!$G$4/4))*'Boss Editor'!$D$4)/100)+'Boss Editor'!$D$4+10)),0)</f>
        <v/>
      </c>
      <c r="O136" s="3">
        <f>IF(N136&gt;=1,"OHKO",IF(N136&gt;=0.5,"2HKO",IF(N136&gt;=0.333,"3HKO",IF(N136&gt;=0.25,"4HKO","5HKO+"))))</f>
        <v/>
      </c>
      <c r="P136" s="3" t="inlineStr">
        <is>
          <t>Live from editable databases</t>
        </is>
      </c>
      <c r="Q136" s="3" t="inlineStr">
        <is>
          <t>SPECIES_TORCHIC</t>
        </is>
      </c>
      <c r="R136" s="3" t="n">
        <v>7</v>
      </c>
    </row>
    <row r="137">
      <c r="A137" s="3">
        <f>XLOOKUP($Q137,'Threshold Summary'!$Y:$Y,'Threshold Summary'!$A:$A,"")</f>
        <v/>
      </c>
      <c r="B137" s="3">
        <f>XLOOKUP($Q137,'Threshold Summary'!$Y:$Y,'Threshold Summary'!$M:$M,"")</f>
        <v/>
      </c>
      <c r="C137" s="3">
        <f>XLOOKUP($Q137,'Threshold Summary'!$Y:$Y,'Threshold Summary'!$N:$N,"")</f>
        <v/>
      </c>
      <c r="D137" s="3">
        <f>IFERROR(INDEX(FILTER('Learnset Editor'!$D$2:$D,'Learnset Editor'!$A$2:$A=XLOOKUP($Q137,'Threshold Summary'!$Y:$Y,'Threshold Summary'!$K:$K,""),'Learnset Editor'!$C$2:$C&lt;=XLOOKUP($Q137,'Threshold Summary'!$Y:$Y,'Threshold Summary'!$L:$L,"")),$R137),"")</f>
        <v/>
      </c>
      <c r="E137" s="3">
        <f>XLOOKUP(D137,'Move Editor'!$B:$B,'Move Editor'!$C:$C,"")</f>
        <v/>
      </c>
      <c r="F137" s="3">
        <f>XLOOKUP(D137,'Move Editor'!$B:$B,'Move Editor'!$D:$D,"")</f>
        <v/>
      </c>
      <c r="G137" s="3">
        <f>XLOOKUP(D137,'Move Editor'!$B:$B,'Move Editor'!$E:$E,0)</f>
        <v/>
      </c>
      <c r="H137" s="3">
        <f>XLOOKUP(D137,'Move Editor'!$B:$B,'Move Editor'!$F:$F,0)</f>
        <v/>
      </c>
      <c r="I137" s="3">
        <f>(INDEX('Type Chart'!$B:$S,MATCH(E137,'Type Chart'!$A:$A,0),MATCH(XLOOKUP('Boss Editor'!$C$4,'Pokemon Editor'!$A:$A,'Pokemon Editor'!$C:$C,""),'Type Chart'!$B$1:$S$1,0))*IF(XLOOKUP('Boss Editor'!$C$4,'Pokemon Editor'!$A:$A,'Pokemon Editor'!$D:$D,"")="",1,INDEX('Type Chart'!$B:$S,MATCH(E137,'Type Chart'!$A:$A,0),MATCH(XLOOKUP('Boss Editor'!$C$4,'Pokemon Editor'!$A:$A,'Pokemon Editor'!$D:$D,""),'Type Chart'!$B$1:$S$1,0))))</f>
        <v/>
      </c>
      <c r="J137" s="3">
        <f>IFERROR(LET(mtype,XLOOKUP($D137,'Move Editor'!$B:$B,'Move Editor'!$C:$C,""),cat,XLOOKUP($D137,'Move Editor'!$B:$B,'Move Editor'!$D:$D,""),pow,XLOOKUP($D137,'Move Editor'!$B:$B,'Move Editor'!$E:$E,0),acc,XLOOKUP($D137,'Move Editor'!$B:$B,'Move Editor'!$F:$F,100),atk,IF(cat="Physical",FLOOR((FLOOR(((2*XLOOKUP(XLOOKUP($Q137,'Threshold Summary'!$Y:$Y,'Threshold Summary'!$K:$K,""),'Pokemon Editor'!$A:$A,'Pokemon Editor'!$F:$F,0)+31+FLOOR(XLOOKUP($Q137,'Threshold Summary'!$Y:$Y,'Threshold Summary'!$P:$P,"")/4))*XLOOKUP($Q137,'Threshold Summary'!$Y:$Y,'Threshold Summary'!$L:$L,""))/100)+5)*XLOOKUP(XLOOKUP($Q137,'Threshold Summary'!$Y:$Y,'Threshold Summary'!$M:$M,""),'Nature Editor'!$A:$A,'Nature Editor'!$B:$B,1)),FLOOR((FLOOR(((2*XLOOKUP(XLOOKUP($Q137,'Threshold Summary'!$Y:$Y,'Threshold Summary'!$K:$K,""),'Pokemon Editor'!$A:$A,'Pokemon Editor'!$H:$H,0)+31+FLOOR(XLOOKUP($Q137,'Threshold Summary'!$Y:$Y,'Threshold Summary'!$R:$R,"")/4))*XLOOKUP($Q137,'Threshold Summary'!$Y:$Y,'Threshold Summary'!$L:$L,""))/100)+5)*XLOOKUP(XLOOKUP($Q137,'Threshold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Editor'!$E:$E,1))),stab,IF(OR(mtype=XLOOKUP(XLOOKUP($Q137,'Threshold Summary'!$Y:$Y,'Threshold Summary'!$K:$K,""),'Pokemon Editor'!$A:$A,'Pokemon Editor'!$C:$C,""),mtype=XLOOKUP(XLOOKUP($Q137,'Threshold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Chart'!$B$1:$S$1,0)))),base,IF(OR(cat="Status",pow=0),0,FLOOR(FLOOR(FLOOR((2*XLOOKUP($Q137,'Threshold Summary'!$Y:$Y,'Threshold Summary'!$L:$L,"")/5+2)*pow*atk/def)/50)+2)),modifier,stab*eff,FLOOR(base*modifier*0.85)),0)</f>
        <v/>
      </c>
      <c r="K137" s="3">
        <f>IFERROR(LET(mtype,XLOOKUP($D137,'Move Editor'!$B:$B,'Move Editor'!$C:$C,""),cat,XLOOKUP($D137,'Move Editor'!$B:$B,'Move Editor'!$D:$D,""),pow,XLOOKUP($D137,'Move Editor'!$B:$B,'Move Editor'!$E:$E,0),acc,XLOOKUP($D137,'Move Editor'!$B:$B,'Move Editor'!$F:$F,100),atk,IF(cat="Physical",FLOOR((FLOOR(((2*XLOOKUP(XLOOKUP($Q137,'Threshold Summary'!$Y:$Y,'Threshold Summary'!$K:$K,""),'Pokemon Editor'!$A:$A,'Pokemon Editor'!$F:$F,0)+31+FLOOR(XLOOKUP($Q137,'Threshold Summary'!$Y:$Y,'Threshold Summary'!$P:$P,"")/4))*XLOOKUP($Q137,'Threshold Summary'!$Y:$Y,'Threshold Summary'!$L:$L,""))/100)+5)*XLOOKUP(XLOOKUP($Q137,'Threshold Summary'!$Y:$Y,'Threshold Summary'!$M:$M,""),'Nature Editor'!$A:$A,'Nature Editor'!$B:$B,1)),FLOOR((FLOOR(((2*XLOOKUP(XLOOKUP($Q137,'Threshold Summary'!$Y:$Y,'Threshold Summary'!$K:$K,""),'Pokemon Editor'!$A:$A,'Pokemon Editor'!$H:$H,0)+31+FLOOR(XLOOKUP($Q137,'Threshold Summary'!$Y:$Y,'Threshold Summary'!$R:$R,"")/4))*XLOOKUP($Q137,'Threshold Summary'!$Y:$Y,'Threshold Summary'!$L:$L,""))/100)+5)*XLOOKUP(XLOOKUP($Q137,'Threshold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Editor'!$E:$E,1))),stab,IF(OR(mtype=XLOOKUP(XLOOKUP($Q137,'Threshold Summary'!$Y:$Y,'Threshold Summary'!$K:$K,""),'Pokemon Editor'!$A:$A,'Pokemon Editor'!$C:$C,""),mtype=XLOOKUP(XLOOKUP($Q137,'Threshold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Chart'!$B$1:$S$1,0)))),base,IF(OR(cat="Status",pow=0),0,FLOOR(FLOOR(FLOOR((2*XLOOKUP($Q137,'Threshold Summary'!$Y:$Y,'Threshold Summary'!$L:$L,"")/5+2)*pow*atk/def)/50)+2)),modifier,stab*eff,FLOOR(base*modifier)),0)</f>
        <v/>
      </c>
      <c r="L137" s="3">
        <f>IFERROR(LET(mtype,XLOOKUP($D137,'Move Editor'!$B:$B,'Move Editor'!$C:$C,""),cat,XLOOKUP($D137,'Move Editor'!$B:$B,'Move Editor'!$D:$D,""),pow,XLOOKUP($D137,'Move Editor'!$B:$B,'Move Editor'!$E:$E,0),acc,XLOOKUP($D137,'Move Editor'!$B:$B,'Move Editor'!$F:$F,100),atk,IF(cat="Physical",FLOOR((FLOOR(((2*XLOOKUP(XLOOKUP($Q137,'Threshold Summary'!$Y:$Y,'Threshold Summary'!$K:$K,""),'Pokemon Editor'!$A:$A,'Pokemon Editor'!$F:$F,0)+31+FLOOR(XLOOKUP($Q137,'Threshold Summary'!$Y:$Y,'Threshold Summary'!$P:$P,"")/4))*XLOOKUP($Q137,'Threshold Summary'!$Y:$Y,'Threshold Summary'!$L:$L,""))/100)+5)*XLOOKUP(XLOOKUP($Q137,'Threshold Summary'!$Y:$Y,'Threshold Summary'!$M:$M,""),'Nature Editor'!$A:$A,'Nature Editor'!$B:$B,1)),FLOOR((FLOOR(((2*XLOOKUP(XLOOKUP($Q137,'Threshold Summary'!$Y:$Y,'Threshold Summary'!$K:$K,""),'Pokemon Editor'!$A:$A,'Pokemon Editor'!$H:$H,0)+31+FLOOR(XLOOKUP($Q137,'Threshold Summary'!$Y:$Y,'Threshold Summary'!$R:$R,"")/4))*XLOOKUP($Q137,'Threshold Summary'!$Y:$Y,'Threshold Summary'!$L:$L,""))/100)+5)*XLOOKUP(XLOOKUP($Q137,'Threshold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Editor'!$E:$E,1))),stab,IF(OR(mtype=XLOOKUP(XLOOKUP($Q137,'Threshold Summary'!$Y:$Y,'Threshold Summary'!$K:$K,""),'Pokemon Editor'!$A:$A,'Pokemon Editor'!$C:$C,""),mtype=XLOOKUP(XLOOKUP($Q137,'Threshold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Chart'!$B$1:$S$1,0)))),base,IF(OR(cat="Status",pow=0),0,FLOOR(FLOOR(FLOOR((2*XLOOKUP($Q137,'Threshold Summary'!$Y:$Y,'Threshold Summary'!$L:$L,"")/5+2)*pow*atk/def)/50)+2)),modifier,stab*eff,AVERAGE(ARRAYFORMULA(FLOOR(base*modifier*SEQUENCE(16,1,85,1)/100)))),0)</f>
        <v/>
      </c>
      <c r="M137" s="3">
        <f>IFERROR(LET(mtype,XLOOKUP($D137,'Move Editor'!$B:$B,'Move Editor'!$C:$C,""),cat,XLOOKUP($D137,'Move Editor'!$B:$B,'Move Editor'!$D:$D,""),pow,XLOOKUP($D137,'Move Editor'!$B:$B,'Move Editor'!$E:$E,0),acc,XLOOKUP($D137,'Move Editor'!$B:$B,'Move Editor'!$F:$F,100),atk,IF(cat="Physical",FLOOR((FLOOR(((2*XLOOKUP(XLOOKUP($Q137,'Threshold Summary'!$Y:$Y,'Threshold Summary'!$K:$K,""),'Pokemon Editor'!$A:$A,'Pokemon Editor'!$F:$F,0)+31+FLOOR(XLOOKUP($Q137,'Threshold Summary'!$Y:$Y,'Threshold Summary'!$P:$P,"")/4))*XLOOKUP($Q137,'Threshold Summary'!$Y:$Y,'Threshold Summary'!$L:$L,""))/100)+5)*XLOOKUP(XLOOKUP($Q137,'Threshold Summary'!$Y:$Y,'Threshold Summary'!$M:$M,""),'Nature Editor'!$A:$A,'Nature Editor'!$B:$B,1)),FLOOR((FLOOR(((2*XLOOKUP(XLOOKUP($Q137,'Threshold Summary'!$Y:$Y,'Threshold Summary'!$K:$K,""),'Pokemon Editor'!$A:$A,'Pokemon Editor'!$H:$H,0)+31+FLOOR(XLOOKUP($Q137,'Threshold Summary'!$Y:$Y,'Threshold Summary'!$R:$R,"")/4))*XLOOKUP($Q137,'Threshold Summary'!$Y:$Y,'Threshold Summary'!$L:$L,""))/100)+5)*XLOOKUP(XLOOKUP($Q137,'Threshold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Editor'!$E:$E,1))),stab,IF(OR(mtype=XLOOKUP(XLOOKUP($Q137,'Threshold Summary'!$Y:$Y,'Threshold Summary'!$K:$K,""),'Pokemon Editor'!$A:$A,'Pokemon Editor'!$C:$C,""),mtype=XLOOKUP(XLOOKUP($Q137,'Threshold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Chart'!$B$1:$S$1,0)))),base,IF(OR(cat="Status",pow=0),0,FLOOR(FLOOR(FLOOR((2*XLOOKUP($Q137,'Threshold Summary'!$Y:$Y,'Threshold Summary'!$L:$L,"")/5+2)*pow*atk/def)/50)+2)),modifier,stab*eff,AVERAGE(ARRAYFORMULA(FLOOR(base*modifier*SEQUENCE(16,1,85,1)/100)))*MIN(1,acc/100)),0)</f>
        <v/>
      </c>
      <c r="N137" s="4">
        <f>IFERROR(LET(mtype,XLOOKUP($D137,'Move Editor'!$B:$B,'Move Editor'!$C:$C,""),cat,XLOOKUP($D137,'Move Editor'!$B:$B,'Move Editor'!$D:$D,""),pow,XLOOKUP($D137,'Move Editor'!$B:$B,'Move Editor'!$E:$E,0),acc,XLOOKUP($D137,'Move Editor'!$B:$B,'Move Editor'!$F:$F,100),atk,IF(cat="Physical",FLOOR((FLOOR(((2*XLOOKUP(XLOOKUP($Q137,'Threshold Summary'!$Y:$Y,'Threshold Summary'!$K:$K,""),'Pokemon Editor'!$A:$A,'Pokemon Editor'!$F:$F,0)+31+FLOOR(XLOOKUP($Q137,'Threshold Summary'!$Y:$Y,'Threshold Summary'!$P:$P,"")/4))*XLOOKUP($Q137,'Threshold Summary'!$Y:$Y,'Threshold Summary'!$L:$L,""))/100)+5)*XLOOKUP(XLOOKUP($Q137,'Threshold Summary'!$Y:$Y,'Threshold Summary'!$M:$M,""),'Nature Editor'!$A:$A,'Nature Editor'!$B:$B,1)),FLOOR((FLOOR(((2*XLOOKUP(XLOOKUP($Q137,'Threshold Summary'!$Y:$Y,'Threshold Summary'!$K:$K,""),'Pokemon Editor'!$A:$A,'Pokemon Editor'!$H:$H,0)+31+FLOOR(XLOOKUP($Q137,'Threshold Summary'!$Y:$Y,'Threshold Summary'!$R:$R,"")/4))*XLOOKUP($Q137,'Threshold Summary'!$Y:$Y,'Threshold Summary'!$L:$L,""))/100)+5)*XLOOKUP(XLOOKUP($Q137,'Threshold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Editor'!$E:$E,1))),stab,IF(OR(mtype=XLOOKUP(XLOOKUP($Q137,'Threshold Summary'!$Y:$Y,'Threshold Summary'!$K:$K,""),'Pokemon Editor'!$A:$A,'Pokemon Editor'!$C:$C,""),mtype=XLOOKUP(XLOOKUP($Q137,'Threshold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Chart'!$B$1:$S$1,0)))),base,IF(OR(cat="Status",pow=0),0,FLOOR(FLOOR(FLOOR((2*XLOOKUP($Q137,'Threshold Summary'!$Y:$Y,'Threshold Summary'!$L:$L,"")/5+2)*pow*atk/def)/50)+2)),modifier,stab*eff,AVERAGE(ARRAYFORMULA(FLOOR(base*modifier*SEQUENCE(16,1,85,1)/100)))/(FLOOR(((2*XLOOKUP('Boss Editor'!$C$4,'Pokemon Editor'!$A:$A,'Pokemon Editor'!$E:$E,0)+31+FLOOR('Boss Editor'!$G$4/4))*'Boss Editor'!$D$4)/100)+'Boss Editor'!$D$4+10)),0)</f>
        <v/>
      </c>
      <c r="O137" s="3">
        <f>IF(N137&gt;=1,"OHKO",IF(N137&gt;=0.5,"2HKO",IF(N137&gt;=0.333,"3HKO",IF(N137&gt;=0.25,"4HKO","5HKO+"))))</f>
        <v/>
      </c>
      <c r="P137" s="3" t="inlineStr">
        <is>
          <t>Live from editable databases</t>
        </is>
      </c>
      <c r="Q137" s="3" t="inlineStr">
        <is>
          <t>SPECIES_TORCHIC</t>
        </is>
      </c>
      <c r="R137" s="3" t="n">
        <v>8</v>
      </c>
    </row>
    <row r="138">
      <c r="A138" s="3">
        <f>XLOOKUP($Q138,'Threshold Summary'!$Y:$Y,'Threshold Summary'!$A:$A,"")</f>
        <v/>
      </c>
      <c r="B138" s="3">
        <f>XLOOKUP($Q138,'Threshold Summary'!$Y:$Y,'Threshold Summary'!$M:$M,"")</f>
        <v/>
      </c>
      <c r="C138" s="3">
        <f>XLOOKUP($Q138,'Threshold Summary'!$Y:$Y,'Threshold Summary'!$N:$N,"")</f>
        <v/>
      </c>
      <c r="D138" s="3">
        <f>IFERROR(INDEX(FILTER('Learnset Editor'!$D$2:$D,'Learnset Editor'!$A$2:$A=XLOOKUP($Q138,'Threshold Summary'!$Y:$Y,'Threshold Summary'!$K:$K,""),'Learnset Editor'!$C$2:$C&lt;=XLOOKUP($Q138,'Threshold Summary'!$Y:$Y,'Threshold Summary'!$L:$L,"")),$R138),"")</f>
        <v/>
      </c>
      <c r="E138" s="3">
        <f>XLOOKUP(D138,'Move Editor'!$B:$B,'Move Editor'!$C:$C,"")</f>
        <v/>
      </c>
      <c r="F138" s="3">
        <f>XLOOKUP(D138,'Move Editor'!$B:$B,'Move Editor'!$D:$D,"")</f>
        <v/>
      </c>
      <c r="G138" s="3">
        <f>XLOOKUP(D138,'Move Editor'!$B:$B,'Move Editor'!$E:$E,0)</f>
        <v/>
      </c>
      <c r="H138" s="3">
        <f>XLOOKUP(D138,'Move Editor'!$B:$B,'Move Editor'!$F:$F,0)</f>
        <v/>
      </c>
      <c r="I138" s="3">
        <f>(INDEX('Type Chart'!$B:$S,MATCH(E138,'Type Chart'!$A:$A,0),MATCH(XLOOKUP('Boss Editor'!$C$4,'Pokemon Editor'!$A:$A,'Pokemon Editor'!$C:$C,""),'Type Chart'!$B$1:$S$1,0))*IF(XLOOKUP('Boss Editor'!$C$4,'Pokemon Editor'!$A:$A,'Pokemon Editor'!$D:$D,"")="",1,INDEX('Type Chart'!$B:$S,MATCH(E138,'Type Chart'!$A:$A,0),MATCH(XLOOKUP('Boss Editor'!$C$4,'Pokemon Editor'!$A:$A,'Pokemon Editor'!$D:$D,""),'Type Chart'!$B$1:$S$1,0))))</f>
        <v/>
      </c>
      <c r="J138" s="3">
        <f>IFERROR(LET(mtype,XLOOKUP($D138,'Move Editor'!$B:$B,'Move Editor'!$C:$C,""),cat,XLOOKUP($D138,'Move Editor'!$B:$B,'Move Editor'!$D:$D,""),pow,XLOOKUP($D138,'Move Editor'!$B:$B,'Move Editor'!$E:$E,0),acc,XLOOKUP($D138,'Move Editor'!$B:$B,'Move Editor'!$F:$F,100),atk,IF(cat="Physical",FLOOR((FLOOR(((2*XLOOKUP(XLOOKUP($Q138,'Threshold Summary'!$Y:$Y,'Threshold Summary'!$K:$K,""),'Pokemon Editor'!$A:$A,'Pokemon Editor'!$F:$F,0)+31+FLOOR(XLOOKUP($Q138,'Threshold Summary'!$Y:$Y,'Threshold Summary'!$P:$P,"")/4))*XLOOKUP($Q138,'Threshold Summary'!$Y:$Y,'Threshold Summary'!$L:$L,""))/100)+5)*XLOOKUP(XLOOKUP($Q138,'Threshold Summary'!$Y:$Y,'Threshold Summary'!$M:$M,""),'Nature Editor'!$A:$A,'Nature Editor'!$B:$B,1)),FLOOR((FLOOR(((2*XLOOKUP(XLOOKUP($Q138,'Threshold Summary'!$Y:$Y,'Threshold Summary'!$K:$K,""),'Pokemon Editor'!$A:$A,'Pokemon Editor'!$H:$H,0)+31+FLOOR(XLOOKUP($Q138,'Threshold Summary'!$Y:$Y,'Threshold Summary'!$R:$R,"")/4))*XLOOKUP($Q138,'Threshold Summary'!$Y:$Y,'Threshold Summary'!$L:$L,""))/100)+5)*XLOOKUP(XLOOKUP($Q138,'Threshold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Editor'!$E:$E,1))),stab,IF(OR(mtype=XLOOKUP(XLOOKUP($Q138,'Threshold Summary'!$Y:$Y,'Threshold Summary'!$K:$K,""),'Pokemon Editor'!$A:$A,'Pokemon Editor'!$C:$C,""),mtype=XLOOKUP(XLOOKUP($Q138,'Threshold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Chart'!$B$1:$S$1,0)))),base,IF(OR(cat="Status",pow=0),0,FLOOR(FLOOR(FLOOR((2*XLOOKUP($Q138,'Threshold Summary'!$Y:$Y,'Threshold Summary'!$L:$L,"")/5+2)*pow*atk/def)/50)+2)),modifier,stab*eff,FLOOR(base*modifier*0.85)),0)</f>
        <v/>
      </c>
      <c r="K138" s="3">
        <f>IFERROR(LET(mtype,XLOOKUP($D138,'Move Editor'!$B:$B,'Move Editor'!$C:$C,""),cat,XLOOKUP($D138,'Move Editor'!$B:$B,'Move Editor'!$D:$D,""),pow,XLOOKUP($D138,'Move Editor'!$B:$B,'Move Editor'!$E:$E,0),acc,XLOOKUP($D138,'Move Editor'!$B:$B,'Move Editor'!$F:$F,100),atk,IF(cat="Physical",FLOOR((FLOOR(((2*XLOOKUP(XLOOKUP($Q138,'Threshold Summary'!$Y:$Y,'Threshold Summary'!$K:$K,""),'Pokemon Editor'!$A:$A,'Pokemon Editor'!$F:$F,0)+31+FLOOR(XLOOKUP($Q138,'Threshold Summary'!$Y:$Y,'Threshold Summary'!$P:$P,"")/4))*XLOOKUP($Q138,'Threshold Summary'!$Y:$Y,'Threshold Summary'!$L:$L,""))/100)+5)*XLOOKUP(XLOOKUP($Q138,'Threshold Summary'!$Y:$Y,'Threshold Summary'!$M:$M,""),'Nature Editor'!$A:$A,'Nature Editor'!$B:$B,1)),FLOOR((FLOOR(((2*XLOOKUP(XLOOKUP($Q138,'Threshold Summary'!$Y:$Y,'Threshold Summary'!$K:$K,""),'Pokemon Editor'!$A:$A,'Pokemon Editor'!$H:$H,0)+31+FLOOR(XLOOKUP($Q138,'Threshold Summary'!$Y:$Y,'Threshold Summary'!$R:$R,"")/4))*XLOOKUP($Q138,'Threshold Summary'!$Y:$Y,'Threshold Summary'!$L:$L,""))/100)+5)*XLOOKUP(XLOOKUP($Q138,'Threshold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Editor'!$E:$E,1))),stab,IF(OR(mtype=XLOOKUP(XLOOKUP($Q138,'Threshold Summary'!$Y:$Y,'Threshold Summary'!$K:$K,""),'Pokemon Editor'!$A:$A,'Pokemon Editor'!$C:$C,""),mtype=XLOOKUP(XLOOKUP($Q138,'Threshold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Chart'!$B$1:$S$1,0)))),base,IF(OR(cat="Status",pow=0),0,FLOOR(FLOOR(FLOOR((2*XLOOKUP($Q138,'Threshold Summary'!$Y:$Y,'Threshold Summary'!$L:$L,"")/5+2)*pow*atk/def)/50)+2)),modifier,stab*eff,FLOOR(base*modifier)),0)</f>
        <v/>
      </c>
      <c r="L138" s="3">
        <f>IFERROR(LET(mtype,XLOOKUP($D138,'Move Editor'!$B:$B,'Move Editor'!$C:$C,""),cat,XLOOKUP($D138,'Move Editor'!$B:$B,'Move Editor'!$D:$D,""),pow,XLOOKUP($D138,'Move Editor'!$B:$B,'Move Editor'!$E:$E,0),acc,XLOOKUP($D138,'Move Editor'!$B:$B,'Move Editor'!$F:$F,100),atk,IF(cat="Physical",FLOOR((FLOOR(((2*XLOOKUP(XLOOKUP($Q138,'Threshold Summary'!$Y:$Y,'Threshold Summary'!$K:$K,""),'Pokemon Editor'!$A:$A,'Pokemon Editor'!$F:$F,0)+31+FLOOR(XLOOKUP($Q138,'Threshold Summary'!$Y:$Y,'Threshold Summary'!$P:$P,"")/4))*XLOOKUP($Q138,'Threshold Summary'!$Y:$Y,'Threshold Summary'!$L:$L,""))/100)+5)*XLOOKUP(XLOOKUP($Q138,'Threshold Summary'!$Y:$Y,'Threshold Summary'!$M:$M,""),'Nature Editor'!$A:$A,'Nature Editor'!$B:$B,1)),FLOOR((FLOOR(((2*XLOOKUP(XLOOKUP($Q138,'Threshold Summary'!$Y:$Y,'Threshold Summary'!$K:$K,""),'Pokemon Editor'!$A:$A,'Pokemon Editor'!$H:$H,0)+31+FLOOR(XLOOKUP($Q138,'Threshold Summary'!$Y:$Y,'Threshold Summary'!$R:$R,"")/4))*XLOOKUP($Q138,'Threshold Summary'!$Y:$Y,'Threshold Summary'!$L:$L,""))/100)+5)*XLOOKUP(XLOOKUP($Q138,'Threshold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Editor'!$E:$E,1))),stab,IF(OR(mtype=XLOOKUP(XLOOKUP($Q138,'Threshold Summary'!$Y:$Y,'Threshold Summary'!$K:$K,""),'Pokemon Editor'!$A:$A,'Pokemon Editor'!$C:$C,""),mtype=XLOOKUP(XLOOKUP($Q138,'Threshold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Chart'!$B$1:$S$1,0)))),base,IF(OR(cat="Status",pow=0),0,FLOOR(FLOOR(FLOOR((2*XLOOKUP($Q138,'Threshold Summary'!$Y:$Y,'Threshold Summary'!$L:$L,"")/5+2)*pow*atk/def)/50)+2)),modifier,stab*eff,AVERAGE(ARRAYFORMULA(FLOOR(base*modifier*SEQUENCE(16,1,85,1)/100)))),0)</f>
        <v/>
      </c>
      <c r="M138" s="3">
        <f>IFERROR(LET(mtype,XLOOKUP($D138,'Move Editor'!$B:$B,'Move Editor'!$C:$C,""),cat,XLOOKUP($D138,'Move Editor'!$B:$B,'Move Editor'!$D:$D,""),pow,XLOOKUP($D138,'Move Editor'!$B:$B,'Move Editor'!$E:$E,0),acc,XLOOKUP($D138,'Move Editor'!$B:$B,'Move Editor'!$F:$F,100),atk,IF(cat="Physical",FLOOR((FLOOR(((2*XLOOKUP(XLOOKUP($Q138,'Threshold Summary'!$Y:$Y,'Threshold Summary'!$K:$K,""),'Pokemon Editor'!$A:$A,'Pokemon Editor'!$F:$F,0)+31+FLOOR(XLOOKUP($Q138,'Threshold Summary'!$Y:$Y,'Threshold Summary'!$P:$P,"")/4))*XLOOKUP($Q138,'Threshold Summary'!$Y:$Y,'Threshold Summary'!$L:$L,""))/100)+5)*XLOOKUP(XLOOKUP($Q138,'Threshold Summary'!$Y:$Y,'Threshold Summary'!$M:$M,""),'Nature Editor'!$A:$A,'Nature Editor'!$B:$B,1)),FLOOR((FLOOR(((2*XLOOKUP(XLOOKUP($Q138,'Threshold Summary'!$Y:$Y,'Threshold Summary'!$K:$K,""),'Pokemon Editor'!$A:$A,'Pokemon Editor'!$H:$H,0)+31+FLOOR(XLOOKUP($Q138,'Threshold Summary'!$Y:$Y,'Threshold Summary'!$R:$R,"")/4))*XLOOKUP($Q138,'Threshold Summary'!$Y:$Y,'Threshold Summary'!$L:$L,""))/100)+5)*XLOOKUP(XLOOKUP($Q138,'Threshold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Editor'!$E:$E,1))),stab,IF(OR(mtype=XLOOKUP(XLOOKUP($Q138,'Threshold Summary'!$Y:$Y,'Threshold Summary'!$K:$K,""),'Pokemon Editor'!$A:$A,'Pokemon Editor'!$C:$C,""),mtype=XLOOKUP(XLOOKUP($Q138,'Threshold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Chart'!$B$1:$S$1,0)))),base,IF(OR(cat="Status",pow=0),0,FLOOR(FLOOR(FLOOR((2*XLOOKUP($Q138,'Threshold Summary'!$Y:$Y,'Threshold Summary'!$L:$L,"")/5+2)*pow*atk/def)/50)+2)),modifier,stab*eff,AVERAGE(ARRAYFORMULA(FLOOR(base*modifier*SEQUENCE(16,1,85,1)/100)))*MIN(1,acc/100)),0)</f>
        <v/>
      </c>
      <c r="N138" s="4">
        <f>IFERROR(LET(mtype,XLOOKUP($D138,'Move Editor'!$B:$B,'Move Editor'!$C:$C,""),cat,XLOOKUP($D138,'Move Editor'!$B:$B,'Move Editor'!$D:$D,""),pow,XLOOKUP($D138,'Move Editor'!$B:$B,'Move Editor'!$E:$E,0),acc,XLOOKUP($D138,'Move Editor'!$B:$B,'Move Editor'!$F:$F,100),atk,IF(cat="Physical",FLOOR((FLOOR(((2*XLOOKUP(XLOOKUP($Q138,'Threshold Summary'!$Y:$Y,'Threshold Summary'!$K:$K,""),'Pokemon Editor'!$A:$A,'Pokemon Editor'!$F:$F,0)+31+FLOOR(XLOOKUP($Q138,'Threshold Summary'!$Y:$Y,'Threshold Summary'!$P:$P,"")/4))*XLOOKUP($Q138,'Threshold Summary'!$Y:$Y,'Threshold Summary'!$L:$L,""))/100)+5)*XLOOKUP(XLOOKUP($Q138,'Threshold Summary'!$Y:$Y,'Threshold Summary'!$M:$M,""),'Nature Editor'!$A:$A,'Nature Editor'!$B:$B,1)),FLOOR((FLOOR(((2*XLOOKUP(XLOOKUP($Q138,'Threshold Summary'!$Y:$Y,'Threshold Summary'!$K:$K,""),'Pokemon Editor'!$A:$A,'Pokemon Editor'!$H:$H,0)+31+FLOOR(XLOOKUP($Q138,'Threshold Summary'!$Y:$Y,'Threshold Summary'!$R:$R,"")/4))*XLOOKUP($Q138,'Threshold Summary'!$Y:$Y,'Threshold Summary'!$L:$L,""))/100)+5)*XLOOKUP(XLOOKUP($Q138,'Threshold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Editor'!$E:$E,1))),stab,IF(OR(mtype=XLOOKUP(XLOOKUP($Q138,'Threshold Summary'!$Y:$Y,'Threshold Summary'!$K:$K,""),'Pokemon Editor'!$A:$A,'Pokemon Editor'!$C:$C,""),mtype=XLOOKUP(XLOOKUP($Q138,'Threshold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Chart'!$B$1:$S$1,0)))),base,IF(OR(cat="Status",pow=0),0,FLOOR(FLOOR(FLOOR((2*XLOOKUP($Q138,'Threshold Summary'!$Y:$Y,'Threshold Summary'!$L:$L,"")/5+2)*pow*atk/def)/50)+2)),modifier,stab*eff,AVERAGE(ARRAYFORMULA(FLOOR(base*modifier*SEQUENCE(16,1,85,1)/100)))/(FLOOR(((2*XLOOKUP('Boss Editor'!$C$4,'Pokemon Editor'!$A:$A,'Pokemon Editor'!$E:$E,0)+31+FLOOR('Boss Editor'!$G$4/4))*'Boss Editor'!$D$4)/100)+'Boss Editor'!$D$4+10)),0)</f>
        <v/>
      </c>
      <c r="O138" s="3">
        <f>IF(N138&gt;=1,"OHKO",IF(N138&gt;=0.5,"2HKO",IF(N138&gt;=0.333,"3HKO",IF(N138&gt;=0.25,"4HKO","5HKO+"))))</f>
        <v/>
      </c>
      <c r="P138" s="3" t="inlineStr">
        <is>
          <t>Live from editable databases</t>
        </is>
      </c>
      <c r="Q138" s="3" t="inlineStr">
        <is>
          <t>SPECIES_TORCHIC</t>
        </is>
      </c>
      <c r="R138" s="3" t="n">
        <v>9</v>
      </c>
    </row>
    <row r="139">
      <c r="A139" s="3">
        <f>XLOOKUP($Q139,'Threshold Summary'!$Y:$Y,'Threshold Summary'!$A:$A,"")</f>
        <v/>
      </c>
      <c r="B139" s="3">
        <f>XLOOKUP($Q139,'Threshold Summary'!$Y:$Y,'Threshold Summary'!$M:$M,"")</f>
        <v/>
      </c>
      <c r="C139" s="3">
        <f>XLOOKUP($Q139,'Threshold Summary'!$Y:$Y,'Threshold Summary'!$N:$N,"")</f>
        <v/>
      </c>
      <c r="D139" s="3">
        <f>IFERROR(INDEX(FILTER('Learnset Editor'!$D$2:$D,'Learnset Editor'!$A$2:$A=XLOOKUP($Q139,'Threshold Summary'!$Y:$Y,'Threshold Summary'!$K:$K,""),'Learnset Editor'!$C$2:$C&lt;=XLOOKUP($Q139,'Threshold Summary'!$Y:$Y,'Threshold Summary'!$L:$L,"")),$R139),"")</f>
        <v/>
      </c>
      <c r="E139" s="3">
        <f>XLOOKUP(D139,'Move Editor'!$B:$B,'Move Editor'!$C:$C,"")</f>
        <v/>
      </c>
      <c r="F139" s="3">
        <f>XLOOKUP(D139,'Move Editor'!$B:$B,'Move Editor'!$D:$D,"")</f>
        <v/>
      </c>
      <c r="G139" s="3">
        <f>XLOOKUP(D139,'Move Editor'!$B:$B,'Move Editor'!$E:$E,0)</f>
        <v/>
      </c>
      <c r="H139" s="3">
        <f>XLOOKUP(D139,'Move Editor'!$B:$B,'Move Editor'!$F:$F,0)</f>
        <v/>
      </c>
      <c r="I139" s="3">
        <f>(INDEX('Type Chart'!$B:$S,MATCH(E139,'Type Chart'!$A:$A,0),MATCH(XLOOKUP('Boss Editor'!$C$4,'Pokemon Editor'!$A:$A,'Pokemon Editor'!$C:$C,""),'Type Chart'!$B$1:$S$1,0))*IF(XLOOKUP('Boss Editor'!$C$4,'Pokemon Editor'!$A:$A,'Pokemon Editor'!$D:$D,"")="",1,INDEX('Type Chart'!$B:$S,MATCH(E139,'Type Chart'!$A:$A,0),MATCH(XLOOKUP('Boss Editor'!$C$4,'Pokemon Editor'!$A:$A,'Pokemon Editor'!$D:$D,""),'Type Chart'!$B$1:$S$1,0))))</f>
        <v/>
      </c>
      <c r="J139" s="3">
        <f>IFERROR(LET(mtype,XLOOKUP($D139,'Move Editor'!$B:$B,'Move Editor'!$C:$C,""),cat,XLOOKUP($D139,'Move Editor'!$B:$B,'Move Editor'!$D:$D,""),pow,XLOOKUP($D139,'Move Editor'!$B:$B,'Move Editor'!$E:$E,0),acc,XLOOKUP($D139,'Move Editor'!$B:$B,'Move Editor'!$F:$F,100),atk,IF(cat="Physical",FLOOR((FLOOR(((2*XLOOKUP(XLOOKUP($Q139,'Threshold Summary'!$Y:$Y,'Threshold Summary'!$K:$K,""),'Pokemon Editor'!$A:$A,'Pokemon Editor'!$F:$F,0)+31+FLOOR(XLOOKUP($Q139,'Threshold Summary'!$Y:$Y,'Threshold Summary'!$P:$P,"")/4))*XLOOKUP($Q139,'Threshold Summary'!$Y:$Y,'Threshold Summary'!$L:$L,""))/100)+5)*XLOOKUP(XLOOKUP($Q139,'Threshold Summary'!$Y:$Y,'Threshold Summary'!$M:$M,""),'Nature Editor'!$A:$A,'Nature Editor'!$B:$B,1)),FLOOR((FLOOR(((2*XLOOKUP(XLOOKUP($Q139,'Threshold Summary'!$Y:$Y,'Threshold Summary'!$K:$K,""),'Pokemon Editor'!$A:$A,'Pokemon Editor'!$H:$H,0)+31+FLOOR(XLOOKUP($Q139,'Threshold Summary'!$Y:$Y,'Threshold Summary'!$R:$R,"")/4))*XLOOKUP($Q139,'Threshold Summary'!$Y:$Y,'Threshold Summary'!$L:$L,""))/100)+5)*XLOOKUP(XLOOKUP($Q139,'Threshold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Editor'!$E:$E,1))),stab,IF(OR(mtype=XLOOKUP(XLOOKUP($Q139,'Threshold Summary'!$Y:$Y,'Threshold Summary'!$K:$K,""),'Pokemon Editor'!$A:$A,'Pokemon Editor'!$C:$C,""),mtype=XLOOKUP(XLOOKUP($Q139,'Threshold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Chart'!$B$1:$S$1,0)))),base,IF(OR(cat="Status",pow=0),0,FLOOR(FLOOR(FLOOR((2*XLOOKUP($Q139,'Threshold Summary'!$Y:$Y,'Threshold Summary'!$L:$L,"")/5+2)*pow*atk/def)/50)+2)),modifier,stab*eff,FLOOR(base*modifier*0.85)),0)</f>
        <v/>
      </c>
      <c r="K139" s="3">
        <f>IFERROR(LET(mtype,XLOOKUP($D139,'Move Editor'!$B:$B,'Move Editor'!$C:$C,""),cat,XLOOKUP($D139,'Move Editor'!$B:$B,'Move Editor'!$D:$D,""),pow,XLOOKUP($D139,'Move Editor'!$B:$B,'Move Editor'!$E:$E,0),acc,XLOOKUP($D139,'Move Editor'!$B:$B,'Move Editor'!$F:$F,100),atk,IF(cat="Physical",FLOOR((FLOOR(((2*XLOOKUP(XLOOKUP($Q139,'Threshold Summary'!$Y:$Y,'Threshold Summary'!$K:$K,""),'Pokemon Editor'!$A:$A,'Pokemon Editor'!$F:$F,0)+31+FLOOR(XLOOKUP($Q139,'Threshold Summary'!$Y:$Y,'Threshold Summary'!$P:$P,"")/4))*XLOOKUP($Q139,'Threshold Summary'!$Y:$Y,'Threshold Summary'!$L:$L,""))/100)+5)*XLOOKUP(XLOOKUP($Q139,'Threshold Summary'!$Y:$Y,'Threshold Summary'!$M:$M,""),'Nature Editor'!$A:$A,'Nature Editor'!$B:$B,1)),FLOOR((FLOOR(((2*XLOOKUP(XLOOKUP($Q139,'Threshold Summary'!$Y:$Y,'Threshold Summary'!$K:$K,""),'Pokemon Editor'!$A:$A,'Pokemon Editor'!$H:$H,0)+31+FLOOR(XLOOKUP($Q139,'Threshold Summary'!$Y:$Y,'Threshold Summary'!$R:$R,"")/4))*XLOOKUP($Q139,'Threshold Summary'!$Y:$Y,'Threshold Summary'!$L:$L,""))/100)+5)*XLOOKUP(XLOOKUP($Q139,'Threshold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Editor'!$E:$E,1))),stab,IF(OR(mtype=XLOOKUP(XLOOKUP($Q139,'Threshold Summary'!$Y:$Y,'Threshold Summary'!$K:$K,""),'Pokemon Editor'!$A:$A,'Pokemon Editor'!$C:$C,""),mtype=XLOOKUP(XLOOKUP($Q139,'Threshold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Chart'!$B$1:$S$1,0)))),base,IF(OR(cat="Status",pow=0),0,FLOOR(FLOOR(FLOOR((2*XLOOKUP($Q139,'Threshold Summary'!$Y:$Y,'Threshold Summary'!$L:$L,"")/5+2)*pow*atk/def)/50)+2)),modifier,stab*eff,FLOOR(base*modifier)),0)</f>
        <v/>
      </c>
      <c r="L139" s="3">
        <f>IFERROR(LET(mtype,XLOOKUP($D139,'Move Editor'!$B:$B,'Move Editor'!$C:$C,""),cat,XLOOKUP($D139,'Move Editor'!$B:$B,'Move Editor'!$D:$D,""),pow,XLOOKUP($D139,'Move Editor'!$B:$B,'Move Editor'!$E:$E,0),acc,XLOOKUP($D139,'Move Editor'!$B:$B,'Move Editor'!$F:$F,100),atk,IF(cat="Physical",FLOOR((FLOOR(((2*XLOOKUP(XLOOKUP($Q139,'Threshold Summary'!$Y:$Y,'Threshold Summary'!$K:$K,""),'Pokemon Editor'!$A:$A,'Pokemon Editor'!$F:$F,0)+31+FLOOR(XLOOKUP($Q139,'Threshold Summary'!$Y:$Y,'Threshold Summary'!$P:$P,"")/4))*XLOOKUP($Q139,'Threshold Summary'!$Y:$Y,'Threshold Summary'!$L:$L,""))/100)+5)*XLOOKUP(XLOOKUP($Q139,'Threshold Summary'!$Y:$Y,'Threshold Summary'!$M:$M,""),'Nature Editor'!$A:$A,'Nature Editor'!$B:$B,1)),FLOOR((FLOOR(((2*XLOOKUP(XLOOKUP($Q139,'Threshold Summary'!$Y:$Y,'Threshold Summary'!$K:$K,""),'Pokemon Editor'!$A:$A,'Pokemon Editor'!$H:$H,0)+31+FLOOR(XLOOKUP($Q139,'Threshold Summary'!$Y:$Y,'Threshold Summary'!$R:$R,"")/4))*XLOOKUP($Q139,'Threshold Summary'!$Y:$Y,'Threshold Summary'!$L:$L,""))/100)+5)*XLOOKUP(XLOOKUP($Q139,'Threshold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Editor'!$E:$E,1))),stab,IF(OR(mtype=XLOOKUP(XLOOKUP($Q139,'Threshold Summary'!$Y:$Y,'Threshold Summary'!$K:$K,""),'Pokemon Editor'!$A:$A,'Pokemon Editor'!$C:$C,""),mtype=XLOOKUP(XLOOKUP($Q139,'Threshold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Chart'!$B$1:$S$1,0)))),base,IF(OR(cat="Status",pow=0),0,FLOOR(FLOOR(FLOOR((2*XLOOKUP($Q139,'Threshold Summary'!$Y:$Y,'Threshold Summary'!$L:$L,"")/5+2)*pow*atk/def)/50)+2)),modifier,stab*eff,AVERAGE(ARRAYFORMULA(FLOOR(base*modifier*SEQUENCE(16,1,85,1)/100)))),0)</f>
        <v/>
      </c>
      <c r="M139" s="3">
        <f>IFERROR(LET(mtype,XLOOKUP($D139,'Move Editor'!$B:$B,'Move Editor'!$C:$C,""),cat,XLOOKUP($D139,'Move Editor'!$B:$B,'Move Editor'!$D:$D,""),pow,XLOOKUP($D139,'Move Editor'!$B:$B,'Move Editor'!$E:$E,0),acc,XLOOKUP($D139,'Move Editor'!$B:$B,'Move Editor'!$F:$F,100),atk,IF(cat="Physical",FLOOR((FLOOR(((2*XLOOKUP(XLOOKUP($Q139,'Threshold Summary'!$Y:$Y,'Threshold Summary'!$K:$K,""),'Pokemon Editor'!$A:$A,'Pokemon Editor'!$F:$F,0)+31+FLOOR(XLOOKUP($Q139,'Threshold Summary'!$Y:$Y,'Threshold Summary'!$P:$P,"")/4))*XLOOKUP($Q139,'Threshold Summary'!$Y:$Y,'Threshold Summary'!$L:$L,""))/100)+5)*XLOOKUP(XLOOKUP($Q139,'Threshold Summary'!$Y:$Y,'Threshold Summary'!$M:$M,""),'Nature Editor'!$A:$A,'Nature Editor'!$B:$B,1)),FLOOR((FLOOR(((2*XLOOKUP(XLOOKUP($Q139,'Threshold Summary'!$Y:$Y,'Threshold Summary'!$K:$K,""),'Pokemon Editor'!$A:$A,'Pokemon Editor'!$H:$H,0)+31+FLOOR(XLOOKUP($Q139,'Threshold Summary'!$Y:$Y,'Threshold Summary'!$R:$R,"")/4))*XLOOKUP($Q139,'Threshold Summary'!$Y:$Y,'Threshold Summary'!$L:$L,""))/100)+5)*XLOOKUP(XLOOKUP($Q139,'Threshold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Editor'!$E:$E,1))),stab,IF(OR(mtype=XLOOKUP(XLOOKUP($Q139,'Threshold Summary'!$Y:$Y,'Threshold Summary'!$K:$K,""),'Pokemon Editor'!$A:$A,'Pokemon Editor'!$C:$C,""),mtype=XLOOKUP(XLOOKUP($Q139,'Threshold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Chart'!$B$1:$S$1,0)))),base,IF(OR(cat="Status",pow=0),0,FLOOR(FLOOR(FLOOR((2*XLOOKUP($Q139,'Threshold Summary'!$Y:$Y,'Threshold Summary'!$L:$L,"")/5+2)*pow*atk/def)/50)+2)),modifier,stab*eff,AVERAGE(ARRAYFORMULA(FLOOR(base*modifier*SEQUENCE(16,1,85,1)/100)))*MIN(1,acc/100)),0)</f>
        <v/>
      </c>
      <c r="N139" s="4">
        <f>IFERROR(LET(mtype,XLOOKUP($D139,'Move Editor'!$B:$B,'Move Editor'!$C:$C,""),cat,XLOOKUP($D139,'Move Editor'!$B:$B,'Move Editor'!$D:$D,""),pow,XLOOKUP($D139,'Move Editor'!$B:$B,'Move Editor'!$E:$E,0),acc,XLOOKUP($D139,'Move Editor'!$B:$B,'Move Editor'!$F:$F,100),atk,IF(cat="Physical",FLOOR((FLOOR(((2*XLOOKUP(XLOOKUP($Q139,'Threshold Summary'!$Y:$Y,'Threshold Summary'!$K:$K,""),'Pokemon Editor'!$A:$A,'Pokemon Editor'!$F:$F,0)+31+FLOOR(XLOOKUP($Q139,'Threshold Summary'!$Y:$Y,'Threshold Summary'!$P:$P,"")/4))*XLOOKUP($Q139,'Threshold Summary'!$Y:$Y,'Threshold Summary'!$L:$L,""))/100)+5)*XLOOKUP(XLOOKUP($Q139,'Threshold Summary'!$Y:$Y,'Threshold Summary'!$M:$M,""),'Nature Editor'!$A:$A,'Nature Editor'!$B:$B,1)),FLOOR((FLOOR(((2*XLOOKUP(XLOOKUP($Q139,'Threshold Summary'!$Y:$Y,'Threshold Summary'!$K:$K,""),'Pokemon Editor'!$A:$A,'Pokemon Editor'!$H:$H,0)+31+FLOOR(XLOOKUP($Q139,'Threshold Summary'!$Y:$Y,'Threshold Summary'!$R:$R,"")/4))*XLOOKUP($Q139,'Threshold Summary'!$Y:$Y,'Threshold Summary'!$L:$L,""))/100)+5)*XLOOKUP(XLOOKUP($Q139,'Threshold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Editor'!$E:$E,1))),stab,IF(OR(mtype=XLOOKUP(XLOOKUP($Q139,'Threshold Summary'!$Y:$Y,'Threshold Summary'!$K:$K,""),'Pokemon Editor'!$A:$A,'Pokemon Editor'!$C:$C,""),mtype=XLOOKUP(XLOOKUP($Q139,'Threshold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Chart'!$B$1:$S$1,0)))),base,IF(OR(cat="Status",pow=0),0,FLOOR(FLOOR(FLOOR((2*XLOOKUP($Q139,'Threshold Summary'!$Y:$Y,'Threshold Summary'!$L:$L,"")/5+2)*pow*atk/def)/50)+2)),modifier,stab*eff,AVERAGE(ARRAYFORMULA(FLOOR(base*modifier*SEQUENCE(16,1,85,1)/100)))/(FLOOR(((2*XLOOKUP('Boss Editor'!$C$4,'Pokemon Editor'!$A:$A,'Pokemon Editor'!$E:$E,0)+31+FLOOR('Boss Editor'!$G$4/4))*'Boss Editor'!$D$4)/100)+'Boss Editor'!$D$4+10)),0)</f>
        <v/>
      </c>
      <c r="O139" s="3">
        <f>IF(N139&gt;=1,"OHKO",IF(N139&gt;=0.5,"2HKO",IF(N139&gt;=0.333,"3HKO",IF(N139&gt;=0.25,"4HKO","5HKO+"))))</f>
        <v/>
      </c>
      <c r="P139" s="3" t="inlineStr">
        <is>
          <t>Live from editable databases</t>
        </is>
      </c>
      <c r="Q139" s="3" t="inlineStr">
        <is>
          <t>SPECIES_TORCHIC</t>
        </is>
      </c>
      <c r="R139" s="3" t="n">
        <v>10</v>
      </c>
    </row>
    <row r="140">
      <c r="A140" s="3">
        <f>XLOOKUP($Q140,'Threshold Summary'!$Y:$Y,'Threshold Summary'!$A:$A,"")</f>
        <v/>
      </c>
      <c r="B140" s="3">
        <f>XLOOKUP($Q140,'Threshold Summary'!$Y:$Y,'Threshold Summary'!$M:$M,"")</f>
        <v/>
      </c>
      <c r="C140" s="3">
        <f>XLOOKUP($Q140,'Threshold Summary'!$Y:$Y,'Threshold Summary'!$N:$N,"")</f>
        <v/>
      </c>
      <c r="D140" s="3">
        <f>IFERROR(INDEX(FILTER('Learnset Editor'!$D$2:$D,'Learnset Editor'!$A$2:$A=XLOOKUP($Q140,'Threshold Summary'!$Y:$Y,'Threshold Summary'!$K:$K,""),'Learnset Editor'!$C$2:$C&lt;=XLOOKUP($Q140,'Threshold Summary'!$Y:$Y,'Threshold Summary'!$L:$L,"")),$R140),"")</f>
        <v/>
      </c>
      <c r="E140" s="3">
        <f>XLOOKUP(D140,'Move Editor'!$B:$B,'Move Editor'!$C:$C,"")</f>
        <v/>
      </c>
      <c r="F140" s="3">
        <f>XLOOKUP(D140,'Move Editor'!$B:$B,'Move Editor'!$D:$D,"")</f>
        <v/>
      </c>
      <c r="G140" s="3">
        <f>XLOOKUP(D140,'Move Editor'!$B:$B,'Move Editor'!$E:$E,0)</f>
        <v/>
      </c>
      <c r="H140" s="3">
        <f>XLOOKUP(D140,'Move Editor'!$B:$B,'Move Editor'!$F:$F,0)</f>
        <v/>
      </c>
      <c r="I140" s="3">
        <f>(INDEX('Type Chart'!$B:$S,MATCH(E140,'Type Chart'!$A:$A,0),MATCH(XLOOKUP('Boss Editor'!$C$4,'Pokemon Editor'!$A:$A,'Pokemon Editor'!$C:$C,""),'Type Chart'!$B$1:$S$1,0))*IF(XLOOKUP('Boss Editor'!$C$4,'Pokemon Editor'!$A:$A,'Pokemon Editor'!$D:$D,"")="",1,INDEX('Type Chart'!$B:$S,MATCH(E140,'Type Chart'!$A:$A,0),MATCH(XLOOKUP('Boss Editor'!$C$4,'Pokemon Editor'!$A:$A,'Pokemon Editor'!$D:$D,""),'Type Chart'!$B$1:$S$1,0))))</f>
        <v/>
      </c>
      <c r="J140" s="3">
        <f>IFERROR(LET(mtype,XLOOKUP($D140,'Move Editor'!$B:$B,'Move Editor'!$C:$C,""),cat,XLOOKUP($D140,'Move Editor'!$B:$B,'Move Editor'!$D:$D,""),pow,XLOOKUP($D140,'Move Editor'!$B:$B,'Move Editor'!$E:$E,0),acc,XLOOKUP($D140,'Move Editor'!$B:$B,'Move Editor'!$F:$F,100),atk,IF(cat="Physical",FLOOR((FLOOR(((2*XLOOKUP(XLOOKUP($Q140,'Threshold Summary'!$Y:$Y,'Threshold Summary'!$K:$K,""),'Pokemon Editor'!$A:$A,'Pokemon Editor'!$F:$F,0)+31+FLOOR(XLOOKUP($Q140,'Threshold Summary'!$Y:$Y,'Threshold Summary'!$P:$P,"")/4))*XLOOKUP($Q140,'Threshold Summary'!$Y:$Y,'Threshold Summary'!$L:$L,""))/100)+5)*XLOOKUP(XLOOKUP($Q140,'Threshold Summary'!$Y:$Y,'Threshold Summary'!$M:$M,""),'Nature Editor'!$A:$A,'Nature Editor'!$B:$B,1)),FLOOR((FLOOR(((2*XLOOKUP(XLOOKUP($Q140,'Threshold Summary'!$Y:$Y,'Threshold Summary'!$K:$K,""),'Pokemon Editor'!$A:$A,'Pokemon Editor'!$H:$H,0)+31+FLOOR(XLOOKUP($Q140,'Threshold Summary'!$Y:$Y,'Threshold Summary'!$R:$R,"")/4))*XLOOKUP($Q140,'Threshold Summary'!$Y:$Y,'Threshold Summary'!$L:$L,""))/100)+5)*XLOOKUP(XLOOKUP($Q140,'Threshold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Editor'!$E:$E,1))),stab,IF(OR(mtype=XLOOKUP(XLOOKUP($Q140,'Threshold Summary'!$Y:$Y,'Threshold Summary'!$K:$K,""),'Pokemon Editor'!$A:$A,'Pokemon Editor'!$C:$C,""),mtype=XLOOKUP(XLOOKUP($Q140,'Threshold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Chart'!$B$1:$S$1,0)))),base,IF(OR(cat="Status",pow=0),0,FLOOR(FLOOR(FLOOR((2*XLOOKUP($Q140,'Threshold Summary'!$Y:$Y,'Threshold Summary'!$L:$L,"")/5+2)*pow*atk/def)/50)+2)),modifier,stab*eff,FLOOR(base*modifier*0.85)),0)</f>
        <v/>
      </c>
      <c r="K140" s="3">
        <f>IFERROR(LET(mtype,XLOOKUP($D140,'Move Editor'!$B:$B,'Move Editor'!$C:$C,""),cat,XLOOKUP($D140,'Move Editor'!$B:$B,'Move Editor'!$D:$D,""),pow,XLOOKUP($D140,'Move Editor'!$B:$B,'Move Editor'!$E:$E,0),acc,XLOOKUP($D140,'Move Editor'!$B:$B,'Move Editor'!$F:$F,100),atk,IF(cat="Physical",FLOOR((FLOOR(((2*XLOOKUP(XLOOKUP($Q140,'Threshold Summary'!$Y:$Y,'Threshold Summary'!$K:$K,""),'Pokemon Editor'!$A:$A,'Pokemon Editor'!$F:$F,0)+31+FLOOR(XLOOKUP($Q140,'Threshold Summary'!$Y:$Y,'Threshold Summary'!$P:$P,"")/4))*XLOOKUP($Q140,'Threshold Summary'!$Y:$Y,'Threshold Summary'!$L:$L,""))/100)+5)*XLOOKUP(XLOOKUP($Q140,'Threshold Summary'!$Y:$Y,'Threshold Summary'!$M:$M,""),'Nature Editor'!$A:$A,'Nature Editor'!$B:$B,1)),FLOOR((FLOOR(((2*XLOOKUP(XLOOKUP($Q140,'Threshold Summary'!$Y:$Y,'Threshold Summary'!$K:$K,""),'Pokemon Editor'!$A:$A,'Pokemon Editor'!$H:$H,0)+31+FLOOR(XLOOKUP($Q140,'Threshold Summary'!$Y:$Y,'Threshold Summary'!$R:$R,"")/4))*XLOOKUP($Q140,'Threshold Summary'!$Y:$Y,'Threshold Summary'!$L:$L,""))/100)+5)*XLOOKUP(XLOOKUP($Q140,'Threshold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Editor'!$E:$E,1))),stab,IF(OR(mtype=XLOOKUP(XLOOKUP($Q140,'Threshold Summary'!$Y:$Y,'Threshold Summary'!$K:$K,""),'Pokemon Editor'!$A:$A,'Pokemon Editor'!$C:$C,""),mtype=XLOOKUP(XLOOKUP($Q140,'Threshold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Chart'!$B$1:$S$1,0)))),base,IF(OR(cat="Status",pow=0),0,FLOOR(FLOOR(FLOOR((2*XLOOKUP($Q140,'Threshold Summary'!$Y:$Y,'Threshold Summary'!$L:$L,"")/5+2)*pow*atk/def)/50)+2)),modifier,stab*eff,FLOOR(base*modifier)),0)</f>
        <v/>
      </c>
      <c r="L140" s="3">
        <f>IFERROR(LET(mtype,XLOOKUP($D140,'Move Editor'!$B:$B,'Move Editor'!$C:$C,""),cat,XLOOKUP($D140,'Move Editor'!$B:$B,'Move Editor'!$D:$D,""),pow,XLOOKUP($D140,'Move Editor'!$B:$B,'Move Editor'!$E:$E,0),acc,XLOOKUP($D140,'Move Editor'!$B:$B,'Move Editor'!$F:$F,100),atk,IF(cat="Physical",FLOOR((FLOOR(((2*XLOOKUP(XLOOKUP($Q140,'Threshold Summary'!$Y:$Y,'Threshold Summary'!$K:$K,""),'Pokemon Editor'!$A:$A,'Pokemon Editor'!$F:$F,0)+31+FLOOR(XLOOKUP($Q140,'Threshold Summary'!$Y:$Y,'Threshold Summary'!$P:$P,"")/4))*XLOOKUP($Q140,'Threshold Summary'!$Y:$Y,'Threshold Summary'!$L:$L,""))/100)+5)*XLOOKUP(XLOOKUP($Q140,'Threshold Summary'!$Y:$Y,'Threshold Summary'!$M:$M,""),'Nature Editor'!$A:$A,'Nature Editor'!$B:$B,1)),FLOOR((FLOOR(((2*XLOOKUP(XLOOKUP($Q140,'Threshold Summary'!$Y:$Y,'Threshold Summary'!$K:$K,""),'Pokemon Editor'!$A:$A,'Pokemon Editor'!$H:$H,0)+31+FLOOR(XLOOKUP($Q140,'Threshold Summary'!$Y:$Y,'Threshold Summary'!$R:$R,"")/4))*XLOOKUP($Q140,'Threshold Summary'!$Y:$Y,'Threshold Summary'!$L:$L,""))/100)+5)*XLOOKUP(XLOOKUP($Q140,'Threshold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Editor'!$E:$E,1))),stab,IF(OR(mtype=XLOOKUP(XLOOKUP($Q140,'Threshold Summary'!$Y:$Y,'Threshold Summary'!$K:$K,""),'Pokemon Editor'!$A:$A,'Pokemon Editor'!$C:$C,""),mtype=XLOOKUP(XLOOKUP($Q140,'Threshold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Chart'!$B$1:$S$1,0)))),base,IF(OR(cat="Status",pow=0),0,FLOOR(FLOOR(FLOOR((2*XLOOKUP($Q140,'Threshold Summary'!$Y:$Y,'Threshold Summary'!$L:$L,"")/5+2)*pow*atk/def)/50)+2)),modifier,stab*eff,AVERAGE(ARRAYFORMULA(FLOOR(base*modifier*SEQUENCE(16,1,85,1)/100)))),0)</f>
        <v/>
      </c>
      <c r="M140" s="3">
        <f>IFERROR(LET(mtype,XLOOKUP($D140,'Move Editor'!$B:$B,'Move Editor'!$C:$C,""),cat,XLOOKUP($D140,'Move Editor'!$B:$B,'Move Editor'!$D:$D,""),pow,XLOOKUP($D140,'Move Editor'!$B:$B,'Move Editor'!$E:$E,0),acc,XLOOKUP($D140,'Move Editor'!$B:$B,'Move Editor'!$F:$F,100),atk,IF(cat="Physical",FLOOR((FLOOR(((2*XLOOKUP(XLOOKUP($Q140,'Threshold Summary'!$Y:$Y,'Threshold Summary'!$K:$K,""),'Pokemon Editor'!$A:$A,'Pokemon Editor'!$F:$F,0)+31+FLOOR(XLOOKUP($Q140,'Threshold Summary'!$Y:$Y,'Threshold Summary'!$P:$P,"")/4))*XLOOKUP($Q140,'Threshold Summary'!$Y:$Y,'Threshold Summary'!$L:$L,""))/100)+5)*XLOOKUP(XLOOKUP($Q140,'Threshold Summary'!$Y:$Y,'Threshold Summary'!$M:$M,""),'Nature Editor'!$A:$A,'Nature Editor'!$B:$B,1)),FLOOR((FLOOR(((2*XLOOKUP(XLOOKUP($Q140,'Threshold Summary'!$Y:$Y,'Threshold Summary'!$K:$K,""),'Pokemon Editor'!$A:$A,'Pokemon Editor'!$H:$H,0)+31+FLOOR(XLOOKUP($Q140,'Threshold Summary'!$Y:$Y,'Threshold Summary'!$R:$R,"")/4))*XLOOKUP($Q140,'Threshold Summary'!$Y:$Y,'Threshold Summary'!$L:$L,""))/100)+5)*XLOOKUP(XLOOKUP($Q140,'Threshold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Editor'!$E:$E,1))),stab,IF(OR(mtype=XLOOKUP(XLOOKUP($Q140,'Threshold Summary'!$Y:$Y,'Threshold Summary'!$K:$K,""),'Pokemon Editor'!$A:$A,'Pokemon Editor'!$C:$C,""),mtype=XLOOKUP(XLOOKUP($Q140,'Threshold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Chart'!$B$1:$S$1,0)))),base,IF(OR(cat="Status",pow=0),0,FLOOR(FLOOR(FLOOR((2*XLOOKUP($Q140,'Threshold Summary'!$Y:$Y,'Threshold Summary'!$L:$L,"")/5+2)*pow*atk/def)/50)+2)),modifier,stab*eff,AVERAGE(ARRAYFORMULA(FLOOR(base*modifier*SEQUENCE(16,1,85,1)/100)))*MIN(1,acc/100)),0)</f>
        <v/>
      </c>
      <c r="N140" s="4">
        <f>IFERROR(LET(mtype,XLOOKUP($D140,'Move Editor'!$B:$B,'Move Editor'!$C:$C,""),cat,XLOOKUP($D140,'Move Editor'!$B:$B,'Move Editor'!$D:$D,""),pow,XLOOKUP($D140,'Move Editor'!$B:$B,'Move Editor'!$E:$E,0),acc,XLOOKUP($D140,'Move Editor'!$B:$B,'Move Editor'!$F:$F,100),atk,IF(cat="Physical",FLOOR((FLOOR(((2*XLOOKUP(XLOOKUP($Q140,'Threshold Summary'!$Y:$Y,'Threshold Summary'!$K:$K,""),'Pokemon Editor'!$A:$A,'Pokemon Editor'!$F:$F,0)+31+FLOOR(XLOOKUP($Q140,'Threshold Summary'!$Y:$Y,'Threshold Summary'!$P:$P,"")/4))*XLOOKUP($Q140,'Threshold Summary'!$Y:$Y,'Threshold Summary'!$L:$L,""))/100)+5)*XLOOKUP(XLOOKUP($Q140,'Threshold Summary'!$Y:$Y,'Threshold Summary'!$M:$M,""),'Nature Editor'!$A:$A,'Nature Editor'!$B:$B,1)),FLOOR((FLOOR(((2*XLOOKUP(XLOOKUP($Q140,'Threshold Summary'!$Y:$Y,'Threshold Summary'!$K:$K,""),'Pokemon Editor'!$A:$A,'Pokemon Editor'!$H:$H,0)+31+FLOOR(XLOOKUP($Q140,'Threshold Summary'!$Y:$Y,'Threshold Summary'!$R:$R,"")/4))*XLOOKUP($Q140,'Threshold Summary'!$Y:$Y,'Threshold Summary'!$L:$L,""))/100)+5)*XLOOKUP(XLOOKUP($Q140,'Threshold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Editor'!$E:$E,1))),stab,IF(OR(mtype=XLOOKUP(XLOOKUP($Q140,'Threshold Summary'!$Y:$Y,'Threshold Summary'!$K:$K,""),'Pokemon Editor'!$A:$A,'Pokemon Editor'!$C:$C,""),mtype=XLOOKUP(XLOOKUP($Q140,'Threshold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Chart'!$B$1:$S$1,0)))),base,IF(OR(cat="Status",pow=0),0,FLOOR(FLOOR(FLOOR((2*XLOOKUP($Q140,'Threshold Summary'!$Y:$Y,'Threshold Summary'!$L:$L,"")/5+2)*pow*atk/def)/50)+2)),modifier,stab*eff,AVERAGE(ARRAYFORMULA(FLOOR(base*modifier*SEQUENCE(16,1,85,1)/100)))/(FLOOR(((2*XLOOKUP('Boss Editor'!$C$4,'Pokemon Editor'!$A:$A,'Pokemon Editor'!$E:$E,0)+31+FLOOR('Boss Editor'!$G$4/4))*'Boss Editor'!$D$4)/100)+'Boss Editor'!$D$4+10)),0)</f>
        <v/>
      </c>
      <c r="O140" s="3">
        <f>IF(N140&gt;=1,"OHKO",IF(N140&gt;=0.5,"2HKO",IF(N140&gt;=0.333,"3HKO",IF(N140&gt;=0.25,"4HKO","5HKO+"))))</f>
        <v/>
      </c>
      <c r="P140" s="3" t="inlineStr">
        <is>
          <t>Live from editable databases</t>
        </is>
      </c>
      <c r="Q140" s="3" t="inlineStr">
        <is>
          <t>SPECIES_TORCHIC</t>
        </is>
      </c>
      <c r="R140" s="3" t="n">
        <v>11</v>
      </c>
    </row>
    <row r="141">
      <c r="A141" s="3">
        <f>XLOOKUP($Q141,'Threshold Summary'!$Y:$Y,'Threshold Summary'!$A:$A,"")</f>
        <v/>
      </c>
      <c r="B141" s="3">
        <f>XLOOKUP($Q141,'Threshold Summary'!$Y:$Y,'Threshold Summary'!$M:$M,"")</f>
        <v/>
      </c>
      <c r="C141" s="3">
        <f>XLOOKUP($Q141,'Threshold Summary'!$Y:$Y,'Threshold Summary'!$N:$N,"")</f>
        <v/>
      </c>
      <c r="D141" s="3">
        <f>IFERROR(INDEX(FILTER('Learnset Editor'!$D$2:$D,'Learnset Editor'!$A$2:$A=XLOOKUP($Q141,'Threshold Summary'!$Y:$Y,'Threshold Summary'!$K:$K,""),'Learnset Editor'!$C$2:$C&lt;=XLOOKUP($Q141,'Threshold Summary'!$Y:$Y,'Threshold Summary'!$L:$L,"")),$R141),"")</f>
        <v/>
      </c>
      <c r="E141" s="3">
        <f>XLOOKUP(D141,'Move Editor'!$B:$B,'Move Editor'!$C:$C,"")</f>
        <v/>
      </c>
      <c r="F141" s="3">
        <f>XLOOKUP(D141,'Move Editor'!$B:$B,'Move Editor'!$D:$D,"")</f>
        <v/>
      </c>
      <c r="G141" s="3">
        <f>XLOOKUP(D141,'Move Editor'!$B:$B,'Move Editor'!$E:$E,0)</f>
        <v/>
      </c>
      <c r="H141" s="3">
        <f>XLOOKUP(D141,'Move Editor'!$B:$B,'Move Editor'!$F:$F,0)</f>
        <v/>
      </c>
      <c r="I141" s="3">
        <f>(INDEX('Type Chart'!$B:$S,MATCH(E141,'Type Chart'!$A:$A,0),MATCH(XLOOKUP('Boss Editor'!$C$4,'Pokemon Editor'!$A:$A,'Pokemon Editor'!$C:$C,""),'Type Chart'!$B$1:$S$1,0))*IF(XLOOKUP('Boss Editor'!$C$4,'Pokemon Editor'!$A:$A,'Pokemon Editor'!$D:$D,"")="",1,INDEX('Type Chart'!$B:$S,MATCH(E141,'Type Chart'!$A:$A,0),MATCH(XLOOKUP('Boss Editor'!$C$4,'Pokemon Editor'!$A:$A,'Pokemon Editor'!$D:$D,""),'Type Chart'!$B$1:$S$1,0))))</f>
        <v/>
      </c>
      <c r="J141" s="3">
        <f>IFERROR(LET(mtype,XLOOKUP($D141,'Move Editor'!$B:$B,'Move Editor'!$C:$C,""),cat,XLOOKUP($D141,'Move Editor'!$B:$B,'Move Editor'!$D:$D,""),pow,XLOOKUP($D141,'Move Editor'!$B:$B,'Move Editor'!$E:$E,0),acc,XLOOKUP($D141,'Move Editor'!$B:$B,'Move Editor'!$F:$F,100),atk,IF(cat="Physical",FLOOR((FLOOR(((2*XLOOKUP(XLOOKUP($Q141,'Threshold Summary'!$Y:$Y,'Threshold Summary'!$K:$K,""),'Pokemon Editor'!$A:$A,'Pokemon Editor'!$F:$F,0)+31+FLOOR(XLOOKUP($Q141,'Threshold Summary'!$Y:$Y,'Threshold Summary'!$P:$P,"")/4))*XLOOKUP($Q141,'Threshold Summary'!$Y:$Y,'Threshold Summary'!$L:$L,""))/100)+5)*XLOOKUP(XLOOKUP($Q141,'Threshold Summary'!$Y:$Y,'Threshold Summary'!$M:$M,""),'Nature Editor'!$A:$A,'Nature Editor'!$B:$B,1)),FLOOR((FLOOR(((2*XLOOKUP(XLOOKUP($Q141,'Threshold Summary'!$Y:$Y,'Threshold Summary'!$K:$K,""),'Pokemon Editor'!$A:$A,'Pokemon Editor'!$H:$H,0)+31+FLOOR(XLOOKUP($Q141,'Threshold Summary'!$Y:$Y,'Threshold Summary'!$R:$R,"")/4))*XLOOKUP($Q141,'Threshold Summary'!$Y:$Y,'Threshold Summary'!$L:$L,""))/100)+5)*XLOOKUP(XLOOKUP($Q141,'Threshold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Editor'!$E:$E,1))),stab,IF(OR(mtype=XLOOKUP(XLOOKUP($Q141,'Threshold Summary'!$Y:$Y,'Threshold Summary'!$K:$K,""),'Pokemon Editor'!$A:$A,'Pokemon Editor'!$C:$C,""),mtype=XLOOKUP(XLOOKUP($Q141,'Threshold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Chart'!$B$1:$S$1,0)))),base,IF(OR(cat="Status",pow=0),0,FLOOR(FLOOR(FLOOR((2*XLOOKUP($Q141,'Threshold Summary'!$Y:$Y,'Threshold Summary'!$L:$L,"")/5+2)*pow*atk/def)/50)+2)),modifier,stab*eff,FLOOR(base*modifier*0.85)),0)</f>
        <v/>
      </c>
      <c r="K141" s="3">
        <f>IFERROR(LET(mtype,XLOOKUP($D141,'Move Editor'!$B:$B,'Move Editor'!$C:$C,""),cat,XLOOKUP($D141,'Move Editor'!$B:$B,'Move Editor'!$D:$D,""),pow,XLOOKUP($D141,'Move Editor'!$B:$B,'Move Editor'!$E:$E,0),acc,XLOOKUP($D141,'Move Editor'!$B:$B,'Move Editor'!$F:$F,100),atk,IF(cat="Physical",FLOOR((FLOOR(((2*XLOOKUP(XLOOKUP($Q141,'Threshold Summary'!$Y:$Y,'Threshold Summary'!$K:$K,""),'Pokemon Editor'!$A:$A,'Pokemon Editor'!$F:$F,0)+31+FLOOR(XLOOKUP($Q141,'Threshold Summary'!$Y:$Y,'Threshold Summary'!$P:$P,"")/4))*XLOOKUP($Q141,'Threshold Summary'!$Y:$Y,'Threshold Summary'!$L:$L,""))/100)+5)*XLOOKUP(XLOOKUP($Q141,'Threshold Summary'!$Y:$Y,'Threshold Summary'!$M:$M,""),'Nature Editor'!$A:$A,'Nature Editor'!$B:$B,1)),FLOOR((FLOOR(((2*XLOOKUP(XLOOKUP($Q141,'Threshold Summary'!$Y:$Y,'Threshold Summary'!$K:$K,""),'Pokemon Editor'!$A:$A,'Pokemon Editor'!$H:$H,0)+31+FLOOR(XLOOKUP($Q141,'Threshold Summary'!$Y:$Y,'Threshold Summary'!$R:$R,"")/4))*XLOOKUP($Q141,'Threshold Summary'!$Y:$Y,'Threshold Summary'!$L:$L,""))/100)+5)*XLOOKUP(XLOOKUP($Q141,'Threshold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Editor'!$E:$E,1))),stab,IF(OR(mtype=XLOOKUP(XLOOKUP($Q141,'Threshold Summary'!$Y:$Y,'Threshold Summary'!$K:$K,""),'Pokemon Editor'!$A:$A,'Pokemon Editor'!$C:$C,""),mtype=XLOOKUP(XLOOKUP($Q141,'Threshold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Chart'!$B$1:$S$1,0)))),base,IF(OR(cat="Status",pow=0),0,FLOOR(FLOOR(FLOOR((2*XLOOKUP($Q141,'Threshold Summary'!$Y:$Y,'Threshold Summary'!$L:$L,"")/5+2)*pow*atk/def)/50)+2)),modifier,stab*eff,FLOOR(base*modifier)),0)</f>
        <v/>
      </c>
      <c r="L141" s="3">
        <f>IFERROR(LET(mtype,XLOOKUP($D141,'Move Editor'!$B:$B,'Move Editor'!$C:$C,""),cat,XLOOKUP($D141,'Move Editor'!$B:$B,'Move Editor'!$D:$D,""),pow,XLOOKUP($D141,'Move Editor'!$B:$B,'Move Editor'!$E:$E,0),acc,XLOOKUP($D141,'Move Editor'!$B:$B,'Move Editor'!$F:$F,100),atk,IF(cat="Physical",FLOOR((FLOOR(((2*XLOOKUP(XLOOKUP($Q141,'Threshold Summary'!$Y:$Y,'Threshold Summary'!$K:$K,""),'Pokemon Editor'!$A:$A,'Pokemon Editor'!$F:$F,0)+31+FLOOR(XLOOKUP($Q141,'Threshold Summary'!$Y:$Y,'Threshold Summary'!$P:$P,"")/4))*XLOOKUP($Q141,'Threshold Summary'!$Y:$Y,'Threshold Summary'!$L:$L,""))/100)+5)*XLOOKUP(XLOOKUP($Q141,'Threshold Summary'!$Y:$Y,'Threshold Summary'!$M:$M,""),'Nature Editor'!$A:$A,'Nature Editor'!$B:$B,1)),FLOOR((FLOOR(((2*XLOOKUP(XLOOKUP($Q141,'Threshold Summary'!$Y:$Y,'Threshold Summary'!$K:$K,""),'Pokemon Editor'!$A:$A,'Pokemon Editor'!$H:$H,0)+31+FLOOR(XLOOKUP($Q141,'Threshold Summary'!$Y:$Y,'Threshold Summary'!$R:$R,"")/4))*XLOOKUP($Q141,'Threshold Summary'!$Y:$Y,'Threshold Summary'!$L:$L,""))/100)+5)*XLOOKUP(XLOOKUP($Q141,'Threshold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Editor'!$E:$E,1))),stab,IF(OR(mtype=XLOOKUP(XLOOKUP($Q141,'Threshold Summary'!$Y:$Y,'Threshold Summary'!$K:$K,""),'Pokemon Editor'!$A:$A,'Pokemon Editor'!$C:$C,""),mtype=XLOOKUP(XLOOKUP($Q141,'Threshold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Chart'!$B$1:$S$1,0)))),base,IF(OR(cat="Status",pow=0),0,FLOOR(FLOOR(FLOOR((2*XLOOKUP($Q141,'Threshold Summary'!$Y:$Y,'Threshold Summary'!$L:$L,"")/5+2)*pow*atk/def)/50)+2)),modifier,stab*eff,AVERAGE(ARRAYFORMULA(FLOOR(base*modifier*SEQUENCE(16,1,85,1)/100)))),0)</f>
        <v/>
      </c>
      <c r="M141" s="3">
        <f>IFERROR(LET(mtype,XLOOKUP($D141,'Move Editor'!$B:$B,'Move Editor'!$C:$C,""),cat,XLOOKUP($D141,'Move Editor'!$B:$B,'Move Editor'!$D:$D,""),pow,XLOOKUP($D141,'Move Editor'!$B:$B,'Move Editor'!$E:$E,0),acc,XLOOKUP($D141,'Move Editor'!$B:$B,'Move Editor'!$F:$F,100),atk,IF(cat="Physical",FLOOR((FLOOR(((2*XLOOKUP(XLOOKUP($Q141,'Threshold Summary'!$Y:$Y,'Threshold Summary'!$K:$K,""),'Pokemon Editor'!$A:$A,'Pokemon Editor'!$F:$F,0)+31+FLOOR(XLOOKUP($Q141,'Threshold Summary'!$Y:$Y,'Threshold Summary'!$P:$P,"")/4))*XLOOKUP($Q141,'Threshold Summary'!$Y:$Y,'Threshold Summary'!$L:$L,""))/100)+5)*XLOOKUP(XLOOKUP($Q141,'Threshold Summary'!$Y:$Y,'Threshold Summary'!$M:$M,""),'Nature Editor'!$A:$A,'Nature Editor'!$B:$B,1)),FLOOR((FLOOR(((2*XLOOKUP(XLOOKUP($Q141,'Threshold Summary'!$Y:$Y,'Threshold Summary'!$K:$K,""),'Pokemon Editor'!$A:$A,'Pokemon Editor'!$H:$H,0)+31+FLOOR(XLOOKUP($Q141,'Threshold Summary'!$Y:$Y,'Threshold Summary'!$R:$R,"")/4))*XLOOKUP($Q141,'Threshold Summary'!$Y:$Y,'Threshold Summary'!$L:$L,""))/100)+5)*XLOOKUP(XLOOKUP($Q141,'Threshold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Editor'!$E:$E,1))),stab,IF(OR(mtype=XLOOKUP(XLOOKUP($Q141,'Threshold Summary'!$Y:$Y,'Threshold Summary'!$K:$K,""),'Pokemon Editor'!$A:$A,'Pokemon Editor'!$C:$C,""),mtype=XLOOKUP(XLOOKUP($Q141,'Threshold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Chart'!$B$1:$S$1,0)))),base,IF(OR(cat="Status",pow=0),0,FLOOR(FLOOR(FLOOR((2*XLOOKUP($Q141,'Threshold Summary'!$Y:$Y,'Threshold Summary'!$L:$L,"")/5+2)*pow*atk/def)/50)+2)),modifier,stab*eff,AVERAGE(ARRAYFORMULA(FLOOR(base*modifier*SEQUENCE(16,1,85,1)/100)))*MIN(1,acc/100)),0)</f>
        <v/>
      </c>
      <c r="N141" s="4">
        <f>IFERROR(LET(mtype,XLOOKUP($D141,'Move Editor'!$B:$B,'Move Editor'!$C:$C,""),cat,XLOOKUP($D141,'Move Editor'!$B:$B,'Move Editor'!$D:$D,""),pow,XLOOKUP($D141,'Move Editor'!$B:$B,'Move Editor'!$E:$E,0),acc,XLOOKUP($D141,'Move Editor'!$B:$B,'Move Editor'!$F:$F,100),atk,IF(cat="Physical",FLOOR((FLOOR(((2*XLOOKUP(XLOOKUP($Q141,'Threshold Summary'!$Y:$Y,'Threshold Summary'!$K:$K,""),'Pokemon Editor'!$A:$A,'Pokemon Editor'!$F:$F,0)+31+FLOOR(XLOOKUP($Q141,'Threshold Summary'!$Y:$Y,'Threshold Summary'!$P:$P,"")/4))*XLOOKUP($Q141,'Threshold Summary'!$Y:$Y,'Threshold Summary'!$L:$L,""))/100)+5)*XLOOKUP(XLOOKUP($Q141,'Threshold Summary'!$Y:$Y,'Threshold Summary'!$M:$M,""),'Nature Editor'!$A:$A,'Nature Editor'!$B:$B,1)),FLOOR((FLOOR(((2*XLOOKUP(XLOOKUP($Q141,'Threshold Summary'!$Y:$Y,'Threshold Summary'!$K:$K,""),'Pokemon Editor'!$A:$A,'Pokemon Editor'!$H:$H,0)+31+FLOOR(XLOOKUP($Q141,'Threshold Summary'!$Y:$Y,'Threshold Summary'!$R:$R,"")/4))*XLOOKUP($Q141,'Threshold Summary'!$Y:$Y,'Threshold Summary'!$L:$L,""))/100)+5)*XLOOKUP(XLOOKUP($Q141,'Threshold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Editor'!$E:$E,1))),stab,IF(OR(mtype=XLOOKUP(XLOOKUP($Q141,'Threshold Summary'!$Y:$Y,'Threshold Summary'!$K:$K,""),'Pokemon Editor'!$A:$A,'Pokemon Editor'!$C:$C,""),mtype=XLOOKUP(XLOOKUP($Q141,'Threshold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Chart'!$B$1:$S$1,0)))),base,IF(OR(cat="Status",pow=0),0,FLOOR(FLOOR(FLOOR((2*XLOOKUP($Q141,'Threshold Summary'!$Y:$Y,'Threshold Summary'!$L:$L,"")/5+2)*pow*atk/def)/50)+2)),modifier,stab*eff,AVERAGE(ARRAYFORMULA(FLOOR(base*modifier*SEQUENCE(16,1,85,1)/100)))/(FLOOR(((2*XLOOKUP('Boss Editor'!$C$4,'Pokemon Editor'!$A:$A,'Pokemon Editor'!$E:$E,0)+31+FLOOR('Boss Editor'!$G$4/4))*'Boss Editor'!$D$4)/100)+'Boss Editor'!$D$4+10)),0)</f>
        <v/>
      </c>
      <c r="O141" s="3">
        <f>IF(N141&gt;=1,"OHKO",IF(N141&gt;=0.5,"2HKO",IF(N141&gt;=0.333,"3HKO",IF(N141&gt;=0.25,"4HKO","5HKO+"))))</f>
        <v/>
      </c>
      <c r="P141" s="3" t="inlineStr">
        <is>
          <t>Live from editable databases</t>
        </is>
      </c>
      <c r="Q141" s="3" t="inlineStr">
        <is>
          <t>SPECIES_TORCHIC</t>
        </is>
      </c>
      <c r="R141" s="3" t="n">
        <v>12</v>
      </c>
    </row>
    <row r="142">
      <c r="A142" s="3">
        <f>XLOOKUP($Q142,'Threshold Summary'!$Y:$Y,'Threshold Summary'!$A:$A,"")</f>
        <v/>
      </c>
      <c r="B142" s="3">
        <f>XLOOKUP($Q142,'Threshold Summary'!$Y:$Y,'Threshold Summary'!$M:$M,"")</f>
        <v/>
      </c>
      <c r="C142" s="3">
        <f>XLOOKUP($Q142,'Threshold Summary'!$Y:$Y,'Threshold Summary'!$N:$N,"")</f>
        <v/>
      </c>
      <c r="D142" s="3">
        <f>IFERROR(INDEX(FILTER('Learnset Editor'!$D$2:$D,'Learnset Editor'!$A$2:$A=XLOOKUP($Q142,'Threshold Summary'!$Y:$Y,'Threshold Summary'!$K:$K,""),'Learnset Editor'!$C$2:$C&lt;=XLOOKUP($Q142,'Threshold Summary'!$Y:$Y,'Threshold Summary'!$L:$L,"")),$R142),"")</f>
        <v/>
      </c>
      <c r="E142" s="3">
        <f>XLOOKUP(D142,'Move Editor'!$B:$B,'Move Editor'!$C:$C,"")</f>
        <v/>
      </c>
      <c r="F142" s="3">
        <f>XLOOKUP(D142,'Move Editor'!$B:$B,'Move Editor'!$D:$D,"")</f>
        <v/>
      </c>
      <c r="G142" s="3">
        <f>XLOOKUP(D142,'Move Editor'!$B:$B,'Move Editor'!$E:$E,0)</f>
        <v/>
      </c>
      <c r="H142" s="3">
        <f>XLOOKUP(D142,'Move Editor'!$B:$B,'Move Editor'!$F:$F,0)</f>
        <v/>
      </c>
      <c r="I142" s="3">
        <f>(INDEX('Type Chart'!$B:$S,MATCH(E142,'Type Chart'!$A:$A,0),MATCH(XLOOKUP('Boss Editor'!$C$4,'Pokemon Editor'!$A:$A,'Pokemon Editor'!$C:$C,""),'Type Chart'!$B$1:$S$1,0))*IF(XLOOKUP('Boss Editor'!$C$4,'Pokemon Editor'!$A:$A,'Pokemon Editor'!$D:$D,"")="",1,INDEX('Type Chart'!$B:$S,MATCH(E142,'Type Chart'!$A:$A,0),MATCH(XLOOKUP('Boss Editor'!$C$4,'Pokemon Editor'!$A:$A,'Pokemon Editor'!$D:$D,""),'Type Chart'!$B$1:$S$1,0))))</f>
        <v/>
      </c>
      <c r="J142" s="3">
        <f>IFERROR(LET(mtype,XLOOKUP($D142,'Move Editor'!$B:$B,'Move Editor'!$C:$C,""),cat,XLOOKUP($D142,'Move Editor'!$B:$B,'Move Editor'!$D:$D,""),pow,XLOOKUP($D142,'Move Editor'!$B:$B,'Move Editor'!$E:$E,0),acc,XLOOKUP($D142,'Move Editor'!$B:$B,'Move Editor'!$F:$F,100),atk,IF(cat="Physical",FLOOR((FLOOR(((2*XLOOKUP(XLOOKUP($Q142,'Threshold Summary'!$Y:$Y,'Threshold Summary'!$K:$K,""),'Pokemon Editor'!$A:$A,'Pokemon Editor'!$F:$F,0)+31+FLOOR(XLOOKUP($Q142,'Threshold Summary'!$Y:$Y,'Threshold Summary'!$P:$P,"")/4))*XLOOKUP($Q142,'Threshold Summary'!$Y:$Y,'Threshold Summary'!$L:$L,""))/100)+5)*XLOOKUP(XLOOKUP($Q142,'Threshold Summary'!$Y:$Y,'Threshold Summary'!$M:$M,""),'Nature Editor'!$A:$A,'Nature Editor'!$B:$B,1)),FLOOR((FLOOR(((2*XLOOKUP(XLOOKUP($Q142,'Threshold Summary'!$Y:$Y,'Threshold Summary'!$K:$K,""),'Pokemon Editor'!$A:$A,'Pokemon Editor'!$H:$H,0)+31+FLOOR(XLOOKUP($Q142,'Threshold Summary'!$Y:$Y,'Threshold Summary'!$R:$R,"")/4))*XLOOKUP($Q142,'Threshold Summary'!$Y:$Y,'Threshold Summary'!$L:$L,""))/100)+5)*XLOOKUP(XLOOKUP($Q142,'Threshold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Editor'!$E:$E,1))),stab,IF(OR(mtype=XLOOKUP(XLOOKUP($Q142,'Threshold Summary'!$Y:$Y,'Threshold Summary'!$K:$K,""),'Pokemon Editor'!$A:$A,'Pokemon Editor'!$C:$C,""),mtype=XLOOKUP(XLOOKUP($Q142,'Threshold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Chart'!$B$1:$S$1,0)))),base,IF(OR(cat="Status",pow=0),0,FLOOR(FLOOR(FLOOR((2*XLOOKUP($Q142,'Threshold Summary'!$Y:$Y,'Threshold Summary'!$L:$L,"")/5+2)*pow*atk/def)/50)+2)),modifier,stab*eff,FLOOR(base*modifier*0.85)),0)</f>
        <v/>
      </c>
      <c r="K142" s="3">
        <f>IFERROR(LET(mtype,XLOOKUP($D142,'Move Editor'!$B:$B,'Move Editor'!$C:$C,""),cat,XLOOKUP($D142,'Move Editor'!$B:$B,'Move Editor'!$D:$D,""),pow,XLOOKUP($D142,'Move Editor'!$B:$B,'Move Editor'!$E:$E,0),acc,XLOOKUP($D142,'Move Editor'!$B:$B,'Move Editor'!$F:$F,100),atk,IF(cat="Physical",FLOOR((FLOOR(((2*XLOOKUP(XLOOKUP($Q142,'Threshold Summary'!$Y:$Y,'Threshold Summary'!$K:$K,""),'Pokemon Editor'!$A:$A,'Pokemon Editor'!$F:$F,0)+31+FLOOR(XLOOKUP($Q142,'Threshold Summary'!$Y:$Y,'Threshold Summary'!$P:$P,"")/4))*XLOOKUP($Q142,'Threshold Summary'!$Y:$Y,'Threshold Summary'!$L:$L,""))/100)+5)*XLOOKUP(XLOOKUP($Q142,'Threshold Summary'!$Y:$Y,'Threshold Summary'!$M:$M,""),'Nature Editor'!$A:$A,'Nature Editor'!$B:$B,1)),FLOOR((FLOOR(((2*XLOOKUP(XLOOKUP($Q142,'Threshold Summary'!$Y:$Y,'Threshold Summary'!$K:$K,""),'Pokemon Editor'!$A:$A,'Pokemon Editor'!$H:$H,0)+31+FLOOR(XLOOKUP($Q142,'Threshold Summary'!$Y:$Y,'Threshold Summary'!$R:$R,"")/4))*XLOOKUP($Q142,'Threshold Summary'!$Y:$Y,'Threshold Summary'!$L:$L,""))/100)+5)*XLOOKUP(XLOOKUP($Q142,'Threshold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Editor'!$E:$E,1))),stab,IF(OR(mtype=XLOOKUP(XLOOKUP($Q142,'Threshold Summary'!$Y:$Y,'Threshold Summary'!$K:$K,""),'Pokemon Editor'!$A:$A,'Pokemon Editor'!$C:$C,""),mtype=XLOOKUP(XLOOKUP($Q142,'Threshold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Chart'!$B$1:$S$1,0)))),base,IF(OR(cat="Status",pow=0),0,FLOOR(FLOOR(FLOOR((2*XLOOKUP($Q142,'Threshold Summary'!$Y:$Y,'Threshold Summary'!$L:$L,"")/5+2)*pow*atk/def)/50)+2)),modifier,stab*eff,FLOOR(base*modifier)),0)</f>
        <v/>
      </c>
      <c r="L142" s="3">
        <f>IFERROR(LET(mtype,XLOOKUP($D142,'Move Editor'!$B:$B,'Move Editor'!$C:$C,""),cat,XLOOKUP($D142,'Move Editor'!$B:$B,'Move Editor'!$D:$D,""),pow,XLOOKUP($D142,'Move Editor'!$B:$B,'Move Editor'!$E:$E,0),acc,XLOOKUP($D142,'Move Editor'!$B:$B,'Move Editor'!$F:$F,100),atk,IF(cat="Physical",FLOOR((FLOOR(((2*XLOOKUP(XLOOKUP($Q142,'Threshold Summary'!$Y:$Y,'Threshold Summary'!$K:$K,""),'Pokemon Editor'!$A:$A,'Pokemon Editor'!$F:$F,0)+31+FLOOR(XLOOKUP($Q142,'Threshold Summary'!$Y:$Y,'Threshold Summary'!$P:$P,"")/4))*XLOOKUP($Q142,'Threshold Summary'!$Y:$Y,'Threshold Summary'!$L:$L,""))/100)+5)*XLOOKUP(XLOOKUP($Q142,'Threshold Summary'!$Y:$Y,'Threshold Summary'!$M:$M,""),'Nature Editor'!$A:$A,'Nature Editor'!$B:$B,1)),FLOOR((FLOOR(((2*XLOOKUP(XLOOKUP($Q142,'Threshold Summary'!$Y:$Y,'Threshold Summary'!$K:$K,""),'Pokemon Editor'!$A:$A,'Pokemon Editor'!$H:$H,0)+31+FLOOR(XLOOKUP($Q142,'Threshold Summary'!$Y:$Y,'Threshold Summary'!$R:$R,"")/4))*XLOOKUP($Q142,'Threshold Summary'!$Y:$Y,'Threshold Summary'!$L:$L,""))/100)+5)*XLOOKUP(XLOOKUP($Q142,'Threshold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Editor'!$E:$E,1))),stab,IF(OR(mtype=XLOOKUP(XLOOKUP($Q142,'Threshold Summary'!$Y:$Y,'Threshold Summary'!$K:$K,""),'Pokemon Editor'!$A:$A,'Pokemon Editor'!$C:$C,""),mtype=XLOOKUP(XLOOKUP($Q142,'Threshold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Chart'!$B$1:$S$1,0)))),base,IF(OR(cat="Status",pow=0),0,FLOOR(FLOOR(FLOOR((2*XLOOKUP($Q142,'Threshold Summary'!$Y:$Y,'Threshold Summary'!$L:$L,"")/5+2)*pow*atk/def)/50)+2)),modifier,stab*eff,AVERAGE(ARRAYFORMULA(FLOOR(base*modifier*SEQUENCE(16,1,85,1)/100)))),0)</f>
        <v/>
      </c>
      <c r="M142" s="3">
        <f>IFERROR(LET(mtype,XLOOKUP($D142,'Move Editor'!$B:$B,'Move Editor'!$C:$C,""),cat,XLOOKUP($D142,'Move Editor'!$B:$B,'Move Editor'!$D:$D,""),pow,XLOOKUP($D142,'Move Editor'!$B:$B,'Move Editor'!$E:$E,0),acc,XLOOKUP($D142,'Move Editor'!$B:$B,'Move Editor'!$F:$F,100),atk,IF(cat="Physical",FLOOR((FLOOR(((2*XLOOKUP(XLOOKUP($Q142,'Threshold Summary'!$Y:$Y,'Threshold Summary'!$K:$K,""),'Pokemon Editor'!$A:$A,'Pokemon Editor'!$F:$F,0)+31+FLOOR(XLOOKUP($Q142,'Threshold Summary'!$Y:$Y,'Threshold Summary'!$P:$P,"")/4))*XLOOKUP($Q142,'Threshold Summary'!$Y:$Y,'Threshold Summary'!$L:$L,""))/100)+5)*XLOOKUP(XLOOKUP($Q142,'Threshold Summary'!$Y:$Y,'Threshold Summary'!$M:$M,""),'Nature Editor'!$A:$A,'Nature Editor'!$B:$B,1)),FLOOR((FLOOR(((2*XLOOKUP(XLOOKUP($Q142,'Threshold Summary'!$Y:$Y,'Threshold Summary'!$K:$K,""),'Pokemon Editor'!$A:$A,'Pokemon Editor'!$H:$H,0)+31+FLOOR(XLOOKUP($Q142,'Threshold Summary'!$Y:$Y,'Threshold Summary'!$R:$R,"")/4))*XLOOKUP($Q142,'Threshold Summary'!$Y:$Y,'Threshold Summary'!$L:$L,""))/100)+5)*XLOOKUP(XLOOKUP($Q142,'Threshold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Editor'!$E:$E,1))),stab,IF(OR(mtype=XLOOKUP(XLOOKUP($Q142,'Threshold Summary'!$Y:$Y,'Threshold Summary'!$K:$K,""),'Pokemon Editor'!$A:$A,'Pokemon Editor'!$C:$C,""),mtype=XLOOKUP(XLOOKUP($Q142,'Threshold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Chart'!$B$1:$S$1,0)))),base,IF(OR(cat="Status",pow=0),0,FLOOR(FLOOR(FLOOR((2*XLOOKUP($Q142,'Threshold Summary'!$Y:$Y,'Threshold Summary'!$L:$L,"")/5+2)*pow*atk/def)/50)+2)),modifier,stab*eff,AVERAGE(ARRAYFORMULA(FLOOR(base*modifier*SEQUENCE(16,1,85,1)/100)))*MIN(1,acc/100)),0)</f>
        <v/>
      </c>
      <c r="N142" s="4">
        <f>IFERROR(LET(mtype,XLOOKUP($D142,'Move Editor'!$B:$B,'Move Editor'!$C:$C,""),cat,XLOOKUP($D142,'Move Editor'!$B:$B,'Move Editor'!$D:$D,""),pow,XLOOKUP($D142,'Move Editor'!$B:$B,'Move Editor'!$E:$E,0),acc,XLOOKUP($D142,'Move Editor'!$B:$B,'Move Editor'!$F:$F,100),atk,IF(cat="Physical",FLOOR((FLOOR(((2*XLOOKUP(XLOOKUP($Q142,'Threshold Summary'!$Y:$Y,'Threshold Summary'!$K:$K,""),'Pokemon Editor'!$A:$A,'Pokemon Editor'!$F:$F,0)+31+FLOOR(XLOOKUP($Q142,'Threshold Summary'!$Y:$Y,'Threshold Summary'!$P:$P,"")/4))*XLOOKUP($Q142,'Threshold Summary'!$Y:$Y,'Threshold Summary'!$L:$L,""))/100)+5)*XLOOKUP(XLOOKUP($Q142,'Threshold Summary'!$Y:$Y,'Threshold Summary'!$M:$M,""),'Nature Editor'!$A:$A,'Nature Editor'!$B:$B,1)),FLOOR((FLOOR(((2*XLOOKUP(XLOOKUP($Q142,'Threshold Summary'!$Y:$Y,'Threshold Summary'!$K:$K,""),'Pokemon Editor'!$A:$A,'Pokemon Editor'!$H:$H,0)+31+FLOOR(XLOOKUP($Q142,'Threshold Summary'!$Y:$Y,'Threshold Summary'!$R:$R,"")/4))*XLOOKUP($Q142,'Threshold Summary'!$Y:$Y,'Threshold Summary'!$L:$L,""))/100)+5)*XLOOKUP(XLOOKUP($Q142,'Threshold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Editor'!$E:$E,1))),stab,IF(OR(mtype=XLOOKUP(XLOOKUP($Q142,'Threshold Summary'!$Y:$Y,'Threshold Summary'!$K:$K,""),'Pokemon Editor'!$A:$A,'Pokemon Editor'!$C:$C,""),mtype=XLOOKUP(XLOOKUP($Q142,'Threshold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Chart'!$B$1:$S$1,0)))),base,IF(OR(cat="Status",pow=0),0,FLOOR(FLOOR(FLOOR((2*XLOOKUP($Q142,'Threshold Summary'!$Y:$Y,'Threshold Summary'!$L:$L,"")/5+2)*pow*atk/def)/50)+2)),modifier,stab*eff,AVERAGE(ARRAYFORMULA(FLOOR(base*modifier*SEQUENCE(16,1,85,1)/100)))/(FLOOR(((2*XLOOKUP('Boss Editor'!$C$4,'Pokemon Editor'!$A:$A,'Pokemon Editor'!$E:$E,0)+31+FLOOR('Boss Editor'!$G$4/4))*'Boss Editor'!$D$4)/100)+'Boss Editor'!$D$4+10)),0)</f>
        <v/>
      </c>
      <c r="O142" s="3">
        <f>IF(N142&gt;=1,"OHKO",IF(N142&gt;=0.5,"2HKO",IF(N142&gt;=0.333,"3HKO",IF(N142&gt;=0.25,"4HKO","5HKO+"))))</f>
        <v/>
      </c>
      <c r="P142" s="3" t="inlineStr">
        <is>
          <t>Live from editable databases</t>
        </is>
      </c>
      <c r="Q142" s="3" t="inlineStr">
        <is>
          <t>SPECIES_TORCHIC</t>
        </is>
      </c>
      <c r="R142" s="3" t="n">
        <v>13</v>
      </c>
    </row>
    <row r="143">
      <c r="A143" s="3">
        <f>XLOOKUP($Q143,'Threshold Summary'!$Y:$Y,'Threshold Summary'!$A:$A,"")</f>
        <v/>
      </c>
      <c r="B143" s="3">
        <f>XLOOKUP($Q143,'Threshold Summary'!$Y:$Y,'Threshold Summary'!$M:$M,"")</f>
        <v/>
      </c>
      <c r="C143" s="3">
        <f>XLOOKUP($Q143,'Threshold Summary'!$Y:$Y,'Threshold Summary'!$N:$N,"")</f>
        <v/>
      </c>
      <c r="D143" s="3">
        <f>IFERROR(INDEX(FILTER('Learnset Editor'!$D$2:$D,'Learnset Editor'!$A$2:$A=XLOOKUP($Q143,'Threshold Summary'!$Y:$Y,'Threshold Summary'!$K:$K,""),'Learnset Editor'!$C$2:$C&lt;=XLOOKUP($Q143,'Threshold Summary'!$Y:$Y,'Threshold Summary'!$L:$L,"")),$R143),"")</f>
        <v/>
      </c>
      <c r="E143" s="3">
        <f>XLOOKUP(D143,'Move Editor'!$B:$B,'Move Editor'!$C:$C,"")</f>
        <v/>
      </c>
      <c r="F143" s="3">
        <f>XLOOKUP(D143,'Move Editor'!$B:$B,'Move Editor'!$D:$D,"")</f>
        <v/>
      </c>
      <c r="G143" s="3">
        <f>XLOOKUP(D143,'Move Editor'!$B:$B,'Move Editor'!$E:$E,0)</f>
        <v/>
      </c>
      <c r="H143" s="3">
        <f>XLOOKUP(D143,'Move Editor'!$B:$B,'Move Editor'!$F:$F,0)</f>
        <v/>
      </c>
      <c r="I143" s="3">
        <f>(INDEX('Type Chart'!$B:$S,MATCH(E143,'Type Chart'!$A:$A,0),MATCH(XLOOKUP('Boss Editor'!$C$4,'Pokemon Editor'!$A:$A,'Pokemon Editor'!$C:$C,""),'Type Chart'!$B$1:$S$1,0))*IF(XLOOKUP('Boss Editor'!$C$4,'Pokemon Editor'!$A:$A,'Pokemon Editor'!$D:$D,"")="",1,INDEX('Type Chart'!$B:$S,MATCH(E143,'Type Chart'!$A:$A,0),MATCH(XLOOKUP('Boss Editor'!$C$4,'Pokemon Editor'!$A:$A,'Pokemon Editor'!$D:$D,""),'Type Chart'!$B$1:$S$1,0))))</f>
        <v/>
      </c>
      <c r="J143" s="3">
        <f>IFERROR(LET(mtype,XLOOKUP($D143,'Move Editor'!$B:$B,'Move Editor'!$C:$C,""),cat,XLOOKUP($D143,'Move Editor'!$B:$B,'Move Editor'!$D:$D,""),pow,XLOOKUP($D143,'Move Editor'!$B:$B,'Move Editor'!$E:$E,0),acc,XLOOKUP($D143,'Move Editor'!$B:$B,'Move Editor'!$F:$F,100),atk,IF(cat="Physical",FLOOR((FLOOR(((2*XLOOKUP(XLOOKUP($Q143,'Threshold Summary'!$Y:$Y,'Threshold Summary'!$K:$K,""),'Pokemon Editor'!$A:$A,'Pokemon Editor'!$F:$F,0)+31+FLOOR(XLOOKUP($Q143,'Threshold Summary'!$Y:$Y,'Threshold Summary'!$P:$P,"")/4))*XLOOKUP($Q143,'Threshold Summary'!$Y:$Y,'Threshold Summary'!$L:$L,""))/100)+5)*XLOOKUP(XLOOKUP($Q143,'Threshold Summary'!$Y:$Y,'Threshold Summary'!$M:$M,""),'Nature Editor'!$A:$A,'Nature Editor'!$B:$B,1)),FLOOR((FLOOR(((2*XLOOKUP(XLOOKUP($Q143,'Threshold Summary'!$Y:$Y,'Threshold Summary'!$K:$K,""),'Pokemon Editor'!$A:$A,'Pokemon Editor'!$H:$H,0)+31+FLOOR(XLOOKUP($Q143,'Threshold Summary'!$Y:$Y,'Threshold Summary'!$R:$R,"")/4))*XLOOKUP($Q143,'Threshold Summary'!$Y:$Y,'Threshold Summary'!$L:$L,""))/100)+5)*XLOOKUP(XLOOKUP($Q143,'Threshold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Editor'!$E:$E,1))),stab,IF(OR(mtype=XLOOKUP(XLOOKUP($Q143,'Threshold Summary'!$Y:$Y,'Threshold Summary'!$K:$K,""),'Pokemon Editor'!$A:$A,'Pokemon Editor'!$C:$C,""),mtype=XLOOKUP(XLOOKUP($Q143,'Threshold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Chart'!$B$1:$S$1,0)))),base,IF(OR(cat="Status",pow=0),0,FLOOR(FLOOR(FLOOR((2*XLOOKUP($Q143,'Threshold Summary'!$Y:$Y,'Threshold Summary'!$L:$L,"")/5+2)*pow*atk/def)/50)+2)),modifier,stab*eff,FLOOR(base*modifier*0.85)),0)</f>
        <v/>
      </c>
      <c r="K143" s="3">
        <f>IFERROR(LET(mtype,XLOOKUP($D143,'Move Editor'!$B:$B,'Move Editor'!$C:$C,""),cat,XLOOKUP($D143,'Move Editor'!$B:$B,'Move Editor'!$D:$D,""),pow,XLOOKUP($D143,'Move Editor'!$B:$B,'Move Editor'!$E:$E,0),acc,XLOOKUP($D143,'Move Editor'!$B:$B,'Move Editor'!$F:$F,100),atk,IF(cat="Physical",FLOOR((FLOOR(((2*XLOOKUP(XLOOKUP($Q143,'Threshold Summary'!$Y:$Y,'Threshold Summary'!$K:$K,""),'Pokemon Editor'!$A:$A,'Pokemon Editor'!$F:$F,0)+31+FLOOR(XLOOKUP($Q143,'Threshold Summary'!$Y:$Y,'Threshold Summary'!$P:$P,"")/4))*XLOOKUP($Q143,'Threshold Summary'!$Y:$Y,'Threshold Summary'!$L:$L,""))/100)+5)*XLOOKUP(XLOOKUP($Q143,'Threshold Summary'!$Y:$Y,'Threshold Summary'!$M:$M,""),'Nature Editor'!$A:$A,'Nature Editor'!$B:$B,1)),FLOOR((FLOOR(((2*XLOOKUP(XLOOKUP($Q143,'Threshold Summary'!$Y:$Y,'Threshold Summary'!$K:$K,""),'Pokemon Editor'!$A:$A,'Pokemon Editor'!$H:$H,0)+31+FLOOR(XLOOKUP($Q143,'Threshold Summary'!$Y:$Y,'Threshold Summary'!$R:$R,"")/4))*XLOOKUP($Q143,'Threshold Summary'!$Y:$Y,'Threshold Summary'!$L:$L,""))/100)+5)*XLOOKUP(XLOOKUP($Q143,'Threshold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Editor'!$E:$E,1))),stab,IF(OR(mtype=XLOOKUP(XLOOKUP($Q143,'Threshold Summary'!$Y:$Y,'Threshold Summary'!$K:$K,""),'Pokemon Editor'!$A:$A,'Pokemon Editor'!$C:$C,""),mtype=XLOOKUP(XLOOKUP($Q143,'Threshold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Chart'!$B$1:$S$1,0)))),base,IF(OR(cat="Status",pow=0),0,FLOOR(FLOOR(FLOOR((2*XLOOKUP($Q143,'Threshold Summary'!$Y:$Y,'Threshold Summary'!$L:$L,"")/5+2)*pow*atk/def)/50)+2)),modifier,stab*eff,FLOOR(base*modifier)),0)</f>
        <v/>
      </c>
      <c r="L143" s="3">
        <f>IFERROR(LET(mtype,XLOOKUP($D143,'Move Editor'!$B:$B,'Move Editor'!$C:$C,""),cat,XLOOKUP($D143,'Move Editor'!$B:$B,'Move Editor'!$D:$D,""),pow,XLOOKUP($D143,'Move Editor'!$B:$B,'Move Editor'!$E:$E,0),acc,XLOOKUP($D143,'Move Editor'!$B:$B,'Move Editor'!$F:$F,100),atk,IF(cat="Physical",FLOOR((FLOOR(((2*XLOOKUP(XLOOKUP($Q143,'Threshold Summary'!$Y:$Y,'Threshold Summary'!$K:$K,""),'Pokemon Editor'!$A:$A,'Pokemon Editor'!$F:$F,0)+31+FLOOR(XLOOKUP($Q143,'Threshold Summary'!$Y:$Y,'Threshold Summary'!$P:$P,"")/4))*XLOOKUP($Q143,'Threshold Summary'!$Y:$Y,'Threshold Summary'!$L:$L,""))/100)+5)*XLOOKUP(XLOOKUP($Q143,'Threshold Summary'!$Y:$Y,'Threshold Summary'!$M:$M,""),'Nature Editor'!$A:$A,'Nature Editor'!$B:$B,1)),FLOOR((FLOOR(((2*XLOOKUP(XLOOKUP($Q143,'Threshold Summary'!$Y:$Y,'Threshold Summary'!$K:$K,""),'Pokemon Editor'!$A:$A,'Pokemon Editor'!$H:$H,0)+31+FLOOR(XLOOKUP($Q143,'Threshold Summary'!$Y:$Y,'Threshold Summary'!$R:$R,"")/4))*XLOOKUP($Q143,'Threshold Summary'!$Y:$Y,'Threshold Summary'!$L:$L,""))/100)+5)*XLOOKUP(XLOOKUP($Q143,'Threshold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Editor'!$E:$E,1))),stab,IF(OR(mtype=XLOOKUP(XLOOKUP($Q143,'Threshold Summary'!$Y:$Y,'Threshold Summary'!$K:$K,""),'Pokemon Editor'!$A:$A,'Pokemon Editor'!$C:$C,""),mtype=XLOOKUP(XLOOKUP($Q143,'Threshold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Chart'!$B$1:$S$1,0)))),base,IF(OR(cat="Status",pow=0),0,FLOOR(FLOOR(FLOOR((2*XLOOKUP($Q143,'Threshold Summary'!$Y:$Y,'Threshold Summary'!$L:$L,"")/5+2)*pow*atk/def)/50)+2)),modifier,stab*eff,AVERAGE(ARRAYFORMULA(FLOOR(base*modifier*SEQUENCE(16,1,85,1)/100)))),0)</f>
        <v/>
      </c>
      <c r="M143" s="3">
        <f>IFERROR(LET(mtype,XLOOKUP($D143,'Move Editor'!$B:$B,'Move Editor'!$C:$C,""),cat,XLOOKUP($D143,'Move Editor'!$B:$B,'Move Editor'!$D:$D,""),pow,XLOOKUP($D143,'Move Editor'!$B:$B,'Move Editor'!$E:$E,0),acc,XLOOKUP($D143,'Move Editor'!$B:$B,'Move Editor'!$F:$F,100),atk,IF(cat="Physical",FLOOR((FLOOR(((2*XLOOKUP(XLOOKUP($Q143,'Threshold Summary'!$Y:$Y,'Threshold Summary'!$K:$K,""),'Pokemon Editor'!$A:$A,'Pokemon Editor'!$F:$F,0)+31+FLOOR(XLOOKUP($Q143,'Threshold Summary'!$Y:$Y,'Threshold Summary'!$P:$P,"")/4))*XLOOKUP($Q143,'Threshold Summary'!$Y:$Y,'Threshold Summary'!$L:$L,""))/100)+5)*XLOOKUP(XLOOKUP($Q143,'Threshold Summary'!$Y:$Y,'Threshold Summary'!$M:$M,""),'Nature Editor'!$A:$A,'Nature Editor'!$B:$B,1)),FLOOR((FLOOR(((2*XLOOKUP(XLOOKUP($Q143,'Threshold Summary'!$Y:$Y,'Threshold Summary'!$K:$K,""),'Pokemon Editor'!$A:$A,'Pokemon Editor'!$H:$H,0)+31+FLOOR(XLOOKUP($Q143,'Threshold Summary'!$Y:$Y,'Threshold Summary'!$R:$R,"")/4))*XLOOKUP($Q143,'Threshold Summary'!$Y:$Y,'Threshold Summary'!$L:$L,""))/100)+5)*XLOOKUP(XLOOKUP($Q143,'Threshold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Editor'!$E:$E,1))),stab,IF(OR(mtype=XLOOKUP(XLOOKUP($Q143,'Threshold Summary'!$Y:$Y,'Threshold Summary'!$K:$K,""),'Pokemon Editor'!$A:$A,'Pokemon Editor'!$C:$C,""),mtype=XLOOKUP(XLOOKUP($Q143,'Threshold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Chart'!$B$1:$S$1,0)))),base,IF(OR(cat="Status",pow=0),0,FLOOR(FLOOR(FLOOR((2*XLOOKUP($Q143,'Threshold Summary'!$Y:$Y,'Threshold Summary'!$L:$L,"")/5+2)*pow*atk/def)/50)+2)),modifier,stab*eff,AVERAGE(ARRAYFORMULA(FLOOR(base*modifier*SEQUENCE(16,1,85,1)/100)))*MIN(1,acc/100)),0)</f>
        <v/>
      </c>
      <c r="N143" s="4">
        <f>IFERROR(LET(mtype,XLOOKUP($D143,'Move Editor'!$B:$B,'Move Editor'!$C:$C,""),cat,XLOOKUP($D143,'Move Editor'!$B:$B,'Move Editor'!$D:$D,""),pow,XLOOKUP($D143,'Move Editor'!$B:$B,'Move Editor'!$E:$E,0),acc,XLOOKUP($D143,'Move Editor'!$B:$B,'Move Editor'!$F:$F,100),atk,IF(cat="Physical",FLOOR((FLOOR(((2*XLOOKUP(XLOOKUP($Q143,'Threshold Summary'!$Y:$Y,'Threshold Summary'!$K:$K,""),'Pokemon Editor'!$A:$A,'Pokemon Editor'!$F:$F,0)+31+FLOOR(XLOOKUP($Q143,'Threshold Summary'!$Y:$Y,'Threshold Summary'!$P:$P,"")/4))*XLOOKUP($Q143,'Threshold Summary'!$Y:$Y,'Threshold Summary'!$L:$L,""))/100)+5)*XLOOKUP(XLOOKUP($Q143,'Threshold Summary'!$Y:$Y,'Threshold Summary'!$M:$M,""),'Nature Editor'!$A:$A,'Nature Editor'!$B:$B,1)),FLOOR((FLOOR(((2*XLOOKUP(XLOOKUP($Q143,'Threshold Summary'!$Y:$Y,'Threshold Summary'!$K:$K,""),'Pokemon Editor'!$A:$A,'Pokemon Editor'!$H:$H,0)+31+FLOOR(XLOOKUP($Q143,'Threshold Summary'!$Y:$Y,'Threshold Summary'!$R:$R,"")/4))*XLOOKUP($Q143,'Threshold Summary'!$Y:$Y,'Threshold Summary'!$L:$L,""))/100)+5)*XLOOKUP(XLOOKUP($Q143,'Threshold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Editor'!$E:$E,1))),stab,IF(OR(mtype=XLOOKUP(XLOOKUP($Q143,'Threshold Summary'!$Y:$Y,'Threshold Summary'!$K:$K,""),'Pokemon Editor'!$A:$A,'Pokemon Editor'!$C:$C,""),mtype=XLOOKUP(XLOOKUP($Q143,'Threshold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Chart'!$B$1:$S$1,0)))),base,IF(OR(cat="Status",pow=0),0,FLOOR(FLOOR(FLOOR((2*XLOOKUP($Q143,'Threshold Summary'!$Y:$Y,'Threshold Summary'!$L:$L,"")/5+2)*pow*atk/def)/50)+2)),modifier,stab*eff,AVERAGE(ARRAYFORMULA(FLOOR(base*modifier*SEQUENCE(16,1,85,1)/100)))/(FLOOR(((2*XLOOKUP('Boss Editor'!$C$4,'Pokemon Editor'!$A:$A,'Pokemon Editor'!$E:$E,0)+31+FLOOR('Boss Editor'!$G$4/4))*'Boss Editor'!$D$4)/100)+'Boss Editor'!$D$4+10)),0)</f>
        <v/>
      </c>
      <c r="O143" s="3">
        <f>IF(N143&gt;=1,"OHKO",IF(N143&gt;=0.5,"2HKO",IF(N143&gt;=0.333,"3HKO",IF(N143&gt;=0.25,"4HKO","5HKO+"))))</f>
        <v/>
      </c>
      <c r="P143" s="3" t="inlineStr">
        <is>
          <t>Live from editable databases</t>
        </is>
      </c>
      <c r="Q143" s="3" t="inlineStr">
        <is>
          <t>SPECIES_TORCHIC</t>
        </is>
      </c>
      <c r="R143" s="3" t="n">
        <v>14</v>
      </c>
    </row>
    <row r="144">
      <c r="A144" s="3">
        <f>XLOOKUP($Q144,'Threshold Summary'!$Y:$Y,'Threshold Summary'!$A:$A,"")</f>
        <v/>
      </c>
      <c r="B144" s="3">
        <f>XLOOKUP($Q144,'Threshold Summary'!$Y:$Y,'Threshold Summary'!$M:$M,"")</f>
        <v/>
      </c>
      <c r="C144" s="3">
        <f>XLOOKUP($Q144,'Threshold Summary'!$Y:$Y,'Threshold Summary'!$N:$N,"")</f>
        <v/>
      </c>
      <c r="D144" s="3">
        <f>IFERROR(INDEX(FILTER('Learnset Editor'!$D$2:$D,'Learnset Editor'!$A$2:$A=XLOOKUP($Q144,'Threshold Summary'!$Y:$Y,'Threshold Summary'!$K:$K,""),'Learnset Editor'!$C$2:$C&lt;=XLOOKUP($Q144,'Threshold Summary'!$Y:$Y,'Threshold Summary'!$L:$L,"")),$R144),"")</f>
        <v/>
      </c>
      <c r="E144" s="3">
        <f>XLOOKUP(D144,'Move Editor'!$B:$B,'Move Editor'!$C:$C,"")</f>
        <v/>
      </c>
      <c r="F144" s="3">
        <f>XLOOKUP(D144,'Move Editor'!$B:$B,'Move Editor'!$D:$D,"")</f>
        <v/>
      </c>
      <c r="G144" s="3">
        <f>XLOOKUP(D144,'Move Editor'!$B:$B,'Move Editor'!$E:$E,0)</f>
        <v/>
      </c>
      <c r="H144" s="3">
        <f>XLOOKUP(D144,'Move Editor'!$B:$B,'Move Editor'!$F:$F,0)</f>
        <v/>
      </c>
      <c r="I144" s="3">
        <f>(INDEX('Type Chart'!$B:$S,MATCH(E144,'Type Chart'!$A:$A,0),MATCH(XLOOKUP('Boss Editor'!$C$4,'Pokemon Editor'!$A:$A,'Pokemon Editor'!$C:$C,""),'Type Chart'!$B$1:$S$1,0))*IF(XLOOKUP('Boss Editor'!$C$4,'Pokemon Editor'!$A:$A,'Pokemon Editor'!$D:$D,"")="",1,INDEX('Type Chart'!$B:$S,MATCH(E144,'Type Chart'!$A:$A,0),MATCH(XLOOKUP('Boss Editor'!$C$4,'Pokemon Editor'!$A:$A,'Pokemon Editor'!$D:$D,""),'Type Chart'!$B$1:$S$1,0))))</f>
        <v/>
      </c>
      <c r="J144" s="3">
        <f>IFERROR(LET(mtype,XLOOKUP($D144,'Move Editor'!$B:$B,'Move Editor'!$C:$C,""),cat,XLOOKUP($D144,'Move Editor'!$B:$B,'Move Editor'!$D:$D,""),pow,XLOOKUP($D144,'Move Editor'!$B:$B,'Move Editor'!$E:$E,0),acc,XLOOKUP($D144,'Move Editor'!$B:$B,'Move Editor'!$F:$F,100),atk,IF(cat="Physical",FLOOR((FLOOR(((2*XLOOKUP(XLOOKUP($Q144,'Threshold Summary'!$Y:$Y,'Threshold Summary'!$K:$K,""),'Pokemon Editor'!$A:$A,'Pokemon Editor'!$F:$F,0)+31+FLOOR(XLOOKUP($Q144,'Threshold Summary'!$Y:$Y,'Threshold Summary'!$P:$P,"")/4))*XLOOKUP($Q144,'Threshold Summary'!$Y:$Y,'Threshold Summary'!$L:$L,""))/100)+5)*XLOOKUP(XLOOKUP($Q144,'Threshold Summary'!$Y:$Y,'Threshold Summary'!$M:$M,""),'Nature Editor'!$A:$A,'Nature Editor'!$B:$B,1)),FLOOR((FLOOR(((2*XLOOKUP(XLOOKUP($Q144,'Threshold Summary'!$Y:$Y,'Threshold Summary'!$K:$K,""),'Pokemon Editor'!$A:$A,'Pokemon Editor'!$H:$H,0)+31+FLOOR(XLOOKUP($Q144,'Threshold Summary'!$Y:$Y,'Threshold Summary'!$R:$R,"")/4))*XLOOKUP($Q144,'Threshold Summary'!$Y:$Y,'Threshold Summary'!$L:$L,""))/100)+5)*XLOOKUP(XLOOKUP($Q144,'Threshold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Editor'!$E:$E,1))),stab,IF(OR(mtype=XLOOKUP(XLOOKUP($Q144,'Threshold Summary'!$Y:$Y,'Threshold Summary'!$K:$K,""),'Pokemon Editor'!$A:$A,'Pokemon Editor'!$C:$C,""),mtype=XLOOKUP(XLOOKUP($Q144,'Threshold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Chart'!$B$1:$S$1,0)))),base,IF(OR(cat="Status",pow=0),0,FLOOR(FLOOR(FLOOR((2*XLOOKUP($Q144,'Threshold Summary'!$Y:$Y,'Threshold Summary'!$L:$L,"")/5+2)*pow*atk/def)/50)+2)),modifier,stab*eff,FLOOR(base*modifier*0.85)),0)</f>
        <v/>
      </c>
      <c r="K144" s="3">
        <f>IFERROR(LET(mtype,XLOOKUP($D144,'Move Editor'!$B:$B,'Move Editor'!$C:$C,""),cat,XLOOKUP($D144,'Move Editor'!$B:$B,'Move Editor'!$D:$D,""),pow,XLOOKUP($D144,'Move Editor'!$B:$B,'Move Editor'!$E:$E,0),acc,XLOOKUP($D144,'Move Editor'!$B:$B,'Move Editor'!$F:$F,100),atk,IF(cat="Physical",FLOOR((FLOOR(((2*XLOOKUP(XLOOKUP($Q144,'Threshold Summary'!$Y:$Y,'Threshold Summary'!$K:$K,""),'Pokemon Editor'!$A:$A,'Pokemon Editor'!$F:$F,0)+31+FLOOR(XLOOKUP($Q144,'Threshold Summary'!$Y:$Y,'Threshold Summary'!$P:$P,"")/4))*XLOOKUP($Q144,'Threshold Summary'!$Y:$Y,'Threshold Summary'!$L:$L,""))/100)+5)*XLOOKUP(XLOOKUP($Q144,'Threshold Summary'!$Y:$Y,'Threshold Summary'!$M:$M,""),'Nature Editor'!$A:$A,'Nature Editor'!$B:$B,1)),FLOOR((FLOOR(((2*XLOOKUP(XLOOKUP($Q144,'Threshold Summary'!$Y:$Y,'Threshold Summary'!$K:$K,""),'Pokemon Editor'!$A:$A,'Pokemon Editor'!$H:$H,0)+31+FLOOR(XLOOKUP($Q144,'Threshold Summary'!$Y:$Y,'Threshold Summary'!$R:$R,"")/4))*XLOOKUP($Q144,'Threshold Summary'!$Y:$Y,'Threshold Summary'!$L:$L,""))/100)+5)*XLOOKUP(XLOOKUP($Q144,'Threshold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Editor'!$E:$E,1))),stab,IF(OR(mtype=XLOOKUP(XLOOKUP($Q144,'Threshold Summary'!$Y:$Y,'Threshold Summary'!$K:$K,""),'Pokemon Editor'!$A:$A,'Pokemon Editor'!$C:$C,""),mtype=XLOOKUP(XLOOKUP($Q144,'Threshold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Chart'!$B$1:$S$1,0)))),base,IF(OR(cat="Status",pow=0),0,FLOOR(FLOOR(FLOOR((2*XLOOKUP($Q144,'Threshold Summary'!$Y:$Y,'Threshold Summary'!$L:$L,"")/5+2)*pow*atk/def)/50)+2)),modifier,stab*eff,FLOOR(base*modifier)),0)</f>
        <v/>
      </c>
      <c r="L144" s="3">
        <f>IFERROR(LET(mtype,XLOOKUP($D144,'Move Editor'!$B:$B,'Move Editor'!$C:$C,""),cat,XLOOKUP($D144,'Move Editor'!$B:$B,'Move Editor'!$D:$D,""),pow,XLOOKUP($D144,'Move Editor'!$B:$B,'Move Editor'!$E:$E,0),acc,XLOOKUP($D144,'Move Editor'!$B:$B,'Move Editor'!$F:$F,100),atk,IF(cat="Physical",FLOOR((FLOOR(((2*XLOOKUP(XLOOKUP($Q144,'Threshold Summary'!$Y:$Y,'Threshold Summary'!$K:$K,""),'Pokemon Editor'!$A:$A,'Pokemon Editor'!$F:$F,0)+31+FLOOR(XLOOKUP($Q144,'Threshold Summary'!$Y:$Y,'Threshold Summary'!$P:$P,"")/4))*XLOOKUP($Q144,'Threshold Summary'!$Y:$Y,'Threshold Summary'!$L:$L,""))/100)+5)*XLOOKUP(XLOOKUP($Q144,'Threshold Summary'!$Y:$Y,'Threshold Summary'!$M:$M,""),'Nature Editor'!$A:$A,'Nature Editor'!$B:$B,1)),FLOOR((FLOOR(((2*XLOOKUP(XLOOKUP($Q144,'Threshold Summary'!$Y:$Y,'Threshold Summary'!$K:$K,""),'Pokemon Editor'!$A:$A,'Pokemon Editor'!$H:$H,0)+31+FLOOR(XLOOKUP($Q144,'Threshold Summary'!$Y:$Y,'Threshold Summary'!$R:$R,"")/4))*XLOOKUP($Q144,'Threshold Summary'!$Y:$Y,'Threshold Summary'!$L:$L,""))/100)+5)*XLOOKUP(XLOOKUP($Q144,'Threshold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Editor'!$E:$E,1))),stab,IF(OR(mtype=XLOOKUP(XLOOKUP($Q144,'Threshold Summary'!$Y:$Y,'Threshold Summary'!$K:$K,""),'Pokemon Editor'!$A:$A,'Pokemon Editor'!$C:$C,""),mtype=XLOOKUP(XLOOKUP($Q144,'Threshold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Chart'!$B$1:$S$1,0)))),base,IF(OR(cat="Status",pow=0),0,FLOOR(FLOOR(FLOOR((2*XLOOKUP($Q144,'Threshold Summary'!$Y:$Y,'Threshold Summary'!$L:$L,"")/5+2)*pow*atk/def)/50)+2)),modifier,stab*eff,AVERAGE(ARRAYFORMULA(FLOOR(base*modifier*SEQUENCE(16,1,85,1)/100)))),0)</f>
        <v/>
      </c>
      <c r="M144" s="3">
        <f>IFERROR(LET(mtype,XLOOKUP($D144,'Move Editor'!$B:$B,'Move Editor'!$C:$C,""),cat,XLOOKUP($D144,'Move Editor'!$B:$B,'Move Editor'!$D:$D,""),pow,XLOOKUP($D144,'Move Editor'!$B:$B,'Move Editor'!$E:$E,0),acc,XLOOKUP($D144,'Move Editor'!$B:$B,'Move Editor'!$F:$F,100),atk,IF(cat="Physical",FLOOR((FLOOR(((2*XLOOKUP(XLOOKUP($Q144,'Threshold Summary'!$Y:$Y,'Threshold Summary'!$K:$K,""),'Pokemon Editor'!$A:$A,'Pokemon Editor'!$F:$F,0)+31+FLOOR(XLOOKUP($Q144,'Threshold Summary'!$Y:$Y,'Threshold Summary'!$P:$P,"")/4))*XLOOKUP($Q144,'Threshold Summary'!$Y:$Y,'Threshold Summary'!$L:$L,""))/100)+5)*XLOOKUP(XLOOKUP($Q144,'Threshold Summary'!$Y:$Y,'Threshold Summary'!$M:$M,""),'Nature Editor'!$A:$A,'Nature Editor'!$B:$B,1)),FLOOR((FLOOR(((2*XLOOKUP(XLOOKUP($Q144,'Threshold Summary'!$Y:$Y,'Threshold Summary'!$K:$K,""),'Pokemon Editor'!$A:$A,'Pokemon Editor'!$H:$H,0)+31+FLOOR(XLOOKUP($Q144,'Threshold Summary'!$Y:$Y,'Threshold Summary'!$R:$R,"")/4))*XLOOKUP($Q144,'Threshold Summary'!$Y:$Y,'Threshold Summary'!$L:$L,""))/100)+5)*XLOOKUP(XLOOKUP($Q144,'Threshold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Editor'!$E:$E,1))),stab,IF(OR(mtype=XLOOKUP(XLOOKUP($Q144,'Threshold Summary'!$Y:$Y,'Threshold Summary'!$K:$K,""),'Pokemon Editor'!$A:$A,'Pokemon Editor'!$C:$C,""),mtype=XLOOKUP(XLOOKUP($Q144,'Threshold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Chart'!$B$1:$S$1,0)))),base,IF(OR(cat="Status",pow=0),0,FLOOR(FLOOR(FLOOR((2*XLOOKUP($Q144,'Threshold Summary'!$Y:$Y,'Threshold Summary'!$L:$L,"")/5+2)*pow*atk/def)/50)+2)),modifier,stab*eff,AVERAGE(ARRAYFORMULA(FLOOR(base*modifier*SEQUENCE(16,1,85,1)/100)))*MIN(1,acc/100)),0)</f>
        <v/>
      </c>
      <c r="N144" s="4">
        <f>IFERROR(LET(mtype,XLOOKUP($D144,'Move Editor'!$B:$B,'Move Editor'!$C:$C,""),cat,XLOOKUP($D144,'Move Editor'!$B:$B,'Move Editor'!$D:$D,""),pow,XLOOKUP($D144,'Move Editor'!$B:$B,'Move Editor'!$E:$E,0),acc,XLOOKUP($D144,'Move Editor'!$B:$B,'Move Editor'!$F:$F,100),atk,IF(cat="Physical",FLOOR((FLOOR(((2*XLOOKUP(XLOOKUP($Q144,'Threshold Summary'!$Y:$Y,'Threshold Summary'!$K:$K,""),'Pokemon Editor'!$A:$A,'Pokemon Editor'!$F:$F,0)+31+FLOOR(XLOOKUP($Q144,'Threshold Summary'!$Y:$Y,'Threshold Summary'!$P:$P,"")/4))*XLOOKUP($Q144,'Threshold Summary'!$Y:$Y,'Threshold Summary'!$L:$L,""))/100)+5)*XLOOKUP(XLOOKUP($Q144,'Threshold Summary'!$Y:$Y,'Threshold Summary'!$M:$M,""),'Nature Editor'!$A:$A,'Nature Editor'!$B:$B,1)),FLOOR((FLOOR(((2*XLOOKUP(XLOOKUP($Q144,'Threshold Summary'!$Y:$Y,'Threshold Summary'!$K:$K,""),'Pokemon Editor'!$A:$A,'Pokemon Editor'!$H:$H,0)+31+FLOOR(XLOOKUP($Q144,'Threshold Summary'!$Y:$Y,'Threshold Summary'!$R:$R,"")/4))*XLOOKUP($Q144,'Threshold Summary'!$Y:$Y,'Threshold Summary'!$L:$L,""))/100)+5)*XLOOKUP(XLOOKUP($Q144,'Threshold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Editor'!$E:$E,1))),stab,IF(OR(mtype=XLOOKUP(XLOOKUP($Q144,'Threshold Summary'!$Y:$Y,'Threshold Summary'!$K:$K,""),'Pokemon Editor'!$A:$A,'Pokemon Editor'!$C:$C,""),mtype=XLOOKUP(XLOOKUP($Q144,'Threshold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Chart'!$B$1:$S$1,0)))),base,IF(OR(cat="Status",pow=0),0,FLOOR(FLOOR(FLOOR((2*XLOOKUP($Q144,'Threshold Summary'!$Y:$Y,'Threshold Summary'!$L:$L,"")/5+2)*pow*atk/def)/50)+2)),modifier,stab*eff,AVERAGE(ARRAYFORMULA(FLOOR(base*modifier*SEQUENCE(16,1,85,1)/100)))/(FLOOR(((2*XLOOKUP('Boss Editor'!$C$4,'Pokemon Editor'!$A:$A,'Pokemon Editor'!$E:$E,0)+31+FLOOR('Boss Editor'!$G$4/4))*'Boss Editor'!$D$4)/100)+'Boss Editor'!$D$4+10)),0)</f>
        <v/>
      </c>
      <c r="O144" s="3">
        <f>IF(N144&gt;=1,"OHKO",IF(N144&gt;=0.5,"2HKO",IF(N144&gt;=0.333,"3HKO",IF(N144&gt;=0.25,"4HKO","5HKO+"))))</f>
        <v/>
      </c>
      <c r="P144" s="3" t="inlineStr">
        <is>
          <t>Live from editable databases</t>
        </is>
      </c>
      <c r="Q144" s="3" t="inlineStr">
        <is>
          <t>SPECIES_TORCHIC</t>
        </is>
      </c>
      <c r="R144" s="3" t="n">
        <v>15</v>
      </c>
    </row>
    <row r="145">
      <c r="A145" s="3">
        <f>XLOOKUP($Q145,'Threshold Summary'!$Y:$Y,'Threshold Summary'!$A:$A,"")</f>
        <v/>
      </c>
      <c r="B145" s="3">
        <f>XLOOKUP($Q145,'Threshold Summary'!$Y:$Y,'Threshold Summary'!$M:$M,"")</f>
        <v/>
      </c>
      <c r="C145" s="3">
        <f>XLOOKUP($Q145,'Threshold Summary'!$Y:$Y,'Threshold Summary'!$N:$N,"")</f>
        <v/>
      </c>
      <c r="D145" s="3">
        <f>IFERROR(INDEX(FILTER('Learnset Editor'!$D$2:$D,'Learnset Editor'!$A$2:$A=XLOOKUP($Q145,'Threshold Summary'!$Y:$Y,'Threshold Summary'!$K:$K,""),'Learnset Editor'!$C$2:$C&lt;=XLOOKUP($Q145,'Threshold Summary'!$Y:$Y,'Threshold Summary'!$L:$L,"")),$R145),"")</f>
        <v/>
      </c>
      <c r="E145" s="3">
        <f>XLOOKUP(D145,'Move Editor'!$B:$B,'Move Editor'!$C:$C,"")</f>
        <v/>
      </c>
      <c r="F145" s="3">
        <f>XLOOKUP(D145,'Move Editor'!$B:$B,'Move Editor'!$D:$D,"")</f>
        <v/>
      </c>
      <c r="G145" s="3">
        <f>XLOOKUP(D145,'Move Editor'!$B:$B,'Move Editor'!$E:$E,0)</f>
        <v/>
      </c>
      <c r="H145" s="3">
        <f>XLOOKUP(D145,'Move Editor'!$B:$B,'Move Editor'!$F:$F,0)</f>
        <v/>
      </c>
      <c r="I145" s="3">
        <f>(INDEX('Type Chart'!$B:$S,MATCH(E145,'Type Chart'!$A:$A,0),MATCH(XLOOKUP('Boss Editor'!$C$4,'Pokemon Editor'!$A:$A,'Pokemon Editor'!$C:$C,""),'Type Chart'!$B$1:$S$1,0))*IF(XLOOKUP('Boss Editor'!$C$4,'Pokemon Editor'!$A:$A,'Pokemon Editor'!$D:$D,"")="",1,INDEX('Type Chart'!$B:$S,MATCH(E145,'Type Chart'!$A:$A,0),MATCH(XLOOKUP('Boss Editor'!$C$4,'Pokemon Editor'!$A:$A,'Pokemon Editor'!$D:$D,""),'Type Chart'!$B$1:$S$1,0))))</f>
        <v/>
      </c>
      <c r="J145" s="3">
        <f>IFERROR(LET(mtype,XLOOKUP($D145,'Move Editor'!$B:$B,'Move Editor'!$C:$C,""),cat,XLOOKUP($D145,'Move Editor'!$B:$B,'Move Editor'!$D:$D,""),pow,XLOOKUP($D145,'Move Editor'!$B:$B,'Move Editor'!$E:$E,0),acc,XLOOKUP($D145,'Move Editor'!$B:$B,'Move Editor'!$F:$F,100),atk,IF(cat="Physical",FLOOR((FLOOR(((2*XLOOKUP(XLOOKUP($Q145,'Threshold Summary'!$Y:$Y,'Threshold Summary'!$K:$K,""),'Pokemon Editor'!$A:$A,'Pokemon Editor'!$F:$F,0)+31+FLOOR(XLOOKUP($Q145,'Threshold Summary'!$Y:$Y,'Threshold Summary'!$P:$P,"")/4))*XLOOKUP($Q145,'Threshold Summary'!$Y:$Y,'Threshold Summary'!$L:$L,""))/100)+5)*XLOOKUP(XLOOKUP($Q145,'Threshold Summary'!$Y:$Y,'Threshold Summary'!$M:$M,""),'Nature Editor'!$A:$A,'Nature Editor'!$B:$B,1)),FLOOR((FLOOR(((2*XLOOKUP(XLOOKUP($Q145,'Threshold Summary'!$Y:$Y,'Threshold Summary'!$K:$K,""),'Pokemon Editor'!$A:$A,'Pokemon Editor'!$H:$H,0)+31+FLOOR(XLOOKUP($Q145,'Threshold Summary'!$Y:$Y,'Threshold Summary'!$R:$R,"")/4))*XLOOKUP($Q145,'Threshold Summary'!$Y:$Y,'Threshold Summary'!$L:$L,""))/100)+5)*XLOOKUP(XLOOKUP($Q145,'Threshold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Editor'!$E:$E,1))),stab,IF(OR(mtype=XLOOKUP(XLOOKUP($Q145,'Threshold Summary'!$Y:$Y,'Threshold Summary'!$K:$K,""),'Pokemon Editor'!$A:$A,'Pokemon Editor'!$C:$C,""),mtype=XLOOKUP(XLOOKUP($Q145,'Threshold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Chart'!$B$1:$S$1,0)))),base,IF(OR(cat="Status",pow=0),0,FLOOR(FLOOR(FLOOR((2*XLOOKUP($Q145,'Threshold Summary'!$Y:$Y,'Threshold Summary'!$L:$L,"")/5+2)*pow*atk/def)/50)+2)),modifier,stab*eff,FLOOR(base*modifier*0.85)),0)</f>
        <v/>
      </c>
      <c r="K145" s="3">
        <f>IFERROR(LET(mtype,XLOOKUP($D145,'Move Editor'!$B:$B,'Move Editor'!$C:$C,""),cat,XLOOKUP($D145,'Move Editor'!$B:$B,'Move Editor'!$D:$D,""),pow,XLOOKUP($D145,'Move Editor'!$B:$B,'Move Editor'!$E:$E,0),acc,XLOOKUP($D145,'Move Editor'!$B:$B,'Move Editor'!$F:$F,100),atk,IF(cat="Physical",FLOOR((FLOOR(((2*XLOOKUP(XLOOKUP($Q145,'Threshold Summary'!$Y:$Y,'Threshold Summary'!$K:$K,""),'Pokemon Editor'!$A:$A,'Pokemon Editor'!$F:$F,0)+31+FLOOR(XLOOKUP($Q145,'Threshold Summary'!$Y:$Y,'Threshold Summary'!$P:$P,"")/4))*XLOOKUP($Q145,'Threshold Summary'!$Y:$Y,'Threshold Summary'!$L:$L,""))/100)+5)*XLOOKUP(XLOOKUP($Q145,'Threshold Summary'!$Y:$Y,'Threshold Summary'!$M:$M,""),'Nature Editor'!$A:$A,'Nature Editor'!$B:$B,1)),FLOOR((FLOOR(((2*XLOOKUP(XLOOKUP($Q145,'Threshold Summary'!$Y:$Y,'Threshold Summary'!$K:$K,""),'Pokemon Editor'!$A:$A,'Pokemon Editor'!$H:$H,0)+31+FLOOR(XLOOKUP($Q145,'Threshold Summary'!$Y:$Y,'Threshold Summary'!$R:$R,"")/4))*XLOOKUP($Q145,'Threshold Summary'!$Y:$Y,'Threshold Summary'!$L:$L,""))/100)+5)*XLOOKUP(XLOOKUP($Q145,'Threshold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Editor'!$E:$E,1))),stab,IF(OR(mtype=XLOOKUP(XLOOKUP($Q145,'Threshold Summary'!$Y:$Y,'Threshold Summary'!$K:$K,""),'Pokemon Editor'!$A:$A,'Pokemon Editor'!$C:$C,""),mtype=XLOOKUP(XLOOKUP($Q145,'Threshold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Chart'!$B$1:$S$1,0)))),base,IF(OR(cat="Status",pow=0),0,FLOOR(FLOOR(FLOOR((2*XLOOKUP($Q145,'Threshold Summary'!$Y:$Y,'Threshold Summary'!$L:$L,"")/5+2)*pow*atk/def)/50)+2)),modifier,stab*eff,FLOOR(base*modifier)),0)</f>
        <v/>
      </c>
      <c r="L145" s="3">
        <f>IFERROR(LET(mtype,XLOOKUP($D145,'Move Editor'!$B:$B,'Move Editor'!$C:$C,""),cat,XLOOKUP($D145,'Move Editor'!$B:$B,'Move Editor'!$D:$D,""),pow,XLOOKUP($D145,'Move Editor'!$B:$B,'Move Editor'!$E:$E,0),acc,XLOOKUP($D145,'Move Editor'!$B:$B,'Move Editor'!$F:$F,100),atk,IF(cat="Physical",FLOOR((FLOOR(((2*XLOOKUP(XLOOKUP($Q145,'Threshold Summary'!$Y:$Y,'Threshold Summary'!$K:$K,""),'Pokemon Editor'!$A:$A,'Pokemon Editor'!$F:$F,0)+31+FLOOR(XLOOKUP($Q145,'Threshold Summary'!$Y:$Y,'Threshold Summary'!$P:$P,"")/4))*XLOOKUP($Q145,'Threshold Summary'!$Y:$Y,'Threshold Summary'!$L:$L,""))/100)+5)*XLOOKUP(XLOOKUP($Q145,'Threshold Summary'!$Y:$Y,'Threshold Summary'!$M:$M,""),'Nature Editor'!$A:$A,'Nature Editor'!$B:$B,1)),FLOOR((FLOOR(((2*XLOOKUP(XLOOKUP($Q145,'Threshold Summary'!$Y:$Y,'Threshold Summary'!$K:$K,""),'Pokemon Editor'!$A:$A,'Pokemon Editor'!$H:$H,0)+31+FLOOR(XLOOKUP($Q145,'Threshold Summary'!$Y:$Y,'Threshold Summary'!$R:$R,"")/4))*XLOOKUP($Q145,'Threshold Summary'!$Y:$Y,'Threshold Summary'!$L:$L,""))/100)+5)*XLOOKUP(XLOOKUP($Q145,'Threshold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Editor'!$E:$E,1))),stab,IF(OR(mtype=XLOOKUP(XLOOKUP($Q145,'Threshold Summary'!$Y:$Y,'Threshold Summary'!$K:$K,""),'Pokemon Editor'!$A:$A,'Pokemon Editor'!$C:$C,""),mtype=XLOOKUP(XLOOKUP($Q145,'Threshold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Chart'!$B$1:$S$1,0)))),base,IF(OR(cat="Status",pow=0),0,FLOOR(FLOOR(FLOOR((2*XLOOKUP($Q145,'Threshold Summary'!$Y:$Y,'Threshold Summary'!$L:$L,"")/5+2)*pow*atk/def)/50)+2)),modifier,stab*eff,AVERAGE(ARRAYFORMULA(FLOOR(base*modifier*SEQUENCE(16,1,85,1)/100)))),0)</f>
        <v/>
      </c>
      <c r="M145" s="3">
        <f>IFERROR(LET(mtype,XLOOKUP($D145,'Move Editor'!$B:$B,'Move Editor'!$C:$C,""),cat,XLOOKUP($D145,'Move Editor'!$B:$B,'Move Editor'!$D:$D,""),pow,XLOOKUP($D145,'Move Editor'!$B:$B,'Move Editor'!$E:$E,0),acc,XLOOKUP($D145,'Move Editor'!$B:$B,'Move Editor'!$F:$F,100),atk,IF(cat="Physical",FLOOR((FLOOR(((2*XLOOKUP(XLOOKUP($Q145,'Threshold Summary'!$Y:$Y,'Threshold Summary'!$K:$K,""),'Pokemon Editor'!$A:$A,'Pokemon Editor'!$F:$F,0)+31+FLOOR(XLOOKUP($Q145,'Threshold Summary'!$Y:$Y,'Threshold Summary'!$P:$P,"")/4))*XLOOKUP($Q145,'Threshold Summary'!$Y:$Y,'Threshold Summary'!$L:$L,""))/100)+5)*XLOOKUP(XLOOKUP($Q145,'Threshold Summary'!$Y:$Y,'Threshold Summary'!$M:$M,""),'Nature Editor'!$A:$A,'Nature Editor'!$B:$B,1)),FLOOR((FLOOR(((2*XLOOKUP(XLOOKUP($Q145,'Threshold Summary'!$Y:$Y,'Threshold Summary'!$K:$K,""),'Pokemon Editor'!$A:$A,'Pokemon Editor'!$H:$H,0)+31+FLOOR(XLOOKUP($Q145,'Threshold Summary'!$Y:$Y,'Threshold Summary'!$R:$R,"")/4))*XLOOKUP($Q145,'Threshold Summary'!$Y:$Y,'Threshold Summary'!$L:$L,""))/100)+5)*XLOOKUP(XLOOKUP($Q145,'Threshold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Editor'!$E:$E,1))),stab,IF(OR(mtype=XLOOKUP(XLOOKUP($Q145,'Threshold Summary'!$Y:$Y,'Threshold Summary'!$K:$K,""),'Pokemon Editor'!$A:$A,'Pokemon Editor'!$C:$C,""),mtype=XLOOKUP(XLOOKUP($Q145,'Threshold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Chart'!$B$1:$S$1,0)))),base,IF(OR(cat="Status",pow=0),0,FLOOR(FLOOR(FLOOR((2*XLOOKUP($Q145,'Threshold Summary'!$Y:$Y,'Threshold Summary'!$L:$L,"")/5+2)*pow*atk/def)/50)+2)),modifier,stab*eff,AVERAGE(ARRAYFORMULA(FLOOR(base*modifier*SEQUENCE(16,1,85,1)/100)))*MIN(1,acc/100)),0)</f>
        <v/>
      </c>
      <c r="N145" s="4">
        <f>IFERROR(LET(mtype,XLOOKUP($D145,'Move Editor'!$B:$B,'Move Editor'!$C:$C,""),cat,XLOOKUP($D145,'Move Editor'!$B:$B,'Move Editor'!$D:$D,""),pow,XLOOKUP($D145,'Move Editor'!$B:$B,'Move Editor'!$E:$E,0),acc,XLOOKUP($D145,'Move Editor'!$B:$B,'Move Editor'!$F:$F,100),atk,IF(cat="Physical",FLOOR((FLOOR(((2*XLOOKUP(XLOOKUP($Q145,'Threshold Summary'!$Y:$Y,'Threshold Summary'!$K:$K,""),'Pokemon Editor'!$A:$A,'Pokemon Editor'!$F:$F,0)+31+FLOOR(XLOOKUP($Q145,'Threshold Summary'!$Y:$Y,'Threshold Summary'!$P:$P,"")/4))*XLOOKUP($Q145,'Threshold Summary'!$Y:$Y,'Threshold Summary'!$L:$L,""))/100)+5)*XLOOKUP(XLOOKUP($Q145,'Threshold Summary'!$Y:$Y,'Threshold Summary'!$M:$M,""),'Nature Editor'!$A:$A,'Nature Editor'!$B:$B,1)),FLOOR((FLOOR(((2*XLOOKUP(XLOOKUP($Q145,'Threshold Summary'!$Y:$Y,'Threshold Summary'!$K:$K,""),'Pokemon Editor'!$A:$A,'Pokemon Editor'!$H:$H,0)+31+FLOOR(XLOOKUP($Q145,'Threshold Summary'!$Y:$Y,'Threshold Summary'!$R:$R,"")/4))*XLOOKUP($Q145,'Threshold Summary'!$Y:$Y,'Threshold Summary'!$L:$L,""))/100)+5)*XLOOKUP(XLOOKUP($Q145,'Threshold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Editor'!$E:$E,1))),stab,IF(OR(mtype=XLOOKUP(XLOOKUP($Q145,'Threshold Summary'!$Y:$Y,'Threshold Summary'!$K:$K,""),'Pokemon Editor'!$A:$A,'Pokemon Editor'!$C:$C,""),mtype=XLOOKUP(XLOOKUP($Q145,'Threshold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Chart'!$B$1:$S$1,0)))),base,IF(OR(cat="Status",pow=0),0,FLOOR(FLOOR(FLOOR((2*XLOOKUP($Q145,'Threshold Summary'!$Y:$Y,'Threshold Summary'!$L:$L,"")/5+2)*pow*atk/def)/50)+2)),modifier,stab*eff,AVERAGE(ARRAYFORMULA(FLOOR(base*modifier*SEQUENCE(16,1,85,1)/100)))/(FLOOR(((2*XLOOKUP('Boss Editor'!$C$4,'Pokemon Editor'!$A:$A,'Pokemon Editor'!$E:$E,0)+31+FLOOR('Boss Editor'!$G$4/4))*'Boss Editor'!$D$4)/100)+'Boss Editor'!$D$4+10)),0)</f>
        <v/>
      </c>
      <c r="O145" s="3">
        <f>IF(N145&gt;=1,"OHKO",IF(N145&gt;=0.5,"2HKO",IF(N145&gt;=0.333,"3HKO",IF(N145&gt;=0.25,"4HKO","5HKO+"))))</f>
        <v/>
      </c>
      <c r="P145" s="3" t="inlineStr">
        <is>
          <t>Live from editable databases</t>
        </is>
      </c>
      <c r="Q145" s="3" t="inlineStr">
        <is>
          <t>SPECIES_TORCHIC</t>
        </is>
      </c>
      <c r="R145" s="3" t="n">
        <v>16</v>
      </c>
    </row>
    <row r="146">
      <c r="A146" s="3">
        <f>XLOOKUP($Q146,'Threshold Summary'!$Y:$Y,'Threshold Summary'!$A:$A,"")</f>
        <v/>
      </c>
      <c r="B146" s="3">
        <f>XLOOKUP($Q146,'Threshold Summary'!$Y:$Y,'Threshold Summary'!$M:$M,"")</f>
        <v/>
      </c>
      <c r="C146" s="3">
        <f>XLOOKUP($Q146,'Threshold Summary'!$Y:$Y,'Threshold Summary'!$N:$N,"")</f>
        <v/>
      </c>
      <c r="D146" s="3">
        <f>IFERROR(INDEX(FILTER('Learnset Editor'!$D$2:$D,'Learnset Editor'!$A$2:$A=XLOOKUP($Q146,'Threshold Summary'!$Y:$Y,'Threshold Summary'!$K:$K,""),'Learnset Editor'!$C$2:$C&lt;=XLOOKUP($Q146,'Threshold Summary'!$Y:$Y,'Threshold Summary'!$L:$L,"")),$R146),"")</f>
        <v/>
      </c>
      <c r="E146" s="3">
        <f>XLOOKUP(D146,'Move Editor'!$B:$B,'Move Editor'!$C:$C,"")</f>
        <v/>
      </c>
      <c r="F146" s="3">
        <f>XLOOKUP(D146,'Move Editor'!$B:$B,'Move Editor'!$D:$D,"")</f>
        <v/>
      </c>
      <c r="G146" s="3">
        <f>XLOOKUP(D146,'Move Editor'!$B:$B,'Move Editor'!$E:$E,0)</f>
        <v/>
      </c>
      <c r="H146" s="3">
        <f>XLOOKUP(D146,'Move Editor'!$B:$B,'Move Editor'!$F:$F,0)</f>
        <v/>
      </c>
      <c r="I146" s="3">
        <f>(INDEX('Type Chart'!$B:$S,MATCH(E146,'Type Chart'!$A:$A,0),MATCH(XLOOKUP('Boss Editor'!$C$4,'Pokemon Editor'!$A:$A,'Pokemon Editor'!$C:$C,""),'Type Chart'!$B$1:$S$1,0))*IF(XLOOKUP('Boss Editor'!$C$4,'Pokemon Editor'!$A:$A,'Pokemon Editor'!$D:$D,"")="",1,INDEX('Type Chart'!$B:$S,MATCH(E146,'Type Chart'!$A:$A,0),MATCH(XLOOKUP('Boss Editor'!$C$4,'Pokemon Editor'!$A:$A,'Pokemon Editor'!$D:$D,""),'Type Chart'!$B$1:$S$1,0))))</f>
        <v/>
      </c>
      <c r="J146" s="3">
        <f>IFERROR(LET(mtype,XLOOKUP($D146,'Move Editor'!$B:$B,'Move Editor'!$C:$C,""),cat,XLOOKUP($D146,'Move Editor'!$B:$B,'Move Editor'!$D:$D,""),pow,XLOOKUP($D146,'Move Editor'!$B:$B,'Move Editor'!$E:$E,0),acc,XLOOKUP($D146,'Move Editor'!$B:$B,'Move Editor'!$F:$F,100),atk,IF(cat="Physical",FLOOR((FLOOR(((2*XLOOKUP(XLOOKUP($Q146,'Threshold Summary'!$Y:$Y,'Threshold Summary'!$K:$K,""),'Pokemon Editor'!$A:$A,'Pokemon Editor'!$F:$F,0)+31+FLOOR(XLOOKUP($Q146,'Threshold Summary'!$Y:$Y,'Threshold Summary'!$P:$P,"")/4))*XLOOKUP($Q146,'Threshold Summary'!$Y:$Y,'Threshold Summary'!$L:$L,""))/100)+5)*XLOOKUP(XLOOKUP($Q146,'Threshold Summary'!$Y:$Y,'Threshold Summary'!$M:$M,""),'Nature Editor'!$A:$A,'Nature Editor'!$B:$B,1)),FLOOR((FLOOR(((2*XLOOKUP(XLOOKUP($Q146,'Threshold Summary'!$Y:$Y,'Threshold Summary'!$K:$K,""),'Pokemon Editor'!$A:$A,'Pokemon Editor'!$H:$H,0)+31+FLOOR(XLOOKUP($Q146,'Threshold Summary'!$Y:$Y,'Threshold Summary'!$R:$R,"")/4))*XLOOKUP($Q146,'Threshold Summary'!$Y:$Y,'Threshold Summary'!$L:$L,""))/100)+5)*XLOOKUP(XLOOKUP($Q146,'Threshold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Editor'!$E:$E,1))),stab,IF(OR(mtype=XLOOKUP(XLOOKUP($Q146,'Threshold Summary'!$Y:$Y,'Threshold Summary'!$K:$K,""),'Pokemon Editor'!$A:$A,'Pokemon Editor'!$C:$C,""),mtype=XLOOKUP(XLOOKUP($Q146,'Threshold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Chart'!$B$1:$S$1,0)))),base,IF(OR(cat="Status",pow=0),0,FLOOR(FLOOR(FLOOR((2*XLOOKUP($Q146,'Threshold Summary'!$Y:$Y,'Threshold Summary'!$L:$L,"")/5+2)*pow*atk/def)/50)+2)),modifier,stab*eff,FLOOR(base*modifier*0.85)),0)</f>
        <v/>
      </c>
      <c r="K146" s="3">
        <f>IFERROR(LET(mtype,XLOOKUP($D146,'Move Editor'!$B:$B,'Move Editor'!$C:$C,""),cat,XLOOKUP($D146,'Move Editor'!$B:$B,'Move Editor'!$D:$D,""),pow,XLOOKUP($D146,'Move Editor'!$B:$B,'Move Editor'!$E:$E,0),acc,XLOOKUP($D146,'Move Editor'!$B:$B,'Move Editor'!$F:$F,100),atk,IF(cat="Physical",FLOOR((FLOOR(((2*XLOOKUP(XLOOKUP($Q146,'Threshold Summary'!$Y:$Y,'Threshold Summary'!$K:$K,""),'Pokemon Editor'!$A:$A,'Pokemon Editor'!$F:$F,0)+31+FLOOR(XLOOKUP($Q146,'Threshold Summary'!$Y:$Y,'Threshold Summary'!$P:$P,"")/4))*XLOOKUP($Q146,'Threshold Summary'!$Y:$Y,'Threshold Summary'!$L:$L,""))/100)+5)*XLOOKUP(XLOOKUP($Q146,'Threshold Summary'!$Y:$Y,'Threshold Summary'!$M:$M,""),'Nature Editor'!$A:$A,'Nature Editor'!$B:$B,1)),FLOOR((FLOOR(((2*XLOOKUP(XLOOKUP($Q146,'Threshold Summary'!$Y:$Y,'Threshold Summary'!$K:$K,""),'Pokemon Editor'!$A:$A,'Pokemon Editor'!$H:$H,0)+31+FLOOR(XLOOKUP($Q146,'Threshold Summary'!$Y:$Y,'Threshold Summary'!$R:$R,"")/4))*XLOOKUP($Q146,'Threshold Summary'!$Y:$Y,'Threshold Summary'!$L:$L,""))/100)+5)*XLOOKUP(XLOOKUP($Q146,'Threshold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Editor'!$E:$E,1))),stab,IF(OR(mtype=XLOOKUP(XLOOKUP($Q146,'Threshold Summary'!$Y:$Y,'Threshold Summary'!$K:$K,""),'Pokemon Editor'!$A:$A,'Pokemon Editor'!$C:$C,""),mtype=XLOOKUP(XLOOKUP($Q146,'Threshold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Chart'!$B$1:$S$1,0)))),base,IF(OR(cat="Status",pow=0),0,FLOOR(FLOOR(FLOOR((2*XLOOKUP($Q146,'Threshold Summary'!$Y:$Y,'Threshold Summary'!$L:$L,"")/5+2)*pow*atk/def)/50)+2)),modifier,stab*eff,FLOOR(base*modifier)),0)</f>
        <v/>
      </c>
      <c r="L146" s="3">
        <f>IFERROR(LET(mtype,XLOOKUP($D146,'Move Editor'!$B:$B,'Move Editor'!$C:$C,""),cat,XLOOKUP($D146,'Move Editor'!$B:$B,'Move Editor'!$D:$D,""),pow,XLOOKUP($D146,'Move Editor'!$B:$B,'Move Editor'!$E:$E,0),acc,XLOOKUP($D146,'Move Editor'!$B:$B,'Move Editor'!$F:$F,100),atk,IF(cat="Physical",FLOOR((FLOOR(((2*XLOOKUP(XLOOKUP($Q146,'Threshold Summary'!$Y:$Y,'Threshold Summary'!$K:$K,""),'Pokemon Editor'!$A:$A,'Pokemon Editor'!$F:$F,0)+31+FLOOR(XLOOKUP($Q146,'Threshold Summary'!$Y:$Y,'Threshold Summary'!$P:$P,"")/4))*XLOOKUP($Q146,'Threshold Summary'!$Y:$Y,'Threshold Summary'!$L:$L,""))/100)+5)*XLOOKUP(XLOOKUP($Q146,'Threshold Summary'!$Y:$Y,'Threshold Summary'!$M:$M,""),'Nature Editor'!$A:$A,'Nature Editor'!$B:$B,1)),FLOOR((FLOOR(((2*XLOOKUP(XLOOKUP($Q146,'Threshold Summary'!$Y:$Y,'Threshold Summary'!$K:$K,""),'Pokemon Editor'!$A:$A,'Pokemon Editor'!$H:$H,0)+31+FLOOR(XLOOKUP($Q146,'Threshold Summary'!$Y:$Y,'Threshold Summary'!$R:$R,"")/4))*XLOOKUP($Q146,'Threshold Summary'!$Y:$Y,'Threshold Summary'!$L:$L,""))/100)+5)*XLOOKUP(XLOOKUP($Q146,'Threshold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Editor'!$E:$E,1))),stab,IF(OR(mtype=XLOOKUP(XLOOKUP($Q146,'Threshold Summary'!$Y:$Y,'Threshold Summary'!$K:$K,""),'Pokemon Editor'!$A:$A,'Pokemon Editor'!$C:$C,""),mtype=XLOOKUP(XLOOKUP($Q146,'Threshold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Chart'!$B$1:$S$1,0)))),base,IF(OR(cat="Status",pow=0),0,FLOOR(FLOOR(FLOOR((2*XLOOKUP($Q146,'Threshold Summary'!$Y:$Y,'Threshold Summary'!$L:$L,"")/5+2)*pow*atk/def)/50)+2)),modifier,stab*eff,AVERAGE(ARRAYFORMULA(FLOOR(base*modifier*SEQUENCE(16,1,85,1)/100)))),0)</f>
        <v/>
      </c>
      <c r="M146" s="3">
        <f>IFERROR(LET(mtype,XLOOKUP($D146,'Move Editor'!$B:$B,'Move Editor'!$C:$C,""),cat,XLOOKUP($D146,'Move Editor'!$B:$B,'Move Editor'!$D:$D,""),pow,XLOOKUP($D146,'Move Editor'!$B:$B,'Move Editor'!$E:$E,0),acc,XLOOKUP($D146,'Move Editor'!$B:$B,'Move Editor'!$F:$F,100),atk,IF(cat="Physical",FLOOR((FLOOR(((2*XLOOKUP(XLOOKUP($Q146,'Threshold Summary'!$Y:$Y,'Threshold Summary'!$K:$K,""),'Pokemon Editor'!$A:$A,'Pokemon Editor'!$F:$F,0)+31+FLOOR(XLOOKUP($Q146,'Threshold Summary'!$Y:$Y,'Threshold Summary'!$P:$P,"")/4))*XLOOKUP($Q146,'Threshold Summary'!$Y:$Y,'Threshold Summary'!$L:$L,""))/100)+5)*XLOOKUP(XLOOKUP($Q146,'Threshold Summary'!$Y:$Y,'Threshold Summary'!$M:$M,""),'Nature Editor'!$A:$A,'Nature Editor'!$B:$B,1)),FLOOR((FLOOR(((2*XLOOKUP(XLOOKUP($Q146,'Threshold Summary'!$Y:$Y,'Threshold Summary'!$K:$K,""),'Pokemon Editor'!$A:$A,'Pokemon Editor'!$H:$H,0)+31+FLOOR(XLOOKUP($Q146,'Threshold Summary'!$Y:$Y,'Threshold Summary'!$R:$R,"")/4))*XLOOKUP($Q146,'Threshold Summary'!$Y:$Y,'Threshold Summary'!$L:$L,""))/100)+5)*XLOOKUP(XLOOKUP($Q146,'Threshold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Editor'!$E:$E,1))),stab,IF(OR(mtype=XLOOKUP(XLOOKUP($Q146,'Threshold Summary'!$Y:$Y,'Threshold Summary'!$K:$K,""),'Pokemon Editor'!$A:$A,'Pokemon Editor'!$C:$C,""),mtype=XLOOKUP(XLOOKUP($Q146,'Threshold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Chart'!$B$1:$S$1,0)))),base,IF(OR(cat="Status",pow=0),0,FLOOR(FLOOR(FLOOR((2*XLOOKUP($Q146,'Threshold Summary'!$Y:$Y,'Threshold Summary'!$L:$L,"")/5+2)*pow*atk/def)/50)+2)),modifier,stab*eff,AVERAGE(ARRAYFORMULA(FLOOR(base*modifier*SEQUENCE(16,1,85,1)/100)))*MIN(1,acc/100)),0)</f>
        <v/>
      </c>
      <c r="N146" s="4">
        <f>IFERROR(LET(mtype,XLOOKUP($D146,'Move Editor'!$B:$B,'Move Editor'!$C:$C,""),cat,XLOOKUP($D146,'Move Editor'!$B:$B,'Move Editor'!$D:$D,""),pow,XLOOKUP($D146,'Move Editor'!$B:$B,'Move Editor'!$E:$E,0),acc,XLOOKUP($D146,'Move Editor'!$B:$B,'Move Editor'!$F:$F,100),atk,IF(cat="Physical",FLOOR((FLOOR(((2*XLOOKUP(XLOOKUP($Q146,'Threshold Summary'!$Y:$Y,'Threshold Summary'!$K:$K,""),'Pokemon Editor'!$A:$A,'Pokemon Editor'!$F:$F,0)+31+FLOOR(XLOOKUP($Q146,'Threshold Summary'!$Y:$Y,'Threshold Summary'!$P:$P,"")/4))*XLOOKUP($Q146,'Threshold Summary'!$Y:$Y,'Threshold Summary'!$L:$L,""))/100)+5)*XLOOKUP(XLOOKUP($Q146,'Threshold Summary'!$Y:$Y,'Threshold Summary'!$M:$M,""),'Nature Editor'!$A:$A,'Nature Editor'!$B:$B,1)),FLOOR((FLOOR(((2*XLOOKUP(XLOOKUP($Q146,'Threshold Summary'!$Y:$Y,'Threshold Summary'!$K:$K,""),'Pokemon Editor'!$A:$A,'Pokemon Editor'!$H:$H,0)+31+FLOOR(XLOOKUP($Q146,'Threshold Summary'!$Y:$Y,'Threshold Summary'!$R:$R,"")/4))*XLOOKUP($Q146,'Threshold Summary'!$Y:$Y,'Threshold Summary'!$L:$L,""))/100)+5)*XLOOKUP(XLOOKUP($Q146,'Threshold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Editor'!$E:$E,1))),stab,IF(OR(mtype=XLOOKUP(XLOOKUP($Q146,'Threshold Summary'!$Y:$Y,'Threshold Summary'!$K:$K,""),'Pokemon Editor'!$A:$A,'Pokemon Editor'!$C:$C,""),mtype=XLOOKUP(XLOOKUP($Q146,'Threshold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Chart'!$B$1:$S$1,0)))),base,IF(OR(cat="Status",pow=0),0,FLOOR(FLOOR(FLOOR((2*XLOOKUP($Q146,'Threshold Summary'!$Y:$Y,'Threshold Summary'!$L:$L,"")/5+2)*pow*atk/def)/50)+2)),modifier,stab*eff,AVERAGE(ARRAYFORMULA(FLOOR(base*modifier*SEQUENCE(16,1,85,1)/100)))/(FLOOR(((2*XLOOKUP('Boss Editor'!$C$4,'Pokemon Editor'!$A:$A,'Pokemon Editor'!$E:$E,0)+31+FLOOR('Boss Editor'!$G$4/4))*'Boss Editor'!$D$4)/100)+'Boss Editor'!$D$4+10)),0)</f>
        <v/>
      </c>
      <c r="O146" s="3">
        <f>IF(N146&gt;=1,"OHKO",IF(N146&gt;=0.5,"2HKO",IF(N146&gt;=0.333,"3HKO",IF(N146&gt;=0.25,"4HKO","5HKO+"))))</f>
        <v/>
      </c>
      <c r="P146" s="3" t="inlineStr">
        <is>
          <t>Live from editable databases</t>
        </is>
      </c>
      <c r="Q146" s="3" t="inlineStr">
        <is>
          <t>SPECIES_TORCHIC</t>
        </is>
      </c>
      <c r="R146" s="3" t="n">
        <v>17</v>
      </c>
    </row>
    <row r="147">
      <c r="A147" s="3">
        <f>XLOOKUP($Q147,'Threshold Summary'!$Y:$Y,'Threshold Summary'!$A:$A,"")</f>
        <v/>
      </c>
      <c r="B147" s="3">
        <f>XLOOKUP($Q147,'Threshold Summary'!$Y:$Y,'Threshold Summary'!$M:$M,"")</f>
        <v/>
      </c>
      <c r="C147" s="3">
        <f>XLOOKUP($Q147,'Threshold Summary'!$Y:$Y,'Threshold Summary'!$N:$N,"")</f>
        <v/>
      </c>
      <c r="D147" s="3">
        <f>IFERROR(INDEX(FILTER('Learnset Editor'!$D$2:$D,'Learnset Editor'!$A$2:$A=XLOOKUP($Q147,'Threshold Summary'!$Y:$Y,'Threshold Summary'!$K:$K,""),'Learnset Editor'!$C$2:$C&lt;=XLOOKUP($Q147,'Threshold Summary'!$Y:$Y,'Threshold Summary'!$L:$L,"")),$R147),"")</f>
        <v/>
      </c>
      <c r="E147" s="3">
        <f>XLOOKUP(D147,'Move Editor'!$B:$B,'Move Editor'!$C:$C,"")</f>
        <v/>
      </c>
      <c r="F147" s="3">
        <f>XLOOKUP(D147,'Move Editor'!$B:$B,'Move Editor'!$D:$D,"")</f>
        <v/>
      </c>
      <c r="G147" s="3">
        <f>XLOOKUP(D147,'Move Editor'!$B:$B,'Move Editor'!$E:$E,0)</f>
        <v/>
      </c>
      <c r="H147" s="3">
        <f>XLOOKUP(D147,'Move Editor'!$B:$B,'Move Editor'!$F:$F,0)</f>
        <v/>
      </c>
      <c r="I147" s="3">
        <f>(INDEX('Type Chart'!$B:$S,MATCH(E147,'Type Chart'!$A:$A,0),MATCH(XLOOKUP('Boss Editor'!$C$4,'Pokemon Editor'!$A:$A,'Pokemon Editor'!$C:$C,""),'Type Chart'!$B$1:$S$1,0))*IF(XLOOKUP('Boss Editor'!$C$4,'Pokemon Editor'!$A:$A,'Pokemon Editor'!$D:$D,"")="",1,INDEX('Type Chart'!$B:$S,MATCH(E147,'Type Chart'!$A:$A,0),MATCH(XLOOKUP('Boss Editor'!$C$4,'Pokemon Editor'!$A:$A,'Pokemon Editor'!$D:$D,""),'Type Chart'!$B$1:$S$1,0))))</f>
        <v/>
      </c>
      <c r="J147" s="3">
        <f>IFERROR(LET(mtype,XLOOKUP($D147,'Move Editor'!$B:$B,'Move Editor'!$C:$C,""),cat,XLOOKUP($D147,'Move Editor'!$B:$B,'Move Editor'!$D:$D,""),pow,XLOOKUP($D147,'Move Editor'!$B:$B,'Move Editor'!$E:$E,0),acc,XLOOKUP($D147,'Move Editor'!$B:$B,'Move Editor'!$F:$F,100),atk,IF(cat="Physical",FLOOR((FLOOR(((2*XLOOKUP(XLOOKUP($Q147,'Threshold Summary'!$Y:$Y,'Threshold Summary'!$K:$K,""),'Pokemon Editor'!$A:$A,'Pokemon Editor'!$F:$F,0)+31+FLOOR(XLOOKUP($Q147,'Threshold Summary'!$Y:$Y,'Threshold Summary'!$P:$P,"")/4))*XLOOKUP($Q147,'Threshold Summary'!$Y:$Y,'Threshold Summary'!$L:$L,""))/100)+5)*XLOOKUP(XLOOKUP($Q147,'Threshold Summary'!$Y:$Y,'Threshold Summary'!$M:$M,""),'Nature Editor'!$A:$A,'Nature Editor'!$B:$B,1)),FLOOR((FLOOR(((2*XLOOKUP(XLOOKUP($Q147,'Threshold Summary'!$Y:$Y,'Threshold Summary'!$K:$K,""),'Pokemon Editor'!$A:$A,'Pokemon Editor'!$H:$H,0)+31+FLOOR(XLOOKUP($Q147,'Threshold Summary'!$Y:$Y,'Threshold Summary'!$R:$R,"")/4))*XLOOKUP($Q147,'Threshold Summary'!$Y:$Y,'Threshold Summary'!$L:$L,""))/100)+5)*XLOOKUP(XLOOKUP($Q147,'Threshold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Editor'!$E:$E,1))),stab,IF(OR(mtype=XLOOKUP(XLOOKUP($Q147,'Threshold Summary'!$Y:$Y,'Threshold Summary'!$K:$K,""),'Pokemon Editor'!$A:$A,'Pokemon Editor'!$C:$C,""),mtype=XLOOKUP(XLOOKUP($Q147,'Threshold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Chart'!$B$1:$S$1,0)))),base,IF(OR(cat="Status",pow=0),0,FLOOR(FLOOR(FLOOR((2*XLOOKUP($Q147,'Threshold Summary'!$Y:$Y,'Threshold Summary'!$L:$L,"")/5+2)*pow*atk/def)/50)+2)),modifier,stab*eff,FLOOR(base*modifier*0.85)),0)</f>
        <v/>
      </c>
      <c r="K147" s="3">
        <f>IFERROR(LET(mtype,XLOOKUP($D147,'Move Editor'!$B:$B,'Move Editor'!$C:$C,""),cat,XLOOKUP($D147,'Move Editor'!$B:$B,'Move Editor'!$D:$D,""),pow,XLOOKUP($D147,'Move Editor'!$B:$B,'Move Editor'!$E:$E,0),acc,XLOOKUP($D147,'Move Editor'!$B:$B,'Move Editor'!$F:$F,100),atk,IF(cat="Physical",FLOOR((FLOOR(((2*XLOOKUP(XLOOKUP($Q147,'Threshold Summary'!$Y:$Y,'Threshold Summary'!$K:$K,""),'Pokemon Editor'!$A:$A,'Pokemon Editor'!$F:$F,0)+31+FLOOR(XLOOKUP($Q147,'Threshold Summary'!$Y:$Y,'Threshold Summary'!$P:$P,"")/4))*XLOOKUP($Q147,'Threshold Summary'!$Y:$Y,'Threshold Summary'!$L:$L,""))/100)+5)*XLOOKUP(XLOOKUP($Q147,'Threshold Summary'!$Y:$Y,'Threshold Summary'!$M:$M,""),'Nature Editor'!$A:$A,'Nature Editor'!$B:$B,1)),FLOOR((FLOOR(((2*XLOOKUP(XLOOKUP($Q147,'Threshold Summary'!$Y:$Y,'Threshold Summary'!$K:$K,""),'Pokemon Editor'!$A:$A,'Pokemon Editor'!$H:$H,0)+31+FLOOR(XLOOKUP($Q147,'Threshold Summary'!$Y:$Y,'Threshold Summary'!$R:$R,"")/4))*XLOOKUP($Q147,'Threshold Summary'!$Y:$Y,'Threshold Summary'!$L:$L,""))/100)+5)*XLOOKUP(XLOOKUP($Q147,'Threshold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Editor'!$E:$E,1))),stab,IF(OR(mtype=XLOOKUP(XLOOKUP($Q147,'Threshold Summary'!$Y:$Y,'Threshold Summary'!$K:$K,""),'Pokemon Editor'!$A:$A,'Pokemon Editor'!$C:$C,""),mtype=XLOOKUP(XLOOKUP($Q147,'Threshold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Chart'!$B$1:$S$1,0)))),base,IF(OR(cat="Status",pow=0),0,FLOOR(FLOOR(FLOOR((2*XLOOKUP($Q147,'Threshold Summary'!$Y:$Y,'Threshold Summary'!$L:$L,"")/5+2)*pow*atk/def)/50)+2)),modifier,stab*eff,FLOOR(base*modifier)),0)</f>
        <v/>
      </c>
      <c r="L147" s="3">
        <f>IFERROR(LET(mtype,XLOOKUP($D147,'Move Editor'!$B:$B,'Move Editor'!$C:$C,""),cat,XLOOKUP($D147,'Move Editor'!$B:$B,'Move Editor'!$D:$D,""),pow,XLOOKUP($D147,'Move Editor'!$B:$B,'Move Editor'!$E:$E,0),acc,XLOOKUP($D147,'Move Editor'!$B:$B,'Move Editor'!$F:$F,100),atk,IF(cat="Physical",FLOOR((FLOOR(((2*XLOOKUP(XLOOKUP($Q147,'Threshold Summary'!$Y:$Y,'Threshold Summary'!$K:$K,""),'Pokemon Editor'!$A:$A,'Pokemon Editor'!$F:$F,0)+31+FLOOR(XLOOKUP($Q147,'Threshold Summary'!$Y:$Y,'Threshold Summary'!$P:$P,"")/4))*XLOOKUP($Q147,'Threshold Summary'!$Y:$Y,'Threshold Summary'!$L:$L,""))/100)+5)*XLOOKUP(XLOOKUP($Q147,'Threshold Summary'!$Y:$Y,'Threshold Summary'!$M:$M,""),'Nature Editor'!$A:$A,'Nature Editor'!$B:$B,1)),FLOOR((FLOOR(((2*XLOOKUP(XLOOKUP($Q147,'Threshold Summary'!$Y:$Y,'Threshold Summary'!$K:$K,""),'Pokemon Editor'!$A:$A,'Pokemon Editor'!$H:$H,0)+31+FLOOR(XLOOKUP($Q147,'Threshold Summary'!$Y:$Y,'Threshold Summary'!$R:$R,"")/4))*XLOOKUP($Q147,'Threshold Summary'!$Y:$Y,'Threshold Summary'!$L:$L,""))/100)+5)*XLOOKUP(XLOOKUP($Q147,'Threshold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Editor'!$E:$E,1))),stab,IF(OR(mtype=XLOOKUP(XLOOKUP($Q147,'Threshold Summary'!$Y:$Y,'Threshold Summary'!$K:$K,""),'Pokemon Editor'!$A:$A,'Pokemon Editor'!$C:$C,""),mtype=XLOOKUP(XLOOKUP($Q147,'Threshold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Chart'!$B$1:$S$1,0)))),base,IF(OR(cat="Status",pow=0),0,FLOOR(FLOOR(FLOOR((2*XLOOKUP($Q147,'Threshold Summary'!$Y:$Y,'Threshold Summary'!$L:$L,"")/5+2)*pow*atk/def)/50)+2)),modifier,stab*eff,AVERAGE(ARRAYFORMULA(FLOOR(base*modifier*SEQUENCE(16,1,85,1)/100)))),0)</f>
        <v/>
      </c>
      <c r="M147" s="3">
        <f>IFERROR(LET(mtype,XLOOKUP($D147,'Move Editor'!$B:$B,'Move Editor'!$C:$C,""),cat,XLOOKUP($D147,'Move Editor'!$B:$B,'Move Editor'!$D:$D,""),pow,XLOOKUP($D147,'Move Editor'!$B:$B,'Move Editor'!$E:$E,0),acc,XLOOKUP($D147,'Move Editor'!$B:$B,'Move Editor'!$F:$F,100),atk,IF(cat="Physical",FLOOR((FLOOR(((2*XLOOKUP(XLOOKUP($Q147,'Threshold Summary'!$Y:$Y,'Threshold Summary'!$K:$K,""),'Pokemon Editor'!$A:$A,'Pokemon Editor'!$F:$F,0)+31+FLOOR(XLOOKUP($Q147,'Threshold Summary'!$Y:$Y,'Threshold Summary'!$P:$P,"")/4))*XLOOKUP($Q147,'Threshold Summary'!$Y:$Y,'Threshold Summary'!$L:$L,""))/100)+5)*XLOOKUP(XLOOKUP($Q147,'Threshold Summary'!$Y:$Y,'Threshold Summary'!$M:$M,""),'Nature Editor'!$A:$A,'Nature Editor'!$B:$B,1)),FLOOR((FLOOR(((2*XLOOKUP(XLOOKUP($Q147,'Threshold Summary'!$Y:$Y,'Threshold Summary'!$K:$K,""),'Pokemon Editor'!$A:$A,'Pokemon Editor'!$H:$H,0)+31+FLOOR(XLOOKUP($Q147,'Threshold Summary'!$Y:$Y,'Threshold Summary'!$R:$R,"")/4))*XLOOKUP($Q147,'Threshold Summary'!$Y:$Y,'Threshold Summary'!$L:$L,""))/100)+5)*XLOOKUP(XLOOKUP($Q147,'Threshold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Editor'!$E:$E,1))),stab,IF(OR(mtype=XLOOKUP(XLOOKUP($Q147,'Threshold Summary'!$Y:$Y,'Threshold Summary'!$K:$K,""),'Pokemon Editor'!$A:$A,'Pokemon Editor'!$C:$C,""),mtype=XLOOKUP(XLOOKUP($Q147,'Threshold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Chart'!$B$1:$S$1,0)))),base,IF(OR(cat="Status",pow=0),0,FLOOR(FLOOR(FLOOR((2*XLOOKUP($Q147,'Threshold Summary'!$Y:$Y,'Threshold Summary'!$L:$L,"")/5+2)*pow*atk/def)/50)+2)),modifier,stab*eff,AVERAGE(ARRAYFORMULA(FLOOR(base*modifier*SEQUENCE(16,1,85,1)/100)))*MIN(1,acc/100)),0)</f>
        <v/>
      </c>
      <c r="N147" s="4">
        <f>IFERROR(LET(mtype,XLOOKUP($D147,'Move Editor'!$B:$B,'Move Editor'!$C:$C,""),cat,XLOOKUP($D147,'Move Editor'!$B:$B,'Move Editor'!$D:$D,""),pow,XLOOKUP($D147,'Move Editor'!$B:$B,'Move Editor'!$E:$E,0),acc,XLOOKUP($D147,'Move Editor'!$B:$B,'Move Editor'!$F:$F,100),atk,IF(cat="Physical",FLOOR((FLOOR(((2*XLOOKUP(XLOOKUP($Q147,'Threshold Summary'!$Y:$Y,'Threshold Summary'!$K:$K,""),'Pokemon Editor'!$A:$A,'Pokemon Editor'!$F:$F,0)+31+FLOOR(XLOOKUP($Q147,'Threshold Summary'!$Y:$Y,'Threshold Summary'!$P:$P,"")/4))*XLOOKUP($Q147,'Threshold Summary'!$Y:$Y,'Threshold Summary'!$L:$L,""))/100)+5)*XLOOKUP(XLOOKUP($Q147,'Threshold Summary'!$Y:$Y,'Threshold Summary'!$M:$M,""),'Nature Editor'!$A:$A,'Nature Editor'!$B:$B,1)),FLOOR((FLOOR(((2*XLOOKUP(XLOOKUP($Q147,'Threshold Summary'!$Y:$Y,'Threshold Summary'!$K:$K,""),'Pokemon Editor'!$A:$A,'Pokemon Editor'!$H:$H,0)+31+FLOOR(XLOOKUP($Q147,'Threshold Summary'!$Y:$Y,'Threshold Summary'!$R:$R,"")/4))*XLOOKUP($Q147,'Threshold Summary'!$Y:$Y,'Threshold Summary'!$L:$L,""))/100)+5)*XLOOKUP(XLOOKUP($Q147,'Threshold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Editor'!$E:$E,1))),stab,IF(OR(mtype=XLOOKUP(XLOOKUP($Q147,'Threshold Summary'!$Y:$Y,'Threshold Summary'!$K:$K,""),'Pokemon Editor'!$A:$A,'Pokemon Editor'!$C:$C,""),mtype=XLOOKUP(XLOOKUP($Q147,'Threshold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Chart'!$B$1:$S$1,0)))),base,IF(OR(cat="Status",pow=0),0,FLOOR(FLOOR(FLOOR((2*XLOOKUP($Q147,'Threshold Summary'!$Y:$Y,'Threshold Summary'!$L:$L,"")/5+2)*pow*atk/def)/50)+2)),modifier,stab*eff,AVERAGE(ARRAYFORMULA(FLOOR(base*modifier*SEQUENCE(16,1,85,1)/100)))/(FLOOR(((2*XLOOKUP('Boss Editor'!$C$4,'Pokemon Editor'!$A:$A,'Pokemon Editor'!$E:$E,0)+31+FLOOR('Boss Editor'!$G$4/4))*'Boss Editor'!$D$4)/100)+'Boss Editor'!$D$4+10)),0)</f>
        <v/>
      </c>
      <c r="O147" s="3">
        <f>IF(N147&gt;=1,"OHKO",IF(N147&gt;=0.5,"2HKO",IF(N147&gt;=0.333,"3HKO",IF(N147&gt;=0.25,"4HKO","5HKO+"))))</f>
        <v/>
      </c>
      <c r="P147" s="3" t="inlineStr">
        <is>
          <t>Live from editable databases</t>
        </is>
      </c>
      <c r="Q147" s="3" t="inlineStr">
        <is>
          <t>SPECIES_TORCHIC</t>
        </is>
      </c>
      <c r="R147" s="3" t="n">
        <v>18</v>
      </c>
    </row>
    <row r="148">
      <c r="A148" s="3">
        <f>XLOOKUP($Q148,'Threshold Summary'!$Y:$Y,'Threshold Summary'!$A:$A,"")</f>
        <v/>
      </c>
      <c r="B148" s="3">
        <f>XLOOKUP($Q148,'Threshold Summary'!$Y:$Y,'Threshold Summary'!$M:$M,"")</f>
        <v/>
      </c>
      <c r="C148" s="3">
        <f>XLOOKUP($Q148,'Threshold Summary'!$Y:$Y,'Threshold Summary'!$N:$N,"")</f>
        <v/>
      </c>
      <c r="D148" s="3">
        <f>IFERROR(INDEX(FILTER('Learnset Editor'!$D$2:$D,'Learnset Editor'!$A$2:$A=XLOOKUP($Q148,'Threshold Summary'!$Y:$Y,'Threshold Summary'!$K:$K,""),'Learnset Editor'!$C$2:$C&lt;=XLOOKUP($Q148,'Threshold Summary'!$Y:$Y,'Threshold Summary'!$L:$L,"")),$R148),"")</f>
        <v/>
      </c>
      <c r="E148" s="3">
        <f>XLOOKUP(D148,'Move Editor'!$B:$B,'Move Editor'!$C:$C,"")</f>
        <v/>
      </c>
      <c r="F148" s="3">
        <f>XLOOKUP(D148,'Move Editor'!$B:$B,'Move Editor'!$D:$D,"")</f>
        <v/>
      </c>
      <c r="G148" s="3">
        <f>XLOOKUP(D148,'Move Editor'!$B:$B,'Move Editor'!$E:$E,0)</f>
        <v/>
      </c>
      <c r="H148" s="3">
        <f>XLOOKUP(D148,'Move Editor'!$B:$B,'Move Editor'!$F:$F,0)</f>
        <v/>
      </c>
      <c r="I148" s="3">
        <f>(INDEX('Type Chart'!$B:$S,MATCH(E148,'Type Chart'!$A:$A,0),MATCH(XLOOKUP('Boss Editor'!$C$4,'Pokemon Editor'!$A:$A,'Pokemon Editor'!$C:$C,""),'Type Chart'!$B$1:$S$1,0))*IF(XLOOKUP('Boss Editor'!$C$4,'Pokemon Editor'!$A:$A,'Pokemon Editor'!$D:$D,"")="",1,INDEX('Type Chart'!$B:$S,MATCH(E148,'Type Chart'!$A:$A,0),MATCH(XLOOKUP('Boss Editor'!$C$4,'Pokemon Editor'!$A:$A,'Pokemon Editor'!$D:$D,""),'Type Chart'!$B$1:$S$1,0))))</f>
        <v/>
      </c>
      <c r="J148" s="3">
        <f>IFERROR(LET(mtype,XLOOKUP($D148,'Move Editor'!$B:$B,'Move Editor'!$C:$C,""),cat,XLOOKUP($D148,'Move Editor'!$B:$B,'Move Editor'!$D:$D,""),pow,XLOOKUP($D148,'Move Editor'!$B:$B,'Move Editor'!$E:$E,0),acc,XLOOKUP($D148,'Move Editor'!$B:$B,'Move Editor'!$F:$F,100),atk,IF(cat="Physical",FLOOR((FLOOR(((2*XLOOKUP(XLOOKUP($Q148,'Threshold Summary'!$Y:$Y,'Threshold Summary'!$K:$K,""),'Pokemon Editor'!$A:$A,'Pokemon Editor'!$F:$F,0)+31+FLOOR(XLOOKUP($Q148,'Threshold Summary'!$Y:$Y,'Threshold Summary'!$P:$P,"")/4))*XLOOKUP($Q148,'Threshold Summary'!$Y:$Y,'Threshold Summary'!$L:$L,""))/100)+5)*XLOOKUP(XLOOKUP($Q148,'Threshold Summary'!$Y:$Y,'Threshold Summary'!$M:$M,""),'Nature Editor'!$A:$A,'Nature Editor'!$B:$B,1)),FLOOR((FLOOR(((2*XLOOKUP(XLOOKUP($Q148,'Threshold Summary'!$Y:$Y,'Threshold Summary'!$K:$K,""),'Pokemon Editor'!$A:$A,'Pokemon Editor'!$H:$H,0)+31+FLOOR(XLOOKUP($Q148,'Threshold Summary'!$Y:$Y,'Threshold Summary'!$R:$R,"")/4))*XLOOKUP($Q148,'Threshold Summary'!$Y:$Y,'Threshold Summary'!$L:$L,""))/100)+5)*XLOOKUP(XLOOKUP($Q148,'Threshold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Editor'!$E:$E,1))),stab,IF(OR(mtype=XLOOKUP(XLOOKUP($Q148,'Threshold Summary'!$Y:$Y,'Threshold Summary'!$K:$K,""),'Pokemon Editor'!$A:$A,'Pokemon Editor'!$C:$C,""),mtype=XLOOKUP(XLOOKUP($Q148,'Threshold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Chart'!$B$1:$S$1,0)))),base,IF(OR(cat="Status",pow=0),0,FLOOR(FLOOR(FLOOR((2*XLOOKUP($Q148,'Threshold Summary'!$Y:$Y,'Threshold Summary'!$L:$L,"")/5+2)*pow*atk/def)/50)+2)),modifier,stab*eff,FLOOR(base*modifier*0.85)),0)</f>
        <v/>
      </c>
      <c r="K148" s="3">
        <f>IFERROR(LET(mtype,XLOOKUP($D148,'Move Editor'!$B:$B,'Move Editor'!$C:$C,""),cat,XLOOKUP($D148,'Move Editor'!$B:$B,'Move Editor'!$D:$D,""),pow,XLOOKUP($D148,'Move Editor'!$B:$B,'Move Editor'!$E:$E,0),acc,XLOOKUP($D148,'Move Editor'!$B:$B,'Move Editor'!$F:$F,100),atk,IF(cat="Physical",FLOOR((FLOOR(((2*XLOOKUP(XLOOKUP($Q148,'Threshold Summary'!$Y:$Y,'Threshold Summary'!$K:$K,""),'Pokemon Editor'!$A:$A,'Pokemon Editor'!$F:$F,0)+31+FLOOR(XLOOKUP($Q148,'Threshold Summary'!$Y:$Y,'Threshold Summary'!$P:$P,"")/4))*XLOOKUP($Q148,'Threshold Summary'!$Y:$Y,'Threshold Summary'!$L:$L,""))/100)+5)*XLOOKUP(XLOOKUP($Q148,'Threshold Summary'!$Y:$Y,'Threshold Summary'!$M:$M,""),'Nature Editor'!$A:$A,'Nature Editor'!$B:$B,1)),FLOOR((FLOOR(((2*XLOOKUP(XLOOKUP($Q148,'Threshold Summary'!$Y:$Y,'Threshold Summary'!$K:$K,""),'Pokemon Editor'!$A:$A,'Pokemon Editor'!$H:$H,0)+31+FLOOR(XLOOKUP($Q148,'Threshold Summary'!$Y:$Y,'Threshold Summary'!$R:$R,"")/4))*XLOOKUP($Q148,'Threshold Summary'!$Y:$Y,'Threshold Summary'!$L:$L,""))/100)+5)*XLOOKUP(XLOOKUP($Q148,'Threshold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Editor'!$E:$E,1))),stab,IF(OR(mtype=XLOOKUP(XLOOKUP($Q148,'Threshold Summary'!$Y:$Y,'Threshold Summary'!$K:$K,""),'Pokemon Editor'!$A:$A,'Pokemon Editor'!$C:$C,""),mtype=XLOOKUP(XLOOKUP($Q148,'Threshold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Chart'!$B$1:$S$1,0)))),base,IF(OR(cat="Status",pow=0),0,FLOOR(FLOOR(FLOOR((2*XLOOKUP($Q148,'Threshold Summary'!$Y:$Y,'Threshold Summary'!$L:$L,"")/5+2)*pow*atk/def)/50)+2)),modifier,stab*eff,FLOOR(base*modifier)),0)</f>
        <v/>
      </c>
      <c r="L148" s="3">
        <f>IFERROR(LET(mtype,XLOOKUP($D148,'Move Editor'!$B:$B,'Move Editor'!$C:$C,""),cat,XLOOKUP($D148,'Move Editor'!$B:$B,'Move Editor'!$D:$D,""),pow,XLOOKUP($D148,'Move Editor'!$B:$B,'Move Editor'!$E:$E,0),acc,XLOOKUP($D148,'Move Editor'!$B:$B,'Move Editor'!$F:$F,100),atk,IF(cat="Physical",FLOOR((FLOOR(((2*XLOOKUP(XLOOKUP($Q148,'Threshold Summary'!$Y:$Y,'Threshold Summary'!$K:$K,""),'Pokemon Editor'!$A:$A,'Pokemon Editor'!$F:$F,0)+31+FLOOR(XLOOKUP($Q148,'Threshold Summary'!$Y:$Y,'Threshold Summary'!$P:$P,"")/4))*XLOOKUP($Q148,'Threshold Summary'!$Y:$Y,'Threshold Summary'!$L:$L,""))/100)+5)*XLOOKUP(XLOOKUP($Q148,'Threshold Summary'!$Y:$Y,'Threshold Summary'!$M:$M,""),'Nature Editor'!$A:$A,'Nature Editor'!$B:$B,1)),FLOOR((FLOOR(((2*XLOOKUP(XLOOKUP($Q148,'Threshold Summary'!$Y:$Y,'Threshold Summary'!$K:$K,""),'Pokemon Editor'!$A:$A,'Pokemon Editor'!$H:$H,0)+31+FLOOR(XLOOKUP($Q148,'Threshold Summary'!$Y:$Y,'Threshold Summary'!$R:$R,"")/4))*XLOOKUP($Q148,'Threshold Summary'!$Y:$Y,'Threshold Summary'!$L:$L,""))/100)+5)*XLOOKUP(XLOOKUP($Q148,'Threshold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Editor'!$E:$E,1))),stab,IF(OR(mtype=XLOOKUP(XLOOKUP($Q148,'Threshold Summary'!$Y:$Y,'Threshold Summary'!$K:$K,""),'Pokemon Editor'!$A:$A,'Pokemon Editor'!$C:$C,""),mtype=XLOOKUP(XLOOKUP($Q148,'Threshold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Chart'!$B$1:$S$1,0)))),base,IF(OR(cat="Status",pow=0),0,FLOOR(FLOOR(FLOOR((2*XLOOKUP($Q148,'Threshold Summary'!$Y:$Y,'Threshold Summary'!$L:$L,"")/5+2)*pow*atk/def)/50)+2)),modifier,stab*eff,AVERAGE(ARRAYFORMULA(FLOOR(base*modifier*SEQUENCE(16,1,85,1)/100)))),0)</f>
        <v/>
      </c>
      <c r="M148" s="3">
        <f>IFERROR(LET(mtype,XLOOKUP($D148,'Move Editor'!$B:$B,'Move Editor'!$C:$C,""),cat,XLOOKUP($D148,'Move Editor'!$B:$B,'Move Editor'!$D:$D,""),pow,XLOOKUP($D148,'Move Editor'!$B:$B,'Move Editor'!$E:$E,0),acc,XLOOKUP($D148,'Move Editor'!$B:$B,'Move Editor'!$F:$F,100),atk,IF(cat="Physical",FLOOR((FLOOR(((2*XLOOKUP(XLOOKUP($Q148,'Threshold Summary'!$Y:$Y,'Threshold Summary'!$K:$K,""),'Pokemon Editor'!$A:$A,'Pokemon Editor'!$F:$F,0)+31+FLOOR(XLOOKUP($Q148,'Threshold Summary'!$Y:$Y,'Threshold Summary'!$P:$P,"")/4))*XLOOKUP($Q148,'Threshold Summary'!$Y:$Y,'Threshold Summary'!$L:$L,""))/100)+5)*XLOOKUP(XLOOKUP($Q148,'Threshold Summary'!$Y:$Y,'Threshold Summary'!$M:$M,""),'Nature Editor'!$A:$A,'Nature Editor'!$B:$B,1)),FLOOR((FLOOR(((2*XLOOKUP(XLOOKUP($Q148,'Threshold Summary'!$Y:$Y,'Threshold Summary'!$K:$K,""),'Pokemon Editor'!$A:$A,'Pokemon Editor'!$H:$H,0)+31+FLOOR(XLOOKUP($Q148,'Threshold Summary'!$Y:$Y,'Threshold Summary'!$R:$R,"")/4))*XLOOKUP($Q148,'Threshold Summary'!$Y:$Y,'Threshold Summary'!$L:$L,""))/100)+5)*XLOOKUP(XLOOKUP($Q148,'Threshold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Editor'!$E:$E,1))),stab,IF(OR(mtype=XLOOKUP(XLOOKUP($Q148,'Threshold Summary'!$Y:$Y,'Threshold Summary'!$K:$K,""),'Pokemon Editor'!$A:$A,'Pokemon Editor'!$C:$C,""),mtype=XLOOKUP(XLOOKUP($Q148,'Threshold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Chart'!$B$1:$S$1,0)))),base,IF(OR(cat="Status",pow=0),0,FLOOR(FLOOR(FLOOR((2*XLOOKUP($Q148,'Threshold Summary'!$Y:$Y,'Threshold Summary'!$L:$L,"")/5+2)*pow*atk/def)/50)+2)),modifier,stab*eff,AVERAGE(ARRAYFORMULA(FLOOR(base*modifier*SEQUENCE(16,1,85,1)/100)))*MIN(1,acc/100)),0)</f>
        <v/>
      </c>
      <c r="N148" s="4">
        <f>IFERROR(LET(mtype,XLOOKUP($D148,'Move Editor'!$B:$B,'Move Editor'!$C:$C,""),cat,XLOOKUP($D148,'Move Editor'!$B:$B,'Move Editor'!$D:$D,""),pow,XLOOKUP($D148,'Move Editor'!$B:$B,'Move Editor'!$E:$E,0),acc,XLOOKUP($D148,'Move Editor'!$B:$B,'Move Editor'!$F:$F,100),atk,IF(cat="Physical",FLOOR((FLOOR(((2*XLOOKUP(XLOOKUP($Q148,'Threshold Summary'!$Y:$Y,'Threshold Summary'!$K:$K,""),'Pokemon Editor'!$A:$A,'Pokemon Editor'!$F:$F,0)+31+FLOOR(XLOOKUP($Q148,'Threshold Summary'!$Y:$Y,'Threshold Summary'!$P:$P,"")/4))*XLOOKUP($Q148,'Threshold Summary'!$Y:$Y,'Threshold Summary'!$L:$L,""))/100)+5)*XLOOKUP(XLOOKUP($Q148,'Threshold Summary'!$Y:$Y,'Threshold Summary'!$M:$M,""),'Nature Editor'!$A:$A,'Nature Editor'!$B:$B,1)),FLOOR((FLOOR(((2*XLOOKUP(XLOOKUP($Q148,'Threshold Summary'!$Y:$Y,'Threshold Summary'!$K:$K,""),'Pokemon Editor'!$A:$A,'Pokemon Editor'!$H:$H,0)+31+FLOOR(XLOOKUP($Q148,'Threshold Summary'!$Y:$Y,'Threshold Summary'!$R:$R,"")/4))*XLOOKUP($Q148,'Threshold Summary'!$Y:$Y,'Threshold Summary'!$L:$L,""))/100)+5)*XLOOKUP(XLOOKUP($Q148,'Threshold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Editor'!$E:$E,1))),stab,IF(OR(mtype=XLOOKUP(XLOOKUP($Q148,'Threshold Summary'!$Y:$Y,'Threshold Summary'!$K:$K,""),'Pokemon Editor'!$A:$A,'Pokemon Editor'!$C:$C,""),mtype=XLOOKUP(XLOOKUP($Q148,'Threshold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Chart'!$B$1:$S$1,0)))),base,IF(OR(cat="Status",pow=0),0,FLOOR(FLOOR(FLOOR((2*XLOOKUP($Q148,'Threshold Summary'!$Y:$Y,'Threshold Summary'!$L:$L,"")/5+2)*pow*atk/def)/50)+2)),modifier,stab*eff,AVERAGE(ARRAYFORMULA(FLOOR(base*modifier*SEQUENCE(16,1,85,1)/100)))/(FLOOR(((2*XLOOKUP('Boss Editor'!$C$4,'Pokemon Editor'!$A:$A,'Pokemon Editor'!$E:$E,0)+31+FLOOR('Boss Editor'!$G$4/4))*'Boss Editor'!$D$4)/100)+'Boss Editor'!$D$4+10)),0)</f>
        <v/>
      </c>
      <c r="O148" s="3">
        <f>IF(N148&gt;=1,"OHKO",IF(N148&gt;=0.5,"2HKO",IF(N148&gt;=0.333,"3HKO",IF(N148&gt;=0.25,"4HKO","5HKO+"))))</f>
        <v/>
      </c>
      <c r="P148" s="3" t="inlineStr">
        <is>
          <t>Live from editable databases</t>
        </is>
      </c>
      <c r="Q148" s="3" t="inlineStr">
        <is>
          <t>SPECIES_TORCHIC</t>
        </is>
      </c>
      <c r="R148" s="3" t="n">
        <v>19</v>
      </c>
    </row>
    <row r="149">
      <c r="A149" s="3">
        <f>XLOOKUP($Q149,'Threshold Summary'!$Y:$Y,'Threshold Summary'!$A:$A,"")</f>
        <v/>
      </c>
      <c r="B149" s="3">
        <f>XLOOKUP($Q149,'Threshold Summary'!$Y:$Y,'Threshold Summary'!$M:$M,"")</f>
        <v/>
      </c>
      <c r="C149" s="3">
        <f>XLOOKUP($Q149,'Threshold Summary'!$Y:$Y,'Threshold Summary'!$N:$N,"")</f>
        <v/>
      </c>
      <c r="D149" s="3">
        <f>IFERROR(INDEX(FILTER('Learnset Editor'!$D$2:$D,'Learnset Editor'!$A$2:$A=XLOOKUP($Q149,'Threshold Summary'!$Y:$Y,'Threshold Summary'!$K:$K,""),'Learnset Editor'!$C$2:$C&lt;=XLOOKUP($Q149,'Threshold Summary'!$Y:$Y,'Threshold Summary'!$L:$L,"")),$R149),"")</f>
        <v/>
      </c>
      <c r="E149" s="3">
        <f>XLOOKUP(D149,'Move Editor'!$B:$B,'Move Editor'!$C:$C,"")</f>
        <v/>
      </c>
      <c r="F149" s="3">
        <f>XLOOKUP(D149,'Move Editor'!$B:$B,'Move Editor'!$D:$D,"")</f>
        <v/>
      </c>
      <c r="G149" s="3">
        <f>XLOOKUP(D149,'Move Editor'!$B:$B,'Move Editor'!$E:$E,0)</f>
        <v/>
      </c>
      <c r="H149" s="3">
        <f>XLOOKUP(D149,'Move Editor'!$B:$B,'Move Editor'!$F:$F,0)</f>
        <v/>
      </c>
      <c r="I149" s="3">
        <f>(INDEX('Type Chart'!$B:$S,MATCH(E149,'Type Chart'!$A:$A,0),MATCH(XLOOKUP('Boss Editor'!$C$4,'Pokemon Editor'!$A:$A,'Pokemon Editor'!$C:$C,""),'Type Chart'!$B$1:$S$1,0))*IF(XLOOKUP('Boss Editor'!$C$4,'Pokemon Editor'!$A:$A,'Pokemon Editor'!$D:$D,"")="",1,INDEX('Type Chart'!$B:$S,MATCH(E149,'Type Chart'!$A:$A,0),MATCH(XLOOKUP('Boss Editor'!$C$4,'Pokemon Editor'!$A:$A,'Pokemon Editor'!$D:$D,""),'Type Chart'!$B$1:$S$1,0))))</f>
        <v/>
      </c>
      <c r="J149" s="3">
        <f>IFERROR(LET(mtype,XLOOKUP($D149,'Move Editor'!$B:$B,'Move Editor'!$C:$C,""),cat,XLOOKUP($D149,'Move Editor'!$B:$B,'Move Editor'!$D:$D,""),pow,XLOOKUP($D149,'Move Editor'!$B:$B,'Move Editor'!$E:$E,0),acc,XLOOKUP($D149,'Move Editor'!$B:$B,'Move Editor'!$F:$F,100),atk,IF(cat="Physical",FLOOR((FLOOR(((2*XLOOKUP(XLOOKUP($Q149,'Threshold Summary'!$Y:$Y,'Threshold Summary'!$K:$K,""),'Pokemon Editor'!$A:$A,'Pokemon Editor'!$F:$F,0)+31+FLOOR(XLOOKUP($Q149,'Threshold Summary'!$Y:$Y,'Threshold Summary'!$P:$P,"")/4))*XLOOKUP($Q149,'Threshold Summary'!$Y:$Y,'Threshold Summary'!$L:$L,""))/100)+5)*XLOOKUP(XLOOKUP($Q149,'Threshold Summary'!$Y:$Y,'Threshold Summary'!$M:$M,""),'Nature Editor'!$A:$A,'Nature Editor'!$B:$B,1)),FLOOR((FLOOR(((2*XLOOKUP(XLOOKUP($Q149,'Threshold Summary'!$Y:$Y,'Threshold Summary'!$K:$K,""),'Pokemon Editor'!$A:$A,'Pokemon Editor'!$H:$H,0)+31+FLOOR(XLOOKUP($Q149,'Threshold Summary'!$Y:$Y,'Threshold Summary'!$R:$R,"")/4))*XLOOKUP($Q149,'Threshold Summary'!$Y:$Y,'Threshold Summary'!$L:$L,""))/100)+5)*XLOOKUP(XLOOKUP($Q149,'Threshold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Editor'!$E:$E,1))),stab,IF(OR(mtype=XLOOKUP(XLOOKUP($Q149,'Threshold Summary'!$Y:$Y,'Threshold Summary'!$K:$K,""),'Pokemon Editor'!$A:$A,'Pokemon Editor'!$C:$C,""),mtype=XLOOKUP(XLOOKUP($Q149,'Threshold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Chart'!$B$1:$S$1,0)))),base,IF(OR(cat="Status",pow=0),0,FLOOR(FLOOR(FLOOR((2*XLOOKUP($Q149,'Threshold Summary'!$Y:$Y,'Threshold Summary'!$L:$L,"")/5+2)*pow*atk/def)/50)+2)),modifier,stab*eff,FLOOR(base*modifier*0.85)),0)</f>
        <v/>
      </c>
      <c r="K149" s="3">
        <f>IFERROR(LET(mtype,XLOOKUP($D149,'Move Editor'!$B:$B,'Move Editor'!$C:$C,""),cat,XLOOKUP($D149,'Move Editor'!$B:$B,'Move Editor'!$D:$D,""),pow,XLOOKUP($D149,'Move Editor'!$B:$B,'Move Editor'!$E:$E,0),acc,XLOOKUP($D149,'Move Editor'!$B:$B,'Move Editor'!$F:$F,100),atk,IF(cat="Physical",FLOOR((FLOOR(((2*XLOOKUP(XLOOKUP($Q149,'Threshold Summary'!$Y:$Y,'Threshold Summary'!$K:$K,""),'Pokemon Editor'!$A:$A,'Pokemon Editor'!$F:$F,0)+31+FLOOR(XLOOKUP($Q149,'Threshold Summary'!$Y:$Y,'Threshold Summary'!$P:$P,"")/4))*XLOOKUP($Q149,'Threshold Summary'!$Y:$Y,'Threshold Summary'!$L:$L,""))/100)+5)*XLOOKUP(XLOOKUP($Q149,'Threshold Summary'!$Y:$Y,'Threshold Summary'!$M:$M,""),'Nature Editor'!$A:$A,'Nature Editor'!$B:$B,1)),FLOOR((FLOOR(((2*XLOOKUP(XLOOKUP($Q149,'Threshold Summary'!$Y:$Y,'Threshold Summary'!$K:$K,""),'Pokemon Editor'!$A:$A,'Pokemon Editor'!$H:$H,0)+31+FLOOR(XLOOKUP($Q149,'Threshold Summary'!$Y:$Y,'Threshold Summary'!$R:$R,"")/4))*XLOOKUP($Q149,'Threshold Summary'!$Y:$Y,'Threshold Summary'!$L:$L,""))/100)+5)*XLOOKUP(XLOOKUP($Q149,'Threshold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Editor'!$E:$E,1))),stab,IF(OR(mtype=XLOOKUP(XLOOKUP($Q149,'Threshold Summary'!$Y:$Y,'Threshold Summary'!$K:$K,""),'Pokemon Editor'!$A:$A,'Pokemon Editor'!$C:$C,""),mtype=XLOOKUP(XLOOKUP($Q149,'Threshold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Chart'!$B$1:$S$1,0)))),base,IF(OR(cat="Status",pow=0),0,FLOOR(FLOOR(FLOOR((2*XLOOKUP($Q149,'Threshold Summary'!$Y:$Y,'Threshold Summary'!$L:$L,"")/5+2)*pow*atk/def)/50)+2)),modifier,stab*eff,FLOOR(base*modifier)),0)</f>
        <v/>
      </c>
      <c r="L149" s="3">
        <f>IFERROR(LET(mtype,XLOOKUP($D149,'Move Editor'!$B:$B,'Move Editor'!$C:$C,""),cat,XLOOKUP($D149,'Move Editor'!$B:$B,'Move Editor'!$D:$D,""),pow,XLOOKUP($D149,'Move Editor'!$B:$B,'Move Editor'!$E:$E,0),acc,XLOOKUP($D149,'Move Editor'!$B:$B,'Move Editor'!$F:$F,100),atk,IF(cat="Physical",FLOOR((FLOOR(((2*XLOOKUP(XLOOKUP($Q149,'Threshold Summary'!$Y:$Y,'Threshold Summary'!$K:$K,""),'Pokemon Editor'!$A:$A,'Pokemon Editor'!$F:$F,0)+31+FLOOR(XLOOKUP($Q149,'Threshold Summary'!$Y:$Y,'Threshold Summary'!$P:$P,"")/4))*XLOOKUP($Q149,'Threshold Summary'!$Y:$Y,'Threshold Summary'!$L:$L,""))/100)+5)*XLOOKUP(XLOOKUP($Q149,'Threshold Summary'!$Y:$Y,'Threshold Summary'!$M:$M,""),'Nature Editor'!$A:$A,'Nature Editor'!$B:$B,1)),FLOOR((FLOOR(((2*XLOOKUP(XLOOKUP($Q149,'Threshold Summary'!$Y:$Y,'Threshold Summary'!$K:$K,""),'Pokemon Editor'!$A:$A,'Pokemon Editor'!$H:$H,0)+31+FLOOR(XLOOKUP($Q149,'Threshold Summary'!$Y:$Y,'Threshold Summary'!$R:$R,"")/4))*XLOOKUP($Q149,'Threshold Summary'!$Y:$Y,'Threshold Summary'!$L:$L,""))/100)+5)*XLOOKUP(XLOOKUP($Q149,'Threshold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Editor'!$E:$E,1))),stab,IF(OR(mtype=XLOOKUP(XLOOKUP($Q149,'Threshold Summary'!$Y:$Y,'Threshold Summary'!$K:$K,""),'Pokemon Editor'!$A:$A,'Pokemon Editor'!$C:$C,""),mtype=XLOOKUP(XLOOKUP($Q149,'Threshold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Chart'!$B$1:$S$1,0)))),base,IF(OR(cat="Status",pow=0),0,FLOOR(FLOOR(FLOOR((2*XLOOKUP($Q149,'Threshold Summary'!$Y:$Y,'Threshold Summary'!$L:$L,"")/5+2)*pow*atk/def)/50)+2)),modifier,stab*eff,AVERAGE(ARRAYFORMULA(FLOOR(base*modifier*SEQUENCE(16,1,85,1)/100)))),0)</f>
        <v/>
      </c>
      <c r="M149" s="3">
        <f>IFERROR(LET(mtype,XLOOKUP($D149,'Move Editor'!$B:$B,'Move Editor'!$C:$C,""),cat,XLOOKUP($D149,'Move Editor'!$B:$B,'Move Editor'!$D:$D,""),pow,XLOOKUP($D149,'Move Editor'!$B:$B,'Move Editor'!$E:$E,0),acc,XLOOKUP($D149,'Move Editor'!$B:$B,'Move Editor'!$F:$F,100),atk,IF(cat="Physical",FLOOR((FLOOR(((2*XLOOKUP(XLOOKUP($Q149,'Threshold Summary'!$Y:$Y,'Threshold Summary'!$K:$K,""),'Pokemon Editor'!$A:$A,'Pokemon Editor'!$F:$F,0)+31+FLOOR(XLOOKUP($Q149,'Threshold Summary'!$Y:$Y,'Threshold Summary'!$P:$P,"")/4))*XLOOKUP($Q149,'Threshold Summary'!$Y:$Y,'Threshold Summary'!$L:$L,""))/100)+5)*XLOOKUP(XLOOKUP($Q149,'Threshold Summary'!$Y:$Y,'Threshold Summary'!$M:$M,""),'Nature Editor'!$A:$A,'Nature Editor'!$B:$B,1)),FLOOR((FLOOR(((2*XLOOKUP(XLOOKUP($Q149,'Threshold Summary'!$Y:$Y,'Threshold Summary'!$K:$K,""),'Pokemon Editor'!$A:$A,'Pokemon Editor'!$H:$H,0)+31+FLOOR(XLOOKUP($Q149,'Threshold Summary'!$Y:$Y,'Threshold Summary'!$R:$R,"")/4))*XLOOKUP($Q149,'Threshold Summary'!$Y:$Y,'Threshold Summary'!$L:$L,""))/100)+5)*XLOOKUP(XLOOKUP($Q149,'Threshold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Editor'!$E:$E,1))),stab,IF(OR(mtype=XLOOKUP(XLOOKUP($Q149,'Threshold Summary'!$Y:$Y,'Threshold Summary'!$K:$K,""),'Pokemon Editor'!$A:$A,'Pokemon Editor'!$C:$C,""),mtype=XLOOKUP(XLOOKUP($Q149,'Threshold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Chart'!$B$1:$S$1,0)))),base,IF(OR(cat="Status",pow=0),0,FLOOR(FLOOR(FLOOR((2*XLOOKUP($Q149,'Threshold Summary'!$Y:$Y,'Threshold Summary'!$L:$L,"")/5+2)*pow*atk/def)/50)+2)),modifier,stab*eff,AVERAGE(ARRAYFORMULA(FLOOR(base*modifier*SEQUENCE(16,1,85,1)/100)))*MIN(1,acc/100)),0)</f>
        <v/>
      </c>
      <c r="N149" s="4">
        <f>IFERROR(LET(mtype,XLOOKUP($D149,'Move Editor'!$B:$B,'Move Editor'!$C:$C,""),cat,XLOOKUP($D149,'Move Editor'!$B:$B,'Move Editor'!$D:$D,""),pow,XLOOKUP($D149,'Move Editor'!$B:$B,'Move Editor'!$E:$E,0),acc,XLOOKUP($D149,'Move Editor'!$B:$B,'Move Editor'!$F:$F,100),atk,IF(cat="Physical",FLOOR((FLOOR(((2*XLOOKUP(XLOOKUP($Q149,'Threshold Summary'!$Y:$Y,'Threshold Summary'!$K:$K,""),'Pokemon Editor'!$A:$A,'Pokemon Editor'!$F:$F,0)+31+FLOOR(XLOOKUP($Q149,'Threshold Summary'!$Y:$Y,'Threshold Summary'!$P:$P,"")/4))*XLOOKUP($Q149,'Threshold Summary'!$Y:$Y,'Threshold Summary'!$L:$L,""))/100)+5)*XLOOKUP(XLOOKUP($Q149,'Threshold Summary'!$Y:$Y,'Threshold Summary'!$M:$M,""),'Nature Editor'!$A:$A,'Nature Editor'!$B:$B,1)),FLOOR((FLOOR(((2*XLOOKUP(XLOOKUP($Q149,'Threshold Summary'!$Y:$Y,'Threshold Summary'!$K:$K,""),'Pokemon Editor'!$A:$A,'Pokemon Editor'!$H:$H,0)+31+FLOOR(XLOOKUP($Q149,'Threshold Summary'!$Y:$Y,'Threshold Summary'!$R:$R,"")/4))*XLOOKUP($Q149,'Threshold Summary'!$Y:$Y,'Threshold Summary'!$L:$L,""))/100)+5)*XLOOKUP(XLOOKUP($Q149,'Threshold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Editor'!$E:$E,1))),stab,IF(OR(mtype=XLOOKUP(XLOOKUP($Q149,'Threshold Summary'!$Y:$Y,'Threshold Summary'!$K:$K,""),'Pokemon Editor'!$A:$A,'Pokemon Editor'!$C:$C,""),mtype=XLOOKUP(XLOOKUP($Q149,'Threshold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Chart'!$B$1:$S$1,0)))),base,IF(OR(cat="Status",pow=0),0,FLOOR(FLOOR(FLOOR((2*XLOOKUP($Q149,'Threshold Summary'!$Y:$Y,'Threshold Summary'!$L:$L,"")/5+2)*pow*atk/def)/50)+2)),modifier,stab*eff,AVERAGE(ARRAYFORMULA(FLOOR(base*modifier*SEQUENCE(16,1,85,1)/100)))/(FLOOR(((2*XLOOKUP('Boss Editor'!$C$4,'Pokemon Editor'!$A:$A,'Pokemon Editor'!$E:$E,0)+31+FLOOR('Boss Editor'!$G$4/4))*'Boss Editor'!$D$4)/100)+'Boss Editor'!$D$4+10)),0)</f>
        <v/>
      </c>
      <c r="O149" s="3">
        <f>IF(N149&gt;=1,"OHKO",IF(N149&gt;=0.5,"2HKO",IF(N149&gt;=0.333,"3HKO",IF(N149&gt;=0.25,"4HKO","5HKO+"))))</f>
        <v/>
      </c>
      <c r="P149" s="3" t="inlineStr">
        <is>
          <t>Live from editable databases</t>
        </is>
      </c>
      <c r="Q149" s="3" t="inlineStr">
        <is>
          <t>SPECIES_TORCHIC</t>
        </is>
      </c>
      <c r="R149" s="3" t="n">
        <v>20</v>
      </c>
    </row>
    <row r="150">
      <c r="A150" s="3">
        <f>XLOOKUP($Q150,'Threshold Summary'!$Y:$Y,'Threshold Summary'!$A:$A,"")</f>
        <v/>
      </c>
      <c r="B150" s="3">
        <f>XLOOKUP($Q150,'Threshold Summary'!$Y:$Y,'Threshold Summary'!$M:$M,"")</f>
        <v/>
      </c>
      <c r="C150" s="3">
        <f>XLOOKUP($Q150,'Threshold Summary'!$Y:$Y,'Threshold Summary'!$N:$N,"")</f>
        <v/>
      </c>
      <c r="D150" s="3">
        <f>IFERROR(INDEX(FILTER('Learnset Editor'!$D$2:$D,'Learnset Editor'!$A$2:$A=XLOOKUP($Q150,'Threshold Summary'!$Y:$Y,'Threshold Summary'!$K:$K,""),'Learnset Editor'!$C$2:$C&lt;=XLOOKUP($Q150,'Threshold Summary'!$Y:$Y,'Threshold Summary'!$L:$L,"")),$R150),"")</f>
        <v/>
      </c>
      <c r="E150" s="3">
        <f>XLOOKUP(D150,'Move Editor'!$B:$B,'Move Editor'!$C:$C,"")</f>
        <v/>
      </c>
      <c r="F150" s="3">
        <f>XLOOKUP(D150,'Move Editor'!$B:$B,'Move Editor'!$D:$D,"")</f>
        <v/>
      </c>
      <c r="G150" s="3">
        <f>XLOOKUP(D150,'Move Editor'!$B:$B,'Move Editor'!$E:$E,0)</f>
        <v/>
      </c>
      <c r="H150" s="3">
        <f>XLOOKUP(D150,'Move Editor'!$B:$B,'Move Editor'!$F:$F,0)</f>
        <v/>
      </c>
      <c r="I150" s="3">
        <f>(INDEX('Type Chart'!$B:$S,MATCH(E150,'Type Chart'!$A:$A,0),MATCH(XLOOKUP('Boss Editor'!$C$4,'Pokemon Editor'!$A:$A,'Pokemon Editor'!$C:$C,""),'Type Chart'!$B$1:$S$1,0))*IF(XLOOKUP('Boss Editor'!$C$4,'Pokemon Editor'!$A:$A,'Pokemon Editor'!$D:$D,"")="",1,INDEX('Type Chart'!$B:$S,MATCH(E150,'Type Chart'!$A:$A,0),MATCH(XLOOKUP('Boss Editor'!$C$4,'Pokemon Editor'!$A:$A,'Pokemon Editor'!$D:$D,""),'Type Chart'!$B$1:$S$1,0))))</f>
        <v/>
      </c>
      <c r="J150" s="3">
        <f>IFERROR(LET(mtype,XLOOKUP($D150,'Move Editor'!$B:$B,'Move Editor'!$C:$C,""),cat,XLOOKUP($D150,'Move Editor'!$B:$B,'Move Editor'!$D:$D,""),pow,XLOOKUP($D150,'Move Editor'!$B:$B,'Move Editor'!$E:$E,0),acc,XLOOKUP($D150,'Move Editor'!$B:$B,'Move Editor'!$F:$F,100),atk,IF(cat="Physical",FLOOR((FLOOR(((2*XLOOKUP(XLOOKUP($Q150,'Threshold Summary'!$Y:$Y,'Threshold Summary'!$K:$K,""),'Pokemon Editor'!$A:$A,'Pokemon Editor'!$F:$F,0)+31+FLOOR(XLOOKUP($Q150,'Threshold Summary'!$Y:$Y,'Threshold Summary'!$P:$P,"")/4))*XLOOKUP($Q150,'Threshold Summary'!$Y:$Y,'Threshold Summary'!$L:$L,""))/100)+5)*XLOOKUP(XLOOKUP($Q150,'Threshold Summary'!$Y:$Y,'Threshold Summary'!$M:$M,""),'Nature Editor'!$A:$A,'Nature Editor'!$B:$B,1)),FLOOR((FLOOR(((2*XLOOKUP(XLOOKUP($Q150,'Threshold Summary'!$Y:$Y,'Threshold Summary'!$K:$K,""),'Pokemon Editor'!$A:$A,'Pokemon Editor'!$H:$H,0)+31+FLOOR(XLOOKUP($Q150,'Threshold Summary'!$Y:$Y,'Threshold Summary'!$R:$R,"")/4))*XLOOKUP($Q150,'Threshold Summary'!$Y:$Y,'Threshold Summary'!$L:$L,""))/100)+5)*XLOOKUP(XLOOKUP($Q150,'Threshold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Editor'!$E:$E,1))),stab,IF(OR(mtype=XLOOKUP(XLOOKUP($Q150,'Threshold Summary'!$Y:$Y,'Threshold Summary'!$K:$K,""),'Pokemon Editor'!$A:$A,'Pokemon Editor'!$C:$C,""),mtype=XLOOKUP(XLOOKUP($Q150,'Threshold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Chart'!$B$1:$S$1,0)))),base,IF(OR(cat="Status",pow=0),0,FLOOR(FLOOR(FLOOR((2*XLOOKUP($Q150,'Threshold Summary'!$Y:$Y,'Threshold Summary'!$L:$L,"")/5+2)*pow*atk/def)/50)+2)),modifier,stab*eff,FLOOR(base*modifier*0.85)),0)</f>
        <v/>
      </c>
      <c r="K150" s="3">
        <f>IFERROR(LET(mtype,XLOOKUP($D150,'Move Editor'!$B:$B,'Move Editor'!$C:$C,""),cat,XLOOKUP($D150,'Move Editor'!$B:$B,'Move Editor'!$D:$D,""),pow,XLOOKUP($D150,'Move Editor'!$B:$B,'Move Editor'!$E:$E,0),acc,XLOOKUP($D150,'Move Editor'!$B:$B,'Move Editor'!$F:$F,100),atk,IF(cat="Physical",FLOOR((FLOOR(((2*XLOOKUP(XLOOKUP($Q150,'Threshold Summary'!$Y:$Y,'Threshold Summary'!$K:$K,""),'Pokemon Editor'!$A:$A,'Pokemon Editor'!$F:$F,0)+31+FLOOR(XLOOKUP($Q150,'Threshold Summary'!$Y:$Y,'Threshold Summary'!$P:$P,"")/4))*XLOOKUP($Q150,'Threshold Summary'!$Y:$Y,'Threshold Summary'!$L:$L,""))/100)+5)*XLOOKUP(XLOOKUP($Q150,'Threshold Summary'!$Y:$Y,'Threshold Summary'!$M:$M,""),'Nature Editor'!$A:$A,'Nature Editor'!$B:$B,1)),FLOOR((FLOOR(((2*XLOOKUP(XLOOKUP($Q150,'Threshold Summary'!$Y:$Y,'Threshold Summary'!$K:$K,""),'Pokemon Editor'!$A:$A,'Pokemon Editor'!$H:$H,0)+31+FLOOR(XLOOKUP($Q150,'Threshold Summary'!$Y:$Y,'Threshold Summary'!$R:$R,"")/4))*XLOOKUP($Q150,'Threshold Summary'!$Y:$Y,'Threshold Summary'!$L:$L,""))/100)+5)*XLOOKUP(XLOOKUP($Q150,'Threshold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Editor'!$E:$E,1))),stab,IF(OR(mtype=XLOOKUP(XLOOKUP($Q150,'Threshold Summary'!$Y:$Y,'Threshold Summary'!$K:$K,""),'Pokemon Editor'!$A:$A,'Pokemon Editor'!$C:$C,""),mtype=XLOOKUP(XLOOKUP($Q150,'Threshold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Chart'!$B$1:$S$1,0)))),base,IF(OR(cat="Status",pow=0),0,FLOOR(FLOOR(FLOOR((2*XLOOKUP($Q150,'Threshold Summary'!$Y:$Y,'Threshold Summary'!$L:$L,"")/5+2)*pow*atk/def)/50)+2)),modifier,stab*eff,FLOOR(base*modifier)),0)</f>
        <v/>
      </c>
      <c r="L150" s="3">
        <f>IFERROR(LET(mtype,XLOOKUP($D150,'Move Editor'!$B:$B,'Move Editor'!$C:$C,""),cat,XLOOKUP($D150,'Move Editor'!$B:$B,'Move Editor'!$D:$D,""),pow,XLOOKUP($D150,'Move Editor'!$B:$B,'Move Editor'!$E:$E,0),acc,XLOOKUP($D150,'Move Editor'!$B:$B,'Move Editor'!$F:$F,100),atk,IF(cat="Physical",FLOOR((FLOOR(((2*XLOOKUP(XLOOKUP($Q150,'Threshold Summary'!$Y:$Y,'Threshold Summary'!$K:$K,""),'Pokemon Editor'!$A:$A,'Pokemon Editor'!$F:$F,0)+31+FLOOR(XLOOKUP($Q150,'Threshold Summary'!$Y:$Y,'Threshold Summary'!$P:$P,"")/4))*XLOOKUP($Q150,'Threshold Summary'!$Y:$Y,'Threshold Summary'!$L:$L,""))/100)+5)*XLOOKUP(XLOOKUP($Q150,'Threshold Summary'!$Y:$Y,'Threshold Summary'!$M:$M,""),'Nature Editor'!$A:$A,'Nature Editor'!$B:$B,1)),FLOOR((FLOOR(((2*XLOOKUP(XLOOKUP($Q150,'Threshold Summary'!$Y:$Y,'Threshold Summary'!$K:$K,""),'Pokemon Editor'!$A:$A,'Pokemon Editor'!$H:$H,0)+31+FLOOR(XLOOKUP($Q150,'Threshold Summary'!$Y:$Y,'Threshold Summary'!$R:$R,"")/4))*XLOOKUP($Q150,'Threshold Summary'!$Y:$Y,'Threshold Summary'!$L:$L,""))/100)+5)*XLOOKUP(XLOOKUP($Q150,'Threshold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Editor'!$E:$E,1))),stab,IF(OR(mtype=XLOOKUP(XLOOKUP($Q150,'Threshold Summary'!$Y:$Y,'Threshold Summary'!$K:$K,""),'Pokemon Editor'!$A:$A,'Pokemon Editor'!$C:$C,""),mtype=XLOOKUP(XLOOKUP($Q150,'Threshold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Chart'!$B$1:$S$1,0)))),base,IF(OR(cat="Status",pow=0),0,FLOOR(FLOOR(FLOOR((2*XLOOKUP($Q150,'Threshold Summary'!$Y:$Y,'Threshold Summary'!$L:$L,"")/5+2)*pow*atk/def)/50)+2)),modifier,stab*eff,AVERAGE(ARRAYFORMULA(FLOOR(base*modifier*SEQUENCE(16,1,85,1)/100)))),0)</f>
        <v/>
      </c>
      <c r="M150" s="3">
        <f>IFERROR(LET(mtype,XLOOKUP($D150,'Move Editor'!$B:$B,'Move Editor'!$C:$C,""),cat,XLOOKUP($D150,'Move Editor'!$B:$B,'Move Editor'!$D:$D,""),pow,XLOOKUP($D150,'Move Editor'!$B:$B,'Move Editor'!$E:$E,0),acc,XLOOKUP($D150,'Move Editor'!$B:$B,'Move Editor'!$F:$F,100),atk,IF(cat="Physical",FLOOR((FLOOR(((2*XLOOKUP(XLOOKUP($Q150,'Threshold Summary'!$Y:$Y,'Threshold Summary'!$K:$K,""),'Pokemon Editor'!$A:$A,'Pokemon Editor'!$F:$F,0)+31+FLOOR(XLOOKUP($Q150,'Threshold Summary'!$Y:$Y,'Threshold Summary'!$P:$P,"")/4))*XLOOKUP($Q150,'Threshold Summary'!$Y:$Y,'Threshold Summary'!$L:$L,""))/100)+5)*XLOOKUP(XLOOKUP($Q150,'Threshold Summary'!$Y:$Y,'Threshold Summary'!$M:$M,""),'Nature Editor'!$A:$A,'Nature Editor'!$B:$B,1)),FLOOR((FLOOR(((2*XLOOKUP(XLOOKUP($Q150,'Threshold Summary'!$Y:$Y,'Threshold Summary'!$K:$K,""),'Pokemon Editor'!$A:$A,'Pokemon Editor'!$H:$H,0)+31+FLOOR(XLOOKUP($Q150,'Threshold Summary'!$Y:$Y,'Threshold Summary'!$R:$R,"")/4))*XLOOKUP($Q150,'Threshold Summary'!$Y:$Y,'Threshold Summary'!$L:$L,""))/100)+5)*XLOOKUP(XLOOKUP($Q150,'Threshold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Editor'!$E:$E,1))),stab,IF(OR(mtype=XLOOKUP(XLOOKUP($Q150,'Threshold Summary'!$Y:$Y,'Threshold Summary'!$K:$K,""),'Pokemon Editor'!$A:$A,'Pokemon Editor'!$C:$C,""),mtype=XLOOKUP(XLOOKUP($Q150,'Threshold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Chart'!$B$1:$S$1,0)))),base,IF(OR(cat="Status",pow=0),0,FLOOR(FLOOR(FLOOR((2*XLOOKUP($Q150,'Threshold Summary'!$Y:$Y,'Threshold Summary'!$L:$L,"")/5+2)*pow*atk/def)/50)+2)),modifier,stab*eff,AVERAGE(ARRAYFORMULA(FLOOR(base*modifier*SEQUENCE(16,1,85,1)/100)))*MIN(1,acc/100)),0)</f>
        <v/>
      </c>
      <c r="N150" s="4">
        <f>IFERROR(LET(mtype,XLOOKUP($D150,'Move Editor'!$B:$B,'Move Editor'!$C:$C,""),cat,XLOOKUP($D150,'Move Editor'!$B:$B,'Move Editor'!$D:$D,""),pow,XLOOKUP($D150,'Move Editor'!$B:$B,'Move Editor'!$E:$E,0),acc,XLOOKUP($D150,'Move Editor'!$B:$B,'Move Editor'!$F:$F,100),atk,IF(cat="Physical",FLOOR((FLOOR(((2*XLOOKUP(XLOOKUP($Q150,'Threshold Summary'!$Y:$Y,'Threshold Summary'!$K:$K,""),'Pokemon Editor'!$A:$A,'Pokemon Editor'!$F:$F,0)+31+FLOOR(XLOOKUP($Q150,'Threshold Summary'!$Y:$Y,'Threshold Summary'!$P:$P,"")/4))*XLOOKUP($Q150,'Threshold Summary'!$Y:$Y,'Threshold Summary'!$L:$L,""))/100)+5)*XLOOKUP(XLOOKUP($Q150,'Threshold Summary'!$Y:$Y,'Threshold Summary'!$M:$M,""),'Nature Editor'!$A:$A,'Nature Editor'!$B:$B,1)),FLOOR((FLOOR(((2*XLOOKUP(XLOOKUP($Q150,'Threshold Summary'!$Y:$Y,'Threshold Summary'!$K:$K,""),'Pokemon Editor'!$A:$A,'Pokemon Editor'!$H:$H,0)+31+FLOOR(XLOOKUP($Q150,'Threshold Summary'!$Y:$Y,'Threshold Summary'!$R:$R,"")/4))*XLOOKUP($Q150,'Threshold Summary'!$Y:$Y,'Threshold Summary'!$L:$L,""))/100)+5)*XLOOKUP(XLOOKUP($Q150,'Threshold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Editor'!$E:$E,1))),stab,IF(OR(mtype=XLOOKUP(XLOOKUP($Q150,'Threshold Summary'!$Y:$Y,'Threshold Summary'!$K:$K,""),'Pokemon Editor'!$A:$A,'Pokemon Editor'!$C:$C,""),mtype=XLOOKUP(XLOOKUP($Q150,'Threshold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Chart'!$B$1:$S$1,0)))),base,IF(OR(cat="Status",pow=0),0,FLOOR(FLOOR(FLOOR((2*XLOOKUP($Q150,'Threshold Summary'!$Y:$Y,'Threshold Summary'!$L:$L,"")/5+2)*pow*atk/def)/50)+2)),modifier,stab*eff,AVERAGE(ARRAYFORMULA(FLOOR(base*modifier*SEQUENCE(16,1,85,1)/100)))/(FLOOR(((2*XLOOKUP('Boss Editor'!$C$4,'Pokemon Editor'!$A:$A,'Pokemon Editor'!$E:$E,0)+31+FLOOR('Boss Editor'!$G$4/4))*'Boss Editor'!$D$4)/100)+'Boss Editor'!$D$4+10)),0)</f>
        <v/>
      </c>
      <c r="O150" s="3">
        <f>IF(N150&gt;=1,"OHKO",IF(N150&gt;=0.5,"2HKO",IF(N150&gt;=0.333,"3HKO",IF(N150&gt;=0.25,"4HKO","5HKO+"))))</f>
        <v/>
      </c>
      <c r="P150" s="3" t="inlineStr">
        <is>
          <t>Live from editable databases</t>
        </is>
      </c>
      <c r="Q150" s="3" t="inlineStr">
        <is>
          <t>SPECIES_TORCHIC</t>
        </is>
      </c>
      <c r="R150" s="3" t="n">
        <v>21</v>
      </c>
    </row>
    <row r="151">
      <c r="A151" s="3">
        <f>XLOOKUP($Q151,'Threshold Summary'!$Y:$Y,'Threshold Summary'!$A:$A,"")</f>
        <v/>
      </c>
      <c r="B151" s="3">
        <f>XLOOKUP($Q151,'Threshold Summary'!$Y:$Y,'Threshold Summary'!$M:$M,"")</f>
        <v/>
      </c>
      <c r="C151" s="3">
        <f>XLOOKUP($Q151,'Threshold Summary'!$Y:$Y,'Threshold Summary'!$N:$N,"")</f>
        <v/>
      </c>
      <c r="D151" s="3">
        <f>IFERROR(INDEX(FILTER('Learnset Editor'!$D$2:$D,'Learnset Editor'!$A$2:$A=XLOOKUP($Q151,'Threshold Summary'!$Y:$Y,'Threshold Summary'!$K:$K,""),'Learnset Editor'!$C$2:$C&lt;=XLOOKUP($Q151,'Threshold Summary'!$Y:$Y,'Threshold Summary'!$L:$L,"")),$R151),"")</f>
        <v/>
      </c>
      <c r="E151" s="3">
        <f>XLOOKUP(D151,'Move Editor'!$B:$B,'Move Editor'!$C:$C,"")</f>
        <v/>
      </c>
      <c r="F151" s="3">
        <f>XLOOKUP(D151,'Move Editor'!$B:$B,'Move Editor'!$D:$D,"")</f>
        <v/>
      </c>
      <c r="G151" s="3">
        <f>XLOOKUP(D151,'Move Editor'!$B:$B,'Move Editor'!$E:$E,0)</f>
        <v/>
      </c>
      <c r="H151" s="3">
        <f>XLOOKUP(D151,'Move Editor'!$B:$B,'Move Editor'!$F:$F,0)</f>
        <v/>
      </c>
      <c r="I151" s="3">
        <f>(INDEX('Type Chart'!$B:$S,MATCH(E151,'Type Chart'!$A:$A,0),MATCH(XLOOKUP('Boss Editor'!$C$4,'Pokemon Editor'!$A:$A,'Pokemon Editor'!$C:$C,""),'Type Chart'!$B$1:$S$1,0))*IF(XLOOKUP('Boss Editor'!$C$4,'Pokemon Editor'!$A:$A,'Pokemon Editor'!$D:$D,"")="",1,INDEX('Type Chart'!$B:$S,MATCH(E151,'Type Chart'!$A:$A,0),MATCH(XLOOKUP('Boss Editor'!$C$4,'Pokemon Editor'!$A:$A,'Pokemon Editor'!$D:$D,""),'Type Chart'!$B$1:$S$1,0))))</f>
        <v/>
      </c>
      <c r="J151" s="3">
        <f>IFERROR(LET(mtype,XLOOKUP($D151,'Move Editor'!$B:$B,'Move Editor'!$C:$C,""),cat,XLOOKUP($D151,'Move Editor'!$B:$B,'Move Editor'!$D:$D,""),pow,XLOOKUP($D151,'Move Editor'!$B:$B,'Move Editor'!$E:$E,0),acc,XLOOKUP($D151,'Move Editor'!$B:$B,'Move Editor'!$F:$F,100),atk,IF(cat="Physical",FLOOR((FLOOR(((2*XLOOKUP(XLOOKUP($Q151,'Threshold Summary'!$Y:$Y,'Threshold Summary'!$K:$K,""),'Pokemon Editor'!$A:$A,'Pokemon Editor'!$F:$F,0)+31+FLOOR(XLOOKUP($Q151,'Threshold Summary'!$Y:$Y,'Threshold Summary'!$P:$P,"")/4))*XLOOKUP($Q151,'Threshold Summary'!$Y:$Y,'Threshold Summary'!$L:$L,""))/100)+5)*XLOOKUP(XLOOKUP($Q151,'Threshold Summary'!$Y:$Y,'Threshold Summary'!$M:$M,""),'Nature Editor'!$A:$A,'Nature Editor'!$B:$B,1)),FLOOR((FLOOR(((2*XLOOKUP(XLOOKUP($Q151,'Threshold Summary'!$Y:$Y,'Threshold Summary'!$K:$K,""),'Pokemon Editor'!$A:$A,'Pokemon Editor'!$H:$H,0)+31+FLOOR(XLOOKUP($Q151,'Threshold Summary'!$Y:$Y,'Threshold Summary'!$R:$R,"")/4))*XLOOKUP($Q151,'Threshold Summary'!$Y:$Y,'Threshold Summary'!$L:$L,""))/100)+5)*XLOOKUP(XLOOKUP($Q151,'Threshold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Editor'!$E:$E,1))),stab,IF(OR(mtype=XLOOKUP(XLOOKUP($Q151,'Threshold Summary'!$Y:$Y,'Threshold Summary'!$K:$K,""),'Pokemon Editor'!$A:$A,'Pokemon Editor'!$C:$C,""),mtype=XLOOKUP(XLOOKUP($Q151,'Threshold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Chart'!$B$1:$S$1,0)))),base,IF(OR(cat="Status",pow=0),0,FLOOR(FLOOR(FLOOR((2*XLOOKUP($Q151,'Threshold Summary'!$Y:$Y,'Threshold Summary'!$L:$L,"")/5+2)*pow*atk/def)/50)+2)),modifier,stab*eff,FLOOR(base*modifier*0.85)),0)</f>
        <v/>
      </c>
      <c r="K151" s="3">
        <f>IFERROR(LET(mtype,XLOOKUP($D151,'Move Editor'!$B:$B,'Move Editor'!$C:$C,""),cat,XLOOKUP($D151,'Move Editor'!$B:$B,'Move Editor'!$D:$D,""),pow,XLOOKUP($D151,'Move Editor'!$B:$B,'Move Editor'!$E:$E,0),acc,XLOOKUP($D151,'Move Editor'!$B:$B,'Move Editor'!$F:$F,100),atk,IF(cat="Physical",FLOOR((FLOOR(((2*XLOOKUP(XLOOKUP($Q151,'Threshold Summary'!$Y:$Y,'Threshold Summary'!$K:$K,""),'Pokemon Editor'!$A:$A,'Pokemon Editor'!$F:$F,0)+31+FLOOR(XLOOKUP($Q151,'Threshold Summary'!$Y:$Y,'Threshold Summary'!$P:$P,"")/4))*XLOOKUP($Q151,'Threshold Summary'!$Y:$Y,'Threshold Summary'!$L:$L,""))/100)+5)*XLOOKUP(XLOOKUP($Q151,'Threshold Summary'!$Y:$Y,'Threshold Summary'!$M:$M,""),'Nature Editor'!$A:$A,'Nature Editor'!$B:$B,1)),FLOOR((FLOOR(((2*XLOOKUP(XLOOKUP($Q151,'Threshold Summary'!$Y:$Y,'Threshold Summary'!$K:$K,""),'Pokemon Editor'!$A:$A,'Pokemon Editor'!$H:$H,0)+31+FLOOR(XLOOKUP($Q151,'Threshold Summary'!$Y:$Y,'Threshold Summary'!$R:$R,"")/4))*XLOOKUP($Q151,'Threshold Summary'!$Y:$Y,'Threshold Summary'!$L:$L,""))/100)+5)*XLOOKUP(XLOOKUP($Q151,'Threshold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Editor'!$E:$E,1))),stab,IF(OR(mtype=XLOOKUP(XLOOKUP($Q151,'Threshold Summary'!$Y:$Y,'Threshold Summary'!$K:$K,""),'Pokemon Editor'!$A:$A,'Pokemon Editor'!$C:$C,""),mtype=XLOOKUP(XLOOKUP($Q151,'Threshold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Chart'!$B$1:$S$1,0)))),base,IF(OR(cat="Status",pow=0),0,FLOOR(FLOOR(FLOOR((2*XLOOKUP($Q151,'Threshold Summary'!$Y:$Y,'Threshold Summary'!$L:$L,"")/5+2)*pow*atk/def)/50)+2)),modifier,stab*eff,FLOOR(base*modifier)),0)</f>
        <v/>
      </c>
      <c r="L151" s="3">
        <f>IFERROR(LET(mtype,XLOOKUP($D151,'Move Editor'!$B:$B,'Move Editor'!$C:$C,""),cat,XLOOKUP($D151,'Move Editor'!$B:$B,'Move Editor'!$D:$D,""),pow,XLOOKUP($D151,'Move Editor'!$B:$B,'Move Editor'!$E:$E,0),acc,XLOOKUP($D151,'Move Editor'!$B:$B,'Move Editor'!$F:$F,100),atk,IF(cat="Physical",FLOOR((FLOOR(((2*XLOOKUP(XLOOKUP($Q151,'Threshold Summary'!$Y:$Y,'Threshold Summary'!$K:$K,""),'Pokemon Editor'!$A:$A,'Pokemon Editor'!$F:$F,0)+31+FLOOR(XLOOKUP($Q151,'Threshold Summary'!$Y:$Y,'Threshold Summary'!$P:$P,"")/4))*XLOOKUP($Q151,'Threshold Summary'!$Y:$Y,'Threshold Summary'!$L:$L,""))/100)+5)*XLOOKUP(XLOOKUP($Q151,'Threshold Summary'!$Y:$Y,'Threshold Summary'!$M:$M,""),'Nature Editor'!$A:$A,'Nature Editor'!$B:$B,1)),FLOOR((FLOOR(((2*XLOOKUP(XLOOKUP($Q151,'Threshold Summary'!$Y:$Y,'Threshold Summary'!$K:$K,""),'Pokemon Editor'!$A:$A,'Pokemon Editor'!$H:$H,0)+31+FLOOR(XLOOKUP($Q151,'Threshold Summary'!$Y:$Y,'Threshold Summary'!$R:$R,"")/4))*XLOOKUP($Q151,'Threshold Summary'!$Y:$Y,'Threshold Summary'!$L:$L,""))/100)+5)*XLOOKUP(XLOOKUP($Q151,'Threshold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Editor'!$E:$E,1))),stab,IF(OR(mtype=XLOOKUP(XLOOKUP($Q151,'Threshold Summary'!$Y:$Y,'Threshold Summary'!$K:$K,""),'Pokemon Editor'!$A:$A,'Pokemon Editor'!$C:$C,""),mtype=XLOOKUP(XLOOKUP($Q151,'Threshold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Chart'!$B$1:$S$1,0)))),base,IF(OR(cat="Status",pow=0),0,FLOOR(FLOOR(FLOOR((2*XLOOKUP($Q151,'Threshold Summary'!$Y:$Y,'Threshold Summary'!$L:$L,"")/5+2)*pow*atk/def)/50)+2)),modifier,stab*eff,AVERAGE(ARRAYFORMULA(FLOOR(base*modifier*SEQUENCE(16,1,85,1)/100)))),0)</f>
        <v/>
      </c>
      <c r="M151" s="3">
        <f>IFERROR(LET(mtype,XLOOKUP($D151,'Move Editor'!$B:$B,'Move Editor'!$C:$C,""),cat,XLOOKUP($D151,'Move Editor'!$B:$B,'Move Editor'!$D:$D,""),pow,XLOOKUP($D151,'Move Editor'!$B:$B,'Move Editor'!$E:$E,0),acc,XLOOKUP($D151,'Move Editor'!$B:$B,'Move Editor'!$F:$F,100),atk,IF(cat="Physical",FLOOR((FLOOR(((2*XLOOKUP(XLOOKUP($Q151,'Threshold Summary'!$Y:$Y,'Threshold Summary'!$K:$K,""),'Pokemon Editor'!$A:$A,'Pokemon Editor'!$F:$F,0)+31+FLOOR(XLOOKUP($Q151,'Threshold Summary'!$Y:$Y,'Threshold Summary'!$P:$P,"")/4))*XLOOKUP($Q151,'Threshold Summary'!$Y:$Y,'Threshold Summary'!$L:$L,""))/100)+5)*XLOOKUP(XLOOKUP($Q151,'Threshold Summary'!$Y:$Y,'Threshold Summary'!$M:$M,""),'Nature Editor'!$A:$A,'Nature Editor'!$B:$B,1)),FLOOR((FLOOR(((2*XLOOKUP(XLOOKUP($Q151,'Threshold Summary'!$Y:$Y,'Threshold Summary'!$K:$K,""),'Pokemon Editor'!$A:$A,'Pokemon Editor'!$H:$H,0)+31+FLOOR(XLOOKUP($Q151,'Threshold Summary'!$Y:$Y,'Threshold Summary'!$R:$R,"")/4))*XLOOKUP($Q151,'Threshold Summary'!$Y:$Y,'Threshold Summary'!$L:$L,""))/100)+5)*XLOOKUP(XLOOKUP($Q151,'Threshold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Editor'!$E:$E,1))),stab,IF(OR(mtype=XLOOKUP(XLOOKUP($Q151,'Threshold Summary'!$Y:$Y,'Threshold Summary'!$K:$K,""),'Pokemon Editor'!$A:$A,'Pokemon Editor'!$C:$C,""),mtype=XLOOKUP(XLOOKUP($Q151,'Threshold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Chart'!$B$1:$S$1,0)))),base,IF(OR(cat="Status",pow=0),0,FLOOR(FLOOR(FLOOR((2*XLOOKUP($Q151,'Threshold Summary'!$Y:$Y,'Threshold Summary'!$L:$L,"")/5+2)*pow*atk/def)/50)+2)),modifier,stab*eff,AVERAGE(ARRAYFORMULA(FLOOR(base*modifier*SEQUENCE(16,1,85,1)/100)))*MIN(1,acc/100)),0)</f>
        <v/>
      </c>
      <c r="N151" s="4">
        <f>IFERROR(LET(mtype,XLOOKUP($D151,'Move Editor'!$B:$B,'Move Editor'!$C:$C,""),cat,XLOOKUP($D151,'Move Editor'!$B:$B,'Move Editor'!$D:$D,""),pow,XLOOKUP($D151,'Move Editor'!$B:$B,'Move Editor'!$E:$E,0),acc,XLOOKUP($D151,'Move Editor'!$B:$B,'Move Editor'!$F:$F,100),atk,IF(cat="Physical",FLOOR((FLOOR(((2*XLOOKUP(XLOOKUP($Q151,'Threshold Summary'!$Y:$Y,'Threshold Summary'!$K:$K,""),'Pokemon Editor'!$A:$A,'Pokemon Editor'!$F:$F,0)+31+FLOOR(XLOOKUP($Q151,'Threshold Summary'!$Y:$Y,'Threshold Summary'!$P:$P,"")/4))*XLOOKUP($Q151,'Threshold Summary'!$Y:$Y,'Threshold Summary'!$L:$L,""))/100)+5)*XLOOKUP(XLOOKUP($Q151,'Threshold Summary'!$Y:$Y,'Threshold Summary'!$M:$M,""),'Nature Editor'!$A:$A,'Nature Editor'!$B:$B,1)),FLOOR((FLOOR(((2*XLOOKUP(XLOOKUP($Q151,'Threshold Summary'!$Y:$Y,'Threshold Summary'!$K:$K,""),'Pokemon Editor'!$A:$A,'Pokemon Editor'!$H:$H,0)+31+FLOOR(XLOOKUP($Q151,'Threshold Summary'!$Y:$Y,'Threshold Summary'!$R:$R,"")/4))*XLOOKUP($Q151,'Threshold Summary'!$Y:$Y,'Threshold Summary'!$L:$L,""))/100)+5)*XLOOKUP(XLOOKUP($Q151,'Threshold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Editor'!$E:$E,1))),stab,IF(OR(mtype=XLOOKUP(XLOOKUP($Q151,'Threshold Summary'!$Y:$Y,'Threshold Summary'!$K:$K,""),'Pokemon Editor'!$A:$A,'Pokemon Editor'!$C:$C,""),mtype=XLOOKUP(XLOOKUP($Q151,'Threshold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Chart'!$B$1:$S$1,0)))),base,IF(OR(cat="Status",pow=0),0,FLOOR(FLOOR(FLOOR((2*XLOOKUP($Q151,'Threshold Summary'!$Y:$Y,'Threshold Summary'!$L:$L,"")/5+2)*pow*atk/def)/50)+2)),modifier,stab*eff,AVERAGE(ARRAYFORMULA(FLOOR(base*modifier*SEQUENCE(16,1,85,1)/100)))/(FLOOR(((2*XLOOKUP('Boss Editor'!$C$4,'Pokemon Editor'!$A:$A,'Pokemon Editor'!$E:$E,0)+31+FLOOR('Boss Editor'!$G$4/4))*'Boss Editor'!$D$4)/100)+'Boss Editor'!$D$4+10)),0)</f>
        <v/>
      </c>
      <c r="O151" s="3">
        <f>IF(N151&gt;=1,"OHKO",IF(N151&gt;=0.5,"2HKO",IF(N151&gt;=0.333,"3HKO",IF(N151&gt;=0.25,"4HKO","5HKO+"))))</f>
        <v/>
      </c>
      <c r="P151" s="3" t="inlineStr">
        <is>
          <t>Live from editable databases</t>
        </is>
      </c>
      <c r="Q151" s="3" t="inlineStr">
        <is>
          <t>SPECIES_TORCHIC</t>
        </is>
      </c>
      <c r="R151" s="3" t="n">
        <v>22</v>
      </c>
    </row>
    <row r="152">
      <c r="A152" s="3">
        <f>XLOOKUP($Q152,'Threshold Summary'!$Y:$Y,'Threshold Summary'!$A:$A,"")</f>
        <v/>
      </c>
      <c r="B152" s="3">
        <f>XLOOKUP($Q152,'Threshold Summary'!$Y:$Y,'Threshold Summary'!$M:$M,"")</f>
        <v/>
      </c>
      <c r="C152" s="3">
        <f>XLOOKUP($Q152,'Threshold Summary'!$Y:$Y,'Threshold Summary'!$N:$N,"")</f>
        <v/>
      </c>
      <c r="D152" s="3">
        <f>IFERROR(INDEX(FILTER('Learnset Editor'!$D$2:$D,'Learnset Editor'!$A$2:$A=XLOOKUP($Q152,'Threshold Summary'!$Y:$Y,'Threshold Summary'!$K:$K,""),'Learnset Editor'!$C$2:$C&lt;=XLOOKUP($Q152,'Threshold Summary'!$Y:$Y,'Threshold Summary'!$L:$L,"")),$R152),"")</f>
        <v/>
      </c>
      <c r="E152" s="3">
        <f>XLOOKUP(D152,'Move Editor'!$B:$B,'Move Editor'!$C:$C,"")</f>
        <v/>
      </c>
      <c r="F152" s="3">
        <f>XLOOKUP(D152,'Move Editor'!$B:$B,'Move Editor'!$D:$D,"")</f>
        <v/>
      </c>
      <c r="G152" s="3">
        <f>XLOOKUP(D152,'Move Editor'!$B:$B,'Move Editor'!$E:$E,0)</f>
        <v/>
      </c>
      <c r="H152" s="3">
        <f>XLOOKUP(D152,'Move Editor'!$B:$B,'Move Editor'!$F:$F,0)</f>
        <v/>
      </c>
      <c r="I152" s="3">
        <f>(INDEX('Type Chart'!$B:$S,MATCH(E152,'Type Chart'!$A:$A,0),MATCH(XLOOKUP('Boss Editor'!$C$4,'Pokemon Editor'!$A:$A,'Pokemon Editor'!$C:$C,""),'Type Chart'!$B$1:$S$1,0))*IF(XLOOKUP('Boss Editor'!$C$4,'Pokemon Editor'!$A:$A,'Pokemon Editor'!$D:$D,"")="",1,INDEX('Type Chart'!$B:$S,MATCH(E152,'Type Chart'!$A:$A,0),MATCH(XLOOKUP('Boss Editor'!$C$4,'Pokemon Editor'!$A:$A,'Pokemon Editor'!$D:$D,""),'Type Chart'!$B$1:$S$1,0))))</f>
        <v/>
      </c>
      <c r="J152" s="3">
        <f>IFERROR(LET(mtype,XLOOKUP($D152,'Move Editor'!$B:$B,'Move Editor'!$C:$C,""),cat,XLOOKUP($D152,'Move Editor'!$B:$B,'Move Editor'!$D:$D,""),pow,XLOOKUP($D152,'Move Editor'!$B:$B,'Move Editor'!$E:$E,0),acc,XLOOKUP($D152,'Move Editor'!$B:$B,'Move Editor'!$F:$F,100),atk,IF(cat="Physical",FLOOR((FLOOR(((2*XLOOKUP(XLOOKUP($Q152,'Threshold Summary'!$Y:$Y,'Threshold Summary'!$K:$K,""),'Pokemon Editor'!$A:$A,'Pokemon Editor'!$F:$F,0)+31+FLOOR(XLOOKUP($Q152,'Threshold Summary'!$Y:$Y,'Threshold Summary'!$P:$P,"")/4))*XLOOKUP($Q152,'Threshold Summary'!$Y:$Y,'Threshold Summary'!$L:$L,""))/100)+5)*XLOOKUP(XLOOKUP($Q152,'Threshold Summary'!$Y:$Y,'Threshold Summary'!$M:$M,""),'Nature Editor'!$A:$A,'Nature Editor'!$B:$B,1)),FLOOR((FLOOR(((2*XLOOKUP(XLOOKUP($Q152,'Threshold Summary'!$Y:$Y,'Threshold Summary'!$K:$K,""),'Pokemon Editor'!$A:$A,'Pokemon Editor'!$H:$H,0)+31+FLOOR(XLOOKUP($Q152,'Threshold Summary'!$Y:$Y,'Threshold Summary'!$R:$R,"")/4))*XLOOKUP($Q152,'Threshold Summary'!$Y:$Y,'Threshold Summary'!$L:$L,""))/100)+5)*XLOOKUP(XLOOKUP($Q152,'Threshold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Editor'!$E:$E,1))),stab,IF(OR(mtype=XLOOKUP(XLOOKUP($Q152,'Threshold Summary'!$Y:$Y,'Threshold Summary'!$K:$K,""),'Pokemon Editor'!$A:$A,'Pokemon Editor'!$C:$C,""),mtype=XLOOKUP(XLOOKUP($Q152,'Threshold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Chart'!$B$1:$S$1,0)))),base,IF(OR(cat="Status",pow=0),0,FLOOR(FLOOR(FLOOR((2*XLOOKUP($Q152,'Threshold Summary'!$Y:$Y,'Threshold Summary'!$L:$L,"")/5+2)*pow*atk/def)/50)+2)),modifier,stab*eff,FLOOR(base*modifier*0.85)),0)</f>
        <v/>
      </c>
      <c r="K152" s="3">
        <f>IFERROR(LET(mtype,XLOOKUP($D152,'Move Editor'!$B:$B,'Move Editor'!$C:$C,""),cat,XLOOKUP($D152,'Move Editor'!$B:$B,'Move Editor'!$D:$D,""),pow,XLOOKUP($D152,'Move Editor'!$B:$B,'Move Editor'!$E:$E,0),acc,XLOOKUP($D152,'Move Editor'!$B:$B,'Move Editor'!$F:$F,100),atk,IF(cat="Physical",FLOOR((FLOOR(((2*XLOOKUP(XLOOKUP($Q152,'Threshold Summary'!$Y:$Y,'Threshold Summary'!$K:$K,""),'Pokemon Editor'!$A:$A,'Pokemon Editor'!$F:$F,0)+31+FLOOR(XLOOKUP($Q152,'Threshold Summary'!$Y:$Y,'Threshold Summary'!$P:$P,"")/4))*XLOOKUP($Q152,'Threshold Summary'!$Y:$Y,'Threshold Summary'!$L:$L,""))/100)+5)*XLOOKUP(XLOOKUP($Q152,'Threshold Summary'!$Y:$Y,'Threshold Summary'!$M:$M,""),'Nature Editor'!$A:$A,'Nature Editor'!$B:$B,1)),FLOOR((FLOOR(((2*XLOOKUP(XLOOKUP($Q152,'Threshold Summary'!$Y:$Y,'Threshold Summary'!$K:$K,""),'Pokemon Editor'!$A:$A,'Pokemon Editor'!$H:$H,0)+31+FLOOR(XLOOKUP($Q152,'Threshold Summary'!$Y:$Y,'Threshold Summary'!$R:$R,"")/4))*XLOOKUP($Q152,'Threshold Summary'!$Y:$Y,'Threshold Summary'!$L:$L,""))/100)+5)*XLOOKUP(XLOOKUP($Q152,'Threshold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Editor'!$E:$E,1))),stab,IF(OR(mtype=XLOOKUP(XLOOKUP($Q152,'Threshold Summary'!$Y:$Y,'Threshold Summary'!$K:$K,""),'Pokemon Editor'!$A:$A,'Pokemon Editor'!$C:$C,""),mtype=XLOOKUP(XLOOKUP($Q152,'Threshold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Chart'!$B$1:$S$1,0)))),base,IF(OR(cat="Status",pow=0),0,FLOOR(FLOOR(FLOOR((2*XLOOKUP($Q152,'Threshold Summary'!$Y:$Y,'Threshold Summary'!$L:$L,"")/5+2)*pow*atk/def)/50)+2)),modifier,stab*eff,FLOOR(base*modifier)),0)</f>
        <v/>
      </c>
      <c r="L152" s="3">
        <f>IFERROR(LET(mtype,XLOOKUP($D152,'Move Editor'!$B:$B,'Move Editor'!$C:$C,""),cat,XLOOKUP($D152,'Move Editor'!$B:$B,'Move Editor'!$D:$D,""),pow,XLOOKUP($D152,'Move Editor'!$B:$B,'Move Editor'!$E:$E,0),acc,XLOOKUP($D152,'Move Editor'!$B:$B,'Move Editor'!$F:$F,100),atk,IF(cat="Physical",FLOOR((FLOOR(((2*XLOOKUP(XLOOKUP($Q152,'Threshold Summary'!$Y:$Y,'Threshold Summary'!$K:$K,""),'Pokemon Editor'!$A:$A,'Pokemon Editor'!$F:$F,0)+31+FLOOR(XLOOKUP($Q152,'Threshold Summary'!$Y:$Y,'Threshold Summary'!$P:$P,"")/4))*XLOOKUP($Q152,'Threshold Summary'!$Y:$Y,'Threshold Summary'!$L:$L,""))/100)+5)*XLOOKUP(XLOOKUP($Q152,'Threshold Summary'!$Y:$Y,'Threshold Summary'!$M:$M,""),'Nature Editor'!$A:$A,'Nature Editor'!$B:$B,1)),FLOOR((FLOOR(((2*XLOOKUP(XLOOKUP($Q152,'Threshold Summary'!$Y:$Y,'Threshold Summary'!$K:$K,""),'Pokemon Editor'!$A:$A,'Pokemon Editor'!$H:$H,0)+31+FLOOR(XLOOKUP($Q152,'Threshold Summary'!$Y:$Y,'Threshold Summary'!$R:$R,"")/4))*XLOOKUP($Q152,'Threshold Summary'!$Y:$Y,'Threshold Summary'!$L:$L,""))/100)+5)*XLOOKUP(XLOOKUP($Q152,'Threshold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Editor'!$E:$E,1))),stab,IF(OR(mtype=XLOOKUP(XLOOKUP($Q152,'Threshold Summary'!$Y:$Y,'Threshold Summary'!$K:$K,""),'Pokemon Editor'!$A:$A,'Pokemon Editor'!$C:$C,""),mtype=XLOOKUP(XLOOKUP($Q152,'Threshold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Chart'!$B$1:$S$1,0)))),base,IF(OR(cat="Status",pow=0),0,FLOOR(FLOOR(FLOOR((2*XLOOKUP($Q152,'Threshold Summary'!$Y:$Y,'Threshold Summary'!$L:$L,"")/5+2)*pow*atk/def)/50)+2)),modifier,stab*eff,AVERAGE(ARRAYFORMULA(FLOOR(base*modifier*SEQUENCE(16,1,85,1)/100)))),0)</f>
        <v/>
      </c>
      <c r="M152" s="3">
        <f>IFERROR(LET(mtype,XLOOKUP($D152,'Move Editor'!$B:$B,'Move Editor'!$C:$C,""),cat,XLOOKUP($D152,'Move Editor'!$B:$B,'Move Editor'!$D:$D,""),pow,XLOOKUP($D152,'Move Editor'!$B:$B,'Move Editor'!$E:$E,0),acc,XLOOKUP($D152,'Move Editor'!$B:$B,'Move Editor'!$F:$F,100),atk,IF(cat="Physical",FLOOR((FLOOR(((2*XLOOKUP(XLOOKUP($Q152,'Threshold Summary'!$Y:$Y,'Threshold Summary'!$K:$K,""),'Pokemon Editor'!$A:$A,'Pokemon Editor'!$F:$F,0)+31+FLOOR(XLOOKUP($Q152,'Threshold Summary'!$Y:$Y,'Threshold Summary'!$P:$P,"")/4))*XLOOKUP($Q152,'Threshold Summary'!$Y:$Y,'Threshold Summary'!$L:$L,""))/100)+5)*XLOOKUP(XLOOKUP($Q152,'Threshold Summary'!$Y:$Y,'Threshold Summary'!$M:$M,""),'Nature Editor'!$A:$A,'Nature Editor'!$B:$B,1)),FLOOR((FLOOR(((2*XLOOKUP(XLOOKUP($Q152,'Threshold Summary'!$Y:$Y,'Threshold Summary'!$K:$K,""),'Pokemon Editor'!$A:$A,'Pokemon Editor'!$H:$H,0)+31+FLOOR(XLOOKUP($Q152,'Threshold Summary'!$Y:$Y,'Threshold Summary'!$R:$R,"")/4))*XLOOKUP($Q152,'Threshold Summary'!$Y:$Y,'Threshold Summary'!$L:$L,""))/100)+5)*XLOOKUP(XLOOKUP($Q152,'Threshold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Editor'!$E:$E,1))),stab,IF(OR(mtype=XLOOKUP(XLOOKUP($Q152,'Threshold Summary'!$Y:$Y,'Threshold Summary'!$K:$K,""),'Pokemon Editor'!$A:$A,'Pokemon Editor'!$C:$C,""),mtype=XLOOKUP(XLOOKUP($Q152,'Threshold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Chart'!$B$1:$S$1,0)))),base,IF(OR(cat="Status",pow=0),0,FLOOR(FLOOR(FLOOR((2*XLOOKUP($Q152,'Threshold Summary'!$Y:$Y,'Threshold Summary'!$L:$L,"")/5+2)*pow*atk/def)/50)+2)),modifier,stab*eff,AVERAGE(ARRAYFORMULA(FLOOR(base*modifier*SEQUENCE(16,1,85,1)/100)))*MIN(1,acc/100)),0)</f>
        <v/>
      </c>
      <c r="N152" s="4">
        <f>IFERROR(LET(mtype,XLOOKUP($D152,'Move Editor'!$B:$B,'Move Editor'!$C:$C,""),cat,XLOOKUP($D152,'Move Editor'!$B:$B,'Move Editor'!$D:$D,""),pow,XLOOKUP($D152,'Move Editor'!$B:$B,'Move Editor'!$E:$E,0),acc,XLOOKUP($D152,'Move Editor'!$B:$B,'Move Editor'!$F:$F,100),atk,IF(cat="Physical",FLOOR((FLOOR(((2*XLOOKUP(XLOOKUP($Q152,'Threshold Summary'!$Y:$Y,'Threshold Summary'!$K:$K,""),'Pokemon Editor'!$A:$A,'Pokemon Editor'!$F:$F,0)+31+FLOOR(XLOOKUP($Q152,'Threshold Summary'!$Y:$Y,'Threshold Summary'!$P:$P,"")/4))*XLOOKUP($Q152,'Threshold Summary'!$Y:$Y,'Threshold Summary'!$L:$L,""))/100)+5)*XLOOKUP(XLOOKUP($Q152,'Threshold Summary'!$Y:$Y,'Threshold Summary'!$M:$M,""),'Nature Editor'!$A:$A,'Nature Editor'!$B:$B,1)),FLOOR((FLOOR(((2*XLOOKUP(XLOOKUP($Q152,'Threshold Summary'!$Y:$Y,'Threshold Summary'!$K:$K,""),'Pokemon Editor'!$A:$A,'Pokemon Editor'!$H:$H,0)+31+FLOOR(XLOOKUP($Q152,'Threshold Summary'!$Y:$Y,'Threshold Summary'!$R:$R,"")/4))*XLOOKUP($Q152,'Threshold Summary'!$Y:$Y,'Threshold Summary'!$L:$L,""))/100)+5)*XLOOKUP(XLOOKUP($Q152,'Threshold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Editor'!$E:$E,1))),stab,IF(OR(mtype=XLOOKUP(XLOOKUP($Q152,'Threshold Summary'!$Y:$Y,'Threshold Summary'!$K:$K,""),'Pokemon Editor'!$A:$A,'Pokemon Editor'!$C:$C,""),mtype=XLOOKUP(XLOOKUP($Q152,'Threshold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Chart'!$B$1:$S$1,0)))),base,IF(OR(cat="Status",pow=0),0,FLOOR(FLOOR(FLOOR((2*XLOOKUP($Q152,'Threshold Summary'!$Y:$Y,'Threshold Summary'!$L:$L,"")/5+2)*pow*atk/def)/50)+2)),modifier,stab*eff,AVERAGE(ARRAYFORMULA(FLOOR(base*modifier*SEQUENCE(16,1,85,1)/100)))/(FLOOR(((2*XLOOKUP('Boss Editor'!$C$4,'Pokemon Editor'!$A:$A,'Pokemon Editor'!$E:$E,0)+31+FLOOR('Boss Editor'!$G$4/4))*'Boss Editor'!$D$4)/100)+'Boss Editor'!$D$4+10)),0)</f>
        <v/>
      </c>
      <c r="O152" s="3">
        <f>IF(N152&gt;=1,"OHKO",IF(N152&gt;=0.5,"2HKO",IF(N152&gt;=0.333,"3HKO",IF(N152&gt;=0.25,"4HKO","5HKO+"))))</f>
        <v/>
      </c>
      <c r="P152" s="3" t="inlineStr">
        <is>
          <t>Live from editable databases</t>
        </is>
      </c>
      <c r="Q152" s="3" t="inlineStr">
        <is>
          <t>SPECIES_TORCHIC</t>
        </is>
      </c>
      <c r="R152" s="3" t="n">
        <v>23</v>
      </c>
    </row>
    <row r="153">
      <c r="A153" s="3">
        <f>XLOOKUP($Q153,'Threshold Summary'!$Y:$Y,'Threshold Summary'!$A:$A,"")</f>
        <v/>
      </c>
      <c r="B153" s="3">
        <f>XLOOKUP($Q153,'Threshold Summary'!$Y:$Y,'Threshold Summary'!$M:$M,"")</f>
        <v/>
      </c>
      <c r="C153" s="3">
        <f>XLOOKUP($Q153,'Threshold Summary'!$Y:$Y,'Threshold Summary'!$N:$N,"")</f>
        <v/>
      </c>
      <c r="D153" s="3">
        <f>IFERROR(INDEX(FILTER('Learnset Editor'!$D$2:$D,'Learnset Editor'!$A$2:$A=XLOOKUP($Q153,'Threshold Summary'!$Y:$Y,'Threshold Summary'!$K:$K,""),'Learnset Editor'!$C$2:$C&lt;=XLOOKUP($Q153,'Threshold Summary'!$Y:$Y,'Threshold Summary'!$L:$L,"")),$R153),"")</f>
        <v/>
      </c>
      <c r="E153" s="3">
        <f>XLOOKUP(D153,'Move Editor'!$B:$B,'Move Editor'!$C:$C,"")</f>
        <v/>
      </c>
      <c r="F153" s="3">
        <f>XLOOKUP(D153,'Move Editor'!$B:$B,'Move Editor'!$D:$D,"")</f>
        <v/>
      </c>
      <c r="G153" s="3">
        <f>XLOOKUP(D153,'Move Editor'!$B:$B,'Move Editor'!$E:$E,0)</f>
        <v/>
      </c>
      <c r="H153" s="3">
        <f>XLOOKUP(D153,'Move Editor'!$B:$B,'Move Editor'!$F:$F,0)</f>
        <v/>
      </c>
      <c r="I153" s="3">
        <f>(INDEX('Type Chart'!$B:$S,MATCH(E153,'Type Chart'!$A:$A,0),MATCH(XLOOKUP('Boss Editor'!$C$4,'Pokemon Editor'!$A:$A,'Pokemon Editor'!$C:$C,""),'Type Chart'!$B$1:$S$1,0))*IF(XLOOKUP('Boss Editor'!$C$4,'Pokemon Editor'!$A:$A,'Pokemon Editor'!$D:$D,"")="",1,INDEX('Type Chart'!$B:$S,MATCH(E153,'Type Chart'!$A:$A,0),MATCH(XLOOKUP('Boss Editor'!$C$4,'Pokemon Editor'!$A:$A,'Pokemon Editor'!$D:$D,""),'Type Chart'!$B$1:$S$1,0))))</f>
        <v/>
      </c>
      <c r="J153" s="3">
        <f>IFERROR(LET(mtype,XLOOKUP($D153,'Move Editor'!$B:$B,'Move Editor'!$C:$C,""),cat,XLOOKUP($D153,'Move Editor'!$B:$B,'Move Editor'!$D:$D,""),pow,XLOOKUP($D153,'Move Editor'!$B:$B,'Move Editor'!$E:$E,0),acc,XLOOKUP($D153,'Move Editor'!$B:$B,'Move Editor'!$F:$F,100),atk,IF(cat="Physical",FLOOR((FLOOR(((2*XLOOKUP(XLOOKUP($Q153,'Threshold Summary'!$Y:$Y,'Threshold Summary'!$K:$K,""),'Pokemon Editor'!$A:$A,'Pokemon Editor'!$F:$F,0)+31+FLOOR(XLOOKUP($Q153,'Threshold Summary'!$Y:$Y,'Threshold Summary'!$P:$P,"")/4))*XLOOKUP($Q153,'Threshold Summary'!$Y:$Y,'Threshold Summary'!$L:$L,""))/100)+5)*XLOOKUP(XLOOKUP($Q153,'Threshold Summary'!$Y:$Y,'Threshold Summary'!$M:$M,""),'Nature Editor'!$A:$A,'Nature Editor'!$B:$B,1)),FLOOR((FLOOR(((2*XLOOKUP(XLOOKUP($Q153,'Threshold Summary'!$Y:$Y,'Threshold Summary'!$K:$K,""),'Pokemon Editor'!$A:$A,'Pokemon Editor'!$H:$H,0)+31+FLOOR(XLOOKUP($Q153,'Threshold Summary'!$Y:$Y,'Threshold Summary'!$R:$R,"")/4))*XLOOKUP($Q153,'Threshold Summary'!$Y:$Y,'Threshold Summary'!$L:$L,""))/100)+5)*XLOOKUP(XLOOKUP($Q153,'Threshold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Editor'!$E:$E,1))),stab,IF(OR(mtype=XLOOKUP(XLOOKUP($Q153,'Threshold Summary'!$Y:$Y,'Threshold Summary'!$K:$K,""),'Pokemon Editor'!$A:$A,'Pokemon Editor'!$C:$C,""),mtype=XLOOKUP(XLOOKUP($Q153,'Threshold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Chart'!$B$1:$S$1,0)))),base,IF(OR(cat="Status",pow=0),0,FLOOR(FLOOR(FLOOR((2*XLOOKUP($Q153,'Threshold Summary'!$Y:$Y,'Threshold Summary'!$L:$L,"")/5+2)*pow*atk/def)/50)+2)),modifier,stab*eff,FLOOR(base*modifier*0.85)),0)</f>
        <v/>
      </c>
      <c r="K153" s="3">
        <f>IFERROR(LET(mtype,XLOOKUP($D153,'Move Editor'!$B:$B,'Move Editor'!$C:$C,""),cat,XLOOKUP($D153,'Move Editor'!$B:$B,'Move Editor'!$D:$D,""),pow,XLOOKUP($D153,'Move Editor'!$B:$B,'Move Editor'!$E:$E,0),acc,XLOOKUP($D153,'Move Editor'!$B:$B,'Move Editor'!$F:$F,100),atk,IF(cat="Physical",FLOOR((FLOOR(((2*XLOOKUP(XLOOKUP($Q153,'Threshold Summary'!$Y:$Y,'Threshold Summary'!$K:$K,""),'Pokemon Editor'!$A:$A,'Pokemon Editor'!$F:$F,0)+31+FLOOR(XLOOKUP($Q153,'Threshold Summary'!$Y:$Y,'Threshold Summary'!$P:$P,"")/4))*XLOOKUP($Q153,'Threshold Summary'!$Y:$Y,'Threshold Summary'!$L:$L,""))/100)+5)*XLOOKUP(XLOOKUP($Q153,'Threshold Summary'!$Y:$Y,'Threshold Summary'!$M:$M,""),'Nature Editor'!$A:$A,'Nature Editor'!$B:$B,1)),FLOOR((FLOOR(((2*XLOOKUP(XLOOKUP($Q153,'Threshold Summary'!$Y:$Y,'Threshold Summary'!$K:$K,""),'Pokemon Editor'!$A:$A,'Pokemon Editor'!$H:$H,0)+31+FLOOR(XLOOKUP($Q153,'Threshold Summary'!$Y:$Y,'Threshold Summary'!$R:$R,"")/4))*XLOOKUP($Q153,'Threshold Summary'!$Y:$Y,'Threshold Summary'!$L:$L,""))/100)+5)*XLOOKUP(XLOOKUP($Q153,'Threshold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Editor'!$E:$E,1))),stab,IF(OR(mtype=XLOOKUP(XLOOKUP($Q153,'Threshold Summary'!$Y:$Y,'Threshold Summary'!$K:$K,""),'Pokemon Editor'!$A:$A,'Pokemon Editor'!$C:$C,""),mtype=XLOOKUP(XLOOKUP($Q153,'Threshold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Chart'!$B$1:$S$1,0)))),base,IF(OR(cat="Status",pow=0),0,FLOOR(FLOOR(FLOOR((2*XLOOKUP($Q153,'Threshold Summary'!$Y:$Y,'Threshold Summary'!$L:$L,"")/5+2)*pow*atk/def)/50)+2)),modifier,stab*eff,FLOOR(base*modifier)),0)</f>
        <v/>
      </c>
      <c r="L153" s="3">
        <f>IFERROR(LET(mtype,XLOOKUP($D153,'Move Editor'!$B:$B,'Move Editor'!$C:$C,""),cat,XLOOKUP($D153,'Move Editor'!$B:$B,'Move Editor'!$D:$D,""),pow,XLOOKUP($D153,'Move Editor'!$B:$B,'Move Editor'!$E:$E,0),acc,XLOOKUP($D153,'Move Editor'!$B:$B,'Move Editor'!$F:$F,100),atk,IF(cat="Physical",FLOOR((FLOOR(((2*XLOOKUP(XLOOKUP($Q153,'Threshold Summary'!$Y:$Y,'Threshold Summary'!$K:$K,""),'Pokemon Editor'!$A:$A,'Pokemon Editor'!$F:$F,0)+31+FLOOR(XLOOKUP($Q153,'Threshold Summary'!$Y:$Y,'Threshold Summary'!$P:$P,"")/4))*XLOOKUP($Q153,'Threshold Summary'!$Y:$Y,'Threshold Summary'!$L:$L,""))/100)+5)*XLOOKUP(XLOOKUP($Q153,'Threshold Summary'!$Y:$Y,'Threshold Summary'!$M:$M,""),'Nature Editor'!$A:$A,'Nature Editor'!$B:$B,1)),FLOOR((FLOOR(((2*XLOOKUP(XLOOKUP($Q153,'Threshold Summary'!$Y:$Y,'Threshold Summary'!$K:$K,""),'Pokemon Editor'!$A:$A,'Pokemon Editor'!$H:$H,0)+31+FLOOR(XLOOKUP($Q153,'Threshold Summary'!$Y:$Y,'Threshold Summary'!$R:$R,"")/4))*XLOOKUP($Q153,'Threshold Summary'!$Y:$Y,'Threshold Summary'!$L:$L,""))/100)+5)*XLOOKUP(XLOOKUP($Q153,'Threshold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Editor'!$E:$E,1))),stab,IF(OR(mtype=XLOOKUP(XLOOKUP($Q153,'Threshold Summary'!$Y:$Y,'Threshold Summary'!$K:$K,""),'Pokemon Editor'!$A:$A,'Pokemon Editor'!$C:$C,""),mtype=XLOOKUP(XLOOKUP($Q153,'Threshold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Chart'!$B$1:$S$1,0)))),base,IF(OR(cat="Status",pow=0),0,FLOOR(FLOOR(FLOOR((2*XLOOKUP($Q153,'Threshold Summary'!$Y:$Y,'Threshold Summary'!$L:$L,"")/5+2)*pow*atk/def)/50)+2)),modifier,stab*eff,AVERAGE(ARRAYFORMULA(FLOOR(base*modifier*SEQUENCE(16,1,85,1)/100)))),0)</f>
        <v/>
      </c>
      <c r="M153" s="3">
        <f>IFERROR(LET(mtype,XLOOKUP($D153,'Move Editor'!$B:$B,'Move Editor'!$C:$C,""),cat,XLOOKUP($D153,'Move Editor'!$B:$B,'Move Editor'!$D:$D,""),pow,XLOOKUP($D153,'Move Editor'!$B:$B,'Move Editor'!$E:$E,0),acc,XLOOKUP($D153,'Move Editor'!$B:$B,'Move Editor'!$F:$F,100),atk,IF(cat="Physical",FLOOR((FLOOR(((2*XLOOKUP(XLOOKUP($Q153,'Threshold Summary'!$Y:$Y,'Threshold Summary'!$K:$K,""),'Pokemon Editor'!$A:$A,'Pokemon Editor'!$F:$F,0)+31+FLOOR(XLOOKUP($Q153,'Threshold Summary'!$Y:$Y,'Threshold Summary'!$P:$P,"")/4))*XLOOKUP($Q153,'Threshold Summary'!$Y:$Y,'Threshold Summary'!$L:$L,""))/100)+5)*XLOOKUP(XLOOKUP($Q153,'Threshold Summary'!$Y:$Y,'Threshold Summary'!$M:$M,""),'Nature Editor'!$A:$A,'Nature Editor'!$B:$B,1)),FLOOR((FLOOR(((2*XLOOKUP(XLOOKUP($Q153,'Threshold Summary'!$Y:$Y,'Threshold Summary'!$K:$K,""),'Pokemon Editor'!$A:$A,'Pokemon Editor'!$H:$H,0)+31+FLOOR(XLOOKUP($Q153,'Threshold Summary'!$Y:$Y,'Threshold Summary'!$R:$R,"")/4))*XLOOKUP($Q153,'Threshold Summary'!$Y:$Y,'Threshold Summary'!$L:$L,""))/100)+5)*XLOOKUP(XLOOKUP($Q153,'Threshold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Editor'!$E:$E,1))),stab,IF(OR(mtype=XLOOKUP(XLOOKUP($Q153,'Threshold Summary'!$Y:$Y,'Threshold Summary'!$K:$K,""),'Pokemon Editor'!$A:$A,'Pokemon Editor'!$C:$C,""),mtype=XLOOKUP(XLOOKUP($Q153,'Threshold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Chart'!$B$1:$S$1,0)))),base,IF(OR(cat="Status",pow=0),0,FLOOR(FLOOR(FLOOR((2*XLOOKUP($Q153,'Threshold Summary'!$Y:$Y,'Threshold Summary'!$L:$L,"")/5+2)*pow*atk/def)/50)+2)),modifier,stab*eff,AVERAGE(ARRAYFORMULA(FLOOR(base*modifier*SEQUENCE(16,1,85,1)/100)))*MIN(1,acc/100)),0)</f>
        <v/>
      </c>
      <c r="N153" s="4">
        <f>IFERROR(LET(mtype,XLOOKUP($D153,'Move Editor'!$B:$B,'Move Editor'!$C:$C,""),cat,XLOOKUP($D153,'Move Editor'!$B:$B,'Move Editor'!$D:$D,""),pow,XLOOKUP($D153,'Move Editor'!$B:$B,'Move Editor'!$E:$E,0),acc,XLOOKUP($D153,'Move Editor'!$B:$B,'Move Editor'!$F:$F,100),atk,IF(cat="Physical",FLOOR((FLOOR(((2*XLOOKUP(XLOOKUP($Q153,'Threshold Summary'!$Y:$Y,'Threshold Summary'!$K:$K,""),'Pokemon Editor'!$A:$A,'Pokemon Editor'!$F:$F,0)+31+FLOOR(XLOOKUP($Q153,'Threshold Summary'!$Y:$Y,'Threshold Summary'!$P:$P,"")/4))*XLOOKUP($Q153,'Threshold Summary'!$Y:$Y,'Threshold Summary'!$L:$L,""))/100)+5)*XLOOKUP(XLOOKUP($Q153,'Threshold Summary'!$Y:$Y,'Threshold Summary'!$M:$M,""),'Nature Editor'!$A:$A,'Nature Editor'!$B:$B,1)),FLOOR((FLOOR(((2*XLOOKUP(XLOOKUP($Q153,'Threshold Summary'!$Y:$Y,'Threshold Summary'!$K:$K,""),'Pokemon Editor'!$A:$A,'Pokemon Editor'!$H:$H,0)+31+FLOOR(XLOOKUP($Q153,'Threshold Summary'!$Y:$Y,'Threshold Summary'!$R:$R,"")/4))*XLOOKUP($Q153,'Threshold Summary'!$Y:$Y,'Threshold Summary'!$L:$L,""))/100)+5)*XLOOKUP(XLOOKUP($Q153,'Threshold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Editor'!$E:$E,1))),stab,IF(OR(mtype=XLOOKUP(XLOOKUP($Q153,'Threshold Summary'!$Y:$Y,'Threshold Summary'!$K:$K,""),'Pokemon Editor'!$A:$A,'Pokemon Editor'!$C:$C,""),mtype=XLOOKUP(XLOOKUP($Q153,'Threshold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Chart'!$B$1:$S$1,0)))),base,IF(OR(cat="Status",pow=0),0,FLOOR(FLOOR(FLOOR((2*XLOOKUP($Q153,'Threshold Summary'!$Y:$Y,'Threshold Summary'!$L:$L,"")/5+2)*pow*atk/def)/50)+2)),modifier,stab*eff,AVERAGE(ARRAYFORMULA(FLOOR(base*modifier*SEQUENCE(16,1,85,1)/100)))/(FLOOR(((2*XLOOKUP('Boss Editor'!$C$4,'Pokemon Editor'!$A:$A,'Pokemon Editor'!$E:$E,0)+31+FLOOR('Boss Editor'!$G$4/4))*'Boss Editor'!$D$4)/100)+'Boss Editor'!$D$4+10)),0)</f>
        <v/>
      </c>
      <c r="O153" s="3">
        <f>IF(N153&gt;=1,"OHKO",IF(N153&gt;=0.5,"2HKO",IF(N153&gt;=0.333,"3HKO",IF(N153&gt;=0.25,"4HKO","5HKO+"))))</f>
        <v/>
      </c>
      <c r="P153" s="3" t="inlineStr">
        <is>
          <t>Live from editable databases</t>
        </is>
      </c>
      <c r="Q153" s="3" t="inlineStr">
        <is>
          <t>SPECIES_TORCHIC</t>
        </is>
      </c>
      <c r="R153" s="3" t="n">
        <v>24</v>
      </c>
    </row>
    <row r="154">
      <c r="A154" s="3">
        <f>XLOOKUP($Q154,'Threshold Summary'!$Y:$Y,'Threshold Summary'!$A:$A,"")</f>
        <v/>
      </c>
      <c r="B154" s="3">
        <f>XLOOKUP($Q154,'Threshold Summary'!$Y:$Y,'Threshold Summary'!$M:$M,"")</f>
        <v/>
      </c>
      <c r="C154" s="3">
        <f>XLOOKUP($Q154,'Threshold Summary'!$Y:$Y,'Threshold Summary'!$N:$N,"")</f>
        <v/>
      </c>
      <c r="D154" s="3">
        <f>IFERROR(INDEX(FILTER('Learnset Editor'!$D$2:$D,'Learnset Editor'!$A$2:$A=XLOOKUP($Q154,'Threshold Summary'!$Y:$Y,'Threshold Summary'!$K:$K,""),'Learnset Editor'!$C$2:$C&lt;=XLOOKUP($Q154,'Threshold Summary'!$Y:$Y,'Threshold Summary'!$L:$L,"")),$R154),"")</f>
        <v/>
      </c>
      <c r="E154" s="3">
        <f>XLOOKUP(D154,'Move Editor'!$B:$B,'Move Editor'!$C:$C,"")</f>
        <v/>
      </c>
      <c r="F154" s="3">
        <f>XLOOKUP(D154,'Move Editor'!$B:$B,'Move Editor'!$D:$D,"")</f>
        <v/>
      </c>
      <c r="G154" s="3">
        <f>XLOOKUP(D154,'Move Editor'!$B:$B,'Move Editor'!$E:$E,0)</f>
        <v/>
      </c>
      <c r="H154" s="3">
        <f>XLOOKUP(D154,'Move Editor'!$B:$B,'Move Editor'!$F:$F,0)</f>
        <v/>
      </c>
      <c r="I154" s="3">
        <f>(INDEX('Type Chart'!$B:$S,MATCH(E154,'Type Chart'!$A:$A,0),MATCH(XLOOKUP('Boss Editor'!$C$4,'Pokemon Editor'!$A:$A,'Pokemon Editor'!$C:$C,""),'Type Chart'!$B$1:$S$1,0))*IF(XLOOKUP('Boss Editor'!$C$4,'Pokemon Editor'!$A:$A,'Pokemon Editor'!$D:$D,"")="",1,INDEX('Type Chart'!$B:$S,MATCH(E154,'Type Chart'!$A:$A,0),MATCH(XLOOKUP('Boss Editor'!$C$4,'Pokemon Editor'!$A:$A,'Pokemon Editor'!$D:$D,""),'Type Chart'!$B$1:$S$1,0))))</f>
        <v/>
      </c>
      <c r="J154" s="3">
        <f>IFERROR(LET(mtype,XLOOKUP($D154,'Move Editor'!$B:$B,'Move Editor'!$C:$C,""),cat,XLOOKUP($D154,'Move Editor'!$B:$B,'Move Editor'!$D:$D,""),pow,XLOOKUP($D154,'Move Editor'!$B:$B,'Move Editor'!$E:$E,0),acc,XLOOKUP($D154,'Move Editor'!$B:$B,'Move Editor'!$F:$F,100),atk,IF(cat="Physical",FLOOR((FLOOR(((2*XLOOKUP(XLOOKUP($Q154,'Threshold Summary'!$Y:$Y,'Threshold Summary'!$K:$K,""),'Pokemon Editor'!$A:$A,'Pokemon Editor'!$F:$F,0)+31+FLOOR(XLOOKUP($Q154,'Threshold Summary'!$Y:$Y,'Threshold Summary'!$P:$P,"")/4))*XLOOKUP($Q154,'Threshold Summary'!$Y:$Y,'Threshold Summary'!$L:$L,""))/100)+5)*XLOOKUP(XLOOKUP($Q154,'Threshold Summary'!$Y:$Y,'Threshold Summary'!$M:$M,""),'Nature Editor'!$A:$A,'Nature Editor'!$B:$B,1)),FLOOR((FLOOR(((2*XLOOKUP(XLOOKUP($Q154,'Threshold Summary'!$Y:$Y,'Threshold Summary'!$K:$K,""),'Pokemon Editor'!$A:$A,'Pokemon Editor'!$H:$H,0)+31+FLOOR(XLOOKUP($Q154,'Threshold Summary'!$Y:$Y,'Threshold Summary'!$R:$R,"")/4))*XLOOKUP($Q154,'Threshold Summary'!$Y:$Y,'Threshold Summary'!$L:$L,""))/100)+5)*XLOOKUP(XLOOKUP($Q154,'Threshold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Editor'!$E:$E,1))),stab,IF(OR(mtype=XLOOKUP(XLOOKUP($Q154,'Threshold Summary'!$Y:$Y,'Threshold Summary'!$K:$K,""),'Pokemon Editor'!$A:$A,'Pokemon Editor'!$C:$C,""),mtype=XLOOKUP(XLOOKUP($Q154,'Threshold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Chart'!$B$1:$S$1,0)))),base,IF(OR(cat="Status",pow=0),0,FLOOR(FLOOR(FLOOR((2*XLOOKUP($Q154,'Threshold Summary'!$Y:$Y,'Threshold Summary'!$L:$L,"")/5+2)*pow*atk/def)/50)+2)),modifier,stab*eff,FLOOR(base*modifier*0.85)),0)</f>
        <v/>
      </c>
      <c r="K154" s="3">
        <f>IFERROR(LET(mtype,XLOOKUP($D154,'Move Editor'!$B:$B,'Move Editor'!$C:$C,""),cat,XLOOKUP($D154,'Move Editor'!$B:$B,'Move Editor'!$D:$D,""),pow,XLOOKUP($D154,'Move Editor'!$B:$B,'Move Editor'!$E:$E,0),acc,XLOOKUP($D154,'Move Editor'!$B:$B,'Move Editor'!$F:$F,100),atk,IF(cat="Physical",FLOOR((FLOOR(((2*XLOOKUP(XLOOKUP($Q154,'Threshold Summary'!$Y:$Y,'Threshold Summary'!$K:$K,""),'Pokemon Editor'!$A:$A,'Pokemon Editor'!$F:$F,0)+31+FLOOR(XLOOKUP($Q154,'Threshold Summary'!$Y:$Y,'Threshold Summary'!$P:$P,"")/4))*XLOOKUP($Q154,'Threshold Summary'!$Y:$Y,'Threshold Summary'!$L:$L,""))/100)+5)*XLOOKUP(XLOOKUP($Q154,'Threshold Summary'!$Y:$Y,'Threshold Summary'!$M:$M,""),'Nature Editor'!$A:$A,'Nature Editor'!$B:$B,1)),FLOOR((FLOOR(((2*XLOOKUP(XLOOKUP($Q154,'Threshold Summary'!$Y:$Y,'Threshold Summary'!$K:$K,""),'Pokemon Editor'!$A:$A,'Pokemon Editor'!$H:$H,0)+31+FLOOR(XLOOKUP($Q154,'Threshold Summary'!$Y:$Y,'Threshold Summary'!$R:$R,"")/4))*XLOOKUP($Q154,'Threshold Summary'!$Y:$Y,'Threshold Summary'!$L:$L,""))/100)+5)*XLOOKUP(XLOOKUP($Q154,'Threshold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Editor'!$E:$E,1))),stab,IF(OR(mtype=XLOOKUP(XLOOKUP($Q154,'Threshold Summary'!$Y:$Y,'Threshold Summary'!$K:$K,""),'Pokemon Editor'!$A:$A,'Pokemon Editor'!$C:$C,""),mtype=XLOOKUP(XLOOKUP($Q154,'Threshold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Chart'!$B$1:$S$1,0)))),base,IF(OR(cat="Status",pow=0),0,FLOOR(FLOOR(FLOOR((2*XLOOKUP($Q154,'Threshold Summary'!$Y:$Y,'Threshold Summary'!$L:$L,"")/5+2)*pow*atk/def)/50)+2)),modifier,stab*eff,FLOOR(base*modifier)),0)</f>
        <v/>
      </c>
      <c r="L154" s="3">
        <f>IFERROR(LET(mtype,XLOOKUP($D154,'Move Editor'!$B:$B,'Move Editor'!$C:$C,""),cat,XLOOKUP($D154,'Move Editor'!$B:$B,'Move Editor'!$D:$D,""),pow,XLOOKUP($D154,'Move Editor'!$B:$B,'Move Editor'!$E:$E,0),acc,XLOOKUP($D154,'Move Editor'!$B:$B,'Move Editor'!$F:$F,100),atk,IF(cat="Physical",FLOOR((FLOOR(((2*XLOOKUP(XLOOKUP($Q154,'Threshold Summary'!$Y:$Y,'Threshold Summary'!$K:$K,""),'Pokemon Editor'!$A:$A,'Pokemon Editor'!$F:$F,0)+31+FLOOR(XLOOKUP($Q154,'Threshold Summary'!$Y:$Y,'Threshold Summary'!$P:$P,"")/4))*XLOOKUP($Q154,'Threshold Summary'!$Y:$Y,'Threshold Summary'!$L:$L,""))/100)+5)*XLOOKUP(XLOOKUP($Q154,'Threshold Summary'!$Y:$Y,'Threshold Summary'!$M:$M,""),'Nature Editor'!$A:$A,'Nature Editor'!$B:$B,1)),FLOOR((FLOOR(((2*XLOOKUP(XLOOKUP($Q154,'Threshold Summary'!$Y:$Y,'Threshold Summary'!$K:$K,""),'Pokemon Editor'!$A:$A,'Pokemon Editor'!$H:$H,0)+31+FLOOR(XLOOKUP($Q154,'Threshold Summary'!$Y:$Y,'Threshold Summary'!$R:$R,"")/4))*XLOOKUP($Q154,'Threshold Summary'!$Y:$Y,'Threshold Summary'!$L:$L,""))/100)+5)*XLOOKUP(XLOOKUP($Q154,'Threshold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Editor'!$E:$E,1))),stab,IF(OR(mtype=XLOOKUP(XLOOKUP($Q154,'Threshold Summary'!$Y:$Y,'Threshold Summary'!$K:$K,""),'Pokemon Editor'!$A:$A,'Pokemon Editor'!$C:$C,""),mtype=XLOOKUP(XLOOKUP($Q154,'Threshold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Chart'!$B$1:$S$1,0)))),base,IF(OR(cat="Status",pow=0),0,FLOOR(FLOOR(FLOOR((2*XLOOKUP($Q154,'Threshold Summary'!$Y:$Y,'Threshold Summary'!$L:$L,"")/5+2)*pow*atk/def)/50)+2)),modifier,stab*eff,AVERAGE(ARRAYFORMULA(FLOOR(base*modifier*SEQUENCE(16,1,85,1)/100)))),0)</f>
        <v/>
      </c>
      <c r="M154" s="3">
        <f>IFERROR(LET(mtype,XLOOKUP($D154,'Move Editor'!$B:$B,'Move Editor'!$C:$C,""),cat,XLOOKUP($D154,'Move Editor'!$B:$B,'Move Editor'!$D:$D,""),pow,XLOOKUP($D154,'Move Editor'!$B:$B,'Move Editor'!$E:$E,0),acc,XLOOKUP($D154,'Move Editor'!$B:$B,'Move Editor'!$F:$F,100),atk,IF(cat="Physical",FLOOR((FLOOR(((2*XLOOKUP(XLOOKUP($Q154,'Threshold Summary'!$Y:$Y,'Threshold Summary'!$K:$K,""),'Pokemon Editor'!$A:$A,'Pokemon Editor'!$F:$F,0)+31+FLOOR(XLOOKUP($Q154,'Threshold Summary'!$Y:$Y,'Threshold Summary'!$P:$P,"")/4))*XLOOKUP($Q154,'Threshold Summary'!$Y:$Y,'Threshold Summary'!$L:$L,""))/100)+5)*XLOOKUP(XLOOKUP($Q154,'Threshold Summary'!$Y:$Y,'Threshold Summary'!$M:$M,""),'Nature Editor'!$A:$A,'Nature Editor'!$B:$B,1)),FLOOR((FLOOR(((2*XLOOKUP(XLOOKUP($Q154,'Threshold Summary'!$Y:$Y,'Threshold Summary'!$K:$K,""),'Pokemon Editor'!$A:$A,'Pokemon Editor'!$H:$H,0)+31+FLOOR(XLOOKUP($Q154,'Threshold Summary'!$Y:$Y,'Threshold Summary'!$R:$R,"")/4))*XLOOKUP($Q154,'Threshold Summary'!$Y:$Y,'Threshold Summary'!$L:$L,""))/100)+5)*XLOOKUP(XLOOKUP($Q154,'Threshold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Editor'!$E:$E,1))),stab,IF(OR(mtype=XLOOKUP(XLOOKUP($Q154,'Threshold Summary'!$Y:$Y,'Threshold Summary'!$K:$K,""),'Pokemon Editor'!$A:$A,'Pokemon Editor'!$C:$C,""),mtype=XLOOKUP(XLOOKUP($Q154,'Threshold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Chart'!$B$1:$S$1,0)))),base,IF(OR(cat="Status",pow=0),0,FLOOR(FLOOR(FLOOR((2*XLOOKUP($Q154,'Threshold Summary'!$Y:$Y,'Threshold Summary'!$L:$L,"")/5+2)*pow*atk/def)/50)+2)),modifier,stab*eff,AVERAGE(ARRAYFORMULA(FLOOR(base*modifier*SEQUENCE(16,1,85,1)/100)))*MIN(1,acc/100)),0)</f>
        <v/>
      </c>
      <c r="N154" s="4">
        <f>IFERROR(LET(mtype,XLOOKUP($D154,'Move Editor'!$B:$B,'Move Editor'!$C:$C,""),cat,XLOOKUP($D154,'Move Editor'!$B:$B,'Move Editor'!$D:$D,""),pow,XLOOKUP($D154,'Move Editor'!$B:$B,'Move Editor'!$E:$E,0),acc,XLOOKUP($D154,'Move Editor'!$B:$B,'Move Editor'!$F:$F,100),atk,IF(cat="Physical",FLOOR((FLOOR(((2*XLOOKUP(XLOOKUP($Q154,'Threshold Summary'!$Y:$Y,'Threshold Summary'!$K:$K,""),'Pokemon Editor'!$A:$A,'Pokemon Editor'!$F:$F,0)+31+FLOOR(XLOOKUP($Q154,'Threshold Summary'!$Y:$Y,'Threshold Summary'!$P:$P,"")/4))*XLOOKUP($Q154,'Threshold Summary'!$Y:$Y,'Threshold Summary'!$L:$L,""))/100)+5)*XLOOKUP(XLOOKUP($Q154,'Threshold Summary'!$Y:$Y,'Threshold Summary'!$M:$M,""),'Nature Editor'!$A:$A,'Nature Editor'!$B:$B,1)),FLOOR((FLOOR(((2*XLOOKUP(XLOOKUP($Q154,'Threshold Summary'!$Y:$Y,'Threshold Summary'!$K:$K,""),'Pokemon Editor'!$A:$A,'Pokemon Editor'!$H:$H,0)+31+FLOOR(XLOOKUP($Q154,'Threshold Summary'!$Y:$Y,'Threshold Summary'!$R:$R,"")/4))*XLOOKUP($Q154,'Threshold Summary'!$Y:$Y,'Threshold Summary'!$L:$L,""))/100)+5)*XLOOKUP(XLOOKUP($Q154,'Threshold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Editor'!$E:$E,1))),stab,IF(OR(mtype=XLOOKUP(XLOOKUP($Q154,'Threshold Summary'!$Y:$Y,'Threshold Summary'!$K:$K,""),'Pokemon Editor'!$A:$A,'Pokemon Editor'!$C:$C,""),mtype=XLOOKUP(XLOOKUP($Q154,'Threshold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Chart'!$B$1:$S$1,0)))),base,IF(OR(cat="Status",pow=0),0,FLOOR(FLOOR(FLOOR((2*XLOOKUP($Q154,'Threshold Summary'!$Y:$Y,'Threshold Summary'!$L:$L,"")/5+2)*pow*atk/def)/50)+2)),modifier,stab*eff,AVERAGE(ARRAYFORMULA(FLOOR(base*modifier*SEQUENCE(16,1,85,1)/100)))/(FLOOR(((2*XLOOKUP('Boss Editor'!$C$4,'Pokemon Editor'!$A:$A,'Pokemon Editor'!$E:$E,0)+31+FLOOR('Boss Editor'!$G$4/4))*'Boss Editor'!$D$4)/100)+'Boss Editor'!$D$4+10)),0)</f>
        <v/>
      </c>
      <c r="O154" s="3">
        <f>IF(N154&gt;=1,"OHKO",IF(N154&gt;=0.5,"2HKO",IF(N154&gt;=0.333,"3HKO",IF(N154&gt;=0.25,"4HKO","5HKO+"))))</f>
        <v/>
      </c>
      <c r="P154" s="3" t="inlineStr">
        <is>
          <t>Live from editable databases</t>
        </is>
      </c>
      <c r="Q154" s="3" t="inlineStr">
        <is>
          <t>SPECIES_TORCHIC</t>
        </is>
      </c>
      <c r="R154" s="3" t="n">
        <v>25</v>
      </c>
    </row>
    <row r="155">
      <c r="A155" s="3">
        <f>XLOOKUP($Q155,'Threshold Summary'!$Y:$Y,'Threshold Summary'!$A:$A,"")</f>
        <v/>
      </c>
      <c r="B155" s="3">
        <f>XLOOKUP($Q155,'Threshold Summary'!$Y:$Y,'Threshold Summary'!$M:$M,"")</f>
        <v/>
      </c>
      <c r="C155" s="3">
        <f>XLOOKUP($Q155,'Threshold Summary'!$Y:$Y,'Threshold Summary'!$N:$N,"")</f>
        <v/>
      </c>
      <c r="D155" s="3">
        <f>IFERROR(INDEX(FILTER('Learnset Editor'!$D$2:$D,'Learnset Editor'!$A$2:$A=XLOOKUP($Q155,'Threshold Summary'!$Y:$Y,'Threshold Summary'!$K:$K,""),'Learnset Editor'!$C$2:$C&lt;=XLOOKUP($Q155,'Threshold Summary'!$Y:$Y,'Threshold Summary'!$L:$L,"")),$R155),"")</f>
        <v/>
      </c>
      <c r="E155" s="3">
        <f>XLOOKUP(D155,'Move Editor'!$B:$B,'Move Editor'!$C:$C,"")</f>
        <v/>
      </c>
      <c r="F155" s="3">
        <f>XLOOKUP(D155,'Move Editor'!$B:$B,'Move Editor'!$D:$D,"")</f>
        <v/>
      </c>
      <c r="G155" s="3">
        <f>XLOOKUP(D155,'Move Editor'!$B:$B,'Move Editor'!$E:$E,0)</f>
        <v/>
      </c>
      <c r="H155" s="3">
        <f>XLOOKUP(D155,'Move Editor'!$B:$B,'Move Editor'!$F:$F,0)</f>
        <v/>
      </c>
      <c r="I155" s="3">
        <f>(INDEX('Type Chart'!$B:$S,MATCH(E155,'Type Chart'!$A:$A,0),MATCH(XLOOKUP('Boss Editor'!$C$4,'Pokemon Editor'!$A:$A,'Pokemon Editor'!$C:$C,""),'Type Chart'!$B$1:$S$1,0))*IF(XLOOKUP('Boss Editor'!$C$4,'Pokemon Editor'!$A:$A,'Pokemon Editor'!$D:$D,"")="",1,INDEX('Type Chart'!$B:$S,MATCH(E155,'Type Chart'!$A:$A,0),MATCH(XLOOKUP('Boss Editor'!$C$4,'Pokemon Editor'!$A:$A,'Pokemon Editor'!$D:$D,""),'Type Chart'!$B$1:$S$1,0))))</f>
        <v/>
      </c>
      <c r="J155" s="3">
        <f>IFERROR(LET(mtype,XLOOKUP($D155,'Move Editor'!$B:$B,'Move Editor'!$C:$C,""),cat,XLOOKUP($D155,'Move Editor'!$B:$B,'Move Editor'!$D:$D,""),pow,XLOOKUP($D155,'Move Editor'!$B:$B,'Move Editor'!$E:$E,0),acc,XLOOKUP($D155,'Move Editor'!$B:$B,'Move Editor'!$F:$F,100),atk,IF(cat="Physical",FLOOR((FLOOR(((2*XLOOKUP(XLOOKUP($Q155,'Threshold Summary'!$Y:$Y,'Threshold Summary'!$K:$K,""),'Pokemon Editor'!$A:$A,'Pokemon Editor'!$F:$F,0)+31+FLOOR(XLOOKUP($Q155,'Threshold Summary'!$Y:$Y,'Threshold Summary'!$P:$P,"")/4))*XLOOKUP($Q155,'Threshold Summary'!$Y:$Y,'Threshold Summary'!$L:$L,""))/100)+5)*XLOOKUP(XLOOKUP($Q155,'Threshold Summary'!$Y:$Y,'Threshold Summary'!$M:$M,""),'Nature Editor'!$A:$A,'Nature Editor'!$B:$B,1)),FLOOR((FLOOR(((2*XLOOKUP(XLOOKUP($Q155,'Threshold Summary'!$Y:$Y,'Threshold Summary'!$K:$K,""),'Pokemon Editor'!$A:$A,'Pokemon Editor'!$H:$H,0)+31+FLOOR(XLOOKUP($Q155,'Threshold Summary'!$Y:$Y,'Threshold Summary'!$R:$R,"")/4))*XLOOKUP($Q155,'Threshold Summary'!$Y:$Y,'Threshold Summary'!$L:$L,""))/100)+5)*XLOOKUP(XLOOKUP($Q155,'Threshold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Editor'!$E:$E,1))),stab,IF(OR(mtype=XLOOKUP(XLOOKUP($Q155,'Threshold Summary'!$Y:$Y,'Threshold Summary'!$K:$K,""),'Pokemon Editor'!$A:$A,'Pokemon Editor'!$C:$C,""),mtype=XLOOKUP(XLOOKUP($Q155,'Threshold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Chart'!$B$1:$S$1,0)))),base,IF(OR(cat="Status",pow=0),0,FLOOR(FLOOR(FLOOR((2*XLOOKUP($Q155,'Threshold Summary'!$Y:$Y,'Threshold Summary'!$L:$L,"")/5+2)*pow*atk/def)/50)+2)),modifier,stab*eff,FLOOR(base*modifier*0.85)),0)</f>
        <v/>
      </c>
      <c r="K155" s="3">
        <f>IFERROR(LET(mtype,XLOOKUP($D155,'Move Editor'!$B:$B,'Move Editor'!$C:$C,""),cat,XLOOKUP($D155,'Move Editor'!$B:$B,'Move Editor'!$D:$D,""),pow,XLOOKUP($D155,'Move Editor'!$B:$B,'Move Editor'!$E:$E,0),acc,XLOOKUP($D155,'Move Editor'!$B:$B,'Move Editor'!$F:$F,100),atk,IF(cat="Physical",FLOOR((FLOOR(((2*XLOOKUP(XLOOKUP($Q155,'Threshold Summary'!$Y:$Y,'Threshold Summary'!$K:$K,""),'Pokemon Editor'!$A:$A,'Pokemon Editor'!$F:$F,0)+31+FLOOR(XLOOKUP($Q155,'Threshold Summary'!$Y:$Y,'Threshold Summary'!$P:$P,"")/4))*XLOOKUP($Q155,'Threshold Summary'!$Y:$Y,'Threshold Summary'!$L:$L,""))/100)+5)*XLOOKUP(XLOOKUP($Q155,'Threshold Summary'!$Y:$Y,'Threshold Summary'!$M:$M,""),'Nature Editor'!$A:$A,'Nature Editor'!$B:$B,1)),FLOOR((FLOOR(((2*XLOOKUP(XLOOKUP($Q155,'Threshold Summary'!$Y:$Y,'Threshold Summary'!$K:$K,""),'Pokemon Editor'!$A:$A,'Pokemon Editor'!$H:$H,0)+31+FLOOR(XLOOKUP($Q155,'Threshold Summary'!$Y:$Y,'Threshold Summary'!$R:$R,"")/4))*XLOOKUP($Q155,'Threshold Summary'!$Y:$Y,'Threshold Summary'!$L:$L,""))/100)+5)*XLOOKUP(XLOOKUP($Q155,'Threshold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Editor'!$E:$E,1))),stab,IF(OR(mtype=XLOOKUP(XLOOKUP($Q155,'Threshold Summary'!$Y:$Y,'Threshold Summary'!$K:$K,""),'Pokemon Editor'!$A:$A,'Pokemon Editor'!$C:$C,""),mtype=XLOOKUP(XLOOKUP($Q155,'Threshold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Chart'!$B$1:$S$1,0)))),base,IF(OR(cat="Status",pow=0),0,FLOOR(FLOOR(FLOOR((2*XLOOKUP($Q155,'Threshold Summary'!$Y:$Y,'Threshold Summary'!$L:$L,"")/5+2)*pow*atk/def)/50)+2)),modifier,stab*eff,FLOOR(base*modifier)),0)</f>
        <v/>
      </c>
      <c r="L155" s="3">
        <f>IFERROR(LET(mtype,XLOOKUP($D155,'Move Editor'!$B:$B,'Move Editor'!$C:$C,""),cat,XLOOKUP($D155,'Move Editor'!$B:$B,'Move Editor'!$D:$D,""),pow,XLOOKUP($D155,'Move Editor'!$B:$B,'Move Editor'!$E:$E,0),acc,XLOOKUP($D155,'Move Editor'!$B:$B,'Move Editor'!$F:$F,100),atk,IF(cat="Physical",FLOOR((FLOOR(((2*XLOOKUP(XLOOKUP($Q155,'Threshold Summary'!$Y:$Y,'Threshold Summary'!$K:$K,""),'Pokemon Editor'!$A:$A,'Pokemon Editor'!$F:$F,0)+31+FLOOR(XLOOKUP($Q155,'Threshold Summary'!$Y:$Y,'Threshold Summary'!$P:$P,"")/4))*XLOOKUP($Q155,'Threshold Summary'!$Y:$Y,'Threshold Summary'!$L:$L,""))/100)+5)*XLOOKUP(XLOOKUP($Q155,'Threshold Summary'!$Y:$Y,'Threshold Summary'!$M:$M,""),'Nature Editor'!$A:$A,'Nature Editor'!$B:$B,1)),FLOOR((FLOOR(((2*XLOOKUP(XLOOKUP($Q155,'Threshold Summary'!$Y:$Y,'Threshold Summary'!$K:$K,""),'Pokemon Editor'!$A:$A,'Pokemon Editor'!$H:$H,0)+31+FLOOR(XLOOKUP($Q155,'Threshold Summary'!$Y:$Y,'Threshold Summary'!$R:$R,"")/4))*XLOOKUP($Q155,'Threshold Summary'!$Y:$Y,'Threshold Summary'!$L:$L,""))/100)+5)*XLOOKUP(XLOOKUP($Q155,'Threshold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Editor'!$E:$E,1))),stab,IF(OR(mtype=XLOOKUP(XLOOKUP($Q155,'Threshold Summary'!$Y:$Y,'Threshold Summary'!$K:$K,""),'Pokemon Editor'!$A:$A,'Pokemon Editor'!$C:$C,""),mtype=XLOOKUP(XLOOKUP($Q155,'Threshold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Chart'!$B$1:$S$1,0)))),base,IF(OR(cat="Status",pow=0),0,FLOOR(FLOOR(FLOOR((2*XLOOKUP($Q155,'Threshold Summary'!$Y:$Y,'Threshold Summary'!$L:$L,"")/5+2)*pow*atk/def)/50)+2)),modifier,stab*eff,AVERAGE(ARRAYFORMULA(FLOOR(base*modifier*SEQUENCE(16,1,85,1)/100)))),0)</f>
        <v/>
      </c>
      <c r="M155" s="3">
        <f>IFERROR(LET(mtype,XLOOKUP($D155,'Move Editor'!$B:$B,'Move Editor'!$C:$C,""),cat,XLOOKUP($D155,'Move Editor'!$B:$B,'Move Editor'!$D:$D,""),pow,XLOOKUP($D155,'Move Editor'!$B:$B,'Move Editor'!$E:$E,0),acc,XLOOKUP($D155,'Move Editor'!$B:$B,'Move Editor'!$F:$F,100),atk,IF(cat="Physical",FLOOR((FLOOR(((2*XLOOKUP(XLOOKUP($Q155,'Threshold Summary'!$Y:$Y,'Threshold Summary'!$K:$K,""),'Pokemon Editor'!$A:$A,'Pokemon Editor'!$F:$F,0)+31+FLOOR(XLOOKUP($Q155,'Threshold Summary'!$Y:$Y,'Threshold Summary'!$P:$P,"")/4))*XLOOKUP($Q155,'Threshold Summary'!$Y:$Y,'Threshold Summary'!$L:$L,""))/100)+5)*XLOOKUP(XLOOKUP($Q155,'Threshold Summary'!$Y:$Y,'Threshold Summary'!$M:$M,""),'Nature Editor'!$A:$A,'Nature Editor'!$B:$B,1)),FLOOR((FLOOR(((2*XLOOKUP(XLOOKUP($Q155,'Threshold Summary'!$Y:$Y,'Threshold Summary'!$K:$K,""),'Pokemon Editor'!$A:$A,'Pokemon Editor'!$H:$H,0)+31+FLOOR(XLOOKUP($Q155,'Threshold Summary'!$Y:$Y,'Threshold Summary'!$R:$R,"")/4))*XLOOKUP($Q155,'Threshold Summary'!$Y:$Y,'Threshold Summary'!$L:$L,""))/100)+5)*XLOOKUP(XLOOKUP($Q155,'Threshold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Editor'!$E:$E,1))),stab,IF(OR(mtype=XLOOKUP(XLOOKUP($Q155,'Threshold Summary'!$Y:$Y,'Threshold Summary'!$K:$K,""),'Pokemon Editor'!$A:$A,'Pokemon Editor'!$C:$C,""),mtype=XLOOKUP(XLOOKUP($Q155,'Threshold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Chart'!$B$1:$S$1,0)))),base,IF(OR(cat="Status",pow=0),0,FLOOR(FLOOR(FLOOR((2*XLOOKUP($Q155,'Threshold Summary'!$Y:$Y,'Threshold Summary'!$L:$L,"")/5+2)*pow*atk/def)/50)+2)),modifier,stab*eff,AVERAGE(ARRAYFORMULA(FLOOR(base*modifier*SEQUENCE(16,1,85,1)/100)))*MIN(1,acc/100)),0)</f>
        <v/>
      </c>
      <c r="N155" s="4">
        <f>IFERROR(LET(mtype,XLOOKUP($D155,'Move Editor'!$B:$B,'Move Editor'!$C:$C,""),cat,XLOOKUP($D155,'Move Editor'!$B:$B,'Move Editor'!$D:$D,""),pow,XLOOKUP($D155,'Move Editor'!$B:$B,'Move Editor'!$E:$E,0),acc,XLOOKUP($D155,'Move Editor'!$B:$B,'Move Editor'!$F:$F,100),atk,IF(cat="Physical",FLOOR((FLOOR(((2*XLOOKUP(XLOOKUP($Q155,'Threshold Summary'!$Y:$Y,'Threshold Summary'!$K:$K,""),'Pokemon Editor'!$A:$A,'Pokemon Editor'!$F:$F,0)+31+FLOOR(XLOOKUP($Q155,'Threshold Summary'!$Y:$Y,'Threshold Summary'!$P:$P,"")/4))*XLOOKUP($Q155,'Threshold Summary'!$Y:$Y,'Threshold Summary'!$L:$L,""))/100)+5)*XLOOKUP(XLOOKUP($Q155,'Threshold Summary'!$Y:$Y,'Threshold Summary'!$M:$M,""),'Nature Editor'!$A:$A,'Nature Editor'!$B:$B,1)),FLOOR((FLOOR(((2*XLOOKUP(XLOOKUP($Q155,'Threshold Summary'!$Y:$Y,'Threshold Summary'!$K:$K,""),'Pokemon Editor'!$A:$A,'Pokemon Editor'!$H:$H,0)+31+FLOOR(XLOOKUP($Q155,'Threshold Summary'!$Y:$Y,'Threshold Summary'!$R:$R,"")/4))*XLOOKUP($Q155,'Threshold Summary'!$Y:$Y,'Threshold Summary'!$L:$L,""))/100)+5)*XLOOKUP(XLOOKUP($Q155,'Threshold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Editor'!$E:$E,1))),stab,IF(OR(mtype=XLOOKUP(XLOOKUP($Q155,'Threshold Summary'!$Y:$Y,'Threshold Summary'!$K:$K,""),'Pokemon Editor'!$A:$A,'Pokemon Editor'!$C:$C,""),mtype=XLOOKUP(XLOOKUP($Q155,'Threshold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Chart'!$B$1:$S$1,0)))),base,IF(OR(cat="Status",pow=0),0,FLOOR(FLOOR(FLOOR((2*XLOOKUP($Q155,'Threshold Summary'!$Y:$Y,'Threshold Summary'!$L:$L,"")/5+2)*pow*atk/def)/50)+2)),modifier,stab*eff,AVERAGE(ARRAYFORMULA(FLOOR(base*modifier*SEQUENCE(16,1,85,1)/100)))/(FLOOR(((2*XLOOKUP('Boss Editor'!$C$4,'Pokemon Editor'!$A:$A,'Pokemon Editor'!$E:$E,0)+31+FLOOR('Boss Editor'!$G$4/4))*'Boss Editor'!$D$4)/100)+'Boss Editor'!$D$4+10)),0)</f>
        <v/>
      </c>
      <c r="O155" s="3">
        <f>IF(N155&gt;=1,"OHKO",IF(N155&gt;=0.5,"2HKO",IF(N155&gt;=0.333,"3HKO",IF(N155&gt;=0.25,"4HKO","5HKO+"))))</f>
        <v/>
      </c>
      <c r="P155" s="3" t="inlineStr">
        <is>
          <t>Live from editable databases</t>
        </is>
      </c>
      <c r="Q155" s="3" t="inlineStr">
        <is>
          <t>SPECIES_TORCHIC</t>
        </is>
      </c>
      <c r="R155" s="3" t="n">
        <v>26</v>
      </c>
    </row>
    <row r="156">
      <c r="A156" s="3">
        <f>XLOOKUP($Q156,'Threshold Summary'!$Y:$Y,'Threshold Summary'!$A:$A,"")</f>
        <v/>
      </c>
      <c r="B156" s="3">
        <f>XLOOKUP($Q156,'Threshold Summary'!$Y:$Y,'Threshold Summary'!$M:$M,"")</f>
        <v/>
      </c>
      <c r="C156" s="3">
        <f>XLOOKUP($Q156,'Threshold Summary'!$Y:$Y,'Threshold Summary'!$N:$N,"")</f>
        <v/>
      </c>
      <c r="D156" s="3">
        <f>IFERROR(INDEX(FILTER('Learnset Editor'!$D$2:$D,'Learnset Editor'!$A$2:$A=XLOOKUP($Q156,'Threshold Summary'!$Y:$Y,'Threshold Summary'!$K:$K,""),'Learnset Editor'!$C$2:$C&lt;=XLOOKUP($Q156,'Threshold Summary'!$Y:$Y,'Threshold Summary'!$L:$L,"")),$R156),"")</f>
        <v/>
      </c>
      <c r="E156" s="3">
        <f>XLOOKUP(D156,'Move Editor'!$B:$B,'Move Editor'!$C:$C,"")</f>
        <v/>
      </c>
      <c r="F156" s="3">
        <f>XLOOKUP(D156,'Move Editor'!$B:$B,'Move Editor'!$D:$D,"")</f>
        <v/>
      </c>
      <c r="G156" s="3">
        <f>XLOOKUP(D156,'Move Editor'!$B:$B,'Move Editor'!$E:$E,0)</f>
        <v/>
      </c>
      <c r="H156" s="3">
        <f>XLOOKUP(D156,'Move Editor'!$B:$B,'Move Editor'!$F:$F,0)</f>
        <v/>
      </c>
      <c r="I156" s="3">
        <f>(INDEX('Type Chart'!$B:$S,MATCH(E156,'Type Chart'!$A:$A,0),MATCH(XLOOKUP('Boss Editor'!$C$4,'Pokemon Editor'!$A:$A,'Pokemon Editor'!$C:$C,""),'Type Chart'!$B$1:$S$1,0))*IF(XLOOKUP('Boss Editor'!$C$4,'Pokemon Editor'!$A:$A,'Pokemon Editor'!$D:$D,"")="",1,INDEX('Type Chart'!$B:$S,MATCH(E156,'Type Chart'!$A:$A,0),MATCH(XLOOKUP('Boss Editor'!$C$4,'Pokemon Editor'!$A:$A,'Pokemon Editor'!$D:$D,""),'Type Chart'!$B$1:$S$1,0))))</f>
        <v/>
      </c>
      <c r="J156" s="3">
        <f>IFERROR(LET(mtype,XLOOKUP($D156,'Move Editor'!$B:$B,'Move Editor'!$C:$C,""),cat,XLOOKUP($D156,'Move Editor'!$B:$B,'Move Editor'!$D:$D,""),pow,XLOOKUP($D156,'Move Editor'!$B:$B,'Move Editor'!$E:$E,0),acc,XLOOKUP($D156,'Move Editor'!$B:$B,'Move Editor'!$F:$F,100),atk,IF(cat="Physical",FLOOR((FLOOR(((2*XLOOKUP(XLOOKUP($Q156,'Threshold Summary'!$Y:$Y,'Threshold Summary'!$K:$K,""),'Pokemon Editor'!$A:$A,'Pokemon Editor'!$F:$F,0)+31+FLOOR(XLOOKUP($Q156,'Threshold Summary'!$Y:$Y,'Threshold Summary'!$P:$P,"")/4))*XLOOKUP($Q156,'Threshold Summary'!$Y:$Y,'Threshold Summary'!$L:$L,""))/100)+5)*XLOOKUP(XLOOKUP($Q156,'Threshold Summary'!$Y:$Y,'Threshold Summary'!$M:$M,""),'Nature Editor'!$A:$A,'Nature Editor'!$B:$B,1)),FLOOR((FLOOR(((2*XLOOKUP(XLOOKUP($Q156,'Threshold Summary'!$Y:$Y,'Threshold Summary'!$K:$K,""),'Pokemon Editor'!$A:$A,'Pokemon Editor'!$H:$H,0)+31+FLOOR(XLOOKUP($Q156,'Threshold Summary'!$Y:$Y,'Threshold Summary'!$R:$R,"")/4))*XLOOKUP($Q156,'Threshold Summary'!$Y:$Y,'Threshold Summary'!$L:$L,""))/100)+5)*XLOOKUP(XLOOKUP($Q156,'Threshold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Editor'!$E:$E,1))),stab,IF(OR(mtype=XLOOKUP(XLOOKUP($Q156,'Threshold Summary'!$Y:$Y,'Threshold Summary'!$K:$K,""),'Pokemon Editor'!$A:$A,'Pokemon Editor'!$C:$C,""),mtype=XLOOKUP(XLOOKUP($Q156,'Threshold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Chart'!$B$1:$S$1,0)))),base,IF(OR(cat="Status",pow=0),0,FLOOR(FLOOR(FLOOR((2*XLOOKUP($Q156,'Threshold Summary'!$Y:$Y,'Threshold Summary'!$L:$L,"")/5+2)*pow*atk/def)/50)+2)),modifier,stab*eff,FLOOR(base*modifier*0.85)),0)</f>
        <v/>
      </c>
      <c r="K156" s="3">
        <f>IFERROR(LET(mtype,XLOOKUP($D156,'Move Editor'!$B:$B,'Move Editor'!$C:$C,""),cat,XLOOKUP($D156,'Move Editor'!$B:$B,'Move Editor'!$D:$D,""),pow,XLOOKUP($D156,'Move Editor'!$B:$B,'Move Editor'!$E:$E,0),acc,XLOOKUP($D156,'Move Editor'!$B:$B,'Move Editor'!$F:$F,100),atk,IF(cat="Physical",FLOOR((FLOOR(((2*XLOOKUP(XLOOKUP($Q156,'Threshold Summary'!$Y:$Y,'Threshold Summary'!$K:$K,""),'Pokemon Editor'!$A:$A,'Pokemon Editor'!$F:$F,0)+31+FLOOR(XLOOKUP($Q156,'Threshold Summary'!$Y:$Y,'Threshold Summary'!$P:$P,"")/4))*XLOOKUP($Q156,'Threshold Summary'!$Y:$Y,'Threshold Summary'!$L:$L,""))/100)+5)*XLOOKUP(XLOOKUP($Q156,'Threshold Summary'!$Y:$Y,'Threshold Summary'!$M:$M,""),'Nature Editor'!$A:$A,'Nature Editor'!$B:$B,1)),FLOOR((FLOOR(((2*XLOOKUP(XLOOKUP($Q156,'Threshold Summary'!$Y:$Y,'Threshold Summary'!$K:$K,""),'Pokemon Editor'!$A:$A,'Pokemon Editor'!$H:$H,0)+31+FLOOR(XLOOKUP($Q156,'Threshold Summary'!$Y:$Y,'Threshold Summary'!$R:$R,"")/4))*XLOOKUP($Q156,'Threshold Summary'!$Y:$Y,'Threshold Summary'!$L:$L,""))/100)+5)*XLOOKUP(XLOOKUP($Q156,'Threshold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Editor'!$E:$E,1))),stab,IF(OR(mtype=XLOOKUP(XLOOKUP($Q156,'Threshold Summary'!$Y:$Y,'Threshold Summary'!$K:$K,""),'Pokemon Editor'!$A:$A,'Pokemon Editor'!$C:$C,""),mtype=XLOOKUP(XLOOKUP($Q156,'Threshold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Chart'!$B$1:$S$1,0)))),base,IF(OR(cat="Status",pow=0),0,FLOOR(FLOOR(FLOOR((2*XLOOKUP($Q156,'Threshold Summary'!$Y:$Y,'Threshold Summary'!$L:$L,"")/5+2)*pow*atk/def)/50)+2)),modifier,stab*eff,FLOOR(base*modifier)),0)</f>
        <v/>
      </c>
      <c r="L156" s="3">
        <f>IFERROR(LET(mtype,XLOOKUP($D156,'Move Editor'!$B:$B,'Move Editor'!$C:$C,""),cat,XLOOKUP($D156,'Move Editor'!$B:$B,'Move Editor'!$D:$D,""),pow,XLOOKUP($D156,'Move Editor'!$B:$B,'Move Editor'!$E:$E,0),acc,XLOOKUP($D156,'Move Editor'!$B:$B,'Move Editor'!$F:$F,100),atk,IF(cat="Physical",FLOOR((FLOOR(((2*XLOOKUP(XLOOKUP($Q156,'Threshold Summary'!$Y:$Y,'Threshold Summary'!$K:$K,""),'Pokemon Editor'!$A:$A,'Pokemon Editor'!$F:$F,0)+31+FLOOR(XLOOKUP($Q156,'Threshold Summary'!$Y:$Y,'Threshold Summary'!$P:$P,"")/4))*XLOOKUP($Q156,'Threshold Summary'!$Y:$Y,'Threshold Summary'!$L:$L,""))/100)+5)*XLOOKUP(XLOOKUP($Q156,'Threshold Summary'!$Y:$Y,'Threshold Summary'!$M:$M,""),'Nature Editor'!$A:$A,'Nature Editor'!$B:$B,1)),FLOOR((FLOOR(((2*XLOOKUP(XLOOKUP($Q156,'Threshold Summary'!$Y:$Y,'Threshold Summary'!$K:$K,""),'Pokemon Editor'!$A:$A,'Pokemon Editor'!$H:$H,0)+31+FLOOR(XLOOKUP($Q156,'Threshold Summary'!$Y:$Y,'Threshold Summary'!$R:$R,"")/4))*XLOOKUP($Q156,'Threshold Summary'!$Y:$Y,'Threshold Summary'!$L:$L,""))/100)+5)*XLOOKUP(XLOOKUP($Q156,'Threshold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Editor'!$E:$E,1))),stab,IF(OR(mtype=XLOOKUP(XLOOKUP($Q156,'Threshold Summary'!$Y:$Y,'Threshold Summary'!$K:$K,""),'Pokemon Editor'!$A:$A,'Pokemon Editor'!$C:$C,""),mtype=XLOOKUP(XLOOKUP($Q156,'Threshold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Chart'!$B$1:$S$1,0)))),base,IF(OR(cat="Status",pow=0),0,FLOOR(FLOOR(FLOOR((2*XLOOKUP($Q156,'Threshold Summary'!$Y:$Y,'Threshold Summary'!$L:$L,"")/5+2)*pow*atk/def)/50)+2)),modifier,stab*eff,AVERAGE(ARRAYFORMULA(FLOOR(base*modifier*SEQUENCE(16,1,85,1)/100)))),0)</f>
        <v/>
      </c>
      <c r="M156" s="3">
        <f>IFERROR(LET(mtype,XLOOKUP($D156,'Move Editor'!$B:$B,'Move Editor'!$C:$C,""),cat,XLOOKUP($D156,'Move Editor'!$B:$B,'Move Editor'!$D:$D,""),pow,XLOOKUP($D156,'Move Editor'!$B:$B,'Move Editor'!$E:$E,0),acc,XLOOKUP($D156,'Move Editor'!$B:$B,'Move Editor'!$F:$F,100),atk,IF(cat="Physical",FLOOR((FLOOR(((2*XLOOKUP(XLOOKUP($Q156,'Threshold Summary'!$Y:$Y,'Threshold Summary'!$K:$K,""),'Pokemon Editor'!$A:$A,'Pokemon Editor'!$F:$F,0)+31+FLOOR(XLOOKUP($Q156,'Threshold Summary'!$Y:$Y,'Threshold Summary'!$P:$P,"")/4))*XLOOKUP($Q156,'Threshold Summary'!$Y:$Y,'Threshold Summary'!$L:$L,""))/100)+5)*XLOOKUP(XLOOKUP($Q156,'Threshold Summary'!$Y:$Y,'Threshold Summary'!$M:$M,""),'Nature Editor'!$A:$A,'Nature Editor'!$B:$B,1)),FLOOR((FLOOR(((2*XLOOKUP(XLOOKUP($Q156,'Threshold Summary'!$Y:$Y,'Threshold Summary'!$K:$K,""),'Pokemon Editor'!$A:$A,'Pokemon Editor'!$H:$H,0)+31+FLOOR(XLOOKUP($Q156,'Threshold Summary'!$Y:$Y,'Threshold Summary'!$R:$R,"")/4))*XLOOKUP($Q156,'Threshold Summary'!$Y:$Y,'Threshold Summary'!$L:$L,""))/100)+5)*XLOOKUP(XLOOKUP($Q156,'Threshold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Editor'!$E:$E,1))),stab,IF(OR(mtype=XLOOKUP(XLOOKUP($Q156,'Threshold Summary'!$Y:$Y,'Threshold Summary'!$K:$K,""),'Pokemon Editor'!$A:$A,'Pokemon Editor'!$C:$C,""),mtype=XLOOKUP(XLOOKUP($Q156,'Threshold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Chart'!$B$1:$S$1,0)))),base,IF(OR(cat="Status",pow=0),0,FLOOR(FLOOR(FLOOR((2*XLOOKUP($Q156,'Threshold Summary'!$Y:$Y,'Threshold Summary'!$L:$L,"")/5+2)*pow*atk/def)/50)+2)),modifier,stab*eff,AVERAGE(ARRAYFORMULA(FLOOR(base*modifier*SEQUENCE(16,1,85,1)/100)))*MIN(1,acc/100)),0)</f>
        <v/>
      </c>
      <c r="N156" s="4">
        <f>IFERROR(LET(mtype,XLOOKUP($D156,'Move Editor'!$B:$B,'Move Editor'!$C:$C,""),cat,XLOOKUP($D156,'Move Editor'!$B:$B,'Move Editor'!$D:$D,""),pow,XLOOKUP($D156,'Move Editor'!$B:$B,'Move Editor'!$E:$E,0),acc,XLOOKUP($D156,'Move Editor'!$B:$B,'Move Editor'!$F:$F,100),atk,IF(cat="Physical",FLOOR((FLOOR(((2*XLOOKUP(XLOOKUP($Q156,'Threshold Summary'!$Y:$Y,'Threshold Summary'!$K:$K,""),'Pokemon Editor'!$A:$A,'Pokemon Editor'!$F:$F,0)+31+FLOOR(XLOOKUP($Q156,'Threshold Summary'!$Y:$Y,'Threshold Summary'!$P:$P,"")/4))*XLOOKUP($Q156,'Threshold Summary'!$Y:$Y,'Threshold Summary'!$L:$L,""))/100)+5)*XLOOKUP(XLOOKUP($Q156,'Threshold Summary'!$Y:$Y,'Threshold Summary'!$M:$M,""),'Nature Editor'!$A:$A,'Nature Editor'!$B:$B,1)),FLOOR((FLOOR(((2*XLOOKUP(XLOOKUP($Q156,'Threshold Summary'!$Y:$Y,'Threshold Summary'!$K:$K,""),'Pokemon Editor'!$A:$A,'Pokemon Editor'!$H:$H,0)+31+FLOOR(XLOOKUP($Q156,'Threshold Summary'!$Y:$Y,'Threshold Summary'!$R:$R,"")/4))*XLOOKUP($Q156,'Threshold Summary'!$Y:$Y,'Threshold Summary'!$L:$L,""))/100)+5)*XLOOKUP(XLOOKUP($Q156,'Threshold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Editor'!$E:$E,1))),stab,IF(OR(mtype=XLOOKUP(XLOOKUP($Q156,'Threshold Summary'!$Y:$Y,'Threshold Summary'!$K:$K,""),'Pokemon Editor'!$A:$A,'Pokemon Editor'!$C:$C,""),mtype=XLOOKUP(XLOOKUP($Q156,'Threshold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Chart'!$B$1:$S$1,0)))),base,IF(OR(cat="Status",pow=0),0,FLOOR(FLOOR(FLOOR((2*XLOOKUP($Q156,'Threshold Summary'!$Y:$Y,'Threshold Summary'!$L:$L,"")/5+2)*pow*atk/def)/50)+2)),modifier,stab*eff,AVERAGE(ARRAYFORMULA(FLOOR(base*modifier*SEQUENCE(16,1,85,1)/100)))/(FLOOR(((2*XLOOKUP('Boss Editor'!$C$4,'Pokemon Editor'!$A:$A,'Pokemon Editor'!$E:$E,0)+31+FLOOR('Boss Editor'!$G$4/4))*'Boss Editor'!$D$4)/100)+'Boss Editor'!$D$4+10)),0)</f>
        <v/>
      </c>
      <c r="O156" s="3">
        <f>IF(N156&gt;=1,"OHKO",IF(N156&gt;=0.5,"2HKO",IF(N156&gt;=0.333,"3HKO",IF(N156&gt;=0.25,"4HKO","5HKO+"))))</f>
        <v/>
      </c>
      <c r="P156" s="3" t="inlineStr">
        <is>
          <t>Live from editable databases</t>
        </is>
      </c>
      <c r="Q156" s="3" t="inlineStr">
        <is>
          <t>SPECIES_TORCHIC</t>
        </is>
      </c>
      <c r="R156" s="3" t="n">
        <v>27</v>
      </c>
    </row>
    <row r="157">
      <c r="A157" s="3">
        <f>XLOOKUP($Q157,'Threshold Summary'!$Y:$Y,'Threshold Summary'!$A:$A,"")</f>
        <v/>
      </c>
      <c r="B157" s="3">
        <f>XLOOKUP($Q157,'Threshold Summary'!$Y:$Y,'Threshold Summary'!$M:$M,"")</f>
        <v/>
      </c>
      <c r="C157" s="3">
        <f>XLOOKUP($Q157,'Threshold Summary'!$Y:$Y,'Threshold Summary'!$N:$N,"")</f>
        <v/>
      </c>
      <c r="D157" s="3">
        <f>IFERROR(INDEX(FILTER('Learnset Editor'!$D$2:$D,'Learnset Editor'!$A$2:$A=XLOOKUP($Q157,'Threshold Summary'!$Y:$Y,'Threshold Summary'!$K:$K,""),'Learnset Editor'!$C$2:$C&lt;=XLOOKUP($Q157,'Threshold Summary'!$Y:$Y,'Threshold Summary'!$L:$L,"")),$R157),"")</f>
        <v/>
      </c>
      <c r="E157" s="3">
        <f>XLOOKUP(D157,'Move Editor'!$B:$B,'Move Editor'!$C:$C,"")</f>
        <v/>
      </c>
      <c r="F157" s="3">
        <f>XLOOKUP(D157,'Move Editor'!$B:$B,'Move Editor'!$D:$D,"")</f>
        <v/>
      </c>
      <c r="G157" s="3">
        <f>XLOOKUP(D157,'Move Editor'!$B:$B,'Move Editor'!$E:$E,0)</f>
        <v/>
      </c>
      <c r="H157" s="3">
        <f>XLOOKUP(D157,'Move Editor'!$B:$B,'Move Editor'!$F:$F,0)</f>
        <v/>
      </c>
      <c r="I157" s="3">
        <f>(INDEX('Type Chart'!$B:$S,MATCH(E157,'Type Chart'!$A:$A,0),MATCH(XLOOKUP('Boss Editor'!$C$4,'Pokemon Editor'!$A:$A,'Pokemon Editor'!$C:$C,""),'Type Chart'!$B$1:$S$1,0))*IF(XLOOKUP('Boss Editor'!$C$4,'Pokemon Editor'!$A:$A,'Pokemon Editor'!$D:$D,"")="",1,INDEX('Type Chart'!$B:$S,MATCH(E157,'Type Chart'!$A:$A,0),MATCH(XLOOKUP('Boss Editor'!$C$4,'Pokemon Editor'!$A:$A,'Pokemon Editor'!$D:$D,""),'Type Chart'!$B$1:$S$1,0))))</f>
        <v/>
      </c>
      <c r="J157" s="3">
        <f>IFERROR(LET(mtype,XLOOKUP($D157,'Move Editor'!$B:$B,'Move Editor'!$C:$C,""),cat,XLOOKUP($D157,'Move Editor'!$B:$B,'Move Editor'!$D:$D,""),pow,XLOOKUP($D157,'Move Editor'!$B:$B,'Move Editor'!$E:$E,0),acc,XLOOKUP($D157,'Move Editor'!$B:$B,'Move Editor'!$F:$F,100),atk,IF(cat="Physical",FLOOR((FLOOR(((2*XLOOKUP(XLOOKUP($Q157,'Threshold Summary'!$Y:$Y,'Threshold Summary'!$K:$K,""),'Pokemon Editor'!$A:$A,'Pokemon Editor'!$F:$F,0)+31+FLOOR(XLOOKUP($Q157,'Threshold Summary'!$Y:$Y,'Threshold Summary'!$P:$P,"")/4))*XLOOKUP($Q157,'Threshold Summary'!$Y:$Y,'Threshold Summary'!$L:$L,""))/100)+5)*XLOOKUP(XLOOKUP($Q157,'Threshold Summary'!$Y:$Y,'Threshold Summary'!$M:$M,""),'Nature Editor'!$A:$A,'Nature Editor'!$B:$B,1)),FLOOR((FLOOR(((2*XLOOKUP(XLOOKUP($Q157,'Threshold Summary'!$Y:$Y,'Threshold Summary'!$K:$K,""),'Pokemon Editor'!$A:$A,'Pokemon Editor'!$H:$H,0)+31+FLOOR(XLOOKUP($Q157,'Threshold Summary'!$Y:$Y,'Threshold Summary'!$R:$R,"")/4))*XLOOKUP($Q157,'Threshold Summary'!$Y:$Y,'Threshold Summary'!$L:$L,""))/100)+5)*XLOOKUP(XLOOKUP($Q157,'Threshold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Editor'!$E:$E,1))),stab,IF(OR(mtype=XLOOKUP(XLOOKUP($Q157,'Threshold Summary'!$Y:$Y,'Threshold Summary'!$K:$K,""),'Pokemon Editor'!$A:$A,'Pokemon Editor'!$C:$C,""),mtype=XLOOKUP(XLOOKUP($Q157,'Threshold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Chart'!$B$1:$S$1,0)))),base,IF(OR(cat="Status",pow=0),0,FLOOR(FLOOR(FLOOR((2*XLOOKUP($Q157,'Threshold Summary'!$Y:$Y,'Threshold Summary'!$L:$L,"")/5+2)*pow*atk/def)/50)+2)),modifier,stab*eff,FLOOR(base*modifier*0.85)),0)</f>
        <v/>
      </c>
      <c r="K157" s="3">
        <f>IFERROR(LET(mtype,XLOOKUP($D157,'Move Editor'!$B:$B,'Move Editor'!$C:$C,""),cat,XLOOKUP($D157,'Move Editor'!$B:$B,'Move Editor'!$D:$D,""),pow,XLOOKUP($D157,'Move Editor'!$B:$B,'Move Editor'!$E:$E,0),acc,XLOOKUP($D157,'Move Editor'!$B:$B,'Move Editor'!$F:$F,100),atk,IF(cat="Physical",FLOOR((FLOOR(((2*XLOOKUP(XLOOKUP($Q157,'Threshold Summary'!$Y:$Y,'Threshold Summary'!$K:$K,""),'Pokemon Editor'!$A:$A,'Pokemon Editor'!$F:$F,0)+31+FLOOR(XLOOKUP($Q157,'Threshold Summary'!$Y:$Y,'Threshold Summary'!$P:$P,"")/4))*XLOOKUP($Q157,'Threshold Summary'!$Y:$Y,'Threshold Summary'!$L:$L,""))/100)+5)*XLOOKUP(XLOOKUP($Q157,'Threshold Summary'!$Y:$Y,'Threshold Summary'!$M:$M,""),'Nature Editor'!$A:$A,'Nature Editor'!$B:$B,1)),FLOOR((FLOOR(((2*XLOOKUP(XLOOKUP($Q157,'Threshold Summary'!$Y:$Y,'Threshold Summary'!$K:$K,""),'Pokemon Editor'!$A:$A,'Pokemon Editor'!$H:$H,0)+31+FLOOR(XLOOKUP($Q157,'Threshold Summary'!$Y:$Y,'Threshold Summary'!$R:$R,"")/4))*XLOOKUP($Q157,'Threshold Summary'!$Y:$Y,'Threshold Summary'!$L:$L,""))/100)+5)*XLOOKUP(XLOOKUP($Q157,'Threshold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Editor'!$E:$E,1))),stab,IF(OR(mtype=XLOOKUP(XLOOKUP($Q157,'Threshold Summary'!$Y:$Y,'Threshold Summary'!$K:$K,""),'Pokemon Editor'!$A:$A,'Pokemon Editor'!$C:$C,""),mtype=XLOOKUP(XLOOKUP($Q157,'Threshold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Chart'!$B$1:$S$1,0)))),base,IF(OR(cat="Status",pow=0),0,FLOOR(FLOOR(FLOOR((2*XLOOKUP($Q157,'Threshold Summary'!$Y:$Y,'Threshold Summary'!$L:$L,"")/5+2)*pow*atk/def)/50)+2)),modifier,stab*eff,FLOOR(base*modifier)),0)</f>
        <v/>
      </c>
      <c r="L157" s="3">
        <f>IFERROR(LET(mtype,XLOOKUP($D157,'Move Editor'!$B:$B,'Move Editor'!$C:$C,""),cat,XLOOKUP($D157,'Move Editor'!$B:$B,'Move Editor'!$D:$D,""),pow,XLOOKUP($D157,'Move Editor'!$B:$B,'Move Editor'!$E:$E,0),acc,XLOOKUP($D157,'Move Editor'!$B:$B,'Move Editor'!$F:$F,100),atk,IF(cat="Physical",FLOOR((FLOOR(((2*XLOOKUP(XLOOKUP($Q157,'Threshold Summary'!$Y:$Y,'Threshold Summary'!$K:$K,""),'Pokemon Editor'!$A:$A,'Pokemon Editor'!$F:$F,0)+31+FLOOR(XLOOKUP($Q157,'Threshold Summary'!$Y:$Y,'Threshold Summary'!$P:$P,"")/4))*XLOOKUP($Q157,'Threshold Summary'!$Y:$Y,'Threshold Summary'!$L:$L,""))/100)+5)*XLOOKUP(XLOOKUP($Q157,'Threshold Summary'!$Y:$Y,'Threshold Summary'!$M:$M,""),'Nature Editor'!$A:$A,'Nature Editor'!$B:$B,1)),FLOOR((FLOOR(((2*XLOOKUP(XLOOKUP($Q157,'Threshold Summary'!$Y:$Y,'Threshold Summary'!$K:$K,""),'Pokemon Editor'!$A:$A,'Pokemon Editor'!$H:$H,0)+31+FLOOR(XLOOKUP($Q157,'Threshold Summary'!$Y:$Y,'Threshold Summary'!$R:$R,"")/4))*XLOOKUP($Q157,'Threshold Summary'!$Y:$Y,'Threshold Summary'!$L:$L,""))/100)+5)*XLOOKUP(XLOOKUP($Q157,'Threshold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Editor'!$E:$E,1))),stab,IF(OR(mtype=XLOOKUP(XLOOKUP($Q157,'Threshold Summary'!$Y:$Y,'Threshold Summary'!$K:$K,""),'Pokemon Editor'!$A:$A,'Pokemon Editor'!$C:$C,""),mtype=XLOOKUP(XLOOKUP($Q157,'Threshold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Chart'!$B$1:$S$1,0)))),base,IF(OR(cat="Status",pow=0),0,FLOOR(FLOOR(FLOOR((2*XLOOKUP($Q157,'Threshold Summary'!$Y:$Y,'Threshold Summary'!$L:$L,"")/5+2)*pow*atk/def)/50)+2)),modifier,stab*eff,AVERAGE(ARRAYFORMULA(FLOOR(base*modifier*SEQUENCE(16,1,85,1)/100)))),0)</f>
        <v/>
      </c>
      <c r="M157" s="3">
        <f>IFERROR(LET(mtype,XLOOKUP($D157,'Move Editor'!$B:$B,'Move Editor'!$C:$C,""),cat,XLOOKUP($D157,'Move Editor'!$B:$B,'Move Editor'!$D:$D,""),pow,XLOOKUP($D157,'Move Editor'!$B:$B,'Move Editor'!$E:$E,0),acc,XLOOKUP($D157,'Move Editor'!$B:$B,'Move Editor'!$F:$F,100),atk,IF(cat="Physical",FLOOR((FLOOR(((2*XLOOKUP(XLOOKUP($Q157,'Threshold Summary'!$Y:$Y,'Threshold Summary'!$K:$K,""),'Pokemon Editor'!$A:$A,'Pokemon Editor'!$F:$F,0)+31+FLOOR(XLOOKUP($Q157,'Threshold Summary'!$Y:$Y,'Threshold Summary'!$P:$P,"")/4))*XLOOKUP($Q157,'Threshold Summary'!$Y:$Y,'Threshold Summary'!$L:$L,""))/100)+5)*XLOOKUP(XLOOKUP($Q157,'Threshold Summary'!$Y:$Y,'Threshold Summary'!$M:$M,""),'Nature Editor'!$A:$A,'Nature Editor'!$B:$B,1)),FLOOR((FLOOR(((2*XLOOKUP(XLOOKUP($Q157,'Threshold Summary'!$Y:$Y,'Threshold Summary'!$K:$K,""),'Pokemon Editor'!$A:$A,'Pokemon Editor'!$H:$H,0)+31+FLOOR(XLOOKUP($Q157,'Threshold Summary'!$Y:$Y,'Threshold Summary'!$R:$R,"")/4))*XLOOKUP($Q157,'Threshold Summary'!$Y:$Y,'Threshold Summary'!$L:$L,""))/100)+5)*XLOOKUP(XLOOKUP($Q157,'Threshold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Editor'!$E:$E,1))),stab,IF(OR(mtype=XLOOKUP(XLOOKUP($Q157,'Threshold Summary'!$Y:$Y,'Threshold Summary'!$K:$K,""),'Pokemon Editor'!$A:$A,'Pokemon Editor'!$C:$C,""),mtype=XLOOKUP(XLOOKUP($Q157,'Threshold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Chart'!$B$1:$S$1,0)))),base,IF(OR(cat="Status",pow=0),0,FLOOR(FLOOR(FLOOR((2*XLOOKUP($Q157,'Threshold Summary'!$Y:$Y,'Threshold Summary'!$L:$L,"")/5+2)*pow*atk/def)/50)+2)),modifier,stab*eff,AVERAGE(ARRAYFORMULA(FLOOR(base*modifier*SEQUENCE(16,1,85,1)/100)))*MIN(1,acc/100)),0)</f>
        <v/>
      </c>
      <c r="N157" s="4">
        <f>IFERROR(LET(mtype,XLOOKUP($D157,'Move Editor'!$B:$B,'Move Editor'!$C:$C,""),cat,XLOOKUP($D157,'Move Editor'!$B:$B,'Move Editor'!$D:$D,""),pow,XLOOKUP($D157,'Move Editor'!$B:$B,'Move Editor'!$E:$E,0),acc,XLOOKUP($D157,'Move Editor'!$B:$B,'Move Editor'!$F:$F,100),atk,IF(cat="Physical",FLOOR((FLOOR(((2*XLOOKUP(XLOOKUP($Q157,'Threshold Summary'!$Y:$Y,'Threshold Summary'!$K:$K,""),'Pokemon Editor'!$A:$A,'Pokemon Editor'!$F:$F,0)+31+FLOOR(XLOOKUP($Q157,'Threshold Summary'!$Y:$Y,'Threshold Summary'!$P:$P,"")/4))*XLOOKUP($Q157,'Threshold Summary'!$Y:$Y,'Threshold Summary'!$L:$L,""))/100)+5)*XLOOKUP(XLOOKUP($Q157,'Threshold Summary'!$Y:$Y,'Threshold Summary'!$M:$M,""),'Nature Editor'!$A:$A,'Nature Editor'!$B:$B,1)),FLOOR((FLOOR(((2*XLOOKUP(XLOOKUP($Q157,'Threshold Summary'!$Y:$Y,'Threshold Summary'!$K:$K,""),'Pokemon Editor'!$A:$A,'Pokemon Editor'!$H:$H,0)+31+FLOOR(XLOOKUP($Q157,'Threshold Summary'!$Y:$Y,'Threshold Summary'!$R:$R,"")/4))*XLOOKUP($Q157,'Threshold Summary'!$Y:$Y,'Threshold Summary'!$L:$L,""))/100)+5)*XLOOKUP(XLOOKUP($Q157,'Threshold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Editor'!$E:$E,1))),stab,IF(OR(mtype=XLOOKUP(XLOOKUP($Q157,'Threshold Summary'!$Y:$Y,'Threshold Summary'!$K:$K,""),'Pokemon Editor'!$A:$A,'Pokemon Editor'!$C:$C,""),mtype=XLOOKUP(XLOOKUP($Q157,'Threshold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Chart'!$B$1:$S$1,0)))),base,IF(OR(cat="Status",pow=0),0,FLOOR(FLOOR(FLOOR((2*XLOOKUP($Q157,'Threshold Summary'!$Y:$Y,'Threshold Summary'!$L:$L,"")/5+2)*pow*atk/def)/50)+2)),modifier,stab*eff,AVERAGE(ARRAYFORMULA(FLOOR(base*modifier*SEQUENCE(16,1,85,1)/100)))/(FLOOR(((2*XLOOKUP('Boss Editor'!$C$4,'Pokemon Editor'!$A:$A,'Pokemon Editor'!$E:$E,0)+31+FLOOR('Boss Editor'!$G$4/4))*'Boss Editor'!$D$4)/100)+'Boss Editor'!$D$4+10)),0)</f>
        <v/>
      </c>
      <c r="O157" s="3">
        <f>IF(N157&gt;=1,"OHKO",IF(N157&gt;=0.5,"2HKO",IF(N157&gt;=0.333,"3HKO",IF(N157&gt;=0.25,"4HKO","5HKO+"))))</f>
        <v/>
      </c>
      <c r="P157" s="3" t="inlineStr">
        <is>
          <t>Live from editable databases</t>
        </is>
      </c>
      <c r="Q157" s="3" t="inlineStr">
        <is>
          <t>SPECIES_TORCHIC</t>
        </is>
      </c>
      <c r="R157" s="3" t="n">
        <v>28</v>
      </c>
    </row>
    <row r="158">
      <c r="A158" s="3">
        <f>XLOOKUP($Q158,'Threshold Summary'!$Y:$Y,'Threshold Summary'!$A:$A,"")</f>
        <v/>
      </c>
      <c r="B158" s="3">
        <f>XLOOKUP($Q158,'Threshold Summary'!$Y:$Y,'Threshold Summary'!$M:$M,"")</f>
        <v/>
      </c>
      <c r="C158" s="3">
        <f>XLOOKUP($Q158,'Threshold Summary'!$Y:$Y,'Threshold Summary'!$N:$N,"")</f>
        <v/>
      </c>
      <c r="D158" s="3">
        <f>IFERROR(INDEX(FILTER('Learnset Editor'!$D$2:$D,'Learnset Editor'!$A$2:$A=XLOOKUP($Q158,'Threshold Summary'!$Y:$Y,'Threshold Summary'!$K:$K,""),'Learnset Editor'!$C$2:$C&lt;=XLOOKUP($Q158,'Threshold Summary'!$Y:$Y,'Threshold Summary'!$L:$L,"")),$R158),"")</f>
        <v/>
      </c>
      <c r="E158" s="3">
        <f>XLOOKUP(D158,'Move Editor'!$B:$B,'Move Editor'!$C:$C,"")</f>
        <v/>
      </c>
      <c r="F158" s="3">
        <f>XLOOKUP(D158,'Move Editor'!$B:$B,'Move Editor'!$D:$D,"")</f>
        <v/>
      </c>
      <c r="G158" s="3">
        <f>XLOOKUP(D158,'Move Editor'!$B:$B,'Move Editor'!$E:$E,0)</f>
        <v/>
      </c>
      <c r="H158" s="3">
        <f>XLOOKUP(D158,'Move Editor'!$B:$B,'Move Editor'!$F:$F,0)</f>
        <v/>
      </c>
      <c r="I158" s="3">
        <f>(INDEX('Type Chart'!$B:$S,MATCH(E158,'Type Chart'!$A:$A,0),MATCH(XLOOKUP('Boss Editor'!$C$4,'Pokemon Editor'!$A:$A,'Pokemon Editor'!$C:$C,""),'Type Chart'!$B$1:$S$1,0))*IF(XLOOKUP('Boss Editor'!$C$4,'Pokemon Editor'!$A:$A,'Pokemon Editor'!$D:$D,"")="",1,INDEX('Type Chart'!$B:$S,MATCH(E158,'Type Chart'!$A:$A,0),MATCH(XLOOKUP('Boss Editor'!$C$4,'Pokemon Editor'!$A:$A,'Pokemon Editor'!$D:$D,""),'Type Chart'!$B$1:$S$1,0))))</f>
        <v/>
      </c>
      <c r="J158" s="3">
        <f>IFERROR(LET(mtype,XLOOKUP($D158,'Move Editor'!$B:$B,'Move Editor'!$C:$C,""),cat,XLOOKUP($D158,'Move Editor'!$B:$B,'Move Editor'!$D:$D,""),pow,XLOOKUP($D158,'Move Editor'!$B:$B,'Move Editor'!$E:$E,0),acc,XLOOKUP($D158,'Move Editor'!$B:$B,'Move Editor'!$F:$F,100),atk,IF(cat="Physical",FLOOR((FLOOR(((2*XLOOKUP(XLOOKUP($Q158,'Threshold Summary'!$Y:$Y,'Threshold Summary'!$K:$K,""),'Pokemon Editor'!$A:$A,'Pokemon Editor'!$F:$F,0)+31+FLOOR(XLOOKUP($Q158,'Threshold Summary'!$Y:$Y,'Threshold Summary'!$P:$P,"")/4))*XLOOKUP($Q158,'Threshold Summary'!$Y:$Y,'Threshold Summary'!$L:$L,""))/100)+5)*XLOOKUP(XLOOKUP($Q158,'Threshold Summary'!$Y:$Y,'Threshold Summary'!$M:$M,""),'Nature Editor'!$A:$A,'Nature Editor'!$B:$B,1)),FLOOR((FLOOR(((2*XLOOKUP(XLOOKUP($Q158,'Threshold Summary'!$Y:$Y,'Threshold Summary'!$K:$K,""),'Pokemon Editor'!$A:$A,'Pokemon Editor'!$H:$H,0)+31+FLOOR(XLOOKUP($Q158,'Threshold Summary'!$Y:$Y,'Threshold Summary'!$R:$R,"")/4))*XLOOKUP($Q158,'Threshold Summary'!$Y:$Y,'Threshold Summary'!$L:$L,""))/100)+5)*XLOOKUP(XLOOKUP($Q158,'Threshold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Editor'!$E:$E,1))),stab,IF(OR(mtype=XLOOKUP(XLOOKUP($Q158,'Threshold Summary'!$Y:$Y,'Threshold Summary'!$K:$K,""),'Pokemon Editor'!$A:$A,'Pokemon Editor'!$C:$C,""),mtype=XLOOKUP(XLOOKUP($Q158,'Threshold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Chart'!$B$1:$S$1,0)))),base,IF(OR(cat="Status",pow=0),0,FLOOR(FLOOR(FLOOR((2*XLOOKUP($Q158,'Threshold Summary'!$Y:$Y,'Threshold Summary'!$L:$L,"")/5+2)*pow*atk/def)/50)+2)),modifier,stab*eff,FLOOR(base*modifier*0.85)),0)</f>
        <v/>
      </c>
      <c r="K158" s="3">
        <f>IFERROR(LET(mtype,XLOOKUP($D158,'Move Editor'!$B:$B,'Move Editor'!$C:$C,""),cat,XLOOKUP($D158,'Move Editor'!$B:$B,'Move Editor'!$D:$D,""),pow,XLOOKUP($D158,'Move Editor'!$B:$B,'Move Editor'!$E:$E,0),acc,XLOOKUP($D158,'Move Editor'!$B:$B,'Move Editor'!$F:$F,100),atk,IF(cat="Physical",FLOOR((FLOOR(((2*XLOOKUP(XLOOKUP($Q158,'Threshold Summary'!$Y:$Y,'Threshold Summary'!$K:$K,""),'Pokemon Editor'!$A:$A,'Pokemon Editor'!$F:$F,0)+31+FLOOR(XLOOKUP($Q158,'Threshold Summary'!$Y:$Y,'Threshold Summary'!$P:$P,"")/4))*XLOOKUP($Q158,'Threshold Summary'!$Y:$Y,'Threshold Summary'!$L:$L,""))/100)+5)*XLOOKUP(XLOOKUP($Q158,'Threshold Summary'!$Y:$Y,'Threshold Summary'!$M:$M,""),'Nature Editor'!$A:$A,'Nature Editor'!$B:$B,1)),FLOOR((FLOOR(((2*XLOOKUP(XLOOKUP($Q158,'Threshold Summary'!$Y:$Y,'Threshold Summary'!$K:$K,""),'Pokemon Editor'!$A:$A,'Pokemon Editor'!$H:$H,0)+31+FLOOR(XLOOKUP($Q158,'Threshold Summary'!$Y:$Y,'Threshold Summary'!$R:$R,"")/4))*XLOOKUP($Q158,'Threshold Summary'!$Y:$Y,'Threshold Summary'!$L:$L,""))/100)+5)*XLOOKUP(XLOOKUP($Q158,'Threshold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Editor'!$E:$E,1))),stab,IF(OR(mtype=XLOOKUP(XLOOKUP($Q158,'Threshold Summary'!$Y:$Y,'Threshold Summary'!$K:$K,""),'Pokemon Editor'!$A:$A,'Pokemon Editor'!$C:$C,""),mtype=XLOOKUP(XLOOKUP($Q158,'Threshold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Chart'!$B$1:$S$1,0)))),base,IF(OR(cat="Status",pow=0),0,FLOOR(FLOOR(FLOOR((2*XLOOKUP($Q158,'Threshold Summary'!$Y:$Y,'Threshold Summary'!$L:$L,"")/5+2)*pow*atk/def)/50)+2)),modifier,stab*eff,FLOOR(base*modifier)),0)</f>
        <v/>
      </c>
      <c r="L158" s="3">
        <f>IFERROR(LET(mtype,XLOOKUP($D158,'Move Editor'!$B:$B,'Move Editor'!$C:$C,""),cat,XLOOKUP($D158,'Move Editor'!$B:$B,'Move Editor'!$D:$D,""),pow,XLOOKUP($D158,'Move Editor'!$B:$B,'Move Editor'!$E:$E,0),acc,XLOOKUP($D158,'Move Editor'!$B:$B,'Move Editor'!$F:$F,100),atk,IF(cat="Physical",FLOOR((FLOOR(((2*XLOOKUP(XLOOKUP($Q158,'Threshold Summary'!$Y:$Y,'Threshold Summary'!$K:$K,""),'Pokemon Editor'!$A:$A,'Pokemon Editor'!$F:$F,0)+31+FLOOR(XLOOKUP($Q158,'Threshold Summary'!$Y:$Y,'Threshold Summary'!$P:$P,"")/4))*XLOOKUP($Q158,'Threshold Summary'!$Y:$Y,'Threshold Summary'!$L:$L,""))/100)+5)*XLOOKUP(XLOOKUP($Q158,'Threshold Summary'!$Y:$Y,'Threshold Summary'!$M:$M,""),'Nature Editor'!$A:$A,'Nature Editor'!$B:$B,1)),FLOOR((FLOOR(((2*XLOOKUP(XLOOKUP($Q158,'Threshold Summary'!$Y:$Y,'Threshold Summary'!$K:$K,""),'Pokemon Editor'!$A:$A,'Pokemon Editor'!$H:$H,0)+31+FLOOR(XLOOKUP($Q158,'Threshold Summary'!$Y:$Y,'Threshold Summary'!$R:$R,"")/4))*XLOOKUP($Q158,'Threshold Summary'!$Y:$Y,'Threshold Summary'!$L:$L,""))/100)+5)*XLOOKUP(XLOOKUP($Q158,'Threshold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Editor'!$E:$E,1))),stab,IF(OR(mtype=XLOOKUP(XLOOKUP($Q158,'Threshold Summary'!$Y:$Y,'Threshold Summary'!$K:$K,""),'Pokemon Editor'!$A:$A,'Pokemon Editor'!$C:$C,""),mtype=XLOOKUP(XLOOKUP($Q158,'Threshold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Chart'!$B$1:$S$1,0)))),base,IF(OR(cat="Status",pow=0),0,FLOOR(FLOOR(FLOOR((2*XLOOKUP($Q158,'Threshold Summary'!$Y:$Y,'Threshold Summary'!$L:$L,"")/5+2)*pow*atk/def)/50)+2)),modifier,stab*eff,AVERAGE(ARRAYFORMULA(FLOOR(base*modifier*SEQUENCE(16,1,85,1)/100)))),0)</f>
        <v/>
      </c>
      <c r="M158" s="3">
        <f>IFERROR(LET(mtype,XLOOKUP($D158,'Move Editor'!$B:$B,'Move Editor'!$C:$C,""),cat,XLOOKUP($D158,'Move Editor'!$B:$B,'Move Editor'!$D:$D,""),pow,XLOOKUP($D158,'Move Editor'!$B:$B,'Move Editor'!$E:$E,0),acc,XLOOKUP($D158,'Move Editor'!$B:$B,'Move Editor'!$F:$F,100),atk,IF(cat="Physical",FLOOR((FLOOR(((2*XLOOKUP(XLOOKUP($Q158,'Threshold Summary'!$Y:$Y,'Threshold Summary'!$K:$K,""),'Pokemon Editor'!$A:$A,'Pokemon Editor'!$F:$F,0)+31+FLOOR(XLOOKUP($Q158,'Threshold Summary'!$Y:$Y,'Threshold Summary'!$P:$P,"")/4))*XLOOKUP($Q158,'Threshold Summary'!$Y:$Y,'Threshold Summary'!$L:$L,""))/100)+5)*XLOOKUP(XLOOKUP($Q158,'Threshold Summary'!$Y:$Y,'Threshold Summary'!$M:$M,""),'Nature Editor'!$A:$A,'Nature Editor'!$B:$B,1)),FLOOR((FLOOR(((2*XLOOKUP(XLOOKUP($Q158,'Threshold Summary'!$Y:$Y,'Threshold Summary'!$K:$K,""),'Pokemon Editor'!$A:$A,'Pokemon Editor'!$H:$H,0)+31+FLOOR(XLOOKUP($Q158,'Threshold Summary'!$Y:$Y,'Threshold Summary'!$R:$R,"")/4))*XLOOKUP($Q158,'Threshold Summary'!$Y:$Y,'Threshold Summary'!$L:$L,""))/100)+5)*XLOOKUP(XLOOKUP($Q158,'Threshold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Editor'!$E:$E,1))),stab,IF(OR(mtype=XLOOKUP(XLOOKUP($Q158,'Threshold Summary'!$Y:$Y,'Threshold Summary'!$K:$K,""),'Pokemon Editor'!$A:$A,'Pokemon Editor'!$C:$C,""),mtype=XLOOKUP(XLOOKUP($Q158,'Threshold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Chart'!$B$1:$S$1,0)))),base,IF(OR(cat="Status",pow=0),0,FLOOR(FLOOR(FLOOR((2*XLOOKUP($Q158,'Threshold Summary'!$Y:$Y,'Threshold Summary'!$L:$L,"")/5+2)*pow*atk/def)/50)+2)),modifier,stab*eff,AVERAGE(ARRAYFORMULA(FLOOR(base*modifier*SEQUENCE(16,1,85,1)/100)))*MIN(1,acc/100)),0)</f>
        <v/>
      </c>
      <c r="N158" s="4">
        <f>IFERROR(LET(mtype,XLOOKUP($D158,'Move Editor'!$B:$B,'Move Editor'!$C:$C,""),cat,XLOOKUP($D158,'Move Editor'!$B:$B,'Move Editor'!$D:$D,""),pow,XLOOKUP($D158,'Move Editor'!$B:$B,'Move Editor'!$E:$E,0),acc,XLOOKUP($D158,'Move Editor'!$B:$B,'Move Editor'!$F:$F,100),atk,IF(cat="Physical",FLOOR((FLOOR(((2*XLOOKUP(XLOOKUP($Q158,'Threshold Summary'!$Y:$Y,'Threshold Summary'!$K:$K,""),'Pokemon Editor'!$A:$A,'Pokemon Editor'!$F:$F,0)+31+FLOOR(XLOOKUP($Q158,'Threshold Summary'!$Y:$Y,'Threshold Summary'!$P:$P,"")/4))*XLOOKUP($Q158,'Threshold Summary'!$Y:$Y,'Threshold Summary'!$L:$L,""))/100)+5)*XLOOKUP(XLOOKUP($Q158,'Threshold Summary'!$Y:$Y,'Threshold Summary'!$M:$M,""),'Nature Editor'!$A:$A,'Nature Editor'!$B:$B,1)),FLOOR((FLOOR(((2*XLOOKUP(XLOOKUP($Q158,'Threshold Summary'!$Y:$Y,'Threshold Summary'!$K:$K,""),'Pokemon Editor'!$A:$A,'Pokemon Editor'!$H:$H,0)+31+FLOOR(XLOOKUP($Q158,'Threshold Summary'!$Y:$Y,'Threshold Summary'!$R:$R,"")/4))*XLOOKUP($Q158,'Threshold Summary'!$Y:$Y,'Threshold Summary'!$L:$L,""))/100)+5)*XLOOKUP(XLOOKUP($Q158,'Threshold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Editor'!$E:$E,1))),stab,IF(OR(mtype=XLOOKUP(XLOOKUP($Q158,'Threshold Summary'!$Y:$Y,'Threshold Summary'!$K:$K,""),'Pokemon Editor'!$A:$A,'Pokemon Editor'!$C:$C,""),mtype=XLOOKUP(XLOOKUP($Q158,'Threshold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Chart'!$B$1:$S$1,0)))),base,IF(OR(cat="Status",pow=0),0,FLOOR(FLOOR(FLOOR((2*XLOOKUP($Q158,'Threshold Summary'!$Y:$Y,'Threshold Summary'!$L:$L,"")/5+2)*pow*atk/def)/50)+2)),modifier,stab*eff,AVERAGE(ARRAYFORMULA(FLOOR(base*modifier*SEQUENCE(16,1,85,1)/100)))/(FLOOR(((2*XLOOKUP('Boss Editor'!$C$4,'Pokemon Editor'!$A:$A,'Pokemon Editor'!$E:$E,0)+31+FLOOR('Boss Editor'!$G$4/4))*'Boss Editor'!$D$4)/100)+'Boss Editor'!$D$4+10)),0)</f>
        <v/>
      </c>
      <c r="O158" s="3">
        <f>IF(N158&gt;=1,"OHKO",IF(N158&gt;=0.5,"2HKO",IF(N158&gt;=0.333,"3HKO",IF(N158&gt;=0.25,"4HKO","5HKO+"))))</f>
        <v/>
      </c>
      <c r="P158" s="3" t="inlineStr">
        <is>
          <t>Live from editable databases</t>
        </is>
      </c>
      <c r="Q158" s="3" t="inlineStr">
        <is>
          <t>SPECIES_TORCHIC</t>
        </is>
      </c>
      <c r="R158" s="3" t="n">
        <v>29</v>
      </c>
    </row>
    <row r="159">
      <c r="A159" s="3">
        <f>XLOOKUP($Q159,'Threshold Summary'!$Y:$Y,'Threshold Summary'!$A:$A,"")</f>
        <v/>
      </c>
      <c r="B159" s="3">
        <f>XLOOKUP($Q159,'Threshold Summary'!$Y:$Y,'Threshold Summary'!$M:$M,"")</f>
        <v/>
      </c>
      <c r="C159" s="3">
        <f>XLOOKUP($Q159,'Threshold Summary'!$Y:$Y,'Threshold Summary'!$N:$N,"")</f>
        <v/>
      </c>
      <c r="D159" s="3">
        <f>IFERROR(INDEX(FILTER('Learnset Editor'!$D$2:$D,'Learnset Editor'!$A$2:$A=XLOOKUP($Q159,'Threshold Summary'!$Y:$Y,'Threshold Summary'!$K:$K,""),'Learnset Editor'!$C$2:$C&lt;=XLOOKUP($Q159,'Threshold Summary'!$Y:$Y,'Threshold Summary'!$L:$L,"")),$R159),"")</f>
        <v/>
      </c>
      <c r="E159" s="3">
        <f>XLOOKUP(D159,'Move Editor'!$B:$B,'Move Editor'!$C:$C,"")</f>
        <v/>
      </c>
      <c r="F159" s="3">
        <f>XLOOKUP(D159,'Move Editor'!$B:$B,'Move Editor'!$D:$D,"")</f>
        <v/>
      </c>
      <c r="G159" s="3">
        <f>XLOOKUP(D159,'Move Editor'!$B:$B,'Move Editor'!$E:$E,0)</f>
        <v/>
      </c>
      <c r="H159" s="3">
        <f>XLOOKUP(D159,'Move Editor'!$B:$B,'Move Editor'!$F:$F,0)</f>
        <v/>
      </c>
      <c r="I159" s="3">
        <f>(INDEX('Type Chart'!$B:$S,MATCH(E159,'Type Chart'!$A:$A,0),MATCH(XLOOKUP('Boss Editor'!$C$4,'Pokemon Editor'!$A:$A,'Pokemon Editor'!$C:$C,""),'Type Chart'!$B$1:$S$1,0))*IF(XLOOKUP('Boss Editor'!$C$4,'Pokemon Editor'!$A:$A,'Pokemon Editor'!$D:$D,"")="",1,INDEX('Type Chart'!$B:$S,MATCH(E159,'Type Chart'!$A:$A,0),MATCH(XLOOKUP('Boss Editor'!$C$4,'Pokemon Editor'!$A:$A,'Pokemon Editor'!$D:$D,""),'Type Chart'!$B$1:$S$1,0))))</f>
        <v/>
      </c>
      <c r="J159" s="3">
        <f>IFERROR(LET(mtype,XLOOKUP($D159,'Move Editor'!$B:$B,'Move Editor'!$C:$C,""),cat,XLOOKUP($D159,'Move Editor'!$B:$B,'Move Editor'!$D:$D,""),pow,XLOOKUP($D159,'Move Editor'!$B:$B,'Move Editor'!$E:$E,0),acc,XLOOKUP($D159,'Move Editor'!$B:$B,'Move Editor'!$F:$F,100),atk,IF(cat="Physical",FLOOR((FLOOR(((2*XLOOKUP(XLOOKUP($Q159,'Threshold Summary'!$Y:$Y,'Threshold Summary'!$K:$K,""),'Pokemon Editor'!$A:$A,'Pokemon Editor'!$F:$F,0)+31+FLOOR(XLOOKUP($Q159,'Threshold Summary'!$Y:$Y,'Threshold Summary'!$P:$P,"")/4))*XLOOKUP($Q159,'Threshold Summary'!$Y:$Y,'Threshold Summary'!$L:$L,""))/100)+5)*XLOOKUP(XLOOKUP($Q159,'Threshold Summary'!$Y:$Y,'Threshold Summary'!$M:$M,""),'Nature Editor'!$A:$A,'Nature Editor'!$B:$B,1)),FLOOR((FLOOR(((2*XLOOKUP(XLOOKUP($Q159,'Threshold Summary'!$Y:$Y,'Threshold Summary'!$K:$K,""),'Pokemon Editor'!$A:$A,'Pokemon Editor'!$H:$H,0)+31+FLOOR(XLOOKUP($Q159,'Threshold Summary'!$Y:$Y,'Threshold Summary'!$R:$R,"")/4))*XLOOKUP($Q159,'Threshold Summary'!$Y:$Y,'Threshold Summary'!$L:$L,""))/100)+5)*XLOOKUP(XLOOKUP($Q159,'Threshold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Editor'!$E:$E,1))),stab,IF(OR(mtype=XLOOKUP(XLOOKUP($Q159,'Threshold Summary'!$Y:$Y,'Threshold Summary'!$K:$K,""),'Pokemon Editor'!$A:$A,'Pokemon Editor'!$C:$C,""),mtype=XLOOKUP(XLOOKUP($Q159,'Threshold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Chart'!$B$1:$S$1,0)))),base,IF(OR(cat="Status",pow=0),0,FLOOR(FLOOR(FLOOR((2*XLOOKUP($Q159,'Threshold Summary'!$Y:$Y,'Threshold Summary'!$L:$L,"")/5+2)*pow*atk/def)/50)+2)),modifier,stab*eff,FLOOR(base*modifier*0.85)),0)</f>
        <v/>
      </c>
      <c r="K159" s="3">
        <f>IFERROR(LET(mtype,XLOOKUP($D159,'Move Editor'!$B:$B,'Move Editor'!$C:$C,""),cat,XLOOKUP($D159,'Move Editor'!$B:$B,'Move Editor'!$D:$D,""),pow,XLOOKUP($D159,'Move Editor'!$B:$B,'Move Editor'!$E:$E,0),acc,XLOOKUP($D159,'Move Editor'!$B:$B,'Move Editor'!$F:$F,100),atk,IF(cat="Physical",FLOOR((FLOOR(((2*XLOOKUP(XLOOKUP($Q159,'Threshold Summary'!$Y:$Y,'Threshold Summary'!$K:$K,""),'Pokemon Editor'!$A:$A,'Pokemon Editor'!$F:$F,0)+31+FLOOR(XLOOKUP($Q159,'Threshold Summary'!$Y:$Y,'Threshold Summary'!$P:$P,"")/4))*XLOOKUP($Q159,'Threshold Summary'!$Y:$Y,'Threshold Summary'!$L:$L,""))/100)+5)*XLOOKUP(XLOOKUP($Q159,'Threshold Summary'!$Y:$Y,'Threshold Summary'!$M:$M,""),'Nature Editor'!$A:$A,'Nature Editor'!$B:$B,1)),FLOOR((FLOOR(((2*XLOOKUP(XLOOKUP($Q159,'Threshold Summary'!$Y:$Y,'Threshold Summary'!$K:$K,""),'Pokemon Editor'!$A:$A,'Pokemon Editor'!$H:$H,0)+31+FLOOR(XLOOKUP($Q159,'Threshold Summary'!$Y:$Y,'Threshold Summary'!$R:$R,"")/4))*XLOOKUP($Q159,'Threshold Summary'!$Y:$Y,'Threshold Summary'!$L:$L,""))/100)+5)*XLOOKUP(XLOOKUP($Q159,'Threshold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Editor'!$E:$E,1))),stab,IF(OR(mtype=XLOOKUP(XLOOKUP($Q159,'Threshold Summary'!$Y:$Y,'Threshold Summary'!$K:$K,""),'Pokemon Editor'!$A:$A,'Pokemon Editor'!$C:$C,""),mtype=XLOOKUP(XLOOKUP($Q159,'Threshold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Chart'!$B$1:$S$1,0)))),base,IF(OR(cat="Status",pow=0),0,FLOOR(FLOOR(FLOOR((2*XLOOKUP($Q159,'Threshold Summary'!$Y:$Y,'Threshold Summary'!$L:$L,"")/5+2)*pow*atk/def)/50)+2)),modifier,stab*eff,FLOOR(base*modifier)),0)</f>
        <v/>
      </c>
      <c r="L159" s="3">
        <f>IFERROR(LET(mtype,XLOOKUP($D159,'Move Editor'!$B:$B,'Move Editor'!$C:$C,""),cat,XLOOKUP($D159,'Move Editor'!$B:$B,'Move Editor'!$D:$D,""),pow,XLOOKUP($D159,'Move Editor'!$B:$B,'Move Editor'!$E:$E,0),acc,XLOOKUP($D159,'Move Editor'!$B:$B,'Move Editor'!$F:$F,100),atk,IF(cat="Physical",FLOOR((FLOOR(((2*XLOOKUP(XLOOKUP($Q159,'Threshold Summary'!$Y:$Y,'Threshold Summary'!$K:$K,""),'Pokemon Editor'!$A:$A,'Pokemon Editor'!$F:$F,0)+31+FLOOR(XLOOKUP($Q159,'Threshold Summary'!$Y:$Y,'Threshold Summary'!$P:$P,"")/4))*XLOOKUP($Q159,'Threshold Summary'!$Y:$Y,'Threshold Summary'!$L:$L,""))/100)+5)*XLOOKUP(XLOOKUP($Q159,'Threshold Summary'!$Y:$Y,'Threshold Summary'!$M:$M,""),'Nature Editor'!$A:$A,'Nature Editor'!$B:$B,1)),FLOOR((FLOOR(((2*XLOOKUP(XLOOKUP($Q159,'Threshold Summary'!$Y:$Y,'Threshold Summary'!$K:$K,""),'Pokemon Editor'!$A:$A,'Pokemon Editor'!$H:$H,0)+31+FLOOR(XLOOKUP($Q159,'Threshold Summary'!$Y:$Y,'Threshold Summary'!$R:$R,"")/4))*XLOOKUP($Q159,'Threshold Summary'!$Y:$Y,'Threshold Summary'!$L:$L,""))/100)+5)*XLOOKUP(XLOOKUP($Q159,'Threshold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Editor'!$E:$E,1))),stab,IF(OR(mtype=XLOOKUP(XLOOKUP($Q159,'Threshold Summary'!$Y:$Y,'Threshold Summary'!$K:$K,""),'Pokemon Editor'!$A:$A,'Pokemon Editor'!$C:$C,""),mtype=XLOOKUP(XLOOKUP($Q159,'Threshold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Chart'!$B$1:$S$1,0)))),base,IF(OR(cat="Status",pow=0),0,FLOOR(FLOOR(FLOOR((2*XLOOKUP($Q159,'Threshold Summary'!$Y:$Y,'Threshold Summary'!$L:$L,"")/5+2)*pow*atk/def)/50)+2)),modifier,stab*eff,AVERAGE(ARRAYFORMULA(FLOOR(base*modifier*SEQUENCE(16,1,85,1)/100)))),0)</f>
        <v/>
      </c>
      <c r="M159" s="3">
        <f>IFERROR(LET(mtype,XLOOKUP($D159,'Move Editor'!$B:$B,'Move Editor'!$C:$C,""),cat,XLOOKUP($D159,'Move Editor'!$B:$B,'Move Editor'!$D:$D,""),pow,XLOOKUP($D159,'Move Editor'!$B:$B,'Move Editor'!$E:$E,0),acc,XLOOKUP($D159,'Move Editor'!$B:$B,'Move Editor'!$F:$F,100),atk,IF(cat="Physical",FLOOR((FLOOR(((2*XLOOKUP(XLOOKUP($Q159,'Threshold Summary'!$Y:$Y,'Threshold Summary'!$K:$K,""),'Pokemon Editor'!$A:$A,'Pokemon Editor'!$F:$F,0)+31+FLOOR(XLOOKUP($Q159,'Threshold Summary'!$Y:$Y,'Threshold Summary'!$P:$P,"")/4))*XLOOKUP($Q159,'Threshold Summary'!$Y:$Y,'Threshold Summary'!$L:$L,""))/100)+5)*XLOOKUP(XLOOKUP($Q159,'Threshold Summary'!$Y:$Y,'Threshold Summary'!$M:$M,""),'Nature Editor'!$A:$A,'Nature Editor'!$B:$B,1)),FLOOR((FLOOR(((2*XLOOKUP(XLOOKUP($Q159,'Threshold Summary'!$Y:$Y,'Threshold Summary'!$K:$K,""),'Pokemon Editor'!$A:$A,'Pokemon Editor'!$H:$H,0)+31+FLOOR(XLOOKUP($Q159,'Threshold Summary'!$Y:$Y,'Threshold Summary'!$R:$R,"")/4))*XLOOKUP($Q159,'Threshold Summary'!$Y:$Y,'Threshold Summary'!$L:$L,""))/100)+5)*XLOOKUP(XLOOKUP($Q159,'Threshold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Editor'!$E:$E,1))),stab,IF(OR(mtype=XLOOKUP(XLOOKUP($Q159,'Threshold Summary'!$Y:$Y,'Threshold Summary'!$K:$K,""),'Pokemon Editor'!$A:$A,'Pokemon Editor'!$C:$C,""),mtype=XLOOKUP(XLOOKUP($Q159,'Threshold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Chart'!$B$1:$S$1,0)))),base,IF(OR(cat="Status",pow=0),0,FLOOR(FLOOR(FLOOR((2*XLOOKUP($Q159,'Threshold Summary'!$Y:$Y,'Threshold Summary'!$L:$L,"")/5+2)*pow*atk/def)/50)+2)),modifier,stab*eff,AVERAGE(ARRAYFORMULA(FLOOR(base*modifier*SEQUENCE(16,1,85,1)/100)))*MIN(1,acc/100)),0)</f>
        <v/>
      </c>
      <c r="N159" s="4">
        <f>IFERROR(LET(mtype,XLOOKUP($D159,'Move Editor'!$B:$B,'Move Editor'!$C:$C,""),cat,XLOOKUP($D159,'Move Editor'!$B:$B,'Move Editor'!$D:$D,""),pow,XLOOKUP($D159,'Move Editor'!$B:$B,'Move Editor'!$E:$E,0),acc,XLOOKUP($D159,'Move Editor'!$B:$B,'Move Editor'!$F:$F,100),atk,IF(cat="Physical",FLOOR((FLOOR(((2*XLOOKUP(XLOOKUP($Q159,'Threshold Summary'!$Y:$Y,'Threshold Summary'!$K:$K,""),'Pokemon Editor'!$A:$A,'Pokemon Editor'!$F:$F,0)+31+FLOOR(XLOOKUP($Q159,'Threshold Summary'!$Y:$Y,'Threshold Summary'!$P:$P,"")/4))*XLOOKUP($Q159,'Threshold Summary'!$Y:$Y,'Threshold Summary'!$L:$L,""))/100)+5)*XLOOKUP(XLOOKUP($Q159,'Threshold Summary'!$Y:$Y,'Threshold Summary'!$M:$M,""),'Nature Editor'!$A:$A,'Nature Editor'!$B:$B,1)),FLOOR((FLOOR(((2*XLOOKUP(XLOOKUP($Q159,'Threshold Summary'!$Y:$Y,'Threshold Summary'!$K:$K,""),'Pokemon Editor'!$A:$A,'Pokemon Editor'!$H:$H,0)+31+FLOOR(XLOOKUP($Q159,'Threshold Summary'!$Y:$Y,'Threshold Summary'!$R:$R,"")/4))*XLOOKUP($Q159,'Threshold Summary'!$Y:$Y,'Threshold Summary'!$L:$L,""))/100)+5)*XLOOKUP(XLOOKUP($Q159,'Threshold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Editor'!$E:$E,1))),stab,IF(OR(mtype=XLOOKUP(XLOOKUP($Q159,'Threshold Summary'!$Y:$Y,'Threshold Summary'!$K:$K,""),'Pokemon Editor'!$A:$A,'Pokemon Editor'!$C:$C,""),mtype=XLOOKUP(XLOOKUP($Q159,'Threshold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Chart'!$B$1:$S$1,0)))),base,IF(OR(cat="Status",pow=0),0,FLOOR(FLOOR(FLOOR((2*XLOOKUP($Q159,'Threshold Summary'!$Y:$Y,'Threshold Summary'!$L:$L,"")/5+2)*pow*atk/def)/50)+2)),modifier,stab*eff,AVERAGE(ARRAYFORMULA(FLOOR(base*modifier*SEQUENCE(16,1,85,1)/100)))/(FLOOR(((2*XLOOKUP('Boss Editor'!$C$4,'Pokemon Editor'!$A:$A,'Pokemon Editor'!$E:$E,0)+31+FLOOR('Boss Editor'!$G$4/4))*'Boss Editor'!$D$4)/100)+'Boss Editor'!$D$4+10)),0)</f>
        <v/>
      </c>
      <c r="O159" s="3">
        <f>IF(N159&gt;=1,"OHKO",IF(N159&gt;=0.5,"2HKO",IF(N159&gt;=0.333,"3HKO",IF(N159&gt;=0.25,"4HKO","5HKO+"))))</f>
        <v/>
      </c>
      <c r="P159" s="3" t="inlineStr">
        <is>
          <t>Live from editable databases</t>
        </is>
      </c>
      <c r="Q159" s="3" t="inlineStr">
        <is>
          <t>SPECIES_TORCHIC</t>
        </is>
      </c>
      <c r="R159" s="3" t="n">
        <v>30</v>
      </c>
    </row>
    <row r="160">
      <c r="A160" s="3">
        <f>XLOOKUP($Q160,'Threshold Summary'!$Y:$Y,'Threshold Summary'!$A:$A,"")</f>
        <v/>
      </c>
      <c r="B160" s="3">
        <f>XLOOKUP($Q160,'Threshold Summary'!$Y:$Y,'Threshold Summary'!$M:$M,"")</f>
        <v/>
      </c>
      <c r="C160" s="3">
        <f>XLOOKUP($Q160,'Threshold Summary'!$Y:$Y,'Threshold Summary'!$N:$N,"")</f>
        <v/>
      </c>
      <c r="D160" s="3">
        <f>IFERROR(INDEX(FILTER('Learnset Editor'!$D$2:$D,'Learnset Editor'!$A$2:$A=XLOOKUP($Q160,'Threshold Summary'!$Y:$Y,'Threshold Summary'!$K:$K,""),'Learnset Editor'!$C$2:$C&lt;=XLOOKUP($Q160,'Threshold Summary'!$Y:$Y,'Threshold Summary'!$L:$L,"")),$R160),"")</f>
        <v/>
      </c>
      <c r="E160" s="3">
        <f>XLOOKUP(D160,'Move Editor'!$B:$B,'Move Editor'!$C:$C,"")</f>
        <v/>
      </c>
      <c r="F160" s="3">
        <f>XLOOKUP(D160,'Move Editor'!$B:$B,'Move Editor'!$D:$D,"")</f>
        <v/>
      </c>
      <c r="G160" s="3">
        <f>XLOOKUP(D160,'Move Editor'!$B:$B,'Move Editor'!$E:$E,0)</f>
        <v/>
      </c>
      <c r="H160" s="3">
        <f>XLOOKUP(D160,'Move Editor'!$B:$B,'Move Editor'!$F:$F,0)</f>
        <v/>
      </c>
      <c r="I160" s="3">
        <f>(INDEX('Type Chart'!$B:$S,MATCH(E160,'Type Chart'!$A:$A,0),MATCH(XLOOKUP('Boss Editor'!$C$4,'Pokemon Editor'!$A:$A,'Pokemon Editor'!$C:$C,""),'Type Chart'!$B$1:$S$1,0))*IF(XLOOKUP('Boss Editor'!$C$4,'Pokemon Editor'!$A:$A,'Pokemon Editor'!$D:$D,"")="",1,INDEX('Type Chart'!$B:$S,MATCH(E160,'Type Chart'!$A:$A,0),MATCH(XLOOKUP('Boss Editor'!$C$4,'Pokemon Editor'!$A:$A,'Pokemon Editor'!$D:$D,""),'Type Chart'!$B$1:$S$1,0))))</f>
        <v/>
      </c>
      <c r="J160" s="3">
        <f>IFERROR(LET(mtype,XLOOKUP($D160,'Move Editor'!$B:$B,'Move Editor'!$C:$C,""),cat,XLOOKUP($D160,'Move Editor'!$B:$B,'Move Editor'!$D:$D,""),pow,XLOOKUP($D160,'Move Editor'!$B:$B,'Move Editor'!$E:$E,0),acc,XLOOKUP($D160,'Move Editor'!$B:$B,'Move Editor'!$F:$F,100),atk,IF(cat="Physical",FLOOR((FLOOR(((2*XLOOKUP(XLOOKUP($Q160,'Threshold Summary'!$Y:$Y,'Threshold Summary'!$K:$K,""),'Pokemon Editor'!$A:$A,'Pokemon Editor'!$F:$F,0)+31+FLOOR(XLOOKUP($Q160,'Threshold Summary'!$Y:$Y,'Threshold Summary'!$P:$P,"")/4))*XLOOKUP($Q160,'Threshold Summary'!$Y:$Y,'Threshold Summary'!$L:$L,""))/100)+5)*XLOOKUP(XLOOKUP($Q160,'Threshold Summary'!$Y:$Y,'Threshold Summary'!$M:$M,""),'Nature Editor'!$A:$A,'Nature Editor'!$B:$B,1)),FLOOR((FLOOR(((2*XLOOKUP(XLOOKUP($Q160,'Threshold Summary'!$Y:$Y,'Threshold Summary'!$K:$K,""),'Pokemon Editor'!$A:$A,'Pokemon Editor'!$H:$H,0)+31+FLOOR(XLOOKUP($Q160,'Threshold Summary'!$Y:$Y,'Threshold Summary'!$R:$R,"")/4))*XLOOKUP($Q160,'Threshold Summary'!$Y:$Y,'Threshold Summary'!$L:$L,""))/100)+5)*XLOOKUP(XLOOKUP($Q160,'Threshold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Editor'!$E:$E,1))),stab,IF(OR(mtype=XLOOKUP(XLOOKUP($Q160,'Threshold Summary'!$Y:$Y,'Threshold Summary'!$K:$K,""),'Pokemon Editor'!$A:$A,'Pokemon Editor'!$C:$C,""),mtype=XLOOKUP(XLOOKUP($Q160,'Threshold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Chart'!$B$1:$S$1,0)))),base,IF(OR(cat="Status",pow=0),0,FLOOR(FLOOR(FLOOR((2*XLOOKUP($Q160,'Threshold Summary'!$Y:$Y,'Threshold Summary'!$L:$L,"")/5+2)*pow*atk/def)/50)+2)),modifier,stab*eff,FLOOR(base*modifier*0.85)),0)</f>
        <v/>
      </c>
      <c r="K160" s="3">
        <f>IFERROR(LET(mtype,XLOOKUP($D160,'Move Editor'!$B:$B,'Move Editor'!$C:$C,""),cat,XLOOKUP($D160,'Move Editor'!$B:$B,'Move Editor'!$D:$D,""),pow,XLOOKUP($D160,'Move Editor'!$B:$B,'Move Editor'!$E:$E,0),acc,XLOOKUP($D160,'Move Editor'!$B:$B,'Move Editor'!$F:$F,100),atk,IF(cat="Physical",FLOOR((FLOOR(((2*XLOOKUP(XLOOKUP($Q160,'Threshold Summary'!$Y:$Y,'Threshold Summary'!$K:$K,""),'Pokemon Editor'!$A:$A,'Pokemon Editor'!$F:$F,0)+31+FLOOR(XLOOKUP($Q160,'Threshold Summary'!$Y:$Y,'Threshold Summary'!$P:$P,"")/4))*XLOOKUP($Q160,'Threshold Summary'!$Y:$Y,'Threshold Summary'!$L:$L,""))/100)+5)*XLOOKUP(XLOOKUP($Q160,'Threshold Summary'!$Y:$Y,'Threshold Summary'!$M:$M,""),'Nature Editor'!$A:$A,'Nature Editor'!$B:$B,1)),FLOOR((FLOOR(((2*XLOOKUP(XLOOKUP($Q160,'Threshold Summary'!$Y:$Y,'Threshold Summary'!$K:$K,""),'Pokemon Editor'!$A:$A,'Pokemon Editor'!$H:$H,0)+31+FLOOR(XLOOKUP($Q160,'Threshold Summary'!$Y:$Y,'Threshold Summary'!$R:$R,"")/4))*XLOOKUP($Q160,'Threshold Summary'!$Y:$Y,'Threshold Summary'!$L:$L,""))/100)+5)*XLOOKUP(XLOOKUP($Q160,'Threshold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Editor'!$E:$E,1))),stab,IF(OR(mtype=XLOOKUP(XLOOKUP($Q160,'Threshold Summary'!$Y:$Y,'Threshold Summary'!$K:$K,""),'Pokemon Editor'!$A:$A,'Pokemon Editor'!$C:$C,""),mtype=XLOOKUP(XLOOKUP($Q160,'Threshold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Chart'!$B$1:$S$1,0)))),base,IF(OR(cat="Status",pow=0),0,FLOOR(FLOOR(FLOOR((2*XLOOKUP($Q160,'Threshold Summary'!$Y:$Y,'Threshold Summary'!$L:$L,"")/5+2)*pow*atk/def)/50)+2)),modifier,stab*eff,FLOOR(base*modifier)),0)</f>
        <v/>
      </c>
      <c r="L160" s="3">
        <f>IFERROR(LET(mtype,XLOOKUP($D160,'Move Editor'!$B:$B,'Move Editor'!$C:$C,""),cat,XLOOKUP($D160,'Move Editor'!$B:$B,'Move Editor'!$D:$D,""),pow,XLOOKUP($D160,'Move Editor'!$B:$B,'Move Editor'!$E:$E,0),acc,XLOOKUP($D160,'Move Editor'!$B:$B,'Move Editor'!$F:$F,100),atk,IF(cat="Physical",FLOOR((FLOOR(((2*XLOOKUP(XLOOKUP($Q160,'Threshold Summary'!$Y:$Y,'Threshold Summary'!$K:$K,""),'Pokemon Editor'!$A:$A,'Pokemon Editor'!$F:$F,0)+31+FLOOR(XLOOKUP($Q160,'Threshold Summary'!$Y:$Y,'Threshold Summary'!$P:$P,"")/4))*XLOOKUP($Q160,'Threshold Summary'!$Y:$Y,'Threshold Summary'!$L:$L,""))/100)+5)*XLOOKUP(XLOOKUP($Q160,'Threshold Summary'!$Y:$Y,'Threshold Summary'!$M:$M,""),'Nature Editor'!$A:$A,'Nature Editor'!$B:$B,1)),FLOOR((FLOOR(((2*XLOOKUP(XLOOKUP($Q160,'Threshold Summary'!$Y:$Y,'Threshold Summary'!$K:$K,""),'Pokemon Editor'!$A:$A,'Pokemon Editor'!$H:$H,0)+31+FLOOR(XLOOKUP($Q160,'Threshold Summary'!$Y:$Y,'Threshold Summary'!$R:$R,"")/4))*XLOOKUP($Q160,'Threshold Summary'!$Y:$Y,'Threshold Summary'!$L:$L,""))/100)+5)*XLOOKUP(XLOOKUP($Q160,'Threshold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Editor'!$E:$E,1))),stab,IF(OR(mtype=XLOOKUP(XLOOKUP($Q160,'Threshold Summary'!$Y:$Y,'Threshold Summary'!$K:$K,""),'Pokemon Editor'!$A:$A,'Pokemon Editor'!$C:$C,""),mtype=XLOOKUP(XLOOKUP($Q160,'Threshold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Chart'!$B$1:$S$1,0)))),base,IF(OR(cat="Status",pow=0),0,FLOOR(FLOOR(FLOOR((2*XLOOKUP($Q160,'Threshold Summary'!$Y:$Y,'Threshold Summary'!$L:$L,"")/5+2)*pow*atk/def)/50)+2)),modifier,stab*eff,AVERAGE(ARRAYFORMULA(FLOOR(base*modifier*SEQUENCE(16,1,85,1)/100)))),0)</f>
        <v/>
      </c>
      <c r="M160" s="3">
        <f>IFERROR(LET(mtype,XLOOKUP($D160,'Move Editor'!$B:$B,'Move Editor'!$C:$C,""),cat,XLOOKUP($D160,'Move Editor'!$B:$B,'Move Editor'!$D:$D,""),pow,XLOOKUP($D160,'Move Editor'!$B:$B,'Move Editor'!$E:$E,0),acc,XLOOKUP($D160,'Move Editor'!$B:$B,'Move Editor'!$F:$F,100),atk,IF(cat="Physical",FLOOR((FLOOR(((2*XLOOKUP(XLOOKUP($Q160,'Threshold Summary'!$Y:$Y,'Threshold Summary'!$K:$K,""),'Pokemon Editor'!$A:$A,'Pokemon Editor'!$F:$F,0)+31+FLOOR(XLOOKUP($Q160,'Threshold Summary'!$Y:$Y,'Threshold Summary'!$P:$P,"")/4))*XLOOKUP($Q160,'Threshold Summary'!$Y:$Y,'Threshold Summary'!$L:$L,""))/100)+5)*XLOOKUP(XLOOKUP($Q160,'Threshold Summary'!$Y:$Y,'Threshold Summary'!$M:$M,""),'Nature Editor'!$A:$A,'Nature Editor'!$B:$B,1)),FLOOR((FLOOR(((2*XLOOKUP(XLOOKUP($Q160,'Threshold Summary'!$Y:$Y,'Threshold Summary'!$K:$K,""),'Pokemon Editor'!$A:$A,'Pokemon Editor'!$H:$H,0)+31+FLOOR(XLOOKUP($Q160,'Threshold Summary'!$Y:$Y,'Threshold Summary'!$R:$R,"")/4))*XLOOKUP($Q160,'Threshold Summary'!$Y:$Y,'Threshold Summary'!$L:$L,""))/100)+5)*XLOOKUP(XLOOKUP($Q160,'Threshold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Editor'!$E:$E,1))),stab,IF(OR(mtype=XLOOKUP(XLOOKUP($Q160,'Threshold Summary'!$Y:$Y,'Threshold Summary'!$K:$K,""),'Pokemon Editor'!$A:$A,'Pokemon Editor'!$C:$C,""),mtype=XLOOKUP(XLOOKUP($Q160,'Threshold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Chart'!$B$1:$S$1,0)))),base,IF(OR(cat="Status",pow=0),0,FLOOR(FLOOR(FLOOR((2*XLOOKUP($Q160,'Threshold Summary'!$Y:$Y,'Threshold Summary'!$L:$L,"")/5+2)*pow*atk/def)/50)+2)),modifier,stab*eff,AVERAGE(ARRAYFORMULA(FLOOR(base*modifier*SEQUENCE(16,1,85,1)/100)))*MIN(1,acc/100)),0)</f>
        <v/>
      </c>
      <c r="N160" s="4">
        <f>IFERROR(LET(mtype,XLOOKUP($D160,'Move Editor'!$B:$B,'Move Editor'!$C:$C,""),cat,XLOOKUP($D160,'Move Editor'!$B:$B,'Move Editor'!$D:$D,""),pow,XLOOKUP($D160,'Move Editor'!$B:$B,'Move Editor'!$E:$E,0),acc,XLOOKUP($D160,'Move Editor'!$B:$B,'Move Editor'!$F:$F,100),atk,IF(cat="Physical",FLOOR((FLOOR(((2*XLOOKUP(XLOOKUP($Q160,'Threshold Summary'!$Y:$Y,'Threshold Summary'!$K:$K,""),'Pokemon Editor'!$A:$A,'Pokemon Editor'!$F:$F,0)+31+FLOOR(XLOOKUP($Q160,'Threshold Summary'!$Y:$Y,'Threshold Summary'!$P:$P,"")/4))*XLOOKUP($Q160,'Threshold Summary'!$Y:$Y,'Threshold Summary'!$L:$L,""))/100)+5)*XLOOKUP(XLOOKUP($Q160,'Threshold Summary'!$Y:$Y,'Threshold Summary'!$M:$M,""),'Nature Editor'!$A:$A,'Nature Editor'!$B:$B,1)),FLOOR((FLOOR(((2*XLOOKUP(XLOOKUP($Q160,'Threshold Summary'!$Y:$Y,'Threshold Summary'!$K:$K,""),'Pokemon Editor'!$A:$A,'Pokemon Editor'!$H:$H,0)+31+FLOOR(XLOOKUP($Q160,'Threshold Summary'!$Y:$Y,'Threshold Summary'!$R:$R,"")/4))*XLOOKUP($Q160,'Threshold Summary'!$Y:$Y,'Threshold Summary'!$L:$L,""))/100)+5)*XLOOKUP(XLOOKUP($Q160,'Threshold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Editor'!$E:$E,1))),stab,IF(OR(mtype=XLOOKUP(XLOOKUP($Q160,'Threshold Summary'!$Y:$Y,'Threshold Summary'!$K:$K,""),'Pokemon Editor'!$A:$A,'Pokemon Editor'!$C:$C,""),mtype=XLOOKUP(XLOOKUP($Q160,'Threshold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Chart'!$B$1:$S$1,0)))),base,IF(OR(cat="Status",pow=0),0,FLOOR(FLOOR(FLOOR((2*XLOOKUP($Q160,'Threshold Summary'!$Y:$Y,'Threshold Summary'!$L:$L,"")/5+2)*pow*atk/def)/50)+2)),modifier,stab*eff,AVERAGE(ARRAYFORMULA(FLOOR(base*modifier*SEQUENCE(16,1,85,1)/100)))/(FLOOR(((2*XLOOKUP('Boss Editor'!$C$4,'Pokemon Editor'!$A:$A,'Pokemon Editor'!$E:$E,0)+31+FLOOR('Boss Editor'!$G$4/4))*'Boss Editor'!$D$4)/100)+'Boss Editor'!$D$4+10)),0)</f>
        <v/>
      </c>
      <c r="O160" s="3">
        <f>IF(N160&gt;=1,"OHKO",IF(N160&gt;=0.5,"2HKO",IF(N160&gt;=0.333,"3HKO",IF(N160&gt;=0.25,"4HKO","5HKO+"))))</f>
        <v/>
      </c>
      <c r="P160" s="3" t="inlineStr">
        <is>
          <t>Live from editable databases</t>
        </is>
      </c>
      <c r="Q160" s="3" t="inlineStr">
        <is>
          <t>SPECIES_TORCHIC</t>
        </is>
      </c>
      <c r="R160" s="3" t="n">
        <v>31</v>
      </c>
    </row>
    <row r="161">
      <c r="A161" s="3">
        <f>XLOOKUP($Q161,'Threshold Summary'!$Y:$Y,'Threshold Summary'!$A:$A,"")</f>
        <v/>
      </c>
      <c r="B161" s="3">
        <f>XLOOKUP($Q161,'Threshold Summary'!$Y:$Y,'Threshold Summary'!$M:$M,"")</f>
        <v/>
      </c>
      <c r="C161" s="3">
        <f>XLOOKUP($Q161,'Threshold Summary'!$Y:$Y,'Threshold Summary'!$N:$N,"")</f>
        <v/>
      </c>
      <c r="D161" s="3">
        <f>IFERROR(INDEX(FILTER('Learnset Editor'!$D$2:$D,'Learnset Editor'!$A$2:$A=XLOOKUP($Q161,'Threshold Summary'!$Y:$Y,'Threshold Summary'!$K:$K,""),'Learnset Editor'!$C$2:$C&lt;=XLOOKUP($Q161,'Threshold Summary'!$Y:$Y,'Threshold Summary'!$L:$L,"")),$R161),"")</f>
        <v/>
      </c>
      <c r="E161" s="3">
        <f>XLOOKUP(D161,'Move Editor'!$B:$B,'Move Editor'!$C:$C,"")</f>
        <v/>
      </c>
      <c r="F161" s="3">
        <f>XLOOKUP(D161,'Move Editor'!$B:$B,'Move Editor'!$D:$D,"")</f>
        <v/>
      </c>
      <c r="G161" s="3">
        <f>XLOOKUP(D161,'Move Editor'!$B:$B,'Move Editor'!$E:$E,0)</f>
        <v/>
      </c>
      <c r="H161" s="3">
        <f>XLOOKUP(D161,'Move Editor'!$B:$B,'Move Editor'!$F:$F,0)</f>
        <v/>
      </c>
      <c r="I161" s="3">
        <f>(INDEX('Type Chart'!$B:$S,MATCH(E161,'Type Chart'!$A:$A,0),MATCH(XLOOKUP('Boss Editor'!$C$4,'Pokemon Editor'!$A:$A,'Pokemon Editor'!$C:$C,""),'Type Chart'!$B$1:$S$1,0))*IF(XLOOKUP('Boss Editor'!$C$4,'Pokemon Editor'!$A:$A,'Pokemon Editor'!$D:$D,"")="",1,INDEX('Type Chart'!$B:$S,MATCH(E161,'Type Chart'!$A:$A,0),MATCH(XLOOKUP('Boss Editor'!$C$4,'Pokemon Editor'!$A:$A,'Pokemon Editor'!$D:$D,""),'Type Chart'!$B$1:$S$1,0))))</f>
        <v/>
      </c>
      <c r="J161" s="3">
        <f>IFERROR(LET(mtype,XLOOKUP($D161,'Move Editor'!$B:$B,'Move Editor'!$C:$C,""),cat,XLOOKUP($D161,'Move Editor'!$B:$B,'Move Editor'!$D:$D,""),pow,XLOOKUP($D161,'Move Editor'!$B:$B,'Move Editor'!$E:$E,0),acc,XLOOKUP($D161,'Move Editor'!$B:$B,'Move Editor'!$F:$F,100),atk,IF(cat="Physical",FLOOR((FLOOR(((2*XLOOKUP(XLOOKUP($Q161,'Threshold Summary'!$Y:$Y,'Threshold Summary'!$K:$K,""),'Pokemon Editor'!$A:$A,'Pokemon Editor'!$F:$F,0)+31+FLOOR(XLOOKUP($Q161,'Threshold Summary'!$Y:$Y,'Threshold Summary'!$P:$P,"")/4))*XLOOKUP($Q161,'Threshold Summary'!$Y:$Y,'Threshold Summary'!$L:$L,""))/100)+5)*XLOOKUP(XLOOKUP($Q161,'Threshold Summary'!$Y:$Y,'Threshold Summary'!$M:$M,""),'Nature Editor'!$A:$A,'Nature Editor'!$B:$B,1)),FLOOR((FLOOR(((2*XLOOKUP(XLOOKUP($Q161,'Threshold Summary'!$Y:$Y,'Threshold Summary'!$K:$K,""),'Pokemon Editor'!$A:$A,'Pokemon Editor'!$H:$H,0)+31+FLOOR(XLOOKUP($Q161,'Threshold Summary'!$Y:$Y,'Threshold Summary'!$R:$R,"")/4))*XLOOKUP($Q161,'Threshold Summary'!$Y:$Y,'Threshold Summary'!$L:$L,""))/100)+5)*XLOOKUP(XLOOKUP($Q161,'Threshold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Editor'!$E:$E,1))),stab,IF(OR(mtype=XLOOKUP(XLOOKUP($Q161,'Threshold Summary'!$Y:$Y,'Threshold Summary'!$K:$K,""),'Pokemon Editor'!$A:$A,'Pokemon Editor'!$C:$C,""),mtype=XLOOKUP(XLOOKUP($Q161,'Threshold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Chart'!$B$1:$S$1,0)))),base,IF(OR(cat="Status",pow=0),0,FLOOR(FLOOR(FLOOR((2*XLOOKUP($Q161,'Threshold Summary'!$Y:$Y,'Threshold Summary'!$L:$L,"")/5+2)*pow*atk/def)/50)+2)),modifier,stab*eff,FLOOR(base*modifier*0.85)),0)</f>
        <v/>
      </c>
      <c r="K161" s="3">
        <f>IFERROR(LET(mtype,XLOOKUP($D161,'Move Editor'!$B:$B,'Move Editor'!$C:$C,""),cat,XLOOKUP($D161,'Move Editor'!$B:$B,'Move Editor'!$D:$D,""),pow,XLOOKUP($D161,'Move Editor'!$B:$B,'Move Editor'!$E:$E,0),acc,XLOOKUP($D161,'Move Editor'!$B:$B,'Move Editor'!$F:$F,100),atk,IF(cat="Physical",FLOOR((FLOOR(((2*XLOOKUP(XLOOKUP($Q161,'Threshold Summary'!$Y:$Y,'Threshold Summary'!$K:$K,""),'Pokemon Editor'!$A:$A,'Pokemon Editor'!$F:$F,0)+31+FLOOR(XLOOKUP($Q161,'Threshold Summary'!$Y:$Y,'Threshold Summary'!$P:$P,"")/4))*XLOOKUP($Q161,'Threshold Summary'!$Y:$Y,'Threshold Summary'!$L:$L,""))/100)+5)*XLOOKUP(XLOOKUP($Q161,'Threshold Summary'!$Y:$Y,'Threshold Summary'!$M:$M,""),'Nature Editor'!$A:$A,'Nature Editor'!$B:$B,1)),FLOOR((FLOOR(((2*XLOOKUP(XLOOKUP($Q161,'Threshold Summary'!$Y:$Y,'Threshold Summary'!$K:$K,""),'Pokemon Editor'!$A:$A,'Pokemon Editor'!$H:$H,0)+31+FLOOR(XLOOKUP($Q161,'Threshold Summary'!$Y:$Y,'Threshold Summary'!$R:$R,"")/4))*XLOOKUP($Q161,'Threshold Summary'!$Y:$Y,'Threshold Summary'!$L:$L,""))/100)+5)*XLOOKUP(XLOOKUP($Q161,'Threshold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Editor'!$E:$E,1))),stab,IF(OR(mtype=XLOOKUP(XLOOKUP($Q161,'Threshold Summary'!$Y:$Y,'Threshold Summary'!$K:$K,""),'Pokemon Editor'!$A:$A,'Pokemon Editor'!$C:$C,""),mtype=XLOOKUP(XLOOKUP($Q161,'Threshold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Chart'!$B$1:$S$1,0)))),base,IF(OR(cat="Status",pow=0),0,FLOOR(FLOOR(FLOOR((2*XLOOKUP($Q161,'Threshold Summary'!$Y:$Y,'Threshold Summary'!$L:$L,"")/5+2)*pow*atk/def)/50)+2)),modifier,stab*eff,FLOOR(base*modifier)),0)</f>
        <v/>
      </c>
      <c r="L161" s="3">
        <f>IFERROR(LET(mtype,XLOOKUP($D161,'Move Editor'!$B:$B,'Move Editor'!$C:$C,""),cat,XLOOKUP($D161,'Move Editor'!$B:$B,'Move Editor'!$D:$D,""),pow,XLOOKUP($D161,'Move Editor'!$B:$B,'Move Editor'!$E:$E,0),acc,XLOOKUP($D161,'Move Editor'!$B:$B,'Move Editor'!$F:$F,100),atk,IF(cat="Physical",FLOOR((FLOOR(((2*XLOOKUP(XLOOKUP($Q161,'Threshold Summary'!$Y:$Y,'Threshold Summary'!$K:$K,""),'Pokemon Editor'!$A:$A,'Pokemon Editor'!$F:$F,0)+31+FLOOR(XLOOKUP($Q161,'Threshold Summary'!$Y:$Y,'Threshold Summary'!$P:$P,"")/4))*XLOOKUP($Q161,'Threshold Summary'!$Y:$Y,'Threshold Summary'!$L:$L,""))/100)+5)*XLOOKUP(XLOOKUP($Q161,'Threshold Summary'!$Y:$Y,'Threshold Summary'!$M:$M,""),'Nature Editor'!$A:$A,'Nature Editor'!$B:$B,1)),FLOOR((FLOOR(((2*XLOOKUP(XLOOKUP($Q161,'Threshold Summary'!$Y:$Y,'Threshold Summary'!$K:$K,""),'Pokemon Editor'!$A:$A,'Pokemon Editor'!$H:$H,0)+31+FLOOR(XLOOKUP($Q161,'Threshold Summary'!$Y:$Y,'Threshold Summary'!$R:$R,"")/4))*XLOOKUP($Q161,'Threshold Summary'!$Y:$Y,'Threshold Summary'!$L:$L,""))/100)+5)*XLOOKUP(XLOOKUP($Q161,'Threshold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Editor'!$E:$E,1))),stab,IF(OR(mtype=XLOOKUP(XLOOKUP($Q161,'Threshold Summary'!$Y:$Y,'Threshold Summary'!$K:$K,""),'Pokemon Editor'!$A:$A,'Pokemon Editor'!$C:$C,""),mtype=XLOOKUP(XLOOKUP($Q161,'Threshold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Chart'!$B$1:$S$1,0)))),base,IF(OR(cat="Status",pow=0),0,FLOOR(FLOOR(FLOOR((2*XLOOKUP($Q161,'Threshold Summary'!$Y:$Y,'Threshold Summary'!$L:$L,"")/5+2)*pow*atk/def)/50)+2)),modifier,stab*eff,AVERAGE(ARRAYFORMULA(FLOOR(base*modifier*SEQUENCE(16,1,85,1)/100)))),0)</f>
        <v/>
      </c>
      <c r="M161" s="3">
        <f>IFERROR(LET(mtype,XLOOKUP($D161,'Move Editor'!$B:$B,'Move Editor'!$C:$C,""),cat,XLOOKUP($D161,'Move Editor'!$B:$B,'Move Editor'!$D:$D,""),pow,XLOOKUP($D161,'Move Editor'!$B:$B,'Move Editor'!$E:$E,0),acc,XLOOKUP($D161,'Move Editor'!$B:$B,'Move Editor'!$F:$F,100),atk,IF(cat="Physical",FLOOR((FLOOR(((2*XLOOKUP(XLOOKUP($Q161,'Threshold Summary'!$Y:$Y,'Threshold Summary'!$K:$K,""),'Pokemon Editor'!$A:$A,'Pokemon Editor'!$F:$F,0)+31+FLOOR(XLOOKUP($Q161,'Threshold Summary'!$Y:$Y,'Threshold Summary'!$P:$P,"")/4))*XLOOKUP($Q161,'Threshold Summary'!$Y:$Y,'Threshold Summary'!$L:$L,""))/100)+5)*XLOOKUP(XLOOKUP($Q161,'Threshold Summary'!$Y:$Y,'Threshold Summary'!$M:$M,""),'Nature Editor'!$A:$A,'Nature Editor'!$B:$B,1)),FLOOR((FLOOR(((2*XLOOKUP(XLOOKUP($Q161,'Threshold Summary'!$Y:$Y,'Threshold Summary'!$K:$K,""),'Pokemon Editor'!$A:$A,'Pokemon Editor'!$H:$H,0)+31+FLOOR(XLOOKUP($Q161,'Threshold Summary'!$Y:$Y,'Threshold Summary'!$R:$R,"")/4))*XLOOKUP($Q161,'Threshold Summary'!$Y:$Y,'Threshold Summary'!$L:$L,""))/100)+5)*XLOOKUP(XLOOKUP($Q161,'Threshold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Editor'!$E:$E,1))),stab,IF(OR(mtype=XLOOKUP(XLOOKUP($Q161,'Threshold Summary'!$Y:$Y,'Threshold Summary'!$K:$K,""),'Pokemon Editor'!$A:$A,'Pokemon Editor'!$C:$C,""),mtype=XLOOKUP(XLOOKUP($Q161,'Threshold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Chart'!$B$1:$S$1,0)))),base,IF(OR(cat="Status",pow=0),0,FLOOR(FLOOR(FLOOR((2*XLOOKUP($Q161,'Threshold Summary'!$Y:$Y,'Threshold Summary'!$L:$L,"")/5+2)*pow*atk/def)/50)+2)),modifier,stab*eff,AVERAGE(ARRAYFORMULA(FLOOR(base*modifier*SEQUENCE(16,1,85,1)/100)))*MIN(1,acc/100)),0)</f>
        <v/>
      </c>
      <c r="N161" s="4">
        <f>IFERROR(LET(mtype,XLOOKUP($D161,'Move Editor'!$B:$B,'Move Editor'!$C:$C,""),cat,XLOOKUP($D161,'Move Editor'!$B:$B,'Move Editor'!$D:$D,""),pow,XLOOKUP($D161,'Move Editor'!$B:$B,'Move Editor'!$E:$E,0),acc,XLOOKUP($D161,'Move Editor'!$B:$B,'Move Editor'!$F:$F,100),atk,IF(cat="Physical",FLOOR((FLOOR(((2*XLOOKUP(XLOOKUP($Q161,'Threshold Summary'!$Y:$Y,'Threshold Summary'!$K:$K,""),'Pokemon Editor'!$A:$A,'Pokemon Editor'!$F:$F,0)+31+FLOOR(XLOOKUP($Q161,'Threshold Summary'!$Y:$Y,'Threshold Summary'!$P:$P,"")/4))*XLOOKUP($Q161,'Threshold Summary'!$Y:$Y,'Threshold Summary'!$L:$L,""))/100)+5)*XLOOKUP(XLOOKUP($Q161,'Threshold Summary'!$Y:$Y,'Threshold Summary'!$M:$M,""),'Nature Editor'!$A:$A,'Nature Editor'!$B:$B,1)),FLOOR((FLOOR(((2*XLOOKUP(XLOOKUP($Q161,'Threshold Summary'!$Y:$Y,'Threshold Summary'!$K:$K,""),'Pokemon Editor'!$A:$A,'Pokemon Editor'!$H:$H,0)+31+FLOOR(XLOOKUP($Q161,'Threshold Summary'!$Y:$Y,'Threshold Summary'!$R:$R,"")/4))*XLOOKUP($Q161,'Threshold Summary'!$Y:$Y,'Threshold Summary'!$L:$L,""))/100)+5)*XLOOKUP(XLOOKUP($Q161,'Threshold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Editor'!$E:$E,1))),stab,IF(OR(mtype=XLOOKUP(XLOOKUP($Q161,'Threshold Summary'!$Y:$Y,'Threshold Summary'!$K:$K,""),'Pokemon Editor'!$A:$A,'Pokemon Editor'!$C:$C,""),mtype=XLOOKUP(XLOOKUP($Q161,'Threshold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Chart'!$B$1:$S$1,0)))),base,IF(OR(cat="Status",pow=0),0,FLOOR(FLOOR(FLOOR((2*XLOOKUP($Q161,'Threshold Summary'!$Y:$Y,'Threshold Summary'!$L:$L,"")/5+2)*pow*atk/def)/50)+2)),modifier,stab*eff,AVERAGE(ARRAYFORMULA(FLOOR(base*modifier*SEQUENCE(16,1,85,1)/100)))/(FLOOR(((2*XLOOKUP('Boss Editor'!$C$4,'Pokemon Editor'!$A:$A,'Pokemon Editor'!$E:$E,0)+31+FLOOR('Boss Editor'!$G$4/4))*'Boss Editor'!$D$4)/100)+'Boss Editor'!$D$4+10)),0)</f>
        <v/>
      </c>
      <c r="O161" s="3">
        <f>IF(N161&gt;=1,"OHKO",IF(N161&gt;=0.5,"2HKO",IF(N161&gt;=0.333,"3HKO",IF(N161&gt;=0.25,"4HKO","5HKO+"))))</f>
        <v/>
      </c>
      <c r="P161" s="3" t="inlineStr">
        <is>
          <t>Live from editable databases</t>
        </is>
      </c>
      <c r="Q161" s="3" t="inlineStr">
        <is>
          <t>SPECIES_TORCHIC</t>
        </is>
      </c>
      <c r="R161" s="3" t="n">
        <v>32</v>
      </c>
    </row>
    <row r="162">
      <c r="A162" s="3">
        <f>XLOOKUP($Q162,'Threshold Summary'!$Y:$Y,'Threshold Summary'!$A:$A,"")</f>
        <v/>
      </c>
      <c r="B162" s="3">
        <f>XLOOKUP($Q162,'Threshold Summary'!$Y:$Y,'Threshold Summary'!$M:$M,"")</f>
        <v/>
      </c>
      <c r="C162" s="3">
        <f>XLOOKUP($Q162,'Threshold Summary'!$Y:$Y,'Threshold Summary'!$N:$N,"")</f>
        <v/>
      </c>
      <c r="D162" s="3">
        <f>IFERROR(INDEX(FILTER('Learnset Editor'!$D$2:$D,'Learnset Editor'!$A$2:$A=XLOOKUP($Q162,'Threshold Summary'!$Y:$Y,'Threshold Summary'!$K:$K,""),'Learnset Editor'!$C$2:$C&lt;=XLOOKUP($Q162,'Threshold Summary'!$Y:$Y,'Threshold Summary'!$L:$L,"")),$R162),"")</f>
        <v/>
      </c>
      <c r="E162" s="3">
        <f>XLOOKUP(D162,'Move Editor'!$B:$B,'Move Editor'!$C:$C,"")</f>
        <v/>
      </c>
      <c r="F162" s="3">
        <f>XLOOKUP(D162,'Move Editor'!$B:$B,'Move Editor'!$D:$D,"")</f>
        <v/>
      </c>
      <c r="G162" s="3">
        <f>XLOOKUP(D162,'Move Editor'!$B:$B,'Move Editor'!$E:$E,0)</f>
        <v/>
      </c>
      <c r="H162" s="3">
        <f>XLOOKUP(D162,'Move Editor'!$B:$B,'Move Editor'!$F:$F,0)</f>
        <v/>
      </c>
      <c r="I162" s="3">
        <f>(INDEX('Type Chart'!$B:$S,MATCH(E162,'Type Chart'!$A:$A,0),MATCH(XLOOKUP('Boss Editor'!$C$4,'Pokemon Editor'!$A:$A,'Pokemon Editor'!$C:$C,""),'Type Chart'!$B$1:$S$1,0))*IF(XLOOKUP('Boss Editor'!$C$4,'Pokemon Editor'!$A:$A,'Pokemon Editor'!$D:$D,"")="",1,INDEX('Type Chart'!$B:$S,MATCH(E162,'Type Chart'!$A:$A,0),MATCH(XLOOKUP('Boss Editor'!$C$4,'Pokemon Editor'!$A:$A,'Pokemon Editor'!$D:$D,""),'Type Chart'!$B$1:$S$1,0))))</f>
        <v/>
      </c>
      <c r="J162" s="3">
        <f>IFERROR(LET(mtype,XLOOKUP($D162,'Move Editor'!$B:$B,'Move Editor'!$C:$C,""),cat,XLOOKUP($D162,'Move Editor'!$B:$B,'Move Editor'!$D:$D,""),pow,XLOOKUP($D162,'Move Editor'!$B:$B,'Move Editor'!$E:$E,0),acc,XLOOKUP($D162,'Move Editor'!$B:$B,'Move Editor'!$F:$F,100),atk,IF(cat="Physical",FLOOR((FLOOR(((2*XLOOKUP(XLOOKUP($Q162,'Threshold Summary'!$Y:$Y,'Threshold Summary'!$K:$K,""),'Pokemon Editor'!$A:$A,'Pokemon Editor'!$F:$F,0)+31+FLOOR(XLOOKUP($Q162,'Threshold Summary'!$Y:$Y,'Threshold Summary'!$P:$P,"")/4))*XLOOKUP($Q162,'Threshold Summary'!$Y:$Y,'Threshold Summary'!$L:$L,""))/100)+5)*XLOOKUP(XLOOKUP($Q162,'Threshold Summary'!$Y:$Y,'Threshold Summary'!$M:$M,""),'Nature Editor'!$A:$A,'Nature Editor'!$B:$B,1)),FLOOR((FLOOR(((2*XLOOKUP(XLOOKUP($Q162,'Threshold Summary'!$Y:$Y,'Threshold Summary'!$K:$K,""),'Pokemon Editor'!$A:$A,'Pokemon Editor'!$H:$H,0)+31+FLOOR(XLOOKUP($Q162,'Threshold Summary'!$Y:$Y,'Threshold Summary'!$R:$R,"")/4))*XLOOKUP($Q162,'Threshold Summary'!$Y:$Y,'Threshold Summary'!$L:$L,""))/100)+5)*XLOOKUP(XLOOKUP($Q162,'Threshold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Editor'!$E:$E,1))),stab,IF(OR(mtype=XLOOKUP(XLOOKUP($Q162,'Threshold Summary'!$Y:$Y,'Threshold Summary'!$K:$K,""),'Pokemon Editor'!$A:$A,'Pokemon Editor'!$C:$C,""),mtype=XLOOKUP(XLOOKUP($Q162,'Threshold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Chart'!$B$1:$S$1,0)))),base,IF(OR(cat="Status",pow=0),0,FLOOR(FLOOR(FLOOR((2*XLOOKUP($Q162,'Threshold Summary'!$Y:$Y,'Threshold Summary'!$L:$L,"")/5+2)*pow*atk/def)/50)+2)),modifier,stab*eff,FLOOR(base*modifier*0.85)),0)</f>
        <v/>
      </c>
      <c r="K162" s="3">
        <f>IFERROR(LET(mtype,XLOOKUP($D162,'Move Editor'!$B:$B,'Move Editor'!$C:$C,""),cat,XLOOKUP($D162,'Move Editor'!$B:$B,'Move Editor'!$D:$D,""),pow,XLOOKUP($D162,'Move Editor'!$B:$B,'Move Editor'!$E:$E,0),acc,XLOOKUP($D162,'Move Editor'!$B:$B,'Move Editor'!$F:$F,100),atk,IF(cat="Physical",FLOOR((FLOOR(((2*XLOOKUP(XLOOKUP($Q162,'Threshold Summary'!$Y:$Y,'Threshold Summary'!$K:$K,""),'Pokemon Editor'!$A:$A,'Pokemon Editor'!$F:$F,0)+31+FLOOR(XLOOKUP($Q162,'Threshold Summary'!$Y:$Y,'Threshold Summary'!$P:$P,"")/4))*XLOOKUP($Q162,'Threshold Summary'!$Y:$Y,'Threshold Summary'!$L:$L,""))/100)+5)*XLOOKUP(XLOOKUP($Q162,'Threshold Summary'!$Y:$Y,'Threshold Summary'!$M:$M,""),'Nature Editor'!$A:$A,'Nature Editor'!$B:$B,1)),FLOOR((FLOOR(((2*XLOOKUP(XLOOKUP($Q162,'Threshold Summary'!$Y:$Y,'Threshold Summary'!$K:$K,""),'Pokemon Editor'!$A:$A,'Pokemon Editor'!$H:$H,0)+31+FLOOR(XLOOKUP($Q162,'Threshold Summary'!$Y:$Y,'Threshold Summary'!$R:$R,"")/4))*XLOOKUP($Q162,'Threshold Summary'!$Y:$Y,'Threshold Summary'!$L:$L,""))/100)+5)*XLOOKUP(XLOOKUP($Q162,'Threshold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Editor'!$E:$E,1))),stab,IF(OR(mtype=XLOOKUP(XLOOKUP($Q162,'Threshold Summary'!$Y:$Y,'Threshold Summary'!$K:$K,""),'Pokemon Editor'!$A:$A,'Pokemon Editor'!$C:$C,""),mtype=XLOOKUP(XLOOKUP($Q162,'Threshold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Chart'!$B$1:$S$1,0)))),base,IF(OR(cat="Status",pow=0),0,FLOOR(FLOOR(FLOOR((2*XLOOKUP($Q162,'Threshold Summary'!$Y:$Y,'Threshold Summary'!$L:$L,"")/5+2)*pow*atk/def)/50)+2)),modifier,stab*eff,FLOOR(base*modifier)),0)</f>
        <v/>
      </c>
      <c r="L162" s="3">
        <f>IFERROR(LET(mtype,XLOOKUP($D162,'Move Editor'!$B:$B,'Move Editor'!$C:$C,""),cat,XLOOKUP($D162,'Move Editor'!$B:$B,'Move Editor'!$D:$D,""),pow,XLOOKUP($D162,'Move Editor'!$B:$B,'Move Editor'!$E:$E,0),acc,XLOOKUP($D162,'Move Editor'!$B:$B,'Move Editor'!$F:$F,100),atk,IF(cat="Physical",FLOOR((FLOOR(((2*XLOOKUP(XLOOKUP($Q162,'Threshold Summary'!$Y:$Y,'Threshold Summary'!$K:$K,""),'Pokemon Editor'!$A:$A,'Pokemon Editor'!$F:$F,0)+31+FLOOR(XLOOKUP($Q162,'Threshold Summary'!$Y:$Y,'Threshold Summary'!$P:$P,"")/4))*XLOOKUP($Q162,'Threshold Summary'!$Y:$Y,'Threshold Summary'!$L:$L,""))/100)+5)*XLOOKUP(XLOOKUP($Q162,'Threshold Summary'!$Y:$Y,'Threshold Summary'!$M:$M,""),'Nature Editor'!$A:$A,'Nature Editor'!$B:$B,1)),FLOOR((FLOOR(((2*XLOOKUP(XLOOKUP($Q162,'Threshold Summary'!$Y:$Y,'Threshold Summary'!$K:$K,""),'Pokemon Editor'!$A:$A,'Pokemon Editor'!$H:$H,0)+31+FLOOR(XLOOKUP($Q162,'Threshold Summary'!$Y:$Y,'Threshold Summary'!$R:$R,"")/4))*XLOOKUP($Q162,'Threshold Summary'!$Y:$Y,'Threshold Summary'!$L:$L,""))/100)+5)*XLOOKUP(XLOOKUP($Q162,'Threshold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Editor'!$E:$E,1))),stab,IF(OR(mtype=XLOOKUP(XLOOKUP($Q162,'Threshold Summary'!$Y:$Y,'Threshold Summary'!$K:$K,""),'Pokemon Editor'!$A:$A,'Pokemon Editor'!$C:$C,""),mtype=XLOOKUP(XLOOKUP($Q162,'Threshold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Chart'!$B$1:$S$1,0)))),base,IF(OR(cat="Status",pow=0),0,FLOOR(FLOOR(FLOOR((2*XLOOKUP($Q162,'Threshold Summary'!$Y:$Y,'Threshold Summary'!$L:$L,"")/5+2)*pow*atk/def)/50)+2)),modifier,stab*eff,AVERAGE(ARRAYFORMULA(FLOOR(base*modifier*SEQUENCE(16,1,85,1)/100)))),0)</f>
        <v/>
      </c>
      <c r="M162" s="3">
        <f>IFERROR(LET(mtype,XLOOKUP($D162,'Move Editor'!$B:$B,'Move Editor'!$C:$C,""),cat,XLOOKUP($D162,'Move Editor'!$B:$B,'Move Editor'!$D:$D,""),pow,XLOOKUP($D162,'Move Editor'!$B:$B,'Move Editor'!$E:$E,0),acc,XLOOKUP($D162,'Move Editor'!$B:$B,'Move Editor'!$F:$F,100),atk,IF(cat="Physical",FLOOR((FLOOR(((2*XLOOKUP(XLOOKUP($Q162,'Threshold Summary'!$Y:$Y,'Threshold Summary'!$K:$K,""),'Pokemon Editor'!$A:$A,'Pokemon Editor'!$F:$F,0)+31+FLOOR(XLOOKUP($Q162,'Threshold Summary'!$Y:$Y,'Threshold Summary'!$P:$P,"")/4))*XLOOKUP($Q162,'Threshold Summary'!$Y:$Y,'Threshold Summary'!$L:$L,""))/100)+5)*XLOOKUP(XLOOKUP($Q162,'Threshold Summary'!$Y:$Y,'Threshold Summary'!$M:$M,""),'Nature Editor'!$A:$A,'Nature Editor'!$B:$B,1)),FLOOR((FLOOR(((2*XLOOKUP(XLOOKUP($Q162,'Threshold Summary'!$Y:$Y,'Threshold Summary'!$K:$K,""),'Pokemon Editor'!$A:$A,'Pokemon Editor'!$H:$H,0)+31+FLOOR(XLOOKUP($Q162,'Threshold Summary'!$Y:$Y,'Threshold Summary'!$R:$R,"")/4))*XLOOKUP($Q162,'Threshold Summary'!$Y:$Y,'Threshold Summary'!$L:$L,""))/100)+5)*XLOOKUP(XLOOKUP($Q162,'Threshold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Editor'!$E:$E,1))),stab,IF(OR(mtype=XLOOKUP(XLOOKUP($Q162,'Threshold Summary'!$Y:$Y,'Threshold Summary'!$K:$K,""),'Pokemon Editor'!$A:$A,'Pokemon Editor'!$C:$C,""),mtype=XLOOKUP(XLOOKUP($Q162,'Threshold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Chart'!$B$1:$S$1,0)))),base,IF(OR(cat="Status",pow=0),0,FLOOR(FLOOR(FLOOR((2*XLOOKUP($Q162,'Threshold Summary'!$Y:$Y,'Threshold Summary'!$L:$L,"")/5+2)*pow*atk/def)/50)+2)),modifier,stab*eff,AVERAGE(ARRAYFORMULA(FLOOR(base*modifier*SEQUENCE(16,1,85,1)/100)))*MIN(1,acc/100)),0)</f>
        <v/>
      </c>
      <c r="N162" s="4">
        <f>IFERROR(LET(mtype,XLOOKUP($D162,'Move Editor'!$B:$B,'Move Editor'!$C:$C,""),cat,XLOOKUP($D162,'Move Editor'!$B:$B,'Move Editor'!$D:$D,""),pow,XLOOKUP($D162,'Move Editor'!$B:$B,'Move Editor'!$E:$E,0),acc,XLOOKUP($D162,'Move Editor'!$B:$B,'Move Editor'!$F:$F,100),atk,IF(cat="Physical",FLOOR((FLOOR(((2*XLOOKUP(XLOOKUP($Q162,'Threshold Summary'!$Y:$Y,'Threshold Summary'!$K:$K,""),'Pokemon Editor'!$A:$A,'Pokemon Editor'!$F:$F,0)+31+FLOOR(XLOOKUP($Q162,'Threshold Summary'!$Y:$Y,'Threshold Summary'!$P:$P,"")/4))*XLOOKUP($Q162,'Threshold Summary'!$Y:$Y,'Threshold Summary'!$L:$L,""))/100)+5)*XLOOKUP(XLOOKUP($Q162,'Threshold Summary'!$Y:$Y,'Threshold Summary'!$M:$M,""),'Nature Editor'!$A:$A,'Nature Editor'!$B:$B,1)),FLOOR((FLOOR(((2*XLOOKUP(XLOOKUP($Q162,'Threshold Summary'!$Y:$Y,'Threshold Summary'!$K:$K,""),'Pokemon Editor'!$A:$A,'Pokemon Editor'!$H:$H,0)+31+FLOOR(XLOOKUP($Q162,'Threshold Summary'!$Y:$Y,'Threshold Summary'!$R:$R,"")/4))*XLOOKUP($Q162,'Threshold Summary'!$Y:$Y,'Threshold Summary'!$L:$L,""))/100)+5)*XLOOKUP(XLOOKUP($Q162,'Threshold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Editor'!$E:$E,1))),stab,IF(OR(mtype=XLOOKUP(XLOOKUP($Q162,'Threshold Summary'!$Y:$Y,'Threshold Summary'!$K:$K,""),'Pokemon Editor'!$A:$A,'Pokemon Editor'!$C:$C,""),mtype=XLOOKUP(XLOOKUP($Q162,'Threshold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Chart'!$B$1:$S$1,0)))),base,IF(OR(cat="Status",pow=0),0,FLOOR(FLOOR(FLOOR((2*XLOOKUP($Q162,'Threshold Summary'!$Y:$Y,'Threshold Summary'!$L:$L,"")/5+2)*pow*atk/def)/50)+2)),modifier,stab*eff,AVERAGE(ARRAYFORMULA(FLOOR(base*modifier*SEQUENCE(16,1,85,1)/100)))/(FLOOR(((2*XLOOKUP('Boss Editor'!$C$4,'Pokemon Editor'!$A:$A,'Pokemon Editor'!$E:$E,0)+31+FLOOR('Boss Editor'!$G$4/4))*'Boss Editor'!$D$4)/100)+'Boss Editor'!$D$4+10)),0)</f>
        <v/>
      </c>
      <c r="O162" s="3">
        <f>IF(N162&gt;=1,"OHKO",IF(N162&gt;=0.5,"2HKO",IF(N162&gt;=0.333,"3HKO",IF(N162&gt;=0.25,"4HKO","5HKO+"))))</f>
        <v/>
      </c>
      <c r="P162" s="3" t="inlineStr">
        <is>
          <t>Live from editable databases</t>
        </is>
      </c>
      <c r="Q162" s="3" t="inlineStr">
        <is>
          <t>SPECIES_MUDKIP</t>
        </is>
      </c>
      <c r="R162" s="3" t="n">
        <v>1</v>
      </c>
    </row>
    <row r="163">
      <c r="A163" s="3">
        <f>XLOOKUP($Q163,'Threshold Summary'!$Y:$Y,'Threshold Summary'!$A:$A,"")</f>
        <v/>
      </c>
      <c r="B163" s="3">
        <f>XLOOKUP($Q163,'Threshold Summary'!$Y:$Y,'Threshold Summary'!$M:$M,"")</f>
        <v/>
      </c>
      <c r="C163" s="3">
        <f>XLOOKUP($Q163,'Threshold Summary'!$Y:$Y,'Threshold Summary'!$N:$N,"")</f>
        <v/>
      </c>
      <c r="D163" s="3">
        <f>IFERROR(INDEX(FILTER('Learnset Editor'!$D$2:$D,'Learnset Editor'!$A$2:$A=XLOOKUP($Q163,'Threshold Summary'!$Y:$Y,'Threshold Summary'!$K:$K,""),'Learnset Editor'!$C$2:$C&lt;=XLOOKUP($Q163,'Threshold Summary'!$Y:$Y,'Threshold Summary'!$L:$L,"")),$R163),"")</f>
        <v/>
      </c>
      <c r="E163" s="3">
        <f>XLOOKUP(D163,'Move Editor'!$B:$B,'Move Editor'!$C:$C,"")</f>
        <v/>
      </c>
      <c r="F163" s="3">
        <f>XLOOKUP(D163,'Move Editor'!$B:$B,'Move Editor'!$D:$D,"")</f>
        <v/>
      </c>
      <c r="G163" s="3">
        <f>XLOOKUP(D163,'Move Editor'!$B:$B,'Move Editor'!$E:$E,0)</f>
        <v/>
      </c>
      <c r="H163" s="3">
        <f>XLOOKUP(D163,'Move Editor'!$B:$B,'Move Editor'!$F:$F,0)</f>
        <v/>
      </c>
      <c r="I163" s="3">
        <f>(INDEX('Type Chart'!$B:$S,MATCH(E163,'Type Chart'!$A:$A,0),MATCH(XLOOKUP('Boss Editor'!$C$4,'Pokemon Editor'!$A:$A,'Pokemon Editor'!$C:$C,""),'Type Chart'!$B$1:$S$1,0))*IF(XLOOKUP('Boss Editor'!$C$4,'Pokemon Editor'!$A:$A,'Pokemon Editor'!$D:$D,"")="",1,INDEX('Type Chart'!$B:$S,MATCH(E163,'Type Chart'!$A:$A,0),MATCH(XLOOKUP('Boss Editor'!$C$4,'Pokemon Editor'!$A:$A,'Pokemon Editor'!$D:$D,""),'Type Chart'!$B$1:$S$1,0))))</f>
        <v/>
      </c>
      <c r="J163" s="3">
        <f>IFERROR(LET(mtype,XLOOKUP($D163,'Move Editor'!$B:$B,'Move Editor'!$C:$C,""),cat,XLOOKUP($D163,'Move Editor'!$B:$B,'Move Editor'!$D:$D,""),pow,XLOOKUP($D163,'Move Editor'!$B:$B,'Move Editor'!$E:$E,0),acc,XLOOKUP($D163,'Move Editor'!$B:$B,'Move Editor'!$F:$F,100),atk,IF(cat="Physical",FLOOR((FLOOR(((2*XLOOKUP(XLOOKUP($Q163,'Threshold Summary'!$Y:$Y,'Threshold Summary'!$K:$K,""),'Pokemon Editor'!$A:$A,'Pokemon Editor'!$F:$F,0)+31+FLOOR(XLOOKUP($Q163,'Threshold Summary'!$Y:$Y,'Threshold Summary'!$P:$P,"")/4))*XLOOKUP($Q163,'Threshold Summary'!$Y:$Y,'Threshold Summary'!$L:$L,""))/100)+5)*XLOOKUP(XLOOKUP($Q163,'Threshold Summary'!$Y:$Y,'Threshold Summary'!$M:$M,""),'Nature Editor'!$A:$A,'Nature Editor'!$B:$B,1)),FLOOR((FLOOR(((2*XLOOKUP(XLOOKUP($Q163,'Threshold Summary'!$Y:$Y,'Threshold Summary'!$K:$K,""),'Pokemon Editor'!$A:$A,'Pokemon Editor'!$H:$H,0)+31+FLOOR(XLOOKUP($Q163,'Threshold Summary'!$Y:$Y,'Threshold Summary'!$R:$R,"")/4))*XLOOKUP($Q163,'Threshold Summary'!$Y:$Y,'Threshold Summary'!$L:$L,""))/100)+5)*XLOOKUP(XLOOKUP($Q163,'Threshold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Editor'!$E:$E,1))),stab,IF(OR(mtype=XLOOKUP(XLOOKUP($Q163,'Threshold Summary'!$Y:$Y,'Threshold Summary'!$K:$K,""),'Pokemon Editor'!$A:$A,'Pokemon Editor'!$C:$C,""),mtype=XLOOKUP(XLOOKUP($Q163,'Threshold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Chart'!$B$1:$S$1,0)))),base,IF(OR(cat="Status",pow=0),0,FLOOR(FLOOR(FLOOR((2*XLOOKUP($Q163,'Threshold Summary'!$Y:$Y,'Threshold Summary'!$L:$L,"")/5+2)*pow*atk/def)/50)+2)),modifier,stab*eff,FLOOR(base*modifier*0.85)),0)</f>
        <v/>
      </c>
      <c r="K163" s="3">
        <f>IFERROR(LET(mtype,XLOOKUP($D163,'Move Editor'!$B:$B,'Move Editor'!$C:$C,""),cat,XLOOKUP($D163,'Move Editor'!$B:$B,'Move Editor'!$D:$D,""),pow,XLOOKUP($D163,'Move Editor'!$B:$B,'Move Editor'!$E:$E,0),acc,XLOOKUP($D163,'Move Editor'!$B:$B,'Move Editor'!$F:$F,100),atk,IF(cat="Physical",FLOOR((FLOOR(((2*XLOOKUP(XLOOKUP($Q163,'Threshold Summary'!$Y:$Y,'Threshold Summary'!$K:$K,""),'Pokemon Editor'!$A:$A,'Pokemon Editor'!$F:$F,0)+31+FLOOR(XLOOKUP($Q163,'Threshold Summary'!$Y:$Y,'Threshold Summary'!$P:$P,"")/4))*XLOOKUP($Q163,'Threshold Summary'!$Y:$Y,'Threshold Summary'!$L:$L,""))/100)+5)*XLOOKUP(XLOOKUP($Q163,'Threshold Summary'!$Y:$Y,'Threshold Summary'!$M:$M,""),'Nature Editor'!$A:$A,'Nature Editor'!$B:$B,1)),FLOOR((FLOOR(((2*XLOOKUP(XLOOKUP($Q163,'Threshold Summary'!$Y:$Y,'Threshold Summary'!$K:$K,""),'Pokemon Editor'!$A:$A,'Pokemon Editor'!$H:$H,0)+31+FLOOR(XLOOKUP($Q163,'Threshold Summary'!$Y:$Y,'Threshold Summary'!$R:$R,"")/4))*XLOOKUP($Q163,'Threshold Summary'!$Y:$Y,'Threshold Summary'!$L:$L,""))/100)+5)*XLOOKUP(XLOOKUP($Q163,'Threshold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Editor'!$E:$E,1))),stab,IF(OR(mtype=XLOOKUP(XLOOKUP($Q163,'Threshold Summary'!$Y:$Y,'Threshold Summary'!$K:$K,""),'Pokemon Editor'!$A:$A,'Pokemon Editor'!$C:$C,""),mtype=XLOOKUP(XLOOKUP($Q163,'Threshold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Chart'!$B$1:$S$1,0)))),base,IF(OR(cat="Status",pow=0),0,FLOOR(FLOOR(FLOOR((2*XLOOKUP($Q163,'Threshold Summary'!$Y:$Y,'Threshold Summary'!$L:$L,"")/5+2)*pow*atk/def)/50)+2)),modifier,stab*eff,FLOOR(base*modifier)),0)</f>
        <v/>
      </c>
      <c r="L163" s="3">
        <f>IFERROR(LET(mtype,XLOOKUP($D163,'Move Editor'!$B:$B,'Move Editor'!$C:$C,""),cat,XLOOKUP($D163,'Move Editor'!$B:$B,'Move Editor'!$D:$D,""),pow,XLOOKUP($D163,'Move Editor'!$B:$B,'Move Editor'!$E:$E,0),acc,XLOOKUP($D163,'Move Editor'!$B:$B,'Move Editor'!$F:$F,100),atk,IF(cat="Physical",FLOOR((FLOOR(((2*XLOOKUP(XLOOKUP($Q163,'Threshold Summary'!$Y:$Y,'Threshold Summary'!$K:$K,""),'Pokemon Editor'!$A:$A,'Pokemon Editor'!$F:$F,0)+31+FLOOR(XLOOKUP($Q163,'Threshold Summary'!$Y:$Y,'Threshold Summary'!$P:$P,"")/4))*XLOOKUP($Q163,'Threshold Summary'!$Y:$Y,'Threshold Summary'!$L:$L,""))/100)+5)*XLOOKUP(XLOOKUP($Q163,'Threshold Summary'!$Y:$Y,'Threshold Summary'!$M:$M,""),'Nature Editor'!$A:$A,'Nature Editor'!$B:$B,1)),FLOOR((FLOOR(((2*XLOOKUP(XLOOKUP($Q163,'Threshold Summary'!$Y:$Y,'Threshold Summary'!$K:$K,""),'Pokemon Editor'!$A:$A,'Pokemon Editor'!$H:$H,0)+31+FLOOR(XLOOKUP($Q163,'Threshold Summary'!$Y:$Y,'Threshold Summary'!$R:$R,"")/4))*XLOOKUP($Q163,'Threshold Summary'!$Y:$Y,'Threshold Summary'!$L:$L,""))/100)+5)*XLOOKUP(XLOOKUP($Q163,'Threshold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Editor'!$E:$E,1))),stab,IF(OR(mtype=XLOOKUP(XLOOKUP($Q163,'Threshold Summary'!$Y:$Y,'Threshold Summary'!$K:$K,""),'Pokemon Editor'!$A:$A,'Pokemon Editor'!$C:$C,""),mtype=XLOOKUP(XLOOKUP($Q163,'Threshold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Chart'!$B$1:$S$1,0)))),base,IF(OR(cat="Status",pow=0),0,FLOOR(FLOOR(FLOOR((2*XLOOKUP($Q163,'Threshold Summary'!$Y:$Y,'Threshold Summary'!$L:$L,"")/5+2)*pow*atk/def)/50)+2)),modifier,stab*eff,AVERAGE(ARRAYFORMULA(FLOOR(base*modifier*SEQUENCE(16,1,85,1)/100)))),0)</f>
        <v/>
      </c>
      <c r="M163" s="3">
        <f>IFERROR(LET(mtype,XLOOKUP($D163,'Move Editor'!$B:$B,'Move Editor'!$C:$C,""),cat,XLOOKUP($D163,'Move Editor'!$B:$B,'Move Editor'!$D:$D,""),pow,XLOOKUP($D163,'Move Editor'!$B:$B,'Move Editor'!$E:$E,0),acc,XLOOKUP($D163,'Move Editor'!$B:$B,'Move Editor'!$F:$F,100),atk,IF(cat="Physical",FLOOR((FLOOR(((2*XLOOKUP(XLOOKUP($Q163,'Threshold Summary'!$Y:$Y,'Threshold Summary'!$K:$K,""),'Pokemon Editor'!$A:$A,'Pokemon Editor'!$F:$F,0)+31+FLOOR(XLOOKUP($Q163,'Threshold Summary'!$Y:$Y,'Threshold Summary'!$P:$P,"")/4))*XLOOKUP($Q163,'Threshold Summary'!$Y:$Y,'Threshold Summary'!$L:$L,""))/100)+5)*XLOOKUP(XLOOKUP($Q163,'Threshold Summary'!$Y:$Y,'Threshold Summary'!$M:$M,""),'Nature Editor'!$A:$A,'Nature Editor'!$B:$B,1)),FLOOR((FLOOR(((2*XLOOKUP(XLOOKUP($Q163,'Threshold Summary'!$Y:$Y,'Threshold Summary'!$K:$K,""),'Pokemon Editor'!$A:$A,'Pokemon Editor'!$H:$H,0)+31+FLOOR(XLOOKUP($Q163,'Threshold Summary'!$Y:$Y,'Threshold Summary'!$R:$R,"")/4))*XLOOKUP($Q163,'Threshold Summary'!$Y:$Y,'Threshold Summary'!$L:$L,""))/100)+5)*XLOOKUP(XLOOKUP($Q163,'Threshold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Editor'!$E:$E,1))),stab,IF(OR(mtype=XLOOKUP(XLOOKUP($Q163,'Threshold Summary'!$Y:$Y,'Threshold Summary'!$K:$K,""),'Pokemon Editor'!$A:$A,'Pokemon Editor'!$C:$C,""),mtype=XLOOKUP(XLOOKUP($Q163,'Threshold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Chart'!$B$1:$S$1,0)))),base,IF(OR(cat="Status",pow=0),0,FLOOR(FLOOR(FLOOR((2*XLOOKUP($Q163,'Threshold Summary'!$Y:$Y,'Threshold Summary'!$L:$L,"")/5+2)*pow*atk/def)/50)+2)),modifier,stab*eff,AVERAGE(ARRAYFORMULA(FLOOR(base*modifier*SEQUENCE(16,1,85,1)/100)))*MIN(1,acc/100)),0)</f>
        <v/>
      </c>
      <c r="N163" s="4">
        <f>IFERROR(LET(mtype,XLOOKUP($D163,'Move Editor'!$B:$B,'Move Editor'!$C:$C,""),cat,XLOOKUP($D163,'Move Editor'!$B:$B,'Move Editor'!$D:$D,""),pow,XLOOKUP($D163,'Move Editor'!$B:$B,'Move Editor'!$E:$E,0),acc,XLOOKUP($D163,'Move Editor'!$B:$B,'Move Editor'!$F:$F,100),atk,IF(cat="Physical",FLOOR((FLOOR(((2*XLOOKUP(XLOOKUP($Q163,'Threshold Summary'!$Y:$Y,'Threshold Summary'!$K:$K,""),'Pokemon Editor'!$A:$A,'Pokemon Editor'!$F:$F,0)+31+FLOOR(XLOOKUP($Q163,'Threshold Summary'!$Y:$Y,'Threshold Summary'!$P:$P,"")/4))*XLOOKUP($Q163,'Threshold Summary'!$Y:$Y,'Threshold Summary'!$L:$L,""))/100)+5)*XLOOKUP(XLOOKUP($Q163,'Threshold Summary'!$Y:$Y,'Threshold Summary'!$M:$M,""),'Nature Editor'!$A:$A,'Nature Editor'!$B:$B,1)),FLOOR((FLOOR(((2*XLOOKUP(XLOOKUP($Q163,'Threshold Summary'!$Y:$Y,'Threshold Summary'!$K:$K,""),'Pokemon Editor'!$A:$A,'Pokemon Editor'!$H:$H,0)+31+FLOOR(XLOOKUP($Q163,'Threshold Summary'!$Y:$Y,'Threshold Summary'!$R:$R,"")/4))*XLOOKUP($Q163,'Threshold Summary'!$Y:$Y,'Threshold Summary'!$L:$L,""))/100)+5)*XLOOKUP(XLOOKUP($Q163,'Threshold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Editor'!$E:$E,1))),stab,IF(OR(mtype=XLOOKUP(XLOOKUP($Q163,'Threshold Summary'!$Y:$Y,'Threshold Summary'!$K:$K,""),'Pokemon Editor'!$A:$A,'Pokemon Editor'!$C:$C,""),mtype=XLOOKUP(XLOOKUP($Q163,'Threshold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Chart'!$B$1:$S$1,0)))),base,IF(OR(cat="Status",pow=0),0,FLOOR(FLOOR(FLOOR((2*XLOOKUP($Q163,'Threshold Summary'!$Y:$Y,'Threshold Summary'!$L:$L,"")/5+2)*pow*atk/def)/50)+2)),modifier,stab*eff,AVERAGE(ARRAYFORMULA(FLOOR(base*modifier*SEQUENCE(16,1,85,1)/100)))/(FLOOR(((2*XLOOKUP('Boss Editor'!$C$4,'Pokemon Editor'!$A:$A,'Pokemon Editor'!$E:$E,0)+31+FLOOR('Boss Editor'!$G$4/4))*'Boss Editor'!$D$4)/100)+'Boss Editor'!$D$4+10)),0)</f>
        <v/>
      </c>
      <c r="O163" s="3">
        <f>IF(N163&gt;=1,"OHKO",IF(N163&gt;=0.5,"2HKO",IF(N163&gt;=0.333,"3HKO",IF(N163&gt;=0.25,"4HKO","5HKO+"))))</f>
        <v/>
      </c>
      <c r="P163" s="3" t="inlineStr">
        <is>
          <t>Live from editable databases</t>
        </is>
      </c>
      <c r="Q163" s="3" t="inlineStr">
        <is>
          <t>SPECIES_MUDKIP</t>
        </is>
      </c>
      <c r="R163" s="3" t="n">
        <v>2</v>
      </c>
    </row>
    <row r="164">
      <c r="A164" s="3">
        <f>XLOOKUP($Q164,'Threshold Summary'!$Y:$Y,'Threshold Summary'!$A:$A,"")</f>
        <v/>
      </c>
      <c r="B164" s="3">
        <f>XLOOKUP($Q164,'Threshold Summary'!$Y:$Y,'Threshold Summary'!$M:$M,"")</f>
        <v/>
      </c>
      <c r="C164" s="3">
        <f>XLOOKUP($Q164,'Threshold Summary'!$Y:$Y,'Threshold Summary'!$N:$N,"")</f>
        <v/>
      </c>
      <c r="D164" s="3">
        <f>IFERROR(INDEX(FILTER('Learnset Editor'!$D$2:$D,'Learnset Editor'!$A$2:$A=XLOOKUP($Q164,'Threshold Summary'!$Y:$Y,'Threshold Summary'!$K:$K,""),'Learnset Editor'!$C$2:$C&lt;=XLOOKUP($Q164,'Threshold Summary'!$Y:$Y,'Threshold Summary'!$L:$L,"")),$R164),"")</f>
        <v/>
      </c>
      <c r="E164" s="3">
        <f>XLOOKUP(D164,'Move Editor'!$B:$B,'Move Editor'!$C:$C,"")</f>
        <v/>
      </c>
      <c r="F164" s="3">
        <f>XLOOKUP(D164,'Move Editor'!$B:$B,'Move Editor'!$D:$D,"")</f>
        <v/>
      </c>
      <c r="G164" s="3">
        <f>XLOOKUP(D164,'Move Editor'!$B:$B,'Move Editor'!$E:$E,0)</f>
        <v/>
      </c>
      <c r="H164" s="3">
        <f>XLOOKUP(D164,'Move Editor'!$B:$B,'Move Editor'!$F:$F,0)</f>
        <v/>
      </c>
      <c r="I164" s="3">
        <f>(INDEX('Type Chart'!$B:$S,MATCH(E164,'Type Chart'!$A:$A,0),MATCH(XLOOKUP('Boss Editor'!$C$4,'Pokemon Editor'!$A:$A,'Pokemon Editor'!$C:$C,""),'Type Chart'!$B$1:$S$1,0))*IF(XLOOKUP('Boss Editor'!$C$4,'Pokemon Editor'!$A:$A,'Pokemon Editor'!$D:$D,"")="",1,INDEX('Type Chart'!$B:$S,MATCH(E164,'Type Chart'!$A:$A,0),MATCH(XLOOKUP('Boss Editor'!$C$4,'Pokemon Editor'!$A:$A,'Pokemon Editor'!$D:$D,""),'Type Chart'!$B$1:$S$1,0))))</f>
        <v/>
      </c>
      <c r="J164" s="3">
        <f>IFERROR(LET(mtype,XLOOKUP($D164,'Move Editor'!$B:$B,'Move Editor'!$C:$C,""),cat,XLOOKUP($D164,'Move Editor'!$B:$B,'Move Editor'!$D:$D,""),pow,XLOOKUP($D164,'Move Editor'!$B:$B,'Move Editor'!$E:$E,0),acc,XLOOKUP($D164,'Move Editor'!$B:$B,'Move Editor'!$F:$F,100),atk,IF(cat="Physical",FLOOR((FLOOR(((2*XLOOKUP(XLOOKUP($Q164,'Threshold Summary'!$Y:$Y,'Threshold Summary'!$K:$K,""),'Pokemon Editor'!$A:$A,'Pokemon Editor'!$F:$F,0)+31+FLOOR(XLOOKUP($Q164,'Threshold Summary'!$Y:$Y,'Threshold Summary'!$P:$P,"")/4))*XLOOKUP($Q164,'Threshold Summary'!$Y:$Y,'Threshold Summary'!$L:$L,""))/100)+5)*XLOOKUP(XLOOKUP($Q164,'Threshold Summary'!$Y:$Y,'Threshold Summary'!$M:$M,""),'Nature Editor'!$A:$A,'Nature Editor'!$B:$B,1)),FLOOR((FLOOR(((2*XLOOKUP(XLOOKUP($Q164,'Threshold Summary'!$Y:$Y,'Threshold Summary'!$K:$K,""),'Pokemon Editor'!$A:$A,'Pokemon Editor'!$H:$H,0)+31+FLOOR(XLOOKUP($Q164,'Threshold Summary'!$Y:$Y,'Threshold Summary'!$R:$R,"")/4))*XLOOKUP($Q164,'Threshold Summary'!$Y:$Y,'Threshold Summary'!$L:$L,""))/100)+5)*XLOOKUP(XLOOKUP($Q164,'Threshold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Editor'!$E:$E,1))),stab,IF(OR(mtype=XLOOKUP(XLOOKUP($Q164,'Threshold Summary'!$Y:$Y,'Threshold Summary'!$K:$K,""),'Pokemon Editor'!$A:$A,'Pokemon Editor'!$C:$C,""),mtype=XLOOKUP(XLOOKUP($Q164,'Threshold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Chart'!$B$1:$S$1,0)))),base,IF(OR(cat="Status",pow=0),0,FLOOR(FLOOR(FLOOR((2*XLOOKUP($Q164,'Threshold Summary'!$Y:$Y,'Threshold Summary'!$L:$L,"")/5+2)*pow*atk/def)/50)+2)),modifier,stab*eff,FLOOR(base*modifier*0.85)),0)</f>
        <v/>
      </c>
      <c r="K164" s="3">
        <f>IFERROR(LET(mtype,XLOOKUP($D164,'Move Editor'!$B:$B,'Move Editor'!$C:$C,""),cat,XLOOKUP($D164,'Move Editor'!$B:$B,'Move Editor'!$D:$D,""),pow,XLOOKUP($D164,'Move Editor'!$B:$B,'Move Editor'!$E:$E,0),acc,XLOOKUP($D164,'Move Editor'!$B:$B,'Move Editor'!$F:$F,100),atk,IF(cat="Physical",FLOOR((FLOOR(((2*XLOOKUP(XLOOKUP($Q164,'Threshold Summary'!$Y:$Y,'Threshold Summary'!$K:$K,""),'Pokemon Editor'!$A:$A,'Pokemon Editor'!$F:$F,0)+31+FLOOR(XLOOKUP($Q164,'Threshold Summary'!$Y:$Y,'Threshold Summary'!$P:$P,"")/4))*XLOOKUP($Q164,'Threshold Summary'!$Y:$Y,'Threshold Summary'!$L:$L,""))/100)+5)*XLOOKUP(XLOOKUP($Q164,'Threshold Summary'!$Y:$Y,'Threshold Summary'!$M:$M,""),'Nature Editor'!$A:$A,'Nature Editor'!$B:$B,1)),FLOOR((FLOOR(((2*XLOOKUP(XLOOKUP($Q164,'Threshold Summary'!$Y:$Y,'Threshold Summary'!$K:$K,""),'Pokemon Editor'!$A:$A,'Pokemon Editor'!$H:$H,0)+31+FLOOR(XLOOKUP($Q164,'Threshold Summary'!$Y:$Y,'Threshold Summary'!$R:$R,"")/4))*XLOOKUP($Q164,'Threshold Summary'!$Y:$Y,'Threshold Summary'!$L:$L,""))/100)+5)*XLOOKUP(XLOOKUP($Q164,'Threshold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Editor'!$E:$E,1))),stab,IF(OR(mtype=XLOOKUP(XLOOKUP($Q164,'Threshold Summary'!$Y:$Y,'Threshold Summary'!$K:$K,""),'Pokemon Editor'!$A:$A,'Pokemon Editor'!$C:$C,""),mtype=XLOOKUP(XLOOKUP($Q164,'Threshold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Chart'!$B$1:$S$1,0)))),base,IF(OR(cat="Status",pow=0),0,FLOOR(FLOOR(FLOOR((2*XLOOKUP($Q164,'Threshold Summary'!$Y:$Y,'Threshold Summary'!$L:$L,"")/5+2)*pow*atk/def)/50)+2)),modifier,stab*eff,FLOOR(base*modifier)),0)</f>
        <v/>
      </c>
      <c r="L164" s="3">
        <f>IFERROR(LET(mtype,XLOOKUP($D164,'Move Editor'!$B:$B,'Move Editor'!$C:$C,""),cat,XLOOKUP($D164,'Move Editor'!$B:$B,'Move Editor'!$D:$D,""),pow,XLOOKUP($D164,'Move Editor'!$B:$B,'Move Editor'!$E:$E,0),acc,XLOOKUP($D164,'Move Editor'!$B:$B,'Move Editor'!$F:$F,100),atk,IF(cat="Physical",FLOOR((FLOOR(((2*XLOOKUP(XLOOKUP($Q164,'Threshold Summary'!$Y:$Y,'Threshold Summary'!$K:$K,""),'Pokemon Editor'!$A:$A,'Pokemon Editor'!$F:$F,0)+31+FLOOR(XLOOKUP($Q164,'Threshold Summary'!$Y:$Y,'Threshold Summary'!$P:$P,"")/4))*XLOOKUP($Q164,'Threshold Summary'!$Y:$Y,'Threshold Summary'!$L:$L,""))/100)+5)*XLOOKUP(XLOOKUP($Q164,'Threshold Summary'!$Y:$Y,'Threshold Summary'!$M:$M,""),'Nature Editor'!$A:$A,'Nature Editor'!$B:$B,1)),FLOOR((FLOOR(((2*XLOOKUP(XLOOKUP($Q164,'Threshold Summary'!$Y:$Y,'Threshold Summary'!$K:$K,""),'Pokemon Editor'!$A:$A,'Pokemon Editor'!$H:$H,0)+31+FLOOR(XLOOKUP($Q164,'Threshold Summary'!$Y:$Y,'Threshold Summary'!$R:$R,"")/4))*XLOOKUP($Q164,'Threshold Summary'!$Y:$Y,'Threshold Summary'!$L:$L,""))/100)+5)*XLOOKUP(XLOOKUP($Q164,'Threshold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Editor'!$E:$E,1))),stab,IF(OR(mtype=XLOOKUP(XLOOKUP($Q164,'Threshold Summary'!$Y:$Y,'Threshold Summary'!$K:$K,""),'Pokemon Editor'!$A:$A,'Pokemon Editor'!$C:$C,""),mtype=XLOOKUP(XLOOKUP($Q164,'Threshold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Chart'!$B$1:$S$1,0)))),base,IF(OR(cat="Status",pow=0),0,FLOOR(FLOOR(FLOOR((2*XLOOKUP($Q164,'Threshold Summary'!$Y:$Y,'Threshold Summary'!$L:$L,"")/5+2)*pow*atk/def)/50)+2)),modifier,stab*eff,AVERAGE(ARRAYFORMULA(FLOOR(base*modifier*SEQUENCE(16,1,85,1)/100)))),0)</f>
        <v/>
      </c>
      <c r="M164" s="3">
        <f>IFERROR(LET(mtype,XLOOKUP($D164,'Move Editor'!$B:$B,'Move Editor'!$C:$C,""),cat,XLOOKUP($D164,'Move Editor'!$B:$B,'Move Editor'!$D:$D,""),pow,XLOOKUP($D164,'Move Editor'!$B:$B,'Move Editor'!$E:$E,0),acc,XLOOKUP($D164,'Move Editor'!$B:$B,'Move Editor'!$F:$F,100),atk,IF(cat="Physical",FLOOR((FLOOR(((2*XLOOKUP(XLOOKUP($Q164,'Threshold Summary'!$Y:$Y,'Threshold Summary'!$K:$K,""),'Pokemon Editor'!$A:$A,'Pokemon Editor'!$F:$F,0)+31+FLOOR(XLOOKUP($Q164,'Threshold Summary'!$Y:$Y,'Threshold Summary'!$P:$P,"")/4))*XLOOKUP($Q164,'Threshold Summary'!$Y:$Y,'Threshold Summary'!$L:$L,""))/100)+5)*XLOOKUP(XLOOKUP($Q164,'Threshold Summary'!$Y:$Y,'Threshold Summary'!$M:$M,""),'Nature Editor'!$A:$A,'Nature Editor'!$B:$B,1)),FLOOR((FLOOR(((2*XLOOKUP(XLOOKUP($Q164,'Threshold Summary'!$Y:$Y,'Threshold Summary'!$K:$K,""),'Pokemon Editor'!$A:$A,'Pokemon Editor'!$H:$H,0)+31+FLOOR(XLOOKUP($Q164,'Threshold Summary'!$Y:$Y,'Threshold Summary'!$R:$R,"")/4))*XLOOKUP($Q164,'Threshold Summary'!$Y:$Y,'Threshold Summary'!$L:$L,""))/100)+5)*XLOOKUP(XLOOKUP($Q164,'Threshold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Editor'!$E:$E,1))),stab,IF(OR(mtype=XLOOKUP(XLOOKUP($Q164,'Threshold Summary'!$Y:$Y,'Threshold Summary'!$K:$K,""),'Pokemon Editor'!$A:$A,'Pokemon Editor'!$C:$C,""),mtype=XLOOKUP(XLOOKUP($Q164,'Threshold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Chart'!$B$1:$S$1,0)))),base,IF(OR(cat="Status",pow=0),0,FLOOR(FLOOR(FLOOR((2*XLOOKUP($Q164,'Threshold Summary'!$Y:$Y,'Threshold Summary'!$L:$L,"")/5+2)*pow*atk/def)/50)+2)),modifier,stab*eff,AVERAGE(ARRAYFORMULA(FLOOR(base*modifier*SEQUENCE(16,1,85,1)/100)))*MIN(1,acc/100)),0)</f>
        <v/>
      </c>
      <c r="N164" s="4">
        <f>IFERROR(LET(mtype,XLOOKUP($D164,'Move Editor'!$B:$B,'Move Editor'!$C:$C,""),cat,XLOOKUP($D164,'Move Editor'!$B:$B,'Move Editor'!$D:$D,""),pow,XLOOKUP($D164,'Move Editor'!$B:$B,'Move Editor'!$E:$E,0),acc,XLOOKUP($D164,'Move Editor'!$B:$B,'Move Editor'!$F:$F,100),atk,IF(cat="Physical",FLOOR((FLOOR(((2*XLOOKUP(XLOOKUP($Q164,'Threshold Summary'!$Y:$Y,'Threshold Summary'!$K:$K,""),'Pokemon Editor'!$A:$A,'Pokemon Editor'!$F:$F,0)+31+FLOOR(XLOOKUP($Q164,'Threshold Summary'!$Y:$Y,'Threshold Summary'!$P:$P,"")/4))*XLOOKUP($Q164,'Threshold Summary'!$Y:$Y,'Threshold Summary'!$L:$L,""))/100)+5)*XLOOKUP(XLOOKUP($Q164,'Threshold Summary'!$Y:$Y,'Threshold Summary'!$M:$M,""),'Nature Editor'!$A:$A,'Nature Editor'!$B:$B,1)),FLOOR((FLOOR(((2*XLOOKUP(XLOOKUP($Q164,'Threshold Summary'!$Y:$Y,'Threshold Summary'!$K:$K,""),'Pokemon Editor'!$A:$A,'Pokemon Editor'!$H:$H,0)+31+FLOOR(XLOOKUP($Q164,'Threshold Summary'!$Y:$Y,'Threshold Summary'!$R:$R,"")/4))*XLOOKUP($Q164,'Threshold Summary'!$Y:$Y,'Threshold Summary'!$L:$L,""))/100)+5)*XLOOKUP(XLOOKUP($Q164,'Threshold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Editor'!$E:$E,1))),stab,IF(OR(mtype=XLOOKUP(XLOOKUP($Q164,'Threshold Summary'!$Y:$Y,'Threshold Summary'!$K:$K,""),'Pokemon Editor'!$A:$A,'Pokemon Editor'!$C:$C,""),mtype=XLOOKUP(XLOOKUP($Q164,'Threshold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Chart'!$B$1:$S$1,0)))),base,IF(OR(cat="Status",pow=0),0,FLOOR(FLOOR(FLOOR((2*XLOOKUP($Q164,'Threshold Summary'!$Y:$Y,'Threshold Summary'!$L:$L,"")/5+2)*pow*atk/def)/50)+2)),modifier,stab*eff,AVERAGE(ARRAYFORMULA(FLOOR(base*modifier*SEQUENCE(16,1,85,1)/100)))/(FLOOR(((2*XLOOKUP('Boss Editor'!$C$4,'Pokemon Editor'!$A:$A,'Pokemon Editor'!$E:$E,0)+31+FLOOR('Boss Editor'!$G$4/4))*'Boss Editor'!$D$4)/100)+'Boss Editor'!$D$4+10)),0)</f>
        <v/>
      </c>
      <c r="O164" s="3">
        <f>IF(N164&gt;=1,"OHKO",IF(N164&gt;=0.5,"2HKO",IF(N164&gt;=0.333,"3HKO",IF(N164&gt;=0.25,"4HKO","5HKO+"))))</f>
        <v/>
      </c>
      <c r="P164" s="3" t="inlineStr">
        <is>
          <t>Live from editable databases</t>
        </is>
      </c>
      <c r="Q164" s="3" t="inlineStr">
        <is>
          <t>SPECIES_MUDKIP</t>
        </is>
      </c>
      <c r="R164" s="3" t="n">
        <v>3</v>
      </c>
    </row>
    <row r="165">
      <c r="A165" s="3">
        <f>XLOOKUP($Q165,'Threshold Summary'!$Y:$Y,'Threshold Summary'!$A:$A,"")</f>
        <v/>
      </c>
      <c r="B165" s="3">
        <f>XLOOKUP($Q165,'Threshold Summary'!$Y:$Y,'Threshold Summary'!$M:$M,"")</f>
        <v/>
      </c>
      <c r="C165" s="3">
        <f>XLOOKUP($Q165,'Threshold Summary'!$Y:$Y,'Threshold Summary'!$N:$N,"")</f>
        <v/>
      </c>
      <c r="D165" s="3">
        <f>IFERROR(INDEX(FILTER('Learnset Editor'!$D$2:$D,'Learnset Editor'!$A$2:$A=XLOOKUP($Q165,'Threshold Summary'!$Y:$Y,'Threshold Summary'!$K:$K,""),'Learnset Editor'!$C$2:$C&lt;=XLOOKUP($Q165,'Threshold Summary'!$Y:$Y,'Threshold Summary'!$L:$L,"")),$R165),"")</f>
        <v/>
      </c>
      <c r="E165" s="3">
        <f>XLOOKUP(D165,'Move Editor'!$B:$B,'Move Editor'!$C:$C,"")</f>
        <v/>
      </c>
      <c r="F165" s="3">
        <f>XLOOKUP(D165,'Move Editor'!$B:$B,'Move Editor'!$D:$D,"")</f>
        <v/>
      </c>
      <c r="G165" s="3">
        <f>XLOOKUP(D165,'Move Editor'!$B:$B,'Move Editor'!$E:$E,0)</f>
        <v/>
      </c>
      <c r="H165" s="3">
        <f>XLOOKUP(D165,'Move Editor'!$B:$B,'Move Editor'!$F:$F,0)</f>
        <v/>
      </c>
      <c r="I165" s="3">
        <f>(INDEX('Type Chart'!$B:$S,MATCH(E165,'Type Chart'!$A:$A,0),MATCH(XLOOKUP('Boss Editor'!$C$4,'Pokemon Editor'!$A:$A,'Pokemon Editor'!$C:$C,""),'Type Chart'!$B$1:$S$1,0))*IF(XLOOKUP('Boss Editor'!$C$4,'Pokemon Editor'!$A:$A,'Pokemon Editor'!$D:$D,"")="",1,INDEX('Type Chart'!$B:$S,MATCH(E165,'Type Chart'!$A:$A,0),MATCH(XLOOKUP('Boss Editor'!$C$4,'Pokemon Editor'!$A:$A,'Pokemon Editor'!$D:$D,""),'Type Chart'!$B$1:$S$1,0))))</f>
        <v/>
      </c>
      <c r="J165" s="3">
        <f>IFERROR(LET(mtype,XLOOKUP($D165,'Move Editor'!$B:$B,'Move Editor'!$C:$C,""),cat,XLOOKUP($D165,'Move Editor'!$B:$B,'Move Editor'!$D:$D,""),pow,XLOOKUP($D165,'Move Editor'!$B:$B,'Move Editor'!$E:$E,0),acc,XLOOKUP($D165,'Move Editor'!$B:$B,'Move Editor'!$F:$F,100),atk,IF(cat="Physical",FLOOR((FLOOR(((2*XLOOKUP(XLOOKUP($Q165,'Threshold Summary'!$Y:$Y,'Threshold Summary'!$K:$K,""),'Pokemon Editor'!$A:$A,'Pokemon Editor'!$F:$F,0)+31+FLOOR(XLOOKUP($Q165,'Threshold Summary'!$Y:$Y,'Threshold Summary'!$P:$P,"")/4))*XLOOKUP($Q165,'Threshold Summary'!$Y:$Y,'Threshold Summary'!$L:$L,""))/100)+5)*XLOOKUP(XLOOKUP($Q165,'Threshold Summary'!$Y:$Y,'Threshold Summary'!$M:$M,""),'Nature Editor'!$A:$A,'Nature Editor'!$B:$B,1)),FLOOR((FLOOR(((2*XLOOKUP(XLOOKUP($Q165,'Threshold Summary'!$Y:$Y,'Threshold Summary'!$K:$K,""),'Pokemon Editor'!$A:$A,'Pokemon Editor'!$H:$H,0)+31+FLOOR(XLOOKUP($Q165,'Threshold Summary'!$Y:$Y,'Threshold Summary'!$R:$R,"")/4))*XLOOKUP($Q165,'Threshold Summary'!$Y:$Y,'Threshold Summary'!$L:$L,""))/100)+5)*XLOOKUP(XLOOKUP($Q165,'Threshold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Editor'!$E:$E,1))),stab,IF(OR(mtype=XLOOKUP(XLOOKUP($Q165,'Threshold Summary'!$Y:$Y,'Threshold Summary'!$K:$K,""),'Pokemon Editor'!$A:$A,'Pokemon Editor'!$C:$C,""),mtype=XLOOKUP(XLOOKUP($Q165,'Threshold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Chart'!$B$1:$S$1,0)))),base,IF(OR(cat="Status",pow=0),0,FLOOR(FLOOR(FLOOR((2*XLOOKUP($Q165,'Threshold Summary'!$Y:$Y,'Threshold Summary'!$L:$L,"")/5+2)*pow*atk/def)/50)+2)),modifier,stab*eff,FLOOR(base*modifier*0.85)),0)</f>
        <v/>
      </c>
      <c r="K165" s="3">
        <f>IFERROR(LET(mtype,XLOOKUP($D165,'Move Editor'!$B:$B,'Move Editor'!$C:$C,""),cat,XLOOKUP($D165,'Move Editor'!$B:$B,'Move Editor'!$D:$D,""),pow,XLOOKUP($D165,'Move Editor'!$B:$B,'Move Editor'!$E:$E,0),acc,XLOOKUP($D165,'Move Editor'!$B:$B,'Move Editor'!$F:$F,100),atk,IF(cat="Physical",FLOOR((FLOOR(((2*XLOOKUP(XLOOKUP($Q165,'Threshold Summary'!$Y:$Y,'Threshold Summary'!$K:$K,""),'Pokemon Editor'!$A:$A,'Pokemon Editor'!$F:$F,0)+31+FLOOR(XLOOKUP($Q165,'Threshold Summary'!$Y:$Y,'Threshold Summary'!$P:$P,"")/4))*XLOOKUP($Q165,'Threshold Summary'!$Y:$Y,'Threshold Summary'!$L:$L,""))/100)+5)*XLOOKUP(XLOOKUP($Q165,'Threshold Summary'!$Y:$Y,'Threshold Summary'!$M:$M,""),'Nature Editor'!$A:$A,'Nature Editor'!$B:$B,1)),FLOOR((FLOOR(((2*XLOOKUP(XLOOKUP($Q165,'Threshold Summary'!$Y:$Y,'Threshold Summary'!$K:$K,""),'Pokemon Editor'!$A:$A,'Pokemon Editor'!$H:$H,0)+31+FLOOR(XLOOKUP($Q165,'Threshold Summary'!$Y:$Y,'Threshold Summary'!$R:$R,"")/4))*XLOOKUP($Q165,'Threshold Summary'!$Y:$Y,'Threshold Summary'!$L:$L,""))/100)+5)*XLOOKUP(XLOOKUP($Q165,'Threshold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Editor'!$E:$E,1))),stab,IF(OR(mtype=XLOOKUP(XLOOKUP($Q165,'Threshold Summary'!$Y:$Y,'Threshold Summary'!$K:$K,""),'Pokemon Editor'!$A:$A,'Pokemon Editor'!$C:$C,""),mtype=XLOOKUP(XLOOKUP($Q165,'Threshold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Chart'!$B$1:$S$1,0)))),base,IF(OR(cat="Status",pow=0),0,FLOOR(FLOOR(FLOOR((2*XLOOKUP($Q165,'Threshold Summary'!$Y:$Y,'Threshold Summary'!$L:$L,"")/5+2)*pow*atk/def)/50)+2)),modifier,stab*eff,FLOOR(base*modifier)),0)</f>
        <v/>
      </c>
      <c r="L165" s="3">
        <f>IFERROR(LET(mtype,XLOOKUP($D165,'Move Editor'!$B:$B,'Move Editor'!$C:$C,""),cat,XLOOKUP($D165,'Move Editor'!$B:$B,'Move Editor'!$D:$D,""),pow,XLOOKUP($D165,'Move Editor'!$B:$B,'Move Editor'!$E:$E,0),acc,XLOOKUP($D165,'Move Editor'!$B:$B,'Move Editor'!$F:$F,100),atk,IF(cat="Physical",FLOOR((FLOOR(((2*XLOOKUP(XLOOKUP($Q165,'Threshold Summary'!$Y:$Y,'Threshold Summary'!$K:$K,""),'Pokemon Editor'!$A:$A,'Pokemon Editor'!$F:$F,0)+31+FLOOR(XLOOKUP($Q165,'Threshold Summary'!$Y:$Y,'Threshold Summary'!$P:$P,"")/4))*XLOOKUP($Q165,'Threshold Summary'!$Y:$Y,'Threshold Summary'!$L:$L,""))/100)+5)*XLOOKUP(XLOOKUP($Q165,'Threshold Summary'!$Y:$Y,'Threshold Summary'!$M:$M,""),'Nature Editor'!$A:$A,'Nature Editor'!$B:$B,1)),FLOOR((FLOOR(((2*XLOOKUP(XLOOKUP($Q165,'Threshold Summary'!$Y:$Y,'Threshold Summary'!$K:$K,""),'Pokemon Editor'!$A:$A,'Pokemon Editor'!$H:$H,0)+31+FLOOR(XLOOKUP($Q165,'Threshold Summary'!$Y:$Y,'Threshold Summary'!$R:$R,"")/4))*XLOOKUP($Q165,'Threshold Summary'!$Y:$Y,'Threshold Summary'!$L:$L,""))/100)+5)*XLOOKUP(XLOOKUP($Q165,'Threshold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Editor'!$E:$E,1))),stab,IF(OR(mtype=XLOOKUP(XLOOKUP($Q165,'Threshold Summary'!$Y:$Y,'Threshold Summary'!$K:$K,""),'Pokemon Editor'!$A:$A,'Pokemon Editor'!$C:$C,""),mtype=XLOOKUP(XLOOKUP($Q165,'Threshold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Chart'!$B$1:$S$1,0)))),base,IF(OR(cat="Status",pow=0),0,FLOOR(FLOOR(FLOOR((2*XLOOKUP($Q165,'Threshold Summary'!$Y:$Y,'Threshold Summary'!$L:$L,"")/5+2)*pow*atk/def)/50)+2)),modifier,stab*eff,AVERAGE(ARRAYFORMULA(FLOOR(base*modifier*SEQUENCE(16,1,85,1)/100)))),0)</f>
        <v/>
      </c>
      <c r="M165" s="3">
        <f>IFERROR(LET(mtype,XLOOKUP($D165,'Move Editor'!$B:$B,'Move Editor'!$C:$C,""),cat,XLOOKUP($D165,'Move Editor'!$B:$B,'Move Editor'!$D:$D,""),pow,XLOOKUP($D165,'Move Editor'!$B:$B,'Move Editor'!$E:$E,0),acc,XLOOKUP($D165,'Move Editor'!$B:$B,'Move Editor'!$F:$F,100),atk,IF(cat="Physical",FLOOR((FLOOR(((2*XLOOKUP(XLOOKUP($Q165,'Threshold Summary'!$Y:$Y,'Threshold Summary'!$K:$K,""),'Pokemon Editor'!$A:$A,'Pokemon Editor'!$F:$F,0)+31+FLOOR(XLOOKUP($Q165,'Threshold Summary'!$Y:$Y,'Threshold Summary'!$P:$P,"")/4))*XLOOKUP($Q165,'Threshold Summary'!$Y:$Y,'Threshold Summary'!$L:$L,""))/100)+5)*XLOOKUP(XLOOKUP($Q165,'Threshold Summary'!$Y:$Y,'Threshold Summary'!$M:$M,""),'Nature Editor'!$A:$A,'Nature Editor'!$B:$B,1)),FLOOR((FLOOR(((2*XLOOKUP(XLOOKUP($Q165,'Threshold Summary'!$Y:$Y,'Threshold Summary'!$K:$K,""),'Pokemon Editor'!$A:$A,'Pokemon Editor'!$H:$H,0)+31+FLOOR(XLOOKUP($Q165,'Threshold Summary'!$Y:$Y,'Threshold Summary'!$R:$R,"")/4))*XLOOKUP($Q165,'Threshold Summary'!$Y:$Y,'Threshold Summary'!$L:$L,""))/100)+5)*XLOOKUP(XLOOKUP($Q165,'Threshold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Editor'!$E:$E,1))),stab,IF(OR(mtype=XLOOKUP(XLOOKUP($Q165,'Threshold Summary'!$Y:$Y,'Threshold Summary'!$K:$K,""),'Pokemon Editor'!$A:$A,'Pokemon Editor'!$C:$C,""),mtype=XLOOKUP(XLOOKUP($Q165,'Threshold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Chart'!$B$1:$S$1,0)))),base,IF(OR(cat="Status",pow=0),0,FLOOR(FLOOR(FLOOR((2*XLOOKUP($Q165,'Threshold Summary'!$Y:$Y,'Threshold Summary'!$L:$L,"")/5+2)*pow*atk/def)/50)+2)),modifier,stab*eff,AVERAGE(ARRAYFORMULA(FLOOR(base*modifier*SEQUENCE(16,1,85,1)/100)))*MIN(1,acc/100)),0)</f>
        <v/>
      </c>
      <c r="N165" s="4">
        <f>IFERROR(LET(mtype,XLOOKUP($D165,'Move Editor'!$B:$B,'Move Editor'!$C:$C,""),cat,XLOOKUP($D165,'Move Editor'!$B:$B,'Move Editor'!$D:$D,""),pow,XLOOKUP($D165,'Move Editor'!$B:$B,'Move Editor'!$E:$E,0),acc,XLOOKUP($D165,'Move Editor'!$B:$B,'Move Editor'!$F:$F,100),atk,IF(cat="Physical",FLOOR((FLOOR(((2*XLOOKUP(XLOOKUP($Q165,'Threshold Summary'!$Y:$Y,'Threshold Summary'!$K:$K,""),'Pokemon Editor'!$A:$A,'Pokemon Editor'!$F:$F,0)+31+FLOOR(XLOOKUP($Q165,'Threshold Summary'!$Y:$Y,'Threshold Summary'!$P:$P,"")/4))*XLOOKUP($Q165,'Threshold Summary'!$Y:$Y,'Threshold Summary'!$L:$L,""))/100)+5)*XLOOKUP(XLOOKUP($Q165,'Threshold Summary'!$Y:$Y,'Threshold Summary'!$M:$M,""),'Nature Editor'!$A:$A,'Nature Editor'!$B:$B,1)),FLOOR((FLOOR(((2*XLOOKUP(XLOOKUP($Q165,'Threshold Summary'!$Y:$Y,'Threshold Summary'!$K:$K,""),'Pokemon Editor'!$A:$A,'Pokemon Editor'!$H:$H,0)+31+FLOOR(XLOOKUP($Q165,'Threshold Summary'!$Y:$Y,'Threshold Summary'!$R:$R,"")/4))*XLOOKUP($Q165,'Threshold Summary'!$Y:$Y,'Threshold Summary'!$L:$L,""))/100)+5)*XLOOKUP(XLOOKUP($Q165,'Threshold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Editor'!$E:$E,1))),stab,IF(OR(mtype=XLOOKUP(XLOOKUP($Q165,'Threshold Summary'!$Y:$Y,'Threshold Summary'!$K:$K,""),'Pokemon Editor'!$A:$A,'Pokemon Editor'!$C:$C,""),mtype=XLOOKUP(XLOOKUP($Q165,'Threshold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Chart'!$B$1:$S$1,0)))),base,IF(OR(cat="Status",pow=0),0,FLOOR(FLOOR(FLOOR((2*XLOOKUP($Q165,'Threshold Summary'!$Y:$Y,'Threshold Summary'!$L:$L,"")/5+2)*pow*atk/def)/50)+2)),modifier,stab*eff,AVERAGE(ARRAYFORMULA(FLOOR(base*modifier*SEQUENCE(16,1,85,1)/100)))/(FLOOR(((2*XLOOKUP('Boss Editor'!$C$4,'Pokemon Editor'!$A:$A,'Pokemon Editor'!$E:$E,0)+31+FLOOR('Boss Editor'!$G$4/4))*'Boss Editor'!$D$4)/100)+'Boss Editor'!$D$4+10)),0)</f>
        <v/>
      </c>
      <c r="O165" s="3">
        <f>IF(N165&gt;=1,"OHKO",IF(N165&gt;=0.5,"2HKO",IF(N165&gt;=0.333,"3HKO",IF(N165&gt;=0.25,"4HKO","5HKO+"))))</f>
        <v/>
      </c>
      <c r="P165" s="3" t="inlineStr">
        <is>
          <t>Live from editable databases</t>
        </is>
      </c>
      <c r="Q165" s="3" t="inlineStr">
        <is>
          <t>SPECIES_MUDKIP</t>
        </is>
      </c>
      <c r="R165" s="3" t="n">
        <v>4</v>
      </c>
    </row>
    <row r="166">
      <c r="A166" s="3">
        <f>XLOOKUP($Q166,'Threshold Summary'!$Y:$Y,'Threshold Summary'!$A:$A,"")</f>
        <v/>
      </c>
      <c r="B166" s="3">
        <f>XLOOKUP($Q166,'Threshold Summary'!$Y:$Y,'Threshold Summary'!$M:$M,"")</f>
        <v/>
      </c>
      <c r="C166" s="3">
        <f>XLOOKUP($Q166,'Threshold Summary'!$Y:$Y,'Threshold Summary'!$N:$N,"")</f>
        <v/>
      </c>
      <c r="D166" s="3">
        <f>IFERROR(INDEX(FILTER('Learnset Editor'!$D$2:$D,'Learnset Editor'!$A$2:$A=XLOOKUP($Q166,'Threshold Summary'!$Y:$Y,'Threshold Summary'!$K:$K,""),'Learnset Editor'!$C$2:$C&lt;=XLOOKUP($Q166,'Threshold Summary'!$Y:$Y,'Threshold Summary'!$L:$L,"")),$R166),"")</f>
        <v/>
      </c>
      <c r="E166" s="3">
        <f>XLOOKUP(D166,'Move Editor'!$B:$B,'Move Editor'!$C:$C,"")</f>
        <v/>
      </c>
      <c r="F166" s="3">
        <f>XLOOKUP(D166,'Move Editor'!$B:$B,'Move Editor'!$D:$D,"")</f>
        <v/>
      </c>
      <c r="G166" s="3">
        <f>XLOOKUP(D166,'Move Editor'!$B:$B,'Move Editor'!$E:$E,0)</f>
        <v/>
      </c>
      <c r="H166" s="3">
        <f>XLOOKUP(D166,'Move Editor'!$B:$B,'Move Editor'!$F:$F,0)</f>
        <v/>
      </c>
      <c r="I166" s="3">
        <f>(INDEX('Type Chart'!$B:$S,MATCH(E166,'Type Chart'!$A:$A,0),MATCH(XLOOKUP('Boss Editor'!$C$4,'Pokemon Editor'!$A:$A,'Pokemon Editor'!$C:$C,""),'Type Chart'!$B$1:$S$1,0))*IF(XLOOKUP('Boss Editor'!$C$4,'Pokemon Editor'!$A:$A,'Pokemon Editor'!$D:$D,"")="",1,INDEX('Type Chart'!$B:$S,MATCH(E166,'Type Chart'!$A:$A,0),MATCH(XLOOKUP('Boss Editor'!$C$4,'Pokemon Editor'!$A:$A,'Pokemon Editor'!$D:$D,""),'Type Chart'!$B$1:$S$1,0))))</f>
        <v/>
      </c>
      <c r="J166" s="3">
        <f>IFERROR(LET(mtype,XLOOKUP($D166,'Move Editor'!$B:$B,'Move Editor'!$C:$C,""),cat,XLOOKUP($D166,'Move Editor'!$B:$B,'Move Editor'!$D:$D,""),pow,XLOOKUP($D166,'Move Editor'!$B:$B,'Move Editor'!$E:$E,0),acc,XLOOKUP($D166,'Move Editor'!$B:$B,'Move Editor'!$F:$F,100),atk,IF(cat="Physical",FLOOR((FLOOR(((2*XLOOKUP(XLOOKUP($Q166,'Threshold Summary'!$Y:$Y,'Threshold Summary'!$K:$K,""),'Pokemon Editor'!$A:$A,'Pokemon Editor'!$F:$F,0)+31+FLOOR(XLOOKUP($Q166,'Threshold Summary'!$Y:$Y,'Threshold Summary'!$P:$P,"")/4))*XLOOKUP($Q166,'Threshold Summary'!$Y:$Y,'Threshold Summary'!$L:$L,""))/100)+5)*XLOOKUP(XLOOKUP($Q166,'Threshold Summary'!$Y:$Y,'Threshold Summary'!$M:$M,""),'Nature Editor'!$A:$A,'Nature Editor'!$B:$B,1)),FLOOR((FLOOR(((2*XLOOKUP(XLOOKUP($Q166,'Threshold Summary'!$Y:$Y,'Threshold Summary'!$K:$K,""),'Pokemon Editor'!$A:$A,'Pokemon Editor'!$H:$H,0)+31+FLOOR(XLOOKUP($Q166,'Threshold Summary'!$Y:$Y,'Threshold Summary'!$R:$R,"")/4))*XLOOKUP($Q166,'Threshold Summary'!$Y:$Y,'Threshold Summary'!$L:$L,""))/100)+5)*XLOOKUP(XLOOKUP($Q166,'Threshold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Editor'!$E:$E,1))),stab,IF(OR(mtype=XLOOKUP(XLOOKUP($Q166,'Threshold Summary'!$Y:$Y,'Threshold Summary'!$K:$K,""),'Pokemon Editor'!$A:$A,'Pokemon Editor'!$C:$C,""),mtype=XLOOKUP(XLOOKUP($Q166,'Threshold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Chart'!$B$1:$S$1,0)))),base,IF(OR(cat="Status",pow=0),0,FLOOR(FLOOR(FLOOR((2*XLOOKUP($Q166,'Threshold Summary'!$Y:$Y,'Threshold Summary'!$L:$L,"")/5+2)*pow*atk/def)/50)+2)),modifier,stab*eff,FLOOR(base*modifier*0.85)),0)</f>
        <v/>
      </c>
      <c r="K166" s="3">
        <f>IFERROR(LET(mtype,XLOOKUP($D166,'Move Editor'!$B:$B,'Move Editor'!$C:$C,""),cat,XLOOKUP($D166,'Move Editor'!$B:$B,'Move Editor'!$D:$D,""),pow,XLOOKUP($D166,'Move Editor'!$B:$B,'Move Editor'!$E:$E,0),acc,XLOOKUP($D166,'Move Editor'!$B:$B,'Move Editor'!$F:$F,100),atk,IF(cat="Physical",FLOOR((FLOOR(((2*XLOOKUP(XLOOKUP($Q166,'Threshold Summary'!$Y:$Y,'Threshold Summary'!$K:$K,""),'Pokemon Editor'!$A:$A,'Pokemon Editor'!$F:$F,0)+31+FLOOR(XLOOKUP($Q166,'Threshold Summary'!$Y:$Y,'Threshold Summary'!$P:$P,"")/4))*XLOOKUP($Q166,'Threshold Summary'!$Y:$Y,'Threshold Summary'!$L:$L,""))/100)+5)*XLOOKUP(XLOOKUP($Q166,'Threshold Summary'!$Y:$Y,'Threshold Summary'!$M:$M,""),'Nature Editor'!$A:$A,'Nature Editor'!$B:$B,1)),FLOOR((FLOOR(((2*XLOOKUP(XLOOKUP($Q166,'Threshold Summary'!$Y:$Y,'Threshold Summary'!$K:$K,""),'Pokemon Editor'!$A:$A,'Pokemon Editor'!$H:$H,0)+31+FLOOR(XLOOKUP($Q166,'Threshold Summary'!$Y:$Y,'Threshold Summary'!$R:$R,"")/4))*XLOOKUP($Q166,'Threshold Summary'!$Y:$Y,'Threshold Summary'!$L:$L,""))/100)+5)*XLOOKUP(XLOOKUP($Q166,'Threshold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Editor'!$E:$E,1))),stab,IF(OR(mtype=XLOOKUP(XLOOKUP($Q166,'Threshold Summary'!$Y:$Y,'Threshold Summary'!$K:$K,""),'Pokemon Editor'!$A:$A,'Pokemon Editor'!$C:$C,""),mtype=XLOOKUP(XLOOKUP($Q166,'Threshold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Chart'!$B$1:$S$1,0)))),base,IF(OR(cat="Status",pow=0),0,FLOOR(FLOOR(FLOOR((2*XLOOKUP($Q166,'Threshold Summary'!$Y:$Y,'Threshold Summary'!$L:$L,"")/5+2)*pow*atk/def)/50)+2)),modifier,stab*eff,FLOOR(base*modifier)),0)</f>
        <v/>
      </c>
      <c r="L166" s="3">
        <f>IFERROR(LET(mtype,XLOOKUP($D166,'Move Editor'!$B:$B,'Move Editor'!$C:$C,""),cat,XLOOKUP($D166,'Move Editor'!$B:$B,'Move Editor'!$D:$D,""),pow,XLOOKUP($D166,'Move Editor'!$B:$B,'Move Editor'!$E:$E,0),acc,XLOOKUP($D166,'Move Editor'!$B:$B,'Move Editor'!$F:$F,100),atk,IF(cat="Physical",FLOOR((FLOOR(((2*XLOOKUP(XLOOKUP($Q166,'Threshold Summary'!$Y:$Y,'Threshold Summary'!$K:$K,""),'Pokemon Editor'!$A:$A,'Pokemon Editor'!$F:$F,0)+31+FLOOR(XLOOKUP($Q166,'Threshold Summary'!$Y:$Y,'Threshold Summary'!$P:$P,"")/4))*XLOOKUP($Q166,'Threshold Summary'!$Y:$Y,'Threshold Summary'!$L:$L,""))/100)+5)*XLOOKUP(XLOOKUP($Q166,'Threshold Summary'!$Y:$Y,'Threshold Summary'!$M:$M,""),'Nature Editor'!$A:$A,'Nature Editor'!$B:$B,1)),FLOOR((FLOOR(((2*XLOOKUP(XLOOKUP($Q166,'Threshold Summary'!$Y:$Y,'Threshold Summary'!$K:$K,""),'Pokemon Editor'!$A:$A,'Pokemon Editor'!$H:$H,0)+31+FLOOR(XLOOKUP($Q166,'Threshold Summary'!$Y:$Y,'Threshold Summary'!$R:$R,"")/4))*XLOOKUP($Q166,'Threshold Summary'!$Y:$Y,'Threshold Summary'!$L:$L,""))/100)+5)*XLOOKUP(XLOOKUP($Q166,'Threshold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Editor'!$E:$E,1))),stab,IF(OR(mtype=XLOOKUP(XLOOKUP($Q166,'Threshold Summary'!$Y:$Y,'Threshold Summary'!$K:$K,""),'Pokemon Editor'!$A:$A,'Pokemon Editor'!$C:$C,""),mtype=XLOOKUP(XLOOKUP($Q166,'Threshold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Chart'!$B$1:$S$1,0)))),base,IF(OR(cat="Status",pow=0),0,FLOOR(FLOOR(FLOOR((2*XLOOKUP($Q166,'Threshold Summary'!$Y:$Y,'Threshold Summary'!$L:$L,"")/5+2)*pow*atk/def)/50)+2)),modifier,stab*eff,AVERAGE(ARRAYFORMULA(FLOOR(base*modifier*SEQUENCE(16,1,85,1)/100)))),0)</f>
        <v/>
      </c>
      <c r="M166" s="3">
        <f>IFERROR(LET(mtype,XLOOKUP($D166,'Move Editor'!$B:$B,'Move Editor'!$C:$C,""),cat,XLOOKUP($D166,'Move Editor'!$B:$B,'Move Editor'!$D:$D,""),pow,XLOOKUP($D166,'Move Editor'!$B:$B,'Move Editor'!$E:$E,0),acc,XLOOKUP($D166,'Move Editor'!$B:$B,'Move Editor'!$F:$F,100),atk,IF(cat="Physical",FLOOR((FLOOR(((2*XLOOKUP(XLOOKUP($Q166,'Threshold Summary'!$Y:$Y,'Threshold Summary'!$K:$K,""),'Pokemon Editor'!$A:$A,'Pokemon Editor'!$F:$F,0)+31+FLOOR(XLOOKUP($Q166,'Threshold Summary'!$Y:$Y,'Threshold Summary'!$P:$P,"")/4))*XLOOKUP($Q166,'Threshold Summary'!$Y:$Y,'Threshold Summary'!$L:$L,""))/100)+5)*XLOOKUP(XLOOKUP($Q166,'Threshold Summary'!$Y:$Y,'Threshold Summary'!$M:$M,""),'Nature Editor'!$A:$A,'Nature Editor'!$B:$B,1)),FLOOR((FLOOR(((2*XLOOKUP(XLOOKUP($Q166,'Threshold Summary'!$Y:$Y,'Threshold Summary'!$K:$K,""),'Pokemon Editor'!$A:$A,'Pokemon Editor'!$H:$H,0)+31+FLOOR(XLOOKUP($Q166,'Threshold Summary'!$Y:$Y,'Threshold Summary'!$R:$R,"")/4))*XLOOKUP($Q166,'Threshold Summary'!$Y:$Y,'Threshold Summary'!$L:$L,""))/100)+5)*XLOOKUP(XLOOKUP($Q166,'Threshold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Editor'!$E:$E,1))),stab,IF(OR(mtype=XLOOKUP(XLOOKUP($Q166,'Threshold Summary'!$Y:$Y,'Threshold Summary'!$K:$K,""),'Pokemon Editor'!$A:$A,'Pokemon Editor'!$C:$C,""),mtype=XLOOKUP(XLOOKUP($Q166,'Threshold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Chart'!$B$1:$S$1,0)))),base,IF(OR(cat="Status",pow=0),0,FLOOR(FLOOR(FLOOR((2*XLOOKUP($Q166,'Threshold Summary'!$Y:$Y,'Threshold Summary'!$L:$L,"")/5+2)*pow*atk/def)/50)+2)),modifier,stab*eff,AVERAGE(ARRAYFORMULA(FLOOR(base*modifier*SEQUENCE(16,1,85,1)/100)))*MIN(1,acc/100)),0)</f>
        <v/>
      </c>
      <c r="N166" s="4">
        <f>IFERROR(LET(mtype,XLOOKUP($D166,'Move Editor'!$B:$B,'Move Editor'!$C:$C,""),cat,XLOOKUP($D166,'Move Editor'!$B:$B,'Move Editor'!$D:$D,""),pow,XLOOKUP($D166,'Move Editor'!$B:$B,'Move Editor'!$E:$E,0),acc,XLOOKUP($D166,'Move Editor'!$B:$B,'Move Editor'!$F:$F,100),atk,IF(cat="Physical",FLOOR((FLOOR(((2*XLOOKUP(XLOOKUP($Q166,'Threshold Summary'!$Y:$Y,'Threshold Summary'!$K:$K,""),'Pokemon Editor'!$A:$A,'Pokemon Editor'!$F:$F,0)+31+FLOOR(XLOOKUP($Q166,'Threshold Summary'!$Y:$Y,'Threshold Summary'!$P:$P,"")/4))*XLOOKUP($Q166,'Threshold Summary'!$Y:$Y,'Threshold Summary'!$L:$L,""))/100)+5)*XLOOKUP(XLOOKUP($Q166,'Threshold Summary'!$Y:$Y,'Threshold Summary'!$M:$M,""),'Nature Editor'!$A:$A,'Nature Editor'!$B:$B,1)),FLOOR((FLOOR(((2*XLOOKUP(XLOOKUP($Q166,'Threshold Summary'!$Y:$Y,'Threshold Summary'!$K:$K,""),'Pokemon Editor'!$A:$A,'Pokemon Editor'!$H:$H,0)+31+FLOOR(XLOOKUP($Q166,'Threshold Summary'!$Y:$Y,'Threshold Summary'!$R:$R,"")/4))*XLOOKUP($Q166,'Threshold Summary'!$Y:$Y,'Threshold Summary'!$L:$L,""))/100)+5)*XLOOKUP(XLOOKUP($Q166,'Threshold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Editor'!$E:$E,1))),stab,IF(OR(mtype=XLOOKUP(XLOOKUP($Q166,'Threshold Summary'!$Y:$Y,'Threshold Summary'!$K:$K,""),'Pokemon Editor'!$A:$A,'Pokemon Editor'!$C:$C,""),mtype=XLOOKUP(XLOOKUP($Q166,'Threshold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Chart'!$B$1:$S$1,0)))),base,IF(OR(cat="Status",pow=0),0,FLOOR(FLOOR(FLOOR((2*XLOOKUP($Q166,'Threshold Summary'!$Y:$Y,'Threshold Summary'!$L:$L,"")/5+2)*pow*atk/def)/50)+2)),modifier,stab*eff,AVERAGE(ARRAYFORMULA(FLOOR(base*modifier*SEQUENCE(16,1,85,1)/100)))/(FLOOR(((2*XLOOKUP('Boss Editor'!$C$4,'Pokemon Editor'!$A:$A,'Pokemon Editor'!$E:$E,0)+31+FLOOR('Boss Editor'!$G$4/4))*'Boss Editor'!$D$4)/100)+'Boss Editor'!$D$4+10)),0)</f>
        <v/>
      </c>
      <c r="O166" s="3">
        <f>IF(N166&gt;=1,"OHKO",IF(N166&gt;=0.5,"2HKO",IF(N166&gt;=0.333,"3HKO",IF(N166&gt;=0.25,"4HKO","5HKO+"))))</f>
        <v/>
      </c>
      <c r="P166" s="3" t="inlineStr">
        <is>
          <t>Live from editable databases</t>
        </is>
      </c>
      <c r="Q166" s="3" t="inlineStr">
        <is>
          <t>SPECIES_MUDKIP</t>
        </is>
      </c>
      <c r="R166" s="3" t="n">
        <v>5</v>
      </c>
    </row>
    <row r="167">
      <c r="A167" s="3">
        <f>XLOOKUP($Q167,'Threshold Summary'!$Y:$Y,'Threshold Summary'!$A:$A,"")</f>
        <v/>
      </c>
      <c r="B167" s="3">
        <f>XLOOKUP($Q167,'Threshold Summary'!$Y:$Y,'Threshold Summary'!$M:$M,"")</f>
        <v/>
      </c>
      <c r="C167" s="3">
        <f>XLOOKUP($Q167,'Threshold Summary'!$Y:$Y,'Threshold Summary'!$N:$N,"")</f>
        <v/>
      </c>
      <c r="D167" s="3">
        <f>IFERROR(INDEX(FILTER('Learnset Editor'!$D$2:$D,'Learnset Editor'!$A$2:$A=XLOOKUP($Q167,'Threshold Summary'!$Y:$Y,'Threshold Summary'!$K:$K,""),'Learnset Editor'!$C$2:$C&lt;=XLOOKUP($Q167,'Threshold Summary'!$Y:$Y,'Threshold Summary'!$L:$L,"")),$R167),"")</f>
        <v/>
      </c>
      <c r="E167" s="3">
        <f>XLOOKUP(D167,'Move Editor'!$B:$B,'Move Editor'!$C:$C,"")</f>
        <v/>
      </c>
      <c r="F167" s="3">
        <f>XLOOKUP(D167,'Move Editor'!$B:$B,'Move Editor'!$D:$D,"")</f>
        <v/>
      </c>
      <c r="G167" s="3">
        <f>XLOOKUP(D167,'Move Editor'!$B:$B,'Move Editor'!$E:$E,0)</f>
        <v/>
      </c>
      <c r="H167" s="3">
        <f>XLOOKUP(D167,'Move Editor'!$B:$B,'Move Editor'!$F:$F,0)</f>
        <v/>
      </c>
      <c r="I167" s="3">
        <f>(INDEX('Type Chart'!$B:$S,MATCH(E167,'Type Chart'!$A:$A,0),MATCH(XLOOKUP('Boss Editor'!$C$4,'Pokemon Editor'!$A:$A,'Pokemon Editor'!$C:$C,""),'Type Chart'!$B$1:$S$1,0))*IF(XLOOKUP('Boss Editor'!$C$4,'Pokemon Editor'!$A:$A,'Pokemon Editor'!$D:$D,"")="",1,INDEX('Type Chart'!$B:$S,MATCH(E167,'Type Chart'!$A:$A,0),MATCH(XLOOKUP('Boss Editor'!$C$4,'Pokemon Editor'!$A:$A,'Pokemon Editor'!$D:$D,""),'Type Chart'!$B$1:$S$1,0))))</f>
        <v/>
      </c>
      <c r="J167" s="3">
        <f>IFERROR(LET(mtype,XLOOKUP($D167,'Move Editor'!$B:$B,'Move Editor'!$C:$C,""),cat,XLOOKUP($D167,'Move Editor'!$B:$B,'Move Editor'!$D:$D,""),pow,XLOOKUP($D167,'Move Editor'!$B:$B,'Move Editor'!$E:$E,0),acc,XLOOKUP($D167,'Move Editor'!$B:$B,'Move Editor'!$F:$F,100),atk,IF(cat="Physical",FLOOR((FLOOR(((2*XLOOKUP(XLOOKUP($Q167,'Threshold Summary'!$Y:$Y,'Threshold Summary'!$K:$K,""),'Pokemon Editor'!$A:$A,'Pokemon Editor'!$F:$F,0)+31+FLOOR(XLOOKUP($Q167,'Threshold Summary'!$Y:$Y,'Threshold Summary'!$P:$P,"")/4))*XLOOKUP($Q167,'Threshold Summary'!$Y:$Y,'Threshold Summary'!$L:$L,""))/100)+5)*XLOOKUP(XLOOKUP($Q167,'Threshold Summary'!$Y:$Y,'Threshold Summary'!$M:$M,""),'Nature Editor'!$A:$A,'Nature Editor'!$B:$B,1)),FLOOR((FLOOR(((2*XLOOKUP(XLOOKUP($Q167,'Threshold Summary'!$Y:$Y,'Threshold Summary'!$K:$K,""),'Pokemon Editor'!$A:$A,'Pokemon Editor'!$H:$H,0)+31+FLOOR(XLOOKUP($Q167,'Threshold Summary'!$Y:$Y,'Threshold Summary'!$R:$R,"")/4))*XLOOKUP($Q167,'Threshold Summary'!$Y:$Y,'Threshold Summary'!$L:$L,""))/100)+5)*XLOOKUP(XLOOKUP($Q167,'Threshold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Editor'!$E:$E,1))),stab,IF(OR(mtype=XLOOKUP(XLOOKUP($Q167,'Threshold Summary'!$Y:$Y,'Threshold Summary'!$K:$K,""),'Pokemon Editor'!$A:$A,'Pokemon Editor'!$C:$C,""),mtype=XLOOKUP(XLOOKUP($Q167,'Threshold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Chart'!$B$1:$S$1,0)))),base,IF(OR(cat="Status",pow=0),0,FLOOR(FLOOR(FLOOR((2*XLOOKUP($Q167,'Threshold Summary'!$Y:$Y,'Threshold Summary'!$L:$L,"")/5+2)*pow*atk/def)/50)+2)),modifier,stab*eff,FLOOR(base*modifier*0.85)),0)</f>
        <v/>
      </c>
      <c r="K167" s="3">
        <f>IFERROR(LET(mtype,XLOOKUP($D167,'Move Editor'!$B:$B,'Move Editor'!$C:$C,""),cat,XLOOKUP($D167,'Move Editor'!$B:$B,'Move Editor'!$D:$D,""),pow,XLOOKUP($D167,'Move Editor'!$B:$B,'Move Editor'!$E:$E,0),acc,XLOOKUP($D167,'Move Editor'!$B:$B,'Move Editor'!$F:$F,100),atk,IF(cat="Physical",FLOOR((FLOOR(((2*XLOOKUP(XLOOKUP($Q167,'Threshold Summary'!$Y:$Y,'Threshold Summary'!$K:$K,""),'Pokemon Editor'!$A:$A,'Pokemon Editor'!$F:$F,0)+31+FLOOR(XLOOKUP($Q167,'Threshold Summary'!$Y:$Y,'Threshold Summary'!$P:$P,"")/4))*XLOOKUP($Q167,'Threshold Summary'!$Y:$Y,'Threshold Summary'!$L:$L,""))/100)+5)*XLOOKUP(XLOOKUP($Q167,'Threshold Summary'!$Y:$Y,'Threshold Summary'!$M:$M,""),'Nature Editor'!$A:$A,'Nature Editor'!$B:$B,1)),FLOOR((FLOOR(((2*XLOOKUP(XLOOKUP($Q167,'Threshold Summary'!$Y:$Y,'Threshold Summary'!$K:$K,""),'Pokemon Editor'!$A:$A,'Pokemon Editor'!$H:$H,0)+31+FLOOR(XLOOKUP($Q167,'Threshold Summary'!$Y:$Y,'Threshold Summary'!$R:$R,"")/4))*XLOOKUP($Q167,'Threshold Summary'!$Y:$Y,'Threshold Summary'!$L:$L,""))/100)+5)*XLOOKUP(XLOOKUP($Q167,'Threshold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Editor'!$E:$E,1))),stab,IF(OR(mtype=XLOOKUP(XLOOKUP($Q167,'Threshold Summary'!$Y:$Y,'Threshold Summary'!$K:$K,""),'Pokemon Editor'!$A:$A,'Pokemon Editor'!$C:$C,""),mtype=XLOOKUP(XLOOKUP($Q167,'Threshold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Chart'!$B$1:$S$1,0)))),base,IF(OR(cat="Status",pow=0),0,FLOOR(FLOOR(FLOOR((2*XLOOKUP($Q167,'Threshold Summary'!$Y:$Y,'Threshold Summary'!$L:$L,"")/5+2)*pow*atk/def)/50)+2)),modifier,stab*eff,FLOOR(base*modifier)),0)</f>
        <v/>
      </c>
      <c r="L167" s="3">
        <f>IFERROR(LET(mtype,XLOOKUP($D167,'Move Editor'!$B:$B,'Move Editor'!$C:$C,""),cat,XLOOKUP($D167,'Move Editor'!$B:$B,'Move Editor'!$D:$D,""),pow,XLOOKUP($D167,'Move Editor'!$B:$B,'Move Editor'!$E:$E,0),acc,XLOOKUP($D167,'Move Editor'!$B:$B,'Move Editor'!$F:$F,100),atk,IF(cat="Physical",FLOOR((FLOOR(((2*XLOOKUP(XLOOKUP($Q167,'Threshold Summary'!$Y:$Y,'Threshold Summary'!$K:$K,""),'Pokemon Editor'!$A:$A,'Pokemon Editor'!$F:$F,0)+31+FLOOR(XLOOKUP($Q167,'Threshold Summary'!$Y:$Y,'Threshold Summary'!$P:$P,"")/4))*XLOOKUP($Q167,'Threshold Summary'!$Y:$Y,'Threshold Summary'!$L:$L,""))/100)+5)*XLOOKUP(XLOOKUP($Q167,'Threshold Summary'!$Y:$Y,'Threshold Summary'!$M:$M,""),'Nature Editor'!$A:$A,'Nature Editor'!$B:$B,1)),FLOOR((FLOOR(((2*XLOOKUP(XLOOKUP($Q167,'Threshold Summary'!$Y:$Y,'Threshold Summary'!$K:$K,""),'Pokemon Editor'!$A:$A,'Pokemon Editor'!$H:$H,0)+31+FLOOR(XLOOKUP($Q167,'Threshold Summary'!$Y:$Y,'Threshold Summary'!$R:$R,"")/4))*XLOOKUP($Q167,'Threshold Summary'!$Y:$Y,'Threshold Summary'!$L:$L,""))/100)+5)*XLOOKUP(XLOOKUP($Q167,'Threshold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Editor'!$E:$E,1))),stab,IF(OR(mtype=XLOOKUP(XLOOKUP($Q167,'Threshold Summary'!$Y:$Y,'Threshold Summary'!$K:$K,""),'Pokemon Editor'!$A:$A,'Pokemon Editor'!$C:$C,""),mtype=XLOOKUP(XLOOKUP($Q167,'Threshold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Chart'!$B$1:$S$1,0)))),base,IF(OR(cat="Status",pow=0),0,FLOOR(FLOOR(FLOOR((2*XLOOKUP($Q167,'Threshold Summary'!$Y:$Y,'Threshold Summary'!$L:$L,"")/5+2)*pow*atk/def)/50)+2)),modifier,stab*eff,AVERAGE(ARRAYFORMULA(FLOOR(base*modifier*SEQUENCE(16,1,85,1)/100)))),0)</f>
        <v/>
      </c>
      <c r="M167" s="3">
        <f>IFERROR(LET(mtype,XLOOKUP($D167,'Move Editor'!$B:$B,'Move Editor'!$C:$C,""),cat,XLOOKUP($D167,'Move Editor'!$B:$B,'Move Editor'!$D:$D,""),pow,XLOOKUP($D167,'Move Editor'!$B:$B,'Move Editor'!$E:$E,0),acc,XLOOKUP($D167,'Move Editor'!$B:$B,'Move Editor'!$F:$F,100),atk,IF(cat="Physical",FLOOR((FLOOR(((2*XLOOKUP(XLOOKUP($Q167,'Threshold Summary'!$Y:$Y,'Threshold Summary'!$K:$K,""),'Pokemon Editor'!$A:$A,'Pokemon Editor'!$F:$F,0)+31+FLOOR(XLOOKUP($Q167,'Threshold Summary'!$Y:$Y,'Threshold Summary'!$P:$P,"")/4))*XLOOKUP($Q167,'Threshold Summary'!$Y:$Y,'Threshold Summary'!$L:$L,""))/100)+5)*XLOOKUP(XLOOKUP($Q167,'Threshold Summary'!$Y:$Y,'Threshold Summary'!$M:$M,""),'Nature Editor'!$A:$A,'Nature Editor'!$B:$B,1)),FLOOR((FLOOR(((2*XLOOKUP(XLOOKUP($Q167,'Threshold Summary'!$Y:$Y,'Threshold Summary'!$K:$K,""),'Pokemon Editor'!$A:$A,'Pokemon Editor'!$H:$H,0)+31+FLOOR(XLOOKUP($Q167,'Threshold Summary'!$Y:$Y,'Threshold Summary'!$R:$R,"")/4))*XLOOKUP($Q167,'Threshold Summary'!$Y:$Y,'Threshold Summary'!$L:$L,""))/100)+5)*XLOOKUP(XLOOKUP($Q167,'Threshold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Editor'!$E:$E,1))),stab,IF(OR(mtype=XLOOKUP(XLOOKUP($Q167,'Threshold Summary'!$Y:$Y,'Threshold Summary'!$K:$K,""),'Pokemon Editor'!$A:$A,'Pokemon Editor'!$C:$C,""),mtype=XLOOKUP(XLOOKUP($Q167,'Threshold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Chart'!$B$1:$S$1,0)))),base,IF(OR(cat="Status",pow=0),0,FLOOR(FLOOR(FLOOR((2*XLOOKUP($Q167,'Threshold Summary'!$Y:$Y,'Threshold Summary'!$L:$L,"")/5+2)*pow*atk/def)/50)+2)),modifier,stab*eff,AVERAGE(ARRAYFORMULA(FLOOR(base*modifier*SEQUENCE(16,1,85,1)/100)))*MIN(1,acc/100)),0)</f>
        <v/>
      </c>
      <c r="N167" s="4">
        <f>IFERROR(LET(mtype,XLOOKUP($D167,'Move Editor'!$B:$B,'Move Editor'!$C:$C,""),cat,XLOOKUP($D167,'Move Editor'!$B:$B,'Move Editor'!$D:$D,""),pow,XLOOKUP($D167,'Move Editor'!$B:$B,'Move Editor'!$E:$E,0),acc,XLOOKUP($D167,'Move Editor'!$B:$B,'Move Editor'!$F:$F,100),atk,IF(cat="Physical",FLOOR((FLOOR(((2*XLOOKUP(XLOOKUP($Q167,'Threshold Summary'!$Y:$Y,'Threshold Summary'!$K:$K,""),'Pokemon Editor'!$A:$A,'Pokemon Editor'!$F:$F,0)+31+FLOOR(XLOOKUP($Q167,'Threshold Summary'!$Y:$Y,'Threshold Summary'!$P:$P,"")/4))*XLOOKUP($Q167,'Threshold Summary'!$Y:$Y,'Threshold Summary'!$L:$L,""))/100)+5)*XLOOKUP(XLOOKUP($Q167,'Threshold Summary'!$Y:$Y,'Threshold Summary'!$M:$M,""),'Nature Editor'!$A:$A,'Nature Editor'!$B:$B,1)),FLOOR((FLOOR(((2*XLOOKUP(XLOOKUP($Q167,'Threshold Summary'!$Y:$Y,'Threshold Summary'!$K:$K,""),'Pokemon Editor'!$A:$A,'Pokemon Editor'!$H:$H,0)+31+FLOOR(XLOOKUP($Q167,'Threshold Summary'!$Y:$Y,'Threshold Summary'!$R:$R,"")/4))*XLOOKUP($Q167,'Threshold Summary'!$Y:$Y,'Threshold Summary'!$L:$L,""))/100)+5)*XLOOKUP(XLOOKUP($Q167,'Threshold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Editor'!$E:$E,1))),stab,IF(OR(mtype=XLOOKUP(XLOOKUP($Q167,'Threshold Summary'!$Y:$Y,'Threshold Summary'!$K:$K,""),'Pokemon Editor'!$A:$A,'Pokemon Editor'!$C:$C,""),mtype=XLOOKUP(XLOOKUP($Q167,'Threshold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Chart'!$B$1:$S$1,0)))),base,IF(OR(cat="Status",pow=0),0,FLOOR(FLOOR(FLOOR((2*XLOOKUP($Q167,'Threshold Summary'!$Y:$Y,'Threshold Summary'!$L:$L,"")/5+2)*pow*atk/def)/50)+2)),modifier,stab*eff,AVERAGE(ARRAYFORMULA(FLOOR(base*modifier*SEQUENCE(16,1,85,1)/100)))/(FLOOR(((2*XLOOKUP('Boss Editor'!$C$4,'Pokemon Editor'!$A:$A,'Pokemon Editor'!$E:$E,0)+31+FLOOR('Boss Editor'!$G$4/4))*'Boss Editor'!$D$4)/100)+'Boss Editor'!$D$4+10)),0)</f>
        <v/>
      </c>
      <c r="O167" s="3">
        <f>IF(N167&gt;=1,"OHKO",IF(N167&gt;=0.5,"2HKO",IF(N167&gt;=0.333,"3HKO",IF(N167&gt;=0.25,"4HKO","5HKO+"))))</f>
        <v/>
      </c>
      <c r="P167" s="3" t="inlineStr">
        <is>
          <t>Live from editable databases</t>
        </is>
      </c>
      <c r="Q167" s="3" t="inlineStr">
        <is>
          <t>SPECIES_MUDKIP</t>
        </is>
      </c>
      <c r="R167" s="3" t="n">
        <v>6</v>
      </c>
    </row>
    <row r="168">
      <c r="A168" s="3">
        <f>XLOOKUP($Q168,'Threshold Summary'!$Y:$Y,'Threshold Summary'!$A:$A,"")</f>
        <v/>
      </c>
      <c r="B168" s="3">
        <f>XLOOKUP($Q168,'Threshold Summary'!$Y:$Y,'Threshold Summary'!$M:$M,"")</f>
        <v/>
      </c>
      <c r="C168" s="3">
        <f>XLOOKUP($Q168,'Threshold Summary'!$Y:$Y,'Threshold Summary'!$N:$N,"")</f>
        <v/>
      </c>
      <c r="D168" s="3">
        <f>IFERROR(INDEX(FILTER('Learnset Editor'!$D$2:$D,'Learnset Editor'!$A$2:$A=XLOOKUP($Q168,'Threshold Summary'!$Y:$Y,'Threshold Summary'!$K:$K,""),'Learnset Editor'!$C$2:$C&lt;=XLOOKUP($Q168,'Threshold Summary'!$Y:$Y,'Threshold Summary'!$L:$L,"")),$R168),"")</f>
        <v/>
      </c>
      <c r="E168" s="3">
        <f>XLOOKUP(D168,'Move Editor'!$B:$B,'Move Editor'!$C:$C,"")</f>
        <v/>
      </c>
      <c r="F168" s="3">
        <f>XLOOKUP(D168,'Move Editor'!$B:$B,'Move Editor'!$D:$D,"")</f>
        <v/>
      </c>
      <c r="G168" s="3">
        <f>XLOOKUP(D168,'Move Editor'!$B:$B,'Move Editor'!$E:$E,0)</f>
        <v/>
      </c>
      <c r="H168" s="3">
        <f>XLOOKUP(D168,'Move Editor'!$B:$B,'Move Editor'!$F:$F,0)</f>
        <v/>
      </c>
      <c r="I168" s="3">
        <f>(INDEX('Type Chart'!$B:$S,MATCH(E168,'Type Chart'!$A:$A,0),MATCH(XLOOKUP('Boss Editor'!$C$4,'Pokemon Editor'!$A:$A,'Pokemon Editor'!$C:$C,""),'Type Chart'!$B$1:$S$1,0))*IF(XLOOKUP('Boss Editor'!$C$4,'Pokemon Editor'!$A:$A,'Pokemon Editor'!$D:$D,"")="",1,INDEX('Type Chart'!$B:$S,MATCH(E168,'Type Chart'!$A:$A,0),MATCH(XLOOKUP('Boss Editor'!$C$4,'Pokemon Editor'!$A:$A,'Pokemon Editor'!$D:$D,""),'Type Chart'!$B$1:$S$1,0))))</f>
        <v/>
      </c>
      <c r="J168" s="3">
        <f>IFERROR(LET(mtype,XLOOKUP($D168,'Move Editor'!$B:$B,'Move Editor'!$C:$C,""),cat,XLOOKUP($D168,'Move Editor'!$B:$B,'Move Editor'!$D:$D,""),pow,XLOOKUP($D168,'Move Editor'!$B:$B,'Move Editor'!$E:$E,0),acc,XLOOKUP($D168,'Move Editor'!$B:$B,'Move Editor'!$F:$F,100),atk,IF(cat="Physical",FLOOR((FLOOR(((2*XLOOKUP(XLOOKUP($Q168,'Threshold Summary'!$Y:$Y,'Threshold Summary'!$K:$K,""),'Pokemon Editor'!$A:$A,'Pokemon Editor'!$F:$F,0)+31+FLOOR(XLOOKUP($Q168,'Threshold Summary'!$Y:$Y,'Threshold Summary'!$P:$P,"")/4))*XLOOKUP($Q168,'Threshold Summary'!$Y:$Y,'Threshold Summary'!$L:$L,""))/100)+5)*XLOOKUP(XLOOKUP($Q168,'Threshold Summary'!$Y:$Y,'Threshold Summary'!$M:$M,""),'Nature Editor'!$A:$A,'Nature Editor'!$B:$B,1)),FLOOR((FLOOR(((2*XLOOKUP(XLOOKUP($Q168,'Threshold Summary'!$Y:$Y,'Threshold Summary'!$K:$K,""),'Pokemon Editor'!$A:$A,'Pokemon Editor'!$H:$H,0)+31+FLOOR(XLOOKUP($Q168,'Threshold Summary'!$Y:$Y,'Threshold Summary'!$R:$R,"")/4))*XLOOKUP($Q168,'Threshold Summary'!$Y:$Y,'Threshold Summary'!$L:$L,""))/100)+5)*XLOOKUP(XLOOKUP($Q168,'Threshold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Editor'!$E:$E,1))),stab,IF(OR(mtype=XLOOKUP(XLOOKUP($Q168,'Threshold Summary'!$Y:$Y,'Threshold Summary'!$K:$K,""),'Pokemon Editor'!$A:$A,'Pokemon Editor'!$C:$C,""),mtype=XLOOKUP(XLOOKUP($Q168,'Threshold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Chart'!$B$1:$S$1,0)))),base,IF(OR(cat="Status",pow=0),0,FLOOR(FLOOR(FLOOR((2*XLOOKUP($Q168,'Threshold Summary'!$Y:$Y,'Threshold Summary'!$L:$L,"")/5+2)*pow*atk/def)/50)+2)),modifier,stab*eff,FLOOR(base*modifier*0.85)),0)</f>
        <v/>
      </c>
      <c r="K168" s="3">
        <f>IFERROR(LET(mtype,XLOOKUP($D168,'Move Editor'!$B:$B,'Move Editor'!$C:$C,""),cat,XLOOKUP($D168,'Move Editor'!$B:$B,'Move Editor'!$D:$D,""),pow,XLOOKUP($D168,'Move Editor'!$B:$B,'Move Editor'!$E:$E,0),acc,XLOOKUP($D168,'Move Editor'!$B:$B,'Move Editor'!$F:$F,100),atk,IF(cat="Physical",FLOOR((FLOOR(((2*XLOOKUP(XLOOKUP($Q168,'Threshold Summary'!$Y:$Y,'Threshold Summary'!$K:$K,""),'Pokemon Editor'!$A:$A,'Pokemon Editor'!$F:$F,0)+31+FLOOR(XLOOKUP($Q168,'Threshold Summary'!$Y:$Y,'Threshold Summary'!$P:$P,"")/4))*XLOOKUP($Q168,'Threshold Summary'!$Y:$Y,'Threshold Summary'!$L:$L,""))/100)+5)*XLOOKUP(XLOOKUP($Q168,'Threshold Summary'!$Y:$Y,'Threshold Summary'!$M:$M,""),'Nature Editor'!$A:$A,'Nature Editor'!$B:$B,1)),FLOOR((FLOOR(((2*XLOOKUP(XLOOKUP($Q168,'Threshold Summary'!$Y:$Y,'Threshold Summary'!$K:$K,""),'Pokemon Editor'!$A:$A,'Pokemon Editor'!$H:$H,0)+31+FLOOR(XLOOKUP($Q168,'Threshold Summary'!$Y:$Y,'Threshold Summary'!$R:$R,"")/4))*XLOOKUP($Q168,'Threshold Summary'!$Y:$Y,'Threshold Summary'!$L:$L,""))/100)+5)*XLOOKUP(XLOOKUP($Q168,'Threshold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Editor'!$E:$E,1))),stab,IF(OR(mtype=XLOOKUP(XLOOKUP($Q168,'Threshold Summary'!$Y:$Y,'Threshold Summary'!$K:$K,""),'Pokemon Editor'!$A:$A,'Pokemon Editor'!$C:$C,""),mtype=XLOOKUP(XLOOKUP($Q168,'Threshold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Chart'!$B$1:$S$1,0)))),base,IF(OR(cat="Status",pow=0),0,FLOOR(FLOOR(FLOOR((2*XLOOKUP($Q168,'Threshold Summary'!$Y:$Y,'Threshold Summary'!$L:$L,"")/5+2)*pow*atk/def)/50)+2)),modifier,stab*eff,FLOOR(base*modifier)),0)</f>
        <v/>
      </c>
      <c r="L168" s="3">
        <f>IFERROR(LET(mtype,XLOOKUP($D168,'Move Editor'!$B:$B,'Move Editor'!$C:$C,""),cat,XLOOKUP($D168,'Move Editor'!$B:$B,'Move Editor'!$D:$D,""),pow,XLOOKUP($D168,'Move Editor'!$B:$B,'Move Editor'!$E:$E,0),acc,XLOOKUP($D168,'Move Editor'!$B:$B,'Move Editor'!$F:$F,100),atk,IF(cat="Physical",FLOOR((FLOOR(((2*XLOOKUP(XLOOKUP($Q168,'Threshold Summary'!$Y:$Y,'Threshold Summary'!$K:$K,""),'Pokemon Editor'!$A:$A,'Pokemon Editor'!$F:$F,0)+31+FLOOR(XLOOKUP($Q168,'Threshold Summary'!$Y:$Y,'Threshold Summary'!$P:$P,"")/4))*XLOOKUP($Q168,'Threshold Summary'!$Y:$Y,'Threshold Summary'!$L:$L,""))/100)+5)*XLOOKUP(XLOOKUP($Q168,'Threshold Summary'!$Y:$Y,'Threshold Summary'!$M:$M,""),'Nature Editor'!$A:$A,'Nature Editor'!$B:$B,1)),FLOOR((FLOOR(((2*XLOOKUP(XLOOKUP($Q168,'Threshold Summary'!$Y:$Y,'Threshold Summary'!$K:$K,""),'Pokemon Editor'!$A:$A,'Pokemon Editor'!$H:$H,0)+31+FLOOR(XLOOKUP($Q168,'Threshold Summary'!$Y:$Y,'Threshold Summary'!$R:$R,"")/4))*XLOOKUP($Q168,'Threshold Summary'!$Y:$Y,'Threshold Summary'!$L:$L,""))/100)+5)*XLOOKUP(XLOOKUP($Q168,'Threshold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Editor'!$E:$E,1))),stab,IF(OR(mtype=XLOOKUP(XLOOKUP($Q168,'Threshold Summary'!$Y:$Y,'Threshold Summary'!$K:$K,""),'Pokemon Editor'!$A:$A,'Pokemon Editor'!$C:$C,""),mtype=XLOOKUP(XLOOKUP($Q168,'Threshold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Chart'!$B$1:$S$1,0)))),base,IF(OR(cat="Status",pow=0),0,FLOOR(FLOOR(FLOOR((2*XLOOKUP($Q168,'Threshold Summary'!$Y:$Y,'Threshold Summary'!$L:$L,"")/5+2)*pow*atk/def)/50)+2)),modifier,stab*eff,AVERAGE(ARRAYFORMULA(FLOOR(base*modifier*SEQUENCE(16,1,85,1)/100)))),0)</f>
        <v/>
      </c>
      <c r="M168" s="3">
        <f>IFERROR(LET(mtype,XLOOKUP($D168,'Move Editor'!$B:$B,'Move Editor'!$C:$C,""),cat,XLOOKUP($D168,'Move Editor'!$B:$B,'Move Editor'!$D:$D,""),pow,XLOOKUP($D168,'Move Editor'!$B:$B,'Move Editor'!$E:$E,0),acc,XLOOKUP($D168,'Move Editor'!$B:$B,'Move Editor'!$F:$F,100),atk,IF(cat="Physical",FLOOR((FLOOR(((2*XLOOKUP(XLOOKUP($Q168,'Threshold Summary'!$Y:$Y,'Threshold Summary'!$K:$K,""),'Pokemon Editor'!$A:$A,'Pokemon Editor'!$F:$F,0)+31+FLOOR(XLOOKUP($Q168,'Threshold Summary'!$Y:$Y,'Threshold Summary'!$P:$P,"")/4))*XLOOKUP($Q168,'Threshold Summary'!$Y:$Y,'Threshold Summary'!$L:$L,""))/100)+5)*XLOOKUP(XLOOKUP($Q168,'Threshold Summary'!$Y:$Y,'Threshold Summary'!$M:$M,""),'Nature Editor'!$A:$A,'Nature Editor'!$B:$B,1)),FLOOR((FLOOR(((2*XLOOKUP(XLOOKUP($Q168,'Threshold Summary'!$Y:$Y,'Threshold Summary'!$K:$K,""),'Pokemon Editor'!$A:$A,'Pokemon Editor'!$H:$H,0)+31+FLOOR(XLOOKUP($Q168,'Threshold Summary'!$Y:$Y,'Threshold Summary'!$R:$R,"")/4))*XLOOKUP($Q168,'Threshold Summary'!$Y:$Y,'Threshold Summary'!$L:$L,""))/100)+5)*XLOOKUP(XLOOKUP($Q168,'Threshold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Editor'!$E:$E,1))),stab,IF(OR(mtype=XLOOKUP(XLOOKUP($Q168,'Threshold Summary'!$Y:$Y,'Threshold Summary'!$K:$K,""),'Pokemon Editor'!$A:$A,'Pokemon Editor'!$C:$C,""),mtype=XLOOKUP(XLOOKUP($Q168,'Threshold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Chart'!$B$1:$S$1,0)))),base,IF(OR(cat="Status",pow=0),0,FLOOR(FLOOR(FLOOR((2*XLOOKUP($Q168,'Threshold Summary'!$Y:$Y,'Threshold Summary'!$L:$L,"")/5+2)*pow*atk/def)/50)+2)),modifier,stab*eff,AVERAGE(ARRAYFORMULA(FLOOR(base*modifier*SEQUENCE(16,1,85,1)/100)))*MIN(1,acc/100)),0)</f>
        <v/>
      </c>
      <c r="N168" s="4">
        <f>IFERROR(LET(mtype,XLOOKUP($D168,'Move Editor'!$B:$B,'Move Editor'!$C:$C,""),cat,XLOOKUP($D168,'Move Editor'!$B:$B,'Move Editor'!$D:$D,""),pow,XLOOKUP($D168,'Move Editor'!$B:$B,'Move Editor'!$E:$E,0),acc,XLOOKUP($D168,'Move Editor'!$B:$B,'Move Editor'!$F:$F,100),atk,IF(cat="Physical",FLOOR((FLOOR(((2*XLOOKUP(XLOOKUP($Q168,'Threshold Summary'!$Y:$Y,'Threshold Summary'!$K:$K,""),'Pokemon Editor'!$A:$A,'Pokemon Editor'!$F:$F,0)+31+FLOOR(XLOOKUP($Q168,'Threshold Summary'!$Y:$Y,'Threshold Summary'!$P:$P,"")/4))*XLOOKUP($Q168,'Threshold Summary'!$Y:$Y,'Threshold Summary'!$L:$L,""))/100)+5)*XLOOKUP(XLOOKUP($Q168,'Threshold Summary'!$Y:$Y,'Threshold Summary'!$M:$M,""),'Nature Editor'!$A:$A,'Nature Editor'!$B:$B,1)),FLOOR((FLOOR(((2*XLOOKUP(XLOOKUP($Q168,'Threshold Summary'!$Y:$Y,'Threshold Summary'!$K:$K,""),'Pokemon Editor'!$A:$A,'Pokemon Editor'!$H:$H,0)+31+FLOOR(XLOOKUP($Q168,'Threshold Summary'!$Y:$Y,'Threshold Summary'!$R:$R,"")/4))*XLOOKUP($Q168,'Threshold Summary'!$Y:$Y,'Threshold Summary'!$L:$L,""))/100)+5)*XLOOKUP(XLOOKUP($Q168,'Threshold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Editor'!$E:$E,1))),stab,IF(OR(mtype=XLOOKUP(XLOOKUP($Q168,'Threshold Summary'!$Y:$Y,'Threshold Summary'!$K:$K,""),'Pokemon Editor'!$A:$A,'Pokemon Editor'!$C:$C,""),mtype=XLOOKUP(XLOOKUP($Q168,'Threshold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Chart'!$B$1:$S$1,0)))),base,IF(OR(cat="Status",pow=0),0,FLOOR(FLOOR(FLOOR((2*XLOOKUP($Q168,'Threshold Summary'!$Y:$Y,'Threshold Summary'!$L:$L,"")/5+2)*pow*atk/def)/50)+2)),modifier,stab*eff,AVERAGE(ARRAYFORMULA(FLOOR(base*modifier*SEQUENCE(16,1,85,1)/100)))/(FLOOR(((2*XLOOKUP('Boss Editor'!$C$4,'Pokemon Editor'!$A:$A,'Pokemon Editor'!$E:$E,0)+31+FLOOR('Boss Editor'!$G$4/4))*'Boss Editor'!$D$4)/100)+'Boss Editor'!$D$4+10)),0)</f>
        <v/>
      </c>
      <c r="O168" s="3">
        <f>IF(N168&gt;=1,"OHKO",IF(N168&gt;=0.5,"2HKO",IF(N168&gt;=0.333,"3HKO",IF(N168&gt;=0.25,"4HKO","5HKO+"))))</f>
        <v/>
      </c>
      <c r="P168" s="3" t="inlineStr">
        <is>
          <t>Live from editable databases</t>
        </is>
      </c>
      <c r="Q168" s="3" t="inlineStr">
        <is>
          <t>SPECIES_MUDKIP</t>
        </is>
      </c>
      <c r="R168" s="3" t="n">
        <v>7</v>
      </c>
    </row>
    <row r="169">
      <c r="A169" s="3">
        <f>XLOOKUP($Q169,'Threshold Summary'!$Y:$Y,'Threshold Summary'!$A:$A,"")</f>
        <v/>
      </c>
      <c r="B169" s="3">
        <f>XLOOKUP($Q169,'Threshold Summary'!$Y:$Y,'Threshold Summary'!$M:$M,"")</f>
        <v/>
      </c>
      <c r="C169" s="3">
        <f>XLOOKUP($Q169,'Threshold Summary'!$Y:$Y,'Threshold Summary'!$N:$N,"")</f>
        <v/>
      </c>
      <c r="D169" s="3">
        <f>IFERROR(INDEX(FILTER('Learnset Editor'!$D$2:$D,'Learnset Editor'!$A$2:$A=XLOOKUP($Q169,'Threshold Summary'!$Y:$Y,'Threshold Summary'!$K:$K,""),'Learnset Editor'!$C$2:$C&lt;=XLOOKUP($Q169,'Threshold Summary'!$Y:$Y,'Threshold Summary'!$L:$L,"")),$R169),"")</f>
        <v/>
      </c>
      <c r="E169" s="3">
        <f>XLOOKUP(D169,'Move Editor'!$B:$B,'Move Editor'!$C:$C,"")</f>
        <v/>
      </c>
      <c r="F169" s="3">
        <f>XLOOKUP(D169,'Move Editor'!$B:$B,'Move Editor'!$D:$D,"")</f>
        <v/>
      </c>
      <c r="G169" s="3">
        <f>XLOOKUP(D169,'Move Editor'!$B:$B,'Move Editor'!$E:$E,0)</f>
        <v/>
      </c>
      <c r="H169" s="3">
        <f>XLOOKUP(D169,'Move Editor'!$B:$B,'Move Editor'!$F:$F,0)</f>
        <v/>
      </c>
      <c r="I169" s="3">
        <f>(INDEX('Type Chart'!$B:$S,MATCH(E169,'Type Chart'!$A:$A,0),MATCH(XLOOKUP('Boss Editor'!$C$4,'Pokemon Editor'!$A:$A,'Pokemon Editor'!$C:$C,""),'Type Chart'!$B$1:$S$1,0))*IF(XLOOKUP('Boss Editor'!$C$4,'Pokemon Editor'!$A:$A,'Pokemon Editor'!$D:$D,"")="",1,INDEX('Type Chart'!$B:$S,MATCH(E169,'Type Chart'!$A:$A,0),MATCH(XLOOKUP('Boss Editor'!$C$4,'Pokemon Editor'!$A:$A,'Pokemon Editor'!$D:$D,""),'Type Chart'!$B$1:$S$1,0))))</f>
        <v/>
      </c>
      <c r="J169" s="3">
        <f>IFERROR(LET(mtype,XLOOKUP($D169,'Move Editor'!$B:$B,'Move Editor'!$C:$C,""),cat,XLOOKUP($D169,'Move Editor'!$B:$B,'Move Editor'!$D:$D,""),pow,XLOOKUP($D169,'Move Editor'!$B:$B,'Move Editor'!$E:$E,0),acc,XLOOKUP($D169,'Move Editor'!$B:$B,'Move Editor'!$F:$F,100),atk,IF(cat="Physical",FLOOR((FLOOR(((2*XLOOKUP(XLOOKUP($Q169,'Threshold Summary'!$Y:$Y,'Threshold Summary'!$K:$K,""),'Pokemon Editor'!$A:$A,'Pokemon Editor'!$F:$F,0)+31+FLOOR(XLOOKUP($Q169,'Threshold Summary'!$Y:$Y,'Threshold Summary'!$P:$P,"")/4))*XLOOKUP($Q169,'Threshold Summary'!$Y:$Y,'Threshold Summary'!$L:$L,""))/100)+5)*XLOOKUP(XLOOKUP($Q169,'Threshold Summary'!$Y:$Y,'Threshold Summary'!$M:$M,""),'Nature Editor'!$A:$A,'Nature Editor'!$B:$B,1)),FLOOR((FLOOR(((2*XLOOKUP(XLOOKUP($Q169,'Threshold Summary'!$Y:$Y,'Threshold Summary'!$K:$K,""),'Pokemon Editor'!$A:$A,'Pokemon Editor'!$H:$H,0)+31+FLOOR(XLOOKUP($Q169,'Threshold Summary'!$Y:$Y,'Threshold Summary'!$R:$R,"")/4))*XLOOKUP($Q169,'Threshold Summary'!$Y:$Y,'Threshold Summary'!$L:$L,""))/100)+5)*XLOOKUP(XLOOKUP($Q169,'Threshold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Editor'!$E:$E,1))),stab,IF(OR(mtype=XLOOKUP(XLOOKUP($Q169,'Threshold Summary'!$Y:$Y,'Threshold Summary'!$K:$K,""),'Pokemon Editor'!$A:$A,'Pokemon Editor'!$C:$C,""),mtype=XLOOKUP(XLOOKUP($Q169,'Threshold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Chart'!$B$1:$S$1,0)))),base,IF(OR(cat="Status",pow=0),0,FLOOR(FLOOR(FLOOR((2*XLOOKUP($Q169,'Threshold Summary'!$Y:$Y,'Threshold Summary'!$L:$L,"")/5+2)*pow*atk/def)/50)+2)),modifier,stab*eff,FLOOR(base*modifier*0.85)),0)</f>
        <v/>
      </c>
      <c r="K169" s="3">
        <f>IFERROR(LET(mtype,XLOOKUP($D169,'Move Editor'!$B:$B,'Move Editor'!$C:$C,""),cat,XLOOKUP($D169,'Move Editor'!$B:$B,'Move Editor'!$D:$D,""),pow,XLOOKUP($D169,'Move Editor'!$B:$B,'Move Editor'!$E:$E,0),acc,XLOOKUP($D169,'Move Editor'!$B:$B,'Move Editor'!$F:$F,100),atk,IF(cat="Physical",FLOOR((FLOOR(((2*XLOOKUP(XLOOKUP($Q169,'Threshold Summary'!$Y:$Y,'Threshold Summary'!$K:$K,""),'Pokemon Editor'!$A:$A,'Pokemon Editor'!$F:$F,0)+31+FLOOR(XLOOKUP($Q169,'Threshold Summary'!$Y:$Y,'Threshold Summary'!$P:$P,"")/4))*XLOOKUP($Q169,'Threshold Summary'!$Y:$Y,'Threshold Summary'!$L:$L,""))/100)+5)*XLOOKUP(XLOOKUP($Q169,'Threshold Summary'!$Y:$Y,'Threshold Summary'!$M:$M,""),'Nature Editor'!$A:$A,'Nature Editor'!$B:$B,1)),FLOOR((FLOOR(((2*XLOOKUP(XLOOKUP($Q169,'Threshold Summary'!$Y:$Y,'Threshold Summary'!$K:$K,""),'Pokemon Editor'!$A:$A,'Pokemon Editor'!$H:$H,0)+31+FLOOR(XLOOKUP($Q169,'Threshold Summary'!$Y:$Y,'Threshold Summary'!$R:$R,"")/4))*XLOOKUP($Q169,'Threshold Summary'!$Y:$Y,'Threshold Summary'!$L:$L,""))/100)+5)*XLOOKUP(XLOOKUP($Q169,'Threshold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Editor'!$E:$E,1))),stab,IF(OR(mtype=XLOOKUP(XLOOKUP($Q169,'Threshold Summary'!$Y:$Y,'Threshold Summary'!$K:$K,""),'Pokemon Editor'!$A:$A,'Pokemon Editor'!$C:$C,""),mtype=XLOOKUP(XLOOKUP($Q169,'Threshold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Chart'!$B$1:$S$1,0)))),base,IF(OR(cat="Status",pow=0),0,FLOOR(FLOOR(FLOOR((2*XLOOKUP($Q169,'Threshold Summary'!$Y:$Y,'Threshold Summary'!$L:$L,"")/5+2)*pow*atk/def)/50)+2)),modifier,stab*eff,FLOOR(base*modifier)),0)</f>
        <v/>
      </c>
      <c r="L169" s="3">
        <f>IFERROR(LET(mtype,XLOOKUP($D169,'Move Editor'!$B:$B,'Move Editor'!$C:$C,""),cat,XLOOKUP($D169,'Move Editor'!$B:$B,'Move Editor'!$D:$D,""),pow,XLOOKUP($D169,'Move Editor'!$B:$B,'Move Editor'!$E:$E,0),acc,XLOOKUP($D169,'Move Editor'!$B:$B,'Move Editor'!$F:$F,100),atk,IF(cat="Physical",FLOOR((FLOOR(((2*XLOOKUP(XLOOKUP($Q169,'Threshold Summary'!$Y:$Y,'Threshold Summary'!$K:$K,""),'Pokemon Editor'!$A:$A,'Pokemon Editor'!$F:$F,0)+31+FLOOR(XLOOKUP($Q169,'Threshold Summary'!$Y:$Y,'Threshold Summary'!$P:$P,"")/4))*XLOOKUP($Q169,'Threshold Summary'!$Y:$Y,'Threshold Summary'!$L:$L,""))/100)+5)*XLOOKUP(XLOOKUP($Q169,'Threshold Summary'!$Y:$Y,'Threshold Summary'!$M:$M,""),'Nature Editor'!$A:$A,'Nature Editor'!$B:$B,1)),FLOOR((FLOOR(((2*XLOOKUP(XLOOKUP($Q169,'Threshold Summary'!$Y:$Y,'Threshold Summary'!$K:$K,""),'Pokemon Editor'!$A:$A,'Pokemon Editor'!$H:$H,0)+31+FLOOR(XLOOKUP($Q169,'Threshold Summary'!$Y:$Y,'Threshold Summary'!$R:$R,"")/4))*XLOOKUP($Q169,'Threshold Summary'!$Y:$Y,'Threshold Summary'!$L:$L,""))/100)+5)*XLOOKUP(XLOOKUP($Q169,'Threshold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Editor'!$E:$E,1))),stab,IF(OR(mtype=XLOOKUP(XLOOKUP($Q169,'Threshold Summary'!$Y:$Y,'Threshold Summary'!$K:$K,""),'Pokemon Editor'!$A:$A,'Pokemon Editor'!$C:$C,""),mtype=XLOOKUP(XLOOKUP($Q169,'Threshold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Chart'!$B$1:$S$1,0)))),base,IF(OR(cat="Status",pow=0),0,FLOOR(FLOOR(FLOOR((2*XLOOKUP($Q169,'Threshold Summary'!$Y:$Y,'Threshold Summary'!$L:$L,"")/5+2)*pow*atk/def)/50)+2)),modifier,stab*eff,AVERAGE(ARRAYFORMULA(FLOOR(base*modifier*SEQUENCE(16,1,85,1)/100)))),0)</f>
        <v/>
      </c>
      <c r="M169" s="3">
        <f>IFERROR(LET(mtype,XLOOKUP($D169,'Move Editor'!$B:$B,'Move Editor'!$C:$C,""),cat,XLOOKUP($D169,'Move Editor'!$B:$B,'Move Editor'!$D:$D,""),pow,XLOOKUP($D169,'Move Editor'!$B:$B,'Move Editor'!$E:$E,0),acc,XLOOKUP($D169,'Move Editor'!$B:$B,'Move Editor'!$F:$F,100),atk,IF(cat="Physical",FLOOR((FLOOR(((2*XLOOKUP(XLOOKUP($Q169,'Threshold Summary'!$Y:$Y,'Threshold Summary'!$K:$K,""),'Pokemon Editor'!$A:$A,'Pokemon Editor'!$F:$F,0)+31+FLOOR(XLOOKUP($Q169,'Threshold Summary'!$Y:$Y,'Threshold Summary'!$P:$P,"")/4))*XLOOKUP($Q169,'Threshold Summary'!$Y:$Y,'Threshold Summary'!$L:$L,""))/100)+5)*XLOOKUP(XLOOKUP($Q169,'Threshold Summary'!$Y:$Y,'Threshold Summary'!$M:$M,""),'Nature Editor'!$A:$A,'Nature Editor'!$B:$B,1)),FLOOR((FLOOR(((2*XLOOKUP(XLOOKUP($Q169,'Threshold Summary'!$Y:$Y,'Threshold Summary'!$K:$K,""),'Pokemon Editor'!$A:$A,'Pokemon Editor'!$H:$H,0)+31+FLOOR(XLOOKUP($Q169,'Threshold Summary'!$Y:$Y,'Threshold Summary'!$R:$R,"")/4))*XLOOKUP($Q169,'Threshold Summary'!$Y:$Y,'Threshold Summary'!$L:$L,""))/100)+5)*XLOOKUP(XLOOKUP($Q169,'Threshold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Editor'!$E:$E,1))),stab,IF(OR(mtype=XLOOKUP(XLOOKUP($Q169,'Threshold Summary'!$Y:$Y,'Threshold Summary'!$K:$K,""),'Pokemon Editor'!$A:$A,'Pokemon Editor'!$C:$C,""),mtype=XLOOKUP(XLOOKUP($Q169,'Threshold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Chart'!$B$1:$S$1,0)))),base,IF(OR(cat="Status",pow=0),0,FLOOR(FLOOR(FLOOR((2*XLOOKUP($Q169,'Threshold Summary'!$Y:$Y,'Threshold Summary'!$L:$L,"")/5+2)*pow*atk/def)/50)+2)),modifier,stab*eff,AVERAGE(ARRAYFORMULA(FLOOR(base*modifier*SEQUENCE(16,1,85,1)/100)))*MIN(1,acc/100)),0)</f>
        <v/>
      </c>
      <c r="N169" s="4">
        <f>IFERROR(LET(mtype,XLOOKUP($D169,'Move Editor'!$B:$B,'Move Editor'!$C:$C,""),cat,XLOOKUP($D169,'Move Editor'!$B:$B,'Move Editor'!$D:$D,""),pow,XLOOKUP($D169,'Move Editor'!$B:$B,'Move Editor'!$E:$E,0),acc,XLOOKUP($D169,'Move Editor'!$B:$B,'Move Editor'!$F:$F,100),atk,IF(cat="Physical",FLOOR((FLOOR(((2*XLOOKUP(XLOOKUP($Q169,'Threshold Summary'!$Y:$Y,'Threshold Summary'!$K:$K,""),'Pokemon Editor'!$A:$A,'Pokemon Editor'!$F:$F,0)+31+FLOOR(XLOOKUP($Q169,'Threshold Summary'!$Y:$Y,'Threshold Summary'!$P:$P,"")/4))*XLOOKUP($Q169,'Threshold Summary'!$Y:$Y,'Threshold Summary'!$L:$L,""))/100)+5)*XLOOKUP(XLOOKUP($Q169,'Threshold Summary'!$Y:$Y,'Threshold Summary'!$M:$M,""),'Nature Editor'!$A:$A,'Nature Editor'!$B:$B,1)),FLOOR((FLOOR(((2*XLOOKUP(XLOOKUP($Q169,'Threshold Summary'!$Y:$Y,'Threshold Summary'!$K:$K,""),'Pokemon Editor'!$A:$A,'Pokemon Editor'!$H:$H,0)+31+FLOOR(XLOOKUP($Q169,'Threshold Summary'!$Y:$Y,'Threshold Summary'!$R:$R,"")/4))*XLOOKUP($Q169,'Threshold Summary'!$Y:$Y,'Threshold Summary'!$L:$L,""))/100)+5)*XLOOKUP(XLOOKUP($Q169,'Threshold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Editor'!$E:$E,1))),stab,IF(OR(mtype=XLOOKUP(XLOOKUP($Q169,'Threshold Summary'!$Y:$Y,'Threshold Summary'!$K:$K,""),'Pokemon Editor'!$A:$A,'Pokemon Editor'!$C:$C,""),mtype=XLOOKUP(XLOOKUP($Q169,'Threshold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Chart'!$B$1:$S$1,0)))),base,IF(OR(cat="Status",pow=0),0,FLOOR(FLOOR(FLOOR((2*XLOOKUP($Q169,'Threshold Summary'!$Y:$Y,'Threshold Summary'!$L:$L,"")/5+2)*pow*atk/def)/50)+2)),modifier,stab*eff,AVERAGE(ARRAYFORMULA(FLOOR(base*modifier*SEQUENCE(16,1,85,1)/100)))/(FLOOR(((2*XLOOKUP('Boss Editor'!$C$4,'Pokemon Editor'!$A:$A,'Pokemon Editor'!$E:$E,0)+31+FLOOR('Boss Editor'!$G$4/4))*'Boss Editor'!$D$4)/100)+'Boss Editor'!$D$4+10)),0)</f>
        <v/>
      </c>
      <c r="O169" s="3">
        <f>IF(N169&gt;=1,"OHKO",IF(N169&gt;=0.5,"2HKO",IF(N169&gt;=0.333,"3HKO",IF(N169&gt;=0.25,"4HKO","5HKO+"))))</f>
        <v/>
      </c>
      <c r="P169" s="3" t="inlineStr">
        <is>
          <t>Live from editable databases</t>
        </is>
      </c>
      <c r="Q169" s="3" t="inlineStr">
        <is>
          <t>SPECIES_MUDKIP</t>
        </is>
      </c>
      <c r="R169" s="3" t="n">
        <v>8</v>
      </c>
    </row>
    <row r="170">
      <c r="A170" s="3">
        <f>XLOOKUP($Q170,'Threshold Summary'!$Y:$Y,'Threshold Summary'!$A:$A,"")</f>
        <v/>
      </c>
      <c r="B170" s="3">
        <f>XLOOKUP($Q170,'Threshold Summary'!$Y:$Y,'Threshold Summary'!$M:$M,"")</f>
        <v/>
      </c>
      <c r="C170" s="3">
        <f>XLOOKUP($Q170,'Threshold Summary'!$Y:$Y,'Threshold Summary'!$N:$N,"")</f>
        <v/>
      </c>
      <c r="D170" s="3">
        <f>IFERROR(INDEX(FILTER('Learnset Editor'!$D$2:$D,'Learnset Editor'!$A$2:$A=XLOOKUP($Q170,'Threshold Summary'!$Y:$Y,'Threshold Summary'!$K:$K,""),'Learnset Editor'!$C$2:$C&lt;=XLOOKUP($Q170,'Threshold Summary'!$Y:$Y,'Threshold Summary'!$L:$L,"")),$R170),"")</f>
        <v/>
      </c>
      <c r="E170" s="3">
        <f>XLOOKUP(D170,'Move Editor'!$B:$B,'Move Editor'!$C:$C,"")</f>
        <v/>
      </c>
      <c r="F170" s="3">
        <f>XLOOKUP(D170,'Move Editor'!$B:$B,'Move Editor'!$D:$D,"")</f>
        <v/>
      </c>
      <c r="G170" s="3">
        <f>XLOOKUP(D170,'Move Editor'!$B:$B,'Move Editor'!$E:$E,0)</f>
        <v/>
      </c>
      <c r="H170" s="3">
        <f>XLOOKUP(D170,'Move Editor'!$B:$B,'Move Editor'!$F:$F,0)</f>
        <v/>
      </c>
      <c r="I170" s="3">
        <f>(INDEX('Type Chart'!$B:$S,MATCH(E170,'Type Chart'!$A:$A,0),MATCH(XLOOKUP('Boss Editor'!$C$4,'Pokemon Editor'!$A:$A,'Pokemon Editor'!$C:$C,""),'Type Chart'!$B$1:$S$1,0))*IF(XLOOKUP('Boss Editor'!$C$4,'Pokemon Editor'!$A:$A,'Pokemon Editor'!$D:$D,"")="",1,INDEX('Type Chart'!$B:$S,MATCH(E170,'Type Chart'!$A:$A,0),MATCH(XLOOKUP('Boss Editor'!$C$4,'Pokemon Editor'!$A:$A,'Pokemon Editor'!$D:$D,""),'Type Chart'!$B$1:$S$1,0))))</f>
        <v/>
      </c>
      <c r="J170" s="3">
        <f>IFERROR(LET(mtype,XLOOKUP($D170,'Move Editor'!$B:$B,'Move Editor'!$C:$C,""),cat,XLOOKUP($D170,'Move Editor'!$B:$B,'Move Editor'!$D:$D,""),pow,XLOOKUP($D170,'Move Editor'!$B:$B,'Move Editor'!$E:$E,0),acc,XLOOKUP($D170,'Move Editor'!$B:$B,'Move Editor'!$F:$F,100),atk,IF(cat="Physical",FLOOR((FLOOR(((2*XLOOKUP(XLOOKUP($Q170,'Threshold Summary'!$Y:$Y,'Threshold Summary'!$K:$K,""),'Pokemon Editor'!$A:$A,'Pokemon Editor'!$F:$F,0)+31+FLOOR(XLOOKUP($Q170,'Threshold Summary'!$Y:$Y,'Threshold Summary'!$P:$P,"")/4))*XLOOKUP($Q170,'Threshold Summary'!$Y:$Y,'Threshold Summary'!$L:$L,""))/100)+5)*XLOOKUP(XLOOKUP($Q170,'Threshold Summary'!$Y:$Y,'Threshold Summary'!$M:$M,""),'Nature Editor'!$A:$A,'Nature Editor'!$B:$B,1)),FLOOR((FLOOR(((2*XLOOKUP(XLOOKUP($Q170,'Threshold Summary'!$Y:$Y,'Threshold Summary'!$K:$K,""),'Pokemon Editor'!$A:$A,'Pokemon Editor'!$H:$H,0)+31+FLOOR(XLOOKUP($Q170,'Threshold Summary'!$Y:$Y,'Threshold Summary'!$R:$R,"")/4))*XLOOKUP($Q170,'Threshold Summary'!$Y:$Y,'Threshold Summary'!$L:$L,""))/100)+5)*XLOOKUP(XLOOKUP($Q170,'Threshold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Editor'!$E:$E,1))),stab,IF(OR(mtype=XLOOKUP(XLOOKUP($Q170,'Threshold Summary'!$Y:$Y,'Threshold Summary'!$K:$K,""),'Pokemon Editor'!$A:$A,'Pokemon Editor'!$C:$C,""),mtype=XLOOKUP(XLOOKUP($Q170,'Threshold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Chart'!$B$1:$S$1,0)))),base,IF(OR(cat="Status",pow=0),0,FLOOR(FLOOR(FLOOR((2*XLOOKUP($Q170,'Threshold Summary'!$Y:$Y,'Threshold Summary'!$L:$L,"")/5+2)*pow*atk/def)/50)+2)),modifier,stab*eff,FLOOR(base*modifier*0.85)),0)</f>
        <v/>
      </c>
      <c r="K170" s="3">
        <f>IFERROR(LET(mtype,XLOOKUP($D170,'Move Editor'!$B:$B,'Move Editor'!$C:$C,""),cat,XLOOKUP($D170,'Move Editor'!$B:$B,'Move Editor'!$D:$D,""),pow,XLOOKUP($D170,'Move Editor'!$B:$B,'Move Editor'!$E:$E,0),acc,XLOOKUP($D170,'Move Editor'!$B:$B,'Move Editor'!$F:$F,100),atk,IF(cat="Physical",FLOOR((FLOOR(((2*XLOOKUP(XLOOKUP($Q170,'Threshold Summary'!$Y:$Y,'Threshold Summary'!$K:$K,""),'Pokemon Editor'!$A:$A,'Pokemon Editor'!$F:$F,0)+31+FLOOR(XLOOKUP($Q170,'Threshold Summary'!$Y:$Y,'Threshold Summary'!$P:$P,"")/4))*XLOOKUP($Q170,'Threshold Summary'!$Y:$Y,'Threshold Summary'!$L:$L,""))/100)+5)*XLOOKUP(XLOOKUP($Q170,'Threshold Summary'!$Y:$Y,'Threshold Summary'!$M:$M,""),'Nature Editor'!$A:$A,'Nature Editor'!$B:$B,1)),FLOOR((FLOOR(((2*XLOOKUP(XLOOKUP($Q170,'Threshold Summary'!$Y:$Y,'Threshold Summary'!$K:$K,""),'Pokemon Editor'!$A:$A,'Pokemon Editor'!$H:$H,0)+31+FLOOR(XLOOKUP($Q170,'Threshold Summary'!$Y:$Y,'Threshold Summary'!$R:$R,"")/4))*XLOOKUP($Q170,'Threshold Summary'!$Y:$Y,'Threshold Summary'!$L:$L,""))/100)+5)*XLOOKUP(XLOOKUP($Q170,'Threshold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Editor'!$E:$E,1))),stab,IF(OR(mtype=XLOOKUP(XLOOKUP($Q170,'Threshold Summary'!$Y:$Y,'Threshold Summary'!$K:$K,""),'Pokemon Editor'!$A:$A,'Pokemon Editor'!$C:$C,""),mtype=XLOOKUP(XLOOKUP($Q170,'Threshold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Chart'!$B$1:$S$1,0)))),base,IF(OR(cat="Status",pow=0),0,FLOOR(FLOOR(FLOOR((2*XLOOKUP($Q170,'Threshold Summary'!$Y:$Y,'Threshold Summary'!$L:$L,"")/5+2)*pow*atk/def)/50)+2)),modifier,stab*eff,FLOOR(base*modifier)),0)</f>
        <v/>
      </c>
      <c r="L170" s="3">
        <f>IFERROR(LET(mtype,XLOOKUP($D170,'Move Editor'!$B:$B,'Move Editor'!$C:$C,""),cat,XLOOKUP($D170,'Move Editor'!$B:$B,'Move Editor'!$D:$D,""),pow,XLOOKUP($D170,'Move Editor'!$B:$B,'Move Editor'!$E:$E,0),acc,XLOOKUP($D170,'Move Editor'!$B:$B,'Move Editor'!$F:$F,100),atk,IF(cat="Physical",FLOOR((FLOOR(((2*XLOOKUP(XLOOKUP($Q170,'Threshold Summary'!$Y:$Y,'Threshold Summary'!$K:$K,""),'Pokemon Editor'!$A:$A,'Pokemon Editor'!$F:$F,0)+31+FLOOR(XLOOKUP($Q170,'Threshold Summary'!$Y:$Y,'Threshold Summary'!$P:$P,"")/4))*XLOOKUP($Q170,'Threshold Summary'!$Y:$Y,'Threshold Summary'!$L:$L,""))/100)+5)*XLOOKUP(XLOOKUP($Q170,'Threshold Summary'!$Y:$Y,'Threshold Summary'!$M:$M,""),'Nature Editor'!$A:$A,'Nature Editor'!$B:$B,1)),FLOOR((FLOOR(((2*XLOOKUP(XLOOKUP($Q170,'Threshold Summary'!$Y:$Y,'Threshold Summary'!$K:$K,""),'Pokemon Editor'!$A:$A,'Pokemon Editor'!$H:$H,0)+31+FLOOR(XLOOKUP($Q170,'Threshold Summary'!$Y:$Y,'Threshold Summary'!$R:$R,"")/4))*XLOOKUP($Q170,'Threshold Summary'!$Y:$Y,'Threshold Summary'!$L:$L,""))/100)+5)*XLOOKUP(XLOOKUP($Q170,'Threshold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Editor'!$E:$E,1))),stab,IF(OR(mtype=XLOOKUP(XLOOKUP($Q170,'Threshold Summary'!$Y:$Y,'Threshold Summary'!$K:$K,""),'Pokemon Editor'!$A:$A,'Pokemon Editor'!$C:$C,""),mtype=XLOOKUP(XLOOKUP($Q170,'Threshold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Chart'!$B$1:$S$1,0)))),base,IF(OR(cat="Status",pow=0),0,FLOOR(FLOOR(FLOOR((2*XLOOKUP($Q170,'Threshold Summary'!$Y:$Y,'Threshold Summary'!$L:$L,"")/5+2)*pow*atk/def)/50)+2)),modifier,stab*eff,AVERAGE(ARRAYFORMULA(FLOOR(base*modifier*SEQUENCE(16,1,85,1)/100)))),0)</f>
        <v/>
      </c>
      <c r="M170" s="3">
        <f>IFERROR(LET(mtype,XLOOKUP($D170,'Move Editor'!$B:$B,'Move Editor'!$C:$C,""),cat,XLOOKUP($D170,'Move Editor'!$B:$B,'Move Editor'!$D:$D,""),pow,XLOOKUP($D170,'Move Editor'!$B:$B,'Move Editor'!$E:$E,0),acc,XLOOKUP($D170,'Move Editor'!$B:$B,'Move Editor'!$F:$F,100),atk,IF(cat="Physical",FLOOR((FLOOR(((2*XLOOKUP(XLOOKUP($Q170,'Threshold Summary'!$Y:$Y,'Threshold Summary'!$K:$K,""),'Pokemon Editor'!$A:$A,'Pokemon Editor'!$F:$F,0)+31+FLOOR(XLOOKUP($Q170,'Threshold Summary'!$Y:$Y,'Threshold Summary'!$P:$P,"")/4))*XLOOKUP($Q170,'Threshold Summary'!$Y:$Y,'Threshold Summary'!$L:$L,""))/100)+5)*XLOOKUP(XLOOKUP($Q170,'Threshold Summary'!$Y:$Y,'Threshold Summary'!$M:$M,""),'Nature Editor'!$A:$A,'Nature Editor'!$B:$B,1)),FLOOR((FLOOR(((2*XLOOKUP(XLOOKUP($Q170,'Threshold Summary'!$Y:$Y,'Threshold Summary'!$K:$K,""),'Pokemon Editor'!$A:$A,'Pokemon Editor'!$H:$H,0)+31+FLOOR(XLOOKUP($Q170,'Threshold Summary'!$Y:$Y,'Threshold Summary'!$R:$R,"")/4))*XLOOKUP($Q170,'Threshold Summary'!$Y:$Y,'Threshold Summary'!$L:$L,""))/100)+5)*XLOOKUP(XLOOKUP($Q170,'Threshold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Editor'!$E:$E,1))),stab,IF(OR(mtype=XLOOKUP(XLOOKUP($Q170,'Threshold Summary'!$Y:$Y,'Threshold Summary'!$K:$K,""),'Pokemon Editor'!$A:$A,'Pokemon Editor'!$C:$C,""),mtype=XLOOKUP(XLOOKUP($Q170,'Threshold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Chart'!$B$1:$S$1,0)))),base,IF(OR(cat="Status",pow=0),0,FLOOR(FLOOR(FLOOR((2*XLOOKUP($Q170,'Threshold Summary'!$Y:$Y,'Threshold Summary'!$L:$L,"")/5+2)*pow*atk/def)/50)+2)),modifier,stab*eff,AVERAGE(ARRAYFORMULA(FLOOR(base*modifier*SEQUENCE(16,1,85,1)/100)))*MIN(1,acc/100)),0)</f>
        <v/>
      </c>
      <c r="N170" s="4">
        <f>IFERROR(LET(mtype,XLOOKUP($D170,'Move Editor'!$B:$B,'Move Editor'!$C:$C,""),cat,XLOOKUP($D170,'Move Editor'!$B:$B,'Move Editor'!$D:$D,""),pow,XLOOKUP($D170,'Move Editor'!$B:$B,'Move Editor'!$E:$E,0),acc,XLOOKUP($D170,'Move Editor'!$B:$B,'Move Editor'!$F:$F,100),atk,IF(cat="Physical",FLOOR((FLOOR(((2*XLOOKUP(XLOOKUP($Q170,'Threshold Summary'!$Y:$Y,'Threshold Summary'!$K:$K,""),'Pokemon Editor'!$A:$A,'Pokemon Editor'!$F:$F,0)+31+FLOOR(XLOOKUP($Q170,'Threshold Summary'!$Y:$Y,'Threshold Summary'!$P:$P,"")/4))*XLOOKUP($Q170,'Threshold Summary'!$Y:$Y,'Threshold Summary'!$L:$L,""))/100)+5)*XLOOKUP(XLOOKUP($Q170,'Threshold Summary'!$Y:$Y,'Threshold Summary'!$M:$M,""),'Nature Editor'!$A:$A,'Nature Editor'!$B:$B,1)),FLOOR((FLOOR(((2*XLOOKUP(XLOOKUP($Q170,'Threshold Summary'!$Y:$Y,'Threshold Summary'!$K:$K,""),'Pokemon Editor'!$A:$A,'Pokemon Editor'!$H:$H,0)+31+FLOOR(XLOOKUP($Q170,'Threshold Summary'!$Y:$Y,'Threshold Summary'!$R:$R,"")/4))*XLOOKUP($Q170,'Threshold Summary'!$Y:$Y,'Threshold Summary'!$L:$L,""))/100)+5)*XLOOKUP(XLOOKUP($Q170,'Threshold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Editor'!$E:$E,1))),stab,IF(OR(mtype=XLOOKUP(XLOOKUP($Q170,'Threshold Summary'!$Y:$Y,'Threshold Summary'!$K:$K,""),'Pokemon Editor'!$A:$A,'Pokemon Editor'!$C:$C,""),mtype=XLOOKUP(XLOOKUP($Q170,'Threshold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Chart'!$B$1:$S$1,0)))),base,IF(OR(cat="Status",pow=0),0,FLOOR(FLOOR(FLOOR((2*XLOOKUP($Q170,'Threshold Summary'!$Y:$Y,'Threshold Summary'!$L:$L,"")/5+2)*pow*atk/def)/50)+2)),modifier,stab*eff,AVERAGE(ARRAYFORMULA(FLOOR(base*modifier*SEQUENCE(16,1,85,1)/100)))/(FLOOR(((2*XLOOKUP('Boss Editor'!$C$4,'Pokemon Editor'!$A:$A,'Pokemon Editor'!$E:$E,0)+31+FLOOR('Boss Editor'!$G$4/4))*'Boss Editor'!$D$4)/100)+'Boss Editor'!$D$4+10)),0)</f>
        <v/>
      </c>
      <c r="O170" s="3">
        <f>IF(N170&gt;=1,"OHKO",IF(N170&gt;=0.5,"2HKO",IF(N170&gt;=0.333,"3HKO",IF(N170&gt;=0.25,"4HKO","5HKO+"))))</f>
        <v/>
      </c>
      <c r="P170" s="3" t="inlineStr">
        <is>
          <t>Live from editable databases</t>
        </is>
      </c>
      <c r="Q170" s="3" t="inlineStr">
        <is>
          <t>SPECIES_MUDKIP</t>
        </is>
      </c>
      <c r="R170" s="3" t="n">
        <v>9</v>
      </c>
    </row>
    <row r="171">
      <c r="A171" s="3">
        <f>XLOOKUP($Q171,'Threshold Summary'!$Y:$Y,'Threshold Summary'!$A:$A,"")</f>
        <v/>
      </c>
      <c r="B171" s="3">
        <f>XLOOKUP($Q171,'Threshold Summary'!$Y:$Y,'Threshold Summary'!$M:$M,"")</f>
        <v/>
      </c>
      <c r="C171" s="3">
        <f>XLOOKUP($Q171,'Threshold Summary'!$Y:$Y,'Threshold Summary'!$N:$N,"")</f>
        <v/>
      </c>
      <c r="D171" s="3">
        <f>IFERROR(INDEX(FILTER('Learnset Editor'!$D$2:$D,'Learnset Editor'!$A$2:$A=XLOOKUP($Q171,'Threshold Summary'!$Y:$Y,'Threshold Summary'!$K:$K,""),'Learnset Editor'!$C$2:$C&lt;=XLOOKUP($Q171,'Threshold Summary'!$Y:$Y,'Threshold Summary'!$L:$L,"")),$R171),"")</f>
        <v/>
      </c>
      <c r="E171" s="3">
        <f>XLOOKUP(D171,'Move Editor'!$B:$B,'Move Editor'!$C:$C,"")</f>
        <v/>
      </c>
      <c r="F171" s="3">
        <f>XLOOKUP(D171,'Move Editor'!$B:$B,'Move Editor'!$D:$D,"")</f>
        <v/>
      </c>
      <c r="G171" s="3">
        <f>XLOOKUP(D171,'Move Editor'!$B:$B,'Move Editor'!$E:$E,0)</f>
        <v/>
      </c>
      <c r="H171" s="3">
        <f>XLOOKUP(D171,'Move Editor'!$B:$B,'Move Editor'!$F:$F,0)</f>
        <v/>
      </c>
      <c r="I171" s="3">
        <f>(INDEX('Type Chart'!$B:$S,MATCH(E171,'Type Chart'!$A:$A,0),MATCH(XLOOKUP('Boss Editor'!$C$4,'Pokemon Editor'!$A:$A,'Pokemon Editor'!$C:$C,""),'Type Chart'!$B$1:$S$1,0))*IF(XLOOKUP('Boss Editor'!$C$4,'Pokemon Editor'!$A:$A,'Pokemon Editor'!$D:$D,"")="",1,INDEX('Type Chart'!$B:$S,MATCH(E171,'Type Chart'!$A:$A,0),MATCH(XLOOKUP('Boss Editor'!$C$4,'Pokemon Editor'!$A:$A,'Pokemon Editor'!$D:$D,""),'Type Chart'!$B$1:$S$1,0))))</f>
        <v/>
      </c>
      <c r="J171" s="3">
        <f>IFERROR(LET(mtype,XLOOKUP($D171,'Move Editor'!$B:$B,'Move Editor'!$C:$C,""),cat,XLOOKUP($D171,'Move Editor'!$B:$B,'Move Editor'!$D:$D,""),pow,XLOOKUP($D171,'Move Editor'!$B:$B,'Move Editor'!$E:$E,0),acc,XLOOKUP($D171,'Move Editor'!$B:$B,'Move Editor'!$F:$F,100),atk,IF(cat="Physical",FLOOR((FLOOR(((2*XLOOKUP(XLOOKUP($Q171,'Threshold Summary'!$Y:$Y,'Threshold Summary'!$K:$K,""),'Pokemon Editor'!$A:$A,'Pokemon Editor'!$F:$F,0)+31+FLOOR(XLOOKUP($Q171,'Threshold Summary'!$Y:$Y,'Threshold Summary'!$P:$P,"")/4))*XLOOKUP($Q171,'Threshold Summary'!$Y:$Y,'Threshold Summary'!$L:$L,""))/100)+5)*XLOOKUP(XLOOKUP($Q171,'Threshold Summary'!$Y:$Y,'Threshold Summary'!$M:$M,""),'Nature Editor'!$A:$A,'Nature Editor'!$B:$B,1)),FLOOR((FLOOR(((2*XLOOKUP(XLOOKUP($Q171,'Threshold Summary'!$Y:$Y,'Threshold Summary'!$K:$K,""),'Pokemon Editor'!$A:$A,'Pokemon Editor'!$H:$H,0)+31+FLOOR(XLOOKUP($Q171,'Threshold Summary'!$Y:$Y,'Threshold Summary'!$R:$R,"")/4))*XLOOKUP($Q171,'Threshold Summary'!$Y:$Y,'Threshold Summary'!$L:$L,""))/100)+5)*XLOOKUP(XLOOKUP($Q171,'Threshold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Editor'!$E:$E,1))),stab,IF(OR(mtype=XLOOKUP(XLOOKUP($Q171,'Threshold Summary'!$Y:$Y,'Threshold Summary'!$K:$K,""),'Pokemon Editor'!$A:$A,'Pokemon Editor'!$C:$C,""),mtype=XLOOKUP(XLOOKUP($Q171,'Threshold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Chart'!$B$1:$S$1,0)))),base,IF(OR(cat="Status",pow=0),0,FLOOR(FLOOR(FLOOR((2*XLOOKUP($Q171,'Threshold Summary'!$Y:$Y,'Threshold Summary'!$L:$L,"")/5+2)*pow*atk/def)/50)+2)),modifier,stab*eff,FLOOR(base*modifier*0.85)),0)</f>
        <v/>
      </c>
      <c r="K171" s="3">
        <f>IFERROR(LET(mtype,XLOOKUP($D171,'Move Editor'!$B:$B,'Move Editor'!$C:$C,""),cat,XLOOKUP($D171,'Move Editor'!$B:$B,'Move Editor'!$D:$D,""),pow,XLOOKUP($D171,'Move Editor'!$B:$B,'Move Editor'!$E:$E,0),acc,XLOOKUP($D171,'Move Editor'!$B:$B,'Move Editor'!$F:$F,100),atk,IF(cat="Physical",FLOOR((FLOOR(((2*XLOOKUP(XLOOKUP($Q171,'Threshold Summary'!$Y:$Y,'Threshold Summary'!$K:$K,""),'Pokemon Editor'!$A:$A,'Pokemon Editor'!$F:$F,0)+31+FLOOR(XLOOKUP($Q171,'Threshold Summary'!$Y:$Y,'Threshold Summary'!$P:$P,"")/4))*XLOOKUP($Q171,'Threshold Summary'!$Y:$Y,'Threshold Summary'!$L:$L,""))/100)+5)*XLOOKUP(XLOOKUP($Q171,'Threshold Summary'!$Y:$Y,'Threshold Summary'!$M:$M,""),'Nature Editor'!$A:$A,'Nature Editor'!$B:$B,1)),FLOOR((FLOOR(((2*XLOOKUP(XLOOKUP($Q171,'Threshold Summary'!$Y:$Y,'Threshold Summary'!$K:$K,""),'Pokemon Editor'!$A:$A,'Pokemon Editor'!$H:$H,0)+31+FLOOR(XLOOKUP($Q171,'Threshold Summary'!$Y:$Y,'Threshold Summary'!$R:$R,"")/4))*XLOOKUP($Q171,'Threshold Summary'!$Y:$Y,'Threshold Summary'!$L:$L,""))/100)+5)*XLOOKUP(XLOOKUP($Q171,'Threshold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Editor'!$E:$E,1))),stab,IF(OR(mtype=XLOOKUP(XLOOKUP($Q171,'Threshold Summary'!$Y:$Y,'Threshold Summary'!$K:$K,""),'Pokemon Editor'!$A:$A,'Pokemon Editor'!$C:$C,""),mtype=XLOOKUP(XLOOKUP($Q171,'Threshold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Chart'!$B$1:$S$1,0)))),base,IF(OR(cat="Status",pow=0),0,FLOOR(FLOOR(FLOOR((2*XLOOKUP($Q171,'Threshold Summary'!$Y:$Y,'Threshold Summary'!$L:$L,"")/5+2)*pow*atk/def)/50)+2)),modifier,stab*eff,FLOOR(base*modifier)),0)</f>
        <v/>
      </c>
      <c r="L171" s="3">
        <f>IFERROR(LET(mtype,XLOOKUP($D171,'Move Editor'!$B:$B,'Move Editor'!$C:$C,""),cat,XLOOKUP($D171,'Move Editor'!$B:$B,'Move Editor'!$D:$D,""),pow,XLOOKUP($D171,'Move Editor'!$B:$B,'Move Editor'!$E:$E,0),acc,XLOOKUP($D171,'Move Editor'!$B:$B,'Move Editor'!$F:$F,100),atk,IF(cat="Physical",FLOOR((FLOOR(((2*XLOOKUP(XLOOKUP($Q171,'Threshold Summary'!$Y:$Y,'Threshold Summary'!$K:$K,""),'Pokemon Editor'!$A:$A,'Pokemon Editor'!$F:$F,0)+31+FLOOR(XLOOKUP($Q171,'Threshold Summary'!$Y:$Y,'Threshold Summary'!$P:$P,"")/4))*XLOOKUP($Q171,'Threshold Summary'!$Y:$Y,'Threshold Summary'!$L:$L,""))/100)+5)*XLOOKUP(XLOOKUP($Q171,'Threshold Summary'!$Y:$Y,'Threshold Summary'!$M:$M,""),'Nature Editor'!$A:$A,'Nature Editor'!$B:$B,1)),FLOOR((FLOOR(((2*XLOOKUP(XLOOKUP($Q171,'Threshold Summary'!$Y:$Y,'Threshold Summary'!$K:$K,""),'Pokemon Editor'!$A:$A,'Pokemon Editor'!$H:$H,0)+31+FLOOR(XLOOKUP($Q171,'Threshold Summary'!$Y:$Y,'Threshold Summary'!$R:$R,"")/4))*XLOOKUP($Q171,'Threshold Summary'!$Y:$Y,'Threshold Summary'!$L:$L,""))/100)+5)*XLOOKUP(XLOOKUP($Q171,'Threshold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Editor'!$E:$E,1))),stab,IF(OR(mtype=XLOOKUP(XLOOKUP($Q171,'Threshold Summary'!$Y:$Y,'Threshold Summary'!$K:$K,""),'Pokemon Editor'!$A:$A,'Pokemon Editor'!$C:$C,""),mtype=XLOOKUP(XLOOKUP($Q171,'Threshold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Chart'!$B$1:$S$1,0)))),base,IF(OR(cat="Status",pow=0),0,FLOOR(FLOOR(FLOOR((2*XLOOKUP($Q171,'Threshold Summary'!$Y:$Y,'Threshold Summary'!$L:$L,"")/5+2)*pow*atk/def)/50)+2)),modifier,stab*eff,AVERAGE(ARRAYFORMULA(FLOOR(base*modifier*SEQUENCE(16,1,85,1)/100)))),0)</f>
        <v/>
      </c>
      <c r="M171" s="3">
        <f>IFERROR(LET(mtype,XLOOKUP($D171,'Move Editor'!$B:$B,'Move Editor'!$C:$C,""),cat,XLOOKUP($D171,'Move Editor'!$B:$B,'Move Editor'!$D:$D,""),pow,XLOOKUP($D171,'Move Editor'!$B:$B,'Move Editor'!$E:$E,0),acc,XLOOKUP($D171,'Move Editor'!$B:$B,'Move Editor'!$F:$F,100),atk,IF(cat="Physical",FLOOR((FLOOR(((2*XLOOKUP(XLOOKUP($Q171,'Threshold Summary'!$Y:$Y,'Threshold Summary'!$K:$K,""),'Pokemon Editor'!$A:$A,'Pokemon Editor'!$F:$F,0)+31+FLOOR(XLOOKUP($Q171,'Threshold Summary'!$Y:$Y,'Threshold Summary'!$P:$P,"")/4))*XLOOKUP($Q171,'Threshold Summary'!$Y:$Y,'Threshold Summary'!$L:$L,""))/100)+5)*XLOOKUP(XLOOKUP($Q171,'Threshold Summary'!$Y:$Y,'Threshold Summary'!$M:$M,""),'Nature Editor'!$A:$A,'Nature Editor'!$B:$B,1)),FLOOR((FLOOR(((2*XLOOKUP(XLOOKUP($Q171,'Threshold Summary'!$Y:$Y,'Threshold Summary'!$K:$K,""),'Pokemon Editor'!$A:$A,'Pokemon Editor'!$H:$H,0)+31+FLOOR(XLOOKUP($Q171,'Threshold Summary'!$Y:$Y,'Threshold Summary'!$R:$R,"")/4))*XLOOKUP($Q171,'Threshold Summary'!$Y:$Y,'Threshold Summary'!$L:$L,""))/100)+5)*XLOOKUP(XLOOKUP($Q171,'Threshold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Editor'!$E:$E,1))),stab,IF(OR(mtype=XLOOKUP(XLOOKUP($Q171,'Threshold Summary'!$Y:$Y,'Threshold Summary'!$K:$K,""),'Pokemon Editor'!$A:$A,'Pokemon Editor'!$C:$C,""),mtype=XLOOKUP(XLOOKUP($Q171,'Threshold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Chart'!$B$1:$S$1,0)))),base,IF(OR(cat="Status",pow=0),0,FLOOR(FLOOR(FLOOR((2*XLOOKUP($Q171,'Threshold Summary'!$Y:$Y,'Threshold Summary'!$L:$L,"")/5+2)*pow*atk/def)/50)+2)),modifier,stab*eff,AVERAGE(ARRAYFORMULA(FLOOR(base*modifier*SEQUENCE(16,1,85,1)/100)))*MIN(1,acc/100)),0)</f>
        <v/>
      </c>
      <c r="N171" s="4">
        <f>IFERROR(LET(mtype,XLOOKUP($D171,'Move Editor'!$B:$B,'Move Editor'!$C:$C,""),cat,XLOOKUP($D171,'Move Editor'!$B:$B,'Move Editor'!$D:$D,""),pow,XLOOKUP($D171,'Move Editor'!$B:$B,'Move Editor'!$E:$E,0),acc,XLOOKUP($D171,'Move Editor'!$B:$B,'Move Editor'!$F:$F,100),atk,IF(cat="Physical",FLOOR((FLOOR(((2*XLOOKUP(XLOOKUP($Q171,'Threshold Summary'!$Y:$Y,'Threshold Summary'!$K:$K,""),'Pokemon Editor'!$A:$A,'Pokemon Editor'!$F:$F,0)+31+FLOOR(XLOOKUP($Q171,'Threshold Summary'!$Y:$Y,'Threshold Summary'!$P:$P,"")/4))*XLOOKUP($Q171,'Threshold Summary'!$Y:$Y,'Threshold Summary'!$L:$L,""))/100)+5)*XLOOKUP(XLOOKUP($Q171,'Threshold Summary'!$Y:$Y,'Threshold Summary'!$M:$M,""),'Nature Editor'!$A:$A,'Nature Editor'!$B:$B,1)),FLOOR((FLOOR(((2*XLOOKUP(XLOOKUP($Q171,'Threshold Summary'!$Y:$Y,'Threshold Summary'!$K:$K,""),'Pokemon Editor'!$A:$A,'Pokemon Editor'!$H:$H,0)+31+FLOOR(XLOOKUP($Q171,'Threshold Summary'!$Y:$Y,'Threshold Summary'!$R:$R,"")/4))*XLOOKUP($Q171,'Threshold Summary'!$Y:$Y,'Threshold Summary'!$L:$L,""))/100)+5)*XLOOKUP(XLOOKUP($Q171,'Threshold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Editor'!$E:$E,1))),stab,IF(OR(mtype=XLOOKUP(XLOOKUP($Q171,'Threshold Summary'!$Y:$Y,'Threshold Summary'!$K:$K,""),'Pokemon Editor'!$A:$A,'Pokemon Editor'!$C:$C,""),mtype=XLOOKUP(XLOOKUP($Q171,'Threshold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Chart'!$B$1:$S$1,0)))),base,IF(OR(cat="Status",pow=0),0,FLOOR(FLOOR(FLOOR((2*XLOOKUP($Q171,'Threshold Summary'!$Y:$Y,'Threshold Summary'!$L:$L,"")/5+2)*pow*atk/def)/50)+2)),modifier,stab*eff,AVERAGE(ARRAYFORMULA(FLOOR(base*modifier*SEQUENCE(16,1,85,1)/100)))/(FLOOR(((2*XLOOKUP('Boss Editor'!$C$4,'Pokemon Editor'!$A:$A,'Pokemon Editor'!$E:$E,0)+31+FLOOR('Boss Editor'!$G$4/4))*'Boss Editor'!$D$4)/100)+'Boss Editor'!$D$4+10)),0)</f>
        <v/>
      </c>
      <c r="O171" s="3">
        <f>IF(N171&gt;=1,"OHKO",IF(N171&gt;=0.5,"2HKO",IF(N171&gt;=0.333,"3HKO",IF(N171&gt;=0.25,"4HKO","5HKO+"))))</f>
        <v/>
      </c>
      <c r="P171" s="3" t="inlineStr">
        <is>
          <t>Live from editable databases</t>
        </is>
      </c>
      <c r="Q171" s="3" t="inlineStr">
        <is>
          <t>SPECIES_MUDKIP</t>
        </is>
      </c>
      <c r="R171" s="3" t="n">
        <v>10</v>
      </c>
    </row>
    <row r="172">
      <c r="A172" s="3">
        <f>XLOOKUP($Q172,'Threshold Summary'!$Y:$Y,'Threshold Summary'!$A:$A,"")</f>
        <v/>
      </c>
      <c r="B172" s="3">
        <f>XLOOKUP($Q172,'Threshold Summary'!$Y:$Y,'Threshold Summary'!$M:$M,"")</f>
        <v/>
      </c>
      <c r="C172" s="3">
        <f>XLOOKUP($Q172,'Threshold Summary'!$Y:$Y,'Threshold Summary'!$N:$N,"")</f>
        <v/>
      </c>
      <c r="D172" s="3">
        <f>IFERROR(INDEX(FILTER('Learnset Editor'!$D$2:$D,'Learnset Editor'!$A$2:$A=XLOOKUP($Q172,'Threshold Summary'!$Y:$Y,'Threshold Summary'!$K:$K,""),'Learnset Editor'!$C$2:$C&lt;=XLOOKUP($Q172,'Threshold Summary'!$Y:$Y,'Threshold Summary'!$L:$L,"")),$R172),"")</f>
        <v/>
      </c>
      <c r="E172" s="3">
        <f>XLOOKUP(D172,'Move Editor'!$B:$B,'Move Editor'!$C:$C,"")</f>
        <v/>
      </c>
      <c r="F172" s="3">
        <f>XLOOKUP(D172,'Move Editor'!$B:$B,'Move Editor'!$D:$D,"")</f>
        <v/>
      </c>
      <c r="G172" s="3">
        <f>XLOOKUP(D172,'Move Editor'!$B:$B,'Move Editor'!$E:$E,0)</f>
        <v/>
      </c>
      <c r="H172" s="3">
        <f>XLOOKUP(D172,'Move Editor'!$B:$B,'Move Editor'!$F:$F,0)</f>
        <v/>
      </c>
      <c r="I172" s="3">
        <f>(INDEX('Type Chart'!$B:$S,MATCH(E172,'Type Chart'!$A:$A,0),MATCH(XLOOKUP('Boss Editor'!$C$4,'Pokemon Editor'!$A:$A,'Pokemon Editor'!$C:$C,""),'Type Chart'!$B$1:$S$1,0))*IF(XLOOKUP('Boss Editor'!$C$4,'Pokemon Editor'!$A:$A,'Pokemon Editor'!$D:$D,"")="",1,INDEX('Type Chart'!$B:$S,MATCH(E172,'Type Chart'!$A:$A,0),MATCH(XLOOKUP('Boss Editor'!$C$4,'Pokemon Editor'!$A:$A,'Pokemon Editor'!$D:$D,""),'Type Chart'!$B$1:$S$1,0))))</f>
        <v/>
      </c>
      <c r="J172" s="3">
        <f>IFERROR(LET(mtype,XLOOKUP($D172,'Move Editor'!$B:$B,'Move Editor'!$C:$C,""),cat,XLOOKUP($D172,'Move Editor'!$B:$B,'Move Editor'!$D:$D,""),pow,XLOOKUP($D172,'Move Editor'!$B:$B,'Move Editor'!$E:$E,0),acc,XLOOKUP($D172,'Move Editor'!$B:$B,'Move Editor'!$F:$F,100),atk,IF(cat="Physical",FLOOR((FLOOR(((2*XLOOKUP(XLOOKUP($Q172,'Threshold Summary'!$Y:$Y,'Threshold Summary'!$K:$K,""),'Pokemon Editor'!$A:$A,'Pokemon Editor'!$F:$F,0)+31+FLOOR(XLOOKUP($Q172,'Threshold Summary'!$Y:$Y,'Threshold Summary'!$P:$P,"")/4))*XLOOKUP($Q172,'Threshold Summary'!$Y:$Y,'Threshold Summary'!$L:$L,""))/100)+5)*XLOOKUP(XLOOKUP($Q172,'Threshold Summary'!$Y:$Y,'Threshold Summary'!$M:$M,""),'Nature Editor'!$A:$A,'Nature Editor'!$B:$B,1)),FLOOR((FLOOR(((2*XLOOKUP(XLOOKUP($Q172,'Threshold Summary'!$Y:$Y,'Threshold Summary'!$K:$K,""),'Pokemon Editor'!$A:$A,'Pokemon Editor'!$H:$H,0)+31+FLOOR(XLOOKUP($Q172,'Threshold Summary'!$Y:$Y,'Threshold Summary'!$R:$R,"")/4))*XLOOKUP($Q172,'Threshold Summary'!$Y:$Y,'Threshold Summary'!$L:$L,""))/100)+5)*XLOOKUP(XLOOKUP($Q172,'Threshold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Editor'!$E:$E,1))),stab,IF(OR(mtype=XLOOKUP(XLOOKUP($Q172,'Threshold Summary'!$Y:$Y,'Threshold Summary'!$K:$K,""),'Pokemon Editor'!$A:$A,'Pokemon Editor'!$C:$C,""),mtype=XLOOKUP(XLOOKUP($Q172,'Threshold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Chart'!$B$1:$S$1,0)))),base,IF(OR(cat="Status",pow=0),0,FLOOR(FLOOR(FLOOR((2*XLOOKUP($Q172,'Threshold Summary'!$Y:$Y,'Threshold Summary'!$L:$L,"")/5+2)*pow*atk/def)/50)+2)),modifier,stab*eff,FLOOR(base*modifier*0.85)),0)</f>
        <v/>
      </c>
      <c r="K172" s="3">
        <f>IFERROR(LET(mtype,XLOOKUP($D172,'Move Editor'!$B:$B,'Move Editor'!$C:$C,""),cat,XLOOKUP($D172,'Move Editor'!$B:$B,'Move Editor'!$D:$D,""),pow,XLOOKUP($D172,'Move Editor'!$B:$B,'Move Editor'!$E:$E,0),acc,XLOOKUP($D172,'Move Editor'!$B:$B,'Move Editor'!$F:$F,100),atk,IF(cat="Physical",FLOOR((FLOOR(((2*XLOOKUP(XLOOKUP($Q172,'Threshold Summary'!$Y:$Y,'Threshold Summary'!$K:$K,""),'Pokemon Editor'!$A:$A,'Pokemon Editor'!$F:$F,0)+31+FLOOR(XLOOKUP($Q172,'Threshold Summary'!$Y:$Y,'Threshold Summary'!$P:$P,"")/4))*XLOOKUP($Q172,'Threshold Summary'!$Y:$Y,'Threshold Summary'!$L:$L,""))/100)+5)*XLOOKUP(XLOOKUP($Q172,'Threshold Summary'!$Y:$Y,'Threshold Summary'!$M:$M,""),'Nature Editor'!$A:$A,'Nature Editor'!$B:$B,1)),FLOOR((FLOOR(((2*XLOOKUP(XLOOKUP($Q172,'Threshold Summary'!$Y:$Y,'Threshold Summary'!$K:$K,""),'Pokemon Editor'!$A:$A,'Pokemon Editor'!$H:$H,0)+31+FLOOR(XLOOKUP($Q172,'Threshold Summary'!$Y:$Y,'Threshold Summary'!$R:$R,"")/4))*XLOOKUP($Q172,'Threshold Summary'!$Y:$Y,'Threshold Summary'!$L:$L,""))/100)+5)*XLOOKUP(XLOOKUP($Q172,'Threshold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Editor'!$E:$E,1))),stab,IF(OR(mtype=XLOOKUP(XLOOKUP($Q172,'Threshold Summary'!$Y:$Y,'Threshold Summary'!$K:$K,""),'Pokemon Editor'!$A:$A,'Pokemon Editor'!$C:$C,""),mtype=XLOOKUP(XLOOKUP($Q172,'Threshold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Chart'!$B$1:$S$1,0)))),base,IF(OR(cat="Status",pow=0),0,FLOOR(FLOOR(FLOOR((2*XLOOKUP($Q172,'Threshold Summary'!$Y:$Y,'Threshold Summary'!$L:$L,"")/5+2)*pow*atk/def)/50)+2)),modifier,stab*eff,FLOOR(base*modifier)),0)</f>
        <v/>
      </c>
      <c r="L172" s="3">
        <f>IFERROR(LET(mtype,XLOOKUP($D172,'Move Editor'!$B:$B,'Move Editor'!$C:$C,""),cat,XLOOKUP($D172,'Move Editor'!$B:$B,'Move Editor'!$D:$D,""),pow,XLOOKUP($D172,'Move Editor'!$B:$B,'Move Editor'!$E:$E,0),acc,XLOOKUP($D172,'Move Editor'!$B:$B,'Move Editor'!$F:$F,100),atk,IF(cat="Physical",FLOOR((FLOOR(((2*XLOOKUP(XLOOKUP($Q172,'Threshold Summary'!$Y:$Y,'Threshold Summary'!$K:$K,""),'Pokemon Editor'!$A:$A,'Pokemon Editor'!$F:$F,0)+31+FLOOR(XLOOKUP($Q172,'Threshold Summary'!$Y:$Y,'Threshold Summary'!$P:$P,"")/4))*XLOOKUP($Q172,'Threshold Summary'!$Y:$Y,'Threshold Summary'!$L:$L,""))/100)+5)*XLOOKUP(XLOOKUP($Q172,'Threshold Summary'!$Y:$Y,'Threshold Summary'!$M:$M,""),'Nature Editor'!$A:$A,'Nature Editor'!$B:$B,1)),FLOOR((FLOOR(((2*XLOOKUP(XLOOKUP($Q172,'Threshold Summary'!$Y:$Y,'Threshold Summary'!$K:$K,""),'Pokemon Editor'!$A:$A,'Pokemon Editor'!$H:$H,0)+31+FLOOR(XLOOKUP($Q172,'Threshold Summary'!$Y:$Y,'Threshold Summary'!$R:$R,"")/4))*XLOOKUP($Q172,'Threshold Summary'!$Y:$Y,'Threshold Summary'!$L:$L,""))/100)+5)*XLOOKUP(XLOOKUP($Q172,'Threshold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Editor'!$E:$E,1))),stab,IF(OR(mtype=XLOOKUP(XLOOKUP($Q172,'Threshold Summary'!$Y:$Y,'Threshold Summary'!$K:$K,""),'Pokemon Editor'!$A:$A,'Pokemon Editor'!$C:$C,""),mtype=XLOOKUP(XLOOKUP($Q172,'Threshold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Chart'!$B$1:$S$1,0)))),base,IF(OR(cat="Status",pow=0),0,FLOOR(FLOOR(FLOOR((2*XLOOKUP($Q172,'Threshold Summary'!$Y:$Y,'Threshold Summary'!$L:$L,"")/5+2)*pow*atk/def)/50)+2)),modifier,stab*eff,AVERAGE(ARRAYFORMULA(FLOOR(base*modifier*SEQUENCE(16,1,85,1)/100)))),0)</f>
        <v/>
      </c>
      <c r="M172" s="3">
        <f>IFERROR(LET(mtype,XLOOKUP($D172,'Move Editor'!$B:$B,'Move Editor'!$C:$C,""),cat,XLOOKUP($D172,'Move Editor'!$B:$B,'Move Editor'!$D:$D,""),pow,XLOOKUP($D172,'Move Editor'!$B:$B,'Move Editor'!$E:$E,0),acc,XLOOKUP($D172,'Move Editor'!$B:$B,'Move Editor'!$F:$F,100),atk,IF(cat="Physical",FLOOR((FLOOR(((2*XLOOKUP(XLOOKUP($Q172,'Threshold Summary'!$Y:$Y,'Threshold Summary'!$K:$K,""),'Pokemon Editor'!$A:$A,'Pokemon Editor'!$F:$F,0)+31+FLOOR(XLOOKUP($Q172,'Threshold Summary'!$Y:$Y,'Threshold Summary'!$P:$P,"")/4))*XLOOKUP($Q172,'Threshold Summary'!$Y:$Y,'Threshold Summary'!$L:$L,""))/100)+5)*XLOOKUP(XLOOKUP($Q172,'Threshold Summary'!$Y:$Y,'Threshold Summary'!$M:$M,""),'Nature Editor'!$A:$A,'Nature Editor'!$B:$B,1)),FLOOR((FLOOR(((2*XLOOKUP(XLOOKUP($Q172,'Threshold Summary'!$Y:$Y,'Threshold Summary'!$K:$K,""),'Pokemon Editor'!$A:$A,'Pokemon Editor'!$H:$H,0)+31+FLOOR(XLOOKUP($Q172,'Threshold Summary'!$Y:$Y,'Threshold Summary'!$R:$R,"")/4))*XLOOKUP($Q172,'Threshold Summary'!$Y:$Y,'Threshold Summary'!$L:$L,""))/100)+5)*XLOOKUP(XLOOKUP($Q172,'Threshold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Editor'!$E:$E,1))),stab,IF(OR(mtype=XLOOKUP(XLOOKUP($Q172,'Threshold Summary'!$Y:$Y,'Threshold Summary'!$K:$K,""),'Pokemon Editor'!$A:$A,'Pokemon Editor'!$C:$C,""),mtype=XLOOKUP(XLOOKUP($Q172,'Threshold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Chart'!$B$1:$S$1,0)))),base,IF(OR(cat="Status",pow=0),0,FLOOR(FLOOR(FLOOR((2*XLOOKUP($Q172,'Threshold Summary'!$Y:$Y,'Threshold Summary'!$L:$L,"")/5+2)*pow*atk/def)/50)+2)),modifier,stab*eff,AVERAGE(ARRAYFORMULA(FLOOR(base*modifier*SEQUENCE(16,1,85,1)/100)))*MIN(1,acc/100)),0)</f>
        <v/>
      </c>
      <c r="N172" s="4">
        <f>IFERROR(LET(mtype,XLOOKUP($D172,'Move Editor'!$B:$B,'Move Editor'!$C:$C,""),cat,XLOOKUP($D172,'Move Editor'!$B:$B,'Move Editor'!$D:$D,""),pow,XLOOKUP($D172,'Move Editor'!$B:$B,'Move Editor'!$E:$E,0),acc,XLOOKUP($D172,'Move Editor'!$B:$B,'Move Editor'!$F:$F,100),atk,IF(cat="Physical",FLOOR((FLOOR(((2*XLOOKUP(XLOOKUP($Q172,'Threshold Summary'!$Y:$Y,'Threshold Summary'!$K:$K,""),'Pokemon Editor'!$A:$A,'Pokemon Editor'!$F:$F,0)+31+FLOOR(XLOOKUP($Q172,'Threshold Summary'!$Y:$Y,'Threshold Summary'!$P:$P,"")/4))*XLOOKUP($Q172,'Threshold Summary'!$Y:$Y,'Threshold Summary'!$L:$L,""))/100)+5)*XLOOKUP(XLOOKUP($Q172,'Threshold Summary'!$Y:$Y,'Threshold Summary'!$M:$M,""),'Nature Editor'!$A:$A,'Nature Editor'!$B:$B,1)),FLOOR((FLOOR(((2*XLOOKUP(XLOOKUP($Q172,'Threshold Summary'!$Y:$Y,'Threshold Summary'!$K:$K,""),'Pokemon Editor'!$A:$A,'Pokemon Editor'!$H:$H,0)+31+FLOOR(XLOOKUP($Q172,'Threshold Summary'!$Y:$Y,'Threshold Summary'!$R:$R,"")/4))*XLOOKUP($Q172,'Threshold Summary'!$Y:$Y,'Threshold Summary'!$L:$L,""))/100)+5)*XLOOKUP(XLOOKUP($Q172,'Threshold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Editor'!$E:$E,1))),stab,IF(OR(mtype=XLOOKUP(XLOOKUP($Q172,'Threshold Summary'!$Y:$Y,'Threshold Summary'!$K:$K,""),'Pokemon Editor'!$A:$A,'Pokemon Editor'!$C:$C,""),mtype=XLOOKUP(XLOOKUP($Q172,'Threshold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Chart'!$B$1:$S$1,0)))),base,IF(OR(cat="Status",pow=0),0,FLOOR(FLOOR(FLOOR((2*XLOOKUP($Q172,'Threshold Summary'!$Y:$Y,'Threshold Summary'!$L:$L,"")/5+2)*pow*atk/def)/50)+2)),modifier,stab*eff,AVERAGE(ARRAYFORMULA(FLOOR(base*modifier*SEQUENCE(16,1,85,1)/100)))/(FLOOR(((2*XLOOKUP('Boss Editor'!$C$4,'Pokemon Editor'!$A:$A,'Pokemon Editor'!$E:$E,0)+31+FLOOR('Boss Editor'!$G$4/4))*'Boss Editor'!$D$4)/100)+'Boss Editor'!$D$4+10)),0)</f>
        <v/>
      </c>
      <c r="O172" s="3">
        <f>IF(N172&gt;=1,"OHKO",IF(N172&gt;=0.5,"2HKO",IF(N172&gt;=0.333,"3HKO",IF(N172&gt;=0.25,"4HKO","5HKO+"))))</f>
        <v/>
      </c>
      <c r="P172" s="3" t="inlineStr">
        <is>
          <t>Live from editable databases</t>
        </is>
      </c>
      <c r="Q172" s="3" t="inlineStr">
        <is>
          <t>SPECIES_MUDKIP</t>
        </is>
      </c>
      <c r="R172" s="3" t="n">
        <v>11</v>
      </c>
    </row>
    <row r="173">
      <c r="A173" s="3">
        <f>XLOOKUP($Q173,'Threshold Summary'!$Y:$Y,'Threshold Summary'!$A:$A,"")</f>
        <v/>
      </c>
      <c r="B173" s="3">
        <f>XLOOKUP($Q173,'Threshold Summary'!$Y:$Y,'Threshold Summary'!$M:$M,"")</f>
        <v/>
      </c>
      <c r="C173" s="3">
        <f>XLOOKUP($Q173,'Threshold Summary'!$Y:$Y,'Threshold Summary'!$N:$N,"")</f>
        <v/>
      </c>
      <c r="D173" s="3">
        <f>IFERROR(INDEX(FILTER('Learnset Editor'!$D$2:$D,'Learnset Editor'!$A$2:$A=XLOOKUP($Q173,'Threshold Summary'!$Y:$Y,'Threshold Summary'!$K:$K,""),'Learnset Editor'!$C$2:$C&lt;=XLOOKUP($Q173,'Threshold Summary'!$Y:$Y,'Threshold Summary'!$L:$L,"")),$R173),"")</f>
        <v/>
      </c>
      <c r="E173" s="3">
        <f>XLOOKUP(D173,'Move Editor'!$B:$B,'Move Editor'!$C:$C,"")</f>
        <v/>
      </c>
      <c r="F173" s="3">
        <f>XLOOKUP(D173,'Move Editor'!$B:$B,'Move Editor'!$D:$D,"")</f>
        <v/>
      </c>
      <c r="G173" s="3">
        <f>XLOOKUP(D173,'Move Editor'!$B:$B,'Move Editor'!$E:$E,0)</f>
        <v/>
      </c>
      <c r="H173" s="3">
        <f>XLOOKUP(D173,'Move Editor'!$B:$B,'Move Editor'!$F:$F,0)</f>
        <v/>
      </c>
      <c r="I173" s="3">
        <f>(INDEX('Type Chart'!$B:$S,MATCH(E173,'Type Chart'!$A:$A,0),MATCH(XLOOKUP('Boss Editor'!$C$4,'Pokemon Editor'!$A:$A,'Pokemon Editor'!$C:$C,""),'Type Chart'!$B$1:$S$1,0))*IF(XLOOKUP('Boss Editor'!$C$4,'Pokemon Editor'!$A:$A,'Pokemon Editor'!$D:$D,"")="",1,INDEX('Type Chart'!$B:$S,MATCH(E173,'Type Chart'!$A:$A,0),MATCH(XLOOKUP('Boss Editor'!$C$4,'Pokemon Editor'!$A:$A,'Pokemon Editor'!$D:$D,""),'Type Chart'!$B$1:$S$1,0))))</f>
        <v/>
      </c>
      <c r="J173" s="3">
        <f>IFERROR(LET(mtype,XLOOKUP($D173,'Move Editor'!$B:$B,'Move Editor'!$C:$C,""),cat,XLOOKUP($D173,'Move Editor'!$B:$B,'Move Editor'!$D:$D,""),pow,XLOOKUP($D173,'Move Editor'!$B:$B,'Move Editor'!$E:$E,0),acc,XLOOKUP($D173,'Move Editor'!$B:$B,'Move Editor'!$F:$F,100),atk,IF(cat="Physical",FLOOR((FLOOR(((2*XLOOKUP(XLOOKUP($Q173,'Threshold Summary'!$Y:$Y,'Threshold Summary'!$K:$K,""),'Pokemon Editor'!$A:$A,'Pokemon Editor'!$F:$F,0)+31+FLOOR(XLOOKUP($Q173,'Threshold Summary'!$Y:$Y,'Threshold Summary'!$P:$P,"")/4))*XLOOKUP($Q173,'Threshold Summary'!$Y:$Y,'Threshold Summary'!$L:$L,""))/100)+5)*XLOOKUP(XLOOKUP($Q173,'Threshold Summary'!$Y:$Y,'Threshold Summary'!$M:$M,""),'Nature Editor'!$A:$A,'Nature Editor'!$B:$B,1)),FLOOR((FLOOR(((2*XLOOKUP(XLOOKUP($Q173,'Threshold Summary'!$Y:$Y,'Threshold Summary'!$K:$K,""),'Pokemon Editor'!$A:$A,'Pokemon Editor'!$H:$H,0)+31+FLOOR(XLOOKUP($Q173,'Threshold Summary'!$Y:$Y,'Threshold Summary'!$R:$R,"")/4))*XLOOKUP($Q173,'Threshold Summary'!$Y:$Y,'Threshold Summary'!$L:$L,""))/100)+5)*XLOOKUP(XLOOKUP($Q173,'Threshold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Editor'!$E:$E,1))),stab,IF(OR(mtype=XLOOKUP(XLOOKUP($Q173,'Threshold Summary'!$Y:$Y,'Threshold Summary'!$K:$K,""),'Pokemon Editor'!$A:$A,'Pokemon Editor'!$C:$C,""),mtype=XLOOKUP(XLOOKUP($Q173,'Threshold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Chart'!$B$1:$S$1,0)))),base,IF(OR(cat="Status",pow=0),0,FLOOR(FLOOR(FLOOR((2*XLOOKUP($Q173,'Threshold Summary'!$Y:$Y,'Threshold Summary'!$L:$L,"")/5+2)*pow*atk/def)/50)+2)),modifier,stab*eff,FLOOR(base*modifier*0.85)),0)</f>
        <v/>
      </c>
      <c r="K173" s="3">
        <f>IFERROR(LET(mtype,XLOOKUP($D173,'Move Editor'!$B:$B,'Move Editor'!$C:$C,""),cat,XLOOKUP($D173,'Move Editor'!$B:$B,'Move Editor'!$D:$D,""),pow,XLOOKUP($D173,'Move Editor'!$B:$B,'Move Editor'!$E:$E,0),acc,XLOOKUP($D173,'Move Editor'!$B:$B,'Move Editor'!$F:$F,100),atk,IF(cat="Physical",FLOOR((FLOOR(((2*XLOOKUP(XLOOKUP($Q173,'Threshold Summary'!$Y:$Y,'Threshold Summary'!$K:$K,""),'Pokemon Editor'!$A:$A,'Pokemon Editor'!$F:$F,0)+31+FLOOR(XLOOKUP($Q173,'Threshold Summary'!$Y:$Y,'Threshold Summary'!$P:$P,"")/4))*XLOOKUP($Q173,'Threshold Summary'!$Y:$Y,'Threshold Summary'!$L:$L,""))/100)+5)*XLOOKUP(XLOOKUP($Q173,'Threshold Summary'!$Y:$Y,'Threshold Summary'!$M:$M,""),'Nature Editor'!$A:$A,'Nature Editor'!$B:$B,1)),FLOOR((FLOOR(((2*XLOOKUP(XLOOKUP($Q173,'Threshold Summary'!$Y:$Y,'Threshold Summary'!$K:$K,""),'Pokemon Editor'!$A:$A,'Pokemon Editor'!$H:$H,0)+31+FLOOR(XLOOKUP($Q173,'Threshold Summary'!$Y:$Y,'Threshold Summary'!$R:$R,"")/4))*XLOOKUP($Q173,'Threshold Summary'!$Y:$Y,'Threshold Summary'!$L:$L,""))/100)+5)*XLOOKUP(XLOOKUP($Q173,'Threshold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Editor'!$E:$E,1))),stab,IF(OR(mtype=XLOOKUP(XLOOKUP($Q173,'Threshold Summary'!$Y:$Y,'Threshold Summary'!$K:$K,""),'Pokemon Editor'!$A:$A,'Pokemon Editor'!$C:$C,""),mtype=XLOOKUP(XLOOKUP($Q173,'Threshold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Chart'!$B$1:$S$1,0)))),base,IF(OR(cat="Status",pow=0),0,FLOOR(FLOOR(FLOOR((2*XLOOKUP($Q173,'Threshold Summary'!$Y:$Y,'Threshold Summary'!$L:$L,"")/5+2)*pow*atk/def)/50)+2)),modifier,stab*eff,FLOOR(base*modifier)),0)</f>
        <v/>
      </c>
      <c r="L173" s="3">
        <f>IFERROR(LET(mtype,XLOOKUP($D173,'Move Editor'!$B:$B,'Move Editor'!$C:$C,""),cat,XLOOKUP($D173,'Move Editor'!$B:$B,'Move Editor'!$D:$D,""),pow,XLOOKUP($D173,'Move Editor'!$B:$B,'Move Editor'!$E:$E,0),acc,XLOOKUP($D173,'Move Editor'!$B:$B,'Move Editor'!$F:$F,100),atk,IF(cat="Physical",FLOOR((FLOOR(((2*XLOOKUP(XLOOKUP($Q173,'Threshold Summary'!$Y:$Y,'Threshold Summary'!$K:$K,""),'Pokemon Editor'!$A:$A,'Pokemon Editor'!$F:$F,0)+31+FLOOR(XLOOKUP($Q173,'Threshold Summary'!$Y:$Y,'Threshold Summary'!$P:$P,"")/4))*XLOOKUP($Q173,'Threshold Summary'!$Y:$Y,'Threshold Summary'!$L:$L,""))/100)+5)*XLOOKUP(XLOOKUP($Q173,'Threshold Summary'!$Y:$Y,'Threshold Summary'!$M:$M,""),'Nature Editor'!$A:$A,'Nature Editor'!$B:$B,1)),FLOOR((FLOOR(((2*XLOOKUP(XLOOKUP($Q173,'Threshold Summary'!$Y:$Y,'Threshold Summary'!$K:$K,""),'Pokemon Editor'!$A:$A,'Pokemon Editor'!$H:$H,0)+31+FLOOR(XLOOKUP($Q173,'Threshold Summary'!$Y:$Y,'Threshold Summary'!$R:$R,"")/4))*XLOOKUP($Q173,'Threshold Summary'!$Y:$Y,'Threshold Summary'!$L:$L,""))/100)+5)*XLOOKUP(XLOOKUP($Q173,'Threshold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Editor'!$E:$E,1))),stab,IF(OR(mtype=XLOOKUP(XLOOKUP($Q173,'Threshold Summary'!$Y:$Y,'Threshold Summary'!$K:$K,""),'Pokemon Editor'!$A:$A,'Pokemon Editor'!$C:$C,""),mtype=XLOOKUP(XLOOKUP($Q173,'Threshold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Chart'!$B$1:$S$1,0)))),base,IF(OR(cat="Status",pow=0),0,FLOOR(FLOOR(FLOOR((2*XLOOKUP($Q173,'Threshold Summary'!$Y:$Y,'Threshold Summary'!$L:$L,"")/5+2)*pow*atk/def)/50)+2)),modifier,stab*eff,AVERAGE(ARRAYFORMULA(FLOOR(base*modifier*SEQUENCE(16,1,85,1)/100)))),0)</f>
        <v/>
      </c>
      <c r="M173" s="3">
        <f>IFERROR(LET(mtype,XLOOKUP($D173,'Move Editor'!$B:$B,'Move Editor'!$C:$C,""),cat,XLOOKUP($D173,'Move Editor'!$B:$B,'Move Editor'!$D:$D,""),pow,XLOOKUP($D173,'Move Editor'!$B:$B,'Move Editor'!$E:$E,0),acc,XLOOKUP($D173,'Move Editor'!$B:$B,'Move Editor'!$F:$F,100),atk,IF(cat="Physical",FLOOR((FLOOR(((2*XLOOKUP(XLOOKUP($Q173,'Threshold Summary'!$Y:$Y,'Threshold Summary'!$K:$K,""),'Pokemon Editor'!$A:$A,'Pokemon Editor'!$F:$F,0)+31+FLOOR(XLOOKUP($Q173,'Threshold Summary'!$Y:$Y,'Threshold Summary'!$P:$P,"")/4))*XLOOKUP($Q173,'Threshold Summary'!$Y:$Y,'Threshold Summary'!$L:$L,""))/100)+5)*XLOOKUP(XLOOKUP($Q173,'Threshold Summary'!$Y:$Y,'Threshold Summary'!$M:$M,""),'Nature Editor'!$A:$A,'Nature Editor'!$B:$B,1)),FLOOR((FLOOR(((2*XLOOKUP(XLOOKUP($Q173,'Threshold Summary'!$Y:$Y,'Threshold Summary'!$K:$K,""),'Pokemon Editor'!$A:$A,'Pokemon Editor'!$H:$H,0)+31+FLOOR(XLOOKUP($Q173,'Threshold Summary'!$Y:$Y,'Threshold Summary'!$R:$R,"")/4))*XLOOKUP($Q173,'Threshold Summary'!$Y:$Y,'Threshold Summary'!$L:$L,""))/100)+5)*XLOOKUP(XLOOKUP($Q173,'Threshold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Editor'!$E:$E,1))),stab,IF(OR(mtype=XLOOKUP(XLOOKUP($Q173,'Threshold Summary'!$Y:$Y,'Threshold Summary'!$K:$K,""),'Pokemon Editor'!$A:$A,'Pokemon Editor'!$C:$C,""),mtype=XLOOKUP(XLOOKUP($Q173,'Threshold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Chart'!$B$1:$S$1,0)))),base,IF(OR(cat="Status",pow=0),0,FLOOR(FLOOR(FLOOR((2*XLOOKUP($Q173,'Threshold Summary'!$Y:$Y,'Threshold Summary'!$L:$L,"")/5+2)*pow*atk/def)/50)+2)),modifier,stab*eff,AVERAGE(ARRAYFORMULA(FLOOR(base*modifier*SEQUENCE(16,1,85,1)/100)))*MIN(1,acc/100)),0)</f>
        <v/>
      </c>
      <c r="N173" s="4">
        <f>IFERROR(LET(mtype,XLOOKUP($D173,'Move Editor'!$B:$B,'Move Editor'!$C:$C,""),cat,XLOOKUP($D173,'Move Editor'!$B:$B,'Move Editor'!$D:$D,""),pow,XLOOKUP($D173,'Move Editor'!$B:$B,'Move Editor'!$E:$E,0),acc,XLOOKUP($D173,'Move Editor'!$B:$B,'Move Editor'!$F:$F,100),atk,IF(cat="Physical",FLOOR((FLOOR(((2*XLOOKUP(XLOOKUP($Q173,'Threshold Summary'!$Y:$Y,'Threshold Summary'!$K:$K,""),'Pokemon Editor'!$A:$A,'Pokemon Editor'!$F:$F,0)+31+FLOOR(XLOOKUP($Q173,'Threshold Summary'!$Y:$Y,'Threshold Summary'!$P:$P,"")/4))*XLOOKUP($Q173,'Threshold Summary'!$Y:$Y,'Threshold Summary'!$L:$L,""))/100)+5)*XLOOKUP(XLOOKUP($Q173,'Threshold Summary'!$Y:$Y,'Threshold Summary'!$M:$M,""),'Nature Editor'!$A:$A,'Nature Editor'!$B:$B,1)),FLOOR((FLOOR(((2*XLOOKUP(XLOOKUP($Q173,'Threshold Summary'!$Y:$Y,'Threshold Summary'!$K:$K,""),'Pokemon Editor'!$A:$A,'Pokemon Editor'!$H:$H,0)+31+FLOOR(XLOOKUP($Q173,'Threshold Summary'!$Y:$Y,'Threshold Summary'!$R:$R,"")/4))*XLOOKUP($Q173,'Threshold Summary'!$Y:$Y,'Threshold Summary'!$L:$L,""))/100)+5)*XLOOKUP(XLOOKUP($Q173,'Threshold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Editor'!$E:$E,1))),stab,IF(OR(mtype=XLOOKUP(XLOOKUP($Q173,'Threshold Summary'!$Y:$Y,'Threshold Summary'!$K:$K,""),'Pokemon Editor'!$A:$A,'Pokemon Editor'!$C:$C,""),mtype=XLOOKUP(XLOOKUP($Q173,'Threshold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Chart'!$B$1:$S$1,0)))),base,IF(OR(cat="Status",pow=0),0,FLOOR(FLOOR(FLOOR((2*XLOOKUP($Q173,'Threshold Summary'!$Y:$Y,'Threshold Summary'!$L:$L,"")/5+2)*pow*atk/def)/50)+2)),modifier,stab*eff,AVERAGE(ARRAYFORMULA(FLOOR(base*modifier*SEQUENCE(16,1,85,1)/100)))/(FLOOR(((2*XLOOKUP('Boss Editor'!$C$4,'Pokemon Editor'!$A:$A,'Pokemon Editor'!$E:$E,0)+31+FLOOR('Boss Editor'!$G$4/4))*'Boss Editor'!$D$4)/100)+'Boss Editor'!$D$4+10)),0)</f>
        <v/>
      </c>
      <c r="O173" s="3">
        <f>IF(N173&gt;=1,"OHKO",IF(N173&gt;=0.5,"2HKO",IF(N173&gt;=0.333,"3HKO",IF(N173&gt;=0.25,"4HKO","5HKO+"))))</f>
        <v/>
      </c>
      <c r="P173" s="3" t="inlineStr">
        <is>
          <t>Live from editable databases</t>
        </is>
      </c>
      <c r="Q173" s="3" t="inlineStr">
        <is>
          <t>SPECIES_MUDKIP</t>
        </is>
      </c>
      <c r="R173" s="3" t="n">
        <v>12</v>
      </c>
    </row>
    <row r="174">
      <c r="A174" s="3">
        <f>XLOOKUP($Q174,'Threshold Summary'!$Y:$Y,'Threshold Summary'!$A:$A,"")</f>
        <v/>
      </c>
      <c r="B174" s="3">
        <f>XLOOKUP($Q174,'Threshold Summary'!$Y:$Y,'Threshold Summary'!$M:$M,"")</f>
        <v/>
      </c>
      <c r="C174" s="3">
        <f>XLOOKUP($Q174,'Threshold Summary'!$Y:$Y,'Threshold Summary'!$N:$N,"")</f>
        <v/>
      </c>
      <c r="D174" s="3">
        <f>IFERROR(INDEX(FILTER('Learnset Editor'!$D$2:$D,'Learnset Editor'!$A$2:$A=XLOOKUP($Q174,'Threshold Summary'!$Y:$Y,'Threshold Summary'!$K:$K,""),'Learnset Editor'!$C$2:$C&lt;=XLOOKUP($Q174,'Threshold Summary'!$Y:$Y,'Threshold Summary'!$L:$L,"")),$R174),"")</f>
        <v/>
      </c>
      <c r="E174" s="3">
        <f>XLOOKUP(D174,'Move Editor'!$B:$B,'Move Editor'!$C:$C,"")</f>
        <v/>
      </c>
      <c r="F174" s="3">
        <f>XLOOKUP(D174,'Move Editor'!$B:$B,'Move Editor'!$D:$D,"")</f>
        <v/>
      </c>
      <c r="G174" s="3">
        <f>XLOOKUP(D174,'Move Editor'!$B:$B,'Move Editor'!$E:$E,0)</f>
        <v/>
      </c>
      <c r="H174" s="3">
        <f>XLOOKUP(D174,'Move Editor'!$B:$B,'Move Editor'!$F:$F,0)</f>
        <v/>
      </c>
      <c r="I174" s="3">
        <f>(INDEX('Type Chart'!$B:$S,MATCH(E174,'Type Chart'!$A:$A,0),MATCH(XLOOKUP('Boss Editor'!$C$4,'Pokemon Editor'!$A:$A,'Pokemon Editor'!$C:$C,""),'Type Chart'!$B$1:$S$1,0))*IF(XLOOKUP('Boss Editor'!$C$4,'Pokemon Editor'!$A:$A,'Pokemon Editor'!$D:$D,"")="",1,INDEX('Type Chart'!$B:$S,MATCH(E174,'Type Chart'!$A:$A,0),MATCH(XLOOKUP('Boss Editor'!$C$4,'Pokemon Editor'!$A:$A,'Pokemon Editor'!$D:$D,""),'Type Chart'!$B$1:$S$1,0))))</f>
        <v/>
      </c>
      <c r="J174" s="3">
        <f>IFERROR(LET(mtype,XLOOKUP($D174,'Move Editor'!$B:$B,'Move Editor'!$C:$C,""),cat,XLOOKUP($D174,'Move Editor'!$B:$B,'Move Editor'!$D:$D,""),pow,XLOOKUP($D174,'Move Editor'!$B:$B,'Move Editor'!$E:$E,0),acc,XLOOKUP($D174,'Move Editor'!$B:$B,'Move Editor'!$F:$F,100),atk,IF(cat="Physical",FLOOR((FLOOR(((2*XLOOKUP(XLOOKUP($Q174,'Threshold Summary'!$Y:$Y,'Threshold Summary'!$K:$K,""),'Pokemon Editor'!$A:$A,'Pokemon Editor'!$F:$F,0)+31+FLOOR(XLOOKUP($Q174,'Threshold Summary'!$Y:$Y,'Threshold Summary'!$P:$P,"")/4))*XLOOKUP($Q174,'Threshold Summary'!$Y:$Y,'Threshold Summary'!$L:$L,""))/100)+5)*XLOOKUP(XLOOKUP($Q174,'Threshold Summary'!$Y:$Y,'Threshold Summary'!$M:$M,""),'Nature Editor'!$A:$A,'Nature Editor'!$B:$B,1)),FLOOR((FLOOR(((2*XLOOKUP(XLOOKUP($Q174,'Threshold Summary'!$Y:$Y,'Threshold Summary'!$K:$K,""),'Pokemon Editor'!$A:$A,'Pokemon Editor'!$H:$H,0)+31+FLOOR(XLOOKUP($Q174,'Threshold Summary'!$Y:$Y,'Threshold Summary'!$R:$R,"")/4))*XLOOKUP($Q174,'Threshold Summary'!$Y:$Y,'Threshold Summary'!$L:$L,""))/100)+5)*XLOOKUP(XLOOKUP($Q174,'Threshold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Editor'!$E:$E,1))),stab,IF(OR(mtype=XLOOKUP(XLOOKUP($Q174,'Threshold Summary'!$Y:$Y,'Threshold Summary'!$K:$K,""),'Pokemon Editor'!$A:$A,'Pokemon Editor'!$C:$C,""),mtype=XLOOKUP(XLOOKUP($Q174,'Threshold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Chart'!$B$1:$S$1,0)))),base,IF(OR(cat="Status",pow=0),0,FLOOR(FLOOR(FLOOR((2*XLOOKUP($Q174,'Threshold Summary'!$Y:$Y,'Threshold Summary'!$L:$L,"")/5+2)*pow*atk/def)/50)+2)),modifier,stab*eff,FLOOR(base*modifier*0.85)),0)</f>
        <v/>
      </c>
      <c r="K174" s="3">
        <f>IFERROR(LET(mtype,XLOOKUP($D174,'Move Editor'!$B:$B,'Move Editor'!$C:$C,""),cat,XLOOKUP($D174,'Move Editor'!$B:$B,'Move Editor'!$D:$D,""),pow,XLOOKUP($D174,'Move Editor'!$B:$B,'Move Editor'!$E:$E,0),acc,XLOOKUP($D174,'Move Editor'!$B:$B,'Move Editor'!$F:$F,100),atk,IF(cat="Physical",FLOOR((FLOOR(((2*XLOOKUP(XLOOKUP($Q174,'Threshold Summary'!$Y:$Y,'Threshold Summary'!$K:$K,""),'Pokemon Editor'!$A:$A,'Pokemon Editor'!$F:$F,0)+31+FLOOR(XLOOKUP($Q174,'Threshold Summary'!$Y:$Y,'Threshold Summary'!$P:$P,"")/4))*XLOOKUP($Q174,'Threshold Summary'!$Y:$Y,'Threshold Summary'!$L:$L,""))/100)+5)*XLOOKUP(XLOOKUP($Q174,'Threshold Summary'!$Y:$Y,'Threshold Summary'!$M:$M,""),'Nature Editor'!$A:$A,'Nature Editor'!$B:$B,1)),FLOOR((FLOOR(((2*XLOOKUP(XLOOKUP($Q174,'Threshold Summary'!$Y:$Y,'Threshold Summary'!$K:$K,""),'Pokemon Editor'!$A:$A,'Pokemon Editor'!$H:$H,0)+31+FLOOR(XLOOKUP($Q174,'Threshold Summary'!$Y:$Y,'Threshold Summary'!$R:$R,"")/4))*XLOOKUP($Q174,'Threshold Summary'!$Y:$Y,'Threshold Summary'!$L:$L,""))/100)+5)*XLOOKUP(XLOOKUP($Q174,'Threshold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Editor'!$E:$E,1))),stab,IF(OR(mtype=XLOOKUP(XLOOKUP($Q174,'Threshold Summary'!$Y:$Y,'Threshold Summary'!$K:$K,""),'Pokemon Editor'!$A:$A,'Pokemon Editor'!$C:$C,""),mtype=XLOOKUP(XLOOKUP($Q174,'Threshold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Chart'!$B$1:$S$1,0)))),base,IF(OR(cat="Status",pow=0),0,FLOOR(FLOOR(FLOOR((2*XLOOKUP($Q174,'Threshold Summary'!$Y:$Y,'Threshold Summary'!$L:$L,"")/5+2)*pow*atk/def)/50)+2)),modifier,stab*eff,FLOOR(base*modifier)),0)</f>
        <v/>
      </c>
      <c r="L174" s="3">
        <f>IFERROR(LET(mtype,XLOOKUP($D174,'Move Editor'!$B:$B,'Move Editor'!$C:$C,""),cat,XLOOKUP($D174,'Move Editor'!$B:$B,'Move Editor'!$D:$D,""),pow,XLOOKUP($D174,'Move Editor'!$B:$B,'Move Editor'!$E:$E,0),acc,XLOOKUP($D174,'Move Editor'!$B:$B,'Move Editor'!$F:$F,100),atk,IF(cat="Physical",FLOOR((FLOOR(((2*XLOOKUP(XLOOKUP($Q174,'Threshold Summary'!$Y:$Y,'Threshold Summary'!$K:$K,""),'Pokemon Editor'!$A:$A,'Pokemon Editor'!$F:$F,0)+31+FLOOR(XLOOKUP($Q174,'Threshold Summary'!$Y:$Y,'Threshold Summary'!$P:$P,"")/4))*XLOOKUP($Q174,'Threshold Summary'!$Y:$Y,'Threshold Summary'!$L:$L,""))/100)+5)*XLOOKUP(XLOOKUP($Q174,'Threshold Summary'!$Y:$Y,'Threshold Summary'!$M:$M,""),'Nature Editor'!$A:$A,'Nature Editor'!$B:$B,1)),FLOOR((FLOOR(((2*XLOOKUP(XLOOKUP($Q174,'Threshold Summary'!$Y:$Y,'Threshold Summary'!$K:$K,""),'Pokemon Editor'!$A:$A,'Pokemon Editor'!$H:$H,0)+31+FLOOR(XLOOKUP($Q174,'Threshold Summary'!$Y:$Y,'Threshold Summary'!$R:$R,"")/4))*XLOOKUP($Q174,'Threshold Summary'!$Y:$Y,'Threshold Summary'!$L:$L,""))/100)+5)*XLOOKUP(XLOOKUP($Q174,'Threshold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Editor'!$E:$E,1))),stab,IF(OR(mtype=XLOOKUP(XLOOKUP($Q174,'Threshold Summary'!$Y:$Y,'Threshold Summary'!$K:$K,""),'Pokemon Editor'!$A:$A,'Pokemon Editor'!$C:$C,""),mtype=XLOOKUP(XLOOKUP($Q174,'Threshold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Chart'!$B$1:$S$1,0)))),base,IF(OR(cat="Status",pow=0),0,FLOOR(FLOOR(FLOOR((2*XLOOKUP($Q174,'Threshold Summary'!$Y:$Y,'Threshold Summary'!$L:$L,"")/5+2)*pow*atk/def)/50)+2)),modifier,stab*eff,AVERAGE(ARRAYFORMULA(FLOOR(base*modifier*SEQUENCE(16,1,85,1)/100)))),0)</f>
        <v/>
      </c>
      <c r="M174" s="3">
        <f>IFERROR(LET(mtype,XLOOKUP($D174,'Move Editor'!$B:$B,'Move Editor'!$C:$C,""),cat,XLOOKUP($D174,'Move Editor'!$B:$B,'Move Editor'!$D:$D,""),pow,XLOOKUP($D174,'Move Editor'!$B:$B,'Move Editor'!$E:$E,0),acc,XLOOKUP($D174,'Move Editor'!$B:$B,'Move Editor'!$F:$F,100),atk,IF(cat="Physical",FLOOR((FLOOR(((2*XLOOKUP(XLOOKUP($Q174,'Threshold Summary'!$Y:$Y,'Threshold Summary'!$K:$K,""),'Pokemon Editor'!$A:$A,'Pokemon Editor'!$F:$F,0)+31+FLOOR(XLOOKUP($Q174,'Threshold Summary'!$Y:$Y,'Threshold Summary'!$P:$P,"")/4))*XLOOKUP($Q174,'Threshold Summary'!$Y:$Y,'Threshold Summary'!$L:$L,""))/100)+5)*XLOOKUP(XLOOKUP($Q174,'Threshold Summary'!$Y:$Y,'Threshold Summary'!$M:$M,""),'Nature Editor'!$A:$A,'Nature Editor'!$B:$B,1)),FLOOR((FLOOR(((2*XLOOKUP(XLOOKUP($Q174,'Threshold Summary'!$Y:$Y,'Threshold Summary'!$K:$K,""),'Pokemon Editor'!$A:$A,'Pokemon Editor'!$H:$H,0)+31+FLOOR(XLOOKUP($Q174,'Threshold Summary'!$Y:$Y,'Threshold Summary'!$R:$R,"")/4))*XLOOKUP($Q174,'Threshold Summary'!$Y:$Y,'Threshold Summary'!$L:$L,""))/100)+5)*XLOOKUP(XLOOKUP($Q174,'Threshold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Editor'!$E:$E,1))),stab,IF(OR(mtype=XLOOKUP(XLOOKUP($Q174,'Threshold Summary'!$Y:$Y,'Threshold Summary'!$K:$K,""),'Pokemon Editor'!$A:$A,'Pokemon Editor'!$C:$C,""),mtype=XLOOKUP(XLOOKUP($Q174,'Threshold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Chart'!$B$1:$S$1,0)))),base,IF(OR(cat="Status",pow=0),0,FLOOR(FLOOR(FLOOR((2*XLOOKUP($Q174,'Threshold Summary'!$Y:$Y,'Threshold Summary'!$L:$L,"")/5+2)*pow*atk/def)/50)+2)),modifier,stab*eff,AVERAGE(ARRAYFORMULA(FLOOR(base*modifier*SEQUENCE(16,1,85,1)/100)))*MIN(1,acc/100)),0)</f>
        <v/>
      </c>
      <c r="N174" s="4">
        <f>IFERROR(LET(mtype,XLOOKUP($D174,'Move Editor'!$B:$B,'Move Editor'!$C:$C,""),cat,XLOOKUP($D174,'Move Editor'!$B:$B,'Move Editor'!$D:$D,""),pow,XLOOKUP($D174,'Move Editor'!$B:$B,'Move Editor'!$E:$E,0),acc,XLOOKUP($D174,'Move Editor'!$B:$B,'Move Editor'!$F:$F,100),atk,IF(cat="Physical",FLOOR((FLOOR(((2*XLOOKUP(XLOOKUP($Q174,'Threshold Summary'!$Y:$Y,'Threshold Summary'!$K:$K,""),'Pokemon Editor'!$A:$A,'Pokemon Editor'!$F:$F,0)+31+FLOOR(XLOOKUP($Q174,'Threshold Summary'!$Y:$Y,'Threshold Summary'!$P:$P,"")/4))*XLOOKUP($Q174,'Threshold Summary'!$Y:$Y,'Threshold Summary'!$L:$L,""))/100)+5)*XLOOKUP(XLOOKUP($Q174,'Threshold Summary'!$Y:$Y,'Threshold Summary'!$M:$M,""),'Nature Editor'!$A:$A,'Nature Editor'!$B:$B,1)),FLOOR((FLOOR(((2*XLOOKUP(XLOOKUP($Q174,'Threshold Summary'!$Y:$Y,'Threshold Summary'!$K:$K,""),'Pokemon Editor'!$A:$A,'Pokemon Editor'!$H:$H,0)+31+FLOOR(XLOOKUP($Q174,'Threshold Summary'!$Y:$Y,'Threshold Summary'!$R:$R,"")/4))*XLOOKUP($Q174,'Threshold Summary'!$Y:$Y,'Threshold Summary'!$L:$L,""))/100)+5)*XLOOKUP(XLOOKUP($Q174,'Threshold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Editor'!$E:$E,1))),stab,IF(OR(mtype=XLOOKUP(XLOOKUP($Q174,'Threshold Summary'!$Y:$Y,'Threshold Summary'!$K:$K,""),'Pokemon Editor'!$A:$A,'Pokemon Editor'!$C:$C,""),mtype=XLOOKUP(XLOOKUP($Q174,'Threshold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Chart'!$B$1:$S$1,0)))),base,IF(OR(cat="Status",pow=0),0,FLOOR(FLOOR(FLOOR((2*XLOOKUP($Q174,'Threshold Summary'!$Y:$Y,'Threshold Summary'!$L:$L,"")/5+2)*pow*atk/def)/50)+2)),modifier,stab*eff,AVERAGE(ARRAYFORMULA(FLOOR(base*modifier*SEQUENCE(16,1,85,1)/100)))/(FLOOR(((2*XLOOKUP('Boss Editor'!$C$4,'Pokemon Editor'!$A:$A,'Pokemon Editor'!$E:$E,0)+31+FLOOR('Boss Editor'!$G$4/4))*'Boss Editor'!$D$4)/100)+'Boss Editor'!$D$4+10)),0)</f>
        <v/>
      </c>
      <c r="O174" s="3">
        <f>IF(N174&gt;=1,"OHKO",IF(N174&gt;=0.5,"2HKO",IF(N174&gt;=0.333,"3HKO",IF(N174&gt;=0.25,"4HKO","5HKO+"))))</f>
        <v/>
      </c>
      <c r="P174" s="3" t="inlineStr">
        <is>
          <t>Live from editable databases</t>
        </is>
      </c>
      <c r="Q174" s="3" t="inlineStr">
        <is>
          <t>SPECIES_MUDKIP</t>
        </is>
      </c>
      <c r="R174" s="3" t="n">
        <v>13</v>
      </c>
    </row>
    <row r="175">
      <c r="A175" s="3">
        <f>XLOOKUP($Q175,'Threshold Summary'!$Y:$Y,'Threshold Summary'!$A:$A,"")</f>
        <v/>
      </c>
      <c r="B175" s="3">
        <f>XLOOKUP($Q175,'Threshold Summary'!$Y:$Y,'Threshold Summary'!$M:$M,"")</f>
        <v/>
      </c>
      <c r="C175" s="3">
        <f>XLOOKUP($Q175,'Threshold Summary'!$Y:$Y,'Threshold Summary'!$N:$N,"")</f>
        <v/>
      </c>
      <c r="D175" s="3">
        <f>IFERROR(INDEX(FILTER('Learnset Editor'!$D$2:$D,'Learnset Editor'!$A$2:$A=XLOOKUP($Q175,'Threshold Summary'!$Y:$Y,'Threshold Summary'!$K:$K,""),'Learnset Editor'!$C$2:$C&lt;=XLOOKUP($Q175,'Threshold Summary'!$Y:$Y,'Threshold Summary'!$L:$L,"")),$R175),"")</f>
        <v/>
      </c>
      <c r="E175" s="3">
        <f>XLOOKUP(D175,'Move Editor'!$B:$B,'Move Editor'!$C:$C,"")</f>
        <v/>
      </c>
      <c r="F175" s="3">
        <f>XLOOKUP(D175,'Move Editor'!$B:$B,'Move Editor'!$D:$D,"")</f>
        <v/>
      </c>
      <c r="G175" s="3">
        <f>XLOOKUP(D175,'Move Editor'!$B:$B,'Move Editor'!$E:$E,0)</f>
        <v/>
      </c>
      <c r="H175" s="3">
        <f>XLOOKUP(D175,'Move Editor'!$B:$B,'Move Editor'!$F:$F,0)</f>
        <v/>
      </c>
      <c r="I175" s="3">
        <f>(INDEX('Type Chart'!$B:$S,MATCH(E175,'Type Chart'!$A:$A,0),MATCH(XLOOKUP('Boss Editor'!$C$4,'Pokemon Editor'!$A:$A,'Pokemon Editor'!$C:$C,""),'Type Chart'!$B$1:$S$1,0))*IF(XLOOKUP('Boss Editor'!$C$4,'Pokemon Editor'!$A:$A,'Pokemon Editor'!$D:$D,"")="",1,INDEX('Type Chart'!$B:$S,MATCH(E175,'Type Chart'!$A:$A,0),MATCH(XLOOKUP('Boss Editor'!$C$4,'Pokemon Editor'!$A:$A,'Pokemon Editor'!$D:$D,""),'Type Chart'!$B$1:$S$1,0))))</f>
        <v/>
      </c>
      <c r="J175" s="3">
        <f>IFERROR(LET(mtype,XLOOKUP($D175,'Move Editor'!$B:$B,'Move Editor'!$C:$C,""),cat,XLOOKUP($D175,'Move Editor'!$B:$B,'Move Editor'!$D:$D,""),pow,XLOOKUP($D175,'Move Editor'!$B:$B,'Move Editor'!$E:$E,0),acc,XLOOKUP($D175,'Move Editor'!$B:$B,'Move Editor'!$F:$F,100),atk,IF(cat="Physical",FLOOR((FLOOR(((2*XLOOKUP(XLOOKUP($Q175,'Threshold Summary'!$Y:$Y,'Threshold Summary'!$K:$K,""),'Pokemon Editor'!$A:$A,'Pokemon Editor'!$F:$F,0)+31+FLOOR(XLOOKUP($Q175,'Threshold Summary'!$Y:$Y,'Threshold Summary'!$P:$P,"")/4))*XLOOKUP($Q175,'Threshold Summary'!$Y:$Y,'Threshold Summary'!$L:$L,""))/100)+5)*XLOOKUP(XLOOKUP($Q175,'Threshold Summary'!$Y:$Y,'Threshold Summary'!$M:$M,""),'Nature Editor'!$A:$A,'Nature Editor'!$B:$B,1)),FLOOR((FLOOR(((2*XLOOKUP(XLOOKUP($Q175,'Threshold Summary'!$Y:$Y,'Threshold Summary'!$K:$K,""),'Pokemon Editor'!$A:$A,'Pokemon Editor'!$H:$H,0)+31+FLOOR(XLOOKUP($Q175,'Threshold Summary'!$Y:$Y,'Threshold Summary'!$R:$R,"")/4))*XLOOKUP($Q175,'Threshold Summary'!$Y:$Y,'Threshold Summary'!$L:$L,""))/100)+5)*XLOOKUP(XLOOKUP($Q175,'Threshold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Editor'!$E:$E,1))),stab,IF(OR(mtype=XLOOKUP(XLOOKUP($Q175,'Threshold Summary'!$Y:$Y,'Threshold Summary'!$K:$K,""),'Pokemon Editor'!$A:$A,'Pokemon Editor'!$C:$C,""),mtype=XLOOKUP(XLOOKUP($Q175,'Threshold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Chart'!$B$1:$S$1,0)))),base,IF(OR(cat="Status",pow=0),0,FLOOR(FLOOR(FLOOR((2*XLOOKUP($Q175,'Threshold Summary'!$Y:$Y,'Threshold Summary'!$L:$L,"")/5+2)*pow*atk/def)/50)+2)),modifier,stab*eff,FLOOR(base*modifier*0.85)),0)</f>
        <v/>
      </c>
      <c r="K175" s="3">
        <f>IFERROR(LET(mtype,XLOOKUP($D175,'Move Editor'!$B:$B,'Move Editor'!$C:$C,""),cat,XLOOKUP($D175,'Move Editor'!$B:$B,'Move Editor'!$D:$D,""),pow,XLOOKUP($D175,'Move Editor'!$B:$B,'Move Editor'!$E:$E,0),acc,XLOOKUP($D175,'Move Editor'!$B:$B,'Move Editor'!$F:$F,100),atk,IF(cat="Physical",FLOOR((FLOOR(((2*XLOOKUP(XLOOKUP($Q175,'Threshold Summary'!$Y:$Y,'Threshold Summary'!$K:$K,""),'Pokemon Editor'!$A:$A,'Pokemon Editor'!$F:$F,0)+31+FLOOR(XLOOKUP($Q175,'Threshold Summary'!$Y:$Y,'Threshold Summary'!$P:$P,"")/4))*XLOOKUP($Q175,'Threshold Summary'!$Y:$Y,'Threshold Summary'!$L:$L,""))/100)+5)*XLOOKUP(XLOOKUP($Q175,'Threshold Summary'!$Y:$Y,'Threshold Summary'!$M:$M,""),'Nature Editor'!$A:$A,'Nature Editor'!$B:$B,1)),FLOOR((FLOOR(((2*XLOOKUP(XLOOKUP($Q175,'Threshold Summary'!$Y:$Y,'Threshold Summary'!$K:$K,""),'Pokemon Editor'!$A:$A,'Pokemon Editor'!$H:$H,0)+31+FLOOR(XLOOKUP($Q175,'Threshold Summary'!$Y:$Y,'Threshold Summary'!$R:$R,"")/4))*XLOOKUP($Q175,'Threshold Summary'!$Y:$Y,'Threshold Summary'!$L:$L,""))/100)+5)*XLOOKUP(XLOOKUP($Q175,'Threshold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Editor'!$E:$E,1))),stab,IF(OR(mtype=XLOOKUP(XLOOKUP($Q175,'Threshold Summary'!$Y:$Y,'Threshold Summary'!$K:$K,""),'Pokemon Editor'!$A:$A,'Pokemon Editor'!$C:$C,""),mtype=XLOOKUP(XLOOKUP($Q175,'Threshold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Chart'!$B$1:$S$1,0)))),base,IF(OR(cat="Status",pow=0),0,FLOOR(FLOOR(FLOOR((2*XLOOKUP($Q175,'Threshold Summary'!$Y:$Y,'Threshold Summary'!$L:$L,"")/5+2)*pow*atk/def)/50)+2)),modifier,stab*eff,FLOOR(base*modifier)),0)</f>
        <v/>
      </c>
      <c r="L175" s="3">
        <f>IFERROR(LET(mtype,XLOOKUP($D175,'Move Editor'!$B:$B,'Move Editor'!$C:$C,""),cat,XLOOKUP($D175,'Move Editor'!$B:$B,'Move Editor'!$D:$D,""),pow,XLOOKUP($D175,'Move Editor'!$B:$B,'Move Editor'!$E:$E,0),acc,XLOOKUP($D175,'Move Editor'!$B:$B,'Move Editor'!$F:$F,100),atk,IF(cat="Physical",FLOOR((FLOOR(((2*XLOOKUP(XLOOKUP($Q175,'Threshold Summary'!$Y:$Y,'Threshold Summary'!$K:$K,""),'Pokemon Editor'!$A:$A,'Pokemon Editor'!$F:$F,0)+31+FLOOR(XLOOKUP($Q175,'Threshold Summary'!$Y:$Y,'Threshold Summary'!$P:$P,"")/4))*XLOOKUP($Q175,'Threshold Summary'!$Y:$Y,'Threshold Summary'!$L:$L,""))/100)+5)*XLOOKUP(XLOOKUP($Q175,'Threshold Summary'!$Y:$Y,'Threshold Summary'!$M:$M,""),'Nature Editor'!$A:$A,'Nature Editor'!$B:$B,1)),FLOOR((FLOOR(((2*XLOOKUP(XLOOKUP($Q175,'Threshold Summary'!$Y:$Y,'Threshold Summary'!$K:$K,""),'Pokemon Editor'!$A:$A,'Pokemon Editor'!$H:$H,0)+31+FLOOR(XLOOKUP($Q175,'Threshold Summary'!$Y:$Y,'Threshold Summary'!$R:$R,"")/4))*XLOOKUP($Q175,'Threshold Summary'!$Y:$Y,'Threshold Summary'!$L:$L,""))/100)+5)*XLOOKUP(XLOOKUP($Q175,'Threshold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Editor'!$E:$E,1))),stab,IF(OR(mtype=XLOOKUP(XLOOKUP($Q175,'Threshold Summary'!$Y:$Y,'Threshold Summary'!$K:$K,""),'Pokemon Editor'!$A:$A,'Pokemon Editor'!$C:$C,""),mtype=XLOOKUP(XLOOKUP($Q175,'Threshold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Chart'!$B$1:$S$1,0)))),base,IF(OR(cat="Status",pow=0),0,FLOOR(FLOOR(FLOOR((2*XLOOKUP($Q175,'Threshold Summary'!$Y:$Y,'Threshold Summary'!$L:$L,"")/5+2)*pow*atk/def)/50)+2)),modifier,stab*eff,AVERAGE(ARRAYFORMULA(FLOOR(base*modifier*SEQUENCE(16,1,85,1)/100)))),0)</f>
        <v/>
      </c>
      <c r="M175" s="3">
        <f>IFERROR(LET(mtype,XLOOKUP($D175,'Move Editor'!$B:$B,'Move Editor'!$C:$C,""),cat,XLOOKUP($D175,'Move Editor'!$B:$B,'Move Editor'!$D:$D,""),pow,XLOOKUP($D175,'Move Editor'!$B:$B,'Move Editor'!$E:$E,0),acc,XLOOKUP($D175,'Move Editor'!$B:$B,'Move Editor'!$F:$F,100),atk,IF(cat="Physical",FLOOR((FLOOR(((2*XLOOKUP(XLOOKUP($Q175,'Threshold Summary'!$Y:$Y,'Threshold Summary'!$K:$K,""),'Pokemon Editor'!$A:$A,'Pokemon Editor'!$F:$F,0)+31+FLOOR(XLOOKUP($Q175,'Threshold Summary'!$Y:$Y,'Threshold Summary'!$P:$P,"")/4))*XLOOKUP($Q175,'Threshold Summary'!$Y:$Y,'Threshold Summary'!$L:$L,""))/100)+5)*XLOOKUP(XLOOKUP($Q175,'Threshold Summary'!$Y:$Y,'Threshold Summary'!$M:$M,""),'Nature Editor'!$A:$A,'Nature Editor'!$B:$B,1)),FLOOR((FLOOR(((2*XLOOKUP(XLOOKUP($Q175,'Threshold Summary'!$Y:$Y,'Threshold Summary'!$K:$K,""),'Pokemon Editor'!$A:$A,'Pokemon Editor'!$H:$H,0)+31+FLOOR(XLOOKUP($Q175,'Threshold Summary'!$Y:$Y,'Threshold Summary'!$R:$R,"")/4))*XLOOKUP($Q175,'Threshold Summary'!$Y:$Y,'Threshold Summary'!$L:$L,""))/100)+5)*XLOOKUP(XLOOKUP($Q175,'Threshold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Editor'!$E:$E,1))),stab,IF(OR(mtype=XLOOKUP(XLOOKUP($Q175,'Threshold Summary'!$Y:$Y,'Threshold Summary'!$K:$K,""),'Pokemon Editor'!$A:$A,'Pokemon Editor'!$C:$C,""),mtype=XLOOKUP(XLOOKUP($Q175,'Threshold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Chart'!$B$1:$S$1,0)))),base,IF(OR(cat="Status",pow=0),0,FLOOR(FLOOR(FLOOR((2*XLOOKUP($Q175,'Threshold Summary'!$Y:$Y,'Threshold Summary'!$L:$L,"")/5+2)*pow*atk/def)/50)+2)),modifier,stab*eff,AVERAGE(ARRAYFORMULA(FLOOR(base*modifier*SEQUENCE(16,1,85,1)/100)))*MIN(1,acc/100)),0)</f>
        <v/>
      </c>
      <c r="N175" s="4">
        <f>IFERROR(LET(mtype,XLOOKUP($D175,'Move Editor'!$B:$B,'Move Editor'!$C:$C,""),cat,XLOOKUP($D175,'Move Editor'!$B:$B,'Move Editor'!$D:$D,""),pow,XLOOKUP($D175,'Move Editor'!$B:$B,'Move Editor'!$E:$E,0),acc,XLOOKUP($D175,'Move Editor'!$B:$B,'Move Editor'!$F:$F,100),atk,IF(cat="Physical",FLOOR((FLOOR(((2*XLOOKUP(XLOOKUP($Q175,'Threshold Summary'!$Y:$Y,'Threshold Summary'!$K:$K,""),'Pokemon Editor'!$A:$A,'Pokemon Editor'!$F:$F,0)+31+FLOOR(XLOOKUP($Q175,'Threshold Summary'!$Y:$Y,'Threshold Summary'!$P:$P,"")/4))*XLOOKUP($Q175,'Threshold Summary'!$Y:$Y,'Threshold Summary'!$L:$L,""))/100)+5)*XLOOKUP(XLOOKUP($Q175,'Threshold Summary'!$Y:$Y,'Threshold Summary'!$M:$M,""),'Nature Editor'!$A:$A,'Nature Editor'!$B:$B,1)),FLOOR((FLOOR(((2*XLOOKUP(XLOOKUP($Q175,'Threshold Summary'!$Y:$Y,'Threshold Summary'!$K:$K,""),'Pokemon Editor'!$A:$A,'Pokemon Editor'!$H:$H,0)+31+FLOOR(XLOOKUP($Q175,'Threshold Summary'!$Y:$Y,'Threshold Summary'!$R:$R,"")/4))*XLOOKUP($Q175,'Threshold Summary'!$Y:$Y,'Threshold Summary'!$L:$L,""))/100)+5)*XLOOKUP(XLOOKUP($Q175,'Threshold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Editor'!$E:$E,1))),stab,IF(OR(mtype=XLOOKUP(XLOOKUP($Q175,'Threshold Summary'!$Y:$Y,'Threshold Summary'!$K:$K,""),'Pokemon Editor'!$A:$A,'Pokemon Editor'!$C:$C,""),mtype=XLOOKUP(XLOOKUP($Q175,'Threshold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Chart'!$B$1:$S$1,0)))),base,IF(OR(cat="Status",pow=0),0,FLOOR(FLOOR(FLOOR((2*XLOOKUP($Q175,'Threshold Summary'!$Y:$Y,'Threshold Summary'!$L:$L,"")/5+2)*pow*atk/def)/50)+2)),modifier,stab*eff,AVERAGE(ARRAYFORMULA(FLOOR(base*modifier*SEQUENCE(16,1,85,1)/100)))/(FLOOR(((2*XLOOKUP('Boss Editor'!$C$4,'Pokemon Editor'!$A:$A,'Pokemon Editor'!$E:$E,0)+31+FLOOR('Boss Editor'!$G$4/4))*'Boss Editor'!$D$4)/100)+'Boss Editor'!$D$4+10)),0)</f>
        <v/>
      </c>
      <c r="O175" s="3">
        <f>IF(N175&gt;=1,"OHKO",IF(N175&gt;=0.5,"2HKO",IF(N175&gt;=0.333,"3HKO",IF(N175&gt;=0.25,"4HKO","5HKO+"))))</f>
        <v/>
      </c>
      <c r="P175" s="3" t="inlineStr">
        <is>
          <t>Live from editable databases</t>
        </is>
      </c>
      <c r="Q175" s="3" t="inlineStr">
        <is>
          <t>SPECIES_MUDKIP</t>
        </is>
      </c>
      <c r="R175" s="3" t="n">
        <v>14</v>
      </c>
    </row>
    <row r="176">
      <c r="A176" s="3">
        <f>XLOOKUP($Q176,'Threshold Summary'!$Y:$Y,'Threshold Summary'!$A:$A,"")</f>
        <v/>
      </c>
      <c r="B176" s="3">
        <f>XLOOKUP($Q176,'Threshold Summary'!$Y:$Y,'Threshold Summary'!$M:$M,"")</f>
        <v/>
      </c>
      <c r="C176" s="3">
        <f>XLOOKUP($Q176,'Threshold Summary'!$Y:$Y,'Threshold Summary'!$N:$N,"")</f>
        <v/>
      </c>
      <c r="D176" s="3">
        <f>IFERROR(INDEX(FILTER('Learnset Editor'!$D$2:$D,'Learnset Editor'!$A$2:$A=XLOOKUP($Q176,'Threshold Summary'!$Y:$Y,'Threshold Summary'!$K:$K,""),'Learnset Editor'!$C$2:$C&lt;=XLOOKUP($Q176,'Threshold Summary'!$Y:$Y,'Threshold Summary'!$L:$L,"")),$R176),"")</f>
        <v/>
      </c>
      <c r="E176" s="3">
        <f>XLOOKUP(D176,'Move Editor'!$B:$B,'Move Editor'!$C:$C,"")</f>
        <v/>
      </c>
      <c r="F176" s="3">
        <f>XLOOKUP(D176,'Move Editor'!$B:$B,'Move Editor'!$D:$D,"")</f>
        <v/>
      </c>
      <c r="G176" s="3">
        <f>XLOOKUP(D176,'Move Editor'!$B:$B,'Move Editor'!$E:$E,0)</f>
        <v/>
      </c>
      <c r="H176" s="3">
        <f>XLOOKUP(D176,'Move Editor'!$B:$B,'Move Editor'!$F:$F,0)</f>
        <v/>
      </c>
      <c r="I176" s="3">
        <f>(INDEX('Type Chart'!$B:$S,MATCH(E176,'Type Chart'!$A:$A,0),MATCH(XLOOKUP('Boss Editor'!$C$4,'Pokemon Editor'!$A:$A,'Pokemon Editor'!$C:$C,""),'Type Chart'!$B$1:$S$1,0))*IF(XLOOKUP('Boss Editor'!$C$4,'Pokemon Editor'!$A:$A,'Pokemon Editor'!$D:$D,"")="",1,INDEX('Type Chart'!$B:$S,MATCH(E176,'Type Chart'!$A:$A,0),MATCH(XLOOKUP('Boss Editor'!$C$4,'Pokemon Editor'!$A:$A,'Pokemon Editor'!$D:$D,""),'Type Chart'!$B$1:$S$1,0))))</f>
        <v/>
      </c>
      <c r="J176" s="3">
        <f>IFERROR(LET(mtype,XLOOKUP($D176,'Move Editor'!$B:$B,'Move Editor'!$C:$C,""),cat,XLOOKUP($D176,'Move Editor'!$B:$B,'Move Editor'!$D:$D,""),pow,XLOOKUP($D176,'Move Editor'!$B:$B,'Move Editor'!$E:$E,0),acc,XLOOKUP($D176,'Move Editor'!$B:$B,'Move Editor'!$F:$F,100),atk,IF(cat="Physical",FLOOR((FLOOR(((2*XLOOKUP(XLOOKUP($Q176,'Threshold Summary'!$Y:$Y,'Threshold Summary'!$K:$K,""),'Pokemon Editor'!$A:$A,'Pokemon Editor'!$F:$F,0)+31+FLOOR(XLOOKUP($Q176,'Threshold Summary'!$Y:$Y,'Threshold Summary'!$P:$P,"")/4))*XLOOKUP($Q176,'Threshold Summary'!$Y:$Y,'Threshold Summary'!$L:$L,""))/100)+5)*XLOOKUP(XLOOKUP($Q176,'Threshold Summary'!$Y:$Y,'Threshold Summary'!$M:$M,""),'Nature Editor'!$A:$A,'Nature Editor'!$B:$B,1)),FLOOR((FLOOR(((2*XLOOKUP(XLOOKUP($Q176,'Threshold Summary'!$Y:$Y,'Threshold Summary'!$K:$K,""),'Pokemon Editor'!$A:$A,'Pokemon Editor'!$H:$H,0)+31+FLOOR(XLOOKUP($Q176,'Threshold Summary'!$Y:$Y,'Threshold Summary'!$R:$R,"")/4))*XLOOKUP($Q176,'Threshold Summary'!$Y:$Y,'Threshold Summary'!$L:$L,""))/100)+5)*XLOOKUP(XLOOKUP($Q176,'Threshold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Editor'!$E:$E,1))),stab,IF(OR(mtype=XLOOKUP(XLOOKUP($Q176,'Threshold Summary'!$Y:$Y,'Threshold Summary'!$K:$K,""),'Pokemon Editor'!$A:$A,'Pokemon Editor'!$C:$C,""),mtype=XLOOKUP(XLOOKUP($Q176,'Threshold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Chart'!$B$1:$S$1,0)))),base,IF(OR(cat="Status",pow=0),0,FLOOR(FLOOR(FLOOR((2*XLOOKUP($Q176,'Threshold Summary'!$Y:$Y,'Threshold Summary'!$L:$L,"")/5+2)*pow*atk/def)/50)+2)),modifier,stab*eff,FLOOR(base*modifier*0.85)),0)</f>
        <v/>
      </c>
      <c r="K176" s="3">
        <f>IFERROR(LET(mtype,XLOOKUP($D176,'Move Editor'!$B:$B,'Move Editor'!$C:$C,""),cat,XLOOKUP($D176,'Move Editor'!$B:$B,'Move Editor'!$D:$D,""),pow,XLOOKUP($D176,'Move Editor'!$B:$B,'Move Editor'!$E:$E,0),acc,XLOOKUP($D176,'Move Editor'!$B:$B,'Move Editor'!$F:$F,100),atk,IF(cat="Physical",FLOOR((FLOOR(((2*XLOOKUP(XLOOKUP($Q176,'Threshold Summary'!$Y:$Y,'Threshold Summary'!$K:$K,""),'Pokemon Editor'!$A:$A,'Pokemon Editor'!$F:$F,0)+31+FLOOR(XLOOKUP($Q176,'Threshold Summary'!$Y:$Y,'Threshold Summary'!$P:$P,"")/4))*XLOOKUP($Q176,'Threshold Summary'!$Y:$Y,'Threshold Summary'!$L:$L,""))/100)+5)*XLOOKUP(XLOOKUP($Q176,'Threshold Summary'!$Y:$Y,'Threshold Summary'!$M:$M,""),'Nature Editor'!$A:$A,'Nature Editor'!$B:$B,1)),FLOOR((FLOOR(((2*XLOOKUP(XLOOKUP($Q176,'Threshold Summary'!$Y:$Y,'Threshold Summary'!$K:$K,""),'Pokemon Editor'!$A:$A,'Pokemon Editor'!$H:$H,0)+31+FLOOR(XLOOKUP($Q176,'Threshold Summary'!$Y:$Y,'Threshold Summary'!$R:$R,"")/4))*XLOOKUP($Q176,'Threshold Summary'!$Y:$Y,'Threshold Summary'!$L:$L,""))/100)+5)*XLOOKUP(XLOOKUP($Q176,'Threshold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Editor'!$E:$E,1))),stab,IF(OR(mtype=XLOOKUP(XLOOKUP($Q176,'Threshold Summary'!$Y:$Y,'Threshold Summary'!$K:$K,""),'Pokemon Editor'!$A:$A,'Pokemon Editor'!$C:$C,""),mtype=XLOOKUP(XLOOKUP($Q176,'Threshold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Chart'!$B$1:$S$1,0)))),base,IF(OR(cat="Status",pow=0),0,FLOOR(FLOOR(FLOOR((2*XLOOKUP($Q176,'Threshold Summary'!$Y:$Y,'Threshold Summary'!$L:$L,"")/5+2)*pow*atk/def)/50)+2)),modifier,stab*eff,FLOOR(base*modifier)),0)</f>
        <v/>
      </c>
      <c r="L176" s="3">
        <f>IFERROR(LET(mtype,XLOOKUP($D176,'Move Editor'!$B:$B,'Move Editor'!$C:$C,""),cat,XLOOKUP($D176,'Move Editor'!$B:$B,'Move Editor'!$D:$D,""),pow,XLOOKUP($D176,'Move Editor'!$B:$B,'Move Editor'!$E:$E,0),acc,XLOOKUP($D176,'Move Editor'!$B:$B,'Move Editor'!$F:$F,100),atk,IF(cat="Physical",FLOOR((FLOOR(((2*XLOOKUP(XLOOKUP($Q176,'Threshold Summary'!$Y:$Y,'Threshold Summary'!$K:$K,""),'Pokemon Editor'!$A:$A,'Pokemon Editor'!$F:$F,0)+31+FLOOR(XLOOKUP($Q176,'Threshold Summary'!$Y:$Y,'Threshold Summary'!$P:$P,"")/4))*XLOOKUP($Q176,'Threshold Summary'!$Y:$Y,'Threshold Summary'!$L:$L,""))/100)+5)*XLOOKUP(XLOOKUP($Q176,'Threshold Summary'!$Y:$Y,'Threshold Summary'!$M:$M,""),'Nature Editor'!$A:$A,'Nature Editor'!$B:$B,1)),FLOOR((FLOOR(((2*XLOOKUP(XLOOKUP($Q176,'Threshold Summary'!$Y:$Y,'Threshold Summary'!$K:$K,""),'Pokemon Editor'!$A:$A,'Pokemon Editor'!$H:$H,0)+31+FLOOR(XLOOKUP($Q176,'Threshold Summary'!$Y:$Y,'Threshold Summary'!$R:$R,"")/4))*XLOOKUP($Q176,'Threshold Summary'!$Y:$Y,'Threshold Summary'!$L:$L,""))/100)+5)*XLOOKUP(XLOOKUP($Q176,'Threshold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Editor'!$E:$E,1))),stab,IF(OR(mtype=XLOOKUP(XLOOKUP($Q176,'Threshold Summary'!$Y:$Y,'Threshold Summary'!$K:$K,""),'Pokemon Editor'!$A:$A,'Pokemon Editor'!$C:$C,""),mtype=XLOOKUP(XLOOKUP($Q176,'Threshold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Chart'!$B$1:$S$1,0)))),base,IF(OR(cat="Status",pow=0),0,FLOOR(FLOOR(FLOOR((2*XLOOKUP($Q176,'Threshold Summary'!$Y:$Y,'Threshold Summary'!$L:$L,"")/5+2)*pow*atk/def)/50)+2)),modifier,stab*eff,AVERAGE(ARRAYFORMULA(FLOOR(base*modifier*SEQUENCE(16,1,85,1)/100)))),0)</f>
        <v/>
      </c>
      <c r="M176" s="3">
        <f>IFERROR(LET(mtype,XLOOKUP($D176,'Move Editor'!$B:$B,'Move Editor'!$C:$C,""),cat,XLOOKUP($D176,'Move Editor'!$B:$B,'Move Editor'!$D:$D,""),pow,XLOOKUP($D176,'Move Editor'!$B:$B,'Move Editor'!$E:$E,0),acc,XLOOKUP($D176,'Move Editor'!$B:$B,'Move Editor'!$F:$F,100),atk,IF(cat="Physical",FLOOR((FLOOR(((2*XLOOKUP(XLOOKUP($Q176,'Threshold Summary'!$Y:$Y,'Threshold Summary'!$K:$K,""),'Pokemon Editor'!$A:$A,'Pokemon Editor'!$F:$F,0)+31+FLOOR(XLOOKUP($Q176,'Threshold Summary'!$Y:$Y,'Threshold Summary'!$P:$P,"")/4))*XLOOKUP($Q176,'Threshold Summary'!$Y:$Y,'Threshold Summary'!$L:$L,""))/100)+5)*XLOOKUP(XLOOKUP($Q176,'Threshold Summary'!$Y:$Y,'Threshold Summary'!$M:$M,""),'Nature Editor'!$A:$A,'Nature Editor'!$B:$B,1)),FLOOR((FLOOR(((2*XLOOKUP(XLOOKUP($Q176,'Threshold Summary'!$Y:$Y,'Threshold Summary'!$K:$K,""),'Pokemon Editor'!$A:$A,'Pokemon Editor'!$H:$H,0)+31+FLOOR(XLOOKUP($Q176,'Threshold Summary'!$Y:$Y,'Threshold Summary'!$R:$R,"")/4))*XLOOKUP($Q176,'Threshold Summary'!$Y:$Y,'Threshold Summary'!$L:$L,""))/100)+5)*XLOOKUP(XLOOKUP($Q176,'Threshold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Editor'!$E:$E,1))),stab,IF(OR(mtype=XLOOKUP(XLOOKUP($Q176,'Threshold Summary'!$Y:$Y,'Threshold Summary'!$K:$K,""),'Pokemon Editor'!$A:$A,'Pokemon Editor'!$C:$C,""),mtype=XLOOKUP(XLOOKUP($Q176,'Threshold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Chart'!$B$1:$S$1,0)))),base,IF(OR(cat="Status",pow=0),0,FLOOR(FLOOR(FLOOR((2*XLOOKUP($Q176,'Threshold Summary'!$Y:$Y,'Threshold Summary'!$L:$L,"")/5+2)*pow*atk/def)/50)+2)),modifier,stab*eff,AVERAGE(ARRAYFORMULA(FLOOR(base*modifier*SEQUENCE(16,1,85,1)/100)))*MIN(1,acc/100)),0)</f>
        <v/>
      </c>
      <c r="N176" s="4">
        <f>IFERROR(LET(mtype,XLOOKUP($D176,'Move Editor'!$B:$B,'Move Editor'!$C:$C,""),cat,XLOOKUP($D176,'Move Editor'!$B:$B,'Move Editor'!$D:$D,""),pow,XLOOKUP($D176,'Move Editor'!$B:$B,'Move Editor'!$E:$E,0),acc,XLOOKUP($D176,'Move Editor'!$B:$B,'Move Editor'!$F:$F,100),atk,IF(cat="Physical",FLOOR((FLOOR(((2*XLOOKUP(XLOOKUP($Q176,'Threshold Summary'!$Y:$Y,'Threshold Summary'!$K:$K,""),'Pokemon Editor'!$A:$A,'Pokemon Editor'!$F:$F,0)+31+FLOOR(XLOOKUP($Q176,'Threshold Summary'!$Y:$Y,'Threshold Summary'!$P:$P,"")/4))*XLOOKUP($Q176,'Threshold Summary'!$Y:$Y,'Threshold Summary'!$L:$L,""))/100)+5)*XLOOKUP(XLOOKUP($Q176,'Threshold Summary'!$Y:$Y,'Threshold Summary'!$M:$M,""),'Nature Editor'!$A:$A,'Nature Editor'!$B:$B,1)),FLOOR((FLOOR(((2*XLOOKUP(XLOOKUP($Q176,'Threshold Summary'!$Y:$Y,'Threshold Summary'!$K:$K,""),'Pokemon Editor'!$A:$A,'Pokemon Editor'!$H:$H,0)+31+FLOOR(XLOOKUP($Q176,'Threshold Summary'!$Y:$Y,'Threshold Summary'!$R:$R,"")/4))*XLOOKUP($Q176,'Threshold Summary'!$Y:$Y,'Threshold Summary'!$L:$L,""))/100)+5)*XLOOKUP(XLOOKUP($Q176,'Threshold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Editor'!$E:$E,1))),stab,IF(OR(mtype=XLOOKUP(XLOOKUP($Q176,'Threshold Summary'!$Y:$Y,'Threshold Summary'!$K:$K,""),'Pokemon Editor'!$A:$A,'Pokemon Editor'!$C:$C,""),mtype=XLOOKUP(XLOOKUP($Q176,'Threshold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Chart'!$B$1:$S$1,0)))),base,IF(OR(cat="Status",pow=0),0,FLOOR(FLOOR(FLOOR((2*XLOOKUP($Q176,'Threshold Summary'!$Y:$Y,'Threshold Summary'!$L:$L,"")/5+2)*pow*atk/def)/50)+2)),modifier,stab*eff,AVERAGE(ARRAYFORMULA(FLOOR(base*modifier*SEQUENCE(16,1,85,1)/100)))/(FLOOR(((2*XLOOKUP('Boss Editor'!$C$4,'Pokemon Editor'!$A:$A,'Pokemon Editor'!$E:$E,0)+31+FLOOR('Boss Editor'!$G$4/4))*'Boss Editor'!$D$4)/100)+'Boss Editor'!$D$4+10)),0)</f>
        <v/>
      </c>
      <c r="O176" s="3">
        <f>IF(N176&gt;=1,"OHKO",IF(N176&gt;=0.5,"2HKO",IF(N176&gt;=0.333,"3HKO",IF(N176&gt;=0.25,"4HKO","5HKO+"))))</f>
        <v/>
      </c>
      <c r="P176" s="3" t="inlineStr">
        <is>
          <t>Live from editable databases</t>
        </is>
      </c>
      <c r="Q176" s="3" t="inlineStr">
        <is>
          <t>SPECIES_MUDKIP</t>
        </is>
      </c>
      <c r="R176" s="3" t="n">
        <v>15</v>
      </c>
    </row>
    <row r="177">
      <c r="A177" s="3">
        <f>XLOOKUP($Q177,'Threshold Summary'!$Y:$Y,'Threshold Summary'!$A:$A,"")</f>
        <v/>
      </c>
      <c r="B177" s="3">
        <f>XLOOKUP($Q177,'Threshold Summary'!$Y:$Y,'Threshold Summary'!$M:$M,"")</f>
        <v/>
      </c>
      <c r="C177" s="3">
        <f>XLOOKUP($Q177,'Threshold Summary'!$Y:$Y,'Threshold Summary'!$N:$N,"")</f>
        <v/>
      </c>
      <c r="D177" s="3">
        <f>IFERROR(INDEX(FILTER('Learnset Editor'!$D$2:$D,'Learnset Editor'!$A$2:$A=XLOOKUP($Q177,'Threshold Summary'!$Y:$Y,'Threshold Summary'!$K:$K,""),'Learnset Editor'!$C$2:$C&lt;=XLOOKUP($Q177,'Threshold Summary'!$Y:$Y,'Threshold Summary'!$L:$L,"")),$R177),"")</f>
        <v/>
      </c>
      <c r="E177" s="3">
        <f>XLOOKUP(D177,'Move Editor'!$B:$B,'Move Editor'!$C:$C,"")</f>
        <v/>
      </c>
      <c r="F177" s="3">
        <f>XLOOKUP(D177,'Move Editor'!$B:$B,'Move Editor'!$D:$D,"")</f>
        <v/>
      </c>
      <c r="G177" s="3">
        <f>XLOOKUP(D177,'Move Editor'!$B:$B,'Move Editor'!$E:$E,0)</f>
        <v/>
      </c>
      <c r="H177" s="3">
        <f>XLOOKUP(D177,'Move Editor'!$B:$B,'Move Editor'!$F:$F,0)</f>
        <v/>
      </c>
      <c r="I177" s="3">
        <f>(INDEX('Type Chart'!$B:$S,MATCH(E177,'Type Chart'!$A:$A,0),MATCH(XLOOKUP('Boss Editor'!$C$4,'Pokemon Editor'!$A:$A,'Pokemon Editor'!$C:$C,""),'Type Chart'!$B$1:$S$1,0))*IF(XLOOKUP('Boss Editor'!$C$4,'Pokemon Editor'!$A:$A,'Pokemon Editor'!$D:$D,"")="",1,INDEX('Type Chart'!$B:$S,MATCH(E177,'Type Chart'!$A:$A,0),MATCH(XLOOKUP('Boss Editor'!$C$4,'Pokemon Editor'!$A:$A,'Pokemon Editor'!$D:$D,""),'Type Chart'!$B$1:$S$1,0))))</f>
        <v/>
      </c>
      <c r="J177" s="3">
        <f>IFERROR(LET(mtype,XLOOKUP($D177,'Move Editor'!$B:$B,'Move Editor'!$C:$C,""),cat,XLOOKUP($D177,'Move Editor'!$B:$B,'Move Editor'!$D:$D,""),pow,XLOOKUP($D177,'Move Editor'!$B:$B,'Move Editor'!$E:$E,0),acc,XLOOKUP($D177,'Move Editor'!$B:$B,'Move Editor'!$F:$F,100),atk,IF(cat="Physical",FLOOR((FLOOR(((2*XLOOKUP(XLOOKUP($Q177,'Threshold Summary'!$Y:$Y,'Threshold Summary'!$K:$K,""),'Pokemon Editor'!$A:$A,'Pokemon Editor'!$F:$F,0)+31+FLOOR(XLOOKUP($Q177,'Threshold Summary'!$Y:$Y,'Threshold Summary'!$P:$P,"")/4))*XLOOKUP($Q177,'Threshold Summary'!$Y:$Y,'Threshold Summary'!$L:$L,""))/100)+5)*XLOOKUP(XLOOKUP($Q177,'Threshold Summary'!$Y:$Y,'Threshold Summary'!$M:$M,""),'Nature Editor'!$A:$A,'Nature Editor'!$B:$B,1)),FLOOR((FLOOR(((2*XLOOKUP(XLOOKUP($Q177,'Threshold Summary'!$Y:$Y,'Threshold Summary'!$K:$K,""),'Pokemon Editor'!$A:$A,'Pokemon Editor'!$H:$H,0)+31+FLOOR(XLOOKUP($Q177,'Threshold Summary'!$Y:$Y,'Threshold Summary'!$R:$R,"")/4))*XLOOKUP($Q177,'Threshold Summary'!$Y:$Y,'Threshold Summary'!$L:$L,""))/100)+5)*XLOOKUP(XLOOKUP($Q177,'Threshold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Editor'!$E:$E,1))),stab,IF(OR(mtype=XLOOKUP(XLOOKUP($Q177,'Threshold Summary'!$Y:$Y,'Threshold Summary'!$K:$K,""),'Pokemon Editor'!$A:$A,'Pokemon Editor'!$C:$C,""),mtype=XLOOKUP(XLOOKUP($Q177,'Threshold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Chart'!$B$1:$S$1,0)))),base,IF(OR(cat="Status",pow=0),0,FLOOR(FLOOR(FLOOR((2*XLOOKUP($Q177,'Threshold Summary'!$Y:$Y,'Threshold Summary'!$L:$L,"")/5+2)*pow*atk/def)/50)+2)),modifier,stab*eff,FLOOR(base*modifier*0.85)),0)</f>
        <v/>
      </c>
      <c r="K177" s="3">
        <f>IFERROR(LET(mtype,XLOOKUP($D177,'Move Editor'!$B:$B,'Move Editor'!$C:$C,""),cat,XLOOKUP($D177,'Move Editor'!$B:$B,'Move Editor'!$D:$D,""),pow,XLOOKUP($D177,'Move Editor'!$B:$B,'Move Editor'!$E:$E,0),acc,XLOOKUP($D177,'Move Editor'!$B:$B,'Move Editor'!$F:$F,100),atk,IF(cat="Physical",FLOOR((FLOOR(((2*XLOOKUP(XLOOKUP($Q177,'Threshold Summary'!$Y:$Y,'Threshold Summary'!$K:$K,""),'Pokemon Editor'!$A:$A,'Pokemon Editor'!$F:$F,0)+31+FLOOR(XLOOKUP($Q177,'Threshold Summary'!$Y:$Y,'Threshold Summary'!$P:$P,"")/4))*XLOOKUP($Q177,'Threshold Summary'!$Y:$Y,'Threshold Summary'!$L:$L,""))/100)+5)*XLOOKUP(XLOOKUP($Q177,'Threshold Summary'!$Y:$Y,'Threshold Summary'!$M:$M,""),'Nature Editor'!$A:$A,'Nature Editor'!$B:$B,1)),FLOOR((FLOOR(((2*XLOOKUP(XLOOKUP($Q177,'Threshold Summary'!$Y:$Y,'Threshold Summary'!$K:$K,""),'Pokemon Editor'!$A:$A,'Pokemon Editor'!$H:$H,0)+31+FLOOR(XLOOKUP($Q177,'Threshold Summary'!$Y:$Y,'Threshold Summary'!$R:$R,"")/4))*XLOOKUP($Q177,'Threshold Summary'!$Y:$Y,'Threshold Summary'!$L:$L,""))/100)+5)*XLOOKUP(XLOOKUP($Q177,'Threshold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Editor'!$E:$E,1))),stab,IF(OR(mtype=XLOOKUP(XLOOKUP($Q177,'Threshold Summary'!$Y:$Y,'Threshold Summary'!$K:$K,""),'Pokemon Editor'!$A:$A,'Pokemon Editor'!$C:$C,""),mtype=XLOOKUP(XLOOKUP($Q177,'Threshold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Chart'!$B$1:$S$1,0)))),base,IF(OR(cat="Status",pow=0),0,FLOOR(FLOOR(FLOOR((2*XLOOKUP($Q177,'Threshold Summary'!$Y:$Y,'Threshold Summary'!$L:$L,"")/5+2)*pow*atk/def)/50)+2)),modifier,stab*eff,FLOOR(base*modifier)),0)</f>
        <v/>
      </c>
      <c r="L177" s="3">
        <f>IFERROR(LET(mtype,XLOOKUP($D177,'Move Editor'!$B:$B,'Move Editor'!$C:$C,""),cat,XLOOKUP($D177,'Move Editor'!$B:$B,'Move Editor'!$D:$D,""),pow,XLOOKUP($D177,'Move Editor'!$B:$B,'Move Editor'!$E:$E,0),acc,XLOOKUP($D177,'Move Editor'!$B:$B,'Move Editor'!$F:$F,100),atk,IF(cat="Physical",FLOOR((FLOOR(((2*XLOOKUP(XLOOKUP($Q177,'Threshold Summary'!$Y:$Y,'Threshold Summary'!$K:$K,""),'Pokemon Editor'!$A:$A,'Pokemon Editor'!$F:$F,0)+31+FLOOR(XLOOKUP($Q177,'Threshold Summary'!$Y:$Y,'Threshold Summary'!$P:$P,"")/4))*XLOOKUP($Q177,'Threshold Summary'!$Y:$Y,'Threshold Summary'!$L:$L,""))/100)+5)*XLOOKUP(XLOOKUP($Q177,'Threshold Summary'!$Y:$Y,'Threshold Summary'!$M:$M,""),'Nature Editor'!$A:$A,'Nature Editor'!$B:$B,1)),FLOOR((FLOOR(((2*XLOOKUP(XLOOKUP($Q177,'Threshold Summary'!$Y:$Y,'Threshold Summary'!$K:$K,""),'Pokemon Editor'!$A:$A,'Pokemon Editor'!$H:$H,0)+31+FLOOR(XLOOKUP($Q177,'Threshold Summary'!$Y:$Y,'Threshold Summary'!$R:$R,"")/4))*XLOOKUP($Q177,'Threshold Summary'!$Y:$Y,'Threshold Summary'!$L:$L,""))/100)+5)*XLOOKUP(XLOOKUP($Q177,'Threshold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Editor'!$E:$E,1))),stab,IF(OR(mtype=XLOOKUP(XLOOKUP($Q177,'Threshold Summary'!$Y:$Y,'Threshold Summary'!$K:$K,""),'Pokemon Editor'!$A:$A,'Pokemon Editor'!$C:$C,""),mtype=XLOOKUP(XLOOKUP($Q177,'Threshold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Chart'!$B$1:$S$1,0)))),base,IF(OR(cat="Status",pow=0),0,FLOOR(FLOOR(FLOOR((2*XLOOKUP($Q177,'Threshold Summary'!$Y:$Y,'Threshold Summary'!$L:$L,"")/5+2)*pow*atk/def)/50)+2)),modifier,stab*eff,AVERAGE(ARRAYFORMULA(FLOOR(base*modifier*SEQUENCE(16,1,85,1)/100)))),0)</f>
        <v/>
      </c>
      <c r="M177" s="3">
        <f>IFERROR(LET(mtype,XLOOKUP($D177,'Move Editor'!$B:$B,'Move Editor'!$C:$C,""),cat,XLOOKUP($D177,'Move Editor'!$B:$B,'Move Editor'!$D:$D,""),pow,XLOOKUP($D177,'Move Editor'!$B:$B,'Move Editor'!$E:$E,0),acc,XLOOKUP($D177,'Move Editor'!$B:$B,'Move Editor'!$F:$F,100),atk,IF(cat="Physical",FLOOR((FLOOR(((2*XLOOKUP(XLOOKUP($Q177,'Threshold Summary'!$Y:$Y,'Threshold Summary'!$K:$K,""),'Pokemon Editor'!$A:$A,'Pokemon Editor'!$F:$F,0)+31+FLOOR(XLOOKUP($Q177,'Threshold Summary'!$Y:$Y,'Threshold Summary'!$P:$P,"")/4))*XLOOKUP($Q177,'Threshold Summary'!$Y:$Y,'Threshold Summary'!$L:$L,""))/100)+5)*XLOOKUP(XLOOKUP($Q177,'Threshold Summary'!$Y:$Y,'Threshold Summary'!$M:$M,""),'Nature Editor'!$A:$A,'Nature Editor'!$B:$B,1)),FLOOR((FLOOR(((2*XLOOKUP(XLOOKUP($Q177,'Threshold Summary'!$Y:$Y,'Threshold Summary'!$K:$K,""),'Pokemon Editor'!$A:$A,'Pokemon Editor'!$H:$H,0)+31+FLOOR(XLOOKUP($Q177,'Threshold Summary'!$Y:$Y,'Threshold Summary'!$R:$R,"")/4))*XLOOKUP($Q177,'Threshold Summary'!$Y:$Y,'Threshold Summary'!$L:$L,""))/100)+5)*XLOOKUP(XLOOKUP($Q177,'Threshold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Editor'!$E:$E,1))),stab,IF(OR(mtype=XLOOKUP(XLOOKUP($Q177,'Threshold Summary'!$Y:$Y,'Threshold Summary'!$K:$K,""),'Pokemon Editor'!$A:$A,'Pokemon Editor'!$C:$C,""),mtype=XLOOKUP(XLOOKUP($Q177,'Threshold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Chart'!$B$1:$S$1,0)))),base,IF(OR(cat="Status",pow=0),0,FLOOR(FLOOR(FLOOR((2*XLOOKUP($Q177,'Threshold Summary'!$Y:$Y,'Threshold Summary'!$L:$L,"")/5+2)*pow*atk/def)/50)+2)),modifier,stab*eff,AVERAGE(ARRAYFORMULA(FLOOR(base*modifier*SEQUENCE(16,1,85,1)/100)))*MIN(1,acc/100)),0)</f>
        <v/>
      </c>
      <c r="N177" s="4">
        <f>IFERROR(LET(mtype,XLOOKUP($D177,'Move Editor'!$B:$B,'Move Editor'!$C:$C,""),cat,XLOOKUP($D177,'Move Editor'!$B:$B,'Move Editor'!$D:$D,""),pow,XLOOKUP($D177,'Move Editor'!$B:$B,'Move Editor'!$E:$E,0),acc,XLOOKUP($D177,'Move Editor'!$B:$B,'Move Editor'!$F:$F,100),atk,IF(cat="Physical",FLOOR((FLOOR(((2*XLOOKUP(XLOOKUP($Q177,'Threshold Summary'!$Y:$Y,'Threshold Summary'!$K:$K,""),'Pokemon Editor'!$A:$A,'Pokemon Editor'!$F:$F,0)+31+FLOOR(XLOOKUP($Q177,'Threshold Summary'!$Y:$Y,'Threshold Summary'!$P:$P,"")/4))*XLOOKUP($Q177,'Threshold Summary'!$Y:$Y,'Threshold Summary'!$L:$L,""))/100)+5)*XLOOKUP(XLOOKUP($Q177,'Threshold Summary'!$Y:$Y,'Threshold Summary'!$M:$M,""),'Nature Editor'!$A:$A,'Nature Editor'!$B:$B,1)),FLOOR((FLOOR(((2*XLOOKUP(XLOOKUP($Q177,'Threshold Summary'!$Y:$Y,'Threshold Summary'!$K:$K,""),'Pokemon Editor'!$A:$A,'Pokemon Editor'!$H:$H,0)+31+FLOOR(XLOOKUP($Q177,'Threshold Summary'!$Y:$Y,'Threshold Summary'!$R:$R,"")/4))*XLOOKUP($Q177,'Threshold Summary'!$Y:$Y,'Threshold Summary'!$L:$L,""))/100)+5)*XLOOKUP(XLOOKUP($Q177,'Threshold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Editor'!$E:$E,1))),stab,IF(OR(mtype=XLOOKUP(XLOOKUP($Q177,'Threshold Summary'!$Y:$Y,'Threshold Summary'!$K:$K,""),'Pokemon Editor'!$A:$A,'Pokemon Editor'!$C:$C,""),mtype=XLOOKUP(XLOOKUP($Q177,'Threshold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Chart'!$B$1:$S$1,0)))),base,IF(OR(cat="Status",pow=0),0,FLOOR(FLOOR(FLOOR((2*XLOOKUP($Q177,'Threshold Summary'!$Y:$Y,'Threshold Summary'!$L:$L,"")/5+2)*pow*atk/def)/50)+2)),modifier,stab*eff,AVERAGE(ARRAYFORMULA(FLOOR(base*modifier*SEQUENCE(16,1,85,1)/100)))/(FLOOR(((2*XLOOKUP('Boss Editor'!$C$4,'Pokemon Editor'!$A:$A,'Pokemon Editor'!$E:$E,0)+31+FLOOR('Boss Editor'!$G$4/4))*'Boss Editor'!$D$4)/100)+'Boss Editor'!$D$4+10)),0)</f>
        <v/>
      </c>
      <c r="O177" s="3">
        <f>IF(N177&gt;=1,"OHKO",IF(N177&gt;=0.5,"2HKO",IF(N177&gt;=0.333,"3HKO",IF(N177&gt;=0.25,"4HKO","5HKO+"))))</f>
        <v/>
      </c>
      <c r="P177" s="3" t="inlineStr">
        <is>
          <t>Live from editable databases</t>
        </is>
      </c>
      <c r="Q177" s="3" t="inlineStr">
        <is>
          <t>SPECIES_MUDKIP</t>
        </is>
      </c>
      <c r="R177" s="3" t="n">
        <v>16</v>
      </c>
    </row>
    <row r="178">
      <c r="A178" s="3">
        <f>XLOOKUP($Q178,'Threshold Summary'!$Y:$Y,'Threshold Summary'!$A:$A,"")</f>
        <v/>
      </c>
      <c r="B178" s="3">
        <f>XLOOKUP($Q178,'Threshold Summary'!$Y:$Y,'Threshold Summary'!$M:$M,"")</f>
        <v/>
      </c>
      <c r="C178" s="3">
        <f>XLOOKUP($Q178,'Threshold Summary'!$Y:$Y,'Threshold Summary'!$N:$N,"")</f>
        <v/>
      </c>
      <c r="D178" s="3">
        <f>IFERROR(INDEX(FILTER('Learnset Editor'!$D$2:$D,'Learnset Editor'!$A$2:$A=XLOOKUP($Q178,'Threshold Summary'!$Y:$Y,'Threshold Summary'!$K:$K,""),'Learnset Editor'!$C$2:$C&lt;=XLOOKUP($Q178,'Threshold Summary'!$Y:$Y,'Threshold Summary'!$L:$L,"")),$R178),"")</f>
        <v/>
      </c>
      <c r="E178" s="3">
        <f>XLOOKUP(D178,'Move Editor'!$B:$B,'Move Editor'!$C:$C,"")</f>
        <v/>
      </c>
      <c r="F178" s="3">
        <f>XLOOKUP(D178,'Move Editor'!$B:$B,'Move Editor'!$D:$D,"")</f>
        <v/>
      </c>
      <c r="G178" s="3">
        <f>XLOOKUP(D178,'Move Editor'!$B:$B,'Move Editor'!$E:$E,0)</f>
        <v/>
      </c>
      <c r="H178" s="3">
        <f>XLOOKUP(D178,'Move Editor'!$B:$B,'Move Editor'!$F:$F,0)</f>
        <v/>
      </c>
      <c r="I178" s="3">
        <f>(INDEX('Type Chart'!$B:$S,MATCH(E178,'Type Chart'!$A:$A,0),MATCH(XLOOKUP('Boss Editor'!$C$4,'Pokemon Editor'!$A:$A,'Pokemon Editor'!$C:$C,""),'Type Chart'!$B$1:$S$1,0))*IF(XLOOKUP('Boss Editor'!$C$4,'Pokemon Editor'!$A:$A,'Pokemon Editor'!$D:$D,"")="",1,INDEX('Type Chart'!$B:$S,MATCH(E178,'Type Chart'!$A:$A,0),MATCH(XLOOKUP('Boss Editor'!$C$4,'Pokemon Editor'!$A:$A,'Pokemon Editor'!$D:$D,""),'Type Chart'!$B$1:$S$1,0))))</f>
        <v/>
      </c>
      <c r="J178" s="3">
        <f>IFERROR(LET(mtype,XLOOKUP($D178,'Move Editor'!$B:$B,'Move Editor'!$C:$C,""),cat,XLOOKUP($D178,'Move Editor'!$B:$B,'Move Editor'!$D:$D,""),pow,XLOOKUP($D178,'Move Editor'!$B:$B,'Move Editor'!$E:$E,0),acc,XLOOKUP($D178,'Move Editor'!$B:$B,'Move Editor'!$F:$F,100),atk,IF(cat="Physical",FLOOR((FLOOR(((2*XLOOKUP(XLOOKUP($Q178,'Threshold Summary'!$Y:$Y,'Threshold Summary'!$K:$K,""),'Pokemon Editor'!$A:$A,'Pokemon Editor'!$F:$F,0)+31+FLOOR(XLOOKUP($Q178,'Threshold Summary'!$Y:$Y,'Threshold Summary'!$P:$P,"")/4))*XLOOKUP($Q178,'Threshold Summary'!$Y:$Y,'Threshold Summary'!$L:$L,""))/100)+5)*XLOOKUP(XLOOKUP($Q178,'Threshold Summary'!$Y:$Y,'Threshold Summary'!$M:$M,""),'Nature Editor'!$A:$A,'Nature Editor'!$B:$B,1)),FLOOR((FLOOR(((2*XLOOKUP(XLOOKUP($Q178,'Threshold Summary'!$Y:$Y,'Threshold Summary'!$K:$K,""),'Pokemon Editor'!$A:$A,'Pokemon Editor'!$H:$H,0)+31+FLOOR(XLOOKUP($Q178,'Threshold Summary'!$Y:$Y,'Threshold Summary'!$R:$R,"")/4))*XLOOKUP($Q178,'Threshold Summary'!$Y:$Y,'Threshold Summary'!$L:$L,""))/100)+5)*XLOOKUP(XLOOKUP($Q178,'Threshold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Editor'!$E:$E,1))),stab,IF(OR(mtype=XLOOKUP(XLOOKUP($Q178,'Threshold Summary'!$Y:$Y,'Threshold Summary'!$K:$K,""),'Pokemon Editor'!$A:$A,'Pokemon Editor'!$C:$C,""),mtype=XLOOKUP(XLOOKUP($Q178,'Threshold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Chart'!$B$1:$S$1,0)))),base,IF(OR(cat="Status",pow=0),0,FLOOR(FLOOR(FLOOR((2*XLOOKUP($Q178,'Threshold Summary'!$Y:$Y,'Threshold Summary'!$L:$L,"")/5+2)*pow*atk/def)/50)+2)),modifier,stab*eff,FLOOR(base*modifier*0.85)),0)</f>
        <v/>
      </c>
      <c r="K178" s="3">
        <f>IFERROR(LET(mtype,XLOOKUP($D178,'Move Editor'!$B:$B,'Move Editor'!$C:$C,""),cat,XLOOKUP($D178,'Move Editor'!$B:$B,'Move Editor'!$D:$D,""),pow,XLOOKUP($D178,'Move Editor'!$B:$B,'Move Editor'!$E:$E,0),acc,XLOOKUP($D178,'Move Editor'!$B:$B,'Move Editor'!$F:$F,100),atk,IF(cat="Physical",FLOOR((FLOOR(((2*XLOOKUP(XLOOKUP($Q178,'Threshold Summary'!$Y:$Y,'Threshold Summary'!$K:$K,""),'Pokemon Editor'!$A:$A,'Pokemon Editor'!$F:$F,0)+31+FLOOR(XLOOKUP($Q178,'Threshold Summary'!$Y:$Y,'Threshold Summary'!$P:$P,"")/4))*XLOOKUP($Q178,'Threshold Summary'!$Y:$Y,'Threshold Summary'!$L:$L,""))/100)+5)*XLOOKUP(XLOOKUP($Q178,'Threshold Summary'!$Y:$Y,'Threshold Summary'!$M:$M,""),'Nature Editor'!$A:$A,'Nature Editor'!$B:$B,1)),FLOOR((FLOOR(((2*XLOOKUP(XLOOKUP($Q178,'Threshold Summary'!$Y:$Y,'Threshold Summary'!$K:$K,""),'Pokemon Editor'!$A:$A,'Pokemon Editor'!$H:$H,0)+31+FLOOR(XLOOKUP($Q178,'Threshold Summary'!$Y:$Y,'Threshold Summary'!$R:$R,"")/4))*XLOOKUP($Q178,'Threshold Summary'!$Y:$Y,'Threshold Summary'!$L:$L,""))/100)+5)*XLOOKUP(XLOOKUP($Q178,'Threshold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Editor'!$E:$E,1))),stab,IF(OR(mtype=XLOOKUP(XLOOKUP($Q178,'Threshold Summary'!$Y:$Y,'Threshold Summary'!$K:$K,""),'Pokemon Editor'!$A:$A,'Pokemon Editor'!$C:$C,""),mtype=XLOOKUP(XLOOKUP($Q178,'Threshold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Chart'!$B$1:$S$1,0)))),base,IF(OR(cat="Status",pow=0),0,FLOOR(FLOOR(FLOOR((2*XLOOKUP($Q178,'Threshold Summary'!$Y:$Y,'Threshold Summary'!$L:$L,"")/5+2)*pow*atk/def)/50)+2)),modifier,stab*eff,FLOOR(base*modifier)),0)</f>
        <v/>
      </c>
      <c r="L178" s="3">
        <f>IFERROR(LET(mtype,XLOOKUP($D178,'Move Editor'!$B:$B,'Move Editor'!$C:$C,""),cat,XLOOKUP($D178,'Move Editor'!$B:$B,'Move Editor'!$D:$D,""),pow,XLOOKUP($D178,'Move Editor'!$B:$B,'Move Editor'!$E:$E,0),acc,XLOOKUP($D178,'Move Editor'!$B:$B,'Move Editor'!$F:$F,100),atk,IF(cat="Physical",FLOOR((FLOOR(((2*XLOOKUP(XLOOKUP($Q178,'Threshold Summary'!$Y:$Y,'Threshold Summary'!$K:$K,""),'Pokemon Editor'!$A:$A,'Pokemon Editor'!$F:$F,0)+31+FLOOR(XLOOKUP($Q178,'Threshold Summary'!$Y:$Y,'Threshold Summary'!$P:$P,"")/4))*XLOOKUP($Q178,'Threshold Summary'!$Y:$Y,'Threshold Summary'!$L:$L,""))/100)+5)*XLOOKUP(XLOOKUP($Q178,'Threshold Summary'!$Y:$Y,'Threshold Summary'!$M:$M,""),'Nature Editor'!$A:$A,'Nature Editor'!$B:$B,1)),FLOOR((FLOOR(((2*XLOOKUP(XLOOKUP($Q178,'Threshold Summary'!$Y:$Y,'Threshold Summary'!$K:$K,""),'Pokemon Editor'!$A:$A,'Pokemon Editor'!$H:$H,0)+31+FLOOR(XLOOKUP($Q178,'Threshold Summary'!$Y:$Y,'Threshold Summary'!$R:$R,"")/4))*XLOOKUP($Q178,'Threshold Summary'!$Y:$Y,'Threshold Summary'!$L:$L,""))/100)+5)*XLOOKUP(XLOOKUP($Q178,'Threshold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Editor'!$E:$E,1))),stab,IF(OR(mtype=XLOOKUP(XLOOKUP($Q178,'Threshold Summary'!$Y:$Y,'Threshold Summary'!$K:$K,""),'Pokemon Editor'!$A:$A,'Pokemon Editor'!$C:$C,""),mtype=XLOOKUP(XLOOKUP($Q178,'Threshold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Chart'!$B$1:$S$1,0)))),base,IF(OR(cat="Status",pow=0),0,FLOOR(FLOOR(FLOOR((2*XLOOKUP($Q178,'Threshold Summary'!$Y:$Y,'Threshold Summary'!$L:$L,"")/5+2)*pow*atk/def)/50)+2)),modifier,stab*eff,AVERAGE(ARRAYFORMULA(FLOOR(base*modifier*SEQUENCE(16,1,85,1)/100)))),0)</f>
        <v/>
      </c>
      <c r="M178" s="3">
        <f>IFERROR(LET(mtype,XLOOKUP($D178,'Move Editor'!$B:$B,'Move Editor'!$C:$C,""),cat,XLOOKUP($D178,'Move Editor'!$B:$B,'Move Editor'!$D:$D,""),pow,XLOOKUP($D178,'Move Editor'!$B:$B,'Move Editor'!$E:$E,0),acc,XLOOKUP($D178,'Move Editor'!$B:$B,'Move Editor'!$F:$F,100),atk,IF(cat="Physical",FLOOR((FLOOR(((2*XLOOKUP(XLOOKUP($Q178,'Threshold Summary'!$Y:$Y,'Threshold Summary'!$K:$K,""),'Pokemon Editor'!$A:$A,'Pokemon Editor'!$F:$F,0)+31+FLOOR(XLOOKUP($Q178,'Threshold Summary'!$Y:$Y,'Threshold Summary'!$P:$P,"")/4))*XLOOKUP($Q178,'Threshold Summary'!$Y:$Y,'Threshold Summary'!$L:$L,""))/100)+5)*XLOOKUP(XLOOKUP($Q178,'Threshold Summary'!$Y:$Y,'Threshold Summary'!$M:$M,""),'Nature Editor'!$A:$A,'Nature Editor'!$B:$B,1)),FLOOR((FLOOR(((2*XLOOKUP(XLOOKUP($Q178,'Threshold Summary'!$Y:$Y,'Threshold Summary'!$K:$K,""),'Pokemon Editor'!$A:$A,'Pokemon Editor'!$H:$H,0)+31+FLOOR(XLOOKUP($Q178,'Threshold Summary'!$Y:$Y,'Threshold Summary'!$R:$R,"")/4))*XLOOKUP($Q178,'Threshold Summary'!$Y:$Y,'Threshold Summary'!$L:$L,""))/100)+5)*XLOOKUP(XLOOKUP($Q178,'Threshold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Editor'!$E:$E,1))),stab,IF(OR(mtype=XLOOKUP(XLOOKUP($Q178,'Threshold Summary'!$Y:$Y,'Threshold Summary'!$K:$K,""),'Pokemon Editor'!$A:$A,'Pokemon Editor'!$C:$C,""),mtype=XLOOKUP(XLOOKUP($Q178,'Threshold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Chart'!$B$1:$S$1,0)))),base,IF(OR(cat="Status",pow=0),0,FLOOR(FLOOR(FLOOR((2*XLOOKUP($Q178,'Threshold Summary'!$Y:$Y,'Threshold Summary'!$L:$L,"")/5+2)*pow*atk/def)/50)+2)),modifier,stab*eff,AVERAGE(ARRAYFORMULA(FLOOR(base*modifier*SEQUENCE(16,1,85,1)/100)))*MIN(1,acc/100)),0)</f>
        <v/>
      </c>
      <c r="N178" s="4">
        <f>IFERROR(LET(mtype,XLOOKUP($D178,'Move Editor'!$B:$B,'Move Editor'!$C:$C,""),cat,XLOOKUP($D178,'Move Editor'!$B:$B,'Move Editor'!$D:$D,""),pow,XLOOKUP($D178,'Move Editor'!$B:$B,'Move Editor'!$E:$E,0),acc,XLOOKUP($D178,'Move Editor'!$B:$B,'Move Editor'!$F:$F,100),atk,IF(cat="Physical",FLOOR((FLOOR(((2*XLOOKUP(XLOOKUP($Q178,'Threshold Summary'!$Y:$Y,'Threshold Summary'!$K:$K,""),'Pokemon Editor'!$A:$A,'Pokemon Editor'!$F:$F,0)+31+FLOOR(XLOOKUP($Q178,'Threshold Summary'!$Y:$Y,'Threshold Summary'!$P:$P,"")/4))*XLOOKUP($Q178,'Threshold Summary'!$Y:$Y,'Threshold Summary'!$L:$L,""))/100)+5)*XLOOKUP(XLOOKUP($Q178,'Threshold Summary'!$Y:$Y,'Threshold Summary'!$M:$M,""),'Nature Editor'!$A:$A,'Nature Editor'!$B:$B,1)),FLOOR((FLOOR(((2*XLOOKUP(XLOOKUP($Q178,'Threshold Summary'!$Y:$Y,'Threshold Summary'!$K:$K,""),'Pokemon Editor'!$A:$A,'Pokemon Editor'!$H:$H,0)+31+FLOOR(XLOOKUP($Q178,'Threshold Summary'!$Y:$Y,'Threshold Summary'!$R:$R,"")/4))*XLOOKUP($Q178,'Threshold Summary'!$Y:$Y,'Threshold Summary'!$L:$L,""))/100)+5)*XLOOKUP(XLOOKUP($Q178,'Threshold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Editor'!$E:$E,1))),stab,IF(OR(mtype=XLOOKUP(XLOOKUP($Q178,'Threshold Summary'!$Y:$Y,'Threshold Summary'!$K:$K,""),'Pokemon Editor'!$A:$A,'Pokemon Editor'!$C:$C,""),mtype=XLOOKUP(XLOOKUP($Q178,'Threshold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Chart'!$B$1:$S$1,0)))),base,IF(OR(cat="Status",pow=0),0,FLOOR(FLOOR(FLOOR((2*XLOOKUP($Q178,'Threshold Summary'!$Y:$Y,'Threshold Summary'!$L:$L,"")/5+2)*pow*atk/def)/50)+2)),modifier,stab*eff,AVERAGE(ARRAYFORMULA(FLOOR(base*modifier*SEQUENCE(16,1,85,1)/100)))/(FLOOR(((2*XLOOKUP('Boss Editor'!$C$4,'Pokemon Editor'!$A:$A,'Pokemon Editor'!$E:$E,0)+31+FLOOR('Boss Editor'!$G$4/4))*'Boss Editor'!$D$4)/100)+'Boss Editor'!$D$4+10)),0)</f>
        <v/>
      </c>
      <c r="O178" s="3">
        <f>IF(N178&gt;=1,"OHKO",IF(N178&gt;=0.5,"2HKO",IF(N178&gt;=0.333,"3HKO",IF(N178&gt;=0.25,"4HKO","5HKO+"))))</f>
        <v/>
      </c>
      <c r="P178" s="3" t="inlineStr">
        <is>
          <t>Live from editable databases</t>
        </is>
      </c>
      <c r="Q178" s="3" t="inlineStr">
        <is>
          <t>SPECIES_MUDKIP</t>
        </is>
      </c>
      <c r="R178" s="3" t="n">
        <v>17</v>
      </c>
    </row>
    <row r="179">
      <c r="A179" s="3">
        <f>XLOOKUP($Q179,'Threshold Summary'!$Y:$Y,'Threshold Summary'!$A:$A,"")</f>
        <v/>
      </c>
      <c r="B179" s="3">
        <f>XLOOKUP($Q179,'Threshold Summary'!$Y:$Y,'Threshold Summary'!$M:$M,"")</f>
        <v/>
      </c>
      <c r="C179" s="3">
        <f>XLOOKUP($Q179,'Threshold Summary'!$Y:$Y,'Threshold Summary'!$N:$N,"")</f>
        <v/>
      </c>
      <c r="D179" s="3">
        <f>IFERROR(INDEX(FILTER('Learnset Editor'!$D$2:$D,'Learnset Editor'!$A$2:$A=XLOOKUP($Q179,'Threshold Summary'!$Y:$Y,'Threshold Summary'!$K:$K,""),'Learnset Editor'!$C$2:$C&lt;=XLOOKUP($Q179,'Threshold Summary'!$Y:$Y,'Threshold Summary'!$L:$L,"")),$R179),"")</f>
        <v/>
      </c>
      <c r="E179" s="3">
        <f>XLOOKUP(D179,'Move Editor'!$B:$B,'Move Editor'!$C:$C,"")</f>
        <v/>
      </c>
      <c r="F179" s="3">
        <f>XLOOKUP(D179,'Move Editor'!$B:$B,'Move Editor'!$D:$D,"")</f>
        <v/>
      </c>
      <c r="G179" s="3">
        <f>XLOOKUP(D179,'Move Editor'!$B:$B,'Move Editor'!$E:$E,0)</f>
        <v/>
      </c>
      <c r="H179" s="3">
        <f>XLOOKUP(D179,'Move Editor'!$B:$B,'Move Editor'!$F:$F,0)</f>
        <v/>
      </c>
      <c r="I179" s="3">
        <f>(INDEX('Type Chart'!$B:$S,MATCH(E179,'Type Chart'!$A:$A,0),MATCH(XLOOKUP('Boss Editor'!$C$4,'Pokemon Editor'!$A:$A,'Pokemon Editor'!$C:$C,""),'Type Chart'!$B$1:$S$1,0))*IF(XLOOKUP('Boss Editor'!$C$4,'Pokemon Editor'!$A:$A,'Pokemon Editor'!$D:$D,"")="",1,INDEX('Type Chart'!$B:$S,MATCH(E179,'Type Chart'!$A:$A,0),MATCH(XLOOKUP('Boss Editor'!$C$4,'Pokemon Editor'!$A:$A,'Pokemon Editor'!$D:$D,""),'Type Chart'!$B$1:$S$1,0))))</f>
        <v/>
      </c>
      <c r="J179" s="3">
        <f>IFERROR(LET(mtype,XLOOKUP($D179,'Move Editor'!$B:$B,'Move Editor'!$C:$C,""),cat,XLOOKUP($D179,'Move Editor'!$B:$B,'Move Editor'!$D:$D,""),pow,XLOOKUP($D179,'Move Editor'!$B:$B,'Move Editor'!$E:$E,0),acc,XLOOKUP($D179,'Move Editor'!$B:$B,'Move Editor'!$F:$F,100),atk,IF(cat="Physical",FLOOR((FLOOR(((2*XLOOKUP(XLOOKUP($Q179,'Threshold Summary'!$Y:$Y,'Threshold Summary'!$K:$K,""),'Pokemon Editor'!$A:$A,'Pokemon Editor'!$F:$F,0)+31+FLOOR(XLOOKUP($Q179,'Threshold Summary'!$Y:$Y,'Threshold Summary'!$P:$P,"")/4))*XLOOKUP($Q179,'Threshold Summary'!$Y:$Y,'Threshold Summary'!$L:$L,""))/100)+5)*XLOOKUP(XLOOKUP($Q179,'Threshold Summary'!$Y:$Y,'Threshold Summary'!$M:$M,""),'Nature Editor'!$A:$A,'Nature Editor'!$B:$B,1)),FLOOR((FLOOR(((2*XLOOKUP(XLOOKUP($Q179,'Threshold Summary'!$Y:$Y,'Threshold Summary'!$K:$K,""),'Pokemon Editor'!$A:$A,'Pokemon Editor'!$H:$H,0)+31+FLOOR(XLOOKUP($Q179,'Threshold Summary'!$Y:$Y,'Threshold Summary'!$R:$R,"")/4))*XLOOKUP($Q179,'Threshold Summary'!$Y:$Y,'Threshold Summary'!$L:$L,""))/100)+5)*XLOOKUP(XLOOKUP($Q179,'Threshold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Editor'!$E:$E,1))),stab,IF(OR(mtype=XLOOKUP(XLOOKUP($Q179,'Threshold Summary'!$Y:$Y,'Threshold Summary'!$K:$K,""),'Pokemon Editor'!$A:$A,'Pokemon Editor'!$C:$C,""),mtype=XLOOKUP(XLOOKUP($Q179,'Threshold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Chart'!$B$1:$S$1,0)))),base,IF(OR(cat="Status",pow=0),0,FLOOR(FLOOR(FLOOR((2*XLOOKUP($Q179,'Threshold Summary'!$Y:$Y,'Threshold Summary'!$L:$L,"")/5+2)*pow*atk/def)/50)+2)),modifier,stab*eff,FLOOR(base*modifier*0.85)),0)</f>
        <v/>
      </c>
      <c r="K179" s="3">
        <f>IFERROR(LET(mtype,XLOOKUP($D179,'Move Editor'!$B:$B,'Move Editor'!$C:$C,""),cat,XLOOKUP($D179,'Move Editor'!$B:$B,'Move Editor'!$D:$D,""),pow,XLOOKUP($D179,'Move Editor'!$B:$B,'Move Editor'!$E:$E,0),acc,XLOOKUP($D179,'Move Editor'!$B:$B,'Move Editor'!$F:$F,100),atk,IF(cat="Physical",FLOOR((FLOOR(((2*XLOOKUP(XLOOKUP($Q179,'Threshold Summary'!$Y:$Y,'Threshold Summary'!$K:$K,""),'Pokemon Editor'!$A:$A,'Pokemon Editor'!$F:$F,0)+31+FLOOR(XLOOKUP($Q179,'Threshold Summary'!$Y:$Y,'Threshold Summary'!$P:$P,"")/4))*XLOOKUP($Q179,'Threshold Summary'!$Y:$Y,'Threshold Summary'!$L:$L,""))/100)+5)*XLOOKUP(XLOOKUP($Q179,'Threshold Summary'!$Y:$Y,'Threshold Summary'!$M:$M,""),'Nature Editor'!$A:$A,'Nature Editor'!$B:$B,1)),FLOOR((FLOOR(((2*XLOOKUP(XLOOKUP($Q179,'Threshold Summary'!$Y:$Y,'Threshold Summary'!$K:$K,""),'Pokemon Editor'!$A:$A,'Pokemon Editor'!$H:$H,0)+31+FLOOR(XLOOKUP($Q179,'Threshold Summary'!$Y:$Y,'Threshold Summary'!$R:$R,"")/4))*XLOOKUP($Q179,'Threshold Summary'!$Y:$Y,'Threshold Summary'!$L:$L,""))/100)+5)*XLOOKUP(XLOOKUP($Q179,'Threshold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Editor'!$E:$E,1))),stab,IF(OR(mtype=XLOOKUP(XLOOKUP($Q179,'Threshold Summary'!$Y:$Y,'Threshold Summary'!$K:$K,""),'Pokemon Editor'!$A:$A,'Pokemon Editor'!$C:$C,""),mtype=XLOOKUP(XLOOKUP($Q179,'Threshold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Chart'!$B$1:$S$1,0)))),base,IF(OR(cat="Status",pow=0),0,FLOOR(FLOOR(FLOOR((2*XLOOKUP($Q179,'Threshold Summary'!$Y:$Y,'Threshold Summary'!$L:$L,"")/5+2)*pow*atk/def)/50)+2)),modifier,stab*eff,FLOOR(base*modifier)),0)</f>
        <v/>
      </c>
      <c r="L179" s="3">
        <f>IFERROR(LET(mtype,XLOOKUP($D179,'Move Editor'!$B:$B,'Move Editor'!$C:$C,""),cat,XLOOKUP($D179,'Move Editor'!$B:$B,'Move Editor'!$D:$D,""),pow,XLOOKUP($D179,'Move Editor'!$B:$B,'Move Editor'!$E:$E,0),acc,XLOOKUP($D179,'Move Editor'!$B:$B,'Move Editor'!$F:$F,100),atk,IF(cat="Physical",FLOOR((FLOOR(((2*XLOOKUP(XLOOKUP($Q179,'Threshold Summary'!$Y:$Y,'Threshold Summary'!$K:$K,""),'Pokemon Editor'!$A:$A,'Pokemon Editor'!$F:$F,0)+31+FLOOR(XLOOKUP($Q179,'Threshold Summary'!$Y:$Y,'Threshold Summary'!$P:$P,"")/4))*XLOOKUP($Q179,'Threshold Summary'!$Y:$Y,'Threshold Summary'!$L:$L,""))/100)+5)*XLOOKUP(XLOOKUP($Q179,'Threshold Summary'!$Y:$Y,'Threshold Summary'!$M:$M,""),'Nature Editor'!$A:$A,'Nature Editor'!$B:$B,1)),FLOOR((FLOOR(((2*XLOOKUP(XLOOKUP($Q179,'Threshold Summary'!$Y:$Y,'Threshold Summary'!$K:$K,""),'Pokemon Editor'!$A:$A,'Pokemon Editor'!$H:$H,0)+31+FLOOR(XLOOKUP($Q179,'Threshold Summary'!$Y:$Y,'Threshold Summary'!$R:$R,"")/4))*XLOOKUP($Q179,'Threshold Summary'!$Y:$Y,'Threshold Summary'!$L:$L,""))/100)+5)*XLOOKUP(XLOOKUP($Q179,'Threshold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Editor'!$E:$E,1))),stab,IF(OR(mtype=XLOOKUP(XLOOKUP($Q179,'Threshold Summary'!$Y:$Y,'Threshold Summary'!$K:$K,""),'Pokemon Editor'!$A:$A,'Pokemon Editor'!$C:$C,""),mtype=XLOOKUP(XLOOKUP($Q179,'Threshold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Chart'!$B$1:$S$1,0)))),base,IF(OR(cat="Status",pow=0),0,FLOOR(FLOOR(FLOOR((2*XLOOKUP($Q179,'Threshold Summary'!$Y:$Y,'Threshold Summary'!$L:$L,"")/5+2)*pow*atk/def)/50)+2)),modifier,stab*eff,AVERAGE(ARRAYFORMULA(FLOOR(base*modifier*SEQUENCE(16,1,85,1)/100)))),0)</f>
        <v/>
      </c>
      <c r="M179" s="3">
        <f>IFERROR(LET(mtype,XLOOKUP($D179,'Move Editor'!$B:$B,'Move Editor'!$C:$C,""),cat,XLOOKUP($D179,'Move Editor'!$B:$B,'Move Editor'!$D:$D,""),pow,XLOOKUP($D179,'Move Editor'!$B:$B,'Move Editor'!$E:$E,0),acc,XLOOKUP($D179,'Move Editor'!$B:$B,'Move Editor'!$F:$F,100),atk,IF(cat="Physical",FLOOR((FLOOR(((2*XLOOKUP(XLOOKUP($Q179,'Threshold Summary'!$Y:$Y,'Threshold Summary'!$K:$K,""),'Pokemon Editor'!$A:$A,'Pokemon Editor'!$F:$F,0)+31+FLOOR(XLOOKUP($Q179,'Threshold Summary'!$Y:$Y,'Threshold Summary'!$P:$P,"")/4))*XLOOKUP($Q179,'Threshold Summary'!$Y:$Y,'Threshold Summary'!$L:$L,""))/100)+5)*XLOOKUP(XLOOKUP($Q179,'Threshold Summary'!$Y:$Y,'Threshold Summary'!$M:$M,""),'Nature Editor'!$A:$A,'Nature Editor'!$B:$B,1)),FLOOR((FLOOR(((2*XLOOKUP(XLOOKUP($Q179,'Threshold Summary'!$Y:$Y,'Threshold Summary'!$K:$K,""),'Pokemon Editor'!$A:$A,'Pokemon Editor'!$H:$H,0)+31+FLOOR(XLOOKUP($Q179,'Threshold Summary'!$Y:$Y,'Threshold Summary'!$R:$R,"")/4))*XLOOKUP($Q179,'Threshold Summary'!$Y:$Y,'Threshold Summary'!$L:$L,""))/100)+5)*XLOOKUP(XLOOKUP($Q179,'Threshold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Editor'!$E:$E,1))),stab,IF(OR(mtype=XLOOKUP(XLOOKUP($Q179,'Threshold Summary'!$Y:$Y,'Threshold Summary'!$K:$K,""),'Pokemon Editor'!$A:$A,'Pokemon Editor'!$C:$C,""),mtype=XLOOKUP(XLOOKUP($Q179,'Threshold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Chart'!$B$1:$S$1,0)))),base,IF(OR(cat="Status",pow=0),0,FLOOR(FLOOR(FLOOR((2*XLOOKUP($Q179,'Threshold Summary'!$Y:$Y,'Threshold Summary'!$L:$L,"")/5+2)*pow*atk/def)/50)+2)),modifier,stab*eff,AVERAGE(ARRAYFORMULA(FLOOR(base*modifier*SEQUENCE(16,1,85,1)/100)))*MIN(1,acc/100)),0)</f>
        <v/>
      </c>
      <c r="N179" s="4">
        <f>IFERROR(LET(mtype,XLOOKUP($D179,'Move Editor'!$B:$B,'Move Editor'!$C:$C,""),cat,XLOOKUP($D179,'Move Editor'!$B:$B,'Move Editor'!$D:$D,""),pow,XLOOKUP($D179,'Move Editor'!$B:$B,'Move Editor'!$E:$E,0),acc,XLOOKUP($D179,'Move Editor'!$B:$B,'Move Editor'!$F:$F,100),atk,IF(cat="Physical",FLOOR((FLOOR(((2*XLOOKUP(XLOOKUP($Q179,'Threshold Summary'!$Y:$Y,'Threshold Summary'!$K:$K,""),'Pokemon Editor'!$A:$A,'Pokemon Editor'!$F:$F,0)+31+FLOOR(XLOOKUP($Q179,'Threshold Summary'!$Y:$Y,'Threshold Summary'!$P:$P,"")/4))*XLOOKUP($Q179,'Threshold Summary'!$Y:$Y,'Threshold Summary'!$L:$L,""))/100)+5)*XLOOKUP(XLOOKUP($Q179,'Threshold Summary'!$Y:$Y,'Threshold Summary'!$M:$M,""),'Nature Editor'!$A:$A,'Nature Editor'!$B:$B,1)),FLOOR((FLOOR(((2*XLOOKUP(XLOOKUP($Q179,'Threshold Summary'!$Y:$Y,'Threshold Summary'!$K:$K,""),'Pokemon Editor'!$A:$A,'Pokemon Editor'!$H:$H,0)+31+FLOOR(XLOOKUP($Q179,'Threshold Summary'!$Y:$Y,'Threshold Summary'!$R:$R,"")/4))*XLOOKUP($Q179,'Threshold Summary'!$Y:$Y,'Threshold Summary'!$L:$L,""))/100)+5)*XLOOKUP(XLOOKUP($Q179,'Threshold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Editor'!$E:$E,1))),stab,IF(OR(mtype=XLOOKUP(XLOOKUP($Q179,'Threshold Summary'!$Y:$Y,'Threshold Summary'!$K:$K,""),'Pokemon Editor'!$A:$A,'Pokemon Editor'!$C:$C,""),mtype=XLOOKUP(XLOOKUP($Q179,'Threshold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Chart'!$B$1:$S$1,0)))),base,IF(OR(cat="Status",pow=0),0,FLOOR(FLOOR(FLOOR((2*XLOOKUP($Q179,'Threshold Summary'!$Y:$Y,'Threshold Summary'!$L:$L,"")/5+2)*pow*atk/def)/50)+2)),modifier,stab*eff,AVERAGE(ARRAYFORMULA(FLOOR(base*modifier*SEQUENCE(16,1,85,1)/100)))/(FLOOR(((2*XLOOKUP('Boss Editor'!$C$4,'Pokemon Editor'!$A:$A,'Pokemon Editor'!$E:$E,0)+31+FLOOR('Boss Editor'!$G$4/4))*'Boss Editor'!$D$4)/100)+'Boss Editor'!$D$4+10)),0)</f>
        <v/>
      </c>
      <c r="O179" s="3">
        <f>IF(N179&gt;=1,"OHKO",IF(N179&gt;=0.5,"2HKO",IF(N179&gt;=0.333,"3HKO",IF(N179&gt;=0.25,"4HKO","5HKO+"))))</f>
        <v/>
      </c>
      <c r="P179" s="3" t="inlineStr">
        <is>
          <t>Live from editable databases</t>
        </is>
      </c>
      <c r="Q179" s="3" t="inlineStr">
        <is>
          <t>SPECIES_MUDKIP</t>
        </is>
      </c>
      <c r="R179" s="3" t="n">
        <v>18</v>
      </c>
    </row>
    <row r="180">
      <c r="A180" s="3">
        <f>XLOOKUP($Q180,'Threshold Summary'!$Y:$Y,'Threshold Summary'!$A:$A,"")</f>
        <v/>
      </c>
      <c r="B180" s="3">
        <f>XLOOKUP($Q180,'Threshold Summary'!$Y:$Y,'Threshold Summary'!$M:$M,"")</f>
        <v/>
      </c>
      <c r="C180" s="3">
        <f>XLOOKUP($Q180,'Threshold Summary'!$Y:$Y,'Threshold Summary'!$N:$N,"")</f>
        <v/>
      </c>
      <c r="D180" s="3">
        <f>IFERROR(INDEX(FILTER('Learnset Editor'!$D$2:$D,'Learnset Editor'!$A$2:$A=XLOOKUP($Q180,'Threshold Summary'!$Y:$Y,'Threshold Summary'!$K:$K,""),'Learnset Editor'!$C$2:$C&lt;=XLOOKUP($Q180,'Threshold Summary'!$Y:$Y,'Threshold Summary'!$L:$L,"")),$R180),"")</f>
        <v/>
      </c>
      <c r="E180" s="3">
        <f>XLOOKUP(D180,'Move Editor'!$B:$B,'Move Editor'!$C:$C,"")</f>
        <v/>
      </c>
      <c r="F180" s="3">
        <f>XLOOKUP(D180,'Move Editor'!$B:$B,'Move Editor'!$D:$D,"")</f>
        <v/>
      </c>
      <c r="G180" s="3">
        <f>XLOOKUP(D180,'Move Editor'!$B:$B,'Move Editor'!$E:$E,0)</f>
        <v/>
      </c>
      <c r="H180" s="3">
        <f>XLOOKUP(D180,'Move Editor'!$B:$B,'Move Editor'!$F:$F,0)</f>
        <v/>
      </c>
      <c r="I180" s="3">
        <f>(INDEX('Type Chart'!$B:$S,MATCH(E180,'Type Chart'!$A:$A,0),MATCH(XLOOKUP('Boss Editor'!$C$4,'Pokemon Editor'!$A:$A,'Pokemon Editor'!$C:$C,""),'Type Chart'!$B$1:$S$1,0))*IF(XLOOKUP('Boss Editor'!$C$4,'Pokemon Editor'!$A:$A,'Pokemon Editor'!$D:$D,"")="",1,INDEX('Type Chart'!$B:$S,MATCH(E180,'Type Chart'!$A:$A,0),MATCH(XLOOKUP('Boss Editor'!$C$4,'Pokemon Editor'!$A:$A,'Pokemon Editor'!$D:$D,""),'Type Chart'!$B$1:$S$1,0))))</f>
        <v/>
      </c>
      <c r="J180" s="3">
        <f>IFERROR(LET(mtype,XLOOKUP($D180,'Move Editor'!$B:$B,'Move Editor'!$C:$C,""),cat,XLOOKUP($D180,'Move Editor'!$B:$B,'Move Editor'!$D:$D,""),pow,XLOOKUP($D180,'Move Editor'!$B:$B,'Move Editor'!$E:$E,0),acc,XLOOKUP($D180,'Move Editor'!$B:$B,'Move Editor'!$F:$F,100),atk,IF(cat="Physical",FLOOR((FLOOR(((2*XLOOKUP(XLOOKUP($Q180,'Threshold Summary'!$Y:$Y,'Threshold Summary'!$K:$K,""),'Pokemon Editor'!$A:$A,'Pokemon Editor'!$F:$F,0)+31+FLOOR(XLOOKUP($Q180,'Threshold Summary'!$Y:$Y,'Threshold Summary'!$P:$P,"")/4))*XLOOKUP($Q180,'Threshold Summary'!$Y:$Y,'Threshold Summary'!$L:$L,""))/100)+5)*XLOOKUP(XLOOKUP($Q180,'Threshold Summary'!$Y:$Y,'Threshold Summary'!$M:$M,""),'Nature Editor'!$A:$A,'Nature Editor'!$B:$B,1)),FLOOR((FLOOR(((2*XLOOKUP(XLOOKUP($Q180,'Threshold Summary'!$Y:$Y,'Threshold Summary'!$K:$K,""),'Pokemon Editor'!$A:$A,'Pokemon Editor'!$H:$H,0)+31+FLOOR(XLOOKUP($Q180,'Threshold Summary'!$Y:$Y,'Threshold Summary'!$R:$R,"")/4))*XLOOKUP($Q180,'Threshold Summary'!$Y:$Y,'Threshold Summary'!$L:$L,""))/100)+5)*XLOOKUP(XLOOKUP($Q180,'Threshold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Editor'!$E:$E,1))),stab,IF(OR(mtype=XLOOKUP(XLOOKUP($Q180,'Threshold Summary'!$Y:$Y,'Threshold Summary'!$K:$K,""),'Pokemon Editor'!$A:$A,'Pokemon Editor'!$C:$C,""),mtype=XLOOKUP(XLOOKUP($Q180,'Threshold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Chart'!$B$1:$S$1,0)))),base,IF(OR(cat="Status",pow=0),0,FLOOR(FLOOR(FLOOR((2*XLOOKUP($Q180,'Threshold Summary'!$Y:$Y,'Threshold Summary'!$L:$L,"")/5+2)*pow*atk/def)/50)+2)),modifier,stab*eff,FLOOR(base*modifier*0.85)),0)</f>
        <v/>
      </c>
      <c r="K180" s="3">
        <f>IFERROR(LET(mtype,XLOOKUP($D180,'Move Editor'!$B:$B,'Move Editor'!$C:$C,""),cat,XLOOKUP($D180,'Move Editor'!$B:$B,'Move Editor'!$D:$D,""),pow,XLOOKUP($D180,'Move Editor'!$B:$B,'Move Editor'!$E:$E,0),acc,XLOOKUP($D180,'Move Editor'!$B:$B,'Move Editor'!$F:$F,100),atk,IF(cat="Physical",FLOOR((FLOOR(((2*XLOOKUP(XLOOKUP($Q180,'Threshold Summary'!$Y:$Y,'Threshold Summary'!$K:$K,""),'Pokemon Editor'!$A:$A,'Pokemon Editor'!$F:$F,0)+31+FLOOR(XLOOKUP($Q180,'Threshold Summary'!$Y:$Y,'Threshold Summary'!$P:$P,"")/4))*XLOOKUP($Q180,'Threshold Summary'!$Y:$Y,'Threshold Summary'!$L:$L,""))/100)+5)*XLOOKUP(XLOOKUP($Q180,'Threshold Summary'!$Y:$Y,'Threshold Summary'!$M:$M,""),'Nature Editor'!$A:$A,'Nature Editor'!$B:$B,1)),FLOOR((FLOOR(((2*XLOOKUP(XLOOKUP($Q180,'Threshold Summary'!$Y:$Y,'Threshold Summary'!$K:$K,""),'Pokemon Editor'!$A:$A,'Pokemon Editor'!$H:$H,0)+31+FLOOR(XLOOKUP($Q180,'Threshold Summary'!$Y:$Y,'Threshold Summary'!$R:$R,"")/4))*XLOOKUP($Q180,'Threshold Summary'!$Y:$Y,'Threshold Summary'!$L:$L,""))/100)+5)*XLOOKUP(XLOOKUP($Q180,'Threshold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Editor'!$E:$E,1))),stab,IF(OR(mtype=XLOOKUP(XLOOKUP($Q180,'Threshold Summary'!$Y:$Y,'Threshold Summary'!$K:$K,""),'Pokemon Editor'!$A:$A,'Pokemon Editor'!$C:$C,""),mtype=XLOOKUP(XLOOKUP($Q180,'Threshold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Chart'!$B$1:$S$1,0)))),base,IF(OR(cat="Status",pow=0),0,FLOOR(FLOOR(FLOOR((2*XLOOKUP($Q180,'Threshold Summary'!$Y:$Y,'Threshold Summary'!$L:$L,"")/5+2)*pow*atk/def)/50)+2)),modifier,stab*eff,FLOOR(base*modifier)),0)</f>
        <v/>
      </c>
      <c r="L180" s="3">
        <f>IFERROR(LET(mtype,XLOOKUP($D180,'Move Editor'!$B:$B,'Move Editor'!$C:$C,""),cat,XLOOKUP($D180,'Move Editor'!$B:$B,'Move Editor'!$D:$D,""),pow,XLOOKUP($D180,'Move Editor'!$B:$B,'Move Editor'!$E:$E,0),acc,XLOOKUP($D180,'Move Editor'!$B:$B,'Move Editor'!$F:$F,100),atk,IF(cat="Physical",FLOOR((FLOOR(((2*XLOOKUP(XLOOKUP($Q180,'Threshold Summary'!$Y:$Y,'Threshold Summary'!$K:$K,""),'Pokemon Editor'!$A:$A,'Pokemon Editor'!$F:$F,0)+31+FLOOR(XLOOKUP($Q180,'Threshold Summary'!$Y:$Y,'Threshold Summary'!$P:$P,"")/4))*XLOOKUP($Q180,'Threshold Summary'!$Y:$Y,'Threshold Summary'!$L:$L,""))/100)+5)*XLOOKUP(XLOOKUP($Q180,'Threshold Summary'!$Y:$Y,'Threshold Summary'!$M:$M,""),'Nature Editor'!$A:$A,'Nature Editor'!$B:$B,1)),FLOOR((FLOOR(((2*XLOOKUP(XLOOKUP($Q180,'Threshold Summary'!$Y:$Y,'Threshold Summary'!$K:$K,""),'Pokemon Editor'!$A:$A,'Pokemon Editor'!$H:$H,0)+31+FLOOR(XLOOKUP($Q180,'Threshold Summary'!$Y:$Y,'Threshold Summary'!$R:$R,"")/4))*XLOOKUP($Q180,'Threshold Summary'!$Y:$Y,'Threshold Summary'!$L:$L,""))/100)+5)*XLOOKUP(XLOOKUP($Q180,'Threshold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Editor'!$E:$E,1))),stab,IF(OR(mtype=XLOOKUP(XLOOKUP($Q180,'Threshold Summary'!$Y:$Y,'Threshold Summary'!$K:$K,""),'Pokemon Editor'!$A:$A,'Pokemon Editor'!$C:$C,""),mtype=XLOOKUP(XLOOKUP($Q180,'Threshold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Chart'!$B$1:$S$1,0)))),base,IF(OR(cat="Status",pow=0),0,FLOOR(FLOOR(FLOOR((2*XLOOKUP($Q180,'Threshold Summary'!$Y:$Y,'Threshold Summary'!$L:$L,"")/5+2)*pow*atk/def)/50)+2)),modifier,stab*eff,AVERAGE(ARRAYFORMULA(FLOOR(base*modifier*SEQUENCE(16,1,85,1)/100)))),0)</f>
        <v/>
      </c>
      <c r="M180" s="3">
        <f>IFERROR(LET(mtype,XLOOKUP($D180,'Move Editor'!$B:$B,'Move Editor'!$C:$C,""),cat,XLOOKUP($D180,'Move Editor'!$B:$B,'Move Editor'!$D:$D,""),pow,XLOOKUP($D180,'Move Editor'!$B:$B,'Move Editor'!$E:$E,0),acc,XLOOKUP($D180,'Move Editor'!$B:$B,'Move Editor'!$F:$F,100),atk,IF(cat="Physical",FLOOR((FLOOR(((2*XLOOKUP(XLOOKUP($Q180,'Threshold Summary'!$Y:$Y,'Threshold Summary'!$K:$K,""),'Pokemon Editor'!$A:$A,'Pokemon Editor'!$F:$F,0)+31+FLOOR(XLOOKUP($Q180,'Threshold Summary'!$Y:$Y,'Threshold Summary'!$P:$P,"")/4))*XLOOKUP($Q180,'Threshold Summary'!$Y:$Y,'Threshold Summary'!$L:$L,""))/100)+5)*XLOOKUP(XLOOKUP($Q180,'Threshold Summary'!$Y:$Y,'Threshold Summary'!$M:$M,""),'Nature Editor'!$A:$A,'Nature Editor'!$B:$B,1)),FLOOR((FLOOR(((2*XLOOKUP(XLOOKUP($Q180,'Threshold Summary'!$Y:$Y,'Threshold Summary'!$K:$K,""),'Pokemon Editor'!$A:$A,'Pokemon Editor'!$H:$H,0)+31+FLOOR(XLOOKUP($Q180,'Threshold Summary'!$Y:$Y,'Threshold Summary'!$R:$R,"")/4))*XLOOKUP($Q180,'Threshold Summary'!$Y:$Y,'Threshold Summary'!$L:$L,""))/100)+5)*XLOOKUP(XLOOKUP($Q180,'Threshold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Editor'!$E:$E,1))),stab,IF(OR(mtype=XLOOKUP(XLOOKUP($Q180,'Threshold Summary'!$Y:$Y,'Threshold Summary'!$K:$K,""),'Pokemon Editor'!$A:$A,'Pokemon Editor'!$C:$C,""),mtype=XLOOKUP(XLOOKUP($Q180,'Threshold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Chart'!$B$1:$S$1,0)))),base,IF(OR(cat="Status",pow=0),0,FLOOR(FLOOR(FLOOR((2*XLOOKUP($Q180,'Threshold Summary'!$Y:$Y,'Threshold Summary'!$L:$L,"")/5+2)*pow*atk/def)/50)+2)),modifier,stab*eff,AVERAGE(ARRAYFORMULA(FLOOR(base*modifier*SEQUENCE(16,1,85,1)/100)))*MIN(1,acc/100)),0)</f>
        <v/>
      </c>
      <c r="N180" s="4">
        <f>IFERROR(LET(mtype,XLOOKUP($D180,'Move Editor'!$B:$B,'Move Editor'!$C:$C,""),cat,XLOOKUP($D180,'Move Editor'!$B:$B,'Move Editor'!$D:$D,""),pow,XLOOKUP($D180,'Move Editor'!$B:$B,'Move Editor'!$E:$E,0),acc,XLOOKUP($D180,'Move Editor'!$B:$B,'Move Editor'!$F:$F,100),atk,IF(cat="Physical",FLOOR((FLOOR(((2*XLOOKUP(XLOOKUP($Q180,'Threshold Summary'!$Y:$Y,'Threshold Summary'!$K:$K,""),'Pokemon Editor'!$A:$A,'Pokemon Editor'!$F:$F,0)+31+FLOOR(XLOOKUP($Q180,'Threshold Summary'!$Y:$Y,'Threshold Summary'!$P:$P,"")/4))*XLOOKUP($Q180,'Threshold Summary'!$Y:$Y,'Threshold Summary'!$L:$L,""))/100)+5)*XLOOKUP(XLOOKUP($Q180,'Threshold Summary'!$Y:$Y,'Threshold Summary'!$M:$M,""),'Nature Editor'!$A:$A,'Nature Editor'!$B:$B,1)),FLOOR((FLOOR(((2*XLOOKUP(XLOOKUP($Q180,'Threshold Summary'!$Y:$Y,'Threshold Summary'!$K:$K,""),'Pokemon Editor'!$A:$A,'Pokemon Editor'!$H:$H,0)+31+FLOOR(XLOOKUP($Q180,'Threshold Summary'!$Y:$Y,'Threshold Summary'!$R:$R,"")/4))*XLOOKUP($Q180,'Threshold Summary'!$Y:$Y,'Threshold Summary'!$L:$L,""))/100)+5)*XLOOKUP(XLOOKUP($Q180,'Threshold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Editor'!$E:$E,1))),stab,IF(OR(mtype=XLOOKUP(XLOOKUP($Q180,'Threshold Summary'!$Y:$Y,'Threshold Summary'!$K:$K,""),'Pokemon Editor'!$A:$A,'Pokemon Editor'!$C:$C,""),mtype=XLOOKUP(XLOOKUP($Q180,'Threshold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Chart'!$B$1:$S$1,0)))),base,IF(OR(cat="Status",pow=0),0,FLOOR(FLOOR(FLOOR((2*XLOOKUP($Q180,'Threshold Summary'!$Y:$Y,'Threshold Summary'!$L:$L,"")/5+2)*pow*atk/def)/50)+2)),modifier,stab*eff,AVERAGE(ARRAYFORMULA(FLOOR(base*modifier*SEQUENCE(16,1,85,1)/100)))/(FLOOR(((2*XLOOKUP('Boss Editor'!$C$4,'Pokemon Editor'!$A:$A,'Pokemon Editor'!$E:$E,0)+31+FLOOR('Boss Editor'!$G$4/4))*'Boss Editor'!$D$4)/100)+'Boss Editor'!$D$4+10)),0)</f>
        <v/>
      </c>
      <c r="O180" s="3">
        <f>IF(N180&gt;=1,"OHKO",IF(N180&gt;=0.5,"2HKO",IF(N180&gt;=0.333,"3HKO",IF(N180&gt;=0.25,"4HKO","5HKO+"))))</f>
        <v/>
      </c>
      <c r="P180" s="3" t="inlineStr">
        <is>
          <t>Live from editable databases</t>
        </is>
      </c>
      <c r="Q180" s="3" t="inlineStr">
        <is>
          <t>SPECIES_MUDKIP</t>
        </is>
      </c>
      <c r="R180" s="3" t="n">
        <v>19</v>
      </c>
    </row>
    <row r="181">
      <c r="A181" s="3">
        <f>XLOOKUP($Q181,'Threshold Summary'!$Y:$Y,'Threshold Summary'!$A:$A,"")</f>
        <v/>
      </c>
      <c r="B181" s="3">
        <f>XLOOKUP($Q181,'Threshold Summary'!$Y:$Y,'Threshold Summary'!$M:$M,"")</f>
        <v/>
      </c>
      <c r="C181" s="3">
        <f>XLOOKUP($Q181,'Threshold Summary'!$Y:$Y,'Threshold Summary'!$N:$N,"")</f>
        <v/>
      </c>
      <c r="D181" s="3">
        <f>IFERROR(INDEX(FILTER('Learnset Editor'!$D$2:$D,'Learnset Editor'!$A$2:$A=XLOOKUP($Q181,'Threshold Summary'!$Y:$Y,'Threshold Summary'!$K:$K,""),'Learnset Editor'!$C$2:$C&lt;=XLOOKUP($Q181,'Threshold Summary'!$Y:$Y,'Threshold Summary'!$L:$L,"")),$R181),"")</f>
        <v/>
      </c>
      <c r="E181" s="3">
        <f>XLOOKUP(D181,'Move Editor'!$B:$B,'Move Editor'!$C:$C,"")</f>
        <v/>
      </c>
      <c r="F181" s="3">
        <f>XLOOKUP(D181,'Move Editor'!$B:$B,'Move Editor'!$D:$D,"")</f>
        <v/>
      </c>
      <c r="G181" s="3">
        <f>XLOOKUP(D181,'Move Editor'!$B:$B,'Move Editor'!$E:$E,0)</f>
        <v/>
      </c>
      <c r="H181" s="3">
        <f>XLOOKUP(D181,'Move Editor'!$B:$B,'Move Editor'!$F:$F,0)</f>
        <v/>
      </c>
      <c r="I181" s="3">
        <f>(INDEX('Type Chart'!$B:$S,MATCH(E181,'Type Chart'!$A:$A,0),MATCH(XLOOKUP('Boss Editor'!$C$4,'Pokemon Editor'!$A:$A,'Pokemon Editor'!$C:$C,""),'Type Chart'!$B$1:$S$1,0))*IF(XLOOKUP('Boss Editor'!$C$4,'Pokemon Editor'!$A:$A,'Pokemon Editor'!$D:$D,"")="",1,INDEX('Type Chart'!$B:$S,MATCH(E181,'Type Chart'!$A:$A,0),MATCH(XLOOKUP('Boss Editor'!$C$4,'Pokemon Editor'!$A:$A,'Pokemon Editor'!$D:$D,""),'Type Chart'!$B$1:$S$1,0))))</f>
        <v/>
      </c>
      <c r="J181" s="3">
        <f>IFERROR(LET(mtype,XLOOKUP($D181,'Move Editor'!$B:$B,'Move Editor'!$C:$C,""),cat,XLOOKUP($D181,'Move Editor'!$B:$B,'Move Editor'!$D:$D,""),pow,XLOOKUP($D181,'Move Editor'!$B:$B,'Move Editor'!$E:$E,0),acc,XLOOKUP($D181,'Move Editor'!$B:$B,'Move Editor'!$F:$F,100),atk,IF(cat="Physical",FLOOR((FLOOR(((2*XLOOKUP(XLOOKUP($Q181,'Threshold Summary'!$Y:$Y,'Threshold Summary'!$K:$K,""),'Pokemon Editor'!$A:$A,'Pokemon Editor'!$F:$F,0)+31+FLOOR(XLOOKUP($Q181,'Threshold Summary'!$Y:$Y,'Threshold Summary'!$P:$P,"")/4))*XLOOKUP($Q181,'Threshold Summary'!$Y:$Y,'Threshold Summary'!$L:$L,""))/100)+5)*XLOOKUP(XLOOKUP($Q181,'Threshold Summary'!$Y:$Y,'Threshold Summary'!$M:$M,""),'Nature Editor'!$A:$A,'Nature Editor'!$B:$B,1)),FLOOR((FLOOR(((2*XLOOKUP(XLOOKUP($Q181,'Threshold Summary'!$Y:$Y,'Threshold Summary'!$K:$K,""),'Pokemon Editor'!$A:$A,'Pokemon Editor'!$H:$H,0)+31+FLOOR(XLOOKUP($Q181,'Threshold Summary'!$Y:$Y,'Threshold Summary'!$R:$R,"")/4))*XLOOKUP($Q181,'Threshold Summary'!$Y:$Y,'Threshold Summary'!$L:$L,""))/100)+5)*XLOOKUP(XLOOKUP($Q181,'Threshold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Editor'!$E:$E,1))),stab,IF(OR(mtype=XLOOKUP(XLOOKUP($Q181,'Threshold Summary'!$Y:$Y,'Threshold Summary'!$K:$K,""),'Pokemon Editor'!$A:$A,'Pokemon Editor'!$C:$C,""),mtype=XLOOKUP(XLOOKUP($Q181,'Threshold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Chart'!$B$1:$S$1,0)))),base,IF(OR(cat="Status",pow=0),0,FLOOR(FLOOR(FLOOR((2*XLOOKUP($Q181,'Threshold Summary'!$Y:$Y,'Threshold Summary'!$L:$L,"")/5+2)*pow*atk/def)/50)+2)),modifier,stab*eff,FLOOR(base*modifier*0.85)),0)</f>
        <v/>
      </c>
      <c r="K181" s="3">
        <f>IFERROR(LET(mtype,XLOOKUP($D181,'Move Editor'!$B:$B,'Move Editor'!$C:$C,""),cat,XLOOKUP($D181,'Move Editor'!$B:$B,'Move Editor'!$D:$D,""),pow,XLOOKUP($D181,'Move Editor'!$B:$B,'Move Editor'!$E:$E,0),acc,XLOOKUP($D181,'Move Editor'!$B:$B,'Move Editor'!$F:$F,100),atk,IF(cat="Physical",FLOOR((FLOOR(((2*XLOOKUP(XLOOKUP($Q181,'Threshold Summary'!$Y:$Y,'Threshold Summary'!$K:$K,""),'Pokemon Editor'!$A:$A,'Pokemon Editor'!$F:$F,0)+31+FLOOR(XLOOKUP($Q181,'Threshold Summary'!$Y:$Y,'Threshold Summary'!$P:$P,"")/4))*XLOOKUP($Q181,'Threshold Summary'!$Y:$Y,'Threshold Summary'!$L:$L,""))/100)+5)*XLOOKUP(XLOOKUP($Q181,'Threshold Summary'!$Y:$Y,'Threshold Summary'!$M:$M,""),'Nature Editor'!$A:$A,'Nature Editor'!$B:$B,1)),FLOOR((FLOOR(((2*XLOOKUP(XLOOKUP($Q181,'Threshold Summary'!$Y:$Y,'Threshold Summary'!$K:$K,""),'Pokemon Editor'!$A:$A,'Pokemon Editor'!$H:$H,0)+31+FLOOR(XLOOKUP($Q181,'Threshold Summary'!$Y:$Y,'Threshold Summary'!$R:$R,"")/4))*XLOOKUP($Q181,'Threshold Summary'!$Y:$Y,'Threshold Summary'!$L:$L,""))/100)+5)*XLOOKUP(XLOOKUP($Q181,'Threshold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Editor'!$E:$E,1))),stab,IF(OR(mtype=XLOOKUP(XLOOKUP($Q181,'Threshold Summary'!$Y:$Y,'Threshold Summary'!$K:$K,""),'Pokemon Editor'!$A:$A,'Pokemon Editor'!$C:$C,""),mtype=XLOOKUP(XLOOKUP($Q181,'Threshold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Chart'!$B$1:$S$1,0)))),base,IF(OR(cat="Status",pow=0),0,FLOOR(FLOOR(FLOOR((2*XLOOKUP($Q181,'Threshold Summary'!$Y:$Y,'Threshold Summary'!$L:$L,"")/5+2)*pow*atk/def)/50)+2)),modifier,stab*eff,FLOOR(base*modifier)),0)</f>
        <v/>
      </c>
      <c r="L181" s="3">
        <f>IFERROR(LET(mtype,XLOOKUP($D181,'Move Editor'!$B:$B,'Move Editor'!$C:$C,""),cat,XLOOKUP($D181,'Move Editor'!$B:$B,'Move Editor'!$D:$D,""),pow,XLOOKUP($D181,'Move Editor'!$B:$B,'Move Editor'!$E:$E,0),acc,XLOOKUP($D181,'Move Editor'!$B:$B,'Move Editor'!$F:$F,100),atk,IF(cat="Physical",FLOOR((FLOOR(((2*XLOOKUP(XLOOKUP($Q181,'Threshold Summary'!$Y:$Y,'Threshold Summary'!$K:$K,""),'Pokemon Editor'!$A:$A,'Pokemon Editor'!$F:$F,0)+31+FLOOR(XLOOKUP($Q181,'Threshold Summary'!$Y:$Y,'Threshold Summary'!$P:$P,"")/4))*XLOOKUP($Q181,'Threshold Summary'!$Y:$Y,'Threshold Summary'!$L:$L,""))/100)+5)*XLOOKUP(XLOOKUP($Q181,'Threshold Summary'!$Y:$Y,'Threshold Summary'!$M:$M,""),'Nature Editor'!$A:$A,'Nature Editor'!$B:$B,1)),FLOOR((FLOOR(((2*XLOOKUP(XLOOKUP($Q181,'Threshold Summary'!$Y:$Y,'Threshold Summary'!$K:$K,""),'Pokemon Editor'!$A:$A,'Pokemon Editor'!$H:$H,0)+31+FLOOR(XLOOKUP($Q181,'Threshold Summary'!$Y:$Y,'Threshold Summary'!$R:$R,"")/4))*XLOOKUP($Q181,'Threshold Summary'!$Y:$Y,'Threshold Summary'!$L:$L,""))/100)+5)*XLOOKUP(XLOOKUP($Q181,'Threshold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Editor'!$E:$E,1))),stab,IF(OR(mtype=XLOOKUP(XLOOKUP($Q181,'Threshold Summary'!$Y:$Y,'Threshold Summary'!$K:$K,""),'Pokemon Editor'!$A:$A,'Pokemon Editor'!$C:$C,""),mtype=XLOOKUP(XLOOKUP($Q181,'Threshold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Chart'!$B$1:$S$1,0)))),base,IF(OR(cat="Status",pow=0),0,FLOOR(FLOOR(FLOOR((2*XLOOKUP($Q181,'Threshold Summary'!$Y:$Y,'Threshold Summary'!$L:$L,"")/5+2)*pow*atk/def)/50)+2)),modifier,stab*eff,AVERAGE(ARRAYFORMULA(FLOOR(base*modifier*SEQUENCE(16,1,85,1)/100)))),0)</f>
        <v/>
      </c>
      <c r="M181" s="3">
        <f>IFERROR(LET(mtype,XLOOKUP($D181,'Move Editor'!$B:$B,'Move Editor'!$C:$C,""),cat,XLOOKUP($D181,'Move Editor'!$B:$B,'Move Editor'!$D:$D,""),pow,XLOOKUP($D181,'Move Editor'!$B:$B,'Move Editor'!$E:$E,0),acc,XLOOKUP($D181,'Move Editor'!$B:$B,'Move Editor'!$F:$F,100),atk,IF(cat="Physical",FLOOR((FLOOR(((2*XLOOKUP(XLOOKUP($Q181,'Threshold Summary'!$Y:$Y,'Threshold Summary'!$K:$K,""),'Pokemon Editor'!$A:$A,'Pokemon Editor'!$F:$F,0)+31+FLOOR(XLOOKUP($Q181,'Threshold Summary'!$Y:$Y,'Threshold Summary'!$P:$P,"")/4))*XLOOKUP($Q181,'Threshold Summary'!$Y:$Y,'Threshold Summary'!$L:$L,""))/100)+5)*XLOOKUP(XLOOKUP($Q181,'Threshold Summary'!$Y:$Y,'Threshold Summary'!$M:$M,""),'Nature Editor'!$A:$A,'Nature Editor'!$B:$B,1)),FLOOR((FLOOR(((2*XLOOKUP(XLOOKUP($Q181,'Threshold Summary'!$Y:$Y,'Threshold Summary'!$K:$K,""),'Pokemon Editor'!$A:$A,'Pokemon Editor'!$H:$H,0)+31+FLOOR(XLOOKUP($Q181,'Threshold Summary'!$Y:$Y,'Threshold Summary'!$R:$R,"")/4))*XLOOKUP($Q181,'Threshold Summary'!$Y:$Y,'Threshold Summary'!$L:$L,""))/100)+5)*XLOOKUP(XLOOKUP($Q181,'Threshold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Editor'!$E:$E,1))),stab,IF(OR(mtype=XLOOKUP(XLOOKUP($Q181,'Threshold Summary'!$Y:$Y,'Threshold Summary'!$K:$K,""),'Pokemon Editor'!$A:$A,'Pokemon Editor'!$C:$C,""),mtype=XLOOKUP(XLOOKUP($Q181,'Threshold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Chart'!$B$1:$S$1,0)))),base,IF(OR(cat="Status",pow=0),0,FLOOR(FLOOR(FLOOR((2*XLOOKUP($Q181,'Threshold Summary'!$Y:$Y,'Threshold Summary'!$L:$L,"")/5+2)*pow*atk/def)/50)+2)),modifier,stab*eff,AVERAGE(ARRAYFORMULA(FLOOR(base*modifier*SEQUENCE(16,1,85,1)/100)))*MIN(1,acc/100)),0)</f>
        <v/>
      </c>
      <c r="N181" s="4">
        <f>IFERROR(LET(mtype,XLOOKUP($D181,'Move Editor'!$B:$B,'Move Editor'!$C:$C,""),cat,XLOOKUP($D181,'Move Editor'!$B:$B,'Move Editor'!$D:$D,""),pow,XLOOKUP($D181,'Move Editor'!$B:$B,'Move Editor'!$E:$E,0),acc,XLOOKUP($D181,'Move Editor'!$B:$B,'Move Editor'!$F:$F,100),atk,IF(cat="Physical",FLOOR((FLOOR(((2*XLOOKUP(XLOOKUP($Q181,'Threshold Summary'!$Y:$Y,'Threshold Summary'!$K:$K,""),'Pokemon Editor'!$A:$A,'Pokemon Editor'!$F:$F,0)+31+FLOOR(XLOOKUP($Q181,'Threshold Summary'!$Y:$Y,'Threshold Summary'!$P:$P,"")/4))*XLOOKUP($Q181,'Threshold Summary'!$Y:$Y,'Threshold Summary'!$L:$L,""))/100)+5)*XLOOKUP(XLOOKUP($Q181,'Threshold Summary'!$Y:$Y,'Threshold Summary'!$M:$M,""),'Nature Editor'!$A:$A,'Nature Editor'!$B:$B,1)),FLOOR((FLOOR(((2*XLOOKUP(XLOOKUP($Q181,'Threshold Summary'!$Y:$Y,'Threshold Summary'!$K:$K,""),'Pokemon Editor'!$A:$A,'Pokemon Editor'!$H:$H,0)+31+FLOOR(XLOOKUP($Q181,'Threshold Summary'!$Y:$Y,'Threshold Summary'!$R:$R,"")/4))*XLOOKUP($Q181,'Threshold Summary'!$Y:$Y,'Threshold Summary'!$L:$L,""))/100)+5)*XLOOKUP(XLOOKUP($Q181,'Threshold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Editor'!$E:$E,1))),stab,IF(OR(mtype=XLOOKUP(XLOOKUP($Q181,'Threshold Summary'!$Y:$Y,'Threshold Summary'!$K:$K,""),'Pokemon Editor'!$A:$A,'Pokemon Editor'!$C:$C,""),mtype=XLOOKUP(XLOOKUP($Q181,'Threshold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Chart'!$B$1:$S$1,0)))),base,IF(OR(cat="Status",pow=0),0,FLOOR(FLOOR(FLOOR((2*XLOOKUP($Q181,'Threshold Summary'!$Y:$Y,'Threshold Summary'!$L:$L,"")/5+2)*pow*atk/def)/50)+2)),modifier,stab*eff,AVERAGE(ARRAYFORMULA(FLOOR(base*modifier*SEQUENCE(16,1,85,1)/100)))/(FLOOR(((2*XLOOKUP('Boss Editor'!$C$4,'Pokemon Editor'!$A:$A,'Pokemon Editor'!$E:$E,0)+31+FLOOR('Boss Editor'!$G$4/4))*'Boss Editor'!$D$4)/100)+'Boss Editor'!$D$4+10)),0)</f>
        <v/>
      </c>
      <c r="O181" s="3">
        <f>IF(N181&gt;=1,"OHKO",IF(N181&gt;=0.5,"2HKO",IF(N181&gt;=0.333,"3HKO",IF(N181&gt;=0.25,"4HKO","5HKO+"))))</f>
        <v/>
      </c>
      <c r="P181" s="3" t="inlineStr">
        <is>
          <t>Live from editable databases</t>
        </is>
      </c>
      <c r="Q181" s="3" t="inlineStr">
        <is>
          <t>SPECIES_MUDKIP</t>
        </is>
      </c>
      <c r="R181" s="3" t="n">
        <v>20</v>
      </c>
    </row>
    <row r="182">
      <c r="A182" s="3">
        <f>XLOOKUP($Q182,'Threshold Summary'!$Y:$Y,'Threshold Summary'!$A:$A,"")</f>
        <v/>
      </c>
      <c r="B182" s="3">
        <f>XLOOKUP($Q182,'Threshold Summary'!$Y:$Y,'Threshold Summary'!$M:$M,"")</f>
        <v/>
      </c>
      <c r="C182" s="3">
        <f>XLOOKUP($Q182,'Threshold Summary'!$Y:$Y,'Threshold Summary'!$N:$N,"")</f>
        <v/>
      </c>
      <c r="D182" s="3">
        <f>IFERROR(INDEX(FILTER('Learnset Editor'!$D$2:$D,'Learnset Editor'!$A$2:$A=XLOOKUP($Q182,'Threshold Summary'!$Y:$Y,'Threshold Summary'!$K:$K,""),'Learnset Editor'!$C$2:$C&lt;=XLOOKUP($Q182,'Threshold Summary'!$Y:$Y,'Threshold Summary'!$L:$L,"")),$R182),"")</f>
        <v/>
      </c>
      <c r="E182" s="3">
        <f>XLOOKUP(D182,'Move Editor'!$B:$B,'Move Editor'!$C:$C,"")</f>
        <v/>
      </c>
      <c r="F182" s="3">
        <f>XLOOKUP(D182,'Move Editor'!$B:$B,'Move Editor'!$D:$D,"")</f>
        <v/>
      </c>
      <c r="G182" s="3">
        <f>XLOOKUP(D182,'Move Editor'!$B:$B,'Move Editor'!$E:$E,0)</f>
        <v/>
      </c>
      <c r="H182" s="3">
        <f>XLOOKUP(D182,'Move Editor'!$B:$B,'Move Editor'!$F:$F,0)</f>
        <v/>
      </c>
      <c r="I182" s="3">
        <f>(INDEX('Type Chart'!$B:$S,MATCH(E182,'Type Chart'!$A:$A,0),MATCH(XLOOKUP('Boss Editor'!$C$4,'Pokemon Editor'!$A:$A,'Pokemon Editor'!$C:$C,""),'Type Chart'!$B$1:$S$1,0))*IF(XLOOKUP('Boss Editor'!$C$4,'Pokemon Editor'!$A:$A,'Pokemon Editor'!$D:$D,"")="",1,INDEX('Type Chart'!$B:$S,MATCH(E182,'Type Chart'!$A:$A,0),MATCH(XLOOKUP('Boss Editor'!$C$4,'Pokemon Editor'!$A:$A,'Pokemon Editor'!$D:$D,""),'Type Chart'!$B$1:$S$1,0))))</f>
        <v/>
      </c>
      <c r="J182" s="3">
        <f>IFERROR(LET(mtype,XLOOKUP($D182,'Move Editor'!$B:$B,'Move Editor'!$C:$C,""),cat,XLOOKUP($D182,'Move Editor'!$B:$B,'Move Editor'!$D:$D,""),pow,XLOOKUP($D182,'Move Editor'!$B:$B,'Move Editor'!$E:$E,0),acc,XLOOKUP($D182,'Move Editor'!$B:$B,'Move Editor'!$F:$F,100),atk,IF(cat="Physical",FLOOR((FLOOR(((2*XLOOKUP(XLOOKUP($Q182,'Threshold Summary'!$Y:$Y,'Threshold Summary'!$K:$K,""),'Pokemon Editor'!$A:$A,'Pokemon Editor'!$F:$F,0)+31+FLOOR(XLOOKUP($Q182,'Threshold Summary'!$Y:$Y,'Threshold Summary'!$P:$P,"")/4))*XLOOKUP($Q182,'Threshold Summary'!$Y:$Y,'Threshold Summary'!$L:$L,""))/100)+5)*XLOOKUP(XLOOKUP($Q182,'Threshold Summary'!$Y:$Y,'Threshold Summary'!$M:$M,""),'Nature Editor'!$A:$A,'Nature Editor'!$B:$B,1)),FLOOR((FLOOR(((2*XLOOKUP(XLOOKUP($Q182,'Threshold Summary'!$Y:$Y,'Threshold Summary'!$K:$K,""),'Pokemon Editor'!$A:$A,'Pokemon Editor'!$H:$H,0)+31+FLOOR(XLOOKUP($Q182,'Threshold Summary'!$Y:$Y,'Threshold Summary'!$R:$R,"")/4))*XLOOKUP($Q182,'Threshold Summary'!$Y:$Y,'Threshold Summary'!$L:$L,""))/100)+5)*XLOOKUP(XLOOKUP($Q182,'Threshold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Editor'!$E:$E,1))),stab,IF(OR(mtype=XLOOKUP(XLOOKUP($Q182,'Threshold Summary'!$Y:$Y,'Threshold Summary'!$K:$K,""),'Pokemon Editor'!$A:$A,'Pokemon Editor'!$C:$C,""),mtype=XLOOKUP(XLOOKUP($Q182,'Threshold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Chart'!$B$1:$S$1,0)))),base,IF(OR(cat="Status",pow=0),0,FLOOR(FLOOR(FLOOR((2*XLOOKUP($Q182,'Threshold Summary'!$Y:$Y,'Threshold Summary'!$L:$L,"")/5+2)*pow*atk/def)/50)+2)),modifier,stab*eff,FLOOR(base*modifier*0.85)),0)</f>
        <v/>
      </c>
      <c r="K182" s="3">
        <f>IFERROR(LET(mtype,XLOOKUP($D182,'Move Editor'!$B:$B,'Move Editor'!$C:$C,""),cat,XLOOKUP($D182,'Move Editor'!$B:$B,'Move Editor'!$D:$D,""),pow,XLOOKUP($D182,'Move Editor'!$B:$B,'Move Editor'!$E:$E,0),acc,XLOOKUP($D182,'Move Editor'!$B:$B,'Move Editor'!$F:$F,100),atk,IF(cat="Physical",FLOOR((FLOOR(((2*XLOOKUP(XLOOKUP($Q182,'Threshold Summary'!$Y:$Y,'Threshold Summary'!$K:$K,""),'Pokemon Editor'!$A:$A,'Pokemon Editor'!$F:$F,0)+31+FLOOR(XLOOKUP($Q182,'Threshold Summary'!$Y:$Y,'Threshold Summary'!$P:$P,"")/4))*XLOOKUP($Q182,'Threshold Summary'!$Y:$Y,'Threshold Summary'!$L:$L,""))/100)+5)*XLOOKUP(XLOOKUP($Q182,'Threshold Summary'!$Y:$Y,'Threshold Summary'!$M:$M,""),'Nature Editor'!$A:$A,'Nature Editor'!$B:$B,1)),FLOOR((FLOOR(((2*XLOOKUP(XLOOKUP($Q182,'Threshold Summary'!$Y:$Y,'Threshold Summary'!$K:$K,""),'Pokemon Editor'!$A:$A,'Pokemon Editor'!$H:$H,0)+31+FLOOR(XLOOKUP($Q182,'Threshold Summary'!$Y:$Y,'Threshold Summary'!$R:$R,"")/4))*XLOOKUP($Q182,'Threshold Summary'!$Y:$Y,'Threshold Summary'!$L:$L,""))/100)+5)*XLOOKUP(XLOOKUP($Q182,'Threshold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Editor'!$E:$E,1))),stab,IF(OR(mtype=XLOOKUP(XLOOKUP($Q182,'Threshold Summary'!$Y:$Y,'Threshold Summary'!$K:$K,""),'Pokemon Editor'!$A:$A,'Pokemon Editor'!$C:$C,""),mtype=XLOOKUP(XLOOKUP($Q182,'Threshold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Chart'!$B$1:$S$1,0)))),base,IF(OR(cat="Status",pow=0),0,FLOOR(FLOOR(FLOOR((2*XLOOKUP($Q182,'Threshold Summary'!$Y:$Y,'Threshold Summary'!$L:$L,"")/5+2)*pow*atk/def)/50)+2)),modifier,stab*eff,FLOOR(base*modifier)),0)</f>
        <v/>
      </c>
      <c r="L182" s="3">
        <f>IFERROR(LET(mtype,XLOOKUP($D182,'Move Editor'!$B:$B,'Move Editor'!$C:$C,""),cat,XLOOKUP($D182,'Move Editor'!$B:$B,'Move Editor'!$D:$D,""),pow,XLOOKUP($D182,'Move Editor'!$B:$B,'Move Editor'!$E:$E,0),acc,XLOOKUP($D182,'Move Editor'!$B:$B,'Move Editor'!$F:$F,100),atk,IF(cat="Physical",FLOOR((FLOOR(((2*XLOOKUP(XLOOKUP($Q182,'Threshold Summary'!$Y:$Y,'Threshold Summary'!$K:$K,""),'Pokemon Editor'!$A:$A,'Pokemon Editor'!$F:$F,0)+31+FLOOR(XLOOKUP($Q182,'Threshold Summary'!$Y:$Y,'Threshold Summary'!$P:$P,"")/4))*XLOOKUP($Q182,'Threshold Summary'!$Y:$Y,'Threshold Summary'!$L:$L,""))/100)+5)*XLOOKUP(XLOOKUP($Q182,'Threshold Summary'!$Y:$Y,'Threshold Summary'!$M:$M,""),'Nature Editor'!$A:$A,'Nature Editor'!$B:$B,1)),FLOOR((FLOOR(((2*XLOOKUP(XLOOKUP($Q182,'Threshold Summary'!$Y:$Y,'Threshold Summary'!$K:$K,""),'Pokemon Editor'!$A:$A,'Pokemon Editor'!$H:$H,0)+31+FLOOR(XLOOKUP($Q182,'Threshold Summary'!$Y:$Y,'Threshold Summary'!$R:$R,"")/4))*XLOOKUP($Q182,'Threshold Summary'!$Y:$Y,'Threshold Summary'!$L:$L,""))/100)+5)*XLOOKUP(XLOOKUP($Q182,'Threshold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Editor'!$E:$E,1))),stab,IF(OR(mtype=XLOOKUP(XLOOKUP($Q182,'Threshold Summary'!$Y:$Y,'Threshold Summary'!$K:$K,""),'Pokemon Editor'!$A:$A,'Pokemon Editor'!$C:$C,""),mtype=XLOOKUP(XLOOKUP($Q182,'Threshold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Chart'!$B$1:$S$1,0)))),base,IF(OR(cat="Status",pow=0),0,FLOOR(FLOOR(FLOOR((2*XLOOKUP($Q182,'Threshold Summary'!$Y:$Y,'Threshold Summary'!$L:$L,"")/5+2)*pow*atk/def)/50)+2)),modifier,stab*eff,AVERAGE(ARRAYFORMULA(FLOOR(base*modifier*SEQUENCE(16,1,85,1)/100)))),0)</f>
        <v/>
      </c>
      <c r="M182" s="3">
        <f>IFERROR(LET(mtype,XLOOKUP($D182,'Move Editor'!$B:$B,'Move Editor'!$C:$C,""),cat,XLOOKUP($D182,'Move Editor'!$B:$B,'Move Editor'!$D:$D,""),pow,XLOOKUP($D182,'Move Editor'!$B:$B,'Move Editor'!$E:$E,0),acc,XLOOKUP($D182,'Move Editor'!$B:$B,'Move Editor'!$F:$F,100),atk,IF(cat="Physical",FLOOR((FLOOR(((2*XLOOKUP(XLOOKUP($Q182,'Threshold Summary'!$Y:$Y,'Threshold Summary'!$K:$K,""),'Pokemon Editor'!$A:$A,'Pokemon Editor'!$F:$F,0)+31+FLOOR(XLOOKUP($Q182,'Threshold Summary'!$Y:$Y,'Threshold Summary'!$P:$P,"")/4))*XLOOKUP($Q182,'Threshold Summary'!$Y:$Y,'Threshold Summary'!$L:$L,""))/100)+5)*XLOOKUP(XLOOKUP($Q182,'Threshold Summary'!$Y:$Y,'Threshold Summary'!$M:$M,""),'Nature Editor'!$A:$A,'Nature Editor'!$B:$B,1)),FLOOR((FLOOR(((2*XLOOKUP(XLOOKUP($Q182,'Threshold Summary'!$Y:$Y,'Threshold Summary'!$K:$K,""),'Pokemon Editor'!$A:$A,'Pokemon Editor'!$H:$H,0)+31+FLOOR(XLOOKUP($Q182,'Threshold Summary'!$Y:$Y,'Threshold Summary'!$R:$R,"")/4))*XLOOKUP($Q182,'Threshold Summary'!$Y:$Y,'Threshold Summary'!$L:$L,""))/100)+5)*XLOOKUP(XLOOKUP($Q182,'Threshold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Editor'!$E:$E,1))),stab,IF(OR(mtype=XLOOKUP(XLOOKUP($Q182,'Threshold Summary'!$Y:$Y,'Threshold Summary'!$K:$K,""),'Pokemon Editor'!$A:$A,'Pokemon Editor'!$C:$C,""),mtype=XLOOKUP(XLOOKUP($Q182,'Threshold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Chart'!$B$1:$S$1,0)))),base,IF(OR(cat="Status",pow=0),0,FLOOR(FLOOR(FLOOR((2*XLOOKUP($Q182,'Threshold Summary'!$Y:$Y,'Threshold Summary'!$L:$L,"")/5+2)*pow*atk/def)/50)+2)),modifier,stab*eff,AVERAGE(ARRAYFORMULA(FLOOR(base*modifier*SEQUENCE(16,1,85,1)/100)))*MIN(1,acc/100)),0)</f>
        <v/>
      </c>
      <c r="N182" s="4">
        <f>IFERROR(LET(mtype,XLOOKUP($D182,'Move Editor'!$B:$B,'Move Editor'!$C:$C,""),cat,XLOOKUP($D182,'Move Editor'!$B:$B,'Move Editor'!$D:$D,""),pow,XLOOKUP($D182,'Move Editor'!$B:$B,'Move Editor'!$E:$E,0),acc,XLOOKUP($D182,'Move Editor'!$B:$B,'Move Editor'!$F:$F,100),atk,IF(cat="Physical",FLOOR((FLOOR(((2*XLOOKUP(XLOOKUP($Q182,'Threshold Summary'!$Y:$Y,'Threshold Summary'!$K:$K,""),'Pokemon Editor'!$A:$A,'Pokemon Editor'!$F:$F,0)+31+FLOOR(XLOOKUP($Q182,'Threshold Summary'!$Y:$Y,'Threshold Summary'!$P:$P,"")/4))*XLOOKUP($Q182,'Threshold Summary'!$Y:$Y,'Threshold Summary'!$L:$L,""))/100)+5)*XLOOKUP(XLOOKUP($Q182,'Threshold Summary'!$Y:$Y,'Threshold Summary'!$M:$M,""),'Nature Editor'!$A:$A,'Nature Editor'!$B:$B,1)),FLOOR((FLOOR(((2*XLOOKUP(XLOOKUP($Q182,'Threshold Summary'!$Y:$Y,'Threshold Summary'!$K:$K,""),'Pokemon Editor'!$A:$A,'Pokemon Editor'!$H:$H,0)+31+FLOOR(XLOOKUP($Q182,'Threshold Summary'!$Y:$Y,'Threshold Summary'!$R:$R,"")/4))*XLOOKUP($Q182,'Threshold Summary'!$Y:$Y,'Threshold Summary'!$L:$L,""))/100)+5)*XLOOKUP(XLOOKUP($Q182,'Threshold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Editor'!$E:$E,1))),stab,IF(OR(mtype=XLOOKUP(XLOOKUP($Q182,'Threshold Summary'!$Y:$Y,'Threshold Summary'!$K:$K,""),'Pokemon Editor'!$A:$A,'Pokemon Editor'!$C:$C,""),mtype=XLOOKUP(XLOOKUP($Q182,'Threshold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Chart'!$B$1:$S$1,0)))),base,IF(OR(cat="Status",pow=0),0,FLOOR(FLOOR(FLOOR((2*XLOOKUP($Q182,'Threshold Summary'!$Y:$Y,'Threshold Summary'!$L:$L,"")/5+2)*pow*atk/def)/50)+2)),modifier,stab*eff,AVERAGE(ARRAYFORMULA(FLOOR(base*modifier*SEQUENCE(16,1,85,1)/100)))/(FLOOR(((2*XLOOKUP('Boss Editor'!$C$4,'Pokemon Editor'!$A:$A,'Pokemon Editor'!$E:$E,0)+31+FLOOR('Boss Editor'!$G$4/4))*'Boss Editor'!$D$4)/100)+'Boss Editor'!$D$4+10)),0)</f>
        <v/>
      </c>
      <c r="O182" s="3">
        <f>IF(N182&gt;=1,"OHKO",IF(N182&gt;=0.5,"2HKO",IF(N182&gt;=0.333,"3HKO",IF(N182&gt;=0.25,"4HKO","5HKO+"))))</f>
        <v/>
      </c>
      <c r="P182" s="3" t="inlineStr">
        <is>
          <t>Live from editable databases</t>
        </is>
      </c>
      <c r="Q182" s="3" t="inlineStr">
        <is>
          <t>SPECIES_MUDKIP</t>
        </is>
      </c>
      <c r="R182" s="3" t="n">
        <v>21</v>
      </c>
    </row>
    <row r="183">
      <c r="A183" s="3">
        <f>XLOOKUP($Q183,'Threshold Summary'!$Y:$Y,'Threshold Summary'!$A:$A,"")</f>
        <v/>
      </c>
      <c r="B183" s="3">
        <f>XLOOKUP($Q183,'Threshold Summary'!$Y:$Y,'Threshold Summary'!$M:$M,"")</f>
        <v/>
      </c>
      <c r="C183" s="3">
        <f>XLOOKUP($Q183,'Threshold Summary'!$Y:$Y,'Threshold Summary'!$N:$N,"")</f>
        <v/>
      </c>
      <c r="D183" s="3">
        <f>IFERROR(INDEX(FILTER('Learnset Editor'!$D$2:$D,'Learnset Editor'!$A$2:$A=XLOOKUP($Q183,'Threshold Summary'!$Y:$Y,'Threshold Summary'!$K:$K,""),'Learnset Editor'!$C$2:$C&lt;=XLOOKUP($Q183,'Threshold Summary'!$Y:$Y,'Threshold Summary'!$L:$L,"")),$R183),"")</f>
        <v/>
      </c>
      <c r="E183" s="3">
        <f>XLOOKUP(D183,'Move Editor'!$B:$B,'Move Editor'!$C:$C,"")</f>
        <v/>
      </c>
      <c r="F183" s="3">
        <f>XLOOKUP(D183,'Move Editor'!$B:$B,'Move Editor'!$D:$D,"")</f>
        <v/>
      </c>
      <c r="G183" s="3">
        <f>XLOOKUP(D183,'Move Editor'!$B:$B,'Move Editor'!$E:$E,0)</f>
        <v/>
      </c>
      <c r="H183" s="3">
        <f>XLOOKUP(D183,'Move Editor'!$B:$B,'Move Editor'!$F:$F,0)</f>
        <v/>
      </c>
      <c r="I183" s="3">
        <f>(INDEX('Type Chart'!$B:$S,MATCH(E183,'Type Chart'!$A:$A,0),MATCH(XLOOKUP('Boss Editor'!$C$4,'Pokemon Editor'!$A:$A,'Pokemon Editor'!$C:$C,""),'Type Chart'!$B$1:$S$1,0))*IF(XLOOKUP('Boss Editor'!$C$4,'Pokemon Editor'!$A:$A,'Pokemon Editor'!$D:$D,"")="",1,INDEX('Type Chart'!$B:$S,MATCH(E183,'Type Chart'!$A:$A,0),MATCH(XLOOKUP('Boss Editor'!$C$4,'Pokemon Editor'!$A:$A,'Pokemon Editor'!$D:$D,""),'Type Chart'!$B$1:$S$1,0))))</f>
        <v/>
      </c>
      <c r="J183" s="3">
        <f>IFERROR(LET(mtype,XLOOKUP($D183,'Move Editor'!$B:$B,'Move Editor'!$C:$C,""),cat,XLOOKUP($D183,'Move Editor'!$B:$B,'Move Editor'!$D:$D,""),pow,XLOOKUP($D183,'Move Editor'!$B:$B,'Move Editor'!$E:$E,0),acc,XLOOKUP($D183,'Move Editor'!$B:$B,'Move Editor'!$F:$F,100),atk,IF(cat="Physical",FLOOR((FLOOR(((2*XLOOKUP(XLOOKUP($Q183,'Threshold Summary'!$Y:$Y,'Threshold Summary'!$K:$K,""),'Pokemon Editor'!$A:$A,'Pokemon Editor'!$F:$F,0)+31+FLOOR(XLOOKUP($Q183,'Threshold Summary'!$Y:$Y,'Threshold Summary'!$P:$P,"")/4))*XLOOKUP($Q183,'Threshold Summary'!$Y:$Y,'Threshold Summary'!$L:$L,""))/100)+5)*XLOOKUP(XLOOKUP($Q183,'Threshold Summary'!$Y:$Y,'Threshold Summary'!$M:$M,""),'Nature Editor'!$A:$A,'Nature Editor'!$B:$B,1)),FLOOR((FLOOR(((2*XLOOKUP(XLOOKUP($Q183,'Threshold Summary'!$Y:$Y,'Threshold Summary'!$K:$K,""),'Pokemon Editor'!$A:$A,'Pokemon Editor'!$H:$H,0)+31+FLOOR(XLOOKUP($Q183,'Threshold Summary'!$Y:$Y,'Threshold Summary'!$R:$R,"")/4))*XLOOKUP($Q183,'Threshold Summary'!$Y:$Y,'Threshold Summary'!$L:$L,""))/100)+5)*XLOOKUP(XLOOKUP($Q183,'Threshold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Editor'!$E:$E,1))),stab,IF(OR(mtype=XLOOKUP(XLOOKUP($Q183,'Threshold Summary'!$Y:$Y,'Threshold Summary'!$K:$K,""),'Pokemon Editor'!$A:$A,'Pokemon Editor'!$C:$C,""),mtype=XLOOKUP(XLOOKUP($Q183,'Threshold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Chart'!$B$1:$S$1,0)))),base,IF(OR(cat="Status",pow=0),0,FLOOR(FLOOR(FLOOR((2*XLOOKUP($Q183,'Threshold Summary'!$Y:$Y,'Threshold Summary'!$L:$L,"")/5+2)*pow*atk/def)/50)+2)),modifier,stab*eff,FLOOR(base*modifier*0.85)),0)</f>
        <v/>
      </c>
      <c r="K183" s="3">
        <f>IFERROR(LET(mtype,XLOOKUP($D183,'Move Editor'!$B:$B,'Move Editor'!$C:$C,""),cat,XLOOKUP($D183,'Move Editor'!$B:$B,'Move Editor'!$D:$D,""),pow,XLOOKUP($D183,'Move Editor'!$B:$B,'Move Editor'!$E:$E,0),acc,XLOOKUP($D183,'Move Editor'!$B:$B,'Move Editor'!$F:$F,100),atk,IF(cat="Physical",FLOOR((FLOOR(((2*XLOOKUP(XLOOKUP($Q183,'Threshold Summary'!$Y:$Y,'Threshold Summary'!$K:$K,""),'Pokemon Editor'!$A:$A,'Pokemon Editor'!$F:$F,0)+31+FLOOR(XLOOKUP($Q183,'Threshold Summary'!$Y:$Y,'Threshold Summary'!$P:$P,"")/4))*XLOOKUP($Q183,'Threshold Summary'!$Y:$Y,'Threshold Summary'!$L:$L,""))/100)+5)*XLOOKUP(XLOOKUP($Q183,'Threshold Summary'!$Y:$Y,'Threshold Summary'!$M:$M,""),'Nature Editor'!$A:$A,'Nature Editor'!$B:$B,1)),FLOOR((FLOOR(((2*XLOOKUP(XLOOKUP($Q183,'Threshold Summary'!$Y:$Y,'Threshold Summary'!$K:$K,""),'Pokemon Editor'!$A:$A,'Pokemon Editor'!$H:$H,0)+31+FLOOR(XLOOKUP($Q183,'Threshold Summary'!$Y:$Y,'Threshold Summary'!$R:$R,"")/4))*XLOOKUP($Q183,'Threshold Summary'!$Y:$Y,'Threshold Summary'!$L:$L,""))/100)+5)*XLOOKUP(XLOOKUP($Q183,'Threshold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Editor'!$E:$E,1))),stab,IF(OR(mtype=XLOOKUP(XLOOKUP($Q183,'Threshold Summary'!$Y:$Y,'Threshold Summary'!$K:$K,""),'Pokemon Editor'!$A:$A,'Pokemon Editor'!$C:$C,""),mtype=XLOOKUP(XLOOKUP($Q183,'Threshold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Chart'!$B$1:$S$1,0)))),base,IF(OR(cat="Status",pow=0),0,FLOOR(FLOOR(FLOOR((2*XLOOKUP($Q183,'Threshold Summary'!$Y:$Y,'Threshold Summary'!$L:$L,"")/5+2)*pow*atk/def)/50)+2)),modifier,stab*eff,FLOOR(base*modifier)),0)</f>
        <v/>
      </c>
      <c r="L183" s="3">
        <f>IFERROR(LET(mtype,XLOOKUP($D183,'Move Editor'!$B:$B,'Move Editor'!$C:$C,""),cat,XLOOKUP($D183,'Move Editor'!$B:$B,'Move Editor'!$D:$D,""),pow,XLOOKUP($D183,'Move Editor'!$B:$B,'Move Editor'!$E:$E,0),acc,XLOOKUP($D183,'Move Editor'!$B:$B,'Move Editor'!$F:$F,100),atk,IF(cat="Physical",FLOOR((FLOOR(((2*XLOOKUP(XLOOKUP($Q183,'Threshold Summary'!$Y:$Y,'Threshold Summary'!$K:$K,""),'Pokemon Editor'!$A:$A,'Pokemon Editor'!$F:$F,0)+31+FLOOR(XLOOKUP($Q183,'Threshold Summary'!$Y:$Y,'Threshold Summary'!$P:$P,"")/4))*XLOOKUP($Q183,'Threshold Summary'!$Y:$Y,'Threshold Summary'!$L:$L,""))/100)+5)*XLOOKUP(XLOOKUP($Q183,'Threshold Summary'!$Y:$Y,'Threshold Summary'!$M:$M,""),'Nature Editor'!$A:$A,'Nature Editor'!$B:$B,1)),FLOOR((FLOOR(((2*XLOOKUP(XLOOKUP($Q183,'Threshold Summary'!$Y:$Y,'Threshold Summary'!$K:$K,""),'Pokemon Editor'!$A:$A,'Pokemon Editor'!$H:$H,0)+31+FLOOR(XLOOKUP($Q183,'Threshold Summary'!$Y:$Y,'Threshold Summary'!$R:$R,"")/4))*XLOOKUP($Q183,'Threshold Summary'!$Y:$Y,'Threshold Summary'!$L:$L,""))/100)+5)*XLOOKUP(XLOOKUP($Q183,'Threshold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Editor'!$E:$E,1))),stab,IF(OR(mtype=XLOOKUP(XLOOKUP($Q183,'Threshold Summary'!$Y:$Y,'Threshold Summary'!$K:$K,""),'Pokemon Editor'!$A:$A,'Pokemon Editor'!$C:$C,""),mtype=XLOOKUP(XLOOKUP($Q183,'Threshold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Chart'!$B$1:$S$1,0)))),base,IF(OR(cat="Status",pow=0),0,FLOOR(FLOOR(FLOOR((2*XLOOKUP($Q183,'Threshold Summary'!$Y:$Y,'Threshold Summary'!$L:$L,"")/5+2)*pow*atk/def)/50)+2)),modifier,stab*eff,AVERAGE(ARRAYFORMULA(FLOOR(base*modifier*SEQUENCE(16,1,85,1)/100)))),0)</f>
        <v/>
      </c>
      <c r="M183" s="3">
        <f>IFERROR(LET(mtype,XLOOKUP($D183,'Move Editor'!$B:$B,'Move Editor'!$C:$C,""),cat,XLOOKUP($D183,'Move Editor'!$B:$B,'Move Editor'!$D:$D,""),pow,XLOOKUP($D183,'Move Editor'!$B:$B,'Move Editor'!$E:$E,0),acc,XLOOKUP($D183,'Move Editor'!$B:$B,'Move Editor'!$F:$F,100),atk,IF(cat="Physical",FLOOR((FLOOR(((2*XLOOKUP(XLOOKUP($Q183,'Threshold Summary'!$Y:$Y,'Threshold Summary'!$K:$K,""),'Pokemon Editor'!$A:$A,'Pokemon Editor'!$F:$F,0)+31+FLOOR(XLOOKUP($Q183,'Threshold Summary'!$Y:$Y,'Threshold Summary'!$P:$P,"")/4))*XLOOKUP($Q183,'Threshold Summary'!$Y:$Y,'Threshold Summary'!$L:$L,""))/100)+5)*XLOOKUP(XLOOKUP($Q183,'Threshold Summary'!$Y:$Y,'Threshold Summary'!$M:$M,""),'Nature Editor'!$A:$A,'Nature Editor'!$B:$B,1)),FLOOR((FLOOR(((2*XLOOKUP(XLOOKUP($Q183,'Threshold Summary'!$Y:$Y,'Threshold Summary'!$K:$K,""),'Pokemon Editor'!$A:$A,'Pokemon Editor'!$H:$H,0)+31+FLOOR(XLOOKUP($Q183,'Threshold Summary'!$Y:$Y,'Threshold Summary'!$R:$R,"")/4))*XLOOKUP($Q183,'Threshold Summary'!$Y:$Y,'Threshold Summary'!$L:$L,""))/100)+5)*XLOOKUP(XLOOKUP($Q183,'Threshold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Editor'!$E:$E,1))),stab,IF(OR(mtype=XLOOKUP(XLOOKUP($Q183,'Threshold Summary'!$Y:$Y,'Threshold Summary'!$K:$K,""),'Pokemon Editor'!$A:$A,'Pokemon Editor'!$C:$C,""),mtype=XLOOKUP(XLOOKUP($Q183,'Threshold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Chart'!$B$1:$S$1,0)))),base,IF(OR(cat="Status",pow=0),0,FLOOR(FLOOR(FLOOR((2*XLOOKUP($Q183,'Threshold Summary'!$Y:$Y,'Threshold Summary'!$L:$L,"")/5+2)*pow*atk/def)/50)+2)),modifier,stab*eff,AVERAGE(ARRAYFORMULA(FLOOR(base*modifier*SEQUENCE(16,1,85,1)/100)))*MIN(1,acc/100)),0)</f>
        <v/>
      </c>
      <c r="N183" s="4">
        <f>IFERROR(LET(mtype,XLOOKUP($D183,'Move Editor'!$B:$B,'Move Editor'!$C:$C,""),cat,XLOOKUP($D183,'Move Editor'!$B:$B,'Move Editor'!$D:$D,""),pow,XLOOKUP($D183,'Move Editor'!$B:$B,'Move Editor'!$E:$E,0),acc,XLOOKUP($D183,'Move Editor'!$B:$B,'Move Editor'!$F:$F,100),atk,IF(cat="Physical",FLOOR((FLOOR(((2*XLOOKUP(XLOOKUP($Q183,'Threshold Summary'!$Y:$Y,'Threshold Summary'!$K:$K,""),'Pokemon Editor'!$A:$A,'Pokemon Editor'!$F:$F,0)+31+FLOOR(XLOOKUP($Q183,'Threshold Summary'!$Y:$Y,'Threshold Summary'!$P:$P,"")/4))*XLOOKUP($Q183,'Threshold Summary'!$Y:$Y,'Threshold Summary'!$L:$L,""))/100)+5)*XLOOKUP(XLOOKUP($Q183,'Threshold Summary'!$Y:$Y,'Threshold Summary'!$M:$M,""),'Nature Editor'!$A:$A,'Nature Editor'!$B:$B,1)),FLOOR((FLOOR(((2*XLOOKUP(XLOOKUP($Q183,'Threshold Summary'!$Y:$Y,'Threshold Summary'!$K:$K,""),'Pokemon Editor'!$A:$A,'Pokemon Editor'!$H:$H,0)+31+FLOOR(XLOOKUP($Q183,'Threshold Summary'!$Y:$Y,'Threshold Summary'!$R:$R,"")/4))*XLOOKUP($Q183,'Threshold Summary'!$Y:$Y,'Threshold Summary'!$L:$L,""))/100)+5)*XLOOKUP(XLOOKUP($Q183,'Threshold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Editor'!$E:$E,1))),stab,IF(OR(mtype=XLOOKUP(XLOOKUP($Q183,'Threshold Summary'!$Y:$Y,'Threshold Summary'!$K:$K,""),'Pokemon Editor'!$A:$A,'Pokemon Editor'!$C:$C,""),mtype=XLOOKUP(XLOOKUP($Q183,'Threshold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Chart'!$B$1:$S$1,0)))),base,IF(OR(cat="Status",pow=0),0,FLOOR(FLOOR(FLOOR((2*XLOOKUP($Q183,'Threshold Summary'!$Y:$Y,'Threshold Summary'!$L:$L,"")/5+2)*pow*atk/def)/50)+2)),modifier,stab*eff,AVERAGE(ARRAYFORMULA(FLOOR(base*modifier*SEQUENCE(16,1,85,1)/100)))/(FLOOR(((2*XLOOKUP('Boss Editor'!$C$4,'Pokemon Editor'!$A:$A,'Pokemon Editor'!$E:$E,0)+31+FLOOR('Boss Editor'!$G$4/4))*'Boss Editor'!$D$4)/100)+'Boss Editor'!$D$4+10)),0)</f>
        <v/>
      </c>
      <c r="O183" s="3">
        <f>IF(N183&gt;=1,"OHKO",IF(N183&gt;=0.5,"2HKO",IF(N183&gt;=0.333,"3HKO",IF(N183&gt;=0.25,"4HKO","5HKO+"))))</f>
        <v/>
      </c>
      <c r="P183" s="3" t="inlineStr">
        <is>
          <t>Live from editable databases</t>
        </is>
      </c>
      <c r="Q183" s="3" t="inlineStr">
        <is>
          <t>SPECIES_MUDKIP</t>
        </is>
      </c>
      <c r="R183" s="3" t="n">
        <v>22</v>
      </c>
    </row>
    <row r="184">
      <c r="A184" s="3">
        <f>XLOOKUP($Q184,'Threshold Summary'!$Y:$Y,'Threshold Summary'!$A:$A,"")</f>
        <v/>
      </c>
      <c r="B184" s="3">
        <f>XLOOKUP($Q184,'Threshold Summary'!$Y:$Y,'Threshold Summary'!$M:$M,"")</f>
        <v/>
      </c>
      <c r="C184" s="3">
        <f>XLOOKUP($Q184,'Threshold Summary'!$Y:$Y,'Threshold Summary'!$N:$N,"")</f>
        <v/>
      </c>
      <c r="D184" s="3">
        <f>IFERROR(INDEX(FILTER('Learnset Editor'!$D$2:$D,'Learnset Editor'!$A$2:$A=XLOOKUP($Q184,'Threshold Summary'!$Y:$Y,'Threshold Summary'!$K:$K,""),'Learnset Editor'!$C$2:$C&lt;=XLOOKUP($Q184,'Threshold Summary'!$Y:$Y,'Threshold Summary'!$L:$L,"")),$R184),"")</f>
        <v/>
      </c>
      <c r="E184" s="3">
        <f>XLOOKUP(D184,'Move Editor'!$B:$B,'Move Editor'!$C:$C,"")</f>
        <v/>
      </c>
      <c r="F184" s="3">
        <f>XLOOKUP(D184,'Move Editor'!$B:$B,'Move Editor'!$D:$D,"")</f>
        <v/>
      </c>
      <c r="G184" s="3">
        <f>XLOOKUP(D184,'Move Editor'!$B:$B,'Move Editor'!$E:$E,0)</f>
        <v/>
      </c>
      <c r="H184" s="3">
        <f>XLOOKUP(D184,'Move Editor'!$B:$B,'Move Editor'!$F:$F,0)</f>
        <v/>
      </c>
      <c r="I184" s="3">
        <f>(INDEX('Type Chart'!$B:$S,MATCH(E184,'Type Chart'!$A:$A,0),MATCH(XLOOKUP('Boss Editor'!$C$4,'Pokemon Editor'!$A:$A,'Pokemon Editor'!$C:$C,""),'Type Chart'!$B$1:$S$1,0))*IF(XLOOKUP('Boss Editor'!$C$4,'Pokemon Editor'!$A:$A,'Pokemon Editor'!$D:$D,"")="",1,INDEX('Type Chart'!$B:$S,MATCH(E184,'Type Chart'!$A:$A,0),MATCH(XLOOKUP('Boss Editor'!$C$4,'Pokemon Editor'!$A:$A,'Pokemon Editor'!$D:$D,""),'Type Chart'!$B$1:$S$1,0))))</f>
        <v/>
      </c>
      <c r="J184" s="3">
        <f>IFERROR(LET(mtype,XLOOKUP($D184,'Move Editor'!$B:$B,'Move Editor'!$C:$C,""),cat,XLOOKUP($D184,'Move Editor'!$B:$B,'Move Editor'!$D:$D,""),pow,XLOOKUP($D184,'Move Editor'!$B:$B,'Move Editor'!$E:$E,0),acc,XLOOKUP($D184,'Move Editor'!$B:$B,'Move Editor'!$F:$F,100),atk,IF(cat="Physical",FLOOR((FLOOR(((2*XLOOKUP(XLOOKUP($Q184,'Threshold Summary'!$Y:$Y,'Threshold Summary'!$K:$K,""),'Pokemon Editor'!$A:$A,'Pokemon Editor'!$F:$F,0)+31+FLOOR(XLOOKUP($Q184,'Threshold Summary'!$Y:$Y,'Threshold Summary'!$P:$P,"")/4))*XLOOKUP($Q184,'Threshold Summary'!$Y:$Y,'Threshold Summary'!$L:$L,""))/100)+5)*XLOOKUP(XLOOKUP($Q184,'Threshold Summary'!$Y:$Y,'Threshold Summary'!$M:$M,""),'Nature Editor'!$A:$A,'Nature Editor'!$B:$B,1)),FLOOR((FLOOR(((2*XLOOKUP(XLOOKUP($Q184,'Threshold Summary'!$Y:$Y,'Threshold Summary'!$K:$K,""),'Pokemon Editor'!$A:$A,'Pokemon Editor'!$H:$H,0)+31+FLOOR(XLOOKUP($Q184,'Threshold Summary'!$Y:$Y,'Threshold Summary'!$R:$R,"")/4))*XLOOKUP($Q184,'Threshold Summary'!$Y:$Y,'Threshold Summary'!$L:$L,""))/100)+5)*XLOOKUP(XLOOKUP($Q184,'Threshold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Editor'!$E:$E,1))),stab,IF(OR(mtype=XLOOKUP(XLOOKUP($Q184,'Threshold Summary'!$Y:$Y,'Threshold Summary'!$K:$K,""),'Pokemon Editor'!$A:$A,'Pokemon Editor'!$C:$C,""),mtype=XLOOKUP(XLOOKUP($Q184,'Threshold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Chart'!$B$1:$S$1,0)))),base,IF(OR(cat="Status",pow=0),0,FLOOR(FLOOR(FLOOR((2*XLOOKUP($Q184,'Threshold Summary'!$Y:$Y,'Threshold Summary'!$L:$L,"")/5+2)*pow*atk/def)/50)+2)),modifier,stab*eff,FLOOR(base*modifier*0.85)),0)</f>
        <v/>
      </c>
      <c r="K184" s="3">
        <f>IFERROR(LET(mtype,XLOOKUP($D184,'Move Editor'!$B:$B,'Move Editor'!$C:$C,""),cat,XLOOKUP($D184,'Move Editor'!$B:$B,'Move Editor'!$D:$D,""),pow,XLOOKUP($D184,'Move Editor'!$B:$B,'Move Editor'!$E:$E,0),acc,XLOOKUP($D184,'Move Editor'!$B:$B,'Move Editor'!$F:$F,100),atk,IF(cat="Physical",FLOOR((FLOOR(((2*XLOOKUP(XLOOKUP($Q184,'Threshold Summary'!$Y:$Y,'Threshold Summary'!$K:$K,""),'Pokemon Editor'!$A:$A,'Pokemon Editor'!$F:$F,0)+31+FLOOR(XLOOKUP($Q184,'Threshold Summary'!$Y:$Y,'Threshold Summary'!$P:$P,"")/4))*XLOOKUP($Q184,'Threshold Summary'!$Y:$Y,'Threshold Summary'!$L:$L,""))/100)+5)*XLOOKUP(XLOOKUP($Q184,'Threshold Summary'!$Y:$Y,'Threshold Summary'!$M:$M,""),'Nature Editor'!$A:$A,'Nature Editor'!$B:$B,1)),FLOOR((FLOOR(((2*XLOOKUP(XLOOKUP($Q184,'Threshold Summary'!$Y:$Y,'Threshold Summary'!$K:$K,""),'Pokemon Editor'!$A:$A,'Pokemon Editor'!$H:$H,0)+31+FLOOR(XLOOKUP($Q184,'Threshold Summary'!$Y:$Y,'Threshold Summary'!$R:$R,"")/4))*XLOOKUP($Q184,'Threshold Summary'!$Y:$Y,'Threshold Summary'!$L:$L,""))/100)+5)*XLOOKUP(XLOOKUP($Q184,'Threshold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Editor'!$E:$E,1))),stab,IF(OR(mtype=XLOOKUP(XLOOKUP($Q184,'Threshold Summary'!$Y:$Y,'Threshold Summary'!$K:$K,""),'Pokemon Editor'!$A:$A,'Pokemon Editor'!$C:$C,""),mtype=XLOOKUP(XLOOKUP($Q184,'Threshold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Chart'!$B$1:$S$1,0)))),base,IF(OR(cat="Status",pow=0),0,FLOOR(FLOOR(FLOOR((2*XLOOKUP($Q184,'Threshold Summary'!$Y:$Y,'Threshold Summary'!$L:$L,"")/5+2)*pow*atk/def)/50)+2)),modifier,stab*eff,FLOOR(base*modifier)),0)</f>
        <v/>
      </c>
      <c r="L184" s="3">
        <f>IFERROR(LET(mtype,XLOOKUP($D184,'Move Editor'!$B:$B,'Move Editor'!$C:$C,""),cat,XLOOKUP($D184,'Move Editor'!$B:$B,'Move Editor'!$D:$D,""),pow,XLOOKUP($D184,'Move Editor'!$B:$B,'Move Editor'!$E:$E,0),acc,XLOOKUP($D184,'Move Editor'!$B:$B,'Move Editor'!$F:$F,100),atk,IF(cat="Physical",FLOOR((FLOOR(((2*XLOOKUP(XLOOKUP($Q184,'Threshold Summary'!$Y:$Y,'Threshold Summary'!$K:$K,""),'Pokemon Editor'!$A:$A,'Pokemon Editor'!$F:$F,0)+31+FLOOR(XLOOKUP($Q184,'Threshold Summary'!$Y:$Y,'Threshold Summary'!$P:$P,"")/4))*XLOOKUP($Q184,'Threshold Summary'!$Y:$Y,'Threshold Summary'!$L:$L,""))/100)+5)*XLOOKUP(XLOOKUP($Q184,'Threshold Summary'!$Y:$Y,'Threshold Summary'!$M:$M,""),'Nature Editor'!$A:$A,'Nature Editor'!$B:$B,1)),FLOOR((FLOOR(((2*XLOOKUP(XLOOKUP($Q184,'Threshold Summary'!$Y:$Y,'Threshold Summary'!$K:$K,""),'Pokemon Editor'!$A:$A,'Pokemon Editor'!$H:$H,0)+31+FLOOR(XLOOKUP($Q184,'Threshold Summary'!$Y:$Y,'Threshold Summary'!$R:$R,"")/4))*XLOOKUP($Q184,'Threshold Summary'!$Y:$Y,'Threshold Summary'!$L:$L,""))/100)+5)*XLOOKUP(XLOOKUP($Q184,'Threshold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Editor'!$E:$E,1))),stab,IF(OR(mtype=XLOOKUP(XLOOKUP($Q184,'Threshold Summary'!$Y:$Y,'Threshold Summary'!$K:$K,""),'Pokemon Editor'!$A:$A,'Pokemon Editor'!$C:$C,""),mtype=XLOOKUP(XLOOKUP($Q184,'Threshold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Chart'!$B$1:$S$1,0)))),base,IF(OR(cat="Status",pow=0),0,FLOOR(FLOOR(FLOOR((2*XLOOKUP($Q184,'Threshold Summary'!$Y:$Y,'Threshold Summary'!$L:$L,"")/5+2)*pow*atk/def)/50)+2)),modifier,stab*eff,AVERAGE(ARRAYFORMULA(FLOOR(base*modifier*SEQUENCE(16,1,85,1)/100)))),0)</f>
        <v/>
      </c>
      <c r="M184" s="3">
        <f>IFERROR(LET(mtype,XLOOKUP($D184,'Move Editor'!$B:$B,'Move Editor'!$C:$C,""),cat,XLOOKUP($D184,'Move Editor'!$B:$B,'Move Editor'!$D:$D,""),pow,XLOOKUP($D184,'Move Editor'!$B:$B,'Move Editor'!$E:$E,0),acc,XLOOKUP($D184,'Move Editor'!$B:$B,'Move Editor'!$F:$F,100),atk,IF(cat="Physical",FLOOR((FLOOR(((2*XLOOKUP(XLOOKUP($Q184,'Threshold Summary'!$Y:$Y,'Threshold Summary'!$K:$K,""),'Pokemon Editor'!$A:$A,'Pokemon Editor'!$F:$F,0)+31+FLOOR(XLOOKUP($Q184,'Threshold Summary'!$Y:$Y,'Threshold Summary'!$P:$P,"")/4))*XLOOKUP($Q184,'Threshold Summary'!$Y:$Y,'Threshold Summary'!$L:$L,""))/100)+5)*XLOOKUP(XLOOKUP($Q184,'Threshold Summary'!$Y:$Y,'Threshold Summary'!$M:$M,""),'Nature Editor'!$A:$A,'Nature Editor'!$B:$B,1)),FLOOR((FLOOR(((2*XLOOKUP(XLOOKUP($Q184,'Threshold Summary'!$Y:$Y,'Threshold Summary'!$K:$K,""),'Pokemon Editor'!$A:$A,'Pokemon Editor'!$H:$H,0)+31+FLOOR(XLOOKUP($Q184,'Threshold Summary'!$Y:$Y,'Threshold Summary'!$R:$R,"")/4))*XLOOKUP($Q184,'Threshold Summary'!$Y:$Y,'Threshold Summary'!$L:$L,""))/100)+5)*XLOOKUP(XLOOKUP($Q184,'Threshold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Editor'!$E:$E,1))),stab,IF(OR(mtype=XLOOKUP(XLOOKUP($Q184,'Threshold Summary'!$Y:$Y,'Threshold Summary'!$K:$K,""),'Pokemon Editor'!$A:$A,'Pokemon Editor'!$C:$C,""),mtype=XLOOKUP(XLOOKUP($Q184,'Threshold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Chart'!$B$1:$S$1,0)))),base,IF(OR(cat="Status",pow=0),0,FLOOR(FLOOR(FLOOR((2*XLOOKUP($Q184,'Threshold Summary'!$Y:$Y,'Threshold Summary'!$L:$L,"")/5+2)*pow*atk/def)/50)+2)),modifier,stab*eff,AVERAGE(ARRAYFORMULA(FLOOR(base*modifier*SEQUENCE(16,1,85,1)/100)))*MIN(1,acc/100)),0)</f>
        <v/>
      </c>
      <c r="N184" s="4">
        <f>IFERROR(LET(mtype,XLOOKUP($D184,'Move Editor'!$B:$B,'Move Editor'!$C:$C,""),cat,XLOOKUP($D184,'Move Editor'!$B:$B,'Move Editor'!$D:$D,""),pow,XLOOKUP($D184,'Move Editor'!$B:$B,'Move Editor'!$E:$E,0),acc,XLOOKUP($D184,'Move Editor'!$B:$B,'Move Editor'!$F:$F,100),atk,IF(cat="Physical",FLOOR((FLOOR(((2*XLOOKUP(XLOOKUP($Q184,'Threshold Summary'!$Y:$Y,'Threshold Summary'!$K:$K,""),'Pokemon Editor'!$A:$A,'Pokemon Editor'!$F:$F,0)+31+FLOOR(XLOOKUP($Q184,'Threshold Summary'!$Y:$Y,'Threshold Summary'!$P:$P,"")/4))*XLOOKUP($Q184,'Threshold Summary'!$Y:$Y,'Threshold Summary'!$L:$L,""))/100)+5)*XLOOKUP(XLOOKUP($Q184,'Threshold Summary'!$Y:$Y,'Threshold Summary'!$M:$M,""),'Nature Editor'!$A:$A,'Nature Editor'!$B:$B,1)),FLOOR((FLOOR(((2*XLOOKUP(XLOOKUP($Q184,'Threshold Summary'!$Y:$Y,'Threshold Summary'!$K:$K,""),'Pokemon Editor'!$A:$A,'Pokemon Editor'!$H:$H,0)+31+FLOOR(XLOOKUP($Q184,'Threshold Summary'!$Y:$Y,'Threshold Summary'!$R:$R,"")/4))*XLOOKUP($Q184,'Threshold Summary'!$Y:$Y,'Threshold Summary'!$L:$L,""))/100)+5)*XLOOKUP(XLOOKUP($Q184,'Threshold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Editor'!$E:$E,1))),stab,IF(OR(mtype=XLOOKUP(XLOOKUP($Q184,'Threshold Summary'!$Y:$Y,'Threshold Summary'!$K:$K,""),'Pokemon Editor'!$A:$A,'Pokemon Editor'!$C:$C,""),mtype=XLOOKUP(XLOOKUP($Q184,'Threshold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Chart'!$B$1:$S$1,0)))),base,IF(OR(cat="Status",pow=0),0,FLOOR(FLOOR(FLOOR((2*XLOOKUP($Q184,'Threshold Summary'!$Y:$Y,'Threshold Summary'!$L:$L,"")/5+2)*pow*atk/def)/50)+2)),modifier,stab*eff,AVERAGE(ARRAYFORMULA(FLOOR(base*modifier*SEQUENCE(16,1,85,1)/100)))/(FLOOR(((2*XLOOKUP('Boss Editor'!$C$4,'Pokemon Editor'!$A:$A,'Pokemon Editor'!$E:$E,0)+31+FLOOR('Boss Editor'!$G$4/4))*'Boss Editor'!$D$4)/100)+'Boss Editor'!$D$4+10)),0)</f>
        <v/>
      </c>
      <c r="O184" s="3">
        <f>IF(N184&gt;=1,"OHKO",IF(N184&gt;=0.5,"2HKO",IF(N184&gt;=0.333,"3HKO",IF(N184&gt;=0.25,"4HKO","5HKO+"))))</f>
        <v/>
      </c>
      <c r="P184" s="3" t="inlineStr">
        <is>
          <t>Live from editable databases</t>
        </is>
      </c>
      <c r="Q184" s="3" t="inlineStr">
        <is>
          <t>SPECIES_MUDKIP</t>
        </is>
      </c>
      <c r="R184" s="3" t="n">
        <v>23</v>
      </c>
    </row>
    <row r="185">
      <c r="A185" s="3">
        <f>XLOOKUP($Q185,'Threshold Summary'!$Y:$Y,'Threshold Summary'!$A:$A,"")</f>
        <v/>
      </c>
      <c r="B185" s="3">
        <f>XLOOKUP($Q185,'Threshold Summary'!$Y:$Y,'Threshold Summary'!$M:$M,"")</f>
        <v/>
      </c>
      <c r="C185" s="3">
        <f>XLOOKUP($Q185,'Threshold Summary'!$Y:$Y,'Threshold Summary'!$N:$N,"")</f>
        <v/>
      </c>
      <c r="D185" s="3">
        <f>IFERROR(INDEX(FILTER('Learnset Editor'!$D$2:$D,'Learnset Editor'!$A$2:$A=XLOOKUP($Q185,'Threshold Summary'!$Y:$Y,'Threshold Summary'!$K:$K,""),'Learnset Editor'!$C$2:$C&lt;=XLOOKUP($Q185,'Threshold Summary'!$Y:$Y,'Threshold Summary'!$L:$L,"")),$R185),"")</f>
        <v/>
      </c>
      <c r="E185" s="3">
        <f>XLOOKUP(D185,'Move Editor'!$B:$B,'Move Editor'!$C:$C,"")</f>
        <v/>
      </c>
      <c r="F185" s="3">
        <f>XLOOKUP(D185,'Move Editor'!$B:$B,'Move Editor'!$D:$D,"")</f>
        <v/>
      </c>
      <c r="G185" s="3">
        <f>XLOOKUP(D185,'Move Editor'!$B:$B,'Move Editor'!$E:$E,0)</f>
        <v/>
      </c>
      <c r="H185" s="3">
        <f>XLOOKUP(D185,'Move Editor'!$B:$B,'Move Editor'!$F:$F,0)</f>
        <v/>
      </c>
      <c r="I185" s="3">
        <f>(INDEX('Type Chart'!$B:$S,MATCH(E185,'Type Chart'!$A:$A,0),MATCH(XLOOKUP('Boss Editor'!$C$4,'Pokemon Editor'!$A:$A,'Pokemon Editor'!$C:$C,""),'Type Chart'!$B$1:$S$1,0))*IF(XLOOKUP('Boss Editor'!$C$4,'Pokemon Editor'!$A:$A,'Pokemon Editor'!$D:$D,"")="",1,INDEX('Type Chart'!$B:$S,MATCH(E185,'Type Chart'!$A:$A,0),MATCH(XLOOKUP('Boss Editor'!$C$4,'Pokemon Editor'!$A:$A,'Pokemon Editor'!$D:$D,""),'Type Chart'!$B$1:$S$1,0))))</f>
        <v/>
      </c>
      <c r="J185" s="3">
        <f>IFERROR(LET(mtype,XLOOKUP($D185,'Move Editor'!$B:$B,'Move Editor'!$C:$C,""),cat,XLOOKUP($D185,'Move Editor'!$B:$B,'Move Editor'!$D:$D,""),pow,XLOOKUP($D185,'Move Editor'!$B:$B,'Move Editor'!$E:$E,0),acc,XLOOKUP($D185,'Move Editor'!$B:$B,'Move Editor'!$F:$F,100),atk,IF(cat="Physical",FLOOR((FLOOR(((2*XLOOKUP(XLOOKUP($Q185,'Threshold Summary'!$Y:$Y,'Threshold Summary'!$K:$K,""),'Pokemon Editor'!$A:$A,'Pokemon Editor'!$F:$F,0)+31+FLOOR(XLOOKUP($Q185,'Threshold Summary'!$Y:$Y,'Threshold Summary'!$P:$P,"")/4))*XLOOKUP($Q185,'Threshold Summary'!$Y:$Y,'Threshold Summary'!$L:$L,""))/100)+5)*XLOOKUP(XLOOKUP($Q185,'Threshold Summary'!$Y:$Y,'Threshold Summary'!$M:$M,""),'Nature Editor'!$A:$A,'Nature Editor'!$B:$B,1)),FLOOR((FLOOR(((2*XLOOKUP(XLOOKUP($Q185,'Threshold Summary'!$Y:$Y,'Threshold Summary'!$K:$K,""),'Pokemon Editor'!$A:$A,'Pokemon Editor'!$H:$H,0)+31+FLOOR(XLOOKUP($Q185,'Threshold Summary'!$Y:$Y,'Threshold Summary'!$R:$R,"")/4))*XLOOKUP($Q185,'Threshold Summary'!$Y:$Y,'Threshold Summary'!$L:$L,""))/100)+5)*XLOOKUP(XLOOKUP($Q185,'Threshold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Editor'!$E:$E,1))),stab,IF(OR(mtype=XLOOKUP(XLOOKUP($Q185,'Threshold Summary'!$Y:$Y,'Threshold Summary'!$K:$K,""),'Pokemon Editor'!$A:$A,'Pokemon Editor'!$C:$C,""),mtype=XLOOKUP(XLOOKUP($Q185,'Threshold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Chart'!$B$1:$S$1,0)))),base,IF(OR(cat="Status",pow=0),0,FLOOR(FLOOR(FLOOR((2*XLOOKUP($Q185,'Threshold Summary'!$Y:$Y,'Threshold Summary'!$L:$L,"")/5+2)*pow*atk/def)/50)+2)),modifier,stab*eff,FLOOR(base*modifier*0.85)),0)</f>
        <v/>
      </c>
      <c r="K185" s="3">
        <f>IFERROR(LET(mtype,XLOOKUP($D185,'Move Editor'!$B:$B,'Move Editor'!$C:$C,""),cat,XLOOKUP($D185,'Move Editor'!$B:$B,'Move Editor'!$D:$D,""),pow,XLOOKUP($D185,'Move Editor'!$B:$B,'Move Editor'!$E:$E,0),acc,XLOOKUP($D185,'Move Editor'!$B:$B,'Move Editor'!$F:$F,100),atk,IF(cat="Physical",FLOOR((FLOOR(((2*XLOOKUP(XLOOKUP($Q185,'Threshold Summary'!$Y:$Y,'Threshold Summary'!$K:$K,""),'Pokemon Editor'!$A:$A,'Pokemon Editor'!$F:$F,0)+31+FLOOR(XLOOKUP($Q185,'Threshold Summary'!$Y:$Y,'Threshold Summary'!$P:$P,"")/4))*XLOOKUP($Q185,'Threshold Summary'!$Y:$Y,'Threshold Summary'!$L:$L,""))/100)+5)*XLOOKUP(XLOOKUP($Q185,'Threshold Summary'!$Y:$Y,'Threshold Summary'!$M:$M,""),'Nature Editor'!$A:$A,'Nature Editor'!$B:$B,1)),FLOOR((FLOOR(((2*XLOOKUP(XLOOKUP($Q185,'Threshold Summary'!$Y:$Y,'Threshold Summary'!$K:$K,""),'Pokemon Editor'!$A:$A,'Pokemon Editor'!$H:$H,0)+31+FLOOR(XLOOKUP($Q185,'Threshold Summary'!$Y:$Y,'Threshold Summary'!$R:$R,"")/4))*XLOOKUP($Q185,'Threshold Summary'!$Y:$Y,'Threshold Summary'!$L:$L,""))/100)+5)*XLOOKUP(XLOOKUP($Q185,'Threshold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Editor'!$E:$E,1))),stab,IF(OR(mtype=XLOOKUP(XLOOKUP($Q185,'Threshold Summary'!$Y:$Y,'Threshold Summary'!$K:$K,""),'Pokemon Editor'!$A:$A,'Pokemon Editor'!$C:$C,""),mtype=XLOOKUP(XLOOKUP($Q185,'Threshold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Chart'!$B$1:$S$1,0)))),base,IF(OR(cat="Status",pow=0),0,FLOOR(FLOOR(FLOOR((2*XLOOKUP($Q185,'Threshold Summary'!$Y:$Y,'Threshold Summary'!$L:$L,"")/5+2)*pow*atk/def)/50)+2)),modifier,stab*eff,FLOOR(base*modifier)),0)</f>
        <v/>
      </c>
      <c r="L185" s="3">
        <f>IFERROR(LET(mtype,XLOOKUP($D185,'Move Editor'!$B:$B,'Move Editor'!$C:$C,""),cat,XLOOKUP($D185,'Move Editor'!$B:$B,'Move Editor'!$D:$D,""),pow,XLOOKUP($D185,'Move Editor'!$B:$B,'Move Editor'!$E:$E,0),acc,XLOOKUP($D185,'Move Editor'!$B:$B,'Move Editor'!$F:$F,100),atk,IF(cat="Physical",FLOOR((FLOOR(((2*XLOOKUP(XLOOKUP($Q185,'Threshold Summary'!$Y:$Y,'Threshold Summary'!$K:$K,""),'Pokemon Editor'!$A:$A,'Pokemon Editor'!$F:$F,0)+31+FLOOR(XLOOKUP($Q185,'Threshold Summary'!$Y:$Y,'Threshold Summary'!$P:$P,"")/4))*XLOOKUP($Q185,'Threshold Summary'!$Y:$Y,'Threshold Summary'!$L:$L,""))/100)+5)*XLOOKUP(XLOOKUP($Q185,'Threshold Summary'!$Y:$Y,'Threshold Summary'!$M:$M,""),'Nature Editor'!$A:$A,'Nature Editor'!$B:$B,1)),FLOOR((FLOOR(((2*XLOOKUP(XLOOKUP($Q185,'Threshold Summary'!$Y:$Y,'Threshold Summary'!$K:$K,""),'Pokemon Editor'!$A:$A,'Pokemon Editor'!$H:$H,0)+31+FLOOR(XLOOKUP($Q185,'Threshold Summary'!$Y:$Y,'Threshold Summary'!$R:$R,"")/4))*XLOOKUP($Q185,'Threshold Summary'!$Y:$Y,'Threshold Summary'!$L:$L,""))/100)+5)*XLOOKUP(XLOOKUP($Q185,'Threshold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Editor'!$E:$E,1))),stab,IF(OR(mtype=XLOOKUP(XLOOKUP($Q185,'Threshold Summary'!$Y:$Y,'Threshold Summary'!$K:$K,""),'Pokemon Editor'!$A:$A,'Pokemon Editor'!$C:$C,""),mtype=XLOOKUP(XLOOKUP($Q185,'Threshold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Chart'!$B$1:$S$1,0)))),base,IF(OR(cat="Status",pow=0),0,FLOOR(FLOOR(FLOOR((2*XLOOKUP($Q185,'Threshold Summary'!$Y:$Y,'Threshold Summary'!$L:$L,"")/5+2)*pow*atk/def)/50)+2)),modifier,stab*eff,AVERAGE(ARRAYFORMULA(FLOOR(base*modifier*SEQUENCE(16,1,85,1)/100)))),0)</f>
        <v/>
      </c>
      <c r="M185" s="3">
        <f>IFERROR(LET(mtype,XLOOKUP($D185,'Move Editor'!$B:$B,'Move Editor'!$C:$C,""),cat,XLOOKUP($D185,'Move Editor'!$B:$B,'Move Editor'!$D:$D,""),pow,XLOOKUP($D185,'Move Editor'!$B:$B,'Move Editor'!$E:$E,0),acc,XLOOKUP($D185,'Move Editor'!$B:$B,'Move Editor'!$F:$F,100),atk,IF(cat="Physical",FLOOR((FLOOR(((2*XLOOKUP(XLOOKUP($Q185,'Threshold Summary'!$Y:$Y,'Threshold Summary'!$K:$K,""),'Pokemon Editor'!$A:$A,'Pokemon Editor'!$F:$F,0)+31+FLOOR(XLOOKUP($Q185,'Threshold Summary'!$Y:$Y,'Threshold Summary'!$P:$P,"")/4))*XLOOKUP($Q185,'Threshold Summary'!$Y:$Y,'Threshold Summary'!$L:$L,""))/100)+5)*XLOOKUP(XLOOKUP($Q185,'Threshold Summary'!$Y:$Y,'Threshold Summary'!$M:$M,""),'Nature Editor'!$A:$A,'Nature Editor'!$B:$B,1)),FLOOR((FLOOR(((2*XLOOKUP(XLOOKUP($Q185,'Threshold Summary'!$Y:$Y,'Threshold Summary'!$K:$K,""),'Pokemon Editor'!$A:$A,'Pokemon Editor'!$H:$H,0)+31+FLOOR(XLOOKUP($Q185,'Threshold Summary'!$Y:$Y,'Threshold Summary'!$R:$R,"")/4))*XLOOKUP($Q185,'Threshold Summary'!$Y:$Y,'Threshold Summary'!$L:$L,""))/100)+5)*XLOOKUP(XLOOKUP($Q185,'Threshold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Editor'!$E:$E,1))),stab,IF(OR(mtype=XLOOKUP(XLOOKUP($Q185,'Threshold Summary'!$Y:$Y,'Threshold Summary'!$K:$K,""),'Pokemon Editor'!$A:$A,'Pokemon Editor'!$C:$C,""),mtype=XLOOKUP(XLOOKUP($Q185,'Threshold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Chart'!$B$1:$S$1,0)))),base,IF(OR(cat="Status",pow=0),0,FLOOR(FLOOR(FLOOR((2*XLOOKUP($Q185,'Threshold Summary'!$Y:$Y,'Threshold Summary'!$L:$L,"")/5+2)*pow*atk/def)/50)+2)),modifier,stab*eff,AVERAGE(ARRAYFORMULA(FLOOR(base*modifier*SEQUENCE(16,1,85,1)/100)))*MIN(1,acc/100)),0)</f>
        <v/>
      </c>
      <c r="N185" s="4">
        <f>IFERROR(LET(mtype,XLOOKUP($D185,'Move Editor'!$B:$B,'Move Editor'!$C:$C,""),cat,XLOOKUP($D185,'Move Editor'!$B:$B,'Move Editor'!$D:$D,""),pow,XLOOKUP($D185,'Move Editor'!$B:$B,'Move Editor'!$E:$E,0),acc,XLOOKUP($D185,'Move Editor'!$B:$B,'Move Editor'!$F:$F,100),atk,IF(cat="Physical",FLOOR((FLOOR(((2*XLOOKUP(XLOOKUP($Q185,'Threshold Summary'!$Y:$Y,'Threshold Summary'!$K:$K,""),'Pokemon Editor'!$A:$A,'Pokemon Editor'!$F:$F,0)+31+FLOOR(XLOOKUP($Q185,'Threshold Summary'!$Y:$Y,'Threshold Summary'!$P:$P,"")/4))*XLOOKUP($Q185,'Threshold Summary'!$Y:$Y,'Threshold Summary'!$L:$L,""))/100)+5)*XLOOKUP(XLOOKUP($Q185,'Threshold Summary'!$Y:$Y,'Threshold Summary'!$M:$M,""),'Nature Editor'!$A:$A,'Nature Editor'!$B:$B,1)),FLOOR((FLOOR(((2*XLOOKUP(XLOOKUP($Q185,'Threshold Summary'!$Y:$Y,'Threshold Summary'!$K:$K,""),'Pokemon Editor'!$A:$A,'Pokemon Editor'!$H:$H,0)+31+FLOOR(XLOOKUP($Q185,'Threshold Summary'!$Y:$Y,'Threshold Summary'!$R:$R,"")/4))*XLOOKUP($Q185,'Threshold Summary'!$Y:$Y,'Threshold Summary'!$L:$L,""))/100)+5)*XLOOKUP(XLOOKUP($Q185,'Threshold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Editor'!$E:$E,1))),stab,IF(OR(mtype=XLOOKUP(XLOOKUP($Q185,'Threshold Summary'!$Y:$Y,'Threshold Summary'!$K:$K,""),'Pokemon Editor'!$A:$A,'Pokemon Editor'!$C:$C,""),mtype=XLOOKUP(XLOOKUP($Q185,'Threshold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Chart'!$B$1:$S$1,0)))),base,IF(OR(cat="Status",pow=0),0,FLOOR(FLOOR(FLOOR((2*XLOOKUP($Q185,'Threshold Summary'!$Y:$Y,'Threshold Summary'!$L:$L,"")/5+2)*pow*atk/def)/50)+2)),modifier,stab*eff,AVERAGE(ARRAYFORMULA(FLOOR(base*modifier*SEQUENCE(16,1,85,1)/100)))/(FLOOR(((2*XLOOKUP('Boss Editor'!$C$4,'Pokemon Editor'!$A:$A,'Pokemon Editor'!$E:$E,0)+31+FLOOR('Boss Editor'!$G$4/4))*'Boss Editor'!$D$4)/100)+'Boss Editor'!$D$4+10)),0)</f>
        <v/>
      </c>
      <c r="O185" s="3">
        <f>IF(N185&gt;=1,"OHKO",IF(N185&gt;=0.5,"2HKO",IF(N185&gt;=0.333,"3HKO",IF(N185&gt;=0.25,"4HKO","5HKO+"))))</f>
        <v/>
      </c>
      <c r="P185" s="3" t="inlineStr">
        <is>
          <t>Live from editable databases</t>
        </is>
      </c>
      <c r="Q185" s="3" t="inlineStr">
        <is>
          <t>SPECIES_MUDKIP</t>
        </is>
      </c>
      <c r="R185" s="3" t="n">
        <v>24</v>
      </c>
    </row>
    <row r="186">
      <c r="A186" s="3">
        <f>XLOOKUP($Q186,'Threshold Summary'!$Y:$Y,'Threshold Summary'!$A:$A,"")</f>
        <v/>
      </c>
      <c r="B186" s="3">
        <f>XLOOKUP($Q186,'Threshold Summary'!$Y:$Y,'Threshold Summary'!$M:$M,"")</f>
        <v/>
      </c>
      <c r="C186" s="3">
        <f>XLOOKUP($Q186,'Threshold Summary'!$Y:$Y,'Threshold Summary'!$N:$N,"")</f>
        <v/>
      </c>
      <c r="D186" s="3">
        <f>IFERROR(INDEX(FILTER('Learnset Editor'!$D$2:$D,'Learnset Editor'!$A$2:$A=XLOOKUP($Q186,'Threshold Summary'!$Y:$Y,'Threshold Summary'!$K:$K,""),'Learnset Editor'!$C$2:$C&lt;=XLOOKUP($Q186,'Threshold Summary'!$Y:$Y,'Threshold Summary'!$L:$L,"")),$R186),"")</f>
        <v/>
      </c>
      <c r="E186" s="3">
        <f>XLOOKUP(D186,'Move Editor'!$B:$B,'Move Editor'!$C:$C,"")</f>
        <v/>
      </c>
      <c r="F186" s="3">
        <f>XLOOKUP(D186,'Move Editor'!$B:$B,'Move Editor'!$D:$D,"")</f>
        <v/>
      </c>
      <c r="G186" s="3">
        <f>XLOOKUP(D186,'Move Editor'!$B:$B,'Move Editor'!$E:$E,0)</f>
        <v/>
      </c>
      <c r="H186" s="3">
        <f>XLOOKUP(D186,'Move Editor'!$B:$B,'Move Editor'!$F:$F,0)</f>
        <v/>
      </c>
      <c r="I186" s="3">
        <f>(INDEX('Type Chart'!$B:$S,MATCH(E186,'Type Chart'!$A:$A,0),MATCH(XLOOKUP('Boss Editor'!$C$4,'Pokemon Editor'!$A:$A,'Pokemon Editor'!$C:$C,""),'Type Chart'!$B$1:$S$1,0))*IF(XLOOKUP('Boss Editor'!$C$4,'Pokemon Editor'!$A:$A,'Pokemon Editor'!$D:$D,"")="",1,INDEX('Type Chart'!$B:$S,MATCH(E186,'Type Chart'!$A:$A,0),MATCH(XLOOKUP('Boss Editor'!$C$4,'Pokemon Editor'!$A:$A,'Pokemon Editor'!$D:$D,""),'Type Chart'!$B$1:$S$1,0))))</f>
        <v/>
      </c>
      <c r="J186" s="3">
        <f>IFERROR(LET(mtype,XLOOKUP($D186,'Move Editor'!$B:$B,'Move Editor'!$C:$C,""),cat,XLOOKUP($D186,'Move Editor'!$B:$B,'Move Editor'!$D:$D,""),pow,XLOOKUP($D186,'Move Editor'!$B:$B,'Move Editor'!$E:$E,0),acc,XLOOKUP($D186,'Move Editor'!$B:$B,'Move Editor'!$F:$F,100),atk,IF(cat="Physical",FLOOR((FLOOR(((2*XLOOKUP(XLOOKUP($Q186,'Threshold Summary'!$Y:$Y,'Threshold Summary'!$K:$K,""),'Pokemon Editor'!$A:$A,'Pokemon Editor'!$F:$F,0)+31+FLOOR(XLOOKUP($Q186,'Threshold Summary'!$Y:$Y,'Threshold Summary'!$P:$P,"")/4))*XLOOKUP($Q186,'Threshold Summary'!$Y:$Y,'Threshold Summary'!$L:$L,""))/100)+5)*XLOOKUP(XLOOKUP($Q186,'Threshold Summary'!$Y:$Y,'Threshold Summary'!$M:$M,""),'Nature Editor'!$A:$A,'Nature Editor'!$B:$B,1)),FLOOR((FLOOR(((2*XLOOKUP(XLOOKUP($Q186,'Threshold Summary'!$Y:$Y,'Threshold Summary'!$K:$K,""),'Pokemon Editor'!$A:$A,'Pokemon Editor'!$H:$H,0)+31+FLOOR(XLOOKUP($Q186,'Threshold Summary'!$Y:$Y,'Threshold Summary'!$R:$R,"")/4))*XLOOKUP($Q186,'Threshold Summary'!$Y:$Y,'Threshold Summary'!$L:$L,""))/100)+5)*XLOOKUP(XLOOKUP($Q186,'Threshold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Editor'!$E:$E,1))),stab,IF(OR(mtype=XLOOKUP(XLOOKUP($Q186,'Threshold Summary'!$Y:$Y,'Threshold Summary'!$K:$K,""),'Pokemon Editor'!$A:$A,'Pokemon Editor'!$C:$C,""),mtype=XLOOKUP(XLOOKUP($Q186,'Threshold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Chart'!$B$1:$S$1,0)))),base,IF(OR(cat="Status",pow=0),0,FLOOR(FLOOR(FLOOR((2*XLOOKUP($Q186,'Threshold Summary'!$Y:$Y,'Threshold Summary'!$L:$L,"")/5+2)*pow*atk/def)/50)+2)),modifier,stab*eff,FLOOR(base*modifier*0.85)),0)</f>
        <v/>
      </c>
      <c r="K186" s="3">
        <f>IFERROR(LET(mtype,XLOOKUP($D186,'Move Editor'!$B:$B,'Move Editor'!$C:$C,""),cat,XLOOKUP($D186,'Move Editor'!$B:$B,'Move Editor'!$D:$D,""),pow,XLOOKUP($D186,'Move Editor'!$B:$B,'Move Editor'!$E:$E,0),acc,XLOOKUP($D186,'Move Editor'!$B:$B,'Move Editor'!$F:$F,100),atk,IF(cat="Physical",FLOOR((FLOOR(((2*XLOOKUP(XLOOKUP($Q186,'Threshold Summary'!$Y:$Y,'Threshold Summary'!$K:$K,""),'Pokemon Editor'!$A:$A,'Pokemon Editor'!$F:$F,0)+31+FLOOR(XLOOKUP($Q186,'Threshold Summary'!$Y:$Y,'Threshold Summary'!$P:$P,"")/4))*XLOOKUP($Q186,'Threshold Summary'!$Y:$Y,'Threshold Summary'!$L:$L,""))/100)+5)*XLOOKUP(XLOOKUP($Q186,'Threshold Summary'!$Y:$Y,'Threshold Summary'!$M:$M,""),'Nature Editor'!$A:$A,'Nature Editor'!$B:$B,1)),FLOOR((FLOOR(((2*XLOOKUP(XLOOKUP($Q186,'Threshold Summary'!$Y:$Y,'Threshold Summary'!$K:$K,""),'Pokemon Editor'!$A:$A,'Pokemon Editor'!$H:$H,0)+31+FLOOR(XLOOKUP($Q186,'Threshold Summary'!$Y:$Y,'Threshold Summary'!$R:$R,"")/4))*XLOOKUP($Q186,'Threshold Summary'!$Y:$Y,'Threshold Summary'!$L:$L,""))/100)+5)*XLOOKUP(XLOOKUP($Q186,'Threshold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Editor'!$E:$E,1))),stab,IF(OR(mtype=XLOOKUP(XLOOKUP($Q186,'Threshold Summary'!$Y:$Y,'Threshold Summary'!$K:$K,""),'Pokemon Editor'!$A:$A,'Pokemon Editor'!$C:$C,""),mtype=XLOOKUP(XLOOKUP($Q186,'Threshold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Chart'!$B$1:$S$1,0)))),base,IF(OR(cat="Status",pow=0),0,FLOOR(FLOOR(FLOOR((2*XLOOKUP($Q186,'Threshold Summary'!$Y:$Y,'Threshold Summary'!$L:$L,"")/5+2)*pow*atk/def)/50)+2)),modifier,stab*eff,FLOOR(base*modifier)),0)</f>
        <v/>
      </c>
      <c r="L186" s="3">
        <f>IFERROR(LET(mtype,XLOOKUP($D186,'Move Editor'!$B:$B,'Move Editor'!$C:$C,""),cat,XLOOKUP($D186,'Move Editor'!$B:$B,'Move Editor'!$D:$D,""),pow,XLOOKUP($D186,'Move Editor'!$B:$B,'Move Editor'!$E:$E,0),acc,XLOOKUP($D186,'Move Editor'!$B:$B,'Move Editor'!$F:$F,100),atk,IF(cat="Physical",FLOOR((FLOOR(((2*XLOOKUP(XLOOKUP($Q186,'Threshold Summary'!$Y:$Y,'Threshold Summary'!$K:$K,""),'Pokemon Editor'!$A:$A,'Pokemon Editor'!$F:$F,0)+31+FLOOR(XLOOKUP($Q186,'Threshold Summary'!$Y:$Y,'Threshold Summary'!$P:$P,"")/4))*XLOOKUP($Q186,'Threshold Summary'!$Y:$Y,'Threshold Summary'!$L:$L,""))/100)+5)*XLOOKUP(XLOOKUP($Q186,'Threshold Summary'!$Y:$Y,'Threshold Summary'!$M:$M,""),'Nature Editor'!$A:$A,'Nature Editor'!$B:$B,1)),FLOOR((FLOOR(((2*XLOOKUP(XLOOKUP($Q186,'Threshold Summary'!$Y:$Y,'Threshold Summary'!$K:$K,""),'Pokemon Editor'!$A:$A,'Pokemon Editor'!$H:$H,0)+31+FLOOR(XLOOKUP($Q186,'Threshold Summary'!$Y:$Y,'Threshold Summary'!$R:$R,"")/4))*XLOOKUP($Q186,'Threshold Summary'!$Y:$Y,'Threshold Summary'!$L:$L,""))/100)+5)*XLOOKUP(XLOOKUP($Q186,'Threshold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Editor'!$E:$E,1))),stab,IF(OR(mtype=XLOOKUP(XLOOKUP($Q186,'Threshold Summary'!$Y:$Y,'Threshold Summary'!$K:$K,""),'Pokemon Editor'!$A:$A,'Pokemon Editor'!$C:$C,""),mtype=XLOOKUP(XLOOKUP($Q186,'Threshold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Chart'!$B$1:$S$1,0)))),base,IF(OR(cat="Status",pow=0),0,FLOOR(FLOOR(FLOOR((2*XLOOKUP($Q186,'Threshold Summary'!$Y:$Y,'Threshold Summary'!$L:$L,"")/5+2)*pow*atk/def)/50)+2)),modifier,stab*eff,AVERAGE(ARRAYFORMULA(FLOOR(base*modifier*SEQUENCE(16,1,85,1)/100)))),0)</f>
        <v/>
      </c>
      <c r="M186" s="3">
        <f>IFERROR(LET(mtype,XLOOKUP($D186,'Move Editor'!$B:$B,'Move Editor'!$C:$C,""),cat,XLOOKUP($D186,'Move Editor'!$B:$B,'Move Editor'!$D:$D,""),pow,XLOOKUP($D186,'Move Editor'!$B:$B,'Move Editor'!$E:$E,0),acc,XLOOKUP($D186,'Move Editor'!$B:$B,'Move Editor'!$F:$F,100),atk,IF(cat="Physical",FLOOR((FLOOR(((2*XLOOKUP(XLOOKUP($Q186,'Threshold Summary'!$Y:$Y,'Threshold Summary'!$K:$K,""),'Pokemon Editor'!$A:$A,'Pokemon Editor'!$F:$F,0)+31+FLOOR(XLOOKUP($Q186,'Threshold Summary'!$Y:$Y,'Threshold Summary'!$P:$P,"")/4))*XLOOKUP($Q186,'Threshold Summary'!$Y:$Y,'Threshold Summary'!$L:$L,""))/100)+5)*XLOOKUP(XLOOKUP($Q186,'Threshold Summary'!$Y:$Y,'Threshold Summary'!$M:$M,""),'Nature Editor'!$A:$A,'Nature Editor'!$B:$B,1)),FLOOR((FLOOR(((2*XLOOKUP(XLOOKUP($Q186,'Threshold Summary'!$Y:$Y,'Threshold Summary'!$K:$K,""),'Pokemon Editor'!$A:$A,'Pokemon Editor'!$H:$H,0)+31+FLOOR(XLOOKUP($Q186,'Threshold Summary'!$Y:$Y,'Threshold Summary'!$R:$R,"")/4))*XLOOKUP($Q186,'Threshold Summary'!$Y:$Y,'Threshold Summary'!$L:$L,""))/100)+5)*XLOOKUP(XLOOKUP($Q186,'Threshold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Editor'!$E:$E,1))),stab,IF(OR(mtype=XLOOKUP(XLOOKUP($Q186,'Threshold Summary'!$Y:$Y,'Threshold Summary'!$K:$K,""),'Pokemon Editor'!$A:$A,'Pokemon Editor'!$C:$C,""),mtype=XLOOKUP(XLOOKUP($Q186,'Threshold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Chart'!$B$1:$S$1,0)))),base,IF(OR(cat="Status",pow=0),0,FLOOR(FLOOR(FLOOR((2*XLOOKUP($Q186,'Threshold Summary'!$Y:$Y,'Threshold Summary'!$L:$L,"")/5+2)*pow*atk/def)/50)+2)),modifier,stab*eff,AVERAGE(ARRAYFORMULA(FLOOR(base*modifier*SEQUENCE(16,1,85,1)/100)))*MIN(1,acc/100)),0)</f>
        <v/>
      </c>
      <c r="N186" s="4">
        <f>IFERROR(LET(mtype,XLOOKUP($D186,'Move Editor'!$B:$B,'Move Editor'!$C:$C,""),cat,XLOOKUP($D186,'Move Editor'!$B:$B,'Move Editor'!$D:$D,""),pow,XLOOKUP($D186,'Move Editor'!$B:$B,'Move Editor'!$E:$E,0),acc,XLOOKUP($D186,'Move Editor'!$B:$B,'Move Editor'!$F:$F,100),atk,IF(cat="Physical",FLOOR((FLOOR(((2*XLOOKUP(XLOOKUP($Q186,'Threshold Summary'!$Y:$Y,'Threshold Summary'!$K:$K,""),'Pokemon Editor'!$A:$A,'Pokemon Editor'!$F:$F,0)+31+FLOOR(XLOOKUP($Q186,'Threshold Summary'!$Y:$Y,'Threshold Summary'!$P:$P,"")/4))*XLOOKUP($Q186,'Threshold Summary'!$Y:$Y,'Threshold Summary'!$L:$L,""))/100)+5)*XLOOKUP(XLOOKUP($Q186,'Threshold Summary'!$Y:$Y,'Threshold Summary'!$M:$M,""),'Nature Editor'!$A:$A,'Nature Editor'!$B:$B,1)),FLOOR((FLOOR(((2*XLOOKUP(XLOOKUP($Q186,'Threshold Summary'!$Y:$Y,'Threshold Summary'!$K:$K,""),'Pokemon Editor'!$A:$A,'Pokemon Editor'!$H:$H,0)+31+FLOOR(XLOOKUP($Q186,'Threshold Summary'!$Y:$Y,'Threshold Summary'!$R:$R,"")/4))*XLOOKUP($Q186,'Threshold Summary'!$Y:$Y,'Threshold Summary'!$L:$L,""))/100)+5)*XLOOKUP(XLOOKUP($Q186,'Threshold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Editor'!$E:$E,1))),stab,IF(OR(mtype=XLOOKUP(XLOOKUP($Q186,'Threshold Summary'!$Y:$Y,'Threshold Summary'!$K:$K,""),'Pokemon Editor'!$A:$A,'Pokemon Editor'!$C:$C,""),mtype=XLOOKUP(XLOOKUP($Q186,'Threshold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Chart'!$B$1:$S$1,0)))),base,IF(OR(cat="Status",pow=0),0,FLOOR(FLOOR(FLOOR((2*XLOOKUP($Q186,'Threshold Summary'!$Y:$Y,'Threshold Summary'!$L:$L,"")/5+2)*pow*atk/def)/50)+2)),modifier,stab*eff,AVERAGE(ARRAYFORMULA(FLOOR(base*modifier*SEQUENCE(16,1,85,1)/100)))/(FLOOR(((2*XLOOKUP('Boss Editor'!$C$4,'Pokemon Editor'!$A:$A,'Pokemon Editor'!$E:$E,0)+31+FLOOR('Boss Editor'!$G$4/4))*'Boss Editor'!$D$4)/100)+'Boss Editor'!$D$4+10)),0)</f>
        <v/>
      </c>
      <c r="O186" s="3">
        <f>IF(N186&gt;=1,"OHKO",IF(N186&gt;=0.5,"2HKO",IF(N186&gt;=0.333,"3HKO",IF(N186&gt;=0.25,"4HKO","5HKO+"))))</f>
        <v/>
      </c>
      <c r="P186" s="3" t="inlineStr">
        <is>
          <t>Live from editable databases</t>
        </is>
      </c>
      <c r="Q186" s="3" t="inlineStr">
        <is>
          <t>SPECIES_MUDKIP</t>
        </is>
      </c>
      <c r="R186" s="3" t="n">
        <v>25</v>
      </c>
    </row>
    <row r="187">
      <c r="A187" s="3">
        <f>XLOOKUP($Q187,'Threshold Summary'!$Y:$Y,'Threshold Summary'!$A:$A,"")</f>
        <v/>
      </c>
      <c r="B187" s="3">
        <f>XLOOKUP($Q187,'Threshold Summary'!$Y:$Y,'Threshold Summary'!$M:$M,"")</f>
        <v/>
      </c>
      <c r="C187" s="3">
        <f>XLOOKUP($Q187,'Threshold Summary'!$Y:$Y,'Threshold Summary'!$N:$N,"")</f>
        <v/>
      </c>
      <c r="D187" s="3">
        <f>IFERROR(INDEX(FILTER('Learnset Editor'!$D$2:$D,'Learnset Editor'!$A$2:$A=XLOOKUP($Q187,'Threshold Summary'!$Y:$Y,'Threshold Summary'!$K:$K,""),'Learnset Editor'!$C$2:$C&lt;=XLOOKUP($Q187,'Threshold Summary'!$Y:$Y,'Threshold Summary'!$L:$L,"")),$R187),"")</f>
        <v/>
      </c>
      <c r="E187" s="3">
        <f>XLOOKUP(D187,'Move Editor'!$B:$B,'Move Editor'!$C:$C,"")</f>
        <v/>
      </c>
      <c r="F187" s="3">
        <f>XLOOKUP(D187,'Move Editor'!$B:$B,'Move Editor'!$D:$D,"")</f>
        <v/>
      </c>
      <c r="G187" s="3">
        <f>XLOOKUP(D187,'Move Editor'!$B:$B,'Move Editor'!$E:$E,0)</f>
        <v/>
      </c>
      <c r="H187" s="3">
        <f>XLOOKUP(D187,'Move Editor'!$B:$B,'Move Editor'!$F:$F,0)</f>
        <v/>
      </c>
      <c r="I187" s="3">
        <f>(INDEX('Type Chart'!$B:$S,MATCH(E187,'Type Chart'!$A:$A,0),MATCH(XLOOKUP('Boss Editor'!$C$4,'Pokemon Editor'!$A:$A,'Pokemon Editor'!$C:$C,""),'Type Chart'!$B$1:$S$1,0))*IF(XLOOKUP('Boss Editor'!$C$4,'Pokemon Editor'!$A:$A,'Pokemon Editor'!$D:$D,"")="",1,INDEX('Type Chart'!$B:$S,MATCH(E187,'Type Chart'!$A:$A,0),MATCH(XLOOKUP('Boss Editor'!$C$4,'Pokemon Editor'!$A:$A,'Pokemon Editor'!$D:$D,""),'Type Chart'!$B$1:$S$1,0))))</f>
        <v/>
      </c>
      <c r="J187" s="3">
        <f>IFERROR(LET(mtype,XLOOKUP($D187,'Move Editor'!$B:$B,'Move Editor'!$C:$C,""),cat,XLOOKUP($D187,'Move Editor'!$B:$B,'Move Editor'!$D:$D,""),pow,XLOOKUP($D187,'Move Editor'!$B:$B,'Move Editor'!$E:$E,0),acc,XLOOKUP($D187,'Move Editor'!$B:$B,'Move Editor'!$F:$F,100),atk,IF(cat="Physical",FLOOR((FLOOR(((2*XLOOKUP(XLOOKUP($Q187,'Threshold Summary'!$Y:$Y,'Threshold Summary'!$K:$K,""),'Pokemon Editor'!$A:$A,'Pokemon Editor'!$F:$F,0)+31+FLOOR(XLOOKUP($Q187,'Threshold Summary'!$Y:$Y,'Threshold Summary'!$P:$P,"")/4))*XLOOKUP($Q187,'Threshold Summary'!$Y:$Y,'Threshold Summary'!$L:$L,""))/100)+5)*XLOOKUP(XLOOKUP($Q187,'Threshold Summary'!$Y:$Y,'Threshold Summary'!$M:$M,""),'Nature Editor'!$A:$A,'Nature Editor'!$B:$B,1)),FLOOR((FLOOR(((2*XLOOKUP(XLOOKUP($Q187,'Threshold Summary'!$Y:$Y,'Threshold Summary'!$K:$K,""),'Pokemon Editor'!$A:$A,'Pokemon Editor'!$H:$H,0)+31+FLOOR(XLOOKUP($Q187,'Threshold Summary'!$Y:$Y,'Threshold Summary'!$R:$R,"")/4))*XLOOKUP($Q187,'Threshold Summary'!$Y:$Y,'Threshold Summary'!$L:$L,""))/100)+5)*XLOOKUP(XLOOKUP($Q187,'Threshold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Editor'!$E:$E,1))),stab,IF(OR(mtype=XLOOKUP(XLOOKUP($Q187,'Threshold Summary'!$Y:$Y,'Threshold Summary'!$K:$K,""),'Pokemon Editor'!$A:$A,'Pokemon Editor'!$C:$C,""),mtype=XLOOKUP(XLOOKUP($Q187,'Threshold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Chart'!$B$1:$S$1,0)))),base,IF(OR(cat="Status",pow=0),0,FLOOR(FLOOR(FLOOR((2*XLOOKUP($Q187,'Threshold Summary'!$Y:$Y,'Threshold Summary'!$L:$L,"")/5+2)*pow*atk/def)/50)+2)),modifier,stab*eff,FLOOR(base*modifier*0.85)),0)</f>
        <v/>
      </c>
      <c r="K187" s="3">
        <f>IFERROR(LET(mtype,XLOOKUP($D187,'Move Editor'!$B:$B,'Move Editor'!$C:$C,""),cat,XLOOKUP($D187,'Move Editor'!$B:$B,'Move Editor'!$D:$D,""),pow,XLOOKUP($D187,'Move Editor'!$B:$B,'Move Editor'!$E:$E,0),acc,XLOOKUP($D187,'Move Editor'!$B:$B,'Move Editor'!$F:$F,100),atk,IF(cat="Physical",FLOOR((FLOOR(((2*XLOOKUP(XLOOKUP($Q187,'Threshold Summary'!$Y:$Y,'Threshold Summary'!$K:$K,""),'Pokemon Editor'!$A:$A,'Pokemon Editor'!$F:$F,0)+31+FLOOR(XLOOKUP($Q187,'Threshold Summary'!$Y:$Y,'Threshold Summary'!$P:$P,"")/4))*XLOOKUP($Q187,'Threshold Summary'!$Y:$Y,'Threshold Summary'!$L:$L,""))/100)+5)*XLOOKUP(XLOOKUP($Q187,'Threshold Summary'!$Y:$Y,'Threshold Summary'!$M:$M,""),'Nature Editor'!$A:$A,'Nature Editor'!$B:$B,1)),FLOOR((FLOOR(((2*XLOOKUP(XLOOKUP($Q187,'Threshold Summary'!$Y:$Y,'Threshold Summary'!$K:$K,""),'Pokemon Editor'!$A:$A,'Pokemon Editor'!$H:$H,0)+31+FLOOR(XLOOKUP($Q187,'Threshold Summary'!$Y:$Y,'Threshold Summary'!$R:$R,"")/4))*XLOOKUP($Q187,'Threshold Summary'!$Y:$Y,'Threshold Summary'!$L:$L,""))/100)+5)*XLOOKUP(XLOOKUP($Q187,'Threshold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Editor'!$E:$E,1))),stab,IF(OR(mtype=XLOOKUP(XLOOKUP($Q187,'Threshold Summary'!$Y:$Y,'Threshold Summary'!$K:$K,""),'Pokemon Editor'!$A:$A,'Pokemon Editor'!$C:$C,""),mtype=XLOOKUP(XLOOKUP($Q187,'Threshold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Chart'!$B$1:$S$1,0)))),base,IF(OR(cat="Status",pow=0),0,FLOOR(FLOOR(FLOOR((2*XLOOKUP($Q187,'Threshold Summary'!$Y:$Y,'Threshold Summary'!$L:$L,"")/5+2)*pow*atk/def)/50)+2)),modifier,stab*eff,FLOOR(base*modifier)),0)</f>
        <v/>
      </c>
      <c r="L187" s="3">
        <f>IFERROR(LET(mtype,XLOOKUP($D187,'Move Editor'!$B:$B,'Move Editor'!$C:$C,""),cat,XLOOKUP($D187,'Move Editor'!$B:$B,'Move Editor'!$D:$D,""),pow,XLOOKUP($D187,'Move Editor'!$B:$B,'Move Editor'!$E:$E,0),acc,XLOOKUP($D187,'Move Editor'!$B:$B,'Move Editor'!$F:$F,100),atk,IF(cat="Physical",FLOOR((FLOOR(((2*XLOOKUP(XLOOKUP($Q187,'Threshold Summary'!$Y:$Y,'Threshold Summary'!$K:$K,""),'Pokemon Editor'!$A:$A,'Pokemon Editor'!$F:$F,0)+31+FLOOR(XLOOKUP($Q187,'Threshold Summary'!$Y:$Y,'Threshold Summary'!$P:$P,"")/4))*XLOOKUP($Q187,'Threshold Summary'!$Y:$Y,'Threshold Summary'!$L:$L,""))/100)+5)*XLOOKUP(XLOOKUP($Q187,'Threshold Summary'!$Y:$Y,'Threshold Summary'!$M:$M,""),'Nature Editor'!$A:$A,'Nature Editor'!$B:$B,1)),FLOOR((FLOOR(((2*XLOOKUP(XLOOKUP($Q187,'Threshold Summary'!$Y:$Y,'Threshold Summary'!$K:$K,""),'Pokemon Editor'!$A:$A,'Pokemon Editor'!$H:$H,0)+31+FLOOR(XLOOKUP($Q187,'Threshold Summary'!$Y:$Y,'Threshold Summary'!$R:$R,"")/4))*XLOOKUP($Q187,'Threshold Summary'!$Y:$Y,'Threshold Summary'!$L:$L,""))/100)+5)*XLOOKUP(XLOOKUP($Q187,'Threshold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Editor'!$E:$E,1))),stab,IF(OR(mtype=XLOOKUP(XLOOKUP($Q187,'Threshold Summary'!$Y:$Y,'Threshold Summary'!$K:$K,""),'Pokemon Editor'!$A:$A,'Pokemon Editor'!$C:$C,""),mtype=XLOOKUP(XLOOKUP($Q187,'Threshold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Chart'!$B$1:$S$1,0)))),base,IF(OR(cat="Status",pow=0),0,FLOOR(FLOOR(FLOOR((2*XLOOKUP($Q187,'Threshold Summary'!$Y:$Y,'Threshold Summary'!$L:$L,"")/5+2)*pow*atk/def)/50)+2)),modifier,stab*eff,AVERAGE(ARRAYFORMULA(FLOOR(base*modifier*SEQUENCE(16,1,85,1)/100)))),0)</f>
        <v/>
      </c>
      <c r="M187" s="3">
        <f>IFERROR(LET(mtype,XLOOKUP($D187,'Move Editor'!$B:$B,'Move Editor'!$C:$C,""),cat,XLOOKUP($D187,'Move Editor'!$B:$B,'Move Editor'!$D:$D,""),pow,XLOOKUP($D187,'Move Editor'!$B:$B,'Move Editor'!$E:$E,0),acc,XLOOKUP($D187,'Move Editor'!$B:$B,'Move Editor'!$F:$F,100),atk,IF(cat="Physical",FLOOR((FLOOR(((2*XLOOKUP(XLOOKUP($Q187,'Threshold Summary'!$Y:$Y,'Threshold Summary'!$K:$K,""),'Pokemon Editor'!$A:$A,'Pokemon Editor'!$F:$F,0)+31+FLOOR(XLOOKUP($Q187,'Threshold Summary'!$Y:$Y,'Threshold Summary'!$P:$P,"")/4))*XLOOKUP($Q187,'Threshold Summary'!$Y:$Y,'Threshold Summary'!$L:$L,""))/100)+5)*XLOOKUP(XLOOKUP($Q187,'Threshold Summary'!$Y:$Y,'Threshold Summary'!$M:$M,""),'Nature Editor'!$A:$A,'Nature Editor'!$B:$B,1)),FLOOR((FLOOR(((2*XLOOKUP(XLOOKUP($Q187,'Threshold Summary'!$Y:$Y,'Threshold Summary'!$K:$K,""),'Pokemon Editor'!$A:$A,'Pokemon Editor'!$H:$H,0)+31+FLOOR(XLOOKUP($Q187,'Threshold Summary'!$Y:$Y,'Threshold Summary'!$R:$R,"")/4))*XLOOKUP($Q187,'Threshold Summary'!$Y:$Y,'Threshold Summary'!$L:$L,""))/100)+5)*XLOOKUP(XLOOKUP($Q187,'Threshold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Editor'!$E:$E,1))),stab,IF(OR(mtype=XLOOKUP(XLOOKUP($Q187,'Threshold Summary'!$Y:$Y,'Threshold Summary'!$K:$K,""),'Pokemon Editor'!$A:$A,'Pokemon Editor'!$C:$C,""),mtype=XLOOKUP(XLOOKUP($Q187,'Threshold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Chart'!$B$1:$S$1,0)))),base,IF(OR(cat="Status",pow=0),0,FLOOR(FLOOR(FLOOR((2*XLOOKUP($Q187,'Threshold Summary'!$Y:$Y,'Threshold Summary'!$L:$L,"")/5+2)*pow*atk/def)/50)+2)),modifier,stab*eff,AVERAGE(ARRAYFORMULA(FLOOR(base*modifier*SEQUENCE(16,1,85,1)/100)))*MIN(1,acc/100)),0)</f>
        <v/>
      </c>
      <c r="N187" s="4">
        <f>IFERROR(LET(mtype,XLOOKUP($D187,'Move Editor'!$B:$B,'Move Editor'!$C:$C,""),cat,XLOOKUP($D187,'Move Editor'!$B:$B,'Move Editor'!$D:$D,""),pow,XLOOKUP($D187,'Move Editor'!$B:$B,'Move Editor'!$E:$E,0),acc,XLOOKUP($D187,'Move Editor'!$B:$B,'Move Editor'!$F:$F,100),atk,IF(cat="Physical",FLOOR((FLOOR(((2*XLOOKUP(XLOOKUP($Q187,'Threshold Summary'!$Y:$Y,'Threshold Summary'!$K:$K,""),'Pokemon Editor'!$A:$A,'Pokemon Editor'!$F:$F,0)+31+FLOOR(XLOOKUP($Q187,'Threshold Summary'!$Y:$Y,'Threshold Summary'!$P:$P,"")/4))*XLOOKUP($Q187,'Threshold Summary'!$Y:$Y,'Threshold Summary'!$L:$L,""))/100)+5)*XLOOKUP(XLOOKUP($Q187,'Threshold Summary'!$Y:$Y,'Threshold Summary'!$M:$M,""),'Nature Editor'!$A:$A,'Nature Editor'!$B:$B,1)),FLOOR((FLOOR(((2*XLOOKUP(XLOOKUP($Q187,'Threshold Summary'!$Y:$Y,'Threshold Summary'!$K:$K,""),'Pokemon Editor'!$A:$A,'Pokemon Editor'!$H:$H,0)+31+FLOOR(XLOOKUP($Q187,'Threshold Summary'!$Y:$Y,'Threshold Summary'!$R:$R,"")/4))*XLOOKUP($Q187,'Threshold Summary'!$Y:$Y,'Threshold Summary'!$L:$L,""))/100)+5)*XLOOKUP(XLOOKUP($Q187,'Threshold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Editor'!$E:$E,1))),stab,IF(OR(mtype=XLOOKUP(XLOOKUP($Q187,'Threshold Summary'!$Y:$Y,'Threshold Summary'!$K:$K,""),'Pokemon Editor'!$A:$A,'Pokemon Editor'!$C:$C,""),mtype=XLOOKUP(XLOOKUP($Q187,'Threshold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Chart'!$B$1:$S$1,0)))),base,IF(OR(cat="Status",pow=0),0,FLOOR(FLOOR(FLOOR((2*XLOOKUP($Q187,'Threshold Summary'!$Y:$Y,'Threshold Summary'!$L:$L,"")/5+2)*pow*atk/def)/50)+2)),modifier,stab*eff,AVERAGE(ARRAYFORMULA(FLOOR(base*modifier*SEQUENCE(16,1,85,1)/100)))/(FLOOR(((2*XLOOKUP('Boss Editor'!$C$4,'Pokemon Editor'!$A:$A,'Pokemon Editor'!$E:$E,0)+31+FLOOR('Boss Editor'!$G$4/4))*'Boss Editor'!$D$4)/100)+'Boss Editor'!$D$4+10)),0)</f>
        <v/>
      </c>
      <c r="O187" s="3">
        <f>IF(N187&gt;=1,"OHKO",IF(N187&gt;=0.5,"2HKO",IF(N187&gt;=0.333,"3HKO",IF(N187&gt;=0.25,"4HKO","5HKO+"))))</f>
        <v/>
      </c>
      <c r="P187" s="3" t="inlineStr">
        <is>
          <t>Live from editable databases</t>
        </is>
      </c>
      <c r="Q187" s="3" t="inlineStr">
        <is>
          <t>SPECIES_MUDKIP</t>
        </is>
      </c>
      <c r="R187" s="3" t="n">
        <v>26</v>
      </c>
    </row>
    <row r="188">
      <c r="A188" s="3">
        <f>XLOOKUP($Q188,'Threshold Summary'!$Y:$Y,'Threshold Summary'!$A:$A,"")</f>
        <v/>
      </c>
      <c r="B188" s="3">
        <f>XLOOKUP($Q188,'Threshold Summary'!$Y:$Y,'Threshold Summary'!$M:$M,"")</f>
        <v/>
      </c>
      <c r="C188" s="3">
        <f>XLOOKUP($Q188,'Threshold Summary'!$Y:$Y,'Threshold Summary'!$N:$N,"")</f>
        <v/>
      </c>
      <c r="D188" s="3">
        <f>IFERROR(INDEX(FILTER('Learnset Editor'!$D$2:$D,'Learnset Editor'!$A$2:$A=XLOOKUP($Q188,'Threshold Summary'!$Y:$Y,'Threshold Summary'!$K:$K,""),'Learnset Editor'!$C$2:$C&lt;=XLOOKUP($Q188,'Threshold Summary'!$Y:$Y,'Threshold Summary'!$L:$L,"")),$R188),"")</f>
        <v/>
      </c>
      <c r="E188" s="3">
        <f>XLOOKUP(D188,'Move Editor'!$B:$B,'Move Editor'!$C:$C,"")</f>
        <v/>
      </c>
      <c r="F188" s="3">
        <f>XLOOKUP(D188,'Move Editor'!$B:$B,'Move Editor'!$D:$D,"")</f>
        <v/>
      </c>
      <c r="G188" s="3">
        <f>XLOOKUP(D188,'Move Editor'!$B:$B,'Move Editor'!$E:$E,0)</f>
        <v/>
      </c>
      <c r="H188" s="3">
        <f>XLOOKUP(D188,'Move Editor'!$B:$B,'Move Editor'!$F:$F,0)</f>
        <v/>
      </c>
      <c r="I188" s="3">
        <f>(INDEX('Type Chart'!$B:$S,MATCH(E188,'Type Chart'!$A:$A,0),MATCH(XLOOKUP('Boss Editor'!$C$4,'Pokemon Editor'!$A:$A,'Pokemon Editor'!$C:$C,""),'Type Chart'!$B$1:$S$1,0))*IF(XLOOKUP('Boss Editor'!$C$4,'Pokemon Editor'!$A:$A,'Pokemon Editor'!$D:$D,"")="",1,INDEX('Type Chart'!$B:$S,MATCH(E188,'Type Chart'!$A:$A,0),MATCH(XLOOKUP('Boss Editor'!$C$4,'Pokemon Editor'!$A:$A,'Pokemon Editor'!$D:$D,""),'Type Chart'!$B$1:$S$1,0))))</f>
        <v/>
      </c>
      <c r="J188" s="3">
        <f>IFERROR(LET(mtype,XLOOKUP($D188,'Move Editor'!$B:$B,'Move Editor'!$C:$C,""),cat,XLOOKUP($D188,'Move Editor'!$B:$B,'Move Editor'!$D:$D,""),pow,XLOOKUP($D188,'Move Editor'!$B:$B,'Move Editor'!$E:$E,0),acc,XLOOKUP($D188,'Move Editor'!$B:$B,'Move Editor'!$F:$F,100),atk,IF(cat="Physical",FLOOR((FLOOR(((2*XLOOKUP(XLOOKUP($Q188,'Threshold Summary'!$Y:$Y,'Threshold Summary'!$K:$K,""),'Pokemon Editor'!$A:$A,'Pokemon Editor'!$F:$F,0)+31+FLOOR(XLOOKUP($Q188,'Threshold Summary'!$Y:$Y,'Threshold Summary'!$P:$P,"")/4))*XLOOKUP($Q188,'Threshold Summary'!$Y:$Y,'Threshold Summary'!$L:$L,""))/100)+5)*XLOOKUP(XLOOKUP($Q188,'Threshold Summary'!$Y:$Y,'Threshold Summary'!$M:$M,""),'Nature Editor'!$A:$A,'Nature Editor'!$B:$B,1)),FLOOR((FLOOR(((2*XLOOKUP(XLOOKUP($Q188,'Threshold Summary'!$Y:$Y,'Threshold Summary'!$K:$K,""),'Pokemon Editor'!$A:$A,'Pokemon Editor'!$H:$H,0)+31+FLOOR(XLOOKUP($Q188,'Threshold Summary'!$Y:$Y,'Threshold Summary'!$R:$R,"")/4))*XLOOKUP($Q188,'Threshold Summary'!$Y:$Y,'Threshold Summary'!$L:$L,""))/100)+5)*XLOOKUP(XLOOKUP($Q188,'Threshold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Editor'!$E:$E,1))),stab,IF(OR(mtype=XLOOKUP(XLOOKUP($Q188,'Threshold Summary'!$Y:$Y,'Threshold Summary'!$K:$K,""),'Pokemon Editor'!$A:$A,'Pokemon Editor'!$C:$C,""),mtype=XLOOKUP(XLOOKUP($Q188,'Threshold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Chart'!$B$1:$S$1,0)))),base,IF(OR(cat="Status",pow=0),0,FLOOR(FLOOR(FLOOR((2*XLOOKUP($Q188,'Threshold Summary'!$Y:$Y,'Threshold Summary'!$L:$L,"")/5+2)*pow*atk/def)/50)+2)),modifier,stab*eff,FLOOR(base*modifier*0.85)),0)</f>
        <v/>
      </c>
      <c r="K188" s="3">
        <f>IFERROR(LET(mtype,XLOOKUP($D188,'Move Editor'!$B:$B,'Move Editor'!$C:$C,""),cat,XLOOKUP($D188,'Move Editor'!$B:$B,'Move Editor'!$D:$D,""),pow,XLOOKUP($D188,'Move Editor'!$B:$B,'Move Editor'!$E:$E,0),acc,XLOOKUP($D188,'Move Editor'!$B:$B,'Move Editor'!$F:$F,100),atk,IF(cat="Physical",FLOOR((FLOOR(((2*XLOOKUP(XLOOKUP($Q188,'Threshold Summary'!$Y:$Y,'Threshold Summary'!$K:$K,""),'Pokemon Editor'!$A:$A,'Pokemon Editor'!$F:$F,0)+31+FLOOR(XLOOKUP($Q188,'Threshold Summary'!$Y:$Y,'Threshold Summary'!$P:$P,"")/4))*XLOOKUP($Q188,'Threshold Summary'!$Y:$Y,'Threshold Summary'!$L:$L,""))/100)+5)*XLOOKUP(XLOOKUP($Q188,'Threshold Summary'!$Y:$Y,'Threshold Summary'!$M:$M,""),'Nature Editor'!$A:$A,'Nature Editor'!$B:$B,1)),FLOOR((FLOOR(((2*XLOOKUP(XLOOKUP($Q188,'Threshold Summary'!$Y:$Y,'Threshold Summary'!$K:$K,""),'Pokemon Editor'!$A:$A,'Pokemon Editor'!$H:$H,0)+31+FLOOR(XLOOKUP($Q188,'Threshold Summary'!$Y:$Y,'Threshold Summary'!$R:$R,"")/4))*XLOOKUP($Q188,'Threshold Summary'!$Y:$Y,'Threshold Summary'!$L:$L,""))/100)+5)*XLOOKUP(XLOOKUP($Q188,'Threshold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Editor'!$E:$E,1))),stab,IF(OR(mtype=XLOOKUP(XLOOKUP($Q188,'Threshold Summary'!$Y:$Y,'Threshold Summary'!$K:$K,""),'Pokemon Editor'!$A:$A,'Pokemon Editor'!$C:$C,""),mtype=XLOOKUP(XLOOKUP($Q188,'Threshold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Chart'!$B$1:$S$1,0)))),base,IF(OR(cat="Status",pow=0),0,FLOOR(FLOOR(FLOOR((2*XLOOKUP($Q188,'Threshold Summary'!$Y:$Y,'Threshold Summary'!$L:$L,"")/5+2)*pow*atk/def)/50)+2)),modifier,stab*eff,FLOOR(base*modifier)),0)</f>
        <v/>
      </c>
      <c r="L188" s="3">
        <f>IFERROR(LET(mtype,XLOOKUP($D188,'Move Editor'!$B:$B,'Move Editor'!$C:$C,""),cat,XLOOKUP($D188,'Move Editor'!$B:$B,'Move Editor'!$D:$D,""),pow,XLOOKUP($D188,'Move Editor'!$B:$B,'Move Editor'!$E:$E,0),acc,XLOOKUP($D188,'Move Editor'!$B:$B,'Move Editor'!$F:$F,100),atk,IF(cat="Physical",FLOOR((FLOOR(((2*XLOOKUP(XLOOKUP($Q188,'Threshold Summary'!$Y:$Y,'Threshold Summary'!$K:$K,""),'Pokemon Editor'!$A:$A,'Pokemon Editor'!$F:$F,0)+31+FLOOR(XLOOKUP($Q188,'Threshold Summary'!$Y:$Y,'Threshold Summary'!$P:$P,"")/4))*XLOOKUP($Q188,'Threshold Summary'!$Y:$Y,'Threshold Summary'!$L:$L,""))/100)+5)*XLOOKUP(XLOOKUP($Q188,'Threshold Summary'!$Y:$Y,'Threshold Summary'!$M:$M,""),'Nature Editor'!$A:$A,'Nature Editor'!$B:$B,1)),FLOOR((FLOOR(((2*XLOOKUP(XLOOKUP($Q188,'Threshold Summary'!$Y:$Y,'Threshold Summary'!$K:$K,""),'Pokemon Editor'!$A:$A,'Pokemon Editor'!$H:$H,0)+31+FLOOR(XLOOKUP($Q188,'Threshold Summary'!$Y:$Y,'Threshold Summary'!$R:$R,"")/4))*XLOOKUP($Q188,'Threshold Summary'!$Y:$Y,'Threshold Summary'!$L:$L,""))/100)+5)*XLOOKUP(XLOOKUP($Q188,'Threshold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Editor'!$E:$E,1))),stab,IF(OR(mtype=XLOOKUP(XLOOKUP($Q188,'Threshold Summary'!$Y:$Y,'Threshold Summary'!$K:$K,""),'Pokemon Editor'!$A:$A,'Pokemon Editor'!$C:$C,""),mtype=XLOOKUP(XLOOKUP($Q188,'Threshold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Chart'!$B$1:$S$1,0)))),base,IF(OR(cat="Status",pow=0),0,FLOOR(FLOOR(FLOOR((2*XLOOKUP($Q188,'Threshold Summary'!$Y:$Y,'Threshold Summary'!$L:$L,"")/5+2)*pow*atk/def)/50)+2)),modifier,stab*eff,AVERAGE(ARRAYFORMULA(FLOOR(base*modifier*SEQUENCE(16,1,85,1)/100)))),0)</f>
        <v/>
      </c>
      <c r="M188" s="3">
        <f>IFERROR(LET(mtype,XLOOKUP($D188,'Move Editor'!$B:$B,'Move Editor'!$C:$C,""),cat,XLOOKUP($D188,'Move Editor'!$B:$B,'Move Editor'!$D:$D,""),pow,XLOOKUP($D188,'Move Editor'!$B:$B,'Move Editor'!$E:$E,0),acc,XLOOKUP($D188,'Move Editor'!$B:$B,'Move Editor'!$F:$F,100),atk,IF(cat="Physical",FLOOR((FLOOR(((2*XLOOKUP(XLOOKUP($Q188,'Threshold Summary'!$Y:$Y,'Threshold Summary'!$K:$K,""),'Pokemon Editor'!$A:$A,'Pokemon Editor'!$F:$F,0)+31+FLOOR(XLOOKUP($Q188,'Threshold Summary'!$Y:$Y,'Threshold Summary'!$P:$P,"")/4))*XLOOKUP($Q188,'Threshold Summary'!$Y:$Y,'Threshold Summary'!$L:$L,""))/100)+5)*XLOOKUP(XLOOKUP($Q188,'Threshold Summary'!$Y:$Y,'Threshold Summary'!$M:$M,""),'Nature Editor'!$A:$A,'Nature Editor'!$B:$B,1)),FLOOR((FLOOR(((2*XLOOKUP(XLOOKUP($Q188,'Threshold Summary'!$Y:$Y,'Threshold Summary'!$K:$K,""),'Pokemon Editor'!$A:$A,'Pokemon Editor'!$H:$H,0)+31+FLOOR(XLOOKUP($Q188,'Threshold Summary'!$Y:$Y,'Threshold Summary'!$R:$R,"")/4))*XLOOKUP($Q188,'Threshold Summary'!$Y:$Y,'Threshold Summary'!$L:$L,""))/100)+5)*XLOOKUP(XLOOKUP($Q188,'Threshold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Editor'!$E:$E,1))),stab,IF(OR(mtype=XLOOKUP(XLOOKUP($Q188,'Threshold Summary'!$Y:$Y,'Threshold Summary'!$K:$K,""),'Pokemon Editor'!$A:$A,'Pokemon Editor'!$C:$C,""),mtype=XLOOKUP(XLOOKUP($Q188,'Threshold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Chart'!$B$1:$S$1,0)))),base,IF(OR(cat="Status",pow=0),0,FLOOR(FLOOR(FLOOR((2*XLOOKUP($Q188,'Threshold Summary'!$Y:$Y,'Threshold Summary'!$L:$L,"")/5+2)*pow*atk/def)/50)+2)),modifier,stab*eff,AVERAGE(ARRAYFORMULA(FLOOR(base*modifier*SEQUENCE(16,1,85,1)/100)))*MIN(1,acc/100)),0)</f>
        <v/>
      </c>
      <c r="N188" s="4">
        <f>IFERROR(LET(mtype,XLOOKUP($D188,'Move Editor'!$B:$B,'Move Editor'!$C:$C,""),cat,XLOOKUP($D188,'Move Editor'!$B:$B,'Move Editor'!$D:$D,""),pow,XLOOKUP($D188,'Move Editor'!$B:$B,'Move Editor'!$E:$E,0),acc,XLOOKUP($D188,'Move Editor'!$B:$B,'Move Editor'!$F:$F,100),atk,IF(cat="Physical",FLOOR((FLOOR(((2*XLOOKUP(XLOOKUP($Q188,'Threshold Summary'!$Y:$Y,'Threshold Summary'!$K:$K,""),'Pokemon Editor'!$A:$A,'Pokemon Editor'!$F:$F,0)+31+FLOOR(XLOOKUP($Q188,'Threshold Summary'!$Y:$Y,'Threshold Summary'!$P:$P,"")/4))*XLOOKUP($Q188,'Threshold Summary'!$Y:$Y,'Threshold Summary'!$L:$L,""))/100)+5)*XLOOKUP(XLOOKUP($Q188,'Threshold Summary'!$Y:$Y,'Threshold Summary'!$M:$M,""),'Nature Editor'!$A:$A,'Nature Editor'!$B:$B,1)),FLOOR((FLOOR(((2*XLOOKUP(XLOOKUP($Q188,'Threshold Summary'!$Y:$Y,'Threshold Summary'!$K:$K,""),'Pokemon Editor'!$A:$A,'Pokemon Editor'!$H:$H,0)+31+FLOOR(XLOOKUP($Q188,'Threshold Summary'!$Y:$Y,'Threshold Summary'!$R:$R,"")/4))*XLOOKUP($Q188,'Threshold Summary'!$Y:$Y,'Threshold Summary'!$L:$L,""))/100)+5)*XLOOKUP(XLOOKUP($Q188,'Threshold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Editor'!$E:$E,1))),stab,IF(OR(mtype=XLOOKUP(XLOOKUP($Q188,'Threshold Summary'!$Y:$Y,'Threshold Summary'!$K:$K,""),'Pokemon Editor'!$A:$A,'Pokemon Editor'!$C:$C,""),mtype=XLOOKUP(XLOOKUP($Q188,'Threshold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Chart'!$B$1:$S$1,0)))),base,IF(OR(cat="Status",pow=0),0,FLOOR(FLOOR(FLOOR((2*XLOOKUP($Q188,'Threshold Summary'!$Y:$Y,'Threshold Summary'!$L:$L,"")/5+2)*pow*atk/def)/50)+2)),modifier,stab*eff,AVERAGE(ARRAYFORMULA(FLOOR(base*modifier*SEQUENCE(16,1,85,1)/100)))/(FLOOR(((2*XLOOKUP('Boss Editor'!$C$4,'Pokemon Editor'!$A:$A,'Pokemon Editor'!$E:$E,0)+31+FLOOR('Boss Editor'!$G$4/4))*'Boss Editor'!$D$4)/100)+'Boss Editor'!$D$4+10)),0)</f>
        <v/>
      </c>
      <c r="O188" s="3">
        <f>IF(N188&gt;=1,"OHKO",IF(N188&gt;=0.5,"2HKO",IF(N188&gt;=0.333,"3HKO",IF(N188&gt;=0.25,"4HKO","5HKO+"))))</f>
        <v/>
      </c>
      <c r="P188" s="3" t="inlineStr">
        <is>
          <t>Live from editable databases</t>
        </is>
      </c>
      <c r="Q188" s="3" t="inlineStr">
        <is>
          <t>SPECIES_MUDKIP</t>
        </is>
      </c>
      <c r="R188" s="3" t="n">
        <v>27</v>
      </c>
    </row>
    <row r="189">
      <c r="A189" s="3">
        <f>XLOOKUP($Q189,'Threshold Summary'!$Y:$Y,'Threshold Summary'!$A:$A,"")</f>
        <v/>
      </c>
      <c r="B189" s="3">
        <f>XLOOKUP($Q189,'Threshold Summary'!$Y:$Y,'Threshold Summary'!$M:$M,"")</f>
        <v/>
      </c>
      <c r="C189" s="3">
        <f>XLOOKUP($Q189,'Threshold Summary'!$Y:$Y,'Threshold Summary'!$N:$N,"")</f>
        <v/>
      </c>
      <c r="D189" s="3">
        <f>IFERROR(INDEX(FILTER('Learnset Editor'!$D$2:$D,'Learnset Editor'!$A$2:$A=XLOOKUP($Q189,'Threshold Summary'!$Y:$Y,'Threshold Summary'!$K:$K,""),'Learnset Editor'!$C$2:$C&lt;=XLOOKUP($Q189,'Threshold Summary'!$Y:$Y,'Threshold Summary'!$L:$L,"")),$R189),"")</f>
        <v/>
      </c>
      <c r="E189" s="3">
        <f>XLOOKUP(D189,'Move Editor'!$B:$B,'Move Editor'!$C:$C,"")</f>
        <v/>
      </c>
      <c r="F189" s="3">
        <f>XLOOKUP(D189,'Move Editor'!$B:$B,'Move Editor'!$D:$D,"")</f>
        <v/>
      </c>
      <c r="G189" s="3">
        <f>XLOOKUP(D189,'Move Editor'!$B:$B,'Move Editor'!$E:$E,0)</f>
        <v/>
      </c>
      <c r="H189" s="3">
        <f>XLOOKUP(D189,'Move Editor'!$B:$B,'Move Editor'!$F:$F,0)</f>
        <v/>
      </c>
      <c r="I189" s="3">
        <f>(INDEX('Type Chart'!$B:$S,MATCH(E189,'Type Chart'!$A:$A,0),MATCH(XLOOKUP('Boss Editor'!$C$4,'Pokemon Editor'!$A:$A,'Pokemon Editor'!$C:$C,""),'Type Chart'!$B$1:$S$1,0))*IF(XLOOKUP('Boss Editor'!$C$4,'Pokemon Editor'!$A:$A,'Pokemon Editor'!$D:$D,"")="",1,INDEX('Type Chart'!$B:$S,MATCH(E189,'Type Chart'!$A:$A,0),MATCH(XLOOKUP('Boss Editor'!$C$4,'Pokemon Editor'!$A:$A,'Pokemon Editor'!$D:$D,""),'Type Chart'!$B$1:$S$1,0))))</f>
        <v/>
      </c>
      <c r="J189" s="3">
        <f>IFERROR(LET(mtype,XLOOKUP($D189,'Move Editor'!$B:$B,'Move Editor'!$C:$C,""),cat,XLOOKUP($D189,'Move Editor'!$B:$B,'Move Editor'!$D:$D,""),pow,XLOOKUP($D189,'Move Editor'!$B:$B,'Move Editor'!$E:$E,0),acc,XLOOKUP($D189,'Move Editor'!$B:$B,'Move Editor'!$F:$F,100),atk,IF(cat="Physical",FLOOR((FLOOR(((2*XLOOKUP(XLOOKUP($Q189,'Threshold Summary'!$Y:$Y,'Threshold Summary'!$K:$K,""),'Pokemon Editor'!$A:$A,'Pokemon Editor'!$F:$F,0)+31+FLOOR(XLOOKUP($Q189,'Threshold Summary'!$Y:$Y,'Threshold Summary'!$P:$P,"")/4))*XLOOKUP($Q189,'Threshold Summary'!$Y:$Y,'Threshold Summary'!$L:$L,""))/100)+5)*XLOOKUP(XLOOKUP($Q189,'Threshold Summary'!$Y:$Y,'Threshold Summary'!$M:$M,""),'Nature Editor'!$A:$A,'Nature Editor'!$B:$B,1)),FLOOR((FLOOR(((2*XLOOKUP(XLOOKUP($Q189,'Threshold Summary'!$Y:$Y,'Threshold Summary'!$K:$K,""),'Pokemon Editor'!$A:$A,'Pokemon Editor'!$H:$H,0)+31+FLOOR(XLOOKUP($Q189,'Threshold Summary'!$Y:$Y,'Threshold Summary'!$R:$R,"")/4))*XLOOKUP($Q189,'Threshold Summary'!$Y:$Y,'Threshold Summary'!$L:$L,""))/100)+5)*XLOOKUP(XLOOKUP($Q189,'Threshold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Editor'!$E:$E,1))),stab,IF(OR(mtype=XLOOKUP(XLOOKUP($Q189,'Threshold Summary'!$Y:$Y,'Threshold Summary'!$K:$K,""),'Pokemon Editor'!$A:$A,'Pokemon Editor'!$C:$C,""),mtype=XLOOKUP(XLOOKUP($Q189,'Threshold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Chart'!$B$1:$S$1,0)))),base,IF(OR(cat="Status",pow=0),0,FLOOR(FLOOR(FLOOR((2*XLOOKUP($Q189,'Threshold Summary'!$Y:$Y,'Threshold Summary'!$L:$L,"")/5+2)*pow*atk/def)/50)+2)),modifier,stab*eff,FLOOR(base*modifier*0.85)),0)</f>
        <v/>
      </c>
      <c r="K189" s="3">
        <f>IFERROR(LET(mtype,XLOOKUP($D189,'Move Editor'!$B:$B,'Move Editor'!$C:$C,""),cat,XLOOKUP($D189,'Move Editor'!$B:$B,'Move Editor'!$D:$D,""),pow,XLOOKUP($D189,'Move Editor'!$B:$B,'Move Editor'!$E:$E,0),acc,XLOOKUP($D189,'Move Editor'!$B:$B,'Move Editor'!$F:$F,100),atk,IF(cat="Physical",FLOOR((FLOOR(((2*XLOOKUP(XLOOKUP($Q189,'Threshold Summary'!$Y:$Y,'Threshold Summary'!$K:$K,""),'Pokemon Editor'!$A:$A,'Pokemon Editor'!$F:$F,0)+31+FLOOR(XLOOKUP($Q189,'Threshold Summary'!$Y:$Y,'Threshold Summary'!$P:$P,"")/4))*XLOOKUP($Q189,'Threshold Summary'!$Y:$Y,'Threshold Summary'!$L:$L,""))/100)+5)*XLOOKUP(XLOOKUP($Q189,'Threshold Summary'!$Y:$Y,'Threshold Summary'!$M:$M,""),'Nature Editor'!$A:$A,'Nature Editor'!$B:$B,1)),FLOOR((FLOOR(((2*XLOOKUP(XLOOKUP($Q189,'Threshold Summary'!$Y:$Y,'Threshold Summary'!$K:$K,""),'Pokemon Editor'!$A:$A,'Pokemon Editor'!$H:$H,0)+31+FLOOR(XLOOKUP($Q189,'Threshold Summary'!$Y:$Y,'Threshold Summary'!$R:$R,"")/4))*XLOOKUP($Q189,'Threshold Summary'!$Y:$Y,'Threshold Summary'!$L:$L,""))/100)+5)*XLOOKUP(XLOOKUP($Q189,'Threshold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Editor'!$E:$E,1))),stab,IF(OR(mtype=XLOOKUP(XLOOKUP($Q189,'Threshold Summary'!$Y:$Y,'Threshold Summary'!$K:$K,""),'Pokemon Editor'!$A:$A,'Pokemon Editor'!$C:$C,""),mtype=XLOOKUP(XLOOKUP($Q189,'Threshold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Chart'!$B$1:$S$1,0)))),base,IF(OR(cat="Status",pow=0),0,FLOOR(FLOOR(FLOOR((2*XLOOKUP($Q189,'Threshold Summary'!$Y:$Y,'Threshold Summary'!$L:$L,"")/5+2)*pow*atk/def)/50)+2)),modifier,stab*eff,FLOOR(base*modifier)),0)</f>
        <v/>
      </c>
      <c r="L189" s="3">
        <f>IFERROR(LET(mtype,XLOOKUP($D189,'Move Editor'!$B:$B,'Move Editor'!$C:$C,""),cat,XLOOKUP($D189,'Move Editor'!$B:$B,'Move Editor'!$D:$D,""),pow,XLOOKUP($D189,'Move Editor'!$B:$B,'Move Editor'!$E:$E,0),acc,XLOOKUP($D189,'Move Editor'!$B:$B,'Move Editor'!$F:$F,100),atk,IF(cat="Physical",FLOOR((FLOOR(((2*XLOOKUP(XLOOKUP($Q189,'Threshold Summary'!$Y:$Y,'Threshold Summary'!$K:$K,""),'Pokemon Editor'!$A:$A,'Pokemon Editor'!$F:$F,0)+31+FLOOR(XLOOKUP($Q189,'Threshold Summary'!$Y:$Y,'Threshold Summary'!$P:$P,"")/4))*XLOOKUP($Q189,'Threshold Summary'!$Y:$Y,'Threshold Summary'!$L:$L,""))/100)+5)*XLOOKUP(XLOOKUP($Q189,'Threshold Summary'!$Y:$Y,'Threshold Summary'!$M:$M,""),'Nature Editor'!$A:$A,'Nature Editor'!$B:$B,1)),FLOOR((FLOOR(((2*XLOOKUP(XLOOKUP($Q189,'Threshold Summary'!$Y:$Y,'Threshold Summary'!$K:$K,""),'Pokemon Editor'!$A:$A,'Pokemon Editor'!$H:$H,0)+31+FLOOR(XLOOKUP($Q189,'Threshold Summary'!$Y:$Y,'Threshold Summary'!$R:$R,"")/4))*XLOOKUP($Q189,'Threshold Summary'!$Y:$Y,'Threshold Summary'!$L:$L,""))/100)+5)*XLOOKUP(XLOOKUP($Q189,'Threshold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Editor'!$E:$E,1))),stab,IF(OR(mtype=XLOOKUP(XLOOKUP($Q189,'Threshold Summary'!$Y:$Y,'Threshold Summary'!$K:$K,""),'Pokemon Editor'!$A:$A,'Pokemon Editor'!$C:$C,""),mtype=XLOOKUP(XLOOKUP($Q189,'Threshold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Chart'!$B$1:$S$1,0)))),base,IF(OR(cat="Status",pow=0),0,FLOOR(FLOOR(FLOOR((2*XLOOKUP($Q189,'Threshold Summary'!$Y:$Y,'Threshold Summary'!$L:$L,"")/5+2)*pow*atk/def)/50)+2)),modifier,stab*eff,AVERAGE(ARRAYFORMULA(FLOOR(base*modifier*SEQUENCE(16,1,85,1)/100)))),0)</f>
        <v/>
      </c>
      <c r="M189" s="3">
        <f>IFERROR(LET(mtype,XLOOKUP($D189,'Move Editor'!$B:$B,'Move Editor'!$C:$C,""),cat,XLOOKUP($D189,'Move Editor'!$B:$B,'Move Editor'!$D:$D,""),pow,XLOOKUP($D189,'Move Editor'!$B:$B,'Move Editor'!$E:$E,0),acc,XLOOKUP($D189,'Move Editor'!$B:$B,'Move Editor'!$F:$F,100),atk,IF(cat="Physical",FLOOR((FLOOR(((2*XLOOKUP(XLOOKUP($Q189,'Threshold Summary'!$Y:$Y,'Threshold Summary'!$K:$K,""),'Pokemon Editor'!$A:$A,'Pokemon Editor'!$F:$F,0)+31+FLOOR(XLOOKUP($Q189,'Threshold Summary'!$Y:$Y,'Threshold Summary'!$P:$P,"")/4))*XLOOKUP($Q189,'Threshold Summary'!$Y:$Y,'Threshold Summary'!$L:$L,""))/100)+5)*XLOOKUP(XLOOKUP($Q189,'Threshold Summary'!$Y:$Y,'Threshold Summary'!$M:$M,""),'Nature Editor'!$A:$A,'Nature Editor'!$B:$B,1)),FLOOR((FLOOR(((2*XLOOKUP(XLOOKUP($Q189,'Threshold Summary'!$Y:$Y,'Threshold Summary'!$K:$K,""),'Pokemon Editor'!$A:$A,'Pokemon Editor'!$H:$H,0)+31+FLOOR(XLOOKUP($Q189,'Threshold Summary'!$Y:$Y,'Threshold Summary'!$R:$R,"")/4))*XLOOKUP($Q189,'Threshold Summary'!$Y:$Y,'Threshold Summary'!$L:$L,""))/100)+5)*XLOOKUP(XLOOKUP($Q189,'Threshold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Editor'!$E:$E,1))),stab,IF(OR(mtype=XLOOKUP(XLOOKUP($Q189,'Threshold Summary'!$Y:$Y,'Threshold Summary'!$K:$K,""),'Pokemon Editor'!$A:$A,'Pokemon Editor'!$C:$C,""),mtype=XLOOKUP(XLOOKUP($Q189,'Threshold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Chart'!$B$1:$S$1,0)))),base,IF(OR(cat="Status",pow=0),0,FLOOR(FLOOR(FLOOR((2*XLOOKUP($Q189,'Threshold Summary'!$Y:$Y,'Threshold Summary'!$L:$L,"")/5+2)*pow*atk/def)/50)+2)),modifier,stab*eff,AVERAGE(ARRAYFORMULA(FLOOR(base*modifier*SEQUENCE(16,1,85,1)/100)))*MIN(1,acc/100)),0)</f>
        <v/>
      </c>
      <c r="N189" s="4">
        <f>IFERROR(LET(mtype,XLOOKUP($D189,'Move Editor'!$B:$B,'Move Editor'!$C:$C,""),cat,XLOOKUP($D189,'Move Editor'!$B:$B,'Move Editor'!$D:$D,""),pow,XLOOKUP($D189,'Move Editor'!$B:$B,'Move Editor'!$E:$E,0),acc,XLOOKUP($D189,'Move Editor'!$B:$B,'Move Editor'!$F:$F,100),atk,IF(cat="Physical",FLOOR((FLOOR(((2*XLOOKUP(XLOOKUP($Q189,'Threshold Summary'!$Y:$Y,'Threshold Summary'!$K:$K,""),'Pokemon Editor'!$A:$A,'Pokemon Editor'!$F:$F,0)+31+FLOOR(XLOOKUP($Q189,'Threshold Summary'!$Y:$Y,'Threshold Summary'!$P:$P,"")/4))*XLOOKUP($Q189,'Threshold Summary'!$Y:$Y,'Threshold Summary'!$L:$L,""))/100)+5)*XLOOKUP(XLOOKUP($Q189,'Threshold Summary'!$Y:$Y,'Threshold Summary'!$M:$M,""),'Nature Editor'!$A:$A,'Nature Editor'!$B:$B,1)),FLOOR((FLOOR(((2*XLOOKUP(XLOOKUP($Q189,'Threshold Summary'!$Y:$Y,'Threshold Summary'!$K:$K,""),'Pokemon Editor'!$A:$A,'Pokemon Editor'!$H:$H,0)+31+FLOOR(XLOOKUP($Q189,'Threshold Summary'!$Y:$Y,'Threshold Summary'!$R:$R,"")/4))*XLOOKUP($Q189,'Threshold Summary'!$Y:$Y,'Threshold Summary'!$L:$L,""))/100)+5)*XLOOKUP(XLOOKUP($Q189,'Threshold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Editor'!$E:$E,1))),stab,IF(OR(mtype=XLOOKUP(XLOOKUP($Q189,'Threshold Summary'!$Y:$Y,'Threshold Summary'!$K:$K,""),'Pokemon Editor'!$A:$A,'Pokemon Editor'!$C:$C,""),mtype=XLOOKUP(XLOOKUP($Q189,'Threshold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Chart'!$B$1:$S$1,0)))),base,IF(OR(cat="Status",pow=0),0,FLOOR(FLOOR(FLOOR((2*XLOOKUP($Q189,'Threshold Summary'!$Y:$Y,'Threshold Summary'!$L:$L,"")/5+2)*pow*atk/def)/50)+2)),modifier,stab*eff,AVERAGE(ARRAYFORMULA(FLOOR(base*modifier*SEQUENCE(16,1,85,1)/100)))/(FLOOR(((2*XLOOKUP('Boss Editor'!$C$4,'Pokemon Editor'!$A:$A,'Pokemon Editor'!$E:$E,0)+31+FLOOR('Boss Editor'!$G$4/4))*'Boss Editor'!$D$4)/100)+'Boss Editor'!$D$4+10)),0)</f>
        <v/>
      </c>
      <c r="O189" s="3">
        <f>IF(N189&gt;=1,"OHKO",IF(N189&gt;=0.5,"2HKO",IF(N189&gt;=0.333,"3HKO",IF(N189&gt;=0.25,"4HKO","5HKO+"))))</f>
        <v/>
      </c>
      <c r="P189" s="3" t="inlineStr">
        <is>
          <t>Live from editable databases</t>
        </is>
      </c>
      <c r="Q189" s="3" t="inlineStr">
        <is>
          <t>SPECIES_MUDKIP</t>
        </is>
      </c>
      <c r="R189" s="3" t="n">
        <v>28</v>
      </c>
    </row>
    <row r="190">
      <c r="A190" s="3">
        <f>XLOOKUP($Q190,'Threshold Summary'!$Y:$Y,'Threshold Summary'!$A:$A,"")</f>
        <v/>
      </c>
      <c r="B190" s="3">
        <f>XLOOKUP($Q190,'Threshold Summary'!$Y:$Y,'Threshold Summary'!$M:$M,"")</f>
        <v/>
      </c>
      <c r="C190" s="3">
        <f>XLOOKUP($Q190,'Threshold Summary'!$Y:$Y,'Threshold Summary'!$N:$N,"")</f>
        <v/>
      </c>
      <c r="D190" s="3">
        <f>IFERROR(INDEX(FILTER('Learnset Editor'!$D$2:$D,'Learnset Editor'!$A$2:$A=XLOOKUP($Q190,'Threshold Summary'!$Y:$Y,'Threshold Summary'!$K:$K,""),'Learnset Editor'!$C$2:$C&lt;=XLOOKUP($Q190,'Threshold Summary'!$Y:$Y,'Threshold Summary'!$L:$L,"")),$R190),"")</f>
        <v/>
      </c>
      <c r="E190" s="3">
        <f>XLOOKUP(D190,'Move Editor'!$B:$B,'Move Editor'!$C:$C,"")</f>
        <v/>
      </c>
      <c r="F190" s="3">
        <f>XLOOKUP(D190,'Move Editor'!$B:$B,'Move Editor'!$D:$D,"")</f>
        <v/>
      </c>
      <c r="G190" s="3">
        <f>XLOOKUP(D190,'Move Editor'!$B:$B,'Move Editor'!$E:$E,0)</f>
        <v/>
      </c>
      <c r="H190" s="3">
        <f>XLOOKUP(D190,'Move Editor'!$B:$B,'Move Editor'!$F:$F,0)</f>
        <v/>
      </c>
      <c r="I190" s="3">
        <f>(INDEX('Type Chart'!$B:$S,MATCH(E190,'Type Chart'!$A:$A,0),MATCH(XLOOKUP('Boss Editor'!$C$4,'Pokemon Editor'!$A:$A,'Pokemon Editor'!$C:$C,""),'Type Chart'!$B$1:$S$1,0))*IF(XLOOKUP('Boss Editor'!$C$4,'Pokemon Editor'!$A:$A,'Pokemon Editor'!$D:$D,"")="",1,INDEX('Type Chart'!$B:$S,MATCH(E190,'Type Chart'!$A:$A,0),MATCH(XLOOKUP('Boss Editor'!$C$4,'Pokemon Editor'!$A:$A,'Pokemon Editor'!$D:$D,""),'Type Chart'!$B$1:$S$1,0))))</f>
        <v/>
      </c>
      <c r="J190" s="3">
        <f>IFERROR(LET(mtype,XLOOKUP($D190,'Move Editor'!$B:$B,'Move Editor'!$C:$C,""),cat,XLOOKUP($D190,'Move Editor'!$B:$B,'Move Editor'!$D:$D,""),pow,XLOOKUP($D190,'Move Editor'!$B:$B,'Move Editor'!$E:$E,0),acc,XLOOKUP($D190,'Move Editor'!$B:$B,'Move Editor'!$F:$F,100),atk,IF(cat="Physical",FLOOR((FLOOR(((2*XLOOKUP(XLOOKUP($Q190,'Threshold Summary'!$Y:$Y,'Threshold Summary'!$K:$K,""),'Pokemon Editor'!$A:$A,'Pokemon Editor'!$F:$F,0)+31+FLOOR(XLOOKUP($Q190,'Threshold Summary'!$Y:$Y,'Threshold Summary'!$P:$P,"")/4))*XLOOKUP($Q190,'Threshold Summary'!$Y:$Y,'Threshold Summary'!$L:$L,""))/100)+5)*XLOOKUP(XLOOKUP($Q190,'Threshold Summary'!$Y:$Y,'Threshold Summary'!$M:$M,""),'Nature Editor'!$A:$A,'Nature Editor'!$B:$B,1)),FLOOR((FLOOR(((2*XLOOKUP(XLOOKUP($Q190,'Threshold Summary'!$Y:$Y,'Threshold Summary'!$K:$K,""),'Pokemon Editor'!$A:$A,'Pokemon Editor'!$H:$H,0)+31+FLOOR(XLOOKUP($Q190,'Threshold Summary'!$Y:$Y,'Threshold Summary'!$R:$R,"")/4))*XLOOKUP($Q190,'Threshold Summary'!$Y:$Y,'Threshold Summary'!$L:$L,""))/100)+5)*XLOOKUP(XLOOKUP($Q190,'Threshold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Editor'!$E:$E,1))),stab,IF(OR(mtype=XLOOKUP(XLOOKUP($Q190,'Threshold Summary'!$Y:$Y,'Threshold Summary'!$K:$K,""),'Pokemon Editor'!$A:$A,'Pokemon Editor'!$C:$C,""),mtype=XLOOKUP(XLOOKUP($Q190,'Threshold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Chart'!$B$1:$S$1,0)))),base,IF(OR(cat="Status",pow=0),0,FLOOR(FLOOR(FLOOR((2*XLOOKUP($Q190,'Threshold Summary'!$Y:$Y,'Threshold Summary'!$L:$L,"")/5+2)*pow*atk/def)/50)+2)),modifier,stab*eff,FLOOR(base*modifier*0.85)),0)</f>
        <v/>
      </c>
      <c r="K190" s="3">
        <f>IFERROR(LET(mtype,XLOOKUP($D190,'Move Editor'!$B:$B,'Move Editor'!$C:$C,""),cat,XLOOKUP($D190,'Move Editor'!$B:$B,'Move Editor'!$D:$D,""),pow,XLOOKUP($D190,'Move Editor'!$B:$B,'Move Editor'!$E:$E,0),acc,XLOOKUP($D190,'Move Editor'!$B:$B,'Move Editor'!$F:$F,100),atk,IF(cat="Physical",FLOOR((FLOOR(((2*XLOOKUP(XLOOKUP($Q190,'Threshold Summary'!$Y:$Y,'Threshold Summary'!$K:$K,""),'Pokemon Editor'!$A:$A,'Pokemon Editor'!$F:$F,0)+31+FLOOR(XLOOKUP($Q190,'Threshold Summary'!$Y:$Y,'Threshold Summary'!$P:$P,"")/4))*XLOOKUP($Q190,'Threshold Summary'!$Y:$Y,'Threshold Summary'!$L:$L,""))/100)+5)*XLOOKUP(XLOOKUP($Q190,'Threshold Summary'!$Y:$Y,'Threshold Summary'!$M:$M,""),'Nature Editor'!$A:$A,'Nature Editor'!$B:$B,1)),FLOOR((FLOOR(((2*XLOOKUP(XLOOKUP($Q190,'Threshold Summary'!$Y:$Y,'Threshold Summary'!$K:$K,""),'Pokemon Editor'!$A:$A,'Pokemon Editor'!$H:$H,0)+31+FLOOR(XLOOKUP($Q190,'Threshold Summary'!$Y:$Y,'Threshold Summary'!$R:$R,"")/4))*XLOOKUP($Q190,'Threshold Summary'!$Y:$Y,'Threshold Summary'!$L:$L,""))/100)+5)*XLOOKUP(XLOOKUP($Q190,'Threshold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Editor'!$E:$E,1))),stab,IF(OR(mtype=XLOOKUP(XLOOKUP($Q190,'Threshold Summary'!$Y:$Y,'Threshold Summary'!$K:$K,""),'Pokemon Editor'!$A:$A,'Pokemon Editor'!$C:$C,""),mtype=XLOOKUP(XLOOKUP($Q190,'Threshold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Chart'!$B$1:$S$1,0)))),base,IF(OR(cat="Status",pow=0),0,FLOOR(FLOOR(FLOOR((2*XLOOKUP($Q190,'Threshold Summary'!$Y:$Y,'Threshold Summary'!$L:$L,"")/5+2)*pow*atk/def)/50)+2)),modifier,stab*eff,FLOOR(base*modifier)),0)</f>
        <v/>
      </c>
      <c r="L190" s="3">
        <f>IFERROR(LET(mtype,XLOOKUP($D190,'Move Editor'!$B:$B,'Move Editor'!$C:$C,""),cat,XLOOKUP($D190,'Move Editor'!$B:$B,'Move Editor'!$D:$D,""),pow,XLOOKUP($D190,'Move Editor'!$B:$B,'Move Editor'!$E:$E,0),acc,XLOOKUP($D190,'Move Editor'!$B:$B,'Move Editor'!$F:$F,100),atk,IF(cat="Physical",FLOOR((FLOOR(((2*XLOOKUP(XLOOKUP($Q190,'Threshold Summary'!$Y:$Y,'Threshold Summary'!$K:$K,""),'Pokemon Editor'!$A:$A,'Pokemon Editor'!$F:$F,0)+31+FLOOR(XLOOKUP($Q190,'Threshold Summary'!$Y:$Y,'Threshold Summary'!$P:$P,"")/4))*XLOOKUP($Q190,'Threshold Summary'!$Y:$Y,'Threshold Summary'!$L:$L,""))/100)+5)*XLOOKUP(XLOOKUP($Q190,'Threshold Summary'!$Y:$Y,'Threshold Summary'!$M:$M,""),'Nature Editor'!$A:$A,'Nature Editor'!$B:$B,1)),FLOOR((FLOOR(((2*XLOOKUP(XLOOKUP($Q190,'Threshold Summary'!$Y:$Y,'Threshold Summary'!$K:$K,""),'Pokemon Editor'!$A:$A,'Pokemon Editor'!$H:$H,0)+31+FLOOR(XLOOKUP($Q190,'Threshold Summary'!$Y:$Y,'Threshold Summary'!$R:$R,"")/4))*XLOOKUP($Q190,'Threshold Summary'!$Y:$Y,'Threshold Summary'!$L:$L,""))/100)+5)*XLOOKUP(XLOOKUP($Q190,'Threshold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Editor'!$E:$E,1))),stab,IF(OR(mtype=XLOOKUP(XLOOKUP($Q190,'Threshold Summary'!$Y:$Y,'Threshold Summary'!$K:$K,""),'Pokemon Editor'!$A:$A,'Pokemon Editor'!$C:$C,""),mtype=XLOOKUP(XLOOKUP($Q190,'Threshold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Chart'!$B$1:$S$1,0)))),base,IF(OR(cat="Status",pow=0),0,FLOOR(FLOOR(FLOOR((2*XLOOKUP($Q190,'Threshold Summary'!$Y:$Y,'Threshold Summary'!$L:$L,"")/5+2)*pow*atk/def)/50)+2)),modifier,stab*eff,AVERAGE(ARRAYFORMULA(FLOOR(base*modifier*SEQUENCE(16,1,85,1)/100)))),0)</f>
        <v/>
      </c>
      <c r="M190" s="3">
        <f>IFERROR(LET(mtype,XLOOKUP($D190,'Move Editor'!$B:$B,'Move Editor'!$C:$C,""),cat,XLOOKUP($D190,'Move Editor'!$B:$B,'Move Editor'!$D:$D,""),pow,XLOOKUP($D190,'Move Editor'!$B:$B,'Move Editor'!$E:$E,0),acc,XLOOKUP($D190,'Move Editor'!$B:$B,'Move Editor'!$F:$F,100),atk,IF(cat="Physical",FLOOR((FLOOR(((2*XLOOKUP(XLOOKUP($Q190,'Threshold Summary'!$Y:$Y,'Threshold Summary'!$K:$K,""),'Pokemon Editor'!$A:$A,'Pokemon Editor'!$F:$F,0)+31+FLOOR(XLOOKUP($Q190,'Threshold Summary'!$Y:$Y,'Threshold Summary'!$P:$P,"")/4))*XLOOKUP($Q190,'Threshold Summary'!$Y:$Y,'Threshold Summary'!$L:$L,""))/100)+5)*XLOOKUP(XLOOKUP($Q190,'Threshold Summary'!$Y:$Y,'Threshold Summary'!$M:$M,""),'Nature Editor'!$A:$A,'Nature Editor'!$B:$B,1)),FLOOR((FLOOR(((2*XLOOKUP(XLOOKUP($Q190,'Threshold Summary'!$Y:$Y,'Threshold Summary'!$K:$K,""),'Pokemon Editor'!$A:$A,'Pokemon Editor'!$H:$H,0)+31+FLOOR(XLOOKUP($Q190,'Threshold Summary'!$Y:$Y,'Threshold Summary'!$R:$R,"")/4))*XLOOKUP($Q190,'Threshold Summary'!$Y:$Y,'Threshold Summary'!$L:$L,""))/100)+5)*XLOOKUP(XLOOKUP($Q190,'Threshold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Editor'!$E:$E,1))),stab,IF(OR(mtype=XLOOKUP(XLOOKUP($Q190,'Threshold Summary'!$Y:$Y,'Threshold Summary'!$K:$K,""),'Pokemon Editor'!$A:$A,'Pokemon Editor'!$C:$C,""),mtype=XLOOKUP(XLOOKUP($Q190,'Threshold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Chart'!$B$1:$S$1,0)))),base,IF(OR(cat="Status",pow=0),0,FLOOR(FLOOR(FLOOR((2*XLOOKUP($Q190,'Threshold Summary'!$Y:$Y,'Threshold Summary'!$L:$L,"")/5+2)*pow*atk/def)/50)+2)),modifier,stab*eff,AVERAGE(ARRAYFORMULA(FLOOR(base*modifier*SEQUENCE(16,1,85,1)/100)))*MIN(1,acc/100)),0)</f>
        <v/>
      </c>
      <c r="N190" s="4">
        <f>IFERROR(LET(mtype,XLOOKUP($D190,'Move Editor'!$B:$B,'Move Editor'!$C:$C,""),cat,XLOOKUP($D190,'Move Editor'!$B:$B,'Move Editor'!$D:$D,""),pow,XLOOKUP($D190,'Move Editor'!$B:$B,'Move Editor'!$E:$E,0),acc,XLOOKUP($D190,'Move Editor'!$B:$B,'Move Editor'!$F:$F,100),atk,IF(cat="Physical",FLOOR((FLOOR(((2*XLOOKUP(XLOOKUP($Q190,'Threshold Summary'!$Y:$Y,'Threshold Summary'!$K:$K,""),'Pokemon Editor'!$A:$A,'Pokemon Editor'!$F:$F,0)+31+FLOOR(XLOOKUP($Q190,'Threshold Summary'!$Y:$Y,'Threshold Summary'!$P:$P,"")/4))*XLOOKUP($Q190,'Threshold Summary'!$Y:$Y,'Threshold Summary'!$L:$L,""))/100)+5)*XLOOKUP(XLOOKUP($Q190,'Threshold Summary'!$Y:$Y,'Threshold Summary'!$M:$M,""),'Nature Editor'!$A:$A,'Nature Editor'!$B:$B,1)),FLOOR((FLOOR(((2*XLOOKUP(XLOOKUP($Q190,'Threshold Summary'!$Y:$Y,'Threshold Summary'!$K:$K,""),'Pokemon Editor'!$A:$A,'Pokemon Editor'!$H:$H,0)+31+FLOOR(XLOOKUP($Q190,'Threshold Summary'!$Y:$Y,'Threshold Summary'!$R:$R,"")/4))*XLOOKUP($Q190,'Threshold Summary'!$Y:$Y,'Threshold Summary'!$L:$L,""))/100)+5)*XLOOKUP(XLOOKUP($Q190,'Threshold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Editor'!$E:$E,1))),stab,IF(OR(mtype=XLOOKUP(XLOOKUP($Q190,'Threshold Summary'!$Y:$Y,'Threshold Summary'!$K:$K,""),'Pokemon Editor'!$A:$A,'Pokemon Editor'!$C:$C,""),mtype=XLOOKUP(XLOOKUP($Q190,'Threshold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Chart'!$B$1:$S$1,0)))),base,IF(OR(cat="Status",pow=0),0,FLOOR(FLOOR(FLOOR((2*XLOOKUP($Q190,'Threshold Summary'!$Y:$Y,'Threshold Summary'!$L:$L,"")/5+2)*pow*atk/def)/50)+2)),modifier,stab*eff,AVERAGE(ARRAYFORMULA(FLOOR(base*modifier*SEQUENCE(16,1,85,1)/100)))/(FLOOR(((2*XLOOKUP('Boss Editor'!$C$4,'Pokemon Editor'!$A:$A,'Pokemon Editor'!$E:$E,0)+31+FLOOR('Boss Editor'!$G$4/4))*'Boss Editor'!$D$4)/100)+'Boss Editor'!$D$4+10)),0)</f>
        <v/>
      </c>
      <c r="O190" s="3">
        <f>IF(N190&gt;=1,"OHKO",IF(N190&gt;=0.5,"2HKO",IF(N190&gt;=0.333,"3HKO",IF(N190&gt;=0.25,"4HKO","5HKO+"))))</f>
        <v/>
      </c>
      <c r="P190" s="3" t="inlineStr">
        <is>
          <t>Live from editable databases</t>
        </is>
      </c>
      <c r="Q190" s="3" t="inlineStr">
        <is>
          <t>SPECIES_MUDKIP</t>
        </is>
      </c>
      <c r="R190" s="3" t="n">
        <v>29</v>
      </c>
    </row>
    <row r="191">
      <c r="A191" s="3">
        <f>XLOOKUP($Q191,'Threshold Summary'!$Y:$Y,'Threshold Summary'!$A:$A,"")</f>
        <v/>
      </c>
      <c r="B191" s="3">
        <f>XLOOKUP($Q191,'Threshold Summary'!$Y:$Y,'Threshold Summary'!$M:$M,"")</f>
        <v/>
      </c>
      <c r="C191" s="3">
        <f>XLOOKUP($Q191,'Threshold Summary'!$Y:$Y,'Threshold Summary'!$N:$N,"")</f>
        <v/>
      </c>
      <c r="D191" s="3">
        <f>IFERROR(INDEX(FILTER('Learnset Editor'!$D$2:$D,'Learnset Editor'!$A$2:$A=XLOOKUP($Q191,'Threshold Summary'!$Y:$Y,'Threshold Summary'!$K:$K,""),'Learnset Editor'!$C$2:$C&lt;=XLOOKUP($Q191,'Threshold Summary'!$Y:$Y,'Threshold Summary'!$L:$L,"")),$R191),"")</f>
        <v/>
      </c>
      <c r="E191" s="3">
        <f>XLOOKUP(D191,'Move Editor'!$B:$B,'Move Editor'!$C:$C,"")</f>
        <v/>
      </c>
      <c r="F191" s="3">
        <f>XLOOKUP(D191,'Move Editor'!$B:$B,'Move Editor'!$D:$D,"")</f>
        <v/>
      </c>
      <c r="G191" s="3">
        <f>XLOOKUP(D191,'Move Editor'!$B:$B,'Move Editor'!$E:$E,0)</f>
        <v/>
      </c>
      <c r="H191" s="3">
        <f>XLOOKUP(D191,'Move Editor'!$B:$B,'Move Editor'!$F:$F,0)</f>
        <v/>
      </c>
      <c r="I191" s="3">
        <f>(INDEX('Type Chart'!$B:$S,MATCH(E191,'Type Chart'!$A:$A,0),MATCH(XLOOKUP('Boss Editor'!$C$4,'Pokemon Editor'!$A:$A,'Pokemon Editor'!$C:$C,""),'Type Chart'!$B$1:$S$1,0))*IF(XLOOKUP('Boss Editor'!$C$4,'Pokemon Editor'!$A:$A,'Pokemon Editor'!$D:$D,"")="",1,INDEX('Type Chart'!$B:$S,MATCH(E191,'Type Chart'!$A:$A,0),MATCH(XLOOKUP('Boss Editor'!$C$4,'Pokemon Editor'!$A:$A,'Pokemon Editor'!$D:$D,""),'Type Chart'!$B$1:$S$1,0))))</f>
        <v/>
      </c>
      <c r="J191" s="3">
        <f>IFERROR(LET(mtype,XLOOKUP($D191,'Move Editor'!$B:$B,'Move Editor'!$C:$C,""),cat,XLOOKUP($D191,'Move Editor'!$B:$B,'Move Editor'!$D:$D,""),pow,XLOOKUP($D191,'Move Editor'!$B:$B,'Move Editor'!$E:$E,0),acc,XLOOKUP($D191,'Move Editor'!$B:$B,'Move Editor'!$F:$F,100),atk,IF(cat="Physical",FLOOR((FLOOR(((2*XLOOKUP(XLOOKUP($Q191,'Threshold Summary'!$Y:$Y,'Threshold Summary'!$K:$K,""),'Pokemon Editor'!$A:$A,'Pokemon Editor'!$F:$F,0)+31+FLOOR(XLOOKUP($Q191,'Threshold Summary'!$Y:$Y,'Threshold Summary'!$P:$P,"")/4))*XLOOKUP($Q191,'Threshold Summary'!$Y:$Y,'Threshold Summary'!$L:$L,""))/100)+5)*XLOOKUP(XLOOKUP($Q191,'Threshold Summary'!$Y:$Y,'Threshold Summary'!$M:$M,""),'Nature Editor'!$A:$A,'Nature Editor'!$B:$B,1)),FLOOR((FLOOR(((2*XLOOKUP(XLOOKUP($Q191,'Threshold Summary'!$Y:$Y,'Threshold Summary'!$K:$K,""),'Pokemon Editor'!$A:$A,'Pokemon Editor'!$H:$H,0)+31+FLOOR(XLOOKUP($Q191,'Threshold Summary'!$Y:$Y,'Threshold Summary'!$R:$R,"")/4))*XLOOKUP($Q191,'Threshold Summary'!$Y:$Y,'Threshold Summary'!$L:$L,""))/100)+5)*XLOOKUP(XLOOKUP($Q191,'Threshold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Editor'!$E:$E,1))),stab,IF(OR(mtype=XLOOKUP(XLOOKUP($Q191,'Threshold Summary'!$Y:$Y,'Threshold Summary'!$K:$K,""),'Pokemon Editor'!$A:$A,'Pokemon Editor'!$C:$C,""),mtype=XLOOKUP(XLOOKUP($Q191,'Threshold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Chart'!$B$1:$S$1,0)))),base,IF(OR(cat="Status",pow=0),0,FLOOR(FLOOR(FLOOR((2*XLOOKUP($Q191,'Threshold Summary'!$Y:$Y,'Threshold Summary'!$L:$L,"")/5+2)*pow*atk/def)/50)+2)),modifier,stab*eff,FLOOR(base*modifier*0.85)),0)</f>
        <v/>
      </c>
      <c r="K191" s="3">
        <f>IFERROR(LET(mtype,XLOOKUP($D191,'Move Editor'!$B:$B,'Move Editor'!$C:$C,""),cat,XLOOKUP($D191,'Move Editor'!$B:$B,'Move Editor'!$D:$D,""),pow,XLOOKUP($D191,'Move Editor'!$B:$B,'Move Editor'!$E:$E,0),acc,XLOOKUP($D191,'Move Editor'!$B:$B,'Move Editor'!$F:$F,100),atk,IF(cat="Physical",FLOOR((FLOOR(((2*XLOOKUP(XLOOKUP($Q191,'Threshold Summary'!$Y:$Y,'Threshold Summary'!$K:$K,""),'Pokemon Editor'!$A:$A,'Pokemon Editor'!$F:$F,0)+31+FLOOR(XLOOKUP($Q191,'Threshold Summary'!$Y:$Y,'Threshold Summary'!$P:$P,"")/4))*XLOOKUP($Q191,'Threshold Summary'!$Y:$Y,'Threshold Summary'!$L:$L,""))/100)+5)*XLOOKUP(XLOOKUP($Q191,'Threshold Summary'!$Y:$Y,'Threshold Summary'!$M:$M,""),'Nature Editor'!$A:$A,'Nature Editor'!$B:$B,1)),FLOOR((FLOOR(((2*XLOOKUP(XLOOKUP($Q191,'Threshold Summary'!$Y:$Y,'Threshold Summary'!$K:$K,""),'Pokemon Editor'!$A:$A,'Pokemon Editor'!$H:$H,0)+31+FLOOR(XLOOKUP($Q191,'Threshold Summary'!$Y:$Y,'Threshold Summary'!$R:$R,"")/4))*XLOOKUP($Q191,'Threshold Summary'!$Y:$Y,'Threshold Summary'!$L:$L,""))/100)+5)*XLOOKUP(XLOOKUP($Q191,'Threshold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Editor'!$E:$E,1))),stab,IF(OR(mtype=XLOOKUP(XLOOKUP($Q191,'Threshold Summary'!$Y:$Y,'Threshold Summary'!$K:$K,""),'Pokemon Editor'!$A:$A,'Pokemon Editor'!$C:$C,""),mtype=XLOOKUP(XLOOKUP($Q191,'Threshold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Chart'!$B$1:$S$1,0)))),base,IF(OR(cat="Status",pow=0),0,FLOOR(FLOOR(FLOOR((2*XLOOKUP($Q191,'Threshold Summary'!$Y:$Y,'Threshold Summary'!$L:$L,"")/5+2)*pow*atk/def)/50)+2)),modifier,stab*eff,FLOOR(base*modifier)),0)</f>
        <v/>
      </c>
      <c r="L191" s="3">
        <f>IFERROR(LET(mtype,XLOOKUP($D191,'Move Editor'!$B:$B,'Move Editor'!$C:$C,""),cat,XLOOKUP($D191,'Move Editor'!$B:$B,'Move Editor'!$D:$D,""),pow,XLOOKUP($D191,'Move Editor'!$B:$B,'Move Editor'!$E:$E,0),acc,XLOOKUP($D191,'Move Editor'!$B:$B,'Move Editor'!$F:$F,100),atk,IF(cat="Physical",FLOOR((FLOOR(((2*XLOOKUP(XLOOKUP($Q191,'Threshold Summary'!$Y:$Y,'Threshold Summary'!$K:$K,""),'Pokemon Editor'!$A:$A,'Pokemon Editor'!$F:$F,0)+31+FLOOR(XLOOKUP($Q191,'Threshold Summary'!$Y:$Y,'Threshold Summary'!$P:$P,"")/4))*XLOOKUP($Q191,'Threshold Summary'!$Y:$Y,'Threshold Summary'!$L:$L,""))/100)+5)*XLOOKUP(XLOOKUP($Q191,'Threshold Summary'!$Y:$Y,'Threshold Summary'!$M:$M,""),'Nature Editor'!$A:$A,'Nature Editor'!$B:$B,1)),FLOOR((FLOOR(((2*XLOOKUP(XLOOKUP($Q191,'Threshold Summary'!$Y:$Y,'Threshold Summary'!$K:$K,""),'Pokemon Editor'!$A:$A,'Pokemon Editor'!$H:$H,0)+31+FLOOR(XLOOKUP($Q191,'Threshold Summary'!$Y:$Y,'Threshold Summary'!$R:$R,"")/4))*XLOOKUP($Q191,'Threshold Summary'!$Y:$Y,'Threshold Summary'!$L:$L,""))/100)+5)*XLOOKUP(XLOOKUP($Q191,'Threshold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Editor'!$E:$E,1))),stab,IF(OR(mtype=XLOOKUP(XLOOKUP($Q191,'Threshold Summary'!$Y:$Y,'Threshold Summary'!$K:$K,""),'Pokemon Editor'!$A:$A,'Pokemon Editor'!$C:$C,""),mtype=XLOOKUP(XLOOKUP($Q191,'Threshold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Chart'!$B$1:$S$1,0)))),base,IF(OR(cat="Status",pow=0),0,FLOOR(FLOOR(FLOOR((2*XLOOKUP($Q191,'Threshold Summary'!$Y:$Y,'Threshold Summary'!$L:$L,"")/5+2)*pow*atk/def)/50)+2)),modifier,stab*eff,AVERAGE(ARRAYFORMULA(FLOOR(base*modifier*SEQUENCE(16,1,85,1)/100)))),0)</f>
        <v/>
      </c>
      <c r="M191" s="3">
        <f>IFERROR(LET(mtype,XLOOKUP($D191,'Move Editor'!$B:$B,'Move Editor'!$C:$C,""),cat,XLOOKUP($D191,'Move Editor'!$B:$B,'Move Editor'!$D:$D,""),pow,XLOOKUP($D191,'Move Editor'!$B:$B,'Move Editor'!$E:$E,0),acc,XLOOKUP($D191,'Move Editor'!$B:$B,'Move Editor'!$F:$F,100),atk,IF(cat="Physical",FLOOR((FLOOR(((2*XLOOKUP(XLOOKUP($Q191,'Threshold Summary'!$Y:$Y,'Threshold Summary'!$K:$K,""),'Pokemon Editor'!$A:$A,'Pokemon Editor'!$F:$F,0)+31+FLOOR(XLOOKUP($Q191,'Threshold Summary'!$Y:$Y,'Threshold Summary'!$P:$P,"")/4))*XLOOKUP($Q191,'Threshold Summary'!$Y:$Y,'Threshold Summary'!$L:$L,""))/100)+5)*XLOOKUP(XLOOKUP($Q191,'Threshold Summary'!$Y:$Y,'Threshold Summary'!$M:$M,""),'Nature Editor'!$A:$A,'Nature Editor'!$B:$B,1)),FLOOR((FLOOR(((2*XLOOKUP(XLOOKUP($Q191,'Threshold Summary'!$Y:$Y,'Threshold Summary'!$K:$K,""),'Pokemon Editor'!$A:$A,'Pokemon Editor'!$H:$H,0)+31+FLOOR(XLOOKUP($Q191,'Threshold Summary'!$Y:$Y,'Threshold Summary'!$R:$R,"")/4))*XLOOKUP($Q191,'Threshold Summary'!$Y:$Y,'Threshold Summary'!$L:$L,""))/100)+5)*XLOOKUP(XLOOKUP($Q191,'Threshold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Editor'!$E:$E,1))),stab,IF(OR(mtype=XLOOKUP(XLOOKUP($Q191,'Threshold Summary'!$Y:$Y,'Threshold Summary'!$K:$K,""),'Pokemon Editor'!$A:$A,'Pokemon Editor'!$C:$C,""),mtype=XLOOKUP(XLOOKUP($Q191,'Threshold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Chart'!$B$1:$S$1,0)))),base,IF(OR(cat="Status",pow=0),0,FLOOR(FLOOR(FLOOR((2*XLOOKUP($Q191,'Threshold Summary'!$Y:$Y,'Threshold Summary'!$L:$L,"")/5+2)*pow*atk/def)/50)+2)),modifier,stab*eff,AVERAGE(ARRAYFORMULA(FLOOR(base*modifier*SEQUENCE(16,1,85,1)/100)))*MIN(1,acc/100)),0)</f>
        <v/>
      </c>
      <c r="N191" s="4">
        <f>IFERROR(LET(mtype,XLOOKUP($D191,'Move Editor'!$B:$B,'Move Editor'!$C:$C,""),cat,XLOOKUP($D191,'Move Editor'!$B:$B,'Move Editor'!$D:$D,""),pow,XLOOKUP($D191,'Move Editor'!$B:$B,'Move Editor'!$E:$E,0),acc,XLOOKUP($D191,'Move Editor'!$B:$B,'Move Editor'!$F:$F,100),atk,IF(cat="Physical",FLOOR((FLOOR(((2*XLOOKUP(XLOOKUP($Q191,'Threshold Summary'!$Y:$Y,'Threshold Summary'!$K:$K,""),'Pokemon Editor'!$A:$A,'Pokemon Editor'!$F:$F,0)+31+FLOOR(XLOOKUP($Q191,'Threshold Summary'!$Y:$Y,'Threshold Summary'!$P:$P,"")/4))*XLOOKUP($Q191,'Threshold Summary'!$Y:$Y,'Threshold Summary'!$L:$L,""))/100)+5)*XLOOKUP(XLOOKUP($Q191,'Threshold Summary'!$Y:$Y,'Threshold Summary'!$M:$M,""),'Nature Editor'!$A:$A,'Nature Editor'!$B:$B,1)),FLOOR((FLOOR(((2*XLOOKUP(XLOOKUP($Q191,'Threshold Summary'!$Y:$Y,'Threshold Summary'!$K:$K,""),'Pokemon Editor'!$A:$A,'Pokemon Editor'!$H:$H,0)+31+FLOOR(XLOOKUP($Q191,'Threshold Summary'!$Y:$Y,'Threshold Summary'!$R:$R,"")/4))*XLOOKUP($Q191,'Threshold Summary'!$Y:$Y,'Threshold Summary'!$L:$L,""))/100)+5)*XLOOKUP(XLOOKUP($Q191,'Threshold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Editor'!$E:$E,1))),stab,IF(OR(mtype=XLOOKUP(XLOOKUP($Q191,'Threshold Summary'!$Y:$Y,'Threshold Summary'!$K:$K,""),'Pokemon Editor'!$A:$A,'Pokemon Editor'!$C:$C,""),mtype=XLOOKUP(XLOOKUP($Q191,'Threshold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Chart'!$B$1:$S$1,0)))),base,IF(OR(cat="Status",pow=0),0,FLOOR(FLOOR(FLOOR((2*XLOOKUP($Q191,'Threshold Summary'!$Y:$Y,'Threshold Summary'!$L:$L,"")/5+2)*pow*atk/def)/50)+2)),modifier,stab*eff,AVERAGE(ARRAYFORMULA(FLOOR(base*modifier*SEQUENCE(16,1,85,1)/100)))/(FLOOR(((2*XLOOKUP('Boss Editor'!$C$4,'Pokemon Editor'!$A:$A,'Pokemon Editor'!$E:$E,0)+31+FLOOR('Boss Editor'!$G$4/4))*'Boss Editor'!$D$4)/100)+'Boss Editor'!$D$4+10)),0)</f>
        <v/>
      </c>
      <c r="O191" s="3">
        <f>IF(N191&gt;=1,"OHKO",IF(N191&gt;=0.5,"2HKO",IF(N191&gt;=0.333,"3HKO",IF(N191&gt;=0.25,"4HKO","5HKO+"))))</f>
        <v/>
      </c>
      <c r="P191" s="3" t="inlineStr">
        <is>
          <t>Live from editable databases</t>
        </is>
      </c>
      <c r="Q191" s="3" t="inlineStr">
        <is>
          <t>SPECIES_MUDKIP</t>
        </is>
      </c>
      <c r="R191" s="3" t="n">
        <v>30</v>
      </c>
    </row>
    <row r="192">
      <c r="A192" s="3">
        <f>XLOOKUP($Q192,'Threshold Summary'!$Y:$Y,'Threshold Summary'!$A:$A,"")</f>
        <v/>
      </c>
      <c r="B192" s="3">
        <f>XLOOKUP($Q192,'Threshold Summary'!$Y:$Y,'Threshold Summary'!$M:$M,"")</f>
        <v/>
      </c>
      <c r="C192" s="3">
        <f>XLOOKUP($Q192,'Threshold Summary'!$Y:$Y,'Threshold Summary'!$N:$N,"")</f>
        <v/>
      </c>
      <c r="D192" s="3">
        <f>IFERROR(INDEX(FILTER('Learnset Editor'!$D$2:$D,'Learnset Editor'!$A$2:$A=XLOOKUP($Q192,'Threshold Summary'!$Y:$Y,'Threshold Summary'!$K:$K,""),'Learnset Editor'!$C$2:$C&lt;=XLOOKUP($Q192,'Threshold Summary'!$Y:$Y,'Threshold Summary'!$L:$L,"")),$R192),"")</f>
        <v/>
      </c>
      <c r="E192" s="3">
        <f>XLOOKUP(D192,'Move Editor'!$B:$B,'Move Editor'!$C:$C,"")</f>
        <v/>
      </c>
      <c r="F192" s="3">
        <f>XLOOKUP(D192,'Move Editor'!$B:$B,'Move Editor'!$D:$D,"")</f>
        <v/>
      </c>
      <c r="G192" s="3">
        <f>XLOOKUP(D192,'Move Editor'!$B:$B,'Move Editor'!$E:$E,0)</f>
        <v/>
      </c>
      <c r="H192" s="3">
        <f>XLOOKUP(D192,'Move Editor'!$B:$B,'Move Editor'!$F:$F,0)</f>
        <v/>
      </c>
      <c r="I192" s="3">
        <f>(INDEX('Type Chart'!$B:$S,MATCH(E192,'Type Chart'!$A:$A,0),MATCH(XLOOKUP('Boss Editor'!$C$4,'Pokemon Editor'!$A:$A,'Pokemon Editor'!$C:$C,""),'Type Chart'!$B$1:$S$1,0))*IF(XLOOKUP('Boss Editor'!$C$4,'Pokemon Editor'!$A:$A,'Pokemon Editor'!$D:$D,"")="",1,INDEX('Type Chart'!$B:$S,MATCH(E192,'Type Chart'!$A:$A,0),MATCH(XLOOKUP('Boss Editor'!$C$4,'Pokemon Editor'!$A:$A,'Pokemon Editor'!$D:$D,""),'Type Chart'!$B$1:$S$1,0))))</f>
        <v/>
      </c>
      <c r="J192" s="3">
        <f>IFERROR(LET(mtype,XLOOKUP($D192,'Move Editor'!$B:$B,'Move Editor'!$C:$C,""),cat,XLOOKUP($D192,'Move Editor'!$B:$B,'Move Editor'!$D:$D,""),pow,XLOOKUP($D192,'Move Editor'!$B:$B,'Move Editor'!$E:$E,0),acc,XLOOKUP($D192,'Move Editor'!$B:$B,'Move Editor'!$F:$F,100),atk,IF(cat="Physical",FLOOR((FLOOR(((2*XLOOKUP(XLOOKUP($Q192,'Threshold Summary'!$Y:$Y,'Threshold Summary'!$K:$K,""),'Pokemon Editor'!$A:$A,'Pokemon Editor'!$F:$F,0)+31+FLOOR(XLOOKUP($Q192,'Threshold Summary'!$Y:$Y,'Threshold Summary'!$P:$P,"")/4))*XLOOKUP($Q192,'Threshold Summary'!$Y:$Y,'Threshold Summary'!$L:$L,""))/100)+5)*XLOOKUP(XLOOKUP($Q192,'Threshold Summary'!$Y:$Y,'Threshold Summary'!$M:$M,""),'Nature Editor'!$A:$A,'Nature Editor'!$B:$B,1)),FLOOR((FLOOR(((2*XLOOKUP(XLOOKUP($Q192,'Threshold Summary'!$Y:$Y,'Threshold Summary'!$K:$K,""),'Pokemon Editor'!$A:$A,'Pokemon Editor'!$H:$H,0)+31+FLOOR(XLOOKUP($Q192,'Threshold Summary'!$Y:$Y,'Threshold Summary'!$R:$R,"")/4))*XLOOKUP($Q192,'Threshold Summary'!$Y:$Y,'Threshold Summary'!$L:$L,""))/100)+5)*XLOOKUP(XLOOKUP($Q192,'Threshold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Editor'!$E:$E,1))),stab,IF(OR(mtype=XLOOKUP(XLOOKUP($Q192,'Threshold Summary'!$Y:$Y,'Threshold Summary'!$K:$K,""),'Pokemon Editor'!$A:$A,'Pokemon Editor'!$C:$C,""),mtype=XLOOKUP(XLOOKUP($Q192,'Threshold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Chart'!$B$1:$S$1,0)))),base,IF(OR(cat="Status",pow=0),0,FLOOR(FLOOR(FLOOR((2*XLOOKUP($Q192,'Threshold Summary'!$Y:$Y,'Threshold Summary'!$L:$L,"")/5+2)*pow*atk/def)/50)+2)),modifier,stab*eff,FLOOR(base*modifier*0.85)),0)</f>
        <v/>
      </c>
      <c r="K192" s="3">
        <f>IFERROR(LET(mtype,XLOOKUP($D192,'Move Editor'!$B:$B,'Move Editor'!$C:$C,""),cat,XLOOKUP($D192,'Move Editor'!$B:$B,'Move Editor'!$D:$D,""),pow,XLOOKUP($D192,'Move Editor'!$B:$B,'Move Editor'!$E:$E,0),acc,XLOOKUP($D192,'Move Editor'!$B:$B,'Move Editor'!$F:$F,100),atk,IF(cat="Physical",FLOOR((FLOOR(((2*XLOOKUP(XLOOKUP($Q192,'Threshold Summary'!$Y:$Y,'Threshold Summary'!$K:$K,""),'Pokemon Editor'!$A:$A,'Pokemon Editor'!$F:$F,0)+31+FLOOR(XLOOKUP($Q192,'Threshold Summary'!$Y:$Y,'Threshold Summary'!$P:$P,"")/4))*XLOOKUP($Q192,'Threshold Summary'!$Y:$Y,'Threshold Summary'!$L:$L,""))/100)+5)*XLOOKUP(XLOOKUP($Q192,'Threshold Summary'!$Y:$Y,'Threshold Summary'!$M:$M,""),'Nature Editor'!$A:$A,'Nature Editor'!$B:$B,1)),FLOOR((FLOOR(((2*XLOOKUP(XLOOKUP($Q192,'Threshold Summary'!$Y:$Y,'Threshold Summary'!$K:$K,""),'Pokemon Editor'!$A:$A,'Pokemon Editor'!$H:$H,0)+31+FLOOR(XLOOKUP($Q192,'Threshold Summary'!$Y:$Y,'Threshold Summary'!$R:$R,"")/4))*XLOOKUP($Q192,'Threshold Summary'!$Y:$Y,'Threshold Summary'!$L:$L,""))/100)+5)*XLOOKUP(XLOOKUP($Q192,'Threshold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Editor'!$E:$E,1))),stab,IF(OR(mtype=XLOOKUP(XLOOKUP($Q192,'Threshold Summary'!$Y:$Y,'Threshold Summary'!$K:$K,""),'Pokemon Editor'!$A:$A,'Pokemon Editor'!$C:$C,""),mtype=XLOOKUP(XLOOKUP($Q192,'Threshold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Chart'!$B$1:$S$1,0)))),base,IF(OR(cat="Status",pow=0),0,FLOOR(FLOOR(FLOOR((2*XLOOKUP($Q192,'Threshold Summary'!$Y:$Y,'Threshold Summary'!$L:$L,"")/5+2)*pow*atk/def)/50)+2)),modifier,stab*eff,FLOOR(base*modifier)),0)</f>
        <v/>
      </c>
      <c r="L192" s="3">
        <f>IFERROR(LET(mtype,XLOOKUP($D192,'Move Editor'!$B:$B,'Move Editor'!$C:$C,""),cat,XLOOKUP($D192,'Move Editor'!$B:$B,'Move Editor'!$D:$D,""),pow,XLOOKUP($D192,'Move Editor'!$B:$B,'Move Editor'!$E:$E,0),acc,XLOOKUP($D192,'Move Editor'!$B:$B,'Move Editor'!$F:$F,100),atk,IF(cat="Physical",FLOOR((FLOOR(((2*XLOOKUP(XLOOKUP($Q192,'Threshold Summary'!$Y:$Y,'Threshold Summary'!$K:$K,""),'Pokemon Editor'!$A:$A,'Pokemon Editor'!$F:$F,0)+31+FLOOR(XLOOKUP($Q192,'Threshold Summary'!$Y:$Y,'Threshold Summary'!$P:$P,"")/4))*XLOOKUP($Q192,'Threshold Summary'!$Y:$Y,'Threshold Summary'!$L:$L,""))/100)+5)*XLOOKUP(XLOOKUP($Q192,'Threshold Summary'!$Y:$Y,'Threshold Summary'!$M:$M,""),'Nature Editor'!$A:$A,'Nature Editor'!$B:$B,1)),FLOOR((FLOOR(((2*XLOOKUP(XLOOKUP($Q192,'Threshold Summary'!$Y:$Y,'Threshold Summary'!$K:$K,""),'Pokemon Editor'!$A:$A,'Pokemon Editor'!$H:$H,0)+31+FLOOR(XLOOKUP($Q192,'Threshold Summary'!$Y:$Y,'Threshold Summary'!$R:$R,"")/4))*XLOOKUP($Q192,'Threshold Summary'!$Y:$Y,'Threshold Summary'!$L:$L,""))/100)+5)*XLOOKUP(XLOOKUP($Q192,'Threshold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Editor'!$E:$E,1))),stab,IF(OR(mtype=XLOOKUP(XLOOKUP($Q192,'Threshold Summary'!$Y:$Y,'Threshold Summary'!$K:$K,""),'Pokemon Editor'!$A:$A,'Pokemon Editor'!$C:$C,""),mtype=XLOOKUP(XLOOKUP($Q192,'Threshold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Chart'!$B$1:$S$1,0)))),base,IF(OR(cat="Status",pow=0),0,FLOOR(FLOOR(FLOOR((2*XLOOKUP($Q192,'Threshold Summary'!$Y:$Y,'Threshold Summary'!$L:$L,"")/5+2)*pow*atk/def)/50)+2)),modifier,stab*eff,AVERAGE(ARRAYFORMULA(FLOOR(base*modifier*SEQUENCE(16,1,85,1)/100)))),0)</f>
        <v/>
      </c>
      <c r="M192" s="3">
        <f>IFERROR(LET(mtype,XLOOKUP($D192,'Move Editor'!$B:$B,'Move Editor'!$C:$C,""),cat,XLOOKUP($D192,'Move Editor'!$B:$B,'Move Editor'!$D:$D,""),pow,XLOOKUP($D192,'Move Editor'!$B:$B,'Move Editor'!$E:$E,0),acc,XLOOKUP($D192,'Move Editor'!$B:$B,'Move Editor'!$F:$F,100),atk,IF(cat="Physical",FLOOR((FLOOR(((2*XLOOKUP(XLOOKUP($Q192,'Threshold Summary'!$Y:$Y,'Threshold Summary'!$K:$K,""),'Pokemon Editor'!$A:$A,'Pokemon Editor'!$F:$F,0)+31+FLOOR(XLOOKUP($Q192,'Threshold Summary'!$Y:$Y,'Threshold Summary'!$P:$P,"")/4))*XLOOKUP($Q192,'Threshold Summary'!$Y:$Y,'Threshold Summary'!$L:$L,""))/100)+5)*XLOOKUP(XLOOKUP($Q192,'Threshold Summary'!$Y:$Y,'Threshold Summary'!$M:$M,""),'Nature Editor'!$A:$A,'Nature Editor'!$B:$B,1)),FLOOR((FLOOR(((2*XLOOKUP(XLOOKUP($Q192,'Threshold Summary'!$Y:$Y,'Threshold Summary'!$K:$K,""),'Pokemon Editor'!$A:$A,'Pokemon Editor'!$H:$H,0)+31+FLOOR(XLOOKUP($Q192,'Threshold Summary'!$Y:$Y,'Threshold Summary'!$R:$R,"")/4))*XLOOKUP($Q192,'Threshold Summary'!$Y:$Y,'Threshold Summary'!$L:$L,""))/100)+5)*XLOOKUP(XLOOKUP($Q192,'Threshold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Editor'!$E:$E,1))),stab,IF(OR(mtype=XLOOKUP(XLOOKUP($Q192,'Threshold Summary'!$Y:$Y,'Threshold Summary'!$K:$K,""),'Pokemon Editor'!$A:$A,'Pokemon Editor'!$C:$C,""),mtype=XLOOKUP(XLOOKUP($Q192,'Threshold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Chart'!$B$1:$S$1,0)))),base,IF(OR(cat="Status",pow=0),0,FLOOR(FLOOR(FLOOR((2*XLOOKUP($Q192,'Threshold Summary'!$Y:$Y,'Threshold Summary'!$L:$L,"")/5+2)*pow*atk/def)/50)+2)),modifier,stab*eff,AVERAGE(ARRAYFORMULA(FLOOR(base*modifier*SEQUENCE(16,1,85,1)/100)))*MIN(1,acc/100)),0)</f>
        <v/>
      </c>
      <c r="N192" s="4">
        <f>IFERROR(LET(mtype,XLOOKUP($D192,'Move Editor'!$B:$B,'Move Editor'!$C:$C,""),cat,XLOOKUP($D192,'Move Editor'!$B:$B,'Move Editor'!$D:$D,""),pow,XLOOKUP($D192,'Move Editor'!$B:$B,'Move Editor'!$E:$E,0),acc,XLOOKUP($D192,'Move Editor'!$B:$B,'Move Editor'!$F:$F,100),atk,IF(cat="Physical",FLOOR((FLOOR(((2*XLOOKUP(XLOOKUP($Q192,'Threshold Summary'!$Y:$Y,'Threshold Summary'!$K:$K,""),'Pokemon Editor'!$A:$A,'Pokemon Editor'!$F:$F,0)+31+FLOOR(XLOOKUP($Q192,'Threshold Summary'!$Y:$Y,'Threshold Summary'!$P:$P,"")/4))*XLOOKUP($Q192,'Threshold Summary'!$Y:$Y,'Threshold Summary'!$L:$L,""))/100)+5)*XLOOKUP(XLOOKUP($Q192,'Threshold Summary'!$Y:$Y,'Threshold Summary'!$M:$M,""),'Nature Editor'!$A:$A,'Nature Editor'!$B:$B,1)),FLOOR((FLOOR(((2*XLOOKUP(XLOOKUP($Q192,'Threshold Summary'!$Y:$Y,'Threshold Summary'!$K:$K,""),'Pokemon Editor'!$A:$A,'Pokemon Editor'!$H:$H,0)+31+FLOOR(XLOOKUP($Q192,'Threshold Summary'!$Y:$Y,'Threshold Summary'!$R:$R,"")/4))*XLOOKUP($Q192,'Threshold Summary'!$Y:$Y,'Threshold Summary'!$L:$L,""))/100)+5)*XLOOKUP(XLOOKUP($Q192,'Threshold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Editor'!$E:$E,1))),stab,IF(OR(mtype=XLOOKUP(XLOOKUP($Q192,'Threshold Summary'!$Y:$Y,'Threshold Summary'!$K:$K,""),'Pokemon Editor'!$A:$A,'Pokemon Editor'!$C:$C,""),mtype=XLOOKUP(XLOOKUP($Q192,'Threshold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Chart'!$B$1:$S$1,0)))),base,IF(OR(cat="Status",pow=0),0,FLOOR(FLOOR(FLOOR((2*XLOOKUP($Q192,'Threshold Summary'!$Y:$Y,'Threshold Summary'!$L:$L,"")/5+2)*pow*atk/def)/50)+2)),modifier,stab*eff,AVERAGE(ARRAYFORMULA(FLOOR(base*modifier*SEQUENCE(16,1,85,1)/100)))/(FLOOR(((2*XLOOKUP('Boss Editor'!$C$4,'Pokemon Editor'!$A:$A,'Pokemon Editor'!$E:$E,0)+31+FLOOR('Boss Editor'!$G$4/4))*'Boss Editor'!$D$4)/100)+'Boss Editor'!$D$4+10)),0)</f>
        <v/>
      </c>
      <c r="O192" s="3">
        <f>IF(N192&gt;=1,"OHKO",IF(N192&gt;=0.5,"2HKO",IF(N192&gt;=0.333,"3HKO",IF(N192&gt;=0.25,"4HKO","5HKO+"))))</f>
        <v/>
      </c>
      <c r="P192" s="3" t="inlineStr">
        <is>
          <t>Live from editable databases</t>
        </is>
      </c>
      <c r="Q192" s="3" t="inlineStr">
        <is>
          <t>SPECIES_MUDKIP</t>
        </is>
      </c>
      <c r="R192" s="3" t="n">
        <v>31</v>
      </c>
    </row>
    <row r="193">
      <c r="A193" s="3">
        <f>XLOOKUP($Q193,'Threshold Summary'!$Y:$Y,'Threshold Summary'!$A:$A,"")</f>
        <v/>
      </c>
      <c r="B193" s="3">
        <f>XLOOKUP($Q193,'Threshold Summary'!$Y:$Y,'Threshold Summary'!$M:$M,"")</f>
        <v/>
      </c>
      <c r="C193" s="3">
        <f>XLOOKUP($Q193,'Threshold Summary'!$Y:$Y,'Threshold Summary'!$N:$N,"")</f>
        <v/>
      </c>
      <c r="D193" s="3">
        <f>IFERROR(INDEX(FILTER('Learnset Editor'!$D$2:$D,'Learnset Editor'!$A$2:$A=XLOOKUP($Q193,'Threshold Summary'!$Y:$Y,'Threshold Summary'!$K:$K,""),'Learnset Editor'!$C$2:$C&lt;=XLOOKUP($Q193,'Threshold Summary'!$Y:$Y,'Threshold Summary'!$L:$L,"")),$R193),"")</f>
        <v/>
      </c>
      <c r="E193" s="3">
        <f>XLOOKUP(D193,'Move Editor'!$B:$B,'Move Editor'!$C:$C,"")</f>
        <v/>
      </c>
      <c r="F193" s="3">
        <f>XLOOKUP(D193,'Move Editor'!$B:$B,'Move Editor'!$D:$D,"")</f>
        <v/>
      </c>
      <c r="G193" s="3">
        <f>XLOOKUP(D193,'Move Editor'!$B:$B,'Move Editor'!$E:$E,0)</f>
        <v/>
      </c>
      <c r="H193" s="3">
        <f>XLOOKUP(D193,'Move Editor'!$B:$B,'Move Editor'!$F:$F,0)</f>
        <v/>
      </c>
      <c r="I193" s="3">
        <f>(INDEX('Type Chart'!$B:$S,MATCH(E193,'Type Chart'!$A:$A,0),MATCH(XLOOKUP('Boss Editor'!$C$4,'Pokemon Editor'!$A:$A,'Pokemon Editor'!$C:$C,""),'Type Chart'!$B$1:$S$1,0))*IF(XLOOKUP('Boss Editor'!$C$4,'Pokemon Editor'!$A:$A,'Pokemon Editor'!$D:$D,"")="",1,INDEX('Type Chart'!$B:$S,MATCH(E193,'Type Chart'!$A:$A,0),MATCH(XLOOKUP('Boss Editor'!$C$4,'Pokemon Editor'!$A:$A,'Pokemon Editor'!$D:$D,""),'Type Chart'!$B$1:$S$1,0))))</f>
        <v/>
      </c>
      <c r="J193" s="3">
        <f>IFERROR(LET(mtype,XLOOKUP($D193,'Move Editor'!$B:$B,'Move Editor'!$C:$C,""),cat,XLOOKUP($D193,'Move Editor'!$B:$B,'Move Editor'!$D:$D,""),pow,XLOOKUP($D193,'Move Editor'!$B:$B,'Move Editor'!$E:$E,0),acc,XLOOKUP($D193,'Move Editor'!$B:$B,'Move Editor'!$F:$F,100),atk,IF(cat="Physical",FLOOR((FLOOR(((2*XLOOKUP(XLOOKUP($Q193,'Threshold Summary'!$Y:$Y,'Threshold Summary'!$K:$K,""),'Pokemon Editor'!$A:$A,'Pokemon Editor'!$F:$F,0)+31+FLOOR(XLOOKUP($Q193,'Threshold Summary'!$Y:$Y,'Threshold Summary'!$P:$P,"")/4))*XLOOKUP($Q193,'Threshold Summary'!$Y:$Y,'Threshold Summary'!$L:$L,""))/100)+5)*XLOOKUP(XLOOKUP($Q193,'Threshold Summary'!$Y:$Y,'Threshold Summary'!$M:$M,""),'Nature Editor'!$A:$A,'Nature Editor'!$B:$B,1)),FLOOR((FLOOR(((2*XLOOKUP(XLOOKUP($Q193,'Threshold Summary'!$Y:$Y,'Threshold Summary'!$K:$K,""),'Pokemon Editor'!$A:$A,'Pokemon Editor'!$H:$H,0)+31+FLOOR(XLOOKUP($Q193,'Threshold Summary'!$Y:$Y,'Threshold Summary'!$R:$R,"")/4))*XLOOKUP($Q193,'Threshold Summary'!$Y:$Y,'Threshold Summary'!$L:$L,""))/100)+5)*XLOOKUP(XLOOKUP($Q193,'Threshold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Editor'!$E:$E,1))),stab,IF(OR(mtype=XLOOKUP(XLOOKUP($Q193,'Threshold Summary'!$Y:$Y,'Threshold Summary'!$K:$K,""),'Pokemon Editor'!$A:$A,'Pokemon Editor'!$C:$C,""),mtype=XLOOKUP(XLOOKUP($Q193,'Threshold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Chart'!$B$1:$S$1,0)))),base,IF(OR(cat="Status",pow=0),0,FLOOR(FLOOR(FLOOR((2*XLOOKUP($Q193,'Threshold Summary'!$Y:$Y,'Threshold Summary'!$L:$L,"")/5+2)*pow*atk/def)/50)+2)),modifier,stab*eff,FLOOR(base*modifier*0.85)),0)</f>
        <v/>
      </c>
      <c r="K193" s="3">
        <f>IFERROR(LET(mtype,XLOOKUP($D193,'Move Editor'!$B:$B,'Move Editor'!$C:$C,""),cat,XLOOKUP($D193,'Move Editor'!$B:$B,'Move Editor'!$D:$D,""),pow,XLOOKUP($D193,'Move Editor'!$B:$B,'Move Editor'!$E:$E,0),acc,XLOOKUP($D193,'Move Editor'!$B:$B,'Move Editor'!$F:$F,100),atk,IF(cat="Physical",FLOOR((FLOOR(((2*XLOOKUP(XLOOKUP($Q193,'Threshold Summary'!$Y:$Y,'Threshold Summary'!$K:$K,""),'Pokemon Editor'!$A:$A,'Pokemon Editor'!$F:$F,0)+31+FLOOR(XLOOKUP($Q193,'Threshold Summary'!$Y:$Y,'Threshold Summary'!$P:$P,"")/4))*XLOOKUP($Q193,'Threshold Summary'!$Y:$Y,'Threshold Summary'!$L:$L,""))/100)+5)*XLOOKUP(XLOOKUP($Q193,'Threshold Summary'!$Y:$Y,'Threshold Summary'!$M:$M,""),'Nature Editor'!$A:$A,'Nature Editor'!$B:$B,1)),FLOOR((FLOOR(((2*XLOOKUP(XLOOKUP($Q193,'Threshold Summary'!$Y:$Y,'Threshold Summary'!$K:$K,""),'Pokemon Editor'!$A:$A,'Pokemon Editor'!$H:$H,0)+31+FLOOR(XLOOKUP($Q193,'Threshold Summary'!$Y:$Y,'Threshold Summary'!$R:$R,"")/4))*XLOOKUP($Q193,'Threshold Summary'!$Y:$Y,'Threshold Summary'!$L:$L,""))/100)+5)*XLOOKUP(XLOOKUP($Q193,'Threshold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Editor'!$E:$E,1))),stab,IF(OR(mtype=XLOOKUP(XLOOKUP($Q193,'Threshold Summary'!$Y:$Y,'Threshold Summary'!$K:$K,""),'Pokemon Editor'!$A:$A,'Pokemon Editor'!$C:$C,""),mtype=XLOOKUP(XLOOKUP($Q193,'Threshold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Chart'!$B$1:$S$1,0)))),base,IF(OR(cat="Status",pow=0),0,FLOOR(FLOOR(FLOOR((2*XLOOKUP($Q193,'Threshold Summary'!$Y:$Y,'Threshold Summary'!$L:$L,"")/5+2)*pow*atk/def)/50)+2)),modifier,stab*eff,FLOOR(base*modifier)),0)</f>
        <v/>
      </c>
      <c r="L193" s="3">
        <f>IFERROR(LET(mtype,XLOOKUP($D193,'Move Editor'!$B:$B,'Move Editor'!$C:$C,""),cat,XLOOKUP($D193,'Move Editor'!$B:$B,'Move Editor'!$D:$D,""),pow,XLOOKUP($D193,'Move Editor'!$B:$B,'Move Editor'!$E:$E,0),acc,XLOOKUP($D193,'Move Editor'!$B:$B,'Move Editor'!$F:$F,100),atk,IF(cat="Physical",FLOOR((FLOOR(((2*XLOOKUP(XLOOKUP($Q193,'Threshold Summary'!$Y:$Y,'Threshold Summary'!$K:$K,""),'Pokemon Editor'!$A:$A,'Pokemon Editor'!$F:$F,0)+31+FLOOR(XLOOKUP($Q193,'Threshold Summary'!$Y:$Y,'Threshold Summary'!$P:$P,"")/4))*XLOOKUP($Q193,'Threshold Summary'!$Y:$Y,'Threshold Summary'!$L:$L,""))/100)+5)*XLOOKUP(XLOOKUP($Q193,'Threshold Summary'!$Y:$Y,'Threshold Summary'!$M:$M,""),'Nature Editor'!$A:$A,'Nature Editor'!$B:$B,1)),FLOOR((FLOOR(((2*XLOOKUP(XLOOKUP($Q193,'Threshold Summary'!$Y:$Y,'Threshold Summary'!$K:$K,""),'Pokemon Editor'!$A:$A,'Pokemon Editor'!$H:$H,0)+31+FLOOR(XLOOKUP($Q193,'Threshold Summary'!$Y:$Y,'Threshold Summary'!$R:$R,"")/4))*XLOOKUP($Q193,'Threshold Summary'!$Y:$Y,'Threshold Summary'!$L:$L,""))/100)+5)*XLOOKUP(XLOOKUP($Q193,'Threshold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Editor'!$E:$E,1))),stab,IF(OR(mtype=XLOOKUP(XLOOKUP($Q193,'Threshold Summary'!$Y:$Y,'Threshold Summary'!$K:$K,""),'Pokemon Editor'!$A:$A,'Pokemon Editor'!$C:$C,""),mtype=XLOOKUP(XLOOKUP($Q193,'Threshold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Chart'!$B$1:$S$1,0)))),base,IF(OR(cat="Status",pow=0),0,FLOOR(FLOOR(FLOOR((2*XLOOKUP($Q193,'Threshold Summary'!$Y:$Y,'Threshold Summary'!$L:$L,"")/5+2)*pow*atk/def)/50)+2)),modifier,stab*eff,AVERAGE(ARRAYFORMULA(FLOOR(base*modifier*SEQUENCE(16,1,85,1)/100)))),0)</f>
        <v/>
      </c>
      <c r="M193" s="3">
        <f>IFERROR(LET(mtype,XLOOKUP($D193,'Move Editor'!$B:$B,'Move Editor'!$C:$C,""),cat,XLOOKUP($D193,'Move Editor'!$B:$B,'Move Editor'!$D:$D,""),pow,XLOOKUP($D193,'Move Editor'!$B:$B,'Move Editor'!$E:$E,0),acc,XLOOKUP($D193,'Move Editor'!$B:$B,'Move Editor'!$F:$F,100),atk,IF(cat="Physical",FLOOR((FLOOR(((2*XLOOKUP(XLOOKUP($Q193,'Threshold Summary'!$Y:$Y,'Threshold Summary'!$K:$K,""),'Pokemon Editor'!$A:$A,'Pokemon Editor'!$F:$F,0)+31+FLOOR(XLOOKUP($Q193,'Threshold Summary'!$Y:$Y,'Threshold Summary'!$P:$P,"")/4))*XLOOKUP($Q193,'Threshold Summary'!$Y:$Y,'Threshold Summary'!$L:$L,""))/100)+5)*XLOOKUP(XLOOKUP($Q193,'Threshold Summary'!$Y:$Y,'Threshold Summary'!$M:$M,""),'Nature Editor'!$A:$A,'Nature Editor'!$B:$B,1)),FLOOR((FLOOR(((2*XLOOKUP(XLOOKUP($Q193,'Threshold Summary'!$Y:$Y,'Threshold Summary'!$K:$K,""),'Pokemon Editor'!$A:$A,'Pokemon Editor'!$H:$H,0)+31+FLOOR(XLOOKUP($Q193,'Threshold Summary'!$Y:$Y,'Threshold Summary'!$R:$R,"")/4))*XLOOKUP($Q193,'Threshold Summary'!$Y:$Y,'Threshold Summary'!$L:$L,""))/100)+5)*XLOOKUP(XLOOKUP($Q193,'Threshold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Editor'!$E:$E,1))),stab,IF(OR(mtype=XLOOKUP(XLOOKUP($Q193,'Threshold Summary'!$Y:$Y,'Threshold Summary'!$K:$K,""),'Pokemon Editor'!$A:$A,'Pokemon Editor'!$C:$C,""),mtype=XLOOKUP(XLOOKUP($Q193,'Threshold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Chart'!$B$1:$S$1,0)))),base,IF(OR(cat="Status",pow=0),0,FLOOR(FLOOR(FLOOR((2*XLOOKUP($Q193,'Threshold Summary'!$Y:$Y,'Threshold Summary'!$L:$L,"")/5+2)*pow*atk/def)/50)+2)),modifier,stab*eff,AVERAGE(ARRAYFORMULA(FLOOR(base*modifier*SEQUENCE(16,1,85,1)/100)))*MIN(1,acc/100)),0)</f>
        <v/>
      </c>
      <c r="N193" s="4">
        <f>IFERROR(LET(mtype,XLOOKUP($D193,'Move Editor'!$B:$B,'Move Editor'!$C:$C,""),cat,XLOOKUP($D193,'Move Editor'!$B:$B,'Move Editor'!$D:$D,""),pow,XLOOKUP($D193,'Move Editor'!$B:$B,'Move Editor'!$E:$E,0),acc,XLOOKUP($D193,'Move Editor'!$B:$B,'Move Editor'!$F:$F,100),atk,IF(cat="Physical",FLOOR((FLOOR(((2*XLOOKUP(XLOOKUP($Q193,'Threshold Summary'!$Y:$Y,'Threshold Summary'!$K:$K,""),'Pokemon Editor'!$A:$A,'Pokemon Editor'!$F:$F,0)+31+FLOOR(XLOOKUP($Q193,'Threshold Summary'!$Y:$Y,'Threshold Summary'!$P:$P,"")/4))*XLOOKUP($Q193,'Threshold Summary'!$Y:$Y,'Threshold Summary'!$L:$L,""))/100)+5)*XLOOKUP(XLOOKUP($Q193,'Threshold Summary'!$Y:$Y,'Threshold Summary'!$M:$M,""),'Nature Editor'!$A:$A,'Nature Editor'!$B:$B,1)),FLOOR((FLOOR(((2*XLOOKUP(XLOOKUP($Q193,'Threshold Summary'!$Y:$Y,'Threshold Summary'!$K:$K,""),'Pokemon Editor'!$A:$A,'Pokemon Editor'!$H:$H,0)+31+FLOOR(XLOOKUP($Q193,'Threshold Summary'!$Y:$Y,'Threshold Summary'!$R:$R,"")/4))*XLOOKUP($Q193,'Threshold Summary'!$Y:$Y,'Threshold Summary'!$L:$L,""))/100)+5)*XLOOKUP(XLOOKUP($Q193,'Threshold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Editor'!$E:$E,1))),stab,IF(OR(mtype=XLOOKUP(XLOOKUP($Q193,'Threshold Summary'!$Y:$Y,'Threshold Summary'!$K:$K,""),'Pokemon Editor'!$A:$A,'Pokemon Editor'!$C:$C,""),mtype=XLOOKUP(XLOOKUP($Q193,'Threshold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Chart'!$B$1:$S$1,0)))),base,IF(OR(cat="Status",pow=0),0,FLOOR(FLOOR(FLOOR((2*XLOOKUP($Q193,'Threshold Summary'!$Y:$Y,'Threshold Summary'!$L:$L,"")/5+2)*pow*atk/def)/50)+2)),modifier,stab*eff,AVERAGE(ARRAYFORMULA(FLOOR(base*modifier*SEQUENCE(16,1,85,1)/100)))/(FLOOR(((2*XLOOKUP('Boss Editor'!$C$4,'Pokemon Editor'!$A:$A,'Pokemon Editor'!$E:$E,0)+31+FLOOR('Boss Editor'!$G$4/4))*'Boss Editor'!$D$4)/100)+'Boss Editor'!$D$4+10)),0)</f>
        <v/>
      </c>
      <c r="O193" s="3">
        <f>IF(N193&gt;=1,"OHKO",IF(N193&gt;=0.5,"2HKO",IF(N193&gt;=0.333,"3HKO",IF(N193&gt;=0.25,"4HKO","5HKO+"))))</f>
        <v/>
      </c>
      <c r="P193" s="3" t="inlineStr">
        <is>
          <t>Live from editable databases</t>
        </is>
      </c>
      <c r="Q193" s="3" t="inlineStr">
        <is>
          <t>SPECIES_MUDKIP</t>
        </is>
      </c>
      <c r="R193" s="3" t="n">
        <v>32</v>
      </c>
    </row>
    <row r="194">
      <c r="A194" s="3">
        <f>XLOOKUP($Q194,'Threshold Summary'!$Y:$Y,'Threshold Summary'!$A:$A,"")</f>
        <v/>
      </c>
      <c r="B194" s="3">
        <f>XLOOKUP($Q194,'Threshold Summary'!$Y:$Y,'Threshold Summary'!$M:$M,"")</f>
        <v/>
      </c>
      <c r="C194" s="3">
        <f>XLOOKUP($Q194,'Threshold Summary'!$Y:$Y,'Threshold Summary'!$N:$N,"")</f>
        <v/>
      </c>
      <c r="D194" s="3">
        <f>IFERROR(INDEX(FILTER('Learnset Editor'!$D$2:$D,'Learnset Editor'!$A$2:$A=XLOOKUP($Q194,'Threshold Summary'!$Y:$Y,'Threshold Summary'!$K:$K,""),'Learnset Editor'!$C$2:$C&lt;=XLOOKUP($Q194,'Threshold Summary'!$Y:$Y,'Threshold Summary'!$L:$L,"")),$R194),"")</f>
        <v/>
      </c>
      <c r="E194" s="3">
        <f>XLOOKUP(D194,'Move Editor'!$B:$B,'Move Editor'!$C:$C,"")</f>
        <v/>
      </c>
      <c r="F194" s="3">
        <f>XLOOKUP(D194,'Move Editor'!$B:$B,'Move Editor'!$D:$D,"")</f>
        <v/>
      </c>
      <c r="G194" s="3">
        <f>XLOOKUP(D194,'Move Editor'!$B:$B,'Move Editor'!$E:$E,0)</f>
        <v/>
      </c>
      <c r="H194" s="3">
        <f>XLOOKUP(D194,'Move Editor'!$B:$B,'Move Editor'!$F:$F,0)</f>
        <v/>
      </c>
      <c r="I194" s="3">
        <f>(INDEX('Type Chart'!$B:$S,MATCH(E194,'Type Chart'!$A:$A,0),MATCH(XLOOKUP('Boss Editor'!$C$4,'Pokemon Editor'!$A:$A,'Pokemon Editor'!$C:$C,""),'Type Chart'!$B$1:$S$1,0))*IF(XLOOKUP('Boss Editor'!$C$4,'Pokemon Editor'!$A:$A,'Pokemon Editor'!$D:$D,"")="",1,INDEX('Type Chart'!$B:$S,MATCH(E194,'Type Chart'!$A:$A,0),MATCH(XLOOKUP('Boss Editor'!$C$4,'Pokemon Editor'!$A:$A,'Pokemon Editor'!$D:$D,""),'Type Chart'!$B$1:$S$1,0))))</f>
        <v/>
      </c>
      <c r="J194" s="3">
        <f>IFERROR(LET(mtype,XLOOKUP($D194,'Move Editor'!$B:$B,'Move Editor'!$C:$C,""),cat,XLOOKUP($D194,'Move Editor'!$B:$B,'Move Editor'!$D:$D,""),pow,XLOOKUP($D194,'Move Editor'!$B:$B,'Move Editor'!$E:$E,0),acc,XLOOKUP($D194,'Move Editor'!$B:$B,'Move Editor'!$F:$F,100),atk,IF(cat="Physical",FLOOR((FLOOR(((2*XLOOKUP(XLOOKUP($Q194,'Threshold Summary'!$Y:$Y,'Threshold Summary'!$K:$K,""),'Pokemon Editor'!$A:$A,'Pokemon Editor'!$F:$F,0)+31+FLOOR(XLOOKUP($Q194,'Threshold Summary'!$Y:$Y,'Threshold Summary'!$P:$P,"")/4))*XLOOKUP($Q194,'Threshold Summary'!$Y:$Y,'Threshold Summary'!$L:$L,""))/100)+5)*XLOOKUP(XLOOKUP($Q194,'Threshold Summary'!$Y:$Y,'Threshold Summary'!$M:$M,""),'Nature Editor'!$A:$A,'Nature Editor'!$B:$B,1)),FLOOR((FLOOR(((2*XLOOKUP(XLOOKUP($Q194,'Threshold Summary'!$Y:$Y,'Threshold Summary'!$K:$K,""),'Pokemon Editor'!$A:$A,'Pokemon Editor'!$H:$H,0)+31+FLOOR(XLOOKUP($Q194,'Threshold Summary'!$Y:$Y,'Threshold Summary'!$R:$R,"")/4))*XLOOKUP($Q194,'Threshold Summary'!$Y:$Y,'Threshold Summary'!$L:$L,""))/100)+5)*XLOOKUP(XLOOKUP($Q194,'Threshold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Editor'!$E:$E,1))),stab,IF(OR(mtype=XLOOKUP(XLOOKUP($Q194,'Threshold Summary'!$Y:$Y,'Threshold Summary'!$K:$K,""),'Pokemon Editor'!$A:$A,'Pokemon Editor'!$C:$C,""),mtype=XLOOKUP(XLOOKUP($Q194,'Threshold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Chart'!$B$1:$S$1,0)))),base,IF(OR(cat="Status",pow=0),0,FLOOR(FLOOR(FLOOR((2*XLOOKUP($Q194,'Threshold Summary'!$Y:$Y,'Threshold Summary'!$L:$L,"")/5+2)*pow*atk/def)/50)+2)),modifier,stab*eff,FLOOR(base*modifier*0.85)),0)</f>
        <v/>
      </c>
      <c r="K194" s="3">
        <f>IFERROR(LET(mtype,XLOOKUP($D194,'Move Editor'!$B:$B,'Move Editor'!$C:$C,""),cat,XLOOKUP($D194,'Move Editor'!$B:$B,'Move Editor'!$D:$D,""),pow,XLOOKUP($D194,'Move Editor'!$B:$B,'Move Editor'!$E:$E,0),acc,XLOOKUP($D194,'Move Editor'!$B:$B,'Move Editor'!$F:$F,100),atk,IF(cat="Physical",FLOOR((FLOOR(((2*XLOOKUP(XLOOKUP($Q194,'Threshold Summary'!$Y:$Y,'Threshold Summary'!$K:$K,""),'Pokemon Editor'!$A:$A,'Pokemon Editor'!$F:$F,0)+31+FLOOR(XLOOKUP($Q194,'Threshold Summary'!$Y:$Y,'Threshold Summary'!$P:$P,"")/4))*XLOOKUP($Q194,'Threshold Summary'!$Y:$Y,'Threshold Summary'!$L:$L,""))/100)+5)*XLOOKUP(XLOOKUP($Q194,'Threshold Summary'!$Y:$Y,'Threshold Summary'!$M:$M,""),'Nature Editor'!$A:$A,'Nature Editor'!$B:$B,1)),FLOOR((FLOOR(((2*XLOOKUP(XLOOKUP($Q194,'Threshold Summary'!$Y:$Y,'Threshold Summary'!$K:$K,""),'Pokemon Editor'!$A:$A,'Pokemon Editor'!$H:$H,0)+31+FLOOR(XLOOKUP($Q194,'Threshold Summary'!$Y:$Y,'Threshold Summary'!$R:$R,"")/4))*XLOOKUP($Q194,'Threshold Summary'!$Y:$Y,'Threshold Summary'!$L:$L,""))/100)+5)*XLOOKUP(XLOOKUP($Q194,'Threshold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Editor'!$E:$E,1))),stab,IF(OR(mtype=XLOOKUP(XLOOKUP($Q194,'Threshold Summary'!$Y:$Y,'Threshold Summary'!$K:$K,""),'Pokemon Editor'!$A:$A,'Pokemon Editor'!$C:$C,""),mtype=XLOOKUP(XLOOKUP($Q194,'Threshold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Chart'!$B$1:$S$1,0)))),base,IF(OR(cat="Status",pow=0),0,FLOOR(FLOOR(FLOOR((2*XLOOKUP($Q194,'Threshold Summary'!$Y:$Y,'Threshold Summary'!$L:$L,"")/5+2)*pow*atk/def)/50)+2)),modifier,stab*eff,FLOOR(base*modifier)),0)</f>
        <v/>
      </c>
      <c r="L194" s="3">
        <f>IFERROR(LET(mtype,XLOOKUP($D194,'Move Editor'!$B:$B,'Move Editor'!$C:$C,""),cat,XLOOKUP($D194,'Move Editor'!$B:$B,'Move Editor'!$D:$D,""),pow,XLOOKUP($D194,'Move Editor'!$B:$B,'Move Editor'!$E:$E,0),acc,XLOOKUP($D194,'Move Editor'!$B:$B,'Move Editor'!$F:$F,100),atk,IF(cat="Physical",FLOOR((FLOOR(((2*XLOOKUP(XLOOKUP($Q194,'Threshold Summary'!$Y:$Y,'Threshold Summary'!$K:$K,""),'Pokemon Editor'!$A:$A,'Pokemon Editor'!$F:$F,0)+31+FLOOR(XLOOKUP($Q194,'Threshold Summary'!$Y:$Y,'Threshold Summary'!$P:$P,"")/4))*XLOOKUP($Q194,'Threshold Summary'!$Y:$Y,'Threshold Summary'!$L:$L,""))/100)+5)*XLOOKUP(XLOOKUP($Q194,'Threshold Summary'!$Y:$Y,'Threshold Summary'!$M:$M,""),'Nature Editor'!$A:$A,'Nature Editor'!$B:$B,1)),FLOOR((FLOOR(((2*XLOOKUP(XLOOKUP($Q194,'Threshold Summary'!$Y:$Y,'Threshold Summary'!$K:$K,""),'Pokemon Editor'!$A:$A,'Pokemon Editor'!$H:$H,0)+31+FLOOR(XLOOKUP($Q194,'Threshold Summary'!$Y:$Y,'Threshold Summary'!$R:$R,"")/4))*XLOOKUP($Q194,'Threshold Summary'!$Y:$Y,'Threshold Summary'!$L:$L,""))/100)+5)*XLOOKUP(XLOOKUP($Q194,'Threshold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Editor'!$E:$E,1))),stab,IF(OR(mtype=XLOOKUP(XLOOKUP($Q194,'Threshold Summary'!$Y:$Y,'Threshold Summary'!$K:$K,""),'Pokemon Editor'!$A:$A,'Pokemon Editor'!$C:$C,""),mtype=XLOOKUP(XLOOKUP($Q194,'Threshold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Chart'!$B$1:$S$1,0)))),base,IF(OR(cat="Status",pow=0),0,FLOOR(FLOOR(FLOOR((2*XLOOKUP($Q194,'Threshold Summary'!$Y:$Y,'Threshold Summary'!$L:$L,"")/5+2)*pow*atk/def)/50)+2)),modifier,stab*eff,AVERAGE(ARRAYFORMULA(FLOOR(base*modifier*SEQUENCE(16,1,85,1)/100)))),0)</f>
        <v/>
      </c>
      <c r="M194" s="3">
        <f>IFERROR(LET(mtype,XLOOKUP($D194,'Move Editor'!$B:$B,'Move Editor'!$C:$C,""),cat,XLOOKUP($D194,'Move Editor'!$B:$B,'Move Editor'!$D:$D,""),pow,XLOOKUP($D194,'Move Editor'!$B:$B,'Move Editor'!$E:$E,0),acc,XLOOKUP($D194,'Move Editor'!$B:$B,'Move Editor'!$F:$F,100),atk,IF(cat="Physical",FLOOR((FLOOR(((2*XLOOKUP(XLOOKUP($Q194,'Threshold Summary'!$Y:$Y,'Threshold Summary'!$K:$K,""),'Pokemon Editor'!$A:$A,'Pokemon Editor'!$F:$F,0)+31+FLOOR(XLOOKUP($Q194,'Threshold Summary'!$Y:$Y,'Threshold Summary'!$P:$P,"")/4))*XLOOKUP($Q194,'Threshold Summary'!$Y:$Y,'Threshold Summary'!$L:$L,""))/100)+5)*XLOOKUP(XLOOKUP($Q194,'Threshold Summary'!$Y:$Y,'Threshold Summary'!$M:$M,""),'Nature Editor'!$A:$A,'Nature Editor'!$B:$B,1)),FLOOR((FLOOR(((2*XLOOKUP(XLOOKUP($Q194,'Threshold Summary'!$Y:$Y,'Threshold Summary'!$K:$K,""),'Pokemon Editor'!$A:$A,'Pokemon Editor'!$H:$H,0)+31+FLOOR(XLOOKUP($Q194,'Threshold Summary'!$Y:$Y,'Threshold Summary'!$R:$R,"")/4))*XLOOKUP($Q194,'Threshold Summary'!$Y:$Y,'Threshold Summary'!$L:$L,""))/100)+5)*XLOOKUP(XLOOKUP($Q194,'Threshold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Editor'!$E:$E,1))),stab,IF(OR(mtype=XLOOKUP(XLOOKUP($Q194,'Threshold Summary'!$Y:$Y,'Threshold Summary'!$K:$K,""),'Pokemon Editor'!$A:$A,'Pokemon Editor'!$C:$C,""),mtype=XLOOKUP(XLOOKUP($Q194,'Threshold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Chart'!$B$1:$S$1,0)))),base,IF(OR(cat="Status",pow=0),0,FLOOR(FLOOR(FLOOR((2*XLOOKUP($Q194,'Threshold Summary'!$Y:$Y,'Threshold Summary'!$L:$L,"")/5+2)*pow*atk/def)/50)+2)),modifier,stab*eff,AVERAGE(ARRAYFORMULA(FLOOR(base*modifier*SEQUENCE(16,1,85,1)/100)))*MIN(1,acc/100)),0)</f>
        <v/>
      </c>
      <c r="N194" s="4">
        <f>IFERROR(LET(mtype,XLOOKUP($D194,'Move Editor'!$B:$B,'Move Editor'!$C:$C,""),cat,XLOOKUP($D194,'Move Editor'!$B:$B,'Move Editor'!$D:$D,""),pow,XLOOKUP($D194,'Move Editor'!$B:$B,'Move Editor'!$E:$E,0),acc,XLOOKUP($D194,'Move Editor'!$B:$B,'Move Editor'!$F:$F,100),atk,IF(cat="Physical",FLOOR((FLOOR(((2*XLOOKUP(XLOOKUP($Q194,'Threshold Summary'!$Y:$Y,'Threshold Summary'!$K:$K,""),'Pokemon Editor'!$A:$A,'Pokemon Editor'!$F:$F,0)+31+FLOOR(XLOOKUP($Q194,'Threshold Summary'!$Y:$Y,'Threshold Summary'!$P:$P,"")/4))*XLOOKUP($Q194,'Threshold Summary'!$Y:$Y,'Threshold Summary'!$L:$L,""))/100)+5)*XLOOKUP(XLOOKUP($Q194,'Threshold Summary'!$Y:$Y,'Threshold Summary'!$M:$M,""),'Nature Editor'!$A:$A,'Nature Editor'!$B:$B,1)),FLOOR((FLOOR(((2*XLOOKUP(XLOOKUP($Q194,'Threshold Summary'!$Y:$Y,'Threshold Summary'!$K:$K,""),'Pokemon Editor'!$A:$A,'Pokemon Editor'!$H:$H,0)+31+FLOOR(XLOOKUP($Q194,'Threshold Summary'!$Y:$Y,'Threshold Summary'!$R:$R,"")/4))*XLOOKUP($Q194,'Threshold Summary'!$Y:$Y,'Threshold Summary'!$L:$L,""))/100)+5)*XLOOKUP(XLOOKUP($Q194,'Threshold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Editor'!$E:$E,1))),stab,IF(OR(mtype=XLOOKUP(XLOOKUP($Q194,'Threshold Summary'!$Y:$Y,'Threshold Summary'!$K:$K,""),'Pokemon Editor'!$A:$A,'Pokemon Editor'!$C:$C,""),mtype=XLOOKUP(XLOOKUP($Q194,'Threshold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Chart'!$B$1:$S$1,0)))),base,IF(OR(cat="Status",pow=0),0,FLOOR(FLOOR(FLOOR((2*XLOOKUP($Q194,'Threshold Summary'!$Y:$Y,'Threshold Summary'!$L:$L,"")/5+2)*pow*atk/def)/50)+2)),modifier,stab*eff,AVERAGE(ARRAYFORMULA(FLOOR(base*modifier*SEQUENCE(16,1,85,1)/100)))/(FLOOR(((2*XLOOKUP('Boss Editor'!$C$4,'Pokemon Editor'!$A:$A,'Pokemon Editor'!$E:$E,0)+31+FLOOR('Boss Editor'!$G$4/4))*'Boss Editor'!$D$4)/100)+'Boss Editor'!$D$4+10)),0)</f>
        <v/>
      </c>
      <c r="O194" s="3">
        <f>IF(N194&gt;=1,"OHKO",IF(N194&gt;=0.5,"2HKO",IF(N194&gt;=0.333,"3HKO",IF(N194&gt;=0.25,"4HKO","5HKO+"))))</f>
        <v/>
      </c>
      <c r="P194" s="3" t="inlineStr">
        <is>
          <t>Live from editable databases</t>
        </is>
      </c>
      <c r="Q194" s="3" t="inlineStr">
        <is>
          <t>SPECIES_TAILLOW</t>
        </is>
      </c>
      <c r="R194" s="3" t="n">
        <v>1</v>
      </c>
    </row>
    <row r="195">
      <c r="A195" s="3">
        <f>XLOOKUP($Q195,'Threshold Summary'!$Y:$Y,'Threshold Summary'!$A:$A,"")</f>
        <v/>
      </c>
      <c r="B195" s="3">
        <f>XLOOKUP($Q195,'Threshold Summary'!$Y:$Y,'Threshold Summary'!$M:$M,"")</f>
        <v/>
      </c>
      <c r="C195" s="3">
        <f>XLOOKUP($Q195,'Threshold Summary'!$Y:$Y,'Threshold Summary'!$N:$N,"")</f>
        <v/>
      </c>
      <c r="D195" s="3">
        <f>IFERROR(INDEX(FILTER('Learnset Editor'!$D$2:$D,'Learnset Editor'!$A$2:$A=XLOOKUP($Q195,'Threshold Summary'!$Y:$Y,'Threshold Summary'!$K:$K,""),'Learnset Editor'!$C$2:$C&lt;=XLOOKUP($Q195,'Threshold Summary'!$Y:$Y,'Threshold Summary'!$L:$L,"")),$R195),"")</f>
        <v/>
      </c>
      <c r="E195" s="3">
        <f>XLOOKUP(D195,'Move Editor'!$B:$B,'Move Editor'!$C:$C,"")</f>
        <v/>
      </c>
      <c r="F195" s="3">
        <f>XLOOKUP(D195,'Move Editor'!$B:$B,'Move Editor'!$D:$D,"")</f>
        <v/>
      </c>
      <c r="G195" s="3">
        <f>XLOOKUP(D195,'Move Editor'!$B:$B,'Move Editor'!$E:$E,0)</f>
        <v/>
      </c>
      <c r="H195" s="3">
        <f>XLOOKUP(D195,'Move Editor'!$B:$B,'Move Editor'!$F:$F,0)</f>
        <v/>
      </c>
      <c r="I195" s="3">
        <f>(INDEX('Type Chart'!$B:$S,MATCH(E195,'Type Chart'!$A:$A,0),MATCH(XLOOKUP('Boss Editor'!$C$4,'Pokemon Editor'!$A:$A,'Pokemon Editor'!$C:$C,""),'Type Chart'!$B$1:$S$1,0))*IF(XLOOKUP('Boss Editor'!$C$4,'Pokemon Editor'!$A:$A,'Pokemon Editor'!$D:$D,"")="",1,INDEX('Type Chart'!$B:$S,MATCH(E195,'Type Chart'!$A:$A,0),MATCH(XLOOKUP('Boss Editor'!$C$4,'Pokemon Editor'!$A:$A,'Pokemon Editor'!$D:$D,""),'Type Chart'!$B$1:$S$1,0))))</f>
        <v/>
      </c>
      <c r="J195" s="3">
        <f>IFERROR(LET(mtype,XLOOKUP($D195,'Move Editor'!$B:$B,'Move Editor'!$C:$C,""),cat,XLOOKUP($D195,'Move Editor'!$B:$B,'Move Editor'!$D:$D,""),pow,XLOOKUP($D195,'Move Editor'!$B:$B,'Move Editor'!$E:$E,0),acc,XLOOKUP($D195,'Move Editor'!$B:$B,'Move Editor'!$F:$F,100),atk,IF(cat="Physical",FLOOR((FLOOR(((2*XLOOKUP(XLOOKUP($Q195,'Threshold Summary'!$Y:$Y,'Threshold Summary'!$K:$K,""),'Pokemon Editor'!$A:$A,'Pokemon Editor'!$F:$F,0)+31+FLOOR(XLOOKUP($Q195,'Threshold Summary'!$Y:$Y,'Threshold Summary'!$P:$P,"")/4))*XLOOKUP($Q195,'Threshold Summary'!$Y:$Y,'Threshold Summary'!$L:$L,""))/100)+5)*XLOOKUP(XLOOKUP($Q195,'Threshold Summary'!$Y:$Y,'Threshold Summary'!$M:$M,""),'Nature Editor'!$A:$A,'Nature Editor'!$B:$B,1)),FLOOR((FLOOR(((2*XLOOKUP(XLOOKUP($Q195,'Threshold Summary'!$Y:$Y,'Threshold Summary'!$K:$K,""),'Pokemon Editor'!$A:$A,'Pokemon Editor'!$H:$H,0)+31+FLOOR(XLOOKUP($Q195,'Threshold Summary'!$Y:$Y,'Threshold Summary'!$R:$R,"")/4))*XLOOKUP($Q195,'Threshold Summary'!$Y:$Y,'Threshold Summary'!$L:$L,""))/100)+5)*XLOOKUP(XLOOKUP($Q195,'Threshold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Editor'!$E:$E,1))),stab,IF(OR(mtype=XLOOKUP(XLOOKUP($Q195,'Threshold Summary'!$Y:$Y,'Threshold Summary'!$K:$K,""),'Pokemon Editor'!$A:$A,'Pokemon Editor'!$C:$C,""),mtype=XLOOKUP(XLOOKUP($Q195,'Threshold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Chart'!$B$1:$S$1,0)))),base,IF(OR(cat="Status",pow=0),0,FLOOR(FLOOR(FLOOR((2*XLOOKUP($Q195,'Threshold Summary'!$Y:$Y,'Threshold Summary'!$L:$L,"")/5+2)*pow*atk/def)/50)+2)),modifier,stab*eff,FLOOR(base*modifier*0.85)),0)</f>
        <v/>
      </c>
      <c r="K195" s="3">
        <f>IFERROR(LET(mtype,XLOOKUP($D195,'Move Editor'!$B:$B,'Move Editor'!$C:$C,""),cat,XLOOKUP($D195,'Move Editor'!$B:$B,'Move Editor'!$D:$D,""),pow,XLOOKUP($D195,'Move Editor'!$B:$B,'Move Editor'!$E:$E,0),acc,XLOOKUP($D195,'Move Editor'!$B:$B,'Move Editor'!$F:$F,100),atk,IF(cat="Physical",FLOOR((FLOOR(((2*XLOOKUP(XLOOKUP($Q195,'Threshold Summary'!$Y:$Y,'Threshold Summary'!$K:$K,""),'Pokemon Editor'!$A:$A,'Pokemon Editor'!$F:$F,0)+31+FLOOR(XLOOKUP($Q195,'Threshold Summary'!$Y:$Y,'Threshold Summary'!$P:$P,"")/4))*XLOOKUP($Q195,'Threshold Summary'!$Y:$Y,'Threshold Summary'!$L:$L,""))/100)+5)*XLOOKUP(XLOOKUP($Q195,'Threshold Summary'!$Y:$Y,'Threshold Summary'!$M:$M,""),'Nature Editor'!$A:$A,'Nature Editor'!$B:$B,1)),FLOOR((FLOOR(((2*XLOOKUP(XLOOKUP($Q195,'Threshold Summary'!$Y:$Y,'Threshold Summary'!$K:$K,""),'Pokemon Editor'!$A:$A,'Pokemon Editor'!$H:$H,0)+31+FLOOR(XLOOKUP($Q195,'Threshold Summary'!$Y:$Y,'Threshold Summary'!$R:$R,"")/4))*XLOOKUP($Q195,'Threshold Summary'!$Y:$Y,'Threshold Summary'!$L:$L,""))/100)+5)*XLOOKUP(XLOOKUP($Q195,'Threshold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Editor'!$E:$E,1))),stab,IF(OR(mtype=XLOOKUP(XLOOKUP($Q195,'Threshold Summary'!$Y:$Y,'Threshold Summary'!$K:$K,""),'Pokemon Editor'!$A:$A,'Pokemon Editor'!$C:$C,""),mtype=XLOOKUP(XLOOKUP($Q195,'Threshold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Chart'!$B$1:$S$1,0)))),base,IF(OR(cat="Status",pow=0),0,FLOOR(FLOOR(FLOOR((2*XLOOKUP($Q195,'Threshold Summary'!$Y:$Y,'Threshold Summary'!$L:$L,"")/5+2)*pow*atk/def)/50)+2)),modifier,stab*eff,FLOOR(base*modifier)),0)</f>
        <v/>
      </c>
      <c r="L195" s="3">
        <f>IFERROR(LET(mtype,XLOOKUP($D195,'Move Editor'!$B:$B,'Move Editor'!$C:$C,""),cat,XLOOKUP($D195,'Move Editor'!$B:$B,'Move Editor'!$D:$D,""),pow,XLOOKUP($D195,'Move Editor'!$B:$B,'Move Editor'!$E:$E,0),acc,XLOOKUP($D195,'Move Editor'!$B:$B,'Move Editor'!$F:$F,100),atk,IF(cat="Physical",FLOOR((FLOOR(((2*XLOOKUP(XLOOKUP($Q195,'Threshold Summary'!$Y:$Y,'Threshold Summary'!$K:$K,""),'Pokemon Editor'!$A:$A,'Pokemon Editor'!$F:$F,0)+31+FLOOR(XLOOKUP($Q195,'Threshold Summary'!$Y:$Y,'Threshold Summary'!$P:$P,"")/4))*XLOOKUP($Q195,'Threshold Summary'!$Y:$Y,'Threshold Summary'!$L:$L,""))/100)+5)*XLOOKUP(XLOOKUP($Q195,'Threshold Summary'!$Y:$Y,'Threshold Summary'!$M:$M,""),'Nature Editor'!$A:$A,'Nature Editor'!$B:$B,1)),FLOOR((FLOOR(((2*XLOOKUP(XLOOKUP($Q195,'Threshold Summary'!$Y:$Y,'Threshold Summary'!$K:$K,""),'Pokemon Editor'!$A:$A,'Pokemon Editor'!$H:$H,0)+31+FLOOR(XLOOKUP($Q195,'Threshold Summary'!$Y:$Y,'Threshold Summary'!$R:$R,"")/4))*XLOOKUP($Q195,'Threshold Summary'!$Y:$Y,'Threshold Summary'!$L:$L,""))/100)+5)*XLOOKUP(XLOOKUP($Q195,'Threshold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Editor'!$E:$E,1))),stab,IF(OR(mtype=XLOOKUP(XLOOKUP($Q195,'Threshold Summary'!$Y:$Y,'Threshold Summary'!$K:$K,""),'Pokemon Editor'!$A:$A,'Pokemon Editor'!$C:$C,""),mtype=XLOOKUP(XLOOKUP($Q195,'Threshold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Chart'!$B$1:$S$1,0)))),base,IF(OR(cat="Status",pow=0),0,FLOOR(FLOOR(FLOOR((2*XLOOKUP($Q195,'Threshold Summary'!$Y:$Y,'Threshold Summary'!$L:$L,"")/5+2)*pow*atk/def)/50)+2)),modifier,stab*eff,AVERAGE(ARRAYFORMULA(FLOOR(base*modifier*SEQUENCE(16,1,85,1)/100)))),0)</f>
        <v/>
      </c>
      <c r="M195" s="3">
        <f>IFERROR(LET(mtype,XLOOKUP($D195,'Move Editor'!$B:$B,'Move Editor'!$C:$C,""),cat,XLOOKUP($D195,'Move Editor'!$B:$B,'Move Editor'!$D:$D,""),pow,XLOOKUP($D195,'Move Editor'!$B:$B,'Move Editor'!$E:$E,0),acc,XLOOKUP($D195,'Move Editor'!$B:$B,'Move Editor'!$F:$F,100),atk,IF(cat="Physical",FLOOR((FLOOR(((2*XLOOKUP(XLOOKUP($Q195,'Threshold Summary'!$Y:$Y,'Threshold Summary'!$K:$K,""),'Pokemon Editor'!$A:$A,'Pokemon Editor'!$F:$F,0)+31+FLOOR(XLOOKUP($Q195,'Threshold Summary'!$Y:$Y,'Threshold Summary'!$P:$P,"")/4))*XLOOKUP($Q195,'Threshold Summary'!$Y:$Y,'Threshold Summary'!$L:$L,""))/100)+5)*XLOOKUP(XLOOKUP($Q195,'Threshold Summary'!$Y:$Y,'Threshold Summary'!$M:$M,""),'Nature Editor'!$A:$A,'Nature Editor'!$B:$B,1)),FLOOR((FLOOR(((2*XLOOKUP(XLOOKUP($Q195,'Threshold Summary'!$Y:$Y,'Threshold Summary'!$K:$K,""),'Pokemon Editor'!$A:$A,'Pokemon Editor'!$H:$H,0)+31+FLOOR(XLOOKUP($Q195,'Threshold Summary'!$Y:$Y,'Threshold Summary'!$R:$R,"")/4))*XLOOKUP($Q195,'Threshold Summary'!$Y:$Y,'Threshold Summary'!$L:$L,""))/100)+5)*XLOOKUP(XLOOKUP($Q195,'Threshold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Editor'!$E:$E,1))),stab,IF(OR(mtype=XLOOKUP(XLOOKUP($Q195,'Threshold Summary'!$Y:$Y,'Threshold Summary'!$K:$K,""),'Pokemon Editor'!$A:$A,'Pokemon Editor'!$C:$C,""),mtype=XLOOKUP(XLOOKUP($Q195,'Threshold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Chart'!$B$1:$S$1,0)))),base,IF(OR(cat="Status",pow=0),0,FLOOR(FLOOR(FLOOR((2*XLOOKUP($Q195,'Threshold Summary'!$Y:$Y,'Threshold Summary'!$L:$L,"")/5+2)*pow*atk/def)/50)+2)),modifier,stab*eff,AVERAGE(ARRAYFORMULA(FLOOR(base*modifier*SEQUENCE(16,1,85,1)/100)))*MIN(1,acc/100)),0)</f>
        <v/>
      </c>
      <c r="N195" s="4">
        <f>IFERROR(LET(mtype,XLOOKUP($D195,'Move Editor'!$B:$B,'Move Editor'!$C:$C,""),cat,XLOOKUP($D195,'Move Editor'!$B:$B,'Move Editor'!$D:$D,""),pow,XLOOKUP($D195,'Move Editor'!$B:$B,'Move Editor'!$E:$E,0),acc,XLOOKUP($D195,'Move Editor'!$B:$B,'Move Editor'!$F:$F,100),atk,IF(cat="Physical",FLOOR((FLOOR(((2*XLOOKUP(XLOOKUP($Q195,'Threshold Summary'!$Y:$Y,'Threshold Summary'!$K:$K,""),'Pokemon Editor'!$A:$A,'Pokemon Editor'!$F:$F,0)+31+FLOOR(XLOOKUP($Q195,'Threshold Summary'!$Y:$Y,'Threshold Summary'!$P:$P,"")/4))*XLOOKUP($Q195,'Threshold Summary'!$Y:$Y,'Threshold Summary'!$L:$L,""))/100)+5)*XLOOKUP(XLOOKUP($Q195,'Threshold Summary'!$Y:$Y,'Threshold Summary'!$M:$M,""),'Nature Editor'!$A:$A,'Nature Editor'!$B:$B,1)),FLOOR((FLOOR(((2*XLOOKUP(XLOOKUP($Q195,'Threshold Summary'!$Y:$Y,'Threshold Summary'!$K:$K,""),'Pokemon Editor'!$A:$A,'Pokemon Editor'!$H:$H,0)+31+FLOOR(XLOOKUP($Q195,'Threshold Summary'!$Y:$Y,'Threshold Summary'!$R:$R,"")/4))*XLOOKUP($Q195,'Threshold Summary'!$Y:$Y,'Threshold Summary'!$L:$L,""))/100)+5)*XLOOKUP(XLOOKUP($Q195,'Threshold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Editor'!$E:$E,1))),stab,IF(OR(mtype=XLOOKUP(XLOOKUP($Q195,'Threshold Summary'!$Y:$Y,'Threshold Summary'!$K:$K,""),'Pokemon Editor'!$A:$A,'Pokemon Editor'!$C:$C,""),mtype=XLOOKUP(XLOOKUP($Q195,'Threshold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Chart'!$B$1:$S$1,0)))),base,IF(OR(cat="Status",pow=0),0,FLOOR(FLOOR(FLOOR((2*XLOOKUP($Q195,'Threshold Summary'!$Y:$Y,'Threshold Summary'!$L:$L,"")/5+2)*pow*atk/def)/50)+2)),modifier,stab*eff,AVERAGE(ARRAYFORMULA(FLOOR(base*modifier*SEQUENCE(16,1,85,1)/100)))/(FLOOR(((2*XLOOKUP('Boss Editor'!$C$4,'Pokemon Editor'!$A:$A,'Pokemon Editor'!$E:$E,0)+31+FLOOR('Boss Editor'!$G$4/4))*'Boss Editor'!$D$4)/100)+'Boss Editor'!$D$4+10)),0)</f>
        <v/>
      </c>
      <c r="O195" s="3">
        <f>IF(N195&gt;=1,"OHKO",IF(N195&gt;=0.5,"2HKO",IF(N195&gt;=0.333,"3HKO",IF(N195&gt;=0.25,"4HKO","5HKO+"))))</f>
        <v/>
      </c>
      <c r="P195" s="3" t="inlineStr">
        <is>
          <t>Live from editable databases</t>
        </is>
      </c>
      <c r="Q195" s="3" t="inlineStr">
        <is>
          <t>SPECIES_TAILLOW</t>
        </is>
      </c>
      <c r="R195" s="3" t="n">
        <v>2</v>
      </c>
    </row>
    <row r="196">
      <c r="A196" s="3">
        <f>XLOOKUP($Q196,'Threshold Summary'!$Y:$Y,'Threshold Summary'!$A:$A,"")</f>
        <v/>
      </c>
      <c r="B196" s="3">
        <f>XLOOKUP($Q196,'Threshold Summary'!$Y:$Y,'Threshold Summary'!$M:$M,"")</f>
        <v/>
      </c>
      <c r="C196" s="3">
        <f>XLOOKUP($Q196,'Threshold Summary'!$Y:$Y,'Threshold Summary'!$N:$N,"")</f>
        <v/>
      </c>
      <c r="D196" s="3">
        <f>IFERROR(INDEX(FILTER('Learnset Editor'!$D$2:$D,'Learnset Editor'!$A$2:$A=XLOOKUP($Q196,'Threshold Summary'!$Y:$Y,'Threshold Summary'!$K:$K,""),'Learnset Editor'!$C$2:$C&lt;=XLOOKUP($Q196,'Threshold Summary'!$Y:$Y,'Threshold Summary'!$L:$L,"")),$R196),"")</f>
        <v/>
      </c>
      <c r="E196" s="3">
        <f>XLOOKUP(D196,'Move Editor'!$B:$B,'Move Editor'!$C:$C,"")</f>
        <v/>
      </c>
      <c r="F196" s="3">
        <f>XLOOKUP(D196,'Move Editor'!$B:$B,'Move Editor'!$D:$D,"")</f>
        <v/>
      </c>
      <c r="G196" s="3">
        <f>XLOOKUP(D196,'Move Editor'!$B:$B,'Move Editor'!$E:$E,0)</f>
        <v/>
      </c>
      <c r="H196" s="3">
        <f>XLOOKUP(D196,'Move Editor'!$B:$B,'Move Editor'!$F:$F,0)</f>
        <v/>
      </c>
      <c r="I196" s="3">
        <f>(INDEX('Type Chart'!$B:$S,MATCH(E196,'Type Chart'!$A:$A,0),MATCH(XLOOKUP('Boss Editor'!$C$4,'Pokemon Editor'!$A:$A,'Pokemon Editor'!$C:$C,""),'Type Chart'!$B$1:$S$1,0))*IF(XLOOKUP('Boss Editor'!$C$4,'Pokemon Editor'!$A:$A,'Pokemon Editor'!$D:$D,"")="",1,INDEX('Type Chart'!$B:$S,MATCH(E196,'Type Chart'!$A:$A,0),MATCH(XLOOKUP('Boss Editor'!$C$4,'Pokemon Editor'!$A:$A,'Pokemon Editor'!$D:$D,""),'Type Chart'!$B$1:$S$1,0))))</f>
        <v/>
      </c>
      <c r="J196" s="3">
        <f>IFERROR(LET(mtype,XLOOKUP($D196,'Move Editor'!$B:$B,'Move Editor'!$C:$C,""),cat,XLOOKUP($D196,'Move Editor'!$B:$B,'Move Editor'!$D:$D,""),pow,XLOOKUP($D196,'Move Editor'!$B:$B,'Move Editor'!$E:$E,0),acc,XLOOKUP($D196,'Move Editor'!$B:$B,'Move Editor'!$F:$F,100),atk,IF(cat="Physical",FLOOR((FLOOR(((2*XLOOKUP(XLOOKUP($Q196,'Threshold Summary'!$Y:$Y,'Threshold Summary'!$K:$K,""),'Pokemon Editor'!$A:$A,'Pokemon Editor'!$F:$F,0)+31+FLOOR(XLOOKUP($Q196,'Threshold Summary'!$Y:$Y,'Threshold Summary'!$P:$P,"")/4))*XLOOKUP($Q196,'Threshold Summary'!$Y:$Y,'Threshold Summary'!$L:$L,""))/100)+5)*XLOOKUP(XLOOKUP($Q196,'Threshold Summary'!$Y:$Y,'Threshold Summary'!$M:$M,""),'Nature Editor'!$A:$A,'Nature Editor'!$B:$B,1)),FLOOR((FLOOR(((2*XLOOKUP(XLOOKUP($Q196,'Threshold Summary'!$Y:$Y,'Threshold Summary'!$K:$K,""),'Pokemon Editor'!$A:$A,'Pokemon Editor'!$H:$H,0)+31+FLOOR(XLOOKUP($Q196,'Threshold Summary'!$Y:$Y,'Threshold Summary'!$R:$R,"")/4))*XLOOKUP($Q196,'Threshold Summary'!$Y:$Y,'Threshold Summary'!$L:$L,""))/100)+5)*XLOOKUP(XLOOKUP($Q196,'Threshold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Editor'!$E:$E,1))),stab,IF(OR(mtype=XLOOKUP(XLOOKUP($Q196,'Threshold Summary'!$Y:$Y,'Threshold Summary'!$K:$K,""),'Pokemon Editor'!$A:$A,'Pokemon Editor'!$C:$C,""),mtype=XLOOKUP(XLOOKUP($Q196,'Threshold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Chart'!$B$1:$S$1,0)))),base,IF(OR(cat="Status",pow=0),0,FLOOR(FLOOR(FLOOR((2*XLOOKUP($Q196,'Threshold Summary'!$Y:$Y,'Threshold Summary'!$L:$L,"")/5+2)*pow*atk/def)/50)+2)),modifier,stab*eff,FLOOR(base*modifier*0.85)),0)</f>
        <v/>
      </c>
      <c r="K196" s="3">
        <f>IFERROR(LET(mtype,XLOOKUP($D196,'Move Editor'!$B:$B,'Move Editor'!$C:$C,""),cat,XLOOKUP($D196,'Move Editor'!$B:$B,'Move Editor'!$D:$D,""),pow,XLOOKUP($D196,'Move Editor'!$B:$B,'Move Editor'!$E:$E,0),acc,XLOOKUP($D196,'Move Editor'!$B:$B,'Move Editor'!$F:$F,100),atk,IF(cat="Physical",FLOOR((FLOOR(((2*XLOOKUP(XLOOKUP($Q196,'Threshold Summary'!$Y:$Y,'Threshold Summary'!$K:$K,""),'Pokemon Editor'!$A:$A,'Pokemon Editor'!$F:$F,0)+31+FLOOR(XLOOKUP($Q196,'Threshold Summary'!$Y:$Y,'Threshold Summary'!$P:$P,"")/4))*XLOOKUP($Q196,'Threshold Summary'!$Y:$Y,'Threshold Summary'!$L:$L,""))/100)+5)*XLOOKUP(XLOOKUP($Q196,'Threshold Summary'!$Y:$Y,'Threshold Summary'!$M:$M,""),'Nature Editor'!$A:$A,'Nature Editor'!$B:$B,1)),FLOOR((FLOOR(((2*XLOOKUP(XLOOKUP($Q196,'Threshold Summary'!$Y:$Y,'Threshold Summary'!$K:$K,""),'Pokemon Editor'!$A:$A,'Pokemon Editor'!$H:$H,0)+31+FLOOR(XLOOKUP($Q196,'Threshold Summary'!$Y:$Y,'Threshold Summary'!$R:$R,"")/4))*XLOOKUP($Q196,'Threshold Summary'!$Y:$Y,'Threshold Summary'!$L:$L,""))/100)+5)*XLOOKUP(XLOOKUP($Q196,'Threshold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Editor'!$E:$E,1))),stab,IF(OR(mtype=XLOOKUP(XLOOKUP($Q196,'Threshold Summary'!$Y:$Y,'Threshold Summary'!$K:$K,""),'Pokemon Editor'!$A:$A,'Pokemon Editor'!$C:$C,""),mtype=XLOOKUP(XLOOKUP($Q196,'Threshold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Chart'!$B$1:$S$1,0)))),base,IF(OR(cat="Status",pow=0),0,FLOOR(FLOOR(FLOOR((2*XLOOKUP($Q196,'Threshold Summary'!$Y:$Y,'Threshold Summary'!$L:$L,"")/5+2)*pow*atk/def)/50)+2)),modifier,stab*eff,FLOOR(base*modifier)),0)</f>
        <v/>
      </c>
      <c r="L196" s="3">
        <f>IFERROR(LET(mtype,XLOOKUP($D196,'Move Editor'!$B:$B,'Move Editor'!$C:$C,""),cat,XLOOKUP($D196,'Move Editor'!$B:$B,'Move Editor'!$D:$D,""),pow,XLOOKUP($D196,'Move Editor'!$B:$B,'Move Editor'!$E:$E,0),acc,XLOOKUP($D196,'Move Editor'!$B:$B,'Move Editor'!$F:$F,100),atk,IF(cat="Physical",FLOOR((FLOOR(((2*XLOOKUP(XLOOKUP($Q196,'Threshold Summary'!$Y:$Y,'Threshold Summary'!$K:$K,""),'Pokemon Editor'!$A:$A,'Pokemon Editor'!$F:$F,0)+31+FLOOR(XLOOKUP($Q196,'Threshold Summary'!$Y:$Y,'Threshold Summary'!$P:$P,"")/4))*XLOOKUP($Q196,'Threshold Summary'!$Y:$Y,'Threshold Summary'!$L:$L,""))/100)+5)*XLOOKUP(XLOOKUP($Q196,'Threshold Summary'!$Y:$Y,'Threshold Summary'!$M:$M,""),'Nature Editor'!$A:$A,'Nature Editor'!$B:$B,1)),FLOOR((FLOOR(((2*XLOOKUP(XLOOKUP($Q196,'Threshold Summary'!$Y:$Y,'Threshold Summary'!$K:$K,""),'Pokemon Editor'!$A:$A,'Pokemon Editor'!$H:$H,0)+31+FLOOR(XLOOKUP($Q196,'Threshold Summary'!$Y:$Y,'Threshold Summary'!$R:$R,"")/4))*XLOOKUP($Q196,'Threshold Summary'!$Y:$Y,'Threshold Summary'!$L:$L,""))/100)+5)*XLOOKUP(XLOOKUP($Q196,'Threshold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Editor'!$E:$E,1))),stab,IF(OR(mtype=XLOOKUP(XLOOKUP($Q196,'Threshold Summary'!$Y:$Y,'Threshold Summary'!$K:$K,""),'Pokemon Editor'!$A:$A,'Pokemon Editor'!$C:$C,""),mtype=XLOOKUP(XLOOKUP($Q196,'Threshold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Chart'!$B$1:$S$1,0)))),base,IF(OR(cat="Status",pow=0),0,FLOOR(FLOOR(FLOOR((2*XLOOKUP($Q196,'Threshold Summary'!$Y:$Y,'Threshold Summary'!$L:$L,"")/5+2)*pow*atk/def)/50)+2)),modifier,stab*eff,AVERAGE(ARRAYFORMULA(FLOOR(base*modifier*SEQUENCE(16,1,85,1)/100)))),0)</f>
        <v/>
      </c>
      <c r="M196" s="3">
        <f>IFERROR(LET(mtype,XLOOKUP($D196,'Move Editor'!$B:$B,'Move Editor'!$C:$C,""),cat,XLOOKUP($D196,'Move Editor'!$B:$B,'Move Editor'!$D:$D,""),pow,XLOOKUP($D196,'Move Editor'!$B:$B,'Move Editor'!$E:$E,0),acc,XLOOKUP($D196,'Move Editor'!$B:$B,'Move Editor'!$F:$F,100),atk,IF(cat="Physical",FLOOR((FLOOR(((2*XLOOKUP(XLOOKUP($Q196,'Threshold Summary'!$Y:$Y,'Threshold Summary'!$K:$K,""),'Pokemon Editor'!$A:$A,'Pokemon Editor'!$F:$F,0)+31+FLOOR(XLOOKUP($Q196,'Threshold Summary'!$Y:$Y,'Threshold Summary'!$P:$P,"")/4))*XLOOKUP($Q196,'Threshold Summary'!$Y:$Y,'Threshold Summary'!$L:$L,""))/100)+5)*XLOOKUP(XLOOKUP($Q196,'Threshold Summary'!$Y:$Y,'Threshold Summary'!$M:$M,""),'Nature Editor'!$A:$A,'Nature Editor'!$B:$B,1)),FLOOR((FLOOR(((2*XLOOKUP(XLOOKUP($Q196,'Threshold Summary'!$Y:$Y,'Threshold Summary'!$K:$K,""),'Pokemon Editor'!$A:$A,'Pokemon Editor'!$H:$H,0)+31+FLOOR(XLOOKUP($Q196,'Threshold Summary'!$Y:$Y,'Threshold Summary'!$R:$R,"")/4))*XLOOKUP($Q196,'Threshold Summary'!$Y:$Y,'Threshold Summary'!$L:$L,""))/100)+5)*XLOOKUP(XLOOKUP($Q196,'Threshold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Editor'!$E:$E,1))),stab,IF(OR(mtype=XLOOKUP(XLOOKUP($Q196,'Threshold Summary'!$Y:$Y,'Threshold Summary'!$K:$K,""),'Pokemon Editor'!$A:$A,'Pokemon Editor'!$C:$C,""),mtype=XLOOKUP(XLOOKUP($Q196,'Threshold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Chart'!$B$1:$S$1,0)))),base,IF(OR(cat="Status",pow=0),0,FLOOR(FLOOR(FLOOR((2*XLOOKUP($Q196,'Threshold Summary'!$Y:$Y,'Threshold Summary'!$L:$L,"")/5+2)*pow*atk/def)/50)+2)),modifier,stab*eff,AVERAGE(ARRAYFORMULA(FLOOR(base*modifier*SEQUENCE(16,1,85,1)/100)))*MIN(1,acc/100)),0)</f>
        <v/>
      </c>
      <c r="N196" s="4">
        <f>IFERROR(LET(mtype,XLOOKUP($D196,'Move Editor'!$B:$B,'Move Editor'!$C:$C,""),cat,XLOOKUP($D196,'Move Editor'!$B:$B,'Move Editor'!$D:$D,""),pow,XLOOKUP($D196,'Move Editor'!$B:$B,'Move Editor'!$E:$E,0),acc,XLOOKUP($D196,'Move Editor'!$B:$B,'Move Editor'!$F:$F,100),atk,IF(cat="Physical",FLOOR((FLOOR(((2*XLOOKUP(XLOOKUP($Q196,'Threshold Summary'!$Y:$Y,'Threshold Summary'!$K:$K,""),'Pokemon Editor'!$A:$A,'Pokemon Editor'!$F:$F,0)+31+FLOOR(XLOOKUP($Q196,'Threshold Summary'!$Y:$Y,'Threshold Summary'!$P:$P,"")/4))*XLOOKUP($Q196,'Threshold Summary'!$Y:$Y,'Threshold Summary'!$L:$L,""))/100)+5)*XLOOKUP(XLOOKUP($Q196,'Threshold Summary'!$Y:$Y,'Threshold Summary'!$M:$M,""),'Nature Editor'!$A:$A,'Nature Editor'!$B:$B,1)),FLOOR((FLOOR(((2*XLOOKUP(XLOOKUP($Q196,'Threshold Summary'!$Y:$Y,'Threshold Summary'!$K:$K,""),'Pokemon Editor'!$A:$A,'Pokemon Editor'!$H:$H,0)+31+FLOOR(XLOOKUP($Q196,'Threshold Summary'!$Y:$Y,'Threshold Summary'!$R:$R,"")/4))*XLOOKUP($Q196,'Threshold Summary'!$Y:$Y,'Threshold Summary'!$L:$L,""))/100)+5)*XLOOKUP(XLOOKUP($Q196,'Threshold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Editor'!$E:$E,1))),stab,IF(OR(mtype=XLOOKUP(XLOOKUP($Q196,'Threshold Summary'!$Y:$Y,'Threshold Summary'!$K:$K,""),'Pokemon Editor'!$A:$A,'Pokemon Editor'!$C:$C,""),mtype=XLOOKUP(XLOOKUP($Q196,'Threshold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Chart'!$B$1:$S$1,0)))),base,IF(OR(cat="Status",pow=0),0,FLOOR(FLOOR(FLOOR((2*XLOOKUP($Q196,'Threshold Summary'!$Y:$Y,'Threshold Summary'!$L:$L,"")/5+2)*pow*atk/def)/50)+2)),modifier,stab*eff,AVERAGE(ARRAYFORMULA(FLOOR(base*modifier*SEQUENCE(16,1,85,1)/100)))/(FLOOR(((2*XLOOKUP('Boss Editor'!$C$4,'Pokemon Editor'!$A:$A,'Pokemon Editor'!$E:$E,0)+31+FLOOR('Boss Editor'!$G$4/4))*'Boss Editor'!$D$4)/100)+'Boss Editor'!$D$4+10)),0)</f>
        <v/>
      </c>
      <c r="O196" s="3">
        <f>IF(N196&gt;=1,"OHKO",IF(N196&gt;=0.5,"2HKO",IF(N196&gt;=0.333,"3HKO",IF(N196&gt;=0.25,"4HKO","5HKO+"))))</f>
        <v/>
      </c>
      <c r="P196" s="3" t="inlineStr">
        <is>
          <t>Live from editable databases</t>
        </is>
      </c>
      <c r="Q196" s="3" t="inlineStr">
        <is>
          <t>SPECIES_TAILLOW</t>
        </is>
      </c>
      <c r="R196" s="3" t="n">
        <v>3</v>
      </c>
    </row>
    <row r="197">
      <c r="A197" s="3">
        <f>XLOOKUP($Q197,'Threshold Summary'!$Y:$Y,'Threshold Summary'!$A:$A,"")</f>
        <v/>
      </c>
      <c r="B197" s="3">
        <f>XLOOKUP($Q197,'Threshold Summary'!$Y:$Y,'Threshold Summary'!$M:$M,"")</f>
        <v/>
      </c>
      <c r="C197" s="3">
        <f>XLOOKUP($Q197,'Threshold Summary'!$Y:$Y,'Threshold Summary'!$N:$N,"")</f>
        <v/>
      </c>
      <c r="D197" s="3">
        <f>IFERROR(INDEX(FILTER('Learnset Editor'!$D$2:$D,'Learnset Editor'!$A$2:$A=XLOOKUP($Q197,'Threshold Summary'!$Y:$Y,'Threshold Summary'!$K:$K,""),'Learnset Editor'!$C$2:$C&lt;=XLOOKUP($Q197,'Threshold Summary'!$Y:$Y,'Threshold Summary'!$L:$L,"")),$R197),"")</f>
        <v/>
      </c>
      <c r="E197" s="3">
        <f>XLOOKUP(D197,'Move Editor'!$B:$B,'Move Editor'!$C:$C,"")</f>
        <v/>
      </c>
      <c r="F197" s="3">
        <f>XLOOKUP(D197,'Move Editor'!$B:$B,'Move Editor'!$D:$D,"")</f>
        <v/>
      </c>
      <c r="G197" s="3">
        <f>XLOOKUP(D197,'Move Editor'!$B:$B,'Move Editor'!$E:$E,0)</f>
        <v/>
      </c>
      <c r="H197" s="3">
        <f>XLOOKUP(D197,'Move Editor'!$B:$B,'Move Editor'!$F:$F,0)</f>
        <v/>
      </c>
      <c r="I197" s="3">
        <f>(INDEX('Type Chart'!$B:$S,MATCH(E197,'Type Chart'!$A:$A,0),MATCH(XLOOKUP('Boss Editor'!$C$4,'Pokemon Editor'!$A:$A,'Pokemon Editor'!$C:$C,""),'Type Chart'!$B$1:$S$1,0))*IF(XLOOKUP('Boss Editor'!$C$4,'Pokemon Editor'!$A:$A,'Pokemon Editor'!$D:$D,"")="",1,INDEX('Type Chart'!$B:$S,MATCH(E197,'Type Chart'!$A:$A,0),MATCH(XLOOKUP('Boss Editor'!$C$4,'Pokemon Editor'!$A:$A,'Pokemon Editor'!$D:$D,""),'Type Chart'!$B$1:$S$1,0))))</f>
        <v/>
      </c>
      <c r="J197" s="3">
        <f>IFERROR(LET(mtype,XLOOKUP($D197,'Move Editor'!$B:$B,'Move Editor'!$C:$C,""),cat,XLOOKUP($D197,'Move Editor'!$B:$B,'Move Editor'!$D:$D,""),pow,XLOOKUP($D197,'Move Editor'!$B:$B,'Move Editor'!$E:$E,0),acc,XLOOKUP($D197,'Move Editor'!$B:$B,'Move Editor'!$F:$F,100),atk,IF(cat="Physical",FLOOR((FLOOR(((2*XLOOKUP(XLOOKUP($Q197,'Threshold Summary'!$Y:$Y,'Threshold Summary'!$K:$K,""),'Pokemon Editor'!$A:$A,'Pokemon Editor'!$F:$F,0)+31+FLOOR(XLOOKUP($Q197,'Threshold Summary'!$Y:$Y,'Threshold Summary'!$P:$P,"")/4))*XLOOKUP($Q197,'Threshold Summary'!$Y:$Y,'Threshold Summary'!$L:$L,""))/100)+5)*XLOOKUP(XLOOKUP($Q197,'Threshold Summary'!$Y:$Y,'Threshold Summary'!$M:$M,""),'Nature Editor'!$A:$A,'Nature Editor'!$B:$B,1)),FLOOR((FLOOR(((2*XLOOKUP(XLOOKUP($Q197,'Threshold Summary'!$Y:$Y,'Threshold Summary'!$K:$K,""),'Pokemon Editor'!$A:$A,'Pokemon Editor'!$H:$H,0)+31+FLOOR(XLOOKUP($Q197,'Threshold Summary'!$Y:$Y,'Threshold Summary'!$R:$R,"")/4))*XLOOKUP($Q197,'Threshold Summary'!$Y:$Y,'Threshold Summary'!$L:$L,""))/100)+5)*XLOOKUP(XLOOKUP($Q197,'Threshold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Editor'!$E:$E,1))),stab,IF(OR(mtype=XLOOKUP(XLOOKUP($Q197,'Threshold Summary'!$Y:$Y,'Threshold Summary'!$K:$K,""),'Pokemon Editor'!$A:$A,'Pokemon Editor'!$C:$C,""),mtype=XLOOKUP(XLOOKUP($Q197,'Threshold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Chart'!$B$1:$S$1,0)))),base,IF(OR(cat="Status",pow=0),0,FLOOR(FLOOR(FLOOR((2*XLOOKUP($Q197,'Threshold Summary'!$Y:$Y,'Threshold Summary'!$L:$L,"")/5+2)*pow*atk/def)/50)+2)),modifier,stab*eff,FLOOR(base*modifier*0.85)),0)</f>
        <v/>
      </c>
      <c r="K197" s="3">
        <f>IFERROR(LET(mtype,XLOOKUP($D197,'Move Editor'!$B:$B,'Move Editor'!$C:$C,""),cat,XLOOKUP($D197,'Move Editor'!$B:$B,'Move Editor'!$D:$D,""),pow,XLOOKUP($D197,'Move Editor'!$B:$B,'Move Editor'!$E:$E,0),acc,XLOOKUP($D197,'Move Editor'!$B:$B,'Move Editor'!$F:$F,100),atk,IF(cat="Physical",FLOOR((FLOOR(((2*XLOOKUP(XLOOKUP($Q197,'Threshold Summary'!$Y:$Y,'Threshold Summary'!$K:$K,""),'Pokemon Editor'!$A:$A,'Pokemon Editor'!$F:$F,0)+31+FLOOR(XLOOKUP($Q197,'Threshold Summary'!$Y:$Y,'Threshold Summary'!$P:$P,"")/4))*XLOOKUP($Q197,'Threshold Summary'!$Y:$Y,'Threshold Summary'!$L:$L,""))/100)+5)*XLOOKUP(XLOOKUP($Q197,'Threshold Summary'!$Y:$Y,'Threshold Summary'!$M:$M,""),'Nature Editor'!$A:$A,'Nature Editor'!$B:$B,1)),FLOOR((FLOOR(((2*XLOOKUP(XLOOKUP($Q197,'Threshold Summary'!$Y:$Y,'Threshold Summary'!$K:$K,""),'Pokemon Editor'!$A:$A,'Pokemon Editor'!$H:$H,0)+31+FLOOR(XLOOKUP($Q197,'Threshold Summary'!$Y:$Y,'Threshold Summary'!$R:$R,"")/4))*XLOOKUP($Q197,'Threshold Summary'!$Y:$Y,'Threshold Summary'!$L:$L,""))/100)+5)*XLOOKUP(XLOOKUP($Q197,'Threshold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Editor'!$E:$E,1))),stab,IF(OR(mtype=XLOOKUP(XLOOKUP($Q197,'Threshold Summary'!$Y:$Y,'Threshold Summary'!$K:$K,""),'Pokemon Editor'!$A:$A,'Pokemon Editor'!$C:$C,""),mtype=XLOOKUP(XLOOKUP($Q197,'Threshold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Chart'!$B$1:$S$1,0)))),base,IF(OR(cat="Status",pow=0),0,FLOOR(FLOOR(FLOOR((2*XLOOKUP($Q197,'Threshold Summary'!$Y:$Y,'Threshold Summary'!$L:$L,"")/5+2)*pow*atk/def)/50)+2)),modifier,stab*eff,FLOOR(base*modifier)),0)</f>
        <v/>
      </c>
      <c r="L197" s="3">
        <f>IFERROR(LET(mtype,XLOOKUP($D197,'Move Editor'!$B:$B,'Move Editor'!$C:$C,""),cat,XLOOKUP($D197,'Move Editor'!$B:$B,'Move Editor'!$D:$D,""),pow,XLOOKUP($D197,'Move Editor'!$B:$B,'Move Editor'!$E:$E,0),acc,XLOOKUP($D197,'Move Editor'!$B:$B,'Move Editor'!$F:$F,100),atk,IF(cat="Physical",FLOOR((FLOOR(((2*XLOOKUP(XLOOKUP($Q197,'Threshold Summary'!$Y:$Y,'Threshold Summary'!$K:$K,""),'Pokemon Editor'!$A:$A,'Pokemon Editor'!$F:$F,0)+31+FLOOR(XLOOKUP($Q197,'Threshold Summary'!$Y:$Y,'Threshold Summary'!$P:$P,"")/4))*XLOOKUP($Q197,'Threshold Summary'!$Y:$Y,'Threshold Summary'!$L:$L,""))/100)+5)*XLOOKUP(XLOOKUP($Q197,'Threshold Summary'!$Y:$Y,'Threshold Summary'!$M:$M,""),'Nature Editor'!$A:$A,'Nature Editor'!$B:$B,1)),FLOOR((FLOOR(((2*XLOOKUP(XLOOKUP($Q197,'Threshold Summary'!$Y:$Y,'Threshold Summary'!$K:$K,""),'Pokemon Editor'!$A:$A,'Pokemon Editor'!$H:$H,0)+31+FLOOR(XLOOKUP($Q197,'Threshold Summary'!$Y:$Y,'Threshold Summary'!$R:$R,"")/4))*XLOOKUP($Q197,'Threshold Summary'!$Y:$Y,'Threshold Summary'!$L:$L,""))/100)+5)*XLOOKUP(XLOOKUP($Q197,'Threshold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Editor'!$E:$E,1))),stab,IF(OR(mtype=XLOOKUP(XLOOKUP($Q197,'Threshold Summary'!$Y:$Y,'Threshold Summary'!$K:$K,""),'Pokemon Editor'!$A:$A,'Pokemon Editor'!$C:$C,""),mtype=XLOOKUP(XLOOKUP($Q197,'Threshold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Chart'!$B$1:$S$1,0)))),base,IF(OR(cat="Status",pow=0),0,FLOOR(FLOOR(FLOOR((2*XLOOKUP($Q197,'Threshold Summary'!$Y:$Y,'Threshold Summary'!$L:$L,"")/5+2)*pow*atk/def)/50)+2)),modifier,stab*eff,AVERAGE(ARRAYFORMULA(FLOOR(base*modifier*SEQUENCE(16,1,85,1)/100)))),0)</f>
        <v/>
      </c>
      <c r="M197" s="3">
        <f>IFERROR(LET(mtype,XLOOKUP($D197,'Move Editor'!$B:$B,'Move Editor'!$C:$C,""),cat,XLOOKUP($D197,'Move Editor'!$B:$B,'Move Editor'!$D:$D,""),pow,XLOOKUP($D197,'Move Editor'!$B:$B,'Move Editor'!$E:$E,0),acc,XLOOKUP($D197,'Move Editor'!$B:$B,'Move Editor'!$F:$F,100),atk,IF(cat="Physical",FLOOR((FLOOR(((2*XLOOKUP(XLOOKUP($Q197,'Threshold Summary'!$Y:$Y,'Threshold Summary'!$K:$K,""),'Pokemon Editor'!$A:$A,'Pokemon Editor'!$F:$F,0)+31+FLOOR(XLOOKUP($Q197,'Threshold Summary'!$Y:$Y,'Threshold Summary'!$P:$P,"")/4))*XLOOKUP($Q197,'Threshold Summary'!$Y:$Y,'Threshold Summary'!$L:$L,""))/100)+5)*XLOOKUP(XLOOKUP($Q197,'Threshold Summary'!$Y:$Y,'Threshold Summary'!$M:$M,""),'Nature Editor'!$A:$A,'Nature Editor'!$B:$B,1)),FLOOR((FLOOR(((2*XLOOKUP(XLOOKUP($Q197,'Threshold Summary'!$Y:$Y,'Threshold Summary'!$K:$K,""),'Pokemon Editor'!$A:$A,'Pokemon Editor'!$H:$H,0)+31+FLOOR(XLOOKUP($Q197,'Threshold Summary'!$Y:$Y,'Threshold Summary'!$R:$R,"")/4))*XLOOKUP($Q197,'Threshold Summary'!$Y:$Y,'Threshold Summary'!$L:$L,""))/100)+5)*XLOOKUP(XLOOKUP($Q197,'Threshold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Editor'!$E:$E,1))),stab,IF(OR(mtype=XLOOKUP(XLOOKUP($Q197,'Threshold Summary'!$Y:$Y,'Threshold Summary'!$K:$K,""),'Pokemon Editor'!$A:$A,'Pokemon Editor'!$C:$C,""),mtype=XLOOKUP(XLOOKUP($Q197,'Threshold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Chart'!$B$1:$S$1,0)))),base,IF(OR(cat="Status",pow=0),0,FLOOR(FLOOR(FLOOR((2*XLOOKUP($Q197,'Threshold Summary'!$Y:$Y,'Threshold Summary'!$L:$L,"")/5+2)*pow*atk/def)/50)+2)),modifier,stab*eff,AVERAGE(ARRAYFORMULA(FLOOR(base*modifier*SEQUENCE(16,1,85,1)/100)))*MIN(1,acc/100)),0)</f>
        <v/>
      </c>
      <c r="N197" s="4">
        <f>IFERROR(LET(mtype,XLOOKUP($D197,'Move Editor'!$B:$B,'Move Editor'!$C:$C,""),cat,XLOOKUP($D197,'Move Editor'!$B:$B,'Move Editor'!$D:$D,""),pow,XLOOKUP($D197,'Move Editor'!$B:$B,'Move Editor'!$E:$E,0),acc,XLOOKUP($D197,'Move Editor'!$B:$B,'Move Editor'!$F:$F,100),atk,IF(cat="Physical",FLOOR((FLOOR(((2*XLOOKUP(XLOOKUP($Q197,'Threshold Summary'!$Y:$Y,'Threshold Summary'!$K:$K,""),'Pokemon Editor'!$A:$A,'Pokemon Editor'!$F:$F,0)+31+FLOOR(XLOOKUP($Q197,'Threshold Summary'!$Y:$Y,'Threshold Summary'!$P:$P,"")/4))*XLOOKUP($Q197,'Threshold Summary'!$Y:$Y,'Threshold Summary'!$L:$L,""))/100)+5)*XLOOKUP(XLOOKUP($Q197,'Threshold Summary'!$Y:$Y,'Threshold Summary'!$M:$M,""),'Nature Editor'!$A:$A,'Nature Editor'!$B:$B,1)),FLOOR((FLOOR(((2*XLOOKUP(XLOOKUP($Q197,'Threshold Summary'!$Y:$Y,'Threshold Summary'!$K:$K,""),'Pokemon Editor'!$A:$A,'Pokemon Editor'!$H:$H,0)+31+FLOOR(XLOOKUP($Q197,'Threshold Summary'!$Y:$Y,'Threshold Summary'!$R:$R,"")/4))*XLOOKUP($Q197,'Threshold Summary'!$Y:$Y,'Threshold Summary'!$L:$L,""))/100)+5)*XLOOKUP(XLOOKUP($Q197,'Threshold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Editor'!$E:$E,1))),stab,IF(OR(mtype=XLOOKUP(XLOOKUP($Q197,'Threshold Summary'!$Y:$Y,'Threshold Summary'!$K:$K,""),'Pokemon Editor'!$A:$A,'Pokemon Editor'!$C:$C,""),mtype=XLOOKUP(XLOOKUP($Q197,'Threshold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Chart'!$B$1:$S$1,0)))),base,IF(OR(cat="Status",pow=0),0,FLOOR(FLOOR(FLOOR((2*XLOOKUP($Q197,'Threshold Summary'!$Y:$Y,'Threshold Summary'!$L:$L,"")/5+2)*pow*atk/def)/50)+2)),modifier,stab*eff,AVERAGE(ARRAYFORMULA(FLOOR(base*modifier*SEQUENCE(16,1,85,1)/100)))/(FLOOR(((2*XLOOKUP('Boss Editor'!$C$4,'Pokemon Editor'!$A:$A,'Pokemon Editor'!$E:$E,0)+31+FLOOR('Boss Editor'!$G$4/4))*'Boss Editor'!$D$4)/100)+'Boss Editor'!$D$4+10)),0)</f>
        <v/>
      </c>
      <c r="O197" s="3">
        <f>IF(N197&gt;=1,"OHKO",IF(N197&gt;=0.5,"2HKO",IF(N197&gt;=0.333,"3HKO",IF(N197&gt;=0.25,"4HKO","5HKO+"))))</f>
        <v/>
      </c>
      <c r="P197" s="3" t="inlineStr">
        <is>
          <t>Live from editable databases</t>
        </is>
      </c>
      <c r="Q197" s="3" t="inlineStr">
        <is>
          <t>SPECIES_TAILLOW</t>
        </is>
      </c>
      <c r="R197" s="3" t="n">
        <v>4</v>
      </c>
    </row>
    <row r="198">
      <c r="A198" s="3">
        <f>XLOOKUP($Q198,'Threshold Summary'!$Y:$Y,'Threshold Summary'!$A:$A,"")</f>
        <v/>
      </c>
      <c r="B198" s="3">
        <f>XLOOKUP($Q198,'Threshold Summary'!$Y:$Y,'Threshold Summary'!$M:$M,"")</f>
        <v/>
      </c>
      <c r="C198" s="3">
        <f>XLOOKUP($Q198,'Threshold Summary'!$Y:$Y,'Threshold Summary'!$N:$N,"")</f>
        <v/>
      </c>
      <c r="D198" s="3">
        <f>IFERROR(INDEX(FILTER('Learnset Editor'!$D$2:$D,'Learnset Editor'!$A$2:$A=XLOOKUP($Q198,'Threshold Summary'!$Y:$Y,'Threshold Summary'!$K:$K,""),'Learnset Editor'!$C$2:$C&lt;=XLOOKUP($Q198,'Threshold Summary'!$Y:$Y,'Threshold Summary'!$L:$L,"")),$R198),"")</f>
        <v/>
      </c>
      <c r="E198" s="3">
        <f>XLOOKUP(D198,'Move Editor'!$B:$B,'Move Editor'!$C:$C,"")</f>
        <v/>
      </c>
      <c r="F198" s="3">
        <f>XLOOKUP(D198,'Move Editor'!$B:$B,'Move Editor'!$D:$D,"")</f>
        <v/>
      </c>
      <c r="G198" s="3">
        <f>XLOOKUP(D198,'Move Editor'!$B:$B,'Move Editor'!$E:$E,0)</f>
        <v/>
      </c>
      <c r="H198" s="3">
        <f>XLOOKUP(D198,'Move Editor'!$B:$B,'Move Editor'!$F:$F,0)</f>
        <v/>
      </c>
      <c r="I198" s="3">
        <f>(INDEX('Type Chart'!$B:$S,MATCH(E198,'Type Chart'!$A:$A,0),MATCH(XLOOKUP('Boss Editor'!$C$4,'Pokemon Editor'!$A:$A,'Pokemon Editor'!$C:$C,""),'Type Chart'!$B$1:$S$1,0))*IF(XLOOKUP('Boss Editor'!$C$4,'Pokemon Editor'!$A:$A,'Pokemon Editor'!$D:$D,"")="",1,INDEX('Type Chart'!$B:$S,MATCH(E198,'Type Chart'!$A:$A,0),MATCH(XLOOKUP('Boss Editor'!$C$4,'Pokemon Editor'!$A:$A,'Pokemon Editor'!$D:$D,""),'Type Chart'!$B$1:$S$1,0))))</f>
        <v/>
      </c>
      <c r="J198" s="3">
        <f>IFERROR(LET(mtype,XLOOKUP($D198,'Move Editor'!$B:$B,'Move Editor'!$C:$C,""),cat,XLOOKUP($D198,'Move Editor'!$B:$B,'Move Editor'!$D:$D,""),pow,XLOOKUP($D198,'Move Editor'!$B:$B,'Move Editor'!$E:$E,0),acc,XLOOKUP($D198,'Move Editor'!$B:$B,'Move Editor'!$F:$F,100),atk,IF(cat="Physical",FLOOR((FLOOR(((2*XLOOKUP(XLOOKUP($Q198,'Threshold Summary'!$Y:$Y,'Threshold Summary'!$K:$K,""),'Pokemon Editor'!$A:$A,'Pokemon Editor'!$F:$F,0)+31+FLOOR(XLOOKUP($Q198,'Threshold Summary'!$Y:$Y,'Threshold Summary'!$P:$P,"")/4))*XLOOKUP($Q198,'Threshold Summary'!$Y:$Y,'Threshold Summary'!$L:$L,""))/100)+5)*XLOOKUP(XLOOKUP($Q198,'Threshold Summary'!$Y:$Y,'Threshold Summary'!$M:$M,""),'Nature Editor'!$A:$A,'Nature Editor'!$B:$B,1)),FLOOR((FLOOR(((2*XLOOKUP(XLOOKUP($Q198,'Threshold Summary'!$Y:$Y,'Threshold Summary'!$K:$K,""),'Pokemon Editor'!$A:$A,'Pokemon Editor'!$H:$H,0)+31+FLOOR(XLOOKUP($Q198,'Threshold Summary'!$Y:$Y,'Threshold Summary'!$R:$R,"")/4))*XLOOKUP($Q198,'Threshold Summary'!$Y:$Y,'Threshold Summary'!$L:$L,""))/100)+5)*XLOOKUP(XLOOKUP($Q198,'Threshold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Editor'!$E:$E,1))),stab,IF(OR(mtype=XLOOKUP(XLOOKUP($Q198,'Threshold Summary'!$Y:$Y,'Threshold Summary'!$K:$K,""),'Pokemon Editor'!$A:$A,'Pokemon Editor'!$C:$C,""),mtype=XLOOKUP(XLOOKUP($Q198,'Threshold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Chart'!$B$1:$S$1,0)))),base,IF(OR(cat="Status",pow=0),0,FLOOR(FLOOR(FLOOR((2*XLOOKUP($Q198,'Threshold Summary'!$Y:$Y,'Threshold Summary'!$L:$L,"")/5+2)*pow*atk/def)/50)+2)),modifier,stab*eff,FLOOR(base*modifier*0.85)),0)</f>
        <v/>
      </c>
      <c r="K198" s="3">
        <f>IFERROR(LET(mtype,XLOOKUP($D198,'Move Editor'!$B:$B,'Move Editor'!$C:$C,""),cat,XLOOKUP($D198,'Move Editor'!$B:$B,'Move Editor'!$D:$D,""),pow,XLOOKUP($D198,'Move Editor'!$B:$B,'Move Editor'!$E:$E,0),acc,XLOOKUP($D198,'Move Editor'!$B:$B,'Move Editor'!$F:$F,100),atk,IF(cat="Physical",FLOOR((FLOOR(((2*XLOOKUP(XLOOKUP($Q198,'Threshold Summary'!$Y:$Y,'Threshold Summary'!$K:$K,""),'Pokemon Editor'!$A:$A,'Pokemon Editor'!$F:$F,0)+31+FLOOR(XLOOKUP($Q198,'Threshold Summary'!$Y:$Y,'Threshold Summary'!$P:$P,"")/4))*XLOOKUP($Q198,'Threshold Summary'!$Y:$Y,'Threshold Summary'!$L:$L,""))/100)+5)*XLOOKUP(XLOOKUP($Q198,'Threshold Summary'!$Y:$Y,'Threshold Summary'!$M:$M,""),'Nature Editor'!$A:$A,'Nature Editor'!$B:$B,1)),FLOOR((FLOOR(((2*XLOOKUP(XLOOKUP($Q198,'Threshold Summary'!$Y:$Y,'Threshold Summary'!$K:$K,""),'Pokemon Editor'!$A:$A,'Pokemon Editor'!$H:$H,0)+31+FLOOR(XLOOKUP($Q198,'Threshold Summary'!$Y:$Y,'Threshold Summary'!$R:$R,"")/4))*XLOOKUP($Q198,'Threshold Summary'!$Y:$Y,'Threshold Summary'!$L:$L,""))/100)+5)*XLOOKUP(XLOOKUP($Q198,'Threshold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Editor'!$E:$E,1))),stab,IF(OR(mtype=XLOOKUP(XLOOKUP($Q198,'Threshold Summary'!$Y:$Y,'Threshold Summary'!$K:$K,""),'Pokemon Editor'!$A:$A,'Pokemon Editor'!$C:$C,""),mtype=XLOOKUP(XLOOKUP($Q198,'Threshold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Chart'!$B$1:$S$1,0)))),base,IF(OR(cat="Status",pow=0),0,FLOOR(FLOOR(FLOOR((2*XLOOKUP($Q198,'Threshold Summary'!$Y:$Y,'Threshold Summary'!$L:$L,"")/5+2)*pow*atk/def)/50)+2)),modifier,stab*eff,FLOOR(base*modifier)),0)</f>
        <v/>
      </c>
      <c r="L198" s="3">
        <f>IFERROR(LET(mtype,XLOOKUP($D198,'Move Editor'!$B:$B,'Move Editor'!$C:$C,""),cat,XLOOKUP($D198,'Move Editor'!$B:$B,'Move Editor'!$D:$D,""),pow,XLOOKUP($D198,'Move Editor'!$B:$B,'Move Editor'!$E:$E,0),acc,XLOOKUP($D198,'Move Editor'!$B:$B,'Move Editor'!$F:$F,100),atk,IF(cat="Physical",FLOOR((FLOOR(((2*XLOOKUP(XLOOKUP($Q198,'Threshold Summary'!$Y:$Y,'Threshold Summary'!$K:$K,""),'Pokemon Editor'!$A:$A,'Pokemon Editor'!$F:$F,0)+31+FLOOR(XLOOKUP($Q198,'Threshold Summary'!$Y:$Y,'Threshold Summary'!$P:$P,"")/4))*XLOOKUP($Q198,'Threshold Summary'!$Y:$Y,'Threshold Summary'!$L:$L,""))/100)+5)*XLOOKUP(XLOOKUP($Q198,'Threshold Summary'!$Y:$Y,'Threshold Summary'!$M:$M,""),'Nature Editor'!$A:$A,'Nature Editor'!$B:$B,1)),FLOOR((FLOOR(((2*XLOOKUP(XLOOKUP($Q198,'Threshold Summary'!$Y:$Y,'Threshold Summary'!$K:$K,""),'Pokemon Editor'!$A:$A,'Pokemon Editor'!$H:$H,0)+31+FLOOR(XLOOKUP($Q198,'Threshold Summary'!$Y:$Y,'Threshold Summary'!$R:$R,"")/4))*XLOOKUP($Q198,'Threshold Summary'!$Y:$Y,'Threshold Summary'!$L:$L,""))/100)+5)*XLOOKUP(XLOOKUP($Q198,'Threshold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Editor'!$E:$E,1))),stab,IF(OR(mtype=XLOOKUP(XLOOKUP($Q198,'Threshold Summary'!$Y:$Y,'Threshold Summary'!$K:$K,""),'Pokemon Editor'!$A:$A,'Pokemon Editor'!$C:$C,""),mtype=XLOOKUP(XLOOKUP($Q198,'Threshold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Chart'!$B$1:$S$1,0)))),base,IF(OR(cat="Status",pow=0),0,FLOOR(FLOOR(FLOOR((2*XLOOKUP($Q198,'Threshold Summary'!$Y:$Y,'Threshold Summary'!$L:$L,"")/5+2)*pow*atk/def)/50)+2)),modifier,stab*eff,AVERAGE(ARRAYFORMULA(FLOOR(base*modifier*SEQUENCE(16,1,85,1)/100)))),0)</f>
        <v/>
      </c>
      <c r="M198" s="3">
        <f>IFERROR(LET(mtype,XLOOKUP($D198,'Move Editor'!$B:$B,'Move Editor'!$C:$C,""),cat,XLOOKUP($D198,'Move Editor'!$B:$B,'Move Editor'!$D:$D,""),pow,XLOOKUP($D198,'Move Editor'!$B:$B,'Move Editor'!$E:$E,0),acc,XLOOKUP($D198,'Move Editor'!$B:$B,'Move Editor'!$F:$F,100),atk,IF(cat="Physical",FLOOR((FLOOR(((2*XLOOKUP(XLOOKUP($Q198,'Threshold Summary'!$Y:$Y,'Threshold Summary'!$K:$K,""),'Pokemon Editor'!$A:$A,'Pokemon Editor'!$F:$F,0)+31+FLOOR(XLOOKUP($Q198,'Threshold Summary'!$Y:$Y,'Threshold Summary'!$P:$P,"")/4))*XLOOKUP($Q198,'Threshold Summary'!$Y:$Y,'Threshold Summary'!$L:$L,""))/100)+5)*XLOOKUP(XLOOKUP($Q198,'Threshold Summary'!$Y:$Y,'Threshold Summary'!$M:$M,""),'Nature Editor'!$A:$A,'Nature Editor'!$B:$B,1)),FLOOR((FLOOR(((2*XLOOKUP(XLOOKUP($Q198,'Threshold Summary'!$Y:$Y,'Threshold Summary'!$K:$K,""),'Pokemon Editor'!$A:$A,'Pokemon Editor'!$H:$H,0)+31+FLOOR(XLOOKUP($Q198,'Threshold Summary'!$Y:$Y,'Threshold Summary'!$R:$R,"")/4))*XLOOKUP($Q198,'Threshold Summary'!$Y:$Y,'Threshold Summary'!$L:$L,""))/100)+5)*XLOOKUP(XLOOKUP($Q198,'Threshold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Editor'!$E:$E,1))),stab,IF(OR(mtype=XLOOKUP(XLOOKUP($Q198,'Threshold Summary'!$Y:$Y,'Threshold Summary'!$K:$K,""),'Pokemon Editor'!$A:$A,'Pokemon Editor'!$C:$C,""),mtype=XLOOKUP(XLOOKUP($Q198,'Threshold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Chart'!$B$1:$S$1,0)))),base,IF(OR(cat="Status",pow=0),0,FLOOR(FLOOR(FLOOR((2*XLOOKUP($Q198,'Threshold Summary'!$Y:$Y,'Threshold Summary'!$L:$L,"")/5+2)*pow*atk/def)/50)+2)),modifier,stab*eff,AVERAGE(ARRAYFORMULA(FLOOR(base*modifier*SEQUENCE(16,1,85,1)/100)))*MIN(1,acc/100)),0)</f>
        <v/>
      </c>
      <c r="N198" s="4">
        <f>IFERROR(LET(mtype,XLOOKUP($D198,'Move Editor'!$B:$B,'Move Editor'!$C:$C,""),cat,XLOOKUP($D198,'Move Editor'!$B:$B,'Move Editor'!$D:$D,""),pow,XLOOKUP($D198,'Move Editor'!$B:$B,'Move Editor'!$E:$E,0),acc,XLOOKUP($D198,'Move Editor'!$B:$B,'Move Editor'!$F:$F,100),atk,IF(cat="Physical",FLOOR((FLOOR(((2*XLOOKUP(XLOOKUP($Q198,'Threshold Summary'!$Y:$Y,'Threshold Summary'!$K:$K,""),'Pokemon Editor'!$A:$A,'Pokemon Editor'!$F:$F,0)+31+FLOOR(XLOOKUP($Q198,'Threshold Summary'!$Y:$Y,'Threshold Summary'!$P:$P,"")/4))*XLOOKUP($Q198,'Threshold Summary'!$Y:$Y,'Threshold Summary'!$L:$L,""))/100)+5)*XLOOKUP(XLOOKUP($Q198,'Threshold Summary'!$Y:$Y,'Threshold Summary'!$M:$M,""),'Nature Editor'!$A:$A,'Nature Editor'!$B:$B,1)),FLOOR((FLOOR(((2*XLOOKUP(XLOOKUP($Q198,'Threshold Summary'!$Y:$Y,'Threshold Summary'!$K:$K,""),'Pokemon Editor'!$A:$A,'Pokemon Editor'!$H:$H,0)+31+FLOOR(XLOOKUP($Q198,'Threshold Summary'!$Y:$Y,'Threshold Summary'!$R:$R,"")/4))*XLOOKUP($Q198,'Threshold Summary'!$Y:$Y,'Threshold Summary'!$L:$L,""))/100)+5)*XLOOKUP(XLOOKUP($Q198,'Threshold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Editor'!$E:$E,1))),stab,IF(OR(mtype=XLOOKUP(XLOOKUP($Q198,'Threshold Summary'!$Y:$Y,'Threshold Summary'!$K:$K,""),'Pokemon Editor'!$A:$A,'Pokemon Editor'!$C:$C,""),mtype=XLOOKUP(XLOOKUP($Q198,'Threshold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Chart'!$B$1:$S$1,0)))),base,IF(OR(cat="Status",pow=0),0,FLOOR(FLOOR(FLOOR((2*XLOOKUP($Q198,'Threshold Summary'!$Y:$Y,'Threshold Summary'!$L:$L,"")/5+2)*pow*atk/def)/50)+2)),modifier,stab*eff,AVERAGE(ARRAYFORMULA(FLOOR(base*modifier*SEQUENCE(16,1,85,1)/100)))/(FLOOR(((2*XLOOKUP('Boss Editor'!$C$4,'Pokemon Editor'!$A:$A,'Pokemon Editor'!$E:$E,0)+31+FLOOR('Boss Editor'!$G$4/4))*'Boss Editor'!$D$4)/100)+'Boss Editor'!$D$4+10)),0)</f>
        <v/>
      </c>
      <c r="O198" s="3">
        <f>IF(N198&gt;=1,"OHKO",IF(N198&gt;=0.5,"2HKO",IF(N198&gt;=0.333,"3HKO",IF(N198&gt;=0.25,"4HKO","5HKO+"))))</f>
        <v/>
      </c>
      <c r="P198" s="3" t="inlineStr">
        <is>
          <t>Live from editable databases</t>
        </is>
      </c>
      <c r="Q198" s="3" t="inlineStr">
        <is>
          <t>SPECIES_TAILLOW</t>
        </is>
      </c>
      <c r="R198" s="3" t="n">
        <v>5</v>
      </c>
    </row>
    <row r="199">
      <c r="A199" s="3">
        <f>XLOOKUP($Q199,'Threshold Summary'!$Y:$Y,'Threshold Summary'!$A:$A,"")</f>
        <v/>
      </c>
      <c r="B199" s="3">
        <f>XLOOKUP($Q199,'Threshold Summary'!$Y:$Y,'Threshold Summary'!$M:$M,"")</f>
        <v/>
      </c>
      <c r="C199" s="3">
        <f>XLOOKUP($Q199,'Threshold Summary'!$Y:$Y,'Threshold Summary'!$N:$N,"")</f>
        <v/>
      </c>
      <c r="D199" s="3">
        <f>IFERROR(INDEX(FILTER('Learnset Editor'!$D$2:$D,'Learnset Editor'!$A$2:$A=XLOOKUP($Q199,'Threshold Summary'!$Y:$Y,'Threshold Summary'!$K:$K,""),'Learnset Editor'!$C$2:$C&lt;=XLOOKUP($Q199,'Threshold Summary'!$Y:$Y,'Threshold Summary'!$L:$L,"")),$R199),"")</f>
        <v/>
      </c>
      <c r="E199" s="3">
        <f>XLOOKUP(D199,'Move Editor'!$B:$B,'Move Editor'!$C:$C,"")</f>
        <v/>
      </c>
      <c r="F199" s="3">
        <f>XLOOKUP(D199,'Move Editor'!$B:$B,'Move Editor'!$D:$D,"")</f>
        <v/>
      </c>
      <c r="G199" s="3">
        <f>XLOOKUP(D199,'Move Editor'!$B:$B,'Move Editor'!$E:$E,0)</f>
        <v/>
      </c>
      <c r="H199" s="3">
        <f>XLOOKUP(D199,'Move Editor'!$B:$B,'Move Editor'!$F:$F,0)</f>
        <v/>
      </c>
      <c r="I199" s="3">
        <f>(INDEX('Type Chart'!$B:$S,MATCH(E199,'Type Chart'!$A:$A,0),MATCH(XLOOKUP('Boss Editor'!$C$4,'Pokemon Editor'!$A:$A,'Pokemon Editor'!$C:$C,""),'Type Chart'!$B$1:$S$1,0))*IF(XLOOKUP('Boss Editor'!$C$4,'Pokemon Editor'!$A:$A,'Pokemon Editor'!$D:$D,"")="",1,INDEX('Type Chart'!$B:$S,MATCH(E199,'Type Chart'!$A:$A,0),MATCH(XLOOKUP('Boss Editor'!$C$4,'Pokemon Editor'!$A:$A,'Pokemon Editor'!$D:$D,""),'Type Chart'!$B$1:$S$1,0))))</f>
        <v/>
      </c>
      <c r="J199" s="3">
        <f>IFERROR(LET(mtype,XLOOKUP($D199,'Move Editor'!$B:$B,'Move Editor'!$C:$C,""),cat,XLOOKUP($D199,'Move Editor'!$B:$B,'Move Editor'!$D:$D,""),pow,XLOOKUP($D199,'Move Editor'!$B:$B,'Move Editor'!$E:$E,0),acc,XLOOKUP($D199,'Move Editor'!$B:$B,'Move Editor'!$F:$F,100),atk,IF(cat="Physical",FLOOR((FLOOR(((2*XLOOKUP(XLOOKUP($Q199,'Threshold Summary'!$Y:$Y,'Threshold Summary'!$K:$K,""),'Pokemon Editor'!$A:$A,'Pokemon Editor'!$F:$F,0)+31+FLOOR(XLOOKUP($Q199,'Threshold Summary'!$Y:$Y,'Threshold Summary'!$P:$P,"")/4))*XLOOKUP($Q199,'Threshold Summary'!$Y:$Y,'Threshold Summary'!$L:$L,""))/100)+5)*XLOOKUP(XLOOKUP($Q199,'Threshold Summary'!$Y:$Y,'Threshold Summary'!$M:$M,""),'Nature Editor'!$A:$A,'Nature Editor'!$B:$B,1)),FLOOR((FLOOR(((2*XLOOKUP(XLOOKUP($Q199,'Threshold Summary'!$Y:$Y,'Threshold Summary'!$K:$K,""),'Pokemon Editor'!$A:$A,'Pokemon Editor'!$H:$H,0)+31+FLOOR(XLOOKUP($Q199,'Threshold Summary'!$Y:$Y,'Threshold Summary'!$R:$R,"")/4))*XLOOKUP($Q199,'Threshold Summary'!$Y:$Y,'Threshold Summary'!$L:$L,""))/100)+5)*XLOOKUP(XLOOKUP($Q199,'Threshold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Editor'!$E:$E,1))),stab,IF(OR(mtype=XLOOKUP(XLOOKUP($Q199,'Threshold Summary'!$Y:$Y,'Threshold Summary'!$K:$K,""),'Pokemon Editor'!$A:$A,'Pokemon Editor'!$C:$C,""),mtype=XLOOKUP(XLOOKUP($Q199,'Threshold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Chart'!$B$1:$S$1,0)))),base,IF(OR(cat="Status",pow=0),0,FLOOR(FLOOR(FLOOR((2*XLOOKUP($Q199,'Threshold Summary'!$Y:$Y,'Threshold Summary'!$L:$L,"")/5+2)*pow*atk/def)/50)+2)),modifier,stab*eff,FLOOR(base*modifier*0.85)),0)</f>
        <v/>
      </c>
      <c r="K199" s="3">
        <f>IFERROR(LET(mtype,XLOOKUP($D199,'Move Editor'!$B:$B,'Move Editor'!$C:$C,""),cat,XLOOKUP($D199,'Move Editor'!$B:$B,'Move Editor'!$D:$D,""),pow,XLOOKUP($D199,'Move Editor'!$B:$B,'Move Editor'!$E:$E,0),acc,XLOOKUP($D199,'Move Editor'!$B:$B,'Move Editor'!$F:$F,100),atk,IF(cat="Physical",FLOOR((FLOOR(((2*XLOOKUP(XLOOKUP($Q199,'Threshold Summary'!$Y:$Y,'Threshold Summary'!$K:$K,""),'Pokemon Editor'!$A:$A,'Pokemon Editor'!$F:$F,0)+31+FLOOR(XLOOKUP($Q199,'Threshold Summary'!$Y:$Y,'Threshold Summary'!$P:$P,"")/4))*XLOOKUP($Q199,'Threshold Summary'!$Y:$Y,'Threshold Summary'!$L:$L,""))/100)+5)*XLOOKUP(XLOOKUP($Q199,'Threshold Summary'!$Y:$Y,'Threshold Summary'!$M:$M,""),'Nature Editor'!$A:$A,'Nature Editor'!$B:$B,1)),FLOOR((FLOOR(((2*XLOOKUP(XLOOKUP($Q199,'Threshold Summary'!$Y:$Y,'Threshold Summary'!$K:$K,""),'Pokemon Editor'!$A:$A,'Pokemon Editor'!$H:$H,0)+31+FLOOR(XLOOKUP($Q199,'Threshold Summary'!$Y:$Y,'Threshold Summary'!$R:$R,"")/4))*XLOOKUP($Q199,'Threshold Summary'!$Y:$Y,'Threshold Summary'!$L:$L,""))/100)+5)*XLOOKUP(XLOOKUP($Q199,'Threshold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Editor'!$E:$E,1))),stab,IF(OR(mtype=XLOOKUP(XLOOKUP($Q199,'Threshold Summary'!$Y:$Y,'Threshold Summary'!$K:$K,""),'Pokemon Editor'!$A:$A,'Pokemon Editor'!$C:$C,""),mtype=XLOOKUP(XLOOKUP($Q199,'Threshold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Chart'!$B$1:$S$1,0)))),base,IF(OR(cat="Status",pow=0),0,FLOOR(FLOOR(FLOOR((2*XLOOKUP($Q199,'Threshold Summary'!$Y:$Y,'Threshold Summary'!$L:$L,"")/5+2)*pow*atk/def)/50)+2)),modifier,stab*eff,FLOOR(base*modifier)),0)</f>
        <v/>
      </c>
      <c r="L199" s="3">
        <f>IFERROR(LET(mtype,XLOOKUP($D199,'Move Editor'!$B:$B,'Move Editor'!$C:$C,""),cat,XLOOKUP($D199,'Move Editor'!$B:$B,'Move Editor'!$D:$D,""),pow,XLOOKUP($D199,'Move Editor'!$B:$B,'Move Editor'!$E:$E,0),acc,XLOOKUP($D199,'Move Editor'!$B:$B,'Move Editor'!$F:$F,100),atk,IF(cat="Physical",FLOOR((FLOOR(((2*XLOOKUP(XLOOKUP($Q199,'Threshold Summary'!$Y:$Y,'Threshold Summary'!$K:$K,""),'Pokemon Editor'!$A:$A,'Pokemon Editor'!$F:$F,0)+31+FLOOR(XLOOKUP($Q199,'Threshold Summary'!$Y:$Y,'Threshold Summary'!$P:$P,"")/4))*XLOOKUP($Q199,'Threshold Summary'!$Y:$Y,'Threshold Summary'!$L:$L,""))/100)+5)*XLOOKUP(XLOOKUP($Q199,'Threshold Summary'!$Y:$Y,'Threshold Summary'!$M:$M,""),'Nature Editor'!$A:$A,'Nature Editor'!$B:$B,1)),FLOOR((FLOOR(((2*XLOOKUP(XLOOKUP($Q199,'Threshold Summary'!$Y:$Y,'Threshold Summary'!$K:$K,""),'Pokemon Editor'!$A:$A,'Pokemon Editor'!$H:$H,0)+31+FLOOR(XLOOKUP($Q199,'Threshold Summary'!$Y:$Y,'Threshold Summary'!$R:$R,"")/4))*XLOOKUP($Q199,'Threshold Summary'!$Y:$Y,'Threshold Summary'!$L:$L,""))/100)+5)*XLOOKUP(XLOOKUP($Q199,'Threshold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Editor'!$E:$E,1))),stab,IF(OR(mtype=XLOOKUP(XLOOKUP($Q199,'Threshold Summary'!$Y:$Y,'Threshold Summary'!$K:$K,""),'Pokemon Editor'!$A:$A,'Pokemon Editor'!$C:$C,""),mtype=XLOOKUP(XLOOKUP($Q199,'Threshold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Chart'!$B$1:$S$1,0)))),base,IF(OR(cat="Status",pow=0),0,FLOOR(FLOOR(FLOOR((2*XLOOKUP($Q199,'Threshold Summary'!$Y:$Y,'Threshold Summary'!$L:$L,"")/5+2)*pow*atk/def)/50)+2)),modifier,stab*eff,AVERAGE(ARRAYFORMULA(FLOOR(base*modifier*SEQUENCE(16,1,85,1)/100)))),0)</f>
        <v/>
      </c>
      <c r="M199" s="3">
        <f>IFERROR(LET(mtype,XLOOKUP($D199,'Move Editor'!$B:$B,'Move Editor'!$C:$C,""),cat,XLOOKUP($D199,'Move Editor'!$B:$B,'Move Editor'!$D:$D,""),pow,XLOOKUP($D199,'Move Editor'!$B:$B,'Move Editor'!$E:$E,0),acc,XLOOKUP($D199,'Move Editor'!$B:$B,'Move Editor'!$F:$F,100),atk,IF(cat="Physical",FLOOR((FLOOR(((2*XLOOKUP(XLOOKUP($Q199,'Threshold Summary'!$Y:$Y,'Threshold Summary'!$K:$K,""),'Pokemon Editor'!$A:$A,'Pokemon Editor'!$F:$F,0)+31+FLOOR(XLOOKUP($Q199,'Threshold Summary'!$Y:$Y,'Threshold Summary'!$P:$P,"")/4))*XLOOKUP($Q199,'Threshold Summary'!$Y:$Y,'Threshold Summary'!$L:$L,""))/100)+5)*XLOOKUP(XLOOKUP($Q199,'Threshold Summary'!$Y:$Y,'Threshold Summary'!$M:$M,""),'Nature Editor'!$A:$A,'Nature Editor'!$B:$B,1)),FLOOR((FLOOR(((2*XLOOKUP(XLOOKUP($Q199,'Threshold Summary'!$Y:$Y,'Threshold Summary'!$K:$K,""),'Pokemon Editor'!$A:$A,'Pokemon Editor'!$H:$H,0)+31+FLOOR(XLOOKUP($Q199,'Threshold Summary'!$Y:$Y,'Threshold Summary'!$R:$R,"")/4))*XLOOKUP($Q199,'Threshold Summary'!$Y:$Y,'Threshold Summary'!$L:$L,""))/100)+5)*XLOOKUP(XLOOKUP($Q199,'Threshold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Editor'!$E:$E,1))),stab,IF(OR(mtype=XLOOKUP(XLOOKUP($Q199,'Threshold Summary'!$Y:$Y,'Threshold Summary'!$K:$K,""),'Pokemon Editor'!$A:$A,'Pokemon Editor'!$C:$C,""),mtype=XLOOKUP(XLOOKUP($Q199,'Threshold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Chart'!$B$1:$S$1,0)))),base,IF(OR(cat="Status",pow=0),0,FLOOR(FLOOR(FLOOR((2*XLOOKUP($Q199,'Threshold Summary'!$Y:$Y,'Threshold Summary'!$L:$L,"")/5+2)*pow*atk/def)/50)+2)),modifier,stab*eff,AVERAGE(ARRAYFORMULA(FLOOR(base*modifier*SEQUENCE(16,1,85,1)/100)))*MIN(1,acc/100)),0)</f>
        <v/>
      </c>
      <c r="N199" s="4">
        <f>IFERROR(LET(mtype,XLOOKUP($D199,'Move Editor'!$B:$B,'Move Editor'!$C:$C,""),cat,XLOOKUP($D199,'Move Editor'!$B:$B,'Move Editor'!$D:$D,""),pow,XLOOKUP($D199,'Move Editor'!$B:$B,'Move Editor'!$E:$E,0),acc,XLOOKUP($D199,'Move Editor'!$B:$B,'Move Editor'!$F:$F,100),atk,IF(cat="Physical",FLOOR((FLOOR(((2*XLOOKUP(XLOOKUP($Q199,'Threshold Summary'!$Y:$Y,'Threshold Summary'!$K:$K,""),'Pokemon Editor'!$A:$A,'Pokemon Editor'!$F:$F,0)+31+FLOOR(XLOOKUP($Q199,'Threshold Summary'!$Y:$Y,'Threshold Summary'!$P:$P,"")/4))*XLOOKUP($Q199,'Threshold Summary'!$Y:$Y,'Threshold Summary'!$L:$L,""))/100)+5)*XLOOKUP(XLOOKUP($Q199,'Threshold Summary'!$Y:$Y,'Threshold Summary'!$M:$M,""),'Nature Editor'!$A:$A,'Nature Editor'!$B:$B,1)),FLOOR((FLOOR(((2*XLOOKUP(XLOOKUP($Q199,'Threshold Summary'!$Y:$Y,'Threshold Summary'!$K:$K,""),'Pokemon Editor'!$A:$A,'Pokemon Editor'!$H:$H,0)+31+FLOOR(XLOOKUP($Q199,'Threshold Summary'!$Y:$Y,'Threshold Summary'!$R:$R,"")/4))*XLOOKUP($Q199,'Threshold Summary'!$Y:$Y,'Threshold Summary'!$L:$L,""))/100)+5)*XLOOKUP(XLOOKUP($Q199,'Threshold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Editor'!$E:$E,1))),stab,IF(OR(mtype=XLOOKUP(XLOOKUP($Q199,'Threshold Summary'!$Y:$Y,'Threshold Summary'!$K:$K,""),'Pokemon Editor'!$A:$A,'Pokemon Editor'!$C:$C,""),mtype=XLOOKUP(XLOOKUP($Q199,'Threshold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Chart'!$B$1:$S$1,0)))),base,IF(OR(cat="Status",pow=0),0,FLOOR(FLOOR(FLOOR((2*XLOOKUP($Q199,'Threshold Summary'!$Y:$Y,'Threshold Summary'!$L:$L,"")/5+2)*pow*atk/def)/50)+2)),modifier,stab*eff,AVERAGE(ARRAYFORMULA(FLOOR(base*modifier*SEQUENCE(16,1,85,1)/100)))/(FLOOR(((2*XLOOKUP('Boss Editor'!$C$4,'Pokemon Editor'!$A:$A,'Pokemon Editor'!$E:$E,0)+31+FLOOR('Boss Editor'!$G$4/4))*'Boss Editor'!$D$4)/100)+'Boss Editor'!$D$4+10)),0)</f>
        <v/>
      </c>
      <c r="O199" s="3">
        <f>IF(N199&gt;=1,"OHKO",IF(N199&gt;=0.5,"2HKO",IF(N199&gt;=0.333,"3HKO",IF(N199&gt;=0.25,"4HKO","5HKO+"))))</f>
        <v/>
      </c>
      <c r="P199" s="3" t="inlineStr">
        <is>
          <t>Live from editable databases</t>
        </is>
      </c>
      <c r="Q199" s="3" t="inlineStr">
        <is>
          <t>SPECIES_TAILLOW</t>
        </is>
      </c>
      <c r="R199" s="3" t="n">
        <v>6</v>
      </c>
    </row>
    <row r="200">
      <c r="A200" s="3">
        <f>XLOOKUP($Q200,'Threshold Summary'!$Y:$Y,'Threshold Summary'!$A:$A,"")</f>
        <v/>
      </c>
      <c r="B200" s="3">
        <f>XLOOKUP($Q200,'Threshold Summary'!$Y:$Y,'Threshold Summary'!$M:$M,"")</f>
        <v/>
      </c>
      <c r="C200" s="3">
        <f>XLOOKUP($Q200,'Threshold Summary'!$Y:$Y,'Threshold Summary'!$N:$N,"")</f>
        <v/>
      </c>
      <c r="D200" s="3">
        <f>IFERROR(INDEX(FILTER('Learnset Editor'!$D$2:$D,'Learnset Editor'!$A$2:$A=XLOOKUP($Q200,'Threshold Summary'!$Y:$Y,'Threshold Summary'!$K:$K,""),'Learnset Editor'!$C$2:$C&lt;=XLOOKUP($Q200,'Threshold Summary'!$Y:$Y,'Threshold Summary'!$L:$L,"")),$R200),"")</f>
        <v/>
      </c>
      <c r="E200" s="3">
        <f>XLOOKUP(D200,'Move Editor'!$B:$B,'Move Editor'!$C:$C,"")</f>
        <v/>
      </c>
      <c r="F200" s="3">
        <f>XLOOKUP(D200,'Move Editor'!$B:$B,'Move Editor'!$D:$D,"")</f>
        <v/>
      </c>
      <c r="G200" s="3">
        <f>XLOOKUP(D200,'Move Editor'!$B:$B,'Move Editor'!$E:$E,0)</f>
        <v/>
      </c>
      <c r="H200" s="3">
        <f>XLOOKUP(D200,'Move Editor'!$B:$B,'Move Editor'!$F:$F,0)</f>
        <v/>
      </c>
      <c r="I200" s="3">
        <f>(INDEX('Type Chart'!$B:$S,MATCH(E200,'Type Chart'!$A:$A,0),MATCH(XLOOKUP('Boss Editor'!$C$4,'Pokemon Editor'!$A:$A,'Pokemon Editor'!$C:$C,""),'Type Chart'!$B$1:$S$1,0))*IF(XLOOKUP('Boss Editor'!$C$4,'Pokemon Editor'!$A:$A,'Pokemon Editor'!$D:$D,"")="",1,INDEX('Type Chart'!$B:$S,MATCH(E200,'Type Chart'!$A:$A,0),MATCH(XLOOKUP('Boss Editor'!$C$4,'Pokemon Editor'!$A:$A,'Pokemon Editor'!$D:$D,""),'Type Chart'!$B$1:$S$1,0))))</f>
        <v/>
      </c>
      <c r="J200" s="3">
        <f>IFERROR(LET(mtype,XLOOKUP($D200,'Move Editor'!$B:$B,'Move Editor'!$C:$C,""),cat,XLOOKUP($D200,'Move Editor'!$B:$B,'Move Editor'!$D:$D,""),pow,XLOOKUP($D200,'Move Editor'!$B:$B,'Move Editor'!$E:$E,0),acc,XLOOKUP($D200,'Move Editor'!$B:$B,'Move Editor'!$F:$F,100),atk,IF(cat="Physical",FLOOR((FLOOR(((2*XLOOKUP(XLOOKUP($Q200,'Threshold Summary'!$Y:$Y,'Threshold Summary'!$K:$K,""),'Pokemon Editor'!$A:$A,'Pokemon Editor'!$F:$F,0)+31+FLOOR(XLOOKUP($Q200,'Threshold Summary'!$Y:$Y,'Threshold Summary'!$P:$P,"")/4))*XLOOKUP($Q200,'Threshold Summary'!$Y:$Y,'Threshold Summary'!$L:$L,""))/100)+5)*XLOOKUP(XLOOKUP($Q200,'Threshold Summary'!$Y:$Y,'Threshold Summary'!$M:$M,""),'Nature Editor'!$A:$A,'Nature Editor'!$B:$B,1)),FLOOR((FLOOR(((2*XLOOKUP(XLOOKUP($Q200,'Threshold Summary'!$Y:$Y,'Threshold Summary'!$K:$K,""),'Pokemon Editor'!$A:$A,'Pokemon Editor'!$H:$H,0)+31+FLOOR(XLOOKUP($Q200,'Threshold Summary'!$Y:$Y,'Threshold Summary'!$R:$R,"")/4))*XLOOKUP($Q200,'Threshold Summary'!$Y:$Y,'Threshold Summary'!$L:$L,""))/100)+5)*XLOOKUP(XLOOKUP($Q200,'Threshold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Editor'!$E:$E,1))),stab,IF(OR(mtype=XLOOKUP(XLOOKUP($Q200,'Threshold Summary'!$Y:$Y,'Threshold Summary'!$K:$K,""),'Pokemon Editor'!$A:$A,'Pokemon Editor'!$C:$C,""),mtype=XLOOKUP(XLOOKUP($Q200,'Threshold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Chart'!$B$1:$S$1,0)))),base,IF(OR(cat="Status",pow=0),0,FLOOR(FLOOR(FLOOR((2*XLOOKUP($Q200,'Threshold Summary'!$Y:$Y,'Threshold Summary'!$L:$L,"")/5+2)*pow*atk/def)/50)+2)),modifier,stab*eff,FLOOR(base*modifier*0.85)),0)</f>
        <v/>
      </c>
      <c r="K200" s="3">
        <f>IFERROR(LET(mtype,XLOOKUP($D200,'Move Editor'!$B:$B,'Move Editor'!$C:$C,""),cat,XLOOKUP($D200,'Move Editor'!$B:$B,'Move Editor'!$D:$D,""),pow,XLOOKUP($D200,'Move Editor'!$B:$B,'Move Editor'!$E:$E,0),acc,XLOOKUP($D200,'Move Editor'!$B:$B,'Move Editor'!$F:$F,100),atk,IF(cat="Physical",FLOOR((FLOOR(((2*XLOOKUP(XLOOKUP($Q200,'Threshold Summary'!$Y:$Y,'Threshold Summary'!$K:$K,""),'Pokemon Editor'!$A:$A,'Pokemon Editor'!$F:$F,0)+31+FLOOR(XLOOKUP($Q200,'Threshold Summary'!$Y:$Y,'Threshold Summary'!$P:$P,"")/4))*XLOOKUP($Q200,'Threshold Summary'!$Y:$Y,'Threshold Summary'!$L:$L,""))/100)+5)*XLOOKUP(XLOOKUP($Q200,'Threshold Summary'!$Y:$Y,'Threshold Summary'!$M:$M,""),'Nature Editor'!$A:$A,'Nature Editor'!$B:$B,1)),FLOOR((FLOOR(((2*XLOOKUP(XLOOKUP($Q200,'Threshold Summary'!$Y:$Y,'Threshold Summary'!$K:$K,""),'Pokemon Editor'!$A:$A,'Pokemon Editor'!$H:$H,0)+31+FLOOR(XLOOKUP($Q200,'Threshold Summary'!$Y:$Y,'Threshold Summary'!$R:$R,"")/4))*XLOOKUP($Q200,'Threshold Summary'!$Y:$Y,'Threshold Summary'!$L:$L,""))/100)+5)*XLOOKUP(XLOOKUP($Q200,'Threshold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Editor'!$E:$E,1))),stab,IF(OR(mtype=XLOOKUP(XLOOKUP($Q200,'Threshold Summary'!$Y:$Y,'Threshold Summary'!$K:$K,""),'Pokemon Editor'!$A:$A,'Pokemon Editor'!$C:$C,""),mtype=XLOOKUP(XLOOKUP($Q200,'Threshold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Chart'!$B$1:$S$1,0)))),base,IF(OR(cat="Status",pow=0),0,FLOOR(FLOOR(FLOOR((2*XLOOKUP($Q200,'Threshold Summary'!$Y:$Y,'Threshold Summary'!$L:$L,"")/5+2)*pow*atk/def)/50)+2)),modifier,stab*eff,FLOOR(base*modifier)),0)</f>
        <v/>
      </c>
      <c r="L200" s="3">
        <f>IFERROR(LET(mtype,XLOOKUP($D200,'Move Editor'!$B:$B,'Move Editor'!$C:$C,""),cat,XLOOKUP($D200,'Move Editor'!$B:$B,'Move Editor'!$D:$D,""),pow,XLOOKUP($D200,'Move Editor'!$B:$B,'Move Editor'!$E:$E,0),acc,XLOOKUP($D200,'Move Editor'!$B:$B,'Move Editor'!$F:$F,100),atk,IF(cat="Physical",FLOOR((FLOOR(((2*XLOOKUP(XLOOKUP($Q200,'Threshold Summary'!$Y:$Y,'Threshold Summary'!$K:$K,""),'Pokemon Editor'!$A:$A,'Pokemon Editor'!$F:$F,0)+31+FLOOR(XLOOKUP($Q200,'Threshold Summary'!$Y:$Y,'Threshold Summary'!$P:$P,"")/4))*XLOOKUP($Q200,'Threshold Summary'!$Y:$Y,'Threshold Summary'!$L:$L,""))/100)+5)*XLOOKUP(XLOOKUP($Q200,'Threshold Summary'!$Y:$Y,'Threshold Summary'!$M:$M,""),'Nature Editor'!$A:$A,'Nature Editor'!$B:$B,1)),FLOOR((FLOOR(((2*XLOOKUP(XLOOKUP($Q200,'Threshold Summary'!$Y:$Y,'Threshold Summary'!$K:$K,""),'Pokemon Editor'!$A:$A,'Pokemon Editor'!$H:$H,0)+31+FLOOR(XLOOKUP($Q200,'Threshold Summary'!$Y:$Y,'Threshold Summary'!$R:$R,"")/4))*XLOOKUP($Q200,'Threshold Summary'!$Y:$Y,'Threshold Summary'!$L:$L,""))/100)+5)*XLOOKUP(XLOOKUP($Q200,'Threshold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Editor'!$E:$E,1))),stab,IF(OR(mtype=XLOOKUP(XLOOKUP($Q200,'Threshold Summary'!$Y:$Y,'Threshold Summary'!$K:$K,""),'Pokemon Editor'!$A:$A,'Pokemon Editor'!$C:$C,""),mtype=XLOOKUP(XLOOKUP($Q200,'Threshold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Chart'!$B$1:$S$1,0)))),base,IF(OR(cat="Status",pow=0),0,FLOOR(FLOOR(FLOOR((2*XLOOKUP($Q200,'Threshold Summary'!$Y:$Y,'Threshold Summary'!$L:$L,"")/5+2)*pow*atk/def)/50)+2)),modifier,stab*eff,AVERAGE(ARRAYFORMULA(FLOOR(base*modifier*SEQUENCE(16,1,85,1)/100)))),0)</f>
        <v/>
      </c>
      <c r="M200" s="3">
        <f>IFERROR(LET(mtype,XLOOKUP($D200,'Move Editor'!$B:$B,'Move Editor'!$C:$C,""),cat,XLOOKUP($D200,'Move Editor'!$B:$B,'Move Editor'!$D:$D,""),pow,XLOOKUP($D200,'Move Editor'!$B:$B,'Move Editor'!$E:$E,0),acc,XLOOKUP($D200,'Move Editor'!$B:$B,'Move Editor'!$F:$F,100),atk,IF(cat="Physical",FLOOR((FLOOR(((2*XLOOKUP(XLOOKUP($Q200,'Threshold Summary'!$Y:$Y,'Threshold Summary'!$K:$K,""),'Pokemon Editor'!$A:$A,'Pokemon Editor'!$F:$F,0)+31+FLOOR(XLOOKUP($Q200,'Threshold Summary'!$Y:$Y,'Threshold Summary'!$P:$P,"")/4))*XLOOKUP($Q200,'Threshold Summary'!$Y:$Y,'Threshold Summary'!$L:$L,""))/100)+5)*XLOOKUP(XLOOKUP($Q200,'Threshold Summary'!$Y:$Y,'Threshold Summary'!$M:$M,""),'Nature Editor'!$A:$A,'Nature Editor'!$B:$B,1)),FLOOR((FLOOR(((2*XLOOKUP(XLOOKUP($Q200,'Threshold Summary'!$Y:$Y,'Threshold Summary'!$K:$K,""),'Pokemon Editor'!$A:$A,'Pokemon Editor'!$H:$H,0)+31+FLOOR(XLOOKUP($Q200,'Threshold Summary'!$Y:$Y,'Threshold Summary'!$R:$R,"")/4))*XLOOKUP($Q200,'Threshold Summary'!$Y:$Y,'Threshold Summary'!$L:$L,""))/100)+5)*XLOOKUP(XLOOKUP($Q200,'Threshold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Editor'!$E:$E,1))),stab,IF(OR(mtype=XLOOKUP(XLOOKUP($Q200,'Threshold Summary'!$Y:$Y,'Threshold Summary'!$K:$K,""),'Pokemon Editor'!$A:$A,'Pokemon Editor'!$C:$C,""),mtype=XLOOKUP(XLOOKUP($Q200,'Threshold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Chart'!$B$1:$S$1,0)))),base,IF(OR(cat="Status",pow=0),0,FLOOR(FLOOR(FLOOR((2*XLOOKUP($Q200,'Threshold Summary'!$Y:$Y,'Threshold Summary'!$L:$L,"")/5+2)*pow*atk/def)/50)+2)),modifier,stab*eff,AVERAGE(ARRAYFORMULA(FLOOR(base*modifier*SEQUENCE(16,1,85,1)/100)))*MIN(1,acc/100)),0)</f>
        <v/>
      </c>
      <c r="N200" s="4">
        <f>IFERROR(LET(mtype,XLOOKUP($D200,'Move Editor'!$B:$B,'Move Editor'!$C:$C,""),cat,XLOOKUP($D200,'Move Editor'!$B:$B,'Move Editor'!$D:$D,""),pow,XLOOKUP($D200,'Move Editor'!$B:$B,'Move Editor'!$E:$E,0),acc,XLOOKUP($D200,'Move Editor'!$B:$B,'Move Editor'!$F:$F,100),atk,IF(cat="Physical",FLOOR((FLOOR(((2*XLOOKUP(XLOOKUP($Q200,'Threshold Summary'!$Y:$Y,'Threshold Summary'!$K:$K,""),'Pokemon Editor'!$A:$A,'Pokemon Editor'!$F:$F,0)+31+FLOOR(XLOOKUP($Q200,'Threshold Summary'!$Y:$Y,'Threshold Summary'!$P:$P,"")/4))*XLOOKUP($Q200,'Threshold Summary'!$Y:$Y,'Threshold Summary'!$L:$L,""))/100)+5)*XLOOKUP(XLOOKUP($Q200,'Threshold Summary'!$Y:$Y,'Threshold Summary'!$M:$M,""),'Nature Editor'!$A:$A,'Nature Editor'!$B:$B,1)),FLOOR((FLOOR(((2*XLOOKUP(XLOOKUP($Q200,'Threshold Summary'!$Y:$Y,'Threshold Summary'!$K:$K,""),'Pokemon Editor'!$A:$A,'Pokemon Editor'!$H:$H,0)+31+FLOOR(XLOOKUP($Q200,'Threshold Summary'!$Y:$Y,'Threshold Summary'!$R:$R,"")/4))*XLOOKUP($Q200,'Threshold Summary'!$Y:$Y,'Threshold Summary'!$L:$L,""))/100)+5)*XLOOKUP(XLOOKUP($Q200,'Threshold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Editor'!$E:$E,1))),stab,IF(OR(mtype=XLOOKUP(XLOOKUP($Q200,'Threshold Summary'!$Y:$Y,'Threshold Summary'!$K:$K,""),'Pokemon Editor'!$A:$A,'Pokemon Editor'!$C:$C,""),mtype=XLOOKUP(XLOOKUP($Q200,'Threshold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Chart'!$B$1:$S$1,0)))),base,IF(OR(cat="Status",pow=0),0,FLOOR(FLOOR(FLOOR((2*XLOOKUP($Q200,'Threshold Summary'!$Y:$Y,'Threshold Summary'!$L:$L,"")/5+2)*pow*atk/def)/50)+2)),modifier,stab*eff,AVERAGE(ARRAYFORMULA(FLOOR(base*modifier*SEQUENCE(16,1,85,1)/100)))/(FLOOR(((2*XLOOKUP('Boss Editor'!$C$4,'Pokemon Editor'!$A:$A,'Pokemon Editor'!$E:$E,0)+31+FLOOR('Boss Editor'!$G$4/4))*'Boss Editor'!$D$4)/100)+'Boss Editor'!$D$4+10)),0)</f>
        <v/>
      </c>
      <c r="O200" s="3">
        <f>IF(N200&gt;=1,"OHKO",IF(N200&gt;=0.5,"2HKO",IF(N200&gt;=0.333,"3HKO",IF(N200&gt;=0.25,"4HKO","5HKO+"))))</f>
        <v/>
      </c>
      <c r="P200" s="3" t="inlineStr">
        <is>
          <t>Live from editable databases</t>
        </is>
      </c>
      <c r="Q200" s="3" t="inlineStr">
        <is>
          <t>SPECIES_TAILLOW</t>
        </is>
      </c>
      <c r="R200" s="3" t="n">
        <v>7</v>
      </c>
    </row>
    <row r="201">
      <c r="A201" s="3">
        <f>XLOOKUP($Q201,'Threshold Summary'!$Y:$Y,'Threshold Summary'!$A:$A,"")</f>
        <v/>
      </c>
      <c r="B201" s="3">
        <f>XLOOKUP($Q201,'Threshold Summary'!$Y:$Y,'Threshold Summary'!$M:$M,"")</f>
        <v/>
      </c>
      <c r="C201" s="3">
        <f>XLOOKUP($Q201,'Threshold Summary'!$Y:$Y,'Threshold Summary'!$N:$N,"")</f>
        <v/>
      </c>
      <c r="D201" s="3">
        <f>IFERROR(INDEX(FILTER('Learnset Editor'!$D$2:$D,'Learnset Editor'!$A$2:$A=XLOOKUP($Q201,'Threshold Summary'!$Y:$Y,'Threshold Summary'!$K:$K,""),'Learnset Editor'!$C$2:$C&lt;=XLOOKUP($Q201,'Threshold Summary'!$Y:$Y,'Threshold Summary'!$L:$L,"")),$R201),"")</f>
        <v/>
      </c>
      <c r="E201" s="3">
        <f>XLOOKUP(D201,'Move Editor'!$B:$B,'Move Editor'!$C:$C,"")</f>
        <v/>
      </c>
      <c r="F201" s="3">
        <f>XLOOKUP(D201,'Move Editor'!$B:$B,'Move Editor'!$D:$D,"")</f>
        <v/>
      </c>
      <c r="G201" s="3">
        <f>XLOOKUP(D201,'Move Editor'!$B:$B,'Move Editor'!$E:$E,0)</f>
        <v/>
      </c>
      <c r="H201" s="3">
        <f>XLOOKUP(D201,'Move Editor'!$B:$B,'Move Editor'!$F:$F,0)</f>
        <v/>
      </c>
      <c r="I201" s="3">
        <f>(INDEX('Type Chart'!$B:$S,MATCH(E201,'Type Chart'!$A:$A,0),MATCH(XLOOKUP('Boss Editor'!$C$4,'Pokemon Editor'!$A:$A,'Pokemon Editor'!$C:$C,""),'Type Chart'!$B$1:$S$1,0))*IF(XLOOKUP('Boss Editor'!$C$4,'Pokemon Editor'!$A:$A,'Pokemon Editor'!$D:$D,"")="",1,INDEX('Type Chart'!$B:$S,MATCH(E201,'Type Chart'!$A:$A,0),MATCH(XLOOKUP('Boss Editor'!$C$4,'Pokemon Editor'!$A:$A,'Pokemon Editor'!$D:$D,""),'Type Chart'!$B$1:$S$1,0))))</f>
        <v/>
      </c>
      <c r="J201" s="3">
        <f>IFERROR(LET(mtype,XLOOKUP($D201,'Move Editor'!$B:$B,'Move Editor'!$C:$C,""),cat,XLOOKUP($D201,'Move Editor'!$B:$B,'Move Editor'!$D:$D,""),pow,XLOOKUP($D201,'Move Editor'!$B:$B,'Move Editor'!$E:$E,0),acc,XLOOKUP($D201,'Move Editor'!$B:$B,'Move Editor'!$F:$F,100),atk,IF(cat="Physical",FLOOR((FLOOR(((2*XLOOKUP(XLOOKUP($Q201,'Threshold Summary'!$Y:$Y,'Threshold Summary'!$K:$K,""),'Pokemon Editor'!$A:$A,'Pokemon Editor'!$F:$F,0)+31+FLOOR(XLOOKUP($Q201,'Threshold Summary'!$Y:$Y,'Threshold Summary'!$P:$P,"")/4))*XLOOKUP($Q201,'Threshold Summary'!$Y:$Y,'Threshold Summary'!$L:$L,""))/100)+5)*XLOOKUP(XLOOKUP($Q201,'Threshold Summary'!$Y:$Y,'Threshold Summary'!$M:$M,""),'Nature Editor'!$A:$A,'Nature Editor'!$B:$B,1)),FLOOR((FLOOR(((2*XLOOKUP(XLOOKUP($Q201,'Threshold Summary'!$Y:$Y,'Threshold Summary'!$K:$K,""),'Pokemon Editor'!$A:$A,'Pokemon Editor'!$H:$H,0)+31+FLOOR(XLOOKUP($Q201,'Threshold Summary'!$Y:$Y,'Threshold Summary'!$R:$R,"")/4))*XLOOKUP($Q201,'Threshold Summary'!$Y:$Y,'Threshold Summary'!$L:$L,""))/100)+5)*XLOOKUP(XLOOKUP($Q201,'Threshold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Editor'!$E:$E,1))),stab,IF(OR(mtype=XLOOKUP(XLOOKUP($Q201,'Threshold Summary'!$Y:$Y,'Threshold Summary'!$K:$K,""),'Pokemon Editor'!$A:$A,'Pokemon Editor'!$C:$C,""),mtype=XLOOKUP(XLOOKUP($Q201,'Threshold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Chart'!$B$1:$S$1,0)))),base,IF(OR(cat="Status",pow=0),0,FLOOR(FLOOR(FLOOR((2*XLOOKUP($Q201,'Threshold Summary'!$Y:$Y,'Threshold Summary'!$L:$L,"")/5+2)*pow*atk/def)/50)+2)),modifier,stab*eff,FLOOR(base*modifier*0.85)),0)</f>
        <v/>
      </c>
      <c r="K201" s="3">
        <f>IFERROR(LET(mtype,XLOOKUP($D201,'Move Editor'!$B:$B,'Move Editor'!$C:$C,""),cat,XLOOKUP($D201,'Move Editor'!$B:$B,'Move Editor'!$D:$D,""),pow,XLOOKUP($D201,'Move Editor'!$B:$B,'Move Editor'!$E:$E,0),acc,XLOOKUP($D201,'Move Editor'!$B:$B,'Move Editor'!$F:$F,100),atk,IF(cat="Physical",FLOOR((FLOOR(((2*XLOOKUP(XLOOKUP($Q201,'Threshold Summary'!$Y:$Y,'Threshold Summary'!$K:$K,""),'Pokemon Editor'!$A:$A,'Pokemon Editor'!$F:$F,0)+31+FLOOR(XLOOKUP($Q201,'Threshold Summary'!$Y:$Y,'Threshold Summary'!$P:$P,"")/4))*XLOOKUP($Q201,'Threshold Summary'!$Y:$Y,'Threshold Summary'!$L:$L,""))/100)+5)*XLOOKUP(XLOOKUP($Q201,'Threshold Summary'!$Y:$Y,'Threshold Summary'!$M:$M,""),'Nature Editor'!$A:$A,'Nature Editor'!$B:$B,1)),FLOOR((FLOOR(((2*XLOOKUP(XLOOKUP($Q201,'Threshold Summary'!$Y:$Y,'Threshold Summary'!$K:$K,""),'Pokemon Editor'!$A:$A,'Pokemon Editor'!$H:$H,0)+31+FLOOR(XLOOKUP($Q201,'Threshold Summary'!$Y:$Y,'Threshold Summary'!$R:$R,"")/4))*XLOOKUP($Q201,'Threshold Summary'!$Y:$Y,'Threshold Summary'!$L:$L,""))/100)+5)*XLOOKUP(XLOOKUP($Q201,'Threshold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Editor'!$E:$E,1))),stab,IF(OR(mtype=XLOOKUP(XLOOKUP($Q201,'Threshold Summary'!$Y:$Y,'Threshold Summary'!$K:$K,""),'Pokemon Editor'!$A:$A,'Pokemon Editor'!$C:$C,""),mtype=XLOOKUP(XLOOKUP($Q201,'Threshold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Chart'!$B$1:$S$1,0)))),base,IF(OR(cat="Status",pow=0),0,FLOOR(FLOOR(FLOOR((2*XLOOKUP($Q201,'Threshold Summary'!$Y:$Y,'Threshold Summary'!$L:$L,"")/5+2)*pow*atk/def)/50)+2)),modifier,stab*eff,FLOOR(base*modifier)),0)</f>
        <v/>
      </c>
      <c r="L201" s="3">
        <f>IFERROR(LET(mtype,XLOOKUP($D201,'Move Editor'!$B:$B,'Move Editor'!$C:$C,""),cat,XLOOKUP($D201,'Move Editor'!$B:$B,'Move Editor'!$D:$D,""),pow,XLOOKUP($D201,'Move Editor'!$B:$B,'Move Editor'!$E:$E,0),acc,XLOOKUP($D201,'Move Editor'!$B:$B,'Move Editor'!$F:$F,100),atk,IF(cat="Physical",FLOOR((FLOOR(((2*XLOOKUP(XLOOKUP($Q201,'Threshold Summary'!$Y:$Y,'Threshold Summary'!$K:$K,""),'Pokemon Editor'!$A:$A,'Pokemon Editor'!$F:$F,0)+31+FLOOR(XLOOKUP($Q201,'Threshold Summary'!$Y:$Y,'Threshold Summary'!$P:$P,"")/4))*XLOOKUP($Q201,'Threshold Summary'!$Y:$Y,'Threshold Summary'!$L:$L,""))/100)+5)*XLOOKUP(XLOOKUP($Q201,'Threshold Summary'!$Y:$Y,'Threshold Summary'!$M:$M,""),'Nature Editor'!$A:$A,'Nature Editor'!$B:$B,1)),FLOOR((FLOOR(((2*XLOOKUP(XLOOKUP($Q201,'Threshold Summary'!$Y:$Y,'Threshold Summary'!$K:$K,""),'Pokemon Editor'!$A:$A,'Pokemon Editor'!$H:$H,0)+31+FLOOR(XLOOKUP($Q201,'Threshold Summary'!$Y:$Y,'Threshold Summary'!$R:$R,"")/4))*XLOOKUP($Q201,'Threshold Summary'!$Y:$Y,'Threshold Summary'!$L:$L,""))/100)+5)*XLOOKUP(XLOOKUP($Q201,'Threshold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Editor'!$E:$E,1))),stab,IF(OR(mtype=XLOOKUP(XLOOKUP($Q201,'Threshold Summary'!$Y:$Y,'Threshold Summary'!$K:$K,""),'Pokemon Editor'!$A:$A,'Pokemon Editor'!$C:$C,""),mtype=XLOOKUP(XLOOKUP($Q201,'Threshold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Chart'!$B$1:$S$1,0)))),base,IF(OR(cat="Status",pow=0),0,FLOOR(FLOOR(FLOOR((2*XLOOKUP($Q201,'Threshold Summary'!$Y:$Y,'Threshold Summary'!$L:$L,"")/5+2)*pow*atk/def)/50)+2)),modifier,stab*eff,AVERAGE(ARRAYFORMULA(FLOOR(base*modifier*SEQUENCE(16,1,85,1)/100)))),0)</f>
        <v/>
      </c>
      <c r="M201" s="3">
        <f>IFERROR(LET(mtype,XLOOKUP($D201,'Move Editor'!$B:$B,'Move Editor'!$C:$C,""),cat,XLOOKUP($D201,'Move Editor'!$B:$B,'Move Editor'!$D:$D,""),pow,XLOOKUP($D201,'Move Editor'!$B:$B,'Move Editor'!$E:$E,0),acc,XLOOKUP($D201,'Move Editor'!$B:$B,'Move Editor'!$F:$F,100),atk,IF(cat="Physical",FLOOR((FLOOR(((2*XLOOKUP(XLOOKUP($Q201,'Threshold Summary'!$Y:$Y,'Threshold Summary'!$K:$K,""),'Pokemon Editor'!$A:$A,'Pokemon Editor'!$F:$F,0)+31+FLOOR(XLOOKUP($Q201,'Threshold Summary'!$Y:$Y,'Threshold Summary'!$P:$P,"")/4))*XLOOKUP($Q201,'Threshold Summary'!$Y:$Y,'Threshold Summary'!$L:$L,""))/100)+5)*XLOOKUP(XLOOKUP($Q201,'Threshold Summary'!$Y:$Y,'Threshold Summary'!$M:$M,""),'Nature Editor'!$A:$A,'Nature Editor'!$B:$B,1)),FLOOR((FLOOR(((2*XLOOKUP(XLOOKUP($Q201,'Threshold Summary'!$Y:$Y,'Threshold Summary'!$K:$K,""),'Pokemon Editor'!$A:$A,'Pokemon Editor'!$H:$H,0)+31+FLOOR(XLOOKUP($Q201,'Threshold Summary'!$Y:$Y,'Threshold Summary'!$R:$R,"")/4))*XLOOKUP($Q201,'Threshold Summary'!$Y:$Y,'Threshold Summary'!$L:$L,""))/100)+5)*XLOOKUP(XLOOKUP($Q201,'Threshold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Editor'!$E:$E,1))),stab,IF(OR(mtype=XLOOKUP(XLOOKUP($Q201,'Threshold Summary'!$Y:$Y,'Threshold Summary'!$K:$K,""),'Pokemon Editor'!$A:$A,'Pokemon Editor'!$C:$C,""),mtype=XLOOKUP(XLOOKUP($Q201,'Threshold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Chart'!$B$1:$S$1,0)))),base,IF(OR(cat="Status",pow=0),0,FLOOR(FLOOR(FLOOR((2*XLOOKUP($Q201,'Threshold Summary'!$Y:$Y,'Threshold Summary'!$L:$L,"")/5+2)*pow*atk/def)/50)+2)),modifier,stab*eff,AVERAGE(ARRAYFORMULA(FLOOR(base*modifier*SEQUENCE(16,1,85,1)/100)))*MIN(1,acc/100)),0)</f>
        <v/>
      </c>
      <c r="N201" s="4">
        <f>IFERROR(LET(mtype,XLOOKUP($D201,'Move Editor'!$B:$B,'Move Editor'!$C:$C,""),cat,XLOOKUP($D201,'Move Editor'!$B:$B,'Move Editor'!$D:$D,""),pow,XLOOKUP($D201,'Move Editor'!$B:$B,'Move Editor'!$E:$E,0),acc,XLOOKUP($D201,'Move Editor'!$B:$B,'Move Editor'!$F:$F,100),atk,IF(cat="Physical",FLOOR((FLOOR(((2*XLOOKUP(XLOOKUP($Q201,'Threshold Summary'!$Y:$Y,'Threshold Summary'!$K:$K,""),'Pokemon Editor'!$A:$A,'Pokemon Editor'!$F:$F,0)+31+FLOOR(XLOOKUP($Q201,'Threshold Summary'!$Y:$Y,'Threshold Summary'!$P:$P,"")/4))*XLOOKUP($Q201,'Threshold Summary'!$Y:$Y,'Threshold Summary'!$L:$L,""))/100)+5)*XLOOKUP(XLOOKUP($Q201,'Threshold Summary'!$Y:$Y,'Threshold Summary'!$M:$M,""),'Nature Editor'!$A:$A,'Nature Editor'!$B:$B,1)),FLOOR((FLOOR(((2*XLOOKUP(XLOOKUP($Q201,'Threshold Summary'!$Y:$Y,'Threshold Summary'!$K:$K,""),'Pokemon Editor'!$A:$A,'Pokemon Editor'!$H:$H,0)+31+FLOOR(XLOOKUP($Q201,'Threshold Summary'!$Y:$Y,'Threshold Summary'!$R:$R,"")/4))*XLOOKUP($Q201,'Threshold Summary'!$Y:$Y,'Threshold Summary'!$L:$L,""))/100)+5)*XLOOKUP(XLOOKUP($Q201,'Threshold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Editor'!$E:$E,1))),stab,IF(OR(mtype=XLOOKUP(XLOOKUP($Q201,'Threshold Summary'!$Y:$Y,'Threshold Summary'!$K:$K,""),'Pokemon Editor'!$A:$A,'Pokemon Editor'!$C:$C,""),mtype=XLOOKUP(XLOOKUP($Q201,'Threshold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Chart'!$B$1:$S$1,0)))),base,IF(OR(cat="Status",pow=0),0,FLOOR(FLOOR(FLOOR((2*XLOOKUP($Q201,'Threshold Summary'!$Y:$Y,'Threshold Summary'!$L:$L,"")/5+2)*pow*atk/def)/50)+2)),modifier,stab*eff,AVERAGE(ARRAYFORMULA(FLOOR(base*modifier*SEQUENCE(16,1,85,1)/100)))/(FLOOR(((2*XLOOKUP('Boss Editor'!$C$4,'Pokemon Editor'!$A:$A,'Pokemon Editor'!$E:$E,0)+31+FLOOR('Boss Editor'!$G$4/4))*'Boss Editor'!$D$4)/100)+'Boss Editor'!$D$4+10)),0)</f>
        <v/>
      </c>
      <c r="O201" s="3">
        <f>IF(N201&gt;=1,"OHKO",IF(N201&gt;=0.5,"2HKO",IF(N201&gt;=0.333,"3HKO",IF(N201&gt;=0.25,"4HKO","5HKO+"))))</f>
        <v/>
      </c>
      <c r="P201" s="3" t="inlineStr">
        <is>
          <t>Live from editable databases</t>
        </is>
      </c>
      <c r="Q201" s="3" t="inlineStr">
        <is>
          <t>SPECIES_TAILLOW</t>
        </is>
      </c>
      <c r="R201" s="3" t="n">
        <v>8</v>
      </c>
    </row>
    <row r="202">
      <c r="A202" s="3">
        <f>XLOOKUP($Q202,'Threshold Summary'!$Y:$Y,'Threshold Summary'!$A:$A,"")</f>
        <v/>
      </c>
      <c r="B202" s="3">
        <f>XLOOKUP($Q202,'Threshold Summary'!$Y:$Y,'Threshold Summary'!$M:$M,"")</f>
        <v/>
      </c>
      <c r="C202" s="3">
        <f>XLOOKUP($Q202,'Threshold Summary'!$Y:$Y,'Threshold Summary'!$N:$N,"")</f>
        <v/>
      </c>
      <c r="D202" s="3">
        <f>IFERROR(INDEX(FILTER('Learnset Editor'!$D$2:$D,'Learnset Editor'!$A$2:$A=XLOOKUP($Q202,'Threshold Summary'!$Y:$Y,'Threshold Summary'!$K:$K,""),'Learnset Editor'!$C$2:$C&lt;=XLOOKUP($Q202,'Threshold Summary'!$Y:$Y,'Threshold Summary'!$L:$L,"")),$R202),"")</f>
        <v/>
      </c>
      <c r="E202" s="3">
        <f>XLOOKUP(D202,'Move Editor'!$B:$B,'Move Editor'!$C:$C,"")</f>
        <v/>
      </c>
      <c r="F202" s="3">
        <f>XLOOKUP(D202,'Move Editor'!$B:$B,'Move Editor'!$D:$D,"")</f>
        <v/>
      </c>
      <c r="G202" s="3">
        <f>XLOOKUP(D202,'Move Editor'!$B:$B,'Move Editor'!$E:$E,0)</f>
        <v/>
      </c>
      <c r="H202" s="3">
        <f>XLOOKUP(D202,'Move Editor'!$B:$B,'Move Editor'!$F:$F,0)</f>
        <v/>
      </c>
      <c r="I202" s="3">
        <f>(INDEX('Type Chart'!$B:$S,MATCH(E202,'Type Chart'!$A:$A,0),MATCH(XLOOKUP('Boss Editor'!$C$4,'Pokemon Editor'!$A:$A,'Pokemon Editor'!$C:$C,""),'Type Chart'!$B$1:$S$1,0))*IF(XLOOKUP('Boss Editor'!$C$4,'Pokemon Editor'!$A:$A,'Pokemon Editor'!$D:$D,"")="",1,INDEX('Type Chart'!$B:$S,MATCH(E202,'Type Chart'!$A:$A,0),MATCH(XLOOKUP('Boss Editor'!$C$4,'Pokemon Editor'!$A:$A,'Pokemon Editor'!$D:$D,""),'Type Chart'!$B$1:$S$1,0))))</f>
        <v/>
      </c>
      <c r="J202" s="3">
        <f>IFERROR(LET(mtype,XLOOKUP($D202,'Move Editor'!$B:$B,'Move Editor'!$C:$C,""),cat,XLOOKUP($D202,'Move Editor'!$B:$B,'Move Editor'!$D:$D,""),pow,XLOOKUP($D202,'Move Editor'!$B:$B,'Move Editor'!$E:$E,0),acc,XLOOKUP($D202,'Move Editor'!$B:$B,'Move Editor'!$F:$F,100),atk,IF(cat="Physical",FLOOR((FLOOR(((2*XLOOKUP(XLOOKUP($Q202,'Threshold Summary'!$Y:$Y,'Threshold Summary'!$K:$K,""),'Pokemon Editor'!$A:$A,'Pokemon Editor'!$F:$F,0)+31+FLOOR(XLOOKUP($Q202,'Threshold Summary'!$Y:$Y,'Threshold Summary'!$P:$P,"")/4))*XLOOKUP($Q202,'Threshold Summary'!$Y:$Y,'Threshold Summary'!$L:$L,""))/100)+5)*XLOOKUP(XLOOKUP($Q202,'Threshold Summary'!$Y:$Y,'Threshold Summary'!$M:$M,""),'Nature Editor'!$A:$A,'Nature Editor'!$B:$B,1)),FLOOR((FLOOR(((2*XLOOKUP(XLOOKUP($Q202,'Threshold Summary'!$Y:$Y,'Threshold Summary'!$K:$K,""),'Pokemon Editor'!$A:$A,'Pokemon Editor'!$H:$H,0)+31+FLOOR(XLOOKUP($Q202,'Threshold Summary'!$Y:$Y,'Threshold Summary'!$R:$R,"")/4))*XLOOKUP($Q202,'Threshold Summary'!$Y:$Y,'Threshold Summary'!$L:$L,""))/100)+5)*XLOOKUP(XLOOKUP($Q202,'Threshold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Editor'!$E:$E,1))),stab,IF(OR(mtype=XLOOKUP(XLOOKUP($Q202,'Threshold Summary'!$Y:$Y,'Threshold Summary'!$K:$K,""),'Pokemon Editor'!$A:$A,'Pokemon Editor'!$C:$C,""),mtype=XLOOKUP(XLOOKUP($Q202,'Threshold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Chart'!$B$1:$S$1,0)))),base,IF(OR(cat="Status",pow=0),0,FLOOR(FLOOR(FLOOR((2*XLOOKUP($Q202,'Threshold Summary'!$Y:$Y,'Threshold Summary'!$L:$L,"")/5+2)*pow*atk/def)/50)+2)),modifier,stab*eff,FLOOR(base*modifier*0.85)),0)</f>
        <v/>
      </c>
      <c r="K202" s="3">
        <f>IFERROR(LET(mtype,XLOOKUP($D202,'Move Editor'!$B:$B,'Move Editor'!$C:$C,""),cat,XLOOKUP($D202,'Move Editor'!$B:$B,'Move Editor'!$D:$D,""),pow,XLOOKUP($D202,'Move Editor'!$B:$B,'Move Editor'!$E:$E,0),acc,XLOOKUP($D202,'Move Editor'!$B:$B,'Move Editor'!$F:$F,100),atk,IF(cat="Physical",FLOOR((FLOOR(((2*XLOOKUP(XLOOKUP($Q202,'Threshold Summary'!$Y:$Y,'Threshold Summary'!$K:$K,""),'Pokemon Editor'!$A:$A,'Pokemon Editor'!$F:$F,0)+31+FLOOR(XLOOKUP($Q202,'Threshold Summary'!$Y:$Y,'Threshold Summary'!$P:$P,"")/4))*XLOOKUP($Q202,'Threshold Summary'!$Y:$Y,'Threshold Summary'!$L:$L,""))/100)+5)*XLOOKUP(XLOOKUP($Q202,'Threshold Summary'!$Y:$Y,'Threshold Summary'!$M:$M,""),'Nature Editor'!$A:$A,'Nature Editor'!$B:$B,1)),FLOOR((FLOOR(((2*XLOOKUP(XLOOKUP($Q202,'Threshold Summary'!$Y:$Y,'Threshold Summary'!$K:$K,""),'Pokemon Editor'!$A:$A,'Pokemon Editor'!$H:$H,0)+31+FLOOR(XLOOKUP($Q202,'Threshold Summary'!$Y:$Y,'Threshold Summary'!$R:$R,"")/4))*XLOOKUP($Q202,'Threshold Summary'!$Y:$Y,'Threshold Summary'!$L:$L,""))/100)+5)*XLOOKUP(XLOOKUP($Q202,'Threshold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Editor'!$E:$E,1))),stab,IF(OR(mtype=XLOOKUP(XLOOKUP($Q202,'Threshold Summary'!$Y:$Y,'Threshold Summary'!$K:$K,""),'Pokemon Editor'!$A:$A,'Pokemon Editor'!$C:$C,""),mtype=XLOOKUP(XLOOKUP($Q202,'Threshold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Chart'!$B$1:$S$1,0)))),base,IF(OR(cat="Status",pow=0),0,FLOOR(FLOOR(FLOOR((2*XLOOKUP($Q202,'Threshold Summary'!$Y:$Y,'Threshold Summary'!$L:$L,"")/5+2)*pow*atk/def)/50)+2)),modifier,stab*eff,FLOOR(base*modifier)),0)</f>
        <v/>
      </c>
      <c r="L202" s="3">
        <f>IFERROR(LET(mtype,XLOOKUP($D202,'Move Editor'!$B:$B,'Move Editor'!$C:$C,""),cat,XLOOKUP($D202,'Move Editor'!$B:$B,'Move Editor'!$D:$D,""),pow,XLOOKUP($D202,'Move Editor'!$B:$B,'Move Editor'!$E:$E,0),acc,XLOOKUP($D202,'Move Editor'!$B:$B,'Move Editor'!$F:$F,100),atk,IF(cat="Physical",FLOOR((FLOOR(((2*XLOOKUP(XLOOKUP($Q202,'Threshold Summary'!$Y:$Y,'Threshold Summary'!$K:$K,""),'Pokemon Editor'!$A:$A,'Pokemon Editor'!$F:$F,0)+31+FLOOR(XLOOKUP($Q202,'Threshold Summary'!$Y:$Y,'Threshold Summary'!$P:$P,"")/4))*XLOOKUP($Q202,'Threshold Summary'!$Y:$Y,'Threshold Summary'!$L:$L,""))/100)+5)*XLOOKUP(XLOOKUP($Q202,'Threshold Summary'!$Y:$Y,'Threshold Summary'!$M:$M,""),'Nature Editor'!$A:$A,'Nature Editor'!$B:$B,1)),FLOOR((FLOOR(((2*XLOOKUP(XLOOKUP($Q202,'Threshold Summary'!$Y:$Y,'Threshold Summary'!$K:$K,""),'Pokemon Editor'!$A:$A,'Pokemon Editor'!$H:$H,0)+31+FLOOR(XLOOKUP($Q202,'Threshold Summary'!$Y:$Y,'Threshold Summary'!$R:$R,"")/4))*XLOOKUP($Q202,'Threshold Summary'!$Y:$Y,'Threshold Summary'!$L:$L,""))/100)+5)*XLOOKUP(XLOOKUP($Q202,'Threshold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Editor'!$E:$E,1))),stab,IF(OR(mtype=XLOOKUP(XLOOKUP($Q202,'Threshold Summary'!$Y:$Y,'Threshold Summary'!$K:$K,""),'Pokemon Editor'!$A:$A,'Pokemon Editor'!$C:$C,""),mtype=XLOOKUP(XLOOKUP($Q202,'Threshold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Chart'!$B$1:$S$1,0)))),base,IF(OR(cat="Status",pow=0),0,FLOOR(FLOOR(FLOOR((2*XLOOKUP($Q202,'Threshold Summary'!$Y:$Y,'Threshold Summary'!$L:$L,"")/5+2)*pow*atk/def)/50)+2)),modifier,stab*eff,AVERAGE(ARRAYFORMULA(FLOOR(base*modifier*SEQUENCE(16,1,85,1)/100)))),0)</f>
        <v/>
      </c>
      <c r="M202" s="3">
        <f>IFERROR(LET(mtype,XLOOKUP($D202,'Move Editor'!$B:$B,'Move Editor'!$C:$C,""),cat,XLOOKUP($D202,'Move Editor'!$B:$B,'Move Editor'!$D:$D,""),pow,XLOOKUP($D202,'Move Editor'!$B:$B,'Move Editor'!$E:$E,0),acc,XLOOKUP($D202,'Move Editor'!$B:$B,'Move Editor'!$F:$F,100),atk,IF(cat="Physical",FLOOR((FLOOR(((2*XLOOKUP(XLOOKUP($Q202,'Threshold Summary'!$Y:$Y,'Threshold Summary'!$K:$K,""),'Pokemon Editor'!$A:$A,'Pokemon Editor'!$F:$F,0)+31+FLOOR(XLOOKUP($Q202,'Threshold Summary'!$Y:$Y,'Threshold Summary'!$P:$P,"")/4))*XLOOKUP($Q202,'Threshold Summary'!$Y:$Y,'Threshold Summary'!$L:$L,""))/100)+5)*XLOOKUP(XLOOKUP($Q202,'Threshold Summary'!$Y:$Y,'Threshold Summary'!$M:$M,""),'Nature Editor'!$A:$A,'Nature Editor'!$B:$B,1)),FLOOR((FLOOR(((2*XLOOKUP(XLOOKUP($Q202,'Threshold Summary'!$Y:$Y,'Threshold Summary'!$K:$K,""),'Pokemon Editor'!$A:$A,'Pokemon Editor'!$H:$H,0)+31+FLOOR(XLOOKUP($Q202,'Threshold Summary'!$Y:$Y,'Threshold Summary'!$R:$R,"")/4))*XLOOKUP($Q202,'Threshold Summary'!$Y:$Y,'Threshold Summary'!$L:$L,""))/100)+5)*XLOOKUP(XLOOKUP($Q202,'Threshold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Editor'!$E:$E,1))),stab,IF(OR(mtype=XLOOKUP(XLOOKUP($Q202,'Threshold Summary'!$Y:$Y,'Threshold Summary'!$K:$K,""),'Pokemon Editor'!$A:$A,'Pokemon Editor'!$C:$C,""),mtype=XLOOKUP(XLOOKUP($Q202,'Threshold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Chart'!$B$1:$S$1,0)))),base,IF(OR(cat="Status",pow=0),0,FLOOR(FLOOR(FLOOR((2*XLOOKUP($Q202,'Threshold Summary'!$Y:$Y,'Threshold Summary'!$L:$L,"")/5+2)*pow*atk/def)/50)+2)),modifier,stab*eff,AVERAGE(ARRAYFORMULA(FLOOR(base*modifier*SEQUENCE(16,1,85,1)/100)))*MIN(1,acc/100)),0)</f>
        <v/>
      </c>
      <c r="N202" s="4">
        <f>IFERROR(LET(mtype,XLOOKUP($D202,'Move Editor'!$B:$B,'Move Editor'!$C:$C,""),cat,XLOOKUP($D202,'Move Editor'!$B:$B,'Move Editor'!$D:$D,""),pow,XLOOKUP($D202,'Move Editor'!$B:$B,'Move Editor'!$E:$E,0),acc,XLOOKUP($D202,'Move Editor'!$B:$B,'Move Editor'!$F:$F,100),atk,IF(cat="Physical",FLOOR((FLOOR(((2*XLOOKUP(XLOOKUP($Q202,'Threshold Summary'!$Y:$Y,'Threshold Summary'!$K:$K,""),'Pokemon Editor'!$A:$A,'Pokemon Editor'!$F:$F,0)+31+FLOOR(XLOOKUP($Q202,'Threshold Summary'!$Y:$Y,'Threshold Summary'!$P:$P,"")/4))*XLOOKUP($Q202,'Threshold Summary'!$Y:$Y,'Threshold Summary'!$L:$L,""))/100)+5)*XLOOKUP(XLOOKUP($Q202,'Threshold Summary'!$Y:$Y,'Threshold Summary'!$M:$M,""),'Nature Editor'!$A:$A,'Nature Editor'!$B:$B,1)),FLOOR((FLOOR(((2*XLOOKUP(XLOOKUP($Q202,'Threshold Summary'!$Y:$Y,'Threshold Summary'!$K:$K,""),'Pokemon Editor'!$A:$A,'Pokemon Editor'!$H:$H,0)+31+FLOOR(XLOOKUP($Q202,'Threshold Summary'!$Y:$Y,'Threshold Summary'!$R:$R,"")/4))*XLOOKUP($Q202,'Threshold Summary'!$Y:$Y,'Threshold Summary'!$L:$L,""))/100)+5)*XLOOKUP(XLOOKUP($Q202,'Threshold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Editor'!$E:$E,1))),stab,IF(OR(mtype=XLOOKUP(XLOOKUP($Q202,'Threshold Summary'!$Y:$Y,'Threshold Summary'!$K:$K,""),'Pokemon Editor'!$A:$A,'Pokemon Editor'!$C:$C,""),mtype=XLOOKUP(XLOOKUP($Q202,'Threshold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Chart'!$B$1:$S$1,0)))),base,IF(OR(cat="Status",pow=0),0,FLOOR(FLOOR(FLOOR((2*XLOOKUP($Q202,'Threshold Summary'!$Y:$Y,'Threshold Summary'!$L:$L,"")/5+2)*pow*atk/def)/50)+2)),modifier,stab*eff,AVERAGE(ARRAYFORMULA(FLOOR(base*modifier*SEQUENCE(16,1,85,1)/100)))/(FLOOR(((2*XLOOKUP('Boss Editor'!$C$4,'Pokemon Editor'!$A:$A,'Pokemon Editor'!$E:$E,0)+31+FLOOR('Boss Editor'!$G$4/4))*'Boss Editor'!$D$4)/100)+'Boss Editor'!$D$4+10)),0)</f>
        <v/>
      </c>
      <c r="O202" s="3">
        <f>IF(N202&gt;=1,"OHKO",IF(N202&gt;=0.5,"2HKO",IF(N202&gt;=0.333,"3HKO",IF(N202&gt;=0.25,"4HKO","5HKO+"))))</f>
        <v/>
      </c>
      <c r="P202" s="3" t="inlineStr">
        <is>
          <t>Live from editable databases</t>
        </is>
      </c>
      <c r="Q202" s="3" t="inlineStr">
        <is>
          <t>SPECIES_TAILLOW</t>
        </is>
      </c>
      <c r="R202" s="3" t="n">
        <v>9</v>
      </c>
    </row>
    <row r="203">
      <c r="A203" s="3">
        <f>XLOOKUP($Q203,'Threshold Summary'!$Y:$Y,'Threshold Summary'!$A:$A,"")</f>
        <v/>
      </c>
      <c r="B203" s="3">
        <f>XLOOKUP($Q203,'Threshold Summary'!$Y:$Y,'Threshold Summary'!$M:$M,"")</f>
        <v/>
      </c>
      <c r="C203" s="3">
        <f>XLOOKUP($Q203,'Threshold Summary'!$Y:$Y,'Threshold Summary'!$N:$N,"")</f>
        <v/>
      </c>
      <c r="D203" s="3">
        <f>IFERROR(INDEX(FILTER('Learnset Editor'!$D$2:$D,'Learnset Editor'!$A$2:$A=XLOOKUP($Q203,'Threshold Summary'!$Y:$Y,'Threshold Summary'!$K:$K,""),'Learnset Editor'!$C$2:$C&lt;=XLOOKUP($Q203,'Threshold Summary'!$Y:$Y,'Threshold Summary'!$L:$L,"")),$R203),"")</f>
        <v/>
      </c>
      <c r="E203" s="3">
        <f>XLOOKUP(D203,'Move Editor'!$B:$B,'Move Editor'!$C:$C,"")</f>
        <v/>
      </c>
      <c r="F203" s="3">
        <f>XLOOKUP(D203,'Move Editor'!$B:$B,'Move Editor'!$D:$D,"")</f>
        <v/>
      </c>
      <c r="G203" s="3">
        <f>XLOOKUP(D203,'Move Editor'!$B:$B,'Move Editor'!$E:$E,0)</f>
        <v/>
      </c>
      <c r="H203" s="3">
        <f>XLOOKUP(D203,'Move Editor'!$B:$B,'Move Editor'!$F:$F,0)</f>
        <v/>
      </c>
      <c r="I203" s="3">
        <f>(INDEX('Type Chart'!$B:$S,MATCH(E203,'Type Chart'!$A:$A,0),MATCH(XLOOKUP('Boss Editor'!$C$4,'Pokemon Editor'!$A:$A,'Pokemon Editor'!$C:$C,""),'Type Chart'!$B$1:$S$1,0))*IF(XLOOKUP('Boss Editor'!$C$4,'Pokemon Editor'!$A:$A,'Pokemon Editor'!$D:$D,"")="",1,INDEX('Type Chart'!$B:$S,MATCH(E203,'Type Chart'!$A:$A,0),MATCH(XLOOKUP('Boss Editor'!$C$4,'Pokemon Editor'!$A:$A,'Pokemon Editor'!$D:$D,""),'Type Chart'!$B$1:$S$1,0))))</f>
        <v/>
      </c>
      <c r="J203" s="3">
        <f>IFERROR(LET(mtype,XLOOKUP($D203,'Move Editor'!$B:$B,'Move Editor'!$C:$C,""),cat,XLOOKUP($D203,'Move Editor'!$B:$B,'Move Editor'!$D:$D,""),pow,XLOOKUP($D203,'Move Editor'!$B:$B,'Move Editor'!$E:$E,0),acc,XLOOKUP($D203,'Move Editor'!$B:$B,'Move Editor'!$F:$F,100),atk,IF(cat="Physical",FLOOR((FLOOR(((2*XLOOKUP(XLOOKUP($Q203,'Threshold Summary'!$Y:$Y,'Threshold Summary'!$K:$K,""),'Pokemon Editor'!$A:$A,'Pokemon Editor'!$F:$F,0)+31+FLOOR(XLOOKUP($Q203,'Threshold Summary'!$Y:$Y,'Threshold Summary'!$P:$P,"")/4))*XLOOKUP($Q203,'Threshold Summary'!$Y:$Y,'Threshold Summary'!$L:$L,""))/100)+5)*XLOOKUP(XLOOKUP($Q203,'Threshold Summary'!$Y:$Y,'Threshold Summary'!$M:$M,""),'Nature Editor'!$A:$A,'Nature Editor'!$B:$B,1)),FLOOR((FLOOR(((2*XLOOKUP(XLOOKUP($Q203,'Threshold Summary'!$Y:$Y,'Threshold Summary'!$K:$K,""),'Pokemon Editor'!$A:$A,'Pokemon Editor'!$H:$H,0)+31+FLOOR(XLOOKUP($Q203,'Threshold Summary'!$Y:$Y,'Threshold Summary'!$R:$R,"")/4))*XLOOKUP($Q203,'Threshold Summary'!$Y:$Y,'Threshold Summary'!$L:$L,""))/100)+5)*XLOOKUP(XLOOKUP($Q203,'Threshold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Editor'!$E:$E,1))),stab,IF(OR(mtype=XLOOKUP(XLOOKUP($Q203,'Threshold Summary'!$Y:$Y,'Threshold Summary'!$K:$K,""),'Pokemon Editor'!$A:$A,'Pokemon Editor'!$C:$C,""),mtype=XLOOKUP(XLOOKUP($Q203,'Threshold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Chart'!$B$1:$S$1,0)))),base,IF(OR(cat="Status",pow=0),0,FLOOR(FLOOR(FLOOR((2*XLOOKUP($Q203,'Threshold Summary'!$Y:$Y,'Threshold Summary'!$L:$L,"")/5+2)*pow*atk/def)/50)+2)),modifier,stab*eff,FLOOR(base*modifier*0.85)),0)</f>
        <v/>
      </c>
      <c r="K203" s="3">
        <f>IFERROR(LET(mtype,XLOOKUP($D203,'Move Editor'!$B:$B,'Move Editor'!$C:$C,""),cat,XLOOKUP($D203,'Move Editor'!$B:$B,'Move Editor'!$D:$D,""),pow,XLOOKUP($D203,'Move Editor'!$B:$B,'Move Editor'!$E:$E,0),acc,XLOOKUP($D203,'Move Editor'!$B:$B,'Move Editor'!$F:$F,100),atk,IF(cat="Physical",FLOOR((FLOOR(((2*XLOOKUP(XLOOKUP($Q203,'Threshold Summary'!$Y:$Y,'Threshold Summary'!$K:$K,""),'Pokemon Editor'!$A:$A,'Pokemon Editor'!$F:$F,0)+31+FLOOR(XLOOKUP($Q203,'Threshold Summary'!$Y:$Y,'Threshold Summary'!$P:$P,"")/4))*XLOOKUP($Q203,'Threshold Summary'!$Y:$Y,'Threshold Summary'!$L:$L,""))/100)+5)*XLOOKUP(XLOOKUP($Q203,'Threshold Summary'!$Y:$Y,'Threshold Summary'!$M:$M,""),'Nature Editor'!$A:$A,'Nature Editor'!$B:$B,1)),FLOOR((FLOOR(((2*XLOOKUP(XLOOKUP($Q203,'Threshold Summary'!$Y:$Y,'Threshold Summary'!$K:$K,""),'Pokemon Editor'!$A:$A,'Pokemon Editor'!$H:$H,0)+31+FLOOR(XLOOKUP($Q203,'Threshold Summary'!$Y:$Y,'Threshold Summary'!$R:$R,"")/4))*XLOOKUP($Q203,'Threshold Summary'!$Y:$Y,'Threshold Summary'!$L:$L,""))/100)+5)*XLOOKUP(XLOOKUP($Q203,'Threshold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Editor'!$E:$E,1))),stab,IF(OR(mtype=XLOOKUP(XLOOKUP($Q203,'Threshold Summary'!$Y:$Y,'Threshold Summary'!$K:$K,""),'Pokemon Editor'!$A:$A,'Pokemon Editor'!$C:$C,""),mtype=XLOOKUP(XLOOKUP($Q203,'Threshold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Chart'!$B$1:$S$1,0)))),base,IF(OR(cat="Status",pow=0),0,FLOOR(FLOOR(FLOOR((2*XLOOKUP($Q203,'Threshold Summary'!$Y:$Y,'Threshold Summary'!$L:$L,"")/5+2)*pow*atk/def)/50)+2)),modifier,stab*eff,FLOOR(base*modifier)),0)</f>
        <v/>
      </c>
      <c r="L203" s="3">
        <f>IFERROR(LET(mtype,XLOOKUP($D203,'Move Editor'!$B:$B,'Move Editor'!$C:$C,""),cat,XLOOKUP($D203,'Move Editor'!$B:$B,'Move Editor'!$D:$D,""),pow,XLOOKUP($D203,'Move Editor'!$B:$B,'Move Editor'!$E:$E,0),acc,XLOOKUP($D203,'Move Editor'!$B:$B,'Move Editor'!$F:$F,100),atk,IF(cat="Physical",FLOOR((FLOOR(((2*XLOOKUP(XLOOKUP($Q203,'Threshold Summary'!$Y:$Y,'Threshold Summary'!$K:$K,""),'Pokemon Editor'!$A:$A,'Pokemon Editor'!$F:$F,0)+31+FLOOR(XLOOKUP($Q203,'Threshold Summary'!$Y:$Y,'Threshold Summary'!$P:$P,"")/4))*XLOOKUP($Q203,'Threshold Summary'!$Y:$Y,'Threshold Summary'!$L:$L,""))/100)+5)*XLOOKUP(XLOOKUP($Q203,'Threshold Summary'!$Y:$Y,'Threshold Summary'!$M:$M,""),'Nature Editor'!$A:$A,'Nature Editor'!$B:$B,1)),FLOOR((FLOOR(((2*XLOOKUP(XLOOKUP($Q203,'Threshold Summary'!$Y:$Y,'Threshold Summary'!$K:$K,""),'Pokemon Editor'!$A:$A,'Pokemon Editor'!$H:$H,0)+31+FLOOR(XLOOKUP($Q203,'Threshold Summary'!$Y:$Y,'Threshold Summary'!$R:$R,"")/4))*XLOOKUP($Q203,'Threshold Summary'!$Y:$Y,'Threshold Summary'!$L:$L,""))/100)+5)*XLOOKUP(XLOOKUP($Q203,'Threshold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Editor'!$E:$E,1))),stab,IF(OR(mtype=XLOOKUP(XLOOKUP($Q203,'Threshold Summary'!$Y:$Y,'Threshold Summary'!$K:$K,""),'Pokemon Editor'!$A:$A,'Pokemon Editor'!$C:$C,""),mtype=XLOOKUP(XLOOKUP($Q203,'Threshold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Chart'!$B$1:$S$1,0)))),base,IF(OR(cat="Status",pow=0),0,FLOOR(FLOOR(FLOOR((2*XLOOKUP($Q203,'Threshold Summary'!$Y:$Y,'Threshold Summary'!$L:$L,"")/5+2)*pow*atk/def)/50)+2)),modifier,stab*eff,AVERAGE(ARRAYFORMULA(FLOOR(base*modifier*SEQUENCE(16,1,85,1)/100)))),0)</f>
        <v/>
      </c>
      <c r="M203" s="3">
        <f>IFERROR(LET(mtype,XLOOKUP($D203,'Move Editor'!$B:$B,'Move Editor'!$C:$C,""),cat,XLOOKUP($D203,'Move Editor'!$B:$B,'Move Editor'!$D:$D,""),pow,XLOOKUP($D203,'Move Editor'!$B:$B,'Move Editor'!$E:$E,0),acc,XLOOKUP($D203,'Move Editor'!$B:$B,'Move Editor'!$F:$F,100),atk,IF(cat="Physical",FLOOR((FLOOR(((2*XLOOKUP(XLOOKUP($Q203,'Threshold Summary'!$Y:$Y,'Threshold Summary'!$K:$K,""),'Pokemon Editor'!$A:$A,'Pokemon Editor'!$F:$F,0)+31+FLOOR(XLOOKUP($Q203,'Threshold Summary'!$Y:$Y,'Threshold Summary'!$P:$P,"")/4))*XLOOKUP($Q203,'Threshold Summary'!$Y:$Y,'Threshold Summary'!$L:$L,""))/100)+5)*XLOOKUP(XLOOKUP($Q203,'Threshold Summary'!$Y:$Y,'Threshold Summary'!$M:$M,""),'Nature Editor'!$A:$A,'Nature Editor'!$B:$B,1)),FLOOR((FLOOR(((2*XLOOKUP(XLOOKUP($Q203,'Threshold Summary'!$Y:$Y,'Threshold Summary'!$K:$K,""),'Pokemon Editor'!$A:$A,'Pokemon Editor'!$H:$H,0)+31+FLOOR(XLOOKUP($Q203,'Threshold Summary'!$Y:$Y,'Threshold Summary'!$R:$R,"")/4))*XLOOKUP($Q203,'Threshold Summary'!$Y:$Y,'Threshold Summary'!$L:$L,""))/100)+5)*XLOOKUP(XLOOKUP($Q203,'Threshold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Editor'!$E:$E,1))),stab,IF(OR(mtype=XLOOKUP(XLOOKUP($Q203,'Threshold Summary'!$Y:$Y,'Threshold Summary'!$K:$K,""),'Pokemon Editor'!$A:$A,'Pokemon Editor'!$C:$C,""),mtype=XLOOKUP(XLOOKUP($Q203,'Threshold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Chart'!$B$1:$S$1,0)))),base,IF(OR(cat="Status",pow=0),0,FLOOR(FLOOR(FLOOR((2*XLOOKUP($Q203,'Threshold Summary'!$Y:$Y,'Threshold Summary'!$L:$L,"")/5+2)*pow*atk/def)/50)+2)),modifier,stab*eff,AVERAGE(ARRAYFORMULA(FLOOR(base*modifier*SEQUENCE(16,1,85,1)/100)))*MIN(1,acc/100)),0)</f>
        <v/>
      </c>
      <c r="N203" s="4">
        <f>IFERROR(LET(mtype,XLOOKUP($D203,'Move Editor'!$B:$B,'Move Editor'!$C:$C,""),cat,XLOOKUP($D203,'Move Editor'!$B:$B,'Move Editor'!$D:$D,""),pow,XLOOKUP($D203,'Move Editor'!$B:$B,'Move Editor'!$E:$E,0),acc,XLOOKUP($D203,'Move Editor'!$B:$B,'Move Editor'!$F:$F,100),atk,IF(cat="Physical",FLOOR((FLOOR(((2*XLOOKUP(XLOOKUP($Q203,'Threshold Summary'!$Y:$Y,'Threshold Summary'!$K:$K,""),'Pokemon Editor'!$A:$A,'Pokemon Editor'!$F:$F,0)+31+FLOOR(XLOOKUP($Q203,'Threshold Summary'!$Y:$Y,'Threshold Summary'!$P:$P,"")/4))*XLOOKUP($Q203,'Threshold Summary'!$Y:$Y,'Threshold Summary'!$L:$L,""))/100)+5)*XLOOKUP(XLOOKUP($Q203,'Threshold Summary'!$Y:$Y,'Threshold Summary'!$M:$M,""),'Nature Editor'!$A:$A,'Nature Editor'!$B:$B,1)),FLOOR((FLOOR(((2*XLOOKUP(XLOOKUP($Q203,'Threshold Summary'!$Y:$Y,'Threshold Summary'!$K:$K,""),'Pokemon Editor'!$A:$A,'Pokemon Editor'!$H:$H,0)+31+FLOOR(XLOOKUP($Q203,'Threshold Summary'!$Y:$Y,'Threshold Summary'!$R:$R,"")/4))*XLOOKUP($Q203,'Threshold Summary'!$Y:$Y,'Threshold Summary'!$L:$L,""))/100)+5)*XLOOKUP(XLOOKUP($Q203,'Threshold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Editor'!$E:$E,1))),stab,IF(OR(mtype=XLOOKUP(XLOOKUP($Q203,'Threshold Summary'!$Y:$Y,'Threshold Summary'!$K:$K,""),'Pokemon Editor'!$A:$A,'Pokemon Editor'!$C:$C,""),mtype=XLOOKUP(XLOOKUP($Q203,'Threshold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Chart'!$B$1:$S$1,0)))),base,IF(OR(cat="Status",pow=0),0,FLOOR(FLOOR(FLOOR((2*XLOOKUP($Q203,'Threshold Summary'!$Y:$Y,'Threshold Summary'!$L:$L,"")/5+2)*pow*atk/def)/50)+2)),modifier,stab*eff,AVERAGE(ARRAYFORMULA(FLOOR(base*modifier*SEQUENCE(16,1,85,1)/100)))/(FLOOR(((2*XLOOKUP('Boss Editor'!$C$4,'Pokemon Editor'!$A:$A,'Pokemon Editor'!$E:$E,0)+31+FLOOR('Boss Editor'!$G$4/4))*'Boss Editor'!$D$4)/100)+'Boss Editor'!$D$4+10)),0)</f>
        <v/>
      </c>
      <c r="O203" s="3">
        <f>IF(N203&gt;=1,"OHKO",IF(N203&gt;=0.5,"2HKO",IF(N203&gt;=0.333,"3HKO",IF(N203&gt;=0.25,"4HKO","5HKO+"))))</f>
        <v/>
      </c>
      <c r="P203" s="3" t="inlineStr">
        <is>
          <t>Live from editable databases</t>
        </is>
      </c>
      <c r="Q203" s="3" t="inlineStr">
        <is>
          <t>SPECIES_TAILLOW</t>
        </is>
      </c>
      <c r="R203" s="3" t="n">
        <v>10</v>
      </c>
    </row>
    <row r="204">
      <c r="A204" s="3">
        <f>XLOOKUP($Q204,'Threshold Summary'!$Y:$Y,'Threshold Summary'!$A:$A,"")</f>
        <v/>
      </c>
      <c r="B204" s="3">
        <f>XLOOKUP($Q204,'Threshold Summary'!$Y:$Y,'Threshold Summary'!$M:$M,"")</f>
        <v/>
      </c>
      <c r="C204" s="3">
        <f>XLOOKUP($Q204,'Threshold Summary'!$Y:$Y,'Threshold Summary'!$N:$N,"")</f>
        <v/>
      </c>
      <c r="D204" s="3">
        <f>IFERROR(INDEX(FILTER('Learnset Editor'!$D$2:$D,'Learnset Editor'!$A$2:$A=XLOOKUP($Q204,'Threshold Summary'!$Y:$Y,'Threshold Summary'!$K:$K,""),'Learnset Editor'!$C$2:$C&lt;=XLOOKUP($Q204,'Threshold Summary'!$Y:$Y,'Threshold Summary'!$L:$L,"")),$R204),"")</f>
        <v/>
      </c>
      <c r="E204" s="3">
        <f>XLOOKUP(D204,'Move Editor'!$B:$B,'Move Editor'!$C:$C,"")</f>
        <v/>
      </c>
      <c r="F204" s="3">
        <f>XLOOKUP(D204,'Move Editor'!$B:$B,'Move Editor'!$D:$D,"")</f>
        <v/>
      </c>
      <c r="G204" s="3">
        <f>XLOOKUP(D204,'Move Editor'!$B:$B,'Move Editor'!$E:$E,0)</f>
        <v/>
      </c>
      <c r="H204" s="3">
        <f>XLOOKUP(D204,'Move Editor'!$B:$B,'Move Editor'!$F:$F,0)</f>
        <v/>
      </c>
      <c r="I204" s="3">
        <f>(INDEX('Type Chart'!$B:$S,MATCH(E204,'Type Chart'!$A:$A,0),MATCH(XLOOKUP('Boss Editor'!$C$4,'Pokemon Editor'!$A:$A,'Pokemon Editor'!$C:$C,""),'Type Chart'!$B$1:$S$1,0))*IF(XLOOKUP('Boss Editor'!$C$4,'Pokemon Editor'!$A:$A,'Pokemon Editor'!$D:$D,"")="",1,INDEX('Type Chart'!$B:$S,MATCH(E204,'Type Chart'!$A:$A,0),MATCH(XLOOKUP('Boss Editor'!$C$4,'Pokemon Editor'!$A:$A,'Pokemon Editor'!$D:$D,""),'Type Chart'!$B$1:$S$1,0))))</f>
        <v/>
      </c>
      <c r="J204" s="3">
        <f>IFERROR(LET(mtype,XLOOKUP($D204,'Move Editor'!$B:$B,'Move Editor'!$C:$C,""),cat,XLOOKUP($D204,'Move Editor'!$B:$B,'Move Editor'!$D:$D,""),pow,XLOOKUP($D204,'Move Editor'!$B:$B,'Move Editor'!$E:$E,0),acc,XLOOKUP($D204,'Move Editor'!$B:$B,'Move Editor'!$F:$F,100),atk,IF(cat="Physical",FLOOR((FLOOR(((2*XLOOKUP(XLOOKUP($Q204,'Threshold Summary'!$Y:$Y,'Threshold Summary'!$K:$K,""),'Pokemon Editor'!$A:$A,'Pokemon Editor'!$F:$F,0)+31+FLOOR(XLOOKUP($Q204,'Threshold Summary'!$Y:$Y,'Threshold Summary'!$P:$P,"")/4))*XLOOKUP($Q204,'Threshold Summary'!$Y:$Y,'Threshold Summary'!$L:$L,""))/100)+5)*XLOOKUP(XLOOKUP($Q204,'Threshold Summary'!$Y:$Y,'Threshold Summary'!$M:$M,""),'Nature Editor'!$A:$A,'Nature Editor'!$B:$B,1)),FLOOR((FLOOR(((2*XLOOKUP(XLOOKUP($Q204,'Threshold Summary'!$Y:$Y,'Threshold Summary'!$K:$K,""),'Pokemon Editor'!$A:$A,'Pokemon Editor'!$H:$H,0)+31+FLOOR(XLOOKUP($Q204,'Threshold Summary'!$Y:$Y,'Threshold Summary'!$R:$R,"")/4))*XLOOKUP($Q204,'Threshold Summary'!$Y:$Y,'Threshold Summary'!$L:$L,""))/100)+5)*XLOOKUP(XLOOKUP($Q204,'Threshold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Editor'!$E:$E,1))),stab,IF(OR(mtype=XLOOKUP(XLOOKUP($Q204,'Threshold Summary'!$Y:$Y,'Threshold Summary'!$K:$K,""),'Pokemon Editor'!$A:$A,'Pokemon Editor'!$C:$C,""),mtype=XLOOKUP(XLOOKUP($Q204,'Threshold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Chart'!$B$1:$S$1,0)))),base,IF(OR(cat="Status",pow=0),0,FLOOR(FLOOR(FLOOR((2*XLOOKUP($Q204,'Threshold Summary'!$Y:$Y,'Threshold Summary'!$L:$L,"")/5+2)*pow*atk/def)/50)+2)),modifier,stab*eff,FLOOR(base*modifier*0.85)),0)</f>
        <v/>
      </c>
      <c r="K204" s="3">
        <f>IFERROR(LET(mtype,XLOOKUP($D204,'Move Editor'!$B:$B,'Move Editor'!$C:$C,""),cat,XLOOKUP($D204,'Move Editor'!$B:$B,'Move Editor'!$D:$D,""),pow,XLOOKUP($D204,'Move Editor'!$B:$B,'Move Editor'!$E:$E,0),acc,XLOOKUP($D204,'Move Editor'!$B:$B,'Move Editor'!$F:$F,100),atk,IF(cat="Physical",FLOOR((FLOOR(((2*XLOOKUP(XLOOKUP($Q204,'Threshold Summary'!$Y:$Y,'Threshold Summary'!$K:$K,""),'Pokemon Editor'!$A:$A,'Pokemon Editor'!$F:$F,0)+31+FLOOR(XLOOKUP($Q204,'Threshold Summary'!$Y:$Y,'Threshold Summary'!$P:$P,"")/4))*XLOOKUP($Q204,'Threshold Summary'!$Y:$Y,'Threshold Summary'!$L:$L,""))/100)+5)*XLOOKUP(XLOOKUP($Q204,'Threshold Summary'!$Y:$Y,'Threshold Summary'!$M:$M,""),'Nature Editor'!$A:$A,'Nature Editor'!$B:$B,1)),FLOOR((FLOOR(((2*XLOOKUP(XLOOKUP($Q204,'Threshold Summary'!$Y:$Y,'Threshold Summary'!$K:$K,""),'Pokemon Editor'!$A:$A,'Pokemon Editor'!$H:$H,0)+31+FLOOR(XLOOKUP($Q204,'Threshold Summary'!$Y:$Y,'Threshold Summary'!$R:$R,"")/4))*XLOOKUP($Q204,'Threshold Summary'!$Y:$Y,'Threshold Summary'!$L:$L,""))/100)+5)*XLOOKUP(XLOOKUP($Q204,'Threshold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Editor'!$E:$E,1))),stab,IF(OR(mtype=XLOOKUP(XLOOKUP($Q204,'Threshold Summary'!$Y:$Y,'Threshold Summary'!$K:$K,""),'Pokemon Editor'!$A:$A,'Pokemon Editor'!$C:$C,""),mtype=XLOOKUP(XLOOKUP($Q204,'Threshold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Chart'!$B$1:$S$1,0)))),base,IF(OR(cat="Status",pow=0),0,FLOOR(FLOOR(FLOOR((2*XLOOKUP($Q204,'Threshold Summary'!$Y:$Y,'Threshold Summary'!$L:$L,"")/5+2)*pow*atk/def)/50)+2)),modifier,stab*eff,FLOOR(base*modifier)),0)</f>
        <v/>
      </c>
      <c r="L204" s="3">
        <f>IFERROR(LET(mtype,XLOOKUP($D204,'Move Editor'!$B:$B,'Move Editor'!$C:$C,""),cat,XLOOKUP($D204,'Move Editor'!$B:$B,'Move Editor'!$D:$D,""),pow,XLOOKUP($D204,'Move Editor'!$B:$B,'Move Editor'!$E:$E,0),acc,XLOOKUP($D204,'Move Editor'!$B:$B,'Move Editor'!$F:$F,100),atk,IF(cat="Physical",FLOOR((FLOOR(((2*XLOOKUP(XLOOKUP($Q204,'Threshold Summary'!$Y:$Y,'Threshold Summary'!$K:$K,""),'Pokemon Editor'!$A:$A,'Pokemon Editor'!$F:$F,0)+31+FLOOR(XLOOKUP($Q204,'Threshold Summary'!$Y:$Y,'Threshold Summary'!$P:$P,"")/4))*XLOOKUP($Q204,'Threshold Summary'!$Y:$Y,'Threshold Summary'!$L:$L,""))/100)+5)*XLOOKUP(XLOOKUP($Q204,'Threshold Summary'!$Y:$Y,'Threshold Summary'!$M:$M,""),'Nature Editor'!$A:$A,'Nature Editor'!$B:$B,1)),FLOOR((FLOOR(((2*XLOOKUP(XLOOKUP($Q204,'Threshold Summary'!$Y:$Y,'Threshold Summary'!$K:$K,""),'Pokemon Editor'!$A:$A,'Pokemon Editor'!$H:$H,0)+31+FLOOR(XLOOKUP($Q204,'Threshold Summary'!$Y:$Y,'Threshold Summary'!$R:$R,"")/4))*XLOOKUP($Q204,'Threshold Summary'!$Y:$Y,'Threshold Summary'!$L:$L,""))/100)+5)*XLOOKUP(XLOOKUP($Q204,'Threshold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Editor'!$E:$E,1))),stab,IF(OR(mtype=XLOOKUP(XLOOKUP($Q204,'Threshold Summary'!$Y:$Y,'Threshold Summary'!$K:$K,""),'Pokemon Editor'!$A:$A,'Pokemon Editor'!$C:$C,""),mtype=XLOOKUP(XLOOKUP($Q204,'Threshold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Chart'!$B$1:$S$1,0)))),base,IF(OR(cat="Status",pow=0),0,FLOOR(FLOOR(FLOOR((2*XLOOKUP($Q204,'Threshold Summary'!$Y:$Y,'Threshold Summary'!$L:$L,"")/5+2)*pow*atk/def)/50)+2)),modifier,stab*eff,AVERAGE(ARRAYFORMULA(FLOOR(base*modifier*SEQUENCE(16,1,85,1)/100)))),0)</f>
        <v/>
      </c>
      <c r="M204" s="3">
        <f>IFERROR(LET(mtype,XLOOKUP($D204,'Move Editor'!$B:$B,'Move Editor'!$C:$C,""),cat,XLOOKUP($D204,'Move Editor'!$B:$B,'Move Editor'!$D:$D,""),pow,XLOOKUP($D204,'Move Editor'!$B:$B,'Move Editor'!$E:$E,0),acc,XLOOKUP($D204,'Move Editor'!$B:$B,'Move Editor'!$F:$F,100),atk,IF(cat="Physical",FLOOR((FLOOR(((2*XLOOKUP(XLOOKUP($Q204,'Threshold Summary'!$Y:$Y,'Threshold Summary'!$K:$K,""),'Pokemon Editor'!$A:$A,'Pokemon Editor'!$F:$F,0)+31+FLOOR(XLOOKUP($Q204,'Threshold Summary'!$Y:$Y,'Threshold Summary'!$P:$P,"")/4))*XLOOKUP($Q204,'Threshold Summary'!$Y:$Y,'Threshold Summary'!$L:$L,""))/100)+5)*XLOOKUP(XLOOKUP($Q204,'Threshold Summary'!$Y:$Y,'Threshold Summary'!$M:$M,""),'Nature Editor'!$A:$A,'Nature Editor'!$B:$B,1)),FLOOR((FLOOR(((2*XLOOKUP(XLOOKUP($Q204,'Threshold Summary'!$Y:$Y,'Threshold Summary'!$K:$K,""),'Pokemon Editor'!$A:$A,'Pokemon Editor'!$H:$H,0)+31+FLOOR(XLOOKUP($Q204,'Threshold Summary'!$Y:$Y,'Threshold Summary'!$R:$R,"")/4))*XLOOKUP($Q204,'Threshold Summary'!$Y:$Y,'Threshold Summary'!$L:$L,""))/100)+5)*XLOOKUP(XLOOKUP($Q204,'Threshold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Editor'!$E:$E,1))),stab,IF(OR(mtype=XLOOKUP(XLOOKUP($Q204,'Threshold Summary'!$Y:$Y,'Threshold Summary'!$K:$K,""),'Pokemon Editor'!$A:$A,'Pokemon Editor'!$C:$C,""),mtype=XLOOKUP(XLOOKUP($Q204,'Threshold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Chart'!$B$1:$S$1,0)))),base,IF(OR(cat="Status",pow=0),0,FLOOR(FLOOR(FLOOR((2*XLOOKUP($Q204,'Threshold Summary'!$Y:$Y,'Threshold Summary'!$L:$L,"")/5+2)*pow*atk/def)/50)+2)),modifier,stab*eff,AVERAGE(ARRAYFORMULA(FLOOR(base*modifier*SEQUENCE(16,1,85,1)/100)))*MIN(1,acc/100)),0)</f>
        <v/>
      </c>
      <c r="N204" s="4">
        <f>IFERROR(LET(mtype,XLOOKUP($D204,'Move Editor'!$B:$B,'Move Editor'!$C:$C,""),cat,XLOOKUP($D204,'Move Editor'!$B:$B,'Move Editor'!$D:$D,""),pow,XLOOKUP($D204,'Move Editor'!$B:$B,'Move Editor'!$E:$E,0),acc,XLOOKUP($D204,'Move Editor'!$B:$B,'Move Editor'!$F:$F,100),atk,IF(cat="Physical",FLOOR((FLOOR(((2*XLOOKUP(XLOOKUP($Q204,'Threshold Summary'!$Y:$Y,'Threshold Summary'!$K:$K,""),'Pokemon Editor'!$A:$A,'Pokemon Editor'!$F:$F,0)+31+FLOOR(XLOOKUP($Q204,'Threshold Summary'!$Y:$Y,'Threshold Summary'!$P:$P,"")/4))*XLOOKUP($Q204,'Threshold Summary'!$Y:$Y,'Threshold Summary'!$L:$L,""))/100)+5)*XLOOKUP(XLOOKUP($Q204,'Threshold Summary'!$Y:$Y,'Threshold Summary'!$M:$M,""),'Nature Editor'!$A:$A,'Nature Editor'!$B:$B,1)),FLOOR((FLOOR(((2*XLOOKUP(XLOOKUP($Q204,'Threshold Summary'!$Y:$Y,'Threshold Summary'!$K:$K,""),'Pokemon Editor'!$A:$A,'Pokemon Editor'!$H:$H,0)+31+FLOOR(XLOOKUP($Q204,'Threshold Summary'!$Y:$Y,'Threshold Summary'!$R:$R,"")/4))*XLOOKUP($Q204,'Threshold Summary'!$Y:$Y,'Threshold Summary'!$L:$L,""))/100)+5)*XLOOKUP(XLOOKUP($Q204,'Threshold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Editor'!$E:$E,1))),stab,IF(OR(mtype=XLOOKUP(XLOOKUP($Q204,'Threshold Summary'!$Y:$Y,'Threshold Summary'!$K:$K,""),'Pokemon Editor'!$A:$A,'Pokemon Editor'!$C:$C,""),mtype=XLOOKUP(XLOOKUP($Q204,'Threshold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Chart'!$B$1:$S$1,0)))),base,IF(OR(cat="Status",pow=0),0,FLOOR(FLOOR(FLOOR((2*XLOOKUP($Q204,'Threshold Summary'!$Y:$Y,'Threshold Summary'!$L:$L,"")/5+2)*pow*atk/def)/50)+2)),modifier,stab*eff,AVERAGE(ARRAYFORMULA(FLOOR(base*modifier*SEQUENCE(16,1,85,1)/100)))/(FLOOR(((2*XLOOKUP('Boss Editor'!$C$4,'Pokemon Editor'!$A:$A,'Pokemon Editor'!$E:$E,0)+31+FLOOR('Boss Editor'!$G$4/4))*'Boss Editor'!$D$4)/100)+'Boss Editor'!$D$4+10)),0)</f>
        <v/>
      </c>
      <c r="O204" s="3">
        <f>IF(N204&gt;=1,"OHKO",IF(N204&gt;=0.5,"2HKO",IF(N204&gt;=0.333,"3HKO",IF(N204&gt;=0.25,"4HKO","5HKO+"))))</f>
        <v/>
      </c>
      <c r="P204" s="3" t="inlineStr">
        <is>
          <t>Live from editable databases</t>
        </is>
      </c>
      <c r="Q204" s="3" t="inlineStr">
        <is>
          <t>SPECIES_TAILLOW</t>
        </is>
      </c>
      <c r="R204" s="3" t="n">
        <v>11</v>
      </c>
    </row>
    <row r="205">
      <c r="A205" s="3">
        <f>XLOOKUP($Q205,'Threshold Summary'!$Y:$Y,'Threshold Summary'!$A:$A,"")</f>
        <v/>
      </c>
      <c r="B205" s="3">
        <f>XLOOKUP($Q205,'Threshold Summary'!$Y:$Y,'Threshold Summary'!$M:$M,"")</f>
        <v/>
      </c>
      <c r="C205" s="3">
        <f>XLOOKUP($Q205,'Threshold Summary'!$Y:$Y,'Threshold Summary'!$N:$N,"")</f>
        <v/>
      </c>
      <c r="D205" s="3">
        <f>IFERROR(INDEX(FILTER('Learnset Editor'!$D$2:$D,'Learnset Editor'!$A$2:$A=XLOOKUP($Q205,'Threshold Summary'!$Y:$Y,'Threshold Summary'!$K:$K,""),'Learnset Editor'!$C$2:$C&lt;=XLOOKUP($Q205,'Threshold Summary'!$Y:$Y,'Threshold Summary'!$L:$L,"")),$R205),"")</f>
        <v/>
      </c>
      <c r="E205" s="3">
        <f>XLOOKUP(D205,'Move Editor'!$B:$B,'Move Editor'!$C:$C,"")</f>
        <v/>
      </c>
      <c r="F205" s="3">
        <f>XLOOKUP(D205,'Move Editor'!$B:$B,'Move Editor'!$D:$D,"")</f>
        <v/>
      </c>
      <c r="G205" s="3">
        <f>XLOOKUP(D205,'Move Editor'!$B:$B,'Move Editor'!$E:$E,0)</f>
        <v/>
      </c>
      <c r="H205" s="3">
        <f>XLOOKUP(D205,'Move Editor'!$B:$B,'Move Editor'!$F:$F,0)</f>
        <v/>
      </c>
      <c r="I205" s="3">
        <f>(INDEX('Type Chart'!$B:$S,MATCH(E205,'Type Chart'!$A:$A,0),MATCH(XLOOKUP('Boss Editor'!$C$4,'Pokemon Editor'!$A:$A,'Pokemon Editor'!$C:$C,""),'Type Chart'!$B$1:$S$1,0))*IF(XLOOKUP('Boss Editor'!$C$4,'Pokemon Editor'!$A:$A,'Pokemon Editor'!$D:$D,"")="",1,INDEX('Type Chart'!$B:$S,MATCH(E205,'Type Chart'!$A:$A,0),MATCH(XLOOKUP('Boss Editor'!$C$4,'Pokemon Editor'!$A:$A,'Pokemon Editor'!$D:$D,""),'Type Chart'!$B$1:$S$1,0))))</f>
        <v/>
      </c>
      <c r="J205" s="3">
        <f>IFERROR(LET(mtype,XLOOKUP($D205,'Move Editor'!$B:$B,'Move Editor'!$C:$C,""),cat,XLOOKUP($D205,'Move Editor'!$B:$B,'Move Editor'!$D:$D,""),pow,XLOOKUP($D205,'Move Editor'!$B:$B,'Move Editor'!$E:$E,0),acc,XLOOKUP($D205,'Move Editor'!$B:$B,'Move Editor'!$F:$F,100),atk,IF(cat="Physical",FLOOR((FLOOR(((2*XLOOKUP(XLOOKUP($Q205,'Threshold Summary'!$Y:$Y,'Threshold Summary'!$K:$K,""),'Pokemon Editor'!$A:$A,'Pokemon Editor'!$F:$F,0)+31+FLOOR(XLOOKUP($Q205,'Threshold Summary'!$Y:$Y,'Threshold Summary'!$P:$P,"")/4))*XLOOKUP($Q205,'Threshold Summary'!$Y:$Y,'Threshold Summary'!$L:$L,""))/100)+5)*XLOOKUP(XLOOKUP($Q205,'Threshold Summary'!$Y:$Y,'Threshold Summary'!$M:$M,""),'Nature Editor'!$A:$A,'Nature Editor'!$B:$B,1)),FLOOR((FLOOR(((2*XLOOKUP(XLOOKUP($Q205,'Threshold Summary'!$Y:$Y,'Threshold Summary'!$K:$K,""),'Pokemon Editor'!$A:$A,'Pokemon Editor'!$H:$H,0)+31+FLOOR(XLOOKUP($Q205,'Threshold Summary'!$Y:$Y,'Threshold Summary'!$R:$R,"")/4))*XLOOKUP($Q205,'Threshold Summary'!$Y:$Y,'Threshold Summary'!$L:$L,""))/100)+5)*XLOOKUP(XLOOKUP($Q205,'Threshold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Editor'!$E:$E,1))),stab,IF(OR(mtype=XLOOKUP(XLOOKUP($Q205,'Threshold Summary'!$Y:$Y,'Threshold Summary'!$K:$K,""),'Pokemon Editor'!$A:$A,'Pokemon Editor'!$C:$C,""),mtype=XLOOKUP(XLOOKUP($Q205,'Threshold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Chart'!$B$1:$S$1,0)))),base,IF(OR(cat="Status",pow=0),0,FLOOR(FLOOR(FLOOR((2*XLOOKUP($Q205,'Threshold Summary'!$Y:$Y,'Threshold Summary'!$L:$L,"")/5+2)*pow*atk/def)/50)+2)),modifier,stab*eff,FLOOR(base*modifier*0.85)),0)</f>
        <v/>
      </c>
      <c r="K205" s="3">
        <f>IFERROR(LET(mtype,XLOOKUP($D205,'Move Editor'!$B:$B,'Move Editor'!$C:$C,""),cat,XLOOKUP($D205,'Move Editor'!$B:$B,'Move Editor'!$D:$D,""),pow,XLOOKUP($D205,'Move Editor'!$B:$B,'Move Editor'!$E:$E,0),acc,XLOOKUP($D205,'Move Editor'!$B:$B,'Move Editor'!$F:$F,100),atk,IF(cat="Physical",FLOOR((FLOOR(((2*XLOOKUP(XLOOKUP($Q205,'Threshold Summary'!$Y:$Y,'Threshold Summary'!$K:$K,""),'Pokemon Editor'!$A:$A,'Pokemon Editor'!$F:$F,0)+31+FLOOR(XLOOKUP($Q205,'Threshold Summary'!$Y:$Y,'Threshold Summary'!$P:$P,"")/4))*XLOOKUP($Q205,'Threshold Summary'!$Y:$Y,'Threshold Summary'!$L:$L,""))/100)+5)*XLOOKUP(XLOOKUP($Q205,'Threshold Summary'!$Y:$Y,'Threshold Summary'!$M:$M,""),'Nature Editor'!$A:$A,'Nature Editor'!$B:$B,1)),FLOOR((FLOOR(((2*XLOOKUP(XLOOKUP($Q205,'Threshold Summary'!$Y:$Y,'Threshold Summary'!$K:$K,""),'Pokemon Editor'!$A:$A,'Pokemon Editor'!$H:$H,0)+31+FLOOR(XLOOKUP($Q205,'Threshold Summary'!$Y:$Y,'Threshold Summary'!$R:$R,"")/4))*XLOOKUP($Q205,'Threshold Summary'!$Y:$Y,'Threshold Summary'!$L:$L,""))/100)+5)*XLOOKUP(XLOOKUP($Q205,'Threshold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Editor'!$E:$E,1))),stab,IF(OR(mtype=XLOOKUP(XLOOKUP($Q205,'Threshold Summary'!$Y:$Y,'Threshold Summary'!$K:$K,""),'Pokemon Editor'!$A:$A,'Pokemon Editor'!$C:$C,""),mtype=XLOOKUP(XLOOKUP($Q205,'Threshold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Chart'!$B$1:$S$1,0)))),base,IF(OR(cat="Status",pow=0),0,FLOOR(FLOOR(FLOOR((2*XLOOKUP($Q205,'Threshold Summary'!$Y:$Y,'Threshold Summary'!$L:$L,"")/5+2)*pow*atk/def)/50)+2)),modifier,stab*eff,FLOOR(base*modifier)),0)</f>
        <v/>
      </c>
      <c r="L205" s="3">
        <f>IFERROR(LET(mtype,XLOOKUP($D205,'Move Editor'!$B:$B,'Move Editor'!$C:$C,""),cat,XLOOKUP($D205,'Move Editor'!$B:$B,'Move Editor'!$D:$D,""),pow,XLOOKUP($D205,'Move Editor'!$B:$B,'Move Editor'!$E:$E,0),acc,XLOOKUP($D205,'Move Editor'!$B:$B,'Move Editor'!$F:$F,100),atk,IF(cat="Physical",FLOOR((FLOOR(((2*XLOOKUP(XLOOKUP($Q205,'Threshold Summary'!$Y:$Y,'Threshold Summary'!$K:$K,""),'Pokemon Editor'!$A:$A,'Pokemon Editor'!$F:$F,0)+31+FLOOR(XLOOKUP($Q205,'Threshold Summary'!$Y:$Y,'Threshold Summary'!$P:$P,"")/4))*XLOOKUP($Q205,'Threshold Summary'!$Y:$Y,'Threshold Summary'!$L:$L,""))/100)+5)*XLOOKUP(XLOOKUP($Q205,'Threshold Summary'!$Y:$Y,'Threshold Summary'!$M:$M,""),'Nature Editor'!$A:$A,'Nature Editor'!$B:$B,1)),FLOOR((FLOOR(((2*XLOOKUP(XLOOKUP($Q205,'Threshold Summary'!$Y:$Y,'Threshold Summary'!$K:$K,""),'Pokemon Editor'!$A:$A,'Pokemon Editor'!$H:$H,0)+31+FLOOR(XLOOKUP($Q205,'Threshold Summary'!$Y:$Y,'Threshold Summary'!$R:$R,"")/4))*XLOOKUP($Q205,'Threshold Summary'!$Y:$Y,'Threshold Summary'!$L:$L,""))/100)+5)*XLOOKUP(XLOOKUP($Q205,'Threshold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Editor'!$E:$E,1))),stab,IF(OR(mtype=XLOOKUP(XLOOKUP($Q205,'Threshold Summary'!$Y:$Y,'Threshold Summary'!$K:$K,""),'Pokemon Editor'!$A:$A,'Pokemon Editor'!$C:$C,""),mtype=XLOOKUP(XLOOKUP($Q205,'Threshold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Chart'!$B$1:$S$1,0)))),base,IF(OR(cat="Status",pow=0),0,FLOOR(FLOOR(FLOOR((2*XLOOKUP($Q205,'Threshold Summary'!$Y:$Y,'Threshold Summary'!$L:$L,"")/5+2)*pow*atk/def)/50)+2)),modifier,stab*eff,AVERAGE(ARRAYFORMULA(FLOOR(base*modifier*SEQUENCE(16,1,85,1)/100)))),0)</f>
        <v/>
      </c>
      <c r="M205" s="3">
        <f>IFERROR(LET(mtype,XLOOKUP($D205,'Move Editor'!$B:$B,'Move Editor'!$C:$C,""),cat,XLOOKUP($D205,'Move Editor'!$B:$B,'Move Editor'!$D:$D,""),pow,XLOOKUP($D205,'Move Editor'!$B:$B,'Move Editor'!$E:$E,0),acc,XLOOKUP($D205,'Move Editor'!$B:$B,'Move Editor'!$F:$F,100),atk,IF(cat="Physical",FLOOR((FLOOR(((2*XLOOKUP(XLOOKUP($Q205,'Threshold Summary'!$Y:$Y,'Threshold Summary'!$K:$K,""),'Pokemon Editor'!$A:$A,'Pokemon Editor'!$F:$F,0)+31+FLOOR(XLOOKUP($Q205,'Threshold Summary'!$Y:$Y,'Threshold Summary'!$P:$P,"")/4))*XLOOKUP($Q205,'Threshold Summary'!$Y:$Y,'Threshold Summary'!$L:$L,""))/100)+5)*XLOOKUP(XLOOKUP($Q205,'Threshold Summary'!$Y:$Y,'Threshold Summary'!$M:$M,""),'Nature Editor'!$A:$A,'Nature Editor'!$B:$B,1)),FLOOR((FLOOR(((2*XLOOKUP(XLOOKUP($Q205,'Threshold Summary'!$Y:$Y,'Threshold Summary'!$K:$K,""),'Pokemon Editor'!$A:$A,'Pokemon Editor'!$H:$H,0)+31+FLOOR(XLOOKUP($Q205,'Threshold Summary'!$Y:$Y,'Threshold Summary'!$R:$R,"")/4))*XLOOKUP($Q205,'Threshold Summary'!$Y:$Y,'Threshold Summary'!$L:$L,""))/100)+5)*XLOOKUP(XLOOKUP($Q205,'Threshold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Editor'!$E:$E,1))),stab,IF(OR(mtype=XLOOKUP(XLOOKUP($Q205,'Threshold Summary'!$Y:$Y,'Threshold Summary'!$K:$K,""),'Pokemon Editor'!$A:$A,'Pokemon Editor'!$C:$C,""),mtype=XLOOKUP(XLOOKUP($Q205,'Threshold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Chart'!$B$1:$S$1,0)))),base,IF(OR(cat="Status",pow=0),0,FLOOR(FLOOR(FLOOR((2*XLOOKUP($Q205,'Threshold Summary'!$Y:$Y,'Threshold Summary'!$L:$L,"")/5+2)*pow*atk/def)/50)+2)),modifier,stab*eff,AVERAGE(ARRAYFORMULA(FLOOR(base*modifier*SEQUENCE(16,1,85,1)/100)))*MIN(1,acc/100)),0)</f>
        <v/>
      </c>
      <c r="N205" s="4">
        <f>IFERROR(LET(mtype,XLOOKUP($D205,'Move Editor'!$B:$B,'Move Editor'!$C:$C,""),cat,XLOOKUP($D205,'Move Editor'!$B:$B,'Move Editor'!$D:$D,""),pow,XLOOKUP($D205,'Move Editor'!$B:$B,'Move Editor'!$E:$E,0),acc,XLOOKUP($D205,'Move Editor'!$B:$B,'Move Editor'!$F:$F,100),atk,IF(cat="Physical",FLOOR((FLOOR(((2*XLOOKUP(XLOOKUP($Q205,'Threshold Summary'!$Y:$Y,'Threshold Summary'!$K:$K,""),'Pokemon Editor'!$A:$A,'Pokemon Editor'!$F:$F,0)+31+FLOOR(XLOOKUP($Q205,'Threshold Summary'!$Y:$Y,'Threshold Summary'!$P:$P,"")/4))*XLOOKUP($Q205,'Threshold Summary'!$Y:$Y,'Threshold Summary'!$L:$L,""))/100)+5)*XLOOKUP(XLOOKUP($Q205,'Threshold Summary'!$Y:$Y,'Threshold Summary'!$M:$M,""),'Nature Editor'!$A:$A,'Nature Editor'!$B:$B,1)),FLOOR((FLOOR(((2*XLOOKUP(XLOOKUP($Q205,'Threshold Summary'!$Y:$Y,'Threshold Summary'!$K:$K,""),'Pokemon Editor'!$A:$A,'Pokemon Editor'!$H:$H,0)+31+FLOOR(XLOOKUP($Q205,'Threshold Summary'!$Y:$Y,'Threshold Summary'!$R:$R,"")/4))*XLOOKUP($Q205,'Threshold Summary'!$Y:$Y,'Threshold Summary'!$L:$L,""))/100)+5)*XLOOKUP(XLOOKUP($Q205,'Threshold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Editor'!$E:$E,1))),stab,IF(OR(mtype=XLOOKUP(XLOOKUP($Q205,'Threshold Summary'!$Y:$Y,'Threshold Summary'!$K:$K,""),'Pokemon Editor'!$A:$A,'Pokemon Editor'!$C:$C,""),mtype=XLOOKUP(XLOOKUP($Q205,'Threshold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Chart'!$B$1:$S$1,0)))),base,IF(OR(cat="Status",pow=0),0,FLOOR(FLOOR(FLOOR((2*XLOOKUP($Q205,'Threshold Summary'!$Y:$Y,'Threshold Summary'!$L:$L,"")/5+2)*pow*atk/def)/50)+2)),modifier,stab*eff,AVERAGE(ARRAYFORMULA(FLOOR(base*modifier*SEQUENCE(16,1,85,1)/100)))/(FLOOR(((2*XLOOKUP('Boss Editor'!$C$4,'Pokemon Editor'!$A:$A,'Pokemon Editor'!$E:$E,0)+31+FLOOR('Boss Editor'!$G$4/4))*'Boss Editor'!$D$4)/100)+'Boss Editor'!$D$4+10)),0)</f>
        <v/>
      </c>
      <c r="O205" s="3">
        <f>IF(N205&gt;=1,"OHKO",IF(N205&gt;=0.5,"2HKO",IF(N205&gt;=0.333,"3HKO",IF(N205&gt;=0.25,"4HKO","5HKO+"))))</f>
        <v/>
      </c>
      <c r="P205" s="3" t="inlineStr">
        <is>
          <t>Live from editable databases</t>
        </is>
      </c>
      <c r="Q205" s="3" t="inlineStr">
        <is>
          <t>SPECIES_TAILLOW</t>
        </is>
      </c>
      <c r="R205" s="3" t="n">
        <v>12</v>
      </c>
    </row>
    <row r="206">
      <c r="A206" s="3">
        <f>XLOOKUP($Q206,'Threshold Summary'!$Y:$Y,'Threshold Summary'!$A:$A,"")</f>
        <v/>
      </c>
      <c r="B206" s="3">
        <f>XLOOKUP($Q206,'Threshold Summary'!$Y:$Y,'Threshold Summary'!$M:$M,"")</f>
        <v/>
      </c>
      <c r="C206" s="3">
        <f>XLOOKUP($Q206,'Threshold Summary'!$Y:$Y,'Threshold Summary'!$N:$N,"")</f>
        <v/>
      </c>
      <c r="D206" s="3">
        <f>IFERROR(INDEX(FILTER('Learnset Editor'!$D$2:$D,'Learnset Editor'!$A$2:$A=XLOOKUP($Q206,'Threshold Summary'!$Y:$Y,'Threshold Summary'!$K:$K,""),'Learnset Editor'!$C$2:$C&lt;=XLOOKUP($Q206,'Threshold Summary'!$Y:$Y,'Threshold Summary'!$L:$L,"")),$R206),"")</f>
        <v/>
      </c>
      <c r="E206" s="3">
        <f>XLOOKUP(D206,'Move Editor'!$B:$B,'Move Editor'!$C:$C,"")</f>
        <v/>
      </c>
      <c r="F206" s="3">
        <f>XLOOKUP(D206,'Move Editor'!$B:$B,'Move Editor'!$D:$D,"")</f>
        <v/>
      </c>
      <c r="G206" s="3">
        <f>XLOOKUP(D206,'Move Editor'!$B:$B,'Move Editor'!$E:$E,0)</f>
        <v/>
      </c>
      <c r="H206" s="3">
        <f>XLOOKUP(D206,'Move Editor'!$B:$B,'Move Editor'!$F:$F,0)</f>
        <v/>
      </c>
      <c r="I206" s="3">
        <f>(INDEX('Type Chart'!$B:$S,MATCH(E206,'Type Chart'!$A:$A,0),MATCH(XLOOKUP('Boss Editor'!$C$4,'Pokemon Editor'!$A:$A,'Pokemon Editor'!$C:$C,""),'Type Chart'!$B$1:$S$1,0))*IF(XLOOKUP('Boss Editor'!$C$4,'Pokemon Editor'!$A:$A,'Pokemon Editor'!$D:$D,"")="",1,INDEX('Type Chart'!$B:$S,MATCH(E206,'Type Chart'!$A:$A,0),MATCH(XLOOKUP('Boss Editor'!$C$4,'Pokemon Editor'!$A:$A,'Pokemon Editor'!$D:$D,""),'Type Chart'!$B$1:$S$1,0))))</f>
        <v/>
      </c>
      <c r="J206" s="3">
        <f>IFERROR(LET(mtype,XLOOKUP($D206,'Move Editor'!$B:$B,'Move Editor'!$C:$C,""),cat,XLOOKUP($D206,'Move Editor'!$B:$B,'Move Editor'!$D:$D,""),pow,XLOOKUP($D206,'Move Editor'!$B:$B,'Move Editor'!$E:$E,0),acc,XLOOKUP($D206,'Move Editor'!$B:$B,'Move Editor'!$F:$F,100),atk,IF(cat="Physical",FLOOR((FLOOR(((2*XLOOKUP(XLOOKUP($Q206,'Threshold Summary'!$Y:$Y,'Threshold Summary'!$K:$K,""),'Pokemon Editor'!$A:$A,'Pokemon Editor'!$F:$F,0)+31+FLOOR(XLOOKUP($Q206,'Threshold Summary'!$Y:$Y,'Threshold Summary'!$P:$P,"")/4))*XLOOKUP($Q206,'Threshold Summary'!$Y:$Y,'Threshold Summary'!$L:$L,""))/100)+5)*XLOOKUP(XLOOKUP($Q206,'Threshold Summary'!$Y:$Y,'Threshold Summary'!$M:$M,""),'Nature Editor'!$A:$A,'Nature Editor'!$B:$B,1)),FLOOR((FLOOR(((2*XLOOKUP(XLOOKUP($Q206,'Threshold Summary'!$Y:$Y,'Threshold Summary'!$K:$K,""),'Pokemon Editor'!$A:$A,'Pokemon Editor'!$H:$H,0)+31+FLOOR(XLOOKUP($Q206,'Threshold Summary'!$Y:$Y,'Threshold Summary'!$R:$R,"")/4))*XLOOKUP($Q206,'Threshold Summary'!$Y:$Y,'Threshold Summary'!$L:$L,""))/100)+5)*XLOOKUP(XLOOKUP($Q206,'Threshold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Editor'!$E:$E,1))),stab,IF(OR(mtype=XLOOKUP(XLOOKUP($Q206,'Threshold Summary'!$Y:$Y,'Threshold Summary'!$K:$K,""),'Pokemon Editor'!$A:$A,'Pokemon Editor'!$C:$C,""),mtype=XLOOKUP(XLOOKUP($Q206,'Threshold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Chart'!$B$1:$S$1,0)))),base,IF(OR(cat="Status",pow=0),0,FLOOR(FLOOR(FLOOR((2*XLOOKUP($Q206,'Threshold Summary'!$Y:$Y,'Threshold Summary'!$L:$L,"")/5+2)*pow*atk/def)/50)+2)),modifier,stab*eff,FLOOR(base*modifier*0.85)),0)</f>
        <v/>
      </c>
      <c r="K206" s="3">
        <f>IFERROR(LET(mtype,XLOOKUP($D206,'Move Editor'!$B:$B,'Move Editor'!$C:$C,""),cat,XLOOKUP($D206,'Move Editor'!$B:$B,'Move Editor'!$D:$D,""),pow,XLOOKUP($D206,'Move Editor'!$B:$B,'Move Editor'!$E:$E,0),acc,XLOOKUP($D206,'Move Editor'!$B:$B,'Move Editor'!$F:$F,100),atk,IF(cat="Physical",FLOOR((FLOOR(((2*XLOOKUP(XLOOKUP($Q206,'Threshold Summary'!$Y:$Y,'Threshold Summary'!$K:$K,""),'Pokemon Editor'!$A:$A,'Pokemon Editor'!$F:$F,0)+31+FLOOR(XLOOKUP($Q206,'Threshold Summary'!$Y:$Y,'Threshold Summary'!$P:$P,"")/4))*XLOOKUP($Q206,'Threshold Summary'!$Y:$Y,'Threshold Summary'!$L:$L,""))/100)+5)*XLOOKUP(XLOOKUP($Q206,'Threshold Summary'!$Y:$Y,'Threshold Summary'!$M:$M,""),'Nature Editor'!$A:$A,'Nature Editor'!$B:$B,1)),FLOOR((FLOOR(((2*XLOOKUP(XLOOKUP($Q206,'Threshold Summary'!$Y:$Y,'Threshold Summary'!$K:$K,""),'Pokemon Editor'!$A:$A,'Pokemon Editor'!$H:$H,0)+31+FLOOR(XLOOKUP($Q206,'Threshold Summary'!$Y:$Y,'Threshold Summary'!$R:$R,"")/4))*XLOOKUP($Q206,'Threshold Summary'!$Y:$Y,'Threshold Summary'!$L:$L,""))/100)+5)*XLOOKUP(XLOOKUP($Q206,'Threshold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Editor'!$E:$E,1))),stab,IF(OR(mtype=XLOOKUP(XLOOKUP($Q206,'Threshold Summary'!$Y:$Y,'Threshold Summary'!$K:$K,""),'Pokemon Editor'!$A:$A,'Pokemon Editor'!$C:$C,""),mtype=XLOOKUP(XLOOKUP($Q206,'Threshold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Chart'!$B$1:$S$1,0)))),base,IF(OR(cat="Status",pow=0),0,FLOOR(FLOOR(FLOOR((2*XLOOKUP($Q206,'Threshold Summary'!$Y:$Y,'Threshold Summary'!$L:$L,"")/5+2)*pow*atk/def)/50)+2)),modifier,stab*eff,FLOOR(base*modifier)),0)</f>
        <v/>
      </c>
      <c r="L206" s="3">
        <f>IFERROR(LET(mtype,XLOOKUP($D206,'Move Editor'!$B:$B,'Move Editor'!$C:$C,""),cat,XLOOKUP($D206,'Move Editor'!$B:$B,'Move Editor'!$D:$D,""),pow,XLOOKUP($D206,'Move Editor'!$B:$B,'Move Editor'!$E:$E,0),acc,XLOOKUP($D206,'Move Editor'!$B:$B,'Move Editor'!$F:$F,100),atk,IF(cat="Physical",FLOOR((FLOOR(((2*XLOOKUP(XLOOKUP($Q206,'Threshold Summary'!$Y:$Y,'Threshold Summary'!$K:$K,""),'Pokemon Editor'!$A:$A,'Pokemon Editor'!$F:$F,0)+31+FLOOR(XLOOKUP($Q206,'Threshold Summary'!$Y:$Y,'Threshold Summary'!$P:$P,"")/4))*XLOOKUP($Q206,'Threshold Summary'!$Y:$Y,'Threshold Summary'!$L:$L,""))/100)+5)*XLOOKUP(XLOOKUP($Q206,'Threshold Summary'!$Y:$Y,'Threshold Summary'!$M:$M,""),'Nature Editor'!$A:$A,'Nature Editor'!$B:$B,1)),FLOOR((FLOOR(((2*XLOOKUP(XLOOKUP($Q206,'Threshold Summary'!$Y:$Y,'Threshold Summary'!$K:$K,""),'Pokemon Editor'!$A:$A,'Pokemon Editor'!$H:$H,0)+31+FLOOR(XLOOKUP($Q206,'Threshold Summary'!$Y:$Y,'Threshold Summary'!$R:$R,"")/4))*XLOOKUP($Q206,'Threshold Summary'!$Y:$Y,'Threshold Summary'!$L:$L,""))/100)+5)*XLOOKUP(XLOOKUP($Q206,'Threshold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Editor'!$E:$E,1))),stab,IF(OR(mtype=XLOOKUP(XLOOKUP($Q206,'Threshold Summary'!$Y:$Y,'Threshold Summary'!$K:$K,""),'Pokemon Editor'!$A:$A,'Pokemon Editor'!$C:$C,""),mtype=XLOOKUP(XLOOKUP($Q206,'Threshold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Chart'!$B$1:$S$1,0)))),base,IF(OR(cat="Status",pow=0),0,FLOOR(FLOOR(FLOOR((2*XLOOKUP($Q206,'Threshold Summary'!$Y:$Y,'Threshold Summary'!$L:$L,"")/5+2)*pow*atk/def)/50)+2)),modifier,stab*eff,AVERAGE(ARRAYFORMULA(FLOOR(base*modifier*SEQUENCE(16,1,85,1)/100)))),0)</f>
        <v/>
      </c>
      <c r="M206" s="3">
        <f>IFERROR(LET(mtype,XLOOKUP($D206,'Move Editor'!$B:$B,'Move Editor'!$C:$C,""),cat,XLOOKUP($D206,'Move Editor'!$B:$B,'Move Editor'!$D:$D,""),pow,XLOOKUP($D206,'Move Editor'!$B:$B,'Move Editor'!$E:$E,0),acc,XLOOKUP($D206,'Move Editor'!$B:$B,'Move Editor'!$F:$F,100),atk,IF(cat="Physical",FLOOR((FLOOR(((2*XLOOKUP(XLOOKUP($Q206,'Threshold Summary'!$Y:$Y,'Threshold Summary'!$K:$K,""),'Pokemon Editor'!$A:$A,'Pokemon Editor'!$F:$F,0)+31+FLOOR(XLOOKUP($Q206,'Threshold Summary'!$Y:$Y,'Threshold Summary'!$P:$P,"")/4))*XLOOKUP($Q206,'Threshold Summary'!$Y:$Y,'Threshold Summary'!$L:$L,""))/100)+5)*XLOOKUP(XLOOKUP($Q206,'Threshold Summary'!$Y:$Y,'Threshold Summary'!$M:$M,""),'Nature Editor'!$A:$A,'Nature Editor'!$B:$B,1)),FLOOR((FLOOR(((2*XLOOKUP(XLOOKUP($Q206,'Threshold Summary'!$Y:$Y,'Threshold Summary'!$K:$K,""),'Pokemon Editor'!$A:$A,'Pokemon Editor'!$H:$H,0)+31+FLOOR(XLOOKUP($Q206,'Threshold Summary'!$Y:$Y,'Threshold Summary'!$R:$R,"")/4))*XLOOKUP($Q206,'Threshold Summary'!$Y:$Y,'Threshold Summary'!$L:$L,""))/100)+5)*XLOOKUP(XLOOKUP($Q206,'Threshold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Editor'!$E:$E,1))),stab,IF(OR(mtype=XLOOKUP(XLOOKUP($Q206,'Threshold Summary'!$Y:$Y,'Threshold Summary'!$K:$K,""),'Pokemon Editor'!$A:$A,'Pokemon Editor'!$C:$C,""),mtype=XLOOKUP(XLOOKUP($Q206,'Threshold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Chart'!$B$1:$S$1,0)))),base,IF(OR(cat="Status",pow=0),0,FLOOR(FLOOR(FLOOR((2*XLOOKUP($Q206,'Threshold Summary'!$Y:$Y,'Threshold Summary'!$L:$L,"")/5+2)*pow*atk/def)/50)+2)),modifier,stab*eff,AVERAGE(ARRAYFORMULA(FLOOR(base*modifier*SEQUENCE(16,1,85,1)/100)))*MIN(1,acc/100)),0)</f>
        <v/>
      </c>
      <c r="N206" s="4">
        <f>IFERROR(LET(mtype,XLOOKUP($D206,'Move Editor'!$B:$B,'Move Editor'!$C:$C,""),cat,XLOOKUP($D206,'Move Editor'!$B:$B,'Move Editor'!$D:$D,""),pow,XLOOKUP($D206,'Move Editor'!$B:$B,'Move Editor'!$E:$E,0),acc,XLOOKUP($D206,'Move Editor'!$B:$B,'Move Editor'!$F:$F,100),atk,IF(cat="Physical",FLOOR((FLOOR(((2*XLOOKUP(XLOOKUP($Q206,'Threshold Summary'!$Y:$Y,'Threshold Summary'!$K:$K,""),'Pokemon Editor'!$A:$A,'Pokemon Editor'!$F:$F,0)+31+FLOOR(XLOOKUP($Q206,'Threshold Summary'!$Y:$Y,'Threshold Summary'!$P:$P,"")/4))*XLOOKUP($Q206,'Threshold Summary'!$Y:$Y,'Threshold Summary'!$L:$L,""))/100)+5)*XLOOKUP(XLOOKUP($Q206,'Threshold Summary'!$Y:$Y,'Threshold Summary'!$M:$M,""),'Nature Editor'!$A:$A,'Nature Editor'!$B:$B,1)),FLOOR((FLOOR(((2*XLOOKUP(XLOOKUP($Q206,'Threshold Summary'!$Y:$Y,'Threshold Summary'!$K:$K,""),'Pokemon Editor'!$A:$A,'Pokemon Editor'!$H:$H,0)+31+FLOOR(XLOOKUP($Q206,'Threshold Summary'!$Y:$Y,'Threshold Summary'!$R:$R,"")/4))*XLOOKUP($Q206,'Threshold Summary'!$Y:$Y,'Threshold Summary'!$L:$L,""))/100)+5)*XLOOKUP(XLOOKUP($Q206,'Threshold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Editor'!$E:$E,1))),stab,IF(OR(mtype=XLOOKUP(XLOOKUP($Q206,'Threshold Summary'!$Y:$Y,'Threshold Summary'!$K:$K,""),'Pokemon Editor'!$A:$A,'Pokemon Editor'!$C:$C,""),mtype=XLOOKUP(XLOOKUP($Q206,'Threshold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Chart'!$B$1:$S$1,0)))),base,IF(OR(cat="Status",pow=0),0,FLOOR(FLOOR(FLOOR((2*XLOOKUP($Q206,'Threshold Summary'!$Y:$Y,'Threshold Summary'!$L:$L,"")/5+2)*pow*atk/def)/50)+2)),modifier,stab*eff,AVERAGE(ARRAYFORMULA(FLOOR(base*modifier*SEQUENCE(16,1,85,1)/100)))/(FLOOR(((2*XLOOKUP('Boss Editor'!$C$4,'Pokemon Editor'!$A:$A,'Pokemon Editor'!$E:$E,0)+31+FLOOR('Boss Editor'!$G$4/4))*'Boss Editor'!$D$4)/100)+'Boss Editor'!$D$4+10)),0)</f>
        <v/>
      </c>
      <c r="O206" s="3">
        <f>IF(N206&gt;=1,"OHKO",IF(N206&gt;=0.5,"2HKO",IF(N206&gt;=0.333,"3HKO",IF(N206&gt;=0.25,"4HKO","5HKO+"))))</f>
        <v/>
      </c>
      <c r="P206" s="3" t="inlineStr">
        <is>
          <t>Live from editable databases</t>
        </is>
      </c>
      <c r="Q206" s="3" t="inlineStr">
        <is>
          <t>SPECIES_TAILLOW</t>
        </is>
      </c>
      <c r="R206" s="3" t="n">
        <v>13</v>
      </c>
    </row>
    <row r="207">
      <c r="A207" s="3">
        <f>XLOOKUP($Q207,'Threshold Summary'!$Y:$Y,'Threshold Summary'!$A:$A,"")</f>
        <v/>
      </c>
      <c r="B207" s="3">
        <f>XLOOKUP($Q207,'Threshold Summary'!$Y:$Y,'Threshold Summary'!$M:$M,"")</f>
        <v/>
      </c>
      <c r="C207" s="3">
        <f>XLOOKUP($Q207,'Threshold Summary'!$Y:$Y,'Threshold Summary'!$N:$N,"")</f>
        <v/>
      </c>
      <c r="D207" s="3">
        <f>IFERROR(INDEX(FILTER('Learnset Editor'!$D$2:$D,'Learnset Editor'!$A$2:$A=XLOOKUP($Q207,'Threshold Summary'!$Y:$Y,'Threshold Summary'!$K:$K,""),'Learnset Editor'!$C$2:$C&lt;=XLOOKUP($Q207,'Threshold Summary'!$Y:$Y,'Threshold Summary'!$L:$L,"")),$R207),"")</f>
        <v/>
      </c>
      <c r="E207" s="3">
        <f>XLOOKUP(D207,'Move Editor'!$B:$B,'Move Editor'!$C:$C,"")</f>
        <v/>
      </c>
      <c r="F207" s="3">
        <f>XLOOKUP(D207,'Move Editor'!$B:$B,'Move Editor'!$D:$D,"")</f>
        <v/>
      </c>
      <c r="G207" s="3">
        <f>XLOOKUP(D207,'Move Editor'!$B:$B,'Move Editor'!$E:$E,0)</f>
        <v/>
      </c>
      <c r="H207" s="3">
        <f>XLOOKUP(D207,'Move Editor'!$B:$B,'Move Editor'!$F:$F,0)</f>
        <v/>
      </c>
      <c r="I207" s="3">
        <f>(INDEX('Type Chart'!$B:$S,MATCH(E207,'Type Chart'!$A:$A,0),MATCH(XLOOKUP('Boss Editor'!$C$4,'Pokemon Editor'!$A:$A,'Pokemon Editor'!$C:$C,""),'Type Chart'!$B$1:$S$1,0))*IF(XLOOKUP('Boss Editor'!$C$4,'Pokemon Editor'!$A:$A,'Pokemon Editor'!$D:$D,"")="",1,INDEX('Type Chart'!$B:$S,MATCH(E207,'Type Chart'!$A:$A,0),MATCH(XLOOKUP('Boss Editor'!$C$4,'Pokemon Editor'!$A:$A,'Pokemon Editor'!$D:$D,""),'Type Chart'!$B$1:$S$1,0))))</f>
        <v/>
      </c>
      <c r="J207" s="3">
        <f>IFERROR(LET(mtype,XLOOKUP($D207,'Move Editor'!$B:$B,'Move Editor'!$C:$C,""),cat,XLOOKUP($D207,'Move Editor'!$B:$B,'Move Editor'!$D:$D,""),pow,XLOOKUP($D207,'Move Editor'!$B:$B,'Move Editor'!$E:$E,0),acc,XLOOKUP($D207,'Move Editor'!$B:$B,'Move Editor'!$F:$F,100),atk,IF(cat="Physical",FLOOR((FLOOR(((2*XLOOKUP(XLOOKUP($Q207,'Threshold Summary'!$Y:$Y,'Threshold Summary'!$K:$K,""),'Pokemon Editor'!$A:$A,'Pokemon Editor'!$F:$F,0)+31+FLOOR(XLOOKUP($Q207,'Threshold Summary'!$Y:$Y,'Threshold Summary'!$P:$P,"")/4))*XLOOKUP($Q207,'Threshold Summary'!$Y:$Y,'Threshold Summary'!$L:$L,""))/100)+5)*XLOOKUP(XLOOKUP($Q207,'Threshold Summary'!$Y:$Y,'Threshold Summary'!$M:$M,""),'Nature Editor'!$A:$A,'Nature Editor'!$B:$B,1)),FLOOR((FLOOR(((2*XLOOKUP(XLOOKUP($Q207,'Threshold Summary'!$Y:$Y,'Threshold Summary'!$K:$K,""),'Pokemon Editor'!$A:$A,'Pokemon Editor'!$H:$H,0)+31+FLOOR(XLOOKUP($Q207,'Threshold Summary'!$Y:$Y,'Threshold Summary'!$R:$R,"")/4))*XLOOKUP($Q207,'Threshold Summary'!$Y:$Y,'Threshold Summary'!$L:$L,""))/100)+5)*XLOOKUP(XLOOKUP($Q207,'Threshold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Editor'!$E:$E,1))),stab,IF(OR(mtype=XLOOKUP(XLOOKUP($Q207,'Threshold Summary'!$Y:$Y,'Threshold Summary'!$K:$K,""),'Pokemon Editor'!$A:$A,'Pokemon Editor'!$C:$C,""),mtype=XLOOKUP(XLOOKUP($Q207,'Threshold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Chart'!$B$1:$S$1,0)))),base,IF(OR(cat="Status",pow=0),0,FLOOR(FLOOR(FLOOR((2*XLOOKUP($Q207,'Threshold Summary'!$Y:$Y,'Threshold Summary'!$L:$L,"")/5+2)*pow*atk/def)/50)+2)),modifier,stab*eff,FLOOR(base*modifier*0.85)),0)</f>
        <v/>
      </c>
      <c r="K207" s="3">
        <f>IFERROR(LET(mtype,XLOOKUP($D207,'Move Editor'!$B:$B,'Move Editor'!$C:$C,""),cat,XLOOKUP($D207,'Move Editor'!$B:$B,'Move Editor'!$D:$D,""),pow,XLOOKUP($D207,'Move Editor'!$B:$B,'Move Editor'!$E:$E,0),acc,XLOOKUP($D207,'Move Editor'!$B:$B,'Move Editor'!$F:$F,100),atk,IF(cat="Physical",FLOOR((FLOOR(((2*XLOOKUP(XLOOKUP($Q207,'Threshold Summary'!$Y:$Y,'Threshold Summary'!$K:$K,""),'Pokemon Editor'!$A:$A,'Pokemon Editor'!$F:$F,0)+31+FLOOR(XLOOKUP($Q207,'Threshold Summary'!$Y:$Y,'Threshold Summary'!$P:$P,"")/4))*XLOOKUP($Q207,'Threshold Summary'!$Y:$Y,'Threshold Summary'!$L:$L,""))/100)+5)*XLOOKUP(XLOOKUP($Q207,'Threshold Summary'!$Y:$Y,'Threshold Summary'!$M:$M,""),'Nature Editor'!$A:$A,'Nature Editor'!$B:$B,1)),FLOOR((FLOOR(((2*XLOOKUP(XLOOKUP($Q207,'Threshold Summary'!$Y:$Y,'Threshold Summary'!$K:$K,""),'Pokemon Editor'!$A:$A,'Pokemon Editor'!$H:$H,0)+31+FLOOR(XLOOKUP($Q207,'Threshold Summary'!$Y:$Y,'Threshold Summary'!$R:$R,"")/4))*XLOOKUP($Q207,'Threshold Summary'!$Y:$Y,'Threshold Summary'!$L:$L,""))/100)+5)*XLOOKUP(XLOOKUP($Q207,'Threshold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Editor'!$E:$E,1))),stab,IF(OR(mtype=XLOOKUP(XLOOKUP($Q207,'Threshold Summary'!$Y:$Y,'Threshold Summary'!$K:$K,""),'Pokemon Editor'!$A:$A,'Pokemon Editor'!$C:$C,""),mtype=XLOOKUP(XLOOKUP($Q207,'Threshold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Chart'!$B$1:$S$1,0)))),base,IF(OR(cat="Status",pow=0),0,FLOOR(FLOOR(FLOOR((2*XLOOKUP($Q207,'Threshold Summary'!$Y:$Y,'Threshold Summary'!$L:$L,"")/5+2)*pow*atk/def)/50)+2)),modifier,stab*eff,FLOOR(base*modifier)),0)</f>
        <v/>
      </c>
      <c r="L207" s="3">
        <f>IFERROR(LET(mtype,XLOOKUP($D207,'Move Editor'!$B:$B,'Move Editor'!$C:$C,""),cat,XLOOKUP($D207,'Move Editor'!$B:$B,'Move Editor'!$D:$D,""),pow,XLOOKUP($D207,'Move Editor'!$B:$B,'Move Editor'!$E:$E,0),acc,XLOOKUP($D207,'Move Editor'!$B:$B,'Move Editor'!$F:$F,100),atk,IF(cat="Physical",FLOOR((FLOOR(((2*XLOOKUP(XLOOKUP($Q207,'Threshold Summary'!$Y:$Y,'Threshold Summary'!$K:$K,""),'Pokemon Editor'!$A:$A,'Pokemon Editor'!$F:$F,0)+31+FLOOR(XLOOKUP($Q207,'Threshold Summary'!$Y:$Y,'Threshold Summary'!$P:$P,"")/4))*XLOOKUP($Q207,'Threshold Summary'!$Y:$Y,'Threshold Summary'!$L:$L,""))/100)+5)*XLOOKUP(XLOOKUP($Q207,'Threshold Summary'!$Y:$Y,'Threshold Summary'!$M:$M,""),'Nature Editor'!$A:$A,'Nature Editor'!$B:$B,1)),FLOOR((FLOOR(((2*XLOOKUP(XLOOKUP($Q207,'Threshold Summary'!$Y:$Y,'Threshold Summary'!$K:$K,""),'Pokemon Editor'!$A:$A,'Pokemon Editor'!$H:$H,0)+31+FLOOR(XLOOKUP($Q207,'Threshold Summary'!$Y:$Y,'Threshold Summary'!$R:$R,"")/4))*XLOOKUP($Q207,'Threshold Summary'!$Y:$Y,'Threshold Summary'!$L:$L,""))/100)+5)*XLOOKUP(XLOOKUP($Q207,'Threshold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Editor'!$E:$E,1))),stab,IF(OR(mtype=XLOOKUP(XLOOKUP($Q207,'Threshold Summary'!$Y:$Y,'Threshold Summary'!$K:$K,""),'Pokemon Editor'!$A:$A,'Pokemon Editor'!$C:$C,""),mtype=XLOOKUP(XLOOKUP($Q207,'Threshold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Chart'!$B$1:$S$1,0)))),base,IF(OR(cat="Status",pow=0),0,FLOOR(FLOOR(FLOOR((2*XLOOKUP($Q207,'Threshold Summary'!$Y:$Y,'Threshold Summary'!$L:$L,"")/5+2)*pow*atk/def)/50)+2)),modifier,stab*eff,AVERAGE(ARRAYFORMULA(FLOOR(base*modifier*SEQUENCE(16,1,85,1)/100)))),0)</f>
        <v/>
      </c>
      <c r="M207" s="3">
        <f>IFERROR(LET(mtype,XLOOKUP($D207,'Move Editor'!$B:$B,'Move Editor'!$C:$C,""),cat,XLOOKUP($D207,'Move Editor'!$B:$B,'Move Editor'!$D:$D,""),pow,XLOOKUP($D207,'Move Editor'!$B:$B,'Move Editor'!$E:$E,0),acc,XLOOKUP($D207,'Move Editor'!$B:$B,'Move Editor'!$F:$F,100),atk,IF(cat="Physical",FLOOR((FLOOR(((2*XLOOKUP(XLOOKUP($Q207,'Threshold Summary'!$Y:$Y,'Threshold Summary'!$K:$K,""),'Pokemon Editor'!$A:$A,'Pokemon Editor'!$F:$F,0)+31+FLOOR(XLOOKUP($Q207,'Threshold Summary'!$Y:$Y,'Threshold Summary'!$P:$P,"")/4))*XLOOKUP($Q207,'Threshold Summary'!$Y:$Y,'Threshold Summary'!$L:$L,""))/100)+5)*XLOOKUP(XLOOKUP($Q207,'Threshold Summary'!$Y:$Y,'Threshold Summary'!$M:$M,""),'Nature Editor'!$A:$A,'Nature Editor'!$B:$B,1)),FLOOR((FLOOR(((2*XLOOKUP(XLOOKUP($Q207,'Threshold Summary'!$Y:$Y,'Threshold Summary'!$K:$K,""),'Pokemon Editor'!$A:$A,'Pokemon Editor'!$H:$H,0)+31+FLOOR(XLOOKUP($Q207,'Threshold Summary'!$Y:$Y,'Threshold Summary'!$R:$R,"")/4))*XLOOKUP($Q207,'Threshold Summary'!$Y:$Y,'Threshold Summary'!$L:$L,""))/100)+5)*XLOOKUP(XLOOKUP($Q207,'Threshold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Editor'!$E:$E,1))),stab,IF(OR(mtype=XLOOKUP(XLOOKUP($Q207,'Threshold Summary'!$Y:$Y,'Threshold Summary'!$K:$K,""),'Pokemon Editor'!$A:$A,'Pokemon Editor'!$C:$C,""),mtype=XLOOKUP(XLOOKUP($Q207,'Threshold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Chart'!$B$1:$S$1,0)))),base,IF(OR(cat="Status",pow=0),0,FLOOR(FLOOR(FLOOR((2*XLOOKUP($Q207,'Threshold Summary'!$Y:$Y,'Threshold Summary'!$L:$L,"")/5+2)*pow*atk/def)/50)+2)),modifier,stab*eff,AVERAGE(ARRAYFORMULA(FLOOR(base*modifier*SEQUENCE(16,1,85,1)/100)))*MIN(1,acc/100)),0)</f>
        <v/>
      </c>
      <c r="N207" s="4">
        <f>IFERROR(LET(mtype,XLOOKUP($D207,'Move Editor'!$B:$B,'Move Editor'!$C:$C,""),cat,XLOOKUP($D207,'Move Editor'!$B:$B,'Move Editor'!$D:$D,""),pow,XLOOKUP($D207,'Move Editor'!$B:$B,'Move Editor'!$E:$E,0),acc,XLOOKUP($D207,'Move Editor'!$B:$B,'Move Editor'!$F:$F,100),atk,IF(cat="Physical",FLOOR((FLOOR(((2*XLOOKUP(XLOOKUP($Q207,'Threshold Summary'!$Y:$Y,'Threshold Summary'!$K:$K,""),'Pokemon Editor'!$A:$A,'Pokemon Editor'!$F:$F,0)+31+FLOOR(XLOOKUP($Q207,'Threshold Summary'!$Y:$Y,'Threshold Summary'!$P:$P,"")/4))*XLOOKUP($Q207,'Threshold Summary'!$Y:$Y,'Threshold Summary'!$L:$L,""))/100)+5)*XLOOKUP(XLOOKUP($Q207,'Threshold Summary'!$Y:$Y,'Threshold Summary'!$M:$M,""),'Nature Editor'!$A:$A,'Nature Editor'!$B:$B,1)),FLOOR((FLOOR(((2*XLOOKUP(XLOOKUP($Q207,'Threshold Summary'!$Y:$Y,'Threshold Summary'!$K:$K,""),'Pokemon Editor'!$A:$A,'Pokemon Editor'!$H:$H,0)+31+FLOOR(XLOOKUP($Q207,'Threshold Summary'!$Y:$Y,'Threshold Summary'!$R:$R,"")/4))*XLOOKUP($Q207,'Threshold Summary'!$Y:$Y,'Threshold Summary'!$L:$L,""))/100)+5)*XLOOKUP(XLOOKUP($Q207,'Threshold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Editor'!$E:$E,1))),stab,IF(OR(mtype=XLOOKUP(XLOOKUP($Q207,'Threshold Summary'!$Y:$Y,'Threshold Summary'!$K:$K,""),'Pokemon Editor'!$A:$A,'Pokemon Editor'!$C:$C,""),mtype=XLOOKUP(XLOOKUP($Q207,'Threshold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Chart'!$B$1:$S$1,0)))),base,IF(OR(cat="Status",pow=0),0,FLOOR(FLOOR(FLOOR((2*XLOOKUP($Q207,'Threshold Summary'!$Y:$Y,'Threshold Summary'!$L:$L,"")/5+2)*pow*atk/def)/50)+2)),modifier,stab*eff,AVERAGE(ARRAYFORMULA(FLOOR(base*modifier*SEQUENCE(16,1,85,1)/100)))/(FLOOR(((2*XLOOKUP('Boss Editor'!$C$4,'Pokemon Editor'!$A:$A,'Pokemon Editor'!$E:$E,0)+31+FLOOR('Boss Editor'!$G$4/4))*'Boss Editor'!$D$4)/100)+'Boss Editor'!$D$4+10)),0)</f>
        <v/>
      </c>
      <c r="O207" s="3">
        <f>IF(N207&gt;=1,"OHKO",IF(N207&gt;=0.5,"2HKO",IF(N207&gt;=0.333,"3HKO",IF(N207&gt;=0.25,"4HKO","5HKO+"))))</f>
        <v/>
      </c>
      <c r="P207" s="3" t="inlineStr">
        <is>
          <t>Live from editable databases</t>
        </is>
      </c>
      <c r="Q207" s="3" t="inlineStr">
        <is>
          <t>SPECIES_TAILLOW</t>
        </is>
      </c>
      <c r="R207" s="3" t="n">
        <v>14</v>
      </c>
    </row>
    <row r="208">
      <c r="A208" s="3">
        <f>XLOOKUP($Q208,'Threshold Summary'!$Y:$Y,'Threshold Summary'!$A:$A,"")</f>
        <v/>
      </c>
      <c r="B208" s="3">
        <f>XLOOKUP($Q208,'Threshold Summary'!$Y:$Y,'Threshold Summary'!$M:$M,"")</f>
        <v/>
      </c>
      <c r="C208" s="3">
        <f>XLOOKUP($Q208,'Threshold Summary'!$Y:$Y,'Threshold Summary'!$N:$N,"")</f>
        <v/>
      </c>
      <c r="D208" s="3">
        <f>IFERROR(INDEX(FILTER('Learnset Editor'!$D$2:$D,'Learnset Editor'!$A$2:$A=XLOOKUP($Q208,'Threshold Summary'!$Y:$Y,'Threshold Summary'!$K:$K,""),'Learnset Editor'!$C$2:$C&lt;=XLOOKUP($Q208,'Threshold Summary'!$Y:$Y,'Threshold Summary'!$L:$L,"")),$R208),"")</f>
        <v/>
      </c>
      <c r="E208" s="3">
        <f>XLOOKUP(D208,'Move Editor'!$B:$B,'Move Editor'!$C:$C,"")</f>
        <v/>
      </c>
      <c r="F208" s="3">
        <f>XLOOKUP(D208,'Move Editor'!$B:$B,'Move Editor'!$D:$D,"")</f>
        <v/>
      </c>
      <c r="G208" s="3">
        <f>XLOOKUP(D208,'Move Editor'!$B:$B,'Move Editor'!$E:$E,0)</f>
        <v/>
      </c>
      <c r="H208" s="3">
        <f>XLOOKUP(D208,'Move Editor'!$B:$B,'Move Editor'!$F:$F,0)</f>
        <v/>
      </c>
      <c r="I208" s="3">
        <f>(INDEX('Type Chart'!$B:$S,MATCH(E208,'Type Chart'!$A:$A,0),MATCH(XLOOKUP('Boss Editor'!$C$4,'Pokemon Editor'!$A:$A,'Pokemon Editor'!$C:$C,""),'Type Chart'!$B$1:$S$1,0))*IF(XLOOKUP('Boss Editor'!$C$4,'Pokemon Editor'!$A:$A,'Pokemon Editor'!$D:$D,"")="",1,INDEX('Type Chart'!$B:$S,MATCH(E208,'Type Chart'!$A:$A,0),MATCH(XLOOKUP('Boss Editor'!$C$4,'Pokemon Editor'!$A:$A,'Pokemon Editor'!$D:$D,""),'Type Chart'!$B$1:$S$1,0))))</f>
        <v/>
      </c>
      <c r="J208" s="3">
        <f>IFERROR(LET(mtype,XLOOKUP($D208,'Move Editor'!$B:$B,'Move Editor'!$C:$C,""),cat,XLOOKUP($D208,'Move Editor'!$B:$B,'Move Editor'!$D:$D,""),pow,XLOOKUP($D208,'Move Editor'!$B:$B,'Move Editor'!$E:$E,0),acc,XLOOKUP($D208,'Move Editor'!$B:$B,'Move Editor'!$F:$F,100),atk,IF(cat="Physical",FLOOR((FLOOR(((2*XLOOKUP(XLOOKUP($Q208,'Threshold Summary'!$Y:$Y,'Threshold Summary'!$K:$K,""),'Pokemon Editor'!$A:$A,'Pokemon Editor'!$F:$F,0)+31+FLOOR(XLOOKUP($Q208,'Threshold Summary'!$Y:$Y,'Threshold Summary'!$P:$P,"")/4))*XLOOKUP($Q208,'Threshold Summary'!$Y:$Y,'Threshold Summary'!$L:$L,""))/100)+5)*XLOOKUP(XLOOKUP($Q208,'Threshold Summary'!$Y:$Y,'Threshold Summary'!$M:$M,""),'Nature Editor'!$A:$A,'Nature Editor'!$B:$B,1)),FLOOR((FLOOR(((2*XLOOKUP(XLOOKUP($Q208,'Threshold Summary'!$Y:$Y,'Threshold Summary'!$K:$K,""),'Pokemon Editor'!$A:$A,'Pokemon Editor'!$H:$H,0)+31+FLOOR(XLOOKUP($Q208,'Threshold Summary'!$Y:$Y,'Threshold Summary'!$R:$R,"")/4))*XLOOKUP($Q208,'Threshold Summary'!$Y:$Y,'Threshold Summary'!$L:$L,""))/100)+5)*XLOOKUP(XLOOKUP($Q208,'Threshold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Editor'!$E:$E,1))),stab,IF(OR(mtype=XLOOKUP(XLOOKUP($Q208,'Threshold Summary'!$Y:$Y,'Threshold Summary'!$K:$K,""),'Pokemon Editor'!$A:$A,'Pokemon Editor'!$C:$C,""),mtype=XLOOKUP(XLOOKUP($Q208,'Threshold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Chart'!$B$1:$S$1,0)))),base,IF(OR(cat="Status",pow=0),0,FLOOR(FLOOR(FLOOR((2*XLOOKUP($Q208,'Threshold Summary'!$Y:$Y,'Threshold Summary'!$L:$L,"")/5+2)*pow*atk/def)/50)+2)),modifier,stab*eff,FLOOR(base*modifier*0.85)),0)</f>
        <v/>
      </c>
      <c r="K208" s="3">
        <f>IFERROR(LET(mtype,XLOOKUP($D208,'Move Editor'!$B:$B,'Move Editor'!$C:$C,""),cat,XLOOKUP($D208,'Move Editor'!$B:$B,'Move Editor'!$D:$D,""),pow,XLOOKUP($D208,'Move Editor'!$B:$B,'Move Editor'!$E:$E,0),acc,XLOOKUP($D208,'Move Editor'!$B:$B,'Move Editor'!$F:$F,100),atk,IF(cat="Physical",FLOOR((FLOOR(((2*XLOOKUP(XLOOKUP($Q208,'Threshold Summary'!$Y:$Y,'Threshold Summary'!$K:$K,""),'Pokemon Editor'!$A:$A,'Pokemon Editor'!$F:$F,0)+31+FLOOR(XLOOKUP($Q208,'Threshold Summary'!$Y:$Y,'Threshold Summary'!$P:$P,"")/4))*XLOOKUP($Q208,'Threshold Summary'!$Y:$Y,'Threshold Summary'!$L:$L,""))/100)+5)*XLOOKUP(XLOOKUP($Q208,'Threshold Summary'!$Y:$Y,'Threshold Summary'!$M:$M,""),'Nature Editor'!$A:$A,'Nature Editor'!$B:$B,1)),FLOOR((FLOOR(((2*XLOOKUP(XLOOKUP($Q208,'Threshold Summary'!$Y:$Y,'Threshold Summary'!$K:$K,""),'Pokemon Editor'!$A:$A,'Pokemon Editor'!$H:$H,0)+31+FLOOR(XLOOKUP($Q208,'Threshold Summary'!$Y:$Y,'Threshold Summary'!$R:$R,"")/4))*XLOOKUP($Q208,'Threshold Summary'!$Y:$Y,'Threshold Summary'!$L:$L,""))/100)+5)*XLOOKUP(XLOOKUP($Q208,'Threshold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Editor'!$E:$E,1))),stab,IF(OR(mtype=XLOOKUP(XLOOKUP($Q208,'Threshold Summary'!$Y:$Y,'Threshold Summary'!$K:$K,""),'Pokemon Editor'!$A:$A,'Pokemon Editor'!$C:$C,""),mtype=XLOOKUP(XLOOKUP($Q208,'Threshold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Chart'!$B$1:$S$1,0)))),base,IF(OR(cat="Status",pow=0),0,FLOOR(FLOOR(FLOOR((2*XLOOKUP($Q208,'Threshold Summary'!$Y:$Y,'Threshold Summary'!$L:$L,"")/5+2)*pow*atk/def)/50)+2)),modifier,stab*eff,FLOOR(base*modifier)),0)</f>
        <v/>
      </c>
      <c r="L208" s="3">
        <f>IFERROR(LET(mtype,XLOOKUP($D208,'Move Editor'!$B:$B,'Move Editor'!$C:$C,""),cat,XLOOKUP($D208,'Move Editor'!$B:$B,'Move Editor'!$D:$D,""),pow,XLOOKUP($D208,'Move Editor'!$B:$B,'Move Editor'!$E:$E,0),acc,XLOOKUP($D208,'Move Editor'!$B:$B,'Move Editor'!$F:$F,100),atk,IF(cat="Physical",FLOOR((FLOOR(((2*XLOOKUP(XLOOKUP($Q208,'Threshold Summary'!$Y:$Y,'Threshold Summary'!$K:$K,""),'Pokemon Editor'!$A:$A,'Pokemon Editor'!$F:$F,0)+31+FLOOR(XLOOKUP($Q208,'Threshold Summary'!$Y:$Y,'Threshold Summary'!$P:$P,"")/4))*XLOOKUP($Q208,'Threshold Summary'!$Y:$Y,'Threshold Summary'!$L:$L,""))/100)+5)*XLOOKUP(XLOOKUP($Q208,'Threshold Summary'!$Y:$Y,'Threshold Summary'!$M:$M,""),'Nature Editor'!$A:$A,'Nature Editor'!$B:$B,1)),FLOOR((FLOOR(((2*XLOOKUP(XLOOKUP($Q208,'Threshold Summary'!$Y:$Y,'Threshold Summary'!$K:$K,""),'Pokemon Editor'!$A:$A,'Pokemon Editor'!$H:$H,0)+31+FLOOR(XLOOKUP($Q208,'Threshold Summary'!$Y:$Y,'Threshold Summary'!$R:$R,"")/4))*XLOOKUP($Q208,'Threshold Summary'!$Y:$Y,'Threshold Summary'!$L:$L,""))/100)+5)*XLOOKUP(XLOOKUP($Q208,'Threshold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Editor'!$E:$E,1))),stab,IF(OR(mtype=XLOOKUP(XLOOKUP($Q208,'Threshold Summary'!$Y:$Y,'Threshold Summary'!$K:$K,""),'Pokemon Editor'!$A:$A,'Pokemon Editor'!$C:$C,""),mtype=XLOOKUP(XLOOKUP($Q208,'Threshold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Chart'!$B$1:$S$1,0)))),base,IF(OR(cat="Status",pow=0),0,FLOOR(FLOOR(FLOOR((2*XLOOKUP($Q208,'Threshold Summary'!$Y:$Y,'Threshold Summary'!$L:$L,"")/5+2)*pow*atk/def)/50)+2)),modifier,stab*eff,AVERAGE(ARRAYFORMULA(FLOOR(base*modifier*SEQUENCE(16,1,85,1)/100)))),0)</f>
        <v/>
      </c>
      <c r="M208" s="3">
        <f>IFERROR(LET(mtype,XLOOKUP($D208,'Move Editor'!$B:$B,'Move Editor'!$C:$C,""),cat,XLOOKUP($D208,'Move Editor'!$B:$B,'Move Editor'!$D:$D,""),pow,XLOOKUP($D208,'Move Editor'!$B:$B,'Move Editor'!$E:$E,0),acc,XLOOKUP($D208,'Move Editor'!$B:$B,'Move Editor'!$F:$F,100),atk,IF(cat="Physical",FLOOR((FLOOR(((2*XLOOKUP(XLOOKUP($Q208,'Threshold Summary'!$Y:$Y,'Threshold Summary'!$K:$K,""),'Pokemon Editor'!$A:$A,'Pokemon Editor'!$F:$F,0)+31+FLOOR(XLOOKUP($Q208,'Threshold Summary'!$Y:$Y,'Threshold Summary'!$P:$P,"")/4))*XLOOKUP($Q208,'Threshold Summary'!$Y:$Y,'Threshold Summary'!$L:$L,""))/100)+5)*XLOOKUP(XLOOKUP($Q208,'Threshold Summary'!$Y:$Y,'Threshold Summary'!$M:$M,""),'Nature Editor'!$A:$A,'Nature Editor'!$B:$B,1)),FLOOR((FLOOR(((2*XLOOKUP(XLOOKUP($Q208,'Threshold Summary'!$Y:$Y,'Threshold Summary'!$K:$K,""),'Pokemon Editor'!$A:$A,'Pokemon Editor'!$H:$H,0)+31+FLOOR(XLOOKUP($Q208,'Threshold Summary'!$Y:$Y,'Threshold Summary'!$R:$R,"")/4))*XLOOKUP($Q208,'Threshold Summary'!$Y:$Y,'Threshold Summary'!$L:$L,""))/100)+5)*XLOOKUP(XLOOKUP($Q208,'Threshold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Editor'!$E:$E,1))),stab,IF(OR(mtype=XLOOKUP(XLOOKUP($Q208,'Threshold Summary'!$Y:$Y,'Threshold Summary'!$K:$K,""),'Pokemon Editor'!$A:$A,'Pokemon Editor'!$C:$C,""),mtype=XLOOKUP(XLOOKUP($Q208,'Threshold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Chart'!$B$1:$S$1,0)))),base,IF(OR(cat="Status",pow=0),0,FLOOR(FLOOR(FLOOR((2*XLOOKUP($Q208,'Threshold Summary'!$Y:$Y,'Threshold Summary'!$L:$L,"")/5+2)*pow*atk/def)/50)+2)),modifier,stab*eff,AVERAGE(ARRAYFORMULA(FLOOR(base*modifier*SEQUENCE(16,1,85,1)/100)))*MIN(1,acc/100)),0)</f>
        <v/>
      </c>
      <c r="N208" s="4">
        <f>IFERROR(LET(mtype,XLOOKUP($D208,'Move Editor'!$B:$B,'Move Editor'!$C:$C,""),cat,XLOOKUP($D208,'Move Editor'!$B:$B,'Move Editor'!$D:$D,""),pow,XLOOKUP($D208,'Move Editor'!$B:$B,'Move Editor'!$E:$E,0),acc,XLOOKUP($D208,'Move Editor'!$B:$B,'Move Editor'!$F:$F,100),atk,IF(cat="Physical",FLOOR((FLOOR(((2*XLOOKUP(XLOOKUP($Q208,'Threshold Summary'!$Y:$Y,'Threshold Summary'!$K:$K,""),'Pokemon Editor'!$A:$A,'Pokemon Editor'!$F:$F,0)+31+FLOOR(XLOOKUP($Q208,'Threshold Summary'!$Y:$Y,'Threshold Summary'!$P:$P,"")/4))*XLOOKUP($Q208,'Threshold Summary'!$Y:$Y,'Threshold Summary'!$L:$L,""))/100)+5)*XLOOKUP(XLOOKUP($Q208,'Threshold Summary'!$Y:$Y,'Threshold Summary'!$M:$M,""),'Nature Editor'!$A:$A,'Nature Editor'!$B:$B,1)),FLOOR((FLOOR(((2*XLOOKUP(XLOOKUP($Q208,'Threshold Summary'!$Y:$Y,'Threshold Summary'!$K:$K,""),'Pokemon Editor'!$A:$A,'Pokemon Editor'!$H:$H,0)+31+FLOOR(XLOOKUP($Q208,'Threshold Summary'!$Y:$Y,'Threshold Summary'!$R:$R,"")/4))*XLOOKUP($Q208,'Threshold Summary'!$Y:$Y,'Threshold Summary'!$L:$L,""))/100)+5)*XLOOKUP(XLOOKUP($Q208,'Threshold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Editor'!$E:$E,1))),stab,IF(OR(mtype=XLOOKUP(XLOOKUP($Q208,'Threshold Summary'!$Y:$Y,'Threshold Summary'!$K:$K,""),'Pokemon Editor'!$A:$A,'Pokemon Editor'!$C:$C,""),mtype=XLOOKUP(XLOOKUP($Q208,'Threshold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Chart'!$B$1:$S$1,0)))),base,IF(OR(cat="Status",pow=0),0,FLOOR(FLOOR(FLOOR((2*XLOOKUP($Q208,'Threshold Summary'!$Y:$Y,'Threshold Summary'!$L:$L,"")/5+2)*pow*atk/def)/50)+2)),modifier,stab*eff,AVERAGE(ARRAYFORMULA(FLOOR(base*modifier*SEQUENCE(16,1,85,1)/100)))/(FLOOR(((2*XLOOKUP('Boss Editor'!$C$4,'Pokemon Editor'!$A:$A,'Pokemon Editor'!$E:$E,0)+31+FLOOR('Boss Editor'!$G$4/4))*'Boss Editor'!$D$4)/100)+'Boss Editor'!$D$4+10)),0)</f>
        <v/>
      </c>
      <c r="O208" s="3">
        <f>IF(N208&gt;=1,"OHKO",IF(N208&gt;=0.5,"2HKO",IF(N208&gt;=0.333,"3HKO",IF(N208&gt;=0.25,"4HKO","5HKO+"))))</f>
        <v/>
      </c>
      <c r="P208" s="3" t="inlineStr">
        <is>
          <t>Live from editable databases</t>
        </is>
      </c>
      <c r="Q208" s="3" t="inlineStr">
        <is>
          <t>SPECIES_TAILLOW</t>
        </is>
      </c>
      <c r="R208" s="3" t="n">
        <v>15</v>
      </c>
    </row>
    <row r="209">
      <c r="A209" s="3">
        <f>XLOOKUP($Q209,'Threshold Summary'!$Y:$Y,'Threshold Summary'!$A:$A,"")</f>
        <v/>
      </c>
      <c r="B209" s="3">
        <f>XLOOKUP($Q209,'Threshold Summary'!$Y:$Y,'Threshold Summary'!$M:$M,"")</f>
        <v/>
      </c>
      <c r="C209" s="3">
        <f>XLOOKUP($Q209,'Threshold Summary'!$Y:$Y,'Threshold Summary'!$N:$N,"")</f>
        <v/>
      </c>
      <c r="D209" s="3">
        <f>IFERROR(INDEX(FILTER('Learnset Editor'!$D$2:$D,'Learnset Editor'!$A$2:$A=XLOOKUP($Q209,'Threshold Summary'!$Y:$Y,'Threshold Summary'!$K:$K,""),'Learnset Editor'!$C$2:$C&lt;=XLOOKUP($Q209,'Threshold Summary'!$Y:$Y,'Threshold Summary'!$L:$L,"")),$R209),"")</f>
        <v/>
      </c>
      <c r="E209" s="3">
        <f>XLOOKUP(D209,'Move Editor'!$B:$B,'Move Editor'!$C:$C,"")</f>
        <v/>
      </c>
      <c r="F209" s="3">
        <f>XLOOKUP(D209,'Move Editor'!$B:$B,'Move Editor'!$D:$D,"")</f>
        <v/>
      </c>
      <c r="G209" s="3">
        <f>XLOOKUP(D209,'Move Editor'!$B:$B,'Move Editor'!$E:$E,0)</f>
        <v/>
      </c>
      <c r="H209" s="3">
        <f>XLOOKUP(D209,'Move Editor'!$B:$B,'Move Editor'!$F:$F,0)</f>
        <v/>
      </c>
      <c r="I209" s="3">
        <f>(INDEX('Type Chart'!$B:$S,MATCH(E209,'Type Chart'!$A:$A,0),MATCH(XLOOKUP('Boss Editor'!$C$4,'Pokemon Editor'!$A:$A,'Pokemon Editor'!$C:$C,""),'Type Chart'!$B$1:$S$1,0))*IF(XLOOKUP('Boss Editor'!$C$4,'Pokemon Editor'!$A:$A,'Pokemon Editor'!$D:$D,"")="",1,INDEX('Type Chart'!$B:$S,MATCH(E209,'Type Chart'!$A:$A,0),MATCH(XLOOKUP('Boss Editor'!$C$4,'Pokemon Editor'!$A:$A,'Pokemon Editor'!$D:$D,""),'Type Chart'!$B$1:$S$1,0))))</f>
        <v/>
      </c>
      <c r="J209" s="3">
        <f>IFERROR(LET(mtype,XLOOKUP($D209,'Move Editor'!$B:$B,'Move Editor'!$C:$C,""),cat,XLOOKUP($D209,'Move Editor'!$B:$B,'Move Editor'!$D:$D,""),pow,XLOOKUP($D209,'Move Editor'!$B:$B,'Move Editor'!$E:$E,0),acc,XLOOKUP($D209,'Move Editor'!$B:$B,'Move Editor'!$F:$F,100),atk,IF(cat="Physical",FLOOR((FLOOR(((2*XLOOKUP(XLOOKUP($Q209,'Threshold Summary'!$Y:$Y,'Threshold Summary'!$K:$K,""),'Pokemon Editor'!$A:$A,'Pokemon Editor'!$F:$F,0)+31+FLOOR(XLOOKUP($Q209,'Threshold Summary'!$Y:$Y,'Threshold Summary'!$P:$P,"")/4))*XLOOKUP($Q209,'Threshold Summary'!$Y:$Y,'Threshold Summary'!$L:$L,""))/100)+5)*XLOOKUP(XLOOKUP($Q209,'Threshold Summary'!$Y:$Y,'Threshold Summary'!$M:$M,""),'Nature Editor'!$A:$A,'Nature Editor'!$B:$B,1)),FLOOR((FLOOR(((2*XLOOKUP(XLOOKUP($Q209,'Threshold Summary'!$Y:$Y,'Threshold Summary'!$K:$K,""),'Pokemon Editor'!$A:$A,'Pokemon Editor'!$H:$H,0)+31+FLOOR(XLOOKUP($Q209,'Threshold Summary'!$Y:$Y,'Threshold Summary'!$R:$R,"")/4))*XLOOKUP($Q209,'Threshold Summary'!$Y:$Y,'Threshold Summary'!$L:$L,""))/100)+5)*XLOOKUP(XLOOKUP($Q209,'Threshold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Editor'!$E:$E,1))),stab,IF(OR(mtype=XLOOKUP(XLOOKUP($Q209,'Threshold Summary'!$Y:$Y,'Threshold Summary'!$K:$K,""),'Pokemon Editor'!$A:$A,'Pokemon Editor'!$C:$C,""),mtype=XLOOKUP(XLOOKUP($Q209,'Threshold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Chart'!$B$1:$S$1,0)))),base,IF(OR(cat="Status",pow=0),0,FLOOR(FLOOR(FLOOR((2*XLOOKUP($Q209,'Threshold Summary'!$Y:$Y,'Threshold Summary'!$L:$L,"")/5+2)*pow*atk/def)/50)+2)),modifier,stab*eff,FLOOR(base*modifier*0.85)),0)</f>
        <v/>
      </c>
      <c r="K209" s="3">
        <f>IFERROR(LET(mtype,XLOOKUP($D209,'Move Editor'!$B:$B,'Move Editor'!$C:$C,""),cat,XLOOKUP($D209,'Move Editor'!$B:$B,'Move Editor'!$D:$D,""),pow,XLOOKUP($D209,'Move Editor'!$B:$B,'Move Editor'!$E:$E,0),acc,XLOOKUP($D209,'Move Editor'!$B:$B,'Move Editor'!$F:$F,100),atk,IF(cat="Physical",FLOOR((FLOOR(((2*XLOOKUP(XLOOKUP($Q209,'Threshold Summary'!$Y:$Y,'Threshold Summary'!$K:$K,""),'Pokemon Editor'!$A:$A,'Pokemon Editor'!$F:$F,0)+31+FLOOR(XLOOKUP($Q209,'Threshold Summary'!$Y:$Y,'Threshold Summary'!$P:$P,"")/4))*XLOOKUP($Q209,'Threshold Summary'!$Y:$Y,'Threshold Summary'!$L:$L,""))/100)+5)*XLOOKUP(XLOOKUP($Q209,'Threshold Summary'!$Y:$Y,'Threshold Summary'!$M:$M,""),'Nature Editor'!$A:$A,'Nature Editor'!$B:$B,1)),FLOOR((FLOOR(((2*XLOOKUP(XLOOKUP($Q209,'Threshold Summary'!$Y:$Y,'Threshold Summary'!$K:$K,""),'Pokemon Editor'!$A:$A,'Pokemon Editor'!$H:$H,0)+31+FLOOR(XLOOKUP($Q209,'Threshold Summary'!$Y:$Y,'Threshold Summary'!$R:$R,"")/4))*XLOOKUP($Q209,'Threshold Summary'!$Y:$Y,'Threshold Summary'!$L:$L,""))/100)+5)*XLOOKUP(XLOOKUP($Q209,'Threshold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Editor'!$E:$E,1))),stab,IF(OR(mtype=XLOOKUP(XLOOKUP($Q209,'Threshold Summary'!$Y:$Y,'Threshold Summary'!$K:$K,""),'Pokemon Editor'!$A:$A,'Pokemon Editor'!$C:$C,""),mtype=XLOOKUP(XLOOKUP($Q209,'Threshold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Chart'!$B$1:$S$1,0)))),base,IF(OR(cat="Status",pow=0),0,FLOOR(FLOOR(FLOOR((2*XLOOKUP($Q209,'Threshold Summary'!$Y:$Y,'Threshold Summary'!$L:$L,"")/5+2)*pow*atk/def)/50)+2)),modifier,stab*eff,FLOOR(base*modifier)),0)</f>
        <v/>
      </c>
      <c r="L209" s="3">
        <f>IFERROR(LET(mtype,XLOOKUP($D209,'Move Editor'!$B:$B,'Move Editor'!$C:$C,""),cat,XLOOKUP($D209,'Move Editor'!$B:$B,'Move Editor'!$D:$D,""),pow,XLOOKUP($D209,'Move Editor'!$B:$B,'Move Editor'!$E:$E,0),acc,XLOOKUP($D209,'Move Editor'!$B:$B,'Move Editor'!$F:$F,100),atk,IF(cat="Physical",FLOOR((FLOOR(((2*XLOOKUP(XLOOKUP($Q209,'Threshold Summary'!$Y:$Y,'Threshold Summary'!$K:$K,""),'Pokemon Editor'!$A:$A,'Pokemon Editor'!$F:$F,0)+31+FLOOR(XLOOKUP($Q209,'Threshold Summary'!$Y:$Y,'Threshold Summary'!$P:$P,"")/4))*XLOOKUP($Q209,'Threshold Summary'!$Y:$Y,'Threshold Summary'!$L:$L,""))/100)+5)*XLOOKUP(XLOOKUP($Q209,'Threshold Summary'!$Y:$Y,'Threshold Summary'!$M:$M,""),'Nature Editor'!$A:$A,'Nature Editor'!$B:$B,1)),FLOOR((FLOOR(((2*XLOOKUP(XLOOKUP($Q209,'Threshold Summary'!$Y:$Y,'Threshold Summary'!$K:$K,""),'Pokemon Editor'!$A:$A,'Pokemon Editor'!$H:$H,0)+31+FLOOR(XLOOKUP($Q209,'Threshold Summary'!$Y:$Y,'Threshold Summary'!$R:$R,"")/4))*XLOOKUP($Q209,'Threshold Summary'!$Y:$Y,'Threshold Summary'!$L:$L,""))/100)+5)*XLOOKUP(XLOOKUP($Q209,'Threshold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Editor'!$E:$E,1))),stab,IF(OR(mtype=XLOOKUP(XLOOKUP($Q209,'Threshold Summary'!$Y:$Y,'Threshold Summary'!$K:$K,""),'Pokemon Editor'!$A:$A,'Pokemon Editor'!$C:$C,""),mtype=XLOOKUP(XLOOKUP($Q209,'Threshold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Chart'!$B$1:$S$1,0)))),base,IF(OR(cat="Status",pow=0),0,FLOOR(FLOOR(FLOOR((2*XLOOKUP($Q209,'Threshold Summary'!$Y:$Y,'Threshold Summary'!$L:$L,"")/5+2)*pow*atk/def)/50)+2)),modifier,stab*eff,AVERAGE(ARRAYFORMULA(FLOOR(base*modifier*SEQUENCE(16,1,85,1)/100)))),0)</f>
        <v/>
      </c>
      <c r="M209" s="3">
        <f>IFERROR(LET(mtype,XLOOKUP($D209,'Move Editor'!$B:$B,'Move Editor'!$C:$C,""),cat,XLOOKUP($D209,'Move Editor'!$B:$B,'Move Editor'!$D:$D,""),pow,XLOOKUP($D209,'Move Editor'!$B:$B,'Move Editor'!$E:$E,0),acc,XLOOKUP($D209,'Move Editor'!$B:$B,'Move Editor'!$F:$F,100),atk,IF(cat="Physical",FLOOR((FLOOR(((2*XLOOKUP(XLOOKUP($Q209,'Threshold Summary'!$Y:$Y,'Threshold Summary'!$K:$K,""),'Pokemon Editor'!$A:$A,'Pokemon Editor'!$F:$F,0)+31+FLOOR(XLOOKUP($Q209,'Threshold Summary'!$Y:$Y,'Threshold Summary'!$P:$P,"")/4))*XLOOKUP($Q209,'Threshold Summary'!$Y:$Y,'Threshold Summary'!$L:$L,""))/100)+5)*XLOOKUP(XLOOKUP($Q209,'Threshold Summary'!$Y:$Y,'Threshold Summary'!$M:$M,""),'Nature Editor'!$A:$A,'Nature Editor'!$B:$B,1)),FLOOR((FLOOR(((2*XLOOKUP(XLOOKUP($Q209,'Threshold Summary'!$Y:$Y,'Threshold Summary'!$K:$K,""),'Pokemon Editor'!$A:$A,'Pokemon Editor'!$H:$H,0)+31+FLOOR(XLOOKUP($Q209,'Threshold Summary'!$Y:$Y,'Threshold Summary'!$R:$R,"")/4))*XLOOKUP($Q209,'Threshold Summary'!$Y:$Y,'Threshold Summary'!$L:$L,""))/100)+5)*XLOOKUP(XLOOKUP($Q209,'Threshold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Editor'!$E:$E,1))),stab,IF(OR(mtype=XLOOKUP(XLOOKUP($Q209,'Threshold Summary'!$Y:$Y,'Threshold Summary'!$K:$K,""),'Pokemon Editor'!$A:$A,'Pokemon Editor'!$C:$C,""),mtype=XLOOKUP(XLOOKUP($Q209,'Threshold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Chart'!$B$1:$S$1,0)))),base,IF(OR(cat="Status",pow=0),0,FLOOR(FLOOR(FLOOR((2*XLOOKUP($Q209,'Threshold Summary'!$Y:$Y,'Threshold Summary'!$L:$L,"")/5+2)*pow*atk/def)/50)+2)),modifier,stab*eff,AVERAGE(ARRAYFORMULA(FLOOR(base*modifier*SEQUENCE(16,1,85,1)/100)))*MIN(1,acc/100)),0)</f>
        <v/>
      </c>
      <c r="N209" s="4">
        <f>IFERROR(LET(mtype,XLOOKUP($D209,'Move Editor'!$B:$B,'Move Editor'!$C:$C,""),cat,XLOOKUP($D209,'Move Editor'!$B:$B,'Move Editor'!$D:$D,""),pow,XLOOKUP($D209,'Move Editor'!$B:$B,'Move Editor'!$E:$E,0),acc,XLOOKUP($D209,'Move Editor'!$B:$B,'Move Editor'!$F:$F,100),atk,IF(cat="Physical",FLOOR((FLOOR(((2*XLOOKUP(XLOOKUP($Q209,'Threshold Summary'!$Y:$Y,'Threshold Summary'!$K:$K,""),'Pokemon Editor'!$A:$A,'Pokemon Editor'!$F:$F,0)+31+FLOOR(XLOOKUP($Q209,'Threshold Summary'!$Y:$Y,'Threshold Summary'!$P:$P,"")/4))*XLOOKUP($Q209,'Threshold Summary'!$Y:$Y,'Threshold Summary'!$L:$L,""))/100)+5)*XLOOKUP(XLOOKUP($Q209,'Threshold Summary'!$Y:$Y,'Threshold Summary'!$M:$M,""),'Nature Editor'!$A:$A,'Nature Editor'!$B:$B,1)),FLOOR((FLOOR(((2*XLOOKUP(XLOOKUP($Q209,'Threshold Summary'!$Y:$Y,'Threshold Summary'!$K:$K,""),'Pokemon Editor'!$A:$A,'Pokemon Editor'!$H:$H,0)+31+FLOOR(XLOOKUP($Q209,'Threshold Summary'!$Y:$Y,'Threshold Summary'!$R:$R,"")/4))*XLOOKUP($Q209,'Threshold Summary'!$Y:$Y,'Threshold Summary'!$L:$L,""))/100)+5)*XLOOKUP(XLOOKUP($Q209,'Threshold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Editor'!$E:$E,1))),stab,IF(OR(mtype=XLOOKUP(XLOOKUP($Q209,'Threshold Summary'!$Y:$Y,'Threshold Summary'!$K:$K,""),'Pokemon Editor'!$A:$A,'Pokemon Editor'!$C:$C,""),mtype=XLOOKUP(XLOOKUP($Q209,'Threshold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Chart'!$B$1:$S$1,0)))),base,IF(OR(cat="Status",pow=0),0,FLOOR(FLOOR(FLOOR((2*XLOOKUP($Q209,'Threshold Summary'!$Y:$Y,'Threshold Summary'!$L:$L,"")/5+2)*pow*atk/def)/50)+2)),modifier,stab*eff,AVERAGE(ARRAYFORMULA(FLOOR(base*modifier*SEQUENCE(16,1,85,1)/100)))/(FLOOR(((2*XLOOKUP('Boss Editor'!$C$4,'Pokemon Editor'!$A:$A,'Pokemon Editor'!$E:$E,0)+31+FLOOR('Boss Editor'!$G$4/4))*'Boss Editor'!$D$4)/100)+'Boss Editor'!$D$4+10)),0)</f>
        <v/>
      </c>
      <c r="O209" s="3">
        <f>IF(N209&gt;=1,"OHKO",IF(N209&gt;=0.5,"2HKO",IF(N209&gt;=0.333,"3HKO",IF(N209&gt;=0.25,"4HKO","5HKO+"))))</f>
        <v/>
      </c>
      <c r="P209" s="3" t="inlineStr">
        <is>
          <t>Live from editable databases</t>
        </is>
      </c>
      <c r="Q209" s="3" t="inlineStr">
        <is>
          <t>SPECIES_TAILLOW</t>
        </is>
      </c>
      <c r="R209" s="3" t="n">
        <v>16</v>
      </c>
    </row>
    <row r="210">
      <c r="A210" s="3">
        <f>XLOOKUP($Q210,'Threshold Summary'!$Y:$Y,'Threshold Summary'!$A:$A,"")</f>
        <v/>
      </c>
      <c r="B210" s="3">
        <f>XLOOKUP($Q210,'Threshold Summary'!$Y:$Y,'Threshold Summary'!$M:$M,"")</f>
        <v/>
      </c>
      <c r="C210" s="3">
        <f>XLOOKUP($Q210,'Threshold Summary'!$Y:$Y,'Threshold Summary'!$N:$N,"")</f>
        <v/>
      </c>
      <c r="D210" s="3">
        <f>IFERROR(INDEX(FILTER('Learnset Editor'!$D$2:$D,'Learnset Editor'!$A$2:$A=XLOOKUP($Q210,'Threshold Summary'!$Y:$Y,'Threshold Summary'!$K:$K,""),'Learnset Editor'!$C$2:$C&lt;=XLOOKUP($Q210,'Threshold Summary'!$Y:$Y,'Threshold Summary'!$L:$L,"")),$R210),"")</f>
        <v/>
      </c>
      <c r="E210" s="3">
        <f>XLOOKUP(D210,'Move Editor'!$B:$B,'Move Editor'!$C:$C,"")</f>
        <v/>
      </c>
      <c r="F210" s="3">
        <f>XLOOKUP(D210,'Move Editor'!$B:$B,'Move Editor'!$D:$D,"")</f>
        <v/>
      </c>
      <c r="G210" s="3">
        <f>XLOOKUP(D210,'Move Editor'!$B:$B,'Move Editor'!$E:$E,0)</f>
        <v/>
      </c>
      <c r="H210" s="3">
        <f>XLOOKUP(D210,'Move Editor'!$B:$B,'Move Editor'!$F:$F,0)</f>
        <v/>
      </c>
      <c r="I210" s="3">
        <f>(INDEX('Type Chart'!$B:$S,MATCH(E210,'Type Chart'!$A:$A,0),MATCH(XLOOKUP('Boss Editor'!$C$4,'Pokemon Editor'!$A:$A,'Pokemon Editor'!$C:$C,""),'Type Chart'!$B$1:$S$1,0))*IF(XLOOKUP('Boss Editor'!$C$4,'Pokemon Editor'!$A:$A,'Pokemon Editor'!$D:$D,"")="",1,INDEX('Type Chart'!$B:$S,MATCH(E210,'Type Chart'!$A:$A,0),MATCH(XLOOKUP('Boss Editor'!$C$4,'Pokemon Editor'!$A:$A,'Pokemon Editor'!$D:$D,""),'Type Chart'!$B$1:$S$1,0))))</f>
        <v/>
      </c>
      <c r="J210" s="3">
        <f>IFERROR(LET(mtype,XLOOKUP($D210,'Move Editor'!$B:$B,'Move Editor'!$C:$C,""),cat,XLOOKUP($D210,'Move Editor'!$B:$B,'Move Editor'!$D:$D,""),pow,XLOOKUP($D210,'Move Editor'!$B:$B,'Move Editor'!$E:$E,0),acc,XLOOKUP($D210,'Move Editor'!$B:$B,'Move Editor'!$F:$F,100),atk,IF(cat="Physical",FLOOR((FLOOR(((2*XLOOKUP(XLOOKUP($Q210,'Threshold Summary'!$Y:$Y,'Threshold Summary'!$K:$K,""),'Pokemon Editor'!$A:$A,'Pokemon Editor'!$F:$F,0)+31+FLOOR(XLOOKUP($Q210,'Threshold Summary'!$Y:$Y,'Threshold Summary'!$P:$P,"")/4))*XLOOKUP($Q210,'Threshold Summary'!$Y:$Y,'Threshold Summary'!$L:$L,""))/100)+5)*XLOOKUP(XLOOKUP($Q210,'Threshold Summary'!$Y:$Y,'Threshold Summary'!$M:$M,""),'Nature Editor'!$A:$A,'Nature Editor'!$B:$B,1)),FLOOR((FLOOR(((2*XLOOKUP(XLOOKUP($Q210,'Threshold Summary'!$Y:$Y,'Threshold Summary'!$K:$K,""),'Pokemon Editor'!$A:$A,'Pokemon Editor'!$H:$H,0)+31+FLOOR(XLOOKUP($Q210,'Threshold Summary'!$Y:$Y,'Threshold Summary'!$R:$R,"")/4))*XLOOKUP($Q210,'Threshold Summary'!$Y:$Y,'Threshold Summary'!$L:$L,""))/100)+5)*XLOOKUP(XLOOKUP($Q210,'Threshold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Editor'!$E:$E,1))),stab,IF(OR(mtype=XLOOKUP(XLOOKUP($Q210,'Threshold Summary'!$Y:$Y,'Threshold Summary'!$K:$K,""),'Pokemon Editor'!$A:$A,'Pokemon Editor'!$C:$C,""),mtype=XLOOKUP(XLOOKUP($Q210,'Threshold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Chart'!$B$1:$S$1,0)))),base,IF(OR(cat="Status",pow=0),0,FLOOR(FLOOR(FLOOR((2*XLOOKUP($Q210,'Threshold Summary'!$Y:$Y,'Threshold Summary'!$L:$L,"")/5+2)*pow*atk/def)/50)+2)),modifier,stab*eff,FLOOR(base*modifier*0.85)),0)</f>
        <v/>
      </c>
      <c r="K210" s="3">
        <f>IFERROR(LET(mtype,XLOOKUP($D210,'Move Editor'!$B:$B,'Move Editor'!$C:$C,""),cat,XLOOKUP($D210,'Move Editor'!$B:$B,'Move Editor'!$D:$D,""),pow,XLOOKUP($D210,'Move Editor'!$B:$B,'Move Editor'!$E:$E,0),acc,XLOOKUP($D210,'Move Editor'!$B:$B,'Move Editor'!$F:$F,100),atk,IF(cat="Physical",FLOOR((FLOOR(((2*XLOOKUP(XLOOKUP($Q210,'Threshold Summary'!$Y:$Y,'Threshold Summary'!$K:$K,""),'Pokemon Editor'!$A:$A,'Pokemon Editor'!$F:$F,0)+31+FLOOR(XLOOKUP($Q210,'Threshold Summary'!$Y:$Y,'Threshold Summary'!$P:$P,"")/4))*XLOOKUP($Q210,'Threshold Summary'!$Y:$Y,'Threshold Summary'!$L:$L,""))/100)+5)*XLOOKUP(XLOOKUP($Q210,'Threshold Summary'!$Y:$Y,'Threshold Summary'!$M:$M,""),'Nature Editor'!$A:$A,'Nature Editor'!$B:$B,1)),FLOOR((FLOOR(((2*XLOOKUP(XLOOKUP($Q210,'Threshold Summary'!$Y:$Y,'Threshold Summary'!$K:$K,""),'Pokemon Editor'!$A:$A,'Pokemon Editor'!$H:$H,0)+31+FLOOR(XLOOKUP($Q210,'Threshold Summary'!$Y:$Y,'Threshold Summary'!$R:$R,"")/4))*XLOOKUP($Q210,'Threshold Summary'!$Y:$Y,'Threshold Summary'!$L:$L,""))/100)+5)*XLOOKUP(XLOOKUP($Q210,'Threshold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Editor'!$E:$E,1))),stab,IF(OR(mtype=XLOOKUP(XLOOKUP($Q210,'Threshold Summary'!$Y:$Y,'Threshold Summary'!$K:$K,""),'Pokemon Editor'!$A:$A,'Pokemon Editor'!$C:$C,""),mtype=XLOOKUP(XLOOKUP($Q210,'Threshold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Chart'!$B$1:$S$1,0)))),base,IF(OR(cat="Status",pow=0),0,FLOOR(FLOOR(FLOOR((2*XLOOKUP($Q210,'Threshold Summary'!$Y:$Y,'Threshold Summary'!$L:$L,"")/5+2)*pow*atk/def)/50)+2)),modifier,stab*eff,FLOOR(base*modifier)),0)</f>
        <v/>
      </c>
      <c r="L210" s="3">
        <f>IFERROR(LET(mtype,XLOOKUP($D210,'Move Editor'!$B:$B,'Move Editor'!$C:$C,""),cat,XLOOKUP($D210,'Move Editor'!$B:$B,'Move Editor'!$D:$D,""),pow,XLOOKUP($D210,'Move Editor'!$B:$B,'Move Editor'!$E:$E,0),acc,XLOOKUP($D210,'Move Editor'!$B:$B,'Move Editor'!$F:$F,100),atk,IF(cat="Physical",FLOOR((FLOOR(((2*XLOOKUP(XLOOKUP($Q210,'Threshold Summary'!$Y:$Y,'Threshold Summary'!$K:$K,""),'Pokemon Editor'!$A:$A,'Pokemon Editor'!$F:$F,0)+31+FLOOR(XLOOKUP($Q210,'Threshold Summary'!$Y:$Y,'Threshold Summary'!$P:$P,"")/4))*XLOOKUP($Q210,'Threshold Summary'!$Y:$Y,'Threshold Summary'!$L:$L,""))/100)+5)*XLOOKUP(XLOOKUP($Q210,'Threshold Summary'!$Y:$Y,'Threshold Summary'!$M:$M,""),'Nature Editor'!$A:$A,'Nature Editor'!$B:$B,1)),FLOOR((FLOOR(((2*XLOOKUP(XLOOKUP($Q210,'Threshold Summary'!$Y:$Y,'Threshold Summary'!$K:$K,""),'Pokemon Editor'!$A:$A,'Pokemon Editor'!$H:$H,0)+31+FLOOR(XLOOKUP($Q210,'Threshold Summary'!$Y:$Y,'Threshold Summary'!$R:$R,"")/4))*XLOOKUP($Q210,'Threshold Summary'!$Y:$Y,'Threshold Summary'!$L:$L,""))/100)+5)*XLOOKUP(XLOOKUP($Q210,'Threshold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Editor'!$E:$E,1))),stab,IF(OR(mtype=XLOOKUP(XLOOKUP($Q210,'Threshold Summary'!$Y:$Y,'Threshold Summary'!$K:$K,""),'Pokemon Editor'!$A:$A,'Pokemon Editor'!$C:$C,""),mtype=XLOOKUP(XLOOKUP($Q210,'Threshold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Chart'!$B$1:$S$1,0)))),base,IF(OR(cat="Status",pow=0),0,FLOOR(FLOOR(FLOOR((2*XLOOKUP($Q210,'Threshold Summary'!$Y:$Y,'Threshold Summary'!$L:$L,"")/5+2)*pow*atk/def)/50)+2)),modifier,stab*eff,AVERAGE(ARRAYFORMULA(FLOOR(base*modifier*SEQUENCE(16,1,85,1)/100)))),0)</f>
        <v/>
      </c>
      <c r="M210" s="3">
        <f>IFERROR(LET(mtype,XLOOKUP($D210,'Move Editor'!$B:$B,'Move Editor'!$C:$C,""),cat,XLOOKUP($D210,'Move Editor'!$B:$B,'Move Editor'!$D:$D,""),pow,XLOOKUP($D210,'Move Editor'!$B:$B,'Move Editor'!$E:$E,0),acc,XLOOKUP($D210,'Move Editor'!$B:$B,'Move Editor'!$F:$F,100),atk,IF(cat="Physical",FLOOR((FLOOR(((2*XLOOKUP(XLOOKUP($Q210,'Threshold Summary'!$Y:$Y,'Threshold Summary'!$K:$K,""),'Pokemon Editor'!$A:$A,'Pokemon Editor'!$F:$F,0)+31+FLOOR(XLOOKUP($Q210,'Threshold Summary'!$Y:$Y,'Threshold Summary'!$P:$P,"")/4))*XLOOKUP($Q210,'Threshold Summary'!$Y:$Y,'Threshold Summary'!$L:$L,""))/100)+5)*XLOOKUP(XLOOKUP($Q210,'Threshold Summary'!$Y:$Y,'Threshold Summary'!$M:$M,""),'Nature Editor'!$A:$A,'Nature Editor'!$B:$B,1)),FLOOR((FLOOR(((2*XLOOKUP(XLOOKUP($Q210,'Threshold Summary'!$Y:$Y,'Threshold Summary'!$K:$K,""),'Pokemon Editor'!$A:$A,'Pokemon Editor'!$H:$H,0)+31+FLOOR(XLOOKUP($Q210,'Threshold Summary'!$Y:$Y,'Threshold Summary'!$R:$R,"")/4))*XLOOKUP($Q210,'Threshold Summary'!$Y:$Y,'Threshold Summary'!$L:$L,""))/100)+5)*XLOOKUP(XLOOKUP($Q210,'Threshold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Editor'!$E:$E,1))),stab,IF(OR(mtype=XLOOKUP(XLOOKUP($Q210,'Threshold Summary'!$Y:$Y,'Threshold Summary'!$K:$K,""),'Pokemon Editor'!$A:$A,'Pokemon Editor'!$C:$C,""),mtype=XLOOKUP(XLOOKUP($Q210,'Threshold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Chart'!$B$1:$S$1,0)))),base,IF(OR(cat="Status",pow=0),0,FLOOR(FLOOR(FLOOR((2*XLOOKUP($Q210,'Threshold Summary'!$Y:$Y,'Threshold Summary'!$L:$L,"")/5+2)*pow*atk/def)/50)+2)),modifier,stab*eff,AVERAGE(ARRAYFORMULA(FLOOR(base*modifier*SEQUENCE(16,1,85,1)/100)))*MIN(1,acc/100)),0)</f>
        <v/>
      </c>
      <c r="N210" s="4">
        <f>IFERROR(LET(mtype,XLOOKUP($D210,'Move Editor'!$B:$B,'Move Editor'!$C:$C,""),cat,XLOOKUP($D210,'Move Editor'!$B:$B,'Move Editor'!$D:$D,""),pow,XLOOKUP($D210,'Move Editor'!$B:$B,'Move Editor'!$E:$E,0),acc,XLOOKUP($D210,'Move Editor'!$B:$B,'Move Editor'!$F:$F,100),atk,IF(cat="Physical",FLOOR((FLOOR(((2*XLOOKUP(XLOOKUP($Q210,'Threshold Summary'!$Y:$Y,'Threshold Summary'!$K:$K,""),'Pokemon Editor'!$A:$A,'Pokemon Editor'!$F:$F,0)+31+FLOOR(XLOOKUP($Q210,'Threshold Summary'!$Y:$Y,'Threshold Summary'!$P:$P,"")/4))*XLOOKUP($Q210,'Threshold Summary'!$Y:$Y,'Threshold Summary'!$L:$L,""))/100)+5)*XLOOKUP(XLOOKUP($Q210,'Threshold Summary'!$Y:$Y,'Threshold Summary'!$M:$M,""),'Nature Editor'!$A:$A,'Nature Editor'!$B:$B,1)),FLOOR((FLOOR(((2*XLOOKUP(XLOOKUP($Q210,'Threshold Summary'!$Y:$Y,'Threshold Summary'!$K:$K,""),'Pokemon Editor'!$A:$A,'Pokemon Editor'!$H:$H,0)+31+FLOOR(XLOOKUP($Q210,'Threshold Summary'!$Y:$Y,'Threshold Summary'!$R:$R,"")/4))*XLOOKUP($Q210,'Threshold Summary'!$Y:$Y,'Threshold Summary'!$L:$L,""))/100)+5)*XLOOKUP(XLOOKUP($Q210,'Threshold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Editor'!$E:$E,1))),stab,IF(OR(mtype=XLOOKUP(XLOOKUP($Q210,'Threshold Summary'!$Y:$Y,'Threshold Summary'!$K:$K,""),'Pokemon Editor'!$A:$A,'Pokemon Editor'!$C:$C,""),mtype=XLOOKUP(XLOOKUP($Q210,'Threshold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Chart'!$B$1:$S$1,0)))),base,IF(OR(cat="Status",pow=0),0,FLOOR(FLOOR(FLOOR((2*XLOOKUP($Q210,'Threshold Summary'!$Y:$Y,'Threshold Summary'!$L:$L,"")/5+2)*pow*atk/def)/50)+2)),modifier,stab*eff,AVERAGE(ARRAYFORMULA(FLOOR(base*modifier*SEQUENCE(16,1,85,1)/100)))/(FLOOR(((2*XLOOKUP('Boss Editor'!$C$4,'Pokemon Editor'!$A:$A,'Pokemon Editor'!$E:$E,0)+31+FLOOR('Boss Editor'!$G$4/4))*'Boss Editor'!$D$4)/100)+'Boss Editor'!$D$4+10)),0)</f>
        <v/>
      </c>
      <c r="O210" s="3">
        <f>IF(N210&gt;=1,"OHKO",IF(N210&gt;=0.5,"2HKO",IF(N210&gt;=0.333,"3HKO",IF(N210&gt;=0.25,"4HKO","5HKO+"))))</f>
        <v/>
      </c>
      <c r="P210" s="3" t="inlineStr">
        <is>
          <t>Live from editable databases</t>
        </is>
      </c>
      <c r="Q210" s="3" t="inlineStr">
        <is>
          <t>SPECIES_TAILLOW</t>
        </is>
      </c>
      <c r="R210" s="3" t="n">
        <v>17</v>
      </c>
    </row>
    <row r="211">
      <c r="A211" s="3">
        <f>XLOOKUP($Q211,'Threshold Summary'!$Y:$Y,'Threshold Summary'!$A:$A,"")</f>
        <v/>
      </c>
      <c r="B211" s="3">
        <f>XLOOKUP($Q211,'Threshold Summary'!$Y:$Y,'Threshold Summary'!$M:$M,"")</f>
        <v/>
      </c>
      <c r="C211" s="3">
        <f>XLOOKUP($Q211,'Threshold Summary'!$Y:$Y,'Threshold Summary'!$N:$N,"")</f>
        <v/>
      </c>
      <c r="D211" s="3">
        <f>IFERROR(INDEX(FILTER('Learnset Editor'!$D$2:$D,'Learnset Editor'!$A$2:$A=XLOOKUP($Q211,'Threshold Summary'!$Y:$Y,'Threshold Summary'!$K:$K,""),'Learnset Editor'!$C$2:$C&lt;=XLOOKUP($Q211,'Threshold Summary'!$Y:$Y,'Threshold Summary'!$L:$L,"")),$R211),"")</f>
        <v/>
      </c>
      <c r="E211" s="3">
        <f>XLOOKUP(D211,'Move Editor'!$B:$B,'Move Editor'!$C:$C,"")</f>
        <v/>
      </c>
      <c r="F211" s="3">
        <f>XLOOKUP(D211,'Move Editor'!$B:$B,'Move Editor'!$D:$D,"")</f>
        <v/>
      </c>
      <c r="G211" s="3">
        <f>XLOOKUP(D211,'Move Editor'!$B:$B,'Move Editor'!$E:$E,0)</f>
        <v/>
      </c>
      <c r="H211" s="3">
        <f>XLOOKUP(D211,'Move Editor'!$B:$B,'Move Editor'!$F:$F,0)</f>
        <v/>
      </c>
      <c r="I211" s="3">
        <f>(INDEX('Type Chart'!$B:$S,MATCH(E211,'Type Chart'!$A:$A,0),MATCH(XLOOKUP('Boss Editor'!$C$4,'Pokemon Editor'!$A:$A,'Pokemon Editor'!$C:$C,""),'Type Chart'!$B$1:$S$1,0))*IF(XLOOKUP('Boss Editor'!$C$4,'Pokemon Editor'!$A:$A,'Pokemon Editor'!$D:$D,"")="",1,INDEX('Type Chart'!$B:$S,MATCH(E211,'Type Chart'!$A:$A,0),MATCH(XLOOKUP('Boss Editor'!$C$4,'Pokemon Editor'!$A:$A,'Pokemon Editor'!$D:$D,""),'Type Chart'!$B$1:$S$1,0))))</f>
        <v/>
      </c>
      <c r="J211" s="3">
        <f>IFERROR(LET(mtype,XLOOKUP($D211,'Move Editor'!$B:$B,'Move Editor'!$C:$C,""),cat,XLOOKUP($D211,'Move Editor'!$B:$B,'Move Editor'!$D:$D,""),pow,XLOOKUP($D211,'Move Editor'!$B:$B,'Move Editor'!$E:$E,0),acc,XLOOKUP($D211,'Move Editor'!$B:$B,'Move Editor'!$F:$F,100),atk,IF(cat="Physical",FLOOR((FLOOR(((2*XLOOKUP(XLOOKUP($Q211,'Threshold Summary'!$Y:$Y,'Threshold Summary'!$K:$K,""),'Pokemon Editor'!$A:$A,'Pokemon Editor'!$F:$F,0)+31+FLOOR(XLOOKUP($Q211,'Threshold Summary'!$Y:$Y,'Threshold Summary'!$P:$P,"")/4))*XLOOKUP($Q211,'Threshold Summary'!$Y:$Y,'Threshold Summary'!$L:$L,""))/100)+5)*XLOOKUP(XLOOKUP($Q211,'Threshold Summary'!$Y:$Y,'Threshold Summary'!$M:$M,""),'Nature Editor'!$A:$A,'Nature Editor'!$B:$B,1)),FLOOR((FLOOR(((2*XLOOKUP(XLOOKUP($Q211,'Threshold Summary'!$Y:$Y,'Threshold Summary'!$K:$K,""),'Pokemon Editor'!$A:$A,'Pokemon Editor'!$H:$H,0)+31+FLOOR(XLOOKUP($Q211,'Threshold Summary'!$Y:$Y,'Threshold Summary'!$R:$R,"")/4))*XLOOKUP($Q211,'Threshold Summary'!$Y:$Y,'Threshold Summary'!$L:$L,""))/100)+5)*XLOOKUP(XLOOKUP($Q211,'Threshold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Editor'!$E:$E,1))),stab,IF(OR(mtype=XLOOKUP(XLOOKUP($Q211,'Threshold Summary'!$Y:$Y,'Threshold Summary'!$K:$K,""),'Pokemon Editor'!$A:$A,'Pokemon Editor'!$C:$C,""),mtype=XLOOKUP(XLOOKUP($Q211,'Threshold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Chart'!$B$1:$S$1,0)))),base,IF(OR(cat="Status",pow=0),0,FLOOR(FLOOR(FLOOR((2*XLOOKUP($Q211,'Threshold Summary'!$Y:$Y,'Threshold Summary'!$L:$L,"")/5+2)*pow*atk/def)/50)+2)),modifier,stab*eff,FLOOR(base*modifier*0.85)),0)</f>
        <v/>
      </c>
      <c r="K211" s="3">
        <f>IFERROR(LET(mtype,XLOOKUP($D211,'Move Editor'!$B:$B,'Move Editor'!$C:$C,""),cat,XLOOKUP($D211,'Move Editor'!$B:$B,'Move Editor'!$D:$D,""),pow,XLOOKUP($D211,'Move Editor'!$B:$B,'Move Editor'!$E:$E,0),acc,XLOOKUP($D211,'Move Editor'!$B:$B,'Move Editor'!$F:$F,100),atk,IF(cat="Physical",FLOOR((FLOOR(((2*XLOOKUP(XLOOKUP($Q211,'Threshold Summary'!$Y:$Y,'Threshold Summary'!$K:$K,""),'Pokemon Editor'!$A:$A,'Pokemon Editor'!$F:$F,0)+31+FLOOR(XLOOKUP($Q211,'Threshold Summary'!$Y:$Y,'Threshold Summary'!$P:$P,"")/4))*XLOOKUP($Q211,'Threshold Summary'!$Y:$Y,'Threshold Summary'!$L:$L,""))/100)+5)*XLOOKUP(XLOOKUP($Q211,'Threshold Summary'!$Y:$Y,'Threshold Summary'!$M:$M,""),'Nature Editor'!$A:$A,'Nature Editor'!$B:$B,1)),FLOOR((FLOOR(((2*XLOOKUP(XLOOKUP($Q211,'Threshold Summary'!$Y:$Y,'Threshold Summary'!$K:$K,""),'Pokemon Editor'!$A:$A,'Pokemon Editor'!$H:$H,0)+31+FLOOR(XLOOKUP($Q211,'Threshold Summary'!$Y:$Y,'Threshold Summary'!$R:$R,"")/4))*XLOOKUP($Q211,'Threshold Summary'!$Y:$Y,'Threshold Summary'!$L:$L,""))/100)+5)*XLOOKUP(XLOOKUP($Q211,'Threshold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Editor'!$E:$E,1))),stab,IF(OR(mtype=XLOOKUP(XLOOKUP($Q211,'Threshold Summary'!$Y:$Y,'Threshold Summary'!$K:$K,""),'Pokemon Editor'!$A:$A,'Pokemon Editor'!$C:$C,""),mtype=XLOOKUP(XLOOKUP($Q211,'Threshold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Chart'!$B$1:$S$1,0)))),base,IF(OR(cat="Status",pow=0),0,FLOOR(FLOOR(FLOOR((2*XLOOKUP($Q211,'Threshold Summary'!$Y:$Y,'Threshold Summary'!$L:$L,"")/5+2)*pow*atk/def)/50)+2)),modifier,stab*eff,FLOOR(base*modifier)),0)</f>
        <v/>
      </c>
      <c r="L211" s="3">
        <f>IFERROR(LET(mtype,XLOOKUP($D211,'Move Editor'!$B:$B,'Move Editor'!$C:$C,""),cat,XLOOKUP($D211,'Move Editor'!$B:$B,'Move Editor'!$D:$D,""),pow,XLOOKUP($D211,'Move Editor'!$B:$B,'Move Editor'!$E:$E,0),acc,XLOOKUP($D211,'Move Editor'!$B:$B,'Move Editor'!$F:$F,100),atk,IF(cat="Physical",FLOOR((FLOOR(((2*XLOOKUP(XLOOKUP($Q211,'Threshold Summary'!$Y:$Y,'Threshold Summary'!$K:$K,""),'Pokemon Editor'!$A:$A,'Pokemon Editor'!$F:$F,0)+31+FLOOR(XLOOKUP($Q211,'Threshold Summary'!$Y:$Y,'Threshold Summary'!$P:$P,"")/4))*XLOOKUP($Q211,'Threshold Summary'!$Y:$Y,'Threshold Summary'!$L:$L,""))/100)+5)*XLOOKUP(XLOOKUP($Q211,'Threshold Summary'!$Y:$Y,'Threshold Summary'!$M:$M,""),'Nature Editor'!$A:$A,'Nature Editor'!$B:$B,1)),FLOOR((FLOOR(((2*XLOOKUP(XLOOKUP($Q211,'Threshold Summary'!$Y:$Y,'Threshold Summary'!$K:$K,""),'Pokemon Editor'!$A:$A,'Pokemon Editor'!$H:$H,0)+31+FLOOR(XLOOKUP($Q211,'Threshold Summary'!$Y:$Y,'Threshold Summary'!$R:$R,"")/4))*XLOOKUP($Q211,'Threshold Summary'!$Y:$Y,'Threshold Summary'!$L:$L,""))/100)+5)*XLOOKUP(XLOOKUP($Q211,'Threshold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Editor'!$E:$E,1))),stab,IF(OR(mtype=XLOOKUP(XLOOKUP($Q211,'Threshold Summary'!$Y:$Y,'Threshold Summary'!$K:$K,""),'Pokemon Editor'!$A:$A,'Pokemon Editor'!$C:$C,""),mtype=XLOOKUP(XLOOKUP($Q211,'Threshold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Chart'!$B$1:$S$1,0)))),base,IF(OR(cat="Status",pow=0),0,FLOOR(FLOOR(FLOOR((2*XLOOKUP($Q211,'Threshold Summary'!$Y:$Y,'Threshold Summary'!$L:$L,"")/5+2)*pow*atk/def)/50)+2)),modifier,stab*eff,AVERAGE(ARRAYFORMULA(FLOOR(base*modifier*SEQUENCE(16,1,85,1)/100)))),0)</f>
        <v/>
      </c>
      <c r="M211" s="3">
        <f>IFERROR(LET(mtype,XLOOKUP($D211,'Move Editor'!$B:$B,'Move Editor'!$C:$C,""),cat,XLOOKUP($D211,'Move Editor'!$B:$B,'Move Editor'!$D:$D,""),pow,XLOOKUP($D211,'Move Editor'!$B:$B,'Move Editor'!$E:$E,0),acc,XLOOKUP($D211,'Move Editor'!$B:$B,'Move Editor'!$F:$F,100),atk,IF(cat="Physical",FLOOR((FLOOR(((2*XLOOKUP(XLOOKUP($Q211,'Threshold Summary'!$Y:$Y,'Threshold Summary'!$K:$K,""),'Pokemon Editor'!$A:$A,'Pokemon Editor'!$F:$F,0)+31+FLOOR(XLOOKUP($Q211,'Threshold Summary'!$Y:$Y,'Threshold Summary'!$P:$P,"")/4))*XLOOKUP($Q211,'Threshold Summary'!$Y:$Y,'Threshold Summary'!$L:$L,""))/100)+5)*XLOOKUP(XLOOKUP($Q211,'Threshold Summary'!$Y:$Y,'Threshold Summary'!$M:$M,""),'Nature Editor'!$A:$A,'Nature Editor'!$B:$B,1)),FLOOR((FLOOR(((2*XLOOKUP(XLOOKUP($Q211,'Threshold Summary'!$Y:$Y,'Threshold Summary'!$K:$K,""),'Pokemon Editor'!$A:$A,'Pokemon Editor'!$H:$H,0)+31+FLOOR(XLOOKUP($Q211,'Threshold Summary'!$Y:$Y,'Threshold Summary'!$R:$R,"")/4))*XLOOKUP($Q211,'Threshold Summary'!$Y:$Y,'Threshold Summary'!$L:$L,""))/100)+5)*XLOOKUP(XLOOKUP($Q211,'Threshold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Editor'!$E:$E,1))),stab,IF(OR(mtype=XLOOKUP(XLOOKUP($Q211,'Threshold Summary'!$Y:$Y,'Threshold Summary'!$K:$K,""),'Pokemon Editor'!$A:$A,'Pokemon Editor'!$C:$C,""),mtype=XLOOKUP(XLOOKUP($Q211,'Threshold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Chart'!$B$1:$S$1,0)))),base,IF(OR(cat="Status",pow=0),0,FLOOR(FLOOR(FLOOR((2*XLOOKUP($Q211,'Threshold Summary'!$Y:$Y,'Threshold Summary'!$L:$L,"")/5+2)*pow*atk/def)/50)+2)),modifier,stab*eff,AVERAGE(ARRAYFORMULA(FLOOR(base*modifier*SEQUENCE(16,1,85,1)/100)))*MIN(1,acc/100)),0)</f>
        <v/>
      </c>
      <c r="N211" s="4">
        <f>IFERROR(LET(mtype,XLOOKUP($D211,'Move Editor'!$B:$B,'Move Editor'!$C:$C,""),cat,XLOOKUP($D211,'Move Editor'!$B:$B,'Move Editor'!$D:$D,""),pow,XLOOKUP($D211,'Move Editor'!$B:$B,'Move Editor'!$E:$E,0),acc,XLOOKUP($D211,'Move Editor'!$B:$B,'Move Editor'!$F:$F,100),atk,IF(cat="Physical",FLOOR((FLOOR(((2*XLOOKUP(XLOOKUP($Q211,'Threshold Summary'!$Y:$Y,'Threshold Summary'!$K:$K,""),'Pokemon Editor'!$A:$A,'Pokemon Editor'!$F:$F,0)+31+FLOOR(XLOOKUP($Q211,'Threshold Summary'!$Y:$Y,'Threshold Summary'!$P:$P,"")/4))*XLOOKUP($Q211,'Threshold Summary'!$Y:$Y,'Threshold Summary'!$L:$L,""))/100)+5)*XLOOKUP(XLOOKUP($Q211,'Threshold Summary'!$Y:$Y,'Threshold Summary'!$M:$M,""),'Nature Editor'!$A:$A,'Nature Editor'!$B:$B,1)),FLOOR((FLOOR(((2*XLOOKUP(XLOOKUP($Q211,'Threshold Summary'!$Y:$Y,'Threshold Summary'!$K:$K,""),'Pokemon Editor'!$A:$A,'Pokemon Editor'!$H:$H,0)+31+FLOOR(XLOOKUP($Q211,'Threshold Summary'!$Y:$Y,'Threshold Summary'!$R:$R,"")/4))*XLOOKUP($Q211,'Threshold Summary'!$Y:$Y,'Threshold Summary'!$L:$L,""))/100)+5)*XLOOKUP(XLOOKUP($Q211,'Threshold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Editor'!$E:$E,1))),stab,IF(OR(mtype=XLOOKUP(XLOOKUP($Q211,'Threshold Summary'!$Y:$Y,'Threshold Summary'!$K:$K,""),'Pokemon Editor'!$A:$A,'Pokemon Editor'!$C:$C,""),mtype=XLOOKUP(XLOOKUP($Q211,'Threshold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Chart'!$B$1:$S$1,0)))),base,IF(OR(cat="Status",pow=0),0,FLOOR(FLOOR(FLOOR((2*XLOOKUP($Q211,'Threshold Summary'!$Y:$Y,'Threshold Summary'!$L:$L,"")/5+2)*pow*atk/def)/50)+2)),modifier,stab*eff,AVERAGE(ARRAYFORMULA(FLOOR(base*modifier*SEQUENCE(16,1,85,1)/100)))/(FLOOR(((2*XLOOKUP('Boss Editor'!$C$4,'Pokemon Editor'!$A:$A,'Pokemon Editor'!$E:$E,0)+31+FLOOR('Boss Editor'!$G$4/4))*'Boss Editor'!$D$4)/100)+'Boss Editor'!$D$4+10)),0)</f>
        <v/>
      </c>
      <c r="O211" s="3">
        <f>IF(N211&gt;=1,"OHKO",IF(N211&gt;=0.5,"2HKO",IF(N211&gt;=0.333,"3HKO",IF(N211&gt;=0.25,"4HKO","5HKO+"))))</f>
        <v/>
      </c>
      <c r="P211" s="3" t="inlineStr">
        <is>
          <t>Live from editable databases</t>
        </is>
      </c>
      <c r="Q211" s="3" t="inlineStr">
        <is>
          <t>SPECIES_TAILLOW</t>
        </is>
      </c>
      <c r="R211" s="3" t="n">
        <v>18</v>
      </c>
    </row>
    <row r="212">
      <c r="A212" s="3">
        <f>XLOOKUP($Q212,'Threshold Summary'!$Y:$Y,'Threshold Summary'!$A:$A,"")</f>
        <v/>
      </c>
      <c r="B212" s="3">
        <f>XLOOKUP($Q212,'Threshold Summary'!$Y:$Y,'Threshold Summary'!$M:$M,"")</f>
        <v/>
      </c>
      <c r="C212" s="3">
        <f>XLOOKUP($Q212,'Threshold Summary'!$Y:$Y,'Threshold Summary'!$N:$N,"")</f>
        <v/>
      </c>
      <c r="D212" s="3">
        <f>IFERROR(INDEX(FILTER('Learnset Editor'!$D$2:$D,'Learnset Editor'!$A$2:$A=XLOOKUP($Q212,'Threshold Summary'!$Y:$Y,'Threshold Summary'!$K:$K,""),'Learnset Editor'!$C$2:$C&lt;=XLOOKUP($Q212,'Threshold Summary'!$Y:$Y,'Threshold Summary'!$L:$L,"")),$R212),"")</f>
        <v/>
      </c>
      <c r="E212" s="3">
        <f>XLOOKUP(D212,'Move Editor'!$B:$B,'Move Editor'!$C:$C,"")</f>
        <v/>
      </c>
      <c r="F212" s="3">
        <f>XLOOKUP(D212,'Move Editor'!$B:$B,'Move Editor'!$D:$D,"")</f>
        <v/>
      </c>
      <c r="G212" s="3">
        <f>XLOOKUP(D212,'Move Editor'!$B:$B,'Move Editor'!$E:$E,0)</f>
        <v/>
      </c>
      <c r="H212" s="3">
        <f>XLOOKUP(D212,'Move Editor'!$B:$B,'Move Editor'!$F:$F,0)</f>
        <v/>
      </c>
      <c r="I212" s="3">
        <f>(INDEX('Type Chart'!$B:$S,MATCH(E212,'Type Chart'!$A:$A,0),MATCH(XLOOKUP('Boss Editor'!$C$4,'Pokemon Editor'!$A:$A,'Pokemon Editor'!$C:$C,""),'Type Chart'!$B$1:$S$1,0))*IF(XLOOKUP('Boss Editor'!$C$4,'Pokemon Editor'!$A:$A,'Pokemon Editor'!$D:$D,"")="",1,INDEX('Type Chart'!$B:$S,MATCH(E212,'Type Chart'!$A:$A,0),MATCH(XLOOKUP('Boss Editor'!$C$4,'Pokemon Editor'!$A:$A,'Pokemon Editor'!$D:$D,""),'Type Chart'!$B$1:$S$1,0))))</f>
        <v/>
      </c>
      <c r="J212" s="3">
        <f>IFERROR(LET(mtype,XLOOKUP($D212,'Move Editor'!$B:$B,'Move Editor'!$C:$C,""),cat,XLOOKUP($D212,'Move Editor'!$B:$B,'Move Editor'!$D:$D,""),pow,XLOOKUP($D212,'Move Editor'!$B:$B,'Move Editor'!$E:$E,0),acc,XLOOKUP($D212,'Move Editor'!$B:$B,'Move Editor'!$F:$F,100),atk,IF(cat="Physical",FLOOR((FLOOR(((2*XLOOKUP(XLOOKUP($Q212,'Threshold Summary'!$Y:$Y,'Threshold Summary'!$K:$K,""),'Pokemon Editor'!$A:$A,'Pokemon Editor'!$F:$F,0)+31+FLOOR(XLOOKUP($Q212,'Threshold Summary'!$Y:$Y,'Threshold Summary'!$P:$P,"")/4))*XLOOKUP($Q212,'Threshold Summary'!$Y:$Y,'Threshold Summary'!$L:$L,""))/100)+5)*XLOOKUP(XLOOKUP($Q212,'Threshold Summary'!$Y:$Y,'Threshold Summary'!$M:$M,""),'Nature Editor'!$A:$A,'Nature Editor'!$B:$B,1)),FLOOR((FLOOR(((2*XLOOKUP(XLOOKUP($Q212,'Threshold Summary'!$Y:$Y,'Threshold Summary'!$K:$K,""),'Pokemon Editor'!$A:$A,'Pokemon Editor'!$H:$H,0)+31+FLOOR(XLOOKUP($Q212,'Threshold Summary'!$Y:$Y,'Threshold Summary'!$R:$R,"")/4))*XLOOKUP($Q212,'Threshold Summary'!$Y:$Y,'Threshold Summary'!$L:$L,""))/100)+5)*XLOOKUP(XLOOKUP($Q212,'Threshold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Editor'!$E:$E,1))),stab,IF(OR(mtype=XLOOKUP(XLOOKUP($Q212,'Threshold Summary'!$Y:$Y,'Threshold Summary'!$K:$K,""),'Pokemon Editor'!$A:$A,'Pokemon Editor'!$C:$C,""),mtype=XLOOKUP(XLOOKUP($Q212,'Threshold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Chart'!$B$1:$S$1,0)))),base,IF(OR(cat="Status",pow=0),0,FLOOR(FLOOR(FLOOR((2*XLOOKUP($Q212,'Threshold Summary'!$Y:$Y,'Threshold Summary'!$L:$L,"")/5+2)*pow*atk/def)/50)+2)),modifier,stab*eff,FLOOR(base*modifier*0.85)),0)</f>
        <v/>
      </c>
      <c r="K212" s="3">
        <f>IFERROR(LET(mtype,XLOOKUP($D212,'Move Editor'!$B:$B,'Move Editor'!$C:$C,""),cat,XLOOKUP($D212,'Move Editor'!$B:$B,'Move Editor'!$D:$D,""),pow,XLOOKUP($D212,'Move Editor'!$B:$B,'Move Editor'!$E:$E,0),acc,XLOOKUP($D212,'Move Editor'!$B:$B,'Move Editor'!$F:$F,100),atk,IF(cat="Physical",FLOOR((FLOOR(((2*XLOOKUP(XLOOKUP($Q212,'Threshold Summary'!$Y:$Y,'Threshold Summary'!$K:$K,""),'Pokemon Editor'!$A:$A,'Pokemon Editor'!$F:$F,0)+31+FLOOR(XLOOKUP($Q212,'Threshold Summary'!$Y:$Y,'Threshold Summary'!$P:$P,"")/4))*XLOOKUP($Q212,'Threshold Summary'!$Y:$Y,'Threshold Summary'!$L:$L,""))/100)+5)*XLOOKUP(XLOOKUP($Q212,'Threshold Summary'!$Y:$Y,'Threshold Summary'!$M:$M,""),'Nature Editor'!$A:$A,'Nature Editor'!$B:$B,1)),FLOOR((FLOOR(((2*XLOOKUP(XLOOKUP($Q212,'Threshold Summary'!$Y:$Y,'Threshold Summary'!$K:$K,""),'Pokemon Editor'!$A:$A,'Pokemon Editor'!$H:$H,0)+31+FLOOR(XLOOKUP($Q212,'Threshold Summary'!$Y:$Y,'Threshold Summary'!$R:$R,"")/4))*XLOOKUP($Q212,'Threshold Summary'!$Y:$Y,'Threshold Summary'!$L:$L,""))/100)+5)*XLOOKUP(XLOOKUP($Q212,'Threshold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Editor'!$E:$E,1))),stab,IF(OR(mtype=XLOOKUP(XLOOKUP($Q212,'Threshold Summary'!$Y:$Y,'Threshold Summary'!$K:$K,""),'Pokemon Editor'!$A:$A,'Pokemon Editor'!$C:$C,""),mtype=XLOOKUP(XLOOKUP($Q212,'Threshold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Chart'!$B$1:$S$1,0)))),base,IF(OR(cat="Status",pow=0),0,FLOOR(FLOOR(FLOOR((2*XLOOKUP($Q212,'Threshold Summary'!$Y:$Y,'Threshold Summary'!$L:$L,"")/5+2)*pow*atk/def)/50)+2)),modifier,stab*eff,FLOOR(base*modifier)),0)</f>
        <v/>
      </c>
      <c r="L212" s="3">
        <f>IFERROR(LET(mtype,XLOOKUP($D212,'Move Editor'!$B:$B,'Move Editor'!$C:$C,""),cat,XLOOKUP($D212,'Move Editor'!$B:$B,'Move Editor'!$D:$D,""),pow,XLOOKUP($D212,'Move Editor'!$B:$B,'Move Editor'!$E:$E,0),acc,XLOOKUP($D212,'Move Editor'!$B:$B,'Move Editor'!$F:$F,100),atk,IF(cat="Physical",FLOOR((FLOOR(((2*XLOOKUP(XLOOKUP($Q212,'Threshold Summary'!$Y:$Y,'Threshold Summary'!$K:$K,""),'Pokemon Editor'!$A:$A,'Pokemon Editor'!$F:$F,0)+31+FLOOR(XLOOKUP($Q212,'Threshold Summary'!$Y:$Y,'Threshold Summary'!$P:$P,"")/4))*XLOOKUP($Q212,'Threshold Summary'!$Y:$Y,'Threshold Summary'!$L:$L,""))/100)+5)*XLOOKUP(XLOOKUP($Q212,'Threshold Summary'!$Y:$Y,'Threshold Summary'!$M:$M,""),'Nature Editor'!$A:$A,'Nature Editor'!$B:$B,1)),FLOOR((FLOOR(((2*XLOOKUP(XLOOKUP($Q212,'Threshold Summary'!$Y:$Y,'Threshold Summary'!$K:$K,""),'Pokemon Editor'!$A:$A,'Pokemon Editor'!$H:$H,0)+31+FLOOR(XLOOKUP($Q212,'Threshold Summary'!$Y:$Y,'Threshold Summary'!$R:$R,"")/4))*XLOOKUP($Q212,'Threshold Summary'!$Y:$Y,'Threshold Summary'!$L:$L,""))/100)+5)*XLOOKUP(XLOOKUP($Q212,'Threshold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Editor'!$E:$E,1))),stab,IF(OR(mtype=XLOOKUP(XLOOKUP($Q212,'Threshold Summary'!$Y:$Y,'Threshold Summary'!$K:$K,""),'Pokemon Editor'!$A:$A,'Pokemon Editor'!$C:$C,""),mtype=XLOOKUP(XLOOKUP($Q212,'Threshold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Chart'!$B$1:$S$1,0)))),base,IF(OR(cat="Status",pow=0),0,FLOOR(FLOOR(FLOOR((2*XLOOKUP($Q212,'Threshold Summary'!$Y:$Y,'Threshold Summary'!$L:$L,"")/5+2)*pow*atk/def)/50)+2)),modifier,stab*eff,AVERAGE(ARRAYFORMULA(FLOOR(base*modifier*SEQUENCE(16,1,85,1)/100)))),0)</f>
        <v/>
      </c>
      <c r="M212" s="3">
        <f>IFERROR(LET(mtype,XLOOKUP($D212,'Move Editor'!$B:$B,'Move Editor'!$C:$C,""),cat,XLOOKUP($D212,'Move Editor'!$B:$B,'Move Editor'!$D:$D,""),pow,XLOOKUP($D212,'Move Editor'!$B:$B,'Move Editor'!$E:$E,0),acc,XLOOKUP($D212,'Move Editor'!$B:$B,'Move Editor'!$F:$F,100),atk,IF(cat="Physical",FLOOR((FLOOR(((2*XLOOKUP(XLOOKUP($Q212,'Threshold Summary'!$Y:$Y,'Threshold Summary'!$K:$K,""),'Pokemon Editor'!$A:$A,'Pokemon Editor'!$F:$F,0)+31+FLOOR(XLOOKUP($Q212,'Threshold Summary'!$Y:$Y,'Threshold Summary'!$P:$P,"")/4))*XLOOKUP($Q212,'Threshold Summary'!$Y:$Y,'Threshold Summary'!$L:$L,""))/100)+5)*XLOOKUP(XLOOKUP($Q212,'Threshold Summary'!$Y:$Y,'Threshold Summary'!$M:$M,""),'Nature Editor'!$A:$A,'Nature Editor'!$B:$B,1)),FLOOR((FLOOR(((2*XLOOKUP(XLOOKUP($Q212,'Threshold Summary'!$Y:$Y,'Threshold Summary'!$K:$K,""),'Pokemon Editor'!$A:$A,'Pokemon Editor'!$H:$H,0)+31+FLOOR(XLOOKUP($Q212,'Threshold Summary'!$Y:$Y,'Threshold Summary'!$R:$R,"")/4))*XLOOKUP($Q212,'Threshold Summary'!$Y:$Y,'Threshold Summary'!$L:$L,""))/100)+5)*XLOOKUP(XLOOKUP($Q212,'Threshold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Editor'!$E:$E,1))),stab,IF(OR(mtype=XLOOKUP(XLOOKUP($Q212,'Threshold Summary'!$Y:$Y,'Threshold Summary'!$K:$K,""),'Pokemon Editor'!$A:$A,'Pokemon Editor'!$C:$C,""),mtype=XLOOKUP(XLOOKUP($Q212,'Threshold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Chart'!$B$1:$S$1,0)))),base,IF(OR(cat="Status",pow=0),0,FLOOR(FLOOR(FLOOR((2*XLOOKUP($Q212,'Threshold Summary'!$Y:$Y,'Threshold Summary'!$L:$L,"")/5+2)*pow*atk/def)/50)+2)),modifier,stab*eff,AVERAGE(ARRAYFORMULA(FLOOR(base*modifier*SEQUENCE(16,1,85,1)/100)))*MIN(1,acc/100)),0)</f>
        <v/>
      </c>
      <c r="N212" s="4">
        <f>IFERROR(LET(mtype,XLOOKUP($D212,'Move Editor'!$B:$B,'Move Editor'!$C:$C,""),cat,XLOOKUP($D212,'Move Editor'!$B:$B,'Move Editor'!$D:$D,""),pow,XLOOKUP($D212,'Move Editor'!$B:$B,'Move Editor'!$E:$E,0),acc,XLOOKUP($D212,'Move Editor'!$B:$B,'Move Editor'!$F:$F,100),atk,IF(cat="Physical",FLOOR((FLOOR(((2*XLOOKUP(XLOOKUP($Q212,'Threshold Summary'!$Y:$Y,'Threshold Summary'!$K:$K,""),'Pokemon Editor'!$A:$A,'Pokemon Editor'!$F:$F,0)+31+FLOOR(XLOOKUP($Q212,'Threshold Summary'!$Y:$Y,'Threshold Summary'!$P:$P,"")/4))*XLOOKUP($Q212,'Threshold Summary'!$Y:$Y,'Threshold Summary'!$L:$L,""))/100)+5)*XLOOKUP(XLOOKUP($Q212,'Threshold Summary'!$Y:$Y,'Threshold Summary'!$M:$M,""),'Nature Editor'!$A:$A,'Nature Editor'!$B:$B,1)),FLOOR((FLOOR(((2*XLOOKUP(XLOOKUP($Q212,'Threshold Summary'!$Y:$Y,'Threshold Summary'!$K:$K,""),'Pokemon Editor'!$A:$A,'Pokemon Editor'!$H:$H,0)+31+FLOOR(XLOOKUP($Q212,'Threshold Summary'!$Y:$Y,'Threshold Summary'!$R:$R,"")/4))*XLOOKUP($Q212,'Threshold Summary'!$Y:$Y,'Threshold Summary'!$L:$L,""))/100)+5)*XLOOKUP(XLOOKUP($Q212,'Threshold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Editor'!$E:$E,1))),stab,IF(OR(mtype=XLOOKUP(XLOOKUP($Q212,'Threshold Summary'!$Y:$Y,'Threshold Summary'!$K:$K,""),'Pokemon Editor'!$A:$A,'Pokemon Editor'!$C:$C,""),mtype=XLOOKUP(XLOOKUP($Q212,'Threshold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Chart'!$B$1:$S$1,0)))),base,IF(OR(cat="Status",pow=0),0,FLOOR(FLOOR(FLOOR((2*XLOOKUP($Q212,'Threshold Summary'!$Y:$Y,'Threshold Summary'!$L:$L,"")/5+2)*pow*atk/def)/50)+2)),modifier,stab*eff,AVERAGE(ARRAYFORMULA(FLOOR(base*modifier*SEQUENCE(16,1,85,1)/100)))/(FLOOR(((2*XLOOKUP('Boss Editor'!$C$4,'Pokemon Editor'!$A:$A,'Pokemon Editor'!$E:$E,0)+31+FLOOR('Boss Editor'!$G$4/4))*'Boss Editor'!$D$4)/100)+'Boss Editor'!$D$4+10)),0)</f>
        <v/>
      </c>
      <c r="O212" s="3">
        <f>IF(N212&gt;=1,"OHKO",IF(N212&gt;=0.5,"2HKO",IF(N212&gt;=0.333,"3HKO",IF(N212&gt;=0.25,"4HKO","5HKO+"))))</f>
        <v/>
      </c>
      <c r="P212" s="3" t="inlineStr">
        <is>
          <t>Live from editable databases</t>
        </is>
      </c>
      <c r="Q212" s="3" t="inlineStr">
        <is>
          <t>SPECIES_TAILLOW</t>
        </is>
      </c>
      <c r="R212" s="3" t="n">
        <v>19</v>
      </c>
    </row>
    <row r="213">
      <c r="A213" s="3">
        <f>XLOOKUP($Q213,'Threshold Summary'!$Y:$Y,'Threshold Summary'!$A:$A,"")</f>
        <v/>
      </c>
      <c r="B213" s="3">
        <f>XLOOKUP($Q213,'Threshold Summary'!$Y:$Y,'Threshold Summary'!$M:$M,"")</f>
        <v/>
      </c>
      <c r="C213" s="3">
        <f>XLOOKUP($Q213,'Threshold Summary'!$Y:$Y,'Threshold Summary'!$N:$N,"")</f>
        <v/>
      </c>
      <c r="D213" s="3">
        <f>IFERROR(INDEX(FILTER('Learnset Editor'!$D$2:$D,'Learnset Editor'!$A$2:$A=XLOOKUP($Q213,'Threshold Summary'!$Y:$Y,'Threshold Summary'!$K:$K,""),'Learnset Editor'!$C$2:$C&lt;=XLOOKUP($Q213,'Threshold Summary'!$Y:$Y,'Threshold Summary'!$L:$L,"")),$R213),"")</f>
        <v/>
      </c>
      <c r="E213" s="3">
        <f>XLOOKUP(D213,'Move Editor'!$B:$B,'Move Editor'!$C:$C,"")</f>
        <v/>
      </c>
      <c r="F213" s="3">
        <f>XLOOKUP(D213,'Move Editor'!$B:$B,'Move Editor'!$D:$D,"")</f>
        <v/>
      </c>
      <c r="G213" s="3">
        <f>XLOOKUP(D213,'Move Editor'!$B:$B,'Move Editor'!$E:$E,0)</f>
        <v/>
      </c>
      <c r="H213" s="3">
        <f>XLOOKUP(D213,'Move Editor'!$B:$B,'Move Editor'!$F:$F,0)</f>
        <v/>
      </c>
      <c r="I213" s="3">
        <f>(INDEX('Type Chart'!$B:$S,MATCH(E213,'Type Chart'!$A:$A,0),MATCH(XLOOKUP('Boss Editor'!$C$4,'Pokemon Editor'!$A:$A,'Pokemon Editor'!$C:$C,""),'Type Chart'!$B$1:$S$1,0))*IF(XLOOKUP('Boss Editor'!$C$4,'Pokemon Editor'!$A:$A,'Pokemon Editor'!$D:$D,"")="",1,INDEX('Type Chart'!$B:$S,MATCH(E213,'Type Chart'!$A:$A,0),MATCH(XLOOKUP('Boss Editor'!$C$4,'Pokemon Editor'!$A:$A,'Pokemon Editor'!$D:$D,""),'Type Chart'!$B$1:$S$1,0))))</f>
        <v/>
      </c>
      <c r="J213" s="3">
        <f>IFERROR(LET(mtype,XLOOKUP($D213,'Move Editor'!$B:$B,'Move Editor'!$C:$C,""),cat,XLOOKUP($D213,'Move Editor'!$B:$B,'Move Editor'!$D:$D,""),pow,XLOOKUP($D213,'Move Editor'!$B:$B,'Move Editor'!$E:$E,0),acc,XLOOKUP($D213,'Move Editor'!$B:$B,'Move Editor'!$F:$F,100),atk,IF(cat="Physical",FLOOR((FLOOR(((2*XLOOKUP(XLOOKUP($Q213,'Threshold Summary'!$Y:$Y,'Threshold Summary'!$K:$K,""),'Pokemon Editor'!$A:$A,'Pokemon Editor'!$F:$F,0)+31+FLOOR(XLOOKUP($Q213,'Threshold Summary'!$Y:$Y,'Threshold Summary'!$P:$P,"")/4))*XLOOKUP($Q213,'Threshold Summary'!$Y:$Y,'Threshold Summary'!$L:$L,""))/100)+5)*XLOOKUP(XLOOKUP($Q213,'Threshold Summary'!$Y:$Y,'Threshold Summary'!$M:$M,""),'Nature Editor'!$A:$A,'Nature Editor'!$B:$B,1)),FLOOR((FLOOR(((2*XLOOKUP(XLOOKUP($Q213,'Threshold Summary'!$Y:$Y,'Threshold Summary'!$K:$K,""),'Pokemon Editor'!$A:$A,'Pokemon Editor'!$H:$H,0)+31+FLOOR(XLOOKUP($Q213,'Threshold Summary'!$Y:$Y,'Threshold Summary'!$R:$R,"")/4))*XLOOKUP($Q213,'Threshold Summary'!$Y:$Y,'Threshold Summary'!$L:$L,""))/100)+5)*XLOOKUP(XLOOKUP($Q213,'Threshold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Editor'!$E:$E,1))),stab,IF(OR(mtype=XLOOKUP(XLOOKUP($Q213,'Threshold Summary'!$Y:$Y,'Threshold Summary'!$K:$K,""),'Pokemon Editor'!$A:$A,'Pokemon Editor'!$C:$C,""),mtype=XLOOKUP(XLOOKUP($Q213,'Threshold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Chart'!$B$1:$S$1,0)))),base,IF(OR(cat="Status",pow=0),0,FLOOR(FLOOR(FLOOR((2*XLOOKUP($Q213,'Threshold Summary'!$Y:$Y,'Threshold Summary'!$L:$L,"")/5+2)*pow*atk/def)/50)+2)),modifier,stab*eff,FLOOR(base*modifier*0.85)),0)</f>
        <v/>
      </c>
      <c r="K213" s="3">
        <f>IFERROR(LET(mtype,XLOOKUP($D213,'Move Editor'!$B:$B,'Move Editor'!$C:$C,""),cat,XLOOKUP($D213,'Move Editor'!$B:$B,'Move Editor'!$D:$D,""),pow,XLOOKUP($D213,'Move Editor'!$B:$B,'Move Editor'!$E:$E,0),acc,XLOOKUP($D213,'Move Editor'!$B:$B,'Move Editor'!$F:$F,100),atk,IF(cat="Physical",FLOOR((FLOOR(((2*XLOOKUP(XLOOKUP($Q213,'Threshold Summary'!$Y:$Y,'Threshold Summary'!$K:$K,""),'Pokemon Editor'!$A:$A,'Pokemon Editor'!$F:$F,0)+31+FLOOR(XLOOKUP($Q213,'Threshold Summary'!$Y:$Y,'Threshold Summary'!$P:$P,"")/4))*XLOOKUP($Q213,'Threshold Summary'!$Y:$Y,'Threshold Summary'!$L:$L,""))/100)+5)*XLOOKUP(XLOOKUP($Q213,'Threshold Summary'!$Y:$Y,'Threshold Summary'!$M:$M,""),'Nature Editor'!$A:$A,'Nature Editor'!$B:$B,1)),FLOOR((FLOOR(((2*XLOOKUP(XLOOKUP($Q213,'Threshold Summary'!$Y:$Y,'Threshold Summary'!$K:$K,""),'Pokemon Editor'!$A:$A,'Pokemon Editor'!$H:$H,0)+31+FLOOR(XLOOKUP($Q213,'Threshold Summary'!$Y:$Y,'Threshold Summary'!$R:$R,"")/4))*XLOOKUP($Q213,'Threshold Summary'!$Y:$Y,'Threshold Summary'!$L:$L,""))/100)+5)*XLOOKUP(XLOOKUP($Q213,'Threshold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Editor'!$E:$E,1))),stab,IF(OR(mtype=XLOOKUP(XLOOKUP($Q213,'Threshold Summary'!$Y:$Y,'Threshold Summary'!$K:$K,""),'Pokemon Editor'!$A:$A,'Pokemon Editor'!$C:$C,""),mtype=XLOOKUP(XLOOKUP($Q213,'Threshold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Chart'!$B$1:$S$1,0)))),base,IF(OR(cat="Status",pow=0),0,FLOOR(FLOOR(FLOOR((2*XLOOKUP($Q213,'Threshold Summary'!$Y:$Y,'Threshold Summary'!$L:$L,"")/5+2)*pow*atk/def)/50)+2)),modifier,stab*eff,FLOOR(base*modifier)),0)</f>
        <v/>
      </c>
      <c r="L213" s="3">
        <f>IFERROR(LET(mtype,XLOOKUP($D213,'Move Editor'!$B:$B,'Move Editor'!$C:$C,""),cat,XLOOKUP($D213,'Move Editor'!$B:$B,'Move Editor'!$D:$D,""),pow,XLOOKUP($D213,'Move Editor'!$B:$B,'Move Editor'!$E:$E,0),acc,XLOOKUP($D213,'Move Editor'!$B:$B,'Move Editor'!$F:$F,100),atk,IF(cat="Physical",FLOOR((FLOOR(((2*XLOOKUP(XLOOKUP($Q213,'Threshold Summary'!$Y:$Y,'Threshold Summary'!$K:$K,""),'Pokemon Editor'!$A:$A,'Pokemon Editor'!$F:$F,0)+31+FLOOR(XLOOKUP($Q213,'Threshold Summary'!$Y:$Y,'Threshold Summary'!$P:$P,"")/4))*XLOOKUP($Q213,'Threshold Summary'!$Y:$Y,'Threshold Summary'!$L:$L,""))/100)+5)*XLOOKUP(XLOOKUP($Q213,'Threshold Summary'!$Y:$Y,'Threshold Summary'!$M:$M,""),'Nature Editor'!$A:$A,'Nature Editor'!$B:$B,1)),FLOOR((FLOOR(((2*XLOOKUP(XLOOKUP($Q213,'Threshold Summary'!$Y:$Y,'Threshold Summary'!$K:$K,""),'Pokemon Editor'!$A:$A,'Pokemon Editor'!$H:$H,0)+31+FLOOR(XLOOKUP($Q213,'Threshold Summary'!$Y:$Y,'Threshold Summary'!$R:$R,"")/4))*XLOOKUP($Q213,'Threshold Summary'!$Y:$Y,'Threshold Summary'!$L:$L,""))/100)+5)*XLOOKUP(XLOOKUP($Q213,'Threshold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Editor'!$E:$E,1))),stab,IF(OR(mtype=XLOOKUP(XLOOKUP($Q213,'Threshold Summary'!$Y:$Y,'Threshold Summary'!$K:$K,""),'Pokemon Editor'!$A:$A,'Pokemon Editor'!$C:$C,""),mtype=XLOOKUP(XLOOKUP($Q213,'Threshold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Chart'!$B$1:$S$1,0)))),base,IF(OR(cat="Status",pow=0),0,FLOOR(FLOOR(FLOOR((2*XLOOKUP($Q213,'Threshold Summary'!$Y:$Y,'Threshold Summary'!$L:$L,"")/5+2)*pow*atk/def)/50)+2)),modifier,stab*eff,AVERAGE(ARRAYFORMULA(FLOOR(base*modifier*SEQUENCE(16,1,85,1)/100)))),0)</f>
        <v/>
      </c>
      <c r="M213" s="3">
        <f>IFERROR(LET(mtype,XLOOKUP($D213,'Move Editor'!$B:$B,'Move Editor'!$C:$C,""),cat,XLOOKUP($D213,'Move Editor'!$B:$B,'Move Editor'!$D:$D,""),pow,XLOOKUP($D213,'Move Editor'!$B:$B,'Move Editor'!$E:$E,0),acc,XLOOKUP($D213,'Move Editor'!$B:$B,'Move Editor'!$F:$F,100),atk,IF(cat="Physical",FLOOR((FLOOR(((2*XLOOKUP(XLOOKUP($Q213,'Threshold Summary'!$Y:$Y,'Threshold Summary'!$K:$K,""),'Pokemon Editor'!$A:$A,'Pokemon Editor'!$F:$F,0)+31+FLOOR(XLOOKUP($Q213,'Threshold Summary'!$Y:$Y,'Threshold Summary'!$P:$P,"")/4))*XLOOKUP($Q213,'Threshold Summary'!$Y:$Y,'Threshold Summary'!$L:$L,""))/100)+5)*XLOOKUP(XLOOKUP($Q213,'Threshold Summary'!$Y:$Y,'Threshold Summary'!$M:$M,""),'Nature Editor'!$A:$A,'Nature Editor'!$B:$B,1)),FLOOR((FLOOR(((2*XLOOKUP(XLOOKUP($Q213,'Threshold Summary'!$Y:$Y,'Threshold Summary'!$K:$K,""),'Pokemon Editor'!$A:$A,'Pokemon Editor'!$H:$H,0)+31+FLOOR(XLOOKUP($Q213,'Threshold Summary'!$Y:$Y,'Threshold Summary'!$R:$R,"")/4))*XLOOKUP($Q213,'Threshold Summary'!$Y:$Y,'Threshold Summary'!$L:$L,""))/100)+5)*XLOOKUP(XLOOKUP($Q213,'Threshold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Editor'!$E:$E,1))),stab,IF(OR(mtype=XLOOKUP(XLOOKUP($Q213,'Threshold Summary'!$Y:$Y,'Threshold Summary'!$K:$K,""),'Pokemon Editor'!$A:$A,'Pokemon Editor'!$C:$C,""),mtype=XLOOKUP(XLOOKUP($Q213,'Threshold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Chart'!$B$1:$S$1,0)))),base,IF(OR(cat="Status",pow=0),0,FLOOR(FLOOR(FLOOR((2*XLOOKUP($Q213,'Threshold Summary'!$Y:$Y,'Threshold Summary'!$L:$L,"")/5+2)*pow*atk/def)/50)+2)),modifier,stab*eff,AVERAGE(ARRAYFORMULA(FLOOR(base*modifier*SEQUENCE(16,1,85,1)/100)))*MIN(1,acc/100)),0)</f>
        <v/>
      </c>
      <c r="N213" s="4">
        <f>IFERROR(LET(mtype,XLOOKUP($D213,'Move Editor'!$B:$B,'Move Editor'!$C:$C,""),cat,XLOOKUP($D213,'Move Editor'!$B:$B,'Move Editor'!$D:$D,""),pow,XLOOKUP($D213,'Move Editor'!$B:$B,'Move Editor'!$E:$E,0),acc,XLOOKUP($D213,'Move Editor'!$B:$B,'Move Editor'!$F:$F,100),atk,IF(cat="Physical",FLOOR((FLOOR(((2*XLOOKUP(XLOOKUP($Q213,'Threshold Summary'!$Y:$Y,'Threshold Summary'!$K:$K,""),'Pokemon Editor'!$A:$A,'Pokemon Editor'!$F:$F,0)+31+FLOOR(XLOOKUP($Q213,'Threshold Summary'!$Y:$Y,'Threshold Summary'!$P:$P,"")/4))*XLOOKUP($Q213,'Threshold Summary'!$Y:$Y,'Threshold Summary'!$L:$L,""))/100)+5)*XLOOKUP(XLOOKUP($Q213,'Threshold Summary'!$Y:$Y,'Threshold Summary'!$M:$M,""),'Nature Editor'!$A:$A,'Nature Editor'!$B:$B,1)),FLOOR((FLOOR(((2*XLOOKUP(XLOOKUP($Q213,'Threshold Summary'!$Y:$Y,'Threshold Summary'!$K:$K,""),'Pokemon Editor'!$A:$A,'Pokemon Editor'!$H:$H,0)+31+FLOOR(XLOOKUP($Q213,'Threshold Summary'!$Y:$Y,'Threshold Summary'!$R:$R,"")/4))*XLOOKUP($Q213,'Threshold Summary'!$Y:$Y,'Threshold Summary'!$L:$L,""))/100)+5)*XLOOKUP(XLOOKUP($Q213,'Threshold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Editor'!$E:$E,1))),stab,IF(OR(mtype=XLOOKUP(XLOOKUP($Q213,'Threshold Summary'!$Y:$Y,'Threshold Summary'!$K:$K,""),'Pokemon Editor'!$A:$A,'Pokemon Editor'!$C:$C,""),mtype=XLOOKUP(XLOOKUP($Q213,'Threshold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Chart'!$B$1:$S$1,0)))),base,IF(OR(cat="Status",pow=0),0,FLOOR(FLOOR(FLOOR((2*XLOOKUP($Q213,'Threshold Summary'!$Y:$Y,'Threshold Summary'!$L:$L,"")/5+2)*pow*atk/def)/50)+2)),modifier,stab*eff,AVERAGE(ARRAYFORMULA(FLOOR(base*modifier*SEQUENCE(16,1,85,1)/100)))/(FLOOR(((2*XLOOKUP('Boss Editor'!$C$4,'Pokemon Editor'!$A:$A,'Pokemon Editor'!$E:$E,0)+31+FLOOR('Boss Editor'!$G$4/4))*'Boss Editor'!$D$4)/100)+'Boss Editor'!$D$4+10)),0)</f>
        <v/>
      </c>
      <c r="O213" s="3">
        <f>IF(N213&gt;=1,"OHKO",IF(N213&gt;=0.5,"2HKO",IF(N213&gt;=0.333,"3HKO",IF(N213&gt;=0.25,"4HKO","5HKO+"))))</f>
        <v/>
      </c>
      <c r="P213" s="3" t="inlineStr">
        <is>
          <t>Live from editable databases</t>
        </is>
      </c>
      <c r="Q213" s="3" t="inlineStr">
        <is>
          <t>SPECIES_TAILLOW</t>
        </is>
      </c>
      <c r="R213" s="3" t="n">
        <v>20</v>
      </c>
    </row>
    <row r="214">
      <c r="A214" s="3">
        <f>XLOOKUP($Q214,'Threshold Summary'!$Y:$Y,'Threshold Summary'!$A:$A,"")</f>
        <v/>
      </c>
      <c r="B214" s="3">
        <f>XLOOKUP($Q214,'Threshold Summary'!$Y:$Y,'Threshold Summary'!$M:$M,"")</f>
        <v/>
      </c>
      <c r="C214" s="3">
        <f>XLOOKUP($Q214,'Threshold Summary'!$Y:$Y,'Threshold Summary'!$N:$N,"")</f>
        <v/>
      </c>
      <c r="D214" s="3">
        <f>IFERROR(INDEX(FILTER('Learnset Editor'!$D$2:$D,'Learnset Editor'!$A$2:$A=XLOOKUP($Q214,'Threshold Summary'!$Y:$Y,'Threshold Summary'!$K:$K,""),'Learnset Editor'!$C$2:$C&lt;=XLOOKUP($Q214,'Threshold Summary'!$Y:$Y,'Threshold Summary'!$L:$L,"")),$R214),"")</f>
        <v/>
      </c>
      <c r="E214" s="3">
        <f>XLOOKUP(D214,'Move Editor'!$B:$B,'Move Editor'!$C:$C,"")</f>
        <v/>
      </c>
      <c r="F214" s="3">
        <f>XLOOKUP(D214,'Move Editor'!$B:$B,'Move Editor'!$D:$D,"")</f>
        <v/>
      </c>
      <c r="G214" s="3">
        <f>XLOOKUP(D214,'Move Editor'!$B:$B,'Move Editor'!$E:$E,0)</f>
        <v/>
      </c>
      <c r="H214" s="3">
        <f>XLOOKUP(D214,'Move Editor'!$B:$B,'Move Editor'!$F:$F,0)</f>
        <v/>
      </c>
      <c r="I214" s="3">
        <f>(INDEX('Type Chart'!$B:$S,MATCH(E214,'Type Chart'!$A:$A,0),MATCH(XLOOKUP('Boss Editor'!$C$4,'Pokemon Editor'!$A:$A,'Pokemon Editor'!$C:$C,""),'Type Chart'!$B$1:$S$1,0))*IF(XLOOKUP('Boss Editor'!$C$4,'Pokemon Editor'!$A:$A,'Pokemon Editor'!$D:$D,"")="",1,INDEX('Type Chart'!$B:$S,MATCH(E214,'Type Chart'!$A:$A,0),MATCH(XLOOKUP('Boss Editor'!$C$4,'Pokemon Editor'!$A:$A,'Pokemon Editor'!$D:$D,""),'Type Chart'!$B$1:$S$1,0))))</f>
        <v/>
      </c>
      <c r="J214" s="3">
        <f>IFERROR(LET(mtype,XLOOKUP($D214,'Move Editor'!$B:$B,'Move Editor'!$C:$C,""),cat,XLOOKUP($D214,'Move Editor'!$B:$B,'Move Editor'!$D:$D,""),pow,XLOOKUP($D214,'Move Editor'!$B:$B,'Move Editor'!$E:$E,0),acc,XLOOKUP($D214,'Move Editor'!$B:$B,'Move Editor'!$F:$F,100),atk,IF(cat="Physical",FLOOR((FLOOR(((2*XLOOKUP(XLOOKUP($Q214,'Threshold Summary'!$Y:$Y,'Threshold Summary'!$K:$K,""),'Pokemon Editor'!$A:$A,'Pokemon Editor'!$F:$F,0)+31+FLOOR(XLOOKUP($Q214,'Threshold Summary'!$Y:$Y,'Threshold Summary'!$P:$P,"")/4))*XLOOKUP($Q214,'Threshold Summary'!$Y:$Y,'Threshold Summary'!$L:$L,""))/100)+5)*XLOOKUP(XLOOKUP($Q214,'Threshold Summary'!$Y:$Y,'Threshold Summary'!$M:$M,""),'Nature Editor'!$A:$A,'Nature Editor'!$B:$B,1)),FLOOR((FLOOR(((2*XLOOKUP(XLOOKUP($Q214,'Threshold Summary'!$Y:$Y,'Threshold Summary'!$K:$K,""),'Pokemon Editor'!$A:$A,'Pokemon Editor'!$H:$H,0)+31+FLOOR(XLOOKUP($Q214,'Threshold Summary'!$Y:$Y,'Threshold Summary'!$R:$R,"")/4))*XLOOKUP($Q214,'Threshold Summary'!$Y:$Y,'Threshold Summary'!$L:$L,""))/100)+5)*XLOOKUP(XLOOKUP($Q214,'Threshold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Editor'!$E:$E,1))),stab,IF(OR(mtype=XLOOKUP(XLOOKUP($Q214,'Threshold Summary'!$Y:$Y,'Threshold Summary'!$K:$K,""),'Pokemon Editor'!$A:$A,'Pokemon Editor'!$C:$C,""),mtype=XLOOKUP(XLOOKUP($Q214,'Threshold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Chart'!$B$1:$S$1,0)))),base,IF(OR(cat="Status",pow=0),0,FLOOR(FLOOR(FLOOR((2*XLOOKUP($Q214,'Threshold Summary'!$Y:$Y,'Threshold Summary'!$L:$L,"")/5+2)*pow*atk/def)/50)+2)),modifier,stab*eff,FLOOR(base*modifier*0.85)),0)</f>
        <v/>
      </c>
      <c r="K214" s="3">
        <f>IFERROR(LET(mtype,XLOOKUP($D214,'Move Editor'!$B:$B,'Move Editor'!$C:$C,""),cat,XLOOKUP($D214,'Move Editor'!$B:$B,'Move Editor'!$D:$D,""),pow,XLOOKUP($D214,'Move Editor'!$B:$B,'Move Editor'!$E:$E,0),acc,XLOOKUP($D214,'Move Editor'!$B:$B,'Move Editor'!$F:$F,100),atk,IF(cat="Physical",FLOOR((FLOOR(((2*XLOOKUP(XLOOKUP($Q214,'Threshold Summary'!$Y:$Y,'Threshold Summary'!$K:$K,""),'Pokemon Editor'!$A:$A,'Pokemon Editor'!$F:$F,0)+31+FLOOR(XLOOKUP($Q214,'Threshold Summary'!$Y:$Y,'Threshold Summary'!$P:$P,"")/4))*XLOOKUP($Q214,'Threshold Summary'!$Y:$Y,'Threshold Summary'!$L:$L,""))/100)+5)*XLOOKUP(XLOOKUP($Q214,'Threshold Summary'!$Y:$Y,'Threshold Summary'!$M:$M,""),'Nature Editor'!$A:$A,'Nature Editor'!$B:$B,1)),FLOOR((FLOOR(((2*XLOOKUP(XLOOKUP($Q214,'Threshold Summary'!$Y:$Y,'Threshold Summary'!$K:$K,""),'Pokemon Editor'!$A:$A,'Pokemon Editor'!$H:$H,0)+31+FLOOR(XLOOKUP($Q214,'Threshold Summary'!$Y:$Y,'Threshold Summary'!$R:$R,"")/4))*XLOOKUP($Q214,'Threshold Summary'!$Y:$Y,'Threshold Summary'!$L:$L,""))/100)+5)*XLOOKUP(XLOOKUP($Q214,'Threshold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Editor'!$E:$E,1))),stab,IF(OR(mtype=XLOOKUP(XLOOKUP($Q214,'Threshold Summary'!$Y:$Y,'Threshold Summary'!$K:$K,""),'Pokemon Editor'!$A:$A,'Pokemon Editor'!$C:$C,""),mtype=XLOOKUP(XLOOKUP($Q214,'Threshold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Chart'!$B$1:$S$1,0)))),base,IF(OR(cat="Status",pow=0),0,FLOOR(FLOOR(FLOOR((2*XLOOKUP($Q214,'Threshold Summary'!$Y:$Y,'Threshold Summary'!$L:$L,"")/5+2)*pow*atk/def)/50)+2)),modifier,stab*eff,FLOOR(base*modifier)),0)</f>
        <v/>
      </c>
      <c r="L214" s="3">
        <f>IFERROR(LET(mtype,XLOOKUP($D214,'Move Editor'!$B:$B,'Move Editor'!$C:$C,""),cat,XLOOKUP($D214,'Move Editor'!$B:$B,'Move Editor'!$D:$D,""),pow,XLOOKUP($D214,'Move Editor'!$B:$B,'Move Editor'!$E:$E,0),acc,XLOOKUP($D214,'Move Editor'!$B:$B,'Move Editor'!$F:$F,100),atk,IF(cat="Physical",FLOOR((FLOOR(((2*XLOOKUP(XLOOKUP($Q214,'Threshold Summary'!$Y:$Y,'Threshold Summary'!$K:$K,""),'Pokemon Editor'!$A:$A,'Pokemon Editor'!$F:$F,0)+31+FLOOR(XLOOKUP($Q214,'Threshold Summary'!$Y:$Y,'Threshold Summary'!$P:$P,"")/4))*XLOOKUP($Q214,'Threshold Summary'!$Y:$Y,'Threshold Summary'!$L:$L,""))/100)+5)*XLOOKUP(XLOOKUP($Q214,'Threshold Summary'!$Y:$Y,'Threshold Summary'!$M:$M,""),'Nature Editor'!$A:$A,'Nature Editor'!$B:$B,1)),FLOOR((FLOOR(((2*XLOOKUP(XLOOKUP($Q214,'Threshold Summary'!$Y:$Y,'Threshold Summary'!$K:$K,""),'Pokemon Editor'!$A:$A,'Pokemon Editor'!$H:$H,0)+31+FLOOR(XLOOKUP($Q214,'Threshold Summary'!$Y:$Y,'Threshold Summary'!$R:$R,"")/4))*XLOOKUP($Q214,'Threshold Summary'!$Y:$Y,'Threshold Summary'!$L:$L,""))/100)+5)*XLOOKUP(XLOOKUP($Q214,'Threshold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Editor'!$E:$E,1))),stab,IF(OR(mtype=XLOOKUP(XLOOKUP($Q214,'Threshold Summary'!$Y:$Y,'Threshold Summary'!$K:$K,""),'Pokemon Editor'!$A:$A,'Pokemon Editor'!$C:$C,""),mtype=XLOOKUP(XLOOKUP($Q214,'Threshold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Chart'!$B$1:$S$1,0)))),base,IF(OR(cat="Status",pow=0),0,FLOOR(FLOOR(FLOOR((2*XLOOKUP($Q214,'Threshold Summary'!$Y:$Y,'Threshold Summary'!$L:$L,"")/5+2)*pow*atk/def)/50)+2)),modifier,stab*eff,AVERAGE(ARRAYFORMULA(FLOOR(base*modifier*SEQUENCE(16,1,85,1)/100)))),0)</f>
        <v/>
      </c>
      <c r="M214" s="3">
        <f>IFERROR(LET(mtype,XLOOKUP($D214,'Move Editor'!$B:$B,'Move Editor'!$C:$C,""),cat,XLOOKUP($D214,'Move Editor'!$B:$B,'Move Editor'!$D:$D,""),pow,XLOOKUP($D214,'Move Editor'!$B:$B,'Move Editor'!$E:$E,0),acc,XLOOKUP($D214,'Move Editor'!$B:$B,'Move Editor'!$F:$F,100),atk,IF(cat="Physical",FLOOR((FLOOR(((2*XLOOKUP(XLOOKUP($Q214,'Threshold Summary'!$Y:$Y,'Threshold Summary'!$K:$K,""),'Pokemon Editor'!$A:$A,'Pokemon Editor'!$F:$F,0)+31+FLOOR(XLOOKUP($Q214,'Threshold Summary'!$Y:$Y,'Threshold Summary'!$P:$P,"")/4))*XLOOKUP($Q214,'Threshold Summary'!$Y:$Y,'Threshold Summary'!$L:$L,""))/100)+5)*XLOOKUP(XLOOKUP($Q214,'Threshold Summary'!$Y:$Y,'Threshold Summary'!$M:$M,""),'Nature Editor'!$A:$A,'Nature Editor'!$B:$B,1)),FLOOR((FLOOR(((2*XLOOKUP(XLOOKUP($Q214,'Threshold Summary'!$Y:$Y,'Threshold Summary'!$K:$K,""),'Pokemon Editor'!$A:$A,'Pokemon Editor'!$H:$H,0)+31+FLOOR(XLOOKUP($Q214,'Threshold Summary'!$Y:$Y,'Threshold Summary'!$R:$R,"")/4))*XLOOKUP($Q214,'Threshold Summary'!$Y:$Y,'Threshold Summary'!$L:$L,""))/100)+5)*XLOOKUP(XLOOKUP($Q214,'Threshold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Editor'!$E:$E,1))),stab,IF(OR(mtype=XLOOKUP(XLOOKUP($Q214,'Threshold Summary'!$Y:$Y,'Threshold Summary'!$K:$K,""),'Pokemon Editor'!$A:$A,'Pokemon Editor'!$C:$C,""),mtype=XLOOKUP(XLOOKUP($Q214,'Threshold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Chart'!$B$1:$S$1,0)))),base,IF(OR(cat="Status",pow=0),0,FLOOR(FLOOR(FLOOR((2*XLOOKUP($Q214,'Threshold Summary'!$Y:$Y,'Threshold Summary'!$L:$L,"")/5+2)*pow*atk/def)/50)+2)),modifier,stab*eff,AVERAGE(ARRAYFORMULA(FLOOR(base*modifier*SEQUENCE(16,1,85,1)/100)))*MIN(1,acc/100)),0)</f>
        <v/>
      </c>
      <c r="N214" s="4">
        <f>IFERROR(LET(mtype,XLOOKUP($D214,'Move Editor'!$B:$B,'Move Editor'!$C:$C,""),cat,XLOOKUP($D214,'Move Editor'!$B:$B,'Move Editor'!$D:$D,""),pow,XLOOKUP($D214,'Move Editor'!$B:$B,'Move Editor'!$E:$E,0),acc,XLOOKUP($D214,'Move Editor'!$B:$B,'Move Editor'!$F:$F,100),atk,IF(cat="Physical",FLOOR((FLOOR(((2*XLOOKUP(XLOOKUP($Q214,'Threshold Summary'!$Y:$Y,'Threshold Summary'!$K:$K,""),'Pokemon Editor'!$A:$A,'Pokemon Editor'!$F:$F,0)+31+FLOOR(XLOOKUP($Q214,'Threshold Summary'!$Y:$Y,'Threshold Summary'!$P:$P,"")/4))*XLOOKUP($Q214,'Threshold Summary'!$Y:$Y,'Threshold Summary'!$L:$L,""))/100)+5)*XLOOKUP(XLOOKUP($Q214,'Threshold Summary'!$Y:$Y,'Threshold Summary'!$M:$M,""),'Nature Editor'!$A:$A,'Nature Editor'!$B:$B,1)),FLOOR((FLOOR(((2*XLOOKUP(XLOOKUP($Q214,'Threshold Summary'!$Y:$Y,'Threshold Summary'!$K:$K,""),'Pokemon Editor'!$A:$A,'Pokemon Editor'!$H:$H,0)+31+FLOOR(XLOOKUP($Q214,'Threshold Summary'!$Y:$Y,'Threshold Summary'!$R:$R,"")/4))*XLOOKUP($Q214,'Threshold Summary'!$Y:$Y,'Threshold Summary'!$L:$L,""))/100)+5)*XLOOKUP(XLOOKUP($Q214,'Threshold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Editor'!$E:$E,1))),stab,IF(OR(mtype=XLOOKUP(XLOOKUP($Q214,'Threshold Summary'!$Y:$Y,'Threshold Summary'!$K:$K,""),'Pokemon Editor'!$A:$A,'Pokemon Editor'!$C:$C,""),mtype=XLOOKUP(XLOOKUP($Q214,'Threshold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Chart'!$B$1:$S$1,0)))),base,IF(OR(cat="Status",pow=0),0,FLOOR(FLOOR(FLOOR((2*XLOOKUP($Q214,'Threshold Summary'!$Y:$Y,'Threshold Summary'!$L:$L,"")/5+2)*pow*atk/def)/50)+2)),modifier,stab*eff,AVERAGE(ARRAYFORMULA(FLOOR(base*modifier*SEQUENCE(16,1,85,1)/100)))/(FLOOR(((2*XLOOKUP('Boss Editor'!$C$4,'Pokemon Editor'!$A:$A,'Pokemon Editor'!$E:$E,0)+31+FLOOR('Boss Editor'!$G$4/4))*'Boss Editor'!$D$4)/100)+'Boss Editor'!$D$4+10)),0)</f>
        <v/>
      </c>
      <c r="O214" s="3">
        <f>IF(N214&gt;=1,"OHKO",IF(N214&gt;=0.5,"2HKO",IF(N214&gt;=0.333,"3HKO",IF(N214&gt;=0.25,"4HKO","5HKO+"))))</f>
        <v/>
      </c>
      <c r="P214" s="3" t="inlineStr">
        <is>
          <t>Live from editable databases</t>
        </is>
      </c>
      <c r="Q214" s="3" t="inlineStr">
        <is>
          <t>SPECIES_TAILLOW</t>
        </is>
      </c>
      <c r="R214" s="3" t="n">
        <v>21</v>
      </c>
    </row>
    <row r="215">
      <c r="A215" s="3">
        <f>XLOOKUP($Q215,'Threshold Summary'!$Y:$Y,'Threshold Summary'!$A:$A,"")</f>
        <v/>
      </c>
      <c r="B215" s="3">
        <f>XLOOKUP($Q215,'Threshold Summary'!$Y:$Y,'Threshold Summary'!$M:$M,"")</f>
        <v/>
      </c>
      <c r="C215" s="3">
        <f>XLOOKUP($Q215,'Threshold Summary'!$Y:$Y,'Threshold Summary'!$N:$N,"")</f>
        <v/>
      </c>
      <c r="D215" s="3">
        <f>IFERROR(INDEX(FILTER('Learnset Editor'!$D$2:$D,'Learnset Editor'!$A$2:$A=XLOOKUP($Q215,'Threshold Summary'!$Y:$Y,'Threshold Summary'!$K:$K,""),'Learnset Editor'!$C$2:$C&lt;=XLOOKUP($Q215,'Threshold Summary'!$Y:$Y,'Threshold Summary'!$L:$L,"")),$R215),"")</f>
        <v/>
      </c>
      <c r="E215" s="3">
        <f>XLOOKUP(D215,'Move Editor'!$B:$B,'Move Editor'!$C:$C,"")</f>
        <v/>
      </c>
      <c r="F215" s="3">
        <f>XLOOKUP(D215,'Move Editor'!$B:$B,'Move Editor'!$D:$D,"")</f>
        <v/>
      </c>
      <c r="G215" s="3">
        <f>XLOOKUP(D215,'Move Editor'!$B:$B,'Move Editor'!$E:$E,0)</f>
        <v/>
      </c>
      <c r="H215" s="3">
        <f>XLOOKUP(D215,'Move Editor'!$B:$B,'Move Editor'!$F:$F,0)</f>
        <v/>
      </c>
      <c r="I215" s="3">
        <f>(INDEX('Type Chart'!$B:$S,MATCH(E215,'Type Chart'!$A:$A,0),MATCH(XLOOKUP('Boss Editor'!$C$4,'Pokemon Editor'!$A:$A,'Pokemon Editor'!$C:$C,""),'Type Chart'!$B$1:$S$1,0))*IF(XLOOKUP('Boss Editor'!$C$4,'Pokemon Editor'!$A:$A,'Pokemon Editor'!$D:$D,"")="",1,INDEX('Type Chart'!$B:$S,MATCH(E215,'Type Chart'!$A:$A,0),MATCH(XLOOKUP('Boss Editor'!$C$4,'Pokemon Editor'!$A:$A,'Pokemon Editor'!$D:$D,""),'Type Chart'!$B$1:$S$1,0))))</f>
        <v/>
      </c>
      <c r="J215" s="3">
        <f>IFERROR(LET(mtype,XLOOKUP($D215,'Move Editor'!$B:$B,'Move Editor'!$C:$C,""),cat,XLOOKUP($D215,'Move Editor'!$B:$B,'Move Editor'!$D:$D,""),pow,XLOOKUP($D215,'Move Editor'!$B:$B,'Move Editor'!$E:$E,0),acc,XLOOKUP($D215,'Move Editor'!$B:$B,'Move Editor'!$F:$F,100),atk,IF(cat="Physical",FLOOR((FLOOR(((2*XLOOKUP(XLOOKUP($Q215,'Threshold Summary'!$Y:$Y,'Threshold Summary'!$K:$K,""),'Pokemon Editor'!$A:$A,'Pokemon Editor'!$F:$F,0)+31+FLOOR(XLOOKUP($Q215,'Threshold Summary'!$Y:$Y,'Threshold Summary'!$P:$P,"")/4))*XLOOKUP($Q215,'Threshold Summary'!$Y:$Y,'Threshold Summary'!$L:$L,""))/100)+5)*XLOOKUP(XLOOKUP($Q215,'Threshold Summary'!$Y:$Y,'Threshold Summary'!$M:$M,""),'Nature Editor'!$A:$A,'Nature Editor'!$B:$B,1)),FLOOR((FLOOR(((2*XLOOKUP(XLOOKUP($Q215,'Threshold Summary'!$Y:$Y,'Threshold Summary'!$K:$K,""),'Pokemon Editor'!$A:$A,'Pokemon Editor'!$H:$H,0)+31+FLOOR(XLOOKUP($Q215,'Threshold Summary'!$Y:$Y,'Threshold Summary'!$R:$R,"")/4))*XLOOKUP($Q215,'Threshold Summary'!$Y:$Y,'Threshold Summary'!$L:$L,""))/100)+5)*XLOOKUP(XLOOKUP($Q215,'Threshold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Editor'!$E:$E,1))),stab,IF(OR(mtype=XLOOKUP(XLOOKUP($Q215,'Threshold Summary'!$Y:$Y,'Threshold Summary'!$K:$K,""),'Pokemon Editor'!$A:$A,'Pokemon Editor'!$C:$C,""),mtype=XLOOKUP(XLOOKUP($Q215,'Threshold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Chart'!$B$1:$S$1,0)))),base,IF(OR(cat="Status",pow=0),0,FLOOR(FLOOR(FLOOR((2*XLOOKUP($Q215,'Threshold Summary'!$Y:$Y,'Threshold Summary'!$L:$L,"")/5+2)*pow*atk/def)/50)+2)),modifier,stab*eff,FLOOR(base*modifier*0.85)),0)</f>
        <v/>
      </c>
      <c r="K215" s="3">
        <f>IFERROR(LET(mtype,XLOOKUP($D215,'Move Editor'!$B:$B,'Move Editor'!$C:$C,""),cat,XLOOKUP($D215,'Move Editor'!$B:$B,'Move Editor'!$D:$D,""),pow,XLOOKUP($D215,'Move Editor'!$B:$B,'Move Editor'!$E:$E,0),acc,XLOOKUP($D215,'Move Editor'!$B:$B,'Move Editor'!$F:$F,100),atk,IF(cat="Physical",FLOOR((FLOOR(((2*XLOOKUP(XLOOKUP($Q215,'Threshold Summary'!$Y:$Y,'Threshold Summary'!$K:$K,""),'Pokemon Editor'!$A:$A,'Pokemon Editor'!$F:$F,0)+31+FLOOR(XLOOKUP($Q215,'Threshold Summary'!$Y:$Y,'Threshold Summary'!$P:$P,"")/4))*XLOOKUP($Q215,'Threshold Summary'!$Y:$Y,'Threshold Summary'!$L:$L,""))/100)+5)*XLOOKUP(XLOOKUP($Q215,'Threshold Summary'!$Y:$Y,'Threshold Summary'!$M:$M,""),'Nature Editor'!$A:$A,'Nature Editor'!$B:$B,1)),FLOOR((FLOOR(((2*XLOOKUP(XLOOKUP($Q215,'Threshold Summary'!$Y:$Y,'Threshold Summary'!$K:$K,""),'Pokemon Editor'!$A:$A,'Pokemon Editor'!$H:$H,0)+31+FLOOR(XLOOKUP($Q215,'Threshold Summary'!$Y:$Y,'Threshold Summary'!$R:$R,"")/4))*XLOOKUP($Q215,'Threshold Summary'!$Y:$Y,'Threshold Summary'!$L:$L,""))/100)+5)*XLOOKUP(XLOOKUP($Q215,'Threshold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Editor'!$E:$E,1))),stab,IF(OR(mtype=XLOOKUP(XLOOKUP($Q215,'Threshold Summary'!$Y:$Y,'Threshold Summary'!$K:$K,""),'Pokemon Editor'!$A:$A,'Pokemon Editor'!$C:$C,""),mtype=XLOOKUP(XLOOKUP($Q215,'Threshold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Chart'!$B$1:$S$1,0)))),base,IF(OR(cat="Status",pow=0),0,FLOOR(FLOOR(FLOOR((2*XLOOKUP($Q215,'Threshold Summary'!$Y:$Y,'Threshold Summary'!$L:$L,"")/5+2)*pow*atk/def)/50)+2)),modifier,stab*eff,FLOOR(base*modifier)),0)</f>
        <v/>
      </c>
      <c r="L215" s="3">
        <f>IFERROR(LET(mtype,XLOOKUP($D215,'Move Editor'!$B:$B,'Move Editor'!$C:$C,""),cat,XLOOKUP($D215,'Move Editor'!$B:$B,'Move Editor'!$D:$D,""),pow,XLOOKUP($D215,'Move Editor'!$B:$B,'Move Editor'!$E:$E,0),acc,XLOOKUP($D215,'Move Editor'!$B:$B,'Move Editor'!$F:$F,100),atk,IF(cat="Physical",FLOOR((FLOOR(((2*XLOOKUP(XLOOKUP($Q215,'Threshold Summary'!$Y:$Y,'Threshold Summary'!$K:$K,""),'Pokemon Editor'!$A:$A,'Pokemon Editor'!$F:$F,0)+31+FLOOR(XLOOKUP($Q215,'Threshold Summary'!$Y:$Y,'Threshold Summary'!$P:$P,"")/4))*XLOOKUP($Q215,'Threshold Summary'!$Y:$Y,'Threshold Summary'!$L:$L,""))/100)+5)*XLOOKUP(XLOOKUP($Q215,'Threshold Summary'!$Y:$Y,'Threshold Summary'!$M:$M,""),'Nature Editor'!$A:$A,'Nature Editor'!$B:$B,1)),FLOOR((FLOOR(((2*XLOOKUP(XLOOKUP($Q215,'Threshold Summary'!$Y:$Y,'Threshold Summary'!$K:$K,""),'Pokemon Editor'!$A:$A,'Pokemon Editor'!$H:$H,0)+31+FLOOR(XLOOKUP($Q215,'Threshold Summary'!$Y:$Y,'Threshold Summary'!$R:$R,"")/4))*XLOOKUP($Q215,'Threshold Summary'!$Y:$Y,'Threshold Summary'!$L:$L,""))/100)+5)*XLOOKUP(XLOOKUP($Q215,'Threshold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Editor'!$E:$E,1))),stab,IF(OR(mtype=XLOOKUP(XLOOKUP($Q215,'Threshold Summary'!$Y:$Y,'Threshold Summary'!$K:$K,""),'Pokemon Editor'!$A:$A,'Pokemon Editor'!$C:$C,""),mtype=XLOOKUP(XLOOKUP($Q215,'Threshold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Chart'!$B$1:$S$1,0)))),base,IF(OR(cat="Status",pow=0),0,FLOOR(FLOOR(FLOOR((2*XLOOKUP($Q215,'Threshold Summary'!$Y:$Y,'Threshold Summary'!$L:$L,"")/5+2)*pow*atk/def)/50)+2)),modifier,stab*eff,AVERAGE(ARRAYFORMULA(FLOOR(base*modifier*SEQUENCE(16,1,85,1)/100)))),0)</f>
        <v/>
      </c>
      <c r="M215" s="3">
        <f>IFERROR(LET(mtype,XLOOKUP($D215,'Move Editor'!$B:$B,'Move Editor'!$C:$C,""),cat,XLOOKUP($D215,'Move Editor'!$B:$B,'Move Editor'!$D:$D,""),pow,XLOOKUP($D215,'Move Editor'!$B:$B,'Move Editor'!$E:$E,0),acc,XLOOKUP($D215,'Move Editor'!$B:$B,'Move Editor'!$F:$F,100),atk,IF(cat="Physical",FLOOR((FLOOR(((2*XLOOKUP(XLOOKUP($Q215,'Threshold Summary'!$Y:$Y,'Threshold Summary'!$K:$K,""),'Pokemon Editor'!$A:$A,'Pokemon Editor'!$F:$F,0)+31+FLOOR(XLOOKUP($Q215,'Threshold Summary'!$Y:$Y,'Threshold Summary'!$P:$P,"")/4))*XLOOKUP($Q215,'Threshold Summary'!$Y:$Y,'Threshold Summary'!$L:$L,""))/100)+5)*XLOOKUP(XLOOKUP($Q215,'Threshold Summary'!$Y:$Y,'Threshold Summary'!$M:$M,""),'Nature Editor'!$A:$A,'Nature Editor'!$B:$B,1)),FLOOR((FLOOR(((2*XLOOKUP(XLOOKUP($Q215,'Threshold Summary'!$Y:$Y,'Threshold Summary'!$K:$K,""),'Pokemon Editor'!$A:$A,'Pokemon Editor'!$H:$H,0)+31+FLOOR(XLOOKUP($Q215,'Threshold Summary'!$Y:$Y,'Threshold Summary'!$R:$R,"")/4))*XLOOKUP($Q215,'Threshold Summary'!$Y:$Y,'Threshold Summary'!$L:$L,""))/100)+5)*XLOOKUP(XLOOKUP($Q215,'Threshold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Editor'!$E:$E,1))),stab,IF(OR(mtype=XLOOKUP(XLOOKUP($Q215,'Threshold Summary'!$Y:$Y,'Threshold Summary'!$K:$K,""),'Pokemon Editor'!$A:$A,'Pokemon Editor'!$C:$C,""),mtype=XLOOKUP(XLOOKUP($Q215,'Threshold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Chart'!$B$1:$S$1,0)))),base,IF(OR(cat="Status",pow=0),0,FLOOR(FLOOR(FLOOR((2*XLOOKUP($Q215,'Threshold Summary'!$Y:$Y,'Threshold Summary'!$L:$L,"")/5+2)*pow*atk/def)/50)+2)),modifier,stab*eff,AVERAGE(ARRAYFORMULA(FLOOR(base*modifier*SEQUENCE(16,1,85,1)/100)))*MIN(1,acc/100)),0)</f>
        <v/>
      </c>
      <c r="N215" s="4">
        <f>IFERROR(LET(mtype,XLOOKUP($D215,'Move Editor'!$B:$B,'Move Editor'!$C:$C,""),cat,XLOOKUP($D215,'Move Editor'!$B:$B,'Move Editor'!$D:$D,""),pow,XLOOKUP($D215,'Move Editor'!$B:$B,'Move Editor'!$E:$E,0),acc,XLOOKUP($D215,'Move Editor'!$B:$B,'Move Editor'!$F:$F,100),atk,IF(cat="Physical",FLOOR((FLOOR(((2*XLOOKUP(XLOOKUP($Q215,'Threshold Summary'!$Y:$Y,'Threshold Summary'!$K:$K,""),'Pokemon Editor'!$A:$A,'Pokemon Editor'!$F:$F,0)+31+FLOOR(XLOOKUP($Q215,'Threshold Summary'!$Y:$Y,'Threshold Summary'!$P:$P,"")/4))*XLOOKUP($Q215,'Threshold Summary'!$Y:$Y,'Threshold Summary'!$L:$L,""))/100)+5)*XLOOKUP(XLOOKUP($Q215,'Threshold Summary'!$Y:$Y,'Threshold Summary'!$M:$M,""),'Nature Editor'!$A:$A,'Nature Editor'!$B:$B,1)),FLOOR((FLOOR(((2*XLOOKUP(XLOOKUP($Q215,'Threshold Summary'!$Y:$Y,'Threshold Summary'!$K:$K,""),'Pokemon Editor'!$A:$A,'Pokemon Editor'!$H:$H,0)+31+FLOOR(XLOOKUP($Q215,'Threshold Summary'!$Y:$Y,'Threshold Summary'!$R:$R,"")/4))*XLOOKUP($Q215,'Threshold Summary'!$Y:$Y,'Threshold Summary'!$L:$L,""))/100)+5)*XLOOKUP(XLOOKUP($Q215,'Threshold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Editor'!$E:$E,1))),stab,IF(OR(mtype=XLOOKUP(XLOOKUP($Q215,'Threshold Summary'!$Y:$Y,'Threshold Summary'!$K:$K,""),'Pokemon Editor'!$A:$A,'Pokemon Editor'!$C:$C,""),mtype=XLOOKUP(XLOOKUP($Q215,'Threshold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Chart'!$B$1:$S$1,0)))),base,IF(OR(cat="Status",pow=0),0,FLOOR(FLOOR(FLOOR((2*XLOOKUP($Q215,'Threshold Summary'!$Y:$Y,'Threshold Summary'!$L:$L,"")/5+2)*pow*atk/def)/50)+2)),modifier,stab*eff,AVERAGE(ARRAYFORMULA(FLOOR(base*modifier*SEQUENCE(16,1,85,1)/100)))/(FLOOR(((2*XLOOKUP('Boss Editor'!$C$4,'Pokemon Editor'!$A:$A,'Pokemon Editor'!$E:$E,0)+31+FLOOR('Boss Editor'!$G$4/4))*'Boss Editor'!$D$4)/100)+'Boss Editor'!$D$4+10)),0)</f>
        <v/>
      </c>
      <c r="O215" s="3">
        <f>IF(N215&gt;=1,"OHKO",IF(N215&gt;=0.5,"2HKO",IF(N215&gt;=0.333,"3HKO",IF(N215&gt;=0.25,"4HKO","5HKO+"))))</f>
        <v/>
      </c>
      <c r="P215" s="3" t="inlineStr">
        <is>
          <t>Live from editable databases</t>
        </is>
      </c>
      <c r="Q215" s="3" t="inlineStr">
        <is>
          <t>SPECIES_TAILLOW</t>
        </is>
      </c>
      <c r="R215" s="3" t="n">
        <v>22</v>
      </c>
    </row>
    <row r="216">
      <c r="A216" s="3">
        <f>XLOOKUP($Q216,'Threshold Summary'!$Y:$Y,'Threshold Summary'!$A:$A,"")</f>
        <v/>
      </c>
      <c r="B216" s="3">
        <f>XLOOKUP($Q216,'Threshold Summary'!$Y:$Y,'Threshold Summary'!$M:$M,"")</f>
        <v/>
      </c>
      <c r="C216" s="3">
        <f>XLOOKUP($Q216,'Threshold Summary'!$Y:$Y,'Threshold Summary'!$N:$N,"")</f>
        <v/>
      </c>
      <c r="D216" s="3">
        <f>IFERROR(INDEX(FILTER('Learnset Editor'!$D$2:$D,'Learnset Editor'!$A$2:$A=XLOOKUP($Q216,'Threshold Summary'!$Y:$Y,'Threshold Summary'!$K:$K,""),'Learnset Editor'!$C$2:$C&lt;=XLOOKUP($Q216,'Threshold Summary'!$Y:$Y,'Threshold Summary'!$L:$L,"")),$R216),"")</f>
        <v/>
      </c>
      <c r="E216" s="3">
        <f>XLOOKUP(D216,'Move Editor'!$B:$B,'Move Editor'!$C:$C,"")</f>
        <v/>
      </c>
      <c r="F216" s="3">
        <f>XLOOKUP(D216,'Move Editor'!$B:$B,'Move Editor'!$D:$D,"")</f>
        <v/>
      </c>
      <c r="G216" s="3">
        <f>XLOOKUP(D216,'Move Editor'!$B:$B,'Move Editor'!$E:$E,0)</f>
        <v/>
      </c>
      <c r="H216" s="3">
        <f>XLOOKUP(D216,'Move Editor'!$B:$B,'Move Editor'!$F:$F,0)</f>
        <v/>
      </c>
      <c r="I216" s="3">
        <f>(INDEX('Type Chart'!$B:$S,MATCH(E216,'Type Chart'!$A:$A,0),MATCH(XLOOKUP('Boss Editor'!$C$4,'Pokemon Editor'!$A:$A,'Pokemon Editor'!$C:$C,""),'Type Chart'!$B$1:$S$1,0))*IF(XLOOKUP('Boss Editor'!$C$4,'Pokemon Editor'!$A:$A,'Pokemon Editor'!$D:$D,"")="",1,INDEX('Type Chart'!$B:$S,MATCH(E216,'Type Chart'!$A:$A,0),MATCH(XLOOKUP('Boss Editor'!$C$4,'Pokemon Editor'!$A:$A,'Pokemon Editor'!$D:$D,""),'Type Chart'!$B$1:$S$1,0))))</f>
        <v/>
      </c>
      <c r="J216" s="3">
        <f>IFERROR(LET(mtype,XLOOKUP($D216,'Move Editor'!$B:$B,'Move Editor'!$C:$C,""),cat,XLOOKUP($D216,'Move Editor'!$B:$B,'Move Editor'!$D:$D,""),pow,XLOOKUP($D216,'Move Editor'!$B:$B,'Move Editor'!$E:$E,0),acc,XLOOKUP($D216,'Move Editor'!$B:$B,'Move Editor'!$F:$F,100),atk,IF(cat="Physical",FLOOR((FLOOR(((2*XLOOKUP(XLOOKUP($Q216,'Threshold Summary'!$Y:$Y,'Threshold Summary'!$K:$K,""),'Pokemon Editor'!$A:$A,'Pokemon Editor'!$F:$F,0)+31+FLOOR(XLOOKUP($Q216,'Threshold Summary'!$Y:$Y,'Threshold Summary'!$P:$P,"")/4))*XLOOKUP($Q216,'Threshold Summary'!$Y:$Y,'Threshold Summary'!$L:$L,""))/100)+5)*XLOOKUP(XLOOKUP($Q216,'Threshold Summary'!$Y:$Y,'Threshold Summary'!$M:$M,""),'Nature Editor'!$A:$A,'Nature Editor'!$B:$B,1)),FLOOR((FLOOR(((2*XLOOKUP(XLOOKUP($Q216,'Threshold Summary'!$Y:$Y,'Threshold Summary'!$K:$K,""),'Pokemon Editor'!$A:$A,'Pokemon Editor'!$H:$H,0)+31+FLOOR(XLOOKUP($Q216,'Threshold Summary'!$Y:$Y,'Threshold Summary'!$R:$R,"")/4))*XLOOKUP($Q216,'Threshold Summary'!$Y:$Y,'Threshold Summary'!$L:$L,""))/100)+5)*XLOOKUP(XLOOKUP($Q216,'Threshold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Editor'!$E:$E,1))),stab,IF(OR(mtype=XLOOKUP(XLOOKUP($Q216,'Threshold Summary'!$Y:$Y,'Threshold Summary'!$K:$K,""),'Pokemon Editor'!$A:$A,'Pokemon Editor'!$C:$C,""),mtype=XLOOKUP(XLOOKUP($Q216,'Threshold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Chart'!$B$1:$S$1,0)))),base,IF(OR(cat="Status",pow=0),0,FLOOR(FLOOR(FLOOR((2*XLOOKUP($Q216,'Threshold Summary'!$Y:$Y,'Threshold Summary'!$L:$L,"")/5+2)*pow*atk/def)/50)+2)),modifier,stab*eff,FLOOR(base*modifier*0.85)),0)</f>
        <v/>
      </c>
      <c r="K216" s="3">
        <f>IFERROR(LET(mtype,XLOOKUP($D216,'Move Editor'!$B:$B,'Move Editor'!$C:$C,""),cat,XLOOKUP($D216,'Move Editor'!$B:$B,'Move Editor'!$D:$D,""),pow,XLOOKUP($D216,'Move Editor'!$B:$B,'Move Editor'!$E:$E,0),acc,XLOOKUP($D216,'Move Editor'!$B:$B,'Move Editor'!$F:$F,100),atk,IF(cat="Physical",FLOOR((FLOOR(((2*XLOOKUP(XLOOKUP($Q216,'Threshold Summary'!$Y:$Y,'Threshold Summary'!$K:$K,""),'Pokemon Editor'!$A:$A,'Pokemon Editor'!$F:$F,0)+31+FLOOR(XLOOKUP($Q216,'Threshold Summary'!$Y:$Y,'Threshold Summary'!$P:$P,"")/4))*XLOOKUP($Q216,'Threshold Summary'!$Y:$Y,'Threshold Summary'!$L:$L,""))/100)+5)*XLOOKUP(XLOOKUP($Q216,'Threshold Summary'!$Y:$Y,'Threshold Summary'!$M:$M,""),'Nature Editor'!$A:$A,'Nature Editor'!$B:$B,1)),FLOOR((FLOOR(((2*XLOOKUP(XLOOKUP($Q216,'Threshold Summary'!$Y:$Y,'Threshold Summary'!$K:$K,""),'Pokemon Editor'!$A:$A,'Pokemon Editor'!$H:$H,0)+31+FLOOR(XLOOKUP($Q216,'Threshold Summary'!$Y:$Y,'Threshold Summary'!$R:$R,"")/4))*XLOOKUP($Q216,'Threshold Summary'!$Y:$Y,'Threshold Summary'!$L:$L,""))/100)+5)*XLOOKUP(XLOOKUP($Q216,'Threshold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Editor'!$E:$E,1))),stab,IF(OR(mtype=XLOOKUP(XLOOKUP($Q216,'Threshold Summary'!$Y:$Y,'Threshold Summary'!$K:$K,""),'Pokemon Editor'!$A:$A,'Pokemon Editor'!$C:$C,""),mtype=XLOOKUP(XLOOKUP($Q216,'Threshold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Chart'!$B$1:$S$1,0)))),base,IF(OR(cat="Status",pow=0),0,FLOOR(FLOOR(FLOOR((2*XLOOKUP($Q216,'Threshold Summary'!$Y:$Y,'Threshold Summary'!$L:$L,"")/5+2)*pow*atk/def)/50)+2)),modifier,stab*eff,FLOOR(base*modifier)),0)</f>
        <v/>
      </c>
      <c r="L216" s="3">
        <f>IFERROR(LET(mtype,XLOOKUP($D216,'Move Editor'!$B:$B,'Move Editor'!$C:$C,""),cat,XLOOKUP($D216,'Move Editor'!$B:$B,'Move Editor'!$D:$D,""),pow,XLOOKUP($D216,'Move Editor'!$B:$B,'Move Editor'!$E:$E,0),acc,XLOOKUP($D216,'Move Editor'!$B:$B,'Move Editor'!$F:$F,100),atk,IF(cat="Physical",FLOOR((FLOOR(((2*XLOOKUP(XLOOKUP($Q216,'Threshold Summary'!$Y:$Y,'Threshold Summary'!$K:$K,""),'Pokemon Editor'!$A:$A,'Pokemon Editor'!$F:$F,0)+31+FLOOR(XLOOKUP($Q216,'Threshold Summary'!$Y:$Y,'Threshold Summary'!$P:$P,"")/4))*XLOOKUP($Q216,'Threshold Summary'!$Y:$Y,'Threshold Summary'!$L:$L,""))/100)+5)*XLOOKUP(XLOOKUP($Q216,'Threshold Summary'!$Y:$Y,'Threshold Summary'!$M:$M,""),'Nature Editor'!$A:$A,'Nature Editor'!$B:$B,1)),FLOOR((FLOOR(((2*XLOOKUP(XLOOKUP($Q216,'Threshold Summary'!$Y:$Y,'Threshold Summary'!$K:$K,""),'Pokemon Editor'!$A:$A,'Pokemon Editor'!$H:$H,0)+31+FLOOR(XLOOKUP($Q216,'Threshold Summary'!$Y:$Y,'Threshold Summary'!$R:$R,"")/4))*XLOOKUP($Q216,'Threshold Summary'!$Y:$Y,'Threshold Summary'!$L:$L,""))/100)+5)*XLOOKUP(XLOOKUP($Q216,'Threshold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Editor'!$E:$E,1))),stab,IF(OR(mtype=XLOOKUP(XLOOKUP($Q216,'Threshold Summary'!$Y:$Y,'Threshold Summary'!$K:$K,""),'Pokemon Editor'!$A:$A,'Pokemon Editor'!$C:$C,""),mtype=XLOOKUP(XLOOKUP($Q216,'Threshold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Chart'!$B$1:$S$1,0)))),base,IF(OR(cat="Status",pow=0),0,FLOOR(FLOOR(FLOOR((2*XLOOKUP($Q216,'Threshold Summary'!$Y:$Y,'Threshold Summary'!$L:$L,"")/5+2)*pow*atk/def)/50)+2)),modifier,stab*eff,AVERAGE(ARRAYFORMULA(FLOOR(base*modifier*SEQUENCE(16,1,85,1)/100)))),0)</f>
        <v/>
      </c>
      <c r="M216" s="3">
        <f>IFERROR(LET(mtype,XLOOKUP($D216,'Move Editor'!$B:$B,'Move Editor'!$C:$C,""),cat,XLOOKUP($D216,'Move Editor'!$B:$B,'Move Editor'!$D:$D,""),pow,XLOOKUP($D216,'Move Editor'!$B:$B,'Move Editor'!$E:$E,0),acc,XLOOKUP($D216,'Move Editor'!$B:$B,'Move Editor'!$F:$F,100),atk,IF(cat="Physical",FLOOR((FLOOR(((2*XLOOKUP(XLOOKUP($Q216,'Threshold Summary'!$Y:$Y,'Threshold Summary'!$K:$K,""),'Pokemon Editor'!$A:$A,'Pokemon Editor'!$F:$F,0)+31+FLOOR(XLOOKUP($Q216,'Threshold Summary'!$Y:$Y,'Threshold Summary'!$P:$P,"")/4))*XLOOKUP($Q216,'Threshold Summary'!$Y:$Y,'Threshold Summary'!$L:$L,""))/100)+5)*XLOOKUP(XLOOKUP($Q216,'Threshold Summary'!$Y:$Y,'Threshold Summary'!$M:$M,""),'Nature Editor'!$A:$A,'Nature Editor'!$B:$B,1)),FLOOR((FLOOR(((2*XLOOKUP(XLOOKUP($Q216,'Threshold Summary'!$Y:$Y,'Threshold Summary'!$K:$K,""),'Pokemon Editor'!$A:$A,'Pokemon Editor'!$H:$H,0)+31+FLOOR(XLOOKUP($Q216,'Threshold Summary'!$Y:$Y,'Threshold Summary'!$R:$R,"")/4))*XLOOKUP($Q216,'Threshold Summary'!$Y:$Y,'Threshold Summary'!$L:$L,""))/100)+5)*XLOOKUP(XLOOKUP($Q216,'Threshold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Editor'!$E:$E,1))),stab,IF(OR(mtype=XLOOKUP(XLOOKUP($Q216,'Threshold Summary'!$Y:$Y,'Threshold Summary'!$K:$K,""),'Pokemon Editor'!$A:$A,'Pokemon Editor'!$C:$C,""),mtype=XLOOKUP(XLOOKUP($Q216,'Threshold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Chart'!$B$1:$S$1,0)))),base,IF(OR(cat="Status",pow=0),0,FLOOR(FLOOR(FLOOR((2*XLOOKUP($Q216,'Threshold Summary'!$Y:$Y,'Threshold Summary'!$L:$L,"")/5+2)*pow*atk/def)/50)+2)),modifier,stab*eff,AVERAGE(ARRAYFORMULA(FLOOR(base*modifier*SEQUENCE(16,1,85,1)/100)))*MIN(1,acc/100)),0)</f>
        <v/>
      </c>
      <c r="N216" s="4">
        <f>IFERROR(LET(mtype,XLOOKUP($D216,'Move Editor'!$B:$B,'Move Editor'!$C:$C,""),cat,XLOOKUP($D216,'Move Editor'!$B:$B,'Move Editor'!$D:$D,""),pow,XLOOKUP($D216,'Move Editor'!$B:$B,'Move Editor'!$E:$E,0),acc,XLOOKUP($D216,'Move Editor'!$B:$B,'Move Editor'!$F:$F,100),atk,IF(cat="Physical",FLOOR((FLOOR(((2*XLOOKUP(XLOOKUP($Q216,'Threshold Summary'!$Y:$Y,'Threshold Summary'!$K:$K,""),'Pokemon Editor'!$A:$A,'Pokemon Editor'!$F:$F,0)+31+FLOOR(XLOOKUP($Q216,'Threshold Summary'!$Y:$Y,'Threshold Summary'!$P:$P,"")/4))*XLOOKUP($Q216,'Threshold Summary'!$Y:$Y,'Threshold Summary'!$L:$L,""))/100)+5)*XLOOKUP(XLOOKUP($Q216,'Threshold Summary'!$Y:$Y,'Threshold Summary'!$M:$M,""),'Nature Editor'!$A:$A,'Nature Editor'!$B:$B,1)),FLOOR((FLOOR(((2*XLOOKUP(XLOOKUP($Q216,'Threshold Summary'!$Y:$Y,'Threshold Summary'!$K:$K,""),'Pokemon Editor'!$A:$A,'Pokemon Editor'!$H:$H,0)+31+FLOOR(XLOOKUP($Q216,'Threshold Summary'!$Y:$Y,'Threshold Summary'!$R:$R,"")/4))*XLOOKUP($Q216,'Threshold Summary'!$Y:$Y,'Threshold Summary'!$L:$L,""))/100)+5)*XLOOKUP(XLOOKUP($Q216,'Threshold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Editor'!$E:$E,1))),stab,IF(OR(mtype=XLOOKUP(XLOOKUP($Q216,'Threshold Summary'!$Y:$Y,'Threshold Summary'!$K:$K,""),'Pokemon Editor'!$A:$A,'Pokemon Editor'!$C:$C,""),mtype=XLOOKUP(XLOOKUP($Q216,'Threshold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Chart'!$B$1:$S$1,0)))),base,IF(OR(cat="Status",pow=0),0,FLOOR(FLOOR(FLOOR((2*XLOOKUP($Q216,'Threshold Summary'!$Y:$Y,'Threshold Summary'!$L:$L,"")/5+2)*pow*atk/def)/50)+2)),modifier,stab*eff,AVERAGE(ARRAYFORMULA(FLOOR(base*modifier*SEQUENCE(16,1,85,1)/100)))/(FLOOR(((2*XLOOKUP('Boss Editor'!$C$4,'Pokemon Editor'!$A:$A,'Pokemon Editor'!$E:$E,0)+31+FLOOR('Boss Editor'!$G$4/4))*'Boss Editor'!$D$4)/100)+'Boss Editor'!$D$4+10)),0)</f>
        <v/>
      </c>
      <c r="O216" s="3">
        <f>IF(N216&gt;=1,"OHKO",IF(N216&gt;=0.5,"2HKO",IF(N216&gt;=0.333,"3HKO",IF(N216&gt;=0.25,"4HKO","5HKO+"))))</f>
        <v/>
      </c>
      <c r="P216" s="3" t="inlineStr">
        <is>
          <t>Live from editable databases</t>
        </is>
      </c>
      <c r="Q216" s="3" t="inlineStr">
        <is>
          <t>SPECIES_TAILLOW</t>
        </is>
      </c>
      <c r="R216" s="3" t="n">
        <v>23</v>
      </c>
    </row>
    <row r="217">
      <c r="A217" s="3">
        <f>XLOOKUP($Q217,'Threshold Summary'!$Y:$Y,'Threshold Summary'!$A:$A,"")</f>
        <v/>
      </c>
      <c r="B217" s="3">
        <f>XLOOKUP($Q217,'Threshold Summary'!$Y:$Y,'Threshold Summary'!$M:$M,"")</f>
        <v/>
      </c>
      <c r="C217" s="3">
        <f>XLOOKUP($Q217,'Threshold Summary'!$Y:$Y,'Threshold Summary'!$N:$N,"")</f>
        <v/>
      </c>
      <c r="D217" s="3">
        <f>IFERROR(INDEX(FILTER('Learnset Editor'!$D$2:$D,'Learnset Editor'!$A$2:$A=XLOOKUP($Q217,'Threshold Summary'!$Y:$Y,'Threshold Summary'!$K:$K,""),'Learnset Editor'!$C$2:$C&lt;=XLOOKUP($Q217,'Threshold Summary'!$Y:$Y,'Threshold Summary'!$L:$L,"")),$R217),"")</f>
        <v/>
      </c>
      <c r="E217" s="3">
        <f>XLOOKUP(D217,'Move Editor'!$B:$B,'Move Editor'!$C:$C,"")</f>
        <v/>
      </c>
      <c r="F217" s="3">
        <f>XLOOKUP(D217,'Move Editor'!$B:$B,'Move Editor'!$D:$D,"")</f>
        <v/>
      </c>
      <c r="G217" s="3">
        <f>XLOOKUP(D217,'Move Editor'!$B:$B,'Move Editor'!$E:$E,0)</f>
        <v/>
      </c>
      <c r="H217" s="3">
        <f>XLOOKUP(D217,'Move Editor'!$B:$B,'Move Editor'!$F:$F,0)</f>
        <v/>
      </c>
      <c r="I217" s="3">
        <f>(INDEX('Type Chart'!$B:$S,MATCH(E217,'Type Chart'!$A:$A,0),MATCH(XLOOKUP('Boss Editor'!$C$4,'Pokemon Editor'!$A:$A,'Pokemon Editor'!$C:$C,""),'Type Chart'!$B$1:$S$1,0))*IF(XLOOKUP('Boss Editor'!$C$4,'Pokemon Editor'!$A:$A,'Pokemon Editor'!$D:$D,"")="",1,INDEX('Type Chart'!$B:$S,MATCH(E217,'Type Chart'!$A:$A,0),MATCH(XLOOKUP('Boss Editor'!$C$4,'Pokemon Editor'!$A:$A,'Pokemon Editor'!$D:$D,""),'Type Chart'!$B$1:$S$1,0))))</f>
        <v/>
      </c>
      <c r="J217" s="3">
        <f>IFERROR(LET(mtype,XLOOKUP($D217,'Move Editor'!$B:$B,'Move Editor'!$C:$C,""),cat,XLOOKUP($D217,'Move Editor'!$B:$B,'Move Editor'!$D:$D,""),pow,XLOOKUP($D217,'Move Editor'!$B:$B,'Move Editor'!$E:$E,0),acc,XLOOKUP($D217,'Move Editor'!$B:$B,'Move Editor'!$F:$F,100),atk,IF(cat="Physical",FLOOR((FLOOR(((2*XLOOKUP(XLOOKUP($Q217,'Threshold Summary'!$Y:$Y,'Threshold Summary'!$K:$K,""),'Pokemon Editor'!$A:$A,'Pokemon Editor'!$F:$F,0)+31+FLOOR(XLOOKUP($Q217,'Threshold Summary'!$Y:$Y,'Threshold Summary'!$P:$P,"")/4))*XLOOKUP($Q217,'Threshold Summary'!$Y:$Y,'Threshold Summary'!$L:$L,""))/100)+5)*XLOOKUP(XLOOKUP($Q217,'Threshold Summary'!$Y:$Y,'Threshold Summary'!$M:$M,""),'Nature Editor'!$A:$A,'Nature Editor'!$B:$B,1)),FLOOR((FLOOR(((2*XLOOKUP(XLOOKUP($Q217,'Threshold Summary'!$Y:$Y,'Threshold Summary'!$K:$K,""),'Pokemon Editor'!$A:$A,'Pokemon Editor'!$H:$H,0)+31+FLOOR(XLOOKUP($Q217,'Threshold Summary'!$Y:$Y,'Threshold Summary'!$R:$R,"")/4))*XLOOKUP($Q217,'Threshold Summary'!$Y:$Y,'Threshold Summary'!$L:$L,""))/100)+5)*XLOOKUP(XLOOKUP($Q217,'Threshold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Editor'!$E:$E,1))),stab,IF(OR(mtype=XLOOKUP(XLOOKUP($Q217,'Threshold Summary'!$Y:$Y,'Threshold Summary'!$K:$K,""),'Pokemon Editor'!$A:$A,'Pokemon Editor'!$C:$C,""),mtype=XLOOKUP(XLOOKUP($Q217,'Threshold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Chart'!$B$1:$S$1,0)))),base,IF(OR(cat="Status",pow=0),0,FLOOR(FLOOR(FLOOR((2*XLOOKUP($Q217,'Threshold Summary'!$Y:$Y,'Threshold Summary'!$L:$L,"")/5+2)*pow*atk/def)/50)+2)),modifier,stab*eff,FLOOR(base*modifier*0.85)),0)</f>
        <v/>
      </c>
      <c r="K217" s="3">
        <f>IFERROR(LET(mtype,XLOOKUP($D217,'Move Editor'!$B:$B,'Move Editor'!$C:$C,""),cat,XLOOKUP($D217,'Move Editor'!$B:$B,'Move Editor'!$D:$D,""),pow,XLOOKUP($D217,'Move Editor'!$B:$B,'Move Editor'!$E:$E,0),acc,XLOOKUP($D217,'Move Editor'!$B:$B,'Move Editor'!$F:$F,100),atk,IF(cat="Physical",FLOOR((FLOOR(((2*XLOOKUP(XLOOKUP($Q217,'Threshold Summary'!$Y:$Y,'Threshold Summary'!$K:$K,""),'Pokemon Editor'!$A:$A,'Pokemon Editor'!$F:$F,0)+31+FLOOR(XLOOKUP($Q217,'Threshold Summary'!$Y:$Y,'Threshold Summary'!$P:$P,"")/4))*XLOOKUP($Q217,'Threshold Summary'!$Y:$Y,'Threshold Summary'!$L:$L,""))/100)+5)*XLOOKUP(XLOOKUP($Q217,'Threshold Summary'!$Y:$Y,'Threshold Summary'!$M:$M,""),'Nature Editor'!$A:$A,'Nature Editor'!$B:$B,1)),FLOOR((FLOOR(((2*XLOOKUP(XLOOKUP($Q217,'Threshold Summary'!$Y:$Y,'Threshold Summary'!$K:$K,""),'Pokemon Editor'!$A:$A,'Pokemon Editor'!$H:$H,0)+31+FLOOR(XLOOKUP($Q217,'Threshold Summary'!$Y:$Y,'Threshold Summary'!$R:$R,"")/4))*XLOOKUP($Q217,'Threshold Summary'!$Y:$Y,'Threshold Summary'!$L:$L,""))/100)+5)*XLOOKUP(XLOOKUP($Q217,'Threshold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Editor'!$E:$E,1))),stab,IF(OR(mtype=XLOOKUP(XLOOKUP($Q217,'Threshold Summary'!$Y:$Y,'Threshold Summary'!$K:$K,""),'Pokemon Editor'!$A:$A,'Pokemon Editor'!$C:$C,""),mtype=XLOOKUP(XLOOKUP($Q217,'Threshold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Chart'!$B$1:$S$1,0)))),base,IF(OR(cat="Status",pow=0),0,FLOOR(FLOOR(FLOOR((2*XLOOKUP($Q217,'Threshold Summary'!$Y:$Y,'Threshold Summary'!$L:$L,"")/5+2)*pow*atk/def)/50)+2)),modifier,stab*eff,FLOOR(base*modifier)),0)</f>
        <v/>
      </c>
      <c r="L217" s="3">
        <f>IFERROR(LET(mtype,XLOOKUP($D217,'Move Editor'!$B:$B,'Move Editor'!$C:$C,""),cat,XLOOKUP($D217,'Move Editor'!$B:$B,'Move Editor'!$D:$D,""),pow,XLOOKUP($D217,'Move Editor'!$B:$B,'Move Editor'!$E:$E,0),acc,XLOOKUP($D217,'Move Editor'!$B:$B,'Move Editor'!$F:$F,100),atk,IF(cat="Physical",FLOOR((FLOOR(((2*XLOOKUP(XLOOKUP($Q217,'Threshold Summary'!$Y:$Y,'Threshold Summary'!$K:$K,""),'Pokemon Editor'!$A:$A,'Pokemon Editor'!$F:$F,0)+31+FLOOR(XLOOKUP($Q217,'Threshold Summary'!$Y:$Y,'Threshold Summary'!$P:$P,"")/4))*XLOOKUP($Q217,'Threshold Summary'!$Y:$Y,'Threshold Summary'!$L:$L,""))/100)+5)*XLOOKUP(XLOOKUP($Q217,'Threshold Summary'!$Y:$Y,'Threshold Summary'!$M:$M,""),'Nature Editor'!$A:$A,'Nature Editor'!$B:$B,1)),FLOOR((FLOOR(((2*XLOOKUP(XLOOKUP($Q217,'Threshold Summary'!$Y:$Y,'Threshold Summary'!$K:$K,""),'Pokemon Editor'!$A:$A,'Pokemon Editor'!$H:$H,0)+31+FLOOR(XLOOKUP($Q217,'Threshold Summary'!$Y:$Y,'Threshold Summary'!$R:$R,"")/4))*XLOOKUP($Q217,'Threshold Summary'!$Y:$Y,'Threshold Summary'!$L:$L,""))/100)+5)*XLOOKUP(XLOOKUP($Q217,'Threshold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Editor'!$E:$E,1))),stab,IF(OR(mtype=XLOOKUP(XLOOKUP($Q217,'Threshold Summary'!$Y:$Y,'Threshold Summary'!$K:$K,""),'Pokemon Editor'!$A:$A,'Pokemon Editor'!$C:$C,""),mtype=XLOOKUP(XLOOKUP($Q217,'Threshold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Chart'!$B$1:$S$1,0)))),base,IF(OR(cat="Status",pow=0),0,FLOOR(FLOOR(FLOOR((2*XLOOKUP($Q217,'Threshold Summary'!$Y:$Y,'Threshold Summary'!$L:$L,"")/5+2)*pow*atk/def)/50)+2)),modifier,stab*eff,AVERAGE(ARRAYFORMULA(FLOOR(base*modifier*SEQUENCE(16,1,85,1)/100)))),0)</f>
        <v/>
      </c>
      <c r="M217" s="3">
        <f>IFERROR(LET(mtype,XLOOKUP($D217,'Move Editor'!$B:$B,'Move Editor'!$C:$C,""),cat,XLOOKUP($D217,'Move Editor'!$B:$B,'Move Editor'!$D:$D,""),pow,XLOOKUP($D217,'Move Editor'!$B:$B,'Move Editor'!$E:$E,0),acc,XLOOKUP($D217,'Move Editor'!$B:$B,'Move Editor'!$F:$F,100),atk,IF(cat="Physical",FLOOR((FLOOR(((2*XLOOKUP(XLOOKUP($Q217,'Threshold Summary'!$Y:$Y,'Threshold Summary'!$K:$K,""),'Pokemon Editor'!$A:$A,'Pokemon Editor'!$F:$F,0)+31+FLOOR(XLOOKUP($Q217,'Threshold Summary'!$Y:$Y,'Threshold Summary'!$P:$P,"")/4))*XLOOKUP($Q217,'Threshold Summary'!$Y:$Y,'Threshold Summary'!$L:$L,""))/100)+5)*XLOOKUP(XLOOKUP($Q217,'Threshold Summary'!$Y:$Y,'Threshold Summary'!$M:$M,""),'Nature Editor'!$A:$A,'Nature Editor'!$B:$B,1)),FLOOR((FLOOR(((2*XLOOKUP(XLOOKUP($Q217,'Threshold Summary'!$Y:$Y,'Threshold Summary'!$K:$K,""),'Pokemon Editor'!$A:$A,'Pokemon Editor'!$H:$H,0)+31+FLOOR(XLOOKUP($Q217,'Threshold Summary'!$Y:$Y,'Threshold Summary'!$R:$R,"")/4))*XLOOKUP($Q217,'Threshold Summary'!$Y:$Y,'Threshold Summary'!$L:$L,""))/100)+5)*XLOOKUP(XLOOKUP($Q217,'Threshold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Editor'!$E:$E,1))),stab,IF(OR(mtype=XLOOKUP(XLOOKUP($Q217,'Threshold Summary'!$Y:$Y,'Threshold Summary'!$K:$K,""),'Pokemon Editor'!$A:$A,'Pokemon Editor'!$C:$C,""),mtype=XLOOKUP(XLOOKUP($Q217,'Threshold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Chart'!$B$1:$S$1,0)))),base,IF(OR(cat="Status",pow=0),0,FLOOR(FLOOR(FLOOR((2*XLOOKUP($Q217,'Threshold Summary'!$Y:$Y,'Threshold Summary'!$L:$L,"")/5+2)*pow*atk/def)/50)+2)),modifier,stab*eff,AVERAGE(ARRAYFORMULA(FLOOR(base*modifier*SEQUENCE(16,1,85,1)/100)))*MIN(1,acc/100)),0)</f>
        <v/>
      </c>
      <c r="N217" s="4">
        <f>IFERROR(LET(mtype,XLOOKUP($D217,'Move Editor'!$B:$B,'Move Editor'!$C:$C,""),cat,XLOOKUP($D217,'Move Editor'!$B:$B,'Move Editor'!$D:$D,""),pow,XLOOKUP($D217,'Move Editor'!$B:$B,'Move Editor'!$E:$E,0),acc,XLOOKUP($D217,'Move Editor'!$B:$B,'Move Editor'!$F:$F,100),atk,IF(cat="Physical",FLOOR((FLOOR(((2*XLOOKUP(XLOOKUP($Q217,'Threshold Summary'!$Y:$Y,'Threshold Summary'!$K:$K,""),'Pokemon Editor'!$A:$A,'Pokemon Editor'!$F:$F,0)+31+FLOOR(XLOOKUP($Q217,'Threshold Summary'!$Y:$Y,'Threshold Summary'!$P:$P,"")/4))*XLOOKUP($Q217,'Threshold Summary'!$Y:$Y,'Threshold Summary'!$L:$L,""))/100)+5)*XLOOKUP(XLOOKUP($Q217,'Threshold Summary'!$Y:$Y,'Threshold Summary'!$M:$M,""),'Nature Editor'!$A:$A,'Nature Editor'!$B:$B,1)),FLOOR((FLOOR(((2*XLOOKUP(XLOOKUP($Q217,'Threshold Summary'!$Y:$Y,'Threshold Summary'!$K:$K,""),'Pokemon Editor'!$A:$A,'Pokemon Editor'!$H:$H,0)+31+FLOOR(XLOOKUP($Q217,'Threshold Summary'!$Y:$Y,'Threshold Summary'!$R:$R,"")/4))*XLOOKUP($Q217,'Threshold Summary'!$Y:$Y,'Threshold Summary'!$L:$L,""))/100)+5)*XLOOKUP(XLOOKUP($Q217,'Threshold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Editor'!$E:$E,1))),stab,IF(OR(mtype=XLOOKUP(XLOOKUP($Q217,'Threshold Summary'!$Y:$Y,'Threshold Summary'!$K:$K,""),'Pokemon Editor'!$A:$A,'Pokemon Editor'!$C:$C,""),mtype=XLOOKUP(XLOOKUP($Q217,'Threshold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Chart'!$B$1:$S$1,0)))),base,IF(OR(cat="Status",pow=0),0,FLOOR(FLOOR(FLOOR((2*XLOOKUP($Q217,'Threshold Summary'!$Y:$Y,'Threshold Summary'!$L:$L,"")/5+2)*pow*atk/def)/50)+2)),modifier,stab*eff,AVERAGE(ARRAYFORMULA(FLOOR(base*modifier*SEQUENCE(16,1,85,1)/100)))/(FLOOR(((2*XLOOKUP('Boss Editor'!$C$4,'Pokemon Editor'!$A:$A,'Pokemon Editor'!$E:$E,0)+31+FLOOR('Boss Editor'!$G$4/4))*'Boss Editor'!$D$4)/100)+'Boss Editor'!$D$4+10)),0)</f>
        <v/>
      </c>
      <c r="O217" s="3">
        <f>IF(N217&gt;=1,"OHKO",IF(N217&gt;=0.5,"2HKO",IF(N217&gt;=0.333,"3HKO",IF(N217&gt;=0.25,"4HKO","5HKO+"))))</f>
        <v/>
      </c>
      <c r="P217" s="3" t="inlineStr">
        <is>
          <t>Live from editable databases</t>
        </is>
      </c>
      <c r="Q217" s="3" t="inlineStr">
        <is>
          <t>SPECIES_TAILLOW</t>
        </is>
      </c>
      <c r="R217" s="3" t="n">
        <v>24</v>
      </c>
    </row>
    <row r="218">
      <c r="A218" s="3">
        <f>XLOOKUP($Q218,'Threshold Summary'!$Y:$Y,'Threshold Summary'!$A:$A,"")</f>
        <v/>
      </c>
      <c r="B218" s="3">
        <f>XLOOKUP($Q218,'Threshold Summary'!$Y:$Y,'Threshold Summary'!$M:$M,"")</f>
        <v/>
      </c>
      <c r="C218" s="3">
        <f>XLOOKUP($Q218,'Threshold Summary'!$Y:$Y,'Threshold Summary'!$N:$N,"")</f>
        <v/>
      </c>
      <c r="D218" s="3">
        <f>IFERROR(INDEX(FILTER('Learnset Editor'!$D$2:$D,'Learnset Editor'!$A$2:$A=XLOOKUP($Q218,'Threshold Summary'!$Y:$Y,'Threshold Summary'!$K:$K,""),'Learnset Editor'!$C$2:$C&lt;=XLOOKUP($Q218,'Threshold Summary'!$Y:$Y,'Threshold Summary'!$L:$L,"")),$R218),"")</f>
        <v/>
      </c>
      <c r="E218" s="3">
        <f>XLOOKUP(D218,'Move Editor'!$B:$B,'Move Editor'!$C:$C,"")</f>
        <v/>
      </c>
      <c r="F218" s="3">
        <f>XLOOKUP(D218,'Move Editor'!$B:$B,'Move Editor'!$D:$D,"")</f>
        <v/>
      </c>
      <c r="G218" s="3">
        <f>XLOOKUP(D218,'Move Editor'!$B:$B,'Move Editor'!$E:$E,0)</f>
        <v/>
      </c>
      <c r="H218" s="3">
        <f>XLOOKUP(D218,'Move Editor'!$B:$B,'Move Editor'!$F:$F,0)</f>
        <v/>
      </c>
      <c r="I218" s="3">
        <f>(INDEX('Type Chart'!$B:$S,MATCH(E218,'Type Chart'!$A:$A,0),MATCH(XLOOKUP('Boss Editor'!$C$4,'Pokemon Editor'!$A:$A,'Pokemon Editor'!$C:$C,""),'Type Chart'!$B$1:$S$1,0))*IF(XLOOKUP('Boss Editor'!$C$4,'Pokemon Editor'!$A:$A,'Pokemon Editor'!$D:$D,"")="",1,INDEX('Type Chart'!$B:$S,MATCH(E218,'Type Chart'!$A:$A,0),MATCH(XLOOKUP('Boss Editor'!$C$4,'Pokemon Editor'!$A:$A,'Pokemon Editor'!$D:$D,""),'Type Chart'!$B$1:$S$1,0))))</f>
        <v/>
      </c>
      <c r="J218" s="3">
        <f>IFERROR(LET(mtype,XLOOKUP($D218,'Move Editor'!$B:$B,'Move Editor'!$C:$C,""),cat,XLOOKUP($D218,'Move Editor'!$B:$B,'Move Editor'!$D:$D,""),pow,XLOOKUP($D218,'Move Editor'!$B:$B,'Move Editor'!$E:$E,0),acc,XLOOKUP($D218,'Move Editor'!$B:$B,'Move Editor'!$F:$F,100),atk,IF(cat="Physical",FLOOR((FLOOR(((2*XLOOKUP(XLOOKUP($Q218,'Threshold Summary'!$Y:$Y,'Threshold Summary'!$K:$K,""),'Pokemon Editor'!$A:$A,'Pokemon Editor'!$F:$F,0)+31+FLOOR(XLOOKUP($Q218,'Threshold Summary'!$Y:$Y,'Threshold Summary'!$P:$P,"")/4))*XLOOKUP($Q218,'Threshold Summary'!$Y:$Y,'Threshold Summary'!$L:$L,""))/100)+5)*XLOOKUP(XLOOKUP($Q218,'Threshold Summary'!$Y:$Y,'Threshold Summary'!$M:$M,""),'Nature Editor'!$A:$A,'Nature Editor'!$B:$B,1)),FLOOR((FLOOR(((2*XLOOKUP(XLOOKUP($Q218,'Threshold Summary'!$Y:$Y,'Threshold Summary'!$K:$K,""),'Pokemon Editor'!$A:$A,'Pokemon Editor'!$H:$H,0)+31+FLOOR(XLOOKUP($Q218,'Threshold Summary'!$Y:$Y,'Threshold Summary'!$R:$R,"")/4))*XLOOKUP($Q218,'Threshold Summary'!$Y:$Y,'Threshold Summary'!$L:$L,""))/100)+5)*XLOOKUP(XLOOKUP($Q218,'Threshold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Editor'!$E:$E,1))),stab,IF(OR(mtype=XLOOKUP(XLOOKUP($Q218,'Threshold Summary'!$Y:$Y,'Threshold Summary'!$K:$K,""),'Pokemon Editor'!$A:$A,'Pokemon Editor'!$C:$C,""),mtype=XLOOKUP(XLOOKUP($Q218,'Threshold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Chart'!$B$1:$S$1,0)))),base,IF(OR(cat="Status",pow=0),0,FLOOR(FLOOR(FLOOR((2*XLOOKUP($Q218,'Threshold Summary'!$Y:$Y,'Threshold Summary'!$L:$L,"")/5+2)*pow*atk/def)/50)+2)),modifier,stab*eff,FLOOR(base*modifier*0.85)),0)</f>
        <v/>
      </c>
      <c r="K218" s="3">
        <f>IFERROR(LET(mtype,XLOOKUP($D218,'Move Editor'!$B:$B,'Move Editor'!$C:$C,""),cat,XLOOKUP($D218,'Move Editor'!$B:$B,'Move Editor'!$D:$D,""),pow,XLOOKUP($D218,'Move Editor'!$B:$B,'Move Editor'!$E:$E,0),acc,XLOOKUP($D218,'Move Editor'!$B:$B,'Move Editor'!$F:$F,100),atk,IF(cat="Physical",FLOOR((FLOOR(((2*XLOOKUP(XLOOKUP($Q218,'Threshold Summary'!$Y:$Y,'Threshold Summary'!$K:$K,""),'Pokemon Editor'!$A:$A,'Pokemon Editor'!$F:$F,0)+31+FLOOR(XLOOKUP($Q218,'Threshold Summary'!$Y:$Y,'Threshold Summary'!$P:$P,"")/4))*XLOOKUP($Q218,'Threshold Summary'!$Y:$Y,'Threshold Summary'!$L:$L,""))/100)+5)*XLOOKUP(XLOOKUP($Q218,'Threshold Summary'!$Y:$Y,'Threshold Summary'!$M:$M,""),'Nature Editor'!$A:$A,'Nature Editor'!$B:$B,1)),FLOOR((FLOOR(((2*XLOOKUP(XLOOKUP($Q218,'Threshold Summary'!$Y:$Y,'Threshold Summary'!$K:$K,""),'Pokemon Editor'!$A:$A,'Pokemon Editor'!$H:$H,0)+31+FLOOR(XLOOKUP($Q218,'Threshold Summary'!$Y:$Y,'Threshold Summary'!$R:$R,"")/4))*XLOOKUP($Q218,'Threshold Summary'!$Y:$Y,'Threshold Summary'!$L:$L,""))/100)+5)*XLOOKUP(XLOOKUP($Q218,'Threshold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Editor'!$E:$E,1))),stab,IF(OR(mtype=XLOOKUP(XLOOKUP($Q218,'Threshold Summary'!$Y:$Y,'Threshold Summary'!$K:$K,""),'Pokemon Editor'!$A:$A,'Pokemon Editor'!$C:$C,""),mtype=XLOOKUP(XLOOKUP($Q218,'Threshold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Chart'!$B$1:$S$1,0)))),base,IF(OR(cat="Status",pow=0),0,FLOOR(FLOOR(FLOOR((2*XLOOKUP($Q218,'Threshold Summary'!$Y:$Y,'Threshold Summary'!$L:$L,"")/5+2)*pow*atk/def)/50)+2)),modifier,stab*eff,FLOOR(base*modifier)),0)</f>
        <v/>
      </c>
      <c r="L218" s="3">
        <f>IFERROR(LET(mtype,XLOOKUP($D218,'Move Editor'!$B:$B,'Move Editor'!$C:$C,""),cat,XLOOKUP($D218,'Move Editor'!$B:$B,'Move Editor'!$D:$D,""),pow,XLOOKUP($D218,'Move Editor'!$B:$B,'Move Editor'!$E:$E,0),acc,XLOOKUP($D218,'Move Editor'!$B:$B,'Move Editor'!$F:$F,100),atk,IF(cat="Physical",FLOOR((FLOOR(((2*XLOOKUP(XLOOKUP($Q218,'Threshold Summary'!$Y:$Y,'Threshold Summary'!$K:$K,""),'Pokemon Editor'!$A:$A,'Pokemon Editor'!$F:$F,0)+31+FLOOR(XLOOKUP($Q218,'Threshold Summary'!$Y:$Y,'Threshold Summary'!$P:$P,"")/4))*XLOOKUP($Q218,'Threshold Summary'!$Y:$Y,'Threshold Summary'!$L:$L,""))/100)+5)*XLOOKUP(XLOOKUP($Q218,'Threshold Summary'!$Y:$Y,'Threshold Summary'!$M:$M,""),'Nature Editor'!$A:$A,'Nature Editor'!$B:$B,1)),FLOOR((FLOOR(((2*XLOOKUP(XLOOKUP($Q218,'Threshold Summary'!$Y:$Y,'Threshold Summary'!$K:$K,""),'Pokemon Editor'!$A:$A,'Pokemon Editor'!$H:$H,0)+31+FLOOR(XLOOKUP($Q218,'Threshold Summary'!$Y:$Y,'Threshold Summary'!$R:$R,"")/4))*XLOOKUP($Q218,'Threshold Summary'!$Y:$Y,'Threshold Summary'!$L:$L,""))/100)+5)*XLOOKUP(XLOOKUP($Q218,'Threshold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Editor'!$E:$E,1))),stab,IF(OR(mtype=XLOOKUP(XLOOKUP($Q218,'Threshold Summary'!$Y:$Y,'Threshold Summary'!$K:$K,""),'Pokemon Editor'!$A:$A,'Pokemon Editor'!$C:$C,""),mtype=XLOOKUP(XLOOKUP($Q218,'Threshold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Chart'!$B$1:$S$1,0)))),base,IF(OR(cat="Status",pow=0),0,FLOOR(FLOOR(FLOOR((2*XLOOKUP($Q218,'Threshold Summary'!$Y:$Y,'Threshold Summary'!$L:$L,"")/5+2)*pow*atk/def)/50)+2)),modifier,stab*eff,AVERAGE(ARRAYFORMULA(FLOOR(base*modifier*SEQUENCE(16,1,85,1)/100)))),0)</f>
        <v/>
      </c>
      <c r="M218" s="3">
        <f>IFERROR(LET(mtype,XLOOKUP($D218,'Move Editor'!$B:$B,'Move Editor'!$C:$C,""),cat,XLOOKUP($D218,'Move Editor'!$B:$B,'Move Editor'!$D:$D,""),pow,XLOOKUP($D218,'Move Editor'!$B:$B,'Move Editor'!$E:$E,0),acc,XLOOKUP($D218,'Move Editor'!$B:$B,'Move Editor'!$F:$F,100),atk,IF(cat="Physical",FLOOR((FLOOR(((2*XLOOKUP(XLOOKUP($Q218,'Threshold Summary'!$Y:$Y,'Threshold Summary'!$K:$K,""),'Pokemon Editor'!$A:$A,'Pokemon Editor'!$F:$F,0)+31+FLOOR(XLOOKUP($Q218,'Threshold Summary'!$Y:$Y,'Threshold Summary'!$P:$P,"")/4))*XLOOKUP($Q218,'Threshold Summary'!$Y:$Y,'Threshold Summary'!$L:$L,""))/100)+5)*XLOOKUP(XLOOKUP($Q218,'Threshold Summary'!$Y:$Y,'Threshold Summary'!$M:$M,""),'Nature Editor'!$A:$A,'Nature Editor'!$B:$B,1)),FLOOR((FLOOR(((2*XLOOKUP(XLOOKUP($Q218,'Threshold Summary'!$Y:$Y,'Threshold Summary'!$K:$K,""),'Pokemon Editor'!$A:$A,'Pokemon Editor'!$H:$H,0)+31+FLOOR(XLOOKUP($Q218,'Threshold Summary'!$Y:$Y,'Threshold Summary'!$R:$R,"")/4))*XLOOKUP($Q218,'Threshold Summary'!$Y:$Y,'Threshold Summary'!$L:$L,""))/100)+5)*XLOOKUP(XLOOKUP($Q218,'Threshold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Editor'!$E:$E,1))),stab,IF(OR(mtype=XLOOKUP(XLOOKUP($Q218,'Threshold Summary'!$Y:$Y,'Threshold Summary'!$K:$K,""),'Pokemon Editor'!$A:$A,'Pokemon Editor'!$C:$C,""),mtype=XLOOKUP(XLOOKUP($Q218,'Threshold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Chart'!$B$1:$S$1,0)))),base,IF(OR(cat="Status",pow=0),0,FLOOR(FLOOR(FLOOR((2*XLOOKUP($Q218,'Threshold Summary'!$Y:$Y,'Threshold Summary'!$L:$L,"")/5+2)*pow*atk/def)/50)+2)),modifier,stab*eff,AVERAGE(ARRAYFORMULA(FLOOR(base*modifier*SEQUENCE(16,1,85,1)/100)))*MIN(1,acc/100)),0)</f>
        <v/>
      </c>
      <c r="N218" s="4">
        <f>IFERROR(LET(mtype,XLOOKUP($D218,'Move Editor'!$B:$B,'Move Editor'!$C:$C,""),cat,XLOOKUP($D218,'Move Editor'!$B:$B,'Move Editor'!$D:$D,""),pow,XLOOKUP($D218,'Move Editor'!$B:$B,'Move Editor'!$E:$E,0),acc,XLOOKUP($D218,'Move Editor'!$B:$B,'Move Editor'!$F:$F,100),atk,IF(cat="Physical",FLOOR((FLOOR(((2*XLOOKUP(XLOOKUP($Q218,'Threshold Summary'!$Y:$Y,'Threshold Summary'!$K:$K,""),'Pokemon Editor'!$A:$A,'Pokemon Editor'!$F:$F,0)+31+FLOOR(XLOOKUP($Q218,'Threshold Summary'!$Y:$Y,'Threshold Summary'!$P:$P,"")/4))*XLOOKUP($Q218,'Threshold Summary'!$Y:$Y,'Threshold Summary'!$L:$L,""))/100)+5)*XLOOKUP(XLOOKUP($Q218,'Threshold Summary'!$Y:$Y,'Threshold Summary'!$M:$M,""),'Nature Editor'!$A:$A,'Nature Editor'!$B:$B,1)),FLOOR((FLOOR(((2*XLOOKUP(XLOOKUP($Q218,'Threshold Summary'!$Y:$Y,'Threshold Summary'!$K:$K,""),'Pokemon Editor'!$A:$A,'Pokemon Editor'!$H:$H,0)+31+FLOOR(XLOOKUP($Q218,'Threshold Summary'!$Y:$Y,'Threshold Summary'!$R:$R,"")/4))*XLOOKUP($Q218,'Threshold Summary'!$Y:$Y,'Threshold Summary'!$L:$L,""))/100)+5)*XLOOKUP(XLOOKUP($Q218,'Threshold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Editor'!$E:$E,1))),stab,IF(OR(mtype=XLOOKUP(XLOOKUP($Q218,'Threshold Summary'!$Y:$Y,'Threshold Summary'!$K:$K,""),'Pokemon Editor'!$A:$A,'Pokemon Editor'!$C:$C,""),mtype=XLOOKUP(XLOOKUP($Q218,'Threshold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Chart'!$B$1:$S$1,0)))),base,IF(OR(cat="Status",pow=0),0,FLOOR(FLOOR(FLOOR((2*XLOOKUP($Q218,'Threshold Summary'!$Y:$Y,'Threshold Summary'!$L:$L,"")/5+2)*pow*atk/def)/50)+2)),modifier,stab*eff,AVERAGE(ARRAYFORMULA(FLOOR(base*modifier*SEQUENCE(16,1,85,1)/100)))/(FLOOR(((2*XLOOKUP('Boss Editor'!$C$4,'Pokemon Editor'!$A:$A,'Pokemon Editor'!$E:$E,0)+31+FLOOR('Boss Editor'!$G$4/4))*'Boss Editor'!$D$4)/100)+'Boss Editor'!$D$4+10)),0)</f>
        <v/>
      </c>
      <c r="O218" s="3">
        <f>IF(N218&gt;=1,"OHKO",IF(N218&gt;=0.5,"2HKO",IF(N218&gt;=0.333,"3HKO",IF(N218&gt;=0.25,"4HKO","5HKO+"))))</f>
        <v/>
      </c>
      <c r="P218" s="3" t="inlineStr">
        <is>
          <t>Live from editable databases</t>
        </is>
      </c>
      <c r="Q218" s="3" t="inlineStr">
        <is>
          <t>SPECIES_TAILLOW</t>
        </is>
      </c>
      <c r="R218" s="3" t="n">
        <v>25</v>
      </c>
    </row>
    <row r="219">
      <c r="A219" s="3">
        <f>XLOOKUP($Q219,'Threshold Summary'!$Y:$Y,'Threshold Summary'!$A:$A,"")</f>
        <v/>
      </c>
      <c r="B219" s="3">
        <f>XLOOKUP($Q219,'Threshold Summary'!$Y:$Y,'Threshold Summary'!$M:$M,"")</f>
        <v/>
      </c>
      <c r="C219" s="3">
        <f>XLOOKUP($Q219,'Threshold Summary'!$Y:$Y,'Threshold Summary'!$N:$N,"")</f>
        <v/>
      </c>
      <c r="D219" s="3">
        <f>IFERROR(INDEX(FILTER('Learnset Editor'!$D$2:$D,'Learnset Editor'!$A$2:$A=XLOOKUP($Q219,'Threshold Summary'!$Y:$Y,'Threshold Summary'!$K:$K,""),'Learnset Editor'!$C$2:$C&lt;=XLOOKUP($Q219,'Threshold Summary'!$Y:$Y,'Threshold Summary'!$L:$L,"")),$R219),"")</f>
        <v/>
      </c>
      <c r="E219" s="3">
        <f>XLOOKUP(D219,'Move Editor'!$B:$B,'Move Editor'!$C:$C,"")</f>
        <v/>
      </c>
      <c r="F219" s="3">
        <f>XLOOKUP(D219,'Move Editor'!$B:$B,'Move Editor'!$D:$D,"")</f>
        <v/>
      </c>
      <c r="G219" s="3">
        <f>XLOOKUP(D219,'Move Editor'!$B:$B,'Move Editor'!$E:$E,0)</f>
        <v/>
      </c>
      <c r="H219" s="3">
        <f>XLOOKUP(D219,'Move Editor'!$B:$B,'Move Editor'!$F:$F,0)</f>
        <v/>
      </c>
      <c r="I219" s="3">
        <f>(INDEX('Type Chart'!$B:$S,MATCH(E219,'Type Chart'!$A:$A,0),MATCH(XLOOKUP('Boss Editor'!$C$4,'Pokemon Editor'!$A:$A,'Pokemon Editor'!$C:$C,""),'Type Chart'!$B$1:$S$1,0))*IF(XLOOKUP('Boss Editor'!$C$4,'Pokemon Editor'!$A:$A,'Pokemon Editor'!$D:$D,"")="",1,INDEX('Type Chart'!$B:$S,MATCH(E219,'Type Chart'!$A:$A,0),MATCH(XLOOKUP('Boss Editor'!$C$4,'Pokemon Editor'!$A:$A,'Pokemon Editor'!$D:$D,""),'Type Chart'!$B$1:$S$1,0))))</f>
        <v/>
      </c>
      <c r="J219" s="3">
        <f>IFERROR(LET(mtype,XLOOKUP($D219,'Move Editor'!$B:$B,'Move Editor'!$C:$C,""),cat,XLOOKUP($D219,'Move Editor'!$B:$B,'Move Editor'!$D:$D,""),pow,XLOOKUP($D219,'Move Editor'!$B:$B,'Move Editor'!$E:$E,0),acc,XLOOKUP($D219,'Move Editor'!$B:$B,'Move Editor'!$F:$F,100),atk,IF(cat="Physical",FLOOR((FLOOR(((2*XLOOKUP(XLOOKUP($Q219,'Threshold Summary'!$Y:$Y,'Threshold Summary'!$K:$K,""),'Pokemon Editor'!$A:$A,'Pokemon Editor'!$F:$F,0)+31+FLOOR(XLOOKUP($Q219,'Threshold Summary'!$Y:$Y,'Threshold Summary'!$P:$P,"")/4))*XLOOKUP($Q219,'Threshold Summary'!$Y:$Y,'Threshold Summary'!$L:$L,""))/100)+5)*XLOOKUP(XLOOKUP($Q219,'Threshold Summary'!$Y:$Y,'Threshold Summary'!$M:$M,""),'Nature Editor'!$A:$A,'Nature Editor'!$B:$B,1)),FLOOR((FLOOR(((2*XLOOKUP(XLOOKUP($Q219,'Threshold Summary'!$Y:$Y,'Threshold Summary'!$K:$K,""),'Pokemon Editor'!$A:$A,'Pokemon Editor'!$H:$H,0)+31+FLOOR(XLOOKUP($Q219,'Threshold Summary'!$Y:$Y,'Threshold Summary'!$R:$R,"")/4))*XLOOKUP($Q219,'Threshold Summary'!$Y:$Y,'Threshold Summary'!$L:$L,""))/100)+5)*XLOOKUP(XLOOKUP($Q219,'Threshold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Editor'!$E:$E,1))),stab,IF(OR(mtype=XLOOKUP(XLOOKUP($Q219,'Threshold Summary'!$Y:$Y,'Threshold Summary'!$K:$K,""),'Pokemon Editor'!$A:$A,'Pokemon Editor'!$C:$C,""),mtype=XLOOKUP(XLOOKUP($Q219,'Threshold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Chart'!$B$1:$S$1,0)))),base,IF(OR(cat="Status",pow=0),0,FLOOR(FLOOR(FLOOR((2*XLOOKUP($Q219,'Threshold Summary'!$Y:$Y,'Threshold Summary'!$L:$L,"")/5+2)*pow*atk/def)/50)+2)),modifier,stab*eff,FLOOR(base*modifier*0.85)),0)</f>
        <v/>
      </c>
      <c r="K219" s="3">
        <f>IFERROR(LET(mtype,XLOOKUP($D219,'Move Editor'!$B:$B,'Move Editor'!$C:$C,""),cat,XLOOKUP($D219,'Move Editor'!$B:$B,'Move Editor'!$D:$D,""),pow,XLOOKUP($D219,'Move Editor'!$B:$B,'Move Editor'!$E:$E,0),acc,XLOOKUP($D219,'Move Editor'!$B:$B,'Move Editor'!$F:$F,100),atk,IF(cat="Physical",FLOOR((FLOOR(((2*XLOOKUP(XLOOKUP($Q219,'Threshold Summary'!$Y:$Y,'Threshold Summary'!$K:$K,""),'Pokemon Editor'!$A:$A,'Pokemon Editor'!$F:$F,0)+31+FLOOR(XLOOKUP($Q219,'Threshold Summary'!$Y:$Y,'Threshold Summary'!$P:$P,"")/4))*XLOOKUP($Q219,'Threshold Summary'!$Y:$Y,'Threshold Summary'!$L:$L,""))/100)+5)*XLOOKUP(XLOOKUP($Q219,'Threshold Summary'!$Y:$Y,'Threshold Summary'!$M:$M,""),'Nature Editor'!$A:$A,'Nature Editor'!$B:$B,1)),FLOOR((FLOOR(((2*XLOOKUP(XLOOKUP($Q219,'Threshold Summary'!$Y:$Y,'Threshold Summary'!$K:$K,""),'Pokemon Editor'!$A:$A,'Pokemon Editor'!$H:$H,0)+31+FLOOR(XLOOKUP($Q219,'Threshold Summary'!$Y:$Y,'Threshold Summary'!$R:$R,"")/4))*XLOOKUP($Q219,'Threshold Summary'!$Y:$Y,'Threshold Summary'!$L:$L,""))/100)+5)*XLOOKUP(XLOOKUP($Q219,'Threshold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Editor'!$E:$E,1))),stab,IF(OR(mtype=XLOOKUP(XLOOKUP($Q219,'Threshold Summary'!$Y:$Y,'Threshold Summary'!$K:$K,""),'Pokemon Editor'!$A:$A,'Pokemon Editor'!$C:$C,""),mtype=XLOOKUP(XLOOKUP($Q219,'Threshold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Chart'!$B$1:$S$1,0)))),base,IF(OR(cat="Status",pow=0),0,FLOOR(FLOOR(FLOOR((2*XLOOKUP($Q219,'Threshold Summary'!$Y:$Y,'Threshold Summary'!$L:$L,"")/5+2)*pow*atk/def)/50)+2)),modifier,stab*eff,FLOOR(base*modifier)),0)</f>
        <v/>
      </c>
      <c r="L219" s="3">
        <f>IFERROR(LET(mtype,XLOOKUP($D219,'Move Editor'!$B:$B,'Move Editor'!$C:$C,""),cat,XLOOKUP($D219,'Move Editor'!$B:$B,'Move Editor'!$D:$D,""),pow,XLOOKUP($D219,'Move Editor'!$B:$B,'Move Editor'!$E:$E,0),acc,XLOOKUP($D219,'Move Editor'!$B:$B,'Move Editor'!$F:$F,100),atk,IF(cat="Physical",FLOOR((FLOOR(((2*XLOOKUP(XLOOKUP($Q219,'Threshold Summary'!$Y:$Y,'Threshold Summary'!$K:$K,""),'Pokemon Editor'!$A:$A,'Pokemon Editor'!$F:$F,0)+31+FLOOR(XLOOKUP($Q219,'Threshold Summary'!$Y:$Y,'Threshold Summary'!$P:$P,"")/4))*XLOOKUP($Q219,'Threshold Summary'!$Y:$Y,'Threshold Summary'!$L:$L,""))/100)+5)*XLOOKUP(XLOOKUP($Q219,'Threshold Summary'!$Y:$Y,'Threshold Summary'!$M:$M,""),'Nature Editor'!$A:$A,'Nature Editor'!$B:$B,1)),FLOOR((FLOOR(((2*XLOOKUP(XLOOKUP($Q219,'Threshold Summary'!$Y:$Y,'Threshold Summary'!$K:$K,""),'Pokemon Editor'!$A:$A,'Pokemon Editor'!$H:$H,0)+31+FLOOR(XLOOKUP($Q219,'Threshold Summary'!$Y:$Y,'Threshold Summary'!$R:$R,"")/4))*XLOOKUP($Q219,'Threshold Summary'!$Y:$Y,'Threshold Summary'!$L:$L,""))/100)+5)*XLOOKUP(XLOOKUP($Q219,'Threshold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Editor'!$E:$E,1))),stab,IF(OR(mtype=XLOOKUP(XLOOKUP($Q219,'Threshold Summary'!$Y:$Y,'Threshold Summary'!$K:$K,""),'Pokemon Editor'!$A:$A,'Pokemon Editor'!$C:$C,""),mtype=XLOOKUP(XLOOKUP($Q219,'Threshold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Chart'!$B$1:$S$1,0)))),base,IF(OR(cat="Status",pow=0),0,FLOOR(FLOOR(FLOOR((2*XLOOKUP($Q219,'Threshold Summary'!$Y:$Y,'Threshold Summary'!$L:$L,"")/5+2)*pow*atk/def)/50)+2)),modifier,stab*eff,AVERAGE(ARRAYFORMULA(FLOOR(base*modifier*SEQUENCE(16,1,85,1)/100)))),0)</f>
        <v/>
      </c>
      <c r="M219" s="3">
        <f>IFERROR(LET(mtype,XLOOKUP($D219,'Move Editor'!$B:$B,'Move Editor'!$C:$C,""),cat,XLOOKUP($D219,'Move Editor'!$B:$B,'Move Editor'!$D:$D,""),pow,XLOOKUP($D219,'Move Editor'!$B:$B,'Move Editor'!$E:$E,0),acc,XLOOKUP($D219,'Move Editor'!$B:$B,'Move Editor'!$F:$F,100),atk,IF(cat="Physical",FLOOR((FLOOR(((2*XLOOKUP(XLOOKUP($Q219,'Threshold Summary'!$Y:$Y,'Threshold Summary'!$K:$K,""),'Pokemon Editor'!$A:$A,'Pokemon Editor'!$F:$F,0)+31+FLOOR(XLOOKUP($Q219,'Threshold Summary'!$Y:$Y,'Threshold Summary'!$P:$P,"")/4))*XLOOKUP($Q219,'Threshold Summary'!$Y:$Y,'Threshold Summary'!$L:$L,""))/100)+5)*XLOOKUP(XLOOKUP($Q219,'Threshold Summary'!$Y:$Y,'Threshold Summary'!$M:$M,""),'Nature Editor'!$A:$A,'Nature Editor'!$B:$B,1)),FLOOR((FLOOR(((2*XLOOKUP(XLOOKUP($Q219,'Threshold Summary'!$Y:$Y,'Threshold Summary'!$K:$K,""),'Pokemon Editor'!$A:$A,'Pokemon Editor'!$H:$H,0)+31+FLOOR(XLOOKUP($Q219,'Threshold Summary'!$Y:$Y,'Threshold Summary'!$R:$R,"")/4))*XLOOKUP($Q219,'Threshold Summary'!$Y:$Y,'Threshold Summary'!$L:$L,""))/100)+5)*XLOOKUP(XLOOKUP($Q219,'Threshold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Editor'!$E:$E,1))),stab,IF(OR(mtype=XLOOKUP(XLOOKUP($Q219,'Threshold Summary'!$Y:$Y,'Threshold Summary'!$K:$K,""),'Pokemon Editor'!$A:$A,'Pokemon Editor'!$C:$C,""),mtype=XLOOKUP(XLOOKUP($Q219,'Threshold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Chart'!$B$1:$S$1,0)))),base,IF(OR(cat="Status",pow=0),0,FLOOR(FLOOR(FLOOR((2*XLOOKUP($Q219,'Threshold Summary'!$Y:$Y,'Threshold Summary'!$L:$L,"")/5+2)*pow*atk/def)/50)+2)),modifier,stab*eff,AVERAGE(ARRAYFORMULA(FLOOR(base*modifier*SEQUENCE(16,1,85,1)/100)))*MIN(1,acc/100)),0)</f>
        <v/>
      </c>
      <c r="N219" s="4">
        <f>IFERROR(LET(mtype,XLOOKUP($D219,'Move Editor'!$B:$B,'Move Editor'!$C:$C,""),cat,XLOOKUP($D219,'Move Editor'!$B:$B,'Move Editor'!$D:$D,""),pow,XLOOKUP($D219,'Move Editor'!$B:$B,'Move Editor'!$E:$E,0),acc,XLOOKUP($D219,'Move Editor'!$B:$B,'Move Editor'!$F:$F,100),atk,IF(cat="Physical",FLOOR((FLOOR(((2*XLOOKUP(XLOOKUP($Q219,'Threshold Summary'!$Y:$Y,'Threshold Summary'!$K:$K,""),'Pokemon Editor'!$A:$A,'Pokemon Editor'!$F:$F,0)+31+FLOOR(XLOOKUP($Q219,'Threshold Summary'!$Y:$Y,'Threshold Summary'!$P:$P,"")/4))*XLOOKUP($Q219,'Threshold Summary'!$Y:$Y,'Threshold Summary'!$L:$L,""))/100)+5)*XLOOKUP(XLOOKUP($Q219,'Threshold Summary'!$Y:$Y,'Threshold Summary'!$M:$M,""),'Nature Editor'!$A:$A,'Nature Editor'!$B:$B,1)),FLOOR((FLOOR(((2*XLOOKUP(XLOOKUP($Q219,'Threshold Summary'!$Y:$Y,'Threshold Summary'!$K:$K,""),'Pokemon Editor'!$A:$A,'Pokemon Editor'!$H:$H,0)+31+FLOOR(XLOOKUP($Q219,'Threshold Summary'!$Y:$Y,'Threshold Summary'!$R:$R,"")/4))*XLOOKUP($Q219,'Threshold Summary'!$Y:$Y,'Threshold Summary'!$L:$L,""))/100)+5)*XLOOKUP(XLOOKUP($Q219,'Threshold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Editor'!$E:$E,1))),stab,IF(OR(mtype=XLOOKUP(XLOOKUP($Q219,'Threshold Summary'!$Y:$Y,'Threshold Summary'!$K:$K,""),'Pokemon Editor'!$A:$A,'Pokemon Editor'!$C:$C,""),mtype=XLOOKUP(XLOOKUP($Q219,'Threshold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Chart'!$B$1:$S$1,0)))),base,IF(OR(cat="Status",pow=0),0,FLOOR(FLOOR(FLOOR((2*XLOOKUP($Q219,'Threshold Summary'!$Y:$Y,'Threshold Summary'!$L:$L,"")/5+2)*pow*atk/def)/50)+2)),modifier,stab*eff,AVERAGE(ARRAYFORMULA(FLOOR(base*modifier*SEQUENCE(16,1,85,1)/100)))/(FLOOR(((2*XLOOKUP('Boss Editor'!$C$4,'Pokemon Editor'!$A:$A,'Pokemon Editor'!$E:$E,0)+31+FLOOR('Boss Editor'!$G$4/4))*'Boss Editor'!$D$4)/100)+'Boss Editor'!$D$4+10)),0)</f>
        <v/>
      </c>
      <c r="O219" s="3">
        <f>IF(N219&gt;=1,"OHKO",IF(N219&gt;=0.5,"2HKO",IF(N219&gt;=0.333,"3HKO",IF(N219&gt;=0.25,"4HKO","5HKO+"))))</f>
        <v/>
      </c>
      <c r="P219" s="3" t="inlineStr">
        <is>
          <t>Live from editable databases</t>
        </is>
      </c>
      <c r="Q219" s="3" t="inlineStr">
        <is>
          <t>SPECIES_TAILLOW</t>
        </is>
      </c>
      <c r="R219" s="3" t="n">
        <v>26</v>
      </c>
    </row>
    <row r="220">
      <c r="A220" s="3">
        <f>XLOOKUP($Q220,'Threshold Summary'!$Y:$Y,'Threshold Summary'!$A:$A,"")</f>
        <v/>
      </c>
      <c r="B220" s="3">
        <f>XLOOKUP($Q220,'Threshold Summary'!$Y:$Y,'Threshold Summary'!$M:$M,"")</f>
        <v/>
      </c>
      <c r="C220" s="3">
        <f>XLOOKUP($Q220,'Threshold Summary'!$Y:$Y,'Threshold Summary'!$N:$N,"")</f>
        <v/>
      </c>
      <c r="D220" s="3">
        <f>IFERROR(INDEX(FILTER('Learnset Editor'!$D$2:$D,'Learnset Editor'!$A$2:$A=XLOOKUP($Q220,'Threshold Summary'!$Y:$Y,'Threshold Summary'!$K:$K,""),'Learnset Editor'!$C$2:$C&lt;=XLOOKUP($Q220,'Threshold Summary'!$Y:$Y,'Threshold Summary'!$L:$L,"")),$R220),"")</f>
        <v/>
      </c>
      <c r="E220" s="3">
        <f>XLOOKUP(D220,'Move Editor'!$B:$B,'Move Editor'!$C:$C,"")</f>
        <v/>
      </c>
      <c r="F220" s="3">
        <f>XLOOKUP(D220,'Move Editor'!$B:$B,'Move Editor'!$D:$D,"")</f>
        <v/>
      </c>
      <c r="G220" s="3">
        <f>XLOOKUP(D220,'Move Editor'!$B:$B,'Move Editor'!$E:$E,0)</f>
        <v/>
      </c>
      <c r="H220" s="3">
        <f>XLOOKUP(D220,'Move Editor'!$B:$B,'Move Editor'!$F:$F,0)</f>
        <v/>
      </c>
      <c r="I220" s="3">
        <f>(INDEX('Type Chart'!$B:$S,MATCH(E220,'Type Chart'!$A:$A,0),MATCH(XLOOKUP('Boss Editor'!$C$4,'Pokemon Editor'!$A:$A,'Pokemon Editor'!$C:$C,""),'Type Chart'!$B$1:$S$1,0))*IF(XLOOKUP('Boss Editor'!$C$4,'Pokemon Editor'!$A:$A,'Pokemon Editor'!$D:$D,"")="",1,INDEX('Type Chart'!$B:$S,MATCH(E220,'Type Chart'!$A:$A,0),MATCH(XLOOKUP('Boss Editor'!$C$4,'Pokemon Editor'!$A:$A,'Pokemon Editor'!$D:$D,""),'Type Chart'!$B$1:$S$1,0))))</f>
        <v/>
      </c>
      <c r="J220" s="3">
        <f>IFERROR(LET(mtype,XLOOKUP($D220,'Move Editor'!$B:$B,'Move Editor'!$C:$C,""),cat,XLOOKUP($D220,'Move Editor'!$B:$B,'Move Editor'!$D:$D,""),pow,XLOOKUP($D220,'Move Editor'!$B:$B,'Move Editor'!$E:$E,0),acc,XLOOKUP($D220,'Move Editor'!$B:$B,'Move Editor'!$F:$F,100),atk,IF(cat="Physical",FLOOR((FLOOR(((2*XLOOKUP(XLOOKUP($Q220,'Threshold Summary'!$Y:$Y,'Threshold Summary'!$K:$K,""),'Pokemon Editor'!$A:$A,'Pokemon Editor'!$F:$F,0)+31+FLOOR(XLOOKUP($Q220,'Threshold Summary'!$Y:$Y,'Threshold Summary'!$P:$P,"")/4))*XLOOKUP($Q220,'Threshold Summary'!$Y:$Y,'Threshold Summary'!$L:$L,""))/100)+5)*XLOOKUP(XLOOKUP($Q220,'Threshold Summary'!$Y:$Y,'Threshold Summary'!$M:$M,""),'Nature Editor'!$A:$A,'Nature Editor'!$B:$B,1)),FLOOR((FLOOR(((2*XLOOKUP(XLOOKUP($Q220,'Threshold Summary'!$Y:$Y,'Threshold Summary'!$K:$K,""),'Pokemon Editor'!$A:$A,'Pokemon Editor'!$H:$H,0)+31+FLOOR(XLOOKUP($Q220,'Threshold Summary'!$Y:$Y,'Threshold Summary'!$R:$R,"")/4))*XLOOKUP($Q220,'Threshold Summary'!$Y:$Y,'Threshold Summary'!$L:$L,""))/100)+5)*XLOOKUP(XLOOKUP($Q220,'Threshold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Editor'!$E:$E,1))),stab,IF(OR(mtype=XLOOKUP(XLOOKUP($Q220,'Threshold Summary'!$Y:$Y,'Threshold Summary'!$K:$K,""),'Pokemon Editor'!$A:$A,'Pokemon Editor'!$C:$C,""),mtype=XLOOKUP(XLOOKUP($Q220,'Threshold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Chart'!$B$1:$S$1,0)))),base,IF(OR(cat="Status",pow=0),0,FLOOR(FLOOR(FLOOR((2*XLOOKUP($Q220,'Threshold Summary'!$Y:$Y,'Threshold Summary'!$L:$L,"")/5+2)*pow*atk/def)/50)+2)),modifier,stab*eff,FLOOR(base*modifier*0.85)),0)</f>
        <v/>
      </c>
      <c r="K220" s="3">
        <f>IFERROR(LET(mtype,XLOOKUP($D220,'Move Editor'!$B:$B,'Move Editor'!$C:$C,""),cat,XLOOKUP($D220,'Move Editor'!$B:$B,'Move Editor'!$D:$D,""),pow,XLOOKUP($D220,'Move Editor'!$B:$B,'Move Editor'!$E:$E,0),acc,XLOOKUP($D220,'Move Editor'!$B:$B,'Move Editor'!$F:$F,100),atk,IF(cat="Physical",FLOOR((FLOOR(((2*XLOOKUP(XLOOKUP($Q220,'Threshold Summary'!$Y:$Y,'Threshold Summary'!$K:$K,""),'Pokemon Editor'!$A:$A,'Pokemon Editor'!$F:$F,0)+31+FLOOR(XLOOKUP($Q220,'Threshold Summary'!$Y:$Y,'Threshold Summary'!$P:$P,"")/4))*XLOOKUP($Q220,'Threshold Summary'!$Y:$Y,'Threshold Summary'!$L:$L,""))/100)+5)*XLOOKUP(XLOOKUP($Q220,'Threshold Summary'!$Y:$Y,'Threshold Summary'!$M:$M,""),'Nature Editor'!$A:$A,'Nature Editor'!$B:$B,1)),FLOOR((FLOOR(((2*XLOOKUP(XLOOKUP($Q220,'Threshold Summary'!$Y:$Y,'Threshold Summary'!$K:$K,""),'Pokemon Editor'!$A:$A,'Pokemon Editor'!$H:$H,0)+31+FLOOR(XLOOKUP($Q220,'Threshold Summary'!$Y:$Y,'Threshold Summary'!$R:$R,"")/4))*XLOOKUP($Q220,'Threshold Summary'!$Y:$Y,'Threshold Summary'!$L:$L,""))/100)+5)*XLOOKUP(XLOOKUP($Q220,'Threshold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Editor'!$E:$E,1))),stab,IF(OR(mtype=XLOOKUP(XLOOKUP($Q220,'Threshold Summary'!$Y:$Y,'Threshold Summary'!$K:$K,""),'Pokemon Editor'!$A:$A,'Pokemon Editor'!$C:$C,""),mtype=XLOOKUP(XLOOKUP($Q220,'Threshold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Chart'!$B$1:$S$1,0)))),base,IF(OR(cat="Status",pow=0),0,FLOOR(FLOOR(FLOOR((2*XLOOKUP($Q220,'Threshold Summary'!$Y:$Y,'Threshold Summary'!$L:$L,"")/5+2)*pow*atk/def)/50)+2)),modifier,stab*eff,FLOOR(base*modifier)),0)</f>
        <v/>
      </c>
      <c r="L220" s="3">
        <f>IFERROR(LET(mtype,XLOOKUP($D220,'Move Editor'!$B:$B,'Move Editor'!$C:$C,""),cat,XLOOKUP($D220,'Move Editor'!$B:$B,'Move Editor'!$D:$D,""),pow,XLOOKUP($D220,'Move Editor'!$B:$B,'Move Editor'!$E:$E,0),acc,XLOOKUP($D220,'Move Editor'!$B:$B,'Move Editor'!$F:$F,100),atk,IF(cat="Physical",FLOOR((FLOOR(((2*XLOOKUP(XLOOKUP($Q220,'Threshold Summary'!$Y:$Y,'Threshold Summary'!$K:$K,""),'Pokemon Editor'!$A:$A,'Pokemon Editor'!$F:$F,0)+31+FLOOR(XLOOKUP($Q220,'Threshold Summary'!$Y:$Y,'Threshold Summary'!$P:$P,"")/4))*XLOOKUP($Q220,'Threshold Summary'!$Y:$Y,'Threshold Summary'!$L:$L,""))/100)+5)*XLOOKUP(XLOOKUP($Q220,'Threshold Summary'!$Y:$Y,'Threshold Summary'!$M:$M,""),'Nature Editor'!$A:$A,'Nature Editor'!$B:$B,1)),FLOOR((FLOOR(((2*XLOOKUP(XLOOKUP($Q220,'Threshold Summary'!$Y:$Y,'Threshold Summary'!$K:$K,""),'Pokemon Editor'!$A:$A,'Pokemon Editor'!$H:$H,0)+31+FLOOR(XLOOKUP($Q220,'Threshold Summary'!$Y:$Y,'Threshold Summary'!$R:$R,"")/4))*XLOOKUP($Q220,'Threshold Summary'!$Y:$Y,'Threshold Summary'!$L:$L,""))/100)+5)*XLOOKUP(XLOOKUP($Q220,'Threshold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Editor'!$E:$E,1))),stab,IF(OR(mtype=XLOOKUP(XLOOKUP($Q220,'Threshold Summary'!$Y:$Y,'Threshold Summary'!$K:$K,""),'Pokemon Editor'!$A:$A,'Pokemon Editor'!$C:$C,""),mtype=XLOOKUP(XLOOKUP($Q220,'Threshold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Chart'!$B$1:$S$1,0)))),base,IF(OR(cat="Status",pow=0),0,FLOOR(FLOOR(FLOOR((2*XLOOKUP($Q220,'Threshold Summary'!$Y:$Y,'Threshold Summary'!$L:$L,"")/5+2)*pow*atk/def)/50)+2)),modifier,stab*eff,AVERAGE(ARRAYFORMULA(FLOOR(base*modifier*SEQUENCE(16,1,85,1)/100)))),0)</f>
        <v/>
      </c>
      <c r="M220" s="3">
        <f>IFERROR(LET(mtype,XLOOKUP($D220,'Move Editor'!$B:$B,'Move Editor'!$C:$C,""),cat,XLOOKUP($D220,'Move Editor'!$B:$B,'Move Editor'!$D:$D,""),pow,XLOOKUP($D220,'Move Editor'!$B:$B,'Move Editor'!$E:$E,0),acc,XLOOKUP($D220,'Move Editor'!$B:$B,'Move Editor'!$F:$F,100),atk,IF(cat="Physical",FLOOR((FLOOR(((2*XLOOKUP(XLOOKUP($Q220,'Threshold Summary'!$Y:$Y,'Threshold Summary'!$K:$K,""),'Pokemon Editor'!$A:$A,'Pokemon Editor'!$F:$F,0)+31+FLOOR(XLOOKUP($Q220,'Threshold Summary'!$Y:$Y,'Threshold Summary'!$P:$P,"")/4))*XLOOKUP($Q220,'Threshold Summary'!$Y:$Y,'Threshold Summary'!$L:$L,""))/100)+5)*XLOOKUP(XLOOKUP($Q220,'Threshold Summary'!$Y:$Y,'Threshold Summary'!$M:$M,""),'Nature Editor'!$A:$A,'Nature Editor'!$B:$B,1)),FLOOR((FLOOR(((2*XLOOKUP(XLOOKUP($Q220,'Threshold Summary'!$Y:$Y,'Threshold Summary'!$K:$K,""),'Pokemon Editor'!$A:$A,'Pokemon Editor'!$H:$H,0)+31+FLOOR(XLOOKUP($Q220,'Threshold Summary'!$Y:$Y,'Threshold Summary'!$R:$R,"")/4))*XLOOKUP($Q220,'Threshold Summary'!$Y:$Y,'Threshold Summary'!$L:$L,""))/100)+5)*XLOOKUP(XLOOKUP($Q220,'Threshold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Editor'!$E:$E,1))),stab,IF(OR(mtype=XLOOKUP(XLOOKUP($Q220,'Threshold Summary'!$Y:$Y,'Threshold Summary'!$K:$K,""),'Pokemon Editor'!$A:$A,'Pokemon Editor'!$C:$C,""),mtype=XLOOKUP(XLOOKUP($Q220,'Threshold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Chart'!$B$1:$S$1,0)))),base,IF(OR(cat="Status",pow=0),0,FLOOR(FLOOR(FLOOR((2*XLOOKUP($Q220,'Threshold Summary'!$Y:$Y,'Threshold Summary'!$L:$L,"")/5+2)*pow*atk/def)/50)+2)),modifier,stab*eff,AVERAGE(ARRAYFORMULA(FLOOR(base*modifier*SEQUENCE(16,1,85,1)/100)))*MIN(1,acc/100)),0)</f>
        <v/>
      </c>
      <c r="N220" s="4">
        <f>IFERROR(LET(mtype,XLOOKUP($D220,'Move Editor'!$B:$B,'Move Editor'!$C:$C,""),cat,XLOOKUP($D220,'Move Editor'!$B:$B,'Move Editor'!$D:$D,""),pow,XLOOKUP($D220,'Move Editor'!$B:$B,'Move Editor'!$E:$E,0),acc,XLOOKUP($D220,'Move Editor'!$B:$B,'Move Editor'!$F:$F,100),atk,IF(cat="Physical",FLOOR((FLOOR(((2*XLOOKUP(XLOOKUP($Q220,'Threshold Summary'!$Y:$Y,'Threshold Summary'!$K:$K,""),'Pokemon Editor'!$A:$A,'Pokemon Editor'!$F:$F,0)+31+FLOOR(XLOOKUP($Q220,'Threshold Summary'!$Y:$Y,'Threshold Summary'!$P:$P,"")/4))*XLOOKUP($Q220,'Threshold Summary'!$Y:$Y,'Threshold Summary'!$L:$L,""))/100)+5)*XLOOKUP(XLOOKUP($Q220,'Threshold Summary'!$Y:$Y,'Threshold Summary'!$M:$M,""),'Nature Editor'!$A:$A,'Nature Editor'!$B:$B,1)),FLOOR((FLOOR(((2*XLOOKUP(XLOOKUP($Q220,'Threshold Summary'!$Y:$Y,'Threshold Summary'!$K:$K,""),'Pokemon Editor'!$A:$A,'Pokemon Editor'!$H:$H,0)+31+FLOOR(XLOOKUP($Q220,'Threshold Summary'!$Y:$Y,'Threshold Summary'!$R:$R,"")/4))*XLOOKUP($Q220,'Threshold Summary'!$Y:$Y,'Threshold Summary'!$L:$L,""))/100)+5)*XLOOKUP(XLOOKUP($Q220,'Threshold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Editor'!$E:$E,1))),stab,IF(OR(mtype=XLOOKUP(XLOOKUP($Q220,'Threshold Summary'!$Y:$Y,'Threshold Summary'!$K:$K,""),'Pokemon Editor'!$A:$A,'Pokemon Editor'!$C:$C,""),mtype=XLOOKUP(XLOOKUP($Q220,'Threshold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Chart'!$B$1:$S$1,0)))),base,IF(OR(cat="Status",pow=0),0,FLOOR(FLOOR(FLOOR((2*XLOOKUP($Q220,'Threshold Summary'!$Y:$Y,'Threshold Summary'!$L:$L,"")/5+2)*pow*atk/def)/50)+2)),modifier,stab*eff,AVERAGE(ARRAYFORMULA(FLOOR(base*modifier*SEQUENCE(16,1,85,1)/100)))/(FLOOR(((2*XLOOKUP('Boss Editor'!$C$4,'Pokemon Editor'!$A:$A,'Pokemon Editor'!$E:$E,0)+31+FLOOR('Boss Editor'!$G$4/4))*'Boss Editor'!$D$4)/100)+'Boss Editor'!$D$4+10)),0)</f>
        <v/>
      </c>
      <c r="O220" s="3">
        <f>IF(N220&gt;=1,"OHKO",IF(N220&gt;=0.5,"2HKO",IF(N220&gt;=0.333,"3HKO",IF(N220&gt;=0.25,"4HKO","5HKO+"))))</f>
        <v/>
      </c>
      <c r="P220" s="3" t="inlineStr">
        <is>
          <t>Live from editable databases</t>
        </is>
      </c>
      <c r="Q220" s="3" t="inlineStr">
        <is>
          <t>SPECIES_TAILLOW</t>
        </is>
      </c>
      <c r="R220" s="3" t="n">
        <v>27</v>
      </c>
    </row>
    <row r="221">
      <c r="A221" s="3">
        <f>XLOOKUP($Q221,'Threshold Summary'!$Y:$Y,'Threshold Summary'!$A:$A,"")</f>
        <v/>
      </c>
      <c r="B221" s="3">
        <f>XLOOKUP($Q221,'Threshold Summary'!$Y:$Y,'Threshold Summary'!$M:$M,"")</f>
        <v/>
      </c>
      <c r="C221" s="3">
        <f>XLOOKUP($Q221,'Threshold Summary'!$Y:$Y,'Threshold Summary'!$N:$N,"")</f>
        <v/>
      </c>
      <c r="D221" s="3">
        <f>IFERROR(INDEX(FILTER('Learnset Editor'!$D$2:$D,'Learnset Editor'!$A$2:$A=XLOOKUP($Q221,'Threshold Summary'!$Y:$Y,'Threshold Summary'!$K:$K,""),'Learnset Editor'!$C$2:$C&lt;=XLOOKUP($Q221,'Threshold Summary'!$Y:$Y,'Threshold Summary'!$L:$L,"")),$R221),"")</f>
        <v/>
      </c>
      <c r="E221" s="3">
        <f>XLOOKUP(D221,'Move Editor'!$B:$B,'Move Editor'!$C:$C,"")</f>
        <v/>
      </c>
      <c r="F221" s="3">
        <f>XLOOKUP(D221,'Move Editor'!$B:$B,'Move Editor'!$D:$D,"")</f>
        <v/>
      </c>
      <c r="G221" s="3">
        <f>XLOOKUP(D221,'Move Editor'!$B:$B,'Move Editor'!$E:$E,0)</f>
        <v/>
      </c>
      <c r="H221" s="3">
        <f>XLOOKUP(D221,'Move Editor'!$B:$B,'Move Editor'!$F:$F,0)</f>
        <v/>
      </c>
      <c r="I221" s="3">
        <f>(INDEX('Type Chart'!$B:$S,MATCH(E221,'Type Chart'!$A:$A,0),MATCH(XLOOKUP('Boss Editor'!$C$4,'Pokemon Editor'!$A:$A,'Pokemon Editor'!$C:$C,""),'Type Chart'!$B$1:$S$1,0))*IF(XLOOKUP('Boss Editor'!$C$4,'Pokemon Editor'!$A:$A,'Pokemon Editor'!$D:$D,"")="",1,INDEX('Type Chart'!$B:$S,MATCH(E221,'Type Chart'!$A:$A,0),MATCH(XLOOKUP('Boss Editor'!$C$4,'Pokemon Editor'!$A:$A,'Pokemon Editor'!$D:$D,""),'Type Chart'!$B$1:$S$1,0))))</f>
        <v/>
      </c>
      <c r="J221" s="3">
        <f>IFERROR(LET(mtype,XLOOKUP($D221,'Move Editor'!$B:$B,'Move Editor'!$C:$C,""),cat,XLOOKUP($D221,'Move Editor'!$B:$B,'Move Editor'!$D:$D,""),pow,XLOOKUP($D221,'Move Editor'!$B:$B,'Move Editor'!$E:$E,0),acc,XLOOKUP($D221,'Move Editor'!$B:$B,'Move Editor'!$F:$F,100),atk,IF(cat="Physical",FLOOR((FLOOR(((2*XLOOKUP(XLOOKUP($Q221,'Threshold Summary'!$Y:$Y,'Threshold Summary'!$K:$K,""),'Pokemon Editor'!$A:$A,'Pokemon Editor'!$F:$F,0)+31+FLOOR(XLOOKUP($Q221,'Threshold Summary'!$Y:$Y,'Threshold Summary'!$P:$P,"")/4))*XLOOKUP($Q221,'Threshold Summary'!$Y:$Y,'Threshold Summary'!$L:$L,""))/100)+5)*XLOOKUP(XLOOKUP($Q221,'Threshold Summary'!$Y:$Y,'Threshold Summary'!$M:$M,""),'Nature Editor'!$A:$A,'Nature Editor'!$B:$B,1)),FLOOR((FLOOR(((2*XLOOKUP(XLOOKUP($Q221,'Threshold Summary'!$Y:$Y,'Threshold Summary'!$K:$K,""),'Pokemon Editor'!$A:$A,'Pokemon Editor'!$H:$H,0)+31+FLOOR(XLOOKUP($Q221,'Threshold Summary'!$Y:$Y,'Threshold Summary'!$R:$R,"")/4))*XLOOKUP($Q221,'Threshold Summary'!$Y:$Y,'Threshold Summary'!$L:$L,""))/100)+5)*XLOOKUP(XLOOKUP($Q221,'Threshold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Editor'!$E:$E,1))),stab,IF(OR(mtype=XLOOKUP(XLOOKUP($Q221,'Threshold Summary'!$Y:$Y,'Threshold Summary'!$K:$K,""),'Pokemon Editor'!$A:$A,'Pokemon Editor'!$C:$C,""),mtype=XLOOKUP(XLOOKUP($Q221,'Threshold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Chart'!$B$1:$S$1,0)))),base,IF(OR(cat="Status",pow=0),0,FLOOR(FLOOR(FLOOR((2*XLOOKUP($Q221,'Threshold Summary'!$Y:$Y,'Threshold Summary'!$L:$L,"")/5+2)*pow*atk/def)/50)+2)),modifier,stab*eff,FLOOR(base*modifier*0.85)),0)</f>
        <v/>
      </c>
      <c r="K221" s="3">
        <f>IFERROR(LET(mtype,XLOOKUP($D221,'Move Editor'!$B:$B,'Move Editor'!$C:$C,""),cat,XLOOKUP($D221,'Move Editor'!$B:$B,'Move Editor'!$D:$D,""),pow,XLOOKUP($D221,'Move Editor'!$B:$B,'Move Editor'!$E:$E,0),acc,XLOOKUP($D221,'Move Editor'!$B:$B,'Move Editor'!$F:$F,100),atk,IF(cat="Physical",FLOOR((FLOOR(((2*XLOOKUP(XLOOKUP($Q221,'Threshold Summary'!$Y:$Y,'Threshold Summary'!$K:$K,""),'Pokemon Editor'!$A:$A,'Pokemon Editor'!$F:$F,0)+31+FLOOR(XLOOKUP($Q221,'Threshold Summary'!$Y:$Y,'Threshold Summary'!$P:$P,"")/4))*XLOOKUP($Q221,'Threshold Summary'!$Y:$Y,'Threshold Summary'!$L:$L,""))/100)+5)*XLOOKUP(XLOOKUP($Q221,'Threshold Summary'!$Y:$Y,'Threshold Summary'!$M:$M,""),'Nature Editor'!$A:$A,'Nature Editor'!$B:$B,1)),FLOOR((FLOOR(((2*XLOOKUP(XLOOKUP($Q221,'Threshold Summary'!$Y:$Y,'Threshold Summary'!$K:$K,""),'Pokemon Editor'!$A:$A,'Pokemon Editor'!$H:$H,0)+31+FLOOR(XLOOKUP($Q221,'Threshold Summary'!$Y:$Y,'Threshold Summary'!$R:$R,"")/4))*XLOOKUP($Q221,'Threshold Summary'!$Y:$Y,'Threshold Summary'!$L:$L,""))/100)+5)*XLOOKUP(XLOOKUP($Q221,'Threshold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Editor'!$E:$E,1))),stab,IF(OR(mtype=XLOOKUP(XLOOKUP($Q221,'Threshold Summary'!$Y:$Y,'Threshold Summary'!$K:$K,""),'Pokemon Editor'!$A:$A,'Pokemon Editor'!$C:$C,""),mtype=XLOOKUP(XLOOKUP($Q221,'Threshold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Chart'!$B$1:$S$1,0)))),base,IF(OR(cat="Status",pow=0),0,FLOOR(FLOOR(FLOOR((2*XLOOKUP($Q221,'Threshold Summary'!$Y:$Y,'Threshold Summary'!$L:$L,"")/5+2)*pow*atk/def)/50)+2)),modifier,stab*eff,FLOOR(base*modifier)),0)</f>
        <v/>
      </c>
      <c r="L221" s="3">
        <f>IFERROR(LET(mtype,XLOOKUP($D221,'Move Editor'!$B:$B,'Move Editor'!$C:$C,""),cat,XLOOKUP($D221,'Move Editor'!$B:$B,'Move Editor'!$D:$D,""),pow,XLOOKUP($D221,'Move Editor'!$B:$B,'Move Editor'!$E:$E,0),acc,XLOOKUP($D221,'Move Editor'!$B:$B,'Move Editor'!$F:$F,100),atk,IF(cat="Physical",FLOOR((FLOOR(((2*XLOOKUP(XLOOKUP($Q221,'Threshold Summary'!$Y:$Y,'Threshold Summary'!$K:$K,""),'Pokemon Editor'!$A:$A,'Pokemon Editor'!$F:$F,0)+31+FLOOR(XLOOKUP($Q221,'Threshold Summary'!$Y:$Y,'Threshold Summary'!$P:$P,"")/4))*XLOOKUP($Q221,'Threshold Summary'!$Y:$Y,'Threshold Summary'!$L:$L,""))/100)+5)*XLOOKUP(XLOOKUP($Q221,'Threshold Summary'!$Y:$Y,'Threshold Summary'!$M:$M,""),'Nature Editor'!$A:$A,'Nature Editor'!$B:$B,1)),FLOOR((FLOOR(((2*XLOOKUP(XLOOKUP($Q221,'Threshold Summary'!$Y:$Y,'Threshold Summary'!$K:$K,""),'Pokemon Editor'!$A:$A,'Pokemon Editor'!$H:$H,0)+31+FLOOR(XLOOKUP($Q221,'Threshold Summary'!$Y:$Y,'Threshold Summary'!$R:$R,"")/4))*XLOOKUP($Q221,'Threshold Summary'!$Y:$Y,'Threshold Summary'!$L:$L,""))/100)+5)*XLOOKUP(XLOOKUP($Q221,'Threshold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Editor'!$E:$E,1))),stab,IF(OR(mtype=XLOOKUP(XLOOKUP($Q221,'Threshold Summary'!$Y:$Y,'Threshold Summary'!$K:$K,""),'Pokemon Editor'!$A:$A,'Pokemon Editor'!$C:$C,""),mtype=XLOOKUP(XLOOKUP($Q221,'Threshold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Chart'!$B$1:$S$1,0)))),base,IF(OR(cat="Status",pow=0),0,FLOOR(FLOOR(FLOOR((2*XLOOKUP($Q221,'Threshold Summary'!$Y:$Y,'Threshold Summary'!$L:$L,"")/5+2)*pow*atk/def)/50)+2)),modifier,stab*eff,AVERAGE(ARRAYFORMULA(FLOOR(base*modifier*SEQUENCE(16,1,85,1)/100)))),0)</f>
        <v/>
      </c>
      <c r="M221" s="3">
        <f>IFERROR(LET(mtype,XLOOKUP($D221,'Move Editor'!$B:$B,'Move Editor'!$C:$C,""),cat,XLOOKUP($D221,'Move Editor'!$B:$B,'Move Editor'!$D:$D,""),pow,XLOOKUP($D221,'Move Editor'!$B:$B,'Move Editor'!$E:$E,0),acc,XLOOKUP($D221,'Move Editor'!$B:$B,'Move Editor'!$F:$F,100),atk,IF(cat="Physical",FLOOR((FLOOR(((2*XLOOKUP(XLOOKUP($Q221,'Threshold Summary'!$Y:$Y,'Threshold Summary'!$K:$K,""),'Pokemon Editor'!$A:$A,'Pokemon Editor'!$F:$F,0)+31+FLOOR(XLOOKUP($Q221,'Threshold Summary'!$Y:$Y,'Threshold Summary'!$P:$P,"")/4))*XLOOKUP($Q221,'Threshold Summary'!$Y:$Y,'Threshold Summary'!$L:$L,""))/100)+5)*XLOOKUP(XLOOKUP($Q221,'Threshold Summary'!$Y:$Y,'Threshold Summary'!$M:$M,""),'Nature Editor'!$A:$A,'Nature Editor'!$B:$B,1)),FLOOR((FLOOR(((2*XLOOKUP(XLOOKUP($Q221,'Threshold Summary'!$Y:$Y,'Threshold Summary'!$K:$K,""),'Pokemon Editor'!$A:$A,'Pokemon Editor'!$H:$H,0)+31+FLOOR(XLOOKUP($Q221,'Threshold Summary'!$Y:$Y,'Threshold Summary'!$R:$R,"")/4))*XLOOKUP($Q221,'Threshold Summary'!$Y:$Y,'Threshold Summary'!$L:$L,""))/100)+5)*XLOOKUP(XLOOKUP($Q221,'Threshold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Editor'!$E:$E,1))),stab,IF(OR(mtype=XLOOKUP(XLOOKUP($Q221,'Threshold Summary'!$Y:$Y,'Threshold Summary'!$K:$K,""),'Pokemon Editor'!$A:$A,'Pokemon Editor'!$C:$C,""),mtype=XLOOKUP(XLOOKUP($Q221,'Threshold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Chart'!$B$1:$S$1,0)))),base,IF(OR(cat="Status",pow=0),0,FLOOR(FLOOR(FLOOR((2*XLOOKUP($Q221,'Threshold Summary'!$Y:$Y,'Threshold Summary'!$L:$L,"")/5+2)*pow*atk/def)/50)+2)),modifier,stab*eff,AVERAGE(ARRAYFORMULA(FLOOR(base*modifier*SEQUENCE(16,1,85,1)/100)))*MIN(1,acc/100)),0)</f>
        <v/>
      </c>
      <c r="N221" s="4">
        <f>IFERROR(LET(mtype,XLOOKUP($D221,'Move Editor'!$B:$B,'Move Editor'!$C:$C,""),cat,XLOOKUP($D221,'Move Editor'!$B:$B,'Move Editor'!$D:$D,""),pow,XLOOKUP($D221,'Move Editor'!$B:$B,'Move Editor'!$E:$E,0),acc,XLOOKUP($D221,'Move Editor'!$B:$B,'Move Editor'!$F:$F,100),atk,IF(cat="Physical",FLOOR((FLOOR(((2*XLOOKUP(XLOOKUP($Q221,'Threshold Summary'!$Y:$Y,'Threshold Summary'!$K:$K,""),'Pokemon Editor'!$A:$A,'Pokemon Editor'!$F:$F,0)+31+FLOOR(XLOOKUP($Q221,'Threshold Summary'!$Y:$Y,'Threshold Summary'!$P:$P,"")/4))*XLOOKUP($Q221,'Threshold Summary'!$Y:$Y,'Threshold Summary'!$L:$L,""))/100)+5)*XLOOKUP(XLOOKUP($Q221,'Threshold Summary'!$Y:$Y,'Threshold Summary'!$M:$M,""),'Nature Editor'!$A:$A,'Nature Editor'!$B:$B,1)),FLOOR((FLOOR(((2*XLOOKUP(XLOOKUP($Q221,'Threshold Summary'!$Y:$Y,'Threshold Summary'!$K:$K,""),'Pokemon Editor'!$A:$A,'Pokemon Editor'!$H:$H,0)+31+FLOOR(XLOOKUP($Q221,'Threshold Summary'!$Y:$Y,'Threshold Summary'!$R:$R,"")/4))*XLOOKUP($Q221,'Threshold Summary'!$Y:$Y,'Threshold Summary'!$L:$L,""))/100)+5)*XLOOKUP(XLOOKUP($Q221,'Threshold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Editor'!$E:$E,1))),stab,IF(OR(mtype=XLOOKUP(XLOOKUP($Q221,'Threshold Summary'!$Y:$Y,'Threshold Summary'!$K:$K,""),'Pokemon Editor'!$A:$A,'Pokemon Editor'!$C:$C,""),mtype=XLOOKUP(XLOOKUP($Q221,'Threshold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Chart'!$B$1:$S$1,0)))),base,IF(OR(cat="Status",pow=0),0,FLOOR(FLOOR(FLOOR((2*XLOOKUP($Q221,'Threshold Summary'!$Y:$Y,'Threshold Summary'!$L:$L,"")/5+2)*pow*atk/def)/50)+2)),modifier,stab*eff,AVERAGE(ARRAYFORMULA(FLOOR(base*modifier*SEQUENCE(16,1,85,1)/100)))/(FLOOR(((2*XLOOKUP('Boss Editor'!$C$4,'Pokemon Editor'!$A:$A,'Pokemon Editor'!$E:$E,0)+31+FLOOR('Boss Editor'!$G$4/4))*'Boss Editor'!$D$4)/100)+'Boss Editor'!$D$4+10)),0)</f>
        <v/>
      </c>
      <c r="O221" s="3">
        <f>IF(N221&gt;=1,"OHKO",IF(N221&gt;=0.5,"2HKO",IF(N221&gt;=0.333,"3HKO",IF(N221&gt;=0.25,"4HKO","5HKO+"))))</f>
        <v/>
      </c>
      <c r="P221" s="3" t="inlineStr">
        <is>
          <t>Live from editable databases</t>
        </is>
      </c>
      <c r="Q221" s="3" t="inlineStr">
        <is>
          <t>SPECIES_TAILLOW</t>
        </is>
      </c>
      <c r="R221" s="3" t="n">
        <v>28</v>
      </c>
    </row>
    <row r="222">
      <c r="A222" s="3">
        <f>XLOOKUP($Q222,'Threshold Summary'!$Y:$Y,'Threshold Summary'!$A:$A,"")</f>
        <v/>
      </c>
      <c r="B222" s="3">
        <f>XLOOKUP($Q222,'Threshold Summary'!$Y:$Y,'Threshold Summary'!$M:$M,"")</f>
        <v/>
      </c>
      <c r="C222" s="3">
        <f>XLOOKUP($Q222,'Threshold Summary'!$Y:$Y,'Threshold Summary'!$N:$N,"")</f>
        <v/>
      </c>
      <c r="D222" s="3">
        <f>IFERROR(INDEX(FILTER('Learnset Editor'!$D$2:$D,'Learnset Editor'!$A$2:$A=XLOOKUP($Q222,'Threshold Summary'!$Y:$Y,'Threshold Summary'!$K:$K,""),'Learnset Editor'!$C$2:$C&lt;=XLOOKUP($Q222,'Threshold Summary'!$Y:$Y,'Threshold Summary'!$L:$L,"")),$R222),"")</f>
        <v/>
      </c>
      <c r="E222" s="3">
        <f>XLOOKUP(D222,'Move Editor'!$B:$B,'Move Editor'!$C:$C,"")</f>
        <v/>
      </c>
      <c r="F222" s="3">
        <f>XLOOKUP(D222,'Move Editor'!$B:$B,'Move Editor'!$D:$D,"")</f>
        <v/>
      </c>
      <c r="G222" s="3">
        <f>XLOOKUP(D222,'Move Editor'!$B:$B,'Move Editor'!$E:$E,0)</f>
        <v/>
      </c>
      <c r="H222" s="3">
        <f>XLOOKUP(D222,'Move Editor'!$B:$B,'Move Editor'!$F:$F,0)</f>
        <v/>
      </c>
      <c r="I222" s="3">
        <f>(INDEX('Type Chart'!$B:$S,MATCH(E222,'Type Chart'!$A:$A,0),MATCH(XLOOKUP('Boss Editor'!$C$4,'Pokemon Editor'!$A:$A,'Pokemon Editor'!$C:$C,""),'Type Chart'!$B$1:$S$1,0))*IF(XLOOKUP('Boss Editor'!$C$4,'Pokemon Editor'!$A:$A,'Pokemon Editor'!$D:$D,"")="",1,INDEX('Type Chart'!$B:$S,MATCH(E222,'Type Chart'!$A:$A,0),MATCH(XLOOKUP('Boss Editor'!$C$4,'Pokemon Editor'!$A:$A,'Pokemon Editor'!$D:$D,""),'Type Chart'!$B$1:$S$1,0))))</f>
        <v/>
      </c>
      <c r="J222" s="3">
        <f>IFERROR(LET(mtype,XLOOKUP($D222,'Move Editor'!$B:$B,'Move Editor'!$C:$C,""),cat,XLOOKUP($D222,'Move Editor'!$B:$B,'Move Editor'!$D:$D,""),pow,XLOOKUP($D222,'Move Editor'!$B:$B,'Move Editor'!$E:$E,0),acc,XLOOKUP($D222,'Move Editor'!$B:$B,'Move Editor'!$F:$F,100),atk,IF(cat="Physical",FLOOR((FLOOR(((2*XLOOKUP(XLOOKUP($Q222,'Threshold Summary'!$Y:$Y,'Threshold Summary'!$K:$K,""),'Pokemon Editor'!$A:$A,'Pokemon Editor'!$F:$F,0)+31+FLOOR(XLOOKUP($Q222,'Threshold Summary'!$Y:$Y,'Threshold Summary'!$P:$P,"")/4))*XLOOKUP($Q222,'Threshold Summary'!$Y:$Y,'Threshold Summary'!$L:$L,""))/100)+5)*XLOOKUP(XLOOKUP($Q222,'Threshold Summary'!$Y:$Y,'Threshold Summary'!$M:$M,""),'Nature Editor'!$A:$A,'Nature Editor'!$B:$B,1)),FLOOR((FLOOR(((2*XLOOKUP(XLOOKUP($Q222,'Threshold Summary'!$Y:$Y,'Threshold Summary'!$K:$K,""),'Pokemon Editor'!$A:$A,'Pokemon Editor'!$H:$H,0)+31+FLOOR(XLOOKUP($Q222,'Threshold Summary'!$Y:$Y,'Threshold Summary'!$R:$R,"")/4))*XLOOKUP($Q222,'Threshold Summary'!$Y:$Y,'Threshold Summary'!$L:$L,""))/100)+5)*XLOOKUP(XLOOKUP($Q222,'Threshold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Editor'!$E:$E,1))),stab,IF(OR(mtype=XLOOKUP(XLOOKUP($Q222,'Threshold Summary'!$Y:$Y,'Threshold Summary'!$K:$K,""),'Pokemon Editor'!$A:$A,'Pokemon Editor'!$C:$C,""),mtype=XLOOKUP(XLOOKUP($Q222,'Threshold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Chart'!$B$1:$S$1,0)))),base,IF(OR(cat="Status",pow=0),0,FLOOR(FLOOR(FLOOR((2*XLOOKUP($Q222,'Threshold Summary'!$Y:$Y,'Threshold Summary'!$L:$L,"")/5+2)*pow*atk/def)/50)+2)),modifier,stab*eff,FLOOR(base*modifier*0.85)),0)</f>
        <v/>
      </c>
      <c r="K222" s="3">
        <f>IFERROR(LET(mtype,XLOOKUP($D222,'Move Editor'!$B:$B,'Move Editor'!$C:$C,""),cat,XLOOKUP($D222,'Move Editor'!$B:$B,'Move Editor'!$D:$D,""),pow,XLOOKUP($D222,'Move Editor'!$B:$B,'Move Editor'!$E:$E,0),acc,XLOOKUP($D222,'Move Editor'!$B:$B,'Move Editor'!$F:$F,100),atk,IF(cat="Physical",FLOOR((FLOOR(((2*XLOOKUP(XLOOKUP($Q222,'Threshold Summary'!$Y:$Y,'Threshold Summary'!$K:$K,""),'Pokemon Editor'!$A:$A,'Pokemon Editor'!$F:$F,0)+31+FLOOR(XLOOKUP($Q222,'Threshold Summary'!$Y:$Y,'Threshold Summary'!$P:$P,"")/4))*XLOOKUP($Q222,'Threshold Summary'!$Y:$Y,'Threshold Summary'!$L:$L,""))/100)+5)*XLOOKUP(XLOOKUP($Q222,'Threshold Summary'!$Y:$Y,'Threshold Summary'!$M:$M,""),'Nature Editor'!$A:$A,'Nature Editor'!$B:$B,1)),FLOOR((FLOOR(((2*XLOOKUP(XLOOKUP($Q222,'Threshold Summary'!$Y:$Y,'Threshold Summary'!$K:$K,""),'Pokemon Editor'!$A:$A,'Pokemon Editor'!$H:$H,0)+31+FLOOR(XLOOKUP($Q222,'Threshold Summary'!$Y:$Y,'Threshold Summary'!$R:$R,"")/4))*XLOOKUP($Q222,'Threshold Summary'!$Y:$Y,'Threshold Summary'!$L:$L,""))/100)+5)*XLOOKUP(XLOOKUP($Q222,'Threshold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Editor'!$E:$E,1))),stab,IF(OR(mtype=XLOOKUP(XLOOKUP($Q222,'Threshold Summary'!$Y:$Y,'Threshold Summary'!$K:$K,""),'Pokemon Editor'!$A:$A,'Pokemon Editor'!$C:$C,""),mtype=XLOOKUP(XLOOKUP($Q222,'Threshold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Chart'!$B$1:$S$1,0)))),base,IF(OR(cat="Status",pow=0),0,FLOOR(FLOOR(FLOOR((2*XLOOKUP($Q222,'Threshold Summary'!$Y:$Y,'Threshold Summary'!$L:$L,"")/5+2)*pow*atk/def)/50)+2)),modifier,stab*eff,FLOOR(base*modifier)),0)</f>
        <v/>
      </c>
      <c r="L222" s="3">
        <f>IFERROR(LET(mtype,XLOOKUP($D222,'Move Editor'!$B:$B,'Move Editor'!$C:$C,""),cat,XLOOKUP($D222,'Move Editor'!$B:$B,'Move Editor'!$D:$D,""),pow,XLOOKUP($D222,'Move Editor'!$B:$B,'Move Editor'!$E:$E,0),acc,XLOOKUP($D222,'Move Editor'!$B:$B,'Move Editor'!$F:$F,100),atk,IF(cat="Physical",FLOOR((FLOOR(((2*XLOOKUP(XLOOKUP($Q222,'Threshold Summary'!$Y:$Y,'Threshold Summary'!$K:$K,""),'Pokemon Editor'!$A:$A,'Pokemon Editor'!$F:$F,0)+31+FLOOR(XLOOKUP($Q222,'Threshold Summary'!$Y:$Y,'Threshold Summary'!$P:$P,"")/4))*XLOOKUP($Q222,'Threshold Summary'!$Y:$Y,'Threshold Summary'!$L:$L,""))/100)+5)*XLOOKUP(XLOOKUP($Q222,'Threshold Summary'!$Y:$Y,'Threshold Summary'!$M:$M,""),'Nature Editor'!$A:$A,'Nature Editor'!$B:$B,1)),FLOOR((FLOOR(((2*XLOOKUP(XLOOKUP($Q222,'Threshold Summary'!$Y:$Y,'Threshold Summary'!$K:$K,""),'Pokemon Editor'!$A:$A,'Pokemon Editor'!$H:$H,0)+31+FLOOR(XLOOKUP($Q222,'Threshold Summary'!$Y:$Y,'Threshold Summary'!$R:$R,"")/4))*XLOOKUP($Q222,'Threshold Summary'!$Y:$Y,'Threshold Summary'!$L:$L,""))/100)+5)*XLOOKUP(XLOOKUP($Q222,'Threshold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Editor'!$E:$E,1))),stab,IF(OR(mtype=XLOOKUP(XLOOKUP($Q222,'Threshold Summary'!$Y:$Y,'Threshold Summary'!$K:$K,""),'Pokemon Editor'!$A:$A,'Pokemon Editor'!$C:$C,""),mtype=XLOOKUP(XLOOKUP($Q222,'Threshold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Chart'!$B$1:$S$1,0)))),base,IF(OR(cat="Status",pow=0),0,FLOOR(FLOOR(FLOOR((2*XLOOKUP($Q222,'Threshold Summary'!$Y:$Y,'Threshold Summary'!$L:$L,"")/5+2)*pow*atk/def)/50)+2)),modifier,stab*eff,AVERAGE(ARRAYFORMULA(FLOOR(base*modifier*SEQUENCE(16,1,85,1)/100)))),0)</f>
        <v/>
      </c>
      <c r="M222" s="3">
        <f>IFERROR(LET(mtype,XLOOKUP($D222,'Move Editor'!$B:$B,'Move Editor'!$C:$C,""),cat,XLOOKUP($D222,'Move Editor'!$B:$B,'Move Editor'!$D:$D,""),pow,XLOOKUP($D222,'Move Editor'!$B:$B,'Move Editor'!$E:$E,0),acc,XLOOKUP($D222,'Move Editor'!$B:$B,'Move Editor'!$F:$F,100),atk,IF(cat="Physical",FLOOR((FLOOR(((2*XLOOKUP(XLOOKUP($Q222,'Threshold Summary'!$Y:$Y,'Threshold Summary'!$K:$K,""),'Pokemon Editor'!$A:$A,'Pokemon Editor'!$F:$F,0)+31+FLOOR(XLOOKUP($Q222,'Threshold Summary'!$Y:$Y,'Threshold Summary'!$P:$P,"")/4))*XLOOKUP($Q222,'Threshold Summary'!$Y:$Y,'Threshold Summary'!$L:$L,""))/100)+5)*XLOOKUP(XLOOKUP($Q222,'Threshold Summary'!$Y:$Y,'Threshold Summary'!$M:$M,""),'Nature Editor'!$A:$A,'Nature Editor'!$B:$B,1)),FLOOR((FLOOR(((2*XLOOKUP(XLOOKUP($Q222,'Threshold Summary'!$Y:$Y,'Threshold Summary'!$K:$K,""),'Pokemon Editor'!$A:$A,'Pokemon Editor'!$H:$H,0)+31+FLOOR(XLOOKUP($Q222,'Threshold Summary'!$Y:$Y,'Threshold Summary'!$R:$R,"")/4))*XLOOKUP($Q222,'Threshold Summary'!$Y:$Y,'Threshold Summary'!$L:$L,""))/100)+5)*XLOOKUP(XLOOKUP($Q222,'Threshold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Editor'!$E:$E,1))),stab,IF(OR(mtype=XLOOKUP(XLOOKUP($Q222,'Threshold Summary'!$Y:$Y,'Threshold Summary'!$K:$K,""),'Pokemon Editor'!$A:$A,'Pokemon Editor'!$C:$C,""),mtype=XLOOKUP(XLOOKUP($Q222,'Threshold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Chart'!$B$1:$S$1,0)))),base,IF(OR(cat="Status",pow=0),0,FLOOR(FLOOR(FLOOR((2*XLOOKUP($Q222,'Threshold Summary'!$Y:$Y,'Threshold Summary'!$L:$L,"")/5+2)*pow*atk/def)/50)+2)),modifier,stab*eff,AVERAGE(ARRAYFORMULA(FLOOR(base*modifier*SEQUENCE(16,1,85,1)/100)))*MIN(1,acc/100)),0)</f>
        <v/>
      </c>
      <c r="N222" s="4">
        <f>IFERROR(LET(mtype,XLOOKUP($D222,'Move Editor'!$B:$B,'Move Editor'!$C:$C,""),cat,XLOOKUP($D222,'Move Editor'!$B:$B,'Move Editor'!$D:$D,""),pow,XLOOKUP($D222,'Move Editor'!$B:$B,'Move Editor'!$E:$E,0),acc,XLOOKUP($D222,'Move Editor'!$B:$B,'Move Editor'!$F:$F,100),atk,IF(cat="Physical",FLOOR((FLOOR(((2*XLOOKUP(XLOOKUP($Q222,'Threshold Summary'!$Y:$Y,'Threshold Summary'!$K:$K,""),'Pokemon Editor'!$A:$A,'Pokemon Editor'!$F:$F,0)+31+FLOOR(XLOOKUP($Q222,'Threshold Summary'!$Y:$Y,'Threshold Summary'!$P:$P,"")/4))*XLOOKUP($Q222,'Threshold Summary'!$Y:$Y,'Threshold Summary'!$L:$L,""))/100)+5)*XLOOKUP(XLOOKUP($Q222,'Threshold Summary'!$Y:$Y,'Threshold Summary'!$M:$M,""),'Nature Editor'!$A:$A,'Nature Editor'!$B:$B,1)),FLOOR((FLOOR(((2*XLOOKUP(XLOOKUP($Q222,'Threshold Summary'!$Y:$Y,'Threshold Summary'!$K:$K,""),'Pokemon Editor'!$A:$A,'Pokemon Editor'!$H:$H,0)+31+FLOOR(XLOOKUP($Q222,'Threshold Summary'!$Y:$Y,'Threshold Summary'!$R:$R,"")/4))*XLOOKUP($Q222,'Threshold Summary'!$Y:$Y,'Threshold Summary'!$L:$L,""))/100)+5)*XLOOKUP(XLOOKUP($Q222,'Threshold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Editor'!$E:$E,1))),stab,IF(OR(mtype=XLOOKUP(XLOOKUP($Q222,'Threshold Summary'!$Y:$Y,'Threshold Summary'!$K:$K,""),'Pokemon Editor'!$A:$A,'Pokemon Editor'!$C:$C,""),mtype=XLOOKUP(XLOOKUP($Q222,'Threshold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Chart'!$B$1:$S$1,0)))),base,IF(OR(cat="Status",pow=0),0,FLOOR(FLOOR(FLOOR((2*XLOOKUP($Q222,'Threshold Summary'!$Y:$Y,'Threshold Summary'!$L:$L,"")/5+2)*pow*atk/def)/50)+2)),modifier,stab*eff,AVERAGE(ARRAYFORMULA(FLOOR(base*modifier*SEQUENCE(16,1,85,1)/100)))/(FLOOR(((2*XLOOKUP('Boss Editor'!$C$4,'Pokemon Editor'!$A:$A,'Pokemon Editor'!$E:$E,0)+31+FLOOR('Boss Editor'!$G$4/4))*'Boss Editor'!$D$4)/100)+'Boss Editor'!$D$4+10)),0)</f>
        <v/>
      </c>
      <c r="O222" s="3">
        <f>IF(N222&gt;=1,"OHKO",IF(N222&gt;=0.5,"2HKO",IF(N222&gt;=0.333,"3HKO",IF(N222&gt;=0.25,"4HKO","5HKO+"))))</f>
        <v/>
      </c>
      <c r="P222" s="3" t="inlineStr">
        <is>
          <t>Live from editable databases</t>
        </is>
      </c>
      <c r="Q222" s="3" t="inlineStr">
        <is>
          <t>SPECIES_TAILLOW</t>
        </is>
      </c>
      <c r="R222" s="3" t="n">
        <v>29</v>
      </c>
    </row>
    <row r="223">
      <c r="A223" s="3">
        <f>XLOOKUP($Q223,'Threshold Summary'!$Y:$Y,'Threshold Summary'!$A:$A,"")</f>
        <v/>
      </c>
      <c r="B223" s="3">
        <f>XLOOKUP($Q223,'Threshold Summary'!$Y:$Y,'Threshold Summary'!$M:$M,"")</f>
        <v/>
      </c>
      <c r="C223" s="3">
        <f>XLOOKUP($Q223,'Threshold Summary'!$Y:$Y,'Threshold Summary'!$N:$N,"")</f>
        <v/>
      </c>
      <c r="D223" s="3">
        <f>IFERROR(INDEX(FILTER('Learnset Editor'!$D$2:$D,'Learnset Editor'!$A$2:$A=XLOOKUP($Q223,'Threshold Summary'!$Y:$Y,'Threshold Summary'!$K:$K,""),'Learnset Editor'!$C$2:$C&lt;=XLOOKUP($Q223,'Threshold Summary'!$Y:$Y,'Threshold Summary'!$L:$L,"")),$R223),"")</f>
        <v/>
      </c>
      <c r="E223" s="3">
        <f>XLOOKUP(D223,'Move Editor'!$B:$B,'Move Editor'!$C:$C,"")</f>
        <v/>
      </c>
      <c r="F223" s="3">
        <f>XLOOKUP(D223,'Move Editor'!$B:$B,'Move Editor'!$D:$D,"")</f>
        <v/>
      </c>
      <c r="G223" s="3">
        <f>XLOOKUP(D223,'Move Editor'!$B:$B,'Move Editor'!$E:$E,0)</f>
        <v/>
      </c>
      <c r="H223" s="3">
        <f>XLOOKUP(D223,'Move Editor'!$B:$B,'Move Editor'!$F:$F,0)</f>
        <v/>
      </c>
      <c r="I223" s="3">
        <f>(INDEX('Type Chart'!$B:$S,MATCH(E223,'Type Chart'!$A:$A,0),MATCH(XLOOKUP('Boss Editor'!$C$4,'Pokemon Editor'!$A:$A,'Pokemon Editor'!$C:$C,""),'Type Chart'!$B$1:$S$1,0))*IF(XLOOKUP('Boss Editor'!$C$4,'Pokemon Editor'!$A:$A,'Pokemon Editor'!$D:$D,"")="",1,INDEX('Type Chart'!$B:$S,MATCH(E223,'Type Chart'!$A:$A,0),MATCH(XLOOKUP('Boss Editor'!$C$4,'Pokemon Editor'!$A:$A,'Pokemon Editor'!$D:$D,""),'Type Chart'!$B$1:$S$1,0))))</f>
        <v/>
      </c>
      <c r="J223" s="3">
        <f>IFERROR(LET(mtype,XLOOKUP($D223,'Move Editor'!$B:$B,'Move Editor'!$C:$C,""),cat,XLOOKUP($D223,'Move Editor'!$B:$B,'Move Editor'!$D:$D,""),pow,XLOOKUP($D223,'Move Editor'!$B:$B,'Move Editor'!$E:$E,0),acc,XLOOKUP($D223,'Move Editor'!$B:$B,'Move Editor'!$F:$F,100),atk,IF(cat="Physical",FLOOR((FLOOR(((2*XLOOKUP(XLOOKUP($Q223,'Threshold Summary'!$Y:$Y,'Threshold Summary'!$K:$K,""),'Pokemon Editor'!$A:$A,'Pokemon Editor'!$F:$F,0)+31+FLOOR(XLOOKUP($Q223,'Threshold Summary'!$Y:$Y,'Threshold Summary'!$P:$P,"")/4))*XLOOKUP($Q223,'Threshold Summary'!$Y:$Y,'Threshold Summary'!$L:$L,""))/100)+5)*XLOOKUP(XLOOKUP($Q223,'Threshold Summary'!$Y:$Y,'Threshold Summary'!$M:$M,""),'Nature Editor'!$A:$A,'Nature Editor'!$B:$B,1)),FLOOR((FLOOR(((2*XLOOKUP(XLOOKUP($Q223,'Threshold Summary'!$Y:$Y,'Threshold Summary'!$K:$K,""),'Pokemon Editor'!$A:$A,'Pokemon Editor'!$H:$H,0)+31+FLOOR(XLOOKUP($Q223,'Threshold Summary'!$Y:$Y,'Threshold Summary'!$R:$R,"")/4))*XLOOKUP($Q223,'Threshold Summary'!$Y:$Y,'Threshold Summary'!$L:$L,""))/100)+5)*XLOOKUP(XLOOKUP($Q223,'Threshold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Editor'!$E:$E,1))),stab,IF(OR(mtype=XLOOKUP(XLOOKUP($Q223,'Threshold Summary'!$Y:$Y,'Threshold Summary'!$K:$K,""),'Pokemon Editor'!$A:$A,'Pokemon Editor'!$C:$C,""),mtype=XLOOKUP(XLOOKUP($Q223,'Threshold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Chart'!$B$1:$S$1,0)))),base,IF(OR(cat="Status",pow=0),0,FLOOR(FLOOR(FLOOR((2*XLOOKUP($Q223,'Threshold Summary'!$Y:$Y,'Threshold Summary'!$L:$L,"")/5+2)*pow*atk/def)/50)+2)),modifier,stab*eff,FLOOR(base*modifier*0.85)),0)</f>
        <v/>
      </c>
      <c r="K223" s="3">
        <f>IFERROR(LET(mtype,XLOOKUP($D223,'Move Editor'!$B:$B,'Move Editor'!$C:$C,""),cat,XLOOKUP($D223,'Move Editor'!$B:$B,'Move Editor'!$D:$D,""),pow,XLOOKUP($D223,'Move Editor'!$B:$B,'Move Editor'!$E:$E,0),acc,XLOOKUP($D223,'Move Editor'!$B:$B,'Move Editor'!$F:$F,100),atk,IF(cat="Physical",FLOOR((FLOOR(((2*XLOOKUP(XLOOKUP($Q223,'Threshold Summary'!$Y:$Y,'Threshold Summary'!$K:$K,""),'Pokemon Editor'!$A:$A,'Pokemon Editor'!$F:$F,0)+31+FLOOR(XLOOKUP($Q223,'Threshold Summary'!$Y:$Y,'Threshold Summary'!$P:$P,"")/4))*XLOOKUP($Q223,'Threshold Summary'!$Y:$Y,'Threshold Summary'!$L:$L,""))/100)+5)*XLOOKUP(XLOOKUP($Q223,'Threshold Summary'!$Y:$Y,'Threshold Summary'!$M:$M,""),'Nature Editor'!$A:$A,'Nature Editor'!$B:$B,1)),FLOOR((FLOOR(((2*XLOOKUP(XLOOKUP($Q223,'Threshold Summary'!$Y:$Y,'Threshold Summary'!$K:$K,""),'Pokemon Editor'!$A:$A,'Pokemon Editor'!$H:$H,0)+31+FLOOR(XLOOKUP($Q223,'Threshold Summary'!$Y:$Y,'Threshold Summary'!$R:$R,"")/4))*XLOOKUP($Q223,'Threshold Summary'!$Y:$Y,'Threshold Summary'!$L:$L,""))/100)+5)*XLOOKUP(XLOOKUP($Q223,'Threshold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Editor'!$E:$E,1))),stab,IF(OR(mtype=XLOOKUP(XLOOKUP($Q223,'Threshold Summary'!$Y:$Y,'Threshold Summary'!$K:$K,""),'Pokemon Editor'!$A:$A,'Pokemon Editor'!$C:$C,""),mtype=XLOOKUP(XLOOKUP($Q223,'Threshold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Chart'!$B$1:$S$1,0)))),base,IF(OR(cat="Status",pow=0),0,FLOOR(FLOOR(FLOOR((2*XLOOKUP($Q223,'Threshold Summary'!$Y:$Y,'Threshold Summary'!$L:$L,"")/5+2)*pow*atk/def)/50)+2)),modifier,stab*eff,FLOOR(base*modifier)),0)</f>
        <v/>
      </c>
      <c r="L223" s="3">
        <f>IFERROR(LET(mtype,XLOOKUP($D223,'Move Editor'!$B:$B,'Move Editor'!$C:$C,""),cat,XLOOKUP($D223,'Move Editor'!$B:$B,'Move Editor'!$D:$D,""),pow,XLOOKUP($D223,'Move Editor'!$B:$B,'Move Editor'!$E:$E,0),acc,XLOOKUP($D223,'Move Editor'!$B:$B,'Move Editor'!$F:$F,100),atk,IF(cat="Physical",FLOOR((FLOOR(((2*XLOOKUP(XLOOKUP($Q223,'Threshold Summary'!$Y:$Y,'Threshold Summary'!$K:$K,""),'Pokemon Editor'!$A:$A,'Pokemon Editor'!$F:$F,0)+31+FLOOR(XLOOKUP($Q223,'Threshold Summary'!$Y:$Y,'Threshold Summary'!$P:$P,"")/4))*XLOOKUP($Q223,'Threshold Summary'!$Y:$Y,'Threshold Summary'!$L:$L,""))/100)+5)*XLOOKUP(XLOOKUP($Q223,'Threshold Summary'!$Y:$Y,'Threshold Summary'!$M:$M,""),'Nature Editor'!$A:$A,'Nature Editor'!$B:$B,1)),FLOOR((FLOOR(((2*XLOOKUP(XLOOKUP($Q223,'Threshold Summary'!$Y:$Y,'Threshold Summary'!$K:$K,""),'Pokemon Editor'!$A:$A,'Pokemon Editor'!$H:$H,0)+31+FLOOR(XLOOKUP($Q223,'Threshold Summary'!$Y:$Y,'Threshold Summary'!$R:$R,"")/4))*XLOOKUP($Q223,'Threshold Summary'!$Y:$Y,'Threshold Summary'!$L:$L,""))/100)+5)*XLOOKUP(XLOOKUP($Q223,'Threshold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Editor'!$E:$E,1))),stab,IF(OR(mtype=XLOOKUP(XLOOKUP($Q223,'Threshold Summary'!$Y:$Y,'Threshold Summary'!$K:$K,""),'Pokemon Editor'!$A:$A,'Pokemon Editor'!$C:$C,""),mtype=XLOOKUP(XLOOKUP($Q223,'Threshold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Chart'!$B$1:$S$1,0)))),base,IF(OR(cat="Status",pow=0),0,FLOOR(FLOOR(FLOOR((2*XLOOKUP($Q223,'Threshold Summary'!$Y:$Y,'Threshold Summary'!$L:$L,"")/5+2)*pow*atk/def)/50)+2)),modifier,stab*eff,AVERAGE(ARRAYFORMULA(FLOOR(base*modifier*SEQUENCE(16,1,85,1)/100)))),0)</f>
        <v/>
      </c>
      <c r="M223" s="3">
        <f>IFERROR(LET(mtype,XLOOKUP($D223,'Move Editor'!$B:$B,'Move Editor'!$C:$C,""),cat,XLOOKUP($D223,'Move Editor'!$B:$B,'Move Editor'!$D:$D,""),pow,XLOOKUP($D223,'Move Editor'!$B:$B,'Move Editor'!$E:$E,0),acc,XLOOKUP($D223,'Move Editor'!$B:$B,'Move Editor'!$F:$F,100),atk,IF(cat="Physical",FLOOR((FLOOR(((2*XLOOKUP(XLOOKUP($Q223,'Threshold Summary'!$Y:$Y,'Threshold Summary'!$K:$K,""),'Pokemon Editor'!$A:$A,'Pokemon Editor'!$F:$F,0)+31+FLOOR(XLOOKUP($Q223,'Threshold Summary'!$Y:$Y,'Threshold Summary'!$P:$P,"")/4))*XLOOKUP($Q223,'Threshold Summary'!$Y:$Y,'Threshold Summary'!$L:$L,""))/100)+5)*XLOOKUP(XLOOKUP($Q223,'Threshold Summary'!$Y:$Y,'Threshold Summary'!$M:$M,""),'Nature Editor'!$A:$A,'Nature Editor'!$B:$B,1)),FLOOR((FLOOR(((2*XLOOKUP(XLOOKUP($Q223,'Threshold Summary'!$Y:$Y,'Threshold Summary'!$K:$K,""),'Pokemon Editor'!$A:$A,'Pokemon Editor'!$H:$H,0)+31+FLOOR(XLOOKUP($Q223,'Threshold Summary'!$Y:$Y,'Threshold Summary'!$R:$R,"")/4))*XLOOKUP($Q223,'Threshold Summary'!$Y:$Y,'Threshold Summary'!$L:$L,""))/100)+5)*XLOOKUP(XLOOKUP($Q223,'Threshold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Editor'!$E:$E,1))),stab,IF(OR(mtype=XLOOKUP(XLOOKUP($Q223,'Threshold Summary'!$Y:$Y,'Threshold Summary'!$K:$K,""),'Pokemon Editor'!$A:$A,'Pokemon Editor'!$C:$C,""),mtype=XLOOKUP(XLOOKUP($Q223,'Threshold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Chart'!$B$1:$S$1,0)))),base,IF(OR(cat="Status",pow=0),0,FLOOR(FLOOR(FLOOR((2*XLOOKUP($Q223,'Threshold Summary'!$Y:$Y,'Threshold Summary'!$L:$L,"")/5+2)*pow*atk/def)/50)+2)),modifier,stab*eff,AVERAGE(ARRAYFORMULA(FLOOR(base*modifier*SEQUENCE(16,1,85,1)/100)))*MIN(1,acc/100)),0)</f>
        <v/>
      </c>
      <c r="N223" s="4">
        <f>IFERROR(LET(mtype,XLOOKUP($D223,'Move Editor'!$B:$B,'Move Editor'!$C:$C,""),cat,XLOOKUP($D223,'Move Editor'!$B:$B,'Move Editor'!$D:$D,""),pow,XLOOKUP($D223,'Move Editor'!$B:$B,'Move Editor'!$E:$E,0),acc,XLOOKUP($D223,'Move Editor'!$B:$B,'Move Editor'!$F:$F,100),atk,IF(cat="Physical",FLOOR((FLOOR(((2*XLOOKUP(XLOOKUP($Q223,'Threshold Summary'!$Y:$Y,'Threshold Summary'!$K:$K,""),'Pokemon Editor'!$A:$A,'Pokemon Editor'!$F:$F,0)+31+FLOOR(XLOOKUP($Q223,'Threshold Summary'!$Y:$Y,'Threshold Summary'!$P:$P,"")/4))*XLOOKUP($Q223,'Threshold Summary'!$Y:$Y,'Threshold Summary'!$L:$L,""))/100)+5)*XLOOKUP(XLOOKUP($Q223,'Threshold Summary'!$Y:$Y,'Threshold Summary'!$M:$M,""),'Nature Editor'!$A:$A,'Nature Editor'!$B:$B,1)),FLOOR((FLOOR(((2*XLOOKUP(XLOOKUP($Q223,'Threshold Summary'!$Y:$Y,'Threshold Summary'!$K:$K,""),'Pokemon Editor'!$A:$A,'Pokemon Editor'!$H:$H,0)+31+FLOOR(XLOOKUP($Q223,'Threshold Summary'!$Y:$Y,'Threshold Summary'!$R:$R,"")/4))*XLOOKUP($Q223,'Threshold Summary'!$Y:$Y,'Threshold Summary'!$L:$L,""))/100)+5)*XLOOKUP(XLOOKUP($Q223,'Threshold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Editor'!$E:$E,1))),stab,IF(OR(mtype=XLOOKUP(XLOOKUP($Q223,'Threshold Summary'!$Y:$Y,'Threshold Summary'!$K:$K,""),'Pokemon Editor'!$A:$A,'Pokemon Editor'!$C:$C,""),mtype=XLOOKUP(XLOOKUP($Q223,'Threshold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Chart'!$B$1:$S$1,0)))),base,IF(OR(cat="Status",pow=0),0,FLOOR(FLOOR(FLOOR((2*XLOOKUP($Q223,'Threshold Summary'!$Y:$Y,'Threshold Summary'!$L:$L,"")/5+2)*pow*atk/def)/50)+2)),modifier,stab*eff,AVERAGE(ARRAYFORMULA(FLOOR(base*modifier*SEQUENCE(16,1,85,1)/100)))/(FLOOR(((2*XLOOKUP('Boss Editor'!$C$4,'Pokemon Editor'!$A:$A,'Pokemon Editor'!$E:$E,0)+31+FLOOR('Boss Editor'!$G$4/4))*'Boss Editor'!$D$4)/100)+'Boss Editor'!$D$4+10)),0)</f>
        <v/>
      </c>
      <c r="O223" s="3">
        <f>IF(N223&gt;=1,"OHKO",IF(N223&gt;=0.5,"2HKO",IF(N223&gt;=0.333,"3HKO",IF(N223&gt;=0.25,"4HKO","5HKO+"))))</f>
        <v/>
      </c>
      <c r="P223" s="3" t="inlineStr">
        <is>
          <t>Live from editable databases</t>
        </is>
      </c>
      <c r="Q223" s="3" t="inlineStr">
        <is>
          <t>SPECIES_TAILLOW</t>
        </is>
      </c>
      <c r="R223" s="3" t="n">
        <v>30</v>
      </c>
    </row>
    <row r="224">
      <c r="A224" s="3">
        <f>XLOOKUP($Q224,'Threshold Summary'!$Y:$Y,'Threshold Summary'!$A:$A,"")</f>
        <v/>
      </c>
      <c r="B224" s="3">
        <f>XLOOKUP($Q224,'Threshold Summary'!$Y:$Y,'Threshold Summary'!$M:$M,"")</f>
        <v/>
      </c>
      <c r="C224" s="3">
        <f>XLOOKUP($Q224,'Threshold Summary'!$Y:$Y,'Threshold Summary'!$N:$N,"")</f>
        <v/>
      </c>
      <c r="D224" s="3">
        <f>IFERROR(INDEX(FILTER('Learnset Editor'!$D$2:$D,'Learnset Editor'!$A$2:$A=XLOOKUP($Q224,'Threshold Summary'!$Y:$Y,'Threshold Summary'!$K:$K,""),'Learnset Editor'!$C$2:$C&lt;=XLOOKUP($Q224,'Threshold Summary'!$Y:$Y,'Threshold Summary'!$L:$L,"")),$R224),"")</f>
        <v/>
      </c>
      <c r="E224" s="3">
        <f>XLOOKUP(D224,'Move Editor'!$B:$B,'Move Editor'!$C:$C,"")</f>
        <v/>
      </c>
      <c r="F224" s="3">
        <f>XLOOKUP(D224,'Move Editor'!$B:$B,'Move Editor'!$D:$D,"")</f>
        <v/>
      </c>
      <c r="G224" s="3">
        <f>XLOOKUP(D224,'Move Editor'!$B:$B,'Move Editor'!$E:$E,0)</f>
        <v/>
      </c>
      <c r="H224" s="3">
        <f>XLOOKUP(D224,'Move Editor'!$B:$B,'Move Editor'!$F:$F,0)</f>
        <v/>
      </c>
      <c r="I224" s="3">
        <f>(INDEX('Type Chart'!$B:$S,MATCH(E224,'Type Chart'!$A:$A,0),MATCH(XLOOKUP('Boss Editor'!$C$4,'Pokemon Editor'!$A:$A,'Pokemon Editor'!$C:$C,""),'Type Chart'!$B$1:$S$1,0))*IF(XLOOKUP('Boss Editor'!$C$4,'Pokemon Editor'!$A:$A,'Pokemon Editor'!$D:$D,"")="",1,INDEX('Type Chart'!$B:$S,MATCH(E224,'Type Chart'!$A:$A,0),MATCH(XLOOKUP('Boss Editor'!$C$4,'Pokemon Editor'!$A:$A,'Pokemon Editor'!$D:$D,""),'Type Chart'!$B$1:$S$1,0))))</f>
        <v/>
      </c>
      <c r="J224" s="3">
        <f>IFERROR(LET(mtype,XLOOKUP($D224,'Move Editor'!$B:$B,'Move Editor'!$C:$C,""),cat,XLOOKUP($D224,'Move Editor'!$B:$B,'Move Editor'!$D:$D,""),pow,XLOOKUP($D224,'Move Editor'!$B:$B,'Move Editor'!$E:$E,0),acc,XLOOKUP($D224,'Move Editor'!$B:$B,'Move Editor'!$F:$F,100),atk,IF(cat="Physical",FLOOR((FLOOR(((2*XLOOKUP(XLOOKUP($Q224,'Threshold Summary'!$Y:$Y,'Threshold Summary'!$K:$K,""),'Pokemon Editor'!$A:$A,'Pokemon Editor'!$F:$F,0)+31+FLOOR(XLOOKUP($Q224,'Threshold Summary'!$Y:$Y,'Threshold Summary'!$P:$P,"")/4))*XLOOKUP($Q224,'Threshold Summary'!$Y:$Y,'Threshold Summary'!$L:$L,""))/100)+5)*XLOOKUP(XLOOKUP($Q224,'Threshold Summary'!$Y:$Y,'Threshold Summary'!$M:$M,""),'Nature Editor'!$A:$A,'Nature Editor'!$B:$B,1)),FLOOR((FLOOR(((2*XLOOKUP(XLOOKUP($Q224,'Threshold Summary'!$Y:$Y,'Threshold Summary'!$K:$K,""),'Pokemon Editor'!$A:$A,'Pokemon Editor'!$H:$H,0)+31+FLOOR(XLOOKUP($Q224,'Threshold Summary'!$Y:$Y,'Threshold Summary'!$R:$R,"")/4))*XLOOKUP($Q224,'Threshold Summary'!$Y:$Y,'Threshold Summary'!$L:$L,""))/100)+5)*XLOOKUP(XLOOKUP($Q224,'Threshold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Editor'!$E:$E,1))),stab,IF(OR(mtype=XLOOKUP(XLOOKUP($Q224,'Threshold Summary'!$Y:$Y,'Threshold Summary'!$K:$K,""),'Pokemon Editor'!$A:$A,'Pokemon Editor'!$C:$C,""),mtype=XLOOKUP(XLOOKUP($Q224,'Threshold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Chart'!$B$1:$S$1,0)))),base,IF(OR(cat="Status",pow=0),0,FLOOR(FLOOR(FLOOR((2*XLOOKUP($Q224,'Threshold Summary'!$Y:$Y,'Threshold Summary'!$L:$L,"")/5+2)*pow*atk/def)/50)+2)),modifier,stab*eff,FLOOR(base*modifier*0.85)),0)</f>
        <v/>
      </c>
      <c r="K224" s="3">
        <f>IFERROR(LET(mtype,XLOOKUP($D224,'Move Editor'!$B:$B,'Move Editor'!$C:$C,""),cat,XLOOKUP($D224,'Move Editor'!$B:$B,'Move Editor'!$D:$D,""),pow,XLOOKUP($D224,'Move Editor'!$B:$B,'Move Editor'!$E:$E,0),acc,XLOOKUP($D224,'Move Editor'!$B:$B,'Move Editor'!$F:$F,100),atk,IF(cat="Physical",FLOOR((FLOOR(((2*XLOOKUP(XLOOKUP($Q224,'Threshold Summary'!$Y:$Y,'Threshold Summary'!$K:$K,""),'Pokemon Editor'!$A:$A,'Pokemon Editor'!$F:$F,0)+31+FLOOR(XLOOKUP($Q224,'Threshold Summary'!$Y:$Y,'Threshold Summary'!$P:$P,"")/4))*XLOOKUP($Q224,'Threshold Summary'!$Y:$Y,'Threshold Summary'!$L:$L,""))/100)+5)*XLOOKUP(XLOOKUP($Q224,'Threshold Summary'!$Y:$Y,'Threshold Summary'!$M:$M,""),'Nature Editor'!$A:$A,'Nature Editor'!$B:$B,1)),FLOOR((FLOOR(((2*XLOOKUP(XLOOKUP($Q224,'Threshold Summary'!$Y:$Y,'Threshold Summary'!$K:$K,""),'Pokemon Editor'!$A:$A,'Pokemon Editor'!$H:$H,0)+31+FLOOR(XLOOKUP($Q224,'Threshold Summary'!$Y:$Y,'Threshold Summary'!$R:$R,"")/4))*XLOOKUP($Q224,'Threshold Summary'!$Y:$Y,'Threshold Summary'!$L:$L,""))/100)+5)*XLOOKUP(XLOOKUP($Q224,'Threshold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Editor'!$E:$E,1))),stab,IF(OR(mtype=XLOOKUP(XLOOKUP($Q224,'Threshold Summary'!$Y:$Y,'Threshold Summary'!$K:$K,""),'Pokemon Editor'!$A:$A,'Pokemon Editor'!$C:$C,""),mtype=XLOOKUP(XLOOKUP($Q224,'Threshold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Chart'!$B$1:$S$1,0)))),base,IF(OR(cat="Status",pow=0),0,FLOOR(FLOOR(FLOOR((2*XLOOKUP($Q224,'Threshold Summary'!$Y:$Y,'Threshold Summary'!$L:$L,"")/5+2)*pow*atk/def)/50)+2)),modifier,stab*eff,FLOOR(base*modifier)),0)</f>
        <v/>
      </c>
      <c r="L224" s="3">
        <f>IFERROR(LET(mtype,XLOOKUP($D224,'Move Editor'!$B:$B,'Move Editor'!$C:$C,""),cat,XLOOKUP($D224,'Move Editor'!$B:$B,'Move Editor'!$D:$D,""),pow,XLOOKUP($D224,'Move Editor'!$B:$B,'Move Editor'!$E:$E,0),acc,XLOOKUP($D224,'Move Editor'!$B:$B,'Move Editor'!$F:$F,100),atk,IF(cat="Physical",FLOOR((FLOOR(((2*XLOOKUP(XLOOKUP($Q224,'Threshold Summary'!$Y:$Y,'Threshold Summary'!$K:$K,""),'Pokemon Editor'!$A:$A,'Pokemon Editor'!$F:$F,0)+31+FLOOR(XLOOKUP($Q224,'Threshold Summary'!$Y:$Y,'Threshold Summary'!$P:$P,"")/4))*XLOOKUP($Q224,'Threshold Summary'!$Y:$Y,'Threshold Summary'!$L:$L,""))/100)+5)*XLOOKUP(XLOOKUP($Q224,'Threshold Summary'!$Y:$Y,'Threshold Summary'!$M:$M,""),'Nature Editor'!$A:$A,'Nature Editor'!$B:$B,1)),FLOOR((FLOOR(((2*XLOOKUP(XLOOKUP($Q224,'Threshold Summary'!$Y:$Y,'Threshold Summary'!$K:$K,""),'Pokemon Editor'!$A:$A,'Pokemon Editor'!$H:$H,0)+31+FLOOR(XLOOKUP($Q224,'Threshold Summary'!$Y:$Y,'Threshold Summary'!$R:$R,"")/4))*XLOOKUP($Q224,'Threshold Summary'!$Y:$Y,'Threshold Summary'!$L:$L,""))/100)+5)*XLOOKUP(XLOOKUP($Q224,'Threshold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Editor'!$E:$E,1))),stab,IF(OR(mtype=XLOOKUP(XLOOKUP($Q224,'Threshold Summary'!$Y:$Y,'Threshold Summary'!$K:$K,""),'Pokemon Editor'!$A:$A,'Pokemon Editor'!$C:$C,""),mtype=XLOOKUP(XLOOKUP($Q224,'Threshold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Chart'!$B$1:$S$1,0)))),base,IF(OR(cat="Status",pow=0),0,FLOOR(FLOOR(FLOOR((2*XLOOKUP($Q224,'Threshold Summary'!$Y:$Y,'Threshold Summary'!$L:$L,"")/5+2)*pow*atk/def)/50)+2)),modifier,stab*eff,AVERAGE(ARRAYFORMULA(FLOOR(base*modifier*SEQUENCE(16,1,85,1)/100)))),0)</f>
        <v/>
      </c>
      <c r="M224" s="3">
        <f>IFERROR(LET(mtype,XLOOKUP($D224,'Move Editor'!$B:$B,'Move Editor'!$C:$C,""),cat,XLOOKUP($D224,'Move Editor'!$B:$B,'Move Editor'!$D:$D,""),pow,XLOOKUP($D224,'Move Editor'!$B:$B,'Move Editor'!$E:$E,0),acc,XLOOKUP($D224,'Move Editor'!$B:$B,'Move Editor'!$F:$F,100),atk,IF(cat="Physical",FLOOR((FLOOR(((2*XLOOKUP(XLOOKUP($Q224,'Threshold Summary'!$Y:$Y,'Threshold Summary'!$K:$K,""),'Pokemon Editor'!$A:$A,'Pokemon Editor'!$F:$F,0)+31+FLOOR(XLOOKUP($Q224,'Threshold Summary'!$Y:$Y,'Threshold Summary'!$P:$P,"")/4))*XLOOKUP($Q224,'Threshold Summary'!$Y:$Y,'Threshold Summary'!$L:$L,""))/100)+5)*XLOOKUP(XLOOKUP($Q224,'Threshold Summary'!$Y:$Y,'Threshold Summary'!$M:$M,""),'Nature Editor'!$A:$A,'Nature Editor'!$B:$B,1)),FLOOR((FLOOR(((2*XLOOKUP(XLOOKUP($Q224,'Threshold Summary'!$Y:$Y,'Threshold Summary'!$K:$K,""),'Pokemon Editor'!$A:$A,'Pokemon Editor'!$H:$H,0)+31+FLOOR(XLOOKUP($Q224,'Threshold Summary'!$Y:$Y,'Threshold Summary'!$R:$R,"")/4))*XLOOKUP($Q224,'Threshold Summary'!$Y:$Y,'Threshold Summary'!$L:$L,""))/100)+5)*XLOOKUP(XLOOKUP($Q224,'Threshold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Editor'!$E:$E,1))),stab,IF(OR(mtype=XLOOKUP(XLOOKUP($Q224,'Threshold Summary'!$Y:$Y,'Threshold Summary'!$K:$K,""),'Pokemon Editor'!$A:$A,'Pokemon Editor'!$C:$C,""),mtype=XLOOKUP(XLOOKUP($Q224,'Threshold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Chart'!$B$1:$S$1,0)))),base,IF(OR(cat="Status",pow=0),0,FLOOR(FLOOR(FLOOR((2*XLOOKUP($Q224,'Threshold Summary'!$Y:$Y,'Threshold Summary'!$L:$L,"")/5+2)*pow*atk/def)/50)+2)),modifier,stab*eff,AVERAGE(ARRAYFORMULA(FLOOR(base*modifier*SEQUENCE(16,1,85,1)/100)))*MIN(1,acc/100)),0)</f>
        <v/>
      </c>
      <c r="N224" s="4">
        <f>IFERROR(LET(mtype,XLOOKUP($D224,'Move Editor'!$B:$B,'Move Editor'!$C:$C,""),cat,XLOOKUP($D224,'Move Editor'!$B:$B,'Move Editor'!$D:$D,""),pow,XLOOKUP($D224,'Move Editor'!$B:$B,'Move Editor'!$E:$E,0),acc,XLOOKUP($D224,'Move Editor'!$B:$B,'Move Editor'!$F:$F,100),atk,IF(cat="Physical",FLOOR((FLOOR(((2*XLOOKUP(XLOOKUP($Q224,'Threshold Summary'!$Y:$Y,'Threshold Summary'!$K:$K,""),'Pokemon Editor'!$A:$A,'Pokemon Editor'!$F:$F,0)+31+FLOOR(XLOOKUP($Q224,'Threshold Summary'!$Y:$Y,'Threshold Summary'!$P:$P,"")/4))*XLOOKUP($Q224,'Threshold Summary'!$Y:$Y,'Threshold Summary'!$L:$L,""))/100)+5)*XLOOKUP(XLOOKUP($Q224,'Threshold Summary'!$Y:$Y,'Threshold Summary'!$M:$M,""),'Nature Editor'!$A:$A,'Nature Editor'!$B:$B,1)),FLOOR((FLOOR(((2*XLOOKUP(XLOOKUP($Q224,'Threshold Summary'!$Y:$Y,'Threshold Summary'!$K:$K,""),'Pokemon Editor'!$A:$A,'Pokemon Editor'!$H:$H,0)+31+FLOOR(XLOOKUP($Q224,'Threshold Summary'!$Y:$Y,'Threshold Summary'!$R:$R,"")/4))*XLOOKUP($Q224,'Threshold Summary'!$Y:$Y,'Threshold Summary'!$L:$L,""))/100)+5)*XLOOKUP(XLOOKUP($Q224,'Threshold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Editor'!$E:$E,1))),stab,IF(OR(mtype=XLOOKUP(XLOOKUP($Q224,'Threshold Summary'!$Y:$Y,'Threshold Summary'!$K:$K,""),'Pokemon Editor'!$A:$A,'Pokemon Editor'!$C:$C,""),mtype=XLOOKUP(XLOOKUP($Q224,'Threshold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Chart'!$B$1:$S$1,0)))),base,IF(OR(cat="Status",pow=0),0,FLOOR(FLOOR(FLOOR((2*XLOOKUP($Q224,'Threshold Summary'!$Y:$Y,'Threshold Summary'!$L:$L,"")/5+2)*pow*atk/def)/50)+2)),modifier,stab*eff,AVERAGE(ARRAYFORMULA(FLOOR(base*modifier*SEQUENCE(16,1,85,1)/100)))/(FLOOR(((2*XLOOKUP('Boss Editor'!$C$4,'Pokemon Editor'!$A:$A,'Pokemon Editor'!$E:$E,0)+31+FLOOR('Boss Editor'!$G$4/4))*'Boss Editor'!$D$4)/100)+'Boss Editor'!$D$4+10)),0)</f>
        <v/>
      </c>
      <c r="O224" s="3">
        <f>IF(N224&gt;=1,"OHKO",IF(N224&gt;=0.5,"2HKO",IF(N224&gt;=0.333,"3HKO",IF(N224&gt;=0.25,"4HKO","5HKO+"))))</f>
        <v/>
      </c>
      <c r="P224" s="3" t="inlineStr">
        <is>
          <t>Live from editable databases</t>
        </is>
      </c>
      <c r="Q224" s="3" t="inlineStr">
        <is>
          <t>SPECIES_TAILLOW</t>
        </is>
      </c>
      <c r="R224" s="3" t="n">
        <v>31</v>
      </c>
    </row>
    <row r="225">
      <c r="A225" s="3">
        <f>XLOOKUP($Q225,'Threshold Summary'!$Y:$Y,'Threshold Summary'!$A:$A,"")</f>
        <v/>
      </c>
      <c r="B225" s="3">
        <f>XLOOKUP($Q225,'Threshold Summary'!$Y:$Y,'Threshold Summary'!$M:$M,"")</f>
        <v/>
      </c>
      <c r="C225" s="3">
        <f>XLOOKUP($Q225,'Threshold Summary'!$Y:$Y,'Threshold Summary'!$N:$N,"")</f>
        <v/>
      </c>
      <c r="D225" s="3">
        <f>IFERROR(INDEX(FILTER('Learnset Editor'!$D$2:$D,'Learnset Editor'!$A$2:$A=XLOOKUP($Q225,'Threshold Summary'!$Y:$Y,'Threshold Summary'!$K:$K,""),'Learnset Editor'!$C$2:$C&lt;=XLOOKUP($Q225,'Threshold Summary'!$Y:$Y,'Threshold Summary'!$L:$L,"")),$R225),"")</f>
        <v/>
      </c>
      <c r="E225" s="3">
        <f>XLOOKUP(D225,'Move Editor'!$B:$B,'Move Editor'!$C:$C,"")</f>
        <v/>
      </c>
      <c r="F225" s="3">
        <f>XLOOKUP(D225,'Move Editor'!$B:$B,'Move Editor'!$D:$D,"")</f>
        <v/>
      </c>
      <c r="G225" s="3">
        <f>XLOOKUP(D225,'Move Editor'!$B:$B,'Move Editor'!$E:$E,0)</f>
        <v/>
      </c>
      <c r="H225" s="3">
        <f>XLOOKUP(D225,'Move Editor'!$B:$B,'Move Editor'!$F:$F,0)</f>
        <v/>
      </c>
      <c r="I225" s="3">
        <f>(INDEX('Type Chart'!$B:$S,MATCH(E225,'Type Chart'!$A:$A,0),MATCH(XLOOKUP('Boss Editor'!$C$4,'Pokemon Editor'!$A:$A,'Pokemon Editor'!$C:$C,""),'Type Chart'!$B$1:$S$1,0))*IF(XLOOKUP('Boss Editor'!$C$4,'Pokemon Editor'!$A:$A,'Pokemon Editor'!$D:$D,"")="",1,INDEX('Type Chart'!$B:$S,MATCH(E225,'Type Chart'!$A:$A,0),MATCH(XLOOKUP('Boss Editor'!$C$4,'Pokemon Editor'!$A:$A,'Pokemon Editor'!$D:$D,""),'Type Chart'!$B$1:$S$1,0))))</f>
        <v/>
      </c>
      <c r="J225" s="3">
        <f>IFERROR(LET(mtype,XLOOKUP($D225,'Move Editor'!$B:$B,'Move Editor'!$C:$C,""),cat,XLOOKUP($D225,'Move Editor'!$B:$B,'Move Editor'!$D:$D,""),pow,XLOOKUP($D225,'Move Editor'!$B:$B,'Move Editor'!$E:$E,0),acc,XLOOKUP($D225,'Move Editor'!$B:$B,'Move Editor'!$F:$F,100),atk,IF(cat="Physical",FLOOR((FLOOR(((2*XLOOKUP(XLOOKUP($Q225,'Threshold Summary'!$Y:$Y,'Threshold Summary'!$K:$K,""),'Pokemon Editor'!$A:$A,'Pokemon Editor'!$F:$F,0)+31+FLOOR(XLOOKUP($Q225,'Threshold Summary'!$Y:$Y,'Threshold Summary'!$P:$P,"")/4))*XLOOKUP($Q225,'Threshold Summary'!$Y:$Y,'Threshold Summary'!$L:$L,""))/100)+5)*XLOOKUP(XLOOKUP($Q225,'Threshold Summary'!$Y:$Y,'Threshold Summary'!$M:$M,""),'Nature Editor'!$A:$A,'Nature Editor'!$B:$B,1)),FLOOR((FLOOR(((2*XLOOKUP(XLOOKUP($Q225,'Threshold Summary'!$Y:$Y,'Threshold Summary'!$K:$K,""),'Pokemon Editor'!$A:$A,'Pokemon Editor'!$H:$H,0)+31+FLOOR(XLOOKUP($Q225,'Threshold Summary'!$Y:$Y,'Threshold Summary'!$R:$R,"")/4))*XLOOKUP($Q225,'Threshold Summary'!$Y:$Y,'Threshold Summary'!$L:$L,""))/100)+5)*XLOOKUP(XLOOKUP($Q225,'Threshold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Editor'!$E:$E,1))),stab,IF(OR(mtype=XLOOKUP(XLOOKUP($Q225,'Threshold Summary'!$Y:$Y,'Threshold Summary'!$K:$K,""),'Pokemon Editor'!$A:$A,'Pokemon Editor'!$C:$C,""),mtype=XLOOKUP(XLOOKUP($Q225,'Threshold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Chart'!$B$1:$S$1,0)))),base,IF(OR(cat="Status",pow=0),0,FLOOR(FLOOR(FLOOR((2*XLOOKUP($Q225,'Threshold Summary'!$Y:$Y,'Threshold Summary'!$L:$L,"")/5+2)*pow*atk/def)/50)+2)),modifier,stab*eff,FLOOR(base*modifier*0.85)),0)</f>
        <v/>
      </c>
      <c r="K225" s="3">
        <f>IFERROR(LET(mtype,XLOOKUP($D225,'Move Editor'!$B:$B,'Move Editor'!$C:$C,""),cat,XLOOKUP($D225,'Move Editor'!$B:$B,'Move Editor'!$D:$D,""),pow,XLOOKUP($D225,'Move Editor'!$B:$B,'Move Editor'!$E:$E,0),acc,XLOOKUP($D225,'Move Editor'!$B:$B,'Move Editor'!$F:$F,100),atk,IF(cat="Physical",FLOOR((FLOOR(((2*XLOOKUP(XLOOKUP($Q225,'Threshold Summary'!$Y:$Y,'Threshold Summary'!$K:$K,""),'Pokemon Editor'!$A:$A,'Pokemon Editor'!$F:$F,0)+31+FLOOR(XLOOKUP($Q225,'Threshold Summary'!$Y:$Y,'Threshold Summary'!$P:$P,"")/4))*XLOOKUP($Q225,'Threshold Summary'!$Y:$Y,'Threshold Summary'!$L:$L,""))/100)+5)*XLOOKUP(XLOOKUP($Q225,'Threshold Summary'!$Y:$Y,'Threshold Summary'!$M:$M,""),'Nature Editor'!$A:$A,'Nature Editor'!$B:$B,1)),FLOOR((FLOOR(((2*XLOOKUP(XLOOKUP($Q225,'Threshold Summary'!$Y:$Y,'Threshold Summary'!$K:$K,""),'Pokemon Editor'!$A:$A,'Pokemon Editor'!$H:$H,0)+31+FLOOR(XLOOKUP($Q225,'Threshold Summary'!$Y:$Y,'Threshold Summary'!$R:$R,"")/4))*XLOOKUP($Q225,'Threshold Summary'!$Y:$Y,'Threshold Summary'!$L:$L,""))/100)+5)*XLOOKUP(XLOOKUP($Q225,'Threshold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Editor'!$E:$E,1))),stab,IF(OR(mtype=XLOOKUP(XLOOKUP($Q225,'Threshold Summary'!$Y:$Y,'Threshold Summary'!$K:$K,""),'Pokemon Editor'!$A:$A,'Pokemon Editor'!$C:$C,""),mtype=XLOOKUP(XLOOKUP($Q225,'Threshold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Chart'!$B$1:$S$1,0)))),base,IF(OR(cat="Status",pow=0),0,FLOOR(FLOOR(FLOOR((2*XLOOKUP($Q225,'Threshold Summary'!$Y:$Y,'Threshold Summary'!$L:$L,"")/5+2)*pow*atk/def)/50)+2)),modifier,stab*eff,FLOOR(base*modifier)),0)</f>
        <v/>
      </c>
      <c r="L225" s="3">
        <f>IFERROR(LET(mtype,XLOOKUP($D225,'Move Editor'!$B:$B,'Move Editor'!$C:$C,""),cat,XLOOKUP($D225,'Move Editor'!$B:$B,'Move Editor'!$D:$D,""),pow,XLOOKUP($D225,'Move Editor'!$B:$B,'Move Editor'!$E:$E,0),acc,XLOOKUP($D225,'Move Editor'!$B:$B,'Move Editor'!$F:$F,100),atk,IF(cat="Physical",FLOOR((FLOOR(((2*XLOOKUP(XLOOKUP($Q225,'Threshold Summary'!$Y:$Y,'Threshold Summary'!$K:$K,""),'Pokemon Editor'!$A:$A,'Pokemon Editor'!$F:$F,0)+31+FLOOR(XLOOKUP($Q225,'Threshold Summary'!$Y:$Y,'Threshold Summary'!$P:$P,"")/4))*XLOOKUP($Q225,'Threshold Summary'!$Y:$Y,'Threshold Summary'!$L:$L,""))/100)+5)*XLOOKUP(XLOOKUP($Q225,'Threshold Summary'!$Y:$Y,'Threshold Summary'!$M:$M,""),'Nature Editor'!$A:$A,'Nature Editor'!$B:$B,1)),FLOOR((FLOOR(((2*XLOOKUP(XLOOKUP($Q225,'Threshold Summary'!$Y:$Y,'Threshold Summary'!$K:$K,""),'Pokemon Editor'!$A:$A,'Pokemon Editor'!$H:$H,0)+31+FLOOR(XLOOKUP($Q225,'Threshold Summary'!$Y:$Y,'Threshold Summary'!$R:$R,"")/4))*XLOOKUP($Q225,'Threshold Summary'!$Y:$Y,'Threshold Summary'!$L:$L,""))/100)+5)*XLOOKUP(XLOOKUP($Q225,'Threshold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Editor'!$E:$E,1))),stab,IF(OR(mtype=XLOOKUP(XLOOKUP($Q225,'Threshold Summary'!$Y:$Y,'Threshold Summary'!$K:$K,""),'Pokemon Editor'!$A:$A,'Pokemon Editor'!$C:$C,""),mtype=XLOOKUP(XLOOKUP($Q225,'Threshold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Chart'!$B$1:$S$1,0)))),base,IF(OR(cat="Status",pow=0),0,FLOOR(FLOOR(FLOOR((2*XLOOKUP($Q225,'Threshold Summary'!$Y:$Y,'Threshold Summary'!$L:$L,"")/5+2)*pow*atk/def)/50)+2)),modifier,stab*eff,AVERAGE(ARRAYFORMULA(FLOOR(base*modifier*SEQUENCE(16,1,85,1)/100)))),0)</f>
        <v/>
      </c>
      <c r="M225" s="3">
        <f>IFERROR(LET(mtype,XLOOKUP($D225,'Move Editor'!$B:$B,'Move Editor'!$C:$C,""),cat,XLOOKUP($D225,'Move Editor'!$B:$B,'Move Editor'!$D:$D,""),pow,XLOOKUP($D225,'Move Editor'!$B:$B,'Move Editor'!$E:$E,0),acc,XLOOKUP($D225,'Move Editor'!$B:$B,'Move Editor'!$F:$F,100),atk,IF(cat="Physical",FLOOR((FLOOR(((2*XLOOKUP(XLOOKUP($Q225,'Threshold Summary'!$Y:$Y,'Threshold Summary'!$K:$K,""),'Pokemon Editor'!$A:$A,'Pokemon Editor'!$F:$F,0)+31+FLOOR(XLOOKUP($Q225,'Threshold Summary'!$Y:$Y,'Threshold Summary'!$P:$P,"")/4))*XLOOKUP($Q225,'Threshold Summary'!$Y:$Y,'Threshold Summary'!$L:$L,""))/100)+5)*XLOOKUP(XLOOKUP($Q225,'Threshold Summary'!$Y:$Y,'Threshold Summary'!$M:$M,""),'Nature Editor'!$A:$A,'Nature Editor'!$B:$B,1)),FLOOR((FLOOR(((2*XLOOKUP(XLOOKUP($Q225,'Threshold Summary'!$Y:$Y,'Threshold Summary'!$K:$K,""),'Pokemon Editor'!$A:$A,'Pokemon Editor'!$H:$H,0)+31+FLOOR(XLOOKUP($Q225,'Threshold Summary'!$Y:$Y,'Threshold Summary'!$R:$R,"")/4))*XLOOKUP($Q225,'Threshold Summary'!$Y:$Y,'Threshold Summary'!$L:$L,""))/100)+5)*XLOOKUP(XLOOKUP($Q225,'Threshold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Editor'!$E:$E,1))),stab,IF(OR(mtype=XLOOKUP(XLOOKUP($Q225,'Threshold Summary'!$Y:$Y,'Threshold Summary'!$K:$K,""),'Pokemon Editor'!$A:$A,'Pokemon Editor'!$C:$C,""),mtype=XLOOKUP(XLOOKUP($Q225,'Threshold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Chart'!$B$1:$S$1,0)))),base,IF(OR(cat="Status",pow=0),0,FLOOR(FLOOR(FLOOR((2*XLOOKUP($Q225,'Threshold Summary'!$Y:$Y,'Threshold Summary'!$L:$L,"")/5+2)*pow*atk/def)/50)+2)),modifier,stab*eff,AVERAGE(ARRAYFORMULA(FLOOR(base*modifier*SEQUENCE(16,1,85,1)/100)))*MIN(1,acc/100)),0)</f>
        <v/>
      </c>
      <c r="N225" s="4">
        <f>IFERROR(LET(mtype,XLOOKUP($D225,'Move Editor'!$B:$B,'Move Editor'!$C:$C,""),cat,XLOOKUP($D225,'Move Editor'!$B:$B,'Move Editor'!$D:$D,""),pow,XLOOKUP($D225,'Move Editor'!$B:$B,'Move Editor'!$E:$E,0),acc,XLOOKUP($D225,'Move Editor'!$B:$B,'Move Editor'!$F:$F,100),atk,IF(cat="Physical",FLOOR((FLOOR(((2*XLOOKUP(XLOOKUP($Q225,'Threshold Summary'!$Y:$Y,'Threshold Summary'!$K:$K,""),'Pokemon Editor'!$A:$A,'Pokemon Editor'!$F:$F,0)+31+FLOOR(XLOOKUP($Q225,'Threshold Summary'!$Y:$Y,'Threshold Summary'!$P:$P,"")/4))*XLOOKUP($Q225,'Threshold Summary'!$Y:$Y,'Threshold Summary'!$L:$L,""))/100)+5)*XLOOKUP(XLOOKUP($Q225,'Threshold Summary'!$Y:$Y,'Threshold Summary'!$M:$M,""),'Nature Editor'!$A:$A,'Nature Editor'!$B:$B,1)),FLOOR((FLOOR(((2*XLOOKUP(XLOOKUP($Q225,'Threshold Summary'!$Y:$Y,'Threshold Summary'!$K:$K,""),'Pokemon Editor'!$A:$A,'Pokemon Editor'!$H:$H,0)+31+FLOOR(XLOOKUP($Q225,'Threshold Summary'!$Y:$Y,'Threshold Summary'!$R:$R,"")/4))*XLOOKUP($Q225,'Threshold Summary'!$Y:$Y,'Threshold Summary'!$L:$L,""))/100)+5)*XLOOKUP(XLOOKUP($Q225,'Threshold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Editor'!$E:$E,1))),stab,IF(OR(mtype=XLOOKUP(XLOOKUP($Q225,'Threshold Summary'!$Y:$Y,'Threshold Summary'!$K:$K,""),'Pokemon Editor'!$A:$A,'Pokemon Editor'!$C:$C,""),mtype=XLOOKUP(XLOOKUP($Q225,'Threshold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Chart'!$B$1:$S$1,0)))),base,IF(OR(cat="Status",pow=0),0,FLOOR(FLOOR(FLOOR((2*XLOOKUP($Q225,'Threshold Summary'!$Y:$Y,'Threshold Summary'!$L:$L,"")/5+2)*pow*atk/def)/50)+2)),modifier,stab*eff,AVERAGE(ARRAYFORMULA(FLOOR(base*modifier*SEQUENCE(16,1,85,1)/100)))/(FLOOR(((2*XLOOKUP('Boss Editor'!$C$4,'Pokemon Editor'!$A:$A,'Pokemon Editor'!$E:$E,0)+31+FLOOR('Boss Editor'!$G$4/4))*'Boss Editor'!$D$4)/100)+'Boss Editor'!$D$4+10)),0)</f>
        <v/>
      </c>
      <c r="O225" s="3">
        <f>IF(N225&gt;=1,"OHKO",IF(N225&gt;=0.5,"2HKO",IF(N225&gt;=0.333,"3HKO",IF(N225&gt;=0.25,"4HKO","5HKO+"))))</f>
        <v/>
      </c>
      <c r="P225" s="3" t="inlineStr">
        <is>
          <t>Live from editable databases</t>
        </is>
      </c>
      <c r="Q225" s="3" t="inlineStr">
        <is>
          <t>SPECIES_TAILLOW</t>
        </is>
      </c>
      <c r="R225" s="3" t="n">
        <v>32</v>
      </c>
    </row>
    <row r="226">
      <c r="A226" s="3">
        <f>XLOOKUP($Q226,'Threshold Summary'!$Y:$Y,'Threshold Summary'!$A:$A,"")</f>
        <v/>
      </c>
      <c r="B226" s="3">
        <f>XLOOKUP($Q226,'Threshold Summary'!$Y:$Y,'Threshold Summary'!$M:$M,"")</f>
        <v/>
      </c>
      <c r="C226" s="3">
        <f>XLOOKUP($Q226,'Threshold Summary'!$Y:$Y,'Threshold Summary'!$N:$N,"")</f>
        <v/>
      </c>
      <c r="D226" s="3">
        <f>IFERROR(INDEX(FILTER('Learnset Editor'!$D$2:$D,'Learnset Editor'!$A$2:$A=XLOOKUP($Q226,'Threshold Summary'!$Y:$Y,'Threshold Summary'!$K:$K,""),'Learnset Editor'!$C$2:$C&lt;=XLOOKUP($Q226,'Threshold Summary'!$Y:$Y,'Threshold Summary'!$L:$L,"")),$R226),"")</f>
        <v/>
      </c>
      <c r="E226" s="3">
        <f>XLOOKUP(D226,'Move Editor'!$B:$B,'Move Editor'!$C:$C,"")</f>
        <v/>
      </c>
      <c r="F226" s="3">
        <f>XLOOKUP(D226,'Move Editor'!$B:$B,'Move Editor'!$D:$D,"")</f>
        <v/>
      </c>
      <c r="G226" s="3">
        <f>XLOOKUP(D226,'Move Editor'!$B:$B,'Move Editor'!$E:$E,0)</f>
        <v/>
      </c>
      <c r="H226" s="3">
        <f>XLOOKUP(D226,'Move Editor'!$B:$B,'Move Editor'!$F:$F,0)</f>
        <v/>
      </c>
      <c r="I226" s="3">
        <f>(INDEX('Type Chart'!$B:$S,MATCH(E226,'Type Chart'!$A:$A,0),MATCH(XLOOKUP('Boss Editor'!$C$4,'Pokemon Editor'!$A:$A,'Pokemon Editor'!$C:$C,""),'Type Chart'!$B$1:$S$1,0))*IF(XLOOKUP('Boss Editor'!$C$4,'Pokemon Editor'!$A:$A,'Pokemon Editor'!$D:$D,"")="",1,INDEX('Type Chart'!$B:$S,MATCH(E226,'Type Chart'!$A:$A,0),MATCH(XLOOKUP('Boss Editor'!$C$4,'Pokemon Editor'!$A:$A,'Pokemon Editor'!$D:$D,""),'Type Chart'!$B$1:$S$1,0))))</f>
        <v/>
      </c>
      <c r="J226" s="3">
        <f>IFERROR(LET(mtype,XLOOKUP($D226,'Move Editor'!$B:$B,'Move Editor'!$C:$C,""),cat,XLOOKUP($D226,'Move Editor'!$B:$B,'Move Editor'!$D:$D,""),pow,XLOOKUP($D226,'Move Editor'!$B:$B,'Move Editor'!$E:$E,0),acc,XLOOKUP($D226,'Move Editor'!$B:$B,'Move Editor'!$F:$F,100),atk,IF(cat="Physical",FLOOR((FLOOR(((2*XLOOKUP(XLOOKUP($Q226,'Threshold Summary'!$Y:$Y,'Threshold Summary'!$K:$K,""),'Pokemon Editor'!$A:$A,'Pokemon Editor'!$F:$F,0)+31+FLOOR(XLOOKUP($Q226,'Threshold Summary'!$Y:$Y,'Threshold Summary'!$P:$P,"")/4))*XLOOKUP($Q226,'Threshold Summary'!$Y:$Y,'Threshold Summary'!$L:$L,""))/100)+5)*XLOOKUP(XLOOKUP($Q226,'Threshold Summary'!$Y:$Y,'Threshold Summary'!$M:$M,""),'Nature Editor'!$A:$A,'Nature Editor'!$B:$B,1)),FLOOR((FLOOR(((2*XLOOKUP(XLOOKUP($Q226,'Threshold Summary'!$Y:$Y,'Threshold Summary'!$K:$K,""),'Pokemon Editor'!$A:$A,'Pokemon Editor'!$H:$H,0)+31+FLOOR(XLOOKUP($Q226,'Threshold Summary'!$Y:$Y,'Threshold Summary'!$R:$R,"")/4))*XLOOKUP($Q226,'Threshold Summary'!$Y:$Y,'Threshold Summary'!$L:$L,""))/100)+5)*XLOOKUP(XLOOKUP($Q226,'Threshold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Editor'!$E:$E,1))),stab,IF(OR(mtype=XLOOKUP(XLOOKUP($Q226,'Threshold Summary'!$Y:$Y,'Threshold Summary'!$K:$K,""),'Pokemon Editor'!$A:$A,'Pokemon Editor'!$C:$C,""),mtype=XLOOKUP(XLOOKUP($Q226,'Threshold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Chart'!$B$1:$S$1,0)))),base,IF(OR(cat="Status",pow=0),0,FLOOR(FLOOR(FLOOR((2*XLOOKUP($Q226,'Threshold Summary'!$Y:$Y,'Threshold Summary'!$L:$L,"")/5+2)*pow*atk/def)/50)+2)),modifier,stab*eff,FLOOR(base*modifier*0.85)),0)</f>
        <v/>
      </c>
      <c r="K226" s="3">
        <f>IFERROR(LET(mtype,XLOOKUP($D226,'Move Editor'!$B:$B,'Move Editor'!$C:$C,""),cat,XLOOKUP($D226,'Move Editor'!$B:$B,'Move Editor'!$D:$D,""),pow,XLOOKUP($D226,'Move Editor'!$B:$B,'Move Editor'!$E:$E,0),acc,XLOOKUP($D226,'Move Editor'!$B:$B,'Move Editor'!$F:$F,100),atk,IF(cat="Physical",FLOOR((FLOOR(((2*XLOOKUP(XLOOKUP($Q226,'Threshold Summary'!$Y:$Y,'Threshold Summary'!$K:$K,""),'Pokemon Editor'!$A:$A,'Pokemon Editor'!$F:$F,0)+31+FLOOR(XLOOKUP($Q226,'Threshold Summary'!$Y:$Y,'Threshold Summary'!$P:$P,"")/4))*XLOOKUP($Q226,'Threshold Summary'!$Y:$Y,'Threshold Summary'!$L:$L,""))/100)+5)*XLOOKUP(XLOOKUP($Q226,'Threshold Summary'!$Y:$Y,'Threshold Summary'!$M:$M,""),'Nature Editor'!$A:$A,'Nature Editor'!$B:$B,1)),FLOOR((FLOOR(((2*XLOOKUP(XLOOKUP($Q226,'Threshold Summary'!$Y:$Y,'Threshold Summary'!$K:$K,""),'Pokemon Editor'!$A:$A,'Pokemon Editor'!$H:$H,0)+31+FLOOR(XLOOKUP($Q226,'Threshold Summary'!$Y:$Y,'Threshold Summary'!$R:$R,"")/4))*XLOOKUP($Q226,'Threshold Summary'!$Y:$Y,'Threshold Summary'!$L:$L,""))/100)+5)*XLOOKUP(XLOOKUP($Q226,'Threshold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Editor'!$E:$E,1))),stab,IF(OR(mtype=XLOOKUP(XLOOKUP($Q226,'Threshold Summary'!$Y:$Y,'Threshold Summary'!$K:$K,""),'Pokemon Editor'!$A:$A,'Pokemon Editor'!$C:$C,""),mtype=XLOOKUP(XLOOKUP($Q226,'Threshold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Chart'!$B$1:$S$1,0)))),base,IF(OR(cat="Status",pow=0),0,FLOOR(FLOOR(FLOOR((2*XLOOKUP($Q226,'Threshold Summary'!$Y:$Y,'Threshold Summary'!$L:$L,"")/5+2)*pow*atk/def)/50)+2)),modifier,stab*eff,FLOOR(base*modifier)),0)</f>
        <v/>
      </c>
      <c r="L226" s="3">
        <f>IFERROR(LET(mtype,XLOOKUP($D226,'Move Editor'!$B:$B,'Move Editor'!$C:$C,""),cat,XLOOKUP($D226,'Move Editor'!$B:$B,'Move Editor'!$D:$D,""),pow,XLOOKUP($D226,'Move Editor'!$B:$B,'Move Editor'!$E:$E,0),acc,XLOOKUP($D226,'Move Editor'!$B:$B,'Move Editor'!$F:$F,100),atk,IF(cat="Physical",FLOOR((FLOOR(((2*XLOOKUP(XLOOKUP($Q226,'Threshold Summary'!$Y:$Y,'Threshold Summary'!$K:$K,""),'Pokemon Editor'!$A:$A,'Pokemon Editor'!$F:$F,0)+31+FLOOR(XLOOKUP($Q226,'Threshold Summary'!$Y:$Y,'Threshold Summary'!$P:$P,"")/4))*XLOOKUP($Q226,'Threshold Summary'!$Y:$Y,'Threshold Summary'!$L:$L,""))/100)+5)*XLOOKUP(XLOOKUP($Q226,'Threshold Summary'!$Y:$Y,'Threshold Summary'!$M:$M,""),'Nature Editor'!$A:$A,'Nature Editor'!$B:$B,1)),FLOOR((FLOOR(((2*XLOOKUP(XLOOKUP($Q226,'Threshold Summary'!$Y:$Y,'Threshold Summary'!$K:$K,""),'Pokemon Editor'!$A:$A,'Pokemon Editor'!$H:$H,0)+31+FLOOR(XLOOKUP($Q226,'Threshold Summary'!$Y:$Y,'Threshold Summary'!$R:$R,"")/4))*XLOOKUP($Q226,'Threshold Summary'!$Y:$Y,'Threshold Summary'!$L:$L,""))/100)+5)*XLOOKUP(XLOOKUP($Q226,'Threshold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Editor'!$E:$E,1))),stab,IF(OR(mtype=XLOOKUP(XLOOKUP($Q226,'Threshold Summary'!$Y:$Y,'Threshold Summary'!$K:$K,""),'Pokemon Editor'!$A:$A,'Pokemon Editor'!$C:$C,""),mtype=XLOOKUP(XLOOKUP($Q226,'Threshold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Chart'!$B$1:$S$1,0)))),base,IF(OR(cat="Status",pow=0),0,FLOOR(FLOOR(FLOOR((2*XLOOKUP($Q226,'Threshold Summary'!$Y:$Y,'Threshold Summary'!$L:$L,"")/5+2)*pow*atk/def)/50)+2)),modifier,stab*eff,AVERAGE(ARRAYFORMULA(FLOOR(base*modifier*SEQUENCE(16,1,85,1)/100)))),0)</f>
        <v/>
      </c>
      <c r="M226" s="3">
        <f>IFERROR(LET(mtype,XLOOKUP($D226,'Move Editor'!$B:$B,'Move Editor'!$C:$C,""),cat,XLOOKUP($D226,'Move Editor'!$B:$B,'Move Editor'!$D:$D,""),pow,XLOOKUP($D226,'Move Editor'!$B:$B,'Move Editor'!$E:$E,0),acc,XLOOKUP($D226,'Move Editor'!$B:$B,'Move Editor'!$F:$F,100),atk,IF(cat="Physical",FLOOR((FLOOR(((2*XLOOKUP(XLOOKUP($Q226,'Threshold Summary'!$Y:$Y,'Threshold Summary'!$K:$K,""),'Pokemon Editor'!$A:$A,'Pokemon Editor'!$F:$F,0)+31+FLOOR(XLOOKUP($Q226,'Threshold Summary'!$Y:$Y,'Threshold Summary'!$P:$P,"")/4))*XLOOKUP($Q226,'Threshold Summary'!$Y:$Y,'Threshold Summary'!$L:$L,""))/100)+5)*XLOOKUP(XLOOKUP($Q226,'Threshold Summary'!$Y:$Y,'Threshold Summary'!$M:$M,""),'Nature Editor'!$A:$A,'Nature Editor'!$B:$B,1)),FLOOR((FLOOR(((2*XLOOKUP(XLOOKUP($Q226,'Threshold Summary'!$Y:$Y,'Threshold Summary'!$K:$K,""),'Pokemon Editor'!$A:$A,'Pokemon Editor'!$H:$H,0)+31+FLOOR(XLOOKUP($Q226,'Threshold Summary'!$Y:$Y,'Threshold Summary'!$R:$R,"")/4))*XLOOKUP($Q226,'Threshold Summary'!$Y:$Y,'Threshold Summary'!$L:$L,""))/100)+5)*XLOOKUP(XLOOKUP($Q226,'Threshold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Editor'!$E:$E,1))),stab,IF(OR(mtype=XLOOKUP(XLOOKUP($Q226,'Threshold Summary'!$Y:$Y,'Threshold Summary'!$K:$K,""),'Pokemon Editor'!$A:$A,'Pokemon Editor'!$C:$C,""),mtype=XLOOKUP(XLOOKUP($Q226,'Threshold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Chart'!$B$1:$S$1,0)))),base,IF(OR(cat="Status",pow=0),0,FLOOR(FLOOR(FLOOR((2*XLOOKUP($Q226,'Threshold Summary'!$Y:$Y,'Threshold Summary'!$L:$L,"")/5+2)*pow*atk/def)/50)+2)),modifier,stab*eff,AVERAGE(ARRAYFORMULA(FLOOR(base*modifier*SEQUENCE(16,1,85,1)/100)))*MIN(1,acc/100)),0)</f>
        <v/>
      </c>
      <c r="N226" s="4">
        <f>IFERROR(LET(mtype,XLOOKUP($D226,'Move Editor'!$B:$B,'Move Editor'!$C:$C,""),cat,XLOOKUP($D226,'Move Editor'!$B:$B,'Move Editor'!$D:$D,""),pow,XLOOKUP($D226,'Move Editor'!$B:$B,'Move Editor'!$E:$E,0),acc,XLOOKUP($D226,'Move Editor'!$B:$B,'Move Editor'!$F:$F,100),atk,IF(cat="Physical",FLOOR((FLOOR(((2*XLOOKUP(XLOOKUP($Q226,'Threshold Summary'!$Y:$Y,'Threshold Summary'!$K:$K,""),'Pokemon Editor'!$A:$A,'Pokemon Editor'!$F:$F,0)+31+FLOOR(XLOOKUP($Q226,'Threshold Summary'!$Y:$Y,'Threshold Summary'!$P:$P,"")/4))*XLOOKUP($Q226,'Threshold Summary'!$Y:$Y,'Threshold Summary'!$L:$L,""))/100)+5)*XLOOKUP(XLOOKUP($Q226,'Threshold Summary'!$Y:$Y,'Threshold Summary'!$M:$M,""),'Nature Editor'!$A:$A,'Nature Editor'!$B:$B,1)),FLOOR((FLOOR(((2*XLOOKUP(XLOOKUP($Q226,'Threshold Summary'!$Y:$Y,'Threshold Summary'!$K:$K,""),'Pokemon Editor'!$A:$A,'Pokemon Editor'!$H:$H,0)+31+FLOOR(XLOOKUP($Q226,'Threshold Summary'!$Y:$Y,'Threshold Summary'!$R:$R,"")/4))*XLOOKUP($Q226,'Threshold Summary'!$Y:$Y,'Threshold Summary'!$L:$L,""))/100)+5)*XLOOKUP(XLOOKUP($Q226,'Threshold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Editor'!$E:$E,1))),stab,IF(OR(mtype=XLOOKUP(XLOOKUP($Q226,'Threshold Summary'!$Y:$Y,'Threshold Summary'!$K:$K,""),'Pokemon Editor'!$A:$A,'Pokemon Editor'!$C:$C,""),mtype=XLOOKUP(XLOOKUP($Q226,'Threshold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Chart'!$B$1:$S$1,0)))),base,IF(OR(cat="Status",pow=0),0,FLOOR(FLOOR(FLOOR((2*XLOOKUP($Q226,'Threshold Summary'!$Y:$Y,'Threshold Summary'!$L:$L,"")/5+2)*pow*atk/def)/50)+2)),modifier,stab*eff,AVERAGE(ARRAYFORMULA(FLOOR(base*modifier*SEQUENCE(16,1,85,1)/100)))/(FLOOR(((2*XLOOKUP('Boss Editor'!$C$4,'Pokemon Editor'!$A:$A,'Pokemon Editor'!$E:$E,0)+31+FLOOR('Boss Editor'!$G$4/4))*'Boss Editor'!$D$4)/100)+'Boss Editor'!$D$4+10)),0)</f>
        <v/>
      </c>
      <c r="O226" s="3">
        <f>IF(N226&gt;=1,"OHKO",IF(N226&gt;=0.5,"2HKO",IF(N226&gt;=0.333,"3HKO",IF(N226&gt;=0.25,"4HKO","5HKO+"))))</f>
        <v/>
      </c>
      <c r="P226" s="3" t="inlineStr">
        <is>
          <t>Live from editable databases</t>
        </is>
      </c>
      <c r="Q226" s="3" t="inlineStr">
        <is>
          <t>SPECIES_RALTS</t>
        </is>
      </c>
      <c r="R226" s="3" t="n">
        <v>1</v>
      </c>
    </row>
    <row r="227">
      <c r="A227" s="3">
        <f>XLOOKUP($Q227,'Threshold Summary'!$Y:$Y,'Threshold Summary'!$A:$A,"")</f>
        <v/>
      </c>
      <c r="B227" s="3">
        <f>XLOOKUP($Q227,'Threshold Summary'!$Y:$Y,'Threshold Summary'!$M:$M,"")</f>
        <v/>
      </c>
      <c r="C227" s="3">
        <f>XLOOKUP($Q227,'Threshold Summary'!$Y:$Y,'Threshold Summary'!$N:$N,"")</f>
        <v/>
      </c>
      <c r="D227" s="3">
        <f>IFERROR(INDEX(FILTER('Learnset Editor'!$D$2:$D,'Learnset Editor'!$A$2:$A=XLOOKUP($Q227,'Threshold Summary'!$Y:$Y,'Threshold Summary'!$K:$K,""),'Learnset Editor'!$C$2:$C&lt;=XLOOKUP($Q227,'Threshold Summary'!$Y:$Y,'Threshold Summary'!$L:$L,"")),$R227),"")</f>
        <v/>
      </c>
      <c r="E227" s="3">
        <f>XLOOKUP(D227,'Move Editor'!$B:$B,'Move Editor'!$C:$C,"")</f>
        <v/>
      </c>
      <c r="F227" s="3">
        <f>XLOOKUP(D227,'Move Editor'!$B:$B,'Move Editor'!$D:$D,"")</f>
        <v/>
      </c>
      <c r="G227" s="3">
        <f>XLOOKUP(D227,'Move Editor'!$B:$B,'Move Editor'!$E:$E,0)</f>
        <v/>
      </c>
      <c r="H227" s="3">
        <f>XLOOKUP(D227,'Move Editor'!$B:$B,'Move Editor'!$F:$F,0)</f>
        <v/>
      </c>
      <c r="I227" s="3">
        <f>(INDEX('Type Chart'!$B:$S,MATCH(E227,'Type Chart'!$A:$A,0),MATCH(XLOOKUP('Boss Editor'!$C$4,'Pokemon Editor'!$A:$A,'Pokemon Editor'!$C:$C,""),'Type Chart'!$B$1:$S$1,0))*IF(XLOOKUP('Boss Editor'!$C$4,'Pokemon Editor'!$A:$A,'Pokemon Editor'!$D:$D,"")="",1,INDEX('Type Chart'!$B:$S,MATCH(E227,'Type Chart'!$A:$A,0),MATCH(XLOOKUP('Boss Editor'!$C$4,'Pokemon Editor'!$A:$A,'Pokemon Editor'!$D:$D,""),'Type Chart'!$B$1:$S$1,0))))</f>
        <v/>
      </c>
      <c r="J227" s="3">
        <f>IFERROR(LET(mtype,XLOOKUP($D227,'Move Editor'!$B:$B,'Move Editor'!$C:$C,""),cat,XLOOKUP($D227,'Move Editor'!$B:$B,'Move Editor'!$D:$D,""),pow,XLOOKUP($D227,'Move Editor'!$B:$B,'Move Editor'!$E:$E,0),acc,XLOOKUP($D227,'Move Editor'!$B:$B,'Move Editor'!$F:$F,100),atk,IF(cat="Physical",FLOOR((FLOOR(((2*XLOOKUP(XLOOKUP($Q227,'Threshold Summary'!$Y:$Y,'Threshold Summary'!$K:$K,""),'Pokemon Editor'!$A:$A,'Pokemon Editor'!$F:$F,0)+31+FLOOR(XLOOKUP($Q227,'Threshold Summary'!$Y:$Y,'Threshold Summary'!$P:$P,"")/4))*XLOOKUP($Q227,'Threshold Summary'!$Y:$Y,'Threshold Summary'!$L:$L,""))/100)+5)*XLOOKUP(XLOOKUP($Q227,'Threshold Summary'!$Y:$Y,'Threshold Summary'!$M:$M,""),'Nature Editor'!$A:$A,'Nature Editor'!$B:$B,1)),FLOOR((FLOOR(((2*XLOOKUP(XLOOKUP($Q227,'Threshold Summary'!$Y:$Y,'Threshold Summary'!$K:$K,""),'Pokemon Editor'!$A:$A,'Pokemon Editor'!$H:$H,0)+31+FLOOR(XLOOKUP($Q227,'Threshold Summary'!$Y:$Y,'Threshold Summary'!$R:$R,"")/4))*XLOOKUP($Q227,'Threshold Summary'!$Y:$Y,'Threshold Summary'!$L:$L,""))/100)+5)*XLOOKUP(XLOOKUP($Q227,'Threshold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Editor'!$E:$E,1))),stab,IF(OR(mtype=XLOOKUP(XLOOKUP($Q227,'Threshold Summary'!$Y:$Y,'Threshold Summary'!$K:$K,""),'Pokemon Editor'!$A:$A,'Pokemon Editor'!$C:$C,""),mtype=XLOOKUP(XLOOKUP($Q227,'Threshold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Chart'!$B$1:$S$1,0)))),base,IF(OR(cat="Status",pow=0),0,FLOOR(FLOOR(FLOOR((2*XLOOKUP($Q227,'Threshold Summary'!$Y:$Y,'Threshold Summary'!$L:$L,"")/5+2)*pow*atk/def)/50)+2)),modifier,stab*eff,FLOOR(base*modifier*0.85)),0)</f>
        <v/>
      </c>
      <c r="K227" s="3">
        <f>IFERROR(LET(mtype,XLOOKUP($D227,'Move Editor'!$B:$B,'Move Editor'!$C:$C,""),cat,XLOOKUP($D227,'Move Editor'!$B:$B,'Move Editor'!$D:$D,""),pow,XLOOKUP($D227,'Move Editor'!$B:$B,'Move Editor'!$E:$E,0),acc,XLOOKUP($D227,'Move Editor'!$B:$B,'Move Editor'!$F:$F,100),atk,IF(cat="Physical",FLOOR((FLOOR(((2*XLOOKUP(XLOOKUP($Q227,'Threshold Summary'!$Y:$Y,'Threshold Summary'!$K:$K,""),'Pokemon Editor'!$A:$A,'Pokemon Editor'!$F:$F,0)+31+FLOOR(XLOOKUP($Q227,'Threshold Summary'!$Y:$Y,'Threshold Summary'!$P:$P,"")/4))*XLOOKUP($Q227,'Threshold Summary'!$Y:$Y,'Threshold Summary'!$L:$L,""))/100)+5)*XLOOKUP(XLOOKUP($Q227,'Threshold Summary'!$Y:$Y,'Threshold Summary'!$M:$M,""),'Nature Editor'!$A:$A,'Nature Editor'!$B:$B,1)),FLOOR((FLOOR(((2*XLOOKUP(XLOOKUP($Q227,'Threshold Summary'!$Y:$Y,'Threshold Summary'!$K:$K,""),'Pokemon Editor'!$A:$A,'Pokemon Editor'!$H:$H,0)+31+FLOOR(XLOOKUP($Q227,'Threshold Summary'!$Y:$Y,'Threshold Summary'!$R:$R,"")/4))*XLOOKUP($Q227,'Threshold Summary'!$Y:$Y,'Threshold Summary'!$L:$L,""))/100)+5)*XLOOKUP(XLOOKUP($Q227,'Threshold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Editor'!$E:$E,1))),stab,IF(OR(mtype=XLOOKUP(XLOOKUP($Q227,'Threshold Summary'!$Y:$Y,'Threshold Summary'!$K:$K,""),'Pokemon Editor'!$A:$A,'Pokemon Editor'!$C:$C,""),mtype=XLOOKUP(XLOOKUP($Q227,'Threshold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Chart'!$B$1:$S$1,0)))),base,IF(OR(cat="Status",pow=0),0,FLOOR(FLOOR(FLOOR((2*XLOOKUP($Q227,'Threshold Summary'!$Y:$Y,'Threshold Summary'!$L:$L,"")/5+2)*pow*atk/def)/50)+2)),modifier,stab*eff,FLOOR(base*modifier)),0)</f>
        <v/>
      </c>
      <c r="L227" s="3">
        <f>IFERROR(LET(mtype,XLOOKUP($D227,'Move Editor'!$B:$B,'Move Editor'!$C:$C,""),cat,XLOOKUP($D227,'Move Editor'!$B:$B,'Move Editor'!$D:$D,""),pow,XLOOKUP($D227,'Move Editor'!$B:$B,'Move Editor'!$E:$E,0),acc,XLOOKUP($D227,'Move Editor'!$B:$B,'Move Editor'!$F:$F,100),atk,IF(cat="Physical",FLOOR((FLOOR(((2*XLOOKUP(XLOOKUP($Q227,'Threshold Summary'!$Y:$Y,'Threshold Summary'!$K:$K,""),'Pokemon Editor'!$A:$A,'Pokemon Editor'!$F:$F,0)+31+FLOOR(XLOOKUP($Q227,'Threshold Summary'!$Y:$Y,'Threshold Summary'!$P:$P,"")/4))*XLOOKUP($Q227,'Threshold Summary'!$Y:$Y,'Threshold Summary'!$L:$L,""))/100)+5)*XLOOKUP(XLOOKUP($Q227,'Threshold Summary'!$Y:$Y,'Threshold Summary'!$M:$M,""),'Nature Editor'!$A:$A,'Nature Editor'!$B:$B,1)),FLOOR((FLOOR(((2*XLOOKUP(XLOOKUP($Q227,'Threshold Summary'!$Y:$Y,'Threshold Summary'!$K:$K,""),'Pokemon Editor'!$A:$A,'Pokemon Editor'!$H:$H,0)+31+FLOOR(XLOOKUP($Q227,'Threshold Summary'!$Y:$Y,'Threshold Summary'!$R:$R,"")/4))*XLOOKUP($Q227,'Threshold Summary'!$Y:$Y,'Threshold Summary'!$L:$L,""))/100)+5)*XLOOKUP(XLOOKUP($Q227,'Threshold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Editor'!$E:$E,1))),stab,IF(OR(mtype=XLOOKUP(XLOOKUP($Q227,'Threshold Summary'!$Y:$Y,'Threshold Summary'!$K:$K,""),'Pokemon Editor'!$A:$A,'Pokemon Editor'!$C:$C,""),mtype=XLOOKUP(XLOOKUP($Q227,'Threshold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Chart'!$B$1:$S$1,0)))),base,IF(OR(cat="Status",pow=0),0,FLOOR(FLOOR(FLOOR((2*XLOOKUP($Q227,'Threshold Summary'!$Y:$Y,'Threshold Summary'!$L:$L,"")/5+2)*pow*atk/def)/50)+2)),modifier,stab*eff,AVERAGE(ARRAYFORMULA(FLOOR(base*modifier*SEQUENCE(16,1,85,1)/100)))),0)</f>
        <v/>
      </c>
      <c r="M227" s="3">
        <f>IFERROR(LET(mtype,XLOOKUP($D227,'Move Editor'!$B:$B,'Move Editor'!$C:$C,""),cat,XLOOKUP($D227,'Move Editor'!$B:$B,'Move Editor'!$D:$D,""),pow,XLOOKUP($D227,'Move Editor'!$B:$B,'Move Editor'!$E:$E,0),acc,XLOOKUP($D227,'Move Editor'!$B:$B,'Move Editor'!$F:$F,100),atk,IF(cat="Physical",FLOOR((FLOOR(((2*XLOOKUP(XLOOKUP($Q227,'Threshold Summary'!$Y:$Y,'Threshold Summary'!$K:$K,""),'Pokemon Editor'!$A:$A,'Pokemon Editor'!$F:$F,0)+31+FLOOR(XLOOKUP($Q227,'Threshold Summary'!$Y:$Y,'Threshold Summary'!$P:$P,"")/4))*XLOOKUP($Q227,'Threshold Summary'!$Y:$Y,'Threshold Summary'!$L:$L,""))/100)+5)*XLOOKUP(XLOOKUP($Q227,'Threshold Summary'!$Y:$Y,'Threshold Summary'!$M:$M,""),'Nature Editor'!$A:$A,'Nature Editor'!$B:$B,1)),FLOOR((FLOOR(((2*XLOOKUP(XLOOKUP($Q227,'Threshold Summary'!$Y:$Y,'Threshold Summary'!$K:$K,""),'Pokemon Editor'!$A:$A,'Pokemon Editor'!$H:$H,0)+31+FLOOR(XLOOKUP($Q227,'Threshold Summary'!$Y:$Y,'Threshold Summary'!$R:$R,"")/4))*XLOOKUP($Q227,'Threshold Summary'!$Y:$Y,'Threshold Summary'!$L:$L,""))/100)+5)*XLOOKUP(XLOOKUP($Q227,'Threshold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Editor'!$E:$E,1))),stab,IF(OR(mtype=XLOOKUP(XLOOKUP($Q227,'Threshold Summary'!$Y:$Y,'Threshold Summary'!$K:$K,""),'Pokemon Editor'!$A:$A,'Pokemon Editor'!$C:$C,""),mtype=XLOOKUP(XLOOKUP($Q227,'Threshold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Chart'!$B$1:$S$1,0)))),base,IF(OR(cat="Status",pow=0),0,FLOOR(FLOOR(FLOOR((2*XLOOKUP($Q227,'Threshold Summary'!$Y:$Y,'Threshold Summary'!$L:$L,"")/5+2)*pow*atk/def)/50)+2)),modifier,stab*eff,AVERAGE(ARRAYFORMULA(FLOOR(base*modifier*SEQUENCE(16,1,85,1)/100)))*MIN(1,acc/100)),0)</f>
        <v/>
      </c>
      <c r="N227" s="4">
        <f>IFERROR(LET(mtype,XLOOKUP($D227,'Move Editor'!$B:$B,'Move Editor'!$C:$C,""),cat,XLOOKUP($D227,'Move Editor'!$B:$B,'Move Editor'!$D:$D,""),pow,XLOOKUP($D227,'Move Editor'!$B:$B,'Move Editor'!$E:$E,0),acc,XLOOKUP($D227,'Move Editor'!$B:$B,'Move Editor'!$F:$F,100),atk,IF(cat="Physical",FLOOR((FLOOR(((2*XLOOKUP(XLOOKUP($Q227,'Threshold Summary'!$Y:$Y,'Threshold Summary'!$K:$K,""),'Pokemon Editor'!$A:$A,'Pokemon Editor'!$F:$F,0)+31+FLOOR(XLOOKUP($Q227,'Threshold Summary'!$Y:$Y,'Threshold Summary'!$P:$P,"")/4))*XLOOKUP($Q227,'Threshold Summary'!$Y:$Y,'Threshold Summary'!$L:$L,""))/100)+5)*XLOOKUP(XLOOKUP($Q227,'Threshold Summary'!$Y:$Y,'Threshold Summary'!$M:$M,""),'Nature Editor'!$A:$A,'Nature Editor'!$B:$B,1)),FLOOR((FLOOR(((2*XLOOKUP(XLOOKUP($Q227,'Threshold Summary'!$Y:$Y,'Threshold Summary'!$K:$K,""),'Pokemon Editor'!$A:$A,'Pokemon Editor'!$H:$H,0)+31+FLOOR(XLOOKUP($Q227,'Threshold Summary'!$Y:$Y,'Threshold Summary'!$R:$R,"")/4))*XLOOKUP($Q227,'Threshold Summary'!$Y:$Y,'Threshold Summary'!$L:$L,""))/100)+5)*XLOOKUP(XLOOKUP($Q227,'Threshold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Editor'!$E:$E,1))),stab,IF(OR(mtype=XLOOKUP(XLOOKUP($Q227,'Threshold Summary'!$Y:$Y,'Threshold Summary'!$K:$K,""),'Pokemon Editor'!$A:$A,'Pokemon Editor'!$C:$C,""),mtype=XLOOKUP(XLOOKUP($Q227,'Threshold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Chart'!$B$1:$S$1,0)))),base,IF(OR(cat="Status",pow=0),0,FLOOR(FLOOR(FLOOR((2*XLOOKUP($Q227,'Threshold Summary'!$Y:$Y,'Threshold Summary'!$L:$L,"")/5+2)*pow*atk/def)/50)+2)),modifier,stab*eff,AVERAGE(ARRAYFORMULA(FLOOR(base*modifier*SEQUENCE(16,1,85,1)/100)))/(FLOOR(((2*XLOOKUP('Boss Editor'!$C$4,'Pokemon Editor'!$A:$A,'Pokemon Editor'!$E:$E,0)+31+FLOOR('Boss Editor'!$G$4/4))*'Boss Editor'!$D$4)/100)+'Boss Editor'!$D$4+10)),0)</f>
        <v/>
      </c>
      <c r="O227" s="3">
        <f>IF(N227&gt;=1,"OHKO",IF(N227&gt;=0.5,"2HKO",IF(N227&gt;=0.333,"3HKO",IF(N227&gt;=0.25,"4HKO","5HKO+"))))</f>
        <v/>
      </c>
      <c r="P227" s="3" t="inlineStr">
        <is>
          <t>Live from editable databases</t>
        </is>
      </c>
      <c r="Q227" s="3" t="inlineStr">
        <is>
          <t>SPECIES_RALTS</t>
        </is>
      </c>
      <c r="R227" s="3" t="n">
        <v>2</v>
      </c>
    </row>
    <row r="228">
      <c r="A228" s="3">
        <f>XLOOKUP($Q228,'Threshold Summary'!$Y:$Y,'Threshold Summary'!$A:$A,"")</f>
        <v/>
      </c>
      <c r="B228" s="3">
        <f>XLOOKUP($Q228,'Threshold Summary'!$Y:$Y,'Threshold Summary'!$M:$M,"")</f>
        <v/>
      </c>
      <c r="C228" s="3">
        <f>XLOOKUP($Q228,'Threshold Summary'!$Y:$Y,'Threshold Summary'!$N:$N,"")</f>
        <v/>
      </c>
      <c r="D228" s="3">
        <f>IFERROR(INDEX(FILTER('Learnset Editor'!$D$2:$D,'Learnset Editor'!$A$2:$A=XLOOKUP($Q228,'Threshold Summary'!$Y:$Y,'Threshold Summary'!$K:$K,""),'Learnset Editor'!$C$2:$C&lt;=XLOOKUP($Q228,'Threshold Summary'!$Y:$Y,'Threshold Summary'!$L:$L,"")),$R228),"")</f>
        <v/>
      </c>
      <c r="E228" s="3">
        <f>XLOOKUP(D228,'Move Editor'!$B:$B,'Move Editor'!$C:$C,"")</f>
        <v/>
      </c>
      <c r="F228" s="3">
        <f>XLOOKUP(D228,'Move Editor'!$B:$B,'Move Editor'!$D:$D,"")</f>
        <v/>
      </c>
      <c r="G228" s="3">
        <f>XLOOKUP(D228,'Move Editor'!$B:$B,'Move Editor'!$E:$E,0)</f>
        <v/>
      </c>
      <c r="H228" s="3">
        <f>XLOOKUP(D228,'Move Editor'!$B:$B,'Move Editor'!$F:$F,0)</f>
        <v/>
      </c>
      <c r="I228" s="3">
        <f>(INDEX('Type Chart'!$B:$S,MATCH(E228,'Type Chart'!$A:$A,0),MATCH(XLOOKUP('Boss Editor'!$C$4,'Pokemon Editor'!$A:$A,'Pokemon Editor'!$C:$C,""),'Type Chart'!$B$1:$S$1,0))*IF(XLOOKUP('Boss Editor'!$C$4,'Pokemon Editor'!$A:$A,'Pokemon Editor'!$D:$D,"")="",1,INDEX('Type Chart'!$B:$S,MATCH(E228,'Type Chart'!$A:$A,0),MATCH(XLOOKUP('Boss Editor'!$C$4,'Pokemon Editor'!$A:$A,'Pokemon Editor'!$D:$D,""),'Type Chart'!$B$1:$S$1,0))))</f>
        <v/>
      </c>
      <c r="J228" s="3">
        <f>IFERROR(LET(mtype,XLOOKUP($D228,'Move Editor'!$B:$B,'Move Editor'!$C:$C,""),cat,XLOOKUP($D228,'Move Editor'!$B:$B,'Move Editor'!$D:$D,""),pow,XLOOKUP($D228,'Move Editor'!$B:$B,'Move Editor'!$E:$E,0),acc,XLOOKUP($D228,'Move Editor'!$B:$B,'Move Editor'!$F:$F,100),atk,IF(cat="Physical",FLOOR((FLOOR(((2*XLOOKUP(XLOOKUP($Q228,'Threshold Summary'!$Y:$Y,'Threshold Summary'!$K:$K,""),'Pokemon Editor'!$A:$A,'Pokemon Editor'!$F:$F,0)+31+FLOOR(XLOOKUP($Q228,'Threshold Summary'!$Y:$Y,'Threshold Summary'!$P:$P,"")/4))*XLOOKUP($Q228,'Threshold Summary'!$Y:$Y,'Threshold Summary'!$L:$L,""))/100)+5)*XLOOKUP(XLOOKUP($Q228,'Threshold Summary'!$Y:$Y,'Threshold Summary'!$M:$M,""),'Nature Editor'!$A:$A,'Nature Editor'!$B:$B,1)),FLOOR((FLOOR(((2*XLOOKUP(XLOOKUP($Q228,'Threshold Summary'!$Y:$Y,'Threshold Summary'!$K:$K,""),'Pokemon Editor'!$A:$A,'Pokemon Editor'!$H:$H,0)+31+FLOOR(XLOOKUP($Q228,'Threshold Summary'!$Y:$Y,'Threshold Summary'!$R:$R,"")/4))*XLOOKUP($Q228,'Threshold Summary'!$Y:$Y,'Threshold Summary'!$L:$L,""))/100)+5)*XLOOKUP(XLOOKUP($Q228,'Threshold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Editor'!$E:$E,1))),stab,IF(OR(mtype=XLOOKUP(XLOOKUP($Q228,'Threshold Summary'!$Y:$Y,'Threshold Summary'!$K:$K,""),'Pokemon Editor'!$A:$A,'Pokemon Editor'!$C:$C,""),mtype=XLOOKUP(XLOOKUP($Q228,'Threshold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Chart'!$B$1:$S$1,0)))),base,IF(OR(cat="Status",pow=0),0,FLOOR(FLOOR(FLOOR((2*XLOOKUP($Q228,'Threshold Summary'!$Y:$Y,'Threshold Summary'!$L:$L,"")/5+2)*pow*atk/def)/50)+2)),modifier,stab*eff,FLOOR(base*modifier*0.85)),0)</f>
        <v/>
      </c>
      <c r="K228" s="3">
        <f>IFERROR(LET(mtype,XLOOKUP($D228,'Move Editor'!$B:$B,'Move Editor'!$C:$C,""),cat,XLOOKUP($D228,'Move Editor'!$B:$B,'Move Editor'!$D:$D,""),pow,XLOOKUP($D228,'Move Editor'!$B:$B,'Move Editor'!$E:$E,0),acc,XLOOKUP($D228,'Move Editor'!$B:$B,'Move Editor'!$F:$F,100),atk,IF(cat="Physical",FLOOR((FLOOR(((2*XLOOKUP(XLOOKUP($Q228,'Threshold Summary'!$Y:$Y,'Threshold Summary'!$K:$K,""),'Pokemon Editor'!$A:$A,'Pokemon Editor'!$F:$F,0)+31+FLOOR(XLOOKUP($Q228,'Threshold Summary'!$Y:$Y,'Threshold Summary'!$P:$P,"")/4))*XLOOKUP($Q228,'Threshold Summary'!$Y:$Y,'Threshold Summary'!$L:$L,""))/100)+5)*XLOOKUP(XLOOKUP($Q228,'Threshold Summary'!$Y:$Y,'Threshold Summary'!$M:$M,""),'Nature Editor'!$A:$A,'Nature Editor'!$B:$B,1)),FLOOR((FLOOR(((2*XLOOKUP(XLOOKUP($Q228,'Threshold Summary'!$Y:$Y,'Threshold Summary'!$K:$K,""),'Pokemon Editor'!$A:$A,'Pokemon Editor'!$H:$H,0)+31+FLOOR(XLOOKUP($Q228,'Threshold Summary'!$Y:$Y,'Threshold Summary'!$R:$R,"")/4))*XLOOKUP($Q228,'Threshold Summary'!$Y:$Y,'Threshold Summary'!$L:$L,""))/100)+5)*XLOOKUP(XLOOKUP($Q228,'Threshold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Editor'!$E:$E,1))),stab,IF(OR(mtype=XLOOKUP(XLOOKUP($Q228,'Threshold Summary'!$Y:$Y,'Threshold Summary'!$K:$K,""),'Pokemon Editor'!$A:$A,'Pokemon Editor'!$C:$C,""),mtype=XLOOKUP(XLOOKUP($Q228,'Threshold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Chart'!$B$1:$S$1,0)))),base,IF(OR(cat="Status",pow=0),0,FLOOR(FLOOR(FLOOR((2*XLOOKUP($Q228,'Threshold Summary'!$Y:$Y,'Threshold Summary'!$L:$L,"")/5+2)*pow*atk/def)/50)+2)),modifier,stab*eff,FLOOR(base*modifier)),0)</f>
        <v/>
      </c>
      <c r="L228" s="3">
        <f>IFERROR(LET(mtype,XLOOKUP($D228,'Move Editor'!$B:$B,'Move Editor'!$C:$C,""),cat,XLOOKUP($D228,'Move Editor'!$B:$B,'Move Editor'!$D:$D,""),pow,XLOOKUP($D228,'Move Editor'!$B:$B,'Move Editor'!$E:$E,0),acc,XLOOKUP($D228,'Move Editor'!$B:$B,'Move Editor'!$F:$F,100),atk,IF(cat="Physical",FLOOR((FLOOR(((2*XLOOKUP(XLOOKUP($Q228,'Threshold Summary'!$Y:$Y,'Threshold Summary'!$K:$K,""),'Pokemon Editor'!$A:$A,'Pokemon Editor'!$F:$F,0)+31+FLOOR(XLOOKUP($Q228,'Threshold Summary'!$Y:$Y,'Threshold Summary'!$P:$P,"")/4))*XLOOKUP($Q228,'Threshold Summary'!$Y:$Y,'Threshold Summary'!$L:$L,""))/100)+5)*XLOOKUP(XLOOKUP($Q228,'Threshold Summary'!$Y:$Y,'Threshold Summary'!$M:$M,""),'Nature Editor'!$A:$A,'Nature Editor'!$B:$B,1)),FLOOR((FLOOR(((2*XLOOKUP(XLOOKUP($Q228,'Threshold Summary'!$Y:$Y,'Threshold Summary'!$K:$K,""),'Pokemon Editor'!$A:$A,'Pokemon Editor'!$H:$H,0)+31+FLOOR(XLOOKUP($Q228,'Threshold Summary'!$Y:$Y,'Threshold Summary'!$R:$R,"")/4))*XLOOKUP($Q228,'Threshold Summary'!$Y:$Y,'Threshold Summary'!$L:$L,""))/100)+5)*XLOOKUP(XLOOKUP($Q228,'Threshold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Editor'!$E:$E,1))),stab,IF(OR(mtype=XLOOKUP(XLOOKUP($Q228,'Threshold Summary'!$Y:$Y,'Threshold Summary'!$K:$K,""),'Pokemon Editor'!$A:$A,'Pokemon Editor'!$C:$C,""),mtype=XLOOKUP(XLOOKUP($Q228,'Threshold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Chart'!$B$1:$S$1,0)))),base,IF(OR(cat="Status",pow=0),0,FLOOR(FLOOR(FLOOR((2*XLOOKUP($Q228,'Threshold Summary'!$Y:$Y,'Threshold Summary'!$L:$L,"")/5+2)*pow*atk/def)/50)+2)),modifier,stab*eff,AVERAGE(ARRAYFORMULA(FLOOR(base*modifier*SEQUENCE(16,1,85,1)/100)))),0)</f>
        <v/>
      </c>
      <c r="M228" s="3">
        <f>IFERROR(LET(mtype,XLOOKUP($D228,'Move Editor'!$B:$B,'Move Editor'!$C:$C,""),cat,XLOOKUP($D228,'Move Editor'!$B:$B,'Move Editor'!$D:$D,""),pow,XLOOKUP($D228,'Move Editor'!$B:$B,'Move Editor'!$E:$E,0),acc,XLOOKUP($D228,'Move Editor'!$B:$B,'Move Editor'!$F:$F,100),atk,IF(cat="Physical",FLOOR((FLOOR(((2*XLOOKUP(XLOOKUP($Q228,'Threshold Summary'!$Y:$Y,'Threshold Summary'!$K:$K,""),'Pokemon Editor'!$A:$A,'Pokemon Editor'!$F:$F,0)+31+FLOOR(XLOOKUP($Q228,'Threshold Summary'!$Y:$Y,'Threshold Summary'!$P:$P,"")/4))*XLOOKUP($Q228,'Threshold Summary'!$Y:$Y,'Threshold Summary'!$L:$L,""))/100)+5)*XLOOKUP(XLOOKUP($Q228,'Threshold Summary'!$Y:$Y,'Threshold Summary'!$M:$M,""),'Nature Editor'!$A:$A,'Nature Editor'!$B:$B,1)),FLOOR((FLOOR(((2*XLOOKUP(XLOOKUP($Q228,'Threshold Summary'!$Y:$Y,'Threshold Summary'!$K:$K,""),'Pokemon Editor'!$A:$A,'Pokemon Editor'!$H:$H,0)+31+FLOOR(XLOOKUP($Q228,'Threshold Summary'!$Y:$Y,'Threshold Summary'!$R:$R,"")/4))*XLOOKUP($Q228,'Threshold Summary'!$Y:$Y,'Threshold Summary'!$L:$L,""))/100)+5)*XLOOKUP(XLOOKUP($Q228,'Threshold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Editor'!$E:$E,1))),stab,IF(OR(mtype=XLOOKUP(XLOOKUP($Q228,'Threshold Summary'!$Y:$Y,'Threshold Summary'!$K:$K,""),'Pokemon Editor'!$A:$A,'Pokemon Editor'!$C:$C,""),mtype=XLOOKUP(XLOOKUP($Q228,'Threshold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Chart'!$B$1:$S$1,0)))),base,IF(OR(cat="Status",pow=0),0,FLOOR(FLOOR(FLOOR((2*XLOOKUP($Q228,'Threshold Summary'!$Y:$Y,'Threshold Summary'!$L:$L,"")/5+2)*pow*atk/def)/50)+2)),modifier,stab*eff,AVERAGE(ARRAYFORMULA(FLOOR(base*modifier*SEQUENCE(16,1,85,1)/100)))*MIN(1,acc/100)),0)</f>
        <v/>
      </c>
      <c r="N228" s="4">
        <f>IFERROR(LET(mtype,XLOOKUP($D228,'Move Editor'!$B:$B,'Move Editor'!$C:$C,""),cat,XLOOKUP($D228,'Move Editor'!$B:$B,'Move Editor'!$D:$D,""),pow,XLOOKUP($D228,'Move Editor'!$B:$B,'Move Editor'!$E:$E,0),acc,XLOOKUP($D228,'Move Editor'!$B:$B,'Move Editor'!$F:$F,100),atk,IF(cat="Physical",FLOOR((FLOOR(((2*XLOOKUP(XLOOKUP($Q228,'Threshold Summary'!$Y:$Y,'Threshold Summary'!$K:$K,""),'Pokemon Editor'!$A:$A,'Pokemon Editor'!$F:$F,0)+31+FLOOR(XLOOKUP($Q228,'Threshold Summary'!$Y:$Y,'Threshold Summary'!$P:$P,"")/4))*XLOOKUP($Q228,'Threshold Summary'!$Y:$Y,'Threshold Summary'!$L:$L,""))/100)+5)*XLOOKUP(XLOOKUP($Q228,'Threshold Summary'!$Y:$Y,'Threshold Summary'!$M:$M,""),'Nature Editor'!$A:$A,'Nature Editor'!$B:$B,1)),FLOOR((FLOOR(((2*XLOOKUP(XLOOKUP($Q228,'Threshold Summary'!$Y:$Y,'Threshold Summary'!$K:$K,""),'Pokemon Editor'!$A:$A,'Pokemon Editor'!$H:$H,0)+31+FLOOR(XLOOKUP($Q228,'Threshold Summary'!$Y:$Y,'Threshold Summary'!$R:$R,"")/4))*XLOOKUP($Q228,'Threshold Summary'!$Y:$Y,'Threshold Summary'!$L:$L,""))/100)+5)*XLOOKUP(XLOOKUP($Q228,'Threshold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Editor'!$E:$E,1))),stab,IF(OR(mtype=XLOOKUP(XLOOKUP($Q228,'Threshold Summary'!$Y:$Y,'Threshold Summary'!$K:$K,""),'Pokemon Editor'!$A:$A,'Pokemon Editor'!$C:$C,""),mtype=XLOOKUP(XLOOKUP($Q228,'Threshold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Chart'!$B$1:$S$1,0)))),base,IF(OR(cat="Status",pow=0),0,FLOOR(FLOOR(FLOOR((2*XLOOKUP($Q228,'Threshold Summary'!$Y:$Y,'Threshold Summary'!$L:$L,"")/5+2)*pow*atk/def)/50)+2)),modifier,stab*eff,AVERAGE(ARRAYFORMULA(FLOOR(base*modifier*SEQUENCE(16,1,85,1)/100)))/(FLOOR(((2*XLOOKUP('Boss Editor'!$C$4,'Pokemon Editor'!$A:$A,'Pokemon Editor'!$E:$E,0)+31+FLOOR('Boss Editor'!$G$4/4))*'Boss Editor'!$D$4)/100)+'Boss Editor'!$D$4+10)),0)</f>
        <v/>
      </c>
      <c r="O228" s="3">
        <f>IF(N228&gt;=1,"OHKO",IF(N228&gt;=0.5,"2HKO",IF(N228&gt;=0.333,"3HKO",IF(N228&gt;=0.25,"4HKO","5HKO+"))))</f>
        <v/>
      </c>
      <c r="P228" s="3" t="inlineStr">
        <is>
          <t>Live from editable databases</t>
        </is>
      </c>
      <c r="Q228" s="3" t="inlineStr">
        <is>
          <t>SPECIES_RALTS</t>
        </is>
      </c>
      <c r="R228" s="3" t="n">
        <v>3</v>
      </c>
    </row>
    <row r="229">
      <c r="A229" s="3">
        <f>XLOOKUP($Q229,'Threshold Summary'!$Y:$Y,'Threshold Summary'!$A:$A,"")</f>
        <v/>
      </c>
      <c r="B229" s="3">
        <f>XLOOKUP($Q229,'Threshold Summary'!$Y:$Y,'Threshold Summary'!$M:$M,"")</f>
        <v/>
      </c>
      <c r="C229" s="3">
        <f>XLOOKUP($Q229,'Threshold Summary'!$Y:$Y,'Threshold Summary'!$N:$N,"")</f>
        <v/>
      </c>
      <c r="D229" s="3">
        <f>IFERROR(INDEX(FILTER('Learnset Editor'!$D$2:$D,'Learnset Editor'!$A$2:$A=XLOOKUP($Q229,'Threshold Summary'!$Y:$Y,'Threshold Summary'!$K:$K,""),'Learnset Editor'!$C$2:$C&lt;=XLOOKUP($Q229,'Threshold Summary'!$Y:$Y,'Threshold Summary'!$L:$L,"")),$R229),"")</f>
        <v/>
      </c>
      <c r="E229" s="3">
        <f>XLOOKUP(D229,'Move Editor'!$B:$B,'Move Editor'!$C:$C,"")</f>
        <v/>
      </c>
      <c r="F229" s="3">
        <f>XLOOKUP(D229,'Move Editor'!$B:$B,'Move Editor'!$D:$D,"")</f>
        <v/>
      </c>
      <c r="G229" s="3">
        <f>XLOOKUP(D229,'Move Editor'!$B:$B,'Move Editor'!$E:$E,0)</f>
        <v/>
      </c>
      <c r="H229" s="3">
        <f>XLOOKUP(D229,'Move Editor'!$B:$B,'Move Editor'!$F:$F,0)</f>
        <v/>
      </c>
      <c r="I229" s="3">
        <f>(INDEX('Type Chart'!$B:$S,MATCH(E229,'Type Chart'!$A:$A,0),MATCH(XLOOKUP('Boss Editor'!$C$4,'Pokemon Editor'!$A:$A,'Pokemon Editor'!$C:$C,""),'Type Chart'!$B$1:$S$1,0))*IF(XLOOKUP('Boss Editor'!$C$4,'Pokemon Editor'!$A:$A,'Pokemon Editor'!$D:$D,"")="",1,INDEX('Type Chart'!$B:$S,MATCH(E229,'Type Chart'!$A:$A,0),MATCH(XLOOKUP('Boss Editor'!$C$4,'Pokemon Editor'!$A:$A,'Pokemon Editor'!$D:$D,""),'Type Chart'!$B$1:$S$1,0))))</f>
        <v/>
      </c>
      <c r="J229" s="3">
        <f>IFERROR(LET(mtype,XLOOKUP($D229,'Move Editor'!$B:$B,'Move Editor'!$C:$C,""),cat,XLOOKUP($D229,'Move Editor'!$B:$B,'Move Editor'!$D:$D,""),pow,XLOOKUP($D229,'Move Editor'!$B:$B,'Move Editor'!$E:$E,0),acc,XLOOKUP($D229,'Move Editor'!$B:$B,'Move Editor'!$F:$F,100),atk,IF(cat="Physical",FLOOR((FLOOR(((2*XLOOKUP(XLOOKUP($Q229,'Threshold Summary'!$Y:$Y,'Threshold Summary'!$K:$K,""),'Pokemon Editor'!$A:$A,'Pokemon Editor'!$F:$F,0)+31+FLOOR(XLOOKUP($Q229,'Threshold Summary'!$Y:$Y,'Threshold Summary'!$P:$P,"")/4))*XLOOKUP($Q229,'Threshold Summary'!$Y:$Y,'Threshold Summary'!$L:$L,""))/100)+5)*XLOOKUP(XLOOKUP($Q229,'Threshold Summary'!$Y:$Y,'Threshold Summary'!$M:$M,""),'Nature Editor'!$A:$A,'Nature Editor'!$B:$B,1)),FLOOR((FLOOR(((2*XLOOKUP(XLOOKUP($Q229,'Threshold Summary'!$Y:$Y,'Threshold Summary'!$K:$K,""),'Pokemon Editor'!$A:$A,'Pokemon Editor'!$H:$H,0)+31+FLOOR(XLOOKUP($Q229,'Threshold Summary'!$Y:$Y,'Threshold Summary'!$R:$R,"")/4))*XLOOKUP($Q229,'Threshold Summary'!$Y:$Y,'Threshold Summary'!$L:$L,""))/100)+5)*XLOOKUP(XLOOKUP($Q229,'Threshold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Editor'!$E:$E,1))),stab,IF(OR(mtype=XLOOKUP(XLOOKUP($Q229,'Threshold Summary'!$Y:$Y,'Threshold Summary'!$K:$K,""),'Pokemon Editor'!$A:$A,'Pokemon Editor'!$C:$C,""),mtype=XLOOKUP(XLOOKUP($Q229,'Threshold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Chart'!$B$1:$S$1,0)))),base,IF(OR(cat="Status",pow=0),0,FLOOR(FLOOR(FLOOR((2*XLOOKUP($Q229,'Threshold Summary'!$Y:$Y,'Threshold Summary'!$L:$L,"")/5+2)*pow*atk/def)/50)+2)),modifier,stab*eff,FLOOR(base*modifier*0.85)),0)</f>
        <v/>
      </c>
      <c r="K229" s="3">
        <f>IFERROR(LET(mtype,XLOOKUP($D229,'Move Editor'!$B:$B,'Move Editor'!$C:$C,""),cat,XLOOKUP($D229,'Move Editor'!$B:$B,'Move Editor'!$D:$D,""),pow,XLOOKUP($D229,'Move Editor'!$B:$B,'Move Editor'!$E:$E,0),acc,XLOOKUP($D229,'Move Editor'!$B:$B,'Move Editor'!$F:$F,100),atk,IF(cat="Physical",FLOOR((FLOOR(((2*XLOOKUP(XLOOKUP($Q229,'Threshold Summary'!$Y:$Y,'Threshold Summary'!$K:$K,""),'Pokemon Editor'!$A:$A,'Pokemon Editor'!$F:$F,0)+31+FLOOR(XLOOKUP($Q229,'Threshold Summary'!$Y:$Y,'Threshold Summary'!$P:$P,"")/4))*XLOOKUP($Q229,'Threshold Summary'!$Y:$Y,'Threshold Summary'!$L:$L,""))/100)+5)*XLOOKUP(XLOOKUP($Q229,'Threshold Summary'!$Y:$Y,'Threshold Summary'!$M:$M,""),'Nature Editor'!$A:$A,'Nature Editor'!$B:$B,1)),FLOOR((FLOOR(((2*XLOOKUP(XLOOKUP($Q229,'Threshold Summary'!$Y:$Y,'Threshold Summary'!$K:$K,""),'Pokemon Editor'!$A:$A,'Pokemon Editor'!$H:$H,0)+31+FLOOR(XLOOKUP($Q229,'Threshold Summary'!$Y:$Y,'Threshold Summary'!$R:$R,"")/4))*XLOOKUP($Q229,'Threshold Summary'!$Y:$Y,'Threshold Summary'!$L:$L,""))/100)+5)*XLOOKUP(XLOOKUP($Q229,'Threshold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Editor'!$E:$E,1))),stab,IF(OR(mtype=XLOOKUP(XLOOKUP($Q229,'Threshold Summary'!$Y:$Y,'Threshold Summary'!$K:$K,""),'Pokemon Editor'!$A:$A,'Pokemon Editor'!$C:$C,""),mtype=XLOOKUP(XLOOKUP($Q229,'Threshold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Chart'!$B$1:$S$1,0)))),base,IF(OR(cat="Status",pow=0),0,FLOOR(FLOOR(FLOOR((2*XLOOKUP($Q229,'Threshold Summary'!$Y:$Y,'Threshold Summary'!$L:$L,"")/5+2)*pow*atk/def)/50)+2)),modifier,stab*eff,FLOOR(base*modifier)),0)</f>
        <v/>
      </c>
      <c r="L229" s="3">
        <f>IFERROR(LET(mtype,XLOOKUP($D229,'Move Editor'!$B:$B,'Move Editor'!$C:$C,""),cat,XLOOKUP($D229,'Move Editor'!$B:$B,'Move Editor'!$D:$D,""),pow,XLOOKUP($D229,'Move Editor'!$B:$B,'Move Editor'!$E:$E,0),acc,XLOOKUP($D229,'Move Editor'!$B:$B,'Move Editor'!$F:$F,100),atk,IF(cat="Physical",FLOOR((FLOOR(((2*XLOOKUP(XLOOKUP($Q229,'Threshold Summary'!$Y:$Y,'Threshold Summary'!$K:$K,""),'Pokemon Editor'!$A:$A,'Pokemon Editor'!$F:$F,0)+31+FLOOR(XLOOKUP($Q229,'Threshold Summary'!$Y:$Y,'Threshold Summary'!$P:$P,"")/4))*XLOOKUP($Q229,'Threshold Summary'!$Y:$Y,'Threshold Summary'!$L:$L,""))/100)+5)*XLOOKUP(XLOOKUP($Q229,'Threshold Summary'!$Y:$Y,'Threshold Summary'!$M:$M,""),'Nature Editor'!$A:$A,'Nature Editor'!$B:$B,1)),FLOOR((FLOOR(((2*XLOOKUP(XLOOKUP($Q229,'Threshold Summary'!$Y:$Y,'Threshold Summary'!$K:$K,""),'Pokemon Editor'!$A:$A,'Pokemon Editor'!$H:$H,0)+31+FLOOR(XLOOKUP($Q229,'Threshold Summary'!$Y:$Y,'Threshold Summary'!$R:$R,"")/4))*XLOOKUP($Q229,'Threshold Summary'!$Y:$Y,'Threshold Summary'!$L:$L,""))/100)+5)*XLOOKUP(XLOOKUP($Q229,'Threshold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Editor'!$E:$E,1))),stab,IF(OR(mtype=XLOOKUP(XLOOKUP($Q229,'Threshold Summary'!$Y:$Y,'Threshold Summary'!$K:$K,""),'Pokemon Editor'!$A:$A,'Pokemon Editor'!$C:$C,""),mtype=XLOOKUP(XLOOKUP($Q229,'Threshold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Chart'!$B$1:$S$1,0)))),base,IF(OR(cat="Status",pow=0),0,FLOOR(FLOOR(FLOOR((2*XLOOKUP($Q229,'Threshold Summary'!$Y:$Y,'Threshold Summary'!$L:$L,"")/5+2)*pow*atk/def)/50)+2)),modifier,stab*eff,AVERAGE(ARRAYFORMULA(FLOOR(base*modifier*SEQUENCE(16,1,85,1)/100)))),0)</f>
        <v/>
      </c>
      <c r="M229" s="3">
        <f>IFERROR(LET(mtype,XLOOKUP($D229,'Move Editor'!$B:$B,'Move Editor'!$C:$C,""),cat,XLOOKUP($D229,'Move Editor'!$B:$B,'Move Editor'!$D:$D,""),pow,XLOOKUP($D229,'Move Editor'!$B:$B,'Move Editor'!$E:$E,0),acc,XLOOKUP($D229,'Move Editor'!$B:$B,'Move Editor'!$F:$F,100),atk,IF(cat="Physical",FLOOR((FLOOR(((2*XLOOKUP(XLOOKUP($Q229,'Threshold Summary'!$Y:$Y,'Threshold Summary'!$K:$K,""),'Pokemon Editor'!$A:$A,'Pokemon Editor'!$F:$F,0)+31+FLOOR(XLOOKUP($Q229,'Threshold Summary'!$Y:$Y,'Threshold Summary'!$P:$P,"")/4))*XLOOKUP($Q229,'Threshold Summary'!$Y:$Y,'Threshold Summary'!$L:$L,""))/100)+5)*XLOOKUP(XLOOKUP($Q229,'Threshold Summary'!$Y:$Y,'Threshold Summary'!$M:$M,""),'Nature Editor'!$A:$A,'Nature Editor'!$B:$B,1)),FLOOR((FLOOR(((2*XLOOKUP(XLOOKUP($Q229,'Threshold Summary'!$Y:$Y,'Threshold Summary'!$K:$K,""),'Pokemon Editor'!$A:$A,'Pokemon Editor'!$H:$H,0)+31+FLOOR(XLOOKUP($Q229,'Threshold Summary'!$Y:$Y,'Threshold Summary'!$R:$R,"")/4))*XLOOKUP($Q229,'Threshold Summary'!$Y:$Y,'Threshold Summary'!$L:$L,""))/100)+5)*XLOOKUP(XLOOKUP($Q229,'Threshold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Editor'!$E:$E,1))),stab,IF(OR(mtype=XLOOKUP(XLOOKUP($Q229,'Threshold Summary'!$Y:$Y,'Threshold Summary'!$K:$K,""),'Pokemon Editor'!$A:$A,'Pokemon Editor'!$C:$C,""),mtype=XLOOKUP(XLOOKUP($Q229,'Threshold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Chart'!$B$1:$S$1,0)))),base,IF(OR(cat="Status",pow=0),0,FLOOR(FLOOR(FLOOR((2*XLOOKUP($Q229,'Threshold Summary'!$Y:$Y,'Threshold Summary'!$L:$L,"")/5+2)*pow*atk/def)/50)+2)),modifier,stab*eff,AVERAGE(ARRAYFORMULA(FLOOR(base*modifier*SEQUENCE(16,1,85,1)/100)))*MIN(1,acc/100)),0)</f>
        <v/>
      </c>
      <c r="N229" s="4">
        <f>IFERROR(LET(mtype,XLOOKUP($D229,'Move Editor'!$B:$B,'Move Editor'!$C:$C,""),cat,XLOOKUP($D229,'Move Editor'!$B:$B,'Move Editor'!$D:$D,""),pow,XLOOKUP($D229,'Move Editor'!$B:$B,'Move Editor'!$E:$E,0),acc,XLOOKUP($D229,'Move Editor'!$B:$B,'Move Editor'!$F:$F,100),atk,IF(cat="Physical",FLOOR((FLOOR(((2*XLOOKUP(XLOOKUP($Q229,'Threshold Summary'!$Y:$Y,'Threshold Summary'!$K:$K,""),'Pokemon Editor'!$A:$A,'Pokemon Editor'!$F:$F,0)+31+FLOOR(XLOOKUP($Q229,'Threshold Summary'!$Y:$Y,'Threshold Summary'!$P:$P,"")/4))*XLOOKUP($Q229,'Threshold Summary'!$Y:$Y,'Threshold Summary'!$L:$L,""))/100)+5)*XLOOKUP(XLOOKUP($Q229,'Threshold Summary'!$Y:$Y,'Threshold Summary'!$M:$M,""),'Nature Editor'!$A:$A,'Nature Editor'!$B:$B,1)),FLOOR((FLOOR(((2*XLOOKUP(XLOOKUP($Q229,'Threshold Summary'!$Y:$Y,'Threshold Summary'!$K:$K,""),'Pokemon Editor'!$A:$A,'Pokemon Editor'!$H:$H,0)+31+FLOOR(XLOOKUP($Q229,'Threshold Summary'!$Y:$Y,'Threshold Summary'!$R:$R,"")/4))*XLOOKUP($Q229,'Threshold Summary'!$Y:$Y,'Threshold Summary'!$L:$L,""))/100)+5)*XLOOKUP(XLOOKUP($Q229,'Threshold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Editor'!$E:$E,1))),stab,IF(OR(mtype=XLOOKUP(XLOOKUP($Q229,'Threshold Summary'!$Y:$Y,'Threshold Summary'!$K:$K,""),'Pokemon Editor'!$A:$A,'Pokemon Editor'!$C:$C,""),mtype=XLOOKUP(XLOOKUP($Q229,'Threshold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Chart'!$B$1:$S$1,0)))),base,IF(OR(cat="Status",pow=0),0,FLOOR(FLOOR(FLOOR((2*XLOOKUP($Q229,'Threshold Summary'!$Y:$Y,'Threshold Summary'!$L:$L,"")/5+2)*pow*atk/def)/50)+2)),modifier,stab*eff,AVERAGE(ARRAYFORMULA(FLOOR(base*modifier*SEQUENCE(16,1,85,1)/100)))/(FLOOR(((2*XLOOKUP('Boss Editor'!$C$4,'Pokemon Editor'!$A:$A,'Pokemon Editor'!$E:$E,0)+31+FLOOR('Boss Editor'!$G$4/4))*'Boss Editor'!$D$4)/100)+'Boss Editor'!$D$4+10)),0)</f>
        <v/>
      </c>
      <c r="O229" s="3">
        <f>IF(N229&gt;=1,"OHKO",IF(N229&gt;=0.5,"2HKO",IF(N229&gt;=0.333,"3HKO",IF(N229&gt;=0.25,"4HKO","5HKO+"))))</f>
        <v/>
      </c>
      <c r="P229" s="3" t="inlineStr">
        <is>
          <t>Live from editable databases</t>
        </is>
      </c>
      <c r="Q229" s="3" t="inlineStr">
        <is>
          <t>SPECIES_RALTS</t>
        </is>
      </c>
      <c r="R229" s="3" t="n">
        <v>4</v>
      </c>
    </row>
    <row r="230">
      <c r="A230" s="3">
        <f>XLOOKUP($Q230,'Threshold Summary'!$Y:$Y,'Threshold Summary'!$A:$A,"")</f>
        <v/>
      </c>
      <c r="B230" s="3">
        <f>XLOOKUP($Q230,'Threshold Summary'!$Y:$Y,'Threshold Summary'!$M:$M,"")</f>
        <v/>
      </c>
      <c r="C230" s="3">
        <f>XLOOKUP($Q230,'Threshold Summary'!$Y:$Y,'Threshold Summary'!$N:$N,"")</f>
        <v/>
      </c>
      <c r="D230" s="3">
        <f>IFERROR(INDEX(FILTER('Learnset Editor'!$D$2:$D,'Learnset Editor'!$A$2:$A=XLOOKUP($Q230,'Threshold Summary'!$Y:$Y,'Threshold Summary'!$K:$K,""),'Learnset Editor'!$C$2:$C&lt;=XLOOKUP($Q230,'Threshold Summary'!$Y:$Y,'Threshold Summary'!$L:$L,"")),$R230),"")</f>
        <v/>
      </c>
      <c r="E230" s="3">
        <f>XLOOKUP(D230,'Move Editor'!$B:$B,'Move Editor'!$C:$C,"")</f>
        <v/>
      </c>
      <c r="F230" s="3">
        <f>XLOOKUP(D230,'Move Editor'!$B:$B,'Move Editor'!$D:$D,"")</f>
        <v/>
      </c>
      <c r="G230" s="3">
        <f>XLOOKUP(D230,'Move Editor'!$B:$B,'Move Editor'!$E:$E,0)</f>
        <v/>
      </c>
      <c r="H230" s="3">
        <f>XLOOKUP(D230,'Move Editor'!$B:$B,'Move Editor'!$F:$F,0)</f>
        <v/>
      </c>
      <c r="I230" s="3">
        <f>(INDEX('Type Chart'!$B:$S,MATCH(E230,'Type Chart'!$A:$A,0),MATCH(XLOOKUP('Boss Editor'!$C$4,'Pokemon Editor'!$A:$A,'Pokemon Editor'!$C:$C,""),'Type Chart'!$B$1:$S$1,0))*IF(XLOOKUP('Boss Editor'!$C$4,'Pokemon Editor'!$A:$A,'Pokemon Editor'!$D:$D,"")="",1,INDEX('Type Chart'!$B:$S,MATCH(E230,'Type Chart'!$A:$A,0),MATCH(XLOOKUP('Boss Editor'!$C$4,'Pokemon Editor'!$A:$A,'Pokemon Editor'!$D:$D,""),'Type Chart'!$B$1:$S$1,0))))</f>
        <v/>
      </c>
      <c r="J230" s="3">
        <f>IFERROR(LET(mtype,XLOOKUP($D230,'Move Editor'!$B:$B,'Move Editor'!$C:$C,""),cat,XLOOKUP($D230,'Move Editor'!$B:$B,'Move Editor'!$D:$D,""),pow,XLOOKUP($D230,'Move Editor'!$B:$B,'Move Editor'!$E:$E,0),acc,XLOOKUP($D230,'Move Editor'!$B:$B,'Move Editor'!$F:$F,100),atk,IF(cat="Physical",FLOOR((FLOOR(((2*XLOOKUP(XLOOKUP($Q230,'Threshold Summary'!$Y:$Y,'Threshold Summary'!$K:$K,""),'Pokemon Editor'!$A:$A,'Pokemon Editor'!$F:$F,0)+31+FLOOR(XLOOKUP($Q230,'Threshold Summary'!$Y:$Y,'Threshold Summary'!$P:$P,"")/4))*XLOOKUP($Q230,'Threshold Summary'!$Y:$Y,'Threshold Summary'!$L:$L,""))/100)+5)*XLOOKUP(XLOOKUP($Q230,'Threshold Summary'!$Y:$Y,'Threshold Summary'!$M:$M,""),'Nature Editor'!$A:$A,'Nature Editor'!$B:$B,1)),FLOOR((FLOOR(((2*XLOOKUP(XLOOKUP($Q230,'Threshold Summary'!$Y:$Y,'Threshold Summary'!$K:$K,""),'Pokemon Editor'!$A:$A,'Pokemon Editor'!$H:$H,0)+31+FLOOR(XLOOKUP($Q230,'Threshold Summary'!$Y:$Y,'Threshold Summary'!$R:$R,"")/4))*XLOOKUP($Q230,'Threshold Summary'!$Y:$Y,'Threshold Summary'!$L:$L,""))/100)+5)*XLOOKUP(XLOOKUP($Q230,'Threshold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Editor'!$E:$E,1))),stab,IF(OR(mtype=XLOOKUP(XLOOKUP($Q230,'Threshold Summary'!$Y:$Y,'Threshold Summary'!$K:$K,""),'Pokemon Editor'!$A:$A,'Pokemon Editor'!$C:$C,""),mtype=XLOOKUP(XLOOKUP($Q230,'Threshold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Chart'!$B$1:$S$1,0)))),base,IF(OR(cat="Status",pow=0),0,FLOOR(FLOOR(FLOOR((2*XLOOKUP($Q230,'Threshold Summary'!$Y:$Y,'Threshold Summary'!$L:$L,"")/5+2)*pow*atk/def)/50)+2)),modifier,stab*eff,FLOOR(base*modifier*0.85)),0)</f>
        <v/>
      </c>
      <c r="K230" s="3">
        <f>IFERROR(LET(mtype,XLOOKUP($D230,'Move Editor'!$B:$B,'Move Editor'!$C:$C,""),cat,XLOOKUP($D230,'Move Editor'!$B:$B,'Move Editor'!$D:$D,""),pow,XLOOKUP($D230,'Move Editor'!$B:$B,'Move Editor'!$E:$E,0),acc,XLOOKUP($D230,'Move Editor'!$B:$B,'Move Editor'!$F:$F,100),atk,IF(cat="Physical",FLOOR((FLOOR(((2*XLOOKUP(XLOOKUP($Q230,'Threshold Summary'!$Y:$Y,'Threshold Summary'!$K:$K,""),'Pokemon Editor'!$A:$A,'Pokemon Editor'!$F:$F,0)+31+FLOOR(XLOOKUP($Q230,'Threshold Summary'!$Y:$Y,'Threshold Summary'!$P:$P,"")/4))*XLOOKUP($Q230,'Threshold Summary'!$Y:$Y,'Threshold Summary'!$L:$L,""))/100)+5)*XLOOKUP(XLOOKUP($Q230,'Threshold Summary'!$Y:$Y,'Threshold Summary'!$M:$M,""),'Nature Editor'!$A:$A,'Nature Editor'!$B:$B,1)),FLOOR((FLOOR(((2*XLOOKUP(XLOOKUP($Q230,'Threshold Summary'!$Y:$Y,'Threshold Summary'!$K:$K,""),'Pokemon Editor'!$A:$A,'Pokemon Editor'!$H:$H,0)+31+FLOOR(XLOOKUP($Q230,'Threshold Summary'!$Y:$Y,'Threshold Summary'!$R:$R,"")/4))*XLOOKUP($Q230,'Threshold Summary'!$Y:$Y,'Threshold Summary'!$L:$L,""))/100)+5)*XLOOKUP(XLOOKUP($Q230,'Threshold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Editor'!$E:$E,1))),stab,IF(OR(mtype=XLOOKUP(XLOOKUP($Q230,'Threshold Summary'!$Y:$Y,'Threshold Summary'!$K:$K,""),'Pokemon Editor'!$A:$A,'Pokemon Editor'!$C:$C,""),mtype=XLOOKUP(XLOOKUP($Q230,'Threshold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Chart'!$B$1:$S$1,0)))),base,IF(OR(cat="Status",pow=0),0,FLOOR(FLOOR(FLOOR((2*XLOOKUP($Q230,'Threshold Summary'!$Y:$Y,'Threshold Summary'!$L:$L,"")/5+2)*pow*atk/def)/50)+2)),modifier,stab*eff,FLOOR(base*modifier)),0)</f>
        <v/>
      </c>
      <c r="L230" s="3">
        <f>IFERROR(LET(mtype,XLOOKUP($D230,'Move Editor'!$B:$B,'Move Editor'!$C:$C,""),cat,XLOOKUP($D230,'Move Editor'!$B:$B,'Move Editor'!$D:$D,""),pow,XLOOKUP($D230,'Move Editor'!$B:$B,'Move Editor'!$E:$E,0),acc,XLOOKUP($D230,'Move Editor'!$B:$B,'Move Editor'!$F:$F,100),atk,IF(cat="Physical",FLOOR((FLOOR(((2*XLOOKUP(XLOOKUP($Q230,'Threshold Summary'!$Y:$Y,'Threshold Summary'!$K:$K,""),'Pokemon Editor'!$A:$A,'Pokemon Editor'!$F:$F,0)+31+FLOOR(XLOOKUP($Q230,'Threshold Summary'!$Y:$Y,'Threshold Summary'!$P:$P,"")/4))*XLOOKUP($Q230,'Threshold Summary'!$Y:$Y,'Threshold Summary'!$L:$L,""))/100)+5)*XLOOKUP(XLOOKUP($Q230,'Threshold Summary'!$Y:$Y,'Threshold Summary'!$M:$M,""),'Nature Editor'!$A:$A,'Nature Editor'!$B:$B,1)),FLOOR((FLOOR(((2*XLOOKUP(XLOOKUP($Q230,'Threshold Summary'!$Y:$Y,'Threshold Summary'!$K:$K,""),'Pokemon Editor'!$A:$A,'Pokemon Editor'!$H:$H,0)+31+FLOOR(XLOOKUP($Q230,'Threshold Summary'!$Y:$Y,'Threshold Summary'!$R:$R,"")/4))*XLOOKUP($Q230,'Threshold Summary'!$Y:$Y,'Threshold Summary'!$L:$L,""))/100)+5)*XLOOKUP(XLOOKUP($Q230,'Threshold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Editor'!$E:$E,1))),stab,IF(OR(mtype=XLOOKUP(XLOOKUP($Q230,'Threshold Summary'!$Y:$Y,'Threshold Summary'!$K:$K,""),'Pokemon Editor'!$A:$A,'Pokemon Editor'!$C:$C,""),mtype=XLOOKUP(XLOOKUP($Q230,'Threshold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Chart'!$B$1:$S$1,0)))),base,IF(OR(cat="Status",pow=0),0,FLOOR(FLOOR(FLOOR((2*XLOOKUP($Q230,'Threshold Summary'!$Y:$Y,'Threshold Summary'!$L:$L,"")/5+2)*pow*atk/def)/50)+2)),modifier,stab*eff,AVERAGE(ARRAYFORMULA(FLOOR(base*modifier*SEQUENCE(16,1,85,1)/100)))),0)</f>
        <v/>
      </c>
      <c r="M230" s="3">
        <f>IFERROR(LET(mtype,XLOOKUP($D230,'Move Editor'!$B:$B,'Move Editor'!$C:$C,""),cat,XLOOKUP($D230,'Move Editor'!$B:$B,'Move Editor'!$D:$D,""),pow,XLOOKUP($D230,'Move Editor'!$B:$B,'Move Editor'!$E:$E,0),acc,XLOOKUP($D230,'Move Editor'!$B:$B,'Move Editor'!$F:$F,100),atk,IF(cat="Physical",FLOOR((FLOOR(((2*XLOOKUP(XLOOKUP($Q230,'Threshold Summary'!$Y:$Y,'Threshold Summary'!$K:$K,""),'Pokemon Editor'!$A:$A,'Pokemon Editor'!$F:$F,0)+31+FLOOR(XLOOKUP($Q230,'Threshold Summary'!$Y:$Y,'Threshold Summary'!$P:$P,"")/4))*XLOOKUP($Q230,'Threshold Summary'!$Y:$Y,'Threshold Summary'!$L:$L,""))/100)+5)*XLOOKUP(XLOOKUP($Q230,'Threshold Summary'!$Y:$Y,'Threshold Summary'!$M:$M,""),'Nature Editor'!$A:$A,'Nature Editor'!$B:$B,1)),FLOOR((FLOOR(((2*XLOOKUP(XLOOKUP($Q230,'Threshold Summary'!$Y:$Y,'Threshold Summary'!$K:$K,""),'Pokemon Editor'!$A:$A,'Pokemon Editor'!$H:$H,0)+31+FLOOR(XLOOKUP($Q230,'Threshold Summary'!$Y:$Y,'Threshold Summary'!$R:$R,"")/4))*XLOOKUP($Q230,'Threshold Summary'!$Y:$Y,'Threshold Summary'!$L:$L,""))/100)+5)*XLOOKUP(XLOOKUP($Q230,'Threshold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Editor'!$E:$E,1))),stab,IF(OR(mtype=XLOOKUP(XLOOKUP($Q230,'Threshold Summary'!$Y:$Y,'Threshold Summary'!$K:$K,""),'Pokemon Editor'!$A:$A,'Pokemon Editor'!$C:$C,""),mtype=XLOOKUP(XLOOKUP($Q230,'Threshold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Chart'!$B$1:$S$1,0)))),base,IF(OR(cat="Status",pow=0),0,FLOOR(FLOOR(FLOOR((2*XLOOKUP($Q230,'Threshold Summary'!$Y:$Y,'Threshold Summary'!$L:$L,"")/5+2)*pow*atk/def)/50)+2)),modifier,stab*eff,AVERAGE(ARRAYFORMULA(FLOOR(base*modifier*SEQUENCE(16,1,85,1)/100)))*MIN(1,acc/100)),0)</f>
        <v/>
      </c>
      <c r="N230" s="4">
        <f>IFERROR(LET(mtype,XLOOKUP($D230,'Move Editor'!$B:$B,'Move Editor'!$C:$C,""),cat,XLOOKUP($D230,'Move Editor'!$B:$B,'Move Editor'!$D:$D,""),pow,XLOOKUP($D230,'Move Editor'!$B:$B,'Move Editor'!$E:$E,0),acc,XLOOKUP($D230,'Move Editor'!$B:$B,'Move Editor'!$F:$F,100),atk,IF(cat="Physical",FLOOR((FLOOR(((2*XLOOKUP(XLOOKUP($Q230,'Threshold Summary'!$Y:$Y,'Threshold Summary'!$K:$K,""),'Pokemon Editor'!$A:$A,'Pokemon Editor'!$F:$F,0)+31+FLOOR(XLOOKUP($Q230,'Threshold Summary'!$Y:$Y,'Threshold Summary'!$P:$P,"")/4))*XLOOKUP($Q230,'Threshold Summary'!$Y:$Y,'Threshold Summary'!$L:$L,""))/100)+5)*XLOOKUP(XLOOKUP($Q230,'Threshold Summary'!$Y:$Y,'Threshold Summary'!$M:$M,""),'Nature Editor'!$A:$A,'Nature Editor'!$B:$B,1)),FLOOR((FLOOR(((2*XLOOKUP(XLOOKUP($Q230,'Threshold Summary'!$Y:$Y,'Threshold Summary'!$K:$K,""),'Pokemon Editor'!$A:$A,'Pokemon Editor'!$H:$H,0)+31+FLOOR(XLOOKUP($Q230,'Threshold Summary'!$Y:$Y,'Threshold Summary'!$R:$R,"")/4))*XLOOKUP($Q230,'Threshold Summary'!$Y:$Y,'Threshold Summary'!$L:$L,""))/100)+5)*XLOOKUP(XLOOKUP($Q230,'Threshold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Editor'!$E:$E,1))),stab,IF(OR(mtype=XLOOKUP(XLOOKUP($Q230,'Threshold Summary'!$Y:$Y,'Threshold Summary'!$K:$K,""),'Pokemon Editor'!$A:$A,'Pokemon Editor'!$C:$C,""),mtype=XLOOKUP(XLOOKUP($Q230,'Threshold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Chart'!$B$1:$S$1,0)))),base,IF(OR(cat="Status",pow=0),0,FLOOR(FLOOR(FLOOR((2*XLOOKUP($Q230,'Threshold Summary'!$Y:$Y,'Threshold Summary'!$L:$L,"")/5+2)*pow*atk/def)/50)+2)),modifier,stab*eff,AVERAGE(ARRAYFORMULA(FLOOR(base*modifier*SEQUENCE(16,1,85,1)/100)))/(FLOOR(((2*XLOOKUP('Boss Editor'!$C$4,'Pokemon Editor'!$A:$A,'Pokemon Editor'!$E:$E,0)+31+FLOOR('Boss Editor'!$G$4/4))*'Boss Editor'!$D$4)/100)+'Boss Editor'!$D$4+10)),0)</f>
        <v/>
      </c>
      <c r="O230" s="3">
        <f>IF(N230&gt;=1,"OHKO",IF(N230&gt;=0.5,"2HKO",IF(N230&gt;=0.333,"3HKO",IF(N230&gt;=0.25,"4HKO","5HKO+"))))</f>
        <v/>
      </c>
      <c r="P230" s="3" t="inlineStr">
        <is>
          <t>Live from editable databases</t>
        </is>
      </c>
      <c r="Q230" s="3" t="inlineStr">
        <is>
          <t>SPECIES_RALTS</t>
        </is>
      </c>
      <c r="R230" s="3" t="n">
        <v>5</v>
      </c>
    </row>
    <row r="231">
      <c r="A231" s="3">
        <f>XLOOKUP($Q231,'Threshold Summary'!$Y:$Y,'Threshold Summary'!$A:$A,"")</f>
        <v/>
      </c>
      <c r="B231" s="3">
        <f>XLOOKUP($Q231,'Threshold Summary'!$Y:$Y,'Threshold Summary'!$M:$M,"")</f>
        <v/>
      </c>
      <c r="C231" s="3">
        <f>XLOOKUP($Q231,'Threshold Summary'!$Y:$Y,'Threshold Summary'!$N:$N,"")</f>
        <v/>
      </c>
      <c r="D231" s="3">
        <f>IFERROR(INDEX(FILTER('Learnset Editor'!$D$2:$D,'Learnset Editor'!$A$2:$A=XLOOKUP($Q231,'Threshold Summary'!$Y:$Y,'Threshold Summary'!$K:$K,""),'Learnset Editor'!$C$2:$C&lt;=XLOOKUP($Q231,'Threshold Summary'!$Y:$Y,'Threshold Summary'!$L:$L,"")),$R231),"")</f>
        <v/>
      </c>
      <c r="E231" s="3">
        <f>XLOOKUP(D231,'Move Editor'!$B:$B,'Move Editor'!$C:$C,"")</f>
        <v/>
      </c>
      <c r="F231" s="3">
        <f>XLOOKUP(D231,'Move Editor'!$B:$B,'Move Editor'!$D:$D,"")</f>
        <v/>
      </c>
      <c r="G231" s="3">
        <f>XLOOKUP(D231,'Move Editor'!$B:$B,'Move Editor'!$E:$E,0)</f>
        <v/>
      </c>
      <c r="H231" s="3">
        <f>XLOOKUP(D231,'Move Editor'!$B:$B,'Move Editor'!$F:$F,0)</f>
        <v/>
      </c>
      <c r="I231" s="3">
        <f>(INDEX('Type Chart'!$B:$S,MATCH(E231,'Type Chart'!$A:$A,0),MATCH(XLOOKUP('Boss Editor'!$C$4,'Pokemon Editor'!$A:$A,'Pokemon Editor'!$C:$C,""),'Type Chart'!$B$1:$S$1,0))*IF(XLOOKUP('Boss Editor'!$C$4,'Pokemon Editor'!$A:$A,'Pokemon Editor'!$D:$D,"")="",1,INDEX('Type Chart'!$B:$S,MATCH(E231,'Type Chart'!$A:$A,0),MATCH(XLOOKUP('Boss Editor'!$C$4,'Pokemon Editor'!$A:$A,'Pokemon Editor'!$D:$D,""),'Type Chart'!$B$1:$S$1,0))))</f>
        <v/>
      </c>
      <c r="J231" s="3">
        <f>IFERROR(LET(mtype,XLOOKUP($D231,'Move Editor'!$B:$B,'Move Editor'!$C:$C,""),cat,XLOOKUP($D231,'Move Editor'!$B:$B,'Move Editor'!$D:$D,""),pow,XLOOKUP($D231,'Move Editor'!$B:$B,'Move Editor'!$E:$E,0),acc,XLOOKUP($D231,'Move Editor'!$B:$B,'Move Editor'!$F:$F,100),atk,IF(cat="Physical",FLOOR((FLOOR(((2*XLOOKUP(XLOOKUP($Q231,'Threshold Summary'!$Y:$Y,'Threshold Summary'!$K:$K,""),'Pokemon Editor'!$A:$A,'Pokemon Editor'!$F:$F,0)+31+FLOOR(XLOOKUP($Q231,'Threshold Summary'!$Y:$Y,'Threshold Summary'!$P:$P,"")/4))*XLOOKUP($Q231,'Threshold Summary'!$Y:$Y,'Threshold Summary'!$L:$L,""))/100)+5)*XLOOKUP(XLOOKUP($Q231,'Threshold Summary'!$Y:$Y,'Threshold Summary'!$M:$M,""),'Nature Editor'!$A:$A,'Nature Editor'!$B:$B,1)),FLOOR((FLOOR(((2*XLOOKUP(XLOOKUP($Q231,'Threshold Summary'!$Y:$Y,'Threshold Summary'!$K:$K,""),'Pokemon Editor'!$A:$A,'Pokemon Editor'!$H:$H,0)+31+FLOOR(XLOOKUP($Q231,'Threshold Summary'!$Y:$Y,'Threshold Summary'!$R:$R,"")/4))*XLOOKUP($Q231,'Threshold Summary'!$Y:$Y,'Threshold Summary'!$L:$L,""))/100)+5)*XLOOKUP(XLOOKUP($Q231,'Threshold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Editor'!$E:$E,1))),stab,IF(OR(mtype=XLOOKUP(XLOOKUP($Q231,'Threshold Summary'!$Y:$Y,'Threshold Summary'!$K:$K,""),'Pokemon Editor'!$A:$A,'Pokemon Editor'!$C:$C,""),mtype=XLOOKUP(XLOOKUP($Q231,'Threshold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Chart'!$B$1:$S$1,0)))),base,IF(OR(cat="Status",pow=0),0,FLOOR(FLOOR(FLOOR((2*XLOOKUP($Q231,'Threshold Summary'!$Y:$Y,'Threshold Summary'!$L:$L,"")/5+2)*pow*atk/def)/50)+2)),modifier,stab*eff,FLOOR(base*modifier*0.85)),0)</f>
        <v/>
      </c>
      <c r="K231" s="3">
        <f>IFERROR(LET(mtype,XLOOKUP($D231,'Move Editor'!$B:$B,'Move Editor'!$C:$C,""),cat,XLOOKUP($D231,'Move Editor'!$B:$B,'Move Editor'!$D:$D,""),pow,XLOOKUP($D231,'Move Editor'!$B:$B,'Move Editor'!$E:$E,0),acc,XLOOKUP($D231,'Move Editor'!$B:$B,'Move Editor'!$F:$F,100),atk,IF(cat="Physical",FLOOR((FLOOR(((2*XLOOKUP(XLOOKUP($Q231,'Threshold Summary'!$Y:$Y,'Threshold Summary'!$K:$K,""),'Pokemon Editor'!$A:$A,'Pokemon Editor'!$F:$F,0)+31+FLOOR(XLOOKUP($Q231,'Threshold Summary'!$Y:$Y,'Threshold Summary'!$P:$P,"")/4))*XLOOKUP($Q231,'Threshold Summary'!$Y:$Y,'Threshold Summary'!$L:$L,""))/100)+5)*XLOOKUP(XLOOKUP($Q231,'Threshold Summary'!$Y:$Y,'Threshold Summary'!$M:$M,""),'Nature Editor'!$A:$A,'Nature Editor'!$B:$B,1)),FLOOR((FLOOR(((2*XLOOKUP(XLOOKUP($Q231,'Threshold Summary'!$Y:$Y,'Threshold Summary'!$K:$K,""),'Pokemon Editor'!$A:$A,'Pokemon Editor'!$H:$H,0)+31+FLOOR(XLOOKUP($Q231,'Threshold Summary'!$Y:$Y,'Threshold Summary'!$R:$R,"")/4))*XLOOKUP($Q231,'Threshold Summary'!$Y:$Y,'Threshold Summary'!$L:$L,""))/100)+5)*XLOOKUP(XLOOKUP($Q231,'Threshold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Editor'!$E:$E,1))),stab,IF(OR(mtype=XLOOKUP(XLOOKUP($Q231,'Threshold Summary'!$Y:$Y,'Threshold Summary'!$K:$K,""),'Pokemon Editor'!$A:$A,'Pokemon Editor'!$C:$C,""),mtype=XLOOKUP(XLOOKUP($Q231,'Threshold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Chart'!$B$1:$S$1,0)))),base,IF(OR(cat="Status",pow=0),0,FLOOR(FLOOR(FLOOR((2*XLOOKUP($Q231,'Threshold Summary'!$Y:$Y,'Threshold Summary'!$L:$L,"")/5+2)*pow*atk/def)/50)+2)),modifier,stab*eff,FLOOR(base*modifier)),0)</f>
        <v/>
      </c>
      <c r="L231" s="3">
        <f>IFERROR(LET(mtype,XLOOKUP($D231,'Move Editor'!$B:$B,'Move Editor'!$C:$C,""),cat,XLOOKUP($D231,'Move Editor'!$B:$B,'Move Editor'!$D:$D,""),pow,XLOOKUP($D231,'Move Editor'!$B:$B,'Move Editor'!$E:$E,0),acc,XLOOKUP($D231,'Move Editor'!$B:$B,'Move Editor'!$F:$F,100),atk,IF(cat="Physical",FLOOR((FLOOR(((2*XLOOKUP(XLOOKUP($Q231,'Threshold Summary'!$Y:$Y,'Threshold Summary'!$K:$K,""),'Pokemon Editor'!$A:$A,'Pokemon Editor'!$F:$F,0)+31+FLOOR(XLOOKUP($Q231,'Threshold Summary'!$Y:$Y,'Threshold Summary'!$P:$P,"")/4))*XLOOKUP($Q231,'Threshold Summary'!$Y:$Y,'Threshold Summary'!$L:$L,""))/100)+5)*XLOOKUP(XLOOKUP($Q231,'Threshold Summary'!$Y:$Y,'Threshold Summary'!$M:$M,""),'Nature Editor'!$A:$A,'Nature Editor'!$B:$B,1)),FLOOR((FLOOR(((2*XLOOKUP(XLOOKUP($Q231,'Threshold Summary'!$Y:$Y,'Threshold Summary'!$K:$K,""),'Pokemon Editor'!$A:$A,'Pokemon Editor'!$H:$H,0)+31+FLOOR(XLOOKUP($Q231,'Threshold Summary'!$Y:$Y,'Threshold Summary'!$R:$R,"")/4))*XLOOKUP($Q231,'Threshold Summary'!$Y:$Y,'Threshold Summary'!$L:$L,""))/100)+5)*XLOOKUP(XLOOKUP($Q231,'Threshold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Editor'!$E:$E,1))),stab,IF(OR(mtype=XLOOKUP(XLOOKUP($Q231,'Threshold Summary'!$Y:$Y,'Threshold Summary'!$K:$K,""),'Pokemon Editor'!$A:$A,'Pokemon Editor'!$C:$C,""),mtype=XLOOKUP(XLOOKUP($Q231,'Threshold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Chart'!$B$1:$S$1,0)))),base,IF(OR(cat="Status",pow=0),0,FLOOR(FLOOR(FLOOR((2*XLOOKUP($Q231,'Threshold Summary'!$Y:$Y,'Threshold Summary'!$L:$L,"")/5+2)*pow*atk/def)/50)+2)),modifier,stab*eff,AVERAGE(ARRAYFORMULA(FLOOR(base*modifier*SEQUENCE(16,1,85,1)/100)))),0)</f>
        <v/>
      </c>
      <c r="M231" s="3">
        <f>IFERROR(LET(mtype,XLOOKUP($D231,'Move Editor'!$B:$B,'Move Editor'!$C:$C,""),cat,XLOOKUP($D231,'Move Editor'!$B:$B,'Move Editor'!$D:$D,""),pow,XLOOKUP($D231,'Move Editor'!$B:$B,'Move Editor'!$E:$E,0),acc,XLOOKUP($D231,'Move Editor'!$B:$B,'Move Editor'!$F:$F,100),atk,IF(cat="Physical",FLOOR((FLOOR(((2*XLOOKUP(XLOOKUP($Q231,'Threshold Summary'!$Y:$Y,'Threshold Summary'!$K:$K,""),'Pokemon Editor'!$A:$A,'Pokemon Editor'!$F:$F,0)+31+FLOOR(XLOOKUP($Q231,'Threshold Summary'!$Y:$Y,'Threshold Summary'!$P:$P,"")/4))*XLOOKUP($Q231,'Threshold Summary'!$Y:$Y,'Threshold Summary'!$L:$L,""))/100)+5)*XLOOKUP(XLOOKUP($Q231,'Threshold Summary'!$Y:$Y,'Threshold Summary'!$M:$M,""),'Nature Editor'!$A:$A,'Nature Editor'!$B:$B,1)),FLOOR((FLOOR(((2*XLOOKUP(XLOOKUP($Q231,'Threshold Summary'!$Y:$Y,'Threshold Summary'!$K:$K,""),'Pokemon Editor'!$A:$A,'Pokemon Editor'!$H:$H,0)+31+FLOOR(XLOOKUP($Q231,'Threshold Summary'!$Y:$Y,'Threshold Summary'!$R:$R,"")/4))*XLOOKUP($Q231,'Threshold Summary'!$Y:$Y,'Threshold Summary'!$L:$L,""))/100)+5)*XLOOKUP(XLOOKUP($Q231,'Threshold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Editor'!$E:$E,1))),stab,IF(OR(mtype=XLOOKUP(XLOOKUP($Q231,'Threshold Summary'!$Y:$Y,'Threshold Summary'!$K:$K,""),'Pokemon Editor'!$A:$A,'Pokemon Editor'!$C:$C,""),mtype=XLOOKUP(XLOOKUP($Q231,'Threshold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Chart'!$B$1:$S$1,0)))),base,IF(OR(cat="Status",pow=0),0,FLOOR(FLOOR(FLOOR((2*XLOOKUP($Q231,'Threshold Summary'!$Y:$Y,'Threshold Summary'!$L:$L,"")/5+2)*pow*atk/def)/50)+2)),modifier,stab*eff,AVERAGE(ARRAYFORMULA(FLOOR(base*modifier*SEQUENCE(16,1,85,1)/100)))*MIN(1,acc/100)),0)</f>
        <v/>
      </c>
      <c r="N231" s="4">
        <f>IFERROR(LET(mtype,XLOOKUP($D231,'Move Editor'!$B:$B,'Move Editor'!$C:$C,""),cat,XLOOKUP($D231,'Move Editor'!$B:$B,'Move Editor'!$D:$D,""),pow,XLOOKUP($D231,'Move Editor'!$B:$B,'Move Editor'!$E:$E,0),acc,XLOOKUP($D231,'Move Editor'!$B:$B,'Move Editor'!$F:$F,100),atk,IF(cat="Physical",FLOOR((FLOOR(((2*XLOOKUP(XLOOKUP($Q231,'Threshold Summary'!$Y:$Y,'Threshold Summary'!$K:$K,""),'Pokemon Editor'!$A:$A,'Pokemon Editor'!$F:$F,0)+31+FLOOR(XLOOKUP($Q231,'Threshold Summary'!$Y:$Y,'Threshold Summary'!$P:$P,"")/4))*XLOOKUP($Q231,'Threshold Summary'!$Y:$Y,'Threshold Summary'!$L:$L,""))/100)+5)*XLOOKUP(XLOOKUP($Q231,'Threshold Summary'!$Y:$Y,'Threshold Summary'!$M:$M,""),'Nature Editor'!$A:$A,'Nature Editor'!$B:$B,1)),FLOOR((FLOOR(((2*XLOOKUP(XLOOKUP($Q231,'Threshold Summary'!$Y:$Y,'Threshold Summary'!$K:$K,""),'Pokemon Editor'!$A:$A,'Pokemon Editor'!$H:$H,0)+31+FLOOR(XLOOKUP($Q231,'Threshold Summary'!$Y:$Y,'Threshold Summary'!$R:$R,"")/4))*XLOOKUP($Q231,'Threshold Summary'!$Y:$Y,'Threshold Summary'!$L:$L,""))/100)+5)*XLOOKUP(XLOOKUP($Q231,'Threshold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Editor'!$E:$E,1))),stab,IF(OR(mtype=XLOOKUP(XLOOKUP($Q231,'Threshold Summary'!$Y:$Y,'Threshold Summary'!$K:$K,""),'Pokemon Editor'!$A:$A,'Pokemon Editor'!$C:$C,""),mtype=XLOOKUP(XLOOKUP($Q231,'Threshold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Chart'!$B$1:$S$1,0)))),base,IF(OR(cat="Status",pow=0),0,FLOOR(FLOOR(FLOOR((2*XLOOKUP($Q231,'Threshold Summary'!$Y:$Y,'Threshold Summary'!$L:$L,"")/5+2)*pow*atk/def)/50)+2)),modifier,stab*eff,AVERAGE(ARRAYFORMULA(FLOOR(base*modifier*SEQUENCE(16,1,85,1)/100)))/(FLOOR(((2*XLOOKUP('Boss Editor'!$C$4,'Pokemon Editor'!$A:$A,'Pokemon Editor'!$E:$E,0)+31+FLOOR('Boss Editor'!$G$4/4))*'Boss Editor'!$D$4)/100)+'Boss Editor'!$D$4+10)),0)</f>
        <v/>
      </c>
      <c r="O231" s="3">
        <f>IF(N231&gt;=1,"OHKO",IF(N231&gt;=0.5,"2HKO",IF(N231&gt;=0.333,"3HKO",IF(N231&gt;=0.25,"4HKO","5HKO+"))))</f>
        <v/>
      </c>
      <c r="P231" s="3" t="inlineStr">
        <is>
          <t>Live from editable databases</t>
        </is>
      </c>
      <c r="Q231" s="3" t="inlineStr">
        <is>
          <t>SPECIES_RALTS</t>
        </is>
      </c>
      <c r="R231" s="3" t="n">
        <v>6</v>
      </c>
    </row>
    <row r="232">
      <c r="A232" s="3">
        <f>XLOOKUP($Q232,'Threshold Summary'!$Y:$Y,'Threshold Summary'!$A:$A,"")</f>
        <v/>
      </c>
      <c r="B232" s="3">
        <f>XLOOKUP($Q232,'Threshold Summary'!$Y:$Y,'Threshold Summary'!$M:$M,"")</f>
        <v/>
      </c>
      <c r="C232" s="3">
        <f>XLOOKUP($Q232,'Threshold Summary'!$Y:$Y,'Threshold Summary'!$N:$N,"")</f>
        <v/>
      </c>
      <c r="D232" s="3">
        <f>IFERROR(INDEX(FILTER('Learnset Editor'!$D$2:$D,'Learnset Editor'!$A$2:$A=XLOOKUP($Q232,'Threshold Summary'!$Y:$Y,'Threshold Summary'!$K:$K,""),'Learnset Editor'!$C$2:$C&lt;=XLOOKUP($Q232,'Threshold Summary'!$Y:$Y,'Threshold Summary'!$L:$L,"")),$R232),"")</f>
        <v/>
      </c>
      <c r="E232" s="3">
        <f>XLOOKUP(D232,'Move Editor'!$B:$B,'Move Editor'!$C:$C,"")</f>
        <v/>
      </c>
      <c r="F232" s="3">
        <f>XLOOKUP(D232,'Move Editor'!$B:$B,'Move Editor'!$D:$D,"")</f>
        <v/>
      </c>
      <c r="G232" s="3">
        <f>XLOOKUP(D232,'Move Editor'!$B:$B,'Move Editor'!$E:$E,0)</f>
        <v/>
      </c>
      <c r="H232" s="3">
        <f>XLOOKUP(D232,'Move Editor'!$B:$B,'Move Editor'!$F:$F,0)</f>
        <v/>
      </c>
      <c r="I232" s="3">
        <f>(INDEX('Type Chart'!$B:$S,MATCH(E232,'Type Chart'!$A:$A,0),MATCH(XLOOKUP('Boss Editor'!$C$4,'Pokemon Editor'!$A:$A,'Pokemon Editor'!$C:$C,""),'Type Chart'!$B$1:$S$1,0))*IF(XLOOKUP('Boss Editor'!$C$4,'Pokemon Editor'!$A:$A,'Pokemon Editor'!$D:$D,"")="",1,INDEX('Type Chart'!$B:$S,MATCH(E232,'Type Chart'!$A:$A,0),MATCH(XLOOKUP('Boss Editor'!$C$4,'Pokemon Editor'!$A:$A,'Pokemon Editor'!$D:$D,""),'Type Chart'!$B$1:$S$1,0))))</f>
        <v/>
      </c>
      <c r="J232" s="3">
        <f>IFERROR(LET(mtype,XLOOKUP($D232,'Move Editor'!$B:$B,'Move Editor'!$C:$C,""),cat,XLOOKUP($D232,'Move Editor'!$B:$B,'Move Editor'!$D:$D,""),pow,XLOOKUP($D232,'Move Editor'!$B:$B,'Move Editor'!$E:$E,0),acc,XLOOKUP($D232,'Move Editor'!$B:$B,'Move Editor'!$F:$F,100),atk,IF(cat="Physical",FLOOR((FLOOR(((2*XLOOKUP(XLOOKUP($Q232,'Threshold Summary'!$Y:$Y,'Threshold Summary'!$K:$K,""),'Pokemon Editor'!$A:$A,'Pokemon Editor'!$F:$F,0)+31+FLOOR(XLOOKUP($Q232,'Threshold Summary'!$Y:$Y,'Threshold Summary'!$P:$P,"")/4))*XLOOKUP($Q232,'Threshold Summary'!$Y:$Y,'Threshold Summary'!$L:$L,""))/100)+5)*XLOOKUP(XLOOKUP($Q232,'Threshold Summary'!$Y:$Y,'Threshold Summary'!$M:$M,""),'Nature Editor'!$A:$A,'Nature Editor'!$B:$B,1)),FLOOR((FLOOR(((2*XLOOKUP(XLOOKUP($Q232,'Threshold Summary'!$Y:$Y,'Threshold Summary'!$K:$K,""),'Pokemon Editor'!$A:$A,'Pokemon Editor'!$H:$H,0)+31+FLOOR(XLOOKUP($Q232,'Threshold Summary'!$Y:$Y,'Threshold Summary'!$R:$R,"")/4))*XLOOKUP($Q232,'Threshold Summary'!$Y:$Y,'Threshold Summary'!$L:$L,""))/100)+5)*XLOOKUP(XLOOKUP($Q232,'Threshold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Editor'!$E:$E,1))),stab,IF(OR(mtype=XLOOKUP(XLOOKUP($Q232,'Threshold Summary'!$Y:$Y,'Threshold Summary'!$K:$K,""),'Pokemon Editor'!$A:$A,'Pokemon Editor'!$C:$C,""),mtype=XLOOKUP(XLOOKUP($Q232,'Threshold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Chart'!$B$1:$S$1,0)))),base,IF(OR(cat="Status",pow=0),0,FLOOR(FLOOR(FLOOR((2*XLOOKUP($Q232,'Threshold Summary'!$Y:$Y,'Threshold Summary'!$L:$L,"")/5+2)*pow*atk/def)/50)+2)),modifier,stab*eff,FLOOR(base*modifier*0.85)),0)</f>
        <v/>
      </c>
      <c r="K232" s="3">
        <f>IFERROR(LET(mtype,XLOOKUP($D232,'Move Editor'!$B:$B,'Move Editor'!$C:$C,""),cat,XLOOKUP($D232,'Move Editor'!$B:$B,'Move Editor'!$D:$D,""),pow,XLOOKUP($D232,'Move Editor'!$B:$B,'Move Editor'!$E:$E,0),acc,XLOOKUP($D232,'Move Editor'!$B:$B,'Move Editor'!$F:$F,100),atk,IF(cat="Physical",FLOOR((FLOOR(((2*XLOOKUP(XLOOKUP($Q232,'Threshold Summary'!$Y:$Y,'Threshold Summary'!$K:$K,""),'Pokemon Editor'!$A:$A,'Pokemon Editor'!$F:$F,0)+31+FLOOR(XLOOKUP($Q232,'Threshold Summary'!$Y:$Y,'Threshold Summary'!$P:$P,"")/4))*XLOOKUP($Q232,'Threshold Summary'!$Y:$Y,'Threshold Summary'!$L:$L,""))/100)+5)*XLOOKUP(XLOOKUP($Q232,'Threshold Summary'!$Y:$Y,'Threshold Summary'!$M:$M,""),'Nature Editor'!$A:$A,'Nature Editor'!$B:$B,1)),FLOOR((FLOOR(((2*XLOOKUP(XLOOKUP($Q232,'Threshold Summary'!$Y:$Y,'Threshold Summary'!$K:$K,""),'Pokemon Editor'!$A:$A,'Pokemon Editor'!$H:$H,0)+31+FLOOR(XLOOKUP($Q232,'Threshold Summary'!$Y:$Y,'Threshold Summary'!$R:$R,"")/4))*XLOOKUP($Q232,'Threshold Summary'!$Y:$Y,'Threshold Summary'!$L:$L,""))/100)+5)*XLOOKUP(XLOOKUP($Q232,'Threshold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Editor'!$E:$E,1))),stab,IF(OR(mtype=XLOOKUP(XLOOKUP($Q232,'Threshold Summary'!$Y:$Y,'Threshold Summary'!$K:$K,""),'Pokemon Editor'!$A:$A,'Pokemon Editor'!$C:$C,""),mtype=XLOOKUP(XLOOKUP($Q232,'Threshold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Chart'!$B$1:$S$1,0)))),base,IF(OR(cat="Status",pow=0),0,FLOOR(FLOOR(FLOOR((2*XLOOKUP($Q232,'Threshold Summary'!$Y:$Y,'Threshold Summary'!$L:$L,"")/5+2)*pow*atk/def)/50)+2)),modifier,stab*eff,FLOOR(base*modifier)),0)</f>
        <v/>
      </c>
      <c r="L232" s="3">
        <f>IFERROR(LET(mtype,XLOOKUP($D232,'Move Editor'!$B:$B,'Move Editor'!$C:$C,""),cat,XLOOKUP($D232,'Move Editor'!$B:$B,'Move Editor'!$D:$D,""),pow,XLOOKUP($D232,'Move Editor'!$B:$B,'Move Editor'!$E:$E,0),acc,XLOOKUP($D232,'Move Editor'!$B:$B,'Move Editor'!$F:$F,100),atk,IF(cat="Physical",FLOOR((FLOOR(((2*XLOOKUP(XLOOKUP($Q232,'Threshold Summary'!$Y:$Y,'Threshold Summary'!$K:$K,""),'Pokemon Editor'!$A:$A,'Pokemon Editor'!$F:$F,0)+31+FLOOR(XLOOKUP($Q232,'Threshold Summary'!$Y:$Y,'Threshold Summary'!$P:$P,"")/4))*XLOOKUP($Q232,'Threshold Summary'!$Y:$Y,'Threshold Summary'!$L:$L,""))/100)+5)*XLOOKUP(XLOOKUP($Q232,'Threshold Summary'!$Y:$Y,'Threshold Summary'!$M:$M,""),'Nature Editor'!$A:$A,'Nature Editor'!$B:$B,1)),FLOOR((FLOOR(((2*XLOOKUP(XLOOKUP($Q232,'Threshold Summary'!$Y:$Y,'Threshold Summary'!$K:$K,""),'Pokemon Editor'!$A:$A,'Pokemon Editor'!$H:$H,0)+31+FLOOR(XLOOKUP($Q232,'Threshold Summary'!$Y:$Y,'Threshold Summary'!$R:$R,"")/4))*XLOOKUP($Q232,'Threshold Summary'!$Y:$Y,'Threshold Summary'!$L:$L,""))/100)+5)*XLOOKUP(XLOOKUP($Q232,'Threshold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Editor'!$E:$E,1))),stab,IF(OR(mtype=XLOOKUP(XLOOKUP($Q232,'Threshold Summary'!$Y:$Y,'Threshold Summary'!$K:$K,""),'Pokemon Editor'!$A:$A,'Pokemon Editor'!$C:$C,""),mtype=XLOOKUP(XLOOKUP($Q232,'Threshold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Chart'!$B$1:$S$1,0)))),base,IF(OR(cat="Status",pow=0),0,FLOOR(FLOOR(FLOOR((2*XLOOKUP($Q232,'Threshold Summary'!$Y:$Y,'Threshold Summary'!$L:$L,"")/5+2)*pow*atk/def)/50)+2)),modifier,stab*eff,AVERAGE(ARRAYFORMULA(FLOOR(base*modifier*SEQUENCE(16,1,85,1)/100)))),0)</f>
        <v/>
      </c>
      <c r="M232" s="3">
        <f>IFERROR(LET(mtype,XLOOKUP($D232,'Move Editor'!$B:$B,'Move Editor'!$C:$C,""),cat,XLOOKUP($D232,'Move Editor'!$B:$B,'Move Editor'!$D:$D,""),pow,XLOOKUP($D232,'Move Editor'!$B:$B,'Move Editor'!$E:$E,0),acc,XLOOKUP($D232,'Move Editor'!$B:$B,'Move Editor'!$F:$F,100),atk,IF(cat="Physical",FLOOR((FLOOR(((2*XLOOKUP(XLOOKUP($Q232,'Threshold Summary'!$Y:$Y,'Threshold Summary'!$K:$K,""),'Pokemon Editor'!$A:$A,'Pokemon Editor'!$F:$F,0)+31+FLOOR(XLOOKUP($Q232,'Threshold Summary'!$Y:$Y,'Threshold Summary'!$P:$P,"")/4))*XLOOKUP($Q232,'Threshold Summary'!$Y:$Y,'Threshold Summary'!$L:$L,""))/100)+5)*XLOOKUP(XLOOKUP($Q232,'Threshold Summary'!$Y:$Y,'Threshold Summary'!$M:$M,""),'Nature Editor'!$A:$A,'Nature Editor'!$B:$B,1)),FLOOR((FLOOR(((2*XLOOKUP(XLOOKUP($Q232,'Threshold Summary'!$Y:$Y,'Threshold Summary'!$K:$K,""),'Pokemon Editor'!$A:$A,'Pokemon Editor'!$H:$H,0)+31+FLOOR(XLOOKUP($Q232,'Threshold Summary'!$Y:$Y,'Threshold Summary'!$R:$R,"")/4))*XLOOKUP($Q232,'Threshold Summary'!$Y:$Y,'Threshold Summary'!$L:$L,""))/100)+5)*XLOOKUP(XLOOKUP($Q232,'Threshold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Editor'!$E:$E,1))),stab,IF(OR(mtype=XLOOKUP(XLOOKUP($Q232,'Threshold Summary'!$Y:$Y,'Threshold Summary'!$K:$K,""),'Pokemon Editor'!$A:$A,'Pokemon Editor'!$C:$C,""),mtype=XLOOKUP(XLOOKUP($Q232,'Threshold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Chart'!$B$1:$S$1,0)))),base,IF(OR(cat="Status",pow=0),0,FLOOR(FLOOR(FLOOR((2*XLOOKUP($Q232,'Threshold Summary'!$Y:$Y,'Threshold Summary'!$L:$L,"")/5+2)*pow*atk/def)/50)+2)),modifier,stab*eff,AVERAGE(ARRAYFORMULA(FLOOR(base*modifier*SEQUENCE(16,1,85,1)/100)))*MIN(1,acc/100)),0)</f>
        <v/>
      </c>
      <c r="N232" s="4">
        <f>IFERROR(LET(mtype,XLOOKUP($D232,'Move Editor'!$B:$B,'Move Editor'!$C:$C,""),cat,XLOOKUP($D232,'Move Editor'!$B:$B,'Move Editor'!$D:$D,""),pow,XLOOKUP($D232,'Move Editor'!$B:$B,'Move Editor'!$E:$E,0),acc,XLOOKUP($D232,'Move Editor'!$B:$B,'Move Editor'!$F:$F,100),atk,IF(cat="Physical",FLOOR((FLOOR(((2*XLOOKUP(XLOOKUP($Q232,'Threshold Summary'!$Y:$Y,'Threshold Summary'!$K:$K,""),'Pokemon Editor'!$A:$A,'Pokemon Editor'!$F:$F,0)+31+FLOOR(XLOOKUP($Q232,'Threshold Summary'!$Y:$Y,'Threshold Summary'!$P:$P,"")/4))*XLOOKUP($Q232,'Threshold Summary'!$Y:$Y,'Threshold Summary'!$L:$L,""))/100)+5)*XLOOKUP(XLOOKUP($Q232,'Threshold Summary'!$Y:$Y,'Threshold Summary'!$M:$M,""),'Nature Editor'!$A:$A,'Nature Editor'!$B:$B,1)),FLOOR((FLOOR(((2*XLOOKUP(XLOOKUP($Q232,'Threshold Summary'!$Y:$Y,'Threshold Summary'!$K:$K,""),'Pokemon Editor'!$A:$A,'Pokemon Editor'!$H:$H,0)+31+FLOOR(XLOOKUP($Q232,'Threshold Summary'!$Y:$Y,'Threshold Summary'!$R:$R,"")/4))*XLOOKUP($Q232,'Threshold Summary'!$Y:$Y,'Threshold Summary'!$L:$L,""))/100)+5)*XLOOKUP(XLOOKUP($Q232,'Threshold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Editor'!$E:$E,1))),stab,IF(OR(mtype=XLOOKUP(XLOOKUP($Q232,'Threshold Summary'!$Y:$Y,'Threshold Summary'!$K:$K,""),'Pokemon Editor'!$A:$A,'Pokemon Editor'!$C:$C,""),mtype=XLOOKUP(XLOOKUP($Q232,'Threshold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Chart'!$B$1:$S$1,0)))),base,IF(OR(cat="Status",pow=0),0,FLOOR(FLOOR(FLOOR((2*XLOOKUP($Q232,'Threshold Summary'!$Y:$Y,'Threshold Summary'!$L:$L,"")/5+2)*pow*atk/def)/50)+2)),modifier,stab*eff,AVERAGE(ARRAYFORMULA(FLOOR(base*modifier*SEQUENCE(16,1,85,1)/100)))/(FLOOR(((2*XLOOKUP('Boss Editor'!$C$4,'Pokemon Editor'!$A:$A,'Pokemon Editor'!$E:$E,0)+31+FLOOR('Boss Editor'!$G$4/4))*'Boss Editor'!$D$4)/100)+'Boss Editor'!$D$4+10)),0)</f>
        <v/>
      </c>
      <c r="O232" s="3">
        <f>IF(N232&gt;=1,"OHKO",IF(N232&gt;=0.5,"2HKO",IF(N232&gt;=0.333,"3HKO",IF(N232&gt;=0.25,"4HKO","5HKO+"))))</f>
        <v/>
      </c>
      <c r="P232" s="3" t="inlineStr">
        <is>
          <t>Live from editable databases</t>
        </is>
      </c>
      <c r="Q232" s="3" t="inlineStr">
        <is>
          <t>SPECIES_RALTS</t>
        </is>
      </c>
      <c r="R232" s="3" t="n">
        <v>7</v>
      </c>
    </row>
    <row r="233">
      <c r="A233" s="3">
        <f>XLOOKUP($Q233,'Threshold Summary'!$Y:$Y,'Threshold Summary'!$A:$A,"")</f>
        <v/>
      </c>
      <c r="B233" s="3">
        <f>XLOOKUP($Q233,'Threshold Summary'!$Y:$Y,'Threshold Summary'!$M:$M,"")</f>
        <v/>
      </c>
      <c r="C233" s="3">
        <f>XLOOKUP($Q233,'Threshold Summary'!$Y:$Y,'Threshold Summary'!$N:$N,"")</f>
        <v/>
      </c>
      <c r="D233" s="3">
        <f>IFERROR(INDEX(FILTER('Learnset Editor'!$D$2:$D,'Learnset Editor'!$A$2:$A=XLOOKUP($Q233,'Threshold Summary'!$Y:$Y,'Threshold Summary'!$K:$K,""),'Learnset Editor'!$C$2:$C&lt;=XLOOKUP($Q233,'Threshold Summary'!$Y:$Y,'Threshold Summary'!$L:$L,"")),$R233),"")</f>
        <v/>
      </c>
      <c r="E233" s="3">
        <f>XLOOKUP(D233,'Move Editor'!$B:$B,'Move Editor'!$C:$C,"")</f>
        <v/>
      </c>
      <c r="F233" s="3">
        <f>XLOOKUP(D233,'Move Editor'!$B:$B,'Move Editor'!$D:$D,"")</f>
        <v/>
      </c>
      <c r="G233" s="3">
        <f>XLOOKUP(D233,'Move Editor'!$B:$B,'Move Editor'!$E:$E,0)</f>
        <v/>
      </c>
      <c r="H233" s="3">
        <f>XLOOKUP(D233,'Move Editor'!$B:$B,'Move Editor'!$F:$F,0)</f>
        <v/>
      </c>
      <c r="I233" s="3">
        <f>(INDEX('Type Chart'!$B:$S,MATCH(E233,'Type Chart'!$A:$A,0),MATCH(XLOOKUP('Boss Editor'!$C$4,'Pokemon Editor'!$A:$A,'Pokemon Editor'!$C:$C,""),'Type Chart'!$B$1:$S$1,0))*IF(XLOOKUP('Boss Editor'!$C$4,'Pokemon Editor'!$A:$A,'Pokemon Editor'!$D:$D,"")="",1,INDEX('Type Chart'!$B:$S,MATCH(E233,'Type Chart'!$A:$A,0),MATCH(XLOOKUP('Boss Editor'!$C$4,'Pokemon Editor'!$A:$A,'Pokemon Editor'!$D:$D,""),'Type Chart'!$B$1:$S$1,0))))</f>
        <v/>
      </c>
      <c r="J233" s="3">
        <f>IFERROR(LET(mtype,XLOOKUP($D233,'Move Editor'!$B:$B,'Move Editor'!$C:$C,""),cat,XLOOKUP($D233,'Move Editor'!$B:$B,'Move Editor'!$D:$D,""),pow,XLOOKUP($D233,'Move Editor'!$B:$B,'Move Editor'!$E:$E,0),acc,XLOOKUP($D233,'Move Editor'!$B:$B,'Move Editor'!$F:$F,100),atk,IF(cat="Physical",FLOOR((FLOOR(((2*XLOOKUP(XLOOKUP($Q233,'Threshold Summary'!$Y:$Y,'Threshold Summary'!$K:$K,""),'Pokemon Editor'!$A:$A,'Pokemon Editor'!$F:$F,0)+31+FLOOR(XLOOKUP($Q233,'Threshold Summary'!$Y:$Y,'Threshold Summary'!$P:$P,"")/4))*XLOOKUP($Q233,'Threshold Summary'!$Y:$Y,'Threshold Summary'!$L:$L,""))/100)+5)*XLOOKUP(XLOOKUP($Q233,'Threshold Summary'!$Y:$Y,'Threshold Summary'!$M:$M,""),'Nature Editor'!$A:$A,'Nature Editor'!$B:$B,1)),FLOOR((FLOOR(((2*XLOOKUP(XLOOKUP($Q233,'Threshold Summary'!$Y:$Y,'Threshold Summary'!$K:$K,""),'Pokemon Editor'!$A:$A,'Pokemon Editor'!$H:$H,0)+31+FLOOR(XLOOKUP($Q233,'Threshold Summary'!$Y:$Y,'Threshold Summary'!$R:$R,"")/4))*XLOOKUP($Q233,'Threshold Summary'!$Y:$Y,'Threshold Summary'!$L:$L,""))/100)+5)*XLOOKUP(XLOOKUP($Q233,'Threshold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Editor'!$E:$E,1))),stab,IF(OR(mtype=XLOOKUP(XLOOKUP($Q233,'Threshold Summary'!$Y:$Y,'Threshold Summary'!$K:$K,""),'Pokemon Editor'!$A:$A,'Pokemon Editor'!$C:$C,""),mtype=XLOOKUP(XLOOKUP($Q233,'Threshold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Chart'!$B$1:$S$1,0)))),base,IF(OR(cat="Status",pow=0),0,FLOOR(FLOOR(FLOOR((2*XLOOKUP($Q233,'Threshold Summary'!$Y:$Y,'Threshold Summary'!$L:$L,"")/5+2)*pow*atk/def)/50)+2)),modifier,stab*eff,FLOOR(base*modifier*0.85)),0)</f>
        <v/>
      </c>
      <c r="K233" s="3">
        <f>IFERROR(LET(mtype,XLOOKUP($D233,'Move Editor'!$B:$B,'Move Editor'!$C:$C,""),cat,XLOOKUP($D233,'Move Editor'!$B:$B,'Move Editor'!$D:$D,""),pow,XLOOKUP($D233,'Move Editor'!$B:$B,'Move Editor'!$E:$E,0),acc,XLOOKUP($D233,'Move Editor'!$B:$B,'Move Editor'!$F:$F,100),atk,IF(cat="Physical",FLOOR((FLOOR(((2*XLOOKUP(XLOOKUP($Q233,'Threshold Summary'!$Y:$Y,'Threshold Summary'!$K:$K,""),'Pokemon Editor'!$A:$A,'Pokemon Editor'!$F:$F,0)+31+FLOOR(XLOOKUP($Q233,'Threshold Summary'!$Y:$Y,'Threshold Summary'!$P:$P,"")/4))*XLOOKUP($Q233,'Threshold Summary'!$Y:$Y,'Threshold Summary'!$L:$L,""))/100)+5)*XLOOKUP(XLOOKUP($Q233,'Threshold Summary'!$Y:$Y,'Threshold Summary'!$M:$M,""),'Nature Editor'!$A:$A,'Nature Editor'!$B:$B,1)),FLOOR((FLOOR(((2*XLOOKUP(XLOOKUP($Q233,'Threshold Summary'!$Y:$Y,'Threshold Summary'!$K:$K,""),'Pokemon Editor'!$A:$A,'Pokemon Editor'!$H:$H,0)+31+FLOOR(XLOOKUP($Q233,'Threshold Summary'!$Y:$Y,'Threshold Summary'!$R:$R,"")/4))*XLOOKUP($Q233,'Threshold Summary'!$Y:$Y,'Threshold Summary'!$L:$L,""))/100)+5)*XLOOKUP(XLOOKUP($Q233,'Threshold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Editor'!$E:$E,1))),stab,IF(OR(mtype=XLOOKUP(XLOOKUP($Q233,'Threshold Summary'!$Y:$Y,'Threshold Summary'!$K:$K,""),'Pokemon Editor'!$A:$A,'Pokemon Editor'!$C:$C,""),mtype=XLOOKUP(XLOOKUP($Q233,'Threshold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Chart'!$B$1:$S$1,0)))),base,IF(OR(cat="Status",pow=0),0,FLOOR(FLOOR(FLOOR((2*XLOOKUP($Q233,'Threshold Summary'!$Y:$Y,'Threshold Summary'!$L:$L,"")/5+2)*pow*atk/def)/50)+2)),modifier,stab*eff,FLOOR(base*modifier)),0)</f>
        <v/>
      </c>
      <c r="L233" s="3">
        <f>IFERROR(LET(mtype,XLOOKUP($D233,'Move Editor'!$B:$B,'Move Editor'!$C:$C,""),cat,XLOOKUP($D233,'Move Editor'!$B:$B,'Move Editor'!$D:$D,""),pow,XLOOKUP($D233,'Move Editor'!$B:$B,'Move Editor'!$E:$E,0),acc,XLOOKUP($D233,'Move Editor'!$B:$B,'Move Editor'!$F:$F,100),atk,IF(cat="Physical",FLOOR((FLOOR(((2*XLOOKUP(XLOOKUP($Q233,'Threshold Summary'!$Y:$Y,'Threshold Summary'!$K:$K,""),'Pokemon Editor'!$A:$A,'Pokemon Editor'!$F:$F,0)+31+FLOOR(XLOOKUP($Q233,'Threshold Summary'!$Y:$Y,'Threshold Summary'!$P:$P,"")/4))*XLOOKUP($Q233,'Threshold Summary'!$Y:$Y,'Threshold Summary'!$L:$L,""))/100)+5)*XLOOKUP(XLOOKUP($Q233,'Threshold Summary'!$Y:$Y,'Threshold Summary'!$M:$M,""),'Nature Editor'!$A:$A,'Nature Editor'!$B:$B,1)),FLOOR((FLOOR(((2*XLOOKUP(XLOOKUP($Q233,'Threshold Summary'!$Y:$Y,'Threshold Summary'!$K:$K,""),'Pokemon Editor'!$A:$A,'Pokemon Editor'!$H:$H,0)+31+FLOOR(XLOOKUP($Q233,'Threshold Summary'!$Y:$Y,'Threshold Summary'!$R:$R,"")/4))*XLOOKUP($Q233,'Threshold Summary'!$Y:$Y,'Threshold Summary'!$L:$L,""))/100)+5)*XLOOKUP(XLOOKUP($Q233,'Threshold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Editor'!$E:$E,1))),stab,IF(OR(mtype=XLOOKUP(XLOOKUP($Q233,'Threshold Summary'!$Y:$Y,'Threshold Summary'!$K:$K,""),'Pokemon Editor'!$A:$A,'Pokemon Editor'!$C:$C,""),mtype=XLOOKUP(XLOOKUP($Q233,'Threshold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Chart'!$B$1:$S$1,0)))),base,IF(OR(cat="Status",pow=0),0,FLOOR(FLOOR(FLOOR((2*XLOOKUP($Q233,'Threshold Summary'!$Y:$Y,'Threshold Summary'!$L:$L,"")/5+2)*pow*atk/def)/50)+2)),modifier,stab*eff,AVERAGE(ARRAYFORMULA(FLOOR(base*modifier*SEQUENCE(16,1,85,1)/100)))),0)</f>
        <v/>
      </c>
      <c r="M233" s="3">
        <f>IFERROR(LET(mtype,XLOOKUP($D233,'Move Editor'!$B:$B,'Move Editor'!$C:$C,""),cat,XLOOKUP($D233,'Move Editor'!$B:$B,'Move Editor'!$D:$D,""),pow,XLOOKUP($D233,'Move Editor'!$B:$B,'Move Editor'!$E:$E,0),acc,XLOOKUP($D233,'Move Editor'!$B:$B,'Move Editor'!$F:$F,100),atk,IF(cat="Physical",FLOOR((FLOOR(((2*XLOOKUP(XLOOKUP($Q233,'Threshold Summary'!$Y:$Y,'Threshold Summary'!$K:$K,""),'Pokemon Editor'!$A:$A,'Pokemon Editor'!$F:$F,0)+31+FLOOR(XLOOKUP($Q233,'Threshold Summary'!$Y:$Y,'Threshold Summary'!$P:$P,"")/4))*XLOOKUP($Q233,'Threshold Summary'!$Y:$Y,'Threshold Summary'!$L:$L,""))/100)+5)*XLOOKUP(XLOOKUP($Q233,'Threshold Summary'!$Y:$Y,'Threshold Summary'!$M:$M,""),'Nature Editor'!$A:$A,'Nature Editor'!$B:$B,1)),FLOOR((FLOOR(((2*XLOOKUP(XLOOKUP($Q233,'Threshold Summary'!$Y:$Y,'Threshold Summary'!$K:$K,""),'Pokemon Editor'!$A:$A,'Pokemon Editor'!$H:$H,0)+31+FLOOR(XLOOKUP($Q233,'Threshold Summary'!$Y:$Y,'Threshold Summary'!$R:$R,"")/4))*XLOOKUP($Q233,'Threshold Summary'!$Y:$Y,'Threshold Summary'!$L:$L,""))/100)+5)*XLOOKUP(XLOOKUP($Q233,'Threshold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Editor'!$E:$E,1))),stab,IF(OR(mtype=XLOOKUP(XLOOKUP($Q233,'Threshold Summary'!$Y:$Y,'Threshold Summary'!$K:$K,""),'Pokemon Editor'!$A:$A,'Pokemon Editor'!$C:$C,""),mtype=XLOOKUP(XLOOKUP($Q233,'Threshold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Chart'!$B$1:$S$1,0)))),base,IF(OR(cat="Status",pow=0),0,FLOOR(FLOOR(FLOOR((2*XLOOKUP($Q233,'Threshold Summary'!$Y:$Y,'Threshold Summary'!$L:$L,"")/5+2)*pow*atk/def)/50)+2)),modifier,stab*eff,AVERAGE(ARRAYFORMULA(FLOOR(base*modifier*SEQUENCE(16,1,85,1)/100)))*MIN(1,acc/100)),0)</f>
        <v/>
      </c>
      <c r="N233" s="4">
        <f>IFERROR(LET(mtype,XLOOKUP($D233,'Move Editor'!$B:$B,'Move Editor'!$C:$C,""),cat,XLOOKUP($D233,'Move Editor'!$B:$B,'Move Editor'!$D:$D,""),pow,XLOOKUP($D233,'Move Editor'!$B:$B,'Move Editor'!$E:$E,0),acc,XLOOKUP($D233,'Move Editor'!$B:$B,'Move Editor'!$F:$F,100),atk,IF(cat="Physical",FLOOR((FLOOR(((2*XLOOKUP(XLOOKUP($Q233,'Threshold Summary'!$Y:$Y,'Threshold Summary'!$K:$K,""),'Pokemon Editor'!$A:$A,'Pokemon Editor'!$F:$F,0)+31+FLOOR(XLOOKUP($Q233,'Threshold Summary'!$Y:$Y,'Threshold Summary'!$P:$P,"")/4))*XLOOKUP($Q233,'Threshold Summary'!$Y:$Y,'Threshold Summary'!$L:$L,""))/100)+5)*XLOOKUP(XLOOKUP($Q233,'Threshold Summary'!$Y:$Y,'Threshold Summary'!$M:$M,""),'Nature Editor'!$A:$A,'Nature Editor'!$B:$B,1)),FLOOR((FLOOR(((2*XLOOKUP(XLOOKUP($Q233,'Threshold Summary'!$Y:$Y,'Threshold Summary'!$K:$K,""),'Pokemon Editor'!$A:$A,'Pokemon Editor'!$H:$H,0)+31+FLOOR(XLOOKUP($Q233,'Threshold Summary'!$Y:$Y,'Threshold Summary'!$R:$R,"")/4))*XLOOKUP($Q233,'Threshold Summary'!$Y:$Y,'Threshold Summary'!$L:$L,""))/100)+5)*XLOOKUP(XLOOKUP($Q233,'Threshold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Editor'!$E:$E,1))),stab,IF(OR(mtype=XLOOKUP(XLOOKUP($Q233,'Threshold Summary'!$Y:$Y,'Threshold Summary'!$K:$K,""),'Pokemon Editor'!$A:$A,'Pokemon Editor'!$C:$C,""),mtype=XLOOKUP(XLOOKUP($Q233,'Threshold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Chart'!$B$1:$S$1,0)))),base,IF(OR(cat="Status",pow=0),0,FLOOR(FLOOR(FLOOR((2*XLOOKUP($Q233,'Threshold Summary'!$Y:$Y,'Threshold Summary'!$L:$L,"")/5+2)*pow*atk/def)/50)+2)),modifier,stab*eff,AVERAGE(ARRAYFORMULA(FLOOR(base*modifier*SEQUENCE(16,1,85,1)/100)))/(FLOOR(((2*XLOOKUP('Boss Editor'!$C$4,'Pokemon Editor'!$A:$A,'Pokemon Editor'!$E:$E,0)+31+FLOOR('Boss Editor'!$G$4/4))*'Boss Editor'!$D$4)/100)+'Boss Editor'!$D$4+10)),0)</f>
        <v/>
      </c>
      <c r="O233" s="3">
        <f>IF(N233&gt;=1,"OHKO",IF(N233&gt;=0.5,"2HKO",IF(N233&gt;=0.333,"3HKO",IF(N233&gt;=0.25,"4HKO","5HKO+"))))</f>
        <v/>
      </c>
      <c r="P233" s="3" t="inlineStr">
        <is>
          <t>Live from editable databases</t>
        </is>
      </c>
      <c r="Q233" s="3" t="inlineStr">
        <is>
          <t>SPECIES_RALTS</t>
        </is>
      </c>
      <c r="R233" s="3" t="n">
        <v>8</v>
      </c>
    </row>
    <row r="234">
      <c r="A234" s="3">
        <f>XLOOKUP($Q234,'Threshold Summary'!$Y:$Y,'Threshold Summary'!$A:$A,"")</f>
        <v/>
      </c>
      <c r="B234" s="3">
        <f>XLOOKUP($Q234,'Threshold Summary'!$Y:$Y,'Threshold Summary'!$M:$M,"")</f>
        <v/>
      </c>
      <c r="C234" s="3">
        <f>XLOOKUP($Q234,'Threshold Summary'!$Y:$Y,'Threshold Summary'!$N:$N,"")</f>
        <v/>
      </c>
      <c r="D234" s="3">
        <f>IFERROR(INDEX(FILTER('Learnset Editor'!$D$2:$D,'Learnset Editor'!$A$2:$A=XLOOKUP($Q234,'Threshold Summary'!$Y:$Y,'Threshold Summary'!$K:$K,""),'Learnset Editor'!$C$2:$C&lt;=XLOOKUP($Q234,'Threshold Summary'!$Y:$Y,'Threshold Summary'!$L:$L,"")),$R234),"")</f>
        <v/>
      </c>
      <c r="E234" s="3">
        <f>XLOOKUP(D234,'Move Editor'!$B:$B,'Move Editor'!$C:$C,"")</f>
        <v/>
      </c>
      <c r="F234" s="3">
        <f>XLOOKUP(D234,'Move Editor'!$B:$B,'Move Editor'!$D:$D,"")</f>
        <v/>
      </c>
      <c r="G234" s="3">
        <f>XLOOKUP(D234,'Move Editor'!$B:$B,'Move Editor'!$E:$E,0)</f>
        <v/>
      </c>
      <c r="H234" s="3">
        <f>XLOOKUP(D234,'Move Editor'!$B:$B,'Move Editor'!$F:$F,0)</f>
        <v/>
      </c>
      <c r="I234" s="3">
        <f>(INDEX('Type Chart'!$B:$S,MATCH(E234,'Type Chart'!$A:$A,0),MATCH(XLOOKUP('Boss Editor'!$C$4,'Pokemon Editor'!$A:$A,'Pokemon Editor'!$C:$C,""),'Type Chart'!$B$1:$S$1,0))*IF(XLOOKUP('Boss Editor'!$C$4,'Pokemon Editor'!$A:$A,'Pokemon Editor'!$D:$D,"")="",1,INDEX('Type Chart'!$B:$S,MATCH(E234,'Type Chart'!$A:$A,0),MATCH(XLOOKUP('Boss Editor'!$C$4,'Pokemon Editor'!$A:$A,'Pokemon Editor'!$D:$D,""),'Type Chart'!$B$1:$S$1,0))))</f>
        <v/>
      </c>
      <c r="J234" s="3">
        <f>IFERROR(LET(mtype,XLOOKUP($D234,'Move Editor'!$B:$B,'Move Editor'!$C:$C,""),cat,XLOOKUP($D234,'Move Editor'!$B:$B,'Move Editor'!$D:$D,""),pow,XLOOKUP($D234,'Move Editor'!$B:$B,'Move Editor'!$E:$E,0),acc,XLOOKUP($D234,'Move Editor'!$B:$B,'Move Editor'!$F:$F,100),atk,IF(cat="Physical",FLOOR((FLOOR(((2*XLOOKUP(XLOOKUP($Q234,'Threshold Summary'!$Y:$Y,'Threshold Summary'!$K:$K,""),'Pokemon Editor'!$A:$A,'Pokemon Editor'!$F:$F,0)+31+FLOOR(XLOOKUP($Q234,'Threshold Summary'!$Y:$Y,'Threshold Summary'!$P:$P,"")/4))*XLOOKUP($Q234,'Threshold Summary'!$Y:$Y,'Threshold Summary'!$L:$L,""))/100)+5)*XLOOKUP(XLOOKUP($Q234,'Threshold Summary'!$Y:$Y,'Threshold Summary'!$M:$M,""),'Nature Editor'!$A:$A,'Nature Editor'!$B:$B,1)),FLOOR((FLOOR(((2*XLOOKUP(XLOOKUP($Q234,'Threshold Summary'!$Y:$Y,'Threshold Summary'!$K:$K,""),'Pokemon Editor'!$A:$A,'Pokemon Editor'!$H:$H,0)+31+FLOOR(XLOOKUP($Q234,'Threshold Summary'!$Y:$Y,'Threshold Summary'!$R:$R,"")/4))*XLOOKUP($Q234,'Threshold Summary'!$Y:$Y,'Threshold Summary'!$L:$L,""))/100)+5)*XLOOKUP(XLOOKUP($Q234,'Threshold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Editor'!$E:$E,1))),stab,IF(OR(mtype=XLOOKUP(XLOOKUP($Q234,'Threshold Summary'!$Y:$Y,'Threshold Summary'!$K:$K,""),'Pokemon Editor'!$A:$A,'Pokemon Editor'!$C:$C,""),mtype=XLOOKUP(XLOOKUP($Q234,'Threshold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Chart'!$B$1:$S$1,0)))),base,IF(OR(cat="Status",pow=0),0,FLOOR(FLOOR(FLOOR((2*XLOOKUP($Q234,'Threshold Summary'!$Y:$Y,'Threshold Summary'!$L:$L,"")/5+2)*pow*atk/def)/50)+2)),modifier,stab*eff,FLOOR(base*modifier*0.85)),0)</f>
        <v/>
      </c>
      <c r="K234" s="3">
        <f>IFERROR(LET(mtype,XLOOKUP($D234,'Move Editor'!$B:$B,'Move Editor'!$C:$C,""),cat,XLOOKUP($D234,'Move Editor'!$B:$B,'Move Editor'!$D:$D,""),pow,XLOOKUP($D234,'Move Editor'!$B:$B,'Move Editor'!$E:$E,0),acc,XLOOKUP($D234,'Move Editor'!$B:$B,'Move Editor'!$F:$F,100),atk,IF(cat="Physical",FLOOR((FLOOR(((2*XLOOKUP(XLOOKUP($Q234,'Threshold Summary'!$Y:$Y,'Threshold Summary'!$K:$K,""),'Pokemon Editor'!$A:$A,'Pokemon Editor'!$F:$F,0)+31+FLOOR(XLOOKUP($Q234,'Threshold Summary'!$Y:$Y,'Threshold Summary'!$P:$P,"")/4))*XLOOKUP($Q234,'Threshold Summary'!$Y:$Y,'Threshold Summary'!$L:$L,""))/100)+5)*XLOOKUP(XLOOKUP($Q234,'Threshold Summary'!$Y:$Y,'Threshold Summary'!$M:$M,""),'Nature Editor'!$A:$A,'Nature Editor'!$B:$B,1)),FLOOR((FLOOR(((2*XLOOKUP(XLOOKUP($Q234,'Threshold Summary'!$Y:$Y,'Threshold Summary'!$K:$K,""),'Pokemon Editor'!$A:$A,'Pokemon Editor'!$H:$H,0)+31+FLOOR(XLOOKUP($Q234,'Threshold Summary'!$Y:$Y,'Threshold Summary'!$R:$R,"")/4))*XLOOKUP($Q234,'Threshold Summary'!$Y:$Y,'Threshold Summary'!$L:$L,""))/100)+5)*XLOOKUP(XLOOKUP($Q234,'Threshold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Editor'!$E:$E,1))),stab,IF(OR(mtype=XLOOKUP(XLOOKUP($Q234,'Threshold Summary'!$Y:$Y,'Threshold Summary'!$K:$K,""),'Pokemon Editor'!$A:$A,'Pokemon Editor'!$C:$C,""),mtype=XLOOKUP(XLOOKUP($Q234,'Threshold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Chart'!$B$1:$S$1,0)))),base,IF(OR(cat="Status",pow=0),0,FLOOR(FLOOR(FLOOR((2*XLOOKUP($Q234,'Threshold Summary'!$Y:$Y,'Threshold Summary'!$L:$L,"")/5+2)*pow*atk/def)/50)+2)),modifier,stab*eff,FLOOR(base*modifier)),0)</f>
        <v/>
      </c>
      <c r="L234" s="3">
        <f>IFERROR(LET(mtype,XLOOKUP($D234,'Move Editor'!$B:$B,'Move Editor'!$C:$C,""),cat,XLOOKUP($D234,'Move Editor'!$B:$B,'Move Editor'!$D:$D,""),pow,XLOOKUP($D234,'Move Editor'!$B:$B,'Move Editor'!$E:$E,0),acc,XLOOKUP($D234,'Move Editor'!$B:$B,'Move Editor'!$F:$F,100),atk,IF(cat="Physical",FLOOR((FLOOR(((2*XLOOKUP(XLOOKUP($Q234,'Threshold Summary'!$Y:$Y,'Threshold Summary'!$K:$K,""),'Pokemon Editor'!$A:$A,'Pokemon Editor'!$F:$F,0)+31+FLOOR(XLOOKUP($Q234,'Threshold Summary'!$Y:$Y,'Threshold Summary'!$P:$P,"")/4))*XLOOKUP($Q234,'Threshold Summary'!$Y:$Y,'Threshold Summary'!$L:$L,""))/100)+5)*XLOOKUP(XLOOKUP($Q234,'Threshold Summary'!$Y:$Y,'Threshold Summary'!$M:$M,""),'Nature Editor'!$A:$A,'Nature Editor'!$B:$B,1)),FLOOR((FLOOR(((2*XLOOKUP(XLOOKUP($Q234,'Threshold Summary'!$Y:$Y,'Threshold Summary'!$K:$K,""),'Pokemon Editor'!$A:$A,'Pokemon Editor'!$H:$H,0)+31+FLOOR(XLOOKUP($Q234,'Threshold Summary'!$Y:$Y,'Threshold Summary'!$R:$R,"")/4))*XLOOKUP($Q234,'Threshold Summary'!$Y:$Y,'Threshold Summary'!$L:$L,""))/100)+5)*XLOOKUP(XLOOKUP($Q234,'Threshold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Editor'!$E:$E,1))),stab,IF(OR(mtype=XLOOKUP(XLOOKUP($Q234,'Threshold Summary'!$Y:$Y,'Threshold Summary'!$K:$K,""),'Pokemon Editor'!$A:$A,'Pokemon Editor'!$C:$C,""),mtype=XLOOKUP(XLOOKUP($Q234,'Threshold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Chart'!$B$1:$S$1,0)))),base,IF(OR(cat="Status",pow=0),0,FLOOR(FLOOR(FLOOR((2*XLOOKUP($Q234,'Threshold Summary'!$Y:$Y,'Threshold Summary'!$L:$L,"")/5+2)*pow*atk/def)/50)+2)),modifier,stab*eff,AVERAGE(ARRAYFORMULA(FLOOR(base*modifier*SEQUENCE(16,1,85,1)/100)))),0)</f>
        <v/>
      </c>
      <c r="M234" s="3">
        <f>IFERROR(LET(mtype,XLOOKUP($D234,'Move Editor'!$B:$B,'Move Editor'!$C:$C,""),cat,XLOOKUP($D234,'Move Editor'!$B:$B,'Move Editor'!$D:$D,""),pow,XLOOKUP($D234,'Move Editor'!$B:$B,'Move Editor'!$E:$E,0),acc,XLOOKUP($D234,'Move Editor'!$B:$B,'Move Editor'!$F:$F,100),atk,IF(cat="Physical",FLOOR((FLOOR(((2*XLOOKUP(XLOOKUP($Q234,'Threshold Summary'!$Y:$Y,'Threshold Summary'!$K:$K,""),'Pokemon Editor'!$A:$A,'Pokemon Editor'!$F:$F,0)+31+FLOOR(XLOOKUP($Q234,'Threshold Summary'!$Y:$Y,'Threshold Summary'!$P:$P,"")/4))*XLOOKUP($Q234,'Threshold Summary'!$Y:$Y,'Threshold Summary'!$L:$L,""))/100)+5)*XLOOKUP(XLOOKUP($Q234,'Threshold Summary'!$Y:$Y,'Threshold Summary'!$M:$M,""),'Nature Editor'!$A:$A,'Nature Editor'!$B:$B,1)),FLOOR((FLOOR(((2*XLOOKUP(XLOOKUP($Q234,'Threshold Summary'!$Y:$Y,'Threshold Summary'!$K:$K,""),'Pokemon Editor'!$A:$A,'Pokemon Editor'!$H:$H,0)+31+FLOOR(XLOOKUP($Q234,'Threshold Summary'!$Y:$Y,'Threshold Summary'!$R:$R,"")/4))*XLOOKUP($Q234,'Threshold Summary'!$Y:$Y,'Threshold Summary'!$L:$L,""))/100)+5)*XLOOKUP(XLOOKUP($Q234,'Threshold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Editor'!$E:$E,1))),stab,IF(OR(mtype=XLOOKUP(XLOOKUP($Q234,'Threshold Summary'!$Y:$Y,'Threshold Summary'!$K:$K,""),'Pokemon Editor'!$A:$A,'Pokemon Editor'!$C:$C,""),mtype=XLOOKUP(XLOOKUP($Q234,'Threshold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Chart'!$B$1:$S$1,0)))),base,IF(OR(cat="Status",pow=0),0,FLOOR(FLOOR(FLOOR((2*XLOOKUP($Q234,'Threshold Summary'!$Y:$Y,'Threshold Summary'!$L:$L,"")/5+2)*pow*atk/def)/50)+2)),modifier,stab*eff,AVERAGE(ARRAYFORMULA(FLOOR(base*modifier*SEQUENCE(16,1,85,1)/100)))*MIN(1,acc/100)),0)</f>
        <v/>
      </c>
      <c r="N234" s="4">
        <f>IFERROR(LET(mtype,XLOOKUP($D234,'Move Editor'!$B:$B,'Move Editor'!$C:$C,""),cat,XLOOKUP($D234,'Move Editor'!$B:$B,'Move Editor'!$D:$D,""),pow,XLOOKUP($D234,'Move Editor'!$B:$B,'Move Editor'!$E:$E,0),acc,XLOOKUP($D234,'Move Editor'!$B:$B,'Move Editor'!$F:$F,100),atk,IF(cat="Physical",FLOOR((FLOOR(((2*XLOOKUP(XLOOKUP($Q234,'Threshold Summary'!$Y:$Y,'Threshold Summary'!$K:$K,""),'Pokemon Editor'!$A:$A,'Pokemon Editor'!$F:$F,0)+31+FLOOR(XLOOKUP($Q234,'Threshold Summary'!$Y:$Y,'Threshold Summary'!$P:$P,"")/4))*XLOOKUP($Q234,'Threshold Summary'!$Y:$Y,'Threshold Summary'!$L:$L,""))/100)+5)*XLOOKUP(XLOOKUP($Q234,'Threshold Summary'!$Y:$Y,'Threshold Summary'!$M:$M,""),'Nature Editor'!$A:$A,'Nature Editor'!$B:$B,1)),FLOOR((FLOOR(((2*XLOOKUP(XLOOKUP($Q234,'Threshold Summary'!$Y:$Y,'Threshold Summary'!$K:$K,""),'Pokemon Editor'!$A:$A,'Pokemon Editor'!$H:$H,0)+31+FLOOR(XLOOKUP($Q234,'Threshold Summary'!$Y:$Y,'Threshold Summary'!$R:$R,"")/4))*XLOOKUP($Q234,'Threshold Summary'!$Y:$Y,'Threshold Summary'!$L:$L,""))/100)+5)*XLOOKUP(XLOOKUP($Q234,'Threshold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Editor'!$E:$E,1))),stab,IF(OR(mtype=XLOOKUP(XLOOKUP($Q234,'Threshold Summary'!$Y:$Y,'Threshold Summary'!$K:$K,""),'Pokemon Editor'!$A:$A,'Pokemon Editor'!$C:$C,""),mtype=XLOOKUP(XLOOKUP($Q234,'Threshold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Chart'!$B$1:$S$1,0)))),base,IF(OR(cat="Status",pow=0),0,FLOOR(FLOOR(FLOOR((2*XLOOKUP($Q234,'Threshold Summary'!$Y:$Y,'Threshold Summary'!$L:$L,"")/5+2)*pow*atk/def)/50)+2)),modifier,stab*eff,AVERAGE(ARRAYFORMULA(FLOOR(base*modifier*SEQUENCE(16,1,85,1)/100)))/(FLOOR(((2*XLOOKUP('Boss Editor'!$C$4,'Pokemon Editor'!$A:$A,'Pokemon Editor'!$E:$E,0)+31+FLOOR('Boss Editor'!$G$4/4))*'Boss Editor'!$D$4)/100)+'Boss Editor'!$D$4+10)),0)</f>
        <v/>
      </c>
      <c r="O234" s="3">
        <f>IF(N234&gt;=1,"OHKO",IF(N234&gt;=0.5,"2HKO",IF(N234&gt;=0.333,"3HKO",IF(N234&gt;=0.25,"4HKO","5HKO+"))))</f>
        <v/>
      </c>
      <c r="P234" s="3" t="inlineStr">
        <is>
          <t>Live from editable databases</t>
        </is>
      </c>
      <c r="Q234" s="3" t="inlineStr">
        <is>
          <t>SPECIES_RALTS</t>
        </is>
      </c>
      <c r="R234" s="3" t="n">
        <v>9</v>
      </c>
    </row>
    <row r="235">
      <c r="A235" s="3">
        <f>XLOOKUP($Q235,'Threshold Summary'!$Y:$Y,'Threshold Summary'!$A:$A,"")</f>
        <v/>
      </c>
      <c r="B235" s="3">
        <f>XLOOKUP($Q235,'Threshold Summary'!$Y:$Y,'Threshold Summary'!$M:$M,"")</f>
        <v/>
      </c>
      <c r="C235" s="3">
        <f>XLOOKUP($Q235,'Threshold Summary'!$Y:$Y,'Threshold Summary'!$N:$N,"")</f>
        <v/>
      </c>
      <c r="D235" s="3">
        <f>IFERROR(INDEX(FILTER('Learnset Editor'!$D$2:$D,'Learnset Editor'!$A$2:$A=XLOOKUP($Q235,'Threshold Summary'!$Y:$Y,'Threshold Summary'!$K:$K,""),'Learnset Editor'!$C$2:$C&lt;=XLOOKUP($Q235,'Threshold Summary'!$Y:$Y,'Threshold Summary'!$L:$L,"")),$R235),"")</f>
        <v/>
      </c>
      <c r="E235" s="3">
        <f>XLOOKUP(D235,'Move Editor'!$B:$B,'Move Editor'!$C:$C,"")</f>
        <v/>
      </c>
      <c r="F235" s="3">
        <f>XLOOKUP(D235,'Move Editor'!$B:$B,'Move Editor'!$D:$D,"")</f>
        <v/>
      </c>
      <c r="G235" s="3">
        <f>XLOOKUP(D235,'Move Editor'!$B:$B,'Move Editor'!$E:$E,0)</f>
        <v/>
      </c>
      <c r="H235" s="3">
        <f>XLOOKUP(D235,'Move Editor'!$B:$B,'Move Editor'!$F:$F,0)</f>
        <v/>
      </c>
      <c r="I235" s="3">
        <f>(INDEX('Type Chart'!$B:$S,MATCH(E235,'Type Chart'!$A:$A,0),MATCH(XLOOKUP('Boss Editor'!$C$4,'Pokemon Editor'!$A:$A,'Pokemon Editor'!$C:$C,""),'Type Chart'!$B$1:$S$1,0))*IF(XLOOKUP('Boss Editor'!$C$4,'Pokemon Editor'!$A:$A,'Pokemon Editor'!$D:$D,"")="",1,INDEX('Type Chart'!$B:$S,MATCH(E235,'Type Chart'!$A:$A,0),MATCH(XLOOKUP('Boss Editor'!$C$4,'Pokemon Editor'!$A:$A,'Pokemon Editor'!$D:$D,""),'Type Chart'!$B$1:$S$1,0))))</f>
        <v/>
      </c>
      <c r="J235" s="3">
        <f>IFERROR(LET(mtype,XLOOKUP($D235,'Move Editor'!$B:$B,'Move Editor'!$C:$C,""),cat,XLOOKUP($D235,'Move Editor'!$B:$B,'Move Editor'!$D:$D,""),pow,XLOOKUP($D235,'Move Editor'!$B:$B,'Move Editor'!$E:$E,0),acc,XLOOKUP($D235,'Move Editor'!$B:$B,'Move Editor'!$F:$F,100),atk,IF(cat="Physical",FLOOR((FLOOR(((2*XLOOKUP(XLOOKUP($Q235,'Threshold Summary'!$Y:$Y,'Threshold Summary'!$K:$K,""),'Pokemon Editor'!$A:$A,'Pokemon Editor'!$F:$F,0)+31+FLOOR(XLOOKUP($Q235,'Threshold Summary'!$Y:$Y,'Threshold Summary'!$P:$P,"")/4))*XLOOKUP($Q235,'Threshold Summary'!$Y:$Y,'Threshold Summary'!$L:$L,""))/100)+5)*XLOOKUP(XLOOKUP($Q235,'Threshold Summary'!$Y:$Y,'Threshold Summary'!$M:$M,""),'Nature Editor'!$A:$A,'Nature Editor'!$B:$B,1)),FLOOR((FLOOR(((2*XLOOKUP(XLOOKUP($Q235,'Threshold Summary'!$Y:$Y,'Threshold Summary'!$K:$K,""),'Pokemon Editor'!$A:$A,'Pokemon Editor'!$H:$H,0)+31+FLOOR(XLOOKUP($Q235,'Threshold Summary'!$Y:$Y,'Threshold Summary'!$R:$R,"")/4))*XLOOKUP($Q235,'Threshold Summary'!$Y:$Y,'Threshold Summary'!$L:$L,""))/100)+5)*XLOOKUP(XLOOKUP($Q235,'Threshold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Editor'!$E:$E,1))),stab,IF(OR(mtype=XLOOKUP(XLOOKUP($Q235,'Threshold Summary'!$Y:$Y,'Threshold Summary'!$K:$K,""),'Pokemon Editor'!$A:$A,'Pokemon Editor'!$C:$C,""),mtype=XLOOKUP(XLOOKUP($Q235,'Threshold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Chart'!$B$1:$S$1,0)))),base,IF(OR(cat="Status",pow=0),0,FLOOR(FLOOR(FLOOR((2*XLOOKUP($Q235,'Threshold Summary'!$Y:$Y,'Threshold Summary'!$L:$L,"")/5+2)*pow*atk/def)/50)+2)),modifier,stab*eff,FLOOR(base*modifier*0.85)),0)</f>
        <v/>
      </c>
      <c r="K235" s="3">
        <f>IFERROR(LET(mtype,XLOOKUP($D235,'Move Editor'!$B:$B,'Move Editor'!$C:$C,""),cat,XLOOKUP($D235,'Move Editor'!$B:$B,'Move Editor'!$D:$D,""),pow,XLOOKUP($D235,'Move Editor'!$B:$B,'Move Editor'!$E:$E,0),acc,XLOOKUP($D235,'Move Editor'!$B:$B,'Move Editor'!$F:$F,100),atk,IF(cat="Physical",FLOOR((FLOOR(((2*XLOOKUP(XLOOKUP($Q235,'Threshold Summary'!$Y:$Y,'Threshold Summary'!$K:$K,""),'Pokemon Editor'!$A:$A,'Pokemon Editor'!$F:$F,0)+31+FLOOR(XLOOKUP($Q235,'Threshold Summary'!$Y:$Y,'Threshold Summary'!$P:$P,"")/4))*XLOOKUP($Q235,'Threshold Summary'!$Y:$Y,'Threshold Summary'!$L:$L,""))/100)+5)*XLOOKUP(XLOOKUP($Q235,'Threshold Summary'!$Y:$Y,'Threshold Summary'!$M:$M,""),'Nature Editor'!$A:$A,'Nature Editor'!$B:$B,1)),FLOOR((FLOOR(((2*XLOOKUP(XLOOKUP($Q235,'Threshold Summary'!$Y:$Y,'Threshold Summary'!$K:$K,""),'Pokemon Editor'!$A:$A,'Pokemon Editor'!$H:$H,0)+31+FLOOR(XLOOKUP($Q235,'Threshold Summary'!$Y:$Y,'Threshold Summary'!$R:$R,"")/4))*XLOOKUP($Q235,'Threshold Summary'!$Y:$Y,'Threshold Summary'!$L:$L,""))/100)+5)*XLOOKUP(XLOOKUP($Q235,'Threshold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Editor'!$E:$E,1))),stab,IF(OR(mtype=XLOOKUP(XLOOKUP($Q235,'Threshold Summary'!$Y:$Y,'Threshold Summary'!$K:$K,""),'Pokemon Editor'!$A:$A,'Pokemon Editor'!$C:$C,""),mtype=XLOOKUP(XLOOKUP($Q235,'Threshold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Chart'!$B$1:$S$1,0)))),base,IF(OR(cat="Status",pow=0),0,FLOOR(FLOOR(FLOOR((2*XLOOKUP($Q235,'Threshold Summary'!$Y:$Y,'Threshold Summary'!$L:$L,"")/5+2)*pow*atk/def)/50)+2)),modifier,stab*eff,FLOOR(base*modifier)),0)</f>
        <v/>
      </c>
      <c r="L235" s="3">
        <f>IFERROR(LET(mtype,XLOOKUP($D235,'Move Editor'!$B:$B,'Move Editor'!$C:$C,""),cat,XLOOKUP($D235,'Move Editor'!$B:$B,'Move Editor'!$D:$D,""),pow,XLOOKUP($D235,'Move Editor'!$B:$B,'Move Editor'!$E:$E,0),acc,XLOOKUP($D235,'Move Editor'!$B:$B,'Move Editor'!$F:$F,100),atk,IF(cat="Physical",FLOOR((FLOOR(((2*XLOOKUP(XLOOKUP($Q235,'Threshold Summary'!$Y:$Y,'Threshold Summary'!$K:$K,""),'Pokemon Editor'!$A:$A,'Pokemon Editor'!$F:$F,0)+31+FLOOR(XLOOKUP($Q235,'Threshold Summary'!$Y:$Y,'Threshold Summary'!$P:$P,"")/4))*XLOOKUP($Q235,'Threshold Summary'!$Y:$Y,'Threshold Summary'!$L:$L,""))/100)+5)*XLOOKUP(XLOOKUP($Q235,'Threshold Summary'!$Y:$Y,'Threshold Summary'!$M:$M,""),'Nature Editor'!$A:$A,'Nature Editor'!$B:$B,1)),FLOOR((FLOOR(((2*XLOOKUP(XLOOKUP($Q235,'Threshold Summary'!$Y:$Y,'Threshold Summary'!$K:$K,""),'Pokemon Editor'!$A:$A,'Pokemon Editor'!$H:$H,0)+31+FLOOR(XLOOKUP($Q235,'Threshold Summary'!$Y:$Y,'Threshold Summary'!$R:$R,"")/4))*XLOOKUP($Q235,'Threshold Summary'!$Y:$Y,'Threshold Summary'!$L:$L,""))/100)+5)*XLOOKUP(XLOOKUP($Q235,'Threshold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Editor'!$E:$E,1))),stab,IF(OR(mtype=XLOOKUP(XLOOKUP($Q235,'Threshold Summary'!$Y:$Y,'Threshold Summary'!$K:$K,""),'Pokemon Editor'!$A:$A,'Pokemon Editor'!$C:$C,""),mtype=XLOOKUP(XLOOKUP($Q235,'Threshold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Chart'!$B$1:$S$1,0)))),base,IF(OR(cat="Status",pow=0),0,FLOOR(FLOOR(FLOOR((2*XLOOKUP($Q235,'Threshold Summary'!$Y:$Y,'Threshold Summary'!$L:$L,"")/5+2)*pow*atk/def)/50)+2)),modifier,stab*eff,AVERAGE(ARRAYFORMULA(FLOOR(base*modifier*SEQUENCE(16,1,85,1)/100)))),0)</f>
        <v/>
      </c>
      <c r="M235" s="3">
        <f>IFERROR(LET(mtype,XLOOKUP($D235,'Move Editor'!$B:$B,'Move Editor'!$C:$C,""),cat,XLOOKUP($D235,'Move Editor'!$B:$B,'Move Editor'!$D:$D,""),pow,XLOOKUP($D235,'Move Editor'!$B:$B,'Move Editor'!$E:$E,0),acc,XLOOKUP($D235,'Move Editor'!$B:$B,'Move Editor'!$F:$F,100),atk,IF(cat="Physical",FLOOR((FLOOR(((2*XLOOKUP(XLOOKUP($Q235,'Threshold Summary'!$Y:$Y,'Threshold Summary'!$K:$K,""),'Pokemon Editor'!$A:$A,'Pokemon Editor'!$F:$F,0)+31+FLOOR(XLOOKUP($Q235,'Threshold Summary'!$Y:$Y,'Threshold Summary'!$P:$P,"")/4))*XLOOKUP($Q235,'Threshold Summary'!$Y:$Y,'Threshold Summary'!$L:$L,""))/100)+5)*XLOOKUP(XLOOKUP($Q235,'Threshold Summary'!$Y:$Y,'Threshold Summary'!$M:$M,""),'Nature Editor'!$A:$A,'Nature Editor'!$B:$B,1)),FLOOR((FLOOR(((2*XLOOKUP(XLOOKUP($Q235,'Threshold Summary'!$Y:$Y,'Threshold Summary'!$K:$K,""),'Pokemon Editor'!$A:$A,'Pokemon Editor'!$H:$H,0)+31+FLOOR(XLOOKUP($Q235,'Threshold Summary'!$Y:$Y,'Threshold Summary'!$R:$R,"")/4))*XLOOKUP($Q235,'Threshold Summary'!$Y:$Y,'Threshold Summary'!$L:$L,""))/100)+5)*XLOOKUP(XLOOKUP($Q235,'Threshold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Editor'!$E:$E,1))),stab,IF(OR(mtype=XLOOKUP(XLOOKUP($Q235,'Threshold Summary'!$Y:$Y,'Threshold Summary'!$K:$K,""),'Pokemon Editor'!$A:$A,'Pokemon Editor'!$C:$C,""),mtype=XLOOKUP(XLOOKUP($Q235,'Threshold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Chart'!$B$1:$S$1,0)))),base,IF(OR(cat="Status",pow=0),0,FLOOR(FLOOR(FLOOR((2*XLOOKUP($Q235,'Threshold Summary'!$Y:$Y,'Threshold Summary'!$L:$L,"")/5+2)*pow*atk/def)/50)+2)),modifier,stab*eff,AVERAGE(ARRAYFORMULA(FLOOR(base*modifier*SEQUENCE(16,1,85,1)/100)))*MIN(1,acc/100)),0)</f>
        <v/>
      </c>
      <c r="N235" s="4">
        <f>IFERROR(LET(mtype,XLOOKUP($D235,'Move Editor'!$B:$B,'Move Editor'!$C:$C,""),cat,XLOOKUP($D235,'Move Editor'!$B:$B,'Move Editor'!$D:$D,""),pow,XLOOKUP($D235,'Move Editor'!$B:$B,'Move Editor'!$E:$E,0),acc,XLOOKUP($D235,'Move Editor'!$B:$B,'Move Editor'!$F:$F,100),atk,IF(cat="Physical",FLOOR((FLOOR(((2*XLOOKUP(XLOOKUP($Q235,'Threshold Summary'!$Y:$Y,'Threshold Summary'!$K:$K,""),'Pokemon Editor'!$A:$A,'Pokemon Editor'!$F:$F,0)+31+FLOOR(XLOOKUP($Q235,'Threshold Summary'!$Y:$Y,'Threshold Summary'!$P:$P,"")/4))*XLOOKUP($Q235,'Threshold Summary'!$Y:$Y,'Threshold Summary'!$L:$L,""))/100)+5)*XLOOKUP(XLOOKUP($Q235,'Threshold Summary'!$Y:$Y,'Threshold Summary'!$M:$M,""),'Nature Editor'!$A:$A,'Nature Editor'!$B:$B,1)),FLOOR((FLOOR(((2*XLOOKUP(XLOOKUP($Q235,'Threshold Summary'!$Y:$Y,'Threshold Summary'!$K:$K,""),'Pokemon Editor'!$A:$A,'Pokemon Editor'!$H:$H,0)+31+FLOOR(XLOOKUP($Q235,'Threshold Summary'!$Y:$Y,'Threshold Summary'!$R:$R,"")/4))*XLOOKUP($Q235,'Threshold Summary'!$Y:$Y,'Threshold Summary'!$L:$L,""))/100)+5)*XLOOKUP(XLOOKUP($Q235,'Threshold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Editor'!$E:$E,1))),stab,IF(OR(mtype=XLOOKUP(XLOOKUP($Q235,'Threshold Summary'!$Y:$Y,'Threshold Summary'!$K:$K,""),'Pokemon Editor'!$A:$A,'Pokemon Editor'!$C:$C,""),mtype=XLOOKUP(XLOOKUP($Q235,'Threshold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Chart'!$B$1:$S$1,0)))),base,IF(OR(cat="Status",pow=0),0,FLOOR(FLOOR(FLOOR((2*XLOOKUP($Q235,'Threshold Summary'!$Y:$Y,'Threshold Summary'!$L:$L,"")/5+2)*pow*atk/def)/50)+2)),modifier,stab*eff,AVERAGE(ARRAYFORMULA(FLOOR(base*modifier*SEQUENCE(16,1,85,1)/100)))/(FLOOR(((2*XLOOKUP('Boss Editor'!$C$4,'Pokemon Editor'!$A:$A,'Pokemon Editor'!$E:$E,0)+31+FLOOR('Boss Editor'!$G$4/4))*'Boss Editor'!$D$4)/100)+'Boss Editor'!$D$4+10)),0)</f>
        <v/>
      </c>
      <c r="O235" s="3">
        <f>IF(N235&gt;=1,"OHKO",IF(N235&gt;=0.5,"2HKO",IF(N235&gt;=0.333,"3HKO",IF(N235&gt;=0.25,"4HKO","5HKO+"))))</f>
        <v/>
      </c>
      <c r="P235" s="3" t="inlineStr">
        <is>
          <t>Live from editable databases</t>
        </is>
      </c>
      <c r="Q235" s="3" t="inlineStr">
        <is>
          <t>SPECIES_RALTS</t>
        </is>
      </c>
      <c r="R235" s="3" t="n">
        <v>10</v>
      </c>
    </row>
    <row r="236">
      <c r="A236" s="3">
        <f>XLOOKUP($Q236,'Threshold Summary'!$Y:$Y,'Threshold Summary'!$A:$A,"")</f>
        <v/>
      </c>
      <c r="B236" s="3">
        <f>XLOOKUP($Q236,'Threshold Summary'!$Y:$Y,'Threshold Summary'!$M:$M,"")</f>
        <v/>
      </c>
      <c r="C236" s="3">
        <f>XLOOKUP($Q236,'Threshold Summary'!$Y:$Y,'Threshold Summary'!$N:$N,"")</f>
        <v/>
      </c>
      <c r="D236" s="3">
        <f>IFERROR(INDEX(FILTER('Learnset Editor'!$D$2:$D,'Learnset Editor'!$A$2:$A=XLOOKUP($Q236,'Threshold Summary'!$Y:$Y,'Threshold Summary'!$K:$K,""),'Learnset Editor'!$C$2:$C&lt;=XLOOKUP($Q236,'Threshold Summary'!$Y:$Y,'Threshold Summary'!$L:$L,"")),$R236),"")</f>
        <v/>
      </c>
      <c r="E236" s="3">
        <f>XLOOKUP(D236,'Move Editor'!$B:$B,'Move Editor'!$C:$C,"")</f>
        <v/>
      </c>
      <c r="F236" s="3">
        <f>XLOOKUP(D236,'Move Editor'!$B:$B,'Move Editor'!$D:$D,"")</f>
        <v/>
      </c>
      <c r="G236" s="3">
        <f>XLOOKUP(D236,'Move Editor'!$B:$B,'Move Editor'!$E:$E,0)</f>
        <v/>
      </c>
      <c r="H236" s="3">
        <f>XLOOKUP(D236,'Move Editor'!$B:$B,'Move Editor'!$F:$F,0)</f>
        <v/>
      </c>
      <c r="I236" s="3">
        <f>(INDEX('Type Chart'!$B:$S,MATCH(E236,'Type Chart'!$A:$A,0),MATCH(XLOOKUP('Boss Editor'!$C$4,'Pokemon Editor'!$A:$A,'Pokemon Editor'!$C:$C,""),'Type Chart'!$B$1:$S$1,0))*IF(XLOOKUP('Boss Editor'!$C$4,'Pokemon Editor'!$A:$A,'Pokemon Editor'!$D:$D,"")="",1,INDEX('Type Chart'!$B:$S,MATCH(E236,'Type Chart'!$A:$A,0),MATCH(XLOOKUP('Boss Editor'!$C$4,'Pokemon Editor'!$A:$A,'Pokemon Editor'!$D:$D,""),'Type Chart'!$B$1:$S$1,0))))</f>
        <v/>
      </c>
      <c r="J236" s="3">
        <f>IFERROR(LET(mtype,XLOOKUP($D236,'Move Editor'!$B:$B,'Move Editor'!$C:$C,""),cat,XLOOKUP($D236,'Move Editor'!$B:$B,'Move Editor'!$D:$D,""),pow,XLOOKUP($D236,'Move Editor'!$B:$B,'Move Editor'!$E:$E,0),acc,XLOOKUP($D236,'Move Editor'!$B:$B,'Move Editor'!$F:$F,100),atk,IF(cat="Physical",FLOOR((FLOOR(((2*XLOOKUP(XLOOKUP($Q236,'Threshold Summary'!$Y:$Y,'Threshold Summary'!$K:$K,""),'Pokemon Editor'!$A:$A,'Pokemon Editor'!$F:$F,0)+31+FLOOR(XLOOKUP($Q236,'Threshold Summary'!$Y:$Y,'Threshold Summary'!$P:$P,"")/4))*XLOOKUP($Q236,'Threshold Summary'!$Y:$Y,'Threshold Summary'!$L:$L,""))/100)+5)*XLOOKUP(XLOOKUP($Q236,'Threshold Summary'!$Y:$Y,'Threshold Summary'!$M:$M,""),'Nature Editor'!$A:$A,'Nature Editor'!$B:$B,1)),FLOOR((FLOOR(((2*XLOOKUP(XLOOKUP($Q236,'Threshold Summary'!$Y:$Y,'Threshold Summary'!$K:$K,""),'Pokemon Editor'!$A:$A,'Pokemon Editor'!$H:$H,0)+31+FLOOR(XLOOKUP($Q236,'Threshold Summary'!$Y:$Y,'Threshold Summary'!$R:$R,"")/4))*XLOOKUP($Q236,'Threshold Summary'!$Y:$Y,'Threshold Summary'!$L:$L,""))/100)+5)*XLOOKUP(XLOOKUP($Q236,'Threshold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Editor'!$E:$E,1))),stab,IF(OR(mtype=XLOOKUP(XLOOKUP($Q236,'Threshold Summary'!$Y:$Y,'Threshold Summary'!$K:$K,""),'Pokemon Editor'!$A:$A,'Pokemon Editor'!$C:$C,""),mtype=XLOOKUP(XLOOKUP($Q236,'Threshold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Chart'!$B$1:$S$1,0)))),base,IF(OR(cat="Status",pow=0),0,FLOOR(FLOOR(FLOOR((2*XLOOKUP($Q236,'Threshold Summary'!$Y:$Y,'Threshold Summary'!$L:$L,"")/5+2)*pow*atk/def)/50)+2)),modifier,stab*eff,FLOOR(base*modifier*0.85)),0)</f>
        <v/>
      </c>
      <c r="K236" s="3">
        <f>IFERROR(LET(mtype,XLOOKUP($D236,'Move Editor'!$B:$B,'Move Editor'!$C:$C,""),cat,XLOOKUP($D236,'Move Editor'!$B:$B,'Move Editor'!$D:$D,""),pow,XLOOKUP($D236,'Move Editor'!$B:$B,'Move Editor'!$E:$E,0),acc,XLOOKUP($D236,'Move Editor'!$B:$B,'Move Editor'!$F:$F,100),atk,IF(cat="Physical",FLOOR((FLOOR(((2*XLOOKUP(XLOOKUP($Q236,'Threshold Summary'!$Y:$Y,'Threshold Summary'!$K:$K,""),'Pokemon Editor'!$A:$A,'Pokemon Editor'!$F:$F,0)+31+FLOOR(XLOOKUP($Q236,'Threshold Summary'!$Y:$Y,'Threshold Summary'!$P:$P,"")/4))*XLOOKUP($Q236,'Threshold Summary'!$Y:$Y,'Threshold Summary'!$L:$L,""))/100)+5)*XLOOKUP(XLOOKUP($Q236,'Threshold Summary'!$Y:$Y,'Threshold Summary'!$M:$M,""),'Nature Editor'!$A:$A,'Nature Editor'!$B:$B,1)),FLOOR((FLOOR(((2*XLOOKUP(XLOOKUP($Q236,'Threshold Summary'!$Y:$Y,'Threshold Summary'!$K:$K,""),'Pokemon Editor'!$A:$A,'Pokemon Editor'!$H:$H,0)+31+FLOOR(XLOOKUP($Q236,'Threshold Summary'!$Y:$Y,'Threshold Summary'!$R:$R,"")/4))*XLOOKUP($Q236,'Threshold Summary'!$Y:$Y,'Threshold Summary'!$L:$L,""))/100)+5)*XLOOKUP(XLOOKUP($Q236,'Threshold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Editor'!$E:$E,1))),stab,IF(OR(mtype=XLOOKUP(XLOOKUP($Q236,'Threshold Summary'!$Y:$Y,'Threshold Summary'!$K:$K,""),'Pokemon Editor'!$A:$A,'Pokemon Editor'!$C:$C,""),mtype=XLOOKUP(XLOOKUP($Q236,'Threshold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Chart'!$B$1:$S$1,0)))),base,IF(OR(cat="Status",pow=0),0,FLOOR(FLOOR(FLOOR((2*XLOOKUP($Q236,'Threshold Summary'!$Y:$Y,'Threshold Summary'!$L:$L,"")/5+2)*pow*atk/def)/50)+2)),modifier,stab*eff,FLOOR(base*modifier)),0)</f>
        <v/>
      </c>
      <c r="L236" s="3">
        <f>IFERROR(LET(mtype,XLOOKUP($D236,'Move Editor'!$B:$B,'Move Editor'!$C:$C,""),cat,XLOOKUP($D236,'Move Editor'!$B:$B,'Move Editor'!$D:$D,""),pow,XLOOKUP($D236,'Move Editor'!$B:$B,'Move Editor'!$E:$E,0),acc,XLOOKUP($D236,'Move Editor'!$B:$B,'Move Editor'!$F:$F,100),atk,IF(cat="Physical",FLOOR((FLOOR(((2*XLOOKUP(XLOOKUP($Q236,'Threshold Summary'!$Y:$Y,'Threshold Summary'!$K:$K,""),'Pokemon Editor'!$A:$A,'Pokemon Editor'!$F:$F,0)+31+FLOOR(XLOOKUP($Q236,'Threshold Summary'!$Y:$Y,'Threshold Summary'!$P:$P,"")/4))*XLOOKUP($Q236,'Threshold Summary'!$Y:$Y,'Threshold Summary'!$L:$L,""))/100)+5)*XLOOKUP(XLOOKUP($Q236,'Threshold Summary'!$Y:$Y,'Threshold Summary'!$M:$M,""),'Nature Editor'!$A:$A,'Nature Editor'!$B:$B,1)),FLOOR((FLOOR(((2*XLOOKUP(XLOOKUP($Q236,'Threshold Summary'!$Y:$Y,'Threshold Summary'!$K:$K,""),'Pokemon Editor'!$A:$A,'Pokemon Editor'!$H:$H,0)+31+FLOOR(XLOOKUP($Q236,'Threshold Summary'!$Y:$Y,'Threshold Summary'!$R:$R,"")/4))*XLOOKUP($Q236,'Threshold Summary'!$Y:$Y,'Threshold Summary'!$L:$L,""))/100)+5)*XLOOKUP(XLOOKUP($Q236,'Threshold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Editor'!$E:$E,1))),stab,IF(OR(mtype=XLOOKUP(XLOOKUP($Q236,'Threshold Summary'!$Y:$Y,'Threshold Summary'!$K:$K,""),'Pokemon Editor'!$A:$A,'Pokemon Editor'!$C:$C,""),mtype=XLOOKUP(XLOOKUP($Q236,'Threshold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Chart'!$B$1:$S$1,0)))),base,IF(OR(cat="Status",pow=0),0,FLOOR(FLOOR(FLOOR((2*XLOOKUP($Q236,'Threshold Summary'!$Y:$Y,'Threshold Summary'!$L:$L,"")/5+2)*pow*atk/def)/50)+2)),modifier,stab*eff,AVERAGE(ARRAYFORMULA(FLOOR(base*modifier*SEQUENCE(16,1,85,1)/100)))),0)</f>
        <v/>
      </c>
      <c r="M236" s="3">
        <f>IFERROR(LET(mtype,XLOOKUP($D236,'Move Editor'!$B:$B,'Move Editor'!$C:$C,""),cat,XLOOKUP($D236,'Move Editor'!$B:$B,'Move Editor'!$D:$D,""),pow,XLOOKUP($D236,'Move Editor'!$B:$B,'Move Editor'!$E:$E,0),acc,XLOOKUP($D236,'Move Editor'!$B:$B,'Move Editor'!$F:$F,100),atk,IF(cat="Physical",FLOOR((FLOOR(((2*XLOOKUP(XLOOKUP($Q236,'Threshold Summary'!$Y:$Y,'Threshold Summary'!$K:$K,""),'Pokemon Editor'!$A:$A,'Pokemon Editor'!$F:$F,0)+31+FLOOR(XLOOKUP($Q236,'Threshold Summary'!$Y:$Y,'Threshold Summary'!$P:$P,"")/4))*XLOOKUP($Q236,'Threshold Summary'!$Y:$Y,'Threshold Summary'!$L:$L,""))/100)+5)*XLOOKUP(XLOOKUP($Q236,'Threshold Summary'!$Y:$Y,'Threshold Summary'!$M:$M,""),'Nature Editor'!$A:$A,'Nature Editor'!$B:$B,1)),FLOOR((FLOOR(((2*XLOOKUP(XLOOKUP($Q236,'Threshold Summary'!$Y:$Y,'Threshold Summary'!$K:$K,""),'Pokemon Editor'!$A:$A,'Pokemon Editor'!$H:$H,0)+31+FLOOR(XLOOKUP($Q236,'Threshold Summary'!$Y:$Y,'Threshold Summary'!$R:$R,"")/4))*XLOOKUP($Q236,'Threshold Summary'!$Y:$Y,'Threshold Summary'!$L:$L,""))/100)+5)*XLOOKUP(XLOOKUP($Q236,'Threshold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Editor'!$E:$E,1))),stab,IF(OR(mtype=XLOOKUP(XLOOKUP($Q236,'Threshold Summary'!$Y:$Y,'Threshold Summary'!$K:$K,""),'Pokemon Editor'!$A:$A,'Pokemon Editor'!$C:$C,""),mtype=XLOOKUP(XLOOKUP($Q236,'Threshold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Chart'!$B$1:$S$1,0)))),base,IF(OR(cat="Status",pow=0),0,FLOOR(FLOOR(FLOOR((2*XLOOKUP($Q236,'Threshold Summary'!$Y:$Y,'Threshold Summary'!$L:$L,"")/5+2)*pow*atk/def)/50)+2)),modifier,stab*eff,AVERAGE(ARRAYFORMULA(FLOOR(base*modifier*SEQUENCE(16,1,85,1)/100)))*MIN(1,acc/100)),0)</f>
        <v/>
      </c>
      <c r="N236" s="4">
        <f>IFERROR(LET(mtype,XLOOKUP($D236,'Move Editor'!$B:$B,'Move Editor'!$C:$C,""),cat,XLOOKUP($D236,'Move Editor'!$B:$B,'Move Editor'!$D:$D,""),pow,XLOOKUP($D236,'Move Editor'!$B:$B,'Move Editor'!$E:$E,0),acc,XLOOKUP($D236,'Move Editor'!$B:$B,'Move Editor'!$F:$F,100),atk,IF(cat="Physical",FLOOR((FLOOR(((2*XLOOKUP(XLOOKUP($Q236,'Threshold Summary'!$Y:$Y,'Threshold Summary'!$K:$K,""),'Pokemon Editor'!$A:$A,'Pokemon Editor'!$F:$F,0)+31+FLOOR(XLOOKUP($Q236,'Threshold Summary'!$Y:$Y,'Threshold Summary'!$P:$P,"")/4))*XLOOKUP($Q236,'Threshold Summary'!$Y:$Y,'Threshold Summary'!$L:$L,""))/100)+5)*XLOOKUP(XLOOKUP($Q236,'Threshold Summary'!$Y:$Y,'Threshold Summary'!$M:$M,""),'Nature Editor'!$A:$A,'Nature Editor'!$B:$B,1)),FLOOR((FLOOR(((2*XLOOKUP(XLOOKUP($Q236,'Threshold Summary'!$Y:$Y,'Threshold Summary'!$K:$K,""),'Pokemon Editor'!$A:$A,'Pokemon Editor'!$H:$H,0)+31+FLOOR(XLOOKUP($Q236,'Threshold Summary'!$Y:$Y,'Threshold Summary'!$R:$R,"")/4))*XLOOKUP($Q236,'Threshold Summary'!$Y:$Y,'Threshold Summary'!$L:$L,""))/100)+5)*XLOOKUP(XLOOKUP($Q236,'Threshold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Editor'!$E:$E,1))),stab,IF(OR(mtype=XLOOKUP(XLOOKUP($Q236,'Threshold Summary'!$Y:$Y,'Threshold Summary'!$K:$K,""),'Pokemon Editor'!$A:$A,'Pokemon Editor'!$C:$C,""),mtype=XLOOKUP(XLOOKUP($Q236,'Threshold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Chart'!$B$1:$S$1,0)))),base,IF(OR(cat="Status",pow=0),0,FLOOR(FLOOR(FLOOR((2*XLOOKUP($Q236,'Threshold Summary'!$Y:$Y,'Threshold Summary'!$L:$L,"")/5+2)*pow*atk/def)/50)+2)),modifier,stab*eff,AVERAGE(ARRAYFORMULA(FLOOR(base*modifier*SEQUENCE(16,1,85,1)/100)))/(FLOOR(((2*XLOOKUP('Boss Editor'!$C$4,'Pokemon Editor'!$A:$A,'Pokemon Editor'!$E:$E,0)+31+FLOOR('Boss Editor'!$G$4/4))*'Boss Editor'!$D$4)/100)+'Boss Editor'!$D$4+10)),0)</f>
        <v/>
      </c>
      <c r="O236" s="3">
        <f>IF(N236&gt;=1,"OHKO",IF(N236&gt;=0.5,"2HKO",IF(N236&gt;=0.333,"3HKO",IF(N236&gt;=0.25,"4HKO","5HKO+"))))</f>
        <v/>
      </c>
      <c r="P236" s="3" t="inlineStr">
        <is>
          <t>Live from editable databases</t>
        </is>
      </c>
      <c r="Q236" s="3" t="inlineStr">
        <is>
          <t>SPECIES_RALTS</t>
        </is>
      </c>
      <c r="R236" s="3" t="n">
        <v>11</v>
      </c>
    </row>
    <row r="237">
      <c r="A237" s="3">
        <f>XLOOKUP($Q237,'Threshold Summary'!$Y:$Y,'Threshold Summary'!$A:$A,"")</f>
        <v/>
      </c>
      <c r="B237" s="3">
        <f>XLOOKUP($Q237,'Threshold Summary'!$Y:$Y,'Threshold Summary'!$M:$M,"")</f>
        <v/>
      </c>
      <c r="C237" s="3">
        <f>XLOOKUP($Q237,'Threshold Summary'!$Y:$Y,'Threshold Summary'!$N:$N,"")</f>
        <v/>
      </c>
      <c r="D237" s="3">
        <f>IFERROR(INDEX(FILTER('Learnset Editor'!$D$2:$D,'Learnset Editor'!$A$2:$A=XLOOKUP($Q237,'Threshold Summary'!$Y:$Y,'Threshold Summary'!$K:$K,""),'Learnset Editor'!$C$2:$C&lt;=XLOOKUP($Q237,'Threshold Summary'!$Y:$Y,'Threshold Summary'!$L:$L,"")),$R237),"")</f>
        <v/>
      </c>
      <c r="E237" s="3">
        <f>XLOOKUP(D237,'Move Editor'!$B:$B,'Move Editor'!$C:$C,"")</f>
        <v/>
      </c>
      <c r="F237" s="3">
        <f>XLOOKUP(D237,'Move Editor'!$B:$B,'Move Editor'!$D:$D,"")</f>
        <v/>
      </c>
      <c r="G237" s="3">
        <f>XLOOKUP(D237,'Move Editor'!$B:$B,'Move Editor'!$E:$E,0)</f>
        <v/>
      </c>
      <c r="H237" s="3">
        <f>XLOOKUP(D237,'Move Editor'!$B:$B,'Move Editor'!$F:$F,0)</f>
        <v/>
      </c>
      <c r="I237" s="3">
        <f>(INDEX('Type Chart'!$B:$S,MATCH(E237,'Type Chart'!$A:$A,0),MATCH(XLOOKUP('Boss Editor'!$C$4,'Pokemon Editor'!$A:$A,'Pokemon Editor'!$C:$C,""),'Type Chart'!$B$1:$S$1,0))*IF(XLOOKUP('Boss Editor'!$C$4,'Pokemon Editor'!$A:$A,'Pokemon Editor'!$D:$D,"")="",1,INDEX('Type Chart'!$B:$S,MATCH(E237,'Type Chart'!$A:$A,0),MATCH(XLOOKUP('Boss Editor'!$C$4,'Pokemon Editor'!$A:$A,'Pokemon Editor'!$D:$D,""),'Type Chart'!$B$1:$S$1,0))))</f>
        <v/>
      </c>
      <c r="J237" s="3">
        <f>IFERROR(LET(mtype,XLOOKUP($D237,'Move Editor'!$B:$B,'Move Editor'!$C:$C,""),cat,XLOOKUP($D237,'Move Editor'!$B:$B,'Move Editor'!$D:$D,""),pow,XLOOKUP($D237,'Move Editor'!$B:$B,'Move Editor'!$E:$E,0),acc,XLOOKUP($D237,'Move Editor'!$B:$B,'Move Editor'!$F:$F,100),atk,IF(cat="Physical",FLOOR((FLOOR(((2*XLOOKUP(XLOOKUP($Q237,'Threshold Summary'!$Y:$Y,'Threshold Summary'!$K:$K,""),'Pokemon Editor'!$A:$A,'Pokemon Editor'!$F:$F,0)+31+FLOOR(XLOOKUP($Q237,'Threshold Summary'!$Y:$Y,'Threshold Summary'!$P:$P,"")/4))*XLOOKUP($Q237,'Threshold Summary'!$Y:$Y,'Threshold Summary'!$L:$L,""))/100)+5)*XLOOKUP(XLOOKUP($Q237,'Threshold Summary'!$Y:$Y,'Threshold Summary'!$M:$M,""),'Nature Editor'!$A:$A,'Nature Editor'!$B:$B,1)),FLOOR((FLOOR(((2*XLOOKUP(XLOOKUP($Q237,'Threshold Summary'!$Y:$Y,'Threshold Summary'!$K:$K,""),'Pokemon Editor'!$A:$A,'Pokemon Editor'!$H:$H,0)+31+FLOOR(XLOOKUP($Q237,'Threshold Summary'!$Y:$Y,'Threshold Summary'!$R:$R,"")/4))*XLOOKUP($Q237,'Threshold Summary'!$Y:$Y,'Threshold Summary'!$L:$L,""))/100)+5)*XLOOKUP(XLOOKUP($Q237,'Threshold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Editor'!$E:$E,1))),stab,IF(OR(mtype=XLOOKUP(XLOOKUP($Q237,'Threshold Summary'!$Y:$Y,'Threshold Summary'!$K:$K,""),'Pokemon Editor'!$A:$A,'Pokemon Editor'!$C:$C,""),mtype=XLOOKUP(XLOOKUP($Q237,'Threshold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Chart'!$B$1:$S$1,0)))),base,IF(OR(cat="Status",pow=0),0,FLOOR(FLOOR(FLOOR((2*XLOOKUP($Q237,'Threshold Summary'!$Y:$Y,'Threshold Summary'!$L:$L,"")/5+2)*pow*atk/def)/50)+2)),modifier,stab*eff,FLOOR(base*modifier*0.85)),0)</f>
        <v/>
      </c>
      <c r="K237" s="3">
        <f>IFERROR(LET(mtype,XLOOKUP($D237,'Move Editor'!$B:$B,'Move Editor'!$C:$C,""),cat,XLOOKUP($D237,'Move Editor'!$B:$B,'Move Editor'!$D:$D,""),pow,XLOOKUP($D237,'Move Editor'!$B:$B,'Move Editor'!$E:$E,0),acc,XLOOKUP($D237,'Move Editor'!$B:$B,'Move Editor'!$F:$F,100),atk,IF(cat="Physical",FLOOR((FLOOR(((2*XLOOKUP(XLOOKUP($Q237,'Threshold Summary'!$Y:$Y,'Threshold Summary'!$K:$K,""),'Pokemon Editor'!$A:$A,'Pokemon Editor'!$F:$F,0)+31+FLOOR(XLOOKUP($Q237,'Threshold Summary'!$Y:$Y,'Threshold Summary'!$P:$P,"")/4))*XLOOKUP($Q237,'Threshold Summary'!$Y:$Y,'Threshold Summary'!$L:$L,""))/100)+5)*XLOOKUP(XLOOKUP($Q237,'Threshold Summary'!$Y:$Y,'Threshold Summary'!$M:$M,""),'Nature Editor'!$A:$A,'Nature Editor'!$B:$B,1)),FLOOR((FLOOR(((2*XLOOKUP(XLOOKUP($Q237,'Threshold Summary'!$Y:$Y,'Threshold Summary'!$K:$K,""),'Pokemon Editor'!$A:$A,'Pokemon Editor'!$H:$H,0)+31+FLOOR(XLOOKUP($Q237,'Threshold Summary'!$Y:$Y,'Threshold Summary'!$R:$R,"")/4))*XLOOKUP($Q237,'Threshold Summary'!$Y:$Y,'Threshold Summary'!$L:$L,""))/100)+5)*XLOOKUP(XLOOKUP($Q237,'Threshold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Editor'!$E:$E,1))),stab,IF(OR(mtype=XLOOKUP(XLOOKUP($Q237,'Threshold Summary'!$Y:$Y,'Threshold Summary'!$K:$K,""),'Pokemon Editor'!$A:$A,'Pokemon Editor'!$C:$C,""),mtype=XLOOKUP(XLOOKUP($Q237,'Threshold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Chart'!$B$1:$S$1,0)))),base,IF(OR(cat="Status",pow=0),0,FLOOR(FLOOR(FLOOR((2*XLOOKUP($Q237,'Threshold Summary'!$Y:$Y,'Threshold Summary'!$L:$L,"")/5+2)*pow*atk/def)/50)+2)),modifier,stab*eff,FLOOR(base*modifier)),0)</f>
        <v/>
      </c>
      <c r="L237" s="3">
        <f>IFERROR(LET(mtype,XLOOKUP($D237,'Move Editor'!$B:$B,'Move Editor'!$C:$C,""),cat,XLOOKUP($D237,'Move Editor'!$B:$B,'Move Editor'!$D:$D,""),pow,XLOOKUP($D237,'Move Editor'!$B:$B,'Move Editor'!$E:$E,0),acc,XLOOKUP($D237,'Move Editor'!$B:$B,'Move Editor'!$F:$F,100),atk,IF(cat="Physical",FLOOR((FLOOR(((2*XLOOKUP(XLOOKUP($Q237,'Threshold Summary'!$Y:$Y,'Threshold Summary'!$K:$K,""),'Pokemon Editor'!$A:$A,'Pokemon Editor'!$F:$F,0)+31+FLOOR(XLOOKUP($Q237,'Threshold Summary'!$Y:$Y,'Threshold Summary'!$P:$P,"")/4))*XLOOKUP($Q237,'Threshold Summary'!$Y:$Y,'Threshold Summary'!$L:$L,""))/100)+5)*XLOOKUP(XLOOKUP($Q237,'Threshold Summary'!$Y:$Y,'Threshold Summary'!$M:$M,""),'Nature Editor'!$A:$A,'Nature Editor'!$B:$B,1)),FLOOR((FLOOR(((2*XLOOKUP(XLOOKUP($Q237,'Threshold Summary'!$Y:$Y,'Threshold Summary'!$K:$K,""),'Pokemon Editor'!$A:$A,'Pokemon Editor'!$H:$H,0)+31+FLOOR(XLOOKUP($Q237,'Threshold Summary'!$Y:$Y,'Threshold Summary'!$R:$R,"")/4))*XLOOKUP($Q237,'Threshold Summary'!$Y:$Y,'Threshold Summary'!$L:$L,""))/100)+5)*XLOOKUP(XLOOKUP($Q237,'Threshold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Editor'!$E:$E,1))),stab,IF(OR(mtype=XLOOKUP(XLOOKUP($Q237,'Threshold Summary'!$Y:$Y,'Threshold Summary'!$K:$K,""),'Pokemon Editor'!$A:$A,'Pokemon Editor'!$C:$C,""),mtype=XLOOKUP(XLOOKUP($Q237,'Threshold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Chart'!$B$1:$S$1,0)))),base,IF(OR(cat="Status",pow=0),0,FLOOR(FLOOR(FLOOR((2*XLOOKUP($Q237,'Threshold Summary'!$Y:$Y,'Threshold Summary'!$L:$L,"")/5+2)*pow*atk/def)/50)+2)),modifier,stab*eff,AVERAGE(ARRAYFORMULA(FLOOR(base*modifier*SEQUENCE(16,1,85,1)/100)))),0)</f>
        <v/>
      </c>
      <c r="M237" s="3">
        <f>IFERROR(LET(mtype,XLOOKUP($D237,'Move Editor'!$B:$B,'Move Editor'!$C:$C,""),cat,XLOOKUP($D237,'Move Editor'!$B:$B,'Move Editor'!$D:$D,""),pow,XLOOKUP($D237,'Move Editor'!$B:$B,'Move Editor'!$E:$E,0),acc,XLOOKUP($D237,'Move Editor'!$B:$B,'Move Editor'!$F:$F,100),atk,IF(cat="Physical",FLOOR((FLOOR(((2*XLOOKUP(XLOOKUP($Q237,'Threshold Summary'!$Y:$Y,'Threshold Summary'!$K:$K,""),'Pokemon Editor'!$A:$A,'Pokemon Editor'!$F:$F,0)+31+FLOOR(XLOOKUP($Q237,'Threshold Summary'!$Y:$Y,'Threshold Summary'!$P:$P,"")/4))*XLOOKUP($Q237,'Threshold Summary'!$Y:$Y,'Threshold Summary'!$L:$L,""))/100)+5)*XLOOKUP(XLOOKUP($Q237,'Threshold Summary'!$Y:$Y,'Threshold Summary'!$M:$M,""),'Nature Editor'!$A:$A,'Nature Editor'!$B:$B,1)),FLOOR((FLOOR(((2*XLOOKUP(XLOOKUP($Q237,'Threshold Summary'!$Y:$Y,'Threshold Summary'!$K:$K,""),'Pokemon Editor'!$A:$A,'Pokemon Editor'!$H:$H,0)+31+FLOOR(XLOOKUP($Q237,'Threshold Summary'!$Y:$Y,'Threshold Summary'!$R:$R,"")/4))*XLOOKUP($Q237,'Threshold Summary'!$Y:$Y,'Threshold Summary'!$L:$L,""))/100)+5)*XLOOKUP(XLOOKUP($Q237,'Threshold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Editor'!$E:$E,1))),stab,IF(OR(mtype=XLOOKUP(XLOOKUP($Q237,'Threshold Summary'!$Y:$Y,'Threshold Summary'!$K:$K,""),'Pokemon Editor'!$A:$A,'Pokemon Editor'!$C:$C,""),mtype=XLOOKUP(XLOOKUP($Q237,'Threshold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Chart'!$B$1:$S$1,0)))),base,IF(OR(cat="Status",pow=0),0,FLOOR(FLOOR(FLOOR((2*XLOOKUP($Q237,'Threshold Summary'!$Y:$Y,'Threshold Summary'!$L:$L,"")/5+2)*pow*atk/def)/50)+2)),modifier,stab*eff,AVERAGE(ARRAYFORMULA(FLOOR(base*modifier*SEQUENCE(16,1,85,1)/100)))*MIN(1,acc/100)),0)</f>
        <v/>
      </c>
      <c r="N237" s="4">
        <f>IFERROR(LET(mtype,XLOOKUP($D237,'Move Editor'!$B:$B,'Move Editor'!$C:$C,""),cat,XLOOKUP($D237,'Move Editor'!$B:$B,'Move Editor'!$D:$D,""),pow,XLOOKUP($D237,'Move Editor'!$B:$B,'Move Editor'!$E:$E,0),acc,XLOOKUP($D237,'Move Editor'!$B:$B,'Move Editor'!$F:$F,100),atk,IF(cat="Physical",FLOOR((FLOOR(((2*XLOOKUP(XLOOKUP($Q237,'Threshold Summary'!$Y:$Y,'Threshold Summary'!$K:$K,""),'Pokemon Editor'!$A:$A,'Pokemon Editor'!$F:$F,0)+31+FLOOR(XLOOKUP($Q237,'Threshold Summary'!$Y:$Y,'Threshold Summary'!$P:$P,"")/4))*XLOOKUP($Q237,'Threshold Summary'!$Y:$Y,'Threshold Summary'!$L:$L,""))/100)+5)*XLOOKUP(XLOOKUP($Q237,'Threshold Summary'!$Y:$Y,'Threshold Summary'!$M:$M,""),'Nature Editor'!$A:$A,'Nature Editor'!$B:$B,1)),FLOOR((FLOOR(((2*XLOOKUP(XLOOKUP($Q237,'Threshold Summary'!$Y:$Y,'Threshold Summary'!$K:$K,""),'Pokemon Editor'!$A:$A,'Pokemon Editor'!$H:$H,0)+31+FLOOR(XLOOKUP($Q237,'Threshold Summary'!$Y:$Y,'Threshold Summary'!$R:$R,"")/4))*XLOOKUP($Q237,'Threshold Summary'!$Y:$Y,'Threshold Summary'!$L:$L,""))/100)+5)*XLOOKUP(XLOOKUP($Q237,'Threshold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Editor'!$E:$E,1))),stab,IF(OR(mtype=XLOOKUP(XLOOKUP($Q237,'Threshold Summary'!$Y:$Y,'Threshold Summary'!$K:$K,""),'Pokemon Editor'!$A:$A,'Pokemon Editor'!$C:$C,""),mtype=XLOOKUP(XLOOKUP($Q237,'Threshold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Chart'!$B$1:$S$1,0)))),base,IF(OR(cat="Status",pow=0),0,FLOOR(FLOOR(FLOOR((2*XLOOKUP($Q237,'Threshold Summary'!$Y:$Y,'Threshold Summary'!$L:$L,"")/5+2)*pow*atk/def)/50)+2)),modifier,stab*eff,AVERAGE(ARRAYFORMULA(FLOOR(base*modifier*SEQUENCE(16,1,85,1)/100)))/(FLOOR(((2*XLOOKUP('Boss Editor'!$C$4,'Pokemon Editor'!$A:$A,'Pokemon Editor'!$E:$E,0)+31+FLOOR('Boss Editor'!$G$4/4))*'Boss Editor'!$D$4)/100)+'Boss Editor'!$D$4+10)),0)</f>
        <v/>
      </c>
      <c r="O237" s="3">
        <f>IF(N237&gt;=1,"OHKO",IF(N237&gt;=0.5,"2HKO",IF(N237&gt;=0.333,"3HKO",IF(N237&gt;=0.25,"4HKO","5HKO+"))))</f>
        <v/>
      </c>
      <c r="P237" s="3" t="inlineStr">
        <is>
          <t>Live from editable databases</t>
        </is>
      </c>
      <c r="Q237" s="3" t="inlineStr">
        <is>
          <t>SPECIES_RALTS</t>
        </is>
      </c>
      <c r="R237" s="3" t="n">
        <v>12</v>
      </c>
    </row>
    <row r="238">
      <c r="A238" s="3">
        <f>XLOOKUP($Q238,'Threshold Summary'!$Y:$Y,'Threshold Summary'!$A:$A,"")</f>
        <v/>
      </c>
      <c r="B238" s="3">
        <f>XLOOKUP($Q238,'Threshold Summary'!$Y:$Y,'Threshold Summary'!$M:$M,"")</f>
        <v/>
      </c>
      <c r="C238" s="3">
        <f>XLOOKUP($Q238,'Threshold Summary'!$Y:$Y,'Threshold Summary'!$N:$N,"")</f>
        <v/>
      </c>
      <c r="D238" s="3">
        <f>IFERROR(INDEX(FILTER('Learnset Editor'!$D$2:$D,'Learnset Editor'!$A$2:$A=XLOOKUP($Q238,'Threshold Summary'!$Y:$Y,'Threshold Summary'!$K:$K,""),'Learnset Editor'!$C$2:$C&lt;=XLOOKUP($Q238,'Threshold Summary'!$Y:$Y,'Threshold Summary'!$L:$L,"")),$R238),"")</f>
        <v/>
      </c>
      <c r="E238" s="3">
        <f>XLOOKUP(D238,'Move Editor'!$B:$B,'Move Editor'!$C:$C,"")</f>
        <v/>
      </c>
      <c r="F238" s="3">
        <f>XLOOKUP(D238,'Move Editor'!$B:$B,'Move Editor'!$D:$D,"")</f>
        <v/>
      </c>
      <c r="G238" s="3">
        <f>XLOOKUP(D238,'Move Editor'!$B:$B,'Move Editor'!$E:$E,0)</f>
        <v/>
      </c>
      <c r="H238" s="3">
        <f>XLOOKUP(D238,'Move Editor'!$B:$B,'Move Editor'!$F:$F,0)</f>
        <v/>
      </c>
      <c r="I238" s="3">
        <f>(INDEX('Type Chart'!$B:$S,MATCH(E238,'Type Chart'!$A:$A,0),MATCH(XLOOKUP('Boss Editor'!$C$4,'Pokemon Editor'!$A:$A,'Pokemon Editor'!$C:$C,""),'Type Chart'!$B$1:$S$1,0))*IF(XLOOKUP('Boss Editor'!$C$4,'Pokemon Editor'!$A:$A,'Pokemon Editor'!$D:$D,"")="",1,INDEX('Type Chart'!$B:$S,MATCH(E238,'Type Chart'!$A:$A,0),MATCH(XLOOKUP('Boss Editor'!$C$4,'Pokemon Editor'!$A:$A,'Pokemon Editor'!$D:$D,""),'Type Chart'!$B$1:$S$1,0))))</f>
        <v/>
      </c>
      <c r="J238" s="3">
        <f>IFERROR(LET(mtype,XLOOKUP($D238,'Move Editor'!$B:$B,'Move Editor'!$C:$C,""),cat,XLOOKUP($D238,'Move Editor'!$B:$B,'Move Editor'!$D:$D,""),pow,XLOOKUP($D238,'Move Editor'!$B:$B,'Move Editor'!$E:$E,0),acc,XLOOKUP($D238,'Move Editor'!$B:$B,'Move Editor'!$F:$F,100),atk,IF(cat="Physical",FLOOR((FLOOR(((2*XLOOKUP(XLOOKUP($Q238,'Threshold Summary'!$Y:$Y,'Threshold Summary'!$K:$K,""),'Pokemon Editor'!$A:$A,'Pokemon Editor'!$F:$F,0)+31+FLOOR(XLOOKUP($Q238,'Threshold Summary'!$Y:$Y,'Threshold Summary'!$P:$P,"")/4))*XLOOKUP($Q238,'Threshold Summary'!$Y:$Y,'Threshold Summary'!$L:$L,""))/100)+5)*XLOOKUP(XLOOKUP($Q238,'Threshold Summary'!$Y:$Y,'Threshold Summary'!$M:$M,""),'Nature Editor'!$A:$A,'Nature Editor'!$B:$B,1)),FLOOR((FLOOR(((2*XLOOKUP(XLOOKUP($Q238,'Threshold Summary'!$Y:$Y,'Threshold Summary'!$K:$K,""),'Pokemon Editor'!$A:$A,'Pokemon Editor'!$H:$H,0)+31+FLOOR(XLOOKUP($Q238,'Threshold Summary'!$Y:$Y,'Threshold Summary'!$R:$R,"")/4))*XLOOKUP($Q238,'Threshold Summary'!$Y:$Y,'Threshold Summary'!$L:$L,""))/100)+5)*XLOOKUP(XLOOKUP($Q238,'Threshold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Editor'!$E:$E,1))),stab,IF(OR(mtype=XLOOKUP(XLOOKUP($Q238,'Threshold Summary'!$Y:$Y,'Threshold Summary'!$K:$K,""),'Pokemon Editor'!$A:$A,'Pokemon Editor'!$C:$C,""),mtype=XLOOKUP(XLOOKUP($Q238,'Threshold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Chart'!$B$1:$S$1,0)))),base,IF(OR(cat="Status",pow=0),0,FLOOR(FLOOR(FLOOR((2*XLOOKUP($Q238,'Threshold Summary'!$Y:$Y,'Threshold Summary'!$L:$L,"")/5+2)*pow*atk/def)/50)+2)),modifier,stab*eff,FLOOR(base*modifier*0.85)),0)</f>
        <v/>
      </c>
      <c r="K238" s="3">
        <f>IFERROR(LET(mtype,XLOOKUP($D238,'Move Editor'!$B:$B,'Move Editor'!$C:$C,""),cat,XLOOKUP($D238,'Move Editor'!$B:$B,'Move Editor'!$D:$D,""),pow,XLOOKUP($D238,'Move Editor'!$B:$B,'Move Editor'!$E:$E,0),acc,XLOOKUP($D238,'Move Editor'!$B:$B,'Move Editor'!$F:$F,100),atk,IF(cat="Physical",FLOOR((FLOOR(((2*XLOOKUP(XLOOKUP($Q238,'Threshold Summary'!$Y:$Y,'Threshold Summary'!$K:$K,""),'Pokemon Editor'!$A:$A,'Pokemon Editor'!$F:$F,0)+31+FLOOR(XLOOKUP($Q238,'Threshold Summary'!$Y:$Y,'Threshold Summary'!$P:$P,"")/4))*XLOOKUP($Q238,'Threshold Summary'!$Y:$Y,'Threshold Summary'!$L:$L,""))/100)+5)*XLOOKUP(XLOOKUP($Q238,'Threshold Summary'!$Y:$Y,'Threshold Summary'!$M:$M,""),'Nature Editor'!$A:$A,'Nature Editor'!$B:$B,1)),FLOOR((FLOOR(((2*XLOOKUP(XLOOKUP($Q238,'Threshold Summary'!$Y:$Y,'Threshold Summary'!$K:$K,""),'Pokemon Editor'!$A:$A,'Pokemon Editor'!$H:$H,0)+31+FLOOR(XLOOKUP($Q238,'Threshold Summary'!$Y:$Y,'Threshold Summary'!$R:$R,"")/4))*XLOOKUP($Q238,'Threshold Summary'!$Y:$Y,'Threshold Summary'!$L:$L,""))/100)+5)*XLOOKUP(XLOOKUP($Q238,'Threshold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Editor'!$E:$E,1))),stab,IF(OR(mtype=XLOOKUP(XLOOKUP($Q238,'Threshold Summary'!$Y:$Y,'Threshold Summary'!$K:$K,""),'Pokemon Editor'!$A:$A,'Pokemon Editor'!$C:$C,""),mtype=XLOOKUP(XLOOKUP($Q238,'Threshold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Chart'!$B$1:$S$1,0)))),base,IF(OR(cat="Status",pow=0),0,FLOOR(FLOOR(FLOOR((2*XLOOKUP($Q238,'Threshold Summary'!$Y:$Y,'Threshold Summary'!$L:$L,"")/5+2)*pow*atk/def)/50)+2)),modifier,stab*eff,FLOOR(base*modifier)),0)</f>
        <v/>
      </c>
      <c r="L238" s="3">
        <f>IFERROR(LET(mtype,XLOOKUP($D238,'Move Editor'!$B:$B,'Move Editor'!$C:$C,""),cat,XLOOKUP($D238,'Move Editor'!$B:$B,'Move Editor'!$D:$D,""),pow,XLOOKUP($D238,'Move Editor'!$B:$B,'Move Editor'!$E:$E,0),acc,XLOOKUP($D238,'Move Editor'!$B:$B,'Move Editor'!$F:$F,100),atk,IF(cat="Physical",FLOOR((FLOOR(((2*XLOOKUP(XLOOKUP($Q238,'Threshold Summary'!$Y:$Y,'Threshold Summary'!$K:$K,""),'Pokemon Editor'!$A:$A,'Pokemon Editor'!$F:$F,0)+31+FLOOR(XLOOKUP($Q238,'Threshold Summary'!$Y:$Y,'Threshold Summary'!$P:$P,"")/4))*XLOOKUP($Q238,'Threshold Summary'!$Y:$Y,'Threshold Summary'!$L:$L,""))/100)+5)*XLOOKUP(XLOOKUP($Q238,'Threshold Summary'!$Y:$Y,'Threshold Summary'!$M:$M,""),'Nature Editor'!$A:$A,'Nature Editor'!$B:$B,1)),FLOOR((FLOOR(((2*XLOOKUP(XLOOKUP($Q238,'Threshold Summary'!$Y:$Y,'Threshold Summary'!$K:$K,""),'Pokemon Editor'!$A:$A,'Pokemon Editor'!$H:$H,0)+31+FLOOR(XLOOKUP($Q238,'Threshold Summary'!$Y:$Y,'Threshold Summary'!$R:$R,"")/4))*XLOOKUP($Q238,'Threshold Summary'!$Y:$Y,'Threshold Summary'!$L:$L,""))/100)+5)*XLOOKUP(XLOOKUP($Q238,'Threshold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Editor'!$E:$E,1))),stab,IF(OR(mtype=XLOOKUP(XLOOKUP($Q238,'Threshold Summary'!$Y:$Y,'Threshold Summary'!$K:$K,""),'Pokemon Editor'!$A:$A,'Pokemon Editor'!$C:$C,""),mtype=XLOOKUP(XLOOKUP($Q238,'Threshold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Chart'!$B$1:$S$1,0)))),base,IF(OR(cat="Status",pow=0),0,FLOOR(FLOOR(FLOOR((2*XLOOKUP($Q238,'Threshold Summary'!$Y:$Y,'Threshold Summary'!$L:$L,"")/5+2)*pow*atk/def)/50)+2)),modifier,stab*eff,AVERAGE(ARRAYFORMULA(FLOOR(base*modifier*SEQUENCE(16,1,85,1)/100)))),0)</f>
        <v/>
      </c>
      <c r="M238" s="3">
        <f>IFERROR(LET(mtype,XLOOKUP($D238,'Move Editor'!$B:$B,'Move Editor'!$C:$C,""),cat,XLOOKUP($D238,'Move Editor'!$B:$B,'Move Editor'!$D:$D,""),pow,XLOOKUP($D238,'Move Editor'!$B:$B,'Move Editor'!$E:$E,0),acc,XLOOKUP($D238,'Move Editor'!$B:$B,'Move Editor'!$F:$F,100),atk,IF(cat="Physical",FLOOR((FLOOR(((2*XLOOKUP(XLOOKUP($Q238,'Threshold Summary'!$Y:$Y,'Threshold Summary'!$K:$K,""),'Pokemon Editor'!$A:$A,'Pokemon Editor'!$F:$F,0)+31+FLOOR(XLOOKUP($Q238,'Threshold Summary'!$Y:$Y,'Threshold Summary'!$P:$P,"")/4))*XLOOKUP($Q238,'Threshold Summary'!$Y:$Y,'Threshold Summary'!$L:$L,""))/100)+5)*XLOOKUP(XLOOKUP($Q238,'Threshold Summary'!$Y:$Y,'Threshold Summary'!$M:$M,""),'Nature Editor'!$A:$A,'Nature Editor'!$B:$B,1)),FLOOR((FLOOR(((2*XLOOKUP(XLOOKUP($Q238,'Threshold Summary'!$Y:$Y,'Threshold Summary'!$K:$K,""),'Pokemon Editor'!$A:$A,'Pokemon Editor'!$H:$H,0)+31+FLOOR(XLOOKUP($Q238,'Threshold Summary'!$Y:$Y,'Threshold Summary'!$R:$R,"")/4))*XLOOKUP($Q238,'Threshold Summary'!$Y:$Y,'Threshold Summary'!$L:$L,""))/100)+5)*XLOOKUP(XLOOKUP($Q238,'Threshold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Editor'!$E:$E,1))),stab,IF(OR(mtype=XLOOKUP(XLOOKUP($Q238,'Threshold Summary'!$Y:$Y,'Threshold Summary'!$K:$K,""),'Pokemon Editor'!$A:$A,'Pokemon Editor'!$C:$C,""),mtype=XLOOKUP(XLOOKUP($Q238,'Threshold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Chart'!$B$1:$S$1,0)))),base,IF(OR(cat="Status",pow=0),0,FLOOR(FLOOR(FLOOR((2*XLOOKUP($Q238,'Threshold Summary'!$Y:$Y,'Threshold Summary'!$L:$L,"")/5+2)*pow*atk/def)/50)+2)),modifier,stab*eff,AVERAGE(ARRAYFORMULA(FLOOR(base*modifier*SEQUENCE(16,1,85,1)/100)))*MIN(1,acc/100)),0)</f>
        <v/>
      </c>
      <c r="N238" s="4">
        <f>IFERROR(LET(mtype,XLOOKUP($D238,'Move Editor'!$B:$B,'Move Editor'!$C:$C,""),cat,XLOOKUP($D238,'Move Editor'!$B:$B,'Move Editor'!$D:$D,""),pow,XLOOKUP($D238,'Move Editor'!$B:$B,'Move Editor'!$E:$E,0),acc,XLOOKUP($D238,'Move Editor'!$B:$B,'Move Editor'!$F:$F,100),atk,IF(cat="Physical",FLOOR((FLOOR(((2*XLOOKUP(XLOOKUP($Q238,'Threshold Summary'!$Y:$Y,'Threshold Summary'!$K:$K,""),'Pokemon Editor'!$A:$A,'Pokemon Editor'!$F:$F,0)+31+FLOOR(XLOOKUP($Q238,'Threshold Summary'!$Y:$Y,'Threshold Summary'!$P:$P,"")/4))*XLOOKUP($Q238,'Threshold Summary'!$Y:$Y,'Threshold Summary'!$L:$L,""))/100)+5)*XLOOKUP(XLOOKUP($Q238,'Threshold Summary'!$Y:$Y,'Threshold Summary'!$M:$M,""),'Nature Editor'!$A:$A,'Nature Editor'!$B:$B,1)),FLOOR((FLOOR(((2*XLOOKUP(XLOOKUP($Q238,'Threshold Summary'!$Y:$Y,'Threshold Summary'!$K:$K,""),'Pokemon Editor'!$A:$A,'Pokemon Editor'!$H:$H,0)+31+FLOOR(XLOOKUP($Q238,'Threshold Summary'!$Y:$Y,'Threshold Summary'!$R:$R,"")/4))*XLOOKUP($Q238,'Threshold Summary'!$Y:$Y,'Threshold Summary'!$L:$L,""))/100)+5)*XLOOKUP(XLOOKUP($Q238,'Threshold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Editor'!$E:$E,1))),stab,IF(OR(mtype=XLOOKUP(XLOOKUP($Q238,'Threshold Summary'!$Y:$Y,'Threshold Summary'!$K:$K,""),'Pokemon Editor'!$A:$A,'Pokemon Editor'!$C:$C,""),mtype=XLOOKUP(XLOOKUP($Q238,'Threshold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Chart'!$B$1:$S$1,0)))),base,IF(OR(cat="Status",pow=0),0,FLOOR(FLOOR(FLOOR((2*XLOOKUP($Q238,'Threshold Summary'!$Y:$Y,'Threshold Summary'!$L:$L,"")/5+2)*pow*atk/def)/50)+2)),modifier,stab*eff,AVERAGE(ARRAYFORMULA(FLOOR(base*modifier*SEQUENCE(16,1,85,1)/100)))/(FLOOR(((2*XLOOKUP('Boss Editor'!$C$4,'Pokemon Editor'!$A:$A,'Pokemon Editor'!$E:$E,0)+31+FLOOR('Boss Editor'!$G$4/4))*'Boss Editor'!$D$4)/100)+'Boss Editor'!$D$4+10)),0)</f>
        <v/>
      </c>
      <c r="O238" s="3">
        <f>IF(N238&gt;=1,"OHKO",IF(N238&gt;=0.5,"2HKO",IF(N238&gt;=0.333,"3HKO",IF(N238&gt;=0.25,"4HKO","5HKO+"))))</f>
        <v/>
      </c>
      <c r="P238" s="3" t="inlineStr">
        <is>
          <t>Live from editable databases</t>
        </is>
      </c>
      <c r="Q238" s="3" t="inlineStr">
        <is>
          <t>SPECIES_RALTS</t>
        </is>
      </c>
      <c r="R238" s="3" t="n">
        <v>13</v>
      </c>
    </row>
    <row r="239">
      <c r="A239" s="3">
        <f>XLOOKUP($Q239,'Threshold Summary'!$Y:$Y,'Threshold Summary'!$A:$A,"")</f>
        <v/>
      </c>
      <c r="B239" s="3">
        <f>XLOOKUP($Q239,'Threshold Summary'!$Y:$Y,'Threshold Summary'!$M:$M,"")</f>
        <v/>
      </c>
      <c r="C239" s="3">
        <f>XLOOKUP($Q239,'Threshold Summary'!$Y:$Y,'Threshold Summary'!$N:$N,"")</f>
        <v/>
      </c>
      <c r="D239" s="3">
        <f>IFERROR(INDEX(FILTER('Learnset Editor'!$D$2:$D,'Learnset Editor'!$A$2:$A=XLOOKUP($Q239,'Threshold Summary'!$Y:$Y,'Threshold Summary'!$K:$K,""),'Learnset Editor'!$C$2:$C&lt;=XLOOKUP($Q239,'Threshold Summary'!$Y:$Y,'Threshold Summary'!$L:$L,"")),$R239),"")</f>
        <v/>
      </c>
      <c r="E239" s="3">
        <f>XLOOKUP(D239,'Move Editor'!$B:$B,'Move Editor'!$C:$C,"")</f>
        <v/>
      </c>
      <c r="F239" s="3">
        <f>XLOOKUP(D239,'Move Editor'!$B:$B,'Move Editor'!$D:$D,"")</f>
        <v/>
      </c>
      <c r="G239" s="3">
        <f>XLOOKUP(D239,'Move Editor'!$B:$B,'Move Editor'!$E:$E,0)</f>
        <v/>
      </c>
      <c r="H239" s="3">
        <f>XLOOKUP(D239,'Move Editor'!$B:$B,'Move Editor'!$F:$F,0)</f>
        <v/>
      </c>
      <c r="I239" s="3">
        <f>(INDEX('Type Chart'!$B:$S,MATCH(E239,'Type Chart'!$A:$A,0),MATCH(XLOOKUP('Boss Editor'!$C$4,'Pokemon Editor'!$A:$A,'Pokemon Editor'!$C:$C,""),'Type Chart'!$B$1:$S$1,0))*IF(XLOOKUP('Boss Editor'!$C$4,'Pokemon Editor'!$A:$A,'Pokemon Editor'!$D:$D,"")="",1,INDEX('Type Chart'!$B:$S,MATCH(E239,'Type Chart'!$A:$A,0),MATCH(XLOOKUP('Boss Editor'!$C$4,'Pokemon Editor'!$A:$A,'Pokemon Editor'!$D:$D,""),'Type Chart'!$B$1:$S$1,0))))</f>
        <v/>
      </c>
      <c r="J239" s="3">
        <f>IFERROR(LET(mtype,XLOOKUP($D239,'Move Editor'!$B:$B,'Move Editor'!$C:$C,""),cat,XLOOKUP($D239,'Move Editor'!$B:$B,'Move Editor'!$D:$D,""),pow,XLOOKUP($D239,'Move Editor'!$B:$B,'Move Editor'!$E:$E,0),acc,XLOOKUP($D239,'Move Editor'!$B:$B,'Move Editor'!$F:$F,100),atk,IF(cat="Physical",FLOOR((FLOOR(((2*XLOOKUP(XLOOKUP($Q239,'Threshold Summary'!$Y:$Y,'Threshold Summary'!$K:$K,""),'Pokemon Editor'!$A:$A,'Pokemon Editor'!$F:$F,0)+31+FLOOR(XLOOKUP($Q239,'Threshold Summary'!$Y:$Y,'Threshold Summary'!$P:$P,"")/4))*XLOOKUP($Q239,'Threshold Summary'!$Y:$Y,'Threshold Summary'!$L:$L,""))/100)+5)*XLOOKUP(XLOOKUP($Q239,'Threshold Summary'!$Y:$Y,'Threshold Summary'!$M:$M,""),'Nature Editor'!$A:$A,'Nature Editor'!$B:$B,1)),FLOOR((FLOOR(((2*XLOOKUP(XLOOKUP($Q239,'Threshold Summary'!$Y:$Y,'Threshold Summary'!$K:$K,""),'Pokemon Editor'!$A:$A,'Pokemon Editor'!$H:$H,0)+31+FLOOR(XLOOKUP($Q239,'Threshold Summary'!$Y:$Y,'Threshold Summary'!$R:$R,"")/4))*XLOOKUP($Q239,'Threshold Summary'!$Y:$Y,'Threshold Summary'!$L:$L,""))/100)+5)*XLOOKUP(XLOOKUP($Q239,'Threshold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Editor'!$E:$E,1))),stab,IF(OR(mtype=XLOOKUP(XLOOKUP($Q239,'Threshold Summary'!$Y:$Y,'Threshold Summary'!$K:$K,""),'Pokemon Editor'!$A:$A,'Pokemon Editor'!$C:$C,""),mtype=XLOOKUP(XLOOKUP($Q239,'Threshold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Chart'!$B$1:$S$1,0)))),base,IF(OR(cat="Status",pow=0),0,FLOOR(FLOOR(FLOOR((2*XLOOKUP($Q239,'Threshold Summary'!$Y:$Y,'Threshold Summary'!$L:$L,"")/5+2)*pow*atk/def)/50)+2)),modifier,stab*eff,FLOOR(base*modifier*0.85)),0)</f>
        <v/>
      </c>
      <c r="K239" s="3">
        <f>IFERROR(LET(mtype,XLOOKUP($D239,'Move Editor'!$B:$B,'Move Editor'!$C:$C,""),cat,XLOOKUP($D239,'Move Editor'!$B:$B,'Move Editor'!$D:$D,""),pow,XLOOKUP($D239,'Move Editor'!$B:$B,'Move Editor'!$E:$E,0),acc,XLOOKUP($D239,'Move Editor'!$B:$B,'Move Editor'!$F:$F,100),atk,IF(cat="Physical",FLOOR((FLOOR(((2*XLOOKUP(XLOOKUP($Q239,'Threshold Summary'!$Y:$Y,'Threshold Summary'!$K:$K,""),'Pokemon Editor'!$A:$A,'Pokemon Editor'!$F:$F,0)+31+FLOOR(XLOOKUP($Q239,'Threshold Summary'!$Y:$Y,'Threshold Summary'!$P:$P,"")/4))*XLOOKUP($Q239,'Threshold Summary'!$Y:$Y,'Threshold Summary'!$L:$L,""))/100)+5)*XLOOKUP(XLOOKUP($Q239,'Threshold Summary'!$Y:$Y,'Threshold Summary'!$M:$M,""),'Nature Editor'!$A:$A,'Nature Editor'!$B:$B,1)),FLOOR((FLOOR(((2*XLOOKUP(XLOOKUP($Q239,'Threshold Summary'!$Y:$Y,'Threshold Summary'!$K:$K,""),'Pokemon Editor'!$A:$A,'Pokemon Editor'!$H:$H,0)+31+FLOOR(XLOOKUP($Q239,'Threshold Summary'!$Y:$Y,'Threshold Summary'!$R:$R,"")/4))*XLOOKUP($Q239,'Threshold Summary'!$Y:$Y,'Threshold Summary'!$L:$L,""))/100)+5)*XLOOKUP(XLOOKUP($Q239,'Threshold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Editor'!$E:$E,1))),stab,IF(OR(mtype=XLOOKUP(XLOOKUP($Q239,'Threshold Summary'!$Y:$Y,'Threshold Summary'!$K:$K,""),'Pokemon Editor'!$A:$A,'Pokemon Editor'!$C:$C,""),mtype=XLOOKUP(XLOOKUP($Q239,'Threshold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Chart'!$B$1:$S$1,0)))),base,IF(OR(cat="Status",pow=0),0,FLOOR(FLOOR(FLOOR((2*XLOOKUP($Q239,'Threshold Summary'!$Y:$Y,'Threshold Summary'!$L:$L,"")/5+2)*pow*atk/def)/50)+2)),modifier,stab*eff,FLOOR(base*modifier)),0)</f>
        <v/>
      </c>
      <c r="L239" s="3">
        <f>IFERROR(LET(mtype,XLOOKUP($D239,'Move Editor'!$B:$B,'Move Editor'!$C:$C,""),cat,XLOOKUP($D239,'Move Editor'!$B:$B,'Move Editor'!$D:$D,""),pow,XLOOKUP($D239,'Move Editor'!$B:$B,'Move Editor'!$E:$E,0),acc,XLOOKUP($D239,'Move Editor'!$B:$B,'Move Editor'!$F:$F,100),atk,IF(cat="Physical",FLOOR((FLOOR(((2*XLOOKUP(XLOOKUP($Q239,'Threshold Summary'!$Y:$Y,'Threshold Summary'!$K:$K,""),'Pokemon Editor'!$A:$A,'Pokemon Editor'!$F:$F,0)+31+FLOOR(XLOOKUP($Q239,'Threshold Summary'!$Y:$Y,'Threshold Summary'!$P:$P,"")/4))*XLOOKUP($Q239,'Threshold Summary'!$Y:$Y,'Threshold Summary'!$L:$L,""))/100)+5)*XLOOKUP(XLOOKUP($Q239,'Threshold Summary'!$Y:$Y,'Threshold Summary'!$M:$M,""),'Nature Editor'!$A:$A,'Nature Editor'!$B:$B,1)),FLOOR((FLOOR(((2*XLOOKUP(XLOOKUP($Q239,'Threshold Summary'!$Y:$Y,'Threshold Summary'!$K:$K,""),'Pokemon Editor'!$A:$A,'Pokemon Editor'!$H:$H,0)+31+FLOOR(XLOOKUP($Q239,'Threshold Summary'!$Y:$Y,'Threshold Summary'!$R:$R,"")/4))*XLOOKUP($Q239,'Threshold Summary'!$Y:$Y,'Threshold Summary'!$L:$L,""))/100)+5)*XLOOKUP(XLOOKUP($Q239,'Threshold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Editor'!$E:$E,1))),stab,IF(OR(mtype=XLOOKUP(XLOOKUP($Q239,'Threshold Summary'!$Y:$Y,'Threshold Summary'!$K:$K,""),'Pokemon Editor'!$A:$A,'Pokemon Editor'!$C:$C,""),mtype=XLOOKUP(XLOOKUP($Q239,'Threshold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Chart'!$B$1:$S$1,0)))),base,IF(OR(cat="Status",pow=0),0,FLOOR(FLOOR(FLOOR((2*XLOOKUP($Q239,'Threshold Summary'!$Y:$Y,'Threshold Summary'!$L:$L,"")/5+2)*pow*atk/def)/50)+2)),modifier,stab*eff,AVERAGE(ARRAYFORMULA(FLOOR(base*modifier*SEQUENCE(16,1,85,1)/100)))),0)</f>
        <v/>
      </c>
      <c r="M239" s="3">
        <f>IFERROR(LET(mtype,XLOOKUP($D239,'Move Editor'!$B:$B,'Move Editor'!$C:$C,""),cat,XLOOKUP($D239,'Move Editor'!$B:$B,'Move Editor'!$D:$D,""),pow,XLOOKUP($D239,'Move Editor'!$B:$B,'Move Editor'!$E:$E,0),acc,XLOOKUP($D239,'Move Editor'!$B:$B,'Move Editor'!$F:$F,100),atk,IF(cat="Physical",FLOOR((FLOOR(((2*XLOOKUP(XLOOKUP($Q239,'Threshold Summary'!$Y:$Y,'Threshold Summary'!$K:$K,""),'Pokemon Editor'!$A:$A,'Pokemon Editor'!$F:$F,0)+31+FLOOR(XLOOKUP($Q239,'Threshold Summary'!$Y:$Y,'Threshold Summary'!$P:$P,"")/4))*XLOOKUP($Q239,'Threshold Summary'!$Y:$Y,'Threshold Summary'!$L:$L,""))/100)+5)*XLOOKUP(XLOOKUP($Q239,'Threshold Summary'!$Y:$Y,'Threshold Summary'!$M:$M,""),'Nature Editor'!$A:$A,'Nature Editor'!$B:$B,1)),FLOOR((FLOOR(((2*XLOOKUP(XLOOKUP($Q239,'Threshold Summary'!$Y:$Y,'Threshold Summary'!$K:$K,""),'Pokemon Editor'!$A:$A,'Pokemon Editor'!$H:$H,0)+31+FLOOR(XLOOKUP($Q239,'Threshold Summary'!$Y:$Y,'Threshold Summary'!$R:$R,"")/4))*XLOOKUP($Q239,'Threshold Summary'!$Y:$Y,'Threshold Summary'!$L:$L,""))/100)+5)*XLOOKUP(XLOOKUP($Q239,'Threshold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Editor'!$E:$E,1))),stab,IF(OR(mtype=XLOOKUP(XLOOKUP($Q239,'Threshold Summary'!$Y:$Y,'Threshold Summary'!$K:$K,""),'Pokemon Editor'!$A:$A,'Pokemon Editor'!$C:$C,""),mtype=XLOOKUP(XLOOKUP($Q239,'Threshold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Chart'!$B$1:$S$1,0)))),base,IF(OR(cat="Status",pow=0),0,FLOOR(FLOOR(FLOOR((2*XLOOKUP($Q239,'Threshold Summary'!$Y:$Y,'Threshold Summary'!$L:$L,"")/5+2)*pow*atk/def)/50)+2)),modifier,stab*eff,AVERAGE(ARRAYFORMULA(FLOOR(base*modifier*SEQUENCE(16,1,85,1)/100)))*MIN(1,acc/100)),0)</f>
        <v/>
      </c>
      <c r="N239" s="4">
        <f>IFERROR(LET(mtype,XLOOKUP($D239,'Move Editor'!$B:$B,'Move Editor'!$C:$C,""),cat,XLOOKUP($D239,'Move Editor'!$B:$B,'Move Editor'!$D:$D,""),pow,XLOOKUP($D239,'Move Editor'!$B:$B,'Move Editor'!$E:$E,0),acc,XLOOKUP($D239,'Move Editor'!$B:$B,'Move Editor'!$F:$F,100),atk,IF(cat="Physical",FLOOR((FLOOR(((2*XLOOKUP(XLOOKUP($Q239,'Threshold Summary'!$Y:$Y,'Threshold Summary'!$K:$K,""),'Pokemon Editor'!$A:$A,'Pokemon Editor'!$F:$F,0)+31+FLOOR(XLOOKUP($Q239,'Threshold Summary'!$Y:$Y,'Threshold Summary'!$P:$P,"")/4))*XLOOKUP($Q239,'Threshold Summary'!$Y:$Y,'Threshold Summary'!$L:$L,""))/100)+5)*XLOOKUP(XLOOKUP($Q239,'Threshold Summary'!$Y:$Y,'Threshold Summary'!$M:$M,""),'Nature Editor'!$A:$A,'Nature Editor'!$B:$B,1)),FLOOR((FLOOR(((2*XLOOKUP(XLOOKUP($Q239,'Threshold Summary'!$Y:$Y,'Threshold Summary'!$K:$K,""),'Pokemon Editor'!$A:$A,'Pokemon Editor'!$H:$H,0)+31+FLOOR(XLOOKUP($Q239,'Threshold Summary'!$Y:$Y,'Threshold Summary'!$R:$R,"")/4))*XLOOKUP($Q239,'Threshold Summary'!$Y:$Y,'Threshold Summary'!$L:$L,""))/100)+5)*XLOOKUP(XLOOKUP($Q239,'Threshold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Editor'!$E:$E,1))),stab,IF(OR(mtype=XLOOKUP(XLOOKUP($Q239,'Threshold Summary'!$Y:$Y,'Threshold Summary'!$K:$K,""),'Pokemon Editor'!$A:$A,'Pokemon Editor'!$C:$C,""),mtype=XLOOKUP(XLOOKUP($Q239,'Threshold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Chart'!$B$1:$S$1,0)))),base,IF(OR(cat="Status",pow=0),0,FLOOR(FLOOR(FLOOR((2*XLOOKUP($Q239,'Threshold Summary'!$Y:$Y,'Threshold Summary'!$L:$L,"")/5+2)*pow*atk/def)/50)+2)),modifier,stab*eff,AVERAGE(ARRAYFORMULA(FLOOR(base*modifier*SEQUENCE(16,1,85,1)/100)))/(FLOOR(((2*XLOOKUP('Boss Editor'!$C$4,'Pokemon Editor'!$A:$A,'Pokemon Editor'!$E:$E,0)+31+FLOOR('Boss Editor'!$G$4/4))*'Boss Editor'!$D$4)/100)+'Boss Editor'!$D$4+10)),0)</f>
        <v/>
      </c>
      <c r="O239" s="3">
        <f>IF(N239&gt;=1,"OHKO",IF(N239&gt;=0.5,"2HKO",IF(N239&gt;=0.333,"3HKO",IF(N239&gt;=0.25,"4HKO","5HKO+"))))</f>
        <v/>
      </c>
      <c r="P239" s="3" t="inlineStr">
        <is>
          <t>Live from editable databases</t>
        </is>
      </c>
      <c r="Q239" s="3" t="inlineStr">
        <is>
          <t>SPECIES_RALTS</t>
        </is>
      </c>
      <c r="R239" s="3" t="n">
        <v>14</v>
      </c>
    </row>
    <row r="240">
      <c r="A240" s="3">
        <f>XLOOKUP($Q240,'Threshold Summary'!$Y:$Y,'Threshold Summary'!$A:$A,"")</f>
        <v/>
      </c>
      <c r="B240" s="3">
        <f>XLOOKUP($Q240,'Threshold Summary'!$Y:$Y,'Threshold Summary'!$M:$M,"")</f>
        <v/>
      </c>
      <c r="C240" s="3">
        <f>XLOOKUP($Q240,'Threshold Summary'!$Y:$Y,'Threshold Summary'!$N:$N,"")</f>
        <v/>
      </c>
      <c r="D240" s="3">
        <f>IFERROR(INDEX(FILTER('Learnset Editor'!$D$2:$D,'Learnset Editor'!$A$2:$A=XLOOKUP($Q240,'Threshold Summary'!$Y:$Y,'Threshold Summary'!$K:$K,""),'Learnset Editor'!$C$2:$C&lt;=XLOOKUP($Q240,'Threshold Summary'!$Y:$Y,'Threshold Summary'!$L:$L,"")),$R240),"")</f>
        <v/>
      </c>
      <c r="E240" s="3">
        <f>XLOOKUP(D240,'Move Editor'!$B:$B,'Move Editor'!$C:$C,"")</f>
        <v/>
      </c>
      <c r="F240" s="3">
        <f>XLOOKUP(D240,'Move Editor'!$B:$B,'Move Editor'!$D:$D,"")</f>
        <v/>
      </c>
      <c r="G240" s="3">
        <f>XLOOKUP(D240,'Move Editor'!$B:$B,'Move Editor'!$E:$E,0)</f>
        <v/>
      </c>
      <c r="H240" s="3">
        <f>XLOOKUP(D240,'Move Editor'!$B:$B,'Move Editor'!$F:$F,0)</f>
        <v/>
      </c>
      <c r="I240" s="3">
        <f>(INDEX('Type Chart'!$B:$S,MATCH(E240,'Type Chart'!$A:$A,0),MATCH(XLOOKUP('Boss Editor'!$C$4,'Pokemon Editor'!$A:$A,'Pokemon Editor'!$C:$C,""),'Type Chart'!$B$1:$S$1,0))*IF(XLOOKUP('Boss Editor'!$C$4,'Pokemon Editor'!$A:$A,'Pokemon Editor'!$D:$D,"")="",1,INDEX('Type Chart'!$B:$S,MATCH(E240,'Type Chart'!$A:$A,0),MATCH(XLOOKUP('Boss Editor'!$C$4,'Pokemon Editor'!$A:$A,'Pokemon Editor'!$D:$D,""),'Type Chart'!$B$1:$S$1,0))))</f>
        <v/>
      </c>
      <c r="J240" s="3">
        <f>IFERROR(LET(mtype,XLOOKUP($D240,'Move Editor'!$B:$B,'Move Editor'!$C:$C,""),cat,XLOOKUP($D240,'Move Editor'!$B:$B,'Move Editor'!$D:$D,""),pow,XLOOKUP($D240,'Move Editor'!$B:$B,'Move Editor'!$E:$E,0),acc,XLOOKUP($D240,'Move Editor'!$B:$B,'Move Editor'!$F:$F,100),atk,IF(cat="Physical",FLOOR((FLOOR(((2*XLOOKUP(XLOOKUP($Q240,'Threshold Summary'!$Y:$Y,'Threshold Summary'!$K:$K,""),'Pokemon Editor'!$A:$A,'Pokemon Editor'!$F:$F,0)+31+FLOOR(XLOOKUP($Q240,'Threshold Summary'!$Y:$Y,'Threshold Summary'!$P:$P,"")/4))*XLOOKUP($Q240,'Threshold Summary'!$Y:$Y,'Threshold Summary'!$L:$L,""))/100)+5)*XLOOKUP(XLOOKUP($Q240,'Threshold Summary'!$Y:$Y,'Threshold Summary'!$M:$M,""),'Nature Editor'!$A:$A,'Nature Editor'!$B:$B,1)),FLOOR((FLOOR(((2*XLOOKUP(XLOOKUP($Q240,'Threshold Summary'!$Y:$Y,'Threshold Summary'!$K:$K,""),'Pokemon Editor'!$A:$A,'Pokemon Editor'!$H:$H,0)+31+FLOOR(XLOOKUP($Q240,'Threshold Summary'!$Y:$Y,'Threshold Summary'!$R:$R,"")/4))*XLOOKUP($Q240,'Threshold Summary'!$Y:$Y,'Threshold Summary'!$L:$L,""))/100)+5)*XLOOKUP(XLOOKUP($Q240,'Threshold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Editor'!$E:$E,1))),stab,IF(OR(mtype=XLOOKUP(XLOOKUP($Q240,'Threshold Summary'!$Y:$Y,'Threshold Summary'!$K:$K,""),'Pokemon Editor'!$A:$A,'Pokemon Editor'!$C:$C,""),mtype=XLOOKUP(XLOOKUP($Q240,'Threshold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Chart'!$B$1:$S$1,0)))),base,IF(OR(cat="Status",pow=0),0,FLOOR(FLOOR(FLOOR((2*XLOOKUP($Q240,'Threshold Summary'!$Y:$Y,'Threshold Summary'!$L:$L,"")/5+2)*pow*atk/def)/50)+2)),modifier,stab*eff,FLOOR(base*modifier*0.85)),0)</f>
        <v/>
      </c>
      <c r="K240" s="3">
        <f>IFERROR(LET(mtype,XLOOKUP($D240,'Move Editor'!$B:$B,'Move Editor'!$C:$C,""),cat,XLOOKUP($D240,'Move Editor'!$B:$B,'Move Editor'!$D:$D,""),pow,XLOOKUP($D240,'Move Editor'!$B:$B,'Move Editor'!$E:$E,0),acc,XLOOKUP($D240,'Move Editor'!$B:$B,'Move Editor'!$F:$F,100),atk,IF(cat="Physical",FLOOR((FLOOR(((2*XLOOKUP(XLOOKUP($Q240,'Threshold Summary'!$Y:$Y,'Threshold Summary'!$K:$K,""),'Pokemon Editor'!$A:$A,'Pokemon Editor'!$F:$F,0)+31+FLOOR(XLOOKUP($Q240,'Threshold Summary'!$Y:$Y,'Threshold Summary'!$P:$P,"")/4))*XLOOKUP($Q240,'Threshold Summary'!$Y:$Y,'Threshold Summary'!$L:$L,""))/100)+5)*XLOOKUP(XLOOKUP($Q240,'Threshold Summary'!$Y:$Y,'Threshold Summary'!$M:$M,""),'Nature Editor'!$A:$A,'Nature Editor'!$B:$B,1)),FLOOR((FLOOR(((2*XLOOKUP(XLOOKUP($Q240,'Threshold Summary'!$Y:$Y,'Threshold Summary'!$K:$K,""),'Pokemon Editor'!$A:$A,'Pokemon Editor'!$H:$H,0)+31+FLOOR(XLOOKUP($Q240,'Threshold Summary'!$Y:$Y,'Threshold Summary'!$R:$R,"")/4))*XLOOKUP($Q240,'Threshold Summary'!$Y:$Y,'Threshold Summary'!$L:$L,""))/100)+5)*XLOOKUP(XLOOKUP($Q240,'Threshold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Editor'!$E:$E,1))),stab,IF(OR(mtype=XLOOKUP(XLOOKUP($Q240,'Threshold Summary'!$Y:$Y,'Threshold Summary'!$K:$K,""),'Pokemon Editor'!$A:$A,'Pokemon Editor'!$C:$C,""),mtype=XLOOKUP(XLOOKUP($Q240,'Threshold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Chart'!$B$1:$S$1,0)))),base,IF(OR(cat="Status",pow=0),0,FLOOR(FLOOR(FLOOR((2*XLOOKUP($Q240,'Threshold Summary'!$Y:$Y,'Threshold Summary'!$L:$L,"")/5+2)*pow*atk/def)/50)+2)),modifier,stab*eff,FLOOR(base*modifier)),0)</f>
        <v/>
      </c>
      <c r="L240" s="3">
        <f>IFERROR(LET(mtype,XLOOKUP($D240,'Move Editor'!$B:$B,'Move Editor'!$C:$C,""),cat,XLOOKUP($D240,'Move Editor'!$B:$B,'Move Editor'!$D:$D,""),pow,XLOOKUP($D240,'Move Editor'!$B:$B,'Move Editor'!$E:$E,0),acc,XLOOKUP($D240,'Move Editor'!$B:$B,'Move Editor'!$F:$F,100),atk,IF(cat="Physical",FLOOR((FLOOR(((2*XLOOKUP(XLOOKUP($Q240,'Threshold Summary'!$Y:$Y,'Threshold Summary'!$K:$K,""),'Pokemon Editor'!$A:$A,'Pokemon Editor'!$F:$F,0)+31+FLOOR(XLOOKUP($Q240,'Threshold Summary'!$Y:$Y,'Threshold Summary'!$P:$P,"")/4))*XLOOKUP($Q240,'Threshold Summary'!$Y:$Y,'Threshold Summary'!$L:$L,""))/100)+5)*XLOOKUP(XLOOKUP($Q240,'Threshold Summary'!$Y:$Y,'Threshold Summary'!$M:$M,""),'Nature Editor'!$A:$A,'Nature Editor'!$B:$B,1)),FLOOR((FLOOR(((2*XLOOKUP(XLOOKUP($Q240,'Threshold Summary'!$Y:$Y,'Threshold Summary'!$K:$K,""),'Pokemon Editor'!$A:$A,'Pokemon Editor'!$H:$H,0)+31+FLOOR(XLOOKUP($Q240,'Threshold Summary'!$Y:$Y,'Threshold Summary'!$R:$R,"")/4))*XLOOKUP($Q240,'Threshold Summary'!$Y:$Y,'Threshold Summary'!$L:$L,""))/100)+5)*XLOOKUP(XLOOKUP($Q240,'Threshold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Editor'!$E:$E,1))),stab,IF(OR(mtype=XLOOKUP(XLOOKUP($Q240,'Threshold Summary'!$Y:$Y,'Threshold Summary'!$K:$K,""),'Pokemon Editor'!$A:$A,'Pokemon Editor'!$C:$C,""),mtype=XLOOKUP(XLOOKUP($Q240,'Threshold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Chart'!$B$1:$S$1,0)))),base,IF(OR(cat="Status",pow=0),0,FLOOR(FLOOR(FLOOR((2*XLOOKUP($Q240,'Threshold Summary'!$Y:$Y,'Threshold Summary'!$L:$L,"")/5+2)*pow*atk/def)/50)+2)),modifier,stab*eff,AVERAGE(ARRAYFORMULA(FLOOR(base*modifier*SEQUENCE(16,1,85,1)/100)))),0)</f>
        <v/>
      </c>
      <c r="M240" s="3">
        <f>IFERROR(LET(mtype,XLOOKUP($D240,'Move Editor'!$B:$B,'Move Editor'!$C:$C,""),cat,XLOOKUP($D240,'Move Editor'!$B:$B,'Move Editor'!$D:$D,""),pow,XLOOKUP($D240,'Move Editor'!$B:$B,'Move Editor'!$E:$E,0),acc,XLOOKUP($D240,'Move Editor'!$B:$B,'Move Editor'!$F:$F,100),atk,IF(cat="Physical",FLOOR((FLOOR(((2*XLOOKUP(XLOOKUP($Q240,'Threshold Summary'!$Y:$Y,'Threshold Summary'!$K:$K,""),'Pokemon Editor'!$A:$A,'Pokemon Editor'!$F:$F,0)+31+FLOOR(XLOOKUP($Q240,'Threshold Summary'!$Y:$Y,'Threshold Summary'!$P:$P,"")/4))*XLOOKUP($Q240,'Threshold Summary'!$Y:$Y,'Threshold Summary'!$L:$L,""))/100)+5)*XLOOKUP(XLOOKUP($Q240,'Threshold Summary'!$Y:$Y,'Threshold Summary'!$M:$M,""),'Nature Editor'!$A:$A,'Nature Editor'!$B:$B,1)),FLOOR((FLOOR(((2*XLOOKUP(XLOOKUP($Q240,'Threshold Summary'!$Y:$Y,'Threshold Summary'!$K:$K,""),'Pokemon Editor'!$A:$A,'Pokemon Editor'!$H:$H,0)+31+FLOOR(XLOOKUP($Q240,'Threshold Summary'!$Y:$Y,'Threshold Summary'!$R:$R,"")/4))*XLOOKUP($Q240,'Threshold Summary'!$Y:$Y,'Threshold Summary'!$L:$L,""))/100)+5)*XLOOKUP(XLOOKUP($Q240,'Threshold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Editor'!$E:$E,1))),stab,IF(OR(mtype=XLOOKUP(XLOOKUP($Q240,'Threshold Summary'!$Y:$Y,'Threshold Summary'!$K:$K,""),'Pokemon Editor'!$A:$A,'Pokemon Editor'!$C:$C,""),mtype=XLOOKUP(XLOOKUP($Q240,'Threshold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Chart'!$B$1:$S$1,0)))),base,IF(OR(cat="Status",pow=0),0,FLOOR(FLOOR(FLOOR((2*XLOOKUP($Q240,'Threshold Summary'!$Y:$Y,'Threshold Summary'!$L:$L,"")/5+2)*pow*atk/def)/50)+2)),modifier,stab*eff,AVERAGE(ARRAYFORMULA(FLOOR(base*modifier*SEQUENCE(16,1,85,1)/100)))*MIN(1,acc/100)),0)</f>
        <v/>
      </c>
      <c r="N240" s="4">
        <f>IFERROR(LET(mtype,XLOOKUP($D240,'Move Editor'!$B:$B,'Move Editor'!$C:$C,""),cat,XLOOKUP($D240,'Move Editor'!$B:$B,'Move Editor'!$D:$D,""),pow,XLOOKUP($D240,'Move Editor'!$B:$B,'Move Editor'!$E:$E,0),acc,XLOOKUP($D240,'Move Editor'!$B:$B,'Move Editor'!$F:$F,100),atk,IF(cat="Physical",FLOOR((FLOOR(((2*XLOOKUP(XLOOKUP($Q240,'Threshold Summary'!$Y:$Y,'Threshold Summary'!$K:$K,""),'Pokemon Editor'!$A:$A,'Pokemon Editor'!$F:$F,0)+31+FLOOR(XLOOKUP($Q240,'Threshold Summary'!$Y:$Y,'Threshold Summary'!$P:$P,"")/4))*XLOOKUP($Q240,'Threshold Summary'!$Y:$Y,'Threshold Summary'!$L:$L,""))/100)+5)*XLOOKUP(XLOOKUP($Q240,'Threshold Summary'!$Y:$Y,'Threshold Summary'!$M:$M,""),'Nature Editor'!$A:$A,'Nature Editor'!$B:$B,1)),FLOOR((FLOOR(((2*XLOOKUP(XLOOKUP($Q240,'Threshold Summary'!$Y:$Y,'Threshold Summary'!$K:$K,""),'Pokemon Editor'!$A:$A,'Pokemon Editor'!$H:$H,0)+31+FLOOR(XLOOKUP($Q240,'Threshold Summary'!$Y:$Y,'Threshold Summary'!$R:$R,"")/4))*XLOOKUP($Q240,'Threshold Summary'!$Y:$Y,'Threshold Summary'!$L:$L,""))/100)+5)*XLOOKUP(XLOOKUP($Q240,'Threshold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Editor'!$E:$E,1))),stab,IF(OR(mtype=XLOOKUP(XLOOKUP($Q240,'Threshold Summary'!$Y:$Y,'Threshold Summary'!$K:$K,""),'Pokemon Editor'!$A:$A,'Pokemon Editor'!$C:$C,""),mtype=XLOOKUP(XLOOKUP($Q240,'Threshold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Chart'!$B$1:$S$1,0)))),base,IF(OR(cat="Status",pow=0),0,FLOOR(FLOOR(FLOOR((2*XLOOKUP($Q240,'Threshold Summary'!$Y:$Y,'Threshold Summary'!$L:$L,"")/5+2)*pow*atk/def)/50)+2)),modifier,stab*eff,AVERAGE(ARRAYFORMULA(FLOOR(base*modifier*SEQUENCE(16,1,85,1)/100)))/(FLOOR(((2*XLOOKUP('Boss Editor'!$C$4,'Pokemon Editor'!$A:$A,'Pokemon Editor'!$E:$E,0)+31+FLOOR('Boss Editor'!$G$4/4))*'Boss Editor'!$D$4)/100)+'Boss Editor'!$D$4+10)),0)</f>
        <v/>
      </c>
      <c r="O240" s="3">
        <f>IF(N240&gt;=1,"OHKO",IF(N240&gt;=0.5,"2HKO",IF(N240&gt;=0.333,"3HKO",IF(N240&gt;=0.25,"4HKO","5HKO+"))))</f>
        <v/>
      </c>
      <c r="P240" s="3" t="inlineStr">
        <is>
          <t>Live from editable databases</t>
        </is>
      </c>
      <c r="Q240" s="3" t="inlineStr">
        <is>
          <t>SPECIES_RALTS</t>
        </is>
      </c>
      <c r="R240" s="3" t="n">
        <v>15</v>
      </c>
    </row>
    <row r="241">
      <c r="A241" s="3">
        <f>XLOOKUP($Q241,'Threshold Summary'!$Y:$Y,'Threshold Summary'!$A:$A,"")</f>
        <v/>
      </c>
      <c r="B241" s="3">
        <f>XLOOKUP($Q241,'Threshold Summary'!$Y:$Y,'Threshold Summary'!$M:$M,"")</f>
        <v/>
      </c>
      <c r="C241" s="3">
        <f>XLOOKUP($Q241,'Threshold Summary'!$Y:$Y,'Threshold Summary'!$N:$N,"")</f>
        <v/>
      </c>
      <c r="D241" s="3">
        <f>IFERROR(INDEX(FILTER('Learnset Editor'!$D$2:$D,'Learnset Editor'!$A$2:$A=XLOOKUP($Q241,'Threshold Summary'!$Y:$Y,'Threshold Summary'!$K:$K,""),'Learnset Editor'!$C$2:$C&lt;=XLOOKUP($Q241,'Threshold Summary'!$Y:$Y,'Threshold Summary'!$L:$L,"")),$R241),"")</f>
        <v/>
      </c>
      <c r="E241" s="3">
        <f>XLOOKUP(D241,'Move Editor'!$B:$B,'Move Editor'!$C:$C,"")</f>
        <v/>
      </c>
      <c r="F241" s="3">
        <f>XLOOKUP(D241,'Move Editor'!$B:$B,'Move Editor'!$D:$D,"")</f>
        <v/>
      </c>
      <c r="G241" s="3">
        <f>XLOOKUP(D241,'Move Editor'!$B:$B,'Move Editor'!$E:$E,0)</f>
        <v/>
      </c>
      <c r="H241" s="3">
        <f>XLOOKUP(D241,'Move Editor'!$B:$B,'Move Editor'!$F:$F,0)</f>
        <v/>
      </c>
      <c r="I241" s="3">
        <f>(INDEX('Type Chart'!$B:$S,MATCH(E241,'Type Chart'!$A:$A,0),MATCH(XLOOKUP('Boss Editor'!$C$4,'Pokemon Editor'!$A:$A,'Pokemon Editor'!$C:$C,""),'Type Chart'!$B$1:$S$1,0))*IF(XLOOKUP('Boss Editor'!$C$4,'Pokemon Editor'!$A:$A,'Pokemon Editor'!$D:$D,"")="",1,INDEX('Type Chart'!$B:$S,MATCH(E241,'Type Chart'!$A:$A,0),MATCH(XLOOKUP('Boss Editor'!$C$4,'Pokemon Editor'!$A:$A,'Pokemon Editor'!$D:$D,""),'Type Chart'!$B$1:$S$1,0))))</f>
        <v/>
      </c>
      <c r="J241" s="3">
        <f>IFERROR(LET(mtype,XLOOKUP($D241,'Move Editor'!$B:$B,'Move Editor'!$C:$C,""),cat,XLOOKUP($D241,'Move Editor'!$B:$B,'Move Editor'!$D:$D,""),pow,XLOOKUP($D241,'Move Editor'!$B:$B,'Move Editor'!$E:$E,0),acc,XLOOKUP($D241,'Move Editor'!$B:$B,'Move Editor'!$F:$F,100),atk,IF(cat="Physical",FLOOR((FLOOR(((2*XLOOKUP(XLOOKUP($Q241,'Threshold Summary'!$Y:$Y,'Threshold Summary'!$K:$K,""),'Pokemon Editor'!$A:$A,'Pokemon Editor'!$F:$F,0)+31+FLOOR(XLOOKUP($Q241,'Threshold Summary'!$Y:$Y,'Threshold Summary'!$P:$P,"")/4))*XLOOKUP($Q241,'Threshold Summary'!$Y:$Y,'Threshold Summary'!$L:$L,""))/100)+5)*XLOOKUP(XLOOKUP($Q241,'Threshold Summary'!$Y:$Y,'Threshold Summary'!$M:$M,""),'Nature Editor'!$A:$A,'Nature Editor'!$B:$B,1)),FLOOR((FLOOR(((2*XLOOKUP(XLOOKUP($Q241,'Threshold Summary'!$Y:$Y,'Threshold Summary'!$K:$K,""),'Pokemon Editor'!$A:$A,'Pokemon Editor'!$H:$H,0)+31+FLOOR(XLOOKUP($Q241,'Threshold Summary'!$Y:$Y,'Threshold Summary'!$R:$R,"")/4))*XLOOKUP($Q241,'Threshold Summary'!$Y:$Y,'Threshold Summary'!$L:$L,""))/100)+5)*XLOOKUP(XLOOKUP($Q241,'Threshold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Editor'!$E:$E,1))),stab,IF(OR(mtype=XLOOKUP(XLOOKUP($Q241,'Threshold Summary'!$Y:$Y,'Threshold Summary'!$K:$K,""),'Pokemon Editor'!$A:$A,'Pokemon Editor'!$C:$C,""),mtype=XLOOKUP(XLOOKUP($Q241,'Threshold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Chart'!$B$1:$S$1,0)))),base,IF(OR(cat="Status",pow=0),0,FLOOR(FLOOR(FLOOR((2*XLOOKUP($Q241,'Threshold Summary'!$Y:$Y,'Threshold Summary'!$L:$L,"")/5+2)*pow*atk/def)/50)+2)),modifier,stab*eff,FLOOR(base*modifier*0.85)),0)</f>
        <v/>
      </c>
      <c r="K241" s="3">
        <f>IFERROR(LET(mtype,XLOOKUP($D241,'Move Editor'!$B:$B,'Move Editor'!$C:$C,""),cat,XLOOKUP($D241,'Move Editor'!$B:$B,'Move Editor'!$D:$D,""),pow,XLOOKUP($D241,'Move Editor'!$B:$B,'Move Editor'!$E:$E,0),acc,XLOOKUP($D241,'Move Editor'!$B:$B,'Move Editor'!$F:$F,100),atk,IF(cat="Physical",FLOOR((FLOOR(((2*XLOOKUP(XLOOKUP($Q241,'Threshold Summary'!$Y:$Y,'Threshold Summary'!$K:$K,""),'Pokemon Editor'!$A:$A,'Pokemon Editor'!$F:$F,0)+31+FLOOR(XLOOKUP($Q241,'Threshold Summary'!$Y:$Y,'Threshold Summary'!$P:$P,"")/4))*XLOOKUP($Q241,'Threshold Summary'!$Y:$Y,'Threshold Summary'!$L:$L,""))/100)+5)*XLOOKUP(XLOOKUP($Q241,'Threshold Summary'!$Y:$Y,'Threshold Summary'!$M:$M,""),'Nature Editor'!$A:$A,'Nature Editor'!$B:$B,1)),FLOOR((FLOOR(((2*XLOOKUP(XLOOKUP($Q241,'Threshold Summary'!$Y:$Y,'Threshold Summary'!$K:$K,""),'Pokemon Editor'!$A:$A,'Pokemon Editor'!$H:$H,0)+31+FLOOR(XLOOKUP($Q241,'Threshold Summary'!$Y:$Y,'Threshold Summary'!$R:$R,"")/4))*XLOOKUP($Q241,'Threshold Summary'!$Y:$Y,'Threshold Summary'!$L:$L,""))/100)+5)*XLOOKUP(XLOOKUP($Q241,'Threshold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Editor'!$E:$E,1))),stab,IF(OR(mtype=XLOOKUP(XLOOKUP($Q241,'Threshold Summary'!$Y:$Y,'Threshold Summary'!$K:$K,""),'Pokemon Editor'!$A:$A,'Pokemon Editor'!$C:$C,""),mtype=XLOOKUP(XLOOKUP($Q241,'Threshold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Chart'!$B$1:$S$1,0)))),base,IF(OR(cat="Status",pow=0),0,FLOOR(FLOOR(FLOOR((2*XLOOKUP($Q241,'Threshold Summary'!$Y:$Y,'Threshold Summary'!$L:$L,"")/5+2)*pow*atk/def)/50)+2)),modifier,stab*eff,FLOOR(base*modifier)),0)</f>
        <v/>
      </c>
      <c r="L241" s="3">
        <f>IFERROR(LET(mtype,XLOOKUP($D241,'Move Editor'!$B:$B,'Move Editor'!$C:$C,""),cat,XLOOKUP($D241,'Move Editor'!$B:$B,'Move Editor'!$D:$D,""),pow,XLOOKUP($D241,'Move Editor'!$B:$B,'Move Editor'!$E:$E,0),acc,XLOOKUP($D241,'Move Editor'!$B:$B,'Move Editor'!$F:$F,100),atk,IF(cat="Physical",FLOOR((FLOOR(((2*XLOOKUP(XLOOKUP($Q241,'Threshold Summary'!$Y:$Y,'Threshold Summary'!$K:$K,""),'Pokemon Editor'!$A:$A,'Pokemon Editor'!$F:$F,0)+31+FLOOR(XLOOKUP($Q241,'Threshold Summary'!$Y:$Y,'Threshold Summary'!$P:$P,"")/4))*XLOOKUP($Q241,'Threshold Summary'!$Y:$Y,'Threshold Summary'!$L:$L,""))/100)+5)*XLOOKUP(XLOOKUP($Q241,'Threshold Summary'!$Y:$Y,'Threshold Summary'!$M:$M,""),'Nature Editor'!$A:$A,'Nature Editor'!$B:$B,1)),FLOOR((FLOOR(((2*XLOOKUP(XLOOKUP($Q241,'Threshold Summary'!$Y:$Y,'Threshold Summary'!$K:$K,""),'Pokemon Editor'!$A:$A,'Pokemon Editor'!$H:$H,0)+31+FLOOR(XLOOKUP($Q241,'Threshold Summary'!$Y:$Y,'Threshold Summary'!$R:$R,"")/4))*XLOOKUP($Q241,'Threshold Summary'!$Y:$Y,'Threshold Summary'!$L:$L,""))/100)+5)*XLOOKUP(XLOOKUP($Q241,'Threshold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Editor'!$E:$E,1))),stab,IF(OR(mtype=XLOOKUP(XLOOKUP($Q241,'Threshold Summary'!$Y:$Y,'Threshold Summary'!$K:$K,""),'Pokemon Editor'!$A:$A,'Pokemon Editor'!$C:$C,""),mtype=XLOOKUP(XLOOKUP($Q241,'Threshold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Chart'!$B$1:$S$1,0)))),base,IF(OR(cat="Status",pow=0),0,FLOOR(FLOOR(FLOOR((2*XLOOKUP($Q241,'Threshold Summary'!$Y:$Y,'Threshold Summary'!$L:$L,"")/5+2)*pow*atk/def)/50)+2)),modifier,stab*eff,AVERAGE(ARRAYFORMULA(FLOOR(base*modifier*SEQUENCE(16,1,85,1)/100)))),0)</f>
        <v/>
      </c>
      <c r="M241" s="3">
        <f>IFERROR(LET(mtype,XLOOKUP($D241,'Move Editor'!$B:$B,'Move Editor'!$C:$C,""),cat,XLOOKUP($D241,'Move Editor'!$B:$B,'Move Editor'!$D:$D,""),pow,XLOOKUP($D241,'Move Editor'!$B:$B,'Move Editor'!$E:$E,0),acc,XLOOKUP($D241,'Move Editor'!$B:$B,'Move Editor'!$F:$F,100),atk,IF(cat="Physical",FLOOR((FLOOR(((2*XLOOKUP(XLOOKUP($Q241,'Threshold Summary'!$Y:$Y,'Threshold Summary'!$K:$K,""),'Pokemon Editor'!$A:$A,'Pokemon Editor'!$F:$F,0)+31+FLOOR(XLOOKUP($Q241,'Threshold Summary'!$Y:$Y,'Threshold Summary'!$P:$P,"")/4))*XLOOKUP($Q241,'Threshold Summary'!$Y:$Y,'Threshold Summary'!$L:$L,""))/100)+5)*XLOOKUP(XLOOKUP($Q241,'Threshold Summary'!$Y:$Y,'Threshold Summary'!$M:$M,""),'Nature Editor'!$A:$A,'Nature Editor'!$B:$B,1)),FLOOR((FLOOR(((2*XLOOKUP(XLOOKUP($Q241,'Threshold Summary'!$Y:$Y,'Threshold Summary'!$K:$K,""),'Pokemon Editor'!$A:$A,'Pokemon Editor'!$H:$H,0)+31+FLOOR(XLOOKUP($Q241,'Threshold Summary'!$Y:$Y,'Threshold Summary'!$R:$R,"")/4))*XLOOKUP($Q241,'Threshold Summary'!$Y:$Y,'Threshold Summary'!$L:$L,""))/100)+5)*XLOOKUP(XLOOKUP($Q241,'Threshold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Editor'!$E:$E,1))),stab,IF(OR(mtype=XLOOKUP(XLOOKUP($Q241,'Threshold Summary'!$Y:$Y,'Threshold Summary'!$K:$K,""),'Pokemon Editor'!$A:$A,'Pokemon Editor'!$C:$C,""),mtype=XLOOKUP(XLOOKUP($Q241,'Threshold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Chart'!$B$1:$S$1,0)))),base,IF(OR(cat="Status",pow=0),0,FLOOR(FLOOR(FLOOR((2*XLOOKUP($Q241,'Threshold Summary'!$Y:$Y,'Threshold Summary'!$L:$L,"")/5+2)*pow*atk/def)/50)+2)),modifier,stab*eff,AVERAGE(ARRAYFORMULA(FLOOR(base*modifier*SEQUENCE(16,1,85,1)/100)))*MIN(1,acc/100)),0)</f>
        <v/>
      </c>
      <c r="N241" s="4">
        <f>IFERROR(LET(mtype,XLOOKUP($D241,'Move Editor'!$B:$B,'Move Editor'!$C:$C,""),cat,XLOOKUP($D241,'Move Editor'!$B:$B,'Move Editor'!$D:$D,""),pow,XLOOKUP($D241,'Move Editor'!$B:$B,'Move Editor'!$E:$E,0),acc,XLOOKUP($D241,'Move Editor'!$B:$B,'Move Editor'!$F:$F,100),atk,IF(cat="Physical",FLOOR((FLOOR(((2*XLOOKUP(XLOOKUP($Q241,'Threshold Summary'!$Y:$Y,'Threshold Summary'!$K:$K,""),'Pokemon Editor'!$A:$A,'Pokemon Editor'!$F:$F,0)+31+FLOOR(XLOOKUP($Q241,'Threshold Summary'!$Y:$Y,'Threshold Summary'!$P:$P,"")/4))*XLOOKUP($Q241,'Threshold Summary'!$Y:$Y,'Threshold Summary'!$L:$L,""))/100)+5)*XLOOKUP(XLOOKUP($Q241,'Threshold Summary'!$Y:$Y,'Threshold Summary'!$M:$M,""),'Nature Editor'!$A:$A,'Nature Editor'!$B:$B,1)),FLOOR((FLOOR(((2*XLOOKUP(XLOOKUP($Q241,'Threshold Summary'!$Y:$Y,'Threshold Summary'!$K:$K,""),'Pokemon Editor'!$A:$A,'Pokemon Editor'!$H:$H,0)+31+FLOOR(XLOOKUP($Q241,'Threshold Summary'!$Y:$Y,'Threshold Summary'!$R:$R,"")/4))*XLOOKUP($Q241,'Threshold Summary'!$Y:$Y,'Threshold Summary'!$L:$L,""))/100)+5)*XLOOKUP(XLOOKUP($Q241,'Threshold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Editor'!$E:$E,1))),stab,IF(OR(mtype=XLOOKUP(XLOOKUP($Q241,'Threshold Summary'!$Y:$Y,'Threshold Summary'!$K:$K,""),'Pokemon Editor'!$A:$A,'Pokemon Editor'!$C:$C,""),mtype=XLOOKUP(XLOOKUP($Q241,'Threshold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Chart'!$B$1:$S$1,0)))),base,IF(OR(cat="Status",pow=0),0,FLOOR(FLOOR(FLOOR((2*XLOOKUP($Q241,'Threshold Summary'!$Y:$Y,'Threshold Summary'!$L:$L,"")/5+2)*pow*atk/def)/50)+2)),modifier,stab*eff,AVERAGE(ARRAYFORMULA(FLOOR(base*modifier*SEQUENCE(16,1,85,1)/100)))/(FLOOR(((2*XLOOKUP('Boss Editor'!$C$4,'Pokemon Editor'!$A:$A,'Pokemon Editor'!$E:$E,0)+31+FLOOR('Boss Editor'!$G$4/4))*'Boss Editor'!$D$4)/100)+'Boss Editor'!$D$4+10)),0)</f>
        <v/>
      </c>
      <c r="O241" s="3">
        <f>IF(N241&gt;=1,"OHKO",IF(N241&gt;=0.5,"2HKO",IF(N241&gt;=0.333,"3HKO",IF(N241&gt;=0.25,"4HKO","5HKO+"))))</f>
        <v/>
      </c>
      <c r="P241" s="3" t="inlineStr">
        <is>
          <t>Live from editable databases</t>
        </is>
      </c>
      <c r="Q241" s="3" t="inlineStr">
        <is>
          <t>SPECIES_RALTS</t>
        </is>
      </c>
      <c r="R241" s="3" t="n">
        <v>16</v>
      </c>
    </row>
    <row r="242">
      <c r="A242" s="3">
        <f>XLOOKUP($Q242,'Threshold Summary'!$Y:$Y,'Threshold Summary'!$A:$A,"")</f>
        <v/>
      </c>
      <c r="B242" s="3">
        <f>XLOOKUP($Q242,'Threshold Summary'!$Y:$Y,'Threshold Summary'!$M:$M,"")</f>
        <v/>
      </c>
      <c r="C242" s="3">
        <f>XLOOKUP($Q242,'Threshold Summary'!$Y:$Y,'Threshold Summary'!$N:$N,"")</f>
        <v/>
      </c>
      <c r="D242" s="3">
        <f>IFERROR(INDEX(FILTER('Learnset Editor'!$D$2:$D,'Learnset Editor'!$A$2:$A=XLOOKUP($Q242,'Threshold Summary'!$Y:$Y,'Threshold Summary'!$K:$K,""),'Learnset Editor'!$C$2:$C&lt;=XLOOKUP($Q242,'Threshold Summary'!$Y:$Y,'Threshold Summary'!$L:$L,"")),$R242),"")</f>
        <v/>
      </c>
      <c r="E242" s="3">
        <f>XLOOKUP(D242,'Move Editor'!$B:$B,'Move Editor'!$C:$C,"")</f>
        <v/>
      </c>
      <c r="F242" s="3">
        <f>XLOOKUP(D242,'Move Editor'!$B:$B,'Move Editor'!$D:$D,"")</f>
        <v/>
      </c>
      <c r="G242" s="3">
        <f>XLOOKUP(D242,'Move Editor'!$B:$B,'Move Editor'!$E:$E,0)</f>
        <v/>
      </c>
      <c r="H242" s="3">
        <f>XLOOKUP(D242,'Move Editor'!$B:$B,'Move Editor'!$F:$F,0)</f>
        <v/>
      </c>
      <c r="I242" s="3">
        <f>(INDEX('Type Chart'!$B:$S,MATCH(E242,'Type Chart'!$A:$A,0),MATCH(XLOOKUP('Boss Editor'!$C$4,'Pokemon Editor'!$A:$A,'Pokemon Editor'!$C:$C,""),'Type Chart'!$B$1:$S$1,0))*IF(XLOOKUP('Boss Editor'!$C$4,'Pokemon Editor'!$A:$A,'Pokemon Editor'!$D:$D,"")="",1,INDEX('Type Chart'!$B:$S,MATCH(E242,'Type Chart'!$A:$A,0),MATCH(XLOOKUP('Boss Editor'!$C$4,'Pokemon Editor'!$A:$A,'Pokemon Editor'!$D:$D,""),'Type Chart'!$B$1:$S$1,0))))</f>
        <v/>
      </c>
      <c r="J242" s="3">
        <f>IFERROR(LET(mtype,XLOOKUP($D242,'Move Editor'!$B:$B,'Move Editor'!$C:$C,""),cat,XLOOKUP($D242,'Move Editor'!$B:$B,'Move Editor'!$D:$D,""),pow,XLOOKUP($D242,'Move Editor'!$B:$B,'Move Editor'!$E:$E,0),acc,XLOOKUP($D242,'Move Editor'!$B:$B,'Move Editor'!$F:$F,100),atk,IF(cat="Physical",FLOOR((FLOOR(((2*XLOOKUP(XLOOKUP($Q242,'Threshold Summary'!$Y:$Y,'Threshold Summary'!$K:$K,""),'Pokemon Editor'!$A:$A,'Pokemon Editor'!$F:$F,0)+31+FLOOR(XLOOKUP($Q242,'Threshold Summary'!$Y:$Y,'Threshold Summary'!$P:$P,"")/4))*XLOOKUP($Q242,'Threshold Summary'!$Y:$Y,'Threshold Summary'!$L:$L,""))/100)+5)*XLOOKUP(XLOOKUP($Q242,'Threshold Summary'!$Y:$Y,'Threshold Summary'!$M:$M,""),'Nature Editor'!$A:$A,'Nature Editor'!$B:$B,1)),FLOOR((FLOOR(((2*XLOOKUP(XLOOKUP($Q242,'Threshold Summary'!$Y:$Y,'Threshold Summary'!$K:$K,""),'Pokemon Editor'!$A:$A,'Pokemon Editor'!$H:$H,0)+31+FLOOR(XLOOKUP($Q242,'Threshold Summary'!$Y:$Y,'Threshold Summary'!$R:$R,"")/4))*XLOOKUP($Q242,'Threshold Summary'!$Y:$Y,'Threshold Summary'!$L:$L,""))/100)+5)*XLOOKUP(XLOOKUP($Q242,'Threshold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Editor'!$E:$E,1))),stab,IF(OR(mtype=XLOOKUP(XLOOKUP($Q242,'Threshold Summary'!$Y:$Y,'Threshold Summary'!$K:$K,""),'Pokemon Editor'!$A:$A,'Pokemon Editor'!$C:$C,""),mtype=XLOOKUP(XLOOKUP($Q242,'Threshold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Chart'!$B$1:$S$1,0)))),base,IF(OR(cat="Status",pow=0),0,FLOOR(FLOOR(FLOOR((2*XLOOKUP($Q242,'Threshold Summary'!$Y:$Y,'Threshold Summary'!$L:$L,"")/5+2)*pow*atk/def)/50)+2)),modifier,stab*eff,FLOOR(base*modifier*0.85)),0)</f>
        <v/>
      </c>
      <c r="K242" s="3">
        <f>IFERROR(LET(mtype,XLOOKUP($D242,'Move Editor'!$B:$B,'Move Editor'!$C:$C,""),cat,XLOOKUP($D242,'Move Editor'!$B:$B,'Move Editor'!$D:$D,""),pow,XLOOKUP($D242,'Move Editor'!$B:$B,'Move Editor'!$E:$E,0),acc,XLOOKUP($D242,'Move Editor'!$B:$B,'Move Editor'!$F:$F,100),atk,IF(cat="Physical",FLOOR((FLOOR(((2*XLOOKUP(XLOOKUP($Q242,'Threshold Summary'!$Y:$Y,'Threshold Summary'!$K:$K,""),'Pokemon Editor'!$A:$A,'Pokemon Editor'!$F:$F,0)+31+FLOOR(XLOOKUP($Q242,'Threshold Summary'!$Y:$Y,'Threshold Summary'!$P:$P,"")/4))*XLOOKUP($Q242,'Threshold Summary'!$Y:$Y,'Threshold Summary'!$L:$L,""))/100)+5)*XLOOKUP(XLOOKUP($Q242,'Threshold Summary'!$Y:$Y,'Threshold Summary'!$M:$M,""),'Nature Editor'!$A:$A,'Nature Editor'!$B:$B,1)),FLOOR((FLOOR(((2*XLOOKUP(XLOOKUP($Q242,'Threshold Summary'!$Y:$Y,'Threshold Summary'!$K:$K,""),'Pokemon Editor'!$A:$A,'Pokemon Editor'!$H:$H,0)+31+FLOOR(XLOOKUP($Q242,'Threshold Summary'!$Y:$Y,'Threshold Summary'!$R:$R,"")/4))*XLOOKUP($Q242,'Threshold Summary'!$Y:$Y,'Threshold Summary'!$L:$L,""))/100)+5)*XLOOKUP(XLOOKUP($Q242,'Threshold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Editor'!$E:$E,1))),stab,IF(OR(mtype=XLOOKUP(XLOOKUP($Q242,'Threshold Summary'!$Y:$Y,'Threshold Summary'!$K:$K,""),'Pokemon Editor'!$A:$A,'Pokemon Editor'!$C:$C,""),mtype=XLOOKUP(XLOOKUP($Q242,'Threshold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Chart'!$B$1:$S$1,0)))),base,IF(OR(cat="Status",pow=0),0,FLOOR(FLOOR(FLOOR((2*XLOOKUP($Q242,'Threshold Summary'!$Y:$Y,'Threshold Summary'!$L:$L,"")/5+2)*pow*atk/def)/50)+2)),modifier,stab*eff,FLOOR(base*modifier)),0)</f>
        <v/>
      </c>
      <c r="L242" s="3">
        <f>IFERROR(LET(mtype,XLOOKUP($D242,'Move Editor'!$B:$B,'Move Editor'!$C:$C,""),cat,XLOOKUP($D242,'Move Editor'!$B:$B,'Move Editor'!$D:$D,""),pow,XLOOKUP($D242,'Move Editor'!$B:$B,'Move Editor'!$E:$E,0),acc,XLOOKUP($D242,'Move Editor'!$B:$B,'Move Editor'!$F:$F,100),atk,IF(cat="Physical",FLOOR((FLOOR(((2*XLOOKUP(XLOOKUP($Q242,'Threshold Summary'!$Y:$Y,'Threshold Summary'!$K:$K,""),'Pokemon Editor'!$A:$A,'Pokemon Editor'!$F:$F,0)+31+FLOOR(XLOOKUP($Q242,'Threshold Summary'!$Y:$Y,'Threshold Summary'!$P:$P,"")/4))*XLOOKUP($Q242,'Threshold Summary'!$Y:$Y,'Threshold Summary'!$L:$L,""))/100)+5)*XLOOKUP(XLOOKUP($Q242,'Threshold Summary'!$Y:$Y,'Threshold Summary'!$M:$M,""),'Nature Editor'!$A:$A,'Nature Editor'!$B:$B,1)),FLOOR((FLOOR(((2*XLOOKUP(XLOOKUP($Q242,'Threshold Summary'!$Y:$Y,'Threshold Summary'!$K:$K,""),'Pokemon Editor'!$A:$A,'Pokemon Editor'!$H:$H,0)+31+FLOOR(XLOOKUP($Q242,'Threshold Summary'!$Y:$Y,'Threshold Summary'!$R:$R,"")/4))*XLOOKUP($Q242,'Threshold Summary'!$Y:$Y,'Threshold Summary'!$L:$L,""))/100)+5)*XLOOKUP(XLOOKUP($Q242,'Threshold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Editor'!$E:$E,1))),stab,IF(OR(mtype=XLOOKUP(XLOOKUP($Q242,'Threshold Summary'!$Y:$Y,'Threshold Summary'!$K:$K,""),'Pokemon Editor'!$A:$A,'Pokemon Editor'!$C:$C,""),mtype=XLOOKUP(XLOOKUP($Q242,'Threshold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Chart'!$B$1:$S$1,0)))),base,IF(OR(cat="Status",pow=0),0,FLOOR(FLOOR(FLOOR((2*XLOOKUP($Q242,'Threshold Summary'!$Y:$Y,'Threshold Summary'!$L:$L,"")/5+2)*pow*atk/def)/50)+2)),modifier,stab*eff,AVERAGE(ARRAYFORMULA(FLOOR(base*modifier*SEQUENCE(16,1,85,1)/100)))),0)</f>
        <v/>
      </c>
      <c r="M242" s="3">
        <f>IFERROR(LET(mtype,XLOOKUP($D242,'Move Editor'!$B:$B,'Move Editor'!$C:$C,""),cat,XLOOKUP($D242,'Move Editor'!$B:$B,'Move Editor'!$D:$D,""),pow,XLOOKUP($D242,'Move Editor'!$B:$B,'Move Editor'!$E:$E,0),acc,XLOOKUP($D242,'Move Editor'!$B:$B,'Move Editor'!$F:$F,100),atk,IF(cat="Physical",FLOOR((FLOOR(((2*XLOOKUP(XLOOKUP($Q242,'Threshold Summary'!$Y:$Y,'Threshold Summary'!$K:$K,""),'Pokemon Editor'!$A:$A,'Pokemon Editor'!$F:$F,0)+31+FLOOR(XLOOKUP($Q242,'Threshold Summary'!$Y:$Y,'Threshold Summary'!$P:$P,"")/4))*XLOOKUP($Q242,'Threshold Summary'!$Y:$Y,'Threshold Summary'!$L:$L,""))/100)+5)*XLOOKUP(XLOOKUP($Q242,'Threshold Summary'!$Y:$Y,'Threshold Summary'!$M:$M,""),'Nature Editor'!$A:$A,'Nature Editor'!$B:$B,1)),FLOOR((FLOOR(((2*XLOOKUP(XLOOKUP($Q242,'Threshold Summary'!$Y:$Y,'Threshold Summary'!$K:$K,""),'Pokemon Editor'!$A:$A,'Pokemon Editor'!$H:$H,0)+31+FLOOR(XLOOKUP($Q242,'Threshold Summary'!$Y:$Y,'Threshold Summary'!$R:$R,"")/4))*XLOOKUP($Q242,'Threshold Summary'!$Y:$Y,'Threshold Summary'!$L:$L,""))/100)+5)*XLOOKUP(XLOOKUP($Q242,'Threshold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Editor'!$E:$E,1))),stab,IF(OR(mtype=XLOOKUP(XLOOKUP($Q242,'Threshold Summary'!$Y:$Y,'Threshold Summary'!$K:$K,""),'Pokemon Editor'!$A:$A,'Pokemon Editor'!$C:$C,""),mtype=XLOOKUP(XLOOKUP($Q242,'Threshold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Chart'!$B$1:$S$1,0)))),base,IF(OR(cat="Status",pow=0),0,FLOOR(FLOOR(FLOOR((2*XLOOKUP($Q242,'Threshold Summary'!$Y:$Y,'Threshold Summary'!$L:$L,"")/5+2)*pow*atk/def)/50)+2)),modifier,stab*eff,AVERAGE(ARRAYFORMULA(FLOOR(base*modifier*SEQUENCE(16,1,85,1)/100)))*MIN(1,acc/100)),0)</f>
        <v/>
      </c>
      <c r="N242" s="4">
        <f>IFERROR(LET(mtype,XLOOKUP($D242,'Move Editor'!$B:$B,'Move Editor'!$C:$C,""),cat,XLOOKUP($D242,'Move Editor'!$B:$B,'Move Editor'!$D:$D,""),pow,XLOOKUP($D242,'Move Editor'!$B:$B,'Move Editor'!$E:$E,0),acc,XLOOKUP($D242,'Move Editor'!$B:$B,'Move Editor'!$F:$F,100),atk,IF(cat="Physical",FLOOR((FLOOR(((2*XLOOKUP(XLOOKUP($Q242,'Threshold Summary'!$Y:$Y,'Threshold Summary'!$K:$K,""),'Pokemon Editor'!$A:$A,'Pokemon Editor'!$F:$F,0)+31+FLOOR(XLOOKUP($Q242,'Threshold Summary'!$Y:$Y,'Threshold Summary'!$P:$P,"")/4))*XLOOKUP($Q242,'Threshold Summary'!$Y:$Y,'Threshold Summary'!$L:$L,""))/100)+5)*XLOOKUP(XLOOKUP($Q242,'Threshold Summary'!$Y:$Y,'Threshold Summary'!$M:$M,""),'Nature Editor'!$A:$A,'Nature Editor'!$B:$B,1)),FLOOR((FLOOR(((2*XLOOKUP(XLOOKUP($Q242,'Threshold Summary'!$Y:$Y,'Threshold Summary'!$K:$K,""),'Pokemon Editor'!$A:$A,'Pokemon Editor'!$H:$H,0)+31+FLOOR(XLOOKUP($Q242,'Threshold Summary'!$Y:$Y,'Threshold Summary'!$R:$R,"")/4))*XLOOKUP($Q242,'Threshold Summary'!$Y:$Y,'Threshold Summary'!$L:$L,""))/100)+5)*XLOOKUP(XLOOKUP($Q242,'Threshold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Editor'!$E:$E,1))),stab,IF(OR(mtype=XLOOKUP(XLOOKUP($Q242,'Threshold Summary'!$Y:$Y,'Threshold Summary'!$K:$K,""),'Pokemon Editor'!$A:$A,'Pokemon Editor'!$C:$C,""),mtype=XLOOKUP(XLOOKUP($Q242,'Threshold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Chart'!$B$1:$S$1,0)))),base,IF(OR(cat="Status",pow=0),0,FLOOR(FLOOR(FLOOR((2*XLOOKUP($Q242,'Threshold Summary'!$Y:$Y,'Threshold Summary'!$L:$L,"")/5+2)*pow*atk/def)/50)+2)),modifier,stab*eff,AVERAGE(ARRAYFORMULA(FLOOR(base*modifier*SEQUENCE(16,1,85,1)/100)))/(FLOOR(((2*XLOOKUP('Boss Editor'!$C$4,'Pokemon Editor'!$A:$A,'Pokemon Editor'!$E:$E,0)+31+FLOOR('Boss Editor'!$G$4/4))*'Boss Editor'!$D$4)/100)+'Boss Editor'!$D$4+10)),0)</f>
        <v/>
      </c>
      <c r="O242" s="3">
        <f>IF(N242&gt;=1,"OHKO",IF(N242&gt;=0.5,"2HKO",IF(N242&gt;=0.333,"3HKO",IF(N242&gt;=0.25,"4HKO","5HKO+"))))</f>
        <v/>
      </c>
      <c r="P242" s="3" t="inlineStr">
        <is>
          <t>Live from editable databases</t>
        </is>
      </c>
      <c r="Q242" s="3" t="inlineStr">
        <is>
          <t>SPECIES_RALTS</t>
        </is>
      </c>
      <c r="R242" s="3" t="n">
        <v>17</v>
      </c>
    </row>
    <row r="243">
      <c r="A243" s="3">
        <f>XLOOKUP($Q243,'Threshold Summary'!$Y:$Y,'Threshold Summary'!$A:$A,"")</f>
        <v/>
      </c>
      <c r="B243" s="3">
        <f>XLOOKUP($Q243,'Threshold Summary'!$Y:$Y,'Threshold Summary'!$M:$M,"")</f>
        <v/>
      </c>
      <c r="C243" s="3">
        <f>XLOOKUP($Q243,'Threshold Summary'!$Y:$Y,'Threshold Summary'!$N:$N,"")</f>
        <v/>
      </c>
      <c r="D243" s="3">
        <f>IFERROR(INDEX(FILTER('Learnset Editor'!$D$2:$D,'Learnset Editor'!$A$2:$A=XLOOKUP($Q243,'Threshold Summary'!$Y:$Y,'Threshold Summary'!$K:$K,""),'Learnset Editor'!$C$2:$C&lt;=XLOOKUP($Q243,'Threshold Summary'!$Y:$Y,'Threshold Summary'!$L:$L,"")),$R243),"")</f>
        <v/>
      </c>
      <c r="E243" s="3">
        <f>XLOOKUP(D243,'Move Editor'!$B:$B,'Move Editor'!$C:$C,"")</f>
        <v/>
      </c>
      <c r="F243" s="3">
        <f>XLOOKUP(D243,'Move Editor'!$B:$B,'Move Editor'!$D:$D,"")</f>
        <v/>
      </c>
      <c r="G243" s="3">
        <f>XLOOKUP(D243,'Move Editor'!$B:$B,'Move Editor'!$E:$E,0)</f>
        <v/>
      </c>
      <c r="H243" s="3">
        <f>XLOOKUP(D243,'Move Editor'!$B:$B,'Move Editor'!$F:$F,0)</f>
        <v/>
      </c>
      <c r="I243" s="3">
        <f>(INDEX('Type Chart'!$B:$S,MATCH(E243,'Type Chart'!$A:$A,0),MATCH(XLOOKUP('Boss Editor'!$C$4,'Pokemon Editor'!$A:$A,'Pokemon Editor'!$C:$C,""),'Type Chart'!$B$1:$S$1,0))*IF(XLOOKUP('Boss Editor'!$C$4,'Pokemon Editor'!$A:$A,'Pokemon Editor'!$D:$D,"")="",1,INDEX('Type Chart'!$B:$S,MATCH(E243,'Type Chart'!$A:$A,0),MATCH(XLOOKUP('Boss Editor'!$C$4,'Pokemon Editor'!$A:$A,'Pokemon Editor'!$D:$D,""),'Type Chart'!$B$1:$S$1,0))))</f>
        <v/>
      </c>
      <c r="J243" s="3">
        <f>IFERROR(LET(mtype,XLOOKUP($D243,'Move Editor'!$B:$B,'Move Editor'!$C:$C,""),cat,XLOOKUP($D243,'Move Editor'!$B:$B,'Move Editor'!$D:$D,""),pow,XLOOKUP($D243,'Move Editor'!$B:$B,'Move Editor'!$E:$E,0),acc,XLOOKUP($D243,'Move Editor'!$B:$B,'Move Editor'!$F:$F,100),atk,IF(cat="Physical",FLOOR((FLOOR(((2*XLOOKUP(XLOOKUP($Q243,'Threshold Summary'!$Y:$Y,'Threshold Summary'!$K:$K,""),'Pokemon Editor'!$A:$A,'Pokemon Editor'!$F:$F,0)+31+FLOOR(XLOOKUP($Q243,'Threshold Summary'!$Y:$Y,'Threshold Summary'!$P:$P,"")/4))*XLOOKUP($Q243,'Threshold Summary'!$Y:$Y,'Threshold Summary'!$L:$L,""))/100)+5)*XLOOKUP(XLOOKUP($Q243,'Threshold Summary'!$Y:$Y,'Threshold Summary'!$M:$M,""),'Nature Editor'!$A:$A,'Nature Editor'!$B:$B,1)),FLOOR((FLOOR(((2*XLOOKUP(XLOOKUP($Q243,'Threshold Summary'!$Y:$Y,'Threshold Summary'!$K:$K,""),'Pokemon Editor'!$A:$A,'Pokemon Editor'!$H:$H,0)+31+FLOOR(XLOOKUP($Q243,'Threshold Summary'!$Y:$Y,'Threshold Summary'!$R:$R,"")/4))*XLOOKUP($Q243,'Threshold Summary'!$Y:$Y,'Threshold Summary'!$L:$L,""))/100)+5)*XLOOKUP(XLOOKUP($Q243,'Threshold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Editor'!$E:$E,1))),stab,IF(OR(mtype=XLOOKUP(XLOOKUP($Q243,'Threshold Summary'!$Y:$Y,'Threshold Summary'!$K:$K,""),'Pokemon Editor'!$A:$A,'Pokemon Editor'!$C:$C,""),mtype=XLOOKUP(XLOOKUP($Q243,'Threshold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Chart'!$B$1:$S$1,0)))),base,IF(OR(cat="Status",pow=0),0,FLOOR(FLOOR(FLOOR((2*XLOOKUP($Q243,'Threshold Summary'!$Y:$Y,'Threshold Summary'!$L:$L,"")/5+2)*pow*atk/def)/50)+2)),modifier,stab*eff,FLOOR(base*modifier*0.85)),0)</f>
        <v/>
      </c>
      <c r="K243" s="3">
        <f>IFERROR(LET(mtype,XLOOKUP($D243,'Move Editor'!$B:$B,'Move Editor'!$C:$C,""),cat,XLOOKUP($D243,'Move Editor'!$B:$B,'Move Editor'!$D:$D,""),pow,XLOOKUP($D243,'Move Editor'!$B:$B,'Move Editor'!$E:$E,0),acc,XLOOKUP($D243,'Move Editor'!$B:$B,'Move Editor'!$F:$F,100),atk,IF(cat="Physical",FLOOR((FLOOR(((2*XLOOKUP(XLOOKUP($Q243,'Threshold Summary'!$Y:$Y,'Threshold Summary'!$K:$K,""),'Pokemon Editor'!$A:$A,'Pokemon Editor'!$F:$F,0)+31+FLOOR(XLOOKUP($Q243,'Threshold Summary'!$Y:$Y,'Threshold Summary'!$P:$P,"")/4))*XLOOKUP($Q243,'Threshold Summary'!$Y:$Y,'Threshold Summary'!$L:$L,""))/100)+5)*XLOOKUP(XLOOKUP($Q243,'Threshold Summary'!$Y:$Y,'Threshold Summary'!$M:$M,""),'Nature Editor'!$A:$A,'Nature Editor'!$B:$B,1)),FLOOR((FLOOR(((2*XLOOKUP(XLOOKUP($Q243,'Threshold Summary'!$Y:$Y,'Threshold Summary'!$K:$K,""),'Pokemon Editor'!$A:$A,'Pokemon Editor'!$H:$H,0)+31+FLOOR(XLOOKUP($Q243,'Threshold Summary'!$Y:$Y,'Threshold Summary'!$R:$R,"")/4))*XLOOKUP($Q243,'Threshold Summary'!$Y:$Y,'Threshold Summary'!$L:$L,""))/100)+5)*XLOOKUP(XLOOKUP($Q243,'Threshold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Editor'!$E:$E,1))),stab,IF(OR(mtype=XLOOKUP(XLOOKUP($Q243,'Threshold Summary'!$Y:$Y,'Threshold Summary'!$K:$K,""),'Pokemon Editor'!$A:$A,'Pokemon Editor'!$C:$C,""),mtype=XLOOKUP(XLOOKUP($Q243,'Threshold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Chart'!$B$1:$S$1,0)))),base,IF(OR(cat="Status",pow=0),0,FLOOR(FLOOR(FLOOR((2*XLOOKUP($Q243,'Threshold Summary'!$Y:$Y,'Threshold Summary'!$L:$L,"")/5+2)*pow*atk/def)/50)+2)),modifier,stab*eff,FLOOR(base*modifier)),0)</f>
        <v/>
      </c>
      <c r="L243" s="3">
        <f>IFERROR(LET(mtype,XLOOKUP($D243,'Move Editor'!$B:$B,'Move Editor'!$C:$C,""),cat,XLOOKUP($D243,'Move Editor'!$B:$B,'Move Editor'!$D:$D,""),pow,XLOOKUP($D243,'Move Editor'!$B:$B,'Move Editor'!$E:$E,0),acc,XLOOKUP($D243,'Move Editor'!$B:$B,'Move Editor'!$F:$F,100),atk,IF(cat="Physical",FLOOR((FLOOR(((2*XLOOKUP(XLOOKUP($Q243,'Threshold Summary'!$Y:$Y,'Threshold Summary'!$K:$K,""),'Pokemon Editor'!$A:$A,'Pokemon Editor'!$F:$F,0)+31+FLOOR(XLOOKUP($Q243,'Threshold Summary'!$Y:$Y,'Threshold Summary'!$P:$P,"")/4))*XLOOKUP($Q243,'Threshold Summary'!$Y:$Y,'Threshold Summary'!$L:$L,""))/100)+5)*XLOOKUP(XLOOKUP($Q243,'Threshold Summary'!$Y:$Y,'Threshold Summary'!$M:$M,""),'Nature Editor'!$A:$A,'Nature Editor'!$B:$B,1)),FLOOR((FLOOR(((2*XLOOKUP(XLOOKUP($Q243,'Threshold Summary'!$Y:$Y,'Threshold Summary'!$K:$K,""),'Pokemon Editor'!$A:$A,'Pokemon Editor'!$H:$H,0)+31+FLOOR(XLOOKUP($Q243,'Threshold Summary'!$Y:$Y,'Threshold Summary'!$R:$R,"")/4))*XLOOKUP($Q243,'Threshold Summary'!$Y:$Y,'Threshold Summary'!$L:$L,""))/100)+5)*XLOOKUP(XLOOKUP($Q243,'Threshold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Editor'!$E:$E,1))),stab,IF(OR(mtype=XLOOKUP(XLOOKUP($Q243,'Threshold Summary'!$Y:$Y,'Threshold Summary'!$K:$K,""),'Pokemon Editor'!$A:$A,'Pokemon Editor'!$C:$C,""),mtype=XLOOKUP(XLOOKUP($Q243,'Threshold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Chart'!$B$1:$S$1,0)))),base,IF(OR(cat="Status",pow=0),0,FLOOR(FLOOR(FLOOR((2*XLOOKUP($Q243,'Threshold Summary'!$Y:$Y,'Threshold Summary'!$L:$L,"")/5+2)*pow*atk/def)/50)+2)),modifier,stab*eff,AVERAGE(ARRAYFORMULA(FLOOR(base*modifier*SEQUENCE(16,1,85,1)/100)))),0)</f>
        <v/>
      </c>
      <c r="M243" s="3">
        <f>IFERROR(LET(mtype,XLOOKUP($D243,'Move Editor'!$B:$B,'Move Editor'!$C:$C,""),cat,XLOOKUP($D243,'Move Editor'!$B:$B,'Move Editor'!$D:$D,""),pow,XLOOKUP($D243,'Move Editor'!$B:$B,'Move Editor'!$E:$E,0),acc,XLOOKUP($D243,'Move Editor'!$B:$B,'Move Editor'!$F:$F,100),atk,IF(cat="Physical",FLOOR((FLOOR(((2*XLOOKUP(XLOOKUP($Q243,'Threshold Summary'!$Y:$Y,'Threshold Summary'!$K:$K,""),'Pokemon Editor'!$A:$A,'Pokemon Editor'!$F:$F,0)+31+FLOOR(XLOOKUP($Q243,'Threshold Summary'!$Y:$Y,'Threshold Summary'!$P:$P,"")/4))*XLOOKUP($Q243,'Threshold Summary'!$Y:$Y,'Threshold Summary'!$L:$L,""))/100)+5)*XLOOKUP(XLOOKUP($Q243,'Threshold Summary'!$Y:$Y,'Threshold Summary'!$M:$M,""),'Nature Editor'!$A:$A,'Nature Editor'!$B:$B,1)),FLOOR((FLOOR(((2*XLOOKUP(XLOOKUP($Q243,'Threshold Summary'!$Y:$Y,'Threshold Summary'!$K:$K,""),'Pokemon Editor'!$A:$A,'Pokemon Editor'!$H:$H,0)+31+FLOOR(XLOOKUP($Q243,'Threshold Summary'!$Y:$Y,'Threshold Summary'!$R:$R,"")/4))*XLOOKUP($Q243,'Threshold Summary'!$Y:$Y,'Threshold Summary'!$L:$L,""))/100)+5)*XLOOKUP(XLOOKUP($Q243,'Threshold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Editor'!$E:$E,1))),stab,IF(OR(mtype=XLOOKUP(XLOOKUP($Q243,'Threshold Summary'!$Y:$Y,'Threshold Summary'!$K:$K,""),'Pokemon Editor'!$A:$A,'Pokemon Editor'!$C:$C,""),mtype=XLOOKUP(XLOOKUP($Q243,'Threshold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Chart'!$B$1:$S$1,0)))),base,IF(OR(cat="Status",pow=0),0,FLOOR(FLOOR(FLOOR((2*XLOOKUP($Q243,'Threshold Summary'!$Y:$Y,'Threshold Summary'!$L:$L,"")/5+2)*pow*atk/def)/50)+2)),modifier,stab*eff,AVERAGE(ARRAYFORMULA(FLOOR(base*modifier*SEQUENCE(16,1,85,1)/100)))*MIN(1,acc/100)),0)</f>
        <v/>
      </c>
      <c r="N243" s="4">
        <f>IFERROR(LET(mtype,XLOOKUP($D243,'Move Editor'!$B:$B,'Move Editor'!$C:$C,""),cat,XLOOKUP($D243,'Move Editor'!$B:$B,'Move Editor'!$D:$D,""),pow,XLOOKUP($D243,'Move Editor'!$B:$B,'Move Editor'!$E:$E,0),acc,XLOOKUP($D243,'Move Editor'!$B:$B,'Move Editor'!$F:$F,100),atk,IF(cat="Physical",FLOOR((FLOOR(((2*XLOOKUP(XLOOKUP($Q243,'Threshold Summary'!$Y:$Y,'Threshold Summary'!$K:$K,""),'Pokemon Editor'!$A:$A,'Pokemon Editor'!$F:$F,0)+31+FLOOR(XLOOKUP($Q243,'Threshold Summary'!$Y:$Y,'Threshold Summary'!$P:$P,"")/4))*XLOOKUP($Q243,'Threshold Summary'!$Y:$Y,'Threshold Summary'!$L:$L,""))/100)+5)*XLOOKUP(XLOOKUP($Q243,'Threshold Summary'!$Y:$Y,'Threshold Summary'!$M:$M,""),'Nature Editor'!$A:$A,'Nature Editor'!$B:$B,1)),FLOOR((FLOOR(((2*XLOOKUP(XLOOKUP($Q243,'Threshold Summary'!$Y:$Y,'Threshold Summary'!$K:$K,""),'Pokemon Editor'!$A:$A,'Pokemon Editor'!$H:$H,0)+31+FLOOR(XLOOKUP($Q243,'Threshold Summary'!$Y:$Y,'Threshold Summary'!$R:$R,"")/4))*XLOOKUP($Q243,'Threshold Summary'!$Y:$Y,'Threshold Summary'!$L:$L,""))/100)+5)*XLOOKUP(XLOOKUP($Q243,'Threshold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Editor'!$E:$E,1))),stab,IF(OR(mtype=XLOOKUP(XLOOKUP($Q243,'Threshold Summary'!$Y:$Y,'Threshold Summary'!$K:$K,""),'Pokemon Editor'!$A:$A,'Pokemon Editor'!$C:$C,""),mtype=XLOOKUP(XLOOKUP($Q243,'Threshold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Chart'!$B$1:$S$1,0)))),base,IF(OR(cat="Status",pow=0),0,FLOOR(FLOOR(FLOOR((2*XLOOKUP($Q243,'Threshold Summary'!$Y:$Y,'Threshold Summary'!$L:$L,"")/5+2)*pow*atk/def)/50)+2)),modifier,stab*eff,AVERAGE(ARRAYFORMULA(FLOOR(base*modifier*SEQUENCE(16,1,85,1)/100)))/(FLOOR(((2*XLOOKUP('Boss Editor'!$C$4,'Pokemon Editor'!$A:$A,'Pokemon Editor'!$E:$E,0)+31+FLOOR('Boss Editor'!$G$4/4))*'Boss Editor'!$D$4)/100)+'Boss Editor'!$D$4+10)),0)</f>
        <v/>
      </c>
      <c r="O243" s="3">
        <f>IF(N243&gt;=1,"OHKO",IF(N243&gt;=0.5,"2HKO",IF(N243&gt;=0.333,"3HKO",IF(N243&gt;=0.25,"4HKO","5HKO+"))))</f>
        <v/>
      </c>
      <c r="P243" s="3" t="inlineStr">
        <is>
          <t>Live from editable databases</t>
        </is>
      </c>
      <c r="Q243" s="3" t="inlineStr">
        <is>
          <t>SPECIES_RALTS</t>
        </is>
      </c>
      <c r="R243" s="3" t="n">
        <v>18</v>
      </c>
    </row>
    <row r="244">
      <c r="A244" s="3">
        <f>XLOOKUP($Q244,'Threshold Summary'!$Y:$Y,'Threshold Summary'!$A:$A,"")</f>
        <v/>
      </c>
      <c r="B244" s="3">
        <f>XLOOKUP($Q244,'Threshold Summary'!$Y:$Y,'Threshold Summary'!$M:$M,"")</f>
        <v/>
      </c>
      <c r="C244" s="3">
        <f>XLOOKUP($Q244,'Threshold Summary'!$Y:$Y,'Threshold Summary'!$N:$N,"")</f>
        <v/>
      </c>
      <c r="D244" s="3">
        <f>IFERROR(INDEX(FILTER('Learnset Editor'!$D$2:$D,'Learnset Editor'!$A$2:$A=XLOOKUP($Q244,'Threshold Summary'!$Y:$Y,'Threshold Summary'!$K:$K,""),'Learnset Editor'!$C$2:$C&lt;=XLOOKUP($Q244,'Threshold Summary'!$Y:$Y,'Threshold Summary'!$L:$L,"")),$R244),"")</f>
        <v/>
      </c>
      <c r="E244" s="3">
        <f>XLOOKUP(D244,'Move Editor'!$B:$B,'Move Editor'!$C:$C,"")</f>
        <v/>
      </c>
      <c r="F244" s="3">
        <f>XLOOKUP(D244,'Move Editor'!$B:$B,'Move Editor'!$D:$D,"")</f>
        <v/>
      </c>
      <c r="G244" s="3">
        <f>XLOOKUP(D244,'Move Editor'!$B:$B,'Move Editor'!$E:$E,0)</f>
        <v/>
      </c>
      <c r="H244" s="3">
        <f>XLOOKUP(D244,'Move Editor'!$B:$B,'Move Editor'!$F:$F,0)</f>
        <v/>
      </c>
      <c r="I244" s="3">
        <f>(INDEX('Type Chart'!$B:$S,MATCH(E244,'Type Chart'!$A:$A,0),MATCH(XLOOKUP('Boss Editor'!$C$4,'Pokemon Editor'!$A:$A,'Pokemon Editor'!$C:$C,""),'Type Chart'!$B$1:$S$1,0))*IF(XLOOKUP('Boss Editor'!$C$4,'Pokemon Editor'!$A:$A,'Pokemon Editor'!$D:$D,"")="",1,INDEX('Type Chart'!$B:$S,MATCH(E244,'Type Chart'!$A:$A,0),MATCH(XLOOKUP('Boss Editor'!$C$4,'Pokemon Editor'!$A:$A,'Pokemon Editor'!$D:$D,""),'Type Chart'!$B$1:$S$1,0))))</f>
        <v/>
      </c>
      <c r="J244" s="3">
        <f>IFERROR(LET(mtype,XLOOKUP($D244,'Move Editor'!$B:$B,'Move Editor'!$C:$C,""),cat,XLOOKUP($D244,'Move Editor'!$B:$B,'Move Editor'!$D:$D,""),pow,XLOOKUP($D244,'Move Editor'!$B:$B,'Move Editor'!$E:$E,0),acc,XLOOKUP($D244,'Move Editor'!$B:$B,'Move Editor'!$F:$F,100),atk,IF(cat="Physical",FLOOR((FLOOR(((2*XLOOKUP(XLOOKUP($Q244,'Threshold Summary'!$Y:$Y,'Threshold Summary'!$K:$K,""),'Pokemon Editor'!$A:$A,'Pokemon Editor'!$F:$F,0)+31+FLOOR(XLOOKUP($Q244,'Threshold Summary'!$Y:$Y,'Threshold Summary'!$P:$P,"")/4))*XLOOKUP($Q244,'Threshold Summary'!$Y:$Y,'Threshold Summary'!$L:$L,""))/100)+5)*XLOOKUP(XLOOKUP($Q244,'Threshold Summary'!$Y:$Y,'Threshold Summary'!$M:$M,""),'Nature Editor'!$A:$A,'Nature Editor'!$B:$B,1)),FLOOR((FLOOR(((2*XLOOKUP(XLOOKUP($Q244,'Threshold Summary'!$Y:$Y,'Threshold Summary'!$K:$K,""),'Pokemon Editor'!$A:$A,'Pokemon Editor'!$H:$H,0)+31+FLOOR(XLOOKUP($Q244,'Threshold Summary'!$Y:$Y,'Threshold Summary'!$R:$R,"")/4))*XLOOKUP($Q244,'Threshold Summary'!$Y:$Y,'Threshold Summary'!$L:$L,""))/100)+5)*XLOOKUP(XLOOKUP($Q244,'Threshold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Editor'!$E:$E,1))),stab,IF(OR(mtype=XLOOKUP(XLOOKUP($Q244,'Threshold Summary'!$Y:$Y,'Threshold Summary'!$K:$K,""),'Pokemon Editor'!$A:$A,'Pokemon Editor'!$C:$C,""),mtype=XLOOKUP(XLOOKUP($Q244,'Threshold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Chart'!$B$1:$S$1,0)))),base,IF(OR(cat="Status",pow=0),0,FLOOR(FLOOR(FLOOR((2*XLOOKUP($Q244,'Threshold Summary'!$Y:$Y,'Threshold Summary'!$L:$L,"")/5+2)*pow*atk/def)/50)+2)),modifier,stab*eff,FLOOR(base*modifier*0.85)),0)</f>
        <v/>
      </c>
      <c r="K244" s="3">
        <f>IFERROR(LET(mtype,XLOOKUP($D244,'Move Editor'!$B:$B,'Move Editor'!$C:$C,""),cat,XLOOKUP($D244,'Move Editor'!$B:$B,'Move Editor'!$D:$D,""),pow,XLOOKUP($D244,'Move Editor'!$B:$B,'Move Editor'!$E:$E,0),acc,XLOOKUP($D244,'Move Editor'!$B:$B,'Move Editor'!$F:$F,100),atk,IF(cat="Physical",FLOOR((FLOOR(((2*XLOOKUP(XLOOKUP($Q244,'Threshold Summary'!$Y:$Y,'Threshold Summary'!$K:$K,""),'Pokemon Editor'!$A:$A,'Pokemon Editor'!$F:$F,0)+31+FLOOR(XLOOKUP($Q244,'Threshold Summary'!$Y:$Y,'Threshold Summary'!$P:$P,"")/4))*XLOOKUP($Q244,'Threshold Summary'!$Y:$Y,'Threshold Summary'!$L:$L,""))/100)+5)*XLOOKUP(XLOOKUP($Q244,'Threshold Summary'!$Y:$Y,'Threshold Summary'!$M:$M,""),'Nature Editor'!$A:$A,'Nature Editor'!$B:$B,1)),FLOOR((FLOOR(((2*XLOOKUP(XLOOKUP($Q244,'Threshold Summary'!$Y:$Y,'Threshold Summary'!$K:$K,""),'Pokemon Editor'!$A:$A,'Pokemon Editor'!$H:$H,0)+31+FLOOR(XLOOKUP($Q244,'Threshold Summary'!$Y:$Y,'Threshold Summary'!$R:$R,"")/4))*XLOOKUP($Q244,'Threshold Summary'!$Y:$Y,'Threshold Summary'!$L:$L,""))/100)+5)*XLOOKUP(XLOOKUP($Q244,'Threshold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Editor'!$E:$E,1))),stab,IF(OR(mtype=XLOOKUP(XLOOKUP($Q244,'Threshold Summary'!$Y:$Y,'Threshold Summary'!$K:$K,""),'Pokemon Editor'!$A:$A,'Pokemon Editor'!$C:$C,""),mtype=XLOOKUP(XLOOKUP($Q244,'Threshold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Chart'!$B$1:$S$1,0)))),base,IF(OR(cat="Status",pow=0),0,FLOOR(FLOOR(FLOOR((2*XLOOKUP($Q244,'Threshold Summary'!$Y:$Y,'Threshold Summary'!$L:$L,"")/5+2)*pow*atk/def)/50)+2)),modifier,stab*eff,FLOOR(base*modifier)),0)</f>
        <v/>
      </c>
      <c r="L244" s="3">
        <f>IFERROR(LET(mtype,XLOOKUP($D244,'Move Editor'!$B:$B,'Move Editor'!$C:$C,""),cat,XLOOKUP($D244,'Move Editor'!$B:$B,'Move Editor'!$D:$D,""),pow,XLOOKUP($D244,'Move Editor'!$B:$B,'Move Editor'!$E:$E,0),acc,XLOOKUP($D244,'Move Editor'!$B:$B,'Move Editor'!$F:$F,100),atk,IF(cat="Physical",FLOOR((FLOOR(((2*XLOOKUP(XLOOKUP($Q244,'Threshold Summary'!$Y:$Y,'Threshold Summary'!$K:$K,""),'Pokemon Editor'!$A:$A,'Pokemon Editor'!$F:$F,0)+31+FLOOR(XLOOKUP($Q244,'Threshold Summary'!$Y:$Y,'Threshold Summary'!$P:$P,"")/4))*XLOOKUP($Q244,'Threshold Summary'!$Y:$Y,'Threshold Summary'!$L:$L,""))/100)+5)*XLOOKUP(XLOOKUP($Q244,'Threshold Summary'!$Y:$Y,'Threshold Summary'!$M:$M,""),'Nature Editor'!$A:$A,'Nature Editor'!$B:$B,1)),FLOOR((FLOOR(((2*XLOOKUP(XLOOKUP($Q244,'Threshold Summary'!$Y:$Y,'Threshold Summary'!$K:$K,""),'Pokemon Editor'!$A:$A,'Pokemon Editor'!$H:$H,0)+31+FLOOR(XLOOKUP($Q244,'Threshold Summary'!$Y:$Y,'Threshold Summary'!$R:$R,"")/4))*XLOOKUP($Q244,'Threshold Summary'!$Y:$Y,'Threshold Summary'!$L:$L,""))/100)+5)*XLOOKUP(XLOOKUP($Q244,'Threshold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Editor'!$E:$E,1))),stab,IF(OR(mtype=XLOOKUP(XLOOKUP($Q244,'Threshold Summary'!$Y:$Y,'Threshold Summary'!$K:$K,""),'Pokemon Editor'!$A:$A,'Pokemon Editor'!$C:$C,""),mtype=XLOOKUP(XLOOKUP($Q244,'Threshold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Chart'!$B$1:$S$1,0)))),base,IF(OR(cat="Status",pow=0),0,FLOOR(FLOOR(FLOOR((2*XLOOKUP($Q244,'Threshold Summary'!$Y:$Y,'Threshold Summary'!$L:$L,"")/5+2)*pow*atk/def)/50)+2)),modifier,stab*eff,AVERAGE(ARRAYFORMULA(FLOOR(base*modifier*SEQUENCE(16,1,85,1)/100)))),0)</f>
        <v/>
      </c>
      <c r="M244" s="3">
        <f>IFERROR(LET(mtype,XLOOKUP($D244,'Move Editor'!$B:$B,'Move Editor'!$C:$C,""),cat,XLOOKUP($D244,'Move Editor'!$B:$B,'Move Editor'!$D:$D,""),pow,XLOOKUP($D244,'Move Editor'!$B:$B,'Move Editor'!$E:$E,0),acc,XLOOKUP($D244,'Move Editor'!$B:$B,'Move Editor'!$F:$F,100),atk,IF(cat="Physical",FLOOR((FLOOR(((2*XLOOKUP(XLOOKUP($Q244,'Threshold Summary'!$Y:$Y,'Threshold Summary'!$K:$K,""),'Pokemon Editor'!$A:$A,'Pokemon Editor'!$F:$F,0)+31+FLOOR(XLOOKUP($Q244,'Threshold Summary'!$Y:$Y,'Threshold Summary'!$P:$P,"")/4))*XLOOKUP($Q244,'Threshold Summary'!$Y:$Y,'Threshold Summary'!$L:$L,""))/100)+5)*XLOOKUP(XLOOKUP($Q244,'Threshold Summary'!$Y:$Y,'Threshold Summary'!$M:$M,""),'Nature Editor'!$A:$A,'Nature Editor'!$B:$B,1)),FLOOR((FLOOR(((2*XLOOKUP(XLOOKUP($Q244,'Threshold Summary'!$Y:$Y,'Threshold Summary'!$K:$K,""),'Pokemon Editor'!$A:$A,'Pokemon Editor'!$H:$H,0)+31+FLOOR(XLOOKUP($Q244,'Threshold Summary'!$Y:$Y,'Threshold Summary'!$R:$R,"")/4))*XLOOKUP($Q244,'Threshold Summary'!$Y:$Y,'Threshold Summary'!$L:$L,""))/100)+5)*XLOOKUP(XLOOKUP($Q244,'Threshold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Editor'!$E:$E,1))),stab,IF(OR(mtype=XLOOKUP(XLOOKUP($Q244,'Threshold Summary'!$Y:$Y,'Threshold Summary'!$K:$K,""),'Pokemon Editor'!$A:$A,'Pokemon Editor'!$C:$C,""),mtype=XLOOKUP(XLOOKUP($Q244,'Threshold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Chart'!$B$1:$S$1,0)))),base,IF(OR(cat="Status",pow=0),0,FLOOR(FLOOR(FLOOR((2*XLOOKUP($Q244,'Threshold Summary'!$Y:$Y,'Threshold Summary'!$L:$L,"")/5+2)*pow*atk/def)/50)+2)),modifier,stab*eff,AVERAGE(ARRAYFORMULA(FLOOR(base*modifier*SEQUENCE(16,1,85,1)/100)))*MIN(1,acc/100)),0)</f>
        <v/>
      </c>
      <c r="N244" s="4">
        <f>IFERROR(LET(mtype,XLOOKUP($D244,'Move Editor'!$B:$B,'Move Editor'!$C:$C,""),cat,XLOOKUP($D244,'Move Editor'!$B:$B,'Move Editor'!$D:$D,""),pow,XLOOKUP($D244,'Move Editor'!$B:$B,'Move Editor'!$E:$E,0),acc,XLOOKUP($D244,'Move Editor'!$B:$B,'Move Editor'!$F:$F,100),atk,IF(cat="Physical",FLOOR((FLOOR(((2*XLOOKUP(XLOOKUP($Q244,'Threshold Summary'!$Y:$Y,'Threshold Summary'!$K:$K,""),'Pokemon Editor'!$A:$A,'Pokemon Editor'!$F:$F,0)+31+FLOOR(XLOOKUP($Q244,'Threshold Summary'!$Y:$Y,'Threshold Summary'!$P:$P,"")/4))*XLOOKUP($Q244,'Threshold Summary'!$Y:$Y,'Threshold Summary'!$L:$L,""))/100)+5)*XLOOKUP(XLOOKUP($Q244,'Threshold Summary'!$Y:$Y,'Threshold Summary'!$M:$M,""),'Nature Editor'!$A:$A,'Nature Editor'!$B:$B,1)),FLOOR((FLOOR(((2*XLOOKUP(XLOOKUP($Q244,'Threshold Summary'!$Y:$Y,'Threshold Summary'!$K:$K,""),'Pokemon Editor'!$A:$A,'Pokemon Editor'!$H:$H,0)+31+FLOOR(XLOOKUP($Q244,'Threshold Summary'!$Y:$Y,'Threshold Summary'!$R:$R,"")/4))*XLOOKUP($Q244,'Threshold Summary'!$Y:$Y,'Threshold Summary'!$L:$L,""))/100)+5)*XLOOKUP(XLOOKUP($Q244,'Threshold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Editor'!$E:$E,1))),stab,IF(OR(mtype=XLOOKUP(XLOOKUP($Q244,'Threshold Summary'!$Y:$Y,'Threshold Summary'!$K:$K,""),'Pokemon Editor'!$A:$A,'Pokemon Editor'!$C:$C,""),mtype=XLOOKUP(XLOOKUP($Q244,'Threshold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Chart'!$B$1:$S$1,0)))),base,IF(OR(cat="Status",pow=0),0,FLOOR(FLOOR(FLOOR((2*XLOOKUP($Q244,'Threshold Summary'!$Y:$Y,'Threshold Summary'!$L:$L,"")/5+2)*pow*atk/def)/50)+2)),modifier,stab*eff,AVERAGE(ARRAYFORMULA(FLOOR(base*modifier*SEQUENCE(16,1,85,1)/100)))/(FLOOR(((2*XLOOKUP('Boss Editor'!$C$4,'Pokemon Editor'!$A:$A,'Pokemon Editor'!$E:$E,0)+31+FLOOR('Boss Editor'!$G$4/4))*'Boss Editor'!$D$4)/100)+'Boss Editor'!$D$4+10)),0)</f>
        <v/>
      </c>
      <c r="O244" s="3">
        <f>IF(N244&gt;=1,"OHKO",IF(N244&gt;=0.5,"2HKO",IF(N244&gt;=0.333,"3HKO",IF(N244&gt;=0.25,"4HKO","5HKO+"))))</f>
        <v/>
      </c>
      <c r="P244" s="3" t="inlineStr">
        <is>
          <t>Live from editable databases</t>
        </is>
      </c>
      <c r="Q244" s="3" t="inlineStr">
        <is>
          <t>SPECIES_RALTS</t>
        </is>
      </c>
      <c r="R244" s="3" t="n">
        <v>19</v>
      </c>
    </row>
    <row r="245">
      <c r="A245" s="3">
        <f>XLOOKUP($Q245,'Threshold Summary'!$Y:$Y,'Threshold Summary'!$A:$A,"")</f>
        <v/>
      </c>
      <c r="B245" s="3">
        <f>XLOOKUP($Q245,'Threshold Summary'!$Y:$Y,'Threshold Summary'!$M:$M,"")</f>
        <v/>
      </c>
      <c r="C245" s="3">
        <f>XLOOKUP($Q245,'Threshold Summary'!$Y:$Y,'Threshold Summary'!$N:$N,"")</f>
        <v/>
      </c>
      <c r="D245" s="3">
        <f>IFERROR(INDEX(FILTER('Learnset Editor'!$D$2:$D,'Learnset Editor'!$A$2:$A=XLOOKUP($Q245,'Threshold Summary'!$Y:$Y,'Threshold Summary'!$K:$K,""),'Learnset Editor'!$C$2:$C&lt;=XLOOKUP($Q245,'Threshold Summary'!$Y:$Y,'Threshold Summary'!$L:$L,"")),$R245),"")</f>
        <v/>
      </c>
      <c r="E245" s="3">
        <f>XLOOKUP(D245,'Move Editor'!$B:$B,'Move Editor'!$C:$C,"")</f>
        <v/>
      </c>
      <c r="F245" s="3">
        <f>XLOOKUP(D245,'Move Editor'!$B:$B,'Move Editor'!$D:$D,"")</f>
        <v/>
      </c>
      <c r="G245" s="3">
        <f>XLOOKUP(D245,'Move Editor'!$B:$B,'Move Editor'!$E:$E,0)</f>
        <v/>
      </c>
      <c r="H245" s="3">
        <f>XLOOKUP(D245,'Move Editor'!$B:$B,'Move Editor'!$F:$F,0)</f>
        <v/>
      </c>
      <c r="I245" s="3">
        <f>(INDEX('Type Chart'!$B:$S,MATCH(E245,'Type Chart'!$A:$A,0),MATCH(XLOOKUP('Boss Editor'!$C$4,'Pokemon Editor'!$A:$A,'Pokemon Editor'!$C:$C,""),'Type Chart'!$B$1:$S$1,0))*IF(XLOOKUP('Boss Editor'!$C$4,'Pokemon Editor'!$A:$A,'Pokemon Editor'!$D:$D,"")="",1,INDEX('Type Chart'!$B:$S,MATCH(E245,'Type Chart'!$A:$A,0),MATCH(XLOOKUP('Boss Editor'!$C$4,'Pokemon Editor'!$A:$A,'Pokemon Editor'!$D:$D,""),'Type Chart'!$B$1:$S$1,0))))</f>
        <v/>
      </c>
      <c r="J245" s="3">
        <f>IFERROR(LET(mtype,XLOOKUP($D245,'Move Editor'!$B:$B,'Move Editor'!$C:$C,""),cat,XLOOKUP($D245,'Move Editor'!$B:$B,'Move Editor'!$D:$D,""),pow,XLOOKUP($D245,'Move Editor'!$B:$B,'Move Editor'!$E:$E,0),acc,XLOOKUP($D245,'Move Editor'!$B:$B,'Move Editor'!$F:$F,100),atk,IF(cat="Physical",FLOOR((FLOOR(((2*XLOOKUP(XLOOKUP($Q245,'Threshold Summary'!$Y:$Y,'Threshold Summary'!$K:$K,""),'Pokemon Editor'!$A:$A,'Pokemon Editor'!$F:$F,0)+31+FLOOR(XLOOKUP($Q245,'Threshold Summary'!$Y:$Y,'Threshold Summary'!$P:$P,"")/4))*XLOOKUP($Q245,'Threshold Summary'!$Y:$Y,'Threshold Summary'!$L:$L,""))/100)+5)*XLOOKUP(XLOOKUP($Q245,'Threshold Summary'!$Y:$Y,'Threshold Summary'!$M:$M,""),'Nature Editor'!$A:$A,'Nature Editor'!$B:$B,1)),FLOOR((FLOOR(((2*XLOOKUP(XLOOKUP($Q245,'Threshold Summary'!$Y:$Y,'Threshold Summary'!$K:$K,""),'Pokemon Editor'!$A:$A,'Pokemon Editor'!$H:$H,0)+31+FLOOR(XLOOKUP($Q245,'Threshold Summary'!$Y:$Y,'Threshold Summary'!$R:$R,"")/4))*XLOOKUP($Q245,'Threshold Summary'!$Y:$Y,'Threshold Summary'!$L:$L,""))/100)+5)*XLOOKUP(XLOOKUP($Q245,'Threshold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Editor'!$E:$E,1))),stab,IF(OR(mtype=XLOOKUP(XLOOKUP($Q245,'Threshold Summary'!$Y:$Y,'Threshold Summary'!$K:$K,""),'Pokemon Editor'!$A:$A,'Pokemon Editor'!$C:$C,""),mtype=XLOOKUP(XLOOKUP($Q245,'Threshold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Chart'!$B$1:$S$1,0)))),base,IF(OR(cat="Status",pow=0),0,FLOOR(FLOOR(FLOOR((2*XLOOKUP($Q245,'Threshold Summary'!$Y:$Y,'Threshold Summary'!$L:$L,"")/5+2)*pow*atk/def)/50)+2)),modifier,stab*eff,FLOOR(base*modifier*0.85)),0)</f>
        <v/>
      </c>
      <c r="K245" s="3">
        <f>IFERROR(LET(mtype,XLOOKUP($D245,'Move Editor'!$B:$B,'Move Editor'!$C:$C,""),cat,XLOOKUP($D245,'Move Editor'!$B:$B,'Move Editor'!$D:$D,""),pow,XLOOKUP($D245,'Move Editor'!$B:$B,'Move Editor'!$E:$E,0),acc,XLOOKUP($D245,'Move Editor'!$B:$B,'Move Editor'!$F:$F,100),atk,IF(cat="Physical",FLOOR((FLOOR(((2*XLOOKUP(XLOOKUP($Q245,'Threshold Summary'!$Y:$Y,'Threshold Summary'!$K:$K,""),'Pokemon Editor'!$A:$A,'Pokemon Editor'!$F:$F,0)+31+FLOOR(XLOOKUP($Q245,'Threshold Summary'!$Y:$Y,'Threshold Summary'!$P:$P,"")/4))*XLOOKUP($Q245,'Threshold Summary'!$Y:$Y,'Threshold Summary'!$L:$L,""))/100)+5)*XLOOKUP(XLOOKUP($Q245,'Threshold Summary'!$Y:$Y,'Threshold Summary'!$M:$M,""),'Nature Editor'!$A:$A,'Nature Editor'!$B:$B,1)),FLOOR((FLOOR(((2*XLOOKUP(XLOOKUP($Q245,'Threshold Summary'!$Y:$Y,'Threshold Summary'!$K:$K,""),'Pokemon Editor'!$A:$A,'Pokemon Editor'!$H:$H,0)+31+FLOOR(XLOOKUP($Q245,'Threshold Summary'!$Y:$Y,'Threshold Summary'!$R:$R,"")/4))*XLOOKUP($Q245,'Threshold Summary'!$Y:$Y,'Threshold Summary'!$L:$L,""))/100)+5)*XLOOKUP(XLOOKUP($Q245,'Threshold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Editor'!$E:$E,1))),stab,IF(OR(mtype=XLOOKUP(XLOOKUP($Q245,'Threshold Summary'!$Y:$Y,'Threshold Summary'!$K:$K,""),'Pokemon Editor'!$A:$A,'Pokemon Editor'!$C:$C,""),mtype=XLOOKUP(XLOOKUP($Q245,'Threshold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Chart'!$B$1:$S$1,0)))),base,IF(OR(cat="Status",pow=0),0,FLOOR(FLOOR(FLOOR((2*XLOOKUP($Q245,'Threshold Summary'!$Y:$Y,'Threshold Summary'!$L:$L,"")/5+2)*pow*atk/def)/50)+2)),modifier,stab*eff,FLOOR(base*modifier)),0)</f>
        <v/>
      </c>
      <c r="L245" s="3">
        <f>IFERROR(LET(mtype,XLOOKUP($D245,'Move Editor'!$B:$B,'Move Editor'!$C:$C,""),cat,XLOOKUP($D245,'Move Editor'!$B:$B,'Move Editor'!$D:$D,""),pow,XLOOKUP($D245,'Move Editor'!$B:$B,'Move Editor'!$E:$E,0),acc,XLOOKUP($D245,'Move Editor'!$B:$B,'Move Editor'!$F:$F,100),atk,IF(cat="Physical",FLOOR((FLOOR(((2*XLOOKUP(XLOOKUP($Q245,'Threshold Summary'!$Y:$Y,'Threshold Summary'!$K:$K,""),'Pokemon Editor'!$A:$A,'Pokemon Editor'!$F:$F,0)+31+FLOOR(XLOOKUP($Q245,'Threshold Summary'!$Y:$Y,'Threshold Summary'!$P:$P,"")/4))*XLOOKUP($Q245,'Threshold Summary'!$Y:$Y,'Threshold Summary'!$L:$L,""))/100)+5)*XLOOKUP(XLOOKUP($Q245,'Threshold Summary'!$Y:$Y,'Threshold Summary'!$M:$M,""),'Nature Editor'!$A:$A,'Nature Editor'!$B:$B,1)),FLOOR((FLOOR(((2*XLOOKUP(XLOOKUP($Q245,'Threshold Summary'!$Y:$Y,'Threshold Summary'!$K:$K,""),'Pokemon Editor'!$A:$A,'Pokemon Editor'!$H:$H,0)+31+FLOOR(XLOOKUP($Q245,'Threshold Summary'!$Y:$Y,'Threshold Summary'!$R:$R,"")/4))*XLOOKUP($Q245,'Threshold Summary'!$Y:$Y,'Threshold Summary'!$L:$L,""))/100)+5)*XLOOKUP(XLOOKUP($Q245,'Threshold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Editor'!$E:$E,1))),stab,IF(OR(mtype=XLOOKUP(XLOOKUP($Q245,'Threshold Summary'!$Y:$Y,'Threshold Summary'!$K:$K,""),'Pokemon Editor'!$A:$A,'Pokemon Editor'!$C:$C,""),mtype=XLOOKUP(XLOOKUP($Q245,'Threshold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Chart'!$B$1:$S$1,0)))),base,IF(OR(cat="Status",pow=0),0,FLOOR(FLOOR(FLOOR((2*XLOOKUP($Q245,'Threshold Summary'!$Y:$Y,'Threshold Summary'!$L:$L,"")/5+2)*pow*atk/def)/50)+2)),modifier,stab*eff,AVERAGE(ARRAYFORMULA(FLOOR(base*modifier*SEQUENCE(16,1,85,1)/100)))),0)</f>
        <v/>
      </c>
      <c r="M245" s="3">
        <f>IFERROR(LET(mtype,XLOOKUP($D245,'Move Editor'!$B:$B,'Move Editor'!$C:$C,""),cat,XLOOKUP($D245,'Move Editor'!$B:$B,'Move Editor'!$D:$D,""),pow,XLOOKUP($D245,'Move Editor'!$B:$B,'Move Editor'!$E:$E,0),acc,XLOOKUP($D245,'Move Editor'!$B:$B,'Move Editor'!$F:$F,100),atk,IF(cat="Physical",FLOOR((FLOOR(((2*XLOOKUP(XLOOKUP($Q245,'Threshold Summary'!$Y:$Y,'Threshold Summary'!$K:$K,""),'Pokemon Editor'!$A:$A,'Pokemon Editor'!$F:$F,0)+31+FLOOR(XLOOKUP($Q245,'Threshold Summary'!$Y:$Y,'Threshold Summary'!$P:$P,"")/4))*XLOOKUP($Q245,'Threshold Summary'!$Y:$Y,'Threshold Summary'!$L:$L,""))/100)+5)*XLOOKUP(XLOOKUP($Q245,'Threshold Summary'!$Y:$Y,'Threshold Summary'!$M:$M,""),'Nature Editor'!$A:$A,'Nature Editor'!$B:$B,1)),FLOOR((FLOOR(((2*XLOOKUP(XLOOKUP($Q245,'Threshold Summary'!$Y:$Y,'Threshold Summary'!$K:$K,""),'Pokemon Editor'!$A:$A,'Pokemon Editor'!$H:$H,0)+31+FLOOR(XLOOKUP($Q245,'Threshold Summary'!$Y:$Y,'Threshold Summary'!$R:$R,"")/4))*XLOOKUP($Q245,'Threshold Summary'!$Y:$Y,'Threshold Summary'!$L:$L,""))/100)+5)*XLOOKUP(XLOOKUP($Q245,'Threshold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Editor'!$E:$E,1))),stab,IF(OR(mtype=XLOOKUP(XLOOKUP($Q245,'Threshold Summary'!$Y:$Y,'Threshold Summary'!$K:$K,""),'Pokemon Editor'!$A:$A,'Pokemon Editor'!$C:$C,""),mtype=XLOOKUP(XLOOKUP($Q245,'Threshold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Chart'!$B$1:$S$1,0)))),base,IF(OR(cat="Status",pow=0),0,FLOOR(FLOOR(FLOOR((2*XLOOKUP($Q245,'Threshold Summary'!$Y:$Y,'Threshold Summary'!$L:$L,"")/5+2)*pow*atk/def)/50)+2)),modifier,stab*eff,AVERAGE(ARRAYFORMULA(FLOOR(base*modifier*SEQUENCE(16,1,85,1)/100)))*MIN(1,acc/100)),0)</f>
        <v/>
      </c>
      <c r="N245" s="4">
        <f>IFERROR(LET(mtype,XLOOKUP($D245,'Move Editor'!$B:$B,'Move Editor'!$C:$C,""),cat,XLOOKUP($D245,'Move Editor'!$B:$B,'Move Editor'!$D:$D,""),pow,XLOOKUP($D245,'Move Editor'!$B:$B,'Move Editor'!$E:$E,0),acc,XLOOKUP($D245,'Move Editor'!$B:$B,'Move Editor'!$F:$F,100),atk,IF(cat="Physical",FLOOR((FLOOR(((2*XLOOKUP(XLOOKUP($Q245,'Threshold Summary'!$Y:$Y,'Threshold Summary'!$K:$K,""),'Pokemon Editor'!$A:$A,'Pokemon Editor'!$F:$F,0)+31+FLOOR(XLOOKUP($Q245,'Threshold Summary'!$Y:$Y,'Threshold Summary'!$P:$P,"")/4))*XLOOKUP($Q245,'Threshold Summary'!$Y:$Y,'Threshold Summary'!$L:$L,""))/100)+5)*XLOOKUP(XLOOKUP($Q245,'Threshold Summary'!$Y:$Y,'Threshold Summary'!$M:$M,""),'Nature Editor'!$A:$A,'Nature Editor'!$B:$B,1)),FLOOR((FLOOR(((2*XLOOKUP(XLOOKUP($Q245,'Threshold Summary'!$Y:$Y,'Threshold Summary'!$K:$K,""),'Pokemon Editor'!$A:$A,'Pokemon Editor'!$H:$H,0)+31+FLOOR(XLOOKUP($Q245,'Threshold Summary'!$Y:$Y,'Threshold Summary'!$R:$R,"")/4))*XLOOKUP($Q245,'Threshold Summary'!$Y:$Y,'Threshold Summary'!$L:$L,""))/100)+5)*XLOOKUP(XLOOKUP($Q245,'Threshold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Editor'!$E:$E,1))),stab,IF(OR(mtype=XLOOKUP(XLOOKUP($Q245,'Threshold Summary'!$Y:$Y,'Threshold Summary'!$K:$K,""),'Pokemon Editor'!$A:$A,'Pokemon Editor'!$C:$C,""),mtype=XLOOKUP(XLOOKUP($Q245,'Threshold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Chart'!$B$1:$S$1,0)))),base,IF(OR(cat="Status",pow=0),0,FLOOR(FLOOR(FLOOR((2*XLOOKUP($Q245,'Threshold Summary'!$Y:$Y,'Threshold Summary'!$L:$L,"")/5+2)*pow*atk/def)/50)+2)),modifier,stab*eff,AVERAGE(ARRAYFORMULA(FLOOR(base*modifier*SEQUENCE(16,1,85,1)/100)))/(FLOOR(((2*XLOOKUP('Boss Editor'!$C$4,'Pokemon Editor'!$A:$A,'Pokemon Editor'!$E:$E,0)+31+FLOOR('Boss Editor'!$G$4/4))*'Boss Editor'!$D$4)/100)+'Boss Editor'!$D$4+10)),0)</f>
        <v/>
      </c>
      <c r="O245" s="3">
        <f>IF(N245&gt;=1,"OHKO",IF(N245&gt;=0.5,"2HKO",IF(N245&gt;=0.333,"3HKO",IF(N245&gt;=0.25,"4HKO","5HKO+"))))</f>
        <v/>
      </c>
      <c r="P245" s="3" t="inlineStr">
        <is>
          <t>Live from editable databases</t>
        </is>
      </c>
      <c r="Q245" s="3" t="inlineStr">
        <is>
          <t>SPECIES_RALTS</t>
        </is>
      </c>
      <c r="R245" s="3" t="n">
        <v>20</v>
      </c>
    </row>
    <row r="246">
      <c r="A246" s="3">
        <f>XLOOKUP($Q246,'Threshold Summary'!$Y:$Y,'Threshold Summary'!$A:$A,"")</f>
        <v/>
      </c>
      <c r="B246" s="3">
        <f>XLOOKUP($Q246,'Threshold Summary'!$Y:$Y,'Threshold Summary'!$M:$M,"")</f>
        <v/>
      </c>
      <c r="C246" s="3">
        <f>XLOOKUP($Q246,'Threshold Summary'!$Y:$Y,'Threshold Summary'!$N:$N,"")</f>
        <v/>
      </c>
      <c r="D246" s="3">
        <f>IFERROR(INDEX(FILTER('Learnset Editor'!$D$2:$D,'Learnset Editor'!$A$2:$A=XLOOKUP($Q246,'Threshold Summary'!$Y:$Y,'Threshold Summary'!$K:$K,""),'Learnset Editor'!$C$2:$C&lt;=XLOOKUP($Q246,'Threshold Summary'!$Y:$Y,'Threshold Summary'!$L:$L,"")),$R246),"")</f>
        <v/>
      </c>
      <c r="E246" s="3">
        <f>XLOOKUP(D246,'Move Editor'!$B:$B,'Move Editor'!$C:$C,"")</f>
        <v/>
      </c>
      <c r="F246" s="3">
        <f>XLOOKUP(D246,'Move Editor'!$B:$B,'Move Editor'!$D:$D,"")</f>
        <v/>
      </c>
      <c r="G246" s="3">
        <f>XLOOKUP(D246,'Move Editor'!$B:$B,'Move Editor'!$E:$E,0)</f>
        <v/>
      </c>
      <c r="H246" s="3">
        <f>XLOOKUP(D246,'Move Editor'!$B:$B,'Move Editor'!$F:$F,0)</f>
        <v/>
      </c>
      <c r="I246" s="3">
        <f>(INDEX('Type Chart'!$B:$S,MATCH(E246,'Type Chart'!$A:$A,0),MATCH(XLOOKUP('Boss Editor'!$C$4,'Pokemon Editor'!$A:$A,'Pokemon Editor'!$C:$C,""),'Type Chart'!$B$1:$S$1,0))*IF(XLOOKUP('Boss Editor'!$C$4,'Pokemon Editor'!$A:$A,'Pokemon Editor'!$D:$D,"")="",1,INDEX('Type Chart'!$B:$S,MATCH(E246,'Type Chart'!$A:$A,0),MATCH(XLOOKUP('Boss Editor'!$C$4,'Pokemon Editor'!$A:$A,'Pokemon Editor'!$D:$D,""),'Type Chart'!$B$1:$S$1,0))))</f>
        <v/>
      </c>
      <c r="J246" s="3">
        <f>IFERROR(LET(mtype,XLOOKUP($D246,'Move Editor'!$B:$B,'Move Editor'!$C:$C,""),cat,XLOOKUP($D246,'Move Editor'!$B:$B,'Move Editor'!$D:$D,""),pow,XLOOKUP($D246,'Move Editor'!$B:$B,'Move Editor'!$E:$E,0),acc,XLOOKUP($D246,'Move Editor'!$B:$B,'Move Editor'!$F:$F,100),atk,IF(cat="Physical",FLOOR((FLOOR(((2*XLOOKUP(XLOOKUP($Q246,'Threshold Summary'!$Y:$Y,'Threshold Summary'!$K:$K,""),'Pokemon Editor'!$A:$A,'Pokemon Editor'!$F:$F,0)+31+FLOOR(XLOOKUP($Q246,'Threshold Summary'!$Y:$Y,'Threshold Summary'!$P:$P,"")/4))*XLOOKUP($Q246,'Threshold Summary'!$Y:$Y,'Threshold Summary'!$L:$L,""))/100)+5)*XLOOKUP(XLOOKUP($Q246,'Threshold Summary'!$Y:$Y,'Threshold Summary'!$M:$M,""),'Nature Editor'!$A:$A,'Nature Editor'!$B:$B,1)),FLOOR((FLOOR(((2*XLOOKUP(XLOOKUP($Q246,'Threshold Summary'!$Y:$Y,'Threshold Summary'!$K:$K,""),'Pokemon Editor'!$A:$A,'Pokemon Editor'!$H:$H,0)+31+FLOOR(XLOOKUP($Q246,'Threshold Summary'!$Y:$Y,'Threshold Summary'!$R:$R,"")/4))*XLOOKUP($Q246,'Threshold Summary'!$Y:$Y,'Threshold Summary'!$L:$L,""))/100)+5)*XLOOKUP(XLOOKUP($Q246,'Threshold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Editor'!$E:$E,1))),stab,IF(OR(mtype=XLOOKUP(XLOOKUP($Q246,'Threshold Summary'!$Y:$Y,'Threshold Summary'!$K:$K,""),'Pokemon Editor'!$A:$A,'Pokemon Editor'!$C:$C,""),mtype=XLOOKUP(XLOOKUP($Q246,'Threshold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Chart'!$B$1:$S$1,0)))),base,IF(OR(cat="Status",pow=0),0,FLOOR(FLOOR(FLOOR((2*XLOOKUP($Q246,'Threshold Summary'!$Y:$Y,'Threshold Summary'!$L:$L,"")/5+2)*pow*atk/def)/50)+2)),modifier,stab*eff,FLOOR(base*modifier*0.85)),0)</f>
        <v/>
      </c>
      <c r="K246" s="3">
        <f>IFERROR(LET(mtype,XLOOKUP($D246,'Move Editor'!$B:$B,'Move Editor'!$C:$C,""),cat,XLOOKUP($D246,'Move Editor'!$B:$B,'Move Editor'!$D:$D,""),pow,XLOOKUP($D246,'Move Editor'!$B:$B,'Move Editor'!$E:$E,0),acc,XLOOKUP($D246,'Move Editor'!$B:$B,'Move Editor'!$F:$F,100),atk,IF(cat="Physical",FLOOR((FLOOR(((2*XLOOKUP(XLOOKUP($Q246,'Threshold Summary'!$Y:$Y,'Threshold Summary'!$K:$K,""),'Pokemon Editor'!$A:$A,'Pokemon Editor'!$F:$F,0)+31+FLOOR(XLOOKUP($Q246,'Threshold Summary'!$Y:$Y,'Threshold Summary'!$P:$P,"")/4))*XLOOKUP($Q246,'Threshold Summary'!$Y:$Y,'Threshold Summary'!$L:$L,""))/100)+5)*XLOOKUP(XLOOKUP($Q246,'Threshold Summary'!$Y:$Y,'Threshold Summary'!$M:$M,""),'Nature Editor'!$A:$A,'Nature Editor'!$B:$B,1)),FLOOR((FLOOR(((2*XLOOKUP(XLOOKUP($Q246,'Threshold Summary'!$Y:$Y,'Threshold Summary'!$K:$K,""),'Pokemon Editor'!$A:$A,'Pokemon Editor'!$H:$H,0)+31+FLOOR(XLOOKUP($Q246,'Threshold Summary'!$Y:$Y,'Threshold Summary'!$R:$R,"")/4))*XLOOKUP($Q246,'Threshold Summary'!$Y:$Y,'Threshold Summary'!$L:$L,""))/100)+5)*XLOOKUP(XLOOKUP($Q246,'Threshold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Editor'!$E:$E,1))),stab,IF(OR(mtype=XLOOKUP(XLOOKUP($Q246,'Threshold Summary'!$Y:$Y,'Threshold Summary'!$K:$K,""),'Pokemon Editor'!$A:$A,'Pokemon Editor'!$C:$C,""),mtype=XLOOKUP(XLOOKUP($Q246,'Threshold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Chart'!$B$1:$S$1,0)))),base,IF(OR(cat="Status",pow=0),0,FLOOR(FLOOR(FLOOR((2*XLOOKUP($Q246,'Threshold Summary'!$Y:$Y,'Threshold Summary'!$L:$L,"")/5+2)*pow*atk/def)/50)+2)),modifier,stab*eff,FLOOR(base*modifier)),0)</f>
        <v/>
      </c>
      <c r="L246" s="3">
        <f>IFERROR(LET(mtype,XLOOKUP($D246,'Move Editor'!$B:$B,'Move Editor'!$C:$C,""),cat,XLOOKUP($D246,'Move Editor'!$B:$B,'Move Editor'!$D:$D,""),pow,XLOOKUP($D246,'Move Editor'!$B:$B,'Move Editor'!$E:$E,0),acc,XLOOKUP($D246,'Move Editor'!$B:$B,'Move Editor'!$F:$F,100),atk,IF(cat="Physical",FLOOR((FLOOR(((2*XLOOKUP(XLOOKUP($Q246,'Threshold Summary'!$Y:$Y,'Threshold Summary'!$K:$K,""),'Pokemon Editor'!$A:$A,'Pokemon Editor'!$F:$F,0)+31+FLOOR(XLOOKUP($Q246,'Threshold Summary'!$Y:$Y,'Threshold Summary'!$P:$P,"")/4))*XLOOKUP($Q246,'Threshold Summary'!$Y:$Y,'Threshold Summary'!$L:$L,""))/100)+5)*XLOOKUP(XLOOKUP($Q246,'Threshold Summary'!$Y:$Y,'Threshold Summary'!$M:$M,""),'Nature Editor'!$A:$A,'Nature Editor'!$B:$B,1)),FLOOR((FLOOR(((2*XLOOKUP(XLOOKUP($Q246,'Threshold Summary'!$Y:$Y,'Threshold Summary'!$K:$K,""),'Pokemon Editor'!$A:$A,'Pokemon Editor'!$H:$H,0)+31+FLOOR(XLOOKUP($Q246,'Threshold Summary'!$Y:$Y,'Threshold Summary'!$R:$R,"")/4))*XLOOKUP($Q246,'Threshold Summary'!$Y:$Y,'Threshold Summary'!$L:$L,""))/100)+5)*XLOOKUP(XLOOKUP($Q246,'Threshold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Editor'!$E:$E,1))),stab,IF(OR(mtype=XLOOKUP(XLOOKUP($Q246,'Threshold Summary'!$Y:$Y,'Threshold Summary'!$K:$K,""),'Pokemon Editor'!$A:$A,'Pokemon Editor'!$C:$C,""),mtype=XLOOKUP(XLOOKUP($Q246,'Threshold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Chart'!$B$1:$S$1,0)))),base,IF(OR(cat="Status",pow=0),0,FLOOR(FLOOR(FLOOR((2*XLOOKUP($Q246,'Threshold Summary'!$Y:$Y,'Threshold Summary'!$L:$L,"")/5+2)*pow*atk/def)/50)+2)),modifier,stab*eff,AVERAGE(ARRAYFORMULA(FLOOR(base*modifier*SEQUENCE(16,1,85,1)/100)))),0)</f>
        <v/>
      </c>
      <c r="M246" s="3">
        <f>IFERROR(LET(mtype,XLOOKUP($D246,'Move Editor'!$B:$B,'Move Editor'!$C:$C,""),cat,XLOOKUP($D246,'Move Editor'!$B:$B,'Move Editor'!$D:$D,""),pow,XLOOKUP($D246,'Move Editor'!$B:$B,'Move Editor'!$E:$E,0),acc,XLOOKUP($D246,'Move Editor'!$B:$B,'Move Editor'!$F:$F,100),atk,IF(cat="Physical",FLOOR((FLOOR(((2*XLOOKUP(XLOOKUP($Q246,'Threshold Summary'!$Y:$Y,'Threshold Summary'!$K:$K,""),'Pokemon Editor'!$A:$A,'Pokemon Editor'!$F:$F,0)+31+FLOOR(XLOOKUP($Q246,'Threshold Summary'!$Y:$Y,'Threshold Summary'!$P:$P,"")/4))*XLOOKUP($Q246,'Threshold Summary'!$Y:$Y,'Threshold Summary'!$L:$L,""))/100)+5)*XLOOKUP(XLOOKUP($Q246,'Threshold Summary'!$Y:$Y,'Threshold Summary'!$M:$M,""),'Nature Editor'!$A:$A,'Nature Editor'!$B:$B,1)),FLOOR((FLOOR(((2*XLOOKUP(XLOOKUP($Q246,'Threshold Summary'!$Y:$Y,'Threshold Summary'!$K:$K,""),'Pokemon Editor'!$A:$A,'Pokemon Editor'!$H:$H,0)+31+FLOOR(XLOOKUP($Q246,'Threshold Summary'!$Y:$Y,'Threshold Summary'!$R:$R,"")/4))*XLOOKUP($Q246,'Threshold Summary'!$Y:$Y,'Threshold Summary'!$L:$L,""))/100)+5)*XLOOKUP(XLOOKUP($Q246,'Threshold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Editor'!$E:$E,1))),stab,IF(OR(mtype=XLOOKUP(XLOOKUP($Q246,'Threshold Summary'!$Y:$Y,'Threshold Summary'!$K:$K,""),'Pokemon Editor'!$A:$A,'Pokemon Editor'!$C:$C,""),mtype=XLOOKUP(XLOOKUP($Q246,'Threshold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Chart'!$B$1:$S$1,0)))),base,IF(OR(cat="Status",pow=0),0,FLOOR(FLOOR(FLOOR((2*XLOOKUP($Q246,'Threshold Summary'!$Y:$Y,'Threshold Summary'!$L:$L,"")/5+2)*pow*atk/def)/50)+2)),modifier,stab*eff,AVERAGE(ARRAYFORMULA(FLOOR(base*modifier*SEQUENCE(16,1,85,1)/100)))*MIN(1,acc/100)),0)</f>
        <v/>
      </c>
      <c r="N246" s="4">
        <f>IFERROR(LET(mtype,XLOOKUP($D246,'Move Editor'!$B:$B,'Move Editor'!$C:$C,""),cat,XLOOKUP($D246,'Move Editor'!$B:$B,'Move Editor'!$D:$D,""),pow,XLOOKUP($D246,'Move Editor'!$B:$B,'Move Editor'!$E:$E,0),acc,XLOOKUP($D246,'Move Editor'!$B:$B,'Move Editor'!$F:$F,100),atk,IF(cat="Physical",FLOOR((FLOOR(((2*XLOOKUP(XLOOKUP($Q246,'Threshold Summary'!$Y:$Y,'Threshold Summary'!$K:$K,""),'Pokemon Editor'!$A:$A,'Pokemon Editor'!$F:$F,0)+31+FLOOR(XLOOKUP($Q246,'Threshold Summary'!$Y:$Y,'Threshold Summary'!$P:$P,"")/4))*XLOOKUP($Q246,'Threshold Summary'!$Y:$Y,'Threshold Summary'!$L:$L,""))/100)+5)*XLOOKUP(XLOOKUP($Q246,'Threshold Summary'!$Y:$Y,'Threshold Summary'!$M:$M,""),'Nature Editor'!$A:$A,'Nature Editor'!$B:$B,1)),FLOOR((FLOOR(((2*XLOOKUP(XLOOKUP($Q246,'Threshold Summary'!$Y:$Y,'Threshold Summary'!$K:$K,""),'Pokemon Editor'!$A:$A,'Pokemon Editor'!$H:$H,0)+31+FLOOR(XLOOKUP($Q246,'Threshold Summary'!$Y:$Y,'Threshold Summary'!$R:$R,"")/4))*XLOOKUP($Q246,'Threshold Summary'!$Y:$Y,'Threshold Summary'!$L:$L,""))/100)+5)*XLOOKUP(XLOOKUP($Q246,'Threshold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Editor'!$E:$E,1))),stab,IF(OR(mtype=XLOOKUP(XLOOKUP($Q246,'Threshold Summary'!$Y:$Y,'Threshold Summary'!$K:$K,""),'Pokemon Editor'!$A:$A,'Pokemon Editor'!$C:$C,""),mtype=XLOOKUP(XLOOKUP($Q246,'Threshold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Chart'!$B$1:$S$1,0)))),base,IF(OR(cat="Status",pow=0),0,FLOOR(FLOOR(FLOOR((2*XLOOKUP($Q246,'Threshold Summary'!$Y:$Y,'Threshold Summary'!$L:$L,"")/5+2)*pow*atk/def)/50)+2)),modifier,stab*eff,AVERAGE(ARRAYFORMULA(FLOOR(base*modifier*SEQUENCE(16,1,85,1)/100)))/(FLOOR(((2*XLOOKUP('Boss Editor'!$C$4,'Pokemon Editor'!$A:$A,'Pokemon Editor'!$E:$E,0)+31+FLOOR('Boss Editor'!$G$4/4))*'Boss Editor'!$D$4)/100)+'Boss Editor'!$D$4+10)),0)</f>
        <v/>
      </c>
      <c r="O246" s="3">
        <f>IF(N246&gt;=1,"OHKO",IF(N246&gt;=0.5,"2HKO",IF(N246&gt;=0.333,"3HKO",IF(N246&gt;=0.25,"4HKO","5HKO+"))))</f>
        <v/>
      </c>
      <c r="P246" s="3" t="inlineStr">
        <is>
          <t>Live from editable databases</t>
        </is>
      </c>
      <c r="Q246" s="3" t="inlineStr">
        <is>
          <t>SPECIES_RALTS</t>
        </is>
      </c>
      <c r="R246" s="3" t="n">
        <v>21</v>
      </c>
    </row>
    <row r="247">
      <c r="A247" s="3">
        <f>XLOOKUP($Q247,'Threshold Summary'!$Y:$Y,'Threshold Summary'!$A:$A,"")</f>
        <v/>
      </c>
      <c r="B247" s="3">
        <f>XLOOKUP($Q247,'Threshold Summary'!$Y:$Y,'Threshold Summary'!$M:$M,"")</f>
        <v/>
      </c>
      <c r="C247" s="3">
        <f>XLOOKUP($Q247,'Threshold Summary'!$Y:$Y,'Threshold Summary'!$N:$N,"")</f>
        <v/>
      </c>
      <c r="D247" s="3">
        <f>IFERROR(INDEX(FILTER('Learnset Editor'!$D$2:$D,'Learnset Editor'!$A$2:$A=XLOOKUP($Q247,'Threshold Summary'!$Y:$Y,'Threshold Summary'!$K:$K,""),'Learnset Editor'!$C$2:$C&lt;=XLOOKUP($Q247,'Threshold Summary'!$Y:$Y,'Threshold Summary'!$L:$L,"")),$R247),"")</f>
        <v/>
      </c>
      <c r="E247" s="3">
        <f>XLOOKUP(D247,'Move Editor'!$B:$B,'Move Editor'!$C:$C,"")</f>
        <v/>
      </c>
      <c r="F247" s="3">
        <f>XLOOKUP(D247,'Move Editor'!$B:$B,'Move Editor'!$D:$D,"")</f>
        <v/>
      </c>
      <c r="G247" s="3">
        <f>XLOOKUP(D247,'Move Editor'!$B:$B,'Move Editor'!$E:$E,0)</f>
        <v/>
      </c>
      <c r="H247" s="3">
        <f>XLOOKUP(D247,'Move Editor'!$B:$B,'Move Editor'!$F:$F,0)</f>
        <v/>
      </c>
      <c r="I247" s="3">
        <f>(INDEX('Type Chart'!$B:$S,MATCH(E247,'Type Chart'!$A:$A,0),MATCH(XLOOKUP('Boss Editor'!$C$4,'Pokemon Editor'!$A:$A,'Pokemon Editor'!$C:$C,""),'Type Chart'!$B$1:$S$1,0))*IF(XLOOKUP('Boss Editor'!$C$4,'Pokemon Editor'!$A:$A,'Pokemon Editor'!$D:$D,"")="",1,INDEX('Type Chart'!$B:$S,MATCH(E247,'Type Chart'!$A:$A,0),MATCH(XLOOKUP('Boss Editor'!$C$4,'Pokemon Editor'!$A:$A,'Pokemon Editor'!$D:$D,""),'Type Chart'!$B$1:$S$1,0))))</f>
        <v/>
      </c>
      <c r="J247" s="3">
        <f>IFERROR(LET(mtype,XLOOKUP($D247,'Move Editor'!$B:$B,'Move Editor'!$C:$C,""),cat,XLOOKUP($D247,'Move Editor'!$B:$B,'Move Editor'!$D:$D,""),pow,XLOOKUP($D247,'Move Editor'!$B:$B,'Move Editor'!$E:$E,0),acc,XLOOKUP($D247,'Move Editor'!$B:$B,'Move Editor'!$F:$F,100),atk,IF(cat="Physical",FLOOR((FLOOR(((2*XLOOKUP(XLOOKUP($Q247,'Threshold Summary'!$Y:$Y,'Threshold Summary'!$K:$K,""),'Pokemon Editor'!$A:$A,'Pokemon Editor'!$F:$F,0)+31+FLOOR(XLOOKUP($Q247,'Threshold Summary'!$Y:$Y,'Threshold Summary'!$P:$P,"")/4))*XLOOKUP($Q247,'Threshold Summary'!$Y:$Y,'Threshold Summary'!$L:$L,""))/100)+5)*XLOOKUP(XLOOKUP($Q247,'Threshold Summary'!$Y:$Y,'Threshold Summary'!$M:$M,""),'Nature Editor'!$A:$A,'Nature Editor'!$B:$B,1)),FLOOR((FLOOR(((2*XLOOKUP(XLOOKUP($Q247,'Threshold Summary'!$Y:$Y,'Threshold Summary'!$K:$K,""),'Pokemon Editor'!$A:$A,'Pokemon Editor'!$H:$H,0)+31+FLOOR(XLOOKUP($Q247,'Threshold Summary'!$Y:$Y,'Threshold Summary'!$R:$R,"")/4))*XLOOKUP($Q247,'Threshold Summary'!$Y:$Y,'Threshold Summary'!$L:$L,""))/100)+5)*XLOOKUP(XLOOKUP($Q247,'Threshold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Editor'!$E:$E,1))),stab,IF(OR(mtype=XLOOKUP(XLOOKUP($Q247,'Threshold Summary'!$Y:$Y,'Threshold Summary'!$K:$K,""),'Pokemon Editor'!$A:$A,'Pokemon Editor'!$C:$C,""),mtype=XLOOKUP(XLOOKUP($Q247,'Threshold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Chart'!$B$1:$S$1,0)))),base,IF(OR(cat="Status",pow=0),0,FLOOR(FLOOR(FLOOR((2*XLOOKUP($Q247,'Threshold Summary'!$Y:$Y,'Threshold Summary'!$L:$L,"")/5+2)*pow*atk/def)/50)+2)),modifier,stab*eff,FLOOR(base*modifier*0.85)),0)</f>
        <v/>
      </c>
      <c r="K247" s="3">
        <f>IFERROR(LET(mtype,XLOOKUP($D247,'Move Editor'!$B:$B,'Move Editor'!$C:$C,""),cat,XLOOKUP($D247,'Move Editor'!$B:$B,'Move Editor'!$D:$D,""),pow,XLOOKUP($D247,'Move Editor'!$B:$B,'Move Editor'!$E:$E,0),acc,XLOOKUP($D247,'Move Editor'!$B:$B,'Move Editor'!$F:$F,100),atk,IF(cat="Physical",FLOOR((FLOOR(((2*XLOOKUP(XLOOKUP($Q247,'Threshold Summary'!$Y:$Y,'Threshold Summary'!$K:$K,""),'Pokemon Editor'!$A:$A,'Pokemon Editor'!$F:$F,0)+31+FLOOR(XLOOKUP($Q247,'Threshold Summary'!$Y:$Y,'Threshold Summary'!$P:$P,"")/4))*XLOOKUP($Q247,'Threshold Summary'!$Y:$Y,'Threshold Summary'!$L:$L,""))/100)+5)*XLOOKUP(XLOOKUP($Q247,'Threshold Summary'!$Y:$Y,'Threshold Summary'!$M:$M,""),'Nature Editor'!$A:$A,'Nature Editor'!$B:$B,1)),FLOOR((FLOOR(((2*XLOOKUP(XLOOKUP($Q247,'Threshold Summary'!$Y:$Y,'Threshold Summary'!$K:$K,""),'Pokemon Editor'!$A:$A,'Pokemon Editor'!$H:$H,0)+31+FLOOR(XLOOKUP($Q247,'Threshold Summary'!$Y:$Y,'Threshold Summary'!$R:$R,"")/4))*XLOOKUP($Q247,'Threshold Summary'!$Y:$Y,'Threshold Summary'!$L:$L,""))/100)+5)*XLOOKUP(XLOOKUP($Q247,'Threshold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Editor'!$E:$E,1))),stab,IF(OR(mtype=XLOOKUP(XLOOKUP($Q247,'Threshold Summary'!$Y:$Y,'Threshold Summary'!$K:$K,""),'Pokemon Editor'!$A:$A,'Pokemon Editor'!$C:$C,""),mtype=XLOOKUP(XLOOKUP($Q247,'Threshold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Chart'!$B$1:$S$1,0)))),base,IF(OR(cat="Status",pow=0),0,FLOOR(FLOOR(FLOOR((2*XLOOKUP($Q247,'Threshold Summary'!$Y:$Y,'Threshold Summary'!$L:$L,"")/5+2)*pow*atk/def)/50)+2)),modifier,stab*eff,FLOOR(base*modifier)),0)</f>
        <v/>
      </c>
      <c r="L247" s="3">
        <f>IFERROR(LET(mtype,XLOOKUP($D247,'Move Editor'!$B:$B,'Move Editor'!$C:$C,""),cat,XLOOKUP($D247,'Move Editor'!$B:$B,'Move Editor'!$D:$D,""),pow,XLOOKUP($D247,'Move Editor'!$B:$B,'Move Editor'!$E:$E,0),acc,XLOOKUP($D247,'Move Editor'!$B:$B,'Move Editor'!$F:$F,100),atk,IF(cat="Physical",FLOOR((FLOOR(((2*XLOOKUP(XLOOKUP($Q247,'Threshold Summary'!$Y:$Y,'Threshold Summary'!$K:$K,""),'Pokemon Editor'!$A:$A,'Pokemon Editor'!$F:$F,0)+31+FLOOR(XLOOKUP($Q247,'Threshold Summary'!$Y:$Y,'Threshold Summary'!$P:$P,"")/4))*XLOOKUP($Q247,'Threshold Summary'!$Y:$Y,'Threshold Summary'!$L:$L,""))/100)+5)*XLOOKUP(XLOOKUP($Q247,'Threshold Summary'!$Y:$Y,'Threshold Summary'!$M:$M,""),'Nature Editor'!$A:$A,'Nature Editor'!$B:$B,1)),FLOOR((FLOOR(((2*XLOOKUP(XLOOKUP($Q247,'Threshold Summary'!$Y:$Y,'Threshold Summary'!$K:$K,""),'Pokemon Editor'!$A:$A,'Pokemon Editor'!$H:$H,0)+31+FLOOR(XLOOKUP($Q247,'Threshold Summary'!$Y:$Y,'Threshold Summary'!$R:$R,"")/4))*XLOOKUP($Q247,'Threshold Summary'!$Y:$Y,'Threshold Summary'!$L:$L,""))/100)+5)*XLOOKUP(XLOOKUP($Q247,'Threshold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Editor'!$E:$E,1))),stab,IF(OR(mtype=XLOOKUP(XLOOKUP($Q247,'Threshold Summary'!$Y:$Y,'Threshold Summary'!$K:$K,""),'Pokemon Editor'!$A:$A,'Pokemon Editor'!$C:$C,""),mtype=XLOOKUP(XLOOKUP($Q247,'Threshold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Chart'!$B$1:$S$1,0)))),base,IF(OR(cat="Status",pow=0),0,FLOOR(FLOOR(FLOOR((2*XLOOKUP($Q247,'Threshold Summary'!$Y:$Y,'Threshold Summary'!$L:$L,"")/5+2)*pow*atk/def)/50)+2)),modifier,stab*eff,AVERAGE(ARRAYFORMULA(FLOOR(base*modifier*SEQUENCE(16,1,85,1)/100)))),0)</f>
        <v/>
      </c>
      <c r="M247" s="3">
        <f>IFERROR(LET(mtype,XLOOKUP($D247,'Move Editor'!$B:$B,'Move Editor'!$C:$C,""),cat,XLOOKUP($D247,'Move Editor'!$B:$B,'Move Editor'!$D:$D,""),pow,XLOOKUP($D247,'Move Editor'!$B:$B,'Move Editor'!$E:$E,0),acc,XLOOKUP($D247,'Move Editor'!$B:$B,'Move Editor'!$F:$F,100),atk,IF(cat="Physical",FLOOR((FLOOR(((2*XLOOKUP(XLOOKUP($Q247,'Threshold Summary'!$Y:$Y,'Threshold Summary'!$K:$K,""),'Pokemon Editor'!$A:$A,'Pokemon Editor'!$F:$F,0)+31+FLOOR(XLOOKUP($Q247,'Threshold Summary'!$Y:$Y,'Threshold Summary'!$P:$P,"")/4))*XLOOKUP($Q247,'Threshold Summary'!$Y:$Y,'Threshold Summary'!$L:$L,""))/100)+5)*XLOOKUP(XLOOKUP($Q247,'Threshold Summary'!$Y:$Y,'Threshold Summary'!$M:$M,""),'Nature Editor'!$A:$A,'Nature Editor'!$B:$B,1)),FLOOR((FLOOR(((2*XLOOKUP(XLOOKUP($Q247,'Threshold Summary'!$Y:$Y,'Threshold Summary'!$K:$K,""),'Pokemon Editor'!$A:$A,'Pokemon Editor'!$H:$H,0)+31+FLOOR(XLOOKUP($Q247,'Threshold Summary'!$Y:$Y,'Threshold Summary'!$R:$R,"")/4))*XLOOKUP($Q247,'Threshold Summary'!$Y:$Y,'Threshold Summary'!$L:$L,""))/100)+5)*XLOOKUP(XLOOKUP($Q247,'Threshold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Editor'!$E:$E,1))),stab,IF(OR(mtype=XLOOKUP(XLOOKUP($Q247,'Threshold Summary'!$Y:$Y,'Threshold Summary'!$K:$K,""),'Pokemon Editor'!$A:$A,'Pokemon Editor'!$C:$C,""),mtype=XLOOKUP(XLOOKUP($Q247,'Threshold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Chart'!$B$1:$S$1,0)))),base,IF(OR(cat="Status",pow=0),0,FLOOR(FLOOR(FLOOR((2*XLOOKUP($Q247,'Threshold Summary'!$Y:$Y,'Threshold Summary'!$L:$L,"")/5+2)*pow*atk/def)/50)+2)),modifier,stab*eff,AVERAGE(ARRAYFORMULA(FLOOR(base*modifier*SEQUENCE(16,1,85,1)/100)))*MIN(1,acc/100)),0)</f>
        <v/>
      </c>
      <c r="N247" s="4">
        <f>IFERROR(LET(mtype,XLOOKUP($D247,'Move Editor'!$B:$B,'Move Editor'!$C:$C,""),cat,XLOOKUP($D247,'Move Editor'!$B:$B,'Move Editor'!$D:$D,""),pow,XLOOKUP($D247,'Move Editor'!$B:$B,'Move Editor'!$E:$E,0),acc,XLOOKUP($D247,'Move Editor'!$B:$B,'Move Editor'!$F:$F,100),atk,IF(cat="Physical",FLOOR((FLOOR(((2*XLOOKUP(XLOOKUP($Q247,'Threshold Summary'!$Y:$Y,'Threshold Summary'!$K:$K,""),'Pokemon Editor'!$A:$A,'Pokemon Editor'!$F:$F,0)+31+FLOOR(XLOOKUP($Q247,'Threshold Summary'!$Y:$Y,'Threshold Summary'!$P:$P,"")/4))*XLOOKUP($Q247,'Threshold Summary'!$Y:$Y,'Threshold Summary'!$L:$L,""))/100)+5)*XLOOKUP(XLOOKUP($Q247,'Threshold Summary'!$Y:$Y,'Threshold Summary'!$M:$M,""),'Nature Editor'!$A:$A,'Nature Editor'!$B:$B,1)),FLOOR((FLOOR(((2*XLOOKUP(XLOOKUP($Q247,'Threshold Summary'!$Y:$Y,'Threshold Summary'!$K:$K,""),'Pokemon Editor'!$A:$A,'Pokemon Editor'!$H:$H,0)+31+FLOOR(XLOOKUP($Q247,'Threshold Summary'!$Y:$Y,'Threshold Summary'!$R:$R,"")/4))*XLOOKUP($Q247,'Threshold Summary'!$Y:$Y,'Threshold Summary'!$L:$L,""))/100)+5)*XLOOKUP(XLOOKUP($Q247,'Threshold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Editor'!$E:$E,1))),stab,IF(OR(mtype=XLOOKUP(XLOOKUP($Q247,'Threshold Summary'!$Y:$Y,'Threshold Summary'!$K:$K,""),'Pokemon Editor'!$A:$A,'Pokemon Editor'!$C:$C,""),mtype=XLOOKUP(XLOOKUP($Q247,'Threshold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Chart'!$B$1:$S$1,0)))),base,IF(OR(cat="Status",pow=0),0,FLOOR(FLOOR(FLOOR((2*XLOOKUP($Q247,'Threshold Summary'!$Y:$Y,'Threshold Summary'!$L:$L,"")/5+2)*pow*atk/def)/50)+2)),modifier,stab*eff,AVERAGE(ARRAYFORMULA(FLOOR(base*modifier*SEQUENCE(16,1,85,1)/100)))/(FLOOR(((2*XLOOKUP('Boss Editor'!$C$4,'Pokemon Editor'!$A:$A,'Pokemon Editor'!$E:$E,0)+31+FLOOR('Boss Editor'!$G$4/4))*'Boss Editor'!$D$4)/100)+'Boss Editor'!$D$4+10)),0)</f>
        <v/>
      </c>
      <c r="O247" s="3">
        <f>IF(N247&gt;=1,"OHKO",IF(N247&gt;=0.5,"2HKO",IF(N247&gt;=0.333,"3HKO",IF(N247&gt;=0.25,"4HKO","5HKO+"))))</f>
        <v/>
      </c>
      <c r="P247" s="3" t="inlineStr">
        <is>
          <t>Live from editable databases</t>
        </is>
      </c>
      <c r="Q247" s="3" t="inlineStr">
        <is>
          <t>SPECIES_RALTS</t>
        </is>
      </c>
      <c r="R247" s="3" t="n">
        <v>22</v>
      </c>
    </row>
    <row r="248">
      <c r="A248" s="3">
        <f>XLOOKUP($Q248,'Threshold Summary'!$Y:$Y,'Threshold Summary'!$A:$A,"")</f>
        <v/>
      </c>
      <c r="B248" s="3">
        <f>XLOOKUP($Q248,'Threshold Summary'!$Y:$Y,'Threshold Summary'!$M:$M,"")</f>
        <v/>
      </c>
      <c r="C248" s="3">
        <f>XLOOKUP($Q248,'Threshold Summary'!$Y:$Y,'Threshold Summary'!$N:$N,"")</f>
        <v/>
      </c>
      <c r="D248" s="3">
        <f>IFERROR(INDEX(FILTER('Learnset Editor'!$D$2:$D,'Learnset Editor'!$A$2:$A=XLOOKUP($Q248,'Threshold Summary'!$Y:$Y,'Threshold Summary'!$K:$K,""),'Learnset Editor'!$C$2:$C&lt;=XLOOKUP($Q248,'Threshold Summary'!$Y:$Y,'Threshold Summary'!$L:$L,"")),$R248),"")</f>
        <v/>
      </c>
      <c r="E248" s="3">
        <f>XLOOKUP(D248,'Move Editor'!$B:$B,'Move Editor'!$C:$C,"")</f>
        <v/>
      </c>
      <c r="F248" s="3">
        <f>XLOOKUP(D248,'Move Editor'!$B:$B,'Move Editor'!$D:$D,"")</f>
        <v/>
      </c>
      <c r="G248" s="3">
        <f>XLOOKUP(D248,'Move Editor'!$B:$B,'Move Editor'!$E:$E,0)</f>
        <v/>
      </c>
      <c r="H248" s="3">
        <f>XLOOKUP(D248,'Move Editor'!$B:$B,'Move Editor'!$F:$F,0)</f>
        <v/>
      </c>
      <c r="I248" s="3">
        <f>(INDEX('Type Chart'!$B:$S,MATCH(E248,'Type Chart'!$A:$A,0),MATCH(XLOOKUP('Boss Editor'!$C$4,'Pokemon Editor'!$A:$A,'Pokemon Editor'!$C:$C,""),'Type Chart'!$B$1:$S$1,0))*IF(XLOOKUP('Boss Editor'!$C$4,'Pokemon Editor'!$A:$A,'Pokemon Editor'!$D:$D,"")="",1,INDEX('Type Chart'!$B:$S,MATCH(E248,'Type Chart'!$A:$A,0),MATCH(XLOOKUP('Boss Editor'!$C$4,'Pokemon Editor'!$A:$A,'Pokemon Editor'!$D:$D,""),'Type Chart'!$B$1:$S$1,0))))</f>
        <v/>
      </c>
      <c r="J248" s="3">
        <f>IFERROR(LET(mtype,XLOOKUP($D248,'Move Editor'!$B:$B,'Move Editor'!$C:$C,""),cat,XLOOKUP($D248,'Move Editor'!$B:$B,'Move Editor'!$D:$D,""),pow,XLOOKUP($D248,'Move Editor'!$B:$B,'Move Editor'!$E:$E,0),acc,XLOOKUP($D248,'Move Editor'!$B:$B,'Move Editor'!$F:$F,100),atk,IF(cat="Physical",FLOOR((FLOOR(((2*XLOOKUP(XLOOKUP($Q248,'Threshold Summary'!$Y:$Y,'Threshold Summary'!$K:$K,""),'Pokemon Editor'!$A:$A,'Pokemon Editor'!$F:$F,0)+31+FLOOR(XLOOKUP($Q248,'Threshold Summary'!$Y:$Y,'Threshold Summary'!$P:$P,"")/4))*XLOOKUP($Q248,'Threshold Summary'!$Y:$Y,'Threshold Summary'!$L:$L,""))/100)+5)*XLOOKUP(XLOOKUP($Q248,'Threshold Summary'!$Y:$Y,'Threshold Summary'!$M:$M,""),'Nature Editor'!$A:$A,'Nature Editor'!$B:$B,1)),FLOOR((FLOOR(((2*XLOOKUP(XLOOKUP($Q248,'Threshold Summary'!$Y:$Y,'Threshold Summary'!$K:$K,""),'Pokemon Editor'!$A:$A,'Pokemon Editor'!$H:$H,0)+31+FLOOR(XLOOKUP($Q248,'Threshold Summary'!$Y:$Y,'Threshold Summary'!$R:$R,"")/4))*XLOOKUP($Q248,'Threshold Summary'!$Y:$Y,'Threshold Summary'!$L:$L,""))/100)+5)*XLOOKUP(XLOOKUP($Q248,'Threshold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Editor'!$E:$E,1))),stab,IF(OR(mtype=XLOOKUP(XLOOKUP($Q248,'Threshold Summary'!$Y:$Y,'Threshold Summary'!$K:$K,""),'Pokemon Editor'!$A:$A,'Pokemon Editor'!$C:$C,""),mtype=XLOOKUP(XLOOKUP($Q248,'Threshold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Chart'!$B$1:$S$1,0)))),base,IF(OR(cat="Status",pow=0),0,FLOOR(FLOOR(FLOOR((2*XLOOKUP($Q248,'Threshold Summary'!$Y:$Y,'Threshold Summary'!$L:$L,"")/5+2)*pow*atk/def)/50)+2)),modifier,stab*eff,FLOOR(base*modifier*0.85)),0)</f>
        <v/>
      </c>
      <c r="K248" s="3">
        <f>IFERROR(LET(mtype,XLOOKUP($D248,'Move Editor'!$B:$B,'Move Editor'!$C:$C,""),cat,XLOOKUP($D248,'Move Editor'!$B:$B,'Move Editor'!$D:$D,""),pow,XLOOKUP($D248,'Move Editor'!$B:$B,'Move Editor'!$E:$E,0),acc,XLOOKUP($D248,'Move Editor'!$B:$B,'Move Editor'!$F:$F,100),atk,IF(cat="Physical",FLOOR((FLOOR(((2*XLOOKUP(XLOOKUP($Q248,'Threshold Summary'!$Y:$Y,'Threshold Summary'!$K:$K,""),'Pokemon Editor'!$A:$A,'Pokemon Editor'!$F:$F,0)+31+FLOOR(XLOOKUP($Q248,'Threshold Summary'!$Y:$Y,'Threshold Summary'!$P:$P,"")/4))*XLOOKUP($Q248,'Threshold Summary'!$Y:$Y,'Threshold Summary'!$L:$L,""))/100)+5)*XLOOKUP(XLOOKUP($Q248,'Threshold Summary'!$Y:$Y,'Threshold Summary'!$M:$M,""),'Nature Editor'!$A:$A,'Nature Editor'!$B:$B,1)),FLOOR((FLOOR(((2*XLOOKUP(XLOOKUP($Q248,'Threshold Summary'!$Y:$Y,'Threshold Summary'!$K:$K,""),'Pokemon Editor'!$A:$A,'Pokemon Editor'!$H:$H,0)+31+FLOOR(XLOOKUP($Q248,'Threshold Summary'!$Y:$Y,'Threshold Summary'!$R:$R,"")/4))*XLOOKUP($Q248,'Threshold Summary'!$Y:$Y,'Threshold Summary'!$L:$L,""))/100)+5)*XLOOKUP(XLOOKUP($Q248,'Threshold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Editor'!$E:$E,1))),stab,IF(OR(mtype=XLOOKUP(XLOOKUP($Q248,'Threshold Summary'!$Y:$Y,'Threshold Summary'!$K:$K,""),'Pokemon Editor'!$A:$A,'Pokemon Editor'!$C:$C,""),mtype=XLOOKUP(XLOOKUP($Q248,'Threshold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Chart'!$B$1:$S$1,0)))),base,IF(OR(cat="Status",pow=0),0,FLOOR(FLOOR(FLOOR((2*XLOOKUP($Q248,'Threshold Summary'!$Y:$Y,'Threshold Summary'!$L:$L,"")/5+2)*pow*atk/def)/50)+2)),modifier,stab*eff,FLOOR(base*modifier)),0)</f>
        <v/>
      </c>
      <c r="L248" s="3">
        <f>IFERROR(LET(mtype,XLOOKUP($D248,'Move Editor'!$B:$B,'Move Editor'!$C:$C,""),cat,XLOOKUP($D248,'Move Editor'!$B:$B,'Move Editor'!$D:$D,""),pow,XLOOKUP($D248,'Move Editor'!$B:$B,'Move Editor'!$E:$E,0),acc,XLOOKUP($D248,'Move Editor'!$B:$B,'Move Editor'!$F:$F,100),atk,IF(cat="Physical",FLOOR((FLOOR(((2*XLOOKUP(XLOOKUP($Q248,'Threshold Summary'!$Y:$Y,'Threshold Summary'!$K:$K,""),'Pokemon Editor'!$A:$A,'Pokemon Editor'!$F:$F,0)+31+FLOOR(XLOOKUP($Q248,'Threshold Summary'!$Y:$Y,'Threshold Summary'!$P:$P,"")/4))*XLOOKUP($Q248,'Threshold Summary'!$Y:$Y,'Threshold Summary'!$L:$L,""))/100)+5)*XLOOKUP(XLOOKUP($Q248,'Threshold Summary'!$Y:$Y,'Threshold Summary'!$M:$M,""),'Nature Editor'!$A:$A,'Nature Editor'!$B:$B,1)),FLOOR((FLOOR(((2*XLOOKUP(XLOOKUP($Q248,'Threshold Summary'!$Y:$Y,'Threshold Summary'!$K:$K,""),'Pokemon Editor'!$A:$A,'Pokemon Editor'!$H:$H,0)+31+FLOOR(XLOOKUP($Q248,'Threshold Summary'!$Y:$Y,'Threshold Summary'!$R:$R,"")/4))*XLOOKUP($Q248,'Threshold Summary'!$Y:$Y,'Threshold Summary'!$L:$L,""))/100)+5)*XLOOKUP(XLOOKUP($Q248,'Threshold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Editor'!$E:$E,1))),stab,IF(OR(mtype=XLOOKUP(XLOOKUP($Q248,'Threshold Summary'!$Y:$Y,'Threshold Summary'!$K:$K,""),'Pokemon Editor'!$A:$A,'Pokemon Editor'!$C:$C,""),mtype=XLOOKUP(XLOOKUP($Q248,'Threshold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Chart'!$B$1:$S$1,0)))),base,IF(OR(cat="Status",pow=0),0,FLOOR(FLOOR(FLOOR((2*XLOOKUP($Q248,'Threshold Summary'!$Y:$Y,'Threshold Summary'!$L:$L,"")/5+2)*pow*atk/def)/50)+2)),modifier,stab*eff,AVERAGE(ARRAYFORMULA(FLOOR(base*modifier*SEQUENCE(16,1,85,1)/100)))),0)</f>
        <v/>
      </c>
      <c r="M248" s="3">
        <f>IFERROR(LET(mtype,XLOOKUP($D248,'Move Editor'!$B:$B,'Move Editor'!$C:$C,""),cat,XLOOKUP($D248,'Move Editor'!$B:$B,'Move Editor'!$D:$D,""),pow,XLOOKUP($D248,'Move Editor'!$B:$B,'Move Editor'!$E:$E,0),acc,XLOOKUP($D248,'Move Editor'!$B:$B,'Move Editor'!$F:$F,100),atk,IF(cat="Physical",FLOOR((FLOOR(((2*XLOOKUP(XLOOKUP($Q248,'Threshold Summary'!$Y:$Y,'Threshold Summary'!$K:$K,""),'Pokemon Editor'!$A:$A,'Pokemon Editor'!$F:$F,0)+31+FLOOR(XLOOKUP($Q248,'Threshold Summary'!$Y:$Y,'Threshold Summary'!$P:$P,"")/4))*XLOOKUP($Q248,'Threshold Summary'!$Y:$Y,'Threshold Summary'!$L:$L,""))/100)+5)*XLOOKUP(XLOOKUP($Q248,'Threshold Summary'!$Y:$Y,'Threshold Summary'!$M:$M,""),'Nature Editor'!$A:$A,'Nature Editor'!$B:$B,1)),FLOOR((FLOOR(((2*XLOOKUP(XLOOKUP($Q248,'Threshold Summary'!$Y:$Y,'Threshold Summary'!$K:$K,""),'Pokemon Editor'!$A:$A,'Pokemon Editor'!$H:$H,0)+31+FLOOR(XLOOKUP($Q248,'Threshold Summary'!$Y:$Y,'Threshold Summary'!$R:$R,"")/4))*XLOOKUP($Q248,'Threshold Summary'!$Y:$Y,'Threshold Summary'!$L:$L,""))/100)+5)*XLOOKUP(XLOOKUP($Q248,'Threshold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Editor'!$E:$E,1))),stab,IF(OR(mtype=XLOOKUP(XLOOKUP($Q248,'Threshold Summary'!$Y:$Y,'Threshold Summary'!$K:$K,""),'Pokemon Editor'!$A:$A,'Pokemon Editor'!$C:$C,""),mtype=XLOOKUP(XLOOKUP($Q248,'Threshold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Chart'!$B$1:$S$1,0)))),base,IF(OR(cat="Status",pow=0),0,FLOOR(FLOOR(FLOOR((2*XLOOKUP($Q248,'Threshold Summary'!$Y:$Y,'Threshold Summary'!$L:$L,"")/5+2)*pow*atk/def)/50)+2)),modifier,stab*eff,AVERAGE(ARRAYFORMULA(FLOOR(base*modifier*SEQUENCE(16,1,85,1)/100)))*MIN(1,acc/100)),0)</f>
        <v/>
      </c>
      <c r="N248" s="4">
        <f>IFERROR(LET(mtype,XLOOKUP($D248,'Move Editor'!$B:$B,'Move Editor'!$C:$C,""),cat,XLOOKUP($D248,'Move Editor'!$B:$B,'Move Editor'!$D:$D,""),pow,XLOOKUP($D248,'Move Editor'!$B:$B,'Move Editor'!$E:$E,0),acc,XLOOKUP($D248,'Move Editor'!$B:$B,'Move Editor'!$F:$F,100),atk,IF(cat="Physical",FLOOR((FLOOR(((2*XLOOKUP(XLOOKUP($Q248,'Threshold Summary'!$Y:$Y,'Threshold Summary'!$K:$K,""),'Pokemon Editor'!$A:$A,'Pokemon Editor'!$F:$F,0)+31+FLOOR(XLOOKUP($Q248,'Threshold Summary'!$Y:$Y,'Threshold Summary'!$P:$P,"")/4))*XLOOKUP($Q248,'Threshold Summary'!$Y:$Y,'Threshold Summary'!$L:$L,""))/100)+5)*XLOOKUP(XLOOKUP($Q248,'Threshold Summary'!$Y:$Y,'Threshold Summary'!$M:$M,""),'Nature Editor'!$A:$A,'Nature Editor'!$B:$B,1)),FLOOR((FLOOR(((2*XLOOKUP(XLOOKUP($Q248,'Threshold Summary'!$Y:$Y,'Threshold Summary'!$K:$K,""),'Pokemon Editor'!$A:$A,'Pokemon Editor'!$H:$H,0)+31+FLOOR(XLOOKUP($Q248,'Threshold Summary'!$Y:$Y,'Threshold Summary'!$R:$R,"")/4))*XLOOKUP($Q248,'Threshold Summary'!$Y:$Y,'Threshold Summary'!$L:$L,""))/100)+5)*XLOOKUP(XLOOKUP($Q248,'Threshold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Editor'!$E:$E,1))),stab,IF(OR(mtype=XLOOKUP(XLOOKUP($Q248,'Threshold Summary'!$Y:$Y,'Threshold Summary'!$K:$K,""),'Pokemon Editor'!$A:$A,'Pokemon Editor'!$C:$C,""),mtype=XLOOKUP(XLOOKUP($Q248,'Threshold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Chart'!$B$1:$S$1,0)))),base,IF(OR(cat="Status",pow=0),0,FLOOR(FLOOR(FLOOR((2*XLOOKUP($Q248,'Threshold Summary'!$Y:$Y,'Threshold Summary'!$L:$L,"")/5+2)*pow*atk/def)/50)+2)),modifier,stab*eff,AVERAGE(ARRAYFORMULA(FLOOR(base*modifier*SEQUENCE(16,1,85,1)/100)))/(FLOOR(((2*XLOOKUP('Boss Editor'!$C$4,'Pokemon Editor'!$A:$A,'Pokemon Editor'!$E:$E,0)+31+FLOOR('Boss Editor'!$G$4/4))*'Boss Editor'!$D$4)/100)+'Boss Editor'!$D$4+10)),0)</f>
        <v/>
      </c>
      <c r="O248" s="3">
        <f>IF(N248&gt;=1,"OHKO",IF(N248&gt;=0.5,"2HKO",IF(N248&gt;=0.333,"3HKO",IF(N248&gt;=0.25,"4HKO","5HKO+"))))</f>
        <v/>
      </c>
      <c r="P248" s="3" t="inlineStr">
        <is>
          <t>Live from editable databases</t>
        </is>
      </c>
      <c r="Q248" s="3" t="inlineStr">
        <is>
          <t>SPECIES_RALTS</t>
        </is>
      </c>
      <c r="R248" s="3" t="n">
        <v>23</v>
      </c>
    </row>
    <row r="249">
      <c r="A249" s="3">
        <f>XLOOKUP($Q249,'Threshold Summary'!$Y:$Y,'Threshold Summary'!$A:$A,"")</f>
        <v/>
      </c>
      <c r="B249" s="3">
        <f>XLOOKUP($Q249,'Threshold Summary'!$Y:$Y,'Threshold Summary'!$M:$M,"")</f>
        <v/>
      </c>
      <c r="C249" s="3">
        <f>XLOOKUP($Q249,'Threshold Summary'!$Y:$Y,'Threshold Summary'!$N:$N,"")</f>
        <v/>
      </c>
      <c r="D249" s="3">
        <f>IFERROR(INDEX(FILTER('Learnset Editor'!$D$2:$D,'Learnset Editor'!$A$2:$A=XLOOKUP($Q249,'Threshold Summary'!$Y:$Y,'Threshold Summary'!$K:$K,""),'Learnset Editor'!$C$2:$C&lt;=XLOOKUP($Q249,'Threshold Summary'!$Y:$Y,'Threshold Summary'!$L:$L,"")),$R249),"")</f>
        <v/>
      </c>
      <c r="E249" s="3">
        <f>XLOOKUP(D249,'Move Editor'!$B:$B,'Move Editor'!$C:$C,"")</f>
        <v/>
      </c>
      <c r="F249" s="3">
        <f>XLOOKUP(D249,'Move Editor'!$B:$B,'Move Editor'!$D:$D,"")</f>
        <v/>
      </c>
      <c r="G249" s="3">
        <f>XLOOKUP(D249,'Move Editor'!$B:$B,'Move Editor'!$E:$E,0)</f>
        <v/>
      </c>
      <c r="H249" s="3">
        <f>XLOOKUP(D249,'Move Editor'!$B:$B,'Move Editor'!$F:$F,0)</f>
        <v/>
      </c>
      <c r="I249" s="3">
        <f>(INDEX('Type Chart'!$B:$S,MATCH(E249,'Type Chart'!$A:$A,0),MATCH(XLOOKUP('Boss Editor'!$C$4,'Pokemon Editor'!$A:$A,'Pokemon Editor'!$C:$C,""),'Type Chart'!$B$1:$S$1,0))*IF(XLOOKUP('Boss Editor'!$C$4,'Pokemon Editor'!$A:$A,'Pokemon Editor'!$D:$D,"")="",1,INDEX('Type Chart'!$B:$S,MATCH(E249,'Type Chart'!$A:$A,0),MATCH(XLOOKUP('Boss Editor'!$C$4,'Pokemon Editor'!$A:$A,'Pokemon Editor'!$D:$D,""),'Type Chart'!$B$1:$S$1,0))))</f>
        <v/>
      </c>
      <c r="J249" s="3">
        <f>IFERROR(LET(mtype,XLOOKUP($D249,'Move Editor'!$B:$B,'Move Editor'!$C:$C,""),cat,XLOOKUP($D249,'Move Editor'!$B:$B,'Move Editor'!$D:$D,""),pow,XLOOKUP($D249,'Move Editor'!$B:$B,'Move Editor'!$E:$E,0),acc,XLOOKUP($D249,'Move Editor'!$B:$B,'Move Editor'!$F:$F,100),atk,IF(cat="Physical",FLOOR((FLOOR(((2*XLOOKUP(XLOOKUP($Q249,'Threshold Summary'!$Y:$Y,'Threshold Summary'!$K:$K,""),'Pokemon Editor'!$A:$A,'Pokemon Editor'!$F:$F,0)+31+FLOOR(XLOOKUP($Q249,'Threshold Summary'!$Y:$Y,'Threshold Summary'!$P:$P,"")/4))*XLOOKUP($Q249,'Threshold Summary'!$Y:$Y,'Threshold Summary'!$L:$L,""))/100)+5)*XLOOKUP(XLOOKUP($Q249,'Threshold Summary'!$Y:$Y,'Threshold Summary'!$M:$M,""),'Nature Editor'!$A:$A,'Nature Editor'!$B:$B,1)),FLOOR((FLOOR(((2*XLOOKUP(XLOOKUP($Q249,'Threshold Summary'!$Y:$Y,'Threshold Summary'!$K:$K,""),'Pokemon Editor'!$A:$A,'Pokemon Editor'!$H:$H,0)+31+FLOOR(XLOOKUP($Q249,'Threshold Summary'!$Y:$Y,'Threshold Summary'!$R:$R,"")/4))*XLOOKUP($Q249,'Threshold Summary'!$Y:$Y,'Threshold Summary'!$L:$L,""))/100)+5)*XLOOKUP(XLOOKUP($Q249,'Threshold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Editor'!$E:$E,1))),stab,IF(OR(mtype=XLOOKUP(XLOOKUP($Q249,'Threshold Summary'!$Y:$Y,'Threshold Summary'!$K:$K,""),'Pokemon Editor'!$A:$A,'Pokemon Editor'!$C:$C,""),mtype=XLOOKUP(XLOOKUP($Q249,'Threshold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Chart'!$B$1:$S$1,0)))),base,IF(OR(cat="Status",pow=0),0,FLOOR(FLOOR(FLOOR((2*XLOOKUP($Q249,'Threshold Summary'!$Y:$Y,'Threshold Summary'!$L:$L,"")/5+2)*pow*atk/def)/50)+2)),modifier,stab*eff,FLOOR(base*modifier*0.85)),0)</f>
        <v/>
      </c>
      <c r="K249" s="3">
        <f>IFERROR(LET(mtype,XLOOKUP($D249,'Move Editor'!$B:$B,'Move Editor'!$C:$C,""),cat,XLOOKUP($D249,'Move Editor'!$B:$B,'Move Editor'!$D:$D,""),pow,XLOOKUP($D249,'Move Editor'!$B:$B,'Move Editor'!$E:$E,0),acc,XLOOKUP($D249,'Move Editor'!$B:$B,'Move Editor'!$F:$F,100),atk,IF(cat="Physical",FLOOR((FLOOR(((2*XLOOKUP(XLOOKUP($Q249,'Threshold Summary'!$Y:$Y,'Threshold Summary'!$K:$K,""),'Pokemon Editor'!$A:$A,'Pokemon Editor'!$F:$F,0)+31+FLOOR(XLOOKUP($Q249,'Threshold Summary'!$Y:$Y,'Threshold Summary'!$P:$P,"")/4))*XLOOKUP($Q249,'Threshold Summary'!$Y:$Y,'Threshold Summary'!$L:$L,""))/100)+5)*XLOOKUP(XLOOKUP($Q249,'Threshold Summary'!$Y:$Y,'Threshold Summary'!$M:$M,""),'Nature Editor'!$A:$A,'Nature Editor'!$B:$B,1)),FLOOR((FLOOR(((2*XLOOKUP(XLOOKUP($Q249,'Threshold Summary'!$Y:$Y,'Threshold Summary'!$K:$K,""),'Pokemon Editor'!$A:$A,'Pokemon Editor'!$H:$H,0)+31+FLOOR(XLOOKUP($Q249,'Threshold Summary'!$Y:$Y,'Threshold Summary'!$R:$R,"")/4))*XLOOKUP($Q249,'Threshold Summary'!$Y:$Y,'Threshold Summary'!$L:$L,""))/100)+5)*XLOOKUP(XLOOKUP($Q249,'Threshold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Editor'!$E:$E,1))),stab,IF(OR(mtype=XLOOKUP(XLOOKUP($Q249,'Threshold Summary'!$Y:$Y,'Threshold Summary'!$K:$K,""),'Pokemon Editor'!$A:$A,'Pokemon Editor'!$C:$C,""),mtype=XLOOKUP(XLOOKUP($Q249,'Threshold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Chart'!$B$1:$S$1,0)))),base,IF(OR(cat="Status",pow=0),0,FLOOR(FLOOR(FLOOR((2*XLOOKUP($Q249,'Threshold Summary'!$Y:$Y,'Threshold Summary'!$L:$L,"")/5+2)*pow*atk/def)/50)+2)),modifier,stab*eff,FLOOR(base*modifier)),0)</f>
        <v/>
      </c>
      <c r="L249" s="3">
        <f>IFERROR(LET(mtype,XLOOKUP($D249,'Move Editor'!$B:$B,'Move Editor'!$C:$C,""),cat,XLOOKUP($D249,'Move Editor'!$B:$B,'Move Editor'!$D:$D,""),pow,XLOOKUP($D249,'Move Editor'!$B:$B,'Move Editor'!$E:$E,0),acc,XLOOKUP($D249,'Move Editor'!$B:$B,'Move Editor'!$F:$F,100),atk,IF(cat="Physical",FLOOR((FLOOR(((2*XLOOKUP(XLOOKUP($Q249,'Threshold Summary'!$Y:$Y,'Threshold Summary'!$K:$K,""),'Pokemon Editor'!$A:$A,'Pokemon Editor'!$F:$F,0)+31+FLOOR(XLOOKUP($Q249,'Threshold Summary'!$Y:$Y,'Threshold Summary'!$P:$P,"")/4))*XLOOKUP($Q249,'Threshold Summary'!$Y:$Y,'Threshold Summary'!$L:$L,""))/100)+5)*XLOOKUP(XLOOKUP($Q249,'Threshold Summary'!$Y:$Y,'Threshold Summary'!$M:$M,""),'Nature Editor'!$A:$A,'Nature Editor'!$B:$B,1)),FLOOR((FLOOR(((2*XLOOKUP(XLOOKUP($Q249,'Threshold Summary'!$Y:$Y,'Threshold Summary'!$K:$K,""),'Pokemon Editor'!$A:$A,'Pokemon Editor'!$H:$H,0)+31+FLOOR(XLOOKUP($Q249,'Threshold Summary'!$Y:$Y,'Threshold Summary'!$R:$R,"")/4))*XLOOKUP($Q249,'Threshold Summary'!$Y:$Y,'Threshold Summary'!$L:$L,""))/100)+5)*XLOOKUP(XLOOKUP($Q249,'Threshold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Editor'!$E:$E,1))),stab,IF(OR(mtype=XLOOKUP(XLOOKUP($Q249,'Threshold Summary'!$Y:$Y,'Threshold Summary'!$K:$K,""),'Pokemon Editor'!$A:$A,'Pokemon Editor'!$C:$C,""),mtype=XLOOKUP(XLOOKUP($Q249,'Threshold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Chart'!$B$1:$S$1,0)))),base,IF(OR(cat="Status",pow=0),0,FLOOR(FLOOR(FLOOR((2*XLOOKUP($Q249,'Threshold Summary'!$Y:$Y,'Threshold Summary'!$L:$L,"")/5+2)*pow*atk/def)/50)+2)),modifier,stab*eff,AVERAGE(ARRAYFORMULA(FLOOR(base*modifier*SEQUENCE(16,1,85,1)/100)))),0)</f>
        <v/>
      </c>
      <c r="M249" s="3">
        <f>IFERROR(LET(mtype,XLOOKUP($D249,'Move Editor'!$B:$B,'Move Editor'!$C:$C,""),cat,XLOOKUP($D249,'Move Editor'!$B:$B,'Move Editor'!$D:$D,""),pow,XLOOKUP($D249,'Move Editor'!$B:$B,'Move Editor'!$E:$E,0),acc,XLOOKUP($D249,'Move Editor'!$B:$B,'Move Editor'!$F:$F,100),atk,IF(cat="Physical",FLOOR((FLOOR(((2*XLOOKUP(XLOOKUP($Q249,'Threshold Summary'!$Y:$Y,'Threshold Summary'!$K:$K,""),'Pokemon Editor'!$A:$A,'Pokemon Editor'!$F:$F,0)+31+FLOOR(XLOOKUP($Q249,'Threshold Summary'!$Y:$Y,'Threshold Summary'!$P:$P,"")/4))*XLOOKUP($Q249,'Threshold Summary'!$Y:$Y,'Threshold Summary'!$L:$L,""))/100)+5)*XLOOKUP(XLOOKUP($Q249,'Threshold Summary'!$Y:$Y,'Threshold Summary'!$M:$M,""),'Nature Editor'!$A:$A,'Nature Editor'!$B:$B,1)),FLOOR((FLOOR(((2*XLOOKUP(XLOOKUP($Q249,'Threshold Summary'!$Y:$Y,'Threshold Summary'!$K:$K,""),'Pokemon Editor'!$A:$A,'Pokemon Editor'!$H:$H,0)+31+FLOOR(XLOOKUP($Q249,'Threshold Summary'!$Y:$Y,'Threshold Summary'!$R:$R,"")/4))*XLOOKUP($Q249,'Threshold Summary'!$Y:$Y,'Threshold Summary'!$L:$L,""))/100)+5)*XLOOKUP(XLOOKUP($Q249,'Threshold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Editor'!$E:$E,1))),stab,IF(OR(mtype=XLOOKUP(XLOOKUP($Q249,'Threshold Summary'!$Y:$Y,'Threshold Summary'!$K:$K,""),'Pokemon Editor'!$A:$A,'Pokemon Editor'!$C:$C,""),mtype=XLOOKUP(XLOOKUP($Q249,'Threshold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Chart'!$B$1:$S$1,0)))),base,IF(OR(cat="Status",pow=0),0,FLOOR(FLOOR(FLOOR((2*XLOOKUP($Q249,'Threshold Summary'!$Y:$Y,'Threshold Summary'!$L:$L,"")/5+2)*pow*atk/def)/50)+2)),modifier,stab*eff,AVERAGE(ARRAYFORMULA(FLOOR(base*modifier*SEQUENCE(16,1,85,1)/100)))*MIN(1,acc/100)),0)</f>
        <v/>
      </c>
      <c r="N249" s="4">
        <f>IFERROR(LET(mtype,XLOOKUP($D249,'Move Editor'!$B:$B,'Move Editor'!$C:$C,""),cat,XLOOKUP($D249,'Move Editor'!$B:$B,'Move Editor'!$D:$D,""),pow,XLOOKUP($D249,'Move Editor'!$B:$B,'Move Editor'!$E:$E,0),acc,XLOOKUP($D249,'Move Editor'!$B:$B,'Move Editor'!$F:$F,100),atk,IF(cat="Physical",FLOOR((FLOOR(((2*XLOOKUP(XLOOKUP($Q249,'Threshold Summary'!$Y:$Y,'Threshold Summary'!$K:$K,""),'Pokemon Editor'!$A:$A,'Pokemon Editor'!$F:$F,0)+31+FLOOR(XLOOKUP($Q249,'Threshold Summary'!$Y:$Y,'Threshold Summary'!$P:$P,"")/4))*XLOOKUP($Q249,'Threshold Summary'!$Y:$Y,'Threshold Summary'!$L:$L,""))/100)+5)*XLOOKUP(XLOOKUP($Q249,'Threshold Summary'!$Y:$Y,'Threshold Summary'!$M:$M,""),'Nature Editor'!$A:$A,'Nature Editor'!$B:$B,1)),FLOOR((FLOOR(((2*XLOOKUP(XLOOKUP($Q249,'Threshold Summary'!$Y:$Y,'Threshold Summary'!$K:$K,""),'Pokemon Editor'!$A:$A,'Pokemon Editor'!$H:$H,0)+31+FLOOR(XLOOKUP($Q249,'Threshold Summary'!$Y:$Y,'Threshold Summary'!$R:$R,"")/4))*XLOOKUP($Q249,'Threshold Summary'!$Y:$Y,'Threshold Summary'!$L:$L,""))/100)+5)*XLOOKUP(XLOOKUP($Q249,'Threshold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Editor'!$E:$E,1))),stab,IF(OR(mtype=XLOOKUP(XLOOKUP($Q249,'Threshold Summary'!$Y:$Y,'Threshold Summary'!$K:$K,""),'Pokemon Editor'!$A:$A,'Pokemon Editor'!$C:$C,""),mtype=XLOOKUP(XLOOKUP($Q249,'Threshold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Chart'!$B$1:$S$1,0)))),base,IF(OR(cat="Status",pow=0),0,FLOOR(FLOOR(FLOOR((2*XLOOKUP($Q249,'Threshold Summary'!$Y:$Y,'Threshold Summary'!$L:$L,"")/5+2)*pow*atk/def)/50)+2)),modifier,stab*eff,AVERAGE(ARRAYFORMULA(FLOOR(base*modifier*SEQUENCE(16,1,85,1)/100)))/(FLOOR(((2*XLOOKUP('Boss Editor'!$C$4,'Pokemon Editor'!$A:$A,'Pokemon Editor'!$E:$E,0)+31+FLOOR('Boss Editor'!$G$4/4))*'Boss Editor'!$D$4)/100)+'Boss Editor'!$D$4+10)),0)</f>
        <v/>
      </c>
      <c r="O249" s="3">
        <f>IF(N249&gt;=1,"OHKO",IF(N249&gt;=0.5,"2HKO",IF(N249&gt;=0.333,"3HKO",IF(N249&gt;=0.25,"4HKO","5HKO+"))))</f>
        <v/>
      </c>
      <c r="P249" s="3" t="inlineStr">
        <is>
          <t>Live from editable databases</t>
        </is>
      </c>
      <c r="Q249" s="3" t="inlineStr">
        <is>
          <t>SPECIES_RALTS</t>
        </is>
      </c>
      <c r="R249" s="3" t="n">
        <v>24</v>
      </c>
    </row>
    <row r="250">
      <c r="A250" s="3">
        <f>XLOOKUP($Q250,'Threshold Summary'!$Y:$Y,'Threshold Summary'!$A:$A,"")</f>
        <v/>
      </c>
      <c r="B250" s="3">
        <f>XLOOKUP($Q250,'Threshold Summary'!$Y:$Y,'Threshold Summary'!$M:$M,"")</f>
        <v/>
      </c>
      <c r="C250" s="3">
        <f>XLOOKUP($Q250,'Threshold Summary'!$Y:$Y,'Threshold Summary'!$N:$N,"")</f>
        <v/>
      </c>
      <c r="D250" s="3">
        <f>IFERROR(INDEX(FILTER('Learnset Editor'!$D$2:$D,'Learnset Editor'!$A$2:$A=XLOOKUP($Q250,'Threshold Summary'!$Y:$Y,'Threshold Summary'!$K:$K,""),'Learnset Editor'!$C$2:$C&lt;=XLOOKUP($Q250,'Threshold Summary'!$Y:$Y,'Threshold Summary'!$L:$L,"")),$R250),"")</f>
        <v/>
      </c>
      <c r="E250" s="3">
        <f>XLOOKUP(D250,'Move Editor'!$B:$B,'Move Editor'!$C:$C,"")</f>
        <v/>
      </c>
      <c r="F250" s="3">
        <f>XLOOKUP(D250,'Move Editor'!$B:$B,'Move Editor'!$D:$D,"")</f>
        <v/>
      </c>
      <c r="G250" s="3">
        <f>XLOOKUP(D250,'Move Editor'!$B:$B,'Move Editor'!$E:$E,0)</f>
        <v/>
      </c>
      <c r="H250" s="3">
        <f>XLOOKUP(D250,'Move Editor'!$B:$B,'Move Editor'!$F:$F,0)</f>
        <v/>
      </c>
      <c r="I250" s="3">
        <f>(INDEX('Type Chart'!$B:$S,MATCH(E250,'Type Chart'!$A:$A,0),MATCH(XLOOKUP('Boss Editor'!$C$4,'Pokemon Editor'!$A:$A,'Pokemon Editor'!$C:$C,""),'Type Chart'!$B$1:$S$1,0))*IF(XLOOKUP('Boss Editor'!$C$4,'Pokemon Editor'!$A:$A,'Pokemon Editor'!$D:$D,"")="",1,INDEX('Type Chart'!$B:$S,MATCH(E250,'Type Chart'!$A:$A,0),MATCH(XLOOKUP('Boss Editor'!$C$4,'Pokemon Editor'!$A:$A,'Pokemon Editor'!$D:$D,""),'Type Chart'!$B$1:$S$1,0))))</f>
        <v/>
      </c>
      <c r="J250" s="3">
        <f>IFERROR(LET(mtype,XLOOKUP($D250,'Move Editor'!$B:$B,'Move Editor'!$C:$C,""),cat,XLOOKUP($D250,'Move Editor'!$B:$B,'Move Editor'!$D:$D,""),pow,XLOOKUP($D250,'Move Editor'!$B:$B,'Move Editor'!$E:$E,0),acc,XLOOKUP($D250,'Move Editor'!$B:$B,'Move Editor'!$F:$F,100),atk,IF(cat="Physical",FLOOR((FLOOR(((2*XLOOKUP(XLOOKUP($Q250,'Threshold Summary'!$Y:$Y,'Threshold Summary'!$K:$K,""),'Pokemon Editor'!$A:$A,'Pokemon Editor'!$F:$F,0)+31+FLOOR(XLOOKUP($Q250,'Threshold Summary'!$Y:$Y,'Threshold Summary'!$P:$P,"")/4))*XLOOKUP($Q250,'Threshold Summary'!$Y:$Y,'Threshold Summary'!$L:$L,""))/100)+5)*XLOOKUP(XLOOKUP($Q250,'Threshold Summary'!$Y:$Y,'Threshold Summary'!$M:$M,""),'Nature Editor'!$A:$A,'Nature Editor'!$B:$B,1)),FLOOR((FLOOR(((2*XLOOKUP(XLOOKUP($Q250,'Threshold Summary'!$Y:$Y,'Threshold Summary'!$K:$K,""),'Pokemon Editor'!$A:$A,'Pokemon Editor'!$H:$H,0)+31+FLOOR(XLOOKUP($Q250,'Threshold Summary'!$Y:$Y,'Threshold Summary'!$R:$R,"")/4))*XLOOKUP($Q250,'Threshold Summary'!$Y:$Y,'Threshold Summary'!$L:$L,""))/100)+5)*XLOOKUP(XLOOKUP($Q250,'Threshold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Editor'!$E:$E,1))),stab,IF(OR(mtype=XLOOKUP(XLOOKUP($Q250,'Threshold Summary'!$Y:$Y,'Threshold Summary'!$K:$K,""),'Pokemon Editor'!$A:$A,'Pokemon Editor'!$C:$C,""),mtype=XLOOKUP(XLOOKUP($Q250,'Threshold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Chart'!$B$1:$S$1,0)))),base,IF(OR(cat="Status",pow=0),0,FLOOR(FLOOR(FLOOR((2*XLOOKUP($Q250,'Threshold Summary'!$Y:$Y,'Threshold Summary'!$L:$L,"")/5+2)*pow*atk/def)/50)+2)),modifier,stab*eff,FLOOR(base*modifier*0.85)),0)</f>
        <v/>
      </c>
      <c r="K250" s="3">
        <f>IFERROR(LET(mtype,XLOOKUP($D250,'Move Editor'!$B:$B,'Move Editor'!$C:$C,""),cat,XLOOKUP($D250,'Move Editor'!$B:$B,'Move Editor'!$D:$D,""),pow,XLOOKUP($D250,'Move Editor'!$B:$B,'Move Editor'!$E:$E,0),acc,XLOOKUP($D250,'Move Editor'!$B:$B,'Move Editor'!$F:$F,100),atk,IF(cat="Physical",FLOOR((FLOOR(((2*XLOOKUP(XLOOKUP($Q250,'Threshold Summary'!$Y:$Y,'Threshold Summary'!$K:$K,""),'Pokemon Editor'!$A:$A,'Pokemon Editor'!$F:$F,0)+31+FLOOR(XLOOKUP($Q250,'Threshold Summary'!$Y:$Y,'Threshold Summary'!$P:$P,"")/4))*XLOOKUP($Q250,'Threshold Summary'!$Y:$Y,'Threshold Summary'!$L:$L,""))/100)+5)*XLOOKUP(XLOOKUP($Q250,'Threshold Summary'!$Y:$Y,'Threshold Summary'!$M:$M,""),'Nature Editor'!$A:$A,'Nature Editor'!$B:$B,1)),FLOOR((FLOOR(((2*XLOOKUP(XLOOKUP($Q250,'Threshold Summary'!$Y:$Y,'Threshold Summary'!$K:$K,""),'Pokemon Editor'!$A:$A,'Pokemon Editor'!$H:$H,0)+31+FLOOR(XLOOKUP($Q250,'Threshold Summary'!$Y:$Y,'Threshold Summary'!$R:$R,"")/4))*XLOOKUP($Q250,'Threshold Summary'!$Y:$Y,'Threshold Summary'!$L:$L,""))/100)+5)*XLOOKUP(XLOOKUP($Q250,'Threshold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Editor'!$E:$E,1))),stab,IF(OR(mtype=XLOOKUP(XLOOKUP($Q250,'Threshold Summary'!$Y:$Y,'Threshold Summary'!$K:$K,""),'Pokemon Editor'!$A:$A,'Pokemon Editor'!$C:$C,""),mtype=XLOOKUP(XLOOKUP($Q250,'Threshold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Chart'!$B$1:$S$1,0)))),base,IF(OR(cat="Status",pow=0),0,FLOOR(FLOOR(FLOOR((2*XLOOKUP($Q250,'Threshold Summary'!$Y:$Y,'Threshold Summary'!$L:$L,"")/5+2)*pow*atk/def)/50)+2)),modifier,stab*eff,FLOOR(base*modifier)),0)</f>
        <v/>
      </c>
      <c r="L250" s="3">
        <f>IFERROR(LET(mtype,XLOOKUP($D250,'Move Editor'!$B:$B,'Move Editor'!$C:$C,""),cat,XLOOKUP($D250,'Move Editor'!$B:$B,'Move Editor'!$D:$D,""),pow,XLOOKUP($D250,'Move Editor'!$B:$B,'Move Editor'!$E:$E,0),acc,XLOOKUP($D250,'Move Editor'!$B:$B,'Move Editor'!$F:$F,100),atk,IF(cat="Physical",FLOOR((FLOOR(((2*XLOOKUP(XLOOKUP($Q250,'Threshold Summary'!$Y:$Y,'Threshold Summary'!$K:$K,""),'Pokemon Editor'!$A:$A,'Pokemon Editor'!$F:$F,0)+31+FLOOR(XLOOKUP($Q250,'Threshold Summary'!$Y:$Y,'Threshold Summary'!$P:$P,"")/4))*XLOOKUP($Q250,'Threshold Summary'!$Y:$Y,'Threshold Summary'!$L:$L,""))/100)+5)*XLOOKUP(XLOOKUP($Q250,'Threshold Summary'!$Y:$Y,'Threshold Summary'!$M:$M,""),'Nature Editor'!$A:$A,'Nature Editor'!$B:$B,1)),FLOOR((FLOOR(((2*XLOOKUP(XLOOKUP($Q250,'Threshold Summary'!$Y:$Y,'Threshold Summary'!$K:$K,""),'Pokemon Editor'!$A:$A,'Pokemon Editor'!$H:$H,0)+31+FLOOR(XLOOKUP($Q250,'Threshold Summary'!$Y:$Y,'Threshold Summary'!$R:$R,"")/4))*XLOOKUP($Q250,'Threshold Summary'!$Y:$Y,'Threshold Summary'!$L:$L,""))/100)+5)*XLOOKUP(XLOOKUP($Q250,'Threshold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Editor'!$E:$E,1))),stab,IF(OR(mtype=XLOOKUP(XLOOKUP($Q250,'Threshold Summary'!$Y:$Y,'Threshold Summary'!$K:$K,""),'Pokemon Editor'!$A:$A,'Pokemon Editor'!$C:$C,""),mtype=XLOOKUP(XLOOKUP($Q250,'Threshold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Chart'!$B$1:$S$1,0)))),base,IF(OR(cat="Status",pow=0),0,FLOOR(FLOOR(FLOOR((2*XLOOKUP($Q250,'Threshold Summary'!$Y:$Y,'Threshold Summary'!$L:$L,"")/5+2)*pow*atk/def)/50)+2)),modifier,stab*eff,AVERAGE(ARRAYFORMULA(FLOOR(base*modifier*SEQUENCE(16,1,85,1)/100)))),0)</f>
        <v/>
      </c>
      <c r="M250" s="3">
        <f>IFERROR(LET(mtype,XLOOKUP($D250,'Move Editor'!$B:$B,'Move Editor'!$C:$C,""),cat,XLOOKUP($D250,'Move Editor'!$B:$B,'Move Editor'!$D:$D,""),pow,XLOOKUP($D250,'Move Editor'!$B:$B,'Move Editor'!$E:$E,0),acc,XLOOKUP($D250,'Move Editor'!$B:$B,'Move Editor'!$F:$F,100),atk,IF(cat="Physical",FLOOR((FLOOR(((2*XLOOKUP(XLOOKUP($Q250,'Threshold Summary'!$Y:$Y,'Threshold Summary'!$K:$K,""),'Pokemon Editor'!$A:$A,'Pokemon Editor'!$F:$F,0)+31+FLOOR(XLOOKUP($Q250,'Threshold Summary'!$Y:$Y,'Threshold Summary'!$P:$P,"")/4))*XLOOKUP($Q250,'Threshold Summary'!$Y:$Y,'Threshold Summary'!$L:$L,""))/100)+5)*XLOOKUP(XLOOKUP($Q250,'Threshold Summary'!$Y:$Y,'Threshold Summary'!$M:$M,""),'Nature Editor'!$A:$A,'Nature Editor'!$B:$B,1)),FLOOR((FLOOR(((2*XLOOKUP(XLOOKUP($Q250,'Threshold Summary'!$Y:$Y,'Threshold Summary'!$K:$K,""),'Pokemon Editor'!$A:$A,'Pokemon Editor'!$H:$H,0)+31+FLOOR(XLOOKUP($Q250,'Threshold Summary'!$Y:$Y,'Threshold Summary'!$R:$R,"")/4))*XLOOKUP($Q250,'Threshold Summary'!$Y:$Y,'Threshold Summary'!$L:$L,""))/100)+5)*XLOOKUP(XLOOKUP($Q250,'Threshold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Editor'!$E:$E,1))),stab,IF(OR(mtype=XLOOKUP(XLOOKUP($Q250,'Threshold Summary'!$Y:$Y,'Threshold Summary'!$K:$K,""),'Pokemon Editor'!$A:$A,'Pokemon Editor'!$C:$C,""),mtype=XLOOKUP(XLOOKUP($Q250,'Threshold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Chart'!$B$1:$S$1,0)))),base,IF(OR(cat="Status",pow=0),0,FLOOR(FLOOR(FLOOR((2*XLOOKUP($Q250,'Threshold Summary'!$Y:$Y,'Threshold Summary'!$L:$L,"")/5+2)*pow*atk/def)/50)+2)),modifier,stab*eff,AVERAGE(ARRAYFORMULA(FLOOR(base*modifier*SEQUENCE(16,1,85,1)/100)))*MIN(1,acc/100)),0)</f>
        <v/>
      </c>
      <c r="N250" s="4">
        <f>IFERROR(LET(mtype,XLOOKUP($D250,'Move Editor'!$B:$B,'Move Editor'!$C:$C,""),cat,XLOOKUP($D250,'Move Editor'!$B:$B,'Move Editor'!$D:$D,""),pow,XLOOKUP($D250,'Move Editor'!$B:$B,'Move Editor'!$E:$E,0),acc,XLOOKUP($D250,'Move Editor'!$B:$B,'Move Editor'!$F:$F,100),atk,IF(cat="Physical",FLOOR((FLOOR(((2*XLOOKUP(XLOOKUP($Q250,'Threshold Summary'!$Y:$Y,'Threshold Summary'!$K:$K,""),'Pokemon Editor'!$A:$A,'Pokemon Editor'!$F:$F,0)+31+FLOOR(XLOOKUP($Q250,'Threshold Summary'!$Y:$Y,'Threshold Summary'!$P:$P,"")/4))*XLOOKUP($Q250,'Threshold Summary'!$Y:$Y,'Threshold Summary'!$L:$L,""))/100)+5)*XLOOKUP(XLOOKUP($Q250,'Threshold Summary'!$Y:$Y,'Threshold Summary'!$M:$M,""),'Nature Editor'!$A:$A,'Nature Editor'!$B:$B,1)),FLOOR((FLOOR(((2*XLOOKUP(XLOOKUP($Q250,'Threshold Summary'!$Y:$Y,'Threshold Summary'!$K:$K,""),'Pokemon Editor'!$A:$A,'Pokemon Editor'!$H:$H,0)+31+FLOOR(XLOOKUP($Q250,'Threshold Summary'!$Y:$Y,'Threshold Summary'!$R:$R,"")/4))*XLOOKUP($Q250,'Threshold Summary'!$Y:$Y,'Threshold Summary'!$L:$L,""))/100)+5)*XLOOKUP(XLOOKUP($Q250,'Threshold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Editor'!$E:$E,1))),stab,IF(OR(mtype=XLOOKUP(XLOOKUP($Q250,'Threshold Summary'!$Y:$Y,'Threshold Summary'!$K:$K,""),'Pokemon Editor'!$A:$A,'Pokemon Editor'!$C:$C,""),mtype=XLOOKUP(XLOOKUP($Q250,'Threshold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Chart'!$B$1:$S$1,0)))),base,IF(OR(cat="Status",pow=0),0,FLOOR(FLOOR(FLOOR((2*XLOOKUP($Q250,'Threshold Summary'!$Y:$Y,'Threshold Summary'!$L:$L,"")/5+2)*pow*atk/def)/50)+2)),modifier,stab*eff,AVERAGE(ARRAYFORMULA(FLOOR(base*modifier*SEQUENCE(16,1,85,1)/100)))/(FLOOR(((2*XLOOKUP('Boss Editor'!$C$4,'Pokemon Editor'!$A:$A,'Pokemon Editor'!$E:$E,0)+31+FLOOR('Boss Editor'!$G$4/4))*'Boss Editor'!$D$4)/100)+'Boss Editor'!$D$4+10)),0)</f>
        <v/>
      </c>
      <c r="O250" s="3">
        <f>IF(N250&gt;=1,"OHKO",IF(N250&gt;=0.5,"2HKO",IF(N250&gt;=0.333,"3HKO",IF(N250&gt;=0.25,"4HKO","5HKO+"))))</f>
        <v/>
      </c>
      <c r="P250" s="3" t="inlineStr">
        <is>
          <t>Live from editable databases</t>
        </is>
      </c>
      <c r="Q250" s="3" t="inlineStr">
        <is>
          <t>SPECIES_RALTS</t>
        </is>
      </c>
      <c r="R250" s="3" t="n">
        <v>25</v>
      </c>
    </row>
    <row r="251">
      <c r="A251" s="3">
        <f>XLOOKUP($Q251,'Threshold Summary'!$Y:$Y,'Threshold Summary'!$A:$A,"")</f>
        <v/>
      </c>
      <c r="B251" s="3">
        <f>XLOOKUP($Q251,'Threshold Summary'!$Y:$Y,'Threshold Summary'!$M:$M,"")</f>
        <v/>
      </c>
      <c r="C251" s="3">
        <f>XLOOKUP($Q251,'Threshold Summary'!$Y:$Y,'Threshold Summary'!$N:$N,"")</f>
        <v/>
      </c>
      <c r="D251" s="3">
        <f>IFERROR(INDEX(FILTER('Learnset Editor'!$D$2:$D,'Learnset Editor'!$A$2:$A=XLOOKUP($Q251,'Threshold Summary'!$Y:$Y,'Threshold Summary'!$K:$K,""),'Learnset Editor'!$C$2:$C&lt;=XLOOKUP($Q251,'Threshold Summary'!$Y:$Y,'Threshold Summary'!$L:$L,"")),$R251),"")</f>
        <v/>
      </c>
      <c r="E251" s="3">
        <f>XLOOKUP(D251,'Move Editor'!$B:$B,'Move Editor'!$C:$C,"")</f>
        <v/>
      </c>
      <c r="F251" s="3">
        <f>XLOOKUP(D251,'Move Editor'!$B:$B,'Move Editor'!$D:$D,"")</f>
        <v/>
      </c>
      <c r="G251" s="3">
        <f>XLOOKUP(D251,'Move Editor'!$B:$B,'Move Editor'!$E:$E,0)</f>
        <v/>
      </c>
      <c r="H251" s="3">
        <f>XLOOKUP(D251,'Move Editor'!$B:$B,'Move Editor'!$F:$F,0)</f>
        <v/>
      </c>
      <c r="I251" s="3">
        <f>(INDEX('Type Chart'!$B:$S,MATCH(E251,'Type Chart'!$A:$A,0),MATCH(XLOOKUP('Boss Editor'!$C$4,'Pokemon Editor'!$A:$A,'Pokemon Editor'!$C:$C,""),'Type Chart'!$B$1:$S$1,0))*IF(XLOOKUP('Boss Editor'!$C$4,'Pokemon Editor'!$A:$A,'Pokemon Editor'!$D:$D,"")="",1,INDEX('Type Chart'!$B:$S,MATCH(E251,'Type Chart'!$A:$A,0),MATCH(XLOOKUP('Boss Editor'!$C$4,'Pokemon Editor'!$A:$A,'Pokemon Editor'!$D:$D,""),'Type Chart'!$B$1:$S$1,0))))</f>
        <v/>
      </c>
      <c r="J251" s="3">
        <f>IFERROR(LET(mtype,XLOOKUP($D251,'Move Editor'!$B:$B,'Move Editor'!$C:$C,""),cat,XLOOKUP($D251,'Move Editor'!$B:$B,'Move Editor'!$D:$D,""),pow,XLOOKUP($D251,'Move Editor'!$B:$B,'Move Editor'!$E:$E,0),acc,XLOOKUP($D251,'Move Editor'!$B:$B,'Move Editor'!$F:$F,100),atk,IF(cat="Physical",FLOOR((FLOOR(((2*XLOOKUP(XLOOKUP($Q251,'Threshold Summary'!$Y:$Y,'Threshold Summary'!$K:$K,""),'Pokemon Editor'!$A:$A,'Pokemon Editor'!$F:$F,0)+31+FLOOR(XLOOKUP($Q251,'Threshold Summary'!$Y:$Y,'Threshold Summary'!$P:$P,"")/4))*XLOOKUP($Q251,'Threshold Summary'!$Y:$Y,'Threshold Summary'!$L:$L,""))/100)+5)*XLOOKUP(XLOOKUP($Q251,'Threshold Summary'!$Y:$Y,'Threshold Summary'!$M:$M,""),'Nature Editor'!$A:$A,'Nature Editor'!$B:$B,1)),FLOOR((FLOOR(((2*XLOOKUP(XLOOKUP($Q251,'Threshold Summary'!$Y:$Y,'Threshold Summary'!$K:$K,""),'Pokemon Editor'!$A:$A,'Pokemon Editor'!$H:$H,0)+31+FLOOR(XLOOKUP($Q251,'Threshold Summary'!$Y:$Y,'Threshold Summary'!$R:$R,"")/4))*XLOOKUP($Q251,'Threshold Summary'!$Y:$Y,'Threshold Summary'!$L:$L,""))/100)+5)*XLOOKUP(XLOOKUP($Q251,'Threshold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Editor'!$E:$E,1))),stab,IF(OR(mtype=XLOOKUP(XLOOKUP($Q251,'Threshold Summary'!$Y:$Y,'Threshold Summary'!$K:$K,""),'Pokemon Editor'!$A:$A,'Pokemon Editor'!$C:$C,""),mtype=XLOOKUP(XLOOKUP($Q251,'Threshold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Chart'!$B$1:$S$1,0)))),base,IF(OR(cat="Status",pow=0),0,FLOOR(FLOOR(FLOOR((2*XLOOKUP($Q251,'Threshold Summary'!$Y:$Y,'Threshold Summary'!$L:$L,"")/5+2)*pow*atk/def)/50)+2)),modifier,stab*eff,FLOOR(base*modifier*0.85)),0)</f>
        <v/>
      </c>
      <c r="K251" s="3">
        <f>IFERROR(LET(mtype,XLOOKUP($D251,'Move Editor'!$B:$B,'Move Editor'!$C:$C,""),cat,XLOOKUP($D251,'Move Editor'!$B:$B,'Move Editor'!$D:$D,""),pow,XLOOKUP($D251,'Move Editor'!$B:$B,'Move Editor'!$E:$E,0),acc,XLOOKUP($D251,'Move Editor'!$B:$B,'Move Editor'!$F:$F,100),atk,IF(cat="Physical",FLOOR((FLOOR(((2*XLOOKUP(XLOOKUP($Q251,'Threshold Summary'!$Y:$Y,'Threshold Summary'!$K:$K,""),'Pokemon Editor'!$A:$A,'Pokemon Editor'!$F:$F,0)+31+FLOOR(XLOOKUP($Q251,'Threshold Summary'!$Y:$Y,'Threshold Summary'!$P:$P,"")/4))*XLOOKUP($Q251,'Threshold Summary'!$Y:$Y,'Threshold Summary'!$L:$L,""))/100)+5)*XLOOKUP(XLOOKUP($Q251,'Threshold Summary'!$Y:$Y,'Threshold Summary'!$M:$M,""),'Nature Editor'!$A:$A,'Nature Editor'!$B:$B,1)),FLOOR((FLOOR(((2*XLOOKUP(XLOOKUP($Q251,'Threshold Summary'!$Y:$Y,'Threshold Summary'!$K:$K,""),'Pokemon Editor'!$A:$A,'Pokemon Editor'!$H:$H,0)+31+FLOOR(XLOOKUP($Q251,'Threshold Summary'!$Y:$Y,'Threshold Summary'!$R:$R,"")/4))*XLOOKUP($Q251,'Threshold Summary'!$Y:$Y,'Threshold Summary'!$L:$L,""))/100)+5)*XLOOKUP(XLOOKUP($Q251,'Threshold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Editor'!$E:$E,1))),stab,IF(OR(mtype=XLOOKUP(XLOOKUP($Q251,'Threshold Summary'!$Y:$Y,'Threshold Summary'!$K:$K,""),'Pokemon Editor'!$A:$A,'Pokemon Editor'!$C:$C,""),mtype=XLOOKUP(XLOOKUP($Q251,'Threshold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Chart'!$B$1:$S$1,0)))),base,IF(OR(cat="Status",pow=0),0,FLOOR(FLOOR(FLOOR((2*XLOOKUP($Q251,'Threshold Summary'!$Y:$Y,'Threshold Summary'!$L:$L,"")/5+2)*pow*atk/def)/50)+2)),modifier,stab*eff,FLOOR(base*modifier)),0)</f>
        <v/>
      </c>
      <c r="L251" s="3">
        <f>IFERROR(LET(mtype,XLOOKUP($D251,'Move Editor'!$B:$B,'Move Editor'!$C:$C,""),cat,XLOOKUP($D251,'Move Editor'!$B:$B,'Move Editor'!$D:$D,""),pow,XLOOKUP($D251,'Move Editor'!$B:$B,'Move Editor'!$E:$E,0),acc,XLOOKUP($D251,'Move Editor'!$B:$B,'Move Editor'!$F:$F,100),atk,IF(cat="Physical",FLOOR((FLOOR(((2*XLOOKUP(XLOOKUP($Q251,'Threshold Summary'!$Y:$Y,'Threshold Summary'!$K:$K,""),'Pokemon Editor'!$A:$A,'Pokemon Editor'!$F:$F,0)+31+FLOOR(XLOOKUP($Q251,'Threshold Summary'!$Y:$Y,'Threshold Summary'!$P:$P,"")/4))*XLOOKUP($Q251,'Threshold Summary'!$Y:$Y,'Threshold Summary'!$L:$L,""))/100)+5)*XLOOKUP(XLOOKUP($Q251,'Threshold Summary'!$Y:$Y,'Threshold Summary'!$M:$M,""),'Nature Editor'!$A:$A,'Nature Editor'!$B:$B,1)),FLOOR((FLOOR(((2*XLOOKUP(XLOOKUP($Q251,'Threshold Summary'!$Y:$Y,'Threshold Summary'!$K:$K,""),'Pokemon Editor'!$A:$A,'Pokemon Editor'!$H:$H,0)+31+FLOOR(XLOOKUP($Q251,'Threshold Summary'!$Y:$Y,'Threshold Summary'!$R:$R,"")/4))*XLOOKUP($Q251,'Threshold Summary'!$Y:$Y,'Threshold Summary'!$L:$L,""))/100)+5)*XLOOKUP(XLOOKUP($Q251,'Threshold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Editor'!$E:$E,1))),stab,IF(OR(mtype=XLOOKUP(XLOOKUP($Q251,'Threshold Summary'!$Y:$Y,'Threshold Summary'!$K:$K,""),'Pokemon Editor'!$A:$A,'Pokemon Editor'!$C:$C,""),mtype=XLOOKUP(XLOOKUP($Q251,'Threshold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Chart'!$B$1:$S$1,0)))),base,IF(OR(cat="Status",pow=0),0,FLOOR(FLOOR(FLOOR((2*XLOOKUP($Q251,'Threshold Summary'!$Y:$Y,'Threshold Summary'!$L:$L,"")/5+2)*pow*atk/def)/50)+2)),modifier,stab*eff,AVERAGE(ARRAYFORMULA(FLOOR(base*modifier*SEQUENCE(16,1,85,1)/100)))),0)</f>
        <v/>
      </c>
      <c r="M251" s="3">
        <f>IFERROR(LET(mtype,XLOOKUP($D251,'Move Editor'!$B:$B,'Move Editor'!$C:$C,""),cat,XLOOKUP($D251,'Move Editor'!$B:$B,'Move Editor'!$D:$D,""),pow,XLOOKUP($D251,'Move Editor'!$B:$B,'Move Editor'!$E:$E,0),acc,XLOOKUP($D251,'Move Editor'!$B:$B,'Move Editor'!$F:$F,100),atk,IF(cat="Physical",FLOOR((FLOOR(((2*XLOOKUP(XLOOKUP($Q251,'Threshold Summary'!$Y:$Y,'Threshold Summary'!$K:$K,""),'Pokemon Editor'!$A:$A,'Pokemon Editor'!$F:$F,0)+31+FLOOR(XLOOKUP($Q251,'Threshold Summary'!$Y:$Y,'Threshold Summary'!$P:$P,"")/4))*XLOOKUP($Q251,'Threshold Summary'!$Y:$Y,'Threshold Summary'!$L:$L,""))/100)+5)*XLOOKUP(XLOOKUP($Q251,'Threshold Summary'!$Y:$Y,'Threshold Summary'!$M:$M,""),'Nature Editor'!$A:$A,'Nature Editor'!$B:$B,1)),FLOOR((FLOOR(((2*XLOOKUP(XLOOKUP($Q251,'Threshold Summary'!$Y:$Y,'Threshold Summary'!$K:$K,""),'Pokemon Editor'!$A:$A,'Pokemon Editor'!$H:$H,0)+31+FLOOR(XLOOKUP($Q251,'Threshold Summary'!$Y:$Y,'Threshold Summary'!$R:$R,"")/4))*XLOOKUP($Q251,'Threshold Summary'!$Y:$Y,'Threshold Summary'!$L:$L,""))/100)+5)*XLOOKUP(XLOOKUP($Q251,'Threshold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Editor'!$E:$E,1))),stab,IF(OR(mtype=XLOOKUP(XLOOKUP($Q251,'Threshold Summary'!$Y:$Y,'Threshold Summary'!$K:$K,""),'Pokemon Editor'!$A:$A,'Pokemon Editor'!$C:$C,""),mtype=XLOOKUP(XLOOKUP($Q251,'Threshold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Chart'!$B$1:$S$1,0)))),base,IF(OR(cat="Status",pow=0),0,FLOOR(FLOOR(FLOOR((2*XLOOKUP($Q251,'Threshold Summary'!$Y:$Y,'Threshold Summary'!$L:$L,"")/5+2)*pow*atk/def)/50)+2)),modifier,stab*eff,AVERAGE(ARRAYFORMULA(FLOOR(base*modifier*SEQUENCE(16,1,85,1)/100)))*MIN(1,acc/100)),0)</f>
        <v/>
      </c>
      <c r="N251" s="4">
        <f>IFERROR(LET(mtype,XLOOKUP($D251,'Move Editor'!$B:$B,'Move Editor'!$C:$C,""),cat,XLOOKUP($D251,'Move Editor'!$B:$B,'Move Editor'!$D:$D,""),pow,XLOOKUP($D251,'Move Editor'!$B:$B,'Move Editor'!$E:$E,0),acc,XLOOKUP($D251,'Move Editor'!$B:$B,'Move Editor'!$F:$F,100),atk,IF(cat="Physical",FLOOR((FLOOR(((2*XLOOKUP(XLOOKUP($Q251,'Threshold Summary'!$Y:$Y,'Threshold Summary'!$K:$K,""),'Pokemon Editor'!$A:$A,'Pokemon Editor'!$F:$F,0)+31+FLOOR(XLOOKUP($Q251,'Threshold Summary'!$Y:$Y,'Threshold Summary'!$P:$P,"")/4))*XLOOKUP($Q251,'Threshold Summary'!$Y:$Y,'Threshold Summary'!$L:$L,""))/100)+5)*XLOOKUP(XLOOKUP($Q251,'Threshold Summary'!$Y:$Y,'Threshold Summary'!$M:$M,""),'Nature Editor'!$A:$A,'Nature Editor'!$B:$B,1)),FLOOR((FLOOR(((2*XLOOKUP(XLOOKUP($Q251,'Threshold Summary'!$Y:$Y,'Threshold Summary'!$K:$K,""),'Pokemon Editor'!$A:$A,'Pokemon Editor'!$H:$H,0)+31+FLOOR(XLOOKUP($Q251,'Threshold Summary'!$Y:$Y,'Threshold Summary'!$R:$R,"")/4))*XLOOKUP($Q251,'Threshold Summary'!$Y:$Y,'Threshold Summary'!$L:$L,""))/100)+5)*XLOOKUP(XLOOKUP($Q251,'Threshold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Editor'!$E:$E,1))),stab,IF(OR(mtype=XLOOKUP(XLOOKUP($Q251,'Threshold Summary'!$Y:$Y,'Threshold Summary'!$K:$K,""),'Pokemon Editor'!$A:$A,'Pokemon Editor'!$C:$C,""),mtype=XLOOKUP(XLOOKUP($Q251,'Threshold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Chart'!$B$1:$S$1,0)))),base,IF(OR(cat="Status",pow=0),0,FLOOR(FLOOR(FLOOR((2*XLOOKUP($Q251,'Threshold Summary'!$Y:$Y,'Threshold Summary'!$L:$L,"")/5+2)*pow*atk/def)/50)+2)),modifier,stab*eff,AVERAGE(ARRAYFORMULA(FLOOR(base*modifier*SEQUENCE(16,1,85,1)/100)))/(FLOOR(((2*XLOOKUP('Boss Editor'!$C$4,'Pokemon Editor'!$A:$A,'Pokemon Editor'!$E:$E,0)+31+FLOOR('Boss Editor'!$G$4/4))*'Boss Editor'!$D$4)/100)+'Boss Editor'!$D$4+10)),0)</f>
        <v/>
      </c>
      <c r="O251" s="3">
        <f>IF(N251&gt;=1,"OHKO",IF(N251&gt;=0.5,"2HKO",IF(N251&gt;=0.333,"3HKO",IF(N251&gt;=0.25,"4HKO","5HKO+"))))</f>
        <v/>
      </c>
      <c r="P251" s="3" t="inlineStr">
        <is>
          <t>Live from editable databases</t>
        </is>
      </c>
      <c r="Q251" s="3" t="inlineStr">
        <is>
          <t>SPECIES_RALTS</t>
        </is>
      </c>
      <c r="R251" s="3" t="n">
        <v>26</v>
      </c>
    </row>
    <row r="252">
      <c r="A252" s="3">
        <f>XLOOKUP($Q252,'Threshold Summary'!$Y:$Y,'Threshold Summary'!$A:$A,"")</f>
        <v/>
      </c>
      <c r="B252" s="3">
        <f>XLOOKUP($Q252,'Threshold Summary'!$Y:$Y,'Threshold Summary'!$M:$M,"")</f>
        <v/>
      </c>
      <c r="C252" s="3">
        <f>XLOOKUP($Q252,'Threshold Summary'!$Y:$Y,'Threshold Summary'!$N:$N,"")</f>
        <v/>
      </c>
      <c r="D252" s="3">
        <f>IFERROR(INDEX(FILTER('Learnset Editor'!$D$2:$D,'Learnset Editor'!$A$2:$A=XLOOKUP($Q252,'Threshold Summary'!$Y:$Y,'Threshold Summary'!$K:$K,""),'Learnset Editor'!$C$2:$C&lt;=XLOOKUP($Q252,'Threshold Summary'!$Y:$Y,'Threshold Summary'!$L:$L,"")),$R252),"")</f>
        <v/>
      </c>
      <c r="E252" s="3">
        <f>XLOOKUP(D252,'Move Editor'!$B:$B,'Move Editor'!$C:$C,"")</f>
        <v/>
      </c>
      <c r="F252" s="3">
        <f>XLOOKUP(D252,'Move Editor'!$B:$B,'Move Editor'!$D:$D,"")</f>
        <v/>
      </c>
      <c r="G252" s="3">
        <f>XLOOKUP(D252,'Move Editor'!$B:$B,'Move Editor'!$E:$E,0)</f>
        <v/>
      </c>
      <c r="H252" s="3">
        <f>XLOOKUP(D252,'Move Editor'!$B:$B,'Move Editor'!$F:$F,0)</f>
        <v/>
      </c>
      <c r="I252" s="3">
        <f>(INDEX('Type Chart'!$B:$S,MATCH(E252,'Type Chart'!$A:$A,0),MATCH(XLOOKUP('Boss Editor'!$C$4,'Pokemon Editor'!$A:$A,'Pokemon Editor'!$C:$C,""),'Type Chart'!$B$1:$S$1,0))*IF(XLOOKUP('Boss Editor'!$C$4,'Pokemon Editor'!$A:$A,'Pokemon Editor'!$D:$D,"")="",1,INDEX('Type Chart'!$B:$S,MATCH(E252,'Type Chart'!$A:$A,0),MATCH(XLOOKUP('Boss Editor'!$C$4,'Pokemon Editor'!$A:$A,'Pokemon Editor'!$D:$D,""),'Type Chart'!$B$1:$S$1,0))))</f>
        <v/>
      </c>
      <c r="J252" s="3">
        <f>IFERROR(LET(mtype,XLOOKUP($D252,'Move Editor'!$B:$B,'Move Editor'!$C:$C,""),cat,XLOOKUP($D252,'Move Editor'!$B:$B,'Move Editor'!$D:$D,""),pow,XLOOKUP($D252,'Move Editor'!$B:$B,'Move Editor'!$E:$E,0),acc,XLOOKUP($D252,'Move Editor'!$B:$B,'Move Editor'!$F:$F,100),atk,IF(cat="Physical",FLOOR((FLOOR(((2*XLOOKUP(XLOOKUP($Q252,'Threshold Summary'!$Y:$Y,'Threshold Summary'!$K:$K,""),'Pokemon Editor'!$A:$A,'Pokemon Editor'!$F:$F,0)+31+FLOOR(XLOOKUP($Q252,'Threshold Summary'!$Y:$Y,'Threshold Summary'!$P:$P,"")/4))*XLOOKUP($Q252,'Threshold Summary'!$Y:$Y,'Threshold Summary'!$L:$L,""))/100)+5)*XLOOKUP(XLOOKUP($Q252,'Threshold Summary'!$Y:$Y,'Threshold Summary'!$M:$M,""),'Nature Editor'!$A:$A,'Nature Editor'!$B:$B,1)),FLOOR((FLOOR(((2*XLOOKUP(XLOOKUP($Q252,'Threshold Summary'!$Y:$Y,'Threshold Summary'!$K:$K,""),'Pokemon Editor'!$A:$A,'Pokemon Editor'!$H:$H,0)+31+FLOOR(XLOOKUP($Q252,'Threshold Summary'!$Y:$Y,'Threshold Summary'!$R:$R,"")/4))*XLOOKUP($Q252,'Threshold Summary'!$Y:$Y,'Threshold Summary'!$L:$L,""))/100)+5)*XLOOKUP(XLOOKUP($Q252,'Threshold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Editor'!$E:$E,1))),stab,IF(OR(mtype=XLOOKUP(XLOOKUP($Q252,'Threshold Summary'!$Y:$Y,'Threshold Summary'!$K:$K,""),'Pokemon Editor'!$A:$A,'Pokemon Editor'!$C:$C,""),mtype=XLOOKUP(XLOOKUP($Q252,'Threshold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Chart'!$B$1:$S$1,0)))),base,IF(OR(cat="Status",pow=0),0,FLOOR(FLOOR(FLOOR((2*XLOOKUP($Q252,'Threshold Summary'!$Y:$Y,'Threshold Summary'!$L:$L,"")/5+2)*pow*atk/def)/50)+2)),modifier,stab*eff,FLOOR(base*modifier*0.85)),0)</f>
        <v/>
      </c>
      <c r="K252" s="3">
        <f>IFERROR(LET(mtype,XLOOKUP($D252,'Move Editor'!$B:$B,'Move Editor'!$C:$C,""),cat,XLOOKUP($D252,'Move Editor'!$B:$B,'Move Editor'!$D:$D,""),pow,XLOOKUP($D252,'Move Editor'!$B:$B,'Move Editor'!$E:$E,0),acc,XLOOKUP($D252,'Move Editor'!$B:$B,'Move Editor'!$F:$F,100),atk,IF(cat="Physical",FLOOR((FLOOR(((2*XLOOKUP(XLOOKUP($Q252,'Threshold Summary'!$Y:$Y,'Threshold Summary'!$K:$K,""),'Pokemon Editor'!$A:$A,'Pokemon Editor'!$F:$F,0)+31+FLOOR(XLOOKUP($Q252,'Threshold Summary'!$Y:$Y,'Threshold Summary'!$P:$P,"")/4))*XLOOKUP($Q252,'Threshold Summary'!$Y:$Y,'Threshold Summary'!$L:$L,""))/100)+5)*XLOOKUP(XLOOKUP($Q252,'Threshold Summary'!$Y:$Y,'Threshold Summary'!$M:$M,""),'Nature Editor'!$A:$A,'Nature Editor'!$B:$B,1)),FLOOR((FLOOR(((2*XLOOKUP(XLOOKUP($Q252,'Threshold Summary'!$Y:$Y,'Threshold Summary'!$K:$K,""),'Pokemon Editor'!$A:$A,'Pokemon Editor'!$H:$H,0)+31+FLOOR(XLOOKUP($Q252,'Threshold Summary'!$Y:$Y,'Threshold Summary'!$R:$R,"")/4))*XLOOKUP($Q252,'Threshold Summary'!$Y:$Y,'Threshold Summary'!$L:$L,""))/100)+5)*XLOOKUP(XLOOKUP($Q252,'Threshold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Editor'!$E:$E,1))),stab,IF(OR(mtype=XLOOKUP(XLOOKUP($Q252,'Threshold Summary'!$Y:$Y,'Threshold Summary'!$K:$K,""),'Pokemon Editor'!$A:$A,'Pokemon Editor'!$C:$C,""),mtype=XLOOKUP(XLOOKUP($Q252,'Threshold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Chart'!$B$1:$S$1,0)))),base,IF(OR(cat="Status",pow=0),0,FLOOR(FLOOR(FLOOR((2*XLOOKUP($Q252,'Threshold Summary'!$Y:$Y,'Threshold Summary'!$L:$L,"")/5+2)*pow*atk/def)/50)+2)),modifier,stab*eff,FLOOR(base*modifier)),0)</f>
        <v/>
      </c>
      <c r="L252" s="3">
        <f>IFERROR(LET(mtype,XLOOKUP($D252,'Move Editor'!$B:$B,'Move Editor'!$C:$C,""),cat,XLOOKUP($D252,'Move Editor'!$B:$B,'Move Editor'!$D:$D,""),pow,XLOOKUP($D252,'Move Editor'!$B:$B,'Move Editor'!$E:$E,0),acc,XLOOKUP($D252,'Move Editor'!$B:$B,'Move Editor'!$F:$F,100),atk,IF(cat="Physical",FLOOR((FLOOR(((2*XLOOKUP(XLOOKUP($Q252,'Threshold Summary'!$Y:$Y,'Threshold Summary'!$K:$K,""),'Pokemon Editor'!$A:$A,'Pokemon Editor'!$F:$F,0)+31+FLOOR(XLOOKUP($Q252,'Threshold Summary'!$Y:$Y,'Threshold Summary'!$P:$P,"")/4))*XLOOKUP($Q252,'Threshold Summary'!$Y:$Y,'Threshold Summary'!$L:$L,""))/100)+5)*XLOOKUP(XLOOKUP($Q252,'Threshold Summary'!$Y:$Y,'Threshold Summary'!$M:$M,""),'Nature Editor'!$A:$A,'Nature Editor'!$B:$B,1)),FLOOR((FLOOR(((2*XLOOKUP(XLOOKUP($Q252,'Threshold Summary'!$Y:$Y,'Threshold Summary'!$K:$K,""),'Pokemon Editor'!$A:$A,'Pokemon Editor'!$H:$H,0)+31+FLOOR(XLOOKUP($Q252,'Threshold Summary'!$Y:$Y,'Threshold Summary'!$R:$R,"")/4))*XLOOKUP($Q252,'Threshold Summary'!$Y:$Y,'Threshold Summary'!$L:$L,""))/100)+5)*XLOOKUP(XLOOKUP($Q252,'Threshold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Editor'!$E:$E,1))),stab,IF(OR(mtype=XLOOKUP(XLOOKUP($Q252,'Threshold Summary'!$Y:$Y,'Threshold Summary'!$K:$K,""),'Pokemon Editor'!$A:$A,'Pokemon Editor'!$C:$C,""),mtype=XLOOKUP(XLOOKUP($Q252,'Threshold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Chart'!$B$1:$S$1,0)))),base,IF(OR(cat="Status",pow=0),0,FLOOR(FLOOR(FLOOR((2*XLOOKUP($Q252,'Threshold Summary'!$Y:$Y,'Threshold Summary'!$L:$L,"")/5+2)*pow*atk/def)/50)+2)),modifier,stab*eff,AVERAGE(ARRAYFORMULA(FLOOR(base*modifier*SEQUENCE(16,1,85,1)/100)))),0)</f>
        <v/>
      </c>
      <c r="M252" s="3">
        <f>IFERROR(LET(mtype,XLOOKUP($D252,'Move Editor'!$B:$B,'Move Editor'!$C:$C,""),cat,XLOOKUP($D252,'Move Editor'!$B:$B,'Move Editor'!$D:$D,""),pow,XLOOKUP($D252,'Move Editor'!$B:$B,'Move Editor'!$E:$E,0),acc,XLOOKUP($D252,'Move Editor'!$B:$B,'Move Editor'!$F:$F,100),atk,IF(cat="Physical",FLOOR((FLOOR(((2*XLOOKUP(XLOOKUP($Q252,'Threshold Summary'!$Y:$Y,'Threshold Summary'!$K:$K,""),'Pokemon Editor'!$A:$A,'Pokemon Editor'!$F:$F,0)+31+FLOOR(XLOOKUP($Q252,'Threshold Summary'!$Y:$Y,'Threshold Summary'!$P:$P,"")/4))*XLOOKUP($Q252,'Threshold Summary'!$Y:$Y,'Threshold Summary'!$L:$L,""))/100)+5)*XLOOKUP(XLOOKUP($Q252,'Threshold Summary'!$Y:$Y,'Threshold Summary'!$M:$M,""),'Nature Editor'!$A:$A,'Nature Editor'!$B:$B,1)),FLOOR((FLOOR(((2*XLOOKUP(XLOOKUP($Q252,'Threshold Summary'!$Y:$Y,'Threshold Summary'!$K:$K,""),'Pokemon Editor'!$A:$A,'Pokemon Editor'!$H:$H,0)+31+FLOOR(XLOOKUP($Q252,'Threshold Summary'!$Y:$Y,'Threshold Summary'!$R:$R,"")/4))*XLOOKUP($Q252,'Threshold Summary'!$Y:$Y,'Threshold Summary'!$L:$L,""))/100)+5)*XLOOKUP(XLOOKUP($Q252,'Threshold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Editor'!$E:$E,1))),stab,IF(OR(mtype=XLOOKUP(XLOOKUP($Q252,'Threshold Summary'!$Y:$Y,'Threshold Summary'!$K:$K,""),'Pokemon Editor'!$A:$A,'Pokemon Editor'!$C:$C,""),mtype=XLOOKUP(XLOOKUP($Q252,'Threshold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Chart'!$B$1:$S$1,0)))),base,IF(OR(cat="Status",pow=0),0,FLOOR(FLOOR(FLOOR((2*XLOOKUP($Q252,'Threshold Summary'!$Y:$Y,'Threshold Summary'!$L:$L,"")/5+2)*pow*atk/def)/50)+2)),modifier,stab*eff,AVERAGE(ARRAYFORMULA(FLOOR(base*modifier*SEQUENCE(16,1,85,1)/100)))*MIN(1,acc/100)),0)</f>
        <v/>
      </c>
      <c r="N252" s="4">
        <f>IFERROR(LET(mtype,XLOOKUP($D252,'Move Editor'!$B:$B,'Move Editor'!$C:$C,""),cat,XLOOKUP($D252,'Move Editor'!$B:$B,'Move Editor'!$D:$D,""),pow,XLOOKUP($D252,'Move Editor'!$B:$B,'Move Editor'!$E:$E,0),acc,XLOOKUP($D252,'Move Editor'!$B:$B,'Move Editor'!$F:$F,100),atk,IF(cat="Physical",FLOOR((FLOOR(((2*XLOOKUP(XLOOKUP($Q252,'Threshold Summary'!$Y:$Y,'Threshold Summary'!$K:$K,""),'Pokemon Editor'!$A:$A,'Pokemon Editor'!$F:$F,0)+31+FLOOR(XLOOKUP($Q252,'Threshold Summary'!$Y:$Y,'Threshold Summary'!$P:$P,"")/4))*XLOOKUP($Q252,'Threshold Summary'!$Y:$Y,'Threshold Summary'!$L:$L,""))/100)+5)*XLOOKUP(XLOOKUP($Q252,'Threshold Summary'!$Y:$Y,'Threshold Summary'!$M:$M,""),'Nature Editor'!$A:$A,'Nature Editor'!$B:$B,1)),FLOOR((FLOOR(((2*XLOOKUP(XLOOKUP($Q252,'Threshold Summary'!$Y:$Y,'Threshold Summary'!$K:$K,""),'Pokemon Editor'!$A:$A,'Pokemon Editor'!$H:$H,0)+31+FLOOR(XLOOKUP($Q252,'Threshold Summary'!$Y:$Y,'Threshold Summary'!$R:$R,"")/4))*XLOOKUP($Q252,'Threshold Summary'!$Y:$Y,'Threshold Summary'!$L:$L,""))/100)+5)*XLOOKUP(XLOOKUP($Q252,'Threshold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Editor'!$E:$E,1))),stab,IF(OR(mtype=XLOOKUP(XLOOKUP($Q252,'Threshold Summary'!$Y:$Y,'Threshold Summary'!$K:$K,""),'Pokemon Editor'!$A:$A,'Pokemon Editor'!$C:$C,""),mtype=XLOOKUP(XLOOKUP($Q252,'Threshold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Chart'!$B$1:$S$1,0)))),base,IF(OR(cat="Status",pow=0),0,FLOOR(FLOOR(FLOOR((2*XLOOKUP($Q252,'Threshold Summary'!$Y:$Y,'Threshold Summary'!$L:$L,"")/5+2)*pow*atk/def)/50)+2)),modifier,stab*eff,AVERAGE(ARRAYFORMULA(FLOOR(base*modifier*SEQUENCE(16,1,85,1)/100)))/(FLOOR(((2*XLOOKUP('Boss Editor'!$C$4,'Pokemon Editor'!$A:$A,'Pokemon Editor'!$E:$E,0)+31+FLOOR('Boss Editor'!$G$4/4))*'Boss Editor'!$D$4)/100)+'Boss Editor'!$D$4+10)),0)</f>
        <v/>
      </c>
      <c r="O252" s="3">
        <f>IF(N252&gt;=1,"OHKO",IF(N252&gt;=0.5,"2HKO",IF(N252&gt;=0.333,"3HKO",IF(N252&gt;=0.25,"4HKO","5HKO+"))))</f>
        <v/>
      </c>
      <c r="P252" s="3" t="inlineStr">
        <is>
          <t>Live from editable databases</t>
        </is>
      </c>
      <c r="Q252" s="3" t="inlineStr">
        <is>
          <t>SPECIES_RALTS</t>
        </is>
      </c>
      <c r="R252" s="3" t="n">
        <v>27</v>
      </c>
    </row>
    <row r="253">
      <c r="A253" s="3">
        <f>XLOOKUP($Q253,'Threshold Summary'!$Y:$Y,'Threshold Summary'!$A:$A,"")</f>
        <v/>
      </c>
      <c r="B253" s="3">
        <f>XLOOKUP($Q253,'Threshold Summary'!$Y:$Y,'Threshold Summary'!$M:$M,"")</f>
        <v/>
      </c>
      <c r="C253" s="3">
        <f>XLOOKUP($Q253,'Threshold Summary'!$Y:$Y,'Threshold Summary'!$N:$N,"")</f>
        <v/>
      </c>
      <c r="D253" s="3">
        <f>IFERROR(INDEX(FILTER('Learnset Editor'!$D$2:$D,'Learnset Editor'!$A$2:$A=XLOOKUP($Q253,'Threshold Summary'!$Y:$Y,'Threshold Summary'!$K:$K,""),'Learnset Editor'!$C$2:$C&lt;=XLOOKUP($Q253,'Threshold Summary'!$Y:$Y,'Threshold Summary'!$L:$L,"")),$R253),"")</f>
        <v/>
      </c>
      <c r="E253" s="3">
        <f>XLOOKUP(D253,'Move Editor'!$B:$B,'Move Editor'!$C:$C,"")</f>
        <v/>
      </c>
      <c r="F253" s="3">
        <f>XLOOKUP(D253,'Move Editor'!$B:$B,'Move Editor'!$D:$D,"")</f>
        <v/>
      </c>
      <c r="G253" s="3">
        <f>XLOOKUP(D253,'Move Editor'!$B:$B,'Move Editor'!$E:$E,0)</f>
        <v/>
      </c>
      <c r="H253" s="3">
        <f>XLOOKUP(D253,'Move Editor'!$B:$B,'Move Editor'!$F:$F,0)</f>
        <v/>
      </c>
      <c r="I253" s="3">
        <f>(INDEX('Type Chart'!$B:$S,MATCH(E253,'Type Chart'!$A:$A,0),MATCH(XLOOKUP('Boss Editor'!$C$4,'Pokemon Editor'!$A:$A,'Pokemon Editor'!$C:$C,""),'Type Chart'!$B$1:$S$1,0))*IF(XLOOKUP('Boss Editor'!$C$4,'Pokemon Editor'!$A:$A,'Pokemon Editor'!$D:$D,"")="",1,INDEX('Type Chart'!$B:$S,MATCH(E253,'Type Chart'!$A:$A,0),MATCH(XLOOKUP('Boss Editor'!$C$4,'Pokemon Editor'!$A:$A,'Pokemon Editor'!$D:$D,""),'Type Chart'!$B$1:$S$1,0))))</f>
        <v/>
      </c>
      <c r="J253" s="3">
        <f>IFERROR(LET(mtype,XLOOKUP($D253,'Move Editor'!$B:$B,'Move Editor'!$C:$C,""),cat,XLOOKUP($D253,'Move Editor'!$B:$B,'Move Editor'!$D:$D,""),pow,XLOOKUP($D253,'Move Editor'!$B:$B,'Move Editor'!$E:$E,0),acc,XLOOKUP($D253,'Move Editor'!$B:$B,'Move Editor'!$F:$F,100),atk,IF(cat="Physical",FLOOR((FLOOR(((2*XLOOKUP(XLOOKUP($Q253,'Threshold Summary'!$Y:$Y,'Threshold Summary'!$K:$K,""),'Pokemon Editor'!$A:$A,'Pokemon Editor'!$F:$F,0)+31+FLOOR(XLOOKUP($Q253,'Threshold Summary'!$Y:$Y,'Threshold Summary'!$P:$P,"")/4))*XLOOKUP($Q253,'Threshold Summary'!$Y:$Y,'Threshold Summary'!$L:$L,""))/100)+5)*XLOOKUP(XLOOKUP($Q253,'Threshold Summary'!$Y:$Y,'Threshold Summary'!$M:$M,""),'Nature Editor'!$A:$A,'Nature Editor'!$B:$B,1)),FLOOR((FLOOR(((2*XLOOKUP(XLOOKUP($Q253,'Threshold Summary'!$Y:$Y,'Threshold Summary'!$K:$K,""),'Pokemon Editor'!$A:$A,'Pokemon Editor'!$H:$H,0)+31+FLOOR(XLOOKUP($Q253,'Threshold Summary'!$Y:$Y,'Threshold Summary'!$R:$R,"")/4))*XLOOKUP($Q253,'Threshold Summary'!$Y:$Y,'Threshold Summary'!$L:$L,""))/100)+5)*XLOOKUP(XLOOKUP($Q253,'Threshold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Editor'!$E:$E,1))),stab,IF(OR(mtype=XLOOKUP(XLOOKUP($Q253,'Threshold Summary'!$Y:$Y,'Threshold Summary'!$K:$K,""),'Pokemon Editor'!$A:$A,'Pokemon Editor'!$C:$C,""),mtype=XLOOKUP(XLOOKUP($Q253,'Threshold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Chart'!$B$1:$S$1,0)))),base,IF(OR(cat="Status",pow=0),0,FLOOR(FLOOR(FLOOR((2*XLOOKUP($Q253,'Threshold Summary'!$Y:$Y,'Threshold Summary'!$L:$L,"")/5+2)*pow*atk/def)/50)+2)),modifier,stab*eff,FLOOR(base*modifier*0.85)),0)</f>
        <v/>
      </c>
      <c r="K253" s="3">
        <f>IFERROR(LET(mtype,XLOOKUP($D253,'Move Editor'!$B:$B,'Move Editor'!$C:$C,""),cat,XLOOKUP($D253,'Move Editor'!$B:$B,'Move Editor'!$D:$D,""),pow,XLOOKUP($D253,'Move Editor'!$B:$B,'Move Editor'!$E:$E,0),acc,XLOOKUP($D253,'Move Editor'!$B:$B,'Move Editor'!$F:$F,100),atk,IF(cat="Physical",FLOOR((FLOOR(((2*XLOOKUP(XLOOKUP($Q253,'Threshold Summary'!$Y:$Y,'Threshold Summary'!$K:$K,""),'Pokemon Editor'!$A:$A,'Pokemon Editor'!$F:$F,0)+31+FLOOR(XLOOKUP($Q253,'Threshold Summary'!$Y:$Y,'Threshold Summary'!$P:$P,"")/4))*XLOOKUP($Q253,'Threshold Summary'!$Y:$Y,'Threshold Summary'!$L:$L,""))/100)+5)*XLOOKUP(XLOOKUP($Q253,'Threshold Summary'!$Y:$Y,'Threshold Summary'!$M:$M,""),'Nature Editor'!$A:$A,'Nature Editor'!$B:$B,1)),FLOOR((FLOOR(((2*XLOOKUP(XLOOKUP($Q253,'Threshold Summary'!$Y:$Y,'Threshold Summary'!$K:$K,""),'Pokemon Editor'!$A:$A,'Pokemon Editor'!$H:$H,0)+31+FLOOR(XLOOKUP($Q253,'Threshold Summary'!$Y:$Y,'Threshold Summary'!$R:$R,"")/4))*XLOOKUP($Q253,'Threshold Summary'!$Y:$Y,'Threshold Summary'!$L:$L,""))/100)+5)*XLOOKUP(XLOOKUP($Q253,'Threshold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Editor'!$E:$E,1))),stab,IF(OR(mtype=XLOOKUP(XLOOKUP($Q253,'Threshold Summary'!$Y:$Y,'Threshold Summary'!$K:$K,""),'Pokemon Editor'!$A:$A,'Pokemon Editor'!$C:$C,""),mtype=XLOOKUP(XLOOKUP($Q253,'Threshold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Chart'!$B$1:$S$1,0)))),base,IF(OR(cat="Status",pow=0),0,FLOOR(FLOOR(FLOOR((2*XLOOKUP($Q253,'Threshold Summary'!$Y:$Y,'Threshold Summary'!$L:$L,"")/5+2)*pow*atk/def)/50)+2)),modifier,stab*eff,FLOOR(base*modifier)),0)</f>
        <v/>
      </c>
      <c r="L253" s="3">
        <f>IFERROR(LET(mtype,XLOOKUP($D253,'Move Editor'!$B:$B,'Move Editor'!$C:$C,""),cat,XLOOKUP($D253,'Move Editor'!$B:$B,'Move Editor'!$D:$D,""),pow,XLOOKUP($D253,'Move Editor'!$B:$B,'Move Editor'!$E:$E,0),acc,XLOOKUP($D253,'Move Editor'!$B:$B,'Move Editor'!$F:$F,100),atk,IF(cat="Physical",FLOOR((FLOOR(((2*XLOOKUP(XLOOKUP($Q253,'Threshold Summary'!$Y:$Y,'Threshold Summary'!$K:$K,""),'Pokemon Editor'!$A:$A,'Pokemon Editor'!$F:$F,0)+31+FLOOR(XLOOKUP($Q253,'Threshold Summary'!$Y:$Y,'Threshold Summary'!$P:$P,"")/4))*XLOOKUP($Q253,'Threshold Summary'!$Y:$Y,'Threshold Summary'!$L:$L,""))/100)+5)*XLOOKUP(XLOOKUP($Q253,'Threshold Summary'!$Y:$Y,'Threshold Summary'!$M:$M,""),'Nature Editor'!$A:$A,'Nature Editor'!$B:$B,1)),FLOOR((FLOOR(((2*XLOOKUP(XLOOKUP($Q253,'Threshold Summary'!$Y:$Y,'Threshold Summary'!$K:$K,""),'Pokemon Editor'!$A:$A,'Pokemon Editor'!$H:$H,0)+31+FLOOR(XLOOKUP($Q253,'Threshold Summary'!$Y:$Y,'Threshold Summary'!$R:$R,"")/4))*XLOOKUP($Q253,'Threshold Summary'!$Y:$Y,'Threshold Summary'!$L:$L,""))/100)+5)*XLOOKUP(XLOOKUP($Q253,'Threshold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Editor'!$E:$E,1))),stab,IF(OR(mtype=XLOOKUP(XLOOKUP($Q253,'Threshold Summary'!$Y:$Y,'Threshold Summary'!$K:$K,""),'Pokemon Editor'!$A:$A,'Pokemon Editor'!$C:$C,""),mtype=XLOOKUP(XLOOKUP($Q253,'Threshold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Chart'!$B$1:$S$1,0)))),base,IF(OR(cat="Status",pow=0),0,FLOOR(FLOOR(FLOOR((2*XLOOKUP($Q253,'Threshold Summary'!$Y:$Y,'Threshold Summary'!$L:$L,"")/5+2)*pow*atk/def)/50)+2)),modifier,stab*eff,AVERAGE(ARRAYFORMULA(FLOOR(base*modifier*SEQUENCE(16,1,85,1)/100)))),0)</f>
        <v/>
      </c>
      <c r="M253" s="3">
        <f>IFERROR(LET(mtype,XLOOKUP($D253,'Move Editor'!$B:$B,'Move Editor'!$C:$C,""),cat,XLOOKUP($D253,'Move Editor'!$B:$B,'Move Editor'!$D:$D,""),pow,XLOOKUP($D253,'Move Editor'!$B:$B,'Move Editor'!$E:$E,0),acc,XLOOKUP($D253,'Move Editor'!$B:$B,'Move Editor'!$F:$F,100),atk,IF(cat="Physical",FLOOR((FLOOR(((2*XLOOKUP(XLOOKUP($Q253,'Threshold Summary'!$Y:$Y,'Threshold Summary'!$K:$K,""),'Pokemon Editor'!$A:$A,'Pokemon Editor'!$F:$F,0)+31+FLOOR(XLOOKUP($Q253,'Threshold Summary'!$Y:$Y,'Threshold Summary'!$P:$P,"")/4))*XLOOKUP($Q253,'Threshold Summary'!$Y:$Y,'Threshold Summary'!$L:$L,""))/100)+5)*XLOOKUP(XLOOKUP($Q253,'Threshold Summary'!$Y:$Y,'Threshold Summary'!$M:$M,""),'Nature Editor'!$A:$A,'Nature Editor'!$B:$B,1)),FLOOR((FLOOR(((2*XLOOKUP(XLOOKUP($Q253,'Threshold Summary'!$Y:$Y,'Threshold Summary'!$K:$K,""),'Pokemon Editor'!$A:$A,'Pokemon Editor'!$H:$H,0)+31+FLOOR(XLOOKUP($Q253,'Threshold Summary'!$Y:$Y,'Threshold Summary'!$R:$R,"")/4))*XLOOKUP($Q253,'Threshold Summary'!$Y:$Y,'Threshold Summary'!$L:$L,""))/100)+5)*XLOOKUP(XLOOKUP($Q253,'Threshold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Editor'!$E:$E,1))),stab,IF(OR(mtype=XLOOKUP(XLOOKUP($Q253,'Threshold Summary'!$Y:$Y,'Threshold Summary'!$K:$K,""),'Pokemon Editor'!$A:$A,'Pokemon Editor'!$C:$C,""),mtype=XLOOKUP(XLOOKUP($Q253,'Threshold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Chart'!$B$1:$S$1,0)))),base,IF(OR(cat="Status",pow=0),0,FLOOR(FLOOR(FLOOR((2*XLOOKUP($Q253,'Threshold Summary'!$Y:$Y,'Threshold Summary'!$L:$L,"")/5+2)*pow*atk/def)/50)+2)),modifier,stab*eff,AVERAGE(ARRAYFORMULA(FLOOR(base*modifier*SEQUENCE(16,1,85,1)/100)))*MIN(1,acc/100)),0)</f>
        <v/>
      </c>
      <c r="N253" s="4">
        <f>IFERROR(LET(mtype,XLOOKUP($D253,'Move Editor'!$B:$B,'Move Editor'!$C:$C,""),cat,XLOOKUP($D253,'Move Editor'!$B:$B,'Move Editor'!$D:$D,""),pow,XLOOKUP($D253,'Move Editor'!$B:$B,'Move Editor'!$E:$E,0),acc,XLOOKUP($D253,'Move Editor'!$B:$B,'Move Editor'!$F:$F,100),atk,IF(cat="Physical",FLOOR((FLOOR(((2*XLOOKUP(XLOOKUP($Q253,'Threshold Summary'!$Y:$Y,'Threshold Summary'!$K:$K,""),'Pokemon Editor'!$A:$A,'Pokemon Editor'!$F:$F,0)+31+FLOOR(XLOOKUP($Q253,'Threshold Summary'!$Y:$Y,'Threshold Summary'!$P:$P,"")/4))*XLOOKUP($Q253,'Threshold Summary'!$Y:$Y,'Threshold Summary'!$L:$L,""))/100)+5)*XLOOKUP(XLOOKUP($Q253,'Threshold Summary'!$Y:$Y,'Threshold Summary'!$M:$M,""),'Nature Editor'!$A:$A,'Nature Editor'!$B:$B,1)),FLOOR((FLOOR(((2*XLOOKUP(XLOOKUP($Q253,'Threshold Summary'!$Y:$Y,'Threshold Summary'!$K:$K,""),'Pokemon Editor'!$A:$A,'Pokemon Editor'!$H:$H,0)+31+FLOOR(XLOOKUP($Q253,'Threshold Summary'!$Y:$Y,'Threshold Summary'!$R:$R,"")/4))*XLOOKUP($Q253,'Threshold Summary'!$Y:$Y,'Threshold Summary'!$L:$L,""))/100)+5)*XLOOKUP(XLOOKUP($Q253,'Threshold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Editor'!$E:$E,1))),stab,IF(OR(mtype=XLOOKUP(XLOOKUP($Q253,'Threshold Summary'!$Y:$Y,'Threshold Summary'!$K:$K,""),'Pokemon Editor'!$A:$A,'Pokemon Editor'!$C:$C,""),mtype=XLOOKUP(XLOOKUP($Q253,'Threshold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Chart'!$B$1:$S$1,0)))),base,IF(OR(cat="Status",pow=0),0,FLOOR(FLOOR(FLOOR((2*XLOOKUP($Q253,'Threshold Summary'!$Y:$Y,'Threshold Summary'!$L:$L,"")/5+2)*pow*atk/def)/50)+2)),modifier,stab*eff,AVERAGE(ARRAYFORMULA(FLOOR(base*modifier*SEQUENCE(16,1,85,1)/100)))/(FLOOR(((2*XLOOKUP('Boss Editor'!$C$4,'Pokemon Editor'!$A:$A,'Pokemon Editor'!$E:$E,0)+31+FLOOR('Boss Editor'!$G$4/4))*'Boss Editor'!$D$4)/100)+'Boss Editor'!$D$4+10)),0)</f>
        <v/>
      </c>
      <c r="O253" s="3">
        <f>IF(N253&gt;=1,"OHKO",IF(N253&gt;=0.5,"2HKO",IF(N253&gt;=0.333,"3HKO",IF(N253&gt;=0.25,"4HKO","5HKO+"))))</f>
        <v/>
      </c>
      <c r="P253" s="3" t="inlineStr">
        <is>
          <t>Live from editable databases</t>
        </is>
      </c>
      <c r="Q253" s="3" t="inlineStr">
        <is>
          <t>SPECIES_RALTS</t>
        </is>
      </c>
      <c r="R253" s="3" t="n">
        <v>28</v>
      </c>
    </row>
    <row r="254">
      <c r="A254" s="3">
        <f>XLOOKUP($Q254,'Threshold Summary'!$Y:$Y,'Threshold Summary'!$A:$A,"")</f>
        <v/>
      </c>
      <c r="B254" s="3">
        <f>XLOOKUP($Q254,'Threshold Summary'!$Y:$Y,'Threshold Summary'!$M:$M,"")</f>
        <v/>
      </c>
      <c r="C254" s="3">
        <f>XLOOKUP($Q254,'Threshold Summary'!$Y:$Y,'Threshold Summary'!$N:$N,"")</f>
        <v/>
      </c>
      <c r="D254" s="3">
        <f>IFERROR(INDEX(FILTER('Learnset Editor'!$D$2:$D,'Learnset Editor'!$A$2:$A=XLOOKUP($Q254,'Threshold Summary'!$Y:$Y,'Threshold Summary'!$K:$K,""),'Learnset Editor'!$C$2:$C&lt;=XLOOKUP($Q254,'Threshold Summary'!$Y:$Y,'Threshold Summary'!$L:$L,"")),$R254),"")</f>
        <v/>
      </c>
      <c r="E254" s="3">
        <f>XLOOKUP(D254,'Move Editor'!$B:$B,'Move Editor'!$C:$C,"")</f>
        <v/>
      </c>
      <c r="F254" s="3">
        <f>XLOOKUP(D254,'Move Editor'!$B:$B,'Move Editor'!$D:$D,"")</f>
        <v/>
      </c>
      <c r="G254" s="3">
        <f>XLOOKUP(D254,'Move Editor'!$B:$B,'Move Editor'!$E:$E,0)</f>
        <v/>
      </c>
      <c r="H254" s="3">
        <f>XLOOKUP(D254,'Move Editor'!$B:$B,'Move Editor'!$F:$F,0)</f>
        <v/>
      </c>
      <c r="I254" s="3">
        <f>(INDEX('Type Chart'!$B:$S,MATCH(E254,'Type Chart'!$A:$A,0),MATCH(XLOOKUP('Boss Editor'!$C$4,'Pokemon Editor'!$A:$A,'Pokemon Editor'!$C:$C,""),'Type Chart'!$B$1:$S$1,0))*IF(XLOOKUP('Boss Editor'!$C$4,'Pokemon Editor'!$A:$A,'Pokemon Editor'!$D:$D,"")="",1,INDEX('Type Chart'!$B:$S,MATCH(E254,'Type Chart'!$A:$A,0),MATCH(XLOOKUP('Boss Editor'!$C$4,'Pokemon Editor'!$A:$A,'Pokemon Editor'!$D:$D,""),'Type Chart'!$B$1:$S$1,0))))</f>
        <v/>
      </c>
      <c r="J254" s="3">
        <f>IFERROR(LET(mtype,XLOOKUP($D254,'Move Editor'!$B:$B,'Move Editor'!$C:$C,""),cat,XLOOKUP($D254,'Move Editor'!$B:$B,'Move Editor'!$D:$D,""),pow,XLOOKUP($D254,'Move Editor'!$B:$B,'Move Editor'!$E:$E,0),acc,XLOOKUP($D254,'Move Editor'!$B:$B,'Move Editor'!$F:$F,100),atk,IF(cat="Physical",FLOOR((FLOOR(((2*XLOOKUP(XLOOKUP($Q254,'Threshold Summary'!$Y:$Y,'Threshold Summary'!$K:$K,""),'Pokemon Editor'!$A:$A,'Pokemon Editor'!$F:$F,0)+31+FLOOR(XLOOKUP($Q254,'Threshold Summary'!$Y:$Y,'Threshold Summary'!$P:$P,"")/4))*XLOOKUP($Q254,'Threshold Summary'!$Y:$Y,'Threshold Summary'!$L:$L,""))/100)+5)*XLOOKUP(XLOOKUP($Q254,'Threshold Summary'!$Y:$Y,'Threshold Summary'!$M:$M,""),'Nature Editor'!$A:$A,'Nature Editor'!$B:$B,1)),FLOOR((FLOOR(((2*XLOOKUP(XLOOKUP($Q254,'Threshold Summary'!$Y:$Y,'Threshold Summary'!$K:$K,""),'Pokemon Editor'!$A:$A,'Pokemon Editor'!$H:$H,0)+31+FLOOR(XLOOKUP($Q254,'Threshold Summary'!$Y:$Y,'Threshold Summary'!$R:$R,"")/4))*XLOOKUP($Q254,'Threshold Summary'!$Y:$Y,'Threshold Summary'!$L:$L,""))/100)+5)*XLOOKUP(XLOOKUP($Q254,'Threshold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Editor'!$E:$E,1))),stab,IF(OR(mtype=XLOOKUP(XLOOKUP($Q254,'Threshold Summary'!$Y:$Y,'Threshold Summary'!$K:$K,""),'Pokemon Editor'!$A:$A,'Pokemon Editor'!$C:$C,""),mtype=XLOOKUP(XLOOKUP($Q254,'Threshold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Chart'!$B$1:$S$1,0)))),base,IF(OR(cat="Status",pow=0),0,FLOOR(FLOOR(FLOOR((2*XLOOKUP($Q254,'Threshold Summary'!$Y:$Y,'Threshold Summary'!$L:$L,"")/5+2)*pow*atk/def)/50)+2)),modifier,stab*eff,FLOOR(base*modifier*0.85)),0)</f>
        <v/>
      </c>
      <c r="K254" s="3">
        <f>IFERROR(LET(mtype,XLOOKUP($D254,'Move Editor'!$B:$B,'Move Editor'!$C:$C,""),cat,XLOOKUP($D254,'Move Editor'!$B:$B,'Move Editor'!$D:$D,""),pow,XLOOKUP($D254,'Move Editor'!$B:$B,'Move Editor'!$E:$E,0),acc,XLOOKUP($D254,'Move Editor'!$B:$B,'Move Editor'!$F:$F,100),atk,IF(cat="Physical",FLOOR((FLOOR(((2*XLOOKUP(XLOOKUP($Q254,'Threshold Summary'!$Y:$Y,'Threshold Summary'!$K:$K,""),'Pokemon Editor'!$A:$A,'Pokemon Editor'!$F:$F,0)+31+FLOOR(XLOOKUP($Q254,'Threshold Summary'!$Y:$Y,'Threshold Summary'!$P:$P,"")/4))*XLOOKUP($Q254,'Threshold Summary'!$Y:$Y,'Threshold Summary'!$L:$L,""))/100)+5)*XLOOKUP(XLOOKUP($Q254,'Threshold Summary'!$Y:$Y,'Threshold Summary'!$M:$M,""),'Nature Editor'!$A:$A,'Nature Editor'!$B:$B,1)),FLOOR((FLOOR(((2*XLOOKUP(XLOOKUP($Q254,'Threshold Summary'!$Y:$Y,'Threshold Summary'!$K:$K,""),'Pokemon Editor'!$A:$A,'Pokemon Editor'!$H:$H,0)+31+FLOOR(XLOOKUP($Q254,'Threshold Summary'!$Y:$Y,'Threshold Summary'!$R:$R,"")/4))*XLOOKUP($Q254,'Threshold Summary'!$Y:$Y,'Threshold Summary'!$L:$L,""))/100)+5)*XLOOKUP(XLOOKUP($Q254,'Threshold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Editor'!$E:$E,1))),stab,IF(OR(mtype=XLOOKUP(XLOOKUP($Q254,'Threshold Summary'!$Y:$Y,'Threshold Summary'!$K:$K,""),'Pokemon Editor'!$A:$A,'Pokemon Editor'!$C:$C,""),mtype=XLOOKUP(XLOOKUP($Q254,'Threshold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Chart'!$B$1:$S$1,0)))),base,IF(OR(cat="Status",pow=0),0,FLOOR(FLOOR(FLOOR((2*XLOOKUP($Q254,'Threshold Summary'!$Y:$Y,'Threshold Summary'!$L:$L,"")/5+2)*pow*atk/def)/50)+2)),modifier,stab*eff,FLOOR(base*modifier)),0)</f>
        <v/>
      </c>
      <c r="L254" s="3">
        <f>IFERROR(LET(mtype,XLOOKUP($D254,'Move Editor'!$B:$B,'Move Editor'!$C:$C,""),cat,XLOOKUP($D254,'Move Editor'!$B:$B,'Move Editor'!$D:$D,""),pow,XLOOKUP($D254,'Move Editor'!$B:$B,'Move Editor'!$E:$E,0),acc,XLOOKUP($D254,'Move Editor'!$B:$B,'Move Editor'!$F:$F,100),atk,IF(cat="Physical",FLOOR((FLOOR(((2*XLOOKUP(XLOOKUP($Q254,'Threshold Summary'!$Y:$Y,'Threshold Summary'!$K:$K,""),'Pokemon Editor'!$A:$A,'Pokemon Editor'!$F:$F,0)+31+FLOOR(XLOOKUP($Q254,'Threshold Summary'!$Y:$Y,'Threshold Summary'!$P:$P,"")/4))*XLOOKUP($Q254,'Threshold Summary'!$Y:$Y,'Threshold Summary'!$L:$L,""))/100)+5)*XLOOKUP(XLOOKUP($Q254,'Threshold Summary'!$Y:$Y,'Threshold Summary'!$M:$M,""),'Nature Editor'!$A:$A,'Nature Editor'!$B:$B,1)),FLOOR((FLOOR(((2*XLOOKUP(XLOOKUP($Q254,'Threshold Summary'!$Y:$Y,'Threshold Summary'!$K:$K,""),'Pokemon Editor'!$A:$A,'Pokemon Editor'!$H:$H,0)+31+FLOOR(XLOOKUP($Q254,'Threshold Summary'!$Y:$Y,'Threshold Summary'!$R:$R,"")/4))*XLOOKUP($Q254,'Threshold Summary'!$Y:$Y,'Threshold Summary'!$L:$L,""))/100)+5)*XLOOKUP(XLOOKUP($Q254,'Threshold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Editor'!$E:$E,1))),stab,IF(OR(mtype=XLOOKUP(XLOOKUP($Q254,'Threshold Summary'!$Y:$Y,'Threshold Summary'!$K:$K,""),'Pokemon Editor'!$A:$A,'Pokemon Editor'!$C:$C,""),mtype=XLOOKUP(XLOOKUP($Q254,'Threshold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Chart'!$B$1:$S$1,0)))),base,IF(OR(cat="Status",pow=0),0,FLOOR(FLOOR(FLOOR((2*XLOOKUP($Q254,'Threshold Summary'!$Y:$Y,'Threshold Summary'!$L:$L,"")/5+2)*pow*atk/def)/50)+2)),modifier,stab*eff,AVERAGE(ARRAYFORMULA(FLOOR(base*modifier*SEQUENCE(16,1,85,1)/100)))),0)</f>
        <v/>
      </c>
      <c r="M254" s="3">
        <f>IFERROR(LET(mtype,XLOOKUP($D254,'Move Editor'!$B:$B,'Move Editor'!$C:$C,""),cat,XLOOKUP($D254,'Move Editor'!$B:$B,'Move Editor'!$D:$D,""),pow,XLOOKUP($D254,'Move Editor'!$B:$B,'Move Editor'!$E:$E,0),acc,XLOOKUP($D254,'Move Editor'!$B:$B,'Move Editor'!$F:$F,100),atk,IF(cat="Physical",FLOOR((FLOOR(((2*XLOOKUP(XLOOKUP($Q254,'Threshold Summary'!$Y:$Y,'Threshold Summary'!$K:$K,""),'Pokemon Editor'!$A:$A,'Pokemon Editor'!$F:$F,0)+31+FLOOR(XLOOKUP($Q254,'Threshold Summary'!$Y:$Y,'Threshold Summary'!$P:$P,"")/4))*XLOOKUP($Q254,'Threshold Summary'!$Y:$Y,'Threshold Summary'!$L:$L,""))/100)+5)*XLOOKUP(XLOOKUP($Q254,'Threshold Summary'!$Y:$Y,'Threshold Summary'!$M:$M,""),'Nature Editor'!$A:$A,'Nature Editor'!$B:$B,1)),FLOOR((FLOOR(((2*XLOOKUP(XLOOKUP($Q254,'Threshold Summary'!$Y:$Y,'Threshold Summary'!$K:$K,""),'Pokemon Editor'!$A:$A,'Pokemon Editor'!$H:$H,0)+31+FLOOR(XLOOKUP($Q254,'Threshold Summary'!$Y:$Y,'Threshold Summary'!$R:$R,"")/4))*XLOOKUP($Q254,'Threshold Summary'!$Y:$Y,'Threshold Summary'!$L:$L,""))/100)+5)*XLOOKUP(XLOOKUP($Q254,'Threshold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Editor'!$E:$E,1))),stab,IF(OR(mtype=XLOOKUP(XLOOKUP($Q254,'Threshold Summary'!$Y:$Y,'Threshold Summary'!$K:$K,""),'Pokemon Editor'!$A:$A,'Pokemon Editor'!$C:$C,""),mtype=XLOOKUP(XLOOKUP($Q254,'Threshold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Chart'!$B$1:$S$1,0)))),base,IF(OR(cat="Status",pow=0),0,FLOOR(FLOOR(FLOOR((2*XLOOKUP($Q254,'Threshold Summary'!$Y:$Y,'Threshold Summary'!$L:$L,"")/5+2)*pow*atk/def)/50)+2)),modifier,stab*eff,AVERAGE(ARRAYFORMULA(FLOOR(base*modifier*SEQUENCE(16,1,85,1)/100)))*MIN(1,acc/100)),0)</f>
        <v/>
      </c>
      <c r="N254" s="4">
        <f>IFERROR(LET(mtype,XLOOKUP($D254,'Move Editor'!$B:$B,'Move Editor'!$C:$C,""),cat,XLOOKUP($D254,'Move Editor'!$B:$B,'Move Editor'!$D:$D,""),pow,XLOOKUP($D254,'Move Editor'!$B:$B,'Move Editor'!$E:$E,0),acc,XLOOKUP($D254,'Move Editor'!$B:$B,'Move Editor'!$F:$F,100),atk,IF(cat="Physical",FLOOR((FLOOR(((2*XLOOKUP(XLOOKUP($Q254,'Threshold Summary'!$Y:$Y,'Threshold Summary'!$K:$K,""),'Pokemon Editor'!$A:$A,'Pokemon Editor'!$F:$F,0)+31+FLOOR(XLOOKUP($Q254,'Threshold Summary'!$Y:$Y,'Threshold Summary'!$P:$P,"")/4))*XLOOKUP($Q254,'Threshold Summary'!$Y:$Y,'Threshold Summary'!$L:$L,""))/100)+5)*XLOOKUP(XLOOKUP($Q254,'Threshold Summary'!$Y:$Y,'Threshold Summary'!$M:$M,""),'Nature Editor'!$A:$A,'Nature Editor'!$B:$B,1)),FLOOR((FLOOR(((2*XLOOKUP(XLOOKUP($Q254,'Threshold Summary'!$Y:$Y,'Threshold Summary'!$K:$K,""),'Pokemon Editor'!$A:$A,'Pokemon Editor'!$H:$H,0)+31+FLOOR(XLOOKUP($Q254,'Threshold Summary'!$Y:$Y,'Threshold Summary'!$R:$R,"")/4))*XLOOKUP($Q254,'Threshold Summary'!$Y:$Y,'Threshold Summary'!$L:$L,""))/100)+5)*XLOOKUP(XLOOKUP($Q254,'Threshold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Editor'!$E:$E,1))),stab,IF(OR(mtype=XLOOKUP(XLOOKUP($Q254,'Threshold Summary'!$Y:$Y,'Threshold Summary'!$K:$K,""),'Pokemon Editor'!$A:$A,'Pokemon Editor'!$C:$C,""),mtype=XLOOKUP(XLOOKUP($Q254,'Threshold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Chart'!$B$1:$S$1,0)))),base,IF(OR(cat="Status",pow=0),0,FLOOR(FLOOR(FLOOR((2*XLOOKUP($Q254,'Threshold Summary'!$Y:$Y,'Threshold Summary'!$L:$L,"")/5+2)*pow*atk/def)/50)+2)),modifier,stab*eff,AVERAGE(ARRAYFORMULA(FLOOR(base*modifier*SEQUENCE(16,1,85,1)/100)))/(FLOOR(((2*XLOOKUP('Boss Editor'!$C$4,'Pokemon Editor'!$A:$A,'Pokemon Editor'!$E:$E,0)+31+FLOOR('Boss Editor'!$G$4/4))*'Boss Editor'!$D$4)/100)+'Boss Editor'!$D$4+10)),0)</f>
        <v/>
      </c>
      <c r="O254" s="3">
        <f>IF(N254&gt;=1,"OHKO",IF(N254&gt;=0.5,"2HKO",IF(N254&gt;=0.333,"3HKO",IF(N254&gt;=0.25,"4HKO","5HKO+"))))</f>
        <v/>
      </c>
      <c r="P254" s="3" t="inlineStr">
        <is>
          <t>Live from editable databases</t>
        </is>
      </c>
      <c r="Q254" s="3" t="inlineStr">
        <is>
          <t>SPECIES_RALTS</t>
        </is>
      </c>
      <c r="R254" s="3" t="n">
        <v>29</v>
      </c>
    </row>
    <row r="255">
      <c r="A255" s="3">
        <f>XLOOKUP($Q255,'Threshold Summary'!$Y:$Y,'Threshold Summary'!$A:$A,"")</f>
        <v/>
      </c>
      <c r="B255" s="3">
        <f>XLOOKUP($Q255,'Threshold Summary'!$Y:$Y,'Threshold Summary'!$M:$M,"")</f>
        <v/>
      </c>
      <c r="C255" s="3">
        <f>XLOOKUP($Q255,'Threshold Summary'!$Y:$Y,'Threshold Summary'!$N:$N,"")</f>
        <v/>
      </c>
      <c r="D255" s="3">
        <f>IFERROR(INDEX(FILTER('Learnset Editor'!$D$2:$D,'Learnset Editor'!$A$2:$A=XLOOKUP($Q255,'Threshold Summary'!$Y:$Y,'Threshold Summary'!$K:$K,""),'Learnset Editor'!$C$2:$C&lt;=XLOOKUP($Q255,'Threshold Summary'!$Y:$Y,'Threshold Summary'!$L:$L,"")),$R255),"")</f>
        <v/>
      </c>
      <c r="E255" s="3">
        <f>XLOOKUP(D255,'Move Editor'!$B:$B,'Move Editor'!$C:$C,"")</f>
        <v/>
      </c>
      <c r="F255" s="3">
        <f>XLOOKUP(D255,'Move Editor'!$B:$B,'Move Editor'!$D:$D,"")</f>
        <v/>
      </c>
      <c r="G255" s="3">
        <f>XLOOKUP(D255,'Move Editor'!$B:$B,'Move Editor'!$E:$E,0)</f>
        <v/>
      </c>
      <c r="H255" s="3">
        <f>XLOOKUP(D255,'Move Editor'!$B:$B,'Move Editor'!$F:$F,0)</f>
        <v/>
      </c>
      <c r="I255" s="3">
        <f>(INDEX('Type Chart'!$B:$S,MATCH(E255,'Type Chart'!$A:$A,0),MATCH(XLOOKUP('Boss Editor'!$C$4,'Pokemon Editor'!$A:$A,'Pokemon Editor'!$C:$C,""),'Type Chart'!$B$1:$S$1,0))*IF(XLOOKUP('Boss Editor'!$C$4,'Pokemon Editor'!$A:$A,'Pokemon Editor'!$D:$D,"")="",1,INDEX('Type Chart'!$B:$S,MATCH(E255,'Type Chart'!$A:$A,0),MATCH(XLOOKUP('Boss Editor'!$C$4,'Pokemon Editor'!$A:$A,'Pokemon Editor'!$D:$D,""),'Type Chart'!$B$1:$S$1,0))))</f>
        <v/>
      </c>
      <c r="J255" s="3">
        <f>IFERROR(LET(mtype,XLOOKUP($D255,'Move Editor'!$B:$B,'Move Editor'!$C:$C,""),cat,XLOOKUP($D255,'Move Editor'!$B:$B,'Move Editor'!$D:$D,""),pow,XLOOKUP($D255,'Move Editor'!$B:$B,'Move Editor'!$E:$E,0),acc,XLOOKUP($D255,'Move Editor'!$B:$B,'Move Editor'!$F:$F,100),atk,IF(cat="Physical",FLOOR((FLOOR(((2*XLOOKUP(XLOOKUP($Q255,'Threshold Summary'!$Y:$Y,'Threshold Summary'!$K:$K,""),'Pokemon Editor'!$A:$A,'Pokemon Editor'!$F:$F,0)+31+FLOOR(XLOOKUP($Q255,'Threshold Summary'!$Y:$Y,'Threshold Summary'!$P:$P,"")/4))*XLOOKUP($Q255,'Threshold Summary'!$Y:$Y,'Threshold Summary'!$L:$L,""))/100)+5)*XLOOKUP(XLOOKUP($Q255,'Threshold Summary'!$Y:$Y,'Threshold Summary'!$M:$M,""),'Nature Editor'!$A:$A,'Nature Editor'!$B:$B,1)),FLOOR((FLOOR(((2*XLOOKUP(XLOOKUP($Q255,'Threshold Summary'!$Y:$Y,'Threshold Summary'!$K:$K,""),'Pokemon Editor'!$A:$A,'Pokemon Editor'!$H:$H,0)+31+FLOOR(XLOOKUP($Q255,'Threshold Summary'!$Y:$Y,'Threshold Summary'!$R:$R,"")/4))*XLOOKUP($Q255,'Threshold Summary'!$Y:$Y,'Threshold Summary'!$L:$L,""))/100)+5)*XLOOKUP(XLOOKUP($Q255,'Threshold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Editor'!$E:$E,1))),stab,IF(OR(mtype=XLOOKUP(XLOOKUP($Q255,'Threshold Summary'!$Y:$Y,'Threshold Summary'!$K:$K,""),'Pokemon Editor'!$A:$A,'Pokemon Editor'!$C:$C,""),mtype=XLOOKUP(XLOOKUP($Q255,'Threshold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Chart'!$B$1:$S$1,0)))),base,IF(OR(cat="Status",pow=0),0,FLOOR(FLOOR(FLOOR((2*XLOOKUP($Q255,'Threshold Summary'!$Y:$Y,'Threshold Summary'!$L:$L,"")/5+2)*pow*atk/def)/50)+2)),modifier,stab*eff,FLOOR(base*modifier*0.85)),0)</f>
        <v/>
      </c>
      <c r="K255" s="3">
        <f>IFERROR(LET(mtype,XLOOKUP($D255,'Move Editor'!$B:$B,'Move Editor'!$C:$C,""),cat,XLOOKUP($D255,'Move Editor'!$B:$B,'Move Editor'!$D:$D,""),pow,XLOOKUP($D255,'Move Editor'!$B:$B,'Move Editor'!$E:$E,0),acc,XLOOKUP($D255,'Move Editor'!$B:$B,'Move Editor'!$F:$F,100),atk,IF(cat="Physical",FLOOR((FLOOR(((2*XLOOKUP(XLOOKUP($Q255,'Threshold Summary'!$Y:$Y,'Threshold Summary'!$K:$K,""),'Pokemon Editor'!$A:$A,'Pokemon Editor'!$F:$F,0)+31+FLOOR(XLOOKUP($Q255,'Threshold Summary'!$Y:$Y,'Threshold Summary'!$P:$P,"")/4))*XLOOKUP($Q255,'Threshold Summary'!$Y:$Y,'Threshold Summary'!$L:$L,""))/100)+5)*XLOOKUP(XLOOKUP($Q255,'Threshold Summary'!$Y:$Y,'Threshold Summary'!$M:$M,""),'Nature Editor'!$A:$A,'Nature Editor'!$B:$B,1)),FLOOR((FLOOR(((2*XLOOKUP(XLOOKUP($Q255,'Threshold Summary'!$Y:$Y,'Threshold Summary'!$K:$K,""),'Pokemon Editor'!$A:$A,'Pokemon Editor'!$H:$H,0)+31+FLOOR(XLOOKUP($Q255,'Threshold Summary'!$Y:$Y,'Threshold Summary'!$R:$R,"")/4))*XLOOKUP($Q255,'Threshold Summary'!$Y:$Y,'Threshold Summary'!$L:$L,""))/100)+5)*XLOOKUP(XLOOKUP($Q255,'Threshold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Editor'!$E:$E,1))),stab,IF(OR(mtype=XLOOKUP(XLOOKUP($Q255,'Threshold Summary'!$Y:$Y,'Threshold Summary'!$K:$K,""),'Pokemon Editor'!$A:$A,'Pokemon Editor'!$C:$C,""),mtype=XLOOKUP(XLOOKUP($Q255,'Threshold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Chart'!$B$1:$S$1,0)))),base,IF(OR(cat="Status",pow=0),0,FLOOR(FLOOR(FLOOR((2*XLOOKUP($Q255,'Threshold Summary'!$Y:$Y,'Threshold Summary'!$L:$L,"")/5+2)*pow*atk/def)/50)+2)),modifier,stab*eff,FLOOR(base*modifier)),0)</f>
        <v/>
      </c>
      <c r="L255" s="3">
        <f>IFERROR(LET(mtype,XLOOKUP($D255,'Move Editor'!$B:$B,'Move Editor'!$C:$C,""),cat,XLOOKUP($D255,'Move Editor'!$B:$B,'Move Editor'!$D:$D,""),pow,XLOOKUP($D255,'Move Editor'!$B:$B,'Move Editor'!$E:$E,0),acc,XLOOKUP($D255,'Move Editor'!$B:$B,'Move Editor'!$F:$F,100),atk,IF(cat="Physical",FLOOR((FLOOR(((2*XLOOKUP(XLOOKUP($Q255,'Threshold Summary'!$Y:$Y,'Threshold Summary'!$K:$K,""),'Pokemon Editor'!$A:$A,'Pokemon Editor'!$F:$F,0)+31+FLOOR(XLOOKUP($Q255,'Threshold Summary'!$Y:$Y,'Threshold Summary'!$P:$P,"")/4))*XLOOKUP($Q255,'Threshold Summary'!$Y:$Y,'Threshold Summary'!$L:$L,""))/100)+5)*XLOOKUP(XLOOKUP($Q255,'Threshold Summary'!$Y:$Y,'Threshold Summary'!$M:$M,""),'Nature Editor'!$A:$A,'Nature Editor'!$B:$B,1)),FLOOR((FLOOR(((2*XLOOKUP(XLOOKUP($Q255,'Threshold Summary'!$Y:$Y,'Threshold Summary'!$K:$K,""),'Pokemon Editor'!$A:$A,'Pokemon Editor'!$H:$H,0)+31+FLOOR(XLOOKUP($Q255,'Threshold Summary'!$Y:$Y,'Threshold Summary'!$R:$R,"")/4))*XLOOKUP($Q255,'Threshold Summary'!$Y:$Y,'Threshold Summary'!$L:$L,""))/100)+5)*XLOOKUP(XLOOKUP($Q255,'Threshold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Editor'!$E:$E,1))),stab,IF(OR(mtype=XLOOKUP(XLOOKUP($Q255,'Threshold Summary'!$Y:$Y,'Threshold Summary'!$K:$K,""),'Pokemon Editor'!$A:$A,'Pokemon Editor'!$C:$C,""),mtype=XLOOKUP(XLOOKUP($Q255,'Threshold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Chart'!$B$1:$S$1,0)))),base,IF(OR(cat="Status",pow=0),0,FLOOR(FLOOR(FLOOR((2*XLOOKUP($Q255,'Threshold Summary'!$Y:$Y,'Threshold Summary'!$L:$L,"")/5+2)*pow*atk/def)/50)+2)),modifier,stab*eff,AVERAGE(ARRAYFORMULA(FLOOR(base*modifier*SEQUENCE(16,1,85,1)/100)))),0)</f>
        <v/>
      </c>
      <c r="M255" s="3">
        <f>IFERROR(LET(mtype,XLOOKUP($D255,'Move Editor'!$B:$B,'Move Editor'!$C:$C,""),cat,XLOOKUP($D255,'Move Editor'!$B:$B,'Move Editor'!$D:$D,""),pow,XLOOKUP($D255,'Move Editor'!$B:$B,'Move Editor'!$E:$E,0),acc,XLOOKUP($D255,'Move Editor'!$B:$B,'Move Editor'!$F:$F,100),atk,IF(cat="Physical",FLOOR((FLOOR(((2*XLOOKUP(XLOOKUP($Q255,'Threshold Summary'!$Y:$Y,'Threshold Summary'!$K:$K,""),'Pokemon Editor'!$A:$A,'Pokemon Editor'!$F:$F,0)+31+FLOOR(XLOOKUP($Q255,'Threshold Summary'!$Y:$Y,'Threshold Summary'!$P:$P,"")/4))*XLOOKUP($Q255,'Threshold Summary'!$Y:$Y,'Threshold Summary'!$L:$L,""))/100)+5)*XLOOKUP(XLOOKUP($Q255,'Threshold Summary'!$Y:$Y,'Threshold Summary'!$M:$M,""),'Nature Editor'!$A:$A,'Nature Editor'!$B:$B,1)),FLOOR((FLOOR(((2*XLOOKUP(XLOOKUP($Q255,'Threshold Summary'!$Y:$Y,'Threshold Summary'!$K:$K,""),'Pokemon Editor'!$A:$A,'Pokemon Editor'!$H:$H,0)+31+FLOOR(XLOOKUP($Q255,'Threshold Summary'!$Y:$Y,'Threshold Summary'!$R:$R,"")/4))*XLOOKUP($Q255,'Threshold Summary'!$Y:$Y,'Threshold Summary'!$L:$L,""))/100)+5)*XLOOKUP(XLOOKUP($Q255,'Threshold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Editor'!$E:$E,1))),stab,IF(OR(mtype=XLOOKUP(XLOOKUP($Q255,'Threshold Summary'!$Y:$Y,'Threshold Summary'!$K:$K,""),'Pokemon Editor'!$A:$A,'Pokemon Editor'!$C:$C,""),mtype=XLOOKUP(XLOOKUP($Q255,'Threshold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Chart'!$B$1:$S$1,0)))),base,IF(OR(cat="Status",pow=0),0,FLOOR(FLOOR(FLOOR((2*XLOOKUP($Q255,'Threshold Summary'!$Y:$Y,'Threshold Summary'!$L:$L,"")/5+2)*pow*atk/def)/50)+2)),modifier,stab*eff,AVERAGE(ARRAYFORMULA(FLOOR(base*modifier*SEQUENCE(16,1,85,1)/100)))*MIN(1,acc/100)),0)</f>
        <v/>
      </c>
      <c r="N255" s="4">
        <f>IFERROR(LET(mtype,XLOOKUP($D255,'Move Editor'!$B:$B,'Move Editor'!$C:$C,""),cat,XLOOKUP($D255,'Move Editor'!$B:$B,'Move Editor'!$D:$D,""),pow,XLOOKUP($D255,'Move Editor'!$B:$B,'Move Editor'!$E:$E,0),acc,XLOOKUP($D255,'Move Editor'!$B:$B,'Move Editor'!$F:$F,100),atk,IF(cat="Physical",FLOOR((FLOOR(((2*XLOOKUP(XLOOKUP($Q255,'Threshold Summary'!$Y:$Y,'Threshold Summary'!$K:$K,""),'Pokemon Editor'!$A:$A,'Pokemon Editor'!$F:$F,0)+31+FLOOR(XLOOKUP($Q255,'Threshold Summary'!$Y:$Y,'Threshold Summary'!$P:$P,"")/4))*XLOOKUP($Q255,'Threshold Summary'!$Y:$Y,'Threshold Summary'!$L:$L,""))/100)+5)*XLOOKUP(XLOOKUP($Q255,'Threshold Summary'!$Y:$Y,'Threshold Summary'!$M:$M,""),'Nature Editor'!$A:$A,'Nature Editor'!$B:$B,1)),FLOOR((FLOOR(((2*XLOOKUP(XLOOKUP($Q255,'Threshold Summary'!$Y:$Y,'Threshold Summary'!$K:$K,""),'Pokemon Editor'!$A:$A,'Pokemon Editor'!$H:$H,0)+31+FLOOR(XLOOKUP($Q255,'Threshold Summary'!$Y:$Y,'Threshold Summary'!$R:$R,"")/4))*XLOOKUP($Q255,'Threshold Summary'!$Y:$Y,'Threshold Summary'!$L:$L,""))/100)+5)*XLOOKUP(XLOOKUP($Q255,'Threshold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Editor'!$E:$E,1))),stab,IF(OR(mtype=XLOOKUP(XLOOKUP($Q255,'Threshold Summary'!$Y:$Y,'Threshold Summary'!$K:$K,""),'Pokemon Editor'!$A:$A,'Pokemon Editor'!$C:$C,""),mtype=XLOOKUP(XLOOKUP($Q255,'Threshold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Chart'!$B$1:$S$1,0)))),base,IF(OR(cat="Status",pow=0),0,FLOOR(FLOOR(FLOOR((2*XLOOKUP($Q255,'Threshold Summary'!$Y:$Y,'Threshold Summary'!$L:$L,"")/5+2)*pow*atk/def)/50)+2)),modifier,stab*eff,AVERAGE(ARRAYFORMULA(FLOOR(base*modifier*SEQUENCE(16,1,85,1)/100)))/(FLOOR(((2*XLOOKUP('Boss Editor'!$C$4,'Pokemon Editor'!$A:$A,'Pokemon Editor'!$E:$E,0)+31+FLOOR('Boss Editor'!$G$4/4))*'Boss Editor'!$D$4)/100)+'Boss Editor'!$D$4+10)),0)</f>
        <v/>
      </c>
      <c r="O255" s="3">
        <f>IF(N255&gt;=1,"OHKO",IF(N255&gt;=0.5,"2HKO",IF(N255&gt;=0.333,"3HKO",IF(N255&gt;=0.25,"4HKO","5HKO+"))))</f>
        <v/>
      </c>
      <c r="P255" s="3" t="inlineStr">
        <is>
          <t>Live from editable databases</t>
        </is>
      </c>
      <c r="Q255" s="3" t="inlineStr">
        <is>
          <t>SPECIES_RALTS</t>
        </is>
      </c>
      <c r="R255" s="3" t="n">
        <v>30</v>
      </c>
    </row>
    <row r="256">
      <c r="A256" s="3">
        <f>XLOOKUP($Q256,'Threshold Summary'!$Y:$Y,'Threshold Summary'!$A:$A,"")</f>
        <v/>
      </c>
      <c r="B256" s="3">
        <f>XLOOKUP($Q256,'Threshold Summary'!$Y:$Y,'Threshold Summary'!$M:$M,"")</f>
        <v/>
      </c>
      <c r="C256" s="3">
        <f>XLOOKUP($Q256,'Threshold Summary'!$Y:$Y,'Threshold Summary'!$N:$N,"")</f>
        <v/>
      </c>
      <c r="D256" s="3">
        <f>IFERROR(INDEX(FILTER('Learnset Editor'!$D$2:$D,'Learnset Editor'!$A$2:$A=XLOOKUP($Q256,'Threshold Summary'!$Y:$Y,'Threshold Summary'!$K:$K,""),'Learnset Editor'!$C$2:$C&lt;=XLOOKUP($Q256,'Threshold Summary'!$Y:$Y,'Threshold Summary'!$L:$L,"")),$R256),"")</f>
        <v/>
      </c>
      <c r="E256" s="3">
        <f>XLOOKUP(D256,'Move Editor'!$B:$B,'Move Editor'!$C:$C,"")</f>
        <v/>
      </c>
      <c r="F256" s="3">
        <f>XLOOKUP(D256,'Move Editor'!$B:$B,'Move Editor'!$D:$D,"")</f>
        <v/>
      </c>
      <c r="G256" s="3">
        <f>XLOOKUP(D256,'Move Editor'!$B:$B,'Move Editor'!$E:$E,0)</f>
        <v/>
      </c>
      <c r="H256" s="3">
        <f>XLOOKUP(D256,'Move Editor'!$B:$B,'Move Editor'!$F:$F,0)</f>
        <v/>
      </c>
      <c r="I256" s="3">
        <f>(INDEX('Type Chart'!$B:$S,MATCH(E256,'Type Chart'!$A:$A,0),MATCH(XLOOKUP('Boss Editor'!$C$4,'Pokemon Editor'!$A:$A,'Pokemon Editor'!$C:$C,""),'Type Chart'!$B$1:$S$1,0))*IF(XLOOKUP('Boss Editor'!$C$4,'Pokemon Editor'!$A:$A,'Pokemon Editor'!$D:$D,"")="",1,INDEX('Type Chart'!$B:$S,MATCH(E256,'Type Chart'!$A:$A,0),MATCH(XLOOKUP('Boss Editor'!$C$4,'Pokemon Editor'!$A:$A,'Pokemon Editor'!$D:$D,""),'Type Chart'!$B$1:$S$1,0))))</f>
        <v/>
      </c>
      <c r="J256" s="3">
        <f>IFERROR(LET(mtype,XLOOKUP($D256,'Move Editor'!$B:$B,'Move Editor'!$C:$C,""),cat,XLOOKUP($D256,'Move Editor'!$B:$B,'Move Editor'!$D:$D,""),pow,XLOOKUP($D256,'Move Editor'!$B:$B,'Move Editor'!$E:$E,0),acc,XLOOKUP($D256,'Move Editor'!$B:$B,'Move Editor'!$F:$F,100),atk,IF(cat="Physical",FLOOR((FLOOR(((2*XLOOKUP(XLOOKUP($Q256,'Threshold Summary'!$Y:$Y,'Threshold Summary'!$K:$K,""),'Pokemon Editor'!$A:$A,'Pokemon Editor'!$F:$F,0)+31+FLOOR(XLOOKUP($Q256,'Threshold Summary'!$Y:$Y,'Threshold Summary'!$P:$P,"")/4))*XLOOKUP($Q256,'Threshold Summary'!$Y:$Y,'Threshold Summary'!$L:$L,""))/100)+5)*XLOOKUP(XLOOKUP($Q256,'Threshold Summary'!$Y:$Y,'Threshold Summary'!$M:$M,""),'Nature Editor'!$A:$A,'Nature Editor'!$B:$B,1)),FLOOR((FLOOR(((2*XLOOKUP(XLOOKUP($Q256,'Threshold Summary'!$Y:$Y,'Threshold Summary'!$K:$K,""),'Pokemon Editor'!$A:$A,'Pokemon Editor'!$H:$H,0)+31+FLOOR(XLOOKUP($Q256,'Threshold Summary'!$Y:$Y,'Threshold Summary'!$R:$R,"")/4))*XLOOKUP($Q256,'Threshold Summary'!$Y:$Y,'Threshold Summary'!$L:$L,""))/100)+5)*XLOOKUP(XLOOKUP($Q256,'Threshold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Editor'!$E:$E,1))),stab,IF(OR(mtype=XLOOKUP(XLOOKUP($Q256,'Threshold Summary'!$Y:$Y,'Threshold Summary'!$K:$K,""),'Pokemon Editor'!$A:$A,'Pokemon Editor'!$C:$C,""),mtype=XLOOKUP(XLOOKUP($Q256,'Threshold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Chart'!$B$1:$S$1,0)))),base,IF(OR(cat="Status",pow=0),0,FLOOR(FLOOR(FLOOR((2*XLOOKUP($Q256,'Threshold Summary'!$Y:$Y,'Threshold Summary'!$L:$L,"")/5+2)*pow*atk/def)/50)+2)),modifier,stab*eff,FLOOR(base*modifier*0.85)),0)</f>
        <v/>
      </c>
      <c r="K256" s="3">
        <f>IFERROR(LET(mtype,XLOOKUP($D256,'Move Editor'!$B:$B,'Move Editor'!$C:$C,""),cat,XLOOKUP($D256,'Move Editor'!$B:$B,'Move Editor'!$D:$D,""),pow,XLOOKUP($D256,'Move Editor'!$B:$B,'Move Editor'!$E:$E,0),acc,XLOOKUP($D256,'Move Editor'!$B:$B,'Move Editor'!$F:$F,100),atk,IF(cat="Physical",FLOOR((FLOOR(((2*XLOOKUP(XLOOKUP($Q256,'Threshold Summary'!$Y:$Y,'Threshold Summary'!$K:$K,""),'Pokemon Editor'!$A:$A,'Pokemon Editor'!$F:$F,0)+31+FLOOR(XLOOKUP($Q256,'Threshold Summary'!$Y:$Y,'Threshold Summary'!$P:$P,"")/4))*XLOOKUP($Q256,'Threshold Summary'!$Y:$Y,'Threshold Summary'!$L:$L,""))/100)+5)*XLOOKUP(XLOOKUP($Q256,'Threshold Summary'!$Y:$Y,'Threshold Summary'!$M:$M,""),'Nature Editor'!$A:$A,'Nature Editor'!$B:$B,1)),FLOOR((FLOOR(((2*XLOOKUP(XLOOKUP($Q256,'Threshold Summary'!$Y:$Y,'Threshold Summary'!$K:$K,""),'Pokemon Editor'!$A:$A,'Pokemon Editor'!$H:$H,0)+31+FLOOR(XLOOKUP($Q256,'Threshold Summary'!$Y:$Y,'Threshold Summary'!$R:$R,"")/4))*XLOOKUP($Q256,'Threshold Summary'!$Y:$Y,'Threshold Summary'!$L:$L,""))/100)+5)*XLOOKUP(XLOOKUP($Q256,'Threshold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Editor'!$E:$E,1))),stab,IF(OR(mtype=XLOOKUP(XLOOKUP($Q256,'Threshold Summary'!$Y:$Y,'Threshold Summary'!$K:$K,""),'Pokemon Editor'!$A:$A,'Pokemon Editor'!$C:$C,""),mtype=XLOOKUP(XLOOKUP($Q256,'Threshold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Chart'!$B$1:$S$1,0)))),base,IF(OR(cat="Status",pow=0),0,FLOOR(FLOOR(FLOOR((2*XLOOKUP($Q256,'Threshold Summary'!$Y:$Y,'Threshold Summary'!$L:$L,"")/5+2)*pow*atk/def)/50)+2)),modifier,stab*eff,FLOOR(base*modifier)),0)</f>
        <v/>
      </c>
      <c r="L256" s="3">
        <f>IFERROR(LET(mtype,XLOOKUP($D256,'Move Editor'!$B:$B,'Move Editor'!$C:$C,""),cat,XLOOKUP($D256,'Move Editor'!$B:$B,'Move Editor'!$D:$D,""),pow,XLOOKUP($D256,'Move Editor'!$B:$B,'Move Editor'!$E:$E,0),acc,XLOOKUP($D256,'Move Editor'!$B:$B,'Move Editor'!$F:$F,100),atk,IF(cat="Physical",FLOOR((FLOOR(((2*XLOOKUP(XLOOKUP($Q256,'Threshold Summary'!$Y:$Y,'Threshold Summary'!$K:$K,""),'Pokemon Editor'!$A:$A,'Pokemon Editor'!$F:$F,0)+31+FLOOR(XLOOKUP($Q256,'Threshold Summary'!$Y:$Y,'Threshold Summary'!$P:$P,"")/4))*XLOOKUP($Q256,'Threshold Summary'!$Y:$Y,'Threshold Summary'!$L:$L,""))/100)+5)*XLOOKUP(XLOOKUP($Q256,'Threshold Summary'!$Y:$Y,'Threshold Summary'!$M:$M,""),'Nature Editor'!$A:$A,'Nature Editor'!$B:$B,1)),FLOOR((FLOOR(((2*XLOOKUP(XLOOKUP($Q256,'Threshold Summary'!$Y:$Y,'Threshold Summary'!$K:$K,""),'Pokemon Editor'!$A:$A,'Pokemon Editor'!$H:$H,0)+31+FLOOR(XLOOKUP($Q256,'Threshold Summary'!$Y:$Y,'Threshold Summary'!$R:$R,"")/4))*XLOOKUP($Q256,'Threshold Summary'!$Y:$Y,'Threshold Summary'!$L:$L,""))/100)+5)*XLOOKUP(XLOOKUP($Q256,'Threshold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Editor'!$E:$E,1))),stab,IF(OR(mtype=XLOOKUP(XLOOKUP($Q256,'Threshold Summary'!$Y:$Y,'Threshold Summary'!$K:$K,""),'Pokemon Editor'!$A:$A,'Pokemon Editor'!$C:$C,""),mtype=XLOOKUP(XLOOKUP($Q256,'Threshold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Chart'!$B$1:$S$1,0)))),base,IF(OR(cat="Status",pow=0),0,FLOOR(FLOOR(FLOOR((2*XLOOKUP($Q256,'Threshold Summary'!$Y:$Y,'Threshold Summary'!$L:$L,"")/5+2)*pow*atk/def)/50)+2)),modifier,stab*eff,AVERAGE(ARRAYFORMULA(FLOOR(base*modifier*SEQUENCE(16,1,85,1)/100)))),0)</f>
        <v/>
      </c>
      <c r="M256" s="3">
        <f>IFERROR(LET(mtype,XLOOKUP($D256,'Move Editor'!$B:$B,'Move Editor'!$C:$C,""),cat,XLOOKUP($D256,'Move Editor'!$B:$B,'Move Editor'!$D:$D,""),pow,XLOOKUP($D256,'Move Editor'!$B:$B,'Move Editor'!$E:$E,0),acc,XLOOKUP($D256,'Move Editor'!$B:$B,'Move Editor'!$F:$F,100),atk,IF(cat="Physical",FLOOR((FLOOR(((2*XLOOKUP(XLOOKUP($Q256,'Threshold Summary'!$Y:$Y,'Threshold Summary'!$K:$K,""),'Pokemon Editor'!$A:$A,'Pokemon Editor'!$F:$F,0)+31+FLOOR(XLOOKUP($Q256,'Threshold Summary'!$Y:$Y,'Threshold Summary'!$P:$P,"")/4))*XLOOKUP($Q256,'Threshold Summary'!$Y:$Y,'Threshold Summary'!$L:$L,""))/100)+5)*XLOOKUP(XLOOKUP($Q256,'Threshold Summary'!$Y:$Y,'Threshold Summary'!$M:$M,""),'Nature Editor'!$A:$A,'Nature Editor'!$B:$B,1)),FLOOR((FLOOR(((2*XLOOKUP(XLOOKUP($Q256,'Threshold Summary'!$Y:$Y,'Threshold Summary'!$K:$K,""),'Pokemon Editor'!$A:$A,'Pokemon Editor'!$H:$H,0)+31+FLOOR(XLOOKUP($Q256,'Threshold Summary'!$Y:$Y,'Threshold Summary'!$R:$R,"")/4))*XLOOKUP($Q256,'Threshold Summary'!$Y:$Y,'Threshold Summary'!$L:$L,""))/100)+5)*XLOOKUP(XLOOKUP($Q256,'Threshold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Editor'!$E:$E,1))),stab,IF(OR(mtype=XLOOKUP(XLOOKUP($Q256,'Threshold Summary'!$Y:$Y,'Threshold Summary'!$K:$K,""),'Pokemon Editor'!$A:$A,'Pokemon Editor'!$C:$C,""),mtype=XLOOKUP(XLOOKUP($Q256,'Threshold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Chart'!$B$1:$S$1,0)))),base,IF(OR(cat="Status",pow=0),0,FLOOR(FLOOR(FLOOR((2*XLOOKUP($Q256,'Threshold Summary'!$Y:$Y,'Threshold Summary'!$L:$L,"")/5+2)*pow*atk/def)/50)+2)),modifier,stab*eff,AVERAGE(ARRAYFORMULA(FLOOR(base*modifier*SEQUENCE(16,1,85,1)/100)))*MIN(1,acc/100)),0)</f>
        <v/>
      </c>
      <c r="N256" s="4">
        <f>IFERROR(LET(mtype,XLOOKUP($D256,'Move Editor'!$B:$B,'Move Editor'!$C:$C,""),cat,XLOOKUP($D256,'Move Editor'!$B:$B,'Move Editor'!$D:$D,""),pow,XLOOKUP($D256,'Move Editor'!$B:$B,'Move Editor'!$E:$E,0),acc,XLOOKUP($D256,'Move Editor'!$B:$B,'Move Editor'!$F:$F,100),atk,IF(cat="Physical",FLOOR((FLOOR(((2*XLOOKUP(XLOOKUP($Q256,'Threshold Summary'!$Y:$Y,'Threshold Summary'!$K:$K,""),'Pokemon Editor'!$A:$A,'Pokemon Editor'!$F:$F,0)+31+FLOOR(XLOOKUP($Q256,'Threshold Summary'!$Y:$Y,'Threshold Summary'!$P:$P,"")/4))*XLOOKUP($Q256,'Threshold Summary'!$Y:$Y,'Threshold Summary'!$L:$L,""))/100)+5)*XLOOKUP(XLOOKUP($Q256,'Threshold Summary'!$Y:$Y,'Threshold Summary'!$M:$M,""),'Nature Editor'!$A:$A,'Nature Editor'!$B:$B,1)),FLOOR((FLOOR(((2*XLOOKUP(XLOOKUP($Q256,'Threshold Summary'!$Y:$Y,'Threshold Summary'!$K:$K,""),'Pokemon Editor'!$A:$A,'Pokemon Editor'!$H:$H,0)+31+FLOOR(XLOOKUP($Q256,'Threshold Summary'!$Y:$Y,'Threshold Summary'!$R:$R,"")/4))*XLOOKUP($Q256,'Threshold Summary'!$Y:$Y,'Threshold Summary'!$L:$L,""))/100)+5)*XLOOKUP(XLOOKUP($Q256,'Threshold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Editor'!$E:$E,1))),stab,IF(OR(mtype=XLOOKUP(XLOOKUP($Q256,'Threshold Summary'!$Y:$Y,'Threshold Summary'!$K:$K,""),'Pokemon Editor'!$A:$A,'Pokemon Editor'!$C:$C,""),mtype=XLOOKUP(XLOOKUP($Q256,'Threshold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Chart'!$B$1:$S$1,0)))),base,IF(OR(cat="Status",pow=0),0,FLOOR(FLOOR(FLOOR((2*XLOOKUP($Q256,'Threshold Summary'!$Y:$Y,'Threshold Summary'!$L:$L,"")/5+2)*pow*atk/def)/50)+2)),modifier,stab*eff,AVERAGE(ARRAYFORMULA(FLOOR(base*modifier*SEQUENCE(16,1,85,1)/100)))/(FLOOR(((2*XLOOKUP('Boss Editor'!$C$4,'Pokemon Editor'!$A:$A,'Pokemon Editor'!$E:$E,0)+31+FLOOR('Boss Editor'!$G$4/4))*'Boss Editor'!$D$4)/100)+'Boss Editor'!$D$4+10)),0)</f>
        <v/>
      </c>
      <c r="O256" s="3">
        <f>IF(N256&gt;=1,"OHKO",IF(N256&gt;=0.5,"2HKO",IF(N256&gt;=0.333,"3HKO",IF(N256&gt;=0.25,"4HKO","5HKO+"))))</f>
        <v/>
      </c>
      <c r="P256" s="3" t="inlineStr">
        <is>
          <t>Live from editable databases</t>
        </is>
      </c>
      <c r="Q256" s="3" t="inlineStr">
        <is>
          <t>SPECIES_RALTS</t>
        </is>
      </c>
      <c r="R256" s="3" t="n">
        <v>31</v>
      </c>
    </row>
    <row r="257">
      <c r="A257" s="3">
        <f>XLOOKUP($Q257,'Threshold Summary'!$Y:$Y,'Threshold Summary'!$A:$A,"")</f>
        <v/>
      </c>
      <c r="B257" s="3">
        <f>XLOOKUP($Q257,'Threshold Summary'!$Y:$Y,'Threshold Summary'!$M:$M,"")</f>
        <v/>
      </c>
      <c r="C257" s="3">
        <f>XLOOKUP($Q257,'Threshold Summary'!$Y:$Y,'Threshold Summary'!$N:$N,"")</f>
        <v/>
      </c>
      <c r="D257" s="3">
        <f>IFERROR(INDEX(FILTER('Learnset Editor'!$D$2:$D,'Learnset Editor'!$A$2:$A=XLOOKUP($Q257,'Threshold Summary'!$Y:$Y,'Threshold Summary'!$K:$K,""),'Learnset Editor'!$C$2:$C&lt;=XLOOKUP($Q257,'Threshold Summary'!$Y:$Y,'Threshold Summary'!$L:$L,"")),$R257),"")</f>
        <v/>
      </c>
      <c r="E257" s="3">
        <f>XLOOKUP(D257,'Move Editor'!$B:$B,'Move Editor'!$C:$C,"")</f>
        <v/>
      </c>
      <c r="F257" s="3">
        <f>XLOOKUP(D257,'Move Editor'!$B:$B,'Move Editor'!$D:$D,"")</f>
        <v/>
      </c>
      <c r="G257" s="3">
        <f>XLOOKUP(D257,'Move Editor'!$B:$B,'Move Editor'!$E:$E,0)</f>
        <v/>
      </c>
      <c r="H257" s="3">
        <f>XLOOKUP(D257,'Move Editor'!$B:$B,'Move Editor'!$F:$F,0)</f>
        <v/>
      </c>
      <c r="I257" s="3">
        <f>(INDEX('Type Chart'!$B:$S,MATCH(E257,'Type Chart'!$A:$A,0),MATCH(XLOOKUP('Boss Editor'!$C$4,'Pokemon Editor'!$A:$A,'Pokemon Editor'!$C:$C,""),'Type Chart'!$B$1:$S$1,0))*IF(XLOOKUP('Boss Editor'!$C$4,'Pokemon Editor'!$A:$A,'Pokemon Editor'!$D:$D,"")="",1,INDEX('Type Chart'!$B:$S,MATCH(E257,'Type Chart'!$A:$A,0),MATCH(XLOOKUP('Boss Editor'!$C$4,'Pokemon Editor'!$A:$A,'Pokemon Editor'!$D:$D,""),'Type Chart'!$B$1:$S$1,0))))</f>
        <v/>
      </c>
      <c r="J257" s="3">
        <f>IFERROR(LET(mtype,XLOOKUP($D257,'Move Editor'!$B:$B,'Move Editor'!$C:$C,""),cat,XLOOKUP($D257,'Move Editor'!$B:$B,'Move Editor'!$D:$D,""),pow,XLOOKUP($D257,'Move Editor'!$B:$B,'Move Editor'!$E:$E,0),acc,XLOOKUP($D257,'Move Editor'!$B:$B,'Move Editor'!$F:$F,100),atk,IF(cat="Physical",FLOOR((FLOOR(((2*XLOOKUP(XLOOKUP($Q257,'Threshold Summary'!$Y:$Y,'Threshold Summary'!$K:$K,""),'Pokemon Editor'!$A:$A,'Pokemon Editor'!$F:$F,0)+31+FLOOR(XLOOKUP($Q257,'Threshold Summary'!$Y:$Y,'Threshold Summary'!$P:$P,"")/4))*XLOOKUP($Q257,'Threshold Summary'!$Y:$Y,'Threshold Summary'!$L:$L,""))/100)+5)*XLOOKUP(XLOOKUP($Q257,'Threshold Summary'!$Y:$Y,'Threshold Summary'!$M:$M,""),'Nature Editor'!$A:$A,'Nature Editor'!$B:$B,1)),FLOOR((FLOOR(((2*XLOOKUP(XLOOKUP($Q257,'Threshold Summary'!$Y:$Y,'Threshold Summary'!$K:$K,""),'Pokemon Editor'!$A:$A,'Pokemon Editor'!$H:$H,0)+31+FLOOR(XLOOKUP($Q257,'Threshold Summary'!$Y:$Y,'Threshold Summary'!$R:$R,"")/4))*XLOOKUP($Q257,'Threshold Summary'!$Y:$Y,'Threshold Summary'!$L:$L,""))/100)+5)*XLOOKUP(XLOOKUP($Q257,'Threshold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Editor'!$E:$E,1))),stab,IF(OR(mtype=XLOOKUP(XLOOKUP($Q257,'Threshold Summary'!$Y:$Y,'Threshold Summary'!$K:$K,""),'Pokemon Editor'!$A:$A,'Pokemon Editor'!$C:$C,""),mtype=XLOOKUP(XLOOKUP($Q257,'Threshold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Chart'!$B$1:$S$1,0)))),base,IF(OR(cat="Status",pow=0),0,FLOOR(FLOOR(FLOOR((2*XLOOKUP($Q257,'Threshold Summary'!$Y:$Y,'Threshold Summary'!$L:$L,"")/5+2)*pow*atk/def)/50)+2)),modifier,stab*eff,FLOOR(base*modifier*0.85)),0)</f>
        <v/>
      </c>
      <c r="K257" s="3">
        <f>IFERROR(LET(mtype,XLOOKUP($D257,'Move Editor'!$B:$B,'Move Editor'!$C:$C,""),cat,XLOOKUP($D257,'Move Editor'!$B:$B,'Move Editor'!$D:$D,""),pow,XLOOKUP($D257,'Move Editor'!$B:$B,'Move Editor'!$E:$E,0),acc,XLOOKUP($D257,'Move Editor'!$B:$B,'Move Editor'!$F:$F,100),atk,IF(cat="Physical",FLOOR((FLOOR(((2*XLOOKUP(XLOOKUP($Q257,'Threshold Summary'!$Y:$Y,'Threshold Summary'!$K:$K,""),'Pokemon Editor'!$A:$A,'Pokemon Editor'!$F:$F,0)+31+FLOOR(XLOOKUP($Q257,'Threshold Summary'!$Y:$Y,'Threshold Summary'!$P:$P,"")/4))*XLOOKUP($Q257,'Threshold Summary'!$Y:$Y,'Threshold Summary'!$L:$L,""))/100)+5)*XLOOKUP(XLOOKUP($Q257,'Threshold Summary'!$Y:$Y,'Threshold Summary'!$M:$M,""),'Nature Editor'!$A:$A,'Nature Editor'!$B:$B,1)),FLOOR((FLOOR(((2*XLOOKUP(XLOOKUP($Q257,'Threshold Summary'!$Y:$Y,'Threshold Summary'!$K:$K,""),'Pokemon Editor'!$A:$A,'Pokemon Editor'!$H:$H,0)+31+FLOOR(XLOOKUP($Q257,'Threshold Summary'!$Y:$Y,'Threshold Summary'!$R:$R,"")/4))*XLOOKUP($Q257,'Threshold Summary'!$Y:$Y,'Threshold Summary'!$L:$L,""))/100)+5)*XLOOKUP(XLOOKUP($Q257,'Threshold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Editor'!$E:$E,1))),stab,IF(OR(mtype=XLOOKUP(XLOOKUP($Q257,'Threshold Summary'!$Y:$Y,'Threshold Summary'!$K:$K,""),'Pokemon Editor'!$A:$A,'Pokemon Editor'!$C:$C,""),mtype=XLOOKUP(XLOOKUP($Q257,'Threshold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Chart'!$B$1:$S$1,0)))),base,IF(OR(cat="Status",pow=0),0,FLOOR(FLOOR(FLOOR((2*XLOOKUP($Q257,'Threshold Summary'!$Y:$Y,'Threshold Summary'!$L:$L,"")/5+2)*pow*atk/def)/50)+2)),modifier,stab*eff,FLOOR(base*modifier)),0)</f>
        <v/>
      </c>
      <c r="L257" s="3">
        <f>IFERROR(LET(mtype,XLOOKUP($D257,'Move Editor'!$B:$B,'Move Editor'!$C:$C,""),cat,XLOOKUP($D257,'Move Editor'!$B:$B,'Move Editor'!$D:$D,""),pow,XLOOKUP($D257,'Move Editor'!$B:$B,'Move Editor'!$E:$E,0),acc,XLOOKUP($D257,'Move Editor'!$B:$B,'Move Editor'!$F:$F,100),atk,IF(cat="Physical",FLOOR((FLOOR(((2*XLOOKUP(XLOOKUP($Q257,'Threshold Summary'!$Y:$Y,'Threshold Summary'!$K:$K,""),'Pokemon Editor'!$A:$A,'Pokemon Editor'!$F:$F,0)+31+FLOOR(XLOOKUP($Q257,'Threshold Summary'!$Y:$Y,'Threshold Summary'!$P:$P,"")/4))*XLOOKUP($Q257,'Threshold Summary'!$Y:$Y,'Threshold Summary'!$L:$L,""))/100)+5)*XLOOKUP(XLOOKUP($Q257,'Threshold Summary'!$Y:$Y,'Threshold Summary'!$M:$M,""),'Nature Editor'!$A:$A,'Nature Editor'!$B:$B,1)),FLOOR((FLOOR(((2*XLOOKUP(XLOOKUP($Q257,'Threshold Summary'!$Y:$Y,'Threshold Summary'!$K:$K,""),'Pokemon Editor'!$A:$A,'Pokemon Editor'!$H:$H,0)+31+FLOOR(XLOOKUP($Q257,'Threshold Summary'!$Y:$Y,'Threshold Summary'!$R:$R,"")/4))*XLOOKUP($Q257,'Threshold Summary'!$Y:$Y,'Threshold Summary'!$L:$L,""))/100)+5)*XLOOKUP(XLOOKUP($Q257,'Threshold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Editor'!$E:$E,1))),stab,IF(OR(mtype=XLOOKUP(XLOOKUP($Q257,'Threshold Summary'!$Y:$Y,'Threshold Summary'!$K:$K,""),'Pokemon Editor'!$A:$A,'Pokemon Editor'!$C:$C,""),mtype=XLOOKUP(XLOOKUP($Q257,'Threshold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Chart'!$B$1:$S$1,0)))),base,IF(OR(cat="Status",pow=0),0,FLOOR(FLOOR(FLOOR((2*XLOOKUP($Q257,'Threshold Summary'!$Y:$Y,'Threshold Summary'!$L:$L,"")/5+2)*pow*atk/def)/50)+2)),modifier,stab*eff,AVERAGE(ARRAYFORMULA(FLOOR(base*modifier*SEQUENCE(16,1,85,1)/100)))),0)</f>
        <v/>
      </c>
      <c r="M257" s="3">
        <f>IFERROR(LET(mtype,XLOOKUP($D257,'Move Editor'!$B:$B,'Move Editor'!$C:$C,""),cat,XLOOKUP($D257,'Move Editor'!$B:$B,'Move Editor'!$D:$D,""),pow,XLOOKUP($D257,'Move Editor'!$B:$B,'Move Editor'!$E:$E,0),acc,XLOOKUP($D257,'Move Editor'!$B:$B,'Move Editor'!$F:$F,100),atk,IF(cat="Physical",FLOOR((FLOOR(((2*XLOOKUP(XLOOKUP($Q257,'Threshold Summary'!$Y:$Y,'Threshold Summary'!$K:$K,""),'Pokemon Editor'!$A:$A,'Pokemon Editor'!$F:$F,0)+31+FLOOR(XLOOKUP($Q257,'Threshold Summary'!$Y:$Y,'Threshold Summary'!$P:$P,"")/4))*XLOOKUP($Q257,'Threshold Summary'!$Y:$Y,'Threshold Summary'!$L:$L,""))/100)+5)*XLOOKUP(XLOOKUP($Q257,'Threshold Summary'!$Y:$Y,'Threshold Summary'!$M:$M,""),'Nature Editor'!$A:$A,'Nature Editor'!$B:$B,1)),FLOOR((FLOOR(((2*XLOOKUP(XLOOKUP($Q257,'Threshold Summary'!$Y:$Y,'Threshold Summary'!$K:$K,""),'Pokemon Editor'!$A:$A,'Pokemon Editor'!$H:$H,0)+31+FLOOR(XLOOKUP($Q257,'Threshold Summary'!$Y:$Y,'Threshold Summary'!$R:$R,"")/4))*XLOOKUP($Q257,'Threshold Summary'!$Y:$Y,'Threshold Summary'!$L:$L,""))/100)+5)*XLOOKUP(XLOOKUP($Q257,'Threshold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Editor'!$E:$E,1))),stab,IF(OR(mtype=XLOOKUP(XLOOKUP($Q257,'Threshold Summary'!$Y:$Y,'Threshold Summary'!$K:$K,""),'Pokemon Editor'!$A:$A,'Pokemon Editor'!$C:$C,""),mtype=XLOOKUP(XLOOKUP($Q257,'Threshold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Chart'!$B$1:$S$1,0)))),base,IF(OR(cat="Status",pow=0),0,FLOOR(FLOOR(FLOOR((2*XLOOKUP($Q257,'Threshold Summary'!$Y:$Y,'Threshold Summary'!$L:$L,"")/5+2)*pow*atk/def)/50)+2)),modifier,stab*eff,AVERAGE(ARRAYFORMULA(FLOOR(base*modifier*SEQUENCE(16,1,85,1)/100)))*MIN(1,acc/100)),0)</f>
        <v/>
      </c>
      <c r="N257" s="4">
        <f>IFERROR(LET(mtype,XLOOKUP($D257,'Move Editor'!$B:$B,'Move Editor'!$C:$C,""),cat,XLOOKUP($D257,'Move Editor'!$B:$B,'Move Editor'!$D:$D,""),pow,XLOOKUP($D257,'Move Editor'!$B:$B,'Move Editor'!$E:$E,0),acc,XLOOKUP($D257,'Move Editor'!$B:$B,'Move Editor'!$F:$F,100),atk,IF(cat="Physical",FLOOR((FLOOR(((2*XLOOKUP(XLOOKUP($Q257,'Threshold Summary'!$Y:$Y,'Threshold Summary'!$K:$K,""),'Pokemon Editor'!$A:$A,'Pokemon Editor'!$F:$F,0)+31+FLOOR(XLOOKUP($Q257,'Threshold Summary'!$Y:$Y,'Threshold Summary'!$P:$P,"")/4))*XLOOKUP($Q257,'Threshold Summary'!$Y:$Y,'Threshold Summary'!$L:$L,""))/100)+5)*XLOOKUP(XLOOKUP($Q257,'Threshold Summary'!$Y:$Y,'Threshold Summary'!$M:$M,""),'Nature Editor'!$A:$A,'Nature Editor'!$B:$B,1)),FLOOR((FLOOR(((2*XLOOKUP(XLOOKUP($Q257,'Threshold Summary'!$Y:$Y,'Threshold Summary'!$K:$K,""),'Pokemon Editor'!$A:$A,'Pokemon Editor'!$H:$H,0)+31+FLOOR(XLOOKUP($Q257,'Threshold Summary'!$Y:$Y,'Threshold Summary'!$R:$R,"")/4))*XLOOKUP($Q257,'Threshold Summary'!$Y:$Y,'Threshold Summary'!$L:$L,""))/100)+5)*XLOOKUP(XLOOKUP($Q257,'Threshold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Editor'!$E:$E,1))),stab,IF(OR(mtype=XLOOKUP(XLOOKUP($Q257,'Threshold Summary'!$Y:$Y,'Threshold Summary'!$K:$K,""),'Pokemon Editor'!$A:$A,'Pokemon Editor'!$C:$C,""),mtype=XLOOKUP(XLOOKUP($Q257,'Threshold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Chart'!$B$1:$S$1,0)))),base,IF(OR(cat="Status",pow=0),0,FLOOR(FLOOR(FLOOR((2*XLOOKUP($Q257,'Threshold Summary'!$Y:$Y,'Threshold Summary'!$L:$L,"")/5+2)*pow*atk/def)/50)+2)),modifier,stab*eff,AVERAGE(ARRAYFORMULA(FLOOR(base*modifier*SEQUENCE(16,1,85,1)/100)))/(FLOOR(((2*XLOOKUP('Boss Editor'!$C$4,'Pokemon Editor'!$A:$A,'Pokemon Editor'!$E:$E,0)+31+FLOOR('Boss Editor'!$G$4/4))*'Boss Editor'!$D$4)/100)+'Boss Editor'!$D$4+10)),0)</f>
        <v/>
      </c>
      <c r="O257" s="3">
        <f>IF(N257&gt;=1,"OHKO",IF(N257&gt;=0.5,"2HKO",IF(N257&gt;=0.333,"3HKO",IF(N257&gt;=0.25,"4HKO","5HKO+"))))</f>
        <v/>
      </c>
      <c r="P257" s="3" t="inlineStr">
        <is>
          <t>Live from editable databases</t>
        </is>
      </c>
      <c r="Q257" s="3" t="inlineStr">
        <is>
          <t>SPECIES_RALTS</t>
        </is>
      </c>
      <c r="R257" s="3" t="n">
        <v>32</v>
      </c>
    </row>
    <row r="258">
      <c r="A258" s="3">
        <f>XLOOKUP($Q258,'Threshold Summary'!$Y:$Y,'Threshold Summary'!$A:$A,"")</f>
        <v/>
      </c>
      <c r="B258" s="3">
        <f>XLOOKUP($Q258,'Threshold Summary'!$Y:$Y,'Threshold Summary'!$M:$M,"")</f>
        <v/>
      </c>
      <c r="C258" s="3">
        <f>XLOOKUP($Q258,'Threshold Summary'!$Y:$Y,'Threshold Summary'!$N:$N,"")</f>
        <v/>
      </c>
      <c r="D258" s="3">
        <f>IFERROR(INDEX(FILTER('Learnset Editor'!$D$2:$D,'Learnset Editor'!$A$2:$A=XLOOKUP($Q258,'Threshold Summary'!$Y:$Y,'Threshold Summary'!$K:$K,""),'Learnset Editor'!$C$2:$C&lt;=XLOOKUP($Q258,'Threshold Summary'!$Y:$Y,'Threshold Summary'!$L:$L,"")),$R258),"")</f>
        <v/>
      </c>
      <c r="E258" s="3">
        <f>XLOOKUP(D258,'Move Editor'!$B:$B,'Move Editor'!$C:$C,"")</f>
        <v/>
      </c>
      <c r="F258" s="3">
        <f>XLOOKUP(D258,'Move Editor'!$B:$B,'Move Editor'!$D:$D,"")</f>
        <v/>
      </c>
      <c r="G258" s="3">
        <f>XLOOKUP(D258,'Move Editor'!$B:$B,'Move Editor'!$E:$E,0)</f>
        <v/>
      </c>
      <c r="H258" s="3">
        <f>XLOOKUP(D258,'Move Editor'!$B:$B,'Move Editor'!$F:$F,0)</f>
        <v/>
      </c>
      <c r="I258" s="3">
        <f>(INDEX('Type Chart'!$B:$S,MATCH(E258,'Type Chart'!$A:$A,0),MATCH(XLOOKUP('Boss Editor'!$C$4,'Pokemon Editor'!$A:$A,'Pokemon Editor'!$C:$C,""),'Type Chart'!$B$1:$S$1,0))*IF(XLOOKUP('Boss Editor'!$C$4,'Pokemon Editor'!$A:$A,'Pokemon Editor'!$D:$D,"")="",1,INDEX('Type Chart'!$B:$S,MATCH(E258,'Type Chart'!$A:$A,0),MATCH(XLOOKUP('Boss Editor'!$C$4,'Pokemon Editor'!$A:$A,'Pokemon Editor'!$D:$D,""),'Type Chart'!$B$1:$S$1,0))))</f>
        <v/>
      </c>
      <c r="J258" s="3">
        <f>IFERROR(LET(mtype,XLOOKUP($D258,'Move Editor'!$B:$B,'Move Editor'!$C:$C,""),cat,XLOOKUP($D258,'Move Editor'!$B:$B,'Move Editor'!$D:$D,""),pow,XLOOKUP($D258,'Move Editor'!$B:$B,'Move Editor'!$E:$E,0),acc,XLOOKUP($D258,'Move Editor'!$B:$B,'Move Editor'!$F:$F,100),atk,IF(cat="Physical",FLOOR((FLOOR(((2*XLOOKUP(XLOOKUP($Q258,'Threshold Summary'!$Y:$Y,'Threshold Summary'!$K:$K,""),'Pokemon Editor'!$A:$A,'Pokemon Editor'!$F:$F,0)+31+FLOOR(XLOOKUP($Q258,'Threshold Summary'!$Y:$Y,'Threshold Summary'!$P:$P,"")/4))*XLOOKUP($Q258,'Threshold Summary'!$Y:$Y,'Threshold Summary'!$L:$L,""))/100)+5)*XLOOKUP(XLOOKUP($Q258,'Threshold Summary'!$Y:$Y,'Threshold Summary'!$M:$M,""),'Nature Editor'!$A:$A,'Nature Editor'!$B:$B,1)),FLOOR((FLOOR(((2*XLOOKUP(XLOOKUP($Q258,'Threshold Summary'!$Y:$Y,'Threshold Summary'!$K:$K,""),'Pokemon Editor'!$A:$A,'Pokemon Editor'!$H:$H,0)+31+FLOOR(XLOOKUP($Q258,'Threshold Summary'!$Y:$Y,'Threshold Summary'!$R:$R,"")/4))*XLOOKUP($Q258,'Threshold Summary'!$Y:$Y,'Threshold Summary'!$L:$L,""))/100)+5)*XLOOKUP(XLOOKUP($Q258,'Threshold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Editor'!$E:$E,1))),stab,IF(OR(mtype=XLOOKUP(XLOOKUP($Q258,'Threshold Summary'!$Y:$Y,'Threshold Summary'!$K:$K,""),'Pokemon Editor'!$A:$A,'Pokemon Editor'!$C:$C,""),mtype=XLOOKUP(XLOOKUP($Q258,'Threshold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Chart'!$B$1:$S$1,0)))),base,IF(OR(cat="Status",pow=0),0,FLOOR(FLOOR(FLOOR((2*XLOOKUP($Q258,'Threshold Summary'!$Y:$Y,'Threshold Summary'!$L:$L,"")/5+2)*pow*atk/def)/50)+2)),modifier,stab*eff,FLOOR(base*modifier*0.85)),0)</f>
        <v/>
      </c>
      <c r="K258" s="3">
        <f>IFERROR(LET(mtype,XLOOKUP($D258,'Move Editor'!$B:$B,'Move Editor'!$C:$C,""),cat,XLOOKUP($D258,'Move Editor'!$B:$B,'Move Editor'!$D:$D,""),pow,XLOOKUP($D258,'Move Editor'!$B:$B,'Move Editor'!$E:$E,0),acc,XLOOKUP($D258,'Move Editor'!$B:$B,'Move Editor'!$F:$F,100),atk,IF(cat="Physical",FLOOR((FLOOR(((2*XLOOKUP(XLOOKUP($Q258,'Threshold Summary'!$Y:$Y,'Threshold Summary'!$K:$K,""),'Pokemon Editor'!$A:$A,'Pokemon Editor'!$F:$F,0)+31+FLOOR(XLOOKUP($Q258,'Threshold Summary'!$Y:$Y,'Threshold Summary'!$P:$P,"")/4))*XLOOKUP($Q258,'Threshold Summary'!$Y:$Y,'Threshold Summary'!$L:$L,""))/100)+5)*XLOOKUP(XLOOKUP($Q258,'Threshold Summary'!$Y:$Y,'Threshold Summary'!$M:$M,""),'Nature Editor'!$A:$A,'Nature Editor'!$B:$B,1)),FLOOR((FLOOR(((2*XLOOKUP(XLOOKUP($Q258,'Threshold Summary'!$Y:$Y,'Threshold Summary'!$K:$K,""),'Pokemon Editor'!$A:$A,'Pokemon Editor'!$H:$H,0)+31+FLOOR(XLOOKUP($Q258,'Threshold Summary'!$Y:$Y,'Threshold Summary'!$R:$R,"")/4))*XLOOKUP($Q258,'Threshold Summary'!$Y:$Y,'Threshold Summary'!$L:$L,""))/100)+5)*XLOOKUP(XLOOKUP($Q258,'Threshold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Editor'!$E:$E,1))),stab,IF(OR(mtype=XLOOKUP(XLOOKUP($Q258,'Threshold Summary'!$Y:$Y,'Threshold Summary'!$K:$K,""),'Pokemon Editor'!$A:$A,'Pokemon Editor'!$C:$C,""),mtype=XLOOKUP(XLOOKUP($Q258,'Threshold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Chart'!$B$1:$S$1,0)))),base,IF(OR(cat="Status",pow=0),0,FLOOR(FLOOR(FLOOR((2*XLOOKUP($Q258,'Threshold Summary'!$Y:$Y,'Threshold Summary'!$L:$L,"")/5+2)*pow*atk/def)/50)+2)),modifier,stab*eff,FLOOR(base*modifier)),0)</f>
        <v/>
      </c>
      <c r="L258" s="3">
        <f>IFERROR(LET(mtype,XLOOKUP($D258,'Move Editor'!$B:$B,'Move Editor'!$C:$C,""),cat,XLOOKUP($D258,'Move Editor'!$B:$B,'Move Editor'!$D:$D,""),pow,XLOOKUP($D258,'Move Editor'!$B:$B,'Move Editor'!$E:$E,0),acc,XLOOKUP($D258,'Move Editor'!$B:$B,'Move Editor'!$F:$F,100),atk,IF(cat="Physical",FLOOR((FLOOR(((2*XLOOKUP(XLOOKUP($Q258,'Threshold Summary'!$Y:$Y,'Threshold Summary'!$K:$K,""),'Pokemon Editor'!$A:$A,'Pokemon Editor'!$F:$F,0)+31+FLOOR(XLOOKUP($Q258,'Threshold Summary'!$Y:$Y,'Threshold Summary'!$P:$P,"")/4))*XLOOKUP($Q258,'Threshold Summary'!$Y:$Y,'Threshold Summary'!$L:$L,""))/100)+5)*XLOOKUP(XLOOKUP($Q258,'Threshold Summary'!$Y:$Y,'Threshold Summary'!$M:$M,""),'Nature Editor'!$A:$A,'Nature Editor'!$B:$B,1)),FLOOR((FLOOR(((2*XLOOKUP(XLOOKUP($Q258,'Threshold Summary'!$Y:$Y,'Threshold Summary'!$K:$K,""),'Pokemon Editor'!$A:$A,'Pokemon Editor'!$H:$H,0)+31+FLOOR(XLOOKUP($Q258,'Threshold Summary'!$Y:$Y,'Threshold Summary'!$R:$R,"")/4))*XLOOKUP($Q258,'Threshold Summary'!$Y:$Y,'Threshold Summary'!$L:$L,""))/100)+5)*XLOOKUP(XLOOKUP($Q258,'Threshold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Editor'!$E:$E,1))),stab,IF(OR(mtype=XLOOKUP(XLOOKUP($Q258,'Threshold Summary'!$Y:$Y,'Threshold Summary'!$K:$K,""),'Pokemon Editor'!$A:$A,'Pokemon Editor'!$C:$C,""),mtype=XLOOKUP(XLOOKUP($Q258,'Threshold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Chart'!$B$1:$S$1,0)))),base,IF(OR(cat="Status",pow=0),0,FLOOR(FLOOR(FLOOR((2*XLOOKUP($Q258,'Threshold Summary'!$Y:$Y,'Threshold Summary'!$L:$L,"")/5+2)*pow*atk/def)/50)+2)),modifier,stab*eff,AVERAGE(ARRAYFORMULA(FLOOR(base*modifier*SEQUENCE(16,1,85,1)/100)))),0)</f>
        <v/>
      </c>
      <c r="M258" s="3">
        <f>IFERROR(LET(mtype,XLOOKUP($D258,'Move Editor'!$B:$B,'Move Editor'!$C:$C,""),cat,XLOOKUP($D258,'Move Editor'!$B:$B,'Move Editor'!$D:$D,""),pow,XLOOKUP($D258,'Move Editor'!$B:$B,'Move Editor'!$E:$E,0),acc,XLOOKUP($D258,'Move Editor'!$B:$B,'Move Editor'!$F:$F,100),atk,IF(cat="Physical",FLOOR((FLOOR(((2*XLOOKUP(XLOOKUP($Q258,'Threshold Summary'!$Y:$Y,'Threshold Summary'!$K:$K,""),'Pokemon Editor'!$A:$A,'Pokemon Editor'!$F:$F,0)+31+FLOOR(XLOOKUP($Q258,'Threshold Summary'!$Y:$Y,'Threshold Summary'!$P:$P,"")/4))*XLOOKUP($Q258,'Threshold Summary'!$Y:$Y,'Threshold Summary'!$L:$L,""))/100)+5)*XLOOKUP(XLOOKUP($Q258,'Threshold Summary'!$Y:$Y,'Threshold Summary'!$M:$M,""),'Nature Editor'!$A:$A,'Nature Editor'!$B:$B,1)),FLOOR((FLOOR(((2*XLOOKUP(XLOOKUP($Q258,'Threshold Summary'!$Y:$Y,'Threshold Summary'!$K:$K,""),'Pokemon Editor'!$A:$A,'Pokemon Editor'!$H:$H,0)+31+FLOOR(XLOOKUP($Q258,'Threshold Summary'!$Y:$Y,'Threshold Summary'!$R:$R,"")/4))*XLOOKUP($Q258,'Threshold Summary'!$Y:$Y,'Threshold Summary'!$L:$L,""))/100)+5)*XLOOKUP(XLOOKUP($Q258,'Threshold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Editor'!$E:$E,1))),stab,IF(OR(mtype=XLOOKUP(XLOOKUP($Q258,'Threshold Summary'!$Y:$Y,'Threshold Summary'!$K:$K,""),'Pokemon Editor'!$A:$A,'Pokemon Editor'!$C:$C,""),mtype=XLOOKUP(XLOOKUP($Q258,'Threshold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Chart'!$B$1:$S$1,0)))),base,IF(OR(cat="Status",pow=0),0,FLOOR(FLOOR(FLOOR((2*XLOOKUP($Q258,'Threshold Summary'!$Y:$Y,'Threshold Summary'!$L:$L,"")/5+2)*pow*atk/def)/50)+2)),modifier,stab*eff,AVERAGE(ARRAYFORMULA(FLOOR(base*modifier*SEQUENCE(16,1,85,1)/100)))*MIN(1,acc/100)),0)</f>
        <v/>
      </c>
      <c r="N258" s="4">
        <f>IFERROR(LET(mtype,XLOOKUP($D258,'Move Editor'!$B:$B,'Move Editor'!$C:$C,""),cat,XLOOKUP($D258,'Move Editor'!$B:$B,'Move Editor'!$D:$D,""),pow,XLOOKUP($D258,'Move Editor'!$B:$B,'Move Editor'!$E:$E,0),acc,XLOOKUP($D258,'Move Editor'!$B:$B,'Move Editor'!$F:$F,100),atk,IF(cat="Physical",FLOOR((FLOOR(((2*XLOOKUP(XLOOKUP($Q258,'Threshold Summary'!$Y:$Y,'Threshold Summary'!$K:$K,""),'Pokemon Editor'!$A:$A,'Pokemon Editor'!$F:$F,0)+31+FLOOR(XLOOKUP($Q258,'Threshold Summary'!$Y:$Y,'Threshold Summary'!$P:$P,"")/4))*XLOOKUP($Q258,'Threshold Summary'!$Y:$Y,'Threshold Summary'!$L:$L,""))/100)+5)*XLOOKUP(XLOOKUP($Q258,'Threshold Summary'!$Y:$Y,'Threshold Summary'!$M:$M,""),'Nature Editor'!$A:$A,'Nature Editor'!$B:$B,1)),FLOOR((FLOOR(((2*XLOOKUP(XLOOKUP($Q258,'Threshold Summary'!$Y:$Y,'Threshold Summary'!$K:$K,""),'Pokemon Editor'!$A:$A,'Pokemon Editor'!$H:$H,0)+31+FLOOR(XLOOKUP($Q258,'Threshold Summary'!$Y:$Y,'Threshold Summary'!$R:$R,"")/4))*XLOOKUP($Q258,'Threshold Summary'!$Y:$Y,'Threshold Summary'!$L:$L,""))/100)+5)*XLOOKUP(XLOOKUP($Q258,'Threshold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Editor'!$E:$E,1))),stab,IF(OR(mtype=XLOOKUP(XLOOKUP($Q258,'Threshold Summary'!$Y:$Y,'Threshold Summary'!$K:$K,""),'Pokemon Editor'!$A:$A,'Pokemon Editor'!$C:$C,""),mtype=XLOOKUP(XLOOKUP($Q258,'Threshold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Chart'!$B$1:$S$1,0)))),base,IF(OR(cat="Status",pow=0),0,FLOOR(FLOOR(FLOOR((2*XLOOKUP($Q258,'Threshold Summary'!$Y:$Y,'Threshold Summary'!$L:$L,"")/5+2)*pow*atk/def)/50)+2)),modifier,stab*eff,AVERAGE(ARRAYFORMULA(FLOOR(base*modifier*SEQUENCE(16,1,85,1)/100)))/(FLOOR(((2*XLOOKUP('Boss Editor'!$C$4,'Pokemon Editor'!$A:$A,'Pokemon Editor'!$E:$E,0)+31+FLOOR('Boss Editor'!$G$4/4))*'Boss Editor'!$D$4)/100)+'Boss Editor'!$D$4+10)),0)</f>
        <v/>
      </c>
      <c r="O258" s="3">
        <f>IF(N258&gt;=1,"OHKO",IF(N258&gt;=0.5,"2HKO",IF(N258&gt;=0.333,"3HKO",IF(N258&gt;=0.25,"4HKO","5HKO+"))))</f>
        <v/>
      </c>
      <c r="P258" s="3" t="inlineStr">
        <is>
          <t>Live from editable databases</t>
        </is>
      </c>
      <c r="Q258" s="3" t="inlineStr">
        <is>
          <t>SPECIES_BUDEW</t>
        </is>
      </c>
      <c r="R258" s="3" t="n">
        <v>1</v>
      </c>
    </row>
    <row r="259">
      <c r="A259" s="3">
        <f>XLOOKUP($Q259,'Threshold Summary'!$Y:$Y,'Threshold Summary'!$A:$A,"")</f>
        <v/>
      </c>
      <c r="B259" s="3">
        <f>XLOOKUP($Q259,'Threshold Summary'!$Y:$Y,'Threshold Summary'!$M:$M,"")</f>
        <v/>
      </c>
      <c r="C259" s="3">
        <f>XLOOKUP($Q259,'Threshold Summary'!$Y:$Y,'Threshold Summary'!$N:$N,"")</f>
        <v/>
      </c>
      <c r="D259" s="3">
        <f>IFERROR(INDEX(FILTER('Learnset Editor'!$D$2:$D,'Learnset Editor'!$A$2:$A=XLOOKUP($Q259,'Threshold Summary'!$Y:$Y,'Threshold Summary'!$K:$K,""),'Learnset Editor'!$C$2:$C&lt;=XLOOKUP($Q259,'Threshold Summary'!$Y:$Y,'Threshold Summary'!$L:$L,"")),$R259),"")</f>
        <v/>
      </c>
      <c r="E259" s="3">
        <f>XLOOKUP(D259,'Move Editor'!$B:$B,'Move Editor'!$C:$C,"")</f>
        <v/>
      </c>
      <c r="F259" s="3">
        <f>XLOOKUP(D259,'Move Editor'!$B:$B,'Move Editor'!$D:$D,"")</f>
        <v/>
      </c>
      <c r="G259" s="3">
        <f>XLOOKUP(D259,'Move Editor'!$B:$B,'Move Editor'!$E:$E,0)</f>
        <v/>
      </c>
      <c r="H259" s="3">
        <f>XLOOKUP(D259,'Move Editor'!$B:$B,'Move Editor'!$F:$F,0)</f>
        <v/>
      </c>
      <c r="I259" s="3">
        <f>(INDEX('Type Chart'!$B:$S,MATCH(E259,'Type Chart'!$A:$A,0),MATCH(XLOOKUP('Boss Editor'!$C$4,'Pokemon Editor'!$A:$A,'Pokemon Editor'!$C:$C,""),'Type Chart'!$B$1:$S$1,0))*IF(XLOOKUP('Boss Editor'!$C$4,'Pokemon Editor'!$A:$A,'Pokemon Editor'!$D:$D,"")="",1,INDEX('Type Chart'!$B:$S,MATCH(E259,'Type Chart'!$A:$A,0),MATCH(XLOOKUP('Boss Editor'!$C$4,'Pokemon Editor'!$A:$A,'Pokemon Editor'!$D:$D,""),'Type Chart'!$B$1:$S$1,0))))</f>
        <v/>
      </c>
      <c r="J259" s="3">
        <f>IFERROR(LET(mtype,XLOOKUP($D259,'Move Editor'!$B:$B,'Move Editor'!$C:$C,""),cat,XLOOKUP($D259,'Move Editor'!$B:$B,'Move Editor'!$D:$D,""),pow,XLOOKUP($D259,'Move Editor'!$B:$B,'Move Editor'!$E:$E,0),acc,XLOOKUP($D259,'Move Editor'!$B:$B,'Move Editor'!$F:$F,100),atk,IF(cat="Physical",FLOOR((FLOOR(((2*XLOOKUP(XLOOKUP($Q259,'Threshold Summary'!$Y:$Y,'Threshold Summary'!$K:$K,""),'Pokemon Editor'!$A:$A,'Pokemon Editor'!$F:$F,0)+31+FLOOR(XLOOKUP($Q259,'Threshold Summary'!$Y:$Y,'Threshold Summary'!$P:$P,"")/4))*XLOOKUP($Q259,'Threshold Summary'!$Y:$Y,'Threshold Summary'!$L:$L,""))/100)+5)*XLOOKUP(XLOOKUP($Q259,'Threshold Summary'!$Y:$Y,'Threshold Summary'!$M:$M,""),'Nature Editor'!$A:$A,'Nature Editor'!$B:$B,1)),FLOOR((FLOOR(((2*XLOOKUP(XLOOKUP($Q259,'Threshold Summary'!$Y:$Y,'Threshold Summary'!$K:$K,""),'Pokemon Editor'!$A:$A,'Pokemon Editor'!$H:$H,0)+31+FLOOR(XLOOKUP($Q259,'Threshold Summary'!$Y:$Y,'Threshold Summary'!$R:$R,"")/4))*XLOOKUP($Q259,'Threshold Summary'!$Y:$Y,'Threshold Summary'!$L:$L,""))/100)+5)*XLOOKUP(XLOOKUP($Q259,'Threshold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Editor'!$E:$E,1))),stab,IF(OR(mtype=XLOOKUP(XLOOKUP($Q259,'Threshold Summary'!$Y:$Y,'Threshold Summary'!$K:$K,""),'Pokemon Editor'!$A:$A,'Pokemon Editor'!$C:$C,""),mtype=XLOOKUP(XLOOKUP($Q259,'Threshold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Chart'!$B$1:$S$1,0)))),base,IF(OR(cat="Status",pow=0),0,FLOOR(FLOOR(FLOOR((2*XLOOKUP($Q259,'Threshold Summary'!$Y:$Y,'Threshold Summary'!$L:$L,"")/5+2)*pow*atk/def)/50)+2)),modifier,stab*eff,FLOOR(base*modifier*0.85)),0)</f>
        <v/>
      </c>
      <c r="K259" s="3">
        <f>IFERROR(LET(mtype,XLOOKUP($D259,'Move Editor'!$B:$B,'Move Editor'!$C:$C,""),cat,XLOOKUP($D259,'Move Editor'!$B:$B,'Move Editor'!$D:$D,""),pow,XLOOKUP($D259,'Move Editor'!$B:$B,'Move Editor'!$E:$E,0),acc,XLOOKUP($D259,'Move Editor'!$B:$B,'Move Editor'!$F:$F,100),atk,IF(cat="Physical",FLOOR((FLOOR(((2*XLOOKUP(XLOOKUP($Q259,'Threshold Summary'!$Y:$Y,'Threshold Summary'!$K:$K,""),'Pokemon Editor'!$A:$A,'Pokemon Editor'!$F:$F,0)+31+FLOOR(XLOOKUP($Q259,'Threshold Summary'!$Y:$Y,'Threshold Summary'!$P:$P,"")/4))*XLOOKUP($Q259,'Threshold Summary'!$Y:$Y,'Threshold Summary'!$L:$L,""))/100)+5)*XLOOKUP(XLOOKUP($Q259,'Threshold Summary'!$Y:$Y,'Threshold Summary'!$M:$M,""),'Nature Editor'!$A:$A,'Nature Editor'!$B:$B,1)),FLOOR((FLOOR(((2*XLOOKUP(XLOOKUP($Q259,'Threshold Summary'!$Y:$Y,'Threshold Summary'!$K:$K,""),'Pokemon Editor'!$A:$A,'Pokemon Editor'!$H:$H,0)+31+FLOOR(XLOOKUP($Q259,'Threshold Summary'!$Y:$Y,'Threshold Summary'!$R:$R,"")/4))*XLOOKUP($Q259,'Threshold Summary'!$Y:$Y,'Threshold Summary'!$L:$L,""))/100)+5)*XLOOKUP(XLOOKUP($Q259,'Threshold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Editor'!$E:$E,1))),stab,IF(OR(mtype=XLOOKUP(XLOOKUP($Q259,'Threshold Summary'!$Y:$Y,'Threshold Summary'!$K:$K,""),'Pokemon Editor'!$A:$A,'Pokemon Editor'!$C:$C,""),mtype=XLOOKUP(XLOOKUP($Q259,'Threshold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Chart'!$B$1:$S$1,0)))),base,IF(OR(cat="Status",pow=0),0,FLOOR(FLOOR(FLOOR((2*XLOOKUP($Q259,'Threshold Summary'!$Y:$Y,'Threshold Summary'!$L:$L,"")/5+2)*pow*atk/def)/50)+2)),modifier,stab*eff,FLOOR(base*modifier)),0)</f>
        <v/>
      </c>
      <c r="L259" s="3">
        <f>IFERROR(LET(mtype,XLOOKUP($D259,'Move Editor'!$B:$B,'Move Editor'!$C:$C,""),cat,XLOOKUP($D259,'Move Editor'!$B:$B,'Move Editor'!$D:$D,""),pow,XLOOKUP($D259,'Move Editor'!$B:$B,'Move Editor'!$E:$E,0),acc,XLOOKUP($D259,'Move Editor'!$B:$B,'Move Editor'!$F:$F,100),atk,IF(cat="Physical",FLOOR((FLOOR(((2*XLOOKUP(XLOOKUP($Q259,'Threshold Summary'!$Y:$Y,'Threshold Summary'!$K:$K,""),'Pokemon Editor'!$A:$A,'Pokemon Editor'!$F:$F,0)+31+FLOOR(XLOOKUP($Q259,'Threshold Summary'!$Y:$Y,'Threshold Summary'!$P:$P,"")/4))*XLOOKUP($Q259,'Threshold Summary'!$Y:$Y,'Threshold Summary'!$L:$L,""))/100)+5)*XLOOKUP(XLOOKUP($Q259,'Threshold Summary'!$Y:$Y,'Threshold Summary'!$M:$M,""),'Nature Editor'!$A:$A,'Nature Editor'!$B:$B,1)),FLOOR((FLOOR(((2*XLOOKUP(XLOOKUP($Q259,'Threshold Summary'!$Y:$Y,'Threshold Summary'!$K:$K,""),'Pokemon Editor'!$A:$A,'Pokemon Editor'!$H:$H,0)+31+FLOOR(XLOOKUP($Q259,'Threshold Summary'!$Y:$Y,'Threshold Summary'!$R:$R,"")/4))*XLOOKUP($Q259,'Threshold Summary'!$Y:$Y,'Threshold Summary'!$L:$L,""))/100)+5)*XLOOKUP(XLOOKUP($Q259,'Threshold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Editor'!$E:$E,1))),stab,IF(OR(mtype=XLOOKUP(XLOOKUP($Q259,'Threshold Summary'!$Y:$Y,'Threshold Summary'!$K:$K,""),'Pokemon Editor'!$A:$A,'Pokemon Editor'!$C:$C,""),mtype=XLOOKUP(XLOOKUP($Q259,'Threshold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Chart'!$B$1:$S$1,0)))),base,IF(OR(cat="Status",pow=0),0,FLOOR(FLOOR(FLOOR((2*XLOOKUP($Q259,'Threshold Summary'!$Y:$Y,'Threshold Summary'!$L:$L,"")/5+2)*pow*atk/def)/50)+2)),modifier,stab*eff,AVERAGE(ARRAYFORMULA(FLOOR(base*modifier*SEQUENCE(16,1,85,1)/100)))),0)</f>
        <v/>
      </c>
      <c r="M259" s="3">
        <f>IFERROR(LET(mtype,XLOOKUP($D259,'Move Editor'!$B:$B,'Move Editor'!$C:$C,""),cat,XLOOKUP($D259,'Move Editor'!$B:$B,'Move Editor'!$D:$D,""),pow,XLOOKUP($D259,'Move Editor'!$B:$B,'Move Editor'!$E:$E,0),acc,XLOOKUP($D259,'Move Editor'!$B:$B,'Move Editor'!$F:$F,100),atk,IF(cat="Physical",FLOOR((FLOOR(((2*XLOOKUP(XLOOKUP($Q259,'Threshold Summary'!$Y:$Y,'Threshold Summary'!$K:$K,""),'Pokemon Editor'!$A:$A,'Pokemon Editor'!$F:$F,0)+31+FLOOR(XLOOKUP($Q259,'Threshold Summary'!$Y:$Y,'Threshold Summary'!$P:$P,"")/4))*XLOOKUP($Q259,'Threshold Summary'!$Y:$Y,'Threshold Summary'!$L:$L,""))/100)+5)*XLOOKUP(XLOOKUP($Q259,'Threshold Summary'!$Y:$Y,'Threshold Summary'!$M:$M,""),'Nature Editor'!$A:$A,'Nature Editor'!$B:$B,1)),FLOOR((FLOOR(((2*XLOOKUP(XLOOKUP($Q259,'Threshold Summary'!$Y:$Y,'Threshold Summary'!$K:$K,""),'Pokemon Editor'!$A:$A,'Pokemon Editor'!$H:$H,0)+31+FLOOR(XLOOKUP($Q259,'Threshold Summary'!$Y:$Y,'Threshold Summary'!$R:$R,"")/4))*XLOOKUP($Q259,'Threshold Summary'!$Y:$Y,'Threshold Summary'!$L:$L,""))/100)+5)*XLOOKUP(XLOOKUP($Q259,'Threshold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Editor'!$E:$E,1))),stab,IF(OR(mtype=XLOOKUP(XLOOKUP($Q259,'Threshold Summary'!$Y:$Y,'Threshold Summary'!$K:$K,""),'Pokemon Editor'!$A:$A,'Pokemon Editor'!$C:$C,""),mtype=XLOOKUP(XLOOKUP($Q259,'Threshold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Chart'!$B$1:$S$1,0)))),base,IF(OR(cat="Status",pow=0),0,FLOOR(FLOOR(FLOOR((2*XLOOKUP($Q259,'Threshold Summary'!$Y:$Y,'Threshold Summary'!$L:$L,"")/5+2)*pow*atk/def)/50)+2)),modifier,stab*eff,AVERAGE(ARRAYFORMULA(FLOOR(base*modifier*SEQUENCE(16,1,85,1)/100)))*MIN(1,acc/100)),0)</f>
        <v/>
      </c>
      <c r="N259" s="4">
        <f>IFERROR(LET(mtype,XLOOKUP($D259,'Move Editor'!$B:$B,'Move Editor'!$C:$C,""),cat,XLOOKUP($D259,'Move Editor'!$B:$B,'Move Editor'!$D:$D,""),pow,XLOOKUP($D259,'Move Editor'!$B:$B,'Move Editor'!$E:$E,0),acc,XLOOKUP($D259,'Move Editor'!$B:$B,'Move Editor'!$F:$F,100),atk,IF(cat="Physical",FLOOR((FLOOR(((2*XLOOKUP(XLOOKUP($Q259,'Threshold Summary'!$Y:$Y,'Threshold Summary'!$K:$K,""),'Pokemon Editor'!$A:$A,'Pokemon Editor'!$F:$F,0)+31+FLOOR(XLOOKUP($Q259,'Threshold Summary'!$Y:$Y,'Threshold Summary'!$P:$P,"")/4))*XLOOKUP($Q259,'Threshold Summary'!$Y:$Y,'Threshold Summary'!$L:$L,""))/100)+5)*XLOOKUP(XLOOKUP($Q259,'Threshold Summary'!$Y:$Y,'Threshold Summary'!$M:$M,""),'Nature Editor'!$A:$A,'Nature Editor'!$B:$B,1)),FLOOR((FLOOR(((2*XLOOKUP(XLOOKUP($Q259,'Threshold Summary'!$Y:$Y,'Threshold Summary'!$K:$K,""),'Pokemon Editor'!$A:$A,'Pokemon Editor'!$H:$H,0)+31+FLOOR(XLOOKUP($Q259,'Threshold Summary'!$Y:$Y,'Threshold Summary'!$R:$R,"")/4))*XLOOKUP($Q259,'Threshold Summary'!$Y:$Y,'Threshold Summary'!$L:$L,""))/100)+5)*XLOOKUP(XLOOKUP($Q259,'Threshold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Editor'!$E:$E,1))),stab,IF(OR(mtype=XLOOKUP(XLOOKUP($Q259,'Threshold Summary'!$Y:$Y,'Threshold Summary'!$K:$K,""),'Pokemon Editor'!$A:$A,'Pokemon Editor'!$C:$C,""),mtype=XLOOKUP(XLOOKUP($Q259,'Threshold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Chart'!$B$1:$S$1,0)))),base,IF(OR(cat="Status",pow=0),0,FLOOR(FLOOR(FLOOR((2*XLOOKUP($Q259,'Threshold Summary'!$Y:$Y,'Threshold Summary'!$L:$L,"")/5+2)*pow*atk/def)/50)+2)),modifier,stab*eff,AVERAGE(ARRAYFORMULA(FLOOR(base*modifier*SEQUENCE(16,1,85,1)/100)))/(FLOOR(((2*XLOOKUP('Boss Editor'!$C$4,'Pokemon Editor'!$A:$A,'Pokemon Editor'!$E:$E,0)+31+FLOOR('Boss Editor'!$G$4/4))*'Boss Editor'!$D$4)/100)+'Boss Editor'!$D$4+10)),0)</f>
        <v/>
      </c>
      <c r="O259" s="3">
        <f>IF(N259&gt;=1,"OHKO",IF(N259&gt;=0.5,"2HKO",IF(N259&gt;=0.333,"3HKO",IF(N259&gt;=0.25,"4HKO","5HKO+"))))</f>
        <v/>
      </c>
      <c r="P259" s="3" t="inlineStr">
        <is>
          <t>Live from editable databases</t>
        </is>
      </c>
      <c r="Q259" s="3" t="inlineStr">
        <is>
          <t>SPECIES_BUDEW</t>
        </is>
      </c>
      <c r="R259" s="3" t="n">
        <v>2</v>
      </c>
    </row>
    <row r="260">
      <c r="A260" s="3">
        <f>XLOOKUP($Q260,'Threshold Summary'!$Y:$Y,'Threshold Summary'!$A:$A,"")</f>
        <v/>
      </c>
      <c r="B260" s="3">
        <f>XLOOKUP($Q260,'Threshold Summary'!$Y:$Y,'Threshold Summary'!$M:$M,"")</f>
        <v/>
      </c>
      <c r="C260" s="3">
        <f>XLOOKUP($Q260,'Threshold Summary'!$Y:$Y,'Threshold Summary'!$N:$N,"")</f>
        <v/>
      </c>
      <c r="D260" s="3">
        <f>IFERROR(INDEX(FILTER('Learnset Editor'!$D$2:$D,'Learnset Editor'!$A$2:$A=XLOOKUP($Q260,'Threshold Summary'!$Y:$Y,'Threshold Summary'!$K:$K,""),'Learnset Editor'!$C$2:$C&lt;=XLOOKUP($Q260,'Threshold Summary'!$Y:$Y,'Threshold Summary'!$L:$L,"")),$R260),"")</f>
        <v/>
      </c>
      <c r="E260" s="3">
        <f>XLOOKUP(D260,'Move Editor'!$B:$B,'Move Editor'!$C:$C,"")</f>
        <v/>
      </c>
      <c r="F260" s="3">
        <f>XLOOKUP(D260,'Move Editor'!$B:$B,'Move Editor'!$D:$D,"")</f>
        <v/>
      </c>
      <c r="G260" s="3">
        <f>XLOOKUP(D260,'Move Editor'!$B:$B,'Move Editor'!$E:$E,0)</f>
        <v/>
      </c>
      <c r="H260" s="3">
        <f>XLOOKUP(D260,'Move Editor'!$B:$B,'Move Editor'!$F:$F,0)</f>
        <v/>
      </c>
      <c r="I260" s="3">
        <f>(INDEX('Type Chart'!$B:$S,MATCH(E260,'Type Chart'!$A:$A,0),MATCH(XLOOKUP('Boss Editor'!$C$4,'Pokemon Editor'!$A:$A,'Pokemon Editor'!$C:$C,""),'Type Chart'!$B$1:$S$1,0))*IF(XLOOKUP('Boss Editor'!$C$4,'Pokemon Editor'!$A:$A,'Pokemon Editor'!$D:$D,"")="",1,INDEX('Type Chart'!$B:$S,MATCH(E260,'Type Chart'!$A:$A,0),MATCH(XLOOKUP('Boss Editor'!$C$4,'Pokemon Editor'!$A:$A,'Pokemon Editor'!$D:$D,""),'Type Chart'!$B$1:$S$1,0))))</f>
        <v/>
      </c>
      <c r="J260" s="3">
        <f>IFERROR(LET(mtype,XLOOKUP($D260,'Move Editor'!$B:$B,'Move Editor'!$C:$C,""),cat,XLOOKUP($D260,'Move Editor'!$B:$B,'Move Editor'!$D:$D,""),pow,XLOOKUP($D260,'Move Editor'!$B:$B,'Move Editor'!$E:$E,0),acc,XLOOKUP($D260,'Move Editor'!$B:$B,'Move Editor'!$F:$F,100),atk,IF(cat="Physical",FLOOR((FLOOR(((2*XLOOKUP(XLOOKUP($Q260,'Threshold Summary'!$Y:$Y,'Threshold Summary'!$K:$K,""),'Pokemon Editor'!$A:$A,'Pokemon Editor'!$F:$F,0)+31+FLOOR(XLOOKUP($Q260,'Threshold Summary'!$Y:$Y,'Threshold Summary'!$P:$P,"")/4))*XLOOKUP($Q260,'Threshold Summary'!$Y:$Y,'Threshold Summary'!$L:$L,""))/100)+5)*XLOOKUP(XLOOKUP($Q260,'Threshold Summary'!$Y:$Y,'Threshold Summary'!$M:$M,""),'Nature Editor'!$A:$A,'Nature Editor'!$B:$B,1)),FLOOR((FLOOR(((2*XLOOKUP(XLOOKUP($Q260,'Threshold Summary'!$Y:$Y,'Threshold Summary'!$K:$K,""),'Pokemon Editor'!$A:$A,'Pokemon Editor'!$H:$H,0)+31+FLOOR(XLOOKUP($Q260,'Threshold Summary'!$Y:$Y,'Threshold Summary'!$R:$R,"")/4))*XLOOKUP($Q260,'Threshold Summary'!$Y:$Y,'Threshold Summary'!$L:$L,""))/100)+5)*XLOOKUP(XLOOKUP($Q260,'Threshold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Editor'!$E:$E,1))),stab,IF(OR(mtype=XLOOKUP(XLOOKUP($Q260,'Threshold Summary'!$Y:$Y,'Threshold Summary'!$K:$K,""),'Pokemon Editor'!$A:$A,'Pokemon Editor'!$C:$C,""),mtype=XLOOKUP(XLOOKUP($Q260,'Threshold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Chart'!$B$1:$S$1,0)))),base,IF(OR(cat="Status",pow=0),0,FLOOR(FLOOR(FLOOR((2*XLOOKUP($Q260,'Threshold Summary'!$Y:$Y,'Threshold Summary'!$L:$L,"")/5+2)*pow*atk/def)/50)+2)),modifier,stab*eff,FLOOR(base*modifier*0.85)),0)</f>
        <v/>
      </c>
      <c r="K260" s="3">
        <f>IFERROR(LET(mtype,XLOOKUP($D260,'Move Editor'!$B:$B,'Move Editor'!$C:$C,""),cat,XLOOKUP($D260,'Move Editor'!$B:$B,'Move Editor'!$D:$D,""),pow,XLOOKUP($D260,'Move Editor'!$B:$B,'Move Editor'!$E:$E,0),acc,XLOOKUP($D260,'Move Editor'!$B:$B,'Move Editor'!$F:$F,100),atk,IF(cat="Physical",FLOOR((FLOOR(((2*XLOOKUP(XLOOKUP($Q260,'Threshold Summary'!$Y:$Y,'Threshold Summary'!$K:$K,""),'Pokemon Editor'!$A:$A,'Pokemon Editor'!$F:$F,0)+31+FLOOR(XLOOKUP($Q260,'Threshold Summary'!$Y:$Y,'Threshold Summary'!$P:$P,"")/4))*XLOOKUP($Q260,'Threshold Summary'!$Y:$Y,'Threshold Summary'!$L:$L,""))/100)+5)*XLOOKUP(XLOOKUP($Q260,'Threshold Summary'!$Y:$Y,'Threshold Summary'!$M:$M,""),'Nature Editor'!$A:$A,'Nature Editor'!$B:$B,1)),FLOOR((FLOOR(((2*XLOOKUP(XLOOKUP($Q260,'Threshold Summary'!$Y:$Y,'Threshold Summary'!$K:$K,""),'Pokemon Editor'!$A:$A,'Pokemon Editor'!$H:$H,0)+31+FLOOR(XLOOKUP($Q260,'Threshold Summary'!$Y:$Y,'Threshold Summary'!$R:$R,"")/4))*XLOOKUP($Q260,'Threshold Summary'!$Y:$Y,'Threshold Summary'!$L:$L,""))/100)+5)*XLOOKUP(XLOOKUP($Q260,'Threshold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Editor'!$E:$E,1))),stab,IF(OR(mtype=XLOOKUP(XLOOKUP($Q260,'Threshold Summary'!$Y:$Y,'Threshold Summary'!$K:$K,""),'Pokemon Editor'!$A:$A,'Pokemon Editor'!$C:$C,""),mtype=XLOOKUP(XLOOKUP($Q260,'Threshold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Chart'!$B$1:$S$1,0)))),base,IF(OR(cat="Status",pow=0),0,FLOOR(FLOOR(FLOOR((2*XLOOKUP($Q260,'Threshold Summary'!$Y:$Y,'Threshold Summary'!$L:$L,"")/5+2)*pow*atk/def)/50)+2)),modifier,stab*eff,FLOOR(base*modifier)),0)</f>
        <v/>
      </c>
      <c r="L260" s="3">
        <f>IFERROR(LET(mtype,XLOOKUP($D260,'Move Editor'!$B:$B,'Move Editor'!$C:$C,""),cat,XLOOKUP($D260,'Move Editor'!$B:$B,'Move Editor'!$D:$D,""),pow,XLOOKUP($D260,'Move Editor'!$B:$B,'Move Editor'!$E:$E,0),acc,XLOOKUP($D260,'Move Editor'!$B:$B,'Move Editor'!$F:$F,100),atk,IF(cat="Physical",FLOOR((FLOOR(((2*XLOOKUP(XLOOKUP($Q260,'Threshold Summary'!$Y:$Y,'Threshold Summary'!$K:$K,""),'Pokemon Editor'!$A:$A,'Pokemon Editor'!$F:$F,0)+31+FLOOR(XLOOKUP($Q260,'Threshold Summary'!$Y:$Y,'Threshold Summary'!$P:$P,"")/4))*XLOOKUP($Q260,'Threshold Summary'!$Y:$Y,'Threshold Summary'!$L:$L,""))/100)+5)*XLOOKUP(XLOOKUP($Q260,'Threshold Summary'!$Y:$Y,'Threshold Summary'!$M:$M,""),'Nature Editor'!$A:$A,'Nature Editor'!$B:$B,1)),FLOOR((FLOOR(((2*XLOOKUP(XLOOKUP($Q260,'Threshold Summary'!$Y:$Y,'Threshold Summary'!$K:$K,""),'Pokemon Editor'!$A:$A,'Pokemon Editor'!$H:$H,0)+31+FLOOR(XLOOKUP($Q260,'Threshold Summary'!$Y:$Y,'Threshold Summary'!$R:$R,"")/4))*XLOOKUP($Q260,'Threshold Summary'!$Y:$Y,'Threshold Summary'!$L:$L,""))/100)+5)*XLOOKUP(XLOOKUP($Q260,'Threshold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Editor'!$E:$E,1))),stab,IF(OR(mtype=XLOOKUP(XLOOKUP($Q260,'Threshold Summary'!$Y:$Y,'Threshold Summary'!$K:$K,""),'Pokemon Editor'!$A:$A,'Pokemon Editor'!$C:$C,""),mtype=XLOOKUP(XLOOKUP($Q260,'Threshold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Chart'!$B$1:$S$1,0)))),base,IF(OR(cat="Status",pow=0),0,FLOOR(FLOOR(FLOOR((2*XLOOKUP($Q260,'Threshold Summary'!$Y:$Y,'Threshold Summary'!$L:$L,"")/5+2)*pow*atk/def)/50)+2)),modifier,stab*eff,AVERAGE(ARRAYFORMULA(FLOOR(base*modifier*SEQUENCE(16,1,85,1)/100)))),0)</f>
        <v/>
      </c>
      <c r="M260" s="3">
        <f>IFERROR(LET(mtype,XLOOKUP($D260,'Move Editor'!$B:$B,'Move Editor'!$C:$C,""),cat,XLOOKUP($D260,'Move Editor'!$B:$B,'Move Editor'!$D:$D,""),pow,XLOOKUP($D260,'Move Editor'!$B:$B,'Move Editor'!$E:$E,0),acc,XLOOKUP($D260,'Move Editor'!$B:$B,'Move Editor'!$F:$F,100),atk,IF(cat="Physical",FLOOR((FLOOR(((2*XLOOKUP(XLOOKUP($Q260,'Threshold Summary'!$Y:$Y,'Threshold Summary'!$K:$K,""),'Pokemon Editor'!$A:$A,'Pokemon Editor'!$F:$F,0)+31+FLOOR(XLOOKUP($Q260,'Threshold Summary'!$Y:$Y,'Threshold Summary'!$P:$P,"")/4))*XLOOKUP($Q260,'Threshold Summary'!$Y:$Y,'Threshold Summary'!$L:$L,""))/100)+5)*XLOOKUP(XLOOKUP($Q260,'Threshold Summary'!$Y:$Y,'Threshold Summary'!$M:$M,""),'Nature Editor'!$A:$A,'Nature Editor'!$B:$B,1)),FLOOR((FLOOR(((2*XLOOKUP(XLOOKUP($Q260,'Threshold Summary'!$Y:$Y,'Threshold Summary'!$K:$K,""),'Pokemon Editor'!$A:$A,'Pokemon Editor'!$H:$H,0)+31+FLOOR(XLOOKUP($Q260,'Threshold Summary'!$Y:$Y,'Threshold Summary'!$R:$R,"")/4))*XLOOKUP($Q260,'Threshold Summary'!$Y:$Y,'Threshold Summary'!$L:$L,""))/100)+5)*XLOOKUP(XLOOKUP($Q260,'Threshold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Editor'!$E:$E,1))),stab,IF(OR(mtype=XLOOKUP(XLOOKUP($Q260,'Threshold Summary'!$Y:$Y,'Threshold Summary'!$K:$K,""),'Pokemon Editor'!$A:$A,'Pokemon Editor'!$C:$C,""),mtype=XLOOKUP(XLOOKUP($Q260,'Threshold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Chart'!$B$1:$S$1,0)))),base,IF(OR(cat="Status",pow=0),0,FLOOR(FLOOR(FLOOR((2*XLOOKUP($Q260,'Threshold Summary'!$Y:$Y,'Threshold Summary'!$L:$L,"")/5+2)*pow*atk/def)/50)+2)),modifier,stab*eff,AVERAGE(ARRAYFORMULA(FLOOR(base*modifier*SEQUENCE(16,1,85,1)/100)))*MIN(1,acc/100)),0)</f>
        <v/>
      </c>
      <c r="N260" s="4">
        <f>IFERROR(LET(mtype,XLOOKUP($D260,'Move Editor'!$B:$B,'Move Editor'!$C:$C,""),cat,XLOOKUP($D260,'Move Editor'!$B:$B,'Move Editor'!$D:$D,""),pow,XLOOKUP($D260,'Move Editor'!$B:$B,'Move Editor'!$E:$E,0),acc,XLOOKUP($D260,'Move Editor'!$B:$B,'Move Editor'!$F:$F,100),atk,IF(cat="Physical",FLOOR((FLOOR(((2*XLOOKUP(XLOOKUP($Q260,'Threshold Summary'!$Y:$Y,'Threshold Summary'!$K:$K,""),'Pokemon Editor'!$A:$A,'Pokemon Editor'!$F:$F,0)+31+FLOOR(XLOOKUP($Q260,'Threshold Summary'!$Y:$Y,'Threshold Summary'!$P:$P,"")/4))*XLOOKUP($Q260,'Threshold Summary'!$Y:$Y,'Threshold Summary'!$L:$L,""))/100)+5)*XLOOKUP(XLOOKUP($Q260,'Threshold Summary'!$Y:$Y,'Threshold Summary'!$M:$M,""),'Nature Editor'!$A:$A,'Nature Editor'!$B:$B,1)),FLOOR((FLOOR(((2*XLOOKUP(XLOOKUP($Q260,'Threshold Summary'!$Y:$Y,'Threshold Summary'!$K:$K,""),'Pokemon Editor'!$A:$A,'Pokemon Editor'!$H:$H,0)+31+FLOOR(XLOOKUP($Q260,'Threshold Summary'!$Y:$Y,'Threshold Summary'!$R:$R,"")/4))*XLOOKUP($Q260,'Threshold Summary'!$Y:$Y,'Threshold Summary'!$L:$L,""))/100)+5)*XLOOKUP(XLOOKUP($Q260,'Threshold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Editor'!$E:$E,1))),stab,IF(OR(mtype=XLOOKUP(XLOOKUP($Q260,'Threshold Summary'!$Y:$Y,'Threshold Summary'!$K:$K,""),'Pokemon Editor'!$A:$A,'Pokemon Editor'!$C:$C,""),mtype=XLOOKUP(XLOOKUP($Q260,'Threshold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Chart'!$B$1:$S$1,0)))),base,IF(OR(cat="Status",pow=0),0,FLOOR(FLOOR(FLOOR((2*XLOOKUP($Q260,'Threshold Summary'!$Y:$Y,'Threshold Summary'!$L:$L,"")/5+2)*pow*atk/def)/50)+2)),modifier,stab*eff,AVERAGE(ARRAYFORMULA(FLOOR(base*modifier*SEQUENCE(16,1,85,1)/100)))/(FLOOR(((2*XLOOKUP('Boss Editor'!$C$4,'Pokemon Editor'!$A:$A,'Pokemon Editor'!$E:$E,0)+31+FLOOR('Boss Editor'!$G$4/4))*'Boss Editor'!$D$4)/100)+'Boss Editor'!$D$4+10)),0)</f>
        <v/>
      </c>
      <c r="O260" s="3">
        <f>IF(N260&gt;=1,"OHKO",IF(N260&gt;=0.5,"2HKO",IF(N260&gt;=0.333,"3HKO",IF(N260&gt;=0.25,"4HKO","5HKO+"))))</f>
        <v/>
      </c>
      <c r="P260" s="3" t="inlineStr">
        <is>
          <t>Live from editable databases</t>
        </is>
      </c>
      <c r="Q260" s="3" t="inlineStr">
        <is>
          <t>SPECIES_BUDEW</t>
        </is>
      </c>
      <c r="R260" s="3" t="n">
        <v>3</v>
      </c>
    </row>
    <row r="261">
      <c r="A261" s="3">
        <f>XLOOKUP($Q261,'Threshold Summary'!$Y:$Y,'Threshold Summary'!$A:$A,"")</f>
        <v/>
      </c>
      <c r="B261" s="3">
        <f>XLOOKUP($Q261,'Threshold Summary'!$Y:$Y,'Threshold Summary'!$M:$M,"")</f>
        <v/>
      </c>
      <c r="C261" s="3">
        <f>XLOOKUP($Q261,'Threshold Summary'!$Y:$Y,'Threshold Summary'!$N:$N,"")</f>
        <v/>
      </c>
      <c r="D261" s="3">
        <f>IFERROR(INDEX(FILTER('Learnset Editor'!$D$2:$D,'Learnset Editor'!$A$2:$A=XLOOKUP($Q261,'Threshold Summary'!$Y:$Y,'Threshold Summary'!$K:$K,""),'Learnset Editor'!$C$2:$C&lt;=XLOOKUP($Q261,'Threshold Summary'!$Y:$Y,'Threshold Summary'!$L:$L,"")),$R261),"")</f>
        <v/>
      </c>
      <c r="E261" s="3">
        <f>XLOOKUP(D261,'Move Editor'!$B:$B,'Move Editor'!$C:$C,"")</f>
        <v/>
      </c>
      <c r="F261" s="3">
        <f>XLOOKUP(D261,'Move Editor'!$B:$B,'Move Editor'!$D:$D,"")</f>
        <v/>
      </c>
      <c r="G261" s="3">
        <f>XLOOKUP(D261,'Move Editor'!$B:$B,'Move Editor'!$E:$E,0)</f>
        <v/>
      </c>
      <c r="H261" s="3">
        <f>XLOOKUP(D261,'Move Editor'!$B:$B,'Move Editor'!$F:$F,0)</f>
        <v/>
      </c>
      <c r="I261" s="3">
        <f>(INDEX('Type Chart'!$B:$S,MATCH(E261,'Type Chart'!$A:$A,0),MATCH(XLOOKUP('Boss Editor'!$C$4,'Pokemon Editor'!$A:$A,'Pokemon Editor'!$C:$C,""),'Type Chart'!$B$1:$S$1,0))*IF(XLOOKUP('Boss Editor'!$C$4,'Pokemon Editor'!$A:$A,'Pokemon Editor'!$D:$D,"")="",1,INDEX('Type Chart'!$B:$S,MATCH(E261,'Type Chart'!$A:$A,0),MATCH(XLOOKUP('Boss Editor'!$C$4,'Pokemon Editor'!$A:$A,'Pokemon Editor'!$D:$D,""),'Type Chart'!$B$1:$S$1,0))))</f>
        <v/>
      </c>
      <c r="J261" s="3">
        <f>IFERROR(LET(mtype,XLOOKUP($D261,'Move Editor'!$B:$B,'Move Editor'!$C:$C,""),cat,XLOOKUP($D261,'Move Editor'!$B:$B,'Move Editor'!$D:$D,""),pow,XLOOKUP($D261,'Move Editor'!$B:$B,'Move Editor'!$E:$E,0),acc,XLOOKUP($D261,'Move Editor'!$B:$B,'Move Editor'!$F:$F,100),atk,IF(cat="Physical",FLOOR((FLOOR(((2*XLOOKUP(XLOOKUP($Q261,'Threshold Summary'!$Y:$Y,'Threshold Summary'!$K:$K,""),'Pokemon Editor'!$A:$A,'Pokemon Editor'!$F:$F,0)+31+FLOOR(XLOOKUP($Q261,'Threshold Summary'!$Y:$Y,'Threshold Summary'!$P:$P,"")/4))*XLOOKUP($Q261,'Threshold Summary'!$Y:$Y,'Threshold Summary'!$L:$L,""))/100)+5)*XLOOKUP(XLOOKUP($Q261,'Threshold Summary'!$Y:$Y,'Threshold Summary'!$M:$M,""),'Nature Editor'!$A:$A,'Nature Editor'!$B:$B,1)),FLOOR((FLOOR(((2*XLOOKUP(XLOOKUP($Q261,'Threshold Summary'!$Y:$Y,'Threshold Summary'!$K:$K,""),'Pokemon Editor'!$A:$A,'Pokemon Editor'!$H:$H,0)+31+FLOOR(XLOOKUP($Q261,'Threshold Summary'!$Y:$Y,'Threshold Summary'!$R:$R,"")/4))*XLOOKUP($Q261,'Threshold Summary'!$Y:$Y,'Threshold Summary'!$L:$L,""))/100)+5)*XLOOKUP(XLOOKUP($Q261,'Threshold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Editor'!$E:$E,1))),stab,IF(OR(mtype=XLOOKUP(XLOOKUP($Q261,'Threshold Summary'!$Y:$Y,'Threshold Summary'!$K:$K,""),'Pokemon Editor'!$A:$A,'Pokemon Editor'!$C:$C,""),mtype=XLOOKUP(XLOOKUP($Q261,'Threshold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Chart'!$B$1:$S$1,0)))),base,IF(OR(cat="Status",pow=0),0,FLOOR(FLOOR(FLOOR((2*XLOOKUP($Q261,'Threshold Summary'!$Y:$Y,'Threshold Summary'!$L:$L,"")/5+2)*pow*atk/def)/50)+2)),modifier,stab*eff,FLOOR(base*modifier*0.85)),0)</f>
        <v/>
      </c>
      <c r="K261" s="3">
        <f>IFERROR(LET(mtype,XLOOKUP($D261,'Move Editor'!$B:$B,'Move Editor'!$C:$C,""),cat,XLOOKUP($D261,'Move Editor'!$B:$B,'Move Editor'!$D:$D,""),pow,XLOOKUP($D261,'Move Editor'!$B:$B,'Move Editor'!$E:$E,0),acc,XLOOKUP($D261,'Move Editor'!$B:$B,'Move Editor'!$F:$F,100),atk,IF(cat="Physical",FLOOR((FLOOR(((2*XLOOKUP(XLOOKUP($Q261,'Threshold Summary'!$Y:$Y,'Threshold Summary'!$K:$K,""),'Pokemon Editor'!$A:$A,'Pokemon Editor'!$F:$F,0)+31+FLOOR(XLOOKUP($Q261,'Threshold Summary'!$Y:$Y,'Threshold Summary'!$P:$P,"")/4))*XLOOKUP($Q261,'Threshold Summary'!$Y:$Y,'Threshold Summary'!$L:$L,""))/100)+5)*XLOOKUP(XLOOKUP($Q261,'Threshold Summary'!$Y:$Y,'Threshold Summary'!$M:$M,""),'Nature Editor'!$A:$A,'Nature Editor'!$B:$B,1)),FLOOR((FLOOR(((2*XLOOKUP(XLOOKUP($Q261,'Threshold Summary'!$Y:$Y,'Threshold Summary'!$K:$K,""),'Pokemon Editor'!$A:$A,'Pokemon Editor'!$H:$H,0)+31+FLOOR(XLOOKUP($Q261,'Threshold Summary'!$Y:$Y,'Threshold Summary'!$R:$R,"")/4))*XLOOKUP($Q261,'Threshold Summary'!$Y:$Y,'Threshold Summary'!$L:$L,""))/100)+5)*XLOOKUP(XLOOKUP($Q261,'Threshold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Editor'!$E:$E,1))),stab,IF(OR(mtype=XLOOKUP(XLOOKUP($Q261,'Threshold Summary'!$Y:$Y,'Threshold Summary'!$K:$K,""),'Pokemon Editor'!$A:$A,'Pokemon Editor'!$C:$C,""),mtype=XLOOKUP(XLOOKUP($Q261,'Threshold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Chart'!$B$1:$S$1,0)))),base,IF(OR(cat="Status",pow=0),0,FLOOR(FLOOR(FLOOR((2*XLOOKUP($Q261,'Threshold Summary'!$Y:$Y,'Threshold Summary'!$L:$L,"")/5+2)*pow*atk/def)/50)+2)),modifier,stab*eff,FLOOR(base*modifier)),0)</f>
        <v/>
      </c>
      <c r="L261" s="3">
        <f>IFERROR(LET(mtype,XLOOKUP($D261,'Move Editor'!$B:$B,'Move Editor'!$C:$C,""),cat,XLOOKUP($D261,'Move Editor'!$B:$B,'Move Editor'!$D:$D,""),pow,XLOOKUP($D261,'Move Editor'!$B:$B,'Move Editor'!$E:$E,0),acc,XLOOKUP($D261,'Move Editor'!$B:$B,'Move Editor'!$F:$F,100),atk,IF(cat="Physical",FLOOR((FLOOR(((2*XLOOKUP(XLOOKUP($Q261,'Threshold Summary'!$Y:$Y,'Threshold Summary'!$K:$K,""),'Pokemon Editor'!$A:$A,'Pokemon Editor'!$F:$F,0)+31+FLOOR(XLOOKUP($Q261,'Threshold Summary'!$Y:$Y,'Threshold Summary'!$P:$P,"")/4))*XLOOKUP($Q261,'Threshold Summary'!$Y:$Y,'Threshold Summary'!$L:$L,""))/100)+5)*XLOOKUP(XLOOKUP($Q261,'Threshold Summary'!$Y:$Y,'Threshold Summary'!$M:$M,""),'Nature Editor'!$A:$A,'Nature Editor'!$B:$B,1)),FLOOR((FLOOR(((2*XLOOKUP(XLOOKUP($Q261,'Threshold Summary'!$Y:$Y,'Threshold Summary'!$K:$K,""),'Pokemon Editor'!$A:$A,'Pokemon Editor'!$H:$H,0)+31+FLOOR(XLOOKUP($Q261,'Threshold Summary'!$Y:$Y,'Threshold Summary'!$R:$R,"")/4))*XLOOKUP($Q261,'Threshold Summary'!$Y:$Y,'Threshold Summary'!$L:$L,""))/100)+5)*XLOOKUP(XLOOKUP($Q261,'Threshold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Editor'!$E:$E,1))),stab,IF(OR(mtype=XLOOKUP(XLOOKUP($Q261,'Threshold Summary'!$Y:$Y,'Threshold Summary'!$K:$K,""),'Pokemon Editor'!$A:$A,'Pokemon Editor'!$C:$C,""),mtype=XLOOKUP(XLOOKUP($Q261,'Threshold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Chart'!$B$1:$S$1,0)))),base,IF(OR(cat="Status",pow=0),0,FLOOR(FLOOR(FLOOR((2*XLOOKUP($Q261,'Threshold Summary'!$Y:$Y,'Threshold Summary'!$L:$L,"")/5+2)*pow*atk/def)/50)+2)),modifier,stab*eff,AVERAGE(ARRAYFORMULA(FLOOR(base*modifier*SEQUENCE(16,1,85,1)/100)))),0)</f>
        <v/>
      </c>
      <c r="M261" s="3">
        <f>IFERROR(LET(mtype,XLOOKUP($D261,'Move Editor'!$B:$B,'Move Editor'!$C:$C,""),cat,XLOOKUP($D261,'Move Editor'!$B:$B,'Move Editor'!$D:$D,""),pow,XLOOKUP($D261,'Move Editor'!$B:$B,'Move Editor'!$E:$E,0),acc,XLOOKUP($D261,'Move Editor'!$B:$B,'Move Editor'!$F:$F,100),atk,IF(cat="Physical",FLOOR((FLOOR(((2*XLOOKUP(XLOOKUP($Q261,'Threshold Summary'!$Y:$Y,'Threshold Summary'!$K:$K,""),'Pokemon Editor'!$A:$A,'Pokemon Editor'!$F:$F,0)+31+FLOOR(XLOOKUP($Q261,'Threshold Summary'!$Y:$Y,'Threshold Summary'!$P:$P,"")/4))*XLOOKUP($Q261,'Threshold Summary'!$Y:$Y,'Threshold Summary'!$L:$L,""))/100)+5)*XLOOKUP(XLOOKUP($Q261,'Threshold Summary'!$Y:$Y,'Threshold Summary'!$M:$M,""),'Nature Editor'!$A:$A,'Nature Editor'!$B:$B,1)),FLOOR((FLOOR(((2*XLOOKUP(XLOOKUP($Q261,'Threshold Summary'!$Y:$Y,'Threshold Summary'!$K:$K,""),'Pokemon Editor'!$A:$A,'Pokemon Editor'!$H:$H,0)+31+FLOOR(XLOOKUP($Q261,'Threshold Summary'!$Y:$Y,'Threshold Summary'!$R:$R,"")/4))*XLOOKUP($Q261,'Threshold Summary'!$Y:$Y,'Threshold Summary'!$L:$L,""))/100)+5)*XLOOKUP(XLOOKUP($Q261,'Threshold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Editor'!$E:$E,1))),stab,IF(OR(mtype=XLOOKUP(XLOOKUP($Q261,'Threshold Summary'!$Y:$Y,'Threshold Summary'!$K:$K,""),'Pokemon Editor'!$A:$A,'Pokemon Editor'!$C:$C,""),mtype=XLOOKUP(XLOOKUP($Q261,'Threshold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Chart'!$B$1:$S$1,0)))),base,IF(OR(cat="Status",pow=0),0,FLOOR(FLOOR(FLOOR((2*XLOOKUP($Q261,'Threshold Summary'!$Y:$Y,'Threshold Summary'!$L:$L,"")/5+2)*pow*atk/def)/50)+2)),modifier,stab*eff,AVERAGE(ARRAYFORMULA(FLOOR(base*modifier*SEQUENCE(16,1,85,1)/100)))*MIN(1,acc/100)),0)</f>
        <v/>
      </c>
      <c r="N261" s="4">
        <f>IFERROR(LET(mtype,XLOOKUP($D261,'Move Editor'!$B:$B,'Move Editor'!$C:$C,""),cat,XLOOKUP($D261,'Move Editor'!$B:$B,'Move Editor'!$D:$D,""),pow,XLOOKUP($D261,'Move Editor'!$B:$B,'Move Editor'!$E:$E,0),acc,XLOOKUP($D261,'Move Editor'!$B:$B,'Move Editor'!$F:$F,100),atk,IF(cat="Physical",FLOOR((FLOOR(((2*XLOOKUP(XLOOKUP($Q261,'Threshold Summary'!$Y:$Y,'Threshold Summary'!$K:$K,""),'Pokemon Editor'!$A:$A,'Pokemon Editor'!$F:$F,0)+31+FLOOR(XLOOKUP($Q261,'Threshold Summary'!$Y:$Y,'Threshold Summary'!$P:$P,"")/4))*XLOOKUP($Q261,'Threshold Summary'!$Y:$Y,'Threshold Summary'!$L:$L,""))/100)+5)*XLOOKUP(XLOOKUP($Q261,'Threshold Summary'!$Y:$Y,'Threshold Summary'!$M:$M,""),'Nature Editor'!$A:$A,'Nature Editor'!$B:$B,1)),FLOOR((FLOOR(((2*XLOOKUP(XLOOKUP($Q261,'Threshold Summary'!$Y:$Y,'Threshold Summary'!$K:$K,""),'Pokemon Editor'!$A:$A,'Pokemon Editor'!$H:$H,0)+31+FLOOR(XLOOKUP($Q261,'Threshold Summary'!$Y:$Y,'Threshold Summary'!$R:$R,"")/4))*XLOOKUP($Q261,'Threshold Summary'!$Y:$Y,'Threshold Summary'!$L:$L,""))/100)+5)*XLOOKUP(XLOOKUP($Q261,'Threshold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Editor'!$E:$E,1))),stab,IF(OR(mtype=XLOOKUP(XLOOKUP($Q261,'Threshold Summary'!$Y:$Y,'Threshold Summary'!$K:$K,""),'Pokemon Editor'!$A:$A,'Pokemon Editor'!$C:$C,""),mtype=XLOOKUP(XLOOKUP($Q261,'Threshold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Chart'!$B$1:$S$1,0)))),base,IF(OR(cat="Status",pow=0),0,FLOOR(FLOOR(FLOOR((2*XLOOKUP($Q261,'Threshold Summary'!$Y:$Y,'Threshold Summary'!$L:$L,"")/5+2)*pow*atk/def)/50)+2)),modifier,stab*eff,AVERAGE(ARRAYFORMULA(FLOOR(base*modifier*SEQUENCE(16,1,85,1)/100)))/(FLOOR(((2*XLOOKUP('Boss Editor'!$C$4,'Pokemon Editor'!$A:$A,'Pokemon Editor'!$E:$E,0)+31+FLOOR('Boss Editor'!$G$4/4))*'Boss Editor'!$D$4)/100)+'Boss Editor'!$D$4+10)),0)</f>
        <v/>
      </c>
      <c r="O261" s="3">
        <f>IF(N261&gt;=1,"OHKO",IF(N261&gt;=0.5,"2HKO",IF(N261&gt;=0.333,"3HKO",IF(N261&gt;=0.25,"4HKO","5HKO+"))))</f>
        <v/>
      </c>
      <c r="P261" s="3" t="inlineStr">
        <is>
          <t>Live from editable databases</t>
        </is>
      </c>
      <c r="Q261" s="3" t="inlineStr">
        <is>
          <t>SPECIES_BUDEW</t>
        </is>
      </c>
      <c r="R261" s="3" t="n">
        <v>4</v>
      </c>
    </row>
    <row r="262">
      <c r="A262" s="3">
        <f>XLOOKUP($Q262,'Threshold Summary'!$Y:$Y,'Threshold Summary'!$A:$A,"")</f>
        <v/>
      </c>
      <c r="B262" s="3">
        <f>XLOOKUP($Q262,'Threshold Summary'!$Y:$Y,'Threshold Summary'!$M:$M,"")</f>
        <v/>
      </c>
      <c r="C262" s="3">
        <f>XLOOKUP($Q262,'Threshold Summary'!$Y:$Y,'Threshold Summary'!$N:$N,"")</f>
        <v/>
      </c>
      <c r="D262" s="3">
        <f>IFERROR(INDEX(FILTER('Learnset Editor'!$D$2:$D,'Learnset Editor'!$A$2:$A=XLOOKUP($Q262,'Threshold Summary'!$Y:$Y,'Threshold Summary'!$K:$K,""),'Learnset Editor'!$C$2:$C&lt;=XLOOKUP($Q262,'Threshold Summary'!$Y:$Y,'Threshold Summary'!$L:$L,"")),$R262),"")</f>
        <v/>
      </c>
      <c r="E262" s="3">
        <f>XLOOKUP(D262,'Move Editor'!$B:$B,'Move Editor'!$C:$C,"")</f>
        <v/>
      </c>
      <c r="F262" s="3">
        <f>XLOOKUP(D262,'Move Editor'!$B:$B,'Move Editor'!$D:$D,"")</f>
        <v/>
      </c>
      <c r="G262" s="3">
        <f>XLOOKUP(D262,'Move Editor'!$B:$B,'Move Editor'!$E:$E,0)</f>
        <v/>
      </c>
      <c r="H262" s="3">
        <f>XLOOKUP(D262,'Move Editor'!$B:$B,'Move Editor'!$F:$F,0)</f>
        <v/>
      </c>
      <c r="I262" s="3">
        <f>(INDEX('Type Chart'!$B:$S,MATCH(E262,'Type Chart'!$A:$A,0),MATCH(XLOOKUP('Boss Editor'!$C$4,'Pokemon Editor'!$A:$A,'Pokemon Editor'!$C:$C,""),'Type Chart'!$B$1:$S$1,0))*IF(XLOOKUP('Boss Editor'!$C$4,'Pokemon Editor'!$A:$A,'Pokemon Editor'!$D:$D,"")="",1,INDEX('Type Chart'!$B:$S,MATCH(E262,'Type Chart'!$A:$A,0),MATCH(XLOOKUP('Boss Editor'!$C$4,'Pokemon Editor'!$A:$A,'Pokemon Editor'!$D:$D,""),'Type Chart'!$B$1:$S$1,0))))</f>
        <v/>
      </c>
      <c r="J262" s="3">
        <f>IFERROR(LET(mtype,XLOOKUP($D262,'Move Editor'!$B:$B,'Move Editor'!$C:$C,""),cat,XLOOKUP($D262,'Move Editor'!$B:$B,'Move Editor'!$D:$D,""),pow,XLOOKUP($D262,'Move Editor'!$B:$B,'Move Editor'!$E:$E,0),acc,XLOOKUP($D262,'Move Editor'!$B:$B,'Move Editor'!$F:$F,100),atk,IF(cat="Physical",FLOOR((FLOOR(((2*XLOOKUP(XLOOKUP($Q262,'Threshold Summary'!$Y:$Y,'Threshold Summary'!$K:$K,""),'Pokemon Editor'!$A:$A,'Pokemon Editor'!$F:$F,0)+31+FLOOR(XLOOKUP($Q262,'Threshold Summary'!$Y:$Y,'Threshold Summary'!$P:$P,"")/4))*XLOOKUP($Q262,'Threshold Summary'!$Y:$Y,'Threshold Summary'!$L:$L,""))/100)+5)*XLOOKUP(XLOOKUP($Q262,'Threshold Summary'!$Y:$Y,'Threshold Summary'!$M:$M,""),'Nature Editor'!$A:$A,'Nature Editor'!$B:$B,1)),FLOOR((FLOOR(((2*XLOOKUP(XLOOKUP($Q262,'Threshold Summary'!$Y:$Y,'Threshold Summary'!$K:$K,""),'Pokemon Editor'!$A:$A,'Pokemon Editor'!$H:$H,0)+31+FLOOR(XLOOKUP($Q262,'Threshold Summary'!$Y:$Y,'Threshold Summary'!$R:$R,"")/4))*XLOOKUP($Q262,'Threshold Summary'!$Y:$Y,'Threshold Summary'!$L:$L,""))/100)+5)*XLOOKUP(XLOOKUP($Q262,'Threshold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Editor'!$E:$E,1))),stab,IF(OR(mtype=XLOOKUP(XLOOKUP($Q262,'Threshold Summary'!$Y:$Y,'Threshold Summary'!$K:$K,""),'Pokemon Editor'!$A:$A,'Pokemon Editor'!$C:$C,""),mtype=XLOOKUP(XLOOKUP($Q262,'Threshold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Chart'!$B$1:$S$1,0)))),base,IF(OR(cat="Status",pow=0),0,FLOOR(FLOOR(FLOOR((2*XLOOKUP($Q262,'Threshold Summary'!$Y:$Y,'Threshold Summary'!$L:$L,"")/5+2)*pow*atk/def)/50)+2)),modifier,stab*eff,FLOOR(base*modifier*0.85)),0)</f>
        <v/>
      </c>
      <c r="K262" s="3">
        <f>IFERROR(LET(mtype,XLOOKUP($D262,'Move Editor'!$B:$B,'Move Editor'!$C:$C,""),cat,XLOOKUP($D262,'Move Editor'!$B:$B,'Move Editor'!$D:$D,""),pow,XLOOKUP($D262,'Move Editor'!$B:$B,'Move Editor'!$E:$E,0),acc,XLOOKUP($D262,'Move Editor'!$B:$B,'Move Editor'!$F:$F,100),atk,IF(cat="Physical",FLOOR((FLOOR(((2*XLOOKUP(XLOOKUP($Q262,'Threshold Summary'!$Y:$Y,'Threshold Summary'!$K:$K,""),'Pokemon Editor'!$A:$A,'Pokemon Editor'!$F:$F,0)+31+FLOOR(XLOOKUP($Q262,'Threshold Summary'!$Y:$Y,'Threshold Summary'!$P:$P,"")/4))*XLOOKUP($Q262,'Threshold Summary'!$Y:$Y,'Threshold Summary'!$L:$L,""))/100)+5)*XLOOKUP(XLOOKUP($Q262,'Threshold Summary'!$Y:$Y,'Threshold Summary'!$M:$M,""),'Nature Editor'!$A:$A,'Nature Editor'!$B:$B,1)),FLOOR((FLOOR(((2*XLOOKUP(XLOOKUP($Q262,'Threshold Summary'!$Y:$Y,'Threshold Summary'!$K:$K,""),'Pokemon Editor'!$A:$A,'Pokemon Editor'!$H:$H,0)+31+FLOOR(XLOOKUP($Q262,'Threshold Summary'!$Y:$Y,'Threshold Summary'!$R:$R,"")/4))*XLOOKUP($Q262,'Threshold Summary'!$Y:$Y,'Threshold Summary'!$L:$L,""))/100)+5)*XLOOKUP(XLOOKUP($Q262,'Threshold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Editor'!$E:$E,1))),stab,IF(OR(mtype=XLOOKUP(XLOOKUP($Q262,'Threshold Summary'!$Y:$Y,'Threshold Summary'!$K:$K,""),'Pokemon Editor'!$A:$A,'Pokemon Editor'!$C:$C,""),mtype=XLOOKUP(XLOOKUP($Q262,'Threshold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Chart'!$B$1:$S$1,0)))),base,IF(OR(cat="Status",pow=0),0,FLOOR(FLOOR(FLOOR((2*XLOOKUP($Q262,'Threshold Summary'!$Y:$Y,'Threshold Summary'!$L:$L,"")/5+2)*pow*atk/def)/50)+2)),modifier,stab*eff,FLOOR(base*modifier)),0)</f>
        <v/>
      </c>
      <c r="L262" s="3">
        <f>IFERROR(LET(mtype,XLOOKUP($D262,'Move Editor'!$B:$B,'Move Editor'!$C:$C,""),cat,XLOOKUP($D262,'Move Editor'!$B:$B,'Move Editor'!$D:$D,""),pow,XLOOKUP($D262,'Move Editor'!$B:$B,'Move Editor'!$E:$E,0),acc,XLOOKUP($D262,'Move Editor'!$B:$B,'Move Editor'!$F:$F,100),atk,IF(cat="Physical",FLOOR((FLOOR(((2*XLOOKUP(XLOOKUP($Q262,'Threshold Summary'!$Y:$Y,'Threshold Summary'!$K:$K,""),'Pokemon Editor'!$A:$A,'Pokemon Editor'!$F:$F,0)+31+FLOOR(XLOOKUP($Q262,'Threshold Summary'!$Y:$Y,'Threshold Summary'!$P:$P,"")/4))*XLOOKUP($Q262,'Threshold Summary'!$Y:$Y,'Threshold Summary'!$L:$L,""))/100)+5)*XLOOKUP(XLOOKUP($Q262,'Threshold Summary'!$Y:$Y,'Threshold Summary'!$M:$M,""),'Nature Editor'!$A:$A,'Nature Editor'!$B:$B,1)),FLOOR((FLOOR(((2*XLOOKUP(XLOOKUP($Q262,'Threshold Summary'!$Y:$Y,'Threshold Summary'!$K:$K,""),'Pokemon Editor'!$A:$A,'Pokemon Editor'!$H:$H,0)+31+FLOOR(XLOOKUP($Q262,'Threshold Summary'!$Y:$Y,'Threshold Summary'!$R:$R,"")/4))*XLOOKUP($Q262,'Threshold Summary'!$Y:$Y,'Threshold Summary'!$L:$L,""))/100)+5)*XLOOKUP(XLOOKUP($Q262,'Threshold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Editor'!$E:$E,1))),stab,IF(OR(mtype=XLOOKUP(XLOOKUP($Q262,'Threshold Summary'!$Y:$Y,'Threshold Summary'!$K:$K,""),'Pokemon Editor'!$A:$A,'Pokemon Editor'!$C:$C,""),mtype=XLOOKUP(XLOOKUP($Q262,'Threshold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Chart'!$B$1:$S$1,0)))),base,IF(OR(cat="Status",pow=0),0,FLOOR(FLOOR(FLOOR((2*XLOOKUP($Q262,'Threshold Summary'!$Y:$Y,'Threshold Summary'!$L:$L,"")/5+2)*pow*atk/def)/50)+2)),modifier,stab*eff,AVERAGE(ARRAYFORMULA(FLOOR(base*modifier*SEQUENCE(16,1,85,1)/100)))),0)</f>
        <v/>
      </c>
      <c r="M262" s="3">
        <f>IFERROR(LET(mtype,XLOOKUP($D262,'Move Editor'!$B:$B,'Move Editor'!$C:$C,""),cat,XLOOKUP($D262,'Move Editor'!$B:$B,'Move Editor'!$D:$D,""),pow,XLOOKUP($D262,'Move Editor'!$B:$B,'Move Editor'!$E:$E,0),acc,XLOOKUP($D262,'Move Editor'!$B:$B,'Move Editor'!$F:$F,100),atk,IF(cat="Physical",FLOOR((FLOOR(((2*XLOOKUP(XLOOKUP($Q262,'Threshold Summary'!$Y:$Y,'Threshold Summary'!$K:$K,""),'Pokemon Editor'!$A:$A,'Pokemon Editor'!$F:$F,0)+31+FLOOR(XLOOKUP($Q262,'Threshold Summary'!$Y:$Y,'Threshold Summary'!$P:$P,"")/4))*XLOOKUP($Q262,'Threshold Summary'!$Y:$Y,'Threshold Summary'!$L:$L,""))/100)+5)*XLOOKUP(XLOOKUP($Q262,'Threshold Summary'!$Y:$Y,'Threshold Summary'!$M:$M,""),'Nature Editor'!$A:$A,'Nature Editor'!$B:$B,1)),FLOOR((FLOOR(((2*XLOOKUP(XLOOKUP($Q262,'Threshold Summary'!$Y:$Y,'Threshold Summary'!$K:$K,""),'Pokemon Editor'!$A:$A,'Pokemon Editor'!$H:$H,0)+31+FLOOR(XLOOKUP($Q262,'Threshold Summary'!$Y:$Y,'Threshold Summary'!$R:$R,"")/4))*XLOOKUP($Q262,'Threshold Summary'!$Y:$Y,'Threshold Summary'!$L:$L,""))/100)+5)*XLOOKUP(XLOOKUP($Q262,'Threshold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Editor'!$E:$E,1))),stab,IF(OR(mtype=XLOOKUP(XLOOKUP($Q262,'Threshold Summary'!$Y:$Y,'Threshold Summary'!$K:$K,""),'Pokemon Editor'!$A:$A,'Pokemon Editor'!$C:$C,""),mtype=XLOOKUP(XLOOKUP($Q262,'Threshold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Chart'!$B$1:$S$1,0)))),base,IF(OR(cat="Status",pow=0),0,FLOOR(FLOOR(FLOOR((2*XLOOKUP($Q262,'Threshold Summary'!$Y:$Y,'Threshold Summary'!$L:$L,"")/5+2)*pow*atk/def)/50)+2)),modifier,stab*eff,AVERAGE(ARRAYFORMULA(FLOOR(base*modifier*SEQUENCE(16,1,85,1)/100)))*MIN(1,acc/100)),0)</f>
        <v/>
      </c>
      <c r="N262" s="4">
        <f>IFERROR(LET(mtype,XLOOKUP($D262,'Move Editor'!$B:$B,'Move Editor'!$C:$C,""),cat,XLOOKUP($D262,'Move Editor'!$B:$B,'Move Editor'!$D:$D,""),pow,XLOOKUP($D262,'Move Editor'!$B:$B,'Move Editor'!$E:$E,0),acc,XLOOKUP($D262,'Move Editor'!$B:$B,'Move Editor'!$F:$F,100),atk,IF(cat="Physical",FLOOR((FLOOR(((2*XLOOKUP(XLOOKUP($Q262,'Threshold Summary'!$Y:$Y,'Threshold Summary'!$K:$K,""),'Pokemon Editor'!$A:$A,'Pokemon Editor'!$F:$F,0)+31+FLOOR(XLOOKUP($Q262,'Threshold Summary'!$Y:$Y,'Threshold Summary'!$P:$P,"")/4))*XLOOKUP($Q262,'Threshold Summary'!$Y:$Y,'Threshold Summary'!$L:$L,""))/100)+5)*XLOOKUP(XLOOKUP($Q262,'Threshold Summary'!$Y:$Y,'Threshold Summary'!$M:$M,""),'Nature Editor'!$A:$A,'Nature Editor'!$B:$B,1)),FLOOR((FLOOR(((2*XLOOKUP(XLOOKUP($Q262,'Threshold Summary'!$Y:$Y,'Threshold Summary'!$K:$K,""),'Pokemon Editor'!$A:$A,'Pokemon Editor'!$H:$H,0)+31+FLOOR(XLOOKUP($Q262,'Threshold Summary'!$Y:$Y,'Threshold Summary'!$R:$R,"")/4))*XLOOKUP($Q262,'Threshold Summary'!$Y:$Y,'Threshold Summary'!$L:$L,""))/100)+5)*XLOOKUP(XLOOKUP($Q262,'Threshold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Editor'!$E:$E,1))),stab,IF(OR(mtype=XLOOKUP(XLOOKUP($Q262,'Threshold Summary'!$Y:$Y,'Threshold Summary'!$K:$K,""),'Pokemon Editor'!$A:$A,'Pokemon Editor'!$C:$C,""),mtype=XLOOKUP(XLOOKUP($Q262,'Threshold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Chart'!$B$1:$S$1,0)))),base,IF(OR(cat="Status",pow=0),0,FLOOR(FLOOR(FLOOR((2*XLOOKUP($Q262,'Threshold Summary'!$Y:$Y,'Threshold Summary'!$L:$L,"")/5+2)*pow*atk/def)/50)+2)),modifier,stab*eff,AVERAGE(ARRAYFORMULA(FLOOR(base*modifier*SEQUENCE(16,1,85,1)/100)))/(FLOOR(((2*XLOOKUP('Boss Editor'!$C$4,'Pokemon Editor'!$A:$A,'Pokemon Editor'!$E:$E,0)+31+FLOOR('Boss Editor'!$G$4/4))*'Boss Editor'!$D$4)/100)+'Boss Editor'!$D$4+10)),0)</f>
        <v/>
      </c>
      <c r="O262" s="3">
        <f>IF(N262&gt;=1,"OHKO",IF(N262&gt;=0.5,"2HKO",IF(N262&gt;=0.333,"3HKO",IF(N262&gt;=0.25,"4HKO","5HKO+"))))</f>
        <v/>
      </c>
      <c r="P262" s="3" t="inlineStr">
        <is>
          <t>Live from editable databases</t>
        </is>
      </c>
      <c r="Q262" s="3" t="inlineStr">
        <is>
          <t>SPECIES_BUDEW</t>
        </is>
      </c>
      <c r="R262" s="3" t="n">
        <v>5</v>
      </c>
    </row>
    <row r="263">
      <c r="A263" s="3">
        <f>XLOOKUP($Q263,'Threshold Summary'!$Y:$Y,'Threshold Summary'!$A:$A,"")</f>
        <v/>
      </c>
      <c r="B263" s="3">
        <f>XLOOKUP($Q263,'Threshold Summary'!$Y:$Y,'Threshold Summary'!$M:$M,"")</f>
        <v/>
      </c>
      <c r="C263" s="3">
        <f>XLOOKUP($Q263,'Threshold Summary'!$Y:$Y,'Threshold Summary'!$N:$N,"")</f>
        <v/>
      </c>
      <c r="D263" s="3">
        <f>IFERROR(INDEX(FILTER('Learnset Editor'!$D$2:$D,'Learnset Editor'!$A$2:$A=XLOOKUP($Q263,'Threshold Summary'!$Y:$Y,'Threshold Summary'!$K:$K,""),'Learnset Editor'!$C$2:$C&lt;=XLOOKUP($Q263,'Threshold Summary'!$Y:$Y,'Threshold Summary'!$L:$L,"")),$R263),"")</f>
        <v/>
      </c>
      <c r="E263" s="3">
        <f>XLOOKUP(D263,'Move Editor'!$B:$B,'Move Editor'!$C:$C,"")</f>
        <v/>
      </c>
      <c r="F263" s="3">
        <f>XLOOKUP(D263,'Move Editor'!$B:$B,'Move Editor'!$D:$D,"")</f>
        <v/>
      </c>
      <c r="G263" s="3">
        <f>XLOOKUP(D263,'Move Editor'!$B:$B,'Move Editor'!$E:$E,0)</f>
        <v/>
      </c>
      <c r="H263" s="3">
        <f>XLOOKUP(D263,'Move Editor'!$B:$B,'Move Editor'!$F:$F,0)</f>
        <v/>
      </c>
      <c r="I263" s="3">
        <f>(INDEX('Type Chart'!$B:$S,MATCH(E263,'Type Chart'!$A:$A,0),MATCH(XLOOKUP('Boss Editor'!$C$4,'Pokemon Editor'!$A:$A,'Pokemon Editor'!$C:$C,""),'Type Chart'!$B$1:$S$1,0))*IF(XLOOKUP('Boss Editor'!$C$4,'Pokemon Editor'!$A:$A,'Pokemon Editor'!$D:$D,"")="",1,INDEX('Type Chart'!$B:$S,MATCH(E263,'Type Chart'!$A:$A,0),MATCH(XLOOKUP('Boss Editor'!$C$4,'Pokemon Editor'!$A:$A,'Pokemon Editor'!$D:$D,""),'Type Chart'!$B$1:$S$1,0))))</f>
        <v/>
      </c>
      <c r="J263" s="3">
        <f>IFERROR(LET(mtype,XLOOKUP($D263,'Move Editor'!$B:$B,'Move Editor'!$C:$C,""),cat,XLOOKUP($D263,'Move Editor'!$B:$B,'Move Editor'!$D:$D,""),pow,XLOOKUP($D263,'Move Editor'!$B:$B,'Move Editor'!$E:$E,0),acc,XLOOKUP($D263,'Move Editor'!$B:$B,'Move Editor'!$F:$F,100),atk,IF(cat="Physical",FLOOR((FLOOR(((2*XLOOKUP(XLOOKUP($Q263,'Threshold Summary'!$Y:$Y,'Threshold Summary'!$K:$K,""),'Pokemon Editor'!$A:$A,'Pokemon Editor'!$F:$F,0)+31+FLOOR(XLOOKUP($Q263,'Threshold Summary'!$Y:$Y,'Threshold Summary'!$P:$P,"")/4))*XLOOKUP($Q263,'Threshold Summary'!$Y:$Y,'Threshold Summary'!$L:$L,""))/100)+5)*XLOOKUP(XLOOKUP($Q263,'Threshold Summary'!$Y:$Y,'Threshold Summary'!$M:$M,""),'Nature Editor'!$A:$A,'Nature Editor'!$B:$B,1)),FLOOR((FLOOR(((2*XLOOKUP(XLOOKUP($Q263,'Threshold Summary'!$Y:$Y,'Threshold Summary'!$K:$K,""),'Pokemon Editor'!$A:$A,'Pokemon Editor'!$H:$H,0)+31+FLOOR(XLOOKUP($Q263,'Threshold Summary'!$Y:$Y,'Threshold Summary'!$R:$R,"")/4))*XLOOKUP($Q263,'Threshold Summary'!$Y:$Y,'Threshold Summary'!$L:$L,""))/100)+5)*XLOOKUP(XLOOKUP($Q263,'Threshold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Editor'!$E:$E,1))),stab,IF(OR(mtype=XLOOKUP(XLOOKUP($Q263,'Threshold Summary'!$Y:$Y,'Threshold Summary'!$K:$K,""),'Pokemon Editor'!$A:$A,'Pokemon Editor'!$C:$C,""),mtype=XLOOKUP(XLOOKUP($Q263,'Threshold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Chart'!$B$1:$S$1,0)))),base,IF(OR(cat="Status",pow=0),0,FLOOR(FLOOR(FLOOR((2*XLOOKUP($Q263,'Threshold Summary'!$Y:$Y,'Threshold Summary'!$L:$L,"")/5+2)*pow*atk/def)/50)+2)),modifier,stab*eff,FLOOR(base*modifier*0.85)),0)</f>
        <v/>
      </c>
      <c r="K263" s="3">
        <f>IFERROR(LET(mtype,XLOOKUP($D263,'Move Editor'!$B:$B,'Move Editor'!$C:$C,""),cat,XLOOKUP($D263,'Move Editor'!$B:$B,'Move Editor'!$D:$D,""),pow,XLOOKUP($D263,'Move Editor'!$B:$B,'Move Editor'!$E:$E,0),acc,XLOOKUP($D263,'Move Editor'!$B:$B,'Move Editor'!$F:$F,100),atk,IF(cat="Physical",FLOOR((FLOOR(((2*XLOOKUP(XLOOKUP($Q263,'Threshold Summary'!$Y:$Y,'Threshold Summary'!$K:$K,""),'Pokemon Editor'!$A:$A,'Pokemon Editor'!$F:$F,0)+31+FLOOR(XLOOKUP($Q263,'Threshold Summary'!$Y:$Y,'Threshold Summary'!$P:$P,"")/4))*XLOOKUP($Q263,'Threshold Summary'!$Y:$Y,'Threshold Summary'!$L:$L,""))/100)+5)*XLOOKUP(XLOOKUP($Q263,'Threshold Summary'!$Y:$Y,'Threshold Summary'!$M:$M,""),'Nature Editor'!$A:$A,'Nature Editor'!$B:$B,1)),FLOOR((FLOOR(((2*XLOOKUP(XLOOKUP($Q263,'Threshold Summary'!$Y:$Y,'Threshold Summary'!$K:$K,""),'Pokemon Editor'!$A:$A,'Pokemon Editor'!$H:$H,0)+31+FLOOR(XLOOKUP($Q263,'Threshold Summary'!$Y:$Y,'Threshold Summary'!$R:$R,"")/4))*XLOOKUP($Q263,'Threshold Summary'!$Y:$Y,'Threshold Summary'!$L:$L,""))/100)+5)*XLOOKUP(XLOOKUP($Q263,'Threshold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Editor'!$E:$E,1))),stab,IF(OR(mtype=XLOOKUP(XLOOKUP($Q263,'Threshold Summary'!$Y:$Y,'Threshold Summary'!$K:$K,""),'Pokemon Editor'!$A:$A,'Pokemon Editor'!$C:$C,""),mtype=XLOOKUP(XLOOKUP($Q263,'Threshold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Chart'!$B$1:$S$1,0)))),base,IF(OR(cat="Status",pow=0),0,FLOOR(FLOOR(FLOOR((2*XLOOKUP($Q263,'Threshold Summary'!$Y:$Y,'Threshold Summary'!$L:$L,"")/5+2)*pow*atk/def)/50)+2)),modifier,stab*eff,FLOOR(base*modifier)),0)</f>
        <v/>
      </c>
      <c r="L263" s="3">
        <f>IFERROR(LET(mtype,XLOOKUP($D263,'Move Editor'!$B:$B,'Move Editor'!$C:$C,""),cat,XLOOKUP($D263,'Move Editor'!$B:$B,'Move Editor'!$D:$D,""),pow,XLOOKUP($D263,'Move Editor'!$B:$B,'Move Editor'!$E:$E,0),acc,XLOOKUP($D263,'Move Editor'!$B:$B,'Move Editor'!$F:$F,100),atk,IF(cat="Physical",FLOOR((FLOOR(((2*XLOOKUP(XLOOKUP($Q263,'Threshold Summary'!$Y:$Y,'Threshold Summary'!$K:$K,""),'Pokemon Editor'!$A:$A,'Pokemon Editor'!$F:$F,0)+31+FLOOR(XLOOKUP($Q263,'Threshold Summary'!$Y:$Y,'Threshold Summary'!$P:$P,"")/4))*XLOOKUP($Q263,'Threshold Summary'!$Y:$Y,'Threshold Summary'!$L:$L,""))/100)+5)*XLOOKUP(XLOOKUP($Q263,'Threshold Summary'!$Y:$Y,'Threshold Summary'!$M:$M,""),'Nature Editor'!$A:$A,'Nature Editor'!$B:$B,1)),FLOOR((FLOOR(((2*XLOOKUP(XLOOKUP($Q263,'Threshold Summary'!$Y:$Y,'Threshold Summary'!$K:$K,""),'Pokemon Editor'!$A:$A,'Pokemon Editor'!$H:$H,0)+31+FLOOR(XLOOKUP($Q263,'Threshold Summary'!$Y:$Y,'Threshold Summary'!$R:$R,"")/4))*XLOOKUP($Q263,'Threshold Summary'!$Y:$Y,'Threshold Summary'!$L:$L,""))/100)+5)*XLOOKUP(XLOOKUP($Q263,'Threshold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Editor'!$E:$E,1))),stab,IF(OR(mtype=XLOOKUP(XLOOKUP($Q263,'Threshold Summary'!$Y:$Y,'Threshold Summary'!$K:$K,""),'Pokemon Editor'!$A:$A,'Pokemon Editor'!$C:$C,""),mtype=XLOOKUP(XLOOKUP($Q263,'Threshold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Chart'!$B$1:$S$1,0)))),base,IF(OR(cat="Status",pow=0),0,FLOOR(FLOOR(FLOOR((2*XLOOKUP($Q263,'Threshold Summary'!$Y:$Y,'Threshold Summary'!$L:$L,"")/5+2)*pow*atk/def)/50)+2)),modifier,stab*eff,AVERAGE(ARRAYFORMULA(FLOOR(base*modifier*SEQUENCE(16,1,85,1)/100)))),0)</f>
        <v/>
      </c>
      <c r="M263" s="3">
        <f>IFERROR(LET(mtype,XLOOKUP($D263,'Move Editor'!$B:$B,'Move Editor'!$C:$C,""),cat,XLOOKUP($D263,'Move Editor'!$B:$B,'Move Editor'!$D:$D,""),pow,XLOOKUP($D263,'Move Editor'!$B:$B,'Move Editor'!$E:$E,0),acc,XLOOKUP($D263,'Move Editor'!$B:$B,'Move Editor'!$F:$F,100),atk,IF(cat="Physical",FLOOR((FLOOR(((2*XLOOKUP(XLOOKUP($Q263,'Threshold Summary'!$Y:$Y,'Threshold Summary'!$K:$K,""),'Pokemon Editor'!$A:$A,'Pokemon Editor'!$F:$F,0)+31+FLOOR(XLOOKUP($Q263,'Threshold Summary'!$Y:$Y,'Threshold Summary'!$P:$P,"")/4))*XLOOKUP($Q263,'Threshold Summary'!$Y:$Y,'Threshold Summary'!$L:$L,""))/100)+5)*XLOOKUP(XLOOKUP($Q263,'Threshold Summary'!$Y:$Y,'Threshold Summary'!$M:$M,""),'Nature Editor'!$A:$A,'Nature Editor'!$B:$B,1)),FLOOR((FLOOR(((2*XLOOKUP(XLOOKUP($Q263,'Threshold Summary'!$Y:$Y,'Threshold Summary'!$K:$K,""),'Pokemon Editor'!$A:$A,'Pokemon Editor'!$H:$H,0)+31+FLOOR(XLOOKUP($Q263,'Threshold Summary'!$Y:$Y,'Threshold Summary'!$R:$R,"")/4))*XLOOKUP($Q263,'Threshold Summary'!$Y:$Y,'Threshold Summary'!$L:$L,""))/100)+5)*XLOOKUP(XLOOKUP($Q263,'Threshold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Editor'!$E:$E,1))),stab,IF(OR(mtype=XLOOKUP(XLOOKUP($Q263,'Threshold Summary'!$Y:$Y,'Threshold Summary'!$K:$K,""),'Pokemon Editor'!$A:$A,'Pokemon Editor'!$C:$C,""),mtype=XLOOKUP(XLOOKUP($Q263,'Threshold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Chart'!$B$1:$S$1,0)))),base,IF(OR(cat="Status",pow=0),0,FLOOR(FLOOR(FLOOR((2*XLOOKUP($Q263,'Threshold Summary'!$Y:$Y,'Threshold Summary'!$L:$L,"")/5+2)*pow*atk/def)/50)+2)),modifier,stab*eff,AVERAGE(ARRAYFORMULA(FLOOR(base*modifier*SEQUENCE(16,1,85,1)/100)))*MIN(1,acc/100)),0)</f>
        <v/>
      </c>
      <c r="N263" s="4">
        <f>IFERROR(LET(mtype,XLOOKUP($D263,'Move Editor'!$B:$B,'Move Editor'!$C:$C,""),cat,XLOOKUP($D263,'Move Editor'!$B:$B,'Move Editor'!$D:$D,""),pow,XLOOKUP($D263,'Move Editor'!$B:$B,'Move Editor'!$E:$E,0),acc,XLOOKUP($D263,'Move Editor'!$B:$B,'Move Editor'!$F:$F,100),atk,IF(cat="Physical",FLOOR((FLOOR(((2*XLOOKUP(XLOOKUP($Q263,'Threshold Summary'!$Y:$Y,'Threshold Summary'!$K:$K,""),'Pokemon Editor'!$A:$A,'Pokemon Editor'!$F:$F,0)+31+FLOOR(XLOOKUP($Q263,'Threshold Summary'!$Y:$Y,'Threshold Summary'!$P:$P,"")/4))*XLOOKUP($Q263,'Threshold Summary'!$Y:$Y,'Threshold Summary'!$L:$L,""))/100)+5)*XLOOKUP(XLOOKUP($Q263,'Threshold Summary'!$Y:$Y,'Threshold Summary'!$M:$M,""),'Nature Editor'!$A:$A,'Nature Editor'!$B:$B,1)),FLOOR((FLOOR(((2*XLOOKUP(XLOOKUP($Q263,'Threshold Summary'!$Y:$Y,'Threshold Summary'!$K:$K,""),'Pokemon Editor'!$A:$A,'Pokemon Editor'!$H:$H,0)+31+FLOOR(XLOOKUP($Q263,'Threshold Summary'!$Y:$Y,'Threshold Summary'!$R:$R,"")/4))*XLOOKUP($Q263,'Threshold Summary'!$Y:$Y,'Threshold Summary'!$L:$L,""))/100)+5)*XLOOKUP(XLOOKUP($Q263,'Threshold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Editor'!$E:$E,1))),stab,IF(OR(mtype=XLOOKUP(XLOOKUP($Q263,'Threshold Summary'!$Y:$Y,'Threshold Summary'!$K:$K,""),'Pokemon Editor'!$A:$A,'Pokemon Editor'!$C:$C,""),mtype=XLOOKUP(XLOOKUP($Q263,'Threshold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Chart'!$B$1:$S$1,0)))),base,IF(OR(cat="Status",pow=0),0,FLOOR(FLOOR(FLOOR((2*XLOOKUP($Q263,'Threshold Summary'!$Y:$Y,'Threshold Summary'!$L:$L,"")/5+2)*pow*atk/def)/50)+2)),modifier,stab*eff,AVERAGE(ARRAYFORMULA(FLOOR(base*modifier*SEQUENCE(16,1,85,1)/100)))/(FLOOR(((2*XLOOKUP('Boss Editor'!$C$4,'Pokemon Editor'!$A:$A,'Pokemon Editor'!$E:$E,0)+31+FLOOR('Boss Editor'!$G$4/4))*'Boss Editor'!$D$4)/100)+'Boss Editor'!$D$4+10)),0)</f>
        <v/>
      </c>
      <c r="O263" s="3">
        <f>IF(N263&gt;=1,"OHKO",IF(N263&gt;=0.5,"2HKO",IF(N263&gt;=0.333,"3HKO",IF(N263&gt;=0.25,"4HKO","5HKO+"))))</f>
        <v/>
      </c>
      <c r="P263" s="3" t="inlineStr">
        <is>
          <t>Live from editable databases</t>
        </is>
      </c>
      <c r="Q263" s="3" t="inlineStr">
        <is>
          <t>SPECIES_BUDEW</t>
        </is>
      </c>
      <c r="R263" s="3" t="n">
        <v>6</v>
      </c>
    </row>
    <row r="264">
      <c r="A264" s="3">
        <f>XLOOKUP($Q264,'Threshold Summary'!$Y:$Y,'Threshold Summary'!$A:$A,"")</f>
        <v/>
      </c>
      <c r="B264" s="3">
        <f>XLOOKUP($Q264,'Threshold Summary'!$Y:$Y,'Threshold Summary'!$M:$M,"")</f>
        <v/>
      </c>
      <c r="C264" s="3">
        <f>XLOOKUP($Q264,'Threshold Summary'!$Y:$Y,'Threshold Summary'!$N:$N,"")</f>
        <v/>
      </c>
      <c r="D264" s="3">
        <f>IFERROR(INDEX(FILTER('Learnset Editor'!$D$2:$D,'Learnset Editor'!$A$2:$A=XLOOKUP($Q264,'Threshold Summary'!$Y:$Y,'Threshold Summary'!$K:$K,""),'Learnset Editor'!$C$2:$C&lt;=XLOOKUP($Q264,'Threshold Summary'!$Y:$Y,'Threshold Summary'!$L:$L,"")),$R264),"")</f>
        <v/>
      </c>
      <c r="E264" s="3">
        <f>XLOOKUP(D264,'Move Editor'!$B:$B,'Move Editor'!$C:$C,"")</f>
        <v/>
      </c>
      <c r="F264" s="3">
        <f>XLOOKUP(D264,'Move Editor'!$B:$B,'Move Editor'!$D:$D,"")</f>
        <v/>
      </c>
      <c r="G264" s="3">
        <f>XLOOKUP(D264,'Move Editor'!$B:$B,'Move Editor'!$E:$E,0)</f>
        <v/>
      </c>
      <c r="H264" s="3">
        <f>XLOOKUP(D264,'Move Editor'!$B:$B,'Move Editor'!$F:$F,0)</f>
        <v/>
      </c>
      <c r="I264" s="3">
        <f>(INDEX('Type Chart'!$B:$S,MATCH(E264,'Type Chart'!$A:$A,0),MATCH(XLOOKUP('Boss Editor'!$C$4,'Pokemon Editor'!$A:$A,'Pokemon Editor'!$C:$C,""),'Type Chart'!$B$1:$S$1,0))*IF(XLOOKUP('Boss Editor'!$C$4,'Pokemon Editor'!$A:$A,'Pokemon Editor'!$D:$D,"")="",1,INDEX('Type Chart'!$B:$S,MATCH(E264,'Type Chart'!$A:$A,0),MATCH(XLOOKUP('Boss Editor'!$C$4,'Pokemon Editor'!$A:$A,'Pokemon Editor'!$D:$D,""),'Type Chart'!$B$1:$S$1,0))))</f>
        <v/>
      </c>
      <c r="J264" s="3">
        <f>IFERROR(LET(mtype,XLOOKUP($D264,'Move Editor'!$B:$B,'Move Editor'!$C:$C,""),cat,XLOOKUP($D264,'Move Editor'!$B:$B,'Move Editor'!$D:$D,""),pow,XLOOKUP($D264,'Move Editor'!$B:$B,'Move Editor'!$E:$E,0),acc,XLOOKUP($D264,'Move Editor'!$B:$B,'Move Editor'!$F:$F,100),atk,IF(cat="Physical",FLOOR((FLOOR(((2*XLOOKUP(XLOOKUP($Q264,'Threshold Summary'!$Y:$Y,'Threshold Summary'!$K:$K,""),'Pokemon Editor'!$A:$A,'Pokemon Editor'!$F:$F,0)+31+FLOOR(XLOOKUP($Q264,'Threshold Summary'!$Y:$Y,'Threshold Summary'!$P:$P,"")/4))*XLOOKUP($Q264,'Threshold Summary'!$Y:$Y,'Threshold Summary'!$L:$L,""))/100)+5)*XLOOKUP(XLOOKUP($Q264,'Threshold Summary'!$Y:$Y,'Threshold Summary'!$M:$M,""),'Nature Editor'!$A:$A,'Nature Editor'!$B:$B,1)),FLOOR((FLOOR(((2*XLOOKUP(XLOOKUP($Q264,'Threshold Summary'!$Y:$Y,'Threshold Summary'!$K:$K,""),'Pokemon Editor'!$A:$A,'Pokemon Editor'!$H:$H,0)+31+FLOOR(XLOOKUP($Q264,'Threshold Summary'!$Y:$Y,'Threshold Summary'!$R:$R,"")/4))*XLOOKUP($Q264,'Threshold Summary'!$Y:$Y,'Threshold Summary'!$L:$L,""))/100)+5)*XLOOKUP(XLOOKUP($Q264,'Threshold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Editor'!$E:$E,1))),stab,IF(OR(mtype=XLOOKUP(XLOOKUP($Q264,'Threshold Summary'!$Y:$Y,'Threshold Summary'!$K:$K,""),'Pokemon Editor'!$A:$A,'Pokemon Editor'!$C:$C,""),mtype=XLOOKUP(XLOOKUP($Q264,'Threshold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Chart'!$B$1:$S$1,0)))),base,IF(OR(cat="Status",pow=0),0,FLOOR(FLOOR(FLOOR((2*XLOOKUP($Q264,'Threshold Summary'!$Y:$Y,'Threshold Summary'!$L:$L,"")/5+2)*pow*atk/def)/50)+2)),modifier,stab*eff,FLOOR(base*modifier*0.85)),0)</f>
        <v/>
      </c>
      <c r="K264" s="3">
        <f>IFERROR(LET(mtype,XLOOKUP($D264,'Move Editor'!$B:$B,'Move Editor'!$C:$C,""),cat,XLOOKUP($D264,'Move Editor'!$B:$B,'Move Editor'!$D:$D,""),pow,XLOOKUP($D264,'Move Editor'!$B:$B,'Move Editor'!$E:$E,0),acc,XLOOKUP($D264,'Move Editor'!$B:$B,'Move Editor'!$F:$F,100),atk,IF(cat="Physical",FLOOR((FLOOR(((2*XLOOKUP(XLOOKUP($Q264,'Threshold Summary'!$Y:$Y,'Threshold Summary'!$K:$K,""),'Pokemon Editor'!$A:$A,'Pokemon Editor'!$F:$F,0)+31+FLOOR(XLOOKUP($Q264,'Threshold Summary'!$Y:$Y,'Threshold Summary'!$P:$P,"")/4))*XLOOKUP($Q264,'Threshold Summary'!$Y:$Y,'Threshold Summary'!$L:$L,""))/100)+5)*XLOOKUP(XLOOKUP($Q264,'Threshold Summary'!$Y:$Y,'Threshold Summary'!$M:$M,""),'Nature Editor'!$A:$A,'Nature Editor'!$B:$B,1)),FLOOR((FLOOR(((2*XLOOKUP(XLOOKUP($Q264,'Threshold Summary'!$Y:$Y,'Threshold Summary'!$K:$K,""),'Pokemon Editor'!$A:$A,'Pokemon Editor'!$H:$H,0)+31+FLOOR(XLOOKUP($Q264,'Threshold Summary'!$Y:$Y,'Threshold Summary'!$R:$R,"")/4))*XLOOKUP($Q264,'Threshold Summary'!$Y:$Y,'Threshold Summary'!$L:$L,""))/100)+5)*XLOOKUP(XLOOKUP($Q264,'Threshold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Editor'!$E:$E,1))),stab,IF(OR(mtype=XLOOKUP(XLOOKUP($Q264,'Threshold Summary'!$Y:$Y,'Threshold Summary'!$K:$K,""),'Pokemon Editor'!$A:$A,'Pokemon Editor'!$C:$C,""),mtype=XLOOKUP(XLOOKUP($Q264,'Threshold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Chart'!$B$1:$S$1,0)))),base,IF(OR(cat="Status",pow=0),0,FLOOR(FLOOR(FLOOR((2*XLOOKUP($Q264,'Threshold Summary'!$Y:$Y,'Threshold Summary'!$L:$L,"")/5+2)*pow*atk/def)/50)+2)),modifier,stab*eff,FLOOR(base*modifier)),0)</f>
        <v/>
      </c>
      <c r="L264" s="3">
        <f>IFERROR(LET(mtype,XLOOKUP($D264,'Move Editor'!$B:$B,'Move Editor'!$C:$C,""),cat,XLOOKUP($D264,'Move Editor'!$B:$B,'Move Editor'!$D:$D,""),pow,XLOOKUP($D264,'Move Editor'!$B:$B,'Move Editor'!$E:$E,0),acc,XLOOKUP($D264,'Move Editor'!$B:$B,'Move Editor'!$F:$F,100),atk,IF(cat="Physical",FLOOR((FLOOR(((2*XLOOKUP(XLOOKUP($Q264,'Threshold Summary'!$Y:$Y,'Threshold Summary'!$K:$K,""),'Pokemon Editor'!$A:$A,'Pokemon Editor'!$F:$F,0)+31+FLOOR(XLOOKUP($Q264,'Threshold Summary'!$Y:$Y,'Threshold Summary'!$P:$P,"")/4))*XLOOKUP($Q264,'Threshold Summary'!$Y:$Y,'Threshold Summary'!$L:$L,""))/100)+5)*XLOOKUP(XLOOKUP($Q264,'Threshold Summary'!$Y:$Y,'Threshold Summary'!$M:$M,""),'Nature Editor'!$A:$A,'Nature Editor'!$B:$B,1)),FLOOR((FLOOR(((2*XLOOKUP(XLOOKUP($Q264,'Threshold Summary'!$Y:$Y,'Threshold Summary'!$K:$K,""),'Pokemon Editor'!$A:$A,'Pokemon Editor'!$H:$H,0)+31+FLOOR(XLOOKUP($Q264,'Threshold Summary'!$Y:$Y,'Threshold Summary'!$R:$R,"")/4))*XLOOKUP($Q264,'Threshold Summary'!$Y:$Y,'Threshold Summary'!$L:$L,""))/100)+5)*XLOOKUP(XLOOKUP($Q264,'Threshold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Editor'!$E:$E,1))),stab,IF(OR(mtype=XLOOKUP(XLOOKUP($Q264,'Threshold Summary'!$Y:$Y,'Threshold Summary'!$K:$K,""),'Pokemon Editor'!$A:$A,'Pokemon Editor'!$C:$C,""),mtype=XLOOKUP(XLOOKUP($Q264,'Threshold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Chart'!$B$1:$S$1,0)))),base,IF(OR(cat="Status",pow=0),0,FLOOR(FLOOR(FLOOR((2*XLOOKUP($Q264,'Threshold Summary'!$Y:$Y,'Threshold Summary'!$L:$L,"")/5+2)*pow*atk/def)/50)+2)),modifier,stab*eff,AVERAGE(ARRAYFORMULA(FLOOR(base*modifier*SEQUENCE(16,1,85,1)/100)))),0)</f>
        <v/>
      </c>
      <c r="M264" s="3">
        <f>IFERROR(LET(mtype,XLOOKUP($D264,'Move Editor'!$B:$B,'Move Editor'!$C:$C,""),cat,XLOOKUP($D264,'Move Editor'!$B:$B,'Move Editor'!$D:$D,""),pow,XLOOKUP($D264,'Move Editor'!$B:$B,'Move Editor'!$E:$E,0),acc,XLOOKUP($D264,'Move Editor'!$B:$B,'Move Editor'!$F:$F,100),atk,IF(cat="Physical",FLOOR((FLOOR(((2*XLOOKUP(XLOOKUP($Q264,'Threshold Summary'!$Y:$Y,'Threshold Summary'!$K:$K,""),'Pokemon Editor'!$A:$A,'Pokemon Editor'!$F:$F,0)+31+FLOOR(XLOOKUP($Q264,'Threshold Summary'!$Y:$Y,'Threshold Summary'!$P:$P,"")/4))*XLOOKUP($Q264,'Threshold Summary'!$Y:$Y,'Threshold Summary'!$L:$L,""))/100)+5)*XLOOKUP(XLOOKUP($Q264,'Threshold Summary'!$Y:$Y,'Threshold Summary'!$M:$M,""),'Nature Editor'!$A:$A,'Nature Editor'!$B:$B,1)),FLOOR((FLOOR(((2*XLOOKUP(XLOOKUP($Q264,'Threshold Summary'!$Y:$Y,'Threshold Summary'!$K:$K,""),'Pokemon Editor'!$A:$A,'Pokemon Editor'!$H:$H,0)+31+FLOOR(XLOOKUP($Q264,'Threshold Summary'!$Y:$Y,'Threshold Summary'!$R:$R,"")/4))*XLOOKUP($Q264,'Threshold Summary'!$Y:$Y,'Threshold Summary'!$L:$L,""))/100)+5)*XLOOKUP(XLOOKUP($Q264,'Threshold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Editor'!$E:$E,1))),stab,IF(OR(mtype=XLOOKUP(XLOOKUP($Q264,'Threshold Summary'!$Y:$Y,'Threshold Summary'!$K:$K,""),'Pokemon Editor'!$A:$A,'Pokemon Editor'!$C:$C,""),mtype=XLOOKUP(XLOOKUP($Q264,'Threshold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Chart'!$B$1:$S$1,0)))),base,IF(OR(cat="Status",pow=0),0,FLOOR(FLOOR(FLOOR((2*XLOOKUP($Q264,'Threshold Summary'!$Y:$Y,'Threshold Summary'!$L:$L,"")/5+2)*pow*atk/def)/50)+2)),modifier,stab*eff,AVERAGE(ARRAYFORMULA(FLOOR(base*modifier*SEQUENCE(16,1,85,1)/100)))*MIN(1,acc/100)),0)</f>
        <v/>
      </c>
      <c r="N264" s="4">
        <f>IFERROR(LET(mtype,XLOOKUP($D264,'Move Editor'!$B:$B,'Move Editor'!$C:$C,""),cat,XLOOKUP($D264,'Move Editor'!$B:$B,'Move Editor'!$D:$D,""),pow,XLOOKUP($D264,'Move Editor'!$B:$B,'Move Editor'!$E:$E,0),acc,XLOOKUP($D264,'Move Editor'!$B:$B,'Move Editor'!$F:$F,100),atk,IF(cat="Physical",FLOOR((FLOOR(((2*XLOOKUP(XLOOKUP($Q264,'Threshold Summary'!$Y:$Y,'Threshold Summary'!$K:$K,""),'Pokemon Editor'!$A:$A,'Pokemon Editor'!$F:$F,0)+31+FLOOR(XLOOKUP($Q264,'Threshold Summary'!$Y:$Y,'Threshold Summary'!$P:$P,"")/4))*XLOOKUP($Q264,'Threshold Summary'!$Y:$Y,'Threshold Summary'!$L:$L,""))/100)+5)*XLOOKUP(XLOOKUP($Q264,'Threshold Summary'!$Y:$Y,'Threshold Summary'!$M:$M,""),'Nature Editor'!$A:$A,'Nature Editor'!$B:$B,1)),FLOOR((FLOOR(((2*XLOOKUP(XLOOKUP($Q264,'Threshold Summary'!$Y:$Y,'Threshold Summary'!$K:$K,""),'Pokemon Editor'!$A:$A,'Pokemon Editor'!$H:$H,0)+31+FLOOR(XLOOKUP($Q264,'Threshold Summary'!$Y:$Y,'Threshold Summary'!$R:$R,"")/4))*XLOOKUP($Q264,'Threshold Summary'!$Y:$Y,'Threshold Summary'!$L:$L,""))/100)+5)*XLOOKUP(XLOOKUP($Q264,'Threshold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Editor'!$E:$E,1))),stab,IF(OR(mtype=XLOOKUP(XLOOKUP($Q264,'Threshold Summary'!$Y:$Y,'Threshold Summary'!$K:$K,""),'Pokemon Editor'!$A:$A,'Pokemon Editor'!$C:$C,""),mtype=XLOOKUP(XLOOKUP($Q264,'Threshold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Chart'!$B$1:$S$1,0)))),base,IF(OR(cat="Status",pow=0),0,FLOOR(FLOOR(FLOOR((2*XLOOKUP($Q264,'Threshold Summary'!$Y:$Y,'Threshold Summary'!$L:$L,"")/5+2)*pow*atk/def)/50)+2)),modifier,stab*eff,AVERAGE(ARRAYFORMULA(FLOOR(base*modifier*SEQUENCE(16,1,85,1)/100)))/(FLOOR(((2*XLOOKUP('Boss Editor'!$C$4,'Pokemon Editor'!$A:$A,'Pokemon Editor'!$E:$E,0)+31+FLOOR('Boss Editor'!$G$4/4))*'Boss Editor'!$D$4)/100)+'Boss Editor'!$D$4+10)),0)</f>
        <v/>
      </c>
      <c r="O264" s="3">
        <f>IF(N264&gt;=1,"OHKO",IF(N264&gt;=0.5,"2HKO",IF(N264&gt;=0.333,"3HKO",IF(N264&gt;=0.25,"4HKO","5HKO+"))))</f>
        <v/>
      </c>
      <c r="P264" s="3" t="inlineStr">
        <is>
          <t>Live from editable databases</t>
        </is>
      </c>
      <c r="Q264" s="3" t="inlineStr">
        <is>
          <t>SPECIES_BUDEW</t>
        </is>
      </c>
      <c r="R264" s="3" t="n">
        <v>7</v>
      </c>
    </row>
    <row r="265">
      <c r="A265" s="3">
        <f>XLOOKUP($Q265,'Threshold Summary'!$Y:$Y,'Threshold Summary'!$A:$A,"")</f>
        <v/>
      </c>
      <c r="B265" s="3">
        <f>XLOOKUP($Q265,'Threshold Summary'!$Y:$Y,'Threshold Summary'!$M:$M,"")</f>
        <v/>
      </c>
      <c r="C265" s="3">
        <f>XLOOKUP($Q265,'Threshold Summary'!$Y:$Y,'Threshold Summary'!$N:$N,"")</f>
        <v/>
      </c>
      <c r="D265" s="3">
        <f>IFERROR(INDEX(FILTER('Learnset Editor'!$D$2:$D,'Learnset Editor'!$A$2:$A=XLOOKUP($Q265,'Threshold Summary'!$Y:$Y,'Threshold Summary'!$K:$K,""),'Learnset Editor'!$C$2:$C&lt;=XLOOKUP($Q265,'Threshold Summary'!$Y:$Y,'Threshold Summary'!$L:$L,"")),$R265),"")</f>
        <v/>
      </c>
      <c r="E265" s="3">
        <f>XLOOKUP(D265,'Move Editor'!$B:$B,'Move Editor'!$C:$C,"")</f>
        <v/>
      </c>
      <c r="F265" s="3">
        <f>XLOOKUP(D265,'Move Editor'!$B:$B,'Move Editor'!$D:$D,"")</f>
        <v/>
      </c>
      <c r="G265" s="3">
        <f>XLOOKUP(D265,'Move Editor'!$B:$B,'Move Editor'!$E:$E,0)</f>
        <v/>
      </c>
      <c r="H265" s="3">
        <f>XLOOKUP(D265,'Move Editor'!$B:$B,'Move Editor'!$F:$F,0)</f>
        <v/>
      </c>
      <c r="I265" s="3">
        <f>(INDEX('Type Chart'!$B:$S,MATCH(E265,'Type Chart'!$A:$A,0),MATCH(XLOOKUP('Boss Editor'!$C$4,'Pokemon Editor'!$A:$A,'Pokemon Editor'!$C:$C,""),'Type Chart'!$B$1:$S$1,0))*IF(XLOOKUP('Boss Editor'!$C$4,'Pokemon Editor'!$A:$A,'Pokemon Editor'!$D:$D,"")="",1,INDEX('Type Chart'!$B:$S,MATCH(E265,'Type Chart'!$A:$A,0),MATCH(XLOOKUP('Boss Editor'!$C$4,'Pokemon Editor'!$A:$A,'Pokemon Editor'!$D:$D,""),'Type Chart'!$B$1:$S$1,0))))</f>
        <v/>
      </c>
      <c r="J265" s="3">
        <f>IFERROR(LET(mtype,XLOOKUP($D265,'Move Editor'!$B:$B,'Move Editor'!$C:$C,""),cat,XLOOKUP($D265,'Move Editor'!$B:$B,'Move Editor'!$D:$D,""),pow,XLOOKUP($D265,'Move Editor'!$B:$B,'Move Editor'!$E:$E,0),acc,XLOOKUP($D265,'Move Editor'!$B:$B,'Move Editor'!$F:$F,100),atk,IF(cat="Physical",FLOOR((FLOOR(((2*XLOOKUP(XLOOKUP($Q265,'Threshold Summary'!$Y:$Y,'Threshold Summary'!$K:$K,""),'Pokemon Editor'!$A:$A,'Pokemon Editor'!$F:$F,0)+31+FLOOR(XLOOKUP($Q265,'Threshold Summary'!$Y:$Y,'Threshold Summary'!$P:$P,"")/4))*XLOOKUP($Q265,'Threshold Summary'!$Y:$Y,'Threshold Summary'!$L:$L,""))/100)+5)*XLOOKUP(XLOOKUP($Q265,'Threshold Summary'!$Y:$Y,'Threshold Summary'!$M:$M,""),'Nature Editor'!$A:$A,'Nature Editor'!$B:$B,1)),FLOOR((FLOOR(((2*XLOOKUP(XLOOKUP($Q265,'Threshold Summary'!$Y:$Y,'Threshold Summary'!$K:$K,""),'Pokemon Editor'!$A:$A,'Pokemon Editor'!$H:$H,0)+31+FLOOR(XLOOKUP($Q265,'Threshold Summary'!$Y:$Y,'Threshold Summary'!$R:$R,"")/4))*XLOOKUP($Q265,'Threshold Summary'!$Y:$Y,'Threshold Summary'!$L:$L,""))/100)+5)*XLOOKUP(XLOOKUP($Q265,'Threshold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Editor'!$E:$E,1))),stab,IF(OR(mtype=XLOOKUP(XLOOKUP($Q265,'Threshold Summary'!$Y:$Y,'Threshold Summary'!$K:$K,""),'Pokemon Editor'!$A:$A,'Pokemon Editor'!$C:$C,""),mtype=XLOOKUP(XLOOKUP($Q265,'Threshold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Chart'!$B$1:$S$1,0)))),base,IF(OR(cat="Status",pow=0),0,FLOOR(FLOOR(FLOOR((2*XLOOKUP($Q265,'Threshold Summary'!$Y:$Y,'Threshold Summary'!$L:$L,"")/5+2)*pow*atk/def)/50)+2)),modifier,stab*eff,FLOOR(base*modifier*0.85)),0)</f>
        <v/>
      </c>
      <c r="K265" s="3">
        <f>IFERROR(LET(mtype,XLOOKUP($D265,'Move Editor'!$B:$B,'Move Editor'!$C:$C,""),cat,XLOOKUP($D265,'Move Editor'!$B:$B,'Move Editor'!$D:$D,""),pow,XLOOKUP($D265,'Move Editor'!$B:$B,'Move Editor'!$E:$E,0),acc,XLOOKUP($D265,'Move Editor'!$B:$B,'Move Editor'!$F:$F,100),atk,IF(cat="Physical",FLOOR((FLOOR(((2*XLOOKUP(XLOOKUP($Q265,'Threshold Summary'!$Y:$Y,'Threshold Summary'!$K:$K,""),'Pokemon Editor'!$A:$A,'Pokemon Editor'!$F:$F,0)+31+FLOOR(XLOOKUP($Q265,'Threshold Summary'!$Y:$Y,'Threshold Summary'!$P:$P,"")/4))*XLOOKUP($Q265,'Threshold Summary'!$Y:$Y,'Threshold Summary'!$L:$L,""))/100)+5)*XLOOKUP(XLOOKUP($Q265,'Threshold Summary'!$Y:$Y,'Threshold Summary'!$M:$M,""),'Nature Editor'!$A:$A,'Nature Editor'!$B:$B,1)),FLOOR((FLOOR(((2*XLOOKUP(XLOOKUP($Q265,'Threshold Summary'!$Y:$Y,'Threshold Summary'!$K:$K,""),'Pokemon Editor'!$A:$A,'Pokemon Editor'!$H:$H,0)+31+FLOOR(XLOOKUP($Q265,'Threshold Summary'!$Y:$Y,'Threshold Summary'!$R:$R,"")/4))*XLOOKUP($Q265,'Threshold Summary'!$Y:$Y,'Threshold Summary'!$L:$L,""))/100)+5)*XLOOKUP(XLOOKUP($Q265,'Threshold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Editor'!$E:$E,1))),stab,IF(OR(mtype=XLOOKUP(XLOOKUP($Q265,'Threshold Summary'!$Y:$Y,'Threshold Summary'!$K:$K,""),'Pokemon Editor'!$A:$A,'Pokemon Editor'!$C:$C,""),mtype=XLOOKUP(XLOOKUP($Q265,'Threshold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Chart'!$B$1:$S$1,0)))),base,IF(OR(cat="Status",pow=0),0,FLOOR(FLOOR(FLOOR((2*XLOOKUP($Q265,'Threshold Summary'!$Y:$Y,'Threshold Summary'!$L:$L,"")/5+2)*pow*atk/def)/50)+2)),modifier,stab*eff,FLOOR(base*modifier)),0)</f>
        <v/>
      </c>
      <c r="L265" s="3">
        <f>IFERROR(LET(mtype,XLOOKUP($D265,'Move Editor'!$B:$B,'Move Editor'!$C:$C,""),cat,XLOOKUP($D265,'Move Editor'!$B:$B,'Move Editor'!$D:$D,""),pow,XLOOKUP($D265,'Move Editor'!$B:$B,'Move Editor'!$E:$E,0),acc,XLOOKUP($D265,'Move Editor'!$B:$B,'Move Editor'!$F:$F,100),atk,IF(cat="Physical",FLOOR((FLOOR(((2*XLOOKUP(XLOOKUP($Q265,'Threshold Summary'!$Y:$Y,'Threshold Summary'!$K:$K,""),'Pokemon Editor'!$A:$A,'Pokemon Editor'!$F:$F,0)+31+FLOOR(XLOOKUP($Q265,'Threshold Summary'!$Y:$Y,'Threshold Summary'!$P:$P,"")/4))*XLOOKUP($Q265,'Threshold Summary'!$Y:$Y,'Threshold Summary'!$L:$L,""))/100)+5)*XLOOKUP(XLOOKUP($Q265,'Threshold Summary'!$Y:$Y,'Threshold Summary'!$M:$M,""),'Nature Editor'!$A:$A,'Nature Editor'!$B:$B,1)),FLOOR((FLOOR(((2*XLOOKUP(XLOOKUP($Q265,'Threshold Summary'!$Y:$Y,'Threshold Summary'!$K:$K,""),'Pokemon Editor'!$A:$A,'Pokemon Editor'!$H:$H,0)+31+FLOOR(XLOOKUP($Q265,'Threshold Summary'!$Y:$Y,'Threshold Summary'!$R:$R,"")/4))*XLOOKUP($Q265,'Threshold Summary'!$Y:$Y,'Threshold Summary'!$L:$L,""))/100)+5)*XLOOKUP(XLOOKUP($Q265,'Threshold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Editor'!$E:$E,1))),stab,IF(OR(mtype=XLOOKUP(XLOOKUP($Q265,'Threshold Summary'!$Y:$Y,'Threshold Summary'!$K:$K,""),'Pokemon Editor'!$A:$A,'Pokemon Editor'!$C:$C,""),mtype=XLOOKUP(XLOOKUP($Q265,'Threshold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Chart'!$B$1:$S$1,0)))),base,IF(OR(cat="Status",pow=0),0,FLOOR(FLOOR(FLOOR((2*XLOOKUP($Q265,'Threshold Summary'!$Y:$Y,'Threshold Summary'!$L:$L,"")/5+2)*pow*atk/def)/50)+2)),modifier,stab*eff,AVERAGE(ARRAYFORMULA(FLOOR(base*modifier*SEQUENCE(16,1,85,1)/100)))),0)</f>
        <v/>
      </c>
      <c r="M265" s="3">
        <f>IFERROR(LET(mtype,XLOOKUP($D265,'Move Editor'!$B:$B,'Move Editor'!$C:$C,""),cat,XLOOKUP($D265,'Move Editor'!$B:$B,'Move Editor'!$D:$D,""),pow,XLOOKUP($D265,'Move Editor'!$B:$B,'Move Editor'!$E:$E,0),acc,XLOOKUP($D265,'Move Editor'!$B:$B,'Move Editor'!$F:$F,100),atk,IF(cat="Physical",FLOOR((FLOOR(((2*XLOOKUP(XLOOKUP($Q265,'Threshold Summary'!$Y:$Y,'Threshold Summary'!$K:$K,""),'Pokemon Editor'!$A:$A,'Pokemon Editor'!$F:$F,0)+31+FLOOR(XLOOKUP($Q265,'Threshold Summary'!$Y:$Y,'Threshold Summary'!$P:$P,"")/4))*XLOOKUP($Q265,'Threshold Summary'!$Y:$Y,'Threshold Summary'!$L:$L,""))/100)+5)*XLOOKUP(XLOOKUP($Q265,'Threshold Summary'!$Y:$Y,'Threshold Summary'!$M:$M,""),'Nature Editor'!$A:$A,'Nature Editor'!$B:$B,1)),FLOOR((FLOOR(((2*XLOOKUP(XLOOKUP($Q265,'Threshold Summary'!$Y:$Y,'Threshold Summary'!$K:$K,""),'Pokemon Editor'!$A:$A,'Pokemon Editor'!$H:$H,0)+31+FLOOR(XLOOKUP($Q265,'Threshold Summary'!$Y:$Y,'Threshold Summary'!$R:$R,"")/4))*XLOOKUP($Q265,'Threshold Summary'!$Y:$Y,'Threshold Summary'!$L:$L,""))/100)+5)*XLOOKUP(XLOOKUP($Q265,'Threshold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Editor'!$E:$E,1))),stab,IF(OR(mtype=XLOOKUP(XLOOKUP($Q265,'Threshold Summary'!$Y:$Y,'Threshold Summary'!$K:$K,""),'Pokemon Editor'!$A:$A,'Pokemon Editor'!$C:$C,""),mtype=XLOOKUP(XLOOKUP($Q265,'Threshold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Chart'!$B$1:$S$1,0)))),base,IF(OR(cat="Status",pow=0),0,FLOOR(FLOOR(FLOOR((2*XLOOKUP($Q265,'Threshold Summary'!$Y:$Y,'Threshold Summary'!$L:$L,"")/5+2)*pow*atk/def)/50)+2)),modifier,stab*eff,AVERAGE(ARRAYFORMULA(FLOOR(base*modifier*SEQUENCE(16,1,85,1)/100)))*MIN(1,acc/100)),0)</f>
        <v/>
      </c>
      <c r="N265" s="4">
        <f>IFERROR(LET(mtype,XLOOKUP($D265,'Move Editor'!$B:$B,'Move Editor'!$C:$C,""),cat,XLOOKUP($D265,'Move Editor'!$B:$B,'Move Editor'!$D:$D,""),pow,XLOOKUP($D265,'Move Editor'!$B:$B,'Move Editor'!$E:$E,0),acc,XLOOKUP($D265,'Move Editor'!$B:$B,'Move Editor'!$F:$F,100),atk,IF(cat="Physical",FLOOR((FLOOR(((2*XLOOKUP(XLOOKUP($Q265,'Threshold Summary'!$Y:$Y,'Threshold Summary'!$K:$K,""),'Pokemon Editor'!$A:$A,'Pokemon Editor'!$F:$F,0)+31+FLOOR(XLOOKUP($Q265,'Threshold Summary'!$Y:$Y,'Threshold Summary'!$P:$P,"")/4))*XLOOKUP($Q265,'Threshold Summary'!$Y:$Y,'Threshold Summary'!$L:$L,""))/100)+5)*XLOOKUP(XLOOKUP($Q265,'Threshold Summary'!$Y:$Y,'Threshold Summary'!$M:$M,""),'Nature Editor'!$A:$A,'Nature Editor'!$B:$B,1)),FLOOR((FLOOR(((2*XLOOKUP(XLOOKUP($Q265,'Threshold Summary'!$Y:$Y,'Threshold Summary'!$K:$K,""),'Pokemon Editor'!$A:$A,'Pokemon Editor'!$H:$H,0)+31+FLOOR(XLOOKUP($Q265,'Threshold Summary'!$Y:$Y,'Threshold Summary'!$R:$R,"")/4))*XLOOKUP($Q265,'Threshold Summary'!$Y:$Y,'Threshold Summary'!$L:$L,""))/100)+5)*XLOOKUP(XLOOKUP($Q265,'Threshold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Editor'!$E:$E,1))),stab,IF(OR(mtype=XLOOKUP(XLOOKUP($Q265,'Threshold Summary'!$Y:$Y,'Threshold Summary'!$K:$K,""),'Pokemon Editor'!$A:$A,'Pokemon Editor'!$C:$C,""),mtype=XLOOKUP(XLOOKUP($Q265,'Threshold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Chart'!$B$1:$S$1,0)))),base,IF(OR(cat="Status",pow=0),0,FLOOR(FLOOR(FLOOR((2*XLOOKUP($Q265,'Threshold Summary'!$Y:$Y,'Threshold Summary'!$L:$L,"")/5+2)*pow*atk/def)/50)+2)),modifier,stab*eff,AVERAGE(ARRAYFORMULA(FLOOR(base*modifier*SEQUENCE(16,1,85,1)/100)))/(FLOOR(((2*XLOOKUP('Boss Editor'!$C$4,'Pokemon Editor'!$A:$A,'Pokemon Editor'!$E:$E,0)+31+FLOOR('Boss Editor'!$G$4/4))*'Boss Editor'!$D$4)/100)+'Boss Editor'!$D$4+10)),0)</f>
        <v/>
      </c>
      <c r="O265" s="3">
        <f>IF(N265&gt;=1,"OHKO",IF(N265&gt;=0.5,"2HKO",IF(N265&gt;=0.333,"3HKO",IF(N265&gt;=0.25,"4HKO","5HKO+"))))</f>
        <v/>
      </c>
      <c r="P265" s="3" t="inlineStr">
        <is>
          <t>Live from editable databases</t>
        </is>
      </c>
      <c r="Q265" s="3" t="inlineStr">
        <is>
          <t>SPECIES_BUDEW</t>
        </is>
      </c>
      <c r="R265" s="3" t="n">
        <v>8</v>
      </c>
    </row>
    <row r="266">
      <c r="A266" s="3">
        <f>XLOOKUP($Q266,'Threshold Summary'!$Y:$Y,'Threshold Summary'!$A:$A,"")</f>
        <v/>
      </c>
      <c r="B266" s="3">
        <f>XLOOKUP($Q266,'Threshold Summary'!$Y:$Y,'Threshold Summary'!$M:$M,"")</f>
        <v/>
      </c>
      <c r="C266" s="3">
        <f>XLOOKUP($Q266,'Threshold Summary'!$Y:$Y,'Threshold Summary'!$N:$N,"")</f>
        <v/>
      </c>
      <c r="D266" s="3">
        <f>IFERROR(INDEX(FILTER('Learnset Editor'!$D$2:$D,'Learnset Editor'!$A$2:$A=XLOOKUP($Q266,'Threshold Summary'!$Y:$Y,'Threshold Summary'!$K:$K,""),'Learnset Editor'!$C$2:$C&lt;=XLOOKUP($Q266,'Threshold Summary'!$Y:$Y,'Threshold Summary'!$L:$L,"")),$R266),"")</f>
        <v/>
      </c>
      <c r="E266" s="3">
        <f>XLOOKUP(D266,'Move Editor'!$B:$B,'Move Editor'!$C:$C,"")</f>
        <v/>
      </c>
      <c r="F266" s="3">
        <f>XLOOKUP(D266,'Move Editor'!$B:$B,'Move Editor'!$D:$D,"")</f>
        <v/>
      </c>
      <c r="G266" s="3">
        <f>XLOOKUP(D266,'Move Editor'!$B:$B,'Move Editor'!$E:$E,0)</f>
        <v/>
      </c>
      <c r="H266" s="3">
        <f>XLOOKUP(D266,'Move Editor'!$B:$B,'Move Editor'!$F:$F,0)</f>
        <v/>
      </c>
      <c r="I266" s="3">
        <f>(INDEX('Type Chart'!$B:$S,MATCH(E266,'Type Chart'!$A:$A,0),MATCH(XLOOKUP('Boss Editor'!$C$4,'Pokemon Editor'!$A:$A,'Pokemon Editor'!$C:$C,""),'Type Chart'!$B$1:$S$1,0))*IF(XLOOKUP('Boss Editor'!$C$4,'Pokemon Editor'!$A:$A,'Pokemon Editor'!$D:$D,"")="",1,INDEX('Type Chart'!$B:$S,MATCH(E266,'Type Chart'!$A:$A,0),MATCH(XLOOKUP('Boss Editor'!$C$4,'Pokemon Editor'!$A:$A,'Pokemon Editor'!$D:$D,""),'Type Chart'!$B$1:$S$1,0))))</f>
        <v/>
      </c>
      <c r="J266" s="3">
        <f>IFERROR(LET(mtype,XLOOKUP($D266,'Move Editor'!$B:$B,'Move Editor'!$C:$C,""),cat,XLOOKUP($D266,'Move Editor'!$B:$B,'Move Editor'!$D:$D,""),pow,XLOOKUP($D266,'Move Editor'!$B:$B,'Move Editor'!$E:$E,0),acc,XLOOKUP($D266,'Move Editor'!$B:$B,'Move Editor'!$F:$F,100),atk,IF(cat="Physical",FLOOR((FLOOR(((2*XLOOKUP(XLOOKUP($Q266,'Threshold Summary'!$Y:$Y,'Threshold Summary'!$K:$K,""),'Pokemon Editor'!$A:$A,'Pokemon Editor'!$F:$F,0)+31+FLOOR(XLOOKUP($Q266,'Threshold Summary'!$Y:$Y,'Threshold Summary'!$P:$P,"")/4))*XLOOKUP($Q266,'Threshold Summary'!$Y:$Y,'Threshold Summary'!$L:$L,""))/100)+5)*XLOOKUP(XLOOKUP($Q266,'Threshold Summary'!$Y:$Y,'Threshold Summary'!$M:$M,""),'Nature Editor'!$A:$A,'Nature Editor'!$B:$B,1)),FLOOR((FLOOR(((2*XLOOKUP(XLOOKUP($Q266,'Threshold Summary'!$Y:$Y,'Threshold Summary'!$K:$K,""),'Pokemon Editor'!$A:$A,'Pokemon Editor'!$H:$H,0)+31+FLOOR(XLOOKUP($Q266,'Threshold Summary'!$Y:$Y,'Threshold Summary'!$R:$R,"")/4))*XLOOKUP($Q266,'Threshold Summary'!$Y:$Y,'Threshold Summary'!$L:$L,""))/100)+5)*XLOOKUP(XLOOKUP($Q266,'Threshold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Editor'!$E:$E,1))),stab,IF(OR(mtype=XLOOKUP(XLOOKUP($Q266,'Threshold Summary'!$Y:$Y,'Threshold Summary'!$K:$K,""),'Pokemon Editor'!$A:$A,'Pokemon Editor'!$C:$C,""),mtype=XLOOKUP(XLOOKUP($Q266,'Threshold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Chart'!$B$1:$S$1,0)))),base,IF(OR(cat="Status",pow=0),0,FLOOR(FLOOR(FLOOR((2*XLOOKUP($Q266,'Threshold Summary'!$Y:$Y,'Threshold Summary'!$L:$L,"")/5+2)*pow*atk/def)/50)+2)),modifier,stab*eff,FLOOR(base*modifier*0.85)),0)</f>
        <v/>
      </c>
      <c r="K266" s="3">
        <f>IFERROR(LET(mtype,XLOOKUP($D266,'Move Editor'!$B:$B,'Move Editor'!$C:$C,""),cat,XLOOKUP($D266,'Move Editor'!$B:$B,'Move Editor'!$D:$D,""),pow,XLOOKUP($D266,'Move Editor'!$B:$B,'Move Editor'!$E:$E,0),acc,XLOOKUP($D266,'Move Editor'!$B:$B,'Move Editor'!$F:$F,100),atk,IF(cat="Physical",FLOOR((FLOOR(((2*XLOOKUP(XLOOKUP($Q266,'Threshold Summary'!$Y:$Y,'Threshold Summary'!$K:$K,""),'Pokemon Editor'!$A:$A,'Pokemon Editor'!$F:$F,0)+31+FLOOR(XLOOKUP($Q266,'Threshold Summary'!$Y:$Y,'Threshold Summary'!$P:$P,"")/4))*XLOOKUP($Q266,'Threshold Summary'!$Y:$Y,'Threshold Summary'!$L:$L,""))/100)+5)*XLOOKUP(XLOOKUP($Q266,'Threshold Summary'!$Y:$Y,'Threshold Summary'!$M:$M,""),'Nature Editor'!$A:$A,'Nature Editor'!$B:$B,1)),FLOOR((FLOOR(((2*XLOOKUP(XLOOKUP($Q266,'Threshold Summary'!$Y:$Y,'Threshold Summary'!$K:$K,""),'Pokemon Editor'!$A:$A,'Pokemon Editor'!$H:$H,0)+31+FLOOR(XLOOKUP($Q266,'Threshold Summary'!$Y:$Y,'Threshold Summary'!$R:$R,"")/4))*XLOOKUP($Q266,'Threshold Summary'!$Y:$Y,'Threshold Summary'!$L:$L,""))/100)+5)*XLOOKUP(XLOOKUP($Q266,'Threshold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Editor'!$E:$E,1))),stab,IF(OR(mtype=XLOOKUP(XLOOKUP($Q266,'Threshold Summary'!$Y:$Y,'Threshold Summary'!$K:$K,""),'Pokemon Editor'!$A:$A,'Pokemon Editor'!$C:$C,""),mtype=XLOOKUP(XLOOKUP($Q266,'Threshold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Chart'!$B$1:$S$1,0)))),base,IF(OR(cat="Status",pow=0),0,FLOOR(FLOOR(FLOOR((2*XLOOKUP($Q266,'Threshold Summary'!$Y:$Y,'Threshold Summary'!$L:$L,"")/5+2)*pow*atk/def)/50)+2)),modifier,stab*eff,FLOOR(base*modifier)),0)</f>
        <v/>
      </c>
      <c r="L266" s="3">
        <f>IFERROR(LET(mtype,XLOOKUP($D266,'Move Editor'!$B:$B,'Move Editor'!$C:$C,""),cat,XLOOKUP($D266,'Move Editor'!$B:$B,'Move Editor'!$D:$D,""),pow,XLOOKUP($D266,'Move Editor'!$B:$B,'Move Editor'!$E:$E,0),acc,XLOOKUP($D266,'Move Editor'!$B:$B,'Move Editor'!$F:$F,100),atk,IF(cat="Physical",FLOOR((FLOOR(((2*XLOOKUP(XLOOKUP($Q266,'Threshold Summary'!$Y:$Y,'Threshold Summary'!$K:$K,""),'Pokemon Editor'!$A:$A,'Pokemon Editor'!$F:$F,0)+31+FLOOR(XLOOKUP($Q266,'Threshold Summary'!$Y:$Y,'Threshold Summary'!$P:$P,"")/4))*XLOOKUP($Q266,'Threshold Summary'!$Y:$Y,'Threshold Summary'!$L:$L,""))/100)+5)*XLOOKUP(XLOOKUP($Q266,'Threshold Summary'!$Y:$Y,'Threshold Summary'!$M:$M,""),'Nature Editor'!$A:$A,'Nature Editor'!$B:$B,1)),FLOOR((FLOOR(((2*XLOOKUP(XLOOKUP($Q266,'Threshold Summary'!$Y:$Y,'Threshold Summary'!$K:$K,""),'Pokemon Editor'!$A:$A,'Pokemon Editor'!$H:$H,0)+31+FLOOR(XLOOKUP($Q266,'Threshold Summary'!$Y:$Y,'Threshold Summary'!$R:$R,"")/4))*XLOOKUP($Q266,'Threshold Summary'!$Y:$Y,'Threshold Summary'!$L:$L,""))/100)+5)*XLOOKUP(XLOOKUP($Q266,'Threshold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Editor'!$E:$E,1))),stab,IF(OR(mtype=XLOOKUP(XLOOKUP($Q266,'Threshold Summary'!$Y:$Y,'Threshold Summary'!$K:$K,""),'Pokemon Editor'!$A:$A,'Pokemon Editor'!$C:$C,""),mtype=XLOOKUP(XLOOKUP($Q266,'Threshold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Chart'!$B$1:$S$1,0)))),base,IF(OR(cat="Status",pow=0),0,FLOOR(FLOOR(FLOOR((2*XLOOKUP($Q266,'Threshold Summary'!$Y:$Y,'Threshold Summary'!$L:$L,"")/5+2)*pow*atk/def)/50)+2)),modifier,stab*eff,AVERAGE(ARRAYFORMULA(FLOOR(base*modifier*SEQUENCE(16,1,85,1)/100)))),0)</f>
        <v/>
      </c>
      <c r="M266" s="3">
        <f>IFERROR(LET(mtype,XLOOKUP($D266,'Move Editor'!$B:$B,'Move Editor'!$C:$C,""),cat,XLOOKUP($D266,'Move Editor'!$B:$B,'Move Editor'!$D:$D,""),pow,XLOOKUP($D266,'Move Editor'!$B:$B,'Move Editor'!$E:$E,0),acc,XLOOKUP($D266,'Move Editor'!$B:$B,'Move Editor'!$F:$F,100),atk,IF(cat="Physical",FLOOR((FLOOR(((2*XLOOKUP(XLOOKUP($Q266,'Threshold Summary'!$Y:$Y,'Threshold Summary'!$K:$K,""),'Pokemon Editor'!$A:$A,'Pokemon Editor'!$F:$F,0)+31+FLOOR(XLOOKUP($Q266,'Threshold Summary'!$Y:$Y,'Threshold Summary'!$P:$P,"")/4))*XLOOKUP($Q266,'Threshold Summary'!$Y:$Y,'Threshold Summary'!$L:$L,""))/100)+5)*XLOOKUP(XLOOKUP($Q266,'Threshold Summary'!$Y:$Y,'Threshold Summary'!$M:$M,""),'Nature Editor'!$A:$A,'Nature Editor'!$B:$B,1)),FLOOR((FLOOR(((2*XLOOKUP(XLOOKUP($Q266,'Threshold Summary'!$Y:$Y,'Threshold Summary'!$K:$K,""),'Pokemon Editor'!$A:$A,'Pokemon Editor'!$H:$H,0)+31+FLOOR(XLOOKUP($Q266,'Threshold Summary'!$Y:$Y,'Threshold Summary'!$R:$R,"")/4))*XLOOKUP($Q266,'Threshold Summary'!$Y:$Y,'Threshold Summary'!$L:$L,""))/100)+5)*XLOOKUP(XLOOKUP($Q266,'Threshold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Editor'!$E:$E,1))),stab,IF(OR(mtype=XLOOKUP(XLOOKUP($Q266,'Threshold Summary'!$Y:$Y,'Threshold Summary'!$K:$K,""),'Pokemon Editor'!$A:$A,'Pokemon Editor'!$C:$C,""),mtype=XLOOKUP(XLOOKUP($Q266,'Threshold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Chart'!$B$1:$S$1,0)))),base,IF(OR(cat="Status",pow=0),0,FLOOR(FLOOR(FLOOR((2*XLOOKUP($Q266,'Threshold Summary'!$Y:$Y,'Threshold Summary'!$L:$L,"")/5+2)*pow*atk/def)/50)+2)),modifier,stab*eff,AVERAGE(ARRAYFORMULA(FLOOR(base*modifier*SEQUENCE(16,1,85,1)/100)))*MIN(1,acc/100)),0)</f>
        <v/>
      </c>
      <c r="N266" s="4">
        <f>IFERROR(LET(mtype,XLOOKUP($D266,'Move Editor'!$B:$B,'Move Editor'!$C:$C,""),cat,XLOOKUP($D266,'Move Editor'!$B:$B,'Move Editor'!$D:$D,""),pow,XLOOKUP($D266,'Move Editor'!$B:$B,'Move Editor'!$E:$E,0),acc,XLOOKUP($D266,'Move Editor'!$B:$B,'Move Editor'!$F:$F,100),atk,IF(cat="Physical",FLOOR((FLOOR(((2*XLOOKUP(XLOOKUP($Q266,'Threshold Summary'!$Y:$Y,'Threshold Summary'!$K:$K,""),'Pokemon Editor'!$A:$A,'Pokemon Editor'!$F:$F,0)+31+FLOOR(XLOOKUP($Q266,'Threshold Summary'!$Y:$Y,'Threshold Summary'!$P:$P,"")/4))*XLOOKUP($Q266,'Threshold Summary'!$Y:$Y,'Threshold Summary'!$L:$L,""))/100)+5)*XLOOKUP(XLOOKUP($Q266,'Threshold Summary'!$Y:$Y,'Threshold Summary'!$M:$M,""),'Nature Editor'!$A:$A,'Nature Editor'!$B:$B,1)),FLOOR((FLOOR(((2*XLOOKUP(XLOOKUP($Q266,'Threshold Summary'!$Y:$Y,'Threshold Summary'!$K:$K,""),'Pokemon Editor'!$A:$A,'Pokemon Editor'!$H:$H,0)+31+FLOOR(XLOOKUP($Q266,'Threshold Summary'!$Y:$Y,'Threshold Summary'!$R:$R,"")/4))*XLOOKUP($Q266,'Threshold Summary'!$Y:$Y,'Threshold Summary'!$L:$L,""))/100)+5)*XLOOKUP(XLOOKUP($Q266,'Threshold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Editor'!$E:$E,1))),stab,IF(OR(mtype=XLOOKUP(XLOOKUP($Q266,'Threshold Summary'!$Y:$Y,'Threshold Summary'!$K:$K,""),'Pokemon Editor'!$A:$A,'Pokemon Editor'!$C:$C,""),mtype=XLOOKUP(XLOOKUP($Q266,'Threshold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Chart'!$B$1:$S$1,0)))),base,IF(OR(cat="Status",pow=0),0,FLOOR(FLOOR(FLOOR((2*XLOOKUP($Q266,'Threshold Summary'!$Y:$Y,'Threshold Summary'!$L:$L,"")/5+2)*pow*atk/def)/50)+2)),modifier,stab*eff,AVERAGE(ARRAYFORMULA(FLOOR(base*modifier*SEQUENCE(16,1,85,1)/100)))/(FLOOR(((2*XLOOKUP('Boss Editor'!$C$4,'Pokemon Editor'!$A:$A,'Pokemon Editor'!$E:$E,0)+31+FLOOR('Boss Editor'!$G$4/4))*'Boss Editor'!$D$4)/100)+'Boss Editor'!$D$4+10)),0)</f>
        <v/>
      </c>
      <c r="O266" s="3">
        <f>IF(N266&gt;=1,"OHKO",IF(N266&gt;=0.5,"2HKO",IF(N266&gt;=0.333,"3HKO",IF(N266&gt;=0.25,"4HKO","5HKO+"))))</f>
        <v/>
      </c>
      <c r="P266" s="3" t="inlineStr">
        <is>
          <t>Live from editable databases</t>
        </is>
      </c>
      <c r="Q266" s="3" t="inlineStr">
        <is>
          <t>SPECIES_BUDEW</t>
        </is>
      </c>
      <c r="R266" s="3" t="n">
        <v>9</v>
      </c>
    </row>
    <row r="267">
      <c r="A267" s="3">
        <f>XLOOKUP($Q267,'Threshold Summary'!$Y:$Y,'Threshold Summary'!$A:$A,"")</f>
        <v/>
      </c>
      <c r="B267" s="3">
        <f>XLOOKUP($Q267,'Threshold Summary'!$Y:$Y,'Threshold Summary'!$M:$M,"")</f>
        <v/>
      </c>
      <c r="C267" s="3">
        <f>XLOOKUP($Q267,'Threshold Summary'!$Y:$Y,'Threshold Summary'!$N:$N,"")</f>
        <v/>
      </c>
      <c r="D267" s="3">
        <f>IFERROR(INDEX(FILTER('Learnset Editor'!$D$2:$D,'Learnset Editor'!$A$2:$A=XLOOKUP($Q267,'Threshold Summary'!$Y:$Y,'Threshold Summary'!$K:$K,""),'Learnset Editor'!$C$2:$C&lt;=XLOOKUP($Q267,'Threshold Summary'!$Y:$Y,'Threshold Summary'!$L:$L,"")),$R267),"")</f>
        <v/>
      </c>
      <c r="E267" s="3">
        <f>XLOOKUP(D267,'Move Editor'!$B:$B,'Move Editor'!$C:$C,"")</f>
        <v/>
      </c>
      <c r="F267" s="3">
        <f>XLOOKUP(D267,'Move Editor'!$B:$B,'Move Editor'!$D:$D,"")</f>
        <v/>
      </c>
      <c r="G267" s="3">
        <f>XLOOKUP(D267,'Move Editor'!$B:$B,'Move Editor'!$E:$E,0)</f>
        <v/>
      </c>
      <c r="H267" s="3">
        <f>XLOOKUP(D267,'Move Editor'!$B:$B,'Move Editor'!$F:$F,0)</f>
        <v/>
      </c>
      <c r="I267" s="3">
        <f>(INDEX('Type Chart'!$B:$S,MATCH(E267,'Type Chart'!$A:$A,0),MATCH(XLOOKUP('Boss Editor'!$C$4,'Pokemon Editor'!$A:$A,'Pokemon Editor'!$C:$C,""),'Type Chart'!$B$1:$S$1,0))*IF(XLOOKUP('Boss Editor'!$C$4,'Pokemon Editor'!$A:$A,'Pokemon Editor'!$D:$D,"")="",1,INDEX('Type Chart'!$B:$S,MATCH(E267,'Type Chart'!$A:$A,0),MATCH(XLOOKUP('Boss Editor'!$C$4,'Pokemon Editor'!$A:$A,'Pokemon Editor'!$D:$D,""),'Type Chart'!$B$1:$S$1,0))))</f>
        <v/>
      </c>
      <c r="J267" s="3">
        <f>IFERROR(LET(mtype,XLOOKUP($D267,'Move Editor'!$B:$B,'Move Editor'!$C:$C,""),cat,XLOOKUP($D267,'Move Editor'!$B:$B,'Move Editor'!$D:$D,""),pow,XLOOKUP($D267,'Move Editor'!$B:$B,'Move Editor'!$E:$E,0),acc,XLOOKUP($D267,'Move Editor'!$B:$B,'Move Editor'!$F:$F,100),atk,IF(cat="Physical",FLOOR((FLOOR(((2*XLOOKUP(XLOOKUP($Q267,'Threshold Summary'!$Y:$Y,'Threshold Summary'!$K:$K,""),'Pokemon Editor'!$A:$A,'Pokemon Editor'!$F:$F,0)+31+FLOOR(XLOOKUP($Q267,'Threshold Summary'!$Y:$Y,'Threshold Summary'!$P:$P,"")/4))*XLOOKUP($Q267,'Threshold Summary'!$Y:$Y,'Threshold Summary'!$L:$L,""))/100)+5)*XLOOKUP(XLOOKUP($Q267,'Threshold Summary'!$Y:$Y,'Threshold Summary'!$M:$M,""),'Nature Editor'!$A:$A,'Nature Editor'!$B:$B,1)),FLOOR((FLOOR(((2*XLOOKUP(XLOOKUP($Q267,'Threshold Summary'!$Y:$Y,'Threshold Summary'!$K:$K,""),'Pokemon Editor'!$A:$A,'Pokemon Editor'!$H:$H,0)+31+FLOOR(XLOOKUP($Q267,'Threshold Summary'!$Y:$Y,'Threshold Summary'!$R:$R,"")/4))*XLOOKUP($Q267,'Threshold Summary'!$Y:$Y,'Threshold Summary'!$L:$L,""))/100)+5)*XLOOKUP(XLOOKUP($Q267,'Threshold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Editor'!$E:$E,1))),stab,IF(OR(mtype=XLOOKUP(XLOOKUP($Q267,'Threshold Summary'!$Y:$Y,'Threshold Summary'!$K:$K,""),'Pokemon Editor'!$A:$A,'Pokemon Editor'!$C:$C,""),mtype=XLOOKUP(XLOOKUP($Q267,'Threshold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Chart'!$B$1:$S$1,0)))),base,IF(OR(cat="Status",pow=0),0,FLOOR(FLOOR(FLOOR((2*XLOOKUP($Q267,'Threshold Summary'!$Y:$Y,'Threshold Summary'!$L:$L,"")/5+2)*pow*atk/def)/50)+2)),modifier,stab*eff,FLOOR(base*modifier*0.85)),0)</f>
        <v/>
      </c>
      <c r="K267" s="3">
        <f>IFERROR(LET(mtype,XLOOKUP($D267,'Move Editor'!$B:$B,'Move Editor'!$C:$C,""),cat,XLOOKUP($D267,'Move Editor'!$B:$B,'Move Editor'!$D:$D,""),pow,XLOOKUP($D267,'Move Editor'!$B:$B,'Move Editor'!$E:$E,0),acc,XLOOKUP($D267,'Move Editor'!$B:$B,'Move Editor'!$F:$F,100),atk,IF(cat="Physical",FLOOR((FLOOR(((2*XLOOKUP(XLOOKUP($Q267,'Threshold Summary'!$Y:$Y,'Threshold Summary'!$K:$K,""),'Pokemon Editor'!$A:$A,'Pokemon Editor'!$F:$F,0)+31+FLOOR(XLOOKUP($Q267,'Threshold Summary'!$Y:$Y,'Threshold Summary'!$P:$P,"")/4))*XLOOKUP($Q267,'Threshold Summary'!$Y:$Y,'Threshold Summary'!$L:$L,""))/100)+5)*XLOOKUP(XLOOKUP($Q267,'Threshold Summary'!$Y:$Y,'Threshold Summary'!$M:$M,""),'Nature Editor'!$A:$A,'Nature Editor'!$B:$B,1)),FLOOR((FLOOR(((2*XLOOKUP(XLOOKUP($Q267,'Threshold Summary'!$Y:$Y,'Threshold Summary'!$K:$K,""),'Pokemon Editor'!$A:$A,'Pokemon Editor'!$H:$H,0)+31+FLOOR(XLOOKUP($Q267,'Threshold Summary'!$Y:$Y,'Threshold Summary'!$R:$R,"")/4))*XLOOKUP($Q267,'Threshold Summary'!$Y:$Y,'Threshold Summary'!$L:$L,""))/100)+5)*XLOOKUP(XLOOKUP($Q267,'Threshold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Editor'!$E:$E,1))),stab,IF(OR(mtype=XLOOKUP(XLOOKUP($Q267,'Threshold Summary'!$Y:$Y,'Threshold Summary'!$K:$K,""),'Pokemon Editor'!$A:$A,'Pokemon Editor'!$C:$C,""),mtype=XLOOKUP(XLOOKUP($Q267,'Threshold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Chart'!$B$1:$S$1,0)))),base,IF(OR(cat="Status",pow=0),0,FLOOR(FLOOR(FLOOR((2*XLOOKUP($Q267,'Threshold Summary'!$Y:$Y,'Threshold Summary'!$L:$L,"")/5+2)*pow*atk/def)/50)+2)),modifier,stab*eff,FLOOR(base*modifier)),0)</f>
        <v/>
      </c>
      <c r="L267" s="3">
        <f>IFERROR(LET(mtype,XLOOKUP($D267,'Move Editor'!$B:$B,'Move Editor'!$C:$C,""),cat,XLOOKUP($D267,'Move Editor'!$B:$B,'Move Editor'!$D:$D,""),pow,XLOOKUP($D267,'Move Editor'!$B:$B,'Move Editor'!$E:$E,0),acc,XLOOKUP($D267,'Move Editor'!$B:$B,'Move Editor'!$F:$F,100),atk,IF(cat="Physical",FLOOR((FLOOR(((2*XLOOKUP(XLOOKUP($Q267,'Threshold Summary'!$Y:$Y,'Threshold Summary'!$K:$K,""),'Pokemon Editor'!$A:$A,'Pokemon Editor'!$F:$F,0)+31+FLOOR(XLOOKUP($Q267,'Threshold Summary'!$Y:$Y,'Threshold Summary'!$P:$P,"")/4))*XLOOKUP($Q267,'Threshold Summary'!$Y:$Y,'Threshold Summary'!$L:$L,""))/100)+5)*XLOOKUP(XLOOKUP($Q267,'Threshold Summary'!$Y:$Y,'Threshold Summary'!$M:$M,""),'Nature Editor'!$A:$A,'Nature Editor'!$B:$B,1)),FLOOR((FLOOR(((2*XLOOKUP(XLOOKUP($Q267,'Threshold Summary'!$Y:$Y,'Threshold Summary'!$K:$K,""),'Pokemon Editor'!$A:$A,'Pokemon Editor'!$H:$H,0)+31+FLOOR(XLOOKUP($Q267,'Threshold Summary'!$Y:$Y,'Threshold Summary'!$R:$R,"")/4))*XLOOKUP($Q267,'Threshold Summary'!$Y:$Y,'Threshold Summary'!$L:$L,""))/100)+5)*XLOOKUP(XLOOKUP($Q267,'Threshold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Editor'!$E:$E,1))),stab,IF(OR(mtype=XLOOKUP(XLOOKUP($Q267,'Threshold Summary'!$Y:$Y,'Threshold Summary'!$K:$K,""),'Pokemon Editor'!$A:$A,'Pokemon Editor'!$C:$C,""),mtype=XLOOKUP(XLOOKUP($Q267,'Threshold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Chart'!$B$1:$S$1,0)))),base,IF(OR(cat="Status",pow=0),0,FLOOR(FLOOR(FLOOR((2*XLOOKUP($Q267,'Threshold Summary'!$Y:$Y,'Threshold Summary'!$L:$L,"")/5+2)*pow*atk/def)/50)+2)),modifier,stab*eff,AVERAGE(ARRAYFORMULA(FLOOR(base*modifier*SEQUENCE(16,1,85,1)/100)))),0)</f>
        <v/>
      </c>
      <c r="M267" s="3">
        <f>IFERROR(LET(mtype,XLOOKUP($D267,'Move Editor'!$B:$B,'Move Editor'!$C:$C,""),cat,XLOOKUP($D267,'Move Editor'!$B:$B,'Move Editor'!$D:$D,""),pow,XLOOKUP($D267,'Move Editor'!$B:$B,'Move Editor'!$E:$E,0),acc,XLOOKUP($D267,'Move Editor'!$B:$B,'Move Editor'!$F:$F,100),atk,IF(cat="Physical",FLOOR((FLOOR(((2*XLOOKUP(XLOOKUP($Q267,'Threshold Summary'!$Y:$Y,'Threshold Summary'!$K:$K,""),'Pokemon Editor'!$A:$A,'Pokemon Editor'!$F:$F,0)+31+FLOOR(XLOOKUP($Q267,'Threshold Summary'!$Y:$Y,'Threshold Summary'!$P:$P,"")/4))*XLOOKUP($Q267,'Threshold Summary'!$Y:$Y,'Threshold Summary'!$L:$L,""))/100)+5)*XLOOKUP(XLOOKUP($Q267,'Threshold Summary'!$Y:$Y,'Threshold Summary'!$M:$M,""),'Nature Editor'!$A:$A,'Nature Editor'!$B:$B,1)),FLOOR((FLOOR(((2*XLOOKUP(XLOOKUP($Q267,'Threshold Summary'!$Y:$Y,'Threshold Summary'!$K:$K,""),'Pokemon Editor'!$A:$A,'Pokemon Editor'!$H:$H,0)+31+FLOOR(XLOOKUP($Q267,'Threshold Summary'!$Y:$Y,'Threshold Summary'!$R:$R,"")/4))*XLOOKUP($Q267,'Threshold Summary'!$Y:$Y,'Threshold Summary'!$L:$L,""))/100)+5)*XLOOKUP(XLOOKUP($Q267,'Threshold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Editor'!$E:$E,1))),stab,IF(OR(mtype=XLOOKUP(XLOOKUP($Q267,'Threshold Summary'!$Y:$Y,'Threshold Summary'!$K:$K,""),'Pokemon Editor'!$A:$A,'Pokemon Editor'!$C:$C,""),mtype=XLOOKUP(XLOOKUP($Q267,'Threshold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Chart'!$B$1:$S$1,0)))),base,IF(OR(cat="Status",pow=0),0,FLOOR(FLOOR(FLOOR((2*XLOOKUP($Q267,'Threshold Summary'!$Y:$Y,'Threshold Summary'!$L:$L,"")/5+2)*pow*atk/def)/50)+2)),modifier,stab*eff,AVERAGE(ARRAYFORMULA(FLOOR(base*modifier*SEQUENCE(16,1,85,1)/100)))*MIN(1,acc/100)),0)</f>
        <v/>
      </c>
      <c r="N267" s="4">
        <f>IFERROR(LET(mtype,XLOOKUP($D267,'Move Editor'!$B:$B,'Move Editor'!$C:$C,""),cat,XLOOKUP($D267,'Move Editor'!$B:$B,'Move Editor'!$D:$D,""),pow,XLOOKUP($D267,'Move Editor'!$B:$B,'Move Editor'!$E:$E,0),acc,XLOOKUP($D267,'Move Editor'!$B:$B,'Move Editor'!$F:$F,100),atk,IF(cat="Physical",FLOOR((FLOOR(((2*XLOOKUP(XLOOKUP($Q267,'Threshold Summary'!$Y:$Y,'Threshold Summary'!$K:$K,""),'Pokemon Editor'!$A:$A,'Pokemon Editor'!$F:$F,0)+31+FLOOR(XLOOKUP($Q267,'Threshold Summary'!$Y:$Y,'Threshold Summary'!$P:$P,"")/4))*XLOOKUP($Q267,'Threshold Summary'!$Y:$Y,'Threshold Summary'!$L:$L,""))/100)+5)*XLOOKUP(XLOOKUP($Q267,'Threshold Summary'!$Y:$Y,'Threshold Summary'!$M:$M,""),'Nature Editor'!$A:$A,'Nature Editor'!$B:$B,1)),FLOOR((FLOOR(((2*XLOOKUP(XLOOKUP($Q267,'Threshold Summary'!$Y:$Y,'Threshold Summary'!$K:$K,""),'Pokemon Editor'!$A:$A,'Pokemon Editor'!$H:$H,0)+31+FLOOR(XLOOKUP($Q267,'Threshold Summary'!$Y:$Y,'Threshold Summary'!$R:$R,"")/4))*XLOOKUP($Q267,'Threshold Summary'!$Y:$Y,'Threshold Summary'!$L:$L,""))/100)+5)*XLOOKUP(XLOOKUP($Q267,'Threshold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Editor'!$E:$E,1))),stab,IF(OR(mtype=XLOOKUP(XLOOKUP($Q267,'Threshold Summary'!$Y:$Y,'Threshold Summary'!$K:$K,""),'Pokemon Editor'!$A:$A,'Pokemon Editor'!$C:$C,""),mtype=XLOOKUP(XLOOKUP($Q267,'Threshold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Chart'!$B$1:$S$1,0)))),base,IF(OR(cat="Status",pow=0),0,FLOOR(FLOOR(FLOOR((2*XLOOKUP($Q267,'Threshold Summary'!$Y:$Y,'Threshold Summary'!$L:$L,"")/5+2)*pow*atk/def)/50)+2)),modifier,stab*eff,AVERAGE(ARRAYFORMULA(FLOOR(base*modifier*SEQUENCE(16,1,85,1)/100)))/(FLOOR(((2*XLOOKUP('Boss Editor'!$C$4,'Pokemon Editor'!$A:$A,'Pokemon Editor'!$E:$E,0)+31+FLOOR('Boss Editor'!$G$4/4))*'Boss Editor'!$D$4)/100)+'Boss Editor'!$D$4+10)),0)</f>
        <v/>
      </c>
      <c r="O267" s="3">
        <f>IF(N267&gt;=1,"OHKO",IF(N267&gt;=0.5,"2HKO",IF(N267&gt;=0.333,"3HKO",IF(N267&gt;=0.25,"4HKO","5HKO+"))))</f>
        <v/>
      </c>
      <c r="P267" s="3" t="inlineStr">
        <is>
          <t>Live from editable databases</t>
        </is>
      </c>
      <c r="Q267" s="3" t="inlineStr">
        <is>
          <t>SPECIES_BUDEW</t>
        </is>
      </c>
      <c r="R267" s="3" t="n">
        <v>10</v>
      </c>
    </row>
    <row r="268">
      <c r="A268" s="3">
        <f>XLOOKUP($Q268,'Threshold Summary'!$Y:$Y,'Threshold Summary'!$A:$A,"")</f>
        <v/>
      </c>
      <c r="B268" s="3">
        <f>XLOOKUP($Q268,'Threshold Summary'!$Y:$Y,'Threshold Summary'!$M:$M,"")</f>
        <v/>
      </c>
      <c r="C268" s="3">
        <f>XLOOKUP($Q268,'Threshold Summary'!$Y:$Y,'Threshold Summary'!$N:$N,"")</f>
        <v/>
      </c>
      <c r="D268" s="3">
        <f>IFERROR(INDEX(FILTER('Learnset Editor'!$D$2:$D,'Learnset Editor'!$A$2:$A=XLOOKUP($Q268,'Threshold Summary'!$Y:$Y,'Threshold Summary'!$K:$K,""),'Learnset Editor'!$C$2:$C&lt;=XLOOKUP($Q268,'Threshold Summary'!$Y:$Y,'Threshold Summary'!$L:$L,"")),$R268),"")</f>
        <v/>
      </c>
      <c r="E268" s="3">
        <f>XLOOKUP(D268,'Move Editor'!$B:$B,'Move Editor'!$C:$C,"")</f>
        <v/>
      </c>
      <c r="F268" s="3">
        <f>XLOOKUP(D268,'Move Editor'!$B:$B,'Move Editor'!$D:$D,"")</f>
        <v/>
      </c>
      <c r="G268" s="3">
        <f>XLOOKUP(D268,'Move Editor'!$B:$B,'Move Editor'!$E:$E,0)</f>
        <v/>
      </c>
      <c r="H268" s="3">
        <f>XLOOKUP(D268,'Move Editor'!$B:$B,'Move Editor'!$F:$F,0)</f>
        <v/>
      </c>
      <c r="I268" s="3">
        <f>(INDEX('Type Chart'!$B:$S,MATCH(E268,'Type Chart'!$A:$A,0),MATCH(XLOOKUP('Boss Editor'!$C$4,'Pokemon Editor'!$A:$A,'Pokemon Editor'!$C:$C,""),'Type Chart'!$B$1:$S$1,0))*IF(XLOOKUP('Boss Editor'!$C$4,'Pokemon Editor'!$A:$A,'Pokemon Editor'!$D:$D,"")="",1,INDEX('Type Chart'!$B:$S,MATCH(E268,'Type Chart'!$A:$A,0),MATCH(XLOOKUP('Boss Editor'!$C$4,'Pokemon Editor'!$A:$A,'Pokemon Editor'!$D:$D,""),'Type Chart'!$B$1:$S$1,0))))</f>
        <v/>
      </c>
      <c r="J268" s="3">
        <f>IFERROR(LET(mtype,XLOOKUP($D268,'Move Editor'!$B:$B,'Move Editor'!$C:$C,""),cat,XLOOKUP($D268,'Move Editor'!$B:$B,'Move Editor'!$D:$D,""),pow,XLOOKUP($D268,'Move Editor'!$B:$B,'Move Editor'!$E:$E,0),acc,XLOOKUP($D268,'Move Editor'!$B:$B,'Move Editor'!$F:$F,100),atk,IF(cat="Physical",FLOOR((FLOOR(((2*XLOOKUP(XLOOKUP($Q268,'Threshold Summary'!$Y:$Y,'Threshold Summary'!$K:$K,""),'Pokemon Editor'!$A:$A,'Pokemon Editor'!$F:$F,0)+31+FLOOR(XLOOKUP($Q268,'Threshold Summary'!$Y:$Y,'Threshold Summary'!$P:$P,"")/4))*XLOOKUP($Q268,'Threshold Summary'!$Y:$Y,'Threshold Summary'!$L:$L,""))/100)+5)*XLOOKUP(XLOOKUP($Q268,'Threshold Summary'!$Y:$Y,'Threshold Summary'!$M:$M,""),'Nature Editor'!$A:$A,'Nature Editor'!$B:$B,1)),FLOOR((FLOOR(((2*XLOOKUP(XLOOKUP($Q268,'Threshold Summary'!$Y:$Y,'Threshold Summary'!$K:$K,""),'Pokemon Editor'!$A:$A,'Pokemon Editor'!$H:$H,0)+31+FLOOR(XLOOKUP($Q268,'Threshold Summary'!$Y:$Y,'Threshold Summary'!$R:$R,"")/4))*XLOOKUP($Q268,'Threshold Summary'!$Y:$Y,'Threshold Summary'!$L:$L,""))/100)+5)*XLOOKUP(XLOOKUP($Q268,'Threshold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Editor'!$E:$E,1))),stab,IF(OR(mtype=XLOOKUP(XLOOKUP($Q268,'Threshold Summary'!$Y:$Y,'Threshold Summary'!$K:$K,""),'Pokemon Editor'!$A:$A,'Pokemon Editor'!$C:$C,""),mtype=XLOOKUP(XLOOKUP($Q268,'Threshold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Chart'!$B$1:$S$1,0)))),base,IF(OR(cat="Status",pow=0),0,FLOOR(FLOOR(FLOOR((2*XLOOKUP($Q268,'Threshold Summary'!$Y:$Y,'Threshold Summary'!$L:$L,"")/5+2)*pow*atk/def)/50)+2)),modifier,stab*eff,FLOOR(base*modifier*0.85)),0)</f>
        <v/>
      </c>
      <c r="K268" s="3">
        <f>IFERROR(LET(mtype,XLOOKUP($D268,'Move Editor'!$B:$B,'Move Editor'!$C:$C,""),cat,XLOOKUP($D268,'Move Editor'!$B:$B,'Move Editor'!$D:$D,""),pow,XLOOKUP($D268,'Move Editor'!$B:$B,'Move Editor'!$E:$E,0),acc,XLOOKUP($D268,'Move Editor'!$B:$B,'Move Editor'!$F:$F,100),atk,IF(cat="Physical",FLOOR((FLOOR(((2*XLOOKUP(XLOOKUP($Q268,'Threshold Summary'!$Y:$Y,'Threshold Summary'!$K:$K,""),'Pokemon Editor'!$A:$A,'Pokemon Editor'!$F:$F,0)+31+FLOOR(XLOOKUP($Q268,'Threshold Summary'!$Y:$Y,'Threshold Summary'!$P:$P,"")/4))*XLOOKUP($Q268,'Threshold Summary'!$Y:$Y,'Threshold Summary'!$L:$L,""))/100)+5)*XLOOKUP(XLOOKUP($Q268,'Threshold Summary'!$Y:$Y,'Threshold Summary'!$M:$M,""),'Nature Editor'!$A:$A,'Nature Editor'!$B:$B,1)),FLOOR((FLOOR(((2*XLOOKUP(XLOOKUP($Q268,'Threshold Summary'!$Y:$Y,'Threshold Summary'!$K:$K,""),'Pokemon Editor'!$A:$A,'Pokemon Editor'!$H:$H,0)+31+FLOOR(XLOOKUP($Q268,'Threshold Summary'!$Y:$Y,'Threshold Summary'!$R:$R,"")/4))*XLOOKUP($Q268,'Threshold Summary'!$Y:$Y,'Threshold Summary'!$L:$L,""))/100)+5)*XLOOKUP(XLOOKUP($Q268,'Threshold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Editor'!$E:$E,1))),stab,IF(OR(mtype=XLOOKUP(XLOOKUP($Q268,'Threshold Summary'!$Y:$Y,'Threshold Summary'!$K:$K,""),'Pokemon Editor'!$A:$A,'Pokemon Editor'!$C:$C,""),mtype=XLOOKUP(XLOOKUP($Q268,'Threshold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Chart'!$B$1:$S$1,0)))),base,IF(OR(cat="Status",pow=0),0,FLOOR(FLOOR(FLOOR((2*XLOOKUP($Q268,'Threshold Summary'!$Y:$Y,'Threshold Summary'!$L:$L,"")/5+2)*pow*atk/def)/50)+2)),modifier,stab*eff,FLOOR(base*modifier)),0)</f>
        <v/>
      </c>
      <c r="L268" s="3">
        <f>IFERROR(LET(mtype,XLOOKUP($D268,'Move Editor'!$B:$B,'Move Editor'!$C:$C,""),cat,XLOOKUP($D268,'Move Editor'!$B:$B,'Move Editor'!$D:$D,""),pow,XLOOKUP($D268,'Move Editor'!$B:$B,'Move Editor'!$E:$E,0),acc,XLOOKUP($D268,'Move Editor'!$B:$B,'Move Editor'!$F:$F,100),atk,IF(cat="Physical",FLOOR((FLOOR(((2*XLOOKUP(XLOOKUP($Q268,'Threshold Summary'!$Y:$Y,'Threshold Summary'!$K:$K,""),'Pokemon Editor'!$A:$A,'Pokemon Editor'!$F:$F,0)+31+FLOOR(XLOOKUP($Q268,'Threshold Summary'!$Y:$Y,'Threshold Summary'!$P:$P,"")/4))*XLOOKUP($Q268,'Threshold Summary'!$Y:$Y,'Threshold Summary'!$L:$L,""))/100)+5)*XLOOKUP(XLOOKUP($Q268,'Threshold Summary'!$Y:$Y,'Threshold Summary'!$M:$M,""),'Nature Editor'!$A:$A,'Nature Editor'!$B:$B,1)),FLOOR((FLOOR(((2*XLOOKUP(XLOOKUP($Q268,'Threshold Summary'!$Y:$Y,'Threshold Summary'!$K:$K,""),'Pokemon Editor'!$A:$A,'Pokemon Editor'!$H:$H,0)+31+FLOOR(XLOOKUP($Q268,'Threshold Summary'!$Y:$Y,'Threshold Summary'!$R:$R,"")/4))*XLOOKUP($Q268,'Threshold Summary'!$Y:$Y,'Threshold Summary'!$L:$L,""))/100)+5)*XLOOKUP(XLOOKUP($Q268,'Threshold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Editor'!$E:$E,1))),stab,IF(OR(mtype=XLOOKUP(XLOOKUP($Q268,'Threshold Summary'!$Y:$Y,'Threshold Summary'!$K:$K,""),'Pokemon Editor'!$A:$A,'Pokemon Editor'!$C:$C,""),mtype=XLOOKUP(XLOOKUP($Q268,'Threshold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Chart'!$B$1:$S$1,0)))),base,IF(OR(cat="Status",pow=0),0,FLOOR(FLOOR(FLOOR((2*XLOOKUP($Q268,'Threshold Summary'!$Y:$Y,'Threshold Summary'!$L:$L,"")/5+2)*pow*atk/def)/50)+2)),modifier,stab*eff,AVERAGE(ARRAYFORMULA(FLOOR(base*modifier*SEQUENCE(16,1,85,1)/100)))),0)</f>
        <v/>
      </c>
      <c r="M268" s="3">
        <f>IFERROR(LET(mtype,XLOOKUP($D268,'Move Editor'!$B:$B,'Move Editor'!$C:$C,""),cat,XLOOKUP($D268,'Move Editor'!$B:$B,'Move Editor'!$D:$D,""),pow,XLOOKUP($D268,'Move Editor'!$B:$B,'Move Editor'!$E:$E,0),acc,XLOOKUP($D268,'Move Editor'!$B:$B,'Move Editor'!$F:$F,100),atk,IF(cat="Physical",FLOOR((FLOOR(((2*XLOOKUP(XLOOKUP($Q268,'Threshold Summary'!$Y:$Y,'Threshold Summary'!$K:$K,""),'Pokemon Editor'!$A:$A,'Pokemon Editor'!$F:$F,0)+31+FLOOR(XLOOKUP($Q268,'Threshold Summary'!$Y:$Y,'Threshold Summary'!$P:$P,"")/4))*XLOOKUP($Q268,'Threshold Summary'!$Y:$Y,'Threshold Summary'!$L:$L,""))/100)+5)*XLOOKUP(XLOOKUP($Q268,'Threshold Summary'!$Y:$Y,'Threshold Summary'!$M:$M,""),'Nature Editor'!$A:$A,'Nature Editor'!$B:$B,1)),FLOOR((FLOOR(((2*XLOOKUP(XLOOKUP($Q268,'Threshold Summary'!$Y:$Y,'Threshold Summary'!$K:$K,""),'Pokemon Editor'!$A:$A,'Pokemon Editor'!$H:$H,0)+31+FLOOR(XLOOKUP($Q268,'Threshold Summary'!$Y:$Y,'Threshold Summary'!$R:$R,"")/4))*XLOOKUP($Q268,'Threshold Summary'!$Y:$Y,'Threshold Summary'!$L:$L,""))/100)+5)*XLOOKUP(XLOOKUP($Q268,'Threshold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Editor'!$E:$E,1))),stab,IF(OR(mtype=XLOOKUP(XLOOKUP($Q268,'Threshold Summary'!$Y:$Y,'Threshold Summary'!$K:$K,""),'Pokemon Editor'!$A:$A,'Pokemon Editor'!$C:$C,""),mtype=XLOOKUP(XLOOKUP($Q268,'Threshold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Chart'!$B$1:$S$1,0)))),base,IF(OR(cat="Status",pow=0),0,FLOOR(FLOOR(FLOOR((2*XLOOKUP($Q268,'Threshold Summary'!$Y:$Y,'Threshold Summary'!$L:$L,"")/5+2)*pow*atk/def)/50)+2)),modifier,stab*eff,AVERAGE(ARRAYFORMULA(FLOOR(base*modifier*SEQUENCE(16,1,85,1)/100)))*MIN(1,acc/100)),0)</f>
        <v/>
      </c>
      <c r="N268" s="4">
        <f>IFERROR(LET(mtype,XLOOKUP($D268,'Move Editor'!$B:$B,'Move Editor'!$C:$C,""),cat,XLOOKUP($D268,'Move Editor'!$B:$B,'Move Editor'!$D:$D,""),pow,XLOOKUP($D268,'Move Editor'!$B:$B,'Move Editor'!$E:$E,0),acc,XLOOKUP($D268,'Move Editor'!$B:$B,'Move Editor'!$F:$F,100),atk,IF(cat="Physical",FLOOR((FLOOR(((2*XLOOKUP(XLOOKUP($Q268,'Threshold Summary'!$Y:$Y,'Threshold Summary'!$K:$K,""),'Pokemon Editor'!$A:$A,'Pokemon Editor'!$F:$F,0)+31+FLOOR(XLOOKUP($Q268,'Threshold Summary'!$Y:$Y,'Threshold Summary'!$P:$P,"")/4))*XLOOKUP($Q268,'Threshold Summary'!$Y:$Y,'Threshold Summary'!$L:$L,""))/100)+5)*XLOOKUP(XLOOKUP($Q268,'Threshold Summary'!$Y:$Y,'Threshold Summary'!$M:$M,""),'Nature Editor'!$A:$A,'Nature Editor'!$B:$B,1)),FLOOR((FLOOR(((2*XLOOKUP(XLOOKUP($Q268,'Threshold Summary'!$Y:$Y,'Threshold Summary'!$K:$K,""),'Pokemon Editor'!$A:$A,'Pokemon Editor'!$H:$H,0)+31+FLOOR(XLOOKUP($Q268,'Threshold Summary'!$Y:$Y,'Threshold Summary'!$R:$R,"")/4))*XLOOKUP($Q268,'Threshold Summary'!$Y:$Y,'Threshold Summary'!$L:$L,""))/100)+5)*XLOOKUP(XLOOKUP($Q268,'Threshold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Editor'!$E:$E,1))),stab,IF(OR(mtype=XLOOKUP(XLOOKUP($Q268,'Threshold Summary'!$Y:$Y,'Threshold Summary'!$K:$K,""),'Pokemon Editor'!$A:$A,'Pokemon Editor'!$C:$C,""),mtype=XLOOKUP(XLOOKUP($Q268,'Threshold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Chart'!$B$1:$S$1,0)))),base,IF(OR(cat="Status",pow=0),0,FLOOR(FLOOR(FLOOR((2*XLOOKUP($Q268,'Threshold Summary'!$Y:$Y,'Threshold Summary'!$L:$L,"")/5+2)*pow*atk/def)/50)+2)),modifier,stab*eff,AVERAGE(ARRAYFORMULA(FLOOR(base*modifier*SEQUENCE(16,1,85,1)/100)))/(FLOOR(((2*XLOOKUP('Boss Editor'!$C$4,'Pokemon Editor'!$A:$A,'Pokemon Editor'!$E:$E,0)+31+FLOOR('Boss Editor'!$G$4/4))*'Boss Editor'!$D$4)/100)+'Boss Editor'!$D$4+10)),0)</f>
        <v/>
      </c>
      <c r="O268" s="3">
        <f>IF(N268&gt;=1,"OHKO",IF(N268&gt;=0.5,"2HKO",IF(N268&gt;=0.333,"3HKO",IF(N268&gt;=0.25,"4HKO","5HKO+"))))</f>
        <v/>
      </c>
      <c r="P268" s="3" t="inlineStr">
        <is>
          <t>Live from editable databases</t>
        </is>
      </c>
      <c r="Q268" s="3" t="inlineStr">
        <is>
          <t>SPECIES_BUDEW</t>
        </is>
      </c>
      <c r="R268" s="3" t="n">
        <v>11</v>
      </c>
    </row>
    <row r="269">
      <c r="A269" s="3">
        <f>XLOOKUP($Q269,'Threshold Summary'!$Y:$Y,'Threshold Summary'!$A:$A,"")</f>
        <v/>
      </c>
      <c r="B269" s="3">
        <f>XLOOKUP($Q269,'Threshold Summary'!$Y:$Y,'Threshold Summary'!$M:$M,"")</f>
        <v/>
      </c>
      <c r="C269" s="3">
        <f>XLOOKUP($Q269,'Threshold Summary'!$Y:$Y,'Threshold Summary'!$N:$N,"")</f>
        <v/>
      </c>
      <c r="D269" s="3">
        <f>IFERROR(INDEX(FILTER('Learnset Editor'!$D$2:$D,'Learnset Editor'!$A$2:$A=XLOOKUP($Q269,'Threshold Summary'!$Y:$Y,'Threshold Summary'!$K:$K,""),'Learnset Editor'!$C$2:$C&lt;=XLOOKUP($Q269,'Threshold Summary'!$Y:$Y,'Threshold Summary'!$L:$L,"")),$R269),"")</f>
        <v/>
      </c>
      <c r="E269" s="3">
        <f>XLOOKUP(D269,'Move Editor'!$B:$B,'Move Editor'!$C:$C,"")</f>
        <v/>
      </c>
      <c r="F269" s="3">
        <f>XLOOKUP(D269,'Move Editor'!$B:$B,'Move Editor'!$D:$D,"")</f>
        <v/>
      </c>
      <c r="G269" s="3">
        <f>XLOOKUP(D269,'Move Editor'!$B:$B,'Move Editor'!$E:$E,0)</f>
        <v/>
      </c>
      <c r="H269" s="3">
        <f>XLOOKUP(D269,'Move Editor'!$B:$B,'Move Editor'!$F:$F,0)</f>
        <v/>
      </c>
      <c r="I269" s="3">
        <f>(INDEX('Type Chart'!$B:$S,MATCH(E269,'Type Chart'!$A:$A,0),MATCH(XLOOKUP('Boss Editor'!$C$4,'Pokemon Editor'!$A:$A,'Pokemon Editor'!$C:$C,""),'Type Chart'!$B$1:$S$1,0))*IF(XLOOKUP('Boss Editor'!$C$4,'Pokemon Editor'!$A:$A,'Pokemon Editor'!$D:$D,"")="",1,INDEX('Type Chart'!$B:$S,MATCH(E269,'Type Chart'!$A:$A,0),MATCH(XLOOKUP('Boss Editor'!$C$4,'Pokemon Editor'!$A:$A,'Pokemon Editor'!$D:$D,""),'Type Chart'!$B$1:$S$1,0))))</f>
        <v/>
      </c>
      <c r="J269" s="3">
        <f>IFERROR(LET(mtype,XLOOKUP($D269,'Move Editor'!$B:$B,'Move Editor'!$C:$C,""),cat,XLOOKUP($D269,'Move Editor'!$B:$B,'Move Editor'!$D:$D,""),pow,XLOOKUP($D269,'Move Editor'!$B:$B,'Move Editor'!$E:$E,0),acc,XLOOKUP($D269,'Move Editor'!$B:$B,'Move Editor'!$F:$F,100),atk,IF(cat="Physical",FLOOR((FLOOR(((2*XLOOKUP(XLOOKUP($Q269,'Threshold Summary'!$Y:$Y,'Threshold Summary'!$K:$K,""),'Pokemon Editor'!$A:$A,'Pokemon Editor'!$F:$F,0)+31+FLOOR(XLOOKUP($Q269,'Threshold Summary'!$Y:$Y,'Threshold Summary'!$P:$P,"")/4))*XLOOKUP($Q269,'Threshold Summary'!$Y:$Y,'Threshold Summary'!$L:$L,""))/100)+5)*XLOOKUP(XLOOKUP($Q269,'Threshold Summary'!$Y:$Y,'Threshold Summary'!$M:$M,""),'Nature Editor'!$A:$A,'Nature Editor'!$B:$B,1)),FLOOR((FLOOR(((2*XLOOKUP(XLOOKUP($Q269,'Threshold Summary'!$Y:$Y,'Threshold Summary'!$K:$K,""),'Pokemon Editor'!$A:$A,'Pokemon Editor'!$H:$H,0)+31+FLOOR(XLOOKUP($Q269,'Threshold Summary'!$Y:$Y,'Threshold Summary'!$R:$R,"")/4))*XLOOKUP($Q269,'Threshold Summary'!$Y:$Y,'Threshold Summary'!$L:$L,""))/100)+5)*XLOOKUP(XLOOKUP($Q269,'Threshold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Editor'!$E:$E,1))),stab,IF(OR(mtype=XLOOKUP(XLOOKUP($Q269,'Threshold Summary'!$Y:$Y,'Threshold Summary'!$K:$K,""),'Pokemon Editor'!$A:$A,'Pokemon Editor'!$C:$C,""),mtype=XLOOKUP(XLOOKUP($Q269,'Threshold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Chart'!$B$1:$S$1,0)))),base,IF(OR(cat="Status",pow=0),0,FLOOR(FLOOR(FLOOR((2*XLOOKUP($Q269,'Threshold Summary'!$Y:$Y,'Threshold Summary'!$L:$L,"")/5+2)*pow*atk/def)/50)+2)),modifier,stab*eff,FLOOR(base*modifier*0.85)),0)</f>
        <v/>
      </c>
      <c r="K269" s="3">
        <f>IFERROR(LET(mtype,XLOOKUP($D269,'Move Editor'!$B:$B,'Move Editor'!$C:$C,""),cat,XLOOKUP($D269,'Move Editor'!$B:$B,'Move Editor'!$D:$D,""),pow,XLOOKUP($D269,'Move Editor'!$B:$B,'Move Editor'!$E:$E,0),acc,XLOOKUP($D269,'Move Editor'!$B:$B,'Move Editor'!$F:$F,100),atk,IF(cat="Physical",FLOOR((FLOOR(((2*XLOOKUP(XLOOKUP($Q269,'Threshold Summary'!$Y:$Y,'Threshold Summary'!$K:$K,""),'Pokemon Editor'!$A:$A,'Pokemon Editor'!$F:$F,0)+31+FLOOR(XLOOKUP($Q269,'Threshold Summary'!$Y:$Y,'Threshold Summary'!$P:$P,"")/4))*XLOOKUP($Q269,'Threshold Summary'!$Y:$Y,'Threshold Summary'!$L:$L,""))/100)+5)*XLOOKUP(XLOOKUP($Q269,'Threshold Summary'!$Y:$Y,'Threshold Summary'!$M:$M,""),'Nature Editor'!$A:$A,'Nature Editor'!$B:$B,1)),FLOOR((FLOOR(((2*XLOOKUP(XLOOKUP($Q269,'Threshold Summary'!$Y:$Y,'Threshold Summary'!$K:$K,""),'Pokemon Editor'!$A:$A,'Pokemon Editor'!$H:$H,0)+31+FLOOR(XLOOKUP($Q269,'Threshold Summary'!$Y:$Y,'Threshold Summary'!$R:$R,"")/4))*XLOOKUP($Q269,'Threshold Summary'!$Y:$Y,'Threshold Summary'!$L:$L,""))/100)+5)*XLOOKUP(XLOOKUP($Q269,'Threshold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Editor'!$E:$E,1))),stab,IF(OR(mtype=XLOOKUP(XLOOKUP($Q269,'Threshold Summary'!$Y:$Y,'Threshold Summary'!$K:$K,""),'Pokemon Editor'!$A:$A,'Pokemon Editor'!$C:$C,""),mtype=XLOOKUP(XLOOKUP($Q269,'Threshold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Chart'!$B$1:$S$1,0)))),base,IF(OR(cat="Status",pow=0),0,FLOOR(FLOOR(FLOOR((2*XLOOKUP($Q269,'Threshold Summary'!$Y:$Y,'Threshold Summary'!$L:$L,"")/5+2)*pow*atk/def)/50)+2)),modifier,stab*eff,FLOOR(base*modifier)),0)</f>
        <v/>
      </c>
      <c r="L269" s="3">
        <f>IFERROR(LET(mtype,XLOOKUP($D269,'Move Editor'!$B:$B,'Move Editor'!$C:$C,""),cat,XLOOKUP($D269,'Move Editor'!$B:$B,'Move Editor'!$D:$D,""),pow,XLOOKUP($D269,'Move Editor'!$B:$B,'Move Editor'!$E:$E,0),acc,XLOOKUP($D269,'Move Editor'!$B:$B,'Move Editor'!$F:$F,100),atk,IF(cat="Physical",FLOOR((FLOOR(((2*XLOOKUP(XLOOKUP($Q269,'Threshold Summary'!$Y:$Y,'Threshold Summary'!$K:$K,""),'Pokemon Editor'!$A:$A,'Pokemon Editor'!$F:$F,0)+31+FLOOR(XLOOKUP($Q269,'Threshold Summary'!$Y:$Y,'Threshold Summary'!$P:$P,"")/4))*XLOOKUP($Q269,'Threshold Summary'!$Y:$Y,'Threshold Summary'!$L:$L,""))/100)+5)*XLOOKUP(XLOOKUP($Q269,'Threshold Summary'!$Y:$Y,'Threshold Summary'!$M:$M,""),'Nature Editor'!$A:$A,'Nature Editor'!$B:$B,1)),FLOOR((FLOOR(((2*XLOOKUP(XLOOKUP($Q269,'Threshold Summary'!$Y:$Y,'Threshold Summary'!$K:$K,""),'Pokemon Editor'!$A:$A,'Pokemon Editor'!$H:$H,0)+31+FLOOR(XLOOKUP($Q269,'Threshold Summary'!$Y:$Y,'Threshold Summary'!$R:$R,"")/4))*XLOOKUP($Q269,'Threshold Summary'!$Y:$Y,'Threshold Summary'!$L:$L,""))/100)+5)*XLOOKUP(XLOOKUP($Q269,'Threshold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Editor'!$E:$E,1))),stab,IF(OR(mtype=XLOOKUP(XLOOKUP($Q269,'Threshold Summary'!$Y:$Y,'Threshold Summary'!$K:$K,""),'Pokemon Editor'!$A:$A,'Pokemon Editor'!$C:$C,""),mtype=XLOOKUP(XLOOKUP($Q269,'Threshold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Chart'!$B$1:$S$1,0)))),base,IF(OR(cat="Status",pow=0),0,FLOOR(FLOOR(FLOOR((2*XLOOKUP($Q269,'Threshold Summary'!$Y:$Y,'Threshold Summary'!$L:$L,"")/5+2)*pow*atk/def)/50)+2)),modifier,stab*eff,AVERAGE(ARRAYFORMULA(FLOOR(base*modifier*SEQUENCE(16,1,85,1)/100)))),0)</f>
        <v/>
      </c>
      <c r="M269" s="3">
        <f>IFERROR(LET(mtype,XLOOKUP($D269,'Move Editor'!$B:$B,'Move Editor'!$C:$C,""),cat,XLOOKUP($D269,'Move Editor'!$B:$B,'Move Editor'!$D:$D,""),pow,XLOOKUP($D269,'Move Editor'!$B:$B,'Move Editor'!$E:$E,0),acc,XLOOKUP($D269,'Move Editor'!$B:$B,'Move Editor'!$F:$F,100),atk,IF(cat="Physical",FLOOR((FLOOR(((2*XLOOKUP(XLOOKUP($Q269,'Threshold Summary'!$Y:$Y,'Threshold Summary'!$K:$K,""),'Pokemon Editor'!$A:$A,'Pokemon Editor'!$F:$F,0)+31+FLOOR(XLOOKUP($Q269,'Threshold Summary'!$Y:$Y,'Threshold Summary'!$P:$P,"")/4))*XLOOKUP($Q269,'Threshold Summary'!$Y:$Y,'Threshold Summary'!$L:$L,""))/100)+5)*XLOOKUP(XLOOKUP($Q269,'Threshold Summary'!$Y:$Y,'Threshold Summary'!$M:$M,""),'Nature Editor'!$A:$A,'Nature Editor'!$B:$B,1)),FLOOR((FLOOR(((2*XLOOKUP(XLOOKUP($Q269,'Threshold Summary'!$Y:$Y,'Threshold Summary'!$K:$K,""),'Pokemon Editor'!$A:$A,'Pokemon Editor'!$H:$H,0)+31+FLOOR(XLOOKUP($Q269,'Threshold Summary'!$Y:$Y,'Threshold Summary'!$R:$R,"")/4))*XLOOKUP($Q269,'Threshold Summary'!$Y:$Y,'Threshold Summary'!$L:$L,""))/100)+5)*XLOOKUP(XLOOKUP($Q269,'Threshold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Editor'!$E:$E,1))),stab,IF(OR(mtype=XLOOKUP(XLOOKUP($Q269,'Threshold Summary'!$Y:$Y,'Threshold Summary'!$K:$K,""),'Pokemon Editor'!$A:$A,'Pokemon Editor'!$C:$C,""),mtype=XLOOKUP(XLOOKUP($Q269,'Threshold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Chart'!$B$1:$S$1,0)))),base,IF(OR(cat="Status",pow=0),0,FLOOR(FLOOR(FLOOR((2*XLOOKUP($Q269,'Threshold Summary'!$Y:$Y,'Threshold Summary'!$L:$L,"")/5+2)*pow*atk/def)/50)+2)),modifier,stab*eff,AVERAGE(ARRAYFORMULA(FLOOR(base*modifier*SEQUENCE(16,1,85,1)/100)))*MIN(1,acc/100)),0)</f>
        <v/>
      </c>
      <c r="N269" s="4">
        <f>IFERROR(LET(mtype,XLOOKUP($D269,'Move Editor'!$B:$B,'Move Editor'!$C:$C,""),cat,XLOOKUP($D269,'Move Editor'!$B:$B,'Move Editor'!$D:$D,""),pow,XLOOKUP($D269,'Move Editor'!$B:$B,'Move Editor'!$E:$E,0),acc,XLOOKUP($D269,'Move Editor'!$B:$B,'Move Editor'!$F:$F,100),atk,IF(cat="Physical",FLOOR((FLOOR(((2*XLOOKUP(XLOOKUP($Q269,'Threshold Summary'!$Y:$Y,'Threshold Summary'!$K:$K,""),'Pokemon Editor'!$A:$A,'Pokemon Editor'!$F:$F,0)+31+FLOOR(XLOOKUP($Q269,'Threshold Summary'!$Y:$Y,'Threshold Summary'!$P:$P,"")/4))*XLOOKUP($Q269,'Threshold Summary'!$Y:$Y,'Threshold Summary'!$L:$L,""))/100)+5)*XLOOKUP(XLOOKUP($Q269,'Threshold Summary'!$Y:$Y,'Threshold Summary'!$M:$M,""),'Nature Editor'!$A:$A,'Nature Editor'!$B:$B,1)),FLOOR((FLOOR(((2*XLOOKUP(XLOOKUP($Q269,'Threshold Summary'!$Y:$Y,'Threshold Summary'!$K:$K,""),'Pokemon Editor'!$A:$A,'Pokemon Editor'!$H:$H,0)+31+FLOOR(XLOOKUP($Q269,'Threshold Summary'!$Y:$Y,'Threshold Summary'!$R:$R,"")/4))*XLOOKUP($Q269,'Threshold Summary'!$Y:$Y,'Threshold Summary'!$L:$L,""))/100)+5)*XLOOKUP(XLOOKUP($Q269,'Threshold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Editor'!$E:$E,1))),stab,IF(OR(mtype=XLOOKUP(XLOOKUP($Q269,'Threshold Summary'!$Y:$Y,'Threshold Summary'!$K:$K,""),'Pokemon Editor'!$A:$A,'Pokemon Editor'!$C:$C,""),mtype=XLOOKUP(XLOOKUP($Q269,'Threshold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Chart'!$B$1:$S$1,0)))),base,IF(OR(cat="Status",pow=0),0,FLOOR(FLOOR(FLOOR((2*XLOOKUP($Q269,'Threshold Summary'!$Y:$Y,'Threshold Summary'!$L:$L,"")/5+2)*pow*atk/def)/50)+2)),modifier,stab*eff,AVERAGE(ARRAYFORMULA(FLOOR(base*modifier*SEQUENCE(16,1,85,1)/100)))/(FLOOR(((2*XLOOKUP('Boss Editor'!$C$4,'Pokemon Editor'!$A:$A,'Pokemon Editor'!$E:$E,0)+31+FLOOR('Boss Editor'!$G$4/4))*'Boss Editor'!$D$4)/100)+'Boss Editor'!$D$4+10)),0)</f>
        <v/>
      </c>
      <c r="O269" s="3">
        <f>IF(N269&gt;=1,"OHKO",IF(N269&gt;=0.5,"2HKO",IF(N269&gt;=0.333,"3HKO",IF(N269&gt;=0.25,"4HKO","5HKO+"))))</f>
        <v/>
      </c>
      <c r="P269" s="3" t="inlineStr">
        <is>
          <t>Live from editable databases</t>
        </is>
      </c>
      <c r="Q269" s="3" t="inlineStr">
        <is>
          <t>SPECIES_BUDEW</t>
        </is>
      </c>
      <c r="R269" s="3" t="n">
        <v>12</v>
      </c>
    </row>
    <row r="270">
      <c r="A270" s="3">
        <f>XLOOKUP($Q270,'Threshold Summary'!$Y:$Y,'Threshold Summary'!$A:$A,"")</f>
        <v/>
      </c>
      <c r="B270" s="3">
        <f>XLOOKUP($Q270,'Threshold Summary'!$Y:$Y,'Threshold Summary'!$M:$M,"")</f>
        <v/>
      </c>
      <c r="C270" s="3">
        <f>XLOOKUP($Q270,'Threshold Summary'!$Y:$Y,'Threshold Summary'!$N:$N,"")</f>
        <v/>
      </c>
      <c r="D270" s="3">
        <f>IFERROR(INDEX(FILTER('Learnset Editor'!$D$2:$D,'Learnset Editor'!$A$2:$A=XLOOKUP($Q270,'Threshold Summary'!$Y:$Y,'Threshold Summary'!$K:$K,""),'Learnset Editor'!$C$2:$C&lt;=XLOOKUP($Q270,'Threshold Summary'!$Y:$Y,'Threshold Summary'!$L:$L,"")),$R270),"")</f>
        <v/>
      </c>
      <c r="E270" s="3">
        <f>XLOOKUP(D270,'Move Editor'!$B:$B,'Move Editor'!$C:$C,"")</f>
        <v/>
      </c>
      <c r="F270" s="3">
        <f>XLOOKUP(D270,'Move Editor'!$B:$B,'Move Editor'!$D:$D,"")</f>
        <v/>
      </c>
      <c r="G270" s="3">
        <f>XLOOKUP(D270,'Move Editor'!$B:$B,'Move Editor'!$E:$E,0)</f>
        <v/>
      </c>
      <c r="H270" s="3">
        <f>XLOOKUP(D270,'Move Editor'!$B:$B,'Move Editor'!$F:$F,0)</f>
        <v/>
      </c>
      <c r="I270" s="3">
        <f>(INDEX('Type Chart'!$B:$S,MATCH(E270,'Type Chart'!$A:$A,0),MATCH(XLOOKUP('Boss Editor'!$C$4,'Pokemon Editor'!$A:$A,'Pokemon Editor'!$C:$C,""),'Type Chart'!$B$1:$S$1,0))*IF(XLOOKUP('Boss Editor'!$C$4,'Pokemon Editor'!$A:$A,'Pokemon Editor'!$D:$D,"")="",1,INDEX('Type Chart'!$B:$S,MATCH(E270,'Type Chart'!$A:$A,0),MATCH(XLOOKUP('Boss Editor'!$C$4,'Pokemon Editor'!$A:$A,'Pokemon Editor'!$D:$D,""),'Type Chart'!$B$1:$S$1,0))))</f>
        <v/>
      </c>
      <c r="J270" s="3">
        <f>IFERROR(LET(mtype,XLOOKUP($D270,'Move Editor'!$B:$B,'Move Editor'!$C:$C,""),cat,XLOOKUP($D270,'Move Editor'!$B:$B,'Move Editor'!$D:$D,""),pow,XLOOKUP($D270,'Move Editor'!$B:$B,'Move Editor'!$E:$E,0),acc,XLOOKUP($D270,'Move Editor'!$B:$B,'Move Editor'!$F:$F,100),atk,IF(cat="Physical",FLOOR((FLOOR(((2*XLOOKUP(XLOOKUP($Q270,'Threshold Summary'!$Y:$Y,'Threshold Summary'!$K:$K,""),'Pokemon Editor'!$A:$A,'Pokemon Editor'!$F:$F,0)+31+FLOOR(XLOOKUP($Q270,'Threshold Summary'!$Y:$Y,'Threshold Summary'!$P:$P,"")/4))*XLOOKUP($Q270,'Threshold Summary'!$Y:$Y,'Threshold Summary'!$L:$L,""))/100)+5)*XLOOKUP(XLOOKUP($Q270,'Threshold Summary'!$Y:$Y,'Threshold Summary'!$M:$M,""),'Nature Editor'!$A:$A,'Nature Editor'!$B:$B,1)),FLOOR((FLOOR(((2*XLOOKUP(XLOOKUP($Q270,'Threshold Summary'!$Y:$Y,'Threshold Summary'!$K:$K,""),'Pokemon Editor'!$A:$A,'Pokemon Editor'!$H:$H,0)+31+FLOOR(XLOOKUP($Q270,'Threshold Summary'!$Y:$Y,'Threshold Summary'!$R:$R,"")/4))*XLOOKUP($Q270,'Threshold Summary'!$Y:$Y,'Threshold Summary'!$L:$L,""))/100)+5)*XLOOKUP(XLOOKUP($Q270,'Threshold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Editor'!$E:$E,1))),stab,IF(OR(mtype=XLOOKUP(XLOOKUP($Q270,'Threshold Summary'!$Y:$Y,'Threshold Summary'!$K:$K,""),'Pokemon Editor'!$A:$A,'Pokemon Editor'!$C:$C,""),mtype=XLOOKUP(XLOOKUP($Q270,'Threshold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Chart'!$B$1:$S$1,0)))),base,IF(OR(cat="Status",pow=0),0,FLOOR(FLOOR(FLOOR((2*XLOOKUP($Q270,'Threshold Summary'!$Y:$Y,'Threshold Summary'!$L:$L,"")/5+2)*pow*atk/def)/50)+2)),modifier,stab*eff,FLOOR(base*modifier*0.85)),0)</f>
        <v/>
      </c>
      <c r="K270" s="3">
        <f>IFERROR(LET(mtype,XLOOKUP($D270,'Move Editor'!$B:$B,'Move Editor'!$C:$C,""),cat,XLOOKUP($D270,'Move Editor'!$B:$B,'Move Editor'!$D:$D,""),pow,XLOOKUP($D270,'Move Editor'!$B:$B,'Move Editor'!$E:$E,0),acc,XLOOKUP($D270,'Move Editor'!$B:$B,'Move Editor'!$F:$F,100),atk,IF(cat="Physical",FLOOR((FLOOR(((2*XLOOKUP(XLOOKUP($Q270,'Threshold Summary'!$Y:$Y,'Threshold Summary'!$K:$K,""),'Pokemon Editor'!$A:$A,'Pokemon Editor'!$F:$F,0)+31+FLOOR(XLOOKUP($Q270,'Threshold Summary'!$Y:$Y,'Threshold Summary'!$P:$P,"")/4))*XLOOKUP($Q270,'Threshold Summary'!$Y:$Y,'Threshold Summary'!$L:$L,""))/100)+5)*XLOOKUP(XLOOKUP($Q270,'Threshold Summary'!$Y:$Y,'Threshold Summary'!$M:$M,""),'Nature Editor'!$A:$A,'Nature Editor'!$B:$B,1)),FLOOR((FLOOR(((2*XLOOKUP(XLOOKUP($Q270,'Threshold Summary'!$Y:$Y,'Threshold Summary'!$K:$K,""),'Pokemon Editor'!$A:$A,'Pokemon Editor'!$H:$H,0)+31+FLOOR(XLOOKUP($Q270,'Threshold Summary'!$Y:$Y,'Threshold Summary'!$R:$R,"")/4))*XLOOKUP($Q270,'Threshold Summary'!$Y:$Y,'Threshold Summary'!$L:$L,""))/100)+5)*XLOOKUP(XLOOKUP($Q270,'Threshold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Editor'!$E:$E,1))),stab,IF(OR(mtype=XLOOKUP(XLOOKUP($Q270,'Threshold Summary'!$Y:$Y,'Threshold Summary'!$K:$K,""),'Pokemon Editor'!$A:$A,'Pokemon Editor'!$C:$C,""),mtype=XLOOKUP(XLOOKUP($Q270,'Threshold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Chart'!$B$1:$S$1,0)))),base,IF(OR(cat="Status",pow=0),0,FLOOR(FLOOR(FLOOR((2*XLOOKUP($Q270,'Threshold Summary'!$Y:$Y,'Threshold Summary'!$L:$L,"")/5+2)*pow*atk/def)/50)+2)),modifier,stab*eff,FLOOR(base*modifier)),0)</f>
        <v/>
      </c>
      <c r="L270" s="3">
        <f>IFERROR(LET(mtype,XLOOKUP($D270,'Move Editor'!$B:$B,'Move Editor'!$C:$C,""),cat,XLOOKUP($D270,'Move Editor'!$B:$B,'Move Editor'!$D:$D,""),pow,XLOOKUP($D270,'Move Editor'!$B:$B,'Move Editor'!$E:$E,0),acc,XLOOKUP($D270,'Move Editor'!$B:$B,'Move Editor'!$F:$F,100),atk,IF(cat="Physical",FLOOR((FLOOR(((2*XLOOKUP(XLOOKUP($Q270,'Threshold Summary'!$Y:$Y,'Threshold Summary'!$K:$K,""),'Pokemon Editor'!$A:$A,'Pokemon Editor'!$F:$F,0)+31+FLOOR(XLOOKUP($Q270,'Threshold Summary'!$Y:$Y,'Threshold Summary'!$P:$P,"")/4))*XLOOKUP($Q270,'Threshold Summary'!$Y:$Y,'Threshold Summary'!$L:$L,""))/100)+5)*XLOOKUP(XLOOKUP($Q270,'Threshold Summary'!$Y:$Y,'Threshold Summary'!$M:$M,""),'Nature Editor'!$A:$A,'Nature Editor'!$B:$B,1)),FLOOR((FLOOR(((2*XLOOKUP(XLOOKUP($Q270,'Threshold Summary'!$Y:$Y,'Threshold Summary'!$K:$K,""),'Pokemon Editor'!$A:$A,'Pokemon Editor'!$H:$H,0)+31+FLOOR(XLOOKUP($Q270,'Threshold Summary'!$Y:$Y,'Threshold Summary'!$R:$R,"")/4))*XLOOKUP($Q270,'Threshold Summary'!$Y:$Y,'Threshold Summary'!$L:$L,""))/100)+5)*XLOOKUP(XLOOKUP($Q270,'Threshold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Editor'!$E:$E,1))),stab,IF(OR(mtype=XLOOKUP(XLOOKUP($Q270,'Threshold Summary'!$Y:$Y,'Threshold Summary'!$K:$K,""),'Pokemon Editor'!$A:$A,'Pokemon Editor'!$C:$C,""),mtype=XLOOKUP(XLOOKUP($Q270,'Threshold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Chart'!$B$1:$S$1,0)))),base,IF(OR(cat="Status",pow=0),0,FLOOR(FLOOR(FLOOR((2*XLOOKUP($Q270,'Threshold Summary'!$Y:$Y,'Threshold Summary'!$L:$L,"")/5+2)*pow*atk/def)/50)+2)),modifier,stab*eff,AVERAGE(ARRAYFORMULA(FLOOR(base*modifier*SEQUENCE(16,1,85,1)/100)))),0)</f>
        <v/>
      </c>
      <c r="M270" s="3">
        <f>IFERROR(LET(mtype,XLOOKUP($D270,'Move Editor'!$B:$B,'Move Editor'!$C:$C,""),cat,XLOOKUP($D270,'Move Editor'!$B:$B,'Move Editor'!$D:$D,""),pow,XLOOKUP($D270,'Move Editor'!$B:$B,'Move Editor'!$E:$E,0),acc,XLOOKUP($D270,'Move Editor'!$B:$B,'Move Editor'!$F:$F,100),atk,IF(cat="Physical",FLOOR((FLOOR(((2*XLOOKUP(XLOOKUP($Q270,'Threshold Summary'!$Y:$Y,'Threshold Summary'!$K:$K,""),'Pokemon Editor'!$A:$A,'Pokemon Editor'!$F:$F,0)+31+FLOOR(XLOOKUP($Q270,'Threshold Summary'!$Y:$Y,'Threshold Summary'!$P:$P,"")/4))*XLOOKUP($Q270,'Threshold Summary'!$Y:$Y,'Threshold Summary'!$L:$L,""))/100)+5)*XLOOKUP(XLOOKUP($Q270,'Threshold Summary'!$Y:$Y,'Threshold Summary'!$M:$M,""),'Nature Editor'!$A:$A,'Nature Editor'!$B:$B,1)),FLOOR((FLOOR(((2*XLOOKUP(XLOOKUP($Q270,'Threshold Summary'!$Y:$Y,'Threshold Summary'!$K:$K,""),'Pokemon Editor'!$A:$A,'Pokemon Editor'!$H:$H,0)+31+FLOOR(XLOOKUP($Q270,'Threshold Summary'!$Y:$Y,'Threshold Summary'!$R:$R,"")/4))*XLOOKUP($Q270,'Threshold Summary'!$Y:$Y,'Threshold Summary'!$L:$L,""))/100)+5)*XLOOKUP(XLOOKUP($Q270,'Threshold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Editor'!$E:$E,1))),stab,IF(OR(mtype=XLOOKUP(XLOOKUP($Q270,'Threshold Summary'!$Y:$Y,'Threshold Summary'!$K:$K,""),'Pokemon Editor'!$A:$A,'Pokemon Editor'!$C:$C,""),mtype=XLOOKUP(XLOOKUP($Q270,'Threshold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Chart'!$B$1:$S$1,0)))),base,IF(OR(cat="Status",pow=0),0,FLOOR(FLOOR(FLOOR((2*XLOOKUP($Q270,'Threshold Summary'!$Y:$Y,'Threshold Summary'!$L:$L,"")/5+2)*pow*atk/def)/50)+2)),modifier,stab*eff,AVERAGE(ARRAYFORMULA(FLOOR(base*modifier*SEQUENCE(16,1,85,1)/100)))*MIN(1,acc/100)),0)</f>
        <v/>
      </c>
      <c r="N270" s="4">
        <f>IFERROR(LET(mtype,XLOOKUP($D270,'Move Editor'!$B:$B,'Move Editor'!$C:$C,""),cat,XLOOKUP($D270,'Move Editor'!$B:$B,'Move Editor'!$D:$D,""),pow,XLOOKUP($D270,'Move Editor'!$B:$B,'Move Editor'!$E:$E,0),acc,XLOOKUP($D270,'Move Editor'!$B:$B,'Move Editor'!$F:$F,100),atk,IF(cat="Physical",FLOOR((FLOOR(((2*XLOOKUP(XLOOKUP($Q270,'Threshold Summary'!$Y:$Y,'Threshold Summary'!$K:$K,""),'Pokemon Editor'!$A:$A,'Pokemon Editor'!$F:$F,0)+31+FLOOR(XLOOKUP($Q270,'Threshold Summary'!$Y:$Y,'Threshold Summary'!$P:$P,"")/4))*XLOOKUP($Q270,'Threshold Summary'!$Y:$Y,'Threshold Summary'!$L:$L,""))/100)+5)*XLOOKUP(XLOOKUP($Q270,'Threshold Summary'!$Y:$Y,'Threshold Summary'!$M:$M,""),'Nature Editor'!$A:$A,'Nature Editor'!$B:$B,1)),FLOOR((FLOOR(((2*XLOOKUP(XLOOKUP($Q270,'Threshold Summary'!$Y:$Y,'Threshold Summary'!$K:$K,""),'Pokemon Editor'!$A:$A,'Pokemon Editor'!$H:$H,0)+31+FLOOR(XLOOKUP($Q270,'Threshold Summary'!$Y:$Y,'Threshold Summary'!$R:$R,"")/4))*XLOOKUP($Q270,'Threshold Summary'!$Y:$Y,'Threshold Summary'!$L:$L,""))/100)+5)*XLOOKUP(XLOOKUP($Q270,'Threshold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Editor'!$E:$E,1))),stab,IF(OR(mtype=XLOOKUP(XLOOKUP($Q270,'Threshold Summary'!$Y:$Y,'Threshold Summary'!$K:$K,""),'Pokemon Editor'!$A:$A,'Pokemon Editor'!$C:$C,""),mtype=XLOOKUP(XLOOKUP($Q270,'Threshold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Chart'!$B$1:$S$1,0)))),base,IF(OR(cat="Status",pow=0),0,FLOOR(FLOOR(FLOOR((2*XLOOKUP($Q270,'Threshold Summary'!$Y:$Y,'Threshold Summary'!$L:$L,"")/5+2)*pow*atk/def)/50)+2)),modifier,stab*eff,AVERAGE(ARRAYFORMULA(FLOOR(base*modifier*SEQUENCE(16,1,85,1)/100)))/(FLOOR(((2*XLOOKUP('Boss Editor'!$C$4,'Pokemon Editor'!$A:$A,'Pokemon Editor'!$E:$E,0)+31+FLOOR('Boss Editor'!$G$4/4))*'Boss Editor'!$D$4)/100)+'Boss Editor'!$D$4+10)),0)</f>
        <v/>
      </c>
      <c r="O270" s="3">
        <f>IF(N270&gt;=1,"OHKO",IF(N270&gt;=0.5,"2HKO",IF(N270&gt;=0.333,"3HKO",IF(N270&gt;=0.25,"4HKO","5HKO+"))))</f>
        <v/>
      </c>
      <c r="P270" s="3" t="inlineStr">
        <is>
          <t>Live from editable databases</t>
        </is>
      </c>
      <c r="Q270" s="3" t="inlineStr">
        <is>
          <t>SPECIES_BUDEW</t>
        </is>
      </c>
      <c r="R270" s="3" t="n">
        <v>13</v>
      </c>
    </row>
    <row r="271">
      <c r="A271" s="3">
        <f>XLOOKUP($Q271,'Threshold Summary'!$Y:$Y,'Threshold Summary'!$A:$A,"")</f>
        <v/>
      </c>
      <c r="B271" s="3">
        <f>XLOOKUP($Q271,'Threshold Summary'!$Y:$Y,'Threshold Summary'!$M:$M,"")</f>
        <v/>
      </c>
      <c r="C271" s="3">
        <f>XLOOKUP($Q271,'Threshold Summary'!$Y:$Y,'Threshold Summary'!$N:$N,"")</f>
        <v/>
      </c>
      <c r="D271" s="3">
        <f>IFERROR(INDEX(FILTER('Learnset Editor'!$D$2:$D,'Learnset Editor'!$A$2:$A=XLOOKUP($Q271,'Threshold Summary'!$Y:$Y,'Threshold Summary'!$K:$K,""),'Learnset Editor'!$C$2:$C&lt;=XLOOKUP($Q271,'Threshold Summary'!$Y:$Y,'Threshold Summary'!$L:$L,"")),$R271),"")</f>
        <v/>
      </c>
      <c r="E271" s="3">
        <f>XLOOKUP(D271,'Move Editor'!$B:$B,'Move Editor'!$C:$C,"")</f>
        <v/>
      </c>
      <c r="F271" s="3">
        <f>XLOOKUP(D271,'Move Editor'!$B:$B,'Move Editor'!$D:$D,"")</f>
        <v/>
      </c>
      <c r="G271" s="3">
        <f>XLOOKUP(D271,'Move Editor'!$B:$B,'Move Editor'!$E:$E,0)</f>
        <v/>
      </c>
      <c r="H271" s="3">
        <f>XLOOKUP(D271,'Move Editor'!$B:$B,'Move Editor'!$F:$F,0)</f>
        <v/>
      </c>
      <c r="I271" s="3">
        <f>(INDEX('Type Chart'!$B:$S,MATCH(E271,'Type Chart'!$A:$A,0),MATCH(XLOOKUP('Boss Editor'!$C$4,'Pokemon Editor'!$A:$A,'Pokemon Editor'!$C:$C,""),'Type Chart'!$B$1:$S$1,0))*IF(XLOOKUP('Boss Editor'!$C$4,'Pokemon Editor'!$A:$A,'Pokemon Editor'!$D:$D,"")="",1,INDEX('Type Chart'!$B:$S,MATCH(E271,'Type Chart'!$A:$A,0),MATCH(XLOOKUP('Boss Editor'!$C$4,'Pokemon Editor'!$A:$A,'Pokemon Editor'!$D:$D,""),'Type Chart'!$B$1:$S$1,0))))</f>
        <v/>
      </c>
      <c r="J271" s="3">
        <f>IFERROR(LET(mtype,XLOOKUP($D271,'Move Editor'!$B:$B,'Move Editor'!$C:$C,""),cat,XLOOKUP($D271,'Move Editor'!$B:$B,'Move Editor'!$D:$D,""),pow,XLOOKUP($D271,'Move Editor'!$B:$B,'Move Editor'!$E:$E,0),acc,XLOOKUP($D271,'Move Editor'!$B:$B,'Move Editor'!$F:$F,100),atk,IF(cat="Physical",FLOOR((FLOOR(((2*XLOOKUP(XLOOKUP($Q271,'Threshold Summary'!$Y:$Y,'Threshold Summary'!$K:$K,""),'Pokemon Editor'!$A:$A,'Pokemon Editor'!$F:$F,0)+31+FLOOR(XLOOKUP($Q271,'Threshold Summary'!$Y:$Y,'Threshold Summary'!$P:$P,"")/4))*XLOOKUP($Q271,'Threshold Summary'!$Y:$Y,'Threshold Summary'!$L:$L,""))/100)+5)*XLOOKUP(XLOOKUP($Q271,'Threshold Summary'!$Y:$Y,'Threshold Summary'!$M:$M,""),'Nature Editor'!$A:$A,'Nature Editor'!$B:$B,1)),FLOOR((FLOOR(((2*XLOOKUP(XLOOKUP($Q271,'Threshold Summary'!$Y:$Y,'Threshold Summary'!$K:$K,""),'Pokemon Editor'!$A:$A,'Pokemon Editor'!$H:$H,0)+31+FLOOR(XLOOKUP($Q271,'Threshold Summary'!$Y:$Y,'Threshold Summary'!$R:$R,"")/4))*XLOOKUP($Q271,'Threshold Summary'!$Y:$Y,'Threshold Summary'!$L:$L,""))/100)+5)*XLOOKUP(XLOOKUP($Q271,'Threshold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Editor'!$E:$E,1))),stab,IF(OR(mtype=XLOOKUP(XLOOKUP($Q271,'Threshold Summary'!$Y:$Y,'Threshold Summary'!$K:$K,""),'Pokemon Editor'!$A:$A,'Pokemon Editor'!$C:$C,""),mtype=XLOOKUP(XLOOKUP($Q271,'Threshold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Chart'!$B$1:$S$1,0)))),base,IF(OR(cat="Status",pow=0),0,FLOOR(FLOOR(FLOOR((2*XLOOKUP($Q271,'Threshold Summary'!$Y:$Y,'Threshold Summary'!$L:$L,"")/5+2)*pow*atk/def)/50)+2)),modifier,stab*eff,FLOOR(base*modifier*0.85)),0)</f>
        <v/>
      </c>
      <c r="K271" s="3">
        <f>IFERROR(LET(mtype,XLOOKUP($D271,'Move Editor'!$B:$B,'Move Editor'!$C:$C,""),cat,XLOOKUP($D271,'Move Editor'!$B:$B,'Move Editor'!$D:$D,""),pow,XLOOKUP($D271,'Move Editor'!$B:$B,'Move Editor'!$E:$E,0),acc,XLOOKUP($D271,'Move Editor'!$B:$B,'Move Editor'!$F:$F,100),atk,IF(cat="Physical",FLOOR((FLOOR(((2*XLOOKUP(XLOOKUP($Q271,'Threshold Summary'!$Y:$Y,'Threshold Summary'!$K:$K,""),'Pokemon Editor'!$A:$A,'Pokemon Editor'!$F:$F,0)+31+FLOOR(XLOOKUP($Q271,'Threshold Summary'!$Y:$Y,'Threshold Summary'!$P:$P,"")/4))*XLOOKUP($Q271,'Threshold Summary'!$Y:$Y,'Threshold Summary'!$L:$L,""))/100)+5)*XLOOKUP(XLOOKUP($Q271,'Threshold Summary'!$Y:$Y,'Threshold Summary'!$M:$M,""),'Nature Editor'!$A:$A,'Nature Editor'!$B:$B,1)),FLOOR((FLOOR(((2*XLOOKUP(XLOOKUP($Q271,'Threshold Summary'!$Y:$Y,'Threshold Summary'!$K:$K,""),'Pokemon Editor'!$A:$A,'Pokemon Editor'!$H:$H,0)+31+FLOOR(XLOOKUP($Q271,'Threshold Summary'!$Y:$Y,'Threshold Summary'!$R:$R,"")/4))*XLOOKUP($Q271,'Threshold Summary'!$Y:$Y,'Threshold Summary'!$L:$L,""))/100)+5)*XLOOKUP(XLOOKUP($Q271,'Threshold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Editor'!$E:$E,1))),stab,IF(OR(mtype=XLOOKUP(XLOOKUP($Q271,'Threshold Summary'!$Y:$Y,'Threshold Summary'!$K:$K,""),'Pokemon Editor'!$A:$A,'Pokemon Editor'!$C:$C,""),mtype=XLOOKUP(XLOOKUP($Q271,'Threshold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Chart'!$B$1:$S$1,0)))),base,IF(OR(cat="Status",pow=0),0,FLOOR(FLOOR(FLOOR((2*XLOOKUP($Q271,'Threshold Summary'!$Y:$Y,'Threshold Summary'!$L:$L,"")/5+2)*pow*atk/def)/50)+2)),modifier,stab*eff,FLOOR(base*modifier)),0)</f>
        <v/>
      </c>
      <c r="L271" s="3">
        <f>IFERROR(LET(mtype,XLOOKUP($D271,'Move Editor'!$B:$B,'Move Editor'!$C:$C,""),cat,XLOOKUP($D271,'Move Editor'!$B:$B,'Move Editor'!$D:$D,""),pow,XLOOKUP($D271,'Move Editor'!$B:$B,'Move Editor'!$E:$E,0),acc,XLOOKUP($D271,'Move Editor'!$B:$B,'Move Editor'!$F:$F,100),atk,IF(cat="Physical",FLOOR((FLOOR(((2*XLOOKUP(XLOOKUP($Q271,'Threshold Summary'!$Y:$Y,'Threshold Summary'!$K:$K,""),'Pokemon Editor'!$A:$A,'Pokemon Editor'!$F:$F,0)+31+FLOOR(XLOOKUP($Q271,'Threshold Summary'!$Y:$Y,'Threshold Summary'!$P:$P,"")/4))*XLOOKUP($Q271,'Threshold Summary'!$Y:$Y,'Threshold Summary'!$L:$L,""))/100)+5)*XLOOKUP(XLOOKUP($Q271,'Threshold Summary'!$Y:$Y,'Threshold Summary'!$M:$M,""),'Nature Editor'!$A:$A,'Nature Editor'!$B:$B,1)),FLOOR((FLOOR(((2*XLOOKUP(XLOOKUP($Q271,'Threshold Summary'!$Y:$Y,'Threshold Summary'!$K:$K,""),'Pokemon Editor'!$A:$A,'Pokemon Editor'!$H:$H,0)+31+FLOOR(XLOOKUP($Q271,'Threshold Summary'!$Y:$Y,'Threshold Summary'!$R:$R,"")/4))*XLOOKUP($Q271,'Threshold Summary'!$Y:$Y,'Threshold Summary'!$L:$L,""))/100)+5)*XLOOKUP(XLOOKUP($Q271,'Threshold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Editor'!$E:$E,1))),stab,IF(OR(mtype=XLOOKUP(XLOOKUP($Q271,'Threshold Summary'!$Y:$Y,'Threshold Summary'!$K:$K,""),'Pokemon Editor'!$A:$A,'Pokemon Editor'!$C:$C,""),mtype=XLOOKUP(XLOOKUP($Q271,'Threshold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Chart'!$B$1:$S$1,0)))),base,IF(OR(cat="Status",pow=0),0,FLOOR(FLOOR(FLOOR((2*XLOOKUP($Q271,'Threshold Summary'!$Y:$Y,'Threshold Summary'!$L:$L,"")/5+2)*pow*atk/def)/50)+2)),modifier,stab*eff,AVERAGE(ARRAYFORMULA(FLOOR(base*modifier*SEQUENCE(16,1,85,1)/100)))),0)</f>
        <v/>
      </c>
      <c r="M271" s="3">
        <f>IFERROR(LET(mtype,XLOOKUP($D271,'Move Editor'!$B:$B,'Move Editor'!$C:$C,""),cat,XLOOKUP($D271,'Move Editor'!$B:$B,'Move Editor'!$D:$D,""),pow,XLOOKUP($D271,'Move Editor'!$B:$B,'Move Editor'!$E:$E,0),acc,XLOOKUP($D271,'Move Editor'!$B:$B,'Move Editor'!$F:$F,100),atk,IF(cat="Physical",FLOOR((FLOOR(((2*XLOOKUP(XLOOKUP($Q271,'Threshold Summary'!$Y:$Y,'Threshold Summary'!$K:$K,""),'Pokemon Editor'!$A:$A,'Pokemon Editor'!$F:$F,0)+31+FLOOR(XLOOKUP($Q271,'Threshold Summary'!$Y:$Y,'Threshold Summary'!$P:$P,"")/4))*XLOOKUP($Q271,'Threshold Summary'!$Y:$Y,'Threshold Summary'!$L:$L,""))/100)+5)*XLOOKUP(XLOOKUP($Q271,'Threshold Summary'!$Y:$Y,'Threshold Summary'!$M:$M,""),'Nature Editor'!$A:$A,'Nature Editor'!$B:$B,1)),FLOOR((FLOOR(((2*XLOOKUP(XLOOKUP($Q271,'Threshold Summary'!$Y:$Y,'Threshold Summary'!$K:$K,""),'Pokemon Editor'!$A:$A,'Pokemon Editor'!$H:$H,0)+31+FLOOR(XLOOKUP($Q271,'Threshold Summary'!$Y:$Y,'Threshold Summary'!$R:$R,"")/4))*XLOOKUP($Q271,'Threshold Summary'!$Y:$Y,'Threshold Summary'!$L:$L,""))/100)+5)*XLOOKUP(XLOOKUP($Q271,'Threshold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Editor'!$E:$E,1))),stab,IF(OR(mtype=XLOOKUP(XLOOKUP($Q271,'Threshold Summary'!$Y:$Y,'Threshold Summary'!$K:$K,""),'Pokemon Editor'!$A:$A,'Pokemon Editor'!$C:$C,""),mtype=XLOOKUP(XLOOKUP($Q271,'Threshold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Chart'!$B$1:$S$1,0)))),base,IF(OR(cat="Status",pow=0),0,FLOOR(FLOOR(FLOOR((2*XLOOKUP($Q271,'Threshold Summary'!$Y:$Y,'Threshold Summary'!$L:$L,"")/5+2)*pow*atk/def)/50)+2)),modifier,stab*eff,AVERAGE(ARRAYFORMULA(FLOOR(base*modifier*SEQUENCE(16,1,85,1)/100)))*MIN(1,acc/100)),0)</f>
        <v/>
      </c>
      <c r="N271" s="4">
        <f>IFERROR(LET(mtype,XLOOKUP($D271,'Move Editor'!$B:$B,'Move Editor'!$C:$C,""),cat,XLOOKUP($D271,'Move Editor'!$B:$B,'Move Editor'!$D:$D,""),pow,XLOOKUP($D271,'Move Editor'!$B:$B,'Move Editor'!$E:$E,0),acc,XLOOKUP($D271,'Move Editor'!$B:$B,'Move Editor'!$F:$F,100),atk,IF(cat="Physical",FLOOR((FLOOR(((2*XLOOKUP(XLOOKUP($Q271,'Threshold Summary'!$Y:$Y,'Threshold Summary'!$K:$K,""),'Pokemon Editor'!$A:$A,'Pokemon Editor'!$F:$F,0)+31+FLOOR(XLOOKUP($Q271,'Threshold Summary'!$Y:$Y,'Threshold Summary'!$P:$P,"")/4))*XLOOKUP($Q271,'Threshold Summary'!$Y:$Y,'Threshold Summary'!$L:$L,""))/100)+5)*XLOOKUP(XLOOKUP($Q271,'Threshold Summary'!$Y:$Y,'Threshold Summary'!$M:$M,""),'Nature Editor'!$A:$A,'Nature Editor'!$B:$B,1)),FLOOR((FLOOR(((2*XLOOKUP(XLOOKUP($Q271,'Threshold Summary'!$Y:$Y,'Threshold Summary'!$K:$K,""),'Pokemon Editor'!$A:$A,'Pokemon Editor'!$H:$H,0)+31+FLOOR(XLOOKUP($Q271,'Threshold Summary'!$Y:$Y,'Threshold Summary'!$R:$R,"")/4))*XLOOKUP($Q271,'Threshold Summary'!$Y:$Y,'Threshold Summary'!$L:$L,""))/100)+5)*XLOOKUP(XLOOKUP($Q271,'Threshold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Editor'!$E:$E,1))),stab,IF(OR(mtype=XLOOKUP(XLOOKUP($Q271,'Threshold Summary'!$Y:$Y,'Threshold Summary'!$K:$K,""),'Pokemon Editor'!$A:$A,'Pokemon Editor'!$C:$C,""),mtype=XLOOKUP(XLOOKUP($Q271,'Threshold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Chart'!$B$1:$S$1,0)))),base,IF(OR(cat="Status",pow=0),0,FLOOR(FLOOR(FLOOR((2*XLOOKUP($Q271,'Threshold Summary'!$Y:$Y,'Threshold Summary'!$L:$L,"")/5+2)*pow*atk/def)/50)+2)),modifier,stab*eff,AVERAGE(ARRAYFORMULA(FLOOR(base*modifier*SEQUENCE(16,1,85,1)/100)))/(FLOOR(((2*XLOOKUP('Boss Editor'!$C$4,'Pokemon Editor'!$A:$A,'Pokemon Editor'!$E:$E,0)+31+FLOOR('Boss Editor'!$G$4/4))*'Boss Editor'!$D$4)/100)+'Boss Editor'!$D$4+10)),0)</f>
        <v/>
      </c>
      <c r="O271" s="3">
        <f>IF(N271&gt;=1,"OHKO",IF(N271&gt;=0.5,"2HKO",IF(N271&gt;=0.333,"3HKO",IF(N271&gt;=0.25,"4HKO","5HKO+"))))</f>
        <v/>
      </c>
      <c r="P271" s="3" t="inlineStr">
        <is>
          <t>Live from editable databases</t>
        </is>
      </c>
      <c r="Q271" s="3" t="inlineStr">
        <is>
          <t>SPECIES_BUDEW</t>
        </is>
      </c>
      <c r="R271" s="3" t="n">
        <v>14</v>
      </c>
    </row>
    <row r="272">
      <c r="A272" s="3">
        <f>XLOOKUP($Q272,'Threshold Summary'!$Y:$Y,'Threshold Summary'!$A:$A,"")</f>
        <v/>
      </c>
      <c r="B272" s="3">
        <f>XLOOKUP($Q272,'Threshold Summary'!$Y:$Y,'Threshold Summary'!$M:$M,"")</f>
        <v/>
      </c>
      <c r="C272" s="3">
        <f>XLOOKUP($Q272,'Threshold Summary'!$Y:$Y,'Threshold Summary'!$N:$N,"")</f>
        <v/>
      </c>
      <c r="D272" s="3">
        <f>IFERROR(INDEX(FILTER('Learnset Editor'!$D$2:$D,'Learnset Editor'!$A$2:$A=XLOOKUP($Q272,'Threshold Summary'!$Y:$Y,'Threshold Summary'!$K:$K,""),'Learnset Editor'!$C$2:$C&lt;=XLOOKUP($Q272,'Threshold Summary'!$Y:$Y,'Threshold Summary'!$L:$L,"")),$R272),"")</f>
        <v/>
      </c>
      <c r="E272" s="3">
        <f>XLOOKUP(D272,'Move Editor'!$B:$B,'Move Editor'!$C:$C,"")</f>
        <v/>
      </c>
      <c r="F272" s="3">
        <f>XLOOKUP(D272,'Move Editor'!$B:$B,'Move Editor'!$D:$D,"")</f>
        <v/>
      </c>
      <c r="G272" s="3">
        <f>XLOOKUP(D272,'Move Editor'!$B:$B,'Move Editor'!$E:$E,0)</f>
        <v/>
      </c>
      <c r="H272" s="3">
        <f>XLOOKUP(D272,'Move Editor'!$B:$B,'Move Editor'!$F:$F,0)</f>
        <v/>
      </c>
      <c r="I272" s="3">
        <f>(INDEX('Type Chart'!$B:$S,MATCH(E272,'Type Chart'!$A:$A,0),MATCH(XLOOKUP('Boss Editor'!$C$4,'Pokemon Editor'!$A:$A,'Pokemon Editor'!$C:$C,""),'Type Chart'!$B$1:$S$1,0))*IF(XLOOKUP('Boss Editor'!$C$4,'Pokemon Editor'!$A:$A,'Pokemon Editor'!$D:$D,"")="",1,INDEX('Type Chart'!$B:$S,MATCH(E272,'Type Chart'!$A:$A,0),MATCH(XLOOKUP('Boss Editor'!$C$4,'Pokemon Editor'!$A:$A,'Pokemon Editor'!$D:$D,""),'Type Chart'!$B$1:$S$1,0))))</f>
        <v/>
      </c>
      <c r="J272" s="3">
        <f>IFERROR(LET(mtype,XLOOKUP($D272,'Move Editor'!$B:$B,'Move Editor'!$C:$C,""),cat,XLOOKUP($D272,'Move Editor'!$B:$B,'Move Editor'!$D:$D,""),pow,XLOOKUP($D272,'Move Editor'!$B:$B,'Move Editor'!$E:$E,0),acc,XLOOKUP($D272,'Move Editor'!$B:$B,'Move Editor'!$F:$F,100),atk,IF(cat="Physical",FLOOR((FLOOR(((2*XLOOKUP(XLOOKUP($Q272,'Threshold Summary'!$Y:$Y,'Threshold Summary'!$K:$K,""),'Pokemon Editor'!$A:$A,'Pokemon Editor'!$F:$F,0)+31+FLOOR(XLOOKUP($Q272,'Threshold Summary'!$Y:$Y,'Threshold Summary'!$P:$P,"")/4))*XLOOKUP($Q272,'Threshold Summary'!$Y:$Y,'Threshold Summary'!$L:$L,""))/100)+5)*XLOOKUP(XLOOKUP($Q272,'Threshold Summary'!$Y:$Y,'Threshold Summary'!$M:$M,""),'Nature Editor'!$A:$A,'Nature Editor'!$B:$B,1)),FLOOR((FLOOR(((2*XLOOKUP(XLOOKUP($Q272,'Threshold Summary'!$Y:$Y,'Threshold Summary'!$K:$K,""),'Pokemon Editor'!$A:$A,'Pokemon Editor'!$H:$H,0)+31+FLOOR(XLOOKUP($Q272,'Threshold Summary'!$Y:$Y,'Threshold Summary'!$R:$R,"")/4))*XLOOKUP($Q272,'Threshold Summary'!$Y:$Y,'Threshold Summary'!$L:$L,""))/100)+5)*XLOOKUP(XLOOKUP($Q272,'Threshold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Editor'!$E:$E,1))),stab,IF(OR(mtype=XLOOKUP(XLOOKUP($Q272,'Threshold Summary'!$Y:$Y,'Threshold Summary'!$K:$K,""),'Pokemon Editor'!$A:$A,'Pokemon Editor'!$C:$C,""),mtype=XLOOKUP(XLOOKUP($Q272,'Threshold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Chart'!$B$1:$S$1,0)))),base,IF(OR(cat="Status",pow=0),0,FLOOR(FLOOR(FLOOR((2*XLOOKUP($Q272,'Threshold Summary'!$Y:$Y,'Threshold Summary'!$L:$L,"")/5+2)*pow*atk/def)/50)+2)),modifier,stab*eff,FLOOR(base*modifier*0.85)),0)</f>
        <v/>
      </c>
      <c r="K272" s="3">
        <f>IFERROR(LET(mtype,XLOOKUP($D272,'Move Editor'!$B:$B,'Move Editor'!$C:$C,""),cat,XLOOKUP($D272,'Move Editor'!$B:$B,'Move Editor'!$D:$D,""),pow,XLOOKUP($D272,'Move Editor'!$B:$B,'Move Editor'!$E:$E,0),acc,XLOOKUP($D272,'Move Editor'!$B:$B,'Move Editor'!$F:$F,100),atk,IF(cat="Physical",FLOOR((FLOOR(((2*XLOOKUP(XLOOKUP($Q272,'Threshold Summary'!$Y:$Y,'Threshold Summary'!$K:$K,""),'Pokemon Editor'!$A:$A,'Pokemon Editor'!$F:$F,0)+31+FLOOR(XLOOKUP($Q272,'Threshold Summary'!$Y:$Y,'Threshold Summary'!$P:$P,"")/4))*XLOOKUP($Q272,'Threshold Summary'!$Y:$Y,'Threshold Summary'!$L:$L,""))/100)+5)*XLOOKUP(XLOOKUP($Q272,'Threshold Summary'!$Y:$Y,'Threshold Summary'!$M:$M,""),'Nature Editor'!$A:$A,'Nature Editor'!$B:$B,1)),FLOOR((FLOOR(((2*XLOOKUP(XLOOKUP($Q272,'Threshold Summary'!$Y:$Y,'Threshold Summary'!$K:$K,""),'Pokemon Editor'!$A:$A,'Pokemon Editor'!$H:$H,0)+31+FLOOR(XLOOKUP($Q272,'Threshold Summary'!$Y:$Y,'Threshold Summary'!$R:$R,"")/4))*XLOOKUP($Q272,'Threshold Summary'!$Y:$Y,'Threshold Summary'!$L:$L,""))/100)+5)*XLOOKUP(XLOOKUP($Q272,'Threshold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Editor'!$E:$E,1))),stab,IF(OR(mtype=XLOOKUP(XLOOKUP($Q272,'Threshold Summary'!$Y:$Y,'Threshold Summary'!$K:$K,""),'Pokemon Editor'!$A:$A,'Pokemon Editor'!$C:$C,""),mtype=XLOOKUP(XLOOKUP($Q272,'Threshold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Chart'!$B$1:$S$1,0)))),base,IF(OR(cat="Status",pow=0),0,FLOOR(FLOOR(FLOOR((2*XLOOKUP($Q272,'Threshold Summary'!$Y:$Y,'Threshold Summary'!$L:$L,"")/5+2)*pow*atk/def)/50)+2)),modifier,stab*eff,FLOOR(base*modifier)),0)</f>
        <v/>
      </c>
      <c r="L272" s="3">
        <f>IFERROR(LET(mtype,XLOOKUP($D272,'Move Editor'!$B:$B,'Move Editor'!$C:$C,""),cat,XLOOKUP($D272,'Move Editor'!$B:$B,'Move Editor'!$D:$D,""),pow,XLOOKUP($D272,'Move Editor'!$B:$B,'Move Editor'!$E:$E,0),acc,XLOOKUP($D272,'Move Editor'!$B:$B,'Move Editor'!$F:$F,100),atk,IF(cat="Physical",FLOOR((FLOOR(((2*XLOOKUP(XLOOKUP($Q272,'Threshold Summary'!$Y:$Y,'Threshold Summary'!$K:$K,""),'Pokemon Editor'!$A:$A,'Pokemon Editor'!$F:$F,0)+31+FLOOR(XLOOKUP($Q272,'Threshold Summary'!$Y:$Y,'Threshold Summary'!$P:$P,"")/4))*XLOOKUP($Q272,'Threshold Summary'!$Y:$Y,'Threshold Summary'!$L:$L,""))/100)+5)*XLOOKUP(XLOOKUP($Q272,'Threshold Summary'!$Y:$Y,'Threshold Summary'!$M:$M,""),'Nature Editor'!$A:$A,'Nature Editor'!$B:$B,1)),FLOOR((FLOOR(((2*XLOOKUP(XLOOKUP($Q272,'Threshold Summary'!$Y:$Y,'Threshold Summary'!$K:$K,""),'Pokemon Editor'!$A:$A,'Pokemon Editor'!$H:$H,0)+31+FLOOR(XLOOKUP($Q272,'Threshold Summary'!$Y:$Y,'Threshold Summary'!$R:$R,"")/4))*XLOOKUP($Q272,'Threshold Summary'!$Y:$Y,'Threshold Summary'!$L:$L,""))/100)+5)*XLOOKUP(XLOOKUP($Q272,'Threshold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Editor'!$E:$E,1))),stab,IF(OR(mtype=XLOOKUP(XLOOKUP($Q272,'Threshold Summary'!$Y:$Y,'Threshold Summary'!$K:$K,""),'Pokemon Editor'!$A:$A,'Pokemon Editor'!$C:$C,""),mtype=XLOOKUP(XLOOKUP($Q272,'Threshold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Chart'!$B$1:$S$1,0)))),base,IF(OR(cat="Status",pow=0),0,FLOOR(FLOOR(FLOOR((2*XLOOKUP($Q272,'Threshold Summary'!$Y:$Y,'Threshold Summary'!$L:$L,"")/5+2)*pow*atk/def)/50)+2)),modifier,stab*eff,AVERAGE(ARRAYFORMULA(FLOOR(base*modifier*SEQUENCE(16,1,85,1)/100)))),0)</f>
        <v/>
      </c>
      <c r="M272" s="3">
        <f>IFERROR(LET(mtype,XLOOKUP($D272,'Move Editor'!$B:$B,'Move Editor'!$C:$C,""),cat,XLOOKUP($D272,'Move Editor'!$B:$B,'Move Editor'!$D:$D,""),pow,XLOOKUP($D272,'Move Editor'!$B:$B,'Move Editor'!$E:$E,0),acc,XLOOKUP($D272,'Move Editor'!$B:$B,'Move Editor'!$F:$F,100),atk,IF(cat="Physical",FLOOR((FLOOR(((2*XLOOKUP(XLOOKUP($Q272,'Threshold Summary'!$Y:$Y,'Threshold Summary'!$K:$K,""),'Pokemon Editor'!$A:$A,'Pokemon Editor'!$F:$F,0)+31+FLOOR(XLOOKUP($Q272,'Threshold Summary'!$Y:$Y,'Threshold Summary'!$P:$P,"")/4))*XLOOKUP($Q272,'Threshold Summary'!$Y:$Y,'Threshold Summary'!$L:$L,""))/100)+5)*XLOOKUP(XLOOKUP($Q272,'Threshold Summary'!$Y:$Y,'Threshold Summary'!$M:$M,""),'Nature Editor'!$A:$A,'Nature Editor'!$B:$B,1)),FLOOR((FLOOR(((2*XLOOKUP(XLOOKUP($Q272,'Threshold Summary'!$Y:$Y,'Threshold Summary'!$K:$K,""),'Pokemon Editor'!$A:$A,'Pokemon Editor'!$H:$H,0)+31+FLOOR(XLOOKUP($Q272,'Threshold Summary'!$Y:$Y,'Threshold Summary'!$R:$R,"")/4))*XLOOKUP($Q272,'Threshold Summary'!$Y:$Y,'Threshold Summary'!$L:$L,""))/100)+5)*XLOOKUP(XLOOKUP($Q272,'Threshold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Editor'!$E:$E,1))),stab,IF(OR(mtype=XLOOKUP(XLOOKUP($Q272,'Threshold Summary'!$Y:$Y,'Threshold Summary'!$K:$K,""),'Pokemon Editor'!$A:$A,'Pokemon Editor'!$C:$C,""),mtype=XLOOKUP(XLOOKUP($Q272,'Threshold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Chart'!$B$1:$S$1,0)))),base,IF(OR(cat="Status",pow=0),0,FLOOR(FLOOR(FLOOR((2*XLOOKUP($Q272,'Threshold Summary'!$Y:$Y,'Threshold Summary'!$L:$L,"")/5+2)*pow*atk/def)/50)+2)),modifier,stab*eff,AVERAGE(ARRAYFORMULA(FLOOR(base*modifier*SEQUENCE(16,1,85,1)/100)))*MIN(1,acc/100)),0)</f>
        <v/>
      </c>
      <c r="N272" s="4">
        <f>IFERROR(LET(mtype,XLOOKUP($D272,'Move Editor'!$B:$B,'Move Editor'!$C:$C,""),cat,XLOOKUP($D272,'Move Editor'!$B:$B,'Move Editor'!$D:$D,""),pow,XLOOKUP($D272,'Move Editor'!$B:$B,'Move Editor'!$E:$E,0),acc,XLOOKUP($D272,'Move Editor'!$B:$B,'Move Editor'!$F:$F,100),atk,IF(cat="Physical",FLOOR((FLOOR(((2*XLOOKUP(XLOOKUP($Q272,'Threshold Summary'!$Y:$Y,'Threshold Summary'!$K:$K,""),'Pokemon Editor'!$A:$A,'Pokemon Editor'!$F:$F,0)+31+FLOOR(XLOOKUP($Q272,'Threshold Summary'!$Y:$Y,'Threshold Summary'!$P:$P,"")/4))*XLOOKUP($Q272,'Threshold Summary'!$Y:$Y,'Threshold Summary'!$L:$L,""))/100)+5)*XLOOKUP(XLOOKUP($Q272,'Threshold Summary'!$Y:$Y,'Threshold Summary'!$M:$M,""),'Nature Editor'!$A:$A,'Nature Editor'!$B:$B,1)),FLOOR((FLOOR(((2*XLOOKUP(XLOOKUP($Q272,'Threshold Summary'!$Y:$Y,'Threshold Summary'!$K:$K,""),'Pokemon Editor'!$A:$A,'Pokemon Editor'!$H:$H,0)+31+FLOOR(XLOOKUP($Q272,'Threshold Summary'!$Y:$Y,'Threshold Summary'!$R:$R,"")/4))*XLOOKUP($Q272,'Threshold Summary'!$Y:$Y,'Threshold Summary'!$L:$L,""))/100)+5)*XLOOKUP(XLOOKUP($Q272,'Threshold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Editor'!$E:$E,1))),stab,IF(OR(mtype=XLOOKUP(XLOOKUP($Q272,'Threshold Summary'!$Y:$Y,'Threshold Summary'!$K:$K,""),'Pokemon Editor'!$A:$A,'Pokemon Editor'!$C:$C,""),mtype=XLOOKUP(XLOOKUP($Q272,'Threshold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Chart'!$B$1:$S$1,0)))),base,IF(OR(cat="Status",pow=0),0,FLOOR(FLOOR(FLOOR((2*XLOOKUP($Q272,'Threshold Summary'!$Y:$Y,'Threshold Summary'!$L:$L,"")/5+2)*pow*atk/def)/50)+2)),modifier,stab*eff,AVERAGE(ARRAYFORMULA(FLOOR(base*modifier*SEQUENCE(16,1,85,1)/100)))/(FLOOR(((2*XLOOKUP('Boss Editor'!$C$4,'Pokemon Editor'!$A:$A,'Pokemon Editor'!$E:$E,0)+31+FLOOR('Boss Editor'!$G$4/4))*'Boss Editor'!$D$4)/100)+'Boss Editor'!$D$4+10)),0)</f>
        <v/>
      </c>
      <c r="O272" s="3">
        <f>IF(N272&gt;=1,"OHKO",IF(N272&gt;=0.5,"2HKO",IF(N272&gt;=0.333,"3HKO",IF(N272&gt;=0.25,"4HKO","5HKO+"))))</f>
        <v/>
      </c>
      <c r="P272" s="3" t="inlineStr">
        <is>
          <t>Live from editable databases</t>
        </is>
      </c>
      <c r="Q272" s="3" t="inlineStr">
        <is>
          <t>SPECIES_BUDEW</t>
        </is>
      </c>
      <c r="R272" s="3" t="n">
        <v>15</v>
      </c>
    </row>
    <row r="273">
      <c r="A273" s="3">
        <f>XLOOKUP($Q273,'Threshold Summary'!$Y:$Y,'Threshold Summary'!$A:$A,"")</f>
        <v/>
      </c>
      <c r="B273" s="3">
        <f>XLOOKUP($Q273,'Threshold Summary'!$Y:$Y,'Threshold Summary'!$M:$M,"")</f>
        <v/>
      </c>
      <c r="C273" s="3">
        <f>XLOOKUP($Q273,'Threshold Summary'!$Y:$Y,'Threshold Summary'!$N:$N,"")</f>
        <v/>
      </c>
      <c r="D273" s="3">
        <f>IFERROR(INDEX(FILTER('Learnset Editor'!$D$2:$D,'Learnset Editor'!$A$2:$A=XLOOKUP($Q273,'Threshold Summary'!$Y:$Y,'Threshold Summary'!$K:$K,""),'Learnset Editor'!$C$2:$C&lt;=XLOOKUP($Q273,'Threshold Summary'!$Y:$Y,'Threshold Summary'!$L:$L,"")),$R273),"")</f>
        <v/>
      </c>
      <c r="E273" s="3">
        <f>XLOOKUP(D273,'Move Editor'!$B:$B,'Move Editor'!$C:$C,"")</f>
        <v/>
      </c>
      <c r="F273" s="3">
        <f>XLOOKUP(D273,'Move Editor'!$B:$B,'Move Editor'!$D:$D,"")</f>
        <v/>
      </c>
      <c r="G273" s="3">
        <f>XLOOKUP(D273,'Move Editor'!$B:$B,'Move Editor'!$E:$E,0)</f>
        <v/>
      </c>
      <c r="H273" s="3">
        <f>XLOOKUP(D273,'Move Editor'!$B:$B,'Move Editor'!$F:$F,0)</f>
        <v/>
      </c>
      <c r="I273" s="3">
        <f>(INDEX('Type Chart'!$B:$S,MATCH(E273,'Type Chart'!$A:$A,0),MATCH(XLOOKUP('Boss Editor'!$C$4,'Pokemon Editor'!$A:$A,'Pokemon Editor'!$C:$C,""),'Type Chart'!$B$1:$S$1,0))*IF(XLOOKUP('Boss Editor'!$C$4,'Pokemon Editor'!$A:$A,'Pokemon Editor'!$D:$D,"")="",1,INDEX('Type Chart'!$B:$S,MATCH(E273,'Type Chart'!$A:$A,0),MATCH(XLOOKUP('Boss Editor'!$C$4,'Pokemon Editor'!$A:$A,'Pokemon Editor'!$D:$D,""),'Type Chart'!$B$1:$S$1,0))))</f>
        <v/>
      </c>
      <c r="J273" s="3">
        <f>IFERROR(LET(mtype,XLOOKUP($D273,'Move Editor'!$B:$B,'Move Editor'!$C:$C,""),cat,XLOOKUP($D273,'Move Editor'!$B:$B,'Move Editor'!$D:$D,""),pow,XLOOKUP($D273,'Move Editor'!$B:$B,'Move Editor'!$E:$E,0),acc,XLOOKUP($D273,'Move Editor'!$B:$B,'Move Editor'!$F:$F,100),atk,IF(cat="Physical",FLOOR((FLOOR(((2*XLOOKUP(XLOOKUP($Q273,'Threshold Summary'!$Y:$Y,'Threshold Summary'!$K:$K,""),'Pokemon Editor'!$A:$A,'Pokemon Editor'!$F:$F,0)+31+FLOOR(XLOOKUP($Q273,'Threshold Summary'!$Y:$Y,'Threshold Summary'!$P:$P,"")/4))*XLOOKUP($Q273,'Threshold Summary'!$Y:$Y,'Threshold Summary'!$L:$L,""))/100)+5)*XLOOKUP(XLOOKUP($Q273,'Threshold Summary'!$Y:$Y,'Threshold Summary'!$M:$M,""),'Nature Editor'!$A:$A,'Nature Editor'!$B:$B,1)),FLOOR((FLOOR(((2*XLOOKUP(XLOOKUP($Q273,'Threshold Summary'!$Y:$Y,'Threshold Summary'!$K:$K,""),'Pokemon Editor'!$A:$A,'Pokemon Editor'!$H:$H,0)+31+FLOOR(XLOOKUP($Q273,'Threshold Summary'!$Y:$Y,'Threshold Summary'!$R:$R,"")/4))*XLOOKUP($Q273,'Threshold Summary'!$Y:$Y,'Threshold Summary'!$L:$L,""))/100)+5)*XLOOKUP(XLOOKUP($Q273,'Threshold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Editor'!$E:$E,1))),stab,IF(OR(mtype=XLOOKUP(XLOOKUP($Q273,'Threshold Summary'!$Y:$Y,'Threshold Summary'!$K:$K,""),'Pokemon Editor'!$A:$A,'Pokemon Editor'!$C:$C,""),mtype=XLOOKUP(XLOOKUP($Q273,'Threshold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Chart'!$B$1:$S$1,0)))),base,IF(OR(cat="Status",pow=0),0,FLOOR(FLOOR(FLOOR((2*XLOOKUP($Q273,'Threshold Summary'!$Y:$Y,'Threshold Summary'!$L:$L,"")/5+2)*pow*atk/def)/50)+2)),modifier,stab*eff,FLOOR(base*modifier*0.85)),0)</f>
        <v/>
      </c>
      <c r="K273" s="3">
        <f>IFERROR(LET(mtype,XLOOKUP($D273,'Move Editor'!$B:$B,'Move Editor'!$C:$C,""),cat,XLOOKUP($D273,'Move Editor'!$B:$B,'Move Editor'!$D:$D,""),pow,XLOOKUP($D273,'Move Editor'!$B:$B,'Move Editor'!$E:$E,0),acc,XLOOKUP($D273,'Move Editor'!$B:$B,'Move Editor'!$F:$F,100),atk,IF(cat="Physical",FLOOR((FLOOR(((2*XLOOKUP(XLOOKUP($Q273,'Threshold Summary'!$Y:$Y,'Threshold Summary'!$K:$K,""),'Pokemon Editor'!$A:$A,'Pokemon Editor'!$F:$F,0)+31+FLOOR(XLOOKUP($Q273,'Threshold Summary'!$Y:$Y,'Threshold Summary'!$P:$P,"")/4))*XLOOKUP($Q273,'Threshold Summary'!$Y:$Y,'Threshold Summary'!$L:$L,""))/100)+5)*XLOOKUP(XLOOKUP($Q273,'Threshold Summary'!$Y:$Y,'Threshold Summary'!$M:$M,""),'Nature Editor'!$A:$A,'Nature Editor'!$B:$B,1)),FLOOR((FLOOR(((2*XLOOKUP(XLOOKUP($Q273,'Threshold Summary'!$Y:$Y,'Threshold Summary'!$K:$K,""),'Pokemon Editor'!$A:$A,'Pokemon Editor'!$H:$H,0)+31+FLOOR(XLOOKUP($Q273,'Threshold Summary'!$Y:$Y,'Threshold Summary'!$R:$R,"")/4))*XLOOKUP($Q273,'Threshold Summary'!$Y:$Y,'Threshold Summary'!$L:$L,""))/100)+5)*XLOOKUP(XLOOKUP($Q273,'Threshold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Editor'!$E:$E,1))),stab,IF(OR(mtype=XLOOKUP(XLOOKUP($Q273,'Threshold Summary'!$Y:$Y,'Threshold Summary'!$K:$K,""),'Pokemon Editor'!$A:$A,'Pokemon Editor'!$C:$C,""),mtype=XLOOKUP(XLOOKUP($Q273,'Threshold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Chart'!$B$1:$S$1,0)))),base,IF(OR(cat="Status",pow=0),0,FLOOR(FLOOR(FLOOR((2*XLOOKUP($Q273,'Threshold Summary'!$Y:$Y,'Threshold Summary'!$L:$L,"")/5+2)*pow*atk/def)/50)+2)),modifier,stab*eff,FLOOR(base*modifier)),0)</f>
        <v/>
      </c>
      <c r="L273" s="3">
        <f>IFERROR(LET(mtype,XLOOKUP($D273,'Move Editor'!$B:$B,'Move Editor'!$C:$C,""),cat,XLOOKUP($D273,'Move Editor'!$B:$B,'Move Editor'!$D:$D,""),pow,XLOOKUP($D273,'Move Editor'!$B:$B,'Move Editor'!$E:$E,0),acc,XLOOKUP($D273,'Move Editor'!$B:$B,'Move Editor'!$F:$F,100),atk,IF(cat="Physical",FLOOR((FLOOR(((2*XLOOKUP(XLOOKUP($Q273,'Threshold Summary'!$Y:$Y,'Threshold Summary'!$K:$K,""),'Pokemon Editor'!$A:$A,'Pokemon Editor'!$F:$F,0)+31+FLOOR(XLOOKUP($Q273,'Threshold Summary'!$Y:$Y,'Threshold Summary'!$P:$P,"")/4))*XLOOKUP($Q273,'Threshold Summary'!$Y:$Y,'Threshold Summary'!$L:$L,""))/100)+5)*XLOOKUP(XLOOKUP($Q273,'Threshold Summary'!$Y:$Y,'Threshold Summary'!$M:$M,""),'Nature Editor'!$A:$A,'Nature Editor'!$B:$B,1)),FLOOR((FLOOR(((2*XLOOKUP(XLOOKUP($Q273,'Threshold Summary'!$Y:$Y,'Threshold Summary'!$K:$K,""),'Pokemon Editor'!$A:$A,'Pokemon Editor'!$H:$H,0)+31+FLOOR(XLOOKUP($Q273,'Threshold Summary'!$Y:$Y,'Threshold Summary'!$R:$R,"")/4))*XLOOKUP($Q273,'Threshold Summary'!$Y:$Y,'Threshold Summary'!$L:$L,""))/100)+5)*XLOOKUP(XLOOKUP($Q273,'Threshold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Editor'!$E:$E,1))),stab,IF(OR(mtype=XLOOKUP(XLOOKUP($Q273,'Threshold Summary'!$Y:$Y,'Threshold Summary'!$K:$K,""),'Pokemon Editor'!$A:$A,'Pokemon Editor'!$C:$C,""),mtype=XLOOKUP(XLOOKUP($Q273,'Threshold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Chart'!$B$1:$S$1,0)))),base,IF(OR(cat="Status",pow=0),0,FLOOR(FLOOR(FLOOR((2*XLOOKUP($Q273,'Threshold Summary'!$Y:$Y,'Threshold Summary'!$L:$L,"")/5+2)*pow*atk/def)/50)+2)),modifier,stab*eff,AVERAGE(ARRAYFORMULA(FLOOR(base*modifier*SEQUENCE(16,1,85,1)/100)))),0)</f>
        <v/>
      </c>
      <c r="M273" s="3">
        <f>IFERROR(LET(mtype,XLOOKUP($D273,'Move Editor'!$B:$B,'Move Editor'!$C:$C,""),cat,XLOOKUP($D273,'Move Editor'!$B:$B,'Move Editor'!$D:$D,""),pow,XLOOKUP($D273,'Move Editor'!$B:$B,'Move Editor'!$E:$E,0),acc,XLOOKUP($D273,'Move Editor'!$B:$B,'Move Editor'!$F:$F,100),atk,IF(cat="Physical",FLOOR((FLOOR(((2*XLOOKUP(XLOOKUP($Q273,'Threshold Summary'!$Y:$Y,'Threshold Summary'!$K:$K,""),'Pokemon Editor'!$A:$A,'Pokemon Editor'!$F:$F,0)+31+FLOOR(XLOOKUP($Q273,'Threshold Summary'!$Y:$Y,'Threshold Summary'!$P:$P,"")/4))*XLOOKUP($Q273,'Threshold Summary'!$Y:$Y,'Threshold Summary'!$L:$L,""))/100)+5)*XLOOKUP(XLOOKUP($Q273,'Threshold Summary'!$Y:$Y,'Threshold Summary'!$M:$M,""),'Nature Editor'!$A:$A,'Nature Editor'!$B:$B,1)),FLOOR((FLOOR(((2*XLOOKUP(XLOOKUP($Q273,'Threshold Summary'!$Y:$Y,'Threshold Summary'!$K:$K,""),'Pokemon Editor'!$A:$A,'Pokemon Editor'!$H:$H,0)+31+FLOOR(XLOOKUP($Q273,'Threshold Summary'!$Y:$Y,'Threshold Summary'!$R:$R,"")/4))*XLOOKUP($Q273,'Threshold Summary'!$Y:$Y,'Threshold Summary'!$L:$L,""))/100)+5)*XLOOKUP(XLOOKUP($Q273,'Threshold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Editor'!$E:$E,1))),stab,IF(OR(mtype=XLOOKUP(XLOOKUP($Q273,'Threshold Summary'!$Y:$Y,'Threshold Summary'!$K:$K,""),'Pokemon Editor'!$A:$A,'Pokemon Editor'!$C:$C,""),mtype=XLOOKUP(XLOOKUP($Q273,'Threshold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Chart'!$B$1:$S$1,0)))),base,IF(OR(cat="Status",pow=0),0,FLOOR(FLOOR(FLOOR((2*XLOOKUP($Q273,'Threshold Summary'!$Y:$Y,'Threshold Summary'!$L:$L,"")/5+2)*pow*atk/def)/50)+2)),modifier,stab*eff,AVERAGE(ARRAYFORMULA(FLOOR(base*modifier*SEQUENCE(16,1,85,1)/100)))*MIN(1,acc/100)),0)</f>
        <v/>
      </c>
      <c r="N273" s="4">
        <f>IFERROR(LET(mtype,XLOOKUP($D273,'Move Editor'!$B:$B,'Move Editor'!$C:$C,""),cat,XLOOKUP($D273,'Move Editor'!$B:$B,'Move Editor'!$D:$D,""),pow,XLOOKUP($D273,'Move Editor'!$B:$B,'Move Editor'!$E:$E,0),acc,XLOOKUP($D273,'Move Editor'!$B:$B,'Move Editor'!$F:$F,100),atk,IF(cat="Physical",FLOOR((FLOOR(((2*XLOOKUP(XLOOKUP($Q273,'Threshold Summary'!$Y:$Y,'Threshold Summary'!$K:$K,""),'Pokemon Editor'!$A:$A,'Pokemon Editor'!$F:$F,0)+31+FLOOR(XLOOKUP($Q273,'Threshold Summary'!$Y:$Y,'Threshold Summary'!$P:$P,"")/4))*XLOOKUP($Q273,'Threshold Summary'!$Y:$Y,'Threshold Summary'!$L:$L,""))/100)+5)*XLOOKUP(XLOOKUP($Q273,'Threshold Summary'!$Y:$Y,'Threshold Summary'!$M:$M,""),'Nature Editor'!$A:$A,'Nature Editor'!$B:$B,1)),FLOOR((FLOOR(((2*XLOOKUP(XLOOKUP($Q273,'Threshold Summary'!$Y:$Y,'Threshold Summary'!$K:$K,""),'Pokemon Editor'!$A:$A,'Pokemon Editor'!$H:$H,0)+31+FLOOR(XLOOKUP($Q273,'Threshold Summary'!$Y:$Y,'Threshold Summary'!$R:$R,"")/4))*XLOOKUP($Q273,'Threshold Summary'!$Y:$Y,'Threshold Summary'!$L:$L,""))/100)+5)*XLOOKUP(XLOOKUP($Q273,'Threshold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Editor'!$E:$E,1))),stab,IF(OR(mtype=XLOOKUP(XLOOKUP($Q273,'Threshold Summary'!$Y:$Y,'Threshold Summary'!$K:$K,""),'Pokemon Editor'!$A:$A,'Pokemon Editor'!$C:$C,""),mtype=XLOOKUP(XLOOKUP($Q273,'Threshold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Chart'!$B$1:$S$1,0)))),base,IF(OR(cat="Status",pow=0),0,FLOOR(FLOOR(FLOOR((2*XLOOKUP($Q273,'Threshold Summary'!$Y:$Y,'Threshold Summary'!$L:$L,"")/5+2)*pow*atk/def)/50)+2)),modifier,stab*eff,AVERAGE(ARRAYFORMULA(FLOOR(base*modifier*SEQUENCE(16,1,85,1)/100)))/(FLOOR(((2*XLOOKUP('Boss Editor'!$C$4,'Pokemon Editor'!$A:$A,'Pokemon Editor'!$E:$E,0)+31+FLOOR('Boss Editor'!$G$4/4))*'Boss Editor'!$D$4)/100)+'Boss Editor'!$D$4+10)),0)</f>
        <v/>
      </c>
      <c r="O273" s="3">
        <f>IF(N273&gt;=1,"OHKO",IF(N273&gt;=0.5,"2HKO",IF(N273&gt;=0.333,"3HKO",IF(N273&gt;=0.25,"4HKO","5HKO+"))))</f>
        <v/>
      </c>
      <c r="P273" s="3" t="inlineStr">
        <is>
          <t>Live from editable databases</t>
        </is>
      </c>
      <c r="Q273" s="3" t="inlineStr">
        <is>
          <t>SPECIES_BUDEW</t>
        </is>
      </c>
      <c r="R273" s="3" t="n">
        <v>16</v>
      </c>
    </row>
    <row r="274">
      <c r="A274" s="3">
        <f>XLOOKUP($Q274,'Threshold Summary'!$Y:$Y,'Threshold Summary'!$A:$A,"")</f>
        <v/>
      </c>
      <c r="B274" s="3">
        <f>XLOOKUP($Q274,'Threshold Summary'!$Y:$Y,'Threshold Summary'!$M:$M,"")</f>
        <v/>
      </c>
      <c r="C274" s="3">
        <f>XLOOKUP($Q274,'Threshold Summary'!$Y:$Y,'Threshold Summary'!$N:$N,"")</f>
        <v/>
      </c>
      <c r="D274" s="3">
        <f>IFERROR(INDEX(FILTER('Learnset Editor'!$D$2:$D,'Learnset Editor'!$A$2:$A=XLOOKUP($Q274,'Threshold Summary'!$Y:$Y,'Threshold Summary'!$K:$K,""),'Learnset Editor'!$C$2:$C&lt;=XLOOKUP($Q274,'Threshold Summary'!$Y:$Y,'Threshold Summary'!$L:$L,"")),$R274),"")</f>
        <v/>
      </c>
      <c r="E274" s="3">
        <f>XLOOKUP(D274,'Move Editor'!$B:$B,'Move Editor'!$C:$C,"")</f>
        <v/>
      </c>
      <c r="F274" s="3">
        <f>XLOOKUP(D274,'Move Editor'!$B:$B,'Move Editor'!$D:$D,"")</f>
        <v/>
      </c>
      <c r="G274" s="3">
        <f>XLOOKUP(D274,'Move Editor'!$B:$B,'Move Editor'!$E:$E,0)</f>
        <v/>
      </c>
      <c r="H274" s="3">
        <f>XLOOKUP(D274,'Move Editor'!$B:$B,'Move Editor'!$F:$F,0)</f>
        <v/>
      </c>
      <c r="I274" s="3">
        <f>(INDEX('Type Chart'!$B:$S,MATCH(E274,'Type Chart'!$A:$A,0),MATCH(XLOOKUP('Boss Editor'!$C$4,'Pokemon Editor'!$A:$A,'Pokemon Editor'!$C:$C,""),'Type Chart'!$B$1:$S$1,0))*IF(XLOOKUP('Boss Editor'!$C$4,'Pokemon Editor'!$A:$A,'Pokemon Editor'!$D:$D,"")="",1,INDEX('Type Chart'!$B:$S,MATCH(E274,'Type Chart'!$A:$A,0),MATCH(XLOOKUP('Boss Editor'!$C$4,'Pokemon Editor'!$A:$A,'Pokemon Editor'!$D:$D,""),'Type Chart'!$B$1:$S$1,0))))</f>
        <v/>
      </c>
      <c r="J274" s="3">
        <f>IFERROR(LET(mtype,XLOOKUP($D274,'Move Editor'!$B:$B,'Move Editor'!$C:$C,""),cat,XLOOKUP($D274,'Move Editor'!$B:$B,'Move Editor'!$D:$D,""),pow,XLOOKUP($D274,'Move Editor'!$B:$B,'Move Editor'!$E:$E,0),acc,XLOOKUP($D274,'Move Editor'!$B:$B,'Move Editor'!$F:$F,100),atk,IF(cat="Physical",FLOOR((FLOOR(((2*XLOOKUP(XLOOKUP($Q274,'Threshold Summary'!$Y:$Y,'Threshold Summary'!$K:$K,""),'Pokemon Editor'!$A:$A,'Pokemon Editor'!$F:$F,0)+31+FLOOR(XLOOKUP($Q274,'Threshold Summary'!$Y:$Y,'Threshold Summary'!$P:$P,"")/4))*XLOOKUP($Q274,'Threshold Summary'!$Y:$Y,'Threshold Summary'!$L:$L,""))/100)+5)*XLOOKUP(XLOOKUP($Q274,'Threshold Summary'!$Y:$Y,'Threshold Summary'!$M:$M,""),'Nature Editor'!$A:$A,'Nature Editor'!$B:$B,1)),FLOOR((FLOOR(((2*XLOOKUP(XLOOKUP($Q274,'Threshold Summary'!$Y:$Y,'Threshold Summary'!$K:$K,""),'Pokemon Editor'!$A:$A,'Pokemon Editor'!$H:$H,0)+31+FLOOR(XLOOKUP($Q274,'Threshold Summary'!$Y:$Y,'Threshold Summary'!$R:$R,"")/4))*XLOOKUP($Q274,'Threshold Summary'!$Y:$Y,'Threshold Summary'!$L:$L,""))/100)+5)*XLOOKUP(XLOOKUP($Q274,'Threshold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Editor'!$E:$E,1))),stab,IF(OR(mtype=XLOOKUP(XLOOKUP($Q274,'Threshold Summary'!$Y:$Y,'Threshold Summary'!$K:$K,""),'Pokemon Editor'!$A:$A,'Pokemon Editor'!$C:$C,""),mtype=XLOOKUP(XLOOKUP($Q274,'Threshold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Chart'!$B$1:$S$1,0)))),base,IF(OR(cat="Status",pow=0),0,FLOOR(FLOOR(FLOOR((2*XLOOKUP($Q274,'Threshold Summary'!$Y:$Y,'Threshold Summary'!$L:$L,"")/5+2)*pow*atk/def)/50)+2)),modifier,stab*eff,FLOOR(base*modifier*0.85)),0)</f>
        <v/>
      </c>
      <c r="K274" s="3">
        <f>IFERROR(LET(mtype,XLOOKUP($D274,'Move Editor'!$B:$B,'Move Editor'!$C:$C,""),cat,XLOOKUP($D274,'Move Editor'!$B:$B,'Move Editor'!$D:$D,""),pow,XLOOKUP($D274,'Move Editor'!$B:$B,'Move Editor'!$E:$E,0),acc,XLOOKUP($D274,'Move Editor'!$B:$B,'Move Editor'!$F:$F,100),atk,IF(cat="Physical",FLOOR((FLOOR(((2*XLOOKUP(XLOOKUP($Q274,'Threshold Summary'!$Y:$Y,'Threshold Summary'!$K:$K,""),'Pokemon Editor'!$A:$A,'Pokemon Editor'!$F:$F,0)+31+FLOOR(XLOOKUP($Q274,'Threshold Summary'!$Y:$Y,'Threshold Summary'!$P:$P,"")/4))*XLOOKUP($Q274,'Threshold Summary'!$Y:$Y,'Threshold Summary'!$L:$L,""))/100)+5)*XLOOKUP(XLOOKUP($Q274,'Threshold Summary'!$Y:$Y,'Threshold Summary'!$M:$M,""),'Nature Editor'!$A:$A,'Nature Editor'!$B:$B,1)),FLOOR((FLOOR(((2*XLOOKUP(XLOOKUP($Q274,'Threshold Summary'!$Y:$Y,'Threshold Summary'!$K:$K,""),'Pokemon Editor'!$A:$A,'Pokemon Editor'!$H:$H,0)+31+FLOOR(XLOOKUP($Q274,'Threshold Summary'!$Y:$Y,'Threshold Summary'!$R:$R,"")/4))*XLOOKUP($Q274,'Threshold Summary'!$Y:$Y,'Threshold Summary'!$L:$L,""))/100)+5)*XLOOKUP(XLOOKUP($Q274,'Threshold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Editor'!$E:$E,1))),stab,IF(OR(mtype=XLOOKUP(XLOOKUP($Q274,'Threshold Summary'!$Y:$Y,'Threshold Summary'!$K:$K,""),'Pokemon Editor'!$A:$A,'Pokemon Editor'!$C:$C,""),mtype=XLOOKUP(XLOOKUP($Q274,'Threshold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Chart'!$B$1:$S$1,0)))),base,IF(OR(cat="Status",pow=0),0,FLOOR(FLOOR(FLOOR((2*XLOOKUP($Q274,'Threshold Summary'!$Y:$Y,'Threshold Summary'!$L:$L,"")/5+2)*pow*atk/def)/50)+2)),modifier,stab*eff,FLOOR(base*modifier)),0)</f>
        <v/>
      </c>
      <c r="L274" s="3">
        <f>IFERROR(LET(mtype,XLOOKUP($D274,'Move Editor'!$B:$B,'Move Editor'!$C:$C,""),cat,XLOOKUP($D274,'Move Editor'!$B:$B,'Move Editor'!$D:$D,""),pow,XLOOKUP($D274,'Move Editor'!$B:$B,'Move Editor'!$E:$E,0),acc,XLOOKUP($D274,'Move Editor'!$B:$B,'Move Editor'!$F:$F,100),atk,IF(cat="Physical",FLOOR((FLOOR(((2*XLOOKUP(XLOOKUP($Q274,'Threshold Summary'!$Y:$Y,'Threshold Summary'!$K:$K,""),'Pokemon Editor'!$A:$A,'Pokemon Editor'!$F:$F,0)+31+FLOOR(XLOOKUP($Q274,'Threshold Summary'!$Y:$Y,'Threshold Summary'!$P:$P,"")/4))*XLOOKUP($Q274,'Threshold Summary'!$Y:$Y,'Threshold Summary'!$L:$L,""))/100)+5)*XLOOKUP(XLOOKUP($Q274,'Threshold Summary'!$Y:$Y,'Threshold Summary'!$M:$M,""),'Nature Editor'!$A:$A,'Nature Editor'!$B:$B,1)),FLOOR((FLOOR(((2*XLOOKUP(XLOOKUP($Q274,'Threshold Summary'!$Y:$Y,'Threshold Summary'!$K:$K,""),'Pokemon Editor'!$A:$A,'Pokemon Editor'!$H:$H,0)+31+FLOOR(XLOOKUP($Q274,'Threshold Summary'!$Y:$Y,'Threshold Summary'!$R:$R,"")/4))*XLOOKUP($Q274,'Threshold Summary'!$Y:$Y,'Threshold Summary'!$L:$L,""))/100)+5)*XLOOKUP(XLOOKUP($Q274,'Threshold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Editor'!$E:$E,1))),stab,IF(OR(mtype=XLOOKUP(XLOOKUP($Q274,'Threshold Summary'!$Y:$Y,'Threshold Summary'!$K:$K,""),'Pokemon Editor'!$A:$A,'Pokemon Editor'!$C:$C,""),mtype=XLOOKUP(XLOOKUP($Q274,'Threshold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Chart'!$B$1:$S$1,0)))),base,IF(OR(cat="Status",pow=0),0,FLOOR(FLOOR(FLOOR((2*XLOOKUP($Q274,'Threshold Summary'!$Y:$Y,'Threshold Summary'!$L:$L,"")/5+2)*pow*atk/def)/50)+2)),modifier,stab*eff,AVERAGE(ARRAYFORMULA(FLOOR(base*modifier*SEQUENCE(16,1,85,1)/100)))),0)</f>
        <v/>
      </c>
      <c r="M274" s="3">
        <f>IFERROR(LET(mtype,XLOOKUP($D274,'Move Editor'!$B:$B,'Move Editor'!$C:$C,""),cat,XLOOKUP($D274,'Move Editor'!$B:$B,'Move Editor'!$D:$D,""),pow,XLOOKUP($D274,'Move Editor'!$B:$B,'Move Editor'!$E:$E,0),acc,XLOOKUP($D274,'Move Editor'!$B:$B,'Move Editor'!$F:$F,100),atk,IF(cat="Physical",FLOOR((FLOOR(((2*XLOOKUP(XLOOKUP($Q274,'Threshold Summary'!$Y:$Y,'Threshold Summary'!$K:$K,""),'Pokemon Editor'!$A:$A,'Pokemon Editor'!$F:$F,0)+31+FLOOR(XLOOKUP($Q274,'Threshold Summary'!$Y:$Y,'Threshold Summary'!$P:$P,"")/4))*XLOOKUP($Q274,'Threshold Summary'!$Y:$Y,'Threshold Summary'!$L:$L,""))/100)+5)*XLOOKUP(XLOOKUP($Q274,'Threshold Summary'!$Y:$Y,'Threshold Summary'!$M:$M,""),'Nature Editor'!$A:$A,'Nature Editor'!$B:$B,1)),FLOOR((FLOOR(((2*XLOOKUP(XLOOKUP($Q274,'Threshold Summary'!$Y:$Y,'Threshold Summary'!$K:$K,""),'Pokemon Editor'!$A:$A,'Pokemon Editor'!$H:$H,0)+31+FLOOR(XLOOKUP($Q274,'Threshold Summary'!$Y:$Y,'Threshold Summary'!$R:$R,"")/4))*XLOOKUP($Q274,'Threshold Summary'!$Y:$Y,'Threshold Summary'!$L:$L,""))/100)+5)*XLOOKUP(XLOOKUP($Q274,'Threshold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Editor'!$E:$E,1))),stab,IF(OR(mtype=XLOOKUP(XLOOKUP($Q274,'Threshold Summary'!$Y:$Y,'Threshold Summary'!$K:$K,""),'Pokemon Editor'!$A:$A,'Pokemon Editor'!$C:$C,""),mtype=XLOOKUP(XLOOKUP($Q274,'Threshold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Chart'!$B$1:$S$1,0)))),base,IF(OR(cat="Status",pow=0),0,FLOOR(FLOOR(FLOOR((2*XLOOKUP($Q274,'Threshold Summary'!$Y:$Y,'Threshold Summary'!$L:$L,"")/5+2)*pow*atk/def)/50)+2)),modifier,stab*eff,AVERAGE(ARRAYFORMULA(FLOOR(base*modifier*SEQUENCE(16,1,85,1)/100)))*MIN(1,acc/100)),0)</f>
        <v/>
      </c>
      <c r="N274" s="4">
        <f>IFERROR(LET(mtype,XLOOKUP($D274,'Move Editor'!$B:$B,'Move Editor'!$C:$C,""),cat,XLOOKUP($D274,'Move Editor'!$B:$B,'Move Editor'!$D:$D,""),pow,XLOOKUP($D274,'Move Editor'!$B:$B,'Move Editor'!$E:$E,0),acc,XLOOKUP($D274,'Move Editor'!$B:$B,'Move Editor'!$F:$F,100),atk,IF(cat="Physical",FLOOR((FLOOR(((2*XLOOKUP(XLOOKUP($Q274,'Threshold Summary'!$Y:$Y,'Threshold Summary'!$K:$K,""),'Pokemon Editor'!$A:$A,'Pokemon Editor'!$F:$F,0)+31+FLOOR(XLOOKUP($Q274,'Threshold Summary'!$Y:$Y,'Threshold Summary'!$P:$P,"")/4))*XLOOKUP($Q274,'Threshold Summary'!$Y:$Y,'Threshold Summary'!$L:$L,""))/100)+5)*XLOOKUP(XLOOKUP($Q274,'Threshold Summary'!$Y:$Y,'Threshold Summary'!$M:$M,""),'Nature Editor'!$A:$A,'Nature Editor'!$B:$B,1)),FLOOR((FLOOR(((2*XLOOKUP(XLOOKUP($Q274,'Threshold Summary'!$Y:$Y,'Threshold Summary'!$K:$K,""),'Pokemon Editor'!$A:$A,'Pokemon Editor'!$H:$H,0)+31+FLOOR(XLOOKUP($Q274,'Threshold Summary'!$Y:$Y,'Threshold Summary'!$R:$R,"")/4))*XLOOKUP($Q274,'Threshold Summary'!$Y:$Y,'Threshold Summary'!$L:$L,""))/100)+5)*XLOOKUP(XLOOKUP($Q274,'Threshold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Editor'!$E:$E,1))),stab,IF(OR(mtype=XLOOKUP(XLOOKUP($Q274,'Threshold Summary'!$Y:$Y,'Threshold Summary'!$K:$K,""),'Pokemon Editor'!$A:$A,'Pokemon Editor'!$C:$C,""),mtype=XLOOKUP(XLOOKUP($Q274,'Threshold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Chart'!$B$1:$S$1,0)))),base,IF(OR(cat="Status",pow=0),0,FLOOR(FLOOR(FLOOR((2*XLOOKUP($Q274,'Threshold Summary'!$Y:$Y,'Threshold Summary'!$L:$L,"")/5+2)*pow*atk/def)/50)+2)),modifier,stab*eff,AVERAGE(ARRAYFORMULA(FLOOR(base*modifier*SEQUENCE(16,1,85,1)/100)))/(FLOOR(((2*XLOOKUP('Boss Editor'!$C$4,'Pokemon Editor'!$A:$A,'Pokemon Editor'!$E:$E,0)+31+FLOOR('Boss Editor'!$G$4/4))*'Boss Editor'!$D$4)/100)+'Boss Editor'!$D$4+10)),0)</f>
        <v/>
      </c>
      <c r="O274" s="3">
        <f>IF(N274&gt;=1,"OHKO",IF(N274&gt;=0.5,"2HKO",IF(N274&gt;=0.333,"3HKO",IF(N274&gt;=0.25,"4HKO","5HKO+"))))</f>
        <v/>
      </c>
      <c r="P274" s="3" t="inlineStr">
        <is>
          <t>Live from editable databases</t>
        </is>
      </c>
      <c r="Q274" s="3" t="inlineStr">
        <is>
          <t>SPECIES_BUDEW</t>
        </is>
      </c>
      <c r="R274" s="3" t="n">
        <v>17</v>
      </c>
    </row>
    <row r="275">
      <c r="A275" s="3">
        <f>XLOOKUP($Q275,'Threshold Summary'!$Y:$Y,'Threshold Summary'!$A:$A,"")</f>
        <v/>
      </c>
      <c r="B275" s="3">
        <f>XLOOKUP($Q275,'Threshold Summary'!$Y:$Y,'Threshold Summary'!$M:$M,"")</f>
        <v/>
      </c>
      <c r="C275" s="3">
        <f>XLOOKUP($Q275,'Threshold Summary'!$Y:$Y,'Threshold Summary'!$N:$N,"")</f>
        <v/>
      </c>
      <c r="D275" s="3">
        <f>IFERROR(INDEX(FILTER('Learnset Editor'!$D$2:$D,'Learnset Editor'!$A$2:$A=XLOOKUP($Q275,'Threshold Summary'!$Y:$Y,'Threshold Summary'!$K:$K,""),'Learnset Editor'!$C$2:$C&lt;=XLOOKUP($Q275,'Threshold Summary'!$Y:$Y,'Threshold Summary'!$L:$L,"")),$R275),"")</f>
        <v/>
      </c>
      <c r="E275" s="3">
        <f>XLOOKUP(D275,'Move Editor'!$B:$B,'Move Editor'!$C:$C,"")</f>
        <v/>
      </c>
      <c r="F275" s="3">
        <f>XLOOKUP(D275,'Move Editor'!$B:$B,'Move Editor'!$D:$D,"")</f>
        <v/>
      </c>
      <c r="G275" s="3">
        <f>XLOOKUP(D275,'Move Editor'!$B:$B,'Move Editor'!$E:$E,0)</f>
        <v/>
      </c>
      <c r="H275" s="3">
        <f>XLOOKUP(D275,'Move Editor'!$B:$B,'Move Editor'!$F:$F,0)</f>
        <v/>
      </c>
      <c r="I275" s="3">
        <f>(INDEX('Type Chart'!$B:$S,MATCH(E275,'Type Chart'!$A:$A,0),MATCH(XLOOKUP('Boss Editor'!$C$4,'Pokemon Editor'!$A:$A,'Pokemon Editor'!$C:$C,""),'Type Chart'!$B$1:$S$1,0))*IF(XLOOKUP('Boss Editor'!$C$4,'Pokemon Editor'!$A:$A,'Pokemon Editor'!$D:$D,"")="",1,INDEX('Type Chart'!$B:$S,MATCH(E275,'Type Chart'!$A:$A,0),MATCH(XLOOKUP('Boss Editor'!$C$4,'Pokemon Editor'!$A:$A,'Pokemon Editor'!$D:$D,""),'Type Chart'!$B$1:$S$1,0))))</f>
        <v/>
      </c>
      <c r="J275" s="3">
        <f>IFERROR(LET(mtype,XLOOKUP($D275,'Move Editor'!$B:$B,'Move Editor'!$C:$C,""),cat,XLOOKUP($D275,'Move Editor'!$B:$B,'Move Editor'!$D:$D,""),pow,XLOOKUP($D275,'Move Editor'!$B:$B,'Move Editor'!$E:$E,0),acc,XLOOKUP($D275,'Move Editor'!$B:$B,'Move Editor'!$F:$F,100),atk,IF(cat="Physical",FLOOR((FLOOR(((2*XLOOKUP(XLOOKUP($Q275,'Threshold Summary'!$Y:$Y,'Threshold Summary'!$K:$K,""),'Pokemon Editor'!$A:$A,'Pokemon Editor'!$F:$F,0)+31+FLOOR(XLOOKUP($Q275,'Threshold Summary'!$Y:$Y,'Threshold Summary'!$P:$P,"")/4))*XLOOKUP($Q275,'Threshold Summary'!$Y:$Y,'Threshold Summary'!$L:$L,""))/100)+5)*XLOOKUP(XLOOKUP($Q275,'Threshold Summary'!$Y:$Y,'Threshold Summary'!$M:$M,""),'Nature Editor'!$A:$A,'Nature Editor'!$B:$B,1)),FLOOR((FLOOR(((2*XLOOKUP(XLOOKUP($Q275,'Threshold Summary'!$Y:$Y,'Threshold Summary'!$K:$K,""),'Pokemon Editor'!$A:$A,'Pokemon Editor'!$H:$H,0)+31+FLOOR(XLOOKUP($Q275,'Threshold Summary'!$Y:$Y,'Threshold Summary'!$R:$R,"")/4))*XLOOKUP($Q275,'Threshold Summary'!$Y:$Y,'Threshold Summary'!$L:$L,""))/100)+5)*XLOOKUP(XLOOKUP($Q275,'Threshold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Editor'!$E:$E,1))),stab,IF(OR(mtype=XLOOKUP(XLOOKUP($Q275,'Threshold Summary'!$Y:$Y,'Threshold Summary'!$K:$K,""),'Pokemon Editor'!$A:$A,'Pokemon Editor'!$C:$C,""),mtype=XLOOKUP(XLOOKUP($Q275,'Threshold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Chart'!$B$1:$S$1,0)))),base,IF(OR(cat="Status",pow=0),0,FLOOR(FLOOR(FLOOR((2*XLOOKUP($Q275,'Threshold Summary'!$Y:$Y,'Threshold Summary'!$L:$L,"")/5+2)*pow*atk/def)/50)+2)),modifier,stab*eff,FLOOR(base*modifier*0.85)),0)</f>
        <v/>
      </c>
      <c r="K275" s="3">
        <f>IFERROR(LET(mtype,XLOOKUP($D275,'Move Editor'!$B:$B,'Move Editor'!$C:$C,""),cat,XLOOKUP($D275,'Move Editor'!$B:$B,'Move Editor'!$D:$D,""),pow,XLOOKUP($D275,'Move Editor'!$B:$B,'Move Editor'!$E:$E,0),acc,XLOOKUP($D275,'Move Editor'!$B:$B,'Move Editor'!$F:$F,100),atk,IF(cat="Physical",FLOOR((FLOOR(((2*XLOOKUP(XLOOKUP($Q275,'Threshold Summary'!$Y:$Y,'Threshold Summary'!$K:$K,""),'Pokemon Editor'!$A:$A,'Pokemon Editor'!$F:$F,0)+31+FLOOR(XLOOKUP($Q275,'Threshold Summary'!$Y:$Y,'Threshold Summary'!$P:$P,"")/4))*XLOOKUP($Q275,'Threshold Summary'!$Y:$Y,'Threshold Summary'!$L:$L,""))/100)+5)*XLOOKUP(XLOOKUP($Q275,'Threshold Summary'!$Y:$Y,'Threshold Summary'!$M:$M,""),'Nature Editor'!$A:$A,'Nature Editor'!$B:$B,1)),FLOOR((FLOOR(((2*XLOOKUP(XLOOKUP($Q275,'Threshold Summary'!$Y:$Y,'Threshold Summary'!$K:$K,""),'Pokemon Editor'!$A:$A,'Pokemon Editor'!$H:$H,0)+31+FLOOR(XLOOKUP($Q275,'Threshold Summary'!$Y:$Y,'Threshold Summary'!$R:$R,"")/4))*XLOOKUP($Q275,'Threshold Summary'!$Y:$Y,'Threshold Summary'!$L:$L,""))/100)+5)*XLOOKUP(XLOOKUP($Q275,'Threshold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Editor'!$E:$E,1))),stab,IF(OR(mtype=XLOOKUP(XLOOKUP($Q275,'Threshold Summary'!$Y:$Y,'Threshold Summary'!$K:$K,""),'Pokemon Editor'!$A:$A,'Pokemon Editor'!$C:$C,""),mtype=XLOOKUP(XLOOKUP($Q275,'Threshold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Chart'!$B$1:$S$1,0)))),base,IF(OR(cat="Status",pow=0),0,FLOOR(FLOOR(FLOOR((2*XLOOKUP($Q275,'Threshold Summary'!$Y:$Y,'Threshold Summary'!$L:$L,"")/5+2)*pow*atk/def)/50)+2)),modifier,stab*eff,FLOOR(base*modifier)),0)</f>
        <v/>
      </c>
      <c r="L275" s="3">
        <f>IFERROR(LET(mtype,XLOOKUP($D275,'Move Editor'!$B:$B,'Move Editor'!$C:$C,""),cat,XLOOKUP($D275,'Move Editor'!$B:$B,'Move Editor'!$D:$D,""),pow,XLOOKUP($D275,'Move Editor'!$B:$B,'Move Editor'!$E:$E,0),acc,XLOOKUP($D275,'Move Editor'!$B:$B,'Move Editor'!$F:$F,100),atk,IF(cat="Physical",FLOOR((FLOOR(((2*XLOOKUP(XLOOKUP($Q275,'Threshold Summary'!$Y:$Y,'Threshold Summary'!$K:$K,""),'Pokemon Editor'!$A:$A,'Pokemon Editor'!$F:$F,0)+31+FLOOR(XLOOKUP($Q275,'Threshold Summary'!$Y:$Y,'Threshold Summary'!$P:$P,"")/4))*XLOOKUP($Q275,'Threshold Summary'!$Y:$Y,'Threshold Summary'!$L:$L,""))/100)+5)*XLOOKUP(XLOOKUP($Q275,'Threshold Summary'!$Y:$Y,'Threshold Summary'!$M:$M,""),'Nature Editor'!$A:$A,'Nature Editor'!$B:$B,1)),FLOOR((FLOOR(((2*XLOOKUP(XLOOKUP($Q275,'Threshold Summary'!$Y:$Y,'Threshold Summary'!$K:$K,""),'Pokemon Editor'!$A:$A,'Pokemon Editor'!$H:$H,0)+31+FLOOR(XLOOKUP($Q275,'Threshold Summary'!$Y:$Y,'Threshold Summary'!$R:$R,"")/4))*XLOOKUP($Q275,'Threshold Summary'!$Y:$Y,'Threshold Summary'!$L:$L,""))/100)+5)*XLOOKUP(XLOOKUP($Q275,'Threshold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Editor'!$E:$E,1))),stab,IF(OR(mtype=XLOOKUP(XLOOKUP($Q275,'Threshold Summary'!$Y:$Y,'Threshold Summary'!$K:$K,""),'Pokemon Editor'!$A:$A,'Pokemon Editor'!$C:$C,""),mtype=XLOOKUP(XLOOKUP($Q275,'Threshold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Chart'!$B$1:$S$1,0)))),base,IF(OR(cat="Status",pow=0),0,FLOOR(FLOOR(FLOOR((2*XLOOKUP($Q275,'Threshold Summary'!$Y:$Y,'Threshold Summary'!$L:$L,"")/5+2)*pow*atk/def)/50)+2)),modifier,stab*eff,AVERAGE(ARRAYFORMULA(FLOOR(base*modifier*SEQUENCE(16,1,85,1)/100)))),0)</f>
        <v/>
      </c>
      <c r="M275" s="3">
        <f>IFERROR(LET(mtype,XLOOKUP($D275,'Move Editor'!$B:$B,'Move Editor'!$C:$C,""),cat,XLOOKUP($D275,'Move Editor'!$B:$B,'Move Editor'!$D:$D,""),pow,XLOOKUP($D275,'Move Editor'!$B:$B,'Move Editor'!$E:$E,0),acc,XLOOKUP($D275,'Move Editor'!$B:$B,'Move Editor'!$F:$F,100),atk,IF(cat="Physical",FLOOR((FLOOR(((2*XLOOKUP(XLOOKUP($Q275,'Threshold Summary'!$Y:$Y,'Threshold Summary'!$K:$K,""),'Pokemon Editor'!$A:$A,'Pokemon Editor'!$F:$F,0)+31+FLOOR(XLOOKUP($Q275,'Threshold Summary'!$Y:$Y,'Threshold Summary'!$P:$P,"")/4))*XLOOKUP($Q275,'Threshold Summary'!$Y:$Y,'Threshold Summary'!$L:$L,""))/100)+5)*XLOOKUP(XLOOKUP($Q275,'Threshold Summary'!$Y:$Y,'Threshold Summary'!$M:$M,""),'Nature Editor'!$A:$A,'Nature Editor'!$B:$B,1)),FLOOR((FLOOR(((2*XLOOKUP(XLOOKUP($Q275,'Threshold Summary'!$Y:$Y,'Threshold Summary'!$K:$K,""),'Pokemon Editor'!$A:$A,'Pokemon Editor'!$H:$H,0)+31+FLOOR(XLOOKUP($Q275,'Threshold Summary'!$Y:$Y,'Threshold Summary'!$R:$R,"")/4))*XLOOKUP($Q275,'Threshold Summary'!$Y:$Y,'Threshold Summary'!$L:$L,""))/100)+5)*XLOOKUP(XLOOKUP($Q275,'Threshold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Editor'!$E:$E,1))),stab,IF(OR(mtype=XLOOKUP(XLOOKUP($Q275,'Threshold Summary'!$Y:$Y,'Threshold Summary'!$K:$K,""),'Pokemon Editor'!$A:$A,'Pokemon Editor'!$C:$C,""),mtype=XLOOKUP(XLOOKUP($Q275,'Threshold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Chart'!$B$1:$S$1,0)))),base,IF(OR(cat="Status",pow=0),0,FLOOR(FLOOR(FLOOR((2*XLOOKUP($Q275,'Threshold Summary'!$Y:$Y,'Threshold Summary'!$L:$L,"")/5+2)*pow*atk/def)/50)+2)),modifier,stab*eff,AVERAGE(ARRAYFORMULA(FLOOR(base*modifier*SEQUENCE(16,1,85,1)/100)))*MIN(1,acc/100)),0)</f>
        <v/>
      </c>
      <c r="N275" s="4">
        <f>IFERROR(LET(mtype,XLOOKUP($D275,'Move Editor'!$B:$B,'Move Editor'!$C:$C,""),cat,XLOOKUP($D275,'Move Editor'!$B:$B,'Move Editor'!$D:$D,""),pow,XLOOKUP($D275,'Move Editor'!$B:$B,'Move Editor'!$E:$E,0),acc,XLOOKUP($D275,'Move Editor'!$B:$B,'Move Editor'!$F:$F,100),atk,IF(cat="Physical",FLOOR((FLOOR(((2*XLOOKUP(XLOOKUP($Q275,'Threshold Summary'!$Y:$Y,'Threshold Summary'!$K:$K,""),'Pokemon Editor'!$A:$A,'Pokemon Editor'!$F:$F,0)+31+FLOOR(XLOOKUP($Q275,'Threshold Summary'!$Y:$Y,'Threshold Summary'!$P:$P,"")/4))*XLOOKUP($Q275,'Threshold Summary'!$Y:$Y,'Threshold Summary'!$L:$L,""))/100)+5)*XLOOKUP(XLOOKUP($Q275,'Threshold Summary'!$Y:$Y,'Threshold Summary'!$M:$M,""),'Nature Editor'!$A:$A,'Nature Editor'!$B:$B,1)),FLOOR((FLOOR(((2*XLOOKUP(XLOOKUP($Q275,'Threshold Summary'!$Y:$Y,'Threshold Summary'!$K:$K,""),'Pokemon Editor'!$A:$A,'Pokemon Editor'!$H:$H,0)+31+FLOOR(XLOOKUP($Q275,'Threshold Summary'!$Y:$Y,'Threshold Summary'!$R:$R,"")/4))*XLOOKUP($Q275,'Threshold Summary'!$Y:$Y,'Threshold Summary'!$L:$L,""))/100)+5)*XLOOKUP(XLOOKUP($Q275,'Threshold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Editor'!$E:$E,1))),stab,IF(OR(mtype=XLOOKUP(XLOOKUP($Q275,'Threshold Summary'!$Y:$Y,'Threshold Summary'!$K:$K,""),'Pokemon Editor'!$A:$A,'Pokemon Editor'!$C:$C,""),mtype=XLOOKUP(XLOOKUP($Q275,'Threshold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Chart'!$B$1:$S$1,0)))),base,IF(OR(cat="Status",pow=0),0,FLOOR(FLOOR(FLOOR((2*XLOOKUP($Q275,'Threshold Summary'!$Y:$Y,'Threshold Summary'!$L:$L,"")/5+2)*pow*atk/def)/50)+2)),modifier,stab*eff,AVERAGE(ARRAYFORMULA(FLOOR(base*modifier*SEQUENCE(16,1,85,1)/100)))/(FLOOR(((2*XLOOKUP('Boss Editor'!$C$4,'Pokemon Editor'!$A:$A,'Pokemon Editor'!$E:$E,0)+31+FLOOR('Boss Editor'!$G$4/4))*'Boss Editor'!$D$4)/100)+'Boss Editor'!$D$4+10)),0)</f>
        <v/>
      </c>
      <c r="O275" s="3">
        <f>IF(N275&gt;=1,"OHKO",IF(N275&gt;=0.5,"2HKO",IF(N275&gt;=0.333,"3HKO",IF(N275&gt;=0.25,"4HKO","5HKO+"))))</f>
        <v/>
      </c>
      <c r="P275" s="3" t="inlineStr">
        <is>
          <t>Live from editable databases</t>
        </is>
      </c>
      <c r="Q275" s="3" t="inlineStr">
        <is>
          <t>SPECIES_BUDEW</t>
        </is>
      </c>
      <c r="R275" s="3" t="n">
        <v>18</v>
      </c>
    </row>
    <row r="276">
      <c r="A276" s="3">
        <f>XLOOKUP($Q276,'Threshold Summary'!$Y:$Y,'Threshold Summary'!$A:$A,"")</f>
        <v/>
      </c>
      <c r="B276" s="3">
        <f>XLOOKUP($Q276,'Threshold Summary'!$Y:$Y,'Threshold Summary'!$M:$M,"")</f>
        <v/>
      </c>
      <c r="C276" s="3">
        <f>XLOOKUP($Q276,'Threshold Summary'!$Y:$Y,'Threshold Summary'!$N:$N,"")</f>
        <v/>
      </c>
      <c r="D276" s="3">
        <f>IFERROR(INDEX(FILTER('Learnset Editor'!$D$2:$D,'Learnset Editor'!$A$2:$A=XLOOKUP($Q276,'Threshold Summary'!$Y:$Y,'Threshold Summary'!$K:$K,""),'Learnset Editor'!$C$2:$C&lt;=XLOOKUP($Q276,'Threshold Summary'!$Y:$Y,'Threshold Summary'!$L:$L,"")),$R276),"")</f>
        <v/>
      </c>
      <c r="E276" s="3">
        <f>XLOOKUP(D276,'Move Editor'!$B:$B,'Move Editor'!$C:$C,"")</f>
        <v/>
      </c>
      <c r="F276" s="3">
        <f>XLOOKUP(D276,'Move Editor'!$B:$B,'Move Editor'!$D:$D,"")</f>
        <v/>
      </c>
      <c r="G276" s="3">
        <f>XLOOKUP(D276,'Move Editor'!$B:$B,'Move Editor'!$E:$E,0)</f>
        <v/>
      </c>
      <c r="H276" s="3">
        <f>XLOOKUP(D276,'Move Editor'!$B:$B,'Move Editor'!$F:$F,0)</f>
        <v/>
      </c>
      <c r="I276" s="3">
        <f>(INDEX('Type Chart'!$B:$S,MATCH(E276,'Type Chart'!$A:$A,0),MATCH(XLOOKUP('Boss Editor'!$C$4,'Pokemon Editor'!$A:$A,'Pokemon Editor'!$C:$C,""),'Type Chart'!$B$1:$S$1,0))*IF(XLOOKUP('Boss Editor'!$C$4,'Pokemon Editor'!$A:$A,'Pokemon Editor'!$D:$D,"")="",1,INDEX('Type Chart'!$B:$S,MATCH(E276,'Type Chart'!$A:$A,0),MATCH(XLOOKUP('Boss Editor'!$C$4,'Pokemon Editor'!$A:$A,'Pokemon Editor'!$D:$D,""),'Type Chart'!$B$1:$S$1,0))))</f>
        <v/>
      </c>
      <c r="J276" s="3">
        <f>IFERROR(LET(mtype,XLOOKUP($D276,'Move Editor'!$B:$B,'Move Editor'!$C:$C,""),cat,XLOOKUP($D276,'Move Editor'!$B:$B,'Move Editor'!$D:$D,""),pow,XLOOKUP($D276,'Move Editor'!$B:$B,'Move Editor'!$E:$E,0),acc,XLOOKUP($D276,'Move Editor'!$B:$B,'Move Editor'!$F:$F,100),atk,IF(cat="Physical",FLOOR((FLOOR(((2*XLOOKUP(XLOOKUP($Q276,'Threshold Summary'!$Y:$Y,'Threshold Summary'!$K:$K,""),'Pokemon Editor'!$A:$A,'Pokemon Editor'!$F:$F,0)+31+FLOOR(XLOOKUP($Q276,'Threshold Summary'!$Y:$Y,'Threshold Summary'!$P:$P,"")/4))*XLOOKUP($Q276,'Threshold Summary'!$Y:$Y,'Threshold Summary'!$L:$L,""))/100)+5)*XLOOKUP(XLOOKUP($Q276,'Threshold Summary'!$Y:$Y,'Threshold Summary'!$M:$M,""),'Nature Editor'!$A:$A,'Nature Editor'!$B:$B,1)),FLOOR((FLOOR(((2*XLOOKUP(XLOOKUP($Q276,'Threshold Summary'!$Y:$Y,'Threshold Summary'!$K:$K,""),'Pokemon Editor'!$A:$A,'Pokemon Editor'!$H:$H,0)+31+FLOOR(XLOOKUP($Q276,'Threshold Summary'!$Y:$Y,'Threshold Summary'!$R:$R,"")/4))*XLOOKUP($Q276,'Threshold Summary'!$Y:$Y,'Threshold Summary'!$L:$L,""))/100)+5)*XLOOKUP(XLOOKUP($Q276,'Threshold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Editor'!$E:$E,1))),stab,IF(OR(mtype=XLOOKUP(XLOOKUP($Q276,'Threshold Summary'!$Y:$Y,'Threshold Summary'!$K:$K,""),'Pokemon Editor'!$A:$A,'Pokemon Editor'!$C:$C,""),mtype=XLOOKUP(XLOOKUP($Q276,'Threshold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Chart'!$B$1:$S$1,0)))),base,IF(OR(cat="Status",pow=0),0,FLOOR(FLOOR(FLOOR((2*XLOOKUP($Q276,'Threshold Summary'!$Y:$Y,'Threshold Summary'!$L:$L,"")/5+2)*pow*atk/def)/50)+2)),modifier,stab*eff,FLOOR(base*modifier*0.85)),0)</f>
        <v/>
      </c>
      <c r="K276" s="3">
        <f>IFERROR(LET(mtype,XLOOKUP($D276,'Move Editor'!$B:$B,'Move Editor'!$C:$C,""),cat,XLOOKUP($D276,'Move Editor'!$B:$B,'Move Editor'!$D:$D,""),pow,XLOOKUP($D276,'Move Editor'!$B:$B,'Move Editor'!$E:$E,0),acc,XLOOKUP($D276,'Move Editor'!$B:$B,'Move Editor'!$F:$F,100),atk,IF(cat="Physical",FLOOR((FLOOR(((2*XLOOKUP(XLOOKUP($Q276,'Threshold Summary'!$Y:$Y,'Threshold Summary'!$K:$K,""),'Pokemon Editor'!$A:$A,'Pokemon Editor'!$F:$F,0)+31+FLOOR(XLOOKUP($Q276,'Threshold Summary'!$Y:$Y,'Threshold Summary'!$P:$P,"")/4))*XLOOKUP($Q276,'Threshold Summary'!$Y:$Y,'Threshold Summary'!$L:$L,""))/100)+5)*XLOOKUP(XLOOKUP($Q276,'Threshold Summary'!$Y:$Y,'Threshold Summary'!$M:$M,""),'Nature Editor'!$A:$A,'Nature Editor'!$B:$B,1)),FLOOR((FLOOR(((2*XLOOKUP(XLOOKUP($Q276,'Threshold Summary'!$Y:$Y,'Threshold Summary'!$K:$K,""),'Pokemon Editor'!$A:$A,'Pokemon Editor'!$H:$H,0)+31+FLOOR(XLOOKUP($Q276,'Threshold Summary'!$Y:$Y,'Threshold Summary'!$R:$R,"")/4))*XLOOKUP($Q276,'Threshold Summary'!$Y:$Y,'Threshold Summary'!$L:$L,""))/100)+5)*XLOOKUP(XLOOKUP($Q276,'Threshold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Editor'!$E:$E,1))),stab,IF(OR(mtype=XLOOKUP(XLOOKUP($Q276,'Threshold Summary'!$Y:$Y,'Threshold Summary'!$K:$K,""),'Pokemon Editor'!$A:$A,'Pokemon Editor'!$C:$C,""),mtype=XLOOKUP(XLOOKUP($Q276,'Threshold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Chart'!$B$1:$S$1,0)))),base,IF(OR(cat="Status",pow=0),0,FLOOR(FLOOR(FLOOR((2*XLOOKUP($Q276,'Threshold Summary'!$Y:$Y,'Threshold Summary'!$L:$L,"")/5+2)*pow*atk/def)/50)+2)),modifier,stab*eff,FLOOR(base*modifier)),0)</f>
        <v/>
      </c>
      <c r="L276" s="3">
        <f>IFERROR(LET(mtype,XLOOKUP($D276,'Move Editor'!$B:$B,'Move Editor'!$C:$C,""),cat,XLOOKUP($D276,'Move Editor'!$B:$B,'Move Editor'!$D:$D,""),pow,XLOOKUP($D276,'Move Editor'!$B:$B,'Move Editor'!$E:$E,0),acc,XLOOKUP($D276,'Move Editor'!$B:$B,'Move Editor'!$F:$F,100),atk,IF(cat="Physical",FLOOR((FLOOR(((2*XLOOKUP(XLOOKUP($Q276,'Threshold Summary'!$Y:$Y,'Threshold Summary'!$K:$K,""),'Pokemon Editor'!$A:$A,'Pokemon Editor'!$F:$F,0)+31+FLOOR(XLOOKUP($Q276,'Threshold Summary'!$Y:$Y,'Threshold Summary'!$P:$P,"")/4))*XLOOKUP($Q276,'Threshold Summary'!$Y:$Y,'Threshold Summary'!$L:$L,""))/100)+5)*XLOOKUP(XLOOKUP($Q276,'Threshold Summary'!$Y:$Y,'Threshold Summary'!$M:$M,""),'Nature Editor'!$A:$A,'Nature Editor'!$B:$B,1)),FLOOR((FLOOR(((2*XLOOKUP(XLOOKUP($Q276,'Threshold Summary'!$Y:$Y,'Threshold Summary'!$K:$K,""),'Pokemon Editor'!$A:$A,'Pokemon Editor'!$H:$H,0)+31+FLOOR(XLOOKUP($Q276,'Threshold Summary'!$Y:$Y,'Threshold Summary'!$R:$R,"")/4))*XLOOKUP($Q276,'Threshold Summary'!$Y:$Y,'Threshold Summary'!$L:$L,""))/100)+5)*XLOOKUP(XLOOKUP($Q276,'Threshold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Editor'!$E:$E,1))),stab,IF(OR(mtype=XLOOKUP(XLOOKUP($Q276,'Threshold Summary'!$Y:$Y,'Threshold Summary'!$K:$K,""),'Pokemon Editor'!$A:$A,'Pokemon Editor'!$C:$C,""),mtype=XLOOKUP(XLOOKUP($Q276,'Threshold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Chart'!$B$1:$S$1,0)))),base,IF(OR(cat="Status",pow=0),0,FLOOR(FLOOR(FLOOR((2*XLOOKUP($Q276,'Threshold Summary'!$Y:$Y,'Threshold Summary'!$L:$L,"")/5+2)*pow*atk/def)/50)+2)),modifier,stab*eff,AVERAGE(ARRAYFORMULA(FLOOR(base*modifier*SEQUENCE(16,1,85,1)/100)))),0)</f>
        <v/>
      </c>
      <c r="M276" s="3">
        <f>IFERROR(LET(mtype,XLOOKUP($D276,'Move Editor'!$B:$B,'Move Editor'!$C:$C,""),cat,XLOOKUP($D276,'Move Editor'!$B:$B,'Move Editor'!$D:$D,""),pow,XLOOKUP($D276,'Move Editor'!$B:$B,'Move Editor'!$E:$E,0),acc,XLOOKUP($D276,'Move Editor'!$B:$B,'Move Editor'!$F:$F,100),atk,IF(cat="Physical",FLOOR((FLOOR(((2*XLOOKUP(XLOOKUP($Q276,'Threshold Summary'!$Y:$Y,'Threshold Summary'!$K:$K,""),'Pokemon Editor'!$A:$A,'Pokemon Editor'!$F:$F,0)+31+FLOOR(XLOOKUP($Q276,'Threshold Summary'!$Y:$Y,'Threshold Summary'!$P:$P,"")/4))*XLOOKUP($Q276,'Threshold Summary'!$Y:$Y,'Threshold Summary'!$L:$L,""))/100)+5)*XLOOKUP(XLOOKUP($Q276,'Threshold Summary'!$Y:$Y,'Threshold Summary'!$M:$M,""),'Nature Editor'!$A:$A,'Nature Editor'!$B:$B,1)),FLOOR((FLOOR(((2*XLOOKUP(XLOOKUP($Q276,'Threshold Summary'!$Y:$Y,'Threshold Summary'!$K:$K,""),'Pokemon Editor'!$A:$A,'Pokemon Editor'!$H:$H,0)+31+FLOOR(XLOOKUP($Q276,'Threshold Summary'!$Y:$Y,'Threshold Summary'!$R:$R,"")/4))*XLOOKUP($Q276,'Threshold Summary'!$Y:$Y,'Threshold Summary'!$L:$L,""))/100)+5)*XLOOKUP(XLOOKUP($Q276,'Threshold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Editor'!$E:$E,1))),stab,IF(OR(mtype=XLOOKUP(XLOOKUP($Q276,'Threshold Summary'!$Y:$Y,'Threshold Summary'!$K:$K,""),'Pokemon Editor'!$A:$A,'Pokemon Editor'!$C:$C,""),mtype=XLOOKUP(XLOOKUP($Q276,'Threshold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Chart'!$B$1:$S$1,0)))),base,IF(OR(cat="Status",pow=0),0,FLOOR(FLOOR(FLOOR((2*XLOOKUP($Q276,'Threshold Summary'!$Y:$Y,'Threshold Summary'!$L:$L,"")/5+2)*pow*atk/def)/50)+2)),modifier,stab*eff,AVERAGE(ARRAYFORMULA(FLOOR(base*modifier*SEQUENCE(16,1,85,1)/100)))*MIN(1,acc/100)),0)</f>
        <v/>
      </c>
      <c r="N276" s="4">
        <f>IFERROR(LET(mtype,XLOOKUP($D276,'Move Editor'!$B:$B,'Move Editor'!$C:$C,""),cat,XLOOKUP($D276,'Move Editor'!$B:$B,'Move Editor'!$D:$D,""),pow,XLOOKUP($D276,'Move Editor'!$B:$B,'Move Editor'!$E:$E,0),acc,XLOOKUP($D276,'Move Editor'!$B:$B,'Move Editor'!$F:$F,100),atk,IF(cat="Physical",FLOOR((FLOOR(((2*XLOOKUP(XLOOKUP($Q276,'Threshold Summary'!$Y:$Y,'Threshold Summary'!$K:$K,""),'Pokemon Editor'!$A:$A,'Pokemon Editor'!$F:$F,0)+31+FLOOR(XLOOKUP($Q276,'Threshold Summary'!$Y:$Y,'Threshold Summary'!$P:$P,"")/4))*XLOOKUP($Q276,'Threshold Summary'!$Y:$Y,'Threshold Summary'!$L:$L,""))/100)+5)*XLOOKUP(XLOOKUP($Q276,'Threshold Summary'!$Y:$Y,'Threshold Summary'!$M:$M,""),'Nature Editor'!$A:$A,'Nature Editor'!$B:$B,1)),FLOOR((FLOOR(((2*XLOOKUP(XLOOKUP($Q276,'Threshold Summary'!$Y:$Y,'Threshold Summary'!$K:$K,""),'Pokemon Editor'!$A:$A,'Pokemon Editor'!$H:$H,0)+31+FLOOR(XLOOKUP($Q276,'Threshold Summary'!$Y:$Y,'Threshold Summary'!$R:$R,"")/4))*XLOOKUP($Q276,'Threshold Summary'!$Y:$Y,'Threshold Summary'!$L:$L,""))/100)+5)*XLOOKUP(XLOOKUP($Q276,'Threshold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Editor'!$E:$E,1))),stab,IF(OR(mtype=XLOOKUP(XLOOKUP($Q276,'Threshold Summary'!$Y:$Y,'Threshold Summary'!$K:$K,""),'Pokemon Editor'!$A:$A,'Pokemon Editor'!$C:$C,""),mtype=XLOOKUP(XLOOKUP($Q276,'Threshold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Chart'!$B$1:$S$1,0)))),base,IF(OR(cat="Status",pow=0),0,FLOOR(FLOOR(FLOOR((2*XLOOKUP($Q276,'Threshold Summary'!$Y:$Y,'Threshold Summary'!$L:$L,"")/5+2)*pow*atk/def)/50)+2)),modifier,stab*eff,AVERAGE(ARRAYFORMULA(FLOOR(base*modifier*SEQUENCE(16,1,85,1)/100)))/(FLOOR(((2*XLOOKUP('Boss Editor'!$C$4,'Pokemon Editor'!$A:$A,'Pokemon Editor'!$E:$E,0)+31+FLOOR('Boss Editor'!$G$4/4))*'Boss Editor'!$D$4)/100)+'Boss Editor'!$D$4+10)),0)</f>
        <v/>
      </c>
      <c r="O276" s="3">
        <f>IF(N276&gt;=1,"OHKO",IF(N276&gt;=0.5,"2HKO",IF(N276&gt;=0.333,"3HKO",IF(N276&gt;=0.25,"4HKO","5HKO+"))))</f>
        <v/>
      </c>
      <c r="P276" s="3" t="inlineStr">
        <is>
          <t>Live from editable databases</t>
        </is>
      </c>
      <c r="Q276" s="3" t="inlineStr">
        <is>
          <t>SPECIES_BUDEW</t>
        </is>
      </c>
      <c r="R276" s="3" t="n">
        <v>19</v>
      </c>
    </row>
    <row r="277">
      <c r="A277" s="3">
        <f>XLOOKUP($Q277,'Threshold Summary'!$Y:$Y,'Threshold Summary'!$A:$A,"")</f>
        <v/>
      </c>
      <c r="B277" s="3">
        <f>XLOOKUP($Q277,'Threshold Summary'!$Y:$Y,'Threshold Summary'!$M:$M,"")</f>
        <v/>
      </c>
      <c r="C277" s="3">
        <f>XLOOKUP($Q277,'Threshold Summary'!$Y:$Y,'Threshold Summary'!$N:$N,"")</f>
        <v/>
      </c>
      <c r="D277" s="3">
        <f>IFERROR(INDEX(FILTER('Learnset Editor'!$D$2:$D,'Learnset Editor'!$A$2:$A=XLOOKUP($Q277,'Threshold Summary'!$Y:$Y,'Threshold Summary'!$K:$K,""),'Learnset Editor'!$C$2:$C&lt;=XLOOKUP($Q277,'Threshold Summary'!$Y:$Y,'Threshold Summary'!$L:$L,"")),$R277),"")</f>
        <v/>
      </c>
      <c r="E277" s="3">
        <f>XLOOKUP(D277,'Move Editor'!$B:$B,'Move Editor'!$C:$C,"")</f>
        <v/>
      </c>
      <c r="F277" s="3">
        <f>XLOOKUP(D277,'Move Editor'!$B:$B,'Move Editor'!$D:$D,"")</f>
        <v/>
      </c>
      <c r="G277" s="3">
        <f>XLOOKUP(D277,'Move Editor'!$B:$B,'Move Editor'!$E:$E,0)</f>
        <v/>
      </c>
      <c r="H277" s="3">
        <f>XLOOKUP(D277,'Move Editor'!$B:$B,'Move Editor'!$F:$F,0)</f>
        <v/>
      </c>
      <c r="I277" s="3">
        <f>(INDEX('Type Chart'!$B:$S,MATCH(E277,'Type Chart'!$A:$A,0),MATCH(XLOOKUP('Boss Editor'!$C$4,'Pokemon Editor'!$A:$A,'Pokemon Editor'!$C:$C,""),'Type Chart'!$B$1:$S$1,0))*IF(XLOOKUP('Boss Editor'!$C$4,'Pokemon Editor'!$A:$A,'Pokemon Editor'!$D:$D,"")="",1,INDEX('Type Chart'!$B:$S,MATCH(E277,'Type Chart'!$A:$A,0),MATCH(XLOOKUP('Boss Editor'!$C$4,'Pokemon Editor'!$A:$A,'Pokemon Editor'!$D:$D,""),'Type Chart'!$B$1:$S$1,0))))</f>
        <v/>
      </c>
      <c r="J277" s="3">
        <f>IFERROR(LET(mtype,XLOOKUP($D277,'Move Editor'!$B:$B,'Move Editor'!$C:$C,""),cat,XLOOKUP($D277,'Move Editor'!$B:$B,'Move Editor'!$D:$D,""),pow,XLOOKUP($D277,'Move Editor'!$B:$B,'Move Editor'!$E:$E,0),acc,XLOOKUP($D277,'Move Editor'!$B:$B,'Move Editor'!$F:$F,100),atk,IF(cat="Physical",FLOOR((FLOOR(((2*XLOOKUP(XLOOKUP($Q277,'Threshold Summary'!$Y:$Y,'Threshold Summary'!$K:$K,""),'Pokemon Editor'!$A:$A,'Pokemon Editor'!$F:$F,0)+31+FLOOR(XLOOKUP($Q277,'Threshold Summary'!$Y:$Y,'Threshold Summary'!$P:$P,"")/4))*XLOOKUP($Q277,'Threshold Summary'!$Y:$Y,'Threshold Summary'!$L:$L,""))/100)+5)*XLOOKUP(XLOOKUP($Q277,'Threshold Summary'!$Y:$Y,'Threshold Summary'!$M:$M,""),'Nature Editor'!$A:$A,'Nature Editor'!$B:$B,1)),FLOOR((FLOOR(((2*XLOOKUP(XLOOKUP($Q277,'Threshold Summary'!$Y:$Y,'Threshold Summary'!$K:$K,""),'Pokemon Editor'!$A:$A,'Pokemon Editor'!$H:$H,0)+31+FLOOR(XLOOKUP($Q277,'Threshold Summary'!$Y:$Y,'Threshold Summary'!$R:$R,"")/4))*XLOOKUP($Q277,'Threshold Summary'!$Y:$Y,'Threshold Summary'!$L:$L,""))/100)+5)*XLOOKUP(XLOOKUP($Q277,'Threshold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Editor'!$E:$E,1))),stab,IF(OR(mtype=XLOOKUP(XLOOKUP($Q277,'Threshold Summary'!$Y:$Y,'Threshold Summary'!$K:$K,""),'Pokemon Editor'!$A:$A,'Pokemon Editor'!$C:$C,""),mtype=XLOOKUP(XLOOKUP($Q277,'Threshold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Chart'!$B$1:$S$1,0)))),base,IF(OR(cat="Status",pow=0),0,FLOOR(FLOOR(FLOOR((2*XLOOKUP($Q277,'Threshold Summary'!$Y:$Y,'Threshold Summary'!$L:$L,"")/5+2)*pow*atk/def)/50)+2)),modifier,stab*eff,FLOOR(base*modifier*0.85)),0)</f>
        <v/>
      </c>
      <c r="K277" s="3">
        <f>IFERROR(LET(mtype,XLOOKUP($D277,'Move Editor'!$B:$B,'Move Editor'!$C:$C,""),cat,XLOOKUP($D277,'Move Editor'!$B:$B,'Move Editor'!$D:$D,""),pow,XLOOKUP($D277,'Move Editor'!$B:$B,'Move Editor'!$E:$E,0),acc,XLOOKUP($D277,'Move Editor'!$B:$B,'Move Editor'!$F:$F,100),atk,IF(cat="Physical",FLOOR((FLOOR(((2*XLOOKUP(XLOOKUP($Q277,'Threshold Summary'!$Y:$Y,'Threshold Summary'!$K:$K,""),'Pokemon Editor'!$A:$A,'Pokemon Editor'!$F:$F,0)+31+FLOOR(XLOOKUP($Q277,'Threshold Summary'!$Y:$Y,'Threshold Summary'!$P:$P,"")/4))*XLOOKUP($Q277,'Threshold Summary'!$Y:$Y,'Threshold Summary'!$L:$L,""))/100)+5)*XLOOKUP(XLOOKUP($Q277,'Threshold Summary'!$Y:$Y,'Threshold Summary'!$M:$M,""),'Nature Editor'!$A:$A,'Nature Editor'!$B:$B,1)),FLOOR((FLOOR(((2*XLOOKUP(XLOOKUP($Q277,'Threshold Summary'!$Y:$Y,'Threshold Summary'!$K:$K,""),'Pokemon Editor'!$A:$A,'Pokemon Editor'!$H:$H,0)+31+FLOOR(XLOOKUP($Q277,'Threshold Summary'!$Y:$Y,'Threshold Summary'!$R:$R,"")/4))*XLOOKUP($Q277,'Threshold Summary'!$Y:$Y,'Threshold Summary'!$L:$L,""))/100)+5)*XLOOKUP(XLOOKUP($Q277,'Threshold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Editor'!$E:$E,1))),stab,IF(OR(mtype=XLOOKUP(XLOOKUP($Q277,'Threshold Summary'!$Y:$Y,'Threshold Summary'!$K:$K,""),'Pokemon Editor'!$A:$A,'Pokemon Editor'!$C:$C,""),mtype=XLOOKUP(XLOOKUP($Q277,'Threshold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Chart'!$B$1:$S$1,0)))),base,IF(OR(cat="Status",pow=0),0,FLOOR(FLOOR(FLOOR((2*XLOOKUP($Q277,'Threshold Summary'!$Y:$Y,'Threshold Summary'!$L:$L,"")/5+2)*pow*atk/def)/50)+2)),modifier,stab*eff,FLOOR(base*modifier)),0)</f>
        <v/>
      </c>
      <c r="L277" s="3">
        <f>IFERROR(LET(mtype,XLOOKUP($D277,'Move Editor'!$B:$B,'Move Editor'!$C:$C,""),cat,XLOOKUP($D277,'Move Editor'!$B:$B,'Move Editor'!$D:$D,""),pow,XLOOKUP($D277,'Move Editor'!$B:$B,'Move Editor'!$E:$E,0),acc,XLOOKUP($D277,'Move Editor'!$B:$B,'Move Editor'!$F:$F,100),atk,IF(cat="Physical",FLOOR((FLOOR(((2*XLOOKUP(XLOOKUP($Q277,'Threshold Summary'!$Y:$Y,'Threshold Summary'!$K:$K,""),'Pokemon Editor'!$A:$A,'Pokemon Editor'!$F:$F,0)+31+FLOOR(XLOOKUP($Q277,'Threshold Summary'!$Y:$Y,'Threshold Summary'!$P:$P,"")/4))*XLOOKUP($Q277,'Threshold Summary'!$Y:$Y,'Threshold Summary'!$L:$L,""))/100)+5)*XLOOKUP(XLOOKUP($Q277,'Threshold Summary'!$Y:$Y,'Threshold Summary'!$M:$M,""),'Nature Editor'!$A:$A,'Nature Editor'!$B:$B,1)),FLOOR((FLOOR(((2*XLOOKUP(XLOOKUP($Q277,'Threshold Summary'!$Y:$Y,'Threshold Summary'!$K:$K,""),'Pokemon Editor'!$A:$A,'Pokemon Editor'!$H:$H,0)+31+FLOOR(XLOOKUP($Q277,'Threshold Summary'!$Y:$Y,'Threshold Summary'!$R:$R,"")/4))*XLOOKUP($Q277,'Threshold Summary'!$Y:$Y,'Threshold Summary'!$L:$L,""))/100)+5)*XLOOKUP(XLOOKUP($Q277,'Threshold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Editor'!$E:$E,1))),stab,IF(OR(mtype=XLOOKUP(XLOOKUP($Q277,'Threshold Summary'!$Y:$Y,'Threshold Summary'!$K:$K,""),'Pokemon Editor'!$A:$A,'Pokemon Editor'!$C:$C,""),mtype=XLOOKUP(XLOOKUP($Q277,'Threshold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Chart'!$B$1:$S$1,0)))),base,IF(OR(cat="Status",pow=0),0,FLOOR(FLOOR(FLOOR((2*XLOOKUP($Q277,'Threshold Summary'!$Y:$Y,'Threshold Summary'!$L:$L,"")/5+2)*pow*atk/def)/50)+2)),modifier,stab*eff,AVERAGE(ARRAYFORMULA(FLOOR(base*modifier*SEQUENCE(16,1,85,1)/100)))),0)</f>
        <v/>
      </c>
      <c r="M277" s="3">
        <f>IFERROR(LET(mtype,XLOOKUP($D277,'Move Editor'!$B:$B,'Move Editor'!$C:$C,""),cat,XLOOKUP($D277,'Move Editor'!$B:$B,'Move Editor'!$D:$D,""),pow,XLOOKUP($D277,'Move Editor'!$B:$B,'Move Editor'!$E:$E,0),acc,XLOOKUP($D277,'Move Editor'!$B:$B,'Move Editor'!$F:$F,100),atk,IF(cat="Physical",FLOOR((FLOOR(((2*XLOOKUP(XLOOKUP($Q277,'Threshold Summary'!$Y:$Y,'Threshold Summary'!$K:$K,""),'Pokemon Editor'!$A:$A,'Pokemon Editor'!$F:$F,0)+31+FLOOR(XLOOKUP($Q277,'Threshold Summary'!$Y:$Y,'Threshold Summary'!$P:$P,"")/4))*XLOOKUP($Q277,'Threshold Summary'!$Y:$Y,'Threshold Summary'!$L:$L,""))/100)+5)*XLOOKUP(XLOOKUP($Q277,'Threshold Summary'!$Y:$Y,'Threshold Summary'!$M:$M,""),'Nature Editor'!$A:$A,'Nature Editor'!$B:$B,1)),FLOOR((FLOOR(((2*XLOOKUP(XLOOKUP($Q277,'Threshold Summary'!$Y:$Y,'Threshold Summary'!$K:$K,""),'Pokemon Editor'!$A:$A,'Pokemon Editor'!$H:$H,0)+31+FLOOR(XLOOKUP($Q277,'Threshold Summary'!$Y:$Y,'Threshold Summary'!$R:$R,"")/4))*XLOOKUP($Q277,'Threshold Summary'!$Y:$Y,'Threshold Summary'!$L:$L,""))/100)+5)*XLOOKUP(XLOOKUP($Q277,'Threshold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Editor'!$E:$E,1))),stab,IF(OR(mtype=XLOOKUP(XLOOKUP($Q277,'Threshold Summary'!$Y:$Y,'Threshold Summary'!$K:$K,""),'Pokemon Editor'!$A:$A,'Pokemon Editor'!$C:$C,""),mtype=XLOOKUP(XLOOKUP($Q277,'Threshold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Chart'!$B$1:$S$1,0)))),base,IF(OR(cat="Status",pow=0),0,FLOOR(FLOOR(FLOOR((2*XLOOKUP($Q277,'Threshold Summary'!$Y:$Y,'Threshold Summary'!$L:$L,"")/5+2)*pow*atk/def)/50)+2)),modifier,stab*eff,AVERAGE(ARRAYFORMULA(FLOOR(base*modifier*SEQUENCE(16,1,85,1)/100)))*MIN(1,acc/100)),0)</f>
        <v/>
      </c>
      <c r="N277" s="4">
        <f>IFERROR(LET(mtype,XLOOKUP($D277,'Move Editor'!$B:$B,'Move Editor'!$C:$C,""),cat,XLOOKUP($D277,'Move Editor'!$B:$B,'Move Editor'!$D:$D,""),pow,XLOOKUP($D277,'Move Editor'!$B:$B,'Move Editor'!$E:$E,0),acc,XLOOKUP($D277,'Move Editor'!$B:$B,'Move Editor'!$F:$F,100),atk,IF(cat="Physical",FLOOR((FLOOR(((2*XLOOKUP(XLOOKUP($Q277,'Threshold Summary'!$Y:$Y,'Threshold Summary'!$K:$K,""),'Pokemon Editor'!$A:$A,'Pokemon Editor'!$F:$F,0)+31+FLOOR(XLOOKUP($Q277,'Threshold Summary'!$Y:$Y,'Threshold Summary'!$P:$P,"")/4))*XLOOKUP($Q277,'Threshold Summary'!$Y:$Y,'Threshold Summary'!$L:$L,""))/100)+5)*XLOOKUP(XLOOKUP($Q277,'Threshold Summary'!$Y:$Y,'Threshold Summary'!$M:$M,""),'Nature Editor'!$A:$A,'Nature Editor'!$B:$B,1)),FLOOR((FLOOR(((2*XLOOKUP(XLOOKUP($Q277,'Threshold Summary'!$Y:$Y,'Threshold Summary'!$K:$K,""),'Pokemon Editor'!$A:$A,'Pokemon Editor'!$H:$H,0)+31+FLOOR(XLOOKUP($Q277,'Threshold Summary'!$Y:$Y,'Threshold Summary'!$R:$R,"")/4))*XLOOKUP($Q277,'Threshold Summary'!$Y:$Y,'Threshold Summary'!$L:$L,""))/100)+5)*XLOOKUP(XLOOKUP($Q277,'Threshold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Editor'!$E:$E,1))),stab,IF(OR(mtype=XLOOKUP(XLOOKUP($Q277,'Threshold Summary'!$Y:$Y,'Threshold Summary'!$K:$K,""),'Pokemon Editor'!$A:$A,'Pokemon Editor'!$C:$C,""),mtype=XLOOKUP(XLOOKUP($Q277,'Threshold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Chart'!$B$1:$S$1,0)))),base,IF(OR(cat="Status",pow=0),0,FLOOR(FLOOR(FLOOR((2*XLOOKUP($Q277,'Threshold Summary'!$Y:$Y,'Threshold Summary'!$L:$L,"")/5+2)*pow*atk/def)/50)+2)),modifier,stab*eff,AVERAGE(ARRAYFORMULA(FLOOR(base*modifier*SEQUENCE(16,1,85,1)/100)))/(FLOOR(((2*XLOOKUP('Boss Editor'!$C$4,'Pokemon Editor'!$A:$A,'Pokemon Editor'!$E:$E,0)+31+FLOOR('Boss Editor'!$G$4/4))*'Boss Editor'!$D$4)/100)+'Boss Editor'!$D$4+10)),0)</f>
        <v/>
      </c>
      <c r="O277" s="3">
        <f>IF(N277&gt;=1,"OHKO",IF(N277&gt;=0.5,"2HKO",IF(N277&gt;=0.333,"3HKO",IF(N277&gt;=0.25,"4HKO","5HKO+"))))</f>
        <v/>
      </c>
      <c r="P277" s="3" t="inlineStr">
        <is>
          <t>Live from editable databases</t>
        </is>
      </c>
      <c r="Q277" s="3" t="inlineStr">
        <is>
          <t>SPECIES_BUDEW</t>
        </is>
      </c>
      <c r="R277" s="3" t="n">
        <v>20</v>
      </c>
    </row>
    <row r="278">
      <c r="A278" s="3">
        <f>XLOOKUP($Q278,'Threshold Summary'!$Y:$Y,'Threshold Summary'!$A:$A,"")</f>
        <v/>
      </c>
      <c r="B278" s="3">
        <f>XLOOKUP($Q278,'Threshold Summary'!$Y:$Y,'Threshold Summary'!$M:$M,"")</f>
        <v/>
      </c>
      <c r="C278" s="3">
        <f>XLOOKUP($Q278,'Threshold Summary'!$Y:$Y,'Threshold Summary'!$N:$N,"")</f>
        <v/>
      </c>
      <c r="D278" s="3">
        <f>IFERROR(INDEX(FILTER('Learnset Editor'!$D$2:$D,'Learnset Editor'!$A$2:$A=XLOOKUP($Q278,'Threshold Summary'!$Y:$Y,'Threshold Summary'!$K:$K,""),'Learnset Editor'!$C$2:$C&lt;=XLOOKUP($Q278,'Threshold Summary'!$Y:$Y,'Threshold Summary'!$L:$L,"")),$R278),"")</f>
        <v/>
      </c>
      <c r="E278" s="3">
        <f>XLOOKUP(D278,'Move Editor'!$B:$B,'Move Editor'!$C:$C,"")</f>
        <v/>
      </c>
      <c r="F278" s="3">
        <f>XLOOKUP(D278,'Move Editor'!$B:$B,'Move Editor'!$D:$D,"")</f>
        <v/>
      </c>
      <c r="G278" s="3">
        <f>XLOOKUP(D278,'Move Editor'!$B:$B,'Move Editor'!$E:$E,0)</f>
        <v/>
      </c>
      <c r="H278" s="3">
        <f>XLOOKUP(D278,'Move Editor'!$B:$B,'Move Editor'!$F:$F,0)</f>
        <v/>
      </c>
      <c r="I278" s="3">
        <f>(INDEX('Type Chart'!$B:$S,MATCH(E278,'Type Chart'!$A:$A,0),MATCH(XLOOKUP('Boss Editor'!$C$4,'Pokemon Editor'!$A:$A,'Pokemon Editor'!$C:$C,""),'Type Chart'!$B$1:$S$1,0))*IF(XLOOKUP('Boss Editor'!$C$4,'Pokemon Editor'!$A:$A,'Pokemon Editor'!$D:$D,"")="",1,INDEX('Type Chart'!$B:$S,MATCH(E278,'Type Chart'!$A:$A,0),MATCH(XLOOKUP('Boss Editor'!$C$4,'Pokemon Editor'!$A:$A,'Pokemon Editor'!$D:$D,""),'Type Chart'!$B$1:$S$1,0))))</f>
        <v/>
      </c>
      <c r="J278" s="3">
        <f>IFERROR(LET(mtype,XLOOKUP($D278,'Move Editor'!$B:$B,'Move Editor'!$C:$C,""),cat,XLOOKUP($D278,'Move Editor'!$B:$B,'Move Editor'!$D:$D,""),pow,XLOOKUP($D278,'Move Editor'!$B:$B,'Move Editor'!$E:$E,0),acc,XLOOKUP($D278,'Move Editor'!$B:$B,'Move Editor'!$F:$F,100),atk,IF(cat="Physical",FLOOR((FLOOR(((2*XLOOKUP(XLOOKUP($Q278,'Threshold Summary'!$Y:$Y,'Threshold Summary'!$K:$K,""),'Pokemon Editor'!$A:$A,'Pokemon Editor'!$F:$F,0)+31+FLOOR(XLOOKUP($Q278,'Threshold Summary'!$Y:$Y,'Threshold Summary'!$P:$P,"")/4))*XLOOKUP($Q278,'Threshold Summary'!$Y:$Y,'Threshold Summary'!$L:$L,""))/100)+5)*XLOOKUP(XLOOKUP($Q278,'Threshold Summary'!$Y:$Y,'Threshold Summary'!$M:$M,""),'Nature Editor'!$A:$A,'Nature Editor'!$B:$B,1)),FLOOR((FLOOR(((2*XLOOKUP(XLOOKUP($Q278,'Threshold Summary'!$Y:$Y,'Threshold Summary'!$K:$K,""),'Pokemon Editor'!$A:$A,'Pokemon Editor'!$H:$H,0)+31+FLOOR(XLOOKUP($Q278,'Threshold Summary'!$Y:$Y,'Threshold Summary'!$R:$R,"")/4))*XLOOKUP($Q278,'Threshold Summary'!$Y:$Y,'Threshold Summary'!$L:$L,""))/100)+5)*XLOOKUP(XLOOKUP($Q278,'Threshold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Editor'!$E:$E,1))),stab,IF(OR(mtype=XLOOKUP(XLOOKUP($Q278,'Threshold Summary'!$Y:$Y,'Threshold Summary'!$K:$K,""),'Pokemon Editor'!$A:$A,'Pokemon Editor'!$C:$C,""),mtype=XLOOKUP(XLOOKUP($Q278,'Threshold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Chart'!$B$1:$S$1,0)))),base,IF(OR(cat="Status",pow=0),0,FLOOR(FLOOR(FLOOR((2*XLOOKUP($Q278,'Threshold Summary'!$Y:$Y,'Threshold Summary'!$L:$L,"")/5+2)*pow*atk/def)/50)+2)),modifier,stab*eff,FLOOR(base*modifier*0.85)),0)</f>
        <v/>
      </c>
      <c r="K278" s="3">
        <f>IFERROR(LET(mtype,XLOOKUP($D278,'Move Editor'!$B:$B,'Move Editor'!$C:$C,""),cat,XLOOKUP($D278,'Move Editor'!$B:$B,'Move Editor'!$D:$D,""),pow,XLOOKUP($D278,'Move Editor'!$B:$B,'Move Editor'!$E:$E,0),acc,XLOOKUP($D278,'Move Editor'!$B:$B,'Move Editor'!$F:$F,100),atk,IF(cat="Physical",FLOOR((FLOOR(((2*XLOOKUP(XLOOKUP($Q278,'Threshold Summary'!$Y:$Y,'Threshold Summary'!$K:$K,""),'Pokemon Editor'!$A:$A,'Pokemon Editor'!$F:$F,0)+31+FLOOR(XLOOKUP($Q278,'Threshold Summary'!$Y:$Y,'Threshold Summary'!$P:$P,"")/4))*XLOOKUP($Q278,'Threshold Summary'!$Y:$Y,'Threshold Summary'!$L:$L,""))/100)+5)*XLOOKUP(XLOOKUP($Q278,'Threshold Summary'!$Y:$Y,'Threshold Summary'!$M:$M,""),'Nature Editor'!$A:$A,'Nature Editor'!$B:$B,1)),FLOOR((FLOOR(((2*XLOOKUP(XLOOKUP($Q278,'Threshold Summary'!$Y:$Y,'Threshold Summary'!$K:$K,""),'Pokemon Editor'!$A:$A,'Pokemon Editor'!$H:$H,0)+31+FLOOR(XLOOKUP($Q278,'Threshold Summary'!$Y:$Y,'Threshold Summary'!$R:$R,"")/4))*XLOOKUP($Q278,'Threshold Summary'!$Y:$Y,'Threshold Summary'!$L:$L,""))/100)+5)*XLOOKUP(XLOOKUP($Q278,'Threshold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Editor'!$E:$E,1))),stab,IF(OR(mtype=XLOOKUP(XLOOKUP($Q278,'Threshold Summary'!$Y:$Y,'Threshold Summary'!$K:$K,""),'Pokemon Editor'!$A:$A,'Pokemon Editor'!$C:$C,""),mtype=XLOOKUP(XLOOKUP($Q278,'Threshold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Chart'!$B$1:$S$1,0)))),base,IF(OR(cat="Status",pow=0),0,FLOOR(FLOOR(FLOOR((2*XLOOKUP($Q278,'Threshold Summary'!$Y:$Y,'Threshold Summary'!$L:$L,"")/5+2)*pow*atk/def)/50)+2)),modifier,stab*eff,FLOOR(base*modifier)),0)</f>
        <v/>
      </c>
      <c r="L278" s="3">
        <f>IFERROR(LET(mtype,XLOOKUP($D278,'Move Editor'!$B:$B,'Move Editor'!$C:$C,""),cat,XLOOKUP($D278,'Move Editor'!$B:$B,'Move Editor'!$D:$D,""),pow,XLOOKUP($D278,'Move Editor'!$B:$B,'Move Editor'!$E:$E,0),acc,XLOOKUP($D278,'Move Editor'!$B:$B,'Move Editor'!$F:$F,100),atk,IF(cat="Physical",FLOOR((FLOOR(((2*XLOOKUP(XLOOKUP($Q278,'Threshold Summary'!$Y:$Y,'Threshold Summary'!$K:$K,""),'Pokemon Editor'!$A:$A,'Pokemon Editor'!$F:$F,0)+31+FLOOR(XLOOKUP($Q278,'Threshold Summary'!$Y:$Y,'Threshold Summary'!$P:$P,"")/4))*XLOOKUP($Q278,'Threshold Summary'!$Y:$Y,'Threshold Summary'!$L:$L,""))/100)+5)*XLOOKUP(XLOOKUP($Q278,'Threshold Summary'!$Y:$Y,'Threshold Summary'!$M:$M,""),'Nature Editor'!$A:$A,'Nature Editor'!$B:$B,1)),FLOOR((FLOOR(((2*XLOOKUP(XLOOKUP($Q278,'Threshold Summary'!$Y:$Y,'Threshold Summary'!$K:$K,""),'Pokemon Editor'!$A:$A,'Pokemon Editor'!$H:$H,0)+31+FLOOR(XLOOKUP($Q278,'Threshold Summary'!$Y:$Y,'Threshold Summary'!$R:$R,"")/4))*XLOOKUP($Q278,'Threshold Summary'!$Y:$Y,'Threshold Summary'!$L:$L,""))/100)+5)*XLOOKUP(XLOOKUP($Q278,'Threshold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Editor'!$E:$E,1))),stab,IF(OR(mtype=XLOOKUP(XLOOKUP($Q278,'Threshold Summary'!$Y:$Y,'Threshold Summary'!$K:$K,""),'Pokemon Editor'!$A:$A,'Pokemon Editor'!$C:$C,""),mtype=XLOOKUP(XLOOKUP($Q278,'Threshold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Chart'!$B$1:$S$1,0)))),base,IF(OR(cat="Status",pow=0),0,FLOOR(FLOOR(FLOOR((2*XLOOKUP($Q278,'Threshold Summary'!$Y:$Y,'Threshold Summary'!$L:$L,"")/5+2)*pow*atk/def)/50)+2)),modifier,stab*eff,AVERAGE(ARRAYFORMULA(FLOOR(base*modifier*SEQUENCE(16,1,85,1)/100)))),0)</f>
        <v/>
      </c>
      <c r="M278" s="3">
        <f>IFERROR(LET(mtype,XLOOKUP($D278,'Move Editor'!$B:$B,'Move Editor'!$C:$C,""),cat,XLOOKUP($D278,'Move Editor'!$B:$B,'Move Editor'!$D:$D,""),pow,XLOOKUP($D278,'Move Editor'!$B:$B,'Move Editor'!$E:$E,0),acc,XLOOKUP($D278,'Move Editor'!$B:$B,'Move Editor'!$F:$F,100),atk,IF(cat="Physical",FLOOR((FLOOR(((2*XLOOKUP(XLOOKUP($Q278,'Threshold Summary'!$Y:$Y,'Threshold Summary'!$K:$K,""),'Pokemon Editor'!$A:$A,'Pokemon Editor'!$F:$F,0)+31+FLOOR(XLOOKUP($Q278,'Threshold Summary'!$Y:$Y,'Threshold Summary'!$P:$P,"")/4))*XLOOKUP($Q278,'Threshold Summary'!$Y:$Y,'Threshold Summary'!$L:$L,""))/100)+5)*XLOOKUP(XLOOKUP($Q278,'Threshold Summary'!$Y:$Y,'Threshold Summary'!$M:$M,""),'Nature Editor'!$A:$A,'Nature Editor'!$B:$B,1)),FLOOR((FLOOR(((2*XLOOKUP(XLOOKUP($Q278,'Threshold Summary'!$Y:$Y,'Threshold Summary'!$K:$K,""),'Pokemon Editor'!$A:$A,'Pokemon Editor'!$H:$H,0)+31+FLOOR(XLOOKUP($Q278,'Threshold Summary'!$Y:$Y,'Threshold Summary'!$R:$R,"")/4))*XLOOKUP($Q278,'Threshold Summary'!$Y:$Y,'Threshold Summary'!$L:$L,""))/100)+5)*XLOOKUP(XLOOKUP($Q278,'Threshold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Editor'!$E:$E,1))),stab,IF(OR(mtype=XLOOKUP(XLOOKUP($Q278,'Threshold Summary'!$Y:$Y,'Threshold Summary'!$K:$K,""),'Pokemon Editor'!$A:$A,'Pokemon Editor'!$C:$C,""),mtype=XLOOKUP(XLOOKUP($Q278,'Threshold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Chart'!$B$1:$S$1,0)))),base,IF(OR(cat="Status",pow=0),0,FLOOR(FLOOR(FLOOR((2*XLOOKUP($Q278,'Threshold Summary'!$Y:$Y,'Threshold Summary'!$L:$L,"")/5+2)*pow*atk/def)/50)+2)),modifier,stab*eff,AVERAGE(ARRAYFORMULA(FLOOR(base*modifier*SEQUENCE(16,1,85,1)/100)))*MIN(1,acc/100)),0)</f>
        <v/>
      </c>
      <c r="N278" s="4">
        <f>IFERROR(LET(mtype,XLOOKUP($D278,'Move Editor'!$B:$B,'Move Editor'!$C:$C,""),cat,XLOOKUP($D278,'Move Editor'!$B:$B,'Move Editor'!$D:$D,""),pow,XLOOKUP($D278,'Move Editor'!$B:$B,'Move Editor'!$E:$E,0),acc,XLOOKUP($D278,'Move Editor'!$B:$B,'Move Editor'!$F:$F,100),atk,IF(cat="Physical",FLOOR((FLOOR(((2*XLOOKUP(XLOOKUP($Q278,'Threshold Summary'!$Y:$Y,'Threshold Summary'!$K:$K,""),'Pokemon Editor'!$A:$A,'Pokemon Editor'!$F:$F,0)+31+FLOOR(XLOOKUP($Q278,'Threshold Summary'!$Y:$Y,'Threshold Summary'!$P:$P,"")/4))*XLOOKUP($Q278,'Threshold Summary'!$Y:$Y,'Threshold Summary'!$L:$L,""))/100)+5)*XLOOKUP(XLOOKUP($Q278,'Threshold Summary'!$Y:$Y,'Threshold Summary'!$M:$M,""),'Nature Editor'!$A:$A,'Nature Editor'!$B:$B,1)),FLOOR((FLOOR(((2*XLOOKUP(XLOOKUP($Q278,'Threshold Summary'!$Y:$Y,'Threshold Summary'!$K:$K,""),'Pokemon Editor'!$A:$A,'Pokemon Editor'!$H:$H,0)+31+FLOOR(XLOOKUP($Q278,'Threshold Summary'!$Y:$Y,'Threshold Summary'!$R:$R,"")/4))*XLOOKUP($Q278,'Threshold Summary'!$Y:$Y,'Threshold Summary'!$L:$L,""))/100)+5)*XLOOKUP(XLOOKUP($Q278,'Threshold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Editor'!$E:$E,1))),stab,IF(OR(mtype=XLOOKUP(XLOOKUP($Q278,'Threshold Summary'!$Y:$Y,'Threshold Summary'!$K:$K,""),'Pokemon Editor'!$A:$A,'Pokemon Editor'!$C:$C,""),mtype=XLOOKUP(XLOOKUP($Q278,'Threshold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Chart'!$B$1:$S$1,0)))),base,IF(OR(cat="Status",pow=0),0,FLOOR(FLOOR(FLOOR((2*XLOOKUP($Q278,'Threshold Summary'!$Y:$Y,'Threshold Summary'!$L:$L,"")/5+2)*pow*atk/def)/50)+2)),modifier,stab*eff,AVERAGE(ARRAYFORMULA(FLOOR(base*modifier*SEQUENCE(16,1,85,1)/100)))/(FLOOR(((2*XLOOKUP('Boss Editor'!$C$4,'Pokemon Editor'!$A:$A,'Pokemon Editor'!$E:$E,0)+31+FLOOR('Boss Editor'!$G$4/4))*'Boss Editor'!$D$4)/100)+'Boss Editor'!$D$4+10)),0)</f>
        <v/>
      </c>
      <c r="O278" s="3">
        <f>IF(N278&gt;=1,"OHKO",IF(N278&gt;=0.5,"2HKO",IF(N278&gt;=0.333,"3HKO",IF(N278&gt;=0.25,"4HKO","5HKO+"))))</f>
        <v/>
      </c>
      <c r="P278" s="3" t="inlineStr">
        <is>
          <t>Live from editable databases</t>
        </is>
      </c>
      <c r="Q278" s="3" t="inlineStr">
        <is>
          <t>SPECIES_BUDEW</t>
        </is>
      </c>
      <c r="R278" s="3" t="n">
        <v>21</v>
      </c>
    </row>
    <row r="279">
      <c r="A279" s="3">
        <f>XLOOKUP($Q279,'Threshold Summary'!$Y:$Y,'Threshold Summary'!$A:$A,"")</f>
        <v/>
      </c>
      <c r="B279" s="3">
        <f>XLOOKUP($Q279,'Threshold Summary'!$Y:$Y,'Threshold Summary'!$M:$M,"")</f>
        <v/>
      </c>
      <c r="C279" s="3">
        <f>XLOOKUP($Q279,'Threshold Summary'!$Y:$Y,'Threshold Summary'!$N:$N,"")</f>
        <v/>
      </c>
      <c r="D279" s="3">
        <f>IFERROR(INDEX(FILTER('Learnset Editor'!$D$2:$D,'Learnset Editor'!$A$2:$A=XLOOKUP($Q279,'Threshold Summary'!$Y:$Y,'Threshold Summary'!$K:$K,""),'Learnset Editor'!$C$2:$C&lt;=XLOOKUP($Q279,'Threshold Summary'!$Y:$Y,'Threshold Summary'!$L:$L,"")),$R279),"")</f>
        <v/>
      </c>
      <c r="E279" s="3">
        <f>XLOOKUP(D279,'Move Editor'!$B:$B,'Move Editor'!$C:$C,"")</f>
        <v/>
      </c>
      <c r="F279" s="3">
        <f>XLOOKUP(D279,'Move Editor'!$B:$B,'Move Editor'!$D:$D,"")</f>
        <v/>
      </c>
      <c r="G279" s="3">
        <f>XLOOKUP(D279,'Move Editor'!$B:$B,'Move Editor'!$E:$E,0)</f>
        <v/>
      </c>
      <c r="H279" s="3">
        <f>XLOOKUP(D279,'Move Editor'!$B:$B,'Move Editor'!$F:$F,0)</f>
        <v/>
      </c>
      <c r="I279" s="3">
        <f>(INDEX('Type Chart'!$B:$S,MATCH(E279,'Type Chart'!$A:$A,0),MATCH(XLOOKUP('Boss Editor'!$C$4,'Pokemon Editor'!$A:$A,'Pokemon Editor'!$C:$C,""),'Type Chart'!$B$1:$S$1,0))*IF(XLOOKUP('Boss Editor'!$C$4,'Pokemon Editor'!$A:$A,'Pokemon Editor'!$D:$D,"")="",1,INDEX('Type Chart'!$B:$S,MATCH(E279,'Type Chart'!$A:$A,0),MATCH(XLOOKUP('Boss Editor'!$C$4,'Pokemon Editor'!$A:$A,'Pokemon Editor'!$D:$D,""),'Type Chart'!$B$1:$S$1,0))))</f>
        <v/>
      </c>
      <c r="J279" s="3">
        <f>IFERROR(LET(mtype,XLOOKUP($D279,'Move Editor'!$B:$B,'Move Editor'!$C:$C,""),cat,XLOOKUP($D279,'Move Editor'!$B:$B,'Move Editor'!$D:$D,""),pow,XLOOKUP($D279,'Move Editor'!$B:$B,'Move Editor'!$E:$E,0),acc,XLOOKUP($D279,'Move Editor'!$B:$B,'Move Editor'!$F:$F,100),atk,IF(cat="Physical",FLOOR((FLOOR(((2*XLOOKUP(XLOOKUP($Q279,'Threshold Summary'!$Y:$Y,'Threshold Summary'!$K:$K,""),'Pokemon Editor'!$A:$A,'Pokemon Editor'!$F:$F,0)+31+FLOOR(XLOOKUP($Q279,'Threshold Summary'!$Y:$Y,'Threshold Summary'!$P:$P,"")/4))*XLOOKUP($Q279,'Threshold Summary'!$Y:$Y,'Threshold Summary'!$L:$L,""))/100)+5)*XLOOKUP(XLOOKUP($Q279,'Threshold Summary'!$Y:$Y,'Threshold Summary'!$M:$M,""),'Nature Editor'!$A:$A,'Nature Editor'!$B:$B,1)),FLOOR((FLOOR(((2*XLOOKUP(XLOOKUP($Q279,'Threshold Summary'!$Y:$Y,'Threshold Summary'!$K:$K,""),'Pokemon Editor'!$A:$A,'Pokemon Editor'!$H:$H,0)+31+FLOOR(XLOOKUP($Q279,'Threshold Summary'!$Y:$Y,'Threshold Summary'!$R:$R,"")/4))*XLOOKUP($Q279,'Threshold Summary'!$Y:$Y,'Threshold Summary'!$L:$L,""))/100)+5)*XLOOKUP(XLOOKUP($Q279,'Threshold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Editor'!$E:$E,1))),stab,IF(OR(mtype=XLOOKUP(XLOOKUP($Q279,'Threshold Summary'!$Y:$Y,'Threshold Summary'!$K:$K,""),'Pokemon Editor'!$A:$A,'Pokemon Editor'!$C:$C,""),mtype=XLOOKUP(XLOOKUP($Q279,'Threshold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Chart'!$B$1:$S$1,0)))),base,IF(OR(cat="Status",pow=0),0,FLOOR(FLOOR(FLOOR((2*XLOOKUP($Q279,'Threshold Summary'!$Y:$Y,'Threshold Summary'!$L:$L,"")/5+2)*pow*atk/def)/50)+2)),modifier,stab*eff,FLOOR(base*modifier*0.85)),0)</f>
        <v/>
      </c>
      <c r="K279" s="3">
        <f>IFERROR(LET(mtype,XLOOKUP($D279,'Move Editor'!$B:$B,'Move Editor'!$C:$C,""),cat,XLOOKUP($D279,'Move Editor'!$B:$B,'Move Editor'!$D:$D,""),pow,XLOOKUP($D279,'Move Editor'!$B:$B,'Move Editor'!$E:$E,0),acc,XLOOKUP($D279,'Move Editor'!$B:$B,'Move Editor'!$F:$F,100),atk,IF(cat="Physical",FLOOR((FLOOR(((2*XLOOKUP(XLOOKUP($Q279,'Threshold Summary'!$Y:$Y,'Threshold Summary'!$K:$K,""),'Pokemon Editor'!$A:$A,'Pokemon Editor'!$F:$F,0)+31+FLOOR(XLOOKUP($Q279,'Threshold Summary'!$Y:$Y,'Threshold Summary'!$P:$P,"")/4))*XLOOKUP($Q279,'Threshold Summary'!$Y:$Y,'Threshold Summary'!$L:$L,""))/100)+5)*XLOOKUP(XLOOKUP($Q279,'Threshold Summary'!$Y:$Y,'Threshold Summary'!$M:$M,""),'Nature Editor'!$A:$A,'Nature Editor'!$B:$B,1)),FLOOR((FLOOR(((2*XLOOKUP(XLOOKUP($Q279,'Threshold Summary'!$Y:$Y,'Threshold Summary'!$K:$K,""),'Pokemon Editor'!$A:$A,'Pokemon Editor'!$H:$H,0)+31+FLOOR(XLOOKUP($Q279,'Threshold Summary'!$Y:$Y,'Threshold Summary'!$R:$R,"")/4))*XLOOKUP($Q279,'Threshold Summary'!$Y:$Y,'Threshold Summary'!$L:$L,""))/100)+5)*XLOOKUP(XLOOKUP($Q279,'Threshold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Editor'!$E:$E,1))),stab,IF(OR(mtype=XLOOKUP(XLOOKUP($Q279,'Threshold Summary'!$Y:$Y,'Threshold Summary'!$K:$K,""),'Pokemon Editor'!$A:$A,'Pokemon Editor'!$C:$C,""),mtype=XLOOKUP(XLOOKUP($Q279,'Threshold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Chart'!$B$1:$S$1,0)))),base,IF(OR(cat="Status",pow=0),0,FLOOR(FLOOR(FLOOR((2*XLOOKUP($Q279,'Threshold Summary'!$Y:$Y,'Threshold Summary'!$L:$L,"")/5+2)*pow*atk/def)/50)+2)),modifier,stab*eff,FLOOR(base*modifier)),0)</f>
        <v/>
      </c>
      <c r="L279" s="3">
        <f>IFERROR(LET(mtype,XLOOKUP($D279,'Move Editor'!$B:$B,'Move Editor'!$C:$C,""),cat,XLOOKUP($D279,'Move Editor'!$B:$B,'Move Editor'!$D:$D,""),pow,XLOOKUP($D279,'Move Editor'!$B:$B,'Move Editor'!$E:$E,0),acc,XLOOKUP($D279,'Move Editor'!$B:$B,'Move Editor'!$F:$F,100),atk,IF(cat="Physical",FLOOR((FLOOR(((2*XLOOKUP(XLOOKUP($Q279,'Threshold Summary'!$Y:$Y,'Threshold Summary'!$K:$K,""),'Pokemon Editor'!$A:$A,'Pokemon Editor'!$F:$F,0)+31+FLOOR(XLOOKUP($Q279,'Threshold Summary'!$Y:$Y,'Threshold Summary'!$P:$P,"")/4))*XLOOKUP($Q279,'Threshold Summary'!$Y:$Y,'Threshold Summary'!$L:$L,""))/100)+5)*XLOOKUP(XLOOKUP($Q279,'Threshold Summary'!$Y:$Y,'Threshold Summary'!$M:$M,""),'Nature Editor'!$A:$A,'Nature Editor'!$B:$B,1)),FLOOR((FLOOR(((2*XLOOKUP(XLOOKUP($Q279,'Threshold Summary'!$Y:$Y,'Threshold Summary'!$K:$K,""),'Pokemon Editor'!$A:$A,'Pokemon Editor'!$H:$H,0)+31+FLOOR(XLOOKUP($Q279,'Threshold Summary'!$Y:$Y,'Threshold Summary'!$R:$R,"")/4))*XLOOKUP($Q279,'Threshold Summary'!$Y:$Y,'Threshold Summary'!$L:$L,""))/100)+5)*XLOOKUP(XLOOKUP($Q279,'Threshold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Editor'!$E:$E,1))),stab,IF(OR(mtype=XLOOKUP(XLOOKUP($Q279,'Threshold Summary'!$Y:$Y,'Threshold Summary'!$K:$K,""),'Pokemon Editor'!$A:$A,'Pokemon Editor'!$C:$C,""),mtype=XLOOKUP(XLOOKUP($Q279,'Threshold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Chart'!$B$1:$S$1,0)))),base,IF(OR(cat="Status",pow=0),0,FLOOR(FLOOR(FLOOR((2*XLOOKUP($Q279,'Threshold Summary'!$Y:$Y,'Threshold Summary'!$L:$L,"")/5+2)*pow*atk/def)/50)+2)),modifier,stab*eff,AVERAGE(ARRAYFORMULA(FLOOR(base*modifier*SEQUENCE(16,1,85,1)/100)))),0)</f>
        <v/>
      </c>
      <c r="M279" s="3">
        <f>IFERROR(LET(mtype,XLOOKUP($D279,'Move Editor'!$B:$B,'Move Editor'!$C:$C,""),cat,XLOOKUP($D279,'Move Editor'!$B:$B,'Move Editor'!$D:$D,""),pow,XLOOKUP($D279,'Move Editor'!$B:$B,'Move Editor'!$E:$E,0),acc,XLOOKUP($D279,'Move Editor'!$B:$B,'Move Editor'!$F:$F,100),atk,IF(cat="Physical",FLOOR((FLOOR(((2*XLOOKUP(XLOOKUP($Q279,'Threshold Summary'!$Y:$Y,'Threshold Summary'!$K:$K,""),'Pokemon Editor'!$A:$A,'Pokemon Editor'!$F:$F,0)+31+FLOOR(XLOOKUP($Q279,'Threshold Summary'!$Y:$Y,'Threshold Summary'!$P:$P,"")/4))*XLOOKUP($Q279,'Threshold Summary'!$Y:$Y,'Threshold Summary'!$L:$L,""))/100)+5)*XLOOKUP(XLOOKUP($Q279,'Threshold Summary'!$Y:$Y,'Threshold Summary'!$M:$M,""),'Nature Editor'!$A:$A,'Nature Editor'!$B:$B,1)),FLOOR((FLOOR(((2*XLOOKUP(XLOOKUP($Q279,'Threshold Summary'!$Y:$Y,'Threshold Summary'!$K:$K,""),'Pokemon Editor'!$A:$A,'Pokemon Editor'!$H:$H,0)+31+FLOOR(XLOOKUP($Q279,'Threshold Summary'!$Y:$Y,'Threshold Summary'!$R:$R,"")/4))*XLOOKUP($Q279,'Threshold Summary'!$Y:$Y,'Threshold Summary'!$L:$L,""))/100)+5)*XLOOKUP(XLOOKUP($Q279,'Threshold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Editor'!$E:$E,1))),stab,IF(OR(mtype=XLOOKUP(XLOOKUP($Q279,'Threshold Summary'!$Y:$Y,'Threshold Summary'!$K:$K,""),'Pokemon Editor'!$A:$A,'Pokemon Editor'!$C:$C,""),mtype=XLOOKUP(XLOOKUP($Q279,'Threshold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Chart'!$B$1:$S$1,0)))),base,IF(OR(cat="Status",pow=0),0,FLOOR(FLOOR(FLOOR((2*XLOOKUP($Q279,'Threshold Summary'!$Y:$Y,'Threshold Summary'!$L:$L,"")/5+2)*pow*atk/def)/50)+2)),modifier,stab*eff,AVERAGE(ARRAYFORMULA(FLOOR(base*modifier*SEQUENCE(16,1,85,1)/100)))*MIN(1,acc/100)),0)</f>
        <v/>
      </c>
      <c r="N279" s="4">
        <f>IFERROR(LET(mtype,XLOOKUP($D279,'Move Editor'!$B:$B,'Move Editor'!$C:$C,""),cat,XLOOKUP($D279,'Move Editor'!$B:$B,'Move Editor'!$D:$D,""),pow,XLOOKUP($D279,'Move Editor'!$B:$B,'Move Editor'!$E:$E,0),acc,XLOOKUP($D279,'Move Editor'!$B:$B,'Move Editor'!$F:$F,100),atk,IF(cat="Physical",FLOOR((FLOOR(((2*XLOOKUP(XLOOKUP($Q279,'Threshold Summary'!$Y:$Y,'Threshold Summary'!$K:$K,""),'Pokemon Editor'!$A:$A,'Pokemon Editor'!$F:$F,0)+31+FLOOR(XLOOKUP($Q279,'Threshold Summary'!$Y:$Y,'Threshold Summary'!$P:$P,"")/4))*XLOOKUP($Q279,'Threshold Summary'!$Y:$Y,'Threshold Summary'!$L:$L,""))/100)+5)*XLOOKUP(XLOOKUP($Q279,'Threshold Summary'!$Y:$Y,'Threshold Summary'!$M:$M,""),'Nature Editor'!$A:$A,'Nature Editor'!$B:$B,1)),FLOOR((FLOOR(((2*XLOOKUP(XLOOKUP($Q279,'Threshold Summary'!$Y:$Y,'Threshold Summary'!$K:$K,""),'Pokemon Editor'!$A:$A,'Pokemon Editor'!$H:$H,0)+31+FLOOR(XLOOKUP($Q279,'Threshold Summary'!$Y:$Y,'Threshold Summary'!$R:$R,"")/4))*XLOOKUP($Q279,'Threshold Summary'!$Y:$Y,'Threshold Summary'!$L:$L,""))/100)+5)*XLOOKUP(XLOOKUP($Q279,'Threshold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Editor'!$E:$E,1))),stab,IF(OR(mtype=XLOOKUP(XLOOKUP($Q279,'Threshold Summary'!$Y:$Y,'Threshold Summary'!$K:$K,""),'Pokemon Editor'!$A:$A,'Pokemon Editor'!$C:$C,""),mtype=XLOOKUP(XLOOKUP($Q279,'Threshold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Chart'!$B$1:$S$1,0)))),base,IF(OR(cat="Status",pow=0),0,FLOOR(FLOOR(FLOOR((2*XLOOKUP($Q279,'Threshold Summary'!$Y:$Y,'Threshold Summary'!$L:$L,"")/5+2)*pow*atk/def)/50)+2)),modifier,stab*eff,AVERAGE(ARRAYFORMULA(FLOOR(base*modifier*SEQUENCE(16,1,85,1)/100)))/(FLOOR(((2*XLOOKUP('Boss Editor'!$C$4,'Pokemon Editor'!$A:$A,'Pokemon Editor'!$E:$E,0)+31+FLOOR('Boss Editor'!$G$4/4))*'Boss Editor'!$D$4)/100)+'Boss Editor'!$D$4+10)),0)</f>
        <v/>
      </c>
      <c r="O279" s="3">
        <f>IF(N279&gt;=1,"OHKO",IF(N279&gt;=0.5,"2HKO",IF(N279&gt;=0.333,"3HKO",IF(N279&gt;=0.25,"4HKO","5HKO+"))))</f>
        <v/>
      </c>
      <c r="P279" s="3" t="inlineStr">
        <is>
          <t>Live from editable databases</t>
        </is>
      </c>
      <c r="Q279" s="3" t="inlineStr">
        <is>
          <t>SPECIES_BUDEW</t>
        </is>
      </c>
      <c r="R279" s="3" t="n">
        <v>22</v>
      </c>
    </row>
    <row r="280">
      <c r="A280" s="3">
        <f>XLOOKUP($Q280,'Threshold Summary'!$Y:$Y,'Threshold Summary'!$A:$A,"")</f>
        <v/>
      </c>
      <c r="B280" s="3">
        <f>XLOOKUP($Q280,'Threshold Summary'!$Y:$Y,'Threshold Summary'!$M:$M,"")</f>
        <v/>
      </c>
      <c r="C280" s="3">
        <f>XLOOKUP($Q280,'Threshold Summary'!$Y:$Y,'Threshold Summary'!$N:$N,"")</f>
        <v/>
      </c>
      <c r="D280" s="3">
        <f>IFERROR(INDEX(FILTER('Learnset Editor'!$D$2:$D,'Learnset Editor'!$A$2:$A=XLOOKUP($Q280,'Threshold Summary'!$Y:$Y,'Threshold Summary'!$K:$K,""),'Learnset Editor'!$C$2:$C&lt;=XLOOKUP($Q280,'Threshold Summary'!$Y:$Y,'Threshold Summary'!$L:$L,"")),$R280),"")</f>
        <v/>
      </c>
      <c r="E280" s="3">
        <f>XLOOKUP(D280,'Move Editor'!$B:$B,'Move Editor'!$C:$C,"")</f>
        <v/>
      </c>
      <c r="F280" s="3">
        <f>XLOOKUP(D280,'Move Editor'!$B:$B,'Move Editor'!$D:$D,"")</f>
        <v/>
      </c>
      <c r="G280" s="3">
        <f>XLOOKUP(D280,'Move Editor'!$B:$B,'Move Editor'!$E:$E,0)</f>
        <v/>
      </c>
      <c r="H280" s="3">
        <f>XLOOKUP(D280,'Move Editor'!$B:$B,'Move Editor'!$F:$F,0)</f>
        <v/>
      </c>
      <c r="I280" s="3">
        <f>(INDEX('Type Chart'!$B:$S,MATCH(E280,'Type Chart'!$A:$A,0),MATCH(XLOOKUP('Boss Editor'!$C$4,'Pokemon Editor'!$A:$A,'Pokemon Editor'!$C:$C,""),'Type Chart'!$B$1:$S$1,0))*IF(XLOOKUP('Boss Editor'!$C$4,'Pokemon Editor'!$A:$A,'Pokemon Editor'!$D:$D,"")="",1,INDEX('Type Chart'!$B:$S,MATCH(E280,'Type Chart'!$A:$A,0),MATCH(XLOOKUP('Boss Editor'!$C$4,'Pokemon Editor'!$A:$A,'Pokemon Editor'!$D:$D,""),'Type Chart'!$B$1:$S$1,0))))</f>
        <v/>
      </c>
      <c r="J280" s="3">
        <f>IFERROR(LET(mtype,XLOOKUP($D280,'Move Editor'!$B:$B,'Move Editor'!$C:$C,""),cat,XLOOKUP($D280,'Move Editor'!$B:$B,'Move Editor'!$D:$D,""),pow,XLOOKUP($D280,'Move Editor'!$B:$B,'Move Editor'!$E:$E,0),acc,XLOOKUP($D280,'Move Editor'!$B:$B,'Move Editor'!$F:$F,100),atk,IF(cat="Physical",FLOOR((FLOOR(((2*XLOOKUP(XLOOKUP($Q280,'Threshold Summary'!$Y:$Y,'Threshold Summary'!$K:$K,""),'Pokemon Editor'!$A:$A,'Pokemon Editor'!$F:$F,0)+31+FLOOR(XLOOKUP($Q280,'Threshold Summary'!$Y:$Y,'Threshold Summary'!$P:$P,"")/4))*XLOOKUP($Q280,'Threshold Summary'!$Y:$Y,'Threshold Summary'!$L:$L,""))/100)+5)*XLOOKUP(XLOOKUP($Q280,'Threshold Summary'!$Y:$Y,'Threshold Summary'!$M:$M,""),'Nature Editor'!$A:$A,'Nature Editor'!$B:$B,1)),FLOOR((FLOOR(((2*XLOOKUP(XLOOKUP($Q280,'Threshold Summary'!$Y:$Y,'Threshold Summary'!$K:$K,""),'Pokemon Editor'!$A:$A,'Pokemon Editor'!$H:$H,0)+31+FLOOR(XLOOKUP($Q280,'Threshold Summary'!$Y:$Y,'Threshold Summary'!$R:$R,"")/4))*XLOOKUP($Q280,'Threshold Summary'!$Y:$Y,'Threshold Summary'!$L:$L,""))/100)+5)*XLOOKUP(XLOOKUP($Q280,'Threshold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Editor'!$E:$E,1))),stab,IF(OR(mtype=XLOOKUP(XLOOKUP($Q280,'Threshold Summary'!$Y:$Y,'Threshold Summary'!$K:$K,""),'Pokemon Editor'!$A:$A,'Pokemon Editor'!$C:$C,""),mtype=XLOOKUP(XLOOKUP($Q280,'Threshold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Chart'!$B$1:$S$1,0)))),base,IF(OR(cat="Status",pow=0),0,FLOOR(FLOOR(FLOOR((2*XLOOKUP($Q280,'Threshold Summary'!$Y:$Y,'Threshold Summary'!$L:$L,"")/5+2)*pow*atk/def)/50)+2)),modifier,stab*eff,FLOOR(base*modifier*0.85)),0)</f>
        <v/>
      </c>
      <c r="K280" s="3">
        <f>IFERROR(LET(mtype,XLOOKUP($D280,'Move Editor'!$B:$B,'Move Editor'!$C:$C,""),cat,XLOOKUP($D280,'Move Editor'!$B:$B,'Move Editor'!$D:$D,""),pow,XLOOKUP($D280,'Move Editor'!$B:$B,'Move Editor'!$E:$E,0),acc,XLOOKUP($D280,'Move Editor'!$B:$B,'Move Editor'!$F:$F,100),atk,IF(cat="Physical",FLOOR((FLOOR(((2*XLOOKUP(XLOOKUP($Q280,'Threshold Summary'!$Y:$Y,'Threshold Summary'!$K:$K,""),'Pokemon Editor'!$A:$A,'Pokemon Editor'!$F:$F,0)+31+FLOOR(XLOOKUP($Q280,'Threshold Summary'!$Y:$Y,'Threshold Summary'!$P:$P,"")/4))*XLOOKUP($Q280,'Threshold Summary'!$Y:$Y,'Threshold Summary'!$L:$L,""))/100)+5)*XLOOKUP(XLOOKUP($Q280,'Threshold Summary'!$Y:$Y,'Threshold Summary'!$M:$M,""),'Nature Editor'!$A:$A,'Nature Editor'!$B:$B,1)),FLOOR((FLOOR(((2*XLOOKUP(XLOOKUP($Q280,'Threshold Summary'!$Y:$Y,'Threshold Summary'!$K:$K,""),'Pokemon Editor'!$A:$A,'Pokemon Editor'!$H:$H,0)+31+FLOOR(XLOOKUP($Q280,'Threshold Summary'!$Y:$Y,'Threshold Summary'!$R:$R,"")/4))*XLOOKUP($Q280,'Threshold Summary'!$Y:$Y,'Threshold Summary'!$L:$L,""))/100)+5)*XLOOKUP(XLOOKUP($Q280,'Threshold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Editor'!$E:$E,1))),stab,IF(OR(mtype=XLOOKUP(XLOOKUP($Q280,'Threshold Summary'!$Y:$Y,'Threshold Summary'!$K:$K,""),'Pokemon Editor'!$A:$A,'Pokemon Editor'!$C:$C,""),mtype=XLOOKUP(XLOOKUP($Q280,'Threshold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Chart'!$B$1:$S$1,0)))),base,IF(OR(cat="Status",pow=0),0,FLOOR(FLOOR(FLOOR((2*XLOOKUP($Q280,'Threshold Summary'!$Y:$Y,'Threshold Summary'!$L:$L,"")/5+2)*pow*atk/def)/50)+2)),modifier,stab*eff,FLOOR(base*modifier)),0)</f>
        <v/>
      </c>
      <c r="L280" s="3">
        <f>IFERROR(LET(mtype,XLOOKUP($D280,'Move Editor'!$B:$B,'Move Editor'!$C:$C,""),cat,XLOOKUP($D280,'Move Editor'!$B:$B,'Move Editor'!$D:$D,""),pow,XLOOKUP($D280,'Move Editor'!$B:$B,'Move Editor'!$E:$E,0),acc,XLOOKUP($D280,'Move Editor'!$B:$B,'Move Editor'!$F:$F,100),atk,IF(cat="Physical",FLOOR((FLOOR(((2*XLOOKUP(XLOOKUP($Q280,'Threshold Summary'!$Y:$Y,'Threshold Summary'!$K:$K,""),'Pokemon Editor'!$A:$A,'Pokemon Editor'!$F:$F,0)+31+FLOOR(XLOOKUP($Q280,'Threshold Summary'!$Y:$Y,'Threshold Summary'!$P:$P,"")/4))*XLOOKUP($Q280,'Threshold Summary'!$Y:$Y,'Threshold Summary'!$L:$L,""))/100)+5)*XLOOKUP(XLOOKUP($Q280,'Threshold Summary'!$Y:$Y,'Threshold Summary'!$M:$M,""),'Nature Editor'!$A:$A,'Nature Editor'!$B:$B,1)),FLOOR((FLOOR(((2*XLOOKUP(XLOOKUP($Q280,'Threshold Summary'!$Y:$Y,'Threshold Summary'!$K:$K,""),'Pokemon Editor'!$A:$A,'Pokemon Editor'!$H:$H,0)+31+FLOOR(XLOOKUP($Q280,'Threshold Summary'!$Y:$Y,'Threshold Summary'!$R:$R,"")/4))*XLOOKUP($Q280,'Threshold Summary'!$Y:$Y,'Threshold Summary'!$L:$L,""))/100)+5)*XLOOKUP(XLOOKUP($Q280,'Threshold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Editor'!$E:$E,1))),stab,IF(OR(mtype=XLOOKUP(XLOOKUP($Q280,'Threshold Summary'!$Y:$Y,'Threshold Summary'!$K:$K,""),'Pokemon Editor'!$A:$A,'Pokemon Editor'!$C:$C,""),mtype=XLOOKUP(XLOOKUP($Q280,'Threshold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Chart'!$B$1:$S$1,0)))),base,IF(OR(cat="Status",pow=0),0,FLOOR(FLOOR(FLOOR((2*XLOOKUP($Q280,'Threshold Summary'!$Y:$Y,'Threshold Summary'!$L:$L,"")/5+2)*pow*atk/def)/50)+2)),modifier,stab*eff,AVERAGE(ARRAYFORMULA(FLOOR(base*modifier*SEQUENCE(16,1,85,1)/100)))),0)</f>
        <v/>
      </c>
      <c r="M280" s="3">
        <f>IFERROR(LET(mtype,XLOOKUP($D280,'Move Editor'!$B:$B,'Move Editor'!$C:$C,""),cat,XLOOKUP($D280,'Move Editor'!$B:$B,'Move Editor'!$D:$D,""),pow,XLOOKUP($D280,'Move Editor'!$B:$B,'Move Editor'!$E:$E,0),acc,XLOOKUP($D280,'Move Editor'!$B:$B,'Move Editor'!$F:$F,100),atk,IF(cat="Physical",FLOOR((FLOOR(((2*XLOOKUP(XLOOKUP($Q280,'Threshold Summary'!$Y:$Y,'Threshold Summary'!$K:$K,""),'Pokemon Editor'!$A:$A,'Pokemon Editor'!$F:$F,0)+31+FLOOR(XLOOKUP($Q280,'Threshold Summary'!$Y:$Y,'Threshold Summary'!$P:$P,"")/4))*XLOOKUP($Q280,'Threshold Summary'!$Y:$Y,'Threshold Summary'!$L:$L,""))/100)+5)*XLOOKUP(XLOOKUP($Q280,'Threshold Summary'!$Y:$Y,'Threshold Summary'!$M:$M,""),'Nature Editor'!$A:$A,'Nature Editor'!$B:$B,1)),FLOOR((FLOOR(((2*XLOOKUP(XLOOKUP($Q280,'Threshold Summary'!$Y:$Y,'Threshold Summary'!$K:$K,""),'Pokemon Editor'!$A:$A,'Pokemon Editor'!$H:$H,0)+31+FLOOR(XLOOKUP($Q280,'Threshold Summary'!$Y:$Y,'Threshold Summary'!$R:$R,"")/4))*XLOOKUP($Q280,'Threshold Summary'!$Y:$Y,'Threshold Summary'!$L:$L,""))/100)+5)*XLOOKUP(XLOOKUP($Q280,'Threshold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Editor'!$E:$E,1))),stab,IF(OR(mtype=XLOOKUP(XLOOKUP($Q280,'Threshold Summary'!$Y:$Y,'Threshold Summary'!$K:$K,""),'Pokemon Editor'!$A:$A,'Pokemon Editor'!$C:$C,""),mtype=XLOOKUP(XLOOKUP($Q280,'Threshold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Chart'!$B$1:$S$1,0)))),base,IF(OR(cat="Status",pow=0),0,FLOOR(FLOOR(FLOOR((2*XLOOKUP($Q280,'Threshold Summary'!$Y:$Y,'Threshold Summary'!$L:$L,"")/5+2)*pow*atk/def)/50)+2)),modifier,stab*eff,AVERAGE(ARRAYFORMULA(FLOOR(base*modifier*SEQUENCE(16,1,85,1)/100)))*MIN(1,acc/100)),0)</f>
        <v/>
      </c>
      <c r="N280" s="4">
        <f>IFERROR(LET(mtype,XLOOKUP($D280,'Move Editor'!$B:$B,'Move Editor'!$C:$C,""),cat,XLOOKUP($D280,'Move Editor'!$B:$B,'Move Editor'!$D:$D,""),pow,XLOOKUP($D280,'Move Editor'!$B:$B,'Move Editor'!$E:$E,0),acc,XLOOKUP($D280,'Move Editor'!$B:$B,'Move Editor'!$F:$F,100),atk,IF(cat="Physical",FLOOR((FLOOR(((2*XLOOKUP(XLOOKUP($Q280,'Threshold Summary'!$Y:$Y,'Threshold Summary'!$K:$K,""),'Pokemon Editor'!$A:$A,'Pokemon Editor'!$F:$F,0)+31+FLOOR(XLOOKUP($Q280,'Threshold Summary'!$Y:$Y,'Threshold Summary'!$P:$P,"")/4))*XLOOKUP($Q280,'Threshold Summary'!$Y:$Y,'Threshold Summary'!$L:$L,""))/100)+5)*XLOOKUP(XLOOKUP($Q280,'Threshold Summary'!$Y:$Y,'Threshold Summary'!$M:$M,""),'Nature Editor'!$A:$A,'Nature Editor'!$B:$B,1)),FLOOR((FLOOR(((2*XLOOKUP(XLOOKUP($Q280,'Threshold Summary'!$Y:$Y,'Threshold Summary'!$K:$K,""),'Pokemon Editor'!$A:$A,'Pokemon Editor'!$H:$H,0)+31+FLOOR(XLOOKUP($Q280,'Threshold Summary'!$Y:$Y,'Threshold Summary'!$R:$R,"")/4))*XLOOKUP($Q280,'Threshold Summary'!$Y:$Y,'Threshold Summary'!$L:$L,""))/100)+5)*XLOOKUP(XLOOKUP($Q280,'Threshold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Editor'!$E:$E,1))),stab,IF(OR(mtype=XLOOKUP(XLOOKUP($Q280,'Threshold Summary'!$Y:$Y,'Threshold Summary'!$K:$K,""),'Pokemon Editor'!$A:$A,'Pokemon Editor'!$C:$C,""),mtype=XLOOKUP(XLOOKUP($Q280,'Threshold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Chart'!$B$1:$S$1,0)))),base,IF(OR(cat="Status",pow=0),0,FLOOR(FLOOR(FLOOR((2*XLOOKUP($Q280,'Threshold Summary'!$Y:$Y,'Threshold Summary'!$L:$L,"")/5+2)*pow*atk/def)/50)+2)),modifier,stab*eff,AVERAGE(ARRAYFORMULA(FLOOR(base*modifier*SEQUENCE(16,1,85,1)/100)))/(FLOOR(((2*XLOOKUP('Boss Editor'!$C$4,'Pokemon Editor'!$A:$A,'Pokemon Editor'!$E:$E,0)+31+FLOOR('Boss Editor'!$G$4/4))*'Boss Editor'!$D$4)/100)+'Boss Editor'!$D$4+10)),0)</f>
        <v/>
      </c>
      <c r="O280" s="3">
        <f>IF(N280&gt;=1,"OHKO",IF(N280&gt;=0.5,"2HKO",IF(N280&gt;=0.333,"3HKO",IF(N280&gt;=0.25,"4HKO","5HKO+"))))</f>
        <v/>
      </c>
      <c r="P280" s="3" t="inlineStr">
        <is>
          <t>Live from editable databases</t>
        </is>
      </c>
      <c r="Q280" s="3" t="inlineStr">
        <is>
          <t>SPECIES_BUDEW</t>
        </is>
      </c>
      <c r="R280" s="3" t="n">
        <v>23</v>
      </c>
    </row>
    <row r="281">
      <c r="A281" s="3">
        <f>XLOOKUP($Q281,'Threshold Summary'!$Y:$Y,'Threshold Summary'!$A:$A,"")</f>
        <v/>
      </c>
      <c r="B281" s="3">
        <f>XLOOKUP($Q281,'Threshold Summary'!$Y:$Y,'Threshold Summary'!$M:$M,"")</f>
        <v/>
      </c>
      <c r="C281" s="3">
        <f>XLOOKUP($Q281,'Threshold Summary'!$Y:$Y,'Threshold Summary'!$N:$N,"")</f>
        <v/>
      </c>
      <c r="D281" s="3">
        <f>IFERROR(INDEX(FILTER('Learnset Editor'!$D$2:$D,'Learnset Editor'!$A$2:$A=XLOOKUP($Q281,'Threshold Summary'!$Y:$Y,'Threshold Summary'!$K:$K,""),'Learnset Editor'!$C$2:$C&lt;=XLOOKUP($Q281,'Threshold Summary'!$Y:$Y,'Threshold Summary'!$L:$L,"")),$R281),"")</f>
        <v/>
      </c>
      <c r="E281" s="3">
        <f>XLOOKUP(D281,'Move Editor'!$B:$B,'Move Editor'!$C:$C,"")</f>
        <v/>
      </c>
      <c r="F281" s="3">
        <f>XLOOKUP(D281,'Move Editor'!$B:$B,'Move Editor'!$D:$D,"")</f>
        <v/>
      </c>
      <c r="G281" s="3">
        <f>XLOOKUP(D281,'Move Editor'!$B:$B,'Move Editor'!$E:$E,0)</f>
        <v/>
      </c>
      <c r="H281" s="3">
        <f>XLOOKUP(D281,'Move Editor'!$B:$B,'Move Editor'!$F:$F,0)</f>
        <v/>
      </c>
      <c r="I281" s="3">
        <f>(INDEX('Type Chart'!$B:$S,MATCH(E281,'Type Chart'!$A:$A,0),MATCH(XLOOKUP('Boss Editor'!$C$4,'Pokemon Editor'!$A:$A,'Pokemon Editor'!$C:$C,""),'Type Chart'!$B$1:$S$1,0))*IF(XLOOKUP('Boss Editor'!$C$4,'Pokemon Editor'!$A:$A,'Pokemon Editor'!$D:$D,"")="",1,INDEX('Type Chart'!$B:$S,MATCH(E281,'Type Chart'!$A:$A,0),MATCH(XLOOKUP('Boss Editor'!$C$4,'Pokemon Editor'!$A:$A,'Pokemon Editor'!$D:$D,""),'Type Chart'!$B$1:$S$1,0))))</f>
        <v/>
      </c>
      <c r="J281" s="3">
        <f>IFERROR(LET(mtype,XLOOKUP($D281,'Move Editor'!$B:$B,'Move Editor'!$C:$C,""),cat,XLOOKUP($D281,'Move Editor'!$B:$B,'Move Editor'!$D:$D,""),pow,XLOOKUP($D281,'Move Editor'!$B:$B,'Move Editor'!$E:$E,0),acc,XLOOKUP($D281,'Move Editor'!$B:$B,'Move Editor'!$F:$F,100),atk,IF(cat="Physical",FLOOR((FLOOR(((2*XLOOKUP(XLOOKUP($Q281,'Threshold Summary'!$Y:$Y,'Threshold Summary'!$K:$K,""),'Pokemon Editor'!$A:$A,'Pokemon Editor'!$F:$F,0)+31+FLOOR(XLOOKUP($Q281,'Threshold Summary'!$Y:$Y,'Threshold Summary'!$P:$P,"")/4))*XLOOKUP($Q281,'Threshold Summary'!$Y:$Y,'Threshold Summary'!$L:$L,""))/100)+5)*XLOOKUP(XLOOKUP($Q281,'Threshold Summary'!$Y:$Y,'Threshold Summary'!$M:$M,""),'Nature Editor'!$A:$A,'Nature Editor'!$B:$B,1)),FLOOR((FLOOR(((2*XLOOKUP(XLOOKUP($Q281,'Threshold Summary'!$Y:$Y,'Threshold Summary'!$K:$K,""),'Pokemon Editor'!$A:$A,'Pokemon Editor'!$H:$H,0)+31+FLOOR(XLOOKUP($Q281,'Threshold Summary'!$Y:$Y,'Threshold Summary'!$R:$R,"")/4))*XLOOKUP($Q281,'Threshold Summary'!$Y:$Y,'Threshold Summary'!$L:$L,""))/100)+5)*XLOOKUP(XLOOKUP($Q281,'Threshold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Editor'!$E:$E,1))),stab,IF(OR(mtype=XLOOKUP(XLOOKUP($Q281,'Threshold Summary'!$Y:$Y,'Threshold Summary'!$K:$K,""),'Pokemon Editor'!$A:$A,'Pokemon Editor'!$C:$C,""),mtype=XLOOKUP(XLOOKUP($Q281,'Threshold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Chart'!$B$1:$S$1,0)))),base,IF(OR(cat="Status",pow=0),0,FLOOR(FLOOR(FLOOR((2*XLOOKUP($Q281,'Threshold Summary'!$Y:$Y,'Threshold Summary'!$L:$L,"")/5+2)*pow*atk/def)/50)+2)),modifier,stab*eff,FLOOR(base*modifier*0.85)),0)</f>
        <v/>
      </c>
      <c r="K281" s="3">
        <f>IFERROR(LET(mtype,XLOOKUP($D281,'Move Editor'!$B:$B,'Move Editor'!$C:$C,""),cat,XLOOKUP($D281,'Move Editor'!$B:$B,'Move Editor'!$D:$D,""),pow,XLOOKUP($D281,'Move Editor'!$B:$B,'Move Editor'!$E:$E,0),acc,XLOOKUP($D281,'Move Editor'!$B:$B,'Move Editor'!$F:$F,100),atk,IF(cat="Physical",FLOOR((FLOOR(((2*XLOOKUP(XLOOKUP($Q281,'Threshold Summary'!$Y:$Y,'Threshold Summary'!$K:$K,""),'Pokemon Editor'!$A:$A,'Pokemon Editor'!$F:$F,0)+31+FLOOR(XLOOKUP($Q281,'Threshold Summary'!$Y:$Y,'Threshold Summary'!$P:$P,"")/4))*XLOOKUP($Q281,'Threshold Summary'!$Y:$Y,'Threshold Summary'!$L:$L,""))/100)+5)*XLOOKUP(XLOOKUP($Q281,'Threshold Summary'!$Y:$Y,'Threshold Summary'!$M:$M,""),'Nature Editor'!$A:$A,'Nature Editor'!$B:$B,1)),FLOOR((FLOOR(((2*XLOOKUP(XLOOKUP($Q281,'Threshold Summary'!$Y:$Y,'Threshold Summary'!$K:$K,""),'Pokemon Editor'!$A:$A,'Pokemon Editor'!$H:$H,0)+31+FLOOR(XLOOKUP($Q281,'Threshold Summary'!$Y:$Y,'Threshold Summary'!$R:$R,"")/4))*XLOOKUP($Q281,'Threshold Summary'!$Y:$Y,'Threshold Summary'!$L:$L,""))/100)+5)*XLOOKUP(XLOOKUP($Q281,'Threshold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Editor'!$E:$E,1))),stab,IF(OR(mtype=XLOOKUP(XLOOKUP($Q281,'Threshold Summary'!$Y:$Y,'Threshold Summary'!$K:$K,""),'Pokemon Editor'!$A:$A,'Pokemon Editor'!$C:$C,""),mtype=XLOOKUP(XLOOKUP($Q281,'Threshold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Chart'!$B$1:$S$1,0)))),base,IF(OR(cat="Status",pow=0),0,FLOOR(FLOOR(FLOOR((2*XLOOKUP($Q281,'Threshold Summary'!$Y:$Y,'Threshold Summary'!$L:$L,"")/5+2)*pow*atk/def)/50)+2)),modifier,stab*eff,FLOOR(base*modifier)),0)</f>
        <v/>
      </c>
      <c r="L281" s="3">
        <f>IFERROR(LET(mtype,XLOOKUP($D281,'Move Editor'!$B:$B,'Move Editor'!$C:$C,""),cat,XLOOKUP($D281,'Move Editor'!$B:$B,'Move Editor'!$D:$D,""),pow,XLOOKUP($D281,'Move Editor'!$B:$B,'Move Editor'!$E:$E,0),acc,XLOOKUP($D281,'Move Editor'!$B:$B,'Move Editor'!$F:$F,100),atk,IF(cat="Physical",FLOOR((FLOOR(((2*XLOOKUP(XLOOKUP($Q281,'Threshold Summary'!$Y:$Y,'Threshold Summary'!$K:$K,""),'Pokemon Editor'!$A:$A,'Pokemon Editor'!$F:$F,0)+31+FLOOR(XLOOKUP($Q281,'Threshold Summary'!$Y:$Y,'Threshold Summary'!$P:$P,"")/4))*XLOOKUP($Q281,'Threshold Summary'!$Y:$Y,'Threshold Summary'!$L:$L,""))/100)+5)*XLOOKUP(XLOOKUP($Q281,'Threshold Summary'!$Y:$Y,'Threshold Summary'!$M:$M,""),'Nature Editor'!$A:$A,'Nature Editor'!$B:$B,1)),FLOOR((FLOOR(((2*XLOOKUP(XLOOKUP($Q281,'Threshold Summary'!$Y:$Y,'Threshold Summary'!$K:$K,""),'Pokemon Editor'!$A:$A,'Pokemon Editor'!$H:$H,0)+31+FLOOR(XLOOKUP($Q281,'Threshold Summary'!$Y:$Y,'Threshold Summary'!$R:$R,"")/4))*XLOOKUP($Q281,'Threshold Summary'!$Y:$Y,'Threshold Summary'!$L:$L,""))/100)+5)*XLOOKUP(XLOOKUP($Q281,'Threshold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Editor'!$E:$E,1))),stab,IF(OR(mtype=XLOOKUP(XLOOKUP($Q281,'Threshold Summary'!$Y:$Y,'Threshold Summary'!$K:$K,""),'Pokemon Editor'!$A:$A,'Pokemon Editor'!$C:$C,""),mtype=XLOOKUP(XLOOKUP($Q281,'Threshold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Chart'!$B$1:$S$1,0)))),base,IF(OR(cat="Status",pow=0),0,FLOOR(FLOOR(FLOOR((2*XLOOKUP($Q281,'Threshold Summary'!$Y:$Y,'Threshold Summary'!$L:$L,"")/5+2)*pow*atk/def)/50)+2)),modifier,stab*eff,AVERAGE(ARRAYFORMULA(FLOOR(base*modifier*SEQUENCE(16,1,85,1)/100)))),0)</f>
        <v/>
      </c>
      <c r="M281" s="3">
        <f>IFERROR(LET(mtype,XLOOKUP($D281,'Move Editor'!$B:$B,'Move Editor'!$C:$C,""),cat,XLOOKUP($D281,'Move Editor'!$B:$B,'Move Editor'!$D:$D,""),pow,XLOOKUP($D281,'Move Editor'!$B:$B,'Move Editor'!$E:$E,0),acc,XLOOKUP($D281,'Move Editor'!$B:$B,'Move Editor'!$F:$F,100),atk,IF(cat="Physical",FLOOR((FLOOR(((2*XLOOKUP(XLOOKUP($Q281,'Threshold Summary'!$Y:$Y,'Threshold Summary'!$K:$K,""),'Pokemon Editor'!$A:$A,'Pokemon Editor'!$F:$F,0)+31+FLOOR(XLOOKUP($Q281,'Threshold Summary'!$Y:$Y,'Threshold Summary'!$P:$P,"")/4))*XLOOKUP($Q281,'Threshold Summary'!$Y:$Y,'Threshold Summary'!$L:$L,""))/100)+5)*XLOOKUP(XLOOKUP($Q281,'Threshold Summary'!$Y:$Y,'Threshold Summary'!$M:$M,""),'Nature Editor'!$A:$A,'Nature Editor'!$B:$B,1)),FLOOR((FLOOR(((2*XLOOKUP(XLOOKUP($Q281,'Threshold Summary'!$Y:$Y,'Threshold Summary'!$K:$K,""),'Pokemon Editor'!$A:$A,'Pokemon Editor'!$H:$H,0)+31+FLOOR(XLOOKUP($Q281,'Threshold Summary'!$Y:$Y,'Threshold Summary'!$R:$R,"")/4))*XLOOKUP($Q281,'Threshold Summary'!$Y:$Y,'Threshold Summary'!$L:$L,""))/100)+5)*XLOOKUP(XLOOKUP($Q281,'Threshold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Editor'!$E:$E,1))),stab,IF(OR(mtype=XLOOKUP(XLOOKUP($Q281,'Threshold Summary'!$Y:$Y,'Threshold Summary'!$K:$K,""),'Pokemon Editor'!$A:$A,'Pokemon Editor'!$C:$C,""),mtype=XLOOKUP(XLOOKUP($Q281,'Threshold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Chart'!$B$1:$S$1,0)))),base,IF(OR(cat="Status",pow=0),0,FLOOR(FLOOR(FLOOR((2*XLOOKUP($Q281,'Threshold Summary'!$Y:$Y,'Threshold Summary'!$L:$L,"")/5+2)*pow*atk/def)/50)+2)),modifier,stab*eff,AVERAGE(ARRAYFORMULA(FLOOR(base*modifier*SEQUENCE(16,1,85,1)/100)))*MIN(1,acc/100)),0)</f>
        <v/>
      </c>
      <c r="N281" s="4">
        <f>IFERROR(LET(mtype,XLOOKUP($D281,'Move Editor'!$B:$B,'Move Editor'!$C:$C,""),cat,XLOOKUP($D281,'Move Editor'!$B:$B,'Move Editor'!$D:$D,""),pow,XLOOKUP($D281,'Move Editor'!$B:$B,'Move Editor'!$E:$E,0),acc,XLOOKUP($D281,'Move Editor'!$B:$B,'Move Editor'!$F:$F,100),atk,IF(cat="Physical",FLOOR((FLOOR(((2*XLOOKUP(XLOOKUP($Q281,'Threshold Summary'!$Y:$Y,'Threshold Summary'!$K:$K,""),'Pokemon Editor'!$A:$A,'Pokemon Editor'!$F:$F,0)+31+FLOOR(XLOOKUP($Q281,'Threshold Summary'!$Y:$Y,'Threshold Summary'!$P:$P,"")/4))*XLOOKUP($Q281,'Threshold Summary'!$Y:$Y,'Threshold Summary'!$L:$L,""))/100)+5)*XLOOKUP(XLOOKUP($Q281,'Threshold Summary'!$Y:$Y,'Threshold Summary'!$M:$M,""),'Nature Editor'!$A:$A,'Nature Editor'!$B:$B,1)),FLOOR((FLOOR(((2*XLOOKUP(XLOOKUP($Q281,'Threshold Summary'!$Y:$Y,'Threshold Summary'!$K:$K,""),'Pokemon Editor'!$A:$A,'Pokemon Editor'!$H:$H,0)+31+FLOOR(XLOOKUP($Q281,'Threshold Summary'!$Y:$Y,'Threshold Summary'!$R:$R,"")/4))*XLOOKUP($Q281,'Threshold Summary'!$Y:$Y,'Threshold Summary'!$L:$L,""))/100)+5)*XLOOKUP(XLOOKUP($Q281,'Threshold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Editor'!$E:$E,1))),stab,IF(OR(mtype=XLOOKUP(XLOOKUP($Q281,'Threshold Summary'!$Y:$Y,'Threshold Summary'!$K:$K,""),'Pokemon Editor'!$A:$A,'Pokemon Editor'!$C:$C,""),mtype=XLOOKUP(XLOOKUP($Q281,'Threshold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Chart'!$B$1:$S$1,0)))),base,IF(OR(cat="Status",pow=0),0,FLOOR(FLOOR(FLOOR((2*XLOOKUP($Q281,'Threshold Summary'!$Y:$Y,'Threshold Summary'!$L:$L,"")/5+2)*pow*atk/def)/50)+2)),modifier,stab*eff,AVERAGE(ARRAYFORMULA(FLOOR(base*modifier*SEQUENCE(16,1,85,1)/100)))/(FLOOR(((2*XLOOKUP('Boss Editor'!$C$4,'Pokemon Editor'!$A:$A,'Pokemon Editor'!$E:$E,0)+31+FLOOR('Boss Editor'!$G$4/4))*'Boss Editor'!$D$4)/100)+'Boss Editor'!$D$4+10)),0)</f>
        <v/>
      </c>
      <c r="O281" s="3">
        <f>IF(N281&gt;=1,"OHKO",IF(N281&gt;=0.5,"2HKO",IF(N281&gt;=0.333,"3HKO",IF(N281&gt;=0.25,"4HKO","5HKO+"))))</f>
        <v/>
      </c>
      <c r="P281" s="3" t="inlineStr">
        <is>
          <t>Live from editable databases</t>
        </is>
      </c>
      <c r="Q281" s="3" t="inlineStr">
        <is>
          <t>SPECIES_BUDEW</t>
        </is>
      </c>
      <c r="R281" s="3" t="n">
        <v>24</v>
      </c>
    </row>
    <row r="282">
      <c r="A282" s="3">
        <f>XLOOKUP($Q282,'Threshold Summary'!$Y:$Y,'Threshold Summary'!$A:$A,"")</f>
        <v/>
      </c>
      <c r="B282" s="3">
        <f>XLOOKUP($Q282,'Threshold Summary'!$Y:$Y,'Threshold Summary'!$M:$M,"")</f>
        <v/>
      </c>
      <c r="C282" s="3">
        <f>XLOOKUP($Q282,'Threshold Summary'!$Y:$Y,'Threshold Summary'!$N:$N,"")</f>
        <v/>
      </c>
      <c r="D282" s="3">
        <f>IFERROR(INDEX(FILTER('Learnset Editor'!$D$2:$D,'Learnset Editor'!$A$2:$A=XLOOKUP($Q282,'Threshold Summary'!$Y:$Y,'Threshold Summary'!$K:$K,""),'Learnset Editor'!$C$2:$C&lt;=XLOOKUP($Q282,'Threshold Summary'!$Y:$Y,'Threshold Summary'!$L:$L,"")),$R282),"")</f>
        <v/>
      </c>
      <c r="E282" s="3">
        <f>XLOOKUP(D282,'Move Editor'!$B:$B,'Move Editor'!$C:$C,"")</f>
        <v/>
      </c>
      <c r="F282" s="3">
        <f>XLOOKUP(D282,'Move Editor'!$B:$B,'Move Editor'!$D:$D,"")</f>
        <v/>
      </c>
      <c r="G282" s="3">
        <f>XLOOKUP(D282,'Move Editor'!$B:$B,'Move Editor'!$E:$E,0)</f>
        <v/>
      </c>
      <c r="H282" s="3">
        <f>XLOOKUP(D282,'Move Editor'!$B:$B,'Move Editor'!$F:$F,0)</f>
        <v/>
      </c>
      <c r="I282" s="3">
        <f>(INDEX('Type Chart'!$B:$S,MATCH(E282,'Type Chart'!$A:$A,0),MATCH(XLOOKUP('Boss Editor'!$C$4,'Pokemon Editor'!$A:$A,'Pokemon Editor'!$C:$C,""),'Type Chart'!$B$1:$S$1,0))*IF(XLOOKUP('Boss Editor'!$C$4,'Pokemon Editor'!$A:$A,'Pokemon Editor'!$D:$D,"")="",1,INDEX('Type Chart'!$B:$S,MATCH(E282,'Type Chart'!$A:$A,0),MATCH(XLOOKUP('Boss Editor'!$C$4,'Pokemon Editor'!$A:$A,'Pokemon Editor'!$D:$D,""),'Type Chart'!$B$1:$S$1,0))))</f>
        <v/>
      </c>
      <c r="J282" s="3">
        <f>IFERROR(LET(mtype,XLOOKUP($D282,'Move Editor'!$B:$B,'Move Editor'!$C:$C,""),cat,XLOOKUP($D282,'Move Editor'!$B:$B,'Move Editor'!$D:$D,""),pow,XLOOKUP($D282,'Move Editor'!$B:$B,'Move Editor'!$E:$E,0),acc,XLOOKUP($D282,'Move Editor'!$B:$B,'Move Editor'!$F:$F,100),atk,IF(cat="Physical",FLOOR((FLOOR(((2*XLOOKUP(XLOOKUP($Q282,'Threshold Summary'!$Y:$Y,'Threshold Summary'!$K:$K,""),'Pokemon Editor'!$A:$A,'Pokemon Editor'!$F:$F,0)+31+FLOOR(XLOOKUP($Q282,'Threshold Summary'!$Y:$Y,'Threshold Summary'!$P:$P,"")/4))*XLOOKUP($Q282,'Threshold Summary'!$Y:$Y,'Threshold Summary'!$L:$L,""))/100)+5)*XLOOKUP(XLOOKUP($Q282,'Threshold Summary'!$Y:$Y,'Threshold Summary'!$M:$M,""),'Nature Editor'!$A:$A,'Nature Editor'!$B:$B,1)),FLOOR((FLOOR(((2*XLOOKUP(XLOOKUP($Q282,'Threshold Summary'!$Y:$Y,'Threshold Summary'!$K:$K,""),'Pokemon Editor'!$A:$A,'Pokemon Editor'!$H:$H,0)+31+FLOOR(XLOOKUP($Q282,'Threshold Summary'!$Y:$Y,'Threshold Summary'!$R:$R,"")/4))*XLOOKUP($Q282,'Threshold Summary'!$Y:$Y,'Threshold Summary'!$L:$L,""))/100)+5)*XLOOKUP(XLOOKUP($Q282,'Threshold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Editor'!$E:$E,1))),stab,IF(OR(mtype=XLOOKUP(XLOOKUP($Q282,'Threshold Summary'!$Y:$Y,'Threshold Summary'!$K:$K,""),'Pokemon Editor'!$A:$A,'Pokemon Editor'!$C:$C,""),mtype=XLOOKUP(XLOOKUP($Q282,'Threshold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Chart'!$B$1:$S$1,0)))),base,IF(OR(cat="Status",pow=0),0,FLOOR(FLOOR(FLOOR((2*XLOOKUP($Q282,'Threshold Summary'!$Y:$Y,'Threshold Summary'!$L:$L,"")/5+2)*pow*atk/def)/50)+2)),modifier,stab*eff,FLOOR(base*modifier*0.85)),0)</f>
        <v/>
      </c>
      <c r="K282" s="3">
        <f>IFERROR(LET(mtype,XLOOKUP($D282,'Move Editor'!$B:$B,'Move Editor'!$C:$C,""),cat,XLOOKUP($D282,'Move Editor'!$B:$B,'Move Editor'!$D:$D,""),pow,XLOOKUP($D282,'Move Editor'!$B:$B,'Move Editor'!$E:$E,0),acc,XLOOKUP($D282,'Move Editor'!$B:$B,'Move Editor'!$F:$F,100),atk,IF(cat="Physical",FLOOR((FLOOR(((2*XLOOKUP(XLOOKUP($Q282,'Threshold Summary'!$Y:$Y,'Threshold Summary'!$K:$K,""),'Pokemon Editor'!$A:$A,'Pokemon Editor'!$F:$F,0)+31+FLOOR(XLOOKUP($Q282,'Threshold Summary'!$Y:$Y,'Threshold Summary'!$P:$P,"")/4))*XLOOKUP($Q282,'Threshold Summary'!$Y:$Y,'Threshold Summary'!$L:$L,""))/100)+5)*XLOOKUP(XLOOKUP($Q282,'Threshold Summary'!$Y:$Y,'Threshold Summary'!$M:$M,""),'Nature Editor'!$A:$A,'Nature Editor'!$B:$B,1)),FLOOR((FLOOR(((2*XLOOKUP(XLOOKUP($Q282,'Threshold Summary'!$Y:$Y,'Threshold Summary'!$K:$K,""),'Pokemon Editor'!$A:$A,'Pokemon Editor'!$H:$H,0)+31+FLOOR(XLOOKUP($Q282,'Threshold Summary'!$Y:$Y,'Threshold Summary'!$R:$R,"")/4))*XLOOKUP($Q282,'Threshold Summary'!$Y:$Y,'Threshold Summary'!$L:$L,""))/100)+5)*XLOOKUP(XLOOKUP($Q282,'Threshold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Editor'!$E:$E,1))),stab,IF(OR(mtype=XLOOKUP(XLOOKUP($Q282,'Threshold Summary'!$Y:$Y,'Threshold Summary'!$K:$K,""),'Pokemon Editor'!$A:$A,'Pokemon Editor'!$C:$C,""),mtype=XLOOKUP(XLOOKUP($Q282,'Threshold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Chart'!$B$1:$S$1,0)))),base,IF(OR(cat="Status",pow=0),0,FLOOR(FLOOR(FLOOR((2*XLOOKUP($Q282,'Threshold Summary'!$Y:$Y,'Threshold Summary'!$L:$L,"")/5+2)*pow*atk/def)/50)+2)),modifier,stab*eff,FLOOR(base*modifier)),0)</f>
        <v/>
      </c>
      <c r="L282" s="3">
        <f>IFERROR(LET(mtype,XLOOKUP($D282,'Move Editor'!$B:$B,'Move Editor'!$C:$C,""),cat,XLOOKUP($D282,'Move Editor'!$B:$B,'Move Editor'!$D:$D,""),pow,XLOOKUP($D282,'Move Editor'!$B:$B,'Move Editor'!$E:$E,0),acc,XLOOKUP($D282,'Move Editor'!$B:$B,'Move Editor'!$F:$F,100),atk,IF(cat="Physical",FLOOR((FLOOR(((2*XLOOKUP(XLOOKUP($Q282,'Threshold Summary'!$Y:$Y,'Threshold Summary'!$K:$K,""),'Pokemon Editor'!$A:$A,'Pokemon Editor'!$F:$F,0)+31+FLOOR(XLOOKUP($Q282,'Threshold Summary'!$Y:$Y,'Threshold Summary'!$P:$P,"")/4))*XLOOKUP($Q282,'Threshold Summary'!$Y:$Y,'Threshold Summary'!$L:$L,""))/100)+5)*XLOOKUP(XLOOKUP($Q282,'Threshold Summary'!$Y:$Y,'Threshold Summary'!$M:$M,""),'Nature Editor'!$A:$A,'Nature Editor'!$B:$B,1)),FLOOR((FLOOR(((2*XLOOKUP(XLOOKUP($Q282,'Threshold Summary'!$Y:$Y,'Threshold Summary'!$K:$K,""),'Pokemon Editor'!$A:$A,'Pokemon Editor'!$H:$H,0)+31+FLOOR(XLOOKUP($Q282,'Threshold Summary'!$Y:$Y,'Threshold Summary'!$R:$R,"")/4))*XLOOKUP($Q282,'Threshold Summary'!$Y:$Y,'Threshold Summary'!$L:$L,""))/100)+5)*XLOOKUP(XLOOKUP($Q282,'Threshold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Editor'!$E:$E,1))),stab,IF(OR(mtype=XLOOKUP(XLOOKUP($Q282,'Threshold Summary'!$Y:$Y,'Threshold Summary'!$K:$K,""),'Pokemon Editor'!$A:$A,'Pokemon Editor'!$C:$C,""),mtype=XLOOKUP(XLOOKUP($Q282,'Threshold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Chart'!$B$1:$S$1,0)))),base,IF(OR(cat="Status",pow=0),0,FLOOR(FLOOR(FLOOR((2*XLOOKUP($Q282,'Threshold Summary'!$Y:$Y,'Threshold Summary'!$L:$L,"")/5+2)*pow*atk/def)/50)+2)),modifier,stab*eff,AVERAGE(ARRAYFORMULA(FLOOR(base*modifier*SEQUENCE(16,1,85,1)/100)))),0)</f>
        <v/>
      </c>
      <c r="M282" s="3">
        <f>IFERROR(LET(mtype,XLOOKUP($D282,'Move Editor'!$B:$B,'Move Editor'!$C:$C,""),cat,XLOOKUP($D282,'Move Editor'!$B:$B,'Move Editor'!$D:$D,""),pow,XLOOKUP($D282,'Move Editor'!$B:$B,'Move Editor'!$E:$E,0),acc,XLOOKUP($D282,'Move Editor'!$B:$B,'Move Editor'!$F:$F,100),atk,IF(cat="Physical",FLOOR((FLOOR(((2*XLOOKUP(XLOOKUP($Q282,'Threshold Summary'!$Y:$Y,'Threshold Summary'!$K:$K,""),'Pokemon Editor'!$A:$A,'Pokemon Editor'!$F:$F,0)+31+FLOOR(XLOOKUP($Q282,'Threshold Summary'!$Y:$Y,'Threshold Summary'!$P:$P,"")/4))*XLOOKUP($Q282,'Threshold Summary'!$Y:$Y,'Threshold Summary'!$L:$L,""))/100)+5)*XLOOKUP(XLOOKUP($Q282,'Threshold Summary'!$Y:$Y,'Threshold Summary'!$M:$M,""),'Nature Editor'!$A:$A,'Nature Editor'!$B:$B,1)),FLOOR((FLOOR(((2*XLOOKUP(XLOOKUP($Q282,'Threshold Summary'!$Y:$Y,'Threshold Summary'!$K:$K,""),'Pokemon Editor'!$A:$A,'Pokemon Editor'!$H:$H,0)+31+FLOOR(XLOOKUP($Q282,'Threshold Summary'!$Y:$Y,'Threshold Summary'!$R:$R,"")/4))*XLOOKUP($Q282,'Threshold Summary'!$Y:$Y,'Threshold Summary'!$L:$L,""))/100)+5)*XLOOKUP(XLOOKUP($Q282,'Threshold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Editor'!$E:$E,1))),stab,IF(OR(mtype=XLOOKUP(XLOOKUP($Q282,'Threshold Summary'!$Y:$Y,'Threshold Summary'!$K:$K,""),'Pokemon Editor'!$A:$A,'Pokemon Editor'!$C:$C,""),mtype=XLOOKUP(XLOOKUP($Q282,'Threshold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Chart'!$B$1:$S$1,0)))),base,IF(OR(cat="Status",pow=0),0,FLOOR(FLOOR(FLOOR((2*XLOOKUP($Q282,'Threshold Summary'!$Y:$Y,'Threshold Summary'!$L:$L,"")/5+2)*pow*atk/def)/50)+2)),modifier,stab*eff,AVERAGE(ARRAYFORMULA(FLOOR(base*modifier*SEQUENCE(16,1,85,1)/100)))*MIN(1,acc/100)),0)</f>
        <v/>
      </c>
      <c r="N282" s="4">
        <f>IFERROR(LET(mtype,XLOOKUP($D282,'Move Editor'!$B:$B,'Move Editor'!$C:$C,""),cat,XLOOKUP($D282,'Move Editor'!$B:$B,'Move Editor'!$D:$D,""),pow,XLOOKUP($D282,'Move Editor'!$B:$B,'Move Editor'!$E:$E,0),acc,XLOOKUP($D282,'Move Editor'!$B:$B,'Move Editor'!$F:$F,100),atk,IF(cat="Physical",FLOOR((FLOOR(((2*XLOOKUP(XLOOKUP($Q282,'Threshold Summary'!$Y:$Y,'Threshold Summary'!$K:$K,""),'Pokemon Editor'!$A:$A,'Pokemon Editor'!$F:$F,0)+31+FLOOR(XLOOKUP($Q282,'Threshold Summary'!$Y:$Y,'Threshold Summary'!$P:$P,"")/4))*XLOOKUP($Q282,'Threshold Summary'!$Y:$Y,'Threshold Summary'!$L:$L,""))/100)+5)*XLOOKUP(XLOOKUP($Q282,'Threshold Summary'!$Y:$Y,'Threshold Summary'!$M:$M,""),'Nature Editor'!$A:$A,'Nature Editor'!$B:$B,1)),FLOOR((FLOOR(((2*XLOOKUP(XLOOKUP($Q282,'Threshold Summary'!$Y:$Y,'Threshold Summary'!$K:$K,""),'Pokemon Editor'!$A:$A,'Pokemon Editor'!$H:$H,0)+31+FLOOR(XLOOKUP($Q282,'Threshold Summary'!$Y:$Y,'Threshold Summary'!$R:$R,"")/4))*XLOOKUP($Q282,'Threshold Summary'!$Y:$Y,'Threshold Summary'!$L:$L,""))/100)+5)*XLOOKUP(XLOOKUP($Q282,'Threshold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Editor'!$E:$E,1))),stab,IF(OR(mtype=XLOOKUP(XLOOKUP($Q282,'Threshold Summary'!$Y:$Y,'Threshold Summary'!$K:$K,""),'Pokemon Editor'!$A:$A,'Pokemon Editor'!$C:$C,""),mtype=XLOOKUP(XLOOKUP($Q282,'Threshold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Chart'!$B$1:$S$1,0)))),base,IF(OR(cat="Status",pow=0),0,FLOOR(FLOOR(FLOOR((2*XLOOKUP($Q282,'Threshold Summary'!$Y:$Y,'Threshold Summary'!$L:$L,"")/5+2)*pow*atk/def)/50)+2)),modifier,stab*eff,AVERAGE(ARRAYFORMULA(FLOOR(base*modifier*SEQUENCE(16,1,85,1)/100)))/(FLOOR(((2*XLOOKUP('Boss Editor'!$C$4,'Pokemon Editor'!$A:$A,'Pokemon Editor'!$E:$E,0)+31+FLOOR('Boss Editor'!$G$4/4))*'Boss Editor'!$D$4)/100)+'Boss Editor'!$D$4+10)),0)</f>
        <v/>
      </c>
      <c r="O282" s="3">
        <f>IF(N282&gt;=1,"OHKO",IF(N282&gt;=0.5,"2HKO",IF(N282&gt;=0.333,"3HKO",IF(N282&gt;=0.25,"4HKO","5HKO+"))))</f>
        <v/>
      </c>
      <c r="P282" s="3" t="inlineStr">
        <is>
          <t>Live from editable databases</t>
        </is>
      </c>
      <c r="Q282" s="3" t="inlineStr">
        <is>
          <t>SPECIES_BUDEW</t>
        </is>
      </c>
      <c r="R282" s="3" t="n">
        <v>25</v>
      </c>
    </row>
    <row r="283">
      <c r="A283" s="3">
        <f>XLOOKUP($Q283,'Threshold Summary'!$Y:$Y,'Threshold Summary'!$A:$A,"")</f>
        <v/>
      </c>
      <c r="B283" s="3">
        <f>XLOOKUP($Q283,'Threshold Summary'!$Y:$Y,'Threshold Summary'!$M:$M,"")</f>
        <v/>
      </c>
      <c r="C283" s="3">
        <f>XLOOKUP($Q283,'Threshold Summary'!$Y:$Y,'Threshold Summary'!$N:$N,"")</f>
        <v/>
      </c>
      <c r="D283" s="3">
        <f>IFERROR(INDEX(FILTER('Learnset Editor'!$D$2:$D,'Learnset Editor'!$A$2:$A=XLOOKUP($Q283,'Threshold Summary'!$Y:$Y,'Threshold Summary'!$K:$K,""),'Learnset Editor'!$C$2:$C&lt;=XLOOKUP($Q283,'Threshold Summary'!$Y:$Y,'Threshold Summary'!$L:$L,"")),$R283),"")</f>
        <v/>
      </c>
      <c r="E283" s="3">
        <f>XLOOKUP(D283,'Move Editor'!$B:$B,'Move Editor'!$C:$C,"")</f>
        <v/>
      </c>
      <c r="F283" s="3">
        <f>XLOOKUP(D283,'Move Editor'!$B:$B,'Move Editor'!$D:$D,"")</f>
        <v/>
      </c>
      <c r="G283" s="3">
        <f>XLOOKUP(D283,'Move Editor'!$B:$B,'Move Editor'!$E:$E,0)</f>
        <v/>
      </c>
      <c r="H283" s="3">
        <f>XLOOKUP(D283,'Move Editor'!$B:$B,'Move Editor'!$F:$F,0)</f>
        <v/>
      </c>
      <c r="I283" s="3">
        <f>(INDEX('Type Chart'!$B:$S,MATCH(E283,'Type Chart'!$A:$A,0),MATCH(XLOOKUP('Boss Editor'!$C$4,'Pokemon Editor'!$A:$A,'Pokemon Editor'!$C:$C,""),'Type Chart'!$B$1:$S$1,0))*IF(XLOOKUP('Boss Editor'!$C$4,'Pokemon Editor'!$A:$A,'Pokemon Editor'!$D:$D,"")="",1,INDEX('Type Chart'!$B:$S,MATCH(E283,'Type Chart'!$A:$A,0),MATCH(XLOOKUP('Boss Editor'!$C$4,'Pokemon Editor'!$A:$A,'Pokemon Editor'!$D:$D,""),'Type Chart'!$B$1:$S$1,0))))</f>
        <v/>
      </c>
      <c r="J283" s="3">
        <f>IFERROR(LET(mtype,XLOOKUP($D283,'Move Editor'!$B:$B,'Move Editor'!$C:$C,""),cat,XLOOKUP($D283,'Move Editor'!$B:$B,'Move Editor'!$D:$D,""),pow,XLOOKUP($D283,'Move Editor'!$B:$B,'Move Editor'!$E:$E,0),acc,XLOOKUP($D283,'Move Editor'!$B:$B,'Move Editor'!$F:$F,100),atk,IF(cat="Physical",FLOOR((FLOOR(((2*XLOOKUP(XLOOKUP($Q283,'Threshold Summary'!$Y:$Y,'Threshold Summary'!$K:$K,""),'Pokemon Editor'!$A:$A,'Pokemon Editor'!$F:$F,0)+31+FLOOR(XLOOKUP($Q283,'Threshold Summary'!$Y:$Y,'Threshold Summary'!$P:$P,"")/4))*XLOOKUP($Q283,'Threshold Summary'!$Y:$Y,'Threshold Summary'!$L:$L,""))/100)+5)*XLOOKUP(XLOOKUP($Q283,'Threshold Summary'!$Y:$Y,'Threshold Summary'!$M:$M,""),'Nature Editor'!$A:$A,'Nature Editor'!$B:$B,1)),FLOOR((FLOOR(((2*XLOOKUP(XLOOKUP($Q283,'Threshold Summary'!$Y:$Y,'Threshold Summary'!$K:$K,""),'Pokemon Editor'!$A:$A,'Pokemon Editor'!$H:$H,0)+31+FLOOR(XLOOKUP($Q283,'Threshold Summary'!$Y:$Y,'Threshold Summary'!$R:$R,"")/4))*XLOOKUP($Q283,'Threshold Summary'!$Y:$Y,'Threshold Summary'!$L:$L,""))/100)+5)*XLOOKUP(XLOOKUP($Q283,'Threshold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Editor'!$E:$E,1))),stab,IF(OR(mtype=XLOOKUP(XLOOKUP($Q283,'Threshold Summary'!$Y:$Y,'Threshold Summary'!$K:$K,""),'Pokemon Editor'!$A:$A,'Pokemon Editor'!$C:$C,""),mtype=XLOOKUP(XLOOKUP($Q283,'Threshold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Chart'!$B$1:$S$1,0)))),base,IF(OR(cat="Status",pow=0),0,FLOOR(FLOOR(FLOOR((2*XLOOKUP($Q283,'Threshold Summary'!$Y:$Y,'Threshold Summary'!$L:$L,"")/5+2)*pow*atk/def)/50)+2)),modifier,stab*eff,FLOOR(base*modifier*0.85)),0)</f>
        <v/>
      </c>
      <c r="K283" s="3">
        <f>IFERROR(LET(mtype,XLOOKUP($D283,'Move Editor'!$B:$B,'Move Editor'!$C:$C,""),cat,XLOOKUP($D283,'Move Editor'!$B:$B,'Move Editor'!$D:$D,""),pow,XLOOKUP($D283,'Move Editor'!$B:$B,'Move Editor'!$E:$E,0),acc,XLOOKUP($D283,'Move Editor'!$B:$B,'Move Editor'!$F:$F,100),atk,IF(cat="Physical",FLOOR((FLOOR(((2*XLOOKUP(XLOOKUP($Q283,'Threshold Summary'!$Y:$Y,'Threshold Summary'!$K:$K,""),'Pokemon Editor'!$A:$A,'Pokemon Editor'!$F:$F,0)+31+FLOOR(XLOOKUP($Q283,'Threshold Summary'!$Y:$Y,'Threshold Summary'!$P:$P,"")/4))*XLOOKUP($Q283,'Threshold Summary'!$Y:$Y,'Threshold Summary'!$L:$L,""))/100)+5)*XLOOKUP(XLOOKUP($Q283,'Threshold Summary'!$Y:$Y,'Threshold Summary'!$M:$M,""),'Nature Editor'!$A:$A,'Nature Editor'!$B:$B,1)),FLOOR((FLOOR(((2*XLOOKUP(XLOOKUP($Q283,'Threshold Summary'!$Y:$Y,'Threshold Summary'!$K:$K,""),'Pokemon Editor'!$A:$A,'Pokemon Editor'!$H:$H,0)+31+FLOOR(XLOOKUP($Q283,'Threshold Summary'!$Y:$Y,'Threshold Summary'!$R:$R,"")/4))*XLOOKUP($Q283,'Threshold Summary'!$Y:$Y,'Threshold Summary'!$L:$L,""))/100)+5)*XLOOKUP(XLOOKUP($Q283,'Threshold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Editor'!$E:$E,1))),stab,IF(OR(mtype=XLOOKUP(XLOOKUP($Q283,'Threshold Summary'!$Y:$Y,'Threshold Summary'!$K:$K,""),'Pokemon Editor'!$A:$A,'Pokemon Editor'!$C:$C,""),mtype=XLOOKUP(XLOOKUP($Q283,'Threshold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Chart'!$B$1:$S$1,0)))),base,IF(OR(cat="Status",pow=0),0,FLOOR(FLOOR(FLOOR((2*XLOOKUP($Q283,'Threshold Summary'!$Y:$Y,'Threshold Summary'!$L:$L,"")/5+2)*pow*atk/def)/50)+2)),modifier,stab*eff,FLOOR(base*modifier)),0)</f>
        <v/>
      </c>
      <c r="L283" s="3">
        <f>IFERROR(LET(mtype,XLOOKUP($D283,'Move Editor'!$B:$B,'Move Editor'!$C:$C,""),cat,XLOOKUP($D283,'Move Editor'!$B:$B,'Move Editor'!$D:$D,""),pow,XLOOKUP($D283,'Move Editor'!$B:$B,'Move Editor'!$E:$E,0),acc,XLOOKUP($D283,'Move Editor'!$B:$B,'Move Editor'!$F:$F,100),atk,IF(cat="Physical",FLOOR((FLOOR(((2*XLOOKUP(XLOOKUP($Q283,'Threshold Summary'!$Y:$Y,'Threshold Summary'!$K:$K,""),'Pokemon Editor'!$A:$A,'Pokemon Editor'!$F:$F,0)+31+FLOOR(XLOOKUP($Q283,'Threshold Summary'!$Y:$Y,'Threshold Summary'!$P:$P,"")/4))*XLOOKUP($Q283,'Threshold Summary'!$Y:$Y,'Threshold Summary'!$L:$L,""))/100)+5)*XLOOKUP(XLOOKUP($Q283,'Threshold Summary'!$Y:$Y,'Threshold Summary'!$M:$M,""),'Nature Editor'!$A:$A,'Nature Editor'!$B:$B,1)),FLOOR((FLOOR(((2*XLOOKUP(XLOOKUP($Q283,'Threshold Summary'!$Y:$Y,'Threshold Summary'!$K:$K,""),'Pokemon Editor'!$A:$A,'Pokemon Editor'!$H:$H,0)+31+FLOOR(XLOOKUP($Q283,'Threshold Summary'!$Y:$Y,'Threshold Summary'!$R:$R,"")/4))*XLOOKUP($Q283,'Threshold Summary'!$Y:$Y,'Threshold Summary'!$L:$L,""))/100)+5)*XLOOKUP(XLOOKUP($Q283,'Threshold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Editor'!$E:$E,1))),stab,IF(OR(mtype=XLOOKUP(XLOOKUP($Q283,'Threshold Summary'!$Y:$Y,'Threshold Summary'!$K:$K,""),'Pokemon Editor'!$A:$A,'Pokemon Editor'!$C:$C,""),mtype=XLOOKUP(XLOOKUP($Q283,'Threshold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Chart'!$B$1:$S$1,0)))),base,IF(OR(cat="Status",pow=0),0,FLOOR(FLOOR(FLOOR((2*XLOOKUP($Q283,'Threshold Summary'!$Y:$Y,'Threshold Summary'!$L:$L,"")/5+2)*pow*atk/def)/50)+2)),modifier,stab*eff,AVERAGE(ARRAYFORMULA(FLOOR(base*modifier*SEQUENCE(16,1,85,1)/100)))),0)</f>
        <v/>
      </c>
      <c r="M283" s="3">
        <f>IFERROR(LET(mtype,XLOOKUP($D283,'Move Editor'!$B:$B,'Move Editor'!$C:$C,""),cat,XLOOKUP($D283,'Move Editor'!$B:$B,'Move Editor'!$D:$D,""),pow,XLOOKUP($D283,'Move Editor'!$B:$B,'Move Editor'!$E:$E,0),acc,XLOOKUP($D283,'Move Editor'!$B:$B,'Move Editor'!$F:$F,100),atk,IF(cat="Physical",FLOOR((FLOOR(((2*XLOOKUP(XLOOKUP($Q283,'Threshold Summary'!$Y:$Y,'Threshold Summary'!$K:$K,""),'Pokemon Editor'!$A:$A,'Pokemon Editor'!$F:$F,0)+31+FLOOR(XLOOKUP($Q283,'Threshold Summary'!$Y:$Y,'Threshold Summary'!$P:$P,"")/4))*XLOOKUP($Q283,'Threshold Summary'!$Y:$Y,'Threshold Summary'!$L:$L,""))/100)+5)*XLOOKUP(XLOOKUP($Q283,'Threshold Summary'!$Y:$Y,'Threshold Summary'!$M:$M,""),'Nature Editor'!$A:$A,'Nature Editor'!$B:$B,1)),FLOOR((FLOOR(((2*XLOOKUP(XLOOKUP($Q283,'Threshold Summary'!$Y:$Y,'Threshold Summary'!$K:$K,""),'Pokemon Editor'!$A:$A,'Pokemon Editor'!$H:$H,0)+31+FLOOR(XLOOKUP($Q283,'Threshold Summary'!$Y:$Y,'Threshold Summary'!$R:$R,"")/4))*XLOOKUP($Q283,'Threshold Summary'!$Y:$Y,'Threshold Summary'!$L:$L,""))/100)+5)*XLOOKUP(XLOOKUP($Q283,'Threshold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Editor'!$E:$E,1))),stab,IF(OR(mtype=XLOOKUP(XLOOKUP($Q283,'Threshold Summary'!$Y:$Y,'Threshold Summary'!$K:$K,""),'Pokemon Editor'!$A:$A,'Pokemon Editor'!$C:$C,""),mtype=XLOOKUP(XLOOKUP($Q283,'Threshold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Chart'!$B$1:$S$1,0)))),base,IF(OR(cat="Status",pow=0),0,FLOOR(FLOOR(FLOOR((2*XLOOKUP($Q283,'Threshold Summary'!$Y:$Y,'Threshold Summary'!$L:$L,"")/5+2)*pow*atk/def)/50)+2)),modifier,stab*eff,AVERAGE(ARRAYFORMULA(FLOOR(base*modifier*SEQUENCE(16,1,85,1)/100)))*MIN(1,acc/100)),0)</f>
        <v/>
      </c>
      <c r="N283" s="4">
        <f>IFERROR(LET(mtype,XLOOKUP($D283,'Move Editor'!$B:$B,'Move Editor'!$C:$C,""),cat,XLOOKUP($D283,'Move Editor'!$B:$B,'Move Editor'!$D:$D,""),pow,XLOOKUP($D283,'Move Editor'!$B:$B,'Move Editor'!$E:$E,0),acc,XLOOKUP($D283,'Move Editor'!$B:$B,'Move Editor'!$F:$F,100),atk,IF(cat="Physical",FLOOR((FLOOR(((2*XLOOKUP(XLOOKUP($Q283,'Threshold Summary'!$Y:$Y,'Threshold Summary'!$K:$K,""),'Pokemon Editor'!$A:$A,'Pokemon Editor'!$F:$F,0)+31+FLOOR(XLOOKUP($Q283,'Threshold Summary'!$Y:$Y,'Threshold Summary'!$P:$P,"")/4))*XLOOKUP($Q283,'Threshold Summary'!$Y:$Y,'Threshold Summary'!$L:$L,""))/100)+5)*XLOOKUP(XLOOKUP($Q283,'Threshold Summary'!$Y:$Y,'Threshold Summary'!$M:$M,""),'Nature Editor'!$A:$A,'Nature Editor'!$B:$B,1)),FLOOR((FLOOR(((2*XLOOKUP(XLOOKUP($Q283,'Threshold Summary'!$Y:$Y,'Threshold Summary'!$K:$K,""),'Pokemon Editor'!$A:$A,'Pokemon Editor'!$H:$H,0)+31+FLOOR(XLOOKUP($Q283,'Threshold Summary'!$Y:$Y,'Threshold Summary'!$R:$R,"")/4))*XLOOKUP($Q283,'Threshold Summary'!$Y:$Y,'Threshold Summary'!$L:$L,""))/100)+5)*XLOOKUP(XLOOKUP($Q283,'Threshold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Editor'!$E:$E,1))),stab,IF(OR(mtype=XLOOKUP(XLOOKUP($Q283,'Threshold Summary'!$Y:$Y,'Threshold Summary'!$K:$K,""),'Pokemon Editor'!$A:$A,'Pokemon Editor'!$C:$C,""),mtype=XLOOKUP(XLOOKUP($Q283,'Threshold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Chart'!$B$1:$S$1,0)))),base,IF(OR(cat="Status",pow=0),0,FLOOR(FLOOR(FLOOR((2*XLOOKUP($Q283,'Threshold Summary'!$Y:$Y,'Threshold Summary'!$L:$L,"")/5+2)*pow*atk/def)/50)+2)),modifier,stab*eff,AVERAGE(ARRAYFORMULA(FLOOR(base*modifier*SEQUENCE(16,1,85,1)/100)))/(FLOOR(((2*XLOOKUP('Boss Editor'!$C$4,'Pokemon Editor'!$A:$A,'Pokemon Editor'!$E:$E,0)+31+FLOOR('Boss Editor'!$G$4/4))*'Boss Editor'!$D$4)/100)+'Boss Editor'!$D$4+10)),0)</f>
        <v/>
      </c>
      <c r="O283" s="3">
        <f>IF(N283&gt;=1,"OHKO",IF(N283&gt;=0.5,"2HKO",IF(N283&gt;=0.333,"3HKO",IF(N283&gt;=0.25,"4HKO","5HKO+"))))</f>
        <v/>
      </c>
      <c r="P283" s="3" t="inlineStr">
        <is>
          <t>Live from editable databases</t>
        </is>
      </c>
      <c r="Q283" s="3" t="inlineStr">
        <is>
          <t>SPECIES_BUDEW</t>
        </is>
      </c>
      <c r="R283" s="3" t="n">
        <v>26</v>
      </c>
    </row>
    <row r="284">
      <c r="A284" s="3">
        <f>XLOOKUP($Q284,'Threshold Summary'!$Y:$Y,'Threshold Summary'!$A:$A,"")</f>
        <v/>
      </c>
      <c r="B284" s="3">
        <f>XLOOKUP($Q284,'Threshold Summary'!$Y:$Y,'Threshold Summary'!$M:$M,"")</f>
        <v/>
      </c>
      <c r="C284" s="3">
        <f>XLOOKUP($Q284,'Threshold Summary'!$Y:$Y,'Threshold Summary'!$N:$N,"")</f>
        <v/>
      </c>
      <c r="D284" s="3">
        <f>IFERROR(INDEX(FILTER('Learnset Editor'!$D$2:$D,'Learnset Editor'!$A$2:$A=XLOOKUP($Q284,'Threshold Summary'!$Y:$Y,'Threshold Summary'!$K:$K,""),'Learnset Editor'!$C$2:$C&lt;=XLOOKUP($Q284,'Threshold Summary'!$Y:$Y,'Threshold Summary'!$L:$L,"")),$R284),"")</f>
        <v/>
      </c>
      <c r="E284" s="3">
        <f>XLOOKUP(D284,'Move Editor'!$B:$B,'Move Editor'!$C:$C,"")</f>
        <v/>
      </c>
      <c r="F284" s="3">
        <f>XLOOKUP(D284,'Move Editor'!$B:$B,'Move Editor'!$D:$D,"")</f>
        <v/>
      </c>
      <c r="G284" s="3">
        <f>XLOOKUP(D284,'Move Editor'!$B:$B,'Move Editor'!$E:$E,0)</f>
        <v/>
      </c>
      <c r="H284" s="3">
        <f>XLOOKUP(D284,'Move Editor'!$B:$B,'Move Editor'!$F:$F,0)</f>
        <v/>
      </c>
      <c r="I284" s="3">
        <f>(INDEX('Type Chart'!$B:$S,MATCH(E284,'Type Chart'!$A:$A,0),MATCH(XLOOKUP('Boss Editor'!$C$4,'Pokemon Editor'!$A:$A,'Pokemon Editor'!$C:$C,""),'Type Chart'!$B$1:$S$1,0))*IF(XLOOKUP('Boss Editor'!$C$4,'Pokemon Editor'!$A:$A,'Pokemon Editor'!$D:$D,"")="",1,INDEX('Type Chart'!$B:$S,MATCH(E284,'Type Chart'!$A:$A,0),MATCH(XLOOKUP('Boss Editor'!$C$4,'Pokemon Editor'!$A:$A,'Pokemon Editor'!$D:$D,""),'Type Chart'!$B$1:$S$1,0))))</f>
        <v/>
      </c>
      <c r="J284" s="3">
        <f>IFERROR(LET(mtype,XLOOKUP($D284,'Move Editor'!$B:$B,'Move Editor'!$C:$C,""),cat,XLOOKUP($D284,'Move Editor'!$B:$B,'Move Editor'!$D:$D,""),pow,XLOOKUP($D284,'Move Editor'!$B:$B,'Move Editor'!$E:$E,0),acc,XLOOKUP($D284,'Move Editor'!$B:$B,'Move Editor'!$F:$F,100),atk,IF(cat="Physical",FLOOR((FLOOR(((2*XLOOKUP(XLOOKUP($Q284,'Threshold Summary'!$Y:$Y,'Threshold Summary'!$K:$K,""),'Pokemon Editor'!$A:$A,'Pokemon Editor'!$F:$F,0)+31+FLOOR(XLOOKUP($Q284,'Threshold Summary'!$Y:$Y,'Threshold Summary'!$P:$P,"")/4))*XLOOKUP($Q284,'Threshold Summary'!$Y:$Y,'Threshold Summary'!$L:$L,""))/100)+5)*XLOOKUP(XLOOKUP($Q284,'Threshold Summary'!$Y:$Y,'Threshold Summary'!$M:$M,""),'Nature Editor'!$A:$A,'Nature Editor'!$B:$B,1)),FLOOR((FLOOR(((2*XLOOKUP(XLOOKUP($Q284,'Threshold Summary'!$Y:$Y,'Threshold Summary'!$K:$K,""),'Pokemon Editor'!$A:$A,'Pokemon Editor'!$H:$H,0)+31+FLOOR(XLOOKUP($Q284,'Threshold Summary'!$Y:$Y,'Threshold Summary'!$R:$R,"")/4))*XLOOKUP($Q284,'Threshold Summary'!$Y:$Y,'Threshold Summary'!$L:$L,""))/100)+5)*XLOOKUP(XLOOKUP($Q284,'Threshold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Editor'!$E:$E,1))),stab,IF(OR(mtype=XLOOKUP(XLOOKUP($Q284,'Threshold Summary'!$Y:$Y,'Threshold Summary'!$K:$K,""),'Pokemon Editor'!$A:$A,'Pokemon Editor'!$C:$C,""),mtype=XLOOKUP(XLOOKUP($Q284,'Threshold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Chart'!$B$1:$S$1,0)))),base,IF(OR(cat="Status",pow=0),0,FLOOR(FLOOR(FLOOR((2*XLOOKUP($Q284,'Threshold Summary'!$Y:$Y,'Threshold Summary'!$L:$L,"")/5+2)*pow*atk/def)/50)+2)),modifier,stab*eff,FLOOR(base*modifier*0.85)),0)</f>
        <v/>
      </c>
      <c r="K284" s="3">
        <f>IFERROR(LET(mtype,XLOOKUP($D284,'Move Editor'!$B:$B,'Move Editor'!$C:$C,""),cat,XLOOKUP($D284,'Move Editor'!$B:$B,'Move Editor'!$D:$D,""),pow,XLOOKUP($D284,'Move Editor'!$B:$B,'Move Editor'!$E:$E,0),acc,XLOOKUP($D284,'Move Editor'!$B:$B,'Move Editor'!$F:$F,100),atk,IF(cat="Physical",FLOOR((FLOOR(((2*XLOOKUP(XLOOKUP($Q284,'Threshold Summary'!$Y:$Y,'Threshold Summary'!$K:$K,""),'Pokemon Editor'!$A:$A,'Pokemon Editor'!$F:$F,0)+31+FLOOR(XLOOKUP($Q284,'Threshold Summary'!$Y:$Y,'Threshold Summary'!$P:$P,"")/4))*XLOOKUP($Q284,'Threshold Summary'!$Y:$Y,'Threshold Summary'!$L:$L,""))/100)+5)*XLOOKUP(XLOOKUP($Q284,'Threshold Summary'!$Y:$Y,'Threshold Summary'!$M:$M,""),'Nature Editor'!$A:$A,'Nature Editor'!$B:$B,1)),FLOOR((FLOOR(((2*XLOOKUP(XLOOKUP($Q284,'Threshold Summary'!$Y:$Y,'Threshold Summary'!$K:$K,""),'Pokemon Editor'!$A:$A,'Pokemon Editor'!$H:$H,0)+31+FLOOR(XLOOKUP($Q284,'Threshold Summary'!$Y:$Y,'Threshold Summary'!$R:$R,"")/4))*XLOOKUP($Q284,'Threshold Summary'!$Y:$Y,'Threshold Summary'!$L:$L,""))/100)+5)*XLOOKUP(XLOOKUP($Q284,'Threshold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Editor'!$E:$E,1))),stab,IF(OR(mtype=XLOOKUP(XLOOKUP($Q284,'Threshold Summary'!$Y:$Y,'Threshold Summary'!$K:$K,""),'Pokemon Editor'!$A:$A,'Pokemon Editor'!$C:$C,""),mtype=XLOOKUP(XLOOKUP($Q284,'Threshold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Chart'!$B$1:$S$1,0)))),base,IF(OR(cat="Status",pow=0),0,FLOOR(FLOOR(FLOOR((2*XLOOKUP($Q284,'Threshold Summary'!$Y:$Y,'Threshold Summary'!$L:$L,"")/5+2)*pow*atk/def)/50)+2)),modifier,stab*eff,FLOOR(base*modifier)),0)</f>
        <v/>
      </c>
      <c r="L284" s="3">
        <f>IFERROR(LET(mtype,XLOOKUP($D284,'Move Editor'!$B:$B,'Move Editor'!$C:$C,""),cat,XLOOKUP($D284,'Move Editor'!$B:$B,'Move Editor'!$D:$D,""),pow,XLOOKUP($D284,'Move Editor'!$B:$B,'Move Editor'!$E:$E,0),acc,XLOOKUP($D284,'Move Editor'!$B:$B,'Move Editor'!$F:$F,100),atk,IF(cat="Physical",FLOOR((FLOOR(((2*XLOOKUP(XLOOKUP($Q284,'Threshold Summary'!$Y:$Y,'Threshold Summary'!$K:$K,""),'Pokemon Editor'!$A:$A,'Pokemon Editor'!$F:$F,0)+31+FLOOR(XLOOKUP($Q284,'Threshold Summary'!$Y:$Y,'Threshold Summary'!$P:$P,"")/4))*XLOOKUP($Q284,'Threshold Summary'!$Y:$Y,'Threshold Summary'!$L:$L,""))/100)+5)*XLOOKUP(XLOOKUP($Q284,'Threshold Summary'!$Y:$Y,'Threshold Summary'!$M:$M,""),'Nature Editor'!$A:$A,'Nature Editor'!$B:$B,1)),FLOOR((FLOOR(((2*XLOOKUP(XLOOKUP($Q284,'Threshold Summary'!$Y:$Y,'Threshold Summary'!$K:$K,""),'Pokemon Editor'!$A:$A,'Pokemon Editor'!$H:$H,0)+31+FLOOR(XLOOKUP($Q284,'Threshold Summary'!$Y:$Y,'Threshold Summary'!$R:$R,"")/4))*XLOOKUP($Q284,'Threshold Summary'!$Y:$Y,'Threshold Summary'!$L:$L,""))/100)+5)*XLOOKUP(XLOOKUP($Q284,'Threshold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Editor'!$E:$E,1))),stab,IF(OR(mtype=XLOOKUP(XLOOKUP($Q284,'Threshold Summary'!$Y:$Y,'Threshold Summary'!$K:$K,""),'Pokemon Editor'!$A:$A,'Pokemon Editor'!$C:$C,""),mtype=XLOOKUP(XLOOKUP($Q284,'Threshold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Chart'!$B$1:$S$1,0)))),base,IF(OR(cat="Status",pow=0),0,FLOOR(FLOOR(FLOOR((2*XLOOKUP($Q284,'Threshold Summary'!$Y:$Y,'Threshold Summary'!$L:$L,"")/5+2)*pow*atk/def)/50)+2)),modifier,stab*eff,AVERAGE(ARRAYFORMULA(FLOOR(base*modifier*SEQUENCE(16,1,85,1)/100)))),0)</f>
        <v/>
      </c>
      <c r="M284" s="3">
        <f>IFERROR(LET(mtype,XLOOKUP($D284,'Move Editor'!$B:$B,'Move Editor'!$C:$C,""),cat,XLOOKUP($D284,'Move Editor'!$B:$B,'Move Editor'!$D:$D,""),pow,XLOOKUP($D284,'Move Editor'!$B:$B,'Move Editor'!$E:$E,0),acc,XLOOKUP($D284,'Move Editor'!$B:$B,'Move Editor'!$F:$F,100),atk,IF(cat="Physical",FLOOR((FLOOR(((2*XLOOKUP(XLOOKUP($Q284,'Threshold Summary'!$Y:$Y,'Threshold Summary'!$K:$K,""),'Pokemon Editor'!$A:$A,'Pokemon Editor'!$F:$F,0)+31+FLOOR(XLOOKUP($Q284,'Threshold Summary'!$Y:$Y,'Threshold Summary'!$P:$P,"")/4))*XLOOKUP($Q284,'Threshold Summary'!$Y:$Y,'Threshold Summary'!$L:$L,""))/100)+5)*XLOOKUP(XLOOKUP($Q284,'Threshold Summary'!$Y:$Y,'Threshold Summary'!$M:$M,""),'Nature Editor'!$A:$A,'Nature Editor'!$B:$B,1)),FLOOR((FLOOR(((2*XLOOKUP(XLOOKUP($Q284,'Threshold Summary'!$Y:$Y,'Threshold Summary'!$K:$K,""),'Pokemon Editor'!$A:$A,'Pokemon Editor'!$H:$H,0)+31+FLOOR(XLOOKUP($Q284,'Threshold Summary'!$Y:$Y,'Threshold Summary'!$R:$R,"")/4))*XLOOKUP($Q284,'Threshold Summary'!$Y:$Y,'Threshold Summary'!$L:$L,""))/100)+5)*XLOOKUP(XLOOKUP($Q284,'Threshold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Editor'!$E:$E,1))),stab,IF(OR(mtype=XLOOKUP(XLOOKUP($Q284,'Threshold Summary'!$Y:$Y,'Threshold Summary'!$K:$K,""),'Pokemon Editor'!$A:$A,'Pokemon Editor'!$C:$C,""),mtype=XLOOKUP(XLOOKUP($Q284,'Threshold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Chart'!$B$1:$S$1,0)))),base,IF(OR(cat="Status",pow=0),0,FLOOR(FLOOR(FLOOR((2*XLOOKUP($Q284,'Threshold Summary'!$Y:$Y,'Threshold Summary'!$L:$L,"")/5+2)*pow*atk/def)/50)+2)),modifier,stab*eff,AVERAGE(ARRAYFORMULA(FLOOR(base*modifier*SEQUENCE(16,1,85,1)/100)))*MIN(1,acc/100)),0)</f>
        <v/>
      </c>
      <c r="N284" s="4">
        <f>IFERROR(LET(mtype,XLOOKUP($D284,'Move Editor'!$B:$B,'Move Editor'!$C:$C,""),cat,XLOOKUP($D284,'Move Editor'!$B:$B,'Move Editor'!$D:$D,""),pow,XLOOKUP($D284,'Move Editor'!$B:$B,'Move Editor'!$E:$E,0),acc,XLOOKUP($D284,'Move Editor'!$B:$B,'Move Editor'!$F:$F,100),atk,IF(cat="Physical",FLOOR((FLOOR(((2*XLOOKUP(XLOOKUP($Q284,'Threshold Summary'!$Y:$Y,'Threshold Summary'!$K:$K,""),'Pokemon Editor'!$A:$A,'Pokemon Editor'!$F:$F,0)+31+FLOOR(XLOOKUP($Q284,'Threshold Summary'!$Y:$Y,'Threshold Summary'!$P:$P,"")/4))*XLOOKUP($Q284,'Threshold Summary'!$Y:$Y,'Threshold Summary'!$L:$L,""))/100)+5)*XLOOKUP(XLOOKUP($Q284,'Threshold Summary'!$Y:$Y,'Threshold Summary'!$M:$M,""),'Nature Editor'!$A:$A,'Nature Editor'!$B:$B,1)),FLOOR((FLOOR(((2*XLOOKUP(XLOOKUP($Q284,'Threshold Summary'!$Y:$Y,'Threshold Summary'!$K:$K,""),'Pokemon Editor'!$A:$A,'Pokemon Editor'!$H:$H,0)+31+FLOOR(XLOOKUP($Q284,'Threshold Summary'!$Y:$Y,'Threshold Summary'!$R:$R,"")/4))*XLOOKUP($Q284,'Threshold Summary'!$Y:$Y,'Threshold Summary'!$L:$L,""))/100)+5)*XLOOKUP(XLOOKUP($Q284,'Threshold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Editor'!$E:$E,1))),stab,IF(OR(mtype=XLOOKUP(XLOOKUP($Q284,'Threshold Summary'!$Y:$Y,'Threshold Summary'!$K:$K,""),'Pokemon Editor'!$A:$A,'Pokemon Editor'!$C:$C,""),mtype=XLOOKUP(XLOOKUP($Q284,'Threshold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Chart'!$B$1:$S$1,0)))),base,IF(OR(cat="Status",pow=0),0,FLOOR(FLOOR(FLOOR((2*XLOOKUP($Q284,'Threshold Summary'!$Y:$Y,'Threshold Summary'!$L:$L,"")/5+2)*pow*atk/def)/50)+2)),modifier,stab*eff,AVERAGE(ARRAYFORMULA(FLOOR(base*modifier*SEQUENCE(16,1,85,1)/100)))/(FLOOR(((2*XLOOKUP('Boss Editor'!$C$4,'Pokemon Editor'!$A:$A,'Pokemon Editor'!$E:$E,0)+31+FLOOR('Boss Editor'!$G$4/4))*'Boss Editor'!$D$4)/100)+'Boss Editor'!$D$4+10)),0)</f>
        <v/>
      </c>
      <c r="O284" s="3">
        <f>IF(N284&gt;=1,"OHKO",IF(N284&gt;=0.5,"2HKO",IF(N284&gt;=0.333,"3HKO",IF(N284&gt;=0.25,"4HKO","5HKO+"))))</f>
        <v/>
      </c>
      <c r="P284" s="3" t="inlineStr">
        <is>
          <t>Live from editable databases</t>
        </is>
      </c>
      <c r="Q284" s="3" t="inlineStr">
        <is>
          <t>SPECIES_BUDEW</t>
        </is>
      </c>
      <c r="R284" s="3" t="n">
        <v>27</v>
      </c>
    </row>
    <row r="285">
      <c r="A285" s="3">
        <f>XLOOKUP($Q285,'Threshold Summary'!$Y:$Y,'Threshold Summary'!$A:$A,"")</f>
        <v/>
      </c>
      <c r="B285" s="3">
        <f>XLOOKUP($Q285,'Threshold Summary'!$Y:$Y,'Threshold Summary'!$M:$M,"")</f>
        <v/>
      </c>
      <c r="C285" s="3">
        <f>XLOOKUP($Q285,'Threshold Summary'!$Y:$Y,'Threshold Summary'!$N:$N,"")</f>
        <v/>
      </c>
      <c r="D285" s="3">
        <f>IFERROR(INDEX(FILTER('Learnset Editor'!$D$2:$D,'Learnset Editor'!$A$2:$A=XLOOKUP($Q285,'Threshold Summary'!$Y:$Y,'Threshold Summary'!$K:$K,""),'Learnset Editor'!$C$2:$C&lt;=XLOOKUP($Q285,'Threshold Summary'!$Y:$Y,'Threshold Summary'!$L:$L,"")),$R285),"")</f>
        <v/>
      </c>
      <c r="E285" s="3">
        <f>XLOOKUP(D285,'Move Editor'!$B:$B,'Move Editor'!$C:$C,"")</f>
        <v/>
      </c>
      <c r="F285" s="3">
        <f>XLOOKUP(D285,'Move Editor'!$B:$B,'Move Editor'!$D:$D,"")</f>
        <v/>
      </c>
      <c r="G285" s="3">
        <f>XLOOKUP(D285,'Move Editor'!$B:$B,'Move Editor'!$E:$E,0)</f>
        <v/>
      </c>
      <c r="H285" s="3">
        <f>XLOOKUP(D285,'Move Editor'!$B:$B,'Move Editor'!$F:$F,0)</f>
        <v/>
      </c>
      <c r="I285" s="3">
        <f>(INDEX('Type Chart'!$B:$S,MATCH(E285,'Type Chart'!$A:$A,0),MATCH(XLOOKUP('Boss Editor'!$C$4,'Pokemon Editor'!$A:$A,'Pokemon Editor'!$C:$C,""),'Type Chart'!$B$1:$S$1,0))*IF(XLOOKUP('Boss Editor'!$C$4,'Pokemon Editor'!$A:$A,'Pokemon Editor'!$D:$D,"")="",1,INDEX('Type Chart'!$B:$S,MATCH(E285,'Type Chart'!$A:$A,0),MATCH(XLOOKUP('Boss Editor'!$C$4,'Pokemon Editor'!$A:$A,'Pokemon Editor'!$D:$D,""),'Type Chart'!$B$1:$S$1,0))))</f>
        <v/>
      </c>
      <c r="J285" s="3">
        <f>IFERROR(LET(mtype,XLOOKUP($D285,'Move Editor'!$B:$B,'Move Editor'!$C:$C,""),cat,XLOOKUP($D285,'Move Editor'!$B:$B,'Move Editor'!$D:$D,""),pow,XLOOKUP($D285,'Move Editor'!$B:$B,'Move Editor'!$E:$E,0),acc,XLOOKUP($D285,'Move Editor'!$B:$B,'Move Editor'!$F:$F,100),atk,IF(cat="Physical",FLOOR((FLOOR(((2*XLOOKUP(XLOOKUP($Q285,'Threshold Summary'!$Y:$Y,'Threshold Summary'!$K:$K,""),'Pokemon Editor'!$A:$A,'Pokemon Editor'!$F:$F,0)+31+FLOOR(XLOOKUP($Q285,'Threshold Summary'!$Y:$Y,'Threshold Summary'!$P:$P,"")/4))*XLOOKUP($Q285,'Threshold Summary'!$Y:$Y,'Threshold Summary'!$L:$L,""))/100)+5)*XLOOKUP(XLOOKUP($Q285,'Threshold Summary'!$Y:$Y,'Threshold Summary'!$M:$M,""),'Nature Editor'!$A:$A,'Nature Editor'!$B:$B,1)),FLOOR((FLOOR(((2*XLOOKUP(XLOOKUP($Q285,'Threshold Summary'!$Y:$Y,'Threshold Summary'!$K:$K,""),'Pokemon Editor'!$A:$A,'Pokemon Editor'!$H:$H,0)+31+FLOOR(XLOOKUP($Q285,'Threshold Summary'!$Y:$Y,'Threshold Summary'!$R:$R,"")/4))*XLOOKUP($Q285,'Threshold Summary'!$Y:$Y,'Threshold Summary'!$L:$L,""))/100)+5)*XLOOKUP(XLOOKUP($Q285,'Threshold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Editor'!$E:$E,1))),stab,IF(OR(mtype=XLOOKUP(XLOOKUP($Q285,'Threshold Summary'!$Y:$Y,'Threshold Summary'!$K:$K,""),'Pokemon Editor'!$A:$A,'Pokemon Editor'!$C:$C,""),mtype=XLOOKUP(XLOOKUP($Q285,'Threshold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Chart'!$B$1:$S$1,0)))),base,IF(OR(cat="Status",pow=0),0,FLOOR(FLOOR(FLOOR((2*XLOOKUP($Q285,'Threshold Summary'!$Y:$Y,'Threshold Summary'!$L:$L,"")/5+2)*pow*atk/def)/50)+2)),modifier,stab*eff,FLOOR(base*modifier*0.85)),0)</f>
        <v/>
      </c>
      <c r="K285" s="3">
        <f>IFERROR(LET(mtype,XLOOKUP($D285,'Move Editor'!$B:$B,'Move Editor'!$C:$C,""),cat,XLOOKUP($D285,'Move Editor'!$B:$B,'Move Editor'!$D:$D,""),pow,XLOOKUP($D285,'Move Editor'!$B:$B,'Move Editor'!$E:$E,0),acc,XLOOKUP($D285,'Move Editor'!$B:$B,'Move Editor'!$F:$F,100),atk,IF(cat="Physical",FLOOR((FLOOR(((2*XLOOKUP(XLOOKUP($Q285,'Threshold Summary'!$Y:$Y,'Threshold Summary'!$K:$K,""),'Pokemon Editor'!$A:$A,'Pokemon Editor'!$F:$F,0)+31+FLOOR(XLOOKUP($Q285,'Threshold Summary'!$Y:$Y,'Threshold Summary'!$P:$P,"")/4))*XLOOKUP($Q285,'Threshold Summary'!$Y:$Y,'Threshold Summary'!$L:$L,""))/100)+5)*XLOOKUP(XLOOKUP($Q285,'Threshold Summary'!$Y:$Y,'Threshold Summary'!$M:$M,""),'Nature Editor'!$A:$A,'Nature Editor'!$B:$B,1)),FLOOR((FLOOR(((2*XLOOKUP(XLOOKUP($Q285,'Threshold Summary'!$Y:$Y,'Threshold Summary'!$K:$K,""),'Pokemon Editor'!$A:$A,'Pokemon Editor'!$H:$H,0)+31+FLOOR(XLOOKUP($Q285,'Threshold Summary'!$Y:$Y,'Threshold Summary'!$R:$R,"")/4))*XLOOKUP($Q285,'Threshold Summary'!$Y:$Y,'Threshold Summary'!$L:$L,""))/100)+5)*XLOOKUP(XLOOKUP($Q285,'Threshold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Editor'!$E:$E,1))),stab,IF(OR(mtype=XLOOKUP(XLOOKUP($Q285,'Threshold Summary'!$Y:$Y,'Threshold Summary'!$K:$K,""),'Pokemon Editor'!$A:$A,'Pokemon Editor'!$C:$C,""),mtype=XLOOKUP(XLOOKUP($Q285,'Threshold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Chart'!$B$1:$S$1,0)))),base,IF(OR(cat="Status",pow=0),0,FLOOR(FLOOR(FLOOR((2*XLOOKUP($Q285,'Threshold Summary'!$Y:$Y,'Threshold Summary'!$L:$L,"")/5+2)*pow*atk/def)/50)+2)),modifier,stab*eff,FLOOR(base*modifier)),0)</f>
        <v/>
      </c>
      <c r="L285" s="3">
        <f>IFERROR(LET(mtype,XLOOKUP($D285,'Move Editor'!$B:$B,'Move Editor'!$C:$C,""),cat,XLOOKUP($D285,'Move Editor'!$B:$B,'Move Editor'!$D:$D,""),pow,XLOOKUP($D285,'Move Editor'!$B:$B,'Move Editor'!$E:$E,0),acc,XLOOKUP($D285,'Move Editor'!$B:$B,'Move Editor'!$F:$F,100),atk,IF(cat="Physical",FLOOR((FLOOR(((2*XLOOKUP(XLOOKUP($Q285,'Threshold Summary'!$Y:$Y,'Threshold Summary'!$K:$K,""),'Pokemon Editor'!$A:$A,'Pokemon Editor'!$F:$F,0)+31+FLOOR(XLOOKUP($Q285,'Threshold Summary'!$Y:$Y,'Threshold Summary'!$P:$P,"")/4))*XLOOKUP($Q285,'Threshold Summary'!$Y:$Y,'Threshold Summary'!$L:$L,""))/100)+5)*XLOOKUP(XLOOKUP($Q285,'Threshold Summary'!$Y:$Y,'Threshold Summary'!$M:$M,""),'Nature Editor'!$A:$A,'Nature Editor'!$B:$B,1)),FLOOR((FLOOR(((2*XLOOKUP(XLOOKUP($Q285,'Threshold Summary'!$Y:$Y,'Threshold Summary'!$K:$K,""),'Pokemon Editor'!$A:$A,'Pokemon Editor'!$H:$H,0)+31+FLOOR(XLOOKUP($Q285,'Threshold Summary'!$Y:$Y,'Threshold Summary'!$R:$R,"")/4))*XLOOKUP($Q285,'Threshold Summary'!$Y:$Y,'Threshold Summary'!$L:$L,""))/100)+5)*XLOOKUP(XLOOKUP($Q285,'Threshold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Editor'!$E:$E,1))),stab,IF(OR(mtype=XLOOKUP(XLOOKUP($Q285,'Threshold Summary'!$Y:$Y,'Threshold Summary'!$K:$K,""),'Pokemon Editor'!$A:$A,'Pokemon Editor'!$C:$C,""),mtype=XLOOKUP(XLOOKUP($Q285,'Threshold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Chart'!$B$1:$S$1,0)))),base,IF(OR(cat="Status",pow=0),0,FLOOR(FLOOR(FLOOR((2*XLOOKUP($Q285,'Threshold Summary'!$Y:$Y,'Threshold Summary'!$L:$L,"")/5+2)*pow*atk/def)/50)+2)),modifier,stab*eff,AVERAGE(ARRAYFORMULA(FLOOR(base*modifier*SEQUENCE(16,1,85,1)/100)))),0)</f>
        <v/>
      </c>
      <c r="M285" s="3">
        <f>IFERROR(LET(mtype,XLOOKUP($D285,'Move Editor'!$B:$B,'Move Editor'!$C:$C,""),cat,XLOOKUP($D285,'Move Editor'!$B:$B,'Move Editor'!$D:$D,""),pow,XLOOKUP($D285,'Move Editor'!$B:$B,'Move Editor'!$E:$E,0),acc,XLOOKUP($D285,'Move Editor'!$B:$B,'Move Editor'!$F:$F,100),atk,IF(cat="Physical",FLOOR((FLOOR(((2*XLOOKUP(XLOOKUP($Q285,'Threshold Summary'!$Y:$Y,'Threshold Summary'!$K:$K,""),'Pokemon Editor'!$A:$A,'Pokemon Editor'!$F:$F,0)+31+FLOOR(XLOOKUP($Q285,'Threshold Summary'!$Y:$Y,'Threshold Summary'!$P:$P,"")/4))*XLOOKUP($Q285,'Threshold Summary'!$Y:$Y,'Threshold Summary'!$L:$L,""))/100)+5)*XLOOKUP(XLOOKUP($Q285,'Threshold Summary'!$Y:$Y,'Threshold Summary'!$M:$M,""),'Nature Editor'!$A:$A,'Nature Editor'!$B:$B,1)),FLOOR((FLOOR(((2*XLOOKUP(XLOOKUP($Q285,'Threshold Summary'!$Y:$Y,'Threshold Summary'!$K:$K,""),'Pokemon Editor'!$A:$A,'Pokemon Editor'!$H:$H,0)+31+FLOOR(XLOOKUP($Q285,'Threshold Summary'!$Y:$Y,'Threshold Summary'!$R:$R,"")/4))*XLOOKUP($Q285,'Threshold Summary'!$Y:$Y,'Threshold Summary'!$L:$L,""))/100)+5)*XLOOKUP(XLOOKUP($Q285,'Threshold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Editor'!$E:$E,1))),stab,IF(OR(mtype=XLOOKUP(XLOOKUP($Q285,'Threshold Summary'!$Y:$Y,'Threshold Summary'!$K:$K,""),'Pokemon Editor'!$A:$A,'Pokemon Editor'!$C:$C,""),mtype=XLOOKUP(XLOOKUP($Q285,'Threshold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Chart'!$B$1:$S$1,0)))),base,IF(OR(cat="Status",pow=0),0,FLOOR(FLOOR(FLOOR((2*XLOOKUP($Q285,'Threshold Summary'!$Y:$Y,'Threshold Summary'!$L:$L,"")/5+2)*pow*atk/def)/50)+2)),modifier,stab*eff,AVERAGE(ARRAYFORMULA(FLOOR(base*modifier*SEQUENCE(16,1,85,1)/100)))*MIN(1,acc/100)),0)</f>
        <v/>
      </c>
      <c r="N285" s="4">
        <f>IFERROR(LET(mtype,XLOOKUP($D285,'Move Editor'!$B:$B,'Move Editor'!$C:$C,""),cat,XLOOKUP($D285,'Move Editor'!$B:$B,'Move Editor'!$D:$D,""),pow,XLOOKUP($D285,'Move Editor'!$B:$B,'Move Editor'!$E:$E,0),acc,XLOOKUP($D285,'Move Editor'!$B:$B,'Move Editor'!$F:$F,100),atk,IF(cat="Physical",FLOOR((FLOOR(((2*XLOOKUP(XLOOKUP($Q285,'Threshold Summary'!$Y:$Y,'Threshold Summary'!$K:$K,""),'Pokemon Editor'!$A:$A,'Pokemon Editor'!$F:$F,0)+31+FLOOR(XLOOKUP($Q285,'Threshold Summary'!$Y:$Y,'Threshold Summary'!$P:$P,"")/4))*XLOOKUP($Q285,'Threshold Summary'!$Y:$Y,'Threshold Summary'!$L:$L,""))/100)+5)*XLOOKUP(XLOOKUP($Q285,'Threshold Summary'!$Y:$Y,'Threshold Summary'!$M:$M,""),'Nature Editor'!$A:$A,'Nature Editor'!$B:$B,1)),FLOOR((FLOOR(((2*XLOOKUP(XLOOKUP($Q285,'Threshold Summary'!$Y:$Y,'Threshold Summary'!$K:$K,""),'Pokemon Editor'!$A:$A,'Pokemon Editor'!$H:$H,0)+31+FLOOR(XLOOKUP($Q285,'Threshold Summary'!$Y:$Y,'Threshold Summary'!$R:$R,"")/4))*XLOOKUP($Q285,'Threshold Summary'!$Y:$Y,'Threshold Summary'!$L:$L,""))/100)+5)*XLOOKUP(XLOOKUP($Q285,'Threshold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Editor'!$E:$E,1))),stab,IF(OR(mtype=XLOOKUP(XLOOKUP($Q285,'Threshold Summary'!$Y:$Y,'Threshold Summary'!$K:$K,""),'Pokemon Editor'!$A:$A,'Pokemon Editor'!$C:$C,""),mtype=XLOOKUP(XLOOKUP($Q285,'Threshold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Chart'!$B$1:$S$1,0)))),base,IF(OR(cat="Status",pow=0),0,FLOOR(FLOOR(FLOOR((2*XLOOKUP($Q285,'Threshold Summary'!$Y:$Y,'Threshold Summary'!$L:$L,"")/5+2)*pow*atk/def)/50)+2)),modifier,stab*eff,AVERAGE(ARRAYFORMULA(FLOOR(base*modifier*SEQUENCE(16,1,85,1)/100)))/(FLOOR(((2*XLOOKUP('Boss Editor'!$C$4,'Pokemon Editor'!$A:$A,'Pokemon Editor'!$E:$E,0)+31+FLOOR('Boss Editor'!$G$4/4))*'Boss Editor'!$D$4)/100)+'Boss Editor'!$D$4+10)),0)</f>
        <v/>
      </c>
      <c r="O285" s="3">
        <f>IF(N285&gt;=1,"OHKO",IF(N285&gt;=0.5,"2HKO",IF(N285&gt;=0.333,"3HKO",IF(N285&gt;=0.25,"4HKO","5HKO+"))))</f>
        <v/>
      </c>
      <c r="P285" s="3" t="inlineStr">
        <is>
          <t>Live from editable databases</t>
        </is>
      </c>
      <c r="Q285" s="3" t="inlineStr">
        <is>
          <t>SPECIES_BUDEW</t>
        </is>
      </c>
      <c r="R285" s="3" t="n">
        <v>28</v>
      </c>
    </row>
    <row r="286">
      <c r="A286" s="3">
        <f>XLOOKUP($Q286,'Threshold Summary'!$Y:$Y,'Threshold Summary'!$A:$A,"")</f>
        <v/>
      </c>
      <c r="B286" s="3">
        <f>XLOOKUP($Q286,'Threshold Summary'!$Y:$Y,'Threshold Summary'!$M:$M,"")</f>
        <v/>
      </c>
      <c r="C286" s="3">
        <f>XLOOKUP($Q286,'Threshold Summary'!$Y:$Y,'Threshold Summary'!$N:$N,"")</f>
        <v/>
      </c>
      <c r="D286" s="3">
        <f>IFERROR(INDEX(FILTER('Learnset Editor'!$D$2:$D,'Learnset Editor'!$A$2:$A=XLOOKUP($Q286,'Threshold Summary'!$Y:$Y,'Threshold Summary'!$K:$K,""),'Learnset Editor'!$C$2:$C&lt;=XLOOKUP($Q286,'Threshold Summary'!$Y:$Y,'Threshold Summary'!$L:$L,"")),$R286),"")</f>
        <v/>
      </c>
      <c r="E286" s="3">
        <f>XLOOKUP(D286,'Move Editor'!$B:$B,'Move Editor'!$C:$C,"")</f>
        <v/>
      </c>
      <c r="F286" s="3">
        <f>XLOOKUP(D286,'Move Editor'!$B:$B,'Move Editor'!$D:$D,"")</f>
        <v/>
      </c>
      <c r="G286" s="3">
        <f>XLOOKUP(D286,'Move Editor'!$B:$B,'Move Editor'!$E:$E,0)</f>
        <v/>
      </c>
      <c r="H286" s="3">
        <f>XLOOKUP(D286,'Move Editor'!$B:$B,'Move Editor'!$F:$F,0)</f>
        <v/>
      </c>
      <c r="I286" s="3">
        <f>(INDEX('Type Chart'!$B:$S,MATCH(E286,'Type Chart'!$A:$A,0),MATCH(XLOOKUP('Boss Editor'!$C$4,'Pokemon Editor'!$A:$A,'Pokemon Editor'!$C:$C,""),'Type Chart'!$B$1:$S$1,0))*IF(XLOOKUP('Boss Editor'!$C$4,'Pokemon Editor'!$A:$A,'Pokemon Editor'!$D:$D,"")="",1,INDEX('Type Chart'!$B:$S,MATCH(E286,'Type Chart'!$A:$A,0),MATCH(XLOOKUP('Boss Editor'!$C$4,'Pokemon Editor'!$A:$A,'Pokemon Editor'!$D:$D,""),'Type Chart'!$B$1:$S$1,0))))</f>
        <v/>
      </c>
      <c r="J286" s="3">
        <f>IFERROR(LET(mtype,XLOOKUP($D286,'Move Editor'!$B:$B,'Move Editor'!$C:$C,""),cat,XLOOKUP($D286,'Move Editor'!$B:$B,'Move Editor'!$D:$D,""),pow,XLOOKUP($D286,'Move Editor'!$B:$B,'Move Editor'!$E:$E,0),acc,XLOOKUP($D286,'Move Editor'!$B:$B,'Move Editor'!$F:$F,100),atk,IF(cat="Physical",FLOOR((FLOOR(((2*XLOOKUP(XLOOKUP($Q286,'Threshold Summary'!$Y:$Y,'Threshold Summary'!$K:$K,""),'Pokemon Editor'!$A:$A,'Pokemon Editor'!$F:$F,0)+31+FLOOR(XLOOKUP($Q286,'Threshold Summary'!$Y:$Y,'Threshold Summary'!$P:$P,"")/4))*XLOOKUP($Q286,'Threshold Summary'!$Y:$Y,'Threshold Summary'!$L:$L,""))/100)+5)*XLOOKUP(XLOOKUP($Q286,'Threshold Summary'!$Y:$Y,'Threshold Summary'!$M:$M,""),'Nature Editor'!$A:$A,'Nature Editor'!$B:$B,1)),FLOOR((FLOOR(((2*XLOOKUP(XLOOKUP($Q286,'Threshold Summary'!$Y:$Y,'Threshold Summary'!$K:$K,""),'Pokemon Editor'!$A:$A,'Pokemon Editor'!$H:$H,0)+31+FLOOR(XLOOKUP($Q286,'Threshold Summary'!$Y:$Y,'Threshold Summary'!$R:$R,"")/4))*XLOOKUP($Q286,'Threshold Summary'!$Y:$Y,'Threshold Summary'!$L:$L,""))/100)+5)*XLOOKUP(XLOOKUP($Q286,'Threshold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Editor'!$E:$E,1))),stab,IF(OR(mtype=XLOOKUP(XLOOKUP($Q286,'Threshold Summary'!$Y:$Y,'Threshold Summary'!$K:$K,""),'Pokemon Editor'!$A:$A,'Pokemon Editor'!$C:$C,""),mtype=XLOOKUP(XLOOKUP($Q286,'Threshold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Chart'!$B$1:$S$1,0)))),base,IF(OR(cat="Status",pow=0),0,FLOOR(FLOOR(FLOOR((2*XLOOKUP($Q286,'Threshold Summary'!$Y:$Y,'Threshold Summary'!$L:$L,"")/5+2)*pow*atk/def)/50)+2)),modifier,stab*eff,FLOOR(base*modifier*0.85)),0)</f>
        <v/>
      </c>
      <c r="K286" s="3">
        <f>IFERROR(LET(mtype,XLOOKUP($D286,'Move Editor'!$B:$B,'Move Editor'!$C:$C,""),cat,XLOOKUP($D286,'Move Editor'!$B:$B,'Move Editor'!$D:$D,""),pow,XLOOKUP($D286,'Move Editor'!$B:$B,'Move Editor'!$E:$E,0),acc,XLOOKUP($D286,'Move Editor'!$B:$B,'Move Editor'!$F:$F,100),atk,IF(cat="Physical",FLOOR((FLOOR(((2*XLOOKUP(XLOOKUP($Q286,'Threshold Summary'!$Y:$Y,'Threshold Summary'!$K:$K,""),'Pokemon Editor'!$A:$A,'Pokemon Editor'!$F:$F,0)+31+FLOOR(XLOOKUP($Q286,'Threshold Summary'!$Y:$Y,'Threshold Summary'!$P:$P,"")/4))*XLOOKUP($Q286,'Threshold Summary'!$Y:$Y,'Threshold Summary'!$L:$L,""))/100)+5)*XLOOKUP(XLOOKUP($Q286,'Threshold Summary'!$Y:$Y,'Threshold Summary'!$M:$M,""),'Nature Editor'!$A:$A,'Nature Editor'!$B:$B,1)),FLOOR((FLOOR(((2*XLOOKUP(XLOOKUP($Q286,'Threshold Summary'!$Y:$Y,'Threshold Summary'!$K:$K,""),'Pokemon Editor'!$A:$A,'Pokemon Editor'!$H:$H,0)+31+FLOOR(XLOOKUP($Q286,'Threshold Summary'!$Y:$Y,'Threshold Summary'!$R:$R,"")/4))*XLOOKUP($Q286,'Threshold Summary'!$Y:$Y,'Threshold Summary'!$L:$L,""))/100)+5)*XLOOKUP(XLOOKUP($Q286,'Threshold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Editor'!$E:$E,1))),stab,IF(OR(mtype=XLOOKUP(XLOOKUP($Q286,'Threshold Summary'!$Y:$Y,'Threshold Summary'!$K:$K,""),'Pokemon Editor'!$A:$A,'Pokemon Editor'!$C:$C,""),mtype=XLOOKUP(XLOOKUP($Q286,'Threshold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Chart'!$B$1:$S$1,0)))),base,IF(OR(cat="Status",pow=0),0,FLOOR(FLOOR(FLOOR((2*XLOOKUP($Q286,'Threshold Summary'!$Y:$Y,'Threshold Summary'!$L:$L,"")/5+2)*pow*atk/def)/50)+2)),modifier,stab*eff,FLOOR(base*modifier)),0)</f>
        <v/>
      </c>
      <c r="L286" s="3">
        <f>IFERROR(LET(mtype,XLOOKUP($D286,'Move Editor'!$B:$B,'Move Editor'!$C:$C,""),cat,XLOOKUP($D286,'Move Editor'!$B:$B,'Move Editor'!$D:$D,""),pow,XLOOKUP($D286,'Move Editor'!$B:$B,'Move Editor'!$E:$E,0),acc,XLOOKUP($D286,'Move Editor'!$B:$B,'Move Editor'!$F:$F,100),atk,IF(cat="Physical",FLOOR((FLOOR(((2*XLOOKUP(XLOOKUP($Q286,'Threshold Summary'!$Y:$Y,'Threshold Summary'!$K:$K,""),'Pokemon Editor'!$A:$A,'Pokemon Editor'!$F:$F,0)+31+FLOOR(XLOOKUP($Q286,'Threshold Summary'!$Y:$Y,'Threshold Summary'!$P:$P,"")/4))*XLOOKUP($Q286,'Threshold Summary'!$Y:$Y,'Threshold Summary'!$L:$L,""))/100)+5)*XLOOKUP(XLOOKUP($Q286,'Threshold Summary'!$Y:$Y,'Threshold Summary'!$M:$M,""),'Nature Editor'!$A:$A,'Nature Editor'!$B:$B,1)),FLOOR((FLOOR(((2*XLOOKUP(XLOOKUP($Q286,'Threshold Summary'!$Y:$Y,'Threshold Summary'!$K:$K,""),'Pokemon Editor'!$A:$A,'Pokemon Editor'!$H:$H,0)+31+FLOOR(XLOOKUP($Q286,'Threshold Summary'!$Y:$Y,'Threshold Summary'!$R:$R,"")/4))*XLOOKUP($Q286,'Threshold Summary'!$Y:$Y,'Threshold Summary'!$L:$L,""))/100)+5)*XLOOKUP(XLOOKUP($Q286,'Threshold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Editor'!$E:$E,1))),stab,IF(OR(mtype=XLOOKUP(XLOOKUP($Q286,'Threshold Summary'!$Y:$Y,'Threshold Summary'!$K:$K,""),'Pokemon Editor'!$A:$A,'Pokemon Editor'!$C:$C,""),mtype=XLOOKUP(XLOOKUP($Q286,'Threshold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Chart'!$B$1:$S$1,0)))),base,IF(OR(cat="Status",pow=0),0,FLOOR(FLOOR(FLOOR((2*XLOOKUP($Q286,'Threshold Summary'!$Y:$Y,'Threshold Summary'!$L:$L,"")/5+2)*pow*atk/def)/50)+2)),modifier,stab*eff,AVERAGE(ARRAYFORMULA(FLOOR(base*modifier*SEQUENCE(16,1,85,1)/100)))),0)</f>
        <v/>
      </c>
      <c r="M286" s="3">
        <f>IFERROR(LET(mtype,XLOOKUP($D286,'Move Editor'!$B:$B,'Move Editor'!$C:$C,""),cat,XLOOKUP($D286,'Move Editor'!$B:$B,'Move Editor'!$D:$D,""),pow,XLOOKUP($D286,'Move Editor'!$B:$B,'Move Editor'!$E:$E,0),acc,XLOOKUP($D286,'Move Editor'!$B:$B,'Move Editor'!$F:$F,100),atk,IF(cat="Physical",FLOOR((FLOOR(((2*XLOOKUP(XLOOKUP($Q286,'Threshold Summary'!$Y:$Y,'Threshold Summary'!$K:$K,""),'Pokemon Editor'!$A:$A,'Pokemon Editor'!$F:$F,0)+31+FLOOR(XLOOKUP($Q286,'Threshold Summary'!$Y:$Y,'Threshold Summary'!$P:$P,"")/4))*XLOOKUP($Q286,'Threshold Summary'!$Y:$Y,'Threshold Summary'!$L:$L,""))/100)+5)*XLOOKUP(XLOOKUP($Q286,'Threshold Summary'!$Y:$Y,'Threshold Summary'!$M:$M,""),'Nature Editor'!$A:$A,'Nature Editor'!$B:$B,1)),FLOOR((FLOOR(((2*XLOOKUP(XLOOKUP($Q286,'Threshold Summary'!$Y:$Y,'Threshold Summary'!$K:$K,""),'Pokemon Editor'!$A:$A,'Pokemon Editor'!$H:$H,0)+31+FLOOR(XLOOKUP($Q286,'Threshold Summary'!$Y:$Y,'Threshold Summary'!$R:$R,"")/4))*XLOOKUP($Q286,'Threshold Summary'!$Y:$Y,'Threshold Summary'!$L:$L,""))/100)+5)*XLOOKUP(XLOOKUP($Q286,'Threshold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Editor'!$E:$E,1))),stab,IF(OR(mtype=XLOOKUP(XLOOKUP($Q286,'Threshold Summary'!$Y:$Y,'Threshold Summary'!$K:$K,""),'Pokemon Editor'!$A:$A,'Pokemon Editor'!$C:$C,""),mtype=XLOOKUP(XLOOKUP($Q286,'Threshold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Chart'!$B$1:$S$1,0)))),base,IF(OR(cat="Status",pow=0),0,FLOOR(FLOOR(FLOOR((2*XLOOKUP($Q286,'Threshold Summary'!$Y:$Y,'Threshold Summary'!$L:$L,"")/5+2)*pow*atk/def)/50)+2)),modifier,stab*eff,AVERAGE(ARRAYFORMULA(FLOOR(base*modifier*SEQUENCE(16,1,85,1)/100)))*MIN(1,acc/100)),0)</f>
        <v/>
      </c>
      <c r="N286" s="4">
        <f>IFERROR(LET(mtype,XLOOKUP($D286,'Move Editor'!$B:$B,'Move Editor'!$C:$C,""),cat,XLOOKUP($D286,'Move Editor'!$B:$B,'Move Editor'!$D:$D,""),pow,XLOOKUP($D286,'Move Editor'!$B:$B,'Move Editor'!$E:$E,0),acc,XLOOKUP($D286,'Move Editor'!$B:$B,'Move Editor'!$F:$F,100),atk,IF(cat="Physical",FLOOR((FLOOR(((2*XLOOKUP(XLOOKUP($Q286,'Threshold Summary'!$Y:$Y,'Threshold Summary'!$K:$K,""),'Pokemon Editor'!$A:$A,'Pokemon Editor'!$F:$F,0)+31+FLOOR(XLOOKUP($Q286,'Threshold Summary'!$Y:$Y,'Threshold Summary'!$P:$P,"")/4))*XLOOKUP($Q286,'Threshold Summary'!$Y:$Y,'Threshold Summary'!$L:$L,""))/100)+5)*XLOOKUP(XLOOKUP($Q286,'Threshold Summary'!$Y:$Y,'Threshold Summary'!$M:$M,""),'Nature Editor'!$A:$A,'Nature Editor'!$B:$B,1)),FLOOR((FLOOR(((2*XLOOKUP(XLOOKUP($Q286,'Threshold Summary'!$Y:$Y,'Threshold Summary'!$K:$K,""),'Pokemon Editor'!$A:$A,'Pokemon Editor'!$H:$H,0)+31+FLOOR(XLOOKUP($Q286,'Threshold Summary'!$Y:$Y,'Threshold Summary'!$R:$R,"")/4))*XLOOKUP($Q286,'Threshold Summary'!$Y:$Y,'Threshold Summary'!$L:$L,""))/100)+5)*XLOOKUP(XLOOKUP($Q286,'Threshold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Editor'!$E:$E,1))),stab,IF(OR(mtype=XLOOKUP(XLOOKUP($Q286,'Threshold Summary'!$Y:$Y,'Threshold Summary'!$K:$K,""),'Pokemon Editor'!$A:$A,'Pokemon Editor'!$C:$C,""),mtype=XLOOKUP(XLOOKUP($Q286,'Threshold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Chart'!$B$1:$S$1,0)))),base,IF(OR(cat="Status",pow=0),0,FLOOR(FLOOR(FLOOR((2*XLOOKUP($Q286,'Threshold Summary'!$Y:$Y,'Threshold Summary'!$L:$L,"")/5+2)*pow*atk/def)/50)+2)),modifier,stab*eff,AVERAGE(ARRAYFORMULA(FLOOR(base*modifier*SEQUENCE(16,1,85,1)/100)))/(FLOOR(((2*XLOOKUP('Boss Editor'!$C$4,'Pokemon Editor'!$A:$A,'Pokemon Editor'!$E:$E,0)+31+FLOOR('Boss Editor'!$G$4/4))*'Boss Editor'!$D$4)/100)+'Boss Editor'!$D$4+10)),0)</f>
        <v/>
      </c>
      <c r="O286" s="3">
        <f>IF(N286&gt;=1,"OHKO",IF(N286&gt;=0.5,"2HKO",IF(N286&gt;=0.333,"3HKO",IF(N286&gt;=0.25,"4HKO","5HKO+"))))</f>
        <v/>
      </c>
      <c r="P286" s="3" t="inlineStr">
        <is>
          <t>Live from editable databases</t>
        </is>
      </c>
      <c r="Q286" s="3" t="inlineStr">
        <is>
          <t>SPECIES_BUDEW</t>
        </is>
      </c>
      <c r="R286" s="3" t="n">
        <v>29</v>
      </c>
    </row>
    <row r="287">
      <c r="A287" s="3">
        <f>XLOOKUP($Q287,'Threshold Summary'!$Y:$Y,'Threshold Summary'!$A:$A,"")</f>
        <v/>
      </c>
      <c r="B287" s="3">
        <f>XLOOKUP($Q287,'Threshold Summary'!$Y:$Y,'Threshold Summary'!$M:$M,"")</f>
        <v/>
      </c>
      <c r="C287" s="3">
        <f>XLOOKUP($Q287,'Threshold Summary'!$Y:$Y,'Threshold Summary'!$N:$N,"")</f>
        <v/>
      </c>
      <c r="D287" s="3">
        <f>IFERROR(INDEX(FILTER('Learnset Editor'!$D$2:$D,'Learnset Editor'!$A$2:$A=XLOOKUP($Q287,'Threshold Summary'!$Y:$Y,'Threshold Summary'!$K:$K,""),'Learnset Editor'!$C$2:$C&lt;=XLOOKUP($Q287,'Threshold Summary'!$Y:$Y,'Threshold Summary'!$L:$L,"")),$R287),"")</f>
        <v/>
      </c>
      <c r="E287" s="3">
        <f>XLOOKUP(D287,'Move Editor'!$B:$B,'Move Editor'!$C:$C,"")</f>
        <v/>
      </c>
      <c r="F287" s="3">
        <f>XLOOKUP(D287,'Move Editor'!$B:$B,'Move Editor'!$D:$D,"")</f>
        <v/>
      </c>
      <c r="G287" s="3">
        <f>XLOOKUP(D287,'Move Editor'!$B:$B,'Move Editor'!$E:$E,0)</f>
        <v/>
      </c>
      <c r="H287" s="3">
        <f>XLOOKUP(D287,'Move Editor'!$B:$B,'Move Editor'!$F:$F,0)</f>
        <v/>
      </c>
      <c r="I287" s="3">
        <f>(INDEX('Type Chart'!$B:$S,MATCH(E287,'Type Chart'!$A:$A,0),MATCH(XLOOKUP('Boss Editor'!$C$4,'Pokemon Editor'!$A:$A,'Pokemon Editor'!$C:$C,""),'Type Chart'!$B$1:$S$1,0))*IF(XLOOKUP('Boss Editor'!$C$4,'Pokemon Editor'!$A:$A,'Pokemon Editor'!$D:$D,"")="",1,INDEX('Type Chart'!$B:$S,MATCH(E287,'Type Chart'!$A:$A,0),MATCH(XLOOKUP('Boss Editor'!$C$4,'Pokemon Editor'!$A:$A,'Pokemon Editor'!$D:$D,""),'Type Chart'!$B$1:$S$1,0))))</f>
        <v/>
      </c>
      <c r="J287" s="3">
        <f>IFERROR(LET(mtype,XLOOKUP($D287,'Move Editor'!$B:$B,'Move Editor'!$C:$C,""),cat,XLOOKUP($D287,'Move Editor'!$B:$B,'Move Editor'!$D:$D,""),pow,XLOOKUP($D287,'Move Editor'!$B:$B,'Move Editor'!$E:$E,0),acc,XLOOKUP($D287,'Move Editor'!$B:$B,'Move Editor'!$F:$F,100),atk,IF(cat="Physical",FLOOR((FLOOR(((2*XLOOKUP(XLOOKUP($Q287,'Threshold Summary'!$Y:$Y,'Threshold Summary'!$K:$K,""),'Pokemon Editor'!$A:$A,'Pokemon Editor'!$F:$F,0)+31+FLOOR(XLOOKUP($Q287,'Threshold Summary'!$Y:$Y,'Threshold Summary'!$P:$P,"")/4))*XLOOKUP($Q287,'Threshold Summary'!$Y:$Y,'Threshold Summary'!$L:$L,""))/100)+5)*XLOOKUP(XLOOKUP($Q287,'Threshold Summary'!$Y:$Y,'Threshold Summary'!$M:$M,""),'Nature Editor'!$A:$A,'Nature Editor'!$B:$B,1)),FLOOR((FLOOR(((2*XLOOKUP(XLOOKUP($Q287,'Threshold Summary'!$Y:$Y,'Threshold Summary'!$K:$K,""),'Pokemon Editor'!$A:$A,'Pokemon Editor'!$H:$H,0)+31+FLOOR(XLOOKUP($Q287,'Threshold Summary'!$Y:$Y,'Threshold Summary'!$R:$R,"")/4))*XLOOKUP($Q287,'Threshold Summary'!$Y:$Y,'Threshold Summary'!$L:$L,""))/100)+5)*XLOOKUP(XLOOKUP($Q287,'Threshold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Editor'!$E:$E,1))),stab,IF(OR(mtype=XLOOKUP(XLOOKUP($Q287,'Threshold Summary'!$Y:$Y,'Threshold Summary'!$K:$K,""),'Pokemon Editor'!$A:$A,'Pokemon Editor'!$C:$C,""),mtype=XLOOKUP(XLOOKUP($Q287,'Threshold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Chart'!$B$1:$S$1,0)))),base,IF(OR(cat="Status",pow=0),0,FLOOR(FLOOR(FLOOR((2*XLOOKUP($Q287,'Threshold Summary'!$Y:$Y,'Threshold Summary'!$L:$L,"")/5+2)*pow*atk/def)/50)+2)),modifier,stab*eff,FLOOR(base*modifier*0.85)),0)</f>
        <v/>
      </c>
      <c r="K287" s="3">
        <f>IFERROR(LET(mtype,XLOOKUP($D287,'Move Editor'!$B:$B,'Move Editor'!$C:$C,""),cat,XLOOKUP($D287,'Move Editor'!$B:$B,'Move Editor'!$D:$D,""),pow,XLOOKUP($D287,'Move Editor'!$B:$B,'Move Editor'!$E:$E,0),acc,XLOOKUP($D287,'Move Editor'!$B:$B,'Move Editor'!$F:$F,100),atk,IF(cat="Physical",FLOOR((FLOOR(((2*XLOOKUP(XLOOKUP($Q287,'Threshold Summary'!$Y:$Y,'Threshold Summary'!$K:$K,""),'Pokemon Editor'!$A:$A,'Pokemon Editor'!$F:$F,0)+31+FLOOR(XLOOKUP($Q287,'Threshold Summary'!$Y:$Y,'Threshold Summary'!$P:$P,"")/4))*XLOOKUP($Q287,'Threshold Summary'!$Y:$Y,'Threshold Summary'!$L:$L,""))/100)+5)*XLOOKUP(XLOOKUP($Q287,'Threshold Summary'!$Y:$Y,'Threshold Summary'!$M:$M,""),'Nature Editor'!$A:$A,'Nature Editor'!$B:$B,1)),FLOOR((FLOOR(((2*XLOOKUP(XLOOKUP($Q287,'Threshold Summary'!$Y:$Y,'Threshold Summary'!$K:$K,""),'Pokemon Editor'!$A:$A,'Pokemon Editor'!$H:$H,0)+31+FLOOR(XLOOKUP($Q287,'Threshold Summary'!$Y:$Y,'Threshold Summary'!$R:$R,"")/4))*XLOOKUP($Q287,'Threshold Summary'!$Y:$Y,'Threshold Summary'!$L:$L,""))/100)+5)*XLOOKUP(XLOOKUP($Q287,'Threshold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Editor'!$E:$E,1))),stab,IF(OR(mtype=XLOOKUP(XLOOKUP($Q287,'Threshold Summary'!$Y:$Y,'Threshold Summary'!$K:$K,""),'Pokemon Editor'!$A:$A,'Pokemon Editor'!$C:$C,""),mtype=XLOOKUP(XLOOKUP($Q287,'Threshold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Chart'!$B$1:$S$1,0)))),base,IF(OR(cat="Status",pow=0),0,FLOOR(FLOOR(FLOOR((2*XLOOKUP($Q287,'Threshold Summary'!$Y:$Y,'Threshold Summary'!$L:$L,"")/5+2)*pow*atk/def)/50)+2)),modifier,stab*eff,FLOOR(base*modifier)),0)</f>
        <v/>
      </c>
      <c r="L287" s="3">
        <f>IFERROR(LET(mtype,XLOOKUP($D287,'Move Editor'!$B:$B,'Move Editor'!$C:$C,""),cat,XLOOKUP($D287,'Move Editor'!$B:$B,'Move Editor'!$D:$D,""),pow,XLOOKUP($D287,'Move Editor'!$B:$B,'Move Editor'!$E:$E,0),acc,XLOOKUP($D287,'Move Editor'!$B:$B,'Move Editor'!$F:$F,100),atk,IF(cat="Physical",FLOOR((FLOOR(((2*XLOOKUP(XLOOKUP($Q287,'Threshold Summary'!$Y:$Y,'Threshold Summary'!$K:$K,""),'Pokemon Editor'!$A:$A,'Pokemon Editor'!$F:$F,0)+31+FLOOR(XLOOKUP($Q287,'Threshold Summary'!$Y:$Y,'Threshold Summary'!$P:$P,"")/4))*XLOOKUP($Q287,'Threshold Summary'!$Y:$Y,'Threshold Summary'!$L:$L,""))/100)+5)*XLOOKUP(XLOOKUP($Q287,'Threshold Summary'!$Y:$Y,'Threshold Summary'!$M:$M,""),'Nature Editor'!$A:$A,'Nature Editor'!$B:$B,1)),FLOOR((FLOOR(((2*XLOOKUP(XLOOKUP($Q287,'Threshold Summary'!$Y:$Y,'Threshold Summary'!$K:$K,""),'Pokemon Editor'!$A:$A,'Pokemon Editor'!$H:$H,0)+31+FLOOR(XLOOKUP($Q287,'Threshold Summary'!$Y:$Y,'Threshold Summary'!$R:$R,"")/4))*XLOOKUP($Q287,'Threshold Summary'!$Y:$Y,'Threshold Summary'!$L:$L,""))/100)+5)*XLOOKUP(XLOOKUP($Q287,'Threshold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Editor'!$E:$E,1))),stab,IF(OR(mtype=XLOOKUP(XLOOKUP($Q287,'Threshold Summary'!$Y:$Y,'Threshold Summary'!$K:$K,""),'Pokemon Editor'!$A:$A,'Pokemon Editor'!$C:$C,""),mtype=XLOOKUP(XLOOKUP($Q287,'Threshold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Chart'!$B$1:$S$1,0)))),base,IF(OR(cat="Status",pow=0),0,FLOOR(FLOOR(FLOOR((2*XLOOKUP($Q287,'Threshold Summary'!$Y:$Y,'Threshold Summary'!$L:$L,"")/5+2)*pow*atk/def)/50)+2)),modifier,stab*eff,AVERAGE(ARRAYFORMULA(FLOOR(base*modifier*SEQUENCE(16,1,85,1)/100)))),0)</f>
        <v/>
      </c>
      <c r="M287" s="3">
        <f>IFERROR(LET(mtype,XLOOKUP($D287,'Move Editor'!$B:$B,'Move Editor'!$C:$C,""),cat,XLOOKUP($D287,'Move Editor'!$B:$B,'Move Editor'!$D:$D,""),pow,XLOOKUP($D287,'Move Editor'!$B:$B,'Move Editor'!$E:$E,0),acc,XLOOKUP($D287,'Move Editor'!$B:$B,'Move Editor'!$F:$F,100),atk,IF(cat="Physical",FLOOR((FLOOR(((2*XLOOKUP(XLOOKUP($Q287,'Threshold Summary'!$Y:$Y,'Threshold Summary'!$K:$K,""),'Pokemon Editor'!$A:$A,'Pokemon Editor'!$F:$F,0)+31+FLOOR(XLOOKUP($Q287,'Threshold Summary'!$Y:$Y,'Threshold Summary'!$P:$P,"")/4))*XLOOKUP($Q287,'Threshold Summary'!$Y:$Y,'Threshold Summary'!$L:$L,""))/100)+5)*XLOOKUP(XLOOKUP($Q287,'Threshold Summary'!$Y:$Y,'Threshold Summary'!$M:$M,""),'Nature Editor'!$A:$A,'Nature Editor'!$B:$B,1)),FLOOR((FLOOR(((2*XLOOKUP(XLOOKUP($Q287,'Threshold Summary'!$Y:$Y,'Threshold Summary'!$K:$K,""),'Pokemon Editor'!$A:$A,'Pokemon Editor'!$H:$H,0)+31+FLOOR(XLOOKUP($Q287,'Threshold Summary'!$Y:$Y,'Threshold Summary'!$R:$R,"")/4))*XLOOKUP($Q287,'Threshold Summary'!$Y:$Y,'Threshold Summary'!$L:$L,""))/100)+5)*XLOOKUP(XLOOKUP($Q287,'Threshold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Editor'!$E:$E,1))),stab,IF(OR(mtype=XLOOKUP(XLOOKUP($Q287,'Threshold Summary'!$Y:$Y,'Threshold Summary'!$K:$K,""),'Pokemon Editor'!$A:$A,'Pokemon Editor'!$C:$C,""),mtype=XLOOKUP(XLOOKUP($Q287,'Threshold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Chart'!$B$1:$S$1,0)))),base,IF(OR(cat="Status",pow=0),0,FLOOR(FLOOR(FLOOR((2*XLOOKUP($Q287,'Threshold Summary'!$Y:$Y,'Threshold Summary'!$L:$L,"")/5+2)*pow*atk/def)/50)+2)),modifier,stab*eff,AVERAGE(ARRAYFORMULA(FLOOR(base*modifier*SEQUENCE(16,1,85,1)/100)))*MIN(1,acc/100)),0)</f>
        <v/>
      </c>
      <c r="N287" s="4">
        <f>IFERROR(LET(mtype,XLOOKUP($D287,'Move Editor'!$B:$B,'Move Editor'!$C:$C,""),cat,XLOOKUP($D287,'Move Editor'!$B:$B,'Move Editor'!$D:$D,""),pow,XLOOKUP($D287,'Move Editor'!$B:$B,'Move Editor'!$E:$E,0),acc,XLOOKUP($D287,'Move Editor'!$B:$B,'Move Editor'!$F:$F,100),atk,IF(cat="Physical",FLOOR((FLOOR(((2*XLOOKUP(XLOOKUP($Q287,'Threshold Summary'!$Y:$Y,'Threshold Summary'!$K:$K,""),'Pokemon Editor'!$A:$A,'Pokemon Editor'!$F:$F,0)+31+FLOOR(XLOOKUP($Q287,'Threshold Summary'!$Y:$Y,'Threshold Summary'!$P:$P,"")/4))*XLOOKUP($Q287,'Threshold Summary'!$Y:$Y,'Threshold Summary'!$L:$L,""))/100)+5)*XLOOKUP(XLOOKUP($Q287,'Threshold Summary'!$Y:$Y,'Threshold Summary'!$M:$M,""),'Nature Editor'!$A:$A,'Nature Editor'!$B:$B,1)),FLOOR((FLOOR(((2*XLOOKUP(XLOOKUP($Q287,'Threshold Summary'!$Y:$Y,'Threshold Summary'!$K:$K,""),'Pokemon Editor'!$A:$A,'Pokemon Editor'!$H:$H,0)+31+FLOOR(XLOOKUP($Q287,'Threshold Summary'!$Y:$Y,'Threshold Summary'!$R:$R,"")/4))*XLOOKUP($Q287,'Threshold Summary'!$Y:$Y,'Threshold Summary'!$L:$L,""))/100)+5)*XLOOKUP(XLOOKUP($Q287,'Threshold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Editor'!$E:$E,1))),stab,IF(OR(mtype=XLOOKUP(XLOOKUP($Q287,'Threshold Summary'!$Y:$Y,'Threshold Summary'!$K:$K,""),'Pokemon Editor'!$A:$A,'Pokemon Editor'!$C:$C,""),mtype=XLOOKUP(XLOOKUP($Q287,'Threshold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Chart'!$B$1:$S$1,0)))),base,IF(OR(cat="Status",pow=0),0,FLOOR(FLOOR(FLOOR((2*XLOOKUP($Q287,'Threshold Summary'!$Y:$Y,'Threshold Summary'!$L:$L,"")/5+2)*pow*atk/def)/50)+2)),modifier,stab*eff,AVERAGE(ARRAYFORMULA(FLOOR(base*modifier*SEQUENCE(16,1,85,1)/100)))/(FLOOR(((2*XLOOKUP('Boss Editor'!$C$4,'Pokemon Editor'!$A:$A,'Pokemon Editor'!$E:$E,0)+31+FLOOR('Boss Editor'!$G$4/4))*'Boss Editor'!$D$4)/100)+'Boss Editor'!$D$4+10)),0)</f>
        <v/>
      </c>
      <c r="O287" s="3">
        <f>IF(N287&gt;=1,"OHKO",IF(N287&gt;=0.5,"2HKO",IF(N287&gt;=0.333,"3HKO",IF(N287&gt;=0.25,"4HKO","5HKO+"))))</f>
        <v/>
      </c>
      <c r="P287" s="3" t="inlineStr">
        <is>
          <t>Live from editable databases</t>
        </is>
      </c>
      <c r="Q287" s="3" t="inlineStr">
        <is>
          <t>SPECIES_BUDEW</t>
        </is>
      </c>
      <c r="R287" s="3" t="n">
        <v>30</v>
      </c>
    </row>
    <row r="288">
      <c r="A288" s="3">
        <f>XLOOKUP($Q288,'Threshold Summary'!$Y:$Y,'Threshold Summary'!$A:$A,"")</f>
        <v/>
      </c>
      <c r="B288" s="3">
        <f>XLOOKUP($Q288,'Threshold Summary'!$Y:$Y,'Threshold Summary'!$M:$M,"")</f>
        <v/>
      </c>
      <c r="C288" s="3">
        <f>XLOOKUP($Q288,'Threshold Summary'!$Y:$Y,'Threshold Summary'!$N:$N,"")</f>
        <v/>
      </c>
      <c r="D288" s="3">
        <f>IFERROR(INDEX(FILTER('Learnset Editor'!$D$2:$D,'Learnset Editor'!$A$2:$A=XLOOKUP($Q288,'Threshold Summary'!$Y:$Y,'Threshold Summary'!$K:$K,""),'Learnset Editor'!$C$2:$C&lt;=XLOOKUP($Q288,'Threshold Summary'!$Y:$Y,'Threshold Summary'!$L:$L,"")),$R288),"")</f>
        <v/>
      </c>
      <c r="E288" s="3">
        <f>XLOOKUP(D288,'Move Editor'!$B:$B,'Move Editor'!$C:$C,"")</f>
        <v/>
      </c>
      <c r="F288" s="3">
        <f>XLOOKUP(D288,'Move Editor'!$B:$B,'Move Editor'!$D:$D,"")</f>
        <v/>
      </c>
      <c r="G288" s="3">
        <f>XLOOKUP(D288,'Move Editor'!$B:$B,'Move Editor'!$E:$E,0)</f>
        <v/>
      </c>
      <c r="H288" s="3">
        <f>XLOOKUP(D288,'Move Editor'!$B:$B,'Move Editor'!$F:$F,0)</f>
        <v/>
      </c>
      <c r="I288" s="3">
        <f>(INDEX('Type Chart'!$B:$S,MATCH(E288,'Type Chart'!$A:$A,0),MATCH(XLOOKUP('Boss Editor'!$C$4,'Pokemon Editor'!$A:$A,'Pokemon Editor'!$C:$C,""),'Type Chart'!$B$1:$S$1,0))*IF(XLOOKUP('Boss Editor'!$C$4,'Pokemon Editor'!$A:$A,'Pokemon Editor'!$D:$D,"")="",1,INDEX('Type Chart'!$B:$S,MATCH(E288,'Type Chart'!$A:$A,0),MATCH(XLOOKUP('Boss Editor'!$C$4,'Pokemon Editor'!$A:$A,'Pokemon Editor'!$D:$D,""),'Type Chart'!$B$1:$S$1,0))))</f>
        <v/>
      </c>
      <c r="J288" s="3">
        <f>IFERROR(LET(mtype,XLOOKUP($D288,'Move Editor'!$B:$B,'Move Editor'!$C:$C,""),cat,XLOOKUP($D288,'Move Editor'!$B:$B,'Move Editor'!$D:$D,""),pow,XLOOKUP($D288,'Move Editor'!$B:$B,'Move Editor'!$E:$E,0),acc,XLOOKUP($D288,'Move Editor'!$B:$B,'Move Editor'!$F:$F,100),atk,IF(cat="Physical",FLOOR((FLOOR(((2*XLOOKUP(XLOOKUP($Q288,'Threshold Summary'!$Y:$Y,'Threshold Summary'!$K:$K,""),'Pokemon Editor'!$A:$A,'Pokemon Editor'!$F:$F,0)+31+FLOOR(XLOOKUP($Q288,'Threshold Summary'!$Y:$Y,'Threshold Summary'!$P:$P,"")/4))*XLOOKUP($Q288,'Threshold Summary'!$Y:$Y,'Threshold Summary'!$L:$L,""))/100)+5)*XLOOKUP(XLOOKUP($Q288,'Threshold Summary'!$Y:$Y,'Threshold Summary'!$M:$M,""),'Nature Editor'!$A:$A,'Nature Editor'!$B:$B,1)),FLOOR((FLOOR(((2*XLOOKUP(XLOOKUP($Q288,'Threshold Summary'!$Y:$Y,'Threshold Summary'!$K:$K,""),'Pokemon Editor'!$A:$A,'Pokemon Editor'!$H:$H,0)+31+FLOOR(XLOOKUP($Q288,'Threshold Summary'!$Y:$Y,'Threshold Summary'!$R:$R,"")/4))*XLOOKUP($Q288,'Threshold Summary'!$Y:$Y,'Threshold Summary'!$L:$L,""))/100)+5)*XLOOKUP(XLOOKUP($Q288,'Threshold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Editor'!$E:$E,1))),stab,IF(OR(mtype=XLOOKUP(XLOOKUP($Q288,'Threshold Summary'!$Y:$Y,'Threshold Summary'!$K:$K,""),'Pokemon Editor'!$A:$A,'Pokemon Editor'!$C:$C,""),mtype=XLOOKUP(XLOOKUP($Q288,'Threshold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Chart'!$B$1:$S$1,0)))),base,IF(OR(cat="Status",pow=0),0,FLOOR(FLOOR(FLOOR((2*XLOOKUP($Q288,'Threshold Summary'!$Y:$Y,'Threshold Summary'!$L:$L,"")/5+2)*pow*atk/def)/50)+2)),modifier,stab*eff,FLOOR(base*modifier*0.85)),0)</f>
        <v/>
      </c>
      <c r="K288" s="3">
        <f>IFERROR(LET(mtype,XLOOKUP($D288,'Move Editor'!$B:$B,'Move Editor'!$C:$C,""),cat,XLOOKUP($D288,'Move Editor'!$B:$B,'Move Editor'!$D:$D,""),pow,XLOOKUP($D288,'Move Editor'!$B:$B,'Move Editor'!$E:$E,0),acc,XLOOKUP($D288,'Move Editor'!$B:$B,'Move Editor'!$F:$F,100),atk,IF(cat="Physical",FLOOR((FLOOR(((2*XLOOKUP(XLOOKUP($Q288,'Threshold Summary'!$Y:$Y,'Threshold Summary'!$K:$K,""),'Pokemon Editor'!$A:$A,'Pokemon Editor'!$F:$F,0)+31+FLOOR(XLOOKUP($Q288,'Threshold Summary'!$Y:$Y,'Threshold Summary'!$P:$P,"")/4))*XLOOKUP($Q288,'Threshold Summary'!$Y:$Y,'Threshold Summary'!$L:$L,""))/100)+5)*XLOOKUP(XLOOKUP($Q288,'Threshold Summary'!$Y:$Y,'Threshold Summary'!$M:$M,""),'Nature Editor'!$A:$A,'Nature Editor'!$B:$B,1)),FLOOR((FLOOR(((2*XLOOKUP(XLOOKUP($Q288,'Threshold Summary'!$Y:$Y,'Threshold Summary'!$K:$K,""),'Pokemon Editor'!$A:$A,'Pokemon Editor'!$H:$H,0)+31+FLOOR(XLOOKUP($Q288,'Threshold Summary'!$Y:$Y,'Threshold Summary'!$R:$R,"")/4))*XLOOKUP($Q288,'Threshold Summary'!$Y:$Y,'Threshold Summary'!$L:$L,""))/100)+5)*XLOOKUP(XLOOKUP($Q288,'Threshold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Editor'!$E:$E,1))),stab,IF(OR(mtype=XLOOKUP(XLOOKUP($Q288,'Threshold Summary'!$Y:$Y,'Threshold Summary'!$K:$K,""),'Pokemon Editor'!$A:$A,'Pokemon Editor'!$C:$C,""),mtype=XLOOKUP(XLOOKUP($Q288,'Threshold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Chart'!$B$1:$S$1,0)))),base,IF(OR(cat="Status",pow=0),0,FLOOR(FLOOR(FLOOR((2*XLOOKUP($Q288,'Threshold Summary'!$Y:$Y,'Threshold Summary'!$L:$L,"")/5+2)*pow*atk/def)/50)+2)),modifier,stab*eff,FLOOR(base*modifier)),0)</f>
        <v/>
      </c>
      <c r="L288" s="3">
        <f>IFERROR(LET(mtype,XLOOKUP($D288,'Move Editor'!$B:$B,'Move Editor'!$C:$C,""),cat,XLOOKUP($D288,'Move Editor'!$B:$B,'Move Editor'!$D:$D,""),pow,XLOOKUP($D288,'Move Editor'!$B:$B,'Move Editor'!$E:$E,0),acc,XLOOKUP($D288,'Move Editor'!$B:$B,'Move Editor'!$F:$F,100),atk,IF(cat="Physical",FLOOR((FLOOR(((2*XLOOKUP(XLOOKUP($Q288,'Threshold Summary'!$Y:$Y,'Threshold Summary'!$K:$K,""),'Pokemon Editor'!$A:$A,'Pokemon Editor'!$F:$F,0)+31+FLOOR(XLOOKUP($Q288,'Threshold Summary'!$Y:$Y,'Threshold Summary'!$P:$P,"")/4))*XLOOKUP($Q288,'Threshold Summary'!$Y:$Y,'Threshold Summary'!$L:$L,""))/100)+5)*XLOOKUP(XLOOKUP($Q288,'Threshold Summary'!$Y:$Y,'Threshold Summary'!$M:$M,""),'Nature Editor'!$A:$A,'Nature Editor'!$B:$B,1)),FLOOR((FLOOR(((2*XLOOKUP(XLOOKUP($Q288,'Threshold Summary'!$Y:$Y,'Threshold Summary'!$K:$K,""),'Pokemon Editor'!$A:$A,'Pokemon Editor'!$H:$H,0)+31+FLOOR(XLOOKUP($Q288,'Threshold Summary'!$Y:$Y,'Threshold Summary'!$R:$R,"")/4))*XLOOKUP($Q288,'Threshold Summary'!$Y:$Y,'Threshold Summary'!$L:$L,""))/100)+5)*XLOOKUP(XLOOKUP($Q288,'Threshold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Editor'!$E:$E,1))),stab,IF(OR(mtype=XLOOKUP(XLOOKUP($Q288,'Threshold Summary'!$Y:$Y,'Threshold Summary'!$K:$K,""),'Pokemon Editor'!$A:$A,'Pokemon Editor'!$C:$C,""),mtype=XLOOKUP(XLOOKUP($Q288,'Threshold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Chart'!$B$1:$S$1,0)))),base,IF(OR(cat="Status",pow=0),0,FLOOR(FLOOR(FLOOR((2*XLOOKUP($Q288,'Threshold Summary'!$Y:$Y,'Threshold Summary'!$L:$L,"")/5+2)*pow*atk/def)/50)+2)),modifier,stab*eff,AVERAGE(ARRAYFORMULA(FLOOR(base*modifier*SEQUENCE(16,1,85,1)/100)))),0)</f>
        <v/>
      </c>
      <c r="M288" s="3">
        <f>IFERROR(LET(mtype,XLOOKUP($D288,'Move Editor'!$B:$B,'Move Editor'!$C:$C,""),cat,XLOOKUP($D288,'Move Editor'!$B:$B,'Move Editor'!$D:$D,""),pow,XLOOKUP($D288,'Move Editor'!$B:$B,'Move Editor'!$E:$E,0),acc,XLOOKUP($D288,'Move Editor'!$B:$B,'Move Editor'!$F:$F,100),atk,IF(cat="Physical",FLOOR((FLOOR(((2*XLOOKUP(XLOOKUP($Q288,'Threshold Summary'!$Y:$Y,'Threshold Summary'!$K:$K,""),'Pokemon Editor'!$A:$A,'Pokemon Editor'!$F:$F,0)+31+FLOOR(XLOOKUP($Q288,'Threshold Summary'!$Y:$Y,'Threshold Summary'!$P:$P,"")/4))*XLOOKUP($Q288,'Threshold Summary'!$Y:$Y,'Threshold Summary'!$L:$L,""))/100)+5)*XLOOKUP(XLOOKUP($Q288,'Threshold Summary'!$Y:$Y,'Threshold Summary'!$M:$M,""),'Nature Editor'!$A:$A,'Nature Editor'!$B:$B,1)),FLOOR((FLOOR(((2*XLOOKUP(XLOOKUP($Q288,'Threshold Summary'!$Y:$Y,'Threshold Summary'!$K:$K,""),'Pokemon Editor'!$A:$A,'Pokemon Editor'!$H:$H,0)+31+FLOOR(XLOOKUP($Q288,'Threshold Summary'!$Y:$Y,'Threshold Summary'!$R:$R,"")/4))*XLOOKUP($Q288,'Threshold Summary'!$Y:$Y,'Threshold Summary'!$L:$L,""))/100)+5)*XLOOKUP(XLOOKUP($Q288,'Threshold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Editor'!$E:$E,1))),stab,IF(OR(mtype=XLOOKUP(XLOOKUP($Q288,'Threshold Summary'!$Y:$Y,'Threshold Summary'!$K:$K,""),'Pokemon Editor'!$A:$A,'Pokemon Editor'!$C:$C,""),mtype=XLOOKUP(XLOOKUP($Q288,'Threshold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Chart'!$B$1:$S$1,0)))),base,IF(OR(cat="Status",pow=0),0,FLOOR(FLOOR(FLOOR((2*XLOOKUP($Q288,'Threshold Summary'!$Y:$Y,'Threshold Summary'!$L:$L,"")/5+2)*pow*atk/def)/50)+2)),modifier,stab*eff,AVERAGE(ARRAYFORMULA(FLOOR(base*modifier*SEQUENCE(16,1,85,1)/100)))*MIN(1,acc/100)),0)</f>
        <v/>
      </c>
      <c r="N288" s="4">
        <f>IFERROR(LET(mtype,XLOOKUP($D288,'Move Editor'!$B:$B,'Move Editor'!$C:$C,""),cat,XLOOKUP($D288,'Move Editor'!$B:$B,'Move Editor'!$D:$D,""),pow,XLOOKUP($D288,'Move Editor'!$B:$B,'Move Editor'!$E:$E,0),acc,XLOOKUP($D288,'Move Editor'!$B:$B,'Move Editor'!$F:$F,100),atk,IF(cat="Physical",FLOOR((FLOOR(((2*XLOOKUP(XLOOKUP($Q288,'Threshold Summary'!$Y:$Y,'Threshold Summary'!$K:$K,""),'Pokemon Editor'!$A:$A,'Pokemon Editor'!$F:$F,0)+31+FLOOR(XLOOKUP($Q288,'Threshold Summary'!$Y:$Y,'Threshold Summary'!$P:$P,"")/4))*XLOOKUP($Q288,'Threshold Summary'!$Y:$Y,'Threshold Summary'!$L:$L,""))/100)+5)*XLOOKUP(XLOOKUP($Q288,'Threshold Summary'!$Y:$Y,'Threshold Summary'!$M:$M,""),'Nature Editor'!$A:$A,'Nature Editor'!$B:$B,1)),FLOOR((FLOOR(((2*XLOOKUP(XLOOKUP($Q288,'Threshold Summary'!$Y:$Y,'Threshold Summary'!$K:$K,""),'Pokemon Editor'!$A:$A,'Pokemon Editor'!$H:$H,0)+31+FLOOR(XLOOKUP($Q288,'Threshold Summary'!$Y:$Y,'Threshold Summary'!$R:$R,"")/4))*XLOOKUP($Q288,'Threshold Summary'!$Y:$Y,'Threshold Summary'!$L:$L,""))/100)+5)*XLOOKUP(XLOOKUP($Q288,'Threshold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Editor'!$E:$E,1))),stab,IF(OR(mtype=XLOOKUP(XLOOKUP($Q288,'Threshold Summary'!$Y:$Y,'Threshold Summary'!$K:$K,""),'Pokemon Editor'!$A:$A,'Pokemon Editor'!$C:$C,""),mtype=XLOOKUP(XLOOKUP($Q288,'Threshold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Chart'!$B$1:$S$1,0)))),base,IF(OR(cat="Status",pow=0),0,FLOOR(FLOOR(FLOOR((2*XLOOKUP($Q288,'Threshold Summary'!$Y:$Y,'Threshold Summary'!$L:$L,"")/5+2)*pow*atk/def)/50)+2)),modifier,stab*eff,AVERAGE(ARRAYFORMULA(FLOOR(base*modifier*SEQUENCE(16,1,85,1)/100)))/(FLOOR(((2*XLOOKUP('Boss Editor'!$C$4,'Pokemon Editor'!$A:$A,'Pokemon Editor'!$E:$E,0)+31+FLOOR('Boss Editor'!$G$4/4))*'Boss Editor'!$D$4)/100)+'Boss Editor'!$D$4+10)),0)</f>
        <v/>
      </c>
      <c r="O288" s="3">
        <f>IF(N288&gt;=1,"OHKO",IF(N288&gt;=0.5,"2HKO",IF(N288&gt;=0.333,"3HKO",IF(N288&gt;=0.25,"4HKO","5HKO+"))))</f>
        <v/>
      </c>
      <c r="P288" s="3" t="inlineStr">
        <is>
          <t>Live from editable databases</t>
        </is>
      </c>
      <c r="Q288" s="3" t="inlineStr">
        <is>
          <t>SPECIES_BUDEW</t>
        </is>
      </c>
      <c r="R288" s="3" t="n">
        <v>31</v>
      </c>
    </row>
    <row r="289">
      <c r="A289" s="3">
        <f>XLOOKUP($Q289,'Threshold Summary'!$Y:$Y,'Threshold Summary'!$A:$A,"")</f>
        <v/>
      </c>
      <c r="B289" s="3">
        <f>XLOOKUP($Q289,'Threshold Summary'!$Y:$Y,'Threshold Summary'!$M:$M,"")</f>
        <v/>
      </c>
      <c r="C289" s="3">
        <f>XLOOKUP($Q289,'Threshold Summary'!$Y:$Y,'Threshold Summary'!$N:$N,"")</f>
        <v/>
      </c>
      <c r="D289" s="3">
        <f>IFERROR(INDEX(FILTER('Learnset Editor'!$D$2:$D,'Learnset Editor'!$A$2:$A=XLOOKUP($Q289,'Threshold Summary'!$Y:$Y,'Threshold Summary'!$K:$K,""),'Learnset Editor'!$C$2:$C&lt;=XLOOKUP($Q289,'Threshold Summary'!$Y:$Y,'Threshold Summary'!$L:$L,"")),$R289),"")</f>
        <v/>
      </c>
      <c r="E289" s="3">
        <f>XLOOKUP(D289,'Move Editor'!$B:$B,'Move Editor'!$C:$C,"")</f>
        <v/>
      </c>
      <c r="F289" s="3">
        <f>XLOOKUP(D289,'Move Editor'!$B:$B,'Move Editor'!$D:$D,"")</f>
        <v/>
      </c>
      <c r="G289" s="3">
        <f>XLOOKUP(D289,'Move Editor'!$B:$B,'Move Editor'!$E:$E,0)</f>
        <v/>
      </c>
      <c r="H289" s="3">
        <f>XLOOKUP(D289,'Move Editor'!$B:$B,'Move Editor'!$F:$F,0)</f>
        <v/>
      </c>
      <c r="I289" s="3">
        <f>(INDEX('Type Chart'!$B:$S,MATCH(E289,'Type Chart'!$A:$A,0),MATCH(XLOOKUP('Boss Editor'!$C$4,'Pokemon Editor'!$A:$A,'Pokemon Editor'!$C:$C,""),'Type Chart'!$B$1:$S$1,0))*IF(XLOOKUP('Boss Editor'!$C$4,'Pokemon Editor'!$A:$A,'Pokemon Editor'!$D:$D,"")="",1,INDEX('Type Chart'!$B:$S,MATCH(E289,'Type Chart'!$A:$A,0),MATCH(XLOOKUP('Boss Editor'!$C$4,'Pokemon Editor'!$A:$A,'Pokemon Editor'!$D:$D,""),'Type Chart'!$B$1:$S$1,0))))</f>
        <v/>
      </c>
      <c r="J289" s="3">
        <f>IFERROR(LET(mtype,XLOOKUP($D289,'Move Editor'!$B:$B,'Move Editor'!$C:$C,""),cat,XLOOKUP($D289,'Move Editor'!$B:$B,'Move Editor'!$D:$D,""),pow,XLOOKUP($D289,'Move Editor'!$B:$B,'Move Editor'!$E:$E,0),acc,XLOOKUP($D289,'Move Editor'!$B:$B,'Move Editor'!$F:$F,100),atk,IF(cat="Physical",FLOOR((FLOOR(((2*XLOOKUP(XLOOKUP($Q289,'Threshold Summary'!$Y:$Y,'Threshold Summary'!$K:$K,""),'Pokemon Editor'!$A:$A,'Pokemon Editor'!$F:$F,0)+31+FLOOR(XLOOKUP($Q289,'Threshold Summary'!$Y:$Y,'Threshold Summary'!$P:$P,"")/4))*XLOOKUP($Q289,'Threshold Summary'!$Y:$Y,'Threshold Summary'!$L:$L,""))/100)+5)*XLOOKUP(XLOOKUP($Q289,'Threshold Summary'!$Y:$Y,'Threshold Summary'!$M:$M,""),'Nature Editor'!$A:$A,'Nature Editor'!$B:$B,1)),FLOOR((FLOOR(((2*XLOOKUP(XLOOKUP($Q289,'Threshold Summary'!$Y:$Y,'Threshold Summary'!$K:$K,""),'Pokemon Editor'!$A:$A,'Pokemon Editor'!$H:$H,0)+31+FLOOR(XLOOKUP($Q289,'Threshold Summary'!$Y:$Y,'Threshold Summary'!$R:$R,"")/4))*XLOOKUP($Q289,'Threshold Summary'!$Y:$Y,'Threshold Summary'!$L:$L,""))/100)+5)*XLOOKUP(XLOOKUP($Q289,'Threshold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Editor'!$E:$E,1))),stab,IF(OR(mtype=XLOOKUP(XLOOKUP($Q289,'Threshold Summary'!$Y:$Y,'Threshold Summary'!$K:$K,""),'Pokemon Editor'!$A:$A,'Pokemon Editor'!$C:$C,""),mtype=XLOOKUP(XLOOKUP($Q289,'Threshold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Chart'!$B$1:$S$1,0)))),base,IF(OR(cat="Status",pow=0),0,FLOOR(FLOOR(FLOOR((2*XLOOKUP($Q289,'Threshold Summary'!$Y:$Y,'Threshold Summary'!$L:$L,"")/5+2)*pow*atk/def)/50)+2)),modifier,stab*eff,FLOOR(base*modifier*0.85)),0)</f>
        <v/>
      </c>
      <c r="K289" s="3">
        <f>IFERROR(LET(mtype,XLOOKUP($D289,'Move Editor'!$B:$B,'Move Editor'!$C:$C,""),cat,XLOOKUP($D289,'Move Editor'!$B:$B,'Move Editor'!$D:$D,""),pow,XLOOKUP($D289,'Move Editor'!$B:$B,'Move Editor'!$E:$E,0),acc,XLOOKUP($D289,'Move Editor'!$B:$B,'Move Editor'!$F:$F,100),atk,IF(cat="Physical",FLOOR((FLOOR(((2*XLOOKUP(XLOOKUP($Q289,'Threshold Summary'!$Y:$Y,'Threshold Summary'!$K:$K,""),'Pokemon Editor'!$A:$A,'Pokemon Editor'!$F:$F,0)+31+FLOOR(XLOOKUP($Q289,'Threshold Summary'!$Y:$Y,'Threshold Summary'!$P:$P,"")/4))*XLOOKUP($Q289,'Threshold Summary'!$Y:$Y,'Threshold Summary'!$L:$L,""))/100)+5)*XLOOKUP(XLOOKUP($Q289,'Threshold Summary'!$Y:$Y,'Threshold Summary'!$M:$M,""),'Nature Editor'!$A:$A,'Nature Editor'!$B:$B,1)),FLOOR((FLOOR(((2*XLOOKUP(XLOOKUP($Q289,'Threshold Summary'!$Y:$Y,'Threshold Summary'!$K:$K,""),'Pokemon Editor'!$A:$A,'Pokemon Editor'!$H:$H,0)+31+FLOOR(XLOOKUP($Q289,'Threshold Summary'!$Y:$Y,'Threshold Summary'!$R:$R,"")/4))*XLOOKUP($Q289,'Threshold Summary'!$Y:$Y,'Threshold Summary'!$L:$L,""))/100)+5)*XLOOKUP(XLOOKUP($Q289,'Threshold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Editor'!$E:$E,1))),stab,IF(OR(mtype=XLOOKUP(XLOOKUP($Q289,'Threshold Summary'!$Y:$Y,'Threshold Summary'!$K:$K,""),'Pokemon Editor'!$A:$A,'Pokemon Editor'!$C:$C,""),mtype=XLOOKUP(XLOOKUP($Q289,'Threshold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Chart'!$B$1:$S$1,0)))),base,IF(OR(cat="Status",pow=0),0,FLOOR(FLOOR(FLOOR((2*XLOOKUP($Q289,'Threshold Summary'!$Y:$Y,'Threshold Summary'!$L:$L,"")/5+2)*pow*atk/def)/50)+2)),modifier,stab*eff,FLOOR(base*modifier)),0)</f>
        <v/>
      </c>
      <c r="L289" s="3">
        <f>IFERROR(LET(mtype,XLOOKUP($D289,'Move Editor'!$B:$B,'Move Editor'!$C:$C,""),cat,XLOOKUP($D289,'Move Editor'!$B:$B,'Move Editor'!$D:$D,""),pow,XLOOKUP($D289,'Move Editor'!$B:$B,'Move Editor'!$E:$E,0),acc,XLOOKUP($D289,'Move Editor'!$B:$B,'Move Editor'!$F:$F,100),atk,IF(cat="Physical",FLOOR((FLOOR(((2*XLOOKUP(XLOOKUP($Q289,'Threshold Summary'!$Y:$Y,'Threshold Summary'!$K:$K,""),'Pokemon Editor'!$A:$A,'Pokemon Editor'!$F:$F,0)+31+FLOOR(XLOOKUP($Q289,'Threshold Summary'!$Y:$Y,'Threshold Summary'!$P:$P,"")/4))*XLOOKUP($Q289,'Threshold Summary'!$Y:$Y,'Threshold Summary'!$L:$L,""))/100)+5)*XLOOKUP(XLOOKUP($Q289,'Threshold Summary'!$Y:$Y,'Threshold Summary'!$M:$M,""),'Nature Editor'!$A:$A,'Nature Editor'!$B:$B,1)),FLOOR((FLOOR(((2*XLOOKUP(XLOOKUP($Q289,'Threshold Summary'!$Y:$Y,'Threshold Summary'!$K:$K,""),'Pokemon Editor'!$A:$A,'Pokemon Editor'!$H:$H,0)+31+FLOOR(XLOOKUP($Q289,'Threshold Summary'!$Y:$Y,'Threshold Summary'!$R:$R,"")/4))*XLOOKUP($Q289,'Threshold Summary'!$Y:$Y,'Threshold Summary'!$L:$L,""))/100)+5)*XLOOKUP(XLOOKUP($Q289,'Threshold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Editor'!$E:$E,1))),stab,IF(OR(mtype=XLOOKUP(XLOOKUP($Q289,'Threshold Summary'!$Y:$Y,'Threshold Summary'!$K:$K,""),'Pokemon Editor'!$A:$A,'Pokemon Editor'!$C:$C,""),mtype=XLOOKUP(XLOOKUP($Q289,'Threshold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Chart'!$B$1:$S$1,0)))),base,IF(OR(cat="Status",pow=0),0,FLOOR(FLOOR(FLOOR((2*XLOOKUP($Q289,'Threshold Summary'!$Y:$Y,'Threshold Summary'!$L:$L,"")/5+2)*pow*atk/def)/50)+2)),modifier,stab*eff,AVERAGE(ARRAYFORMULA(FLOOR(base*modifier*SEQUENCE(16,1,85,1)/100)))),0)</f>
        <v/>
      </c>
      <c r="M289" s="3">
        <f>IFERROR(LET(mtype,XLOOKUP($D289,'Move Editor'!$B:$B,'Move Editor'!$C:$C,""),cat,XLOOKUP($D289,'Move Editor'!$B:$B,'Move Editor'!$D:$D,""),pow,XLOOKUP($D289,'Move Editor'!$B:$B,'Move Editor'!$E:$E,0),acc,XLOOKUP($D289,'Move Editor'!$B:$B,'Move Editor'!$F:$F,100),atk,IF(cat="Physical",FLOOR((FLOOR(((2*XLOOKUP(XLOOKUP($Q289,'Threshold Summary'!$Y:$Y,'Threshold Summary'!$K:$K,""),'Pokemon Editor'!$A:$A,'Pokemon Editor'!$F:$F,0)+31+FLOOR(XLOOKUP($Q289,'Threshold Summary'!$Y:$Y,'Threshold Summary'!$P:$P,"")/4))*XLOOKUP($Q289,'Threshold Summary'!$Y:$Y,'Threshold Summary'!$L:$L,""))/100)+5)*XLOOKUP(XLOOKUP($Q289,'Threshold Summary'!$Y:$Y,'Threshold Summary'!$M:$M,""),'Nature Editor'!$A:$A,'Nature Editor'!$B:$B,1)),FLOOR((FLOOR(((2*XLOOKUP(XLOOKUP($Q289,'Threshold Summary'!$Y:$Y,'Threshold Summary'!$K:$K,""),'Pokemon Editor'!$A:$A,'Pokemon Editor'!$H:$H,0)+31+FLOOR(XLOOKUP($Q289,'Threshold Summary'!$Y:$Y,'Threshold Summary'!$R:$R,"")/4))*XLOOKUP($Q289,'Threshold Summary'!$Y:$Y,'Threshold Summary'!$L:$L,""))/100)+5)*XLOOKUP(XLOOKUP($Q289,'Threshold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Editor'!$E:$E,1))),stab,IF(OR(mtype=XLOOKUP(XLOOKUP($Q289,'Threshold Summary'!$Y:$Y,'Threshold Summary'!$K:$K,""),'Pokemon Editor'!$A:$A,'Pokemon Editor'!$C:$C,""),mtype=XLOOKUP(XLOOKUP($Q289,'Threshold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Chart'!$B$1:$S$1,0)))),base,IF(OR(cat="Status",pow=0),0,FLOOR(FLOOR(FLOOR((2*XLOOKUP($Q289,'Threshold Summary'!$Y:$Y,'Threshold Summary'!$L:$L,"")/5+2)*pow*atk/def)/50)+2)),modifier,stab*eff,AVERAGE(ARRAYFORMULA(FLOOR(base*modifier*SEQUENCE(16,1,85,1)/100)))*MIN(1,acc/100)),0)</f>
        <v/>
      </c>
      <c r="N289" s="4">
        <f>IFERROR(LET(mtype,XLOOKUP($D289,'Move Editor'!$B:$B,'Move Editor'!$C:$C,""),cat,XLOOKUP($D289,'Move Editor'!$B:$B,'Move Editor'!$D:$D,""),pow,XLOOKUP($D289,'Move Editor'!$B:$B,'Move Editor'!$E:$E,0),acc,XLOOKUP($D289,'Move Editor'!$B:$B,'Move Editor'!$F:$F,100),atk,IF(cat="Physical",FLOOR((FLOOR(((2*XLOOKUP(XLOOKUP($Q289,'Threshold Summary'!$Y:$Y,'Threshold Summary'!$K:$K,""),'Pokemon Editor'!$A:$A,'Pokemon Editor'!$F:$F,0)+31+FLOOR(XLOOKUP($Q289,'Threshold Summary'!$Y:$Y,'Threshold Summary'!$P:$P,"")/4))*XLOOKUP($Q289,'Threshold Summary'!$Y:$Y,'Threshold Summary'!$L:$L,""))/100)+5)*XLOOKUP(XLOOKUP($Q289,'Threshold Summary'!$Y:$Y,'Threshold Summary'!$M:$M,""),'Nature Editor'!$A:$A,'Nature Editor'!$B:$B,1)),FLOOR((FLOOR(((2*XLOOKUP(XLOOKUP($Q289,'Threshold Summary'!$Y:$Y,'Threshold Summary'!$K:$K,""),'Pokemon Editor'!$A:$A,'Pokemon Editor'!$H:$H,0)+31+FLOOR(XLOOKUP($Q289,'Threshold Summary'!$Y:$Y,'Threshold Summary'!$R:$R,"")/4))*XLOOKUP($Q289,'Threshold Summary'!$Y:$Y,'Threshold Summary'!$L:$L,""))/100)+5)*XLOOKUP(XLOOKUP($Q289,'Threshold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Editor'!$E:$E,1))),stab,IF(OR(mtype=XLOOKUP(XLOOKUP($Q289,'Threshold Summary'!$Y:$Y,'Threshold Summary'!$K:$K,""),'Pokemon Editor'!$A:$A,'Pokemon Editor'!$C:$C,""),mtype=XLOOKUP(XLOOKUP($Q289,'Threshold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Chart'!$B$1:$S$1,0)))),base,IF(OR(cat="Status",pow=0),0,FLOOR(FLOOR(FLOOR((2*XLOOKUP($Q289,'Threshold Summary'!$Y:$Y,'Threshold Summary'!$L:$L,"")/5+2)*pow*atk/def)/50)+2)),modifier,stab*eff,AVERAGE(ARRAYFORMULA(FLOOR(base*modifier*SEQUENCE(16,1,85,1)/100)))/(FLOOR(((2*XLOOKUP('Boss Editor'!$C$4,'Pokemon Editor'!$A:$A,'Pokemon Editor'!$E:$E,0)+31+FLOOR('Boss Editor'!$G$4/4))*'Boss Editor'!$D$4)/100)+'Boss Editor'!$D$4+10)),0)</f>
        <v/>
      </c>
      <c r="O289" s="3">
        <f>IF(N289&gt;=1,"OHKO",IF(N289&gt;=0.5,"2HKO",IF(N289&gt;=0.333,"3HKO",IF(N289&gt;=0.25,"4HKO","5HKO+"))))</f>
        <v/>
      </c>
      <c r="P289" s="3" t="inlineStr">
        <is>
          <t>Live from editable databases</t>
        </is>
      </c>
      <c r="Q289" s="3" t="inlineStr">
        <is>
          <t>SPECIES_BUDEW</t>
        </is>
      </c>
      <c r="R289" s="3" t="n">
        <v>32</v>
      </c>
    </row>
    <row r="290">
      <c r="A290" s="3">
        <f>XLOOKUP($Q290,'Threshold Summary'!$Y:$Y,'Threshold Summary'!$A:$A,"")</f>
        <v/>
      </c>
      <c r="B290" s="3">
        <f>XLOOKUP($Q290,'Threshold Summary'!$Y:$Y,'Threshold Summary'!$M:$M,"")</f>
        <v/>
      </c>
      <c r="C290" s="3">
        <f>XLOOKUP($Q290,'Threshold Summary'!$Y:$Y,'Threshold Summary'!$N:$N,"")</f>
        <v/>
      </c>
      <c r="D290" s="3">
        <f>IFERROR(INDEX(FILTER('Learnset Editor'!$D$2:$D,'Learnset Editor'!$A$2:$A=XLOOKUP($Q290,'Threshold Summary'!$Y:$Y,'Threshold Summary'!$K:$K,""),'Learnset Editor'!$C$2:$C&lt;=XLOOKUP($Q290,'Threshold Summary'!$Y:$Y,'Threshold Summary'!$L:$L,"")),$R290),"")</f>
        <v/>
      </c>
      <c r="E290" s="3">
        <f>XLOOKUP(D290,'Move Editor'!$B:$B,'Move Editor'!$C:$C,"")</f>
        <v/>
      </c>
      <c r="F290" s="3">
        <f>XLOOKUP(D290,'Move Editor'!$B:$B,'Move Editor'!$D:$D,"")</f>
        <v/>
      </c>
      <c r="G290" s="3">
        <f>XLOOKUP(D290,'Move Editor'!$B:$B,'Move Editor'!$E:$E,0)</f>
        <v/>
      </c>
      <c r="H290" s="3">
        <f>XLOOKUP(D290,'Move Editor'!$B:$B,'Move Editor'!$F:$F,0)</f>
        <v/>
      </c>
      <c r="I290" s="3">
        <f>(INDEX('Type Chart'!$B:$S,MATCH(E290,'Type Chart'!$A:$A,0),MATCH(XLOOKUP('Boss Editor'!$C$4,'Pokemon Editor'!$A:$A,'Pokemon Editor'!$C:$C,""),'Type Chart'!$B$1:$S$1,0))*IF(XLOOKUP('Boss Editor'!$C$4,'Pokemon Editor'!$A:$A,'Pokemon Editor'!$D:$D,"")="",1,INDEX('Type Chart'!$B:$S,MATCH(E290,'Type Chart'!$A:$A,0),MATCH(XLOOKUP('Boss Editor'!$C$4,'Pokemon Editor'!$A:$A,'Pokemon Editor'!$D:$D,""),'Type Chart'!$B$1:$S$1,0))))</f>
        <v/>
      </c>
      <c r="J290" s="3">
        <f>IFERROR(LET(mtype,XLOOKUP($D290,'Move Editor'!$B:$B,'Move Editor'!$C:$C,""),cat,XLOOKUP($D290,'Move Editor'!$B:$B,'Move Editor'!$D:$D,""),pow,XLOOKUP($D290,'Move Editor'!$B:$B,'Move Editor'!$E:$E,0),acc,XLOOKUP($D290,'Move Editor'!$B:$B,'Move Editor'!$F:$F,100),atk,IF(cat="Physical",FLOOR((FLOOR(((2*XLOOKUP(XLOOKUP($Q290,'Threshold Summary'!$Y:$Y,'Threshold Summary'!$K:$K,""),'Pokemon Editor'!$A:$A,'Pokemon Editor'!$F:$F,0)+31+FLOOR(XLOOKUP($Q290,'Threshold Summary'!$Y:$Y,'Threshold Summary'!$P:$P,"")/4))*XLOOKUP($Q290,'Threshold Summary'!$Y:$Y,'Threshold Summary'!$L:$L,""))/100)+5)*XLOOKUP(XLOOKUP($Q290,'Threshold Summary'!$Y:$Y,'Threshold Summary'!$M:$M,""),'Nature Editor'!$A:$A,'Nature Editor'!$B:$B,1)),FLOOR((FLOOR(((2*XLOOKUP(XLOOKUP($Q290,'Threshold Summary'!$Y:$Y,'Threshold Summary'!$K:$K,""),'Pokemon Editor'!$A:$A,'Pokemon Editor'!$H:$H,0)+31+FLOOR(XLOOKUP($Q290,'Threshold Summary'!$Y:$Y,'Threshold Summary'!$R:$R,"")/4))*XLOOKUP($Q290,'Threshold Summary'!$Y:$Y,'Threshold Summary'!$L:$L,""))/100)+5)*XLOOKUP(XLOOKUP($Q290,'Threshold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Editor'!$E:$E,1))),stab,IF(OR(mtype=XLOOKUP(XLOOKUP($Q290,'Threshold Summary'!$Y:$Y,'Threshold Summary'!$K:$K,""),'Pokemon Editor'!$A:$A,'Pokemon Editor'!$C:$C,""),mtype=XLOOKUP(XLOOKUP($Q290,'Threshold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Chart'!$B$1:$S$1,0)))),base,IF(OR(cat="Status",pow=0),0,FLOOR(FLOOR(FLOOR((2*XLOOKUP($Q290,'Threshold Summary'!$Y:$Y,'Threshold Summary'!$L:$L,"")/5+2)*pow*atk/def)/50)+2)),modifier,stab*eff,FLOOR(base*modifier*0.85)),0)</f>
        <v/>
      </c>
      <c r="K290" s="3">
        <f>IFERROR(LET(mtype,XLOOKUP($D290,'Move Editor'!$B:$B,'Move Editor'!$C:$C,""),cat,XLOOKUP($D290,'Move Editor'!$B:$B,'Move Editor'!$D:$D,""),pow,XLOOKUP($D290,'Move Editor'!$B:$B,'Move Editor'!$E:$E,0),acc,XLOOKUP($D290,'Move Editor'!$B:$B,'Move Editor'!$F:$F,100),atk,IF(cat="Physical",FLOOR((FLOOR(((2*XLOOKUP(XLOOKUP($Q290,'Threshold Summary'!$Y:$Y,'Threshold Summary'!$K:$K,""),'Pokemon Editor'!$A:$A,'Pokemon Editor'!$F:$F,0)+31+FLOOR(XLOOKUP($Q290,'Threshold Summary'!$Y:$Y,'Threshold Summary'!$P:$P,"")/4))*XLOOKUP($Q290,'Threshold Summary'!$Y:$Y,'Threshold Summary'!$L:$L,""))/100)+5)*XLOOKUP(XLOOKUP($Q290,'Threshold Summary'!$Y:$Y,'Threshold Summary'!$M:$M,""),'Nature Editor'!$A:$A,'Nature Editor'!$B:$B,1)),FLOOR((FLOOR(((2*XLOOKUP(XLOOKUP($Q290,'Threshold Summary'!$Y:$Y,'Threshold Summary'!$K:$K,""),'Pokemon Editor'!$A:$A,'Pokemon Editor'!$H:$H,0)+31+FLOOR(XLOOKUP($Q290,'Threshold Summary'!$Y:$Y,'Threshold Summary'!$R:$R,"")/4))*XLOOKUP($Q290,'Threshold Summary'!$Y:$Y,'Threshold Summary'!$L:$L,""))/100)+5)*XLOOKUP(XLOOKUP($Q290,'Threshold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Editor'!$E:$E,1))),stab,IF(OR(mtype=XLOOKUP(XLOOKUP($Q290,'Threshold Summary'!$Y:$Y,'Threshold Summary'!$K:$K,""),'Pokemon Editor'!$A:$A,'Pokemon Editor'!$C:$C,""),mtype=XLOOKUP(XLOOKUP($Q290,'Threshold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Chart'!$B$1:$S$1,0)))),base,IF(OR(cat="Status",pow=0),0,FLOOR(FLOOR(FLOOR((2*XLOOKUP($Q290,'Threshold Summary'!$Y:$Y,'Threshold Summary'!$L:$L,"")/5+2)*pow*atk/def)/50)+2)),modifier,stab*eff,FLOOR(base*modifier)),0)</f>
        <v/>
      </c>
      <c r="L290" s="3">
        <f>IFERROR(LET(mtype,XLOOKUP($D290,'Move Editor'!$B:$B,'Move Editor'!$C:$C,""),cat,XLOOKUP($D290,'Move Editor'!$B:$B,'Move Editor'!$D:$D,""),pow,XLOOKUP($D290,'Move Editor'!$B:$B,'Move Editor'!$E:$E,0),acc,XLOOKUP($D290,'Move Editor'!$B:$B,'Move Editor'!$F:$F,100),atk,IF(cat="Physical",FLOOR((FLOOR(((2*XLOOKUP(XLOOKUP($Q290,'Threshold Summary'!$Y:$Y,'Threshold Summary'!$K:$K,""),'Pokemon Editor'!$A:$A,'Pokemon Editor'!$F:$F,0)+31+FLOOR(XLOOKUP($Q290,'Threshold Summary'!$Y:$Y,'Threshold Summary'!$P:$P,"")/4))*XLOOKUP($Q290,'Threshold Summary'!$Y:$Y,'Threshold Summary'!$L:$L,""))/100)+5)*XLOOKUP(XLOOKUP($Q290,'Threshold Summary'!$Y:$Y,'Threshold Summary'!$M:$M,""),'Nature Editor'!$A:$A,'Nature Editor'!$B:$B,1)),FLOOR((FLOOR(((2*XLOOKUP(XLOOKUP($Q290,'Threshold Summary'!$Y:$Y,'Threshold Summary'!$K:$K,""),'Pokemon Editor'!$A:$A,'Pokemon Editor'!$H:$H,0)+31+FLOOR(XLOOKUP($Q290,'Threshold Summary'!$Y:$Y,'Threshold Summary'!$R:$R,"")/4))*XLOOKUP($Q290,'Threshold Summary'!$Y:$Y,'Threshold Summary'!$L:$L,""))/100)+5)*XLOOKUP(XLOOKUP($Q290,'Threshold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Editor'!$E:$E,1))),stab,IF(OR(mtype=XLOOKUP(XLOOKUP($Q290,'Threshold Summary'!$Y:$Y,'Threshold Summary'!$K:$K,""),'Pokemon Editor'!$A:$A,'Pokemon Editor'!$C:$C,""),mtype=XLOOKUP(XLOOKUP($Q290,'Threshold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Chart'!$B$1:$S$1,0)))),base,IF(OR(cat="Status",pow=0),0,FLOOR(FLOOR(FLOOR((2*XLOOKUP($Q290,'Threshold Summary'!$Y:$Y,'Threshold Summary'!$L:$L,"")/5+2)*pow*atk/def)/50)+2)),modifier,stab*eff,AVERAGE(ARRAYFORMULA(FLOOR(base*modifier*SEQUENCE(16,1,85,1)/100)))),0)</f>
        <v/>
      </c>
      <c r="M290" s="3">
        <f>IFERROR(LET(mtype,XLOOKUP($D290,'Move Editor'!$B:$B,'Move Editor'!$C:$C,""),cat,XLOOKUP($D290,'Move Editor'!$B:$B,'Move Editor'!$D:$D,""),pow,XLOOKUP($D290,'Move Editor'!$B:$B,'Move Editor'!$E:$E,0),acc,XLOOKUP($D290,'Move Editor'!$B:$B,'Move Editor'!$F:$F,100),atk,IF(cat="Physical",FLOOR((FLOOR(((2*XLOOKUP(XLOOKUP($Q290,'Threshold Summary'!$Y:$Y,'Threshold Summary'!$K:$K,""),'Pokemon Editor'!$A:$A,'Pokemon Editor'!$F:$F,0)+31+FLOOR(XLOOKUP($Q290,'Threshold Summary'!$Y:$Y,'Threshold Summary'!$P:$P,"")/4))*XLOOKUP($Q290,'Threshold Summary'!$Y:$Y,'Threshold Summary'!$L:$L,""))/100)+5)*XLOOKUP(XLOOKUP($Q290,'Threshold Summary'!$Y:$Y,'Threshold Summary'!$M:$M,""),'Nature Editor'!$A:$A,'Nature Editor'!$B:$B,1)),FLOOR((FLOOR(((2*XLOOKUP(XLOOKUP($Q290,'Threshold Summary'!$Y:$Y,'Threshold Summary'!$K:$K,""),'Pokemon Editor'!$A:$A,'Pokemon Editor'!$H:$H,0)+31+FLOOR(XLOOKUP($Q290,'Threshold Summary'!$Y:$Y,'Threshold Summary'!$R:$R,"")/4))*XLOOKUP($Q290,'Threshold Summary'!$Y:$Y,'Threshold Summary'!$L:$L,""))/100)+5)*XLOOKUP(XLOOKUP($Q290,'Threshold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Editor'!$E:$E,1))),stab,IF(OR(mtype=XLOOKUP(XLOOKUP($Q290,'Threshold Summary'!$Y:$Y,'Threshold Summary'!$K:$K,""),'Pokemon Editor'!$A:$A,'Pokemon Editor'!$C:$C,""),mtype=XLOOKUP(XLOOKUP($Q290,'Threshold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Chart'!$B$1:$S$1,0)))),base,IF(OR(cat="Status",pow=0),0,FLOOR(FLOOR(FLOOR((2*XLOOKUP($Q290,'Threshold Summary'!$Y:$Y,'Threshold Summary'!$L:$L,"")/5+2)*pow*atk/def)/50)+2)),modifier,stab*eff,AVERAGE(ARRAYFORMULA(FLOOR(base*modifier*SEQUENCE(16,1,85,1)/100)))*MIN(1,acc/100)),0)</f>
        <v/>
      </c>
      <c r="N290" s="4">
        <f>IFERROR(LET(mtype,XLOOKUP($D290,'Move Editor'!$B:$B,'Move Editor'!$C:$C,""),cat,XLOOKUP($D290,'Move Editor'!$B:$B,'Move Editor'!$D:$D,""),pow,XLOOKUP($D290,'Move Editor'!$B:$B,'Move Editor'!$E:$E,0),acc,XLOOKUP($D290,'Move Editor'!$B:$B,'Move Editor'!$F:$F,100),atk,IF(cat="Physical",FLOOR((FLOOR(((2*XLOOKUP(XLOOKUP($Q290,'Threshold Summary'!$Y:$Y,'Threshold Summary'!$K:$K,""),'Pokemon Editor'!$A:$A,'Pokemon Editor'!$F:$F,0)+31+FLOOR(XLOOKUP($Q290,'Threshold Summary'!$Y:$Y,'Threshold Summary'!$P:$P,"")/4))*XLOOKUP($Q290,'Threshold Summary'!$Y:$Y,'Threshold Summary'!$L:$L,""))/100)+5)*XLOOKUP(XLOOKUP($Q290,'Threshold Summary'!$Y:$Y,'Threshold Summary'!$M:$M,""),'Nature Editor'!$A:$A,'Nature Editor'!$B:$B,1)),FLOOR((FLOOR(((2*XLOOKUP(XLOOKUP($Q290,'Threshold Summary'!$Y:$Y,'Threshold Summary'!$K:$K,""),'Pokemon Editor'!$A:$A,'Pokemon Editor'!$H:$H,0)+31+FLOOR(XLOOKUP($Q290,'Threshold Summary'!$Y:$Y,'Threshold Summary'!$R:$R,"")/4))*XLOOKUP($Q290,'Threshold Summary'!$Y:$Y,'Threshold Summary'!$L:$L,""))/100)+5)*XLOOKUP(XLOOKUP($Q290,'Threshold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Editor'!$E:$E,1))),stab,IF(OR(mtype=XLOOKUP(XLOOKUP($Q290,'Threshold Summary'!$Y:$Y,'Threshold Summary'!$K:$K,""),'Pokemon Editor'!$A:$A,'Pokemon Editor'!$C:$C,""),mtype=XLOOKUP(XLOOKUP($Q290,'Threshold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Chart'!$B$1:$S$1,0)))),base,IF(OR(cat="Status",pow=0),0,FLOOR(FLOOR(FLOOR((2*XLOOKUP($Q290,'Threshold Summary'!$Y:$Y,'Threshold Summary'!$L:$L,"")/5+2)*pow*atk/def)/50)+2)),modifier,stab*eff,AVERAGE(ARRAYFORMULA(FLOOR(base*modifier*SEQUENCE(16,1,85,1)/100)))/(FLOOR(((2*XLOOKUP('Boss Editor'!$C$4,'Pokemon Editor'!$A:$A,'Pokemon Editor'!$E:$E,0)+31+FLOOR('Boss Editor'!$G$4/4))*'Boss Editor'!$D$4)/100)+'Boss Editor'!$D$4+10)),0)</f>
        <v/>
      </c>
      <c r="O290" s="3">
        <f>IF(N290&gt;=1,"OHKO",IF(N290&gt;=0.5,"2HKO",IF(N290&gt;=0.333,"3HKO",IF(N290&gt;=0.25,"4HKO","5HKO+"))))</f>
        <v/>
      </c>
      <c r="P290" s="3" t="inlineStr">
        <is>
          <t>Live from editable databases</t>
        </is>
      </c>
      <c r="Q290" s="3" t="inlineStr">
        <is>
          <t>SPECIES_STARLY</t>
        </is>
      </c>
      <c r="R290" s="3" t="n">
        <v>1</v>
      </c>
    </row>
    <row r="291">
      <c r="A291" s="3">
        <f>XLOOKUP($Q291,'Threshold Summary'!$Y:$Y,'Threshold Summary'!$A:$A,"")</f>
        <v/>
      </c>
      <c r="B291" s="3">
        <f>XLOOKUP($Q291,'Threshold Summary'!$Y:$Y,'Threshold Summary'!$M:$M,"")</f>
        <v/>
      </c>
      <c r="C291" s="3">
        <f>XLOOKUP($Q291,'Threshold Summary'!$Y:$Y,'Threshold Summary'!$N:$N,"")</f>
        <v/>
      </c>
      <c r="D291" s="3">
        <f>IFERROR(INDEX(FILTER('Learnset Editor'!$D$2:$D,'Learnset Editor'!$A$2:$A=XLOOKUP($Q291,'Threshold Summary'!$Y:$Y,'Threshold Summary'!$K:$K,""),'Learnset Editor'!$C$2:$C&lt;=XLOOKUP($Q291,'Threshold Summary'!$Y:$Y,'Threshold Summary'!$L:$L,"")),$R291),"")</f>
        <v/>
      </c>
      <c r="E291" s="3">
        <f>XLOOKUP(D291,'Move Editor'!$B:$B,'Move Editor'!$C:$C,"")</f>
        <v/>
      </c>
      <c r="F291" s="3">
        <f>XLOOKUP(D291,'Move Editor'!$B:$B,'Move Editor'!$D:$D,"")</f>
        <v/>
      </c>
      <c r="G291" s="3">
        <f>XLOOKUP(D291,'Move Editor'!$B:$B,'Move Editor'!$E:$E,0)</f>
        <v/>
      </c>
      <c r="H291" s="3">
        <f>XLOOKUP(D291,'Move Editor'!$B:$B,'Move Editor'!$F:$F,0)</f>
        <v/>
      </c>
      <c r="I291" s="3">
        <f>(INDEX('Type Chart'!$B:$S,MATCH(E291,'Type Chart'!$A:$A,0),MATCH(XLOOKUP('Boss Editor'!$C$4,'Pokemon Editor'!$A:$A,'Pokemon Editor'!$C:$C,""),'Type Chart'!$B$1:$S$1,0))*IF(XLOOKUP('Boss Editor'!$C$4,'Pokemon Editor'!$A:$A,'Pokemon Editor'!$D:$D,"")="",1,INDEX('Type Chart'!$B:$S,MATCH(E291,'Type Chart'!$A:$A,0),MATCH(XLOOKUP('Boss Editor'!$C$4,'Pokemon Editor'!$A:$A,'Pokemon Editor'!$D:$D,""),'Type Chart'!$B$1:$S$1,0))))</f>
        <v/>
      </c>
      <c r="J291" s="3">
        <f>IFERROR(LET(mtype,XLOOKUP($D291,'Move Editor'!$B:$B,'Move Editor'!$C:$C,""),cat,XLOOKUP($D291,'Move Editor'!$B:$B,'Move Editor'!$D:$D,""),pow,XLOOKUP($D291,'Move Editor'!$B:$B,'Move Editor'!$E:$E,0),acc,XLOOKUP($D291,'Move Editor'!$B:$B,'Move Editor'!$F:$F,100),atk,IF(cat="Physical",FLOOR((FLOOR(((2*XLOOKUP(XLOOKUP($Q291,'Threshold Summary'!$Y:$Y,'Threshold Summary'!$K:$K,""),'Pokemon Editor'!$A:$A,'Pokemon Editor'!$F:$F,0)+31+FLOOR(XLOOKUP($Q291,'Threshold Summary'!$Y:$Y,'Threshold Summary'!$P:$P,"")/4))*XLOOKUP($Q291,'Threshold Summary'!$Y:$Y,'Threshold Summary'!$L:$L,""))/100)+5)*XLOOKUP(XLOOKUP($Q291,'Threshold Summary'!$Y:$Y,'Threshold Summary'!$M:$M,""),'Nature Editor'!$A:$A,'Nature Editor'!$B:$B,1)),FLOOR((FLOOR(((2*XLOOKUP(XLOOKUP($Q291,'Threshold Summary'!$Y:$Y,'Threshold Summary'!$K:$K,""),'Pokemon Editor'!$A:$A,'Pokemon Editor'!$H:$H,0)+31+FLOOR(XLOOKUP($Q291,'Threshold Summary'!$Y:$Y,'Threshold Summary'!$R:$R,"")/4))*XLOOKUP($Q291,'Threshold Summary'!$Y:$Y,'Threshold Summary'!$L:$L,""))/100)+5)*XLOOKUP(XLOOKUP($Q291,'Threshold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Editor'!$E:$E,1))),stab,IF(OR(mtype=XLOOKUP(XLOOKUP($Q291,'Threshold Summary'!$Y:$Y,'Threshold Summary'!$K:$K,""),'Pokemon Editor'!$A:$A,'Pokemon Editor'!$C:$C,""),mtype=XLOOKUP(XLOOKUP($Q291,'Threshold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Chart'!$B$1:$S$1,0)))),base,IF(OR(cat="Status",pow=0),0,FLOOR(FLOOR(FLOOR((2*XLOOKUP($Q291,'Threshold Summary'!$Y:$Y,'Threshold Summary'!$L:$L,"")/5+2)*pow*atk/def)/50)+2)),modifier,stab*eff,FLOOR(base*modifier*0.85)),0)</f>
        <v/>
      </c>
      <c r="K291" s="3">
        <f>IFERROR(LET(mtype,XLOOKUP($D291,'Move Editor'!$B:$B,'Move Editor'!$C:$C,""),cat,XLOOKUP($D291,'Move Editor'!$B:$B,'Move Editor'!$D:$D,""),pow,XLOOKUP($D291,'Move Editor'!$B:$B,'Move Editor'!$E:$E,0),acc,XLOOKUP($D291,'Move Editor'!$B:$B,'Move Editor'!$F:$F,100),atk,IF(cat="Physical",FLOOR((FLOOR(((2*XLOOKUP(XLOOKUP($Q291,'Threshold Summary'!$Y:$Y,'Threshold Summary'!$K:$K,""),'Pokemon Editor'!$A:$A,'Pokemon Editor'!$F:$F,0)+31+FLOOR(XLOOKUP($Q291,'Threshold Summary'!$Y:$Y,'Threshold Summary'!$P:$P,"")/4))*XLOOKUP($Q291,'Threshold Summary'!$Y:$Y,'Threshold Summary'!$L:$L,""))/100)+5)*XLOOKUP(XLOOKUP($Q291,'Threshold Summary'!$Y:$Y,'Threshold Summary'!$M:$M,""),'Nature Editor'!$A:$A,'Nature Editor'!$B:$B,1)),FLOOR((FLOOR(((2*XLOOKUP(XLOOKUP($Q291,'Threshold Summary'!$Y:$Y,'Threshold Summary'!$K:$K,""),'Pokemon Editor'!$A:$A,'Pokemon Editor'!$H:$H,0)+31+FLOOR(XLOOKUP($Q291,'Threshold Summary'!$Y:$Y,'Threshold Summary'!$R:$R,"")/4))*XLOOKUP($Q291,'Threshold Summary'!$Y:$Y,'Threshold Summary'!$L:$L,""))/100)+5)*XLOOKUP(XLOOKUP($Q291,'Threshold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Editor'!$E:$E,1))),stab,IF(OR(mtype=XLOOKUP(XLOOKUP($Q291,'Threshold Summary'!$Y:$Y,'Threshold Summary'!$K:$K,""),'Pokemon Editor'!$A:$A,'Pokemon Editor'!$C:$C,""),mtype=XLOOKUP(XLOOKUP($Q291,'Threshold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Chart'!$B$1:$S$1,0)))),base,IF(OR(cat="Status",pow=0),0,FLOOR(FLOOR(FLOOR((2*XLOOKUP($Q291,'Threshold Summary'!$Y:$Y,'Threshold Summary'!$L:$L,"")/5+2)*pow*atk/def)/50)+2)),modifier,stab*eff,FLOOR(base*modifier)),0)</f>
        <v/>
      </c>
      <c r="L291" s="3">
        <f>IFERROR(LET(mtype,XLOOKUP($D291,'Move Editor'!$B:$B,'Move Editor'!$C:$C,""),cat,XLOOKUP($D291,'Move Editor'!$B:$B,'Move Editor'!$D:$D,""),pow,XLOOKUP($D291,'Move Editor'!$B:$B,'Move Editor'!$E:$E,0),acc,XLOOKUP($D291,'Move Editor'!$B:$B,'Move Editor'!$F:$F,100),atk,IF(cat="Physical",FLOOR((FLOOR(((2*XLOOKUP(XLOOKUP($Q291,'Threshold Summary'!$Y:$Y,'Threshold Summary'!$K:$K,""),'Pokemon Editor'!$A:$A,'Pokemon Editor'!$F:$F,0)+31+FLOOR(XLOOKUP($Q291,'Threshold Summary'!$Y:$Y,'Threshold Summary'!$P:$P,"")/4))*XLOOKUP($Q291,'Threshold Summary'!$Y:$Y,'Threshold Summary'!$L:$L,""))/100)+5)*XLOOKUP(XLOOKUP($Q291,'Threshold Summary'!$Y:$Y,'Threshold Summary'!$M:$M,""),'Nature Editor'!$A:$A,'Nature Editor'!$B:$B,1)),FLOOR((FLOOR(((2*XLOOKUP(XLOOKUP($Q291,'Threshold Summary'!$Y:$Y,'Threshold Summary'!$K:$K,""),'Pokemon Editor'!$A:$A,'Pokemon Editor'!$H:$H,0)+31+FLOOR(XLOOKUP($Q291,'Threshold Summary'!$Y:$Y,'Threshold Summary'!$R:$R,"")/4))*XLOOKUP($Q291,'Threshold Summary'!$Y:$Y,'Threshold Summary'!$L:$L,""))/100)+5)*XLOOKUP(XLOOKUP($Q291,'Threshold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Editor'!$E:$E,1))),stab,IF(OR(mtype=XLOOKUP(XLOOKUP($Q291,'Threshold Summary'!$Y:$Y,'Threshold Summary'!$K:$K,""),'Pokemon Editor'!$A:$A,'Pokemon Editor'!$C:$C,""),mtype=XLOOKUP(XLOOKUP($Q291,'Threshold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Chart'!$B$1:$S$1,0)))),base,IF(OR(cat="Status",pow=0),0,FLOOR(FLOOR(FLOOR((2*XLOOKUP($Q291,'Threshold Summary'!$Y:$Y,'Threshold Summary'!$L:$L,"")/5+2)*pow*atk/def)/50)+2)),modifier,stab*eff,AVERAGE(ARRAYFORMULA(FLOOR(base*modifier*SEQUENCE(16,1,85,1)/100)))),0)</f>
        <v/>
      </c>
      <c r="M291" s="3">
        <f>IFERROR(LET(mtype,XLOOKUP($D291,'Move Editor'!$B:$B,'Move Editor'!$C:$C,""),cat,XLOOKUP($D291,'Move Editor'!$B:$B,'Move Editor'!$D:$D,""),pow,XLOOKUP($D291,'Move Editor'!$B:$B,'Move Editor'!$E:$E,0),acc,XLOOKUP($D291,'Move Editor'!$B:$B,'Move Editor'!$F:$F,100),atk,IF(cat="Physical",FLOOR((FLOOR(((2*XLOOKUP(XLOOKUP($Q291,'Threshold Summary'!$Y:$Y,'Threshold Summary'!$K:$K,""),'Pokemon Editor'!$A:$A,'Pokemon Editor'!$F:$F,0)+31+FLOOR(XLOOKUP($Q291,'Threshold Summary'!$Y:$Y,'Threshold Summary'!$P:$P,"")/4))*XLOOKUP($Q291,'Threshold Summary'!$Y:$Y,'Threshold Summary'!$L:$L,""))/100)+5)*XLOOKUP(XLOOKUP($Q291,'Threshold Summary'!$Y:$Y,'Threshold Summary'!$M:$M,""),'Nature Editor'!$A:$A,'Nature Editor'!$B:$B,1)),FLOOR((FLOOR(((2*XLOOKUP(XLOOKUP($Q291,'Threshold Summary'!$Y:$Y,'Threshold Summary'!$K:$K,""),'Pokemon Editor'!$A:$A,'Pokemon Editor'!$H:$H,0)+31+FLOOR(XLOOKUP($Q291,'Threshold Summary'!$Y:$Y,'Threshold Summary'!$R:$R,"")/4))*XLOOKUP($Q291,'Threshold Summary'!$Y:$Y,'Threshold Summary'!$L:$L,""))/100)+5)*XLOOKUP(XLOOKUP($Q291,'Threshold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Editor'!$E:$E,1))),stab,IF(OR(mtype=XLOOKUP(XLOOKUP($Q291,'Threshold Summary'!$Y:$Y,'Threshold Summary'!$K:$K,""),'Pokemon Editor'!$A:$A,'Pokemon Editor'!$C:$C,""),mtype=XLOOKUP(XLOOKUP($Q291,'Threshold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Chart'!$B$1:$S$1,0)))),base,IF(OR(cat="Status",pow=0),0,FLOOR(FLOOR(FLOOR((2*XLOOKUP($Q291,'Threshold Summary'!$Y:$Y,'Threshold Summary'!$L:$L,"")/5+2)*pow*atk/def)/50)+2)),modifier,stab*eff,AVERAGE(ARRAYFORMULA(FLOOR(base*modifier*SEQUENCE(16,1,85,1)/100)))*MIN(1,acc/100)),0)</f>
        <v/>
      </c>
      <c r="N291" s="4">
        <f>IFERROR(LET(mtype,XLOOKUP($D291,'Move Editor'!$B:$B,'Move Editor'!$C:$C,""),cat,XLOOKUP($D291,'Move Editor'!$B:$B,'Move Editor'!$D:$D,""),pow,XLOOKUP($D291,'Move Editor'!$B:$B,'Move Editor'!$E:$E,0),acc,XLOOKUP($D291,'Move Editor'!$B:$B,'Move Editor'!$F:$F,100),atk,IF(cat="Physical",FLOOR((FLOOR(((2*XLOOKUP(XLOOKUP($Q291,'Threshold Summary'!$Y:$Y,'Threshold Summary'!$K:$K,""),'Pokemon Editor'!$A:$A,'Pokemon Editor'!$F:$F,0)+31+FLOOR(XLOOKUP($Q291,'Threshold Summary'!$Y:$Y,'Threshold Summary'!$P:$P,"")/4))*XLOOKUP($Q291,'Threshold Summary'!$Y:$Y,'Threshold Summary'!$L:$L,""))/100)+5)*XLOOKUP(XLOOKUP($Q291,'Threshold Summary'!$Y:$Y,'Threshold Summary'!$M:$M,""),'Nature Editor'!$A:$A,'Nature Editor'!$B:$B,1)),FLOOR((FLOOR(((2*XLOOKUP(XLOOKUP($Q291,'Threshold Summary'!$Y:$Y,'Threshold Summary'!$K:$K,""),'Pokemon Editor'!$A:$A,'Pokemon Editor'!$H:$H,0)+31+FLOOR(XLOOKUP($Q291,'Threshold Summary'!$Y:$Y,'Threshold Summary'!$R:$R,"")/4))*XLOOKUP($Q291,'Threshold Summary'!$Y:$Y,'Threshold Summary'!$L:$L,""))/100)+5)*XLOOKUP(XLOOKUP($Q291,'Threshold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Editor'!$E:$E,1))),stab,IF(OR(mtype=XLOOKUP(XLOOKUP($Q291,'Threshold Summary'!$Y:$Y,'Threshold Summary'!$K:$K,""),'Pokemon Editor'!$A:$A,'Pokemon Editor'!$C:$C,""),mtype=XLOOKUP(XLOOKUP($Q291,'Threshold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Chart'!$B$1:$S$1,0)))),base,IF(OR(cat="Status",pow=0),0,FLOOR(FLOOR(FLOOR((2*XLOOKUP($Q291,'Threshold Summary'!$Y:$Y,'Threshold Summary'!$L:$L,"")/5+2)*pow*atk/def)/50)+2)),modifier,stab*eff,AVERAGE(ARRAYFORMULA(FLOOR(base*modifier*SEQUENCE(16,1,85,1)/100)))/(FLOOR(((2*XLOOKUP('Boss Editor'!$C$4,'Pokemon Editor'!$A:$A,'Pokemon Editor'!$E:$E,0)+31+FLOOR('Boss Editor'!$G$4/4))*'Boss Editor'!$D$4)/100)+'Boss Editor'!$D$4+10)),0)</f>
        <v/>
      </c>
      <c r="O291" s="3">
        <f>IF(N291&gt;=1,"OHKO",IF(N291&gt;=0.5,"2HKO",IF(N291&gt;=0.333,"3HKO",IF(N291&gt;=0.25,"4HKO","5HKO+"))))</f>
        <v/>
      </c>
      <c r="P291" s="3" t="inlineStr">
        <is>
          <t>Live from editable databases</t>
        </is>
      </c>
      <c r="Q291" s="3" t="inlineStr">
        <is>
          <t>SPECIES_STARLY</t>
        </is>
      </c>
      <c r="R291" s="3" t="n">
        <v>2</v>
      </c>
    </row>
    <row r="292">
      <c r="A292" s="3">
        <f>XLOOKUP($Q292,'Threshold Summary'!$Y:$Y,'Threshold Summary'!$A:$A,"")</f>
        <v/>
      </c>
      <c r="B292" s="3">
        <f>XLOOKUP($Q292,'Threshold Summary'!$Y:$Y,'Threshold Summary'!$M:$M,"")</f>
        <v/>
      </c>
      <c r="C292" s="3">
        <f>XLOOKUP($Q292,'Threshold Summary'!$Y:$Y,'Threshold Summary'!$N:$N,"")</f>
        <v/>
      </c>
      <c r="D292" s="3">
        <f>IFERROR(INDEX(FILTER('Learnset Editor'!$D$2:$D,'Learnset Editor'!$A$2:$A=XLOOKUP($Q292,'Threshold Summary'!$Y:$Y,'Threshold Summary'!$K:$K,""),'Learnset Editor'!$C$2:$C&lt;=XLOOKUP($Q292,'Threshold Summary'!$Y:$Y,'Threshold Summary'!$L:$L,"")),$R292),"")</f>
        <v/>
      </c>
      <c r="E292" s="3">
        <f>XLOOKUP(D292,'Move Editor'!$B:$B,'Move Editor'!$C:$C,"")</f>
        <v/>
      </c>
      <c r="F292" s="3">
        <f>XLOOKUP(D292,'Move Editor'!$B:$B,'Move Editor'!$D:$D,"")</f>
        <v/>
      </c>
      <c r="G292" s="3">
        <f>XLOOKUP(D292,'Move Editor'!$B:$B,'Move Editor'!$E:$E,0)</f>
        <v/>
      </c>
      <c r="H292" s="3">
        <f>XLOOKUP(D292,'Move Editor'!$B:$B,'Move Editor'!$F:$F,0)</f>
        <v/>
      </c>
      <c r="I292" s="3">
        <f>(INDEX('Type Chart'!$B:$S,MATCH(E292,'Type Chart'!$A:$A,0),MATCH(XLOOKUP('Boss Editor'!$C$4,'Pokemon Editor'!$A:$A,'Pokemon Editor'!$C:$C,""),'Type Chart'!$B$1:$S$1,0))*IF(XLOOKUP('Boss Editor'!$C$4,'Pokemon Editor'!$A:$A,'Pokemon Editor'!$D:$D,"")="",1,INDEX('Type Chart'!$B:$S,MATCH(E292,'Type Chart'!$A:$A,0),MATCH(XLOOKUP('Boss Editor'!$C$4,'Pokemon Editor'!$A:$A,'Pokemon Editor'!$D:$D,""),'Type Chart'!$B$1:$S$1,0))))</f>
        <v/>
      </c>
      <c r="J292" s="3">
        <f>IFERROR(LET(mtype,XLOOKUP($D292,'Move Editor'!$B:$B,'Move Editor'!$C:$C,""),cat,XLOOKUP($D292,'Move Editor'!$B:$B,'Move Editor'!$D:$D,""),pow,XLOOKUP($D292,'Move Editor'!$B:$B,'Move Editor'!$E:$E,0),acc,XLOOKUP($D292,'Move Editor'!$B:$B,'Move Editor'!$F:$F,100),atk,IF(cat="Physical",FLOOR((FLOOR(((2*XLOOKUP(XLOOKUP($Q292,'Threshold Summary'!$Y:$Y,'Threshold Summary'!$K:$K,""),'Pokemon Editor'!$A:$A,'Pokemon Editor'!$F:$F,0)+31+FLOOR(XLOOKUP($Q292,'Threshold Summary'!$Y:$Y,'Threshold Summary'!$P:$P,"")/4))*XLOOKUP($Q292,'Threshold Summary'!$Y:$Y,'Threshold Summary'!$L:$L,""))/100)+5)*XLOOKUP(XLOOKUP($Q292,'Threshold Summary'!$Y:$Y,'Threshold Summary'!$M:$M,""),'Nature Editor'!$A:$A,'Nature Editor'!$B:$B,1)),FLOOR((FLOOR(((2*XLOOKUP(XLOOKUP($Q292,'Threshold Summary'!$Y:$Y,'Threshold Summary'!$K:$K,""),'Pokemon Editor'!$A:$A,'Pokemon Editor'!$H:$H,0)+31+FLOOR(XLOOKUP($Q292,'Threshold Summary'!$Y:$Y,'Threshold Summary'!$R:$R,"")/4))*XLOOKUP($Q292,'Threshold Summary'!$Y:$Y,'Threshold Summary'!$L:$L,""))/100)+5)*XLOOKUP(XLOOKUP($Q292,'Threshold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Editor'!$E:$E,1))),stab,IF(OR(mtype=XLOOKUP(XLOOKUP($Q292,'Threshold Summary'!$Y:$Y,'Threshold Summary'!$K:$K,""),'Pokemon Editor'!$A:$A,'Pokemon Editor'!$C:$C,""),mtype=XLOOKUP(XLOOKUP($Q292,'Threshold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Chart'!$B$1:$S$1,0)))),base,IF(OR(cat="Status",pow=0),0,FLOOR(FLOOR(FLOOR((2*XLOOKUP($Q292,'Threshold Summary'!$Y:$Y,'Threshold Summary'!$L:$L,"")/5+2)*pow*atk/def)/50)+2)),modifier,stab*eff,FLOOR(base*modifier*0.85)),0)</f>
        <v/>
      </c>
      <c r="K292" s="3">
        <f>IFERROR(LET(mtype,XLOOKUP($D292,'Move Editor'!$B:$B,'Move Editor'!$C:$C,""),cat,XLOOKUP($D292,'Move Editor'!$B:$B,'Move Editor'!$D:$D,""),pow,XLOOKUP($D292,'Move Editor'!$B:$B,'Move Editor'!$E:$E,0),acc,XLOOKUP($D292,'Move Editor'!$B:$B,'Move Editor'!$F:$F,100),atk,IF(cat="Physical",FLOOR((FLOOR(((2*XLOOKUP(XLOOKUP($Q292,'Threshold Summary'!$Y:$Y,'Threshold Summary'!$K:$K,""),'Pokemon Editor'!$A:$A,'Pokemon Editor'!$F:$F,0)+31+FLOOR(XLOOKUP($Q292,'Threshold Summary'!$Y:$Y,'Threshold Summary'!$P:$P,"")/4))*XLOOKUP($Q292,'Threshold Summary'!$Y:$Y,'Threshold Summary'!$L:$L,""))/100)+5)*XLOOKUP(XLOOKUP($Q292,'Threshold Summary'!$Y:$Y,'Threshold Summary'!$M:$M,""),'Nature Editor'!$A:$A,'Nature Editor'!$B:$B,1)),FLOOR((FLOOR(((2*XLOOKUP(XLOOKUP($Q292,'Threshold Summary'!$Y:$Y,'Threshold Summary'!$K:$K,""),'Pokemon Editor'!$A:$A,'Pokemon Editor'!$H:$H,0)+31+FLOOR(XLOOKUP($Q292,'Threshold Summary'!$Y:$Y,'Threshold Summary'!$R:$R,"")/4))*XLOOKUP($Q292,'Threshold Summary'!$Y:$Y,'Threshold Summary'!$L:$L,""))/100)+5)*XLOOKUP(XLOOKUP($Q292,'Threshold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Editor'!$E:$E,1))),stab,IF(OR(mtype=XLOOKUP(XLOOKUP($Q292,'Threshold Summary'!$Y:$Y,'Threshold Summary'!$K:$K,""),'Pokemon Editor'!$A:$A,'Pokemon Editor'!$C:$C,""),mtype=XLOOKUP(XLOOKUP($Q292,'Threshold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Chart'!$B$1:$S$1,0)))),base,IF(OR(cat="Status",pow=0),0,FLOOR(FLOOR(FLOOR((2*XLOOKUP($Q292,'Threshold Summary'!$Y:$Y,'Threshold Summary'!$L:$L,"")/5+2)*pow*atk/def)/50)+2)),modifier,stab*eff,FLOOR(base*modifier)),0)</f>
        <v/>
      </c>
      <c r="L292" s="3">
        <f>IFERROR(LET(mtype,XLOOKUP($D292,'Move Editor'!$B:$B,'Move Editor'!$C:$C,""),cat,XLOOKUP($D292,'Move Editor'!$B:$B,'Move Editor'!$D:$D,""),pow,XLOOKUP($D292,'Move Editor'!$B:$B,'Move Editor'!$E:$E,0),acc,XLOOKUP($D292,'Move Editor'!$B:$B,'Move Editor'!$F:$F,100),atk,IF(cat="Physical",FLOOR((FLOOR(((2*XLOOKUP(XLOOKUP($Q292,'Threshold Summary'!$Y:$Y,'Threshold Summary'!$K:$K,""),'Pokemon Editor'!$A:$A,'Pokemon Editor'!$F:$F,0)+31+FLOOR(XLOOKUP($Q292,'Threshold Summary'!$Y:$Y,'Threshold Summary'!$P:$P,"")/4))*XLOOKUP($Q292,'Threshold Summary'!$Y:$Y,'Threshold Summary'!$L:$L,""))/100)+5)*XLOOKUP(XLOOKUP($Q292,'Threshold Summary'!$Y:$Y,'Threshold Summary'!$M:$M,""),'Nature Editor'!$A:$A,'Nature Editor'!$B:$B,1)),FLOOR((FLOOR(((2*XLOOKUP(XLOOKUP($Q292,'Threshold Summary'!$Y:$Y,'Threshold Summary'!$K:$K,""),'Pokemon Editor'!$A:$A,'Pokemon Editor'!$H:$H,0)+31+FLOOR(XLOOKUP($Q292,'Threshold Summary'!$Y:$Y,'Threshold Summary'!$R:$R,"")/4))*XLOOKUP($Q292,'Threshold Summary'!$Y:$Y,'Threshold Summary'!$L:$L,""))/100)+5)*XLOOKUP(XLOOKUP($Q292,'Threshold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Editor'!$E:$E,1))),stab,IF(OR(mtype=XLOOKUP(XLOOKUP($Q292,'Threshold Summary'!$Y:$Y,'Threshold Summary'!$K:$K,""),'Pokemon Editor'!$A:$A,'Pokemon Editor'!$C:$C,""),mtype=XLOOKUP(XLOOKUP($Q292,'Threshold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Chart'!$B$1:$S$1,0)))),base,IF(OR(cat="Status",pow=0),0,FLOOR(FLOOR(FLOOR((2*XLOOKUP($Q292,'Threshold Summary'!$Y:$Y,'Threshold Summary'!$L:$L,"")/5+2)*pow*atk/def)/50)+2)),modifier,stab*eff,AVERAGE(ARRAYFORMULA(FLOOR(base*modifier*SEQUENCE(16,1,85,1)/100)))),0)</f>
        <v/>
      </c>
      <c r="M292" s="3">
        <f>IFERROR(LET(mtype,XLOOKUP($D292,'Move Editor'!$B:$B,'Move Editor'!$C:$C,""),cat,XLOOKUP($D292,'Move Editor'!$B:$B,'Move Editor'!$D:$D,""),pow,XLOOKUP($D292,'Move Editor'!$B:$B,'Move Editor'!$E:$E,0),acc,XLOOKUP($D292,'Move Editor'!$B:$B,'Move Editor'!$F:$F,100),atk,IF(cat="Physical",FLOOR((FLOOR(((2*XLOOKUP(XLOOKUP($Q292,'Threshold Summary'!$Y:$Y,'Threshold Summary'!$K:$K,""),'Pokemon Editor'!$A:$A,'Pokemon Editor'!$F:$F,0)+31+FLOOR(XLOOKUP($Q292,'Threshold Summary'!$Y:$Y,'Threshold Summary'!$P:$P,"")/4))*XLOOKUP($Q292,'Threshold Summary'!$Y:$Y,'Threshold Summary'!$L:$L,""))/100)+5)*XLOOKUP(XLOOKUP($Q292,'Threshold Summary'!$Y:$Y,'Threshold Summary'!$M:$M,""),'Nature Editor'!$A:$A,'Nature Editor'!$B:$B,1)),FLOOR((FLOOR(((2*XLOOKUP(XLOOKUP($Q292,'Threshold Summary'!$Y:$Y,'Threshold Summary'!$K:$K,""),'Pokemon Editor'!$A:$A,'Pokemon Editor'!$H:$H,0)+31+FLOOR(XLOOKUP($Q292,'Threshold Summary'!$Y:$Y,'Threshold Summary'!$R:$R,"")/4))*XLOOKUP($Q292,'Threshold Summary'!$Y:$Y,'Threshold Summary'!$L:$L,""))/100)+5)*XLOOKUP(XLOOKUP($Q292,'Threshold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Editor'!$E:$E,1))),stab,IF(OR(mtype=XLOOKUP(XLOOKUP($Q292,'Threshold Summary'!$Y:$Y,'Threshold Summary'!$K:$K,""),'Pokemon Editor'!$A:$A,'Pokemon Editor'!$C:$C,""),mtype=XLOOKUP(XLOOKUP($Q292,'Threshold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Chart'!$B$1:$S$1,0)))),base,IF(OR(cat="Status",pow=0),0,FLOOR(FLOOR(FLOOR((2*XLOOKUP($Q292,'Threshold Summary'!$Y:$Y,'Threshold Summary'!$L:$L,"")/5+2)*pow*atk/def)/50)+2)),modifier,stab*eff,AVERAGE(ARRAYFORMULA(FLOOR(base*modifier*SEQUENCE(16,1,85,1)/100)))*MIN(1,acc/100)),0)</f>
        <v/>
      </c>
      <c r="N292" s="4">
        <f>IFERROR(LET(mtype,XLOOKUP($D292,'Move Editor'!$B:$B,'Move Editor'!$C:$C,""),cat,XLOOKUP($D292,'Move Editor'!$B:$B,'Move Editor'!$D:$D,""),pow,XLOOKUP($D292,'Move Editor'!$B:$B,'Move Editor'!$E:$E,0),acc,XLOOKUP($D292,'Move Editor'!$B:$B,'Move Editor'!$F:$F,100),atk,IF(cat="Physical",FLOOR((FLOOR(((2*XLOOKUP(XLOOKUP($Q292,'Threshold Summary'!$Y:$Y,'Threshold Summary'!$K:$K,""),'Pokemon Editor'!$A:$A,'Pokemon Editor'!$F:$F,0)+31+FLOOR(XLOOKUP($Q292,'Threshold Summary'!$Y:$Y,'Threshold Summary'!$P:$P,"")/4))*XLOOKUP($Q292,'Threshold Summary'!$Y:$Y,'Threshold Summary'!$L:$L,""))/100)+5)*XLOOKUP(XLOOKUP($Q292,'Threshold Summary'!$Y:$Y,'Threshold Summary'!$M:$M,""),'Nature Editor'!$A:$A,'Nature Editor'!$B:$B,1)),FLOOR((FLOOR(((2*XLOOKUP(XLOOKUP($Q292,'Threshold Summary'!$Y:$Y,'Threshold Summary'!$K:$K,""),'Pokemon Editor'!$A:$A,'Pokemon Editor'!$H:$H,0)+31+FLOOR(XLOOKUP($Q292,'Threshold Summary'!$Y:$Y,'Threshold Summary'!$R:$R,"")/4))*XLOOKUP($Q292,'Threshold Summary'!$Y:$Y,'Threshold Summary'!$L:$L,""))/100)+5)*XLOOKUP(XLOOKUP($Q292,'Threshold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Editor'!$E:$E,1))),stab,IF(OR(mtype=XLOOKUP(XLOOKUP($Q292,'Threshold Summary'!$Y:$Y,'Threshold Summary'!$K:$K,""),'Pokemon Editor'!$A:$A,'Pokemon Editor'!$C:$C,""),mtype=XLOOKUP(XLOOKUP($Q292,'Threshold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Chart'!$B$1:$S$1,0)))),base,IF(OR(cat="Status",pow=0),0,FLOOR(FLOOR(FLOOR((2*XLOOKUP($Q292,'Threshold Summary'!$Y:$Y,'Threshold Summary'!$L:$L,"")/5+2)*pow*atk/def)/50)+2)),modifier,stab*eff,AVERAGE(ARRAYFORMULA(FLOOR(base*modifier*SEQUENCE(16,1,85,1)/100)))/(FLOOR(((2*XLOOKUP('Boss Editor'!$C$4,'Pokemon Editor'!$A:$A,'Pokemon Editor'!$E:$E,0)+31+FLOOR('Boss Editor'!$G$4/4))*'Boss Editor'!$D$4)/100)+'Boss Editor'!$D$4+10)),0)</f>
        <v/>
      </c>
      <c r="O292" s="3">
        <f>IF(N292&gt;=1,"OHKO",IF(N292&gt;=0.5,"2HKO",IF(N292&gt;=0.333,"3HKO",IF(N292&gt;=0.25,"4HKO","5HKO+"))))</f>
        <v/>
      </c>
      <c r="P292" s="3" t="inlineStr">
        <is>
          <t>Live from editable databases</t>
        </is>
      </c>
      <c r="Q292" s="3" t="inlineStr">
        <is>
          <t>SPECIES_STARLY</t>
        </is>
      </c>
      <c r="R292" s="3" t="n">
        <v>3</v>
      </c>
    </row>
    <row r="293">
      <c r="A293" s="3">
        <f>XLOOKUP($Q293,'Threshold Summary'!$Y:$Y,'Threshold Summary'!$A:$A,"")</f>
        <v/>
      </c>
      <c r="B293" s="3">
        <f>XLOOKUP($Q293,'Threshold Summary'!$Y:$Y,'Threshold Summary'!$M:$M,"")</f>
        <v/>
      </c>
      <c r="C293" s="3">
        <f>XLOOKUP($Q293,'Threshold Summary'!$Y:$Y,'Threshold Summary'!$N:$N,"")</f>
        <v/>
      </c>
      <c r="D293" s="3">
        <f>IFERROR(INDEX(FILTER('Learnset Editor'!$D$2:$D,'Learnset Editor'!$A$2:$A=XLOOKUP($Q293,'Threshold Summary'!$Y:$Y,'Threshold Summary'!$K:$K,""),'Learnset Editor'!$C$2:$C&lt;=XLOOKUP($Q293,'Threshold Summary'!$Y:$Y,'Threshold Summary'!$L:$L,"")),$R293),"")</f>
        <v/>
      </c>
      <c r="E293" s="3">
        <f>XLOOKUP(D293,'Move Editor'!$B:$B,'Move Editor'!$C:$C,"")</f>
        <v/>
      </c>
      <c r="F293" s="3">
        <f>XLOOKUP(D293,'Move Editor'!$B:$B,'Move Editor'!$D:$D,"")</f>
        <v/>
      </c>
      <c r="G293" s="3">
        <f>XLOOKUP(D293,'Move Editor'!$B:$B,'Move Editor'!$E:$E,0)</f>
        <v/>
      </c>
      <c r="H293" s="3">
        <f>XLOOKUP(D293,'Move Editor'!$B:$B,'Move Editor'!$F:$F,0)</f>
        <v/>
      </c>
      <c r="I293" s="3">
        <f>(INDEX('Type Chart'!$B:$S,MATCH(E293,'Type Chart'!$A:$A,0),MATCH(XLOOKUP('Boss Editor'!$C$4,'Pokemon Editor'!$A:$A,'Pokemon Editor'!$C:$C,""),'Type Chart'!$B$1:$S$1,0))*IF(XLOOKUP('Boss Editor'!$C$4,'Pokemon Editor'!$A:$A,'Pokemon Editor'!$D:$D,"")="",1,INDEX('Type Chart'!$B:$S,MATCH(E293,'Type Chart'!$A:$A,0),MATCH(XLOOKUP('Boss Editor'!$C$4,'Pokemon Editor'!$A:$A,'Pokemon Editor'!$D:$D,""),'Type Chart'!$B$1:$S$1,0))))</f>
        <v/>
      </c>
      <c r="J293" s="3">
        <f>IFERROR(LET(mtype,XLOOKUP($D293,'Move Editor'!$B:$B,'Move Editor'!$C:$C,""),cat,XLOOKUP($D293,'Move Editor'!$B:$B,'Move Editor'!$D:$D,""),pow,XLOOKUP($D293,'Move Editor'!$B:$B,'Move Editor'!$E:$E,0),acc,XLOOKUP($D293,'Move Editor'!$B:$B,'Move Editor'!$F:$F,100),atk,IF(cat="Physical",FLOOR((FLOOR(((2*XLOOKUP(XLOOKUP($Q293,'Threshold Summary'!$Y:$Y,'Threshold Summary'!$K:$K,""),'Pokemon Editor'!$A:$A,'Pokemon Editor'!$F:$F,0)+31+FLOOR(XLOOKUP($Q293,'Threshold Summary'!$Y:$Y,'Threshold Summary'!$P:$P,"")/4))*XLOOKUP($Q293,'Threshold Summary'!$Y:$Y,'Threshold Summary'!$L:$L,""))/100)+5)*XLOOKUP(XLOOKUP($Q293,'Threshold Summary'!$Y:$Y,'Threshold Summary'!$M:$M,""),'Nature Editor'!$A:$A,'Nature Editor'!$B:$B,1)),FLOOR((FLOOR(((2*XLOOKUP(XLOOKUP($Q293,'Threshold Summary'!$Y:$Y,'Threshold Summary'!$K:$K,""),'Pokemon Editor'!$A:$A,'Pokemon Editor'!$H:$H,0)+31+FLOOR(XLOOKUP($Q293,'Threshold Summary'!$Y:$Y,'Threshold Summary'!$R:$R,"")/4))*XLOOKUP($Q293,'Threshold Summary'!$Y:$Y,'Threshold Summary'!$L:$L,""))/100)+5)*XLOOKUP(XLOOKUP($Q293,'Threshold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Editor'!$E:$E,1))),stab,IF(OR(mtype=XLOOKUP(XLOOKUP($Q293,'Threshold Summary'!$Y:$Y,'Threshold Summary'!$K:$K,""),'Pokemon Editor'!$A:$A,'Pokemon Editor'!$C:$C,""),mtype=XLOOKUP(XLOOKUP($Q293,'Threshold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Chart'!$B$1:$S$1,0)))),base,IF(OR(cat="Status",pow=0),0,FLOOR(FLOOR(FLOOR((2*XLOOKUP($Q293,'Threshold Summary'!$Y:$Y,'Threshold Summary'!$L:$L,"")/5+2)*pow*atk/def)/50)+2)),modifier,stab*eff,FLOOR(base*modifier*0.85)),0)</f>
        <v/>
      </c>
      <c r="K293" s="3">
        <f>IFERROR(LET(mtype,XLOOKUP($D293,'Move Editor'!$B:$B,'Move Editor'!$C:$C,""),cat,XLOOKUP($D293,'Move Editor'!$B:$B,'Move Editor'!$D:$D,""),pow,XLOOKUP($D293,'Move Editor'!$B:$B,'Move Editor'!$E:$E,0),acc,XLOOKUP($D293,'Move Editor'!$B:$B,'Move Editor'!$F:$F,100),atk,IF(cat="Physical",FLOOR((FLOOR(((2*XLOOKUP(XLOOKUP($Q293,'Threshold Summary'!$Y:$Y,'Threshold Summary'!$K:$K,""),'Pokemon Editor'!$A:$A,'Pokemon Editor'!$F:$F,0)+31+FLOOR(XLOOKUP($Q293,'Threshold Summary'!$Y:$Y,'Threshold Summary'!$P:$P,"")/4))*XLOOKUP($Q293,'Threshold Summary'!$Y:$Y,'Threshold Summary'!$L:$L,""))/100)+5)*XLOOKUP(XLOOKUP($Q293,'Threshold Summary'!$Y:$Y,'Threshold Summary'!$M:$M,""),'Nature Editor'!$A:$A,'Nature Editor'!$B:$B,1)),FLOOR((FLOOR(((2*XLOOKUP(XLOOKUP($Q293,'Threshold Summary'!$Y:$Y,'Threshold Summary'!$K:$K,""),'Pokemon Editor'!$A:$A,'Pokemon Editor'!$H:$H,0)+31+FLOOR(XLOOKUP($Q293,'Threshold Summary'!$Y:$Y,'Threshold Summary'!$R:$R,"")/4))*XLOOKUP($Q293,'Threshold Summary'!$Y:$Y,'Threshold Summary'!$L:$L,""))/100)+5)*XLOOKUP(XLOOKUP($Q293,'Threshold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Editor'!$E:$E,1))),stab,IF(OR(mtype=XLOOKUP(XLOOKUP($Q293,'Threshold Summary'!$Y:$Y,'Threshold Summary'!$K:$K,""),'Pokemon Editor'!$A:$A,'Pokemon Editor'!$C:$C,""),mtype=XLOOKUP(XLOOKUP($Q293,'Threshold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Chart'!$B$1:$S$1,0)))),base,IF(OR(cat="Status",pow=0),0,FLOOR(FLOOR(FLOOR((2*XLOOKUP($Q293,'Threshold Summary'!$Y:$Y,'Threshold Summary'!$L:$L,"")/5+2)*pow*atk/def)/50)+2)),modifier,stab*eff,FLOOR(base*modifier)),0)</f>
        <v/>
      </c>
      <c r="L293" s="3">
        <f>IFERROR(LET(mtype,XLOOKUP($D293,'Move Editor'!$B:$B,'Move Editor'!$C:$C,""),cat,XLOOKUP($D293,'Move Editor'!$B:$B,'Move Editor'!$D:$D,""),pow,XLOOKUP($D293,'Move Editor'!$B:$B,'Move Editor'!$E:$E,0),acc,XLOOKUP($D293,'Move Editor'!$B:$B,'Move Editor'!$F:$F,100),atk,IF(cat="Physical",FLOOR((FLOOR(((2*XLOOKUP(XLOOKUP($Q293,'Threshold Summary'!$Y:$Y,'Threshold Summary'!$K:$K,""),'Pokemon Editor'!$A:$A,'Pokemon Editor'!$F:$F,0)+31+FLOOR(XLOOKUP($Q293,'Threshold Summary'!$Y:$Y,'Threshold Summary'!$P:$P,"")/4))*XLOOKUP($Q293,'Threshold Summary'!$Y:$Y,'Threshold Summary'!$L:$L,""))/100)+5)*XLOOKUP(XLOOKUP($Q293,'Threshold Summary'!$Y:$Y,'Threshold Summary'!$M:$M,""),'Nature Editor'!$A:$A,'Nature Editor'!$B:$B,1)),FLOOR((FLOOR(((2*XLOOKUP(XLOOKUP($Q293,'Threshold Summary'!$Y:$Y,'Threshold Summary'!$K:$K,""),'Pokemon Editor'!$A:$A,'Pokemon Editor'!$H:$H,0)+31+FLOOR(XLOOKUP($Q293,'Threshold Summary'!$Y:$Y,'Threshold Summary'!$R:$R,"")/4))*XLOOKUP($Q293,'Threshold Summary'!$Y:$Y,'Threshold Summary'!$L:$L,""))/100)+5)*XLOOKUP(XLOOKUP($Q293,'Threshold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Editor'!$E:$E,1))),stab,IF(OR(mtype=XLOOKUP(XLOOKUP($Q293,'Threshold Summary'!$Y:$Y,'Threshold Summary'!$K:$K,""),'Pokemon Editor'!$A:$A,'Pokemon Editor'!$C:$C,""),mtype=XLOOKUP(XLOOKUP($Q293,'Threshold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Chart'!$B$1:$S$1,0)))),base,IF(OR(cat="Status",pow=0),0,FLOOR(FLOOR(FLOOR((2*XLOOKUP($Q293,'Threshold Summary'!$Y:$Y,'Threshold Summary'!$L:$L,"")/5+2)*pow*atk/def)/50)+2)),modifier,stab*eff,AVERAGE(ARRAYFORMULA(FLOOR(base*modifier*SEQUENCE(16,1,85,1)/100)))),0)</f>
        <v/>
      </c>
      <c r="M293" s="3">
        <f>IFERROR(LET(mtype,XLOOKUP($D293,'Move Editor'!$B:$B,'Move Editor'!$C:$C,""),cat,XLOOKUP($D293,'Move Editor'!$B:$B,'Move Editor'!$D:$D,""),pow,XLOOKUP($D293,'Move Editor'!$B:$B,'Move Editor'!$E:$E,0),acc,XLOOKUP($D293,'Move Editor'!$B:$B,'Move Editor'!$F:$F,100),atk,IF(cat="Physical",FLOOR((FLOOR(((2*XLOOKUP(XLOOKUP($Q293,'Threshold Summary'!$Y:$Y,'Threshold Summary'!$K:$K,""),'Pokemon Editor'!$A:$A,'Pokemon Editor'!$F:$F,0)+31+FLOOR(XLOOKUP($Q293,'Threshold Summary'!$Y:$Y,'Threshold Summary'!$P:$P,"")/4))*XLOOKUP($Q293,'Threshold Summary'!$Y:$Y,'Threshold Summary'!$L:$L,""))/100)+5)*XLOOKUP(XLOOKUP($Q293,'Threshold Summary'!$Y:$Y,'Threshold Summary'!$M:$M,""),'Nature Editor'!$A:$A,'Nature Editor'!$B:$B,1)),FLOOR((FLOOR(((2*XLOOKUP(XLOOKUP($Q293,'Threshold Summary'!$Y:$Y,'Threshold Summary'!$K:$K,""),'Pokemon Editor'!$A:$A,'Pokemon Editor'!$H:$H,0)+31+FLOOR(XLOOKUP($Q293,'Threshold Summary'!$Y:$Y,'Threshold Summary'!$R:$R,"")/4))*XLOOKUP($Q293,'Threshold Summary'!$Y:$Y,'Threshold Summary'!$L:$L,""))/100)+5)*XLOOKUP(XLOOKUP($Q293,'Threshold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Editor'!$E:$E,1))),stab,IF(OR(mtype=XLOOKUP(XLOOKUP($Q293,'Threshold Summary'!$Y:$Y,'Threshold Summary'!$K:$K,""),'Pokemon Editor'!$A:$A,'Pokemon Editor'!$C:$C,""),mtype=XLOOKUP(XLOOKUP($Q293,'Threshold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Chart'!$B$1:$S$1,0)))),base,IF(OR(cat="Status",pow=0),0,FLOOR(FLOOR(FLOOR((2*XLOOKUP($Q293,'Threshold Summary'!$Y:$Y,'Threshold Summary'!$L:$L,"")/5+2)*pow*atk/def)/50)+2)),modifier,stab*eff,AVERAGE(ARRAYFORMULA(FLOOR(base*modifier*SEQUENCE(16,1,85,1)/100)))*MIN(1,acc/100)),0)</f>
        <v/>
      </c>
      <c r="N293" s="4">
        <f>IFERROR(LET(mtype,XLOOKUP($D293,'Move Editor'!$B:$B,'Move Editor'!$C:$C,""),cat,XLOOKUP($D293,'Move Editor'!$B:$B,'Move Editor'!$D:$D,""),pow,XLOOKUP($D293,'Move Editor'!$B:$B,'Move Editor'!$E:$E,0),acc,XLOOKUP($D293,'Move Editor'!$B:$B,'Move Editor'!$F:$F,100),atk,IF(cat="Physical",FLOOR((FLOOR(((2*XLOOKUP(XLOOKUP($Q293,'Threshold Summary'!$Y:$Y,'Threshold Summary'!$K:$K,""),'Pokemon Editor'!$A:$A,'Pokemon Editor'!$F:$F,0)+31+FLOOR(XLOOKUP($Q293,'Threshold Summary'!$Y:$Y,'Threshold Summary'!$P:$P,"")/4))*XLOOKUP($Q293,'Threshold Summary'!$Y:$Y,'Threshold Summary'!$L:$L,""))/100)+5)*XLOOKUP(XLOOKUP($Q293,'Threshold Summary'!$Y:$Y,'Threshold Summary'!$M:$M,""),'Nature Editor'!$A:$A,'Nature Editor'!$B:$B,1)),FLOOR((FLOOR(((2*XLOOKUP(XLOOKUP($Q293,'Threshold Summary'!$Y:$Y,'Threshold Summary'!$K:$K,""),'Pokemon Editor'!$A:$A,'Pokemon Editor'!$H:$H,0)+31+FLOOR(XLOOKUP($Q293,'Threshold Summary'!$Y:$Y,'Threshold Summary'!$R:$R,"")/4))*XLOOKUP($Q293,'Threshold Summary'!$Y:$Y,'Threshold Summary'!$L:$L,""))/100)+5)*XLOOKUP(XLOOKUP($Q293,'Threshold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Editor'!$E:$E,1))),stab,IF(OR(mtype=XLOOKUP(XLOOKUP($Q293,'Threshold Summary'!$Y:$Y,'Threshold Summary'!$K:$K,""),'Pokemon Editor'!$A:$A,'Pokemon Editor'!$C:$C,""),mtype=XLOOKUP(XLOOKUP($Q293,'Threshold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Chart'!$B$1:$S$1,0)))),base,IF(OR(cat="Status",pow=0),0,FLOOR(FLOOR(FLOOR((2*XLOOKUP($Q293,'Threshold Summary'!$Y:$Y,'Threshold Summary'!$L:$L,"")/5+2)*pow*atk/def)/50)+2)),modifier,stab*eff,AVERAGE(ARRAYFORMULA(FLOOR(base*modifier*SEQUENCE(16,1,85,1)/100)))/(FLOOR(((2*XLOOKUP('Boss Editor'!$C$4,'Pokemon Editor'!$A:$A,'Pokemon Editor'!$E:$E,0)+31+FLOOR('Boss Editor'!$G$4/4))*'Boss Editor'!$D$4)/100)+'Boss Editor'!$D$4+10)),0)</f>
        <v/>
      </c>
      <c r="O293" s="3">
        <f>IF(N293&gt;=1,"OHKO",IF(N293&gt;=0.5,"2HKO",IF(N293&gt;=0.333,"3HKO",IF(N293&gt;=0.25,"4HKO","5HKO+"))))</f>
        <v/>
      </c>
      <c r="P293" s="3" t="inlineStr">
        <is>
          <t>Live from editable databases</t>
        </is>
      </c>
      <c r="Q293" s="3" t="inlineStr">
        <is>
          <t>SPECIES_STARLY</t>
        </is>
      </c>
      <c r="R293" s="3" t="n">
        <v>4</v>
      </c>
    </row>
    <row r="294">
      <c r="A294" s="3">
        <f>XLOOKUP($Q294,'Threshold Summary'!$Y:$Y,'Threshold Summary'!$A:$A,"")</f>
        <v/>
      </c>
      <c r="B294" s="3">
        <f>XLOOKUP($Q294,'Threshold Summary'!$Y:$Y,'Threshold Summary'!$M:$M,"")</f>
        <v/>
      </c>
      <c r="C294" s="3">
        <f>XLOOKUP($Q294,'Threshold Summary'!$Y:$Y,'Threshold Summary'!$N:$N,"")</f>
        <v/>
      </c>
      <c r="D294" s="3">
        <f>IFERROR(INDEX(FILTER('Learnset Editor'!$D$2:$D,'Learnset Editor'!$A$2:$A=XLOOKUP($Q294,'Threshold Summary'!$Y:$Y,'Threshold Summary'!$K:$K,""),'Learnset Editor'!$C$2:$C&lt;=XLOOKUP($Q294,'Threshold Summary'!$Y:$Y,'Threshold Summary'!$L:$L,"")),$R294),"")</f>
        <v/>
      </c>
      <c r="E294" s="3">
        <f>XLOOKUP(D294,'Move Editor'!$B:$B,'Move Editor'!$C:$C,"")</f>
        <v/>
      </c>
      <c r="F294" s="3">
        <f>XLOOKUP(D294,'Move Editor'!$B:$B,'Move Editor'!$D:$D,"")</f>
        <v/>
      </c>
      <c r="G294" s="3">
        <f>XLOOKUP(D294,'Move Editor'!$B:$B,'Move Editor'!$E:$E,0)</f>
        <v/>
      </c>
      <c r="H294" s="3">
        <f>XLOOKUP(D294,'Move Editor'!$B:$B,'Move Editor'!$F:$F,0)</f>
        <v/>
      </c>
      <c r="I294" s="3">
        <f>(INDEX('Type Chart'!$B:$S,MATCH(E294,'Type Chart'!$A:$A,0),MATCH(XLOOKUP('Boss Editor'!$C$4,'Pokemon Editor'!$A:$A,'Pokemon Editor'!$C:$C,""),'Type Chart'!$B$1:$S$1,0))*IF(XLOOKUP('Boss Editor'!$C$4,'Pokemon Editor'!$A:$A,'Pokemon Editor'!$D:$D,"")="",1,INDEX('Type Chart'!$B:$S,MATCH(E294,'Type Chart'!$A:$A,0),MATCH(XLOOKUP('Boss Editor'!$C$4,'Pokemon Editor'!$A:$A,'Pokemon Editor'!$D:$D,""),'Type Chart'!$B$1:$S$1,0))))</f>
        <v/>
      </c>
      <c r="J294" s="3">
        <f>IFERROR(LET(mtype,XLOOKUP($D294,'Move Editor'!$B:$B,'Move Editor'!$C:$C,""),cat,XLOOKUP($D294,'Move Editor'!$B:$B,'Move Editor'!$D:$D,""),pow,XLOOKUP($D294,'Move Editor'!$B:$B,'Move Editor'!$E:$E,0),acc,XLOOKUP($D294,'Move Editor'!$B:$B,'Move Editor'!$F:$F,100),atk,IF(cat="Physical",FLOOR((FLOOR(((2*XLOOKUP(XLOOKUP($Q294,'Threshold Summary'!$Y:$Y,'Threshold Summary'!$K:$K,""),'Pokemon Editor'!$A:$A,'Pokemon Editor'!$F:$F,0)+31+FLOOR(XLOOKUP($Q294,'Threshold Summary'!$Y:$Y,'Threshold Summary'!$P:$P,"")/4))*XLOOKUP($Q294,'Threshold Summary'!$Y:$Y,'Threshold Summary'!$L:$L,""))/100)+5)*XLOOKUP(XLOOKUP($Q294,'Threshold Summary'!$Y:$Y,'Threshold Summary'!$M:$M,""),'Nature Editor'!$A:$A,'Nature Editor'!$B:$B,1)),FLOOR((FLOOR(((2*XLOOKUP(XLOOKUP($Q294,'Threshold Summary'!$Y:$Y,'Threshold Summary'!$K:$K,""),'Pokemon Editor'!$A:$A,'Pokemon Editor'!$H:$H,0)+31+FLOOR(XLOOKUP($Q294,'Threshold Summary'!$Y:$Y,'Threshold Summary'!$R:$R,"")/4))*XLOOKUP($Q294,'Threshold Summary'!$Y:$Y,'Threshold Summary'!$L:$L,""))/100)+5)*XLOOKUP(XLOOKUP($Q294,'Threshold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Editor'!$E:$E,1))),stab,IF(OR(mtype=XLOOKUP(XLOOKUP($Q294,'Threshold Summary'!$Y:$Y,'Threshold Summary'!$K:$K,""),'Pokemon Editor'!$A:$A,'Pokemon Editor'!$C:$C,""),mtype=XLOOKUP(XLOOKUP($Q294,'Threshold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Chart'!$B$1:$S$1,0)))),base,IF(OR(cat="Status",pow=0),0,FLOOR(FLOOR(FLOOR((2*XLOOKUP($Q294,'Threshold Summary'!$Y:$Y,'Threshold Summary'!$L:$L,"")/5+2)*pow*atk/def)/50)+2)),modifier,stab*eff,FLOOR(base*modifier*0.85)),0)</f>
        <v/>
      </c>
      <c r="K294" s="3">
        <f>IFERROR(LET(mtype,XLOOKUP($D294,'Move Editor'!$B:$B,'Move Editor'!$C:$C,""),cat,XLOOKUP($D294,'Move Editor'!$B:$B,'Move Editor'!$D:$D,""),pow,XLOOKUP($D294,'Move Editor'!$B:$B,'Move Editor'!$E:$E,0),acc,XLOOKUP($D294,'Move Editor'!$B:$B,'Move Editor'!$F:$F,100),atk,IF(cat="Physical",FLOOR((FLOOR(((2*XLOOKUP(XLOOKUP($Q294,'Threshold Summary'!$Y:$Y,'Threshold Summary'!$K:$K,""),'Pokemon Editor'!$A:$A,'Pokemon Editor'!$F:$F,0)+31+FLOOR(XLOOKUP($Q294,'Threshold Summary'!$Y:$Y,'Threshold Summary'!$P:$P,"")/4))*XLOOKUP($Q294,'Threshold Summary'!$Y:$Y,'Threshold Summary'!$L:$L,""))/100)+5)*XLOOKUP(XLOOKUP($Q294,'Threshold Summary'!$Y:$Y,'Threshold Summary'!$M:$M,""),'Nature Editor'!$A:$A,'Nature Editor'!$B:$B,1)),FLOOR((FLOOR(((2*XLOOKUP(XLOOKUP($Q294,'Threshold Summary'!$Y:$Y,'Threshold Summary'!$K:$K,""),'Pokemon Editor'!$A:$A,'Pokemon Editor'!$H:$H,0)+31+FLOOR(XLOOKUP($Q294,'Threshold Summary'!$Y:$Y,'Threshold Summary'!$R:$R,"")/4))*XLOOKUP($Q294,'Threshold Summary'!$Y:$Y,'Threshold Summary'!$L:$L,""))/100)+5)*XLOOKUP(XLOOKUP($Q294,'Threshold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Editor'!$E:$E,1))),stab,IF(OR(mtype=XLOOKUP(XLOOKUP($Q294,'Threshold Summary'!$Y:$Y,'Threshold Summary'!$K:$K,""),'Pokemon Editor'!$A:$A,'Pokemon Editor'!$C:$C,""),mtype=XLOOKUP(XLOOKUP($Q294,'Threshold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Chart'!$B$1:$S$1,0)))),base,IF(OR(cat="Status",pow=0),0,FLOOR(FLOOR(FLOOR((2*XLOOKUP($Q294,'Threshold Summary'!$Y:$Y,'Threshold Summary'!$L:$L,"")/5+2)*pow*atk/def)/50)+2)),modifier,stab*eff,FLOOR(base*modifier)),0)</f>
        <v/>
      </c>
      <c r="L294" s="3">
        <f>IFERROR(LET(mtype,XLOOKUP($D294,'Move Editor'!$B:$B,'Move Editor'!$C:$C,""),cat,XLOOKUP($D294,'Move Editor'!$B:$B,'Move Editor'!$D:$D,""),pow,XLOOKUP($D294,'Move Editor'!$B:$B,'Move Editor'!$E:$E,0),acc,XLOOKUP($D294,'Move Editor'!$B:$B,'Move Editor'!$F:$F,100),atk,IF(cat="Physical",FLOOR((FLOOR(((2*XLOOKUP(XLOOKUP($Q294,'Threshold Summary'!$Y:$Y,'Threshold Summary'!$K:$K,""),'Pokemon Editor'!$A:$A,'Pokemon Editor'!$F:$F,0)+31+FLOOR(XLOOKUP($Q294,'Threshold Summary'!$Y:$Y,'Threshold Summary'!$P:$P,"")/4))*XLOOKUP($Q294,'Threshold Summary'!$Y:$Y,'Threshold Summary'!$L:$L,""))/100)+5)*XLOOKUP(XLOOKUP($Q294,'Threshold Summary'!$Y:$Y,'Threshold Summary'!$M:$M,""),'Nature Editor'!$A:$A,'Nature Editor'!$B:$B,1)),FLOOR((FLOOR(((2*XLOOKUP(XLOOKUP($Q294,'Threshold Summary'!$Y:$Y,'Threshold Summary'!$K:$K,""),'Pokemon Editor'!$A:$A,'Pokemon Editor'!$H:$H,0)+31+FLOOR(XLOOKUP($Q294,'Threshold Summary'!$Y:$Y,'Threshold Summary'!$R:$R,"")/4))*XLOOKUP($Q294,'Threshold Summary'!$Y:$Y,'Threshold Summary'!$L:$L,""))/100)+5)*XLOOKUP(XLOOKUP($Q294,'Threshold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Editor'!$E:$E,1))),stab,IF(OR(mtype=XLOOKUP(XLOOKUP($Q294,'Threshold Summary'!$Y:$Y,'Threshold Summary'!$K:$K,""),'Pokemon Editor'!$A:$A,'Pokemon Editor'!$C:$C,""),mtype=XLOOKUP(XLOOKUP($Q294,'Threshold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Chart'!$B$1:$S$1,0)))),base,IF(OR(cat="Status",pow=0),0,FLOOR(FLOOR(FLOOR((2*XLOOKUP($Q294,'Threshold Summary'!$Y:$Y,'Threshold Summary'!$L:$L,"")/5+2)*pow*atk/def)/50)+2)),modifier,stab*eff,AVERAGE(ARRAYFORMULA(FLOOR(base*modifier*SEQUENCE(16,1,85,1)/100)))),0)</f>
        <v/>
      </c>
      <c r="M294" s="3">
        <f>IFERROR(LET(mtype,XLOOKUP($D294,'Move Editor'!$B:$B,'Move Editor'!$C:$C,""),cat,XLOOKUP($D294,'Move Editor'!$B:$B,'Move Editor'!$D:$D,""),pow,XLOOKUP($D294,'Move Editor'!$B:$B,'Move Editor'!$E:$E,0),acc,XLOOKUP($D294,'Move Editor'!$B:$B,'Move Editor'!$F:$F,100),atk,IF(cat="Physical",FLOOR((FLOOR(((2*XLOOKUP(XLOOKUP($Q294,'Threshold Summary'!$Y:$Y,'Threshold Summary'!$K:$K,""),'Pokemon Editor'!$A:$A,'Pokemon Editor'!$F:$F,0)+31+FLOOR(XLOOKUP($Q294,'Threshold Summary'!$Y:$Y,'Threshold Summary'!$P:$P,"")/4))*XLOOKUP($Q294,'Threshold Summary'!$Y:$Y,'Threshold Summary'!$L:$L,""))/100)+5)*XLOOKUP(XLOOKUP($Q294,'Threshold Summary'!$Y:$Y,'Threshold Summary'!$M:$M,""),'Nature Editor'!$A:$A,'Nature Editor'!$B:$B,1)),FLOOR((FLOOR(((2*XLOOKUP(XLOOKUP($Q294,'Threshold Summary'!$Y:$Y,'Threshold Summary'!$K:$K,""),'Pokemon Editor'!$A:$A,'Pokemon Editor'!$H:$H,0)+31+FLOOR(XLOOKUP($Q294,'Threshold Summary'!$Y:$Y,'Threshold Summary'!$R:$R,"")/4))*XLOOKUP($Q294,'Threshold Summary'!$Y:$Y,'Threshold Summary'!$L:$L,""))/100)+5)*XLOOKUP(XLOOKUP($Q294,'Threshold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Editor'!$E:$E,1))),stab,IF(OR(mtype=XLOOKUP(XLOOKUP($Q294,'Threshold Summary'!$Y:$Y,'Threshold Summary'!$K:$K,""),'Pokemon Editor'!$A:$A,'Pokemon Editor'!$C:$C,""),mtype=XLOOKUP(XLOOKUP($Q294,'Threshold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Chart'!$B$1:$S$1,0)))),base,IF(OR(cat="Status",pow=0),0,FLOOR(FLOOR(FLOOR((2*XLOOKUP($Q294,'Threshold Summary'!$Y:$Y,'Threshold Summary'!$L:$L,"")/5+2)*pow*atk/def)/50)+2)),modifier,stab*eff,AVERAGE(ARRAYFORMULA(FLOOR(base*modifier*SEQUENCE(16,1,85,1)/100)))*MIN(1,acc/100)),0)</f>
        <v/>
      </c>
      <c r="N294" s="4">
        <f>IFERROR(LET(mtype,XLOOKUP($D294,'Move Editor'!$B:$B,'Move Editor'!$C:$C,""),cat,XLOOKUP($D294,'Move Editor'!$B:$B,'Move Editor'!$D:$D,""),pow,XLOOKUP($D294,'Move Editor'!$B:$B,'Move Editor'!$E:$E,0),acc,XLOOKUP($D294,'Move Editor'!$B:$B,'Move Editor'!$F:$F,100),atk,IF(cat="Physical",FLOOR((FLOOR(((2*XLOOKUP(XLOOKUP($Q294,'Threshold Summary'!$Y:$Y,'Threshold Summary'!$K:$K,""),'Pokemon Editor'!$A:$A,'Pokemon Editor'!$F:$F,0)+31+FLOOR(XLOOKUP($Q294,'Threshold Summary'!$Y:$Y,'Threshold Summary'!$P:$P,"")/4))*XLOOKUP($Q294,'Threshold Summary'!$Y:$Y,'Threshold Summary'!$L:$L,""))/100)+5)*XLOOKUP(XLOOKUP($Q294,'Threshold Summary'!$Y:$Y,'Threshold Summary'!$M:$M,""),'Nature Editor'!$A:$A,'Nature Editor'!$B:$B,1)),FLOOR((FLOOR(((2*XLOOKUP(XLOOKUP($Q294,'Threshold Summary'!$Y:$Y,'Threshold Summary'!$K:$K,""),'Pokemon Editor'!$A:$A,'Pokemon Editor'!$H:$H,0)+31+FLOOR(XLOOKUP($Q294,'Threshold Summary'!$Y:$Y,'Threshold Summary'!$R:$R,"")/4))*XLOOKUP($Q294,'Threshold Summary'!$Y:$Y,'Threshold Summary'!$L:$L,""))/100)+5)*XLOOKUP(XLOOKUP($Q294,'Threshold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Editor'!$E:$E,1))),stab,IF(OR(mtype=XLOOKUP(XLOOKUP($Q294,'Threshold Summary'!$Y:$Y,'Threshold Summary'!$K:$K,""),'Pokemon Editor'!$A:$A,'Pokemon Editor'!$C:$C,""),mtype=XLOOKUP(XLOOKUP($Q294,'Threshold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Chart'!$B$1:$S$1,0)))),base,IF(OR(cat="Status",pow=0),0,FLOOR(FLOOR(FLOOR((2*XLOOKUP($Q294,'Threshold Summary'!$Y:$Y,'Threshold Summary'!$L:$L,"")/5+2)*pow*atk/def)/50)+2)),modifier,stab*eff,AVERAGE(ARRAYFORMULA(FLOOR(base*modifier*SEQUENCE(16,1,85,1)/100)))/(FLOOR(((2*XLOOKUP('Boss Editor'!$C$4,'Pokemon Editor'!$A:$A,'Pokemon Editor'!$E:$E,0)+31+FLOOR('Boss Editor'!$G$4/4))*'Boss Editor'!$D$4)/100)+'Boss Editor'!$D$4+10)),0)</f>
        <v/>
      </c>
      <c r="O294" s="3">
        <f>IF(N294&gt;=1,"OHKO",IF(N294&gt;=0.5,"2HKO",IF(N294&gt;=0.333,"3HKO",IF(N294&gt;=0.25,"4HKO","5HKO+"))))</f>
        <v/>
      </c>
      <c r="P294" s="3" t="inlineStr">
        <is>
          <t>Live from editable databases</t>
        </is>
      </c>
      <c r="Q294" s="3" t="inlineStr">
        <is>
          <t>SPECIES_STARLY</t>
        </is>
      </c>
      <c r="R294" s="3" t="n">
        <v>5</v>
      </c>
    </row>
    <row r="295">
      <c r="A295" s="3">
        <f>XLOOKUP($Q295,'Threshold Summary'!$Y:$Y,'Threshold Summary'!$A:$A,"")</f>
        <v/>
      </c>
      <c r="B295" s="3">
        <f>XLOOKUP($Q295,'Threshold Summary'!$Y:$Y,'Threshold Summary'!$M:$M,"")</f>
        <v/>
      </c>
      <c r="C295" s="3">
        <f>XLOOKUP($Q295,'Threshold Summary'!$Y:$Y,'Threshold Summary'!$N:$N,"")</f>
        <v/>
      </c>
      <c r="D295" s="3">
        <f>IFERROR(INDEX(FILTER('Learnset Editor'!$D$2:$D,'Learnset Editor'!$A$2:$A=XLOOKUP($Q295,'Threshold Summary'!$Y:$Y,'Threshold Summary'!$K:$K,""),'Learnset Editor'!$C$2:$C&lt;=XLOOKUP($Q295,'Threshold Summary'!$Y:$Y,'Threshold Summary'!$L:$L,"")),$R295),"")</f>
        <v/>
      </c>
      <c r="E295" s="3">
        <f>XLOOKUP(D295,'Move Editor'!$B:$B,'Move Editor'!$C:$C,"")</f>
        <v/>
      </c>
      <c r="F295" s="3">
        <f>XLOOKUP(D295,'Move Editor'!$B:$B,'Move Editor'!$D:$D,"")</f>
        <v/>
      </c>
      <c r="G295" s="3">
        <f>XLOOKUP(D295,'Move Editor'!$B:$B,'Move Editor'!$E:$E,0)</f>
        <v/>
      </c>
      <c r="H295" s="3">
        <f>XLOOKUP(D295,'Move Editor'!$B:$B,'Move Editor'!$F:$F,0)</f>
        <v/>
      </c>
      <c r="I295" s="3">
        <f>(INDEX('Type Chart'!$B:$S,MATCH(E295,'Type Chart'!$A:$A,0),MATCH(XLOOKUP('Boss Editor'!$C$4,'Pokemon Editor'!$A:$A,'Pokemon Editor'!$C:$C,""),'Type Chart'!$B$1:$S$1,0))*IF(XLOOKUP('Boss Editor'!$C$4,'Pokemon Editor'!$A:$A,'Pokemon Editor'!$D:$D,"")="",1,INDEX('Type Chart'!$B:$S,MATCH(E295,'Type Chart'!$A:$A,0),MATCH(XLOOKUP('Boss Editor'!$C$4,'Pokemon Editor'!$A:$A,'Pokemon Editor'!$D:$D,""),'Type Chart'!$B$1:$S$1,0))))</f>
        <v/>
      </c>
      <c r="J295" s="3">
        <f>IFERROR(LET(mtype,XLOOKUP($D295,'Move Editor'!$B:$B,'Move Editor'!$C:$C,""),cat,XLOOKUP($D295,'Move Editor'!$B:$B,'Move Editor'!$D:$D,""),pow,XLOOKUP($D295,'Move Editor'!$B:$B,'Move Editor'!$E:$E,0),acc,XLOOKUP($D295,'Move Editor'!$B:$B,'Move Editor'!$F:$F,100),atk,IF(cat="Physical",FLOOR((FLOOR(((2*XLOOKUP(XLOOKUP($Q295,'Threshold Summary'!$Y:$Y,'Threshold Summary'!$K:$K,""),'Pokemon Editor'!$A:$A,'Pokemon Editor'!$F:$F,0)+31+FLOOR(XLOOKUP($Q295,'Threshold Summary'!$Y:$Y,'Threshold Summary'!$P:$P,"")/4))*XLOOKUP($Q295,'Threshold Summary'!$Y:$Y,'Threshold Summary'!$L:$L,""))/100)+5)*XLOOKUP(XLOOKUP($Q295,'Threshold Summary'!$Y:$Y,'Threshold Summary'!$M:$M,""),'Nature Editor'!$A:$A,'Nature Editor'!$B:$B,1)),FLOOR((FLOOR(((2*XLOOKUP(XLOOKUP($Q295,'Threshold Summary'!$Y:$Y,'Threshold Summary'!$K:$K,""),'Pokemon Editor'!$A:$A,'Pokemon Editor'!$H:$H,0)+31+FLOOR(XLOOKUP($Q295,'Threshold Summary'!$Y:$Y,'Threshold Summary'!$R:$R,"")/4))*XLOOKUP($Q295,'Threshold Summary'!$Y:$Y,'Threshold Summary'!$L:$L,""))/100)+5)*XLOOKUP(XLOOKUP($Q295,'Threshold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Editor'!$E:$E,1))),stab,IF(OR(mtype=XLOOKUP(XLOOKUP($Q295,'Threshold Summary'!$Y:$Y,'Threshold Summary'!$K:$K,""),'Pokemon Editor'!$A:$A,'Pokemon Editor'!$C:$C,""),mtype=XLOOKUP(XLOOKUP($Q295,'Threshold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Chart'!$B$1:$S$1,0)))),base,IF(OR(cat="Status",pow=0),0,FLOOR(FLOOR(FLOOR((2*XLOOKUP($Q295,'Threshold Summary'!$Y:$Y,'Threshold Summary'!$L:$L,"")/5+2)*pow*atk/def)/50)+2)),modifier,stab*eff,FLOOR(base*modifier*0.85)),0)</f>
        <v/>
      </c>
      <c r="K295" s="3">
        <f>IFERROR(LET(mtype,XLOOKUP($D295,'Move Editor'!$B:$B,'Move Editor'!$C:$C,""),cat,XLOOKUP($D295,'Move Editor'!$B:$B,'Move Editor'!$D:$D,""),pow,XLOOKUP($D295,'Move Editor'!$B:$B,'Move Editor'!$E:$E,0),acc,XLOOKUP($D295,'Move Editor'!$B:$B,'Move Editor'!$F:$F,100),atk,IF(cat="Physical",FLOOR((FLOOR(((2*XLOOKUP(XLOOKUP($Q295,'Threshold Summary'!$Y:$Y,'Threshold Summary'!$K:$K,""),'Pokemon Editor'!$A:$A,'Pokemon Editor'!$F:$F,0)+31+FLOOR(XLOOKUP($Q295,'Threshold Summary'!$Y:$Y,'Threshold Summary'!$P:$P,"")/4))*XLOOKUP($Q295,'Threshold Summary'!$Y:$Y,'Threshold Summary'!$L:$L,""))/100)+5)*XLOOKUP(XLOOKUP($Q295,'Threshold Summary'!$Y:$Y,'Threshold Summary'!$M:$M,""),'Nature Editor'!$A:$A,'Nature Editor'!$B:$B,1)),FLOOR((FLOOR(((2*XLOOKUP(XLOOKUP($Q295,'Threshold Summary'!$Y:$Y,'Threshold Summary'!$K:$K,""),'Pokemon Editor'!$A:$A,'Pokemon Editor'!$H:$H,0)+31+FLOOR(XLOOKUP($Q295,'Threshold Summary'!$Y:$Y,'Threshold Summary'!$R:$R,"")/4))*XLOOKUP($Q295,'Threshold Summary'!$Y:$Y,'Threshold Summary'!$L:$L,""))/100)+5)*XLOOKUP(XLOOKUP($Q295,'Threshold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Editor'!$E:$E,1))),stab,IF(OR(mtype=XLOOKUP(XLOOKUP($Q295,'Threshold Summary'!$Y:$Y,'Threshold Summary'!$K:$K,""),'Pokemon Editor'!$A:$A,'Pokemon Editor'!$C:$C,""),mtype=XLOOKUP(XLOOKUP($Q295,'Threshold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Chart'!$B$1:$S$1,0)))),base,IF(OR(cat="Status",pow=0),0,FLOOR(FLOOR(FLOOR((2*XLOOKUP($Q295,'Threshold Summary'!$Y:$Y,'Threshold Summary'!$L:$L,"")/5+2)*pow*atk/def)/50)+2)),modifier,stab*eff,FLOOR(base*modifier)),0)</f>
        <v/>
      </c>
      <c r="L295" s="3">
        <f>IFERROR(LET(mtype,XLOOKUP($D295,'Move Editor'!$B:$B,'Move Editor'!$C:$C,""),cat,XLOOKUP($D295,'Move Editor'!$B:$B,'Move Editor'!$D:$D,""),pow,XLOOKUP($D295,'Move Editor'!$B:$B,'Move Editor'!$E:$E,0),acc,XLOOKUP($D295,'Move Editor'!$B:$B,'Move Editor'!$F:$F,100),atk,IF(cat="Physical",FLOOR((FLOOR(((2*XLOOKUP(XLOOKUP($Q295,'Threshold Summary'!$Y:$Y,'Threshold Summary'!$K:$K,""),'Pokemon Editor'!$A:$A,'Pokemon Editor'!$F:$F,0)+31+FLOOR(XLOOKUP($Q295,'Threshold Summary'!$Y:$Y,'Threshold Summary'!$P:$P,"")/4))*XLOOKUP($Q295,'Threshold Summary'!$Y:$Y,'Threshold Summary'!$L:$L,""))/100)+5)*XLOOKUP(XLOOKUP($Q295,'Threshold Summary'!$Y:$Y,'Threshold Summary'!$M:$M,""),'Nature Editor'!$A:$A,'Nature Editor'!$B:$B,1)),FLOOR((FLOOR(((2*XLOOKUP(XLOOKUP($Q295,'Threshold Summary'!$Y:$Y,'Threshold Summary'!$K:$K,""),'Pokemon Editor'!$A:$A,'Pokemon Editor'!$H:$H,0)+31+FLOOR(XLOOKUP($Q295,'Threshold Summary'!$Y:$Y,'Threshold Summary'!$R:$R,"")/4))*XLOOKUP($Q295,'Threshold Summary'!$Y:$Y,'Threshold Summary'!$L:$L,""))/100)+5)*XLOOKUP(XLOOKUP($Q295,'Threshold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Editor'!$E:$E,1))),stab,IF(OR(mtype=XLOOKUP(XLOOKUP($Q295,'Threshold Summary'!$Y:$Y,'Threshold Summary'!$K:$K,""),'Pokemon Editor'!$A:$A,'Pokemon Editor'!$C:$C,""),mtype=XLOOKUP(XLOOKUP($Q295,'Threshold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Chart'!$B$1:$S$1,0)))),base,IF(OR(cat="Status",pow=0),0,FLOOR(FLOOR(FLOOR((2*XLOOKUP($Q295,'Threshold Summary'!$Y:$Y,'Threshold Summary'!$L:$L,"")/5+2)*pow*atk/def)/50)+2)),modifier,stab*eff,AVERAGE(ARRAYFORMULA(FLOOR(base*modifier*SEQUENCE(16,1,85,1)/100)))),0)</f>
        <v/>
      </c>
      <c r="M295" s="3">
        <f>IFERROR(LET(mtype,XLOOKUP($D295,'Move Editor'!$B:$B,'Move Editor'!$C:$C,""),cat,XLOOKUP($D295,'Move Editor'!$B:$B,'Move Editor'!$D:$D,""),pow,XLOOKUP($D295,'Move Editor'!$B:$B,'Move Editor'!$E:$E,0),acc,XLOOKUP($D295,'Move Editor'!$B:$B,'Move Editor'!$F:$F,100),atk,IF(cat="Physical",FLOOR((FLOOR(((2*XLOOKUP(XLOOKUP($Q295,'Threshold Summary'!$Y:$Y,'Threshold Summary'!$K:$K,""),'Pokemon Editor'!$A:$A,'Pokemon Editor'!$F:$F,0)+31+FLOOR(XLOOKUP($Q295,'Threshold Summary'!$Y:$Y,'Threshold Summary'!$P:$P,"")/4))*XLOOKUP($Q295,'Threshold Summary'!$Y:$Y,'Threshold Summary'!$L:$L,""))/100)+5)*XLOOKUP(XLOOKUP($Q295,'Threshold Summary'!$Y:$Y,'Threshold Summary'!$M:$M,""),'Nature Editor'!$A:$A,'Nature Editor'!$B:$B,1)),FLOOR((FLOOR(((2*XLOOKUP(XLOOKUP($Q295,'Threshold Summary'!$Y:$Y,'Threshold Summary'!$K:$K,""),'Pokemon Editor'!$A:$A,'Pokemon Editor'!$H:$H,0)+31+FLOOR(XLOOKUP($Q295,'Threshold Summary'!$Y:$Y,'Threshold Summary'!$R:$R,"")/4))*XLOOKUP($Q295,'Threshold Summary'!$Y:$Y,'Threshold Summary'!$L:$L,""))/100)+5)*XLOOKUP(XLOOKUP($Q295,'Threshold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Editor'!$E:$E,1))),stab,IF(OR(mtype=XLOOKUP(XLOOKUP($Q295,'Threshold Summary'!$Y:$Y,'Threshold Summary'!$K:$K,""),'Pokemon Editor'!$A:$A,'Pokemon Editor'!$C:$C,""),mtype=XLOOKUP(XLOOKUP($Q295,'Threshold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Chart'!$B$1:$S$1,0)))),base,IF(OR(cat="Status",pow=0),0,FLOOR(FLOOR(FLOOR((2*XLOOKUP($Q295,'Threshold Summary'!$Y:$Y,'Threshold Summary'!$L:$L,"")/5+2)*pow*atk/def)/50)+2)),modifier,stab*eff,AVERAGE(ARRAYFORMULA(FLOOR(base*modifier*SEQUENCE(16,1,85,1)/100)))*MIN(1,acc/100)),0)</f>
        <v/>
      </c>
      <c r="N295" s="4">
        <f>IFERROR(LET(mtype,XLOOKUP($D295,'Move Editor'!$B:$B,'Move Editor'!$C:$C,""),cat,XLOOKUP($D295,'Move Editor'!$B:$B,'Move Editor'!$D:$D,""),pow,XLOOKUP($D295,'Move Editor'!$B:$B,'Move Editor'!$E:$E,0),acc,XLOOKUP($D295,'Move Editor'!$B:$B,'Move Editor'!$F:$F,100),atk,IF(cat="Physical",FLOOR((FLOOR(((2*XLOOKUP(XLOOKUP($Q295,'Threshold Summary'!$Y:$Y,'Threshold Summary'!$K:$K,""),'Pokemon Editor'!$A:$A,'Pokemon Editor'!$F:$F,0)+31+FLOOR(XLOOKUP($Q295,'Threshold Summary'!$Y:$Y,'Threshold Summary'!$P:$P,"")/4))*XLOOKUP($Q295,'Threshold Summary'!$Y:$Y,'Threshold Summary'!$L:$L,""))/100)+5)*XLOOKUP(XLOOKUP($Q295,'Threshold Summary'!$Y:$Y,'Threshold Summary'!$M:$M,""),'Nature Editor'!$A:$A,'Nature Editor'!$B:$B,1)),FLOOR((FLOOR(((2*XLOOKUP(XLOOKUP($Q295,'Threshold Summary'!$Y:$Y,'Threshold Summary'!$K:$K,""),'Pokemon Editor'!$A:$A,'Pokemon Editor'!$H:$H,0)+31+FLOOR(XLOOKUP($Q295,'Threshold Summary'!$Y:$Y,'Threshold Summary'!$R:$R,"")/4))*XLOOKUP($Q295,'Threshold Summary'!$Y:$Y,'Threshold Summary'!$L:$L,""))/100)+5)*XLOOKUP(XLOOKUP($Q295,'Threshold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Editor'!$E:$E,1))),stab,IF(OR(mtype=XLOOKUP(XLOOKUP($Q295,'Threshold Summary'!$Y:$Y,'Threshold Summary'!$K:$K,""),'Pokemon Editor'!$A:$A,'Pokemon Editor'!$C:$C,""),mtype=XLOOKUP(XLOOKUP($Q295,'Threshold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Chart'!$B$1:$S$1,0)))),base,IF(OR(cat="Status",pow=0),0,FLOOR(FLOOR(FLOOR((2*XLOOKUP($Q295,'Threshold Summary'!$Y:$Y,'Threshold Summary'!$L:$L,"")/5+2)*pow*atk/def)/50)+2)),modifier,stab*eff,AVERAGE(ARRAYFORMULA(FLOOR(base*modifier*SEQUENCE(16,1,85,1)/100)))/(FLOOR(((2*XLOOKUP('Boss Editor'!$C$4,'Pokemon Editor'!$A:$A,'Pokemon Editor'!$E:$E,0)+31+FLOOR('Boss Editor'!$G$4/4))*'Boss Editor'!$D$4)/100)+'Boss Editor'!$D$4+10)),0)</f>
        <v/>
      </c>
      <c r="O295" s="3">
        <f>IF(N295&gt;=1,"OHKO",IF(N295&gt;=0.5,"2HKO",IF(N295&gt;=0.333,"3HKO",IF(N295&gt;=0.25,"4HKO","5HKO+"))))</f>
        <v/>
      </c>
      <c r="P295" s="3" t="inlineStr">
        <is>
          <t>Live from editable databases</t>
        </is>
      </c>
      <c r="Q295" s="3" t="inlineStr">
        <is>
          <t>SPECIES_STARLY</t>
        </is>
      </c>
      <c r="R295" s="3" t="n">
        <v>6</v>
      </c>
    </row>
    <row r="296">
      <c r="A296" s="3">
        <f>XLOOKUP($Q296,'Threshold Summary'!$Y:$Y,'Threshold Summary'!$A:$A,"")</f>
        <v/>
      </c>
      <c r="B296" s="3">
        <f>XLOOKUP($Q296,'Threshold Summary'!$Y:$Y,'Threshold Summary'!$M:$M,"")</f>
        <v/>
      </c>
      <c r="C296" s="3">
        <f>XLOOKUP($Q296,'Threshold Summary'!$Y:$Y,'Threshold Summary'!$N:$N,"")</f>
        <v/>
      </c>
      <c r="D296" s="3">
        <f>IFERROR(INDEX(FILTER('Learnset Editor'!$D$2:$D,'Learnset Editor'!$A$2:$A=XLOOKUP($Q296,'Threshold Summary'!$Y:$Y,'Threshold Summary'!$K:$K,""),'Learnset Editor'!$C$2:$C&lt;=XLOOKUP($Q296,'Threshold Summary'!$Y:$Y,'Threshold Summary'!$L:$L,"")),$R296),"")</f>
        <v/>
      </c>
      <c r="E296" s="3">
        <f>XLOOKUP(D296,'Move Editor'!$B:$B,'Move Editor'!$C:$C,"")</f>
        <v/>
      </c>
      <c r="F296" s="3">
        <f>XLOOKUP(D296,'Move Editor'!$B:$B,'Move Editor'!$D:$D,"")</f>
        <v/>
      </c>
      <c r="G296" s="3">
        <f>XLOOKUP(D296,'Move Editor'!$B:$B,'Move Editor'!$E:$E,0)</f>
        <v/>
      </c>
      <c r="H296" s="3">
        <f>XLOOKUP(D296,'Move Editor'!$B:$B,'Move Editor'!$F:$F,0)</f>
        <v/>
      </c>
      <c r="I296" s="3">
        <f>(INDEX('Type Chart'!$B:$S,MATCH(E296,'Type Chart'!$A:$A,0),MATCH(XLOOKUP('Boss Editor'!$C$4,'Pokemon Editor'!$A:$A,'Pokemon Editor'!$C:$C,""),'Type Chart'!$B$1:$S$1,0))*IF(XLOOKUP('Boss Editor'!$C$4,'Pokemon Editor'!$A:$A,'Pokemon Editor'!$D:$D,"")="",1,INDEX('Type Chart'!$B:$S,MATCH(E296,'Type Chart'!$A:$A,0),MATCH(XLOOKUP('Boss Editor'!$C$4,'Pokemon Editor'!$A:$A,'Pokemon Editor'!$D:$D,""),'Type Chart'!$B$1:$S$1,0))))</f>
        <v/>
      </c>
      <c r="J296" s="3">
        <f>IFERROR(LET(mtype,XLOOKUP($D296,'Move Editor'!$B:$B,'Move Editor'!$C:$C,""),cat,XLOOKUP($D296,'Move Editor'!$B:$B,'Move Editor'!$D:$D,""),pow,XLOOKUP($D296,'Move Editor'!$B:$B,'Move Editor'!$E:$E,0),acc,XLOOKUP($D296,'Move Editor'!$B:$B,'Move Editor'!$F:$F,100),atk,IF(cat="Physical",FLOOR((FLOOR(((2*XLOOKUP(XLOOKUP($Q296,'Threshold Summary'!$Y:$Y,'Threshold Summary'!$K:$K,""),'Pokemon Editor'!$A:$A,'Pokemon Editor'!$F:$F,0)+31+FLOOR(XLOOKUP($Q296,'Threshold Summary'!$Y:$Y,'Threshold Summary'!$P:$P,"")/4))*XLOOKUP($Q296,'Threshold Summary'!$Y:$Y,'Threshold Summary'!$L:$L,""))/100)+5)*XLOOKUP(XLOOKUP($Q296,'Threshold Summary'!$Y:$Y,'Threshold Summary'!$M:$M,""),'Nature Editor'!$A:$A,'Nature Editor'!$B:$B,1)),FLOOR((FLOOR(((2*XLOOKUP(XLOOKUP($Q296,'Threshold Summary'!$Y:$Y,'Threshold Summary'!$K:$K,""),'Pokemon Editor'!$A:$A,'Pokemon Editor'!$H:$H,0)+31+FLOOR(XLOOKUP($Q296,'Threshold Summary'!$Y:$Y,'Threshold Summary'!$R:$R,"")/4))*XLOOKUP($Q296,'Threshold Summary'!$Y:$Y,'Threshold Summary'!$L:$L,""))/100)+5)*XLOOKUP(XLOOKUP($Q296,'Threshold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Editor'!$E:$E,1))),stab,IF(OR(mtype=XLOOKUP(XLOOKUP($Q296,'Threshold Summary'!$Y:$Y,'Threshold Summary'!$K:$K,""),'Pokemon Editor'!$A:$A,'Pokemon Editor'!$C:$C,""),mtype=XLOOKUP(XLOOKUP($Q296,'Threshold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Chart'!$B$1:$S$1,0)))),base,IF(OR(cat="Status",pow=0),0,FLOOR(FLOOR(FLOOR((2*XLOOKUP($Q296,'Threshold Summary'!$Y:$Y,'Threshold Summary'!$L:$L,"")/5+2)*pow*atk/def)/50)+2)),modifier,stab*eff,FLOOR(base*modifier*0.85)),0)</f>
        <v/>
      </c>
      <c r="K296" s="3">
        <f>IFERROR(LET(mtype,XLOOKUP($D296,'Move Editor'!$B:$B,'Move Editor'!$C:$C,""),cat,XLOOKUP($D296,'Move Editor'!$B:$B,'Move Editor'!$D:$D,""),pow,XLOOKUP($D296,'Move Editor'!$B:$B,'Move Editor'!$E:$E,0),acc,XLOOKUP($D296,'Move Editor'!$B:$B,'Move Editor'!$F:$F,100),atk,IF(cat="Physical",FLOOR((FLOOR(((2*XLOOKUP(XLOOKUP($Q296,'Threshold Summary'!$Y:$Y,'Threshold Summary'!$K:$K,""),'Pokemon Editor'!$A:$A,'Pokemon Editor'!$F:$F,0)+31+FLOOR(XLOOKUP($Q296,'Threshold Summary'!$Y:$Y,'Threshold Summary'!$P:$P,"")/4))*XLOOKUP($Q296,'Threshold Summary'!$Y:$Y,'Threshold Summary'!$L:$L,""))/100)+5)*XLOOKUP(XLOOKUP($Q296,'Threshold Summary'!$Y:$Y,'Threshold Summary'!$M:$M,""),'Nature Editor'!$A:$A,'Nature Editor'!$B:$B,1)),FLOOR((FLOOR(((2*XLOOKUP(XLOOKUP($Q296,'Threshold Summary'!$Y:$Y,'Threshold Summary'!$K:$K,""),'Pokemon Editor'!$A:$A,'Pokemon Editor'!$H:$H,0)+31+FLOOR(XLOOKUP($Q296,'Threshold Summary'!$Y:$Y,'Threshold Summary'!$R:$R,"")/4))*XLOOKUP($Q296,'Threshold Summary'!$Y:$Y,'Threshold Summary'!$L:$L,""))/100)+5)*XLOOKUP(XLOOKUP($Q296,'Threshold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Editor'!$E:$E,1))),stab,IF(OR(mtype=XLOOKUP(XLOOKUP($Q296,'Threshold Summary'!$Y:$Y,'Threshold Summary'!$K:$K,""),'Pokemon Editor'!$A:$A,'Pokemon Editor'!$C:$C,""),mtype=XLOOKUP(XLOOKUP($Q296,'Threshold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Chart'!$B$1:$S$1,0)))),base,IF(OR(cat="Status",pow=0),0,FLOOR(FLOOR(FLOOR((2*XLOOKUP($Q296,'Threshold Summary'!$Y:$Y,'Threshold Summary'!$L:$L,"")/5+2)*pow*atk/def)/50)+2)),modifier,stab*eff,FLOOR(base*modifier)),0)</f>
        <v/>
      </c>
      <c r="L296" s="3">
        <f>IFERROR(LET(mtype,XLOOKUP($D296,'Move Editor'!$B:$B,'Move Editor'!$C:$C,""),cat,XLOOKUP($D296,'Move Editor'!$B:$B,'Move Editor'!$D:$D,""),pow,XLOOKUP($D296,'Move Editor'!$B:$B,'Move Editor'!$E:$E,0),acc,XLOOKUP($D296,'Move Editor'!$B:$B,'Move Editor'!$F:$F,100),atk,IF(cat="Physical",FLOOR((FLOOR(((2*XLOOKUP(XLOOKUP($Q296,'Threshold Summary'!$Y:$Y,'Threshold Summary'!$K:$K,""),'Pokemon Editor'!$A:$A,'Pokemon Editor'!$F:$F,0)+31+FLOOR(XLOOKUP($Q296,'Threshold Summary'!$Y:$Y,'Threshold Summary'!$P:$P,"")/4))*XLOOKUP($Q296,'Threshold Summary'!$Y:$Y,'Threshold Summary'!$L:$L,""))/100)+5)*XLOOKUP(XLOOKUP($Q296,'Threshold Summary'!$Y:$Y,'Threshold Summary'!$M:$M,""),'Nature Editor'!$A:$A,'Nature Editor'!$B:$B,1)),FLOOR((FLOOR(((2*XLOOKUP(XLOOKUP($Q296,'Threshold Summary'!$Y:$Y,'Threshold Summary'!$K:$K,""),'Pokemon Editor'!$A:$A,'Pokemon Editor'!$H:$H,0)+31+FLOOR(XLOOKUP($Q296,'Threshold Summary'!$Y:$Y,'Threshold Summary'!$R:$R,"")/4))*XLOOKUP($Q296,'Threshold Summary'!$Y:$Y,'Threshold Summary'!$L:$L,""))/100)+5)*XLOOKUP(XLOOKUP($Q296,'Threshold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Editor'!$E:$E,1))),stab,IF(OR(mtype=XLOOKUP(XLOOKUP($Q296,'Threshold Summary'!$Y:$Y,'Threshold Summary'!$K:$K,""),'Pokemon Editor'!$A:$A,'Pokemon Editor'!$C:$C,""),mtype=XLOOKUP(XLOOKUP($Q296,'Threshold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Chart'!$B$1:$S$1,0)))),base,IF(OR(cat="Status",pow=0),0,FLOOR(FLOOR(FLOOR((2*XLOOKUP($Q296,'Threshold Summary'!$Y:$Y,'Threshold Summary'!$L:$L,"")/5+2)*pow*atk/def)/50)+2)),modifier,stab*eff,AVERAGE(ARRAYFORMULA(FLOOR(base*modifier*SEQUENCE(16,1,85,1)/100)))),0)</f>
        <v/>
      </c>
      <c r="M296" s="3">
        <f>IFERROR(LET(mtype,XLOOKUP($D296,'Move Editor'!$B:$B,'Move Editor'!$C:$C,""),cat,XLOOKUP($D296,'Move Editor'!$B:$B,'Move Editor'!$D:$D,""),pow,XLOOKUP($D296,'Move Editor'!$B:$B,'Move Editor'!$E:$E,0),acc,XLOOKUP($D296,'Move Editor'!$B:$B,'Move Editor'!$F:$F,100),atk,IF(cat="Physical",FLOOR((FLOOR(((2*XLOOKUP(XLOOKUP($Q296,'Threshold Summary'!$Y:$Y,'Threshold Summary'!$K:$K,""),'Pokemon Editor'!$A:$A,'Pokemon Editor'!$F:$F,0)+31+FLOOR(XLOOKUP($Q296,'Threshold Summary'!$Y:$Y,'Threshold Summary'!$P:$P,"")/4))*XLOOKUP($Q296,'Threshold Summary'!$Y:$Y,'Threshold Summary'!$L:$L,""))/100)+5)*XLOOKUP(XLOOKUP($Q296,'Threshold Summary'!$Y:$Y,'Threshold Summary'!$M:$M,""),'Nature Editor'!$A:$A,'Nature Editor'!$B:$B,1)),FLOOR((FLOOR(((2*XLOOKUP(XLOOKUP($Q296,'Threshold Summary'!$Y:$Y,'Threshold Summary'!$K:$K,""),'Pokemon Editor'!$A:$A,'Pokemon Editor'!$H:$H,0)+31+FLOOR(XLOOKUP($Q296,'Threshold Summary'!$Y:$Y,'Threshold Summary'!$R:$R,"")/4))*XLOOKUP($Q296,'Threshold Summary'!$Y:$Y,'Threshold Summary'!$L:$L,""))/100)+5)*XLOOKUP(XLOOKUP($Q296,'Threshold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Editor'!$E:$E,1))),stab,IF(OR(mtype=XLOOKUP(XLOOKUP($Q296,'Threshold Summary'!$Y:$Y,'Threshold Summary'!$K:$K,""),'Pokemon Editor'!$A:$A,'Pokemon Editor'!$C:$C,""),mtype=XLOOKUP(XLOOKUP($Q296,'Threshold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Chart'!$B$1:$S$1,0)))),base,IF(OR(cat="Status",pow=0),0,FLOOR(FLOOR(FLOOR((2*XLOOKUP($Q296,'Threshold Summary'!$Y:$Y,'Threshold Summary'!$L:$L,"")/5+2)*pow*atk/def)/50)+2)),modifier,stab*eff,AVERAGE(ARRAYFORMULA(FLOOR(base*modifier*SEQUENCE(16,1,85,1)/100)))*MIN(1,acc/100)),0)</f>
        <v/>
      </c>
      <c r="N296" s="4">
        <f>IFERROR(LET(mtype,XLOOKUP($D296,'Move Editor'!$B:$B,'Move Editor'!$C:$C,""),cat,XLOOKUP($D296,'Move Editor'!$B:$B,'Move Editor'!$D:$D,""),pow,XLOOKUP($D296,'Move Editor'!$B:$B,'Move Editor'!$E:$E,0),acc,XLOOKUP($D296,'Move Editor'!$B:$B,'Move Editor'!$F:$F,100),atk,IF(cat="Physical",FLOOR((FLOOR(((2*XLOOKUP(XLOOKUP($Q296,'Threshold Summary'!$Y:$Y,'Threshold Summary'!$K:$K,""),'Pokemon Editor'!$A:$A,'Pokemon Editor'!$F:$F,0)+31+FLOOR(XLOOKUP($Q296,'Threshold Summary'!$Y:$Y,'Threshold Summary'!$P:$P,"")/4))*XLOOKUP($Q296,'Threshold Summary'!$Y:$Y,'Threshold Summary'!$L:$L,""))/100)+5)*XLOOKUP(XLOOKUP($Q296,'Threshold Summary'!$Y:$Y,'Threshold Summary'!$M:$M,""),'Nature Editor'!$A:$A,'Nature Editor'!$B:$B,1)),FLOOR((FLOOR(((2*XLOOKUP(XLOOKUP($Q296,'Threshold Summary'!$Y:$Y,'Threshold Summary'!$K:$K,""),'Pokemon Editor'!$A:$A,'Pokemon Editor'!$H:$H,0)+31+FLOOR(XLOOKUP($Q296,'Threshold Summary'!$Y:$Y,'Threshold Summary'!$R:$R,"")/4))*XLOOKUP($Q296,'Threshold Summary'!$Y:$Y,'Threshold Summary'!$L:$L,""))/100)+5)*XLOOKUP(XLOOKUP($Q296,'Threshold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Editor'!$E:$E,1))),stab,IF(OR(mtype=XLOOKUP(XLOOKUP($Q296,'Threshold Summary'!$Y:$Y,'Threshold Summary'!$K:$K,""),'Pokemon Editor'!$A:$A,'Pokemon Editor'!$C:$C,""),mtype=XLOOKUP(XLOOKUP($Q296,'Threshold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Chart'!$B$1:$S$1,0)))),base,IF(OR(cat="Status",pow=0),0,FLOOR(FLOOR(FLOOR((2*XLOOKUP($Q296,'Threshold Summary'!$Y:$Y,'Threshold Summary'!$L:$L,"")/5+2)*pow*atk/def)/50)+2)),modifier,stab*eff,AVERAGE(ARRAYFORMULA(FLOOR(base*modifier*SEQUENCE(16,1,85,1)/100)))/(FLOOR(((2*XLOOKUP('Boss Editor'!$C$4,'Pokemon Editor'!$A:$A,'Pokemon Editor'!$E:$E,0)+31+FLOOR('Boss Editor'!$G$4/4))*'Boss Editor'!$D$4)/100)+'Boss Editor'!$D$4+10)),0)</f>
        <v/>
      </c>
      <c r="O296" s="3">
        <f>IF(N296&gt;=1,"OHKO",IF(N296&gt;=0.5,"2HKO",IF(N296&gt;=0.333,"3HKO",IF(N296&gt;=0.25,"4HKO","5HKO+"))))</f>
        <v/>
      </c>
      <c r="P296" s="3" t="inlineStr">
        <is>
          <t>Live from editable databases</t>
        </is>
      </c>
      <c r="Q296" s="3" t="inlineStr">
        <is>
          <t>SPECIES_STARLY</t>
        </is>
      </c>
      <c r="R296" s="3" t="n">
        <v>7</v>
      </c>
    </row>
    <row r="297">
      <c r="A297" s="3">
        <f>XLOOKUP($Q297,'Threshold Summary'!$Y:$Y,'Threshold Summary'!$A:$A,"")</f>
        <v/>
      </c>
      <c r="B297" s="3">
        <f>XLOOKUP($Q297,'Threshold Summary'!$Y:$Y,'Threshold Summary'!$M:$M,"")</f>
        <v/>
      </c>
      <c r="C297" s="3">
        <f>XLOOKUP($Q297,'Threshold Summary'!$Y:$Y,'Threshold Summary'!$N:$N,"")</f>
        <v/>
      </c>
      <c r="D297" s="3">
        <f>IFERROR(INDEX(FILTER('Learnset Editor'!$D$2:$D,'Learnset Editor'!$A$2:$A=XLOOKUP($Q297,'Threshold Summary'!$Y:$Y,'Threshold Summary'!$K:$K,""),'Learnset Editor'!$C$2:$C&lt;=XLOOKUP($Q297,'Threshold Summary'!$Y:$Y,'Threshold Summary'!$L:$L,"")),$R297),"")</f>
        <v/>
      </c>
      <c r="E297" s="3">
        <f>XLOOKUP(D297,'Move Editor'!$B:$B,'Move Editor'!$C:$C,"")</f>
        <v/>
      </c>
      <c r="F297" s="3">
        <f>XLOOKUP(D297,'Move Editor'!$B:$B,'Move Editor'!$D:$D,"")</f>
        <v/>
      </c>
      <c r="G297" s="3">
        <f>XLOOKUP(D297,'Move Editor'!$B:$B,'Move Editor'!$E:$E,0)</f>
        <v/>
      </c>
      <c r="H297" s="3">
        <f>XLOOKUP(D297,'Move Editor'!$B:$B,'Move Editor'!$F:$F,0)</f>
        <v/>
      </c>
      <c r="I297" s="3">
        <f>(INDEX('Type Chart'!$B:$S,MATCH(E297,'Type Chart'!$A:$A,0),MATCH(XLOOKUP('Boss Editor'!$C$4,'Pokemon Editor'!$A:$A,'Pokemon Editor'!$C:$C,""),'Type Chart'!$B$1:$S$1,0))*IF(XLOOKUP('Boss Editor'!$C$4,'Pokemon Editor'!$A:$A,'Pokemon Editor'!$D:$D,"")="",1,INDEX('Type Chart'!$B:$S,MATCH(E297,'Type Chart'!$A:$A,0),MATCH(XLOOKUP('Boss Editor'!$C$4,'Pokemon Editor'!$A:$A,'Pokemon Editor'!$D:$D,""),'Type Chart'!$B$1:$S$1,0))))</f>
        <v/>
      </c>
      <c r="J297" s="3">
        <f>IFERROR(LET(mtype,XLOOKUP($D297,'Move Editor'!$B:$B,'Move Editor'!$C:$C,""),cat,XLOOKUP($D297,'Move Editor'!$B:$B,'Move Editor'!$D:$D,""),pow,XLOOKUP($D297,'Move Editor'!$B:$B,'Move Editor'!$E:$E,0),acc,XLOOKUP($D297,'Move Editor'!$B:$B,'Move Editor'!$F:$F,100),atk,IF(cat="Physical",FLOOR((FLOOR(((2*XLOOKUP(XLOOKUP($Q297,'Threshold Summary'!$Y:$Y,'Threshold Summary'!$K:$K,""),'Pokemon Editor'!$A:$A,'Pokemon Editor'!$F:$F,0)+31+FLOOR(XLOOKUP($Q297,'Threshold Summary'!$Y:$Y,'Threshold Summary'!$P:$P,"")/4))*XLOOKUP($Q297,'Threshold Summary'!$Y:$Y,'Threshold Summary'!$L:$L,""))/100)+5)*XLOOKUP(XLOOKUP($Q297,'Threshold Summary'!$Y:$Y,'Threshold Summary'!$M:$M,""),'Nature Editor'!$A:$A,'Nature Editor'!$B:$B,1)),FLOOR((FLOOR(((2*XLOOKUP(XLOOKUP($Q297,'Threshold Summary'!$Y:$Y,'Threshold Summary'!$K:$K,""),'Pokemon Editor'!$A:$A,'Pokemon Editor'!$H:$H,0)+31+FLOOR(XLOOKUP($Q297,'Threshold Summary'!$Y:$Y,'Threshold Summary'!$R:$R,"")/4))*XLOOKUP($Q297,'Threshold Summary'!$Y:$Y,'Threshold Summary'!$L:$L,""))/100)+5)*XLOOKUP(XLOOKUP($Q297,'Threshold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Editor'!$E:$E,1))),stab,IF(OR(mtype=XLOOKUP(XLOOKUP($Q297,'Threshold Summary'!$Y:$Y,'Threshold Summary'!$K:$K,""),'Pokemon Editor'!$A:$A,'Pokemon Editor'!$C:$C,""),mtype=XLOOKUP(XLOOKUP($Q297,'Threshold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Chart'!$B$1:$S$1,0)))),base,IF(OR(cat="Status",pow=0),0,FLOOR(FLOOR(FLOOR((2*XLOOKUP($Q297,'Threshold Summary'!$Y:$Y,'Threshold Summary'!$L:$L,"")/5+2)*pow*atk/def)/50)+2)),modifier,stab*eff,FLOOR(base*modifier*0.85)),0)</f>
        <v/>
      </c>
      <c r="K297" s="3">
        <f>IFERROR(LET(mtype,XLOOKUP($D297,'Move Editor'!$B:$B,'Move Editor'!$C:$C,""),cat,XLOOKUP($D297,'Move Editor'!$B:$B,'Move Editor'!$D:$D,""),pow,XLOOKUP($D297,'Move Editor'!$B:$B,'Move Editor'!$E:$E,0),acc,XLOOKUP($D297,'Move Editor'!$B:$B,'Move Editor'!$F:$F,100),atk,IF(cat="Physical",FLOOR((FLOOR(((2*XLOOKUP(XLOOKUP($Q297,'Threshold Summary'!$Y:$Y,'Threshold Summary'!$K:$K,""),'Pokemon Editor'!$A:$A,'Pokemon Editor'!$F:$F,0)+31+FLOOR(XLOOKUP($Q297,'Threshold Summary'!$Y:$Y,'Threshold Summary'!$P:$P,"")/4))*XLOOKUP($Q297,'Threshold Summary'!$Y:$Y,'Threshold Summary'!$L:$L,""))/100)+5)*XLOOKUP(XLOOKUP($Q297,'Threshold Summary'!$Y:$Y,'Threshold Summary'!$M:$M,""),'Nature Editor'!$A:$A,'Nature Editor'!$B:$B,1)),FLOOR((FLOOR(((2*XLOOKUP(XLOOKUP($Q297,'Threshold Summary'!$Y:$Y,'Threshold Summary'!$K:$K,""),'Pokemon Editor'!$A:$A,'Pokemon Editor'!$H:$H,0)+31+FLOOR(XLOOKUP($Q297,'Threshold Summary'!$Y:$Y,'Threshold Summary'!$R:$R,"")/4))*XLOOKUP($Q297,'Threshold Summary'!$Y:$Y,'Threshold Summary'!$L:$L,""))/100)+5)*XLOOKUP(XLOOKUP($Q297,'Threshold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Editor'!$E:$E,1))),stab,IF(OR(mtype=XLOOKUP(XLOOKUP($Q297,'Threshold Summary'!$Y:$Y,'Threshold Summary'!$K:$K,""),'Pokemon Editor'!$A:$A,'Pokemon Editor'!$C:$C,""),mtype=XLOOKUP(XLOOKUP($Q297,'Threshold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Chart'!$B$1:$S$1,0)))),base,IF(OR(cat="Status",pow=0),0,FLOOR(FLOOR(FLOOR((2*XLOOKUP($Q297,'Threshold Summary'!$Y:$Y,'Threshold Summary'!$L:$L,"")/5+2)*pow*atk/def)/50)+2)),modifier,stab*eff,FLOOR(base*modifier)),0)</f>
        <v/>
      </c>
      <c r="L297" s="3">
        <f>IFERROR(LET(mtype,XLOOKUP($D297,'Move Editor'!$B:$B,'Move Editor'!$C:$C,""),cat,XLOOKUP($D297,'Move Editor'!$B:$B,'Move Editor'!$D:$D,""),pow,XLOOKUP($D297,'Move Editor'!$B:$B,'Move Editor'!$E:$E,0),acc,XLOOKUP($D297,'Move Editor'!$B:$B,'Move Editor'!$F:$F,100),atk,IF(cat="Physical",FLOOR((FLOOR(((2*XLOOKUP(XLOOKUP($Q297,'Threshold Summary'!$Y:$Y,'Threshold Summary'!$K:$K,""),'Pokemon Editor'!$A:$A,'Pokemon Editor'!$F:$F,0)+31+FLOOR(XLOOKUP($Q297,'Threshold Summary'!$Y:$Y,'Threshold Summary'!$P:$P,"")/4))*XLOOKUP($Q297,'Threshold Summary'!$Y:$Y,'Threshold Summary'!$L:$L,""))/100)+5)*XLOOKUP(XLOOKUP($Q297,'Threshold Summary'!$Y:$Y,'Threshold Summary'!$M:$M,""),'Nature Editor'!$A:$A,'Nature Editor'!$B:$B,1)),FLOOR((FLOOR(((2*XLOOKUP(XLOOKUP($Q297,'Threshold Summary'!$Y:$Y,'Threshold Summary'!$K:$K,""),'Pokemon Editor'!$A:$A,'Pokemon Editor'!$H:$H,0)+31+FLOOR(XLOOKUP($Q297,'Threshold Summary'!$Y:$Y,'Threshold Summary'!$R:$R,"")/4))*XLOOKUP($Q297,'Threshold Summary'!$Y:$Y,'Threshold Summary'!$L:$L,""))/100)+5)*XLOOKUP(XLOOKUP($Q297,'Threshold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Editor'!$E:$E,1))),stab,IF(OR(mtype=XLOOKUP(XLOOKUP($Q297,'Threshold Summary'!$Y:$Y,'Threshold Summary'!$K:$K,""),'Pokemon Editor'!$A:$A,'Pokemon Editor'!$C:$C,""),mtype=XLOOKUP(XLOOKUP($Q297,'Threshold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Chart'!$B$1:$S$1,0)))),base,IF(OR(cat="Status",pow=0),0,FLOOR(FLOOR(FLOOR((2*XLOOKUP($Q297,'Threshold Summary'!$Y:$Y,'Threshold Summary'!$L:$L,"")/5+2)*pow*atk/def)/50)+2)),modifier,stab*eff,AVERAGE(ARRAYFORMULA(FLOOR(base*modifier*SEQUENCE(16,1,85,1)/100)))),0)</f>
        <v/>
      </c>
      <c r="M297" s="3">
        <f>IFERROR(LET(mtype,XLOOKUP($D297,'Move Editor'!$B:$B,'Move Editor'!$C:$C,""),cat,XLOOKUP($D297,'Move Editor'!$B:$B,'Move Editor'!$D:$D,""),pow,XLOOKUP($D297,'Move Editor'!$B:$B,'Move Editor'!$E:$E,0),acc,XLOOKUP($D297,'Move Editor'!$B:$B,'Move Editor'!$F:$F,100),atk,IF(cat="Physical",FLOOR((FLOOR(((2*XLOOKUP(XLOOKUP($Q297,'Threshold Summary'!$Y:$Y,'Threshold Summary'!$K:$K,""),'Pokemon Editor'!$A:$A,'Pokemon Editor'!$F:$F,0)+31+FLOOR(XLOOKUP($Q297,'Threshold Summary'!$Y:$Y,'Threshold Summary'!$P:$P,"")/4))*XLOOKUP($Q297,'Threshold Summary'!$Y:$Y,'Threshold Summary'!$L:$L,""))/100)+5)*XLOOKUP(XLOOKUP($Q297,'Threshold Summary'!$Y:$Y,'Threshold Summary'!$M:$M,""),'Nature Editor'!$A:$A,'Nature Editor'!$B:$B,1)),FLOOR((FLOOR(((2*XLOOKUP(XLOOKUP($Q297,'Threshold Summary'!$Y:$Y,'Threshold Summary'!$K:$K,""),'Pokemon Editor'!$A:$A,'Pokemon Editor'!$H:$H,0)+31+FLOOR(XLOOKUP($Q297,'Threshold Summary'!$Y:$Y,'Threshold Summary'!$R:$R,"")/4))*XLOOKUP($Q297,'Threshold Summary'!$Y:$Y,'Threshold Summary'!$L:$L,""))/100)+5)*XLOOKUP(XLOOKUP($Q297,'Threshold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Editor'!$E:$E,1))),stab,IF(OR(mtype=XLOOKUP(XLOOKUP($Q297,'Threshold Summary'!$Y:$Y,'Threshold Summary'!$K:$K,""),'Pokemon Editor'!$A:$A,'Pokemon Editor'!$C:$C,""),mtype=XLOOKUP(XLOOKUP($Q297,'Threshold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Chart'!$B$1:$S$1,0)))),base,IF(OR(cat="Status",pow=0),0,FLOOR(FLOOR(FLOOR((2*XLOOKUP($Q297,'Threshold Summary'!$Y:$Y,'Threshold Summary'!$L:$L,"")/5+2)*pow*atk/def)/50)+2)),modifier,stab*eff,AVERAGE(ARRAYFORMULA(FLOOR(base*modifier*SEQUENCE(16,1,85,1)/100)))*MIN(1,acc/100)),0)</f>
        <v/>
      </c>
      <c r="N297" s="4">
        <f>IFERROR(LET(mtype,XLOOKUP($D297,'Move Editor'!$B:$B,'Move Editor'!$C:$C,""),cat,XLOOKUP($D297,'Move Editor'!$B:$B,'Move Editor'!$D:$D,""),pow,XLOOKUP($D297,'Move Editor'!$B:$B,'Move Editor'!$E:$E,0),acc,XLOOKUP($D297,'Move Editor'!$B:$B,'Move Editor'!$F:$F,100),atk,IF(cat="Physical",FLOOR((FLOOR(((2*XLOOKUP(XLOOKUP($Q297,'Threshold Summary'!$Y:$Y,'Threshold Summary'!$K:$K,""),'Pokemon Editor'!$A:$A,'Pokemon Editor'!$F:$F,0)+31+FLOOR(XLOOKUP($Q297,'Threshold Summary'!$Y:$Y,'Threshold Summary'!$P:$P,"")/4))*XLOOKUP($Q297,'Threshold Summary'!$Y:$Y,'Threshold Summary'!$L:$L,""))/100)+5)*XLOOKUP(XLOOKUP($Q297,'Threshold Summary'!$Y:$Y,'Threshold Summary'!$M:$M,""),'Nature Editor'!$A:$A,'Nature Editor'!$B:$B,1)),FLOOR((FLOOR(((2*XLOOKUP(XLOOKUP($Q297,'Threshold Summary'!$Y:$Y,'Threshold Summary'!$K:$K,""),'Pokemon Editor'!$A:$A,'Pokemon Editor'!$H:$H,0)+31+FLOOR(XLOOKUP($Q297,'Threshold Summary'!$Y:$Y,'Threshold Summary'!$R:$R,"")/4))*XLOOKUP($Q297,'Threshold Summary'!$Y:$Y,'Threshold Summary'!$L:$L,""))/100)+5)*XLOOKUP(XLOOKUP($Q297,'Threshold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Editor'!$E:$E,1))),stab,IF(OR(mtype=XLOOKUP(XLOOKUP($Q297,'Threshold Summary'!$Y:$Y,'Threshold Summary'!$K:$K,""),'Pokemon Editor'!$A:$A,'Pokemon Editor'!$C:$C,""),mtype=XLOOKUP(XLOOKUP($Q297,'Threshold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Chart'!$B$1:$S$1,0)))),base,IF(OR(cat="Status",pow=0),0,FLOOR(FLOOR(FLOOR((2*XLOOKUP($Q297,'Threshold Summary'!$Y:$Y,'Threshold Summary'!$L:$L,"")/5+2)*pow*atk/def)/50)+2)),modifier,stab*eff,AVERAGE(ARRAYFORMULA(FLOOR(base*modifier*SEQUENCE(16,1,85,1)/100)))/(FLOOR(((2*XLOOKUP('Boss Editor'!$C$4,'Pokemon Editor'!$A:$A,'Pokemon Editor'!$E:$E,0)+31+FLOOR('Boss Editor'!$G$4/4))*'Boss Editor'!$D$4)/100)+'Boss Editor'!$D$4+10)),0)</f>
        <v/>
      </c>
      <c r="O297" s="3">
        <f>IF(N297&gt;=1,"OHKO",IF(N297&gt;=0.5,"2HKO",IF(N297&gt;=0.333,"3HKO",IF(N297&gt;=0.25,"4HKO","5HKO+"))))</f>
        <v/>
      </c>
      <c r="P297" s="3" t="inlineStr">
        <is>
          <t>Live from editable databases</t>
        </is>
      </c>
      <c r="Q297" s="3" t="inlineStr">
        <is>
          <t>SPECIES_STARLY</t>
        </is>
      </c>
      <c r="R297" s="3" t="n">
        <v>8</v>
      </c>
    </row>
    <row r="298">
      <c r="A298" s="3">
        <f>XLOOKUP($Q298,'Threshold Summary'!$Y:$Y,'Threshold Summary'!$A:$A,"")</f>
        <v/>
      </c>
      <c r="B298" s="3">
        <f>XLOOKUP($Q298,'Threshold Summary'!$Y:$Y,'Threshold Summary'!$M:$M,"")</f>
        <v/>
      </c>
      <c r="C298" s="3">
        <f>XLOOKUP($Q298,'Threshold Summary'!$Y:$Y,'Threshold Summary'!$N:$N,"")</f>
        <v/>
      </c>
      <c r="D298" s="3">
        <f>IFERROR(INDEX(FILTER('Learnset Editor'!$D$2:$D,'Learnset Editor'!$A$2:$A=XLOOKUP($Q298,'Threshold Summary'!$Y:$Y,'Threshold Summary'!$K:$K,""),'Learnset Editor'!$C$2:$C&lt;=XLOOKUP($Q298,'Threshold Summary'!$Y:$Y,'Threshold Summary'!$L:$L,"")),$R298),"")</f>
        <v/>
      </c>
      <c r="E298" s="3">
        <f>XLOOKUP(D298,'Move Editor'!$B:$B,'Move Editor'!$C:$C,"")</f>
        <v/>
      </c>
      <c r="F298" s="3">
        <f>XLOOKUP(D298,'Move Editor'!$B:$B,'Move Editor'!$D:$D,"")</f>
        <v/>
      </c>
      <c r="G298" s="3">
        <f>XLOOKUP(D298,'Move Editor'!$B:$B,'Move Editor'!$E:$E,0)</f>
        <v/>
      </c>
      <c r="H298" s="3">
        <f>XLOOKUP(D298,'Move Editor'!$B:$B,'Move Editor'!$F:$F,0)</f>
        <v/>
      </c>
      <c r="I298" s="3">
        <f>(INDEX('Type Chart'!$B:$S,MATCH(E298,'Type Chart'!$A:$A,0),MATCH(XLOOKUP('Boss Editor'!$C$4,'Pokemon Editor'!$A:$A,'Pokemon Editor'!$C:$C,""),'Type Chart'!$B$1:$S$1,0))*IF(XLOOKUP('Boss Editor'!$C$4,'Pokemon Editor'!$A:$A,'Pokemon Editor'!$D:$D,"")="",1,INDEX('Type Chart'!$B:$S,MATCH(E298,'Type Chart'!$A:$A,0),MATCH(XLOOKUP('Boss Editor'!$C$4,'Pokemon Editor'!$A:$A,'Pokemon Editor'!$D:$D,""),'Type Chart'!$B$1:$S$1,0))))</f>
        <v/>
      </c>
      <c r="J298" s="3">
        <f>IFERROR(LET(mtype,XLOOKUP($D298,'Move Editor'!$B:$B,'Move Editor'!$C:$C,""),cat,XLOOKUP($D298,'Move Editor'!$B:$B,'Move Editor'!$D:$D,""),pow,XLOOKUP($D298,'Move Editor'!$B:$B,'Move Editor'!$E:$E,0),acc,XLOOKUP($D298,'Move Editor'!$B:$B,'Move Editor'!$F:$F,100),atk,IF(cat="Physical",FLOOR((FLOOR(((2*XLOOKUP(XLOOKUP($Q298,'Threshold Summary'!$Y:$Y,'Threshold Summary'!$K:$K,""),'Pokemon Editor'!$A:$A,'Pokemon Editor'!$F:$F,0)+31+FLOOR(XLOOKUP($Q298,'Threshold Summary'!$Y:$Y,'Threshold Summary'!$P:$P,"")/4))*XLOOKUP($Q298,'Threshold Summary'!$Y:$Y,'Threshold Summary'!$L:$L,""))/100)+5)*XLOOKUP(XLOOKUP($Q298,'Threshold Summary'!$Y:$Y,'Threshold Summary'!$M:$M,""),'Nature Editor'!$A:$A,'Nature Editor'!$B:$B,1)),FLOOR((FLOOR(((2*XLOOKUP(XLOOKUP($Q298,'Threshold Summary'!$Y:$Y,'Threshold Summary'!$K:$K,""),'Pokemon Editor'!$A:$A,'Pokemon Editor'!$H:$H,0)+31+FLOOR(XLOOKUP($Q298,'Threshold Summary'!$Y:$Y,'Threshold Summary'!$R:$R,"")/4))*XLOOKUP($Q298,'Threshold Summary'!$Y:$Y,'Threshold Summary'!$L:$L,""))/100)+5)*XLOOKUP(XLOOKUP($Q298,'Threshold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Editor'!$E:$E,1))),stab,IF(OR(mtype=XLOOKUP(XLOOKUP($Q298,'Threshold Summary'!$Y:$Y,'Threshold Summary'!$K:$K,""),'Pokemon Editor'!$A:$A,'Pokemon Editor'!$C:$C,""),mtype=XLOOKUP(XLOOKUP($Q298,'Threshold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Chart'!$B$1:$S$1,0)))),base,IF(OR(cat="Status",pow=0),0,FLOOR(FLOOR(FLOOR((2*XLOOKUP($Q298,'Threshold Summary'!$Y:$Y,'Threshold Summary'!$L:$L,"")/5+2)*pow*atk/def)/50)+2)),modifier,stab*eff,FLOOR(base*modifier*0.85)),0)</f>
        <v/>
      </c>
      <c r="K298" s="3">
        <f>IFERROR(LET(mtype,XLOOKUP($D298,'Move Editor'!$B:$B,'Move Editor'!$C:$C,""),cat,XLOOKUP($D298,'Move Editor'!$B:$B,'Move Editor'!$D:$D,""),pow,XLOOKUP($D298,'Move Editor'!$B:$B,'Move Editor'!$E:$E,0),acc,XLOOKUP($D298,'Move Editor'!$B:$B,'Move Editor'!$F:$F,100),atk,IF(cat="Physical",FLOOR((FLOOR(((2*XLOOKUP(XLOOKUP($Q298,'Threshold Summary'!$Y:$Y,'Threshold Summary'!$K:$K,""),'Pokemon Editor'!$A:$A,'Pokemon Editor'!$F:$F,0)+31+FLOOR(XLOOKUP($Q298,'Threshold Summary'!$Y:$Y,'Threshold Summary'!$P:$P,"")/4))*XLOOKUP($Q298,'Threshold Summary'!$Y:$Y,'Threshold Summary'!$L:$L,""))/100)+5)*XLOOKUP(XLOOKUP($Q298,'Threshold Summary'!$Y:$Y,'Threshold Summary'!$M:$M,""),'Nature Editor'!$A:$A,'Nature Editor'!$B:$B,1)),FLOOR((FLOOR(((2*XLOOKUP(XLOOKUP($Q298,'Threshold Summary'!$Y:$Y,'Threshold Summary'!$K:$K,""),'Pokemon Editor'!$A:$A,'Pokemon Editor'!$H:$H,0)+31+FLOOR(XLOOKUP($Q298,'Threshold Summary'!$Y:$Y,'Threshold Summary'!$R:$R,"")/4))*XLOOKUP($Q298,'Threshold Summary'!$Y:$Y,'Threshold Summary'!$L:$L,""))/100)+5)*XLOOKUP(XLOOKUP($Q298,'Threshold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Editor'!$E:$E,1))),stab,IF(OR(mtype=XLOOKUP(XLOOKUP($Q298,'Threshold Summary'!$Y:$Y,'Threshold Summary'!$K:$K,""),'Pokemon Editor'!$A:$A,'Pokemon Editor'!$C:$C,""),mtype=XLOOKUP(XLOOKUP($Q298,'Threshold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Chart'!$B$1:$S$1,0)))),base,IF(OR(cat="Status",pow=0),0,FLOOR(FLOOR(FLOOR((2*XLOOKUP($Q298,'Threshold Summary'!$Y:$Y,'Threshold Summary'!$L:$L,"")/5+2)*pow*atk/def)/50)+2)),modifier,stab*eff,FLOOR(base*modifier)),0)</f>
        <v/>
      </c>
      <c r="L298" s="3">
        <f>IFERROR(LET(mtype,XLOOKUP($D298,'Move Editor'!$B:$B,'Move Editor'!$C:$C,""),cat,XLOOKUP($D298,'Move Editor'!$B:$B,'Move Editor'!$D:$D,""),pow,XLOOKUP($D298,'Move Editor'!$B:$B,'Move Editor'!$E:$E,0),acc,XLOOKUP($D298,'Move Editor'!$B:$B,'Move Editor'!$F:$F,100),atk,IF(cat="Physical",FLOOR((FLOOR(((2*XLOOKUP(XLOOKUP($Q298,'Threshold Summary'!$Y:$Y,'Threshold Summary'!$K:$K,""),'Pokemon Editor'!$A:$A,'Pokemon Editor'!$F:$F,0)+31+FLOOR(XLOOKUP($Q298,'Threshold Summary'!$Y:$Y,'Threshold Summary'!$P:$P,"")/4))*XLOOKUP($Q298,'Threshold Summary'!$Y:$Y,'Threshold Summary'!$L:$L,""))/100)+5)*XLOOKUP(XLOOKUP($Q298,'Threshold Summary'!$Y:$Y,'Threshold Summary'!$M:$M,""),'Nature Editor'!$A:$A,'Nature Editor'!$B:$B,1)),FLOOR((FLOOR(((2*XLOOKUP(XLOOKUP($Q298,'Threshold Summary'!$Y:$Y,'Threshold Summary'!$K:$K,""),'Pokemon Editor'!$A:$A,'Pokemon Editor'!$H:$H,0)+31+FLOOR(XLOOKUP($Q298,'Threshold Summary'!$Y:$Y,'Threshold Summary'!$R:$R,"")/4))*XLOOKUP($Q298,'Threshold Summary'!$Y:$Y,'Threshold Summary'!$L:$L,""))/100)+5)*XLOOKUP(XLOOKUP($Q298,'Threshold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Editor'!$E:$E,1))),stab,IF(OR(mtype=XLOOKUP(XLOOKUP($Q298,'Threshold Summary'!$Y:$Y,'Threshold Summary'!$K:$K,""),'Pokemon Editor'!$A:$A,'Pokemon Editor'!$C:$C,""),mtype=XLOOKUP(XLOOKUP($Q298,'Threshold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Chart'!$B$1:$S$1,0)))),base,IF(OR(cat="Status",pow=0),0,FLOOR(FLOOR(FLOOR((2*XLOOKUP($Q298,'Threshold Summary'!$Y:$Y,'Threshold Summary'!$L:$L,"")/5+2)*pow*atk/def)/50)+2)),modifier,stab*eff,AVERAGE(ARRAYFORMULA(FLOOR(base*modifier*SEQUENCE(16,1,85,1)/100)))),0)</f>
        <v/>
      </c>
      <c r="M298" s="3">
        <f>IFERROR(LET(mtype,XLOOKUP($D298,'Move Editor'!$B:$B,'Move Editor'!$C:$C,""),cat,XLOOKUP($D298,'Move Editor'!$B:$B,'Move Editor'!$D:$D,""),pow,XLOOKUP($D298,'Move Editor'!$B:$B,'Move Editor'!$E:$E,0),acc,XLOOKUP($D298,'Move Editor'!$B:$B,'Move Editor'!$F:$F,100),atk,IF(cat="Physical",FLOOR((FLOOR(((2*XLOOKUP(XLOOKUP($Q298,'Threshold Summary'!$Y:$Y,'Threshold Summary'!$K:$K,""),'Pokemon Editor'!$A:$A,'Pokemon Editor'!$F:$F,0)+31+FLOOR(XLOOKUP($Q298,'Threshold Summary'!$Y:$Y,'Threshold Summary'!$P:$P,"")/4))*XLOOKUP($Q298,'Threshold Summary'!$Y:$Y,'Threshold Summary'!$L:$L,""))/100)+5)*XLOOKUP(XLOOKUP($Q298,'Threshold Summary'!$Y:$Y,'Threshold Summary'!$M:$M,""),'Nature Editor'!$A:$A,'Nature Editor'!$B:$B,1)),FLOOR((FLOOR(((2*XLOOKUP(XLOOKUP($Q298,'Threshold Summary'!$Y:$Y,'Threshold Summary'!$K:$K,""),'Pokemon Editor'!$A:$A,'Pokemon Editor'!$H:$H,0)+31+FLOOR(XLOOKUP($Q298,'Threshold Summary'!$Y:$Y,'Threshold Summary'!$R:$R,"")/4))*XLOOKUP($Q298,'Threshold Summary'!$Y:$Y,'Threshold Summary'!$L:$L,""))/100)+5)*XLOOKUP(XLOOKUP($Q298,'Threshold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Editor'!$E:$E,1))),stab,IF(OR(mtype=XLOOKUP(XLOOKUP($Q298,'Threshold Summary'!$Y:$Y,'Threshold Summary'!$K:$K,""),'Pokemon Editor'!$A:$A,'Pokemon Editor'!$C:$C,""),mtype=XLOOKUP(XLOOKUP($Q298,'Threshold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Chart'!$B$1:$S$1,0)))),base,IF(OR(cat="Status",pow=0),0,FLOOR(FLOOR(FLOOR((2*XLOOKUP($Q298,'Threshold Summary'!$Y:$Y,'Threshold Summary'!$L:$L,"")/5+2)*pow*atk/def)/50)+2)),modifier,stab*eff,AVERAGE(ARRAYFORMULA(FLOOR(base*modifier*SEQUENCE(16,1,85,1)/100)))*MIN(1,acc/100)),0)</f>
        <v/>
      </c>
      <c r="N298" s="4">
        <f>IFERROR(LET(mtype,XLOOKUP($D298,'Move Editor'!$B:$B,'Move Editor'!$C:$C,""),cat,XLOOKUP($D298,'Move Editor'!$B:$B,'Move Editor'!$D:$D,""),pow,XLOOKUP($D298,'Move Editor'!$B:$B,'Move Editor'!$E:$E,0),acc,XLOOKUP($D298,'Move Editor'!$B:$B,'Move Editor'!$F:$F,100),atk,IF(cat="Physical",FLOOR((FLOOR(((2*XLOOKUP(XLOOKUP($Q298,'Threshold Summary'!$Y:$Y,'Threshold Summary'!$K:$K,""),'Pokemon Editor'!$A:$A,'Pokemon Editor'!$F:$F,0)+31+FLOOR(XLOOKUP($Q298,'Threshold Summary'!$Y:$Y,'Threshold Summary'!$P:$P,"")/4))*XLOOKUP($Q298,'Threshold Summary'!$Y:$Y,'Threshold Summary'!$L:$L,""))/100)+5)*XLOOKUP(XLOOKUP($Q298,'Threshold Summary'!$Y:$Y,'Threshold Summary'!$M:$M,""),'Nature Editor'!$A:$A,'Nature Editor'!$B:$B,1)),FLOOR((FLOOR(((2*XLOOKUP(XLOOKUP($Q298,'Threshold Summary'!$Y:$Y,'Threshold Summary'!$K:$K,""),'Pokemon Editor'!$A:$A,'Pokemon Editor'!$H:$H,0)+31+FLOOR(XLOOKUP($Q298,'Threshold Summary'!$Y:$Y,'Threshold Summary'!$R:$R,"")/4))*XLOOKUP($Q298,'Threshold Summary'!$Y:$Y,'Threshold Summary'!$L:$L,""))/100)+5)*XLOOKUP(XLOOKUP($Q298,'Threshold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Editor'!$E:$E,1))),stab,IF(OR(mtype=XLOOKUP(XLOOKUP($Q298,'Threshold Summary'!$Y:$Y,'Threshold Summary'!$K:$K,""),'Pokemon Editor'!$A:$A,'Pokemon Editor'!$C:$C,""),mtype=XLOOKUP(XLOOKUP($Q298,'Threshold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Chart'!$B$1:$S$1,0)))),base,IF(OR(cat="Status",pow=0),0,FLOOR(FLOOR(FLOOR((2*XLOOKUP($Q298,'Threshold Summary'!$Y:$Y,'Threshold Summary'!$L:$L,"")/5+2)*pow*atk/def)/50)+2)),modifier,stab*eff,AVERAGE(ARRAYFORMULA(FLOOR(base*modifier*SEQUENCE(16,1,85,1)/100)))/(FLOOR(((2*XLOOKUP('Boss Editor'!$C$4,'Pokemon Editor'!$A:$A,'Pokemon Editor'!$E:$E,0)+31+FLOOR('Boss Editor'!$G$4/4))*'Boss Editor'!$D$4)/100)+'Boss Editor'!$D$4+10)),0)</f>
        <v/>
      </c>
      <c r="O298" s="3">
        <f>IF(N298&gt;=1,"OHKO",IF(N298&gt;=0.5,"2HKO",IF(N298&gt;=0.333,"3HKO",IF(N298&gt;=0.25,"4HKO","5HKO+"))))</f>
        <v/>
      </c>
      <c r="P298" s="3" t="inlineStr">
        <is>
          <t>Live from editable databases</t>
        </is>
      </c>
      <c r="Q298" s="3" t="inlineStr">
        <is>
          <t>SPECIES_STARLY</t>
        </is>
      </c>
      <c r="R298" s="3" t="n">
        <v>9</v>
      </c>
    </row>
    <row r="299">
      <c r="A299" s="3">
        <f>XLOOKUP($Q299,'Threshold Summary'!$Y:$Y,'Threshold Summary'!$A:$A,"")</f>
        <v/>
      </c>
      <c r="B299" s="3">
        <f>XLOOKUP($Q299,'Threshold Summary'!$Y:$Y,'Threshold Summary'!$M:$M,"")</f>
        <v/>
      </c>
      <c r="C299" s="3">
        <f>XLOOKUP($Q299,'Threshold Summary'!$Y:$Y,'Threshold Summary'!$N:$N,"")</f>
        <v/>
      </c>
      <c r="D299" s="3">
        <f>IFERROR(INDEX(FILTER('Learnset Editor'!$D$2:$D,'Learnset Editor'!$A$2:$A=XLOOKUP($Q299,'Threshold Summary'!$Y:$Y,'Threshold Summary'!$K:$K,""),'Learnset Editor'!$C$2:$C&lt;=XLOOKUP($Q299,'Threshold Summary'!$Y:$Y,'Threshold Summary'!$L:$L,"")),$R299),"")</f>
        <v/>
      </c>
      <c r="E299" s="3">
        <f>XLOOKUP(D299,'Move Editor'!$B:$B,'Move Editor'!$C:$C,"")</f>
        <v/>
      </c>
      <c r="F299" s="3">
        <f>XLOOKUP(D299,'Move Editor'!$B:$B,'Move Editor'!$D:$D,"")</f>
        <v/>
      </c>
      <c r="G299" s="3">
        <f>XLOOKUP(D299,'Move Editor'!$B:$B,'Move Editor'!$E:$E,0)</f>
        <v/>
      </c>
      <c r="H299" s="3">
        <f>XLOOKUP(D299,'Move Editor'!$B:$B,'Move Editor'!$F:$F,0)</f>
        <v/>
      </c>
      <c r="I299" s="3">
        <f>(INDEX('Type Chart'!$B:$S,MATCH(E299,'Type Chart'!$A:$A,0),MATCH(XLOOKUP('Boss Editor'!$C$4,'Pokemon Editor'!$A:$A,'Pokemon Editor'!$C:$C,""),'Type Chart'!$B$1:$S$1,0))*IF(XLOOKUP('Boss Editor'!$C$4,'Pokemon Editor'!$A:$A,'Pokemon Editor'!$D:$D,"")="",1,INDEX('Type Chart'!$B:$S,MATCH(E299,'Type Chart'!$A:$A,0),MATCH(XLOOKUP('Boss Editor'!$C$4,'Pokemon Editor'!$A:$A,'Pokemon Editor'!$D:$D,""),'Type Chart'!$B$1:$S$1,0))))</f>
        <v/>
      </c>
      <c r="J299" s="3">
        <f>IFERROR(LET(mtype,XLOOKUP($D299,'Move Editor'!$B:$B,'Move Editor'!$C:$C,""),cat,XLOOKUP($D299,'Move Editor'!$B:$B,'Move Editor'!$D:$D,""),pow,XLOOKUP($D299,'Move Editor'!$B:$B,'Move Editor'!$E:$E,0),acc,XLOOKUP($D299,'Move Editor'!$B:$B,'Move Editor'!$F:$F,100),atk,IF(cat="Physical",FLOOR((FLOOR(((2*XLOOKUP(XLOOKUP($Q299,'Threshold Summary'!$Y:$Y,'Threshold Summary'!$K:$K,""),'Pokemon Editor'!$A:$A,'Pokemon Editor'!$F:$F,0)+31+FLOOR(XLOOKUP($Q299,'Threshold Summary'!$Y:$Y,'Threshold Summary'!$P:$P,"")/4))*XLOOKUP($Q299,'Threshold Summary'!$Y:$Y,'Threshold Summary'!$L:$L,""))/100)+5)*XLOOKUP(XLOOKUP($Q299,'Threshold Summary'!$Y:$Y,'Threshold Summary'!$M:$M,""),'Nature Editor'!$A:$A,'Nature Editor'!$B:$B,1)),FLOOR((FLOOR(((2*XLOOKUP(XLOOKUP($Q299,'Threshold Summary'!$Y:$Y,'Threshold Summary'!$K:$K,""),'Pokemon Editor'!$A:$A,'Pokemon Editor'!$H:$H,0)+31+FLOOR(XLOOKUP($Q299,'Threshold Summary'!$Y:$Y,'Threshold Summary'!$R:$R,"")/4))*XLOOKUP($Q299,'Threshold Summary'!$Y:$Y,'Threshold Summary'!$L:$L,""))/100)+5)*XLOOKUP(XLOOKUP($Q299,'Threshold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Editor'!$E:$E,1))),stab,IF(OR(mtype=XLOOKUP(XLOOKUP($Q299,'Threshold Summary'!$Y:$Y,'Threshold Summary'!$K:$K,""),'Pokemon Editor'!$A:$A,'Pokemon Editor'!$C:$C,""),mtype=XLOOKUP(XLOOKUP($Q299,'Threshold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Chart'!$B$1:$S$1,0)))),base,IF(OR(cat="Status",pow=0),0,FLOOR(FLOOR(FLOOR((2*XLOOKUP($Q299,'Threshold Summary'!$Y:$Y,'Threshold Summary'!$L:$L,"")/5+2)*pow*atk/def)/50)+2)),modifier,stab*eff,FLOOR(base*modifier*0.85)),0)</f>
        <v/>
      </c>
      <c r="K299" s="3">
        <f>IFERROR(LET(mtype,XLOOKUP($D299,'Move Editor'!$B:$B,'Move Editor'!$C:$C,""),cat,XLOOKUP($D299,'Move Editor'!$B:$B,'Move Editor'!$D:$D,""),pow,XLOOKUP($D299,'Move Editor'!$B:$B,'Move Editor'!$E:$E,0),acc,XLOOKUP($D299,'Move Editor'!$B:$B,'Move Editor'!$F:$F,100),atk,IF(cat="Physical",FLOOR((FLOOR(((2*XLOOKUP(XLOOKUP($Q299,'Threshold Summary'!$Y:$Y,'Threshold Summary'!$K:$K,""),'Pokemon Editor'!$A:$A,'Pokemon Editor'!$F:$F,0)+31+FLOOR(XLOOKUP($Q299,'Threshold Summary'!$Y:$Y,'Threshold Summary'!$P:$P,"")/4))*XLOOKUP($Q299,'Threshold Summary'!$Y:$Y,'Threshold Summary'!$L:$L,""))/100)+5)*XLOOKUP(XLOOKUP($Q299,'Threshold Summary'!$Y:$Y,'Threshold Summary'!$M:$M,""),'Nature Editor'!$A:$A,'Nature Editor'!$B:$B,1)),FLOOR((FLOOR(((2*XLOOKUP(XLOOKUP($Q299,'Threshold Summary'!$Y:$Y,'Threshold Summary'!$K:$K,""),'Pokemon Editor'!$A:$A,'Pokemon Editor'!$H:$H,0)+31+FLOOR(XLOOKUP($Q299,'Threshold Summary'!$Y:$Y,'Threshold Summary'!$R:$R,"")/4))*XLOOKUP($Q299,'Threshold Summary'!$Y:$Y,'Threshold Summary'!$L:$L,""))/100)+5)*XLOOKUP(XLOOKUP($Q299,'Threshold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Editor'!$E:$E,1))),stab,IF(OR(mtype=XLOOKUP(XLOOKUP($Q299,'Threshold Summary'!$Y:$Y,'Threshold Summary'!$K:$K,""),'Pokemon Editor'!$A:$A,'Pokemon Editor'!$C:$C,""),mtype=XLOOKUP(XLOOKUP($Q299,'Threshold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Chart'!$B$1:$S$1,0)))),base,IF(OR(cat="Status",pow=0),0,FLOOR(FLOOR(FLOOR((2*XLOOKUP($Q299,'Threshold Summary'!$Y:$Y,'Threshold Summary'!$L:$L,"")/5+2)*pow*atk/def)/50)+2)),modifier,stab*eff,FLOOR(base*modifier)),0)</f>
        <v/>
      </c>
      <c r="L299" s="3">
        <f>IFERROR(LET(mtype,XLOOKUP($D299,'Move Editor'!$B:$B,'Move Editor'!$C:$C,""),cat,XLOOKUP($D299,'Move Editor'!$B:$B,'Move Editor'!$D:$D,""),pow,XLOOKUP($D299,'Move Editor'!$B:$B,'Move Editor'!$E:$E,0),acc,XLOOKUP($D299,'Move Editor'!$B:$B,'Move Editor'!$F:$F,100),atk,IF(cat="Physical",FLOOR((FLOOR(((2*XLOOKUP(XLOOKUP($Q299,'Threshold Summary'!$Y:$Y,'Threshold Summary'!$K:$K,""),'Pokemon Editor'!$A:$A,'Pokemon Editor'!$F:$F,0)+31+FLOOR(XLOOKUP($Q299,'Threshold Summary'!$Y:$Y,'Threshold Summary'!$P:$P,"")/4))*XLOOKUP($Q299,'Threshold Summary'!$Y:$Y,'Threshold Summary'!$L:$L,""))/100)+5)*XLOOKUP(XLOOKUP($Q299,'Threshold Summary'!$Y:$Y,'Threshold Summary'!$M:$M,""),'Nature Editor'!$A:$A,'Nature Editor'!$B:$B,1)),FLOOR((FLOOR(((2*XLOOKUP(XLOOKUP($Q299,'Threshold Summary'!$Y:$Y,'Threshold Summary'!$K:$K,""),'Pokemon Editor'!$A:$A,'Pokemon Editor'!$H:$H,0)+31+FLOOR(XLOOKUP($Q299,'Threshold Summary'!$Y:$Y,'Threshold Summary'!$R:$R,"")/4))*XLOOKUP($Q299,'Threshold Summary'!$Y:$Y,'Threshold Summary'!$L:$L,""))/100)+5)*XLOOKUP(XLOOKUP($Q299,'Threshold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Editor'!$E:$E,1))),stab,IF(OR(mtype=XLOOKUP(XLOOKUP($Q299,'Threshold Summary'!$Y:$Y,'Threshold Summary'!$K:$K,""),'Pokemon Editor'!$A:$A,'Pokemon Editor'!$C:$C,""),mtype=XLOOKUP(XLOOKUP($Q299,'Threshold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Chart'!$B$1:$S$1,0)))),base,IF(OR(cat="Status",pow=0),0,FLOOR(FLOOR(FLOOR((2*XLOOKUP($Q299,'Threshold Summary'!$Y:$Y,'Threshold Summary'!$L:$L,"")/5+2)*pow*atk/def)/50)+2)),modifier,stab*eff,AVERAGE(ARRAYFORMULA(FLOOR(base*modifier*SEQUENCE(16,1,85,1)/100)))),0)</f>
        <v/>
      </c>
      <c r="M299" s="3">
        <f>IFERROR(LET(mtype,XLOOKUP($D299,'Move Editor'!$B:$B,'Move Editor'!$C:$C,""),cat,XLOOKUP($D299,'Move Editor'!$B:$B,'Move Editor'!$D:$D,""),pow,XLOOKUP($D299,'Move Editor'!$B:$B,'Move Editor'!$E:$E,0),acc,XLOOKUP($D299,'Move Editor'!$B:$B,'Move Editor'!$F:$F,100),atk,IF(cat="Physical",FLOOR((FLOOR(((2*XLOOKUP(XLOOKUP($Q299,'Threshold Summary'!$Y:$Y,'Threshold Summary'!$K:$K,""),'Pokemon Editor'!$A:$A,'Pokemon Editor'!$F:$F,0)+31+FLOOR(XLOOKUP($Q299,'Threshold Summary'!$Y:$Y,'Threshold Summary'!$P:$P,"")/4))*XLOOKUP($Q299,'Threshold Summary'!$Y:$Y,'Threshold Summary'!$L:$L,""))/100)+5)*XLOOKUP(XLOOKUP($Q299,'Threshold Summary'!$Y:$Y,'Threshold Summary'!$M:$M,""),'Nature Editor'!$A:$A,'Nature Editor'!$B:$B,1)),FLOOR((FLOOR(((2*XLOOKUP(XLOOKUP($Q299,'Threshold Summary'!$Y:$Y,'Threshold Summary'!$K:$K,""),'Pokemon Editor'!$A:$A,'Pokemon Editor'!$H:$H,0)+31+FLOOR(XLOOKUP($Q299,'Threshold Summary'!$Y:$Y,'Threshold Summary'!$R:$R,"")/4))*XLOOKUP($Q299,'Threshold Summary'!$Y:$Y,'Threshold Summary'!$L:$L,""))/100)+5)*XLOOKUP(XLOOKUP($Q299,'Threshold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Editor'!$E:$E,1))),stab,IF(OR(mtype=XLOOKUP(XLOOKUP($Q299,'Threshold Summary'!$Y:$Y,'Threshold Summary'!$K:$K,""),'Pokemon Editor'!$A:$A,'Pokemon Editor'!$C:$C,""),mtype=XLOOKUP(XLOOKUP($Q299,'Threshold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Chart'!$B$1:$S$1,0)))),base,IF(OR(cat="Status",pow=0),0,FLOOR(FLOOR(FLOOR((2*XLOOKUP($Q299,'Threshold Summary'!$Y:$Y,'Threshold Summary'!$L:$L,"")/5+2)*pow*atk/def)/50)+2)),modifier,stab*eff,AVERAGE(ARRAYFORMULA(FLOOR(base*modifier*SEQUENCE(16,1,85,1)/100)))*MIN(1,acc/100)),0)</f>
        <v/>
      </c>
      <c r="N299" s="4">
        <f>IFERROR(LET(mtype,XLOOKUP($D299,'Move Editor'!$B:$B,'Move Editor'!$C:$C,""),cat,XLOOKUP($D299,'Move Editor'!$B:$B,'Move Editor'!$D:$D,""),pow,XLOOKUP($D299,'Move Editor'!$B:$B,'Move Editor'!$E:$E,0),acc,XLOOKUP($D299,'Move Editor'!$B:$B,'Move Editor'!$F:$F,100),atk,IF(cat="Physical",FLOOR((FLOOR(((2*XLOOKUP(XLOOKUP($Q299,'Threshold Summary'!$Y:$Y,'Threshold Summary'!$K:$K,""),'Pokemon Editor'!$A:$A,'Pokemon Editor'!$F:$F,0)+31+FLOOR(XLOOKUP($Q299,'Threshold Summary'!$Y:$Y,'Threshold Summary'!$P:$P,"")/4))*XLOOKUP($Q299,'Threshold Summary'!$Y:$Y,'Threshold Summary'!$L:$L,""))/100)+5)*XLOOKUP(XLOOKUP($Q299,'Threshold Summary'!$Y:$Y,'Threshold Summary'!$M:$M,""),'Nature Editor'!$A:$A,'Nature Editor'!$B:$B,1)),FLOOR((FLOOR(((2*XLOOKUP(XLOOKUP($Q299,'Threshold Summary'!$Y:$Y,'Threshold Summary'!$K:$K,""),'Pokemon Editor'!$A:$A,'Pokemon Editor'!$H:$H,0)+31+FLOOR(XLOOKUP($Q299,'Threshold Summary'!$Y:$Y,'Threshold Summary'!$R:$R,"")/4))*XLOOKUP($Q299,'Threshold Summary'!$Y:$Y,'Threshold Summary'!$L:$L,""))/100)+5)*XLOOKUP(XLOOKUP($Q299,'Threshold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Editor'!$E:$E,1))),stab,IF(OR(mtype=XLOOKUP(XLOOKUP($Q299,'Threshold Summary'!$Y:$Y,'Threshold Summary'!$K:$K,""),'Pokemon Editor'!$A:$A,'Pokemon Editor'!$C:$C,""),mtype=XLOOKUP(XLOOKUP($Q299,'Threshold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Chart'!$B$1:$S$1,0)))),base,IF(OR(cat="Status",pow=0),0,FLOOR(FLOOR(FLOOR((2*XLOOKUP($Q299,'Threshold Summary'!$Y:$Y,'Threshold Summary'!$L:$L,"")/5+2)*pow*atk/def)/50)+2)),modifier,stab*eff,AVERAGE(ARRAYFORMULA(FLOOR(base*modifier*SEQUENCE(16,1,85,1)/100)))/(FLOOR(((2*XLOOKUP('Boss Editor'!$C$4,'Pokemon Editor'!$A:$A,'Pokemon Editor'!$E:$E,0)+31+FLOOR('Boss Editor'!$G$4/4))*'Boss Editor'!$D$4)/100)+'Boss Editor'!$D$4+10)),0)</f>
        <v/>
      </c>
      <c r="O299" s="3">
        <f>IF(N299&gt;=1,"OHKO",IF(N299&gt;=0.5,"2HKO",IF(N299&gt;=0.333,"3HKO",IF(N299&gt;=0.25,"4HKO","5HKO+"))))</f>
        <v/>
      </c>
      <c r="P299" s="3" t="inlineStr">
        <is>
          <t>Live from editable databases</t>
        </is>
      </c>
      <c r="Q299" s="3" t="inlineStr">
        <is>
          <t>SPECIES_STARLY</t>
        </is>
      </c>
      <c r="R299" s="3" t="n">
        <v>10</v>
      </c>
    </row>
    <row r="300">
      <c r="A300" s="3">
        <f>XLOOKUP($Q300,'Threshold Summary'!$Y:$Y,'Threshold Summary'!$A:$A,"")</f>
        <v/>
      </c>
      <c r="B300" s="3">
        <f>XLOOKUP($Q300,'Threshold Summary'!$Y:$Y,'Threshold Summary'!$M:$M,"")</f>
        <v/>
      </c>
      <c r="C300" s="3">
        <f>XLOOKUP($Q300,'Threshold Summary'!$Y:$Y,'Threshold Summary'!$N:$N,"")</f>
        <v/>
      </c>
      <c r="D300" s="3">
        <f>IFERROR(INDEX(FILTER('Learnset Editor'!$D$2:$D,'Learnset Editor'!$A$2:$A=XLOOKUP($Q300,'Threshold Summary'!$Y:$Y,'Threshold Summary'!$K:$K,""),'Learnset Editor'!$C$2:$C&lt;=XLOOKUP($Q300,'Threshold Summary'!$Y:$Y,'Threshold Summary'!$L:$L,"")),$R300),"")</f>
        <v/>
      </c>
      <c r="E300" s="3">
        <f>XLOOKUP(D300,'Move Editor'!$B:$B,'Move Editor'!$C:$C,"")</f>
        <v/>
      </c>
      <c r="F300" s="3">
        <f>XLOOKUP(D300,'Move Editor'!$B:$B,'Move Editor'!$D:$D,"")</f>
        <v/>
      </c>
      <c r="G300" s="3">
        <f>XLOOKUP(D300,'Move Editor'!$B:$B,'Move Editor'!$E:$E,0)</f>
        <v/>
      </c>
      <c r="H300" s="3">
        <f>XLOOKUP(D300,'Move Editor'!$B:$B,'Move Editor'!$F:$F,0)</f>
        <v/>
      </c>
      <c r="I300" s="3">
        <f>(INDEX('Type Chart'!$B:$S,MATCH(E300,'Type Chart'!$A:$A,0),MATCH(XLOOKUP('Boss Editor'!$C$4,'Pokemon Editor'!$A:$A,'Pokemon Editor'!$C:$C,""),'Type Chart'!$B$1:$S$1,0))*IF(XLOOKUP('Boss Editor'!$C$4,'Pokemon Editor'!$A:$A,'Pokemon Editor'!$D:$D,"")="",1,INDEX('Type Chart'!$B:$S,MATCH(E300,'Type Chart'!$A:$A,0),MATCH(XLOOKUP('Boss Editor'!$C$4,'Pokemon Editor'!$A:$A,'Pokemon Editor'!$D:$D,""),'Type Chart'!$B$1:$S$1,0))))</f>
        <v/>
      </c>
      <c r="J300" s="3">
        <f>IFERROR(LET(mtype,XLOOKUP($D300,'Move Editor'!$B:$B,'Move Editor'!$C:$C,""),cat,XLOOKUP($D300,'Move Editor'!$B:$B,'Move Editor'!$D:$D,""),pow,XLOOKUP($D300,'Move Editor'!$B:$B,'Move Editor'!$E:$E,0),acc,XLOOKUP($D300,'Move Editor'!$B:$B,'Move Editor'!$F:$F,100),atk,IF(cat="Physical",FLOOR((FLOOR(((2*XLOOKUP(XLOOKUP($Q300,'Threshold Summary'!$Y:$Y,'Threshold Summary'!$K:$K,""),'Pokemon Editor'!$A:$A,'Pokemon Editor'!$F:$F,0)+31+FLOOR(XLOOKUP($Q300,'Threshold Summary'!$Y:$Y,'Threshold Summary'!$P:$P,"")/4))*XLOOKUP($Q300,'Threshold Summary'!$Y:$Y,'Threshold Summary'!$L:$L,""))/100)+5)*XLOOKUP(XLOOKUP($Q300,'Threshold Summary'!$Y:$Y,'Threshold Summary'!$M:$M,""),'Nature Editor'!$A:$A,'Nature Editor'!$B:$B,1)),FLOOR((FLOOR(((2*XLOOKUP(XLOOKUP($Q300,'Threshold Summary'!$Y:$Y,'Threshold Summary'!$K:$K,""),'Pokemon Editor'!$A:$A,'Pokemon Editor'!$H:$H,0)+31+FLOOR(XLOOKUP($Q300,'Threshold Summary'!$Y:$Y,'Threshold Summary'!$R:$R,"")/4))*XLOOKUP($Q300,'Threshold Summary'!$Y:$Y,'Threshold Summary'!$L:$L,""))/100)+5)*XLOOKUP(XLOOKUP($Q300,'Threshold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Editor'!$E:$E,1))),stab,IF(OR(mtype=XLOOKUP(XLOOKUP($Q300,'Threshold Summary'!$Y:$Y,'Threshold Summary'!$K:$K,""),'Pokemon Editor'!$A:$A,'Pokemon Editor'!$C:$C,""),mtype=XLOOKUP(XLOOKUP($Q300,'Threshold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Chart'!$B$1:$S$1,0)))),base,IF(OR(cat="Status",pow=0),0,FLOOR(FLOOR(FLOOR((2*XLOOKUP($Q300,'Threshold Summary'!$Y:$Y,'Threshold Summary'!$L:$L,"")/5+2)*pow*atk/def)/50)+2)),modifier,stab*eff,FLOOR(base*modifier*0.85)),0)</f>
        <v/>
      </c>
      <c r="K300" s="3">
        <f>IFERROR(LET(mtype,XLOOKUP($D300,'Move Editor'!$B:$B,'Move Editor'!$C:$C,""),cat,XLOOKUP($D300,'Move Editor'!$B:$B,'Move Editor'!$D:$D,""),pow,XLOOKUP($D300,'Move Editor'!$B:$B,'Move Editor'!$E:$E,0),acc,XLOOKUP($D300,'Move Editor'!$B:$B,'Move Editor'!$F:$F,100),atk,IF(cat="Physical",FLOOR((FLOOR(((2*XLOOKUP(XLOOKUP($Q300,'Threshold Summary'!$Y:$Y,'Threshold Summary'!$K:$K,""),'Pokemon Editor'!$A:$A,'Pokemon Editor'!$F:$F,0)+31+FLOOR(XLOOKUP($Q300,'Threshold Summary'!$Y:$Y,'Threshold Summary'!$P:$P,"")/4))*XLOOKUP($Q300,'Threshold Summary'!$Y:$Y,'Threshold Summary'!$L:$L,""))/100)+5)*XLOOKUP(XLOOKUP($Q300,'Threshold Summary'!$Y:$Y,'Threshold Summary'!$M:$M,""),'Nature Editor'!$A:$A,'Nature Editor'!$B:$B,1)),FLOOR((FLOOR(((2*XLOOKUP(XLOOKUP($Q300,'Threshold Summary'!$Y:$Y,'Threshold Summary'!$K:$K,""),'Pokemon Editor'!$A:$A,'Pokemon Editor'!$H:$H,0)+31+FLOOR(XLOOKUP($Q300,'Threshold Summary'!$Y:$Y,'Threshold Summary'!$R:$R,"")/4))*XLOOKUP($Q300,'Threshold Summary'!$Y:$Y,'Threshold Summary'!$L:$L,""))/100)+5)*XLOOKUP(XLOOKUP($Q300,'Threshold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Editor'!$E:$E,1))),stab,IF(OR(mtype=XLOOKUP(XLOOKUP($Q300,'Threshold Summary'!$Y:$Y,'Threshold Summary'!$K:$K,""),'Pokemon Editor'!$A:$A,'Pokemon Editor'!$C:$C,""),mtype=XLOOKUP(XLOOKUP($Q300,'Threshold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Chart'!$B$1:$S$1,0)))),base,IF(OR(cat="Status",pow=0),0,FLOOR(FLOOR(FLOOR((2*XLOOKUP($Q300,'Threshold Summary'!$Y:$Y,'Threshold Summary'!$L:$L,"")/5+2)*pow*atk/def)/50)+2)),modifier,stab*eff,FLOOR(base*modifier)),0)</f>
        <v/>
      </c>
      <c r="L300" s="3">
        <f>IFERROR(LET(mtype,XLOOKUP($D300,'Move Editor'!$B:$B,'Move Editor'!$C:$C,""),cat,XLOOKUP($D300,'Move Editor'!$B:$B,'Move Editor'!$D:$D,""),pow,XLOOKUP($D300,'Move Editor'!$B:$B,'Move Editor'!$E:$E,0),acc,XLOOKUP($D300,'Move Editor'!$B:$B,'Move Editor'!$F:$F,100),atk,IF(cat="Physical",FLOOR((FLOOR(((2*XLOOKUP(XLOOKUP($Q300,'Threshold Summary'!$Y:$Y,'Threshold Summary'!$K:$K,""),'Pokemon Editor'!$A:$A,'Pokemon Editor'!$F:$F,0)+31+FLOOR(XLOOKUP($Q300,'Threshold Summary'!$Y:$Y,'Threshold Summary'!$P:$P,"")/4))*XLOOKUP($Q300,'Threshold Summary'!$Y:$Y,'Threshold Summary'!$L:$L,""))/100)+5)*XLOOKUP(XLOOKUP($Q300,'Threshold Summary'!$Y:$Y,'Threshold Summary'!$M:$M,""),'Nature Editor'!$A:$A,'Nature Editor'!$B:$B,1)),FLOOR((FLOOR(((2*XLOOKUP(XLOOKUP($Q300,'Threshold Summary'!$Y:$Y,'Threshold Summary'!$K:$K,""),'Pokemon Editor'!$A:$A,'Pokemon Editor'!$H:$H,0)+31+FLOOR(XLOOKUP($Q300,'Threshold Summary'!$Y:$Y,'Threshold Summary'!$R:$R,"")/4))*XLOOKUP($Q300,'Threshold Summary'!$Y:$Y,'Threshold Summary'!$L:$L,""))/100)+5)*XLOOKUP(XLOOKUP($Q300,'Threshold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Editor'!$E:$E,1))),stab,IF(OR(mtype=XLOOKUP(XLOOKUP($Q300,'Threshold Summary'!$Y:$Y,'Threshold Summary'!$K:$K,""),'Pokemon Editor'!$A:$A,'Pokemon Editor'!$C:$C,""),mtype=XLOOKUP(XLOOKUP($Q300,'Threshold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Chart'!$B$1:$S$1,0)))),base,IF(OR(cat="Status",pow=0),0,FLOOR(FLOOR(FLOOR((2*XLOOKUP($Q300,'Threshold Summary'!$Y:$Y,'Threshold Summary'!$L:$L,"")/5+2)*pow*atk/def)/50)+2)),modifier,stab*eff,AVERAGE(ARRAYFORMULA(FLOOR(base*modifier*SEQUENCE(16,1,85,1)/100)))),0)</f>
        <v/>
      </c>
      <c r="M300" s="3">
        <f>IFERROR(LET(mtype,XLOOKUP($D300,'Move Editor'!$B:$B,'Move Editor'!$C:$C,""),cat,XLOOKUP($D300,'Move Editor'!$B:$B,'Move Editor'!$D:$D,""),pow,XLOOKUP($D300,'Move Editor'!$B:$B,'Move Editor'!$E:$E,0),acc,XLOOKUP($D300,'Move Editor'!$B:$B,'Move Editor'!$F:$F,100),atk,IF(cat="Physical",FLOOR((FLOOR(((2*XLOOKUP(XLOOKUP($Q300,'Threshold Summary'!$Y:$Y,'Threshold Summary'!$K:$K,""),'Pokemon Editor'!$A:$A,'Pokemon Editor'!$F:$F,0)+31+FLOOR(XLOOKUP($Q300,'Threshold Summary'!$Y:$Y,'Threshold Summary'!$P:$P,"")/4))*XLOOKUP($Q300,'Threshold Summary'!$Y:$Y,'Threshold Summary'!$L:$L,""))/100)+5)*XLOOKUP(XLOOKUP($Q300,'Threshold Summary'!$Y:$Y,'Threshold Summary'!$M:$M,""),'Nature Editor'!$A:$A,'Nature Editor'!$B:$B,1)),FLOOR((FLOOR(((2*XLOOKUP(XLOOKUP($Q300,'Threshold Summary'!$Y:$Y,'Threshold Summary'!$K:$K,""),'Pokemon Editor'!$A:$A,'Pokemon Editor'!$H:$H,0)+31+FLOOR(XLOOKUP($Q300,'Threshold Summary'!$Y:$Y,'Threshold Summary'!$R:$R,"")/4))*XLOOKUP($Q300,'Threshold Summary'!$Y:$Y,'Threshold Summary'!$L:$L,""))/100)+5)*XLOOKUP(XLOOKUP($Q300,'Threshold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Editor'!$E:$E,1))),stab,IF(OR(mtype=XLOOKUP(XLOOKUP($Q300,'Threshold Summary'!$Y:$Y,'Threshold Summary'!$K:$K,""),'Pokemon Editor'!$A:$A,'Pokemon Editor'!$C:$C,""),mtype=XLOOKUP(XLOOKUP($Q300,'Threshold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Chart'!$B$1:$S$1,0)))),base,IF(OR(cat="Status",pow=0),0,FLOOR(FLOOR(FLOOR((2*XLOOKUP($Q300,'Threshold Summary'!$Y:$Y,'Threshold Summary'!$L:$L,"")/5+2)*pow*atk/def)/50)+2)),modifier,stab*eff,AVERAGE(ARRAYFORMULA(FLOOR(base*modifier*SEQUENCE(16,1,85,1)/100)))*MIN(1,acc/100)),0)</f>
        <v/>
      </c>
      <c r="N300" s="4">
        <f>IFERROR(LET(mtype,XLOOKUP($D300,'Move Editor'!$B:$B,'Move Editor'!$C:$C,""),cat,XLOOKUP($D300,'Move Editor'!$B:$B,'Move Editor'!$D:$D,""),pow,XLOOKUP($D300,'Move Editor'!$B:$B,'Move Editor'!$E:$E,0),acc,XLOOKUP($D300,'Move Editor'!$B:$B,'Move Editor'!$F:$F,100),atk,IF(cat="Physical",FLOOR((FLOOR(((2*XLOOKUP(XLOOKUP($Q300,'Threshold Summary'!$Y:$Y,'Threshold Summary'!$K:$K,""),'Pokemon Editor'!$A:$A,'Pokemon Editor'!$F:$F,0)+31+FLOOR(XLOOKUP($Q300,'Threshold Summary'!$Y:$Y,'Threshold Summary'!$P:$P,"")/4))*XLOOKUP($Q300,'Threshold Summary'!$Y:$Y,'Threshold Summary'!$L:$L,""))/100)+5)*XLOOKUP(XLOOKUP($Q300,'Threshold Summary'!$Y:$Y,'Threshold Summary'!$M:$M,""),'Nature Editor'!$A:$A,'Nature Editor'!$B:$B,1)),FLOOR((FLOOR(((2*XLOOKUP(XLOOKUP($Q300,'Threshold Summary'!$Y:$Y,'Threshold Summary'!$K:$K,""),'Pokemon Editor'!$A:$A,'Pokemon Editor'!$H:$H,0)+31+FLOOR(XLOOKUP($Q300,'Threshold Summary'!$Y:$Y,'Threshold Summary'!$R:$R,"")/4))*XLOOKUP($Q300,'Threshold Summary'!$Y:$Y,'Threshold Summary'!$L:$L,""))/100)+5)*XLOOKUP(XLOOKUP($Q300,'Threshold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Editor'!$E:$E,1))),stab,IF(OR(mtype=XLOOKUP(XLOOKUP($Q300,'Threshold Summary'!$Y:$Y,'Threshold Summary'!$K:$K,""),'Pokemon Editor'!$A:$A,'Pokemon Editor'!$C:$C,""),mtype=XLOOKUP(XLOOKUP($Q300,'Threshold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Chart'!$B$1:$S$1,0)))),base,IF(OR(cat="Status",pow=0),0,FLOOR(FLOOR(FLOOR((2*XLOOKUP($Q300,'Threshold Summary'!$Y:$Y,'Threshold Summary'!$L:$L,"")/5+2)*pow*atk/def)/50)+2)),modifier,stab*eff,AVERAGE(ARRAYFORMULA(FLOOR(base*modifier*SEQUENCE(16,1,85,1)/100)))/(FLOOR(((2*XLOOKUP('Boss Editor'!$C$4,'Pokemon Editor'!$A:$A,'Pokemon Editor'!$E:$E,0)+31+FLOOR('Boss Editor'!$G$4/4))*'Boss Editor'!$D$4)/100)+'Boss Editor'!$D$4+10)),0)</f>
        <v/>
      </c>
      <c r="O300" s="3">
        <f>IF(N300&gt;=1,"OHKO",IF(N300&gt;=0.5,"2HKO",IF(N300&gt;=0.333,"3HKO",IF(N300&gt;=0.25,"4HKO","5HKO+"))))</f>
        <v/>
      </c>
      <c r="P300" s="3" t="inlineStr">
        <is>
          <t>Live from editable databases</t>
        </is>
      </c>
      <c r="Q300" s="3" t="inlineStr">
        <is>
          <t>SPECIES_STARLY</t>
        </is>
      </c>
      <c r="R300" s="3" t="n">
        <v>11</v>
      </c>
    </row>
    <row r="301">
      <c r="A301" s="3">
        <f>XLOOKUP($Q301,'Threshold Summary'!$Y:$Y,'Threshold Summary'!$A:$A,"")</f>
        <v/>
      </c>
      <c r="B301" s="3">
        <f>XLOOKUP($Q301,'Threshold Summary'!$Y:$Y,'Threshold Summary'!$M:$M,"")</f>
        <v/>
      </c>
      <c r="C301" s="3">
        <f>XLOOKUP($Q301,'Threshold Summary'!$Y:$Y,'Threshold Summary'!$N:$N,"")</f>
        <v/>
      </c>
      <c r="D301" s="3">
        <f>IFERROR(INDEX(FILTER('Learnset Editor'!$D$2:$D,'Learnset Editor'!$A$2:$A=XLOOKUP($Q301,'Threshold Summary'!$Y:$Y,'Threshold Summary'!$K:$K,""),'Learnset Editor'!$C$2:$C&lt;=XLOOKUP($Q301,'Threshold Summary'!$Y:$Y,'Threshold Summary'!$L:$L,"")),$R301),"")</f>
        <v/>
      </c>
      <c r="E301" s="3">
        <f>XLOOKUP(D301,'Move Editor'!$B:$B,'Move Editor'!$C:$C,"")</f>
        <v/>
      </c>
      <c r="F301" s="3">
        <f>XLOOKUP(D301,'Move Editor'!$B:$B,'Move Editor'!$D:$D,"")</f>
        <v/>
      </c>
      <c r="G301" s="3">
        <f>XLOOKUP(D301,'Move Editor'!$B:$B,'Move Editor'!$E:$E,0)</f>
        <v/>
      </c>
      <c r="H301" s="3">
        <f>XLOOKUP(D301,'Move Editor'!$B:$B,'Move Editor'!$F:$F,0)</f>
        <v/>
      </c>
      <c r="I301" s="3">
        <f>(INDEX('Type Chart'!$B:$S,MATCH(E301,'Type Chart'!$A:$A,0),MATCH(XLOOKUP('Boss Editor'!$C$4,'Pokemon Editor'!$A:$A,'Pokemon Editor'!$C:$C,""),'Type Chart'!$B$1:$S$1,0))*IF(XLOOKUP('Boss Editor'!$C$4,'Pokemon Editor'!$A:$A,'Pokemon Editor'!$D:$D,"")="",1,INDEX('Type Chart'!$B:$S,MATCH(E301,'Type Chart'!$A:$A,0),MATCH(XLOOKUP('Boss Editor'!$C$4,'Pokemon Editor'!$A:$A,'Pokemon Editor'!$D:$D,""),'Type Chart'!$B$1:$S$1,0))))</f>
        <v/>
      </c>
      <c r="J301" s="3">
        <f>IFERROR(LET(mtype,XLOOKUP($D301,'Move Editor'!$B:$B,'Move Editor'!$C:$C,""),cat,XLOOKUP($D301,'Move Editor'!$B:$B,'Move Editor'!$D:$D,""),pow,XLOOKUP($D301,'Move Editor'!$B:$B,'Move Editor'!$E:$E,0),acc,XLOOKUP($D301,'Move Editor'!$B:$B,'Move Editor'!$F:$F,100),atk,IF(cat="Physical",FLOOR((FLOOR(((2*XLOOKUP(XLOOKUP($Q301,'Threshold Summary'!$Y:$Y,'Threshold Summary'!$K:$K,""),'Pokemon Editor'!$A:$A,'Pokemon Editor'!$F:$F,0)+31+FLOOR(XLOOKUP($Q301,'Threshold Summary'!$Y:$Y,'Threshold Summary'!$P:$P,"")/4))*XLOOKUP($Q301,'Threshold Summary'!$Y:$Y,'Threshold Summary'!$L:$L,""))/100)+5)*XLOOKUP(XLOOKUP($Q301,'Threshold Summary'!$Y:$Y,'Threshold Summary'!$M:$M,""),'Nature Editor'!$A:$A,'Nature Editor'!$B:$B,1)),FLOOR((FLOOR(((2*XLOOKUP(XLOOKUP($Q301,'Threshold Summary'!$Y:$Y,'Threshold Summary'!$K:$K,""),'Pokemon Editor'!$A:$A,'Pokemon Editor'!$H:$H,0)+31+FLOOR(XLOOKUP($Q301,'Threshold Summary'!$Y:$Y,'Threshold Summary'!$R:$R,"")/4))*XLOOKUP($Q301,'Threshold Summary'!$Y:$Y,'Threshold Summary'!$L:$L,""))/100)+5)*XLOOKUP(XLOOKUP($Q301,'Threshold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Editor'!$E:$E,1))),stab,IF(OR(mtype=XLOOKUP(XLOOKUP($Q301,'Threshold Summary'!$Y:$Y,'Threshold Summary'!$K:$K,""),'Pokemon Editor'!$A:$A,'Pokemon Editor'!$C:$C,""),mtype=XLOOKUP(XLOOKUP($Q301,'Threshold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Chart'!$B$1:$S$1,0)))),base,IF(OR(cat="Status",pow=0),0,FLOOR(FLOOR(FLOOR((2*XLOOKUP($Q301,'Threshold Summary'!$Y:$Y,'Threshold Summary'!$L:$L,"")/5+2)*pow*atk/def)/50)+2)),modifier,stab*eff,FLOOR(base*modifier*0.85)),0)</f>
        <v/>
      </c>
      <c r="K301" s="3">
        <f>IFERROR(LET(mtype,XLOOKUP($D301,'Move Editor'!$B:$B,'Move Editor'!$C:$C,""),cat,XLOOKUP($D301,'Move Editor'!$B:$B,'Move Editor'!$D:$D,""),pow,XLOOKUP($D301,'Move Editor'!$B:$B,'Move Editor'!$E:$E,0),acc,XLOOKUP($D301,'Move Editor'!$B:$B,'Move Editor'!$F:$F,100),atk,IF(cat="Physical",FLOOR((FLOOR(((2*XLOOKUP(XLOOKUP($Q301,'Threshold Summary'!$Y:$Y,'Threshold Summary'!$K:$K,""),'Pokemon Editor'!$A:$A,'Pokemon Editor'!$F:$F,0)+31+FLOOR(XLOOKUP($Q301,'Threshold Summary'!$Y:$Y,'Threshold Summary'!$P:$P,"")/4))*XLOOKUP($Q301,'Threshold Summary'!$Y:$Y,'Threshold Summary'!$L:$L,""))/100)+5)*XLOOKUP(XLOOKUP($Q301,'Threshold Summary'!$Y:$Y,'Threshold Summary'!$M:$M,""),'Nature Editor'!$A:$A,'Nature Editor'!$B:$B,1)),FLOOR((FLOOR(((2*XLOOKUP(XLOOKUP($Q301,'Threshold Summary'!$Y:$Y,'Threshold Summary'!$K:$K,""),'Pokemon Editor'!$A:$A,'Pokemon Editor'!$H:$H,0)+31+FLOOR(XLOOKUP($Q301,'Threshold Summary'!$Y:$Y,'Threshold Summary'!$R:$R,"")/4))*XLOOKUP($Q301,'Threshold Summary'!$Y:$Y,'Threshold Summary'!$L:$L,""))/100)+5)*XLOOKUP(XLOOKUP($Q301,'Threshold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Editor'!$E:$E,1))),stab,IF(OR(mtype=XLOOKUP(XLOOKUP($Q301,'Threshold Summary'!$Y:$Y,'Threshold Summary'!$K:$K,""),'Pokemon Editor'!$A:$A,'Pokemon Editor'!$C:$C,""),mtype=XLOOKUP(XLOOKUP($Q301,'Threshold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Chart'!$B$1:$S$1,0)))),base,IF(OR(cat="Status",pow=0),0,FLOOR(FLOOR(FLOOR((2*XLOOKUP($Q301,'Threshold Summary'!$Y:$Y,'Threshold Summary'!$L:$L,"")/5+2)*pow*atk/def)/50)+2)),modifier,stab*eff,FLOOR(base*modifier)),0)</f>
        <v/>
      </c>
      <c r="L301" s="3">
        <f>IFERROR(LET(mtype,XLOOKUP($D301,'Move Editor'!$B:$B,'Move Editor'!$C:$C,""),cat,XLOOKUP($D301,'Move Editor'!$B:$B,'Move Editor'!$D:$D,""),pow,XLOOKUP($D301,'Move Editor'!$B:$B,'Move Editor'!$E:$E,0),acc,XLOOKUP($D301,'Move Editor'!$B:$B,'Move Editor'!$F:$F,100),atk,IF(cat="Physical",FLOOR((FLOOR(((2*XLOOKUP(XLOOKUP($Q301,'Threshold Summary'!$Y:$Y,'Threshold Summary'!$K:$K,""),'Pokemon Editor'!$A:$A,'Pokemon Editor'!$F:$F,0)+31+FLOOR(XLOOKUP($Q301,'Threshold Summary'!$Y:$Y,'Threshold Summary'!$P:$P,"")/4))*XLOOKUP($Q301,'Threshold Summary'!$Y:$Y,'Threshold Summary'!$L:$L,""))/100)+5)*XLOOKUP(XLOOKUP($Q301,'Threshold Summary'!$Y:$Y,'Threshold Summary'!$M:$M,""),'Nature Editor'!$A:$A,'Nature Editor'!$B:$B,1)),FLOOR((FLOOR(((2*XLOOKUP(XLOOKUP($Q301,'Threshold Summary'!$Y:$Y,'Threshold Summary'!$K:$K,""),'Pokemon Editor'!$A:$A,'Pokemon Editor'!$H:$H,0)+31+FLOOR(XLOOKUP($Q301,'Threshold Summary'!$Y:$Y,'Threshold Summary'!$R:$R,"")/4))*XLOOKUP($Q301,'Threshold Summary'!$Y:$Y,'Threshold Summary'!$L:$L,""))/100)+5)*XLOOKUP(XLOOKUP($Q301,'Threshold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Editor'!$E:$E,1))),stab,IF(OR(mtype=XLOOKUP(XLOOKUP($Q301,'Threshold Summary'!$Y:$Y,'Threshold Summary'!$K:$K,""),'Pokemon Editor'!$A:$A,'Pokemon Editor'!$C:$C,""),mtype=XLOOKUP(XLOOKUP($Q301,'Threshold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Chart'!$B$1:$S$1,0)))),base,IF(OR(cat="Status",pow=0),0,FLOOR(FLOOR(FLOOR((2*XLOOKUP($Q301,'Threshold Summary'!$Y:$Y,'Threshold Summary'!$L:$L,"")/5+2)*pow*atk/def)/50)+2)),modifier,stab*eff,AVERAGE(ARRAYFORMULA(FLOOR(base*modifier*SEQUENCE(16,1,85,1)/100)))),0)</f>
        <v/>
      </c>
      <c r="M301" s="3">
        <f>IFERROR(LET(mtype,XLOOKUP($D301,'Move Editor'!$B:$B,'Move Editor'!$C:$C,""),cat,XLOOKUP($D301,'Move Editor'!$B:$B,'Move Editor'!$D:$D,""),pow,XLOOKUP($D301,'Move Editor'!$B:$B,'Move Editor'!$E:$E,0),acc,XLOOKUP($D301,'Move Editor'!$B:$B,'Move Editor'!$F:$F,100),atk,IF(cat="Physical",FLOOR((FLOOR(((2*XLOOKUP(XLOOKUP($Q301,'Threshold Summary'!$Y:$Y,'Threshold Summary'!$K:$K,""),'Pokemon Editor'!$A:$A,'Pokemon Editor'!$F:$F,0)+31+FLOOR(XLOOKUP($Q301,'Threshold Summary'!$Y:$Y,'Threshold Summary'!$P:$P,"")/4))*XLOOKUP($Q301,'Threshold Summary'!$Y:$Y,'Threshold Summary'!$L:$L,""))/100)+5)*XLOOKUP(XLOOKUP($Q301,'Threshold Summary'!$Y:$Y,'Threshold Summary'!$M:$M,""),'Nature Editor'!$A:$A,'Nature Editor'!$B:$B,1)),FLOOR((FLOOR(((2*XLOOKUP(XLOOKUP($Q301,'Threshold Summary'!$Y:$Y,'Threshold Summary'!$K:$K,""),'Pokemon Editor'!$A:$A,'Pokemon Editor'!$H:$H,0)+31+FLOOR(XLOOKUP($Q301,'Threshold Summary'!$Y:$Y,'Threshold Summary'!$R:$R,"")/4))*XLOOKUP($Q301,'Threshold Summary'!$Y:$Y,'Threshold Summary'!$L:$L,""))/100)+5)*XLOOKUP(XLOOKUP($Q301,'Threshold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Editor'!$E:$E,1))),stab,IF(OR(mtype=XLOOKUP(XLOOKUP($Q301,'Threshold Summary'!$Y:$Y,'Threshold Summary'!$K:$K,""),'Pokemon Editor'!$A:$A,'Pokemon Editor'!$C:$C,""),mtype=XLOOKUP(XLOOKUP($Q301,'Threshold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Chart'!$B$1:$S$1,0)))),base,IF(OR(cat="Status",pow=0),0,FLOOR(FLOOR(FLOOR((2*XLOOKUP($Q301,'Threshold Summary'!$Y:$Y,'Threshold Summary'!$L:$L,"")/5+2)*pow*atk/def)/50)+2)),modifier,stab*eff,AVERAGE(ARRAYFORMULA(FLOOR(base*modifier*SEQUENCE(16,1,85,1)/100)))*MIN(1,acc/100)),0)</f>
        <v/>
      </c>
      <c r="N301" s="4">
        <f>IFERROR(LET(mtype,XLOOKUP($D301,'Move Editor'!$B:$B,'Move Editor'!$C:$C,""),cat,XLOOKUP($D301,'Move Editor'!$B:$B,'Move Editor'!$D:$D,""),pow,XLOOKUP($D301,'Move Editor'!$B:$B,'Move Editor'!$E:$E,0),acc,XLOOKUP($D301,'Move Editor'!$B:$B,'Move Editor'!$F:$F,100),atk,IF(cat="Physical",FLOOR((FLOOR(((2*XLOOKUP(XLOOKUP($Q301,'Threshold Summary'!$Y:$Y,'Threshold Summary'!$K:$K,""),'Pokemon Editor'!$A:$A,'Pokemon Editor'!$F:$F,0)+31+FLOOR(XLOOKUP($Q301,'Threshold Summary'!$Y:$Y,'Threshold Summary'!$P:$P,"")/4))*XLOOKUP($Q301,'Threshold Summary'!$Y:$Y,'Threshold Summary'!$L:$L,""))/100)+5)*XLOOKUP(XLOOKUP($Q301,'Threshold Summary'!$Y:$Y,'Threshold Summary'!$M:$M,""),'Nature Editor'!$A:$A,'Nature Editor'!$B:$B,1)),FLOOR((FLOOR(((2*XLOOKUP(XLOOKUP($Q301,'Threshold Summary'!$Y:$Y,'Threshold Summary'!$K:$K,""),'Pokemon Editor'!$A:$A,'Pokemon Editor'!$H:$H,0)+31+FLOOR(XLOOKUP($Q301,'Threshold Summary'!$Y:$Y,'Threshold Summary'!$R:$R,"")/4))*XLOOKUP($Q301,'Threshold Summary'!$Y:$Y,'Threshold Summary'!$L:$L,""))/100)+5)*XLOOKUP(XLOOKUP($Q301,'Threshold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Editor'!$E:$E,1))),stab,IF(OR(mtype=XLOOKUP(XLOOKUP($Q301,'Threshold Summary'!$Y:$Y,'Threshold Summary'!$K:$K,""),'Pokemon Editor'!$A:$A,'Pokemon Editor'!$C:$C,""),mtype=XLOOKUP(XLOOKUP($Q301,'Threshold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Chart'!$B$1:$S$1,0)))),base,IF(OR(cat="Status",pow=0),0,FLOOR(FLOOR(FLOOR((2*XLOOKUP($Q301,'Threshold Summary'!$Y:$Y,'Threshold Summary'!$L:$L,"")/5+2)*pow*atk/def)/50)+2)),modifier,stab*eff,AVERAGE(ARRAYFORMULA(FLOOR(base*modifier*SEQUENCE(16,1,85,1)/100)))/(FLOOR(((2*XLOOKUP('Boss Editor'!$C$4,'Pokemon Editor'!$A:$A,'Pokemon Editor'!$E:$E,0)+31+FLOOR('Boss Editor'!$G$4/4))*'Boss Editor'!$D$4)/100)+'Boss Editor'!$D$4+10)),0)</f>
        <v/>
      </c>
      <c r="O301" s="3">
        <f>IF(N301&gt;=1,"OHKO",IF(N301&gt;=0.5,"2HKO",IF(N301&gt;=0.333,"3HKO",IF(N301&gt;=0.25,"4HKO","5HKO+"))))</f>
        <v/>
      </c>
      <c r="P301" s="3" t="inlineStr">
        <is>
          <t>Live from editable databases</t>
        </is>
      </c>
      <c r="Q301" s="3" t="inlineStr">
        <is>
          <t>SPECIES_STARLY</t>
        </is>
      </c>
      <c r="R301" s="3" t="n">
        <v>12</v>
      </c>
    </row>
    <row r="302">
      <c r="A302" s="3">
        <f>XLOOKUP($Q302,'Threshold Summary'!$Y:$Y,'Threshold Summary'!$A:$A,"")</f>
        <v/>
      </c>
      <c r="B302" s="3">
        <f>XLOOKUP($Q302,'Threshold Summary'!$Y:$Y,'Threshold Summary'!$M:$M,"")</f>
        <v/>
      </c>
      <c r="C302" s="3">
        <f>XLOOKUP($Q302,'Threshold Summary'!$Y:$Y,'Threshold Summary'!$N:$N,"")</f>
        <v/>
      </c>
      <c r="D302" s="3">
        <f>IFERROR(INDEX(FILTER('Learnset Editor'!$D$2:$D,'Learnset Editor'!$A$2:$A=XLOOKUP($Q302,'Threshold Summary'!$Y:$Y,'Threshold Summary'!$K:$K,""),'Learnset Editor'!$C$2:$C&lt;=XLOOKUP($Q302,'Threshold Summary'!$Y:$Y,'Threshold Summary'!$L:$L,"")),$R302),"")</f>
        <v/>
      </c>
      <c r="E302" s="3">
        <f>XLOOKUP(D302,'Move Editor'!$B:$B,'Move Editor'!$C:$C,"")</f>
        <v/>
      </c>
      <c r="F302" s="3">
        <f>XLOOKUP(D302,'Move Editor'!$B:$B,'Move Editor'!$D:$D,"")</f>
        <v/>
      </c>
      <c r="G302" s="3">
        <f>XLOOKUP(D302,'Move Editor'!$B:$B,'Move Editor'!$E:$E,0)</f>
        <v/>
      </c>
      <c r="H302" s="3">
        <f>XLOOKUP(D302,'Move Editor'!$B:$B,'Move Editor'!$F:$F,0)</f>
        <v/>
      </c>
      <c r="I302" s="3">
        <f>(INDEX('Type Chart'!$B:$S,MATCH(E302,'Type Chart'!$A:$A,0),MATCH(XLOOKUP('Boss Editor'!$C$4,'Pokemon Editor'!$A:$A,'Pokemon Editor'!$C:$C,""),'Type Chart'!$B$1:$S$1,0))*IF(XLOOKUP('Boss Editor'!$C$4,'Pokemon Editor'!$A:$A,'Pokemon Editor'!$D:$D,"")="",1,INDEX('Type Chart'!$B:$S,MATCH(E302,'Type Chart'!$A:$A,0),MATCH(XLOOKUP('Boss Editor'!$C$4,'Pokemon Editor'!$A:$A,'Pokemon Editor'!$D:$D,""),'Type Chart'!$B$1:$S$1,0))))</f>
        <v/>
      </c>
      <c r="J302" s="3">
        <f>IFERROR(LET(mtype,XLOOKUP($D302,'Move Editor'!$B:$B,'Move Editor'!$C:$C,""),cat,XLOOKUP($D302,'Move Editor'!$B:$B,'Move Editor'!$D:$D,""),pow,XLOOKUP($D302,'Move Editor'!$B:$B,'Move Editor'!$E:$E,0),acc,XLOOKUP($D302,'Move Editor'!$B:$B,'Move Editor'!$F:$F,100),atk,IF(cat="Physical",FLOOR((FLOOR(((2*XLOOKUP(XLOOKUP($Q302,'Threshold Summary'!$Y:$Y,'Threshold Summary'!$K:$K,""),'Pokemon Editor'!$A:$A,'Pokemon Editor'!$F:$F,0)+31+FLOOR(XLOOKUP($Q302,'Threshold Summary'!$Y:$Y,'Threshold Summary'!$P:$P,"")/4))*XLOOKUP($Q302,'Threshold Summary'!$Y:$Y,'Threshold Summary'!$L:$L,""))/100)+5)*XLOOKUP(XLOOKUP($Q302,'Threshold Summary'!$Y:$Y,'Threshold Summary'!$M:$M,""),'Nature Editor'!$A:$A,'Nature Editor'!$B:$B,1)),FLOOR((FLOOR(((2*XLOOKUP(XLOOKUP($Q302,'Threshold Summary'!$Y:$Y,'Threshold Summary'!$K:$K,""),'Pokemon Editor'!$A:$A,'Pokemon Editor'!$H:$H,0)+31+FLOOR(XLOOKUP($Q302,'Threshold Summary'!$Y:$Y,'Threshold Summary'!$R:$R,"")/4))*XLOOKUP($Q302,'Threshold Summary'!$Y:$Y,'Threshold Summary'!$L:$L,""))/100)+5)*XLOOKUP(XLOOKUP($Q302,'Threshold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Editor'!$E:$E,1))),stab,IF(OR(mtype=XLOOKUP(XLOOKUP($Q302,'Threshold Summary'!$Y:$Y,'Threshold Summary'!$K:$K,""),'Pokemon Editor'!$A:$A,'Pokemon Editor'!$C:$C,""),mtype=XLOOKUP(XLOOKUP($Q302,'Threshold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Chart'!$B$1:$S$1,0)))),base,IF(OR(cat="Status",pow=0),0,FLOOR(FLOOR(FLOOR((2*XLOOKUP($Q302,'Threshold Summary'!$Y:$Y,'Threshold Summary'!$L:$L,"")/5+2)*pow*atk/def)/50)+2)),modifier,stab*eff,FLOOR(base*modifier*0.85)),0)</f>
        <v/>
      </c>
      <c r="K302" s="3">
        <f>IFERROR(LET(mtype,XLOOKUP($D302,'Move Editor'!$B:$B,'Move Editor'!$C:$C,""),cat,XLOOKUP($D302,'Move Editor'!$B:$B,'Move Editor'!$D:$D,""),pow,XLOOKUP($D302,'Move Editor'!$B:$B,'Move Editor'!$E:$E,0),acc,XLOOKUP($D302,'Move Editor'!$B:$B,'Move Editor'!$F:$F,100),atk,IF(cat="Physical",FLOOR((FLOOR(((2*XLOOKUP(XLOOKUP($Q302,'Threshold Summary'!$Y:$Y,'Threshold Summary'!$K:$K,""),'Pokemon Editor'!$A:$A,'Pokemon Editor'!$F:$F,0)+31+FLOOR(XLOOKUP($Q302,'Threshold Summary'!$Y:$Y,'Threshold Summary'!$P:$P,"")/4))*XLOOKUP($Q302,'Threshold Summary'!$Y:$Y,'Threshold Summary'!$L:$L,""))/100)+5)*XLOOKUP(XLOOKUP($Q302,'Threshold Summary'!$Y:$Y,'Threshold Summary'!$M:$M,""),'Nature Editor'!$A:$A,'Nature Editor'!$B:$B,1)),FLOOR((FLOOR(((2*XLOOKUP(XLOOKUP($Q302,'Threshold Summary'!$Y:$Y,'Threshold Summary'!$K:$K,""),'Pokemon Editor'!$A:$A,'Pokemon Editor'!$H:$H,0)+31+FLOOR(XLOOKUP($Q302,'Threshold Summary'!$Y:$Y,'Threshold Summary'!$R:$R,"")/4))*XLOOKUP($Q302,'Threshold Summary'!$Y:$Y,'Threshold Summary'!$L:$L,""))/100)+5)*XLOOKUP(XLOOKUP($Q302,'Threshold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Editor'!$E:$E,1))),stab,IF(OR(mtype=XLOOKUP(XLOOKUP($Q302,'Threshold Summary'!$Y:$Y,'Threshold Summary'!$K:$K,""),'Pokemon Editor'!$A:$A,'Pokemon Editor'!$C:$C,""),mtype=XLOOKUP(XLOOKUP($Q302,'Threshold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Chart'!$B$1:$S$1,0)))),base,IF(OR(cat="Status",pow=0),0,FLOOR(FLOOR(FLOOR((2*XLOOKUP($Q302,'Threshold Summary'!$Y:$Y,'Threshold Summary'!$L:$L,"")/5+2)*pow*atk/def)/50)+2)),modifier,stab*eff,FLOOR(base*modifier)),0)</f>
        <v/>
      </c>
      <c r="L302" s="3">
        <f>IFERROR(LET(mtype,XLOOKUP($D302,'Move Editor'!$B:$B,'Move Editor'!$C:$C,""),cat,XLOOKUP($D302,'Move Editor'!$B:$B,'Move Editor'!$D:$D,""),pow,XLOOKUP($D302,'Move Editor'!$B:$B,'Move Editor'!$E:$E,0),acc,XLOOKUP($D302,'Move Editor'!$B:$B,'Move Editor'!$F:$F,100),atk,IF(cat="Physical",FLOOR((FLOOR(((2*XLOOKUP(XLOOKUP($Q302,'Threshold Summary'!$Y:$Y,'Threshold Summary'!$K:$K,""),'Pokemon Editor'!$A:$A,'Pokemon Editor'!$F:$F,0)+31+FLOOR(XLOOKUP($Q302,'Threshold Summary'!$Y:$Y,'Threshold Summary'!$P:$P,"")/4))*XLOOKUP($Q302,'Threshold Summary'!$Y:$Y,'Threshold Summary'!$L:$L,""))/100)+5)*XLOOKUP(XLOOKUP($Q302,'Threshold Summary'!$Y:$Y,'Threshold Summary'!$M:$M,""),'Nature Editor'!$A:$A,'Nature Editor'!$B:$B,1)),FLOOR((FLOOR(((2*XLOOKUP(XLOOKUP($Q302,'Threshold Summary'!$Y:$Y,'Threshold Summary'!$K:$K,""),'Pokemon Editor'!$A:$A,'Pokemon Editor'!$H:$H,0)+31+FLOOR(XLOOKUP($Q302,'Threshold Summary'!$Y:$Y,'Threshold Summary'!$R:$R,"")/4))*XLOOKUP($Q302,'Threshold Summary'!$Y:$Y,'Threshold Summary'!$L:$L,""))/100)+5)*XLOOKUP(XLOOKUP($Q302,'Threshold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Editor'!$E:$E,1))),stab,IF(OR(mtype=XLOOKUP(XLOOKUP($Q302,'Threshold Summary'!$Y:$Y,'Threshold Summary'!$K:$K,""),'Pokemon Editor'!$A:$A,'Pokemon Editor'!$C:$C,""),mtype=XLOOKUP(XLOOKUP($Q302,'Threshold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Chart'!$B$1:$S$1,0)))),base,IF(OR(cat="Status",pow=0),0,FLOOR(FLOOR(FLOOR((2*XLOOKUP($Q302,'Threshold Summary'!$Y:$Y,'Threshold Summary'!$L:$L,"")/5+2)*pow*atk/def)/50)+2)),modifier,stab*eff,AVERAGE(ARRAYFORMULA(FLOOR(base*modifier*SEQUENCE(16,1,85,1)/100)))),0)</f>
        <v/>
      </c>
      <c r="M302" s="3">
        <f>IFERROR(LET(mtype,XLOOKUP($D302,'Move Editor'!$B:$B,'Move Editor'!$C:$C,""),cat,XLOOKUP($D302,'Move Editor'!$B:$B,'Move Editor'!$D:$D,""),pow,XLOOKUP($D302,'Move Editor'!$B:$B,'Move Editor'!$E:$E,0),acc,XLOOKUP($D302,'Move Editor'!$B:$B,'Move Editor'!$F:$F,100),atk,IF(cat="Physical",FLOOR((FLOOR(((2*XLOOKUP(XLOOKUP($Q302,'Threshold Summary'!$Y:$Y,'Threshold Summary'!$K:$K,""),'Pokemon Editor'!$A:$A,'Pokemon Editor'!$F:$F,0)+31+FLOOR(XLOOKUP($Q302,'Threshold Summary'!$Y:$Y,'Threshold Summary'!$P:$P,"")/4))*XLOOKUP($Q302,'Threshold Summary'!$Y:$Y,'Threshold Summary'!$L:$L,""))/100)+5)*XLOOKUP(XLOOKUP($Q302,'Threshold Summary'!$Y:$Y,'Threshold Summary'!$M:$M,""),'Nature Editor'!$A:$A,'Nature Editor'!$B:$B,1)),FLOOR((FLOOR(((2*XLOOKUP(XLOOKUP($Q302,'Threshold Summary'!$Y:$Y,'Threshold Summary'!$K:$K,""),'Pokemon Editor'!$A:$A,'Pokemon Editor'!$H:$H,0)+31+FLOOR(XLOOKUP($Q302,'Threshold Summary'!$Y:$Y,'Threshold Summary'!$R:$R,"")/4))*XLOOKUP($Q302,'Threshold Summary'!$Y:$Y,'Threshold Summary'!$L:$L,""))/100)+5)*XLOOKUP(XLOOKUP($Q302,'Threshold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Editor'!$E:$E,1))),stab,IF(OR(mtype=XLOOKUP(XLOOKUP($Q302,'Threshold Summary'!$Y:$Y,'Threshold Summary'!$K:$K,""),'Pokemon Editor'!$A:$A,'Pokemon Editor'!$C:$C,""),mtype=XLOOKUP(XLOOKUP($Q302,'Threshold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Chart'!$B$1:$S$1,0)))),base,IF(OR(cat="Status",pow=0),0,FLOOR(FLOOR(FLOOR((2*XLOOKUP($Q302,'Threshold Summary'!$Y:$Y,'Threshold Summary'!$L:$L,"")/5+2)*pow*atk/def)/50)+2)),modifier,stab*eff,AVERAGE(ARRAYFORMULA(FLOOR(base*modifier*SEQUENCE(16,1,85,1)/100)))*MIN(1,acc/100)),0)</f>
        <v/>
      </c>
      <c r="N302" s="4">
        <f>IFERROR(LET(mtype,XLOOKUP($D302,'Move Editor'!$B:$B,'Move Editor'!$C:$C,""),cat,XLOOKUP($D302,'Move Editor'!$B:$B,'Move Editor'!$D:$D,""),pow,XLOOKUP($D302,'Move Editor'!$B:$B,'Move Editor'!$E:$E,0),acc,XLOOKUP($D302,'Move Editor'!$B:$B,'Move Editor'!$F:$F,100),atk,IF(cat="Physical",FLOOR((FLOOR(((2*XLOOKUP(XLOOKUP($Q302,'Threshold Summary'!$Y:$Y,'Threshold Summary'!$K:$K,""),'Pokemon Editor'!$A:$A,'Pokemon Editor'!$F:$F,0)+31+FLOOR(XLOOKUP($Q302,'Threshold Summary'!$Y:$Y,'Threshold Summary'!$P:$P,"")/4))*XLOOKUP($Q302,'Threshold Summary'!$Y:$Y,'Threshold Summary'!$L:$L,""))/100)+5)*XLOOKUP(XLOOKUP($Q302,'Threshold Summary'!$Y:$Y,'Threshold Summary'!$M:$M,""),'Nature Editor'!$A:$A,'Nature Editor'!$B:$B,1)),FLOOR((FLOOR(((2*XLOOKUP(XLOOKUP($Q302,'Threshold Summary'!$Y:$Y,'Threshold Summary'!$K:$K,""),'Pokemon Editor'!$A:$A,'Pokemon Editor'!$H:$H,0)+31+FLOOR(XLOOKUP($Q302,'Threshold Summary'!$Y:$Y,'Threshold Summary'!$R:$R,"")/4))*XLOOKUP($Q302,'Threshold Summary'!$Y:$Y,'Threshold Summary'!$L:$L,""))/100)+5)*XLOOKUP(XLOOKUP($Q302,'Threshold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Editor'!$E:$E,1))),stab,IF(OR(mtype=XLOOKUP(XLOOKUP($Q302,'Threshold Summary'!$Y:$Y,'Threshold Summary'!$K:$K,""),'Pokemon Editor'!$A:$A,'Pokemon Editor'!$C:$C,""),mtype=XLOOKUP(XLOOKUP($Q302,'Threshold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Chart'!$B$1:$S$1,0)))),base,IF(OR(cat="Status",pow=0),0,FLOOR(FLOOR(FLOOR((2*XLOOKUP($Q302,'Threshold Summary'!$Y:$Y,'Threshold Summary'!$L:$L,"")/5+2)*pow*atk/def)/50)+2)),modifier,stab*eff,AVERAGE(ARRAYFORMULA(FLOOR(base*modifier*SEQUENCE(16,1,85,1)/100)))/(FLOOR(((2*XLOOKUP('Boss Editor'!$C$4,'Pokemon Editor'!$A:$A,'Pokemon Editor'!$E:$E,0)+31+FLOOR('Boss Editor'!$G$4/4))*'Boss Editor'!$D$4)/100)+'Boss Editor'!$D$4+10)),0)</f>
        <v/>
      </c>
      <c r="O302" s="3">
        <f>IF(N302&gt;=1,"OHKO",IF(N302&gt;=0.5,"2HKO",IF(N302&gt;=0.333,"3HKO",IF(N302&gt;=0.25,"4HKO","5HKO+"))))</f>
        <v/>
      </c>
      <c r="P302" s="3" t="inlineStr">
        <is>
          <t>Live from editable databases</t>
        </is>
      </c>
      <c r="Q302" s="3" t="inlineStr">
        <is>
          <t>SPECIES_STARLY</t>
        </is>
      </c>
      <c r="R302" s="3" t="n">
        <v>13</v>
      </c>
    </row>
    <row r="303">
      <c r="A303" s="3">
        <f>XLOOKUP($Q303,'Threshold Summary'!$Y:$Y,'Threshold Summary'!$A:$A,"")</f>
        <v/>
      </c>
      <c r="B303" s="3">
        <f>XLOOKUP($Q303,'Threshold Summary'!$Y:$Y,'Threshold Summary'!$M:$M,"")</f>
        <v/>
      </c>
      <c r="C303" s="3">
        <f>XLOOKUP($Q303,'Threshold Summary'!$Y:$Y,'Threshold Summary'!$N:$N,"")</f>
        <v/>
      </c>
      <c r="D303" s="3">
        <f>IFERROR(INDEX(FILTER('Learnset Editor'!$D$2:$D,'Learnset Editor'!$A$2:$A=XLOOKUP($Q303,'Threshold Summary'!$Y:$Y,'Threshold Summary'!$K:$K,""),'Learnset Editor'!$C$2:$C&lt;=XLOOKUP($Q303,'Threshold Summary'!$Y:$Y,'Threshold Summary'!$L:$L,"")),$R303),"")</f>
        <v/>
      </c>
      <c r="E303" s="3">
        <f>XLOOKUP(D303,'Move Editor'!$B:$B,'Move Editor'!$C:$C,"")</f>
        <v/>
      </c>
      <c r="F303" s="3">
        <f>XLOOKUP(D303,'Move Editor'!$B:$B,'Move Editor'!$D:$D,"")</f>
        <v/>
      </c>
      <c r="G303" s="3">
        <f>XLOOKUP(D303,'Move Editor'!$B:$B,'Move Editor'!$E:$E,0)</f>
        <v/>
      </c>
      <c r="H303" s="3">
        <f>XLOOKUP(D303,'Move Editor'!$B:$B,'Move Editor'!$F:$F,0)</f>
        <v/>
      </c>
      <c r="I303" s="3">
        <f>(INDEX('Type Chart'!$B:$S,MATCH(E303,'Type Chart'!$A:$A,0),MATCH(XLOOKUP('Boss Editor'!$C$4,'Pokemon Editor'!$A:$A,'Pokemon Editor'!$C:$C,""),'Type Chart'!$B$1:$S$1,0))*IF(XLOOKUP('Boss Editor'!$C$4,'Pokemon Editor'!$A:$A,'Pokemon Editor'!$D:$D,"")="",1,INDEX('Type Chart'!$B:$S,MATCH(E303,'Type Chart'!$A:$A,0),MATCH(XLOOKUP('Boss Editor'!$C$4,'Pokemon Editor'!$A:$A,'Pokemon Editor'!$D:$D,""),'Type Chart'!$B$1:$S$1,0))))</f>
        <v/>
      </c>
      <c r="J303" s="3">
        <f>IFERROR(LET(mtype,XLOOKUP($D303,'Move Editor'!$B:$B,'Move Editor'!$C:$C,""),cat,XLOOKUP($D303,'Move Editor'!$B:$B,'Move Editor'!$D:$D,""),pow,XLOOKUP($D303,'Move Editor'!$B:$B,'Move Editor'!$E:$E,0),acc,XLOOKUP($D303,'Move Editor'!$B:$B,'Move Editor'!$F:$F,100),atk,IF(cat="Physical",FLOOR((FLOOR(((2*XLOOKUP(XLOOKUP($Q303,'Threshold Summary'!$Y:$Y,'Threshold Summary'!$K:$K,""),'Pokemon Editor'!$A:$A,'Pokemon Editor'!$F:$F,0)+31+FLOOR(XLOOKUP($Q303,'Threshold Summary'!$Y:$Y,'Threshold Summary'!$P:$P,"")/4))*XLOOKUP($Q303,'Threshold Summary'!$Y:$Y,'Threshold Summary'!$L:$L,""))/100)+5)*XLOOKUP(XLOOKUP($Q303,'Threshold Summary'!$Y:$Y,'Threshold Summary'!$M:$M,""),'Nature Editor'!$A:$A,'Nature Editor'!$B:$B,1)),FLOOR((FLOOR(((2*XLOOKUP(XLOOKUP($Q303,'Threshold Summary'!$Y:$Y,'Threshold Summary'!$K:$K,""),'Pokemon Editor'!$A:$A,'Pokemon Editor'!$H:$H,0)+31+FLOOR(XLOOKUP($Q303,'Threshold Summary'!$Y:$Y,'Threshold Summary'!$R:$R,"")/4))*XLOOKUP($Q303,'Threshold Summary'!$Y:$Y,'Threshold Summary'!$L:$L,""))/100)+5)*XLOOKUP(XLOOKUP($Q303,'Threshold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Editor'!$E:$E,1))),stab,IF(OR(mtype=XLOOKUP(XLOOKUP($Q303,'Threshold Summary'!$Y:$Y,'Threshold Summary'!$K:$K,""),'Pokemon Editor'!$A:$A,'Pokemon Editor'!$C:$C,""),mtype=XLOOKUP(XLOOKUP($Q303,'Threshold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Chart'!$B$1:$S$1,0)))),base,IF(OR(cat="Status",pow=0),0,FLOOR(FLOOR(FLOOR((2*XLOOKUP($Q303,'Threshold Summary'!$Y:$Y,'Threshold Summary'!$L:$L,"")/5+2)*pow*atk/def)/50)+2)),modifier,stab*eff,FLOOR(base*modifier*0.85)),0)</f>
        <v/>
      </c>
      <c r="K303" s="3">
        <f>IFERROR(LET(mtype,XLOOKUP($D303,'Move Editor'!$B:$B,'Move Editor'!$C:$C,""),cat,XLOOKUP($D303,'Move Editor'!$B:$B,'Move Editor'!$D:$D,""),pow,XLOOKUP($D303,'Move Editor'!$B:$B,'Move Editor'!$E:$E,0),acc,XLOOKUP($D303,'Move Editor'!$B:$B,'Move Editor'!$F:$F,100),atk,IF(cat="Physical",FLOOR((FLOOR(((2*XLOOKUP(XLOOKUP($Q303,'Threshold Summary'!$Y:$Y,'Threshold Summary'!$K:$K,""),'Pokemon Editor'!$A:$A,'Pokemon Editor'!$F:$F,0)+31+FLOOR(XLOOKUP($Q303,'Threshold Summary'!$Y:$Y,'Threshold Summary'!$P:$P,"")/4))*XLOOKUP($Q303,'Threshold Summary'!$Y:$Y,'Threshold Summary'!$L:$L,""))/100)+5)*XLOOKUP(XLOOKUP($Q303,'Threshold Summary'!$Y:$Y,'Threshold Summary'!$M:$M,""),'Nature Editor'!$A:$A,'Nature Editor'!$B:$B,1)),FLOOR((FLOOR(((2*XLOOKUP(XLOOKUP($Q303,'Threshold Summary'!$Y:$Y,'Threshold Summary'!$K:$K,""),'Pokemon Editor'!$A:$A,'Pokemon Editor'!$H:$H,0)+31+FLOOR(XLOOKUP($Q303,'Threshold Summary'!$Y:$Y,'Threshold Summary'!$R:$R,"")/4))*XLOOKUP($Q303,'Threshold Summary'!$Y:$Y,'Threshold Summary'!$L:$L,""))/100)+5)*XLOOKUP(XLOOKUP($Q303,'Threshold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Editor'!$E:$E,1))),stab,IF(OR(mtype=XLOOKUP(XLOOKUP($Q303,'Threshold Summary'!$Y:$Y,'Threshold Summary'!$K:$K,""),'Pokemon Editor'!$A:$A,'Pokemon Editor'!$C:$C,""),mtype=XLOOKUP(XLOOKUP($Q303,'Threshold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Chart'!$B$1:$S$1,0)))),base,IF(OR(cat="Status",pow=0),0,FLOOR(FLOOR(FLOOR((2*XLOOKUP($Q303,'Threshold Summary'!$Y:$Y,'Threshold Summary'!$L:$L,"")/5+2)*pow*atk/def)/50)+2)),modifier,stab*eff,FLOOR(base*modifier)),0)</f>
        <v/>
      </c>
      <c r="L303" s="3">
        <f>IFERROR(LET(mtype,XLOOKUP($D303,'Move Editor'!$B:$B,'Move Editor'!$C:$C,""),cat,XLOOKUP($D303,'Move Editor'!$B:$B,'Move Editor'!$D:$D,""),pow,XLOOKUP($D303,'Move Editor'!$B:$B,'Move Editor'!$E:$E,0),acc,XLOOKUP($D303,'Move Editor'!$B:$B,'Move Editor'!$F:$F,100),atk,IF(cat="Physical",FLOOR((FLOOR(((2*XLOOKUP(XLOOKUP($Q303,'Threshold Summary'!$Y:$Y,'Threshold Summary'!$K:$K,""),'Pokemon Editor'!$A:$A,'Pokemon Editor'!$F:$F,0)+31+FLOOR(XLOOKUP($Q303,'Threshold Summary'!$Y:$Y,'Threshold Summary'!$P:$P,"")/4))*XLOOKUP($Q303,'Threshold Summary'!$Y:$Y,'Threshold Summary'!$L:$L,""))/100)+5)*XLOOKUP(XLOOKUP($Q303,'Threshold Summary'!$Y:$Y,'Threshold Summary'!$M:$M,""),'Nature Editor'!$A:$A,'Nature Editor'!$B:$B,1)),FLOOR((FLOOR(((2*XLOOKUP(XLOOKUP($Q303,'Threshold Summary'!$Y:$Y,'Threshold Summary'!$K:$K,""),'Pokemon Editor'!$A:$A,'Pokemon Editor'!$H:$H,0)+31+FLOOR(XLOOKUP($Q303,'Threshold Summary'!$Y:$Y,'Threshold Summary'!$R:$R,"")/4))*XLOOKUP($Q303,'Threshold Summary'!$Y:$Y,'Threshold Summary'!$L:$L,""))/100)+5)*XLOOKUP(XLOOKUP($Q303,'Threshold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Editor'!$E:$E,1))),stab,IF(OR(mtype=XLOOKUP(XLOOKUP($Q303,'Threshold Summary'!$Y:$Y,'Threshold Summary'!$K:$K,""),'Pokemon Editor'!$A:$A,'Pokemon Editor'!$C:$C,""),mtype=XLOOKUP(XLOOKUP($Q303,'Threshold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Chart'!$B$1:$S$1,0)))),base,IF(OR(cat="Status",pow=0),0,FLOOR(FLOOR(FLOOR((2*XLOOKUP($Q303,'Threshold Summary'!$Y:$Y,'Threshold Summary'!$L:$L,"")/5+2)*pow*atk/def)/50)+2)),modifier,stab*eff,AVERAGE(ARRAYFORMULA(FLOOR(base*modifier*SEQUENCE(16,1,85,1)/100)))),0)</f>
        <v/>
      </c>
      <c r="M303" s="3">
        <f>IFERROR(LET(mtype,XLOOKUP($D303,'Move Editor'!$B:$B,'Move Editor'!$C:$C,""),cat,XLOOKUP($D303,'Move Editor'!$B:$B,'Move Editor'!$D:$D,""),pow,XLOOKUP($D303,'Move Editor'!$B:$B,'Move Editor'!$E:$E,0),acc,XLOOKUP($D303,'Move Editor'!$B:$B,'Move Editor'!$F:$F,100),atk,IF(cat="Physical",FLOOR((FLOOR(((2*XLOOKUP(XLOOKUP($Q303,'Threshold Summary'!$Y:$Y,'Threshold Summary'!$K:$K,""),'Pokemon Editor'!$A:$A,'Pokemon Editor'!$F:$F,0)+31+FLOOR(XLOOKUP($Q303,'Threshold Summary'!$Y:$Y,'Threshold Summary'!$P:$P,"")/4))*XLOOKUP($Q303,'Threshold Summary'!$Y:$Y,'Threshold Summary'!$L:$L,""))/100)+5)*XLOOKUP(XLOOKUP($Q303,'Threshold Summary'!$Y:$Y,'Threshold Summary'!$M:$M,""),'Nature Editor'!$A:$A,'Nature Editor'!$B:$B,1)),FLOOR((FLOOR(((2*XLOOKUP(XLOOKUP($Q303,'Threshold Summary'!$Y:$Y,'Threshold Summary'!$K:$K,""),'Pokemon Editor'!$A:$A,'Pokemon Editor'!$H:$H,0)+31+FLOOR(XLOOKUP($Q303,'Threshold Summary'!$Y:$Y,'Threshold Summary'!$R:$R,"")/4))*XLOOKUP($Q303,'Threshold Summary'!$Y:$Y,'Threshold Summary'!$L:$L,""))/100)+5)*XLOOKUP(XLOOKUP($Q303,'Threshold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Editor'!$E:$E,1))),stab,IF(OR(mtype=XLOOKUP(XLOOKUP($Q303,'Threshold Summary'!$Y:$Y,'Threshold Summary'!$K:$K,""),'Pokemon Editor'!$A:$A,'Pokemon Editor'!$C:$C,""),mtype=XLOOKUP(XLOOKUP($Q303,'Threshold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Chart'!$B$1:$S$1,0)))),base,IF(OR(cat="Status",pow=0),0,FLOOR(FLOOR(FLOOR((2*XLOOKUP($Q303,'Threshold Summary'!$Y:$Y,'Threshold Summary'!$L:$L,"")/5+2)*pow*atk/def)/50)+2)),modifier,stab*eff,AVERAGE(ARRAYFORMULA(FLOOR(base*modifier*SEQUENCE(16,1,85,1)/100)))*MIN(1,acc/100)),0)</f>
        <v/>
      </c>
      <c r="N303" s="4">
        <f>IFERROR(LET(mtype,XLOOKUP($D303,'Move Editor'!$B:$B,'Move Editor'!$C:$C,""),cat,XLOOKUP($D303,'Move Editor'!$B:$B,'Move Editor'!$D:$D,""),pow,XLOOKUP($D303,'Move Editor'!$B:$B,'Move Editor'!$E:$E,0),acc,XLOOKUP($D303,'Move Editor'!$B:$B,'Move Editor'!$F:$F,100),atk,IF(cat="Physical",FLOOR((FLOOR(((2*XLOOKUP(XLOOKUP($Q303,'Threshold Summary'!$Y:$Y,'Threshold Summary'!$K:$K,""),'Pokemon Editor'!$A:$A,'Pokemon Editor'!$F:$F,0)+31+FLOOR(XLOOKUP($Q303,'Threshold Summary'!$Y:$Y,'Threshold Summary'!$P:$P,"")/4))*XLOOKUP($Q303,'Threshold Summary'!$Y:$Y,'Threshold Summary'!$L:$L,""))/100)+5)*XLOOKUP(XLOOKUP($Q303,'Threshold Summary'!$Y:$Y,'Threshold Summary'!$M:$M,""),'Nature Editor'!$A:$A,'Nature Editor'!$B:$B,1)),FLOOR((FLOOR(((2*XLOOKUP(XLOOKUP($Q303,'Threshold Summary'!$Y:$Y,'Threshold Summary'!$K:$K,""),'Pokemon Editor'!$A:$A,'Pokemon Editor'!$H:$H,0)+31+FLOOR(XLOOKUP($Q303,'Threshold Summary'!$Y:$Y,'Threshold Summary'!$R:$R,"")/4))*XLOOKUP($Q303,'Threshold Summary'!$Y:$Y,'Threshold Summary'!$L:$L,""))/100)+5)*XLOOKUP(XLOOKUP($Q303,'Threshold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Editor'!$E:$E,1))),stab,IF(OR(mtype=XLOOKUP(XLOOKUP($Q303,'Threshold Summary'!$Y:$Y,'Threshold Summary'!$K:$K,""),'Pokemon Editor'!$A:$A,'Pokemon Editor'!$C:$C,""),mtype=XLOOKUP(XLOOKUP($Q303,'Threshold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Chart'!$B$1:$S$1,0)))),base,IF(OR(cat="Status",pow=0),0,FLOOR(FLOOR(FLOOR((2*XLOOKUP($Q303,'Threshold Summary'!$Y:$Y,'Threshold Summary'!$L:$L,"")/5+2)*pow*atk/def)/50)+2)),modifier,stab*eff,AVERAGE(ARRAYFORMULA(FLOOR(base*modifier*SEQUENCE(16,1,85,1)/100)))/(FLOOR(((2*XLOOKUP('Boss Editor'!$C$4,'Pokemon Editor'!$A:$A,'Pokemon Editor'!$E:$E,0)+31+FLOOR('Boss Editor'!$G$4/4))*'Boss Editor'!$D$4)/100)+'Boss Editor'!$D$4+10)),0)</f>
        <v/>
      </c>
      <c r="O303" s="3">
        <f>IF(N303&gt;=1,"OHKO",IF(N303&gt;=0.5,"2HKO",IF(N303&gt;=0.333,"3HKO",IF(N303&gt;=0.25,"4HKO","5HKO+"))))</f>
        <v/>
      </c>
      <c r="P303" s="3" t="inlineStr">
        <is>
          <t>Live from editable databases</t>
        </is>
      </c>
      <c r="Q303" s="3" t="inlineStr">
        <is>
          <t>SPECIES_STARLY</t>
        </is>
      </c>
      <c r="R303" s="3" t="n">
        <v>14</v>
      </c>
    </row>
    <row r="304">
      <c r="A304" s="3">
        <f>XLOOKUP($Q304,'Threshold Summary'!$Y:$Y,'Threshold Summary'!$A:$A,"")</f>
        <v/>
      </c>
      <c r="B304" s="3">
        <f>XLOOKUP($Q304,'Threshold Summary'!$Y:$Y,'Threshold Summary'!$M:$M,"")</f>
        <v/>
      </c>
      <c r="C304" s="3">
        <f>XLOOKUP($Q304,'Threshold Summary'!$Y:$Y,'Threshold Summary'!$N:$N,"")</f>
        <v/>
      </c>
      <c r="D304" s="3">
        <f>IFERROR(INDEX(FILTER('Learnset Editor'!$D$2:$D,'Learnset Editor'!$A$2:$A=XLOOKUP($Q304,'Threshold Summary'!$Y:$Y,'Threshold Summary'!$K:$K,""),'Learnset Editor'!$C$2:$C&lt;=XLOOKUP($Q304,'Threshold Summary'!$Y:$Y,'Threshold Summary'!$L:$L,"")),$R304),"")</f>
        <v/>
      </c>
      <c r="E304" s="3">
        <f>XLOOKUP(D304,'Move Editor'!$B:$B,'Move Editor'!$C:$C,"")</f>
        <v/>
      </c>
      <c r="F304" s="3">
        <f>XLOOKUP(D304,'Move Editor'!$B:$B,'Move Editor'!$D:$D,"")</f>
        <v/>
      </c>
      <c r="G304" s="3">
        <f>XLOOKUP(D304,'Move Editor'!$B:$B,'Move Editor'!$E:$E,0)</f>
        <v/>
      </c>
      <c r="H304" s="3">
        <f>XLOOKUP(D304,'Move Editor'!$B:$B,'Move Editor'!$F:$F,0)</f>
        <v/>
      </c>
      <c r="I304" s="3">
        <f>(INDEX('Type Chart'!$B:$S,MATCH(E304,'Type Chart'!$A:$A,0),MATCH(XLOOKUP('Boss Editor'!$C$4,'Pokemon Editor'!$A:$A,'Pokemon Editor'!$C:$C,""),'Type Chart'!$B$1:$S$1,0))*IF(XLOOKUP('Boss Editor'!$C$4,'Pokemon Editor'!$A:$A,'Pokemon Editor'!$D:$D,"")="",1,INDEX('Type Chart'!$B:$S,MATCH(E304,'Type Chart'!$A:$A,0),MATCH(XLOOKUP('Boss Editor'!$C$4,'Pokemon Editor'!$A:$A,'Pokemon Editor'!$D:$D,""),'Type Chart'!$B$1:$S$1,0))))</f>
        <v/>
      </c>
      <c r="J304" s="3">
        <f>IFERROR(LET(mtype,XLOOKUP($D304,'Move Editor'!$B:$B,'Move Editor'!$C:$C,""),cat,XLOOKUP($D304,'Move Editor'!$B:$B,'Move Editor'!$D:$D,""),pow,XLOOKUP($D304,'Move Editor'!$B:$B,'Move Editor'!$E:$E,0),acc,XLOOKUP($D304,'Move Editor'!$B:$B,'Move Editor'!$F:$F,100),atk,IF(cat="Physical",FLOOR((FLOOR(((2*XLOOKUP(XLOOKUP($Q304,'Threshold Summary'!$Y:$Y,'Threshold Summary'!$K:$K,""),'Pokemon Editor'!$A:$A,'Pokemon Editor'!$F:$F,0)+31+FLOOR(XLOOKUP($Q304,'Threshold Summary'!$Y:$Y,'Threshold Summary'!$P:$P,"")/4))*XLOOKUP($Q304,'Threshold Summary'!$Y:$Y,'Threshold Summary'!$L:$L,""))/100)+5)*XLOOKUP(XLOOKUP($Q304,'Threshold Summary'!$Y:$Y,'Threshold Summary'!$M:$M,""),'Nature Editor'!$A:$A,'Nature Editor'!$B:$B,1)),FLOOR((FLOOR(((2*XLOOKUP(XLOOKUP($Q304,'Threshold Summary'!$Y:$Y,'Threshold Summary'!$K:$K,""),'Pokemon Editor'!$A:$A,'Pokemon Editor'!$H:$H,0)+31+FLOOR(XLOOKUP($Q304,'Threshold Summary'!$Y:$Y,'Threshold Summary'!$R:$R,"")/4))*XLOOKUP($Q304,'Threshold Summary'!$Y:$Y,'Threshold Summary'!$L:$L,""))/100)+5)*XLOOKUP(XLOOKUP($Q304,'Threshold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Editor'!$E:$E,1))),stab,IF(OR(mtype=XLOOKUP(XLOOKUP($Q304,'Threshold Summary'!$Y:$Y,'Threshold Summary'!$K:$K,""),'Pokemon Editor'!$A:$A,'Pokemon Editor'!$C:$C,""),mtype=XLOOKUP(XLOOKUP($Q304,'Threshold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Chart'!$B$1:$S$1,0)))),base,IF(OR(cat="Status",pow=0),0,FLOOR(FLOOR(FLOOR((2*XLOOKUP($Q304,'Threshold Summary'!$Y:$Y,'Threshold Summary'!$L:$L,"")/5+2)*pow*atk/def)/50)+2)),modifier,stab*eff,FLOOR(base*modifier*0.85)),0)</f>
        <v/>
      </c>
      <c r="K304" s="3">
        <f>IFERROR(LET(mtype,XLOOKUP($D304,'Move Editor'!$B:$B,'Move Editor'!$C:$C,""),cat,XLOOKUP($D304,'Move Editor'!$B:$B,'Move Editor'!$D:$D,""),pow,XLOOKUP($D304,'Move Editor'!$B:$B,'Move Editor'!$E:$E,0),acc,XLOOKUP($D304,'Move Editor'!$B:$B,'Move Editor'!$F:$F,100),atk,IF(cat="Physical",FLOOR((FLOOR(((2*XLOOKUP(XLOOKUP($Q304,'Threshold Summary'!$Y:$Y,'Threshold Summary'!$K:$K,""),'Pokemon Editor'!$A:$A,'Pokemon Editor'!$F:$F,0)+31+FLOOR(XLOOKUP($Q304,'Threshold Summary'!$Y:$Y,'Threshold Summary'!$P:$P,"")/4))*XLOOKUP($Q304,'Threshold Summary'!$Y:$Y,'Threshold Summary'!$L:$L,""))/100)+5)*XLOOKUP(XLOOKUP($Q304,'Threshold Summary'!$Y:$Y,'Threshold Summary'!$M:$M,""),'Nature Editor'!$A:$A,'Nature Editor'!$B:$B,1)),FLOOR((FLOOR(((2*XLOOKUP(XLOOKUP($Q304,'Threshold Summary'!$Y:$Y,'Threshold Summary'!$K:$K,""),'Pokemon Editor'!$A:$A,'Pokemon Editor'!$H:$H,0)+31+FLOOR(XLOOKUP($Q304,'Threshold Summary'!$Y:$Y,'Threshold Summary'!$R:$R,"")/4))*XLOOKUP($Q304,'Threshold Summary'!$Y:$Y,'Threshold Summary'!$L:$L,""))/100)+5)*XLOOKUP(XLOOKUP($Q304,'Threshold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Editor'!$E:$E,1))),stab,IF(OR(mtype=XLOOKUP(XLOOKUP($Q304,'Threshold Summary'!$Y:$Y,'Threshold Summary'!$K:$K,""),'Pokemon Editor'!$A:$A,'Pokemon Editor'!$C:$C,""),mtype=XLOOKUP(XLOOKUP($Q304,'Threshold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Chart'!$B$1:$S$1,0)))),base,IF(OR(cat="Status",pow=0),0,FLOOR(FLOOR(FLOOR((2*XLOOKUP($Q304,'Threshold Summary'!$Y:$Y,'Threshold Summary'!$L:$L,"")/5+2)*pow*atk/def)/50)+2)),modifier,stab*eff,FLOOR(base*modifier)),0)</f>
        <v/>
      </c>
      <c r="L304" s="3">
        <f>IFERROR(LET(mtype,XLOOKUP($D304,'Move Editor'!$B:$B,'Move Editor'!$C:$C,""),cat,XLOOKUP($D304,'Move Editor'!$B:$B,'Move Editor'!$D:$D,""),pow,XLOOKUP($D304,'Move Editor'!$B:$B,'Move Editor'!$E:$E,0),acc,XLOOKUP($D304,'Move Editor'!$B:$B,'Move Editor'!$F:$F,100),atk,IF(cat="Physical",FLOOR((FLOOR(((2*XLOOKUP(XLOOKUP($Q304,'Threshold Summary'!$Y:$Y,'Threshold Summary'!$K:$K,""),'Pokemon Editor'!$A:$A,'Pokemon Editor'!$F:$F,0)+31+FLOOR(XLOOKUP($Q304,'Threshold Summary'!$Y:$Y,'Threshold Summary'!$P:$P,"")/4))*XLOOKUP($Q304,'Threshold Summary'!$Y:$Y,'Threshold Summary'!$L:$L,""))/100)+5)*XLOOKUP(XLOOKUP($Q304,'Threshold Summary'!$Y:$Y,'Threshold Summary'!$M:$M,""),'Nature Editor'!$A:$A,'Nature Editor'!$B:$B,1)),FLOOR((FLOOR(((2*XLOOKUP(XLOOKUP($Q304,'Threshold Summary'!$Y:$Y,'Threshold Summary'!$K:$K,""),'Pokemon Editor'!$A:$A,'Pokemon Editor'!$H:$H,0)+31+FLOOR(XLOOKUP($Q304,'Threshold Summary'!$Y:$Y,'Threshold Summary'!$R:$R,"")/4))*XLOOKUP($Q304,'Threshold Summary'!$Y:$Y,'Threshold Summary'!$L:$L,""))/100)+5)*XLOOKUP(XLOOKUP($Q304,'Threshold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Editor'!$E:$E,1))),stab,IF(OR(mtype=XLOOKUP(XLOOKUP($Q304,'Threshold Summary'!$Y:$Y,'Threshold Summary'!$K:$K,""),'Pokemon Editor'!$A:$A,'Pokemon Editor'!$C:$C,""),mtype=XLOOKUP(XLOOKUP($Q304,'Threshold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Chart'!$B$1:$S$1,0)))),base,IF(OR(cat="Status",pow=0),0,FLOOR(FLOOR(FLOOR((2*XLOOKUP($Q304,'Threshold Summary'!$Y:$Y,'Threshold Summary'!$L:$L,"")/5+2)*pow*atk/def)/50)+2)),modifier,stab*eff,AVERAGE(ARRAYFORMULA(FLOOR(base*modifier*SEQUENCE(16,1,85,1)/100)))),0)</f>
        <v/>
      </c>
      <c r="M304" s="3">
        <f>IFERROR(LET(mtype,XLOOKUP($D304,'Move Editor'!$B:$B,'Move Editor'!$C:$C,""),cat,XLOOKUP($D304,'Move Editor'!$B:$B,'Move Editor'!$D:$D,""),pow,XLOOKUP($D304,'Move Editor'!$B:$B,'Move Editor'!$E:$E,0),acc,XLOOKUP($D304,'Move Editor'!$B:$B,'Move Editor'!$F:$F,100),atk,IF(cat="Physical",FLOOR((FLOOR(((2*XLOOKUP(XLOOKUP($Q304,'Threshold Summary'!$Y:$Y,'Threshold Summary'!$K:$K,""),'Pokemon Editor'!$A:$A,'Pokemon Editor'!$F:$F,0)+31+FLOOR(XLOOKUP($Q304,'Threshold Summary'!$Y:$Y,'Threshold Summary'!$P:$P,"")/4))*XLOOKUP($Q304,'Threshold Summary'!$Y:$Y,'Threshold Summary'!$L:$L,""))/100)+5)*XLOOKUP(XLOOKUP($Q304,'Threshold Summary'!$Y:$Y,'Threshold Summary'!$M:$M,""),'Nature Editor'!$A:$A,'Nature Editor'!$B:$B,1)),FLOOR((FLOOR(((2*XLOOKUP(XLOOKUP($Q304,'Threshold Summary'!$Y:$Y,'Threshold Summary'!$K:$K,""),'Pokemon Editor'!$A:$A,'Pokemon Editor'!$H:$H,0)+31+FLOOR(XLOOKUP($Q304,'Threshold Summary'!$Y:$Y,'Threshold Summary'!$R:$R,"")/4))*XLOOKUP($Q304,'Threshold Summary'!$Y:$Y,'Threshold Summary'!$L:$L,""))/100)+5)*XLOOKUP(XLOOKUP($Q304,'Threshold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Editor'!$E:$E,1))),stab,IF(OR(mtype=XLOOKUP(XLOOKUP($Q304,'Threshold Summary'!$Y:$Y,'Threshold Summary'!$K:$K,""),'Pokemon Editor'!$A:$A,'Pokemon Editor'!$C:$C,""),mtype=XLOOKUP(XLOOKUP($Q304,'Threshold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Chart'!$B$1:$S$1,0)))),base,IF(OR(cat="Status",pow=0),0,FLOOR(FLOOR(FLOOR((2*XLOOKUP($Q304,'Threshold Summary'!$Y:$Y,'Threshold Summary'!$L:$L,"")/5+2)*pow*atk/def)/50)+2)),modifier,stab*eff,AVERAGE(ARRAYFORMULA(FLOOR(base*modifier*SEQUENCE(16,1,85,1)/100)))*MIN(1,acc/100)),0)</f>
        <v/>
      </c>
      <c r="N304" s="4">
        <f>IFERROR(LET(mtype,XLOOKUP($D304,'Move Editor'!$B:$B,'Move Editor'!$C:$C,""),cat,XLOOKUP($D304,'Move Editor'!$B:$B,'Move Editor'!$D:$D,""),pow,XLOOKUP($D304,'Move Editor'!$B:$B,'Move Editor'!$E:$E,0),acc,XLOOKUP($D304,'Move Editor'!$B:$B,'Move Editor'!$F:$F,100),atk,IF(cat="Physical",FLOOR((FLOOR(((2*XLOOKUP(XLOOKUP($Q304,'Threshold Summary'!$Y:$Y,'Threshold Summary'!$K:$K,""),'Pokemon Editor'!$A:$A,'Pokemon Editor'!$F:$F,0)+31+FLOOR(XLOOKUP($Q304,'Threshold Summary'!$Y:$Y,'Threshold Summary'!$P:$P,"")/4))*XLOOKUP($Q304,'Threshold Summary'!$Y:$Y,'Threshold Summary'!$L:$L,""))/100)+5)*XLOOKUP(XLOOKUP($Q304,'Threshold Summary'!$Y:$Y,'Threshold Summary'!$M:$M,""),'Nature Editor'!$A:$A,'Nature Editor'!$B:$B,1)),FLOOR((FLOOR(((2*XLOOKUP(XLOOKUP($Q304,'Threshold Summary'!$Y:$Y,'Threshold Summary'!$K:$K,""),'Pokemon Editor'!$A:$A,'Pokemon Editor'!$H:$H,0)+31+FLOOR(XLOOKUP($Q304,'Threshold Summary'!$Y:$Y,'Threshold Summary'!$R:$R,"")/4))*XLOOKUP($Q304,'Threshold Summary'!$Y:$Y,'Threshold Summary'!$L:$L,""))/100)+5)*XLOOKUP(XLOOKUP($Q304,'Threshold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Editor'!$E:$E,1))),stab,IF(OR(mtype=XLOOKUP(XLOOKUP($Q304,'Threshold Summary'!$Y:$Y,'Threshold Summary'!$K:$K,""),'Pokemon Editor'!$A:$A,'Pokemon Editor'!$C:$C,""),mtype=XLOOKUP(XLOOKUP($Q304,'Threshold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Chart'!$B$1:$S$1,0)))),base,IF(OR(cat="Status",pow=0),0,FLOOR(FLOOR(FLOOR((2*XLOOKUP($Q304,'Threshold Summary'!$Y:$Y,'Threshold Summary'!$L:$L,"")/5+2)*pow*atk/def)/50)+2)),modifier,stab*eff,AVERAGE(ARRAYFORMULA(FLOOR(base*modifier*SEQUENCE(16,1,85,1)/100)))/(FLOOR(((2*XLOOKUP('Boss Editor'!$C$4,'Pokemon Editor'!$A:$A,'Pokemon Editor'!$E:$E,0)+31+FLOOR('Boss Editor'!$G$4/4))*'Boss Editor'!$D$4)/100)+'Boss Editor'!$D$4+10)),0)</f>
        <v/>
      </c>
      <c r="O304" s="3">
        <f>IF(N304&gt;=1,"OHKO",IF(N304&gt;=0.5,"2HKO",IF(N304&gt;=0.333,"3HKO",IF(N304&gt;=0.25,"4HKO","5HKO+"))))</f>
        <v/>
      </c>
      <c r="P304" s="3" t="inlineStr">
        <is>
          <t>Live from editable databases</t>
        </is>
      </c>
      <c r="Q304" s="3" t="inlineStr">
        <is>
          <t>SPECIES_STARLY</t>
        </is>
      </c>
      <c r="R304" s="3" t="n">
        <v>15</v>
      </c>
    </row>
    <row r="305">
      <c r="A305" s="3">
        <f>XLOOKUP($Q305,'Threshold Summary'!$Y:$Y,'Threshold Summary'!$A:$A,"")</f>
        <v/>
      </c>
      <c r="B305" s="3">
        <f>XLOOKUP($Q305,'Threshold Summary'!$Y:$Y,'Threshold Summary'!$M:$M,"")</f>
        <v/>
      </c>
      <c r="C305" s="3">
        <f>XLOOKUP($Q305,'Threshold Summary'!$Y:$Y,'Threshold Summary'!$N:$N,"")</f>
        <v/>
      </c>
      <c r="D305" s="3">
        <f>IFERROR(INDEX(FILTER('Learnset Editor'!$D$2:$D,'Learnset Editor'!$A$2:$A=XLOOKUP($Q305,'Threshold Summary'!$Y:$Y,'Threshold Summary'!$K:$K,""),'Learnset Editor'!$C$2:$C&lt;=XLOOKUP($Q305,'Threshold Summary'!$Y:$Y,'Threshold Summary'!$L:$L,"")),$R305),"")</f>
        <v/>
      </c>
      <c r="E305" s="3">
        <f>XLOOKUP(D305,'Move Editor'!$B:$B,'Move Editor'!$C:$C,"")</f>
        <v/>
      </c>
      <c r="F305" s="3">
        <f>XLOOKUP(D305,'Move Editor'!$B:$B,'Move Editor'!$D:$D,"")</f>
        <v/>
      </c>
      <c r="G305" s="3">
        <f>XLOOKUP(D305,'Move Editor'!$B:$B,'Move Editor'!$E:$E,0)</f>
        <v/>
      </c>
      <c r="H305" s="3">
        <f>XLOOKUP(D305,'Move Editor'!$B:$B,'Move Editor'!$F:$F,0)</f>
        <v/>
      </c>
      <c r="I305" s="3">
        <f>(INDEX('Type Chart'!$B:$S,MATCH(E305,'Type Chart'!$A:$A,0),MATCH(XLOOKUP('Boss Editor'!$C$4,'Pokemon Editor'!$A:$A,'Pokemon Editor'!$C:$C,""),'Type Chart'!$B$1:$S$1,0))*IF(XLOOKUP('Boss Editor'!$C$4,'Pokemon Editor'!$A:$A,'Pokemon Editor'!$D:$D,"")="",1,INDEX('Type Chart'!$B:$S,MATCH(E305,'Type Chart'!$A:$A,0),MATCH(XLOOKUP('Boss Editor'!$C$4,'Pokemon Editor'!$A:$A,'Pokemon Editor'!$D:$D,""),'Type Chart'!$B$1:$S$1,0))))</f>
        <v/>
      </c>
      <c r="J305" s="3">
        <f>IFERROR(LET(mtype,XLOOKUP($D305,'Move Editor'!$B:$B,'Move Editor'!$C:$C,""),cat,XLOOKUP($D305,'Move Editor'!$B:$B,'Move Editor'!$D:$D,""),pow,XLOOKUP($D305,'Move Editor'!$B:$B,'Move Editor'!$E:$E,0),acc,XLOOKUP($D305,'Move Editor'!$B:$B,'Move Editor'!$F:$F,100),atk,IF(cat="Physical",FLOOR((FLOOR(((2*XLOOKUP(XLOOKUP($Q305,'Threshold Summary'!$Y:$Y,'Threshold Summary'!$K:$K,""),'Pokemon Editor'!$A:$A,'Pokemon Editor'!$F:$F,0)+31+FLOOR(XLOOKUP($Q305,'Threshold Summary'!$Y:$Y,'Threshold Summary'!$P:$P,"")/4))*XLOOKUP($Q305,'Threshold Summary'!$Y:$Y,'Threshold Summary'!$L:$L,""))/100)+5)*XLOOKUP(XLOOKUP($Q305,'Threshold Summary'!$Y:$Y,'Threshold Summary'!$M:$M,""),'Nature Editor'!$A:$A,'Nature Editor'!$B:$B,1)),FLOOR((FLOOR(((2*XLOOKUP(XLOOKUP($Q305,'Threshold Summary'!$Y:$Y,'Threshold Summary'!$K:$K,""),'Pokemon Editor'!$A:$A,'Pokemon Editor'!$H:$H,0)+31+FLOOR(XLOOKUP($Q305,'Threshold Summary'!$Y:$Y,'Threshold Summary'!$R:$R,"")/4))*XLOOKUP($Q305,'Threshold Summary'!$Y:$Y,'Threshold Summary'!$L:$L,""))/100)+5)*XLOOKUP(XLOOKUP($Q305,'Threshold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Editor'!$E:$E,1))),stab,IF(OR(mtype=XLOOKUP(XLOOKUP($Q305,'Threshold Summary'!$Y:$Y,'Threshold Summary'!$K:$K,""),'Pokemon Editor'!$A:$A,'Pokemon Editor'!$C:$C,""),mtype=XLOOKUP(XLOOKUP($Q305,'Threshold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Chart'!$B$1:$S$1,0)))),base,IF(OR(cat="Status",pow=0),0,FLOOR(FLOOR(FLOOR((2*XLOOKUP($Q305,'Threshold Summary'!$Y:$Y,'Threshold Summary'!$L:$L,"")/5+2)*pow*atk/def)/50)+2)),modifier,stab*eff,FLOOR(base*modifier*0.85)),0)</f>
        <v/>
      </c>
      <c r="K305" s="3">
        <f>IFERROR(LET(mtype,XLOOKUP($D305,'Move Editor'!$B:$B,'Move Editor'!$C:$C,""),cat,XLOOKUP($D305,'Move Editor'!$B:$B,'Move Editor'!$D:$D,""),pow,XLOOKUP($D305,'Move Editor'!$B:$B,'Move Editor'!$E:$E,0),acc,XLOOKUP($D305,'Move Editor'!$B:$B,'Move Editor'!$F:$F,100),atk,IF(cat="Physical",FLOOR((FLOOR(((2*XLOOKUP(XLOOKUP($Q305,'Threshold Summary'!$Y:$Y,'Threshold Summary'!$K:$K,""),'Pokemon Editor'!$A:$A,'Pokemon Editor'!$F:$F,0)+31+FLOOR(XLOOKUP($Q305,'Threshold Summary'!$Y:$Y,'Threshold Summary'!$P:$P,"")/4))*XLOOKUP($Q305,'Threshold Summary'!$Y:$Y,'Threshold Summary'!$L:$L,""))/100)+5)*XLOOKUP(XLOOKUP($Q305,'Threshold Summary'!$Y:$Y,'Threshold Summary'!$M:$M,""),'Nature Editor'!$A:$A,'Nature Editor'!$B:$B,1)),FLOOR((FLOOR(((2*XLOOKUP(XLOOKUP($Q305,'Threshold Summary'!$Y:$Y,'Threshold Summary'!$K:$K,""),'Pokemon Editor'!$A:$A,'Pokemon Editor'!$H:$H,0)+31+FLOOR(XLOOKUP($Q305,'Threshold Summary'!$Y:$Y,'Threshold Summary'!$R:$R,"")/4))*XLOOKUP($Q305,'Threshold Summary'!$Y:$Y,'Threshold Summary'!$L:$L,""))/100)+5)*XLOOKUP(XLOOKUP($Q305,'Threshold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Editor'!$E:$E,1))),stab,IF(OR(mtype=XLOOKUP(XLOOKUP($Q305,'Threshold Summary'!$Y:$Y,'Threshold Summary'!$K:$K,""),'Pokemon Editor'!$A:$A,'Pokemon Editor'!$C:$C,""),mtype=XLOOKUP(XLOOKUP($Q305,'Threshold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Chart'!$B$1:$S$1,0)))),base,IF(OR(cat="Status",pow=0),0,FLOOR(FLOOR(FLOOR((2*XLOOKUP($Q305,'Threshold Summary'!$Y:$Y,'Threshold Summary'!$L:$L,"")/5+2)*pow*atk/def)/50)+2)),modifier,stab*eff,FLOOR(base*modifier)),0)</f>
        <v/>
      </c>
      <c r="L305" s="3">
        <f>IFERROR(LET(mtype,XLOOKUP($D305,'Move Editor'!$B:$B,'Move Editor'!$C:$C,""),cat,XLOOKUP($D305,'Move Editor'!$B:$B,'Move Editor'!$D:$D,""),pow,XLOOKUP($D305,'Move Editor'!$B:$B,'Move Editor'!$E:$E,0),acc,XLOOKUP($D305,'Move Editor'!$B:$B,'Move Editor'!$F:$F,100),atk,IF(cat="Physical",FLOOR((FLOOR(((2*XLOOKUP(XLOOKUP($Q305,'Threshold Summary'!$Y:$Y,'Threshold Summary'!$K:$K,""),'Pokemon Editor'!$A:$A,'Pokemon Editor'!$F:$F,0)+31+FLOOR(XLOOKUP($Q305,'Threshold Summary'!$Y:$Y,'Threshold Summary'!$P:$P,"")/4))*XLOOKUP($Q305,'Threshold Summary'!$Y:$Y,'Threshold Summary'!$L:$L,""))/100)+5)*XLOOKUP(XLOOKUP($Q305,'Threshold Summary'!$Y:$Y,'Threshold Summary'!$M:$M,""),'Nature Editor'!$A:$A,'Nature Editor'!$B:$B,1)),FLOOR((FLOOR(((2*XLOOKUP(XLOOKUP($Q305,'Threshold Summary'!$Y:$Y,'Threshold Summary'!$K:$K,""),'Pokemon Editor'!$A:$A,'Pokemon Editor'!$H:$H,0)+31+FLOOR(XLOOKUP($Q305,'Threshold Summary'!$Y:$Y,'Threshold Summary'!$R:$R,"")/4))*XLOOKUP($Q305,'Threshold Summary'!$Y:$Y,'Threshold Summary'!$L:$L,""))/100)+5)*XLOOKUP(XLOOKUP($Q305,'Threshold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Editor'!$E:$E,1))),stab,IF(OR(mtype=XLOOKUP(XLOOKUP($Q305,'Threshold Summary'!$Y:$Y,'Threshold Summary'!$K:$K,""),'Pokemon Editor'!$A:$A,'Pokemon Editor'!$C:$C,""),mtype=XLOOKUP(XLOOKUP($Q305,'Threshold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Chart'!$B$1:$S$1,0)))),base,IF(OR(cat="Status",pow=0),0,FLOOR(FLOOR(FLOOR((2*XLOOKUP($Q305,'Threshold Summary'!$Y:$Y,'Threshold Summary'!$L:$L,"")/5+2)*pow*atk/def)/50)+2)),modifier,stab*eff,AVERAGE(ARRAYFORMULA(FLOOR(base*modifier*SEQUENCE(16,1,85,1)/100)))),0)</f>
        <v/>
      </c>
      <c r="M305" s="3">
        <f>IFERROR(LET(mtype,XLOOKUP($D305,'Move Editor'!$B:$B,'Move Editor'!$C:$C,""),cat,XLOOKUP($D305,'Move Editor'!$B:$B,'Move Editor'!$D:$D,""),pow,XLOOKUP($D305,'Move Editor'!$B:$B,'Move Editor'!$E:$E,0),acc,XLOOKUP($D305,'Move Editor'!$B:$B,'Move Editor'!$F:$F,100),atk,IF(cat="Physical",FLOOR((FLOOR(((2*XLOOKUP(XLOOKUP($Q305,'Threshold Summary'!$Y:$Y,'Threshold Summary'!$K:$K,""),'Pokemon Editor'!$A:$A,'Pokemon Editor'!$F:$F,0)+31+FLOOR(XLOOKUP($Q305,'Threshold Summary'!$Y:$Y,'Threshold Summary'!$P:$P,"")/4))*XLOOKUP($Q305,'Threshold Summary'!$Y:$Y,'Threshold Summary'!$L:$L,""))/100)+5)*XLOOKUP(XLOOKUP($Q305,'Threshold Summary'!$Y:$Y,'Threshold Summary'!$M:$M,""),'Nature Editor'!$A:$A,'Nature Editor'!$B:$B,1)),FLOOR((FLOOR(((2*XLOOKUP(XLOOKUP($Q305,'Threshold Summary'!$Y:$Y,'Threshold Summary'!$K:$K,""),'Pokemon Editor'!$A:$A,'Pokemon Editor'!$H:$H,0)+31+FLOOR(XLOOKUP($Q305,'Threshold Summary'!$Y:$Y,'Threshold Summary'!$R:$R,"")/4))*XLOOKUP($Q305,'Threshold Summary'!$Y:$Y,'Threshold Summary'!$L:$L,""))/100)+5)*XLOOKUP(XLOOKUP($Q305,'Threshold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Editor'!$E:$E,1))),stab,IF(OR(mtype=XLOOKUP(XLOOKUP($Q305,'Threshold Summary'!$Y:$Y,'Threshold Summary'!$K:$K,""),'Pokemon Editor'!$A:$A,'Pokemon Editor'!$C:$C,""),mtype=XLOOKUP(XLOOKUP($Q305,'Threshold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Chart'!$B$1:$S$1,0)))),base,IF(OR(cat="Status",pow=0),0,FLOOR(FLOOR(FLOOR((2*XLOOKUP($Q305,'Threshold Summary'!$Y:$Y,'Threshold Summary'!$L:$L,"")/5+2)*pow*atk/def)/50)+2)),modifier,stab*eff,AVERAGE(ARRAYFORMULA(FLOOR(base*modifier*SEQUENCE(16,1,85,1)/100)))*MIN(1,acc/100)),0)</f>
        <v/>
      </c>
      <c r="N305" s="4">
        <f>IFERROR(LET(mtype,XLOOKUP($D305,'Move Editor'!$B:$B,'Move Editor'!$C:$C,""),cat,XLOOKUP($D305,'Move Editor'!$B:$B,'Move Editor'!$D:$D,""),pow,XLOOKUP($D305,'Move Editor'!$B:$B,'Move Editor'!$E:$E,0),acc,XLOOKUP($D305,'Move Editor'!$B:$B,'Move Editor'!$F:$F,100),atk,IF(cat="Physical",FLOOR((FLOOR(((2*XLOOKUP(XLOOKUP($Q305,'Threshold Summary'!$Y:$Y,'Threshold Summary'!$K:$K,""),'Pokemon Editor'!$A:$A,'Pokemon Editor'!$F:$F,0)+31+FLOOR(XLOOKUP($Q305,'Threshold Summary'!$Y:$Y,'Threshold Summary'!$P:$P,"")/4))*XLOOKUP($Q305,'Threshold Summary'!$Y:$Y,'Threshold Summary'!$L:$L,""))/100)+5)*XLOOKUP(XLOOKUP($Q305,'Threshold Summary'!$Y:$Y,'Threshold Summary'!$M:$M,""),'Nature Editor'!$A:$A,'Nature Editor'!$B:$B,1)),FLOOR((FLOOR(((2*XLOOKUP(XLOOKUP($Q305,'Threshold Summary'!$Y:$Y,'Threshold Summary'!$K:$K,""),'Pokemon Editor'!$A:$A,'Pokemon Editor'!$H:$H,0)+31+FLOOR(XLOOKUP($Q305,'Threshold Summary'!$Y:$Y,'Threshold Summary'!$R:$R,"")/4))*XLOOKUP($Q305,'Threshold Summary'!$Y:$Y,'Threshold Summary'!$L:$L,""))/100)+5)*XLOOKUP(XLOOKUP($Q305,'Threshold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Editor'!$E:$E,1))),stab,IF(OR(mtype=XLOOKUP(XLOOKUP($Q305,'Threshold Summary'!$Y:$Y,'Threshold Summary'!$K:$K,""),'Pokemon Editor'!$A:$A,'Pokemon Editor'!$C:$C,""),mtype=XLOOKUP(XLOOKUP($Q305,'Threshold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Chart'!$B$1:$S$1,0)))),base,IF(OR(cat="Status",pow=0),0,FLOOR(FLOOR(FLOOR((2*XLOOKUP($Q305,'Threshold Summary'!$Y:$Y,'Threshold Summary'!$L:$L,"")/5+2)*pow*atk/def)/50)+2)),modifier,stab*eff,AVERAGE(ARRAYFORMULA(FLOOR(base*modifier*SEQUENCE(16,1,85,1)/100)))/(FLOOR(((2*XLOOKUP('Boss Editor'!$C$4,'Pokemon Editor'!$A:$A,'Pokemon Editor'!$E:$E,0)+31+FLOOR('Boss Editor'!$G$4/4))*'Boss Editor'!$D$4)/100)+'Boss Editor'!$D$4+10)),0)</f>
        <v/>
      </c>
      <c r="O305" s="3">
        <f>IF(N305&gt;=1,"OHKO",IF(N305&gt;=0.5,"2HKO",IF(N305&gt;=0.333,"3HKO",IF(N305&gt;=0.25,"4HKO","5HKO+"))))</f>
        <v/>
      </c>
      <c r="P305" s="3" t="inlineStr">
        <is>
          <t>Live from editable databases</t>
        </is>
      </c>
      <c r="Q305" s="3" t="inlineStr">
        <is>
          <t>SPECIES_STARLY</t>
        </is>
      </c>
      <c r="R305" s="3" t="n">
        <v>16</v>
      </c>
    </row>
    <row r="306">
      <c r="A306" s="3">
        <f>XLOOKUP($Q306,'Threshold Summary'!$Y:$Y,'Threshold Summary'!$A:$A,"")</f>
        <v/>
      </c>
      <c r="B306" s="3">
        <f>XLOOKUP($Q306,'Threshold Summary'!$Y:$Y,'Threshold Summary'!$M:$M,"")</f>
        <v/>
      </c>
      <c r="C306" s="3">
        <f>XLOOKUP($Q306,'Threshold Summary'!$Y:$Y,'Threshold Summary'!$N:$N,"")</f>
        <v/>
      </c>
      <c r="D306" s="3">
        <f>IFERROR(INDEX(FILTER('Learnset Editor'!$D$2:$D,'Learnset Editor'!$A$2:$A=XLOOKUP($Q306,'Threshold Summary'!$Y:$Y,'Threshold Summary'!$K:$K,""),'Learnset Editor'!$C$2:$C&lt;=XLOOKUP($Q306,'Threshold Summary'!$Y:$Y,'Threshold Summary'!$L:$L,"")),$R306),"")</f>
        <v/>
      </c>
      <c r="E306" s="3">
        <f>XLOOKUP(D306,'Move Editor'!$B:$B,'Move Editor'!$C:$C,"")</f>
        <v/>
      </c>
      <c r="F306" s="3">
        <f>XLOOKUP(D306,'Move Editor'!$B:$B,'Move Editor'!$D:$D,"")</f>
        <v/>
      </c>
      <c r="G306" s="3">
        <f>XLOOKUP(D306,'Move Editor'!$B:$B,'Move Editor'!$E:$E,0)</f>
        <v/>
      </c>
      <c r="H306" s="3">
        <f>XLOOKUP(D306,'Move Editor'!$B:$B,'Move Editor'!$F:$F,0)</f>
        <v/>
      </c>
      <c r="I306" s="3">
        <f>(INDEX('Type Chart'!$B:$S,MATCH(E306,'Type Chart'!$A:$A,0),MATCH(XLOOKUP('Boss Editor'!$C$4,'Pokemon Editor'!$A:$A,'Pokemon Editor'!$C:$C,""),'Type Chart'!$B$1:$S$1,0))*IF(XLOOKUP('Boss Editor'!$C$4,'Pokemon Editor'!$A:$A,'Pokemon Editor'!$D:$D,"")="",1,INDEX('Type Chart'!$B:$S,MATCH(E306,'Type Chart'!$A:$A,0),MATCH(XLOOKUP('Boss Editor'!$C$4,'Pokemon Editor'!$A:$A,'Pokemon Editor'!$D:$D,""),'Type Chart'!$B$1:$S$1,0))))</f>
        <v/>
      </c>
      <c r="J306" s="3">
        <f>IFERROR(LET(mtype,XLOOKUP($D306,'Move Editor'!$B:$B,'Move Editor'!$C:$C,""),cat,XLOOKUP($D306,'Move Editor'!$B:$B,'Move Editor'!$D:$D,""),pow,XLOOKUP($D306,'Move Editor'!$B:$B,'Move Editor'!$E:$E,0),acc,XLOOKUP($D306,'Move Editor'!$B:$B,'Move Editor'!$F:$F,100),atk,IF(cat="Physical",FLOOR((FLOOR(((2*XLOOKUP(XLOOKUP($Q306,'Threshold Summary'!$Y:$Y,'Threshold Summary'!$K:$K,""),'Pokemon Editor'!$A:$A,'Pokemon Editor'!$F:$F,0)+31+FLOOR(XLOOKUP($Q306,'Threshold Summary'!$Y:$Y,'Threshold Summary'!$P:$P,"")/4))*XLOOKUP($Q306,'Threshold Summary'!$Y:$Y,'Threshold Summary'!$L:$L,""))/100)+5)*XLOOKUP(XLOOKUP($Q306,'Threshold Summary'!$Y:$Y,'Threshold Summary'!$M:$M,""),'Nature Editor'!$A:$A,'Nature Editor'!$B:$B,1)),FLOOR((FLOOR(((2*XLOOKUP(XLOOKUP($Q306,'Threshold Summary'!$Y:$Y,'Threshold Summary'!$K:$K,""),'Pokemon Editor'!$A:$A,'Pokemon Editor'!$H:$H,0)+31+FLOOR(XLOOKUP($Q306,'Threshold Summary'!$Y:$Y,'Threshold Summary'!$R:$R,"")/4))*XLOOKUP($Q306,'Threshold Summary'!$Y:$Y,'Threshold Summary'!$L:$L,""))/100)+5)*XLOOKUP(XLOOKUP($Q306,'Threshold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Editor'!$E:$E,1))),stab,IF(OR(mtype=XLOOKUP(XLOOKUP($Q306,'Threshold Summary'!$Y:$Y,'Threshold Summary'!$K:$K,""),'Pokemon Editor'!$A:$A,'Pokemon Editor'!$C:$C,""),mtype=XLOOKUP(XLOOKUP($Q306,'Threshold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Chart'!$B$1:$S$1,0)))),base,IF(OR(cat="Status",pow=0),0,FLOOR(FLOOR(FLOOR((2*XLOOKUP($Q306,'Threshold Summary'!$Y:$Y,'Threshold Summary'!$L:$L,"")/5+2)*pow*atk/def)/50)+2)),modifier,stab*eff,FLOOR(base*modifier*0.85)),0)</f>
        <v/>
      </c>
      <c r="K306" s="3">
        <f>IFERROR(LET(mtype,XLOOKUP($D306,'Move Editor'!$B:$B,'Move Editor'!$C:$C,""),cat,XLOOKUP($D306,'Move Editor'!$B:$B,'Move Editor'!$D:$D,""),pow,XLOOKUP($D306,'Move Editor'!$B:$B,'Move Editor'!$E:$E,0),acc,XLOOKUP($D306,'Move Editor'!$B:$B,'Move Editor'!$F:$F,100),atk,IF(cat="Physical",FLOOR((FLOOR(((2*XLOOKUP(XLOOKUP($Q306,'Threshold Summary'!$Y:$Y,'Threshold Summary'!$K:$K,""),'Pokemon Editor'!$A:$A,'Pokemon Editor'!$F:$F,0)+31+FLOOR(XLOOKUP($Q306,'Threshold Summary'!$Y:$Y,'Threshold Summary'!$P:$P,"")/4))*XLOOKUP($Q306,'Threshold Summary'!$Y:$Y,'Threshold Summary'!$L:$L,""))/100)+5)*XLOOKUP(XLOOKUP($Q306,'Threshold Summary'!$Y:$Y,'Threshold Summary'!$M:$M,""),'Nature Editor'!$A:$A,'Nature Editor'!$B:$B,1)),FLOOR((FLOOR(((2*XLOOKUP(XLOOKUP($Q306,'Threshold Summary'!$Y:$Y,'Threshold Summary'!$K:$K,""),'Pokemon Editor'!$A:$A,'Pokemon Editor'!$H:$H,0)+31+FLOOR(XLOOKUP($Q306,'Threshold Summary'!$Y:$Y,'Threshold Summary'!$R:$R,"")/4))*XLOOKUP($Q306,'Threshold Summary'!$Y:$Y,'Threshold Summary'!$L:$L,""))/100)+5)*XLOOKUP(XLOOKUP($Q306,'Threshold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Editor'!$E:$E,1))),stab,IF(OR(mtype=XLOOKUP(XLOOKUP($Q306,'Threshold Summary'!$Y:$Y,'Threshold Summary'!$K:$K,""),'Pokemon Editor'!$A:$A,'Pokemon Editor'!$C:$C,""),mtype=XLOOKUP(XLOOKUP($Q306,'Threshold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Chart'!$B$1:$S$1,0)))),base,IF(OR(cat="Status",pow=0),0,FLOOR(FLOOR(FLOOR((2*XLOOKUP($Q306,'Threshold Summary'!$Y:$Y,'Threshold Summary'!$L:$L,"")/5+2)*pow*atk/def)/50)+2)),modifier,stab*eff,FLOOR(base*modifier)),0)</f>
        <v/>
      </c>
      <c r="L306" s="3">
        <f>IFERROR(LET(mtype,XLOOKUP($D306,'Move Editor'!$B:$B,'Move Editor'!$C:$C,""),cat,XLOOKUP($D306,'Move Editor'!$B:$B,'Move Editor'!$D:$D,""),pow,XLOOKUP($D306,'Move Editor'!$B:$B,'Move Editor'!$E:$E,0),acc,XLOOKUP($D306,'Move Editor'!$B:$B,'Move Editor'!$F:$F,100),atk,IF(cat="Physical",FLOOR((FLOOR(((2*XLOOKUP(XLOOKUP($Q306,'Threshold Summary'!$Y:$Y,'Threshold Summary'!$K:$K,""),'Pokemon Editor'!$A:$A,'Pokemon Editor'!$F:$F,0)+31+FLOOR(XLOOKUP($Q306,'Threshold Summary'!$Y:$Y,'Threshold Summary'!$P:$P,"")/4))*XLOOKUP($Q306,'Threshold Summary'!$Y:$Y,'Threshold Summary'!$L:$L,""))/100)+5)*XLOOKUP(XLOOKUP($Q306,'Threshold Summary'!$Y:$Y,'Threshold Summary'!$M:$M,""),'Nature Editor'!$A:$A,'Nature Editor'!$B:$B,1)),FLOOR((FLOOR(((2*XLOOKUP(XLOOKUP($Q306,'Threshold Summary'!$Y:$Y,'Threshold Summary'!$K:$K,""),'Pokemon Editor'!$A:$A,'Pokemon Editor'!$H:$H,0)+31+FLOOR(XLOOKUP($Q306,'Threshold Summary'!$Y:$Y,'Threshold Summary'!$R:$R,"")/4))*XLOOKUP($Q306,'Threshold Summary'!$Y:$Y,'Threshold Summary'!$L:$L,""))/100)+5)*XLOOKUP(XLOOKUP($Q306,'Threshold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Editor'!$E:$E,1))),stab,IF(OR(mtype=XLOOKUP(XLOOKUP($Q306,'Threshold Summary'!$Y:$Y,'Threshold Summary'!$K:$K,""),'Pokemon Editor'!$A:$A,'Pokemon Editor'!$C:$C,""),mtype=XLOOKUP(XLOOKUP($Q306,'Threshold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Chart'!$B$1:$S$1,0)))),base,IF(OR(cat="Status",pow=0),0,FLOOR(FLOOR(FLOOR((2*XLOOKUP($Q306,'Threshold Summary'!$Y:$Y,'Threshold Summary'!$L:$L,"")/5+2)*pow*atk/def)/50)+2)),modifier,stab*eff,AVERAGE(ARRAYFORMULA(FLOOR(base*modifier*SEQUENCE(16,1,85,1)/100)))),0)</f>
        <v/>
      </c>
      <c r="M306" s="3">
        <f>IFERROR(LET(mtype,XLOOKUP($D306,'Move Editor'!$B:$B,'Move Editor'!$C:$C,""),cat,XLOOKUP($D306,'Move Editor'!$B:$B,'Move Editor'!$D:$D,""),pow,XLOOKUP($D306,'Move Editor'!$B:$B,'Move Editor'!$E:$E,0),acc,XLOOKUP($D306,'Move Editor'!$B:$B,'Move Editor'!$F:$F,100),atk,IF(cat="Physical",FLOOR((FLOOR(((2*XLOOKUP(XLOOKUP($Q306,'Threshold Summary'!$Y:$Y,'Threshold Summary'!$K:$K,""),'Pokemon Editor'!$A:$A,'Pokemon Editor'!$F:$F,0)+31+FLOOR(XLOOKUP($Q306,'Threshold Summary'!$Y:$Y,'Threshold Summary'!$P:$P,"")/4))*XLOOKUP($Q306,'Threshold Summary'!$Y:$Y,'Threshold Summary'!$L:$L,""))/100)+5)*XLOOKUP(XLOOKUP($Q306,'Threshold Summary'!$Y:$Y,'Threshold Summary'!$M:$M,""),'Nature Editor'!$A:$A,'Nature Editor'!$B:$B,1)),FLOOR((FLOOR(((2*XLOOKUP(XLOOKUP($Q306,'Threshold Summary'!$Y:$Y,'Threshold Summary'!$K:$K,""),'Pokemon Editor'!$A:$A,'Pokemon Editor'!$H:$H,0)+31+FLOOR(XLOOKUP($Q306,'Threshold Summary'!$Y:$Y,'Threshold Summary'!$R:$R,"")/4))*XLOOKUP($Q306,'Threshold Summary'!$Y:$Y,'Threshold Summary'!$L:$L,""))/100)+5)*XLOOKUP(XLOOKUP($Q306,'Threshold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Editor'!$E:$E,1))),stab,IF(OR(mtype=XLOOKUP(XLOOKUP($Q306,'Threshold Summary'!$Y:$Y,'Threshold Summary'!$K:$K,""),'Pokemon Editor'!$A:$A,'Pokemon Editor'!$C:$C,""),mtype=XLOOKUP(XLOOKUP($Q306,'Threshold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Chart'!$B$1:$S$1,0)))),base,IF(OR(cat="Status",pow=0),0,FLOOR(FLOOR(FLOOR((2*XLOOKUP($Q306,'Threshold Summary'!$Y:$Y,'Threshold Summary'!$L:$L,"")/5+2)*pow*atk/def)/50)+2)),modifier,stab*eff,AVERAGE(ARRAYFORMULA(FLOOR(base*modifier*SEQUENCE(16,1,85,1)/100)))*MIN(1,acc/100)),0)</f>
        <v/>
      </c>
      <c r="N306" s="4">
        <f>IFERROR(LET(mtype,XLOOKUP($D306,'Move Editor'!$B:$B,'Move Editor'!$C:$C,""),cat,XLOOKUP($D306,'Move Editor'!$B:$B,'Move Editor'!$D:$D,""),pow,XLOOKUP($D306,'Move Editor'!$B:$B,'Move Editor'!$E:$E,0),acc,XLOOKUP($D306,'Move Editor'!$B:$B,'Move Editor'!$F:$F,100),atk,IF(cat="Physical",FLOOR((FLOOR(((2*XLOOKUP(XLOOKUP($Q306,'Threshold Summary'!$Y:$Y,'Threshold Summary'!$K:$K,""),'Pokemon Editor'!$A:$A,'Pokemon Editor'!$F:$F,0)+31+FLOOR(XLOOKUP($Q306,'Threshold Summary'!$Y:$Y,'Threshold Summary'!$P:$P,"")/4))*XLOOKUP($Q306,'Threshold Summary'!$Y:$Y,'Threshold Summary'!$L:$L,""))/100)+5)*XLOOKUP(XLOOKUP($Q306,'Threshold Summary'!$Y:$Y,'Threshold Summary'!$M:$M,""),'Nature Editor'!$A:$A,'Nature Editor'!$B:$B,1)),FLOOR((FLOOR(((2*XLOOKUP(XLOOKUP($Q306,'Threshold Summary'!$Y:$Y,'Threshold Summary'!$K:$K,""),'Pokemon Editor'!$A:$A,'Pokemon Editor'!$H:$H,0)+31+FLOOR(XLOOKUP($Q306,'Threshold Summary'!$Y:$Y,'Threshold Summary'!$R:$R,"")/4))*XLOOKUP($Q306,'Threshold Summary'!$Y:$Y,'Threshold Summary'!$L:$L,""))/100)+5)*XLOOKUP(XLOOKUP($Q306,'Threshold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Editor'!$E:$E,1))),stab,IF(OR(mtype=XLOOKUP(XLOOKUP($Q306,'Threshold Summary'!$Y:$Y,'Threshold Summary'!$K:$K,""),'Pokemon Editor'!$A:$A,'Pokemon Editor'!$C:$C,""),mtype=XLOOKUP(XLOOKUP($Q306,'Threshold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Chart'!$B$1:$S$1,0)))),base,IF(OR(cat="Status",pow=0),0,FLOOR(FLOOR(FLOOR((2*XLOOKUP($Q306,'Threshold Summary'!$Y:$Y,'Threshold Summary'!$L:$L,"")/5+2)*pow*atk/def)/50)+2)),modifier,stab*eff,AVERAGE(ARRAYFORMULA(FLOOR(base*modifier*SEQUENCE(16,1,85,1)/100)))/(FLOOR(((2*XLOOKUP('Boss Editor'!$C$4,'Pokemon Editor'!$A:$A,'Pokemon Editor'!$E:$E,0)+31+FLOOR('Boss Editor'!$G$4/4))*'Boss Editor'!$D$4)/100)+'Boss Editor'!$D$4+10)),0)</f>
        <v/>
      </c>
      <c r="O306" s="3">
        <f>IF(N306&gt;=1,"OHKO",IF(N306&gt;=0.5,"2HKO",IF(N306&gt;=0.333,"3HKO",IF(N306&gt;=0.25,"4HKO","5HKO+"))))</f>
        <v/>
      </c>
      <c r="P306" s="3" t="inlineStr">
        <is>
          <t>Live from editable databases</t>
        </is>
      </c>
      <c r="Q306" s="3" t="inlineStr">
        <is>
          <t>SPECIES_STARLY</t>
        </is>
      </c>
      <c r="R306" s="3" t="n">
        <v>17</v>
      </c>
    </row>
    <row r="307">
      <c r="A307" s="3">
        <f>XLOOKUP($Q307,'Threshold Summary'!$Y:$Y,'Threshold Summary'!$A:$A,"")</f>
        <v/>
      </c>
      <c r="B307" s="3">
        <f>XLOOKUP($Q307,'Threshold Summary'!$Y:$Y,'Threshold Summary'!$M:$M,"")</f>
        <v/>
      </c>
      <c r="C307" s="3">
        <f>XLOOKUP($Q307,'Threshold Summary'!$Y:$Y,'Threshold Summary'!$N:$N,"")</f>
        <v/>
      </c>
      <c r="D307" s="3">
        <f>IFERROR(INDEX(FILTER('Learnset Editor'!$D$2:$D,'Learnset Editor'!$A$2:$A=XLOOKUP($Q307,'Threshold Summary'!$Y:$Y,'Threshold Summary'!$K:$K,""),'Learnset Editor'!$C$2:$C&lt;=XLOOKUP($Q307,'Threshold Summary'!$Y:$Y,'Threshold Summary'!$L:$L,"")),$R307),"")</f>
        <v/>
      </c>
      <c r="E307" s="3">
        <f>XLOOKUP(D307,'Move Editor'!$B:$B,'Move Editor'!$C:$C,"")</f>
        <v/>
      </c>
      <c r="F307" s="3">
        <f>XLOOKUP(D307,'Move Editor'!$B:$B,'Move Editor'!$D:$D,"")</f>
        <v/>
      </c>
      <c r="G307" s="3">
        <f>XLOOKUP(D307,'Move Editor'!$B:$B,'Move Editor'!$E:$E,0)</f>
        <v/>
      </c>
      <c r="H307" s="3">
        <f>XLOOKUP(D307,'Move Editor'!$B:$B,'Move Editor'!$F:$F,0)</f>
        <v/>
      </c>
      <c r="I307" s="3">
        <f>(INDEX('Type Chart'!$B:$S,MATCH(E307,'Type Chart'!$A:$A,0),MATCH(XLOOKUP('Boss Editor'!$C$4,'Pokemon Editor'!$A:$A,'Pokemon Editor'!$C:$C,""),'Type Chart'!$B$1:$S$1,0))*IF(XLOOKUP('Boss Editor'!$C$4,'Pokemon Editor'!$A:$A,'Pokemon Editor'!$D:$D,"")="",1,INDEX('Type Chart'!$B:$S,MATCH(E307,'Type Chart'!$A:$A,0),MATCH(XLOOKUP('Boss Editor'!$C$4,'Pokemon Editor'!$A:$A,'Pokemon Editor'!$D:$D,""),'Type Chart'!$B$1:$S$1,0))))</f>
        <v/>
      </c>
      <c r="J307" s="3">
        <f>IFERROR(LET(mtype,XLOOKUP($D307,'Move Editor'!$B:$B,'Move Editor'!$C:$C,""),cat,XLOOKUP($D307,'Move Editor'!$B:$B,'Move Editor'!$D:$D,""),pow,XLOOKUP($D307,'Move Editor'!$B:$B,'Move Editor'!$E:$E,0),acc,XLOOKUP($D307,'Move Editor'!$B:$B,'Move Editor'!$F:$F,100),atk,IF(cat="Physical",FLOOR((FLOOR(((2*XLOOKUP(XLOOKUP($Q307,'Threshold Summary'!$Y:$Y,'Threshold Summary'!$K:$K,""),'Pokemon Editor'!$A:$A,'Pokemon Editor'!$F:$F,0)+31+FLOOR(XLOOKUP($Q307,'Threshold Summary'!$Y:$Y,'Threshold Summary'!$P:$P,"")/4))*XLOOKUP($Q307,'Threshold Summary'!$Y:$Y,'Threshold Summary'!$L:$L,""))/100)+5)*XLOOKUP(XLOOKUP($Q307,'Threshold Summary'!$Y:$Y,'Threshold Summary'!$M:$M,""),'Nature Editor'!$A:$A,'Nature Editor'!$B:$B,1)),FLOOR((FLOOR(((2*XLOOKUP(XLOOKUP($Q307,'Threshold Summary'!$Y:$Y,'Threshold Summary'!$K:$K,""),'Pokemon Editor'!$A:$A,'Pokemon Editor'!$H:$H,0)+31+FLOOR(XLOOKUP($Q307,'Threshold Summary'!$Y:$Y,'Threshold Summary'!$R:$R,"")/4))*XLOOKUP($Q307,'Threshold Summary'!$Y:$Y,'Threshold Summary'!$L:$L,""))/100)+5)*XLOOKUP(XLOOKUP($Q307,'Threshold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Editor'!$E:$E,1))),stab,IF(OR(mtype=XLOOKUP(XLOOKUP($Q307,'Threshold Summary'!$Y:$Y,'Threshold Summary'!$K:$K,""),'Pokemon Editor'!$A:$A,'Pokemon Editor'!$C:$C,""),mtype=XLOOKUP(XLOOKUP($Q307,'Threshold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Chart'!$B$1:$S$1,0)))),base,IF(OR(cat="Status",pow=0),0,FLOOR(FLOOR(FLOOR((2*XLOOKUP($Q307,'Threshold Summary'!$Y:$Y,'Threshold Summary'!$L:$L,"")/5+2)*pow*atk/def)/50)+2)),modifier,stab*eff,FLOOR(base*modifier*0.85)),0)</f>
        <v/>
      </c>
      <c r="K307" s="3">
        <f>IFERROR(LET(mtype,XLOOKUP($D307,'Move Editor'!$B:$B,'Move Editor'!$C:$C,""),cat,XLOOKUP($D307,'Move Editor'!$B:$B,'Move Editor'!$D:$D,""),pow,XLOOKUP($D307,'Move Editor'!$B:$B,'Move Editor'!$E:$E,0),acc,XLOOKUP($D307,'Move Editor'!$B:$B,'Move Editor'!$F:$F,100),atk,IF(cat="Physical",FLOOR((FLOOR(((2*XLOOKUP(XLOOKUP($Q307,'Threshold Summary'!$Y:$Y,'Threshold Summary'!$K:$K,""),'Pokemon Editor'!$A:$A,'Pokemon Editor'!$F:$F,0)+31+FLOOR(XLOOKUP($Q307,'Threshold Summary'!$Y:$Y,'Threshold Summary'!$P:$P,"")/4))*XLOOKUP($Q307,'Threshold Summary'!$Y:$Y,'Threshold Summary'!$L:$L,""))/100)+5)*XLOOKUP(XLOOKUP($Q307,'Threshold Summary'!$Y:$Y,'Threshold Summary'!$M:$M,""),'Nature Editor'!$A:$A,'Nature Editor'!$B:$B,1)),FLOOR((FLOOR(((2*XLOOKUP(XLOOKUP($Q307,'Threshold Summary'!$Y:$Y,'Threshold Summary'!$K:$K,""),'Pokemon Editor'!$A:$A,'Pokemon Editor'!$H:$H,0)+31+FLOOR(XLOOKUP($Q307,'Threshold Summary'!$Y:$Y,'Threshold Summary'!$R:$R,"")/4))*XLOOKUP($Q307,'Threshold Summary'!$Y:$Y,'Threshold Summary'!$L:$L,""))/100)+5)*XLOOKUP(XLOOKUP($Q307,'Threshold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Editor'!$E:$E,1))),stab,IF(OR(mtype=XLOOKUP(XLOOKUP($Q307,'Threshold Summary'!$Y:$Y,'Threshold Summary'!$K:$K,""),'Pokemon Editor'!$A:$A,'Pokemon Editor'!$C:$C,""),mtype=XLOOKUP(XLOOKUP($Q307,'Threshold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Chart'!$B$1:$S$1,0)))),base,IF(OR(cat="Status",pow=0),0,FLOOR(FLOOR(FLOOR((2*XLOOKUP($Q307,'Threshold Summary'!$Y:$Y,'Threshold Summary'!$L:$L,"")/5+2)*pow*atk/def)/50)+2)),modifier,stab*eff,FLOOR(base*modifier)),0)</f>
        <v/>
      </c>
      <c r="L307" s="3">
        <f>IFERROR(LET(mtype,XLOOKUP($D307,'Move Editor'!$B:$B,'Move Editor'!$C:$C,""),cat,XLOOKUP($D307,'Move Editor'!$B:$B,'Move Editor'!$D:$D,""),pow,XLOOKUP($D307,'Move Editor'!$B:$B,'Move Editor'!$E:$E,0),acc,XLOOKUP($D307,'Move Editor'!$B:$B,'Move Editor'!$F:$F,100),atk,IF(cat="Physical",FLOOR((FLOOR(((2*XLOOKUP(XLOOKUP($Q307,'Threshold Summary'!$Y:$Y,'Threshold Summary'!$K:$K,""),'Pokemon Editor'!$A:$A,'Pokemon Editor'!$F:$F,0)+31+FLOOR(XLOOKUP($Q307,'Threshold Summary'!$Y:$Y,'Threshold Summary'!$P:$P,"")/4))*XLOOKUP($Q307,'Threshold Summary'!$Y:$Y,'Threshold Summary'!$L:$L,""))/100)+5)*XLOOKUP(XLOOKUP($Q307,'Threshold Summary'!$Y:$Y,'Threshold Summary'!$M:$M,""),'Nature Editor'!$A:$A,'Nature Editor'!$B:$B,1)),FLOOR((FLOOR(((2*XLOOKUP(XLOOKUP($Q307,'Threshold Summary'!$Y:$Y,'Threshold Summary'!$K:$K,""),'Pokemon Editor'!$A:$A,'Pokemon Editor'!$H:$H,0)+31+FLOOR(XLOOKUP($Q307,'Threshold Summary'!$Y:$Y,'Threshold Summary'!$R:$R,"")/4))*XLOOKUP($Q307,'Threshold Summary'!$Y:$Y,'Threshold Summary'!$L:$L,""))/100)+5)*XLOOKUP(XLOOKUP($Q307,'Threshold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Editor'!$E:$E,1))),stab,IF(OR(mtype=XLOOKUP(XLOOKUP($Q307,'Threshold Summary'!$Y:$Y,'Threshold Summary'!$K:$K,""),'Pokemon Editor'!$A:$A,'Pokemon Editor'!$C:$C,""),mtype=XLOOKUP(XLOOKUP($Q307,'Threshold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Chart'!$B$1:$S$1,0)))),base,IF(OR(cat="Status",pow=0),0,FLOOR(FLOOR(FLOOR((2*XLOOKUP($Q307,'Threshold Summary'!$Y:$Y,'Threshold Summary'!$L:$L,"")/5+2)*pow*atk/def)/50)+2)),modifier,stab*eff,AVERAGE(ARRAYFORMULA(FLOOR(base*modifier*SEQUENCE(16,1,85,1)/100)))),0)</f>
        <v/>
      </c>
      <c r="M307" s="3">
        <f>IFERROR(LET(mtype,XLOOKUP($D307,'Move Editor'!$B:$B,'Move Editor'!$C:$C,""),cat,XLOOKUP($D307,'Move Editor'!$B:$B,'Move Editor'!$D:$D,""),pow,XLOOKUP($D307,'Move Editor'!$B:$B,'Move Editor'!$E:$E,0),acc,XLOOKUP($D307,'Move Editor'!$B:$B,'Move Editor'!$F:$F,100),atk,IF(cat="Physical",FLOOR((FLOOR(((2*XLOOKUP(XLOOKUP($Q307,'Threshold Summary'!$Y:$Y,'Threshold Summary'!$K:$K,""),'Pokemon Editor'!$A:$A,'Pokemon Editor'!$F:$F,0)+31+FLOOR(XLOOKUP($Q307,'Threshold Summary'!$Y:$Y,'Threshold Summary'!$P:$P,"")/4))*XLOOKUP($Q307,'Threshold Summary'!$Y:$Y,'Threshold Summary'!$L:$L,""))/100)+5)*XLOOKUP(XLOOKUP($Q307,'Threshold Summary'!$Y:$Y,'Threshold Summary'!$M:$M,""),'Nature Editor'!$A:$A,'Nature Editor'!$B:$B,1)),FLOOR((FLOOR(((2*XLOOKUP(XLOOKUP($Q307,'Threshold Summary'!$Y:$Y,'Threshold Summary'!$K:$K,""),'Pokemon Editor'!$A:$A,'Pokemon Editor'!$H:$H,0)+31+FLOOR(XLOOKUP($Q307,'Threshold Summary'!$Y:$Y,'Threshold Summary'!$R:$R,"")/4))*XLOOKUP($Q307,'Threshold Summary'!$Y:$Y,'Threshold Summary'!$L:$L,""))/100)+5)*XLOOKUP(XLOOKUP($Q307,'Threshold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Editor'!$E:$E,1))),stab,IF(OR(mtype=XLOOKUP(XLOOKUP($Q307,'Threshold Summary'!$Y:$Y,'Threshold Summary'!$K:$K,""),'Pokemon Editor'!$A:$A,'Pokemon Editor'!$C:$C,""),mtype=XLOOKUP(XLOOKUP($Q307,'Threshold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Chart'!$B$1:$S$1,0)))),base,IF(OR(cat="Status",pow=0),0,FLOOR(FLOOR(FLOOR((2*XLOOKUP($Q307,'Threshold Summary'!$Y:$Y,'Threshold Summary'!$L:$L,"")/5+2)*pow*atk/def)/50)+2)),modifier,stab*eff,AVERAGE(ARRAYFORMULA(FLOOR(base*modifier*SEQUENCE(16,1,85,1)/100)))*MIN(1,acc/100)),0)</f>
        <v/>
      </c>
      <c r="N307" s="4">
        <f>IFERROR(LET(mtype,XLOOKUP($D307,'Move Editor'!$B:$B,'Move Editor'!$C:$C,""),cat,XLOOKUP($D307,'Move Editor'!$B:$B,'Move Editor'!$D:$D,""),pow,XLOOKUP($D307,'Move Editor'!$B:$B,'Move Editor'!$E:$E,0),acc,XLOOKUP($D307,'Move Editor'!$B:$B,'Move Editor'!$F:$F,100),atk,IF(cat="Physical",FLOOR((FLOOR(((2*XLOOKUP(XLOOKUP($Q307,'Threshold Summary'!$Y:$Y,'Threshold Summary'!$K:$K,""),'Pokemon Editor'!$A:$A,'Pokemon Editor'!$F:$F,0)+31+FLOOR(XLOOKUP($Q307,'Threshold Summary'!$Y:$Y,'Threshold Summary'!$P:$P,"")/4))*XLOOKUP($Q307,'Threshold Summary'!$Y:$Y,'Threshold Summary'!$L:$L,""))/100)+5)*XLOOKUP(XLOOKUP($Q307,'Threshold Summary'!$Y:$Y,'Threshold Summary'!$M:$M,""),'Nature Editor'!$A:$A,'Nature Editor'!$B:$B,1)),FLOOR((FLOOR(((2*XLOOKUP(XLOOKUP($Q307,'Threshold Summary'!$Y:$Y,'Threshold Summary'!$K:$K,""),'Pokemon Editor'!$A:$A,'Pokemon Editor'!$H:$H,0)+31+FLOOR(XLOOKUP($Q307,'Threshold Summary'!$Y:$Y,'Threshold Summary'!$R:$R,"")/4))*XLOOKUP($Q307,'Threshold Summary'!$Y:$Y,'Threshold Summary'!$L:$L,""))/100)+5)*XLOOKUP(XLOOKUP($Q307,'Threshold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Editor'!$E:$E,1))),stab,IF(OR(mtype=XLOOKUP(XLOOKUP($Q307,'Threshold Summary'!$Y:$Y,'Threshold Summary'!$K:$K,""),'Pokemon Editor'!$A:$A,'Pokemon Editor'!$C:$C,""),mtype=XLOOKUP(XLOOKUP($Q307,'Threshold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Chart'!$B$1:$S$1,0)))),base,IF(OR(cat="Status",pow=0),0,FLOOR(FLOOR(FLOOR((2*XLOOKUP($Q307,'Threshold Summary'!$Y:$Y,'Threshold Summary'!$L:$L,"")/5+2)*pow*atk/def)/50)+2)),modifier,stab*eff,AVERAGE(ARRAYFORMULA(FLOOR(base*modifier*SEQUENCE(16,1,85,1)/100)))/(FLOOR(((2*XLOOKUP('Boss Editor'!$C$4,'Pokemon Editor'!$A:$A,'Pokemon Editor'!$E:$E,0)+31+FLOOR('Boss Editor'!$G$4/4))*'Boss Editor'!$D$4)/100)+'Boss Editor'!$D$4+10)),0)</f>
        <v/>
      </c>
      <c r="O307" s="3">
        <f>IF(N307&gt;=1,"OHKO",IF(N307&gt;=0.5,"2HKO",IF(N307&gt;=0.333,"3HKO",IF(N307&gt;=0.25,"4HKO","5HKO+"))))</f>
        <v/>
      </c>
      <c r="P307" s="3" t="inlineStr">
        <is>
          <t>Live from editable databases</t>
        </is>
      </c>
      <c r="Q307" s="3" t="inlineStr">
        <is>
          <t>SPECIES_STARLY</t>
        </is>
      </c>
      <c r="R307" s="3" t="n">
        <v>18</v>
      </c>
    </row>
    <row r="308">
      <c r="A308" s="3">
        <f>XLOOKUP($Q308,'Threshold Summary'!$Y:$Y,'Threshold Summary'!$A:$A,"")</f>
        <v/>
      </c>
      <c r="B308" s="3">
        <f>XLOOKUP($Q308,'Threshold Summary'!$Y:$Y,'Threshold Summary'!$M:$M,"")</f>
        <v/>
      </c>
      <c r="C308" s="3">
        <f>XLOOKUP($Q308,'Threshold Summary'!$Y:$Y,'Threshold Summary'!$N:$N,"")</f>
        <v/>
      </c>
      <c r="D308" s="3">
        <f>IFERROR(INDEX(FILTER('Learnset Editor'!$D$2:$D,'Learnset Editor'!$A$2:$A=XLOOKUP($Q308,'Threshold Summary'!$Y:$Y,'Threshold Summary'!$K:$K,""),'Learnset Editor'!$C$2:$C&lt;=XLOOKUP($Q308,'Threshold Summary'!$Y:$Y,'Threshold Summary'!$L:$L,"")),$R308),"")</f>
        <v/>
      </c>
      <c r="E308" s="3">
        <f>XLOOKUP(D308,'Move Editor'!$B:$B,'Move Editor'!$C:$C,"")</f>
        <v/>
      </c>
      <c r="F308" s="3">
        <f>XLOOKUP(D308,'Move Editor'!$B:$B,'Move Editor'!$D:$D,"")</f>
        <v/>
      </c>
      <c r="G308" s="3">
        <f>XLOOKUP(D308,'Move Editor'!$B:$B,'Move Editor'!$E:$E,0)</f>
        <v/>
      </c>
      <c r="H308" s="3">
        <f>XLOOKUP(D308,'Move Editor'!$B:$B,'Move Editor'!$F:$F,0)</f>
        <v/>
      </c>
      <c r="I308" s="3">
        <f>(INDEX('Type Chart'!$B:$S,MATCH(E308,'Type Chart'!$A:$A,0),MATCH(XLOOKUP('Boss Editor'!$C$4,'Pokemon Editor'!$A:$A,'Pokemon Editor'!$C:$C,""),'Type Chart'!$B$1:$S$1,0))*IF(XLOOKUP('Boss Editor'!$C$4,'Pokemon Editor'!$A:$A,'Pokemon Editor'!$D:$D,"")="",1,INDEX('Type Chart'!$B:$S,MATCH(E308,'Type Chart'!$A:$A,0),MATCH(XLOOKUP('Boss Editor'!$C$4,'Pokemon Editor'!$A:$A,'Pokemon Editor'!$D:$D,""),'Type Chart'!$B$1:$S$1,0))))</f>
        <v/>
      </c>
      <c r="J308" s="3">
        <f>IFERROR(LET(mtype,XLOOKUP($D308,'Move Editor'!$B:$B,'Move Editor'!$C:$C,""),cat,XLOOKUP($D308,'Move Editor'!$B:$B,'Move Editor'!$D:$D,""),pow,XLOOKUP($D308,'Move Editor'!$B:$B,'Move Editor'!$E:$E,0),acc,XLOOKUP($D308,'Move Editor'!$B:$B,'Move Editor'!$F:$F,100),atk,IF(cat="Physical",FLOOR((FLOOR(((2*XLOOKUP(XLOOKUP($Q308,'Threshold Summary'!$Y:$Y,'Threshold Summary'!$K:$K,""),'Pokemon Editor'!$A:$A,'Pokemon Editor'!$F:$F,0)+31+FLOOR(XLOOKUP($Q308,'Threshold Summary'!$Y:$Y,'Threshold Summary'!$P:$P,"")/4))*XLOOKUP($Q308,'Threshold Summary'!$Y:$Y,'Threshold Summary'!$L:$L,""))/100)+5)*XLOOKUP(XLOOKUP($Q308,'Threshold Summary'!$Y:$Y,'Threshold Summary'!$M:$M,""),'Nature Editor'!$A:$A,'Nature Editor'!$B:$B,1)),FLOOR((FLOOR(((2*XLOOKUP(XLOOKUP($Q308,'Threshold Summary'!$Y:$Y,'Threshold Summary'!$K:$K,""),'Pokemon Editor'!$A:$A,'Pokemon Editor'!$H:$H,0)+31+FLOOR(XLOOKUP($Q308,'Threshold Summary'!$Y:$Y,'Threshold Summary'!$R:$R,"")/4))*XLOOKUP($Q308,'Threshold Summary'!$Y:$Y,'Threshold Summary'!$L:$L,""))/100)+5)*XLOOKUP(XLOOKUP($Q308,'Threshold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Editor'!$E:$E,1))),stab,IF(OR(mtype=XLOOKUP(XLOOKUP($Q308,'Threshold Summary'!$Y:$Y,'Threshold Summary'!$K:$K,""),'Pokemon Editor'!$A:$A,'Pokemon Editor'!$C:$C,""),mtype=XLOOKUP(XLOOKUP($Q308,'Threshold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Chart'!$B$1:$S$1,0)))),base,IF(OR(cat="Status",pow=0),0,FLOOR(FLOOR(FLOOR((2*XLOOKUP($Q308,'Threshold Summary'!$Y:$Y,'Threshold Summary'!$L:$L,"")/5+2)*pow*atk/def)/50)+2)),modifier,stab*eff,FLOOR(base*modifier*0.85)),0)</f>
        <v/>
      </c>
      <c r="K308" s="3">
        <f>IFERROR(LET(mtype,XLOOKUP($D308,'Move Editor'!$B:$B,'Move Editor'!$C:$C,""),cat,XLOOKUP($D308,'Move Editor'!$B:$B,'Move Editor'!$D:$D,""),pow,XLOOKUP($D308,'Move Editor'!$B:$B,'Move Editor'!$E:$E,0),acc,XLOOKUP($D308,'Move Editor'!$B:$B,'Move Editor'!$F:$F,100),atk,IF(cat="Physical",FLOOR((FLOOR(((2*XLOOKUP(XLOOKUP($Q308,'Threshold Summary'!$Y:$Y,'Threshold Summary'!$K:$K,""),'Pokemon Editor'!$A:$A,'Pokemon Editor'!$F:$F,0)+31+FLOOR(XLOOKUP($Q308,'Threshold Summary'!$Y:$Y,'Threshold Summary'!$P:$P,"")/4))*XLOOKUP($Q308,'Threshold Summary'!$Y:$Y,'Threshold Summary'!$L:$L,""))/100)+5)*XLOOKUP(XLOOKUP($Q308,'Threshold Summary'!$Y:$Y,'Threshold Summary'!$M:$M,""),'Nature Editor'!$A:$A,'Nature Editor'!$B:$B,1)),FLOOR((FLOOR(((2*XLOOKUP(XLOOKUP($Q308,'Threshold Summary'!$Y:$Y,'Threshold Summary'!$K:$K,""),'Pokemon Editor'!$A:$A,'Pokemon Editor'!$H:$H,0)+31+FLOOR(XLOOKUP($Q308,'Threshold Summary'!$Y:$Y,'Threshold Summary'!$R:$R,"")/4))*XLOOKUP($Q308,'Threshold Summary'!$Y:$Y,'Threshold Summary'!$L:$L,""))/100)+5)*XLOOKUP(XLOOKUP($Q308,'Threshold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Editor'!$E:$E,1))),stab,IF(OR(mtype=XLOOKUP(XLOOKUP($Q308,'Threshold Summary'!$Y:$Y,'Threshold Summary'!$K:$K,""),'Pokemon Editor'!$A:$A,'Pokemon Editor'!$C:$C,""),mtype=XLOOKUP(XLOOKUP($Q308,'Threshold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Chart'!$B$1:$S$1,0)))),base,IF(OR(cat="Status",pow=0),0,FLOOR(FLOOR(FLOOR((2*XLOOKUP($Q308,'Threshold Summary'!$Y:$Y,'Threshold Summary'!$L:$L,"")/5+2)*pow*atk/def)/50)+2)),modifier,stab*eff,FLOOR(base*modifier)),0)</f>
        <v/>
      </c>
      <c r="L308" s="3">
        <f>IFERROR(LET(mtype,XLOOKUP($D308,'Move Editor'!$B:$B,'Move Editor'!$C:$C,""),cat,XLOOKUP($D308,'Move Editor'!$B:$B,'Move Editor'!$D:$D,""),pow,XLOOKUP($D308,'Move Editor'!$B:$B,'Move Editor'!$E:$E,0),acc,XLOOKUP($D308,'Move Editor'!$B:$B,'Move Editor'!$F:$F,100),atk,IF(cat="Physical",FLOOR((FLOOR(((2*XLOOKUP(XLOOKUP($Q308,'Threshold Summary'!$Y:$Y,'Threshold Summary'!$K:$K,""),'Pokemon Editor'!$A:$A,'Pokemon Editor'!$F:$F,0)+31+FLOOR(XLOOKUP($Q308,'Threshold Summary'!$Y:$Y,'Threshold Summary'!$P:$P,"")/4))*XLOOKUP($Q308,'Threshold Summary'!$Y:$Y,'Threshold Summary'!$L:$L,""))/100)+5)*XLOOKUP(XLOOKUP($Q308,'Threshold Summary'!$Y:$Y,'Threshold Summary'!$M:$M,""),'Nature Editor'!$A:$A,'Nature Editor'!$B:$B,1)),FLOOR((FLOOR(((2*XLOOKUP(XLOOKUP($Q308,'Threshold Summary'!$Y:$Y,'Threshold Summary'!$K:$K,""),'Pokemon Editor'!$A:$A,'Pokemon Editor'!$H:$H,0)+31+FLOOR(XLOOKUP($Q308,'Threshold Summary'!$Y:$Y,'Threshold Summary'!$R:$R,"")/4))*XLOOKUP($Q308,'Threshold Summary'!$Y:$Y,'Threshold Summary'!$L:$L,""))/100)+5)*XLOOKUP(XLOOKUP($Q308,'Threshold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Editor'!$E:$E,1))),stab,IF(OR(mtype=XLOOKUP(XLOOKUP($Q308,'Threshold Summary'!$Y:$Y,'Threshold Summary'!$K:$K,""),'Pokemon Editor'!$A:$A,'Pokemon Editor'!$C:$C,""),mtype=XLOOKUP(XLOOKUP($Q308,'Threshold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Chart'!$B$1:$S$1,0)))),base,IF(OR(cat="Status",pow=0),0,FLOOR(FLOOR(FLOOR((2*XLOOKUP($Q308,'Threshold Summary'!$Y:$Y,'Threshold Summary'!$L:$L,"")/5+2)*pow*atk/def)/50)+2)),modifier,stab*eff,AVERAGE(ARRAYFORMULA(FLOOR(base*modifier*SEQUENCE(16,1,85,1)/100)))),0)</f>
        <v/>
      </c>
      <c r="M308" s="3">
        <f>IFERROR(LET(mtype,XLOOKUP($D308,'Move Editor'!$B:$B,'Move Editor'!$C:$C,""),cat,XLOOKUP($D308,'Move Editor'!$B:$B,'Move Editor'!$D:$D,""),pow,XLOOKUP($D308,'Move Editor'!$B:$B,'Move Editor'!$E:$E,0),acc,XLOOKUP($D308,'Move Editor'!$B:$B,'Move Editor'!$F:$F,100),atk,IF(cat="Physical",FLOOR((FLOOR(((2*XLOOKUP(XLOOKUP($Q308,'Threshold Summary'!$Y:$Y,'Threshold Summary'!$K:$K,""),'Pokemon Editor'!$A:$A,'Pokemon Editor'!$F:$F,0)+31+FLOOR(XLOOKUP($Q308,'Threshold Summary'!$Y:$Y,'Threshold Summary'!$P:$P,"")/4))*XLOOKUP($Q308,'Threshold Summary'!$Y:$Y,'Threshold Summary'!$L:$L,""))/100)+5)*XLOOKUP(XLOOKUP($Q308,'Threshold Summary'!$Y:$Y,'Threshold Summary'!$M:$M,""),'Nature Editor'!$A:$A,'Nature Editor'!$B:$B,1)),FLOOR((FLOOR(((2*XLOOKUP(XLOOKUP($Q308,'Threshold Summary'!$Y:$Y,'Threshold Summary'!$K:$K,""),'Pokemon Editor'!$A:$A,'Pokemon Editor'!$H:$H,0)+31+FLOOR(XLOOKUP($Q308,'Threshold Summary'!$Y:$Y,'Threshold Summary'!$R:$R,"")/4))*XLOOKUP($Q308,'Threshold Summary'!$Y:$Y,'Threshold Summary'!$L:$L,""))/100)+5)*XLOOKUP(XLOOKUP($Q308,'Threshold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Editor'!$E:$E,1))),stab,IF(OR(mtype=XLOOKUP(XLOOKUP($Q308,'Threshold Summary'!$Y:$Y,'Threshold Summary'!$K:$K,""),'Pokemon Editor'!$A:$A,'Pokemon Editor'!$C:$C,""),mtype=XLOOKUP(XLOOKUP($Q308,'Threshold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Chart'!$B$1:$S$1,0)))),base,IF(OR(cat="Status",pow=0),0,FLOOR(FLOOR(FLOOR((2*XLOOKUP($Q308,'Threshold Summary'!$Y:$Y,'Threshold Summary'!$L:$L,"")/5+2)*pow*atk/def)/50)+2)),modifier,stab*eff,AVERAGE(ARRAYFORMULA(FLOOR(base*modifier*SEQUENCE(16,1,85,1)/100)))*MIN(1,acc/100)),0)</f>
        <v/>
      </c>
      <c r="N308" s="4">
        <f>IFERROR(LET(mtype,XLOOKUP($D308,'Move Editor'!$B:$B,'Move Editor'!$C:$C,""),cat,XLOOKUP($D308,'Move Editor'!$B:$B,'Move Editor'!$D:$D,""),pow,XLOOKUP($D308,'Move Editor'!$B:$B,'Move Editor'!$E:$E,0),acc,XLOOKUP($D308,'Move Editor'!$B:$B,'Move Editor'!$F:$F,100),atk,IF(cat="Physical",FLOOR((FLOOR(((2*XLOOKUP(XLOOKUP($Q308,'Threshold Summary'!$Y:$Y,'Threshold Summary'!$K:$K,""),'Pokemon Editor'!$A:$A,'Pokemon Editor'!$F:$F,0)+31+FLOOR(XLOOKUP($Q308,'Threshold Summary'!$Y:$Y,'Threshold Summary'!$P:$P,"")/4))*XLOOKUP($Q308,'Threshold Summary'!$Y:$Y,'Threshold Summary'!$L:$L,""))/100)+5)*XLOOKUP(XLOOKUP($Q308,'Threshold Summary'!$Y:$Y,'Threshold Summary'!$M:$M,""),'Nature Editor'!$A:$A,'Nature Editor'!$B:$B,1)),FLOOR((FLOOR(((2*XLOOKUP(XLOOKUP($Q308,'Threshold Summary'!$Y:$Y,'Threshold Summary'!$K:$K,""),'Pokemon Editor'!$A:$A,'Pokemon Editor'!$H:$H,0)+31+FLOOR(XLOOKUP($Q308,'Threshold Summary'!$Y:$Y,'Threshold Summary'!$R:$R,"")/4))*XLOOKUP($Q308,'Threshold Summary'!$Y:$Y,'Threshold Summary'!$L:$L,""))/100)+5)*XLOOKUP(XLOOKUP($Q308,'Threshold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Editor'!$E:$E,1))),stab,IF(OR(mtype=XLOOKUP(XLOOKUP($Q308,'Threshold Summary'!$Y:$Y,'Threshold Summary'!$K:$K,""),'Pokemon Editor'!$A:$A,'Pokemon Editor'!$C:$C,""),mtype=XLOOKUP(XLOOKUP($Q308,'Threshold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Chart'!$B$1:$S$1,0)))),base,IF(OR(cat="Status",pow=0),0,FLOOR(FLOOR(FLOOR((2*XLOOKUP($Q308,'Threshold Summary'!$Y:$Y,'Threshold Summary'!$L:$L,"")/5+2)*pow*atk/def)/50)+2)),modifier,stab*eff,AVERAGE(ARRAYFORMULA(FLOOR(base*modifier*SEQUENCE(16,1,85,1)/100)))/(FLOOR(((2*XLOOKUP('Boss Editor'!$C$4,'Pokemon Editor'!$A:$A,'Pokemon Editor'!$E:$E,0)+31+FLOOR('Boss Editor'!$G$4/4))*'Boss Editor'!$D$4)/100)+'Boss Editor'!$D$4+10)),0)</f>
        <v/>
      </c>
      <c r="O308" s="3">
        <f>IF(N308&gt;=1,"OHKO",IF(N308&gt;=0.5,"2HKO",IF(N308&gt;=0.333,"3HKO",IF(N308&gt;=0.25,"4HKO","5HKO+"))))</f>
        <v/>
      </c>
      <c r="P308" s="3" t="inlineStr">
        <is>
          <t>Live from editable databases</t>
        </is>
      </c>
      <c r="Q308" s="3" t="inlineStr">
        <is>
          <t>SPECIES_STARLY</t>
        </is>
      </c>
      <c r="R308" s="3" t="n">
        <v>19</v>
      </c>
    </row>
    <row r="309">
      <c r="A309" s="3">
        <f>XLOOKUP($Q309,'Threshold Summary'!$Y:$Y,'Threshold Summary'!$A:$A,"")</f>
        <v/>
      </c>
      <c r="B309" s="3">
        <f>XLOOKUP($Q309,'Threshold Summary'!$Y:$Y,'Threshold Summary'!$M:$M,"")</f>
        <v/>
      </c>
      <c r="C309" s="3">
        <f>XLOOKUP($Q309,'Threshold Summary'!$Y:$Y,'Threshold Summary'!$N:$N,"")</f>
        <v/>
      </c>
      <c r="D309" s="3">
        <f>IFERROR(INDEX(FILTER('Learnset Editor'!$D$2:$D,'Learnset Editor'!$A$2:$A=XLOOKUP($Q309,'Threshold Summary'!$Y:$Y,'Threshold Summary'!$K:$K,""),'Learnset Editor'!$C$2:$C&lt;=XLOOKUP($Q309,'Threshold Summary'!$Y:$Y,'Threshold Summary'!$L:$L,"")),$R309),"")</f>
        <v/>
      </c>
      <c r="E309" s="3">
        <f>XLOOKUP(D309,'Move Editor'!$B:$B,'Move Editor'!$C:$C,"")</f>
        <v/>
      </c>
      <c r="F309" s="3">
        <f>XLOOKUP(D309,'Move Editor'!$B:$B,'Move Editor'!$D:$D,"")</f>
        <v/>
      </c>
      <c r="G309" s="3">
        <f>XLOOKUP(D309,'Move Editor'!$B:$B,'Move Editor'!$E:$E,0)</f>
        <v/>
      </c>
      <c r="H309" s="3">
        <f>XLOOKUP(D309,'Move Editor'!$B:$B,'Move Editor'!$F:$F,0)</f>
        <v/>
      </c>
      <c r="I309" s="3">
        <f>(INDEX('Type Chart'!$B:$S,MATCH(E309,'Type Chart'!$A:$A,0),MATCH(XLOOKUP('Boss Editor'!$C$4,'Pokemon Editor'!$A:$A,'Pokemon Editor'!$C:$C,""),'Type Chart'!$B$1:$S$1,0))*IF(XLOOKUP('Boss Editor'!$C$4,'Pokemon Editor'!$A:$A,'Pokemon Editor'!$D:$D,"")="",1,INDEX('Type Chart'!$B:$S,MATCH(E309,'Type Chart'!$A:$A,0),MATCH(XLOOKUP('Boss Editor'!$C$4,'Pokemon Editor'!$A:$A,'Pokemon Editor'!$D:$D,""),'Type Chart'!$B$1:$S$1,0))))</f>
        <v/>
      </c>
      <c r="J309" s="3">
        <f>IFERROR(LET(mtype,XLOOKUP($D309,'Move Editor'!$B:$B,'Move Editor'!$C:$C,""),cat,XLOOKUP($D309,'Move Editor'!$B:$B,'Move Editor'!$D:$D,""),pow,XLOOKUP($D309,'Move Editor'!$B:$B,'Move Editor'!$E:$E,0),acc,XLOOKUP($D309,'Move Editor'!$B:$B,'Move Editor'!$F:$F,100),atk,IF(cat="Physical",FLOOR((FLOOR(((2*XLOOKUP(XLOOKUP($Q309,'Threshold Summary'!$Y:$Y,'Threshold Summary'!$K:$K,""),'Pokemon Editor'!$A:$A,'Pokemon Editor'!$F:$F,0)+31+FLOOR(XLOOKUP($Q309,'Threshold Summary'!$Y:$Y,'Threshold Summary'!$P:$P,"")/4))*XLOOKUP($Q309,'Threshold Summary'!$Y:$Y,'Threshold Summary'!$L:$L,""))/100)+5)*XLOOKUP(XLOOKUP($Q309,'Threshold Summary'!$Y:$Y,'Threshold Summary'!$M:$M,""),'Nature Editor'!$A:$A,'Nature Editor'!$B:$B,1)),FLOOR((FLOOR(((2*XLOOKUP(XLOOKUP($Q309,'Threshold Summary'!$Y:$Y,'Threshold Summary'!$K:$K,""),'Pokemon Editor'!$A:$A,'Pokemon Editor'!$H:$H,0)+31+FLOOR(XLOOKUP($Q309,'Threshold Summary'!$Y:$Y,'Threshold Summary'!$R:$R,"")/4))*XLOOKUP($Q309,'Threshold Summary'!$Y:$Y,'Threshold Summary'!$L:$L,""))/100)+5)*XLOOKUP(XLOOKUP($Q309,'Threshold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Editor'!$E:$E,1))),stab,IF(OR(mtype=XLOOKUP(XLOOKUP($Q309,'Threshold Summary'!$Y:$Y,'Threshold Summary'!$K:$K,""),'Pokemon Editor'!$A:$A,'Pokemon Editor'!$C:$C,""),mtype=XLOOKUP(XLOOKUP($Q309,'Threshold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Chart'!$B$1:$S$1,0)))),base,IF(OR(cat="Status",pow=0),0,FLOOR(FLOOR(FLOOR((2*XLOOKUP($Q309,'Threshold Summary'!$Y:$Y,'Threshold Summary'!$L:$L,"")/5+2)*pow*atk/def)/50)+2)),modifier,stab*eff,FLOOR(base*modifier*0.85)),0)</f>
        <v/>
      </c>
      <c r="K309" s="3">
        <f>IFERROR(LET(mtype,XLOOKUP($D309,'Move Editor'!$B:$B,'Move Editor'!$C:$C,""),cat,XLOOKUP($D309,'Move Editor'!$B:$B,'Move Editor'!$D:$D,""),pow,XLOOKUP($D309,'Move Editor'!$B:$B,'Move Editor'!$E:$E,0),acc,XLOOKUP($D309,'Move Editor'!$B:$B,'Move Editor'!$F:$F,100),atk,IF(cat="Physical",FLOOR((FLOOR(((2*XLOOKUP(XLOOKUP($Q309,'Threshold Summary'!$Y:$Y,'Threshold Summary'!$K:$K,""),'Pokemon Editor'!$A:$A,'Pokemon Editor'!$F:$F,0)+31+FLOOR(XLOOKUP($Q309,'Threshold Summary'!$Y:$Y,'Threshold Summary'!$P:$P,"")/4))*XLOOKUP($Q309,'Threshold Summary'!$Y:$Y,'Threshold Summary'!$L:$L,""))/100)+5)*XLOOKUP(XLOOKUP($Q309,'Threshold Summary'!$Y:$Y,'Threshold Summary'!$M:$M,""),'Nature Editor'!$A:$A,'Nature Editor'!$B:$B,1)),FLOOR((FLOOR(((2*XLOOKUP(XLOOKUP($Q309,'Threshold Summary'!$Y:$Y,'Threshold Summary'!$K:$K,""),'Pokemon Editor'!$A:$A,'Pokemon Editor'!$H:$H,0)+31+FLOOR(XLOOKUP($Q309,'Threshold Summary'!$Y:$Y,'Threshold Summary'!$R:$R,"")/4))*XLOOKUP($Q309,'Threshold Summary'!$Y:$Y,'Threshold Summary'!$L:$L,""))/100)+5)*XLOOKUP(XLOOKUP($Q309,'Threshold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Editor'!$E:$E,1))),stab,IF(OR(mtype=XLOOKUP(XLOOKUP($Q309,'Threshold Summary'!$Y:$Y,'Threshold Summary'!$K:$K,""),'Pokemon Editor'!$A:$A,'Pokemon Editor'!$C:$C,""),mtype=XLOOKUP(XLOOKUP($Q309,'Threshold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Chart'!$B$1:$S$1,0)))),base,IF(OR(cat="Status",pow=0),0,FLOOR(FLOOR(FLOOR((2*XLOOKUP($Q309,'Threshold Summary'!$Y:$Y,'Threshold Summary'!$L:$L,"")/5+2)*pow*atk/def)/50)+2)),modifier,stab*eff,FLOOR(base*modifier)),0)</f>
        <v/>
      </c>
      <c r="L309" s="3">
        <f>IFERROR(LET(mtype,XLOOKUP($D309,'Move Editor'!$B:$B,'Move Editor'!$C:$C,""),cat,XLOOKUP($D309,'Move Editor'!$B:$B,'Move Editor'!$D:$D,""),pow,XLOOKUP($D309,'Move Editor'!$B:$B,'Move Editor'!$E:$E,0),acc,XLOOKUP($D309,'Move Editor'!$B:$B,'Move Editor'!$F:$F,100),atk,IF(cat="Physical",FLOOR((FLOOR(((2*XLOOKUP(XLOOKUP($Q309,'Threshold Summary'!$Y:$Y,'Threshold Summary'!$K:$K,""),'Pokemon Editor'!$A:$A,'Pokemon Editor'!$F:$F,0)+31+FLOOR(XLOOKUP($Q309,'Threshold Summary'!$Y:$Y,'Threshold Summary'!$P:$P,"")/4))*XLOOKUP($Q309,'Threshold Summary'!$Y:$Y,'Threshold Summary'!$L:$L,""))/100)+5)*XLOOKUP(XLOOKUP($Q309,'Threshold Summary'!$Y:$Y,'Threshold Summary'!$M:$M,""),'Nature Editor'!$A:$A,'Nature Editor'!$B:$B,1)),FLOOR((FLOOR(((2*XLOOKUP(XLOOKUP($Q309,'Threshold Summary'!$Y:$Y,'Threshold Summary'!$K:$K,""),'Pokemon Editor'!$A:$A,'Pokemon Editor'!$H:$H,0)+31+FLOOR(XLOOKUP($Q309,'Threshold Summary'!$Y:$Y,'Threshold Summary'!$R:$R,"")/4))*XLOOKUP($Q309,'Threshold Summary'!$Y:$Y,'Threshold Summary'!$L:$L,""))/100)+5)*XLOOKUP(XLOOKUP($Q309,'Threshold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Editor'!$E:$E,1))),stab,IF(OR(mtype=XLOOKUP(XLOOKUP($Q309,'Threshold Summary'!$Y:$Y,'Threshold Summary'!$K:$K,""),'Pokemon Editor'!$A:$A,'Pokemon Editor'!$C:$C,""),mtype=XLOOKUP(XLOOKUP($Q309,'Threshold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Chart'!$B$1:$S$1,0)))),base,IF(OR(cat="Status",pow=0),0,FLOOR(FLOOR(FLOOR((2*XLOOKUP($Q309,'Threshold Summary'!$Y:$Y,'Threshold Summary'!$L:$L,"")/5+2)*pow*atk/def)/50)+2)),modifier,stab*eff,AVERAGE(ARRAYFORMULA(FLOOR(base*modifier*SEQUENCE(16,1,85,1)/100)))),0)</f>
        <v/>
      </c>
      <c r="M309" s="3">
        <f>IFERROR(LET(mtype,XLOOKUP($D309,'Move Editor'!$B:$B,'Move Editor'!$C:$C,""),cat,XLOOKUP($D309,'Move Editor'!$B:$B,'Move Editor'!$D:$D,""),pow,XLOOKUP($D309,'Move Editor'!$B:$B,'Move Editor'!$E:$E,0),acc,XLOOKUP($D309,'Move Editor'!$B:$B,'Move Editor'!$F:$F,100),atk,IF(cat="Physical",FLOOR((FLOOR(((2*XLOOKUP(XLOOKUP($Q309,'Threshold Summary'!$Y:$Y,'Threshold Summary'!$K:$K,""),'Pokemon Editor'!$A:$A,'Pokemon Editor'!$F:$F,0)+31+FLOOR(XLOOKUP($Q309,'Threshold Summary'!$Y:$Y,'Threshold Summary'!$P:$P,"")/4))*XLOOKUP($Q309,'Threshold Summary'!$Y:$Y,'Threshold Summary'!$L:$L,""))/100)+5)*XLOOKUP(XLOOKUP($Q309,'Threshold Summary'!$Y:$Y,'Threshold Summary'!$M:$M,""),'Nature Editor'!$A:$A,'Nature Editor'!$B:$B,1)),FLOOR((FLOOR(((2*XLOOKUP(XLOOKUP($Q309,'Threshold Summary'!$Y:$Y,'Threshold Summary'!$K:$K,""),'Pokemon Editor'!$A:$A,'Pokemon Editor'!$H:$H,0)+31+FLOOR(XLOOKUP($Q309,'Threshold Summary'!$Y:$Y,'Threshold Summary'!$R:$R,"")/4))*XLOOKUP($Q309,'Threshold Summary'!$Y:$Y,'Threshold Summary'!$L:$L,""))/100)+5)*XLOOKUP(XLOOKUP($Q309,'Threshold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Editor'!$E:$E,1))),stab,IF(OR(mtype=XLOOKUP(XLOOKUP($Q309,'Threshold Summary'!$Y:$Y,'Threshold Summary'!$K:$K,""),'Pokemon Editor'!$A:$A,'Pokemon Editor'!$C:$C,""),mtype=XLOOKUP(XLOOKUP($Q309,'Threshold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Chart'!$B$1:$S$1,0)))),base,IF(OR(cat="Status",pow=0),0,FLOOR(FLOOR(FLOOR((2*XLOOKUP($Q309,'Threshold Summary'!$Y:$Y,'Threshold Summary'!$L:$L,"")/5+2)*pow*atk/def)/50)+2)),modifier,stab*eff,AVERAGE(ARRAYFORMULA(FLOOR(base*modifier*SEQUENCE(16,1,85,1)/100)))*MIN(1,acc/100)),0)</f>
        <v/>
      </c>
      <c r="N309" s="4">
        <f>IFERROR(LET(mtype,XLOOKUP($D309,'Move Editor'!$B:$B,'Move Editor'!$C:$C,""),cat,XLOOKUP($D309,'Move Editor'!$B:$B,'Move Editor'!$D:$D,""),pow,XLOOKUP($D309,'Move Editor'!$B:$B,'Move Editor'!$E:$E,0),acc,XLOOKUP($D309,'Move Editor'!$B:$B,'Move Editor'!$F:$F,100),atk,IF(cat="Physical",FLOOR((FLOOR(((2*XLOOKUP(XLOOKUP($Q309,'Threshold Summary'!$Y:$Y,'Threshold Summary'!$K:$K,""),'Pokemon Editor'!$A:$A,'Pokemon Editor'!$F:$F,0)+31+FLOOR(XLOOKUP($Q309,'Threshold Summary'!$Y:$Y,'Threshold Summary'!$P:$P,"")/4))*XLOOKUP($Q309,'Threshold Summary'!$Y:$Y,'Threshold Summary'!$L:$L,""))/100)+5)*XLOOKUP(XLOOKUP($Q309,'Threshold Summary'!$Y:$Y,'Threshold Summary'!$M:$M,""),'Nature Editor'!$A:$A,'Nature Editor'!$B:$B,1)),FLOOR((FLOOR(((2*XLOOKUP(XLOOKUP($Q309,'Threshold Summary'!$Y:$Y,'Threshold Summary'!$K:$K,""),'Pokemon Editor'!$A:$A,'Pokemon Editor'!$H:$H,0)+31+FLOOR(XLOOKUP($Q309,'Threshold Summary'!$Y:$Y,'Threshold Summary'!$R:$R,"")/4))*XLOOKUP($Q309,'Threshold Summary'!$Y:$Y,'Threshold Summary'!$L:$L,""))/100)+5)*XLOOKUP(XLOOKUP($Q309,'Threshold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Editor'!$E:$E,1))),stab,IF(OR(mtype=XLOOKUP(XLOOKUP($Q309,'Threshold Summary'!$Y:$Y,'Threshold Summary'!$K:$K,""),'Pokemon Editor'!$A:$A,'Pokemon Editor'!$C:$C,""),mtype=XLOOKUP(XLOOKUP($Q309,'Threshold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Chart'!$B$1:$S$1,0)))),base,IF(OR(cat="Status",pow=0),0,FLOOR(FLOOR(FLOOR((2*XLOOKUP($Q309,'Threshold Summary'!$Y:$Y,'Threshold Summary'!$L:$L,"")/5+2)*pow*atk/def)/50)+2)),modifier,stab*eff,AVERAGE(ARRAYFORMULA(FLOOR(base*modifier*SEQUENCE(16,1,85,1)/100)))/(FLOOR(((2*XLOOKUP('Boss Editor'!$C$4,'Pokemon Editor'!$A:$A,'Pokemon Editor'!$E:$E,0)+31+FLOOR('Boss Editor'!$G$4/4))*'Boss Editor'!$D$4)/100)+'Boss Editor'!$D$4+10)),0)</f>
        <v/>
      </c>
      <c r="O309" s="3">
        <f>IF(N309&gt;=1,"OHKO",IF(N309&gt;=0.5,"2HKO",IF(N309&gt;=0.333,"3HKO",IF(N309&gt;=0.25,"4HKO","5HKO+"))))</f>
        <v/>
      </c>
      <c r="P309" s="3" t="inlineStr">
        <is>
          <t>Live from editable databases</t>
        </is>
      </c>
      <c r="Q309" s="3" t="inlineStr">
        <is>
          <t>SPECIES_STARLY</t>
        </is>
      </c>
      <c r="R309" s="3" t="n">
        <v>20</v>
      </c>
    </row>
    <row r="310">
      <c r="A310" s="3">
        <f>XLOOKUP($Q310,'Threshold Summary'!$Y:$Y,'Threshold Summary'!$A:$A,"")</f>
        <v/>
      </c>
      <c r="B310" s="3">
        <f>XLOOKUP($Q310,'Threshold Summary'!$Y:$Y,'Threshold Summary'!$M:$M,"")</f>
        <v/>
      </c>
      <c r="C310" s="3">
        <f>XLOOKUP($Q310,'Threshold Summary'!$Y:$Y,'Threshold Summary'!$N:$N,"")</f>
        <v/>
      </c>
      <c r="D310" s="3">
        <f>IFERROR(INDEX(FILTER('Learnset Editor'!$D$2:$D,'Learnset Editor'!$A$2:$A=XLOOKUP($Q310,'Threshold Summary'!$Y:$Y,'Threshold Summary'!$K:$K,""),'Learnset Editor'!$C$2:$C&lt;=XLOOKUP($Q310,'Threshold Summary'!$Y:$Y,'Threshold Summary'!$L:$L,"")),$R310),"")</f>
        <v/>
      </c>
      <c r="E310" s="3">
        <f>XLOOKUP(D310,'Move Editor'!$B:$B,'Move Editor'!$C:$C,"")</f>
        <v/>
      </c>
      <c r="F310" s="3">
        <f>XLOOKUP(D310,'Move Editor'!$B:$B,'Move Editor'!$D:$D,"")</f>
        <v/>
      </c>
      <c r="G310" s="3">
        <f>XLOOKUP(D310,'Move Editor'!$B:$B,'Move Editor'!$E:$E,0)</f>
        <v/>
      </c>
      <c r="H310" s="3">
        <f>XLOOKUP(D310,'Move Editor'!$B:$B,'Move Editor'!$F:$F,0)</f>
        <v/>
      </c>
      <c r="I310" s="3">
        <f>(INDEX('Type Chart'!$B:$S,MATCH(E310,'Type Chart'!$A:$A,0),MATCH(XLOOKUP('Boss Editor'!$C$4,'Pokemon Editor'!$A:$A,'Pokemon Editor'!$C:$C,""),'Type Chart'!$B$1:$S$1,0))*IF(XLOOKUP('Boss Editor'!$C$4,'Pokemon Editor'!$A:$A,'Pokemon Editor'!$D:$D,"")="",1,INDEX('Type Chart'!$B:$S,MATCH(E310,'Type Chart'!$A:$A,0),MATCH(XLOOKUP('Boss Editor'!$C$4,'Pokemon Editor'!$A:$A,'Pokemon Editor'!$D:$D,""),'Type Chart'!$B$1:$S$1,0))))</f>
        <v/>
      </c>
      <c r="J310" s="3">
        <f>IFERROR(LET(mtype,XLOOKUP($D310,'Move Editor'!$B:$B,'Move Editor'!$C:$C,""),cat,XLOOKUP($D310,'Move Editor'!$B:$B,'Move Editor'!$D:$D,""),pow,XLOOKUP($D310,'Move Editor'!$B:$B,'Move Editor'!$E:$E,0),acc,XLOOKUP($D310,'Move Editor'!$B:$B,'Move Editor'!$F:$F,100),atk,IF(cat="Physical",FLOOR((FLOOR(((2*XLOOKUP(XLOOKUP($Q310,'Threshold Summary'!$Y:$Y,'Threshold Summary'!$K:$K,""),'Pokemon Editor'!$A:$A,'Pokemon Editor'!$F:$F,0)+31+FLOOR(XLOOKUP($Q310,'Threshold Summary'!$Y:$Y,'Threshold Summary'!$P:$P,"")/4))*XLOOKUP($Q310,'Threshold Summary'!$Y:$Y,'Threshold Summary'!$L:$L,""))/100)+5)*XLOOKUP(XLOOKUP($Q310,'Threshold Summary'!$Y:$Y,'Threshold Summary'!$M:$M,""),'Nature Editor'!$A:$A,'Nature Editor'!$B:$B,1)),FLOOR((FLOOR(((2*XLOOKUP(XLOOKUP($Q310,'Threshold Summary'!$Y:$Y,'Threshold Summary'!$K:$K,""),'Pokemon Editor'!$A:$A,'Pokemon Editor'!$H:$H,0)+31+FLOOR(XLOOKUP($Q310,'Threshold Summary'!$Y:$Y,'Threshold Summary'!$R:$R,"")/4))*XLOOKUP($Q310,'Threshold Summary'!$Y:$Y,'Threshold Summary'!$L:$L,""))/100)+5)*XLOOKUP(XLOOKUP($Q310,'Threshold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Editor'!$E:$E,1))),stab,IF(OR(mtype=XLOOKUP(XLOOKUP($Q310,'Threshold Summary'!$Y:$Y,'Threshold Summary'!$K:$K,""),'Pokemon Editor'!$A:$A,'Pokemon Editor'!$C:$C,""),mtype=XLOOKUP(XLOOKUP($Q310,'Threshold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Chart'!$B$1:$S$1,0)))),base,IF(OR(cat="Status",pow=0),0,FLOOR(FLOOR(FLOOR((2*XLOOKUP($Q310,'Threshold Summary'!$Y:$Y,'Threshold Summary'!$L:$L,"")/5+2)*pow*atk/def)/50)+2)),modifier,stab*eff,FLOOR(base*modifier*0.85)),0)</f>
        <v/>
      </c>
      <c r="K310" s="3">
        <f>IFERROR(LET(mtype,XLOOKUP($D310,'Move Editor'!$B:$B,'Move Editor'!$C:$C,""),cat,XLOOKUP($D310,'Move Editor'!$B:$B,'Move Editor'!$D:$D,""),pow,XLOOKUP($D310,'Move Editor'!$B:$B,'Move Editor'!$E:$E,0),acc,XLOOKUP($D310,'Move Editor'!$B:$B,'Move Editor'!$F:$F,100),atk,IF(cat="Physical",FLOOR((FLOOR(((2*XLOOKUP(XLOOKUP($Q310,'Threshold Summary'!$Y:$Y,'Threshold Summary'!$K:$K,""),'Pokemon Editor'!$A:$A,'Pokemon Editor'!$F:$F,0)+31+FLOOR(XLOOKUP($Q310,'Threshold Summary'!$Y:$Y,'Threshold Summary'!$P:$P,"")/4))*XLOOKUP($Q310,'Threshold Summary'!$Y:$Y,'Threshold Summary'!$L:$L,""))/100)+5)*XLOOKUP(XLOOKUP($Q310,'Threshold Summary'!$Y:$Y,'Threshold Summary'!$M:$M,""),'Nature Editor'!$A:$A,'Nature Editor'!$B:$B,1)),FLOOR((FLOOR(((2*XLOOKUP(XLOOKUP($Q310,'Threshold Summary'!$Y:$Y,'Threshold Summary'!$K:$K,""),'Pokemon Editor'!$A:$A,'Pokemon Editor'!$H:$H,0)+31+FLOOR(XLOOKUP($Q310,'Threshold Summary'!$Y:$Y,'Threshold Summary'!$R:$R,"")/4))*XLOOKUP($Q310,'Threshold Summary'!$Y:$Y,'Threshold Summary'!$L:$L,""))/100)+5)*XLOOKUP(XLOOKUP($Q310,'Threshold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Editor'!$E:$E,1))),stab,IF(OR(mtype=XLOOKUP(XLOOKUP($Q310,'Threshold Summary'!$Y:$Y,'Threshold Summary'!$K:$K,""),'Pokemon Editor'!$A:$A,'Pokemon Editor'!$C:$C,""),mtype=XLOOKUP(XLOOKUP($Q310,'Threshold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Chart'!$B$1:$S$1,0)))),base,IF(OR(cat="Status",pow=0),0,FLOOR(FLOOR(FLOOR((2*XLOOKUP($Q310,'Threshold Summary'!$Y:$Y,'Threshold Summary'!$L:$L,"")/5+2)*pow*atk/def)/50)+2)),modifier,stab*eff,FLOOR(base*modifier)),0)</f>
        <v/>
      </c>
      <c r="L310" s="3">
        <f>IFERROR(LET(mtype,XLOOKUP($D310,'Move Editor'!$B:$B,'Move Editor'!$C:$C,""),cat,XLOOKUP($D310,'Move Editor'!$B:$B,'Move Editor'!$D:$D,""),pow,XLOOKUP($D310,'Move Editor'!$B:$B,'Move Editor'!$E:$E,0),acc,XLOOKUP($D310,'Move Editor'!$B:$B,'Move Editor'!$F:$F,100),atk,IF(cat="Physical",FLOOR((FLOOR(((2*XLOOKUP(XLOOKUP($Q310,'Threshold Summary'!$Y:$Y,'Threshold Summary'!$K:$K,""),'Pokemon Editor'!$A:$A,'Pokemon Editor'!$F:$F,0)+31+FLOOR(XLOOKUP($Q310,'Threshold Summary'!$Y:$Y,'Threshold Summary'!$P:$P,"")/4))*XLOOKUP($Q310,'Threshold Summary'!$Y:$Y,'Threshold Summary'!$L:$L,""))/100)+5)*XLOOKUP(XLOOKUP($Q310,'Threshold Summary'!$Y:$Y,'Threshold Summary'!$M:$M,""),'Nature Editor'!$A:$A,'Nature Editor'!$B:$B,1)),FLOOR((FLOOR(((2*XLOOKUP(XLOOKUP($Q310,'Threshold Summary'!$Y:$Y,'Threshold Summary'!$K:$K,""),'Pokemon Editor'!$A:$A,'Pokemon Editor'!$H:$H,0)+31+FLOOR(XLOOKUP($Q310,'Threshold Summary'!$Y:$Y,'Threshold Summary'!$R:$R,"")/4))*XLOOKUP($Q310,'Threshold Summary'!$Y:$Y,'Threshold Summary'!$L:$L,""))/100)+5)*XLOOKUP(XLOOKUP($Q310,'Threshold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Editor'!$E:$E,1))),stab,IF(OR(mtype=XLOOKUP(XLOOKUP($Q310,'Threshold Summary'!$Y:$Y,'Threshold Summary'!$K:$K,""),'Pokemon Editor'!$A:$A,'Pokemon Editor'!$C:$C,""),mtype=XLOOKUP(XLOOKUP($Q310,'Threshold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Chart'!$B$1:$S$1,0)))),base,IF(OR(cat="Status",pow=0),0,FLOOR(FLOOR(FLOOR((2*XLOOKUP($Q310,'Threshold Summary'!$Y:$Y,'Threshold Summary'!$L:$L,"")/5+2)*pow*atk/def)/50)+2)),modifier,stab*eff,AVERAGE(ARRAYFORMULA(FLOOR(base*modifier*SEQUENCE(16,1,85,1)/100)))),0)</f>
        <v/>
      </c>
      <c r="M310" s="3">
        <f>IFERROR(LET(mtype,XLOOKUP($D310,'Move Editor'!$B:$B,'Move Editor'!$C:$C,""),cat,XLOOKUP($D310,'Move Editor'!$B:$B,'Move Editor'!$D:$D,""),pow,XLOOKUP($D310,'Move Editor'!$B:$B,'Move Editor'!$E:$E,0),acc,XLOOKUP($D310,'Move Editor'!$B:$B,'Move Editor'!$F:$F,100),atk,IF(cat="Physical",FLOOR((FLOOR(((2*XLOOKUP(XLOOKUP($Q310,'Threshold Summary'!$Y:$Y,'Threshold Summary'!$K:$K,""),'Pokemon Editor'!$A:$A,'Pokemon Editor'!$F:$F,0)+31+FLOOR(XLOOKUP($Q310,'Threshold Summary'!$Y:$Y,'Threshold Summary'!$P:$P,"")/4))*XLOOKUP($Q310,'Threshold Summary'!$Y:$Y,'Threshold Summary'!$L:$L,""))/100)+5)*XLOOKUP(XLOOKUP($Q310,'Threshold Summary'!$Y:$Y,'Threshold Summary'!$M:$M,""),'Nature Editor'!$A:$A,'Nature Editor'!$B:$B,1)),FLOOR((FLOOR(((2*XLOOKUP(XLOOKUP($Q310,'Threshold Summary'!$Y:$Y,'Threshold Summary'!$K:$K,""),'Pokemon Editor'!$A:$A,'Pokemon Editor'!$H:$H,0)+31+FLOOR(XLOOKUP($Q310,'Threshold Summary'!$Y:$Y,'Threshold Summary'!$R:$R,"")/4))*XLOOKUP($Q310,'Threshold Summary'!$Y:$Y,'Threshold Summary'!$L:$L,""))/100)+5)*XLOOKUP(XLOOKUP($Q310,'Threshold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Editor'!$E:$E,1))),stab,IF(OR(mtype=XLOOKUP(XLOOKUP($Q310,'Threshold Summary'!$Y:$Y,'Threshold Summary'!$K:$K,""),'Pokemon Editor'!$A:$A,'Pokemon Editor'!$C:$C,""),mtype=XLOOKUP(XLOOKUP($Q310,'Threshold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Chart'!$B$1:$S$1,0)))),base,IF(OR(cat="Status",pow=0),0,FLOOR(FLOOR(FLOOR((2*XLOOKUP($Q310,'Threshold Summary'!$Y:$Y,'Threshold Summary'!$L:$L,"")/5+2)*pow*atk/def)/50)+2)),modifier,stab*eff,AVERAGE(ARRAYFORMULA(FLOOR(base*modifier*SEQUENCE(16,1,85,1)/100)))*MIN(1,acc/100)),0)</f>
        <v/>
      </c>
      <c r="N310" s="4">
        <f>IFERROR(LET(mtype,XLOOKUP($D310,'Move Editor'!$B:$B,'Move Editor'!$C:$C,""),cat,XLOOKUP($D310,'Move Editor'!$B:$B,'Move Editor'!$D:$D,""),pow,XLOOKUP($D310,'Move Editor'!$B:$B,'Move Editor'!$E:$E,0),acc,XLOOKUP($D310,'Move Editor'!$B:$B,'Move Editor'!$F:$F,100),atk,IF(cat="Physical",FLOOR((FLOOR(((2*XLOOKUP(XLOOKUP($Q310,'Threshold Summary'!$Y:$Y,'Threshold Summary'!$K:$K,""),'Pokemon Editor'!$A:$A,'Pokemon Editor'!$F:$F,0)+31+FLOOR(XLOOKUP($Q310,'Threshold Summary'!$Y:$Y,'Threshold Summary'!$P:$P,"")/4))*XLOOKUP($Q310,'Threshold Summary'!$Y:$Y,'Threshold Summary'!$L:$L,""))/100)+5)*XLOOKUP(XLOOKUP($Q310,'Threshold Summary'!$Y:$Y,'Threshold Summary'!$M:$M,""),'Nature Editor'!$A:$A,'Nature Editor'!$B:$B,1)),FLOOR((FLOOR(((2*XLOOKUP(XLOOKUP($Q310,'Threshold Summary'!$Y:$Y,'Threshold Summary'!$K:$K,""),'Pokemon Editor'!$A:$A,'Pokemon Editor'!$H:$H,0)+31+FLOOR(XLOOKUP($Q310,'Threshold Summary'!$Y:$Y,'Threshold Summary'!$R:$R,"")/4))*XLOOKUP($Q310,'Threshold Summary'!$Y:$Y,'Threshold Summary'!$L:$L,""))/100)+5)*XLOOKUP(XLOOKUP($Q310,'Threshold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Editor'!$E:$E,1))),stab,IF(OR(mtype=XLOOKUP(XLOOKUP($Q310,'Threshold Summary'!$Y:$Y,'Threshold Summary'!$K:$K,""),'Pokemon Editor'!$A:$A,'Pokemon Editor'!$C:$C,""),mtype=XLOOKUP(XLOOKUP($Q310,'Threshold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Chart'!$B$1:$S$1,0)))),base,IF(OR(cat="Status",pow=0),0,FLOOR(FLOOR(FLOOR((2*XLOOKUP($Q310,'Threshold Summary'!$Y:$Y,'Threshold Summary'!$L:$L,"")/5+2)*pow*atk/def)/50)+2)),modifier,stab*eff,AVERAGE(ARRAYFORMULA(FLOOR(base*modifier*SEQUENCE(16,1,85,1)/100)))/(FLOOR(((2*XLOOKUP('Boss Editor'!$C$4,'Pokemon Editor'!$A:$A,'Pokemon Editor'!$E:$E,0)+31+FLOOR('Boss Editor'!$G$4/4))*'Boss Editor'!$D$4)/100)+'Boss Editor'!$D$4+10)),0)</f>
        <v/>
      </c>
      <c r="O310" s="3">
        <f>IF(N310&gt;=1,"OHKO",IF(N310&gt;=0.5,"2HKO",IF(N310&gt;=0.333,"3HKO",IF(N310&gt;=0.25,"4HKO","5HKO+"))))</f>
        <v/>
      </c>
      <c r="P310" s="3" t="inlineStr">
        <is>
          <t>Live from editable databases</t>
        </is>
      </c>
      <c r="Q310" s="3" t="inlineStr">
        <is>
          <t>SPECIES_STARLY</t>
        </is>
      </c>
      <c r="R310" s="3" t="n">
        <v>21</v>
      </c>
    </row>
    <row r="311">
      <c r="A311" s="3">
        <f>XLOOKUP($Q311,'Threshold Summary'!$Y:$Y,'Threshold Summary'!$A:$A,"")</f>
        <v/>
      </c>
      <c r="B311" s="3">
        <f>XLOOKUP($Q311,'Threshold Summary'!$Y:$Y,'Threshold Summary'!$M:$M,"")</f>
        <v/>
      </c>
      <c r="C311" s="3">
        <f>XLOOKUP($Q311,'Threshold Summary'!$Y:$Y,'Threshold Summary'!$N:$N,"")</f>
        <v/>
      </c>
      <c r="D311" s="3">
        <f>IFERROR(INDEX(FILTER('Learnset Editor'!$D$2:$D,'Learnset Editor'!$A$2:$A=XLOOKUP($Q311,'Threshold Summary'!$Y:$Y,'Threshold Summary'!$K:$K,""),'Learnset Editor'!$C$2:$C&lt;=XLOOKUP($Q311,'Threshold Summary'!$Y:$Y,'Threshold Summary'!$L:$L,"")),$R311),"")</f>
        <v/>
      </c>
      <c r="E311" s="3">
        <f>XLOOKUP(D311,'Move Editor'!$B:$B,'Move Editor'!$C:$C,"")</f>
        <v/>
      </c>
      <c r="F311" s="3">
        <f>XLOOKUP(D311,'Move Editor'!$B:$B,'Move Editor'!$D:$D,"")</f>
        <v/>
      </c>
      <c r="G311" s="3">
        <f>XLOOKUP(D311,'Move Editor'!$B:$B,'Move Editor'!$E:$E,0)</f>
        <v/>
      </c>
      <c r="H311" s="3">
        <f>XLOOKUP(D311,'Move Editor'!$B:$B,'Move Editor'!$F:$F,0)</f>
        <v/>
      </c>
      <c r="I311" s="3">
        <f>(INDEX('Type Chart'!$B:$S,MATCH(E311,'Type Chart'!$A:$A,0),MATCH(XLOOKUP('Boss Editor'!$C$4,'Pokemon Editor'!$A:$A,'Pokemon Editor'!$C:$C,""),'Type Chart'!$B$1:$S$1,0))*IF(XLOOKUP('Boss Editor'!$C$4,'Pokemon Editor'!$A:$A,'Pokemon Editor'!$D:$D,"")="",1,INDEX('Type Chart'!$B:$S,MATCH(E311,'Type Chart'!$A:$A,0),MATCH(XLOOKUP('Boss Editor'!$C$4,'Pokemon Editor'!$A:$A,'Pokemon Editor'!$D:$D,""),'Type Chart'!$B$1:$S$1,0))))</f>
        <v/>
      </c>
      <c r="J311" s="3">
        <f>IFERROR(LET(mtype,XLOOKUP($D311,'Move Editor'!$B:$B,'Move Editor'!$C:$C,""),cat,XLOOKUP($D311,'Move Editor'!$B:$B,'Move Editor'!$D:$D,""),pow,XLOOKUP($D311,'Move Editor'!$B:$B,'Move Editor'!$E:$E,0),acc,XLOOKUP($D311,'Move Editor'!$B:$B,'Move Editor'!$F:$F,100),atk,IF(cat="Physical",FLOOR((FLOOR(((2*XLOOKUP(XLOOKUP($Q311,'Threshold Summary'!$Y:$Y,'Threshold Summary'!$K:$K,""),'Pokemon Editor'!$A:$A,'Pokemon Editor'!$F:$F,0)+31+FLOOR(XLOOKUP($Q311,'Threshold Summary'!$Y:$Y,'Threshold Summary'!$P:$P,"")/4))*XLOOKUP($Q311,'Threshold Summary'!$Y:$Y,'Threshold Summary'!$L:$L,""))/100)+5)*XLOOKUP(XLOOKUP($Q311,'Threshold Summary'!$Y:$Y,'Threshold Summary'!$M:$M,""),'Nature Editor'!$A:$A,'Nature Editor'!$B:$B,1)),FLOOR((FLOOR(((2*XLOOKUP(XLOOKUP($Q311,'Threshold Summary'!$Y:$Y,'Threshold Summary'!$K:$K,""),'Pokemon Editor'!$A:$A,'Pokemon Editor'!$H:$H,0)+31+FLOOR(XLOOKUP($Q311,'Threshold Summary'!$Y:$Y,'Threshold Summary'!$R:$R,"")/4))*XLOOKUP($Q311,'Threshold Summary'!$Y:$Y,'Threshold Summary'!$L:$L,""))/100)+5)*XLOOKUP(XLOOKUP($Q311,'Threshold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Editor'!$E:$E,1))),stab,IF(OR(mtype=XLOOKUP(XLOOKUP($Q311,'Threshold Summary'!$Y:$Y,'Threshold Summary'!$K:$K,""),'Pokemon Editor'!$A:$A,'Pokemon Editor'!$C:$C,""),mtype=XLOOKUP(XLOOKUP($Q311,'Threshold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Chart'!$B$1:$S$1,0)))),base,IF(OR(cat="Status",pow=0),0,FLOOR(FLOOR(FLOOR((2*XLOOKUP($Q311,'Threshold Summary'!$Y:$Y,'Threshold Summary'!$L:$L,"")/5+2)*pow*atk/def)/50)+2)),modifier,stab*eff,FLOOR(base*modifier*0.85)),0)</f>
        <v/>
      </c>
      <c r="K311" s="3">
        <f>IFERROR(LET(mtype,XLOOKUP($D311,'Move Editor'!$B:$B,'Move Editor'!$C:$C,""),cat,XLOOKUP($D311,'Move Editor'!$B:$B,'Move Editor'!$D:$D,""),pow,XLOOKUP($D311,'Move Editor'!$B:$B,'Move Editor'!$E:$E,0),acc,XLOOKUP($D311,'Move Editor'!$B:$B,'Move Editor'!$F:$F,100),atk,IF(cat="Physical",FLOOR((FLOOR(((2*XLOOKUP(XLOOKUP($Q311,'Threshold Summary'!$Y:$Y,'Threshold Summary'!$K:$K,""),'Pokemon Editor'!$A:$A,'Pokemon Editor'!$F:$F,0)+31+FLOOR(XLOOKUP($Q311,'Threshold Summary'!$Y:$Y,'Threshold Summary'!$P:$P,"")/4))*XLOOKUP($Q311,'Threshold Summary'!$Y:$Y,'Threshold Summary'!$L:$L,""))/100)+5)*XLOOKUP(XLOOKUP($Q311,'Threshold Summary'!$Y:$Y,'Threshold Summary'!$M:$M,""),'Nature Editor'!$A:$A,'Nature Editor'!$B:$B,1)),FLOOR((FLOOR(((2*XLOOKUP(XLOOKUP($Q311,'Threshold Summary'!$Y:$Y,'Threshold Summary'!$K:$K,""),'Pokemon Editor'!$A:$A,'Pokemon Editor'!$H:$H,0)+31+FLOOR(XLOOKUP($Q311,'Threshold Summary'!$Y:$Y,'Threshold Summary'!$R:$R,"")/4))*XLOOKUP($Q311,'Threshold Summary'!$Y:$Y,'Threshold Summary'!$L:$L,""))/100)+5)*XLOOKUP(XLOOKUP($Q311,'Threshold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Editor'!$E:$E,1))),stab,IF(OR(mtype=XLOOKUP(XLOOKUP($Q311,'Threshold Summary'!$Y:$Y,'Threshold Summary'!$K:$K,""),'Pokemon Editor'!$A:$A,'Pokemon Editor'!$C:$C,""),mtype=XLOOKUP(XLOOKUP($Q311,'Threshold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Chart'!$B$1:$S$1,0)))),base,IF(OR(cat="Status",pow=0),0,FLOOR(FLOOR(FLOOR((2*XLOOKUP($Q311,'Threshold Summary'!$Y:$Y,'Threshold Summary'!$L:$L,"")/5+2)*pow*atk/def)/50)+2)),modifier,stab*eff,FLOOR(base*modifier)),0)</f>
        <v/>
      </c>
      <c r="L311" s="3">
        <f>IFERROR(LET(mtype,XLOOKUP($D311,'Move Editor'!$B:$B,'Move Editor'!$C:$C,""),cat,XLOOKUP($D311,'Move Editor'!$B:$B,'Move Editor'!$D:$D,""),pow,XLOOKUP($D311,'Move Editor'!$B:$B,'Move Editor'!$E:$E,0),acc,XLOOKUP($D311,'Move Editor'!$B:$B,'Move Editor'!$F:$F,100),atk,IF(cat="Physical",FLOOR((FLOOR(((2*XLOOKUP(XLOOKUP($Q311,'Threshold Summary'!$Y:$Y,'Threshold Summary'!$K:$K,""),'Pokemon Editor'!$A:$A,'Pokemon Editor'!$F:$F,0)+31+FLOOR(XLOOKUP($Q311,'Threshold Summary'!$Y:$Y,'Threshold Summary'!$P:$P,"")/4))*XLOOKUP($Q311,'Threshold Summary'!$Y:$Y,'Threshold Summary'!$L:$L,""))/100)+5)*XLOOKUP(XLOOKUP($Q311,'Threshold Summary'!$Y:$Y,'Threshold Summary'!$M:$M,""),'Nature Editor'!$A:$A,'Nature Editor'!$B:$B,1)),FLOOR((FLOOR(((2*XLOOKUP(XLOOKUP($Q311,'Threshold Summary'!$Y:$Y,'Threshold Summary'!$K:$K,""),'Pokemon Editor'!$A:$A,'Pokemon Editor'!$H:$H,0)+31+FLOOR(XLOOKUP($Q311,'Threshold Summary'!$Y:$Y,'Threshold Summary'!$R:$R,"")/4))*XLOOKUP($Q311,'Threshold Summary'!$Y:$Y,'Threshold Summary'!$L:$L,""))/100)+5)*XLOOKUP(XLOOKUP($Q311,'Threshold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Editor'!$E:$E,1))),stab,IF(OR(mtype=XLOOKUP(XLOOKUP($Q311,'Threshold Summary'!$Y:$Y,'Threshold Summary'!$K:$K,""),'Pokemon Editor'!$A:$A,'Pokemon Editor'!$C:$C,""),mtype=XLOOKUP(XLOOKUP($Q311,'Threshold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Chart'!$B$1:$S$1,0)))),base,IF(OR(cat="Status",pow=0),0,FLOOR(FLOOR(FLOOR((2*XLOOKUP($Q311,'Threshold Summary'!$Y:$Y,'Threshold Summary'!$L:$L,"")/5+2)*pow*atk/def)/50)+2)),modifier,stab*eff,AVERAGE(ARRAYFORMULA(FLOOR(base*modifier*SEQUENCE(16,1,85,1)/100)))),0)</f>
        <v/>
      </c>
      <c r="M311" s="3">
        <f>IFERROR(LET(mtype,XLOOKUP($D311,'Move Editor'!$B:$B,'Move Editor'!$C:$C,""),cat,XLOOKUP($D311,'Move Editor'!$B:$B,'Move Editor'!$D:$D,""),pow,XLOOKUP($D311,'Move Editor'!$B:$B,'Move Editor'!$E:$E,0),acc,XLOOKUP($D311,'Move Editor'!$B:$B,'Move Editor'!$F:$F,100),atk,IF(cat="Physical",FLOOR((FLOOR(((2*XLOOKUP(XLOOKUP($Q311,'Threshold Summary'!$Y:$Y,'Threshold Summary'!$K:$K,""),'Pokemon Editor'!$A:$A,'Pokemon Editor'!$F:$F,0)+31+FLOOR(XLOOKUP($Q311,'Threshold Summary'!$Y:$Y,'Threshold Summary'!$P:$P,"")/4))*XLOOKUP($Q311,'Threshold Summary'!$Y:$Y,'Threshold Summary'!$L:$L,""))/100)+5)*XLOOKUP(XLOOKUP($Q311,'Threshold Summary'!$Y:$Y,'Threshold Summary'!$M:$M,""),'Nature Editor'!$A:$A,'Nature Editor'!$B:$B,1)),FLOOR((FLOOR(((2*XLOOKUP(XLOOKUP($Q311,'Threshold Summary'!$Y:$Y,'Threshold Summary'!$K:$K,""),'Pokemon Editor'!$A:$A,'Pokemon Editor'!$H:$H,0)+31+FLOOR(XLOOKUP($Q311,'Threshold Summary'!$Y:$Y,'Threshold Summary'!$R:$R,"")/4))*XLOOKUP($Q311,'Threshold Summary'!$Y:$Y,'Threshold Summary'!$L:$L,""))/100)+5)*XLOOKUP(XLOOKUP($Q311,'Threshold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Editor'!$E:$E,1))),stab,IF(OR(mtype=XLOOKUP(XLOOKUP($Q311,'Threshold Summary'!$Y:$Y,'Threshold Summary'!$K:$K,""),'Pokemon Editor'!$A:$A,'Pokemon Editor'!$C:$C,""),mtype=XLOOKUP(XLOOKUP($Q311,'Threshold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Chart'!$B$1:$S$1,0)))),base,IF(OR(cat="Status",pow=0),0,FLOOR(FLOOR(FLOOR((2*XLOOKUP($Q311,'Threshold Summary'!$Y:$Y,'Threshold Summary'!$L:$L,"")/5+2)*pow*atk/def)/50)+2)),modifier,stab*eff,AVERAGE(ARRAYFORMULA(FLOOR(base*modifier*SEQUENCE(16,1,85,1)/100)))*MIN(1,acc/100)),0)</f>
        <v/>
      </c>
      <c r="N311" s="4">
        <f>IFERROR(LET(mtype,XLOOKUP($D311,'Move Editor'!$B:$B,'Move Editor'!$C:$C,""),cat,XLOOKUP($D311,'Move Editor'!$B:$B,'Move Editor'!$D:$D,""),pow,XLOOKUP($D311,'Move Editor'!$B:$B,'Move Editor'!$E:$E,0),acc,XLOOKUP($D311,'Move Editor'!$B:$B,'Move Editor'!$F:$F,100),atk,IF(cat="Physical",FLOOR((FLOOR(((2*XLOOKUP(XLOOKUP($Q311,'Threshold Summary'!$Y:$Y,'Threshold Summary'!$K:$K,""),'Pokemon Editor'!$A:$A,'Pokemon Editor'!$F:$F,0)+31+FLOOR(XLOOKUP($Q311,'Threshold Summary'!$Y:$Y,'Threshold Summary'!$P:$P,"")/4))*XLOOKUP($Q311,'Threshold Summary'!$Y:$Y,'Threshold Summary'!$L:$L,""))/100)+5)*XLOOKUP(XLOOKUP($Q311,'Threshold Summary'!$Y:$Y,'Threshold Summary'!$M:$M,""),'Nature Editor'!$A:$A,'Nature Editor'!$B:$B,1)),FLOOR((FLOOR(((2*XLOOKUP(XLOOKUP($Q311,'Threshold Summary'!$Y:$Y,'Threshold Summary'!$K:$K,""),'Pokemon Editor'!$A:$A,'Pokemon Editor'!$H:$H,0)+31+FLOOR(XLOOKUP($Q311,'Threshold Summary'!$Y:$Y,'Threshold Summary'!$R:$R,"")/4))*XLOOKUP($Q311,'Threshold Summary'!$Y:$Y,'Threshold Summary'!$L:$L,""))/100)+5)*XLOOKUP(XLOOKUP($Q311,'Threshold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Editor'!$E:$E,1))),stab,IF(OR(mtype=XLOOKUP(XLOOKUP($Q311,'Threshold Summary'!$Y:$Y,'Threshold Summary'!$K:$K,""),'Pokemon Editor'!$A:$A,'Pokemon Editor'!$C:$C,""),mtype=XLOOKUP(XLOOKUP($Q311,'Threshold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Chart'!$B$1:$S$1,0)))),base,IF(OR(cat="Status",pow=0),0,FLOOR(FLOOR(FLOOR((2*XLOOKUP($Q311,'Threshold Summary'!$Y:$Y,'Threshold Summary'!$L:$L,"")/5+2)*pow*atk/def)/50)+2)),modifier,stab*eff,AVERAGE(ARRAYFORMULA(FLOOR(base*modifier*SEQUENCE(16,1,85,1)/100)))/(FLOOR(((2*XLOOKUP('Boss Editor'!$C$4,'Pokemon Editor'!$A:$A,'Pokemon Editor'!$E:$E,0)+31+FLOOR('Boss Editor'!$G$4/4))*'Boss Editor'!$D$4)/100)+'Boss Editor'!$D$4+10)),0)</f>
        <v/>
      </c>
      <c r="O311" s="3">
        <f>IF(N311&gt;=1,"OHKO",IF(N311&gt;=0.5,"2HKO",IF(N311&gt;=0.333,"3HKO",IF(N311&gt;=0.25,"4HKO","5HKO+"))))</f>
        <v/>
      </c>
      <c r="P311" s="3" t="inlineStr">
        <is>
          <t>Live from editable databases</t>
        </is>
      </c>
      <c r="Q311" s="3" t="inlineStr">
        <is>
          <t>SPECIES_STARLY</t>
        </is>
      </c>
      <c r="R311" s="3" t="n">
        <v>22</v>
      </c>
    </row>
    <row r="312">
      <c r="A312" s="3">
        <f>XLOOKUP($Q312,'Threshold Summary'!$Y:$Y,'Threshold Summary'!$A:$A,"")</f>
        <v/>
      </c>
      <c r="B312" s="3">
        <f>XLOOKUP($Q312,'Threshold Summary'!$Y:$Y,'Threshold Summary'!$M:$M,"")</f>
        <v/>
      </c>
      <c r="C312" s="3">
        <f>XLOOKUP($Q312,'Threshold Summary'!$Y:$Y,'Threshold Summary'!$N:$N,"")</f>
        <v/>
      </c>
      <c r="D312" s="3">
        <f>IFERROR(INDEX(FILTER('Learnset Editor'!$D$2:$D,'Learnset Editor'!$A$2:$A=XLOOKUP($Q312,'Threshold Summary'!$Y:$Y,'Threshold Summary'!$K:$K,""),'Learnset Editor'!$C$2:$C&lt;=XLOOKUP($Q312,'Threshold Summary'!$Y:$Y,'Threshold Summary'!$L:$L,"")),$R312),"")</f>
        <v/>
      </c>
      <c r="E312" s="3">
        <f>XLOOKUP(D312,'Move Editor'!$B:$B,'Move Editor'!$C:$C,"")</f>
        <v/>
      </c>
      <c r="F312" s="3">
        <f>XLOOKUP(D312,'Move Editor'!$B:$B,'Move Editor'!$D:$D,"")</f>
        <v/>
      </c>
      <c r="G312" s="3">
        <f>XLOOKUP(D312,'Move Editor'!$B:$B,'Move Editor'!$E:$E,0)</f>
        <v/>
      </c>
      <c r="H312" s="3">
        <f>XLOOKUP(D312,'Move Editor'!$B:$B,'Move Editor'!$F:$F,0)</f>
        <v/>
      </c>
      <c r="I312" s="3">
        <f>(INDEX('Type Chart'!$B:$S,MATCH(E312,'Type Chart'!$A:$A,0),MATCH(XLOOKUP('Boss Editor'!$C$4,'Pokemon Editor'!$A:$A,'Pokemon Editor'!$C:$C,""),'Type Chart'!$B$1:$S$1,0))*IF(XLOOKUP('Boss Editor'!$C$4,'Pokemon Editor'!$A:$A,'Pokemon Editor'!$D:$D,"")="",1,INDEX('Type Chart'!$B:$S,MATCH(E312,'Type Chart'!$A:$A,0),MATCH(XLOOKUP('Boss Editor'!$C$4,'Pokemon Editor'!$A:$A,'Pokemon Editor'!$D:$D,""),'Type Chart'!$B$1:$S$1,0))))</f>
        <v/>
      </c>
      <c r="J312" s="3">
        <f>IFERROR(LET(mtype,XLOOKUP($D312,'Move Editor'!$B:$B,'Move Editor'!$C:$C,""),cat,XLOOKUP($D312,'Move Editor'!$B:$B,'Move Editor'!$D:$D,""),pow,XLOOKUP($D312,'Move Editor'!$B:$B,'Move Editor'!$E:$E,0),acc,XLOOKUP($D312,'Move Editor'!$B:$B,'Move Editor'!$F:$F,100),atk,IF(cat="Physical",FLOOR((FLOOR(((2*XLOOKUP(XLOOKUP($Q312,'Threshold Summary'!$Y:$Y,'Threshold Summary'!$K:$K,""),'Pokemon Editor'!$A:$A,'Pokemon Editor'!$F:$F,0)+31+FLOOR(XLOOKUP($Q312,'Threshold Summary'!$Y:$Y,'Threshold Summary'!$P:$P,"")/4))*XLOOKUP($Q312,'Threshold Summary'!$Y:$Y,'Threshold Summary'!$L:$L,""))/100)+5)*XLOOKUP(XLOOKUP($Q312,'Threshold Summary'!$Y:$Y,'Threshold Summary'!$M:$M,""),'Nature Editor'!$A:$A,'Nature Editor'!$B:$B,1)),FLOOR((FLOOR(((2*XLOOKUP(XLOOKUP($Q312,'Threshold Summary'!$Y:$Y,'Threshold Summary'!$K:$K,""),'Pokemon Editor'!$A:$A,'Pokemon Editor'!$H:$H,0)+31+FLOOR(XLOOKUP($Q312,'Threshold Summary'!$Y:$Y,'Threshold Summary'!$R:$R,"")/4))*XLOOKUP($Q312,'Threshold Summary'!$Y:$Y,'Threshold Summary'!$L:$L,""))/100)+5)*XLOOKUP(XLOOKUP($Q312,'Threshold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Editor'!$E:$E,1))),stab,IF(OR(mtype=XLOOKUP(XLOOKUP($Q312,'Threshold Summary'!$Y:$Y,'Threshold Summary'!$K:$K,""),'Pokemon Editor'!$A:$A,'Pokemon Editor'!$C:$C,""),mtype=XLOOKUP(XLOOKUP($Q312,'Threshold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Chart'!$B$1:$S$1,0)))),base,IF(OR(cat="Status",pow=0),0,FLOOR(FLOOR(FLOOR((2*XLOOKUP($Q312,'Threshold Summary'!$Y:$Y,'Threshold Summary'!$L:$L,"")/5+2)*pow*atk/def)/50)+2)),modifier,stab*eff,FLOOR(base*modifier*0.85)),0)</f>
        <v/>
      </c>
      <c r="K312" s="3">
        <f>IFERROR(LET(mtype,XLOOKUP($D312,'Move Editor'!$B:$B,'Move Editor'!$C:$C,""),cat,XLOOKUP($D312,'Move Editor'!$B:$B,'Move Editor'!$D:$D,""),pow,XLOOKUP($D312,'Move Editor'!$B:$B,'Move Editor'!$E:$E,0),acc,XLOOKUP($D312,'Move Editor'!$B:$B,'Move Editor'!$F:$F,100),atk,IF(cat="Physical",FLOOR((FLOOR(((2*XLOOKUP(XLOOKUP($Q312,'Threshold Summary'!$Y:$Y,'Threshold Summary'!$K:$K,""),'Pokemon Editor'!$A:$A,'Pokemon Editor'!$F:$F,0)+31+FLOOR(XLOOKUP($Q312,'Threshold Summary'!$Y:$Y,'Threshold Summary'!$P:$P,"")/4))*XLOOKUP($Q312,'Threshold Summary'!$Y:$Y,'Threshold Summary'!$L:$L,""))/100)+5)*XLOOKUP(XLOOKUP($Q312,'Threshold Summary'!$Y:$Y,'Threshold Summary'!$M:$M,""),'Nature Editor'!$A:$A,'Nature Editor'!$B:$B,1)),FLOOR((FLOOR(((2*XLOOKUP(XLOOKUP($Q312,'Threshold Summary'!$Y:$Y,'Threshold Summary'!$K:$K,""),'Pokemon Editor'!$A:$A,'Pokemon Editor'!$H:$H,0)+31+FLOOR(XLOOKUP($Q312,'Threshold Summary'!$Y:$Y,'Threshold Summary'!$R:$R,"")/4))*XLOOKUP($Q312,'Threshold Summary'!$Y:$Y,'Threshold Summary'!$L:$L,""))/100)+5)*XLOOKUP(XLOOKUP($Q312,'Threshold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Editor'!$E:$E,1))),stab,IF(OR(mtype=XLOOKUP(XLOOKUP($Q312,'Threshold Summary'!$Y:$Y,'Threshold Summary'!$K:$K,""),'Pokemon Editor'!$A:$A,'Pokemon Editor'!$C:$C,""),mtype=XLOOKUP(XLOOKUP($Q312,'Threshold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Chart'!$B$1:$S$1,0)))),base,IF(OR(cat="Status",pow=0),0,FLOOR(FLOOR(FLOOR((2*XLOOKUP($Q312,'Threshold Summary'!$Y:$Y,'Threshold Summary'!$L:$L,"")/5+2)*pow*atk/def)/50)+2)),modifier,stab*eff,FLOOR(base*modifier)),0)</f>
        <v/>
      </c>
      <c r="L312" s="3">
        <f>IFERROR(LET(mtype,XLOOKUP($D312,'Move Editor'!$B:$B,'Move Editor'!$C:$C,""),cat,XLOOKUP($D312,'Move Editor'!$B:$B,'Move Editor'!$D:$D,""),pow,XLOOKUP($D312,'Move Editor'!$B:$B,'Move Editor'!$E:$E,0),acc,XLOOKUP($D312,'Move Editor'!$B:$B,'Move Editor'!$F:$F,100),atk,IF(cat="Physical",FLOOR((FLOOR(((2*XLOOKUP(XLOOKUP($Q312,'Threshold Summary'!$Y:$Y,'Threshold Summary'!$K:$K,""),'Pokemon Editor'!$A:$A,'Pokemon Editor'!$F:$F,0)+31+FLOOR(XLOOKUP($Q312,'Threshold Summary'!$Y:$Y,'Threshold Summary'!$P:$P,"")/4))*XLOOKUP($Q312,'Threshold Summary'!$Y:$Y,'Threshold Summary'!$L:$L,""))/100)+5)*XLOOKUP(XLOOKUP($Q312,'Threshold Summary'!$Y:$Y,'Threshold Summary'!$M:$M,""),'Nature Editor'!$A:$A,'Nature Editor'!$B:$B,1)),FLOOR((FLOOR(((2*XLOOKUP(XLOOKUP($Q312,'Threshold Summary'!$Y:$Y,'Threshold Summary'!$K:$K,""),'Pokemon Editor'!$A:$A,'Pokemon Editor'!$H:$H,0)+31+FLOOR(XLOOKUP($Q312,'Threshold Summary'!$Y:$Y,'Threshold Summary'!$R:$R,"")/4))*XLOOKUP($Q312,'Threshold Summary'!$Y:$Y,'Threshold Summary'!$L:$L,""))/100)+5)*XLOOKUP(XLOOKUP($Q312,'Threshold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Editor'!$E:$E,1))),stab,IF(OR(mtype=XLOOKUP(XLOOKUP($Q312,'Threshold Summary'!$Y:$Y,'Threshold Summary'!$K:$K,""),'Pokemon Editor'!$A:$A,'Pokemon Editor'!$C:$C,""),mtype=XLOOKUP(XLOOKUP($Q312,'Threshold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Chart'!$B$1:$S$1,0)))),base,IF(OR(cat="Status",pow=0),0,FLOOR(FLOOR(FLOOR((2*XLOOKUP($Q312,'Threshold Summary'!$Y:$Y,'Threshold Summary'!$L:$L,"")/5+2)*pow*atk/def)/50)+2)),modifier,stab*eff,AVERAGE(ARRAYFORMULA(FLOOR(base*modifier*SEQUENCE(16,1,85,1)/100)))),0)</f>
        <v/>
      </c>
      <c r="M312" s="3">
        <f>IFERROR(LET(mtype,XLOOKUP($D312,'Move Editor'!$B:$B,'Move Editor'!$C:$C,""),cat,XLOOKUP($D312,'Move Editor'!$B:$B,'Move Editor'!$D:$D,""),pow,XLOOKUP($D312,'Move Editor'!$B:$B,'Move Editor'!$E:$E,0),acc,XLOOKUP($D312,'Move Editor'!$B:$B,'Move Editor'!$F:$F,100),atk,IF(cat="Physical",FLOOR((FLOOR(((2*XLOOKUP(XLOOKUP($Q312,'Threshold Summary'!$Y:$Y,'Threshold Summary'!$K:$K,""),'Pokemon Editor'!$A:$A,'Pokemon Editor'!$F:$F,0)+31+FLOOR(XLOOKUP($Q312,'Threshold Summary'!$Y:$Y,'Threshold Summary'!$P:$P,"")/4))*XLOOKUP($Q312,'Threshold Summary'!$Y:$Y,'Threshold Summary'!$L:$L,""))/100)+5)*XLOOKUP(XLOOKUP($Q312,'Threshold Summary'!$Y:$Y,'Threshold Summary'!$M:$M,""),'Nature Editor'!$A:$A,'Nature Editor'!$B:$B,1)),FLOOR((FLOOR(((2*XLOOKUP(XLOOKUP($Q312,'Threshold Summary'!$Y:$Y,'Threshold Summary'!$K:$K,""),'Pokemon Editor'!$A:$A,'Pokemon Editor'!$H:$H,0)+31+FLOOR(XLOOKUP($Q312,'Threshold Summary'!$Y:$Y,'Threshold Summary'!$R:$R,"")/4))*XLOOKUP($Q312,'Threshold Summary'!$Y:$Y,'Threshold Summary'!$L:$L,""))/100)+5)*XLOOKUP(XLOOKUP($Q312,'Threshold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Editor'!$E:$E,1))),stab,IF(OR(mtype=XLOOKUP(XLOOKUP($Q312,'Threshold Summary'!$Y:$Y,'Threshold Summary'!$K:$K,""),'Pokemon Editor'!$A:$A,'Pokemon Editor'!$C:$C,""),mtype=XLOOKUP(XLOOKUP($Q312,'Threshold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Chart'!$B$1:$S$1,0)))),base,IF(OR(cat="Status",pow=0),0,FLOOR(FLOOR(FLOOR((2*XLOOKUP($Q312,'Threshold Summary'!$Y:$Y,'Threshold Summary'!$L:$L,"")/5+2)*pow*atk/def)/50)+2)),modifier,stab*eff,AVERAGE(ARRAYFORMULA(FLOOR(base*modifier*SEQUENCE(16,1,85,1)/100)))*MIN(1,acc/100)),0)</f>
        <v/>
      </c>
      <c r="N312" s="4">
        <f>IFERROR(LET(mtype,XLOOKUP($D312,'Move Editor'!$B:$B,'Move Editor'!$C:$C,""),cat,XLOOKUP($D312,'Move Editor'!$B:$B,'Move Editor'!$D:$D,""),pow,XLOOKUP($D312,'Move Editor'!$B:$B,'Move Editor'!$E:$E,0),acc,XLOOKUP($D312,'Move Editor'!$B:$B,'Move Editor'!$F:$F,100),atk,IF(cat="Physical",FLOOR((FLOOR(((2*XLOOKUP(XLOOKUP($Q312,'Threshold Summary'!$Y:$Y,'Threshold Summary'!$K:$K,""),'Pokemon Editor'!$A:$A,'Pokemon Editor'!$F:$F,0)+31+FLOOR(XLOOKUP($Q312,'Threshold Summary'!$Y:$Y,'Threshold Summary'!$P:$P,"")/4))*XLOOKUP($Q312,'Threshold Summary'!$Y:$Y,'Threshold Summary'!$L:$L,""))/100)+5)*XLOOKUP(XLOOKUP($Q312,'Threshold Summary'!$Y:$Y,'Threshold Summary'!$M:$M,""),'Nature Editor'!$A:$A,'Nature Editor'!$B:$B,1)),FLOOR((FLOOR(((2*XLOOKUP(XLOOKUP($Q312,'Threshold Summary'!$Y:$Y,'Threshold Summary'!$K:$K,""),'Pokemon Editor'!$A:$A,'Pokemon Editor'!$H:$H,0)+31+FLOOR(XLOOKUP($Q312,'Threshold Summary'!$Y:$Y,'Threshold Summary'!$R:$R,"")/4))*XLOOKUP($Q312,'Threshold Summary'!$Y:$Y,'Threshold Summary'!$L:$L,""))/100)+5)*XLOOKUP(XLOOKUP($Q312,'Threshold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Editor'!$E:$E,1))),stab,IF(OR(mtype=XLOOKUP(XLOOKUP($Q312,'Threshold Summary'!$Y:$Y,'Threshold Summary'!$K:$K,""),'Pokemon Editor'!$A:$A,'Pokemon Editor'!$C:$C,""),mtype=XLOOKUP(XLOOKUP($Q312,'Threshold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Chart'!$B$1:$S$1,0)))),base,IF(OR(cat="Status",pow=0),0,FLOOR(FLOOR(FLOOR((2*XLOOKUP($Q312,'Threshold Summary'!$Y:$Y,'Threshold Summary'!$L:$L,"")/5+2)*pow*atk/def)/50)+2)),modifier,stab*eff,AVERAGE(ARRAYFORMULA(FLOOR(base*modifier*SEQUENCE(16,1,85,1)/100)))/(FLOOR(((2*XLOOKUP('Boss Editor'!$C$4,'Pokemon Editor'!$A:$A,'Pokemon Editor'!$E:$E,0)+31+FLOOR('Boss Editor'!$G$4/4))*'Boss Editor'!$D$4)/100)+'Boss Editor'!$D$4+10)),0)</f>
        <v/>
      </c>
      <c r="O312" s="3">
        <f>IF(N312&gt;=1,"OHKO",IF(N312&gt;=0.5,"2HKO",IF(N312&gt;=0.333,"3HKO",IF(N312&gt;=0.25,"4HKO","5HKO+"))))</f>
        <v/>
      </c>
      <c r="P312" s="3" t="inlineStr">
        <is>
          <t>Live from editable databases</t>
        </is>
      </c>
      <c r="Q312" s="3" t="inlineStr">
        <is>
          <t>SPECIES_STARLY</t>
        </is>
      </c>
      <c r="R312" s="3" t="n">
        <v>23</v>
      </c>
    </row>
    <row r="313">
      <c r="A313" s="3">
        <f>XLOOKUP($Q313,'Threshold Summary'!$Y:$Y,'Threshold Summary'!$A:$A,"")</f>
        <v/>
      </c>
      <c r="B313" s="3">
        <f>XLOOKUP($Q313,'Threshold Summary'!$Y:$Y,'Threshold Summary'!$M:$M,"")</f>
        <v/>
      </c>
      <c r="C313" s="3">
        <f>XLOOKUP($Q313,'Threshold Summary'!$Y:$Y,'Threshold Summary'!$N:$N,"")</f>
        <v/>
      </c>
      <c r="D313" s="3">
        <f>IFERROR(INDEX(FILTER('Learnset Editor'!$D$2:$D,'Learnset Editor'!$A$2:$A=XLOOKUP($Q313,'Threshold Summary'!$Y:$Y,'Threshold Summary'!$K:$K,""),'Learnset Editor'!$C$2:$C&lt;=XLOOKUP($Q313,'Threshold Summary'!$Y:$Y,'Threshold Summary'!$L:$L,"")),$R313),"")</f>
        <v/>
      </c>
      <c r="E313" s="3">
        <f>XLOOKUP(D313,'Move Editor'!$B:$B,'Move Editor'!$C:$C,"")</f>
        <v/>
      </c>
      <c r="F313" s="3">
        <f>XLOOKUP(D313,'Move Editor'!$B:$B,'Move Editor'!$D:$D,"")</f>
        <v/>
      </c>
      <c r="G313" s="3">
        <f>XLOOKUP(D313,'Move Editor'!$B:$B,'Move Editor'!$E:$E,0)</f>
        <v/>
      </c>
      <c r="H313" s="3">
        <f>XLOOKUP(D313,'Move Editor'!$B:$B,'Move Editor'!$F:$F,0)</f>
        <v/>
      </c>
      <c r="I313" s="3">
        <f>(INDEX('Type Chart'!$B:$S,MATCH(E313,'Type Chart'!$A:$A,0),MATCH(XLOOKUP('Boss Editor'!$C$4,'Pokemon Editor'!$A:$A,'Pokemon Editor'!$C:$C,""),'Type Chart'!$B$1:$S$1,0))*IF(XLOOKUP('Boss Editor'!$C$4,'Pokemon Editor'!$A:$A,'Pokemon Editor'!$D:$D,"")="",1,INDEX('Type Chart'!$B:$S,MATCH(E313,'Type Chart'!$A:$A,0),MATCH(XLOOKUP('Boss Editor'!$C$4,'Pokemon Editor'!$A:$A,'Pokemon Editor'!$D:$D,""),'Type Chart'!$B$1:$S$1,0))))</f>
        <v/>
      </c>
      <c r="J313" s="3">
        <f>IFERROR(LET(mtype,XLOOKUP($D313,'Move Editor'!$B:$B,'Move Editor'!$C:$C,""),cat,XLOOKUP($D313,'Move Editor'!$B:$B,'Move Editor'!$D:$D,""),pow,XLOOKUP($D313,'Move Editor'!$B:$B,'Move Editor'!$E:$E,0),acc,XLOOKUP($D313,'Move Editor'!$B:$B,'Move Editor'!$F:$F,100),atk,IF(cat="Physical",FLOOR((FLOOR(((2*XLOOKUP(XLOOKUP($Q313,'Threshold Summary'!$Y:$Y,'Threshold Summary'!$K:$K,""),'Pokemon Editor'!$A:$A,'Pokemon Editor'!$F:$F,0)+31+FLOOR(XLOOKUP($Q313,'Threshold Summary'!$Y:$Y,'Threshold Summary'!$P:$P,"")/4))*XLOOKUP($Q313,'Threshold Summary'!$Y:$Y,'Threshold Summary'!$L:$L,""))/100)+5)*XLOOKUP(XLOOKUP($Q313,'Threshold Summary'!$Y:$Y,'Threshold Summary'!$M:$M,""),'Nature Editor'!$A:$A,'Nature Editor'!$B:$B,1)),FLOOR((FLOOR(((2*XLOOKUP(XLOOKUP($Q313,'Threshold Summary'!$Y:$Y,'Threshold Summary'!$K:$K,""),'Pokemon Editor'!$A:$A,'Pokemon Editor'!$H:$H,0)+31+FLOOR(XLOOKUP($Q313,'Threshold Summary'!$Y:$Y,'Threshold Summary'!$R:$R,"")/4))*XLOOKUP($Q313,'Threshold Summary'!$Y:$Y,'Threshold Summary'!$L:$L,""))/100)+5)*XLOOKUP(XLOOKUP($Q313,'Threshold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Editor'!$E:$E,1))),stab,IF(OR(mtype=XLOOKUP(XLOOKUP($Q313,'Threshold Summary'!$Y:$Y,'Threshold Summary'!$K:$K,""),'Pokemon Editor'!$A:$A,'Pokemon Editor'!$C:$C,""),mtype=XLOOKUP(XLOOKUP($Q313,'Threshold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Chart'!$B$1:$S$1,0)))),base,IF(OR(cat="Status",pow=0),0,FLOOR(FLOOR(FLOOR((2*XLOOKUP($Q313,'Threshold Summary'!$Y:$Y,'Threshold Summary'!$L:$L,"")/5+2)*pow*atk/def)/50)+2)),modifier,stab*eff,FLOOR(base*modifier*0.85)),0)</f>
        <v/>
      </c>
      <c r="K313" s="3">
        <f>IFERROR(LET(mtype,XLOOKUP($D313,'Move Editor'!$B:$B,'Move Editor'!$C:$C,""),cat,XLOOKUP($D313,'Move Editor'!$B:$B,'Move Editor'!$D:$D,""),pow,XLOOKUP($D313,'Move Editor'!$B:$B,'Move Editor'!$E:$E,0),acc,XLOOKUP($D313,'Move Editor'!$B:$B,'Move Editor'!$F:$F,100),atk,IF(cat="Physical",FLOOR((FLOOR(((2*XLOOKUP(XLOOKUP($Q313,'Threshold Summary'!$Y:$Y,'Threshold Summary'!$K:$K,""),'Pokemon Editor'!$A:$A,'Pokemon Editor'!$F:$F,0)+31+FLOOR(XLOOKUP($Q313,'Threshold Summary'!$Y:$Y,'Threshold Summary'!$P:$P,"")/4))*XLOOKUP($Q313,'Threshold Summary'!$Y:$Y,'Threshold Summary'!$L:$L,""))/100)+5)*XLOOKUP(XLOOKUP($Q313,'Threshold Summary'!$Y:$Y,'Threshold Summary'!$M:$M,""),'Nature Editor'!$A:$A,'Nature Editor'!$B:$B,1)),FLOOR((FLOOR(((2*XLOOKUP(XLOOKUP($Q313,'Threshold Summary'!$Y:$Y,'Threshold Summary'!$K:$K,""),'Pokemon Editor'!$A:$A,'Pokemon Editor'!$H:$H,0)+31+FLOOR(XLOOKUP($Q313,'Threshold Summary'!$Y:$Y,'Threshold Summary'!$R:$R,"")/4))*XLOOKUP($Q313,'Threshold Summary'!$Y:$Y,'Threshold Summary'!$L:$L,""))/100)+5)*XLOOKUP(XLOOKUP($Q313,'Threshold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Editor'!$E:$E,1))),stab,IF(OR(mtype=XLOOKUP(XLOOKUP($Q313,'Threshold Summary'!$Y:$Y,'Threshold Summary'!$K:$K,""),'Pokemon Editor'!$A:$A,'Pokemon Editor'!$C:$C,""),mtype=XLOOKUP(XLOOKUP($Q313,'Threshold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Chart'!$B$1:$S$1,0)))),base,IF(OR(cat="Status",pow=0),0,FLOOR(FLOOR(FLOOR((2*XLOOKUP($Q313,'Threshold Summary'!$Y:$Y,'Threshold Summary'!$L:$L,"")/5+2)*pow*atk/def)/50)+2)),modifier,stab*eff,FLOOR(base*modifier)),0)</f>
        <v/>
      </c>
      <c r="L313" s="3">
        <f>IFERROR(LET(mtype,XLOOKUP($D313,'Move Editor'!$B:$B,'Move Editor'!$C:$C,""),cat,XLOOKUP($D313,'Move Editor'!$B:$B,'Move Editor'!$D:$D,""),pow,XLOOKUP($D313,'Move Editor'!$B:$B,'Move Editor'!$E:$E,0),acc,XLOOKUP($D313,'Move Editor'!$B:$B,'Move Editor'!$F:$F,100),atk,IF(cat="Physical",FLOOR((FLOOR(((2*XLOOKUP(XLOOKUP($Q313,'Threshold Summary'!$Y:$Y,'Threshold Summary'!$K:$K,""),'Pokemon Editor'!$A:$A,'Pokemon Editor'!$F:$F,0)+31+FLOOR(XLOOKUP($Q313,'Threshold Summary'!$Y:$Y,'Threshold Summary'!$P:$P,"")/4))*XLOOKUP($Q313,'Threshold Summary'!$Y:$Y,'Threshold Summary'!$L:$L,""))/100)+5)*XLOOKUP(XLOOKUP($Q313,'Threshold Summary'!$Y:$Y,'Threshold Summary'!$M:$M,""),'Nature Editor'!$A:$A,'Nature Editor'!$B:$B,1)),FLOOR((FLOOR(((2*XLOOKUP(XLOOKUP($Q313,'Threshold Summary'!$Y:$Y,'Threshold Summary'!$K:$K,""),'Pokemon Editor'!$A:$A,'Pokemon Editor'!$H:$H,0)+31+FLOOR(XLOOKUP($Q313,'Threshold Summary'!$Y:$Y,'Threshold Summary'!$R:$R,"")/4))*XLOOKUP($Q313,'Threshold Summary'!$Y:$Y,'Threshold Summary'!$L:$L,""))/100)+5)*XLOOKUP(XLOOKUP($Q313,'Threshold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Editor'!$E:$E,1))),stab,IF(OR(mtype=XLOOKUP(XLOOKUP($Q313,'Threshold Summary'!$Y:$Y,'Threshold Summary'!$K:$K,""),'Pokemon Editor'!$A:$A,'Pokemon Editor'!$C:$C,""),mtype=XLOOKUP(XLOOKUP($Q313,'Threshold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Chart'!$B$1:$S$1,0)))),base,IF(OR(cat="Status",pow=0),0,FLOOR(FLOOR(FLOOR((2*XLOOKUP($Q313,'Threshold Summary'!$Y:$Y,'Threshold Summary'!$L:$L,"")/5+2)*pow*atk/def)/50)+2)),modifier,stab*eff,AVERAGE(ARRAYFORMULA(FLOOR(base*modifier*SEQUENCE(16,1,85,1)/100)))),0)</f>
        <v/>
      </c>
      <c r="M313" s="3">
        <f>IFERROR(LET(mtype,XLOOKUP($D313,'Move Editor'!$B:$B,'Move Editor'!$C:$C,""),cat,XLOOKUP($D313,'Move Editor'!$B:$B,'Move Editor'!$D:$D,""),pow,XLOOKUP($D313,'Move Editor'!$B:$B,'Move Editor'!$E:$E,0),acc,XLOOKUP($D313,'Move Editor'!$B:$B,'Move Editor'!$F:$F,100),atk,IF(cat="Physical",FLOOR((FLOOR(((2*XLOOKUP(XLOOKUP($Q313,'Threshold Summary'!$Y:$Y,'Threshold Summary'!$K:$K,""),'Pokemon Editor'!$A:$A,'Pokemon Editor'!$F:$F,0)+31+FLOOR(XLOOKUP($Q313,'Threshold Summary'!$Y:$Y,'Threshold Summary'!$P:$P,"")/4))*XLOOKUP($Q313,'Threshold Summary'!$Y:$Y,'Threshold Summary'!$L:$L,""))/100)+5)*XLOOKUP(XLOOKUP($Q313,'Threshold Summary'!$Y:$Y,'Threshold Summary'!$M:$M,""),'Nature Editor'!$A:$A,'Nature Editor'!$B:$B,1)),FLOOR((FLOOR(((2*XLOOKUP(XLOOKUP($Q313,'Threshold Summary'!$Y:$Y,'Threshold Summary'!$K:$K,""),'Pokemon Editor'!$A:$A,'Pokemon Editor'!$H:$H,0)+31+FLOOR(XLOOKUP($Q313,'Threshold Summary'!$Y:$Y,'Threshold Summary'!$R:$R,"")/4))*XLOOKUP($Q313,'Threshold Summary'!$Y:$Y,'Threshold Summary'!$L:$L,""))/100)+5)*XLOOKUP(XLOOKUP($Q313,'Threshold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Editor'!$E:$E,1))),stab,IF(OR(mtype=XLOOKUP(XLOOKUP($Q313,'Threshold Summary'!$Y:$Y,'Threshold Summary'!$K:$K,""),'Pokemon Editor'!$A:$A,'Pokemon Editor'!$C:$C,""),mtype=XLOOKUP(XLOOKUP($Q313,'Threshold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Chart'!$B$1:$S$1,0)))),base,IF(OR(cat="Status",pow=0),0,FLOOR(FLOOR(FLOOR((2*XLOOKUP($Q313,'Threshold Summary'!$Y:$Y,'Threshold Summary'!$L:$L,"")/5+2)*pow*atk/def)/50)+2)),modifier,stab*eff,AVERAGE(ARRAYFORMULA(FLOOR(base*modifier*SEQUENCE(16,1,85,1)/100)))*MIN(1,acc/100)),0)</f>
        <v/>
      </c>
      <c r="N313" s="4">
        <f>IFERROR(LET(mtype,XLOOKUP($D313,'Move Editor'!$B:$B,'Move Editor'!$C:$C,""),cat,XLOOKUP($D313,'Move Editor'!$B:$B,'Move Editor'!$D:$D,""),pow,XLOOKUP($D313,'Move Editor'!$B:$B,'Move Editor'!$E:$E,0),acc,XLOOKUP($D313,'Move Editor'!$B:$B,'Move Editor'!$F:$F,100),atk,IF(cat="Physical",FLOOR((FLOOR(((2*XLOOKUP(XLOOKUP($Q313,'Threshold Summary'!$Y:$Y,'Threshold Summary'!$K:$K,""),'Pokemon Editor'!$A:$A,'Pokemon Editor'!$F:$F,0)+31+FLOOR(XLOOKUP($Q313,'Threshold Summary'!$Y:$Y,'Threshold Summary'!$P:$P,"")/4))*XLOOKUP($Q313,'Threshold Summary'!$Y:$Y,'Threshold Summary'!$L:$L,""))/100)+5)*XLOOKUP(XLOOKUP($Q313,'Threshold Summary'!$Y:$Y,'Threshold Summary'!$M:$M,""),'Nature Editor'!$A:$A,'Nature Editor'!$B:$B,1)),FLOOR((FLOOR(((2*XLOOKUP(XLOOKUP($Q313,'Threshold Summary'!$Y:$Y,'Threshold Summary'!$K:$K,""),'Pokemon Editor'!$A:$A,'Pokemon Editor'!$H:$H,0)+31+FLOOR(XLOOKUP($Q313,'Threshold Summary'!$Y:$Y,'Threshold Summary'!$R:$R,"")/4))*XLOOKUP($Q313,'Threshold Summary'!$Y:$Y,'Threshold Summary'!$L:$L,""))/100)+5)*XLOOKUP(XLOOKUP($Q313,'Threshold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Editor'!$E:$E,1))),stab,IF(OR(mtype=XLOOKUP(XLOOKUP($Q313,'Threshold Summary'!$Y:$Y,'Threshold Summary'!$K:$K,""),'Pokemon Editor'!$A:$A,'Pokemon Editor'!$C:$C,""),mtype=XLOOKUP(XLOOKUP($Q313,'Threshold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Chart'!$B$1:$S$1,0)))),base,IF(OR(cat="Status",pow=0),0,FLOOR(FLOOR(FLOOR((2*XLOOKUP($Q313,'Threshold Summary'!$Y:$Y,'Threshold Summary'!$L:$L,"")/5+2)*pow*atk/def)/50)+2)),modifier,stab*eff,AVERAGE(ARRAYFORMULA(FLOOR(base*modifier*SEQUENCE(16,1,85,1)/100)))/(FLOOR(((2*XLOOKUP('Boss Editor'!$C$4,'Pokemon Editor'!$A:$A,'Pokemon Editor'!$E:$E,0)+31+FLOOR('Boss Editor'!$G$4/4))*'Boss Editor'!$D$4)/100)+'Boss Editor'!$D$4+10)),0)</f>
        <v/>
      </c>
      <c r="O313" s="3">
        <f>IF(N313&gt;=1,"OHKO",IF(N313&gt;=0.5,"2HKO",IF(N313&gt;=0.333,"3HKO",IF(N313&gt;=0.25,"4HKO","5HKO+"))))</f>
        <v/>
      </c>
      <c r="P313" s="3" t="inlineStr">
        <is>
          <t>Live from editable databases</t>
        </is>
      </c>
      <c r="Q313" s="3" t="inlineStr">
        <is>
          <t>SPECIES_STARLY</t>
        </is>
      </c>
      <c r="R313" s="3" t="n">
        <v>24</v>
      </c>
    </row>
    <row r="314">
      <c r="A314" s="3">
        <f>XLOOKUP($Q314,'Threshold Summary'!$Y:$Y,'Threshold Summary'!$A:$A,"")</f>
        <v/>
      </c>
      <c r="B314" s="3">
        <f>XLOOKUP($Q314,'Threshold Summary'!$Y:$Y,'Threshold Summary'!$M:$M,"")</f>
        <v/>
      </c>
      <c r="C314" s="3">
        <f>XLOOKUP($Q314,'Threshold Summary'!$Y:$Y,'Threshold Summary'!$N:$N,"")</f>
        <v/>
      </c>
      <c r="D314" s="3">
        <f>IFERROR(INDEX(FILTER('Learnset Editor'!$D$2:$D,'Learnset Editor'!$A$2:$A=XLOOKUP($Q314,'Threshold Summary'!$Y:$Y,'Threshold Summary'!$K:$K,""),'Learnset Editor'!$C$2:$C&lt;=XLOOKUP($Q314,'Threshold Summary'!$Y:$Y,'Threshold Summary'!$L:$L,"")),$R314),"")</f>
        <v/>
      </c>
      <c r="E314" s="3">
        <f>XLOOKUP(D314,'Move Editor'!$B:$B,'Move Editor'!$C:$C,"")</f>
        <v/>
      </c>
      <c r="F314" s="3">
        <f>XLOOKUP(D314,'Move Editor'!$B:$B,'Move Editor'!$D:$D,"")</f>
        <v/>
      </c>
      <c r="G314" s="3">
        <f>XLOOKUP(D314,'Move Editor'!$B:$B,'Move Editor'!$E:$E,0)</f>
        <v/>
      </c>
      <c r="H314" s="3">
        <f>XLOOKUP(D314,'Move Editor'!$B:$B,'Move Editor'!$F:$F,0)</f>
        <v/>
      </c>
      <c r="I314" s="3">
        <f>(INDEX('Type Chart'!$B:$S,MATCH(E314,'Type Chart'!$A:$A,0),MATCH(XLOOKUP('Boss Editor'!$C$4,'Pokemon Editor'!$A:$A,'Pokemon Editor'!$C:$C,""),'Type Chart'!$B$1:$S$1,0))*IF(XLOOKUP('Boss Editor'!$C$4,'Pokemon Editor'!$A:$A,'Pokemon Editor'!$D:$D,"")="",1,INDEX('Type Chart'!$B:$S,MATCH(E314,'Type Chart'!$A:$A,0),MATCH(XLOOKUP('Boss Editor'!$C$4,'Pokemon Editor'!$A:$A,'Pokemon Editor'!$D:$D,""),'Type Chart'!$B$1:$S$1,0))))</f>
        <v/>
      </c>
      <c r="J314" s="3">
        <f>IFERROR(LET(mtype,XLOOKUP($D314,'Move Editor'!$B:$B,'Move Editor'!$C:$C,""),cat,XLOOKUP($D314,'Move Editor'!$B:$B,'Move Editor'!$D:$D,""),pow,XLOOKUP($D314,'Move Editor'!$B:$B,'Move Editor'!$E:$E,0),acc,XLOOKUP($D314,'Move Editor'!$B:$B,'Move Editor'!$F:$F,100),atk,IF(cat="Physical",FLOOR((FLOOR(((2*XLOOKUP(XLOOKUP($Q314,'Threshold Summary'!$Y:$Y,'Threshold Summary'!$K:$K,""),'Pokemon Editor'!$A:$A,'Pokemon Editor'!$F:$F,0)+31+FLOOR(XLOOKUP($Q314,'Threshold Summary'!$Y:$Y,'Threshold Summary'!$P:$P,"")/4))*XLOOKUP($Q314,'Threshold Summary'!$Y:$Y,'Threshold Summary'!$L:$L,""))/100)+5)*XLOOKUP(XLOOKUP($Q314,'Threshold Summary'!$Y:$Y,'Threshold Summary'!$M:$M,""),'Nature Editor'!$A:$A,'Nature Editor'!$B:$B,1)),FLOOR((FLOOR(((2*XLOOKUP(XLOOKUP($Q314,'Threshold Summary'!$Y:$Y,'Threshold Summary'!$K:$K,""),'Pokemon Editor'!$A:$A,'Pokemon Editor'!$H:$H,0)+31+FLOOR(XLOOKUP($Q314,'Threshold Summary'!$Y:$Y,'Threshold Summary'!$R:$R,"")/4))*XLOOKUP($Q314,'Threshold Summary'!$Y:$Y,'Threshold Summary'!$L:$L,""))/100)+5)*XLOOKUP(XLOOKUP($Q314,'Threshold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Editor'!$E:$E,1))),stab,IF(OR(mtype=XLOOKUP(XLOOKUP($Q314,'Threshold Summary'!$Y:$Y,'Threshold Summary'!$K:$K,""),'Pokemon Editor'!$A:$A,'Pokemon Editor'!$C:$C,""),mtype=XLOOKUP(XLOOKUP($Q314,'Threshold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Chart'!$B$1:$S$1,0)))),base,IF(OR(cat="Status",pow=0),0,FLOOR(FLOOR(FLOOR((2*XLOOKUP($Q314,'Threshold Summary'!$Y:$Y,'Threshold Summary'!$L:$L,"")/5+2)*pow*atk/def)/50)+2)),modifier,stab*eff,FLOOR(base*modifier*0.85)),0)</f>
        <v/>
      </c>
      <c r="K314" s="3">
        <f>IFERROR(LET(mtype,XLOOKUP($D314,'Move Editor'!$B:$B,'Move Editor'!$C:$C,""),cat,XLOOKUP($D314,'Move Editor'!$B:$B,'Move Editor'!$D:$D,""),pow,XLOOKUP($D314,'Move Editor'!$B:$B,'Move Editor'!$E:$E,0),acc,XLOOKUP($D314,'Move Editor'!$B:$B,'Move Editor'!$F:$F,100),atk,IF(cat="Physical",FLOOR((FLOOR(((2*XLOOKUP(XLOOKUP($Q314,'Threshold Summary'!$Y:$Y,'Threshold Summary'!$K:$K,""),'Pokemon Editor'!$A:$A,'Pokemon Editor'!$F:$F,0)+31+FLOOR(XLOOKUP($Q314,'Threshold Summary'!$Y:$Y,'Threshold Summary'!$P:$P,"")/4))*XLOOKUP($Q314,'Threshold Summary'!$Y:$Y,'Threshold Summary'!$L:$L,""))/100)+5)*XLOOKUP(XLOOKUP($Q314,'Threshold Summary'!$Y:$Y,'Threshold Summary'!$M:$M,""),'Nature Editor'!$A:$A,'Nature Editor'!$B:$B,1)),FLOOR((FLOOR(((2*XLOOKUP(XLOOKUP($Q314,'Threshold Summary'!$Y:$Y,'Threshold Summary'!$K:$K,""),'Pokemon Editor'!$A:$A,'Pokemon Editor'!$H:$H,0)+31+FLOOR(XLOOKUP($Q314,'Threshold Summary'!$Y:$Y,'Threshold Summary'!$R:$R,"")/4))*XLOOKUP($Q314,'Threshold Summary'!$Y:$Y,'Threshold Summary'!$L:$L,""))/100)+5)*XLOOKUP(XLOOKUP($Q314,'Threshold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Editor'!$E:$E,1))),stab,IF(OR(mtype=XLOOKUP(XLOOKUP($Q314,'Threshold Summary'!$Y:$Y,'Threshold Summary'!$K:$K,""),'Pokemon Editor'!$A:$A,'Pokemon Editor'!$C:$C,""),mtype=XLOOKUP(XLOOKUP($Q314,'Threshold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Chart'!$B$1:$S$1,0)))),base,IF(OR(cat="Status",pow=0),0,FLOOR(FLOOR(FLOOR((2*XLOOKUP($Q314,'Threshold Summary'!$Y:$Y,'Threshold Summary'!$L:$L,"")/5+2)*pow*atk/def)/50)+2)),modifier,stab*eff,FLOOR(base*modifier)),0)</f>
        <v/>
      </c>
      <c r="L314" s="3">
        <f>IFERROR(LET(mtype,XLOOKUP($D314,'Move Editor'!$B:$B,'Move Editor'!$C:$C,""),cat,XLOOKUP($D314,'Move Editor'!$B:$B,'Move Editor'!$D:$D,""),pow,XLOOKUP($D314,'Move Editor'!$B:$B,'Move Editor'!$E:$E,0),acc,XLOOKUP($D314,'Move Editor'!$B:$B,'Move Editor'!$F:$F,100),atk,IF(cat="Physical",FLOOR((FLOOR(((2*XLOOKUP(XLOOKUP($Q314,'Threshold Summary'!$Y:$Y,'Threshold Summary'!$K:$K,""),'Pokemon Editor'!$A:$A,'Pokemon Editor'!$F:$F,0)+31+FLOOR(XLOOKUP($Q314,'Threshold Summary'!$Y:$Y,'Threshold Summary'!$P:$P,"")/4))*XLOOKUP($Q314,'Threshold Summary'!$Y:$Y,'Threshold Summary'!$L:$L,""))/100)+5)*XLOOKUP(XLOOKUP($Q314,'Threshold Summary'!$Y:$Y,'Threshold Summary'!$M:$M,""),'Nature Editor'!$A:$A,'Nature Editor'!$B:$B,1)),FLOOR((FLOOR(((2*XLOOKUP(XLOOKUP($Q314,'Threshold Summary'!$Y:$Y,'Threshold Summary'!$K:$K,""),'Pokemon Editor'!$A:$A,'Pokemon Editor'!$H:$H,0)+31+FLOOR(XLOOKUP($Q314,'Threshold Summary'!$Y:$Y,'Threshold Summary'!$R:$R,"")/4))*XLOOKUP($Q314,'Threshold Summary'!$Y:$Y,'Threshold Summary'!$L:$L,""))/100)+5)*XLOOKUP(XLOOKUP($Q314,'Threshold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Editor'!$E:$E,1))),stab,IF(OR(mtype=XLOOKUP(XLOOKUP($Q314,'Threshold Summary'!$Y:$Y,'Threshold Summary'!$K:$K,""),'Pokemon Editor'!$A:$A,'Pokemon Editor'!$C:$C,""),mtype=XLOOKUP(XLOOKUP($Q314,'Threshold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Chart'!$B$1:$S$1,0)))),base,IF(OR(cat="Status",pow=0),0,FLOOR(FLOOR(FLOOR((2*XLOOKUP($Q314,'Threshold Summary'!$Y:$Y,'Threshold Summary'!$L:$L,"")/5+2)*pow*atk/def)/50)+2)),modifier,stab*eff,AVERAGE(ARRAYFORMULA(FLOOR(base*modifier*SEQUENCE(16,1,85,1)/100)))),0)</f>
        <v/>
      </c>
      <c r="M314" s="3">
        <f>IFERROR(LET(mtype,XLOOKUP($D314,'Move Editor'!$B:$B,'Move Editor'!$C:$C,""),cat,XLOOKUP($D314,'Move Editor'!$B:$B,'Move Editor'!$D:$D,""),pow,XLOOKUP($D314,'Move Editor'!$B:$B,'Move Editor'!$E:$E,0),acc,XLOOKUP($D314,'Move Editor'!$B:$B,'Move Editor'!$F:$F,100),atk,IF(cat="Physical",FLOOR((FLOOR(((2*XLOOKUP(XLOOKUP($Q314,'Threshold Summary'!$Y:$Y,'Threshold Summary'!$K:$K,""),'Pokemon Editor'!$A:$A,'Pokemon Editor'!$F:$F,0)+31+FLOOR(XLOOKUP($Q314,'Threshold Summary'!$Y:$Y,'Threshold Summary'!$P:$P,"")/4))*XLOOKUP($Q314,'Threshold Summary'!$Y:$Y,'Threshold Summary'!$L:$L,""))/100)+5)*XLOOKUP(XLOOKUP($Q314,'Threshold Summary'!$Y:$Y,'Threshold Summary'!$M:$M,""),'Nature Editor'!$A:$A,'Nature Editor'!$B:$B,1)),FLOOR((FLOOR(((2*XLOOKUP(XLOOKUP($Q314,'Threshold Summary'!$Y:$Y,'Threshold Summary'!$K:$K,""),'Pokemon Editor'!$A:$A,'Pokemon Editor'!$H:$H,0)+31+FLOOR(XLOOKUP($Q314,'Threshold Summary'!$Y:$Y,'Threshold Summary'!$R:$R,"")/4))*XLOOKUP($Q314,'Threshold Summary'!$Y:$Y,'Threshold Summary'!$L:$L,""))/100)+5)*XLOOKUP(XLOOKUP($Q314,'Threshold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Editor'!$E:$E,1))),stab,IF(OR(mtype=XLOOKUP(XLOOKUP($Q314,'Threshold Summary'!$Y:$Y,'Threshold Summary'!$K:$K,""),'Pokemon Editor'!$A:$A,'Pokemon Editor'!$C:$C,""),mtype=XLOOKUP(XLOOKUP($Q314,'Threshold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Chart'!$B$1:$S$1,0)))),base,IF(OR(cat="Status",pow=0),0,FLOOR(FLOOR(FLOOR((2*XLOOKUP($Q314,'Threshold Summary'!$Y:$Y,'Threshold Summary'!$L:$L,"")/5+2)*pow*atk/def)/50)+2)),modifier,stab*eff,AVERAGE(ARRAYFORMULA(FLOOR(base*modifier*SEQUENCE(16,1,85,1)/100)))*MIN(1,acc/100)),0)</f>
        <v/>
      </c>
      <c r="N314" s="4">
        <f>IFERROR(LET(mtype,XLOOKUP($D314,'Move Editor'!$B:$B,'Move Editor'!$C:$C,""),cat,XLOOKUP($D314,'Move Editor'!$B:$B,'Move Editor'!$D:$D,""),pow,XLOOKUP($D314,'Move Editor'!$B:$B,'Move Editor'!$E:$E,0),acc,XLOOKUP($D314,'Move Editor'!$B:$B,'Move Editor'!$F:$F,100),atk,IF(cat="Physical",FLOOR((FLOOR(((2*XLOOKUP(XLOOKUP($Q314,'Threshold Summary'!$Y:$Y,'Threshold Summary'!$K:$K,""),'Pokemon Editor'!$A:$A,'Pokemon Editor'!$F:$F,0)+31+FLOOR(XLOOKUP($Q314,'Threshold Summary'!$Y:$Y,'Threshold Summary'!$P:$P,"")/4))*XLOOKUP($Q314,'Threshold Summary'!$Y:$Y,'Threshold Summary'!$L:$L,""))/100)+5)*XLOOKUP(XLOOKUP($Q314,'Threshold Summary'!$Y:$Y,'Threshold Summary'!$M:$M,""),'Nature Editor'!$A:$A,'Nature Editor'!$B:$B,1)),FLOOR((FLOOR(((2*XLOOKUP(XLOOKUP($Q314,'Threshold Summary'!$Y:$Y,'Threshold Summary'!$K:$K,""),'Pokemon Editor'!$A:$A,'Pokemon Editor'!$H:$H,0)+31+FLOOR(XLOOKUP($Q314,'Threshold Summary'!$Y:$Y,'Threshold Summary'!$R:$R,"")/4))*XLOOKUP($Q314,'Threshold Summary'!$Y:$Y,'Threshold Summary'!$L:$L,""))/100)+5)*XLOOKUP(XLOOKUP($Q314,'Threshold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Editor'!$E:$E,1))),stab,IF(OR(mtype=XLOOKUP(XLOOKUP($Q314,'Threshold Summary'!$Y:$Y,'Threshold Summary'!$K:$K,""),'Pokemon Editor'!$A:$A,'Pokemon Editor'!$C:$C,""),mtype=XLOOKUP(XLOOKUP($Q314,'Threshold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Chart'!$B$1:$S$1,0)))),base,IF(OR(cat="Status",pow=0),0,FLOOR(FLOOR(FLOOR((2*XLOOKUP($Q314,'Threshold Summary'!$Y:$Y,'Threshold Summary'!$L:$L,"")/5+2)*pow*atk/def)/50)+2)),modifier,stab*eff,AVERAGE(ARRAYFORMULA(FLOOR(base*modifier*SEQUENCE(16,1,85,1)/100)))/(FLOOR(((2*XLOOKUP('Boss Editor'!$C$4,'Pokemon Editor'!$A:$A,'Pokemon Editor'!$E:$E,0)+31+FLOOR('Boss Editor'!$G$4/4))*'Boss Editor'!$D$4)/100)+'Boss Editor'!$D$4+10)),0)</f>
        <v/>
      </c>
      <c r="O314" s="3">
        <f>IF(N314&gt;=1,"OHKO",IF(N314&gt;=0.5,"2HKO",IF(N314&gt;=0.333,"3HKO",IF(N314&gt;=0.25,"4HKO","5HKO+"))))</f>
        <v/>
      </c>
      <c r="P314" s="3" t="inlineStr">
        <is>
          <t>Live from editable databases</t>
        </is>
      </c>
      <c r="Q314" s="3" t="inlineStr">
        <is>
          <t>SPECIES_STARLY</t>
        </is>
      </c>
      <c r="R314" s="3" t="n">
        <v>25</v>
      </c>
    </row>
    <row r="315">
      <c r="A315" s="3">
        <f>XLOOKUP($Q315,'Threshold Summary'!$Y:$Y,'Threshold Summary'!$A:$A,"")</f>
        <v/>
      </c>
      <c r="B315" s="3">
        <f>XLOOKUP($Q315,'Threshold Summary'!$Y:$Y,'Threshold Summary'!$M:$M,"")</f>
        <v/>
      </c>
      <c r="C315" s="3">
        <f>XLOOKUP($Q315,'Threshold Summary'!$Y:$Y,'Threshold Summary'!$N:$N,"")</f>
        <v/>
      </c>
      <c r="D315" s="3">
        <f>IFERROR(INDEX(FILTER('Learnset Editor'!$D$2:$D,'Learnset Editor'!$A$2:$A=XLOOKUP($Q315,'Threshold Summary'!$Y:$Y,'Threshold Summary'!$K:$K,""),'Learnset Editor'!$C$2:$C&lt;=XLOOKUP($Q315,'Threshold Summary'!$Y:$Y,'Threshold Summary'!$L:$L,"")),$R315),"")</f>
        <v/>
      </c>
      <c r="E315" s="3">
        <f>XLOOKUP(D315,'Move Editor'!$B:$B,'Move Editor'!$C:$C,"")</f>
        <v/>
      </c>
      <c r="F315" s="3">
        <f>XLOOKUP(D315,'Move Editor'!$B:$B,'Move Editor'!$D:$D,"")</f>
        <v/>
      </c>
      <c r="G315" s="3">
        <f>XLOOKUP(D315,'Move Editor'!$B:$B,'Move Editor'!$E:$E,0)</f>
        <v/>
      </c>
      <c r="H315" s="3">
        <f>XLOOKUP(D315,'Move Editor'!$B:$B,'Move Editor'!$F:$F,0)</f>
        <v/>
      </c>
      <c r="I315" s="3">
        <f>(INDEX('Type Chart'!$B:$S,MATCH(E315,'Type Chart'!$A:$A,0),MATCH(XLOOKUP('Boss Editor'!$C$4,'Pokemon Editor'!$A:$A,'Pokemon Editor'!$C:$C,""),'Type Chart'!$B$1:$S$1,0))*IF(XLOOKUP('Boss Editor'!$C$4,'Pokemon Editor'!$A:$A,'Pokemon Editor'!$D:$D,"")="",1,INDEX('Type Chart'!$B:$S,MATCH(E315,'Type Chart'!$A:$A,0),MATCH(XLOOKUP('Boss Editor'!$C$4,'Pokemon Editor'!$A:$A,'Pokemon Editor'!$D:$D,""),'Type Chart'!$B$1:$S$1,0))))</f>
        <v/>
      </c>
      <c r="J315" s="3">
        <f>IFERROR(LET(mtype,XLOOKUP($D315,'Move Editor'!$B:$B,'Move Editor'!$C:$C,""),cat,XLOOKUP($D315,'Move Editor'!$B:$B,'Move Editor'!$D:$D,""),pow,XLOOKUP($D315,'Move Editor'!$B:$B,'Move Editor'!$E:$E,0),acc,XLOOKUP($D315,'Move Editor'!$B:$B,'Move Editor'!$F:$F,100),atk,IF(cat="Physical",FLOOR((FLOOR(((2*XLOOKUP(XLOOKUP($Q315,'Threshold Summary'!$Y:$Y,'Threshold Summary'!$K:$K,""),'Pokemon Editor'!$A:$A,'Pokemon Editor'!$F:$F,0)+31+FLOOR(XLOOKUP($Q315,'Threshold Summary'!$Y:$Y,'Threshold Summary'!$P:$P,"")/4))*XLOOKUP($Q315,'Threshold Summary'!$Y:$Y,'Threshold Summary'!$L:$L,""))/100)+5)*XLOOKUP(XLOOKUP($Q315,'Threshold Summary'!$Y:$Y,'Threshold Summary'!$M:$M,""),'Nature Editor'!$A:$A,'Nature Editor'!$B:$B,1)),FLOOR((FLOOR(((2*XLOOKUP(XLOOKUP($Q315,'Threshold Summary'!$Y:$Y,'Threshold Summary'!$K:$K,""),'Pokemon Editor'!$A:$A,'Pokemon Editor'!$H:$H,0)+31+FLOOR(XLOOKUP($Q315,'Threshold Summary'!$Y:$Y,'Threshold Summary'!$R:$R,"")/4))*XLOOKUP($Q315,'Threshold Summary'!$Y:$Y,'Threshold Summary'!$L:$L,""))/100)+5)*XLOOKUP(XLOOKUP($Q315,'Threshold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Editor'!$E:$E,1))),stab,IF(OR(mtype=XLOOKUP(XLOOKUP($Q315,'Threshold Summary'!$Y:$Y,'Threshold Summary'!$K:$K,""),'Pokemon Editor'!$A:$A,'Pokemon Editor'!$C:$C,""),mtype=XLOOKUP(XLOOKUP($Q315,'Threshold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Chart'!$B$1:$S$1,0)))),base,IF(OR(cat="Status",pow=0),0,FLOOR(FLOOR(FLOOR((2*XLOOKUP($Q315,'Threshold Summary'!$Y:$Y,'Threshold Summary'!$L:$L,"")/5+2)*pow*atk/def)/50)+2)),modifier,stab*eff,FLOOR(base*modifier*0.85)),0)</f>
        <v/>
      </c>
      <c r="K315" s="3">
        <f>IFERROR(LET(mtype,XLOOKUP($D315,'Move Editor'!$B:$B,'Move Editor'!$C:$C,""),cat,XLOOKUP($D315,'Move Editor'!$B:$B,'Move Editor'!$D:$D,""),pow,XLOOKUP($D315,'Move Editor'!$B:$B,'Move Editor'!$E:$E,0),acc,XLOOKUP($D315,'Move Editor'!$B:$B,'Move Editor'!$F:$F,100),atk,IF(cat="Physical",FLOOR((FLOOR(((2*XLOOKUP(XLOOKUP($Q315,'Threshold Summary'!$Y:$Y,'Threshold Summary'!$K:$K,""),'Pokemon Editor'!$A:$A,'Pokemon Editor'!$F:$F,0)+31+FLOOR(XLOOKUP($Q315,'Threshold Summary'!$Y:$Y,'Threshold Summary'!$P:$P,"")/4))*XLOOKUP($Q315,'Threshold Summary'!$Y:$Y,'Threshold Summary'!$L:$L,""))/100)+5)*XLOOKUP(XLOOKUP($Q315,'Threshold Summary'!$Y:$Y,'Threshold Summary'!$M:$M,""),'Nature Editor'!$A:$A,'Nature Editor'!$B:$B,1)),FLOOR((FLOOR(((2*XLOOKUP(XLOOKUP($Q315,'Threshold Summary'!$Y:$Y,'Threshold Summary'!$K:$K,""),'Pokemon Editor'!$A:$A,'Pokemon Editor'!$H:$H,0)+31+FLOOR(XLOOKUP($Q315,'Threshold Summary'!$Y:$Y,'Threshold Summary'!$R:$R,"")/4))*XLOOKUP($Q315,'Threshold Summary'!$Y:$Y,'Threshold Summary'!$L:$L,""))/100)+5)*XLOOKUP(XLOOKUP($Q315,'Threshold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Editor'!$E:$E,1))),stab,IF(OR(mtype=XLOOKUP(XLOOKUP($Q315,'Threshold Summary'!$Y:$Y,'Threshold Summary'!$K:$K,""),'Pokemon Editor'!$A:$A,'Pokemon Editor'!$C:$C,""),mtype=XLOOKUP(XLOOKUP($Q315,'Threshold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Chart'!$B$1:$S$1,0)))),base,IF(OR(cat="Status",pow=0),0,FLOOR(FLOOR(FLOOR((2*XLOOKUP($Q315,'Threshold Summary'!$Y:$Y,'Threshold Summary'!$L:$L,"")/5+2)*pow*atk/def)/50)+2)),modifier,stab*eff,FLOOR(base*modifier)),0)</f>
        <v/>
      </c>
      <c r="L315" s="3">
        <f>IFERROR(LET(mtype,XLOOKUP($D315,'Move Editor'!$B:$B,'Move Editor'!$C:$C,""),cat,XLOOKUP($D315,'Move Editor'!$B:$B,'Move Editor'!$D:$D,""),pow,XLOOKUP($D315,'Move Editor'!$B:$B,'Move Editor'!$E:$E,0),acc,XLOOKUP($D315,'Move Editor'!$B:$B,'Move Editor'!$F:$F,100),atk,IF(cat="Physical",FLOOR((FLOOR(((2*XLOOKUP(XLOOKUP($Q315,'Threshold Summary'!$Y:$Y,'Threshold Summary'!$K:$K,""),'Pokemon Editor'!$A:$A,'Pokemon Editor'!$F:$F,0)+31+FLOOR(XLOOKUP($Q315,'Threshold Summary'!$Y:$Y,'Threshold Summary'!$P:$P,"")/4))*XLOOKUP($Q315,'Threshold Summary'!$Y:$Y,'Threshold Summary'!$L:$L,""))/100)+5)*XLOOKUP(XLOOKUP($Q315,'Threshold Summary'!$Y:$Y,'Threshold Summary'!$M:$M,""),'Nature Editor'!$A:$A,'Nature Editor'!$B:$B,1)),FLOOR((FLOOR(((2*XLOOKUP(XLOOKUP($Q315,'Threshold Summary'!$Y:$Y,'Threshold Summary'!$K:$K,""),'Pokemon Editor'!$A:$A,'Pokemon Editor'!$H:$H,0)+31+FLOOR(XLOOKUP($Q315,'Threshold Summary'!$Y:$Y,'Threshold Summary'!$R:$R,"")/4))*XLOOKUP($Q315,'Threshold Summary'!$Y:$Y,'Threshold Summary'!$L:$L,""))/100)+5)*XLOOKUP(XLOOKUP($Q315,'Threshold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Editor'!$E:$E,1))),stab,IF(OR(mtype=XLOOKUP(XLOOKUP($Q315,'Threshold Summary'!$Y:$Y,'Threshold Summary'!$K:$K,""),'Pokemon Editor'!$A:$A,'Pokemon Editor'!$C:$C,""),mtype=XLOOKUP(XLOOKUP($Q315,'Threshold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Chart'!$B$1:$S$1,0)))),base,IF(OR(cat="Status",pow=0),0,FLOOR(FLOOR(FLOOR((2*XLOOKUP($Q315,'Threshold Summary'!$Y:$Y,'Threshold Summary'!$L:$L,"")/5+2)*pow*atk/def)/50)+2)),modifier,stab*eff,AVERAGE(ARRAYFORMULA(FLOOR(base*modifier*SEQUENCE(16,1,85,1)/100)))),0)</f>
        <v/>
      </c>
      <c r="M315" s="3">
        <f>IFERROR(LET(mtype,XLOOKUP($D315,'Move Editor'!$B:$B,'Move Editor'!$C:$C,""),cat,XLOOKUP($D315,'Move Editor'!$B:$B,'Move Editor'!$D:$D,""),pow,XLOOKUP($D315,'Move Editor'!$B:$B,'Move Editor'!$E:$E,0),acc,XLOOKUP($D315,'Move Editor'!$B:$B,'Move Editor'!$F:$F,100),atk,IF(cat="Physical",FLOOR((FLOOR(((2*XLOOKUP(XLOOKUP($Q315,'Threshold Summary'!$Y:$Y,'Threshold Summary'!$K:$K,""),'Pokemon Editor'!$A:$A,'Pokemon Editor'!$F:$F,0)+31+FLOOR(XLOOKUP($Q315,'Threshold Summary'!$Y:$Y,'Threshold Summary'!$P:$P,"")/4))*XLOOKUP($Q315,'Threshold Summary'!$Y:$Y,'Threshold Summary'!$L:$L,""))/100)+5)*XLOOKUP(XLOOKUP($Q315,'Threshold Summary'!$Y:$Y,'Threshold Summary'!$M:$M,""),'Nature Editor'!$A:$A,'Nature Editor'!$B:$B,1)),FLOOR((FLOOR(((2*XLOOKUP(XLOOKUP($Q315,'Threshold Summary'!$Y:$Y,'Threshold Summary'!$K:$K,""),'Pokemon Editor'!$A:$A,'Pokemon Editor'!$H:$H,0)+31+FLOOR(XLOOKUP($Q315,'Threshold Summary'!$Y:$Y,'Threshold Summary'!$R:$R,"")/4))*XLOOKUP($Q315,'Threshold Summary'!$Y:$Y,'Threshold Summary'!$L:$L,""))/100)+5)*XLOOKUP(XLOOKUP($Q315,'Threshold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Editor'!$E:$E,1))),stab,IF(OR(mtype=XLOOKUP(XLOOKUP($Q315,'Threshold Summary'!$Y:$Y,'Threshold Summary'!$K:$K,""),'Pokemon Editor'!$A:$A,'Pokemon Editor'!$C:$C,""),mtype=XLOOKUP(XLOOKUP($Q315,'Threshold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Chart'!$B$1:$S$1,0)))),base,IF(OR(cat="Status",pow=0),0,FLOOR(FLOOR(FLOOR((2*XLOOKUP($Q315,'Threshold Summary'!$Y:$Y,'Threshold Summary'!$L:$L,"")/5+2)*pow*atk/def)/50)+2)),modifier,stab*eff,AVERAGE(ARRAYFORMULA(FLOOR(base*modifier*SEQUENCE(16,1,85,1)/100)))*MIN(1,acc/100)),0)</f>
        <v/>
      </c>
      <c r="N315" s="4">
        <f>IFERROR(LET(mtype,XLOOKUP($D315,'Move Editor'!$B:$B,'Move Editor'!$C:$C,""),cat,XLOOKUP($D315,'Move Editor'!$B:$B,'Move Editor'!$D:$D,""),pow,XLOOKUP($D315,'Move Editor'!$B:$B,'Move Editor'!$E:$E,0),acc,XLOOKUP($D315,'Move Editor'!$B:$B,'Move Editor'!$F:$F,100),atk,IF(cat="Physical",FLOOR((FLOOR(((2*XLOOKUP(XLOOKUP($Q315,'Threshold Summary'!$Y:$Y,'Threshold Summary'!$K:$K,""),'Pokemon Editor'!$A:$A,'Pokemon Editor'!$F:$F,0)+31+FLOOR(XLOOKUP($Q315,'Threshold Summary'!$Y:$Y,'Threshold Summary'!$P:$P,"")/4))*XLOOKUP($Q315,'Threshold Summary'!$Y:$Y,'Threshold Summary'!$L:$L,""))/100)+5)*XLOOKUP(XLOOKUP($Q315,'Threshold Summary'!$Y:$Y,'Threshold Summary'!$M:$M,""),'Nature Editor'!$A:$A,'Nature Editor'!$B:$B,1)),FLOOR((FLOOR(((2*XLOOKUP(XLOOKUP($Q315,'Threshold Summary'!$Y:$Y,'Threshold Summary'!$K:$K,""),'Pokemon Editor'!$A:$A,'Pokemon Editor'!$H:$H,0)+31+FLOOR(XLOOKUP($Q315,'Threshold Summary'!$Y:$Y,'Threshold Summary'!$R:$R,"")/4))*XLOOKUP($Q315,'Threshold Summary'!$Y:$Y,'Threshold Summary'!$L:$L,""))/100)+5)*XLOOKUP(XLOOKUP($Q315,'Threshold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Editor'!$E:$E,1))),stab,IF(OR(mtype=XLOOKUP(XLOOKUP($Q315,'Threshold Summary'!$Y:$Y,'Threshold Summary'!$K:$K,""),'Pokemon Editor'!$A:$A,'Pokemon Editor'!$C:$C,""),mtype=XLOOKUP(XLOOKUP($Q315,'Threshold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Chart'!$B$1:$S$1,0)))),base,IF(OR(cat="Status",pow=0),0,FLOOR(FLOOR(FLOOR((2*XLOOKUP($Q315,'Threshold Summary'!$Y:$Y,'Threshold Summary'!$L:$L,"")/5+2)*pow*atk/def)/50)+2)),modifier,stab*eff,AVERAGE(ARRAYFORMULA(FLOOR(base*modifier*SEQUENCE(16,1,85,1)/100)))/(FLOOR(((2*XLOOKUP('Boss Editor'!$C$4,'Pokemon Editor'!$A:$A,'Pokemon Editor'!$E:$E,0)+31+FLOOR('Boss Editor'!$G$4/4))*'Boss Editor'!$D$4)/100)+'Boss Editor'!$D$4+10)),0)</f>
        <v/>
      </c>
      <c r="O315" s="3">
        <f>IF(N315&gt;=1,"OHKO",IF(N315&gt;=0.5,"2HKO",IF(N315&gt;=0.333,"3HKO",IF(N315&gt;=0.25,"4HKO","5HKO+"))))</f>
        <v/>
      </c>
      <c r="P315" s="3" t="inlineStr">
        <is>
          <t>Live from editable databases</t>
        </is>
      </c>
      <c r="Q315" s="3" t="inlineStr">
        <is>
          <t>SPECIES_STARLY</t>
        </is>
      </c>
      <c r="R315" s="3" t="n">
        <v>26</v>
      </c>
    </row>
    <row r="316">
      <c r="A316" s="3">
        <f>XLOOKUP($Q316,'Threshold Summary'!$Y:$Y,'Threshold Summary'!$A:$A,"")</f>
        <v/>
      </c>
      <c r="B316" s="3">
        <f>XLOOKUP($Q316,'Threshold Summary'!$Y:$Y,'Threshold Summary'!$M:$M,"")</f>
        <v/>
      </c>
      <c r="C316" s="3">
        <f>XLOOKUP($Q316,'Threshold Summary'!$Y:$Y,'Threshold Summary'!$N:$N,"")</f>
        <v/>
      </c>
      <c r="D316" s="3">
        <f>IFERROR(INDEX(FILTER('Learnset Editor'!$D$2:$D,'Learnset Editor'!$A$2:$A=XLOOKUP($Q316,'Threshold Summary'!$Y:$Y,'Threshold Summary'!$K:$K,""),'Learnset Editor'!$C$2:$C&lt;=XLOOKUP($Q316,'Threshold Summary'!$Y:$Y,'Threshold Summary'!$L:$L,"")),$R316),"")</f>
        <v/>
      </c>
      <c r="E316" s="3">
        <f>XLOOKUP(D316,'Move Editor'!$B:$B,'Move Editor'!$C:$C,"")</f>
        <v/>
      </c>
      <c r="F316" s="3">
        <f>XLOOKUP(D316,'Move Editor'!$B:$B,'Move Editor'!$D:$D,"")</f>
        <v/>
      </c>
      <c r="G316" s="3">
        <f>XLOOKUP(D316,'Move Editor'!$B:$B,'Move Editor'!$E:$E,0)</f>
        <v/>
      </c>
      <c r="H316" s="3">
        <f>XLOOKUP(D316,'Move Editor'!$B:$B,'Move Editor'!$F:$F,0)</f>
        <v/>
      </c>
      <c r="I316" s="3">
        <f>(INDEX('Type Chart'!$B:$S,MATCH(E316,'Type Chart'!$A:$A,0),MATCH(XLOOKUP('Boss Editor'!$C$4,'Pokemon Editor'!$A:$A,'Pokemon Editor'!$C:$C,""),'Type Chart'!$B$1:$S$1,0))*IF(XLOOKUP('Boss Editor'!$C$4,'Pokemon Editor'!$A:$A,'Pokemon Editor'!$D:$D,"")="",1,INDEX('Type Chart'!$B:$S,MATCH(E316,'Type Chart'!$A:$A,0),MATCH(XLOOKUP('Boss Editor'!$C$4,'Pokemon Editor'!$A:$A,'Pokemon Editor'!$D:$D,""),'Type Chart'!$B$1:$S$1,0))))</f>
        <v/>
      </c>
      <c r="J316" s="3">
        <f>IFERROR(LET(mtype,XLOOKUP($D316,'Move Editor'!$B:$B,'Move Editor'!$C:$C,""),cat,XLOOKUP($D316,'Move Editor'!$B:$B,'Move Editor'!$D:$D,""),pow,XLOOKUP($D316,'Move Editor'!$B:$B,'Move Editor'!$E:$E,0),acc,XLOOKUP($D316,'Move Editor'!$B:$B,'Move Editor'!$F:$F,100),atk,IF(cat="Physical",FLOOR((FLOOR(((2*XLOOKUP(XLOOKUP($Q316,'Threshold Summary'!$Y:$Y,'Threshold Summary'!$K:$K,""),'Pokemon Editor'!$A:$A,'Pokemon Editor'!$F:$F,0)+31+FLOOR(XLOOKUP($Q316,'Threshold Summary'!$Y:$Y,'Threshold Summary'!$P:$P,"")/4))*XLOOKUP($Q316,'Threshold Summary'!$Y:$Y,'Threshold Summary'!$L:$L,""))/100)+5)*XLOOKUP(XLOOKUP($Q316,'Threshold Summary'!$Y:$Y,'Threshold Summary'!$M:$M,""),'Nature Editor'!$A:$A,'Nature Editor'!$B:$B,1)),FLOOR((FLOOR(((2*XLOOKUP(XLOOKUP($Q316,'Threshold Summary'!$Y:$Y,'Threshold Summary'!$K:$K,""),'Pokemon Editor'!$A:$A,'Pokemon Editor'!$H:$H,0)+31+FLOOR(XLOOKUP($Q316,'Threshold Summary'!$Y:$Y,'Threshold Summary'!$R:$R,"")/4))*XLOOKUP($Q316,'Threshold Summary'!$Y:$Y,'Threshold Summary'!$L:$L,""))/100)+5)*XLOOKUP(XLOOKUP($Q316,'Threshold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Editor'!$E:$E,1))),stab,IF(OR(mtype=XLOOKUP(XLOOKUP($Q316,'Threshold Summary'!$Y:$Y,'Threshold Summary'!$K:$K,""),'Pokemon Editor'!$A:$A,'Pokemon Editor'!$C:$C,""),mtype=XLOOKUP(XLOOKUP($Q316,'Threshold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Chart'!$B$1:$S$1,0)))),base,IF(OR(cat="Status",pow=0),0,FLOOR(FLOOR(FLOOR((2*XLOOKUP($Q316,'Threshold Summary'!$Y:$Y,'Threshold Summary'!$L:$L,"")/5+2)*pow*atk/def)/50)+2)),modifier,stab*eff,FLOOR(base*modifier*0.85)),0)</f>
        <v/>
      </c>
      <c r="K316" s="3">
        <f>IFERROR(LET(mtype,XLOOKUP($D316,'Move Editor'!$B:$B,'Move Editor'!$C:$C,""),cat,XLOOKUP($D316,'Move Editor'!$B:$B,'Move Editor'!$D:$D,""),pow,XLOOKUP($D316,'Move Editor'!$B:$B,'Move Editor'!$E:$E,0),acc,XLOOKUP($D316,'Move Editor'!$B:$B,'Move Editor'!$F:$F,100),atk,IF(cat="Physical",FLOOR((FLOOR(((2*XLOOKUP(XLOOKUP($Q316,'Threshold Summary'!$Y:$Y,'Threshold Summary'!$K:$K,""),'Pokemon Editor'!$A:$A,'Pokemon Editor'!$F:$F,0)+31+FLOOR(XLOOKUP($Q316,'Threshold Summary'!$Y:$Y,'Threshold Summary'!$P:$P,"")/4))*XLOOKUP($Q316,'Threshold Summary'!$Y:$Y,'Threshold Summary'!$L:$L,""))/100)+5)*XLOOKUP(XLOOKUP($Q316,'Threshold Summary'!$Y:$Y,'Threshold Summary'!$M:$M,""),'Nature Editor'!$A:$A,'Nature Editor'!$B:$B,1)),FLOOR((FLOOR(((2*XLOOKUP(XLOOKUP($Q316,'Threshold Summary'!$Y:$Y,'Threshold Summary'!$K:$K,""),'Pokemon Editor'!$A:$A,'Pokemon Editor'!$H:$H,0)+31+FLOOR(XLOOKUP($Q316,'Threshold Summary'!$Y:$Y,'Threshold Summary'!$R:$R,"")/4))*XLOOKUP($Q316,'Threshold Summary'!$Y:$Y,'Threshold Summary'!$L:$L,""))/100)+5)*XLOOKUP(XLOOKUP($Q316,'Threshold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Editor'!$E:$E,1))),stab,IF(OR(mtype=XLOOKUP(XLOOKUP($Q316,'Threshold Summary'!$Y:$Y,'Threshold Summary'!$K:$K,""),'Pokemon Editor'!$A:$A,'Pokemon Editor'!$C:$C,""),mtype=XLOOKUP(XLOOKUP($Q316,'Threshold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Chart'!$B$1:$S$1,0)))),base,IF(OR(cat="Status",pow=0),0,FLOOR(FLOOR(FLOOR((2*XLOOKUP($Q316,'Threshold Summary'!$Y:$Y,'Threshold Summary'!$L:$L,"")/5+2)*pow*atk/def)/50)+2)),modifier,stab*eff,FLOOR(base*modifier)),0)</f>
        <v/>
      </c>
      <c r="L316" s="3">
        <f>IFERROR(LET(mtype,XLOOKUP($D316,'Move Editor'!$B:$B,'Move Editor'!$C:$C,""),cat,XLOOKUP($D316,'Move Editor'!$B:$B,'Move Editor'!$D:$D,""),pow,XLOOKUP($D316,'Move Editor'!$B:$B,'Move Editor'!$E:$E,0),acc,XLOOKUP($D316,'Move Editor'!$B:$B,'Move Editor'!$F:$F,100),atk,IF(cat="Physical",FLOOR((FLOOR(((2*XLOOKUP(XLOOKUP($Q316,'Threshold Summary'!$Y:$Y,'Threshold Summary'!$K:$K,""),'Pokemon Editor'!$A:$A,'Pokemon Editor'!$F:$F,0)+31+FLOOR(XLOOKUP($Q316,'Threshold Summary'!$Y:$Y,'Threshold Summary'!$P:$P,"")/4))*XLOOKUP($Q316,'Threshold Summary'!$Y:$Y,'Threshold Summary'!$L:$L,""))/100)+5)*XLOOKUP(XLOOKUP($Q316,'Threshold Summary'!$Y:$Y,'Threshold Summary'!$M:$M,""),'Nature Editor'!$A:$A,'Nature Editor'!$B:$B,1)),FLOOR((FLOOR(((2*XLOOKUP(XLOOKUP($Q316,'Threshold Summary'!$Y:$Y,'Threshold Summary'!$K:$K,""),'Pokemon Editor'!$A:$A,'Pokemon Editor'!$H:$H,0)+31+FLOOR(XLOOKUP($Q316,'Threshold Summary'!$Y:$Y,'Threshold Summary'!$R:$R,"")/4))*XLOOKUP($Q316,'Threshold Summary'!$Y:$Y,'Threshold Summary'!$L:$L,""))/100)+5)*XLOOKUP(XLOOKUP($Q316,'Threshold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Editor'!$E:$E,1))),stab,IF(OR(mtype=XLOOKUP(XLOOKUP($Q316,'Threshold Summary'!$Y:$Y,'Threshold Summary'!$K:$K,""),'Pokemon Editor'!$A:$A,'Pokemon Editor'!$C:$C,""),mtype=XLOOKUP(XLOOKUP($Q316,'Threshold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Chart'!$B$1:$S$1,0)))),base,IF(OR(cat="Status",pow=0),0,FLOOR(FLOOR(FLOOR((2*XLOOKUP($Q316,'Threshold Summary'!$Y:$Y,'Threshold Summary'!$L:$L,"")/5+2)*pow*atk/def)/50)+2)),modifier,stab*eff,AVERAGE(ARRAYFORMULA(FLOOR(base*modifier*SEQUENCE(16,1,85,1)/100)))),0)</f>
        <v/>
      </c>
      <c r="M316" s="3">
        <f>IFERROR(LET(mtype,XLOOKUP($D316,'Move Editor'!$B:$B,'Move Editor'!$C:$C,""),cat,XLOOKUP($D316,'Move Editor'!$B:$B,'Move Editor'!$D:$D,""),pow,XLOOKUP($D316,'Move Editor'!$B:$B,'Move Editor'!$E:$E,0),acc,XLOOKUP($D316,'Move Editor'!$B:$B,'Move Editor'!$F:$F,100),atk,IF(cat="Physical",FLOOR((FLOOR(((2*XLOOKUP(XLOOKUP($Q316,'Threshold Summary'!$Y:$Y,'Threshold Summary'!$K:$K,""),'Pokemon Editor'!$A:$A,'Pokemon Editor'!$F:$F,0)+31+FLOOR(XLOOKUP($Q316,'Threshold Summary'!$Y:$Y,'Threshold Summary'!$P:$P,"")/4))*XLOOKUP($Q316,'Threshold Summary'!$Y:$Y,'Threshold Summary'!$L:$L,""))/100)+5)*XLOOKUP(XLOOKUP($Q316,'Threshold Summary'!$Y:$Y,'Threshold Summary'!$M:$M,""),'Nature Editor'!$A:$A,'Nature Editor'!$B:$B,1)),FLOOR((FLOOR(((2*XLOOKUP(XLOOKUP($Q316,'Threshold Summary'!$Y:$Y,'Threshold Summary'!$K:$K,""),'Pokemon Editor'!$A:$A,'Pokemon Editor'!$H:$H,0)+31+FLOOR(XLOOKUP($Q316,'Threshold Summary'!$Y:$Y,'Threshold Summary'!$R:$R,"")/4))*XLOOKUP($Q316,'Threshold Summary'!$Y:$Y,'Threshold Summary'!$L:$L,""))/100)+5)*XLOOKUP(XLOOKUP($Q316,'Threshold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Editor'!$E:$E,1))),stab,IF(OR(mtype=XLOOKUP(XLOOKUP($Q316,'Threshold Summary'!$Y:$Y,'Threshold Summary'!$K:$K,""),'Pokemon Editor'!$A:$A,'Pokemon Editor'!$C:$C,""),mtype=XLOOKUP(XLOOKUP($Q316,'Threshold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Chart'!$B$1:$S$1,0)))),base,IF(OR(cat="Status",pow=0),0,FLOOR(FLOOR(FLOOR((2*XLOOKUP($Q316,'Threshold Summary'!$Y:$Y,'Threshold Summary'!$L:$L,"")/5+2)*pow*atk/def)/50)+2)),modifier,stab*eff,AVERAGE(ARRAYFORMULA(FLOOR(base*modifier*SEQUENCE(16,1,85,1)/100)))*MIN(1,acc/100)),0)</f>
        <v/>
      </c>
      <c r="N316" s="4">
        <f>IFERROR(LET(mtype,XLOOKUP($D316,'Move Editor'!$B:$B,'Move Editor'!$C:$C,""),cat,XLOOKUP($D316,'Move Editor'!$B:$B,'Move Editor'!$D:$D,""),pow,XLOOKUP($D316,'Move Editor'!$B:$B,'Move Editor'!$E:$E,0),acc,XLOOKUP($D316,'Move Editor'!$B:$B,'Move Editor'!$F:$F,100),atk,IF(cat="Physical",FLOOR((FLOOR(((2*XLOOKUP(XLOOKUP($Q316,'Threshold Summary'!$Y:$Y,'Threshold Summary'!$K:$K,""),'Pokemon Editor'!$A:$A,'Pokemon Editor'!$F:$F,0)+31+FLOOR(XLOOKUP($Q316,'Threshold Summary'!$Y:$Y,'Threshold Summary'!$P:$P,"")/4))*XLOOKUP($Q316,'Threshold Summary'!$Y:$Y,'Threshold Summary'!$L:$L,""))/100)+5)*XLOOKUP(XLOOKUP($Q316,'Threshold Summary'!$Y:$Y,'Threshold Summary'!$M:$M,""),'Nature Editor'!$A:$A,'Nature Editor'!$B:$B,1)),FLOOR((FLOOR(((2*XLOOKUP(XLOOKUP($Q316,'Threshold Summary'!$Y:$Y,'Threshold Summary'!$K:$K,""),'Pokemon Editor'!$A:$A,'Pokemon Editor'!$H:$H,0)+31+FLOOR(XLOOKUP($Q316,'Threshold Summary'!$Y:$Y,'Threshold Summary'!$R:$R,"")/4))*XLOOKUP($Q316,'Threshold Summary'!$Y:$Y,'Threshold Summary'!$L:$L,""))/100)+5)*XLOOKUP(XLOOKUP($Q316,'Threshold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Editor'!$E:$E,1))),stab,IF(OR(mtype=XLOOKUP(XLOOKUP($Q316,'Threshold Summary'!$Y:$Y,'Threshold Summary'!$K:$K,""),'Pokemon Editor'!$A:$A,'Pokemon Editor'!$C:$C,""),mtype=XLOOKUP(XLOOKUP($Q316,'Threshold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Chart'!$B$1:$S$1,0)))),base,IF(OR(cat="Status",pow=0),0,FLOOR(FLOOR(FLOOR((2*XLOOKUP($Q316,'Threshold Summary'!$Y:$Y,'Threshold Summary'!$L:$L,"")/5+2)*pow*atk/def)/50)+2)),modifier,stab*eff,AVERAGE(ARRAYFORMULA(FLOOR(base*modifier*SEQUENCE(16,1,85,1)/100)))/(FLOOR(((2*XLOOKUP('Boss Editor'!$C$4,'Pokemon Editor'!$A:$A,'Pokemon Editor'!$E:$E,0)+31+FLOOR('Boss Editor'!$G$4/4))*'Boss Editor'!$D$4)/100)+'Boss Editor'!$D$4+10)),0)</f>
        <v/>
      </c>
      <c r="O316" s="3">
        <f>IF(N316&gt;=1,"OHKO",IF(N316&gt;=0.5,"2HKO",IF(N316&gt;=0.333,"3HKO",IF(N316&gt;=0.25,"4HKO","5HKO+"))))</f>
        <v/>
      </c>
      <c r="P316" s="3" t="inlineStr">
        <is>
          <t>Live from editable databases</t>
        </is>
      </c>
      <c r="Q316" s="3" t="inlineStr">
        <is>
          <t>SPECIES_STARLY</t>
        </is>
      </c>
      <c r="R316" s="3" t="n">
        <v>27</v>
      </c>
    </row>
    <row r="317">
      <c r="A317" s="3">
        <f>XLOOKUP($Q317,'Threshold Summary'!$Y:$Y,'Threshold Summary'!$A:$A,"")</f>
        <v/>
      </c>
      <c r="B317" s="3">
        <f>XLOOKUP($Q317,'Threshold Summary'!$Y:$Y,'Threshold Summary'!$M:$M,"")</f>
        <v/>
      </c>
      <c r="C317" s="3">
        <f>XLOOKUP($Q317,'Threshold Summary'!$Y:$Y,'Threshold Summary'!$N:$N,"")</f>
        <v/>
      </c>
      <c r="D317" s="3">
        <f>IFERROR(INDEX(FILTER('Learnset Editor'!$D$2:$D,'Learnset Editor'!$A$2:$A=XLOOKUP($Q317,'Threshold Summary'!$Y:$Y,'Threshold Summary'!$K:$K,""),'Learnset Editor'!$C$2:$C&lt;=XLOOKUP($Q317,'Threshold Summary'!$Y:$Y,'Threshold Summary'!$L:$L,"")),$R317),"")</f>
        <v/>
      </c>
      <c r="E317" s="3">
        <f>XLOOKUP(D317,'Move Editor'!$B:$B,'Move Editor'!$C:$C,"")</f>
        <v/>
      </c>
      <c r="F317" s="3">
        <f>XLOOKUP(D317,'Move Editor'!$B:$B,'Move Editor'!$D:$D,"")</f>
        <v/>
      </c>
      <c r="G317" s="3">
        <f>XLOOKUP(D317,'Move Editor'!$B:$B,'Move Editor'!$E:$E,0)</f>
        <v/>
      </c>
      <c r="H317" s="3">
        <f>XLOOKUP(D317,'Move Editor'!$B:$B,'Move Editor'!$F:$F,0)</f>
        <v/>
      </c>
      <c r="I317" s="3">
        <f>(INDEX('Type Chart'!$B:$S,MATCH(E317,'Type Chart'!$A:$A,0),MATCH(XLOOKUP('Boss Editor'!$C$4,'Pokemon Editor'!$A:$A,'Pokemon Editor'!$C:$C,""),'Type Chart'!$B$1:$S$1,0))*IF(XLOOKUP('Boss Editor'!$C$4,'Pokemon Editor'!$A:$A,'Pokemon Editor'!$D:$D,"")="",1,INDEX('Type Chart'!$B:$S,MATCH(E317,'Type Chart'!$A:$A,0),MATCH(XLOOKUP('Boss Editor'!$C$4,'Pokemon Editor'!$A:$A,'Pokemon Editor'!$D:$D,""),'Type Chart'!$B$1:$S$1,0))))</f>
        <v/>
      </c>
      <c r="J317" s="3">
        <f>IFERROR(LET(mtype,XLOOKUP($D317,'Move Editor'!$B:$B,'Move Editor'!$C:$C,""),cat,XLOOKUP($D317,'Move Editor'!$B:$B,'Move Editor'!$D:$D,""),pow,XLOOKUP($D317,'Move Editor'!$B:$B,'Move Editor'!$E:$E,0),acc,XLOOKUP($D317,'Move Editor'!$B:$B,'Move Editor'!$F:$F,100),atk,IF(cat="Physical",FLOOR((FLOOR(((2*XLOOKUP(XLOOKUP($Q317,'Threshold Summary'!$Y:$Y,'Threshold Summary'!$K:$K,""),'Pokemon Editor'!$A:$A,'Pokemon Editor'!$F:$F,0)+31+FLOOR(XLOOKUP($Q317,'Threshold Summary'!$Y:$Y,'Threshold Summary'!$P:$P,"")/4))*XLOOKUP($Q317,'Threshold Summary'!$Y:$Y,'Threshold Summary'!$L:$L,""))/100)+5)*XLOOKUP(XLOOKUP($Q317,'Threshold Summary'!$Y:$Y,'Threshold Summary'!$M:$M,""),'Nature Editor'!$A:$A,'Nature Editor'!$B:$B,1)),FLOOR((FLOOR(((2*XLOOKUP(XLOOKUP($Q317,'Threshold Summary'!$Y:$Y,'Threshold Summary'!$K:$K,""),'Pokemon Editor'!$A:$A,'Pokemon Editor'!$H:$H,0)+31+FLOOR(XLOOKUP($Q317,'Threshold Summary'!$Y:$Y,'Threshold Summary'!$R:$R,"")/4))*XLOOKUP($Q317,'Threshold Summary'!$Y:$Y,'Threshold Summary'!$L:$L,""))/100)+5)*XLOOKUP(XLOOKUP($Q317,'Threshold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Editor'!$E:$E,1))),stab,IF(OR(mtype=XLOOKUP(XLOOKUP($Q317,'Threshold Summary'!$Y:$Y,'Threshold Summary'!$K:$K,""),'Pokemon Editor'!$A:$A,'Pokemon Editor'!$C:$C,""),mtype=XLOOKUP(XLOOKUP($Q317,'Threshold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Chart'!$B$1:$S$1,0)))),base,IF(OR(cat="Status",pow=0),0,FLOOR(FLOOR(FLOOR((2*XLOOKUP($Q317,'Threshold Summary'!$Y:$Y,'Threshold Summary'!$L:$L,"")/5+2)*pow*atk/def)/50)+2)),modifier,stab*eff,FLOOR(base*modifier*0.85)),0)</f>
        <v/>
      </c>
      <c r="K317" s="3">
        <f>IFERROR(LET(mtype,XLOOKUP($D317,'Move Editor'!$B:$B,'Move Editor'!$C:$C,""),cat,XLOOKUP($D317,'Move Editor'!$B:$B,'Move Editor'!$D:$D,""),pow,XLOOKUP($D317,'Move Editor'!$B:$B,'Move Editor'!$E:$E,0),acc,XLOOKUP($D317,'Move Editor'!$B:$B,'Move Editor'!$F:$F,100),atk,IF(cat="Physical",FLOOR((FLOOR(((2*XLOOKUP(XLOOKUP($Q317,'Threshold Summary'!$Y:$Y,'Threshold Summary'!$K:$K,""),'Pokemon Editor'!$A:$A,'Pokemon Editor'!$F:$F,0)+31+FLOOR(XLOOKUP($Q317,'Threshold Summary'!$Y:$Y,'Threshold Summary'!$P:$P,"")/4))*XLOOKUP($Q317,'Threshold Summary'!$Y:$Y,'Threshold Summary'!$L:$L,""))/100)+5)*XLOOKUP(XLOOKUP($Q317,'Threshold Summary'!$Y:$Y,'Threshold Summary'!$M:$M,""),'Nature Editor'!$A:$A,'Nature Editor'!$B:$B,1)),FLOOR((FLOOR(((2*XLOOKUP(XLOOKUP($Q317,'Threshold Summary'!$Y:$Y,'Threshold Summary'!$K:$K,""),'Pokemon Editor'!$A:$A,'Pokemon Editor'!$H:$H,0)+31+FLOOR(XLOOKUP($Q317,'Threshold Summary'!$Y:$Y,'Threshold Summary'!$R:$R,"")/4))*XLOOKUP($Q317,'Threshold Summary'!$Y:$Y,'Threshold Summary'!$L:$L,""))/100)+5)*XLOOKUP(XLOOKUP($Q317,'Threshold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Editor'!$E:$E,1))),stab,IF(OR(mtype=XLOOKUP(XLOOKUP($Q317,'Threshold Summary'!$Y:$Y,'Threshold Summary'!$K:$K,""),'Pokemon Editor'!$A:$A,'Pokemon Editor'!$C:$C,""),mtype=XLOOKUP(XLOOKUP($Q317,'Threshold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Chart'!$B$1:$S$1,0)))),base,IF(OR(cat="Status",pow=0),0,FLOOR(FLOOR(FLOOR((2*XLOOKUP($Q317,'Threshold Summary'!$Y:$Y,'Threshold Summary'!$L:$L,"")/5+2)*pow*atk/def)/50)+2)),modifier,stab*eff,FLOOR(base*modifier)),0)</f>
        <v/>
      </c>
      <c r="L317" s="3">
        <f>IFERROR(LET(mtype,XLOOKUP($D317,'Move Editor'!$B:$B,'Move Editor'!$C:$C,""),cat,XLOOKUP($D317,'Move Editor'!$B:$B,'Move Editor'!$D:$D,""),pow,XLOOKUP($D317,'Move Editor'!$B:$B,'Move Editor'!$E:$E,0),acc,XLOOKUP($D317,'Move Editor'!$B:$B,'Move Editor'!$F:$F,100),atk,IF(cat="Physical",FLOOR((FLOOR(((2*XLOOKUP(XLOOKUP($Q317,'Threshold Summary'!$Y:$Y,'Threshold Summary'!$K:$K,""),'Pokemon Editor'!$A:$A,'Pokemon Editor'!$F:$F,0)+31+FLOOR(XLOOKUP($Q317,'Threshold Summary'!$Y:$Y,'Threshold Summary'!$P:$P,"")/4))*XLOOKUP($Q317,'Threshold Summary'!$Y:$Y,'Threshold Summary'!$L:$L,""))/100)+5)*XLOOKUP(XLOOKUP($Q317,'Threshold Summary'!$Y:$Y,'Threshold Summary'!$M:$M,""),'Nature Editor'!$A:$A,'Nature Editor'!$B:$B,1)),FLOOR((FLOOR(((2*XLOOKUP(XLOOKUP($Q317,'Threshold Summary'!$Y:$Y,'Threshold Summary'!$K:$K,""),'Pokemon Editor'!$A:$A,'Pokemon Editor'!$H:$H,0)+31+FLOOR(XLOOKUP($Q317,'Threshold Summary'!$Y:$Y,'Threshold Summary'!$R:$R,"")/4))*XLOOKUP($Q317,'Threshold Summary'!$Y:$Y,'Threshold Summary'!$L:$L,""))/100)+5)*XLOOKUP(XLOOKUP($Q317,'Threshold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Editor'!$E:$E,1))),stab,IF(OR(mtype=XLOOKUP(XLOOKUP($Q317,'Threshold Summary'!$Y:$Y,'Threshold Summary'!$K:$K,""),'Pokemon Editor'!$A:$A,'Pokemon Editor'!$C:$C,""),mtype=XLOOKUP(XLOOKUP($Q317,'Threshold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Chart'!$B$1:$S$1,0)))),base,IF(OR(cat="Status",pow=0),0,FLOOR(FLOOR(FLOOR((2*XLOOKUP($Q317,'Threshold Summary'!$Y:$Y,'Threshold Summary'!$L:$L,"")/5+2)*pow*atk/def)/50)+2)),modifier,stab*eff,AVERAGE(ARRAYFORMULA(FLOOR(base*modifier*SEQUENCE(16,1,85,1)/100)))),0)</f>
        <v/>
      </c>
      <c r="M317" s="3">
        <f>IFERROR(LET(mtype,XLOOKUP($D317,'Move Editor'!$B:$B,'Move Editor'!$C:$C,""),cat,XLOOKUP($D317,'Move Editor'!$B:$B,'Move Editor'!$D:$D,""),pow,XLOOKUP($D317,'Move Editor'!$B:$B,'Move Editor'!$E:$E,0),acc,XLOOKUP($D317,'Move Editor'!$B:$B,'Move Editor'!$F:$F,100),atk,IF(cat="Physical",FLOOR((FLOOR(((2*XLOOKUP(XLOOKUP($Q317,'Threshold Summary'!$Y:$Y,'Threshold Summary'!$K:$K,""),'Pokemon Editor'!$A:$A,'Pokemon Editor'!$F:$F,0)+31+FLOOR(XLOOKUP($Q317,'Threshold Summary'!$Y:$Y,'Threshold Summary'!$P:$P,"")/4))*XLOOKUP($Q317,'Threshold Summary'!$Y:$Y,'Threshold Summary'!$L:$L,""))/100)+5)*XLOOKUP(XLOOKUP($Q317,'Threshold Summary'!$Y:$Y,'Threshold Summary'!$M:$M,""),'Nature Editor'!$A:$A,'Nature Editor'!$B:$B,1)),FLOOR((FLOOR(((2*XLOOKUP(XLOOKUP($Q317,'Threshold Summary'!$Y:$Y,'Threshold Summary'!$K:$K,""),'Pokemon Editor'!$A:$A,'Pokemon Editor'!$H:$H,0)+31+FLOOR(XLOOKUP($Q317,'Threshold Summary'!$Y:$Y,'Threshold Summary'!$R:$R,"")/4))*XLOOKUP($Q317,'Threshold Summary'!$Y:$Y,'Threshold Summary'!$L:$L,""))/100)+5)*XLOOKUP(XLOOKUP($Q317,'Threshold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Editor'!$E:$E,1))),stab,IF(OR(mtype=XLOOKUP(XLOOKUP($Q317,'Threshold Summary'!$Y:$Y,'Threshold Summary'!$K:$K,""),'Pokemon Editor'!$A:$A,'Pokemon Editor'!$C:$C,""),mtype=XLOOKUP(XLOOKUP($Q317,'Threshold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Chart'!$B$1:$S$1,0)))),base,IF(OR(cat="Status",pow=0),0,FLOOR(FLOOR(FLOOR((2*XLOOKUP($Q317,'Threshold Summary'!$Y:$Y,'Threshold Summary'!$L:$L,"")/5+2)*pow*atk/def)/50)+2)),modifier,stab*eff,AVERAGE(ARRAYFORMULA(FLOOR(base*modifier*SEQUENCE(16,1,85,1)/100)))*MIN(1,acc/100)),0)</f>
        <v/>
      </c>
      <c r="N317" s="4">
        <f>IFERROR(LET(mtype,XLOOKUP($D317,'Move Editor'!$B:$B,'Move Editor'!$C:$C,""),cat,XLOOKUP($D317,'Move Editor'!$B:$B,'Move Editor'!$D:$D,""),pow,XLOOKUP($D317,'Move Editor'!$B:$B,'Move Editor'!$E:$E,0),acc,XLOOKUP($D317,'Move Editor'!$B:$B,'Move Editor'!$F:$F,100),atk,IF(cat="Physical",FLOOR((FLOOR(((2*XLOOKUP(XLOOKUP($Q317,'Threshold Summary'!$Y:$Y,'Threshold Summary'!$K:$K,""),'Pokemon Editor'!$A:$A,'Pokemon Editor'!$F:$F,0)+31+FLOOR(XLOOKUP($Q317,'Threshold Summary'!$Y:$Y,'Threshold Summary'!$P:$P,"")/4))*XLOOKUP($Q317,'Threshold Summary'!$Y:$Y,'Threshold Summary'!$L:$L,""))/100)+5)*XLOOKUP(XLOOKUP($Q317,'Threshold Summary'!$Y:$Y,'Threshold Summary'!$M:$M,""),'Nature Editor'!$A:$A,'Nature Editor'!$B:$B,1)),FLOOR((FLOOR(((2*XLOOKUP(XLOOKUP($Q317,'Threshold Summary'!$Y:$Y,'Threshold Summary'!$K:$K,""),'Pokemon Editor'!$A:$A,'Pokemon Editor'!$H:$H,0)+31+FLOOR(XLOOKUP($Q317,'Threshold Summary'!$Y:$Y,'Threshold Summary'!$R:$R,"")/4))*XLOOKUP($Q317,'Threshold Summary'!$Y:$Y,'Threshold Summary'!$L:$L,""))/100)+5)*XLOOKUP(XLOOKUP($Q317,'Threshold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Editor'!$E:$E,1))),stab,IF(OR(mtype=XLOOKUP(XLOOKUP($Q317,'Threshold Summary'!$Y:$Y,'Threshold Summary'!$K:$K,""),'Pokemon Editor'!$A:$A,'Pokemon Editor'!$C:$C,""),mtype=XLOOKUP(XLOOKUP($Q317,'Threshold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Chart'!$B$1:$S$1,0)))),base,IF(OR(cat="Status",pow=0),0,FLOOR(FLOOR(FLOOR((2*XLOOKUP($Q317,'Threshold Summary'!$Y:$Y,'Threshold Summary'!$L:$L,"")/5+2)*pow*atk/def)/50)+2)),modifier,stab*eff,AVERAGE(ARRAYFORMULA(FLOOR(base*modifier*SEQUENCE(16,1,85,1)/100)))/(FLOOR(((2*XLOOKUP('Boss Editor'!$C$4,'Pokemon Editor'!$A:$A,'Pokemon Editor'!$E:$E,0)+31+FLOOR('Boss Editor'!$G$4/4))*'Boss Editor'!$D$4)/100)+'Boss Editor'!$D$4+10)),0)</f>
        <v/>
      </c>
      <c r="O317" s="3">
        <f>IF(N317&gt;=1,"OHKO",IF(N317&gt;=0.5,"2HKO",IF(N317&gt;=0.333,"3HKO",IF(N317&gt;=0.25,"4HKO","5HKO+"))))</f>
        <v/>
      </c>
      <c r="P317" s="3" t="inlineStr">
        <is>
          <t>Live from editable databases</t>
        </is>
      </c>
      <c r="Q317" s="3" t="inlineStr">
        <is>
          <t>SPECIES_STARLY</t>
        </is>
      </c>
      <c r="R317" s="3" t="n">
        <v>28</v>
      </c>
    </row>
    <row r="318">
      <c r="A318" s="3">
        <f>XLOOKUP($Q318,'Threshold Summary'!$Y:$Y,'Threshold Summary'!$A:$A,"")</f>
        <v/>
      </c>
      <c r="B318" s="3">
        <f>XLOOKUP($Q318,'Threshold Summary'!$Y:$Y,'Threshold Summary'!$M:$M,"")</f>
        <v/>
      </c>
      <c r="C318" s="3">
        <f>XLOOKUP($Q318,'Threshold Summary'!$Y:$Y,'Threshold Summary'!$N:$N,"")</f>
        <v/>
      </c>
      <c r="D318" s="3">
        <f>IFERROR(INDEX(FILTER('Learnset Editor'!$D$2:$D,'Learnset Editor'!$A$2:$A=XLOOKUP($Q318,'Threshold Summary'!$Y:$Y,'Threshold Summary'!$K:$K,""),'Learnset Editor'!$C$2:$C&lt;=XLOOKUP($Q318,'Threshold Summary'!$Y:$Y,'Threshold Summary'!$L:$L,"")),$R318),"")</f>
        <v/>
      </c>
      <c r="E318" s="3">
        <f>XLOOKUP(D318,'Move Editor'!$B:$B,'Move Editor'!$C:$C,"")</f>
        <v/>
      </c>
      <c r="F318" s="3">
        <f>XLOOKUP(D318,'Move Editor'!$B:$B,'Move Editor'!$D:$D,"")</f>
        <v/>
      </c>
      <c r="G318" s="3">
        <f>XLOOKUP(D318,'Move Editor'!$B:$B,'Move Editor'!$E:$E,0)</f>
        <v/>
      </c>
      <c r="H318" s="3">
        <f>XLOOKUP(D318,'Move Editor'!$B:$B,'Move Editor'!$F:$F,0)</f>
        <v/>
      </c>
      <c r="I318" s="3">
        <f>(INDEX('Type Chart'!$B:$S,MATCH(E318,'Type Chart'!$A:$A,0),MATCH(XLOOKUP('Boss Editor'!$C$4,'Pokemon Editor'!$A:$A,'Pokemon Editor'!$C:$C,""),'Type Chart'!$B$1:$S$1,0))*IF(XLOOKUP('Boss Editor'!$C$4,'Pokemon Editor'!$A:$A,'Pokemon Editor'!$D:$D,"")="",1,INDEX('Type Chart'!$B:$S,MATCH(E318,'Type Chart'!$A:$A,0),MATCH(XLOOKUP('Boss Editor'!$C$4,'Pokemon Editor'!$A:$A,'Pokemon Editor'!$D:$D,""),'Type Chart'!$B$1:$S$1,0))))</f>
        <v/>
      </c>
      <c r="J318" s="3">
        <f>IFERROR(LET(mtype,XLOOKUP($D318,'Move Editor'!$B:$B,'Move Editor'!$C:$C,""),cat,XLOOKUP($D318,'Move Editor'!$B:$B,'Move Editor'!$D:$D,""),pow,XLOOKUP($D318,'Move Editor'!$B:$B,'Move Editor'!$E:$E,0),acc,XLOOKUP($D318,'Move Editor'!$B:$B,'Move Editor'!$F:$F,100),atk,IF(cat="Physical",FLOOR((FLOOR(((2*XLOOKUP(XLOOKUP($Q318,'Threshold Summary'!$Y:$Y,'Threshold Summary'!$K:$K,""),'Pokemon Editor'!$A:$A,'Pokemon Editor'!$F:$F,0)+31+FLOOR(XLOOKUP($Q318,'Threshold Summary'!$Y:$Y,'Threshold Summary'!$P:$P,"")/4))*XLOOKUP($Q318,'Threshold Summary'!$Y:$Y,'Threshold Summary'!$L:$L,""))/100)+5)*XLOOKUP(XLOOKUP($Q318,'Threshold Summary'!$Y:$Y,'Threshold Summary'!$M:$M,""),'Nature Editor'!$A:$A,'Nature Editor'!$B:$B,1)),FLOOR((FLOOR(((2*XLOOKUP(XLOOKUP($Q318,'Threshold Summary'!$Y:$Y,'Threshold Summary'!$K:$K,""),'Pokemon Editor'!$A:$A,'Pokemon Editor'!$H:$H,0)+31+FLOOR(XLOOKUP($Q318,'Threshold Summary'!$Y:$Y,'Threshold Summary'!$R:$R,"")/4))*XLOOKUP($Q318,'Threshold Summary'!$Y:$Y,'Threshold Summary'!$L:$L,""))/100)+5)*XLOOKUP(XLOOKUP($Q318,'Threshold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Editor'!$E:$E,1))),stab,IF(OR(mtype=XLOOKUP(XLOOKUP($Q318,'Threshold Summary'!$Y:$Y,'Threshold Summary'!$K:$K,""),'Pokemon Editor'!$A:$A,'Pokemon Editor'!$C:$C,""),mtype=XLOOKUP(XLOOKUP($Q318,'Threshold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Chart'!$B$1:$S$1,0)))),base,IF(OR(cat="Status",pow=0),0,FLOOR(FLOOR(FLOOR((2*XLOOKUP($Q318,'Threshold Summary'!$Y:$Y,'Threshold Summary'!$L:$L,"")/5+2)*pow*atk/def)/50)+2)),modifier,stab*eff,FLOOR(base*modifier*0.85)),0)</f>
        <v/>
      </c>
      <c r="K318" s="3">
        <f>IFERROR(LET(mtype,XLOOKUP($D318,'Move Editor'!$B:$B,'Move Editor'!$C:$C,""),cat,XLOOKUP($D318,'Move Editor'!$B:$B,'Move Editor'!$D:$D,""),pow,XLOOKUP($D318,'Move Editor'!$B:$B,'Move Editor'!$E:$E,0),acc,XLOOKUP($D318,'Move Editor'!$B:$B,'Move Editor'!$F:$F,100),atk,IF(cat="Physical",FLOOR((FLOOR(((2*XLOOKUP(XLOOKUP($Q318,'Threshold Summary'!$Y:$Y,'Threshold Summary'!$K:$K,""),'Pokemon Editor'!$A:$A,'Pokemon Editor'!$F:$F,0)+31+FLOOR(XLOOKUP($Q318,'Threshold Summary'!$Y:$Y,'Threshold Summary'!$P:$P,"")/4))*XLOOKUP($Q318,'Threshold Summary'!$Y:$Y,'Threshold Summary'!$L:$L,""))/100)+5)*XLOOKUP(XLOOKUP($Q318,'Threshold Summary'!$Y:$Y,'Threshold Summary'!$M:$M,""),'Nature Editor'!$A:$A,'Nature Editor'!$B:$B,1)),FLOOR((FLOOR(((2*XLOOKUP(XLOOKUP($Q318,'Threshold Summary'!$Y:$Y,'Threshold Summary'!$K:$K,""),'Pokemon Editor'!$A:$A,'Pokemon Editor'!$H:$H,0)+31+FLOOR(XLOOKUP($Q318,'Threshold Summary'!$Y:$Y,'Threshold Summary'!$R:$R,"")/4))*XLOOKUP($Q318,'Threshold Summary'!$Y:$Y,'Threshold Summary'!$L:$L,""))/100)+5)*XLOOKUP(XLOOKUP($Q318,'Threshold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Editor'!$E:$E,1))),stab,IF(OR(mtype=XLOOKUP(XLOOKUP($Q318,'Threshold Summary'!$Y:$Y,'Threshold Summary'!$K:$K,""),'Pokemon Editor'!$A:$A,'Pokemon Editor'!$C:$C,""),mtype=XLOOKUP(XLOOKUP($Q318,'Threshold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Chart'!$B$1:$S$1,0)))),base,IF(OR(cat="Status",pow=0),0,FLOOR(FLOOR(FLOOR((2*XLOOKUP($Q318,'Threshold Summary'!$Y:$Y,'Threshold Summary'!$L:$L,"")/5+2)*pow*atk/def)/50)+2)),modifier,stab*eff,FLOOR(base*modifier)),0)</f>
        <v/>
      </c>
      <c r="L318" s="3">
        <f>IFERROR(LET(mtype,XLOOKUP($D318,'Move Editor'!$B:$B,'Move Editor'!$C:$C,""),cat,XLOOKUP($D318,'Move Editor'!$B:$B,'Move Editor'!$D:$D,""),pow,XLOOKUP($D318,'Move Editor'!$B:$B,'Move Editor'!$E:$E,0),acc,XLOOKUP($D318,'Move Editor'!$B:$B,'Move Editor'!$F:$F,100),atk,IF(cat="Physical",FLOOR((FLOOR(((2*XLOOKUP(XLOOKUP($Q318,'Threshold Summary'!$Y:$Y,'Threshold Summary'!$K:$K,""),'Pokemon Editor'!$A:$A,'Pokemon Editor'!$F:$F,0)+31+FLOOR(XLOOKUP($Q318,'Threshold Summary'!$Y:$Y,'Threshold Summary'!$P:$P,"")/4))*XLOOKUP($Q318,'Threshold Summary'!$Y:$Y,'Threshold Summary'!$L:$L,""))/100)+5)*XLOOKUP(XLOOKUP($Q318,'Threshold Summary'!$Y:$Y,'Threshold Summary'!$M:$M,""),'Nature Editor'!$A:$A,'Nature Editor'!$B:$B,1)),FLOOR((FLOOR(((2*XLOOKUP(XLOOKUP($Q318,'Threshold Summary'!$Y:$Y,'Threshold Summary'!$K:$K,""),'Pokemon Editor'!$A:$A,'Pokemon Editor'!$H:$H,0)+31+FLOOR(XLOOKUP($Q318,'Threshold Summary'!$Y:$Y,'Threshold Summary'!$R:$R,"")/4))*XLOOKUP($Q318,'Threshold Summary'!$Y:$Y,'Threshold Summary'!$L:$L,""))/100)+5)*XLOOKUP(XLOOKUP($Q318,'Threshold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Editor'!$E:$E,1))),stab,IF(OR(mtype=XLOOKUP(XLOOKUP($Q318,'Threshold Summary'!$Y:$Y,'Threshold Summary'!$K:$K,""),'Pokemon Editor'!$A:$A,'Pokemon Editor'!$C:$C,""),mtype=XLOOKUP(XLOOKUP($Q318,'Threshold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Chart'!$B$1:$S$1,0)))),base,IF(OR(cat="Status",pow=0),0,FLOOR(FLOOR(FLOOR((2*XLOOKUP($Q318,'Threshold Summary'!$Y:$Y,'Threshold Summary'!$L:$L,"")/5+2)*pow*atk/def)/50)+2)),modifier,stab*eff,AVERAGE(ARRAYFORMULA(FLOOR(base*modifier*SEQUENCE(16,1,85,1)/100)))),0)</f>
        <v/>
      </c>
      <c r="M318" s="3">
        <f>IFERROR(LET(mtype,XLOOKUP($D318,'Move Editor'!$B:$B,'Move Editor'!$C:$C,""),cat,XLOOKUP($D318,'Move Editor'!$B:$B,'Move Editor'!$D:$D,""),pow,XLOOKUP($D318,'Move Editor'!$B:$B,'Move Editor'!$E:$E,0),acc,XLOOKUP($D318,'Move Editor'!$B:$B,'Move Editor'!$F:$F,100),atk,IF(cat="Physical",FLOOR((FLOOR(((2*XLOOKUP(XLOOKUP($Q318,'Threshold Summary'!$Y:$Y,'Threshold Summary'!$K:$K,""),'Pokemon Editor'!$A:$A,'Pokemon Editor'!$F:$F,0)+31+FLOOR(XLOOKUP($Q318,'Threshold Summary'!$Y:$Y,'Threshold Summary'!$P:$P,"")/4))*XLOOKUP($Q318,'Threshold Summary'!$Y:$Y,'Threshold Summary'!$L:$L,""))/100)+5)*XLOOKUP(XLOOKUP($Q318,'Threshold Summary'!$Y:$Y,'Threshold Summary'!$M:$M,""),'Nature Editor'!$A:$A,'Nature Editor'!$B:$B,1)),FLOOR((FLOOR(((2*XLOOKUP(XLOOKUP($Q318,'Threshold Summary'!$Y:$Y,'Threshold Summary'!$K:$K,""),'Pokemon Editor'!$A:$A,'Pokemon Editor'!$H:$H,0)+31+FLOOR(XLOOKUP($Q318,'Threshold Summary'!$Y:$Y,'Threshold Summary'!$R:$R,"")/4))*XLOOKUP($Q318,'Threshold Summary'!$Y:$Y,'Threshold Summary'!$L:$L,""))/100)+5)*XLOOKUP(XLOOKUP($Q318,'Threshold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Editor'!$E:$E,1))),stab,IF(OR(mtype=XLOOKUP(XLOOKUP($Q318,'Threshold Summary'!$Y:$Y,'Threshold Summary'!$K:$K,""),'Pokemon Editor'!$A:$A,'Pokemon Editor'!$C:$C,""),mtype=XLOOKUP(XLOOKUP($Q318,'Threshold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Chart'!$B$1:$S$1,0)))),base,IF(OR(cat="Status",pow=0),0,FLOOR(FLOOR(FLOOR((2*XLOOKUP($Q318,'Threshold Summary'!$Y:$Y,'Threshold Summary'!$L:$L,"")/5+2)*pow*atk/def)/50)+2)),modifier,stab*eff,AVERAGE(ARRAYFORMULA(FLOOR(base*modifier*SEQUENCE(16,1,85,1)/100)))*MIN(1,acc/100)),0)</f>
        <v/>
      </c>
      <c r="N318" s="4">
        <f>IFERROR(LET(mtype,XLOOKUP($D318,'Move Editor'!$B:$B,'Move Editor'!$C:$C,""),cat,XLOOKUP($D318,'Move Editor'!$B:$B,'Move Editor'!$D:$D,""),pow,XLOOKUP($D318,'Move Editor'!$B:$B,'Move Editor'!$E:$E,0),acc,XLOOKUP($D318,'Move Editor'!$B:$B,'Move Editor'!$F:$F,100),atk,IF(cat="Physical",FLOOR((FLOOR(((2*XLOOKUP(XLOOKUP($Q318,'Threshold Summary'!$Y:$Y,'Threshold Summary'!$K:$K,""),'Pokemon Editor'!$A:$A,'Pokemon Editor'!$F:$F,0)+31+FLOOR(XLOOKUP($Q318,'Threshold Summary'!$Y:$Y,'Threshold Summary'!$P:$P,"")/4))*XLOOKUP($Q318,'Threshold Summary'!$Y:$Y,'Threshold Summary'!$L:$L,""))/100)+5)*XLOOKUP(XLOOKUP($Q318,'Threshold Summary'!$Y:$Y,'Threshold Summary'!$M:$M,""),'Nature Editor'!$A:$A,'Nature Editor'!$B:$B,1)),FLOOR((FLOOR(((2*XLOOKUP(XLOOKUP($Q318,'Threshold Summary'!$Y:$Y,'Threshold Summary'!$K:$K,""),'Pokemon Editor'!$A:$A,'Pokemon Editor'!$H:$H,0)+31+FLOOR(XLOOKUP($Q318,'Threshold Summary'!$Y:$Y,'Threshold Summary'!$R:$R,"")/4))*XLOOKUP($Q318,'Threshold Summary'!$Y:$Y,'Threshold Summary'!$L:$L,""))/100)+5)*XLOOKUP(XLOOKUP($Q318,'Threshold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Editor'!$E:$E,1))),stab,IF(OR(mtype=XLOOKUP(XLOOKUP($Q318,'Threshold Summary'!$Y:$Y,'Threshold Summary'!$K:$K,""),'Pokemon Editor'!$A:$A,'Pokemon Editor'!$C:$C,""),mtype=XLOOKUP(XLOOKUP($Q318,'Threshold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Chart'!$B$1:$S$1,0)))),base,IF(OR(cat="Status",pow=0),0,FLOOR(FLOOR(FLOOR((2*XLOOKUP($Q318,'Threshold Summary'!$Y:$Y,'Threshold Summary'!$L:$L,"")/5+2)*pow*atk/def)/50)+2)),modifier,stab*eff,AVERAGE(ARRAYFORMULA(FLOOR(base*modifier*SEQUENCE(16,1,85,1)/100)))/(FLOOR(((2*XLOOKUP('Boss Editor'!$C$4,'Pokemon Editor'!$A:$A,'Pokemon Editor'!$E:$E,0)+31+FLOOR('Boss Editor'!$G$4/4))*'Boss Editor'!$D$4)/100)+'Boss Editor'!$D$4+10)),0)</f>
        <v/>
      </c>
      <c r="O318" s="3">
        <f>IF(N318&gt;=1,"OHKO",IF(N318&gt;=0.5,"2HKO",IF(N318&gt;=0.333,"3HKO",IF(N318&gt;=0.25,"4HKO","5HKO+"))))</f>
        <v/>
      </c>
      <c r="P318" s="3" t="inlineStr">
        <is>
          <t>Live from editable databases</t>
        </is>
      </c>
      <c r="Q318" s="3" t="inlineStr">
        <is>
          <t>SPECIES_STARLY</t>
        </is>
      </c>
      <c r="R318" s="3" t="n">
        <v>29</v>
      </c>
    </row>
    <row r="319">
      <c r="A319" s="3">
        <f>XLOOKUP($Q319,'Threshold Summary'!$Y:$Y,'Threshold Summary'!$A:$A,"")</f>
        <v/>
      </c>
      <c r="B319" s="3">
        <f>XLOOKUP($Q319,'Threshold Summary'!$Y:$Y,'Threshold Summary'!$M:$M,"")</f>
        <v/>
      </c>
      <c r="C319" s="3">
        <f>XLOOKUP($Q319,'Threshold Summary'!$Y:$Y,'Threshold Summary'!$N:$N,"")</f>
        <v/>
      </c>
      <c r="D319" s="3">
        <f>IFERROR(INDEX(FILTER('Learnset Editor'!$D$2:$D,'Learnset Editor'!$A$2:$A=XLOOKUP($Q319,'Threshold Summary'!$Y:$Y,'Threshold Summary'!$K:$K,""),'Learnset Editor'!$C$2:$C&lt;=XLOOKUP($Q319,'Threshold Summary'!$Y:$Y,'Threshold Summary'!$L:$L,"")),$R319),"")</f>
        <v/>
      </c>
      <c r="E319" s="3">
        <f>XLOOKUP(D319,'Move Editor'!$B:$B,'Move Editor'!$C:$C,"")</f>
        <v/>
      </c>
      <c r="F319" s="3">
        <f>XLOOKUP(D319,'Move Editor'!$B:$B,'Move Editor'!$D:$D,"")</f>
        <v/>
      </c>
      <c r="G319" s="3">
        <f>XLOOKUP(D319,'Move Editor'!$B:$B,'Move Editor'!$E:$E,0)</f>
        <v/>
      </c>
      <c r="H319" s="3">
        <f>XLOOKUP(D319,'Move Editor'!$B:$B,'Move Editor'!$F:$F,0)</f>
        <v/>
      </c>
      <c r="I319" s="3">
        <f>(INDEX('Type Chart'!$B:$S,MATCH(E319,'Type Chart'!$A:$A,0),MATCH(XLOOKUP('Boss Editor'!$C$4,'Pokemon Editor'!$A:$A,'Pokemon Editor'!$C:$C,""),'Type Chart'!$B$1:$S$1,0))*IF(XLOOKUP('Boss Editor'!$C$4,'Pokemon Editor'!$A:$A,'Pokemon Editor'!$D:$D,"")="",1,INDEX('Type Chart'!$B:$S,MATCH(E319,'Type Chart'!$A:$A,0),MATCH(XLOOKUP('Boss Editor'!$C$4,'Pokemon Editor'!$A:$A,'Pokemon Editor'!$D:$D,""),'Type Chart'!$B$1:$S$1,0))))</f>
        <v/>
      </c>
      <c r="J319" s="3">
        <f>IFERROR(LET(mtype,XLOOKUP($D319,'Move Editor'!$B:$B,'Move Editor'!$C:$C,""),cat,XLOOKUP($D319,'Move Editor'!$B:$B,'Move Editor'!$D:$D,""),pow,XLOOKUP($D319,'Move Editor'!$B:$B,'Move Editor'!$E:$E,0),acc,XLOOKUP($D319,'Move Editor'!$B:$B,'Move Editor'!$F:$F,100),atk,IF(cat="Physical",FLOOR((FLOOR(((2*XLOOKUP(XLOOKUP($Q319,'Threshold Summary'!$Y:$Y,'Threshold Summary'!$K:$K,""),'Pokemon Editor'!$A:$A,'Pokemon Editor'!$F:$F,0)+31+FLOOR(XLOOKUP($Q319,'Threshold Summary'!$Y:$Y,'Threshold Summary'!$P:$P,"")/4))*XLOOKUP($Q319,'Threshold Summary'!$Y:$Y,'Threshold Summary'!$L:$L,""))/100)+5)*XLOOKUP(XLOOKUP($Q319,'Threshold Summary'!$Y:$Y,'Threshold Summary'!$M:$M,""),'Nature Editor'!$A:$A,'Nature Editor'!$B:$B,1)),FLOOR((FLOOR(((2*XLOOKUP(XLOOKUP($Q319,'Threshold Summary'!$Y:$Y,'Threshold Summary'!$K:$K,""),'Pokemon Editor'!$A:$A,'Pokemon Editor'!$H:$H,0)+31+FLOOR(XLOOKUP($Q319,'Threshold Summary'!$Y:$Y,'Threshold Summary'!$R:$R,"")/4))*XLOOKUP($Q319,'Threshold Summary'!$Y:$Y,'Threshold Summary'!$L:$L,""))/100)+5)*XLOOKUP(XLOOKUP($Q319,'Threshold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Editor'!$E:$E,1))),stab,IF(OR(mtype=XLOOKUP(XLOOKUP($Q319,'Threshold Summary'!$Y:$Y,'Threshold Summary'!$K:$K,""),'Pokemon Editor'!$A:$A,'Pokemon Editor'!$C:$C,""),mtype=XLOOKUP(XLOOKUP($Q319,'Threshold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Chart'!$B$1:$S$1,0)))),base,IF(OR(cat="Status",pow=0),0,FLOOR(FLOOR(FLOOR((2*XLOOKUP($Q319,'Threshold Summary'!$Y:$Y,'Threshold Summary'!$L:$L,"")/5+2)*pow*atk/def)/50)+2)),modifier,stab*eff,FLOOR(base*modifier*0.85)),0)</f>
        <v/>
      </c>
      <c r="K319" s="3">
        <f>IFERROR(LET(mtype,XLOOKUP($D319,'Move Editor'!$B:$B,'Move Editor'!$C:$C,""),cat,XLOOKUP($D319,'Move Editor'!$B:$B,'Move Editor'!$D:$D,""),pow,XLOOKUP($D319,'Move Editor'!$B:$B,'Move Editor'!$E:$E,0),acc,XLOOKUP($D319,'Move Editor'!$B:$B,'Move Editor'!$F:$F,100),atk,IF(cat="Physical",FLOOR((FLOOR(((2*XLOOKUP(XLOOKUP($Q319,'Threshold Summary'!$Y:$Y,'Threshold Summary'!$K:$K,""),'Pokemon Editor'!$A:$A,'Pokemon Editor'!$F:$F,0)+31+FLOOR(XLOOKUP($Q319,'Threshold Summary'!$Y:$Y,'Threshold Summary'!$P:$P,"")/4))*XLOOKUP($Q319,'Threshold Summary'!$Y:$Y,'Threshold Summary'!$L:$L,""))/100)+5)*XLOOKUP(XLOOKUP($Q319,'Threshold Summary'!$Y:$Y,'Threshold Summary'!$M:$M,""),'Nature Editor'!$A:$A,'Nature Editor'!$B:$B,1)),FLOOR((FLOOR(((2*XLOOKUP(XLOOKUP($Q319,'Threshold Summary'!$Y:$Y,'Threshold Summary'!$K:$K,""),'Pokemon Editor'!$A:$A,'Pokemon Editor'!$H:$H,0)+31+FLOOR(XLOOKUP($Q319,'Threshold Summary'!$Y:$Y,'Threshold Summary'!$R:$R,"")/4))*XLOOKUP($Q319,'Threshold Summary'!$Y:$Y,'Threshold Summary'!$L:$L,""))/100)+5)*XLOOKUP(XLOOKUP($Q319,'Threshold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Editor'!$E:$E,1))),stab,IF(OR(mtype=XLOOKUP(XLOOKUP($Q319,'Threshold Summary'!$Y:$Y,'Threshold Summary'!$K:$K,""),'Pokemon Editor'!$A:$A,'Pokemon Editor'!$C:$C,""),mtype=XLOOKUP(XLOOKUP($Q319,'Threshold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Chart'!$B$1:$S$1,0)))),base,IF(OR(cat="Status",pow=0),0,FLOOR(FLOOR(FLOOR((2*XLOOKUP($Q319,'Threshold Summary'!$Y:$Y,'Threshold Summary'!$L:$L,"")/5+2)*pow*atk/def)/50)+2)),modifier,stab*eff,FLOOR(base*modifier)),0)</f>
        <v/>
      </c>
      <c r="L319" s="3">
        <f>IFERROR(LET(mtype,XLOOKUP($D319,'Move Editor'!$B:$B,'Move Editor'!$C:$C,""),cat,XLOOKUP($D319,'Move Editor'!$B:$B,'Move Editor'!$D:$D,""),pow,XLOOKUP($D319,'Move Editor'!$B:$B,'Move Editor'!$E:$E,0),acc,XLOOKUP($D319,'Move Editor'!$B:$B,'Move Editor'!$F:$F,100),atk,IF(cat="Physical",FLOOR((FLOOR(((2*XLOOKUP(XLOOKUP($Q319,'Threshold Summary'!$Y:$Y,'Threshold Summary'!$K:$K,""),'Pokemon Editor'!$A:$A,'Pokemon Editor'!$F:$F,0)+31+FLOOR(XLOOKUP($Q319,'Threshold Summary'!$Y:$Y,'Threshold Summary'!$P:$P,"")/4))*XLOOKUP($Q319,'Threshold Summary'!$Y:$Y,'Threshold Summary'!$L:$L,""))/100)+5)*XLOOKUP(XLOOKUP($Q319,'Threshold Summary'!$Y:$Y,'Threshold Summary'!$M:$M,""),'Nature Editor'!$A:$A,'Nature Editor'!$B:$B,1)),FLOOR((FLOOR(((2*XLOOKUP(XLOOKUP($Q319,'Threshold Summary'!$Y:$Y,'Threshold Summary'!$K:$K,""),'Pokemon Editor'!$A:$A,'Pokemon Editor'!$H:$H,0)+31+FLOOR(XLOOKUP($Q319,'Threshold Summary'!$Y:$Y,'Threshold Summary'!$R:$R,"")/4))*XLOOKUP($Q319,'Threshold Summary'!$Y:$Y,'Threshold Summary'!$L:$L,""))/100)+5)*XLOOKUP(XLOOKUP($Q319,'Threshold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Editor'!$E:$E,1))),stab,IF(OR(mtype=XLOOKUP(XLOOKUP($Q319,'Threshold Summary'!$Y:$Y,'Threshold Summary'!$K:$K,""),'Pokemon Editor'!$A:$A,'Pokemon Editor'!$C:$C,""),mtype=XLOOKUP(XLOOKUP($Q319,'Threshold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Chart'!$B$1:$S$1,0)))),base,IF(OR(cat="Status",pow=0),0,FLOOR(FLOOR(FLOOR((2*XLOOKUP($Q319,'Threshold Summary'!$Y:$Y,'Threshold Summary'!$L:$L,"")/5+2)*pow*atk/def)/50)+2)),modifier,stab*eff,AVERAGE(ARRAYFORMULA(FLOOR(base*modifier*SEQUENCE(16,1,85,1)/100)))),0)</f>
        <v/>
      </c>
      <c r="M319" s="3">
        <f>IFERROR(LET(mtype,XLOOKUP($D319,'Move Editor'!$B:$B,'Move Editor'!$C:$C,""),cat,XLOOKUP($D319,'Move Editor'!$B:$B,'Move Editor'!$D:$D,""),pow,XLOOKUP($D319,'Move Editor'!$B:$B,'Move Editor'!$E:$E,0),acc,XLOOKUP($D319,'Move Editor'!$B:$B,'Move Editor'!$F:$F,100),atk,IF(cat="Physical",FLOOR((FLOOR(((2*XLOOKUP(XLOOKUP($Q319,'Threshold Summary'!$Y:$Y,'Threshold Summary'!$K:$K,""),'Pokemon Editor'!$A:$A,'Pokemon Editor'!$F:$F,0)+31+FLOOR(XLOOKUP($Q319,'Threshold Summary'!$Y:$Y,'Threshold Summary'!$P:$P,"")/4))*XLOOKUP($Q319,'Threshold Summary'!$Y:$Y,'Threshold Summary'!$L:$L,""))/100)+5)*XLOOKUP(XLOOKUP($Q319,'Threshold Summary'!$Y:$Y,'Threshold Summary'!$M:$M,""),'Nature Editor'!$A:$A,'Nature Editor'!$B:$B,1)),FLOOR((FLOOR(((2*XLOOKUP(XLOOKUP($Q319,'Threshold Summary'!$Y:$Y,'Threshold Summary'!$K:$K,""),'Pokemon Editor'!$A:$A,'Pokemon Editor'!$H:$H,0)+31+FLOOR(XLOOKUP($Q319,'Threshold Summary'!$Y:$Y,'Threshold Summary'!$R:$R,"")/4))*XLOOKUP($Q319,'Threshold Summary'!$Y:$Y,'Threshold Summary'!$L:$L,""))/100)+5)*XLOOKUP(XLOOKUP($Q319,'Threshold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Editor'!$E:$E,1))),stab,IF(OR(mtype=XLOOKUP(XLOOKUP($Q319,'Threshold Summary'!$Y:$Y,'Threshold Summary'!$K:$K,""),'Pokemon Editor'!$A:$A,'Pokemon Editor'!$C:$C,""),mtype=XLOOKUP(XLOOKUP($Q319,'Threshold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Chart'!$B$1:$S$1,0)))),base,IF(OR(cat="Status",pow=0),0,FLOOR(FLOOR(FLOOR((2*XLOOKUP($Q319,'Threshold Summary'!$Y:$Y,'Threshold Summary'!$L:$L,"")/5+2)*pow*atk/def)/50)+2)),modifier,stab*eff,AVERAGE(ARRAYFORMULA(FLOOR(base*modifier*SEQUENCE(16,1,85,1)/100)))*MIN(1,acc/100)),0)</f>
        <v/>
      </c>
      <c r="N319" s="4">
        <f>IFERROR(LET(mtype,XLOOKUP($D319,'Move Editor'!$B:$B,'Move Editor'!$C:$C,""),cat,XLOOKUP($D319,'Move Editor'!$B:$B,'Move Editor'!$D:$D,""),pow,XLOOKUP($D319,'Move Editor'!$B:$B,'Move Editor'!$E:$E,0),acc,XLOOKUP($D319,'Move Editor'!$B:$B,'Move Editor'!$F:$F,100),atk,IF(cat="Physical",FLOOR((FLOOR(((2*XLOOKUP(XLOOKUP($Q319,'Threshold Summary'!$Y:$Y,'Threshold Summary'!$K:$K,""),'Pokemon Editor'!$A:$A,'Pokemon Editor'!$F:$F,0)+31+FLOOR(XLOOKUP($Q319,'Threshold Summary'!$Y:$Y,'Threshold Summary'!$P:$P,"")/4))*XLOOKUP($Q319,'Threshold Summary'!$Y:$Y,'Threshold Summary'!$L:$L,""))/100)+5)*XLOOKUP(XLOOKUP($Q319,'Threshold Summary'!$Y:$Y,'Threshold Summary'!$M:$M,""),'Nature Editor'!$A:$A,'Nature Editor'!$B:$B,1)),FLOOR((FLOOR(((2*XLOOKUP(XLOOKUP($Q319,'Threshold Summary'!$Y:$Y,'Threshold Summary'!$K:$K,""),'Pokemon Editor'!$A:$A,'Pokemon Editor'!$H:$H,0)+31+FLOOR(XLOOKUP($Q319,'Threshold Summary'!$Y:$Y,'Threshold Summary'!$R:$R,"")/4))*XLOOKUP($Q319,'Threshold Summary'!$Y:$Y,'Threshold Summary'!$L:$L,""))/100)+5)*XLOOKUP(XLOOKUP($Q319,'Threshold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Editor'!$E:$E,1))),stab,IF(OR(mtype=XLOOKUP(XLOOKUP($Q319,'Threshold Summary'!$Y:$Y,'Threshold Summary'!$K:$K,""),'Pokemon Editor'!$A:$A,'Pokemon Editor'!$C:$C,""),mtype=XLOOKUP(XLOOKUP($Q319,'Threshold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Chart'!$B$1:$S$1,0)))),base,IF(OR(cat="Status",pow=0),0,FLOOR(FLOOR(FLOOR((2*XLOOKUP($Q319,'Threshold Summary'!$Y:$Y,'Threshold Summary'!$L:$L,"")/5+2)*pow*atk/def)/50)+2)),modifier,stab*eff,AVERAGE(ARRAYFORMULA(FLOOR(base*modifier*SEQUENCE(16,1,85,1)/100)))/(FLOOR(((2*XLOOKUP('Boss Editor'!$C$4,'Pokemon Editor'!$A:$A,'Pokemon Editor'!$E:$E,0)+31+FLOOR('Boss Editor'!$G$4/4))*'Boss Editor'!$D$4)/100)+'Boss Editor'!$D$4+10)),0)</f>
        <v/>
      </c>
      <c r="O319" s="3">
        <f>IF(N319&gt;=1,"OHKO",IF(N319&gt;=0.5,"2HKO",IF(N319&gt;=0.333,"3HKO",IF(N319&gt;=0.25,"4HKO","5HKO+"))))</f>
        <v/>
      </c>
      <c r="P319" s="3" t="inlineStr">
        <is>
          <t>Live from editable databases</t>
        </is>
      </c>
      <c r="Q319" s="3" t="inlineStr">
        <is>
          <t>SPECIES_STARLY</t>
        </is>
      </c>
      <c r="R319" s="3" t="n">
        <v>30</v>
      </c>
    </row>
    <row r="320">
      <c r="A320" s="3">
        <f>XLOOKUP($Q320,'Threshold Summary'!$Y:$Y,'Threshold Summary'!$A:$A,"")</f>
        <v/>
      </c>
      <c r="B320" s="3">
        <f>XLOOKUP($Q320,'Threshold Summary'!$Y:$Y,'Threshold Summary'!$M:$M,"")</f>
        <v/>
      </c>
      <c r="C320" s="3">
        <f>XLOOKUP($Q320,'Threshold Summary'!$Y:$Y,'Threshold Summary'!$N:$N,"")</f>
        <v/>
      </c>
      <c r="D320" s="3">
        <f>IFERROR(INDEX(FILTER('Learnset Editor'!$D$2:$D,'Learnset Editor'!$A$2:$A=XLOOKUP($Q320,'Threshold Summary'!$Y:$Y,'Threshold Summary'!$K:$K,""),'Learnset Editor'!$C$2:$C&lt;=XLOOKUP($Q320,'Threshold Summary'!$Y:$Y,'Threshold Summary'!$L:$L,"")),$R320),"")</f>
        <v/>
      </c>
      <c r="E320" s="3">
        <f>XLOOKUP(D320,'Move Editor'!$B:$B,'Move Editor'!$C:$C,"")</f>
        <v/>
      </c>
      <c r="F320" s="3">
        <f>XLOOKUP(D320,'Move Editor'!$B:$B,'Move Editor'!$D:$D,"")</f>
        <v/>
      </c>
      <c r="G320" s="3">
        <f>XLOOKUP(D320,'Move Editor'!$B:$B,'Move Editor'!$E:$E,0)</f>
        <v/>
      </c>
      <c r="H320" s="3">
        <f>XLOOKUP(D320,'Move Editor'!$B:$B,'Move Editor'!$F:$F,0)</f>
        <v/>
      </c>
      <c r="I320" s="3">
        <f>(INDEX('Type Chart'!$B:$S,MATCH(E320,'Type Chart'!$A:$A,0),MATCH(XLOOKUP('Boss Editor'!$C$4,'Pokemon Editor'!$A:$A,'Pokemon Editor'!$C:$C,""),'Type Chart'!$B$1:$S$1,0))*IF(XLOOKUP('Boss Editor'!$C$4,'Pokemon Editor'!$A:$A,'Pokemon Editor'!$D:$D,"")="",1,INDEX('Type Chart'!$B:$S,MATCH(E320,'Type Chart'!$A:$A,0),MATCH(XLOOKUP('Boss Editor'!$C$4,'Pokemon Editor'!$A:$A,'Pokemon Editor'!$D:$D,""),'Type Chart'!$B$1:$S$1,0))))</f>
        <v/>
      </c>
      <c r="J320" s="3">
        <f>IFERROR(LET(mtype,XLOOKUP($D320,'Move Editor'!$B:$B,'Move Editor'!$C:$C,""),cat,XLOOKUP($D320,'Move Editor'!$B:$B,'Move Editor'!$D:$D,""),pow,XLOOKUP($D320,'Move Editor'!$B:$B,'Move Editor'!$E:$E,0),acc,XLOOKUP($D320,'Move Editor'!$B:$B,'Move Editor'!$F:$F,100),atk,IF(cat="Physical",FLOOR((FLOOR(((2*XLOOKUP(XLOOKUP($Q320,'Threshold Summary'!$Y:$Y,'Threshold Summary'!$K:$K,""),'Pokemon Editor'!$A:$A,'Pokemon Editor'!$F:$F,0)+31+FLOOR(XLOOKUP($Q320,'Threshold Summary'!$Y:$Y,'Threshold Summary'!$P:$P,"")/4))*XLOOKUP($Q320,'Threshold Summary'!$Y:$Y,'Threshold Summary'!$L:$L,""))/100)+5)*XLOOKUP(XLOOKUP($Q320,'Threshold Summary'!$Y:$Y,'Threshold Summary'!$M:$M,""),'Nature Editor'!$A:$A,'Nature Editor'!$B:$B,1)),FLOOR((FLOOR(((2*XLOOKUP(XLOOKUP($Q320,'Threshold Summary'!$Y:$Y,'Threshold Summary'!$K:$K,""),'Pokemon Editor'!$A:$A,'Pokemon Editor'!$H:$H,0)+31+FLOOR(XLOOKUP($Q320,'Threshold Summary'!$Y:$Y,'Threshold Summary'!$R:$R,"")/4))*XLOOKUP($Q320,'Threshold Summary'!$Y:$Y,'Threshold Summary'!$L:$L,""))/100)+5)*XLOOKUP(XLOOKUP($Q320,'Threshold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Editor'!$E:$E,1))),stab,IF(OR(mtype=XLOOKUP(XLOOKUP($Q320,'Threshold Summary'!$Y:$Y,'Threshold Summary'!$K:$K,""),'Pokemon Editor'!$A:$A,'Pokemon Editor'!$C:$C,""),mtype=XLOOKUP(XLOOKUP($Q320,'Threshold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Chart'!$B$1:$S$1,0)))),base,IF(OR(cat="Status",pow=0),0,FLOOR(FLOOR(FLOOR((2*XLOOKUP($Q320,'Threshold Summary'!$Y:$Y,'Threshold Summary'!$L:$L,"")/5+2)*pow*atk/def)/50)+2)),modifier,stab*eff,FLOOR(base*modifier*0.85)),0)</f>
        <v/>
      </c>
      <c r="K320" s="3">
        <f>IFERROR(LET(mtype,XLOOKUP($D320,'Move Editor'!$B:$B,'Move Editor'!$C:$C,""),cat,XLOOKUP($D320,'Move Editor'!$B:$B,'Move Editor'!$D:$D,""),pow,XLOOKUP($D320,'Move Editor'!$B:$B,'Move Editor'!$E:$E,0),acc,XLOOKUP($D320,'Move Editor'!$B:$B,'Move Editor'!$F:$F,100),atk,IF(cat="Physical",FLOOR((FLOOR(((2*XLOOKUP(XLOOKUP($Q320,'Threshold Summary'!$Y:$Y,'Threshold Summary'!$K:$K,""),'Pokemon Editor'!$A:$A,'Pokemon Editor'!$F:$F,0)+31+FLOOR(XLOOKUP($Q320,'Threshold Summary'!$Y:$Y,'Threshold Summary'!$P:$P,"")/4))*XLOOKUP($Q320,'Threshold Summary'!$Y:$Y,'Threshold Summary'!$L:$L,""))/100)+5)*XLOOKUP(XLOOKUP($Q320,'Threshold Summary'!$Y:$Y,'Threshold Summary'!$M:$M,""),'Nature Editor'!$A:$A,'Nature Editor'!$B:$B,1)),FLOOR((FLOOR(((2*XLOOKUP(XLOOKUP($Q320,'Threshold Summary'!$Y:$Y,'Threshold Summary'!$K:$K,""),'Pokemon Editor'!$A:$A,'Pokemon Editor'!$H:$H,0)+31+FLOOR(XLOOKUP($Q320,'Threshold Summary'!$Y:$Y,'Threshold Summary'!$R:$R,"")/4))*XLOOKUP($Q320,'Threshold Summary'!$Y:$Y,'Threshold Summary'!$L:$L,""))/100)+5)*XLOOKUP(XLOOKUP($Q320,'Threshold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Editor'!$E:$E,1))),stab,IF(OR(mtype=XLOOKUP(XLOOKUP($Q320,'Threshold Summary'!$Y:$Y,'Threshold Summary'!$K:$K,""),'Pokemon Editor'!$A:$A,'Pokemon Editor'!$C:$C,""),mtype=XLOOKUP(XLOOKUP($Q320,'Threshold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Chart'!$B$1:$S$1,0)))),base,IF(OR(cat="Status",pow=0),0,FLOOR(FLOOR(FLOOR((2*XLOOKUP($Q320,'Threshold Summary'!$Y:$Y,'Threshold Summary'!$L:$L,"")/5+2)*pow*atk/def)/50)+2)),modifier,stab*eff,FLOOR(base*modifier)),0)</f>
        <v/>
      </c>
      <c r="L320" s="3">
        <f>IFERROR(LET(mtype,XLOOKUP($D320,'Move Editor'!$B:$B,'Move Editor'!$C:$C,""),cat,XLOOKUP($D320,'Move Editor'!$B:$B,'Move Editor'!$D:$D,""),pow,XLOOKUP($D320,'Move Editor'!$B:$B,'Move Editor'!$E:$E,0),acc,XLOOKUP($D320,'Move Editor'!$B:$B,'Move Editor'!$F:$F,100),atk,IF(cat="Physical",FLOOR((FLOOR(((2*XLOOKUP(XLOOKUP($Q320,'Threshold Summary'!$Y:$Y,'Threshold Summary'!$K:$K,""),'Pokemon Editor'!$A:$A,'Pokemon Editor'!$F:$F,0)+31+FLOOR(XLOOKUP($Q320,'Threshold Summary'!$Y:$Y,'Threshold Summary'!$P:$P,"")/4))*XLOOKUP($Q320,'Threshold Summary'!$Y:$Y,'Threshold Summary'!$L:$L,""))/100)+5)*XLOOKUP(XLOOKUP($Q320,'Threshold Summary'!$Y:$Y,'Threshold Summary'!$M:$M,""),'Nature Editor'!$A:$A,'Nature Editor'!$B:$B,1)),FLOOR((FLOOR(((2*XLOOKUP(XLOOKUP($Q320,'Threshold Summary'!$Y:$Y,'Threshold Summary'!$K:$K,""),'Pokemon Editor'!$A:$A,'Pokemon Editor'!$H:$H,0)+31+FLOOR(XLOOKUP($Q320,'Threshold Summary'!$Y:$Y,'Threshold Summary'!$R:$R,"")/4))*XLOOKUP($Q320,'Threshold Summary'!$Y:$Y,'Threshold Summary'!$L:$L,""))/100)+5)*XLOOKUP(XLOOKUP($Q320,'Threshold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Editor'!$E:$E,1))),stab,IF(OR(mtype=XLOOKUP(XLOOKUP($Q320,'Threshold Summary'!$Y:$Y,'Threshold Summary'!$K:$K,""),'Pokemon Editor'!$A:$A,'Pokemon Editor'!$C:$C,""),mtype=XLOOKUP(XLOOKUP($Q320,'Threshold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Chart'!$B$1:$S$1,0)))),base,IF(OR(cat="Status",pow=0),0,FLOOR(FLOOR(FLOOR((2*XLOOKUP($Q320,'Threshold Summary'!$Y:$Y,'Threshold Summary'!$L:$L,"")/5+2)*pow*atk/def)/50)+2)),modifier,stab*eff,AVERAGE(ARRAYFORMULA(FLOOR(base*modifier*SEQUENCE(16,1,85,1)/100)))),0)</f>
        <v/>
      </c>
      <c r="M320" s="3">
        <f>IFERROR(LET(mtype,XLOOKUP($D320,'Move Editor'!$B:$B,'Move Editor'!$C:$C,""),cat,XLOOKUP($D320,'Move Editor'!$B:$B,'Move Editor'!$D:$D,""),pow,XLOOKUP($D320,'Move Editor'!$B:$B,'Move Editor'!$E:$E,0),acc,XLOOKUP($D320,'Move Editor'!$B:$B,'Move Editor'!$F:$F,100),atk,IF(cat="Physical",FLOOR((FLOOR(((2*XLOOKUP(XLOOKUP($Q320,'Threshold Summary'!$Y:$Y,'Threshold Summary'!$K:$K,""),'Pokemon Editor'!$A:$A,'Pokemon Editor'!$F:$F,0)+31+FLOOR(XLOOKUP($Q320,'Threshold Summary'!$Y:$Y,'Threshold Summary'!$P:$P,"")/4))*XLOOKUP($Q320,'Threshold Summary'!$Y:$Y,'Threshold Summary'!$L:$L,""))/100)+5)*XLOOKUP(XLOOKUP($Q320,'Threshold Summary'!$Y:$Y,'Threshold Summary'!$M:$M,""),'Nature Editor'!$A:$A,'Nature Editor'!$B:$B,1)),FLOOR((FLOOR(((2*XLOOKUP(XLOOKUP($Q320,'Threshold Summary'!$Y:$Y,'Threshold Summary'!$K:$K,""),'Pokemon Editor'!$A:$A,'Pokemon Editor'!$H:$H,0)+31+FLOOR(XLOOKUP($Q320,'Threshold Summary'!$Y:$Y,'Threshold Summary'!$R:$R,"")/4))*XLOOKUP($Q320,'Threshold Summary'!$Y:$Y,'Threshold Summary'!$L:$L,""))/100)+5)*XLOOKUP(XLOOKUP($Q320,'Threshold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Editor'!$E:$E,1))),stab,IF(OR(mtype=XLOOKUP(XLOOKUP($Q320,'Threshold Summary'!$Y:$Y,'Threshold Summary'!$K:$K,""),'Pokemon Editor'!$A:$A,'Pokemon Editor'!$C:$C,""),mtype=XLOOKUP(XLOOKUP($Q320,'Threshold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Chart'!$B$1:$S$1,0)))),base,IF(OR(cat="Status",pow=0),0,FLOOR(FLOOR(FLOOR((2*XLOOKUP($Q320,'Threshold Summary'!$Y:$Y,'Threshold Summary'!$L:$L,"")/5+2)*pow*atk/def)/50)+2)),modifier,stab*eff,AVERAGE(ARRAYFORMULA(FLOOR(base*modifier*SEQUENCE(16,1,85,1)/100)))*MIN(1,acc/100)),0)</f>
        <v/>
      </c>
      <c r="N320" s="4">
        <f>IFERROR(LET(mtype,XLOOKUP($D320,'Move Editor'!$B:$B,'Move Editor'!$C:$C,""),cat,XLOOKUP($D320,'Move Editor'!$B:$B,'Move Editor'!$D:$D,""),pow,XLOOKUP($D320,'Move Editor'!$B:$B,'Move Editor'!$E:$E,0),acc,XLOOKUP($D320,'Move Editor'!$B:$B,'Move Editor'!$F:$F,100),atk,IF(cat="Physical",FLOOR((FLOOR(((2*XLOOKUP(XLOOKUP($Q320,'Threshold Summary'!$Y:$Y,'Threshold Summary'!$K:$K,""),'Pokemon Editor'!$A:$A,'Pokemon Editor'!$F:$F,0)+31+FLOOR(XLOOKUP($Q320,'Threshold Summary'!$Y:$Y,'Threshold Summary'!$P:$P,"")/4))*XLOOKUP($Q320,'Threshold Summary'!$Y:$Y,'Threshold Summary'!$L:$L,""))/100)+5)*XLOOKUP(XLOOKUP($Q320,'Threshold Summary'!$Y:$Y,'Threshold Summary'!$M:$M,""),'Nature Editor'!$A:$A,'Nature Editor'!$B:$B,1)),FLOOR((FLOOR(((2*XLOOKUP(XLOOKUP($Q320,'Threshold Summary'!$Y:$Y,'Threshold Summary'!$K:$K,""),'Pokemon Editor'!$A:$A,'Pokemon Editor'!$H:$H,0)+31+FLOOR(XLOOKUP($Q320,'Threshold Summary'!$Y:$Y,'Threshold Summary'!$R:$R,"")/4))*XLOOKUP($Q320,'Threshold Summary'!$Y:$Y,'Threshold Summary'!$L:$L,""))/100)+5)*XLOOKUP(XLOOKUP($Q320,'Threshold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Editor'!$E:$E,1))),stab,IF(OR(mtype=XLOOKUP(XLOOKUP($Q320,'Threshold Summary'!$Y:$Y,'Threshold Summary'!$K:$K,""),'Pokemon Editor'!$A:$A,'Pokemon Editor'!$C:$C,""),mtype=XLOOKUP(XLOOKUP($Q320,'Threshold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Chart'!$B$1:$S$1,0)))),base,IF(OR(cat="Status",pow=0),0,FLOOR(FLOOR(FLOOR((2*XLOOKUP($Q320,'Threshold Summary'!$Y:$Y,'Threshold Summary'!$L:$L,"")/5+2)*pow*atk/def)/50)+2)),modifier,stab*eff,AVERAGE(ARRAYFORMULA(FLOOR(base*modifier*SEQUENCE(16,1,85,1)/100)))/(FLOOR(((2*XLOOKUP('Boss Editor'!$C$4,'Pokemon Editor'!$A:$A,'Pokemon Editor'!$E:$E,0)+31+FLOOR('Boss Editor'!$G$4/4))*'Boss Editor'!$D$4)/100)+'Boss Editor'!$D$4+10)),0)</f>
        <v/>
      </c>
      <c r="O320" s="3">
        <f>IF(N320&gt;=1,"OHKO",IF(N320&gt;=0.5,"2HKO",IF(N320&gt;=0.333,"3HKO",IF(N320&gt;=0.25,"4HKO","5HKO+"))))</f>
        <v/>
      </c>
      <c r="P320" s="3" t="inlineStr">
        <is>
          <t>Live from editable databases</t>
        </is>
      </c>
      <c r="Q320" s="3" t="inlineStr">
        <is>
          <t>SPECIES_STARLY</t>
        </is>
      </c>
      <c r="R320" s="3" t="n">
        <v>31</v>
      </c>
    </row>
    <row r="321">
      <c r="A321" s="3">
        <f>XLOOKUP($Q321,'Threshold Summary'!$Y:$Y,'Threshold Summary'!$A:$A,"")</f>
        <v/>
      </c>
      <c r="B321" s="3">
        <f>XLOOKUP($Q321,'Threshold Summary'!$Y:$Y,'Threshold Summary'!$M:$M,"")</f>
        <v/>
      </c>
      <c r="C321" s="3">
        <f>XLOOKUP($Q321,'Threshold Summary'!$Y:$Y,'Threshold Summary'!$N:$N,"")</f>
        <v/>
      </c>
      <c r="D321" s="3">
        <f>IFERROR(INDEX(FILTER('Learnset Editor'!$D$2:$D,'Learnset Editor'!$A$2:$A=XLOOKUP($Q321,'Threshold Summary'!$Y:$Y,'Threshold Summary'!$K:$K,""),'Learnset Editor'!$C$2:$C&lt;=XLOOKUP($Q321,'Threshold Summary'!$Y:$Y,'Threshold Summary'!$L:$L,"")),$R321),"")</f>
        <v/>
      </c>
      <c r="E321" s="3">
        <f>XLOOKUP(D321,'Move Editor'!$B:$B,'Move Editor'!$C:$C,"")</f>
        <v/>
      </c>
      <c r="F321" s="3">
        <f>XLOOKUP(D321,'Move Editor'!$B:$B,'Move Editor'!$D:$D,"")</f>
        <v/>
      </c>
      <c r="G321" s="3">
        <f>XLOOKUP(D321,'Move Editor'!$B:$B,'Move Editor'!$E:$E,0)</f>
        <v/>
      </c>
      <c r="H321" s="3">
        <f>XLOOKUP(D321,'Move Editor'!$B:$B,'Move Editor'!$F:$F,0)</f>
        <v/>
      </c>
      <c r="I321" s="3">
        <f>(INDEX('Type Chart'!$B:$S,MATCH(E321,'Type Chart'!$A:$A,0),MATCH(XLOOKUP('Boss Editor'!$C$4,'Pokemon Editor'!$A:$A,'Pokemon Editor'!$C:$C,""),'Type Chart'!$B$1:$S$1,0))*IF(XLOOKUP('Boss Editor'!$C$4,'Pokemon Editor'!$A:$A,'Pokemon Editor'!$D:$D,"")="",1,INDEX('Type Chart'!$B:$S,MATCH(E321,'Type Chart'!$A:$A,0),MATCH(XLOOKUP('Boss Editor'!$C$4,'Pokemon Editor'!$A:$A,'Pokemon Editor'!$D:$D,""),'Type Chart'!$B$1:$S$1,0))))</f>
        <v/>
      </c>
      <c r="J321" s="3">
        <f>IFERROR(LET(mtype,XLOOKUP($D321,'Move Editor'!$B:$B,'Move Editor'!$C:$C,""),cat,XLOOKUP($D321,'Move Editor'!$B:$B,'Move Editor'!$D:$D,""),pow,XLOOKUP($D321,'Move Editor'!$B:$B,'Move Editor'!$E:$E,0),acc,XLOOKUP($D321,'Move Editor'!$B:$B,'Move Editor'!$F:$F,100),atk,IF(cat="Physical",FLOOR((FLOOR(((2*XLOOKUP(XLOOKUP($Q321,'Threshold Summary'!$Y:$Y,'Threshold Summary'!$K:$K,""),'Pokemon Editor'!$A:$A,'Pokemon Editor'!$F:$F,0)+31+FLOOR(XLOOKUP($Q321,'Threshold Summary'!$Y:$Y,'Threshold Summary'!$P:$P,"")/4))*XLOOKUP($Q321,'Threshold Summary'!$Y:$Y,'Threshold Summary'!$L:$L,""))/100)+5)*XLOOKUP(XLOOKUP($Q321,'Threshold Summary'!$Y:$Y,'Threshold Summary'!$M:$M,""),'Nature Editor'!$A:$A,'Nature Editor'!$B:$B,1)),FLOOR((FLOOR(((2*XLOOKUP(XLOOKUP($Q321,'Threshold Summary'!$Y:$Y,'Threshold Summary'!$K:$K,""),'Pokemon Editor'!$A:$A,'Pokemon Editor'!$H:$H,0)+31+FLOOR(XLOOKUP($Q321,'Threshold Summary'!$Y:$Y,'Threshold Summary'!$R:$R,"")/4))*XLOOKUP($Q321,'Threshold Summary'!$Y:$Y,'Threshold Summary'!$L:$L,""))/100)+5)*XLOOKUP(XLOOKUP($Q321,'Threshold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Editor'!$E:$E,1))),stab,IF(OR(mtype=XLOOKUP(XLOOKUP($Q321,'Threshold Summary'!$Y:$Y,'Threshold Summary'!$K:$K,""),'Pokemon Editor'!$A:$A,'Pokemon Editor'!$C:$C,""),mtype=XLOOKUP(XLOOKUP($Q321,'Threshold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Chart'!$B$1:$S$1,0)))),base,IF(OR(cat="Status",pow=0),0,FLOOR(FLOOR(FLOOR((2*XLOOKUP($Q321,'Threshold Summary'!$Y:$Y,'Threshold Summary'!$L:$L,"")/5+2)*pow*atk/def)/50)+2)),modifier,stab*eff,FLOOR(base*modifier*0.85)),0)</f>
        <v/>
      </c>
      <c r="K321" s="3">
        <f>IFERROR(LET(mtype,XLOOKUP($D321,'Move Editor'!$B:$B,'Move Editor'!$C:$C,""),cat,XLOOKUP($D321,'Move Editor'!$B:$B,'Move Editor'!$D:$D,""),pow,XLOOKUP($D321,'Move Editor'!$B:$B,'Move Editor'!$E:$E,0),acc,XLOOKUP($D321,'Move Editor'!$B:$B,'Move Editor'!$F:$F,100),atk,IF(cat="Physical",FLOOR((FLOOR(((2*XLOOKUP(XLOOKUP($Q321,'Threshold Summary'!$Y:$Y,'Threshold Summary'!$K:$K,""),'Pokemon Editor'!$A:$A,'Pokemon Editor'!$F:$F,0)+31+FLOOR(XLOOKUP($Q321,'Threshold Summary'!$Y:$Y,'Threshold Summary'!$P:$P,"")/4))*XLOOKUP($Q321,'Threshold Summary'!$Y:$Y,'Threshold Summary'!$L:$L,""))/100)+5)*XLOOKUP(XLOOKUP($Q321,'Threshold Summary'!$Y:$Y,'Threshold Summary'!$M:$M,""),'Nature Editor'!$A:$A,'Nature Editor'!$B:$B,1)),FLOOR((FLOOR(((2*XLOOKUP(XLOOKUP($Q321,'Threshold Summary'!$Y:$Y,'Threshold Summary'!$K:$K,""),'Pokemon Editor'!$A:$A,'Pokemon Editor'!$H:$H,0)+31+FLOOR(XLOOKUP($Q321,'Threshold Summary'!$Y:$Y,'Threshold Summary'!$R:$R,"")/4))*XLOOKUP($Q321,'Threshold Summary'!$Y:$Y,'Threshold Summary'!$L:$L,""))/100)+5)*XLOOKUP(XLOOKUP($Q321,'Threshold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Editor'!$E:$E,1))),stab,IF(OR(mtype=XLOOKUP(XLOOKUP($Q321,'Threshold Summary'!$Y:$Y,'Threshold Summary'!$K:$K,""),'Pokemon Editor'!$A:$A,'Pokemon Editor'!$C:$C,""),mtype=XLOOKUP(XLOOKUP($Q321,'Threshold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Chart'!$B$1:$S$1,0)))),base,IF(OR(cat="Status",pow=0),0,FLOOR(FLOOR(FLOOR((2*XLOOKUP($Q321,'Threshold Summary'!$Y:$Y,'Threshold Summary'!$L:$L,"")/5+2)*pow*atk/def)/50)+2)),modifier,stab*eff,FLOOR(base*modifier)),0)</f>
        <v/>
      </c>
      <c r="L321" s="3">
        <f>IFERROR(LET(mtype,XLOOKUP($D321,'Move Editor'!$B:$B,'Move Editor'!$C:$C,""),cat,XLOOKUP($D321,'Move Editor'!$B:$B,'Move Editor'!$D:$D,""),pow,XLOOKUP($D321,'Move Editor'!$B:$B,'Move Editor'!$E:$E,0),acc,XLOOKUP($D321,'Move Editor'!$B:$B,'Move Editor'!$F:$F,100),atk,IF(cat="Physical",FLOOR((FLOOR(((2*XLOOKUP(XLOOKUP($Q321,'Threshold Summary'!$Y:$Y,'Threshold Summary'!$K:$K,""),'Pokemon Editor'!$A:$A,'Pokemon Editor'!$F:$F,0)+31+FLOOR(XLOOKUP($Q321,'Threshold Summary'!$Y:$Y,'Threshold Summary'!$P:$P,"")/4))*XLOOKUP($Q321,'Threshold Summary'!$Y:$Y,'Threshold Summary'!$L:$L,""))/100)+5)*XLOOKUP(XLOOKUP($Q321,'Threshold Summary'!$Y:$Y,'Threshold Summary'!$M:$M,""),'Nature Editor'!$A:$A,'Nature Editor'!$B:$B,1)),FLOOR((FLOOR(((2*XLOOKUP(XLOOKUP($Q321,'Threshold Summary'!$Y:$Y,'Threshold Summary'!$K:$K,""),'Pokemon Editor'!$A:$A,'Pokemon Editor'!$H:$H,0)+31+FLOOR(XLOOKUP($Q321,'Threshold Summary'!$Y:$Y,'Threshold Summary'!$R:$R,"")/4))*XLOOKUP($Q321,'Threshold Summary'!$Y:$Y,'Threshold Summary'!$L:$L,""))/100)+5)*XLOOKUP(XLOOKUP($Q321,'Threshold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Editor'!$E:$E,1))),stab,IF(OR(mtype=XLOOKUP(XLOOKUP($Q321,'Threshold Summary'!$Y:$Y,'Threshold Summary'!$K:$K,""),'Pokemon Editor'!$A:$A,'Pokemon Editor'!$C:$C,""),mtype=XLOOKUP(XLOOKUP($Q321,'Threshold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Chart'!$B$1:$S$1,0)))),base,IF(OR(cat="Status",pow=0),0,FLOOR(FLOOR(FLOOR((2*XLOOKUP($Q321,'Threshold Summary'!$Y:$Y,'Threshold Summary'!$L:$L,"")/5+2)*pow*atk/def)/50)+2)),modifier,stab*eff,AVERAGE(ARRAYFORMULA(FLOOR(base*modifier*SEQUENCE(16,1,85,1)/100)))),0)</f>
        <v/>
      </c>
      <c r="M321" s="3">
        <f>IFERROR(LET(mtype,XLOOKUP($D321,'Move Editor'!$B:$B,'Move Editor'!$C:$C,""),cat,XLOOKUP($D321,'Move Editor'!$B:$B,'Move Editor'!$D:$D,""),pow,XLOOKUP($D321,'Move Editor'!$B:$B,'Move Editor'!$E:$E,0),acc,XLOOKUP($D321,'Move Editor'!$B:$B,'Move Editor'!$F:$F,100),atk,IF(cat="Physical",FLOOR((FLOOR(((2*XLOOKUP(XLOOKUP($Q321,'Threshold Summary'!$Y:$Y,'Threshold Summary'!$K:$K,""),'Pokemon Editor'!$A:$A,'Pokemon Editor'!$F:$F,0)+31+FLOOR(XLOOKUP($Q321,'Threshold Summary'!$Y:$Y,'Threshold Summary'!$P:$P,"")/4))*XLOOKUP($Q321,'Threshold Summary'!$Y:$Y,'Threshold Summary'!$L:$L,""))/100)+5)*XLOOKUP(XLOOKUP($Q321,'Threshold Summary'!$Y:$Y,'Threshold Summary'!$M:$M,""),'Nature Editor'!$A:$A,'Nature Editor'!$B:$B,1)),FLOOR((FLOOR(((2*XLOOKUP(XLOOKUP($Q321,'Threshold Summary'!$Y:$Y,'Threshold Summary'!$K:$K,""),'Pokemon Editor'!$A:$A,'Pokemon Editor'!$H:$H,0)+31+FLOOR(XLOOKUP($Q321,'Threshold Summary'!$Y:$Y,'Threshold Summary'!$R:$R,"")/4))*XLOOKUP($Q321,'Threshold Summary'!$Y:$Y,'Threshold Summary'!$L:$L,""))/100)+5)*XLOOKUP(XLOOKUP($Q321,'Threshold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Editor'!$E:$E,1))),stab,IF(OR(mtype=XLOOKUP(XLOOKUP($Q321,'Threshold Summary'!$Y:$Y,'Threshold Summary'!$K:$K,""),'Pokemon Editor'!$A:$A,'Pokemon Editor'!$C:$C,""),mtype=XLOOKUP(XLOOKUP($Q321,'Threshold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Chart'!$B$1:$S$1,0)))),base,IF(OR(cat="Status",pow=0),0,FLOOR(FLOOR(FLOOR((2*XLOOKUP($Q321,'Threshold Summary'!$Y:$Y,'Threshold Summary'!$L:$L,"")/5+2)*pow*atk/def)/50)+2)),modifier,stab*eff,AVERAGE(ARRAYFORMULA(FLOOR(base*modifier*SEQUENCE(16,1,85,1)/100)))*MIN(1,acc/100)),0)</f>
        <v/>
      </c>
      <c r="N321" s="4">
        <f>IFERROR(LET(mtype,XLOOKUP($D321,'Move Editor'!$B:$B,'Move Editor'!$C:$C,""),cat,XLOOKUP($D321,'Move Editor'!$B:$B,'Move Editor'!$D:$D,""),pow,XLOOKUP($D321,'Move Editor'!$B:$B,'Move Editor'!$E:$E,0),acc,XLOOKUP($D321,'Move Editor'!$B:$B,'Move Editor'!$F:$F,100),atk,IF(cat="Physical",FLOOR((FLOOR(((2*XLOOKUP(XLOOKUP($Q321,'Threshold Summary'!$Y:$Y,'Threshold Summary'!$K:$K,""),'Pokemon Editor'!$A:$A,'Pokemon Editor'!$F:$F,0)+31+FLOOR(XLOOKUP($Q321,'Threshold Summary'!$Y:$Y,'Threshold Summary'!$P:$P,"")/4))*XLOOKUP($Q321,'Threshold Summary'!$Y:$Y,'Threshold Summary'!$L:$L,""))/100)+5)*XLOOKUP(XLOOKUP($Q321,'Threshold Summary'!$Y:$Y,'Threshold Summary'!$M:$M,""),'Nature Editor'!$A:$A,'Nature Editor'!$B:$B,1)),FLOOR((FLOOR(((2*XLOOKUP(XLOOKUP($Q321,'Threshold Summary'!$Y:$Y,'Threshold Summary'!$K:$K,""),'Pokemon Editor'!$A:$A,'Pokemon Editor'!$H:$H,0)+31+FLOOR(XLOOKUP($Q321,'Threshold Summary'!$Y:$Y,'Threshold Summary'!$R:$R,"")/4))*XLOOKUP($Q321,'Threshold Summary'!$Y:$Y,'Threshold Summary'!$L:$L,""))/100)+5)*XLOOKUP(XLOOKUP($Q321,'Threshold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Editor'!$E:$E,1))),stab,IF(OR(mtype=XLOOKUP(XLOOKUP($Q321,'Threshold Summary'!$Y:$Y,'Threshold Summary'!$K:$K,""),'Pokemon Editor'!$A:$A,'Pokemon Editor'!$C:$C,""),mtype=XLOOKUP(XLOOKUP($Q321,'Threshold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Chart'!$B$1:$S$1,0)))),base,IF(OR(cat="Status",pow=0),0,FLOOR(FLOOR(FLOOR((2*XLOOKUP($Q321,'Threshold Summary'!$Y:$Y,'Threshold Summary'!$L:$L,"")/5+2)*pow*atk/def)/50)+2)),modifier,stab*eff,AVERAGE(ARRAYFORMULA(FLOOR(base*modifier*SEQUENCE(16,1,85,1)/100)))/(FLOOR(((2*XLOOKUP('Boss Editor'!$C$4,'Pokemon Editor'!$A:$A,'Pokemon Editor'!$E:$E,0)+31+FLOOR('Boss Editor'!$G$4/4))*'Boss Editor'!$D$4)/100)+'Boss Editor'!$D$4+10)),0)</f>
        <v/>
      </c>
      <c r="O321" s="3">
        <f>IF(N321&gt;=1,"OHKO",IF(N321&gt;=0.5,"2HKO",IF(N321&gt;=0.333,"3HKO",IF(N321&gt;=0.25,"4HKO","5HKO+"))))</f>
        <v/>
      </c>
      <c r="P321" s="3" t="inlineStr">
        <is>
          <t>Live from editable databases</t>
        </is>
      </c>
      <c r="Q321" s="3" t="inlineStr">
        <is>
          <t>SPECIES_STARLY</t>
        </is>
      </c>
      <c r="R321" s="3" t="n">
        <v>32</v>
      </c>
    </row>
    <row r="322">
      <c r="A322" s="3">
        <f>XLOOKUP($Q322,'Threshold Summary'!$Y:$Y,'Threshold Summary'!$A:$A,"")</f>
        <v/>
      </c>
      <c r="B322" s="3">
        <f>XLOOKUP($Q322,'Threshold Summary'!$Y:$Y,'Threshold Summary'!$M:$M,"")</f>
        <v/>
      </c>
      <c r="C322" s="3">
        <f>XLOOKUP($Q322,'Threshold Summary'!$Y:$Y,'Threshold Summary'!$N:$N,"")</f>
        <v/>
      </c>
      <c r="D322" s="3">
        <f>IFERROR(INDEX(FILTER('Learnset Editor'!$D$2:$D,'Learnset Editor'!$A$2:$A=XLOOKUP($Q322,'Threshold Summary'!$Y:$Y,'Threshold Summary'!$K:$K,""),'Learnset Editor'!$C$2:$C&lt;=XLOOKUP($Q322,'Threshold Summary'!$Y:$Y,'Threshold Summary'!$L:$L,"")),$R322),"")</f>
        <v/>
      </c>
      <c r="E322" s="3">
        <f>XLOOKUP(D322,'Move Editor'!$B:$B,'Move Editor'!$C:$C,"")</f>
        <v/>
      </c>
      <c r="F322" s="3">
        <f>XLOOKUP(D322,'Move Editor'!$B:$B,'Move Editor'!$D:$D,"")</f>
        <v/>
      </c>
      <c r="G322" s="3">
        <f>XLOOKUP(D322,'Move Editor'!$B:$B,'Move Editor'!$E:$E,0)</f>
        <v/>
      </c>
      <c r="H322" s="3">
        <f>XLOOKUP(D322,'Move Editor'!$B:$B,'Move Editor'!$F:$F,0)</f>
        <v/>
      </c>
      <c r="I322" s="3">
        <f>(INDEX('Type Chart'!$B:$S,MATCH(E322,'Type Chart'!$A:$A,0),MATCH(XLOOKUP('Boss Editor'!$C$4,'Pokemon Editor'!$A:$A,'Pokemon Editor'!$C:$C,""),'Type Chart'!$B$1:$S$1,0))*IF(XLOOKUP('Boss Editor'!$C$4,'Pokemon Editor'!$A:$A,'Pokemon Editor'!$D:$D,"")="",1,INDEX('Type Chart'!$B:$S,MATCH(E322,'Type Chart'!$A:$A,0),MATCH(XLOOKUP('Boss Editor'!$C$4,'Pokemon Editor'!$A:$A,'Pokemon Editor'!$D:$D,""),'Type Chart'!$B$1:$S$1,0))))</f>
        <v/>
      </c>
      <c r="J322" s="3">
        <f>IFERROR(LET(mtype,XLOOKUP($D322,'Move Editor'!$B:$B,'Move Editor'!$C:$C,""),cat,XLOOKUP($D322,'Move Editor'!$B:$B,'Move Editor'!$D:$D,""),pow,XLOOKUP($D322,'Move Editor'!$B:$B,'Move Editor'!$E:$E,0),acc,XLOOKUP($D322,'Move Editor'!$B:$B,'Move Editor'!$F:$F,100),atk,IF(cat="Physical",FLOOR((FLOOR(((2*XLOOKUP(XLOOKUP($Q322,'Threshold Summary'!$Y:$Y,'Threshold Summary'!$K:$K,""),'Pokemon Editor'!$A:$A,'Pokemon Editor'!$F:$F,0)+31+FLOOR(XLOOKUP($Q322,'Threshold Summary'!$Y:$Y,'Threshold Summary'!$P:$P,"")/4))*XLOOKUP($Q322,'Threshold Summary'!$Y:$Y,'Threshold Summary'!$L:$L,""))/100)+5)*XLOOKUP(XLOOKUP($Q322,'Threshold Summary'!$Y:$Y,'Threshold Summary'!$M:$M,""),'Nature Editor'!$A:$A,'Nature Editor'!$B:$B,1)),FLOOR((FLOOR(((2*XLOOKUP(XLOOKUP($Q322,'Threshold Summary'!$Y:$Y,'Threshold Summary'!$K:$K,""),'Pokemon Editor'!$A:$A,'Pokemon Editor'!$H:$H,0)+31+FLOOR(XLOOKUP($Q322,'Threshold Summary'!$Y:$Y,'Threshold Summary'!$R:$R,"")/4))*XLOOKUP($Q322,'Threshold Summary'!$Y:$Y,'Threshold Summary'!$L:$L,""))/100)+5)*XLOOKUP(XLOOKUP($Q322,'Threshold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Editor'!$E:$E,1))),stab,IF(OR(mtype=XLOOKUP(XLOOKUP($Q322,'Threshold Summary'!$Y:$Y,'Threshold Summary'!$K:$K,""),'Pokemon Editor'!$A:$A,'Pokemon Editor'!$C:$C,""),mtype=XLOOKUP(XLOOKUP($Q322,'Threshold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Chart'!$B$1:$S$1,0)))),base,IF(OR(cat="Status",pow=0),0,FLOOR(FLOOR(FLOOR((2*XLOOKUP($Q322,'Threshold Summary'!$Y:$Y,'Threshold Summary'!$L:$L,"")/5+2)*pow*atk/def)/50)+2)),modifier,stab*eff,FLOOR(base*modifier*0.85)),0)</f>
        <v/>
      </c>
      <c r="K322" s="3">
        <f>IFERROR(LET(mtype,XLOOKUP($D322,'Move Editor'!$B:$B,'Move Editor'!$C:$C,""),cat,XLOOKUP($D322,'Move Editor'!$B:$B,'Move Editor'!$D:$D,""),pow,XLOOKUP($D322,'Move Editor'!$B:$B,'Move Editor'!$E:$E,0),acc,XLOOKUP($D322,'Move Editor'!$B:$B,'Move Editor'!$F:$F,100),atk,IF(cat="Physical",FLOOR((FLOOR(((2*XLOOKUP(XLOOKUP($Q322,'Threshold Summary'!$Y:$Y,'Threshold Summary'!$K:$K,""),'Pokemon Editor'!$A:$A,'Pokemon Editor'!$F:$F,0)+31+FLOOR(XLOOKUP($Q322,'Threshold Summary'!$Y:$Y,'Threshold Summary'!$P:$P,"")/4))*XLOOKUP($Q322,'Threshold Summary'!$Y:$Y,'Threshold Summary'!$L:$L,""))/100)+5)*XLOOKUP(XLOOKUP($Q322,'Threshold Summary'!$Y:$Y,'Threshold Summary'!$M:$M,""),'Nature Editor'!$A:$A,'Nature Editor'!$B:$B,1)),FLOOR((FLOOR(((2*XLOOKUP(XLOOKUP($Q322,'Threshold Summary'!$Y:$Y,'Threshold Summary'!$K:$K,""),'Pokemon Editor'!$A:$A,'Pokemon Editor'!$H:$H,0)+31+FLOOR(XLOOKUP($Q322,'Threshold Summary'!$Y:$Y,'Threshold Summary'!$R:$R,"")/4))*XLOOKUP($Q322,'Threshold Summary'!$Y:$Y,'Threshold Summary'!$L:$L,""))/100)+5)*XLOOKUP(XLOOKUP($Q322,'Threshold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Editor'!$E:$E,1))),stab,IF(OR(mtype=XLOOKUP(XLOOKUP($Q322,'Threshold Summary'!$Y:$Y,'Threshold Summary'!$K:$K,""),'Pokemon Editor'!$A:$A,'Pokemon Editor'!$C:$C,""),mtype=XLOOKUP(XLOOKUP($Q322,'Threshold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Chart'!$B$1:$S$1,0)))),base,IF(OR(cat="Status",pow=0),0,FLOOR(FLOOR(FLOOR((2*XLOOKUP($Q322,'Threshold Summary'!$Y:$Y,'Threshold Summary'!$L:$L,"")/5+2)*pow*atk/def)/50)+2)),modifier,stab*eff,FLOOR(base*modifier)),0)</f>
        <v/>
      </c>
      <c r="L322" s="3">
        <f>IFERROR(LET(mtype,XLOOKUP($D322,'Move Editor'!$B:$B,'Move Editor'!$C:$C,""),cat,XLOOKUP($D322,'Move Editor'!$B:$B,'Move Editor'!$D:$D,""),pow,XLOOKUP($D322,'Move Editor'!$B:$B,'Move Editor'!$E:$E,0),acc,XLOOKUP($D322,'Move Editor'!$B:$B,'Move Editor'!$F:$F,100),atk,IF(cat="Physical",FLOOR((FLOOR(((2*XLOOKUP(XLOOKUP($Q322,'Threshold Summary'!$Y:$Y,'Threshold Summary'!$K:$K,""),'Pokemon Editor'!$A:$A,'Pokemon Editor'!$F:$F,0)+31+FLOOR(XLOOKUP($Q322,'Threshold Summary'!$Y:$Y,'Threshold Summary'!$P:$P,"")/4))*XLOOKUP($Q322,'Threshold Summary'!$Y:$Y,'Threshold Summary'!$L:$L,""))/100)+5)*XLOOKUP(XLOOKUP($Q322,'Threshold Summary'!$Y:$Y,'Threshold Summary'!$M:$M,""),'Nature Editor'!$A:$A,'Nature Editor'!$B:$B,1)),FLOOR((FLOOR(((2*XLOOKUP(XLOOKUP($Q322,'Threshold Summary'!$Y:$Y,'Threshold Summary'!$K:$K,""),'Pokemon Editor'!$A:$A,'Pokemon Editor'!$H:$H,0)+31+FLOOR(XLOOKUP($Q322,'Threshold Summary'!$Y:$Y,'Threshold Summary'!$R:$R,"")/4))*XLOOKUP($Q322,'Threshold Summary'!$Y:$Y,'Threshold Summary'!$L:$L,""))/100)+5)*XLOOKUP(XLOOKUP($Q322,'Threshold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Editor'!$E:$E,1))),stab,IF(OR(mtype=XLOOKUP(XLOOKUP($Q322,'Threshold Summary'!$Y:$Y,'Threshold Summary'!$K:$K,""),'Pokemon Editor'!$A:$A,'Pokemon Editor'!$C:$C,""),mtype=XLOOKUP(XLOOKUP($Q322,'Threshold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Chart'!$B$1:$S$1,0)))),base,IF(OR(cat="Status",pow=0),0,FLOOR(FLOOR(FLOOR((2*XLOOKUP($Q322,'Threshold Summary'!$Y:$Y,'Threshold Summary'!$L:$L,"")/5+2)*pow*atk/def)/50)+2)),modifier,stab*eff,AVERAGE(ARRAYFORMULA(FLOOR(base*modifier*SEQUENCE(16,1,85,1)/100)))),0)</f>
        <v/>
      </c>
      <c r="M322" s="3">
        <f>IFERROR(LET(mtype,XLOOKUP($D322,'Move Editor'!$B:$B,'Move Editor'!$C:$C,""),cat,XLOOKUP($D322,'Move Editor'!$B:$B,'Move Editor'!$D:$D,""),pow,XLOOKUP($D322,'Move Editor'!$B:$B,'Move Editor'!$E:$E,0),acc,XLOOKUP($D322,'Move Editor'!$B:$B,'Move Editor'!$F:$F,100),atk,IF(cat="Physical",FLOOR((FLOOR(((2*XLOOKUP(XLOOKUP($Q322,'Threshold Summary'!$Y:$Y,'Threshold Summary'!$K:$K,""),'Pokemon Editor'!$A:$A,'Pokemon Editor'!$F:$F,0)+31+FLOOR(XLOOKUP($Q322,'Threshold Summary'!$Y:$Y,'Threshold Summary'!$P:$P,"")/4))*XLOOKUP($Q322,'Threshold Summary'!$Y:$Y,'Threshold Summary'!$L:$L,""))/100)+5)*XLOOKUP(XLOOKUP($Q322,'Threshold Summary'!$Y:$Y,'Threshold Summary'!$M:$M,""),'Nature Editor'!$A:$A,'Nature Editor'!$B:$B,1)),FLOOR((FLOOR(((2*XLOOKUP(XLOOKUP($Q322,'Threshold Summary'!$Y:$Y,'Threshold Summary'!$K:$K,""),'Pokemon Editor'!$A:$A,'Pokemon Editor'!$H:$H,0)+31+FLOOR(XLOOKUP($Q322,'Threshold Summary'!$Y:$Y,'Threshold Summary'!$R:$R,"")/4))*XLOOKUP($Q322,'Threshold Summary'!$Y:$Y,'Threshold Summary'!$L:$L,""))/100)+5)*XLOOKUP(XLOOKUP($Q322,'Threshold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Editor'!$E:$E,1))),stab,IF(OR(mtype=XLOOKUP(XLOOKUP($Q322,'Threshold Summary'!$Y:$Y,'Threshold Summary'!$K:$K,""),'Pokemon Editor'!$A:$A,'Pokemon Editor'!$C:$C,""),mtype=XLOOKUP(XLOOKUP($Q322,'Threshold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Chart'!$B$1:$S$1,0)))),base,IF(OR(cat="Status",pow=0),0,FLOOR(FLOOR(FLOOR((2*XLOOKUP($Q322,'Threshold Summary'!$Y:$Y,'Threshold Summary'!$L:$L,"")/5+2)*pow*atk/def)/50)+2)),modifier,stab*eff,AVERAGE(ARRAYFORMULA(FLOOR(base*modifier*SEQUENCE(16,1,85,1)/100)))*MIN(1,acc/100)),0)</f>
        <v/>
      </c>
      <c r="N322" s="4">
        <f>IFERROR(LET(mtype,XLOOKUP($D322,'Move Editor'!$B:$B,'Move Editor'!$C:$C,""),cat,XLOOKUP($D322,'Move Editor'!$B:$B,'Move Editor'!$D:$D,""),pow,XLOOKUP($D322,'Move Editor'!$B:$B,'Move Editor'!$E:$E,0),acc,XLOOKUP($D322,'Move Editor'!$B:$B,'Move Editor'!$F:$F,100),atk,IF(cat="Physical",FLOOR((FLOOR(((2*XLOOKUP(XLOOKUP($Q322,'Threshold Summary'!$Y:$Y,'Threshold Summary'!$K:$K,""),'Pokemon Editor'!$A:$A,'Pokemon Editor'!$F:$F,0)+31+FLOOR(XLOOKUP($Q322,'Threshold Summary'!$Y:$Y,'Threshold Summary'!$P:$P,"")/4))*XLOOKUP($Q322,'Threshold Summary'!$Y:$Y,'Threshold Summary'!$L:$L,""))/100)+5)*XLOOKUP(XLOOKUP($Q322,'Threshold Summary'!$Y:$Y,'Threshold Summary'!$M:$M,""),'Nature Editor'!$A:$A,'Nature Editor'!$B:$B,1)),FLOOR((FLOOR(((2*XLOOKUP(XLOOKUP($Q322,'Threshold Summary'!$Y:$Y,'Threshold Summary'!$K:$K,""),'Pokemon Editor'!$A:$A,'Pokemon Editor'!$H:$H,0)+31+FLOOR(XLOOKUP($Q322,'Threshold Summary'!$Y:$Y,'Threshold Summary'!$R:$R,"")/4))*XLOOKUP($Q322,'Threshold Summary'!$Y:$Y,'Threshold Summary'!$L:$L,""))/100)+5)*XLOOKUP(XLOOKUP($Q322,'Threshold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Editor'!$E:$E,1))),stab,IF(OR(mtype=XLOOKUP(XLOOKUP($Q322,'Threshold Summary'!$Y:$Y,'Threshold Summary'!$K:$K,""),'Pokemon Editor'!$A:$A,'Pokemon Editor'!$C:$C,""),mtype=XLOOKUP(XLOOKUP($Q322,'Threshold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Chart'!$B$1:$S$1,0)))),base,IF(OR(cat="Status",pow=0),0,FLOOR(FLOOR(FLOOR((2*XLOOKUP($Q322,'Threshold Summary'!$Y:$Y,'Threshold Summary'!$L:$L,"")/5+2)*pow*atk/def)/50)+2)),modifier,stab*eff,AVERAGE(ARRAYFORMULA(FLOOR(base*modifier*SEQUENCE(16,1,85,1)/100)))/(FLOOR(((2*XLOOKUP('Boss Editor'!$C$4,'Pokemon Editor'!$A:$A,'Pokemon Editor'!$E:$E,0)+31+FLOOR('Boss Editor'!$G$4/4))*'Boss Editor'!$D$4)/100)+'Boss Editor'!$D$4+10)),0)</f>
        <v/>
      </c>
      <c r="O322" s="3">
        <f>IF(N322&gt;=1,"OHKO",IF(N322&gt;=0.5,"2HKO",IF(N322&gt;=0.333,"3HKO",IF(N322&gt;=0.25,"4HKO","5HKO+"))))</f>
        <v/>
      </c>
      <c r="P322" s="3" t="inlineStr">
        <is>
          <t>Live from editable databases</t>
        </is>
      </c>
      <c r="Q322" s="3" t="inlineStr">
        <is>
          <t>SPECIES_SHINX</t>
        </is>
      </c>
      <c r="R322" s="3" t="n">
        <v>1</v>
      </c>
    </row>
    <row r="323">
      <c r="A323" s="3">
        <f>XLOOKUP($Q323,'Threshold Summary'!$Y:$Y,'Threshold Summary'!$A:$A,"")</f>
        <v/>
      </c>
      <c r="B323" s="3">
        <f>XLOOKUP($Q323,'Threshold Summary'!$Y:$Y,'Threshold Summary'!$M:$M,"")</f>
        <v/>
      </c>
      <c r="C323" s="3">
        <f>XLOOKUP($Q323,'Threshold Summary'!$Y:$Y,'Threshold Summary'!$N:$N,"")</f>
        <v/>
      </c>
      <c r="D323" s="3">
        <f>IFERROR(INDEX(FILTER('Learnset Editor'!$D$2:$D,'Learnset Editor'!$A$2:$A=XLOOKUP($Q323,'Threshold Summary'!$Y:$Y,'Threshold Summary'!$K:$K,""),'Learnset Editor'!$C$2:$C&lt;=XLOOKUP($Q323,'Threshold Summary'!$Y:$Y,'Threshold Summary'!$L:$L,"")),$R323),"")</f>
        <v/>
      </c>
      <c r="E323" s="3">
        <f>XLOOKUP(D323,'Move Editor'!$B:$B,'Move Editor'!$C:$C,"")</f>
        <v/>
      </c>
      <c r="F323" s="3">
        <f>XLOOKUP(D323,'Move Editor'!$B:$B,'Move Editor'!$D:$D,"")</f>
        <v/>
      </c>
      <c r="G323" s="3">
        <f>XLOOKUP(D323,'Move Editor'!$B:$B,'Move Editor'!$E:$E,0)</f>
        <v/>
      </c>
      <c r="H323" s="3">
        <f>XLOOKUP(D323,'Move Editor'!$B:$B,'Move Editor'!$F:$F,0)</f>
        <v/>
      </c>
      <c r="I323" s="3">
        <f>(INDEX('Type Chart'!$B:$S,MATCH(E323,'Type Chart'!$A:$A,0),MATCH(XLOOKUP('Boss Editor'!$C$4,'Pokemon Editor'!$A:$A,'Pokemon Editor'!$C:$C,""),'Type Chart'!$B$1:$S$1,0))*IF(XLOOKUP('Boss Editor'!$C$4,'Pokemon Editor'!$A:$A,'Pokemon Editor'!$D:$D,"")="",1,INDEX('Type Chart'!$B:$S,MATCH(E323,'Type Chart'!$A:$A,0),MATCH(XLOOKUP('Boss Editor'!$C$4,'Pokemon Editor'!$A:$A,'Pokemon Editor'!$D:$D,""),'Type Chart'!$B$1:$S$1,0))))</f>
        <v/>
      </c>
      <c r="J323" s="3">
        <f>IFERROR(LET(mtype,XLOOKUP($D323,'Move Editor'!$B:$B,'Move Editor'!$C:$C,""),cat,XLOOKUP($D323,'Move Editor'!$B:$B,'Move Editor'!$D:$D,""),pow,XLOOKUP($D323,'Move Editor'!$B:$B,'Move Editor'!$E:$E,0),acc,XLOOKUP($D323,'Move Editor'!$B:$B,'Move Editor'!$F:$F,100),atk,IF(cat="Physical",FLOOR((FLOOR(((2*XLOOKUP(XLOOKUP($Q323,'Threshold Summary'!$Y:$Y,'Threshold Summary'!$K:$K,""),'Pokemon Editor'!$A:$A,'Pokemon Editor'!$F:$F,0)+31+FLOOR(XLOOKUP($Q323,'Threshold Summary'!$Y:$Y,'Threshold Summary'!$P:$P,"")/4))*XLOOKUP($Q323,'Threshold Summary'!$Y:$Y,'Threshold Summary'!$L:$L,""))/100)+5)*XLOOKUP(XLOOKUP($Q323,'Threshold Summary'!$Y:$Y,'Threshold Summary'!$M:$M,""),'Nature Editor'!$A:$A,'Nature Editor'!$B:$B,1)),FLOOR((FLOOR(((2*XLOOKUP(XLOOKUP($Q323,'Threshold Summary'!$Y:$Y,'Threshold Summary'!$K:$K,""),'Pokemon Editor'!$A:$A,'Pokemon Editor'!$H:$H,0)+31+FLOOR(XLOOKUP($Q323,'Threshold Summary'!$Y:$Y,'Threshold Summary'!$R:$R,"")/4))*XLOOKUP($Q323,'Threshold Summary'!$Y:$Y,'Threshold Summary'!$L:$L,""))/100)+5)*XLOOKUP(XLOOKUP($Q323,'Threshold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Editor'!$E:$E,1))),stab,IF(OR(mtype=XLOOKUP(XLOOKUP($Q323,'Threshold Summary'!$Y:$Y,'Threshold Summary'!$K:$K,""),'Pokemon Editor'!$A:$A,'Pokemon Editor'!$C:$C,""),mtype=XLOOKUP(XLOOKUP($Q323,'Threshold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Chart'!$B$1:$S$1,0)))),base,IF(OR(cat="Status",pow=0),0,FLOOR(FLOOR(FLOOR((2*XLOOKUP($Q323,'Threshold Summary'!$Y:$Y,'Threshold Summary'!$L:$L,"")/5+2)*pow*atk/def)/50)+2)),modifier,stab*eff,FLOOR(base*modifier*0.85)),0)</f>
        <v/>
      </c>
      <c r="K323" s="3">
        <f>IFERROR(LET(mtype,XLOOKUP($D323,'Move Editor'!$B:$B,'Move Editor'!$C:$C,""),cat,XLOOKUP($D323,'Move Editor'!$B:$B,'Move Editor'!$D:$D,""),pow,XLOOKUP($D323,'Move Editor'!$B:$B,'Move Editor'!$E:$E,0),acc,XLOOKUP($D323,'Move Editor'!$B:$B,'Move Editor'!$F:$F,100),atk,IF(cat="Physical",FLOOR((FLOOR(((2*XLOOKUP(XLOOKUP($Q323,'Threshold Summary'!$Y:$Y,'Threshold Summary'!$K:$K,""),'Pokemon Editor'!$A:$A,'Pokemon Editor'!$F:$F,0)+31+FLOOR(XLOOKUP($Q323,'Threshold Summary'!$Y:$Y,'Threshold Summary'!$P:$P,"")/4))*XLOOKUP($Q323,'Threshold Summary'!$Y:$Y,'Threshold Summary'!$L:$L,""))/100)+5)*XLOOKUP(XLOOKUP($Q323,'Threshold Summary'!$Y:$Y,'Threshold Summary'!$M:$M,""),'Nature Editor'!$A:$A,'Nature Editor'!$B:$B,1)),FLOOR((FLOOR(((2*XLOOKUP(XLOOKUP($Q323,'Threshold Summary'!$Y:$Y,'Threshold Summary'!$K:$K,""),'Pokemon Editor'!$A:$A,'Pokemon Editor'!$H:$H,0)+31+FLOOR(XLOOKUP($Q323,'Threshold Summary'!$Y:$Y,'Threshold Summary'!$R:$R,"")/4))*XLOOKUP($Q323,'Threshold Summary'!$Y:$Y,'Threshold Summary'!$L:$L,""))/100)+5)*XLOOKUP(XLOOKUP($Q323,'Threshold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Editor'!$E:$E,1))),stab,IF(OR(mtype=XLOOKUP(XLOOKUP($Q323,'Threshold Summary'!$Y:$Y,'Threshold Summary'!$K:$K,""),'Pokemon Editor'!$A:$A,'Pokemon Editor'!$C:$C,""),mtype=XLOOKUP(XLOOKUP($Q323,'Threshold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Chart'!$B$1:$S$1,0)))),base,IF(OR(cat="Status",pow=0),0,FLOOR(FLOOR(FLOOR((2*XLOOKUP($Q323,'Threshold Summary'!$Y:$Y,'Threshold Summary'!$L:$L,"")/5+2)*pow*atk/def)/50)+2)),modifier,stab*eff,FLOOR(base*modifier)),0)</f>
        <v/>
      </c>
      <c r="L323" s="3">
        <f>IFERROR(LET(mtype,XLOOKUP($D323,'Move Editor'!$B:$B,'Move Editor'!$C:$C,""),cat,XLOOKUP($D323,'Move Editor'!$B:$B,'Move Editor'!$D:$D,""),pow,XLOOKUP($D323,'Move Editor'!$B:$B,'Move Editor'!$E:$E,0),acc,XLOOKUP($D323,'Move Editor'!$B:$B,'Move Editor'!$F:$F,100),atk,IF(cat="Physical",FLOOR((FLOOR(((2*XLOOKUP(XLOOKUP($Q323,'Threshold Summary'!$Y:$Y,'Threshold Summary'!$K:$K,""),'Pokemon Editor'!$A:$A,'Pokemon Editor'!$F:$F,0)+31+FLOOR(XLOOKUP($Q323,'Threshold Summary'!$Y:$Y,'Threshold Summary'!$P:$P,"")/4))*XLOOKUP($Q323,'Threshold Summary'!$Y:$Y,'Threshold Summary'!$L:$L,""))/100)+5)*XLOOKUP(XLOOKUP($Q323,'Threshold Summary'!$Y:$Y,'Threshold Summary'!$M:$M,""),'Nature Editor'!$A:$A,'Nature Editor'!$B:$B,1)),FLOOR((FLOOR(((2*XLOOKUP(XLOOKUP($Q323,'Threshold Summary'!$Y:$Y,'Threshold Summary'!$K:$K,""),'Pokemon Editor'!$A:$A,'Pokemon Editor'!$H:$H,0)+31+FLOOR(XLOOKUP($Q323,'Threshold Summary'!$Y:$Y,'Threshold Summary'!$R:$R,"")/4))*XLOOKUP($Q323,'Threshold Summary'!$Y:$Y,'Threshold Summary'!$L:$L,""))/100)+5)*XLOOKUP(XLOOKUP($Q323,'Threshold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Editor'!$E:$E,1))),stab,IF(OR(mtype=XLOOKUP(XLOOKUP($Q323,'Threshold Summary'!$Y:$Y,'Threshold Summary'!$K:$K,""),'Pokemon Editor'!$A:$A,'Pokemon Editor'!$C:$C,""),mtype=XLOOKUP(XLOOKUP($Q323,'Threshold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Chart'!$B$1:$S$1,0)))),base,IF(OR(cat="Status",pow=0),0,FLOOR(FLOOR(FLOOR((2*XLOOKUP($Q323,'Threshold Summary'!$Y:$Y,'Threshold Summary'!$L:$L,"")/5+2)*pow*atk/def)/50)+2)),modifier,stab*eff,AVERAGE(ARRAYFORMULA(FLOOR(base*modifier*SEQUENCE(16,1,85,1)/100)))),0)</f>
        <v/>
      </c>
      <c r="M323" s="3">
        <f>IFERROR(LET(mtype,XLOOKUP($D323,'Move Editor'!$B:$B,'Move Editor'!$C:$C,""),cat,XLOOKUP($D323,'Move Editor'!$B:$B,'Move Editor'!$D:$D,""),pow,XLOOKUP($D323,'Move Editor'!$B:$B,'Move Editor'!$E:$E,0),acc,XLOOKUP($D323,'Move Editor'!$B:$B,'Move Editor'!$F:$F,100),atk,IF(cat="Physical",FLOOR((FLOOR(((2*XLOOKUP(XLOOKUP($Q323,'Threshold Summary'!$Y:$Y,'Threshold Summary'!$K:$K,""),'Pokemon Editor'!$A:$A,'Pokemon Editor'!$F:$F,0)+31+FLOOR(XLOOKUP($Q323,'Threshold Summary'!$Y:$Y,'Threshold Summary'!$P:$P,"")/4))*XLOOKUP($Q323,'Threshold Summary'!$Y:$Y,'Threshold Summary'!$L:$L,""))/100)+5)*XLOOKUP(XLOOKUP($Q323,'Threshold Summary'!$Y:$Y,'Threshold Summary'!$M:$M,""),'Nature Editor'!$A:$A,'Nature Editor'!$B:$B,1)),FLOOR((FLOOR(((2*XLOOKUP(XLOOKUP($Q323,'Threshold Summary'!$Y:$Y,'Threshold Summary'!$K:$K,""),'Pokemon Editor'!$A:$A,'Pokemon Editor'!$H:$H,0)+31+FLOOR(XLOOKUP($Q323,'Threshold Summary'!$Y:$Y,'Threshold Summary'!$R:$R,"")/4))*XLOOKUP($Q323,'Threshold Summary'!$Y:$Y,'Threshold Summary'!$L:$L,""))/100)+5)*XLOOKUP(XLOOKUP($Q323,'Threshold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Editor'!$E:$E,1))),stab,IF(OR(mtype=XLOOKUP(XLOOKUP($Q323,'Threshold Summary'!$Y:$Y,'Threshold Summary'!$K:$K,""),'Pokemon Editor'!$A:$A,'Pokemon Editor'!$C:$C,""),mtype=XLOOKUP(XLOOKUP($Q323,'Threshold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Chart'!$B$1:$S$1,0)))),base,IF(OR(cat="Status",pow=0),0,FLOOR(FLOOR(FLOOR((2*XLOOKUP($Q323,'Threshold Summary'!$Y:$Y,'Threshold Summary'!$L:$L,"")/5+2)*pow*atk/def)/50)+2)),modifier,stab*eff,AVERAGE(ARRAYFORMULA(FLOOR(base*modifier*SEQUENCE(16,1,85,1)/100)))*MIN(1,acc/100)),0)</f>
        <v/>
      </c>
      <c r="N323" s="4">
        <f>IFERROR(LET(mtype,XLOOKUP($D323,'Move Editor'!$B:$B,'Move Editor'!$C:$C,""),cat,XLOOKUP($D323,'Move Editor'!$B:$B,'Move Editor'!$D:$D,""),pow,XLOOKUP($D323,'Move Editor'!$B:$B,'Move Editor'!$E:$E,0),acc,XLOOKUP($D323,'Move Editor'!$B:$B,'Move Editor'!$F:$F,100),atk,IF(cat="Physical",FLOOR((FLOOR(((2*XLOOKUP(XLOOKUP($Q323,'Threshold Summary'!$Y:$Y,'Threshold Summary'!$K:$K,""),'Pokemon Editor'!$A:$A,'Pokemon Editor'!$F:$F,0)+31+FLOOR(XLOOKUP($Q323,'Threshold Summary'!$Y:$Y,'Threshold Summary'!$P:$P,"")/4))*XLOOKUP($Q323,'Threshold Summary'!$Y:$Y,'Threshold Summary'!$L:$L,""))/100)+5)*XLOOKUP(XLOOKUP($Q323,'Threshold Summary'!$Y:$Y,'Threshold Summary'!$M:$M,""),'Nature Editor'!$A:$A,'Nature Editor'!$B:$B,1)),FLOOR((FLOOR(((2*XLOOKUP(XLOOKUP($Q323,'Threshold Summary'!$Y:$Y,'Threshold Summary'!$K:$K,""),'Pokemon Editor'!$A:$A,'Pokemon Editor'!$H:$H,0)+31+FLOOR(XLOOKUP($Q323,'Threshold Summary'!$Y:$Y,'Threshold Summary'!$R:$R,"")/4))*XLOOKUP($Q323,'Threshold Summary'!$Y:$Y,'Threshold Summary'!$L:$L,""))/100)+5)*XLOOKUP(XLOOKUP($Q323,'Threshold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Editor'!$E:$E,1))),stab,IF(OR(mtype=XLOOKUP(XLOOKUP($Q323,'Threshold Summary'!$Y:$Y,'Threshold Summary'!$K:$K,""),'Pokemon Editor'!$A:$A,'Pokemon Editor'!$C:$C,""),mtype=XLOOKUP(XLOOKUP($Q323,'Threshold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Chart'!$B$1:$S$1,0)))),base,IF(OR(cat="Status",pow=0),0,FLOOR(FLOOR(FLOOR((2*XLOOKUP($Q323,'Threshold Summary'!$Y:$Y,'Threshold Summary'!$L:$L,"")/5+2)*pow*atk/def)/50)+2)),modifier,stab*eff,AVERAGE(ARRAYFORMULA(FLOOR(base*modifier*SEQUENCE(16,1,85,1)/100)))/(FLOOR(((2*XLOOKUP('Boss Editor'!$C$4,'Pokemon Editor'!$A:$A,'Pokemon Editor'!$E:$E,0)+31+FLOOR('Boss Editor'!$G$4/4))*'Boss Editor'!$D$4)/100)+'Boss Editor'!$D$4+10)),0)</f>
        <v/>
      </c>
      <c r="O323" s="3">
        <f>IF(N323&gt;=1,"OHKO",IF(N323&gt;=0.5,"2HKO",IF(N323&gt;=0.333,"3HKO",IF(N323&gt;=0.25,"4HKO","5HKO+"))))</f>
        <v/>
      </c>
      <c r="P323" s="3" t="inlineStr">
        <is>
          <t>Live from editable databases</t>
        </is>
      </c>
      <c r="Q323" s="3" t="inlineStr">
        <is>
          <t>SPECIES_SHINX</t>
        </is>
      </c>
      <c r="R323" s="3" t="n">
        <v>2</v>
      </c>
    </row>
    <row r="324">
      <c r="A324" s="3">
        <f>XLOOKUP($Q324,'Threshold Summary'!$Y:$Y,'Threshold Summary'!$A:$A,"")</f>
        <v/>
      </c>
      <c r="B324" s="3">
        <f>XLOOKUP($Q324,'Threshold Summary'!$Y:$Y,'Threshold Summary'!$M:$M,"")</f>
        <v/>
      </c>
      <c r="C324" s="3">
        <f>XLOOKUP($Q324,'Threshold Summary'!$Y:$Y,'Threshold Summary'!$N:$N,"")</f>
        <v/>
      </c>
      <c r="D324" s="3">
        <f>IFERROR(INDEX(FILTER('Learnset Editor'!$D$2:$D,'Learnset Editor'!$A$2:$A=XLOOKUP($Q324,'Threshold Summary'!$Y:$Y,'Threshold Summary'!$K:$K,""),'Learnset Editor'!$C$2:$C&lt;=XLOOKUP($Q324,'Threshold Summary'!$Y:$Y,'Threshold Summary'!$L:$L,"")),$R324),"")</f>
        <v/>
      </c>
      <c r="E324" s="3">
        <f>XLOOKUP(D324,'Move Editor'!$B:$B,'Move Editor'!$C:$C,"")</f>
        <v/>
      </c>
      <c r="F324" s="3">
        <f>XLOOKUP(D324,'Move Editor'!$B:$B,'Move Editor'!$D:$D,"")</f>
        <v/>
      </c>
      <c r="G324" s="3">
        <f>XLOOKUP(D324,'Move Editor'!$B:$B,'Move Editor'!$E:$E,0)</f>
        <v/>
      </c>
      <c r="H324" s="3">
        <f>XLOOKUP(D324,'Move Editor'!$B:$B,'Move Editor'!$F:$F,0)</f>
        <v/>
      </c>
      <c r="I324" s="3">
        <f>(INDEX('Type Chart'!$B:$S,MATCH(E324,'Type Chart'!$A:$A,0),MATCH(XLOOKUP('Boss Editor'!$C$4,'Pokemon Editor'!$A:$A,'Pokemon Editor'!$C:$C,""),'Type Chart'!$B$1:$S$1,0))*IF(XLOOKUP('Boss Editor'!$C$4,'Pokemon Editor'!$A:$A,'Pokemon Editor'!$D:$D,"")="",1,INDEX('Type Chart'!$B:$S,MATCH(E324,'Type Chart'!$A:$A,0),MATCH(XLOOKUP('Boss Editor'!$C$4,'Pokemon Editor'!$A:$A,'Pokemon Editor'!$D:$D,""),'Type Chart'!$B$1:$S$1,0))))</f>
        <v/>
      </c>
      <c r="J324" s="3">
        <f>IFERROR(LET(mtype,XLOOKUP($D324,'Move Editor'!$B:$B,'Move Editor'!$C:$C,""),cat,XLOOKUP($D324,'Move Editor'!$B:$B,'Move Editor'!$D:$D,""),pow,XLOOKUP($D324,'Move Editor'!$B:$B,'Move Editor'!$E:$E,0),acc,XLOOKUP($D324,'Move Editor'!$B:$B,'Move Editor'!$F:$F,100),atk,IF(cat="Physical",FLOOR((FLOOR(((2*XLOOKUP(XLOOKUP($Q324,'Threshold Summary'!$Y:$Y,'Threshold Summary'!$K:$K,""),'Pokemon Editor'!$A:$A,'Pokemon Editor'!$F:$F,0)+31+FLOOR(XLOOKUP($Q324,'Threshold Summary'!$Y:$Y,'Threshold Summary'!$P:$P,"")/4))*XLOOKUP($Q324,'Threshold Summary'!$Y:$Y,'Threshold Summary'!$L:$L,""))/100)+5)*XLOOKUP(XLOOKUP($Q324,'Threshold Summary'!$Y:$Y,'Threshold Summary'!$M:$M,""),'Nature Editor'!$A:$A,'Nature Editor'!$B:$B,1)),FLOOR((FLOOR(((2*XLOOKUP(XLOOKUP($Q324,'Threshold Summary'!$Y:$Y,'Threshold Summary'!$K:$K,""),'Pokemon Editor'!$A:$A,'Pokemon Editor'!$H:$H,0)+31+FLOOR(XLOOKUP($Q324,'Threshold Summary'!$Y:$Y,'Threshold Summary'!$R:$R,"")/4))*XLOOKUP($Q324,'Threshold Summary'!$Y:$Y,'Threshold Summary'!$L:$L,""))/100)+5)*XLOOKUP(XLOOKUP($Q324,'Threshold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Editor'!$E:$E,1))),stab,IF(OR(mtype=XLOOKUP(XLOOKUP($Q324,'Threshold Summary'!$Y:$Y,'Threshold Summary'!$K:$K,""),'Pokemon Editor'!$A:$A,'Pokemon Editor'!$C:$C,""),mtype=XLOOKUP(XLOOKUP($Q324,'Threshold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Chart'!$B$1:$S$1,0)))),base,IF(OR(cat="Status",pow=0),0,FLOOR(FLOOR(FLOOR((2*XLOOKUP($Q324,'Threshold Summary'!$Y:$Y,'Threshold Summary'!$L:$L,"")/5+2)*pow*atk/def)/50)+2)),modifier,stab*eff,FLOOR(base*modifier*0.85)),0)</f>
        <v/>
      </c>
      <c r="K324" s="3">
        <f>IFERROR(LET(mtype,XLOOKUP($D324,'Move Editor'!$B:$B,'Move Editor'!$C:$C,""),cat,XLOOKUP($D324,'Move Editor'!$B:$B,'Move Editor'!$D:$D,""),pow,XLOOKUP($D324,'Move Editor'!$B:$B,'Move Editor'!$E:$E,0),acc,XLOOKUP($D324,'Move Editor'!$B:$B,'Move Editor'!$F:$F,100),atk,IF(cat="Physical",FLOOR((FLOOR(((2*XLOOKUP(XLOOKUP($Q324,'Threshold Summary'!$Y:$Y,'Threshold Summary'!$K:$K,""),'Pokemon Editor'!$A:$A,'Pokemon Editor'!$F:$F,0)+31+FLOOR(XLOOKUP($Q324,'Threshold Summary'!$Y:$Y,'Threshold Summary'!$P:$P,"")/4))*XLOOKUP($Q324,'Threshold Summary'!$Y:$Y,'Threshold Summary'!$L:$L,""))/100)+5)*XLOOKUP(XLOOKUP($Q324,'Threshold Summary'!$Y:$Y,'Threshold Summary'!$M:$M,""),'Nature Editor'!$A:$A,'Nature Editor'!$B:$B,1)),FLOOR((FLOOR(((2*XLOOKUP(XLOOKUP($Q324,'Threshold Summary'!$Y:$Y,'Threshold Summary'!$K:$K,""),'Pokemon Editor'!$A:$A,'Pokemon Editor'!$H:$H,0)+31+FLOOR(XLOOKUP($Q324,'Threshold Summary'!$Y:$Y,'Threshold Summary'!$R:$R,"")/4))*XLOOKUP($Q324,'Threshold Summary'!$Y:$Y,'Threshold Summary'!$L:$L,""))/100)+5)*XLOOKUP(XLOOKUP($Q324,'Threshold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Editor'!$E:$E,1))),stab,IF(OR(mtype=XLOOKUP(XLOOKUP($Q324,'Threshold Summary'!$Y:$Y,'Threshold Summary'!$K:$K,""),'Pokemon Editor'!$A:$A,'Pokemon Editor'!$C:$C,""),mtype=XLOOKUP(XLOOKUP($Q324,'Threshold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Chart'!$B$1:$S$1,0)))),base,IF(OR(cat="Status",pow=0),0,FLOOR(FLOOR(FLOOR((2*XLOOKUP($Q324,'Threshold Summary'!$Y:$Y,'Threshold Summary'!$L:$L,"")/5+2)*pow*atk/def)/50)+2)),modifier,stab*eff,FLOOR(base*modifier)),0)</f>
        <v/>
      </c>
      <c r="L324" s="3">
        <f>IFERROR(LET(mtype,XLOOKUP($D324,'Move Editor'!$B:$B,'Move Editor'!$C:$C,""),cat,XLOOKUP($D324,'Move Editor'!$B:$B,'Move Editor'!$D:$D,""),pow,XLOOKUP($D324,'Move Editor'!$B:$B,'Move Editor'!$E:$E,0),acc,XLOOKUP($D324,'Move Editor'!$B:$B,'Move Editor'!$F:$F,100),atk,IF(cat="Physical",FLOOR((FLOOR(((2*XLOOKUP(XLOOKUP($Q324,'Threshold Summary'!$Y:$Y,'Threshold Summary'!$K:$K,""),'Pokemon Editor'!$A:$A,'Pokemon Editor'!$F:$F,0)+31+FLOOR(XLOOKUP($Q324,'Threshold Summary'!$Y:$Y,'Threshold Summary'!$P:$P,"")/4))*XLOOKUP($Q324,'Threshold Summary'!$Y:$Y,'Threshold Summary'!$L:$L,""))/100)+5)*XLOOKUP(XLOOKUP($Q324,'Threshold Summary'!$Y:$Y,'Threshold Summary'!$M:$M,""),'Nature Editor'!$A:$A,'Nature Editor'!$B:$B,1)),FLOOR((FLOOR(((2*XLOOKUP(XLOOKUP($Q324,'Threshold Summary'!$Y:$Y,'Threshold Summary'!$K:$K,""),'Pokemon Editor'!$A:$A,'Pokemon Editor'!$H:$H,0)+31+FLOOR(XLOOKUP($Q324,'Threshold Summary'!$Y:$Y,'Threshold Summary'!$R:$R,"")/4))*XLOOKUP($Q324,'Threshold Summary'!$Y:$Y,'Threshold Summary'!$L:$L,""))/100)+5)*XLOOKUP(XLOOKUP($Q324,'Threshold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Editor'!$E:$E,1))),stab,IF(OR(mtype=XLOOKUP(XLOOKUP($Q324,'Threshold Summary'!$Y:$Y,'Threshold Summary'!$K:$K,""),'Pokemon Editor'!$A:$A,'Pokemon Editor'!$C:$C,""),mtype=XLOOKUP(XLOOKUP($Q324,'Threshold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Chart'!$B$1:$S$1,0)))),base,IF(OR(cat="Status",pow=0),0,FLOOR(FLOOR(FLOOR((2*XLOOKUP($Q324,'Threshold Summary'!$Y:$Y,'Threshold Summary'!$L:$L,"")/5+2)*pow*atk/def)/50)+2)),modifier,stab*eff,AVERAGE(ARRAYFORMULA(FLOOR(base*modifier*SEQUENCE(16,1,85,1)/100)))),0)</f>
        <v/>
      </c>
      <c r="M324" s="3">
        <f>IFERROR(LET(mtype,XLOOKUP($D324,'Move Editor'!$B:$B,'Move Editor'!$C:$C,""),cat,XLOOKUP($D324,'Move Editor'!$B:$B,'Move Editor'!$D:$D,""),pow,XLOOKUP($D324,'Move Editor'!$B:$B,'Move Editor'!$E:$E,0),acc,XLOOKUP($D324,'Move Editor'!$B:$B,'Move Editor'!$F:$F,100),atk,IF(cat="Physical",FLOOR((FLOOR(((2*XLOOKUP(XLOOKUP($Q324,'Threshold Summary'!$Y:$Y,'Threshold Summary'!$K:$K,""),'Pokemon Editor'!$A:$A,'Pokemon Editor'!$F:$F,0)+31+FLOOR(XLOOKUP($Q324,'Threshold Summary'!$Y:$Y,'Threshold Summary'!$P:$P,"")/4))*XLOOKUP($Q324,'Threshold Summary'!$Y:$Y,'Threshold Summary'!$L:$L,""))/100)+5)*XLOOKUP(XLOOKUP($Q324,'Threshold Summary'!$Y:$Y,'Threshold Summary'!$M:$M,""),'Nature Editor'!$A:$A,'Nature Editor'!$B:$B,1)),FLOOR((FLOOR(((2*XLOOKUP(XLOOKUP($Q324,'Threshold Summary'!$Y:$Y,'Threshold Summary'!$K:$K,""),'Pokemon Editor'!$A:$A,'Pokemon Editor'!$H:$H,0)+31+FLOOR(XLOOKUP($Q324,'Threshold Summary'!$Y:$Y,'Threshold Summary'!$R:$R,"")/4))*XLOOKUP($Q324,'Threshold Summary'!$Y:$Y,'Threshold Summary'!$L:$L,""))/100)+5)*XLOOKUP(XLOOKUP($Q324,'Threshold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Editor'!$E:$E,1))),stab,IF(OR(mtype=XLOOKUP(XLOOKUP($Q324,'Threshold Summary'!$Y:$Y,'Threshold Summary'!$K:$K,""),'Pokemon Editor'!$A:$A,'Pokemon Editor'!$C:$C,""),mtype=XLOOKUP(XLOOKUP($Q324,'Threshold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Chart'!$B$1:$S$1,0)))),base,IF(OR(cat="Status",pow=0),0,FLOOR(FLOOR(FLOOR((2*XLOOKUP($Q324,'Threshold Summary'!$Y:$Y,'Threshold Summary'!$L:$L,"")/5+2)*pow*atk/def)/50)+2)),modifier,stab*eff,AVERAGE(ARRAYFORMULA(FLOOR(base*modifier*SEQUENCE(16,1,85,1)/100)))*MIN(1,acc/100)),0)</f>
        <v/>
      </c>
      <c r="N324" s="4">
        <f>IFERROR(LET(mtype,XLOOKUP($D324,'Move Editor'!$B:$B,'Move Editor'!$C:$C,""),cat,XLOOKUP($D324,'Move Editor'!$B:$B,'Move Editor'!$D:$D,""),pow,XLOOKUP($D324,'Move Editor'!$B:$B,'Move Editor'!$E:$E,0),acc,XLOOKUP($D324,'Move Editor'!$B:$B,'Move Editor'!$F:$F,100),atk,IF(cat="Physical",FLOOR((FLOOR(((2*XLOOKUP(XLOOKUP($Q324,'Threshold Summary'!$Y:$Y,'Threshold Summary'!$K:$K,""),'Pokemon Editor'!$A:$A,'Pokemon Editor'!$F:$F,0)+31+FLOOR(XLOOKUP($Q324,'Threshold Summary'!$Y:$Y,'Threshold Summary'!$P:$P,"")/4))*XLOOKUP($Q324,'Threshold Summary'!$Y:$Y,'Threshold Summary'!$L:$L,""))/100)+5)*XLOOKUP(XLOOKUP($Q324,'Threshold Summary'!$Y:$Y,'Threshold Summary'!$M:$M,""),'Nature Editor'!$A:$A,'Nature Editor'!$B:$B,1)),FLOOR((FLOOR(((2*XLOOKUP(XLOOKUP($Q324,'Threshold Summary'!$Y:$Y,'Threshold Summary'!$K:$K,""),'Pokemon Editor'!$A:$A,'Pokemon Editor'!$H:$H,0)+31+FLOOR(XLOOKUP($Q324,'Threshold Summary'!$Y:$Y,'Threshold Summary'!$R:$R,"")/4))*XLOOKUP($Q324,'Threshold Summary'!$Y:$Y,'Threshold Summary'!$L:$L,""))/100)+5)*XLOOKUP(XLOOKUP($Q324,'Threshold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Editor'!$E:$E,1))),stab,IF(OR(mtype=XLOOKUP(XLOOKUP($Q324,'Threshold Summary'!$Y:$Y,'Threshold Summary'!$K:$K,""),'Pokemon Editor'!$A:$A,'Pokemon Editor'!$C:$C,""),mtype=XLOOKUP(XLOOKUP($Q324,'Threshold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Chart'!$B$1:$S$1,0)))),base,IF(OR(cat="Status",pow=0),0,FLOOR(FLOOR(FLOOR((2*XLOOKUP($Q324,'Threshold Summary'!$Y:$Y,'Threshold Summary'!$L:$L,"")/5+2)*pow*atk/def)/50)+2)),modifier,stab*eff,AVERAGE(ARRAYFORMULA(FLOOR(base*modifier*SEQUENCE(16,1,85,1)/100)))/(FLOOR(((2*XLOOKUP('Boss Editor'!$C$4,'Pokemon Editor'!$A:$A,'Pokemon Editor'!$E:$E,0)+31+FLOOR('Boss Editor'!$G$4/4))*'Boss Editor'!$D$4)/100)+'Boss Editor'!$D$4+10)),0)</f>
        <v/>
      </c>
      <c r="O324" s="3">
        <f>IF(N324&gt;=1,"OHKO",IF(N324&gt;=0.5,"2HKO",IF(N324&gt;=0.333,"3HKO",IF(N324&gt;=0.25,"4HKO","5HKO+"))))</f>
        <v/>
      </c>
      <c r="P324" s="3" t="inlineStr">
        <is>
          <t>Live from editable databases</t>
        </is>
      </c>
      <c r="Q324" s="3" t="inlineStr">
        <is>
          <t>SPECIES_SHINX</t>
        </is>
      </c>
      <c r="R324" s="3" t="n">
        <v>3</v>
      </c>
    </row>
    <row r="325">
      <c r="A325" s="3">
        <f>XLOOKUP($Q325,'Threshold Summary'!$Y:$Y,'Threshold Summary'!$A:$A,"")</f>
        <v/>
      </c>
      <c r="B325" s="3">
        <f>XLOOKUP($Q325,'Threshold Summary'!$Y:$Y,'Threshold Summary'!$M:$M,"")</f>
        <v/>
      </c>
      <c r="C325" s="3">
        <f>XLOOKUP($Q325,'Threshold Summary'!$Y:$Y,'Threshold Summary'!$N:$N,"")</f>
        <v/>
      </c>
      <c r="D325" s="3">
        <f>IFERROR(INDEX(FILTER('Learnset Editor'!$D$2:$D,'Learnset Editor'!$A$2:$A=XLOOKUP($Q325,'Threshold Summary'!$Y:$Y,'Threshold Summary'!$K:$K,""),'Learnset Editor'!$C$2:$C&lt;=XLOOKUP($Q325,'Threshold Summary'!$Y:$Y,'Threshold Summary'!$L:$L,"")),$R325),"")</f>
        <v/>
      </c>
      <c r="E325" s="3">
        <f>XLOOKUP(D325,'Move Editor'!$B:$B,'Move Editor'!$C:$C,"")</f>
        <v/>
      </c>
      <c r="F325" s="3">
        <f>XLOOKUP(D325,'Move Editor'!$B:$B,'Move Editor'!$D:$D,"")</f>
        <v/>
      </c>
      <c r="G325" s="3">
        <f>XLOOKUP(D325,'Move Editor'!$B:$B,'Move Editor'!$E:$E,0)</f>
        <v/>
      </c>
      <c r="H325" s="3">
        <f>XLOOKUP(D325,'Move Editor'!$B:$B,'Move Editor'!$F:$F,0)</f>
        <v/>
      </c>
      <c r="I325" s="3">
        <f>(INDEX('Type Chart'!$B:$S,MATCH(E325,'Type Chart'!$A:$A,0),MATCH(XLOOKUP('Boss Editor'!$C$4,'Pokemon Editor'!$A:$A,'Pokemon Editor'!$C:$C,""),'Type Chart'!$B$1:$S$1,0))*IF(XLOOKUP('Boss Editor'!$C$4,'Pokemon Editor'!$A:$A,'Pokemon Editor'!$D:$D,"")="",1,INDEX('Type Chart'!$B:$S,MATCH(E325,'Type Chart'!$A:$A,0),MATCH(XLOOKUP('Boss Editor'!$C$4,'Pokemon Editor'!$A:$A,'Pokemon Editor'!$D:$D,""),'Type Chart'!$B$1:$S$1,0))))</f>
        <v/>
      </c>
      <c r="J325" s="3">
        <f>IFERROR(LET(mtype,XLOOKUP($D325,'Move Editor'!$B:$B,'Move Editor'!$C:$C,""),cat,XLOOKUP($D325,'Move Editor'!$B:$B,'Move Editor'!$D:$D,""),pow,XLOOKUP($D325,'Move Editor'!$B:$B,'Move Editor'!$E:$E,0),acc,XLOOKUP($D325,'Move Editor'!$B:$B,'Move Editor'!$F:$F,100),atk,IF(cat="Physical",FLOOR((FLOOR(((2*XLOOKUP(XLOOKUP($Q325,'Threshold Summary'!$Y:$Y,'Threshold Summary'!$K:$K,""),'Pokemon Editor'!$A:$A,'Pokemon Editor'!$F:$F,0)+31+FLOOR(XLOOKUP($Q325,'Threshold Summary'!$Y:$Y,'Threshold Summary'!$P:$P,"")/4))*XLOOKUP($Q325,'Threshold Summary'!$Y:$Y,'Threshold Summary'!$L:$L,""))/100)+5)*XLOOKUP(XLOOKUP($Q325,'Threshold Summary'!$Y:$Y,'Threshold Summary'!$M:$M,""),'Nature Editor'!$A:$A,'Nature Editor'!$B:$B,1)),FLOOR((FLOOR(((2*XLOOKUP(XLOOKUP($Q325,'Threshold Summary'!$Y:$Y,'Threshold Summary'!$K:$K,""),'Pokemon Editor'!$A:$A,'Pokemon Editor'!$H:$H,0)+31+FLOOR(XLOOKUP($Q325,'Threshold Summary'!$Y:$Y,'Threshold Summary'!$R:$R,"")/4))*XLOOKUP($Q325,'Threshold Summary'!$Y:$Y,'Threshold Summary'!$L:$L,""))/100)+5)*XLOOKUP(XLOOKUP($Q325,'Threshold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Editor'!$E:$E,1))),stab,IF(OR(mtype=XLOOKUP(XLOOKUP($Q325,'Threshold Summary'!$Y:$Y,'Threshold Summary'!$K:$K,""),'Pokemon Editor'!$A:$A,'Pokemon Editor'!$C:$C,""),mtype=XLOOKUP(XLOOKUP($Q325,'Threshold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Chart'!$B$1:$S$1,0)))),base,IF(OR(cat="Status",pow=0),0,FLOOR(FLOOR(FLOOR((2*XLOOKUP($Q325,'Threshold Summary'!$Y:$Y,'Threshold Summary'!$L:$L,"")/5+2)*pow*atk/def)/50)+2)),modifier,stab*eff,FLOOR(base*modifier*0.85)),0)</f>
        <v/>
      </c>
      <c r="K325" s="3">
        <f>IFERROR(LET(mtype,XLOOKUP($D325,'Move Editor'!$B:$B,'Move Editor'!$C:$C,""),cat,XLOOKUP($D325,'Move Editor'!$B:$B,'Move Editor'!$D:$D,""),pow,XLOOKUP($D325,'Move Editor'!$B:$B,'Move Editor'!$E:$E,0),acc,XLOOKUP($D325,'Move Editor'!$B:$B,'Move Editor'!$F:$F,100),atk,IF(cat="Physical",FLOOR((FLOOR(((2*XLOOKUP(XLOOKUP($Q325,'Threshold Summary'!$Y:$Y,'Threshold Summary'!$K:$K,""),'Pokemon Editor'!$A:$A,'Pokemon Editor'!$F:$F,0)+31+FLOOR(XLOOKUP($Q325,'Threshold Summary'!$Y:$Y,'Threshold Summary'!$P:$P,"")/4))*XLOOKUP($Q325,'Threshold Summary'!$Y:$Y,'Threshold Summary'!$L:$L,""))/100)+5)*XLOOKUP(XLOOKUP($Q325,'Threshold Summary'!$Y:$Y,'Threshold Summary'!$M:$M,""),'Nature Editor'!$A:$A,'Nature Editor'!$B:$B,1)),FLOOR((FLOOR(((2*XLOOKUP(XLOOKUP($Q325,'Threshold Summary'!$Y:$Y,'Threshold Summary'!$K:$K,""),'Pokemon Editor'!$A:$A,'Pokemon Editor'!$H:$H,0)+31+FLOOR(XLOOKUP($Q325,'Threshold Summary'!$Y:$Y,'Threshold Summary'!$R:$R,"")/4))*XLOOKUP($Q325,'Threshold Summary'!$Y:$Y,'Threshold Summary'!$L:$L,""))/100)+5)*XLOOKUP(XLOOKUP($Q325,'Threshold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Editor'!$E:$E,1))),stab,IF(OR(mtype=XLOOKUP(XLOOKUP($Q325,'Threshold Summary'!$Y:$Y,'Threshold Summary'!$K:$K,""),'Pokemon Editor'!$A:$A,'Pokemon Editor'!$C:$C,""),mtype=XLOOKUP(XLOOKUP($Q325,'Threshold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Chart'!$B$1:$S$1,0)))),base,IF(OR(cat="Status",pow=0),0,FLOOR(FLOOR(FLOOR((2*XLOOKUP($Q325,'Threshold Summary'!$Y:$Y,'Threshold Summary'!$L:$L,"")/5+2)*pow*atk/def)/50)+2)),modifier,stab*eff,FLOOR(base*modifier)),0)</f>
        <v/>
      </c>
      <c r="L325" s="3">
        <f>IFERROR(LET(mtype,XLOOKUP($D325,'Move Editor'!$B:$B,'Move Editor'!$C:$C,""),cat,XLOOKUP($D325,'Move Editor'!$B:$B,'Move Editor'!$D:$D,""),pow,XLOOKUP($D325,'Move Editor'!$B:$B,'Move Editor'!$E:$E,0),acc,XLOOKUP($D325,'Move Editor'!$B:$B,'Move Editor'!$F:$F,100),atk,IF(cat="Physical",FLOOR((FLOOR(((2*XLOOKUP(XLOOKUP($Q325,'Threshold Summary'!$Y:$Y,'Threshold Summary'!$K:$K,""),'Pokemon Editor'!$A:$A,'Pokemon Editor'!$F:$F,0)+31+FLOOR(XLOOKUP($Q325,'Threshold Summary'!$Y:$Y,'Threshold Summary'!$P:$P,"")/4))*XLOOKUP($Q325,'Threshold Summary'!$Y:$Y,'Threshold Summary'!$L:$L,""))/100)+5)*XLOOKUP(XLOOKUP($Q325,'Threshold Summary'!$Y:$Y,'Threshold Summary'!$M:$M,""),'Nature Editor'!$A:$A,'Nature Editor'!$B:$B,1)),FLOOR((FLOOR(((2*XLOOKUP(XLOOKUP($Q325,'Threshold Summary'!$Y:$Y,'Threshold Summary'!$K:$K,""),'Pokemon Editor'!$A:$A,'Pokemon Editor'!$H:$H,0)+31+FLOOR(XLOOKUP($Q325,'Threshold Summary'!$Y:$Y,'Threshold Summary'!$R:$R,"")/4))*XLOOKUP($Q325,'Threshold Summary'!$Y:$Y,'Threshold Summary'!$L:$L,""))/100)+5)*XLOOKUP(XLOOKUP($Q325,'Threshold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Editor'!$E:$E,1))),stab,IF(OR(mtype=XLOOKUP(XLOOKUP($Q325,'Threshold Summary'!$Y:$Y,'Threshold Summary'!$K:$K,""),'Pokemon Editor'!$A:$A,'Pokemon Editor'!$C:$C,""),mtype=XLOOKUP(XLOOKUP($Q325,'Threshold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Chart'!$B$1:$S$1,0)))),base,IF(OR(cat="Status",pow=0),0,FLOOR(FLOOR(FLOOR((2*XLOOKUP($Q325,'Threshold Summary'!$Y:$Y,'Threshold Summary'!$L:$L,"")/5+2)*pow*atk/def)/50)+2)),modifier,stab*eff,AVERAGE(ARRAYFORMULA(FLOOR(base*modifier*SEQUENCE(16,1,85,1)/100)))),0)</f>
        <v/>
      </c>
      <c r="M325" s="3">
        <f>IFERROR(LET(mtype,XLOOKUP($D325,'Move Editor'!$B:$B,'Move Editor'!$C:$C,""),cat,XLOOKUP($D325,'Move Editor'!$B:$B,'Move Editor'!$D:$D,""),pow,XLOOKUP($D325,'Move Editor'!$B:$B,'Move Editor'!$E:$E,0),acc,XLOOKUP($D325,'Move Editor'!$B:$B,'Move Editor'!$F:$F,100),atk,IF(cat="Physical",FLOOR((FLOOR(((2*XLOOKUP(XLOOKUP($Q325,'Threshold Summary'!$Y:$Y,'Threshold Summary'!$K:$K,""),'Pokemon Editor'!$A:$A,'Pokemon Editor'!$F:$F,0)+31+FLOOR(XLOOKUP($Q325,'Threshold Summary'!$Y:$Y,'Threshold Summary'!$P:$P,"")/4))*XLOOKUP($Q325,'Threshold Summary'!$Y:$Y,'Threshold Summary'!$L:$L,""))/100)+5)*XLOOKUP(XLOOKUP($Q325,'Threshold Summary'!$Y:$Y,'Threshold Summary'!$M:$M,""),'Nature Editor'!$A:$A,'Nature Editor'!$B:$B,1)),FLOOR((FLOOR(((2*XLOOKUP(XLOOKUP($Q325,'Threshold Summary'!$Y:$Y,'Threshold Summary'!$K:$K,""),'Pokemon Editor'!$A:$A,'Pokemon Editor'!$H:$H,0)+31+FLOOR(XLOOKUP($Q325,'Threshold Summary'!$Y:$Y,'Threshold Summary'!$R:$R,"")/4))*XLOOKUP($Q325,'Threshold Summary'!$Y:$Y,'Threshold Summary'!$L:$L,""))/100)+5)*XLOOKUP(XLOOKUP($Q325,'Threshold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Editor'!$E:$E,1))),stab,IF(OR(mtype=XLOOKUP(XLOOKUP($Q325,'Threshold Summary'!$Y:$Y,'Threshold Summary'!$K:$K,""),'Pokemon Editor'!$A:$A,'Pokemon Editor'!$C:$C,""),mtype=XLOOKUP(XLOOKUP($Q325,'Threshold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Chart'!$B$1:$S$1,0)))),base,IF(OR(cat="Status",pow=0),0,FLOOR(FLOOR(FLOOR((2*XLOOKUP($Q325,'Threshold Summary'!$Y:$Y,'Threshold Summary'!$L:$L,"")/5+2)*pow*atk/def)/50)+2)),modifier,stab*eff,AVERAGE(ARRAYFORMULA(FLOOR(base*modifier*SEQUENCE(16,1,85,1)/100)))*MIN(1,acc/100)),0)</f>
        <v/>
      </c>
      <c r="N325" s="4">
        <f>IFERROR(LET(mtype,XLOOKUP($D325,'Move Editor'!$B:$B,'Move Editor'!$C:$C,""),cat,XLOOKUP($D325,'Move Editor'!$B:$B,'Move Editor'!$D:$D,""),pow,XLOOKUP($D325,'Move Editor'!$B:$B,'Move Editor'!$E:$E,0),acc,XLOOKUP($D325,'Move Editor'!$B:$B,'Move Editor'!$F:$F,100),atk,IF(cat="Physical",FLOOR((FLOOR(((2*XLOOKUP(XLOOKUP($Q325,'Threshold Summary'!$Y:$Y,'Threshold Summary'!$K:$K,""),'Pokemon Editor'!$A:$A,'Pokemon Editor'!$F:$F,0)+31+FLOOR(XLOOKUP($Q325,'Threshold Summary'!$Y:$Y,'Threshold Summary'!$P:$P,"")/4))*XLOOKUP($Q325,'Threshold Summary'!$Y:$Y,'Threshold Summary'!$L:$L,""))/100)+5)*XLOOKUP(XLOOKUP($Q325,'Threshold Summary'!$Y:$Y,'Threshold Summary'!$M:$M,""),'Nature Editor'!$A:$A,'Nature Editor'!$B:$B,1)),FLOOR((FLOOR(((2*XLOOKUP(XLOOKUP($Q325,'Threshold Summary'!$Y:$Y,'Threshold Summary'!$K:$K,""),'Pokemon Editor'!$A:$A,'Pokemon Editor'!$H:$H,0)+31+FLOOR(XLOOKUP($Q325,'Threshold Summary'!$Y:$Y,'Threshold Summary'!$R:$R,"")/4))*XLOOKUP($Q325,'Threshold Summary'!$Y:$Y,'Threshold Summary'!$L:$L,""))/100)+5)*XLOOKUP(XLOOKUP($Q325,'Threshold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Editor'!$E:$E,1))),stab,IF(OR(mtype=XLOOKUP(XLOOKUP($Q325,'Threshold Summary'!$Y:$Y,'Threshold Summary'!$K:$K,""),'Pokemon Editor'!$A:$A,'Pokemon Editor'!$C:$C,""),mtype=XLOOKUP(XLOOKUP($Q325,'Threshold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Chart'!$B$1:$S$1,0)))),base,IF(OR(cat="Status",pow=0),0,FLOOR(FLOOR(FLOOR((2*XLOOKUP($Q325,'Threshold Summary'!$Y:$Y,'Threshold Summary'!$L:$L,"")/5+2)*pow*atk/def)/50)+2)),modifier,stab*eff,AVERAGE(ARRAYFORMULA(FLOOR(base*modifier*SEQUENCE(16,1,85,1)/100)))/(FLOOR(((2*XLOOKUP('Boss Editor'!$C$4,'Pokemon Editor'!$A:$A,'Pokemon Editor'!$E:$E,0)+31+FLOOR('Boss Editor'!$G$4/4))*'Boss Editor'!$D$4)/100)+'Boss Editor'!$D$4+10)),0)</f>
        <v/>
      </c>
      <c r="O325" s="3">
        <f>IF(N325&gt;=1,"OHKO",IF(N325&gt;=0.5,"2HKO",IF(N325&gt;=0.333,"3HKO",IF(N325&gt;=0.25,"4HKO","5HKO+"))))</f>
        <v/>
      </c>
      <c r="P325" s="3" t="inlineStr">
        <is>
          <t>Live from editable databases</t>
        </is>
      </c>
      <c r="Q325" s="3" t="inlineStr">
        <is>
          <t>SPECIES_SHINX</t>
        </is>
      </c>
      <c r="R325" s="3" t="n">
        <v>4</v>
      </c>
    </row>
    <row r="326">
      <c r="A326" s="3">
        <f>XLOOKUP($Q326,'Threshold Summary'!$Y:$Y,'Threshold Summary'!$A:$A,"")</f>
        <v/>
      </c>
      <c r="B326" s="3">
        <f>XLOOKUP($Q326,'Threshold Summary'!$Y:$Y,'Threshold Summary'!$M:$M,"")</f>
        <v/>
      </c>
      <c r="C326" s="3">
        <f>XLOOKUP($Q326,'Threshold Summary'!$Y:$Y,'Threshold Summary'!$N:$N,"")</f>
        <v/>
      </c>
      <c r="D326" s="3">
        <f>IFERROR(INDEX(FILTER('Learnset Editor'!$D$2:$D,'Learnset Editor'!$A$2:$A=XLOOKUP($Q326,'Threshold Summary'!$Y:$Y,'Threshold Summary'!$K:$K,""),'Learnset Editor'!$C$2:$C&lt;=XLOOKUP($Q326,'Threshold Summary'!$Y:$Y,'Threshold Summary'!$L:$L,"")),$R326),"")</f>
        <v/>
      </c>
      <c r="E326" s="3">
        <f>XLOOKUP(D326,'Move Editor'!$B:$B,'Move Editor'!$C:$C,"")</f>
        <v/>
      </c>
      <c r="F326" s="3">
        <f>XLOOKUP(D326,'Move Editor'!$B:$B,'Move Editor'!$D:$D,"")</f>
        <v/>
      </c>
      <c r="G326" s="3">
        <f>XLOOKUP(D326,'Move Editor'!$B:$B,'Move Editor'!$E:$E,0)</f>
        <v/>
      </c>
      <c r="H326" s="3">
        <f>XLOOKUP(D326,'Move Editor'!$B:$B,'Move Editor'!$F:$F,0)</f>
        <v/>
      </c>
      <c r="I326" s="3">
        <f>(INDEX('Type Chart'!$B:$S,MATCH(E326,'Type Chart'!$A:$A,0),MATCH(XLOOKUP('Boss Editor'!$C$4,'Pokemon Editor'!$A:$A,'Pokemon Editor'!$C:$C,""),'Type Chart'!$B$1:$S$1,0))*IF(XLOOKUP('Boss Editor'!$C$4,'Pokemon Editor'!$A:$A,'Pokemon Editor'!$D:$D,"")="",1,INDEX('Type Chart'!$B:$S,MATCH(E326,'Type Chart'!$A:$A,0),MATCH(XLOOKUP('Boss Editor'!$C$4,'Pokemon Editor'!$A:$A,'Pokemon Editor'!$D:$D,""),'Type Chart'!$B$1:$S$1,0))))</f>
        <v/>
      </c>
      <c r="J326" s="3">
        <f>IFERROR(LET(mtype,XLOOKUP($D326,'Move Editor'!$B:$B,'Move Editor'!$C:$C,""),cat,XLOOKUP($D326,'Move Editor'!$B:$B,'Move Editor'!$D:$D,""),pow,XLOOKUP($D326,'Move Editor'!$B:$B,'Move Editor'!$E:$E,0),acc,XLOOKUP($D326,'Move Editor'!$B:$B,'Move Editor'!$F:$F,100),atk,IF(cat="Physical",FLOOR((FLOOR(((2*XLOOKUP(XLOOKUP($Q326,'Threshold Summary'!$Y:$Y,'Threshold Summary'!$K:$K,""),'Pokemon Editor'!$A:$A,'Pokemon Editor'!$F:$F,0)+31+FLOOR(XLOOKUP($Q326,'Threshold Summary'!$Y:$Y,'Threshold Summary'!$P:$P,"")/4))*XLOOKUP($Q326,'Threshold Summary'!$Y:$Y,'Threshold Summary'!$L:$L,""))/100)+5)*XLOOKUP(XLOOKUP($Q326,'Threshold Summary'!$Y:$Y,'Threshold Summary'!$M:$M,""),'Nature Editor'!$A:$A,'Nature Editor'!$B:$B,1)),FLOOR((FLOOR(((2*XLOOKUP(XLOOKUP($Q326,'Threshold Summary'!$Y:$Y,'Threshold Summary'!$K:$K,""),'Pokemon Editor'!$A:$A,'Pokemon Editor'!$H:$H,0)+31+FLOOR(XLOOKUP($Q326,'Threshold Summary'!$Y:$Y,'Threshold Summary'!$R:$R,"")/4))*XLOOKUP($Q326,'Threshold Summary'!$Y:$Y,'Threshold Summary'!$L:$L,""))/100)+5)*XLOOKUP(XLOOKUP($Q326,'Threshold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Editor'!$E:$E,1))),stab,IF(OR(mtype=XLOOKUP(XLOOKUP($Q326,'Threshold Summary'!$Y:$Y,'Threshold Summary'!$K:$K,""),'Pokemon Editor'!$A:$A,'Pokemon Editor'!$C:$C,""),mtype=XLOOKUP(XLOOKUP($Q326,'Threshold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Chart'!$B$1:$S$1,0)))),base,IF(OR(cat="Status",pow=0),0,FLOOR(FLOOR(FLOOR((2*XLOOKUP($Q326,'Threshold Summary'!$Y:$Y,'Threshold Summary'!$L:$L,"")/5+2)*pow*atk/def)/50)+2)),modifier,stab*eff,FLOOR(base*modifier*0.85)),0)</f>
        <v/>
      </c>
      <c r="K326" s="3">
        <f>IFERROR(LET(mtype,XLOOKUP($D326,'Move Editor'!$B:$B,'Move Editor'!$C:$C,""),cat,XLOOKUP($D326,'Move Editor'!$B:$B,'Move Editor'!$D:$D,""),pow,XLOOKUP($D326,'Move Editor'!$B:$B,'Move Editor'!$E:$E,0),acc,XLOOKUP($D326,'Move Editor'!$B:$B,'Move Editor'!$F:$F,100),atk,IF(cat="Physical",FLOOR((FLOOR(((2*XLOOKUP(XLOOKUP($Q326,'Threshold Summary'!$Y:$Y,'Threshold Summary'!$K:$K,""),'Pokemon Editor'!$A:$A,'Pokemon Editor'!$F:$F,0)+31+FLOOR(XLOOKUP($Q326,'Threshold Summary'!$Y:$Y,'Threshold Summary'!$P:$P,"")/4))*XLOOKUP($Q326,'Threshold Summary'!$Y:$Y,'Threshold Summary'!$L:$L,""))/100)+5)*XLOOKUP(XLOOKUP($Q326,'Threshold Summary'!$Y:$Y,'Threshold Summary'!$M:$M,""),'Nature Editor'!$A:$A,'Nature Editor'!$B:$B,1)),FLOOR((FLOOR(((2*XLOOKUP(XLOOKUP($Q326,'Threshold Summary'!$Y:$Y,'Threshold Summary'!$K:$K,""),'Pokemon Editor'!$A:$A,'Pokemon Editor'!$H:$H,0)+31+FLOOR(XLOOKUP($Q326,'Threshold Summary'!$Y:$Y,'Threshold Summary'!$R:$R,"")/4))*XLOOKUP($Q326,'Threshold Summary'!$Y:$Y,'Threshold Summary'!$L:$L,""))/100)+5)*XLOOKUP(XLOOKUP($Q326,'Threshold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Editor'!$E:$E,1))),stab,IF(OR(mtype=XLOOKUP(XLOOKUP($Q326,'Threshold Summary'!$Y:$Y,'Threshold Summary'!$K:$K,""),'Pokemon Editor'!$A:$A,'Pokemon Editor'!$C:$C,""),mtype=XLOOKUP(XLOOKUP($Q326,'Threshold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Chart'!$B$1:$S$1,0)))),base,IF(OR(cat="Status",pow=0),0,FLOOR(FLOOR(FLOOR((2*XLOOKUP($Q326,'Threshold Summary'!$Y:$Y,'Threshold Summary'!$L:$L,"")/5+2)*pow*atk/def)/50)+2)),modifier,stab*eff,FLOOR(base*modifier)),0)</f>
        <v/>
      </c>
      <c r="L326" s="3">
        <f>IFERROR(LET(mtype,XLOOKUP($D326,'Move Editor'!$B:$B,'Move Editor'!$C:$C,""),cat,XLOOKUP($D326,'Move Editor'!$B:$B,'Move Editor'!$D:$D,""),pow,XLOOKUP($D326,'Move Editor'!$B:$B,'Move Editor'!$E:$E,0),acc,XLOOKUP($D326,'Move Editor'!$B:$B,'Move Editor'!$F:$F,100),atk,IF(cat="Physical",FLOOR((FLOOR(((2*XLOOKUP(XLOOKUP($Q326,'Threshold Summary'!$Y:$Y,'Threshold Summary'!$K:$K,""),'Pokemon Editor'!$A:$A,'Pokemon Editor'!$F:$F,0)+31+FLOOR(XLOOKUP($Q326,'Threshold Summary'!$Y:$Y,'Threshold Summary'!$P:$P,"")/4))*XLOOKUP($Q326,'Threshold Summary'!$Y:$Y,'Threshold Summary'!$L:$L,""))/100)+5)*XLOOKUP(XLOOKUP($Q326,'Threshold Summary'!$Y:$Y,'Threshold Summary'!$M:$M,""),'Nature Editor'!$A:$A,'Nature Editor'!$B:$B,1)),FLOOR((FLOOR(((2*XLOOKUP(XLOOKUP($Q326,'Threshold Summary'!$Y:$Y,'Threshold Summary'!$K:$K,""),'Pokemon Editor'!$A:$A,'Pokemon Editor'!$H:$H,0)+31+FLOOR(XLOOKUP($Q326,'Threshold Summary'!$Y:$Y,'Threshold Summary'!$R:$R,"")/4))*XLOOKUP($Q326,'Threshold Summary'!$Y:$Y,'Threshold Summary'!$L:$L,""))/100)+5)*XLOOKUP(XLOOKUP($Q326,'Threshold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Editor'!$E:$E,1))),stab,IF(OR(mtype=XLOOKUP(XLOOKUP($Q326,'Threshold Summary'!$Y:$Y,'Threshold Summary'!$K:$K,""),'Pokemon Editor'!$A:$A,'Pokemon Editor'!$C:$C,""),mtype=XLOOKUP(XLOOKUP($Q326,'Threshold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Chart'!$B$1:$S$1,0)))),base,IF(OR(cat="Status",pow=0),0,FLOOR(FLOOR(FLOOR((2*XLOOKUP($Q326,'Threshold Summary'!$Y:$Y,'Threshold Summary'!$L:$L,"")/5+2)*pow*atk/def)/50)+2)),modifier,stab*eff,AVERAGE(ARRAYFORMULA(FLOOR(base*modifier*SEQUENCE(16,1,85,1)/100)))),0)</f>
        <v/>
      </c>
      <c r="M326" s="3">
        <f>IFERROR(LET(mtype,XLOOKUP($D326,'Move Editor'!$B:$B,'Move Editor'!$C:$C,""),cat,XLOOKUP($D326,'Move Editor'!$B:$B,'Move Editor'!$D:$D,""),pow,XLOOKUP($D326,'Move Editor'!$B:$B,'Move Editor'!$E:$E,0),acc,XLOOKUP($D326,'Move Editor'!$B:$B,'Move Editor'!$F:$F,100),atk,IF(cat="Physical",FLOOR((FLOOR(((2*XLOOKUP(XLOOKUP($Q326,'Threshold Summary'!$Y:$Y,'Threshold Summary'!$K:$K,""),'Pokemon Editor'!$A:$A,'Pokemon Editor'!$F:$F,0)+31+FLOOR(XLOOKUP($Q326,'Threshold Summary'!$Y:$Y,'Threshold Summary'!$P:$P,"")/4))*XLOOKUP($Q326,'Threshold Summary'!$Y:$Y,'Threshold Summary'!$L:$L,""))/100)+5)*XLOOKUP(XLOOKUP($Q326,'Threshold Summary'!$Y:$Y,'Threshold Summary'!$M:$M,""),'Nature Editor'!$A:$A,'Nature Editor'!$B:$B,1)),FLOOR((FLOOR(((2*XLOOKUP(XLOOKUP($Q326,'Threshold Summary'!$Y:$Y,'Threshold Summary'!$K:$K,""),'Pokemon Editor'!$A:$A,'Pokemon Editor'!$H:$H,0)+31+FLOOR(XLOOKUP($Q326,'Threshold Summary'!$Y:$Y,'Threshold Summary'!$R:$R,"")/4))*XLOOKUP($Q326,'Threshold Summary'!$Y:$Y,'Threshold Summary'!$L:$L,""))/100)+5)*XLOOKUP(XLOOKUP($Q326,'Threshold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Editor'!$E:$E,1))),stab,IF(OR(mtype=XLOOKUP(XLOOKUP($Q326,'Threshold Summary'!$Y:$Y,'Threshold Summary'!$K:$K,""),'Pokemon Editor'!$A:$A,'Pokemon Editor'!$C:$C,""),mtype=XLOOKUP(XLOOKUP($Q326,'Threshold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Chart'!$B$1:$S$1,0)))),base,IF(OR(cat="Status",pow=0),0,FLOOR(FLOOR(FLOOR((2*XLOOKUP($Q326,'Threshold Summary'!$Y:$Y,'Threshold Summary'!$L:$L,"")/5+2)*pow*atk/def)/50)+2)),modifier,stab*eff,AVERAGE(ARRAYFORMULA(FLOOR(base*modifier*SEQUENCE(16,1,85,1)/100)))*MIN(1,acc/100)),0)</f>
        <v/>
      </c>
      <c r="N326" s="4">
        <f>IFERROR(LET(mtype,XLOOKUP($D326,'Move Editor'!$B:$B,'Move Editor'!$C:$C,""),cat,XLOOKUP($D326,'Move Editor'!$B:$B,'Move Editor'!$D:$D,""),pow,XLOOKUP($D326,'Move Editor'!$B:$B,'Move Editor'!$E:$E,0),acc,XLOOKUP($D326,'Move Editor'!$B:$B,'Move Editor'!$F:$F,100),atk,IF(cat="Physical",FLOOR((FLOOR(((2*XLOOKUP(XLOOKUP($Q326,'Threshold Summary'!$Y:$Y,'Threshold Summary'!$K:$K,""),'Pokemon Editor'!$A:$A,'Pokemon Editor'!$F:$F,0)+31+FLOOR(XLOOKUP($Q326,'Threshold Summary'!$Y:$Y,'Threshold Summary'!$P:$P,"")/4))*XLOOKUP($Q326,'Threshold Summary'!$Y:$Y,'Threshold Summary'!$L:$L,""))/100)+5)*XLOOKUP(XLOOKUP($Q326,'Threshold Summary'!$Y:$Y,'Threshold Summary'!$M:$M,""),'Nature Editor'!$A:$A,'Nature Editor'!$B:$B,1)),FLOOR((FLOOR(((2*XLOOKUP(XLOOKUP($Q326,'Threshold Summary'!$Y:$Y,'Threshold Summary'!$K:$K,""),'Pokemon Editor'!$A:$A,'Pokemon Editor'!$H:$H,0)+31+FLOOR(XLOOKUP($Q326,'Threshold Summary'!$Y:$Y,'Threshold Summary'!$R:$R,"")/4))*XLOOKUP($Q326,'Threshold Summary'!$Y:$Y,'Threshold Summary'!$L:$L,""))/100)+5)*XLOOKUP(XLOOKUP($Q326,'Threshold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Editor'!$E:$E,1))),stab,IF(OR(mtype=XLOOKUP(XLOOKUP($Q326,'Threshold Summary'!$Y:$Y,'Threshold Summary'!$K:$K,""),'Pokemon Editor'!$A:$A,'Pokemon Editor'!$C:$C,""),mtype=XLOOKUP(XLOOKUP($Q326,'Threshold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Chart'!$B$1:$S$1,0)))),base,IF(OR(cat="Status",pow=0),0,FLOOR(FLOOR(FLOOR((2*XLOOKUP($Q326,'Threshold Summary'!$Y:$Y,'Threshold Summary'!$L:$L,"")/5+2)*pow*atk/def)/50)+2)),modifier,stab*eff,AVERAGE(ARRAYFORMULA(FLOOR(base*modifier*SEQUENCE(16,1,85,1)/100)))/(FLOOR(((2*XLOOKUP('Boss Editor'!$C$4,'Pokemon Editor'!$A:$A,'Pokemon Editor'!$E:$E,0)+31+FLOOR('Boss Editor'!$G$4/4))*'Boss Editor'!$D$4)/100)+'Boss Editor'!$D$4+10)),0)</f>
        <v/>
      </c>
      <c r="O326" s="3">
        <f>IF(N326&gt;=1,"OHKO",IF(N326&gt;=0.5,"2HKO",IF(N326&gt;=0.333,"3HKO",IF(N326&gt;=0.25,"4HKO","5HKO+"))))</f>
        <v/>
      </c>
      <c r="P326" s="3" t="inlineStr">
        <is>
          <t>Live from editable databases</t>
        </is>
      </c>
      <c r="Q326" s="3" t="inlineStr">
        <is>
          <t>SPECIES_SHINX</t>
        </is>
      </c>
      <c r="R326" s="3" t="n">
        <v>5</v>
      </c>
    </row>
    <row r="327">
      <c r="A327" s="3">
        <f>XLOOKUP($Q327,'Threshold Summary'!$Y:$Y,'Threshold Summary'!$A:$A,"")</f>
        <v/>
      </c>
      <c r="B327" s="3">
        <f>XLOOKUP($Q327,'Threshold Summary'!$Y:$Y,'Threshold Summary'!$M:$M,"")</f>
        <v/>
      </c>
      <c r="C327" s="3">
        <f>XLOOKUP($Q327,'Threshold Summary'!$Y:$Y,'Threshold Summary'!$N:$N,"")</f>
        <v/>
      </c>
      <c r="D327" s="3">
        <f>IFERROR(INDEX(FILTER('Learnset Editor'!$D$2:$D,'Learnset Editor'!$A$2:$A=XLOOKUP($Q327,'Threshold Summary'!$Y:$Y,'Threshold Summary'!$K:$K,""),'Learnset Editor'!$C$2:$C&lt;=XLOOKUP($Q327,'Threshold Summary'!$Y:$Y,'Threshold Summary'!$L:$L,"")),$R327),"")</f>
        <v/>
      </c>
      <c r="E327" s="3">
        <f>XLOOKUP(D327,'Move Editor'!$B:$B,'Move Editor'!$C:$C,"")</f>
        <v/>
      </c>
      <c r="F327" s="3">
        <f>XLOOKUP(D327,'Move Editor'!$B:$B,'Move Editor'!$D:$D,"")</f>
        <v/>
      </c>
      <c r="G327" s="3">
        <f>XLOOKUP(D327,'Move Editor'!$B:$B,'Move Editor'!$E:$E,0)</f>
        <v/>
      </c>
      <c r="H327" s="3">
        <f>XLOOKUP(D327,'Move Editor'!$B:$B,'Move Editor'!$F:$F,0)</f>
        <v/>
      </c>
      <c r="I327" s="3">
        <f>(INDEX('Type Chart'!$B:$S,MATCH(E327,'Type Chart'!$A:$A,0),MATCH(XLOOKUP('Boss Editor'!$C$4,'Pokemon Editor'!$A:$A,'Pokemon Editor'!$C:$C,""),'Type Chart'!$B$1:$S$1,0))*IF(XLOOKUP('Boss Editor'!$C$4,'Pokemon Editor'!$A:$A,'Pokemon Editor'!$D:$D,"")="",1,INDEX('Type Chart'!$B:$S,MATCH(E327,'Type Chart'!$A:$A,0),MATCH(XLOOKUP('Boss Editor'!$C$4,'Pokemon Editor'!$A:$A,'Pokemon Editor'!$D:$D,""),'Type Chart'!$B$1:$S$1,0))))</f>
        <v/>
      </c>
      <c r="J327" s="3">
        <f>IFERROR(LET(mtype,XLOOKUP($D327,'Move Editor'!$B:$B,'Move Editor'!$C:$C,""),cat,XLOOKUP($D327,'Move Editor'!$B:$B,'Move Editor'!$D:$D,""),pow,XLOOKUP($D327,'Move Editor'!$B:$B,'Move Editor'!$E:$E,0),acc,XLOOKUP($D327,'Move Editor'!$B:$B,'Move Editor'!$F:$F,100),atk,IF(cat="Physical",FLOOR((FLOOR(((2*XLOOKUP(XLOOKUP($Q327,'Threshold Summary'!$Y:$Y,'Threshold Summary'!$K:$K,""),'Pokemon Editor'!$A:$A,'Pokemon Editor'!$F:$F,0)+31+FLOOR(XLOOKUP($Q327,'Threshold Summary'!$Y:$Y,'Threshold Summary'!$P:$P,"")/4))*XLOOKUP($Q327,'Threshold Summary'!$Y:$Y,'Threshold Summary'!$L:$L,""))/100)+5)*XLOOKUP(XLOOKUP($Q327,'Threshold Summary'!$Y:$Y,'Threshold Summary'!$M:$M,""),'Nature Editor'!$A:$A,'Nature Editor'!$B:$B,1)),FLOOR((FLOOR(((2*XLOOKUP(XLOOKUP($Q327,'Threshold Summary'!$Y:$Y,'Threshold Summary'!$K:$K,""),'Pokemon Editor'!$A:$A,'Pokemon Editor'!$H:$H,0)+31+FLOOR(XLOOKUP($Q327,'Threshold Summary'!$Y:$Y,'Threshold Summary'!$R:$R,"")/4))*XLOOKUP($Q327,'Threshold Summary'!$Y:$Y,'Threshold Summary'!$L:$L,""))/100)+5)*XLOOKUP(XLOOKUP($Q327,'Threshold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Editor'!$E:$E,1))),stab,IF(OR(mtype=XLOOKUP(XLOOKUP($Q327,'Threshold Summary'!$Y:$Y,'Threshold Summary'!$K:$K,""),'Pokemon Editor'!$A:$A,'Pokemon Editor'!$C:$C,""),mtype=XLOOKUP(XLOOKUP($Q327,'Threshold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Chart'!$B$1:$S$1,0)))),base,IF(OR(cat="Status",pow=0),0,FLOOR(FLOOR(FLOOR((2*XLOOKUP($Q327,'Threshold Summary'!$Y:$Y,'Threshold Summary'!$L:$L,"")/5+2)*pow*atk/def)/50)+2)),modifier,stab*eff,FLOOR(base*modifier*0.85)),0)</f>
        <v/>
      </c>
      <c r="K327" s="3">
        <f>IFERROR(LET(mtype,XLOOKUP($D327,'Move Editor'!$B:$B,'Move Editor'!$C:$C,""),cat,XLOOKUP($D327,'Move Editor'!$B:$B,'Move Editor'!$D:$D,""),pow,XLOOKUP($D327,'Move Editor'!$B:$B,'Move Editor'!$E:$E,0),acc,XLOOKUP($D327,'Move Editor'!$B:$B,'Move Editor'!$F:$F,100),atk,IF(cat="Physical",FLOOR((FLOOR(((2*XLOOKUP(XLOOKUP($Q327,'Threshold Summary'!$Y:$Y,'Threshold Summary'!$K:$K,""),'Pokemon Editor'!$A:$A,'Pokemon Editor'!$F:$F,0)+31+FLOOR(XLOOKUP($Q327,'Threshold Summary'!$Y:$Y,'Threshold Summary'!$P:$P,"")/4))*XLOOKUP($Q327,'Threshold Summary'!$Y:$Y,'Threshold Summary'!$L:$L,""))/100)+5)*XLOOKUP(XLOOKUP($Q327,'Threshold Summary'!$Y:$Y,'Threshold Summary'!$M:$M,""),'Nature Editor'!$A:$A,'Nature Editor'!$B:$B,1)),FLOOR((FLOOR(((2*XLOOKUP(XLOOKUP($Q327,'Threshold Summary'!$Y:$Y,'Threshold Summary'!$K:$K,""),'Pokemon Editor'!$A:$A,'Pokemon Editor'!$H:$H,0)+31+FLOOR(XLOOKUP($Q327,'Threshold Summary'!$Y:$Y,'Threshold Summary'!$R:$R,"")/4))*XLOOKUP($Q327,'Threshold Summary'!$Y:$Y,'Threshold Summary'!$L:$L,""))/100)+5)*XLOOKUP(XLOOKUP($Q327,'Threshold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Editor'!$E:$E,1))),stab,IF(OR(mtype=XLOOKUP(XLOOKUP($Q327,'Threshold Summary'!$Y:$Y,'Threshold Summary'!$K:$K,""),'Pokemon Editor'!$A:$A,'Pokemon Editor'!$C:$C,""),mtype=XLOOKUP(XLOOKUP($Q327,'Threshold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Chart'!$B$1:$S$1,0)))),base,IF(OR(cat="Status",pow=0),0,FLOOR(FLOOR(FLOOR((2*XLOOKUP($Q327,'Threshold Summary'!$Y:$Y,'Threshold Summary'!$L:$L,"")/5+2)*pow*atk/def)/50)+2)),modifier,stab*eff,FLOOR(base*modifier)),0)</f>
        <v/>
      </c>
      <c r="L327" s="3">
        <f>IFERROR(LET(mtype,XLOOKUP($D327,'Move Editor'!$B:$B,'Move Editor'!$C:$C,""),cat,XLOOKUP($D327,'Move Editor'!$B:$B,'Move Editor'!$D:$D,""),pow,XLOOKUP($D327,'Move Editor'!$B:$B,'Move Editor'!$E:$E,0),acc,XLOOKUP($D327,'Move Editor'!$B:$B,'Move Editor'!$F:$F,100),atk,IF(cat="Physical",FLOOR((FLOOR(((2*XLOOKUP(XLOOKUP($Q327,'Threshold Summary'!$Y:$Y,'Threshold Summary'!$K:$K,""),'Pokemon Editor'!$A:$A,'Pokemon Editor'!$F:$F,0)+31+FLOOR(XLOOKUP($Q327,'Threshold Summary'!$Y:$Y,'Threshold Summary'!$P:$P,"")/4))*XLOOKUP($Q327,'Threshold Summary'!$Y:$Y,'Threshold Summary'!$L:$L,""))/100)+5)*XLOOKUP(XLOOKUP($Q327,'Threshold Summary'!$Y:$Y,'Threshold Summary'!$M:$M,""),'Nature Editor'!$A:$A,'Nature Editor'!$B:$B,1)),FLOOR((FLOOR(((2*XLOOKUP(XLOOKUP($Q327,'Threshold Summary'!$Y:$Y,'Threshold Summary'!$K:$K,""),'Pokemon Editor'!$A:$A,'Pokemon Editor'!$H:$H,0)+31+FLOOR(XLOOKUP($Q327,'Threshold Summary'!$Y:$Y,'Threshold Summary'!$R:$R,"")/4))*XLOOKUP($Q327,'Threshold Summary'!$Y:$Y,'Threshold Summary'!$L:$L,""))/100)+5)*XLOOKUP(XLOOKUP($Q327,'Threshold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Editor'!$E:$E,1))),stab,IF(OR(mtype=XLOOKUP(XLOOKUP($Q327,'Threshold Summary'!$Y:$Y,'Threshold Summary'!$K:$K,""),'Pokemon Editor'!$A:$A,'Pokemon Editor'!$C:$C,""),mtype=XLOOKUP(XLOOKUP($Q327,'Threshold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Chart'!$B$1:$S$1,0)))),base,IF(OR(cat="Status",pow=0),0,FLOOR(FLOOR(FLOOR((2*XLOOKUP($Q327,'Threshold Summary'!$Y:$Y,'Threshold Summary'!$L:$L,"")/5+2)*pow*atk/def)/50)+2)),modifier,stab*eff,AVERAGE(ARRAYFORMULA(FLOOR(base*modifier*SEQUENCE(16,1,85,1)/100)))),0)</f>
        <v/>
      </c>
      <c r="M327" s="3">
        <f>IFERROR(LET(mtype,XLOOKUP($D327,'Move Editor'!$B:$B,'Move Editor'!$C:$C,""),cat,XLOOKUP($D327,'Move Editor'!$B:$B,'Move Editor'!$D:$D,""),pow,XLOOKUP($D327,'Move Editor'!$B:$B,'Move Editor'!$E:$E,0),acc,XLOOKUP($D327,'Move Editor'!$B:$B,'Move Editor'!$F:$F,100),atk,IF(cat="Physical",FLOOR((FLOOR(((2*XLOOKUP(XLOOKUP($Q327,'Threshold Summary'!$Y:$Y,'Threshold Summary'!$K:$K,""),'Pokemon Editor'!$A:$A,'Pokemon Editor'!$F:$F,0)+31+FLOOR(XLOOKUP($Q327,'Threshold Summary'!$Y:$Y,'Threshold Summary'!$P:$P,"")/4))*XLOOKUP($Q327,'Threshold Summary'!$Y:$Y,'Threshold Summary'!$L:$L,""))/100)+5)*XLOOKUP(XLOOKUP($Q327,'Threshold Summary'!$Y:$Y,'Threshold Summary'!$M:$M,""),'Nature Editor'!$A:$A,'Nature Editor'!$B:$B,1)),FLOOR((FLOOR(((2*XLOOKUP(XLOOKUP($Q327,'Threshold Summary'!$Y:$Y,'Threshold Summary'!$K:$K,""),'Pokemon Editor'!$A:$A,'Pokemon Editor'!$H:$H,0)+31+FLOOR(XLOOKUP($Q327,'Threshold Summary'!$Y:$Y,'Threshold Summary'!$R:$R,"")/4))*XLOOKUP($Q327,'Threshold Summary'!$Y:$Y,'Threshold Summary'!$L:$L,""))/100)+5)*XLOOKUP(XLOOKUP($Q327,'Threshold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Editor'!$E:$E,1))),stab,IF(OR(mtype=XLOOKUP(XLOOKUP($Q327,'Threshold Summary'!$Y:$Y,'Threshold Summary'!$K:$K,""),'Pokemon Editor'!$A:$A,'Pokemon Editor'!$C:$C,""),mtype=XLOOKUP(XLOOKUP($Q327,'Threshold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Chart'!$B$1:$S$1,0)))),base,IF(OR(cat="Status",pow=0),0,FLOOR(FLOOR(FLOOR((2*XLOOKUP($Q327,'Threshold Summary'!$Y:$Y,'Threshold Summary'!$L:$L,"")/5+2)*pow*atk/def)/50)+2)),modifier,stab*eff,AVERAGE(ARRAYFORMULA(FLOOR(base*modifier*SEQUENCE(16,1,85,1)/100)))*MIN(1,acc/100)),0)</f>
        <v/>
      </c>
      <c r="N327" s="4">
        <f>IFERROR(LET(mtype,XLOOKUP($D327,'Move Editor'!$B:$B,'Move Editor'!$C:$C,""),cat,XLOOKUP($D327,'Move Editor'!$B:$B,'Move Editor'!$D:$D,""),pow,XLOOKUP($D327,'Move Editor'!$B:$B,'Move Editor'!$E:$E,0),acc,XLOOKUP($D327,'Move Editor'!$B:$B,'Move Editor'!$F:$F,100),atk,IF(cat="Physical",FLOOR((FLOOR(((2*XLOOKUP(XLOOKUP($Q327,'Threshold Summary'!$Y:$Y,'Threshold Summary'!$K:$K,""),'Pokemon Editor'!$A:$A,'Pokemon Editor'!$F:$F,0)+31+FLOOR(XLOOKUP($Q327,'Threshold Summary'!$Y:$Y,'Threshold Summary'!$P:$P,"")/4))*XLOOKUP($Q327,'Threshold Summary'!$Y:$Y,'Threshold Summary'!$L:$L,""))/100)+5)*XLOOKUP(XLOOKUP($Q327,'Threshold Summary'!$Y:$Y,'Threshold Summary'!$M:$M,""),'Nature Editor'!$A:$A,'Nature Editor'!$B:$B,1)),FLOOR((FLOOR(((2*XLOOKUP(XLOOKUP($Q327,'Threshold Summary'!$Y:$Y,'Threshold Summary'!$K:$K,""),'Pokemon Editor'!$A:$A,'Pokemon Editor'!$H:$H,0)+31+FLOOR(XLOOKUP($Q327,'Threshold Summary'!$Y:$Y,'Threshold Summary'!$R:$R,"")/4))*XLOOKUP($Q327,'Threshold Summary'!$Y:$Y,'Threshold Summary'!$L:$L,""))/100)+5)*XLOOKUP(XLOOKUP($Q327,'Threshold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Editor'!$E:$E,1))),stab,IF(OR(mtype=XLOOKUP(XLOOKUP($Q327,'Threshold Summary'!$Y:$Y,'Threshold Summary'!$K:$K,""),'Pokemon Editor'!$A:$A,'Pokemon Editor'!$C:$C,""),mtype=XLOOKUP(XLOOKUP($Q327,'Threshold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Chart'!$B$1:$S$1,0)))),base,IF(OR(cat="Status",pow=0),0,FLOOR(FLOOR(FLOOR((2*XLOOKUP($Q327,'Threshold Summary'!$Y:$Y,'Threshold Summary'!$L:$L,"")/5+2)*pow*atk/def)/50)+2)),modifier,stab*eff,AVERAGE(ARRAYFORMULA(FLOOR(base*modifier*SEQUENCE(16,1,85,1)/100)))/(FLOOR(((2*XLOOKUP('Boss Editor'!$C$4,'Pokemon Editor'!$A:$A,'Pokemon Editor'!$E:$E,0)+31+FLOOR('Boss Editor'!$G$4/4))*'Boss Editor'!$D$4)/100)+'Boss Editor'!$D$4+10)),0)</f>
        <v/>
      </c>
      <c r="O327" s="3">
        <f>IF(N327&gt;=1,"OHKO",IF(N327&gt;=0.5,"2HKO",IF(N327&gt;=0.333,"3HKO",IF(N327&gt;=0.25,"4HKO","5HKO+"))))</f>
        <v/>
      </c>
      <c r="P327" s="3" t="inlineStr">
        <is>
          <t>Live from editable databases</t>
        </is>
      </c>
      <c r="Q327" s="3" t="inlineStr">
        <is>
          <t>SPECIES_SHINX</t>
        </is>
      </c>
      <c r="R327" s="3" t="n">
        <v>6</v>
      </c>
    </row>
    <row r="328">
      <c r="A328" s="3">
        <f>XLOOKUP($Q328,'Threshold Summary'!$Y:$Y,'Threshold Summary'!$A:$A,"")</f>
        <v/>
      </c>
      <c r="B328" s="3">
        <f>XLOOKUP($Q328,'Threshold Summary'!$Y:$Y,'Threshold Summary'!$M:$M,"")</f>
        <v/>
      </c>
      <c r="C328" s="3">
        <f>XLOOKUP($Q328,'Threshold Summary'!$Y:$Y,'Threshold Summary'!$N:$N,"")</f>
        <v/>
      </c>
      <c r="D328" s="3">
        <f>IFERROR(INDEX(FILTER('Learnset Editor'!$D$2:$D,'Learnset Editor'!$A$2:$A=XLOOKUP($Q328,'Threshold Summary'!$Y:$Y,'Threshold Summary'!$K:$K,""),'Learnset Editor'!$C$2:$C&lt;=XLOOKUP($Q328,'Threshold Summary'!$Y:$Y,'Threshold Summary'!$L:$L,"")),$R328),"")</f>
        <v/>
      </c>
      <c r="E328" s="3">
        <f>XLOOKUP(D328,'Move Editor'!$B:$B,'Move Editor'!$C:$C,"")</f>
        <v/>
      </c>
      <c r="F328" s="3">
        <f>XLOOKUP(D328,'Move Editor'!$B:$B,'Move Editor'!$D:$D,"")</f>
        <v/>
      </c>
      <c r="G328" s="3">
        <f>XLOOKUP(D328,'Move Editor'!$B:$B,'Move Editor'!$E:$E,0)</f>
        <v/>
      </c>
      <c r="H328" s="3">
        <f>XLOOKUP(D328,'Move Editor'!$B:$B,'Move Editor'!$F:$F,0)</f>
        <v/>
      </c>
      <c r="I328" s="3">
        <f>(INDEX('Type Chart'!$B:$S,MATCH(E328,'Type Chart'!$A:$A,0),MATCH(XLOOKUP('Boss Editor'!$C$4,'Pokemon Editor'!$A:$A,'Pokemon Editor'!$C:$C,""),'Type Chart'!$B$1:$S$1,0))*IF(XLOOKUP('Boss Editor'!$C$4,'Pokemon Editor'!$A:$A,'Pokemon Editor'!$D:$D,"")="",1,INDEX('Type Chart'!$B:$S,MATCH(E328,'Type Chart'!$A:$A,0),MATCH(XLOOKUP('Boss Editor'!$C$4,'Pokemon Editor'!$A:$A,'Pokemon Editor'!$D:$D,""),'Type Chart'!$B$1:$S$1,0))))</f>
        <v/>
      </c>
      <c r="J328" s="3">
        <f>IFERROR(LET(mtype,XLOOKUP($D328,'Move Editor'!$B:$B,'Move Editor'!$C:$C,""),cat,XLOOKUP($D328,'Move Editor'!$B:$B,'Move Editor'!$D:$D,""),pow,XLOOKUP($D328,'Move Editor'!$B:$B,'Move Editor'!$E:$E,0),acc,XLOOKUP($D328,'Move Editor'!$B:$B,'Move Editor'!$F:$F,100),atk,IF(cat="Physical",FLOOR((FLOOR(((2*XLOOKUP(XLOOKUP($Q328,'Threshold Summary'!$Y:$Y,'Threshold Summary'!$K:$K,""),'Pokemon Editor'!$A:$A,'Pokemon Editor'!$F:$F,0)+31+FLOOR(XLOOKUP($Q328,'Threshold Summary'!$Y:$Y,'Threshold Summary'!$P:$P,"")/4))*XLOOKUP($Q328,'Threshold Summary'!$Y:$Y,'Threshold Summary'!$L:$L,""))/100)+5)*XLOOKUP(XLOOKUP($Q328,'Threshold Summary'!$Y:$Y,'Threshold Summary'!$M:$M,""),'Nature Editor'!$A:$A,'Nature Editor'!$B:$B,1)),FLOOR((FLOOR(((2*XLOOKUP(XLOOKUP($Q328,'Threshold Summary'!$Y:$Y,'Threshold Summary'!$K:$K,""),'Pokemon Editor'!$A:$A,'Pokemon Editor'!$H:$H,0)+31+FLOOR(XLOOKUP($Q328,'Threshold Summary'!$Y:$Y,'Threshold Summary'!$R:$R,"")/4))*XLOOKUP($Q328,'Threshold Summary'!$Y:$Y,'Threshold Summary'!$L:$L,""))/100)+5)*XLOOKUP(XLOOKUP($Q328,'Threshold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Editor'!$E:$E,1))),stab,IF(OR(mtype=XLOOKUP(XLOOKUP($Q328,'Threshold Summary'!$Y:$Y,'Threshold Summary'!$K:$K,""),'Pokemon Editor'!$A:$A,'Pokemon Editor'!$C:$C,""),mtype=XLOOKUP(XLOOKUP($Q328,'Threshold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Chart'!$B$1:$S$1,0)))),base,IF(OR(cat="Status",pow=0),0,FLOOR(FLOOR(FLOOR((2*XLOOKUP($Q328,'Threshold Summary'!$Y:$Y,'Threshold Summary'!$L:$L,"")/5+2)*pow*atk/def)/50)+2)),modifier,stab*eff,FLOOR(base*modifier*0.85)),0)</f>
        <v/>
      </c>
      <c r="K328" s="3">
        <f>IFERROR(LET(mtype,XLOOKUP($D328,'Move Editor'!$B:$B,'Move Editor'!$C:$C,""),cat,XLOOKUP($D328,'Move Editor'!$B:$B,'Move Editor'!$D:$D,""),pow,XLOOKUP($D328,'Move Editor'!$B:$B,'Move Editor'!$E:$E,0),acc,XLOOKUP($D328,'Move Editor'!$B:$B,'Move Editor'!$F:$F,100),atk,IF(cat="Physical",FLOOR((FLOOR(((2*XLOOKUP(XLOOKUP($Q328,'Threshold Summary'!$Y:$Y,'Threshold Summary'!$K:$K,""),'Pokemon Editor'!$A:$A,'Pokemon Editor'!$F:$F,0)+31+FLOOR(XLOOKUP($Q328,'Threshold Summary'!$Y:$Y,'Threshold Summary'!$P:$P,"")/4))*XLOOKUP($Q328,'Threshold Summary'!$Y:$Y,'Threshold Summary'!$L:$L,""))/100)+5)*XLOOKUP(XLOOKUP($Q328,'Threshold Summary'!$Y:$Y,'Threshold Summary'!$M:$M,""),'Nature Editor'!$A:$A,'Nature Editor'!$B:$B,1)),FLOOR((FLOOR(((2*XLOOKUP(XLOOKUP($Q328,'Threshold Summary'!$Y:$Y,'Threshold Summary'!$K:$K,""),'Pokemon Editor'!$A:$A,'Pokemon Editor'!$H:$H,0)+31+FLOOR(XLOOKUP($Q328,'Threshold Summary'!$Y:$Y,'Threshold Summary'!$R:$R,"")/4))*XLOOKUP($Q328,'Threshold Summary'!$Y:$Y,'Threshold Summary'!$L:$L,""))/100)+5)*XLOOKUP(XLOOKUP($Q328,'Threshold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Editor'!$E:$E,1))),stab,IF(OR(mtype=XLOOKUP(XLOOKUP($Q328,'Threshold Summary'!$Y:$Y,'Threshold Summary'!$K:$K,""),'Pokemon Editor'!$A:$A,'Pokemon Editor'!$C:$C,""),mtype=XLOOKUP(XLOOKUP($Q328,'Threshold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Chart'!$B$1:$S$1,0)))),base,IF(OR(cat="Status",pow=0),0,FLOOR(FLOOR(FLOOR((2*XLOOKUP($Q328,'Threshold Summary'!$Y:$Y,'Threshold Summary'!$L:$L,"")/5+2)*pow*atk/def)/50)+2)),modifier,stab*eff,FLOOR(base*modifier)),0)</f>
        <v/>
      </c>
      <c r="L328" s="3">
        <f>IFERROR(LET(mtype,XLOOKUP($D328,'Move Editor'!$B:$B,'Move Editor'!$C:$C,""),cat,XLOOKUP($D328,'Move Editor'!$B:$B,'Move Editor'!$D:$D,""),pow,XLOOKUP($D328,'Move Editor'!$B:$B,'Move Editor'!$E:$E,0),acc,XLOOKUP($D328,'Move Editor'!$B:$B,'Move Editor'!$F:$F,100),atk,IF(cat="Physical",FLOOR((FLOOR(((2*XLOOKUP(XLOOKUP($Q328,'Threshold Summary'!$Y:$Y,'Threshold Summary'!$K:$K,""),'Pokemon Editor'!$A:$A,'Pokemon Editor'!$F:$F,0)+31+FLOOR(XLOOKUP($Q328,'Threshold Summary'!$Y:$Y,'Threshold Summary'!$P:$P,"")/4))*XLOOKUP($Q328,'Threshold Summary'!$Y:$Y,'Threshold Summary'!$L:$L,""))/100)+5)*XLOOKUP(XLOOKUP($Q328,'Threshold Summary'!$Y:$Y,'Threshold Summary'!$M:$M,""),'Nature Editor'!$A:$A,'Nature Editor'!$B:$B,1)),FLOOR((FLOOR(((2*XLOOKUP(XLOOKUP($Q328,'Threshold Summary'!$Y:$Y,'Threshold Summary'!$K:$K,""),'Pokemon Editor'!$A:$A,'Pokemon Editor'!$H:$H,0)+31+FLOOR(XLOOKUP($Q328,'Threshold Summary'!$Y:$Y,'Threshold Summary'!$R:$R,"")/4))*XLOOKUP($Q328,'Threshold Summary'!$Y:$Y,'Threshold Summary'!$L:$L,""))/100)+5)*XLOOKUP(XLOOKUP($Q328,'Threshold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Editor'!$E:$E,1))),stab,IF(OR(mtype=XLOOKUP(XLOOKUP($Q328,'Threshold Summary'!$Y:$Y,'Threshold Summary'!$K:$K,""),'Pokemon Editor'!$A:$A,'Pokemon Editor'!$C:$C,""),mtype=XLOOKUP(XLOOKUP($Q328,'Threshold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Chart'!$B$1:$S$1,0)))),base,IF(OR(cat="Status",pow=0),0,FLOOR(FLOOR(FLOOR((2*XLOOKUP($Q328,'Threshold Summary'!$Y:$Y,'Threshold Summary'!$L:$L,"")/5+2)*pow*atk/def)/50)+2)),modifier,stab*eff,AVERAGE(ARRAYFORMULA(FLOOR(base*modifier*SEQUENCE(16,1,85,1)/100)))),0)</f>
        <v/>
      </c>
      <c r="M328" s="3">
        <f>IFERROR(LET(mtype,XLOOKUP($D328,'Move Editor'!$B:$B,'Move Editor'!$C:$C,""),cat,XLOOKUP($D328,'Move Editor'!$B:$B,'Move Editor'!$D:$D,""),pow,XLOOKUP($D328,'Move Editor'!$B:$B,'Move Editor'!$E:$E,0),acc,XLOOKUP($D328,'Move Editor'!$B:$B,'Move Editor'!$F:$F,100),atk,IF(cat="Physical",FLOOR((FLOOR(((2*XLOOKUP(XLOOKUP($Q328,'Threshold Summary'!$Y:$Y,'Threshold Summary'!$K:$K,""),'Pokemon Editor'!$A:$A,'Pokemon Editor'!$F:$F,0)+31+FLOOR(XLOOKUP($Q328,'Threshold Summary'!$Y:$Y,'Threshold Summary'!$P:$P,"")/4))*XLOOKUP($Q328,'Threshold Summary'!$Y:$Y,'Threshold Summary'!$L:$L,""))/100)+5)*XLOOKUP(XLOOKUP($Q328,'Threshold Summary'!$Y:$Y,'Threshold Summary'!$M:$M,""),'Nature Editor'!$A:$A,'Nature Editor'!$B:$B,1)),FLOOR((FLOOR(((2*XLOOKUP(XLOOKUP($Q328,'Threshold Summary'!$Y:$Y,'Threshold Summary'!$K:$K,""),'Pokemon Editor'!$A:$A,'Pokemon Editor'!$H:$H,0)+31+FLOOR(XLOOKUP($Q328,'Threshold Summary'!$Y:$Y,'Threshold Summary'!$R:$R,"")/4))*XLOOKUP($Q328,'Threshold Summary'!$Y:$Y,'Threshold Summary'!$L:$L,""))/100)+5)*XLOOKUP(XLOOKUP($Q328,'Threshold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Editor'!$E:$E,1))),stab,IF(OR(mtype=XLOOKUP(XLOOKUP($Q328,'Threshold Summary'!$Y:$Y,'Threshold Summary'!$K:$K,""),'Pokemon Editor'!$A:$A,'Pokemon Editor'!$C:$C,""),mtype=XLOOKUP(XLOOKUP($Q328,'Threshold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Chart'!$B$1:$S$1,0)))),base,IF(OR(cat="Status",pow=0),0,FLOOR(FLOOR(FLOOR((2*XLOOKUP($Q328,'Threshold Summary'!$Y:$Y,'Threshold Summary'!$L:$L,"")/5+2)*pow*atk/def)/50)+2)),modifier,stab*eff,AVERAGE(ARRAYFORMULA(FLOOR(base*modifier*SEQUENCE(16,1,85,1)/100)))*MIN(1,acc/100)),0)</f>
        <v/>
      </c>
      <c r="N328" s="4">
        <f>IFERROR(LET(mtype,XLOOKUP($D328,'Move Editor'!$B:$B,'Move Editor'!$C:$C,""),cat,XLOOKUP($D328,'Move Editor'!$B:$B,'Move Editor'!$D:$D,""),pow,XLOOKUP($D328,'Move Editor'!$B:$B,'Move Editor'!$E:$E,0),acc,XLOOKUP($D328,'Move Editor'!$B:$B,'Move Editor'!$F:$F,100),atk,IF(cat="Physical",FLOOR((FLOOR(((2*XLOOKUP(XLOOKUP($Q328,'Threshold Summary'!$Y:$Y,'Threshold Summary'!$K:$K,""),'Pokemon Editor'!$A:$A,'Pokemon Editor'!$F:$F,0)+31+FLOOR(XLOOKUP($Q328,'Threshold Summary'!$Y:$Y,'Threshold Summary'!$P:$P,"")/4))*XLOOKUP($Q328,'Threshold Summary'!$Y:$Y,'Threshold Summary'!$L:$L,""))/100)+5)*XLOOKUP(XLOOKUP($Q328,'Threshold Summary'!$Y:$Y,'Threshold Summary'!$M:$M,""),'Nature Editor'!$A:$A,'Nature Editor'!$B:$B,1)),FLOOR((FLOOR(((2*XLOOKUP(XLOOKUP($Q328,'Threshold Summary'!$Y:$Y,'Threshold Summary'!$K:$K,""),'Pokemon Editor'!$A:$A,'Pokemon Editor'!$H:$H,0)+31+FLOOR(XLOOKUP($Q328,'Threshold Summary'!$Y:$Y,'Threshold Summary'!$R:$R,"")/4))*XLOOKUP($Q328,'Threshold Summary'!$Y:$Y,'Threshold Summary'!$L:$L,""))/100)+5)*XLOOKUP(XLOOKUP($Q328,'Threshold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Editor'!$E:$E,1))),stab,IF(OR(mtype=XLOOKUP(XLOOKUP($Q328,'Threshold Summary'!$Y:$Y,'Threshold Summary'!$K:$K,""),'Pokemon Editor'!$A:$A,'Pokemon Editor'!$C:$C,""),mtype=XLOOKUP(XLOOKUP($Q328,'Threshold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Chart'!$B$1:$S$1,0)))),base,IF(OR(cat="Status",pow=0),0,FLOOR(FLOOR(FLOOR((2*XLOOKUP($Q328,'Threshold Summary'!$Y:$Y,'Threshold Summary'!$L:$L,"")/5+2)*pow*atk/def)/50)+2)),modifier,stab*eff,AVERAGE(ARRAYFORMULA(FLOOR(base*modifier*SEQUENCE(16,1,85,1)/100)))/(FLOOR(((2*XLOOKUP('Boss Editor'!$C$4,'Pokemon Editor'!$A:$A,'Pokemon Editor'!$E:$E,0)+31+FLOOR('Boss Editor'!$G$4/4))*'Boss Editor'!$D$4)/100)+'Boss Editor'!$D$4+10)),0)</f>
        <v/>
      </c>
      <c r="O328" s="3">
        <f>IF(N328&gt;=1,"OHKO",IF(N328&gt;=0.5,"2HKO",IF(N328&gt;=0.333,"3HKO",IF(N328&gt;=0.25,"4HKO","5HKO+"))))</f>
        <v/>
      </c>
      <c r="P328" s="3" t="inlineStr">
        <is>
          <t>Live from editable databases</t>
        </is>
      </c>
      <c r="Q328" s="3" t="inlineStr">
        <is>
          <t>SPECIES_SHINX</t>
        </is>
      </c>
      <c r="R328" s="3" t="n">
        <v>7</v>
      </c>
    </row>
    <row r="329">
      <c r="A329" s="3">
        <f>XLOOKUP($Q329,'Threshold Summary'!$Y:$Y,'Threshold Summary'!$A:$A,"")</f>
        <v/>
      </c>
      <c r="B329" s="3">
        <f>XLOOKUP($Q329,'Threshold Summary'!$Y:$Y,'Threshold Summary'!$M:$M,"")</f>
        <v/>
      </c>
      <c r="C329" s="3">
        <f>XLOOKUP($Q329,'Threshold Summary'!$Y:$Y,'Threshold Summary'!$N:$N,"")</f>
        <v/>
      </c>
      <c r="D329" s="3">
        <f>IFERROR(INDEX(FILTER('Learnset Editor'!$D$2:$D,'Learnset Editor'!$A$2:$A=XLOOKUP($Q329,'Threshold Summary'!$Y:$Y,'Threshold Summary'!$K:$K,""),'Learnset Editor'!$C$2:$C&lt;=XLOOKUP($Q329,'Threshold Summary'!$Y:$Y,'Threshold Summary'!$L:$L,"")),$R329),"")</f>
        <v/>
      </c>
      <c r="E329" s="3">
        <f>XLOOKUP(D329,'Move Editor'!$B:$B,'Move Editor'!$C:$C,"")</f>
        <v/>
      </c>
      <c r="F329" s="3">
        <f>XLOOKUP(D329,'Move Editor'!$B:$B,'Move Editor'!$D:$D,"")</f>
        <v/>
      </c>
      <c r="G329" s="3">
        <f>XLOOKUP(D329,'Move Editor'!$B:$B,'Move Editor'!$E:$E,0)</f>
        <v/>
      </c>
      <c r="H329" s="3">
        <f>XLOOKUP(D329,'Move Editor'!$B:$B,'Move Editor'!$F:$F,0)</f>
        <v/>
      </c>
      <c r="I329" s="3">
        <f>(INDEX('Type Chart'!$B:$S,MATCH(E329,'Type Chart'!$A:$A,0),MATCH(XLOOKUP('Boss Editor'!$C$4,'Pokemon Editor'!$A:$A,'Pokemon Editor'!$C:$C,""),'Type Chart'!$B$1:$S$1,0))*IF(XLOOKUP('Boss Editor'!$C$4,'Pokemon Editor'!$A:$A,'Pokemon Editor'!$D:$D,"")="",1,INDEX('Type Chart'!$B:$S,MATCH(E329,'Type Chart'!$A:$A,0),MATCH(XLOOKUP('Boss Editor'!$C$4,'Pokemon Editor'!$A:$A,'Pokemon Editor'!$D:$D,""),'Type Chart'!$B$1:$S$1,0))))</f>
        <v/>
      </c>
      <c r="J329" s="3">
        <f>IFERROR(LET(mtype,XLOOKUP($D329,'Move Editor'!$B:$B,'Move Editor'!$C:$C,""),cat,XLOOKUP($D329,'Move Editor'!$B:$B,'Move Editor'!$D:$D,""),pow,XLOOKUP($D329,'Move Editor'!$B:$B,'Move Editor'!$E:$E,0),acc,XLOOKUP($D329,'Move Editor'!$B:$B,'Move Editor'!$F:$F,100),atk,IF(cat="Physical",FLOOR((FLOOR(((2*XLOOKUP(XLOOKUP($Q329,'Threshold Summary'!$Y:$Y,'Threshold Summary'!$K:$K,""),'Pokemon Editor'!$A:$A,'Pokemon Editor'!$F:$F,0)+31+FLOOR(XLOOKUP($Q329,'Threshold Summary'!$Y:$Y,'Threshold Summary'!$P:$P,"")/4))*XLOOKUP($Q329,'Threshold Summary'!$Y:$Y,'Threshold Summary'!$L:$L,""))/100)+5)*XLOOKUP(XLOOKUP($Q329,'Threshold Summary'!$Y:$Y,'Threshold Summary'!$M:$M,""),'Nature Editor'!$A:$A,'Nature Editor'!$B:$B,1)),FLOOR((FLOOR(((2*XLOOKUP(XLOOKUP($Q329,'Threshold Summary'!$Y:$Y,'Threshold Summary'!$K:$K,""),'Pokemon Editor'!$A:$A,'Pokemon Editor'!$H:$H,0)+31+FLOOR(XLOOKUP($Q329,'Threshold Summary'!$Y:$Y,'Threshold Summary'!$R:$R,"")/4))*XLOOKUP($Q329,'Threshold Summary'!$Y:$Y,'Threshold Summary'!$L:$L,""))/100)+5)*XLOOKUP(XLOOKUP($Q329,'Threshold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Editor'!$E:$E,1))),stab,IF(OR(mtype=XLOOKUP(XLOOKUP($Q329,'Threshold Summary'!$Y:$Y,'Threshold Summary'!$K:$K,""),'Pokemon Editor'!$A:$A,'Pokemon Editor'!$C:$C,""),mtype=XLOOKUP(XLOOKUP($Q329,'Threshold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Chart'!$B$1:$S$1,0)))),base,IF(OR(cat="Status",pow=0),0,FLOOR(FLOOR(FLOOR((2*XLOOKUP($Q329,'Threshold Summary'!$Y:$Y,'Threshold Summary'!$L:$L,"")/5+2)*pow*atk/def)/50)+2)),modifier,stab*eff,FLOOR(base*modifier*0.85)),0)</f>
        <v/>
      </c>
      <c r="K329" s="3">
        <f>IFERROR(LET(mtype,XLOOKUP($D329,'Move Editor'!$B:$B,'Move Editor'!$C:$C,""),cat,XLOOKUP($D329,'Move Editor'!$B:$B,'Move Editor'!$D:$D,""),pow,XLOOKUP($D329,'Move Editor'!$B:$B,'Move Editor'!$E:$E,0),acc,XLOOKUP($D329,'Move Editor'!$B:$B,'Move Editor'!$F:$F,100),atk,IF(cat="Physical",FLOOR((FLOOR(((2*XLOOKUP(XLOOKUP($Q329,'Threshold Summary'!$Y:$Y,'Threshold Summary'!$K:$K,""),'Pokemon Editor'!$A:$A,'Pokemon Editor'!$F:$F,0)+31+FLOOR(XLOOKUP($Q329,'Threshold Summary'!$Y:$Y,'Threshold Summary'!$P:$P,"")/4))*XLOOKUP($Q329,'Threshold Summary'!$Y:$Y,'Threshold Summary'!$L:$L,""))/100)+5)*XLOOKUP(XLOOKUP($Q329,'Threshold Summary'!$Y:$Y,'Threshold Summary'!$M:$M,""),'Nature Editor'!$A:$A,'Nature Editor'!$B:$B,1)),FLOOR((FLOOR(((2*XLOOKUP(XLOOKUP($Q329,'Threshold Summary'!$Y:$Y,'Threshold Summary'!$K:$K,""),'Pokemon Editor'!$A:$A,'Pokemon Editor'!$H:$H,0)+31+FLOOR(XLOOKUP($Q329,'Threshold Summary'!$Y:$Y,'Threshold Summary'!$R:$R,"")/4))*XLOOKUP($Q329,'Threshold Summary'!$Y:$Y,'Threshold Summary'!$L:$L,""))/100)+5)*XLOOKUP(XLOOKUP($Q329,'Threshold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Editor'!$E:$E,1))),stab,IF(OR(mtype=XLOOKUP(XLOOKUP($Q329,'Threshold Summary'!$Y:$Y,'Threshold Summary'!$K:$K,""),'Pokemon Editor'!$A:$A,'Pokemon Editor'!$C:$C,""),mtype=XLOOKUP(XLOOKUP($Q329,'Threshold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Chart'!$B$1:$S$1,0)))),base,IF(OR(cat="Status",pow=0),0,FLOOR(FLOOR(FLOOR((2*XLOOKUP($Q329,'Threshold Summary'!$Y:$Y,'Threshold Summary'!$L:$L,"")/5+2)*pow*atk/def)/50)+2)),modifier,stab*eff,FLOOR(base*modifier)),0)</f>
        <v/>
      </c>
      <c r="L329" s="3">
        <f>IFERROR(LET(mtype,XLOOKUP($D329,'Move Editor'!$B:$B,'Move Editor'!$C:$C,""),cat,XLOOKUP($D329,'Move Editor'!$B:$B,'Move Editor'!$D:$D,""),pow,XLOOKUP($D329,'Move Editor'!$B:$B,'Move Editor'!$E:$E,0),acc,XLOOKUP($D329,'Move Editor'!$B:$B,'Move Editor'!$F:$F,100),atk,IF(cat="Physical",FLOOR((FLOOR(((2*XLOOKUP(XLOOKUP($Q329,'Threshold Summary'!$Y:$Y,'Threshold Summary'!$K:$K,""),'Pokemon Editor'!$A:$A,'Pokemon Editor'!$F:$F,0)+31+FLOOR(XLOOKUP($Q329,'Threshold Summary'!$Y:$Y,'Threshold Summary'!$P:$P,"")/4))*XLOOKUP($Q329,'Threshold Summary'!$Y:$Y,'Threshold Summary'!$L:$L,""))/100)+5)*XLOOKUP(XLOOKUP($Q329,'Threshold Summary'!$Y:$Y,'Threshold Summary'!$M:$M,""),'Nature Editor'!$A:$A,'Nature Editor'!$B:$B,1)),FLOOR((FLOOR(((2*XLOOKUP(XLOOKUP($Q329,'Threshold Summary'!$Y:$Y,'Threshold Summary'!$K:$K,""),'Pokemon Editor'!$A:$A,'Pokemon Editor'!$H:$H,0)+31+FLOOR(XLOOKUP($Q329,'Threshold Summary'!$Y:$Y,'Threshold Summary'!$R:$R,"")/4))*XLOOKUP($Q329,'Threshold Summary'!$Y:$Y,'Threshold Summary'!$L:$L,""))/100)+5)*XLOOKUP(XLOOKUP($Q329,'Threshold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Editor'!$E:$E,1))),stab,IF(OR(mtype=XLOOKUP(XLOOKUP($Q329,'Threshold Summary'!$Y:$Y,'Threshold Summary'!$K:$K,""),'Pokemon Editor'!$A:$A,'Pokemon Editor'!$C:$C,""),mtype=XLOOKUP(XLOOKUP($Q329,'Threshold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Chart'!$B$1:$S$1,0)))),base,IF(OR(cat="Status",pow=0),0,FLOOR(FLOOR(FLOOR((2*XLOOKUP($Q329,'Threshold Summary'!$Y:$Y,'Threshold Summary'!$L:$L,"")/5+2)*pow*atk/def)/50)+2)),modifier,stab*eff,AVERAGE(ARRAYFORMULA(FLOOR(base*modifier*SEQUENCE(16,1,85,1)/100)))),0)</f>
        <v/>
      </c>
      <c r="M329" s="3">
        <f>IFERROR(LET(mtype,XLOOKUP($D329,'Move Editor'!$B:$B,'Move Editor'!$C:$C,""),cat,XLOOKUP($D329,'Move Editor'!$B:$B,'Move Editor'!$D:$D,""),pow,XLOOKUP($D329,'Move Editor'!$B:$B,'Move Editor'!$E:$E,0),acc,XLOOKUP($D329,'Move Editor'!$B:$B,'Move Editor'!$F:$F,100),atk,IF(cat="Physical",FLOOR((FLOOR(((2*XLOOKUP(XLOOKUP($Q329,'Threshold Summary'!$Y:$Y,'Threshold Summary'!$K:$K,""),'Pokemon Editor'!$A:$A,'Pokemon Editor'!$F:$F,0)+31+FLOOR(XLOOKUP($Q329,'Threshold Summary'!$Y:$Y,'Threshold Summary'!$P:$P,"")/4))*XLOOKUP($Q329,'Threshold Summary'!$Y:$Y,'Threshold Summary'!$L:$L,""))/100)+5)*XLOOKUP(XLOOKUP($Q329,'Threshold Summary'!$Y:$Y,'Threshold Summary'!$M:$M,""),'Nature Editor'!$A:$A,'Nature Editor'!$B:$B,1)),FLOOR((FLOOR(((2*XLOOKUP(XLOOKUP($Q329,'Threshold Summary'!$Y:$Y,'Threshold Summary'!$K:$K,""),'Pokemon Editor'!$A:$A,'Pokemon Editor'!$H:$H,0)+31+FLOOR(XLOOKUP($Q329,'Threshold Summary'!$Y:$Y,'Threshold Summary'!$R:$R,"")/4))*XLOOKUP($Q329,'Threshold Summary'!$Y:$Y,'Threshold Summary'!$L:$L,""))/100)+5)*XLOOKUP(XLOOKUP($Q329,'Threshold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Editor'!$E:$E,1))),stab,IF(OR(mtype=XLOOKUP(XLOOKUP($Q329,'Threshold Summary'!$Y:$Y,'Threshold Summary'!$K:$K,""),'Pokemon Editor'!$A:$A,'Pokemon Editor'!$C:$C,""),mtype=XLOOKUP(XLOOKUP($Q329,'Threshold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Chart'!$B$1:$S$1,0)))),base,IF(OR(cat="Status",pow=0),0,FLOOR(FLOOR(FLOOR((2*XLOOKUP($Q329,'Threshold Summary'!$Y:$Y,'Threshold Summary'!$L:$L,"")/5+2)*pow*atk/def)/50)+2)),modifier,stab*eff,AVERAGE(ARRAYFORMULA(FLOOR(base*modifier*SEQUENCE(16,1,85,1)/100)))*MIN(1,acc/100)),0)</f>
        <v/>
      </c>
      <c r="N329" s="4">
        <f>IFERROR(LET(mtype,XLOOKUP($D329,'Move Editor'!$B:$B,'Move Editor'!$C:$C,""),cat,XLOOKUP($D329,'Move Editor'!$B:$B,'Move Editor'!$D:$D,""),pow,XLOOKUP($D329,'Move Editor'!$B:$B,'Move Editor'!$E:$E,0),acc,XLOOKUP($D329,'Move Editor'!$B:$B,'Move Editor'!$F:$F,100),atk,IF(cat="Physical",FLOOR((FLOOR(((2*XLOOKUP(XLOOKUP($Q329,'Threshold Summary'!$Y:$Y,'Threshold Summary'!$K:$K,""),'Pokemon Editor'!$A:$A,'Pokemon Editor'!$F:$F,0)+31+FLOOR(XLOOKUP($Q329,'Threshold Summary'!$Y:$Y,'Threshold Summary'!$P:$P,"")/4))*XLOOKUP($Q329,'Threshold Summary'!$Y:$Y,'Threshold Summary'!$L:$L,""))/100)+5)*XLOOKUP(XLOOKUP($Q329,'Threshold Summary'!$Y:$Y,'Threshold Summary'!$M:$M,""),'Nature Editor'!$A:$A,'Nature Editor'!$B:$B,1)),FLOOR((FLOOR(((2*XLOOKUP(XLOOKUP($Q329,'Threshold Summary'!$Y:$Y,'Threshold Summary'!$K:$K,""),'Pokemon Editor'!$A:$A,'Pokemon Editor'!$H:$H,0)+31+FLOOR(XLOOKUP($Q329,'Threshold Summary'!$Y:$Y,'Threshold Summary'!$R:$R,"")/4))*XLOOKUP($Q329,'Threshold Summary'!$Y:$Y,'Threshold Summary'!$L:$L,""))/100)+5)*XLOOKUP(XLOOKUP($Q329,'Threshold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Editor'!$E:$E,1))),stab,IF(OR(mtype=XLOOKUP(XLOOKUP($Q329,'Threshold Summary'!$Y:$Y,'Threshold Summary'!$K:$K,""),'Pokemon Editor'!$A:$A,'Pokemon Editor'!$C:$C,""),mtype=XLOOKUP(XLOOKUP($Q329,'Threshold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Chart'!$B$1:$S$1,0)))),base,IF(OR(cat="Status",pow=0),0,FLOOR(FLOOR(FLOOR((2*XLOOKUP($Q329,'Threshold Summary'!$Y:$Y,'Threshold Summary'!$L:$L,"")/5+2)*pow*atk/def)/50)+2)),modifier,stab*eff,AVERAGE(ARRAYFORMULA(FLOOR(base*modifier*SEQUENCE(16,1,85,1)/100)))/(FLOOR(((2*XLOOKUP('Boss Editor'!$C$4,'Pokemon Editor'!$A:$A,'Pokemon Editor'!$E:$E,0)+31+FLOOR('Boss Editor'!$G$4/4))*'Boss Editor'!$D$4)/100)+'Boss Editor'!$D$4+10)),0)</f>
        <v/>
      </c>
      <c r="O329" s="3">
        <f>IF(N329&gt;=1,"OHKO",IF(N329&gt;=0.5,"2HKO",IF(N329&gt;=0.333,"3HKO",IF(N329&gt;=0.25,"4HKO","5HKO+"))))</f>
        <v/>
      </c>
      <c r="P329" s="3" t="inlineStr">
        <is>
          <t>Live from editable databases</t>
        </is>
      </c>
      <c r="Q329" s="3" t="inlineStr">
        <is>
          <t>SPECIES_SHINX</t>
        </is>
      </c>
      <c r="R329" s="3" t="n">
        <v>8</v>
      </c>
    </row>
    <row r="330">
      <c r="A330" s="3">
        <f>XLOOKUP($Q330,'Threshold Summary'!$Y:$Y,'Threshold Summary'!$A:$A,"")</f>
        <v/>
      </c>
      <c r="B330" s="3">
        <f>XLOOKUP($Q330,'Threshold Summary'!$Y:$Y,'Threshold Summary'!$M:$M,"")</f>
        <v/>
      </c>
      <c r="C330" s="3">
        <f>XLOOKUP($Q330,'Threshold Summary'!$Y:$Y,'Threshold Summary'!$N:$N,"")</f>
        <v/>
      </c>
      <c r="D330" s="3">
        <f>IFERROR(INDEX(FILTER('Learnset Editor'!$D$2:$D,'Learnset Editor'!$A$2:$A=XLOOKUP($Q330,'Threshold Summary'!$Y:$Y,'Threshold Summary'!$K:$K,""),'Learnset Editor'!$C$2:$C&lt;=XLOOKUP($Q330,'Threshold Summary'!$Y:$Y,'Threshold Summary'!$L:$L,"")),$R330),"")</f>
        <v/>
      </c>
      <c r="E330" s="3">
        <f>XLOOKUP(D330,'Move Editor'!$B:$B,'Move Editor'!$C:$C,"")</f>
        <v/>
      </c>
      <c r="F330" s="3">
        <f>XLOOKUP(D330,'Move Editor'!$B:$B,'Move Editor'!$D:$D,"")</f>
        <v/>
      </c>
      <c r="G330" s="3">
        <f>XLOOKUP(D330,'Move Editor'!$B:$B,'Move Editor'!$E:$E,0)</f>
        <v/>
      </c>
      <c r="H330" s="3">
        <f>XLOOKUP(D330,'Move Editor'!$B:$B,'Move Editor'!$F:$F,0)</f>
        <v/>
      </c>
      <c r="I330" s="3">
        <f>(INDEX('Type Chart'!$B:$S,MATCH(E330,'Type Chart'!$A:$A,0),MATCH(XLOOKUP('Boss Editor'!$C$4,'Pokemon Editor'!$A:$A,'Pokemon Editor'!$C:$C,""),'Type Chart'!$B$1:$S$1,0))*IF(XLOOKUP('Boss Editor'!$C$4,'Pokemon Editor'!$A:$A,'Pokemon Editor'!$D:$D,"")="",1,INDEX('Type Chart'!$B:$S,MATCH(E330,'Type Chart'!$A:$A,0),MATCH(XLOOKUP('Boss Editor'!$C$4,'Pokemon Editor'!$A:$A,'Pokemon Editor'!$D:$D,""),'Type Chart'!$B$1:$S$1,0))))</f>
        <v/>
      </c>
      <c r="J330" s="3">
        <f>IFERROR(LET(mtype,XLOOKUP($D330,'Move Editor'!$B:$B,'Move Editor'!$C:$C,""),cat,XLOOKUP($D330,'Move Editor'!$B:$B,'Move Editor'!$D:$D,""),pow,XLOOKUP($D330,'Move Editor'!$B:$B,'Move Editor'!$E:$E,0),acc,XLOOKUP($D330,'Move Editor'!$B:$B,'Move Editor'!$F:$F,100),atk,IF(cat="Physical",FLOOR((FLOOR(((2*XLOOKUP(XLOOKUP($Q330,'Threshold Summary'!$Y:$Y,'Threshold Summary'!$K:$K,""),'Pokemon Editor'!$A:$A,'Pokemon Editor'!$F:$F,0)+31+FLOOR(XLOOKUP($Q330,'Threshold Summary'!$Y:$Y,'Threshold Summary'!$P:$P,"")/4))*XLOOKUP($Q330,'Threshold Summary'!$Y:$Y,'Threshold Summary'!$L:$L,""))/100)+5)*XLOOKUP(XLOOKUP($Q330,'Threshold Summary'!$Y:$Y,'Threshold Summary'!$M:$M,""),'Nature Editor'!$A:$A,'Nature Editor'!$B:$B,1)),FLOOR((FLOOR(((2*XLOOKUP(XLOOKUP($Q330,'Threshold Summary'!$Y:$Y,'Threshold Summary'!$K:$K,""),'Pokemon Editor'!$A:$A,'Pokemon Editor'!$H:$H,0)+31+FLOOR(XLOOKUP($Q330,'Threshold Summary'!$Y:$Y,'Threshold Summary'!$R:$R,"")/4))*XLOOKUP($Q330,'Threshold Summary'!$Y:$Y,'Threshold Summary'!$L:$L,""))/100)+5)*XLOOKUP(XLOOKUP($Q330,'Threshold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Editor'!$E:$E,1))),stab,IF(OR(mtype=XLOOKUP(XLOOKUP($Q330,'Threshold Summary'!$Y:$Y,'Threshold Summary'!$K:$K,""),'Pokemon Editor'!$A:$A,'Pokemon Editor'!$C:$C,""),mtype=XLOOKUP(XLOOKUP($Q330,'Threshold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Chart'!$B$1:$S$1,0)))),base,IF(OR(cat="Status",pow=0),0,FLOOR(FLOOR(FLOOR((2*XLOOKUP($Q330,'Threshold Summary'!$Y:$Y,'Threshold Summary'!$L:$L,"")/5+2)*pow*atk/def)/50)+2)),modifier,stab*eff,FLOOR(base*modifier*0.85)),0)</f>
        <v/>
      </c>
      <c r="K330" s="3">
        <f>IFERROR(LET(mtype,XLOOKUP($D330,'Move Editor'!$B:$B,'Move Editor'!$C:$C,""),cat,XLOOKUP($D330,'Move Editor'!$B:$B,'Move Editor'!$D:$D,""),pow,XLOOKUP($D330,'Move Editor'!$B:$B,'Move Editor'!$E:$E,0),acc,XLOOKUP($D330,'Move Editor'!$B:$B,'Move Editor'!$F:$F,100),atk,IF(cat="Physical",FLOOR((FLOOR(((2*XLOOKUP(XLOOKUP($Q330,'Threshold Summary'!$Y:$Y,'Threshold Summary'!$K:$K,""),'Pokemon Editor'!$A:$A,'Pokemon Editor'!$F:$F,0)+31+FLOOR(XLOOKUP($Q330,'Threshold Summary'!$Y:$Y,'Threshold Summary'!$P:$P,"")/4))*XLOOKUP($Q330,'Threshold Summary'!$Y:$Y,'Threshold Summary'!$L:$L,""))/100)+5)*XLOOKUP(XLOOKUP($Q330,'Threshold Summary'!$Y:$Y,'Threshold Summary'!$M:$M,""),'Nature Editor'!$A:$A,'Nature Editor'!$B:$B,1)),FLOOR((FLOOR(((2*XLOOKUP(XLOOKUP($Q330,'Threshold Summary'!$Y:$Y,'Threshold Summary'!$K:$K,""),'Pokemon Editor'!$A:$A,'Pokemon Editor'!$H:$H,0)+31+FLOOR(XLOOKUP($Q330,'Threshold Summary'!$Y:$Y,'Threshold Summary'!$R:$R,"")/4))*XLOOKUP($Q330,'Threshold Summary'!$Y:$Y,'Threshold Summary'!$L:$L,""))/100)+5)*XLOOKUP(XLOOKUP($Q330,'Threshold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Editor'!$E:$E,1))),stab,IF(OR(mtype=XLOOKUP(XLOOKUP($Q330,'Threshold Summary'!$Y:$Y,'Threshold Summary'!$K:$K,""),'Pokemon Editor'!$A:$A,'Pokemon Editor'!$C:$C,""),mtype=XLOOKUP(XLOOKUP($Q330,'Threshold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Chart'!$B$1:$S$1,0)))),base,IF(OR(cat="Status",pow=0),0,FLOOR(FLOOR(FLOOR((2*XLOOKUP($Q330,'Threshold Summary'!$Y:$Y,'Threshold Summary'!$L:$L,"")/5+2)*pow*atk/def)/50)+2)),modifier,stab*eff,FLOOR(base*modifier)),0)</f>
        <v/>
      </c>
      <c r="L330" s="3">
        <f>IFERROR(LET(mtype,XLOOKUP($D330,'Move Editor'!$B:$B,'Move Editor'!$C:$C,""),cat,XLOOKUP($D330,'Move Editor'!$B:$B,'Move Editor'!$D:$D,""),pow,XLOOKUP($D330,'Move Editor'!$B:$B,'Move Editor'!$E:$E,0),acc,XLOOKUP($D330,'Move Editor'!$B:$B,'Move Editor'!$F:$F,100),atk,IF(cat="Physical",FLOOR((FLOOR(((2*XLOOKUP(XLOOKUP($Q330,'Threshold Summary'!$Y:$Y,'Threshold Summary'!$K:$K,""),'Pokemon Editor'!$A:$A,'Pokemon Editor'!$F:$F,0)+31+FLOOR(XLOOKUP($Q330,'Threshold Summary'!$Y:$Y,'Threshold Summary'!$P:$P,"")/4))*XLOOKUP($Q330,'Threshold Summary'!$Y:$Y,'Threshold Summary'!$L:$L,""))/100)+5)*XLOOKUP(XLOOKUP($Q330,'Threshold Summary'!$Y:$Y,'Threshold Summary'!$M:$M,""),'Nature Editor'!$A:$A,'Nature Editor'!$B:$B,1)),FLOOR((FLOOR(((2*XLOOKUP(XLOOKUP($Q330,'Threshold Summary'!$Y:$Y,'Threshold Summary'!$K:$K,""),'Pokemon Editor'!$A:$A,'Pokemon Editor'!$H:$H,0)+31+FLOOR(XLOOKUP($Q330,'Threshold Summary'!$Y:$Y,'Threshold Summary'!$R:$R,"")/4))*XLOOKUP($Q330,'Threshold Summary'!$Y:$Y,'Threshold Summary'!$L:$L,""))/100)+5)*XLOOKUP(XLOOKUP($Q330,'Threshold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Editor'!$E:$E,1))),stab,IF(OR(mtype=XLOOKUP(XLOOKUP($Q330,'Threshold Summary'!$Y:$Y,'Threshold Summary'!$K:$K,""),'Pokemon Editor'!$A:$A,'Pokemon Editor'!$C:$C,""),mtype=XLOOKUP(XLOOKUP($Q330,'Threshold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Chart'!$B$1:$S$1,0)))),base,IF(OR(cat="Status",pow=0),0,FLOOR(FLOOR(FLOOR((2*XLOOKUP($Q330,'Threshold Summary'!$Y:$Y,'Threshold Summary'!$L:$L,"")/5+2)*pow*atk/def)/50)+2)),modifier,stab*eff,AVERAGE(ARRAYFORMULA(FLOOR(base*modifier*SEQUENCE(16,1,85,1)/100)))),0)</f>
        <v/>
      </c>
      <c r="M330" s="3">
        <f>IFERROR(LET(mtype,XLOOKUP($D330,'Move Editor'!$B:$B,'Move Editor'!$C:$C,""),cat,XLOOKUP($D330,'Move Editor'!$B:$B,'Move Editor'!$D:$D,""),pow,XLOOKUP($D330,'Move Editor'!$B:$B,'Move Editor'!$E:$E,0),acc,XLOOKUP($D330,'Move Editor'!$B:$B,'Move Editor'!$F:$F,100),atk,IF(cat="Physical",FLOOR((FLOOR(((2*XLOOKUP(XLOOKUP($Q330,'Threshold Summary'!$Y:$Y,'Threshold Summary'!$K:$K,""),'Pokemon Editor'!$A:$A,'Pokemon Editor'!$F:$F,0)+31+FLOOR(XLOOKUP($Q330,'Threshold Summary'!$Y:$Y,'Threshold Summary'!$P:$P,"")/4))*XLOOKUP($Q330,'Threshold Summary'!$Y:$Y,'Threshold Summary'!$L:$L,""))/100)+5)*XLOOKUP(XLOOKUP($Q330,'Threshold Summary'!$Y:$Y,'Threshold Summary'!$M:$M,""),'Nature Editor'!$A:$A,'Nature Editor'!$B:$B,1)),FLOOR((FLOOR(((2*XLOOKUP(XLOOKUP($Q330,'Threshold Summary'!$Y:$Y,'Threshold Summary'!$K:$K,""),'Pokemon Editor'!$A:$A,'Pokemon Editor'!$H:$H,0)+31+FLOOR(XLOOKUP($Q330,'Threshold Summary'!$Y:$Y,'Threshold Summary'!$R:$R,"")/4))*XLOOKUP($Q330,'Threshold Summary'!$Y:$Y,'Threshold Summary'!$L:$L,""))/100)+5)*XLOOKUP(XLOOKUP($Q330,'Threshold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Editor'!$E:$E,1))),stab,IF(OR(mtype=XLOOKUP(XLOOKUP($Q330,'Threshold Summary'!$Y:$Y,'Threshold Summary'!$K:$K,""),'Pokemon Editor'!$A:$A,'Pokemon Editor'!$C:$C,""),mtype=XLOOKUP(XLOOKUP($Q330,'Threshold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Chart'!$B$1:$S$1,0)))),base,IF(OR(cat="Status",pow=0),0,FLOOR(FLOOR(FLOOR((2*XLOOKUP($Q330,'Threshold Summary'!$Y:$Y,'Threshold Summary'!$L:$L,"")/5+2)*pow*atk/def)/50)+2)),modifier,stab*eff,AVERAGE(ARRAYFORMULA(FLOOR(base*modifier*SEQUENCE(16,1,85,1)/100)))*MIN(1,acc/100)),0)</f>
        <v/>
      </c>
      <c r="N330" s="4">
        <f>IFERROR(LET(mtype,XLOOKUP($D330,'Move Editor'!$B:$B,'Move Editor'!$C:$C,""),cat,XLOOKUP($D330,'Move Editor'!$B:$B,'Move Editor'!$D:$D,""),pow,XLOOKUP($D330,'Move Editor'!$B:$B,'Move Editor'!$E:$E,0),acc,XLOOKUP($D330,'Move Editor'!$B:$B,'Move Editor'!$F:$F,100),atk,IF(cat="Physical",FLOOR((FLOOR(((2*XLOOKUP(XLOOKUP($Q330,'Threshold Summary'!$Y:$Y,'Threshold Summary'!$K:$K,""),'Pokemon Editor'!$A:$A,'Pokemon Editor'!$F:$F,0)+31+FLOOR(XLOOKUP($Q330,'Threshold Summary'!$Y:$Y,'Threshold Summary'!$P:$P,"")/4))*XLOOKUP($Q330,'Threshold Summary'!$Y:$Y,'Threshold Summary'!$L:$L,""))/100)+5)*XLOOKUP(XLOOKUP($Q330,'Threshold Summary'!$Y:$Y,'Threshold Summary'!$M:$M,""),'Nature Editor'!$A:$A,'Nature Editor'!$B:$B,1)),FLOOR((FLOOR(((2*XLOOKUP(XLOOKUP($Q330,'Threshold Summary'!$Y:$Y,'Threshold Summary'!$K:$K,""),'Pokemon Editor'!$A:$A,'Pokemon Editor'!$H:$H,0)+31+FLOOR(XLOOKUP($Q330,'Threshold Summary'!$Y:$Y,'Threshold Summary'!$R:$R,"")/4))*XLOOKUP($Q330,'Threshold Summary'!$Y:$Y,'Threshold Summary'!$L:$L,""))/100)+5)*XLOOKUP(XLOOKUP($Q330,'Threshold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Editor'!$E:$E,1))),stab,IF(OR(mtype=XLOOKUP(XLOOKUP($Q330,'Threshold Summary'!$Y:$Y,'Threshold Summary'!$K:$K,""),'Pokemon Editor'!$A:$A,'Pokemon Editor'!$C:$C,""),mtype=XLOOKUP(XLOOKUP($Q330,'Threshold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Chart'!$B$1:$S$1,0)))),base,IF(OR(cat="Status",pow=0),0,FLOOR(FLOOR(FLOOR((2*XLOOKUP($Q330,'Threshold Summary'!$Y:$Y,'Threshold Summary'!$L:$L,"")/5+2)*pow*atk/def)/50)+2)),modifier,stab*eff,AVERAGE(ARRAYFORMULA(FLOOR(base*modifier*SEQUENCE(16,1,85,1)/100)))/(FLOOR(((2*XLOOKUP('Boss Editor'!$C$4,'Pokemon Editor'!$A:$A,'Pokemon Editor'!$E:$E,0)+31+FLOOR('Boss Editor'!$G$4/4))*'Boss Editor'!$D$4)/100)+'Boss Editor'!$D$4+10)),0)</f>
        <v/>
      </c>
      <c r="O330" s="3">
        <f>IF(N330&gt;=1,"OHKO",IF(N330&gt;=0.5,"2HKO",IF(N330&gt;=0.333,"3HKO",IF(N330&gt;=0.25,"4HKO","5HKO+"))))</f>
        <v/>
      </c>
      <c r="P330" s="3" t="inlineStr">
        <is>
          <t>Live from editable databases</t>
        </is>
      </c>
      <c r="Q330" s="3" t="inlineStr">
        <is>
          <t>SPECIES_SHINX</t>
        </is>
      </c>
      <c r="R330" s="3" t="n">
        <v>9</v>
      </c>
    </row>
    <row r="331">
      <c r="A331" s="3">
        <f>XLOOKUP($Q331,'Threshold Summary'!$Y:$Y,'Threshold Summary'!$A:$A,"")</f>
        <v/>
      </c>
      <c r="B331" s="3">
        <f>XLOOKUP($Q331,'Threshold Summary'!$Y:$Y,'Threshold Summary'!$M:$M,"")</f>
        <v/>
      </c>
      <c r="C331" s="3">
        <f>XLOOKUP($Q331,'Threshold Summary'!$Y:$Y,'Threshold Summary'!$N:$N,"")</f>
        <v/>
      </c>
      <c r="D331" s="3">
        <f>IFERROR(INDEX(FILTER('Learnset Editor'!$D$2:$D,'Learnset Editor'!$A$2:$A=XLOOKUP($Q331,'Threshold Summary'!$Y:$Y,'Threshold Summary'!$K:$K,""),'Learnset Editor'!$C$2:$C&lt;=XLOOKUP($Q331,'Threshold Summary'!$Y:$Y,'Threshold Summary'!$L:$L,"")),$R331),"")</f>
        <v/>
      </c>
      <c r="E331" s="3">
        <f>XLOOKUP(D331,'Move Editor'!$B:$B,'Move Editor'!$C:$C,"")</f>
        <v/>
      </c>
      <c r="F331" s="3">
        <f>XLOOKUP(D331,'Move Editor'!$B:$B,'Move Editor'!$D:$D,"")</f>
        <v/>
      </c>
      <c r="G331" s="3">
        <f>XLOOKUP(D331,'Move Editor'!$B:$B,'Move Editor'!$E:$E,0)</f>
        <v/>
      </c>
      <c r="H331" s="3">
        <f>XLOOKUP(D331,'Move Editor'!$B:$B,'Move Editor'!$F:$F,0)</f>
        <v/>
      </c>
      <c r="I331" s="3">
        <f>(INDEX('Type Chart'!$B:$S,MATCH(E331,'Type Chart'!$A:$A,0),MATCH(XLOOKUP('Boss Editor'!$C$4,'Pokemon Editor'!$A:$A,'Pokemon Editor'!$C:$C,""),'Type Chart'!$B$1:$S$1,0))*IF(XLOOKUP('Boss Editor'!$C$4,'Pokemon Editor'!$A:$A,'Pokemon Editor'!$D:$D,"")="",1,INDEX('Type Chart'!$B:$S,MATCH(E331,'Type Chart'!$A:$A,0),MATCH(XLOOKUP('Boss Editor'!$C$4,'Pokemon Editor'!$A:$A,'Pokemon Editor'!$D:$D,""),'Type Chart'!$B$1:$S$1,0))))</f>
        <v/>
      </c>
      <c r="J331" s="3">
        <f>IFERROR(LET(mtype,XLOOKUP($D331,'Move Editor'!$B:$B,'Move Editor'!$C:$C,""),cat,XLOOKUP($D331,'Move Editor'!$B:$B,'Move Editor'!$D:$D,""),pow,XLOOKUP($D331,'Move Editor'!$B:$B,'Move Editor'!$E:$E,0),acc,XLOOKUP($D331,'Move Editor'!$B:$B,'Move Editor'!$F:$F,100),atk,IF(cat="Physical",FLOOR((FLOOR(((2*XLOOKUP(XLOOKUP($Q331,'Threshold Summary'!$Y:$Y,'Threshold Summary'!$K:$K,""),'Pokemon Editor'!$A:$A,'Pokemon Editor'!$F:$F,0)+31+FLOOR(XLOOKUP($Q331,'Threshold Summary'!$Y:$Y,'Threshold Summary'!$P:$P,"")/4))*XLOOKUP($Q331,'Threshold Summary'!$Y:$Y,'Threshold Summary'!$L:$L,""))/100)+5)*XLOOKUP(XLOOKUP($Q331,'Threshold Summary'!$Y:$Y,'Threshold Summary'!$M:$M,""),'Nature Editor'!$A:$A,'Nature Editor'!$B:$B,1)),FLOOR((FLOOR(((2*XLOOKUP(XLOOKUP($Q331,'Threshold Summary'!$Y:$Y,'Threshold Summary'!$K:$K,""),'Pokemon Editor'!$A:$A,'Pokemon Editor'!$H:$H,0)+31+FLOOR(XLOOKUP($Q331,'Threshold Summary'!$Y:$Y,'Threshold Summary'!$R:$R,"")/4))*XLOOKUP($Q331,'Threshold Summary'!$Y:$Y,'Threshold Summary'!$L:$L,""))/100)+5)*XLOOKUP(XLOOKUP($Q331,'Threshold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Editor'!$E:$E,1))),stab,IF(OR(mtype=XLOOKUP(XLOOKUP($Q331,'Threshold Summary'!$Y:$Y,'Threshold Summary'!$K:$K,""),'Pokemon Editor'!$A:$A,'Pokemon Editor'!$C:$C,""),mtype=XLOOKUP(XLOOKUP($Q331,'Threshold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Chart'!$B$1:$S$1,0)))),base,IF(OR(cat="Status",pow=0),0,FLOOR(FLOOR(FLOOR((2*XLOOKUP($Q331,'Threshold Summary'!$Y:$Y,'Threshold Summary'!$L:$L,"")/5+2)*pow*atk/def)/50)+2)),modifier,stab*eff,FLOOR(base*modifier*0.85)),0)</f>
        <v/>
      </c>
      <c r="K331" s="3">
        <f>IFERROR(LET(mtype,XLOOKUP($D331,'Move Editor'!$B:$B,'Move Editor'!$C:$C,""),cat,XLOOKUP($D331,'Move Editor'!$B:$B,'Move Editor'!$D:$D,""),pow,XLOOKUP($D331,'Move Editor'!$B:$B,'Move Editor'!$E:$E,0),acc,XLOOKUP($D331,'Move Editor'!$B:$B,'Move Editor'!$F:$F,100),atk,IF(cat="Physical",FLOOR((FLOOR(((2*XLOOKUP(XLOOKUP($Q331,'Threshold Summary'!$Y:$Y,'Threshold Summary'!$K:$K,""),'Pokemon Editor'!$A:$A,'Pokemon Editor'!$F:$F,0)+31+FLOOR(XLOOKUP($Q331,'Threshold Summary'!$Y:$Y,'Threshold Summary'!$P:$P,"")/4))*XLOOKUP($Q331,'Threshold Summary'!$Y:$Y,'Threshold Summary'!$L:$L,""))/100)+5)*XLOOKUP(XLOOKUP($Q331,'Threshold Summary'!$Y:$Y,'Threshold Summary'!$M:$M,""),'Nature Editor'!$A:$A,'Nature Editor'!$B:$B,1)),FLOOR((FLOOR(((2*XLOOKUP(XLOOKUP($Q331,'Threshold Summary'!$Y:$Y,'Threshold Summary'!$K:$K,""),'Pokemon Editor'!$A:$A,'Pokemon Editor'!$H:$H,0)+31+FLOOR(XLOOKUP($Q331,'Threshold Summary'!$Y:$Y,'Threshold Summary'!$R:$R,"")/4))*XLOOKUP($Q331,'Threshold Summary'!$Y:$Y,'Threshold Summary'!$L:$L,""))/100)+5)*XLOOKUP(XLOOKUP($Q331,'Threshold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Editor'!$E:$E,1))),stab,IF(OR(mtype=XLOOKUP(XLOOKUP($Q331,'Threshold Summary'!$Y:$Y,'Threshold Summary'!$K:$K,""),'Pokemon Editor'!$A:$A,'Pokemon Editor'!$C:$C,""),mtype=XLOOKUP(XLOOKUP($Q331,'Threshold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Chart'!$B$1:$S$1,0)))),base,IF(OR(cat="Status",pow=0),0,FLOOR(FLOOR(FLOOR((2*XLOOKUP($Q331,'Threshold Summary'!$Y:$Y,'Threshold Summary'!$L:$L,"")/5+2)*pow*atk/def)/50)+2)),modifier,stab*eff,FLOOR(base*modifier)),0)</f>
        <v/>
      </c>
      <c r="L331" s="3">
        <f>IFERROR(LET(mtype,XLOOKUP($D331,'Move Editor'!$B:$B,'Move Editor'!$C:$C,""),cat,XLOOKUP($D331,'Move Editor'!$B:$B,'Move Editor'!$D:$D,""),pow,XLOOKUP($D331,'Move Editor'!$B:$B,'Move Editor'!$E:$E,0),acc,XLOOKUP($D331,'Move Editor'!$B:$B,'Move Editor'!$F:$F,100),atk,IF(cat="Physical",FLOOR((FLOOR(((2*XLOOKUP(XLOOKUP($Q331,'Threshold Summary'!$Y:$Y,'Threshold Summary'!$K:$K,""),'Pokemon Editor'!$A:$A,'Pokemon Editor'!$F:$F,0)+31+FLOOR(XLOOKUP($Q331,'Threshold Summary'!$Y:$Y,'Threshold Summary'!$P:$P,"")/4))*XLOOKUP($Q331,'Threshold Summary'!$Y:$Y,'Threshold Summary'!$L:$L,""))/100)+5)*XLOOKUP(XLOOKUP($Q331,'Threshold Summary'!$Y:$Y,'Threshold Summary'!$M:$M,""),'Nature Editor'!$A:$A,'Nature Editor'!$B:$B,1)),FLOOR((FLOOR(((2*XLOOKUP(XLOOKUP($Q331,'Threshold Summary'!$Y:$Y,'Threshold Summary'!$K:$K,""),'Pokemon Editor'!$A:$A,'Pokemon Editor'!$H:$H,0)+31+FLOOR(XLOOKUP($Q331,'Threshold Summary'!$Y:$Y,'Threshold Summary'!$R:$R,"")/4))*XLOOKUP($Q331,'Threshold Summary'!$Y:$Y,'Threshold Summary'!$L:$L,""))/100)+5)*XLOOKUP(XLOOKUP($Q331,'Threshold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Editor'!$E:$E,1))),stab,IF(OR(mtype=XLOOKUP(XLOOKUP($Q331,'Threshold Summary'!$Y:$Y,'Threshold Summary'!$K:$K,""),'Pokemon Editor'!$A:$A,'Pokemon Editor'!$C:$C,""),mtype=XLOOKUP(XLOOKUP($Q331,'Threshold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Chart'!$B$1:$S$1,0)))),base,IF(OR(cat="Status",pow=0),0,FLOOR(FLOOR(FLOOR((2*XLOOKUP($Q331,'Threshold Summary'!$Y:$Y,'Threshold Summary'!$L:$L,"")/5+2)*pow*atk/def)/50)+2)),modifier,stab*eff,AVERAGE(ARRAYFORMULA(FLOOR(base*modifier*SEQUENCE(16,1,85,1)/100)))),0)</f>
        <v/>
      </c>
      <c r="M331" s="3">
        <f>IFERROR(LET(mtype,XLOOKUP($D331,'Move Editor'!$B:$B,'Move Editor'!$C:$C,""),cat,XLOOKUP($D331,'Move Editor'!$B:$B,'Move Editor'!$D:$D,""),pow,XLOOKUP($D331,'Move Editor'!$B:$B,'Move Editor'!$E:$E,0),acc,XLOOKUP($D331,'Move Editor'!$B:$B,'Move Editor'!$F:$F,100),atk,IF(cat="Physical",FLOOR((FLOOR(((2*XLOOKUP(XLOOKUP($Q331,'Threshold Summary'!$Y:$Y,'Threshold Summary'!$K:$K,""),'Pokemon Editor'!$A:$A,'Pokemon Editor'!$F:$F,0)+31+FLOOR(XLOOKUP($Q331,'Threshold Summary'!$Y:$Y,'Threshold Summary'!$P:$P,"")/4))*XLOOKUP($Q331,'Threshold Summary'!$Y:$Y,'Threshold Summary'!$L:$L,""))/100)+5)*XLOOKUP(XLOOKUP($Q331,'Threshold Summary'!$Y:$Y,'Threshold Summary'!$M:$M,""),'Nature Editor'!$A:$A,'Nature Editor'!$B:$B,1)),FLOOR((FLOOR(((2*XLOOKUP(XLOOKUP($Q331,'Threshold Summary'!$Y:$Y,'Threshold Summary'!$K:$K,""),'Pokemon Editor'!$A:$A,'Pokemon Editor'!$H:$H,0)+31+FLOOR(XLOOKUP($Q331,'Threshold Summary'!$Y:$Y,'Threshold Summary'!$R:$R,"")/4))*XLOOKUP($Q331,'Threshold Summary'!$Y:$Y,'Threshold Summary'!$L:$L,""))/100)+5)*XLOOKUP(XLOOKUP($Q331,'Threshold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Editor'!$E:$E,1))),stab,IF(OR(mtype=XLOOKUP(XLOOKUP($Q331,'Threshold Summary'!$Y:$Y,'Threshold Summary'!$K:$K,""),'Pokemon Editor'!$A:$A,'Pokemon Editor'!$C:$C,""),mtype=XLOOKUP(XLOOKUP($Q331,'Threshold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Chart'!$B$1:$S$1,0)))),base,IF(OR(cat="Status",pow=0),0,FLOOR(FLOOR(FLOOR((2*XLOOKUP($Q331,'Threshold Summary'!$Y:$Y,'Threshold Summary'!$L:$L,"")/5+2)*pow*atk/def)/50)+2)),modifier,stab*eff,AVERAGE(ARRAYFORMULA(FLOOR(base*modifier*SEQUENCE(16,1,85,1)/100)))*MIN(1,acc/100)),0)</f>
        <v/>
      </c>
      <c r="N331" s="4">
        <f>IFERROR(LET(mtype,XLOOKUP($D331,'Move Editor'!$B:$B,'Move Editor'!$C:$C,""),cat,XLOOKUP($D331,'Move Editor'!$B:$B,'Move Editor'!$D:$D,""),pow,XLOOKUP($D331,'Move Editor'!$B:$B,'Move Editor'!$E:$E,0),acc,XLOOKUP($D331,'Move Editor'!$B:$B,'Move Editor'!$F:$F,100),atk,IF(cat="Physical",FLOOR((FLOOR(((2*XLOOKUP(XLOOKUP($Q331,'Threshold Summary'!$Y:$Y,'Threshold Summary'!$K:$K,""),'Pokemon Editor'!$A:$A,'Pokemon Editor'!$F:$F,0)+31+FLOOR(XLOOKUP($Q331,'Threshold Summary'!$Y:$Y,'Threshold Summary'!$P:$P,"")/4))*XLOOKUP($Q331,'Threshold Summary'!$Y:$Y,'Threshold Summary'!$L:$L,""))/100)+5)*XLOOKUP(XLOOKUP($Q331,'Threshold Summary'!$Y:$Y,'Threshold Summary'!$M:$M,""),'Nature Editor'!$A:$A,'Nature Editor'!$B:$B,1)),FLOOR((FLOOR(((2*XLOOKUP(XLOOKUP($Q331,'Threshold Summary'!$Y:$Y,'Threshold Summary'!$K:$K,""),'Pokemon Editor'!$A:$A,'Pokemon Editor'!$H:$H,0)+31+FLOOR(XLOOKUP($Q331,'Threshold Summary'!$Y:$Y,'Threshold Summary'!$R:$R,"")/4))*XLOOKUP($Q331,'Threshold Summary'!$Y:$Y,'Threshold Summary'!$L:$L,""))/100)+5)*XLOOKUP(XLOOKUP($Q331,'Threshold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Editor'!$E:$E,1))),stab,IF(OR(mtype=XLOOKUP(XLOOKUP($Q331,'Threshold Summary'!$Y:$Y,'Threshold Summary'!$K:$K,""),'Pokemon Editor'!$A:$A,'Pokemon Editor'!$C:$C,""),mtype=XLOOKUP(XLOOKUP($Q331,'Threshold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Chart'!$B$1:$S$1,0)))),base,IF(OR(cat="Status",pow=0),0,FLOOR(FLOOR(FLOOR((2*XLOOKUP($Q331,'Threshold Summary'!$Y:$Y,'Threshold Summary'!$L:$L,"")/5+2)*pow*atk/def)/50)+2)),modifier,stab*eff,AVERAGE(ARRAYFORMULA(FLOOR(base*modifier*SEQUENCE(16,1,85,1)/100)))/(FLOOR(((2*XLOOKUP('Boss Editor'!$C$4,'Pokemon Editor'!$A:$A,'Pokemon Editor'!$E:$E,0)+31+FLOOR('Boss Editor'!$G$4/4))*'Boss Editor'!$D$4)/100)+'Boss Editor'!$D$4+10)),0)</f>
        <v/>
      </c>
      <c r="O331" s="3">
        <f>IF(N331&gt;=1,"OHKO",IF(N331&gt;=0.5,"2HKO",IF(N331&gt;=0.333,"3HKO",IF(N331&gt;=0.25,"4HKO","5HKO+"))))</f>
        <v/>
      </c>
      <c r="P331" s="3" t="inlineStr">
        <is>
          <t>Live from editable databases</t>
        </is>
      </c>
      <c r="Q331" s="3" t="inlineStr">
        <is>
          <t>SPECIES_SHINX</t>
        </is>
      </c>
      <c r="R331" s="3" t="n">
        <v>10</v>
      </c>
    </row>
    <row r="332">
      <c r="A332" s="3">
        <f>XLOOKUP($Q332,'Threshold Summary'!$Y:$Y,'Threshold Summary'!$A:$A,"")</f>
        <v/>
      </c>
      <c r="B332" s="3">
        <f>XLOOKUP($Q332,'Threshold Summary'!$Y:$Y,'Threshold Summary'!$M:$M,"")</f>
        <v/>
      </c>
      <c r="C332" s="3">
        <f>XLOOKUP($Q332,'Threshold Summary'!$Y:$Y,'Threshold Summary'!$N:$N,"")</f>
        <v/>
      </c>
      <c r="D332" s="3">
        <f>IFERROR(INDEX(FILTER('Learnset Editor'!$D$2:$D,'Learnset Editor'!$A$2:$A=XLOOKUP($Q332,'Threshold Summary'!$Y:$Y,'Threshold Summary'!$K:$K,""),'Learnset Editor'!$C$2:$C&lt;=XLOOKUP($Q332,'Threshold Summary'!$Y:$Y,'Threshold Summary'!$L:$L,"")),$R332),"")</f>
        <v/>
      </c>
      <c r="E332" s="3">
        <f>XLOOKUP(D332,'Move Editor'!$B:$B,'Move Editor'!$C:$C,"")</f>
        <v/>
      </c>
      <c r="F332" s="3">
        <f>XLOOKUP(D332,'Move Editor'!$B:$B,'Move Editor'!$D:$D,"")</f>
        <v/>
      </c>
      <c r="G332" s="3">
        <f>XLOOKUP(D332,'Move Editor'!$B:$B,'Move Editor'!$E:$E,0)</f>
        <v/>
      </c>
      <c r="H332" s="3">
        <f>XLOOKUP(D332,'Move Editor'!$B:$B,'Move Editor'!$F:$F,0)</f>
        <v/>
      </c>
      <c r="I332" s="3">
        <f>(INDEX('Type Chart'!$B:$S,MATCH(E332,'Type Chart'!$A:$A,0),MATCH(XLOOKUP('Boss Editor'!$C$4,'Pokemon Editor'!$A:$A,'Pokemon Editor'!$C:$C,""),'Type Chart'!$B$1:$S$1,0))*IF(XLOOKUP('Boss Editor'!$C$4,'Pokemon Editor'!$A:$A,'Pokemon Editor'!$D:$D,"")="",1,INDEX('Type Chart'!$B:$S,MATCH(E332,'Type Chart'!$A:$A,0),MATCH(XLOOKUP('Boss Editor'!$C$4,'Pokemon Editor'!$A:$A,'Pokemon Editor'!$D:$D,""),'Type Chart'!$B$1:$S$1,0))))</f>
        <v/>
      </c>
      <c r="J332" s="3">
        <f>IFERROR(LET(mtype,XLOOKUP($D332,'Move Editor'!$B:$B,'Move Editor'!$C:$C,""),cat,XLOOKUP($D332,'Move Editor'!$B:$B,'Move Editor'!$D:$D,""),pow,XLOOKUP($D332,'Move Editor'!$B:$B,'Move Editor'!$E:$E,0),acc,XLOOKUP($D332,'Move Editor'!$B:$B,'Move Editor'!$F:$F,100),atk,IF(cat="Physical",FLOOR((FLOOR(((2*XLOOKUP(XLOOKUP($Q332,'Threshold Summary'!$Y:$Y,'Threshold Summary'!$K:$K,""),'Pokemon Editor'!$A:$A,'Pokemon Editor'!$F:$F,0)+31+FLOOR(XLOOKUP($Q332,'Threshold Summary'!$Y:$Y,'Threshold Summary'!$P:$P,"")/4))*XLOOKUP($Q332,'Threshold Summary'!$Y:$Y,'Threshold Summary'!$L:$L,""))/100)+5)*XLOOKUP(XLOOKUP($Q332,'Threshold Summary'!$Y:$Y,'Threshold Summary'!$M:$M,""),'Nature Editor'!$A:$A,'Nature Editor'!$B:$B,1)),FLOOR((FLOOR(((2*XLOOKUP(XLOOKUP($Q332,'Threshold Summary'!$Y:$Y,'Threshold Summary'!$K:$K,""),'Pokemon Editor'!$A:$A,'Pokemon Editor'!$H:$H,0)+31+FLOOR(XLOOKUP($Q332,'Threshold Summary'!$Y:$Y,'Threshold Summary'!$R:$R,"")/4))*XLOOKUP($Q332,'Threshold Summary'!$Y:$Y,'Threshold Summary'!$L:$L,""))/100)+5)*XLOOKUP(XLOOKUP($Q332,'Threshold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Editor'!$E:$E,1))),stab,IF(OR(mtype=XLOOKUP(XLOOKUP($Q332,'Threshold Summary'!$Y:$Y,'Threshold Summary'!$K:$K,""),'Pokemon Editor'!$A:$A,'Pokemon Editor'!$C:$C,""),mtype=XLOOKUP(XLOOKUP($Q332,'Threshold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Chart'!$B$1:$S$1,0)))),base,IF(OR(cat="Status",pow=0),0,FLOOR(FLOOR(FLOOR((2*XLOOKUP($Q332,'Threshold Summary'!$Y:$Y,'Threshold Summary'!$L:$L,"")/5+2)*pow*atk/def)/50)+2)),modifier,stab*eff,FLOOR(base*modifier*0.85)),0)</f>
        <v/>
      </c>
      <c r="K332" s="3">
        <f>IFERROR(LET(mtype,XLOOKUP($D332,'Move Editor'!$B:$B,'Move Editor'!$C:$C,""),cat,XLOOKUP($D332,'Move Editor'!$B:$B,'Move Editor'!$D:$D,""),pow,XLOOKUP($D332,'Move Editor'!$B:$B,'Move Editor'!$E:$E,0),acc,XLOOKUP($D332,'Move Editor'!$B:$B,'Move Editor'!$F:$F,100),atk,IF(cat="Physical",FLOOR((FLOOR(((2*XLOOKUP(XLOOKUP($Q332,'Threshold Summary'!$Y:$Y,'Threshold Summary'!$K:$K,""),'Pokemon Editor'!$A:$A,'Pokemon Editor'!$F:$F,0)+31+FLOOR(XLOOKUP($Q332,'Threshold Summary'!$Y:$Y,'Threshold Summary'!$P:$P,"")/4))*XLOOKUP($Q332,'Threshold Summary'!$Y:$Y,'Threshold Summary'!$L:$L,""))/100)+5)*XLOOKUP(XLOOKUP($Q332,'Threshold Summary'!$Y:$Y,'Threshold Summary'!$M:$M,""),'Nature Editor'!$A:$A,'Nature Editor'!$B:$B,1)),FLOOR((FLOOR(((2*XLOOKUP(XLOOKUP($Q332,'Threshold Summary'!$Y:$Y,'Threshold Summary'!$K:$K,""),'Pokemon Editor'!$A:$A,'Pokemon Editor'!$H:$H,0)+31+FLOOR(XLOOKUP($Q332,'Threshold Summary'!$Y:$Y,'Threshold Summary'!$R:$R,"")/4))*XLOOKUP($Q332,'Threshold Summary'!$Y:$Y,'Threshold Summary'!$L:$L,""))/100)+5)*XLOOKUP(XLOOKUP($Q332,'Threshold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Editor'!$E:$E,1))),stab,IF(OR(mtype=XLOOKUP(XLOOKUP($Q332,'Threshold Summary'!$Y:$Y,'Threshold Summary'!$K:$K,""),'Pokemon Editor'!$A:$A,'Pokemon Editor'!$C:$C,""),mtype=XLOOKUP(XLOOKUP($Q332,'Threshold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Chart'!$B$1:$S$1,0)))),base,IF(OR(cat="Status",pow=0),0,FLOOR(FLOOR(FLOOR((2*XLOOKUP($Q332,'Threshold Summary'!$Y:$Y,'Threshold Summary'!$L:$L,"")/5+2)*pow*atk/def)/50)+2)),modifier,stab*eff,FLOOR(base*modifier)),0)</f>
        <v/>
      </c>
      <c r="L332" s="3">
        <f>IFERROR(LET(mtype,XLOOKUP($D332,'Move Editor'!$B:$B,'Move Editor'!$C:$C,""),cat,XLOOKUP($D332,'Move Editor'!$B:$B,'Move Editor'!$D:$D,""),pow,XLOOKUP($D332,'Move Editor'!$B:$B,'Move Editor'!$E:$E,0),acc,XLOOKUP($D332,'Move Editor'!$B:$B,'Move Editor'!$F:$F,100),atk,IF(cat="Physical",FLOOR((FLOOR(((2*XLOOKUP(XLOOKUP($Q332,'Threshold Summary'!$Y:$Y,'Threshold Summary'!$K:$K,""),'Pokemon Editor'!$A:$A,'Pokemon Editor'!$F:$F,0)+31+FLOOR(XLOOKUP($Q332,'Threshold Summary'!$Y:$Y,'Threshold Summary'!$P:$P,"")/4))*XLOOKUP($Q332,'Threshold Summary'!$Y:$Y,'Threshold Summary'!$L:$L,""))/100)+5)*XLOOKUP(XLOOKUP($Q332,'Threshold Summary'!$Y:$Y,'Threshold Summary'!$M:$M,""),'Nature Editor'!$A:$A,'Nature Editor'!$B:$B,1)),FLOOR((FLOOR(((2*XLOOKUP(XLOOKUP($Q332,'Threshold Summary'!$Y:$Y,'Threshold Summary'!$K:$K,""),'Pokemon Editor'!$A:$A,'Pokemon Editor'!$H:$H,0)+31+FLOOR(XLOOKUP($Q332,'Threshold Summary'!$Y:$Y,'Threshold Summary'!$R:$R,"")/4))*XLOOKUP($Q332,'Threshold Summary'!$Y:$Y,'Threshold Summary'!$L:$L,""))/100)+5)*XLOOKUP(XLOOKUP($Q332,'Threshold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Editor'!$E:$E,1))),stab,IF(OR(mtype=XLOOKUP(XLOOKUP($Q332,'Threshold Summary'!$Y:$Y,'Threshold Summary'!$K:$K,""),'Pokemon Editor'!$A:$A,'Pokemon Editor'!$C:$C,""),mtype=XLOOKUP(XLOOKUP($Q332,'Threshold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Chart'!$B$1:$S$1,0)))),base,IF(OR(cat="Status",pow=0),0,FLOOR(FLOOR(FLOOR((2*XLOOKUP($Q332,'Threshold Summary'!$Y:$Y,'Threshold Summary'!$L:$L,"")/5+2)*pow*atk/def)/50)+2)),modifier,stab*eff,AVERAGE(ARRAYFORMULA(FLOOR(base*modifier*SEQUENCE(16,1,85,1)/100)))),0)</f>
        <v/>
      </c>
      <c r="M332" s="3">
        <f>IFERROR(LET(mtype,XLOOKUP($D332,'Move Editor'!$B:$B,'Move Editor'!$C:$C,""),cat,XLOOKUP($D332,'Move Editor'!$B:$B,'Move Editor'!$D:$D,""),pow,XLOOKUP($D332,'Move Editor'!$B:$B,'Move Editor'!$E:$E,0),acc,XLOOKUP($D332,'Move Editor'!$B:$B,'Move Editor'!$F:$F,100),atk,IF(cat="Physical",FLOOR((FLOOR(((2*XLOOKUP(XLOOKUP($Q332,'Threshold Summary'!$Y:$Y,'Threshold Summary'!$K:$K,""),'Pokemon Editor'!$A:$A,'Pokemon Editor'!$F:$F,0)+31+FLOOR(XLOOKUP($Q332,'Threshold Summary'!$Y:$Y,'Threshold Summary'!$P:$P,"")/4))*XLOOKUP($Q332,'Threshold Summary'!$Y:$Y,'Threshold Summary'!$L:$L,""))/100)+5)*XLOOKUP(XLOOKUP($Q332,'Threshold Summary'!$Y:$Y,'Threshold Summary'!$M:$M,""),'Nature Editor'!$A:$A,'Nature Editor'!$B:$B,1)),FLOOR((FLOOR(((2*XLOOKUP(XLOOKUP($Q332,'Threshold Summary'!$Y:$Y,'Threshold Summary'!$K:$K,""),'Pokemon Editor'!$A:$A,'Pokemon Editor'!$H:$H,0)+31+FLOOR(XLOOKUP($Q332,'Threshold Summary'!$Y:$Y,'Threshold Summary'!$R:$R,"")/4))*XLOOKUP($Q332,'Threshold Summary'!$Y:$Y,'Threshold Summary'!$L:$L,""))/100)+5)*XLOOKUP(XLOOKUP($Q332,'Threshold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Editor'!$E:$E,1))),stab,IF(OR(mtype=XLOOKUP(XLOOKUP($Q332,'Threshold Summary'!$Y:$Y,'Threshold Summary'!$K:$K,""),'Pokemon Editor'!$A:$A,'Pokemon Editor'!$C:$C,""),mtype=XLOOKUP(XLOOKUP($Q332,'Threshold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Chart'!$B$1:$S$1,0)))),base,IF(OR(cat="Status",pow=0),0,FLOOR(FLOOR(FLOOR((2*XLOOKUP($Q332,'Threshold Summary'!$Y:$Y,'Threshold Summary'!$L:$L,"")/5+2)*pow*atk/def)/50)+2)),modifier,stab*eff,AVERAGE(ARRAYFORMULA(FLOOR(base*modifier*SEQUENCE(16,1,85,1)/100)))*MIN(1,acc/100)),0)</f>
        <v/>
      </c>
      <c r="N332" s="4">
        <f>IFERROR(LET(mtype,XLOOKUP($D332,'Move Editor'!$B:$B,'Move Editor'!$C:$C,""),cat,XLOOKUP($D332,'Move Editor'!$B:$B,'Move Editor'!$D:$D,""),pow,XLOOKUP($D332,'Move Editor'!$B:$B,'Move Editor'!$E:$E,0),acc,XLOOKUP($D332,'Move Editor'!$B:$B,'Move Editor'!$F:$F,100),atk,IF(cat="Physical",FLOOR((FLOOR(((2*XLOOKUP(XLOOKUP($Q332,'Threshold Summary'!$Y:$Y,'Threshold Summary'!$K:$K,""),'Pokemon Editor'!$A:$A,'Pokemon Editor'!$F:$F,0)+31+FLOOR(XLOOKUP($Q332,'Threshold Summary'!$Y:$Y,'Threshold Summary'!$P:$P,"")/4))*XLOOKUP($Q332,'Threshold Summary'!$Y:$Y,'Threshold Summary'!$L:$L,""))/100)+5)*XLOOKUP(XLOOKUP($Q332,'Threshold Summary'!$Y:$Y,'Threshold Summary'!$M:$M,""),'Nature Editor'!$A:$A,'Nature Editor'!$B:$B,1)),FLOOR((FLOOR(((2*XLOOKUP(XLOOKUP($Q332,'Threshold Summary'!$Y:$Y,'Threshold Summary'!$K:$K,""),'Pokemon Editor'!$A:$A,'Pokemon Editor'!$H:$H,0)+31+FLOOR(XLOOKUP($Q332,'Threshold Summary'!$Y:$Y,'Threshold Summary'!$R:$R,"")/4))*XLOOKUP($Q332,'Threshold Summary'!$Y:$Y,'Threshold Summary'!$L:$L,""))/100)+5)*XLOOKUP(XLOOKUP($Q332,'Threshold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Editor'!$E:$E,1))),stab,IF(OR(mtype=XLOOKUP(XLOOKUP($Q332,'Threshold Summary'!$Y:$Y,'Threshold Summary'!$K:$K,""),'Pokemon Editor'!$A:$A,'Pokemon Editor'!$C:$C,""),mtype=XLOOKUP(XLOOKUP($Q332,'Threshold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Chart'!$B$1:$S$1,0)))),base,IF(OR(cat="Status",pow=0),0,FLOOR(FLOOR(FLOOR((2*XLOOKUP($Q332,'Threshold Summary'!$Y:$Y,'Threshold Summary'!$L:$L,"")/5+2)*pow*atk/def)/50)+2)),modifier,stab*eff,AVERAGE(ARRAYFORMULA(FLOOR(base*modifier*SEQUENCE(16,1,85,1)/100)))/(FLOOR(((2*XLOOKUP('Boss Editor'!$C$4,'Pokemon Editor'!$A:$A,'Pokemon Editor'!$E:$E,0)+31+FLOOR('Boss Editor'!$G$4/4))*'Boss Editor'!$D$4)/100)+'Boss Editor'!$D$4+10)),0)</f>
        <v/>
      </c>
      <c r="O332" s="3">
        <f>IF(N332&gt;=1,"OHKO",IF(N332&gt;=0.5,"2HKO",IF(N332&gt;=0.333,"3HKO",IF(N332&gt;=0.25,"4HKO","5HKO+"))))</f>
        <v/>
      </c>
      <c r="P332" s="3" t="inlineStr">
        <is>
          <t>Live from editable databases</t>
        </is>
      </c>
      <c r="Q332" s="3" t="inlineStr">
        <is>
          <t>SPECIES_SHINX</t>
        </is>
      </c>
      <c r="R332" s="3" t="n">
        <v>11</v>
      </c>
    </row>
    <row r="333">
      <c r="A333" s="3">
        <f>XLOOKUP($Q333,'Threshold Summary'!$Y:$Y,'Threshold Summary'!$A:$A,"")</f>
        <v/>
      </c>
      <c r="B333" s="3">
        <f>XLOOKUP($Q333,'Threshold Summary'!$Y:$Y,'Threshold Summary'!$M:$M,"")</f>
        <v/>
      </c>
      <c r="C333" s="3">
        <f>XLOOKUP($Q333,'Threshold Summary'!$Y:$Y,'Threshold Summary'!$N:$N,"")</f>
        <v/>
      </c>
      <c r="D333" s="3">
        <f>IFERROR(INDEX(FILTER('Learnset Editor'!$D$2:$D,'Learnset Editor'!$A$2:$A=XLOOKUP($Q333,'Threshold Summary'!$Y:$Y,'Threshold Summary'!$K:$K,""),'Learnset Editor'!$C$2:$C&lt;=XLOOKUP($Q333,'Threshold Summary'!$Y:$Y,'Threshold Summary'!$L:$L,"")),$R333),"")</f>
        <v/>
      </c>
      <c r="E333" s="3">
        <f>XLOOKUP(D333,'Move Editor'!$B:$B,'Move Editor'!$C:$C,"")</f>
        <v/>
      </c>
      <c r="F333" s="3">
        <f>XLOOKUP(D333,'Move Editor'!$B:$B,'Move Editor'!$D:$D,"")</f>
        <v/>
      </c>
      <c r="G333" s="3">
        <f>XLOOKUP(D333,'Move Editor'!$B:$B,'Move Editor'!$E:$E,0)</f>
        <v/>
      </c>
      <c r="H333" s="3">
        <f>XLOOKUP(D333,'Move Editor'!$B:$B,'Move Editor'!$F:$F,0)</f>
        <v/>
      </c>
      <c r="I333" s="3">
        <f>(INDEX('Type Chart'!$B:$S,MATCH(E333,'Type Chart'!$A:$A,0),MATCH(XLOOKUP('Boss Editor'!$C$4,'Pokemon Editor'!$A:$A,'Pokemon Editor'!$C:$C,""),'Type Chart'!$B$1:$S$1,0))*IF(XLOOKUP('Boss Editor'!$C$4,'Pokemon Editor'!$A:$A,'Pokemon Editor'!$D:$D,"")="",1,INDEX('Type Chart'!$B:$S,MATCH(E333,'Type Chart'!$A:$A,0),MATCH(XLOOKUP('Boss Editor'!$C$4,'Pokemon Editor'!$A:$A,'Pokemon Editor'!$D:$D,""),'Type Chart'!$B$1:$S$1,0))))</f>
        <v/>
      </c>
      <c r="J333" s="3">
        <f>IFERROR(LET(mtype,XLOOKUP($D333,'Move Editor'!$B:$B,'Move Editor'!$C:$C,""),cat,XLOOKUP($D333,'Move Editor'!$B:$B,'Move Editor'!$D:$D,""),pow,XLOOKUP($D333,'Move Editor'!$B:$B,'Move Editor'!$E:$E,0),acc,XLOOKUP($D333,'Move Editor'!$B:$B,'Move Editor'!$F:$F,100),atk,IF(cat="Physical",FLOOR((FLOOR(((2*XLOOKUP(XLOOKUP($Q333,'Threshold Summary'!$Y:$Y,'Threshold Summary'!$K:$K,""),'Pokemon Editor'!$A:$A,'Pokemon Editor'!$F:$F,0)+31+FLOOR(XLOOKUP($Q333,'Threshold Summary'!$Y:$Y,'Threshold Summary'!$P:$P,"")/4))*XLOOKUP($Q333,'Threshold Summary'!$Y:$Y,'Threshold Summary'!$L:$L,""))/100)+5)*XLOOKUP(XLOOKUP($Q333,'Threshold Summary'!$Y:$Y,'Threshold Summary'!$M:$M,""),'Nature Editor'!$A:$A,'Nature Editor'!$B:$B,1)),FLOOR((FLOOR(((2*XLOOKUP(XLOOKUP($Q333,'Threshold Summary'!$Y:$Y,'Threshold Summary'!$K:$K,""),'Pokemon Editor'!$A:$A,'Pokemon Editor'!$H:$H,0)+31+FLOOR(XLOOKUP($Q333,'Threshold Summary'!$Y:$Y,'Threshold Summary'!$R:$R,"")/4))*XLOOKUP($Q333,'Threshold Summary'!$Y:$Y,'Threshold Summary'!$L:$L,""))/100)+5)*XLOOKUP(XLOOKUP($Q333,'Threshold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Editor'!$E:$E,1))),stab,IF(OR(mtype=XLOOKUP(XLOOKUP($Q333,'Threshold Summary'!$Y:$Y,'Threshold Summary'!$K:$K,""),'Pokemon Editor'!$A:$A,'Pokemon Editor'!$C:$C,""),mtype=XLOOKUP(XLOOKUP($Q333,'Threshold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Chart'!$B$1:$S$1,0)))),base,IF(OR(cat="Status",pow=0),0,FLOOR(FLOOR(FLOOR((2*XLOOKUP($Q333,'Threshold Summary'!$Y:$Y,'Threshold Summary'!$L:$L,"")/5+2)*pow*atk/def)/50)+2)),modifier,stab*eff,FLOOR(base*modifier*0.85)),0)</f>
        <v/>
      </c>
      <c r="K333" s="3">
        <f>IFERROR(LET(mtype,XLOOKUP($D333,'Move Editor'!$B:$B,'Move Editor'!$C:$C,""),cat,XLOOKUP($D333,'Move Editor'!$B:$B,'Move Editor'!$D:$D,""),pow,XLOOKUP($D333,'Move Editor'!$B:$B,'Move Editor'!$E:$E,0),acc,XLOOKUP($D333,'Move Editor'!$B:$B,'Move Editor'!$F:$F,100),atk,IF(cat="Physical",FLOOR((FLOOR(((2*XLOOKUP(XLOOKUP($Q333,'Threshold Summary'!$Y:$Y,'Threshold Summary'!$K:$K,""),'Pokemon Editor'!$A:$A,'Pokemon Editor'!$F:$F,0)+31+FLOOR(XLOOKUP($Q333,'Threshold Summary'!$Y:$Y,'Threshold Summary'!$P:$P,"")/4))*XLOOKUP($Q333,'Threshold Summary'!$Y:$Y,'Threshold Summary'!$L:$L,""))/100)+5)*XLOOKUP(XLOOKUP($Q333,'Threshold Summary'!$Y:$Y,'Threshold Summary'!$M:$M,""),'Nature Editor'!$A:$A,'Nature Editor'!$B:$B,1)),FLOOR((FLOOR(((2*XLOOKUP(XLOOKUP($Q333,'Threshold Summary'!$Y:$Y,'Threshold Summary'!$K:$K,""),'Pokemon Editor'!$A:$A,'Pokemon Editor'!$H:$H,0)+31+FLOOR(XLOOKUP($Q333,'Threshold Summary'!$Y:$Y,'Threshold Summary'!$R:$R,"")/4))*XLOOKUP($Q333,'Threshold Summary'!$Y:$Y,'Threshold Summary'!$L:$L,""))/100)+5)*XLOOKUP(XLOOKUP($Q333,'Threshold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Editor'!$E:$E,1))),stab,IF(OR(mtype=XLOOKUP(XLOOKUP($Q333,'Threshold Summary'!$Y:$Y,'Threshold Summary'!$K:$K,""),'Pokemon Editor'!$A:$A,'Pokemon Editor'!$C:$C,""),mtype=XLOOKUP(XLOOKUP($Q333,'Threshold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Chart'!$B$1:$S$1,0)))),base,IF(OR(cat="Status",pow=0),0,FLOOR(FLOOR(FLOOR((2*XLOOKUP($Q333,'Threshold Summary'!$Y:$Y,'Threshold Summary'!$L:$L,"")/5+2)*pow*atk/def)/50)+2)),modifier,stab*eff,FLOOR(base*modifier)),0)</f>
        <v/>
      </c>
      <c r="L333" s="3">
        <f>IFERROR(LET(mtype,XLOOKUP($D333,'Move Editor'!$B:$B,'Move Editor'!$C:$C,""),cat,XLOOKUP($D333,'Move Editor'!$B:$B,'Move Editor'!$D:$D,""),pow,XLOOKUP($D333,'Move Editor'!$B:$B,'Move Editor'!$E:$E,0),acc,XLOOKUP($D333,'Move Editor'!$B:$B,'Move Editor'!$F:$F,100),atk,IF(cat="Physical",FLOOR((FLOOR(((2*XLOOKUP(XLOOKUP($Q333,'Threshold Summary'!$Y:$Y,'Threshold Summary'!$K:$K,""),'Pokemon Editor'!$A:$A,'Pokemon Editor'!$F:$F,0)+31+FLOOR(XLOOKUP($Q333,'Threshold Summary'!$Y:$Y,'Threshold Summary'!$P:$P,"")/4))*XLOOKUP($Q333,'Threshold Summary'!$Y:$Y,'Threshold Summary'!$L:$L,""))/100)+5)*XLOOKUP(XLOOKUP($Q333,'Threshold Summary'!$Y:$Y,'Threshold Summary'!$M:$M,""),'Nature Editor'!$A:$A,'Nature Editor'!$B:$B,1)),FLOOR((FLOOR(((2*XLOOKUP(XLOOKUP($Q333,'Threshold Summary'!$Y:$Y,'Threshold Summary'!$K:$K,""),'Pokemon Editor'!$A:$A,'Pokemon Editor'!$H:$H,0)+31+FLOOR(XLOOKUP($Q333,'Threshold Summary'!$Y:$Y,'Threshold Summary'!$R:$R,"")/4))*XLOOKUP($Q333,'Threshold Summary'!$Y:$Y,'Threshold Summary'!$L:$L,""))/100)+5)*XLOOKUP(XLOOKUP($Q333,'Threshold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Editor'!$E:$E,1))),stab,IF(OR(mtype=XLOOKUP(XLOOKUP($Q333,'Threshold Summary'!$Y:$Y,'Threshold Summary'!$K:$K,""),'Pokemon Editor'!$A:$A,'Pokemon Editor'!$C:$C,""),mtype=XLOOKUP(XLOOKUP($Q333,'Threshold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Chart'!$B$1:$S$1,0)))),base,IF(OR(cat="Status",pow=0),0,FLOOR(FLOOR(FLOOR((2*XLOOKUP($Q333,'Threshold Summary'!$Y:$Y,'Threshold Summary'!$L:$L,"")/5+2)*pow*atk/def)/50)+2)),modifier,stab*eff,AVERAGE(ARRAYFORMULA(FLOOR(base*modifier*SEQUENCE(16,1,85,1)/100)))),0)</f>
        <v/>
      </c>
      <c r="M333" s="3">
        <f>IFERROR(LET(mtype,XLOOKUP($D333,'Move Editor'!$B:$B,'Move Editor'!$C:$C,""),cat,XLOOKUP($D333,'Move Editor'!$B:$B,'Move Editor'!$D:$D,""),pow,XLOOKUP($D333,'Move Editor'!$B:$B,'Move Editor'!$E:$E,0),acc,XLOOKUP($D333,'Move Editor'!$B:$B,'Move Editor'!$F:$F,100),atk,IF(cat="Physical",FLOOR((FLOOR(((2*XLOOKUP(XLOOKUP($Q333,'Threshold Summary'!$Y:$Y,'Threshold Summary'!$K:$K,""),'Pokemon Editor'!$A:$A,'Pokemon Editor'!$F:$F,0)+31+FLOOR(XLOOKUP($Q333,'Threshold Summary'!$Y:$Y,'Threshold Summary'!$P:$P,"")/4))*XLOOKUP($Q333,'Threshold Summary'!$Y:$Y,'Threshold Summary'!$L:$L,""))/100)+5)*XLOOKUP(XLOOKUP($Q333,'Threshold Summary'!$Y:$Y,'Threshold Summary'!$M:$M,""),'Nature Editor'!$A:$A,'Nature Editor'!$B:$B,1)),FLOOR((FLOOR(((2*XLOOKUP(XLOOKUP($Q333,'Threshold Summary'!$Y:$Y,'Threshold Summary'!$K:$K,""),'Pokemon Editor'!$A:$A,'Pokemon Editor'!$H:$H,0)+31+FLOOR(XLOOKUP($Q333,'Threshold Summary'!$Y:$Y,'Threshold Summary'!$R:$R,"")/4))*XLOOKUP($Q333,'Threshold Summary'!$Y:$Y,'Threshold Summary'!$L:$L,""))/100)+5)*XLOOKUP(XLOOKUP($Q333,'Threshold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Editor'!$E:$E,1))),stab,IF(OR(mtype=XLOOKUP(XLOOKUP($Q333,'Threshold Summary'!$Y:$Y,'Threshold Summary'!$K:$K,""),'Pokemon Editor'!$A:$A,'Pokemon Editor'!$C:$C,""),mtype=XLOOKUP(XLOOKUP($Q333,'Threshold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Chart'!$B$1:$S$1,0)))),base,IF(OR(cat="Status",pow=0),0,FLOOR(FLOOR(FLOOR((2*XLOOKUP($Q333,'Threshold Summary'!$Y:$Y,'Threshold Summary'!$L:$L,"")/5+2)*pow*atk/def)/50)+2)),modifier,stab*eff,AVERAGE(ARRAYFORMULA(FLOOR(base*modifier*SEQUENCE(16,1,85,1)/100)))*MIN(1,acc/100)),0)</f>
        <v/>
      </c>
      <c r="N333" s="4">
        <f>IFERROR(LET(mtype,XLOOKUP($D333,'Move Editor'!$B:$B,'Move Editor'!$C:$C,""),cat,XLOOKUP($D333,'Move Editor'!$B:$B,'Move Editor'!$D:$D,""),pow,XLOOKUP($D333,'Move Editor'!$B:$B,'Move Editor'!$E:$E,0),acc,XLOOKUP($D333,'Move Editor'!$B:$B,'Move Editor'!$F:$F,100),atk,IF(cat="Physical",FLOOR((FLOOR(((2*XLOOKUP(XLOOKUP($Q333,'Threshold Summary'!$Y:$Y,'Threshold Summary'!$K:$K,""),'Pokemon Editor'!$A:$A,'Pokemon Editor'!$F:$F,0)+31+FLOOR(XLOOKUP($Q333,'Threshold Summary'!$Y:$Y,'Threshold Summary'!$P:$P,"")/4))*XLOOKUP($Q333,'Threshold Summary'!$Y:$Y,'Threshold Summary'!$L:$L,""))/100)+5)*XLOOKUP(XLOOKUP($Q333,'Threshold Summary'!$Y:$Y,'Threshold Summary'!$M:$M,""),'Nature Editor'!$A:$A,'Nature Editor'!$B:$B,1)),FLOOR((FLOOR(((2*XLOOKUP(XLOOKUP($Q333,'Threshold Summary'!$Y:$Y,'Threshold Summary'!$K:$K,""),'Pokemon Editor'!$A:$A,'Pokemon Editor'!$H:$H,0)+31+FLOOR(XLOOKUP($Q333,'Threshold Summary'!$Y:$Y,'Threshold Summary'!$R:$R,"")/4))*XLOOKUP($Q333,'Threshold Summary'!$Y:$Y,'Threshold Summary'!$L:$L,""))/100)+5)*XLOOKUP(XLOOKUP($Q333,'Threshold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Editor'!$E:$E,1))),stab,IF(OR(mtype=XLOOKUP(XLOOKUP($Q333,'Threshold Summary'!$Y:$Y,'Threshold Summary'!$K:$K,""),'Pokemon Editor'!$A:$A,'Pokemon Editor'!$C:$C,""),mtype=XLOOKUP(XLOOKUP($Q333,'Threshold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Chart'!$B$1:$S$1,0)))),base,IF(OR(cat="Status",pow=0),0,FLOOR(FLOOR(FLOOR((2*XLOOKUP($Q333,'Threshold Summary'!$Y:$Y,'Threshold Summary'!$L:$L,"")/5+2)*pow*atk/def)/50)+2)),modifier,stab*eff,AVERAGE(ARRAYFORMULA(FLOOR(base*modifier*SEQUENCE(16,1,85,1)/100)))/(FLOOR(((2*XLOOKUP('Boss Editor'!$C$4,'Pokemon Editor'!$A:$A,'Pokemon Editor'!$E:$E,0)+31+FLOOR('Boss Editor'!$G$4/4))*'Boss Editor'!$D$4)/100)+'Boss Editor'!$D$4+10)),0)</f>
        <v/>
      </c>
      <c r="O333" s="3">
        <f>IF(N333&gt;=1,"OHKO",IF(N333&gt;=0.5,"2HKO",IF(N333&gt;=0.333,"3HKO",IF(N333&gt;=0.25,"4HKO","5HKO+"))))</f>
        <v/>
      </c>
      <c r="P333" s="3" t="inlineStr">
        <is>
          <t>Live from editable databases</t>
        </is>
      </c>
      <c r="Q333" s="3" t="inlineStr">
        <is>
          <t>SPECIES_SHINX</t>
        </is>
      </c>
      <c r="R333" s="3" t="n">
        <v>12</v>
      </c>
    </row>
    <row r="334">
      <c r="A334" s="3">
        <f>XLOOKUP($Q334,'Threshold Summary'!$Y:$Y,'Threshold Summary'!$A:$A,"")</f>
        <v/>
      </c>
      <c r="B334" s="3">
        <f>XLOOKUP($Q334,'Threshold Summary'!$Y:$Y,'Threshold Summary'!$M:$M,"")</f>
        <v/>
      </c>
      <c r="C334" s="3">
        <f>XLOOKUP($Q334,'Threshold Summary'!$Y:$Y,'Threshold Summary'!$N:$N,"")</f>
        <v/>
      </c>
      <c r="D334" s="3">
        <f>IFERROR(INDEX(FILTER('Learnset Editor'!$D$2:$D,'Learnset Editor'!$A$2:$A=XLOOKUP($Q334,'Threshold Summary'!$Y:$Y,'Threshold Summary'!$K:$K,""),'Learnset Editor'!$C$2:$C&lt;=XLOOKUP($Q334,'Threshold Summary'!$Y:$Y,'Threshold Summary'!$L:$L,"")),$R334),"")</f>
        <v/>
      </c>
      <c r="E334" s="3">
        <f>XLOOKUP(D334,'Move Editor'!$B:$B,'Move Editor'!$C:$C,"")</f>
        <v/>
      </c>
      <c r="F334" s="3">
        <f>XLOOKUP(D334,'Move Editor'!$B:$B,'Move Editor'!$D:$D,"")</f>
        <v/>
      </c>
      <c r="G334" s="3">
        <f>XLOOKUP(D334,'Move Editor'!$B:$B,'Move Editor'!$E:$E,0)</f>
        <v/>
      </c>
      <c r="H334" s="3">
        <f>XLOOKUP(D334,'Move Editor'!$B:$B,'Move Editor'!$F:$F,0)</f>
        <v/>
      </c>
      <c r="I334" s="3">
        <f>(INDEX('Type Chart'!$B:$S,MATCH(E334,'Type Chart'!$A:$A,0),MATCH(XLOOKUP('Boss Editor'!$C$4,'Pokemon Editor'!$A:$A,'Pokemon Editor'!$C:$C,""),'Type Chart'!$B$1:$S$1,0))*IF(XLOOKUP('Boss Editor'!$C$4,'Pokemon Editor'!$A:$A,'Pokemon Editor'!$D:$D,"")="",1,INDEX('Type Chart'!$B:$S,MATCH(E334,'Type Chart'!$A:$A,0),MATCH(XLOOKUP('Boss Editor'!$C$4,'Pokemon Editor'!$A:$A,'Pokemon Editor'!$D:$D,""),'Type Chart'!$B$1:$S$1,0))))</f>
        <v/>
      </c>
      <c r="J334" s="3">
        <f>IFERROR(LET(mtype,XLOOKUP($D334,'Move Editor'!$B:$B,'Move Editor'!$C:$C,""),cat,XLOOKUP($D334,'Move Editor'!$B:$B,'Move Editor'!$D:$D,""),pow,XLOOKUP($D334,'Move Editor'!$B:$B,'Move Editor'!$E:$E,0),acc,XLOOKUP($D334,'Move Editor'!$B:$B,'Move Editor'!$F:$F,100),atk,IF(cat="Physical",FLOOR((FLOOR(((2*XLOOKUP(XLOOKUP($Q334,'Threshold Summary'!$Y:$Y,'Threshold Summary'!$K:$K,""),'Pokemon Editor'!$A:$A,'Pokemon Editor'!$F:$F,0)+31+FLOOR(XLOOKUP($Q334,'Threshold Summary'!$Y:$Y,'Threshold Summary'!$P:$P,"")/4))*XLOOKUP($Q334,'Threshold Summary'!$Y:$Y,'Threshold Summary'!$L:$L,""))/100)+5)*XLOOKUP(XLOOKUP($Q334,'Threshold Summary'!$Y:$Y,'Threshold Summary'!$M:$M,""),'Nature Editor'!$A:$A,'Nature Editor'!$B:$B,1)),FLOOR((FLOOR(((2*XLOOKUP(XLOOKUP($Q334,'Threshold Summary'!$Y:$Y,'Threshold Summary'!$K:$K,""),'Pokemon Editor'!$A:$A,'Pokemon Editor'!$H:$H,0)+31+FLOOR(XLOOKUP($Q334,'Threshold Summary'!$Y:$Y,'Threshold Summary'!$R:$R,"")/4))*XLOOKUP($Q334,'Threshold Summary'!$Y:$Y,'Threshold Summary'!$L:$L,""))/100)+5)*XLOOKUP(XLOOKUP($Q334,'Threshold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Editor'!$E:$E,1))),stab,IF(OR(mtype=XLOOKUP(XLOOKUP($Q334,'Threshold Summary'!$Y:$Y,'Threshold Summary'!$K:$K,""),'Pokemon Editor'!$A:$A,'Pokemon Editor'!$C:$C,""),mtype=XLOOKUP(XLOOKUP($Q334,'Threshold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Chart'!$B$1:$S$1,0)))),base,IF(OR(cat="Status",pow=0),0,FLOOR(FLOOR(FLOOR((2*XLOOKUP($Q334,'Threshold Summary'!$Y:$Y,'Threshold Summary'!$L:$L,"")/5+2)*pow*atk/def)/50)+2)),modifier,stab*eff,FLOOR(base*modifier*0.85)),0)</f>
        <v/>
      </c>
      <c r="K334" s="3">
        <f>IFERROR(LET(mtype,XLOOKUP($D334,'Move Editor'!$B:$B,'Move Editor'!$C:$C,""),cat,XLOOKUP($D334,'Move Editor'!$B:$B,'Move Editor'!$D:$D,""),pow,XLOOKUP($D334,'Move Editor'!$B:$B,'Move Editor'!$E:$E,0),acc,XLOOKUP($D334,'Move Editor'!$B:$B,'Move Editor'!$F:$F,100),atk,IF(cat="Physical",FLOOR((FLOOR(((2*XLOOKUP(XLOOKUP($Q334,'Threshold Summary'!$Y:$Y,'Threshold Summary'!$K:$K,""),'Pokemon Editor'!$A:$A,'Pokemon Editor'!$F:$F,0)+31+FLOOR(XLOOKUP($Q334,'Threshold Summary'!$Y:$Y,'Threshold Summary'!$P:$P,"")/4))*XLOOKUP($Q334,'Threshold Summary'!$Y:$Y,'Threshold Summary'!$L:$L,""))/100)+5)*XLOOKUP(XLOOKUP($Q334,'Threshold Summary'!$Y:$Y,'Threshold Summary'!$M:$M,""),'Nature Editor'!$A:$A,'Nature Editor'!$B:$B,1)),FLOOR((FLOOR(((2*XLOOKUP(XLOOKUP($Q334,'Threshold Summary'!$Y:$Y,'Threshold Summary'!$K:$K,""),'Pokemon Editor'!$A:$A,'Pokemon Editor'!$H:$H,0)+31+FLOOR(XLOOKUP($Q334,'Threshold Summary'!$Y:$Y,'Threshold Summary'!$R:$R,"")/4))*XLOOKUP($Q334,'Threshold Summary'!$Y:$Y,'Threshold Summary'!$L:$L,""))/100)+5)*XLOOKUP(XLOOKUP($Q334,'Threshold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Editor'!$E:$E,1))),stab,IF(OR(mtype=XLOOKUP(XLOOKUP($Q334,'Threshold Summary'!$Y:$Y,'Threshold Summary'!$K:$K,""),'Pokemon Editor'!$A:$A,'Pokemon Editor'!$C:$C,""),mtype=XLOOKUP(XLOOKUP($Q334,'Threshold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Chart'!$B$1:$S$1,0)))),base,IF(OR(cat="Status",pow=0),0,FLOOR(FLOOR(FLOOR((2*XLOOKUP($Q334,'Threshold Summary'!$Y:$Y,'Threshold Summary'!$L:$L,"")/5+2)*pow*atk/def)/50)+2)),modifier,stab*eff,FLOOR(base*modifier)),0)</f>
        <v/>
      </c>
      <c r="L334" s="3">
        <f>IFERROR(LET(mtype,XLOOKUP($D334,'Move Editor'!$B:$B,'Move Editor'!$C:$C,""),cat,XLOOKUP($D334,'Move Editor'!$B:$B,'Move Editor'!$D:$D,""),pow,XLOOKUP($D334,'Move Editor'!$B:$B,'Move Editor'!$E:$E,0),acc,XLOOKUP($D334,'Move Editor'!$B:$B,'Move Editor'!$F:$F,100),atk,IF(cat="Physical",FLOOR((FLOOR(((2*XLOOKUP(XLOOKUP($Q334,'Threshold Summary'!$Y:$Y,'Threshold Summary'!$K:$K,""),'Pokemon Editor'!$A:$A,'Pokemon Editor'!$F:$F,0)+31+FLOOR(XLOOKUP($Q334,'Threshold Summary'!$Y:$Y,'Threshold Summary'!$P:$P,"")/4))*XLOOKUP($Q334,'Threshold Summary'!$Y:$Y,'Threshold Summary'!$L:$L,""))/100)+5)*XLOOKUP(XLOOKUP($Q334,'Threshold Summary'!$Y:$Y,'Threshold Summary'!$M:$M,""),'Nature Editor'!$A:$A,'Nature Editor'!$B:$B,1)),FLOOR((FLOOR(((2*XLOOKUP(XLOOKUP($Q334,'Threshold Summary'!$Y:$Y,'Threshold Summary'!$K:$K,""),'Pokemon Editor'!$A:$A,'Pokemon Editor'!$H:$H,0)+31+FLOOR(XLOOKUP($Q334,'Threshold Summary'!$Y:$Y,'Threshold Summary'!$R:$R,"")/4))*XLOOKUP($Q334,'Threshold Summary'!$Y:$Y,'Threshold Summary'!$L:$L,""))/100)+5)*XLOOKUP(XLOOKUP($Q334,'Threshold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Editor'!$E:$E,1))),stab,IF(OR(mtype=XLOOKUP(XLOOKUP($Q334,'Threshold Summary'!$Y:$Y,'Threshold Summary'!$K:$K,""),'Pokemon Editor'!$A:$A,'Pokemon Editor'!$C:$C,""),mtype=XLOOKUP(XLOOKUP($Q334,'Threshold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Chart'!$B$1:$S$1,0)))),base,IF(OR(cat="Status",pow=0),0,FLOOR(FLOOR(FLOOR((2*XLOOKUP($Q334,'Threshold Summary'!$Y:$Y,'Threshold Summary'!$L:$L,"")/5+2)*pow*atk/def)/50)+2)),modifier,stab*eff,AVERAGE(ARRAYFORMULA(FLOOR(base*modifier*SEQUENCE(16,1,85,1)/100)))),0)</f>
        <v/>
      </c>
      <c r="M334" s="3">
        <f>IFERROR(LET(mtype,XLOOKUP($D334,'Move Editor'!$B:$B,'Move Editor'!$C:$C,""),cat,XLOOKUP($D334,'Move Editor'!$B:$B,'Move Editor'!$D:$D,""),pow,XLOOKUP($D334,'Move Editor'!$B:$B,'Move Editor'!$E:$E,0),acc,XLOOKUP($D334,'Move Editor'!$B:$B,'Move Editor'!$F:$F,100),atk,IF(cat="Physical",FLOOR((FLOOR(((2*XLOOKUP(XLOOKUP($Q334,'Threshold Summary'!$Y:$Y,'Threshold Summary'!$K:$K,""),'Pokemon Editor'!$A:$A,'Pokemon Editor'!$F:$F,0)+31+FLOOR(XLOOKUP($Q334,'Threshold Summary'!$Y:$Y,'Threshold Summary'!$P:$P,"")/4))*XLOOKUP($Q334,'Threshold Summary'!$Y:$Y,'Threshold Summary'!$L:$L,""))/100)+5)*XLOOKUP(XLOOKUP($Q334,'Threshold Summary'!$Y:$Y,'Threshold Summary'!$M:$M,""),'Nature Editor'!$A:$A,'Nature Editor'!$B:$B,1)),FLOOR((FLOOR(((2*XLOOKUP(XLOOKUP($Q334,'Threshold Summary'!$Y:$Y,'Threshold Summary'!$K:$K,""),'Pokemon Editor'!$A:$A,'Pokemon Editor'!$H:$H,0)+31+FLOOR(XLOOKUP($Q334,'Threshold Summary'!$Y:$Y,'Threshold Summary'!$R:$R,"")/4))*XLOOKUP($Q334,'Threshold Summary'!$Y:$Y,'Threshold Summary'!$L:$L,""))/100)+5)*XLOOKUP(XLOOKUP($Q334,'Threshold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Editor'!$E:$E,1))),stab,IF(OR(mtype=XLOOKUP(XLOOKUP($Q334,'Threshold Summary'!$Y:$Y,'Threshold Summary'!$K:$K,""),'Pokemon Editor'!$A:$A,'Pokemon Editor'!$C:$C,""),mtype=XLOOKUP(XLOOKUP($Q334,'Threshold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Chart'!$B$1:$S$1,0)))),base,IF(OR(cat="Status",pow=0),0,FLOOR(FLOOR(FLOOR((2*XLOOKUP($Q334,'Threshold Summary'!$Y:$Y,'Threshold Summary'!$L:$L,"")/5+2)*pow*atk/def)/50)+2)),modifier,stab*eff,AVERAGE(ARRAYFORMULA(FLOOR(base*modifier*SEQUENCE(16,1,85,1)/100)))*MIN(1,acc/100)),0)</f>
        <v/>
      </c>
      <c r="N334" s="4">
        <f>IFERROR(LET(mtype,XLOOKUP($D334,'Move Editor'!$B:$B,'Move Editor'!$C:$C,""),cat,XLOOKUP($D334,'Move Editor'!$B:$B,'Move Editor'!$D:$D,""),pow,XLOOKUP($D334,'Move Editor'!$B:$B,'Move Editor'!$E:$E,0),acc,XLOOKUP($D334,'Move Editor'!$B:$B,'Move Editor'!$F:$F,100),atk,IF(cat="Physical",FLOOR((FLOOR(((2*XLOOKUP(XLOOKUP($Q334,'Threshold Summary'!$Y:$Y,'Threshold Summary'!$K:$K,""),'Pokemon Editor'!$A:$A,'Pokemon Editor'!$F:$F,0)+31+FLOOR(XLOOKUP($Q334,'Threshold Summary'!$Y:$Y,'Threshold Summary'!$P:$P,"")/4))*XLOOKUP($Q334,'Threshold Summary'!$Y:$Y,'Threshold Summary'!$L:$L,""))/100)+5)*XLOOKUP(XLOOKUP($Q334,'Threshold Summary'!$Y:$Y,'Threshold Summary'!$M:$M,""),'Nature Editor'!$A:$A,'Nature Editor'!$B:$B,1)),FLOOR((FLOOR(((2*XLOOKUP(XLOOKUP($Q334,'Threshold Summary'!$Y:$Y,'Threshold Summary'!$K:$K,""),'Pokemon Editor'!$A:$A,'Pokemon Editor'!$H:$H,0)+31+FLOOR(XLOOKUP($Q334,'Threshold Summary'!$Y:$Y,'Threshold Summary'!$R:$R,"")/4))*XLOOKUP($Q334,'Threshold Summary'!$Y:$Y,'Threshold Summary'!$L:$L,""))/100)+5)*XLOOKUP(XLOOKUP($Q334,'Threshold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Editor'!$E:$E,1))),stab,IF(OR(mtype=XLOOKUP(XLOOKUP($Q334,'Threshold Summary'!$Y:$Y,'Threshold Summary'!$K:$K,""),'Pokemon Editor'!$A:$A,'Pokemon Editor'!$C:$C,""),mtype=XLOOKUP(XLOOKUP($Q334,'Threshold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Chart'!$B$1:$S$1,0)))),base,IF(OR(cat="Status",pow=0),0,FLOOR(FLOOR(FLOOR((2*XLOOKUP($Q334,'Threshold Summary'!$Y:$Y,'Threshold Summary'!$L:$L,"")/5+2)*pow*atk/def)/50)+2)),modifier,stab*eff,AVERAGE(ARRAYFORMULA(FLOOR(base*modifier*SEQUENCE(16,1,85,1)/100)))/(FLOOR(((2*XLOOKUP('Boss Editor'!$C$4,'Pokemon Editor'!$A:$A,'Pokemon Editor'!$E:$E,0)+31+FLOOR('Boss Editor'!$G$4/4))*'Boss Editor'!$D$4)/100)+'Boss Editor'!$D$4+10)),0)</f>
        <v/>
      </c>
      <c r="O334" s="3">
        <f>IF(N334&gt;=1,"OHKO",IF(N334&gt;=0.5,"2HKO",IF(N334&gt;=0.333,"3HKO",IF(N334&gt;=0.25,"4HKO","5HKO+"))))</f>
        <v/>
      </c>
      <c r="P334" s="3" t="inlineStr">
        <is>
          <t>Live from editable databases</t>
        </is>
      </c>
      <c r="Q334" s="3" t="inlineStr">
        <is>
          <t>SPECIES_SHINX</t>
        </is>
      </c>
      <c r="R334" s="3" t="n">
        <v>13</v>
      </c>
    </row>
    <row r="335">
      <c r="A335" s="3">
        <f>XLOOKUP($Q335,'Threshold Summary'!$Y:$Y,'Threshold Summary'!$A:$A,"")</f>
        <v/>
      </c>
      <c r="B335" s="3">
        <f>XLOOKUP($Q335,'Threshold Summary'!$Y:$Y,'Threshold Summary'!$M:$M,"")</f>
        <v/>
      </c>
      <c r="C335" s="3">
        <f>XLOOKUP($Q335,'Threshold Summary'!$Y:$Y,'Threshold Summary'!$N:$N,"")</f>
        <v/>
      </c>
      <c r="D335" s="3">
        <f>IFERROR(INDEX(FILTER('Learnset Editor'!$D$2:$D,'Learnset Editor'!$A$2:$A=XLOOKUP($Q335,'Threshold Summary'!$Y:$Y,'Threshold Summary'!$K:$K,""),'Learnset Editor'!$C$2:$C&lt;=XLOOKUP($Q335,'Threshold Summary'!$Y:$Y,'Threshold Summary'!$L:$L,"")),$R335),"")</f>
        <v/>
      </c>
      <c r="E335" s="3">
        <f>XLOOKUP(D335,'Move Editor'!$B:$B,'Move Editor'!$C:$C,"")</f>
        <v/>
      </c>
      <c r="F335" s="3">
        <f>XLOOKUP(D335,'Move Editor'!$B:$B,'Move Editor'!$D:$D,"")</f>
        <v/>
      </c>
      <c r="G335" s="3">
        <f>XLOOKUP(D335,'Move Editor'!$B:$B,'Move Editor'!$E:$E,0)</f>
        <v/>
      </c>
      <c r="H335" s="3">
        <f>XLOOKUP(D335,'Move Editor'!$B:$B,'Move Editor'!$F:$F,0)</f>
        <v/>
      </c>
      <c r="I335" s="3">
        <f>(INDEX('Type Chart'!$B:$S,MATCH(E335,'Type Chart'!$A:$A,0),MATCH(XLOOKUP('Boss Editor'!$C$4,'Pokemon Editor'!$A:$A,'Pokemon Editor'!$C:$C,""),'Type Chart'!$B$1:$S$1,0))*IF(XLOOKUP('Boss Editor'!$C$4,'Pokemon Editor'!$A:$A,'Pokemon Editor'!$D:$D,"")="",1,INDEX('Type Chart'!$B:$S,MATCH(E335,'Type Chart'!$A:$A,0),MATCH(XLOOKUP('Boss Editor'!$C$4,'Pokemon Editor'!$A:$A,'Pokemon Editor'!$D:$D,""),'Type Chart'!$B$1:$S$1,0))))</f>
        <v/>
      </c>
      <c r="J335" s="3">
        <f>IFERROR(LET(mtype,XLOOKUP($D335,'Move Editor'!$B:$B,'Move Editor'!$C:$C,""),cat,XLOOKUP($D335,'Move Editor'!$B:$B,'Move Editor'!$D:$D,""),pow,XLOOKUP($D335,'Move Editor'!$B:$B,'Move Editor'!$E:$E,0),acc,XLOOKUP($D335,'Move Editor'!$B:$B,'Move Editor'!$F:$F,100),atk,IF(cat="Physical",FLOOR((FLOOR(((2*XLOOKUP(XLOOKUP($Q335,'Threshold Summary'!$Y:$Y,'Threshold Summary'!$K:$K,""),'Pokemon Editor'!$A:$A,'Pokemon Editor'!$F:$F,0)+31+FLOOR(XLOOKUP($Q335,'Threshold Summary'!$Y:$Y,'Threshold Summary'!$P:$P,"")/4))*XLOOKUP($Q335,'Threshold Summary'!$Y:$Y,'Threshold Summary'!$L:$L,""))/100)+5)*XLOOKUP(XLOOKUP($Q335,'Threshold Summary'!$Y:$Y,'Threshold Summary'!$M:$M,""),'Nature Editor'!$A:$A,'Nature Editor'!$B:$B,1)),FLOOR((FLOOR(((2*XLOOKUP(XLOOKUP($Q335,'Threshold Summary'!$Y:$Y,'Threshold Summary'!$K:$K,""),'Pokemon Editor'!$A:$A,'Pokemon Editor'!$H:$H,0)+31+FLOOR(XLOOKUP($Q335,'Threshold Summary'!$Y:$Y,'Threshold Summary'!$R:$R,"")/4))*XLOOKUP($Q335,'Threshold Summary'!$Y:$Y,'Threshold Summary'!$L:$L,""))/100)+5)*XLOOKUP(XLOOKUP($Q335,'Threshold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Editor'!$E:$E,1))),stab,IF(OR(mtype=XLOOKUP(XLOOKUP($Q335,'Threshold Summary'!$Y:$Y,'Threshold Summary'!$K:$K,""),'Pokemon Editor'!$A:$A,'Pokemon Editor'!$C:$C,""),mtype=XLOOKUP(XLOOKUP($Q335,'Threshold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Chart'!$B$1:$S$1,0)))),base,IF(OR(cat="Status",pow=0),0,FLOOR(FLOOR(FLOOR((2*XLOOKUP($Q335,'Threshold Summary'!$Y:$Y,'Threshold Summary'!$L:$L,"")/5+2)*pow*atk/def)/50)+2)),modifier,stab*eff,FLOOR(base*modifier*0.85)),0)</f>
        <v/>
      </c>
      <c r="K335" s="3">
        <f>IFERROR(LET(mtype,XLOOKUP($D335,'Move Editor'!$B:$B,'Move Editor'!$C:$C,""),cat,XLOOKUP($D335,'Move Editor'!$B:$B,'Move Editor'!$D:$D,""),pow,XLOOKUP($D335,'Move Editor'!$B:$B,'Move Editor'!$E:$E,0),acc,XLOOKUP($D335,'Move Editor'!$B:$B,'Move Editor'!$F:$F,100),atk,IF(cat="Physical",FLOOR((FLOOR(((2*XLOOKUP(XLOOKUP($Q335,'Threshold Summary'!$Y:$Y,'Threshold Summary'!$K:$K,""),'Pokemon Editor'!$A:$A,'Pokemon Editor'!$F:$F,0)+31+FLOOR(XLOOKUP($Q335,'Threshold Summary'!$Y:$Y,'Threshold Summary'!$P:$P,"")/4))*XLOOKUP($Q335,'Threshold Summary'!$Y:$Y,'Threshold Summary'!$L:$L,""))/100)+5)*XLOOKUP(XLOOKUP($Q335,'Threshold Summary'!$Y:$Y,'Threshold Summary'!$M:$M,""),'Nature Editor'!$A:$A,'Nature Editor'!$B:$B,1)),FLOOR((FLOOR(((2*XLOOKUP(XLOOKUP($Q335,'Threshold Summary'!$Y:$Y,'Threshold Summary'!$K:$K,""),'Pokemon Editor'!$A:$A,'Pokemon Editor'!$H:$H,0)+31+FLOOR(XLOOKUP($Q335,'Threshold Summary'!$Y:$Y,'Threshold Summary'!$R:$R,"")/4))*XLOOKUP($Q335,'Threshold Summary'!$Y:$Y,'Threshold Summary'!$L:$L,""))/100)+5)*XLOOKUP(XLOOKUP($Q335,'Threshold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Editor'!$E:$E,1))),stab,IF(OR(mtype=XLOOKUP(XLOOKUP($Q335,'Threshold Summary'!$Y:$Y,'Threshold Summary'!$K:$K,""),'Pokemon Editor'!$A:$A,'Pokemon Editor'!$C:$C,""),mtype=XLOOKUP(XLOOKUP($Q335,'Threshold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Chart'!$B$1:$S$1,0)))),base,IF(OR(cat="Status",pow=0),0,FLOOR(FLOOR(FLOOR((2*XLOOKUP($Q335,'Threshold Summary'!$Y:$Y,'Threshold Summary'!$L:$L,"")/5+2)*pow*atk/def)/50)+2)),modifier,stab*eff,FLOOR(base*modifier)),0)</f>
        <v/>
      </c>
      <c r="L335" s="3">
        <f>IFERROR(LET(mtype,XLOOKUP($D335,'Move Editor'!$B:$B,'Move Editor'!$C:$C,""),cat,XLOOKUP($D335,'Move Editor'!$B:$B,'Move Editor'!$D:$D,""),pow,XLOOKUP($D335,'Move Editor'!$B:$B,'Move Editor'!$E:$E,0),acc,XLOOKUP($D335,'Move Editor'!$B:$B,'Move Editor'!$F:$F,100),atk,IF(cat="Physical",FLOOR((FLOOR(((2*XLOOKUP(XLOOKUP($Q335,'Threshold Summary'!$Y:$Y,'Threshold Summary'!$K:$K,""),'Pokemon Editor'!$A:$A,'Pokemon Editor'!$F:$F,0)+31+FLOOR(XLOOKUP($Q335,'Threshold Summary'!$Y:$Y,'Threshold Summary'!$P:$P,"")/4))*XLOOKUP($Q335,'Threshold Summary'!$Y:$Y,'Threshold Summary'!$L:$L,""))/100)+5)*XLOOKUP(XLOOKUP($Q335,'Threshold Summary'!$Y:$Y,'Threshold Summary'!$M:$M,""),'Nature Editor'!$A:$A,'Nature Editor'!$B:$B,1)),FLOOR((FLOOR(((2*XLOOKUP(XLOOKUP($Q335,'Threshold Summary'!$Y:$Y,'Threshold Summary'!$K:$K,""),'Pokemon Editor'!$A:$A,'Pokemon Editor'!$H:$H,0)+31+FLOOR(XLOOKUP($Q335,'Threshold Summary'!$Y:$Y,'Threshold Summary'!$R:$R,"")/4))*XLOOKUP($Q335,'Threshold Summary'!$Y:$Y,'Threshold Summary'!$L:$L,""))/100)+5)*XLOOKUP(XLOOKUP($Q335,'Threshold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Editor'!$E:$E,1))),stab,IF(OR(mtype=XLOOKUP(XLOOKUP($Q335,'Threshold Summary'!$Y:$Y,'Threshold Summary'!$K:$K,""),'Pokemon Editor'!$A:$A,'Pokemon Editor'!$C:$C,""),mtype=XLOOKUP(XLOOKUP($Q335,'Threshold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Chart'!$B$1:$S$1,0)))),base,IF(OR(cat="Status",pow=0),0,FLOOR(FLOOR(FLOOR((2*XLOOKUP($Q335,'Threshold Summary'!$Y:$Y,'Threshold Summary'!$L:$L,"")/5+2)*pow*atk/def)/50)+2)),modifier,stab*eff,AVERAGE(ARRAYFORMULA(FLOOR(base*modifier*SEQUENCE(16,1,85,1)/100)))),0)</f>
        <v/>
      </c>
      <c r="M335" s="3">
        <f>IFERROR(LET(mtype,XLOOKUP($D335,'Move Editor'!$B:$B,'Move Editor'!$C:$C,""),cat,XLOOKUP($D335,'Move Editor'!$B:$B,'Move Editor'!$D:$D,""),pow,XLOOKUP($D335,'Move Editor'!$B:$B,'Move Editor'!$E:$E,0),acc,XLOOKUP($D335,'Move Editor'!$B:$B,'Move Editor'!$F:$F,100),atk,IF(cat="Physical",FLOOR((FLOOR(((2*XLOOKUP(XLOOKUP($Q335,'Threshold Summary'!$Y:$Y,'Threshold Summary'!$K:$K,""),'Pokemon Editor'!$A:$A,'Pokemon Editor'!$F:$F,0)+31+FLOOR(XLOOKUP($Q335,'Threshold Summary'!$Y:$Y,'Threshold Summary'!$P:$P,"")/4))*XLOOKUP($Q335,'Threshold Summary'!$Y:$Y,'Threshold Summary'!$L:$L,""))/100)+5)*XLOOKUP(XLOOKUP($Q335,'Threshold Summary'!$Y:$Y,'Threshold Summary'!$M:$M,""),'Nature Editor'!$A:$A,'Nature Editor'!$B:$B,1)),FLOOR((FLOOR(((2*XLOOKUP(XLOOKUP($Q335,'Threshold Summary'!$Y:$Y,'Threshold Summary'!$K:$K,""),'Pokemon Editor'!$A:$A,'Pokemon Editor'!$H:$H,0)+31+FLOOR(XLOOKUP($Q335,'Threshold Summary'!$Y:$Y,'Threshold Summary'!$R:$R,"")/4))*XLOOKUP($Q335,'Threshold Summary'!$Y:$Y,'Threshold Summary'!$L:$L,""))/100)+5)*XLOOKUP(XLOOKUP($Q335,'Threshold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Editor'!$E:$E,1))),stab,IF(OR(mtype=XLOOKUP(XLOOKUP($Q335,'Threshold Summary'!$Y:$Y,'Threshold Summary'!$K:$K,""),'Pokemon Editor'!$A:$A,'Pokemon Editor'!$C:$C,""),mtype=XLOOKUP(XLOOKUP($Q335,'Threshold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Chart'!$B$1:$S$1,0)))),base,IF(OR(cat="Status",pow=0),0,FLOOR(FLOOR(FLOOR((2*XLOOKUP($Q335,'Threshold Summary'!$Y:$Y,'Threshold Summary'!$L:$L,"")/5+2)*pow*atk/def)/50)+2)),modifier,stab*eff,AVERAGE(ARRAYFORMULA(FLOOR(base*modifier*SEQUENCE(16,1,85,1)/100)))*MIN(1,acc/100)),0)</f>
        <v/>
      </c>
      <c r="N335" s="4">
        <f>IFERROR(LET(mtype,XLOOKUP($D335,'Move Editor'!$B:$B,'Move Editor'!$C:$C,""),cat,XLOOKUP($D335,'Move Editor'!$B:$B,'Move Editor'!$D:$D,""),pow,XLOOKUP($D335,'Move Editor'!$B:$B,'Move Editor'!$E:$E,0),acc,XLOOKUP($D335,'Move Editor'!$B:$B,'Move Editor'!$F:$F,100),atk,IF(cat="Physical",FLOOR((FLOOR(((2*XLOOKUP(XLOOKUP($Q335,'Threshold Summary'!$Y:$Y,'Threshold Summary'!$K:$K,""),'Pokemon Editor'!$A:$A,'Pokemon Editor'!$F:$F,0)+31+FLOOR(XLOOKUP($Q335,'Threshold Summary'!$Y:$Y,'Threshold Summary'!$P:$P,"")/4))*XLOOKUP($Q335,'Threshold Summary'!$Y:$Y,'Threshold Summary'!$L:$L,""))/100)+5)*XLOOKUP(XLOOKUP($Q335,'Threshold Summary'!$Y:$Y,'Threshold Summary'!$M:$M,""),'Nature Editor'!$A:$A,'Nature Editor'!$B:$B,1)),FLOOR((FLOOR(((2*XLOOKUP(XLOOKUP($Q335,'Threshold Summary'!$Y:$Y,'Threshold Summary'!$K:$K,""),'Pokemon Editor'!$A:$A,'Pokemon Editor'!$H:$H,0)+31+FLOOR(XLOOKUP($Q335,'Threshold Summary'!$Y:$Y,'Threshold Summary'!$R:$R,"")/4))*XLOOKUP($Q335,'Threshold Summary'!$Y:$Y,'Threshold Summary'!$L:$L,""))/100)+5)*XLOOKUP(XLOOKUP($Q335,'Threshold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Editor'!$E:$E,1))),stab,IF(OR(mtype=XLOOKUP(XLOOKUP($Q335,'Threshold Summary'!$Y:$Y,'Threshold Summary'!$K:$K,""),'Pokemon Editor'!$A:$A,'Pokemon Editor'!$C:$C,""),mtype=XLOOKUP(XLOOKUP($Q335,'Threshold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Chart'!$B$1:$S$1,0)))),base,IF(OR(cat="Status",pow=0),0,FLOOR(FLOOR(FLOOR((2*XLOOKUP($Q335,'Threshold Summary'!$Y:$Y,'Threshold Summary'!$L:$L,"")/5+2)*pow*atk/def)/50)+2)),modifier,stab*eff,AVERAGE(ARRAYFORMULA(FLOOR(base*modifier*SEQUENCE(16,1,85,1)/100)))/(FLOOR(((2*XLOOKUP('Boss Editor'!$C$4,'Pokemon Editor'!$A:$A,'Pokemon Editor'!$E:$E,0)+31+FLOOR('Boss Editor'!$G$4/4))*'Boss Editor'!$D$4)/100)+'Boss Editor'!$D$4+10)),0)</f>
        <v/>
      </c>
      <c r="O335" s="3">
        <f>IF(N335&gt;=1,"OHKO",IF(N335&gt;=0.5,"2HKO",IF(N335&gt;=0.333,"3HKO",IF(N335&gt;=0.25,"4HKO","5HKO+"))))</f>
        <v/>
      </c>
      <c r="P335" s="3" t="inlineStr">
        <is>
          <t>Live from editable databases</t>
        </is>
      </c>
      <c r="Q335" s="3" t="inlineStr">
        <is>
          <t>SPECIES_SHINX</t>
        </is>
      </c>
      <c r="R335" s="3" t="n">
        <v>14</v>
      </c>
    </row>
    <row r="336">
      <c r="A336" s="3">
        <f>XLOOKUP($Q336,'Threshold Summary'!$Y:$Y,'Threshold Summary'!$A:$A,"")</f>
        <v/>
      </c>
      <c r="B336" s="3">
        <f>XLOOKUP($Q336,'Threshold Summary'!$Y:$Y,'Threshold Summary'!$M:$M,"")</f>
        <v/>
      </c>
      <c r="C336" s="3">
        <f>XLOOKUP($Q336,'Threshold Summary'!$Y:$Y,'Threshold Summary'!$N:$N,"")</f>
        <v/>
      </c>
      <c r="D336" s="3">
        <f>IFERROR(INDEX(FILTER('Learnset Editor'!$D$2:$D,'Learnset Editor'!$A$2:$A=XLOOKUP($Q336,'Threshold Summary'!$Y:$Y,'Threshold Summary'!$K:$K,""),'Learnset Editor'!$C$2:$C&lt;=XLOOKUP($Q336,'Threshold Summary'!$Y:$Y,'Threshold Summary'!$L:$L,"")),$R336),"")</f>
        <v/>
      </c>
      <c r="E336" s="3">
        <f>XLOOKUP(D336,'Move Editor'!$B:$B,'Move Editor'!$C:$C,"")</f>
        <v/>
      </c>
      <c r="F336" s="3">
        <f>XLOOKUP(D336,'Move Editor'!$B:$B,'Move Editor'!$D:$D,"")</f>
        <v/>
      </c>
      <c r="G336" s="3">
        <f>XLOOKUP(D336,'Move Editor'!$B:$B,'Move Editor'!$E:$E,0)</f>
        <v/>
      </c>
      <c r="H336" s="3">
        <f>XLOOKUP(D336,'Move Editor'!$B:$B,'Move Editor'!$F:$F,0)</f>
        <v/>
      </c>
      <c r="I336" s="3">
        <f>(INDEX('Type Chart'!$B:$S,MATCH(E336,'Type Chart'!$A:$A,0),MATCH(XLOOKUP('Boss Editor'!$C$4,'Pokemon Editor'!$A:$A,'Pokemon Editor'!$C:$C,""),'Type Chart'!$B$1:$S$1,0))*IF(XLOOKUP('Boss Editor'!$C$4,'Pokemon Editor'!$A:$A,'Pokemon Editor'!$D:$D,"")="",1,INDEX('Type Chart'!$B:$S,MATCH(E336,'Type Chart'!$A:$A,0),MATCH(XLOOKUP('Boss Editor'!$C$4,'Pokemon Editor'!$A:$A,'Pokemon Editor'!$D:$D,""),'Type Chart'!$B$1:$S$1,0))))</f>
        <v/>
      </c>
      <c r="J336" s="3">
        <f>IFERROR(LET(mtype,XLOOKUP($D336,'Move Editor'!$B:$B,'Move Editor'!$C:$C,""),cat,XLOOKUP($D336,'Move Editor'!$B:$B,'Move Editor'!$D:$D,""),pow,XLOOKUP($D336,'Move Editor'!$B:$B,'Move Editor'!$E:$E,0),acc,XLOOKUP($D336,'Move Editor'!$B:$B,'Move Editor'!$F:$F,100),atk,IF(cat="Physical",FLOOR((FLOOR(((2*XLOOKUP(XLOOKUP($Q336,'Threshold Summary'!$Y:$Y,'Threshold Summary'!$K:$K,""),'Pokemon Editor'!$A:$A,'Pokemon Editor'!$F:$F,0)+31+FLOOR(XLOOKUP($Q336,'Threshold Summary'!$Y:$Y,'Threshold Summary'!$P:$P,"")/4))*XLOOKUP($Q336,'Threshold Summary'!$Y:$Y,'Threshold Summary'!$L:$L,""))/100)+5)*XLOOKUP(XLOOKUP($Q336,'Threshold Summary'!$Y:$Y,'Threshold Summary'!$M:$M,""),'Nature Editor'!$A:$A,'Nature Editor'!$B:$B,1)),FLOOR((FLOOR(((2*XLOOKUP(XLOOKUP($Q336,'Threshold Summary'!$Y:$Y,'Threshold Summary'!$K:$K,""),'Pokemon Editor'!$A:$A,'Pokemon Editor'!$H:$H,0)+31+FLOOR(XLOOKUP($Q336,'Threshold Summary'!$Y:$Y,'Threshold Summary'!$R:$R,"")/4))*XLOOKUP($Q336,'Threshold Summary'!$Y:$Y,'Threshold Summary'!$L:$L,""))/100)+5)*XLOOKUP(XLOOKUP($Q336,'Threshold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Editor'!$E:$E,1))),stab,IF(OR(mtype=XLOOKUP(XLOOKUP($Q336,'Threshold Summary'!$Y:$Y,'Threshold Summary'!$K:$K,""),'Pokemon Editor'!$A:$A,'Pokemon Editor'!$C:$C,""),mtype=XLOOKUP(XLOOKUP($Q336,'Threshold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Chart'!$B$1:$S$1,0)))),base,IF(OR(cat="Status",pow=0),0,FLOOR(FLOOR(FLOOR((2*XLOOKUP($Q336,'Threshold Summary'!$Y:$Y,'Threshold Summary'!$L:$L,"")/5+2)*pow*atk/def)/50)+2)),modifier,stab*eff,FLOOR(base*modifier*0.85)),0)</f>
        <v/>
      </c>
      <c r="K336" s="3">
        <f>IFERROR(LET(mtype,XLOOKUP($D336,'Move Editor'!$B:$B,'Move Editor'!$C:$C,""),cat,XLOOKUP($D336,'Move Editor'!$B:$B,'Move Editor'!$D:$D,""),pow,XLOOKUP($D336,'Move Editor'!$B:$B,'Move Editor'!$E:$E,0),acc,XLOOKUP($D336,'Move Editor'!$B:$B,'Move Editor'!$F:$F,100),atk,IF(cat="Physical",FLOOR((FLOOR(((2*XLOOKUP(XLOOKUP($Q336,'Threshold Summary'!$Y:$Y,'Threshold Summary'!$K:$K,""),'Pokemon Editor'!$A:$A,'Pokemon Editor'!$F:$F,0)+31+FLOOR(XLOOKUP($Q336,'Threshold Summary'!$Y:$Y,'Threshold Summary'!$P:$P,"")/4))*XLOOKUP($Q336,'Threshold Summary'!$Y:$Y,'Threshold Summary'!$L:$L,""))/100)+5)*XLOOKUP(XLOOKUP($Q336,'Threshold Summary'!$Y:$Y,'Threshold Summary'!$M:$M,""),'Nature Editor'!$A:$A,'Nature Editor'!$B:$B,1)),FLOOR((FLOOR(((2*XLOOKUP(XLOOKUP($Q336,'Threshold Summary'!$Y:$Y,'Threshold Summary'!$K:$K,""),'Pokemon Editor'!$A:$A,'Pokemon Editor'!$H:$H,0)+31+FLOOR(XLOOKUP($Q336,'Threshold Summary'!$Y:$Y,'Threshold Summary'!$R:$R,"")/4))*XLOOKUP($Q336,'Threshold Summary'!$Y:$Y,'Threshold Summary'!$L:$L,""))/100)+5)*XLOOKUP(XLOOKUP($Q336,'Threshold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Editor'!$E:$E,1))),stab,IF(OR(mtype=XLOOKUP(XLOOKUP($Q336,'Threshold Summary'!$Y:$Y,'Threshold Summary'!$K:$K,""),'Pokemon Editor'!$A:$A,'Pokemon Editor'!$C:$C,""),mtype=XLOOKUP(XLOOKUP($Q336,'Threshold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Chart'!$B$1:$S$1,0)))),base,IF(OR(cat="Status",pow=0),0,FLOOR(FLOOR(FLOOR((2*XLOOKUP($Q336,'Threshold Summary'!$Y:$Y,'Threshold Summary'!$L:$L,"")/5+2)*pow*atk/def)/50)+2)),modifier,stab*eff,FLOOR(base*modifier)),0)</f>
        <v/>
      </c>
      <c r="L336" s="3">
        <f>IFERROR(LET(mtype,XLOOKUP($D336,'Move Editor'!$B:$B,'Move Editor'!$C:$C,""),cat,XLOOKUP($D336,'Move Editor'!$B:$B,'Move Editor'!$D:$D,""),pow,XLOOKUP($D336,'Move Editor'!$B:$B,'Move Editor'!$E:$E,0),acc,XLOOKUP($D336,'Move Editor'!$B:$B,'Move Editor'!$F:$F,100),atk,IF(cat="Physical",FLOOR((FLOOR(((2*XLOOKUP(XLOOKUP($Q336,'Threshold Summary'!$Y:$Y,'Threshold Summary'!$K:$K,""),'Pokemon Editor'!$A:$A,'Pokemon Editor'!$F:$F,0)+31+FLOOR(XLOOKUP($Q336,'Threshold Summary'!$Y:$Y,'Threshold Summary'!$P:$P,"")/4))*XLOOKUP($Q336,'Threshold Summary'!$Y:$Y,'Threshold Summary'!$L:$L,""))/100)+5)*XLOOKUP(XLOOKUP($Q336,'Threshold Summary'!$Y:$Y,'Threshold Summary'!$M:$M,""),'Nature Editor'!$A:$A,'Nature Editor'!$B:$B,1)),FLOOR((FLOOR(((2*XLOOKUP(XLOOKUP($Q336,'Threshold Summary'!$Y:$Y,'Threshold Summary'!$K:$K,""),'Pokemon Editor'!$A:$A,'Pokemon Editor'!$H:$H,0)+31+FLOOR(XLOOKUP($Q336,'Threshold Summary'!$Y:$Y,'Threshold Summary'!$R:$R,"")/4))*XLOOKUP($Q336,'Threshold Summary'!$Y:$Y,'Threshold Summary'!$L:$L,""))/100)+5)*XLOOKUP(XLOOKUP($Q336,'Threshold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Editor'!$E:$E,1))),stab,IF(OR(mtype=XLOOKUP(XLOOKUP($Q336,'Threshold Summary'!$Y:$Y,'Threshold Summary'!$K:$K,""),'Pokemon Editor'!$A:$A,'Pokemon Editor'!$C:$C,""),mtype=XLOOKUP(XLOOKUP($Q336,'Threshold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Chart'!$B$1:$S$1,0)))),base,IF(OR(cat="Status",pow=0),0,FLOOR(FLOOR(FLOOR((2*XLOOKUP($Q336,'Threshold Summary'!$Y:$Y,'Threshold Summary'!$L:$L,"")/5+2)*pow*atk/def)/50)+2)),modifier,stab*eff,AVERAGE(ARRAYFORMULA(FLOOR(base*modifier*SEQUENCE(16,1,85,1)/100)))),0)</f>
        <v/>
      </c>
      <c r="M336" s="3">
        <f>IFERROR(LET(mtype,XLOOKUP($D336,'Move Editor'!$B:$B,'Move Editor'!$C:$C,""),cat,XLOOKUP($D336,'Move Editor'!$B:$B,'Move Editor'!$D:$D,""),pow,XLOOKUP($D336,'Move Editor'!$B:$B,'Move Editor'!$E:$E,0),acc,XLOOKUP($D336,'Move Editor'!$B:$B,'Move Editor'!$F:$F,100),atk,IF(cat="Physical",FLOOR((FLOOR(((2*XLOOKUP(XLOOKUP($Q336,'Threshold Summary'!$Y:$Y,'Threshold Summary'!$K:$K,""),'Pokemon Editor'!$A:$A,'Pokemon Editor'!$F:$F,0)+31+FLOOR(XLOOKUP($Q336,'Threshold Summary'!$Y:$Y,'Threshold Summary'!$P:$P,"")/4))*XLOOKUP($Q336,'Threshold Summary'!$Y:$Y,'Threshold Summary'!$L:$L,""))/100)+5)*XLOOKUP(XLOOKUP($Q336,'Threshold Summary'!$Y:$Y,'Threshold Summary'!$M:$M,""),'Nature Editor'!$A:$A,'Nature Editor'!$B:$B,1)),FLOOR((FLOOR(((2*XLOOKUP(XLOOKUP($Q336,'Threshold Summary'!$Y:$Y,'Threshold Summary'!$K:$K,""),'Pokemon Editor'!$A:$A,'Pokemon Editor'!$H:$H,0)+31+FLOOR(XLOOKUP($Q336,'Threshold Summary'!$Y:$Y,'Threshold Summary'!$R:$R,"")/4))*XLOOKUP($Q336,'Threshold Summary'!$Y:$Y,'Threshold Summary'!$L:$L,""))/100)+5)*XLOOKUP(XLOOKUP($Q336,'Threshold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Editor'!$E:$E,1))),stab,IF(OR(mtype=XLOOKUP(XLOOKUP($Q336,'Threshold Summary'!$Y:$Y,'Threshold Summary'!$K:$K,""),'Pokemon Editor'!$A:$A,'Pokemon Editor'!$C:$C,""),mtype=XLOOKUP(XLOOKUP($Q336,'Threshold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Chart'!$B$1:$S$1,0)))),base,IF(OR(cat="Status",pow=0),0,FLOOR(FLOOR(FLOOR((2*XLOOKUP($Q336,'Threshold Summary'!$Y:$Y,'Threshold Summary'!$L:$L,"")/5+2)*pow*atk/def)/50)+2)),modifier,stab*eff,AVERAGE(ARRAYFORMULA(FLOOR(base*modifier*SEQUENCE(16,1,85,1)/100)))*MIN(1,acc/100)),0)</f>
        <v/>
      </c>
      <c r="N336" s="4">
        <f>IFERROR(LET(mtype,XLOOKUP($D336,'Move Editor'!$B:$B,'Move Editor'!$C:$C,""),cat,XLOOKUP($D336,'Move Editor'!$B:$B,'Move Editor'!$D:$D,""),pow,XLOOKUP($D336,'Move Editor'!$B:$B,'Move Editor'!$E:$E,0),acc,XLOOKUP($D336,'Move Editor'!$B:$B,'Move Editor'!$F:$F,100),atk,IF(cat="Physical",FLOOR((FLOOR(((2*XLOOKUP(XLOOKUP($Q336,'Threshold Summary'!$Y:$Y,'Threshold Summary'!$K:$K,""),'Pokemon Editor'!$A:$A,'Pokemon Editor'!$F:$F,0)+31+FLOOR(XLOOKUP($Q336,'Threshold Summary'!$Y:$Y,'Threshold Summary'!$P:$P,"")/4))*XLOOKUP($Q336,'Threshold Summary'!$Y:$Y,'Threshold Summary'!$L:$L,""))/100)+5)*XLOOKUP(XLOOKUP($Q336,'Threshold Summary'!$Y:$Y,'Threshold Summary'!$M:$M,""),'Nature Editor'!$A:$A,'Nature Editor'!$B:$B,1)),FLOOR((FLOOR(((2*XLOOKUP(XLOOKUP($Q336,'Threshold Summary'!$Y:$Y,'Threshold Summary'!$K:$K,""),'Pokemon Editor'!$A:$A,'Pokemon Editor'!$H:$H,0)+31+FLOOR(XLOOKUP($Q336,'Threshold Summary'!$Y:$Y,'Threshold Summary'!$R:$R,"")/4))*XLOOKUP($Q336,'Threshold Summary'!$Y:$Y,'Threshold Summary'!$L:$L,""))/100)+5)*XLOOKUP(XLOOKUP($Q336,'Threshold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Editor'!$E:$E,1))),stab,IF(OR(mtype=XLOOKUP(XLOOKUP($Q336,'Threshold Summary'!$Y:$Y,'Threshold Summary'!$K:$K,""),'Pokemon Editor'!$A:$A,'Pokemon Editor'!$C:$C,""),mtype=XLOOKUP(XLOOKUP($Q336,'Threshold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Chart'!$B$1:$S$1,0)))),base,IF(OR(cat="Status",pow=0),0,FLOOR(FLOOR(FLOOR((2*XLOOKUP($Q336,'Threshold Summary'!$Y:$Y,'Threshold Summary'!$L:$L,"")/5+2)*pow*atk/def)/50)+2)),modifier,stab*eff,AVERAGE(ARRAYFORMULA(FLOOR(base*modifier*SEQUENCE(16,1,85,1)/100)))/(FLOOR(((2*XLOOKUP('Boss Editor'!$C$4,'Pokemon Editor'!$A:$A,'Pokemon Editor'!$E:$E,0)+31+FLOOR('Boss Editor'!$G$4/4))*'Boss Editor'!$D$4)/100)+'Boss Editor'!$D$4+10)),0)</f>
        <v/>
      </c>
      <c r="O336" s="3">
        <f>IF(N336&gt;=1,"OHKO",IF(N336&gt;=0.5,"2HKO",IF(N336&gt;=0.333,"3HKO",IF(N336&gt;=0.25,"4HKO","5HKO+"))))</f>
        <v/>
      </c>
      <c r="P336" s="3" t="inlineStr">
        <is>
          <t>Live from editable databases</t>
        </is>
      </c>
      <c r="Q336" s="3" t="inlineStr">
        <is>
          <t>SPECIES_SHINX</t>
        </is>
      </c>
      <c r="R336" s="3" t="n">
        <v>15</v>
      </c>
    </row>
    <row r="337">
      <c r="A337" s="3">
        <f>XLOOKUP($Q337,'Threshold Summary'!$Y:$Y,'Threshold Summary'!$A:$A,"")</f>
        <v/>
      </c>
      <c r="B337" s="3">
        <f>XLOOKUP($Q337,'Threshold Summary'!$Y:$Y,'Threshold Summary'!$M:$M,"")</f>
        <v/>
      </c>
      <c r="C337" s="3">
        <f>XLOOKUP($Q337,'Threshold Summary'!$Y:$Y,'Threshold Summary'!$N:$N,"")</f>
        <v/>
      </c>
      <c r="D337" s="3">
        <f>IFERROR(INDEX(FILTER('Learnset Editor'!$D$2:$D,'Learnset Editor'!$A$2:$A=XLOOKUP($Q337,'Threshold Summary'!$Y:$Y,'Threshold Summary'!$K:$K,""),'Learnset Editor'!$C$2:$C&lt;=XLOOKUP($Q337,'Threshold Summary'!$Y:$Y,'Threshold Summary'!$L:$L,"")),$R337),"")</f>
        <v/>
      </c>
      <c r="E337" s="3">
        <f>XLOOKUP(D337,'Move Editor'!$B:$B,'Move Editor'!$C:$C,"")</f>
        <v/>
      </c>
      <c r="F337" s="3">
        <f>XLOOKUP(D337,'Move Editor'!$B:$B,'Move Editor'!$D:$D,"")</f>
        <v/>
      </c>
      <c r="G337" s="3">
        <f>XLOOKUP(D337,'Move Editor'!$B:$B,'Move Editor'!$E:$E,0)</f>
        <v/>
      </c>
      <c r="H337" s="3">
        <f>XLOOKUP(D337,'Move Editor'!$B:$B,'Move Editor'!$F:$F,0)</f>
        <v/>
      </c>
      <c r="I337" s="3">
        <f>(INDEX('Type Chart'!$B:$S,MATCH(E337,'Type Chart'!$A:$A,0),MATCH(XLOOKUP('Boss Editor'!$C$4,'Pokemon Editor'!$A:$A,'Pokemon Editor'!$C:$C,""),'Type Chart'!$B$1:$S$1,0))*IF(XLOOKUP('Boss Editor'!$C$4,'Pokemon Editor'!$A:$A,'Pokemon Editor'!$D:$D,"")="",1,INDEX('Type Chart'!$B:$S,MATCH(E337,'Type Chart'!$A:$A,0),MATCH(XLOOKUP('Boss Editor'!$C$4,'Pokemon Editor'!$A:$A,'Pokemon Editor'!$D:$D,""),'Type Chart'!$B$1:$S$1,0))))</f>
        <v/>
      </c>
      <c r="J337" s="3">
        <f>IFERROR(LET(mtype,XLOOKUP($D337,'Move Editor'!$B:$B,'Move Editor'!$C:$C,""),cat,XLOOKUP($D337,'Move Editor'!$B:$B,'Move Editor'!$D:$D,""),pow,XLOOKUP($D337,'Move Editor'!$B:$B,'Move Editor'!$E:$E,0),acc,XLOOKUP($D337,'Move Editor'!$B:$B,'Move Editor'!$F:$F,100),atk,IF(cat="Physical",FLOOR((FLOOR(((2*XLOOKUP(XLOOKUP($Q337,'Threshold Summary'!$Y:$Y,'Threshold Summary'!$K:$K,""),'Pokemon Editor'!$A:$A,'Pokemon Editor'!$F:$F,0)+31+FLOOR(XLOOKUP($Q337,'Threshold Summary'!$Y:$Y,'Threshold Summary'!$P:$P,"")/4))*XLOOKUP($Q337,'Threshold Summary'!$Y:$Y,'Threshold Summary'!$L:$L,""))/100)+5)*XLOOKUP(XLOOKUP($Q337,'Threshold Summary'!$Y:$Y,'Threshold Summary'!$M:$M,""),'Nature Editor'!$A:$A,'Nature Editor'!$B:$B,1)),FLOOR((FLOOR(((2*XLOOKUP(XLOOKUP($Q337,'Threshold Summary'!$Y:$Y,'Threshold Summary'!$K:$K,""),'Pokemon Editor'!$A:$A,'Pokemon Editor'!$H:$H,0)+31+FLOOR(XLOOKUP($Q337,'Threshold Summary'!$Y:$Y,'Threshold Summary'!$R:$R,"")/4))*XLOOKUP($Q337,'Threshold Summary'!$Y:$Y,'Threshold Summary'!$L:$L,""))/100)+5)*XLOOKUP(XLOOKUP($Q337,'Threshold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Editor'!$E:$E,1))),stab,IF(OR(mtype=XLOOKUP(XLOOKUP($Q337,'Threshold Summary'!$Y:$Y,'Threshold Summary'!$K:$K,""),'Pokemon Editor'!$A:$A,'Pokemon Editor'!$C:$C,""),mtype=XLOOKUP(XLOOKUP($Q337,'Threshold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Chart'!$B$1:$S$1,0)))),base,IF(OR(cat="Status",pow=0),0,FLOOR(FLOOR(FLOOR((2*XLOOKUP($Q337,'Threshold Summary'!$Y:$Y,'Threshold Summary'!$L:$L,"")/5+2)*pow*atk/def)/50)+2)),modifier,stab*eff,FLOOR(base*modifier*0.85)),0)</f>
        <v/>
      </c>
      <c r="K337" s="3">
        <f>IFERROR(LET(mtype,XLOOKUP($D337,'Move Editor'!$B:$B,'Move Editor'!$C:$C,""),cat,XLOOKUP($D337,'Move Editor'!$B:$B,'Move Editor'!$D:$D,""),pow,XLOOKUP($D337,'Move Editor'!$B:$B,'Move Editor'!$E:$E,0),acc,XLOOKUP($D337,'Move Editor'!$B:$B,'Move Editor'!$F:$F,100),atk,IF(cat="Physical",FLOOR((FLOOR(((2*XLOOKUP(XLOOKUP($Q337,'Threshold Summary'!$Y:$Y,'Threshold Summary'!$K:$K,""),'Pokemon Editor'!$A:$A,'Pokemon Editor'!$F:$F,0)+31+FLOOR(XLOOKUP($Q337,'Threshold Summary'!$Y:$Y,'Threshold Summary'!$P:$P,"")/4))*XLOOKUP($Q337,'Threshold Summary'!$Y:$Y,'Threshold Summary'!$L:$L,""))/100)+5)*XLOOKUP(XLOOKUP($Q337,'Threshold Summary'!$Y:$Y,'Threshold Summary'!$M:$M,""),'Nature Editor'!$A:$A,'Nature Editor'!$B:$B,1)),FLOOR((FLOOR(((2*XLOOKUP(XLOOKUP($Q337,'Threshold Summary'!$Y:$Y,'Threshold Summary'!$K:$K,""),'Pokemon Editor'!$A:$A,'Pokemon Editor'!$H:$H,0)+31+FLOOR(XLOOKUP($Q337,'Threshold Summary'!$Y:$Y,'Threshold Summary'!$R:$R,"")/4))*XLOOKUP($Q337,'Threshold Summary'!$Y:$Y,'Threshold Summary'!$L:$L,""))/100)+5)*XLOOKUP(XLOOKUP($Q337,'Threshold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Editor'!$E:$E,1))),stab,IF(OR(mtype=XLOOKUP(XLOOKUP($Q337,'Threshold Summary'!$Y:$Y,'Threshold Summary'!$K:$K,""),'Pokemon Editor'!$A:$A,'Pokemon Editor'!$C:$C,""),mtype=XLOOKUP(XLOOKUP($Q337,'Threshold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Chart'!$B$1:$S$1,0)))),base,IF(OR(cat="Status",pow=0),0,FLOOR(FLOOR(FLOOR((2*XLOOKUP($Q337,'Threshold Summary'!$Y:$Y,'Threshold Summary'!$L:$L,"")/5+2)*pow*atk/def)/50)+2)),modifier,stab*eff,FLOOR(base*modifier)),0)</f>
        <v/>
      </c>
      <c r="L337" s="3">
        <f>IFERROR(LET(mtype,XLOOKUP($D337,'Move Editor'!$B:$B,'Move Editor'!$C:$C,""),cat,XLOOKUP($D337,'Move Editor'!$B:$B,'Move Editor'!$D:$D,""),pow,XLOOKUP($D337,'Move Editor'!$B:$B,'Move Editor'!$E:$E,0),acc,XLOOKUP($D337,'Move Editor'!$B:$B,'Move Editor'!$F:$F,100),atk,IF(cat="Physical",FLOOR((FLOOR(((2*XLOOKUP(XLOOKUP($Q337,'Threshold Summary'!$Y:$Y,'Threshold Summary'!$K:$K,""),'Pokemon Editor'!$A:$A,'Pokemon Editor'!$F:$F,0)+31+FLOOR(XLOOKUP($Q337,'Threshold Summary'!$Y:$Y,'Threshold Summary'!$P:$P,"")/4))*XLOOKUP($Q337,'Threshold Summary'!$Y:$Y,'Threshold Summary'!$L:$L,""))/100)+5)*XLOOKUP(XLOOKUP($Q337,'Threshold Summary'!$Y:$Y,'Threshold Summary'!$M:$M,""),'Nature Editor'!$A:$A,'Nature Editor'!$B:$B,1)),FLOOR((FLOOR(((2*XLOOKUP(XLOOKUP($Q337,'Threshold Summary'!$Y:$Y,'Threshold Summary'!$K:$K,""),'Pokemon Editor'!$A:$A,'Pokemon Editor'!$H:$H,0)+31+FLOOR(XLOOKUP($Q337,'Threshold Summary'!$Y:$Y,'Threshold Summary'!$R:$R,"")/4))*XLOOKUP($Q337,'Threshold Summary'!$Y:$Y,'Threshold Summary'!$L:$L,""))/100)+5)*XLOOKUP(XLOOKUP($Q337,'Threshold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Editor'!$E:$E,1))),stab,IF(OR(mtype=XLOOKUP(XLOOKUP($Q337,'Threshold Summary'!$Y:$Y,'Threshold Summary'!$K:$K,""),'Pokemon Editor'!$A:$A,'Pokemon Editor'!$C:$C,""),mtype=XLOOKUP(XLOOKUP($Q337,'Threshold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Chart'!$B$1:$S$1,0)))),base,IF(OR(cat="Status",pow=0),0,FLOOR(FLOOR(FLOOR((2*XLOOKUP($Q337,'Threshold Summary'!$Y:$Y,'Threshold Summary'!$L:$L,"")/5+2)*pow*atk/def)/50)+2)),modifier,stab*eff,AVERAGE(ARRAYFORMULA(FLOOR(base*modifier*SEQUENCE(16,1,85,1)/100)))),0)</f>
        <v/>
      </c>
      <c r="M337" s="3">
        <f>IFERROR(LET(mtype,XLOOKUP($D337,'Move Editor'!$B:$B,'Move Editor'!$C:$C,""),cat,XLOOKUP($D337,'Move Editor'!$B:$B,'Move Editor'!$D:$D,""),pow,XLOOKUP($D337,'Move Editor'!$B:$B,'Move Editor'!$E:$E,0),acc,XLOOKUP($D337,'Move Editor'!$B:$B,'Move Editor'!$F:$F,100),atk,IF(cat="Physical",FLOOR((FLOOR(((2*XLOOKUP(XLOOKUP($Q337,'Threshold Summary'!$Y:$Y,'Threshold Summary'!$K:$K,""),'Pokemon Editor'!$A:$A,'Pokemon Editor'!$F:$F,0)+31+FLOOR(XLOOKUP($Q337,'Threshold Summary'!$Y:$Y,'Threshold Summary'!$P:$P,"")/4))*XLOOKUP($Q337,'Threshold Summary'!$Y:$Y,'Threshold Summary'!$L:$L,""))/100)+5)*XLOOKUP(XLOOKUP($Q337,'Threshold Summary'!$Y:$Y,'Threshold Summary'!$M:$M,""),'Nature Editor'!$A:$A,'Nature Editor'!$B:$B,1)),FLOOR((FLOOR(((2*XLOOKUP(XLOOKUP($Q337,'Threshold Summary'!$Y:$Y,'Threshold Summary'!$K:$K,""),'Pokemon Editor'!$A:$A,'Pokemon Editor'!$H:$H,0)+31+FLOOR(XLOOKUP($Q337,'Threshold Summary'!$Y:$Y,'Threshold Summary'!$R:$R,"")/4))*XLOOKUP($Q337,'Threshold Summary'!$Y:$Y,'Threshold Summary'!$L:$L,""))/100)+5)*XLOOKUP(XLOOKUP($Q337,'Threshold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Editor'!$E:$E,1))),stab,IF(OR(mtype=XLOOKUP(XLOOKUP($Q337,'Threshold Summary'!$Y:$Y,'Threshold Summary'!$K:$K,""),'Pokemon Editor'!$A:$A,'Pokemon Editor'!$C:$C,""),mtype=XLOOKUP(XLOOKUP($Q337,'Threshold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Chart'!$B$1:$S$1,0)))),base,IF(OR(cat="Status",pow=0),0,FLOOR(FLOOR(FLOOR((2*XLOOKUP($Q337,'Threshold Summary'!$Y:$Y,'Threshold Summary'!$L:$L,"")/5+2)*pow*atk/def)/50)+2)),modifier,stab*eff,AVERAGE(ARRAYFORMULA(FLOOR(base*modifier*SEQUENCE(16,1,85,1)/100)))*MIN(1,acc/100)),0)</f>
        <v/>
      </c>
      <c r="N337" s="4">
        <f>IFERROR(LET(mtype,XLOOKUP($D337,'Move Editor'!$B:$B,'Move Editor'!$C:$C,""),cat,XLOOKUP($D337,'Move Editor'!$B:$B,'Move Editor'!$D:$D,""),pow,XLOOKUP($D337,'Move Editor'!$B:$B,'Move Editor'!$E:$E,0),acc,XLOOKUP($D337,'Move Editor'!$B:$B,'Move Editor'!$F:$F,100),atk,IF(cat="Physical",FLOOR((FLOOR(((2*XLOOKUP(XLOOKUP($Q337,'Threshold Summary'!$Y:$Y,'Threshold Summary'!$K:$K,""),'Pokemon Editor'!$A:$A,'Pokemon Editor'!$F:$F,0)+31+FLOOR(XLOOKUP($Q337,'Threshold Summary'!$Y:$Y,'Threshold Summary'!$P:$P,"")/4))*XLOOKUP($Q337,'Threshold Summary'!$Y:$Y,'Threshold Summary'!$L:$L,""))/100)+5)*XLOOKUP(XLOOKUP($Q337,'Threshold Summary'!$Y:$Y,'Threshold Summary'!$M:$M,""),'Nature Editor'!$A:$A,'Nature Editor'!$B:$B,1)),FLOOR((FLOOR(((2*XLOOKUP(XLOOKUP($Q337,'Threshold Summary'!$Y:$Y,'Threshold Summary'!$K:$K,""),'Pokemon Editor'!$A:$A,'Pokemon Editor'!$H:$H,0)+31+FLOOR(XLOOKUP($Q337,'Threshold Summary'!$Y:$Y,'Threshold Summary'!$R:$R,"")/4))*XLOOKUP($Q337,'Threshold Summary'!$Y:$Y,'Threshold Summary'!$L:$L,""))/100)+5)*XLOOKUP(XLOOKUP($Q337,'Threshold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Editor'!$E:$E,1))),stab,IF(OR(mtype=XLOOKUP(XLOOKUP($Q337,'Threshold Summary'!$Y:$Y,'Threshold Summary'!$K:$K,""),'Pokemon Editor'!$A:$A,'Pokemon Editor'!$C:$C,""),mtype=XLOOKUP(XLOOKUP($Q337,'Threshold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Chart'!$B$1:$S$1,0)))),base,IF(OR(cat="Status",pow=0),0,FLOOR(FLOOR(FLOOR((2*XLOOKUP($Q337,'Threshold Summary'!$Y:$Y,'Threshold Summary'!$L:$L,"")/5+2)*pow*atk/def)/50)+2)),modifier,stab*eff,AVERAGE(ARRAYFORMULA(FLOOR(base*modifier*SEQUENCE(16,1,85,1)/100)))/(FLOOR(((2*XLOOKUP('Boss Editor'!$C$4,'Pokemon Editor'!$A:$A,'Pokemon Editor'!$E:$E,0)+31+FLOOR('Boss Editor'!$G$4/4))*'Boss Editor'!$D$4)/100)+'Boss Editor'!$D$4+10)),0)</f>
        <v/>
      </c>
      <c r="O337" s="3">
        <f>IF(N337&gt;=1,"OHKO",IF(N337&gt;=0.5,"2HKO",IF(N337&gt;=0.333,"3HKO",IF(N337&gt;=0.25,"4HKO","5HKO+"))))</f>
        <v/>
      </c>
      <c r="P337" s="3" t="inlineStr">
        <is>
          <t>Live from editable databases</t>
        </is>
      </c>
      <c r="Q337" s="3" t="inlineStr">
        <is>
          <t>SPECIES_SHINX</t>
        </is>
      </c>
      <c r="R337" s="3" t="n">
        <v>16</v>
      </c>
    </row>
    <row r="338">
      <c r="A338" s="3">
        <f>XLOOKUP($Q338,'Threshold Summary'!$Y:$Y,'Threshold Summary'!$A:$A,"")</f>
        <v/>
      </c>
      <c r="B338" s="3">
        <f>XLOOKUP($Q338,'Threshold Summary'!$Y:$Y,'Threshold Summary'!$M:$M,"")</f>
        <v/>
      </c>
      <c r="C338" s="3">
        <f>XLOOKUP($Q338,'Threshold Summary'!$Y:$Y,'Threshold Summary'!$N:$N,"")</f>
        <v/>
      </c>
      <c r="D338" s="3">
        <f>IFERROR(INDEX(FILTER('Learnset Editor'!$D$2:$D,'Learnset Editor'!$A$2:$A=XLOOKUP($Q338,'Threshold Summary'!$Y:$Y,'Threshold Summary'!$K:$K,""),'Learnset Editor'!$C$2:$C&lt;=XLOOKUP($Q338,'Threshold Summary'!$Y:$Y,'Threshold Summary'!$L:$L,"")),$R338),"")</f>
        <v/>
      </c>
      <c r="E338" s="3">
        <f>XLOOKUP(D338,'Move Editor'!$B:$B,'Move Editor'!$C:$C,"")</f>
        <v/>
      </c>
      <c r="F338" s="3">
        <f>XLOOKUP(D338,'Move Editor'!$B:$B,'Move Editor'!$D:$D,"")</f>
        <v/>
      </c>
      <c r="G338" s="3">
        <f>XLOOKUP(D338,'Move Editor'!$B:$B,'Move Editor'!$E:$E,0)</f>
        <v/>
      </c>
      <c r="H338" s="3">
        <f>XLOOKUP(D338,'Move Editor'!$B:$B,'Move Editor'!$F:$F,0)</f>
        <v/>
      </c>
      <c r="I338" s="3">
        <f>(INDEX('Type Chart'!$B:$S,MATCH(E338,'Type Chart'!$A:$A,0),MATCH(XLOOKUP('Boss Editor'!$C$4,'Pokemon Editor'!$A:$A,'Pokemon Editor'!$C:$C,""),'Type Chart'!$B$1:$S$1,0))*IF(XLOOKUP('Boss Editor'!$C$4,'Pokemon Editor'!$A:$A,'Pokemon Editor'!$D:$D,"")="",1,INDEX('Type Chart'!$B:$S,MATCH(E338,'Type Chart'!$A:$A,0),MATCH(XLOOKUP('Boss Editor'!$C$4,'Pokemon Editor'!$A:$A,'Pokemon Editor'!$D:$D,""),'Type Chart'!$B$1:$S$1,0))))</f>
        <v/>
      </c>
      <c r="J338" s="3">
        <f>IFERROR(LET(mtype,XLOOKUP($D338,'Move Editor'!$B:$B,'Move Editor'!$C:$C,""),cat,XLOOKUP($D338,'Move Editor'!$B:$B,'Move Editor'!$D:$D,""),pow,XLOOKUP($D338,'Move Editor'!$B:$B,'Move Editor'!$E:$E,0),acc,XLOOKUP($D338,'Move Editor'!$B:$B,'Move Editor'!$F:$F,100),atk,IF(cat="Physical",FLOOR((FLOOR(((2*XLOOKUP(XLOOKUP($Q338,'Threshold Summary'!$Y:$Y,'Threshold Summary'!$K:$K,""),'Pokemon Editor'!$A:$A,'Pokemon Editor'!$F:$F,0)+31+FLOOR(XLOOKUP($Q338,'Threshold Summary'!$Y:$Y,'Threshold Summary'!$P:$P,"")/4))*XLOOKUP($Q338,'Threshold Summary'!$Y:$Y,'Threshold Summary'!$L:$L,""))/100)+5)*XLOOKUP(XLOOKUP($Q338,'Threshold Summary'!$Y:$Y,'Threshold Summary'!$M:$M,""),'Nature Editor'!$A:$A,'Nature Editor'!$B:$B,1)),FLOOR((FLOOR(((2*XLOOKUP(XLOOKUP($Q338,'Threshold Summary'!$Y:$Y,'Threshold Summary'!$K:$K,""),'Pokemon Editor'!$A:$A,'Pokemon Editor'!$H:$H,0)+31+FLOOR(XLOOKUP($Q338,'Threshold Summary'!$Y:$Y,'Threshold Summary'!$R:$R,"")/4))*XLOOKUP($Q338,'Threshold Summary'!$Y:$Y,'Threshold Summary'!$L:$L,""))/100)+5)*XLOOKUP(XLOOKUP($Q338,'Threshold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Editor'!$E:$E,1))),stab,IF(OR(mtype=XLOOKUP(XLOOKUP($Q338,'Threshold Summary'!$Y:$Y,'Threshold Summary'!$K:$K,""),'Pokemon Editor'!$A:$A,'Pokemon Editor'!$C:$C,""),mtype=XLOOKUP(XLOOKUP($Q338,'Threshold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Chart'!$B$1:$S$1,0)))),base,IF(OR(cat="Status",pow=0),0,FLOOR(FLOOR(FLOOR((2*XLOOKUP($Q338,'Threshold Summary'!$Y:$Y,'Threshold Summary'!$L:$L,"")/5+2)*pow*atk/def)/50)+2)),modifier,stab*eff,FLOOR(base*modifier*0.85)),0)</f>
        <v/>
      </c>
      <c r="K338" s="3">
        <f>IFERROR(LET(mtype,XLOOKUP($D338,'Move Editor'!$B:$B,'Move Editor'!$C:$C,""),cat,XLOOKUP($D338,'Move Editor'!$B:$B,'Move Editor'!$D:$D,""),pow,XLOOKUP($D338,'Move Editor'!$B:$B,'Move Editor'!$E:$E,0),acc,XLOOKUP($D338,'Move Editor'!$B:$B,'Move Editor'!$F:$F,100),atk,IF(cat="Physical",FLOOR((FLOOR(((2*XLOOKUP(XLOOKUP($Q338,'Threshold Summary'!$Y:$Y,'Threshold Summary'!$K:$K,""),'Pokemon Editor'!$A:$A,'Pokemon Editor'!$F:$F,0)+31+FLOOR(XLOOKUP($Q338,'Threshold Summary'!$Y:$Y,'Threshold Summary'!$P:$P,"")/4))*XLOOKUP($Q338,'Threshold Summary'!$Y:$Y,'Threshold Summary'!$L:$L,""))/100)+5)*XLOOKUP(XLOOKUP($Q338,'Threshold Summary'!$Y:$Y,'Threshold Summary'!$M:$M,""),'Nature Editor'!$A:$A,'Nature Editor'!$B:$B,1)),FLOOR((FLOOR(((2*XLOOKUP(XLOOKUP($Q338,'Threshold Summary'!$Y:$Y,'Threshold Summary'!$K:$K,""),'Pokemon Editor'!$A:$A,'Pokemon Editor'!$H:$H,0)+31+FLOOR(XLOOKUP($Q338,'Threshold Summary'!$Y:$Y,'Threshold Summary'!$R:$R,"")/4))*XLOOKUP($Q338,'Threshold Summary'!$Y:$Y,'Threshold Summary'!$L:$L,""))/100)+5)*XLOOKUP(XLOOKUP($Q338,'Threshold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Editor'!$E:$E,1))),stab,IF(OR(mtype=XLOOKUP(XLOOKUP($Q338,'Threshold Summary'!$Y:$Y,'Threshold Summary'!$K:$K,""),'Pokemon Editor'!$A:$A,'Pokemon Editor'!$C:$C,""),mtype=XLOOKUP(XLOOKUP($Q338,'Threshold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Chart'!$B$1:$S$1,0)))),base,IF(OR(cat="Status",pow=0),0,FLOOR(FLOOR(FLOOR((2*XLOOKUP($Q338,'Threshold Summary'!$Y:$Y,'Threshold Summary'!$L:$L,"")/5+2)*pow*atk/def)/50)+2)),modifier,stab*eff,FLOOR(base*modifier)),0)</f>
        <v/>
      </c>
      <c r="L338" s="3">
        <f>IFERROR(LET(mtype,XLOOKUP($D338,'Move Editor'!$B:$B,'Move Editor'!$C:$C,""),cat,XLOOKUP($D338,'Move Editor'!$B:$B,'Move Editor'!$D:$D,""),pow,XLOOKUP($D338,'Move Editor'!$B:$B,'Move Editor'!$E:$E,0),acc,XLOOKUP($D338,'Move Editor'!$B:$B,'Move Editor'!$F:$F,100),atk,IF(cat="Physical",FLOOR((FLOOR(((2*XLOOKUP(XLOOKUP($Q338,'Threshold Summary'!$Y:$Y,'Threshold Summary'!$K:$K,""),'Pokemon Editor'!$A:$A,'Pokemon Editor'!$F:$F,0)+31+FLOOR(XLOOKUP($Q338,'Threshold Summary'!$Y:$Y,'Threshold Summary'!$P:$P,"")/4))*XLOOKUP($Q338,'Threshold Summary'!$Y:$Y,'Threshold Summary'!$L:$L,""))/100)+5)*XLOOKUP(XLOOKUP($Q338,'Threshold Summary'!$Y:$Y,'Threshold Summary'!$M:$M,""),'Nature Editor'!$A:$A,'Nature Editor'!$B:$B,1)),FLOOR((FLOOR(((2*XLOOKUP(XLOOKUP($Q338,'Threshold Summary'!$Y:$Y,'Threshold Summary'!$K:$K,""),'Pokemon Editor'!$A:$A,'Pokemon Editor'!$H:$H,0)+31+FLOOR(XLOOKUP($Q338,'Threshold Summary'!$Y:$Y,'Threshold Summary'!$R:$R,"")/4))*XLOOKUP($Q338,'Threshold Summary'!$Y:$Y,'Threshold Summary'!$L:$L,""))/100)+5)*XLOOKUP(XLOOKUP($Q338,'Threshold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Editor'!$E:$E,1))),stab,IF(OR(mtype=XLOOKUP(XLOOKUP($Q338,'Threshold Summary'!$Y:$Y,'Threshold Summary'!$K:$K,""),'Pokemon Editor'!$A:$A,'Pokemon Editor'!$C:$C,""),mtype=XLOOKUP(XLOOKUP($Q338,'Threshold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Chart'!$B$1:$S$1,0)))),base,IF(OR(cat="Status",pow=0),0,FLOOR(FLOOR(FLOOR((2*XLOOKUP($Q338,'Threshold Summary'!$Y:$Y,'Threshold Summary'!$L:$L,"")/5+2)*pow*atk/def)/50)+2)),modifier,stab*eff,AVERAGE(ARRAYFORMULA(FLOOR(base*modifier*SEQUENCE(16,1,85,1)/100)))),0)</f>
        <v/>
      </c>
      <c r="M338" s="3">
        <f>IFERROR(LET(mtype,XLOOKUP($D338,'Move Editor'!$B:$B,'Move Editor'!$C:$C,""),cat,XLOOKUP($D338,'Move Editor'!$B:$B,'Move Editor'!$D:$D,""),pow,XLOOKUP($D338,'Move Editor'!$B:$B,'Move Editor'!$E:$E,0),acc,XLOOKUP($D338,'Move Editor'!$B:$B,'Move Editor'!$F:$F,100),atk,IF(cat="Physical",FLOOR((FLOOR(((2*XLOOKUP(XLOOKUP($Q338,'Threshold Summary'!$Y:$Y,'Threshold Summary'!$K:$K,""),'Pokemon Editor'!$A:$A,'Pokemon Editor'!$F:$F,0)+31+FLOOR(XLOOKUP($Q338,'Threshold Summary'!$Y:$Y,'Threshold Summary'!$P:$P,"")/4))*XLOOKUP($Q338,'Threshold Summary'!$Y:$Y,'Threshold Summary'!$L:$L,""))/100)+5)*XLOOKUP(XLOOKUP($Q338,'Threshold Summary'!$Y:$Y,'Threshold Summary'!$M:$M,""),'Nature Editor'!$A:$A,'Nature Editor'!$B:$B,1)),FLOOR((FLOOR(((2*XLOOKUP(XLOOKUP($Q338,'Threshold Summary'!$Y:$Y,'Threshold Summary'!$K:$K,""),'Pokemon Editor'!$A:$A,'Pokemon Editor'!$H:$H,0)+31+FLOOR(XLOOKUP($Q338,'Threshold Summary'!$Y:$Y,'Threshold Summary'!$R:$R,"")/4))*XLOOKUP($Q338,'Threshold Summary'!$Y:$Y,'Threshold Summary'!$L:$L,""))/100)+5)*XLOOKUP(XLOOKUP($Q338,'Threshold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Editor'!$E:$E,1))),stab,IF(OR(mtype=XLOOKUP(XLOOKUP($Q338,'Threshold Summary'!$Y:$Y,'Threshold Summary'!$K:$K,""),'Pokemon Editor'!$A:$A,'Pokemon Editor'!$C:$C,""),mtype=XLOOKUP(XLOOKUP($Q338,'Threshold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Chart'!$B$1:$S$1,0)))),base,IF(OR(cat="Status",pow=0),0,FLOOR(FLOOR(FLOOR((2*XLOOKUP($Q338,'Threshold Summary'!$Y:$Y,'Threshold Summary'!$L:$L,"")/5+2)*pow*atk/def)/50)+2)),modifier,stab*eff,AVERAGE(ARRAYFORMULA(FLOOR(base*modifier*SEQUENCE(16,1,85,1)/100)))*MIN(1,acc/100)),0)</f>
        <v/>
      </c>
      <c r="N338" s="4">
        <f>IFERROR(LET(mtype,XLOOKUP($D338,'Move Editor'!$B:$B,'Move Editor'!$C:$C,""),cat,XLOOKUP($D338,'Move Editor'!$B:$B,'Move Editor'!$D:$D,""),pow,XLOOKUP($D338,'Move Editor'!$B:$B,'Move Editor'!$E:$E,0),acc,XLOOKUP($D338,'Move Editor'!$B:$B,'Move Editor'!$F:$F,100),atk,IF(cat="Physical",FLOOR((FLOOR(((2*XLOOKUP(XLOOKUP($Q338,'Threshold Summary'!$Y:$Y,'Threshold Summary'!$K:$K,""),'Pokemon Editor'!$A:$A,'Pokemon Editor'!$F:$F,0)+31+FLOOR(XLOOKUP($Q338,'Threshold Summary'!$Y:$Y,'Threshold Summary'!$P:$P,"")/4))*XLOOKUP($Q338,'Threshold Summary'!$Y:$Y,'Threshold Summary'!$L:$L,""))/100)+5)*XLOOKUP(XLOOKUP($Q338,'Threshold Summary'!$Y:$Y,'Threshold Summary'!$M:$M,""),'Nature Editor'!$A:$A,'Nature Editor'!$B:$B,1)),FLOOR((FLOOR(((2*XLOOKUP(XLOOKUP($Q338,'Threshold Summary'!$Y:$Y,'Threshold Summary'!$K:$K,""),'Pokemon Editor'!$A:$A,'Pokemon Editor'!$H:$H,0)+31+FLOOR(XLOOKUP($Q338,'Threshold Summary'!$Y:$Y,'Threshold Summary'!$R:$R,"")/4))*XLOOKUP($Q338,'Threshold Summary'!$Y:$Y,'Threshold Summary'!$L:$L,""))/100)+5)*XLOOKUP(XLOOKUP($Q338,'Threshold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Editor'!$E:$E,1))),stab,IF(OR(mtype=XLOOKUP(XLOOKUP($Q338,'Threshold Summary'!$Y:$Y,'Threshold Summary'!$K:$K,""),'Pokemon Editor'!$A:$A,'Pokemon Editor'!$C:$C,""),mtype=XLOOKUP(XLOOKUP($Q338,'Threshold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Chart'!$B$1:$S$1,0)))),base,IF(OR(cat="Status",pow=0),0,FLOOR(FLOOR(FLOOR((2*XLOOKUP($Q338,'Threshold Summary'!$Y:$Y,'Threshold Summary'!$L:$L,"")/5+2)*pow*atk/def)/50)+2)),modifier,stab*eff,AVERAGE(ARRAYFORMULA(FLOOR(base*modifier*SEQUENCE(16,1,85,1)/100)))/(FLOOR(((2*XLOOKUP('Boss Editor'!$C$4,'Pokemon Editor'!$A:$A,'Pokemon Editor'!$E:$E,0)+31+FLOOR('Boss Editor'!$G$4/4))*'Boss Editor'!$D$4)/100)+'Boss Editor'!$D$4+10)),0)</f>
        <v/>
      </c>
      <c r="O338" s="3">
        <f>IF(N338&gt;=1,"OHKO",IF(N338&gt;=0.5,"2HKO",IF(N338&gt;=0.333,"3HKO",IF(N338&gt;=0.25,"4HKO","5HKO+"))))</f>
        <v/>
      </c>
      <c r="P338" s="3" t="inlineStr">
        <is>
          <t>Live from editable databases</t>
        </is>
      </c>
      <c r="Q338" s="3" t="inlineStr">
        <is>
          <t>SPECIES_SHINX</t>
        </is>
      </c>
      <c r="R338" s="3" t="n">
        <v>17</v>
      </c>
    </row>
    <row r="339">
      <c r="A339" s="3">
        <f>XLOOKUP($Q339,'Threshold Summary'!$Y:$Y,'Threshold Summary'!$A:$A,"")</f>
        <v/>
      </c>
      <c r="B339" s="3">
        <f>XLOOKUP($Q339,'Threshold Summary'!$Y:$Y,'Threshold Summary'!$M:$M,"")</f>
        <v/>
      </c>
      <c r="C339" s="3">
        <f>XLOOKUP($Q339,'Threshold Summary'!$Y:$Y,'Threshold Summary'!$N:$N,"")</f>
        <v/>
      </c>
      <c r="D339" s="3">
        <f>IFERROR(INDEX(FILTER('Learnset Editor'!$D$2:$D,'Learnset Editor'!$A$2:$A=XLOOKUP($Q339,'Threshold Summary'!$Y:$Y,'Threshold Summary'!$K:$K,""),'Learnset Editor'!$C$2:$C&lt;=XLOOKUP($Q339,'Threshold Summary'!$Y:$Y,'Threshold Summary'!$L:$L,"")),$R339),"")</f>
        <v/>
      </c>
      <c r="E339" s="3">
        <f>XLOOKUP(D339,'Move Editor'!$B:$B,'Move Editor'!$C:$C,"")</f>
        <v/>
      </c>
      <c r="F339" s="3">
        <f>XLOOKUP(D339,'Move Editor'!$B:$B,'Move Editor'!$D:$D,"")</f>
        <v/>
      </c>
      <c r="G339" s="3">
        <f>XLOOKUP(D339,'Move Editor'!$B:$B,'Move Editor'!$E:$E,0)</f>
        <v/>
      </c>
      <c r="H339" s="3">
        <f>XLOOKUP(D339,'Move Editor'!$B:$B,'Move Editor'!$F:$F,0)</f>
        <v/>
      </c>
      <c r="I339" s="3">
        <f>(INDEX('Type Chart'!$B:$S,MATCH(E339,'Type Chart'!$A:$A,0),MATCH(XLOOKUP('Boss Editor'!$C$4,'Pokemon Editor'!$A:$A,'Pokemon Editor'!$C:$C,""),'Type Chart'!$B$1:$S$1,0))*IF(XLOOKUP('Boss Editor'!$C$4,'Pokemon Editor'!$A:$A,'Pokemon Editor'!$D:$D,"")="",1,INDEX('Type Chart'!$B:$S,MATCH(E339,'Type Chart'!$A:$A,0),MATCH(XLOOKUP('Boss Editor'!$C$4,'Pokemon Editor'!$A:$A,'Pokemon Editor'!$D:$D,""),'Type Chart'!$B$1:$S$1,0))))</f>
        <v/>
      </c>
      <c r="J339" s="3">
        <f>IFERROR(LET(mtype,XLOOKUP($D339,'Move Editor'!$B:$B,'Move Editor'!$C:$C,""),cat,XLOOKUP($D339,'Move Editor'!$B:$B,'Move Editor'!$D:$D,""),pow,XLOOKUP($D339,'Move Editor'!$B:$B,'Move Editor'!$E:$E,0),acc,XLOOKUP($D339,'Move Editor'!$B:$B,'Move Editor'!$F:$F,100),atk,IF(cat="Physical",FLOOR((FLOOR(((2*XLOOKUP(XLOOKUP($Q339,'Threshold Summary'!$Y:$Y,'Threshold Summary'!$K:$K,""),'Pokemon Editor'!$A:$A,'Pokemon Editor'!$F:$F,0)+31+FLOOR(XLOOKUP($Q339,'Threshold Summary'!$Y:$Y,'Threshold Summary'!$P:$P,"")/4))*XLOOKUP($Q339,'Threshold Summary'!$Y:$Y,'Threshold Summary'!$L:$L,""))/100)+5)*XLOOKUP(XLOOKUP($Q339,'Threshold Summary'!$Y:$Y,'Threshold Summary'!$M:$M,""),'Nature Editor'!$A:$A,'Nature Editor'!$B:$B,1)),FLOOR((FLOOR(((2*XLOOKUP(XLOOKUP($Q339,'Threshold Summary'!$Y:$Y,'Threshold Summary'!$K:$K,""),'Pokemon Editor'!$A:$A,'Pokemon Editor'!$H:$H,0)+31+FLOOR(XLOOKUP($Q339,'Threshold Summary'!$Y:$Y,'Threshold Summary'!$R:$R,"")/4))*XLOOKUP($Q339,'Threshold Summary'!$Y:$Y,'Threshold Summary'!$L:$L,""))/100)+5)*XLOOKUP(XLOOKUP($Q339,'Threshold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Editor'!$E:$E,1))),stab,IF(OR(mtype=XLOOKUP(XLOOKUP($Q339,'Threshold Summary'!$Y:$Y,'Threshold Summary'!$K:$K,""),'Pokemon Editor'!$A:$A,'Pokemon Editor'!$C:$C,""),mtype=XLOOKUP(XLOOKUP($Q339,'Threshold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Chart'!$B$1:$S$1,0)))),base,IF(OR(cat="Status",pow=0),0,FLOOR(FLOOR(FLOOR((2*XLOOKUP($Q339,'Threshold Summary'!$Y:$Y,'Threshold Summary'!$L:$L,"")/5+2)*pow*atk/def)/50)+2)),modifier,stab*eff,FLOOR(base*modifier*0.85)),0)</f>
        <v/>
      </c>
      <c r="K339" s="3">
        <f>IFERROR(LET(mtype,XLOOKUP($D339,'Move Editor'!$B:$B,'Move Editor'!$C:$C,""),cat,XLOOKUP($D339,'Move Editor'!$B:$B,'Move Editor'!$D:$D,""),pow,XLOOKUP($D339,'Move Editor'!$B:$B,'Move Editor'!$E:$E,0),acc,XLOOKUP($D339,'Move Editor'!$B:$B,'Move Editor'!$F:$F,100),atk,IF(cat="Physical",FLOOR((FLOOR(((2*XLOOKUP(XLOOKUP($Q339,'Threshold Summary'!$Y:$Y,'Threshold Summary'!$K:$K,""),'Pokemon Editor'!$A:$A,'Pokemon Editor'!$F:$F,0)+31+FLOOR(XLOOKUP($Q339,'Threshold Summary'!$Y:$Y,'Threshold Summary'!$P:$P,"")/4))*XLOOKUP($Q339,'Threshold Summary'!$Y:$Y,'Threshold Summary'!$L:$L,""))/100)+5)*XLOOKUP(XLOOKUP($Q339,'Threshold Summary'!$Y:$Y,'Threshold Summary'!$M:$M,""),'Nature Editor'!$A:$A,'Nature Editor'!$B:$B,1)),FLOOR((FLOOR(((2*XLOOKUP(XLOOKUP($Q339,'Threshold Summary'!$Y:$Y,'Threshold Summary'!$K:$K,""),'Pokemon Editor'!$A:$A,'Pokemon Editor'!$H:$H,0)+31+FLOOR(XLOOKUP($Q339,'Threshold Summary'!$Y:$Y,'Threshold Summary'!$R:$R,"")/4))*XLOOKUP($Q339,'Threshold Summary'!$Y:$Y,'Threshold Summary'!$L:$L,""))/100)+5)*XLOOKUP(XLOOKUP($Q339,'Threshold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Editor'!$E:$E,1))),stab,IF(OR(mtype=XLOOKUP(XLOOKUP($Q339,'Threshold Summary'!$Y:$Y,'Threshold Summary'!$K:$K,""),'Pokemon Editor'!$A:$A,'Pokemon Editor'!$C:$C,""),mtype=XLOOKUP(XLOOKUP($Q339,'Threshold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Chart'!$B$1:$S$1,0)))),base,IF(OR(cat="Status",pow=0),0,FLOOR(FLOOR(FLOOR((2*XLOOKUP($Q339,'Threshold Summary'!$Y:$Y,'Threshold Summary'!$L:$L,"")/5+2)*pow*atk/def)/50)+2)),modifier,stab*eff,FLOOR(base*modifier)),0)</f>
        <v/>
      </c>
      <c r="L339" s="3">
        <f>IFERROR(LET(mtype,XLOOKUP($D339,'Move Editor'!$B:$B,'Move Editor'!$C:$C,""),cat,XLOOKUP($D339,'Move Editor'!$B:$B,'Move Editor'!$D:$D,""),pow,XLOOKUP($D339,'Move Editor'!$B:$B,'Move Editor'!$E:$E,0),acc,XLOOKUP($D339,'Move Editor'!$B:$B,'Move Editor'!$F:$F,100),atk,IF(cat="Physical",FLOOR((FLOOR(((2*XLOOKUP(XLOOKUP($Q339,'Threshold Summary'!$Y:$Y,'Threshold Summary'!$K:$K,""),'Pokemon Editor'!$A:$A,'Pokemon Editor'!$F:$F,0)+31+FLOOR(XLOOKUP($Q339,'Threshold Summary'!$Y:$Y,'Threshold Summary'!$P:$P,"")/4))*XLOOKUP($Q339,'Threshold Summary'!$Y:$Y,'Threshold Summary'!$L:$L,""))/100)+5)*XLOOKUP(XLOOKUP($Q339,'Threshold Summary'!$Y:$Y,'Threshold Summary'!$M:$M,""),'Nature Editor'!$A:$A,'Nature Editor'!$B:$B,1)),FLOOR((FLOOR(((2*XLOOKUP(XLOOKUP($Q339,'Threshold Summary'!$Y:$Y,'Threshold Summary'!$K:$K,""),'Pokemon Editor'!$A:$A,'Pokemon Editor'!$H:$H,0)+31+FLOOR(XLOOKUP($Q339,'Threshold Summary'!$Y:$Y,'Threshold Summary'!$R:$R,"")/4))*XLOOKUP($Q339,'Threshold Summary'!$Y:$Y,'Threshold Summary'!$L:$L,""))/100)+5)*XLOOKUP(XLOOKUP($Q339,'Threshold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Editor'!$E:$E,1))),stab,IF(OR(mtype=XLOOKUP(XLOOKUP($Q339,'Threshold Summary'!$Y:$Y,'Threshold Summary'!$K:$K,""),'Pokemon Editor'!$A:$A,'Pokemon Editor'!$C:$C,""),mtype=XLOOKUP(XLOOKUP($Q339,'Threshold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Chart'!$B$1:$S$1,0)))),base,IF(OR(cat="Status",pow=0),0,FLOOR(FLOOR(FLOOR((2*XLOOKUP($Q339,'Threshold Summary'!$Y:$Y,'Threshold Summary'!$L:$L,"")/5+2)*pow*atk/def)/50)+2)),modifier,stab*eff,AVERAGE(ARRAYFORMULA(FLOOR(base*modifier*SEQUENCE(16,1,85,1)/100)))),0)</f>
        <v/>
      </c>
      <c r="M339" s="3">
        <f>IFERROR(LET(mtype,XLOOKUP($D339,'Move Editor'!$B:$B,'Move Editor'!$C:$C,""),cat,XLOOKUP($D339,'Move Editor'!$B:$B,'Move Editor'!$D:$D,""),pow,XLOOKUP($D339,'Move Editor'!$B:$B,'Move Editor'!$E:$E,0),acc,XLOOKUP($D339,'Move Editor'!$B:$B,'Move Editor'!$F:$F,100),atk,IF(cat="Physical",FLOOR((FLOOR(((2*XLOOKUP(XLOOKUP($Q339,'Threshold Summary'!$Y:$Y,'Threshold Summary'!$K:$K,""),'Pokemon Editor'!$A:$A,'Pokemon Editor'!$F:$F,0)+31+FLOOR(XLOOKUP($Q339,'Threshold Summary'!$Y:$Y,'Threshold Summary'!$P:$P,"")/4))*XLOOKUP($Q339,'Threshold Summary'!$Y:$Y,'Threshold Summary'!$L:$L,""))/100)+5)*XLOOKUP(XLOOKUP($Q339,'Threshold Summary'!$Y:$Y,'Threshold Summary'!$M:$M,""),'Nature Editor'!$A:$A,'Nature Editor'!$B:$B,1)),FLOOR((FLOOR(((2*XLOOKUP(XLOOKUP($Q339,'Threshold Summary'!$Y:$Y,'Threshold Summary'!$K:$K,""),'Pokemon Editor'!$A:$A,'Pokemon Editor'!$H:$H,0)+31+FLOOR(XLOOKUP($Q339,'Threshold Summary'!$Y:$Y,'Threshold Summary'!$R:$R,"")/4))*XLOOKUP($Q339,'Threshold Summary'!$Y:$Y,'Threshold Summary'!$L:$L,""))/100)+5)*XLOOKUP(XLOOKUP($Q339,'Threshold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Editor'!$E:$E,1))),stab,IF(OR(mtype=XLOOKUP(XLOOKUP($Q339,'Threshold Summary'!$Y:$Y,'Threshold Summary'!$K:$K,""),'Pokemon Editor'!$A:$A,'Pokemon Editor'!$C:$C,""),mtype=XLOOKUP(XLOOKUP($Q339,'Threshold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Chart'!$B$1:$S$1,0)))),base,IF(OR(cat="Status",pow=0),0,FLOOR(FLOOR(FLOOR((2*XLOOKUP($Q339,'Threshold Summary'!$Y:$Y,'Threshold Summary'!$L:$L,"")/5+2)*pow*atk/def)/50)+2)),modifier,stab*eff,AVERAGE(ARRAYFORMULA(FLOOR(base*modifier*SEQUENCE(16,1,85,1)/100)))*MIN(1,acc/100)),0)</f>
        <v/>
      </c>
      <c r="N339" s="4">
        <f>IFERROR(LET(mtype,XLOOKUP($D339,'Move Editor'!$B:$B,'Move Editor'!$C:$C,""),cat,XLOOKUP($D339,'Move Editor'!$B:$B,'Move Editor'!$D:$D,""),pow,XLOOKUP($D339,'Move Editor'!$B:$B,'Move Editor'!$E:$E,0),acc,XLOOKUP($D339,'Move Editor'!$B:$B,'Move Editor'!$F:$F,100),atk,IF(cat="Physical",FLOOR((FLOOR(((2*XLOOKUP(XLOOKUP($Q339,'Threshold Summary'!$Y:$Y,'Threshold Summary'!$K:$K,""),'Pokemon Editor'!$A:$A,'Pokemon Editor'!$F:$F,0)+31+FLOOR(XLOOKUP($Q339,'Threshold Summary'!$Y:$Y,'Threshold Summary'!$P:$P,"")/4))*XLOOKUP($Q339,'Threshold Summary'!$Y:$Y,'Threshold Summary'!$L:$L,""))/100)+5)*XLOOKUP(XLOOKUP($Q339,'Threshold Summary'!$Y:$Y,'Threshold Summary'!$M:$M,""),'Nature Editor'!$A:$A,'Nature Editor'!$B:$B,1)),FLOOR((FLOOR(((2*XLOOKUP(XLOOKUP($Q339,'Threshold Summary'!$Y:$Y,'Threshold Summary'!$K:$K,""),'Pokemon Editor'!$A:$A,'Pokemon Editor'!$H:$H,0)+31+FLOOR(XLOOKUP($Q339,'Threshold Summary'!$Y:$Y,'Threshold Summary'!$R:$R,"")/4))*XLOOKUP($Q339,'Threshold Summary'!$Y:$Y,'Threshold Summary'!$L:$L,""))/100)+5)*XLOOKUP(XLOOKUP($Q339,'Threshold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Editor'!$E:$E,1))),stab,IF(OR(mtype=XLOOKUP(XLOOKUP($Q339,'Threshold Summary'!$Y:$Y,'Threshold Summary'!$K:$K,""),'Pokemon Editor'!$A:$A,'Pokemon Editor'!$C:$C,""),mtype=XLOOKUP(XLOOKUP($Q339,'Threshold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Chart'!$B$1:$S$1,0)))),base,IF(OR(cat="Status",pow=0),0,FLOOR(FLOOR(FLOOR((2*XLOOKUP($Q339,'Threshold Summary'!$Y:$Y,'Threshold Summary'!$L:$L,"")/5+2)*pow*atk/def)/50)+2)),modifier,stab*eff,AVERAGE(ARRAYFORMULA(FLOOR(base*modifier*SEQUENCE(16,1,85,1)/100)))/(FLOOR(((2*XLOOKUP('Boss Editor'!$C$4,'Pokemon Editor'!$A:$A,'Pokemon Editor'!$E:$E,0)+31+FLOOR('Boss Editor'!$G$4/4))*'Boss Editor'!$D$4)/100)+'Boss Editor'!$D$4+10)),0)</f>
        <v/>
      </c>
      <c r="O339" s="3">
        <f>IF(N339&gt;=1,"OHKO",IF(N339&gt;=0.5,"2HKO",IF(N339&gt;=0.333,"3HKO",IF(N339&gt;=0.25,"4HKO","5HKO+"))))</f>
        <v/>
      </c>
      <c r="P339" s="3" t="inlineStr">
        <is>
          <t>Live from editable databases</t>
        </is>
      </c>
      <c r="Q339" s="3" t="inlineStr">
        <is>
          <t>SPECIES_SHINX</t>
        </is>
      </c>
      <c r="R339" s="3" t="n">
        <v>18</v>
      </c>
    </row>
    <row r="340">
      <c r="A340" s="3">
        <f>XLOOKUP($Q340,'Threshold Summary'!$Y:$Y,'Threshold Summary'!$A:$A,"")</f>
        <v/>
      </c>
      <c r="B340" s="3">
        <f>XLOOKUP($Q340,'Threshold Summary'!$Y:$Y,'Threshold Summary'!$M:$M,"")</f>
        <v/>
      </c>
      <c r="C340" s="3">
        <f>XLOOKUP($Q340,'Threshold Summary'!$Y:$Y,'Threshold Summary'!$N:$N,"")</f>
        <v/>
      </c>
      <c r="D340" s="3">
        <f>IFERROR(INDEX(FILTER('Learnset Editor'!$D$2:$D,'Learnset Editor'!$A$2:$A=XLOOKUP($Q340,'Threshold Summary'!$Y:$Y,'Threshold Summary'!$K:$K,""),'Learnset Editor'!$C$2:$C&lt;=XLOOKUP($Q340,'Threshold Summary'!$Y:$Y,'Threshold Summary'!$L:$L,"")),$R340),"")</f>
        <v/>
      </c>
      <c r="E340" s="3">
        <f>XLOOKUP(D340,'Move Editor'!$B:$B,'Move Editor'!$C:$C,"")</f>
        <v/>
      </c>
      <c r="F340" s="3">
        <f>XLOOKUP(D340,'Move Editor'!$B:$B,'Move Editor'!$D:$D,"")</f>
        <v/>
      </c>
      <c r="G340" s="3">
        <f>XLOOKUP(D340,'Move Editor'!$B:$B,'Move Editor'!$E:$E,0)</f>
        <v/>
      </c>
      <c r="H340" s="3">
        <f>XLOOKUP(D340,'Move Editor'!$B:$B,'Move Editor'!$F:$F,0)</f>
        <v/>
      </c>
      <c r="I340" s="3">
        <f>(INDEX('Type Chart'!$B:$S,MATCH(E340,'Type Chart'!$A:$A,0),MATCH(XLOOKUP('Boss Editor'!$C$4,'Pokemon Editor'!$A:$A,'Pokemon Editor'!$C:$C,""),'Type Chart'!$B$1:$S$1,0))*IF(XLOOKUP('Boss Editor'!$C$4,'Pokemon Editor'!$A:$A,'Pokemon Editor'!$D:$D,"")="",1,INDEX('Type Chart'!$B:$S,MATCH(E340,'Type Chart'!$A:$A,0),MATCH(XLOOKUP('Boss Editor'!$C$4,'Pokemon Editor'!$A:$A,'Pokemon Editor'!$D:$D,""),'Type Chart'!$B$1:$S$1,0))))</f>
        <v/>
      </c>
      <c r="J340" s="3">
        <f>IFERROR(LET(mtype,XLOOKUP($D340,'Move Editor'!$B:$B,'Move Editor'!$C:$C,""),cat,XLOOKUP($D340,'Move Editor'!$B:$B,'Move Editor'!$D:$D,""),pow,XLOOKUP($D340,'Move Editor'!$B:$B,'Move Editor'!$E:$E,0),acc,XLOOKUP($D340,'Move Editor'!$B:$B,'Move Editor'!$F:$F,100),atk,IF(cat="Physical",FLOOR((FLOOR(((2*XLOOKUP(XLOOKUP($Q340,'Threshold Summary'!$Y:$Y,'Threshold Summary'!$K:$K,""),'Pokemon Editor'!$A:$A,'Pokemon Editor'!$F:$F,0)+31+FLOOR(XLOOKUP($Q340,'Threshold Summary'!$Y:$Y,'Threshold Summary'!$P:$P,"")/4))*XLOOKUP($Q340,'Threshold Summary'!$Y:$Y,'Threshold Summary'!$L:$L,""))/100)+5)*XLOOKUP(XLOOKUP($Q340,'Threshold Summary'!$Y:$Y,'Threshold Summary'!$M:$M,""),'Nature Editor'!$A:$A,'Nature Editor'!$B:$B,1)),FLOOR((FLOOR(((2*XLOOKUP(XLOOKUP($Q340,'Threshold Summary'!$Y:$Y,'Threshold Summary'!$K:$K,""),'Pokemon Editor'!$A:$A,'Pokemon Editor'!$H:$H,0)+31+FLOOR(XLOOKUP($Q340,'Threshold Summary'!$Y:$Y,'Threshold Summary'!$R:$R,"")/4))*XLOOKUP($Q340,'Threshold Summary'!$Y:$Y,'Threshold Summary'!$L:$L,""))/100)+5)*XLOOKUP(XLOOKUP($Q340,'Threshold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Editor'!$E:$E,1))),stab,IF(OR(mtype=XLOOKUP(XLOOKUP($Q340,'Threshold Summary'!$Y:$Y,'Threshold Summary'!$K:$K,""),'Pokemon Editor'!$A:$A,'Pokemon Editor'!$C:$C,""),mtype=XLOOKUP(XLOOKUP($Q340,'Threshold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Chart'!$B$1:$S$1,0)))),base,IF(OR(cat="Status",pow=0),0,FLOOR(FLOOR(FLOOR((2*XLOOKUP($Q340,'Threshold Summary'!$Y:$Y,'Threshold Summary'!$L:$L,"")/5+2)*pow*atk/def)/50)+2)),modifier,stab*eff,FLOOR(base*modifier*0.85)),0)</f>
        <v/>
      </c>
      <c r="K340" s="3">
        <f>IFERROR(LET(mtype,XLOOKUP($D340,'Move Editor'!$B:$B,'Move Editor'!$C:$C,""),cat,XLOOKUP($D340,'Move Editor'!$B:$B,'Move Editor'!$D:$D,""),pow,XLOOKUP($D340,'Move Editor'!$B:$B,'Move Editor'!$E:$E,0),acc,XLOOKUP($D340,'Move Editor'!$B:$B,'Move Editor'!$F:$F,100),atk,IF(cat="Physical",FLOOR((FLOOR(((2*XLOOKUP(XLOOKUP($Q340,'Threshold Summary'!$Y:$Y,'Threshold Summary'!$K:$K,""),'Pokemon Editor'!$A:$A,'Pokemon Editor'!$F:$F,0)+31+FLOOR(XLOOKUP($Q340,'Threshold Summary'!$Y:$Y,'Threshold Summary'!$P:$P,"")/4))*XLOOKUP($Q340,'Threshold Summary'!$Y:$Y,'Threshold Summary'!$L:$L,""))/100)+5)*XLOOKUP(XLOOKUP($Q340,'Threshold Summary'!$Y:$Y,'Threshold Summary'!$M:$M,""),'Nature Editor'!$A:$A,'Nature Editor'!$B:$B,1)),FLOOR((FLOOR(((2*XLOOKUP(XLOOKUP($Q340,'Threshold Summary'!$Y:$Y,'Threshold Summary'!$K:$K,""),'Pokemon Editor'!$A:$A,'Pokemon Editor'!$H:$H,0)+31+FLOOR(XLOOKUP($Q340,'Threshold Summary'!$Y:$Y,'Threshold Summary'!$R:$R,"")/4))*XLOOKUP($Q340,'Threshold Summary'!$Y:$Y,'Threshold Summary'!$L:$L,""))/100)+5)*XLOOKUP(XLOOKUP($Q340,'Threshold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Editor'!$E:$E,1))),stab,IF(OR(mtype=XLOOKUP(XLOOKUP($Q340,'Threshold Summary'!$Y:$Y,'Threshold Summary'!$K:$K,""),'Pokemon Editor'!$A:$A,'Pokemon Editor'!$C:$C,""),mtype=XLOOKUP(XLOOKUP($Q340,'Threshold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Chart'!$B$1:$S$1,0)))),base,IF(OR(cat="Status",pow=0),0,FLOOR(FLOOR(FLOOR((2*XLOOKUP($Q340,'Threshold Summary'!$Y:$Y,'Threshold Summary'!$L:$L,"")/5+2)*pow*atk/def)/50)+2)),modifier,stab*eff,FLOOR(base*modifier)),0)</f>
        <v/>
      </c>
      <c r="L340" s="3">
        <f>IFERROR(LET(mtype,XLOOKUP($D340,'Move Editor'!$B:$B,'Move Editor'!$C:$C,""),cat,XLOOKUP($D340,'Move Editor'!$B:$B,'Move Editor'!$D:$D,""),pow,XLOOKUP($D340,'Move Editor'!$B:$B,'Move Editor'!$E:$E,0),acc,XLOOKUP($D340,'Move Editor'!$B:$B,'Move Editor'!$F:$F,100),atk,IF(cat="Physical",FLOOR((FLOOR(((2*XLOOKUP(XLOOKUP($Q340,'Threshold Summary'!$Y:$Y,'Threshold Summary'!$K:$K,""),'Pokemon Editor'!$A:$A,'Pokemon Editor'!$F:$F,0)+31+FLOOR(XLOOKUP($Q340,'Threshold Summary'!$Y:$Y,'Threshold Summary'!$P:$P,"")/4))*XLOOKUP($Q340,'Threshold Summary'!$Y:$Y,'Threshold Summary'!$L:$L,""))/100)+5)*XLOOKUP(XLOOKUP($Q340,'Threshold Summary'!$Y:$Y,'Threshold Summary'!$M:$M,""),'Nature Editor'!$A:$A,'Nature Editor'!$B:$B,1)),FLOOR((FLOOR(((2*XLOOKUP(XLOOKUP($Q340,'Threshold Summary'!$Y:$Y,'Threshold Summary'!$K:$K,""),'Pokemon Editor'!$A:$A,'Pokemon Editor'!$H:$H,0)+31+FLOOR(XLOOKUP($Q340,'Threshold Summary'!$Y:$Y,'Threshold Summary'!$R:$R,"")/4))*XLOOKUP($Q340,'Threshold Summary'!$Y:$Y,'Threshold Summary'!$L:$L,""))/100)+5)*XLOOKUP(XLOOKUP($Q340,'Threshold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Editor'!$E:$E,1))),stab,IF(OR(mtype=XLOOKUP(XLOOKUP($Q340,'Threshold Summary'!$Y:$Y,'Threshold Summary'!$K:$K,""),'Pokemon Editor'!$A:$A,'Pokemon Editor'!$C:$C,""),mtype=XLOOKUP(XLOOKUP($Q340,'Threshold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Chart'!$B$1:$S$1,0)))),base,IF(OR(cat="Status",pow=0),0,FLOOR(FLOOR(FLOOR((2*XLOOKUP($Q340,'Threshold Summary'!$Y:$Y,'Threshold Summary'!$L:$L,"")/5+2)*pow*atk/def)/50)+2)),modifier,stab*eff,AVERAGE(ARRAYFORMULA(FLOOR(base*modifier*SEQUENCE(16,1,85,1)/100)))),0)</f>
        <v/>
      </c>
      <c r="M340" s="3">
        <f>IFERROR(LET(mtype,XLOOKUP($D340,'Move Editor'!$B:$B,'Move Editor'!$C:$C,""),cat,XLOOKUP($D340,'Move Editor'!$B:$B,'Move Editor'!$D:$D,""),pow,XLOOKUP($D340,'Move Editor'!$B:$B,'Move Editor'!$E:$E,0),acc,XLOOKUP($D340,'Move Editor'!$B:$B,'Move Editor'!$F:$F,100),atk,IF(cat="Physical",FLOOR((FLOOR(((2*XLOOKUP(XLOOKUP($Q340,'Threshold Summary'!$Y:$Y,'Threshold Summary'!$K:$K,""),'Pokemon Editor'!$A:$A,'Pokemon Editor'!$F:$F,0)+31+FLOOR(XLOOKUP($Q340,'Threshold Summary'!$Y:$Y,'Threshold Summary'!$P:$P,"")/4))*XLOOKUP($Q340,'Threshold Summary'!$Y:$Y,'Threshold Summary'!$L:$L,""))/100)+5)*XLOOKUP(XLOOKUP($Q340,'Threshold Summary'!$Y:$Y,'Threshold Summary'!$M:$M,""),'Nature Editor'!$A:$A,'Nature Editor'!$B:$B,1)),FLOOR((FLOOR(((2*XLOOKUP(XLOOKUP($Q340,'Threshold Summary'!$Y:$Y,'Threshold Summary'!$K:$K,""),'Pokemon Editor'!$A:$A,'Pokemon Editor'!$H:$H,0)+31+FLOOR(XLOOKUP($Q340,'Threshold Summary'!$Y:$Y,'Threshold Summary'!$R:$R,"")/4))*XLOOKUP($Q340,'Threshold Summary'!$Y:$Y,'Threshold Summary'!$L:$L,""))/100)+5)*XLOOKUP(XLOOKUP($Q340,'Threshold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Editor'!$E:$E,1))),stab,IF(OR(mtype=XLOOKUP(XLOOKUP($Q340,'Threshold Summary'!$Y:$Y,'Threshold Summary'!$K:$K,""),'Pokemon Editor'!$A:$A,'Pokemon Editor'!$C:$C,""),mtype=XLOOKUP(XLOOKUP($Q340,'Threshold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Chart'!$B$1:$S$1,0)))),base,IF(OR(cat="Status",pow=0),0,FLOOR(FLOOR(FLOOR((2*XLOOKUP($Q340,'Threshold Summary'!$Y:$Y,'Threshold Summary'!$L:$L,"")/5+2)*pow*atk/def)/50)+2)),modifier,stab*eff,AVERAGE(ARRAYFORMULA(FLOOR(base*modifier*SEQUENCE(16,1,85,1)/100)))*MIN(1,acc/100)),0)</f>
        <v/>
      </c>
      <c r="N340" s="4">
        <f>IFERROR(LET(mtype,XLOOKUP($D340,'Move Editor'!$B:$B,'Move Editor'!$C:$C,""),cat,XLOOKUP($D340,'Move Editor'!$B:$B,'Move Editor'!$D:$D,""),pow,XLOOKUP($D340,'Move Editor'!$B:$B,'Move Editor'!$E:$E,0),acc,XLOOKUP($D340,'Move Editor'!$B:$B,'Move Editor'!$F:$F,100),atk,IF(cat="Physical",FLOOR((FLOOR(((2*XLOOKUP(XLOOKUP($Q340,'Threshold Summary'!$Y:$Y,'Threshold Summary'!$K:$K,""),'Pokemon Editor'!$A:$A,'Pokemon Editor'!$F:$F,0)+31+FLOOR(XLOOKUP($Q340,'Threshold Summary'!$Y:$Y,'Threshold Summary'!$P:$P,"")/4))*XLOOKUP($Q340,'Threshold Summary'!$Y:$Y,'Threshold Summary'!$L:$L,""))/100)+5)*XLOOKUP(XLOOKUP($Q340,'Threshold Summary'!$Y:$Y,'Threshold Summary'!$M:$M,""),'Nature Editor'!$A:$A,'Nature Editor'!$B:$B,1)),FLOOR((FLOOR(((2*XLOOKUP(XLOOKUP($Q340,'Threshold Summary'!$Y:$Y,'Threshold Summary'!$K:$K,""),'Pokemon Editor'!$A:$A,'Pokemon Editor'!$H:$H,0)+31+FLOOR(XLOOKUP($Q340,'Threshold Summary'!$Y:$Y,'Threshold Summary'!$R:$R,"")/4))*XLOOKUP($Q340,'Threshold Summary'!$Y:$Y,'Threshold Summary'!$L:$L,""))/100)+5)*XLOOKUP(XLOOKUP($Q340,'Threshold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Editor'!$E:$E,1))),stab,IF(OR(mtype=XLOOKUP(XLOOKUP($Q340,'Threshold Summary'!$Y:$Y,'Threshold Summary'!$K:$K,""),'Pokemon Editor'!$A:$A,'Pokemon Editor'!$C:$C,""),mtype=XLOOKUP(XLOOKUP($Q340,'Threshold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Chart'!$B$1:$S$1,0)))),base,IF(OR(cat="Status",pow=0),0,FLOOR(FLOOR(FLOOR((2*XLOOKUP($Q340,'Threshold Summary'!$Y:$Y,'Threshold Summary'!$L:$L,"")/5+2)*pow*atk/def)/50)+2)),modifier,stab*eff,AVERAGE(ARRAYFORMULA(FLOOR(base*modifier*SEQUENCE(16,1,85,1)/100)))/(FLOOR(((2*XLOOKUP('Boss Editor'!$C$4,'Pokemon Editor'!$A:$A,'Pokemon Editor'!$E:$E,0)+31+FLOOR('Boss Editor'!$G$4/4))*'Boss Editor'!$D$4)/100)+'Boss Editor'!$D$4+10)),0)</f>
        <v/>
      </c>
      <c r="O340" s="3">
        <f>IF(N340&gt;=1,"OHKO",IF(N340&gt;=0.5,"2HKO",IF(N340&gt;=0.333,"3HKO",IF(N340&gt;=0.25,"4HKO","5HKO+"))))</f>
        <v/>
      </c>
      <c r="P340" s="3" t="inlineStr">
        <is>
          <t>Live from editable databases</t>
        </is>
      </c>
      <c r="Q340" s="3" t="inlineStr">
        <is>
          <t>SPECIES_SHINX</t>
        </is>
      </c>
      <c r="R340" s="3" t="n">
        <v>19</v>
      </c>
    </row>
    <row r="341">
      <c r="A341" s="3">
        <f>XLOOKUP($Q341,'Threshold Summary'!$Y:$Y,'Threshold Summary'!$A:$A,"")</f>
        <v/>
      </c>
      <c r="B341" s="3">
        <f>XLOOKUP($Q341,'Threshold Summary'!$Y:$Y,'Threshold Summary'!$M:$M,"")</f>
        <v/>
      </c>
      <c r="C341" s="3">
        <f>XLOOKUP($Q341,'Threshold Summary'!$Y:$Y,'Threshold Summary'!$N:$N,"")</f>
        <v/>
      </c>
      <c r="D341" s="3">
        <f>IFERROR(INDEX(FILTER('Learnset Editor'!$D$2:$D,'Learnset Editor'!$A$2:$A=XLOOKUP($Q341,'Threshold Summary'!$Y:$Y,'Threshold Summary'!$K:$K,""),'Learnset Editor'!$C$2:$C&lt;=XLOOKUP($Q341,'Threshold Summary'!$Y:$Y,'Threshold Summary'!$L:$L,"")),$R341),"")</f>
        <v/>
      </c>
      <c r="E341" s="3">
        <f>XLOOKUP(D341,'Move Editor'!$B:$B,'Move Editor'!$C:$C,"")</f>
        <v/>
      </c>
      <c r="F341" s="3">
        <f>XLOOKUP(D341,'Move Editor'!$B:$B,'Move Editor'!$D:$D,"")</f>
        <v/>
      </c>
      <c r="G341" s="3">
        <f>XLOOKUP(D341,'Move Editor'!$B:$B,'Move Editor'!$E:$E,0)</f>
        <v/>
      </c>
      <c r="H341" s="3">
        <f>XLOOKUP(D341,'Move Editor'!$B:$B,'Move Editor'!$F:$F,0)</f>
        <v/>
      </c>
      <c r="I341" s="3">
        <f>(INDEX('Type Chart'!$B:$S,MATCH(E341,'Type Chart'!$A:$A,0),MATCH(XLOOKUP('Boss Editor'!$C$4,'Pokemon Editor'!$A:$A,'Pokemon Editor'!$C:$C,""),'Type Chart'!$B$1:$S$1,0))*IF(XLOOKUP('Boss Editor'!$C$4,'Pokemon Editor'!$A:$A,'Pokemon Editor'!$D:$D,"")="",1,INDEX('Type Chart'!$B:$S,MATCH(E341,'Type Chart'!$A:$A,0),MATCH(XLOOKUP('Boss Editor'!$C$4,'Pokemon Editor'!$A:$A,'Pokemon Editor'!$D:$D,""),'Type Chart'!$B$1:$S$1,0))))</f>
        <v/>
      </c>
      <c r="J341" s="3">
        <f>IFERROR(LET(mtype,XLOOKUP($D341,'Move Editor'!$B:$B,'Move Editor'!$C:$C,""),cat,XLOOKUP($D341,'Move Editor'!$B:$B,'Move Editor'!$D:$D,""),pow,XLOOKUP($D341,'Move Editor'!$B:$B,'Move Editor'!$E:$E,0),acc,XLOOKUP($D341,'Move Editor'!$B:$B,'Move Editor'!$F:$F,100),atk,IF(cat="Physical",FLOOR((FLOOR(((2*XLOOKUP(XLOOKUP($Q341,'Threshold Summary'!$Y:$Y,'Threshold Summary'!$K:$K,""),'Pokemon Editor'!$A:$A,'Pokemon Editor'!$F:$F,0)+31+FLOOR(XLOOKUP($Q341,'Threshold Summary'!$Y:$Y,'Threshold Summary'!$P:$P,"")/4))*XLOOKUP($Q341,'Threshold Summary'!$Y:$Y,'Threshold Summary'!$L:$L,""))/100)+5)*XLOOKUP(XLOOKUP($Q341,'Threshold Summary'!$Y:$Y,'Threshold Summary'!$M:$M,""),'Nature Editor'!$A:$A,'Nature Editor'!$B:$B,1)),FLOOR((FLOOR(((2*XLOOKUP(XLOOKUP($Q341,'Threshold Summary'!$Y:$Y,'Threshold Summary'!$K:$K,""),'Pokemon Editor'!$A:$A,'Pokemon Editor'!$H:$H,0)+31+FLOOR(XLOOKUP($Q341,'Threshold Summary'!$Y:$Y,'Threshold Summary'!$R:$R,"")/4))*XLOOKUP($Q341,'Threshold Summary'!$Y:$Y,'Threshold Summary'!$L:$L,""))/100)+5)*XLOOKUP(XLOOKUP($Q341,'Threshold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Editor'!$E:$E,1))),stab,IF(OR(mtype=XLOOKUP(XLOOKUP($Q341,'Threshold Summary'!$Y:$Y,'Threshold Summary'!$K:$K,""),'Pokemon Editor'!$A:$A,'Pokemon Editor'!$C:$C,""),mtype=XLOOKUP(XLOOKUP($Q341,'Threshold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Chart'!$B$1:$S$1,0)))),base,IF(OR(cat="Status",pow=0),0,FLOOR(FLOOR(FLOOR((2*XLOOKUP($Q341,'Threshold Summary'!$Y:$Y,'Threshold Summary'!$L:$L,"")/5+2)*pow*atk/def)/50)+2)),modifier,stab*eff,FLOOR(base*modifier*0.85)),0)</f>
        <v/>
      </c>
      <c r="K341" s="3">
        <f>IFERROR(LET(mtype,XLOOKUP($D341,'Move Editor'!$B:$B,'Move Editor'!$C:$C,""),cat,XLOOKUP($D341,'Move Editor'!$B:$B,'Move Editor'!$D:$D,""),pow,XLOOKUP($D341,'Move Editor'!$B:$B,'Move Editor'!$E:$E,0),acc,XLOOKUP($D341,'Move Editor'!$B:$B,'Move Editor'!$F:$F,100),atk,IF(cat="Physical",FLOOR((FLOOR(((2*XLOOKUP(XLOOKUP($Q341,'Threshold Summary'!$Y:$Y,'Threshold Summary'!$K:$K,""),'Pokemon Editor'!$A:$A,'Pokemon Editor'!$F:$F,0)+31+FLOOR(XLOOKUP($Q341,'Threshold Summary'!$Y:$Y,'Threshold Summary'!$P:$P,"")/4))*XLOOKUP($Q341,'Threshold Summary'!$Y:$Y,'Threshold Summary'!$L:$L,""))/100)+5)*XLOOKUP(XLOOKUP($Q341,'Threshold Summary'!$Y:$Y,'Threshold Summary'!$M:$M,""),'Nature Editor'!$A:$A,'Nature Editor'!$B:$B,1)),FLOOR((FLOOR(((2*XLOOKUP(XLOOKUP($Q341,'Threshold Summary'!$Y:$Y,'Threshold Summary'!$K:$K,""),'Pokemon Editor'!$A:$A,'Pokemon Editor'!$H:$H,0)+31+FLOOR(XLOOKUP($Q341,'Threshold Summary'!$Y:$Y,'Threshold Summary'!$R:$R,"")/4))*XLOOKUP($Q341,'Threshold Summary'!$Y:$Y,'Threshold Summary'!$L:$L,""))/100)+5)*XLOOKUP(XLOOKUP($Q341,'Threshold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Editor'!$E:$E,1))),stab,IF(OR(mtype=XLOOKUP(XLOOKUP($Q341,'Threshold Summary'!$Y:$Y,'Threshold Summary'!$K:$K,""),'Pokemon Editor'!$A:$A,'Pokemon Editor'!$C:$C,""),mtype=XLOOKUP(XLOOKUP($Q341,'Threshold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Chart'!$B$1:$S$1,0)))),base,IF(OR(cat="Status",pow=0),0,FLOOR(FLOOR(FLOOR((2*XLOOKUP($Q341,'Threshold Summary'!$Y:$Y,'Threshold Summary'!$L:$L,"")/5+2)*pow*atk/def)/50)+2)),modifier,stab*eff,FLOOR(base*modifier)),0)</f>
        <v/>
      </c>
      <c r="L341" s="3">
        <f>IFERROR(LET(mtype,XLOOKUP($D341,'Move Editor'!$B:$B,'Move Editor'!$C:$C,""),cat,XLOOKUP($D341,'Move Editor'!$B:$B,'Move Editor'!$D:$D,""),pow,XLOOKUP($D341,'Move Editor'!$B:$B,'Move Editor'!$E:$E,0),acc,XLOOKUP($D341,'Move Editor'!$B:$B,'Move Editor'!$F:$F,100),atk,IF(cat="Physical",FLOOR((FLOOR(((2*XLOOKUP(XLOOKUP($Q341,'Threshold Summary'!$Y:$Y,'Threshold Summary'!$K:$K,""),'Pokemon Editor'!$A:$A,'Pokemon Editor'!$F:$F,0)+31+FLOOR(XLOOKUP($Q341,'Threshold Summary'!$Y:$Y,'Threshold Summary'!$P:$P,"")/4))*XLOOKUP($Q341,'Threshold Summary'!$Y:$Y,'Threshold Summary'!$L:$L,""))/100)+5)*XLOOKUP(XLOOKUP($Q341,'Threshold Summary'!$Y:$Y,'Threshold Summary'!$M:$M,""),'Nature Editor'!$A:$A,'Nature Editor'!$B:$B,1)),FLOOR((FLOOR(((2*XLOOKUP(XLOOKUP($Q341,'Threshold Summary'!$Y:$Y,'Threshold Summary'!$K:$K,""),'Pokemon Editor'!$A:$A,'Pokemon Editor'!$H:$H,0)+31+FLOOR(XLOOKUP($Q341,'Threshold Summary'!$Y:$Y,'Threshold Summary'!$R:$R,"")/4))*XLOOKUP($Q341,'Threshold Summary'!$Y:$Y,'Threshold Summary'!$L:$L,""))/100)+5)*XLOOKUP(XLOOKUP($Q341,'Threshold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Editor'!$E:$E,1))),stab,IF(OR(mtype=XLOOKUP(XLOOKUP($Q341,'Threshold Summary'!$Y:$Y,'Threshold Summary'!$K:$K,""),'Pokemon Editor'!$A:$A,'Pokemon Editor'!$C:$C,""),mtype=XLOOKUP(XLOOKUP($Q341,'Threshold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Chart'!$B$1:$S$1,0)))),base,IF(OR(cat="Status",pow=0),0,FLOOR(FLOOR(FLOOR((2*XLOOKUP($Q341,'Threshold Summary'!$Y:$Y,'Threshold Summary'!$L:$L,"")/5+2)*pow*atk/def)/50)+2)),modifier,stab*eff,AVERAGE(ARRAYFORMULA(FLOOR(base*modifier*SEQUENCE(16,1,85,1)/100)))),0)</f>
        <v/>
      </c>
      <c r="M341" s="3">
        <f>IFERROR(LET(mtype,XLOOKUP($D341,'Move Editor'!$B:$B,'Move Editor'!$C:$C,""),cat,XLOOKUP($D341,'Move Editor'!$B:$B,'Move Editor'!$D:$D,""),pow,XLOOKUP($D341,'Move Editor'!$B:$B,'Move Editor'!$E:$E,0),acc,XLOOKUP($D341,'Move Editor'!$B:$B,'Move Editor'!$F:$F,100),atk,IF(cat="Physical",FLOOR((FLOOR(((2*XLOOKUP(XLOOKUP($Q341,'Threshold Summary'!$Y:$Y,'Threshold Summary'!$K:$K,""),'Pokemon Editor'!$A:$A,'Pokemon Editor'!$F:$F,0)+31+FLOOR(XLOOKUP($Q341,'Threshold Summary'!$Y:$Y,'Threshold Summary'!$P:$P,"")/4))*XLOOKUP($Q341,'Threshold Summary'!$Y:$Y,'Threshold Summary'!$L:$L,""))/100)+5)*XLOOKUP(XLOOKUP($Q341,'Threshold Summary'!$Y:$Y,'Threshold Summary'!$M:$M,""),'Nature Editor'!$A:$A,'Nature Editor'!$B:$B,1)),FLOOR((FLOOR(((2*XLOOKUP(XLOOKUP($Q341,'Threshold Summary'!$Y:$Y,'Threshold Summary'!$K:$K,""),'Pokemon Editor'!$A:$A,'Pokemon Editor'!$H:$H,0)+31+FLOOR(XLOOKUP($Q341,'Threshold Summary'!$Y:$Y,'Threshold Summary'!$R:$R,"")/4))*XLOOKUP($Q341,'Threshold Summary'!$Y:$Y,'Threshold Summary'!$L:$L,""))/100)+5)*XLOOKUP(XLOOKUP($Q341,'Threshold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Editor'!$E:$E,1))),stab,IF(OR(mtype=XLOOKUP(XLOOKUP($Q341,'Threshold Summary'!$Y:$Y,'Threshold Summary'!$K:$K,""),'Pokemon Editor'!$A:$A,'Pokemon Editor'!$C:$C,""),mtype=XLOOKUP(XLOOKUP($Q341,'Threshold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Chart'!$B$1:$S$1,0)))),base,IF(OR(cat="Status",pow=0),0,FLOOR(FLOOR(FLOOR((2*XLOOKUP($Q341,'Threshold Summary'!$Y:$Y,'Threshold Summary'!$L:$L,"")/5+2)*pow*atk/def)/50)+2)),modifier,stab*eff,AVERAGE(ARRAYFORMULA(FLOOR(base*modifier*SEQUENCE(16,1,85,1)/100)))*MIN(1,acc/100)),0)</f>
        <v/>
      </c>
      <c r="N341" s="4">
        <f>IFERROR(LET(mtype,XLOOKUP($D341,'Move Editor'!$B:$B,'Move Editor'!$C:$C,""),cat,XLOOKUP($D341,'Move Editor'!$B:$B,'Move Editor'!$D:$D,""),pow,XLOOKUP($D341,'Move Editor'!$B:$B,'Move Editor'!$E:$E,0),acc,XLOOKUP($D341,'Move Editor'!$B:$B,'Move Editor'!$F:$F,100),atk,IF(cat="Physical",FLOOR((FLOOR(((2*XLOOKUP(XLOOKUP($Q341,'Threshold Summary'!$Y:$Y,'Threshold Summary'!$K:$K,""),'Pokemon Editor'!$A:$A,'Pokemon Editor'!$F:$F,0)+31+FLOOR(XLOOKUP($Q341,'Threshold Summary'!$Y:$Y,'Threshold Summary'!$P:$P,"")/4))*XLOOKUP($Q341,'Threshold Summary'!$Y:$Y,'Threshold Summary'!$L:$L,""))/100)+5)*XLOOKUP(XLOOKUP($Q341,'Threshold Summary'!$Y:$Y,'Threshold Summary'!$M:$M,""),'Nature Editor'!$A:$A,'Nature Editor'!$B:$B,1)),FLOOR((FLOOR(((2*XLOOKUP(XLOOKUP($Q341,'Threshold Summary'!$Y:$Y,'Threshold Summary'!$K:$K,""),'Pokemon Editor'!$A:$A,'Pokemon Editor'!$H:$H,0)+31+FLOOR(XLOOKUP($Q341,'Threshold Summary'!$Y:$Y,'Threshold Summary'!$R:$R,"")/4))*XLOOKUP($Q341,'Threshold Summary'!$Y:$Y,'Threshold Summary'!$L:$L,""))/100)+5)*XLOOKUP(XLOOKUP($Q341,'Threshold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Editor'!$E:$E,1))),stab,IF(OR(mtype=XLOOKUP(XLOOKUP($Q341,'Threshold Summary'!$Y:$Y,'Threshold Summary'!$K:$K,""),'Pokemon Editor'!$A:$A,'Pokemon Editor'!$C:$C,""),mtype=XLOOKUP(XLOOKUP($Q341,'Threshold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Chart'!$B$1:$S$1,0)))),base,IF(OR(cat="Status",pow=0),0,FLOOR(FLOOR(FLOOR((2*XLOOKUP($Q341,'Threshold Summary'!$Y:$Y,'Threshold Summary'!$L:$L,"")/5+2)*pow*atk/def)/50)+2)),modifier,stab*eff,AVERAGE(ARRAYFORMULA(FLOOR(base*modifier*SEQUENCE(16,1,85,1)/100)))/(FLOOR(((2*XLOOKUP('Boss Editor'!$C$4,'Pokemon Editor'!$A:$A,'Pokemon Editor'!$E:$E,0)+31+FLOOR('Boss Editor'!$G$4/4))*'Boss Editor'!$D$4)/100)+'Boss Editor'!$D$4+10)),0)</f>
        <v/>
      </c>
      <c r="O341" s="3">
        <f>IF(N341&gt;=1,"OHKO",IF(N341&gt;=0.5,"2HKO",IF(N341&gt;=0.333,"3HKO",IF(N341&gt;=0.25,"4HKO","5HKO+"))))</f>
        <v/>
      </c>
      <c r="P341" s="3" t="inlineStr">
        <is>
          <t>Live from editable databases</t>
        </is>
      </c>
      <c r="Q341" s="3" t="inlineStr">
        <is>
          <t>SPECIES_SHINX</t>
        </is>
      </c>
      <c r="R341" s="3" t="n">
        <v>20</v>
      </c>
    </row>
    <row r="342">
      <c r="A342" s="3">
        <f>XLOOKUP($Q342,'Threshold Summary'!$Y:$Y,'Threshold Summary'!$A:$A,"")</f>
        <v/>
      </c>
      <c r="B342" s="3">
        <f>XLOOKUP($Q342,'Threshold Summary'!$Y:$Y,'Threshold Summary'!$M:$M,"")</f>
        <v/>
      </c>
      <c r="C342" s="3">
        <f>XLOOKUP($Q342,'Threshold Summary'!$Y:$Y,'Threshold Summary'!$N:$N,"")</f>
        <v/>
      </c>
      <c r="D342" s="3">
        <f>IFERROR(INDEX(FILTER('Learnset Editor'!$D$2:$D,'Learnset Editor'!$A$2:$A=XLOOKUP($Q342,'Threshold Summary'!$Y:$Y,'Threshold Summary'!$K:$K,""),'Learnset Editor'!$C$2:$C&lt;=XLOOKUP($Q342,'Threshold Summary'!$Y:$Y,'Threshold Summary'!$L:$L,"")),$R342),"")</f>
        <v/>
      </c>
      <c r="E342" s="3">
        <f>XLOOKUP(D342,'Move Editor'!$B:$B,'Move Editor'!$C:$C,"")</f>
        <v/>
      </c>
      <c r="F342" s="3">
        <f>XLOOKUP(D342,'Move Editor'!$B:$B,'Move Editor'!$D:$D,"")</f>
        <v/>
      </c>
      <c r="G342" s="3">
        <f>XLOOKUP(D342,'Move Editor'!$B:$B,'Move Editor'!$E:$E,0)</f>
        <v/>
      </c>
      <c r="H342" s="3">
        <f>XLOOKUP(D342,'Move Editor'!$B:$B,'Move Editor'!$F:$F,0)</f>
        <v/>
      </c>
      <c r="I342" s="3">
        <f>(INDEX('Type Chart'!$B:$S,MATCH(E342,'Type Chart'!$A:$A,0),MATCH(XLOOKUP('Boss Editor'!$C$4,'Pokemon Editor'!$A:$A,'Pokemon Editor'!$C:$C,""),'Type Chart'!$B$1:$S$1,0))*IF(XLOOKUP('Boss Editor'!$C$4,'Pokemon Editor'!$A:$A,'Pokemon Editor'!$D:$D,"")="",1,INDEX('Type Chart'!$B:$S,MATCH(E342,'Type Chart'!$A:$A,0),MATCH(XLOOKUP('Boss Editor'!$C$4,'Pokemon Editor'!$A:$A,'Pokemon Editor'!$D:$D,""),'Type Chart'!$B$1:$S$1,0))))</f>
        <v/>
      </c>
      <c r="J342" s="3">
        <f>IFERROR(LET(mtype,XLOOKUP($D342,'Move Editor'!$B:$B,'Move Editor'!$C:$C,""),cat,XLOOKUP($D342,'Move Editor'!$B:$B,'Move Editor'!$D:$D,""),pow,XLOOKUP($D342,'Move Editor'!$B:$B,'Move Editor'!$E:$E,0),acc,XLOOKUP($D342,'Move Editor'!$B:$B,'Move Editor'!$F:$F,100),atk,IF(cat="Physical",FLOOR((FLOOR(((2*XLOOKUP(XLOOKUP($Q342,'Threshold Summary'!$Y:$Y,'Threshold Summary'!$K:$K,""),'Pokemon Editor'!$A:$A,'Pokemon Editor'!$F:$F,0)+31+FLOOR(XLOOKUP($Q342,'Threshold Summary'!$Y:$Y,'Threshold Summary'!$P:$P,"")/4))*XLOOKUP($Q342,'Threshold Summary'!$Y:$Y,'Threshold Summary'!$L:$L,""))/100)+5)*XLOOKUP(XLOOKUP($Q342,'Threshold Summary'!$Y:$Y,'Threshold Summary'!$M:$M,""),'Nature Editor'!$A:$A,'Nature Editor'!$B:$B,1)),FLOOR((FLOOR(((2*XLOOKUP(XLOOKUP($Q342,'Threshold Summary'!$Y:$Y,'Threshold Summary'!$K:$K,""),'Pokemon Editor'!$A:$A,'Pokemon Editor'!$H:$H,0)+31+FLOOR(XLOOKUP($Q342,'Threshold Summary'!$Y:$Y,'Threshold Summary'!$R:$R,"")/4))*XLOOKUP($Q342,'Threshold Summary'!$Y:$Y,'Threshold Summary'!$L:$L,""))/100)+5)*XLOOKUP(XLOOKUP($Q342,'Threshold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Editor'!$E:$E,1))),stab,IF(OR(mtype=XLOOKUP(XLOOKUP($Q342,'Threshold Summary'!$Y:$Y,'Threshold Summary'!$K:$K,""),'Pokemon Editor'!$A:$A,'Pokemon Editor'!$C:$C,""),mtype=XLOOKUP(XLOOKUP($Q342,'Threshold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Chart'!$B$1:$S$1,0)))),base,IF(OR(cat="Status",pow=0),0,FLOOR(FLOOR(FLOOR((2*XLOOKUP($Q342,'Threshold Summary'!$Y:$Y,'Threshold Summary'!$L:$L,"")/5+2)*pow*atk/def)/50)+2)),modifier,stab*eff,FLOOR(base*modifier*0.85)),0)</f>
        <v/>
      </c>
      <c r="K342" s="3">
        <f>IFERROR(LET(mtype,XLOOKUP($D342,'Move Editor'!$B:$B,'Move Editor'!$C:$C,""),cat,XLOOKUP($D342,'Move Editor'!$B:$B,'Move Editor'!$D:$D,""),pow,XLOOKUP($D342,'Move Editor'!$B:$B,'Move Editor'!$E:$E,0),acc,XLOOKUP($D342,'Move Editor'!$B:$B,'Move Editor'!$F:$F,100),atk,IF(cat="Physical",FLOOR((FLOOR(((2*XLOOKUP(XLOOKUP($Q342,'Threshold Summary'!$Y:$Y,'Threshold Summary'!$K:$K,""),'Pokemon Editor'!$A:$A,'Pokemon Editor'!$F:$F,0)+31+FLOOR(XLOOKUP($Q342,'Threshold Summary'!$Y:$Y,'Threshold Summary'!$P:$P,"")/4))*XLOOKUP($Q342,'Threshold Summary'!$Y:$Y,'Threshold Summary'!$L:$L,""))/100)+5)*XLOOKUP(XLOOKUP($Q342,'Threshold Summary'!$Y:$Y,'Threshold Summary'!$M:$M,""),'Nature Editor'!$A:$A,'Nature Editor'!$B:$B,1)),FLOOR((FLOOR(((2*XLOOKUP(XLOOKUP($Q342,'Threshold Summary'!$Y:$Y,'Threshold Summary'!$K:$K,""),'Pokemon Editor'!$A:$A,'Pokemon Editor'!$H:$H,0)+31+FLOOR(XLOOKUP($Q342,'Threshold Summary'!$Y:$Y,'Threshold Summary'!$R:$R,"")/4))*XLOOKUP($Q342,'Threshold Summary'!$Y:$Y,'Threshold Summary'!$L:$L,""))/100)+5)*XLOOKUP(XLOOKUP($Q342,'Threshold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Editor'!$E:$E,1))),stab,IF(OR(mtype=XLOOKUP(XLOOKUP($Q342,'Threshold Summary'!$Y:$Y,'Threshold Summary'!$K:$K,""),'Pokemon Editor'!$A:$A,'Pokemon Editor'!$C:$C,""),mtype=XLOOKUP(XLOOKUP($Q342,'Threshold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Chart'!$B$1:$S$1,0)))),base,IF(OR(cat="Status",pow=0),0,FLOOR(FLOOR(FLOOR((2*XLOOKUP($Q342,'Threshold Summary'!$Y:$Y,'Threshold Summary'!$L:$L,"")/5+2)*pow*atk/def)/50)+2)),modifier,stab*eff,FLOOR(base*modifier)),0)</f>
        <v/>
      </c>
      <c r="L342" s="3">
        <f>IFERROR(LET(mtype,XLOOKUP($D342,'Move Editor'!$B:$B,'Move Editor'!$C:$C,""),cat,XLOOKUP($D342,'Move Editor'!$B:$B,'Move Editor'!$D:$D,""),pow,XLOOKUP($D342,'Move Editor'!$B:$B,'Move Editor'!$E:$E,0),acc,XLOOKUP($D342,'Move Editor'!$B:$B,'Move Editor'!$F:$F,100),atk,IF(cat="Physical",FLOOR((FLOOR(((2*XLOOKUP(XLOOKUP($Q342,'Threshold Summary'!$Y:$Y,'Threshold Summary'!$K:$K,""),'Pokemon Editor'!$A:$A,'Pokemon Editor'!$F:$F,0)+31+FLOOR(XLOOKUP($Q342,'Threshold Summary'!$Y:$Y,'Threshold Summary'!$P:$P,"")/4))*XLOOKUP($Q342,'Threshold Summary'!$Y:$Y,'Threshold Summary'!$L:$L,""))/100)+5)*XLOOKUP(XLOOKUP($Q342,'Threshold Summary'!$Y:$Y,'Threshold Summary'!$M:$M,""),'Nature Editor'!$A:$A,'Nature Editor'!$B:$B,1)),FLOOR((FLOOR(((2*XLOOKUP(XLOOKUP($Q342,'Threshold Summary'!$Y:$Y,'Threshold Summary'!$K:$K,""),'Pokemon Editor'!$A:$A,'Pokemon Editor'!$H:$H,0)+31+FLOOR(XLOOKUP($Q342,'Threshold Summary'!$Y:$Y,'Threshold Summary'!$R:$R,"")/4))*XLOOKUP($Q342,'Threshold Summary'!$Y:$Y,'Threshold Summary'!$L:$L,""))/100)+5)*XLOOKUP(XLOOKUP($Q342,'Threshold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Editor'!$E:$E,1))),stab,IF(OR(mtype=XLOOKUP(XLOOKUP($Q342,'Threshold Summary'!$Y:$Y,'Threshold Summary'!$K:$K,""),'Pokemon Editor'!$A:$A,'Pokemon Editor'!$C:$C,""),mtype=XLOOKUP(XLOOKUP($Q342,'Threshold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Chart'!$B$1:$S$1,0)))),base,IF(OR(cat="Status",pow=0),0,FLOOR(FLOOR(FLOOR((2*XLOOKUP($Q342,'Threshold Summary'!$Y:$Y,'Threshold Summary'!$L:$L,"")/5+2)*pow*atk/def)/50)+2)),modifier,stab*eff,AVERAGE(ARRAYFORMULA(FLOOR(base*modifier*SEQUENCE(16,1,85,1)/100)))),0)</f>
        <v/>
      </c>
      <c r="M342" s="3">
        <f>IFERROR(LET(mtype,XLOOKUP($D342,'Move Editor'!$B:$B,'Move Editor'!$C:$C,""),cat,XLOOKUP($D342,'Move Editor'!$B:$B,'Move Editor'!$D:$D,""),pow,XLOOKUP($D342,'Move Editor'!$B:$B,'Move Editor'!$E:$E,0),acc,XLOOKUP($D342,'Move Editor'!$B:$B,'Move Editor'!$F:$F,100),atk,IF(cat="Physical",FLOOR((FLOOR(((2*XLOOKUP(XLOOKUP($Q342,'Threshold Summary'!$Y:$Y,'Threshold Summary'!$K:$K,""),'Pokemon Editor'!$A:$A,'Pokemon Editor'!$F:$F,0)+31+FLOOR(XLOOKUP($Q342,'Threshold Summary'!$Y:$Y,'Threshold Summary'!$P:$P,"")/4))*XLOOKUP($Q342,'Threshold Summary'!$Y:$Y,'Threshold Summary'!$L:$L,""))/100)+5)*XLOOKUP(XLOOKUP($Q342,'Threshold Summary'!$Y:$Y,'Threshold Summary'!$M:$M,""),'Nature Editor'!$A:$A,'Nature Editor'!$B:$B,1)),FLOOR((FLOOR(((2*XLOOKUP(XLOOKUP($Q342,'Threshold Summary'!$Y:$Y,'Threshold Summary'!$K:$K,""),'Pokemon Editor'!$A:$A,'Pokemon Editor'!$H:$H,0)+31+FLOOR(XLOOKUP($Q342,'Threshold Summary'!$Y:$Y,'Threshold Summary'!$R:$R,"")/4))*XLOOKUP($Q342,'Threshold Summary'!$Y:$Y,'Threshold Summary'!$L:$L,""))/100)+5)*XLOOKUP(XLOOKUP($Q342,'Threshold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Editor'!$E:$E,1))),stab,IF(OR(mtype=XLOOKUP(XLOOKUP($Q342,'Threshold Summary'!$Y:$Y,'Threshold Summary'!$K:$K,""),'Pokemon Editor'!$A:$A,'Pokemon Editor'!$C:$C,""),mtype=XLOOKUP(XLOOKUP($Q342,'Threshold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Chart'!$B$1:$S$1,0)))),base,IF(OR(cat="Status",pow=0),0,FLOOR(FLOOR(FLOOR((2*XLOOKUP($Q342,'Threshold Summary'!$Y:$Y,'Threshold Summary'!$L:$L,"")/5+2)*pow*atk/def)/50)+2)),modifier,stab*eff,AVERAGE(ARRAYFORMULA(FLOOR(base*modifier*SEQUENCE(16,1,85,1)/100)))*MIN(1,acc/100)),0)</f>
        <v/>
      </c>
      <c r="N342" s="4">
        <f>IFERROR(LET(mtype,XLOOKUP($D342,'Move Editor'!$B:$B,'Move Editor'!$C:$C,""),cat,XLOOKUP($D342,'Move Editor'!$B:$B,'Move Editor'!$D:$D,""),pow,XLOOKUP($D342,'Move Editor'!$B:$B,'Move Editor'!$E:$E,0),acc,XLOOKUP($D342,'Move Editor'!$B:$B,'Move Editor'!$F:$F,100),atk,IF(cat="Physical",FLOOR((FLOOR(((2*XLOOKUP(XLOOKUP($Q342,'Threshold Summary'!$Y:$Y,'Threshold Summary'!$K:$K,""),'Pokemon Editor'!$A:$A,'Pokemon Editor'!$F:$F,0)+31+FLOOR(XLOOKUP($Q342,'Threshold Summary'!$Y:$Y,'Threshold Summary'!$P:$P,"")/4))*XLOOKUP($Q342,'Threshold Summary'!$Y:$Y,'Threshold Summary'!$L:$L,""))/100)+5)*XLOOKUP(XLOOKUP($Q342,'Threshold Summary'!$Y:$Y,'Threshold Summary'!$M:$M,""),'Nature Editor'!$A:$A,'Nature Editor'!$B:$B,1)),FLOOR((FLOOR(((2*XLOOKUP(XLOOKUP($Q342,'Threshold Summary'!$Y:$Y,'Threshold Summary'!$K:$K,""),'Pokemon Editor'!$A:$A,'Pokemon Editor'!$H:$H,0)+31+FLOOR(XLOOKUP($Q342,'Threshold Summary'!$Y:$Y,'Threshold Summary'!$R:$R,"")/4))*XLOOKUP($Q342,'Threshold Summary'!$Y:$Y,'Threshold Summary'!$L:$L,""))/100)+5)*XLOOKUP(XLOOKUP($Q342,'Threshold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Editor'!$E:$E,1))),stab,IF(OR(mtype=XLOOKUP(XLOOKUP($Q342,'Threshold Summary'!$Y:$Y,'Threshold Summary'!$K:$K,""),'Pokemon Editor'!$A:$A,'Pokemon Editor'!$C:$C,""),mtype=XLOOKUP(XLOOKUP($Q342,'Threshold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Chart'!$B$1:$S$1,0)))),base,IF(OR(cat="Status",pow=0),0,FLOOR(FLOOR(FLOOR((2*XLOOKUP($Q342,'Threshold Summary'!$Y:$Y,'Threshold Summary'!$L:$L,"")/5+2)*pow*atk/def)/50)+2)),modifier,stab*eff,AVERAGE(ARRAYFORMULA(FLOOR(base*modifier*SEQUENCE(16,1,85,1)/100)))/(FLOOR(((2*XLOOKUP('Boss Editor'!$C$4,'Pokemon Editor'!$A:$A,'Pokemon Editor'!$E:$E,0)+31+FLOOR('Boss Editor'!$G$4/4))*'Boss Editor'!$D$4)/100)+'Boss Editor'!$D$4+10)),0)</f>
        <v/>
      </c>
      <c r="O342" s="3">
        <f>IF(N342&gt;=1,"OHKO",IF(N342&gt;=0.5,"2HKO",IF(N342&gt;=0.333,"3HKO",IF(N342&gt;=0.25,"4HKO","5HKO+"))))</f>
        <v/>
      </c>
      <c r="P342" s="3" t="inlineStr">
        <is>
          <t>Live from editable databases</t>
        </is>
      </c>
      <c r="Q342" s="3" t="inlineStr">
        <is>
          <t>SPECIES_SHINX</t>
        </is>
      </c>
      <c r="R342" s="3" t="n">
        <v>21</v>
      </c>
    </row>
    <row r="343">
      <c r="A343" s="3">
        <f>XLOOKUP($Q343,'Threshold Summary'!$Y:$Y,'Threshold Summary'!$A:$A,"")</f>
        <v/>
      </c>
      <c r="B343" s="3">
        <f>XLOOKUP($Q343,'Threshold Summary'!$Y:$Y,'Threshold Summary'!$M:$M,"")</f>
        <v/>
      </c>
      <c r="C343" s="3">
        <f>XLOOKUP($Q343,'Threshold Summary'!$Y:$Y,'Threshold Summary'!$N:$N,"")</f>
        <v/>
      </c>
      <c r="D343" s="3">
        <f>IFERROR(INDEX(FILTER('Learnset Editor'!$D$2:$D,'Learnset Editor'!$A$2:$A=XLOOKUP($Q343,'Threshold Summary'!$Y:$Y,'Threshold Summary'!$K:$K,""),'Learnset Editor'!$C$2:$C&lt;=XLOOKUP($Q343,'Threshold Summary'!$Y:$Y,'Threshold Summary'!$L:$L,"")),$R343),"")</f>
        <v/>
      </c>
      <c r="E343" s="3">
        <f>XLOOKUP(D343,'Move Editor'!$B:$B,'Move Editor'!$C:$C,"")</f>
        <v/>
      </c>
      <c r="F343" s="3">
        <f>XLOOKUP(D343,'Move Editor'!$B:$B,'Move Editor'!$D:$D,"")</f>
        <v/>
      </c>
      <c r="G343" s="3">
        <f>XLOOKUP(D343,'Move Editor'!$B:$B,'Move Editor'!$E:$E,0)</f>
        <v/>
      </c>
      <c r="H343" s="3">
        <f>XLOOKUP(D343,'Move Editor'!$B:$B,'Move Editor'!$F:$F,0)</f>
        <v/>
      </c>
      <c r="I343" s="3">
        <f>(INDEX('Type Chart'!$B:$S,MATCH(E343,'Type Chart'!$A:$A,0),MATCH(XLOOKUP('Boss Editor'!$C$4,'Pokemon Editor'!$A:$A,'Pokemon Editor'!$C:$C,""),'Type Chart'!$B$1:$S$1,0))*IF(XLOOKUP('Boss Editor'!$C$4,'Pokemon Editor'!$A:$A,'Pokemon Editor'!$D:$D,"")="",1,INDEX('Type Chart'!$B:$S,MATCH(E343,'Type Chart'!$A:$A,0),MATCH(XLOOKUP('Boss Editor'!$C$4,'Pokemon Editor'!$A:$A,'Pokemon Editor'!$D:$D,""),'Type Chart'!$B$1:$S$1,0))))</f>
        <v/>
      </c>
      <c r="J343" s="3">
        <f>IFERROR(LET(mtype,XLOOKUP($D343,'Move Editor'!$B:$B,'Move Editor'!$C:$C,""),cat,XLOOKUP($D343,'Move Editor'!$B:$B,'Move Editor'!$D:$D,""),pow,XLOOKUP($D343,'Move Editor'!$B:$B,'Move Editor'!$E:$E,0),acc,XLOOKUP($D343,'Move Editor'!$B:$B,'Move Editor'!$F:$F,100),atk,IF(cat="Physical",FLOOR((FLOOR(((2*XLOOKUP(XLOOKUP($Q343,'Threshold Summary'!$Y:$Y,'Threshold Summary'!$K:$K,""),'Pokemon Editor'!$A:$A,'Pokemon Editor'!$F:$F,0)+31+FLOOR(XLOOKUP($Q343,'Threshold Summary'!$Y:$Y,'Threshold Summary'!$P:$P,"")/4))*XLOOKUP($Q343,'Threshold Summary'!$Y:$Y,'Threshold Summary'!$L:$L,""))/100)+5)*XLOOKUP(XLOOKUP($Q343,'Threshold Summary'!$Y:$Y,'Threshold Summary'!$M:$M,""),'Nature Editor'!$A:$A,'Nature Editor'!$B:$B,1)),FLOOR((FLOOR(((2*XLOOKUP(XLOOKUP($Q343,'Threshold Summary'!$Y:$Y,'Threshold Summary'!$K:$K,""),'Pokemon Editor'!$A:$A,'Pokemon Editor'!$H:$H,0)+31+FLOOR(XLOOKUP($Q343,'Threshold Summary'!$Y:$Y,'Threshold Summary'!$R:$R,"")/4))*XLOOKUP($Q343,'Threshold Summary'!$Y:$Y,'Threshold Summary'!$L:$L,""))/100)+5)*XLOOKUP(XLOOKUP($Q343,'Threshold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Editor'!$E:$E,1))),stab,IF(OR(mtype=XLOOKUP(XLOOKUP($Q343,'Threshold Summary'!$Y:$Y,'Threshold Summary'!$K:$K,""),'Pokemon Editor'!$A:$A,'Pokemon Editor'!$C:$C,""),mtype=XLOOKUP(XLOOKUP($Q343,'Threshold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Chart'!$B$1:$S$1,0)))),base,IF(OR(cat="Status",pow=0),0,FLOOR(FLOOR(FLOOR((2*XLOOKUP($Q343,'Threshold Summary'!$Y:$Y,'Threshold Summary'!$L:$L,"")/5+2)*pow*atk/def)/50)+2)),modifier,stab*eff,FLOOR(base*modifier*0.85)),0)</f>
        <v/>
      </c>
      <c r="K343" s="3">
        <f>IFERROR(LET(mtype,XLOOKUP($D343,'Move Editor'!$B:$B,'Move Editor'!$C:$C,""),cat,XLOOKUP($D343,'Move Editor'!$B:$B,'Move Editor'!$D:$D,""),pow,XLOOKUP($D343,'Move Editor'!$B:$B,'Move Editor'!$E:$E,0),acc,XLOOKUP($D343,'Move Editor'!$B:$B,'Move Editor'!$F:$F,100),atk,IF(cat="Physical",FLOOR((FLOOR(((2*XLOOKUP(XLOOKUP($Q343,'Threshold Summary'!$Y:$Y,'Threshold Summary'!$K:$K,""),'Pokemon Editor'!$A:$A,'Pokemon Editor'!$F:$F,0)+31+FLOOR(XLOOKUP($Q343,'Threshold Summary'!$Y:$Y,'Threshold Summary'!$P:$P,"")/4))*XLOOKUP($Q343,'Threshold Summary'!$Y:$Y,'Threshold Summary'!$L:$L,""))/100)+5)*XLOOKUP(XLOOKUP($Q343,'Threshold Summary'!$Y:$Y,'Threshold Summary'!$M:$M,""),'Nature Editor'!$A:$A,'Nature Editor'!$B:$B,1)),FLOOR((FLOOR(((2*XLOOKUP(XLOOKUP($Q343,'Threshold Summary'!$Y:$Y,'Threshold Summary'!$K:$K,""),'Pokemon Editor'!$A:$A,'Pokemon Editor'!$H:$H,0)+31+FLOOR(XLOOKUP($Q343,'Threshold Summary'!$Y:$Y,'Threshold Summary'!$R:$R,"")/4))*XLOOKUP($Q343,'Threshold Summary'!$Y:$Y,'Threshold Summary'!$L:$L,""))/100)+5)*XLOOKUP(XLOOKUP($Q343,'Threshold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Editor'!$E:$E,1))),stab,IF(OR(mtype=XLOOKUP(XLOOKUP($Q343,'Threshold Summary'!$Y:$Y,'Threshold Summary'!$K:$K,""),'Pokemon Editor'!$A:$A,'Pokemon Editor'!$C:$C,""),mtype=XLOOKUP(XLOOKUP($Q343,'Threshold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Chart'!$B$1:$S$1,0)))),base,IF(OR(cat="Status",pow=0),0,FLOOR(FLOOR(FLOOR((2*XLOOKUP($Q343,'Threshold Summary'!$Y:$Y,'Threshold Summary'!$L:$L,"")/5+2)*pow*atk/def)/50)+2)),modifier,stab*eff,FLOOR(base*modifier)),0)</f>
        <v/>
      </c>
      <c r="L343" s="3">
        <f>IFERROR(LET(mtype,XLOOKUP($D343,'Move Editor'!$B:$B,'Move Editor'!$C:$C,""),cat,XLOOKUP($D343,'Move Editor'!$B:$B,'Move Editor'!$D:$D,""),pow,XLOOKUP($D343,'Move Editor'!$B:$B,'Move Editor'!$E:$E,0),acc,XLOOKUP($D343,'Move Editor'!$B:$B,'Move Editor'!$F:$F,100),atk,IF(cat="Physical",FLOOR((FLOOR(((2*XLOOKUP(XLOOKUP($Q343,'Threshold Summary'!$Y:$Y,'Threshold Summary'!$K:$K,""),'Pokemon Editor'!$A:$A,'Pokemon Editor'!$F:$F,0)+31+FLOOR(XLOOKUP($Q343,'Threshold Summary'!$Y:$Y,'Threshold Summary'!$P:$P,"")/4))*XLOOKUP($Q343,'Threshold Summary'!$Y:$Y,'Threshold Summary'!$L:$L,""))/100)+5)*XLOOKUP(XLOOKUP($Q343,'Threshold Summary'!$Y:$Y,'Threshold Summary'!$M:$M,""),'Nature Editor'!$A:$A,'Nature Editor'!$B:$B,1)),FLOOR((FLOOR(((2*XLOOKUP(XLOOKUP($Q343,'Threshold Summary'!$Y:$Y,'Threshold Summary'!$K:$K,""),'Pokemon Editor'!$A:$A,'Pokemon Editor'!$H:$H,0)+31+FLOOR(XLOOKUP($Q343,'Threshold Summary'!$Y:$Y,'Threshold Summary'!$R:$R,"")/4))*XLOOKUP($Q343,'Threshold Summary'!$Y:$Y,'Threshold Summary'!$L:$L,""))/100)+5)*XLOOKUP(XLOOKUP($Q343,'Threshold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Editor'!$E:$E,1))),stab,IF(OR(mtype=XLOOKUP(XLOOKUP($Q343,'Threshold Summary'!$Y:$Y,'Threshold Summary'!$K:$K,""),'Pokemon Editor'!$A:$A,'Pokemon Editor'!$C:$C,""),mtype=XLOOKUP(XLOOKUP($Q343,'Threshold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Chart'!$B$1:$S$1,0)))),base,IF(OR(cat="Status",pow=0),0,FLOOR(FLOOR(FLOOR((2*XLOOKUP($Q343,'Threshold Summary'!$Y:$Y,'Threshold Summary'!$L:$L,"")/5+2)*pow*atk/def)/50)+2)),modifier,stab*eff,AVERAGE(ARRAYFORMULA(FLOOR(base*modifier*SEQUENCE(16,1,85,1)/100)))),0)</f>
        <v/>
      </c>
      <c r="M343" s="3">
        <f>IFERROR(LET(mtype,XLOOKUP($D343,'Move Editor'!$B:$B,'Move Editor'!$C:$C,""),cat,XLOOKUP($D343,'Move Editor'!$B:$B,'Move Editor'!$D:$D,""),pow,XLOOKUP($D343,'Move Editor'!$B:$B,'Move Editor'!$E:$E,0),acc,XLOOKUP($D343,'Move Editor'!$B:$B,'Move Editor'!$F:$F,100),atk,IF(cat="Physical",FLOOR((FLOOR(((2*XLOOKUP(XLOOKUP($Q343,'Threshold Summary'!$Y:$Y,'Threshold Summary'!$K:$K,""),'Pokemon Editor'!$A:$A,'Pokemon Editor'!$F:$F,0)+31+FLOOR(XLOOKUP($Q343,'Threshold Summary'!$Y:$Y,'Threshold Summary'!$P:$P,"")/4))*XLOOKUP($Q343,'Threshold Summary'!$Y:$Y,'Threshold Summary'!$L:$L,""))/100)+5)*XLOOKUP(XLOOKUP($Q343,'Threshold Summary'!$Y:$Y,'Threshold Summary'!$M:$M,""),'Nature Editor'!$A:$A,'Nature Editor'!$B:$B,1)),FLOOR((FLOOR(((2*XLOOKUP(XLOOKUP($Q343,'Threshold Summary'!$Y:$Y,'Threshold Summary'!$K:$K,""),'Pokemon Editor'!$A:$A,'Pokemon Editor'!$H:$H,0)+31+FLOOR(XLOOKUP($Q343,'Threshold Summary'!$Y:$Y,'Threshold Summary'!$R:$R,"")/4))*XLOOKUP($Q343,'Threshold Summary'!$Y:$Y,'Threshold Summary'!$L:$L,""))/100)+5)*XLOOKUP(XLOOKUP($Q343,'Threshold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Editor'!$E:$E,1))),stab,IF(OR(mtype=XLOOKUP(XLOOKUP($Q343,'Threshold Summary'!$Y:$Y,'Threshold Summary'!$K:$K,""),'Pokemon Editor'!$A:$A,'Pokemon Editor'!$C:$C,""),mtype=XLOOKUP(XLOOKUP($Q343,'Threshold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Chart'!$B$1:$S$1,0)))),base,IF(OR(cat="Status",pow=0),0,FLOOR(FLOOR(FLOOR((2*XLOOKUP($Q343,'Threshold Summary'!$Y:$Y,'Threshold Summary'!$L:$L,"")/5+2)*pow*atk/def)/50)+2)),modifier,stab*eff,AVERAGE(ARRAYFORMULA(FLOOR(base*modifier*SEQUENCE(16,1,85,1)/100)))*MIN(1,acc/100)),0)</f>
        <v/>
      </c>
      <c r="N343" s="4">
        <f>IFERROR(LET(mtype,XLOOKUP($D343,'Move Editor'!$B:$B,'Move Editor'!$C:$C,""),cat,XLOOKUP($D343,'Move Editor'!$B:$B,'Move Editor'!$D:$D,""),pow,XLOOKUP($D343,'Move Editor'!$B:$B,'Move Editor'!$E:$E,0),acc,XLOOKUP($D343,'Move Editor'!$B:$B,'Move Editor'!$F:$F,100),atk,IF(cat="Physical",FLOOR((FLOOR(((2*XLOOKUP(XLOOKUP($Q343,'Threshold Summary'!$Y:$Y,'Threshold Summary'!$K:$K,""),'Pokemon Editor'!$A:$A,'Pokemon Editor'!$F:$F,0)+31+FLOOR(XLOOKUP($Q343,'Threshold Summary'!$Y:$Y,'Threshold Summary'!$P:$P,"")/4))*XLOOKUP($Q343,'Threshold Summary'!$Y:$Y,'Threshold Summary'!$L:$L,""))/100)+5)*XLOOKUP(XLOOKUP($Q343,'Threshold Summary'!$Y:$Y,'Threshold Summary'!$M:$M,""),'Nature Editor'!$A:$A,'Nature Editor'!$B:$B,1)),FLOOR((FLOOR(((2*XLOOKUP(XLOOKUP($Q343,'Threshold Summary'!$Y:$Y,'Threshold Summary'!$K:$K,""),'Pokemon Editor'!$A:$A,'Pokemon Editor'!$H:$H,0)+31+FLOOR(XLOOKUP($Q343,'Threshold Summary'!$Y:$Y,'Threshold Summary'!$R:$R,"")/4))*XLOOKUP($Q343,'Threshold Summary'!$Y:$Y,'Threshold Summary'!$L:$L,""))/100)+5)*XLOOKUP(XLOOKUP($Q343,'Threshold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Editor'!$E:$E,1))),stab,IF(OR(mtype=XLOOKUP(XLOOKUP($Q343,'Threshold Summary'!$Y:$Y,'Threshold Summary'!$K:$K,""),'Pokemon Editor'!$A:$A,'Pokemon Editor'!$C:$C,""),mtype=XLOOKUP(XLOOKUP($Q343,'Threshold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Chart'!$B$1:$S$1,0)))),base,IF(OR(cat="Status",pow=0),0,FLOOR(FLOOR(FLOOR((2*XLOOKUP($Q343,'Threshold Summary'!$Y:$Y,'Threshold Summary'!$L:$L,"")/5+2)*pow*atk/def)/50)+2)),modifier,stab*eff,AVERAGE(ARRAYFORMULA(FLOOR(base*modifier*SEQUENCE(16,1,85,1)/100)))/(FLOOR(((2*XLOOKUP('Boss Editor'!$C$4,'Pokemon Editor'!$A:$A,'Pokemon Editor'!$E:$E,0)+31+FLOOR('Boss Editor'!$G$4/4))*'Boss Editor'!$D$4)/100)+'Boss Editor'!$D$4+10)),0)</f>
        <v/>
      </c>
      <c r="O343" s="3">
        <f>IF(N343&gt;=1,"OHKO",IF(N343&gt;=0.5,"2HKO",IF(N343&gt;=0.333,"3HKO",IF(N343&gt;=0.25,"4HKO","5HKO+"))))</f>
        <v/>
      </c>
      <c r="P343" s="3" t="inlineStr">
        <is>
          <t>Live from editable databases</t>
        </is>
      </c>
      <c r="Q343" s="3" t="inlineStr">
        <is>
          <t>SPECIES_SHINX</t>
        </is>
      </c>
      <c r="R343" s="3" t="n">
        <v>22</v>
      </c>
    </row>
    <row r="344">
      <c r="A344" s="3">
        <f>XLOOKUP($Q344,'Threshold Summary'!$Y:$Y,'Threshold Summary'!$A:$A,"")</f>
        <v/>
      </c>
      <c r="B344" s="3">
        <f>XLOOKUP($Q344,'Threshold Summary'!$Y:$Y,'Threshold Summary'!$M:$M,"")</f>
        <v/>
      </c>
      <c r="C344" s="3">
        <f>XLOOKUP($Q344,'Threshold Summary'!$Y:$Y,'Threshold Summary'!$N:$N,"")</f>
        <v/>
      </c>
      <c r="D344" s="3">
        <f>IFERROR(INDEX(FILTER('Learnset Editor'!$D$2:$D,'Learnset Editor'!$A$2:$A=XLOOKUP($Q344,'Threshold Summary'!$Y:$Y,'Threshold Summary'!$K:$K,""),'Learnset Editor'!$C$2:$C&lt;=XLOOKUP($Q344,'Threshold Summary'!$Y:$Y,'Threshold Summary'!$L:$L,"")),$R344),"")</f>
        <v/>
      </c>
      <c r="E344" s="3">
        <f>XLOOKUP(D344,'Move Editor'!$B:$B,'Move Editor'!$C:$C,"")</f>
        <v/>
      </c>
      <c r="F344" s="3">
        <f>XLOOKUP(D344,'Move Editor'!$B:$B,'Move Editor'!$D:$D,"")</f>
        <v/>
      </c>
      <c r="G344" s="3">
        <f>XLOOKUP(D344,'Move Editor'!$B:$B,'Move Editor'!$E:$E,0)</f>
        <v/>
      </c>
      <c r="H344" s="3">
        <f>XLOOKUP(D344,'Move Editor'!$B:$B,'Move Editor'!$F:$F,0)</f>
        <v/>
      </c>
      <c r="I344" s="3">
        <f>(INDEX('Type Chart'!$B:$S,MATCH(E344,'Type Chart'!$A:$A,0),MATCH(XLOOKUP('Boss Editor'!$C$4,'Pokemon Editor'!$A:$A,'Pokemon Editor'!$C:$C,""),'Type Chart'!$B$1:$S$1,0))*IF(XLOOKUP('Boss Editor'!$C$4,'Pokemon Editor'!$A:$A,'Pokemon Editor'!$D:$D,"")="",1,INDEX('Type Chart'!$B:$S,MATCH(E344,'Type Chart'!$A:$A,0),MATCH(XLOOKUP('Boss Editor'!$C$4,'Pokemon Editor'!$A:$A,'Pokemon Editor'!$D:$D,""),'Type Chart'!$B$1:$S$1,0))))</f>
        <v/>
      </c>
      <c r="J344" s="3">
        <f>IFERROR(LET(mtype,XLOOKUP($D344,'Move Editor'!$B:$B,'Move Editor'!$C:$C,""),cat,XLOOKUP($D344,'Move Editor'!$B:$B,'Move Editor'!$D:$D,""),pow,XLOOKUP($D344,'Move Editor'!$B:$B,'Move Editor'!$E:$E,0),acc,XLOOKUP($D344,'Move Editor'!$B:$B,'Move Editor'!$F:$F,100),atk,IF(cat="Physical",FLOOR((FLOOR(((2*XLOOKUP(XLOOKUP($Q344,'Threshold Summary'!$Y:$Y,'Threshold Summary'!$K:$K,""),'Pokemon Editor'!$A:$A,'Pokemon Editor'!$F:$F,0)+31+FLOOR(XLOOKUP($Q344,'Threshold Summary'!$Y:$Y,'Threshold Summary'!$P:$P,"")/4))*XLOOKUP($Q344,'Threshold Summary'!$Y:$Y,'Threshold Summary'!$L:$L,""))/100)+5)*XLOOKUP(XLOOKUP($Q344,'Threshold Summary'!$Y:$Y,'Threshold Summary'!$M:$M,""),'Nature Editor'!$A:$A,'Nature Editor'!$B:$B,1)),FLOOR((FLOOR(((2*XLOOKUP(XLOOKUP($Q344,'Threshold Summary'!$Y:$Y,'Threshold Summary'!$K:$K,""),'Pokemon Editor'!$A:$A,'Pokemon Editor'!$H:$H,0)+31+FLOOR(XLOOKUP($Q344,'Threshold Summary'!$Y:$Y,'Threshold Summary'!$R:$R,"")/4))*XLOOKUP($Q344,'Threshold Summary'!$Y:$Y,'Threshold Summary'!$L:$L,""))/100)+5)*XLOOKUP(XLOOKUP($Q344,'Threshold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Editor'!$E:$E,1))),stab,IF(OR(mtype=XLOOKUP(XLOOKUP($Q344,'Threshold Summary'!$Y:$Y,'Threshold Summary'!$K:$K,""),'Pokemon Editor'!$A:$A,'Pokemon Editor'!$C:$C,""),mtype=XLOOKUP(XLOOKUP($Q344,'Threshold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Chart'!$B$1:$S$1,0)))),base,IF(OR(cat="Status",pow=0),0,FLOOR(FLOOR(FLOOR((2*XLOOKUP($Q344,'Threshold Summary'!$Y:$Y,'Threshold Summary'!$L:$L,"")/5+2)*pow*atk/def)/50)+2)),modifier,stab*eff,FLOOR(base*modifier*0.85)),0)</f>
        <v/>
      </c>
      <c r="K344" s="3">
        <f>IFERROR(LET(mtype,XLOOKUP($D344,'Move Editor'!$B:$B,'Move Editor'!$C:$C,""),cat,XLOOKUP($D344,'Move Editor'!$B:$B,'Move Editor'!$D:$D,""),pow,XLOOKUP($D344,'Move Editor'!$B:$B,'Move Editor'!$E:$E,0),acc,XLOOKUP($D344,'Move Editor'!$B:$B,'Move Editor'!$F:$F,100),atk,IF(cat="Physical",FLOOR((FLOOR(((2*XLOOKUP(XLOOKUP($Q344,'Threshold Summary'!$Y:$Y,'Threshold Summary'!$K:$K,""),'Pokemon Editor'!$A:$A,'Pokemon Editor'!$F:$F,0)+31+FLOOR(XLOOKUP($Q344,'Threshold Summary'!$Y:$Y,'Threshold Summary'!$P:$P,"")/4))*XLOOKUP($Q344,'Threshold Summary'!$Y:$Y,'Threshold Summary'!$L:$L,""))/100)+5)*XLOOKUP(XLOOKUP($Q344,'Threshold Summary'!$Y:$Y,'Threshold Summary'!$M:$M,""),'Nature Editor'!$A:$A,'Nature Editor'!$B:$B,1)),FLOOR((FLOOR(((2*XLOOKUP(XLOOKUP($Q344,'Threshold Summary'!$Y:$Y,'Threshold Summary'!$K:$K,""),'Pokemon Editor'!$A:$A,'Pokemon Editor'!$H:$H,0)+31+FLOOR(XLOOKUP($Q344,'Threshold Summary'!$Y:$Y,'Threshold Summary'!$R:$R,"")/4))*XLOOKUP($Q344,'Threshold Summary'!$Y:$Y,'Threshold Summary'!$L:$L,""))/100)+5)*XLOOKUP(XLOOKUP($Q344,'Threshold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Editor'!$E:$E,1))),stab,IF(OR(mtype=XLOOKUP(XLOOKUP($Q344,'Threshold Summary'!$Y:$Y,'Threshold Summary'!$K:$K,""),'Pokemon Editor'!$A:$A,'Pokemon Editor'!$C:$C,""),mtype=XLOOKUP(XLOOKUP($Q344,'Threshold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Chart'!$B$1:$S$1,0)))),base,IF(OR(cat="Status",pow=0),0,FLOOR(FLOOR(FLOOR((2*XLOOKUP($Q344,'Threshold Summary'!$Y:$Y,'Threshold Summary'!$L:$L,"")/5+2)*pow*atk/def)/50)+2)),modifier,stab*eff,FLOOR(base*modifier)),0)</f>
        <v/>
      </c>
      <c r="L344" s="3">
        <f>IFERROR(LET(mtype,XLOOKUP($D344,'Move Editor'!$B:$B,'Move Editor'!$C:$C,""),cat,XLOOKUP($D344,'Move Editor'!$B:$B,'Move Editor'!$D:$D,""),pow,XLOOKUP($D344,'Move Editor'!$B:$B,'Move Editor'!$E:$E,0),acc,XLOOKUP($D344,'Move Editor'!$B:$B,'Move Editor'!$F:$F,100),atk,IF(cat="Physical",FLOOR((FLOOR(((2*XLOOKUP(XLOOKUP($Q344,'Threshold Summary'!$Y:$Y,'Threshold Summary'!$K:$K,""),'Pokemon Editor'!$A:$A,'Pokemon Editor'!$F:$F,0)+31+FLOOR(XLOOKUP($Q344,'Threshold Summary'!$Y:$Y,'Threshold Summary'!$P:$P,"")/4))*XLOOKUP($Q344,'Threshold Summary'!$Y:$Y,'Threshold Summary'!$L:$L,""))/100)+5)*XLOOKUP(XLOOKUP($Q344,'Threshold Summary'!$Y:$Y,'Threshold Summary'!$M:$M,""),'Nature Editor'!$A:$A,'Nature Editor'!$B:$B,1)),FLOOR((FLOOR(((2*XLOOKUP(XLOOKUP($Q344,'Threshold Summary'!$Y:$Y,'Threshold Summary'!$K:$K,""),'Pokemon Editor'!$A:$A,'Pokemon Editor'!$H:$H,0)+31+FLOOR(XLOOKUP($Q344,'Threshold Summary'!$Y:$Y,'Threshold Summary'!$R:$R,"")/4))*XLOOKUP($Q344,'Threshold Summary'!$Y:$Y,'Threshold Summary'!$L:$L,""))/100)+5)*XLOOKUP(XLOOKUP($Q344,'Threshold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Editor'!$E:$E,1))),stab,IF(OR(mtype=XLOOKUP(XLOOKUP($Q344,'Threshold Summary'!$Y:$Y,'Threshold Summary'!$K:$K,""),'Pokemon Editor'!$A:$A,'Pokemon Editor'!$C:$C,""),mtype=XLOOKUP(XLOOKUP($Q344,'Threshold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Chart'!$B$1:$S$1,0)))),base,IF(OR(cat="Status",pow=0),0,FLOOR(FLOOR(FLOOR((2*XLOOKUP($Q344,'Threshold Summary'!$Y:$Y,'Threshold Summary'!$L:$L,"")/5+2)*pow*atk/def)/50)+2)),modifier,stab*eff,AVERAGE(ARRAYFORMULA(FLOOR(base*modifier*SEQUENCE(16,1,85,1)/100)))),0)</f>
        <v/>
      </c>
      <c r="M344" s="3">
        <f>IFERROR(LET(mtype,XLOOKUP($D344,'Move Editor'!$B:$B,'Move Editor'!$C:$C,""),cat,XLOOKUP($D344,'Move Editor'!$B:$B,'Move Editor'!$D:$D,""),pow,XLOOKUP($D344,'Move Editor'!$B:$B,'Move Editor'!$E:$E,0),acc,XLOOKUP($D344,'Move Editor'!$B:$B,'Move Editor'!$F:$F,100),atk,IF(cat="Physical",FLOOR((FLOOR(((2*XLOOKUP(XLOOKUP($Q344,'Threshold Summary'!$Y:$Y,'Threshold Summary'!$K:$K,""),'Pokemon Editor'!$A:$A,'Pokemon Editor'!$F:$F,0)+31+FLOOR(XLOOKUP($Q344,'Threshold Summary'!$Y:$Y,'Threshold Summary'!$P:$P,"")/4))*XLOOKUP($Q344,'Threshold Summary'!$Y:$Y,'Threshold Summary'!$L:$L,""))/100)+5)*XLOOKUP(XLOOKUP($Q344,'Threshold Summary'!$Y:$Y,'Threshold Summary'!$M:$M,""),'Nature Editor'!$A:$A,'Nature Editor'!$B:$B,1)),FLOOR((FLOOR(((2*XLOOKUP(XLOOKUP($Q344,'Threshold Summary'!$Y:$Y,'Threshold Summary'!$K:$K,""),'Pokemon Editor'!$A:$A,'Pokemon Editor'!$H:$H,0)+31+FLOOR(XLOOKUP($Q344,'Threshold Summary'!$Y:$Y,'Threshold Summary'!$R:$R,"")/4))*XLOOKUP($Q344,'Threshold Summary'!$Y:$Y,'Threshold Summary'!$L:$L,""))/100)+5)*XLOOKUP(XLOOKUP($Q344,'Threshold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Editor'!$E:$E,1))),stab,IF(OR(mtype=XLOOKUP(XLOOKUP($Q344,'Threshold Summary'!$Y:$Y,'Threshold Summary'!$K:$K,""),'Pokemon Editor'!$A:$A,'Pokemon Editor'!$C:$C,""),mtype=XLOOKUP(XLOOKUP($Q344,'Threshold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Chart'!$B$1:$S$1,0)))),base,IF(OR(cat="Status",pow=0),0,FLOOR(FLOOR(FLOOR((2*XLOOKUP($Q344,'Threshold Summary'!$Y:$Y,'Threshold Summary'!$L:$L,"")/5+2)*pow*atk/def)/50)+2)),modifier,stab*eff,AVERAGE(ARRAYFORMULA(FLOOR(base*modifier*SEQUENCE(16,1,85,1)/100)))*MIN(1,acc/100)),0)</f>
        <v/>
      </c>
      <c r="N344" s="4">
        <f>IFERROR(LET(mtype,XLOOKUP($D344,'Move Editor'!$B:$B,'Move Editor'!$C:$C,""),cat,XLOOKUP($D344,'Move Editor'!$B:$B,'Move Editor'!$D:$D,""),pow,XLOOKUP($D344,'Move Editor'!$B:$B,'Move Editor'!$E:$E,0),acc,XLOOKUP($D344,'Move Editor'!$B:$B,'Move Editor'!$F:$F,100),atk,IF(cat="Physical",FLOOR((FLOOR(((2*XLOOKUP(XLOOKUP($Q344,'Threshold Summary'!$Y:$Y,'Threshold Summary'!$K:$K,""),'Pokemon Editor'!$A:$A,'Pokemon Editor'!$F:$F,0)+31+FLOOR(XLOOKUP($Q344,'Threshold Summary'!$Y:$Y,'Threshold Summary'!$P:$P,"")/4))*XLOOKUP($Q344,'Threshold Summary'!$Y:$Y,'Threshold Summary'!$L:$L,""))/100)+5)*XLOOKUP(XLOOKUP($Q344,'Threshold Summary'!$Y:$Y,'Threshold Summary'!$M:$M,""),'Nature Editor'!$A:$A,'Nature Editor'!$B:$B,1)),FLOOR((FLOOR(((2*XLOOKUP(XLOOKUP($Q344,'Threshold Summary'!$Y:$Y,'Threshold Summary'!$K:$K,""),'Pokemon Editor'!$A:$A,'Pokemon Editor'!$H:$H,0)+31+FLOOR(XLOOKUP($Q344,'Threshold Summary'!$Y:$Y,'Threshold Summary'!$R:$R,"")/4))*XLOOKUP($Q344,'Threshold Summary'!$Y:$Y,'Threshold Summary'!$L:$L,""))/100)+5)*XLOOKUP(XLOOKUP($Q344,'Threshold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Editor'!$E:$E,1))),stab,IF(OR(mtype=XLOOKUP(XLOOKUP($Q344,'Threshold Summary'!$Y:$Y,'Threshold Summary'!$K:$K,""),'Pokemon Editor'!$A:$A,'Pokemon Editor'!$C:$C,""),mtype=XLOOKUP(XLOOKUP($Q344,'Threshold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Chart'!$B$1:$S$1,0)))),base,IF(OR(cat="Status",pow=0),0,FLOOR(FLOOR(FLOOR((2*XLOOKUP($Q344,'Threshold Summary'!$Y:$Y,'Threshold Summary'!$L:$L,"")/5+2)*pow*atk/def)/50)+2)),modifier,stab*eff,AVERAGE(ARRAYFORMULA(FLOOR(base*modifier*SEQUENCE(16,1,85,1)/100)))/(FLOOR(((2*XLOOKUP('Boss Editor'!$C$4,'Pokemon Editor'!$A:$A,'Pokemon Editor'!$E:$E,0)+31+FLOOR('Boss Editor'!$G$4/4))*'Boss Editor'!$D$4)/100)+'Boss Editor'!$D$4+10)),0)</f>
        <v/>
      </c>
      <c r="O344" s="3">
        <f>IF(N344&gt;=1,"OHKO",IF(N344&gt;=0.5,"2HKO",IF(N344&gt;=0.333,"3HKO",IF(N344&gt;=0.25,"4HKO","5HKO+"))))</f>
        <v/>
      </c>
      <c r="P344" s="3" t="inlineStr">
        <is>
          <t>Live from editable databases</t>
        </is>
      </c>
      <c r="Q344" s="3" t="inlineStr">
        <is>
          <t>SPECIES_SHINX</t>
        </is>
      </c>
      <c r="R344" s="3" t="n">
        <v>23</v>
      </c>
    </row>
    <row r="345">
      <c r="A345" s="3">
        <f>XLOOKUP($Q345,'Threshold Summary'!$Y:$Y,'Threshold Summary'!$A:$A,"")</f>
        <v/>
      </c>
      <c r="B345" s="3">
        <f>XLOOKUP($Q345,'Threshold Summary'!$Y:$Y,'Threshold Summary'!$M:$M,"")</f>
        <v/>
      </c>
      <c r="C345" s="3">
        <f>XLOOKUP($Q345,'Threshold Summary'!$Y:$Y,'Threshold Summary'!$N:$N,"")</f>
        <v/>
      </c>
      <c r="D345" s="3">
        <f>IFERROR(INDEX(FILTER('Learnset Editor'!$D$2:$D,'Learnset Editor'!$A$2:$A=XLOOKUP($Q345,'Threshold Summary'!$Y:$Y,'Threshold Summary'!$K:$K,""),'Learnset Editor'!$C$2:$C&lt;=XLOOKUP($Q345,'Threshold Summary'!$Y:$Y,'Threshold Summary'!$L:$L,"")),$R345),"")</f>
        <v/>
      </c>
      <c r="E345" s="3">
        <f>XLOOKUP(D345,'Move Editor'!$B:$B,'Move Editor'!$C:$C,"")</f>
        <v/>
      </c>
      <c r="F345" s="3">
        <f>XLOOKUP(D345,'Move Editor'!$B:$B,'Move Editor'!$D:$D,"")</f>
        <v/>
      </c>
      <c r="G345" s="3">
        <f>XLOOKUP(D345,'Move Editor'!$B:$B,'Move Editor'!$E:$E,0)</f>
        <v/>
      </c>
      <c r="H345" s="3">
        <f>XLOOKUP(D345,'Move Editor'!$B:$B,'Move Editor'!$F:$F,0)</f>
        <v/>
      </c>
      <c r="I345" s="3">
        <f>(INDEX('Type Chart'!$B:$S,MATCH(E345,'Type Chart'!$A:$A,0),MATCH(XLOOKUP('Boss Editor'!$C$4,'Pokemon Editor'!$A:$A,'Pokemon Editor'!$C:$C,""),'Type Chart'!$B$1:$S$1,0))*IF(XLOOKUP('Boss Editor'!$C$4,'Pokemon Editor'!$A:$A,'Pokemon Editor'!$D:$D,"")="",1,INDEX('Type Chart'!$B:$S,MATCH(E345,'Type Chart'!$A:$A,0),MATCH(XLOOKUP('Boss Editor'!$C$4,'Pokemon Editor'!$A:$A,'Pokemon Editor'!$D:$D,""),'Type Chart'!$B$1:$S$1,0))))</f>
        <v/>
      </c>
      <c r="J345" s="3">
        <f>IFERROR(LET(mtype,XLOOKUP($D345,'Move Editor'!$B:$B,'Move Editor'!$C:$C,""),cat,XLOOKUP($D345,'Move Editor'!$B:$B,'Move Editor'!$D:$D,""),pow,XLOOKUP($D345,'Move Editor'!$B:$B,'Move Editor'!$E:$E,0),acc,XLOOKUP($D345,'Move Editor'!$B:$B,'Move Editor'!$F:$F,100),atk,IF(cat="Physical",FLOOR((FLOOR(((2*XLOOKUP(XLOOKUP($Q345,'Threshold Summary'!$Y:$Y,'Threshold Summary'!$K:$K,""),'Pokemon Editor'!$A:$A,'Pokemon Editor'!$F:$F,0)+31+FLOOR(XLOOKUP($Q345,'Threshold Summary'!$Y:$Y,'Threshold Summary'!$P:$P,"")/4))*XLOOKUP($Q345,'Threshold Summary'!$Y:$Y,'Threshold Summary'!$L:$L,""))/100)+5)*XLOOKUP(XLOOKUP($Q345,'Threshold Summary'!$Y:$Y,'Threshold Summary'!$M:$M,""),'Nature Editor'!$A:$A,'Nature Editor'!$B:$B,1)),FLOOR((FLOOR(((2*XLOOKUP(XLOOKUP($Q345,'Threshold Summary'!$Y:$Y,'Threshold Summary'!$K:$K,""),'Pokemon Editor'!$A:$A,'Pokemon Editor'!$H:$H,0)+31+FLOOR(XLOOKUP($Q345,'Threshold Summary'!$Y:$Y,'Threshold Summary'!$R:$R,"")/4))*XLOOKUP($Q345,'Threshold Summary'!$Y:$Y,'Threshold Summary'!$L:$L,""))/100)+5)*XLOOKUP(XLOOKUP($Q345,'Threshold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Editor'!$E:$E,1))),stab,IF(OR(mtype=XLOOKUP(XLOOKUP($Q345,'Threshold Summary'!$Y:$Y,'Threshold Summary'!$K:$K,""),'Pokemon Editor'!$A:$A,'Pokemon Editor'!$C:$C,""),mtype=XLOOKUP(XLOOKUP($Q345,'Threshold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Chart'!$B$1:$S$1,0)))),base,IF(OR(cat="Status",pow=0),0,FLOOR(FLOOR(FLOOR((2*XLOOKUP($Q345,'Threshold Summary'!$Y:$Y,'Threshold Summary'!$L:$L,"")/5+2)*pow*atk/def)/50)+2)),modifier,stab*eff,FLOOR(base*modifier*0.85)),0)</f>
        <v/>
      </c>
      <c r="K345" s="3">
        <f>IFERROR(LET(mtype,XLOOKUP($D345,'Move Editor'!$B:$B,'Move Editor'!$C:$C,""),cat,XLOOKUP($D345,'Move Editor'!$B:$B,'Move Editor'!$D:$D,""),pow,XLOOKUP($D345,'Move Editor'!$B:$B,'Move Editor'!$E:$E,0),acc,XLOOKUP($D345,'Move Editor'!$B:$B,'Move Editor'!$F:$F,100),atk,IF(cat="Physical",FLOOR((FLOOR(((2*XLOOKUP(XLOOKUP($Q345,'Threshold Summary'!$Y:$Y,'Threshold Summary'!$K:$K,""),'Pokemon Editor'!$A:$A,'Pokemon Editor'!$F:$F,0)+31+FLOOR(XLOOKUP($Q345,'Threshold Summary'!$Y:$Y,'Threshold Summary'!$P:$P,"")/4))*XLOOKUP($Q345,'Threshold Summary'!$Y:$Y,'Threshold Summary'!$L:$L,""))/100)+5)*XLOOKUP(XLOOKUP($Q345,'Threshold Summary'!$Y:$Y,'Threshold Summary'!$M:$M,""),'Nature Editor'!$A:$A,'Nature Editor'!$B:$B,1)),FLOOR((FLOOR(((2*XLOOKUP(XLOOKUP($Q345,'Threshold Summary'!$Y:$Y,'Threshold Summary'!$K:$K,""),'Pokemon Editor'!$A:$A,'Pokemon Editor'!$H:$H,0)+31+FLOOR(XLOOKUP($Q345,'Threshold Summary'!$Y:$Y,'Threshold Summary'!$R:$R,"")/4))*XLOOKUP($Q345,'Threshold Summary'!$Y:$Y,'Threshold Summary'!$L:$L,""))/100)+5)*XLOOKUP(XLOOKUP($Q345,'Threshold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Editor'!$E:$E,1))),stab,IF(OR(mtype=XLOOKUP(XLOOKUP($Q345,'Threshold Summary'!$Y:$Y,'Threshold Summary'!$K:$K,""),'Pokemon Editor'!$A:$A,'Pokemon Editor'!$C:$C,""),mtype=XLOOKUP(XLOOKUP($Q345,'Threshold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Chart'!$B$1:$S$1,0)))),base,IF(OR(cat="Status",pow=0),0,FLOOR(FLOOR(FLOOR((2*XLOOKUP($Q345,'Threshold Summary'!$Y:$Y,'Threshold Summary'!$L:$L,"")/5+2)*pow*atk/def)/50)+2)),modifier,stab*eff,FLOOR(base*modifier)),0)</f>
        <v/>
      </c>
      <c r="L345" s="3">
        <f>IFERROR(LET(mtype,XLOOKUP($D345,'Move Editor'!$B:$B,'Move Editor'!$C:$C,""),cat,XLOOKUP($D345,'Move Editor'!$B:$B,'Move Editor'!$D:$D,""),pow,XLOOKUP($D345,'Move Editor'!$B:$B,'Move Editor'!$E:$E,0),acc,XLOOKUP($D345,'Move Editor'!$B:$B,'Move Editor'!$F:$F,100),atk,IF(cat="Physical",FLOOR((FLOOR(((2*XLOOKUP(XLOOKUP($Q345,'Threshold Summary'!$Y:$Y,'Threshold Summary'!$K:$K,""),'Pokemon Editor'!$A:$A,'Pokemon Editor'!$F:$F,0)+31+FLOOR(XLOOKUP($Q345,'Threshold Summary'!$Y:$Y,'Threshold Summary'!$P:$P,"")/4))*XLOOKUP($Q345,'Threshold Summary'!$Y:$Y,'Threshold Summary'!$L:$L,""))/100)+5)*XLOOKUP(XLOOKUP($Q345,'Threshold Summary'!$Y:$Y,'Threshold Summary'!$M:$M,""),'Nature Editor'!$A:$A,'Nature Editor'!$B:$B,1)),FLOOR((FLOOR(((2*XLOOKUP(XLOOKUP($Q345,'Threshold Summary'!$Y:$Y,'Threshold Summary'!$K:$K,""),'Pokemon Editor'!$A:$A,'Pokemon Editor'!$H:$H,0)+31+FLOOR(XLOOKUP($Q345,'Threshold Summary'!$Y:$Y,'Threshold Summary'!$R:$R,"")/4))*XLOOKUP($Q345,'Threshold Summary'!$Y:$Y,'Threshold Summary'!$L:$L,""))/100)+5)*XLOOKUP(XLOOKUP($Q345,'Threshold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Editor'!$E:$E,1))),stab,IF(OR(mtype=XLOOKUP(XLOOKUP($Q345,'Threshold Summary'!$Y:$Y,'Threshold Summary'!$K:$K,""),'Pokemon Editor'!$A:$A,'Pokemon Editor'!$C:$C,""),mtype=XLOOKUP(XLOOKUP($Q345,'Threshold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Chart'!$B$1:$S$1,0)))),base,IF(OR(cat="Status",pow=0),0,FLOOR(FLOOR(FLOOR((2*XLOOKUP($Q345,'Threshold Summary'!$Y:$Y,'Threshold Summary'!$L:$L,"")/5+2)*pow*atk/def)/50)+2)),modifier,stab*eff,AVERAGE(ARRAYFORMULA(FLOOR(base*modifier*SEQUENCE(16,1,85,1)/100)))),0)</f>
        <v/>
      </c>
      <c r="M345" s="3">
        <f>IFERROR(LET(mtype,XLOOKUP($D345,'Move Editor'!$B:$B,'Move Editor'!$C:$C,""),cat,XLOOKUP($D345,'Move Editor'!$B:$B,'Move Editor'!$D:$D,""),pow,XLOOKUP($D345,'Move Editor'!$B:$B,'Move Editor'!$E:$E,0),acc,XLOOKUP($D345,'Move Editor'!$B:$B,'Move Editor'!$F:$F,100),atk,IF(cat="Physical",FLOOR((FLOOR(((2*XLOOKUP(XLOOKUP($Q345,'Threshold Summary'!$Y:$Y,'Threshold Summary'!$K:$K,""),'Pokemon Editor'!$A:$A,'Pokemon Editor'!$F:$F,0)+31+FLOOR(XLOOKUP($Q345,'Threshold Summary'!$Y:$Y,'Threshold Summary'!$P:$P,"")/4))*XLOOKUP($Q345,'Threshold Summary'!$Y:$Y,'Threshold Summary'!$L:$L,""))/100)+5)*XLOOKUP(XLOOKUP($Q345,'Threshold Summary'!$Y:$Y,'Threshold Summary'!$M:$M,""),'Nature Editor'!$A:$A,'Nature Editor'!$B:$B,1)),FLOOR((FLOOR(((2*XLOOKUP(XLOOKUP($Q345,'Threshold Summary'!$Y:$Y,'Threshold Summary'!$K:$K,""),'Pokemon Editor'!$A:$A,'Pokemon Editor'!$H:$H,0)+31+FLOOR(XLOOKUP($Q345,'Threshold Summary'!$Y:$Y,'Threshold Summary'!$R:$R,"")/4))*XLOOKUP($Q345,'Threshold Summary'!$Y:$Y,'Threshold Summary'!$L:$L,""))/100)+5)*XLOOKUP(XLOOKUP($Q345,'Threshold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Editor'!$E:$E,1))),stab,IF(OR(mtype=XLOOKUP(XLOOKUP($Q345,'Threshold Summary'!$Y:$Y,'Threshold Summary'!$K:$K,""),'Pokemon Editor'!$A:$A,'Pokemon Editor'!$C:$C,""),mtype=XLOOKUP(XLOOKUP($Q345,'Threshold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Chart'!$B$1:$S$1,0)))),base,IF(OR(cat="Status",pow=0),0,FLOOR(FLOOR(FLOOR((2*XLOOKUP($Q345,'Threshold Summary'!$Y:$Y,'Threshold Summary'!$L:$L,"")/5+2)*pow*atk/def)/50)+2)),modifier,stab*eff,AVERAGE(ARRAYFORMULA(FLOOR(base*modifier*SEQUENCE(16,1,85,1)/100)))*MIN(1,acc/100)),0)</f>
        <v/>
      </c>
      <c r="N345" s="4">
        <f>IFERROR(LET(mtype,XLOOKUP($D345,'Move Editor'!$B:$B,'Move Editor'!$C:$C,""),cat,XLOOKUP($D345,'Move Editor'!$B:$B,'Move Editor'!$D:$D,""),pow,XLOOKUP($D345,'Move Editor'!$B:$B,'Move Editor'!$E:$E,0),acc,XLOOKUP($D345,'Move Editor'!$B:$B,'Move Editor'!$F:$F,100),atk,IF(cat="Physical",FLOOR((FLOOR(((2*XLOOKUP(XLOOKUP($Q345,'Threshold Summary'!$Y:$Y,'Threshold Summary'!$K:$K,""),'Pokemon Editor'!$A:$A,'Pokemon Editor'!$F:$F,0)+31+FLOOR(XLOOKUP($Q345,'Threshold Summary'!$Y:$Y,'Threshold Summary'!$P:$P,"")/4))*XLOOKUP($Q345,'Threshold Summary'!$Y:$Y,'Threshold Summary'!$L:$L,""))/100)+5)*XLOOKUP(XLOOKUP($Q345,'Threshold Summary'!$Y:$Y,'Threshold Summary'!$M:$M,""),'Nature Editor'!$A:$A,'Nature Editor'!$B:$B,1)),FLOOR((FLOOR(((2*XLOOKUP(XLOOKUP($Q345,'Threshold Summary'!$Y:$Y,'Threshold Summary'!$K:$K,""),'Pokemon Editor'!$A:$A,'Pokemon Editor'!$H:$H,0)+31+FLOOR(XLOOKUP($Q345,'Threshold Summary'!$Y:$Y,'Threshold Summary'!$R:$R,"")/4))*XLOOKUP($Q345,'Threshold Summary'!$Y:$Y,'Threshold Summary'!$L:$L,""))/100)+5)*XLOOKUP(XLOOKUP($Q345,'Threshold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Editor'!$E:$E,1))),stab,IF(OR(mtype=XLOOKUP(XLOOKUP($Q345,'Threshold Summary'!$Y:$Y,'Threshold Summary'!$K:$K,""),'Pokemon Editor'!$A:$A,'Pokemon Editor'!$C:$C,""),mtype=XLOOKUP(XLOOKUP($Q345,'Threshold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Chart'!$B$1:$S$1,0)))),base,IF(OR(cat="Status",pow=0),0,FLOOR(FLOOR(FLOOR((2*XLOOKUP($Q345,'Threshold Summary'!$Y:$Y,'Threshold Summary'!$L:$L,"")/5+2)*pow*atk/def)/50)+2)),modifier,stab*eff,AVERAGE(ARRAYFORMULA(FLOOR(base*modifier*SEQUENCE(16,1,85,1)/100)))/(FLOOR(((2*XLOOKUP('Boss Editor'!$C$4,'Pokemon Editor'!$A:$A,'Pokemon Editor'!$E:$E,0)+31+FLOOR('Boss Editor'!$G$4/4))*'Boss Editor'!$D$4)/100)+'Boss Editor'!$D$4+10)),0)</f>
        <v/>
      </c>
      <c r="O345" s="3">
        <f>IF(N345&gt;=1,"OHKO",IF(N345&gt;=0.5,"2HKO",IF(N345&gt;=0.333,"3HKO",IF(N345&gt;=0.25,"4HKO","5HKO+"))))</f>
        <v/>
      </c>
      <c r="P345" s="3" t="inlineStr">
        <is>
          <t>Live from editable databases</t>
        </is>
      </c>
      <c r="Q345" s="3" t="inlineStr">
        <is>
          <t>SPECIES_SHINX</t>
        </is>
      </c>
      <c r="R345" s="3" t="n">
        <v>24</v>
      </c>
    </row>
    <row r="346">
      <c r="A346" s="3">
        <f>XLOOKUP($Q346,'Threshold Summary'!$Y:$Y,'Threshold Summary'!$A:$A,"")</f>
        <v/>
      </c>
      <c r="B346" s="3">
        <f>XLOOKUP($Q346,'Threshold Summary'!$Y:$Y,'Threshold Summary'!$M:$M,"")</f>
        <v/>
      </c>
      <c r="C346" s="3">
        <f>XLOOKUP($Q346,'Threshold Summary'!$Y:$Y,'Threshold Summary'!$N:$N,"")</f>
        <v/>
      </c>
      <c r="D346" s="3">
        <f>IFERROR(INDEX(FILTER('Learnset Editor'!$D$2:$D,'Learnset Editor'!$A$2:$A=XLOOKUP($Q346,'Threshold Summary'!$Y:$Y,'Threshold Summary'!$K:$K,""),'Learnset Editor'!$C$2:$C&lt;=XLOOKUP($Q346,'Threshold Summary'!$Y:$Y,'Threshold Summary'!$L:$L,"")),$R346),"")</f>
        <v/>
      </c>
      <c r="E346" s="3">
        <f>XLOOKUP(D346,'Move Editor'!$B:$B,'Move Editor'!$C:$C,"")</f>
        <v/>
      </c>
      <c r="F346" s="3">
        <f>XLOOKUP(D346,'Move Editor'!$B:$B,'Move Editor'!$D:$D,"")</f>
        <v/>
      </c>
      <c r="G346" s="3">
        <f>XLOOKUP(D346,'Move Editor'!$B:$B,'Move Editor'!$E:$E,0)</f>
        <v/>
      </c>
      <c r="H346" s="3">
        <f>XLOOKUP(D346,'Move Editor'!$B:$B,'Move Editor'!$F:$F,0)</f>
        <v/>
      </c>
      <c r="I346" s="3">
        <f>(INDEX('Type Chart'!$B:$S,MATCH(E346,'Type Chart'!$A:$A,0),MATCH(XLOOKUP('Boss Editor'!$C$4,'Pokemon Editor'!$A:$A,'Pokemon Editor'!$C:$C,""),'Type Chart'!$B$1:$S$1,0))*IF(XLOOKUP('Boss Editor'!$C$4,'Pokemon Editor'!$A:$A,'Pokemon Editor'!$D:$D,"")="",1,INDEX('Type Chart'!$B:$S,MATCH(E346,'Type Chart'!$A:$A,0),MATCH(XLOOKUP('Boss Editor'!$C$4,'Pokemon Editor'!$A:$A,'Pokemon Editor'!$D:$D,""),'Type Chart'!$B$1:$S$1,0))))</f>
        <v/>
      </c>
      <c r="J346" s="3">
        <f>IFERROR(LET(mtype,XLOOKUP($D346,'Move Editor'!$B:$B,'Move Editor'!$C:$C,""),cat,XLOOKUP($D346,'Move Editor'!$B:$B,'Move Editor'!$D:$D,""),pow,XLOOKUP($D346,'Move Editor'!$B:$B,'Move Editor'!$E:$E,0),acc,XLOOKUP($D346,'Move Editor'!$B:$B,'Move Editor'!$F:$F,100),atk,IF(cat="Physical",FLOOR((FLOOR(((2*XLOOKUP(XLOOKUP($Q346,'Threshold Summary'!$Y:$Y,'Threshold Summary'!$K:$K,""),'Pokemon Editor'!$A:$A,'Pokemon Editor'!$F:$F,0)+31+FLOOR(XLOOKUP($Q346,'Threshold Summary'!$Y:$Y,'Threshold Summary'!$P:$P,"")/4))*XLOOKUP($Q346,'Threshold Summary'!$Y:$Y,'Threshold Summary'!$L:$L,""))/100)+5)*XLOOKUP(XLOOKUP($Q346,'Threshold Summary'!$Y:$Y,'Threshold Summary'!$M:$M,""),'Nature Editor'!$A:$A,'Nature Editor'!$B:$B,1)),FLOOR((FLOOR(((2*XLOOKUP(XLOOKUP($Q346,'Threshold Summary'!$Y:$Y,'Threshold Summary'!$K:$K,""),'Pokemon Editor'!$A:$A,'Pokemon Editor'!$H:$H,0)+31+FLOOR(XLOOKUP($Q346,'Threshold Summary'!$Y:$Y,'Threshold Summary'!$R:$R,"")/4))*XLOOKUP($Q346,'Threshold Summary'!$Y:$Y,'Threshold Summary'!$L:$L,""))/100)+5)*XLOOKUP(XLOOKUP($Q346,'Threshold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Editor'!$E:$E,1))),stab,IF(OR(mtype=XLOOKUP(XLOOKUP($Q346,'Threshold Summary'!$Y:$Y,'Threshold Summary'!$K:$K,""),'Pokemon Editor'!$A:$A,'Pokemon Editor'!$C:$C,""),mtype=XLOOKUP(XLOOKUP($Q346,'Threshold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Chart'!$B$1:$S$1,0)))),base,IF(OR(cat="Status",pow=0),0,FLOOR(FLOOR(FLOOR((2*XLOOKUP($Q346,'Threshold Summary'!$Y:$Y,'Threshold Summary'!$L:$L,"")/5+2)*pow*atk/def)/50)+2)),modifier,stab*eff,FLOOR(base*modifier*0.85)),0)</f>
        <v/>
      </c>
      <c r="K346" s="3">
        <f>IFERROR(LET(mtype,XLOOKUP($D346,'Move Editor'!$B:$B,'Move Editor'!$C:$C,""),cat,XLOOKUP($D346,'Move Editor'!$B:$B,'Move Editor'!$D:$D,""),pow,XLOOKUP($D346,'Move Editor'!$B:$B,'Move Editor'!$E:$E,0),acc,XLOOKUP($D346,'Move Editor'!$B:$B,'Move Editor'!$F:$F,100),atk,IF(cat="Physical",FLOOR((FLOOR(((2*XLOOKUP(XLOOKUP($Q346,'Threshold Summary'!$Y:$Y,'Threshold Summary'!$K:$K,""),'Pokemon Editor'!$A:$A,'Pokemon Editor'!$F:$F,0)+31+FLOOR(XLOOKUP($Q346,'Threshold Summary'!$Y:$Y,'Threshold Summary'!$P:$P,"")/4))*XLOOKUP($Q346,'Threshold Summary'!$Y:$Y,'Threshold Summary'!$L:$L,""))/100)+5)*XLOOKUP(XLOOKUP($Q346,'Threshold Summary'!$Y:$Y,'Threshold Summary'!$M:$M,""),'Nature Editor'!$A:$A,'Nature Editor'!$B:$B,1)),FLOOR((FLOOR(((2*XLOOKUP(XLOOKUP($Q346,'Threshold Summary'!$Y:$Y,'Threshold Summary'!$K:$K,""),'Pokemon Editor'!$A:$A,'Pokemon Editor'!$H:$H,0)+31+FLOOR(XLOOKUP($Q346,'Threshold Summary'!$Y:$Y,'Threshold Summary'!$R:$R,"")/4))*XLOOKUP($Q346,'Threshold Summary'!$Y:$Y,'Threshold Summary'!$L:$L,""))/100)+5)*XLOOKUP(XLOOKUP($Q346,'Threshold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Editor'!$E:$E,1))),stab,IF(OR(mtype=XLOOKUP(XLOOKUP($Q346,'Threshold Summary'!$Y:$Y,'Threshold Summary'!$K:$K,""),'Pokemon Editor'!$A:$A,'Pokemon Editor'!$C:$C,""),mtype=XLOOKUP(XLOOKUP($Q346,'Threshold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Chart'!$B$1:$S$1,0)))),base,IF(OR(cat="Status",pow=0),0,FLOOR(FLOOR(FLOOR((2*XLOOKUP($Q346,'Threshold Summary'!$Y:$Y,'Threshold Summary'!$L:$L,"")/5+2)*pow*atk/def)/50)+2)),modifier,stab*eff,FLOOR(base*modifier)),0)</f>
        <v/>
      </c>
      <c r="L346" s="3">
        <f>IFERROR(LET(mtype,XLOOKUP($D346,'Move Editor'!$B:$B,'Move Editor'!$C:$C,""),cat,XLOOKUP($D346,'Move Editor'!$B:$B,'Move Editor'!$D:$D,""),pow,XLOOKUP($D346,'Move Editor'!$B:$B,'Move Editor'!$E:$E,0),acc,XLOOKUP($D346,'Move Editor'!$B:$B,'Move Editor'!$F:$F,100),atk,IF(cat="Physical",FLOOR((FLOOR(((2*XLOOKUP(XLOOKUP($Q346,'Threshold Summary'!$Y:$Y,'Threshold Summary'!$K:$K,""),'Pokemon Editor'!$A:$A,'Pokemon Editor'!$F:$F,0)+31+FLOOR(XLOOKUP($Q346,'Threshold Summary'!$Y:$Y,'Threshold Summary'!$P:$P,"")/4))*XLOOKUP($Q346,'Threshold Summary'!$Y:$Y,'Threshold Summary'!$L:$L,""))/100)+5)*XLOOKUP(XLOOKUP($Q346,'Threshold Summary'!$Y:$Y,'Threshold Summary'!$M:$M,""),'Nature Editor'!$A:$A,'Nature Editor'!$B:$B,1)),FLOOR((FLOOR(((2*XLOOKUP(XLOOKUP($Q346,'Threshold Summary'!$Y:$Y,'Threshold Summary'!$K:$K,""),'Pokemon Editor'!$A:$A,'Pokemon Editor'!$H:$H,0)+31+FLOOR(XLOOKUP($Q346,'Threshold Summary'!$Y:$Y,'Threshold Summary'!$R:$R,"")/4))*XLOOKUP($Q346,'Threshold Summary'!$Y:$Y,'Threshold Summary'!$L:$L,""))/100)+5)*XLOOKUP(XLOOKUP($Q346,'Threshold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Editor'!$E:$E,1))),stab,IF(OR(mtype=XLOOKUP(XLOOKUP($Q346,'Threshold Summary'!$Y:$Y,'Threshold Summary'!$K:$K,""),'Pokemon Editor'!$A:$A,'Pokemon Editor'!$C:$C,""),mtype=XLOOKUP(XLOOKUP($Q346,'Threshold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Chart'!$B$1:$S$1,0)))),base,IF(OR(cat="Status",pow=0),0,FLOOR(FLOOR(FLOOR((2*XLOOKUP($Q346,'Threshold Summary'!$Y:$Y,'Threshold Summary'!$L:$L,"")/5+2)*pow*atk/def)/50)+2)),modifier,stab*eff,AVERAGE(ARRAYFORMULA(FLOOR(base*modifier*SEQUENCE(16,1,85,1)/100)))),0)</f>
        <v/>
      </c>
      <c r="M346" s="3">
        <f>IFERROR(LET(mtype,XLOOKUP($D346,'Move Editor'!$B:$B,'Move Editor'!$C:$C,""),cat,XLOOKUP($D346,'Move Editor'!$B:$B,'Move Editor'!$D:$D,""),pow,XLOOKUP($D346,'Move Editor'!$B:$B,'Move Editor'!$E:$E,0),acc,XLOOKUP($D346,'Move Editor'!$B:$B,'Move Editor'!$F:$F,100),atk,IF(cat="Physical",FLOOR((FLOOR(((2*XLOOKUP(XLOOKUP($Q346,'Threshold Summary'!$Y:$Y,'Threshold Summary'!$K:$K,""),'Pokemon Editor'!$A:$A,'Pokemon Editor'!$F:$F,0)+31+FLOOR(XLOOKUP($Q346,'Threshold Summary'!$Y:$Y,'Threshold Summary'!$P:$P,"")/4))*XLOOKUP($Q346,'Threshold Summary'!$Y:$Y,'Threshold Summary'!$L:$L,""))/100)+5)*XLOOKUP(XLOOKUP($Q346,'Threshold Summary'!$Y:$Y,'Threshold Summary'!$M:$M,""),'Nature Editor'!$A:$A,'Nature Editor'!$B:$B,1)),FLOOR((FLOOR(((2*XLOOKUP(XLOOKUP($Q346,'Threshold Summary'!$Y:$Y,'Threshold Summary'!$K:$K,""),'Pokemon Editor'!$A:$A,'Pokemon Editor'!$H:$H,0)+31+FLOOR(XLOOKUP($Q346,'Threshold Summary'!$Y:$Y,'Threshold Summary'!$R:$R,"")/4))*XLOOKUP($Q346,'Threshold Summary'!$Y:$Y,'Threshold Summary'!$L:$L,""))/100)+5)*XLOOKUP(XLOOKUP($Q346,'Threshold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Editor'!$E:$E,1))),stab,IF(OR(mtype=XLOOKUP(XLOOKUP($Q346,'Threshold Summary'!$Y:$Y,'Threshold Summary'!$K:$K,""),'Pokemon Editor'!$A:$A,'Pokemon Editor'!$C:$C,""),mtype=XLOOKUP(XLOOKUP($Q346,'Threshold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Chart'!$B$1:$S$1,0)))),base,IF(OR(cat="Status",pow=0),0,FLOOR(FLOOR(FLOOR((2*XLOOKUP($Q346,'Threshold Summary'!$Y:$Y,'Threshold Summary'!$L:$L,"")/5+2)*pow*atk/def)/50)+2)),modifier,stab*eff,AVERAGE(ARRAYFORMULA(FLOOR(base*modifier*SEQUENCE(16,1,85,1)/100)))*MIN(1,acc/100)),0)</f>
        <v/>
      </c>
      <c r="N346" s="4">
        <f>IFERROR(LET(mtype,XLOOKUP($D346,'Move Editor'!$B:$B,'Move Editor'!$C:$C,""),cat,XLOOKUP($D346,'Move Editor'!$B:$B,'Move Editor'!$D:$D,""),pow,XLOOKUP($D346,'Move Editor'!$B:$B,'Move Editor'!$E:$E,0),acc,XLOOKUP($D346,'Move Editor'!$B:$B,'Move Editor'!$F:$F,100),atk,IF(cat="Physical",FLOOR((FLOOR(((2*XLOOKUP(XLOOKUP($Q346,'Threshold Summary'!$Y:$Y,'Threshold Summary'!$K:$K,""),'Pokemon Editor'!$A:$A,'Pokemon Editor'!$F:$F,0)+31+FLOOR(XLOOKUP($Q346,'Threshold Summary'!$Y:$Y,'Threshold Summary'!$P:$P,"")/4))*XLOOKUP($Q346,'Threshold Summary'!$Y:$Y,'Threshold Summary'!$L:$L,""))/100)+5)*XLOOKUP(XLOOKUP($Q346,'Threshold Summary'!$Y:$Y,'Threshold Summary'!$M:$M,""),'Nature Editor'!$A:$A,'Nature Editor'!$B:$B,1)),FLOOR((FLOOR(((2*XLOOKUP(XLOOKUP($Q346,'Threshold Summary'!$Y:$Y,'Threshold Summary'!$K:$K,""),'Pokemon Editor'!$A:$A,'Pokemon Editor'!$H:$H,0)+31+FLOOR(XLOOKUP($Q346,'Threshold Summary'!$Y:$Y,'Threshold Summary'!$R:$R,"")/4))*XLOOKUP($Q346,'Threshold Summary'!$Y:$Y,'Threshold Summary'!$L:$L,""))/100)+5)*XLOOKUP(XLOOKUP($Q346,'Threshold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Editor'!$E:$E,1))),stab,IF(OR(mtype=XLOOKUP(XLOOKUP($Q346,'Threshold Summary'!$Y:$Y,'Threshold Summary'!$K:$K,""),'Pokemon Editor'!$A:$A,'Pokemon Editor'!$C:$C,""),mtype=XLOOKUP(XLOOKUP($Q346,'Threshold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Chart'!$B$1:$S$1,0)))),base,IF(OR(cat="Status",pow=0),0,FLOOR(FLOOR(FLOOR((2*XLOOKUP($Q346,'Threshold Summary'!$Y:$Y,'Threshold Summary'!$L:$L,"")/5+2)*pow*atk/def)/50)+2)),modifier,stab*eff,AVERAGE(ARRAYFORMULA(FLOOR(base*modifier*SEQUENCE(16,1,85,1)/100)))/(FLOOR(((2*XLOOKUP('Boss Editor'!$C$4,'Pokemon Editor'!$A:$A,'Pokemon Editor'!$E:$E,0)+31+FLOOR('Boss Editor'!$G$4/4))*'Boss Editor'!$D$4)/100)+'Boss Editor'!$D$4+10)),0)</f>
        <v/>
      </c>
      <c r="O346" s="3">
        <f>IF(N346&gt;=1,"OHKO",IF(N346&gt;=0.5,"2HKO",IF(N346&gt;=0.333,"3HKO",IF(N346&gt;=0.25,"4HKO","5HKO+"))))</f>
        <v/>
      </c>
      <c r="P346" s="3" t="inlineStr">
        <is>
          <t>Live from editable databases</t>
        </is>
      </c>
      <c r="Q346" s="3" t="inlineStr">
        <is>
          <t>SPECIES_SHINX</t>
        </is>
      </c>
      <c r="R346" s="3" t="n">
        <v>25</v>
      </c>
    </row>
    <row r="347">
      <c r="A347" s="3">
        <f>XLOOKUP($Q347,'Threshold Summary'!$Y:$Y,'Threshold Summary'!$A:$A,"")</f>
        <v/>
      </c>
      <c r="B347" s="3">
        <f>XLOOKUP($Q347,'Threshold Summary'!$Y:$Y,'Threshold Summary'!$M:$M,"")</f>
        <v/>
      </c>
      <c r="C347" s="3">
        <f>XLOOKUP($Q347,'Threshold Summary'!$Y:$Y,'Threshold Summary'!$N:$N,"")</f>
        <v/>
      </c>
      <c r="D347" s="3">
        <f>IFERROR(INDEX(FILTER('Learnset Editor'!$D$2:$D,'Learnset Editor'!$A$2:$A=XLOOKUP($Q347,'Threshold Summary'!$Y:$Y,'Threshold Summary'!$K:$K,""),'Learnset Editor'!$C$2:$C&lt;=XLOOKUP($Q347,'Threshold Summary'!$Y:$Y,'Threshold Summary'!$L:$L,"")),$R347),"")</f>
        <v/>
      </c>
      <c r="E347" s="3">
        <f>XLOOKUP(D347,'Move Editor'!$B:$B,'Move Editor'!$C:$C,"")</f>
        <v/>
      </c>
      <c r="F347" s="3">
        <f>XLOOKUP(D347,'Move Editor'!$B:$B,'Move Editor'!$D:$D,"")</f>
        <v/>
      </c>
      <c r="G347" s="3">
        <f>XLOOKUP(D347,'Move Editor'!$B:$B,'Move Editor'!$E:$E,0)</f>
        <v/>
      </c>
      <c r="H347" s="3">
        <f>XLOOKUP(D347,'Move Editor'!$B:$B,'Move Editor'!$F:$F,0)</f>
        <v/>
      </c>
      <c r="I347" s="3">
        <f>(INDEX('Type Chart'!$B:$S,MATCH(E347,'Type Chart'!$A:$A,0),MATCH(XLOOKUP('Boss Editor'!$C$4,'Pokemon Editor'!$A:$A,'Pokemon Editor'!$C:$C,""),'Type Chart'!$B$1:$S$1,0))*IF(XLOOKUP('Boss Editor'!$C$4,'Pokemon Editor'!$A:$A,'Pokemon Editor'!$D:$D,"")="",1,INDEX('Type Chart'!$B:$S,MATCH(E347,'Type Chart'!$A:$A,0),MATCH(XLOOKUP('Boss Editor'!$C$4,'Pokemon Editor'!$A:$A,'Pokemon Editor'!$D:$D,""),'Type Chart'!$B$1:$S$1,0))))</f>
        <v/>
      </c>
      <c r="J347" s="3">
        <f>IFERROR(LET(mtype,XLOOKUP($D347,'Move Editor'!$B:$B,'Move Editor'!$C:$C,""),cat,XLOOKUP($D347,'Move Editor'!$B:$B,'Move Editor'!$D:$D,""),pow,XLOOKUP($D347,'Move Editor'!$B:$B,'Move Editor'!$E:$E,0),acc,XLOOKUP($D347,'Move Editor'!$B:$B,'Move Editor'!$F:$F,100),atk,IF(cat="Physical",FLOOR((FLOOR(((2*XLOOKUP(XLOOKUP($Q347,'Threshold Summary'!$Y:$Y,'Threshold Summary'!$K:$K,""),'Pokemon Editor'!$A:$A,'Pokemon Editor'!$F:$F,0)+31+FLOOR(XLOOKUP($Q347,'Threshold Summary'!$Y:$Y,'Threshold Summary'!$P:$P,"")/4))*XLOOKUP($Q347,'Threshold Summary'!$Y:$Y,'Threshold Summary'!$L:$L,""))/100)+5)*XLOOKUP(XLOOKUP($Q347,'Threshold Summary'!$Y:$Y,'Threshold Summary'!$M:$M,""),'Nature Editor'!$A:$A,'Nature Editor'!$B:$B,1)),FLOOR((FLOOR(((2*XLOOKUP(XLOOKUP($Q347,'Threshold Summary'!$Y:$Y,'Threshold Summary'!$K:$K,""),'Pokemon Editor'!$A:$A,'Pokemon Editor'!$H:$H,0)+31+FLOOR(XLOOKUP($Q347,'Threshold Summary'!$Y:$Y,'Threshold Summary'!$R:$R,"")/4))*XLOOKUP($Q347,'Threshold Summary'!$Y:$Y,'Threshold Summary'!$L:$L,""))/100)+5)*XLOOKUP(XLOOKUP($Q347,'Threshold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Editor'!$E:$E,1))),stab,IF(OR(mtype=XLOOKUP(XLOOKUP($Q347,'Threshold Summary'!$Y:$Y,'Threshold Summary'!$K:$K,""),'Pokemon Editor'!$A:$A,'Pokemon Editor'!$C:$C,""),mtype=XLOOKUP(XLOOKUP($Q347,'Threshold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Chart'!$B$1:$S$1,0)))),base,IF(OR(cat="Status",pow=0),0,FLOOR(FLOOR(FLOOR((2*XLOOKUP($Q347,'Threshold Summary'!$Y:$Y,'Threshold Summary'!$L:$L,"")/5+2)*pow*atk/def)/50)+2)),modifier,stab*eff,FLOOR(base*modifier*0.85)),0)</f>
        <v/>
      </c>
      <c r="K347" s="3">
        <f>IFERROR(LET(mtype,XLOOKUP($D347,'Move Editor'!$B:$B,'Move Editor'!$C:$C,""),cat,XLOOKUP($D347,'Move Editor'!$B:$B,'Move Editor'!$D:$D,""),pow,XLOOKUP($D347,'Move Editor'!$B:$B,'Move Editor'!$E:$E,0),acc,XLOOKUP($D347,'Move Editor'!$B:$B,'Move Editor'!$F:$F,100),atk,IF(cat="Physical",FLOOR((FLOOR(((2*XLOOKUP(XLOOKUP($Q347,'Threshold Summary'!$Y:$Y,'Threshold Summary'!$K:$K,""),'Pokemon Editor'!$A:$A,'Pokemon Editor'!$F:$F,0)+31+FLOOR(XLOOKUP($Q347,'Threshold Summary'!$Y:$Y,'Threshold Summary'!$P:$P,"")/4))*XLOOKUP($Q347,'Threshold Summary'!$Y:$Y,'Threshold Summary'!$L:$L,""))/100)+5)*XLOOKUP(XLOOKUP($Q347,'Threshold Summary'!$Y:$Y,'Threshold Summary'!$M:$M,""),'Nature Editor'!$A:$A,'Nature Editor'!$B:$B,1)),FLOOR((FLOOR(((2*XLOOKUP(XLOOKUP($Q347,'Threshold Summary'!$Y:$Y,'Threshold Summary'!$K:$K,""),'Pokemon Editor'!$A:$A,'Pokemon Editor'!$H:$H,0)+31+FLOOR(XLOOKUP($Q347,'Threshold Summary'!$Y:$Y,'Threshold Summary'!$R:$R,"")/4))*XLOOKUP($Q347,'Threshold Summary'!$Y:$Y,'Threshold Summary'!$L:$L,""))/100)+5)*XLOOKUP(XLOOKUP($Q347,'Threshold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Editor'!$E:$E,1))),stab,IF(OR(mtype=XLOOKUP(XLOOKUP($Q347,'Threshold Summary'!$Y:$Y,'Threshold Summary'!$K:$K,""),'Pokemon Editor'!$A:$A,'Pokemon Editor'!$C:$C,""),mtype=XLOOKUP(XLOOKUP($Q347,'Threshold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Chart'!$B$1:$S$1,0)))),base,IF(OR(cat="Status",pow=0),0,FLOOR(FLOOR(FLOOR((2*XLOOKUP($Q347,'Threshold Summary'!$Y:$Y,'Threshold Summary'!$L:$L,"")/5+2)*pow*atk/def)/50)+2)),modifier,stab*eff,FLOOR(base*modifier)),0)</f>
        <v/>
      </c>
      <c r="L347" s="3">
        <f>IFERROR(LET(mtype,XLOOKUP($D347,'Move Editor'!$B:$B,'Move Editor'!$C:$C,""),cat,XLOOKUP($D347,'Move Editor'!$B:$B,'Move Editor'!$D:$D,""),pow,XLOOKUP($D347,'Move Editor'!$B:$B,'Move Editor'!$E:$E,0),acc,XLOOKUP($D347,'Move Editor'!$B:$B,'Move Editor'!$F:$F,100),atk,IF(cat="Physical",FLOOR((FLOOR(((2*XLOOKUP(XLOOKUP($Q347,'Threshold Summary'!$Y:$Y,'Threshold Summary'!$K:$K,""),'Pokemon Editor'!$A:$A,'Pokemon Editor'!$F:$F,0)+31+FLOOR(XLOOKUP($Q347,'Threshold Summary'!$Y:$Y,'Threshold Summary'!$P:$P,"")/4))*XLOOKUP($Q347,'Threshold Summary'!$Y:$Y,'Threshold Summary'!$L:$L,""))/100)+5)*XLOOKUP(XLOOKUP($Q347,'Threshold Summary'!$Y:$Y,'Threshold Summary'!$M:$M,""),'Nature Editor'!$A:$A,'Nature Editor'!$B:$B,1)),FLOOR((FLOOR(((2*XLOOKUP(XLOOKUP($Q347,'Threshold Summary'!$Y:$Y,'Threshold Summary'!$K:$K,""),'Pokemon Editor'!$A:$A,'Pokemon Editor'!$H:$H,0)+31+FLOOR(XLOOKUP($Q347,'Threshold Summary'!$Y:$Y,'Threshold Summary'!$R:$R,"")/4))*XLOOKUP($Q347,'Threshold Summary'!$Y:$Y,'Threshold Summary'!$L:$L,""))/100)+5)*XLOOKUP(XLOOKUP($Q347,'Threshold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Editor'!$E:$E,1))),stab,IF(OR(mtype=XLOOKUP(XLOOKUP($Q347,'Threshold Summary'!$Y:$Y,'Threshold Summary'!$K:$K,""),'Pokemon Editor'!$A:$A,'Pokemon Editor'!$C:$C,""),mtype=XLOOKUP(XLOOKUP($Q347,'Threshold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Chart'!$B$1:$S$1,0)))),base,IF(OR(cat="Status",pow=0),0,FLOOR(FLOOR(FLOOR((2*XLOOKUP($Q347,'Threshold Summary'!$Y:$Y,'Threshold Summary'!$L:$L,"")/5+2)*pow*atk/def)/50)+2)),modifier,stab*eff,AVERAGE(ARRAYFORMULA(FLOOR(base*modifier*SEQUENCE(16,1,85,1)/100)))),0)</f>
        <v/>
      </c>
      <c r="M347" s="3">
        <f>IFERROR(LET(mtype,XLOOKUP($D347,'Move Editor'!$B:$B,'Move Editor'!$C:$C,""),cat,XLOOKUP($D347,'Move Editor'!$B:$B,'Move Editor'!$D:$D,""),pow,XLOOKUP($D347,'Move Editor'!$B:$B,'Move Editor'!$E:$E,0),acc,XLOOKUP($D347,'Move Editor'!$B:$B,'Move Editor'!$F:$F,100),atk,IF(cat="Physical",FLOOR((FLOOR(((2*XLOOKUP(XLOOKUP($Q347,'Threshold Summary'!$Y:$Y,'Threshold Summary'!$K:$K,""),'Pokemon Editor'!$A:$A,'Pokemon Editor'!$F:$F,0)+31+FLOOR(XLOOKUP($Q347,'Threshold Summary'!$Y:$Y,'Threshold Summary'!$P:$P,"")/4))*XLOOKUP($Q347,'Threshold Summary'!$Y:$Y,'Threshold Summary'!$L:$L,""))/100)+5)*XLOOKUP(XLOOKUP($Q347,'Threshold Summary'!$Y:$Y,'Threshold Summary'!$M:$M,""),'Nature Editor'!$A:$A,'Nature Editor'!$B:$B,1)),FLOOR((FLOOR(((2*XLOOKUP(XLOOKUP($Q347,'Threshold Summary'!$Y:$Y,'Threshold Summary'!$K:$K,""),'Pokemon Editor'!$A:$A,'Pokemon Editor'!$H:$H,0)+31+FLOOR(XLOOKUP($Q347,'Threshold Summary'!$Y:$Y,'Threshold Summary'!$R:$R,"")/4))*XLOOKUP($Q347,'Threshold Summary'!$Y:$Y,'Threshold Summary'!$L:$L,""))/100)+5)*XLOOKUP(XLOOKUP($Q347,'Threshold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Editor'!$E:$E,1))),stab,IF(OR(mtype=XLOOKUP(XLOOKUP($Q347,'Threshold Summary'!$Y:$Y,'Threshold Summary'!$K:$K,""),'Pokemon Editor'!$A:$A,'Pokemon Editor'!$C:$C,""),mtype=XLOOKUP(XLOOKUP($Q347,'Threshold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Chart'!$B$1:$S$1,0)))),base,IF(OR(cat="Status",pow=0),0,FLOOR(FLOOR(FLOOR((2*XLOOKUP($Q347,'Threshold Summary'!$Y:$Y,'Threshold Summary'!$L:$L,"")/5+2)*pow*atk/def)/50)+2)),modifier,stab*eff,AVERAGE(ARRAYFORMULA(FLOOR(base*modifier*SEQUENCE(16,1,85,1)/100)))*MIN(1,acc/100)),0)</f>
        <v/>
      </c>
      <c r="N347" s="4">
        <f>IFERROR(LET(mtype,XLOOKUP($D347,'Move Editor'!$B:$B,'Move Editor'!$C:$C,""),cat,XLOOKUP($D347,'Move Editor'!$B:$B,'Move Editor'!$D:$D,""),pow,XLOOKUP($D347,'Move Editor'!$B:$B,'Move Editor'!$E:$E,0),acc,XLOOKUP($D347,'Move Editor'!$B:$B,'Move Editor'!$F:$F,100),atk,IF(cat="Physical",FLOOR((FLOOR(((2*XLOOKUP(XLOOKUP($Q347,'Threshold Summary'!$Y:$Y,'Threshold Summary'!$K:$K,""),'Pokemon Editor'!$A:$A,'Pokemon Editor'!$F:$F,0)+31+FLOOR(XLOOKUP($Q347,'Threshold Summary'!$Y:$Y,'Threshold Summary'!$P:$P,"")/4))*XLOOKUP($Q347,'Threshold Summary'!$Y:$Y,'Threshold Summary'!$L:$L,""))/100)+5)*XLOOKUP(XLOOKUP($Q347,'Threshold Summary'!$Y:$Y,'Threshold Summary'!$M:$M,""),'Nature Editor'!$A:$A,'Nature Editor'!$B:$B,1)),FLOOR((FLOOR(((2*XLOOKUP(XLOOKUP($Q347,'Threshold Summary'!$Y:$Y,'Threshold Summary'!$K:$K,""),'Pokemon Editor'!$A:$A,'Pokemon Editor'!$H:$H,0)+31+FLOOR(XLOOKUP($Q347,'Threshold Summary'!$Y:$Y,'Threshold Summary'!$R:$R,"")/4))*XLOOKUP($Q347,'Threshold Summary'!$Y:$Y,'Threshold Summary'!$L:$L,""))/100)+5)*XLOOKUP(XLOOKUP($Q347,'Threshold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Editor'!$E:$E,1))),stab,IF(OR(mtype=XLOOKUP(XLOOKUP($Q347,'Threshold Summary'!$Y:$Y,'Threshold Summary'!$K:$K,""),'Pokemon Editor'!$A:$A,'Pokemon Editor'!$C:$C,""),mtype=XLOOKUP(XLOOKUP($Q347,'Threshold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Chart'!$B$1:$S$1,0)))),base,IF(OR(cat="Status",pow=0),0,FLOOR(FLOOR(FLOOR((2*XLOOKUP($Q347,'Threshold Summary'!$Y:$Y,'Threshold Summary'!$L:$L,"")/5+2)*pow*atk/def)/50)+2)),modifier,stab*eff,AVERAGE(ARRAYFORMULA(FLOOR(base*modifier*SEQUENCE(16,1,85,1)/100)))/(FLOOR(((2*XLOOKUP('Boss Editor'!$C$4,'Pokemon Editor'!$A:$A,'Pokemon Editor'!$E:$E,0)+31+FLOOR('Boss Editor'!$G$4/4))*'Boss Editor'!$D$4)/100)+'Boss Editor'!$D$4+10)),0)</f>
        <v/>
      </c>
      <c r="O347" s="3">
        <f>IF(N347&gt;=1,"OHKO",IF(N347&gt;=0.5,"2HKO",IF(N347&gt;=0.333,"3HKO",IF(N347&gt;=0.25,"4HKO","5HKO+"))))</f>
        <v/>
      </c>
      <c r="P347" s="3" t="inlineStr">
        <is>
          <t>Live from editable databases</t>
        </is>
      </c>
      <c r="Q347" s="3" t="inlineStr">
        <is>
          <t>SPECIES_SHINX</t>
        </is>
      </c>
      <c r="R347" s="3" t="n">
        <v>26</v>
      </c>
    </row>
    <row r="348">
      <c r="A348" s="3">
        <f>XLOOKUP($Q348,'Threshold Summary'!$Y:$Y,'Threshold Summary'!$A:$A,"")</f>
        <v/>
      </c>
      <c r="B348" s="3">
        <f>XLOOKUP($Q348,'Threshold Summary'!$Y:$Y,'Threshold Summary'!$M:$M,"")</f>
        <v/>
      </c>
      <c r="C348" s="3">
        <f>XLOOKUP($Q348,'Threshold Summary'!$Y:$Y,'Threshold Summary'!$N:$N,"")</f>
        <v/>
      </c>
      <c r="D348" s="3">
        <f>IFERROR(INDEX(FILTER('Learnset Editor'!$D$2:$D,'Learnset Editor'!$A$2:$A=XLOOKUP($Q348,'Threshold Summary'!$Y:$Y,'Threshold Summary'!$K:$K,""),'Learnset Editor'!$C$2:$C&lt;=XLOOKUP($Q348,'Threshold Summary'!$Y:$Y,'Threshold Summary'!$L:$L,"")),$R348),"")</f>
        <v/>
      </c>
      <c r="E348" s="3">
        <f>XLOOKUP(D348,'Move Editor'!$B:$B,'Move Editor'!$C:$C,"")</f>
        <v/>
      </c>
      <c r="F348" s="3">
        <f>XLOOKUP(D348,'Move Editor'!$B:$B,'Move Editor'!$D:$D,"")</f>
        <v/>
      </c>
      <c r="G348" s="3">
        <f>XLOOKUP(D348,'Move Editor'!$B:$B,'Move Editor'!$E:$E,0)</f>
        <v/>
      </c>
      <c r="H348" s="3">
        <f>XLOOKUP(D348,'Move Editor'!$B:$B,'Move Editor'!$F:$F,0)</f>
        <v/>
      </c>
      <c r="I348" s="3">
        <f>(INDEX('Type Chart'!$B:$S,MATCH(E348,'Type Chart'!$A:$A,0),MATCH(XLOOKUP('Boss Editor'!$C$4,'Pokemon Editor'!$A:$A,'Pokemon Editor'!$C:$C,""),'Type Chart'!$B$1:$S$1,0))*IF(XLOOKUP('Boss Editor'!$C$4,'Pokemon Editor'!$A:$A,'Pokemon Editor'!$D:$D,"")="",1,INDEX('Type Chart'!$B:$S,MATCH(E348,'Type Chart'!$A:$A,0),MATCH(XLOOKUP('Boss Editor'!$C$4,'Pokemon Editor'!$A:$A,'Pokemon Editor'!$D:$D,""),'Type Chart'!$B$1:$S$1,0))))</f>
        <v/>
      </c>
      <c r="J348" s="3">
        <f>IFERROR(LET(mtype,XLOOKUP($D348,'Move Editor'!$B:$B,'Move Editor'!$C:$C,""),cat,XLOOKUP($D348,'Move Editor'!$B:$B,'Move Editor'!$D:$D,""),pow,XLOOKUP($D348,'Move Editor'!$B:$B,'Move Editor'!$E:$E,0),acc,XLOOKUP($D348,'Move Editor'!$B:$B,'Move Editor'!$F:$F,100),atk,IF(cat="Physical",FLOOR((FLOOR(((2*XLOOKUP(XLOOKUP($Q348,'Threshold Summary'!$Y:$Y,'Threshold Summary'!$K:$K,""),'Pokemon Editor'!$A:$A,'Pokemon Editor'!$F:$F,0)+31+FLOOR(XLOOKUP($Q348,'Threshold Summary'!$Y:$Y,'Threshold Summary'!$P:$P,"")/4))*XLOOKUP($Q348,'Threshold Summary'!$Y:$Y,'Threshold Summary'!$L:$L,""))/100)+5)*XLOOKUP(XLOOKUP($Q348,'Threshold Summary'!$Y:$Y,'Threshold Summary'!$M:$M,""),'Nature Editor'!$A:$A,'Nature Editor'!$B:$B,1)),FLOOR((FLOOR(((2*XLOOKUP(XLOOKUP($Q348,'Threshold Summary'!$Y:$Y,'Threshold Summary'!$K:$K,""),'Pokemon Editor'!$A:$A,'Pokemon Editor'!$H:$H,0)+31+FLOOR(XLOOKUP($Q348,'Threshold Summary'!$Y:$Y,'Threshold Summary'!$R:$R,"")/4))*XLOOKUP($Q348,'Threshold Summary'!$Y:$Y,'Threshold Summary'!$L:$L,""))/100)+5)*XLOOKUP(XLOOKUP($Q348,'Threshold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Editor'!$E:$E,1))),stab,IF(OR(mtype=XLOOKUP(XLOOKUP($Q348,'Threshold Summary'!$Y:$Y,'Threshold Summary'!$K:$K,""),'Pokemon Editor'!$A:$A,'Pokemon Editor'!$C:$C,""),mtype=XLOOKUP(XLOOKUP($Q348,'Threshold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Chart'!$B$1:$S$1,0)))),base,IF(OR(cat="Status",pow=0),0,FLOOR(FLOOR(FLOOR((2*XLOOKUP($Q348,'Threshold Summary'!$Y:$Y,'Threshold Summary'!$L:$L,"")/5+2)*pow*atk/def)/50)+2)),modifier,stab*eff,FLOOR(base*modifier*0.85)),0)</f>
        <v/>
      </c>
      <c r="K348" s="3">
        <f>IFERROR(LET(mtype,XLOOKUP($D348,'Move Editor'!$B:$B,'Move Editor'!$C:$C,""),cat,XLOOKUP($D348,'Move Editor'!$B:$B,'Move Editor'!$D:$D,""),pow,XLOOKUP($D348,'Move Editor'!$B:$B,'Move Editor'!$E:$E,0),acc,XLOOKUP($D348,'Move Editor'!$B:$B,'Move Editor'!$F:$F,100),atk,IF(cat="Physical",FLOOR((FLOOR(((2*XLOOKUP(XLOOKUP($Q348,'Threshold Summary'!$Y:$Y,'Threshold Summary'!$K:$K,""),'Pokemon Editor'!$A:$A,'Pokemon Editor'!$F:$F,0)+31+FLOOR(XLOOKUP($Q348,'Threshold Summary'!$Y:$Y,'Threshold Summary'!$P:$P,"")/4))*XLOOKUP($Q348,'Threshold Summary'!$Y:$Y,'Threshold Summary'!$L:$L,""))/100)+5)*XLOOKUP(XLOOKUP($Q348,'Threshold Summary'!$Y:$Y,'Threshold Summary'!$M:$M,""),'Nature Editor'!$A:$A,'Nature Editor'!$B:$B,1)),FLOOR((FLOOR(((2*XLOOKUP(XLOOKUP($Q348,'Threshold Summary'!$Y:$Y,'Threshold Summary'!$K:$K,""),'Pokemon Editor'!$A:$A,'Pokemon Editor'!$H:$H,0)+31+FLOOR(XLOOKUP($Q348,'Threshold Summary'!$Y:$Y,'Threshold Summary'!$R:$R,"")/4))*XLOOKUP($Q348,'Threshold Summary'!$Y:$Y,'Threshold Summary'!$L:$L,""))/100)+5)*XLOOKUP(XLOOKUP($Q348,'Threshold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Editor'!$E:$E,1))),stab,IF(OR(mtype=XLOOKUP(XLOOKUP($Q348,'Threshold Summary'!$Y:$Y,'Threshold Summary'!$K:$K,""),'Pokemon Editor'!$A:$A,'Pokemon Editor'!$C:$C,""),mtype=XLOOKUP(XLOOKUP($Q348,'Threshold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Chart'!$B$1:$S$1,0)))),base,IF(OR(cat="Status",pow=0),0,FLOOR(FLOOR(FLOOR((2*XLOOKUP($Q348,'Threshold Summary'!$Y:$Y,'Threshold Summary'!$L:$L,"")/5+2)*pow*atk/def)/50)+2)),modifier,stab*eff,FLOOR(base*modifier)),0)</f>
        <v/>
      </c>
      <c r="L348" s="3">
        <f>IFERROR(LET(mtype,XLOOKUP($D348,'Move Editor'!$B:$B,'Move Editor'!$C:$C,""),cat,XLOOKUP($D348,'Move Editor'!$B:$B,'Move Editor'!$D:$D,""),pow,XLOOKUP($D348,'Move Editor'!$B:$B,'Move Editor'!$E:$E,0),acc,XLOOKUP($D348,'Move Editor'!$B:$B,'Move Editor'!$F:$F,100),atk,IF(cat="Physical",FLOOR((FLOOR(((2*XLOOKUP(XLOOKUP($Q348,'Threshold Summary'!$Y:$Y,'Threshold Summary'!$K:$K,""),'Pokemon Editor'!$A:$A,'Pokemon Editor'!$F:$F,0)+31+FLOOR(XLOOKUP($Q348,'Threshold Summary'!$Y:$Y,'Threshold Summary'!$P:$P,"")/4))*XLOOKUP($Q348,'Threshold Summary'!$Y:$Y,'Threshold Summary'!$L:$L,""))/100)+5)*XLOOKUP(XLOOKUP($Q348,'Threshold Summary'!$Y:$Y,'Threshold Summary'!$M:$M,""),'Nature Editor'!$A:$A,'Nature Editor'!$B:$B,1)),FLOOR((FLOOR(((2*XLOOKUP(XLOOKUP($Q348,'Threshold Summary'!$Y:$Y,'Threshold Summary'!$K:$K,""),'Pokemon Editor'!$A:$A,'Pokemon Editor'!$H:$H,0)+31+FLOOR(XLOOKUP($Q348,'Threshold Summary'!$Y:$Y,'Threshold Summary'!$R:$R,"")/4))*XLOOKUP($Q348,'Threshold Summary'!$Y:$Y,'Threshold Summary'!$L:$L,""))/100)+5)*XLOOKUP(XLOOKUP($Q348,'Threshold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Editor'!$E:$E,1))),stab,IF(OR(mtype=XLOOKUP(XLOOKUP($Q348,'Threshold Summary'!$Y:$Y,'Threshold Summary'!$K:$K,""),'Pokemon Editor'!$A:$A,'Pokemon Editor'!$C:$C,""),mtype=XLOOKUP(XLOOKUP($Q348,'Threshold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Chart'!$B$1:$S$1,0)))),base,IF(OR(cat="Status",pow=0),0,FLOOR(FLOOR(FLOOR((2*XLOOKUP($Q348,'Threshold Summary'!$Y:$Y,'Threshold Summary'!$L:$L,"")/5+2)*pow*atk/def)/50)+2)),modifier,stab*eff,AVERAGE(ARRAYFORMULA(FLOOR(base*modifier*SEQUENCE(16,1,85,1)/100)))),0)</f>
        <v/>
      </c>
      <c r="M348" s="3">
        <f>IFERROR(LET(mtype,XLOOKUP($D348,'Move Editor'!$B:$B,'Move Editor'!$C:$C,""),cat,XLOOKUP($D348,'Move Editor'!$B:$B,'Move Editor'!$D:$D,""),pow,XLOOKUP($D348,'Move Editor'!$B:$B,'Move Editor'!$E:$E,0),acc,XLOOKUP($D348,'Move Editor'!$B:$B,'Move Editor'!$F:$F,100),atk,IF(cat="Physical",FLOOR((FLOOR(((2*XLOOKUP(XLOOKUP($Q348,'Threshold Summary'!$Y:$Y,'Threshold Summary'!$K:$K,""),'Pokemon Editor'!$A:$A,'Pokemon Editor'!$F:$F,0)+31+FLOOR(XLOOKUP($Q348,'Threshold Summary'!$Y:$Y,'Threshold Summary'!$P:$P,"")/4))*XLOOKUP($Q348,'Threshold Summary'!$Y:$Y,'Threshold Summary'!$L:$L,""))/100)+5)*XLOOKUP(XLOOKUP($Q348,'Threshold Summary'!$Y:$Y,'Threshold Summary'!$M:$M,""),'Nature Editor'!$A:$A,'Nature Editor'!$B:$B,1)),FLOOR((FLOOR(((2*XLOOKUP(XLOOKUP($Q348,'Threshold Summary'!$Y:$Y,'Threshold Summary'!$K:$K,""),'Pokemon Editor'!$A:$A,'Pokemon Editor'!$H:$H,0)+31+FLOOR(XLOOKUP($Q348,'Threshold Summary'!$Y:$Y,'Threshold Summary'!$R:$R,"")/4))*XLOOKUP($Q348,'Threshold Summary'!$Y:$Y,'Threshold Summary'!$L:$L,""))/100)+5)*XLOOKUP(XLOOKUP($Q348,'Threshold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Editor'!$E:$E,1))),stab,IF(OR(mtype=XLOOKUP(XLOOKUP($Q348,'Threshold Summary'!$Y:$Y,'Threshold Summary'!$K:$K,""),'Pokemon Editor'!$A:$A,'Pokemon Editor'!$C:$C,""),mtype=XLOOKUP(XLOOKUP($Q348,'Threshold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Chart'!$B$1:$S$1,0)))),base,IF(OR(cat="Status",pow=0),0,FLOOR(FLOOR(FLOOR((2*XLOOKUP($Q348,'Threshold Summary'!$Y:$Y,'Threshold Summary'!$L:$L,"")/5+2)*pow*atk/def)/50)+2)),modifier,stab*eff,AVERAGE(ARRAYFORMULA(FLOOR(base*modifier*SEQUENCE(16,1,85,1)/100)))*MIN(1,acc/100)),0)</f>
        <v/>
      </c>
      <c r="N348" s="4">
        <f>IFERROR(LET(mtype,XLOOKUP($D348,'Move Editor'!$B:$B,'Move Editor'!$C:$C,""),cat,XLOOKUP($D348,'Move Editor'!$B:$B,'Move Editor'!$D:$D,""),pow,XLOOKUP($D348,'Move Editor'!$B:$B,'Move Editor'!$E:$E,0),acc,XLOOKUP($D348,'Move Editor'!$B:$B,'Move Editor'!$F:$F,100),atk,IF(cat="Physical",FLOOR((FLOOR(((2*XLOOKUP(XLOOKUP($Q348,'Threshold Summary'!$Y:$Y,'Threshold Summary'!$K:$K,""),'Pokemon Editor'!$A:$A,'Pokemon Editor'!$F:$F,0)+31+FLOOR(XLOOKUP($Q348,'Threshold Summary'!$Y:$Y,'Threshold Summary'!$P:$P,"")/4))*XLOOKUP($Q348,'Threshold Summary'!$Y:$Y,'Threshold Summary'!$L:$L,""))/100)+5)*XLOOKUP(XLOOKUP($Q348,'Threshold Summary'!$Y:$Y,'Threshold Summary'!$M:$M,""),'Nature Editor'!$A:$A,'Nature Editor'!$B:$B,1)),FLOOR((FLOOR(((2*XLOOKUP(XLOOKUP($Q348,'Threshold Summary'!$Y:$Y,'Threshold Summary'!$K:$K,""),'Pokemon Editor'!$A:$A,'Pokemon Editor'!$H:$H,0)+31+FLOOR(XLOOKUP($Q348,'Threshold Summary'!$Y:$Y,'Threshold Summary'!$R:$R,"")/4))*XLOOKUP($Q348,'Threshold Summary'!$Y:$Y,'Threshold Summary'!$L:$L,""))/100)+5)*XLOOKUP(XLOOKUP($Q348,'Threshold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Editor'!$E:$E,1))),stab,IF(OR(mtype=XLOOKUP(XLOOKUP($Q348,'Threshold Summary'!$Y:$Y,'Threshold Summary'!$K:$K,""),'Pokemon Editor'!$A:$A,'Pokemon Editor'!$C:$C,""),mtype=XLOOKUP(XLOOKUP($Q348,'Threshold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Chart'!$B$1:$S$1,0)))),base,IF(OR(cat="Status",pow=0),0,FLOOR(FLOOR(FLOOR((2*XLOOKUP($Q348,'Threshold Summary'!$Y:$Y,'Threshold Summary'!$L:$L,"")/5+2)*pow*atk/def)/50)+2)),modifier,stab*eff,AVERAGE(ARRAYFORMULA(FLOOR(base*modifier*SEQUENCE(16,1,85,1)/100)))/(FLOOR(((2*XLOOKUP('Boss Editor'!$C$4,'Pokemon Editor'!$A:$A,'Pokemon Editor'!$E:$E,0)+31+FLOOR('Boss Editor'!$G$4/4))*'Boss Editor'!$D$4)/100)+'Boss Editor'!$D$4+10)),0)</f>
        <v/>
      </c>
      <c r="O348" s="3">
        <f>IF(N348&gt;=1,"OHKO",IF(N348&gt;=0.5,"2HKO",IF(N348&gt;=0.333,"3HKO",IF(N348&gt;=0.25,"4HKO","5HKO+"))))</f>
        <v/>
      </c>
      <c r="P348" s="3" t="inlineStr">
        <is>
          <t>Live from editable databases</t>
        </is>
      </c>
      <c r="Q348" s="3" t="inlineStr">
        <is>
          <t>SPECIES_SHINX</t>
        </is>
      </c>
      <c r="R348" s="3" t="n">
        <v>27</v>
      </c>
    </row>
    <row r="349">
      <c r="A349" s="3">
        <f>XLOOKUP($Q349,'Threshold Summary'!$Y:$Y,'Threshold Summary'!$A:$A,"")</f>
        <v/>
      </c>
      <c r="B349" s="3">
        <f>XLOOKUP($Q349,'Threshold Summary'!$Y:$Y,'Threshold Summary'!$M:$M,"")</f>
        <v/>
      </c>
      <c r="C349" s="3">
        <f>XLOOKUP($Q349,'Threshold Summary'!$Y:$Y,'Threshold Summary'!$N:$N,"")</f>
        <v/>
      </c>
      <c r="D349" s="3">
        <f>IFERROR(INDEX(FILTER('Learnset Editor'!$D$2:$D,'Learnset Editor'!$A$2:$A=XLOOKUP($Q349,'Threshold Summary'!$Y:$Y,'Threshold Summary'!$K:$K,""),'Learnset Editor'!$C$2:$C&lt;=XLOOKUP($Q349,'Threshold Summary'!$Y:$Y,'Threshold Summary'!$L:$L,"")),$R349),"")</f>
        <v/>
      </c>
      <c r="E349" s="3">
        <f>XLOOKUP(D349,'Move Editor'!$B:$B,'Move Editor'!$C:$C,"")</f>
        <v/>
      </c>
      <c r="F349" s="3">
        <f>XLOOKUP(D349,'Move Editor'!$B:$B,'Move Editor'!$D:$D,"")</f>
        <v/>
      </c>
      <c r="G349" s="3">
        <f>XLOOKUP(D349,'Move Editor'!$B:$B,'Move Editor'!$E:$E,0)</f>
        <v/>
      </c>
      <c r="H349" s="3">
        <f>XLOOKUP(D349,'Move Editor'!$B:$B,'Move Editor'!$F:$F,0)</f>
        <v/>
      </c>
      <c r="I349" s="3">
        <f>(INDEX('Type Chart'!$B:$S,MATCH(E349,'Type Chart'!$A:$A,0),MATCH(XLOOKUP('Boss Editor'!$C$4,'Pokemon Editor'!$A:$A,'Pokemon Editor'!$C:$C,""),'Type Chart'!$B$1:$S$1,0))*IF(XLOOKUP('Boss Editor'!$C$4,'Pokemon Editor'!$A:$A,'Pokemon Editor'!$D:$D,"")="",1,INDEX('Type Chart'!$B:$S,MATCH(E349,'Type Chart'!$A:$A,0),MATCH(XLOOKUP('Boss Editor'!$C$4,'Pokemon Editor'!$A:$A,'Pokemon Editor'!$D:$D,""),'Type Chart'!$B$1:$S$1,0))))</f>
        <v/>
      </c>
      <c r="J349" s="3">
        <f>IFERROR(LET(mtype,XLOOKUP($D349,'Move Editor'!$B:$B,'Move Editor'!$C:$C,""),cat,XLOOKUP($D349,'Move Editor'!$B:$B,'Move Editor'!$D:$D,""),pow,XLOOKUP($D349,'Move Editor'!$B:$B,'Move Editor'!$E:$E,0),acc,XLOOKUP($D349,'Move Editor'!$B:$B,'Move Editor'!$F:$F,100),atk,IF(cat="Physical",FLOOR((FLOOR(((2*XLOOKUP(XLOOKUP($Q349,'Threshold Summary'!$Y:$Y,'Threshold Summary'!$K:$K,""),'Pokemon Editor'!$A:$A,'Pokemon Editor'!$F:$F,0)+31+FLOOR(XLOOKUP($Q349,'Threshold Summary'!$Y:$Y,'Threshold Summary'!$P:$P,"")/4))*XLOOKUP($Q349,'Threshold Summary'!$Y:$Y,'Threshold Summary'!$L:$L,""))/100)+5)*XLOOKUP(XLOOKUP($Q349,'Threshold Summary'!$Y:$Y,'Threshold Summary'!$M:$M,""),'Nature Editor'!$A:$A,'Nature Editor'!$B:$B,1)),FLOOR((FLOOR(((2*XLOOKUP(XLOOKUP($Q349,'Threshold Summary'!$Y:$Y,'Threshold Summary'!$K:$K,""),'Pokemon Editor'!$A:$A,'Pokemon Editor'!$H:$H,0)+31+FLOOR(XLOOKUP($Q349,'Threshold Summary'!$Y:$Y,'Threshold Summary'!$R:$R,"")/4))*XLOOKUP($Q349,'Threshold Summary'!$Y:$Y,'Threshold Summary'!$L:$L,""))/100)+5)*XLOOKUP(XLOOKUP($Q349,'Threshold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Editor'!$E:$E,1))),stab,IF(OR(mtype=XLOOKUP(XLOOKUP($Q349,'Threshold Summary'!$Y:$Y,'Threshold Summary'!$K:$K,""),'Pokemon Editor'!$A:$A,'Pokemon Editor'!$C:$C,""),mtype=XLOOKUP(XLOOKUP($Q349,'Threshold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Chart'!$B$1:$S$1,0)))),base,IF(OR(cat="Status",pow=0),0,FLOOR(FLOOR(FLOOR((2*XLOOKUP($Q349,'Threshold Summary'!$Y:$Y,'Threshold Summary'!$L:$L,"")/5+2)*pow*atk/def)/50)+2)),modifier,stab*eff,FLOOR(base*modifier*0.85)),0)</f>
        <v/>
      </c>
      <c r="K349" s="3">
        <f>IFERROR(LET(mtype,XLOOKUP($D349,'Move Editor'!$B:$B,'Move Editor'!$C:$C,""),cat,XLOOKUP($D349,'Move Editor'!$B:$B,'Move Editor'!$D:$D,""),pow,XLOOKUP($D349,'Move Editor'!$B:$B,'Move Editor'!$E:$E,0),acc,XLOOKUP($D349,'Move Editor'!$B:$B,'Move Editor'!$F:$F,100),atk,IF(cat="Physical",FLOOR((FLOOR(((2*XLOOKUP(XLOOKUP($Q349,'Threshold Summary'!$Y:$Y,'Threshold Summary'!$K:$K,""),'Pokemon Editor'!$A:$A,'Pokemon Editor'!$F:$F,0)+31+FLOOR(XLOOKUP($Q349,'Threshold Summary'!$Y:$Y,'Threshold Summary'!$P:$P,"")/4))*XLOOKUP($Q349,'Threshold Summary'!$Y:$Y,'Threshold Summary'!$L:$L,""))/100)+5)*XLOOKUP(XLOOKUP($Q349,'Threshold Summary'!$Y:$Y,'Threshold Summary'!$M:$M,""),'Nature Editor'!$A:$A,'Nature Editor'!$B:$B,1)),FLOOR((FLOOR(((2*XLOOKUP(XLOOKUP($Q349,'Threshold Summary'!$Y:$Y,'Threshold Summary'!$K:$K,""),'Pokemon Editor'!$A:$A,'Pokemon Editor'!$H:$H,0)+31+FLOOR(XLOOKUP($Q349,'Threshold Summary'!$Y:$Y,'Threshold Summary'!$R:$R,"")/4))*XLOOKUP($Q349,'Threshold Summary'!$Y:$Y,'Threshold Summary'!$L:$L,""))/100)+5)*XLOOKUP(XLOOKUP($Q349,'Threshold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Editor'!$E:$E,1))),stab,IF(OR(mtype=XLOOKUP(XLOOKUP($Q349,'Threshold Summary'!$Y:$Y,'Threshold Summary'!$K:$K,""),'Pokemon Editor'!$A:$A,'Pokemon Editor'!$C:$C,""),mtype=XLOOKUP(XLOOKUP($Q349,'Threshold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Chart'!$B$1:$S$1,0)))),base,IF(OR(cat="Status",pow=0),0,FLOOR(FLOOR(FLOOR((2*XLOOKUP($Q349,'Threshold Summary'!$Y:$Y,'Threshold Summary'!$L:$L,"")/5+2)*pow*atk/def)/50)+2)),modifier,stab*eff,FLOOR(base*modifier)),0)</f>
        <v/>
      </c>
      <c r="L349" s="3">
        <f>IFERROR(LET(mtype,XLOOKUP($D349,'Move Editor'!$B:$B,'Move Editor'!$C:$C,""),cat,XLOOKUP($D349,'Move Editor'!$B:$B,'Move Editor'!$D:$D,""),pow,XLOOKUP($D349,'Move Editor'!$B:$B,'Move Editor'!$E:$E,0),acc,XLOOKUP($D349,'Move Editor'!$B:$B,'Move Editor'!$F:$F,100),atk,IF(cat="Physical",FLOOR((FLOOR(((2*XLOOKUP(XLOOKUP($Q349,'Threshold Summary'!$Y:$Y,'Threshold Summary'!$K:$K,""),'Pokemon Editor'!$A:$A,'Pokemon Editor'!$F:$F,0)+31+FLOOR(XLOOKUP($Q349,'Threshold Summary'!$Y:$Y,'Threshold Summary'!$P:$P,"")/4))*XLOOKUP($Q349,'Threshold Summary'!$Y:$Y,'Threshold Summary'!$L:$L,""))/100)+5)*XLOOKUP(XLOOKUP($Q349,'Threshold Summary'!$Y:$Y,'Threshold Summary'!$M:$M,""),'Nature Editor'!$A:$A,'Nature Editor'!$B:$B,1)),FLOOR((FLOOR(((2*XLOOKUP(XLOOKUP($Q349,'Threshold Summary'!$Y:$Y,'Threshold Summary'!$K:$K,""),'Pokemon Editor'!$A:$A,'Pokemon Editor'!$H:$H,0)+31+FLOOR(XLOOKUP($Q349,'Threshold Summary'!$Y:$Y,'Threshold Summary'!$R:$R,"")/4))*XLOOKUP($Q349,'Threshold Summary'!$Y:$Y,'Threshold Summary'!$L:$L,""))/100)+5)*XLOOKUP(XLOOKUP($Q349,'Threshold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Editor'!$E:$E,1))),stab,IF(OR(mtype=XLOOKUP(XLOOKUP($Q349,'Threshold Summary'!$Y:$Y,'Threshold Summary'!$K:$K,""),'Pokemon Editor'!$A:$A,'Pokemon Editor'!$C:$C,""),mtype=XLOOKUP(XLOOKUP($Q349,'Threshold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Chart'!$B$1:$S$1,0)))),base,IF(OR(cat="Status",pow=0),0,FLOOR(FLOOR(FLOOR((2*XLOOKUP($Q349,'Threshold Summary'!$Y:$Y,'Threshold Summary'!$L:$L,"")/5+2)*pow*atk/def)/50)+2)),modifier,stab*eff,AVERAGE(ARRAYFORMULA(FLOOR(base*modifier*SEQUENCE(16,1,85,1)/100)))),0)</f>
        <v/>
      </c>
      <c r="M349" s="3">
        <f>IFERROR(LET(mtype,XLOOKUP($D349,'Move Editor'!$B:$B,'Move Editor'!$C:$C,""),cat,XLOOKUP($D349,'Move Editor'!$B:$B,'Move Editor'!$D:$D,""),pow,XLOOKUP($D349,'Move Editor'!$B:$B,'Move Editor'!$E:$E,0),acc,XLOOKUP($D349,'Move Editor'!$B:$B,'Move Editor'!$F:$F,100),atk,IF(cat="Physical",FLOOR((FLOOR(((2*XLOOKUP(XLOOKUP($Q349,'Threshold Summary'!$Y:$Y,'Threshold Summary'!$K:$K,""),'Pokemon Editor'!$A:$A,'Pokemon Editor'!$F:$F,0)+31+FLOOR(XLOOKUP($Q349,'Threshold Summary'!$Y:$Y,'Threshold Summary'!$P:$P,"")/4))*XLOOKUP($Q349,'Threshold Summary'!$Y:$Y,'Threshold Summary'!$L:$L,""))/100)+5)*XLOOKUP(XLOOKUP($Q349,'Threshold Summary'!$Y:$Y,'Threshold Summary'!$M:$M,""),'Nature Editor'!$A:$A,'Nature Editor'!$B:$B,1)),FLOOR((FLOOR(((2*XLOOKUP(XLOOKUP($Q349,'Threshold Summary'!$Y:$Y,'Threshold Summary'!$K:$K,""),'Pokemon Editor'!$A:$A,'Pokemon Editor'!$H:$H,0)+31+FLOOR(XLOOKUP($Q349,'Threshold Summary'!$Y:$Y,'Threshold Summary'!$R:$R,"")/4))*XLOOKUP($Q349,'Threshold Summary'!$Y:$Y,'Threshold Summary'!$L:$L,""))/100)+5)*XLOOKUP(XLOOKUP($Q349,'Threshold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Editor'!$E:$E,1))),stab,IF(OR(mtype=XLOOKUP(XLOOKUP($Q349,'Threshold Summary'!$Y:$Y,'Threshold Summary'!$K:$K,""),'Pokemon Editor'!$A:$A,'Pokemon Editor'!$C:$C,""),mtype=XLOOKUP(XLOOKUP($Q349,'Threshold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Chart'!$B$1:$S$1,0)))),base,IF(OR(cat="Status",pow=0),0,FLOOR(FLOOR(FLOOR((2*XLOOKUP($Q349,'Threshold Summary'!$Y:$Y,'Threshold Summary'!$L:$L,"")/5+2)*pow*atk/def)/50)+2)),modifier,stab*eff,AVERAGE(ARRAYFORMULA(FLOOR(base*modifier*SEQUENCE(16,1,85,1)/100)))*MIN(1,acc/100)),0)</f>
        <v/>
      </c>
      <c r="N349" s="4">
        <f>IFERROR(LET(mtype,XLOOKUP($D349,'Move Editor'!$B:$B,'Move Editor'!$C:$C,""),cat,XLOOKUP($D349,'Move Editor'!$B:$B,'Move Editor'!$D:$D,""),pow,XLOOKUP($D349,'Move Editor'!$B:$B,'Move Editor'!$E:$E,0),acc,XLOOKUP($D349,'Move Editor'!$B:$B,'Move Editor'!$F:$F,100),atk,IF(cat="Physical",FLOOR((FLOOR(((2*XLOOKUP(XLOOKUP($Q349,'Threshold Summary'!$Y:$Y,'Threshold Summary'!$K:$K,""),'Pokemon Editor'!$A:$A,'Pokemon Editor'!$F:$F,0)+31+FLOOR(XLOOKUP($Q349,'Threshold Summary'!$Y:$Y,'Threshold Summary'!$P:$P,"")/4))*XLOOKUP($Q349,'Threshold Summary'!$Y:$Y,'Threshold Summary'!$L:$L,""))/100)+5)*XLOOKUP(XLOOKUP($Q349,'Threshold Summary'!$Y:$Y,'Threshold Summary'!$M:$M,""),'Nature Editor'!$A:$A,'Nature Editor'!$B:$B,1)),FLOOR((FLOOR(((2*XLOOKUP(XLOOKUP($Q349,'Threshold Summary'!$Y:$Y,'Threshold Summary'!$K:$K,""),'Pokemon Editor'!$A:$A,'Pokemon Editor'!$H:$H,0)+31+FLOOR(XLOOKUP($Q349,'Threshold Summary'!$Y:$Y,'Threshold Summary'!$R:$R,"")/4))*XLOOKUP($Q349,'Threshold Summary'!$Y:$Y,'Threshold Summary'!$L:$L,""))/100)+5)*XLOOKUP(XLOOKUP($Q349,'Threshold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Editor'!$E:$E,1))),stab,IF(OR(mtype=XLOOKUP(XLOOKUP($Q349,'Threshold Summary'!$Y:$Y,'Threshold Summary'!$K:$K,""),'Pokemon Editor'!$A:$A,'Pokemon Editor'!$C:$C,""),mtype=XLOOKUP(XLOOKUP($Q349,'Threshold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Chart'!$B$1:$S$1,0)))),base,IF(OR(cat="Status",pow=0),0,FLOOR(FLOOR(FLOOR((2*XLOOKUP($Q349,'Threshold Summary'!$Y:$Y,'Threshold Summary'!$L:$L,"")/5+2)*pow*atk/def)/50)+2)),modifier,stab*eff,AVERAGE(ARRAYFORMULA(FLOOR(base*modifier*SEQUENCE(16,1,85,1)/100)))/(FLOOR(((2*XLOOKUP('Boss Editor'!$C$4,'Pokemon Editor'!$A:$A,'Pokemon Editor'!$E:$E,0)+31+FLOOR('Boss Editor'!$G$4/4))*'Boss Editor'!$D$4)/100)+'Boss Editor'!$D$4+10)),0)</f>
        <v/>
      </c>
      <c r="O349" s="3">
        <f>IF(N349&gt;=1,"OHKO",IF(N349&gt;=0.5,"2HKO",IF(N349&gt;=0.333,"3HKO",IF(N349&gt;=0.25,"4HKO","5HKO+"))))</f>
        <v/>
      </c>
      <c r="P349" s="3" t="inlineStr">
        <is>
          <t>Live from editable databases</t>
        </is>
      </c>
      <c r="Q349" s="3" t="inlineStr">
        <is>
          <t>SPECIES_SHINX</t>
        </is>
      </c>
      <c r="R349" s="3" t="n">
        <v>28</v>
      </c>
    </row>
    <row r="350">
      <c r="A350" s="3">
        <f>XLOOKUP($Q350,'Threshold Summary'!$Y:$Y,'Threshold Summary'!$A:$A,"")</f>
        <v/>
      </c>
      <c r="B350" s="3">
        <f>XLOOKUP($Q350,'Threshold Summary'!$Y:$Y,'Threshold Summary'!$M:$M,"")</f>
        <v/>
      </c>
      <c r="C350" s="3">
        <f>XLOOKUP($Q350,'Threshold Summary'!$Y:$Y,'Threshold Summary'!$N:$N,"")</f>
        <v/>
      </c>
      <c r="D350" s="3">
        <f>IFERROR(INDEX(FILTER('Learnset Editor'!$D$2:$D,'Learnset Editor'!$A$2:$A=XLOOKUP($Q350,'Threshold Summary'!$Y:$Y,'Threshold Summary'!$K:$K,""),'Learnset Editor'!$C$2:$C&lt;=XLOOKUP($Q350,'Threshold Summary'!$Y:$Y,'Threshold Summary'!$L:$L,"")),$R350),"")</f>
        <v/>
      </c>
      <c r="E350" s="3">
        <f>XLOOKUP(D350,'Move Editor'!$B:$B,'Move Editor'!$C:$C,"")</f>
        <v/>
      </c>
      <c r="F350" s="3">
        <f>XLOOKUP(D350,'Move Editor'!$B:$B,'Move Editor'!$D:$D,"")</f>
        <v/>
      </c>
      <c r="G350" s="3">
        <f>XLOOKUP(D350,'Move Editor'!$B:$B,'Move Editor'!$E:$E,0)</f>
        <v/>
      </c>
      <c r="H350" s="3">
        <f>XLOOKUP(D350,'Move Editor'!$B:$B,'Move Editor'!$F:$F,0)</f>
        <v/>
      </c>
      <c r="I350" s="3">
        <f>(INDEX('Type Chart'!$B:$S,MATCH(E350,'Type Chart'!$A:$A,0),MATCH(XLOOKUP('Boss Editor'!$C$4,'Pokemon Editor'!$A:$A,'Pokemon Editor'!$C:$C,""),'Type Chart'!$B$1:$S$1,0))*IF(XLOOKUP('Boss Editor'!$C$4,'Pokemon Editor'!$A:$A,'Pokemon Editor'!$D:$D,"")="",1,INDEX('Type Chart'!$B:$S,MATCH(E350,'Type Chart'!$A:$A,0),MATCH(XLOOKUP('Boss Editor'!$C$4,'Pokemon Editor'!$A:$A,'Pokemon Editor'!$D:$D,""),'Type Chart'!$B$1:$S$1,0))))</f>
        <v/>
      </c>
      <c r="J350" s="3">
        <f>IFERROR(LET(mtype,XLOOKUP($D350,'Move Editor'!$B:$B,'Move Editor'!$C:$C,""),cat,XLOOKUP($D350,'Move Editor'!$B:$B,'Move Editor'!$D:$D,""),pow,XLOOKUP($D350,'Move Editor'!$B:$B,'Move Editor'!$E:$E,0),acc,XLOOKUP($D350,'Move Editor'!$B:$B,'Move Editor'!$F:$F,100),atk,IF(cat="Physical",FLOOR((FLOOR(((2*XLOOKUP(XLOOKUP($Q350,'Threshold Summary'!$Y:$Y,'Threshold Summary'!$K:$K,""),'Pokemon Editor'!$A:$A,'Pokemon Editor'!$F:$F,0)+31+FLOOR(XLOOKUP($Q350,'Threshold Summary'!$Y:$Y,'Threshold Summary'!$P:$P,"")/4))*XLOOKUP($Q350,'Threshold Summary'!$Y:$Y,'Threshold Summary'!$L:$L,""))/100)+5)*XLOOKUP(XLOOKUP($Q350,'Threshold Summary'!$Y:$Y,'Threshold Summary'!$M:$M,""),'Nature Editor'!$A:$A,'Nature Editor'!$B:$B,1)),FLOOR((FLOOR(((2*XLOOKUP(XLOOKUP($Q350,'Threshold Summary'!$Y:$Y,'Threshold Summary'!$K:$K,""),'Pokemon Editor'!$A:$A,'Pokemon Editor'!$H:$H,0)+31+FLOOR(XLOOKUP($Q350,'Threshold Summary'!$Y:$Y,'Threshold Summary'!$R:$R,"")/4))*XLOOKUP($Q350,'Threshold Summary'!$Y:$Y,'Threshold Summary'!$L:$L,""))/100)+5)*XLOOKUP(XLOOKUP($Q350,'Threshold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Editor'!$E:$E,1))),stab,IF(OR(mtype=XLOOKUP(XLOOKUP($Q350,'Threshold Summary'!$Y:$Y,'Threshold Summary'!$K:$K,""),'Pokemon Editor'!$A:$A,'Pokemon Editor'!$C:$C,""),mtype=XLOOKUP(XLOOKUP($Q350,'Threshold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Chart'!$B$1:$S$1,0)))),base,IF(OR(cat="Status",pow=0),0,FLOOR(FLOOR(FLOOR((2*XLOOKUP($Q350,'Threshold Summary'!$Y:$Y,'Threshold Summary'!$L:$L,"")/5+2)*pow*atk/def)/50)+2)),modifier,stab*eff,FLOOR(base*modifier*0.85)),0)</f>
        <v/>
      </c>
      <c r="K350" s="3">
        <f>IFERROR(LET(mtype,XLOOKUP($D350,'Move Editor'!$B:$B,'Move Editor'!$C:$C,""),cat,XLOOKUP($D350,'Move Editor'!$B:$B,'Move Editor'!$D:$D,""),pow,XLOOKUP($D350,'Move Editor'!$B:$B,'Move Editor'!$E:$E,0),acc,XLOOKUP($D350,'Move Editor'!$B:$B,'Move Editor'!$F:$F,100),atk,IF(cat="Physical",FLOOR((FLOOR(((2*XLOOKUP(XLOOKUP($Q350,'Threshold Summary'!$Y:$Y,'Threshold Summary'!$K:$K,""),'Pokemon Editor'!$A:$A,'Pokemon Editor'!$F:$F,0)+31+FLOOR(XLOOKUP($Q350,'Threshold Summary'!$Y:$Y,'Threshold Summary'!$P:$P,"")/4))*XLOOKUP($Q350,'Threshold Summary'!$Y:$Y,'Threshold Summary'!$L:$L,""))/100)+5)*XLOOKUP(XLOOKUP($Q350,'Threshold Summary'!$Y:$Y,'Threshold Summary'!$M:$M,""),'Nature Editor'!$A:$A,'Nature Editor'!$B:$B,1)),FLOOR((FLOOR(((2*XLOOKUP(XLOOKUP($Q350,'Threshold Summary'!$Y:$Y,'Threshold Summary'!$K:$K,""),'Pokemon Editor'!$A:$A,'Pokemon Editor'!$H:$H,0)+31+FLOOR(XLOOKUP($Q350,'Threshold Summary'!$Y:$Y,'Threshold Summary'!$R:$R,"")/4))*XLOOKUP($Q350,'Threshold Summary'!$Y:$Y,'Threshold Summary'!$L:$L,""))/100)+5)*XLOOKUP(XLOOKUP($Q350,'Threshold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Editor'!$E:$E,1))),stab,IF(OR(mtype=XLOOKUP(XLOOKUP($Q350,'Threshold Summary'!$Y:$Y,'Threshold Summary'!$K:$K,""),'Pokemon Editor'!$A:$A,'Pokemon Editor'!$C:$C,""),mtype=XLOOKUP(XLOOKUP($Q350,'Threshold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Chart'!$B$1:$S$1,0)))),base,IF(OR(cat="Status",pow=0),0,FLOOR(FLOOR(FLOOR((2*XLOOKUP($Q350,'Threshold Summary'!$Y:$Y,'Threshold Summary'!$L:$L,"")/5+2)*pow*atk/def)/50)+2)),modifier,stab*eff,FLOOR(base*modifier)),0)</f>
        <v/>
      </c>
      <c r="L350" s="3">
        <f>IFERROR(LET(mtype,XLOOKUP($D350,'Move Editor'!$B:$B,'Move Editor'!$C:$C,""),cat,XLOOKUP($D350,'Move Editor'!$B:$B,'Move Editor'!$D:$D,""),pow,XLOOKUP($D350,'Move Editor'!$B:$B,'Move Editor'!$E:$E,0),acc,XLOOKUP($D350,'Move Editor'!$B:$B,'Move Editor'!$F:$F,100),atk,IF(cat="Physical",FLOOR((FLOOR(((2*XLOOKUP(XLOOKUP($Q350,'Threshold Summary'!$Y:$Y,'Threshold Summary'!$K:$K,""),'Pokemon Editor'!$A:$A,'Pokemon Editor'!$F:$F,0)+31+FLOOR(XLOOKUP($Q350,'Threshold Summary'!$Y:$Y,'Threshold Summary'!$P:$P,"")/4))*XLOOKUP($Q350,'Threshold Summary'!$Y:$Y,'Threshold Summary'!$L:$L,""))/100)+5)*XLOOKUP(XLOOKUP($Q350,'Threshold Summary'!$Y:$Y,'Threshold Summary'!$M:$M,""),'Nature Editor'!$A:$A,'Nature Editor'!$B:$B,1)),FLOOR((FLOOR(((2*XLOOKUP(XLOOKUP($Q350,'Threshold Summary'!$Y:$Y,'Threshold Summary'!$K:$K,""),'Pokemon Editor'!$A:$A,'Pokemon Editor'!$H:$H,0)+31+FLOOR(XLOOKUP($Q350,'Threshold Summary'!$Y:$Y,'Threshold Summary'!$R:$R,"")/4))*XLOOKUP($Q350,'Threshold Summary'!$Y:$Y,'Threshold Summary'!$L:$L,""))/100)+5)*XLOOKUP(XLOOKUP($Q350,'Threshold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Editor'!$E:$E,1))),stab,IF(OR(mtype=XLOOKUP(XLOOKUP($Q350,'Threshold Summary'!$Y:$Y,'Threshold Summary'!$K:$K,""),'Pokemon Editor'!$A:$A,'Pokemon Editor'!$C:$C,""),mtype=XLOOKUP(XLOOKUP($Q350,'Threshold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Chart'!$B$1:$S$1,0)))),base,IF(OR(cat="Status",pow=0),0,FLOOR(FLOOR(FLOOR((2*XLOOKUP($Q350,'Threshold Summary'!$Y:$Y,'Threshold Summary'!$L:$L,"")/5+2)*pow*atk/def)/50)+2)),modifier,stab*eff,AVERAGE(ARRAYFORMULA(FLOOR(base*modifier*SEQUENCE(16,1,85,1)/100)))),0)</f>
        <v/>
      </c>
      <c r="M350" s="3">
        <f>IFERROR(LET(mtype,XLOOKUP($D350,'Move Editor'!$B:$B,'Move Editor'!$C:$C,""),cat,XLOOKUP($D350,'Move Editor'!$B:$B,'Move Editor'!$D:$D,""),pow,XLOOKUP($D350,'Move Editor'!$B:$B,'Move Editor'!$E:$E,0),acc,XLOOKUP($D350,'Move Editor'!$B:$B,'Move Editor'!$F:$F,100),atk,IF(cat="Physical",FLOOR((FLOOR(((2*XLOOKUP(XLOOKUP($Q350,'Threshold Summary'!$Y:$Y,'Threshold Summary'!$K:$K,""),'Pokemon Editor'!$A:$A,'Pokemon Editor'!$F:$F,0)+31+FLOOR(XLOOKUP($Q350,'Threshold Summary'!$Y:$Y,'Threshold Summary'!$P:$P,"")/4))*XLOOKUP($Q350,'Threshold Summary'!$Y:$Y,'Threshold Summary'!$L:$L,""))/100)+5)*XLOOKUP(XLOOKUP($Q350,'Threshold Summary'!$Y:$Y,'Threshold Summary'!$M:$M,""),'Nature Editor'!$A:$A,'Nature Editor'!$B:$B,1)),FLOOR((FLOOR(((2*XLOOKUP(XLOOKUP($Q350,'Threshold Summary'!$Y:$Y,'Threshold Summary'!$K:$K,""),'Pokemon Editor'!$A:$A,'Pokemon Editor'!$H:$H,0)+31+FLOOR(XLOOKUP($Q350,'Threshold Summary'!$Y:$Y,'Threshold Summary'!$R:$R,"")/4))*XLOOKUP($Q350,'Threshold Summary'!$Y:$Y,'Threshold Summary'!$L:$L,""))/100)+5)*XLOOKUP(XLOOKUP($Q350,'Threshold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Editor'!$E:$E,1))),stab,IF(OR(mtype=XLOOKUP(XLOOKUP($Q350,'Threshold Summary'!$Y:$Y,'Threshold Summary'!$K:$K,""),'Pokemon Editor'!$A:$A,'Pokemon Editor'!$C:$C,""),mtype=XLOOKUP(XLOOKUP($Q350,'Threshold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Chart'!$B$1:$S$1,0)))),base,IF(OR(cat="Status",pow=0),0,FLOOR(FLOOR(FLOOR((2*XLOOKUP($Q350,'Threshold Summary'!$Y:$Y,'Threshold Summary'!$L:$L,"")/5+2)*pow*atk/def)/50)+2)),modifier,stab*eff,AVERAGE(ARRAYFORMULA(FLOOR(base*modifier*SEQUENCE(16,1,85,1)/100)))*MIN(1,acc/100)),0)</f>
        <v/>
      </c>
      <c r="N350" s="4">
        <f>IFERROR(LET(mtype,XLOOKUP($D350,'Move Editor'!$B:$B,'Move Editor'!$C:$C,""),cat,XLOOKUP($D350,'Move Editor'!$B:$B,'Move Editor'!$D:$D,""),pow,XLOOKUP($D350,'Move Editor'!$B:$B,'Move Editor'!$E:$E,0),acc,XLOOKUP($D350,'Move Editor'!$B:$B,'Move Editor'!$F:$F,100),atk,IF(cat="Physical",FLOOR((FLOOR(((2*XLOOKUP(XLOOKUP($Q350,'Threshold Summary'!$Y:$Y,'Threshold Summary'!$K:$K,""),'Pokemon Editor'!$A:$A,'Pokemon Editor'!$F:$F,0)+31+FLOOR(XLOOKUP($Q350,'Threshold Summary'!$Y:$Y,'Threshold Summary'!$P:$P,"")/4))*XLOOKUP($Q350,'Threshold Summary'!$Y:$Y,'Threshold Summary'!$L:$L,""))/100)+5)*XLOOKUP(XLOOKUP($Q350,'Threshold Summary'!$Y:$Y,'Threshold Summary'!$M:$M,""),'Nature Editor'!$A:$A,'Nature Editor'!$B:$B,1)),FLOOR((FLOOR(((2*XLOOKUP(XLOOKUP($Q350,'Threshold Summary'!$Y:$Y,'Threshold Summary'!$K:$K,""),'Pokemon Editor'!$A:$A,'Pokemon Editor'!$H:$H,0)+31+FLOOR(XLOOKUP($Q350,'Threshold Summary'!$Y:$Y,'Threshold Summary'!$R:$R,"")/4))*XLOOKUP($Q350,'Threshold Summary'!$Y:$Y,'Threshold Summary'!$L:$L,""))/100)+5)*XLOOKUP(XLOOKUP($Q350,'Threshold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Editor'!$E:$E,1))),stab,IF(OR(mtype=XLOOKUP(XLOOKUP($Q350,'Threshold Summary'!$Y:$Y,'Threshold Summary'!$K:$K,""),'Pokemon Editor'!$A:$A,'Pokemon Editor'!$C:$C,""),mtype=XLOOKUP(XLOOKUP($Q350,'Threshold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Chart'!$B$1:$S$1,0)))),base,IF(OR(cat="Status",pow=0),0,FLOOR(FLOOR(FLOOR((2*XLOOKUP($Q350,'Threshold Summary'!$Y:$Y,'Threshold Summary'!$L:$L,"")/5+2)*pow*atk/def)/50)+2)),modifier,stab*eff,AVERAGE(ARRAYFORMULA(FLOOR(base*modifier*SEQUENCE(16,1,85,1)/100)))/(FLOOR(((2*XLOOKUP('Boss Editor'!$C$4,'Pokemon Editor'!$A:$A,'Pokemon Editor'!$E:$E,0)+31+FLOOR('Boss Editor'!$G$4/4))*'Boss Editor'!$D$4)/100)+'Boss Editor'!$D$4+10)),0)</f>
        <v/>
      </c>
      <c r="O350" s="3">
        <f>IF(N350&gt;=1,"OHKO",IF(N350&gt;=0.5,"2HKO",IF(N350&gt;=0.333,"3HKO",IF(N350&gt;=0.25,"4HKO","5HKO+"))))</f>
        <v/>
      </c>
      <c r="P350" s="3" t="inlineStr">
        <is>
          <t>Live from editable databases</t>
        </is>
      </c>
      <c r="Q350" s="3" t="inlineStr">
        <is>
          <t>SPECIES_SHINX</t>
        </is>
      </c>
      <c r="R350" s="3" t="n">
        <v>29</v>
      </c>
    </row>
    <row r="351">
      <c r="A351" s="3">
        <f>XLOOKUP($Q351,'Threshold Summary'!$Y:$Y,'Threshold Summary'!$A:$A,"")</f>
        <v/>
      </c>
      <c r="B351" s="3">
        <f>XLOOKUP($Q351,'Threshold Summary'!$Y:$Y,'Threshold Summary'!$M:$M,"")</f>
        <v/>
      </c>
      <c r="C351" s="3">
        <f>XLOOKUP($Q351,'Threshold Summary'!$Y:$Y,'Threshold Summary'!$N:$N,"")</f>
        <v/>
      </c>
      <c r="D351" s="3">
        <f>IFERROR(INDEX(FILTER('Learnset Editor'!$D$2:$D,'Learnset Editor'!$A$2:$A=XLOOKUP($Q351,'Threshold Summary'!$Y:$Y,'Threshold Summary'!$K:$K,""),'Learnset Editor'!$C$2:$C&lt;=XLOOKUP($Q351,'Threshold Summary'!$Y:$Y,'Threshold Summary'!$L:$L,"")),$R351),"")</f>
        <v/>
      </c>
      <c r="E351" s="3">
        <f>XLOOKUP(D351,'Move Editor'!$B:$B,'Move Editor'!$C:$C,"")</f>
        <v/>
      </c>
      <c r="F351" s="3">
        <f>XLOOKUP(D351,'Move Editor'!$B:$B,'Move Editor'!$D:$D,"")</f>
        <v/>
      </c>
      <c r="G351" s="3">
        <f>XLOOKUP(D351,'Move Editor'!$B:$B,'Move Editor'!$E:$E,0)</f>
        <v/>
      </c>
      <c r="H351" s="3">
        <f>XLOOKUP(D351,'Move Editor'!$B:$B,'Move Editor'!$F:$F,0)</f>
        <v/>
      </c>
      <c r="I351" s="3">
        <f>(INDEX('Type Chart'!$B:$S,MATCH(E351,'Type Chart'!$A:$A,0),MATCH(XLOOKUP('Boss Editor'!$C$4,'Pokemon Editor'!$A:$A,'Pokemon Editor'!$C:$C,""),'Type Chart'!$B$1:$S$1,0))*IF(XLOOKUP('Boss Editor'!$C$4,'Pokemon Editor'!$A:$A,'Pokemon Editor'!$D:$D,"")="",1,INDEX('Type Chart'!$B:$S,MATCH(E351,'Type Chart'!$A:$A,0),MATCH(XLOOKUP('Boss Editor'!$C$4,'Pokemon Editor'!$A:$A,'Pokemon Editor'!$D:$D,""),'Type Chart'!$B$1:$S$1,0))))</f>
        <v/>
      </c>
      <c r="J351" s="3">
        <f>IFERROR(LET(mtype,XLOOKUP($D351,'Move Editor'!$B:$B,'Move Editor'!$C:$C,""),cat,XLOOKUP($D351,'Move Editor'!$B:$B,'Move Editor'!$D:$D,""),pow,XLOOKUP($D351,'Move Editor'!$B:$B,'Move Editor'!$E:$E,0),acc,XLOOKUP($D351,'Move Editor'!$B:$B,'Move Editor'!$F:$F,100),atk,IF(cat="Physical",FLOOR((FLOOR(((2*XLOOKUP(XLOOKUP($Q351,'Threshold Summary'!$Y:$Y,'Threshold Summary'!$K:$K,""),'Pokemon Editor'!$A:$A,'Pokemon Editor'!$F:$F,0)+31+FLOOR(XLOOKUP($Q351,'Threshold Summary'!$Y:$Y,'Threshold Summary'!$P:$P,"")/4))*XLOOKUP($Q351,'Threshold Summary'!$Y:$Y,'Threshold Summary'!$L:$L,""))/100)+5)*XLOOKUP(XLOOKUP($Q351,'Threshold Summary'!$Y:$Y,'Threshold Summary'!$M:$M,""),'Nature Editor'!$A:$A,'Nature Editor'!$B:$B,1)),FLOOR((FLOOR(((2*XLOOKUP(XLOOKUP($Q351,'Threshold Summary'!$Y:$Y,'Threshold Summary'!$K:$K,""),'Pokemon Editor'!$A:$A,'Pokemon Editor'!$H:$H,0)+31+FLOOR(XLOOKUP($Q351,'Threshold Summary'!$Y:$Y,'Threshold Summary'!$R:$R,"")/4))*XLOOKUP($Q351,'Threshold Summary'!$Y:$Y,'Threshold Summary'!$L:$L,""))/100)+5)*XLOOKUP(XLOOKUP($Q351,'Threshold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Editor'!$E:$E,1))),stab,IF(OR(mtype=XLOOKUP(XLOOKUP($Q351,'Threshold Summary'!$Y:$Y,'Threshold Summary'!$K:$K,""),'Pokemon Editor'!$A:$A,'Pokemon Editor'!$C:$C,""),mtype=XLOOKUP(XLOOKUP($Q351,'Threshold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Chart'!$B$1:$S$1,0)))),base,IF(OR(cat="Status",pow=0),0,FLOOR(FLOOR(FLOOR((2*XLOOKUP($Q351,'Threshold Summary'!$Y:$Y,'Threshold Summary'!$L:$L,"")/5+2)*pow*atk/def)/50)+2)),modifier,stab*eff,FLOOR(base*modifier*0.85)),0)</f>
        <v/>
      </c>
      <c r="K351" s="3">
        <f>IFERROR(LET(mtype,XLOOKUP($D351,'Move Editor'!$B:$B,'Move Editor'!$C:$C,""),cat,XLOOKUP($D351,'Move Editor'!$B:$B,'Move Editor'!$D:$D,""),pow,XLOOKUP($D351,'Move Editor'!$B:$B,'Move Editor'!$E:$E,0),acc,XLOOKUP($D351,'Move Editor'!$B:$B,'Move Editor'!$F:$F,100),atk,IF(cat="Physical",FLOOR((FLOOR(((2*XLOOKUP(XLOOKUP($Q351,'Threshold Summary'!$Y:$Y,'Threshold Summary'!$K:$K,""),'Pokemon Editor'!$A:$A,'Pokemon Editor'!$F:$F,0)+31+FLOOR(XLOOKUP($Q351,'Threshold Summary'!$Y:$Y,'Threshold Summary'!$P:$P,"")/4))*XLOOKUP($Q351,'Threshold Summary'!$Y:$Y,'Threshold Summary'!$L:$L,""))/100)+5)*XLOOKUP(XLOOKUP($Q351,'Threshold Summary'!$Y:$Y,'Threshold Summary'!$M:$M,""),'Nature Editor'!$A:$A,'Nature Editor'!$B:$B,1)),FLOOR((FLOOR(((2*XLOOKUP(XLOOKUP($Q351,'Threshold Summary'!$Y:$Y,'Threshold Summary'!$K:$K,""),'Pokemon Editor'!$A:$A,'Pokemon Editor'!$H:$H,0)+31+FLOOR(XLOOKUP($Q351,'Threshold Summary'!$Y:$Y,'Threshold Summary'!$R:$R,"")/4))*XLOOKUP($Q351,'Threshold Summary'!$Y:$Y,'Threshold Summary'!$L:$L,""))/100)+5)*XLOOKUP(XLOOKUP($Q351,'Threshold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Editor'!$E:$E,1))),stab,IF(OR(mtype=XLOOKUP(XLOOKUP($Q351,'Threshold Summary'!$Y:$Y,'Threshold Summary'!$K:$K,""),'Pokemon Editor'!$A:$A,'Pokemon Editor'!$C:$C,""),mtype=XLOOKUP(XLOOKUP($Q351,'Threshold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Chart'!$B$1:$S$1,0)))),base,IF(OR(cat="Status",pow=0),0,FLOOR(FLOOR(FLOOR((2*XLOOKUP($Q351,'Threshold Summary'!$Y:$Y,'Threshold Summary'!$L:$L,"")/5+2)*pow*atk/def)/50)+2)),modifier,stab*eff,FLOOR(base*modifier)),0)</f>
        <v/>
      </c>
      <c r="L351" s="3">
        <f>IFERROR(LET(mtype,XLOOKUP($D351,'Move Editor'!$B:$B,'Move Editor'!$C:$C,""),cat,XLOOKUP($D351,'Move Editor'!$B:$B,'Move Editor'!$D:$D,""),pow,XLOOKUP($D351,'Move Editor'!$B:$B,'Move Editor'!$E:$E,0),acc,XLOOKUP($D351,'Move Editor'!$B:$B,'Move Editor'!$F:$F,100),atk,IF(cat="Physical",FLOOR((FLOOR(((2*XLOOKUP(XLOOKUP($Q351,'Threshold Summary'!$Y:$Y,'Threshold Summary'!$K:$K,""),'Pokemon Editor'!$A:$A,'Pokemon Editor'!$F:$F,0)+31+FLOOR(XLOOKUP($Q351,'Threshold Summary'!$Y:$Y,'Threshold Summary'!$P:$P,"")/4))*XLOOKUP($Q351,'Threshold Summary'!$Y:$Y,'Threshold Summary'!$L:$L,""))/100)+5)*XLOOKUP(XLOOKUP($Q351,'Threshold Summary'!$Y:$Y,'Threshold Summary'!$M:$M,""),'Nature Editor'!$A:$A,'Nature Editor'!$B:$B,1)),FLOOR((FLOOR(((2*XLOOKUP(XLOOKUP($Q351,'Threshold Summary'!$Y:$Y,'Threshold Summary'!$K:$K,""),'Pokemon Editor'!$A:$A,'Pokemon Editor'!$H:$H,0)+31+FLOOR(XLOOKUP($Q351,'Threshold Summary'!$Y:$Y,'Threshold Summary'!$R:$R,"")/4))*XLOOKUP($Q351,'Threshold Summary'!$Y:$Y,'Threshold Summary'!$L:$L,""))/100)+5)*XLOOKUP(XLOOKUP($Q351,'Threshold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Editor'!$E:$E,1))),stab,IF(OR(mtype=XLOOKUP(XLOOKUP($Q351,'Threshold Summary'!$Y:$Y,'Threshold Summary'!$K:$K,""),'Pokemon Editor'!$A:$A,'Pokemon Editor'!$C:$C,""),mtype=XLOOKUP(XLOOKUP($Q351,'Threshold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Chart'!$B$1:$S$1,0)))),base,IF(OR(cat="Status",pow=0),0,FLOOR(FLOOR(FLOOR((2*XLOOKUP($Q351,'Threshold Summary'!$Y:$Y,'Threshold Summary'!$L:$L,"")/5+2)*pow*atk/def)/50)+2)),modifier,stab*eff,AVERAGE(ARRAYFORMULA(FLOOR(base*modifier*SEQUENCE(16,1,85,1)/100)))),0)</f>
        <v/>
      </c>
      <c r="M351" s="3">
        <f>IFERROR(LET(mtype,XLOOKUP($D351,'Move Editor'!$B:$B,'Move Editor'!$C:$C,""),cat,XLOOKUP($D351,'Move Editor'!$B:$B,'Move Editor'!$D:$D,""),pow,XLOOKUP($D351,'Move Editor'!$B:$B,'Move Editor'!$E:$E,0),acc,XLOOKUP($D351,'Move Editor'!$B:$B,'Move Editor'!$F:$F,100),atk,IF(cat="Physical",FLOOR((FLOOR(((2*XLOOKUP(XLOOKUP($Q351,'Threshold Summary'!$Y:$Y,'Threshold Summary'!$K:$K,""),'Pokemon Editor'!$A:$A,'Pokemon Editor'!$F:$F,0)+31+FLOOR(XLOOKUP($Q351,'Threshold Summary'!$Y:$Y,'Threshold Summary'!$P:$P,"")/4))*XLOOKUP($Q351,'Threshold Summary'!$Y:$Y,'Threshold Summary'!$L:$L,""))/100)+5)*XLOOKUP(XLOOKUP($Q351,'Threshold Summary'!$Y:$Y,'Threshold Summary'!$M:$M,""),'Nature Editor'!$A:$A,'Nature Editor'!$B:$B,1)),FLOOR((FLOOR(((2*XLOOKUP(XLOOKUP($Q351,'Threshold Summary'!$Y:$Y,'Threshold Summary'!$K:$K,""),'Pokemon Editor'!$A:$A,'Pokemon Editor'!$H:$H,0)+31+FLOOR(XLOOKUP($Q351,'Threshold Summary'!$Y:$Y,'Threshold Summary'!$R:$R,"")/4))*XLOOKUP($Q351,'Threshold Summary'!$Y:$Y,'Threshold Summary'!$L:$L,""))/100)+5)*XLOOKUP(XLOOKUP($Q351,'Threshold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Editor'!$E:$E,1))),stab,IF(OR(mtype=XLOOKUP(XLOOKUP($Q351,'Threshold Summary'!$Y:$Y,'Threshold Summary'!$K:$K,""),'Pokemon Editor'!$A:$A,'Pokemon Editor'!$C:$C,""),mtype=XLOOKUP(XLOOKUP($Q351,'Threshold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Chart'!$B$1:$S$1,0)))),base,IF(OR(cat="Status",pow=0),0,FLOOR(FLOOR(FLOOR((2*XLOOKUP($Q351,'Threshold Summary'!$Y:$Y,'Threshold Summary'!$L:$L,"")/5+2)*pow*atk/def)/50)+2)),modifier,stab*eff,AVERAGE(ARRAYFORMULA(FLOOR(base*modifier*SEQUENCE(16,1,85,1)/100)))*MIN(1,acc/100)),0)</f>
        <v/>
      </c>
      <c r="N351" s="4">
        <f>IFERROR(LET(mtype,XLOOKUP($D351,'Move Editor'!$B:$B,'Move Editor'!$C:$C,""),cat,XLOOKUP($D351,'Move Editor'!$B:$B,'Move Editor'!$D:$D,""),pow,XLOOKUP($D351,'Move Editor'!$B:$B,'Move Editor'!$E:$E,0),acc,XLOOKUP($D351,'Move Editor'!$B:$B,'Move Editor'!$F:$F,100),atk,IF(cat="Physical",FLOOR((FLOOR(((2*XLOOKUP(XLOOKUP($Q351,'Threshold Summary'!$Y:$Y,'Threshold Summary'!$K:$K,""),'Pokemon Editor'!$A:$A,'Pokemon Editor'!$F:$F,0)+31+FLOOR(XLOOKUP($Q351,'Threshold Summary'!$Y:$Y,'Threshold Summary'!$P:$P,"")/4))*XLOOKUP($Q351,'Threshold Summary'!$Y:$Y,'Threshold Summary'!$L:$L,""))/100)+5)*XLOOKUP(XLOOKUP($Q351,'Threshold Summary'!$Y:$Y,'Threshold Summary'!$M:$M,""),'Nature Editor'!$A:$A,'Nature Editor'!$B:$B,1)),FLOOR((FLOOR(((2*XLOOKUP(XLOOKUP($Q351,'Threshold Summary'!$Y:$Y,'Threshold Summary'!$K:$K,""),'Pokemon Editor'!$A:$A,'Pokemon Editor'!$H:$H,0)+31+FLOOR(XLOOKUP($Q351,'Threshold Summary'!$Y:$Y,'Threshold Summary'!$R:$R,"")/4))*XLOOKUP($Q351,'Threshold Summary'!$Y:$Y,'Threshold Summary'!$L:$L,""))/100)+5)*XLOOKUP(XLOOKUP($Q351,'Threshold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Editor'!$E:$E,1))),stab,IF(OR(mtype=XLOOKUP(XLOOKUP($Q351,'Threshold Summary'!$Y:$Y,'Threshold Summary'!$K:$K,""),'Pokemon Editor'!$A:$A,'Pokemon Editor'!$C:$C,""),mtype=XLOOKUP(XLOOKUP($Q351,'Threshold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Chart'!$B$1:$S$1,0)))),base,IF(OR(cat="Status",pow=0),0,FLOOR(FLOOR(FLOOR((2*XLOOKUP($Q351,'Threshold Summary'!$Y:$Y,'Threshold Summary'!$L:$L,"")/5+2)*pow*atk/def)/50)+2)),modifier,stab*eff,AVERAGE(ARRAYFORMULA(FLOOR(base*modifier*SEQUENCE(16,1,85,1)/100)))/(FLOOR(((2*XLOOKUP('Boss Editor'!$C$4,'Pokemon Editor'!$A:$A,'Pokemon Editor'!$E:$E,0)+31+FLOOR('Boss Editor'!$G$4/4))*'Boss Editor'!$D$4)/100)+'Boss Editor'!$D$4+10)),0)</f>
        <v/>
      </c>
      <c r="O351" s="3">
        <f>IF(N351&gt;=1,"OHKO",IF(N351&gt;=0.5,"2HKO",IF(N351&gt;=0.333,"3HKO",IF(N351&gt;=0.25,"4HKO","5HKO+"))))</f>
        <v/>
      </c>
      <c r="P351" s="3" t="inlineStr">
        <is>
          <t>Live from editable databases</t>
        </is>
      </c>
      <c r="Q351" s="3" t="inlineStr">
        <is>
          <t>SPECIES_SHINX</t>
        </is>
      </c>
      <c r="R351" s="3" t="n">
        <v>30</v>
      </c>
    </row>
    <row r="352">
      <c r="A352" s="3">
        <f>XLOOKUP($Q352,'Threshold Summary'!$Y:$Y,'Threshold Summary'!$A:$A,"")</f>
        <v/>
      </c>
      <c r="B352" s="3">
        <f>XLOOKUP($Q352,'Threshold Summary'!$Y:$Y,'Threshold Summary'!$M:$M,"")</f>
        <v/>
      </c>
      <c r="C352" s="3">
        <f>XLOOKUP($Q352,'Threshold Summary'!$Y:$Y,'Threshold Summary'!$N:$N,"")</f>
        <v/>
      </c>
      <c r="D352" s="3">
        <f>IFERROR(INDEX(FILTER('Learnset Editor'!$D$2:$D,'Learnset Editor'!$A$2:$A=XLOOKUP($Q352,'Threshold Summary'!$Y:$Y,'Threshold Summary'!$K:$K,""),'Learnset Editor'!$C$2:$C&lt;=XLOOKUP($Q352,'Threshold Summary'!$Y:$Y,'Threshold Summary'!$L:$L,"")),$R352),"")</f>
        <v/>
      </c>
      <c r="E352" s="3">
        <f>XLOOKUP(D352,'Move Editor'!$B:$B,'Move Editor'!$C:$C,"")</f>
        <v/>
      </c>
      <c r="F352" s="3">
        <f>XLOOKUP(D352,'Move Editor'!$B:$B,'Move Editor'!$D:$D,"")</f>
        <v/>
      </c>
      <c r="G352" s="3">
        <f>XLOOKUP(D352,'Move Editor'!$B:$B,'Move Editor'!$E:$E,0)</f>
        <v/>
      </c>
      <c r="H352" s="3">
        <f>XLOOKUP(D352,'Move Editor'!$B:$B,'Move Editor'!$F:$F,0)</f>
        <v/>
      </c>
      <c r="I352" s="3">
        <f>(INDEX('Type Chart'!$B:$S,MATCH(E352,'Type Chart'!$A:$A,0),MATCH(XLOOKUP('Boss Editor'!$C$4,'Pokemon Editor'!$A:$A,'Pokemon Editor'!$C:$C,""),'Type Chart'!$B$1:$S$1,0))*IF(XLOOKUP('Boss Editor'!$C$4,'Pokemon Editor'!$A:$A,'Pokemon Editor'!$D:$D,"")="",1,INDEX('Type Chart'!$B:$S,MATCH(E352,'Type Chart'!$A:$A,0),MATCH(XLOOKUP('Boss Editor'!$C$4,'Pokemon Editor'!$A:$A,'Pokemon Editor'!$D:$D,""),'Type Chart'!$B$1:$S$1,0))))</f>
        <v/>
      </c>
      <c r="J352" s="3">
        <f>IFERROR(LET(mtype,XLOOKUP($D352,'Move Editor'!$B:$B,'Move Editor'!$C:$C,""),cat,XLOOKUP($D352,'Move Editor'!$B:$B,'Move Editor'!$D:$D,""),pow,XLOOKUP($D352,'Move Editor'!$B:$B,'Move Editor'!$E:$E,0),acc,XLOOKUP($D352,'Move Editor'!$B:$B,'Move Editor'!$F:$F,100),atk,IF(cat="Physical",FLOOR((FLOOR(((2*XLOOKUP(XLOOKUP($Q352,'Threshold Summary'!$Y:$Y,'Threshold Summary'!$K:$K,""),'Pokemon Editor'!$A:$A,'Pokemon Editor'!$F:$F,0)+31+FLOOR(XLOOKUP($Q352,'Threshold Summary'!$Y:$Y,'Threshold Summary'!$P:$P,"")/4))*XLOOKUP($Q352,'Threshold Summary'!$Y:$Y,'Threshold Summary'!$L:$L,""))/100)+5)*XLOOKUP(XLOOKUP($Q352,'Threshold Summary'!$Y:$Y,'Threshold Summary'!$M:$M,""),'Nature Editor'!$A:$A,'Nature Editor'!$B:$B,1)),FLOOR((FLOOR(((2*XLOOKUP(XLOOKUP($Q352,'Threshold Summary'!$Y:$Y,'Threshold Summary'!$K:$K,""),'Pokemon Editor'!$A:$A,'Pokemon Editor'!$H:$H,0)+31+FLOOR(XLOOKUP($Q352,'Threshold Summary'!$Y:$Y,'Threshold Summary'!$R:$R,"")/4))*XLOOKUP($Q352,'Threshold Summary'!$Y:$Y,'Threshold Summary'!$L:$L,""))/100)+5)*XLOOKUP(XLOOKUP($Q352,'Threshold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Editor'!$E:$E,1))),stab,IF(OR(mtype=XLOOKUP(XLOOKUP($Q352,'Threshold Summary'!$Y:$Y,'Threshold Summary'!$K:$K,""),'Pokemon Editor'!$A:$A,'Pokemon Editor'!$C:$C,""),mtype=XLOOKUP(XLOOKUP($Q352,'Threshold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Chart'!$B$1:$S$1,0)))),base,IF(OR(cat="Status",pow=0),0,FLOOR(FLOOR(FLOOR((2*XLOOKUP($Q352,'Threshold Summary'!$Y:$Y,'Threshold Summary'!$L:$L,"")/5+2)*pow*atk/def)/50)+2)),modifier,stab*eff,FLOOR(base*modifier*0.85)),0)</f>
        <v/>
      </c>
      <c r="K352" s="3">
        <f>IFERROR(LET(mtype,XLOOKUP($D352,'Move Editor'!$B:$B,'Move Editor'!$C:$C,""),cat,XLOOKUP($D352,'Move Editor'!$B:$B,'Move Editor'!$D:$D,""),pow,XLOOKUP($D352,'Move Editor'!$B:$B,'Move Editor'!$E:$E,0),acc,XLOOKUP($D352,'Move Editor'!$B:$B,'Move Editor'!$F:$F,100),atk,IF(cat="Physical",FLOOR((FLOOR(((2*XLOOKUP(XLOOKUP($Q352,'Threshold Summary'!$Y:$Y,'Threshold Summary'!$K:$K,""),'Pokemon Editor'!$A:$A,'Pokemon Editor'!$F:$F,0)+31+FLOOR(XLOOKUP($Q352,'Threshold Summary'!$Y:$Y,'Threshold Summary'!$P:$P,"")/4))*XLOOKUP($Q352,'Threshold Summary'!$Y:$Y,'Threshold Summary'!$L:$L,""))/100)+5)*XLOOKUP(XLOOKUP($Q352,'Threshold Summary'!$Y:$Y,'Threshold Summary'!$M:$M,""),'Nature Editor'!$A:$A,'Nature Editor'!$B:$B,1)),FLOOR((FLOOR(((2*XLOOKUP(XLOOKUP($Q352,'Threshold Summary'!$Y:$Y,'Threshold Summary'!$K:$K,""),'Pokemon Editor'!$A:$A,'Pokemon Editor'!$H:$H,0)+31+FLOOR(XLOOKUP($Q352,'Threshold Summary'!$Y:$Y,'Threshold Summary'!$R:$R,"")/4))*XLOOKUP($Q352,'Threshold Summary'!$Y:$Y,'Threshold Summary'!$L:$L,""))/100)+5)*XLOOKUP(XLOOKUP($Q352,'Threshold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Editor'!$E:$E,1))),stab,IF(OR(mtype=XLOOKUP(XLOOKUP($Q352,'Threshold Summary'!$Y:$Y,'Threshold Summary'!$K:$K,""),'Pokemon Editor'!$A:$A,'Pokemon Editor'!$C:$C,""),mtype=XLOOKUP(XLOOKUP($Q352,'Threshold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Chart'!$B$1:$S$1,0)))),base,IF(OR(cat="Status",pow=0),0,FLOOR(FLOOR(FLOOR((2*XLOOKUP($Q352,'Threshold Summary'!$Y:$Y,'Threshold Summary'!$L:$L,"")/5+2)*pow*atk/def)/50)+2)),modifier,stab*eff,FLOOR(base*modifier)),0)</f>
        <v/>
      </c>
      <c r="L352" s="3">
        <f>IFERROR(LET(mtype,XLOOKUP($D352,'Move Editor'!$B:$B,'Move Editor'!$C:$C,""),cat,XLOOKUP($D352,'Move Editor'!$B:$B,'Move Editor'!$D:$D,""),pow,XLOOKUP($D352,'Move Editor'!$B:$B,'Move Editor'!$E:$E,0),acc,XLOOKUP($D352,'Move Editor'!$B:$B,'Move Editor'!$F:$F,100),atk,IF(cat="Physical",FLOOR((FLOOR(((2*XLOOKUP(XLOOKUP($Q352,'Threshold Summary'!$Y:$Y,'Threshold Summary'!$K:$K,""),'Pokemon Editor'!$A:$A,'Pokemon Editor'!$F:$F,0)+31+FLOOR(XLOOKUP($Q352,'Threshold Summary'!$Y:$Y,'Threshold Summary'!$P:$P,"")/4))*XLOOKUP($Q352,'Threshold Summary'!$Y:$Y,'Threshold Summary'!$L:$L,""))/100)+5)*XLOOKUP(XLOOKUP($Q352,'Threshold Summary'!$Y:$Y,'Threshold Summary'!$M:$M,""),'Nature Editor'!$A:$A,'Nature Editor'!$B:$B,1)),FLOOR((FLOOR(((2*XLOOKUP(XLOOKUP($Q352,'Threshold Summary'!$Y:$Y,'Threshold Summary'!$K:$K,""),'Pokemon Editor'!$A:$A,'Pokemon Editor'!$H:$H,0)+31+FLOOR(XLOOKUP($Q352,'Threshold Summary'!$Y:$Y,'Threshold Summary'!$R:$R,"")/4))*XLOOKUP($Q352,'Threshold Summary'!$Y:$Y,'Threshold Summary'!$L:$L,""))/100)+5)*XLOOKUP(XLOOKUP($Q352,'Threshold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Editor'!$E:$E,1))),stab,IF(OR(mtype=XLOOKUP(XLOOKUP($Q352,'Threshold Summary'!$Y:$Y,'Threshold Summary'!$K:$K,""),'Pokemon Editor'!$A:$A,'Pokemon Editor'!$C:$C,""),mtype=XLOOKUP(XLOOKUP($Q352,'Threshold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Chart'!$B$1:$S$1,0)))),base,IF(OR(cat="Status",pow=0),0,FLOOR(FLOOR(FLOOR((2*XLOOKUP($Q352,'Threshold Summary'!$Y:$Y,'Threshold Summary'!$L:$L,"")/5+2)*pow*atk/def)/50)+2)),modifier,stab*eff,AVERAGE(ARRAYFORMULA(FLOOR(base*modifier*SEQUENCE(16,1,85,1)/100)))),0)</f>
        <v/>
      </c>
      <c r="M352" s="3">
        <f>IFERROR(LET(mtype,XLOOKUP($D352,'Move Editor'!$B:$B,'Move Editor'!$C:$C,""),cat,XLOOKUP($D352,'Move Editor'!$B:$B,'Move Editor'!$D:$D,""),pow,XLOOKUP($D352,'Move Editor'!$B:$B,'Move Editor'!$E:$E,0),acc,XLOOKUP($D352,'Move Editor'!$B:$B,'Move Editor'!$F:$F,100),atk,IF(cat="Physical",FLOOR((FLOOR(((2*XLOOKUP(XLOOKUP($Q352,'Threshold Summary'!$Y:$Y,'Threshold Summary'!$K:$K,""),'Pokemon Editor'!$A:$A,'Pokemon Editor'!$F:$F,0)+31+FLOOR(XLOOKUP($Q352,'Threshold Summary'!$Y:$Y,'Threshold Summary'!$P:$P,"")/4))*XLOOKUP($Q352,'Threshold Summary'!$Y:$Y,'Threshold Summary'!$L:$L,""))/100)+5)*XLOOKUP(XLOOKUP($Q352,'Threshold Summary'!$Y:$Y,'Threshold Summary'!$M:$M,""),'Nature Editor'!$A:$A,'Nature Editor'!$B:$B,1)),FLOOR((FLOOR(((2*XLOOKUP(XLOOKUP($Q352,'Threshold Summary'!$Y:$Y,'Threshold Summary'!$K:$K,""),'Pokemon Editor'!$A:$A,'Pokemon Editor'!$H:$H,0)+31+FLOOR(XLOOKUP($Q352,'Threshold Summary'!$Y:$Y,'Threshold Summary'!$R:$R,"")/4))*XLOOKUP($Q352,'Threshold Summary'!$Y:$Y,'Threshold Summary'!$L:$L,""))/100)+5)*XLOOKUP(XLOOKUP($Q352,'Threshold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Editor'!$E:$E,1))),stab,IF(OR(mtype=XLOOKUP(XLOOKUP($Q352,'Threshold Summary'!$Y:$Y,'Threshold Summary'!$K:$K,""),'Pokemon Editor'!$A:$A,'Pokemon Editor'!$C:$C,""),mtype=XLOOKUP(XLOOKUP($Q352,'Threshold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Chart'!$B$1:$S$1,0)))),base,IF(OR(cat="Status",pow=0),0,FLOOR(FLOOR(FLOOR((2*XLOOKUP($Q352,'Threshold Summary'!$Y:$Y,'Threshold Summary'!$L:$L,"")/5+2)*pow*atk/def)/50)+2)),modifier,stab*eff,AVERAGE(ARRAYFORMULA(FLOOR(base*modifier*SEQUENCE(16,1,85,1)/100)))*MIN(1,acc/100)),0)</f>
        <v/>
      </c>
      <c r="N352" s="4">
        <f>IFERROR(LET(mtype,XLOOKUP($D352,'Move Editor'!$B:$B,'Move Editor'!$C:$C,""),cat,XLOOKUP($D352,'Move Editor'!$B:$B,'Move Editor'!$D:$D,""),pow,XLOOKUP($D352,'Move Editor'!$B:$B,'Move Editor'!$E:$E,0),acc,XLOOKUP($D352,'Move Editor'!$B:$B,'Move Editor'!$F:$F,100),atk,IF(cat="Physical",FLOOR((FLOOR(((2*XLOOKUP(XLOOKUP($Q352,'Threshold Summary'!$Y:$Y,'Threshold Summary'!$K:$K,""),'Pokemon Editor'!$A:$A,'Pokemon Editor'!$F:$F,0)+31+FLOOR(XLOOKUP($Q352,'Threshold Summary'!$Y:$Y,'Threshold Summary'!$P:$P,"")/4))*XLOOKUP($Q352,'Threshold Summary'!$Y:$Y,'Threshold Summary'!$L:$L,""))/100)+5)*XLOOKUP(XLOOKUP($Q352,'Threshold Summary'!$Y:$Y,'Threshold Summary'!$M:$M,""),'Nature Editor'!$A:$A,'Nature Editor'!$B:$B,1)),FLOOR((FLOOR(((2*XLOOKUP(XLOOKUP($Q352,'Threshold Summary'!$Y:$Y,'Threshold Summary'!$K:$K,""),'Pokemon Editor'!$A:$A,'Pokemon Editor'!$H:$H,0)+31+FLOOR(XLOOKUP($Q352,'Threshold Summary'!$Y:$Y,'Threshold Summary'!$R:$R,"")/4))*XLOOKUP($Q352,'Threshold Summary'!$Y:$Y,'Threshold Summary'!$L:$L,""))/100)+5)*XLOOKUP(XLOOKUP($Q352,'Threshold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Editor'!$E:$E,1))),stab,IF(OR(mtype=XLOOKUP(XLOOKUP($Q352,'Threshold Summary'!$Y:$Y,'Threshold Summary'!$K:$K,""),'Pokemon Editor'!$A:$A,'Pokemon Editor'!$C:$C,""),mtype=XLOOKUP(XLOOKUP($Q352,'Threshold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Chart'!$B$1:$S$1,0)))),base,IF(OR(cat="Status",pow=0),0,FLOOR(FLOOR(FLOOR((2*XLOOKUP($Q352,'Threshold Summary'!$Y:$Y,'Threshold Summary'!$L:$L,"")/5+2)*pow*atk/def)/50)+2)),modifier,stab*eff,AVERAGE(ARRAYFORMULA(FLOOR(base*modifier*SEQUENCE(16,1,85,1)/100)))/(FLOOR(((2*XLOOKUP('Boss Editor'!$C$4,'Pokemon Editor'!$A:$A,'Pokemon Editor'!$E:$E,0)+31+FLOOR('Boss Editor'!$G$4/4))*'Boss Editor'!$D$4)/100)+'Boss Editor'!$D$4+10)),0)</f>
        <v/>
      </c>
      <c r="O352" s="3">
        <f>IF(N352&gt;=1,"OHKO",IF(N352&gt;=0.5,"2HKO",IF(N352&gt;=0.333,"3HKO",IF(N352&gt;=0.25,"4HKO","5HKO+"))))</f>
        <v/>
      </c>
      <c r="P352" s="3" t="inlineStr">
        <is>
          <t>Live from editable databases</t>
        </is>
      </c>
      <c r="Q352" s="3" t="inlineStr">
        <is>
          <t>SPECIES_SHINX</t>
        </is>
      </c>
      <c r="R352" s="3" t="n">
        <v>31</v>
      </c>
    </row>
    <row r="353">
      <c r="A353" s="3">
        <f>XLOOKUP($Q353,'Threshold Summary'!$Y:$Y,'Threshold Summary'!$A:$A,"")</f>
        <v/>
      </c>
      <c r="B353" s="3">
        <f>XLOOKUP($Q353,'Threshold Summary'!$Y:$Y,'Threshold Summary'!$M:$M,"")</f>
        <v/>
      </c>
      <c r="C353" s="3">
        <f>XLOOKUP($Q353,'Threshold Summary'!$Y:$Y,'Threshold Summary'!$N:$N,"")</f>
        <v/>
      </c>
      <c r="D353" s="3">
        <f>IFERROR(INDEX(FILTER('Learnset Editor'!$D$2:$D,'Learnset Editor'!$A$2:$A=XLOOKUP($Q353,'Threshold Summary'!$Y:$Y,'Threshold Summary'!$K:$K,""),'Learnset Editor'!$C$2:$C&lt;=XLOOKUP($Q353,'Threshold Summary'!$Y:$Y,'Threshold Summary'!$L:$L,"")),$R353),"")</f>
        <v/>
      </c>
      <c r="E353" s="3">
        <f>XLOOKUP(D353,'Move Editor'!$B:$B,'Move Editor'!$C:$C,"")</f>
        <v/>
      </c>
      <c r="F353" s="3">
        <f>XLOOKUP(D353,'Move Editor'!$B:$B,'Move Editor'!$D:$D,"")</f>
        <v/>
      </c>
      <c r="G353" s="3">
        <f>XLOOKUP(D353,'Move Editor'!$B:$B,'Move Editor'!$E:$E,0)</f>
        <v/>
      </c>
      <c r="H353" s="3">
        <f>XLOOKUP(D353,'Move Editor'!$B:$B,'Move Editor'!$F:$F,0)</f>
        <v/>
      </c>
      <c r="I353" s="3">
        <f>(INDEX('Type Chart'!$B:$S,MATCH(E353,'Type Chart'!$A:$A,0),MATCH(XLOOKUP('Boss Editor'!$C$4,'Pokemon Editor'!$A:$A,'Pokemon Editor'!$C:$C,""),'Type Chart'!$B$1:$S$1,0))*IF(XLOOKUP('Boss Editor'!$C$4,'Pokemon Editor'!$A:$A,'Pokemon Editor'!$D:$D,"")="",1,INDEX('Type Chart'!$B:$S,MATCH(E353,'Type Chart'!$A:$A,0),MATCH(XLOOKUP('Boss Editor'!$C$4,'Pokemon Editor'!$A:$A,'Pokemon Editor'!$D:$D,""),'Type Chart'!$B$1:$S$1,0))))</f>
        <v/>
      </c>
      <c r="J353" s="3">
        <f>IFERROR(LET(mtype,XLOOKUP($D353,'Move Editor'!$B:$B,'Move Editor'!$C:$C,""),cat,XLOOKUP($D353,'Move Editor'!$B:$B,'Move Editor'!$D:$D,""),pow,XLOOKUP($D353,'Move Editor'!$B:$B,'Move Editor'!$E:$E,0),acc,XLOOKUP($D353,'Move Editor'!$B:$B,'Move Editor'!$F:$F,100),atk,IF(cat="Physical",FLOOR((FLOOR(((2*XLOOKUP(XLOOKUP($Q353,'Threshold Summary'!$Y:$Y,'Threshold Summary'!$K:$K,""),'Pokemon Editor'!$A:$A,'Pokemon Editor'!$F:$F,0)+31+FLOOR(XLOOKUP($Q353,'Threshold Summary'!$Y:$Y,'Threshold Summary'!$P:$P,"")/4))*XLOOKUP($Q353,'Threshold Summary'!$Y:$Y,'Threshold Summary'!$L:$L,""))/100)+5)*XLOOKUP(XLOOKUP($Q353,'Threshold Summary'!$Y:$Y,'Threshold Summary'!$M:$M,""),'Nature Editor'!$A:$A,'Nature Editor'!$B:$B,1)),FLOOR((FLOOR(((2*XLOOKUP(XLOOKUP($Q353,'Threshold Summary'!$Y:$Y,'Threshold Summary'!$K:$K,""),'Pokemon Editor'!$A:$A,'Pokemon Editor'!$H:$H,0)+31+FLOOR(XLOOKUP($Q353,'Threshold Summary'!$Y:$Y,'Threshold Summary'!$R:$R,"")/4))*XLOOKUP($Q353,'Threshold Summary'!$Y:$Y,'Threshold Summary'!$L:$L,""))/100)+5)*XLOOKUP(XLOOKUP($Q353,'Threshold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Editor'!$E:$E,1))),stab,IF(OR(mtype=XLOOKUP(XLOOKUP($Q353,'Threshold Summary'!$Y:$Y,'Threshold Summary'!$K:$K,""),'Pokemon Editor'!$A:$A,'Pokemon Editor'!$C:$C,""),mtype=XLOOKUP(XLOOKUP($Q353,'Threshold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Chart'!$B$1:$S$1,0)))),base,IF(OR(cat="Status",pow=0),0,FLOOR(FLOOR(FLOOR((2*XLOOKUP($Q353,'Threshold Summary'!$Y:$Y,'Threshold Summary'!$L:$L,"")/5+2)*pow*atk/def)/50)+2)),modifier,stab*eff,FLOOR(base*modifier*0.85)),0)</f>
        <v/>
      </c>
      <c r="K353" s="3">
        <f>IFERROR(LET(mtype,XLOOKUP($D353,'Move Editor'!$B:$B,'Move Editor'!$C:$C,""),cat,XLOOKUP($D353,'Move Editor'!$B:$B,'Move Editor'!$D:$D,""),pow,XLOOKUP($D353,'Move Editor'!$B:$B,'Move Editor'!$E:$E,0),acc,XLOOKUP($D353,'Move Editor'!$B:$B,'Move Editor'!$F:$F,100),atk,IF(cat="Physical",FLOOR((FLOOR(((2*XLOOKUP(XLOOKUP($Q353,'Threshold Summary'!$Y:$Y,'Threshold Summary'!$K:$K,""),'Pokemon Editor'!$A:$A,'Pokemon Editor'!$F:$F,0)+31+FLOOR(XLOOKUP($Q353,'Threshold Summary'!$Y:$Y,'Threshold Summary'!$P:$P,"")/4))*XLOOKUP($Q353,'Threshold Summary'!$Y:$Y,'Threshold Summary'!$L:$L,""))/100)+5)*XLOOKUP(XLOOKUP($Q353,'Threshold Summary'!$Y:$Y,'Threshold Summary'!$M:$M,""),'Nature Editor'!$A:$A,'Nature Editor'!$B:$B,1)),FLOOR((FLOOR(((2*XLOOKUP(XLOOKUP($Q353,'Threshold Summary'!$Y:$Y,'Threshold Summary'!$K:$K,""),'Pokemon Editor'!$A:$A,'Pokemon Editor'!$H:$H,0)+31+FLOOR(XLOOKUP($Q353,'Threshold Summary'!$Y:$Y,'Threshold Summary'!$R:$R,"")/4))*XLOOKUP($Q353,'Threshold Summary'!$Y:$Y,'Threshold Summary'!$L:$L,""))/100)+5)*XLOOKUP(XLOOKUP($Q353,'Threshold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Editor'!$E:$E,1))),stab,IF(OR(mtype=XLOOKUP(XLOOKUP($Q353,'Threshold Summary'!$Y:$Y,'Threshold Summary'!$K:$K,""),'Pokemon Editor'!$A:$A,'Pokemon Editor'!$C:$C,""),mtype=XLOOKUP(XLOOKUP($Q353,'Threshold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Chart'!$B$1:$S$1,0)))),base,IF(OR(cat="Status",pow=0),0,FLOOR(FLOOR(FLOOR((2*XLOOKUP($Q353,'Threshold Summary'!$Y:$Y,'Threshold Summary'!$L:$L,"")/5+2)*pow*atk/def)/50)+2)),modifier,stab*eff,FLOOR(base*modifier)),0)</f>
        <v/>
      </c>
      <c r="L353" s="3">
        <f>IFERROR(LET(mtype,XLOOKUP($D353,'Move Editor'!$B:$B,'Move Editor'!$C:$C,""),cat,XLOOKUP($D353,'Move Editor'!$B:$B,'Move Editor'!$D:$D,""),pow,XLOOKUP($D353,'Move Editor'!$B:$B,'Move Editor'!$E:$E,0),acc,XLOOKUP($D353,'Move Editor'!$B:$B,'Move Editor'!$F:$F,100),atk,IF(cat="Physical",FLOOR((FLOOR(((2*XLOOKUP(XLOOKUP($Q353,'Threshold Summary'!$Y:$Y,'Threshold Summary'!$K:$K,""),'Pokemon Editor'!$A:$A,'Pokemon Editor'!$F:$F,0)+31+FLOOR(XLOOKUP($Q353,'Threshold Summary'!$Y:$Y,'Threshold Summary'!$P:$P,"")/4))*XLOOKUP($Q353,'Threshold Summary'!$Y:$Y,'Threshold Summary'!$L:$L,""))/100)+5)*XLOOKUP(XLOOKUP($Q353,'Threshold Summary'!$Y:$Y,'Threshold Summary'!$M:$M,""),'Nature Editor'!$A:$A,'Nature Editor'!$B:$B,1)),FLOOR((FLOOR(((2*XLOOKUP(XLOOKUP($Q353,'Threshold Summary'!$Y:$Y,'Threshold Summary'!$K:$K,""),'Pokemon Editor'!$A:$A,'Pokemon Editor'!$H:$H,0)+31+FLOOR(XLOOKUP($Q353,'Threshold Summary'!$Y:$Y,'Threshold Summary'!$R:$R,"")/4))*XLOOKUP($Q353,'Threshold Summary'!$Y:$Y,'Threshold Summary'!$L:$L,""))/100)+5)*XLOOKUP(XLOOKUP($Q353,'Threshold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Editor'!$E:$E,1))),stab,IF(OR(mtype=XLOOKUP(XLOOKUP($Q353,'Threshold Summary'!$Y:$Y,'Threshold Summary'!$K:$K,""),'Pokemon Editor'!$A:$A,'Pokemon Editor'!$C:$C,""),mtype=XLOOKUP(XLOOKUP($Q353,'Threshold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Chart'!$B$1:$S$1,0)))),base,IF(OR(cat="Status",pow=0),0,FLOOR(FLOOR(FLOOR((2*XLOOKUP($Q353,'Threshold Summary'!$Y:$Y,'Threshold Summary'!$L:$L,"")/5+2)*pow*atk/def)/50)+2)),modifier,stab*eff,AVERAGE(ARRAYFORMULA(FLOOR(base*modifier*SEQUENCE(16,1,85,1)/100)))),0)</f>
        <v/>
      </c>
      <c r="M353" s="3">
        <f>IFERROR(LET(mtype,XLOOKUP($D353,'Move Editor'!$B:$B,'Move Editor'!$C:$C,""),cat,XLOOKUP($D353,'Move Editor'!$B:$B,'Move Editor'!$D:$D,""),pow,XLOOKUP($D353,'Move Editor'!$B:$B,'Move Editor'!$E:$E,0),acc,XLOOKUP($D353,'Move Editor'!$B:$B,'Move Editor'!$F:$F,100),atk,IF(cat="Physical",FLOOR((FLOOR(((2*XLOOKUP(XLOOKUP($Q353,'Threshold Summary'!$Y:$Y,'Threshold Summary'!$K:$K,""),'Pokemon Editor'!$A:$A,'Pokemon Editor'!$F:$F,0)+31+FLOOR(XLOOKUP($Q353,'Threshold Summary'!$Y:$Y,'Threshold Summary'!$P:$P,"")/4))*XLOOKUP($Q353,'Threshold Summary'!$Y:$Y,'Threshold Summary'!$L:$L,""))/100)+5)*XLOOKUP(XLOOKUP($Q353,'Threshold Summary'!$Y:$Y,'Threshold Summary'!$M:$M,""),'Nature Editor'!$A:$A,'Nature Editor'!$B:$B,1)),FLOOR((FLOOR(((2*XLOOKUP(XLOOKUP($Q353,'Threshold Summary'!$Y:$Y,'Threshold Summary'!$K:$K,""),'Pokemon Editor'!$A:$A,'Pokemon Editor'!$H:$H,0)+31+FLOOR(XLOOKUP($Q353,'Threshold Summary'!$Y:$Y,'Threshold Summary'!$R:$R,"")/4))*XLOOKUP($Q353,'Threshold Summary'!$Y:$Y,'Threshold Summary'!$L:$L,""))/100)+5)*XLOOKUP(XLOOKUP($Q353,'Threshold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Editor'!$E:$E,1))),stab,IF(OR(mtype=XLOOKUP(XLOOKUP($Q353,'Threshold Summary'!$Y:$Y,'Threshold Summary'!$K:$K,""),'Pokemon Editor'!$A:$A,'Pokemon Editor'!$C:$C,""),mtype=XLOOKUP(XLOOKUP($Q353,'Threshold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Chart'!$B$1:$S$1,0)))),base,IF(OR(cat="Status",pow=0),0,FLOOR(FLOOR(FLOOR((2*XLOOKUP($Q353,'Threshold Summary'!$Y:$Y,'Threshold Summary'!$L:$L,"")/5+2)*pow*atk/def)/50)+2)),modifier,stab*eff,AVERAGE(ARRAYFORMULA(FLOOR(base*modifier*SEQUENCE(16,1,85,1)/100)))*MIN(1,acc/100)),0)</f>
        <v/>
      </c>
      <c r="N353" s="4">
        <f>IFERROR(LET(mtype,XLOOKUP($D353,'Move Editor'!$B:$B,'Move Editor'!$C:$C,""),cat,XLOOKUP($D353,'Move Editor'!$B:$B,'Move Editor'!$D:$D,""),pow,XLOOKUP($D353,'Move Editor'!$B:$B,'Move Editor'!$E:$E,0),acc,XLOOKUP($D353,'Move Editor'!$B:$B,'Move Editor'!$F:$F,100),atk,IF(cat="Physical",FLOOR((FLOOR(((2*XLOOKUP(XLOOKUP($Q353,'Threshold Summary'!$Y:$Y,'Threshold Summary'!$K:$K,""),'Pokemon Editor'!$A:$A,'Pokemon Editor'!$F:$F,0)+31+FLOOR(XLOOKUP($Q353,'Threshold Summary'!$Y:$Y,'Threshold Summary'!$P:$P,"")/4))*XLOOKUP($Q353,'Threshold Summary'!$Y:$Y,'Threshold Summary'!$L:$L,""))/100)+5)*XLOOKUP(XLOOKUP($Q353,'Threshold Summary'!$Y:$Y,'Threshold Summary'!$M:$M,""),'Nature Editor'!$A:$A,'Nature Editor'!$B:$B,1)),FLOOR((FLOOR(((2*XLOOKUP(XLOOKUP($Q353,'Threshold Summary'!$Y:$Y,'Threshold Summary'!$K:$K,""),'Pokemon Editor'!$A:$A,'Pokemon Editor'!$H:$H,0)+31+FLOOR(XLOOKUP($Q353,'Threshold Summary'!$Y:$Y,'Threshold Summary'!$R:$R,"")/4))*XLOOKUP($Q353,'Threshold Summary'!$Y:$Y,'Threshold Summary'!$L:$L,""))/100)+5)*XLOOKUP(XLOOKUP($Q353,'Threshold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Editor'!$E:$E,1))),stab,IF(OR(mtype=XLOOKUP(XLOOKUP($Q353,'Threshold Summary'!$Y:$Y,'Threshold Summary'!$K:$K,""),'Pokemon Editor'!$A:$A,'Pokemon Editor'!$C:$C,""),mtype=XLOOKUP(XLOOKUP($Q353,'Threshold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Chart'!$B$1:$S$1,0)))),base,IF(OR(cat="Status",pow=0),0,FLOOR(FLOOR(FLOOR((2*XLOOKUP($Q353,'Threshold Summary'!$Y:$Y,'Threshold Summary'!$L:$L,"")/5+2)*pow*atk/def)/50)+2)),modifier,stab*eff,AVERAGE(ARRAYFORMULA(FLOOR(base*modifier*SEQUENCE(16,1,85,1)/100)))/(FLOOR(((2*XLOOKUP('Boss Editor'!$C$4,'Pokemon Editor'!$A:$A,'Pokemon Editor'!$E:$E,0)+31+FLOOR('Boss Editor'!$G$4/4))*'Boss Editor'!$D$4)/100)+'Boss Editor'!$D$4+10)),0)</f>
        <v/>
      </c>
      <c r="O353" s="3">
        <f>IF(N353&gt;=1,"OHKO",IF(N353&gt;=0.5,"2HKO",IF(N353&gt;=0.333,"3HKO",IF(N353&gt;=0.25,"4HKO","5HKO+"))))</f>
        <v/>
      </c>
      <c r="P353" s="3" t="inlineStr">
        <is>
          <t>Live from editable databases</t>
        </is>
      </c>
      <c r="Q353" s="3" t="inlineStr">
        <is>
          <t>SPECIES_SHINX</t>
        </is>
      </c>
      <c r="R353" s="3" t="n">
        <v>32</v>
      </c>
    </row>
    <row r="354">
      <c r="A354" s="3">
        <f>XLOOKUP($Q354,'Threshold Summary'!$Y:$Y,'Threshold Summary'!$A:$A,"")</f>
        <v/>
      </c>
      <c r="B354" s="3">
        <f>XLOOKUP($Q354,'Threshold Summary'!$Y:$Y,'Threshold Summary'!$M:$M,"")</f>
        <v/>
      </c>
      <c r="C354" s="3">
        <f>XLOOKUP($Q354,'Threshold Summary'!$Y:$Y,'Threshold Summary'!$N:$N,"")</f>
        <v/>
      </c>
      <c r="D354" s="3">
        <f>IFERROR(INDEX(FILTER('Learnset Editor'!$D$2:$D,'Learnset Editor'!$A$2:$A=XLOOKUP($Q354,'Threshold Summary'!$Y:$Y,'Threshold Summary'!$K:$K,""),'Learnset Editor'!$C$2:$C&lt;=XLOOKUP($Q354,'Threshold Summary'!$Y:$Y,'Threshold Summary'!$L:$L,"")),$R354),"")</f>
        <v/>
      </c>
      <c r="E354" s="3">
        <f>XLOOKUP(D354,'Move Editor'!$B:$B,'Move Editor'!$C:$C,"")</f>
        <v/>
      </c>
      <c r="F354" s="3">
        <f>XLOOKUP(D354,'Move Editor'!$B:$B,'Move Editor'!$D:$D,"")</f>
        <v/>
      </c>
      <c r="G354" s="3">
        <f>XLOOKUP(D354,'Move Editor'!$B:$B,'Move Editor'!$E:$E,0)</f>
        <v/>
      </c>
      <c r="H354" s="3">
        <f>XLOOKUP(D354,'Move Editor'!$B:$B,'Move Editor'!$F:$F,0)</f>
        <v/>
      </c>
      <c r="I354" s="3">
        <f>(INDEX('Type Chart'!$B:$S,MATCH(E354,'Type Chart'!$A:$A,0),MATCH(XLOOKUP('Boss Editor'!$C$4,'Pokemon Editor'!$A:$A,'Pokemon Editor'!$C:$C,""),'Type Chart'!$B$1:$S$1,0))*IF(XLOOKUP('Boss Editor'!$C$4,'Pokemon Editor'!$A:$A,'Pokemon Editor'!$D:$D,"")="",1,INDEX('Type Chart'!$B:$S,MATCH(E354,'Type Chart'!$A:$A,0),MATCH(XLOOKUP('Boss Editor'!$C$4,'Pokemon Editor'!$A:$A,'Pokemon Editor'!$D:$D,""),'Type Chart'!$B$1:$S$1,0))))</f>
        <v/>
      </c>
      <c r="J354" s="3">
        <f>IFERROR(LET(mtype,XLOOKUP($D354,'Move Editor'!$B:$B,'Move Editor'!$C:$C,""),cat,XLOOKUP($D354,'Move Editor'!$B:$B,'Move Editor'!$D:$D,""),pow,XLOOKUP($D354,'Move Editor'!$B:$B,'Move Editor'!$E:$E,0),acc,XLOOKUP($D354,'Move Editor'!$B:$B,'Move Editor'!$F:$F,100),atk,IF(cat="Physical",FLOOR((FLOOR(((2*XLOOKUP(XLOOKUP($Q354,'Threshold Summary'!$Y:$Y,'Threshold Summary'!$K:$K,""),'Pokemon Editor'!$A:$A,'Pokemon Editor'!$F:$F,0)+31+FLOOR(XLOOKUP($Q354,'Threshold Summary'!$Y:$Y,'Threshold Summary'!$P:$P,"")/4))*XLOOKUP($Q354,'Threshold Summary'!$Y:$Y,'Threshold Summary'!$L:$L,""))/100)+5)*XLOOKUP(XLOOKUP($Q354,'Threshold Summary'!$Y:$Y,'Threshold Summary'!$M:$M,""),'Nature Editor'!$A:$A,'Nature Editor'!$B:$B,1)),FLOOR((FLOOR(((2*XLOOKUP(XLOOKUP($Q354,'Threshold Summary'!$Y:$Y,'Threshold Summary'!$K:$K,""),'Pokemon Editor'!$A:$A,'Pokemon Editor'!$H:$H,0)+31+FLOOR(XLOOKUP($Q354,'Threshold Summary'!$Y:$Y,'Threshold Summary'!$R:$R,"")/4))*XLOOKUP($Q354,'Threshold Summary'!$Y:$Y,'Threshold Summary'!$L:$L,""))/100)+5)*XLOOKUP(XLOOKUP($Q354,'Threshold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Editor'!$E:$E,1))),stab,IF(OR(mtype=XLOOKUP(XLOOKUP($Q354,'Threshold Summary'!$Y:$Y,'Threshold Summary'!$K:$K,""),'Pokemon Editor'!$A:$A,'Pokemon Editor'!$C:$C,""),mtype=XLOOKUP(XLOOKUP($Q354,'Threshold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Chart'!$B$1:$S$1,0)))),base,IF(OR(cat="Status",pow=0),0,FLOOR(FLOOR(FLOOR((2*XLOOKUP($Q354,'Threshold Summary'!$Y:$Y,'Threshold Summary'!$L:$L,"")/5+2)*pow*atk/def)/50)+2)),modifier,stab*eff,FLOOR(base*modifier*0.85)),0)</f>
        <v/>
      </c>
      <c r="K354" s="3">
        <f>IFERROR(LET(mtype,XLOOKUP($D354,'Move Editor'!$B:$B,'Move Editor'!$C:$C,""),cat,XLOOKUP($D354,'Move Editor'!$B:$B,'Move Editor'!$D:$D,""),pow,XLOOKUP($D354,'Move Editor'!$B:$B,'Move Editor'!$E:$E,0),acc,XLOOKUP($D354,'Move Editor'!$B:$B,'Move Editor'!$F:$F,100),atk,IF(cat="Physical",FLOOR((FLOOR(((2*XLOOKUP(XLOOKUP($Q354,'Threshold Summary'!$Y:$Y,'Threshold Summary'!$K:$K,""),'Pokemon Editor'!$A:$A,'Pokemon Editor'!$F:$F,0)+31+FLOOR(XLOOKUP($Q354,'Threshold Summary'!$Y:$Y,'Threshold Summary'!$P:$P,"")/4))*XLOOKUP($Q354,'Threshold Summary'!$Y:$Y,'Threshold Summary'!$L:$L,""))/100)+5)*XLOOKUP(XLOOKUP($Q354,'Threshold Summary'!$Y:$Y,'Threshold Summary'!$M:$M,""),'Nature Editor'!$A:$A,'Nature Editor'!$B:$B,1)),FLOOR((FLOOR(((2*XLOOKUP(XLOOKUP($Q354,'Threshold Summary'!$Y:$Y,'Threshold Summary'!$K:$K,""),'Pokemon Editor'!$A:$A,'Pokemon Editor'!$H:$H,0)+31+FLOOR(XLOOKUP($Q354,'Threshold Summary'!$Y:$Y,'Threshold Summary'!$R:$R,"")/4))*XLOOKUP($Q354,'Threshold Summary'!$Y:$Y,'Threshold Summary'!$L:$L,""))/100)+5)*XLOOKUP(XLOOKUP($Q354,'Threshold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Editor'!$E:$E,1))),stab,IF(OR(mtype=XLOOKUP(XLOOKUP($Q354,'Threshold Summary'!$Y:$Y,'Threshold Summary'!$K:$K,""),'Pokemon Editor'!$A:$A,'Pokemon Editor'!$C:$C,""),mtype=XLOOKUP(XLOOKUP($Q354,'Threshold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Chart'!$B$1:$S$1,0)))),base,IF(OR(cat="Status",pow=0),0,FLOOR(FLOOR(FLOOR((2*XLOOKUP($Q354,'Threshold Summary'!$Y:$Y,'Threshold Summary'!$L:$L,"")/5+2)*pow*atk/def)/50)+2)),modifier,stab*eff,FLOOR(base*modifier)),0)</f>
        <v/>
      </c>
      <c r="L354" s="3">
        <f>IFERROR(LET(mtype,XLOOKUP($D354,'Move Editor'!$B:$B,'Move Editor'!$C:$C,""),cat,XLOOKUP($D354,'Move Editor'!$B:$B,'Move Editor'!$D:$D,""),pow,XLOOKUP($D354,'Move Editor'!$B:$B,'Move Editor'!$E:$E,0),acc,XLOOKUP($D354,'Move Editor'!$B:$B,'Move Editor'!$F:$F,100),atk,IF(cat="Physical",FLOOR((FLOOR(((2*XLOOKUP(XLOOKUP($Q354,'Threshold Summary'!$Y:$Y,'Threshold Summary'!$K:$K,""),'Pokemon Editor'!$A:$A,'Pokemon Editor'!$F:$F,0)+31+FLOOR(XLOOKUP($Q354,'Threshold Summary'!$Y:$Y,'Threshold Summary'!$P:$P,"")/4))*XLOOKUP($Q354,'Threshold Summary'!$Y:$Y,'Threshold Summary'!$L:$L,""))/100)+5)*XLOOKUP(XLOOKUP($Q354,'Threshold Summary'!$Y:$Y,'Threshold Summary'!$M:$M,""),'Nature Editor'!$A:$A,'Nature Editor'!$B:$B,1)),FLOOR((FLOOR(((2*XLOOKUP(XLOOKUP($Q354,'Threshold Summary'!$Y:$Y,'Threshold Summary'!$K:$K,""),'Pokemon Editor'!$A:$A,'Pokemon Editor'!$H:$H,0)+31+FLOOR(XLOOKUP($Q354,'Threshold Summary'!$Y:$Y,'Threshold Summary'!$R:$R,"")/4))*XLOOKUP($Q354,'Threshold Summary'!$Y:$Y,'Threshold Summary'!$L:$L,""))/100)+5)*XLOOKUP(XLOOKUP($Q354,'Threshold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Editor'!$E:$E,1))),stab,IF(OR(mtype=XLOOKUP(XLOOKUP($Q354,'Threshold Summary'!$Y:$Y,'Threshold Summary'!$K:$K,""),'Pokemon Editor'!$A:$A,'Pokemon Editor'!$C:$C,""),mtype=XLOOKUP(XLOOKUP($Q354,'Threshold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Chart'!$B$1:$S$1,0)))),base,IF(OR(cat="Status",pow=0),0,FLOOR(FLOOR(FLOOR((2*XLOOKUP($Q354,'Threshold Summary'!$Y:$Y,'Threshold Summary'!$L:$L,"")/5+2)*pow*atk/def)/50)+2)),modifier,stab*eff,AVERAGE(ARRAYFORMULA(FLOOR(base*modifier*SEQUENCE(16,1,85,1)/100)))),0)</f>
        <v/>
      </c>
      <c r="M354" s="3">
        <f>IFERROR(LET(mtype,XLOOKUP($D354,'Move Editor'!$B:$B,'Move Editor'!$C:$C,""),cat,XLOOKUP($D354,'Move Editor'!$B:$B,'Move Editor'!$D:$D,""),pow,XLOOKUP($D354,'Move Editor'!$B:$B,'Move Editor'!$E:$E,0),acc,XLOOKUP($D354,'Move Editor'!$B:$B,'Move Editor'!$F:$F,100),atk,IF(cat="Physical",FLOOR((FLOOR(((2*XLOOKUP(XLOOKUP($Q354,'Threshold Summary'!$Y:$Y,'Threshold Summary'!$K:$K,""),'Pokemon Editor'!$A:$A,'Pokemon Editor'!$F:$F,0)+31+FLOOR(XLOOKUP($Q354,'Threshold Summary'!$Y:$Y,'Threshold Summary'!$P:$P,"")/4))*XLOOKUP($Q354,'Threshold Summary'!$Y:$Y,'Threshold Summary'!$L:$L,""))/100)+5)*XLOOKUP(XLOOKUP($Q354,'Threshold Summary'!$Y:$Y,'Threshold Summary'!$M:$M,""),'Nature Editor'!$A:$A,'Nature Editor'!$B:$B,1)),FLOOR((FLOOR(((2*XLOOKUP(XLOOKUP($Q354,'Threshold Summary'!$Y:$Y,'Threshold Summary'!$K:$K,""),'Pokemon Editor'!$A:$A,'Pokemon Editor'!$H:$H,0)+31+FLOOR(XLOOKUP($Q354,'Threshold Summary'!$Y:$Y,'Threshold Summary'!$R:$R,"")/4))*XLOOKUP($Q354,'Threshold Summary'!$Y:$Y,'Threshold Summary'!$L:$L,""))/100)+5)*XLOOKUP(XLOOKUP($Q354,'Threshold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Editor'!$E:$E,1))),stab,IF(OR(mtype=XLOOKUP(XLOOKUP($Q354,'Threshold Summary'!$Y:$Y,'Threshold Summary'!$K:$K,""),'Pokemon Editor'!$A:$A,'Pokemon Editor'!$C:$C,""),mtype=XLOOKUP(XLOOKUP($Q354,'Threshold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Chart'!$B$1:$S$1,0)))),base,IF(OR(cat="Status",pow=0),0,FLOOR(FLOOR(FLOOR((2*XLOOKUP($Q354,'Threshold Summary'!$Y:$Y,'Threshold Summary'!$L:$L,"")/5+2)*pow*atk/def)/50)+2)),modifier,stab*eff,AVERAGE(ARRAYFORMULA(FLOOR(base*modifier*SEQUENCE(16,1,85,1)/100)))*MIN(1,acc/100)),0)</f>
        <v/>
      </c>
      <c r="N354" s="4">
        <f>IFERROR(LET(mtype,XLOOKUP($D354,'Move Editor'!$B:$B,'Move Editor'!$C:$C,""),cat,XLOOKUP($D354,'Move Editor'!$B:$B,'Move Editor'!$D:$D,""),pow,XLOOKUP($D354,'Move Editor'!$B:$B,'Move Editor'!$E:$E,0),acc,XLOOKUP($D354,'Move Editor'!$B:$B,'Move Editor'!$F:$F,100),atk,IF(cat="Physical",FLOOR((FLOOR(((2*XLOOKUP(XLOOKUP($Q354,'Threshold Summary'!$Y:$Y,'Threshold Summary'!$K:$K,""),'Pokemon Editor'!$A:$A,'Pokemon Editor'!$F:$F,0)+31+FLOOR(XLOOKUP($Q354,'Threshold Summary'!$Y:$Y,'Threshold Summary'!$P:$P,"")/4))*XLOOKUP($Q354,'Threshold Summary'!$Y:$Y,'Threshold Summary'!$L:$L,""))/100)+5)*XLOOKUP(XLOOKUP($Q354,'Threshold Summary'!$Y:$Y,'Threshold Summary'!$M:$M,""),'Nature Editor'!$A:$A,'Nature Editor'!$B:$B,1)),FLOOR((FLOOR(((2*XLOOKUP(XLOOKUP($Q354,'Threshold Summary'!$Y:$Y,'Threshold Summary'!$K:$K,""),'Pokemon Editor'!$A:$A,'Pokemon Editor'!$H:$H,0)+31+FLOOR(XLOOKUP($Q354,'Threshold Summary'!$Y:$Y,'Threshold Summary'!$R:$R,"")/4))*XLOOKUP($Q354,'Threshold Summary'!$Y:$Y,'Threshold Summary'!$L:$L,""))/100)+5)*XLOOKUP(XLOOKUP($Q354,'Threshold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Editor'!$E:$E,1))),stab,IF(OR(mtype=XLOOKUP(XLOOKUP($Q354,'Threshold Summary'!$Y:$Y,'Threshold Summary'!$K:$K,""),'Pokemon Editor'!$A:$A,'Pokemon Editor'!$C:$C,""),mtype=XLOOKUP(XLOOKUP($Q354,'Threshold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Chart'!$B$1:$S$1,0)))),base,IF(OR(cat="Status",pow=0),0,FLOOR(FLOOR(FLOOR((2*XLOOKUP($Q354,'Threshold Summary'!$Y:$Y,'Threshold Summary'!$L:$L,"")/5+2)*pow*atk/def)/50)+2)),modifier,stab*eff,AVERAGE(ARRAYFORMULA(FLOOR(base*modifier*SEQUENCE(16,1,85,1)/100)))/(FLOOR(((2*XLOOKUP('Boss Editor'!$C$4,'Pokemon Editor'!$A:$A,'Pokemon Editor'!$E:$E,0)+31+FLOOR('Boss Editor'!$G$4/4))*'Boss Editor'!$D$4)/100)+'Boss Editor'!$D$4+10)),0)</f>
        <v/>
      </c>
      <c r="O354" s="3">
        <f>IF(N354&gt;=1,"OHKO",IF(N354&gt;=0.5,"2HKO",IF(N354&gt;=0.333,"3HKO",IF(N354&gt;=0.25,"4HKO","5HKO+"))))</f>
        <v/>
      </c>
      <c r="P354" s="3" t="inlineStr">
        <is>
          <t>Live from editable databases</t>
        </is>
      </c>
      <c r="Q354" s="3" t="inlineStr">
        <is>
          <t>SPECIES_COMBEE</t>
        </is>
      </c>
      <c r="R354" s="3" t="n">
        <v>1</v>
      </c>
    </row>
    <row r="355">
      <c r="A355" s="3">
        <f>XLOOKUP($Q355,'Threshold Summary'!$Y:$Y,'Threshold Summary'!$A:$A,"")</f>
        <v/>
      </c>
      <c r="B355" s="3">
        <f>XLOOKUP($Q355,'Threshold Summary'!$Y:$Y,'Threshold Summary'!$M:$M,"")</f>
        <v/>
      </c>
      <c r="C355" s="3">
        <f>XLOOKUP($Q355,'Threshold Summary'!$Y:$Y,'Threshold Summary'!$N:$N,"")</f>
        <v/>
      </c>
      <c r="D355" s="3">
        <f>IFERROR(INDEX(FILTER('Learnset Editor'!$D$2:$D,'Learnset Editor'!$A$2:$A=XLOOKUP($Q355,'Threshold Summary'!$Y:$Y,'Threshold Summary'!$K:$K,""),'Learnset Editor'!$C$2:$C&lt;=XLOOKUP($Q355,'Threshold Summary'!$Y:$Y,'Threshold Summary'!$L:$L,"")),$R355),"")</f>
        <v/>
      </c>
      <c r="E355" s="3">
        <f>XLOOKUP(D355,'Move Editor'!$B:$B,'Move Editor'!$C:$C,"")</f>
        <v/>
      </c>
      <c r="F355" s="3">
        <f>XLOOKUP(D355,'Move Editor'!$B:$B,'Move Editor'!$D:$D,"")</f>
        <v/>
      </c>
      <c r="G355" s="3">
        <f>XLOOKUP(D355,'Move Editor'!$B:$B,'Move Editor'!$E:$E,0)</f>
        <v/>
      </c>
      <c r="H355" s="3">
        <f>XLOOKUP(D355,'Move Editor'!$B:$B,'Move Editor'!$F:$F,0)</f>
        <v/>
      </c>
      <c r="I355" s="3">
        <f>(INDEX('Type Chart'!$B:$S,MATCH(E355,'Type Chart'!$A:$A,0),MATCH(XLOOKUP('Boss Editor'!$C$4,'Pokemon Editor'!$A:$A,'Pokemon Editor'!$C:$C,""),'Type Chart'!$B$1:$S$1,0))*IF(XLOOKUP('Boss Editor'!$C$4,'Pokemon Editor'!$A:$A,'Pokemon Editor'!$D:$D,"")="",1,INDEX('Type Chart'!$B:$S,MATCH(E355,'Type Chart'!$A:$A,0),MATCH(XLOOKUP('Boss Editor'!$C$4,'Pokemon Editor'!$A:$A,'Pokemon Editor'!$D:$D,""),'Type Chart'!$B$1:$S$1,0))))</f>
        <v/>
      </c>
      <c r="J355" s="3">
        <f>IFERROR(LET(mtype,XLOOKUP($D355,'Move Editor'!$B:$B,'Move Editor'!$C:$C,""),cat,XLOOKUP($D355,'Move Editor'!$B:$B,'Move Editor'!$D:$D,""),pow,XLOOKUP($D355,'Move Editor'!$B:$B,'Move Editor'!$E:$E,0),acc,XLOOKUP($D355,'Move Editor'!$B:$B,'Move Editor'!$F:$F,100),atk,IF(cat="Physical",FLOOR((FLOOR(((2*XLOOKUP(XLOOKUP($Q355,'Threshold Summary'!$Y:$Y,'Threshold Summary'!$K:$K,""),'Pokemon Editor'!$A:$A,'Pokemon Editor'!$F:$F,0)+31+FLOOR(XLOOKUP($Q355,'Threshold Summary'!$Y:$Y,'Threshold Summary'!$P:$P,"")/4))*XLOOKUP($Q355,'Threshold Summary'!$Y:$Y,'Threshold Summary'!$L:$L,""))/100)+5)*XLOOKUP(XLOOKUP($Q355,'Threshold Summary'!$Y:$Y,'Threshold Summary'!$M:$M,""),'Nature Editor'!$A:$A,'Nature Editor'!$B:$B,1)),FLOOR((FLOOR(((2*XLOOKUP(XLOOKUP($Q355,'Threshold Summary'!$Y:$Y,'Threshold Summary'!$K:$K,""),'Pokemon Editor'!$A:$A,'Pokemon Editor'!$H:$H,0)+31+FLOOR(XLOOKUP($Q355,'Threshold Summary'!$Y:$Y,'Threshold Summary'!$R:$R,"")/4))*XLOOKUP($Q355,'Threshold Summary'!$Y:$Y,'Threshold Summary'!$L:$L,""))/100)+5)*XLOOKUP(XLOOKUP($Q355,'Threshold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Editor'!$E:$E,1))),stab,IF(OR(mtype=XLOOKUP(XLOOKUP($Q355,'Threshold Summary'!$Y:$Y,'Threshold Summary'!$K:$K,""),'Pokemon Editor'!$A:$A,'Pokemon Editor'!$C:$C,""),mtype=XLOOKUP(XLOOKUP($Q355,'Threshold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Chart'!$B$1:$S$1,0)))),base,IF(OR(cat="Status",pow=0),0,FLOOR(FLOOR(FLOOR((2*XLOOKUP($Q355,'Threshold Summary'!$Y:$Y,'Threshold Summary'!$L:$L,"")/5+2)*pow*atk/def)/50)+2)),modifier,stab*eff,FLOOR(base*modifier*0.85)),0)</f>
        <v/>
      </c>
      <c r="K355" s="3">
        <f>IFERROR(LET(mtype,XLOOKUP($D355,'Move Editor'!$B:$B,'Move Editor'!$C:$C,""),cat,XLOOKUP($D355,'Move Editor'!$B:$B,'Move Editor'!$D:$D,""),pow,XLOOKUP($D355,'Move Editor'!$B:$B,'Move Editor'!$E:$E,0),acc,XLOOKUP($D355,'Move Editor'!$B:$B,'Move Editor'!$F:$F,100),atk,IF(cat="Physical",FLOOR((FLOOR(((2*XLOOKUP(XLOOKUP($Q355,'Threshold Summary'!$Y:$Y,'Threshold Summary'!$K:$K,""),'Pokemon Editor'!$A:$A,'Pokemon Editor'!$F:$F,0)+31+FLOOR(XLOOKUP($Q355,'Threshold Summary'!$Y:$Y,'Threshold Summary'!$P:$P,"")/4))*XLOOKUP($Q355,'Threshold Summary'!$Y:$Y,'Threshold Summary'!$L:$L,""))/100)+5)*XLOOKUP(XLOOKUP($Q355,'Threshold Summary'!$Y:$Y,'Threshold Summary'!$M:$M,""),'Nature Editor'!$A:$A,'Nature Editor'!$B:$B,1)),FLOOR((FLOOR(((2*XLOOKUP(XLOOKUP($Q355,'Threshold Summary'!$Y:$Y,'Threshold Summary'!$K:$K,""),'Pokemon Editor'!$A:$A,'Pokemon Editor'!$H:$H,0)+31+FLOOR(XLOOKUP($Q355,'Threshold Summary'!$Y:$Y,'Threshold Summary'!$R:$R,"")/4))*XLOOKUP($Q355,'Threshold Summary'!$Y:$Y,'Threshold Summary'!$L:$L,""))/100)+5)*XLOOKUP(XLOOKUP($Q355,'Threshold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Editor'!$E:$E,1))),stab,IF(OR(mtype=XLOOKUP(XLOOKUP($Q355,'Threshold Summary'!$Y:$Y,'Threshold Summary'!$K:$K,""),'Pokemon Editor'!$A:$A,'Pokemon Editor'!$C:$C,""),mtype=XLOOKUP(XLOOKUP($Q355,'Threshold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Chart'!$B$1:$S$1,0)))),base,IF(OR(cat="Status",pow=0),0,FLOOR(FLOOR(FLOOR((2*XLOOKUP($Q355,'Threshold Summary'!$Y:$Y,'Threshold Summary'!$L:$L,"")/5+2)*pow*atk/def)/50)+2)),modifier,stab*eff,FLOOR(base*modifier)),0)</f>
        <v/>
      </c>
      <c r="L355" s="3">
        <f>IFERROR(LET(mtype,XLOOKUP($D355,'Move Editor'!$B:$B,'Move Editor'!$C:$C,""),cat,XLOOKUP($D355,'Move Editor'!$B:$B,'Move Editor'!$D:$D,""),pow,XLOOKUP($D355,'Move Editor'!$B:$B,'Move Editor'!$E:$E,0),acc,XLOOKUP($D355,'Move Editor'!$B:$B,'Move Editor'!$F:$F,100),atk,IF(cat="Physical",FLOOR((FLOOR(((2*XLOOKUP(XLOOKUP($Q355,'Threshold Summary'!$Y:$Y,'Threshold Summary'!$K:$K,""),'Pokemon Editor'!$A:$A,'Pokemon Editor'!$F:$F,0)+31+FLOOR(XLOOKUP($Q355,'Threshold Summary'!$Y:$Y,'Threshold Summary'!$P:$P,"")/4))*XLOOKUP($Q355,'Threshold Summary'!$Y:$Y,'Threshold Summary'!$L:$L,""))/100)+5)*XLOOKUP(XLOOKUP($Q355,'Threshold Summary'!$Y:$Y,'Threshold Summary'!$M:$M,""),'Nature Editor'!$A:$A,'Nature Editor'!$B:$B,1)),FLOOR((FLOOR(((2*XLOOKUP(XLOOKUP($Q355,'Threshold Summary'!$Y:$Y,'Threshold Summary'!$K:$K,""),'Pokemon Editor'!$A:$A,'Pokemon Editor'!$H:$H,0)+31+FLOOR(XLOOKUP($Q355,'Threshold Summary'!$Y:$Y,'Threshold Summary'!$R:$R,"")/4))*XLOOKUP($Q355,'Threshold Summary'!$Y:$Y,'Threshold Summary'!$L:$L,""))/100)+5)*XLOOKUP(XLOOKUP($Q355,'Threshold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Editor'!$E:$E,1))),stab,IF(OR(mtype=XLOOKUP(XLOOKUP($Q355,'Threshold Summary'!$Y:$Y,'Threshold Summary'!$K:$K,""),'Pokemon Editor'!$A:$A,'Pokemon Editor'!$C:$C,""),mtype=XLOOKUP(XLOOKUP($Q355,'Threshold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Chart'!$B$1:$S$1,0)))),base,IF(OR(cat="Status",pow=0),0,FLOOR(FLOOR(FLOOR((2*XLOOKUP($Q355,'Threshold Summary'!$Y:$Y,'Threshold Summary'!$L:$L,"")/5+2)*pow*atk/def)/50)+2)),modifier,stab*eff,AVERAGE(ARRAYFORMULA(FLOOR(base*modifier*SEQUENCE(16,1,85,1)/100)))),0)</f>
        <v/>
      </c>
      <c r="M355" s="3">
        <f>IFERROR(LET(mtype,XLOOKUP($D355,'Move Editor'!$B:$B,'Move Editor'!$C:$C,""),cat,XLOOKUP($D355,'Move Editor'!$B:$B,'Move Editor'!$D:$D,""),pow,XLOOKUP($D355,'Move Editor'!$B:$B,'Move Editor'!$E:$E,0),acc,XLOOKUP($D355,'Move Editor'!$B:$B,'Move Editor'!$F:$F,100),atk,IF(cat="Physical",FLOOR((FLOOR(((2*XLOOKUP(XLOOKUP($Q355,'Threshold Summary'!$Y:$Y,'Threshold Summary'!$K:$K,""),'Pokemon Editor'!$A:$A,'Pokemon Editor'!$F:$F,0)+31+FLOOR(XLOOKUP($Q355,'Threshold Summary'!$Y:$Y,'Threshold Summary'!$P:$P,"")/4))*XLOOKUP($Q355,'Threshold Summary'!$Y:$Y,'Threshold Summary'!$L:$L,""))/100)+5)*XLOOKUP(XLOOKUP($Q355,'Threshold Summary'!$Y:$Y,'Threshold Summary'!$M:$M,""),'Nature Editor'!$A:$A,'Nature Editor'!$B:$B,1)),FLOOR((FLOOR(((2*XLOOKUP(XLOOKUP($Q355,'Threshold Summary'!$Y:$Y,'Threshold Summary'!$K:$K,""),'Pokemon Editor'!$A:$A,'Pokemon Editor'!$H:$H,0)+31+FLOOR(XLOOKUP($Q355,'Threshold Summary'!$Y:$Y,'Threshold Summary'!$R:$R,"")/4))*XLOOKUP($Q355,'Threshold Summary'!$Y:$Y,'Threshold Summary'!$L:$L,""))/100)+5)*XLOOKUP(XLOOKUP($Q355,'Threshold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Editor'!$E:$E,1))),stab,IF(OR(mtype=XLOOKUP(XLOOKUP($Q355,'Threshold Summary'!$Y:$Y,'Threshold Summary'!$K:$K,""),'Pokemon Editor'!$A:$A,'Pokemon Editor'!$C:$C,""),mtype=XLOOKUP(XLOOKUP($Q355,'Threshold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Chart'!$B$1:$S$1,0)))),base,IF(OR(cat="Status",pow=0),0,FLOOR(FLOOR(FLOOR((2*XLOOKUP($Q355,'Threshold Summary'!$Y:$Y,'Threshold Summary'!$L:$L,"")/5+2)*pow*atk/def)/50)+2)),modifier,stab*eff,AVERAGE(ARRAYFORMULA(FLOOR(base*modifier*SEQUENCE(16,1,85,1)/100)))*MIN(1,acc/100)),0)</f>
        <v/>
      </c>
      <c r="N355" s="4">
        <f>IFERROR(LET(mtype,XLOOKUP($D355,'Move Editor'!$B:$B,'Move Editor'!$C:$C,""),cat,XLOOKUP($D355,'Move Editor'!$B:$B,'Move Editor'!$D:$D,""),pow,XLOOKUP($D355,'Move Editor'!$B:$B,'Move Editor'!$E:$E,0),acc,XLOOKUP($D355,'Move Editor'!$B:$B,'Move Editor'!$F:$F,100),atk,IF(cat="Physical",FLOOR((FLOOR(((2*XLOOKUP(XLOOKUP($Q355,'Threshold Summary'!$Y:$Y,'Threshold Summary'!$K:$K,""),'Pokemon Editor'!$A:$A,'Pokemon Editor'!$F:$F,0)+31+FLOOR(XLOOKUP($Q355,'Threshold Summary'!$Y:$Y,'Threshold Summary'!$P:$P,"")/4))*XLOOKUP($Q355,'Threshold Summary'!$Y:$Y,'Threshold Summary'!$L:$L,""))/100)+5)*XLOOKUP(XLOOKUP($Q355,'Threshold Summary'!$Y:$Y,'Threshold Summary'!$M:$M,""),'Nature Editor'!$A:$A,'Nature Editor'!$B:$B,1)),FLOOR((FLOOR(((2*XLOOKUP(XLOOKUP($Q355,'Threshold Summary'!$Y:$Y,'Threshold Summary'!$K:$K,""),'Pokemon Editor'!$A:$A,'Pokemon Editor'!$H:$H,0)+31+FLOOR(XLOOKUP($Q355,'Threshold Summary'!$Y:$Y,'Threshold Summary'!$R:$R,"")/4))*XLOOKUP($Q355,'Threshold Summary'!$Y:$Y,'Threshold Summary'!$L:$L,""))/100)+5)*XLOOKUP(XLOOKUP($Q355,'Threshold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Editor'!$E:$E,1))),stab,IF(OR(mtype=XLOOKUP(XLOOKUP($Q355,'Threshold Summary'!$Y:$Y,'Threshold Summary'!$K:$K,""),'Pokemon Editor'!$A:$A,'Pokemon Editor'!$C:$C,""),mtype=XLOOKUP(XLOOKUP($Q355,'Threshold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Chart'!$B$1:$S$1,0)))),base,IF(OR(cat="Status",pow=0),0,FLOOR(FLOOR(FLOOR((2*XLOOKUP($Q355,'Threshold Summary'!$Y:$Y,'Threshold Summary'!$L:$L,"")/5+2)*pow*atk/def)/50)+2)),modifier,stab*eff,AVERAGE(ARRAYFORMULA(FLOOR(base*modifier*SEQUENCE(16,1,85,1)/100)))/(FLOOR(((2*XLOOKUP('Boss Editor'!$C$4,'Pokemon Editor'!$A:$A,'Pokemon Editor'!$E:$E,0)+31+FLOOR('Boss Editor'!$G$4/4))*'Boss Editor'!$D$4)/100)+'Boss Editor'!$D$4+10)),0)</f>
        <v/>
      </c>
      <c r="O355" s="3">
        <f>IF(N355&gt;=1,"OHKO",IF(N355&gt;=0.5,"2HKO",IF(N355&gt;=0.333,"3HKO",IF(N355&gt;=0.25,"4HKO","5HKO+"))))</f>
        <v/>
      </c>
      <c r="P355" s="3" t="inlineStr">
        <is>
          <t>Live from editable databases</t>
        </is>
      </c>
      <c r="Q355" s="3" t="inlineStr">
        <is>
          <t>SPECIES_COMBEE</t>
        </is>
      </c>
      <c r="R355" s="3" t="n">
        <v>2</v>
      </c>
    </row>
    <row r="356">
      <c r="A356" s="3">
        <f>XLOOKUP($Q356,'Threshold Summary'!$Y:$Y,'Threshold Summary'!$A:$A,"")</f>
        <v/>
      </c>
      <c r="B356" s="3">
        <f>XLOOKUP($Q356,'Threshold Summary'!$Y:$Y,'Threshold Summary'!$M:$M,"")</f>
        <v/>
      </c>
      <c r="C356" s="3">
        <f>XLOOKUP($Q356,'Threshold Summary'!$Y:$Y,'Threshold Summary'!$N:$N,"")</f>
        <v/>
      </c>
      <c r="D356" s="3">
        <f>IFERROR(INDEX(FILTER('Learnset Editor'!$D$2:$D,'Learnset Editor'!$A$2:$A=XLOOKUP($Q356,'Threshold Summary'!$Y:$Y,'Threshold Summary'!$K:$K,""),'Learnset Editor'!$C$2:$C&lt;=XLOOKUP($Q356,'Threshold Summary'!$Y:$Y,'Threshold Summary'!$L:$L,"")),$R356),"")</f>
        <v/>
      </c>
      <c r="E356" s="3">
        <f>XLOOKUP(D356,'Move Editor'!$B:$B,'Move Editor'!$C:$C,"")</f>
        <v/>
      </c>
      <c r="F356" s="3">
        <f>XLOOKUP(D356,'Move Editor'!$B:$B,'Move Editor'!$D:$D,"")</f>
        <v/>
      </c>
      <c r="G356" s="3">
        <f>XLOOKUP(D356,'Move Editor'!$B:$B,'Move Editor'!$E:$E,0)</f>
        <v/>
      </c>
      <c r="H356" s="3">
        <f>XLOOKUP(D356,'Move Editor'!$B:$B,'Move Editor'!$F:$F,0)</f>
        <v/>
      </c>
      <c r="I356" s="3">
        <f>(INDEX('Type Chart'!$B:$S,MATCH(E356,'Type Chart'!$A:$A,0),MATCH(XLOOKUP('Boss Editor'!$C$4,'Pokemon Editor'!$A:$A,'Pokemon Editor'!$C:$C,""),'Type Chart'!$B$1:$S$1,0))*IF(XLOOKUP('Boss Editor'!$C$4,'Pokemon Editor'!$A:$A,'Pokemon Editor'!$D:$D,"")="",1,INDEX('Type Chart'!$B:$S,MATCH(E356,'Type Chart'!$A:$A,0),MATCH(XLOOKUP('Boss Editor'!$C$4,'Pokemon Editor'!$A:$A,'Pokemon Editor'!$D:$D,""),'Type Chart'!$B$1:$S$1,0))))</f>
        <v/>
      </c>
      <c r="J356" s="3">
        <f>IFERROR(LET(mtype,XLOOKUP($D356,'Move Editor'!$B:$B,'Move Editor'!$C:$C,""),cat,XLOOKUP($D356,'Move Editor'!$B:$B,'Move Editor'!$D:$D,""),pow,XLOOKUP($D356,'Move Editor'!$B:$B,'Move Editor'!$E:$E,0),acc,XLOOKUP($D356,'Move Editor'!$B:$B,'Move Editor'!$F:$F,100),atk,IF(cat="Physical",FLOOR((FLOOR(((2*XLOOKUP(XLOOKUP($Q356,'Threshold Summary'!$Y:$Y,'Threshold Summary'!$K:$K,""),'Pokemon Editor'!$A:$A,'Pokemon Editor'!$F:$F,0)+31+FLOOR(XLOOKUP($Q356,'Threshold Summary'!$Y:$Y,'Threshold Summary'!$P:$P,"")/4))*XLOOKUP($Q356,'Threshold Summary'!$Y:$Y,'Threshold Summary'!$L:$L,""))/100)+5)*XLOOKUP(XLOOKUP($Q356,'Threshold Summary'!$Y:$Y,'Threshold Summary'!$M:$M,""),'Nature Editor'!$A:$A,'Nature Editor'!$B:$B,1)),FLOOR((FLOOR(((2*XLOOKUP(XLOOKUP($Q356,'Threshold Summary'!$Y:$Y,'Threshold Summary'!$K:$K,""),'Pokemon Editor'!$A:$A,'Pokemon Editor'!$H:$H,0)+31+FLOOR(XLOOKUP($Q356,'Threshold Summary'!$Y:$Y,'Threshold Summary'!$R:$R,"")/4))*XLOOKUP($Q356,'Threshold Summary'!$Y:$Y,'Threshold Summary'!$L:$L,""))/100)+5)*XLOOKUP(XLOOKUP($Q356,'Threshold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Editor'!$E:$E,1))),stab,IF(OR(mtype=XLOOKUP(XLOOKUP($Q356,'Threshold Summary'!$Y:$Y,'Threshold Summary'!$K:$K,""),'Pokemon Editor'!$A:$A,'Pokemon Editor'!$C:$C,""),mtype=XLOOKUP(XLOOKUP($Q356,'Threshold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Chart'!$B$1:$S$1,0)))),base,IF(OR(cat="Status",pow=0),0,FLOOR(FLOOR(FLOOR((2*XLOOKUP($Q356,'Threshold Summary'!$Y:$Y,'Threshold Summary'!$L:$L,"")/5+2)*pow*atk/def)/50)+2)),modifier,stab*eff,FLOOR(base*modifier*0.85)),0)</f>
        <v/>
      </c>
      <c r="K356" s="3">
        <f>IFERROR(LET(mtype,XLOOKUP($D356,'Move Editor'!$B:$B,'Move Editor'!$C:$C,""),cat,XLOOKUP($D356,'Move Editor'!$B:$B,'Move Editor'!$D:$D,""),pow,XLOOKUP($D356,'Move Editor'!$B:$B,'Move Editor'!$E:$E,0),acc,XLOOKUP($D356,'Move Editor'!$B:$B,'Move Editor'!$F:$F,100),atk,IF(cat="Physical",FLOOR((FLOOR(((2*XLOOKUP(XLOOKUP($Q356,'Threshold Summary'!$Y:$Y,'Threshold Summary'!$K:$K,""),'Pokemon Editor'!$A:$A,'Pokemon Editor'!$F:$F,0)+31+FLOOR(XLOOKUP($Q356,'Threshold Summary'!$Y:$Y,'Threshold Summary'!$P:$P,"")/4))*XLOOKUP($Q356,'Threshold Summary'!$Y:$Y,'Threshold Summary'!$L:$L,""))/100)+5)*XLOOKUP(XLOOKUP($Q356,'Threshold Summary'!$Y:$Y,'Threshold Summary'!$M:$M,""),'Nature Editor'!$A:$A,'Nature Editor'!$B:$B,1)),FLOOR((FLOOR(((2*XLOOKUP(XLOOKUP($Q356,'Threshold Summary'!$Y:$Y,'Threshold Summary'!$K:$K,""),'Pokemon Editor'!$A:$A,'Pokemon Editor'!$H:$H,0)+31+FLOOR(XLOOKUP($Q356,'Threshold Summary'!$Y:$Y,'Threshold Summary'!$R:$R,"")/4))*XLOOKUP($Q356,'Threshold Summary'!$Y:$Y,'Threshold Summary'!$L:$L,""))/100)+5)*XLOOKUP(XLOOKUP($Q356,'Threshold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Editor'!$E:$E,1))),stab,IF(OR(mtype=XLOOKUP(XLOOKUP($Q356,'Threshold Summary'!$Y:$Y,'Threshold Summary'!$K:$K,""),'Pokemon Editor'!$A:$A,'Pokemon Editor'!$C:$C,""),mtype=XLOOKUP(XLOOKUP($Q356,'Threshold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Chart'!$B$1:$S$1,0)))),base,IF(OR(cat="Status",pow=0),0,FLOOR(FLOOR(FLOOR((2*XLOOKUP($Q356,'Threshold Summary'!$Y:$Y,'Threshold Summary'!$L:$L,"")/5+2)*pow*atk/def)/50)+2)),modifier,stab*eff,FLOOR(base*modifier)),0)</f>
        <v/>
      </c>
      <c r="L356" s="3">
        <f>IFERROR(LET(mtype,XLOOKUP($D356,'Move Editor'!$B:$B,'Move Editor'!$C:$C,""),cat,XLOOKUP($D356,'Move Editor'!$B:$B,'Move Editor'!$D:$D,""),pow,XLOOKUP($D356,'Move Editor'!$B:$B,'Move Editor'!$E:$E,0),acc,XLOOKUP($D356,'Move Editor'!$B:$B,'Move Editor'!$F:$F,100),atk,IF(cat="Physical",FLOOR((FLOOR(((2*XLOOKUP(XLOOKUP($Q356,'Threshold Summary'!$Y:$Y,'Threshold Summary'!$K:$K,""),'Pokemon Editor'!$A:$A,'Pokemon Editor'!$F:$F,0)+31+FLOOR(XLOOKUP($Q356,'Threshold Summary'!$Y:$Y,'Threshold Summary'!$P:$P,"")/4))*XLOOKUP($Q356,'Threshold Summary'!$Y:$Y,'Threshold Summary'!$L:$L,""))/100)+5)*XLOOKUP(XLOOKUP($Q356,'Threshold Summary'!$Y:$Y,'Threshold Summary'!$M:$M,""),'Nature Editor'!$A:$A,'Nature Editor'!$B:$B,1)),FLOOR((FLOOR(((2*XLOOKUP(XLOOKUP($Q356,'Threshold Summary'!$Y:$Y,'Threshold Summary'!$K:$K,""),'Pokemon Editor'!$A:$A,'Pokemon Editor'!$H:$H,0)+31+FLOOR(XLOOKUP($Q356,'Threshold Summary'!$Y:$Y,'Threshold Summary'!$R:$R,"")/4))*XLOOKUP($Q356,'Threshold Summary'!$Y:$Y,'Threshold Summary'!$L:$L,""))/100)+5)*XLOOKUP(XLOOKUP($Q356,'Threshold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Editor'!$E:$E,1))),stab,IF(OR(mtype=XLOOKUP(XLOOKUP($Q356,'Threshold Summary'!$Y:$Y,'Threshold Summary'!$K:$K,""),'Pokemon Editor'!$A:$A,'Pokemon Editor'!$C:$C,""),mtype=XLOOKUP(XLOOKUP($Q356,'Threshold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Chart'!$B$1:$S$1,0)))),base,IF(OR(cat="Status",pow=0),0,FLOOR(FLOOR(FLOOR((2*XLOOKUP($Q356,'Threshold Summary'!$Y:$Y,'Threshold Summary'!$L:$L,"")/5+2)*pow*atk/def)/50)+2)),modifier,stab*eff,AVERAGE(ARRAYFORMULA(FLOOR(base*modifier*SEQUENCE(16,1,85,1)/100)))),0)</f>
        <v/>
      </c>
      <c r="M356" s="3">
        <f>IFERROR(LET(mtype,XLOOKUP($D356,'Move Editor'!$B:$B,'Move Editor'!$C:$C,""),cat,XLOOKUP($D356,'Move Editor'!$B:$B,'Move Editor'!$D:$D,""),pow,XLOOKUP($D356,'Move Editor'!$B:$B,'Move Editor'!$E:$E,0),acc,XLOOKUP($D356,'Move Editor'!$B:$B,'Move Editor'!$F:$F,100),atk,IF(cat="Physical",FLOOR((FLOOR(((2*XLOOKUP(XLOOKUP($Q356,'Threshold Summary'!$Y:$Y,'Threshold Summary'!$K:$K,""),'Pokemon Editor'!$A:$A,'Pokemon Editor'!$F:$F,0)+31+FLOOR(XLOOKUP($Q356,'Threshold Summary'!$Y:$Y,'Threshold Summary'!$P:$P,"")/4))*XLOOKUP($Q356,'Threshold Summary'!$Y:$Y,'Threshold Summary'!$L:$L,""))/100)+5)*XLOOKUP(XLOOKUP($Q356,'Threshold Summary'!$Y:$Y,'Threshold Summary'!$M:$M,""),'Nature Editor'!$A:$A,'Nature Editor'!$B:$B,1)),FLOOR((FLOOR(((2*XLOOKUP(XLOOKUP($Q356,'Threshold Summary'!$Y:$Y,'Threshold Summary'!$K:$K,""),'Pokemon Editor'!$A:$A,'Pokemon Editor'!$H:$H,0)+31+FLOOR(XLOOKUP($Q356,'Threshold Summary'!$Y:$Y,'Threshold Summary'!$R:$R,"")/4))*XLOOKUP($Q356,'Threshold Summary'!$Y:$Y,'Threshold Summary'!$L:$L,""))/100)+5)*XLOOKUP(XLOOKUP($Q356,'Threshold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Editor'!$E:$E,1))),stab,IF(OR(mtype=XLOOKUP(XLOOKUP($Q356,'Threshold Summary'!$Y:$Y,'Threshold Summary'!$K:$K,""),'Pokemon Editor'!$A:$A,'Pokemon Editor'!$C:$C,""),mtype=XLOOKUP(XLOOKUP($Q356,'Threshold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Chart'!$B$1:$S$1,0)))),base,IF(OR(cat="Status",pow=0),0,FLOOR(FLOOR(FLOOR((2*XLOOKUP($Q356,'Threshold Summary'!$Y:$Y,'Threshold Summary'!$L:$L,"")/5+2)*pow*atk/def)/50)+2)),modifier,stab*eff,AVERAGE(ARRAYFORMULA(FLOOR(base*modifier*SEQUENCE(16,1,85,1)/100)))*MIN(1,acc/100)),0)</f>
        <v/>
      </c>
      <c r="N356" s="4">
        <f>IFERROR(LET(mtype,XLOOKUP($D356,'Move Editor'!$B:$B,'Move Editor'!$C:$C,""),cat,XLOOKUP($D356,'Move Editor'!$B:$B,'Move Editor'!$D:$D,""),pow,XLOOKUP($D356,'Move Editor'!$B:$B,'Move Editor'!$E:$E,0),acc,XLOOKUP($D356,'Move Editor'!$B:$B,'Move Editor'!$F:$F,100),atk,IF(cat="Physical",FLOOR((FLOOR(((2*XLOOKUP(XLOOKUP($Q356,'Threshold Summary'!$Y:$Y,'Threshold Summary'!$K:$K,""),'Pokemon Editor'!$A:$A,'Pokemon Editor'!$F:$F,0)+31+FLOOR(XLOOKUP($Q356,'Threshold Summary'!$Y:$Y,'Threshold Summary'!$P:$P,"")/4))*XLOOKUP($Q356,'Threshold Summary'!$Y:$Y,'Threshold Summary'!$L:$L,""))/100)+5)*XLOOKUP(XLOOKUP($Q356,'Threshold Summary'!$Y:$Y,'Threshold Summary'!$M:$M,""),'Nature Editor'!$A:$A,'Nature Editor'!$B:$B,1)),FLOOR((FLOOR(((2*XLOOKUP(XLOOKUP($Q356,'Threshold Summary'!$Y:$Y,'Threshold Summary'!$K:$K,""),'Pokemon Editor'!$A:$A,'Pokemon Editor'!$H:$H,0)+31+FLOOR(XLOOKUP($Q356,'Threshold Summary'!$Y:$Y,'Threshold Summary'!$R:$R,"")/4))*XLOOKUP($Q356,'Threshold Summary'!$Y:$Y,'Threshold Summary'!$L:$L,""))/100)+5)*XLOOKUP(XLOOKUP($Q356,'Threshold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Editor'!$E:$E,1))),stab,IF(OR(mtype=XLOOKUP(XLOOKUP($Q356,'Threshold Summary'!$Y:$Y,'Threshold Summary'!$K:$K,""),'Pokemon Editor'!$A:$A,'Pokemon Editor'!$C:$C,""),mtype=XLOOKUP(XLOOKUP($Q356,'Threshold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Chart'!$B$1:$S$1,0)))),base,IF(OR(cat="Status",pow=0),0,FLOOR(FLOOR(FLOOR((2*XLOOKUP($Q356,'Threshold Summary'!$Y:$Y,'Threshold Summary'!$L:$L,"")/5+2)*pow*atk/def)/50)+2)),modifier,stab*eff,AVERAGE(ARRAYFORMULA(FLOOR(base*modifier*SEQUENCE(16,1,85,1)/100)))/(FLOOR(((2*XLOOKUP('Boss Editor'!$C$4,'Pokemon Editor'!$A:$A,'Pokemon Editor'!$E:$E,0)+31+FLOOR('Boss Editor'!$G$4/4))*'Boss Editor'!$D$4)/100)+'Boss Editor'!$D$4+10)),0)</f>
        <v/>
      </c>
      <c r="O356" s="3">
        <f>IF(N356&gt;=1,"OHKO",IF(N356&gt;=0.5,"2HKO",IF(N356&gt;=0.333,"3HKO",IF(N356&gt;=0.25,"4HKO","5HKO+"))))</f>
        <v/>
      </c>
      <c r="P356" s="3" t="inlineStr">
        <is>
          <t>Live from editable databases</t>
        </is>
      </c>
      <c r="Q356" s="3" t="inlineStr">
        <is>
          <t>SPECIES_COMBEE</t>
        </is>
      </c>
      <c r="R356" s="3" t="n">
        <v>3</v>
      </c>
    </row>
    <row r="357">
      <c r="A357" s="3">
        <f>XLOOKUP($Q357,'Threshold Summary'!$Y:$Y,'Threshold Summary'!$A:$A,"")</f>
        <v/>
      </c>
      <c r="B357" s="3">
        <f>XLOOKUP($Q357,'Threshold Summary'!$Y:$Y,'Threshold Summary'!$M:$M,"")</f>
        <v/>
      </c>
      <c r="C357" s="3">
        <f>XLOOKUP($Q357,'Threshold Summary'!$Y:$Y,'Threshold Summary'!$N:$N,"")</f>
        <v/>
      </c>
      <c r="D357" s="3">
        <f>IFERROR(INDEX(FILTER('Learnset Editor'!$D$2:$D,'Learnset Editor'!$A$2:$A=XLOOKUP($Q357,'Threshold Summary'!$Y:$Y,'Threshold Summary'!$K:$K,""),'Learnset Editor'!$C$2:$C&lt;=XLOOKUP($Q357,'Threshold Summary'!$Y:$Y,'Threshold Summary'!$L:$L,"")),$R357),"")</f>
        <v/>
      </c>
      <c r="E357" s="3">
        <f>XLOOKUP(D357,'Move Editor'!$B:$B,'Move Editor'!$C:$C,"")</f>
        <v/>
      </c>
      <c r="F357" s="3">
        <f>XLOOKUP(D357,'Move Editor'!$B:$B,'Move Editor'!$D:$D,"")</f>
        <v/>
      </c>
      <c r="G357" s="3">
        <f>XLOOKUP(D357,'Move Editor'!$B:$B,'Move Editor'!$E:$E,0)</f>
        <v/>
      </c>
      <c r="H357" s="3">
        <f>XLOOKUP(D357,'Move Editor'!$B:$B,'Move Editor'!$F:$F,0)</f>
        <v/>
      </c>
      <c r="I357" s="3">
        <f>(INDEX('Type Chart'!$B:$S,MATCH(E357,'Type Chart'!$A:$A,0),MATCH(XLOOKUP('Boss Editor'!$C$4,'Pokemon Editor'!$A:$A,'Pokemon Editor'!$C:$C,""),'Type Chart'!$B$1:$S$1,0))*IF(XLOOKUP('Boss Editor'!$C$4,'Pokemon Editor'!$A:$A,'Pokemon Editor'!$D:$D,"")="",1,INDEX('Type Chart'!$B:$S,MATCH(E357,'Type Chart'!$A:$A,0),MATCH(XLOOKUP('Boss Editor'!$C$4,'Pokemon Editor'!$A:$A,'Pokemon Editor'!$D:$D,""),'Type Chart'!$B$1:$S$1,0))))</f>
        <v/>
      </c>
      <c r="J357" s="3">
        <f>IFERROR(LET(mtype,XLOOKUP($D357,'Move Editor'!$B:$B,'Move Editor'!$C:$C,""),cat,XLOOKUP($D357,'Move Editor'!$B:$B,'Move Editor'!$D:$D,""),pow,XLOOKUP($D357,'Move Editor'!$B:$B,'Move Editor'!$E:$E,0),acc,XLOOKUP($D357,'Move Editor'!$B:$B,'Move Editor'!$F:$F,100),atk,IF(cat="Physical",FLOOR((FLOOR(((2*XLOOKUP(XLOOKUP($Q357,'Threshold Summary'!$Y:$Y,'Threshold Summary'!$K:$K,""),'Pokemon Editor'!$A:$A,'Pokemon Editor'!$F:$F,0)+31+FLOOR(XLOOKUP($Q357,'Threshold Summary'!$Y:$Y,'Threshold Summary'!$P:$P,"")/4))*XLOOKUP($Q357,'Threshold Summary'!$Y:$Y,'Threshold Summary'!$L:$L,""))/100)+5)*XLOOKUP(XLOOKUP($Q357,'Threshold Summary'!$Y:$Y,'Threshold Summary'!$M:$M,""),'Nature Editor'!$A:$A,'Nature Editor'!$B:$B,1)),FLOOR((FLOOR(((2*XLOOKUP(XLOOKUP($Q357,'Threshold Summary'!$Y:$Y,'Threshold Summary'!$K:$K,""),'Pokemon Editor'!$A:$A,'Pokemon Editor'!$H:$H,0)+31+FLOOR(XLOOKUP($Q357,'Threshold Summary'!$Y:$Y,'Threshold Summary'!$R:$R,"")/4))*XLOOKUP($Q357,'Threshold Summary'!$Y:$Y,'Threshold Summary'!$L:$L,""))/100)+5)*XLOOKUP(XLOOKUP($Q357,'Threshold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Editor'!$E:$E,1))),stab,IF(OR(mtype=XLOOKUP(XLOOKUP($Q357,'Threshold Summary'!$Y:$Y,'Threshold Summary'!$K:$K,""),'Pokemon Editor'!$A:$A,'Pokemon Editor'!$C:$C,""),mtype=XLOOKUP(XLOOKUP($Q357,'Threshold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Chart'!$B$1:$S$1,0)))),base,IF(OR(cat="Status",pow=0),0,FLOOR(FLOOR(FLOOR((2*XLOOKUP($Q357,'Threshold Summary'!$Y:$Y,'Threshold Summary'!$L:$L,"")/5+2)*pow*atk/def)/50)+2)),modifier,stab*eff,FLOOR(base*modifier*0.85)),0)</f>
        <v/>
      </c>
      <c r="K357" s="3">
        <f>IFERROR(LET(mtype,XLOOKUP($D357,'Move Editor'!$B:$B,'Move Editor'!$C:$C,""),cat,XLOOKUP($D357,'Move Editor'!$B:$B,'Move Editor'!$D:$D,""),pow,XLOOKUP($D357,'Move Editor'!$B:$B,'Move Editor'!$E:$E,0),acc,XLOOKUP($D357,'Move Editor'!$B:$B,'Move Editor'!$F:$F,100),atk,IF(cat="Physical",FLOOR((FLOOR(((2*XLOOKUP(XLOOKUP($Q357,'Threshold Summary'!$Y:$Y,'Threshold Summary'!$K:$K,""),'Pokemon Editor'!$A:$A,'Pokemon Editor'!$F:$F,0)+31+FLOOR(XLOOKUP($Q357,'Threshold Summary'!$Y:$Y,'Threshold Summary'!$P:$P,"")/4))*XLOOKUP($Q357,'Threshold Summary'!$Y:$Y,'Threshold Summary'!$L:$L,""))/100)+5)*XLOOKUP(XLOOKUP($Q357,'Threshold Summary'!$Y:$Y,'Threshold Summary'!$M:$M,""),'Nature Editor'!$A:$A,'Nature Editor'!$B:$B,1)),FLOOR((FLOOR(((2*XLOOKUP(XLOOKUP($Q357,'Threshold Summary'!$Y:$Y,'Threshold Summary'!$K:$K,""),'Pokemon Editor'!$A:$A,'Pokemon Editor'!$H:$H,0)+31+FLOOR(XLOOKUP($Q357,'Threshold Summary'!$Y:$Y,'Threshold Summary'!$R:$R,"")/4))*XLOOKUP($Q357,'Threshold Summary'!$Y:$Y,'Threshold Summary'!$L:$L,""))/100)+5)*XLOOKUP(XLOOKUP($Q357,'Threshold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Editor'!$E:$E,1))),stab,IF(OR(mtype=XLOOKUP(XLOOKUP($Q357,'Threshold Summary'!$Y:$Y,'Threshold Summary'!$K:$K,""),'Pokemon Editor'!$A:$A,'Pokemon Editor'!$C:$C,""),mtype=XLOOKUP(XLOOKUP($Q357,'Threshold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Chart'!$B$1:$S$1,0)))),base,IF(OR(cat="Status",pow=0),0,FLOOR(FLOOR(FLOOR((2*XLOOKUP($Q357,'Threshold Summary'!$Y:$Y,'Threshold Summary'!$L:$L,"")/5+2)*pow*atk/def)/50)+2)),modifier,stab*eff,FLOOR(base*modifier)),0)</f>
        <v/>
      </c>
      <c r="L357" s="3">
        <f>IFERROR(LET(mtype,XLOOKUP($D357,'Move Editor'!$B:$B,'Move Editor'!$C:$C,""),cat,XLOOKUP($D357,'Move Editor'!$B:$B,'Move Editor'!$D:$D,""),pow,XLOOKUP($D357,'Move Editor'!$B:$B,'Move Editor'!$E:$E,0),acc,XLOOKUP($D357,'Move Editor'!$B:$B,'Move Editor'!$F:$F,100),atk,IF(cat="Physical",FLOOR((FLOOR(((2*XLOOKUP(XLOOKUP($Q357,'Threshold Summary'!$Y:$Y,'Threshold Summary'!$K:$K,""),'Pokemon Editor'!$A:$A,'Pokemon Editor'!$F:$F,0)+31+FLOOR(XLOOKUP($Q357,'Threshold Summary'!$Y:$Y,'Threshold Summary'!$P:$P,"")/4))*XLOOKUP($Q357,'Threshold Summary'!$Y:$Y,'Threshold Summary'!$L:$L,""))/100)+5)*XLOOKUP(XLOOKUP($Q357,'Threshold Summary'!$Y:$Y,'Threshold Summary'!$M:$M,""),'Nature Editor'!$A:$A,'Nature Editor'!$B:$B,1)),FLOOR((FLOOR(((2*XLOOKUP(XLOOKUP($Q357,'Threshold Summary'!$Y:$Y,'Threshold Summary'!$K:$K,""),'Pokemon Editor'!$A:$A,'Pokemon Editor'!$H:$H,0)+31+FLOOR(XLOOKUP($Q357,'Threshold Summary'!$Y:$Y,'Threshold Summary'!$R:$R,"")/4))*XLOOKUP($Q357,'Threshold Summary'!$Y:$Y,'Threshold Summary'!$L:$L,""))/100)+5)*XLOOKUP(XLOOKUP($Q357,'Threshold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Editor'!$E:$E,1))),stab,IF(OR(mtype=XLOOKUP(XLOOKUP($Q357,'Threshold Summary'!$Y:$Y,'Threshold Summary'!$K:$K,""),'Pokemon Editor'!$A:$A,'Pokemon Editor'!$C:$C,""),mtype=XLOOKUP(XLOOKUP($Q357,'Threshold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Chart'!$B$1:$S$1,0)))),base,IF(OR(cat="Status",pow=0),0,FLOOR(FLOOR(FLOOR((2*XLOOKUP($Q357,'Threshold Summary'!$Y:$Y,'Threshold Summary'!$L:$L,"")/5+2)*pow*atk/def)/50)+2)),modifier,stab*eff,AVERAGE(ARRAYFORMULA(FLOOR(base*modifier*SEQUENCE(16,1,85,1)/100)))),0)</f>
        <v/>
      </c>
      <c r="M357" s="3">
        <f>IFERROR(LET(mtype,XLOOKUP($D357,'Move Editor'!$B:$B,'Move Editor'!$C:$C,""),cat,XLOOKUP($D357,'Move Editor'!$B:$B,'Move Editor'!$D:$D,""),pow,XLOOKUP($D357,'Move Editor'!$B:$B,'Move Editor'!$E:$E,0),acc,XLOOKUP($D357,'Move Editor'!$B:$B,'Move Editor'!$F:$F,100),atk,IF(cat="Physical",FLOOR((FLOOR(((2*XLOOKUP(XLOOKUP($Q357,'Threshold Summary'!$Y:$Y,'Threshold Summary'!$K:$K,""),'Pokemon Editor'!$A:$A,'Pokemon Editor'!$F:$F,0)+31+FLOOR(XLOOKUP($Q357,'Threshold Summary'!$Y:$Y,'Threshold Summary'!$P:$P,"")/4))*XLOOKUP($Q357,'Threshold Summary'!$Y:$Y,'Threshold Summary'!$L:$L,""))/100)+5)*XLOOKUP(XLOOKUP($Q357,'Threshold Summary'!$Y:$Y,'Threshold Summary'!$M:$M,""),'Nature Editor'!$A:$A,'Nature Editor'!$B:$B,1)),FLOOR((FLOOR(((2*XLOOKUP(XLOOKUP($Q357,'Threshold Summary'!$Y:$Y,'Threshold Summary'!$K:$K,""),'Pokemon Editor'!$A:$A,'Pokemon Editor'!$H:$H,0)+31+FLOOR(XLOOKUP($Q357,'Threshold Summary'!$Y:$Y,'Threshold Summary'!$R:$R,"")/4))*XLOOKUP($Q357,'Threshold Summary'!$Y:$Y,'Threshold Summary'!$L:$L,""))/100)+5)*XLOOKUP(XLOOKUP($Q357,'Threshold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Editor'!$E:$E,1))),stab,IF(OR(mtype=XLOOKUP(XLOOKUP($Q357,'Threshold Summary'!$Y:$Y,'Threshold Summary'!$K:$K,""),'Pokemon Editor'!$A:$A,'Pokemon Editor'!$C:$C,""),mtype=XLOOKUP(XLOOKUP($Q357,'Threshold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Chart'!$B$1:$S$1,0)))),base,IF(OR(cat="Status",pow=0),0,FLOOR(FLOOR(FLOOR((2*XLOOKUP($Q357,'Threshold Summary'!$Y:$Y,'Threshold Summary'!$L:$L,"")/5+2)*pow*atk/def)/50)+2)),modifier,stab*eff,AVERAGE(ARRAYFORMULA(FLOOR(base*modifier*SEQUENCE(16,1,85,1)/100)))*MIN(1,acc/100)),0)</f>
        <v/>
      </c>
      <c r="N357" s="4">
        <f>IFERROR(LET(mtype,XLOOKUP($D357,'Move Editor'!$B:$B,'Move Editor'!$C:$C,""),cat,XLOOKUP($D357,'Move Editor'!$B:$B,'Move Editor'!$D:$D,""),pow,XLOOKUP($D357,'Move Editor'!$B:$B,'Move Editor'!$E:$E,0),acc,XLOOKUP($D357,'Move Editor'!$B:$B,'Move Editor'!$F:$F,100),atk,IF(cat="Physical",FLOOR((FLOOR(((2*XLOOKUP(XLOOKUP($Q357,'Threshold Summary'!$Y:$Y,'Threshold Summary'!$K:$K,""),'Pokemon Editor'!$A:$A,'Pokemon Editor'!$F:$F,0)+31+FLOOR(XLOOKUP($Q357,'Threshold Summary'!$Y:$Y,'Threshold Summary'!$P:$P,"")/4))*XLOOKUP($Q357,'Threshold Summary'!$Y:$Y,'Threshold Summary'!$L:$L,""))/100)+5)*XLOOKUP(XLOOKUP($Q357,'Threshold Summary'!$Y:$Y,'Threshold Summary'!$M:$M,""),'Nature Editor'!$A:$A,'Nature Editor'!$B:$B,1)),FLOOR((FLOOR(((2*XLOOKUP(XLOOKUP($Q357,'Threshold Summary'!$Y:$Y,'Threshold Summary'!$K:$K,""),'Pokemon Editor'!$A:$A,'Pokemon Editor'!$H:$H,0)+31+FLOOR(XLOOKUP($Q357,'Threshold Summary'!$Y:$Y,'Threshold Summary'!$R:$R,"")/4))*XLOOKUP($Q357,'Threshold Summary'!$Y:$Y,'Threshold Summary'!$L:$L,""))/100)+5)*XLOOKUP(XLOOKUP($Q357,'Threshold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Editor'!$E:$E,1))),stab,IF(OR(mtype=XLOOKUP(XLOOKUP($Q357,'Threshold Summary'!$Y:$Y,'Threshold Summary'!$K:$K,""),'Pokemon Editor'!$A:$A,'Pokemon Editor'!$C:$C,""),mtype=XLOOKUP(XLOOKUP($Q357,'Threshold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Chart'!$B$1:$S$1,0)))),base,IF(OR(cat="Status",pow=0),0,FLOOR(FLOOR(FLOOR((2*XLOOKUP($Q357,'Threshold Summary'!$Y:$Y,'Threshold Summary'!$L:$L,"")/5+2)*pow*atk/def)/50)+2)),modifier,stab*eff,AVERAGE(ARRAYFORMULA(FLOOR(base*modifier*SEQUENCE(16,1,85,1)/100)))/(FLOOR(((2*XLOOKUP('Boss Editor'!$C$4,'Pokemon Editor'!$A:$A,'Pokemon Editor'!$E:$E,0)+31+FLOOR('Boss Editor'!$G$4/4))*'Boss Editor'!$D$4)/100)+'Boss Editor'!$D$4+10)),0)</f>
        <v/>
      </c>
      <c r="O357" s="3">
        <f>IF(N357&gt;=1,"OHKO",IF(N357&gt;=0.5,"2HKO",IF(N357&gt;=0.333,"3HKO",IF(N357&gt;=0.25,"4HKO","5HKO+"))))</f>
        <v/>
      </c>
      <c r="P357" s="3" t="inlineStr">
        <is>
          <t>Live from editable databases</t>
        </is>
      </c>
      <c r="Q357" s="3" t="inlineStr">
        <is>
          <t>SPECIES_COMBEE</t>
        </is>
      </c>
      <c r="R357" s="3" t="n">
        <v>4</v>
      </c>
    </row>
    <row r="358">
      <c r="A358" s="3">
        <f>XLOOKUP($Q358,'Threshold Summary'!$Y:$Y,'Threshold Summary'!$A:$A,"")</f>
        <v/>
      </c>
      <c r="B358" s="3">
        <f>XLOOKUP($Q358,'Threshold Summary'!$Y:$Y,'Threshold Summary'!$M:$M,"")</f>
        <v/>
      </c>
      <c r="C358" s="3">
        <f>XLOOKUP($Q358,'Threshold Summary'!$Y:$Y,'Threshold Summary'!$N:$N,"")</f>
        <v/>
      </c>
      <c r="D358" s="3">
        <f>IFERROR(INDEX(FILTER('Learnset Editor'!$D$2:$D,'Learnset Editor'!$A$2:$A=XLOOKUP($Q358,'Threshold Summary'!$Y:$Y,'Threshold Summary'!$K:$K,""),'Learnset Editor'!$C$2:$C&lt;=XLOOKUP($Q358,'Threshold Summary'!$Y:$Y,'Threshold Summary'!$L:$L,"")),$R358),"")</f>
        <v/>
      </c>
      <c r="E358" s="3">
        <f>XLOOKUP(D358,'Move Editor'!$B:$B,'Move Editor'!$C:$C,"")</f>
        <v/>
      </c>
      <c r="F358" s="3">
        <f>XLOOKUP(D358,'Move Editor'!$B:$B,'Move Editor'!$D:$D,"")</f>
        <v/>
      </c>
      <c r="G358" s="3">
        <f>XLOOKUP(D358,'Move Editor'!$B:$B,'Move Editor'!$E:$E,0)</f>
        <v/>
      </c>
      <c r="H358" s="3">
        <f>XLOOKUP(D358,'Move Editor'!$B:$B,'Move Editor'!$F:$F,0)</f>
        <v/>
      </c>
      <c r="I358" s="3">
        <f>(INDEX('Type Chart'!$B:$S,MATCH(E358,'Type Chart'!$A:$A,0),MATCH(XLOOKUP('Boss Editor'!$C$4,'Pokemon Editor'!$A:$A,'Pokemon Editor'!$C:$C,""),'Type Chart'!$B$1:$S$1,0))*IF(XLOOKUP('Boss Editor'!$C$4,'Pokemon Editor'!$A:$A,'Pokemon Editor'!$D:$D,"")="",1,INDEX('Type Chart'!$B:$S,MATCH(E358,'Type Chart'!$A:$A,0),MATCH(XLOOKUP('Boss Editor'!$C$4,'Pokemon Editor'!$A:$A,'Pokemon Editor'!$D:$D,""),'Type Chart'!$B$1:$S$1,0))))</f>
        <v/>
      </c>
      <c r="J358" s="3">
        <f>IFERROR(LET(mtype,XLOOKUP($D358,'Move Editor'!$B:$B,'Move Editor'!$C:$C,""),cat,XLOOKUP($D358,'Move Editor'!$B:$B,'Move Editor'!$D:$D,""),pow,XLOOKUP($D358,'Move Editor'!$B:$B,'Move Editor'!$E:$E,0),acc,XLOOKUP($D358,'Move Editor'!$B:$B,'Move Editor'!$F:$F,100),atk,IF(cat="Physical",FLOOR((FLOOR(((2*XLOOKUP(XLOOKUP($Q358,'Threshold Summary'!$Y:$Y,'Threshold Summary'!$K:$K,""),'Pokemon Editor'!$A:$A,'Pokemon Editor'!$F:$F,0)+31+FLOOR(XLOOKUP($Q358,'Threshold Summary'!$Y:$Y,'Threshold Summary'!$P:$P,"")/4))*XLOOKUP($Q358,'Threshold Summary'!$Y:$Y,'Threshold Summary'!$L:$L,""))/100)+5)*XLOOKUP(XLOOKUP($Q358,'Threshold Summary'!$Y:$Y,'Threshold Summary'!$M:$M,""),'Nature Editor'!$A:$A,'Nature Editor'!$B:$B,1)),FLOOR((FLOOR(((2*XLOOKUP(XLOOKUP($Q358,'Threshold Summary'!$Y:$Y,'Threshold Summary'!$K:$K,""),'Pokemon Editor'!$A:$A,'Pokemon Editor'!$H:$H,0)+31+FLOOR(XLOOKUP($Q358,'Threshold Summary'!$Y:$Y,'Threshold Summary'!$R:$R,"")/4))*XLOOKUP($Q358,'Threshold Summary'!$Y:$Y,'Threshold Summary'!$L:$L,""))/100)+5)*XLOOKUP(XLOOKUP($Q358,'Threshold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Editor'!$E:$E,1))),stab,IF(OR(mtype=XLOOKUP(XLOOKUP($Q358,'Threshold Summary'!$Y:$Y,'Threshold Summary'!$K:$K,""),'Pokemon Editor'!$A:$A,'Pokemon Editor'!$C:$C,""),mtype=XLOOKUP(XLOOKUP($Q358,'Threshold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Chart'!$B$1:$S$1,0)))),base,IF(OR(cat="Status",pow=0),0,FLOOR(FLOOR(FLOOR((2*XLOOKUP($Q358,'Threshold Summary'!$Y:$Y,'Threshold Summary'!$L:$L,"")/5+2)*pow*atk/def)/50)+2)),modifier,stab*eff,FLOOR(base*modifier*0.85)),0)</f>
        <v/>
      </c>
      <c r="K358" s="3">
        <f>IFERROR(LET(mtype,XLOOKUP($D358,'Move Editor'!$B:$B,'Move Editor'!$C:$C,""),cat,XLOOKUP($D358,'Move Editor'!$B:$B,'Move Editor'!$D:$D,""),pow,XLOOKUP($D358,'Move Editor'!$B:$B,'Move Editor'!$E:$E,0),acc,XLOOKUP($D358,'Move Editor'!$B:$B,'Move Editor'!$F:$F,100),atk,IF(cat="Physical",FLOOR((FLOOR(((2*XLOOKUP(XLOOKUP($Q358,'Threshold Summary'!$Y:$Y,'Threshold Summary'!$K:$K,""),'Pokemon Editor'!$A:$A,'Pokemon Editor'!$F:$F,0)+31+FLOOR(XLOOKUP($Q358,'Threshold Summary'!$Y:$Y,'Threshold Summary'!$P:$P,"")/4))*XLOOKUP($Q358,'Threshold Summary'!$Y:$Y,'Threshold Summary'!$L:$L,""))/100)+5)*XLOOKUP(XLOOKUP($Q358,'Threshold Summary'!$Y:$Y,'Threshold Summary'!$M:$M,""),'Nature Editor'!$A:$A,'Nature Editor'!$B:$B,1)),FLOOR((FLOOR(((2*XLOOKUP(XLOOKUP($Q358,'Threshold Summary'!$Y:$Y,'Threshold Summary'!$K:$K,""),'Pokemon Editor'!$A:$A,'Pokemon Editor'!$H:$H,0)+31+FLOOR(XLOOKUP($Q358,'Threshold Summary'!$Y:$Y,'Threshold Summary'!$R:$R,"")/4))*XLOOKUP($Q358,'Threshold Summary'!$Y:$Y,'Threshold Summary'!$L:$L,""))/100)+5)*XLOOKUP(XLOOKUP($Q358,'Threshold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Editor'!$E:$E,1))),stab,IF(OR(mtype=XLOOKUP(XLOOKUP($Q358,'Threshold Summary'!$Y:$Y,'Threshold Summary'!$K:$K,""),'Pokemon Editor'!$A:$A,'Pokemon Editor'!$C:$C,""),mtype=XLOOKUP(XLOOKUP($Q358,'Threshold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Chart'!$B$1:$S$1,0)))),base,IF(OR(cat="Status",pow=0),0,FLOOR(FLOOR(FLOOR((2*XLOOKUP($Q358,'Threshold Summary'!$Y:$Y,'Threshold Summary'!$L:$L,"")/5+2)*pow*atk/def)/50)+2)),modifier,stab*eff,FLOOR(base*modifier)),0)</f>
        <v/>
      </c>
      <c r="L358" s="3">
        <f>IFERROR(LET(mtype,XLOOKUP($D358,'Move Editor'!$B:$B,'Move Editor'!$C:$C,""),cat,XLOOKUP($D358,'Move Editor'!$B:$B,'Move Editor'!$D:$D,""),pow,XLOOKUP($D358,'Move Editor'!$B:$B,'Move Editor'!$E:$E,0),acc,XLOOKUP($D358,'Move Editor'!$B:$B,'Move Editor'!$F:$F,100),atk,IF(cat="Physical",FLOOR((FLOOR(((2*XLOOKUP(XLOOKUP($Q358,'Threshold Summary'!$Y:$Y,'Threshold Summary'!$K:$K,""),'Pokemon Editor'!$A:$A,'Pokemon Editor'!$F:$F,0)+31+FLOOR(XLOOKUP($Q358,'Threshold Summary'!$Y:$Y,'Threshold Summary'!$P:$P,"")/4))*XLOOKUP($Q358,'Threshold Summary'!$Y:$Y,'Threshold Summary'!$L:$L,""))/100)+5)*XLOOKUP(XLOOKUP($Q358,'Threshold Summary'!$Y:$Y,'Threshold Summary'!$M:$M,""),'Nature Editor'!$A:$A,'Nature Editor'!$B:$B,1)),FLOOR((FLOOR(((2*XLOOKUP(XLOOKUP($Q358,'Threshold Summary'!$Y:$Y,'Threshold Summary'!$K:$K,""),'Pokemon Editor'!$A:$A,'Pokemon Editor'!$H:$H,0)+31+FLOOR(XLOOKUP($Q358,'Threshold Summary'!$Y:$Y,'Threshold Summary'!$R:$R,"")/4))*XLOOKUP($Q358,'Threshold Summary'!$Y:$Y,'Threshold Summary'!$L:$L,""))/100)+5)*XLOOKUP(XLOOKUP($Q358,'Threshold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Editor'!$E:$E,1))),stab,IF(OR(mtype=XLOOKUP(XLOOKUP($Q358,'Threshold Summary'!$Y:$Y,'Threshold Summary'!$K:$K,""),'Pokemon Editor'!$A:$A,'Pokemon Editor'!$C:$C,""),mtype=XLOOKUP(XLOOKUP($Q358,'Threshold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Chart'!$B$1:$S$1,0)))),base,IF(OR(cat="Status",pow=0),0,FLOOR(FLOOR(FLOOR((2*XLOOKUP($Q358,'Threshold Summary'!$Y:$Y,'Threshold Summary'!$L:$L,"")/5+2)*pow*atk/def)/50)+2)),modifier,stab*eff,AVERAGE(ARRAYFORMULA(FLOOR(base*modifier*SEQUENCE(16,1,85,1)/100)))),0)</f>
        <v/>
      </c>
      <c r="M358" s="3">
        <f>IFERROR(LET(mtype,XLOOKUP($D358,'Move Editor'!$B:$B,'Move Editor'!$C:$C,""),cat,XLOOKUP($D358,'Move Editor'!$B:$B,'Move Editor'!$D:$D,""),pow,XLOOKUP($D358,'Move Editor'!$B:$B,'Move Editor'!$E:$E,0),acc,XLOOKUP($D358,'Move Editor'!$B:$B,'Move Editor'!$F:$F,100),atk,IF(cat="Physical",FLOOR((FLOOR(((2*XLOOKUP(XLOOKUP($Q358,'Threshold Summary'!$Y:$Y,'Threshold Summary'!$K:$K,""),'Pokemon Editor'!$A:$A,'Pokemon Editor'!$F:$F,0)+31+FLOOR(XLOOKUP($Q358,'Threshold Summary'!$Y:$Y,'Threshold Summary'!$P:$P,"")/4))*XLOOKUP($Q358,'Threshold Summary'!$Y:$Y,'Threshold Summary'!$L:$L,""))/100)+5)*XLOOKUP(XLOOKUP($Q358,'Threshold Summary'!$Y:$Y,'Threshold Summary'!$M:$M,""),'Nature Editor'!$A:$A,'Nature Editor'!$B:$B,1)),FLOOR((FLOOR(((2*XLOOKUP(XLOOKUP($Q358,'Threshold Summary'!$Y:$Y,'Threshold Summary'!$K:$K,""),'Pokemon Editor'!$A:$A,'Pokemon Editor'!$H:$H,0)+31+FLOOR(XLOOKUP($Q358,'Threshold Summary'!$Y:$Y,'Threshold Summary'!$R:$R,"")/4))*XLOOKUP($Q358,'Threshold Summary'!$Y:$Y,'Threshold Summary'!$L:$L,""))/100)+5)*XLOOKUP(XLOOKUP($Q358,'Threshold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Editor'!$E:$E,1))),stab,IF(OR(mtype=XLOOKUP(XLOOKUP($Q358,'Threshold Summary'!$Y:$Y,'Threshold Summary'!$K:$K,""),'Pokemon Editor'!$A:$A,'Pokemon Editor'!$C:$C,""),mtype=XLOOKUP(XLOOKUP($Q358,'Threshold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Chart'!$B$1:$S$1,0)))),base,IF(OR(cat="Status",pow=0),0,FLOOR(FLOOR(FLOOR((2*XLOOKUP($Q358,'Threshold Summary'!$Y:$Y,'Threshold Summary'!$L:$L,"")/5+2)*pow*atk/def)/50)+2)),modifier,stab*eff,AVERAGE(ARRAYFORMULA(FLOOR(base*modifier*SEQUENCE(16,1,85,1)/100)))*MIN(1,acc/100)),0)</f>
        <v/>
      </c>
      <c r="N358" s="4">
        <f>IFERROR(LET(mtype,XLOOKUP($D358,'Move Editor'!$B:$B,'Move Editor'!$C:$C,""),cat,XLOOKUP($D358,'Move Editor'!$B:$B,'Move Editor'!$D:$D,""),pow,XLOOKUP($D358,'Move Editor'!$B:$B,'Move Editor'!$E:$E,0),acc,XLOOKUP($D358,'Move Editor'!$B:$B,'Move Editor'!$F:$F,100),atk,IF(cat="Physical",FLOOR((FLOOR(((2*XLOOKUP(XLOOKUP($Q358,'Threshold Summary'!$Y:$Y,'Threshold Summary'!$K:$K,""),'Pokemon Editor'!$A:$A,'Pokemon Editor'!$F:$F,0)+31+FLOOR(XLOOKUP($Q358,'Threshold Summary'!$Y:$Y,'Threshold Summary'!$P:$P,"")/4))*XLOOKUP($Q358,'Threshold Summary'!$Y:$Y,'Threshold Summary'!$L:$L,""))/100)+5)*XLOOKUP(XLOOKUP($Q358,'Threshold Summary'!$Y:$Y,'Threshold Summary'!$M:$M,""),'Nature Editor'!$A:$A,'Nature Editor'!$B:$B,1)),FLOOR((FLOOR(((2*XLOOKUP(XLOOKUP($Q358,'Threshold Summary'!$Y:$Y,'Threshold Summary'!$K:$K,""),'Pokemon Editor'!$A:$A,'Pokemon Editor'!$H:$H,0)+31+FLOOR(XLOOKUP($Q358,'Threshold Summary'!$Y:$Y,'Threshold Summary'!$R:$R,"")/4))*XLOOKUP($Q358,'Threshold Summary'!$Y:$Y,'Threshold Summary'!$L:$L,""))/100)+5)*XLOOKUP(XLOOKUP($Q358,'Threshold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Editor'!$E:$E,1))),stab,IF(OR(mtype=XLOOKUP(XLOOKUP($Q358,'Threshold Summary'!$Y:$Y,'Threshold Summary'!$K:$K,""),'Pokemon Editor'!$A:$A,'Pokemon Editor'!$C:$C,""),mtype=XLOOKUP(XLOOKUP($Q358,'Threshold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Chart'!$B$1:$S$1,0)))),base,IF(OR(cat="Status",pow=0),0,FLOOR(FLOOR(FLOOR((2*XLOOKUP($Q358,'Threshold Summary'!$Y:$Y,'Threshold Summary'!$L:$L,"")/5+2)*pow*atk/def)/50)+2)),modifier,stab*eff,AVERAGE(ARRAYFORMULA(FLOOR(base*modifier*SEQUENCE(16,1,85,1)/100)))/(FLOOR(((2*XLOOKUP('Boss Editor'!$C$4,'Pokemon Editor'!$A:$A,'Pokemon Editor'!$E:$E,0)+31+FLOOR('Boss Editor'!$G$4/4))*'Boss Editor'!$D$4)/100)+'Boss Editor'!$D$4+10)),0)</f>
        <v/>
      </c>
      <c r="O358" s="3">
        <f>IF(N358&gt;=1,"OHKO",IF(N358&gt;=0.5,"2HKO",IF(N358&gt;=0.333,"3HKO",IF(N358&gt;=0.25,"4HKO","5HKO+"))))</f>
        <v/>
      </c>
      <c r="P358" s="3" t="inlineStr">
        <is>
          <t>Live from editable databases</t>
        </is>
      </c>
      <c r="Q358" s="3" t="inlineStr">
        <is>
          <t>SPECIES_COMBEE</t>
        </is>
      </c>
      <c r="R358" s="3" t="n">
        <v>5</v>
      </c>
    </row>
    <row r="359">
      <c r="A359" s="3">
        <f>XLOOKUP($Q359,'Threshold Summary'!$Y:$Y,'Threshold Summary'!$A:$A,"")</f>
        <v/>
      </c>
      <c r="B359" s="3">
        <f>XLOOKUP($Q359,'Threshold Summary'!$Y:$Y,'Threshold Summary'!$M:$M,"")</f>
        <v/>
      </c>
      <c r="C359" s="3">
        <f>XLOOKUP($Q359,'Threshold Summary'!$Y:$Y,'Threshold Summary'!$N:$N,"")</f>
        <v/>
      </c>
      <c r="D359" s="3">
        <f>IFERROR(INDEX(FILTER('Learnset Editor'!$D$2:$D,'Learnset Editor'!$A$2:$A=XLOOKUP($Q359,'Threshold Summary'!$Y:$Y,'Threshold Summary'!$K:$K,""),'Learnset Editor'!$C$2:$C&lt;=XLOOKUP($Q359,'Threshold Summary'!$Y:$Y,'Threshold Summary'!$L:$L,"")),$R359),"")</f>
        <v/>
      </c>
      <c r="E359" s="3">
        <f>XLOOKUP(D359,'Move Editor'!$B:$B,'Move Editor'!$C:$C,"")</f>
        <v/>
      </c>
      <c r="F359" s="3">
        <f>XLOOKUP(D359,'Move Editor'!$B:$B,'Move Editor'!$D:$D,"")</f>
        <v/>
      </c>
      <c r="G359" s="3">
        <f>XLOOKUP(D359,'Move Editor'!$B:$B,'Move Editor'!$E:$E,0)</f>
        <v/>
      </c>
      <c r="H359" s="3">
        <f>XLOOKUP(D359,'Move Editor'!$B:$B,'Move Editor'!$F:$F,0)</f>
        <v/>
      </c>
      <c r="I359" s="3">
        <f>(INDEX('Type Chart'!$B:$S,MATCH(E359,'Type Chart'!$A:$A,0),MATCH(XLOOKUP('Boss Editor'!$C$4,'Pokemon Editor'!$A:$A,'Pokemon Editor'!$C:$C,""),'Type Chart'!$B$1:$S$1,0))*IF(XLOOKUP('Boss Editor'!$C$4,'Pokemon Editor'!$A:$A,'Pokemon Editor'!$D:$D,"")="",1,INDEX('Type Chart'!$B:$S,MATCH(E359,'Type Chart'!$A:$A,0),MATCH(XLOOKUP('Boss Editor'!$C$4,'Pokemon Editor'!$A:$A,'Pokemon Editor'!$D:$D,""),'Type Chart'!$B$1:$S$1,0))))</f>
        <v/>
      </c>
      <c r="J359" s="3">
        <f>IFERROR(LET(mtype,XLOOKUP($D359,'Move Editor'!$B:$B,'Move Editor'!$C:$C,""),cat,XLOOKUP($D359,'Move Editor'!$B:$B,'Move Editor'!$D:$D,""),pow,XLOOKUP($D359,'Move Editor'!$B:$B,'Move Editor'!$E:$E,0),acc,XLOOKUP($D359,'Move Editor'!$B:$B,'Move Editor'!$F:$F,100),atk,IF(cat="Physical",FLOOR((FLOOR(((2*XLOOKUP(XLOOKUP($Q359,'Threshold Summary'!$Y:$Y,'Threshold Summary'!$K:$K,""),'Pokemon Editor'!$A:$A,'Pokemon Editor'!$F:$F,0)+31+FLOOR(XLOOKUP($Q359,'Threshold Summary'!$Y:$Y,'Threshold Summary'!$P:$P,"")/4))*XLOOKUP($Q359,'Threshold Summary'!$Y:$Y,'Threshold Summary'!$L:$L,""))/100)+5)*XLOOKUP(XLOOKUP($Q359,'Threshold Summary'!$Y:$Y,'Threshold Summary'!$M:$M,""),'Nature Editor'!$A:$A,'Nature Editor'!$B:$B,1)),FLOOR((FLOOR(((2*XLOOKUP(XLOOKUP($Q359,'Threshold Summary'!$Y:$Y,'Threshold Summary'!$K:$K,""),'Pokemon Editor'!$A:$A,'Pokemon Editor'!$H:$H,0)+31+FLOOR(XLOOKUP($Q359,'Threshold Summary'!$Y:$Y,'Threshold Summary'!$R:$R,"")/4))*XLOOKUP($Q359,'Threshold Summary'!$Y:$Y,'Threshold Summary'!$L:$L,""))/100)+5)*XLOOKUP(XLOOKUP($Q359,'Threshold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Editor'!$E:$E,1))),stab,IF(OR(mtype=XLOOKUP(XLOOKUP($Q359,'Threshold Summary'!$Y:$Y,'Threshold Summary'!$K:$K,""),'Pokemon Editor'!$A:$A,'Pokemon Editor'!$C:$C,""),mtype=XLOOKUP(XLOOKUP($Q359,'Threshold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Chart'!$B$1:$S$1,0)))),base,IF(OR(cat="Status",pow=0),0,FLOOR(FLOOR(FLOOR((2*XLOOKUP($Q359,'Threshold Summary'!$Y:$Y,'Threshold Summary'!$L:$L,"")/5+2)*pow*atk/def)/50)+2)),modifier,stab*eff,FLOOR(base*modifier*0.85)),0)</f>
        <v/>
      </c>
      <c r="K359" s="3">
        <f>IFERROR(LET(mtype,XLOOKUP($D359,'Move Editor'!$B:$B,'Move Editor'!$C:$C,""),cat,XLOOKUP($D359,'Move Editor'!$B:$B,'Move Editor'!$D:$D,""),pow,XLOOKUP($D359,'Move Editor'!$B:$B,'Move Editor'!$E:$E,0),acc,XLOOKUP($D359,'Move Editor'!$B:$B,'Move Editor'!$F:$F,100),atk,IF(cat="Physical",FLOOR((FLOOR(((2*XLOOKUP(XLOOKUP($Q359,'Threshold Summary'!$Y:$Y,'Threshold Summary'!$K:$K,""),'Pokemon Editor'!$A:$A,'Pokemon Editor'!$F:$F,0)+31+FLOOR(XLOOKUP($Q359,'Threshold Summary'!$Y:$Y,'Threshold Summary'!$P:$P,"")/4))*XLOOKUP($Q359,'Threshold Summary'!$Y:$Y,'Threshold Summary'!$L:$L,""))/100)+5)*XLOOKUP(XLOOKUP($Q359,'Threshold Summary'!$Y:$Y,'Threshold Summary'!$M:$M,""),'Nature Editor'!$A:$A,'Nature Editor'!$B:$B,1)),FLOOR((FLOOR(((2*XLOOKUP(XLOOKUP($Q359,'Threshold Summary'!$Y:$Y,'Threshold Summary'!$K:$K,""),'Pokemon Editor'!$A:$A,'Pokemon Editor'!$H:$H,0)+31+FLOOR(XLOOKUP($Q359,'Threshold Summary'!$Y:$Y,'Threshold Summary'!$R:$R,"")/4))*XLOOKUP($Q359,'Threshold Summary'!$Y:$Y,'Threshold Summary'!$L:$L,""))/100)+5)*XLOOKUP(XLOOKUP($Q359,'Threshold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Editor'!$E:$E,1))),stab,IF(OR(mtype=XLOOKUP(XLOOKUP($Q359,'Threshold Summary'!$Y:$Y,'Threshold Summary'!$K:$K,""),'Pokemon Editor'!$A:$A,'Pokemon Editor'!$C:$C,""),mtype=XLOOKUP(XLOOKUP($Q359,'Threshold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Chart'!$B$1:$S$1,0)))),base,IF(OR(cat="Status",pow=0),0,FLOOR(FLOOR(FLOOR((2*XLOOKUP($Q359,'Threshold Summary'!$Y:$Y,'Threshold Summary'!$L:$L,"")/5+2)*pow*atk/def)/50)+2)),modifier,stab*eff,FLOOR(base*modifier)),0)</f>
        <v/>
      </c>
      <c r="L359" s="3">
        <f>IFERROR(LET(mtype,XLOOKUP($D359,'Move Editor'!$B:$B,'Move Editor'!$C:$C,""),cat,XLOOKUP($D359,'Move Editor'!$B:$B,'Move Editor'!$D:$D,""),pow,XLOOKUP($D359,'Move Editor'!$B:$B,'Move Editor'!$E:$E,0),acc,XLOOKUP($D359,'Move Editor'!$B:$B,'Move Editor'!$F:$F,100),atk,IF(cat="Physical",FLOOR((FLOOR(((2*XLOOKUP(XLOOKUP($Q359,'Threshold Summary'!$Y:$Y,'Threshold Summary'!$K:$K,""),'Pokemon Editor'!$A:$A,'Pokemon Editor'!$F:$F,0)+31+FLOOR(XLOOKUP($Q359,'Threshold Summary'!$Y:$Y,'Threshold Summary'!$P:$P,"")/4))*XLOOKUP($Q359,'Threshold Summary'!$Y:$Y,'Threshold Summary'!$L:$L,""))/100)+5)*XLOOKUP(XLOOKUP($Q359,'Threshold Summary'!$Y:$Y,'Threshold Summary'!$M:$M,""),'Nature Editor'!$A:$A,'Nature Editor'!$B:$B,1)),FLOOR((FLOOR(((2*XLOOKUP(XLOOKUP($Q359,'Threshold Summary'!$Y:$Y,'Threshold Summary'!$K:$K,""),'Pokemon Editor'!$A:$A,'Pokemon Editor'!$H:$H,0)+31+FLOOR(XLOOKUP($Q359,'Threshold Summary'!$Y:$Y,'Threshold Summary'!$R:$R,"")/4))*XLOOKUP($Q359,'Threshold Summary'!$Y:$Y,'Threshold Summary'!$L:$L,""))/100)+5)*XLOOKUP(XLOOKUP($Q359,'Threshold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Editor'!$E:$E,1))),stab,IF(OR(mtype=XLOOKUP(XLOOKUP($Q359,'Threshold Summary'!$Y:$Y,'Threshold Summary'!$K:$K,""),'Pokemon Editor'!$A:$A,'Pokemon Editor'!$C:$C,""),mtype=XLOOKUP(XLOOKUP($Q359,'Threshold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Chart'!$B$1:$S$1,0)))),base,IF(OR(cat="Status",pow=0),0,FLOOR(FLOOR(FLOOR((2*XLOOKUP($Q359,'Threshold Summary'!$Y:$Y,'Threshold Summary'!$L:$L,"")/5+2)*pow*atk/def)/50)+2)),modifier,stab*eff,AVERAGE(ARRAYFORMULA(FLOOR(base*modifier*SEQUENCE(16,1,85,1)/100)))),0)</f>
        <v/>
      </c>
      <c r="M359" s="3">
        <f>IFERROR(LET(mtype,XLOOKUP($D359,'Move Editor'!$B:$B,'Move Editor'!$C:$C,""),cat,XLOOKUP($D359,'Move Editor'!$B:$B,'Move Editor'!$D:$D,""),pow,XLOOKUP($D359,'Move Editor'!$B:$B,'Move Editor'!$E:$E,0),acc,XLOOKUP($D359,'Move Editor'!$B:$B,'Move Editor'!$F:$F,100),atk,IF(cat="Physical",FLOOR((FLOOR(((2*XLOOKUP(XLOOKUP($Q359,'Threshold Summary'!$Y:$Y,'Threshold Summary'!$K:$K,""),'Pokemon Editor'!$A:$A,'Pokemon Editor'!$F:$F,0)+31+FLOOR(XLOOKUP($Q359,'Threshold Summary'!$Y:$Y,'Threshold Summary'!$P:$P,"")/4))*XLOOKUP($Q359,'Threshold Summary'!$Y:$Y,'Threshold Summary'!$L:$L,""))/100)+5)*XLOOKUP(XLOOKUP($Q359,'Threshold Summary'!$Y:$Y,'Threshold Summary'!$M:$M,""),'Nature Editor'!$A:$A,'Nature Editor'!$B:$B,1)),FLOOR((FLOOR(((2*XLOOKUP(XLOOKUP($Q359,'Threshold Summary'!$Y:$Y,'Threshold Summary'!$K:$K,""),'Pokemon Editor'!$A:$A,'Pokemon Editor'!$H:$H,0)+31+FLOOR(XLOOKUP($Q359,'Threshold Summary'!$Y:$Y,'Threshold Summary'!$R:$R,"")/4))*XLOOKUP($Q359,'Threshold Summary'!$Y:$Y,'Threshold Summary'!$L:$L,""))/100)+5)*XLOOKUP(XLOOKUP($Q359,'Threshold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Editor'!$E:$E,1))),stab,IF(OR(mtype=XLOOKUP(XLOOKUP($Q359,'Threshold Summary'!$Y:$Y,'Threshold Summary'!$K:$K,""),'Pokemon Editor'!$A:$A,'Pokemon Editor'!$C:$C,""),mtype=XLOOKUP(XLOOKUP($Q359,'Threshold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Chart'!$B$1:$S$1,0)))),base,IF(OR(cat="Status",pow=0),0,FLOOR(FLOOR(FLOOR((2*XLOOKUP($Q359,'Threshold Summary'!$Y:$Y,'Threshold Summary'!$L:$L,"")/5+2)*pow*atk/def)/50)+2)),modifier,stab*eff,AVERAGE(ARRAYFORMULA(FLOOR(base*modifier*SEQUENCE(16,1,85,1)/100)))*MIN(1,acc/100)),0)</f>
        <v/>
      </c>
      <c r="N359" s="4">
        <f>IFERROR(LET(mtype,XLOOKUP($D359,'Move Editor'!$B:$B,'Move Editor'!$C:$C,""),cat,XLOOKUP($D359,'Move Editor'!$B:$B,'Move Editor'!$D:$D,""),pow,XLOOKUP($D359,'Move Editor'!$B:$B,'Move Editor'!$E:$E,0),acc,XLOOKUP($D359,'Move Editor'!$B:$B,'Move Editor'!$F:$F,100),atk,IF(cat="Physical",FLOOR((FLOOR(((2*XLOOKUP(XLOOKUP($Q359,'Threshold Summary'!$Y:$Y,'Threshold Summary'!$K:$K,""),'Pokemon Editor'!$A:$A,'Pokemon Editor'!$F:$F,0)+31+FLOOR(XLOOKUP($Q359,'Threshold Summary'!$Y:$Y,'Threshold Summary'!$P:$P,"")/4))*XLOOKUP($Q359,'Threshold Summary'!$Y:$Y,'Threshold Summary'!$L:$L,""))/100)+5)*XLOOKUP(XLOOKUP($Q359,'Threshold Summary'!$Y:$Y,'Threshold Summary'!$M:$M,""),'Nature Editor'!$A:$A,'Nature Editor'!$B:$B,1)),FLOOR((FLOOR(((2*XLOOKUP(XLOOKUP($Q359,'Threshold Summary'!$Y:$Y,'Threshold Summary'!$K:$K,""),'Pokemon Editor'!$A:$A,'Pokemon Editor'!$H:$H,0)+31+FLOOR(XLOOKUP($Q359,'Threshold Summary'!$Y:$Y,'Threshold Summary'!$R:$R,"")/4))*XLOOKUP($Q359,'Threshold Summary'!$Y:$Y,'Threshold Summary'!$L:$L,""))/100)+5)*XLOOKUP(XLOOKUP($Q359,'Threshold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Editor'!$E:$E,1))),stab,IF(OR(mtype=XLOOKUP(XLOOKUP($Q359,'Threshold Summary'!$Y:$Y,'Threshold Summary'!$K:$K,""),'Pokemon Editor'!$A:$A,'Pokemon Editor'!$C:$C,""),mtype=XLOOKUP(XLOOKUP($Q359,'Threshold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Chart'!$B$1:$S$1,0)))),base,IF(OR(cat="Status",pow=0),0,FLOOR(FLOOR(FLOOR((2*XLOOKUP($Q359,'Threshold Summary'!$Y:$Y,'Threshold Summary'!$L:$L,"")/5+2)*pow*atk/def)/50)+2)),modifier,stab*eff,AVERAGE(ARRAYFORMULA(FLOOR(base*modifier*SEQUENCE(16,1,85,1)/100)))/(FLOOR(((2*XLOOKUP('Boss Editor'!$C$4,'Pokemon Editor'!$A:$A,'Pokemon Editor'!$E:$E,0)+31+FLOOR('Boss Editor'!$G$4/4))*'Boss Editor'!$D$4)/100)+'Boss Editor'!$D$4+10)),0)</f>
        <v/>
      </c>
      <c r="O359" s="3">
        <f>IF(N359&gt;=1,"OHKO",IF(N359&gt;=0.5,"2HKO",IF(N359&gt;=0.333,"3HKO",IF(N359&gt;=0.25,"4HKO","5HKO+"))))</f>
        <v/>
      </c>
      <c r="P359" s="3" t="inlineStr">
        <is>
          <t>Live from editable databases</t>
        </is>
      </c>
      <c r="Q359" s="3" t="inlineStr">
        <is>
          <t>SPECIES_COMBEE</t>
        </is>
      </c>
      <c r="R359" s="3" t="n">
        <v>6</v>
      </c>
    </row>
    <row r="360">
      <c r="A360" s="3">
        <f>XLOOKUP($Q360,'Threshold Summary'!$Y:$Y,'Threshold Summary'!$A:$A,"")</f>
        <v/>
      </c>
      <c r="B360" s="3">
        <f>XLOOKUP($Q360,'Threshold Summary'!$Y:$Y,'Threshold Summary'!$M:$M,"")</f>
        <v/>
      </c>
      <c r="C360" s="3">
        <f>XLOOKUP($Q360,'Threshold Summary'!$Y:$Y,'Threshold Summary'!$N:$N,"")</f>
        <v/>
      </c>
      <c r="D360" s="3">
        <f>IFERROR(INDEX(FILTER('Learnset Editor'!$D$2:$D,'Learnset Editor'!$A$2:$A=XLOOKUP($Q360,'Threshold Summary'!$Y:$Y,'Threshold Summary'!$K:$K,""),'Learnset Editor'!$C$2:$C&lt;=XLOOKUP($Q360,'Threshold Summary'!$Y:$Y,'Threshold Summary'!$L:$L,"")),$R360),"")</f>
        <v/>
      </c>
      <c r="E360" s="3">
        <f>XLOOKUP(D360,'Move Editor'!$B:$B,'Move Editor'!$C:$C,"")</f>
        <v/>
      </c>
      <c r="F360" s="3">
        <f>XLOOKUP(D360,'Move Editor'!$B:$B,'Move Editor'!$D:$D,"")</f>
        <v/>
      </c>
      <c r="G360" s="3">
        <f>XLOOKUP(D360,'Move Editor'!$B:$B,'Move Editor'!$E:$E,0)</f>
        <v/>
      </c>
      <c r="H360" s="3">
        <f>XLOOKUP(D360,'Move Editor'!$B:$B,'Move Editor'!$F:$F,0)</f>
        <v/>
      </c>
      <c r="I360" s="3">
        <f>(INDEX('Type Chart'!$B:$S,MATCH(E360,'Type Chart'!$A:$A,0),MATCH(XLOOKUP('Boss Editor'!$C$4,'Pokemon Editor'!$A:$A,'Pokemon Editor'!$C:$C,""),'Type Chart'!$B$1:$S$1,0))*IF(XLOOKUP('Boss Editor'!$C$4,'Pokemon Editor'!$A:$A,'Pokemon Editor'!$D:$D,"")="",1,INDEX('Type Chart'!$B:$S,MATCH(E360,'Type Chart'!$A:$A,0),MATCH(XLOOKUP('Boss Editor'!$C$4,'Pokemon Editor'!$A:$A,'Pokemon Editor'!$D:$D,""),'Type Chart'!$B$1:$S$1,0))))</f>
        <v/>
      </c>
      <c r="J360" s="3">
        <f>IFERROR(LET(mtype,XLOOKUP($D360,'Move Editor'!$B:$B,'Move Editor'!$C:$C,""),cat,XLOOKUP($D360,'Move Editor'!$B:$B,'Move Editor'!$D:$D,""),pow,XLOOKUP($D360,'Move Editor'!$B:$B,'Move Editor'!$E:$E,0),acc,XLOOKUP($D360,'Move Editor'!$B:$B,'Move Editor'!$F:$F,100),atk,IF(cat="Physical",FLOOR((FLOOR(((2*XLOOKUP(XLOOKUP($Q360,'Threshold Summary'!$Y:$Y,'Threshold Summary'!$K:$K,""),'Pokemon Editor'!$A:$A,'Pokemon Editor'!$F:$F,0)+31+FLOOR(XLOOKUP($Q360,'Threshold Summary'!$Y:$Y,'Threshold Summary'!$P:$P,"")/4))*XLOOKUP($Q360,'Threshold Summary'!$Y:$Y,'Threshold Summary'!$L:$L,""))/100)+5)*XLOOKUP(XLOOKUP($Q360,'Threshold Summary'!$Y:$Y,'Threshold Summary'!$M:$M,""),'Nature Editor'!$A:$A,'Nature Editor'!$B:$B,1)),FLOOR((FLOOR(((2*XLOOKUP(XLOOKUP($Q360,'Threshold Summary'!$Y:$Y,'Threshold Summary'!$K:$K,""),'Pokemon Editor'!$A:$A,'Pokemon Editor'!$H:$H,0)+31+FLOOR(XLOOKUP($Q360,'Threshold Summary'!$Y:$Y,'Threshold Summary'!$R:$R,"")/4))*XLOOKUP($Q360,'Threshold Summary'!$Y:$Y,'Threshold Summary'!$L:$L,""))/100)+5)*XLOOKUP(XLOOKUP($Q360,'Threshold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Editor'!$E:$E,1))),stab,IF(OR(mtype=XLOOKUP(XLOOKUP($Q360,'Threshold Summary'!$Y:$Y,'Threshold Summary'!$K:$K,""),'Pokemon Editor'!$A:$A,'Pokemon Editor'!$C:$C,""),mtype=XLOOKUP(XLOOKUP($Q360,'Threshold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Chart'!$B$1:$S$1,0)))),base,IF(OR(cat="Status",pow=0),0,FLOOR(FLOOR(FLOOR((2*XLOOKUP($Q360,'Threshold Summary'!$Y:$Y,'Threshold Summary'!$L:$L,"")/5+2)*pow*atk/def)/50)+2)),modifier,stab*eff,FLOOR(base*modifier*0.85)),0)</f>
        <v/>
      </c>
      <c r="K360" s="3">
        <f>IFERROR(LET(mtype,XLOOKUP($D360,'Move Editor'!$B:$B,'Move Editor'!$C:$C,""),cat,XLOOKUP($D360,'Move Editor'!$B:$B,'Move Editor'!$D:$D,""),pow,XLOOKUP($D360,'Move Editor'!$B:$B,'Move Editor'!$E:$E,0),acc,XLOOKUP($D360,'Move Editor'!$B:$B,'Move Editor'!$F:$F,100),atk,IF(cat="Physical",FLOOR((FLOOR(((2*XLOOKUP(XLOOKUP($Q360,'Threshold Summary'!$Y:$Y,'Threshold Summary'!$K:$K,""),'Pokemon Editor'!$A:$A,'Pokemon Editor'!$F:$F,0)+31+FLOOR(XLOOKUP($Q360,'Threshold Summary'!$Y:$Y,'Threshold Summary'!$P:$P,"")/4))*XLOOKUP($Q360,'Threshold Summary'!$Y:$Y,'Threshold Summary'!$L:$L,""))/100)+5)*XLOOKUP(XLOOKUP($Q360,'Threshold Summary'!$Y:$Y,'Threshold Summary'!$M:$M,""),'Nature Editor'!$A:$A,'Nature Editor'!$B:$B,1)),FLOOR((FLOOR(((2*XLOOKUP(XLOOKUP($Q360,'Threshold Summary'!$Y:$Y,'Threshold Summary'!$K:$K,""),'Pokemon Editor'!$A:$A,'Pokemon Editor'!$H:$H,0)+31+FLOOR(XLOOKUP($Q360,'Threshold Summary'!$Y:$Y,'Threshold Summary'!$R:$R,"")/4))*XLOOKUP($Q360,'Threshold Summary'!$Y:$Y,'Threshold Summary'!$L:$L,""))/100)+5)*XLOOKUP(XLOOKUP($Q360,'Threshold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Editor'!$E:$E,1))),stab,IF(OR(mtype=XLOOKUP(XLOOKUP($Q360,'Threshold Summary'!$Y:$Y,'Threshold Summary'!$K:$K,""),'Pokemon Editor'!$A:$A,'Pokemon Editor'!$C:$C,""),mtype=XLOOKUP(XLOOKUP($Q360,'Threshold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Chart'!$B$1:$S$1,0)))),base,IF(OR(cat="Status",pow=0),0,FLOOR(FLOOR(FLOOR((2*XLOOKUP($Q360,'Threshold Summary'!$Y:$Y,'Threshold Summary'!$L:$L,"")/5+2)*pow*atk/def)/50)+2)),modifier,stab*eff,FLOOR(base*modifier)),0)</f>
        <v/>
      </c>
      <c r="L360" s="3">
        <f>IFERROR(LET(mtype,XLOOKUP($D360,'Move Editor'!$B:$B,'Move Editor'!$C:$C,""),cat,XLOOKUP($D360,'Move Editor'!$B:$B,'Move Editor'!$D:$D,""),pow,XLOOKUP($D360,'Move Editor'!$B:$B,'Move Editor'!$E:$E,0),acc,XLOOKUP($D360,'Move Editor'!$B:$B,'Move Editor'!$F:$F,100),atk,IF(cat="Physical",FLOOR((FLOOR(((2*XLOOKUP(XLOOKUP($Q360,'Threshold Summary'!$Y:$Y,'Threshold Summary'!$K:$K,""),'Pokemon Editor'!$A:$A,'Pokemon Editor'!$F:$F,0)+31+FLOOR(XLOOKUP($Q360,'Threshold Summary'!$Y:$Y,'Threshold Summary'!$P:$P,"")/4))*XLOOKUP($Q360,'Threshold Summary'!$Y:$Y,'Threshold Summary'!$L:$L,""))/100)+5)*XLOOKUP(XLOOKUP($Q360,'Threshold Summary'!$Y:$Y,'Threshold Summary'!$M:$M,""),'Nature Editor'!$A:$A,'Nature Editor'!$B:$B,1)),FLOOR((FLOOR(((2*XLOOKUP(XLOOKUP($Q360,'Threshold Summary'!$Y:$Y,'Threshold Summary'!$K:$K,""),'Pokemon Editor'!$A:$A,'Pokemon Editor'!$H:$H,0)+31+FLOOR(XLOOKUP($Q360,'Threshold Summary'!$Y:$Y,'Threshold Summary'!$R:$R,"")/4))*XLOOKUP($Q360,'Threshold Summary'!$Y:$Y,'Threshold Summary'!$L:$L,""))/100)+5)*XLOOKUP(XLOOKUP($Q360,'Threshold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Editor'!$E:$E,1))),stab,IF(OR(mtype=XLOOKUP(XLOOKUP($Q360,'Threshold Summary'!$Y:$Y,'Threshold Summary'!$K:$K,""),'Pokemon Editor'!$A:$A,'Pokemon Editor'!$C:$C,""),mtype=XLOOKUP(XLOOKUP($Q360,'Threshold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Chart'!$B$1:$S$1,0)))),base,IF(OR(cat="Status",pow=0),0,FLOOR(FLOOR(FLOOR((2*XLOOKUP($Q360,'Threshold Summary'!$Y:$Y,'Threshold Summary'!$L:$L,"")/5+2)*pow*atk/def)/50)+2)),modifier,stab*eff,AVERAGE(ARRAYFORMULA(FLOOR(base*modifier*SEQUENCE(16,1,85,1)/100)))),0)</f>
        <v/>
      </c>
      <c r="M360" s="3">
        <f>IFERROR(LET(mtype,XLOOKUP($D360,'Move Editor'!$B:$B,'Move Editor'!$C:$C,""),cat,XLOOKUP($D360,'Move Editor'!$B:$B,'Move Editor'!$D:$D,""),pow,XLOOKUP($D360,'Move Editor'!$B:$B,'Move Editor'!$E:$E,0),acc,XLOOKUP($D360,'Move Editor'!$B:$B,'Move Editor'!$F:$F,100),atk,IF(cat="Physical",FLOOR((FLOOR(((2*XLOOKUP(XLOOKUP($Q360,'Threshold Summary'!$Y:$Y,'Threshold Summary'!$K:$K,""),'Pokemon Editor'!$A:$A,'Pokemon Editor'!$F:$F,0)+31+FLOOR(XLOOKUP($Q360,'Threshold Summary'!$Y:$Y,'Threshold Summary'!$P:$P,"")/4))*XLOOKUP($Q360,'Threshold Summary'!$Y:$Y,'Threshold Summary'!$L:$L,""))/100)+5)*XLOOKUP(XLOOKUP($Q360,'Threshold Summary'!$Y:$Y,'Threshold Summary'!$M:$M,""),'Nature Editor'!$A:$A,'Nature Editor'!$B:$B,1)),FLOOR((FLOOR(((2*XLOOKUP(XLOOKUP($Q360,'Threshold Summary'!$Y:$Y,'Threshold Summary'!$K:$K,""),'Pokemon Editor'!$A:$A,'Pokemon Editor'!$H:$H,0)+31+FLOOR(XLOOKUP($Q360,'Threshold Summary'!$Y:$Y,'Threshold Summary'!$R:$R,"")/4))*XLOOKUP($Q360,'Threshold Summary'!$Y:$Y,'Threshold Summary'!$L:$L,""))/100)+5)*XLOOKUP(XLOOKUP($Q360,'Threshold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Editor'!$E:$E,1))),stab,IF(OR(mtype=XLOOKUP(XLOOKUP($Q360,'Threshold Summary'!$Y:$Y,'Threshold Summary'!$K:$K,""),'Pokemon Editor'!$A:$A,'Pokemon Editor'!$C:$C,""),mtype=XLOOKUP(XLOOKUP($Q360,'Threshold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Chart'!$B$1:$S$1,0)))),base,IF(OR(cat="Status",pow=0),0,FLOOR(FLOOR(FLOOR((2*XLOOKUP($Q360,'Threshold Summary'!$Y:$Y,'Threshold Summary'!$L:$L,"")/5+2)*pow*atk/def)/50)+2)),modifier,stab*eff,AVERAGE(ARRAYFORMULA(FLOOR(base*modifier*SEQUENCE(16,1,85,1)/100)))*MIN(1,acc/100)),0)</f>
        <v/>
      </c>
      <c r="N360" s="4">
        <f>IFERROR(LET(mtype,XLOOKUP($D360,'Move Editor'!$B:$B,'Move Editor'!$C:$C,""),cat,XLOOKUP($D360,'Move Editor'!$B:$B,'Move Editor'!$D:$D,""),pow,XLOOKUP($D360,'Move Editor'!$B:$B,'Move Editor'!$E:$E,0),acc,XLOOKUP($D360,'Move Editor'!$B:$B,'Move Editor'!$F:$F,100),atk,IF(cat="Physical",FLOOR((FLOOR(((2*XLOOKUP(XLOOKUP($Q360,'Threshold Summary'!$Y:$Y,'Threshold Summary'!$K:$K,""),'Pokemon Editor'!$A:$A,'Pokemon Editor'!$F:$F,0)+31+FLOOR(XLOOKUP($Q360,'Threshold Summary'!$Y:$Y,'Threshold Summary'!$P:$P,"")/4))*XLOOKUP($Q360,'Threshold Summary'!$Y:$Y,'Threshold Summary'!$L:$L,""))/100)+5)*XLOOKUP(XLOOKUP($Q360,'Threshold Summary'!$Y:$Y,'Threshold Summary'!$M:$M,""),'Nature Editor'!$A:$A,'Nature Editor'!$B:$B,1)),FLOOR((FLOOR(((2*XLOOKUP(XLOOKUP($Q360,'Threshold Summary'!$Y:$Y,'Threshold Summary'!$K:$K,""),'Pokemon Editor'!$A:$A,'Pokemon Editor'!$H:$H,0)+31+FLOOR(XLOOKUP($Q360,'Threshold Summary'!$Y:$Y,'Threshold Summary'!$R:$R,"")/4))*XLOOKUP($Q360,'Threshold Summary'!$Y:$Y,'Threshold Summary'!$L:$L,""))/100)+5)*XLOOKUP(XLOOKUP($Q360,'Threshold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Editor'!$E:$E,1))),stab,IF(OR(mtype=XLOOKUP(XLOOKUP($Q360,'Threshold Summary'!$Y:$Y,'Threshold Summary'!$K:$K,""),'Pokemon Editor'!$A:$A,'Pokemon Editor'!$C:$C,""),mtype=XLOOKUP(XLOOKUP($Q360,'Threshold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Chart'!$B$1:$S$1,0)))),base,IF(OR(cat="Status",pow=0),0,FLOOR(FLOOR(FLOOR((2*XLOOKUP($Q360,'Threshold Summary'!$Y:$Y,'Threshold Summary'!$L:$L,"")/5+2)*pow*atk/def)/50)+2)),modifier,stab*eff,AVERAGE(ARRAYFORMULA(FLOOR(base*modifier*SEQUENCE(16,1,85,1)/100)))/(FLOOR(((2*XLOOKUP('Boss Editor'!$C$4,'Pokemon Editor'!$A:$A,'Pokemon Editor'!$E:$E,0)+31+FLOOR('Boss Editor'!$G$4/4))*'Boss Editor'!$D$4)/100)+'Boss Editor'!$D$4+10)),0)</f>
        <v/>
      </c>
      <c r="O360" s="3">
        <f>IF(N360&gt;=1,"OHKO",IF(N360&gt;=0.5,"2HKO",IF(N360&gt;=0.333,"3HKO",IF(N360&gt;=0.25,"4HKO","5HKO+"))))</f>
        <v/>
      </c>
      <c r="P360" s="3" t="inlineStr">
        <is>
          <t>Live from editable databases</t>
        </is>
      </c>
      <c r="Q360" s="3" t="inlineStr">
        <is>
          <t>SPECIES_COMBEE</t>
        </is>
      </c>
      <c r="R360" s="3" t="n">
        <v>7</v>
      </c>
    </row>
    <row r="361">
      <c r="A361" s="3">
        <f>XLOOKUP($Q361,'Threshold Summary'!$Y:$Y,'Threshold Summary'!$A:$A,"")</f>
        <v/>
      </c>
      <c r="B361" s="3">
        <f>XLOOKUP($Q361,'Threshold Summary'!$Y:$Y,'Threshold Summary'!$M:$M,"")</f>
        <v/>
      </c>
      <c r="C361" s="3">
        <f>XLOOKUP($Q361,'Threshold Summary'!$Y:$Y,'Threshold Summary'!$N:$N,"")</f>
        <v/>
      </c>
      <c r="D361" s="3">
        <f>IFERROR(INDEX(FILTER('Learnset Editor'!$D$2:$D,'Learnset Editor'!$A$2:$A=XLOOKUP($Q361,'Threshold Summary'!$Y:$Y,'Threshold Summary'!$K:$K,""),'Learnset Editor'!$C$2:$C&lt;=XLOOKUP($Q361,'Threshold Summary'!$Y:$Y,'Threshold Summary'!$L:$L,"")),$R361),"")</f>
        <v/>
      </c>
      <c r="E361" s="3">
        <f>XLOOKUP(D361,'Move Editor'!$B:$B,'Move Editor'!$C:$C,"")</f>
        <v/>
      </c>
      <c r="F361" s="3">
        <f>XLOOKUP(D361,'Move Editor'!$B:$B,'Move Editor'!$D:$D,"")</f>
        <v/>
      </c>
      <c r="G361" s="3">
        <f>XLOOKUP(D361,'Move Editor'!$B:$B,'Move Editor'!$E:$E,0)</f>
        <v/>
      </c>
      <c r="H361" s="3">
        <f>XLOOKUP(D361,'Move Editor'!$B:$B,'Move Editor'!$F:$F,0)</f>
        <v/>
      </c>
      <c r="I361" s="3">
        <f>(INDEX('Type Chart'!$B:$S,MATCH(E361,'Type Chart'!$A:$A,0),MATCH(XLOOKUP('Boss Editor'!$C$4,'Pokemon Editor'!$A:$A,'Pokemon Editor'!$C:$C,""),'Type Chart'!$B$1:$S$1,0))*IF(XLOOKUP('Boss Editor'!$C$4,'Pokemon Editor'!$A:$A,'Pokemon Editor'!$D:$D,"")="",1,INDEX('Type Chart'!$B:$S,MATCH(E361,'Type Chart'!$A:$A,0),MATCH(XLOOKUP('Boss Editor'!$C$4,'Pokemon Editor'!$A:$A,'Pokemon Editor'!$D:$D,""),'Type Chart'!$B$1:$S$1,0))))</f>
        <v/>
      </c>
      <c r="J361" s="3">
        <f>IFERROR(LET(mtype,XLOOKUP($D361,'Move Editor'!$B:$B,'Move Editor'!$C:$C,""),cat,XLOOKUP($D361,'Move Editor'!$B:$B,'Move Editor'!$D:$D,""),pow,XLOOKUP($D361,'Move Editor'!$B:$B,'Move Editor'!$E:$E,0),acc,XLOOKUP($D361,'Move Editor'!$B:$B,'Move Editor'!$F:$F,100),atk,IF(cat="Physical",FLOOR((FLOOR(((2*XLOOKUP(XLOOKUP($Q361,'Threshold Summary'!$Y:$Y,'Threshold Summary'!$K:$K,""),'Pokemon Editor'!$A:$A,'Pokemon Editor'!$F:$F,0)+31+FLOOR(XLOOKUP($Q361,'Threshold Summary'!$Y:$Y,'Threshold Summary'!$P:$P,"")/4))*XLOOKUP($Q361,'Threshold Summary'!$Y:$Y,'Threshold Summary'!$L:$L,""))/100)+5)*XLOOKUP(XLOOKUP($Q361,'Threshold Summary'!$Y:$Y,'Threshold Summary'!$M:$M,""),'Nature Editor'!$A:$A,'Nature Editor'!$B:$B,1)),FLOOR((FLOOR(((2*XLOOKUP(XLOOKUP($Q361,'Threshold Summary'!$Y:$Y,'Threshold Summary'!$K:$K,""),'Pokemon Editor'!$A:$A,'Pokemon Editor'!$H:$H,0)+31+FLOOR(XLOOKUP($Q361,'Threshold Summary'!$Y:$Y,'Threshold Summary'!$R:$R,"")/4))*XLOOKUP($Q361,'Threshold Summary'!$Y:$Y,'Threshold Summary'!$L:$L,""))/100)+5)*XLOOKUP(XLOOKUP($Q361,'Threshold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Editor'!$E:$E,1))),stab,IF(OR(mtype=XLOOKUP(XLOOKUP($Q361,'Threshold Summary'!$Y:$Y,'Threshold Summary'!$K:$K,""),'Pokemon Editor'!$A:$A,'Pokemon Editor'!$C:$C,""),mtype=XLOOKUP(XLOOKUP($Q361,'Threshold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Chart'!$B$1:$S$1,0)))),base,IF(OR(cat="Status",pow=0),0,FLOOR(FLOOR(FLOOR((2*XLOOKUP($Q361,'Threshold Summary'!$Y:$Y,'Threshold Summary'!$L:$L,"")/5+2)*pow*atk/def)/50)+2)),modifier,stab*eff,FLOOR(base*modifier*0.85)),0)</f>
        <v/>
      </c>
      <c r="K361" s="3">
        <f>IFERROR(LET(mtype,XLOOKUP($D361,'Move Editor'!$B:$B,'Move Editor'!$C:$C,""),cat,XLOOKUP($D361,'Move Editor'!$B:$B,'Move Editor'!$D:$D,""),pow,XLOOKUP($D361,'Move Editor'!$B:$B,'Move Editor'!$E:$E,0),acc,XLOOKUP($D361,'Move Editor'!$B:$B,'Move Editor'!$F:$F,100),atk,IF(cat="Physical",FLOOR((FLOOR(((2*XLOOKUP(XLOOKUP($Q361,'Threshold Summary'!$Y:$Y,'Threshold Summary'!$K:$K,""),'Pokemon Editor'!$A:$A,'Pokemon Editor'!$F:$F,0)+31+FLOOR(XLOOKUP($Q361,'Threshold Summary'!$Y:$Y,'Threshold Summary'!$P:$P,"")/4))*XLOOKUP($Q361,'Threshold Summary'!$Y:$Y,'Threshold Summary'!$L:$L,""))/100)+5)*XLOOKUP(XLOOKUP($Q361,'Threshold Summary'!$Y:$Y,'Threshold Summary'!$M:$M,""),'Nature Editor'!$A:$A,'Nature Editor'!$B:$B,1)),FLOOR((FLOOR(((2*XLOOKUP(XLOOKUP($Q361,'Threshold Summary'!$Y:$Y,'Threshold Summary'!$K:$K,""),'Pokemon Editor'!$A:$A,'Pokemon Editor'!$H:$H,0)+31+FLOOR(XLOOKUP($Q361,'Threshold Summary'!$Y:$Y,'Threshold Summary'!$R:$R,"")/4))*XLOOKUP($Q361,'Threshold Summary'!$Y:$Y,'Threshold Summary'!$L:$L,""))/100)+5)*XLOOKUP(XLOOKUP($Q361,'Threshold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Editor'!$E:$E,1))),stab,IF(OR(mtype=XLOOKUP(XLOOKUP($Q361,'Threshold Summary'!$Y:$Y,'Threshold Summary'!$K:$K,""),'Pokemon Editor'!$A:$A,'Pokemon Editor'!$C:$C,""),mtype=XLOOKUP(XLOOKUP($Q361,'Threshold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Chart'!$B$1:$S$1,0)))),base,IF(OR(cat="Status",pow=0),0,FLOOR(FLOOR(FLOOR((2*XLOOKUP($Q361,'Threshold Summary'!$Y:$Y,'Threshold Summary'!$L:$L,"")/5+2)*pow*atk/def)/50)+2)),modifier,stab*eff,FLOOR(base*modifier)),0)</f>
        <v/>
      </c>
      <c r="L361" s="3">
        <f>IFERROR(LET(mtype,XLOOKUP($D361,'Move Editor'!$B:$B,'Move Editor'!$C:$C,""),cat,XLOOKUP($D361,'Move Editor'!$B:$B,'Move Editor'!$D:$D,""),pow,XLOOKUP($D361,'Move Editor'!$B:$B,'Move Editor'!$E:$E,0),acc,XLOOKUP($D361,'Move Editor'!$B:$B,'Move Editor'!$F:$F,100),atk,IF(cat="Physical",FLOOR((FLOOR(((2*XLOOKUP(XLOOKUP($Q361,'Threshold Summary'!$Y:$Y,'Threshold Summary'!$K:$K,""),'Pokemon Editor'!$A:$A,'Pokemon Editor'!$F:$F,0)+31+FLOOR(XLOOKUP($Q361,'Threshold Summary'!$Y:$Y,'Threshold Summary'!$P:$P,"")/4))*XLOOKUP($Q361,'Threshold Summary'!$Y:$Y,'Threshold Summary'!$L:$L,""))/100)+5)*XLOOKUP(XLOOKUP($Q361,'Threshold Summary'!$Y:$Y,'Threshold Summary'!$M:$M,""),'Nature Editor'!$A:$A,'Nature Editor'!$B:$B,1)),FLOOR((FLOOR(((2*XLOOKUP(XLOOKUP($Q361,'Threshold Summary'!$Y:$Y,'Threshold Summary'!$K:$K,""),'Pokemon Editor'!$A:$A,'Pokemon Editor'!$H:$H,0)+31+FLOOR(XLOOKUP($Q361,'Threshold Summary'!$Y:$Y,'Threshold Summary'!$R:$R,"")/4))*XLOOKUP($Q361,'Threshold Summary'!$Y:$Y,'Threshold Summary'!$L:$L,""))/100)+5)*XLOOKUP(XLOOKUP($Q361,'Threshold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Editor'!$E:$E,1))),stab,IF(OR(mtype=XLOOKUP(XLOOKUP($Q361,'Threshold Summary'!$Y:$Y,'Threshold Summary'!$K:$K,""),'Pokemon Editor'!$A:$A,'Pokemon Editor'!$C:$C,""),mtype=XLOOKUP(XLOOKUP($Q361,'Threshold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Chart'!$B$1:$S$1,0)))),base,IF(OR(cat="Status",pow=0),0,FLOOR(FLOOR(FLOOR((2*XLOOKUP($Q361,'Threshold Summary'!$Y:$Y,'Threshold Summary'!$L:$L,"")/5+2)*pow*atk/def)/50)+2)),modifier,stab*eff,AVERAGE(ARRAYFORMULA(FLOOR(base*modifier*SEQUENCE(16,1,85,1)/100)))),0)</f>
        <v/>
      </c>
      <c r="M361" s="3">
        <f>IFERROR(LET(mtype,XLOOKUP($D361,'Move Editor'!$B:$B,'Move Editor'!$C:$C,""),cat,XLOOKUP($D361,'Move Editor'!$B:$B,'Move Editor'!$D:$D,""),pow,XLOOKUP($D361,'Move Editor'!$B:$B,'Move Editor'!$E:$E,0),acc,XLOOKUP($D361,'Move Editor'!$B:$B,'Move Editor'!$F:$F,100),atk,IF(cat="Physical",FLOOR((FLOOR(((2*XLOOKUP(XLOOKUP($Q361,'Threshold Summary'!$Y:$Y,'Threshold Summary'!$K:$K,""),'Pokemon Editor'!$A:$A,'Pokemon Editor'!$F:$F,0)+31+FLOOR(XLOOKUP($Q361,'Threshold Summary'!$Y:$Y,'Threshold Summary'!$P:$P,"")/4))*XLOOKUP($Q361,'Threshold Summary'!$Y:$Y,'Threshold Summary'!$L:$L,""))/100)+5)*XLOOKUP(XLOOKUP($Q361,'Threshold Summary'!$Y:$Y,'Threshold Summary'!$M:$M,""),'Nature Editor'!$A:$A,'Nature Editor'!$B:$B,1)),FLOOR((FLOOR(((2*XLOOKUP(XLOOKUP($Q361,'Threshold Summary'!$Y:$Y,'Threshold Summary'!$K:$K,""),'Pokemon Editor'!$A:$A,'Pokemon Editor'!$H:$H,0)+31+FLOOR(XLOOKUP($Q361,'Threshold Summary'!$Y:$Y,'Threshold Summary'!$R:$R,"")/4))*XLOOKUP($Q361,'Threshold Summary'!$Y:$Y,'Threshold Summary'!$L:$L,""))/100)+5)*XLOOKUP(XLOOKUP($Q361,'Threshold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Editor'!$E:$E,1))),stab,IF(OR(mtype=XLOOKUP(XLOOKUP($Q361,'Threshold Summary'!$Y:$Y,'Threshold Summary'!$K:$K,""),'Pokemon Editor'!$A:$A,'Pokemon Editor'!$C:$C,""),mtype=XLOOKUP(XLOOKUP($Q361,'Threshold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Chart'!$B$1:$S$1,0)))),base,IF(OR(cat="Status",pow=0),0,FLOOR(FLOOR(FLOOR((2*XLOOKUP($Q361,'Threshold Summary'!$Y:$Y,'Threshold Summary'!$L:$L,"")/5+2)*pow*atk/def)/50)+2)),modifier,stab*eff,AVERAGE(ARRAYFORMULA(FLOOR(base*modifier*SEQUENCE(16,1,85,1)/100)))*MIN(1,acc/100)),0)</f>
        <v/>
      </c>
      <c r="N361" s="4">
        <f>IFERROR(LET(mtype,XLOOKUP($D361,'Move Editor'!$B:$B,'Move Editor'!$C:$C,""),cat,XLOOKUP($D361,'Move Editor'!$B:$B,'Move Editor'!$D:$D,""),pow,XLOOKUP($D361,'Move Editor'!$B:$B,'Move Editor'!$E:$E,0),acc,XLOOKUP($D361,'Move Editor'!$B:$B,'Move Editor'!$F:$F,100),atk,IF(cat="Physical",FLOOR((FLOOR(((2*XLOOKUP(XLOOKUP($Q361,'Threshold Summary'!$Y:$Y,'Threshold Summary'!$K:$K,""),'Pokemon Editor'!$A:$A,'Pokemon Editor'!$F:$F,0)+31+FLOOR(XLOOKUP($Q361,'Threshold Summary'!$Y:$Y,'Threshold Summary'!$P:$P,"")/4))*XLOOKUP($Q361,'Threshold Summary'!$Y:$Y,'Threshold Summary'!$L:$L,""))/100)+5)*XLOOKUP(XLOOKUP($Q361,'Threshold Summary'!$Y:$Y,'Threshold Summary'!$M:$M,""),'Nature Editor'!$A:$A,'Nature Editor'!$B:$B,1)),FLOOR((FLOOR(((2*XLOOKUP(XLOOKUP($Q361,'Threshold Summary'!$Y:$Y,'Threshold Summary'!$K:$K,""),'Pokemon Editor'!$A:$A,'Pokemon Editor'!$H:$H,0)+31+FLOOR(XLOOKUP($Q361,'Threshold Summary'!$Y:$Y,'Threshold Summary'!$R:$R,"")/4))*XLOOKUP($Q361,'Threshold Summary'!$Y:$Y,'Threshold Summary'!$L:$L,""))/100)+5)*XLOOKUP(XLOOKUP($Q361,'Threshold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Editor'!$E:$E,1))),stab,IF(OR(mtype=XLOOKUP(XLOOKUP($Q361,'Threshold Summary'!$Y:$Y,'Threshold Summary'!$K:$K,""),'Pokemon Editor'!$A:$A,'Pokemon Editor'!$C:$C,""),mtype=XLOOKUP(XLOOKUP($Q361,'Threshold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Chart'!$B$1:$S$1,0)))),base,IF(OR(cat="Status",pow=0),0,FLOOR(FLOOR(FLOOR((2*XLOOKUP($Q361,'Threshold Summary'!$Y:$Y,'Threshold Summary'!$L:$L,"")/5+2)*pow*atk/def)/50)+2)),modifier,stab*eff,AVERAGE(ARRAYFORMULA(FLOOR(base*modifier*SEQUENCE(16,1,85,1)/100)))/(FLOOR(((2*XLOOKUP('Boss Editor'!$C$4,'Pokemon Editor'!$A:$A,'Pokemon Editor'!$E:$E,0)+31+FLOOR('Boss Editor'!$G$4/4))*'Boss Editor'!$D$4)/100)+'Boss Editor'!$D$4+10)),0)</f>
        <v/>
      </c>
      <c r="O361" s="3">
        <f>IF(N361&gt;=1,"OHKO",IF(N361&gt;=0.5,"2HKO",IF(N361&gt;=0.333,"3HKO",IF(N361&gt;=0.25,"4HKO","5HKO+"))))</f>
        <v/>
      </c>
      <c r="P361" s="3" t="inlineStr">
        <is>
          <t>Live from editable databases</t>
        </is>
      </c>
      <c r="Q361" s="3" t="inlineStr">
        <is>
          <t>SPECIES_COMBEE</t>
        </is>
      </c>
      <c r="R361" s="3" t="n">
        <v>8</v>
      </c>
    </row>
    <row r="362">
      <c r="A362" s="3">
        <f>XLOOKUP($Q362,'Threshold Summary'!$Y:$Y,'Threshold Summary'!$A:$A,"")</f>
        <v/>
      </c>
      <c r="B362" s="3">
        <f>XLOOKUP($Q362,'Threshold Summary'!$Y:$Y,'Threshold Summary'!$M:$M,"")</f>
        <v/>
      </c>
      <c r="C362" s="3">
        <f>XLOOKUP($Q362,'Threshold Summary'!$Y:$Y,'Threshold Summary'!$N:$N,"")</f>
        <v/>
      </c>
      <c r="D362" s="3">
        <f>IFERROR(INDEX(FILTER('Learnset Editor'!$D$2:$D,'Learnset Editor'!$A$2:$A=XLOOKUP($Q362,'Threshold Summary'!$Y:$Y,'Threshold Summary'!$K:$K,""),'Learnset Editor'!$C$2:$C&lt;=XLOOKUP($Q362,'Threshold Summary'!$Y:$Y,'Threshold Summary'!$L:$L,"")),$R362),"")</f>
        <v/>
      </c>
      <c r="E362" s="3">
        <f>XLOOKUP(D362,'Move Editor'!$B:$B,'Move Editor'!$C:$C,"")</f>
        <v/>
      </c>
      <c r="F362" s="3">
        <f>XLOOKUP(D362,'Move Editor'!$B:$B,'Move Editor'!$D:$D,"")</f>
        <v/>
      </c>
      <c r="G362" s="3">
        <f>XLOOKUP(D362,'Move Editor'!$B:$B,'Move Editor'!$E:$E,0)</f>
        <v/>
      </c>
      <c r="H362" s="3">
        <f>XLOOKUP(D362,'Move Editor'!$B:$B,'Move Editor'!$F:$F,0)</f>
        <v/>
      </c>
      <c r="I362" s="3">
        <f>(INDEX('Type Chart'!$B:$S,MATCH(E362,'Type Chart'!$A:$A,0),MATCH(XLOOKUP('Boss Editor'!$C$4,'Pokemon Editor'!$A:$A,'Pokemon Editor'!$C:$C,""),'Type Chart'!$B$1:$S$1,0))*IF(XLOOKUP('Boss Editor'!$C$4,'Pokemon Editor'!$A:$A,'Pokemon Editor'!$D:$D,"")="",1,INDEX('Type Chart'!$B:$S,MATCH(E362,'Type Chart'!$A:$A,0),MATCH(XLOOKUP('Boss Editor'!$C$4,'Pokemon Editor'!$A:$A,'Pokemon Editor'!$D:$D,""),'Type Chart'!$B$1:$S$1,0))))</f>
        <v/>
      </c>
      <c r="J362" s="3">
        <f>IFERROR(LET(mtype,XLOOKUP($D362,'Move Editor'!$B:$B,'Move Editor'!$C:$C,""),cat,XLOOKUP($D362,'Move Editor'!$B:$B,'Move Editor'!$D:$D,""),pow,XLOOKUP($D362,'Move Editor'!$B:$B,'Move Editor'!$E:$E,0),acc,XLOOKUP($D362,'Move Editor'!$B:$B,'Move Editor'!$F:$F,100),atk,IF(cat="Physical",FLOOR((FLOOR(((2*XLOOKUP(XLOOKUP($Q362,'Threshold Summary'!$Y:$Y,'Threshold Summary'!$K:$K,""),'Pokemon Editor'!$A:$A,'Pokemon Editor'!$F:$F,0)+31+FLOOR(XLOOKUP($Q362,'Threshold Summary'!$Y:$Y,'Threshold Summary'!$P:$P,"")/4))*XLOOKUP($Q362,'Threshold Summary'!$Y:$Y,'Threshold Summary'!$L:$L,""))/100)+5)*XLOOKUP(XLOOKUP($Q362,'Threshold Summary'!$Y:$Y,'Threshold Summary'!$M:$M,""),'Nature Editor'!$A:$A,'Nature Editor'!$B:$B,1)),FLOOR((FLOOR(((2*XLOOKUP(XLOOKUP($Q362,'Threshold Summary'!$Y:$Y,'Threshold Summary'!$K:$K,""),'Pokemon Editor'!$A:$A,'Pokemon Editor'!$H:$H,0)+31+FLOOR(XLOOKUP($Q362,'Threshold Summary'!$Y:$Y,'Threshold Summary'!$R:$R,"")/4))*XLOOKUP($Q362,'Threshold Summary'!$Y:$Y,'Threshold Summary'!$L:$L,""))/100)+5)*XLOOKUP(XLOOKUP($Q362,'Threshold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Editor'!$E:$E,1))),stab,IF(OR(mtype=XLOOKUP(XLOOKUP($Q362,'Threshold Summary'!$Y:$Y,'Threshold Summary'!$K:$K,""),'Pokemon Editor'!$A:$A,'Pokemon Editor'!$C:$C,""),mtype=XLOOKUP(XLOOKUP($Q362,'Threshold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Chart'!$B$1:$S$1,0)))),base,IF(OR(cat="Status",pow=0),0,FLOOR(FLOOR(FLOOR((2*XLOOKUP($Q362,'Threshold Summary'!$Y:$Y,'Threshold Summary'!$L:$L,"")/5+2)*pow*atk/def)/50)+2)),modifier,stab*eff,FLOOR(base*modifier*0.85)),0)</f>
        <v/>
      </c>
      <c r="K362" s="3">
        <f>IFERROR(LET(mtype,XLOOKUP($D362,'Move Editor'!$B:$B,'Move Editor'!$C:$C,""),cat,XLOOKUP($D362,'Move Editor'!$B:$B,'Move Editor'!$D:$D,""),pow,XLOOKUP($D362,'Move Editor'!$B:$B,'Move Editor'!$E:$E,0),acc,XLOOKUP($D362,'Move Editor'!$B:$B,'Move Editor'!$F:$F,100),atk,IF(cat="Physical",FLOOR((FLOOR(((2*XLOOKUP(XLOOKUP($Q362,'Threshold Summary'!$Y:$Y,'Threshold Summary'!$K:$K,""),'Pokemon Editor'!$A:$A,'Pokemon Editor'!$F:$F,0)+31+FLOOR(XLOOKUP($Q362,'Threshold Summary'!$Y:$Y,'Threshold Summary'!$P:$P,"")/4))*XLOOKUP($Q362,'Threshold Summary'!$Y:$Y,'Threshold Summary'!$L:$L,""))/100)+5)*XLOOKUP(XLOOKUP($Q362,'Threshold Summary'!$Y:$Y,'Threshold Summary'!$M:$M,""),'Nature Editor'!$A:$A,'Nature Editor'!$B:$B,1)),FLOOR((FLOOR(((2*XLOOKUP(XLOOKUP($Q362,'Threshold Summary'!$Y:$Y,'Threshold Summary'!$K:$K,""),'Pokemon Editor'!$A:$A,'Pokemon Editor'!$H:$H,0)+31+FLOOR(XLOOKUP($Q362,'Threshold Summary'!$Y:$Y,'Threshold Summary'!$R:$R,"")/4))*XLOOKUP($Q362,'Threshold Summary'!$Y:$Y,'Threshold Summary'!$L:$L,""))/100)+5)*XLOOKUP(XLOOKUP($Q362,'Threshold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Editor'!$E:$E,1))),stab,IF(OR(mtype=XLOOKUP(XLOOKUP($Q362,'Threshold Summary'!$Y:$Y,'Threshold Summary'!$K:$K,""),'Pokemon Editor'!$A:$A,'Pokemon Editor'!$C:$C,""),mtype=XLOOKUP(XLOOKUP($Q362,'Threshold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Chart'!$B$1:$S$1,0)))),base,IF(OR(cat="Status",pow=0),0,FLOOR(FLOOR(FLOOR((2*XLOOKUP($Q362,'Threshold Summary'!$Y:$Y,'Threshold Summary'!$L:$L,"")/5+2)*pow*atk/def)/50)+2)),modifier,stab*eff,FLOOR(base*modifier)),0)</f>
        <v/>
      </c>
      <c r="L362" s="3">
        <f>IFERROR(LET(mtype,XLOOKUP($D362,'Move Editor'!$B:$B,'Move Editor'!$C:$C,""),cat,XLOOKUP($D362,'Move Editor'!$B:$B,'Move Editor'!$D:$D,""),pow,XLOOKUP($D362,'Move Editor'!$B:$B,'Move Editor'!$E:$E,0),acc,XLOOKUP($D362,'Move Editor'!$B:$B,'Move Editor'!$F:$F,100),atk,IF(cat="Physical",FLOOR((FLOOR(((2*XLOOKUP(XLOOKUP($Q362,'Threshold Summary'!$Y:$Y,'Threshold Summary'!$K:$K,""),'Pokemon Editor'!$A:$A,'Pokemon Editor'!$F:$F,0)+31+FLOOR(XLOOKUP($Q362,'Threshold Summary'!$Y:$Y,'Threshold Summary'!$P:$P,"")/4))*XLOOKUP($Q362,'Threshold Summary'!$Y:$Y,'Threshold Summary'!$L:$L,""))/100)+5)*XLOOKUP(XLOOKUP($Q362,'Threshold Summary'!$Y:$Y,'Threshold Summary'!$M:$M,""),'Nature Editor'!$A:$A,'Nature Editor'!$B:$B,1)),FLOOR((FLOOR(((2*XLOOKUP(XLOOKUP($Q362,'Threshold Summary'!$Y:$Y,'Threshold Summary'!$K:$K,""),'Pokemon Editor'!$A:$A,'Pokemon Editor'!$H:$H,0)+31+FLOOR(XLOOKUP($Q362,'Threshold Summary'!$Y:$Y,'Threshold Summary'!$R:$R,"")/4))*XLOOKUP($Q362,'Threshold Summary'!$Y:$Y,'Threshold Summary'!$L:$L,""))/100)+5)*XLOOKUP(XLOOKUP($Q362,'Threshold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Editor'!$E:$E,1))),stab,IF(OR(mtype=XLOOKUP(XLOOKUP($Q362,'Threshold Summary'!$Y:$Y,'Threshold Summary'!$K:$K,""),'Pokemon Editor'!$A:$A,'Pokemon Editor'!$C:$C,""),mtype=XLOOKUP(XLOOKUP($Q362,'Threshold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Chart'!$B$1:$S$1,0)))),base,IF(OR(cat="Status",pow=0),0,FLOOR(FLOOR(FLOOR((2*XLOOKUP($Q362,'Threshold Summary'!$Y:$Y,'Threshold Summary'!$L:$L,"")/5+2)*pow*atk/def)/50)+2)),modifier,stab*eff,AVERAGE(ARRAYFORMULA(FLOOR(base*modifier*SEQUENCE(16,1,85,1)/100)))),0)</f>
        <v/>
      </c>
      <c r="M362" s="3">
        <f>IFERROR(LET(mtype,XLOOKUP($D362,'Move Editor'!$B:$B,'Move Editor'!$C:$C,""),cat,XLOOKUP($D362,'Move Editor'!$B:$B,'Move Editor'!$D:$D,""),pow,XLOOKUP($D362,'Move Editor'!$B:$B,'Move Editor'!$E:$E,0),acc,XLOOKUP($D362,'Move Editor'!$B:$B,'Move Editor'!$F:$F,100),atk,IF(cat="Physical",FLOOR((FLOOR(((2*XLOOKUP(XLOOKUP($Q362,'Threshold Summary'!$Y:$Y,'Threshold Summary'!$K:$K,""),'Pokemon Editor'!$A:$A,'Pokemon Editor'!$F:$F,0)+31+FLOOR(XLOOKUP($Q362,'Threshold Summary'!$Y:$Y,'Threshold Summary'!$P:$P,"")/4))*XLOOKUP($Q362,'Threshold Summary'!$Y:$Y,'Threshold Summary'!$L:$L,""))/100)+5)*XLOOKUP(XLOOKUP($Q362,'Threshold Summary'!$Y:$Y,'Threshold Summary'!$M:$M,""),'Nature Editor'!$A:$A,'Nature Editor'!$B:$B,1)),FLOOR((FLOOR(((2*XLOOKUP(XLOOKUP($Q362,'Threshold Summary'!$Y:$Y,'Threshold Summary'!$K:$K,""),'Pokemon Editor'!$A:$A,'Pokemon Editor'!$H:$H,0)+31+FLOOR(XLOOKUP($Q362,'Threshold Summary'!$Y:$Y,'Threshold Summary'!$R:$R,"")/4))*XLOOKUP($Q362,'Threshold Summary'!$Y:$Y,'Threshold Summary'!$L:$L,""))/100)+5)*XLOOKUP(XLOOKUP($Q362,'Threshold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Editor'!$E:$E,1))),stab,IF(OR(mtype=XLOOKUP(XLOOKUP($Q362,'Threshold Summary'!$Y:$Y,'Threshold Summary'!$K:$K,""),'Pokemon Editor'!$A:$A,'Pokemon Editor'!$C:$C,""),mtype=XLOOKUP(XLOOKUP($Q362,'Threshold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Chart'!$B$1:$S$1,0)))),base,IF(OR(cat="Status",pow=0),0,FLOOR(FLOOR(FLOOR((2*XLOOKUP($Q362,'Threshold Summary'!$Y:$Y,'Threshold Summary'!$L:$L,"")/5+2)*pow*atk/def)/50)+2)),modifier,stab*eff,AVERAGE(ARRAYFORMULA(FLOOR(base*modifier*SEQUENCE(16,1,85,1)/100)))*MIN(1,acc/100)),0)</f>
        <v/>
      </c>
      <c r="N362" s="4">
        <f>IFERROR(LET(mtype,XLOOKUP($D362,'Move Editor'!$B:$B,'Move Editor'!$C:$C,""),cat,XLOOKUP($D362,'Move Editor'!$B:$B,'Move Editor'!$D:$D,""),pow,XLOOKUP($D362,'Move Editor'!$B:$B,'Move Editor'!$E:$E,0),acc,XLOOKUP($D362,'Move Editor'!$B:$B,'Move Editor'!$F:$F,100),atk,IF(cat="Physical",FLOOR((FLOOR(((2*XLOOKUP(XLOOKUP($Q362,'Threshold Summary'!$Y:$Y,'Threshold Summary'!$K:$K,""),'Pokemon Editor'!$A:$A,'Pokemon Editor'!$F:$F,0)+31+FLOOR(XLOOKUP($Q362,'Threshold Summary'!$Y:$Y,'Threshold Summary'!$P:$P,"")/4))*XLOOKUP($Q362,'Threshold Summary'!$Y:$Y,'Threshold Summary'!$L:$L,""))/100)+5)*XLOOKUP(XLOOKUP($Q362,'Threshold Summary'!$Y:$Y,'Threshold Summary'!$M:$M,""),'Nature Editor'!$A:$A,'Nature Editor'!$B:$B,1)),FLOOR((FLOOR(((2*XLOOKUP(XLOOKUP($Q362,'Threshold Summary'!$Y:$Y,'Threshold Summary'!$K:$K,""),'Pokemon Editor'!$A:$A,'Pokemon Editor'!$H:$H,0)+31+FLOOR(XLOOKUP($Q362,'Threshold Summary'!$Y:$Y,'Threshold Summary'!$R:$R,"")/4))*XLOOKUP($Q362,'Threshold Summary'!$Y:$Y,'Threshold Summary'!$L:$L,""))/100)+5)*XLOOKUP(XLOOKUP($Q362,'Threshold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Editor'!$E:$E,1))),stab,IF(OR(mtype=XLOOKUP(XLOOKUP($Q362,'Threshold Summary'!$Y:$Y,'Threshold Summary'!$K:$K,""),'Pokemon Editor'!$A:$A,'Pokemon Editor'!$C:$C,""),mtype=XLOOKUP(XLOOKUP($Q362,'Threshold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Chart'!$B$1:$S$1,0)))),base,IF(OR(cat="Status",pow=0),0,FLOOR(FLOOR(FLOOR((2*XLOOKUP($Q362,'Threshold Summary'!$Y:$Y,'Threshold Summary'!$L:$L,"")/5+2)*pow*atk/def)/50)+2)),modifier,stab*eff,AVERAGE(ARRAYFORMULA(FLOOR(base*modifier*SEQUENCE(16,1,85,1)/100)))/(FLOOR(((2*XLOOKUP('Boss Editor'!$C$4,'Pokemon Editor'!$A:$A,'Pokemon Editor'!$E:$E,0)+31+FLOOR('Boss Editor'!$G$4/4))*'Boss Editor'!$D$4)/100)+'Boss Editor'!$D$4+10)),0)</f>
        <v/>
      </c>
      <c r="O362" s="3">
        <f>IF(N362&gt;=1,"OHKO",IF(N362&gt;=0.5,"2HKO",IF(N362&gt;=0.333,"3HKO",IF(N362&gt;=0.25,"4HKO","5HKO+"))))</f>
        <v/>
      </c>
      <c r="P362" s="3" t="inlineStr">
        <is>
          <t>Live from editable databases</t>
        </is>
      </c>
      <c r="Q362" s="3" t="inlineStr">
        <is>
          <t>SPECIES_COMBEE</t>
        </is>
      </c>
      <c r="R362" s="3" t="n">
        <v>9</v>
      </c>
    </row>
    <row r="363">
      <c r="A363" s="3">
        <f>XLOOKUP($Q363,'Threshold Summary'!$Y:$Y,'Threshold Summary'!$A:$A,"")</f>
        <v/>
      </c>
      <c r="B363" s="3">
        <f>XLOOKUP($Q363,'Threshold Summary'!$Y:$Y,'Threshold Summary'!$M:$M,"")</f>
        <v/>
      </c>
      <c r="C363" s="3">
        <f>XLOOKUP($Q363,'Threshold Summary'!$Y:$Y,'Threshold Summary'!$N:$N,"")</f>
        <v/>
      </c>
      <c r="D363" s="3">
        <f>IFERROR(INDEX(FILTER('Learnset Editor'!$D$2:$D,'Learnset Editor'!$A$2:$A=XLOOKUP($Q363,'Threshold Summary'!$Y:$Y,'Threshold Summary'!$K:$K,""),'Learnset Editor'!$C$2:$C&lt;=XLOOKUP($Q363,'Threshold Summary'!$Y:$Y,'Threshold Summary'!$L:$L,"")),$R363),"")</f>
        <v/>
      </c>
      <c r="E363" s="3">
        <f>XLOOKUP(D363,'Move Editor'!$B:$B,'Move Editor'!$C:$C,"")</f>
        <v/>
      </c>
      <c r="F363" s="3">
        <f>XLOOKUP(D363,'Move Editor'!$B:$B,'Move Editor'!$D:$D,"")</f>
        <v/>
      </c>
      <c r="G363" s="3">
        <f>XLOOKUP(D363,'Move Editor'!$B:$B,'Move Editor'!$E:$E,0)</f>
        <v/>
      </c>
      <c r="H363" s="3">
        <f>XLOOKUP(D363,'Move Editor'!$B:$B,'Move Editor'!$F:$F,0)</f>
        <v/>
      </c>
      <c r="I363" s="3">
        <f>(INDEX('Type Chart'!$B:$S,MATCH(E363,'Type Chart'!$A:$A,0),MATCH(XLOOKUP('Boss Editor'!$C$4,'Pokemon Editor'!$A:$A,'Pokemon Editor'!$C:$C,""),'Type Chart'!$B$1:$S$1,0))*IF(XLOOKUP('Boss Editor'!$C$4,'Pokemon Editor'!$A:$A,'Pokemon Editor'!$D:$D,"")="",1,INDEX('Type Chart'!$B:$S,MATCH(E363,'Type Chart'!$A:$A,0),MATCH(XLOOKUP('Boss Editor'!$C$4,'Pokemon Editor'!$A:$A,'Pokemon Editor'!$D:$D,""),'Type Chart'!$B$1:$S$1,0))))</f>
        <v/>
      </c>
      <c r="J363" s="3">
        <f>IFERROR(LET(mtype,XLOOKUP($D363,'Move Editor'!$B:$B,'Move Editor'!$C:$C,""),cat,XLOOKUP($D363,'Move Editor'!$B:$B,'Move Editor'!$D:$D,""),pow,XLOOKUP($D363,'Move Editor'!$B:$B,'Move Editor'!$E:$E,0),acc,XLOOKUP($D363,'Move Editor'!$B:$B,'Move Editor'!$F:$F,100),atk,IF(cat="Physical",FLOOR((FLOOR(((2*XLOOKUP(XLOOKUP($Q363,'Threshold Summary'!$Y:$Y,'Threshold Summary'!$K:$K,""),'Pokemon Editor'!$A:$A,'Pokemon Editor'!$F:$F,0)+31+FLOOR(XLOOKUP($Q363,'Threshold Summary'!$Y:$Y,'Threshold Summary'!$P:$P,"")/4))*XLOOKUP($Q363,'Threshold Summary'!$Y:$Y,'Threshold Summary'!$L:$L,""))/100)+5)*XLOOKUP(XLOOKUP($Q363,'Threshold Summary'!$Y:$Y,'Threshold Summary'!$M:$M,""),'Nature Editor'!$A:$A,'Nature Editor'!$B:$B,1)),FLOOR((FLOOR(((2*XLOOKUP(XLOOKUP($Q363,'Threshold Summary'!$Y:$Y,'Threshold Summary'!$K:$K,""),'Pokemon Editor'!$A:$A,'Pokemon Editor'!$H:$H,0)+31+FLOOR(XLOOKUP($Q363,'Threshold Summary'!$Y:$Y,'Threshold Summary'!$R:$R,"")/4))*XLOOKUP($Q363,'Threshold Summary'!$Y:$Y,'Threshold Summary'!$L:$L,""))/100)+5)*XLOOKUP(XLOOKUP($Q363,'Threshold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Editor'!$E:$E,1))),stab,IF(OR(mtype=XLOOKUP(XLOOKUP($Q363,'Threshold Summary'!$Y:$Y,'Threshold Summary'!$K:$K,""),'Pokemon Editor'!$A:$A,'Pokemon Editor'!$C:$C,""),mtype=XLOOKUP(XLOOKUP($Q363,'Threshold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Chart'!$B$1:$S$1,0)))),base,IF(OR(cat="Status",pow=0),0,FLOOR(FLOOR(FLOOR((2*XLOOKUP($Q363,'Threshold Summary'!$Y:$Y,'Threshold Summary'!$L:$L,"")/5+2)*pow*atk/def)/50)+2)),modifier,stab*eff,FLOOR(base*modifier*0.85)),0)</f>
        <v/>
      </c>
      <c r="K363" s="3">
        <f>IFERROR(LET(mtype,XLOOKUP($D363,'Move Editor'!$B:$B,'Move Editor'!$C:$C,""),cat,XLOOKUP($D363,'Move Editor'!$B:$B,'Move Editor'!$D:$D,""),pow,XLOOKUP($D363,'Move Editor'!$B:$B,'Move Editor'!$E:$E,0),acc,XLOOKUP($D363,'Move Editor'!$B:$B,'Move Editor'!$F:$F,100),atk,IF(cat="Physical",FLOOR((FLOOR(((2*XLOOKUP(XLOOKUP($Q363,'Threshold Summary'!$Y:$Y,'Threshold Summary'!$K:$K,""),'Pokemon Editor'!$A:$A,'Pokemon Editor'!$F:$F,0)+31+FLOOR(XLOOKUP($Q363,'Threshold Summary'!$Y:$Y,'Threshold Summary'!$P:$P,"")/4))*XLOOKUP($Q363,'Threshold Summary'!$Y:$Y,'Threshold Summary'!$L:$L,""))/100)+5)*XLOOKUP(XLOOKUP($Q363,'Threshold Summary'!$Y:$Y,'Threshold Summary'!$M:$M,""),'Nature Editor'!$A:$A,'Nature Editor'!$B:$B,1)),FLOOR((FLOOR(((2*XLOOKUP(XLOOKUP($Q363,'Threshold Summary'!$Y:$Y,'Threshold Summary'!$K:$K,""),'Pokemon Editor'!$A:$A,'Pokemon Editor'!$H:$H,0)+31+FLOOR(XLOOKUP($Q363,'Threshold Summary'!$Y:$Y,'Threshold Summary'!$R:$R,"")/4))*XLOOKUP($Q363,'Threshold Summary'!$Y:$Y,'Threshold Summary'!$L:$L,""))/100)+5)*XLOOKUP(XLOOKUP($Q363,'Threshold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Editor'!$E:$E,1))),stab,IF(OR(mtype=XLOOKUP(XLOOKUP($Q363,'Threshold Summary'!$Y:$Y,'Threshold Summary'!$K:$K,""),'Pokemon Editor'!$A:$A,'Pokemon Editor'!$C:$C,""),mtype=XLOOKUP(XLOOKUP($Q363,'Threshold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Chart'!$B$1:$S$1,0)))),base,IF(OR(cat="Status",pow=0),0,FLOOR(FLOOR(FLOOR((2*XLOOKUP($Q363,'Threshold Summary'!$Y:$Y,'Threshold Summary'!$L:$L,"")/5+2)*pow*atk/def)/50)+2)),modifier,stab*eff,FLOOR(base*modifier)),0)</f>
        <v/>
      </c>
      <c r="L363" s="3">
        <f>IFERROR(LET(mtype,XLOOKUP($D363,'Move Editor'!$B:$B,'Move Editor'!$C:$C,""),cat,XLOOKUP($D363,'Move Editor'!$B:$B,'Move Editor'!$D:$D,""),pow,XLOOKUP($D363,'Move Editor'!$B:$B,'Move Editor'!$E:$E,0),acc,XLOOKUP($D363,'Move Editor'!$B:$B,'Move Editor'!$F:$F,100),atk,IF(cat="Physical",FLOOR((FLOOR(((2*XLOOKUP(XLOOKUP($Q363,'Threshold Summary'!$Y:$Y,'Threshold Summary'!$K:$K,""),'Pokemon Editor'!$A:$A,'Pokemon Editor'!$F:$F,0)+31+FLOOR(XLOOKUP($Q363,'Threshold Summary'!$Y:$Y,'Threshold Summary'!$P:$P,"")/4))*XLOOKUP($Q363,'Threshold Summary'!$Y:$Y,'Threshold Summary'!$L:$L,""))/100)+5)*XLOOKUP(XLOOKUP($Q363,'Threshold Summary'!$Y:$Y,'Threshold Summary'!$M:$M,""),'Nature Editor'!$A:$A,'Nature Editor'!$B:$B,1)),FLOOR((FLOOR(((2*XLOOKUP(XLOOKUP($Q363,'Threshold Summary'!$Y:$Y,'Threshold Summary'!$K:$K,""),'Pokemon Editor'!$A:$A,'Pokemon Editor'!$H:$H,0)+31+FLOOR(XLOOKUP($Q363,'Threshold Summary'!$Y:$Y,'Threshold Summary'!$R:$R,"")/4))*XLOOKUP($Q363,'Threshold Summary'!$Y:$Y,'Threshold Summary'!$L:$L,""))/100)+5)*XLOOKUP(XLOOKUP($Q363,'Threshold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Editor'!$E:$E,1))),stab,IF(OR(mtype=XLOOKUP(XLOOKUP($Q363,'Threshold Summary'!$Y:$Y,'Threshold Summary'!$K:$K,""),'Pokemon Editor'!$A:$A,'Pokemon Editor'!$C:$C,""),mtype=XLOOKUP(XLOOKUP($Q363,'Threshold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Chart'!$B$1:$S$1,0)))),base,IF(OR(cat="Status",pow=0),0,FLOOR(FLOOR(FLOOR((2*XLOOKUP($Q363,'Threshold Summary'!$Y:$Y,'Threshold Summary'!$L:$L,"")/5+2)*pow*atk/def)/50)+2)),modifier,stab*eff,AVERAGE(ARRAYFORMULA(FLOOR(base*modifier*SEQUENCE(16,1,85,1)/100)))),0)</f>
        <v/>
      </c>
      <c r="M363" s="3">
        <f>IFERROR(LET(mtype,XLOOKUP($D363,'Move Editor'!$B:$B,'Move Editor'!$C:$C,""),cat,XLOOKUP($D363,'Move Editor'!$B:$B,'Move Editor'!$D:$D,""),pow,XLOOKUP($D363,'Move Editor'!$B:$B,'Move Editor'!$E:$E,0),acc,XLOOKUP($D363,'Move Editor'!$B:$B,'Move Editor'!$F:$F,100),atk,IF(cat="Physical",FLOOR((FLOOR(((2*XLOOKUP(XLOOKUP($Q363,'Threshold Summary'!$Y:$Y,'Threshold Summary'!$K:$K,""),'Pokemon Editor'!$A:$A,'Pokemon Editor'!$F:$F,0)+31+FLOOR(XLOOKUP($Q363,'Threshold Summary'!$Y:$Y,'Threshold Summary'!$P:$P,"")/4))*XLOOKUP($Q363,'Threshold Summary'!$Y:$Y,'Threshold Summary'!$L:$L,""))/100)+5)*XLOOKUP(XLOOKUP($Q363,'Threshold Summary'!$Y:$Y,'Threshold Summary'!$M:$M,""),'Nature Editor'!$A:$A,'Nature Editor'!$B:$B,1)),FLOOR((FLOOR(((2*XLOOKUP(XLOOKUP($Q363,'Threshold Summary'!$Y:$Y,'Threshold Summary'!$K:$K,""),'Pokemon Editor'!$A:$A,'Pokemon Editor'!$H:$H,0)+31+FLOOR(XLOOKUP($Q363,'Threshold Summary'!$Y:$Y,'Threshold Summary'!$R:$R,"")/4))*XLOOKUP($Q363,'Threshold Summary'!$Y:$Y,'Threshold Summary'!$L:$L,""))/100)+5)*XLOOKUP(XLOOKUP($Q363,'Threshold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Editor'!$E:$E,1))),stab,IF(OR(mtype=XLOOKUP(XLOOKUP($Q363,'Threshold Summary'!$Y:$Y,'Threshold Summary'!$K:$K,""),'Pokemon Editor'!$A:$A,'Pokemon Editor'!$C:$C,""),mtype=XLOOKUP(XLOOKUP($Q363,'Threshold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Chart'!$B$1:$S$1,0)))),base,IF(OR(cat="Status",pow=0),0,FLOOR(FLOOR(FLOOR((2*XLOOKUP($Q363,'Threshold Summary'!$Y:$Y,'Threshold Summary'!$L:$L,"")/5+2)*pow*atk/def)/50)+2)),modifier,stab*eff,AVERAGE(ARRAYFORMULA(FLOOR(base*modifier*SEQUENCE(16,1,85,1)/100)))*MIN(1,acc/100)),0)</f>
        <v/>
      </c>
      <c r="N363" s="4">
        <f>IFERROR(LET(mtype,XLOOKUP($D363,'Move Editor'!$B:$B,'Move Editor'!$C:$C,""),cat,XLOOKUP($D363,'Move Editor'!$B:$B,'Move Editor'!$D:$D,""),pow,XLOOKUP($D363,'Move Editor'!$B:$B,'Move Editor'!$E:$E,0),acc,XLOOKUP($D363,'Move Editor'!$B:$B,'Move Editor'!$F:$F,100),atk,IF(cat="Physical",FLOOR((FLOOR(((2*XLOOKUP(XLOOKUP($Q363,'Threshold Summary'!$Y:$Y,'Threshold Summary'!$K:$K,""),'Pokemon Editor'!$A:$A,'Pokemon Editor'!$F:$F,0)+31+FLOOR(XLOOKUP($Q363,'Threshold Summary'!$Y:$Y,'Threshold Summary'!$P:$P,"")/4))*XLOOKUP($Q363,'Threshold Summary'!$Y:$Y,'Threshold Summary'!$L:$L,""))/100)+5)*XLOOKUP(XLOOKUP($Q363,'Threshold Summary'!$Y:$Y,'Threshold Summary'!$M:$M,""),'Nature Editor'!$A:$A,'Nature Editor'!$B:$B,1)),FLOOR((FLOOR(((2*XLOOKUP(XLOOKUP($Q363,'Threshold Summary'!$Y:$Y,'Threshold Summary'!$K:$K,""),'Pokemon Editor'!$A:$A,'Pokemon Editor'!$H:$H,0)+31+FLOOR(XLOOKUP($Q363,'Threshold Summary'!$Y:$Y,'Threshold Summary'!$R:$R,"")/4))*XLOOKUP($Q363,'Threshold Summary'!$Y:$Y,'Threshold Summary'!$L:$L,""))/100)+5)*XLOOKUP(XLOOKUP($Q363,'Threshold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Editor'!$E:$E,1))),stab,IF(OR(mtype=XLOOKUP(XLOOKUP($Q363,'Threshold Summary'!$Y:$Y,'Threshold Summary'!$K:$K,""),'Pokemon Editor'!$A:$A,'Pokemon Editor'!$C:$C,""),mtype=XLOOKUP(XLOOKUP($Q363,'Threshold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Chart'!$B$1:$S$1,0)))),base,IF(OR(cat="Status",pow=0),0,FLOOR(FLOOR(FLOOR((2*XLOOKUP($Q363,'Threshold Summary'!$Y:$Y,'Threshold Summary'!$L:$L,"")/5+2)*pow*atk/def)/50)+2)),modifier,stab*eff,AVERAGE(ARRAYFORMULA(FLOOR(base*modifier*SEQUENCE(16,1,85,1)/100)))/(FLOOR(((2*XLOOKUP('Boss Editor'!$C$4,'Pokemon Editor'!$A:$A,'Pokemon Editor'!$E:$E,0)+31+FLOOR('Boss Editor'!$G$4/4))*'Boss Editor'!$D$4)/100)+'Boss Editor'!$D$4+10)),0)</f>
        <v/>
      </c>
      <c r="O363" s="3">
        <f>IF(N363&gt;=1,"OHKO",IF(N363&gt;=0.5,"2HKO",IF(N363&gt;=0.333,"3HKO",IF(N363&gt;=0.25,"4HKO","5HKO+"))))</f>
        <v/>
      </c>
      <c r="P363" s="3" t="inlineStr">
        <is>
          <t>Live from editable databases</t>
        </is>
      </c>
      <c r="Q363" s="3" t="inlineStr">
        <is>
          <t>SPECIES_COMBEE</t>
        </is>
      </c>
      <c r="R363" s="3" t="n">
        <v>10</v>
      </c>
    </row>
    <row r="364">
      <c r="A364" s="3">
        <f>XLOOKUP($Q364,'Threshold Summary'!$Y:$Y,'Threshold Summary'!$A:$A,"")</f>
        <v/>
      </c>
      <c r="B364" s="3">
        <f>XLOOKUP($Q364,'Threshold Summary'!$Y:$Y,'Threshold Summary'!$M:$M,"")</f>
        <v/>
      </c>
      <c r="C364" s="3">
        <f>XLOOKUP($Q364,'Threshold Summary'!$Y:$Y,'Threshold Summary'!$N:$N,"")</f>
        <v/>
      </c>
      <c r="D364" s="3">
        <f>IFERROR(INDEX(FILTER('Learnset Editor'!$D$2:$D,'Learnset Editor'!$A$2:$A=XLOOKUP($Q364,'Threshold Summary'!$Y:$Y,'Threshold Summary'!$K:$K,""),'Learnset Editor'!$C$2:$C&lt;=XLOOKUP($Q364,'Threshold Summary'!$Y:$Y,'Threshold Summary'!$L:$L,"")),$R364),"")</f>
        <v/>
      </c>
      <c r="E364" s="3">
        <f>XLOOKUP(D364,'Move Editor'!$B:$B,'Move Editor'!$C:$C,"")</f>
        <v/>
      </c>
      <c r="F364" s="3">
        <f>XLOOKUP(D364,'Move Editor'!$B:$B,'Move Editor'!$D:$D,"")</f>
        <v/>
      </c>
      <c r="G364" s="3">
        <f>XLOOKUP(D364,'Move Editor'!$B:$B,'Move Editor'!$E:$E,0)</f>
        <v/>
      </c>
      <c r="H364" s="3">
        <f>XLOOKUP(D364,'Move Editor'!$B:$B,'Move Editor'!$F:$F,0)</f>
        <v/>
      </c>
      <c r="I364" s="3">
        <f>(INDEX('Type Chart'!$B:$S,MATCH(E364,'Type Chart'!$A:$A,0),MATCH(XLOOKUP('Boss Editor'!$C$4,'Pokemon Editor'!$A:$A,'Pokemon Editor'!$C:$C,""),'Type Chart'!$B$1:$S$1,0))*IF(XLOOKUP('Boss Editor'!$C$4,'Pokemon Editor'!$A:$A,'Pokemon Editor'!$D:$D,"")="",1,INDEX('Type Chart'!$B:$S,MATCH(E364,'Type Chart'!$A:$A,0),MATCH(XLOOKUP('Boss Editor'!$C$4,'Pokemon Editor'!$A:$A,'Pokemon Editor'!$D:$D,""),'Type Chart'!$B$1:$S$1,0))))</f>
        <v/>
      </c>
      <c r="J364" s="3">
        <f>IFERROR(LET(mtype,XLOOKUP($D364,'Move Editor'!$B:$B,'Move Editor'!$C:$C,""),cat,XLOOKUP($D364,'Move Editor'!$B:$B,'Move Editor'!$D:$D,""),pow,XLOOKUP($D364,'Move Editor'!$B:$B,'Move Editor'!$E:$E,0),acc,XLOOKUP($D364,'Move Editor'!$B:$B,'Move Editor'!$F:$F,100),atk,IF(cat="Physical",FLOOR((FLOOR(((2*XLOOKUP(XLOOKUP($Q364,'Threshold Summary'!$Y:$Y,'Threshold Summary'!$K:$K,""),'Pokemon Editor'!$A:$A,'Pokemon Editor'!$F:$F,0)+31+FLOOR(XLOOKUP($Q364,'Threshold Summary'!$Y:$Y,'Threshold Summary'!$P:$P,"")/4))*XLOOKUP($Q364,'Threshold Summary'!$Y:$Y,'Threshold Summary'!$L:$L,""))/100)+5)*XLOOKUP(XLOOKUP($Q364,'Threshold Summary'!$Y:$Y,'Threshold Summary'!$M:$M,""),'Nature Editor'!$A:$A,'Nature Editor'!$B:$B,1)),FLOOR((FLOOR(((2*XLOOKUP(XLOOKUP($Q364,'Threshold Summary'!$Y:$Y,'Threshold Summary'!$K:$K,""),'Pokemon Editor'!$A:$A,'Pokemon Editor'!$H:$H,0)+31+FLOOR(XLOOKUP($Q364,'Threshold Summary'!$Y:$Y,'Threshold Summary'!$R:$R,"")/4))*XLOOKUP($Q364,'Threshold Summary'!$Y:$Y,'Threshold Summary'!$L:$L,""))/100)+5)*XLOOKUP(XLOOKUP($Q364,'Threshold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Editor'!$E:$E,1))),stab,IF(OR(mtype=XLOOKUP(XLOOKUP($Q364,'Threshold Summary'!$Y:$Y,'Threshold Summary'!$K:$K,""),'Pokemon Editor'!$A:$A,'Pokemon Editor'!$C:$C,""),mtype=XLOOKUP(XLOOKUP($Q364,'Threshold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Chart'!$B$1:$S$1,0)))),base,IF(OR(cat="Status",pow=0),0,FLOOR(FLOOR(FLOOR((2*XLOOKUP($Q364,'Threshold Summary'!$Y:$Y,'Threshold Summary'!$L:$L,"")/5+2)*pow*atk/def)/50)+2)),modifier,stab*eff,FLOOR(base*modifier*0.85)),0)</f>
        <v/>
      </c>
      <c r="K364" s="3">
        <f>IFERROR(LET(mtype,XLOOKUP($D364,'Move Editor'!$B:$B,'Move Editor'!$C:$C,""),cat,XLOOKUP($D364,'Move Editor'!$B:$B,'Move Editor'!$D:$D,""),pow,XLOOKUP($D364,'Move Editor'!$B:$B,'Move Editor'!$E:$E,0),acc,XLOOKUP($D364,'Move Editor'!$B:$B,'Move Editor'!$F:$F,100),atk,IF(cat="Physical",FLOOR((FLOOR(((2*XLOOKUP(XLOOKUP($Q364,'Threshold Summary'!$Y:$Y,'Threshold Summary'!$K:$K,""),'Pokemon Editor'!$A:$A,'Pokemon Editor'!$F:$F,0)+31+FLOOR(XLOOKUP($Q364,'Threshold Summary'!$Y:$Y,'Threshold Summary'!$P:$P,"")/4))*XLOOKUP($Q364,'Threshold Summary'!$Y:$Y,'Threshold Summary'!$L:$L,""))/100)+5)*XLOOKUP(XLOOKUP($Q364,'Threshold Summary'!$Y:$Y,'Threshold Summary'!$M:$M,""),'Nature Editor'!$A:$A,'Nature Editor'!$B:$B,1)),FLOOR((FLOOR(((2*XLOOKUP(XLOOKUP($Q364,'Threshold Summary'!$Y:$Y,'Threshold Summary'!$K:$K,""),'Pokemon Editor'!$A:$A,'Pokemon Editor'!$H:$H,0)+31+FLOOR(XLOOKUP($Q364,'Threshold Summary'!$Y:$Y,'Threshold Summary'!$R:$R,"")/4))*XLOOKUP($Q364,'Threshold Summary'!$Y:$Y,'Threshold Summary'!$L:$L,""))/100)+5)*XLOOKUP(XLOOKUP($Q364,'Threshold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Editor'!$E:$E,1))),stab,IF(OR(mtype=XLOOKUP(XLOOKUP($Q364,'Threshold Summary'!$Y:$Y,'Threshold Summary'!$K:$K,""),'Pokemon Editor'!$A:$A,'Pokemon Editor'!$C:$C,""),mtype=XLOOKUP(XLOOKUP($Q364,'Threshold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Chart'!$B$1:$S$1,0)))),base,IF(OR(cat="Status",pow=0),0,FLOOR(FLOOR(FLOOR((2*XLOOKUP($Q364,'Threshold Summary'!$Y:$Y,'Threshold Summary'!$L:$L,"")/5+2)*pow*atk/def)/50)+2)),modifier,stab*eff,FLOOR(base*modifier)),0)</f>
        <v/>
      </c>
      <c r="L364" s="3">
        <f>IFERROR(LET(mtype,XLOOKUP($D364,'Move Editor'!$B:$B,'Move Editor'!$C:$C,""),cat,XLOOKUP($D364,'Move Editor'!$B:$B,'Move Editor'!$D:$D,""),pow,XLOOKUP($D364,'Move Editor'!$B:$B,'Move Editor'!$E:$E,0),acc,XLOOKUP($D364,'Move Editor'!$B:$B,'Move Editor'!$F:$F,100),atk,IF(cat="Physical",FLOOR((FLOOR(((2*XLOOKUP(XLOOKUP($Q364,'Threshold Summary'!$Y:$Y,'Threshold Summary'!$K:$K,""),'Pokemon Editor'!$A:$A,'Pokemon Editor'!$F:$F,0)+31+FLOOR(XLOOKUP($Q364,'Threshold Summary'!$Y:$Y,'Threshold Summary'!$P:$P,"")/4))*XLOOKUP($Q364,'Threshold Summary'!$Y:$Y,'Threshold Summary'!$L:$L,""))/100)+5)*XLOOKUP(XLOOKUP($Q364,'Threshold Summary'!$Y:$Y,'Threshold Summary'!$M:$M,""),'Nature Editor'!$A:$A,'Nature Editor'!$B:$B,1)),FLOOR((FLOOR(((2*XLOOKUP(XLOOKUP($Q364,'Threshold Summary'!$Y:$Y,'Threshold Summary'!$K:$K,""),'Pokemon Editor'!$A:$A,'Pokemon Editor'!$H:$H,0)+31+FLOOR(XLOOKUP($Q364,'Threshold Summary'!$Y:$Y,'Threshold Summary'!$R:$R,"")/4))*XLOOKUP($Q364,'Threshold Summary'!$Y:$Y,'Threshold Summary'!$L:$L,""))/100)+5)*XLOOKUP(XLOOKUP($Q364,'Threshold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Editor'!$E:$E,1))),stab,IF(OR(mtype=XLOOKUP(XLOOKUP($Q364,'Threshold Summary'!$Y:$Y,'Threshold Summary'!$K:$K,""),'Pokemon Editor'!$A:$A,'Pokemon Editor'!$C:$C,""),mtype=XLOOKUP(XLOOKUP($Q364,'Threshold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Chart'!$B$1:$S$1,0)))),base,IF(OR(cat="Status",pow=0),0,FLOOR(FLOOR(FLOOR((2*XLOOKUP($Q364,'Threshold Summary'!$Y:$Y,'Threshold Summary'!$L:$L,"")/5+2)*pow*atk/def)/50)+2)),modifier,stab*eff,AVERAGE(ARRAYFORMULA(FLOOR(base*modifier*SEQUENCE(16,1,85,1)/100)))),0)</f>
        <v/>
      </c>
      <c r="M364" s="3">
        <f>IFERROR(LET(mtype,XLOOKUP($D364,'Move Editor'!$B:$B,'Move Editor'!$C:$C,""),cat,XLOOKUP($D364,'Move Editor'!$B:$B,'Move Editor'!$D:$D,""),pow,XLOOKUP($D364,'Move Editor'!$B:$B,'Move Editor'!$E:$E,0),acc,XLOOKUP($D364,'Move Editor'!$B:$B,'Move Editor'!$F:$F,100),atk,IF(cat="Physical",FLOOR((FLOOR(((2*XLOOKUP(XLOOKUP($Q364,'Threshold Summary'!$Y:$Y,'Threshold Summary'!$K:$K,""),'Pokemon Editor'!$A:$A,'Pokemon Editor'!$F:$F,0)+31+FLOOR(XLOOKUP($Q364,'Threshold Summary'!$Y:$Y,'Threshold Summary'!$P:$P,"")/4))*XLOOKUP($Q364,'Threshold Summary'!$Y:$Y,'Threshold Summary'!$L:$L,""))/100)+5)*XLOOKUP(XLOOKUP($Q364,'Threshold Summary'!$Y:$Y,'Threshold Summary'!$M:$M,""),'Nature Editor'!$A:$A,'Nature Editor'!$B:$B,1)),FLOOR((FLOOR(((2*XLOOKUP(XLOOKUP($Q364,'Threshold Summary'!$Y:$Y,'Threshold Summary'!$K:$K,""),'Pokemon Editor'!$A:$A,'Pokemon Editor'!$H:$H,0)+31+FLOOR(XLOOKUP($Q364,'Threshold Summary'!$Y:$Y,'Threshold Summary'!$R:$R,"")/4))*XLOOKUP($Q364,'Threshold Summary'!$Y:$Y,'Threshold Summary'!$L:$L,""))/100)+5)*XLOOKUP(XLOOKUP($Q364,'Threshold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Editor'!$E:$E,1))),stab,IF(OR(mtype=XLOOKUP(XLOOKUP($Q364,'Threshold Summary'!$Y:$Y,'Threshold Summary'!$K:$K,""),'Pokemon Editor'!$A:$A,'Pokemon Editor'!$C:$C,""),mtype=XLOOKUP(XLOOKUP($Q364,'Threshold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Chart'!$B$1:$S$1,0)))),base,IF(OR(cat="Status",pow=0),0,FLOOR(FLOOR(FLOOR((2*XLOOKUP($Q364,'Threshold Summary'!$Y:$Y,'Threshold Summary'!$L:$L,"")/5+2)*pow*atk/def)/50)+2)),modifier,stab*eff,AVERAGE(ARRAYFORMULA(FLOOR(base*modifier*SEQUENCE(16,1,85,1)/100)))*MIN(1,acc/100)),0)</f>
        <v/>
      </c>
      <c r="N364" s="4">
        <f>IFERROR(LET(mtype,XLOOKUP($D364,'Move Editor'!$B:$B,'Move Editor'!$C:$C,""),cat,XLOOKUP($D364,'Move Editor'!$B:$B,'Move Editor'!$D:$D,""),pow,XLOOKUP($D364,'Move Editor'!$B:$B,'Move Editor'!$E:$E,0),acc,XLOOKUP($D364,'Move Editor'!$B:$B,'Move Editor'!$F:$F,100),atk,IF(cat="Physical",FLOOR((FLOOR(((2*XLOOKUP(XLOOKUP($Q364,'Threshold Summary'!$Y:$Y,'Threshold Summary'!$K:$K,""),'Pokemon Editor'!$A:$A,'Pokemon Editor'!$F:$F,0)+31+FLOOR(XLOOKUP($Q364,'Threshold Summary'!$Y:$Y,'Threshold Summary'!$P:$P,"")/4))*XLOOKUP($Q364,'Threshold Summary'!$Y:$Y,'Threshold Summary'!$L:$L,""))/100)+5)*XLOOKUP(XLOOKUP($Q364,'Threshold Summary'!$Y:$Y,'Threshold Summary'!$M:$M,""),'Nature Editor'!$A:$A,'Nature Editor'!$B:$B,1)),FLOOR((FLOOR(((2*XLOOKUP(XLOOKUP($Q364,'Threshold Summary'!$Y:$Y,'Threshold Summary'!$K:$K,""),'Pokemon Editor'!$A:$A,'Pokemon Editor'!$H:$H,0)+31+FLOOR(XLOOKUP($Q364,'Threshold Summary'!$Y:$Y,'Threshold Summary'!$R:$R,"")/4))*XLOOKUP($Q364,'Threshold Summary'!$Y:$Y,'Threshold Summary'!$L:$L,""))/100)+5)*XLOOKUP(XLOOKUP($Q364,'Threshold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Editor'!$E:$E,1))),stab,IF(OR(mtype=XLOOKUP(XLOOKUP($Q364,'Threshold Summary'!$Y:$Y,'Threshold Summary'!$K:$K,""),'Pokemon Editor'!$A:$A,'Pokemon Editor'!$C:$C,""),mtype=XLOOKUP(XLOOKUP($Q364,'Threshold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Chart'!$B$1:$S$1,0)))),base,IF(OR(cat="Status",pow=0),0,FLOOR(FLOOR(FLOOR((2*XLOOKUP($Q364,'Threshold Summary'!$Y:$Y,'Threshold Summary'!$L:$L,"")/5+2)*pow*atk/def)/50)+2)),modifier,stab*eff,AVERAGE(ARRAYFORMULA(FLOOR(base*modifier*SEQUENCE(16,1,85,1)/100)))/(FLOOR(((2*XLOOKUP('Boss Editor'!$C$4,'Pokemon Editor'!$A:$A,'Pokemon Editor'!$E:$E,0)+31+FLOOR('Boss Editor'!$G$4/4))*'Boss Editor'!$D$4)/100)+'Boss Editor'!$D$4+10)),0)</f>
        <v/>
      </c>
      <c r="O364" s="3">
        <f>IF(N364&gt;=1,"OHKO",IF(N364&gt;=0.5,"2HKO",IF(N364&gt;=0.333,"3HKO",IF(N364&gt;=0.25,"4HKO","5HKO+"))))</f>
        <v/>
      </c>
      <c r="P364" s="3" t="inlineStr">
        <is>
          <t>Live from editable databases</t>
        </is>
      </c>
      <c r="Q364" s="3" t="inlineStr">
        <is>
          <t>SPECIES_COMBEE</t>
        </is>
      </c>
      <c r="R364" s="3" t="n">
        <v>11</v>
      </c>
    </row>
    <row r="365">
      <c r="A365" s="3">
        <f>XLOOKUP($Q365,'Threshold Summary'!$Y:$Y,'Threshold Summary'!$A:$A,"")</f>
        <v/>
      </c>
      <c r="B365" s="3">
        <f>XLOOKUP($Q365,'Threshold Summary'!$Y:$Y,'Threshold Summary'!$M:$M,"")</f>
        <v/>
      </c>
      <c r="C365" s="3">
        <f>XLOOKUP($Q365,'Threshold Summary'!$Y:$Y,'Threshold Summary'!$N:$N,"")</f>
        <v/>
      </c>
      <c r="D365" s="3">
        <f>IFERROR(INDEX(FILTER('Learnset Editor'!$D$2:$D,'Learnset Editor'!$A$2:$A=XLOOKUP($Q365,'Threshold Summary'!$Y:$Y,'Threshold Summary'!$K:$K,""),'Learnset Editor'!$C$2:$C&lt;=XLOOKUP($Q365,'Threshold Summary'!$Y:$Y,'Threshold Summary'!$L:$L,"")),$R365),"")</f>
        <v/>
      </c>
      <c r="E365" s="3">
        <f>XLOOKUP(D365,'Move Editor'!$B:$B,'Move Editor'!$C:$C,"")</f>
        <v/>
      </c>
      <c r="F365" s="3">
        <f>XLOOKUP(D365,'Move Editor'!$B:$B,'Move Editor'!$D:$D,"")</f>
        <v/>
      </c>
      <c r="G365" s="3">
        <f>XLOOKUP(D365,'Move Editor'!$B:$B,'Move Editor'!$E:$E,0)</f>
        <v/>
      </c>
      <c r="H365" s="3">
        <f>XLOOKUP(D365,'Move Editor'!$B:$B,'Move Editor'!$F:$F,0)</f>
        <v/>
      </c>
      <c r="I365" s="3">
        <f>(INDEX('Type Chart'!$B:$S,MATCH(E365,'Type Chart'!$A:$A,0),MATCH(XLOOKUP('Boss Editor'!$C$4,'Pokemon Editor'!$A:$A,'Pokemon Editor'!$C:$C,""),'Type Chart'!$B$1:$S$1,0))*IF(XLOOKUP('Boss Editor'!$C$4,'Pokemon Editor'!$A:$A,'Pokemon Editor'!$D:$D,"")="",1,INDEX('Type Chart'!$B:$S,MATCH(E365,'Type Chart'!$A:$A,0),MATCH(XLOOKUP('Boss Editor'!$C$4,'Pokemon Editor'!$A:$A,'Pokemon Editor'!$D:$D,""),'Type Chart'!$B$1:$S$1,0))))</f>
        <v/>
      </c>
      <c r="J365" s="3">
        <f>IFERROR(LET(mtype,XLOOKUP($D365,'Move Editor'!$B:$B,'Move Editor'!$C:$C,""),cat,XLOOKUP($D365,'Move Editor'!$B:$B,'Move Editor'!$D:$D,""),pow,XLOOKUP($D365,'Move Editor'!$B:$B,'Move Editor'!$E:$E,0),acc,XLOOKUP($D365,'Move Editor'!$B:$B,'Move Editor'!$F:$F,100),atk,IF(cat="Physical",FLOOR((FLOOR(((2*XLOOKUP(XLOOKUP($Q365,'Threshold Summary'!$Y:$Y,'Threshold Summary'!$K:$K,""),'Pokemon Editor'!$A:$A,'Pokemon Editor'!$F:$F,0)+31+FLOOR(XLOOKUP($Q365,'Threshold Summary'!$Y:$Y,'Threshold Summary'!$P:$P,"")/4))*XLOOKUP($Q365,'Threshold Summary'!$Y:$Y,'Threshold Summary'!$L:$L,""))/100)+5)*XLOOKUP(XLOOKUP($Q365,'Threshold Summary'!$Y:$Y,'Threshold Summary'!$M:$M,""),'Nature Editor'!$A:$A,'Nature Editor'!$B:$B,1)),FLOOR((FLOOR(((2*XLOOKUP(XLOOKUP($Q365,'Threshold Summary'!$Y:$Y,'Threshold Summary'!$K:$K,""),'Pokemon Editor'!$A:$A,'Pokemon Editor'!$H:$H,0)+31+FLOOR(XLOOKUP($Q365,'Threshold Summary'!$Y:$Y,'Threshold Summary'!$R:$R,"")/4))*XLOOKUP($Q365,'Threshold Summary'!$Y:$Y,'Threshold Summary'!$L:$L,""))/100)+5)*XLOOKUP(XLOOKUP($Q365,'Threshold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Editor'!$E:$E,1))),stab,IF(OR(mtype=XLOOKUP(XLOOKUP($Q365,'Threshold Summary'!$Y:$Y,'Threshold Summary'!$K:$K,""),'Pokemon Editor'!$A:$A,'Pokemon Editor'!$C:$C,""),mtype=XLOOKUP(XLOOKUP($Q365,'Threshold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Chart'!$B$1:$S$1,0)))),base,IF(OR(cat="Status",pow=0),0,FLOOR(FLOOR(FLOOR((2*XLOOKUP($Q365,'Threshold Summary'!$Y:$Y,'Threshold Summary'!$L:$L,"")/5+2)*pow*atk/def)/50)+2)),modifier,stab*eff,FLOOR(base*modifier*0.85)),0)</f>
        <v/>
      </c>
      <c r="K365" s="3">
        <f>IFERROR(LET(mtype,XLOOKUP($D365,'Move Editor'!$B:$B,'Move Editor'!$C:$C,""),cat,XLOOKUP($D365,'Move Editor'!$B:$B,'Move Editor'!$D:$D,""),pow,XLOOKUP($D365,'Move Editor'!$B:$B,'Move Editor'!$E:$E,0),acc,XLOOKUP($D365,'Move Editor'!$B:$B,'Move Editor'!$F:$F,100),atk,IF(cat="Physical",FLOOR((FLOOR(((2*XLOOKUP(XLOOKUP($Q365,'Threshold Summary'!$Y:$Y,'Threshold Summary'!$K:$K,""),'Pokemon Editor'!$A:$A,'Pokemon Editor'!$F:$F,0)+31+FLOOR(XLOOKUP($Q365,'Threshold Summary'!$Y:$Y,'Threshold Summary'!$P:$P,"")/4))*XLOOKUP($Q365,'Threshold Summary'!$Y:$Y,'Threshold Summary'!$L:$L,""))/100)+5)*XLOOKUP(XLOOKUP($Q365,'Threshold Summary'!$Y:$Y,'Threshold Summary'!$M:$M,""),'Nature Editor'!$A:$A,'Nature Editor'!$B:$B,1)),FLOOR((FLOOR(((2*XLOOKUP(XLOOKUP($Q365,'Threshold Summary'!$Y:$Y,'Threshold Summary'!$K:$K,""),'Pokemon Editor'!$A:$A,'Pokemon Editor'!$H:$H,0)+31+FLOOR(XLOOKUP($Q365,'Threshold Summary'!$Y:$Y,'Threshold Summary'!$R:$R,"")/4))*XLOOKUP($Q365,'Threshold Summary'!$Y:$Y,'Threshold Summary'!$L:$L,""))/100)+5)*XLOOKUP(XLOOKUP($Q365,'Threshold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Editor'!$E:$E,1))),stab,IF(OR(mtype=XLOOKUP(XLOOKUP($Q365,'Threshold Summary'!$Y:$Y,'Threshold Summary'!$K:$K,""),'Pokemon Editor'!$A:$A,'Pokemon Editor'!$C:$C,""),mtype=XLOOKUP(XLOOKUP($Q365,'Threshold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Chart'!$B$1:$S$1,0)))),base,IF(OR(cat="Status",pow=0),0,FLOOR(FLOOR(FLOOR((2*XLOOKUP($Q365,'Threshold Summary'!$Y:$Y,'Threshold Summary'!$L:$L,"")/5+2)*pow*atk/def)/50)+2)),modifier,stab*eff,FLOOR(base*modifier)),0)</f>
        <v/>
      </c>
      <c r="L365" s="3">
        <f>IFERROR(LET(mtype,XLOOKUP($D365,'Move Editor'!$B:$B,'Move Editor'!$C:$C,""),cat,XLOOKUP($D365,'Move Editor'!$B:$B,'Move Editor'!$D:$D,""),pow,XLOOKUP($D365,'Move Editor'!$B:$B,'Move Editor'!$E:$E,0),acc,XLOOKUP($D365,'Move Editor'!$B:$B,'Move Editor'!$F:$F,100),atk,IF(cat="Physical",FLOOR((FLOOR(((2*XLOOKUP(XLOOKUP($Q365,'Threshold Summary'!$Y:$Y,'Threshold Summary'!$K:$K,""),'Pokemon Editor'!$A:$A,'Pokemon Editor'!$F:$F,0)+31+FLOOR(XLOOKUP($Q365,'Threshold Summary'!$Y:$Y,'Threshold Summary'!$P:$P,"")/4))*XLOOKUP($Q365,'Threshold Summary'!$Y:$Y,'Threshold Summary'!$L:$L,""))/100)+5)*XLOOKUP(XLOOKUP($Q365,'Threshold Summary'!$Y:$Y,'Threshold Summary'!$M:$M,""),'Nature Editor'!$A:$A,'Nature Editor'!$B:$B,1)),FLOOR((FLOOR(((2*XLOOKUP(XLOOKUP($Q365,'Threshold Summary'!$Y:$Y,'Threshold Summary'!$K:$K,""),'Pokemon Editor'!$A:$A,'Pokemon Editor'!$H:$H,0)+31+FLOOR(XLOOKUP($Q365,'Threshold Summary'!$Y:$Y,'Threshold Summary'!$R:$R,"")/4))*XLOOKUP($Q365,'Threshold Summary'!$Y:$Y,'Threshold Summary'!$L:$L,""))/100)+5)*XLOOKUP(XLOOKUP($Q365,'Threshold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Editor'!$E:$E,1))),stab,IF(OR(mtype=XLOOKUP(XLOOKUP($Q365,'Threshold Summary'!$Y:$Y,'Threshold Summary'!$K:$K,""),'Pokemon Editor'!$A:$A,'Pokemon Editor'!$C:$C,""),mtype=XLOOKUP(XLOOKUP($Q365,'Threshold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Chart'!$B$1:$S$1,0)))),base,IF(OR(cat="Status",pow=0),0,FLOOR(FLOOR(FLOOR((2*XLOOKUP($Q365,'Threshold Summary'!$Y:$Y,'Threshold Summary'!$L:$L,"")/5+2)*pow*atk/def)/50)+2)),modifier,stab*eff,AVERAGE(ARRAYFORMULA(FLOOR(base*modifier*SEQUENCE(16,1,85,1)/100)))),0)</f>
        <v/>
      </c>
      <c r="M365" s="3">
        <f>IFERROR(LET(mtype,XLOOKUP($D365,'Move Editor'!$B:$B,'Move Editor'!$C:$C,""),cat,XLOOKUP($D365,'Move Editor'!$B:$B,'Move Editor'!$D:$D,""),pow,XLOOKUP($D365,'Move Editor'!$B:$B,'Move Editor'!$E:$E,0),acc,XLOOKUP($D365,'Move Editor'!$B:$B,'Move Editor'!$F:$F,100),atk,IF(cat="Physical",FLOOR((FLOOR(((2*XLOOKUP(XLOOKUP($Q365,'Threshold Summary'!$Y:$Y,'Threshold Summary'!$K:$K,""),'Pokemon Editor'!$A:$A,'Pokemon Editor'!$F:$F,0)+31+FLOOR(XLOOKUP($Q365,'Threshold Summary'!$Y:$Y,'Threshold Summary'!$P:$P,"")/4))*XLOOKUP($Q365,'Threshold Summary'!$Y:$Y,'Threshold Summary'!$L:$L,""))/100)+5)*XLOOKUP(XLOOKUP($Q365,'Threshold Summary'!$Y:$Y,'Threshold Summary'!$M:$M,""),'Nature Editor'!$A:$A,'Nature Editor'!$B:$B,1)),FLOOR((FLOOR(((2*XLOOKUP(XLOOKUP($Q365,'Threshold Summary'!$Y:$Y,'Threshold Summary'!$K:$K,""),'Pokemon Editor'!$A:$A,'Pokemon Editor'!$H:$H,0)+31+FLOOR(XLOOKUP($Q365,'Threshold Summary'!$Y:$Y,'Threshold Summary'!$R:$R,"")/4))*XLOOKUP($Q365,'Threshold Summary'!$Y:$Y,'Threshold Summary'!$L:$L,""))/100)+5)*XLOOKUP(XLOOKUP($Q365,'Threshold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Editor'!$E:$E,1))),stab,IF(OR(mtype=XLOOKUP(XLOOKUP($Q365,'Threshold Summary'!$Y:$Y,'Threshold Summary'!$K:$K,""),'Pokemon Editor'!$A:$A,'Pokemon Editor'!$C:$C,""),mtype=XLOOKUP(XLOOKUP($Q365,'Threshold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Chart'!$B$1:$S$1,0)))),base,IF(OR(cat="Status",pow=0),0,FLOOR(FLOOR(FLOOR((2*XLOOKUP($Q365,'Threshold Summary'!$Y:$Y,'Threshold Summary'!$L:$L,"")/5+2)*pow*atk/def)/50)+2)),modifier,stab*eff,AVERAGE(ARRAYFORMULA(FLOOR(base*modifier*SEQUENCE(16,1,85,1)/100)))*MIN(1,acc/100)),0)</f>
        <v/>
      </c>
      <c r="N365" s="4">
        <f>IFERROR(LET(mtype,XLOOKUP($D365,'Move Editor'!$B:$B,'Move Editor'!$C:$C,""),cat,XLOOKUP($D365,'Move Editor'!$B:$B,'Move Editor'!$D:$D,""),pow,XLOOKUP($D365,'Move Editor'!$B:$B,'Move Editor'!$E:$E,0),acc,XLOOKUP($D365,'Move Editor'!$B:$B,'Move Editor'!$F:$F,100),atk,IF(cat="Physical",FLOOR((FLOOR(((2*XLOOKUP(XLOOKUP($Q365,'Threshold Summary'!$Y:$Y,'Threshold Summary'!$K:$K,""),'Pokemon Editor'!$A:$A,'Pokemon Editor'!$F:$F,0)+31+FLOOR(XLOOKUP($Q365,'Threshold Summary'!$Y:$Y,'Threshold Summary'!$P:$P,"")/4))*XLOOKUP($Q365,'Threshold Summary'!$Y:$Y,'Threshold Summary'!$L:$L,""))/100)+5)*XLOOKUP(XLOOKUP($Q365,'Threshold Summary'!$Y:$Y,'Threshold Summary'!$M:$M,""),'Nature Editor'!$A:$A,'Nature Editor'!$B:$B,1)),FLOOR((FLOOR(((2*XLOOKUP(XLOOKUP($Q365,'Threshold Summary'!$Y:$Y,'Threshold Summary'!$K:$K,""),'Pokemon Editor'!$A:$A,'Pokemon Editor'!$H:$H,0)+31+FLOOR(XLOOKUP($Q365,'Threshold Summary'!$Y:$Y,'Threshold Summary'!$R:$R,"")/4))*XLOOKUP($Q365,'Threshold Summary'!$Y:$Y,'Threshold Summary'!$L:$L,""))/100)+5)*XLOOKUP(XLOOKUP($Q365,'Threshold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Editor'!$E:$E,1))),stab,IF(OR(mtype=XLOOKUP(XLOOKUP($Q365,'Threshold Summary'!$Y:$Y,'Threshold Summary'!$K:$K,""),'Pokemon Editor'!$A:$A,'Pokemon Editor'!$C:$C,""),mtype=XLOOKUP(XLOOKUP($Q365,'Threshold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Chart'!$B$1:$S$1,0)))),base,IF(OR(cat="Status",pow=0),0,FLOOR(FLOOR(FLOOR((2*XLOOKUP($Q365,'Threshold Summary'!$Y:$Y,'Threshold Summary'!$L:$L,"")/5+2)*pow*atk/def)/50)+2)),modifier,stab*eff,AVERAGE(ARRAYFORMULA(FLOOR(base*modifier*SEQUENCE(16,1,85,1)/100)))/(FLOOR(((2*XLOOKUP('Boss Editor'!$C$4,'Pokemon Editor'!$A:$A,'Pokemon Editor'!$E:$E,0)+31+FLOOR('Boss Editor'!$G$4/4))*'Boss Editor'!$D$4)/100)+'Boss Editor'!$D$4+10)),0)</f>
        <v/>
      </c>
      <c r="O365" s="3">
        <f>IF(N365&gt;=1,"OHKO",IF(N365&gt;=0.5,"2HKO",IF(N365&gt;=0.333,"3HKO",IF(N365&gt;=0.25,"4HKO","5HKO+"))))</f>
        <v/>
      </c>
      <c r="P365" s="3" t="inlineStr">
        <is>
          <t>Live from editable databases</t>
        </is>
      </c>
      <c r="Q365" s="3" t="inlineStr">
        <is>
          <t>SPECIES_COMBEE</t>
        </is>
      </c>
      <c r="R365" s="3" t="n">
        <v>12</v>
      </c>
    </row>
    <row r="366">
      <c r="A366" s="3">
        <f>XLOOKUP($Q366,'Threshold Summary'!$Y:$Y,'Threshold Summary'!$A:$A,"")</f>
        <v/>
      </c>
      <c r="B366" s="3">
        <f>XLOOKUP($Q366,'Threshold Summary'!$Y:$Y,'Threshold Summary'!$M:$M,"")</f>
        <v/>
      </c>
      <c r="C366" s="3">
        <f>XLOOKUP($Q366,'Threshold Summary'!$Y:$Y,'Threshold Summary'!$N:$N,"")</f>
        <v/>
      </c>
      <c r="D366" s="3">
        <f>IFERROR(INDEX(FILTER('Learnset Editor'!$D$2:$D,'Learnset Editor'!$A$2:$A=XLOOKUP($Q366,'Threshold Summary'!$Y:$Y,'Threshold Summary'!$K:$K,""),'Learnset Editor'!$C$2:$C&lt;=XLOOKUP($Q366,'Threshold Summary'!$Y:$Y,'Threshold Summary'!$L:$L,"")),$R366),"")</f>
        <v/>
      </c>
      <c r="E366" s="3">
        <f>XLOOKUP(D366,'Move Editor'!$B:$B,'Move Editor'!$C:$C,"")</f>
        <v/>
      </c>
      <c r="F366" s="3">
        <f>XLOOKUP(D366,'Move Editor'!$B:$B,'Move Editor'!$D:$D,"")</f>
        <v/>
      </c>
      <c r="G366" s="3">
        <f>XLOOKUP(D366,'Move Editor'!$B:$B,'Move Editor'!$E:$E,0)</f>
        <v/>
      </c>
      <c r="H366" s="3">
        <f>XLOOKUP(D366,'Move Editor'!$B:$B,'Move Editor'!$F:$F,0)</f>
        <v/>
      </c>
      <c r="I366" s="3">
        <f>(INDEX('Type Chart'!$B:$S,MATCH(E366,'Type Chart'!$A:$A,0),MATCH(XLOOKUP('Boss Editor'!$C$4,'Pokemon Editor'!$A:$A,'Pokemon Editor'!$C:$C,""),'Type Chart'!$B$1:$S$1,0))*IF(XLOOKUP('Boss Editor'!$C$4,'Pokemon Editor'!$A:$A,'Pokemon Editor'!$D:$D,"")="",1,INDEX('Type Chart'!$B:$S,MATCH(E366,'Type Chart'!$A:$A,0),MATCH(XLOOKUP('Boss Editor'!$C$4,'Pokemon Editor'!$A:$A,'Pokemon Editor'!$D:$D,""),'Type Chart'!$B$1:$S$1,0))))</f>
        <v/>
      </c>
      <c r="J366" s="3">
        <f>IFERROR(LET(mtype,XLOOKUP($D366,'Move Editor'!$B:$B,'Move Editor'!$C:$C,""),cat,XLOOKUP($D366,'Move Editor'!$B:$B,'Move Editor'!$D:$D,""),pow,XLOOKUP($D366,'Move Editor'!$B:$B,'Move Editor'!$E:$E,0),acc,XLOOKUP($D366,'Move Editor'!$B:$B,'Move Editor'!$F:$F,100),atk,IF(cat="Physical",FLOOR((FLOOR(((2*XLOOKUP(XLOOKUP($Q366,'Threshold Summary'!$Y:$Y,'Threshold Summary'!$K:$K,""),'Pokemon Editor'!$A:$A,'Pokemon Editor'!$F:$F,0)+31+FLOOR(XLOOKUP($Q366,'Threshold Summary'!$Y:$Y,'Threshold Summary'!$P:$P,"")/4))*XLOOKUP($Q366,'Threshold Summary'!$Y:$Y,'Threshold Summary'!$L:$L,""))/100)+5)*XLOOKUP(XLOOKUP($Q366,'Threshold Summary'!$Y:$Y,'Threshold Summary'!$M:$M,""),'Nature Editor'!$A:$A,'Nature Editor'!$B:$B,1)),FLOOR((FLOOR(((2*XLOOKUP(XLOOKUP($Q366,'Threshold Summary'!$Y:$Y,'Threshold Summary'!$K:$K,""),'Pokemon Editor'!$A:$A,'Pokemon Editor'!$H:$H,0)+31+FLOOR(XLOOKUP($Q366,'Threshold Summary'!$Y:$Y,'Threshold Summary'!$R:$R,"")/4))*XLOOKUP($Q366,'Threshold Summary'!$Y:$Y,'Threshold Summary'!$L:$L,""))/100)+5)*XLOOKUP(XLOOKUP($Q366,'Threshold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Editor'!$E:$E,1))),stab,IF(OR(mtype=XLOOKUP(XLOOKUP($Q366,'Threshold Summary'!$Y:$Y,'Threshold Summary'!$K:$K,""),'Pokemon Editor'!$A:$A,'Pokemon Editor'!$C:$C,""),mtype=XLOOKUP(XLOOKUP($Q366,'Threshold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Chart'!$B$1:$S$1,0)))),base,IF(OR(cat="Status",pow=0),0,FLOOR(FLOOR(FLOOR((2*XLOOKUP($Q366,'Threshold Summary'!$Y:$Y,'Threshold Summary'!$L:$L,"")/5+2)*pow*atk/def)/50)+2)),modifier,stab*eff,FLOOR(base*modifier*0.85)),0)</f>
        <v/>
      </c>
      <c r="K366" s="3">
        <f>IFERROR(LET(mtype,XLOOKUP($D366,'Move Editor'!$B:$B,'Move Editor'!$C:$C,""),cat,XLOOKUP($D366,'Move Editor'!$B:$B,'Move Editor'!$D:$D,""),pow,XLOOKUP($D366,'Move Editor'!$B:$B,'Move Editor'!$E:$E,0),acc,XLOOKUP($D366,'Move Editor'!$B:$B,'Move Editor'!$F:$F,100),atk,IF(cat="Physical",FLOOR((FLOOR(((2*XLOOKUP(XLOOKUP($Q366,'Threshold Summary'!$Y:$Y,'Threshold Summary'!$K:$K,""),'Pokemon Editor'!$A:$A,'Pokemon Editor'!$F:$F,0)+31+FLOOR(XLOOKUP($Q366,'Threshold Summary'!$Y:$Y,'Threshold Summary'!$P:$P,"")/4))*XLOOKUP($Q366,'Threshold Summary'!$Y:$Y,'Threshold Summary'!$L:$L,""))/100)+5)*XLOOKUP(XLOOKUP($Q366,'Threshold Summary'!$Y:$Y,'Threshold Summary'!$M:$M,""),'Nature Editor'!$A:$A,'Nature Editor'!$B:$B,1)),FLOOR((FLOOR(((2*XLOOKUP(XLOOKUP($Q366,'Threshold Summary'!$Y:$Y,'Threshold Summary'!$K:$K,""),'Pokemon Editor'!$A:$A,'Pokemon Editor'!$H:$H,0)+31+FLOOR(XLOOKUP($Q366,'Threshold Summary'!$Y:$Y,'Threshold Summary'!$R:$R,"")/4))*XLOOKUP($Q366,'Threshold Summary'!$Y:$Y,'Threshold Summary'!$L:$L,""))/100)+5)*XLOOKUP(XLOOKUP($Q366,'Threshold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Editor'!$E:$E,1))),stab,IF(OR(mtype=XLOOKUP(XLOOKUP($Q366,'Threshold Summary'!$Y:$Y,'Threshold Summary'!$K:$K,""),'Pokemon Editor'!$A:$A,'Pokemon Editor'!$C:$C,""),mtype=XLOOKUP(XLOOKUP($Q366,'Threshold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Chart'!$B$1:$S$1,0)))),base,IF(OR(cat="Status",pow=0),0,FLOOR(FLOOR(FLOOR((2*XLOOKUP($Q366,'Threshold Summary'!$Y:$Y,'Threshold Summary'!$L:$L,"")/5+2)*pow*atk/def)/50)+2)),modifier,stab*eff,FLOOR(base*modifier)),0)</f>
        <v/>
      </c>
      <c r="L366" s="3">
        <f>IFERROR(LET(mtype,XLOOKUP($D366,'Move Editor'!$B:$B,'Move Editor'!$C:$C,""),cat,XLOOKUP($D366,'Move Editor'!$B:$B,'Move Editor'!$D:$D,""),pow,XLOOKUP($D366,'Move Editor'!$B:$B,'Move Editor'!$E:$E,0),acc,XLOOKUP($D366,'Move Editor'!$B:$B,'Move Editor'!$F:$F,100),atk,IF(cat="Physical",FLOOR((FLOOR(((2*XLOOKUP(XLOOKUP($Q366,'Threshold Summary'!$Y:$Y,'Threshold Summary'!$K:$K,""),'Pokemon Editor'!$A:$A,'Pokemon Editor'!$F:$F,0)+31+FLOOR(XLOOKUP($Q366,'Threshold Summary'!$Y:$Y,'Threshold Summary'!$P:$P,"")/4))*XLOOKUP($Q366,'Threshold Summary'!$Y:$Y,'Threshold Summary'!$L:$L,""))/100)+5)*XLOOKUP(XLOOKUP($Q366,'Threshold Summary'!$Y:$Y,'Threshold Summary'!$M:$M,""),'Nature Editor'!$A:$A,'Nature Editor'!$B:$B,1)),FLOOR((FLOOR(((2*XLOOKUP(XLOOKUP($Q366,'Threshold Summary'!$Y:$Y,'Threshold Summary'!$K:$K,""),'Pokemon Editor'!$A:$A,'Pokemon Editor'!$H:$H,0)+31+FLOOR(XLOOKUP($Q366,'Threshold Summary'!$Y:$Y,'Threshold Summary'!$R:$R,"")/4))*XLOOKUP($Q366,'Threshold Summary'!$Y:$Y,'Threshold Summary'!$L:$L,""))/100)+5)*XLOOKUP(XLOOKUP($Q366,'Threshold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Editor'!$E:$E,1))),stab,IF(OR(mtype=XLOOKUP(XLOOKUP($Q366,'Threshold Summary'!$Y:$Y,'Threshold Summary'!$K:$K,""),'Pokemon Editor'!$A:$A,'Pokemon Editor'!$C:$C,""),mtype=XLOOKUP(XLOOKUP($Q366,'Threshold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Chart'!$B$1:$S$1,0)))),base,IF(OR(cat="Status",pow=0),0,FLOOR(FLOOR(FLOOR((2*XLOOKUP($Q366,'Threshold Summary'!$Y:$Y,'Threshold Summary'!$L:$L,"")/5+2)*pow*atk/def)/50)+2)),modifier,stab*eff,AVERAGE(ARRAYFORMULA(FLOOR(base*modifier*SEQUENCE(16,1,85,1)/100)))),0)</f>
        <v/>
      </c>
      <c r="M366" s="3">
        <f>IFERROR(LET(mtype,XLOOKUP($D366,'Move Editor'!$B:$B,'Move Editor'!$C:$C,""),cat,XLOOKUP($D366,'Move Editor'!$B:$B,'Move Editor'!$D:$D,""),pow,XLOOKUP($D366,'Move Editor'!$B:$B,'Move Editor'!$E:$E,0),acc,XLOOKUP($D366,'Move Editor'!$B:$B,'Move Editor'!$F:$F,100),atk,IF(cat="Physical",FLOOR((FLOOR(((2*XLOOKUP(XLOOKUP($Q366,'Threshold Summary'!$Y:$Y,'Threshold Summary'!$K:$K,""),'Pokemon Editor'!$A:$A,'Pokemon Editor'!$F:$F,0)+31+FLOOR(XLOOKUP($Q366,'Threshold Summary'!$Y:$Y,'Threshold Summary'!$P:$P,"")/4))*XLOOKUP($Q366,'Threshold Summary'!$Y:$Y,'Threshold Summary'!$L:$L,""))/100)+5)*XLOOKUP(XLOOKUP($Q366,'Threshold Summary'!$Y:$Y,'Threshold Summary'!$M:$M,""),'Nature Editor'!$A:$A,'Nature Editor'!$B:$B,1)),FLOOR((FLOOR(((2*XLOOKUP(XLOOKUP($Q366,'Threshold Summary'!$Y:$Y,'Threshold Summary'!$K:$K,""),'Pokemon Editor'!$A:$A,'Pokemon Editor'!$H:$H,0)+31+FLOOR(XLOOKUP($Q366,'Threshold Summary'!$Y:$Y,'Threshold Summary'!$R:$R,"")/4))*XLOOKUP($Q366,'Threshold Summary'!$Y:$Y,'Threshold Summary'!$L:$L,""))/100)+5)*XLOOKUP(XLOOKUP($Q366,'Threshold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Editor'!$E:$E,1))),stab,IF(OR(mtype=XLOOKUP(XLOOKUP($Q366,'Threshold Summary'!$Y:$Y,'Threshold Summary'!$K:$K,""),'Pokemon Editor'!$A:$A,'Pokemon Editor'!$C:$C,""),mtype=XLOOKUP(XLOOKUP($Q366,'Threshold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Chart'!$B$1:$S$1,0)))),base,IF(OR(cat="Status",pow=0),0,FLOOR(FLOOR(FLOOR((2*XLOOKUP($Q366,'Threshold Summary'!$Y:$Y,'Threshold Summary'!$L:$L,"")/5+2)*pow*atk/def)/50)+2)),modifier,stab*eff,AVERAGE(ARRAYFORMULA(FLOOR(base*modifier*SEQUENCE(16,1,85,1)/100)))*MIN(1,acc/100)),0)</f>
        <v/>
      </c>
      <c r="N366" s="4">
        <f>IFERROR(LET(mtype,XLOOKUP($D366,'Move Editor'!$B:$B,'Move Editor'!$C:$C,""),cat,XLOOKUP($D366,'Move Editor'!$B:$B,'Move Editor'!$D:$D,""),pow,XLOOKUP($D366,'Move Editor'!$B:$B,'Move Editor'!$E:$E,0),acc,XLOOKUP($D366,'Move Editor'!$B:$B,'Move Editor'!$F:$F,100),atk,IF(cat="Physical",FLOOR((FLOOR(((2*XLOOKUP(XLOOKUP($Q366,'Threshold Summary'!$Y:$Y,'Threshold Summary'!$K:$K,""),'Pokemon Editor'!$A:$A,'Pokemon Editor'!$F:$F,0)+31+FLOOR(XLOOKUP($Q366,'Threshold Summary'!$Y:$Y,'Threshold Summary'!$P:$P,"")/4))*XLOOKUP($Q366,'Threshold Summary'!$Y:$Y,'Threshold Summary'!$L:$L,""))/100)+5)*XLOOKUP(XLOOKUP($Q366,'Threshold Summary'!$Y:$Y,'Threshold Summary'!$M:$M,""),'Nature Editor'!$A:$A,'Nature Editor'!$B:$B,1)),FLOOR((FLOOR(((2*XLOOKUP(XLOOKUP($Q366,'Threshold Summary'!$Y:$Y,'Threshold Summary'!$K:$K,""),'Pokemon Editor'!$A:$A,'Pokemon Editor'!$H:$H,0)+31+FLOOR(XLOOKUP($Q366,'Threshold Summary'!$Y:$Y,'Threshold Summary'!$R:$R,"")/4))*XLOOKUP($Q366,'Threshold Summary'!$Y:$Y,'Threshold Summary'!$L:$L,""))/100)+5)*XLOOKUP(XLOOKUP($Q366,'Threshold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Editor'!$E:$E,1))),stab,IF(OR(mtype=XLOOKUP(XLOOKUP($Q366,'Threshold Summary'!$Y:$Y,'Threshold Summary'!$K:$K,""),'Pokemon Editor'!$A:$A,'Pokemon Editor'!$C:$C,""),mtype=XLOOKUP(XLOOKUP($Q366,'Threshold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Chart'!$B$1:$S$1,0)))),base,IF(OR(cat="Status",pow=0),0,FLOOR(FLOOR(FLOOR((2*XLOOKUP($Q366,'Threshold Summary'!$Y:$Y,'Threshold Summary'!$L:$L,"")/5+2)*pow*atk/def)/50)+2)),modifier,stab*eff,AVERAGE(ARRAYFORMULA(FLOOR(base*modifier*SEQUENCE(16,1,85,1)/100)))/(FLOOR(((2*XLOOKUP('Boss Editor'!$C$4,'Pokemon Editor'!$A:$A,'Pokemon Editor'!$E:$E,0)+31+FLOOR('Boss Editor'!$G$4/4))*'Boss Editor'!$D$4)/100)+'Boss Editor'!$D$4+10)),0)</f>
        <v/>
      </c>
      <c r="O366" s="3">
        <f>IF(N366&gt;=1,"OHKO",IF(N366&gt;=0.5,"2HKO",IF(N366&gt;=0.333,"3HKO",IF(N366&gt;=0.25,"4HKO","5HKO+"))))</f>
        <v/>
      </c>
      <c r="P366" s="3" t="inlineStr">
        <is>
          <t>Live from editable databases</t>
        </is>
      </c>
      <c r="Q366" s="3" t="inlineStr">
        <is>
          <t>SPECIES_COMBEE</t>
        </is>
      </c>
      <c r="R366" s="3" t="n">
        <v>13</v>
      </c>
    </row>
    <row r="367">
      <c r="A367" s="3">
        <f>XLOOKUP($Q367,'Threshold Summary'!$Y:$Y,'Threshold Summary'!$A:$A,"")</f>
        <v/>
      </c>
      <c r="B367" s="3">
        <f>XLOOKUP($Q367,'Threshold Summary'!$Y:$Y,'Threshold Summary'!$M:$M,"")</f>
        <v/>
      </c>
      <c r="C367" s="3">
        <f>XLOOKUP($Q367,'Threshold Summary'!$Y:$Y,'Threshold Summary'!$N:$N,"")</f>
        <v/>
      </c>
      <c r="D367" s="3">
        <f>IFERROR(INDEX(FILTER('Learnset Editor'!$D$2:$D,'Learnset Editor'!$A$2:$A=XLOOKUP($Q367,'Threshold Summary'!$Y:$Y,'Threshold Summary'!$K:$K,""),'Learnset Editor'!$C$2:$C&lt;=XLOOKUP($Q367,'Threshold Summary'!$Y:$Y,'Threshold Summary'!$L:$L,"")),$R367),"")</f>
        <v/>
      </c>
      <c r="E367" s="3">
        <f>XLOOKUP(D367,'Move Editor'!$B:$B,'Move Editor'!$C:$C,"")</f>
        <v/>
      </c>
      <c r="F367" s="3">
        <f>XLOOKUP(D367,'Move Editor'!$B:$B,'Move Editor'!$D:$D,"")</f>
        <v/>
      </c>
      <c r="G367" s="3">
        <f>XLOOKUP(D367,'Move Editor'!$B:$B,'Move Editor'!$E:$E,0)</f>
        <v/>
      </c>
      <c r="H367" s="3">
        <f>XLOOKUP(D367,'Move Editor'!$B:$B,'Move Editor'!$F:$F,0)</f>
        <v/>
      </c>
      <c r="I367" s="3">
        <f>(INDEX('Type Chart'!$B:$S,MATCH(E367,'Type Chart'!$A:$A,0),MATCH(XLOOKUP('Boss Editor'!$C$4,'Pokemon Editor'!$A:$A,'Pokemon Editor'!$C:$C,""),'Type Chart'!$B$1:$S$1,0))*IF(XLOOKUP('Boss Editor'!$C$4,'Pokemon Editor'!$A:$A,'Pokemon Editor'!$D:$D,"")="",1,INDEX('Type Chart'!$B:$S,MATCH(E367,'Type Chart'!$A:$A,0),MATCH(XLOOKUP('Boss Editor'!$C$4,'Pokemon Editor'!$A:$A,'Pokemon Editor'!$D:$D,""),'Type Chart'!$B$1:$S$1,0))))</f>
        <v/>
      </c>
      <c r="J367" s="3">
        <f>IFERROR(LET(mtype,XLOOKUP($D367,'Move Editor'!$B:$B,'Move Editor'!$C:$C,""),cat,XLOOKUP($D367,'Move Editor'!$B:$B,'Move Editor'!$D:$D,""),pow,XLOOKUP($D367,'Move Editor'!$B:$B,'Move Editor'!$E:$E,0),acc,XLOOKUP($D367,'Move Editor'!$B:$B,'Move Editor'!$F:$F,100),atk,IF(cat="Physical",FLOOR((FLOOR(((2*XLOOKUP(XLOOKUP($Q367,'Threshold Summary'!$Y:$Y,'Threshold Summary'!$K:$K,""),'Pokemon Editor'!$A:$A,'Pokemon Editor'!$F:$F,0)+31+FLOOR(XLOOKUP($Q367,'Threshold Summary'!$Y:$Y,'Threshold Summary'!$P:$P,"")/4))*XLOOKUP($Q367,'Threshold Summary'!$Y:$Y,'Threshold Summary'!$L:$L,""))/100)+5)*XLOOKUP(XLOOKUP($Q367,'Threshold Summary'!$Y:$Y,'Threshold Summary'!$M:$M,""),'Nature Editor'!$A:$A,'Nature Editor'!$B:$B,1)),FLOOR((FLOOR(((2*XLOOKUP(XLOOKUP($Q367,'Threshold Summary'!$Y:$Y,'Threshold Summary'!$K:$K,""),'Pokemon Editor'!$A:$A,'Pokemon Editor'!$H:$H,0)+31+FLOOR(XLOOKUP($Q367,'Threshold Summary'!$Y:$Y,'Threshold Summary'!$R:$R,"")/4))*XLOOKUP($Q367,'Threshold Summary'!$Y:$Y,'Threshold Summary'!$L:$L,""))/100)+5)*XLOOKUP(XLOOKUP($Q367,'Threshold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Editor'!$E:$E,1))),stab,IF(OR(mtype=XLOOKUP(XLOOKUP($Q367,'Threshold Summary'!$Y:$Y,'Threshold Summary'!$K:$K,""),'Pokemon Editor'!$A:$A,'Pokemon Editor'!$C:$C,""),mtype=XLOOKUP(XLOOKUP($Q367,'Threshold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Chart'!$B$1:$S$1,0)))),base,IF(OR(cat="Status",pow=0),0,FLOOR(FLOOR(FLOOR((2*XLOOKUP($Q367,'Threshold Summary'!$Y:$Y,'Threshold Summary'!$L:$L,"")/5+2)*pow*atk/def)/50)+2)),modifier,stab*eff,FLOOR(base*modifier*0.85)),0)</f>
        <v/>
      </c>
      <c r="K367" s="3">
        <f>IFERROR(LET(mtype,XLOOKUP($D367,'Move Editor'!$B:$B,'Move Editor'!$C:$C,""),cat,XLOOKUP($D367,'Move Editor'!$B:$B,'Move Editor'!$D:$D,""),pow,XLOOKUP($D367,'Move Editor'!$B:$B,'Move Editor'!$E:$E,0),acc,XLOOKUP($D367,'Move Editor'!$B:$B,'Move Editor'!$F:$F,100),atk,IF(cat="Physical",FLOOR((FLOOR(((2*XLOOKUP(XLOOKUP($Q367,'Threshold Summary'!$Y:$Y,'Threshold Summary'!$K:$K,""),'Pokemon Editor'!$A:$A,'Pokemon Editor'!$F:$F,0)+31+FLOOR(XLOOKUP($Q367,'Threshold Summary'!$Y:$Y,'Threshold Summary'!$P:$P,"")/4))*XLOOKUP($Q367,'Threshold Summary'!$Y:$Y,'Threshold Summary'!$L:$L,""))/100)+5)*XLOOKUP(XLOOKUP($Q367,'Threshold Summary'!$Y:$Y,'Threshold Summary'!$M:$M,""),'Nature Editor'!$A:$A,'Nature Editor'!$B:$B,1)),FLOOR((FLOOR(((2*XLOOKUP(XLOOKUP($Q367,'Threshold Summary'!$Y:$Y,'Threshold Summary'!$K:$K,""),'Pokemon Editor'!$A:$A,'Pokemon Editor'!$H:$H,0)+31+FLOOR(XLOOKUP($Q367,'Threshold Summary'!$Y:$Y,'Threshold Summary'!$R:$R,"")/4))*XLOOKUP($Q367,'Threshold Summary'!$Y:$Y,'Threshold Summary'!$L:$L,""))/100)+5)*XLOOKUP(XLOOKUP($Q367,'Threshold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Editor'!$E:$E,1))),stab,IF(OR(mtype=XLOOKUP(XLOOKUP($Q367,'Threshold Summary'!$Y:$Y,'Threshold Summary'!$K:$K,""),'Pokemon Editor'!$A:$A,'Pokemon Editor'!$C:$C,""),mtype=XLOOKUP(XLOOKUP($Q367,'Threshold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Chart'!$B$1:$S$1,0)))),base,IF(OR(cat="Status",pow=0),0,FLOOR(FLOOR(FLOOR((2*XLOOKUP($Q367,'Threshold Summary'!$Y:$Y,'Threshold Summary'!$L:$L,"")/5+2)*pow*atk/def)/50)+2)),modifier,stab*eff,FLOOR(base*modifier)),0)</f>
        <v/>
      </c>
      <c r="L367" s="3">
        <f>IFERROR(LET(mtype,XLOOKUP($D367,'Move Editor'!$B:$B,'Move Editor'!$C:$C,""),cat,XLOOKUP($D367,'Move Editor'!$B:$B,'Move Editor'!$D:$D,""),pow,XLOOKUP($D367,'Move Editor'!$B:$B,'Move Editor'!$E:$E,0),acc,XLOOKUP($D367,'Move Editor'!$B:$B,'Move Editor'!$F:$F,100),atk,IF(cat="Physical",FLOOR((FLOOR(((2*XLOOKUP(XLOOKUP($Q367,'Threshold Summary'!$Y:$Y,'Threshold Summary'!$K:$K,""),'Pokemon Editor'!$A:$A,'Pokemon Editor'!$F:$F,0)+31+FLOOR(XLOOKUP($Q367,'Threshold Summary'!$Y:$Y,'Threshold Summary'!$P:$P,"")/4))*XLOOKUP($Q367,'Threshold Summary'!$Y:$Y,'Threshold Summary'!$L:$L,""))/100)+5)*XLOOKUP(XLOOKUP($Q367,'Threshold Summary'!$Y:$Y,'Threshold Summary'!$M:$M,""),'Nature Editor'!$A:$A,'Nature Editor'!$B:$B,1)),FLOOR((FLOOR(((2*XLOOKUP(XLOOKUP($Q367,'Threshold Summary'!$Y:$Y,'Threshold Summary'!$K:$K,""),'Pokemon Editor'!$A:$A,'Pokemon Editor'!$H:$H,0)+31+FLOOR(XLOOKUP($Q367,'Threshold Summary'!$Y:$Y,'Threshold Summary'!$R:$R,"")/4))*XLOOKUP($Q367,'Threshold Summary'!$Y:$Y,'Threshold Summary'!$L:$L,""))/100)+5)*XLOOKUP(XLOOKUP($Q367,'Threshold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Editor'!$E:$E,1))),stab,IF(OR(mtype=XLOOKUP(XLOOKUP($Q367,'Threshold Summary'!$Y:$Y,'Threshold Summary'!$K:$K,""),'Pokemon Editor'!$A:$A,'Pokemon Editor'!$C:$C,""),mtype=XLOOKUP(XLOOKUP($Q367,'Threshold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Chart'!$B$1:$S$1,0)))),base,IF(OR(cat="Status",pow=0),0,FLOOR(FLOOR(FLOOR((2*XLOOKUP($Q367,'Threshold Summary'!$Y:$Y,'Threshold Summary'!$L:$L,"")/5+2)*pow*atk/def)/50)+2)),modifier,stab*eff,AVERAGE(ARRAYFORMULA(FLOOR(base*modifier*SEQUENCE(16,1,85,1)/100)))),0)</f>
        <v/>
      </c>
      <c r="M367" s="3">
        <f>IFERROR(LET(mtype,XLOOKUP($D367,'Move Editor'!$B:$B,'Move Editor'!$C:$C,""),cat,XLOOKUP($D367,'Move Editor'!$B:$B,'Move Editor'!$D:$D,""),pow,XLOOKUP($D367,'Move Editor'!$B:$B,'Move Editor'!$E:$E,0),acc,XLOOKUP($D367,'Move Editor'!$B:$B,'Move Editor'!$F:$F,100),atk,IF(cat="Physical",FLOOR((FLOOR(((2*XLOOKUP(XLOOKUP($Q367,'Threshold Summary'!$Y:$Y,'Threshold Summary'!$K:$K,""),'Pokemon Editor'!$A:$A,'Pokemon Editor'!$F:$F,0)+31+FLOOR(XLOOKUP($Q367,'Threshold Summary'!$Y:$Y,'Threshold Summary'!$P:$P,"")/4))*XLOOKUP($Q367,'Threshold Summary'!$Y:$Y,'Threshold Summary'!$L:$L,""))/100)+5)*XLOOKUP(XLOOKUP($Q367,'Threshold Summary'!$Y:$Y,'Threshold Summary'!$M:$M,""),'Nature Editor'!$A:$A,'Nature Editor'!$B:$B,1)),FLOOR((FLOOR(((2*XLOOKUP(XLOOKUP($Q367,'Threshold Summary'!$Y:$Y,'Threshold Summary'!$K:$K,""),'Pokemon Editor'!$A:$A,'Pokemon Editor'!$H:$H,0)+31+FLOOR(XLOOKUP($Q367,'Threshold Summary'!$Y:$Y,'Threshold Summary'!$R:$R,"")/4))*XLOOKUP($Q367,'Threshold Summary'!$Y:$Y,'Threshold Summary'!$L:$L,""))/100)+5)*XLOOKUP(XLOOKUP($Q367,'Threshold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Editor'!$E:$E,1))),stab,IF(OR(mtype=XLOOKUP(XLOOKUP($Q367,'Threshold Summary'!$Y:$Y,'Threshold Summary'!$K:$K,""),'Pokemon Editor'!$A:$A,'Pokemon Editor'!$C:$C,""),mtype=XLOOKUP(XLOOKUP($Q367,'Threshold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Chart'!$B$1:$S$1,0)))),base,IF(OR(cat="Status",pow=0),0,FLOOR(FLOOR(FLOOR((2*XLOOKUP($Q367,'Threshold Summary'!$Y:$Y,'Threshold Summary'!$L:$L,"")/5+2)*pow*atk/def)/50)+2)),modifier,stab*eff,AVERAGE(ARRAYFORMULA(FLOOR(base*modifier*SEQUENCE(16,1,85,1)/100)))*MIN(1,acc/100)),0)</f>
        <v/>
      </c>
      <c r="N367" s="4">
        <f>IFERROR(LET(mtype,XLOOKUP($D367,'Move Editor'!$B:$B,'Move Editor'!$C:$C,""),cat,XLOOKUP($D367,'Move Editor'!$B:$B,'Move Editor'!$D:$D,""),pow,XLOOKUP($D367,'Move Editor'!$B:$B,'Move Editor'!$E:$E,0),acc,XLOOKUP($D367,'Move Editor'!$B:$B,'Move Editor'!$F:$F,100),atk,IF(cat="Physical",FLOOR((FLOOR(((2*XLOOKUP(XLOOKUP($Q367,'Threshold Summary'!$Y:$Y,'Threshold Summary'!$K:$K,""),'Pokemon Editor'!$A:$A,'Pokemon Editor'!$F:$F,0)+31+FLOOR(XLOOKUP($Q367,'Threshold Summary'!$Y:$Y,'Threshold Summary'!$P:$P,"")/4))*XLOOKUP($Q367,'Threshold Summary'!$Y:$Y,'Threshold Summary'!$L:$L,""))/100)+5)*XLOOKUP(XLOOKUP($Q367,'Threshold Summary'!$Y:$Y,'Threshold Summary'!$M:$M,""),'Nature Editor'!$A:$A,'Nature Editor'!$B:$B,1)),FLOOR((FLOOR(((2*XLOOKUP(XLOOKUP($Q367,'Threshold Summary'!$Y:$Y,'Threshold Summary'!$K:$K,""),'Pokemon Editor'!$A:$A,'Pokemon Editor'!$H:$H,0)+31+FLOOR(XLOOKUP($Q367,'Threshold Summary'!$Y:$Y,'Threshold Summary'!$R:$R,"")/4))*XLOOKUP($Q367,'Threshold Summary'!$Y:$Y,'Threshold Summary'!$L:$L,""))/100)+5)*XLOOKUP(XLOOKUP($Q367,'Threshold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Editor'!$E:$E,1))),stab,IF(OR(mtype=XLOOKUP(XLOOKUP($Q367,'Threshold Summary'!$Y:$Y,'Threshold Summary'!$K:$K,""),'Pokemon Editor'!$A:$A,'Pokemon Editor'!$C:$C,""),mtype=XLOOKUP(XLOOKUP($Q367,'Threshold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Chart'!$B$1:$S$1,0)))),base,IF(OR(cat="Status",pow=0),0,FLOOR(FLOOR(FLOOR((2*XLOOKUP($Q367,'Threshold Summary'!$Y:$Y,'Threshold Summary'!$L:$L,"")/5+2)*pow*atk/def)/50)+2)),modifier,stab*eff,AVERAGE(ARRAYFORMULA(FLOOR(base*modifier*SEQUENCE(16,1,85,1)/100)))/(FLOOR(((2*XLOOKUP('Boss Editor'!$C$4,'Pokemon Editor'!$A:$A,'Pokemon Editor'!$E:$E,0)+31+FLOOR('Boss Editor'!$G$4/4))*'Boss Editor'!$D$4)/100)+'Boss Editor'!$D$4+10)),0)</f>
        <v/>
      </c>
      <c r="O367" s="3">
        <f>IF(N367&gt;=1,"OHKO",IF(N367&gt;=0.5,"2HKO",IF(N367&gt;=0.333,"3HKO",IF(N367&gt;=0.25,"4HKO","5HKO+"))))</f>
        <v/>
      </c>
      <c r="P367" s="3" t="inlineStr">
        <is>
          <t>Live from editable databases</t>
        </is>
      </c>
      <c r="Q367" s="3" t="inlineStr">
        <is>
          <t>SPECIES_COMBEE</t>
        </is>
      </c>
      <c r="R367" s="3" t="n">
        <v>14</v>
      </c>
    </row>
    <row r="368">
      <c r="A368" s="3">
        <f>XLOOKUP($Q368,'Threshold Summary'!$Y:$Y,'Threshold Summary'!$A:$A,"")</f>
        <v/>
      </c>
      <c r="B368" s="3">
        <f>XLOOKUP($Q368,'Threshold Summary'!$Y:$Y,'Threshold Summary'!$M:$M,"")</f>
        <v/>
      </c>
      <c r="C368" s="3">
        <f>XLOOKUP($Q368,'Threshold Summary'!$Y:$Y,'Threshold Summary'!$N:$N,"")</f>
        <v/>
      </c>
      <c r="D368" s="3">
        <f>IFERROR(INDEX(FILTER('Learnset Editor'!$D$2:$D,'Learnset Editor'!$A$2:$A=XLOOKUP($Q368,'Threshold Summary'!$Y:$Y,'Threshold Summary'!$K:$K,""),'Learnset Editor'!$C$2:$C&lt;=XLOOKUP($Q368,'Threshold Summary'!$Y:$Y,'Threshold Summary'!$L:$L,"")),$R368),"")</f>
        <v/>
      </c>
      <c r="E368" s="3">
        <f>XLOOKUP(D368,'Move Editor'!$B:$B,'Move Editor'!$C:$C,"")</f>
        <v/>
      </c>
      <c r="F368" s="3">
        <f>XLOOKUP(D368,'Move Editor'!$B:$B,'Move Editor'!$D:$D,"")</f>
        <v/>
      </c>
      <c r="G368" s="3">
        <f>XLOOKUP(D368,'Move Editor'!$B:$B,'Move Editor'!$E:$E,0)</f>
        <v/>
      </c>
      <c r="H368" s="3">
        <f>XLOOKUP(D368,'Move Editor'!$B:$B,'Move Editor'!$F:$F,0)</f>
        <v/>
      </c>
      <c r="I368" s="3">
        <f>(INDEX('Type Chart'!$B:$S,MATCH(E368,'Type Chart'!$A:$A,0),MATCH(XLOOKUP('Boss Editor'!$C$4,'Pokemon Editor'!$A:$A,'Pokemon Editor'!$C:$C,""),'Type Chart'!$B$1:$S$1,0))*IF(XLOOKUP('Boss Editor'!$C$4,'Pokemon Editor'!$A:$A,'Pokemon Editor'!$D:$D,"")="",1,INDEX('Type Chart'!$B:$S,MATCH(E368,'Type Chart'!$A:$A,0),MATCH(XLOOKUP('Boss Editor'!$C$4,'Pokemon Editor'!$A:$A,'Pokemon Editor'!$D:$D,""),'Type Chart'!$B$1:$S$1,0))))</f>
        <v/>
      </c>
      <c r="J368" s="3">
        <f>IFERROR(LET(mtype,XLOOKUP($D368,'Move Editor'!$B:$B,'Move Editor'!$C:$C,""),cat,XLOOKUP($D368,'Move Editor'!$B:$B,'Move Editor'!$D:$D,""),pow,XLOOKUP($D368,'Move Editor'!$B:$B,'Move Editor'!$E:$E,0),acc,XLOOKUP($D368,'Move Editor'!$B:$B,'Move Editor'!$F:$F,100),atk,IF(cat="Physical",FLOOR((FLOOR(((2*XLOOKUP(XLOOKUP($Q368,'Threshold Summary'!$Y:$Y,'Threshold Summary'!$K:$K,""),'Pokemon Editor'!$A:$A,'Pokemon Editor'!$F:$F,0)+31+FLOOR(XLOOKUP($Q368,'Threshold Summary'!$Y:$Y,'Threshold Summary'!$P:$P,"")/4))*XLOOKUP($Q368,'Threshold Summary'!$Y:$Y,'Threshold Summary'!$L:$L,""))/100)+5)*XLOOKUP(XLOOKUP($Q368,'Threshold Summary'!$Y:$Y,'Threshold Summary'!$M:$M,""),'Nature Editor'!$A:$A,'Nature Editor'!$B:$B,1)),FLOOR((FLOOR(((2*XLOOKUP(XLOOKUP($Q368,'Threshold Summary'!$Y:$Y,'Threshold Summary'!$K:$K,""),'Pokemon Editor'!$A:$A,'Pokemon Editor'!$H:$H,0)+31+FLOOR(XLOOKUP($Q368,'Threshold Summary'!$Y:$Y,'Threshold Summary'!$R:$R,"")/4))*XLOOKUP($Q368,'Threshold Summary'!$Y:$Y,'Threshold Summary'!$L:$L,""))/100)+5)*XLOOKUP(XLOOKUP($Q368,'Threshold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Editor'!$E:$E,1))),stab,IF(OR(mtype=XLOOKUP(XLOOKUP($Q368,'Threshold Summary'!$Y:$Y,'Threshold Summary'!$K:$K,""),'Pokemon Editor'!$A:$A,'Pokemon Editor'!$C:$C,""),mtype=XLOOKUP(XLOOKUP($Q368,'Threshold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Chart'!$B$1:$S$1,0)))),base,IF(OR(cat="Status",pow=0),0,FLOOR(FLOOR(FLOOR((2*XLOOKUP($Q368,'Threshold Summary'!$Y:$Y,'Threshold Summary'!$L:$L,"")/5+2)*pow*atk/def)/50)+2)),modifier,stab*eff,FLOOR(base*modifier*0.85)),0)</f>
        <v/>
      </c>
      <c r="K368" s="3">
        <f>IFERROR(LET(mtype,XLOOKUP($D368,'Move Editor'!$B:$B,'Move Editor'!$C:$C,""),cat,XLOOKUP($D368,'Move Editor'!$B:$B,'Move Editor'!$D:$D,""),pow,XLOOKUP($D368,'Move Editor'!$B:$B,'Move Editor'!$E:$E,0),acc,XLOOKUP($D368,'Move Editor'!$B:$B,'Move Editor'!$F:$F,100),atk,IF(cat="Physical",FLOOR((FLOOR(((2*XLOOKUP(XLOOKUP($Q368,'Threshold Summary'!$Y:$Y,'Threshold Summary'!$K:$K,""),'Pokemon Editor'!$A:$A,'Pokemon Editor'!$F:$F,0)+31+FLOOR(XLOOKUP($Q368,'Threshold Summary'!$Y:$Y,'Threshold Summary'!$P:$P,"")/4))*XLOOKUP($Q368,'Threshold Summary'!$Y:$Y,'Threshold Summary'!$L:$L,""))/100)+5)*XLOOKUP(XLOOKUP($Q368,'Threshold Summary'!$Y:$Y,'Threshold Summary'!$M:$M,""),'Nature Editor'!$A:$A,'Nature Editor'!$B:$B,1)),FLOOR((FLOOR(((2*XLOOKUP(XLOOKUP($Q368,'Threshold Summary'!$Y:$Y,'Threshold Summary'!$K:$K,""),'Pokemon Editor'!$A:$A,'Pokemon Editor'!$H:$H,0)+31+FLOOR(XLOOKUP($Q368,'Threshold Summary'!$Y:$Y,'Threshold Summary'!$R:$R,"")/4))*XLOOKUP($Q368,'Threshold Summary'!$Y:$Y,'Threshold Summary'!$L:$L,""))/100)+5)*XLOOKUP(XLOOKUP($Q368,'Threshold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Editor'!$E:$E,1))),stab,IF(OR(mtype=XLOOKUP(XLOOKUP($Q368,'Threshold Summary'!$Y:$Y,'Threshold Summary'!$K:$K,""),'Pokemon Editor'!$A:$A,'Pokemon Editor'!$C:$C,""),mtype=XLOOKUP(XLOOKUP($Q368,'Threshold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Chart'!$B$1:$S$1,0)))),base,IF(OR(cat="Status",pow=0),0,FLOOR(FLOOR(FLOOR((2*XLOOKUP($Q368,'Threshold Summary'!$Y:$Y,'Threshold Summary'!$L:$L,"")/5+2)*pow*atk/def)/50)+2)),modifier,stab*eff,FLOOR(base*modifier)),0)</f>
        <v/>
      </c>
      <c r="L368" s="3">
        <f>IFERROR(LET(mtype,XLOOKUP($D368,'Move Editor'!$B:$B,'Move Editor'!$C:$C,""),cat,XLOOKUP($D368,'Move Editor'!$B:$B,'Move Editor'!$D:$D,""),pow,XLOOKUP($D368,'Move Editor'!$B:$B,'Move Editor'!$E:$E,0),acc,XLOOKUP($D368,'Move Editor'!$B:$B,'Move Editor'!$F:$F,100),atk,IF(cat="Physical",FLOOR((FLOOR(((2*XLOOKUP(XLOOKUP($Q368,'Threshold Summary'!$Y:$Y,'Threshold Summary'!$K:$K,""),'Pokemon Editor'!$A:$A,'Pokemon Editor'!$F:$F,0)+31+FLOOR(XLOOKUP($Q368,'Threshold Summary'!$Y:$Y,'Threshold Summary'!$P:$P,"")/4))*XLOOKUP($Q368,'Threshold Summary'!$Y:$Y,'Threshold Summary'!$L:$L,""))/100)+5)*XLOOKUP(XLOOKUP($Q368,'Threshold Summary'!$Y:$Y,'Threshold Summary'!$M:$M,""),'Nature Editor'!$A:$A,'Nature Editor'!$B:$B,1)),FLOOR((FLOOR(((2*XLOOKUP(XLOOKUP($Q368,'Threshold Summary'!$Y:$Y,'Threshold Summary'!$K:$K,""),'Pokemon Editor'!$A:$A,'Pokemon Editor'!$H:$H,0)+31+FLOOR(XLOOKUP($Q368,'Threshold Summary'!$Y:$Y,'Threshold Summary'!$R:$R,"")/4))*XLOOKUP($Q368,'Threshold Summary'!$Y:$Y,'Threshold Summary'!$L:$L,""))/100)+5)*XLOOKUP(XLOOKUP($Q368,'Threshold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Editor'!$E:$E,1))),stab,IF(OR(mtype=XLOOKUP(XLOOKUP($Q368,'Threshold Summary'!$Y:$Y,'Threshold Summary'!$K:$K,""),'Pokemon Editor'!$A:$A,'Pokemon Editor'!$C:$C,""),mtype=XLOOKUP(XLOOKUP($Q368,'Threshold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Chart'!$B$1:$S$1,0)))),base,IF(OR(cat="Status",pow=0),0,FLOOR(FLOOR(FLOOR((2*XLOOKUP($Q368,'Threshold Summary'!$Y:$Y,'Threshold Summary'!$L:$L,"")/5+2)*pow*atk/def)/50)+2)),modifier,stab*eff,AVERAGE(ARRAYFORMULA(FLOOR(base*modifier*SEQUENCE(16,1,85,1)/100)))),0)</f>
        <v/>
      </c>
      <c r="M368" s="3">
        <f>IFERROR(LET(mtype,XLOOKUP($D368,'Move Editor'!$B:$B,'Move Editor'!$C:$C,""),cat,XLOOKUP($D368,'Move Editor'!$B:$B,'Move Editor'!$D:$D,""),pow,XLOOKUP($D368,'Move Editor'!$B:$B,'Move Editor'!$E:$E,0),acc,XLOOKUP($D368,'Move Editor'!$B:$B,'Move Editor'!$F:$F,100),atk,IF(cat="Physical",FLOOR((FLOOR(((2*XLOOKUP(XLOOKUP($Q368,'Threshold Summary'!$Y:$Y,'Threshold Summary'!$K:$K,""),'Pokemon Editor'!$A:$A,'Pokemon Editor'!$F:$F,0)+31+FLOOR(XLOOKUP($Q368,'Threshold Summary'!$Y:$Y,'Threshold Summary'!$P:$P,"")/4))*XLOOKUP($Q368,'Threshold Summary'!$Y:$Y,'Threshold Summary'!$L:$L,""))/100)+5)*XLOOKUP(XLOOKUP($Q368,'Threshold Summary'!$Y:$Y,'Threshold Summary'!$M:$M,""),'Nature Editor'!$A:$A,'Nature Editor'!$B:$B,1)),FLOOR((FLOOR(((2*XLOOKUP(XLOOKUP($Q368,'Threshold Summary'!$Y:$Y,'Threshold Summary'!$K:$K,""),'Pokemon Editor'!$A:$A,'Pokemon Editor'!$H:$H,0)+31+FLOOR(XLOOKUP($Q368,'Threshold Summary'!$Y:$Y,'Threshold Summary'!$R:$R,"")/4))*XLOOKUP($Q368,'Threshold Summary'!$Y:$Y,'Threshold Summary'!$L:$L,""))/100)+5)*XLOOKUP(XLOOKUP($Q368,'Threshold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Editor'!$E:$E,1))),stab,IF(OR(mtype=XLOOKUP(XLOOKUP($Q368,'Threshold Summary'!$Y:$Y,'Threshold Summary'!$K:$K,""),'Pokemon Editor'!$A:$A,'Pokemon Editor'!$C:$C,""),mtype=XLOOKUP(XLOOKUP($Q368,'Threshold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Chart'!$B$1:$S$1,0)))),base,IF(OR(cat="Status",pow=0),0,FLOOR(FLOOR(FLOOR((2*XLOOKUP($Q368,'Threshold Summary'!$Y:$Y,'Threshold Summary'!$L:$L,"")/5+2)*pow*atk/def)/50)+2)),modifier,stab*eff,AVERAGE(ARRAYFORMULA(FLOOR(base*modifier*SEQUENCE(16,1,85,1)/100)))*MIN(1,acc/100)),0)</f>
        <v/>
      </c>
      <c r="N368" s="4">
        <f>IFERROR(LET(mtype,XLOOKUP($D368,'Move Editor'!$B:$B,'Move Editor'!$C:$C,""),cat,XLOOKUP($D368,'Move Editor'!$B:$B,'Move Editor'!$D:$D,""),pow,XLOOKUP($D368,'Move Editor'!$B:$B,'Move Editor'!$E:$E,0),acc,XLOOKUP($D368,'Move Editor'!$B:$B,'Move Editor'!$F:$F,100),atk,IF(cat="Physical",FLOOR((FLOOR(((2*XLOOKUP(XLOOKUP($Q368,'Threshold Summary'!$Y:$Y,'Threshold Summary'!$K:$K,""),'Pokemon Editor'!$A:$A,'Pokemon Editor'!$F:$F,0)+31+FLOOR(XLOOKUP($Q368,'Threshold Summary'!$Y:$Y,'Threshold Summary'!$P:$P,"")/4))*XLOOKUP($Q368,'Threshold Summary'!$Y:$Y,'Threshold Summary'!$L:$L,""))/100)+5)*XLOOKUP(XLOOKUP($Q368,'Threshold Summary'!$Y:$Y,'Threshold Summary'!$M:$M,""),'Nature Editor'!$A:$A,'Nature Editor'!$B:$B,1)),FLOOR((FLOOR(((2*XLOOKUP(XLOOKUP($Q368,'Threshold Summary'!$Y:$Y,'Threshold Summary'!$K:$K,""),'Pokemon Editor'!$A:$A,'Pokemon Editor'!$H:$H,0)+31+FLOOR(XLOOKUP($Q368,'Threshold Summary'!$Y:$Y,'Threshold Summary'!$R:$R,"")/4))*XLOOKUP($Q368,'Threshold Summary'!$Y:$Y,'Threshold Summary'!$L:$L,""))/100)+5)*XLOOKUP(XLOOKUP($Q368,'Threshold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Editor'!$E:$E,1))),stab,IF(OR(mtype=XLOOKUP(XLOOKUP($Q368,'Threshold Summary'!$Y:$Y,'Threshold Summary'!$K:$K,""),'Pokemon Editor'!$A:$A,'Pokemon Editor'!$C:$C,""),mtype=XLOOKUP(XLOOKUP($Q368,'Threshold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Chart'!$B$1:$S$1,0)))),base,IF(OR(cat="Status",pow=0),0,FLOOR(FLOOR(FLOOR((2*XLOOKUP($Q368,'Threshold Summary'!$Y:$Y,'Threshold Summary'!$L:$L,"")/5+2)*pow*atk/def)/50)+2)),modifier,stab*eff,AVERAGE(ARRAYFORMULA(FLOOR(base*modifier*SEQUENCE(16,1,85,1)/100)))/(FLOOR(((2*XLOOKUP('Boss Editor'!$C$4,'Pokemon Editor'!$A:$A,'Pokemon Editor'!$E:$E,0)+31+FLOOR('Boss Editor'!$G$4/4))*'Boss Editor'!$D$4)/100)+'Boss Editor'!$D$4+10)),0)</f>
        <v/>
      </c>
      <c r="O368" s="3">
        <f>IF(N368&gt;=1,"OHKO",IF(N368&gt;=0.5,"2HKO",IF(N368&gt;=0.333,"3HKO",IF(N368&gt;=0.25,"4HKO","5HKO+"))))</f>
        <v/>
      </c>
      <c r="P368" s="3" t="inlineStr">
        <is>
          <t>Live from editable databases</t>
        </is>
      </c>
      <c r="Q368" s="3" t="inlineStr">
        <is>
          <t>SPECIES_COMBEE</t>
        </is>
      </c>
      <c r="R368" s="3" t="n">
        <v>15</v>
      </c>
    </row>
    <row r="369">
      <c r="A369" s="3">
        <f>XLOOKUP($Q369,'Threshold Summary'!$Y:$Y,'Threshold Summary'!$A:$A,"")</f>
        <v/>
      </c>
      <c r="B369" s="3">
        <f>XLOOKUP($Q369,'Threshold Summary'!$Y:$Y,'Threshold Summary'!$M:$M,"")</f>
        <v/>
      </c>
      <c r="C369" s="3">
        <f>XLOOKUP($Q369,'Threshold Summary'!$Y:$Y,'Threshold Summary'!$N:$N,"")</f>
        <v/>
      </c>
      <c r="D369" s="3">
        <f>IFERROR(INDEX(FILTER('Learnset Editor'!$D$2:$D,'Learnset Editor'!$A$2:$A=XLOOKUP($Q369,'Threshold Summary'!$Y:$Y,'Threshold Summary'!$K:$K,""),'Learnset Editor'!$C$2:$C&lt;=XLOOKUP($Q369,'Threshold Summary'!$Y:$Y,'Threshold Summary'!$L:$L,"")),$R369),"")</f>
        <v/>
      </c>
      <c r="E369" s="3">
        <f>XLOOKUP(D369,'Move Editor'!$B:$B,'Move Editor'!$C:$C,"")</f>
        <v/>
      </c>
      <c r="F369" s="3">
        <f>XLOOKUP(D369,'Move Editor'!$B:$B,'Move Editor'!$D:$D,"")</f>
        <v/>
      </c>
      <c r="G369" s="3">
        <f>XLOOKUP(D369,'Move Editor'!$B:$B,'Move Editor'!$E:$E,0)</f>
        <v/>
      </c>
      <c r="H369" s="3">
        <f>XLOOKUP(D369,'Move Editor'!$B:$B,'Move Editor'!$F:$F,0)</f>
        <v/>
      </c>
      <c r="I369" s="3">
        <f>(INDEX('Type Chart'!$B:$S,MATCH(E369,'Type Chart'!$A:$A,0),MATCH(XLOOKUP('Boss Editor'!$C$4,'Pokemon Editor'!$A:$A,'Pokemon Editor'!$C:$C,""),'Type Chart'!$B$1:$S$1,0))*IF(XLOOKUP('Boss Editor'!$C$4,'Pokemon Editor'!$A:$A,'Pokemon Editor'!$D:$D,"")="",1,INDEX('Type Chart'!$B:$S,MATCH(E369,'Type Chart'!$A:$A,0),MATCH(XLOOKUP('Boss Editor'!$C$4,'Pokemon Editor'!$A:$A,'Pokemon Editor'!$D:$D,""),'Type Chart'!$B$1:$S$1,0))))</f>
        <v/>
      </c>
      <c r="J369" s="3">
        <f>IFERROR(LET(mtype,XLOOKUP($D369,'Move Editor'!$B:$B,'Move Editor'!$C:$C,""),cat,XLOOKUP($D369,'Move Editor'!$B:$B,'Move Editor'!$D:$D,""),pow,XLOOKUP($D369,'Move Editor'!$B:$B,'Move Editor'!$E:$E,0),acc,XLOOKUP($D369,'Move Editor'!$B:$B,'Move Editor'!$F:$F,100),atk,IF(cat="Physical",FLOOR((FLOOR(((2*XLOOKUP(XLOOKUP($Q369,'Threshold Summary'!$Y:$Y,'Threshold Summary'!$K:$K,""),'Pokemon Editor'!$A:$A,'Pokemon Editor'!$F:$F,0)+31+FLOOR(XLOOKUP($Q369,'Threshold Summary'!$Y:$Y,'Threshold Summary'!$P:$P,"")/4))*XLOOKUP($Q369,'Threshold Summary'!$Y:$Y,'Threshold Summary'!$L:$L,""))/100)+5)*XLOOKUP(XLOOKUP($Q369,'Threshold Summary'!$Y:$Y,'Threshold Summary'!$M:$M,""),'Nature Editor'!$A:$A,'Nature Editor'!$B:$B,1)),FLOOR((FLOOR(((2*XLOOKUP(XLOOKUP($Q369,'Threshold Summary'!$Y:$Y,'Threshold Summary'!$K:$K,""),'Pokemon Editor'!$A:$A,'Pokemon Editor'!$H:$H,0)+31+FLOOR(XLOOKUP($Q369,'Threshold Summary'!$Y:$Y,'Threshold Summary'!$R:$R,"")/4))*XLOOKUP($Q369,'Threshold Summary'!$Y:$Y,'Threshold Summary'!$L:$L,""))/100)+5)*XLOOKUP(XLOOKUP($Q369,'Threshold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Editor'!$E:$E,1))),stab,IF(OR(mtype=XLOOKUP(XLOOKUP($Q369,'Threshold Summary'!$Y:$Y,'Threshold Summary'!$K:$K,""),'Pokemon Editor'!$A:$A,'Pokemon Editor'!$C:$C,""),mtype=XLOOKUP(XLOOKUP($Q369,'Threshold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Chart'!$B$1:$S$1,0)))),base,IF(OR(cat="Status",pow=0),0,FLOOR(FLOOR(FLOOR((2*XLOOKUP($Q369,'Threshold Summary'!$Y:$Y,'Threshold Summary'!$L:$L,"")/5+2)*pow*atk/def)/50)+2)),modifier,stab*eff,FLOOR(base*modifier*0.85)),0)</f>
        <v/>
      </c>
      <c r="K369" s="3">
        <f>IFERROR(LET(mtype,XLOOKUP($D369,'Move Editor'!$B:$B,'Move Editor'!$C:$C,""),cat,XLOOKUP($D369,'Move Editor'!$B:$B,'Move Editor'!$D:$D,""),pow,XLOOKUP($D369,'Move Editor'!$B:$B,'Move Editor'!$E:$E,0),acc,XLOOKUP($D369,'Move Editor'!$B:$B,'Move Editor'!$F:$F,100),atk,IF(cat="Physical",FLOOR((FLOOR(((2*XLOOKUP(XLOOKUP($Q369,'Threshold Summary'!$Y:$Y,'Threshold Summary'!$K:$K,""),'Pokemon Editor'!$A:$A,'Pokemon Editor'!$F:$F,0)+31+FLOOR(XLOOKUP($Q369,'Threshold Summary'!$Y:$Y,'Threshold Summary'!$P:$P,"")/4))*XLOOKUP($Q369,'Threshold Summary'!$Y:$Y,'Threshold Summary'!$L:$L,""))/100)+5)*XLOOKUP(XLOOKUP($Q369,'Threshold Summary'!$Y:$Y,'Threshold Summary'!$M:$M,""),'Nature Editor'!$A:$A,'Nature Editor'!$B:$B,1)),FLOOR((FLOOR(((2*XLOOKUP(XLOOKUP($Q369,'Threshold Summary'!$Y:$Y,'Threshold Summary'!$K:$K,""),'Pokemon Editor'!$A:$A,'Pokemon Editor'!$H:$H,0)+31+FLOOR(XLOOKUP($Q369,'Threshold Summary'!$Y:$Y,'Threshold Summary'!$R:$R,"")/4))*XLOOKUP($Q369,'Threshold Summary'!$Y:$Y,'Threshold Summary'!$L:$L,""))/100)+5)*XLOOKUP(XLOOKUP($Q369,'Threshold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Editor'!$E:$E,1))),stab,IF(OR(mtype=XLOOKUP(XLOOKUP($Q369,'Threshold Summary'!$Y:$Y,'Threshold Summary'!$K:$K,""),'Pokemon Editor'!$A:$A,'Pokemon Editor'!$C:$C,""),mtype=XLOOKUP(XLOOKUP($Q369,'Threshold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Chart'!$B$1:$S$1,0)))),base,IF(OR(cat="Status",pow=0),0,FLOOR(FLOOR(FLOOR((2*XLOOKUP($Q369,'Threshold Summary'!$Y:$Y,'Threshold Summary'!$L:$L,"")/5+2)*pow*atk/def)/50)+2)),modifier,stab*eff,FLOOR(base*modifier)),0)</f>
        <v/>
      </c>
      <c r="L369" s="3">
        <f>IFERROR(LET(mtype,XLOOKUP($D369,'Move Editor'!$B:$B,'Move Editor'!$C:$C,""),cat,XLOOKUP($D369,'Move Editor'!$B:$B,'Move Editor'!$D:$D,""),pow,XLOOKUP($D369,'Move Editor'!$B:$B,'Move Editor'!$E:$E,0),acc,XLOOKUP($D369,'Move Editor'!$B:$B,'Move Editor'!$F:$F,100),atk,IF(cat="Physical",FLOOR((FLOOR(((2*XLOOKUP(XLOOKUP($Q369,'Threshold Summary'!$Y:$Y,'Threshold Summary'!$K:$K,""),'Pokemon Editor'!$A:$A,'Pokemon Editor'!$F:$F,0)+31+FLOOR(XLOOKUP($Q369,'Threshold Summary'!$Y:$Y,'Threshold Summary'!$P:$P,"")/4))*XLOOKUP($Q369,'Threshold Summary'!$Y:$Y,'Threshold Summary'!$L:$L,""))/100)+5)*XLOOKUP(XLOOKUP($Q369,'Threshold Summary'!$Y:$Y,'Threshold Summary'!$M:$M,""),'Nature Editor'!$A:$A,'Nature Editor'!$B:$B,1)),FLOOR((FLOOR(((2*XLOOKUP(XLOOKUP($Q369,'Threshold Summary'!$Y:$Y,'Threshold Summary'!$K:$K,""),'Pokemon Editor'!$A:$A,'Pokemon Editor'!$H:$H,0)+31+FLOOR(XLOOKUP($Q369,'Threshold Summary'!$Y:$Y,'Threshold Summary'!$R:$R,"")/4))*XLOOKUP($Q369,'Threshold Summary'!$Y:$Y,'Threshold Summary'!$L:$L,""))/100)+5)*XLOOKUP(XLOOKUP($Q369,'Threshold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Editor'!$E:$E,1))),stab,IF(OR(mtype=XLOOKUP(XLOOKUP($Q369,'Threshold Summary'!$Y:$Y,'Threshold Summary'!$K:$K,""),'Pokemon Editor'!$A:$A,'Pokemon Editor'!$C:$C,""),mtype=XLOOKUP(XLOOKUP($Q369,'Threshold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Chart'!$B$1:$S$1,0)))),base,IF(OR(cat="Status",pow=0),0,FLOOR(FLOOR(FLOOR((2*XLOOKUP($Q369,'Threshold Summary'!$Y:$Y,'Threshold Summary'!$L:$L,"")/5+2)*pow*atk/def)/50)+2)),modifier,stab*eff,AVERAGE(ARRAYFORMULA(FLOOR(base*modifier*SEQUENCE(16,1,85,1)/100)))),0)</f>
        <v/>
      </c>
      <c r="M369" s="3">
        <f>IFERROR(LET(mtype,XLOOKUP($D369,'Move Editor'!$B:$B,'Move Editor'!$C:$C,""),cat,XLOOKUP($D369,'Move Editor'!$B:$B,'Move Editor'!$D:$D,""),pow,XLOOKUP($D369,'Move Editor'!$B:$B,'Move Editor'!$E:$E,0),acc,XLOOKUP($D369,'Move Editor'!$B:$B,'Move Editor'!$F:$F,100),atk,IF(cat="Physical",FLOOR((FLOOR(((2*XLOOKUP(XLOOKUP($Q369,'Threshold Summary'!$Y:$Y,'Threshold Summary'!$K:$K,""),'Pokemon Editor'!$A:$A,'Pokemon Editor'!$F:$F,0)+31+FLOOR(XLOOKUP($Q369,'Threshold Summary'!$Y:$Y,'Threshold Summary'!$P:$P,"")/4))*XLOOKUP($Q369,'Threshold Summary'!$Y:$Y,'Threshold Summary'!$L:$L,""))/100)+5)*XLOOKUP(XLOOKUP($Q369,'Threshold Summary'!$Y:$Y,'Threshold Summary'!$M:$M,""),'Nature Editor'!$A:$A,'Nature Editor'!$B:$B,1)),FLOOR((FLOOR(((2*XLOOKUP(XLOOKUP($Q369,'Threshold Summary'!$Y:$Y,'Threshold Summary'!$K:$K,""),'Pokemon Editor'!$A:$A,'Pokemon Editor'!$H:$H,0)+31+FLOOR(XLOOKUP($Q369,'Threshold Summary'!$Y:$Y,'Threshold Summary'!$R:$R,"")/4))*XLOOKUP($Q369,'Threshold Summary'!$Y:$Y,'Threshold Summary'!$L:$L,""))/100)+5)*XLOOKUP(XLOOKUP($Q369,'Threshold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Editor'!$E:$E,1))),stab,IF(OR(mtype=XLOOKUP(XLOOKUP($Q369,'Threshold Summary'!$Y:$Y,'Threshold Summary'!$K:$K,""),'Pokemon Editor'!$A:$A,'Pokemon Editor'!$C:$C,""),mtype=XLOOKUP(XLOOKUP($Q369,'Threshold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Chart'!$B$1:$S$1,0)))),base,IF(OR(cat="Status",pow=0),0,FLOOR(FLOOR(FLOOR((2*XLOOKUP($Q369,'Threshold Summary'!$Y:$Y,'Threshold Summary'!$L:$L,"")/5+2)*pow*atk/def)/50)+2)),modifier,stab*eff,AVERAGE(ARRAYFORMULA(FLOOR(base*modifier*SEQUENCE(16,1,85,1)/100)))*MIN(1,acc/100)),0)</f>
        <v/>
      </c>
      <c r="N369" s="4">
        <f>IFERROR(LET(mtype,XLOOKUP($D369,'Move Editor'!$B:$B,'Move Editor'!$C:$C,""),cat,XLOOKUP($D369,'Move Editor'!$B:$B,'Move Editor'!$D:$D,""),pow,XLOOKUP($D369,'Move Editor'!$B:$B,'Move Editor'!$E:$E,0),acc,XLOOKUP($D369,'Move Editor'!$B:$B,'Move Editor'!$F:$F,100),atk,IF(cat="Physical",FLOOR((FLOOR(((2*XLOOKUP(XLOOKUP($Q369,'Threshold Summary'!$Y:$Y,'Threshold Summary'!$K:$K,""),'Pokemon Editor'!$A:$A,'Pokemon Editor'!$F:$F,0)+31+FLOOR(XLOOKUP($Q369,'Threshold Summary'!$Y:$Y,'Threshold Summary'!$P:$P,"")/4))*XLOOKUP($Q369,'Threshold Summary'!$Y:$Y,'Threshold Summary'!$L:$L,""))/100)+5)*XLOOKUP(XLOOKUP($Q369,'Threshold Summary'!$Y:$Y,'Threshold Summary'!$M:$M,""),'Nature Editor'!$A:$A,'Nature Editor'!$B:$B,1)),FLOOR((FLOOR(((2*XLOOKUP(XLOOKUP($Q369,'Threshold Summary'!$Y:$Y,'Threshold Summary'!$K:$K,""),'Pokemon Editor'!$A:$A,'Pokemon Editor'!$H:$H,0)+31+FLOOR(XLOOKUP($Q369,'Threshold Summary'!$Y:$Y,'Threshold Summary'!$R:$R,"")/4))*XLOOKUP($Q369,'Threshold Summary'!$Y:$Y,'Threshold Summary'!$L:$L,""))/100)+5)*XLOOKUP(XLOOKUP($Q369,'Threshold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Editor'!$E:$E,1))),stab,IF(OR(mtype=XLOOKUP(XLOOKUP($Q369,'Threshold Summary'!$Y:$Y,'Threshold Summary'!$K:$K,""),'Pokemon Editor'!$A:$A,'Pokemon Editor'!$C:$C,""),mtype=XLOOKUP(XLOOKUP($Q369,'Threshold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Chart'!$B$1:$S$1,0)))),base,IF(OR(cat="Status",pow=0),0,FLOOR(FLOOR(FLOOR((2*XLOOKUP($Q369,'Threshold Summary'!$Y:$Y,'Threshold Summary'!$L:$L,"")/5+2)*pow*atk/def)/50)+2)),modifier,stab*eff,AVERAGE(ARRAYFORMULA(FLOOR(base*modifier*SEQUENCE(16,1,85,1)/100)))/(FLOOR(((2*XLOOKUP('Boss Editor'!$C$4,'Pokemon Editor'!$A:$A,'Pokemon Editor'!$E:$E,0)+31+FLOOR('Boss Editor'!$G$4/4))*'Boss Editor'!$D$4)/100)+'Boss Editor'!$D$4+10)),0)</f>
        <v/>
      </c>
      <c r="O369" s="3">
        <f>IF(N369&gt;=1,"OHKO",IF(N369&gt;=0.5,"2HKO",IF(N369&gt;=0.333,"3HKO",IF(N369&gt;=0.25,"4HKO","5HKO+"))))</f>
        <v/>
      </c>
      <c r="P369" s="3" t="inlineStr">
        <is>
          <t>Live from editable databases</t>
        </is>
      </c>
      <c r="Q369" s="3" t="inlineStr">
        <is>
          <t>SPECIES_COMBEE</t>
        </is>
      </c>
      <c r="R369" s="3" t="n">
        <v>16</v>
      </c>
    </row>
    <row r="370">
      <c r="A370" s="3">
        <f>XLOOKUP($Q370,'Threshold Summary'!$Y:$Y,'Threshold Summary'!$A:$A,"")</f>
        <v/>
      </c>
      <c r="B370" s="3">
        <f>XLOOKUP($Q370,'Threshold Summary'!$Y:$Y,'Threshold Summary'!$M:$M,"")</f>
        <v/>
      </c>
      <c r="C370" s="3">
        <f>XLOOKUP($Q370,'Threshold Summary'!$Y:$Y,'Threshold Summary'!$N:$N,"")</f>
        <v/>
      </c>
      <c r="D370" s="3">
        <f>IFERROR(INDEX(FILTER('Learnset Editor'!$D$2:$D,'Learnset Editor'!$A$2:$A=XLOOKUP($Q370,'Threshold Summary'!$Y:$Y,'Threshold Summary'!$K:$K,""),'Learnset Editor'!$C$2:$C&lt;=XLOOKUP($Q370,'Threshold Summary'!$Y:$Y,'Threshold Summary'!$L:$L,"")),$R370),"")</f>
        <v/>
      </c>
      <c r="E370" s="3">
        <f>XLOOKUP(D370,'Move Editor'!$B:$B,'Move Editor'!$C:$C,"")</f>
        <v/>
      </c>
      <c r="F370" s="3">
        <f>XLOOKUP(D370,'Move Editor'!$B:$B,'Move Editor'!$D:$D,"")</f>
        <v/>
      </c>
      <c r="G370" s="3">
        <f>XLOOKUP(D370,'Move Editor'!$B:$B,'Move Editor'!$E:$E,0)</f>
        <v/>
      </c>
      <c r="H370" s="3">
        <f>XLOOKUP(D370,'Move Editor'!$B:$B,'Move Editor'!$F:$F,0)</f>
        <v/>
      </c>
      <c r="I370" s="3">
        <f>(INDEX('Type Chart'!$B:$S,MATCH(E370,'Type Chart'!$A:$A,0),MATCH(XLOOKUP('Boss Editor'!$C$4,'Pokemon Editor'!$A:$A,'Pokemon Editor'!$C:$C,""),'Type Chart'!$B$1:$S$1,0))*IF(XLOOKUP('Boss Editor'!$C$4,'Pokemon Editor'!$A:$A,'Pokemon Editor'!$D:$D,"")="",1,INDEX('Type Chart'!$B:$S,MATCH(E370,'Type Chart'!$A:$A,0),MATCH(XLOOKUP('Boss Editor'!$C$4,'Pokemon Editor'!$A:$A,'Pokemon Editor'!$D:$D,""),'Type Chart'!$B$1:$S$1,0))))</f>
        <v/>
      </c>
      <c r="J370" s="3">
        <f>IFERROR(LET(mtype,XLOOKUP($D370,'Move Editor'!$B:$B,'Move Editor'!$C:$C,""),cat,XLOOKUP($D370,'Move Editor'!$B:$B,'Move Editor'!$D:$D,""),pow,XLOOKUP($D370,'Move Editor'!$B:$B,'Move Editor'!$E:$E,0),acc,XLOOKUP($D370,'Move Editor'!$B:$B,'Move Editor'!$F:$F,100),atk,IF(cat="Physical",FLOOR((FLOOR(((2*XLOOKUP(XLOOKUP($Q370,'Threshold Summary'!$Y:$Y,'Threshold Summary'!$K:$K,""),'Pokemon Editor'!$A:$A,'Pokemon Editor'!$F:$F,0)+31+FLOOR(XLOOKUP($Q370,'Threshold Summary'!$Y:$Y,'Threshold Summary'!$P:$P,"")/4))*XLOOKUP($Q370,'Threshold Summary'!$Y:$Y,'Threshold Summary'!$L:$L,""))/100)+5)*XLOOKUP(XLOOKUP($Q370,'Threshold Summary'!$Y:$Y,'Threshold Summary'!$M:$M,""),'Nature Editor'!$A:$A,'Nature Editor'!$B:$B,1)),FLOOR((FLOOR(((2*XLOOKUP(XLOOKUP($Q370,'Threshold Summary'!$Y:$Y,'Threshold Summary'!$K:$K,""),'Pokemon Editor'!$A:$A,'Pokemon Editor'!$H:$H,0)+31+FLOOR(XLOOKUP($Q370,'Threshold Summary'!$Y:$Y,'Threshold Summary'!$R:$R,"")/4))*XLOOKUP($Q370,'Threshold Summary'!$Y:$Y,'Threshold Summary'!$L:$L,""))/100)+5)*XLOOKUP(XLOOKUP($Q370,'Threshold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Editor'!$E:$E,1))),stab,IF(OR(mtype=XLOOKUP(XLOOKUP($Q370,'Threshold Summary'!$Y:$Y,'Threshold Summary'!$K:$K,""),'Pokemon Editor'!$A:$A,'Pokemon Editor'!$C:$C,""),mtype=XLOOKUP(XLOOKUP($Q370,'Threshold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Chart'!$B$1:$S$1,0)))),base,IF(OR(cat="Status",pow=0),0,FLOOR(FLOOR(FLOOR((2*XLOOKUP($Q370,'Threshold Summary'!$Y:$Y,'Threshold Summary'!$L:$L,"")/5+2)*pow*atk/def)/50)+2)),modifier,stab*eff,FLOOR(base*modifier*0.85)),0)</f>
        <v/>
      </c>
      <c r="K370" s="3">
        <f>IFERROR(LET(mtype,XLOOKUP($D370,'Move Editor'!$B:$B,'Move Editor'!$C:$C,""),cat,XLOOKUP($D370,'Move Editor'!$B:$B,'Move Editor'!$D:$D,""),pow,XLOOKUP($D370,'Move Editor'!$B:$B,'Move Editor'!$E:$E,0),acc,XLOOKUP($D370,'Move Editor'!$B:$B,'Move Editor'!$F:$F,100),atk,IF(cat="Physical",FLOOR((FLOOR(((2*XLOOKUP(XLOOKUP($Q370,'Threshold Summary'!$Y:$Y,'Threshold Summary'!$K:$K,""),'Pokemon Editor'!$A:$A,'Pokemon Editor'!$F:$F,0)+31+FLOOR(XLOOKUP($Q370,'Threshold Summary'!$Y:$Y,'Threshold Summary'!$P:$P,"")/4))*XLOOKUP($Q370,'Threshold Summary'!$Y:$Y,'Threshold Summary'!$L:$L,""))/100)+5)*XLOOKUP(XLOOKUP($Q370,'Threshold Summary'!$Y:$Y,'Threshold Summary'!$M:$M,""),'Nature Editor'!$A:$A,'Nature Editor'!$B:$B,1)),FLOOR((FLOOR(((2*XLOOKUP(XLOOKUP($Q370,'Threshold Summary'!$Y:$Y,'Threshold Summary'!$K:$K,""),'Pokemon Editor'!$A:$A,'Pokemon Editor'!$H:$H,0)+31+FLOOR(XLOOKUP($Q370,'Threshold Summary'!$Y:$Y,'Threshold Summary'!$R:$R,"")/4))*XLOOKUP($Q370,'Threshold Summary'!$Y:$Y,'Threshold Summary'!$L:$L,""))/100)+5)*XLOOKUP(XLOOKUP($Q370,'Threshold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Editor'!$E:$E,1))),stab,IF(OR(mtype=XLOOKUP(XLOOKUP($Q370,'Threshold Summary'!$Y:$Y,'Threshold Summary'!$K:$K,""),'Pokemon Editor'!$A:$A,'Pokemon Editor'!$C:$C,""),mtype=XLOOKUP(XLOOKUP($Q370,'Threshold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Chart'!$B$1:$S$1,0)))),base,IF(OR(cat="Status",pow=0),0,FLOOR(FLOOR(FLOOR((2*XLOOKUP($Q370,'Threshold Summary'!$Y:$Y,'Threshold Summary'!$L:$L,"")/5+2)*pow*atk/def)/50)+2)),modifier,stab*eff,FLOOR(base*modifier)),0)</f>
        <v/>
      </c>
      <c r="L370" s="3">
        <f>IFERROR(LET(mtype,XLOOKUP($D370,'Move Editor'!$B:$B,'Move Editor'!$C:$C,""),cat,XLOOKUP($D370,'Move Editor'!$B:$B,'Move Editor'!$D:$D,""),pow,XLOOKUP($D370,'Move Editor'!$B:$B,'Move Editor'!$E:$E,0),acc,XLOOKUP($D370,'Move Editor'!$B:$B,'Move Editor'!$F:$F,100),atk,IF(cat="Physical",FLOOR((FLOOR(((2*XLOOKUP(XLOOKUP($Q370,'Threshold Summary'!$Y:$Y,'Threshold Summary'!$K:$K,""),'Pokemon Editor'!$A:$A,'Pokemon Editor'!$F:$F,0)+31+FLOOR(XLOOKUP($Q370,'Threshold Summary'!$Y:$Y,'Threshold Summary'!$P:$P,"")/4))*XLOOKUP($Q370,'Threshold Summary'!$Y:$Y,'Threshold Summary'!$L:$L,""))/100)+5)*XLOOKUP(XLOOKUP($Q370,'Threshold Summary'!$Y:$Y,'Threshold Summary'!$M:$M,""),'Nature Editor'!$A:$A,'Nature Editor'!$B:$B,1)),FLOOR((FLOOR(((2*XLOOKUP(XLOOKUP($Q370,'Threshold Summary'!$Y:$Y,'Threshold Summary'!$K:$K,""),'Pokemon Editor'!$A:$A,'Pokemon Editor'!$H:$H,0)+31+FLOOR(XLOOKUP($Q370,'Threshold Summary'!$Y:$Y,'Threshold Summary'!$R:$R,"")/4))*XLOOKUP($Q370,'Threshold Summary'!$Y:$Y,'Threshold Summary'!$L:$L,""))/100)+5)*XLOOKUP(XLOOKUP($Q370,'Threshold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Editor'!$E:$E,1))),stab,IF(OR(mtype=XLOOKUP(XLOOKUP($Q370,'Threshold Summary'!$Y:$Y,'Threshold Summary'!$K:$K,""),'Pokemon Editor'!$A:$A,'Pokemon Editor'!$C:$C,""),mtype=XLOOKUP(XLOOKUP($Q370,'Threshold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Chart'!$B$1:$S$1,0)))),base,IF(OR(cat="Status",pow=0),0,FLOOR(FLOOR(FLOOR((2*XLOOKUP($Q370,'Threshold Summary'!$Y:$Y,'Threshold Summary'!$L:$L,"")/5+2)*pow*atk/def)/50)+2)),modifier,stab*eff,AVERAGE(ARRAYFORMULA(FLOOR(base*modifier*SEQUENCE(16,1,85,1)/100)))),0)</f>
        <v/>
      </c>
      <c r="M370" s="3">
        <f>IFERROR(LET(mtype,XLOOKUP($D370,'Move Editor'!$B:$B,'Move Editor'!$C:$C,""),cat,XLOOKUP($D370,'Move Editor'!$B:$B,'Move Editor'!$D:$D,""),pow,XLOOKUP($D370,'Move Editor'!$B:$B,'Move Editor'!$E:$E,0),acc,XLOOKUP($D370,'Move Editor'!$B:$B,'Move Editor'!$F:$F,100),atk,IF(cat="Physical",FLOOR((FLOOR(((2*XLOOKUP(XLOOKUP($Q370,'Threshold Summary'!$Y:$Y,'Threshold Summary'!$K:$K,""),'Pokemon Editor'!$A:$A,'Pokemon Editor'!$F:$F,0)+31+FLOOR(XLOOKUP($Q370,'Threshold Summary'!$Y:$Y,'Threshold Summary'!$P:$P,"")/4))*XLOOKUP($Q370,'Threshold Summary'!$Y:$Y,'Threshold Summary'!$L:$L,""))/100)+5)*XLOOKUP(XLOOKUP($Q370,'Threshold Summary'!$Y:$Y,'Threshold Summary'!$M:$M,""),'Nature Editor'!$A:$A,'Nature Editor'!$B:$B,1)),FLOOR((FLOOR(((2*XLOOKUP(XLOOKUP($Q370,'Threshold Summary'!$Y:$Y,'Threshold Summary'!$K:$K,""),'Pokemon Editor'!$A:$A,'Pokemon Editor'!$H:$H,0)+31+FLOOR(XLOOKUP($Q370,'Threshold Summary'!$Y:$Y,'Threshold Summary'!$R:$R,"")/4))*XLOOKUP($Q370,'Threshold Summary'!$Y:$Y,'Threshold Summary'!$L:$L,""))/100)+5)*XLOOKUP(XLOOKUP($Q370,'Threshold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Editor'!$E:$E,1))),stab,IF(OR(mtype=XLOOKUP(XLOOKUP($Q370,'Threshold Summary'!$Y:$Y,'Threshold Summary'!$K:$K,""),'Pokemon Editor'!$A:$A,'Pokemon Editor'!$C:$C,""),mtype=XLOOKUP(XLOOKUP($Q370,'Threshold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Chart'!$B$1:$S$1,0)))),base,IF(OR(cat="Status",pow=0),0,FLOOR(FLOOR(FLOOR((2*XLOOKUP($Q370,'Threshold Summary'!$Y:$Y,'Threshold Summary'!$L:$L,"")/5+2)*pow*atk/def)/50)+2)),modifier,stab*eff,AVERAGE(ARRAYFORMULA(FLOOR(base*modifier*SEQUENCE(16,1,85,1)/100)))*MIN(1,acc/100)),0)</f>
        <v/>
      </c>
      <c r="N370" s="4">
        <f>IFERROR(LET(mtype,XLOOKUP($D370,'Move Editor'!$B:$B,'Move Editor'!$C:$C,""),cat,XLOOKUP($D370,'Move Editor'!$B:$B,'Move Editor'!$D:$D,""),pow,XLOOKUP($D370,'Move Editor'!$B:$B,'Move Editor'!$E:$E,0),acc,XLOOKUP($D370,'Move Editor'!$B:$B,'Move Editor'!$F:$F,100),atk,IF(cat="Physical",FLOOR((FLOOR(((2*XLOOKUP(XLOOKUP($Q370,'Threshold Summary'!$Y:$Y,'Threshold Summary'!$K:$K,""),'Pokemon Editor'!$A:$A,'Pokemon Editor'!$F:$F,0)+31+FLOOR(XLOOKUP($Q370,'Threshold Summary'!$Y:$Y,'Threshold Summary'!$P:$P,"")/4))*XLOOKUP($Q370,'Threshold Summary'!$Y:$Y,'Threshold Summary'!$L:$L,""))/100)+5)*XLOOKUP(XLOOKUP($Q370,'Threshold Summary'!$Y:$Y,'Threshold Summary'!$M:$M,""),'Nature Editor'!$A:$A,'Nature Editor'!$B:$B,1)),FLOOR((FLOOR(((2*XLOOKUP(XLOOKUP($Q370,'Threshold Summary'!$Y:$Y,'Threshold Summary'!$K:$K,""),'Pokemon Editor'!$A:$A,'Pokemon Editor'!$H:$H,0)+31+FLOOR(XLOOKUP($Q370,'Threshold Summary'!$Y:$Y,'Threshold Summary'!$R:$R,"")/4))*XLOOKUP($Q370,'Threshold Summary'!$Y:$Y,'Threshold Summary'!$L:$L,""))/100)+5)*XLOOKUP(XLOOKUP($Q370,'Threshold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Editor'!$E:$E,1))),stab,IF(OR(mtype=XLOOKUP(XLOOKUP($Q370,'Threshold Summary'!$Y:$Y,'Threshold Summary'!$K:$K,""),'Pokemon Editor'!$A:$A,'Pokemon Editor'!$C:$C,""),mtype=XLOOKUP(XLOOKUP($Q370,'Threshold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Chart'!$B$1:$S$1,0)))),base,IF(OR(cat="Status",pow=0),0,FLOOR(FLOOR(FLOOR((2*XLOOKUP($Q370,'Threshold Summary'!$Y:$Y,'Threshold Summary'!$L:$L,"")/5+2)*pow*atk/def)/50)+2)),modifier,stab*eff,AVERAGE(ARRAYFORMULA(FLOOR(base*modifier*SEQUENCE(16,1,85,1)/100)))/(FLOOR(((2*XLOOKUP('Boss Editor'!$C$4,'Pokemon Editor'!$A:$A,'Pokemon Editor'!$E:$E,0)+31+FLOOR('Boss Editor'!$G$4/4))*'Boss Editor'!$D$4)/100)+'Boss Editor'!$D$4+10)),0)</f>
        <v/>
      </c>
      <c r="O370" s="3">
        <f>IF(N370&gt;=1,"OHKO",IF(N370&gt;=0.5,"2HKO",IF(N370&gt;=0.333,"3HKO",IF(N370&gt;=0.25,"4HKO","5HKO+"))))</f>
        <v/>
      </c>
      <c r="P370" s="3" t="inlineStr">
        <is>
          <t>Live from editable databases</t>
        </is>
      </c>
      <c r="Q370" s="3" t="inlineStr">
        <is>
          <t>SPECIES_COMBEE</t>
        </is>
      </c>
      <c r="R370" s="3" t="n">
        <v>17</v>
      </c>
    </row>
    <row r="371">
      <c r="A371" s="3">
        <f>XLOOKUP($Q371,'Threshold Summary'!$Y:$Y,'Threshold Summary'!$A:$A,"")</f>
        <v/>
      </c>
      <c r="B371" s="3">
        <f>XLOOKUP($Q371,'Threshold Summary'!$Y:$Y,'Threshold Summary'!$M:$M,"")</f>
        <v/>
      </c>
      <c r="C371" s="3">
        <f>XLOOKUP($Q371,'Threshold Summary'!$Y:$Y,'Threshold Summary'!$N:$N,"")</f>
        <v/>
      </c>
      <c r="D371" s="3">
        <f>IFERROR(INDEX(FILTER('Learnset Editor'!$D$2:$D,'Learnset Editor'!$A$2:$A=XLOOKUP($Q371,'Threshold Summary'!$Y:$Y,'Threshold Summary'!$K:$K,""),'Learnset Editor'!$C$2:$C&lt;=XLOOKUP($Q371,'Threshold Summary'!$Y:$Y,'Threshold Summary'!$L:$L,"")),$R371),"")</f>
        <v/>
      </c>
      <c r="E371" s="3">
        <f>XLOOKUP(D371,'Move Editor'!$B:$B,'Move Editor'!$C:$C,"")</f>
        <v/>
      </c>
      <c r="F371" s="3">
        <f>XLOOKUP(D371,'Move Editor'!$B:$B,'Move Editor'!$D:$D,"")</f>
        <v/>
      </c>
      <c r="G371" s="3">
        <f>XLOOKUP(D371,'Move Editor'!$B:$B,'Move Editor'!$E:$E,0)</f>
        <v/>
      </c>
      <c r="H371" s="3">
        <f>XLOOKUP(D371,'Move Editor'!$B:$B,'Move Editor'!$F:$F,0)</f>
        <v/>
      </c>
      <c r="I371" s="3">
        <f>(INDEX('Type Chart'!$B:$S,MATCH(E371,'Type Chart'!$A:$A,0),MATCH(XLOOKUP('Boss Editor'!$C$4,'Pokemon Editor'!$A:$A,'Pokemon Editor'!$C:$C,""),'Type Chart'!$B$1:$S$1,0))*IF(XLOOKUP('Boss Editor'!$C$4,'Pokemon Editor'!$A:$A,'Pokemon Editor'!$D:$D,"")="",1,INDEX('Type Chart'!$B:$S,MATCH(E371,'Type Chart'!$A:$A,0),MATCH(XLOOKUP('Boss Editor'!$C$4,'Pokemon Editor'!$A:$A,'Pokemon Editor'!$D:$D,""),'Type Chart'!$B$1:$S$1,0))))</f>
        <v/>
      </c>
      <c r="J371" s="3">
        <f>IFERROR(LET(mtype,XLOOKUP($D371,'Move Editor'!$B:$B,'Move Editor'!$C:$C,""),cat,XLOOKUP($D371,'Move Editor'!$B:$B,'Move Editor'!$D:$D,""),pow,XLOOKUP($D371,'Move Editor'!$B:$B,'Move Editor'!$E:$E,0),acc,XLOOKUP($D371,'Move Editor'!$B:$B,'Move Editor'!$F:$F,100),atk,IF(cat="Physical",FLOOR((FLOOR(((2*XLOOKUP(XLOOKUP($Q371,'Threshold Summary'!$Y:$Y,'Threshold Summary'!$K:$K,""),'Pokemon Editor'!$A:$A,'Pokemon Editor'!$F:$F,0)+31+FLOOR(XLOOKUP($Q371,'Threshold Summary'!$Y:$Y,'Threshold Summary'!$P:$P,"")/4))*XLOOKUP($Q371,'Threshold Summary'!$Y:$Y,'Threshold Summary'!$L:$L,""))/100)+5)*XLOOKUP(XLOOKUP($Q371,'Threshold Summary'!$Y:$Y,'Threshold Summary'!$M:$M,""),'Nature Editor'!$A:$A,'Nature Editor'!$B:$B,1)),FLOOR((FLOOR(((2*XLOOKUP(XLOOKUP($Q371,'Threshold Summary'!$Y:$Y,'Threshold Summary'!$K:$K,""),'Pokemon Editor'!$A:$A,'Pokemon Editor'!$H:$H,0)+31+FLOOR(XLOOKUP($Q371,'Threshold Summary'!$Y:$Y,'Threshold Summary'!$R:$R,"")/4))*XLOOKUP($Q371,'Threshold Summary'!$Y:$Y,'Threshold Summary'!$L:$L,""))/100)+5)*XLOOKUP(XLOOKUP($Q371,'Threshold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Editor'!$E:$E,1))),stab,IF(OR(mtype=XLOOKUP(XLOOKUP($Q371,'Threshold Summary'!$Y:$Y,'Threshold Summary'!$K:$K,""),'Pokemon Editor'!$A:$A,'Pokemon Editor'!$C:$C,""),mtype=XLOOKUP(XLOOKUP($Q371,'Threshold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Chart'!$B$1:$S$1,0)))),base,IF(OR(cat="Status",pow=0),0,FLOOR(FLOOR(FLOOR((2*XLOOKUP($Q371,'Threshold Summary'!$Y:$Y,'Threshold Summary'!$L:$L,"")/5+2)*pow*atk/def)/50)+2)),modifier,stab*eff,FLOOR(base*modifier*0.85)),0)</f>
        <v/>
      </c>
      <c r="K371" s="3">
        <f>IFERROR(LET(mtype,XLOOKUP($D371,'Move Editor'!$B:$B,'Move Editor'!$C:$C,""),cat,XLOOKUP($D371,'Move Editor'!$B:$B,'Move Editor'!$D:$D,""),pow,XLOOKUP($D371,'Move Editor'!$B:$B,'Move Editor'!$E:$E,0),acc,XLOOKUP($D371,'Move Editor'!$B:$B,'Move Editor'!$F:$F,100),atk,IF(cat="Physical",FLOOR((FLOOR(((2*XLOOKUP(XLOOKUP($Q371,'Threshold Summary'!$Y:$Y,'Threshold Summary'!$K:$K,""),'Pokemon Editor'!$A:$A,'Pokemon Editor'!$F:$F,0)+31+FLOOR(XLOOKUP($Q371,'Threshold Summary'!$Y:$Y,'Threshold Summary'!$P:$P,"")/4))*XLOOKUP($Q371,'Threshold Summary'!$Y:$Y,'Threshold Summary'!$L:$L,""))/100)+5)*XLOOKUP(XLOOKUP($Q371,'Threshold Summary'!$Y:$Y,'Threshold Summary'!$M:$M,""),'Nature Editor'!$A:$A,'Nature Editor'!$B:$B,1)),FLOOR((FLOOR(((2*XLOOKUP(XLOOKUP($Q371,'Threshold Summary'!$Y:$Y,'Threshold Summary'!$K:$K,""),'Pokemon Editor'!$A:$A,'Pokemon Editor'!$H:$H,0)+31+FLOOR(XLOOKUP($Q371,'Threshold Summary'!$Y:$Y,'Threshold Summary'!$R:$R,"")/4))*XLOOKUP($Q371,'Threshold Summary'!$Y:$Y,'Threshold Summary'!$L:$L,""))/100)+5)*XLOOKUP(XLOOKUP($Q371,'Threshold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Editor'!$E:$E,1))),stab,IF(OR(mtype=XLOOKUP(XLOOKUP($Q371,'Threshold Summary'!$Y:$Y,'Threshold Summary'!$K:$K,""),'Pokemon Editor'!$A:$A,'Pokemon Editor'!$C:$C,""),mtype=XLOOKUP(XLOOKUP($Q371,'Threshold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Chart'!$B$1:$S$1,0)))),base,IF(OR(cat="Status",pow=0),0,FLOOR(FLOOR(FLOOR((2*XLOOKUP($Q371,'Threshold Summary'!$Y:$Y,'Threshold Summary'!$L:$L,"")/5+2)*pow*atk/def)/50)+2)),modifier,stab*eff,FLOOR(base*modifier)),0)</f>
        <v/>
      </c>
      <c r="L371" s="3">
        <f>IFERROR(LET(mtype,XLOOKUP($D371,'Move Editor'!$B:$B,'Move Editor'!$C:$C,""),cat,XLOOKUP($D371,'Move Editor'!$B:$B,'Move Editor'!$D:$D,""),pow,XLOOKUP($D371,'Move Editor'!$B:$B,'Move Editor'!$E:$E,0),acc,XLOOKUP($D371,'Move Editor'!$B:$B,'Move Editor'!$F:$F,100),atk,IF(cat="Physical",FLOOR((FLOOR(((2*XLOOKUP(XLOOKUP($Q371,'Threshold Summary'!$Y:$Y,'Threshold Summary'!$K:$K,""),'Pokemon Editor'!$A:$A,'Pokemon Editor'!$F:$F,0)+31+FLOOR(XLOOKUP($Q371,'Threshold Summary'!$Y:$Y,'Threshold Summary'!$P:$P,"")/4))*XLOOKUP($Q371,'Threshold Summary'!$Y:$Y,'Threshold Summary'!$L:$L,""))/100)+5)*XLOOKUP(XLOOKUP($Q371,'Threshold Summary'!$Y:$Y,'Threshold Summary'!$M:$M,""),'Nature Editor'!$A:$A,'Nature Editor'!$B:$B,1)),FLOOR((FLOOR(((2*XLOOKUP(XLOOKUP($Q371,'Threshold Summary'!$Y:$Y,'Threshold Summary'!$K:$K,""),'Pokemon Editor'!$A:$A,'Pokemon Editor'!$H:$H,0)+31+FLOOR(XLOOKUP($Q371,'Threshold Summary'!$Y:$Y,'Threshold Summary'!$R:$R,"")/4))*XLOOKUP($Q371,'Threshold Summary'!$Y:$Y,'Threshold Summary'!$L:$L,""))/100)+5)*XLOOKUP(XLOOKUP($Q371,'Threshold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Editor'!$E:$E,1))),stab,IF(OR(mtype=XLOOKUP(XLOOKUP($Q371,'Threshold Summary'!$Y:$Y,'Threshold Summary'!$K:$K,""),'Pokemon Editor'!$A:$A,'Pokemon Editor'!$C:$C,""),mtype=XLOOKUP(XLOOKUP($Q371,'Threshold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Chart'!$B$1:$S$1,0)))),base,IF(OR(cat="Status",pow=0),0,FLOOR(FLOOR(FLOOR((2*XLOOKUP($Q371,'Threshold Summary'!$Y:$Y,'Threshold Summary'!$L:$L,"")/5+2)*pow*atk/def)/50)+2)),modifier,stab*eff,AVERAGE(ARRAYFORMULA(FLOOR(base*modifier*SEQUENCE(16,1,85,1)/100)))),0)</f>
        <v/>
      </c>
      <c r="M371" s="3">
        <f>IFERROR(LET(mtype,XLOOKUP($D371,'Move Editor'!$B:$B,'Move Editor'!$C:$C,""),cat,XLOOKUP($D371,'Move Editor'!$B:$B,'Move Editor'!$D:$D,""),pow,XLOOKUP($D371,'Move Editor'!$B:$B,'Move Editor'!$E:$E,0),acc,XLOOKUP($D371,'Move Editor'!$B:$B,'Move Editor'!$F:$F,100),atk,IF(cat="Physical",FLOOR((FLOOR(((2*XLOOKUP(XLOOKUP($Q371,'Threshold Summary'!$Y:$Y,'Threshold Summary'!$K:$K,""),'Pokemon Editor'!$A:$A,'Pokemon Editor'!$F:$F,0)+31+FLOOR(XLOOKUP($Q371,'Threshold Summary'!$Y:$Y,'Threshold Summary'!$P:$P,"")/4))*XLOOKUP($Q371,'Threshold Summary'!$Y:$Y,'Threshold Summary'!$L:$L,""))/100)+5)*XLOOKUP(XLOOKUP($Q371,'Threshold Summary'!$Y:$Y,'Threshold Summary'!$M:$M,""),'Nature Editor'!$A:$A,'Nature Editor'!$B:$B,1)),FLOOR((FLOOR(((2*XLOOKUP(XLOOKUP($Q371,'Threshold Summary'!$Y:$Y,'Threshold Summary'!$K:$K,""),'Pokemon Editor'!$A:$A,'Pokemon Editor'!$H:$H,0)+31+FLOOR(XLOOKUP($Q371,'Threshold Summary'!$Y:$Y,'Threshold Summary'!$R:$R,"")/4))*XLOOKUP($Q371,'Threshold Summary'!$Y:$Y,'Threshold Summary'!$L:$L,""))/100)+5)*XLOOKUP(XLOOKUP($Q371,'Threshold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Editor'!$E:$E,1))),stab,IF(OR(mtype=XLOOKUP(XLOOKUP($Q371,'Threshold Summary'!$Y:$Y,'Threshold Summary'!$K:$K,""),'Pokemon Editor'!$A:$A,'Pokemon Editor'!$C:$C,""),mtype=XLOOKUP(XLOOKUP($Q371,'Threshold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Chart'!$B$1:$S$1,0)))),base,IF(OR(cat="Status",pow=0),0,FLOOR(FLOOR(FLOOR((2*XLOOKUP($Q371,'Threshold Summary'!$Y:$Y,'Threshold Summary'!$L:$L,"")/5+2)*pow*atk/def)/50)+2)),modifier,stab*eff,AVERAGE(ARRAYFORMULA(FLOOR(base*modifier*SEQUENCE(16,1,85,1)/100)))*MIN(1,acc/100)),0)</f>
        <v/>
      </c>
      <c r="N371" s="4">
        <f>IFERROR(LET(mtype,XLOOKUP($D371,'Move Editor'!$B:$B,'Move Editor'!$C:$C,""),cat,XLOOKUP($D371,'Move Editor'!$B:$B,'Move Editor'!$D:$D,""),pow,XLOOKUP($D371,'Move Editor'!$B:$B,'Move Editor'!$E:$E,0),acc,XLOOKUP($D371,'Move Editor'!$B:$B,'Move Editor'!$F:$F,100),atk,IF(cat="Physical",FLOOR((FLOOR(((2*XLOOKUP(XLOOKUP($Q371,'Threshold Summary'!$Y:$Y,'Threshold Summary'!$K:$K,""),'Pokemon Editor'!$A:$A,'Pokemon Editor'!$F:$F,0)+31+FLOOR(XLOOKUP($Q371,'Threshold Summary'!$Y:$Y,'Threshold Summary'!$P:$P,"")/4))*XLOOKUP($Q371,'Threshold Summary'!$Y:$Y,'Threshold Summary'!$L:$L,""))/100)+5)*XLOOKUP(XLOOKUP($Q371,'Threshold Summary'!$Y:$Y,'Threshold Summary'!$M:$M,""),'Nature Editor'!$A:$A,'Nature Editor'!$B:$B,1)),FLOOR((FLOOR(((2*XLOOKUP(XLOOKUP($Q371,'Threshold Summary'!$Y:$Y,'Threshold Summary'!$K:$K,""),'Pokemon Editor'!$A:$A,'Pokemon Editor'!$H:$H,0)+31+FLOOR(XLOOKUP($Q371,'Threshold Summary'!$Y:$Y,'Threshold Summary'!$R:$R,"")/4))*XLOOKUP($Q371,'Threshold Summary'!$Y:$Y,'Threshold Summary'!$L:$L,""))/100)+5)*XLOOKUP(XLOOKUP($Q371,'Threshold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Editor'!$E:$E,1))),stab,IF(OR(mtype=XLOOKUP(XLOOKUP($Q371,'Threshold Summary'!$Y:$Y,'Threshold Summary'!$K:$K,""),'Pokemon Editor'!$A:$A,'Pokemon Editor'!$C:$C,""),mtype=XLOOKUP(XLOOKUP($Q371,'Threshold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Chart'!$B$1:$S$1,0)))),base,IF(OR(cat="Status",pow=0),0,FLOOR(FLOOR(FLOOR((2*XLOOKUP($Q371,'Threshold Summary'!$Y:$Y,'Threshold Summary'!$L:$L,"")/5+2)*pow*atk/def)/50)+2)),modifier,stab*eff,AVERAGE(ARRAYFORMULA(FLOOR(base*modifier*SEQUENCE(16,1,85,1)/100)))/(FLOOR(((2*XLOOKUP('Boss Editor'!$C$4,'Pokemon Editor'!$A:$A,'Pokemon Editor'!$E:$E,0)+31+FLOOR('Boss Editor'!$G$4/4))*'Boss Editor'!$D$4)/100)+'Boss Editor'!$D$4+10)),0)</f>
        <v/>
      </c>
      <c r="O371" s="3">
        <f>IF(N371&gt;=1,"OHKO",IF(N371&gt;=0.5,"2HKO",IF(N371&gt;=0.333,"3HKO",IF(N371&gt;=0.25,"4HKO","5HKO+"))))</f>
        <v/>
      </c>
      <c r="P371" s="3" t="inlineStr">
        <is>
          <t>Live from editable databases</t>
        </is>
      </c>
      <c r="Q371" s="3" t="inlineStr">
        <is>
          <t>SPECIES_COMBEE</t>
        </is>
      </c>
      <c r="R371" s="3" t="n">
        <v>18</v>
      </c>
    </row>
    <row r="372">
      <c r="A372" s="3">
        <f>XLOOKUP($Q372,'Threshold Summary'!$Y:$Y,'Threshold Summary'!$A:$A,"")</f>
        <v/>
      </c>
      <c r="B372" s="3">
        <f>XLOOKUP($Q372,'Threshold Summary'!$Y:$Y,'Threshold Summary'!$M:$M,"")</f>
        <v/>
      </c>
      <c r="C372" s="3">
        <f>XLOOKUP($Q372,'Threshold Summary'!$Y:$Y,'Threshold Summary'!$N:$N,"")</f>
        <v/>
      </c>
      <c r="D372" s="3">
        <f>IFERROR(INDEX(FILTER('Learnset Editor'!$D$2:$D,'Learnset Editor'!$A$2:$A=XLOOKUP($Q372,'Threshold Summary'!$Y:$Y,'Threshold Summary'!$K:$K,""),'Learnset Editor'!$C$2:$C&lt;=XLOOKUP($Q372,'Threshold Summary'!$Y:$Y,'Threshold Summary'!$L:$L,"")),$R372),"")</f>
        <v/>
      </c>
      <c r="E372" s="3">
        <f>XLOOKUP(D372,'Move Editor'!$B:$B,'Move Editor'!$C:$C,"")</f>
        <v/>
      </c>
      <c r="F372" s="3">
        <f>XLOOKUP(D372,'Move Editor'!$B:$B,'Move Editor'!$D:$D,"")</f>
        <v/>
      </c>
      <c r="G372" s="3">
        <f>XLOOKUP(D372,'Move Editor'!$B:$B,'Move Editor'!$E:$E,0)</f>
        <v/>
      </c>
      <c r="H372" s="3">
        <f>XLOOKUP(D372,'Move Editor'!$B:$B,'Move Editor'!$F:$F,0)</f>
        <v/>
      </c>
      <c r="I372" s="3">
        <f>(INDEX('Type Chart'!$B:$S,MATCH(E372,'Type Chart'!$A:$A,0),MATCH(XLOOKUP('Boss Editor'!$C$4,'Pokemon Editor'!$A:$A,'Pokemon Editor'!$C:$C,""),'Type Chart'!$B$1:$S$1,0))*IF(XLOOKUP('Boss Editor'!$C$4,'Pokemon Editor'!$A:$A,'Pokemon Editor'!$D:$D,"")="",1,INDEX('Type Chart'!$B:$S,MATCH(E372,'Type Chart'!$A:$A,0),MATCH(XLOOKUP('Boss Editor'!$C$4,'Pokemon Editor'!$A:$A,'Pokemon Editor'!$D:$D,""),'Type Chart'!$B$1:$S$1,0))))</f>
        <v/>
      </c>
      <c r="J372" s="3">
        <f>IFERROR(LET(mtype,XLOOKUP($D372,'Move Editor'!$B:$B,'Move Editor'!$C:$C,""),cat,XLOOKUP($D372,'Move Editor'!$B:$B,'Move Editor'!$D:$D,""),pow,XLOOKUP($D372,'Move Editor'!$B:$B,'Move Editor'!$E:$E,0),acc,XLOOKUP($D372,'Move Editor'!$B:$B,'Move Editor'!$F:$F,100),atk,IF(cat="Physical",FLOOR((FLOOR(((2*XLOOKUP(XLOOKUP($Q372,'Threshold Summary'!$Y:$Y,'Threshold Summary'!$K:$K,""),'Pokemon Editor'!$A:$A,'Pokemon Editor'!$F:$F,0)+31+FLOOR(XLOOKUP($Q372,'Threshold Summary'!$Y:$Y,'Threshold Summary'!$P:$P,"")/4))*XLOOKUP($Q372,'Threshold Summary'!$Y:$Y,'Threshold Summary'!$L:$L,""))/100)+5)*XLOOKUP(XLOOKUP($Q372,'Threshold Summary'!$Y:$Y,'Threshold Summary'!$M:$M,""),'Nature Editor'!$A:$A,'Nature Editor'!$B:$B,1)),FLOOR((FLOOR(((2*XLOOKUP(XLOOKUP($Q372,'Threshold Summary'!$Y:$Y,'Threshold Summary'!$K:$K,""),'Pokemon Editor'!$A:$A,'Pokemon Editor'!$H:$H,0)+31+FLOOR(XLOOKUP($Q372,'Threshold Summary'!$Y:$Y,'Threshold Summary'!$R:$R,"")/4))*XLOOKUP($Q372,'Threshold Summary'!$Y:$Y,'Threshold Summary'!$L:$L,""))/100)+5)*XLOOKUP(XLOOKUP($Q372,'Threshold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Editor'!$E:$E,1))),stab,IF(OR(mtype=XLOOKUP(XLOOKUP($Q372,'Threshold Summary'!$Y:$Y,'Threshold Summary'!$K:$K,""),'Pokemon Editor'!$A:$A,'Pokemon Editor'!$C:$C,""),mtype=XLOOKUP(XLOOKUP($Q372,'Threshold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Chart'!$B$1:$S$1,0)))),base,IF(OR(cat="Status",pow=0),0,FLOOR(FLOOR(FLOOR((2*XLOOKUP($Q372,'Threshold Summary'!$Y:$Y,'Threshold Summary'!$L:$L,"")/5+2)*pow*atk/def)/50)+2)),modifier,stab*eff,FLOOR(base*modifier*0.85)),0)</f>
        <v/>
      </c>
      <c r="K372" s="3">
        <f>IFERROR(LET(mtype,XLOOKUP($D372,'Move Editor'!$B:$B,'Move Editor'!$C:$C,""),cat,XLOOKUP($D372,'Move Editor'!$B:$B,'Move Editor'!$D:$D,""),pow,XLOOKUP($D372,'Move Editor'!$B:$B,'Move Editor'!$E:$E,0),acc,XLOOKUP($D372,'Move Editor'!$B:$B,'Move Editor'!$F:$F,100),atk,IF(cat="Physical",FLOOR((FLOOR(((2*XLOOKUP(XLOOKUP($Q372,'Threshold Summary'!$Y:$Y,'Threshold Summary'!$K:$K,""),'Pokemon Editor'!$A:$A,'Pokemon Editor'!$F:$F,0)+31+FLOOR(XLOOKUP($Q372,'Threshold Summary'!$Y:$Y,'Threshold Summary'!$P:$P,"")/4))*XLOOKUP($Q372,'Threshold Summary'!$Y:$Y,'Threshold Summary'!$L:$L,""))/100)+5)*XLOOKUP(XLOOKUP($Q372,'Threshold Summary'!$Y:$Y,'Threshold Summary'!$M:$M,""),'Nature Editor'!$A:$A,'Nature Editor'!$B:$B,1)),FLOOR((FLOOR(((2*XLOOKUP(XLOOKUP($Q372,'Threshold Summary'!$Y:$Y,'Threshold Summary'!$K:$K,""),'Pokemon Editor'!$A:$A,'Pokemon Editor'!$H:$H,0)+31+FLOOR(XLOOKUP($Q372,'Threshold Summary'!$Y:$Y,'Threshold Summary'!$R:$R,"")/4))*XLOOKUP($Q372,'Threshold Summary'!$Y:$Y,'Threshold Summary'!$L:$L,""))/100)+5)*XLOOKUP(XLOOKUP($Q372,'Threshold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Editor'!$E:$E,1))),stab,IF(OR(mtype=XLOOKUP(XLOOKUP($Q372,'Threshold Summary'!$Y:$Y,'Threshold Summary'!$K:$K,""),'Pokemon Editor'!$A:$A,'Pokemon Editor'!$C:$C,""),mtype=XLOOKUP(XLOOKUP($Q372,'Threshold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Chart'!$B$1:$S$1,0)))),base,IF(OR(cat="Status",pow=0),0,FLOOR(FLOOR(FLOOR((2*XLOOKUP($Q372,'Threshold Summary'!$Y:$Y,'Threshold Summary'!$L:$L,"")/5+2)*pow*atk/def)/50)+2)),modifier,stab*eff,FLOOR(base*modifier)),0)</f>
        <v/>
      </c>
      <c r="L372" s="3">
        <f>IFERROR(LET(mtype,XLOOKUP($D372,'Move Editor'!$B:$B,'Move Editor'!$C:$C,""),cat,XLOOKUP($D372,'Move Editor'!$B:$B,'Move Editor'!$D:$D,""),pow,XLOOKUP($D372,'Move Editor'!$B:$B,'Move Editor'!$E:$E,0),acc,XLOOKUP($D372,'Move Editor'!$B:$B,'Move Editor'!$F:$F,100),atk,IF(cat="Physical",FLOOR((FLOOR(((2*XLOOKUP(XLOOKUP($Q372,'Threshold Summary'!$Y:$Y,'Threshold Summary'!$K:$K,""),'Pokemon Editor'!$A:$A,'Pokemon Editor'!$F:$F,0)+31+FLOOR(XLOOKUP($Q372,'Threshold Summary'!$Y:$Y,'Threshold Summary'!$P:$P,"")/4))*XLOOKUP($Q372,'Threshold Summary'!$Y:$Y,'Threshold Summary'!$L:$L,""))/100)+5)*XLOOKUP(XLOOKUP($Q372,'Threshold Summary'!$Y:$Y,'Threshold Summary'!$M:$M,""),'Nature Editor'!$A:$A,'Nature Editor'!$B:$B,1)),FLOOR((FLOOR(((2*XLOOKUP(XLOOKUP($Q372,'Threshold Summary'!$Y:$Y,'Threshold Summary'!$K:$K,""),'Pokemon Editor'!$A:$A,'Pokemon Editor'!$H:$H,0)+31+FLOOR(XLOOKUP($Q372,'Threshold Summary'!$Y:$Y,'Threshold Summary'!$R:$R,"")/4))*XLOOKUP($Q372,'Threshold Summary'!$Y:$Y,'Threshold Summary'!$L:$L,""))/100)+5)*XLOOKUP(XLOOKUP($Q372,'Threshold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Editor'!$E:$E,1))),stab,IF(OR(mtype=XLOOKUP(XLOOKUP($Q372,'Threshold Summary'!$Y:$Y,'Threshold Summary'!$K:$K,""),'Pokemon Editor'!$A:$A,'Pokemon Editor'!$C:$C,""),mtype=XLOOKUP(XLOOKUP($Q372,'Threshold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Chart'!$B$1:$S$1,0)))),base,IF(OR(cat="Status",pow=0),0,FLOOR(FLOOR(FLOOR((2*XLOOKUP($Q372,'Threshold Summary'!$Y:$Y,'Threshold Summary'!$L:$L,"")/5+2)*pow*atk/def)/50)+2)),modifier,stab*eff,AVERAGE(ARRAYFORMULA(FLOOR(base*modifier*SEQUENCE(16,1,85,1)/100)))),0)</f>
        <v/>
      </c>
      <c r="M372" s="3">
        <f>IFERROR(LET(mtype,XLOOKUP($D372,'Move Editor'!$B:$B,'Move Editor'!$C:$C,""),cat,XLOOKUP($D372,'Move Editor'!$B:$B,'Move Editor'!$D:$D,""),pow,XLOOKUP($D372,'Move Editor'!$B:$B,'Move Editor'!$E:$E,0),acc,XLOOKUP($D372,'Move Editor'!$B:$B,'Move Editor'!$F:$F,100),atk,IF(cat="Physical",FLOOR((FLOOR(((2*XLOOKUP(XLOOKUP($Q372,'Threshold Summary'!$Y:$Y,'Threshold Summary'!$K:$K,""),'Pokemon Editor'!$A:$A,'Pokemon Editor'!$F:$F,0)+31+FLOOR(XLOOKUP($Q372,'Threshold Summary'!$Y:$Y,'Threshold Summary'!$P:$P,"")/4))*XLOOKUP($Q372,'Threshold Summary'!$Y:$Y,'Threshold Summary'!$L:$L,""))/100)+5)*XLOOKUP(XLOOKUP($Q372,'Threshold Summary'!$Y:$Y,'Threshold Summary'!$M:$M,""),'Nature Editor'!$A:$A,'Nature Editor'!$B:$B,1)),FLOOR((FLOOR(((2*XLOOKUP(XLOOKUP($Q372,'Threshold Summary'!$Y:$Y,'Threshold Summary'!$K:$K,""),'Pokemon Editor'!$A:$A,'Pokemon Editor'!$H:$H,0)+31+FLOOR(XLOOKUP($Q372,'Threshold Summary'!$Y:$Y,'Threshold Summary'!$R:$R,"")/4))*XLOOKUP($Q372,'Threshold Summary'!$Y:$Y,'Threshold Summary'!$L:$L,""))/100)+5)*XLOOKUP(XLOOKUP($Q372,'Threshold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Editor'!$E:$E,1))),stab,IF(OR(mtype=XLOOKUP(XLOOKUP($Q372,'Threshold Summary'!$Y:$Y,'Threshold Summary'!$K:$K,""),'Pokemon Editor'!$A:$A,'Pokemon Editor'!$C:$C,""),mtype=XLOOKUP(XLOOKUP($Q372,'Threshold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Chart'!$B$1:$S$1,0)))),base,IF(OR(cat="Status",pow=0),0,FLOOR(FLOOR(FLOOR((2*XLOOKUP($Q372,'Threshold Summary'!$Y:$Y,'Threshold Summary'!$L:$L,"")/5+2)*pow*atk/def)/50)+2)),modifier,stab*eff,AVERAGE(ARRAYFORMULA(FLOOR(base*modifier*SEQUENCE(16,1,85,1)/100)))*MIN(1,acc/100)),0)</f>
        <v/>
      </c>
      <c r="N372" s="4">
        <f>IFERROR(LET(mtype,XLOOKUP($D372,'Move Editor'!$B:$B,'Move Editor'!$C:$C,""),cat,XLOOKUP($D372,'Move Editor'!$B:$B,'Move Editor'!$D:$D,""),pow,XLOOKUP($D372,'Move Editor'!$B:$B,'Move Editor'!$E:$E,0),acc,XLOOKUP($D372,'Move Editor'!$B:$B,'Move Editor'!$F:$F,100),atk,IF(cat="Physical",FLOOR((FLOOR(((2*XLOOKUP(XLOOKUP($Q372,'Threshold Summary'!$Y:$Y,'Threshold Summary'!$K:$K,""),'Pokemon Editor'!$A:$A,'Pokemon Editor'!$F:$F,0)+31+FLOOR(XLOOKUP($Q372,'Threshold Summary'!$Y:$Y,'Threshold Summary'!$P:$P,"")/4))*XLOOKUP($Q372,'Threshold Summary'!$Y:$Y,'Threshold Summary'!$L:$L,""))/100)+5)*XLOOKUP(XLOOKUP($Q372,'Threshold Summary'!$Y:$Y,'Threshold Summary'!$M:$M,""),'Nature Editor'!$A:$A,'Nature Editor'!$B:$B,1)),FLOOR((FLOOR(((2*XLOOKUP(XLOOKUP($Q372,'Threshold Summary'!$Y:$Y,'Threshold Summary'!$K:$K,""),'Pokemon Editor'!$A:$A,'Pokemon Editor'!$H:$H,0)+31+FLOOR(XLOOKUP($Q372,'Threshold Summary'!$Y:$Y,'Threshold Summary'!$R:$R,"")/4))*XLOOKUP($Q372,'Threshold Summary'!$Y:$Y,'Threshold Summary'!$L:$L,""))/100)+5)*XLOOKUP(XLOOKUP($Q372,'Threshold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Editor'!$E:$E,1))),stab,IF(OR(mtype=XLOOKUP(XLOOKUP($Q372,'Threshold Summary'!$Y:$Y,'Threshold Summary'!$K:$K,""),'Pokemon Editor'!$A:$A,'Pokemon Editor'!$C:$C,""),mtype=XLOOKUP(XLOOKUP($Q372,'Threshold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Chart'!$B$1:$S$1,0)))),base,IF(OR(cat="Status",pow=0),0,FLOOR(FLOOR(FLOOR((2*XLOOKUP($Q372,'Threshold Summary'!$Y:$Y,'Threshold Summary'!$L:$L,"")/5+2)*pow*atk/def)/50)+2)),modifier,stab*eff,AVERAGE(ARRAYFORMULA(FLOOR(base*modifier*SEQUENCE(16,1,85,1)/100)))/(FLOOR(((2*XLOOKUP('Boss Editor'!$C$4,'Pokemon Editor'!$A:$A,'Pokemon Editor'!$E:$E,0)+31+FLOOR('Boss Editor'!$G$4/4))*'Boss Editor'!$D$4)/100)+'Boss Editor'!$D$4+10)),0)</f>
        <v/>
      </c>
      <c r="O372" s="3">
        <f>IF(N372&gt;=1,"OHKO",IF(N372&gt;=0.5,"2HKO",IF(N372&gt;=0.333,"3HKO",IF(N372&gt;=0.25,"4HKO","5HKO+"))))</f>
        <v/>
      </c>
      <c r="P372" s="3" t="inlineStr">
        <is>
          <t>Live from editable databases</t>
        </is>
      </c>
      <c r="Q372" s="3" t="inlineStr">
        <is>
          <t>SPECIES_COMBEE</t>
        </is>
      </c>
      <c r="R372" s="3" t="n">
        <v>19</v>
      </c>
    </row>
    <row r="373">
      <c r="A373" s="3">
        <f>XLOOKUP($Q373,'Threshold Summary'!$Y:$Y,'Threshold Summary'!$A:$A,"")</f>
        <v/>
      </c>
      <c r="B373" s="3">
        <f>XLOOKUP($Q373,'Threshold Summary'!$Y:$Y,'Threshold Summary'!$M:$M,"")</f>
        <v/>
      </c>
      <c r="C373" s="3">
        <f>XLOOKUP($Q373,'Threshold Summary'!$Y:$Y,'Threshold Summary'!$N:$N,"")</f>
        <v/>
      </c>
      <c r="D373" s="3">
        <f>IFERROR(INDEX(FILTER('Learnset Editor'!$D$2:$D,'Learnset Editor'!$A$2:$A=XLOOKUP($Q373,'Threshold Summary'!$Y:$Y,'Threshold Summary'!$K:$K,""),'Learnset Editor'!$C$2:$C&lt;=XLOOKUP($Q373,'Threshold Summary'!$Y:$Y,'Threshold Summary'!$L:$L,"")),$R373),"")</f>
        <v/>
      </c>
      <c r="E373" s="3">
        <f>XLOOKUP(D373,'Move Editor'!$B:$B,'Move Editor'!$C:$C,"")</f>
        <v/>
      </c>
      <c r="F373" s="3">
        <f>XLOOKUP(D373,'Move Editor'!$B:$B,'Move Editor'!$D:$D,"")</f>
        <v/>
      </c>
      <c r="G373" s="3">
        <f>XLOOKUP(D373,'Move Editor'!$B:$B,'Move Editor'!$E:$E,0)</f>
        <v/>
      </c>
      <c r="H373" s="3">
        <f>XLOOKUP(D373,'Move Editor'!$B:$B,'Move Editor'!$F:$F,0)</f>
        <v/>
      </c>
      <c r="I373" s="3">
        <f>(INDEX('Type Chart'!$B:$S,MATCH(E373,'Type Chart'!$A:$A,0),MATCH(XLOOKUP('Boss Editor'!$C$4,'Pokemon Editor'!$A:$A,'Pokemon Editor'!$C:$C,""),'Type Chart'!$B$1:$S$1,0))*IF(XLOOKUP('Boss Editor'!$C$4,'Pokemon Editor'!$A:$A,'Pokemon Editor'!$D:$D,"")="",1,INDEX('Type Chart'!$B:$S,MATCH(E373,'Type Chart'!$A:$A,0),MATCH(XLOOKUP('Boss Editor'!$C$4,'Pokemon Editor'!$A:$A,'Pokemon Editor'!$D:$D,""),'Type Chart'!$B$1:$S$1,0))))</f>
        <v/>
      </c>
      <c r="J373" s="3">
        <f>IFERROR(LET(mtype,XLOOKUP($D373,'Move Editor'!$B:$B,'Move Editor'!$C:$C,""),cat,XLOOKUP($D373,'Move Editor'!$B:$B,'Move Editor'!$D:$D,""),pow,XLOOKUP($D373,'Move Editor'!$B:$B,'Move Editor'!$E:$E,0),acc,XLOOKUP($D373,'Move Editor'!$B:$B,'Move Editor'!$F:$F,100),atk,IF(cat="Physical",FLOOR((FLOOR(((2*XLOOKUP(XLOOKUP($Q373,'Threshold Summary'!$Y:$Y,'Threshold Summary'!$K:$K,""),'Pokemon Editor'!$A:$A,'Pokemon Editor'!$F:$F,0)+31+FLOOR(XLOOKUP($Q373,'Threshold Summary'!$Y:$Y,'Threshold Summary'!$P:$P,"")/4))*XLOOKUP($Q373,'Threshold Summary'!$Y:$Y,'Threshold Summary'!$L:$L,""))/100)+5)*XLOOKUP(XLOOKUP($Q373,'Threshold Summary'!$Y:$Y,'Threshold Summary'!$M:$M,""),'Nature Editor'!$A:$A,'Nature Editor'!$B:$B,1)),FLOOR((FLOOR(((2*XLOOKUP(XLOOKUP($Q373,'Threshold Summary'!$Y:$Y,'Threshold Summary'!$K:$K,""),'Pokemon Editor'!$A:$A,'Pokemon Editor'!$H:$H,0)+31+FLOOR(XLOOKUP($Q373,'Threshold Summary'!$Y:$Y,'Threshold Summary'!$R:$R,"")/4))*XLOOKUP($Q373,'Threshold Summary'!$Y:$Y,'Threshold Summary'!$L:$L,""))/100)+5)*XLOOKUP(XLOOKUP($Q373,'Threshold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Editor'!$E:$E,1))),stab,IF(OR(mtype=XLOOKUP(XLOOKUP($Q373,'Threshold Summary'!$Y:$Y,'Threshold Summary'!$K:$K,""),'Pokemon Editor'!$A:$A,'Pokemon Editor'!$C:$C,""),mtype=XLOOKUP(XLOOKUP($Q373,'Threshold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Chart'!$B$1:$S$1,0)))),base,IF(OR(cat="Status",pow=0),0,FLOOR(FLOOR(FLOOR((2*XLOOKUP($Q373,'Threshold Summary'!$Y:$Y,'Threshold Summary'!$L:$L,"")/5+2)*pow*atk/def)/50)+2)),modifier,stab*eff,FLOOR(base*modifier*0.85)),0)</f>
        <v/>
      </c>
      <c r="K373" s="3">
        <f>IFERROR(LET(mtype,XLOOKUP($D373,'Move Editor'!$B:$B,'Move Editor'!$C:$C,""),cat,XLOOKUP($D373,'Move Editor'!$B:$B,'Move Editor'!$D:$D,""),pow,XLOOKUP($D373,'Move Editor'!$B:$B,'Move Editor'!$E:$E,0),acc,XLOOKUP($D373,'Move Editor'!$B:$B,'Move Editor'!$F:$F,100),atk,IF(cat="Physical",FLOOR((FLOOR(((2*XLOOKUP(XLOOKUP($Q373,'Threshold Summary'!$Y:$Y,'Threshold Summary'!$K:$K,""),'Pokemon Editor'!$A:$A,'Pokemon Editor'!$F:$F,0)+31+FLOOR(XLOOKUP($Q373,'Threshold Summary'!$Y:$Y,'Threshold Summary'!$P:$P,"")/4))*XLOOKUP($Q373,'Threshold Summary'!$Y:$Y,'Threshold Summary'!$L:$L,""))/100)+5)*XLOOKUP(XLOOKUP($Q373,'Threshold Summary'!$Y:$Y,'Threshold Summary'!$M:$M,""),'Nature Editor'!$A:$A,'Nature Editor'!$B:$B,1)),FLOOR((FLOOR(((2*XLOOKUP(XLOOKUP($Q373,'Threshold Summary'!$Y:$Y,'Threshold Summary'!$K:$K,""),'Pokemon Editor'!$A:$A,'Pokemon Editor'!$H:$H,0)+31+FLOOR(XLOOKUP($Q373,'Threshold Summary'!$Y:$Y,'Threshold Summary'!$R:$R,"")/4))*XLOOKUP($Q373,'Threshold Summary'!$Y:$Y,'Threshold Summary'!$L:$L,""))/100)+5)*XLOOKUP(XLOOKUP($Q373,'Threshold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Editor'!$E:$E,1))),stab,IF(OR(mtype=XLOOKUP(XLOOKUP($Q373,'Threshold Summary'!$Y:$Y,'Threshold Summary'!$K:$K,""),'Pokemon Editor'!$A:$A,'Pokemon Editor'!$C:$C,""),mtype=XLOOKUP(XLOOKUP($Q373,'Threshold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Chart'!$B$1:$S$1,0)))),base,IF(OR(cat="Status",pow=0),0,FLOOR(FLOOR(FLOOR((2*XLOOKUP($Q373,'Threshold Summary'!$Y:$Y,'Threshold Summary'!$L:$L,"")/5+2)*pow*atk/def)/50)+2)),modifier,stab*eff,FLOOR(base*modifier)),0)</f>
        <v/>
      </c>
      <c r="L373" s="3">
        <f>IFERROR(LET(mtype,XLOOKUP($D373,'Move Editor'!$B:$B,'Move Editor'!$C:$C,""),cat,XLOOKUP($D373,'Move Editor'!$B:$B,'Move Editor'!$D:$D,""),pow,XLOOKUP($D373,'Move Editor'!$B:$B,'Move Editor'!$E:$E,0),acc,XLOOKUP($D373,'Move Editor'!$B:$B,'Move Editor'!$F:$F,100),atk,IF(cat="Physical",FLOOR((FLOOR(((2*XLOOKUP(XLOOKUP($Q373,'Threshold Summary'!$Y:$Y,'Threshold Summary'!$K:$K,""),'Pokemon Editor'!$A:$A,'Pokemon Editor'!$F:$F,0)+31+FLOOR(XLOOKUP($Q373,'Threshold Summary'!$Y:$Y,'Threshold Summary'!$P:$P,"")/4))*XLOOKUP($Q373,'Threshold Summary'!$Y:$Y,'Threshold Summary'!$L:$L,""))/100)+5)*XLOOKUP(XLOOKUP($Q373,'Threshold Summary'!$Y:$Y,'Threshold Summary'!$M:$M,""),'Nature Editor'!$A:$A,'Nature Editor'!$B:$B,1)),FLOOR((FLOOR(((2*XLOOKUP(XLOOKUP($Q373,'Threshold Summary'!$Y:$Y,'Threshold Summary'!$K:$K,""),'Pokemon Editor'!$A:$A,'Pokemon Editor'!$H:$H,0)+31+FLOOR(XLOOKUP($Q373,'Threshold Summary'!$Y:$Y,'Threshold Summary'!$R:$R,"")/4))*XLOOKUP($Q373,'Threshold Summary'!$Y:$Y,'Threshold Summary'!$L:$L,""))/100)+5)*XLOOKUP(XLOOKUP($Q373,'Threshold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Editor'!$E:$E,1))),stab,IF(OR(mtype=XLOOKUP(XLOOKUP($Q373,'Threshold Summary'!$Y:$Y,'Threshold Summary'!$K:$K,""),'Pokemon Editor'!$A:$A,'Pokemon Editor'!$C:$C,""),mtype=XLOOKUP(XLOOKUP($Q373,'Threshold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Chart'!$B$1:$S$1,0)))),base,IF(OR(cat="Status",pow=0),0,FLOOR(FLOOR(FLOOR((2*XLOOKUP($Q373,'Threshold Summary'!$Y:$Y,'Threshold Summary'!$L:$L,"")/5+2)*pow*atk/def)/50)+2)),modifier,stab*eff,AVERAGE(ARRAYFORMULA(FLOOR(base*modifier*SEQUENCE(16,1,85,1)/100)))),0)</f>
        <v/>
      </c>
      <c r="M373" s="3">
        <f>IFERROR(LET(mtype,XLOOKUP($D373,'Move Editor'!$B:$B,'Move Editor'!$C:$C,""),cat,XLOOKUP($D373,'Move Editor'!$B:$B,'Move Editor'!$D:$D,""),pow,XLOOKUP($D373,'Move Editor'!$B:$B,'Move Editor'!$E:$E,0),acc,XLOOKUP($D373,'Move Editor'!$B:$B,'Move Editor'!$F:$F,100),atk,IF(cat="Physical",FLOOR((FLOOR(((2*XLOOKUP(XLOOKUP($Q373,'Threshold Summary'!$Y:$Y,'Threshold Summary'!$K:$K,""),'Pokemon Editor'!$A:$A,'Pokemon Editor'!$F:$F,0)+31+FLOOR(XLOOKUP($Q373,'Threshold Summary'!$Y:$Y,'Threshold Summary'!$P:$P,"")/4))*XLOOKUP($Q373,'Threshold Summary'!$Y:$Y,'Threshold Summary'!$L:$L,""))/100)+5)*XLOOKUP(XLOOKUP($Q373,'Threshold Summary'!$Y:$Y,'Threshold Summary'!$M:$M,""),'Nature Editor'!$A:$A,'Nature Editor'!$B:$B,1)),FLOOR((FLOOR(((2*XLOOKUP(XLOOKUP($Q373,'Threshold Summary'!$Y:$Y,'Threshold Summary'!$K:$K,""),'Pokemon Editor'!$A:$A,'Pokemon Editor'!$H:$H,0)+31+FLOOR(XLOOKUP($Q373,'Threshold Summary'!$Y:$Y,'Threshold Summary'!$R:$R,"")/4))*XLOOKUP($Q373,'Threshold Summary'!$Y:$Y,'Threshold Summary'!$L:$L,""))/100)+5)*XLOOKUP(XLOOKUP($Q373,'Threshold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Editor'!$E:$E,1))),stab,IF(OR(mtype=XLOOKUP(XLOOKUP($Q373,'Threshold Summary'!$Y:$Y,'Threshold Summary'!$K:$K,""),'Pokemon Editor'!$A:$A,'Pokemon Editor'!$C:$C,""),mtype=XLOOKUP(XLOOKUP($Q373,'Threshold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Chart'!$B$1:$S$1,0)))),base,IF(OR(cat="Status",pow=0),0,FLOOR(FLOOR(FLOOR((2*XLOOKUP($Q373,'Threshold Summary'!$Y:$Y,'Threshold Summary'!$L:$L,"")/5+2)*pow*atk/def)/50)+2)),modifier,stab*eff,AVERAGE(ARRAYFORMULA(FLOOR(base*modifier*SEQUENCE(16,1,85,1)/100)))*MIN(1,acc/100)),0)</f>
        <v/>
      </c>
      <c r="N373" s="4">
        <f>IFERROR(LET(mtype,XLOOKUP($D373,'Move Editor'!$B:$B,'Move Editor'!$C:$C,""),cat,XLOOKUP($D373,'Move Editor'!$B:$B,'Move Editor'!$D:$D,""),pow,XLOOKUP($D373,'Move Editor'!$B:$B,'Move Editor'!$E:$E,0),acc,XLOOKUP($D373,'Move Editor'!$B:$B,'Move Editor'!$F:$F,100),atk,IF(cat="Physical",FLOOR((FLOOR(((2*XLOOKUP(XLOOKUP($Q373,'Threshold Summary'!$Y:$Y,'Threshold Summary'!$K:$K,""),'Pokemon Editor'!$A:$A,'Pokemon Editor'!$F:$F,0)+31+FLOOR(XLOOKUP($Q373,'Threshold Summary'!$Y:$Y,'Threshold Summary'!$P:$P,"")/4))*XLOOKUP($Q373,'Threshold Summary'!$Y:$Y,'Threshold Summary'!$L:$L,""))/100)+5)*XLOOKUP(XLOOKUP($Q373,'Threshold Summary'!$Y:$Y,'Threshold Summary'!$M:$M,""),'Nature Editor'!$A:$A,'Nature Editor'!$B:$B,1)),FLOOR((FLOOR(((2*XLOOKUP(XLOOKUP($Q373,'Threshold Summary'!$Y:$Y,'Threshold Summary'!$K:$K,""),'Pokemon Editor'!$A:$A,'Pokemon Editor'!$H:$H,0)+31+FLOOR(XLOOKUP($Q373,'Threshold Summary'!$Y:$Y,'Threshold Summary'!$R:$R,"")/4))*XLOOKUP($Q373,'Threshold Summary'!$Y:$Y,'Threshold Summary'!$L:$L,""))/100)+5)*XLOOKUP(XLOOKUP($Q373,'Threshold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Editor'!$E:$E,1))),stab,IF(OR(mtype=XLOOKUP(XLOOKUP($Q373,'Threshold Summary'!$Y:$Y,'Threshold Summary'!$K:$K,""),'Pokemon Editor'!$A:$A,'Pokemon Editor'!$C:$C,""),mtype=XLOOKUP(XLOOKUP($Q373,'Threshold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Chart'!$B$1:$S$1,0)))),base,IF(OR(cat="Status",pow=0),0,FLOOR(FLOOR(FLOOR((2*XLOOKUP($Q373,'Threshold Summary'!$Y:$Y,'Threshold Summary'!$L:$L,"")/5+2)*pow*atk/def)/50)+2)),modifier,stab*eff,AVERAGE(ARRAYFORMULA(FLOOR(base*modifier*SEQUENCE(16,1,85,1)/100)))/(FLOOR(((2*XLOOKUP('Boss Editor'!$C$4,'Pokemon Editor'!$A:$A,'Pokemon Editor'!$E:$E,0)+31+FLOOR('Boss Editor'!$G$4/4))*'Boss Editor'!$D$4)/100)+'Boss Editor'!$D$4+10)),0)</f>
        <v/>
      </c>
      <c r="O373" s="3">
        <f>IF(N373&gt;=1,"OHKO",IF(N373&gt;=0.5,"2HKO",IF(N373&gt;=0.333,"3HKO",IF(N373&gt;=0.25,"4HKO","5HKO+"))))</f>
        <v/>
      </c>
      <c r="P373" s="3" t="inlineStr">
        <is>
          <t>Live from editable databases</t>
        </is>
      </c>
      <c r="Q373" s="3" t="inlineStr">
        <is>
          <t>SPECIES_COMBEE</t>
        </is>
      </c>
      <c r="R373" s="3" t="n">
        <v>20</v>
      </c>
    </row>
    <row r="374">
      <c r="A374" s="3">
        <f>XLOOKUP($Q374,'Threshold Summary'!$Y:$Y,'Threshold Summary'!$A:$A,"")</f>
        <v/>
      </c>
      <c r="B374" s="3">
        <f>XLOOKUP($Q374,'Threshold Summary'!$Y:$Y,'Threshold Summary'!$M:$M,"")</f>
        <v/>
      </c>
      <c r="C374" s="3">
        <f>XLOOKUP($Q374,'Threshold Summary'!$Y:$Y,'Threshold Summary'!$N:$N,"")</f>
        <v/>
      </c>
      <c r="D374" s="3">
        <f>IFERROR(INDEX(FILTER('Learnset Editor'!$D$2:$D,'Learnset Editor'!$A$2:$A=XLOOKUP($Q374,'Threshold Summary'!$Y:$Y,'Threshold Summary'!$K:$K,""),'Learnset Editor'!$C$2:$C&lt;=XLOOKUP($Q374,'Threshold Summary'!$Y:$Y,'Threshold Summary'!$L:$L,"")),$R374),"")</f>
        <v/>
      </c>
      <c r="E374" s="3">
        <f>XLOOKUP(D374,'Move Editor'!$B:$B,'Move Editor'!$C:$C,"")</f>
        <v/>
      </c>
      <c r="F374" s="3">
        <f>XLOOKUP(D374,'Move Editor'!$B:$B,'Move Editor'!$D:$D,"")</f>
        <v/>
      </c>
      <c r="G374" s="3">
        <f>XLOOKUP(D374,'Move Editor'!$B:$B,'Move Editor'!$E:$E,0)</f>
        <v/>
      </c>
      <c r="H374" s="3">
        <f>XLOOKUP(D374,'Move Editor'!$B:$B,'Move Editor'!$F:$F,0)</f>
        <v/>
      </c>
      <c r="I374" s="3">
        <f>(INDEX('Type Chart'!$B:$S,MATCH(E374,'Type Chart'!$A:$A,0),MATCH(XLOOKUP('Boss Editor'!$C$4,'Pokemon Editor'!$A:$A,'Pokemon Editor'!$C:$C,""),'Type Chart'!$B$1:$S$1,0))*IF(XLOOKUP('Boss Editor'!$C$4,'Pokemon Editor'!$A:$A,'Pokemon Editor'!$D:$D,"")="",1,INDEX('Type Chart'!$B:$S,MATCH(E374,'Type Chart'!$A:$A,0),MATCH(XLOOKUP('Boss Editor'!$C$4,'Pokemon Editor'!$A:$A,'Pokemon Editor'!$D:$D,""),'Type Chart'!$B$1:$S$1,0))))</f>
        <v/>
      </c>
      <c r="J374" s="3">
        <f>IFERROR(LET(mtype,XLOOKUP($D374,'Move Editor'!$B:$B,'Move Editor'!$C:$C,""),cat,XLOOKUP($D374,'Move Editor'!$B:$B,'Move Editor'!$D:$D,""),pow,XLOOKUP($D374,'Move Editor'!$B:$B,'Move Editor'!$E:$E,0),acc,XLOOKUP($D374,'Move Editor'!$B:$B,'Move Editor'!$F:$F,100),atk,IF(cat="Physical",FLOOR((FLOOR(((2*XLOOKUP(XLOOKUP($Q374,'Threshold Summary'!$Y:$Y,'Threshold Summary'!$K:$K,""),'Pokemon Editor'!$A:$A,'Pokemon Editor'!$F:$F,0)+31+FLOOR(XLOOKUP($Q374,'Threshold Summary'!$Y:$Y,'Threshold Summary'!$P:$P,"")/4))*XLOOKUP($Q374,'Threshold Summary'!$Y:$Y,'Threshold Summary'!$L:$L,""))/100)+5)*XLOOKUP(XLOOKUP($Q374,'Threshold Summary'!$Y:$Y,'Threshold Summary'!$M:$M,""),'Nature Editor'!$A:$A,'Nature Editor'!$B:$B,1)),FLOOR((FLOOR(((2*XLOOKUP(XLOOKUP($Q374,'Threshold Summary'!$Y:$Y,'Threshold Summary'!$K:$K,""),'Pokemon Editor'!$A:$A,'Pokemon Editor'!$H:$H,0)+31+FLOOR(XLOOKUP($Q374,'Threshold Summary'!$Y:$Y,'Threshold Summary'!$R:$R,"")/4))*XLOOKUP($Q374,'Threshold Summary'!$Y:$Y,'Threshold Summary'!$L:$L,""))/100)+5)*XLOOKUP(XLOOKUP($Q374,'Threshold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Editor'!$E:$E,1))),stab,IF(OR(mtype=XLOOKUP(XLOOKUP($Q374,'Threshold Summary'!$Y:$Y,'Threshold Summary'!$K:$K,""),'Pokemon Editor'!$A:$A,'Pokemon Editor'!$C:$C,""),mtype=XLOOKUP(XLOOKUP($Q374,'Threshold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Chart'!$B$1:$S$1,0)))),base,IF(OR(cat="Status",pow=0),0,FLOOR(FLOOR(FLOOR((2*XLOOKUP($Q374,'Threshold Summary'!$Y:$Y,'Threshold Summary'!$L:$L,"")/5+2)*pow*atk/def)/50)+2)),modifier,stab*eff,FLOOR(base*modifier*0.85)),0)</f>
        <v/>
      </c>
      <c r="K374" s="3">
        <f>IFERROR(LET(mtype,XLOOKUP($D374,'Move Editor'!$B:$B,'Move Editor'!$C:$C,""),cat,XLOOKUP($D374,'Move Editor'!$B:$B,'Move Editor'!$D:$D,""),pow,XLOOKUP($D374,'Move Editor'!$B:$B,'Move Editor'!$E:$E,0),acc,XLOOKUP($D374,'Move Editor'!$B:$B,'Move Editor'!$F:$F,100),atk,IF(cat="Physical",FLOOR((FLOOR(((2*XLOOKUP(XLOOKUP($Q374,'Threshold Summary'!$Y:$Y,'Threshold Summary'!$K:$K,""),'Pokemon Editor'!$A:$A,'Pokemon Editor'!$F:$F,0)+31+FLOOR(XLOOKUP($Q374,'Threshold Summary'!$Y:$Y,'Threshold Summary'!$P:$P,"")/4))*XLOOKUP($Q374,'Threshold Summary'!$Y:$Y,'Threshold Summary'!$L:$L,""))/100)+5)*XLOOKUP(XLOOKUP($Q374,'Threshold Summary'!$Y:$Y,'Threshold Summary'!$M:$M,""),'Nature Editor'!$A:$A,'Nature Editor'!$B:$B,1)),FLOOR((FLOOR(((2*XLOOKUP(XLOOKUP($Q374,'Threshold Summary'!$Y:$Y,'Threshold Summary'!$K:$K,""),'Pokemon Editor'!$A:$A,'Pokemon Editor'!$H:$H,0)+31+FLOOR(XLOOKUP($Q374,'Threshold Summary'!$Y:$Y,'Threshold Summary'!$R:$R,"")/4))*XLOOKUP($Q374,'Threshold Summary'!$Y:$Y,'Threshold Summary'!$L:$L,""))/100)+5)*XLOOKUP(XLOOKUP($Q374,'Threshold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Editor'!$E:$E,1))),stab,IF(OR(mtype=XLOOKUP(XLOOKUP($Q374,'Threshold Summary'!$Y:$Y,'Threshold Summary'!$K:$K,""),'Pokemon Editor'!$A:$A,'Pokemon Editor'!$C:$C,""),mtype=XLOOKUP(XLOOKUP($Q374,'Threshold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Chart'!$B$1:$S$1,0)))),base,IF(OR(cat="Status",pow=0),0,FLOOR(FLOOR(FLOOR((2*XLOOKUP($Q374,'Threshold Summary'!$Y:$Y,'Threshold Summary'!$L:$L,"")/5+2)*pow*atk/def)/50)+2)),modifier,stab*eff,FLOOR(base*modifier)),0)</f>
        <v/>
      </c>
      <c r="L374" s="3">
        <f>IFERROR(LET(mtype,XLOOKUP($D374,'Move Editor'!$B:$B,'Move Editor'!$C:$C,""),cat,XLOOKUP($D374,'Move Editor'!$B:$B,'Move Editor'!$D:$D,""),pow,XLOOKUP($D374,'Move Editor'!$B:$B,'Move Editor'!$E:$E,0),acc,XLOOKUP($D374,'Move Editor'!$B:$B,'Move Editor'!$F:$F,100),atk,IF(cat="Physical",FLOOR((FLOOR(((2*XLOOKUP(XLOOKUP($Q374,'Threshold Summary'!$Y:$Y,'Threshold Summary'!$K:$K,""),'Pokemon Editor'!$A:$A,'Pokemon Editor'!$F:$F,0)+31+FLOOR(XLOOKUP($Q374,'Threshold Summary'!$Y:$Y,'Threshold Summary'!$P:$P,"")/4))*XLOOKUP($Q374,'Threshold Summary'!$Y:$Y,'Threshold Summary'!$L:$L,""))/100)+5)*XLOOKUP(XLOOKUP($Q374,'Threshold Summary'!$Y:$Y,'Threshold Summary'!$M:$M,""),'Nature Editor'!$A:$A,'Nature Editor'!$B:$B,1)),FLOOR((FLOOR(((2*XLOOKUP(XLOOKUP($Q374,'Threshold Summary'!$Y:$Y,'Threshold Summary'!$K:$K,""),'Pokemon Editor'!$A:$A,'Pokemon Editor'!$H:$H,0)+31+FLOOR(XLOOKUP($Q374,'Threshold Summary'!$Y:$Y,'Threshold Summary'!$R:$R,"")/4))*XLOOKUP($Q374,'Threshold Summary'!$Y:$Y,'Threshold Summary'!$L:$L,""))/100)+5)*XLOOKUP(XLOOKUP($Q374,'Threshold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Editor'!$E:$E,1))),stab,IF(OR(mtype=XLOOKUP(XLOOKUP($Q374,'Threshold Summary'!$Y:$Y,'Threshold Summary'!$K:$K,""),'Pokemon Editor'!$A:$A,'Pokemon Editor'!$C:$C,""),mtype=XLOOKUP(XLOOKUP($Q374,'Threshold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Chart'!$B$1:$S$1,0)))),base,IF(OR(cat="Status",pow=0),0,FLOOR(FLOOR(FLOOR((2*XLOOKUP($Q374,'Threshold Summary'!$Y:$Y,'Threshold Summary'!$L:$L,"")/5+2)*pow*atk/def)/50)+2)),modifier,stab*eff,AVERAGE(ARRAYFORMULA(FLOOR(base*modifier*SEQUENCE(16,1,85,1)/100)))),0)</f>
        <v/>
      </c>
      <c r="M374" s="3">
        <f>IFERROR(LET(mtype,XLOOKUP($D374,'Move Editor'!$B:$B,'Move Editor'!$C:$C,""),cat,XLOOKUP($D374,'Move Editor'!$B:$B,'Move Editor'!$D:$D,""),pow,XLOOKUP($D374,'Move Editor'!$B:$B,'Move Editor'!$E:$E,0),acc,XLOOKUP($D374,'Move Editor'!$B:$B,'Move Editor'!$F:$F,100),atk,IF(cat="Physical",FLOOR((FLOOR(((2*XLOOKUP(XLOOKUP($Q374,'Threshold Summary'!$Y:$Y,'Threshold Summary'!$K:$K,""),'Pokemon Editor'!$A:$A,'Pokemon Editor'!$F:$F,0)+31+FLOOR(XLOOKUP($Q374,'Threshold Summary'!$Y:$Y,'Threshold Summary'!$P:$P,"")/4))*XLOOKUP($Q374,'Threshold Summary'!$Y:$Y,'Threshold Summary'!$L:$L,""))/100)+5)*XLOOKUP(XLOOKUP($Q374,'Threshold Summary'!$Y:$Y,'Threshold Summary'!$M:$M,""),'Nature Editor'!$A:$A,'Nature Editor'!$B:$B,1)),FLOOR((FLOOR(((2*XLOOKUP(XLOOKUP($Q374,'Threshold Summary'!$Y:$Y,'Threshold Summary'!$K:$K,""),'Pokemon Editor'!$A:$A,'Pokemon Editor'!$H:$H,0)+31+FLOOR(XLOOKUP($Q374,'Threshold Summary'!$Y:$Y,'Threshold Summary'!$R:$R,"")/4))*XLOOKUP($Q374,'Threshold Summary'!$Y:$Y,'Threshold Summary'!$L:$L,""))/100)+5)*XLOOKUP(XLOOKUP($Q374,'Threshold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Editor'!$E:$E,1))),stab,IF(OR(mtype=XLOOKUP(XLOOKUP($Q374,'Threshold Summary'!$Y:$Y,'Threshold Summary'!$K:$K,""),'Pokemon Editor'!$A:$A,'Pokemon Editor'!$C:$C,""),mtype=XLOOKUP(XLOOKUP($Q374,'Threshold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Chart'!$B$1:$S$1,0)))),base,IF(OR(cat="Status",pow=0),0,FLOOR(FLOOR(FLOOR((2*XLOOKUP($Q374,'Threshold Summary'!$Y:$Y,'Threshold Summary'!$L:$L,"")/5+2)*pow*atk/def)/50)+2)),modifier,stab*eff,AVERAGE(ARRAYFORMULA(FLOOR(base*modifier*SEQUENCE(16,1,85,1)/100)))*MIN(1,acc/100)),0)</f>
        <v/>
      </c>
      <c r="N374" s="4">
        <f>IFERROR(LET(mtype,XLOOKUP($D374,'Move Editor'!$B:$B,'Move Editor'!$C:$C,""),cat,XLOOKUP($D374,'Move Editor'!$B:$B,'Move Editor'!$D:$D,""),pow,XLOOKUP($D374,'Move Editor'!$B:$B,'Move Editor'!$E:$E,0),acc,XLOOKUP($D374,'Move Editor'!$B:$B,'Move Editor'!$F:$F,100),atk,IF(cat="Physical",FLOOR((FLOOR(((2*XLOOKUP(XLOOKUP($Q374,'Threshold Summary'!$Y:$Y,'Threshold Summary'!$K:$K,""),'Pokemon Editor'!$A:$A,'Pokemon Editor'!$F:$F,0)+31+FLOOR(XLOOKUP($Q374,'Threshold Summary'!$Y:$Y,'Threshold Summary'!$P:$P,"")/4))*XLOOKUP($Q374,'Threshold Summary'!$Y:$Y,'Threshold Summary'!$L:$L,""))/100)+5)*XLOOKUP(XLOOKUP($Q374,'Threshold Summary'!$Y:$Y,'Threshold Summary'!$M:$M,""),'Nature Editor'!$A:$A,'Nature Editor'!$B:$B,1)),FLOOR((FLOOR(((2*XLOOKUP(XLOOKUP($Q374,'Threshold Summary'!$Y:$Y,'Threshold Summary'!$K:$K,""),'Pokemon Editor'!$A:$A,'Pokemon Editor'!$H:$H,0)+31+FLOOR(XLOOKUP($Q374,'Threshold Summary'!$Y:$Y,'Threshold Summary'!$R:$R,"")/4))*XLOOKUP($Q374,'Threshold Summary'!$Y:$Y,'Threshold Summary'!$L:$L,""))/100)+5)*XLOOKUP(XLOOKUP($Q374,'Threshold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Editor'!$E:$E,1))),stab,IF(OR(mtype=XLOOKUP(XLOOKUP($Q374,'Threshold Summary'!$Y:$Y,'Threshold Summary'!$K:$K,""),'Pokemon Editor'!$A:$A,'Pokemon Editor'!$C:$C,""),mtype=XLOOKUP(XLOOKUP($Q374,'Threshold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Chart'!$B$1:$S$1,0)))),base,IF(OR(cat="Status",pow=0),0,FLOOR(FLOOR(FLOOR((2*XLOOKUP($Q374,'Threshold Summary'!$Y:$Y,'Threshold Summary'!$L:$L,"")/5+2)*pow*atk/def)/50)+2)),modifier,stab*eff,AVERAGE(ARRAYFORMULA(FLOOR(base*modifier*SEQUENCE(16,1,85,1)/100)))/(FLOOR(((2*XLOOKUP('Boss Editor'!$C$4,'Pokemon Editor'!$A:$A,'Pokemon Editor'!$E:$E,0)+31+FLOOR('Boss Editor'!$G$4/4))*'Boss Editor'!$D$4)/100)+'Boss Editor'!$D$4+10)),0)</f>
        <v/>
      </c>
      <c r="O374" s="3">
        <f>IF(N374&gt;=1,"OHKO",IF(N374&gt;=0.5,"2HKO",IF(N374&gt;=0.333,"3HKO",IF(N374&gt;=0.25,"4HKO","5HKO+"))))</f>
        <v/>
      </c>
      <c r="P374" s="3" t="inlineStr">
        <is>
          <t>Live from editable databases</t>
        </is>
      </c>
      <c r="Q374" s="3" t="inlineStr">
        <is>
          <t>SPECIES_COMBEE</t>
        </is>
      </c>
      <c r="R374" s="3" t="n">
        <v>21</v>
      </c>
    </row>
    <row r="375">
      <c r="A375" s="3">
        <f>XLOOKUP($Q375,'Threshold Summary'!$Y:$Y,'Threshold Summary'!$A:$A,"")</f>
        <v/>
      </c>
      <c r="B375" s="3">
        <f>XLOOKUP($Q375,'Threshold Summary'!$Y:$Y,'Threshold Summary'!$M:$M,"")</f>
        <v/>
      </c>
      <c r="C375" s="3">
        <f>XLOOKUP($Q375,'Threshold Summary'!$Y:$Y,'Threshold Summary'!$N:$N,"")</f>
        <v/>
      </c>
      <c r="D375" s="3">
        <f>IFERROR(INDEX(FILTER('Learnset Editor'!$D$2:$D,'Learnset Editor'!$A$2:$A=XLOOKUP($Q375,'Threshold Summary'!$Y:$Y,'Threshold Summary'!$K:$K,""),'Learnset Editor'!$C$2:$C&lt;=XLOOKUP($Q375,'Threshold Summary'!$Y:$Y,'Threshold Summary'!$L:$L,"")),$R375),"")</f>
        <v/>
      </c>
      <c r="E375" s="3">
        <f>XLOOKUP(D375,'Move Editor'!$B:$B,'Move Editor'!$C:$C,"")</f>
        <v/>
      </c>
      <c r="F375" s="3">
        <f>XLOOKUP(D375,'Move Editor'!$B:$B,'Move Editor'!$D:$D,"")</f>
        <v/>
      </c>
      <c r="G375" s="3">
        <f>XLOOKUP(D375,'Move Editor'!$B:$B,'Move Editor'!$E:$E,0)</f>
        <v/>
      </c>
      <c r="H375" s="3">
        <f>XLOOKUP(D375,'Move Editor'!$B:$B,'Move Editor'!$F:$F,0)</f>
        <v/>
      </c>
      <c r="I375" s="3">
        <f>(INDEX('Type Chart'!$B:$S,MATCH(E375,'Type Chart'!$A:$A,0),MATCH(XLOOKUP('Boss Editor'!$C$4,'Pokemon Editor'!$A:$A,'Pokemon Editor'!$C:$C,""),'Type Chart'!$B$1:$S$1,0))*IF(XLOOKUP('Boss Editor'!$C$4,'Pokemon Editor'!$A:$A,'Pokemon Editor'!$D:$D,"")="",1,INDEX('Type Chart'!$B:$S,MATCH(E375,'Type Chart'!$A:$A,0),MATCH(XLOOKUP('Boss Editor'!$C$4,'Pokemon Editor'!$A:$A,'Pokemon Editor'!$D:$D,""),'Type Chart'!$B$1:$S$1,0))))</f>
        <v/>
      </c>
      <c r="J375" s="3">
        <f>IFERROR(LET(mtype,XLOOKUP($D375,'Move Editor'!$B:$B,'Move Editor'!$C:$C,""),cat,XLOOKUP($D375,'Move Editor'!$B:$B,'Move Editor'!$D:$D,""),pow,XLOOKUP($D375,'Move Editor'!$B:$B,'Move Editor'!$E:$E,0),acc,XLOOKUP($D375,'Move Editor'!$B:$B,'Move Editor'!$F:$F,100),atk,IF(cat="Physical",FLOOR((FLOOR(((2*XLOOKUP(XLOOKUP($Q375,'Threshold Summary'!$Y:$Y,'Threshold Summary'!$K:$K,""),'Pokemon Editor'!$A:$A,'Pokemon Editor'!$F:$F,0)+31+FLOOR(XLOOKUP($Q375,'Threshold Summary'!$Y:$Y,'Threshold Summary'!$P:$P,"")/4))*XLOOKUP($Q375,'Threshold Summary'!$Y:$Y,'Threshold Summary'!$L:$L,""))/100)+5)*XLOOKUP(XLOOKUP($Q375,'Threshold Summary'!$Y:$Y,'Threshold Summary'!$M:$M,""),'Nature Editor'!$A:$A,'Nature Editor'!$B:$B,1)),FLOOR((FLOOR(((2*XLOOKUP(XLOOKUP($Q375,'Threshold Summary'!$Y:$Y,'Threshold Summary'!$K:$K,""),'Pokemon Editor'!$A:$A,'Pokemon Editor'!$H:$H,0)+31+FLOOR(XLOOKUP($Q375,'Threshold Summary'!$Y:$Y,'Threshold Summary'!$R:$R,"")/4))*XLOOKUP($Q375,'Threshold Summary'!$Y:$Y,'Threshold Summary'!$L:$L,""))/100)+5)*XLOOKUP(XLOOKUP($Q375,'Threshold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Editor'!$E:$E,1))),stab,IF(OR(mtype=XLOOKUP(XLOOKUP($Q375,'Threshold Summary'!$Y:$Y,'Threshold Summary'!$K:$K,""),'Pokemon Editor'!$A:$A,'Pokemon Editor'!$C:$C,""),mtype=XLOOKUP(XLOOKUP($Q375,'Threshold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Chart'!$B$1:$S$1,0)))),base,IF(OR(cat="Status",pow=0),0,FLOOR(FLOOR(FLOOR((2*XLOOKUP($Q375,'Threshold Summary'!$Y:$Y,'Threshold Summary'!$L:$L,"")/5+2)*pow*atk/def)/50)+2)),modifier,stab*eff,FLOOR(base*modifier*0.85)),0)</f>
        <v/>
      </c>
      <c r="K375" s="3">
        <f>IFERROR(LET(mtype,XLOOKUP($D375,'Move Editor'!$B:$B,'Move Editor'!$C:$C,""),cat,XLOOKUP($D375,'Move Editor'!$B:$B,'Move Editor'!$D:$D,""),pow,XLOOKUP($D375,'Move Editor'!$B:$B,'Move Editor'!$E:$E,0),acc,XLOOKUP($D375,'Move Editor'!$B:$B,'Move Editor'!$F:$F,100),atk,IF(cat="Physical",FLOOR((FLOOR(((2*XLOOKUP(XLOOKUP($Q375,'Threshold Summary'!$Y:$Y,'Threshold Summary'!$K:$K,""),'Pokemon Editor'!$A:$A,'Pokemon Editor'!$F:$F,0)+31+FLOOR(XLOOKUP($Q375,'Threshold Summary'!$Y:$Y,'Threshold Summary'!$P:$P,"")/4))*XLOOKUP($Q375,'Threshold Summary'!$Y:$Y,'Threshold Summary'!$L:$L,""))/100)+5)*XLOOKUP(XLOOKUP($Q375,'Threshold Summary'!$Y:$Y,'Threshold Summary'!$M:$M,""),'Nature Editor'!$A:$A,'Nature Editor'!$B:$B,1)),FLOOR((FLOOR(((2*XLOOKUP(XLOOKUP($Q375,'Threshold Summary'!$Y:$Y,'Threshold Summary'!$K:$K,""),'Pokemon Editor'!$A:$A,'Pokemon Editor'!$H:$H,0)+31+FLOOR(XLOOKUP($Q375,'Threshold Summary'!$Y:$Y,'Threshold Summary'!$R:$R,"")/4))*XLOOKUP($Q375,'Threshold Summary'!$Y:$Y,'Threshold Summary'!$L:$L,""))/100)+5)*XLOOKUP(XLOOKUP($Q375,'Threshold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Editor'!$E:$E,1))),stab,IF(OR(mtype=XLOOKUP(XLOOKUP($Q375,'Threshold Summary'!$Y:$Y,'Threshold Summary'!$K:$K,""),'Pokemon Editor'!$A:$A,'Pokemon Editor'!$C:$C,""),mtype=XLOOKUP(XLOOKUP($Q375,'Threshold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Chart'!$B$1:$S$1,0)))),base,IF(OR(cat="Status",pow=0),0,FLOOR(FLOOR(FLOOR((2*XLOOKUP($Q375,'Threshold Summary'!$Y:$Y,'Threshold Summary'!$L:$L,"")/5+2)*pow*atk/def)/50)+2)),modifier,stab*eff,FLOOR(base*modifier)),0)</f>
        <v/>
      </c>
      <c r="L375" s="3">
        <f>IFERROR(LET(mtype,XLOOKUP($D375,'Move Editor'!$B:$B,'Move Editor'!$C:$C,""),cat,XLOOKUP($D375,'Move Editor'!$B:$B,'Move Editor'!$D:$D,""),pow,XLOOKUP($D375,'Move Editor'!$B:$B,'Move Editor'!$E:$E,0),acc,XLOOKUP($D375,'Move Editor'!$B:$B,'Move Editor'!$F:$F,100),atk,IF(cat="Physical",FLOOR((FLOOR(((2*XLOOKUP(XLOOKUP($Q375,'Threshold Summary'!$Y:$Y,'Threshold Summary'!$K:$K,""),'Pokemon Editor'!$A:$A,'Pokemon Editor'!$F:$F,0)+31+FLOOR(XLOOKUP($Q375,'Threshold Summary'!$Y:$Y,'Threshold Summary'!$P:$P,"")/4))*XLOOKUP($Q375,'Threshold Summary'!$Y:$Y,'Threshold Summary'!$L:$L,""))/100)+5)*XLOOKUP(XLOOKUP($Q375,'Threshold Summary'!$Y:$Y,'Threshold Summary'!$M:$M,""),'Nature Editor'!$A:$A,'Nature Editor'!$B:$B,1)),FLOOR((FLOOR(((2*XLOOKUP(XLOOKUP($Q375,'Threshold Summary'!$Y:$Y,'Threshold Summary'!$K:$K,""),'Pokemon Editor'!$A:$A,'Pokemon Editor'!$H:$H,0)+31+FLOOR(XLOOKUP($Q375,'Threshold Summary'!$Y:$Y,'Threshold Summary'!$R:$R,"")/4))*XLOOKUP($Q375,'Threshold Summary'!$Y:$Y,'Threshold Summary'!$L:$L,""))/100)+5)*XLOOKUP(XLOOKUP($Q375,'Threshold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Editor'!$E:$E,1))),stab,IF(OR(mtype=XLOOKUP(XLOOKUP($Q375,'Threshold Summary'!$Y:$Y,'Threshold Summary'!$K:$K,""),'Pokemon Editor'!$A:$A,'Pokemon Editor'!$C:$C,""),mtype=XLOOKUP(XLOOKUP($Q375,'Threshold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Chart'!$B$1:$S$1,0)))),base,IF(OR(cat="Status",pow=0),0,FLOOR(FLOOR(FLOOR((2*XLOOKUP($Q375,'Threshold Summary'!$Y:$Y,'Threshold Summary'!$L:$L,"")/5+2)*pow*atk/def)/50)+2)),modifier,stab*eff,AVERAGE(ARRAYFORMULA(FLOOR(base*modifier*SEQUENCE(16,1,85,1)/100)))),0)</f>
        <v/>
      </c>
      <c r="M375" s="3">
        <f>IFERROR(LET(mtype,XLOOKUP($D375,'Move Editor'!$B:$B,'Move Editor'!$C:$C,""),cat,XLOOKUP($D375,'Move Editor'!$B:$B,'Move Editor'!$D:$D,""),pow,XLOOKUP($D375,'Move Editor'!$B:$B,'Move Editor'!$E:$E,0),acc,XLOOKUP($D375,'Move Editor'!$B:$B,'Move Editor'!$F:$F,100),atk,IF(cat="Physical",FLOOR((FLOOR(((2*XLOOKUP(XLOOKUP($Q375,'Threshold Summary'!$Y:$Y,'Threshold Summary'!$K:$K,""),'Pokemon Editor'!$A:$A,'Pokemon Editor'!$F:$F,0)+31+FLOOR(XLOOKUP($Q375,'Threshold Summary'!$Y:$Y,'Threshold Summary'!$P:$P,"")/4))*XLOOKUP($Q375,'Threshold Summary'!$Y:$Y,'Threshold Summary'!$L:$L,""))/100)+5)*XLOOKUP(XLOOKUP($Q375,'Threshold Summary'!$Y:$Y,'Threshold Summary'!$M:$M,""),'Nature Editor'!$A:$A,'Nature Editor'!$B:$B,1)),FLOOR((FLOOR(((2*XLOOKUP(XLOOKUP($Q375,'Threshold Summary'!$Y:$Y,'Threshold Summary'!$K:$K,""),'Pokemon Editor'!$A:$A,'Pokemon Editor'!$H:$H,0)+31+FLOOR(XLOOKUP($Q375,'Threshold Summary'!$Y:$Y,'Threshold Summary'!$R:$R,"")/4))*XLOOKUP($Q375,'Threshold Summary'!$Y:$Y,'Threshold Summary'!$L:$L,""))/100)+5)*XLOOKUP(XLOOKUP($Q375,'Threshold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Editor'!$E:$E,1))),stab,IF(OR(mtype=XLOOKUP(XLOOKUP($Q375,'Threshold Summary'!$Y:$Y,'Threshold Summary'!$K:$K,""),'Pokemon Editor'!$A:$A,'Pokemon Editor'!$C:$C,""),mtype=XLOOKUP(XLOOKUP($Q375,'Threshold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Chart'!$B$1:$S$1,0)))),base,IF(OR(cat="Status",pow=0),0,FLOOR(FLOOR(FLOOR((2*XLOOKUP($Q375,'Threshold Summary'!$Y:$Y,'Threshold Summary'!$L:$L,"")/5+2)*pow*atk/def)/50)+2)),modifier,stab*eff,AVERAGE(ARRAYFORMULA(FLOOR(base*modifier*SEQUENCE(16,1,85,1)/100)))*MIN(1,acc/100)),0)</f>
        <v/>
      </c>
      <c r="N375" s="4">
        <f>IFERROR(LET(mtype,XLOOKUP($D375,'Move Editor'!$B:$B,'Move Editor'!$C:$C,""),cat,XLOOKUP($D375,'Move Editor'!$B:$B,'Move Editor'!$D:$D,""),pow,XLOOKUP($D375,'Move Editor'!$B:$B,'Move Editor'!$E:$E,0),acc,XLOOKUP($D375,'Move Editor'!$B:$B,'Move Editor'!$F:$F,100),atk,IF(cat="Physical",FLOOR((FLOOR(((2*XLOOKUP(XLOOKUP($Q375,'Threshold Summary'!$Y:$Y,'Threshold Summary'!$K:$K,""),'Pokemon Editor'!$A:$A,'Pokemon Editor'!$F:$F,0)+31+FLOOR(XLOOKUP($Q375,'Threshold Summary'!$Y:$Y,'Threshold Summary'!$P:$P,"")/4))*XLOOKUP($Q375,'Threshold Summary'!$Y:$Y,'Threshold Summary'!$L:$L,""))/100)+5)*XLOOKUP(XLOOKUP($Q375,'Threshold Summary'!$Y:$Y,'Threshold Summary'!$M:$M,""),'Nature Editor'!$A:$A,'Nature Editor'!$B:$B,1)),FLOOR((FLOOR(((2*XLOOKUP(XLOOKUP($Q375,'Threshold Summary'!$Y:$Y,'Threshold Summary'!$K:$K,""),'Pokemon Editor'!$A:$A,'Pokemon Editor'!$H:$H,0)+31+FLOOR(XLOOKUP($Q375,'Threshold Summary'!$Y:$Y,'Threshold Summary'!$R:$R,"")/4))*XLOOKUP($Q375,'Threshold Summary'!$Y:$Y,'Threshold Summary'!$L:$L,""))/100)+5)*XLOOKUP(XLOOKUP($Q375,'Threshold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Editor'!$E:$E,1))),stab,IF(OR(mtype=XLOOKUP(XLOOKUP($Q375,'Threshold Summary'!$Y:$Y,'Threshold Summary'!$K:$K,""),'Pokemon Editor'!$A:$A,'Pokemon Editor'!$C:$C,""),mtype=XLOOKUP(XLOOKUP($Q375,'Threshold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Chart'!$B$1:$S$1,0)))),base,IF(OR(cat="Status",pow=0),0,FLOOR(FLOOR(FLOOR((2*XLOOKUP($Q375,'Threshold Summary'!$Y:$Y,'Threshold Summary'!$L:$L,"")/5+2)*pow*atk/def)/50)+2)),modifier,stab*eff,AVERAGE(ARRAYFORMULA(FLOOR(base*modifier*SEQUENCE(16,1,85,1)/100)))/(FLOOR(((2*XLOOKUP('Boss Editor'!$C$4,'Pokemon Editor'!$A:$A,'Pokemon Editor'!$E:$E,0)+31+FLOOR('Boss Editor'!$G$4/4))*'Boss Editor'!$D$4)/100)+'Boss Editor'!$D$4+10)),0)</f>
        <v/>
      </c>
      <c r="O375" s="3">
        <f>IF(N375&gt;=1,"OHKO",IF(N375&gt;=0.5,"2HKO",IF(N375&gt;=0.333,"3HKO",IF(N375&gt;=0.25,"4HKO","5HKO+"))))</f>
        <v/>
      </c>
      <c r="P375" s="3" t="inlineStr">
        <is>
          <t>Live from editable databases</t>
        </is>
      </c>
      <c r="Q375" s="3" t="inlineStr">
        <is>
          <t>SPECIES_COMBEE</t>
        </is>
      </c>
      <c r="R375" s="3" t="n">
        <v>22</v>
      </c>
    </row>
    <row r="376">
      <c r="A376" s="3">
        <f>XLOOKUP($Q376,'Threshold Summary'!$Y:$Y,'Threshold Summary'!$A:$A,"")</f>
        <v/>
      </c>
      <c r="B376" s="3">
        <f>XLOOKUP($Q376,'Threshold Summary'!$Y:$Y,'Threshold Summary'!$M:$M,"")</f>
        <v/>
      </c>
      <c r="C376" s="3">
        <f>XLOOKUP($Q376,'Threshold Summary'!$Y:$Y,'Threshold Summary'!$N:$N,"")</f>
        <v/>
      </c>
      <c r="D376" s="3">
        <f>IFERROR(INDEX(FILTER('Learnset Editor'!$D$2:$D,'Learnset Editor'!$A$2:$A=XLOOKUP($Q376,'Threshold Summary'!$Y:$Y,'Threshold Summary'!$K:$K,""),'Learnset Editor'!$C$2:$C&lt;=XLOOKUP($Q376,'Threshold Summary'!$Y:$Y,'Threshold Summary'!$L:$L,"")),$R376),"")</f>
        <v/>
      </c>
      <c r="E376" s="3">
        <f>XLOOKUP(D376,'Move Editor'!$B:$B,'Move Editor'!$C:$C,"")</f>
        <v/>
      </c>
      <c r="F376" s="3">
        <f>XLOOKUP(D376,'Move Editor'!$B:$B,'Move Editor'!$D:$D,"")</f>
        <v/>
      </c>
      <c r="G376" s="3">
        <f>XLOOKUP(D376,'Move Editor'!$B:$B,'Move Editor'!$E:$E,0)</f>
        <v/>
      </c>
      <c r="H376" s="3">
        <f>XLOOKUP(D376,'Move Editor'!$B:$B,'Move Editor'!$F:$F,0)</f>
        <v/>
      </c>
      <c r="I376" s="3">
        <f>(INDEX('Type Chart'!$B:$S,MATCH(E376,'Type Chart'!$A:$A,0),MATCH(XLOOKUP('Boss Editor'!$C$4,'Pokemon Editor'!$A:$A,'Pokemon Editor'!$C:$C,""),'Type Chart'!$B$1:$S$1,0))*IF(XLOOKUP('Boss Editor'!$C$4,'Pokemon Editor'!$A:$A,'Pokemon Editor'!$D:$D,"")="",1,INDEX('Type Chart'!$B:$S,MATCH(E376,'Type Chart'!$A:$A,0),MATCH(XLOOKUP('Boss Editor'!$C$4,'Pokemon Editor'!$A:$A,'Pokemon Editor'!$D:$D,""),'Type Chart'!$B$1:$S$1,0))))</f>
        <v/>
      </c>
      <c r="J376" s="3">
        <f>IFERROR(LET(mtype,XLOOKUP($D376,'Move Editor'!$B:$B,'Move Editor'!$C:$C,""),cat,XLOOKUP($D376,'Move Editor'!$B:$B,'Move Editor'!$D:$D,""),pow,XLOOKUP($D376,'Move Editor'!$B:$B,'Move Editor'!$E:$E,0),acc,XLOOKUP($D376,'Move Editor'!$B:$B,'Move Editor'!$F:$F,100),atk,IF(cat="Physical",FLOOR((FLOOR(((2*XLOOKUP(XLOOKUP($Q376,'Threshold Summary'!$Y:$Y,'Threshold Summary'!$K:$K,""),'Pokemon Editor'!$A:$A,'Pokemon Editor'!$F:$F,0)+31+FLOOR(XLOOKUP($Q376,'Threshold Summary'!$Y:$Y,'Threshold Summary'!$P:$P,"")/4))*XLOOKUP($Q376,'Threshold Summary'!$Y:$Y,'Threshold Summary'!$L:$L,""))/100)+5)*XLOOKUP(XLOOKUP($Q376,'Threshold Summary'!$Y:$Y,'Threshold Summary'!$M:$M,""),'Nature Editor'!$A:$A,'Nature Editor'!$B:$B,1)),FLOOR((FLOOR(((2*XLOOKUP(XLOOKUP($Q376,'Threshold Summary'!$Y:$Y,'Threshold Summary'!$K:$K,""),'Pokemon Editor'!$A:$A,'Pokemon Editor'!$H:$H,0)+31+FLOOR(XLOOKUP($Q376,'Threshold Summary'!$Y:$Y,'Threshold Summary'!$R:$R,"")/4))*XLOOKUP($Q376,'Threshold Summary'!$Y:$Y,'Threshold Summary'!$L:$L,""))/100)+5)*XLOOKUP(XLOOKUP($Q376,'Threshold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Editor'!$E:$E,1))),stab,IF(OR(mtype=XLOOKUP(XLOOKUP($Q376,'Threshold Summary'!$Y:$Y,'Threshold Summary'!$K:$K,""),'Pokemon Editor'!$A:$A,'Pokemon Editor'!$C:$C,""),mtype=XLOOKUP(XLOOKUP($Q376,'Threshold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Chart'!$B$1:$S$1,0)))),base,IF(OR(cat="Status",pow=0),0,FLOOR(FLOOR(FLOOR((2*XLOOKUP($Q376,'Threshold Summary'!$Y:$Y,'Threshold Summary'!$L:$L,"")/5+2)*pow*atk/def)/50)+2)),modifier,stab*eff,FLOOR(base*modifier*0.85)),0)</f>
        <v/>
      </c>
      <c r="K376" s="3">
        <f>IFERROR(LET(mtype,XLOOKUP($D376,'Move Editor'!$B:$B,'Move Editor'!$C:$C,""),cat,XLOOKUP($D376,'Move Editor'!$B:$B,'Move Editor'!$D:$D,""),pow,XLOOKUP($D376,'Move Editor'!$B:$B,'Move Editor'!$E:$E,0),acc,XLOOKUP($D376,'Move Editor'!$B:$B,'Move Editor'!$F:$F,100),atk,IF(cat="Physical",FLOOR((FLOOR(((2*XLOOKUP(XLOOKUP($Q376,'Threshold Summary'!$Y:$Y,'Threshold Summary'!$K:$K,""),'Pokemon Editor'!$A:$A,'Pokemon Editor'!$F:$F,0)+31+FLOOR(XLOOKUP($Q376,'Threshold Summary'!$Y:$Y,'Threshold Summary'!$P:$P,"")/4))*XLOOKUP($Q376,'Threshold Summary'!$Y:$Y,'Threshold Summary'!$L:$L,""))/100)+5)*XLOOKUP(XLOOKUP($Q376,'Threshold Summary'!$Y:$Y,'Threshold Summary'!$M:$M,""),'Nature Editor'!$A:$A,'Nature Editor'!$B:$B,1)),FLOOR((FLOOR(((2*XLOOKUP(XLOOKUP($Q376,'Threshold Summary'!$Y:$Y,'Threshold Summary'!$K:$K,""),'Pokemon Editor'!$A:$A,'Pokemon Editor'!$H:$H,0)+31+FLOOR(XLOOKUP($Q376,'Threshold Summary'!$Y:$Y,'Threshold Summary'!$R:$R,"")/4))*XLOOKUP($Q376,'Threshold Summary'!$Y:$Y,'Threshold Summary'!$L:$L,""))/100)+5)*XLOOKUP(XLOOKUP($Q376,'Threshold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Editor'!$E:$E,1))),stab,IF(OR(mtype=XLOOKUP(XLOOKUP($Q376,'Threshold Summary'!$Y:$Y,'Threshold Summary'!$K:$K,""),'Pokemon Editor'!$A:$A,'Pokemon Editor'!$C:$C,""),mtype=XLOOKUP(XLOOKUP($Q376,'Threshold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Chart'!$B$1:$S$1,0)))),base,IF(OR(cat="Status",pow=0),0,FLOOR(FLOOR(FLOOR((2*XLOOKUP($Q376,'Threshold Summary'!$Y:$Y,'Threshold Summary'!$L:$L,"")/5+2)*pow*atk/def)/50)+2)),modifier,stab*eff,FLOOR(base*modifier)),0)</f>
        <v/>
      </c>
      <c r="L376" s="3">
        <f>IFERROR(LET(mtype,XLOOKUP($D376,'Move Editor'!$B:$B,'Move Editor'!$C:$C,""),cat,XLOOKUP($D376,'Move Editor'!$B:$B,'Move Editor'!$D:$D,""),pow,XLOOKUP($D376,'Move Editor'!$B:$B,'Move Editor'!$E:$E,0),acc,XLOOKUP($D376,'Move Editor'!$B:$B,'Move Editor'!$F:$F,100),atk,IF(cat="Physical",FLOOR((FLOOR(((2*XLOOKUP(XLOOKUP($Q376,'Threshold Summary'!$Y:$Y,'Threshold Summary'!$K:$K,""),'Pokemon Editor'!$A:$A,'Pokemon Editor'!$F:$F,0)+31+FLOOR(XLOOKUP($Q376,'Threshold Summary'!$Y:$Y,'Threshold Summary'!$P:$P,"")/4))*XLOOKUP($Q376,'Threshold Summary'!$Y:$Y,'Threshold Summary'!$L:$L,""))/100)+5)*XLOOKUP(XLOOKUP($Q376,'Threshold Summary'!$Y:$Y,'Threshold Summary'!$M:$M,""),'Nature Editor'!$A:$A,'Nature Editor'!$B:$B,1)),FLOOR((FLOOR(((2*XLOOKUP(XLOOKUP($Q376,'Threshold Summary'!$Y:$Y,'Threshold Summary'!$K:$K,""),'Pokemon Editor'!$A:$A,'Pokemon Editor'!$H:$H,0)+31+FLOOR(XLOOKUP($Q376,'Threshold Summary'!$Y:$Y,'Threshold Summary'!$R:$R,"")/4))*XLOOKUP($Q376,'Threshold Summary'!$Y:$Y,'Threshold Summary'!$L:$L,""))/100)+5)*XLOOKUP(XLOOKUP($Q376,'Threshold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Editor'!$E:$E,1))),stab,IF(OR(mtype=XLOOKUP(XLOOKUP($Q376,'Threshold Summary'!$Y:$Y,'Threshold Summary'!$K:$K,""),'Pokemon Editor'!$A:$A,'Pokemon Editor'!$C:$C,""),mtype=XLOOKUP(XLOOKUP($Q376,'Threshold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Chart'!$B$1:$S$1,0)))),base,IF(OR(cat="Status",pow=0),0,FLOOR(FLOOR(FLOOR((2*XLOOKUP($Q376,'Threshold Summary'!$Y:$Y,'Threshold Summary'!$L:$L,"")/5+2)*pow*atk/def)/50)+2)),modifier,stab*eff,AVERAGE(ARRAYFORMULA(FLOOR(base*modifier*SEQUENCE(16,1,85,1)/100)))),0)</f>
        <v/>
      </c>
      <c r="M376" s="3">
        <f>IFERROR(LET(mtype,XLOOKUP($D376,'Move Editor'!$B:$B,'Move Editor'!$C:$C,""),cat,XLOOKUP($D376,'Move Editor'!$B:$B,'Move Editor'!$D:$D,""),pow,XLOOKUP($D376,'Move Editor'!$B:$B,'Move Editor'!$E:$E,0),acc,XLOOKUP($D376,'Move Editor'!$B:$B,'Move Editor'!$F:$F,100),atk,IF(cat="Physical",FLOOR((FLOOR(((2*XLOOKUP(XLOOKUP($Q376,'Threshold Summary'!$Y:$Y,'Threshold Summary'!$K:$K,""),'Pokemon Editor'!$A:$A,'Pokemon Editor'!$F:$F,0)+31+FLOOR(XLOOKUP($Q376,'Threshold Summary'!$Y:$Y,'Threshold Summary'!$P:$P,"")/4))*XLOOKUP($Q376,'Threshold Summary'!$Y:$Y,'Threshold Summary'!$L:$L,""))/100)+5)*XLOOKUP(XLOOKUP($Q376,'Threshold Summary'!$Y:$Y,'Threshold Summary'!$M:$M,""),'Nature Editor'!$A:$A,'Nature Editor'!$B:$B,1)),FLOOR((FLOOR(((2*XLOOKUP(XLOOKUP($Q376,'Threshold Summary'!$Y:$Y,'Threshold Summary'!$K:$K,""),'Pokemon Editor'!$A:$A,'Pokemon Editor'!$H:$H,0)+31+FLOOR(XLOOKUP($Q376,'Threshold Summary'!$Y:$Y,'Threshold Summary'!$R:$R,"")/4))*XLOOKUP($Q376,'Threshold Summary'!$Y:$Y,'Threshold Summary'!$L:$L,""))/100)+5)*XLOOKUP(XLOOKUP($Q376,'Threshold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Editor'!$E:$E,1))),stab,IF(OR(mtype=XLOOKUP(XLOOKUP($Q376,'Threshold Summary'!$Y:$Y,'Threshold Summary'!$K:$K,""),'Pokemon Editor'!$A:$A,'Pokemon Editor'!$C:$C,""),mtype=XLOOKUP(XLOOKUP($Q376,'Threshold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Chart'!$B$1:$S$1,0)))),base,IF(OR(cat="Status",pow=0),0,FLOOR(FLOOR(FLOOR((2*XLOOKUP($Q376,'Threshold Summary'!$Y:$Y,'Threshold Summary'!$L:$L,"")/5+2)*pow*atk/def)/50)+2)),modifier,stab*eff,AVERAGE(ARRAYFORMULA(FLOOR(base*modifier*SEQUENCE(16,1,85,1)/100)))*MIN(1,acc/100)),0)</f>
        <v/>
      </c>
      <c r="N376" s="4">
        <f>IFERROR(LET(mtype,XLOOKUP($D376,'Move Editor'!$B:$B,'Move Editor'!$C:$C,""),cat,XLOOKUP($D376,'Move Editor'!$B:$B,'Move Editor'!$D:$D,""),pow,XLOOKUP($D376,'Move Editor'!$B:$B,'Move Editor'!$E:$E,0),acc,XLOOKUP($D376,'Move Editor'!$B:$B,'Move Editor'!$F:$F,100),atk,IF(cat="Physical",FLOOR((FLOOR(((2*XLOOKUP(XLOOKUP($Q376,'Threshold Summary'!$Y:$Y,'Threshold Summary'!$K:$K,""),'Pokemon Editor'!$A:$A,'Pokemon Editor'!$F:$F,0)+31+FLOOR(XLOOKUP($Q376,'Threshold Summary'!$Y:$Y,'Threshold Summary'!$P:$P,"")/4))*XLOOKUP($Q376,'Threshold Summary'!$Y:$Y,'Threshold Summary'!$L:$L,""))/100)+5)*XLOOKUP(XLOOKUP($Q376,'Threshold Summary'!$Y:$Y,'Threshold Summary'!$M:$M,""),'Nature Editor'!$A:$A,'Nature Editor'!$B:$B,1)),FLOOR((FLOOR(((2*XLOOKUP(XLOOKUP($Q376,'Threshold Summary'!$Y:$Y,'Threshold Summary'!$K:$K,""),'Pokemon Editor'!$A:$A,'Pokemon Editor'!$H:$H,0)+31+FLOOR(XLOOKUP($Q376,'Threshold Summary'!$Y:$Y,'Threshold Summary'!$R:$R,"")/4))*XLOOKUP($Q376,'Threshold Summary'!$Y:$Y,'Threshold Summary'!$L:$L,""))/100)+5)*XLOOKUP(XLOOKUP($Q376,'Threshold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Editor'!$E:$E,1))),stab,IF(OR(mtype=XLOOKUP(XLOOKUP($Q376,'Threshold Summary'!$Y:$Y,'Threshold Summary'!$K:$K,""),'Pokemon Editor'!$A:$A,'Pokemon Editor'!$C:$C,""),mtype=XLOOKUP(XLOOKUP($Q376,'Threshold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Chart'!$B$1:$S$1,0)))),base,IF(OR(cat="Status",pow=0),0,FLOOR(FLOOR(FLOOR((2*XLOOKUP($Q376,'Threshold Summary'!$Y:$Y,'Threshold Summary'!$L:$L,"")/5+2)*pow*atk/def)/50)+2)),modifier,stab*eff,AVERAGE(ARRAYFORMULA(FLOOR(base*modifier*SEQUENCE(16,1,85,1)/100)))/(FLOOR(((2*XLOOKUP('Boss Editor'!$C$4,'Pokemon Editor'!$A:$A,'Pokemon Editor'!$E:$E,0)+31+FLOOR('Boss Editor'!$G$4/4))*'Boss Editor'!$D$4)/100)+'Boss Editor'!$D$4+10)),0)</f>
        <v/>
      </c>
      <c r="O376" s="3">
        <f>IF(N376&gt;=1,"OHKO",IF(N376&gt;=0.5,"2HKO",IF(N376&gt;=0.333,"3HKO",IF(N376&gt;=0.25,"4HKO","5HKO+"))))</f>
        <v/>
      </c>
      <c r="P376" s="3" t="inlineStr">
        <is>
          <t>Live from editable databases</t>
        </is>
      </c>
      <c r="Q376" s="3" t="inlineStr">
        <is>
          <t>SPECIES_COMBEE</t>
        </is>
      </c>
      <c r="R376" s="3" t="n">
        <v>23</v>
      </c>
    </row>
    <row r="377">
      <c r="A377" s="3">
        <f>XLOOKUP($Q377,'Threshold Summary'!$Y:$Y,'Threshold Summary'!$A:$A,"")</f>
        <v/>
      </c>
      <c r="B377" s="3">
        <f>XLOOKUP($Q377,'Threshold Summary'!$Y:$Y,'Threshold Summary'!$M:$M,"")</f>
        <v/>
      </c>
      <c r="C377" s="3">
        <f>XLOOKUP($Q377,'Threshold Summary'!$Y:$Y,'Threshold Summary'!$N:$N,"")</f>
        <v/>
      </c>
      <c r="D377" s="3">
        <f>IFERROR(INDEX(FILTER('Learnset Editor'!$D$2:$D,'Learnset Editor'!$A$2:$A=XLOOKUP($Q377,'Threshold Summary'!$Y:$Y,'Threshold Summary'!$K:$K,""),'Learnset Editor'!$C$2:$C&lt;=XLOOKUP($Q377,'Threshold Summary'!$Y:$Y,'Threshold Summary'!$L:$L,"")),$R377),"")</f>
        <v/>
      </c>
      <c r="E377" s="3">
        <f>XLOOKUP(D377,'Move Editor'!$B:$B,'Move Editor'!$C:$C,"")</f>
        <v/>
      </c>
      <c r="F377" s="3">
        <f>XLOOKUP(D377,'Move Editor'!$B:$B,'Move Editor'!$D:$D,"")</f>
        <v/>
      </c>
      <c r="G377" s="3">
        <f>XLOOKUP(D377,'Move Editor'!$B:$B,'Move Editor'!$E:$E,0)</f>
        <v/>
      </c>
      <c r="H377" s="3">
        <f>XLOOKUP(D377,'Move Editor'!$B:$B,'Move Editor'!$F:$F,0)</f>
        <v/>
      </c>
      <c r="I377" s="3">
        <f>(INDEX('Type Chart'!$B:$S,MATCH(E377,'Type Chart'!$A:$A,0),MATCH(XLOOKUP('Boss Editor'!$C$4,'Pokemon Editor'!$A:$A,'Pokemon Editor'!$C:$C,""),'Type Chart'!$B$1:$S$1,0))*IF(XLOOKUP('Boss Editor'!$C$4,'Pokemon Editor'!$A:$A,'Pokemon Editor'!$D:$D,"")="",1,INDEX('Type Chart'!$B:$S,MATCH(E377,'Type Chart'!$A:$A,0),MATCH(XLOOKUP('Boss Editor'!$C$4,'Pokemon Editor'!$A:$A,'Pokemon Editor'!$D:$D,""),'Type Chart'!$B$1:$S$1,0))))</f>
        <v/>
      </c>
      <c r="J377" s="3">
        <f>IFERROR(LET(mtype,XLOOKUP($D377,'Move Editor'!$B:$B,'Move Editor'!$C:$C,""),cat,XLOOKUP($D377,'Move Editor'!$B:$B,'Move Editor'!$D:$D,""),pow,XLOOKUP($D377,'Move Editor'!$B:$B,'Move Editor'!$E:$E,0),acc,XLOOKUP($D377,'Move Editor'!$B:$B,'Move Editor'!$F:$F,100),atk,IF(cat="Physical",FLOOR((FLOOR(((2*XLOOKUP(XLOOKUP($Q377,'Threshold Summary'!$Y:$Y,'Threshold Summary'!$K:$K,""),'Pokemon Editor'!$A:$A,'Pokemon Editor'!$F:$F,0)+31+FLOOR(XLOOKUP($Q377,'Threshold Summary'!$Y:$Y,'Threshold Summary'!$P:$P,"")/4))*XLOOKUP($Q377,'Threshold Summary'!$Y:$Y,'Threshold Summary'!$L:$L,""))/100)+5)*XLOOKUP(XLOOKUP($Q377,'Threshold Summary'!$Y:$Y,'Threshold Summary'!$M:$M,""),'Nature Editor'!$A:$A,'Nature Editor'!$B:$B,1)),FLOOR((FLOOR(((2*XLOOKUP(XLOOKUP($Q377,'Threshold Summary'!$Y:$Y,'Threshold Summary'!$K:$K,""),'Pokemon Editor'!$A:$A,'Pokemon Editor'!$H:$H,0)+31+FLOOR(XLOOKUP($Q377,'Threshold Summary'!$Y:$Y,'Threshold Summary'!$R:$R,"")/4))*XLOOKUP($Q377,'Threshold Summary'!$Y:$Y,'Threshold Summary'!$L:$L,""))/100)+5)*XLOOKUP(XLOOKUP($Q377,'Threshold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Editor'!$E:$E,1))),stab,IF(OR(mtype=XLOOKUP(XLOOKUP($Q377,'Threshold Summary'!$Y:$Y,'Threshold Summary'!$K:$K,""),'Pokemon Editor'!$A:$A,'Pokemon Editor'!$C:$C,""),mtype=XLOOKUP(XLOOKUP($Q377,'Threshold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Chart'!$B$1:$S$1,0)))),base,IF(OR(cat="Status",pow=0),0,FLOOR(FLOOR(FLOOR((2*XLOOKUP($Q377,'Threshold Summary'!$Y:$Y,'Threshold Summary'!$L:$L,"")/5+2)*pow*atk/def)/50)+2)),modifier,stab*eff,FLOOR(base*modifier*0.85)),0)</f>
        <v/>
      </c>
      <c r="K377" s="3">
        <f>IFERROR(LET(mtype,XLOOKUP($D377,'Move Editor'!$B:$B,'Move Editor'!$C:$C,""),cat,XLOOKUP($D377,'Move Editor'!$B:$B,'Move Editor'!$D:$D,""),pow,XLOOKUP($D377,'Move Editor'!$B:$B,'Move Editor'!$E:$E,0),acc,XLOOKUP($D377,'Move Editor'!$B:$B,'Move Editor'!$F:$F,100),atk,IF(cat="Physical",FLOOR((FLOOR(((2*XLOOKUP(XLOOKUP($Q377,'Threshold Summary'!$Y:$Y,'Threshold Summary'!$K:$K,""),'Pokemon Editor'!$A:$A,'Pokemon Editor'!$F:$F,0)+31+FLOOR(XLOOKUP($Q377,'Threshold Summary'!$Y:$Y,'Threshold Summary'!$P:$P,"")/4))*XLOOKUP($Q377,'Threshold Summary'!$Y:$Y,'Threshold Summary'!$L:$L,""))/100)+5)*XLOOKUP(XLOOKUP($Q377,'Threshold Summary'!$Y:$Y,'Threshold Summary'!$M:$M,""),'Nature Editor'!$A:$A,'Nature Editor'!$B:$B,1)),FLOOR((FLOOR(((2*XLOOKUP(XLOOKUP($Q377,'Threshold Summary'!$Y:$Y,'Threshold Summary'!$K:$K,""),'Pokemon Editor'!$A:$A,'Pokemon Editor'!$H:$H,0)+31+FLOOR(XLOOKUP($Q377,'Threshold Summary'!$Y:$Y,'Threshold Summary'!$R:$R,"")/4))*XLOOKUP($Q377,'Threshold Summary'!$Y:$Y,'Threshold Summary'!$L:$L,""))/100)+5)*XLOOKUP(XLOOKUP($Q377,'Threshold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Editor'!$E:$E,1))),stab,IF(OR(mtype=XLOOKUP(XLOOKUP($Q377,'Threshold Summary'!$Y:$Y,'Threshold Summary'!$K:$K,""),'Pokemon Editor'!$A:$A,'Pokemon Editor'!$C:$C,""),mtype=XLOOKUP(XLOOKUP($Q377,'Threshold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Chart'!$B$1:$S$1,0)))),base,IF(OR(cat="Status",pow=0),0,FLOOR(FLOOR(FLOOR((2*XLOOKUP($Q377,'Threshold Summary'!$Y:$Y,'Threshold Summary'!$L:$L,"")/5+2)*pow*atk/def)/50)+2)),modifier,stab*eff,FLOOR(base*modifier)),0)</f>
        <v/>
      </c>
      <c r="L377" s="3">
        <f>IFERROR(LET(mtype,XLOOKUP($D377,'Move Editor'!$B:$B,'Move Editor'!$C:$C,""),cat,XLOOKUP($D377,'Move Editor'!$B:$B,'Move Editor'!$D:$D,""),pow,XLOOKUP($D377,'Move Editor'!$B:$B,'Move Editor'!$E:$E,0),acc,XLOOKUP($D377,'Move Editor'!$B:$B,'Move Editor'!$F:$F,100),atk,IF(cat="Physical",FLOOR((FLOOR(((2*XLOOKUP(XLOOKUP($Q377,'Threshold Summary'!$Y:$Y,'Threshold Summary'!$K:$K,""),'Pokemon Editor'!$A:$A,'Pokemon Editor'!$F:$F,0)+31+FLOOR(XLOOKUP($Q377,'Threshold Summary'!$Y:$Y,'Threshold Summary'!$P:$P,"")/4))*XLOOKUP($Q377,'Threshold Summary'!$Y:$Y,'Threshold Summary'!$L:$L,""))/100)+5)*XLOOKUP(XLOOKUP($Q377,'Threshold Summary'!$Y:$Y,'Threshold Summary'!$M:$M,""),'Nature Editor'!$A:$A,'Nature Editor'!$B:$B,1)),FLOOR((FLOOR(((2*XLOOKUP(XLOOKUP($Q377,'Threshold Summary'!$Y:$Y,'Threshold Summary'!$K:$K,""),'Pokemon Editor'!$A:$A,'Pokemon Editor'!$H:$H,0)+31+FLOOR(XLOOKUP($Q377,'Threshold Summary'!$Y:$Y,'Threshold Summary'!$R:$R,"")/4))*XLOOKUP($Q377,'Threshold Summary'!$Y:$Y,'Threshold Summary'!$L:$L,""))/100)+5)*XLOOKUP(XLOOKUP($Q377,'Threshold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Editor'!$E:$E,1))),stab,IF(OR(mtype=XLOOKUP(XLOOKUP($Q377,'Threshold Summary'!$Y:$Y,'Threshold Summary'!$K:$K,""),'Pokemon Editor'!$A:$A,'Pokemon Editor'!$C:$C,""),mtype=XLOOKUP(XLOOKUP($Q377,'Threshold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Chart'!$B$1:$S$1,0)))),base,IF(OR(cat="Status",pow=0),0,FLOOR(FLOOR(FLOOR((2*XLOOKUP($Q377,'Threshold Summary'!$Y:$Y,'Threshold Summary'!$L:$L,"")/5+2)*pow*atk/def)/50)+2)),modifier,stab*eff,AVERAGE(ARRAYFORMULA(FLOOR(base*modifier*SEQUENCE(16,1,85,1)/100)))),0)</f>
        <v/>
      </c>
      <c r="M377" s="3">
        <f>IFERROR(LET(mtype,XLOOKUP($D377,'Move Editor'!$B:$B,'Move Editor'!$C:$C,""),cat,XLOOKUP($D377,'Move Editor'!$B:$B,'Move Editor'!$D:$D,""),pow,XLOOKUP($D377,'Move Editor'!$B:$B,'Move Editor'!$E:$E,0),acc,XLOOKUP($D377,'Move Editor'!$B:$B,'Move Editor'!$F:$F,100),atk,IF(cat="Physical",FLOOR((FLOOR(((2*XLOOKUP(XLOOKUP($Q377,'Threshold Summary'!$Y:$Y,'Threshold Summary'!$K:$K,""),'Pokemon Editor'!$A:$A,'Pokemon Editor'!$F:$F,0)+31+FLOOR(XLOOKUP($Q377,'Threshold Summary'!$Y:$Y,'Threshold Summary'!$P:$P,"")/4))*XLOOKUP($Q377,'Threshold Summary'!$Y:$Y,'Threshold Summary'!$L:$L,""))/100)+5)*XLOOKUP(XLOOKUP($Q377,'Threshold Summary'!$Y:$Y,'Threshold Summary'!$M:$M,""),'Nature Editor'!$A:$A,'Nature Editor'!$B:$B,1)),FLOOR((FLOOR(((2*XLOOKUP(XLOOKUP($Q377,'Threshold Summary'!$Y:$Y,'Threshold Summary'!$K:$K,""),'Pokemon Editor'!$A:$A,'Pokemon Editor'!$H:$H,0)+31+FLOOR(XLOOKUP($Q377,'Threshold Summary'!$Y:$Y,'Threshold Summary'!$R:$R,"")/4))*XLOOKUP($Q377,'Threshold Summary'!$Y:$Y,'Threshold Summary'!$L:$L,""))/100)+5)*XLOOKUP(XLOOKUP($Q377,'Threshold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Editor'!$E:$E,1))),stab,IF(OR(mtype=XLOOKUP(XLOOKUP($Q377,'Threshold Summary'!$Y:$Y,'Threshold Summary'!$K:$K,""),'Pokemon Editor'!$A:$A,'Pokemon Editor'!$C:$C,""),mtype=XLOOKUP(XLOOKUP($Q377,'Threshold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Chart'!$B$1:$S$1,0)))),base,IF(OR(cat="Status",pow=0),0,FLOOR(FLOOR(FLOOR((2*XLOOKUP($Q377,'Threshold Summary'!$Y:$Y,'Threshold Summary'!$L:$L,"")/5+2)*pow*atk/def)/50)+2)),modifier,stab*eff,AVERAGE(ARRAYFORMULA(FLOOR(base*modifier*SEQUENCE(16,1,85,1)/100)))*MIN(1,acc/100)),0)</f>
        <v/>
      </c>
      <c r="N377" s="4">
        <f>IFERROR(LET(mtype,XLOOKUP($D377,'Move Editor'!$B:$B,'Move Editor'!$C:$C,""),cat,XLOOKUP($D377,'Move Editor'!$B:$B,'Move Editor'!$D:$D,""),pow,XLOOKUP($D377,'Move Editor'!$B:$B,'Move Editor'!$E:$E,0),acc,XLOOKUP($D377,'Move Editor'!$B:$B,'Move Editor'!$F:$F,100),atk,IF(cat="Physical",FLOOR((FLOOR(((2*XLOOKUP(XLOOKUP($Q377,'Threshold Summary'!$Y:$Y,'Threshold Summary'!$K:$K,""),'Pokemon Editor'!$A:$A,'Pokemon Editor'!$F:$F,0)+31+FLOOR(XLOOKUP($Q377,'Threshold Summary'!$Y:$Y,'Threshold Summary'!$P:$P,"")/4))*XLOOKUP($Q377,'Threshold Summary'!$Y:$Y,'Threshold Summary'!$L:$L,""))/100)+5)*XLOOKUP(XLOOKUP($Q377,'Threshold Summary'!$Y:$Y,'Threshold Summary'!$M:$M,""),'Nature Editor'!$A:$A,'Nature Editor'!$B:$B,1)),FLOOR((FLOOR(((2*XLOOKUP(XLOOKUP($Q377,'Threshold Summary'!$Y:$Y,'Threshold Summary'!$K:$K,""),'Pokemon Editor'!$A:$A,'Pokemon Editor'!$H:$H,0)+31+FLOOR(XLOOKUP($Q377,'Threshold Summary'!$Y:$Y,'Threshold Summary'!$R:$R,"")/4))*XLOOKUP($Q377,'Threshold Summary'!$Y:$Y,'Threshold Summary'!$L:$L,""))/100)+5)*XLOOKUP(XLOOKUP($Q377,'Threshold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Editor'!$E:$E,1))),stab,IF(OR(mtype=XLOOKUP(XLOOKUP($Q377,'Threshold Summary'!$Y:$Y,'Threshold Summary'!$K:$K,""),'Pokemon Editor'!$A:$A,'Pokemon Editor'!$C:$C,""),mtype=XLOOKUP(XLOOKUP($Q377,'Threshold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Chart'!$B$1:$S$1,0)))),base,IF(OR(cat="Status",pow=0),0,FLOOR(FLOOR(FLOOR((2*XLOOKUP($Q377,'Threshold Summary'!$Y:$Y,'Threshold Summary'!$L:$L,"")/5+2)*pow*atk/def)/50)+2)),modifier,stab*eff,AVERAGE(ARRAYFORMULA(FLOOR(base*modifier*SEQUENCE(16,1,85,1)/100)))/(FLOOR(((2*XLOOKUP('Boss Editor'!$C$4,'Pokemon Editor'!$A:$A,'Pokemon Editor'!$E:$E,0)+31+FLOOR('Boss Editor'!$G$4/4))*'Boss Editor'!$D$4)/100)+'Boss Editor'!$D$4+10)),0)</f>
        <v/>
      </c>
      <c r="O377" s="3">
        <f>IF(N377&gt;=1,"OHKO",IF(N377&gt;=0.5,"2HKO",IF(N377&gt;=0.333,"3HKO",IF(N377&gt;=0.25,"4HKO","5HKO+"))))</f>
        <v/>
      </c>
      <c r="P377" s="3" t="inlineStr">
        <is>
          <t>Live from editable databases</t>
        </is>
      </c>
      <c r="Q377" s="3" t="inlineStr">
        <is>
          <t>SPECIES_COMBEE</t>
        </is>
      </c>
      <c r="R377" s="3" t="n">
        <v>24</v>
      </c>
    </row>
    <row r="378">
      <c r="A378" s="3">
        <f>XLOOKUP($Q378,'Threshold Summary'!$Y:$Y,'Threshold Summary'!$A:$A,"")</f>
        <v/>
      </c>
      <c r="B378" s="3">
        <f>XLOOKUP($Q378,'Threshold Summary'!$Y:$Y,'Threshold Summary'!$M:$M,"")</f>
        <v/>
      </c>
      <c r="C378" s="3">
        <f>XLOOKUP($Q378,'Threshold Summary'!$Y:$Y,'Threshold Summary'!$N:$N,"")</f>
        <v/>
      </c>
      <c r="D378" s="3">
        <f>IFERROR(INDEX(FILTER('Learnset Editor'!$D$2:$D,'Learnset Editor'!$A$2:$A=XLOOKUP($Q378,'Threshold Summary'!$Y:$Y,'Threshold Summary'!$K:$K,""),'Learnset Editor'!$C$2:$C&lt;=XLOOKUP($Q378,'Threshold Summary'!$Y:$Y,'Threshold Summary'!$L:$L,"")),$R378),"")</f>
        <v/>
      </c>
      <c r="E378" s="3">
        <f>XLOOKUP(D378,'Move Editor'!$B:$B,'Move Editor'!$C:$C,"")</f>
        <v/>
      </c>
      <c r="F378" s="3">
        <f>XLOOKUP(D378,'Move Editor'!$B:$B,'Move Editor'!$D:$D,"")</f>
        <v/>
      </c>
      <c r="G378" s="3">
        <f>XLOOKUP(D378,'Move Editor'!$B:$B,'Move Editor'!$E:$E,0)</f>
        <v/>
      </c>
      <c r="H378" s="3">
        <f>XLOOKUP(D378,'Move Editor'!$B:$B,'Move Editor'!$F:$F,0)</f>
        <v/>
      </c>
      <c r="I378" s="3">
        <f>(INDEX('Type Chart'!$B:$S,MATCH(E378,'Type Chart'!$A:$A,0),MATCH(XLOOKUP('Boss Editor'!$C$4,'Pokemon Editor'!$A:$A,'Pokemon Editor'!$C:$C,""),'Type Chart'!$B$1:$S$1,0))*IF(XLOOKUP('Boss Editor'!$C$4,'Pokemon Editor'!$A:$A,'Pokemon Editor'!$D:$D,"")="",1,INDEX('Type Chart'!$B:$S,MATCH(E378,'Type Chart'!$A:$A,0),MATCH(XLOOKUP('Boss Editor'!$C$4,'Pokemon Editor'!$A:$A,'Pokemon Editor'!$D:$D,""),'Type Chart'!$B$1:$S$1,0))))</f>
        <v/>
      </c>
      <c r="J378" s="3">
        <f>IFERROR(LET(mtype,XLOOKUP($D378,'Move Editor'!$B:$B,'Move Editor'!$C:$C,""),cat,XLOOKUP($D378,'Move Editor'!$B:$B,'Move Editor'!$D:$D,""),pow,XLOOKUP($D378,'Move Editor'!$B:$B,'Move Editor'!$E:$E,0),acc,XLOOKUP($D378,'Move Editor'!$B:$B,'Move Editor'!$F:$F,100),atk,IF(cat="Physical",FLOOR((FLOOR(((2*XLOOKUP(XLOOKUP($Q378,'Threshold Summary'!$Y:$Y,'Threshold Summary'!$K:$K,""),'Pokemon Editor'!$A:$A,'Pokemon Editor'!$F:$F,0)+31+FLOOR(XLOOKUP($Q378,'Threshold Summary'!$Y:$Y,'Threshold Summary'!$P:$P,"")/4))*XLOOKUP($Q378,'Threshold Summary'!$Y:$Y,'Threshold Summary'!$L:$L,""))/100)+5)*XLOOKUP(XLOOKUP($Q378,'Threshold Summary'!$Y:$Y,'Threshold Summary'!$M:$M,""),'Nature Editor'!$A:$A,'Nature Editor'!$B:$B,1)),FLOOR((FLOOR(((2*XLOOKUP(XLOOKUP($Q378,'Threshold Summary'!$Y:$Y,'Threshold Summary'!$K:$K,""),'Pokemon Editor'!$A:$A,'Pokemon Editor'!$H:$H,0)+31+FLOOR(XLOOKUP($Q378,'Threshold Summary'!$Y:$Y,'Threshold Summary'!$R:$R,"")/4))*XLOOKUP($Q378,'Threshold Summary'!$Y:$Y,'Threshold Summary'!$L:$L,""))/100)+5)*XLOOKUP(XLOOKUP($Q378,'Threshold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Editor'!$E:$E,1))),stab,IF(OR(mtype=XLOOKUP(XLOOKUP($Q378,'Threshold Summary'!$Y:$Y,'Threshold Summary'!$K:$K,""),'Pokemon Editor'!$A:$A,'Pokemon Editor'!$C:$C,""),mtype=XLOOKUP(XLOOKUP($Q378,'Threshold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Chart'!$B$1:$S$1,0)))),base,IF(OR(cat="Status",pow=0),0,FLOOR(FLOOR(FLOOR((2*XLOOKUP($Q378,'Threshold Summary'!$Y:$Y,'Threshold Summary'!$L:$L,"")/5+2)*pow*atk/def)/50)+2)),modifier,stab*eff,FLOOR(base*modifier*0.85)),0)</f>
        <v/>
      </c>
      <c r="K378" s="3">
        <f>IFERROR(LET(mtype,XLOOKUP($D378,'Move Editor'!$B:$B,'Move Editor'!$C:$C,""),cat,XLOOKUP($D378,'Move Editor'!$B:$B,'Move Editor'!$D:$D,""),pow,XLOOKUP($D378,'Move Editor'!$B:$B,'Move Editor'!$E:$E,0),acc,XLOOKUP($D378,'Move Editor'!$B:$B,'Move Editor'!$F:$F,100),atk,IF(cat="Physical",FLOOR((FLOOR(((2*XLOOKUP(XLOOKUP($Q378,'Threshold Summary'!$Y:$Y,'Threshold Summary'!$K:$K,""),'Pokemon Editor'!$A:$A,'Pokemon Editor'!$F:$F,0)+31+FLOOR(XLOOKUP($Q378,'Threshold Summary'!$Y:$Y,'Threshold Summary'!$P:$P,"")/4))*XLOOKUP($Q378,'Threshold Summary'!$Y:$Y,'Threshold Summary'!$L:$L,""))/100)+5)*XLOOKUP(XLOOKUP($Q378,'Threshold Summary'!$Y:$Y,'Threshold Summary'!$M:$M,""),'Nature Editor'!$A:$A,'Nature Editor'!$B:$B,1)),FLOOR((FLOOR(((2*XLOOKUP(XLOOKUP($Q378,'Threshold Summary'!$Y:$Y,'Threshold Summary'!$K:$K,""),'Pokemon Editor'!$A:$A,'Pokemon Editor'!$H:$H,0)+31+FLOOR(XLOOKUP($Q378,'Threshold Summary'!$Y:$Y,'Threshold Summary'!$R:$R,"")/4))*XLOOKUP($Q378,'Threshold Summary'!$Y:$Y,'Threshold Summary'!$L:$L,""))/100)+5)*XLOOKUP(XLOOKUP($Q378,'Threshold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Editor'!$E:$E,1))),stab,IF(OR(mtype=XLOOKUP(XLOOKUP($Q378,'Threshold Summary'!$Y:$Y,'Threshold Summary'!$K:$K,""),'Pokemon Editor'!$A:$A,'Pokemon Editor'!$C:$C,""),mtype=XLOOKUP(XLOOKUP($Q378,'Threshold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Chart'!$B$1:$S$1,0)))),base,IF(OR(cat="Status",pow=0),0,FLOOR(FLOOR(FLOOR((2*XLOOKUP($Q378,'Threshold Summary'!$Y:$Y,'Threshold Summary'!$L:$L,"")/5+2)*pow*atk/def)/50)+2)),modifier,stab*eff,FLOOR(base*modifier)),0)</f>
        <v/>
      </c>
      <c r="L378" s="3">
        <f>IFERROR(LET(mtype,XLOOKUP($D378,'Move Editor'!$B:$B,'Move Editor'!$C:$C,""),cat,XLOOKUP($D378,'Move Editor'!$B:$B,'Move Editor'!$D:$D,""),pow,XLOOKUP($D378,'Move Editor'!$B:$B,'Move Editor'!$E:$E,0),acc,XLOOKUP($D378,'Move Editor'!$B:$B,'Move Editor'!$F:$F,100),atk,IF(cat="Physical",FLOOR((FLOOR(((2*XLOOKUP(XLOOKUP($Q378,'Threshold Summary'!$Y:$Y,'Threshold Summary'!$K:$K,""),'Pokemon Editor'!$A:$A,'Pokemon Editor'!$F:$F,0)+31+FLOOR(XLOOKUP($Q378,'Threshold Summary'!$Y:$Y,'Threshold Summary'!$P:$P,"")/4))*XLOOKUP($Q378,'Threshold Summary'!$Y:$Y,'Threshold Summary'!$L:$L,""))/100)+5)*XLOOKUP(XLOOKUP($Q378,'Threshold Summary'!$Y:$Y,'Threshold Summary'!$M:$M,""),'Nature Editor'!$A:$A,'Nature Editor'!$B:$B,1)),FLOOR((FLOOR(((2*XLOOKUP(XLOOKUP($Q378,'Threshold Summary'!$Y:$Y,'Threshold Summary'!$K:$K,""),'Pokemon Editor'!$A:$A,'Pokemon Editor'!$H:$H,0)+31+FLOOR(XLOOKUP($Q378,'Threshold Summary'!$Y:$Y,'Threshold Summary'!$R:$R,"")/4))*XLOOKUP($Q378,'Threshold Summary'!$Y:$Y,'Threshold Summary'!$L:$L,""))/100)+5)*XLOOKUP(XLOOKUP($Q378,'Threshold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Editor'!$E:$E,1))),stab,IF(OR(mtype=XLOOKUP(XLOOKUP($Q378,'Threshold Summary'!$Y:$Y,'Threshold Summary'!$K:$K,""),'Pokemon Editor'!$A:$A,'Pokemon Editor'!$C:$C,""),mtype=XLOOKUP(XLOOKUP($Q378,'Threshold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Chart'!$B$1:$S$1,0)))),base,IF(OR(cat="Status",pow=0),0,FLOOR(FLOOR(FLOOR((2*XLOOKUP($Q378,'Threshold Summary'!$Y:$Y,'Threshold Summary'!$L:$L,"")/5+2)*pow*atk/def)/50)+2)),modifier,stab*eff,AVERAGE(ARRAYFORMULA(FLOOR(base*modifier*SEQUENCE(16,1,85,1)/100)))),0)</f>
        <v/>
      </c>
      <c r="M378" s="3">
        <f>IFERROR(LET(mtype,XLOOKUP($D378,'Move Editor'!$B:$B,'Move Editor'!$C:$C,""),cat,XLOOKUP($D378,'Move Editor'!$B:$B,'Move Editor'!$D:$D,""),pow,XLOOKUP($D378,'Move Editor'!$B:$B,'Move Editor'!$E:$E,0),acc,XLOOKUP($D378,'Move Editor'!$B:$B,'Move Editor'!$F:$F,100),atk,IF(cat="Physical",FLOOR((FLOOR(((2*XLOOKUP(XLOOKUP($Q378,'Threshold Summary'!$Y:$Y,'Threshold Summary'!$K:$K,""),'Pokemon Editor'!$A:$A,'Pokemon Editor'!$F:$F,0)+31+FLOOR(XLOOKUP($Q378,'Threshold Summary'!$Y:$Y,'Threshold Summary'!$P:$P,"")/4))*XLOOKUP($Q378,'Threshold Summary'!$Y:$Y,'Threshold Summary'!$L:$L,""))/100)+5)*XLOOKUP(XLOOKUP($Q378,'Threshold Summary'!$Y:$Y,'Threshold Summary'!$M:$M,""),'Nature Editor'!$A:$A,'Nature Editor'!$B:$B,1)),FLOOR((FLOOR(((2*XLOOKUP(XLOOKUP($Q378,'Threshold Summary'!$Y:$Y,'Threshold Summary'!$K:$K,""),'Pokemon Editor'!$A:$A,'Pokemon Editor'!$H:$H,0)+31+FLOOR(XLOOKUP($Q378,'Threshold Summary'!$Y:$Y,'Threshold Summary'!$R:$R,"")/4))*XLOOKUP($Q378,'Threshold Summary'!$Y:$Y,'Threshold Summary'!$L:$L,""))/100)+5)*XLOOKUP(XLOOKUP($Q378,'Threshold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Editor'!$E:$E,1))),stab,IF(OR(mtype=XLOOKUP(XLOOKUP($Q378,'Threshold Summary'!$Y:$Y,'Threshold Summary'!$K:$K,""),'Pokemon Editor'!$A:$A,'Pokemon Editor'!$C:$C,""),mtype=XLOOKUP(XLOOKUP($Q378,'Threshold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Chart'!$B$1:$S$1,0)))),base,IF(OR(cat="Status",pow=0),0,FLOOR(FLOOR(FLOOR((2*XLOOKUP($Q378,'Threshold Summary'!$Y:$Y,'Threshold Summary'!$L:$L,"")/5+2)*pow*atk/def)/50)+2)),modifier,stab*eff,AVERAGE(ARRAYFORMULA(FLOOR(base*modifier*SEQUENCE(16,1,85,1)/100)))*MIN(1,acc/100)),0)</f>
        <v/>
      </c>
      <c r="N378" s="4">
        <f>IFERROR(LET(mtype,XLOOKUP($D378,'Move Editor'!$B:$B,'Move Editor'!$C:$C,""),cat,XLOOKUP($D378,'Move Editor'!$B:$B,'Move Editor'!$D:$D,""),pow,XLOOKUP($D378,'Move Editor'!$B:$B,'Move Editor'!$E:$E,0),acc,XLOOKUP($D378,'Move Editor'!$B:$B,'Move Editor'!$F:$F,100),atk,IF(cat="Physical",FLOOR((FLOOR(((2*XLOOKUP(XLOOKUP($Q378,'Threshold Summary'!$Y:$Y,'Threshold Summary'!$K:$K,""),'Pokemon Editor'!$A:$A,'Pokemon Editor'!$F:$F,0)+31+FLOOR(XLOOKUP($Q378,'Threshold Summary'!$Y:$Y,'Threshold Summary'!$P:$P,"")/4))*XLOOKUP($Q378,'Threshold Summary'!$Y:$Y,'Threshold Summary'!$L:$L,""))/100)+5)*XLOOKUP(XLOOKUP($Q378,'Threshold Summary'!$Y:$Y,'Threshold Summary'!$M:$M,""),'Nature Editor'!$A:$A,'Nature Editor'!$B:$B,1)),FLOOR((FLOOR(((2*XLOOKUP(XLOOKUP($Q378,'Threshold Summary'!$Y:$Y,'Threshold Summary'!$K:$K,""),'Pokemon Editor'!$A:$A,'Pokemon Editor'!$H:$H,0)+31+FLOOR(XLOOKUP($Q378,'Threshold Summary'!$Y:$Y,'Threshold Summary'!$R:$R,"")/4))*XLOOKUP($Q378,'Threshold Summary'!$Y:$Y,'Threshold Summary'!$L:$L,""))/100)+5)*XLOOKUP(XLOOKUP($Q378,'Threshold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Editor'!$E:$E,1))),stab,IF(OR(mtype=XLOOKUP(XLOOKUP($Q378,'Threshold Summary'!$Y:$Y,'Threshold Summary'!$K:$K,""),'Pokemon Editor'!$A:$A,'Pokemon Editor'!$C:$C,""),mtype=XLOOKUP(XLOOKUP($Q378,'Threshold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Chart'!$B$1:$S$1,0)))),base,IF(OR(cat="Status",pow=0),0,FLOOR(FLOOR(FLOOR((2*XLOOKUP($Q378,'Threshold Summary'!$Y:$Y,'Threshold Summary'!$L:$L,"")/5+2)*pow*atk/def)/50)+2)),modifier,stab*eff,AVERAGE(ARRAYFORMULA(FLOOR(base*modifier*SEQUENCE(16,1,85,1)/100)))/(FLOOR(((2*XLOOKUP('Boss Editor'!$C$4,'Pokemon Editor'!$A:$A,'Pokemon Editor'!$E:$E,0)+31+FLOOR('Boss Editor'!$G$4/4))*'Boss Editor'!$D$4)/100)+'Boss Editor'!$D$4+10)),0)</f>
        <v/>
      </c>
      <c r="O378" s="3">
        <f>IF(N378&gt;=1,"OHKO",IF(N378&gt;=0.5,"2HKO",IF(N378&gt;=0.333,"3HKO",IF(N378&gt;=0.25,"4HKO","5HKO+"))))</f>
        <v/>
      </c>
      <c r="P378" s="3" t="inlineStr">
        <is>
          <t>Live from editable databases</t>
        </is>
      </c>
      <c r="Q378" s="3" t="inlineStr">
        <is>
          <t>SPECIES_COMBEE</t>
        </is>
      </c>
      <c r="R378" s="3" t="n">
        <v>25</v>
      </c>
    </row>
    <row r="379">
      <c r="A379" s="3">
        <f>XLOOKUP($Q379,'Threshold Summary'!$Y:$Y,'Threshold Summary'!$A:$A,"")</f>
        <v/>
      </c>
      <c r="B379" s="3">
        <f>XLOOKUP($Q379,'Threshold Summary'!$Y:$Y,'Threshold Summary'!$M:$M,"")</f>
        <v/>
      </c>
      <c r="C379" s="3">
        <f>XLOOKUP($Q379,'Threshold Summary'!$Y:$Y,'Threshold Summary'!$N:$N,"")</f>
        <v/>
      </c>
      <c r="D379" s="3">
        <f>IFERROR(INDEX(FILTER('Learnset Editor'!$D$2:$D,'Learnset Editor'!$A$2:$A=XLOOKUP($Q379,'Threshold Summary'!$Y:$Y,'Threshold Summary'!$K:$K,""),'Learnset Editor'!$C$2:$C&lt;=XLOOKUP($Q379,'Threshold Summary'!$Y:$Y,'Threshold Summary'!$L:$L,"")),$R379),"")</f>
        <v/>
      </c>
      <c r="E379" s="3">
        <f>XLOOKUP(D379,'Move Editor'!$B:$B,'Move Editor'!$C:$C,"")</f>
        <v/>
      </c>
      <c r="F379" s="3">
        <f>XLOOKUP(D379,'Move Editor'!$B:$B,'Move Editor'!$D:$D,"")</f>
        <v/>
      </c>
      <c r="G379" s="3">
        <f>XLOOKUP(D379,'Move Editor'!$B:$B,'Move Editor'!$E:$E,0)</f>
        <v/>
      </c>
      <c r="H379" s="3">
        <f>XLOOKUP(D379,'Move Editor'!$B:$B,'Move Editor'!$F:$F,0)</f>
        <v/>
      </c>
      <c r="I379" s="3">
        <f>(INDEX('Type Chart'!$B:$S,MATCH(E379,'Type Chart'!$A:$A,0),MATCH(XLOOKUP('Boss Editor'!$C$4,'Pokemon Editor'!$A:$A,'Pokemon Editor'!$C:$C,""),'Type Chart'!$B$1:$S$1,0))*IF(XLOOKUP('Boss Editor'!$C$4,'Pokemon Editor'!$A:$A,'Pokemon Editor'!$D:$D,"")="",1,INDEX('Type Chart'!$B:$S,MATCH(E379,'Type Chart'!$A:$A,0),MATCH(XLOOKUP('Boss Editor'!$C$4,'Pokemon Editor'!$A:$A,'Pokemon Editor'!$D:$D,""),'Type Chart'!$B$1:$S$1,0))))</f>
        <v/>
      </c>
      <c r="J379" s="3">
        <f>IFERROR(LET(mtype,XLOOKUP($D379,'Move Editor'!$B:$B,'Move Editor'!$C:$C,""),cat,XLOOKUP($D379,'Move Editor'!$B:$B,'Move Editor'!$D:$D,""),pow,XLOOKUP($D379,'Move Editor'!$B:$B,'Move Editor'!$E:$E,0),acc,XLOOKUP($D379,'Move Editor'!$B:$B,'Move Editor'!$F:$F,100),atk,IF(cat="Physical",FLOOR((FLOOR(((2*XLOOKUP(XLOOKUP($Q379,'Threshold Summary'!$Y:$Y,'Threshold Summary'!$K:$K,""),'Pokemon Editor'!$A:$A,'Pokemon Editor'!$F:$F,0)+31+FLOOR(XLOOKUP($Q379,'Threshold Summary'!$Y:$Y,'Threshold Summary'!$P:$P,"")/4))*XLOOKUP($Q379,'Threshold Summary'!$Y:$Y,'Threshold Summary'!$L:$L,""))/100)+5)*XLOOKUP(XLOOKUP($Q379,'Threshold Summary'!$Y:$Y,'Threshold Summary'!$M:$M,""),'Nature Editor'!$A:$A,'Nature Editor'!$B:$B,1)),FLOOR((FLOOR(((2*XLOOKUP(XLOOKUP($Q379,'Threshold Summary'!$Y:$Y,'Threshold Summary'!$K:$K,""),'Pokemon Editor'!$A:$A,'Pokemon Editor'!$H:$H,0)+31+FLOOR(XLOOKUP($Q379,'Threshold Summary'!$Y:$Y,'Threshold Summary'!$R:$R,"")/4))*XLOOKUP($Q379,'Threshold Summary'!$Y:$Y,'Threshold Summary'!$L:$L,""))/100)+5)*XLOOKUP(XLOOKUP($Q379,'Threshold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Editor'!$E:$E,1))),stab,IF(OR(mtype=XLOOKUP(XLOOKUP($Q379,'Threshold Summary'!$Y:$Y,'Threshold Summary'!$K:$K,""),'Pokemon Editor'!$A:$A,'Pokemon Editor'!$C:$C,""),mtype=XLOOKUP(XLOOKUP($Q379,'Threshold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Chart'!$B$1:$S$1,0)))),base,IF(OR(cat="Status",pow=0),0,FLOOR(FLOOR(FLOOR((2*XLOOKUP($Q379,'Threshold Summary'!$Y:$Y,'Threshold Summary'!$L:$L,"")/5+2)*pow*atk/def)/50)+2)),modifier,stab*eff,FLOOR(base*modifier*0.85)),0)</f>
        <v/>
      </c>
      <c r="K379" s="3">
        <f>IFERROR(LET(mtype,XLOOKUP($D379,'Move Editor'!$B:$B,'Move Editor'!$C:$C,""),cat,XLOOKUP($D379,'Move Editor'!$B:$B,'Move Editor'!$D:$D,""),pow,XLOOKUP($D379,'Move Editor'!$B:$B,'Move Editor'!$E:$E,0),acc,XLOOKUP($D379,'Move Editor'!$B:$B,'Move Editor'!$F:$F,100),atk,IF(cat="Physical",FLOOR((FLOOR(((2*XLOOKUP(XLOOKUP($Q379,'Threshold Summary'!$Y:$Y,'Threshold Summary'!$K:$K,""),'Pokemon Editor'!$A:$A,'Pokemon Editor'!$F:$F,0)+31+FLOOR(XLOOKUP($Q379,'Threshold Summary'!$Y:$Y,'Threshold Summary'!$P:$P,"")/4))*XLOOKUP($Q379,'Threshold Summary'!$Y:$Y,'Threshold Summary'!$L:$L,""))/100)+5)*XLOOKUP(XLOOKUP($Q379,'Threshold Summary'!$Y:$Y,'Threshold Summary'!$M:$M,""),'Nature Editor'!$A:$A,'Nature Editor'!$B:$B,1)),FLOOR((FLOOR(((2*XLOOKUP(XLOOKUP($Q379,'Threshold Summary'!$Y:$Y,'Threshold Summary'!$K:$K,""),'Pokemon Editor'!$A:$A,'Pokemon Editor'!$H:$H,0)+31+FLOOR(XLOOKUP($Q379,'Threshold Summary'!$Y:$Y,'Threshold Summary'!$R:$R,"")/4))*XLOOKUP($Q379,'Threshold Summary'!$Y:$Y,'Threshold Summary'!$L:$L,""))/100)+5)*XLOOKUP(XLOOKUP($Q379,'Threshold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Editor'!$E:$E,1))),stab,IF(OR(mtype=XLOOKUP(XLOOKUP($Q379,'Threshold Summary'!$Y:$Y,'Threshold Summary'!$K:$K,""),'Pokemon Editor'!$A:$A,'Pokemon Editor'!$C:$C,""),mtype=XLOOKUP(XLOOKUP($Q379,'Threshold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Chart'!$B$1:$S$1,0)))),base,IF(OR(cat="Status",pow=0),0,FLOOR(FLOOR(FLOOR((2*XLOOKUP($Q379,'Threshold Summary'!$Y:$Y,'Threshold Summary'!$L:$L,"")/5+2)*pow*atk/def)/50)+2)),modifier,stab*eff,FLOOR(base*modifier)),0)</f>
        <v/>
      </c>
      <c r="L379" s="3">
        <f>IFERROR(LET(mtype,XLOOKUP($D379,'Move Editor'!$B:$B,'Move Editor'!$C:$C,""),cat,XLOOKUP($D379,'Move Editor'!$B:$B,'Move Editor'!$D:$D,""),pow,XLOOKUP($D379,'Move Editor'!$B:$B,'Move Editor'!$E:$E,0),acc,XLOOKUP($D379,'Move Editor'!$B:$B,'Move Editor'!$F:$F,100),atk,IF(cat="Physical",FLOOR((FLOOR(((2*XLOOKUP(XLOOKUP($Q379,'Threshold Summary'!$Y:$Y,'Threshold Summary'!$K:$K,""),'Pokemon Editor'!$A:$A,'Pokemon Editor'!$F:$F,0)+31+FLOOR(XLOOKUP($Q379,'Threshold Summary'!$Y:$Y,'Threshold Summary'!$P:$P,"")/4))*XLOOKUP($Q379,'Threshold Summary'!$Y:$Y,'Threshold Summary'!$L:$L,""))/100)+5)*XLOOKUP(XLOOKUP($Q379,'Threshold Summary'!$Y:$Y,'Threshold Summary'!$M:$M,""),'Nature Editor'!$A:$A,'Nature Editor'!$B:$B,1)),FLOOR((FLOOR(((2*XLOOKUP(XLOOKUP($Q379,'Threshold Summary'!$Y:$Y,'Threshold Summary'!$K:$K,""),'Pokemon Editor'!$A:$A,'Pokemon Editor'!$H:$H,0)+31+FLOOR(XLOOKUP($Q379,'Threshold Summary'!$Y:$Y,'Threshold Summary'!$R:$R,"")/4))*XLOOKUP($Q379,'Threshold Summary'!$Y:$Y,'Threshold Summary'!$L:$L,""))/100)+5)*XLOOKUP(XLOOKUP($Q379,'Threshold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Editor'!$E:$E,1))),stab,IF(OR(mtype=XLOOKUP(XLOOKUP($Q379,'Threshold Summary'!$Y:$Y,'Threshold Summary'!$K:$K,""),'Pokemon Editor'!$A:$A,'Pokemon Editor'!$C:$C,""),mtype=XLOOKUP(XLOOKUP($Q379,'Threshold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Chart'!$B$1:$S$1,0)))),base,IF(OR(cat="Status",pow=0),0,FLOOR(FLOOR(FLOOR((2*XLOOKUP($Q379,'Threshold Summary'!$Y:$Y,'Threshold Summary'!$L:$L,"")/5+2)*pow*atk/def)/50)+2)),modifier,stab*eff,AVERAGE(ARRAYFORMULA(FLOOR(base*modifier*SEQUENCE(16,1,85,1)/100)))),0)</f>
        <v/>
      </c>
      <c r="M379" s="3">
        <f>IFERROR(LET(mtype,XLOOKUP($D379,'Move Editor'!$B:$B,'Move Editor'!$C:$C,""),cat,XLOOKUP($D379,'Move Editor'!$B:$B,'Move Editor'!$D:$D,""),pow,XLOOKUP($D379,'Move Editor'!$B:$B,'Move Editor'!$E:$E,0),acc,XLOOKUP($D379,'Move Editor'!$B:$B,'Move Editor'!$F:$F,100),atk,IF(cat="Physical",FLOOR((FLOOR(((2*XLOOKUP(XLOOKUP($Q379,'Threshold Summary'!$Y:$Y,'Threshold Summary'!$K:$K,""),'Pokemon Editor'!$A:$A,'Pokemon Editor'!$F:$F,0)+31+FLOOR(XLOOKUP($Q379,'Threshold Summary'!$Y:$Y,'Threshold Summary'!$P:$P,"")/4))*XLOOKUP($Q379,'Threshold Summary'!$Y:$Y,'Threshold Summary'!$L:$L,""))/100)+5)*XLOOKUP(XLOOKUP($Q379,'Threshold Summary'!$Y:$Y,'Threshold Summary'!$M:$M,""),'Nature Editor'!$A:$A,'Nature Editor'!$B:$B,1)),FLOOR((FLOOR(((2*XLOOKUP(XLOOKUP($Q379,'Threshold Summary'!$Y:$Y,'Threshold Summary'!$K:$K,""),'Pokemon Editor'!$A:$A,'Pokemon Editor'!$H:$H,0)+31+FLOOR(XLOOKUP($Q379,'Threshold Summary'!$Y:$Y,'Threshold Summary'!$R:$R,"")/4))*XLOOKUP($Q379,'Threshold Summary'!$Y:$Y,'Threshold Summary'!$L:$L,""))/100)+5)*XLOOKUP(XLOOKUP($Q379,'Threshold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Editor'!$E:$E,1))),stab,IF(OR(mtype=XLOOKUP(XLOOKUP($Q379,'Threshold Summary'!$Y:$Y,'Threshold Summary'!$K:$K,""),'Pokemon Editor'!$A:$A,'Pokemon Editor'!$C:$C,""),mtype=XLOOKUP(XLOOKUP($Q379,'Threshold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Chart'!$B$1:$S$1,0)))),base,IF(OR(cat="Status",pow=0),0,FLOOR(FLOOR(FLOOR((2*XLOOKUP($Q379,'Threshold Summary'!$Y:$Y,'Threshold Summary'!$L:$L,"")/5+2)*pow*atk/def)/50)+2)),modifier,stab*eff,AVERAGE(ARRAYFORMULA(FLOOR(base*modifier*SEQUENCE(16,1,85,1)/100)))*MIN(1,acc/100)),0)</f>
        <v/>
      </c>
      <c r="N379" s="4">
        <f>IFERROR(LET(mtype,XLOOKUP($D379,'Move Editor'!$B:$B,'Move Editor'!$C:$C,""),cat,XLOOKUP($D379,'Move Editor'!$B:$B,'Move Editor'!$D:$D,""),pow,XLOOKUP($D379,'Move Editor'!$B:$B,'Move Editor'!$E:$E,0),acc,XLOOKUP($D379,'Move Editor'!$B:$B,'Move Editor'!$F:$F,100),atk,IF(cat="Physical",FLOOR((FLOOR(((2*XLOOKUP(XLOOKUP($Q379,'Threshold Summary'!$Y:$Y,'Threshold Summary'!$K:$K,""),'Pokemon Editor'!$A:$A,'Pokemon Editor'!$F:$F,0)+31+FLOOR(XLOOKUP($Q379,'Threshold Summary'!$Y:$Y,'Threshold Summary'!$P:$P,"")/4))*XLOOKUP($Q379,'Threshold Summary'!$Y:$Y,'Threshold Summary'!$L:$L,""))/100)+5)*XLOOKUP(XLOOKUP($Q379,'Threshold Summary'!$Y:$Y,'Threshold Summary'!$M:$M,""),'Nature Editor'!$A:$A,'Nature Editor'!$B:$B,1)),FLOOR((FLOOR(((2*XLOOKUP(XLOOKUP($Q379,'Threshold Summary'!$Y:$Y,'Threshold Summary'!$K:$K,""),'Pokemon Editor'!$A:$A,'Pokemon Editor'!$H:$H,0)+31+FLOOR(XLOOKUP($Q379,'Threshold Summary'!$Y:$Y,'Threshold Summary'!$R:$R,"")/4))*XLOOKUP($Q379,'Threshold Summary'!$Y:$Y,'Threshold Summary'!$L:$L,""))/100)+5)*XLOOKUP(XLOOKUP($Q379,'Threshold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Editor'!$E:$E,1))),stab,IF(OR(mtype=XLOOKUP(XLOOKUP($Q379,'Threshold Summary'!$Y:$Y,'Threshold Summary'!$K:$K,""),'Pokemon Editor'!$A:$A,'Pokemon Editor'!$C:$C,""),mtype=XLOOKUP(XLOOKUP($Q379,'Threshold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Chart'!$B$1:$S$1,0)))),base,IF(OR(cat="Status",pow=0),0,FLOOR(FLOOR(FLOOR((2*XLOOKUP($Q379,'Threshold Summary'!$Y:$Y,'Threshold Summary'!$L:$L,"")/5+2)*pow*atk/def)/50)+2)),modifier,stab*eff,AVERAGE(ARRAYFORMULA(FLOOR(base*modifier*SEQUENCE(16,1,85,1)/100)))/(FLOOR(((2*XLOOKUP('Boss Editor'!$C$4,'Pokemon Editor'!$A:$A,'Pokemon Editor'!$E:$E,0)+31+FLOOR('Boss Editor'!$G$4/4))*'Boss Editor'!$D$4)/100)+'Boss Editor'!$D$4+10)),0)</f>
        <v/>
      </c>
      <c r="O379" s="3">
        <f>IF(N379&gt;=1,"OHKO",IF(N379&gt;=0.5,"2HKO",IF(N379&gt;=0.333,"3HKO",IF(N379&gt;=0.25,"4HKO","5HKO+"))))</f>
        <v/>
      </c>
      <c r="P379" s="3" t="inlineStr">
        <is>
          <t>Live from editable databases</t>
        </is>
      </c>
      <c r="Q379" s="3" t="inlineStr">
        <is>
          <t>SPECIES_COMBEE</t>
        </is>
      </c>
      <c r="R379" s="3" t="n">
        <v>26</v>
      </c>
    </row>
    <row r="380">
      <c r="A380" s="3">
        <f>XLOOKUP($Q380,'Threshold Summary'!$Y:$Y,'Threshold Summary'!$A:$A,"")</f>
        <v/>
      </c>
      <c r="B380" s="3">
        <f>XLOOKUP($Q380,'Threshold Summary'!$Y:$Y,'Threshold Summary'!$M:$M,"")</f>
        <v/>
      </c>
      <c r="C380" s="3">
        <f>XLOOKUP($Q380,'Threshold Summary'!$Y:$Y,'Threshold Summary'!$N:$N,"")</f>
        <v/>
      </c>
      <c r="D380" s="3">
        <f>IFERROR(INDEX(FILTER('Learnset Editor'!$D$2:$D,'Learnset Editor'!$A$2:$A=XLOOKUP($Q380,'Threshold Summary'!$Y:$Y,'Threshold Summary'!$K:$K,""),'Learnset Editor'!$C$2:$C&lt;=XLOOKUP($Q380,'Threshold Summary'!$Y:$Y,'Threshold Summary'!$L:$L,"")),$R380),"")</f>
        <v/>
      </c>
      <c r="E380" s="3">
        <f>XLOOKUP(D380,'Move Editor'!$B:$B,'Move Editor'!$C:$C,"")</f>
        <v/>
      </c>
      <c r="F380" s="3">
        <f>XLOOKUP(D380,'Move Editor'!$B:$B,'Move Editor'!$D:$D,"")</f>
        <v/>
      </c>
      <c r="G380" s="3">
        <f>XLOOKUP(D380,'Move Editor'!$B:$B,'Move Editor'!$E:$E,0)</f>
        <v/>
      </c>
      <c r="H380" s="3">
        <f>XLOOKUP(D380,'Move Editor'!$B:$B,'Move Editor'!$F:$F,0)</f>
        <v/>
      </c>
      <c r="I380" s="3">
        <f>(INDEX('Type Chart'!$B:$S,MATCH(E380,'Type Chart'!$A:$A,0),MATCH(XLOOKUP('Boss Editor'!$C$4,'Pokemon Editor'!$A:$A,'Pokemon Editor'!$C:$C,""),'Type Chart'!$B$1:$S$1,0))*IF(XLOOKUP('Boss Editor'!$C$4,'Pokemon Editor'!$A:$A,'Pokemon Editor'!$D:$D,"")="",1,INDEX('Type Chart'!$B:$S,MATCH(E380,'Type Chart'!$A:$A,0),MATCH(XLOOKUP('Boss Editor'!$C$4,'Pokemon Editor'!$A:$A,'Pokemon Editor'!$D:$D,""),'Type Chart'!$B$1:$S$1,0))))</f>
        <v/>
      </c>
      <c r="J380" s="3">
        <f>IFERROR(LET(mtype,XLOOKUP($D380,'Move Editor'!$B:$B,'Move Editor'!$C:$C,""),cat,XLOOKUP($D380,'Move Editor'!$B:$B,'Move Editor'!$D:$D,""),pow,XLOOKUP($D380,'Move Editor'!$B:$B,'Move Editor'!$E:$E,0),acc,XLOOKUP($D380,'Move Editor'!$B:$B,'Move Editor'!$F:$F,100),atk,IF(cat="Physical",FLOOR((FLOOR(((2*XLOOKUP(XLOOKUP($Q380,'Threshold Summary'!$Y:$Y,'Threshold Summary'!$K:$K,""),'Pokemon Editor'!$A:$A,'Pokemon Editor'!$F:$F,0)+31+FLOOR(XLOOKUP($Q380,'Threshold Summary'!$Y:$Y,'Threshold Summary'!$P:$P,"")/4))*XLOOKUP($Q380,'Threshold Summary'!$Y:$Y,'Threshold Summary'!$L:$L,""))/100)+5)*XLOOKUP(XLOOKUP($Q380,'Threshold Summary'!$Y:$Y,'Threshold Summary'!$M:$M,""),'Nature Editor'!$A:$A,'Nature Editor'!$B:$B,1)),FLOOR((FLOOR(((2*XLOOKUP(XLOOKUP($Q380,'Threshold Summary'!$Y:$Y,'Threshold Summary'!$K:$K,""),'Pokemon Editor'!$A:$A,'Pokemon Editor'!$H:$H,0)+31+FLOOR(XLOOKUP($Q380,'Threshold Summary'!$Y:$Y,'Threshold Summary'!$R:$R,"")/4))*XLOOKUP($Q380,'Threshold Summary'!$Y:$Y,'Threshold Summary'!$L:$L,""))/100)+5)*XLOOKUP(XLOOKUP($Q380,'Threshold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Editor'!$E:$E,1))),stab,IF(OR(mtype=XLOOKUP(XLOOKUP($Q380,'Threshold Summary'!$Y:$Y,'Threshold Summary'!$K:$K,""),'Pokemon Editor'!$A:$A,'Pokemon Editor'!$C:$C,""),mtype=XLOOKUP(XLOOKUP($Q380,'Threshold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Chart'!$B$1:$S$1,0)))),base,IF(OR(cat="Status",pow=0),0,FLOOR(FLOOR(FLOOR((2*XLOOKUP($Q380,'Threshold Summary'!$Y:$Y,'Threshold Summary'!$L:$L,"")/5+2)*pow*atk/def)/50)+2)),modifier,stab*eff,FLOOR(base*modifier*0.85)),0)</f>
        <v/>
      </c>
      <c r="K380" s="3">
        <f>IFERROR(LET(mtype,XLOOKUP($D380,'Move Editor'!$B:$B,'Move Editor'!$C:$C,""),cat,XLOOKUP($D380,'Move Editor'!$B:$B,'Move Editor'!$D:$D,""),pow,XLOOKUP($D380,'Move Editor'!$B:$B,'Move Editor'!$E:$E,0),acc,XLOOKUP($D380,'Move Editor'!$B:$B,'Move Editor'!$F:$F,100),atk,IF(cat="Physical",FLOOR((FLOOR(((2*XLOOKUP(XLOOKUP($Q380,'Threshold Summary'!$Y:$Y,'Threshold Summary'!$K:$K,""),'Pokemon Editor'!$A:$A,'Pokemon Editor'!$F:$F,0)+31+FLOOR(XLOOKUP($Q380,'Threshold Summary'!$Y:$Y,'Threshold Summary'!$P:$P,"")/4))*XLOOKUP($Q380,'Threshold Summary'!$Y:$Y,'Threshold Summary'!$L:$L,""))/100)+5)*XLOOKUP(XLOOKUP($Q380,'Threshold Summary'!$Y:$Y,'Threshold Summary'!$M:$M,""),'Nature Editor'!$A:$A,'Nature Editor'!$B:$B,1)),FLOOR((FLOOR(((2*XLOOKUP(XLOOKUP($Q380,'Threshold Summary'!$Y:$Y,'Threshold Summary'!$K:$K,""),'Pokemon Editor'!$A:$A,'Pokemon Editor'!$H:$H,0)+31+FLOOR(XLOOKUP($Q380,'Threshold Summary'!$Y:$Y,'Threshold Summary'!$R:$R,"")/4))*XLOOKUP($Q380,'Threshold Summary'!$Y:$Y,'Threshold Summary'!$L:$L,""))/100)+5)*XLOOKUP(XLOOKUP($Q380,'Threshold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Editor'!$E:$E,1))),stab,IF(OR(mtype=XLOOKUP(XLOOKUP($Q380,'Threshold Summary'!$Y:$Y,'Threshold Summary'!$K:$K,""),'Pokemon Editor'!$A:$A,'Pokemon Editor'!$C:$C,""),mtype=XLOOKUP(XLOOKUP($Q380,'Threshold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Chart'!$B$1:$S$1,0)))),base,IF(OR(cat="Status",pow=0),0,FLOOR(FLOOR(FLOOR((2*XLOOKUP($Q380,'Threshold Summary'!$Y:$Y,'Threshold Summary'!$L:$L,"")/5+2)*pow*atk/def)/50)+2)),modifier,stab*eff,FLOOR(base*modifier)),0)</f>
        <v/>
      </c>
      <c r="L380" s="3">
        <f>IFERROR(LET(mtype,XLOOKUP($D380,'Move Editor'!$B:$B,'Move Editor'!$C:$C,""),cat,XLOOKUP($D380,'Move Editor'!$B:$B,'Move Editor'!$D:$D,""),pow,XLOOKUP($D380,'Move Editor'!$B:$B,'Move Editor'!$E:$E,0),acc,XLOOKUP($D380,'Move Editor'!$B:$B,'Move Editor'!$F:$F,100),atk,IF(cat="Physical",FLOOR((FLOOR(((2*XLOOKUP(XLOOKUP($Q380,'Threshold Summary'!$Y:$Y,'Threshold Summary'!$K:$K,""),'Pokemon Editor'!$A:$A,'Pokemon Editor'!$F:$F,0)+31+FLOOR(XLOOKUP($Q380,'Threshold Summary'!$Y:$Y,'Threshold Summary'!$P:$P,"")/4))*XLOOKUP($Q380,'Threshold Summary'!$Y:$Y,'Threshold Summary'!$L:$L,""))/100)+5)*XLOOKUP(XLOOKUP($Q380,'Threshold Summary'!$Y:$Y,'Threshold Summary'!$M:$M,""),'Nature Editor'!$A:$A,'Nature Editor'!$B:$B,1)),FLOOR((FLOOR(((2*XLOOKUP(XLOOKUP($Q380,'Threshold Summary'!$Y:$Y,'Threshold Summary'!$K:$K,""),'Pokemon Editor'!$A:$A,'Pokemon Editor'!$H:$H,0)+31+FLOOR(XLOOKUP($Q380,'Threshold Summary'!$Y:$Y,'Threshold Summary'!$R:$R,"")/4))*XLOOKUP($Q380,'Threshold Summary'!$Y:$Y,'Threshold Summary'!$L:$L,""))/100)+5)*XLOOKUP(XLOOKUP($Q380,'Threshold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Editor'!$E:$E,1))),stab,IF(OR(mtype=XLOOKUP(XLOOKUP($Q380,'Threshold Summary'!$Y:$Y,'Threshold Summary'!$K:$K,""),'Pokemon Editor'!$A:$A,'Pokemon Editor'!$C:$C,""),mtype=XLOOKUP(XLOOKUP($Q380,'Threshold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Chart'!$B$1:$S$1,0)))),base,IF(OR(cat="Status",pow=0),0,FLOOR(FLOOR(FLOOR((2*XLOOKUP($Q380,'Threshold Summary'!$Y:$Y,'Threshold Summary'!$L:$L,"")/5+2)*pow*atk/def)/50)+2)),modifier,stab*eff,AVERAGE(ARRAYFORMULA(FLOOR(base*modifier*SEQUENCE(16,1,85,1)/100)))),0)</f>
        <v/>
      </c>
      <c r="M380" s="3">
        <f>IFERROR(LET(mtype,XLOOKUP($D380,'Move Editor'!$B:$B,'Move Editor'!$C:$C,""),cat,XLOOKUP($D380,'Move Editor'!$B:$B,'Move Editor'!$D:$D,""),pow,XLOOKUP($D380,'Move Editor'!$B:$B,'Move Editor'!$E:$E,0),acc,XLOOKUP($D380,'Move Editor'!$B:$B,'Move Editor'!$F:$F,100),atk,IF(cat="Physical",FLOOR((FLOOR(((2*XLOOKUP(XLOOKUP($Q380,'Threshold Summary'!$Y:$Y,'Threshold Summary'!$K:$K,""),'Pokemon Editor'!$A:$A,'Pokemon Editor'!$F:$F,0)+31+FLOOR(XLOOKUP($Q380,'Threshold Summary'!$Y:$Y,'Threshold Summary'!$P:$P,"")/4))*XLOOKUP($Q380,'Threshold Summary'!$Y:$Y,'Threshold Summary'!$L:$L,""))/100)+5)*XLOOKUP(XLOOKUP($Q380,'Threshold Summary'!$Y:$Y,'Threshold Summary'!$M:$M,""),'Nature Editor'!$A:$A,'Nature Editor'!$B:$B,1)),FLOOR((FLOOR(((2*XLOOKUP(XLOOKUP($Q380,'Threshold Summary'!$Y:$Y,'Threshold Summary'!$K:$K,""),'Pokemon Editor'!$A:$A,'Pokemon Editor'!$H:$H,0)+31+FLOOR(XLOOKUP($Q380,'Threshold Summary'!$Y:$Y,'Threshold Summary'!$R:$R,"")/4))*XLOOKUP($Q380,'Threshold Summary'!$Y:$Y,'Threshold Summary'!$L:$L,""))/100)+5)*XLOOKUP(XLOOKUP($Q380,'Threshold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Editor'!$E:$E,1))),stab,IF(OR(mtype=XLOOKUP(XLOOKUP($Q380,'Threshold Summary'!$Y:$Y,'Threshold Summary'!$K:$K,""),'Pokemon Editor'!$A:$A,'Pokemon Editor'!$C:$C,""),mtype=XLOOKUP(XLOOKUP($Q380,'Threshold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Chart'!$B$1:$S$1,0)))),base,IF(OR(cat="Status",pow=0),0,FLOOR(FLOOR(FLOOR((2*XLOOKUP($Q380,'Threshold Summary'!$Y:$Y,'Threshold Summary'!$L:$L,"")/5+2)*pow*atk/def)/50)+2)),modifier,stab*eff,AVERAGE(ARRAYFORMULA(FLOOR(base*modifier*SEQUENCE(16,1,85,1)/100)))*MIN(1,acc/100)),0)</f>
        <v/>
      </c>
      <c r="N380" s="4">
        <f>IFERROR(LET(mtype,XLOOKUP($D380,'Move Editor'!$B:$B,'Move Editor'!$C:$C,""),cat,XLOOKUP($D380,'Move Editor'!$B:$B,'Move Editor'!$D:$D,""),pow,XLOOKUP($D380,'Move Editor'!$B:$B,'Move Editor'!$E:$E,0),acc,XLOOKUP($D380,'Move Editor'!$B:$B,'Move Editor'!$F:$F,100),atk,IF(cat="Physical",FLOOR((FLOOR(((2*XLOOKUP(XLOOKUP($Q380,'Threshold Summary'!$Y:$Y,'Threshold Summary'!$K:$K,""),'Pokemon Editor'!$A:$A,'Pokemon Editor'!$F:$F,0)+31+FLOOR(XLOOKUP($Q380,'Threshold Summary'!$Y:$Y,'Threshold Summary'!$P:$P,"")/4))*XLOOKUP($Q380,'Threshold Summary'!$Y:$Y,'Threshold Summary'!$L:$L,""))/100)+5)*XLOOKUP(XLOOKUP($Q380,'Threshold Summary'!$Y:$Y,'Threshold Summary'!$M:$M,""),'Nature Editor'!$A:$A,'Nature Editor'!$B:$B,1)),FLOOR((FLOOR(((2*XLOOKUP(XLOOKUP($Q380,'Threshold Summary'!$Y:$Y,'Threshold Summary'!$K:$K,""),'Pokemon Editor'!$A:$A,'Pokemon Editor'!$H:$H,0)+31+FLOOR(XLOOKUP($Q380,'Threshold Summary'!$Y:$Y,'Threshold Summary'!$R:$R,"")/4))*XLOOKUP($Q380,'Threshold Summary'!$Y:$Y,'Threshold Summary'!$L:$L,""))/100)+5)*XLOOKUP(XLOOKUP($Q380,'Threshold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Editor'!$E:$E,1))),stab,IF(OR(mtype=XLOOKUP(XLOOKUP($Q380,'Threshold Summary'!$Y:$Y,'Threshold Summary'!$K:$K,""),'Pokemon Editor'!$A:$A,'Pokemon Editor'!$C:$C,""),mtype=XLOOKUP(XLOOKUP($Q380,'Threshold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Chart'!$B$1:$S$1,0)))),base,IF(OR(cat="Status",pow=0),0,FLOOR(FLOOR(FLOOR((2*XLOOKUP($Q380,'Threshold Summary'!$Y:$Y,'Threshold Summary'!$L:$L,"")/5+2)*pow*atk/def)/50)+2)),modifier,stab*eff,AVERAGE(ARRAYFORMULA(FLOOR(base*modifier*SEQUENCE(16,1,85,1)/100)))/(FLOOR(((2*XLOOKUP('Boss Editor'!$C$4,'Pokemon Editor'!$A:$A,'Pokemon Editor'!$E:$E,0)+31+FLOOR('Boss Editor'!$G$4/4))*'Boss Editor'!$D$4)/100)+'Boss Editor'!$D$4+10)),0)</f>
        <v/>
      </c>
      <c r="O380" s="3">
        <f>IF(N380&gt;=1,"OHKO",IF(N380&gt;=0.5,"2HKO",IF(N380&gt;=0.333,"3HKO",IF(N380&gt;=0.25,"4HKO","5HKO+"))))</f>
        <v/>
      </c>
      <c r="P380" s="3" t="inlineStr">
        <is>
          <t>Live from editable databases</t>
        </is>
      </c>
      <c r="Q380" s="3" t="inlineStr">
        <is>
          <t>SPECIES_COMBEE</t>
        </is>
      </c>
      <c r="R380" s="3" t="n">
        <v>27</v>
      </c>
    </row>
    <row r="381">
      <c r="A381" s="3">
        <f>XLOOKUP($Q381,'Threshold Summary'!$Y:$Y,'Threshold Summary'!$A:$A,"")</f>
        <v/>
      </c>
      <c r="B381" s="3">
        <f>XLOOKUP($Q381,'Threshold Summary'!$Y:$Y,'Threshold Summary'!$M:$M,"")</f>
        <v/>
      </c>
      <c r="C381" s="3">
        <f>XLOOKUP($Q381,'Threshold Summary'!$Y:$Y,'Threshold Summary'!$N:$N,"")</f>
        <v/>
      </c>
      <c r="D381" s="3">
        <f>IFERROR(INDEX(FILTER('Learnset Editor'!$D$2:$D,'Learnset Editor'!$A$2:$A=XLOOKUP($Q381,'Threshold Summary'!$Y:$Y,'Threshold Summary'!$K:$K,""),'Learnset Editor'!$C$2:$C&lt;=XLOOKUP($Q381,'Threshold Summary'!$Y:$Y,'Threshold Summary'!$L:$L,"")),$R381),"")</f>
        <v/>
      </c>
      <c r="E381" s="3">
        <f>XLOOKUP(D381,'Move Editor'!$B:$B,'Move Editor'!$C:$C,"")</f>
        <v/>
      </c>
      <c r="F381" s="3">
        <f>XLOOKUP(D381,'Move Editor'!$B:$B,'Move Editor'!$D:$D,"")</f>
        <v/>
      </c>
      <c r="G381" s="3">
        <f>XLOOKUP(D381,'Move Editor'!$B:$B,'Move Editor'!$E:$E,0)</f>
        <v/>
      </c>
      <c r="H381" s="3">
        <f>XLOOKUP(D381,'Move Editor'!$B:$B,'Move Editor'!$F:$F,0)</f>
        <v/>
      </c>
      <c r="I381" s="3">
        <f>(INDEX('Type Chart'!$B:$S,MATCH(E381,'Type Chart'!$A:$A,0),MATCH(XLOOKUP('Boss Editor'!$C$4,'Pokemon Editor'!$A:$A,'Pokemon Editor'!$C:$C,""),'Type Chart'!$B$1:$S$1,0))*IF(XLOOKUP('Boss Editor'!$C$4,'Pokemon Editor'!$A:$A,'Pokemon Editor'!$D:$D,"")="",1,INDEX('Type Chart'!$B:$S,MATCH(E381,'Type Chart'!$A:$A,0),MATCH(XLOOKUP('Boss Editor'!$C$4,'Pokemon Editor'!$A:$A,'Pokemon Editor'!$D:$D,""),'Type Chart'!$B$1:$S$1,0))))</f>
        <v/>
      </c>
      <c r="J381" s="3">
        <f>IFERROR(LET(mtype,XLOOKUP($D381,'Move Editor'!$B:$B,'Move Editor'!$C:$C,""),cat,XLOOKUP($D381,'Move Editor'!$B:$B,'Move Editor'!$D:$D,""),pow,XLOOKUP($D381,'Move Editor'!$B:$B,'Move Editor'!$E:$E,0),acc,XLOOKUP($D381,'Move Editor'!$B:$B,'Move Editor'!$F:$F,100),atk,IF(cat="Physical",FLOOR((FLOOR(((2*XLOOKUP(XLOOKUP($Q381,'Threshold Summary'!$Y:$Y,'Threshold Summary'!$K:$K,""),'Pokemon Editor'!$A:$A,'Pokemon Editor'!$F:$F,0)+31+FLOOR(XLOOKUP($Q381,'Threshold Summary'!$Y:$Y,'Threshold Summary'!$P:$P,"")/4))*XLOOKUP($Q381,'Threshold Summary'!$Y:$Y,'Threshold Summary'!$L:$L,""))/100)+5)*XLOOKUP(XLOOKUP($Q381,'Threshold Summary'!$Y:$Y,'Threshold Summary'!$M:$M,""),'Nature Editor'!$A:$A,'Nature Editor'!$B:$B,1)),FLOOR((FLOOR(((2*XLOOKUP(XLOOKUP($Q381,'Threshold Summary'!$Y:$Y,'Threshold Summary'!$K:$K,""),'Pokemon Editor'!$A:$A,'Pokemon Editor'!$H:$H,0)+31+FLOOR(XLOOKUP($Q381,'Threshold Summary'!$Y:$Y,'Threshold Summary'!$R:$R,"")/4))*XLOOKUP($Q381,'Threshold Summary'!$Y:$Y,'Threshold Summary'!$L:$L,""))/100)+5)*XLOOKUP(XLOOKUP($Q381,'Threshold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Editor'!$E:$E,1))),stab,IF(OR(mtype=XLOOKUP(XLOOKUP($Q381,'Threshold Summary'!$Y:$Y,'Threshold Summary'!$K:$K,""),'Pokemon Editor'!$A:$A,'Pokemon Editor'!$C:$C,""),mtype=XLOOKUP(XLOOKUP($Q381,'Threshold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Chart'!$B$1:$S$1,0)))),base,IF(OR(cat="Status",pow=0),0,FLOOR(FLOOR(FLOOR((2*XLOOKUP($Q381,'Threshold Summary'!$Y:$Y,'Threshold Summary'!$L:$L,"")/5+2)*pow*atk/def)/50)+2)),modifier,stab*eff,FLOOR(base*modifier*0.85)),0)</f>
        <v/>
      </c>
      <c r="K381" s="3">
        <f>IFERROR(LET(mtype,XLOOKUP($D381,'Move Editor'!$B:$B,'Move Editor'!$C:$C,""),cat,XLOOKUP($D381,'Move Editor'!$B:$B,'Move Editor'!$D:$D,""),pow,XLOOKUP($D381,'Move Editor'!$B:$B,'Move Editor'!$E:$E,0),acc,XLOOKUP($D381,'Move Editor'!$B:$B,'Move Editor'!$F:$F,100),atk,IF(cat="Physical",FLOOR((FLOOR(((2*XLOOKUP(XLOOKUP($Q381,'Threshold Summary'!$Y:$Y,'Threshold Summary'!$K:$K,""),'Pokemon Editor'!$A:$A,'Pokemon Editor'!$F:$F,0)+31+FLOOR(XLOOKUP($Q381,'Threshold Summary'!$Y:$Y,'Threshold Summary'!$P:$P,"")/4))*XLOOKUP($Q381,'Threshold Summary'!$Y:$Y,'Threshold Summary'!$L:$L,""))/100)+5)*XLOOKUP(XLOOKUP($Q381,'Threshold Summary'!$Y:$Y,'Threshold Summary'!$M:$M,""),'Nature Editor'!$A:$A,'Nature Editor'!$B:$B,1)),FLOOR((FLOOR(((2*XLOOKUP(XLOOKUP($Q381,'Threshold Summary'!$Y:$Y,'Threshold Summary'!$K:$K,""),'Pokemon Editor'!$A:$A,'Pokemon Editor'!$H:$H,0)+31+FLOOR(XLOOKUP($Q381,'Threshold Summary'!$Y:$Y,'Threshold Summary'!$R:$R,"")/4))*XLOOKUP($Q381,'Threshold Summary'!$Y:$Y,'Threshold Summary'!$L:$L,""))/100)+5)*XLOOKUP(XLOOKUP($Q381,'Threshold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Editor'!$E:$E,1))),stab,IF(OR(mtype=XLOOKUP(XLOOKUP($Q381,'Threshold Summary'!$Y:$Y,'Threshold Summary'!$K:$K,""),'Pokemon Editor'!$A:$A,'Pokemon Editor'!$C:$C,""),mtype=XLOOKUP(XLOOKUP($Q381,'Threshold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Chart'!$B$1:$S$1,0)))),base,IF(OR(cat="Status",pow=0),0,FLOOR(FLOOR(FLOOR((2*XLOOKUP($Q381,'Threshold Summary'!$Y:$Y,'Threshold Summary'!$L:$L,"")/5+2)*pow*atk/def)/50)+2)),modifier,stab*eff,FLOOR(base*modifier)),0)</f>
        <v/>
      </c>
      <c r="L381" s="3">
        <f>IFERROR(LET(mtype,XLOOKUP($D381,'Move Editor'!$B:$B,'Move Editor'!$C:$C,""),cat,XLOOKUP($D381,'Move Editor'!$B:$B,'Move Editor'!$D:$D,""),pow,XLOOKUP($D381,'Move Editor'!$B:$B,'Move Editor'!$E:$E,0),acc,XLOOKUP($D381,'Move Editor'!$B:$B,'Move Editor'!$F:$F,100),atk,IF(cat="Physical",FLOOR((FLOOR(((2*XLOOKUP(XLOOKUP($Q381,'Threshold Summary'!$Y:$Y,'Threshold Summary'!$K:$K,""),'Pokemon Editor'!$A:$A,'Pokemon Editor'!$F:$F,0)+31+FLOOR(XLOOKUP($Q381,'Threshold Summary'!$Y:$Y,'Threshold Summary'!$P:$P,"")/4))*XLOOKUP($Q381,'Threshold Summary'!$Y:$Y,'Threshold Summary'!$L:$L,""))/100)+5)*XLOOKUP(XLOOKUP($Q381,'Threshold Summary'!$Y:$Y,'Threshold Summary'!$M:$M,""),'Nature Editor'!$A:$A,'Nature Editor'!$B:$B,1)),FLOOR((FLOOR(((2*XLOOKUP(XLOOKUP($Q381,'Threshold Summary'!$Y:$Y,'Threshold Summary'!$K:$K,""),'Pokemon Editor'!$A:$A,'Pokemon Editor'!$H:$H,0)+31+FLOOR(XLOOKUP($Q381,'Threshold Summary'!$Y:$Y,'Threshold Summary'!$R:$R,"")/4))*XLOOKUP($Q381,'Threshold Summary'!$Y:$Y,'Threshold Summary'!$L:$L,""))/100)+5)*XLOOKUP(XLOOKUP($Q381,'Threshold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Editor'!$E:$E,1))),stab,IF(OR(mtype=XLOOKUP(XLOOKUP($Q381,'Threshold Summary'!$Y:$Y,'Threshold Summary'!$K:$K,""),'Pokemon Editor'!$A:$A,'Pokemon Editor'!$C:$C,""),mtype=XLOOKUP(XLOOKUP($Q381,'Threshold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Chart'!$B$1:$S$1,0)))),base,IF(OR(cat="Status",pow=0),0,FLOOR(FLOOR(FLOOR((2*XLOOKUP($Q381,'Threshold Summary'!$Y:$Y,'Threshold Summary'!$L:$L,"")/5+2)*pow*atk/def)/50)+2)),modifier,stab*eff,AVERAGE(ARRAYFORMULA(FLOOR(base*modifier*SEQUENCE(16,1,85,1)/100)))),0)</f>
        <v/>
      </c>
      <c r="M381" s="3">
        <f>IFERROR(LET(mtype,XLOOKUP($D381,'Move Editor'!$B:$B,'Move Editor'!$C:$C,""),cat,XLOOKUP($D381,'Move Editor'!$B:$B,'Move Editor'!$D:$D,""),pow,XLOOKUP($D381,'Move Editor'!$B:$B,'Move Editor'!$E:$E,0),acc,XLOOKUP($D381,'Move Editor'!$B:$B,'Move Editor'!$F:$F,100),atk,IF(cat="Physical",FLOOR((FLOOR(((2*XLOOKUP(XLOOKUP($Q381,'Threshold Summary'!$Y:$Y,'Threshold Summary'!$K:$K,""),'Pokemon Editor'!$A:$A,'Pokemon Editor'!$F:$F,0)+31+FLOOR(XLOOKUP($Q381,'Threshold Summary'!$Y:$Y,'Threshold Summary'!$P:$P,"")/4))*XLOOKUP($Q381,'Threshold Summary'!$Y:$Y,'Threshold Summary'!$L:$L,""))/100)+5)*XLOOKUP(XLOOKUP($Q381,'Threshold Summary'!$Y:$Y,'Threshold Summary'!$M:$M,""),'Nature Editor'!$A:$A,'Nature Editor'!$B:$B,1)),FLOOR((FLOOR(((2*XLOOKUP(XLOOKUP($Q381,'Threshold Summary'!$Y:$Y,'Threshold Summary'!$K:$K,""),'Pokemon Editor'!$A:$A,'Pokemon Editor'!$H:$H,0)+31+FLOOR(XLOOKUP($Q381,'Threshold Summary'!$Y:$Y,'Threshold Summary'!$R:$R,"")/4))*XLOOKUP($Q381,'Threshold Summary'!$Y:$Y,'Threshold Summary'!$L:$L,""))/100)+5)*XLOOKUP(XLOOKUP($Q381,'Threshold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Editor'!$E:$E,1))),stab,IF(OR(mtype=XLOOKUP(XLOOKUP($Q381,'Threshold Summary'!$Y:$Y,'Threshold Summary'!$K:$K,""),'Pokemon Editor'!$A:$A,'Pokemon Editor'!$C:$C,""),mtype=XLOOKUP(XLOOKUP($Q381,'Threshold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Chart'!$B$1:$S$1,0)))),base,IF(OR(cat="Status",pow=0),0,FLOOR(FLOOR(FLOOR((2*XLOOKUP($Q381,'Threshold Summary'!$Y:$Y,'Threshold Summary'!$L:$L,"")/5+2)*pow*atk/def)/50)+2)),modifier,stab*eff,AVERAGE(ARRAYFORMULA(FLOOR(base*modifier*SEQUENCE(16,1,85,1)/100)))*MIN(1,acc/100)),0)</f>
        <v/>
      </c>
      <c r="N381" s="4">
        <f>IFERROR(LET(mtype,XLOOKUP($D381,'Move Editor'!$B:$B,'Move Editor'!$C:$C,""),cat,XLOOKUP($D381,'Move Editor'!$B:$B,'Move Editor'!$D:$D,""),pow,XLOOKUP($D381,'Move Editor'!$B:$B,'Move Editor'!$E:$E,0),acc,XLOOKUP($D381,'Move Editor'!$B:$B,'Move Editor'!$F:$F,100),atk,IF(cat="Physical",FLOOR((FLOOR(((2*XLOOKUP(XLOOKUP($Q381,'Threshold Summary'!$Y:$Y,'Threshold Summary'!$K:$K,""),'Pokemon Editor'!$A:$A,'Pokemon Editor'!$F:$F,0)+31+FLOOR(XLOOKUP($Q381,'Threshold Summary'!$Y:$Y,'Threshold Summary'!$P:$P,"")/4))*XLOOKUP($Q381,'Threshold Summary'!$Y:$Y,'Threshold Summary'!$L:$L,""))/100)+5)*XLOOKUP(XLOOKUP($Q381,'Threshold Summary'!$Y:$Y,'Threshold Summary'!$M:$M,""),'Nature Editor'!$A:$A,'Nature Editor'!$B:$B,1)),FLOOR((FLOOR(((2*XLOOKUP(XLOOKUP($Q381,'Threshold Summary'!$Y:$Y,'Threshold Summary'!$K:$K,""),'Pokemon Editor'!$A:$A,'Pokemon Editor'!$H:$H,0)+31+FLOOR(XLOOKUP($Q381,'Threshold Summary'!$Y:$Y,'Threshold Summary'!$R:$R,"")/4))*XLOOKUP($Q381,'Threshold Summary'!$Y:$Y,'Threshold Summary'!$L:$L,""))/100)+5)*XLOOKUP(XLOOKUP($Q381,'Threshold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Editor'!$E:$E,1))),stab,IF(OR(mtype=XLOOKUP(XLOOKUP($Q381,'Threshold Summary'!$Y:$Y,'Threshold Summary'!$K:$K,""),'Pokemon Editor'!$A:$A,'Pokemon Editor'!$C:$C,""),mtype=XLOOKUP(XLOOKUP($Q381,'Threshold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Chart'!$B$1:$S$1,0)))),base,IF(OR(cat="Status",pow=0),0,FLOOR(FLOOR(FLOOR((2*XLOOKUP($Q381,'Threshold Summary'!$Y:$Y,'Threshold Summary'!$L:$L,"")/5+2)*pow*atk/def)/50)+2)),modifier,stab*eff,AVERAGE(ARRAYFORMULA(FLOOR(base*modifier*SEQUENCE(16,1,85,1)/100)))/(FLOOR(((2*XLOOKUP('Boss Editor'!$C$4,'Pokemon Editor'!$A:$A,'Pokemon Editor'!$E:$E,0)+31+FLOOR('Boss Editor'!$G$4/4))*'Boss Editor'!$D$4)/100)+'Boss Editor'!$D$4+10)),0)</f>
        <v/>
      </c>
      <c r="O381" s="3">
        <f>IF(N381&gt;=1,"OHKO",IF(N381&gt;=0.5,"2HKO",IF(N381&gt;=0.333,"3HKO",IF(N381&gt;=0.25,"4HKO","5HKO+"))))</f>
        <v/>
      </c>
      <c r="P381" s="3" t="inlineStr">
        <is>
          <t>Live from editable databases</t>
        </is>
      </c>
      <c r="Q381" s="3" t="inlineStr">
        <is>
          <t>SPECIES_COMBEE</t>
        </is>
      </c>
      <c r="R381" s="3" t="n">
        <v>28</v>
      </c>
    </row>
    <row r="382">
      <c r="A382" s="3">
        <f>XLOOKUP($Q382,'Threshold Summary'!$Y:$Y,'Threshold Summary'!$A:$A,"")</f>
        <v/>
      </c>
      <c r="B382" s="3">
        <f>XLOOKUP($Q382,'Threshold Summary'!$Y:$Y,'Threshold Summary'!$M:$M,"")</f>
        <v/>
      </c>
      <c r="C382" s="3">
        <f>XLOOKUP($Q382,'Threshold Summary'!$Y:$Y,'Threshold Summary'!$N:$N,"")</f>
        <v/>
      </c>
      <c r="D382" s="3">
        <f>IFERROR(INDEX(FILTER('Learnset Editor'!$D$2:$D,'Learnset Editor'!$A$2:$A=XLOOKUP($Q382,'Threshold Summary'!$Y:$Y,'Threshold Summary'!$K:$K,""),'Learnset Editor'!$C$2:$C&lt;=XLOOKUP($Q382,'Threshold Summary'!$Y:$Y,'Threshold Summary'!$L:$L,"")),$R382),"")</f>
        <v/>
      </c>
      <c r="E382" s="3">
        <f>XLOOKUP(D382,'Move Editor'!$B:$B,'Move Editor'!$C:$C,"")</f>
        <v/>
      </c>
      <c r="F382" s="3">
        <f>XLOOKUP(D382,'Move Editor'!$B:$B,'Move Editor'!$D:$D,"")</f>
        <v/>
      </c>
      <c r="G382" s="3">
        <f>XLOOKUP(D382,'Move Editor'!$B:$B,'Move Editor'!$E:$E,0)</f>
        <v/>
      </c>
      <c r="H382" s="3">
        <f>XLOOKUP(D382,'Move Editor'!$B:$B,'Move Editor'!$F:$F,0)</f>
        <v/>
      </c>
      <c r="I382" s="3">
        <f>(INDEX('Type Chart'!$B:$S,MATCH(E382,'Type Chart'!$A:$A,0),MATCH(XLOOKUP('Boss Editor'!$C$4,'Pokemon Editor'!$A:$A,'Pokemon Editor'!$C:$C,""),'Type Chart'!$B$1:$S$1,0))*IF(XLOOKUP('Boss Editor'!$C$4,'Pokemon Editor'!$A:$A,'Pokemon Editor'!$D:$D,"")="",1,INDEX('Type Chart'!$B:$S,MATCH(E382,'Type Chart'!$A:$A,0),MATCH(XLOOKUP('Boss Editor'!$C$4,'Pokemon Editor'!$A:$A,'Pokemon Editor'!$D:$D,""),'Type Chart'!$B$1:$S$1,0))))</f>
        <v/>
      </c>
      <c r="J382" s="3">
        <f>IFERROR(LET(mtype,XLOOKUP($D382,'Move Editor'!$B:$B,'Move Editor'!$C:$C,""),cat,XLOOKUP($D382,'Move Editor'!$B:$B,'Move Editor'!$D:$D,""),pow,XLOOKUP($D382,'Move Editor'!$B:$B,'Move Editor'!$E:$E,0),acc,XLOOKUP($D382,'Move Editor'!$B:$B,'Move Editor'!$F:$F,100),atk,IF(cat="Physical",FLOOR((FLOOR(((2*XLOOKUP(XLOOKUP($Q382,'Threshold Summary'!$Y:$Y,'Threshold Summary'!$K:$K,""),'Pokemon Editor'!$A:$A,'Pokemon Editor'!$F:$F,0)+31+FLOOR(XLOOKUP($Q382,'Threshold Summary'!$Y:$Y,'Threshold Summary'!$P:$P,"")/4))*XLOOKUP($Q382,'Threshold Summary'!$Y:$Y,'Threshold Summary'!$L:$L,""))/100)+5)*XLOOKUP(XLOOKUP($Q382,'Threshold Summary'!$Y:$Y,'Threshold Summary'!$M:$M,""),'Nature Editor'!$A:$A,'Nature Editor'!$B:$B,1)),FLOOR((FLOOR(((2*XLOOKUP(XLOOKUP($Q382,'Threshold Summary'!$Y:$Y,'Threshold Summary'!$K:$K,""),'Pokemon Editor'!$A:$A,'Pokemon Editor'!$H:$H,0)+31+FLOOR(XLOOKUP($Q382,'Threshold Summary'!$Y:$Y,'Threshold Summary'!$R:$R,"")/4))*XLOOKUP($Q382,'Threshold Summary'!$Y:$Y,'Threshold Summary'!$L:$L,""))/100)+5)*XLOOKUP(XLOOKUP($Q382,'Threshold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Editor'!$E:$E,1))),stab,IF(OR(mtype=XLOOKUP(XLOOKUP($Q382,'Threshold Summary'!$Y:$Y,'Threshold Summary'!$K:$K,""),'Pokemon Editor'!$A:$A,'Pokemon Editor'!$C:$C,""),mtype=XLOOKUP(XLOOKUP($Q382,'Threshold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Chart'!$B$1:$S$1,0)))),base,IF(OR(cat="Status",pow=0),0,FLOOR(FLOOR(FLOOR((2*XLOOKUP($Q382,'Threshold Summary'!$Y:$Y,'Threshold Summary'!$L:$L,"")/5+2)*pow*atk/def)/50)+2)),modifier,stab*eff,FLOOR(base*modifier*0.85)),0)</f>
        <v/>
      </c>
      <c r="K382" s="3">
        <f>IFERROR(LET(mtype,XLOOKUP($D382,'Move Editor'!$B:$B,'Move Editor'!$C:$C,""),cat,XLOOKUP($D382,'Move Editor'!$B:$B,'Move Editor'!$D:$D,""),pow,XLOOKUP($D382,'Move Editor'!$B:$B,'Move Editor'!$E:$E,0),acc,XLOOKUP($D382,'Move Editor'!$B:$B,'Move Editor'!$F:$F,100),atk,IF(cat="Physical",FLOOR((FLOOR(((2*XLOOKUP(XLOOKUP($Q382,'Threshold Summary'!$Y:$Y,'Threshold Summary'!$K:$K,""),'Pokemon Editor'!$A:$A,'Pokemon Editor'!$F:$F,0)+31+FLOOR(XLOOKUP($Q382,'Threshold Summary'!$Y:$Y,'Threshold Summary'!$P:$P,"")/4))*XLOOKUP($Q382,'Threshold Summary'!$Y:$Y,'Threshold Summary'!$L:$L,""))/100)+5)*XLOOKUP(XLOOKUP($Q382,'Threshold Summary'!$Y:$Y,'Threshold Summary'!$M:$M,""),'Nature Editor'!$A:$A,'Nature Editor'!$B:$B,1)),FLOOR((FLOOR(((2*XLOOKUP(XLOOKUP($Q382,'Threshold Summary'!$Y:$Y,'Threshold Summary'!$K:$K,""),'Pokemon Editor'!$A:$A,'Pokemon Editor'!$H:$H,0)+31+FLOOR(XLOOKUP($Q382,'Threshold Summary'!$Y:$Y,'Threshold Summary'!$R:$R,"")/4))*XLOOKUP($Q382,'Threshold Summary'!$Y:$Y,'Threshold Summary'!$L:$L,""))/100)+5)*XLOOKUP(XLOOKUP($Q382,'Threshold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Editor'!$E:$E,1))),stab,IF(OR(mtype=XLOOKUP(XLOOKUP($Q382,'Threshold Summary'!$Y:$Y,'Threshold Summary'!$K:$K,""),'Pokemon Editor'!$A:$A,'Pokemon Editor'!$C:$C,""),mtype=XLOOKUP(XLOOKUP($Q382,'Threshold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Chart'!$B$1:$S$1,0)))),base,IF(OR(cat="Status",pow=0),0,FLOOR(FLOOR(FLOOR((2*XLOOKUP($Q382,'Threshold Summary'!$Y:$Y,'Threshold Summary'!$L:$L,"")/5+2)*pow*atk/def)/50)+2)),modifier,stab*eff,FLOOR(base*modifier)),0)</f>
        <v/>
      </c>
      <c r="L382" s="3">
        <f>IFERROR(LET(mtype,XLOOKUP($D382,'Move Editor'!$B:$B,'Move Editor'!$C:$C,""),cat,XLOOKUP($D382,'Move Editor'!$B:$B,'Move Editor'!$D:$D,""),pow,XLOOKUP($D382,'Move Editor'!$B:$B,'Move Editor'!$E:$E,0),acc,XLOOKUP($D382,'Move Editor'!$B:$B,'Move Editor'!$F:$F,100),atk,IF(cat="Physical",FLOOR((FLOOR(((2*XLOOKUP(XLOOKUP($Q382,'Threshold Summary'!$Y:$Y,'Threshold Summary'!$K:$K,""),'Pokemon Editor'!$A:$A,'Pokemon Editor'!$F:$F,0)+31+FLOOR(XLOOKUP($Q382,'Threshold Summary'!$Y:$Y,'Threshold Summary'!$P:$P,"")/4))*XLOOKUP($Q382,'Threshold Summary'!$Y:$Y,'Threshold Summary'!$L:$L,""))/100)+5)*XLOOKUP(XLOOKUP($Q382,'Threshold Summary'!$Y:$Y,'Threshold Summary'!$M:$M,""),'Nature Editor'!$A:$A,'Nature Editor'!$B:$B,1)),FLOOR((FLOOR(((2*XLOOKUP(XLOOKUP($Q382,'Threshold Summary'!$Y:$Y,'Threshold Summary'!$K:$K,""),'Pokemon Editor'!$A:$A,'Pokemon Editor'!$H:$H,0)+31+FLOOR(XLOOKUP($Q382,'Threshold Summary'!$Y:$Y,'Threshold Summary'!$R:$R,"")/4))*XLOOKUP($Q382,'Threshold Summary'!$Y:$Y,'Threshold Summary'!$L:$L,""))/100)+5)*XLOOKUP(XLOOKUP($Q382,'Threshold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Editor'!$E:$E,1))),stab,IF(OR(mtype=XLOOKUP(XLOOKUP($Q382,'Threshold Summary'!$Y:$Y,'Threshold Summary'!$K:$K,""),'Pokemon Editor'!$A:$A,'Pokemon Editor'!$C:$C,""),mtype=XLOOKUP(XLOOKUP($Q382,'Threshold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Chart'!$B$1:$S$1,0)))),base,IF(OR(cat="Status",pow=0),0,FLOOR(FLOOR(FLOOR((2*XLOOKUP($Q382,'Threshold Summary'!$Y:$Y,'Threshold Summary'!$L:$L,"")/5+2)*pow*atk/def)/50)+2)),modifier,stab*eff,AVERAGE(ARRAYFORMULA(FLOOR(base*modifier*SEQUENCE(16,1,85,1)/100)))),0)</f>
        <v/>
      </c>
      <c r="M382" s="3">
        <f>IFERROR(LET(mtype,XLOOKUP($D382,'Move Editor'!$B:$B,'Move Editor'!$C:$C,""),cat,XLOOKUP($D382,'Move Editor'!$B:$B,'Move Editor'!$D:$D,""),pow,XLOOKUP($D382,'Move Editor'!$B:$B,'Move Editor'!$E:$E,0),acc,XLOOKUP($D382,'Move Editor'!$B:$B,'Move Editor'!$F:$F,100),atk,IF(cat="Physical",FLOOR((FLOOR(((2*XLOOKUP(XLOOKUP($Q382,'Threshold Summary'!$Y:$Y,'Threshold Summary'!$K:$K,""),'Pokemon Editor'!$A:$A,'Pokemon Editor'!$F:$F,0)+31+FLOOR(XLOOKUP($Q382,'Threshold Summary'!$Y:$Y,'Threshold Summary'!$P:$P,"")/4))*XLOOKUP($Q382,'Threshold Summary'!$Y:$Y,'Threshold Summary'!$L:$L,""))/100)+5)*XLOOKUP(XLOOKUP($Q382,'Threshold Summary'!$Y:$Y,'Threshold Summary'!$M:$M,""),'Nature Editor'!$A:$A,'Nature Editor'!$B:$B,1)),FLOOR((FLOOR(((2*XLOOKUP(XLOOKUP($Q382,'Threshold Summary'!$Y:$Y,'Threshold Summary'!$K:$K,""),'Pokemon Editor'!$A:$A,'Pokemon Editor'!$H:$H,0)+31+FLOOR(XLOOKUP($Q382,'Threshold Summary'!$Y:$Y,'Threshold Summary'!$R:$R,"")/4))*XLOOKUP($Q382,'Threshold Summary'!$Y:$Y,'Threshold Summary'!$L:$L,""))/100)+5)*XLOOKUP(XLOOKUP($Q382,'Threshold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Editor'!$E:$E,1))),stab,IF(OR(mtype=XLOOKUP(XLOOKUP($Q382,'Threshold Summary'!$Y:$Y,'Threshold Summary'!$K:$K,""),'Pokemon Editor'!$A:$A,'Pokemon Editor'!$C:$C,""),mtype=XLOOKUP(XLOOKUP($Q382,'Threshold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Chart'!$B$1:$S$1,0)))),base,IF(OR(cat="Status",pow=0),0,FLOOR(FLOOR(FLOOR((2*XLOOKUP($Q382,'Threshold Summary'!$Y:$Y,'Threshold Summary'!$L:$L,"")/5+2)*pow*atk/def)/50)+2)),modifier,stab*eff,AVERAGE(ARRAYFORMULA(FLOOR(base*modifier*SEQUENCE(16,1,85,1)/100)))*MIN(1,acc/100)),0)</f>
        <v/>
      </c>
      <c r="N382" s="4">
        <f>IFERROR(LET(mtype,XLOOKUP($D382,'Move Editor'!$B:$B,'Move Editor'!$C:$C,""),cat,XLOOKUP($D382,'Move Editor'!$B:$B,'Move Editor'!$D:$D,""),pow,XLOOKUP($D382,'Move Editor'!$B:$B,'Move Editor'!$E:$E,0),acc,XLOOKUP($D382,'Move Editor'!$B:$B,'Move Editor'!$F:$F,100),atk,IF(cat="Physical",FLOOR((FLOOR(((2*XLOOKUP(XLOOKUP($Q382,'Threshold Summary'!$Y:$Y,'Threshold Summary'!$K:$K,""),'Pokemon Editor'!$A:$A,'Pokemon Editor'!$F:$F,0)+31+FLOOR(XLOOKUP($Q382,'Threshold Summary'!$Y:$Y,'Threshold Summary'!$P:$P,"")/4))*XLOOKUP($Q382,'Threshold Summary'!$Y:$Y,'Threshold Summary'!$L:$L,""))/100)+5)*XLOOKUP(XLOOKUP($Q382,'Threshold Summary'!$Y:$Y,'Threshold Summary'!$M:$M,""),'Nature Editor'!$A:$A,'Nature Editor'!$B:$B,1)),FLOOR((FLOOR(((2*XLOOKUP(XLOOKUP($Q382,'Threshold Summary'!$Y:$Y,'Threshold Summary'!$K:$K,""),'Pokemon Editor'!$A:$A,'Pokemon Editor'!$H:$H,0)+31+FLOOR(XLOOKUP($Q382,'Threshold Summary'!$Y:$Y,'Threshold Summary'!$R:$R,"")/4))*XLOOKUP($Q382,'Threshold Summary'!$Y:$Y,'Threshold Summary'!$L:$L,""))/100)+5)*XLOOKUP(XLOOKUP($Q382,'Threshold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Editor'!$E:$E,1))),stab,IF(OR(mtype=XLOOKUP(XLOOKUP($Q382,'Threshold Summary'!$Y:$Y,'Threshold Summary'!$K:$K,""),'Pokemon Editor'!$A:$A,'Pokemon Editor'!$C:$C,""),mtype=XLOOKUP(XLOOKUP($Q382,'Threshold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Chart'!$B$1:$S$1,0)))),base,IF(OR(cat="Status",pow=0),0,FLOOR(FLOOR(FLOOR((2*XLOOKUP($Q382,'Threshold Summary'!$Y:$Y,'Threshold Summary'!$L:$L,"")/5+2)*pow*atk/def)/50)+2)),modifier,stab*eff,AVERAGE(ARRAYFORMULA(FLOOR(base*modifier*SEQUENCE(16,1,85,1)/100)))/(FLOOR(((2*XLOOKUP('Boss Editor'!$C$4,'Pokemon Editor'!$A:$A,'Pokemon Editor'!$E:$E,0)+31+FLOOR('Boss Editor'!$G$4/4))*'Boss Editor'!$D$4)/100)+'Boss Editor'!$D$4+10)),0)</f>
        <v/>
      </c>
      <c r="O382" s="3">
        <f>IF(N382&gt;=1,"OHKO",IF(N382&gt;=0.5,"2HKO",IF(N382&gt;=0.333,"3HKO",IF(N382&gt;=0.25,"4HKO","5HKO+"))))</f>
        <v/>
      </c>
      <c r="P382" s="3" t="inlineStr">
        <is>
          <t>Live from editable databases</t>
        </is>
      </c>
      <c r="Q382" s="3" t="inlineStr">
        <is>
          <t>SPECIES_COMBEE</t>
        </is>
      </c>
      <c r="R382" s="3" t="n">
        <v>29</v>
      </c>
    </row>
    <row r="383">
      <c r="A383" s="3">
        <f>XLOOKUP($Q383,'Threshold Summary'!$Y:$Y,'Threshold Summary'!$A:$A,"")</f>
        <v/>
      </c>
      <c r="B383" s="3">
        <f>XLOOKUP($Q383,'Threshold Summary'!$Y:$Y,'Threshold Summary'!$M:$M,"")</f>
        <v/>
      </c>
      <c r="C383" s="3">
        <f>XLOOKUP($Q383,'Threshold Summary'!$Y:$Y,'Threshold Summary'!$N:$N,"")</f>
        <v/>
      </c>
      <c r="D383" s="3">
        <f>IFERROR(INDEX(FILTER('Learnset Editor'!$D$2:$D,'Learnset Editor'!$A$2:$A=XLOOKUP($Q383,'Threshold Summary'!$Y:$Y,'Threshold Summary'!$K:$K,""),'Learnset Editor'!$C$2:$C&lt;=XLOOKUP($Q383,'Threshold Summary'!$Y:$Y,'Threshold Summary'!$L:$L,"")),$R383),"")</f>
        <v/>
      </c>
      <c r="E383" s="3">
        <f>XLOOKUP(D383,'Move Editor'!$B:$B,'Move Editor'!$C:$C,"")</f>
        <v/>
      </c>
      <c r="F383" s="3">
        <f>XLOOKUP(D383,'Move Editor'!$B:$B,'Move Editor'!$D:$D,"")</f>
        <v/>
      </c>
      <c r="G383" s="3">
        <f>XLOOKUP(D383,'Move Editor'!$B:$B,'Move Editor'!$E:$E,0)</f>
        <v/>
      </c>
      <c r="H383" s="3">
        <f>XLOOKUP(D383,'Move Editor'!$B:$B,'Move Editor'!$F:$F,0)</f>
        <v/>
      </c>
      <c r="I383" s="3">
        <f>(INDEX('Type Chart'!$B:$S,MATCH(E383,'Type Chart'!$A:$A,0),MATCH(XLOOKUP('Boss Editor'!$C$4,'Pokemon Editor'!$A:$A,'Pokemon Editor'!$C:$C,""),'Type Chart'!$B$1:$S$1,0))*IF(XLOOKUP('Boss Editor'!$C$4,'Pokemon Editor'!$A:$A,'Pokemon Editor'!$D:$D,"")="",1,INDEX('Type Chart'!$B:$S,MATCH(E383,'Type Chart'!$A:$A,0),MATCH(XLOOKUP('Boss Editor'!$C$4,'Pokemon Editor'!$A:$A,'Pokemon Editor'!$D:$D,""),'Type Chart'!$B$1:$S$1,0))))</f>
        <v/>
      </c>
      <c r="J383" s="3">
        <f>IFERROR(LET(mtype,XLOOKUP($D383,'Move Editor'!$B:$B,'Move Editor'!$C:$C,""),cat,XLOOKUP($D383,'Move Editor'!$B:$B,'Move Editor'!$D:$D,""),pow,XLOOKUP($D383,'Move Editor'!$B:$B,'Move Editor'!$E:$E,0),acc,XLOOKUP($D383,'Move Editor'!$B:$B,'Move Editor'!$F:$F,100),atk,IF(cat="Physical",FLOOR((FLOOR(((2*XLOOKUP(XLOOKUP($Q383,'Threshold Summary'!$Y:$Y,'Threshold Summary'!$K:$K,""),'Pokemon Editor'!$A:$A,'Pokemon Editor'!$F:$F,0)+31+FLOOR(XLOOKUP($Q383,'Threshold Summary'!$Y:$Y,'Threshold Summary'!$P:$P,"")/4))*XLOOKUP($Q383,'Threshold Summary'!$Y:$Y,'Threshold Summary'!$L:$L,""))/100)+5)*XLOOKUP(XLOOKUP($Q383,'Threshold Summary'!$Y:$Y,'Threshold Summary'!$M:$M,""),'Nature Editor'!$A:$A,'Nature Editor'!$B:$B,1)),FLOOR((FLOOR(((2*XLOOKUP(XLOOKUP($Q383,'Threshold Summary'!$Y:$Y,'Threshold Summary'!$K:$K,""),'Pokemon Editor'!$A:$A,'Pokemon Editor'!$H:$H,0)+31+FLOOR(XLOOKUP($Q383,'Threshold Summary'!$Y:$Y,'Threshold Summary'!$R:$R,"")/4))*XLOOKUP($Q383,'Threshold Summary'!$Y:$Y,'Threshold Summary'!$L:$L,""))/100)+5)*XLOOKUP(XLOOKUP($Q383,'Threshold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Editor'!$E:$E,1))),stab,IF(OR(mtype=XLOOKUP(XLOOKUP($Q383,'Threshold Summary'!$Y:$Y,'Threshold Summary'!$K:$K,""),'Pokemon Editor'!$A:$A,'Pokemon Editor'!$C:$C,""),mtype=XLOOKUP(XLOOKUP($Q383,'Threshold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Chart'!$B$1:$S$1,0)))),base,IF(OR(cat="Status",pow=0),0,FLOOR(FLOOR(FLOOR((2*XLOOKUP($Q383,'Threshold Summary'!$Y:$Y,'Threshold Summary'!$L:$L,"")/5+2)*pow*atk/def)/50)+2)),modifier,stab*eff,FLOOR(base*modifier*0.85)),0)</f>
        <v/>
      </c>
      <c r="K383" s="3">
        <f>IFERROR(LET(mtype,XLOOKUP($D383,'Move Editor'!$B:$B,'Move Editor'!$C:$C,""),cat,XLOOKUP($D383,'Move Editor'!$B:$B,'Move Editor'!$D:$D,""),pow,XLOOKUP($D383,'Move Editor'!$B:$B,'Move Editor'!$E:$E,0),acc,XLOOKUP($D383,'Move Editor'!$B:$B,'Move Editor'!$F:$F,100),atk,IF(cat="Physical",FLOOR((FLOOR(((2*XLOOKUP(XLOOKUP($Q383,'Threshold Summary'!$Y:$Y,'Threshold Summary'!$K:$K,""),'Pokemon Editor'!$A:$A,'Pokemon Editor'!$F:$F,0)+31+FLOOR(XLOOKUP($Q383,'Threshold Summary'!$Y:$Y,'Threshold Summary'!$P:$P,"")/4))*XLOOKUP($Q383,'Threshold Summary'!$Y:$Y,'Threshold Summary'!$L:$L,""))/100)+5)*XLOOKUP(XLOOKUP($Q383,'Threshold Summary'!$Y:$Y,'Threshold Summary'!$M:$M,""),'Nature Editor'!$A:$A,'Nature Editor'!$B:$B,1)),FLOOR((FLOOR(((2*XLOOKUP(XLOOKUP($Q383,'Threshold Summary'!$Y:$Y,'Threshold Summary'!$K:$K,""),'Pokemon Editor'!$A:$A,'Pokemon Editor'!$H:$H,0)+31+FLOOR(XLOOKUP($Q383,'Threshold Summary'!$Y:$Y,'Threshold Summary'!$R:$R,"")/4))*XLOOKUP($Q383,'Threshold Summary'!$Y:$Y,'Threshold Summary'!$L:$L,""))/100)+5)*XLOOKUP(XLOOKUP($Q383,'Threshold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Editor'!$E:$E,1))),stab,IF(OR(mtype=XLOOKUP(XLOOKUP($Q383,'Threshold Summary'!$Y:$Y,'Threshold Summary'!$K:$K,""),'Pokemon Editor'!$A:$A,'Pokemon Editor'!$C:$C,""),mtype=XLOOKUP(XLOOKUP($Q383,'Threshold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Chart'!$B$1:$S$1,0)))),base,IF(OR(cat="Status",pow=0),0,FLOOR(FLOOR(FLOOR((2*XLOOKUP($Q383,'Threshold Summary'!$Y:$Y,'Threshold Summary'!$L:$L,"")/5+2)*pow*atk/def)/50)+2)),modifier,stab*eff,FLOOR(base*modifier)),0)</f>
        <v/>
      </c>
      <c r="L383" s="3">
        <f>IFERROR(LET(mtype,XLOOKUP($D383,'Move Editor'!$B:$B,'Move Editor'!$C:$C,""),cat,XLOOKUP($D383,'Move Editor'!$B:$B,'Move Editor'!$D:$D,""),pow,XLOOKUP($D383,'Move Editor'!$B:$B,'Move Editor'!$E:$E,0),acc,XLOOKUP($D383,'Move Editor'!$B:$B,'Move Editor'!$F:$F,100),atk,IF(cat="Physical",FLOOR((FLOOR(((2*XLOOKUP(XLOOKUP($Q383,'Threshold Summary'!$Y:$Y,'Threshold Summary'!$K:$K,""),'Pokemon Editor'!$A:$A,'Pokemon Editor'!$F:$F,0)+31+FLOOR(XLOOKUP($Q383,'Threshold Summary'!$Y:$Y,'Threshold Summary'!$P:$P,"")/4))*XLOOKUP($Q383,'Threshold Summary'!$Y:$Y,'Threshold Summary'!$L:$L,""))/100)+5)*XLOOKUP(XLOOKUP($Q383,'Threshold Summary'!$Y:$Y,'Threshold Summary'!$M:$M,""),'Nature Editor'!$A:$A,'Nature Editor'!$B:$B,1)),FLOOR((FLOOR(((2*XLOOKUP(XLOOKUP($Q383,'Threshold Summary'!$Y:$Y,'Threshold Summary'!$K:$K,""),'Pokemon Editor'!$A:$A,'Pokemon Editor'!$H:$H,0)+31+FLOOR(XLOOKUP($Q383,'Threshold Summary'!$Y:$Y,'Threshold Summary'!$R:$R,"")/4))*XLOOKUP($Q383,'Threshold Summary'!$Y:$Y,'Threshold Summary'!$L:$L,""))/100)+5)*XLOOKUP(XLOOKUP($Q383,'Threshold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Editor'!$E:$E,1))),stab,IF(OR(mtype=XLOOKUP(XLOOKUP($Q383,'Threshold Summary'!$Y:$Y,'Threshold Summary'!$K:$K,""),'Pokemon Editor'!$A:$A,'Pokemon Editor'!$C:$C,""),mtype=XLOOKUP(XLOOKUP($Q383,'Threshold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Chart'!$B$1:$S$1,0)))),base,IF(OR(cat="Status",pow=0),0,FLOOR(FLOOR(FLOOR((2*XLOOKUP($Q383,'Threshold Summary'!$Y:$Y,'Threshold Summary'!$L:$L,"")/5+2)*pow*atk/def)/50)+2)),modifier,stab*eff,AVERAGE(ARRAYFORMULA(FLOOR(base*modifier*SEQUENCE(16,1,85,1)/100)))),0)</f>
        <v/>
      </c>
      <c r="M383" s="3">
        <f>IFERROR(LET(mtype,XLOOKUP($D383,'Move Editor'!$B:$B,'Move Editor'!$C:$C,""),cat,XLOOKUP($D383,'Move Editor'!$B:$B,'Move Editor'!$D:$D,""),pow,XLOOKUP($D383,'Move Editor'!$B:$B,'Move Editor'!$E:$E,0),acc,XLOOKUP($D383,'Move Editor'!$B:$B,'Move Editor'!$F:$F,100),atk,IF(cat="Physical",FLOOR((FLOOR(((2*XLOOKUP(XLOOKUP($Q383,'Threshold Summary'!$Y:$Y,'Threshold Summary'!$K:$K,""),'Pokemon Editor'!$A:$A,'Pokemon Editor'!$F:$F,0)+31+FLOOR(XLOOKUP($Q383,'Threshold Summary'!$Y:$Y,'Threshold Summary'!$P:$P,"")/4))*XLOOKUP($Q383,'Threshold Summary'!$Y:$Y,'Threshold Summary'!$L:$L,""))/100)+5)*XLOOKUP(XLOOKUP($Q383,'Threshold Summary'!$Y:$Y,'Threshold Summary'!$M:$M,""),'Nature Editor'!$A:$A,'Nature Editor'!$B:$B,1)),FLOOR((FLOOR(((2*XLOOKUP(XLOOKUP($Q383,'Threshold Summary'!$Y:$Y,'Threshold Summary'!$K:$K,""),'Pokemon Editor'!$A:$A,'Pokemon Editor'!$H:$H,0)+31+FLOOR(XLOOKUP($Q383,'Threshold Summary'!$Y:$Y,'Threshold Summary'!$R:$R,"")/4))*XLOOKUP($Q383,'Threshold Summary'!$Y:$Y,'Threshold Summary'!$L:$L,""))/100)+5)*XLOOKUP(XLOOKUP($Q383,'Threshold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Editor'!$E:$E,1))),stab,IF(OR(mtype=XLOOKUP(XLOOKUP($Q383,'Threshold Summary'!$Y:$Y,'Threshold Summary'!$K:$K,""),'Pokemon Editor'!$A:$A,'Pokemon Editor'!$C:$C,""),mtype=XLOOKUP(XLOOKUP($Q383,'Threshold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Chart'!$B$1:$S$1,0)))),base,IF(OR(cat="Status",pow=0),0,FLOOR(FLOOR(FLOOR((2*XLOOKUP($Q383,'Threshold Summary'!$Y:$Y,'Threshold Summary'!$L:$L,"")/5+2)*pow*atk/def)/50)+2)),modifier,stab*eff,AVERAGE(ARRAYFORMULA(FLOOR(base*modifier*SEQUENCE(16,1,85,1)/100)))*MIN(1,acc/100)),0)</f>
        <v/>
      </c>
      <c r="N383" s="4">
        <f>IFERROR(LET(mtype,XLOOKUP($D383,'Move Editor'!$B:$B,'Move Editor'!$C:$C,""),cat,XLOOKUP($D383,'Move Editor'!$B:$B,'Move Editor'!$D:$D,""),pow,XLOOKUP($D383,'Move Editor'!$B:$B,'Move Editor'!$E:$E,0),acc,XLOOKUP($D383,'Move Editor'!$B:$B,'Move Editor'!$F:$F,100),atk,IF(cat="Physical",FLOOR((FLOOR(((2*XLOOKUP(XLOOKUP($Q383,'Threshold Summary'!$Y:$Y,'Threshold Summary'!$K:$K,""),'Pokemon Editor'!$A:$A,'Pokemon Editor'!$F:$F,0)+31+FLOOR(XLOOKUP($Q383,'Threshold Summary'!$Y:$Y,'Threshold Summary'!$P:$P,"")/4))*XLOOKUP($Q383,'Threshold Summary'!$Y:$Y,'Threshold Summary'!$L:$L,""))/100)+5)*XLOOKUP(XLOOKUP($Q383,'Threshold Summary'!$Y:$Y,'Threshold Summary'!$M:$M,""),'Nature Editor'!$A:$A,'Nature Editor'!$B:$B,1)),FLOOR((FLOOR(((2*XLOOKUP(XLOOKUP($Q383,'Threshold Summary'!$Y:$Y,'Threshold Summary'!$K:$K,""),'Pokemon Editor'!$A:$A,'Pokemon Editor'!$H:$H,0)+31+FLOOR(XLOOKUP($Q383,'Threshold Summary'!$Y:$Y,'Threshold Summary'!$R:$R,"")/4))*XLOOKUP($Q383,'Threshold Summary'!$Y:$Y,'Threshold Summary'!$L:$L,""))/100)+5)*XLOOKUP(XLOOKUP($Q383,'Threshold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Editor'!$E:$E,1))),stab,IF(OR(mtype=XLOOKUP(XLOOKUP($Q383,'Threshold Summary'!$Y:$Y,'Threshold Summary'!$K:$K,""),'Pokemon Editor'!$A:$A,'Pokemon Editor'!$C:$C,""),mtype=XLOOKUP(XLOOKUP($Q383,'Threshold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Chart'!$B$1:$S$1,0)))),base,IF(OR(cat="Status",pow=0),0,FLOOR(FLOOR(FLOOR((2*XLOOKUP($Q383,'Threshold Summary'!$Y:$Y,'Threshold Summary'!$L:$L,"")/5+2)*pow*atk/def)/50)+2)),modifier,stab*eff,AVERAGE(ARRAYFORMULA(FLOOR(base*modifier*SEQUENCE(16,1,85,1)/100)))/(FLOOR(((2*XLOOKUP('Boss Editor'!$C$4,'Pokemon Editor'!$A:$A,'Pokemon Editor'!$E:$E,0)+31+FLOOR('Boss Editor'!$G$4/4))*'Boss Editor'!$D$4)/100)+'Boss Editor'!$D$4+10)),0)</f>
        <v/>
      </c>
      <c r="O383" s="3">
        <f>IF(N383&gt;=1,"OHKO",IF(N383&gt;=0.5,"2HKO",IF(N383&gt;=0.333,"3HKO",IF(N383&gt;=0.25,"4HKO","5HKO+"))))</f>
        <v/>
      </c>
      <c r="P383" s="3" t="inlineStr">
        <is>
          <t>Live from editable databases</t>
        </is>
      </c>
      <c r="Q383" s="3" t="inlineStr">
        <is>
          <t>SPECIES_COMBEE</t>
        </is>
      </c>
      <c r="R383" s="3" t="n">
        <v>30</v>
      </c>
    </row>
    <row r="384">
      <c r="A384" s="3">
        <f>XLOOKUP($Q384,'Threshold Summary'!$Y:$Y,'Threshold Summary'!$A:$A,"")</f>
        <v/>
      </c>
      <c r="B384" s="3">
        <f>XLOOKUP($Q384,'Threshold Summary'!$Y:$Y,'Threshold Summary'!$M:$M,"")</f>
        <v/>
      </c>
      <c r="C384" s="3">
        <f>XLOOKUP($Q384,'Threshold Summary'!$Y:$Y,'Threshold Summary'!$N:$N,"")</f>
        <v/>
      </c>
      <c r="D384" s="3">
        <f>IFERROR(INDEX(FILTER('Learnset Editor'!$D$2:$D,'Learnset Editor'!$A$2:$A=XLOOKUP($Q384,'Threshold Summary'!$Y:$Y,'Threshold Summary'!$K:$K,""),'Learnset Editor'!$C$2:$C&lt;=XLOOKUP($Q384,'Threshold Summary'!$Y:$Y,'Threshold Summary'!$L:$L,"")),$R384),"")</f>
        <v/>
      </c>
      <c r="E384" s="3">
        <f>XLOOKUP(D384,'Move Editor'!$B:$B,'Move Editor'!$C:$C,"")</f>
        <v/>
      </c>
      <c r="F384" s="3">
        <f>XLOOKUP(D384,'Move Editor'!$B:$B,'Move Editor'!$D:$D,"")</f>
        <v/>
      </c>
      <c r="G384" s="3">
        <f>XLOOKUP(D384,'Move Editor'!$B:$B,'Move Editor'!$E:$E,0)</f>
        <v/>
      </c>
      <c r="H384" s="3">
        <f>XLOOKUP(D384,'Move Editor'!$B:$B,'Move Editor'!$F:$F,0)</f>
        <v/>
      </c>
      <c r="I384" s="3">
        <f>(INDEX('Type Chart'!$B:$S,MATCH(E384,'Type Chart'!$A:$A,0),MATCH(XLOOKUP('Boss Editor'!$C$4,'Pokemon Editor'!$A:$A,'Pokemon Editor'!$C:$C,""),'Type Chart'!$B$1:$S$1,0))*IF(XLOOKUP('Boss Editor'!$C$4,'Pokemon Editor'!$A:$A,'Pokemon Editor'!$D:$D,"")="",1,INDEX('Type Chart'!$B:$S,MATCH(E384,'Type Chart'!$A:$A,0),MATCH(XLOOKUP('Boss Editor'!$C$4,'Pokemon Editor'!$A:$A,'Pokemon Editor'!$D:$D,""),'Type Chart'!$B$1:$S$1,0))))</f>
        <v/>
      </c>
      <c r="J384" s="3">
        <f>IFERROR(LET(mtype,XLOOKUP($D384,'Move Editor'!$B:$B,'Move Editor'!$C:$C,""),cat,XLOOKUP($D384,'Move Editor'!$B:$B,'Move Editor'!$D:$D,""),pow,XLOOKUP($D384,'Move Editor'!$B:$B,'Move Editor'!$E:$E,0),acc,XLOOKUP($D384,'Move Editor'!$B:$B,'Move Editor'!$F:$F,100),atk,IF(cat="Physical",FLOOR((FLOOR(((2*XLOOKUP(XLOOKUP($Q384,'Threshold Summary'!$Y:$Y,'Threshold Summary'!$K:$K,""),'Pokemon Editor'!$A:$A,'Pokemon Editor'!$F:$F,0)+31+FLOOR(XLOOKUP($Q384,'Threshold Summary'!$Y:$Y,'Threshold Summary'!$P:$P,"")/4))*XLOOKUP($Q384,'Threshold Summary'!$Y:$Y,'Threshold Summary'!$L:$L,""))/100)+5)*XLOOKUP(XLOOKUP($Q384,'Threshold Summary'!$Y:$Y,'Threshold Summary'!$M:$M,""),'Nature Editor'!$A:$A,'Nature Editor'!$B:$B,1)),FLOOR((FLOOR(((2*XLOOKUP(XLOOKUP($Q384,'Threshold Summary'!$Y:$Y,'Threshold Summary'!$K:$K,""),'Pokemon Editor'!$A:$A,'Pokemon Editor'!$H:$H,0)+31+FLOOR(XLOOKUP($Q384,'Threshold Summary'!$Y:$Y,'Threshold Summary'!$R:$R,"")/4))*XLOOKUP($Q384,'Threshold Summary'!$Y:$Y,'Threshold Summary'!$L:$L,""))/100)+5)*XLOOKUP(XLOOKUP($Q384,'Threshold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Editor'!$E:$E,1))),stab,IF(OR(mtype=XLOOKUP(XLOOKUP($Q384,'Threshold Summary'!$Y:$Y,'Threshold Summary'!$K:$K,""),'Pokemon Editor'!$A:$A,'Pokemon Editor'!$C:$C,""),mtype=XLOOKUP(XLOOKUP($Q384,'Threshold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Chart'!$B$1:$S$1,0)))),base,IF(OR(cat="Status",pow=0),0,FLOOR(FLOOR(FLOOR((2*XLOOKUP($Q384,'Threshold Summary'!$Y:$Y,'Threshold Summary'!$L:$L,"")/5+2)*pow*atk/def)/50)+2)),modifier,stab*eff,FLOOR(base*modifier*0.85)),0)</f>
        <v/>
      </c>
      <c r="K384" s="3">
        <f>IFERROR(LET(mtype,XLOOKUP($D384,'Move Editor'!$B:$B,'Move Editor'!$C:$C,""),cat,XLOOKUP($D384,'Move Editor'!$B:$B,'Move Editor'!$D:$D,""),pow,XLOOKUP($D384,'Move Editor'!$B:$B,'Move Editor'!$E:$E,0),acc,XLOOKUP($D384,'Move Editor'!$B:$B,'Move Editor'!$F:$F,100),atk,IF(cat="Physical",FLOOR((FLOOR(((2*XLOOKUP(XLOOKUP($Q384,'Threshold Summary'!$Y:$Y,'Threshold Summary'!$K:$K,""),'Pokemon Editor'!$A:$A,'Pokemon Editor'!$F:$F,0)+31+FLOOR(XLOOKUP($Q384,'Threshold Summary'!$Y:$Y,'Threshold Summary'!$P:$P,"")/4))*XLOOKUP($Q384,'Threshold Summary'!$Y:$Y,'Threshold Summary'!$L:$L,""))/100)+5)*XLOOKUP(XLOOKUP($Q384,'Threshold Summary'!$Y:$Y,'Threshold Summary'!$M:$M,""),'Nature Editor'!$A:$A,'Nature Editor'!$B:$B,1)),FLOOR((FLOOR(((2*XLOOKUP(XLOOKUP($Q384,'Threshold Summary'!$Y:$Y,'Threshold Summary'!$K:$K,""),'Pokemon Editor'!$A:$A,'Pokemon Editor'!$H:$H,0)+31+FLOOR(XLOOKUP($Q384,'Threshold Summary'!$Y:$Y,'Threshold Summary'!$R:$R,"")/4))*XLOOKUP($Q384,'Threshold Summary'!$Y:$Y,'Threshold Summary'!$L:$L,""))/100)+5)*XLOOKUP(XLOOKUP($Q384,'Threshold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Editor'!$E:$E,1))),stab,IF(OR(mtype=XLOOKUP(XLOOKUP($Q384,'Threshold Summary'!$Y:$Y,'Threshold Summary'!$K:$K,""),'Pokemon Editor'!$A:$A,'Pokemon Editor'!$C:$C,""),mtype=XLOOKUP(XLOOKUP($Q384,'Threshold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Chart'!$B$1:$S$1,0)))),base,IF(OR(cat="Status",pow=0),0,FLOOR(FLOOR(FLOOR((2*XLOOKUP($Q384,'Threshold Summary'!$Y:$Y,'Threshold Summary'!$L:$L,"")/5+2)*pow*atk/def)/50)+2)),modifier,stab*eff,FLOOR(base*modifier)),0)</f>
        <v/>
      </c>
      <c r="L384" s="3">
        <f>IFERROR(LET(mtype,XLOOKUP($D384,'Move Editor'!$B:$B,'Move Editor'!$C:$C,""),cat,XLOOKUP($D384,'Move Editor'!$B:$B,'Move Editor'!$D:$D,""),pow,XLOOKUP($D384,'Move Editor'!$B:$B,'Move Editor'!$E:$E,0),acc,XLOOKUP($D384,'Move Editor'!$B:$B,'Move Editor'!$F:$F,100),atk,IF(cat="Physical",FLOOR((FLOOR(((2*XLOOKUP(XLOOKUP($Q384,'Threshold Summary'!$Y:$Y,'Threshold Summary'!$K:$K,""),'Pokemon Editor'!$A:$A,'Pokemon Editor'!$F:$F,0)+31+FLOOR(XLOOKUP($Q384,'Threshold Summary'!$Y:$Y,'Threshold Summary'!$P:$P,"")/4))*XLOOKUP($Q384,'Threshold Summary'!$Y:$Y,'Threshold Summary'!$L:$L,""))/100)+5)*XLOOKUP(XLOOKUP($Q384,'Threshold Summary'!$Y:$Y,'Threshold Summary'!$M:$M,""),'Nature Editor'!$A:$A,'Nature Editor'!$B:$B,1)),FLOOR((FLOOR(((2*XLOOKUP(XLOOKUP($Q384,'Threshold Summary'!$Y:$Y,'Threshold Summary'!$K:$K,""),'Pokemon Editor'!$A:$A,'Pokemon Editor'!$H:$H,0)+31+FLOOR(XLOOKUP($Q384,'Threshold Summary'!$Y:$Y,'Threshold Summary'!$R:$R,"")/4))*XLOOKUP($Q384,'Threshold Summary'!$Y:$Y,'Threshold Summary'!$L:$L,""))/100)+5)*XLOOKUP(XLOOKUP($Q384,'Threshold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Editor'!$E:$E,1))),stab,IF(OR(mtype=XLOOKUP(XLOOKUP($Q384,'Threshold Summary'!$Y:$Y,'Threshold Summary'!$K:$K,""),'Pokemon Editor'!$A:$A,'Pokemon Editor'!$C:$C,""),mtype=XLOOKUP(XLOOKUP($Q384,'Threshold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Chart'!$B$1:$S$1,0)))),base,IF(OR(cat="Status",pow=0),0,FLOOR(FLOOR(FLOOR((2*XLOOKUP($Q384,'Threshold Summary'!$Y:$Y,'Threshold Summary'!$L:$L,"")/5+2)*pow*atk/def)/50)+2)),modifier,stab*eff,AVERAGE(ARRAYFORMULA(FLOOR(base*modifier*SEQUENCE(16,1,85,1)/100)))),0)</f>
        <v/>
      </c>
      <c r="M384" s="3">
        <f>IFERROR(LET(mtype,XLOOKUP($D384,'Move Editor'!$B:$B,'Move Editor'!$C:$C,""),cat,XLOOKUP($D384,'Move Editor'!$B:$B,'Move Editor'!$D:$D,""),pow,XLOOKUP($D384,'Move Editor'!$B:$B,'Move Editor'!$E:$E,0),acc,XLOOKUP($D384,'Move Editor'!$B:$B,'Move Editor'!$F:$F,100),atk,IF(cat="Physical",FLOOR((FLOOR(((2*XLOOKUP(XLOOKUP($Q384,'Threshold Summary'!$Y:$Y,'Threshold Summary'!$K:$K,""),'Pokemon Editor'!$A:$A,'Pokemon Editor'!$F:$F,0)+31+FLOOR(XLOOKUP($Q384,'Threshold Summary'!$Y:$Y,'Threshold Summary'!$P:$P,"")/4))*XLOOKUP($Q384,'Threshold Summary'!$Y:$Y,'Threshold Summary'!$L:$L,""))/100)+5)*XLOOKUP(XLOOKUP($Q384,'Threshold Summary'!$Y:$Y,'Threshold Summary'!$M:$M,""),'Nature Editor'!$A:$A,'Nature Editor'!$B:$B,1)),FLOOR((FLOOR(((2*XLOOKUP(XLOOKUP($Q384,'Threshold Summary'!$Y:$Y,'Threshold Summary'!$K:$K,""),'Pokemon Editor'!$A:$A,'Pokemon Editor'!$H:$H,0)+31+FLOOR(XLOOKUP($Q384,'Threshold Summary'!$Y:$Y,'Threshold Summary'!$R:$R,"")/4))*XLOOKUP($Q384,'Threshold Summary'!$Y:$Y,'Threshold Summary'!$L:$L,""))/100)+5)*XLOOKUP(XLOOKUP($Q384,'Threshold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Editor'!$E:$E,1))),stab,IF(OR(mtype=XLOOKUP(XLOOKUP($Q384,'Threshold Summary'!$Y:$Y,'Threshold Summary'!$K:$K,""),'Pokemon Editor'!$A:$A,'Pokemon Editor'!$C:$C,""),mtype=XLOOKUP(XLOOKUP($Q384,'Threshold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Chart'!$B$1:$S$1,0)))),base,IF(OR(cat="Status",pow=0),0,FLOOR(FLOOR(FLOOR((2*XLOOKUP($Q384,'Threshold Summary'!$Y:$Y,'Threshold Summary'!$L:$L,"")/5+2)*pow*atk/def)/50)+2)),modifier,stab*eff,AVERAGE(ARRAYFORMULA(FLOOR(base*modifier*SEQUENCE(16,1,85,1)/100)))*MIN(1,acc/100)),0)</f>
        <v/>
      </c>
      <c r="N384" s="4">
        <f>IFERROR(LET(mtype,XLOOKUP($D384,'Move Editor'!$B:$B,'Move Editor'!$C:$C,""),cat,XLOOKUP($D384,'Move Editor'!$B:$B,'Move Editor'!$D:$D,""),pow,XLOOKUP($D384,'Move Editor'!$B:$B,'Move Editor'!$E:$E,0),acc,XLOOKUP($D384,'Move Editor'!$B:$B,'Move Editor'!$F:$F,100),atk,IF(cat="Physical",FLOOR((FLOOR(((2*XLOOKUP(XLOOKUP($Q384,'Threshold Summary'!$Y:$Y,'Threshold Summary'!$K:$K,""),'Pokemon Editor'!$A:$A,'Pokemon Editor'!$F:$F,0)+31+FLOOR(XLOOKUP($Q384,'Threshold Summary'!$Y:$Y,'Threshold Summary'!$P:$P,"")/4))*XLOOKUP($Q384,'Threshold Summary'!$Y:$Y,'Threshold Summary'!$L:$L,""))/100)+5)*XLOOKUP(XLOOKUP($Q384,'Threshold Summary'!$Y:$Y,'Threshold Summary'!$M:$M,""),'Nature Editor'!$A:$A,'Nature Editor'!$B:$B,1)),FLOOR((FLOOR(((2*XLOOKUP(XLOOKUP($Q384,'Threshold Summary'!$Y:$Y,'Threshold Summary'!$K:$K,""),'Pokemon Editor'!$A:$A,'Pokemon Editor'!$H:$H,0)+31+FLOOR(XLOOKUP($Q384,'Threshold Summary'!$Y:$Y,'Threshold Summary'!$R:$R,"")/4))*XLOOKUP($Q384,'Threshold Summary'!$Y:$Y,'Threshold Summary'!$L:$L,""))/100)+5)*XLOOKUP(XLOOKUP($Q384,'Threshold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Editor'!$E:$E,1))),stab,IF(OR(mtype=XLOOKUP(XLOOKUP($Q384,'Threshold Summary'!$Y:$Y,'Threshold Summary'!$K:$K,""),'Pokemon Editor'!$A:$A,'Pokemon Editor'!$C:$C,""),mtype=XLOOKUP(XLOOKUP($Q384,'Threshold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Chart'!$B$1:$S$1,0)))),base,IF(OR(cat="Status",pow=0),0,FLOOR(FLOOR(FLOOR((2*XLOOKUP($Q384,'Threshold Summary'!$Y:$Y,'Threshold Summary'!$L:$L,"")/5+2)*pow*atk/def)/50)+2)),modifier,stab*eff,AVERAGE(ARRAYFORMULA(FLOOR(base*modifier*SEQUENCE(16,1,85,1)/100)))/(FLOOR(((2*XLOOKUP('Boss Editor'!$C$4,'Pokemon Editor'!$A:$A,'Pokemon Editor'!$E:$E,0)+31+FLOOR('Boss Editor'!$G$4/4))*'Boss Editor'!$D$4)/100)+'Boss Editor'!$D$4+10)),0)</f>
        <v/>
      </c>
      <c r="O384" s="3">
        <f>IF(N384&gt;=1,"OHKO",IF(N384&gt;=0.5,"2HKO",IF(N384&gt;=0.333,"3HKO",IF(N384&gt;=0.25,"4HKO","5HKO+"))))</f>
        <v/>
      </c>
      <c r="P384" s="3" t="inlineStr">
        <is>
          <t>Live from editable databases</t>
        </is>
      </c>
      <c r="Q384" s="3" t="inlineStr">
        <is>
          <t>SPECIES_COMBEE</t>
        </is>
      </c>
      <c r="R384" s="3" t="n">
        <v>31</v>
      </c>
    </row>
    <row r="385">
      <c r="A385" s="3">
        <f>XLOOKUP($Q385,'Threshold Summary'!$Y:$Y,'Threshold Summary'!$A:$A,"")</f>
        <v/>
      </c>
      <c r="B385" s="3">
        <f>XLOOKUP($Q385,'Threshold Summary'!$Y:$Y,'Threshold Summary'!$M:$M,"")</f>
        <v/>
      </c>
      <c r="C385" s="3">
        <f>XLOOKUP($Q385,'Threshold Summary'!$Y:$Y,'Threshold Summary'!$N:$N,"")</f>
        <v/>
      </c>
      <c r="D385" s="3">
        <f>IFERROR(INDEX(FILTER('Learnset Editor'!$D$2:$D,'Learnset Editor'!$A$2:$A=XLOOKUP($Q385,'Threshold Summary'!$Y:$Y,'Threshold Summary'!$K:$K,""),'Learnset Editor'!$C$2:$C&lt;=XLOOKUP($Q385,'Threshold Summary'!$Y:$Y,'Threshold Summary'!$L:$L,"")),$R385),"")</f>
        <v/>
      </c>
      <c r="E385" s="3">
        <f>XLOOKUP(D385,'Move Editor'!$B:$B,'Move Editor'!$C:$C,"")</f>
        <v/>
      </c>
      <c r="F385" s="3">
        <f>XLOOKUP(D385,'Move Editor'!$B:$B,'Move Editor'!$D:$D,"")</f>
        <v/>
      </c>
      <c r="G385" s="3">
        <f>XLOOKUP(D385,'Move Editor'!$B:$B,'Move Editor'!$E:$E,0)</f>
        <v/>
      </c>
      <c r="H385" s="3">
        <f>XLOOKUP(D385,'Move Editor'!$B:$B,'Move Editor'!$F:$F,0)</f>
        <v/>
      </c>
      <c r="I385" s="3">
        <f>(INDEX('Type Chart'!$B:$S,MATCH(E385,'Type Chart'!$A:$A,0),MATCH(XLOOKUP('Boss Editor'!$C$4,'Pokemon Editor'!$A:$A,'Pokemon Editor'!$C:$C,""),'Type Chart'!$B$1:$S$1,0))*IF(XLOOKUP('Boss Editor'!$C$4,'Pokemon Editor'!$A:$A,'Pokemon Editor'!$D:$D,"")="",1,INDEX('Type Chart'!$B:$S,MATCH(E385,'Type Chart'!$A:$A,0),MATCH(XLOOKUP('Boss Editor'!$C$4,'Pokemon Editor'!$A:$A,'Pokemon Editor'!$D:$D,""),'Type Chart'!$B$1:$S$1,0))))</f>
        <v/>
      </c>
      <c r="J385" s="3">
        <f>IFERROR(LET(mtype,XLOOKUP($D385,'Move Editor'!$B:$B,'Move Editor'!$C:$C,""),cat,XLOOKUP($D385,'Move Editor'!$B:$B,'Move Editor'!$D:$D,""),pow,XLOOKUP($D385,'Move Editor'!$B:$B,'Move Editor'!$E:$E,0),acc,XLOOKUP($D385,'Move Editor'!$B:$B,'Move Editor'!$F:$F,100),atk,IF(cat="Physical",FLOOR((FLOOR(((2*XLOOKUP(XLOOKUP($Q385,'Threshold Summary'!$Y:$Y,'Threshold Summary'!$K:$K,""),'Pokemon Editor'!$A:$A,'Pokemon Editor'!$F:$F,0)+31+FLOOR(XLOOKUP($Q385,'Threshold Summary'!$Y:$Y,'Threshold Summary'!$P:$P,"")/4))*XLOOKUP($Q385,'Threshold Summary'!$Y:$Y,'Threshold Summary'!$L:$L,""))/100)+5)*XLOOKUP(XLOOKUP($Q385,'Threshold Summary'!$Y:$Y,'Threshold Summary'!$M:$M,""),'Nature Editor'!$A:$A,'Nature Editor'!$B:$B,1)),FLOOR((FLOOR(((2*XLOOKUP(XLOOKUP($Q385,'Threshold Summary'!$Y:$Y,'Threshold Summary'!$K:$K,""),'Pokemon Editor'!$A:$A,'Pokemon Editor'!$H:$H,0)+31+FLOOR(XLOOKUP($Q385,'Threshold Summary'!$Y:$Y,'Threshold Summary'!$R:$R,"")/4))*XLOOKUP($Q385,'Threshold Summary'!$Y:$Y,'Threshold Summary'!$L:$L,""))/100)+5)*XLOOKUP(XLOOKUP($Q385,'Threshold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Editor'!$E:$E,1))),stab,IF(OR(mtype=XLOOKUP(XLOOKUP($Q385,'Threshold Summary'!$Y:$Y,'Threshold Summary'!$K:$K,""),'Pokemon Editor'!$A:$A,'Pokemon Editor'!$C:$C,""),mtype=XLOOKUP(XLOOKUP($Q385,'Threshold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Chart'!$B$1:$S$1,0)))),base,IF(OR(cat="Status",pow=0),0,FLOOR(FLOOR(FLOOR((2*XLOOKUP($Q385,'Threshold Summary'!$Y:$Y,'Threshold Summary'!$L:$L,"")/5+2)*pow*atk/def)/50)+2)),modifier,stab*eff,FLOOR(base*modifier*0.85)),0)</f>
        <v/>
      </c>
      <c r="K385" s="3">
        <f>IFERROR(LET(mtype,XLOOKUP($D385,'Move Editor'!$B:$B,'Move Editor'!$C:$C,""),cat,XLOOKUP($D385,'Move Editor'!$B:$B,'Move Editor'!$D:$D,""),pow,XLOOKUP($D385,'Move Editor'!$B:$B,'Move Editor'!$E:$E,0),acc,XLOOKUP($D385,'Move Editor'!$B:$B,'Move Editor'!$F:$F,100),atk,IF(cat="Physical",FLOOR((FLOOR(((2*XLOOKUP(XLOOKUP($Q385,'Threshold Summary'!$Y:$Y,'Threshold Summary'!$K:$K,""),'Pokemon Editor'!$A:$A,'Pokemon Editor'!$F:$F,0)+31+FLOOR(XLOOKUP($Q385,'Threshold Summary'!$Y:$Y,'Threshold Summary'!$P:$P,"")/4))*XLOOKUP($Q385,'Threshold Summary'!$Y:$Y,'Threshold Summary'!$L:$L,""))/100)+5)*XLOOKUP(XLOOKUP($Q385,'Threshold Summary'!$Y:$Y,'Threshold Summary'!$M:$M,""),'Nature Editor'!$A:$A,'Nature Editor'!$B:$B,1)),FLOOR((FLOOR(((2*XLOOKUP(XLOOKUP($Q385,'Threshold Summary'!$Y:$Y,'Threshold Summary'!$K:$K,""),'Pokemon Editor'!$A:$A,'Pokemon Editor'!$H:$H,0)+31+FLOOR(XLOOKUP($Q385,'Threshold Summary'!$Y:$Y,'Threshold Summary'!$R:$R,"")/4))*XLOOKUP($Q385,'Threshold Summary'!$Y:$Y,'Threshold Summary'!$L:$L,""))/100)+5)*XLOOKUP(XLOOKUP($Q385,'Threshold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Editor'!$E:$E,1))),stab,IF(OR(mtype=XLOOKUP(XLOOKUP($Q385,'Threshold Summary'!$Y:$Y,'Threshold Summary'!$K:$K,""),'Pokemon Editor'!$A:$A,'Pokemon Editor'!$C:$C,""),mtype=XLOOKUP(XLOOKUP($Q385,'Threshold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Chart'!$B$1:$S$1,0)))),base,IF(OR(cat="Status",pow=0),0,FLOOR(FLOOR(FLOOR((2*XLOOKUP($Q385,'Threshold Summary'!$Y:$Y,'Threshold Summary'!$L:$L,"")/5+2)*pow*atk/def)/50)+2)),modifier,stab*eff,FLOOR(base*modifier)),0)</f>
        <v/>
      </c>
      <c r="L385" s="3">
        <f>IFERROR(LET(mtype,XLOOKUP($D385,'Move Editor'!$B:$B,'Move Editor'!$C:$C,""),cat,XLOOKUP($D385,'Move Editor'!$B:$B,'Move Editor'!$D:$D,""),pow,XLOOKUP($D385,'Move Editor'!$B:$B,'Move Editor'!$E:$E,0),acc,XLOOKUP($D385,'Move Editor'!$B:$B,'Move Editor'!$F:$F,100),atk,IF(cat="Physical",FLOOR((FLOOR(((2*XLOOKUP(XLOOKUP($Q385,'Threshold Summary'!$Y:$Y,'Threshold Summary'!$K:$K,""),'Pokemon Editor'!$A:$A,'Pokemon Editor'!$F:$F,0)+31+FLOOR(XLOOKUP($Q385,'Threshold Summary'!$Y:$Y,'Threshold Summary'!$P:$P,"")/4))*XLOOKUP($Q385,'Threshold Summary'!$Y:$Y,'Threshold Summary'!$L:$L,""))/100)+5)*XLOOKUP(XLOOKUP($Q385,'Threshold Summary'!$Y:$Y,'Threshold Summary'!$M:$M,""),'Nature Editor'!$A:$A,'Nature Editor'!$B:$B,1)),FLOOR((FLOOR(((2*XLOOKUP(XLOOKUP($Q385,'Threshold Summary'!$Y:$Y,'Threshold Summary'!$K:$K,""),'Pokemon Editor'!$A:$A,'Pokemon Editor'!$H:$H,0)+31+FLOOR(XLOOKUP($Q385,'Threshold Summary'!$Y:$Y,'Threshold Summary'!$R:$R,"")/4))*XLOOKUP($Q385,'Threshold Summary'!$Y:$Y,'Threshold Summary'!$L:$L,""))/100)+5)*XLOOKUP(XLOOKUP($Q385,'Threshold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Editor'!$E:$E,1))),stab,IF(OR(mtype=XLOOKUP(XLOOKUP($Q385,'Threshold Summary'!$Y:$Y,'Threshold Summary'!$K:$K,""),'Pokemon Editor'!$A:$A,'Pokemon Editor'!$C:$C,""),mtype=XLOOKUP(XLOOKUP($Q385,'Threshold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Chart'!$B$1:$S$1,0)))),base,IF(OR(cat="Status",pow=0),0,FLOOR(FLOOR(FLOOR((2*XLOOKUP($Q385,'Threshold Summary'!$Y:$Y,'Threshold Summary'!$L:$L,"")/5+2)*pow*atk/def)/50)+2)),modifier,stab*eff,AVERAGE(ARRAYFORMULA(FLOOR(base*modifier*SEQUENCE(16,1,85,1)/100)))),0)</f>
        <v/>
      </c>
      <c r="M385" s="3">
        <f>IFERROR(LET(mtype,XLOOKUP($D385,'Move Editor'!$B:$B,'Move Editor'!$C:$C,""),cat,XLOOKUP($D385,'Move Editor'!$B:$B,'Move Editor'!$D:$D,""),pow,XLOOKUP($D385,'Move Editor'!$B:$B,'Move Editor'!$E:$E,0),acc,XLOOKUP($D385,'Move Editor'!$B:$B,'Move Editor'!$F:$F,100),atk,IF(cat="Physical",FLOOR((FLOOR(((2*XLOOKUP(XLOOKUP($Q385,'Threshold Summary'!$Y:$Y,'Threshold Summary'!$K:$K,""),'Pokemon Editor'!$A:$A,'Pokemon Editor'!$F:$F,0)+31+FLOOR(XLOOKUP($Q385,'Threshold Summary'!$Y:$Y,'Threshold Summary'!$P:$P,"")/4))*XLOOKUP($Q385,'Threshold Summary'!$Y:$Y,'Threshold Summary'!$L:$L,""))/100)+5)*XLOOKUP(XLOOKUP($Q385,'Threshold Summary'!$Y:$Y,'Threshold Summary'!$M:$M,""),'Nature Editor'!$A:$A,'Nature Editor'!$B:$B,1)),FLOOR((FLOOR(((2*XLOOKUP(XLOOKUP($Q385,'Threshold Summary'!$Y:$Y,'Threshold Summary'!$K:$K,""),'Pokemon Editor'!$A:$A,'Pokemon Editor'!$H:$H,0)+31+FLOOR(XLOOKUP($Q385,'Threshold Summary'!$Y:$Y,'Threshold Summary'!$R:$R,"")/4))*XLOOKUP($Q385,'Threshold Summary'!$Y:$Y,'Threshold Summary'!$L:$L,""))/100)+5)*XLOOKUP(XLOOKUP($Q385,'Threshold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Editor'!$E:$E,1))),stab,IF(OR(mtype=XLOOKUP(XLOOKUP($Q385,'Threshold Summary'!$Y:$Y,'Threshold Summary'!$K:$K,""),'Pokemon Editor'!$A:$A,'Pokemon Editor'!$C:$C,""),mtype=XLOOKUP(XLOOKUP($Q385,'Threshold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Chart'!$B$1:$S$1,0)))),base,IF(OR(cat="Status",pow=0),0,FLOOR(FLOOR(FLOOR((2*XLOOKUP($Q385,'Threshold Summary'!$Y:$Y,'Threshold Summary'!$L:$L,"")/5+2)*pow*atk/def)/50)+2)),modifier,stab*eff,AVERAGE(ARRAYFORMULA(FLOOR(base*modifier*SEQUENCE(16,1,85,1)/100)))*MIN(1,acc/100)),0)</f>
        <v/>
      </c>
      <c r="N385" s="4">
        <f>IFERROR(LET(mtype,XLOOKUP($D385,'Move Editor'!$B:$B,'Move Editor'!$C:$C,""),cat,XLOOKUP($D385,'Move Editor'!$B:$B,'Move Editor'!$D:$D,""),pow,XLOOKUP($D385,'Move Editor'!$B:$B,'Move Editor'!$E:$E,0),acc,XLOOKUP($D385,'Move Editor'!$B:$B,'Move Editor'!$F:$F,100),atk,IF(cat="Physical",FLOOR((FLOOR(((2*XLOOKUP(XLOOKUP($Q385,'Threshold Summary'!$Y:$Y,'Threshold Summary'!$K:$K,""),'Pokemon Editor'!$A:$A,'Pokemon Editor'!$F:$F,0)+31+FLOOR(XLOOKUP($Q385,'Threshold Summary'!$Y:$Y,'Threshold Summary'!$P:$P,"")/4))*XLOOKUP($Q385,'Threshold Summary'!$Y:$Y,'Threshold Summary'!$L:$L,""))/100)+5)*XLOOKUP(XLOOKUP($Q385,'Threshold Summary'!$Y:$Y,'Threshold Summary'!$M:$M,""),'Nature Editor'!$A:$A,'Nature Editor'!$B:$B,1)),FLOOR((FLOOR(((2*XLOOKUP(XLOOKUP($Q385,'Threshold Summary'!$Y:$Y,'Threshold Summary'!$K:$K,""),'Pokemon Editor'!$A:$A,'Pokemon Editor'!$H:$H,0)+31+FLOOR(XLOOKUP($Q385,'Threshold Summary'!$Y:$Y,'Threshold Summary'!$R:$R,"")/4))*XLOOKUP($Q385,'Threshold Summary'!$Y:$Y,'Threshold Summary'!$L:$L,""))/100)+5)*XLOOKUP(XLOOKUP($Q385,'Threshold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Editor'!$E:$E,1))),stab,IF(OR(mtype=XLOOKUP(XLOOKUP($Q385,'Threshold Summary'!$Y:$Y,'Threshold Summary'!$K:$K,""),'Pokemon Editor'!$A:$A,'Pokemon Editor'!$C:$C,""),mtype=XLOOKUP(XLOOKUP($Q385,'Threshold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Chart'!$B$1:$S$1,0)))),base,IF(OR(cat="Status",pow=0),0,FLOOR(FLOOR(FLOOR((2*XLOOKUP($Q385,'Threshold Summary'!$Y:$Y,'Threshold Summary'!$L:$L,"")/5+2)*pow*atk/def)/50)+2)),modifier,stab*eff,AVERAGE(ARRAYFORMULA(FLOOR(base*modifier*SEQUENCE(16,1,85,1)/100)))/(FLOOR(((2*XLOOKUP('Boss Editor'!$C$4,'Pokemon Editor'!$A:$A,'Pokemon Editor'!$E:$E,0)+31+FLOOR('Boss Editor'!$G$4/4))*'Boss Editor'!$D$4)/100)+'Boss Editor'!$D$4+10)),0)</f>
        <v/>
      </c>
      <c r="O385" s="3">
        <f>IF(N385&gt;=1,"OHKO",IF(N385&gt;=0.5,"2HKO",IF(N385&gt;=0.333,"3HKO",IF(N385&gt;=0.25,"4HKO","5HKO+"))))</f>
        <v/>
      </c>
      <c r="P385" s="3" t="inlineStr">
        <is>
          <t>Live from editable databases</t>
        </is>
      </c>
      <c r="Q385" s="3" t="inlineStr">
        <is>
          <t>SPECIES_COMBEE</t>
        </is>
      </c>
      <c r="R385" s="3" t="n">
        <v>32</v>
      </c>
    </row>
    <row r="386">
      <c r="A386" s="3">
        <f>XLOOKUP($Q386,'Threshold Summary'!$Y:$Y,'Threshold Summary'!$A:$A,"")</f>
        <v/>
      </c>
      <c r="B386" s="3">
        <f>XLOOKUP($Q386,'Threshold Summary'!$Y:$Y,'Threshold Summary'!$M:$M,"")</f>
        <v/>
      </c>
      <c r="C386" s="3">
        <f>XLOOKUP($Q386,'Threshold Summary'!$Y:$Y,'Threshold Summary'!$N:$N,"")</f>
        <v/>
      </c>
      <c r="D386" s="3">
        <f>IFERROR(INDEX(FILTER('Learnset Editor'!$D$2:$D,'Learnset Editor'!$A$2:$A=XLOOKUP($Q386,'Threshold Summary'!$Y:$Y,'Threshold Summary'!$K:$K,""),'Learnset Editor'!$C$2:$C&lt;=XLOOKUP($Q386,'Threshold Summary'!$Y:$Y,'Threshold Summary'!$L:$L,"")),$R386),"")</f>
        <v/>
      </c>
      <c r="E386" s="3">
        <f>XLOOKUP(D386,'Move Editor'!$B:$B,'Move Editor'!$C:$C,"")</f>
        <v/>
      </c>
      <c r="F386" s="3">
        <f>XLOOKUP(D386,'Move Editor'!$B:$B,'Move Editor'!$D:$D,"")</f>
        <v/>
      </c>
      <c r="G386" s="3">
        <f>XLOOKUP(D386,'Move Editor'!$B:$B,'Move Editor'!$E:$E,0)</f>
        <v/>
      </c>
      <c r="H386" s="3">
        <f>XLOOKUP(D386,'Move Editor'!$B:$B,'Move Editor'!$F:$F,0)</f>
        <v/>
      </c>
      <c r="I386" s="3">
        <f>(INDEX('Type Chart'!$B:$S,MATCH(E386,'Type Chart'!$A:$A,0),MATCH(XLOOKUP('Boss Editor'!$C$4,'Pokemon Editor'!$A:$A,'Pokemon Editor'!$C:$C,""),'Type Chart'!$B$1:$S$1,0))*IF(XLOOKUP('Boss Editor'!$C$4,'Pokemon Editor'!$A:$A,'Pokemon Editor'!$D:$D,"")="",1,INDEX('Type Chart'!$B:$S,MATCH(E386,'Type Chart'!$A:$A,0),MATCH(XLOOKUP('Boss Editor'!$C$4,'Pokemon Editor'!$A:$A,'Pokemon Editor'!$D:$D,""),'Type Chart'!$B$1:$S$1,0))))</f>
        <v/>
      </c>
      <c r="J386" s="3">
        <f>IFERROR(LET(mtype,XLOOKUP($D386,'Move Editor'!$B:$B,'Move Editor'!$C:$C,""),cat,XLOOKUP($D386,'Move Editor'!$B:$B,'Move Editor'!$D:$D,""),pow,XLOOKUP($D386,'Move Editor'!$B:$B,'Move Editor'!$E:$E,0),acc,XLOOKUP($D386,'Move Editor'!$B:$B,'Move Editor'!$F:$F,100),atk,IF(cat="Physical",FLOOR((FLOOR(((2*XLOOKUP(XLOOKUP($Q386,'Threshold Summary'!$Y:$Y,'Threshold Summary'!$K:$K,""),'Pokemon Editor'!$A:$A,'Pokemon Editor'!$F:$F,0)+31+FLOOR(XLOOKUP($Q386,'Threshold Summary'!$Y:$Y,'Threshold Summary'!$P:$P,"")/4))*XLOOKUP($Q386,'Threshold Summary'!$Y:$Y,'Threshold Summary'!$L:$L,""))/100)+5)*XLOOKUP(XLOOKUP($Q386,'Threshold Summary'!$Y:$Y,'Threshold Summary'!$M:$M,""),'Nature Editor'!$A:$A,'Nature Editor'!$B:$B,1)),FLOOR((FLOOR(((2*XLOOKUP(XLOOKUP($Q386,'Threshold Summary'!$Y:$Y,'Threshold Summary'!$K:$K,""),'Pokemon Editor'!$A:$A,'Pokemon Editor'!$H:$H,0)+31+FLOOR(XLOOKUP($Q386,'Threshold Summary'!$Y:$Y,'Threshold Summary'!$R:$R,"")/4))*XLOOKUP($Q386,'Threshold Summary'!$Y:$Y,'Threshold Summary'!$L:$L,""))/100)+5)*XLOOKUP(XLOOKUP($Q386,'Threshold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Editor'!$E:$E,1))),stab,IF(OR(mtype=XLOOKUP(XLOOKUP($Q386,'Threshold Summary'!$Y:$Y,'Threshold Summary'!$K:$K,""),'Pokemon Editor'!$A:$A,'Pokemon Editor'!$C:$C,""),mtype=XLOOKUP(XLOOKUP($Q386,'Threshold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Chart'!$B$1:$S$1,0)))),base,IF(OR(cat="Status",pow=0),0,FLOOR(FLOOR(FLOOR((2*XLOOKUP($Q386,'Threshold Summary'!$Y:$Y,'Threshold Summary'!$L:$L,"")/5+2)*pow*atk/def)/50)+2)),modifier,stab*eff,FLOOR(base*modifier*0.85)),0)</f>
        <v/>
      </c>
      <c r="K386" s="3">
        <f>IFERROR(LET(mtype,XLOOKUP($D386,'Move Editor'!$B:$B,'Move Editor'!$C:$C,""),cat,XLOOKUP($D386,'Move Editor'!$B:$B,'Move Editor'!$D:$D,""),pow,XLOOKUP($D386,'Move Editor'!$B:$B,'Move Editor'!$E:$E,0),acc,XLOOKUP($D386,'Move Editor'!$B:$B,'Move Editor'!$F:$F,100),atk,IF(cat="Physical",FLOOR((FLOOR(((2*XLOOKUP(XLOOKUP($Q386,'Threshold Summary'!$Y:$Y,'Threshold Summary'!$K:$K,""),'Pokemon Editor'!$A:$A,'Pokemon Editor'!$F:$F,0)+31+FLOOR(XLOOKUP($Q386,'Threshold Summary'!$Y:$Y,'Threshold Summary'!$P:$P,"")/4))*XLOOKUP($Q386,'Threshold Summary'!$Y:$Y,'Threshold Summary'!$L:$L,""))/100)+5)*XLOOKUP(XLOOKUP($Q386,'Threshold Summary'!$Y:$Y,'Threshold Summary'!$M:$M,""),'Nature Editor'!$A:$A,'Nature Editor'!$B:$B,1)),FLOOR((FLOOR(((2*XLOOKUP(XLOOKUP($Q386,'Threshold Summary'!$Y:$Y,'Threshold Summary'!$K:$K,""),'Pokemon Editor'!$A:$A,'Pokemon Editor'!$H:$H,0)+31+FLOOR(XLOOKUP($Q386,'Threshold Summary'!$Y:$Y,'Threshold Summary'!$R:$R,"")/4))*XLOOKUP($Q386,'Threshold Summary'!$Y:$Y,'Threshold Summary'!$L:$L,""))/100)+5)*XLOOKUP(XLOOKUP($Q386,'Threshold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Editor'!$E:$E,1))),stab,IF(OR(mtype=XLOOKUP(XLOOKUP($Q386,'Threshold Summary'!$Y:$Y,'Threshold Summary'!$K:$K,""),'Pokemon Editor'!$A:$A,'Pokemon Editor'!$C:$C,""),mtype=XLOOKUP(XLOOKUP($Q386,'Threshold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Chart'!$B$1:$S$1,0)))),base,IF(OR(cat="Status",pow=0),0,FLOOR(FLOOR(FLOOR((2*XLOOKUP($Q386,'Threshold Summary'!$Y:$Y,'Threshold Summary'!$L:$L,"")/5+2)*pow*atk/def)/50)+2)),modifier,stab*eff,FLOOR(base*modifier)),0)</f>
        <v/>
      </c>
      <c r="L386" s="3">
        <f>IFERROR(LET(mtype,XLOOKUP($D386,'Move Editor'!$B:$B,'Move Editor'!$C:$C,""),cat,XLOOKUP($D386,'Move Editor'!$B:$B,'Move Editor'!$D:$D,""),pow,XLOOKUP($D386,'Move Editor'!$B:$B,'Move Editor'!$E:$E,0),acc,XLOOKUP($D386,'Move Editor'!$B:$B,'Move Editor'!$F:$F,100),atk,IF(cat="Physical",FLOOR((FLOOR(((2*XLOOKUP(XLOOKUP($Q386,'Threshold Summary'!$Y:$Y,'Threshold Summary'!$K:$K,""),'Pokemon Editor'!$A:$A,'Pokemon Editor'!$F:$F,0)+31+FLOOR(XLOOKUP($Q386,'Threshold Summary'!$Y:$Y,'Threshold Summary'!$P:$P,"")/4))*XLOOKUP($Q386,'Threshold Summary'!$Y:$Y,'Threshold Summary'!$L:$L,""))/100)+5)*XLOOKUP(XLOOKUP($Q386,'Threshold Summary'!$Y:$Y,'Threshold Summary'!$M:$M,""),'Nature Editor'!$A:$A,'Nature Editor'!$B:$B,1)),FLOOR((FLOOR(((2*XLOOKUP(XLOOKUP($Q386,'Threshold Summary'!$Y:$Y,'Threshold Summary'!$K:$K,""),'Pokemon Editor'!$A:$A,'Pokemon Editor'!$H:$H,0)+31+FLOOR(XLOOKUP($Q386,'Threshold Summary'!$Y:$Y,'Threshold Summary'!$R:$R,"")/4))*XLOOKUP($Q386,'Threshold Summary'!$Y:$Y,'Threshold Summary'!$L:$L,""))/100)+5)*XLOOKUP(XLOOKUP($Q386,'Threshold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Editor'!$E:$E,1))),stab,IF(OR(mtype=XLOOKUP(XLOOKUP($Q386,'Threshold Summary'!$Y:$Y,'Threshold Summary'!$K:$K,""),'Pokemon Editor'!$A:$A,'Pokemon Editor'!$C:$C,""),mtype=XLOOKUP(XLOOKUP($Q386,'Threshold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Chart'!$B$1:$S$1,0)))),base,IF(OR(cat="Status",pow=0),0,FLOOR(FLOOR(FLOOR((2*XLOOKUP($Q386,'Threshold Summary'!$Y:$Y,'Threshold Summary'!$L:$L,"")/5+2)*pow*atk/def)/50)+2)),modifier,stab*eff,AVERAGE(ARRAYFORMULA(FLOOR(base*modifier*SEQUENCE(16,1,85,1)/100)))),0)</f>
        <v/>
      </c>
      <c r="M386" s="3">
        <f>IFERROR(LET(mtype,XLOOKUP($D386,'Move Editor'!$B:$B,'Move Editor'!$C:$C,""),cat,XLOOKUP($D386,'Move Editor'!$B:$B,'Move Editor'!$D:$D,""),pow,XLOOKUP($D386,'Move Editor'!$B:$B,'Move Editor'!$E:$E,0),acc,XLOOKUP($D386,'Move Editor'!$B:$B,'Move Editor'!$F:$F,100),atk,IF(cat="Physical",FLOOR((FLOOR(((2*XLOOKUP(XLOOKUP($Q386,'Threshold Summary'!$Y:$Y,'Threshold Summary'!$K:$K,""),'Pokemon Editor'!$A:$A,'Pokemon Editor'!$F:$F,0)+31+FLOOR(XLOOKUP($Q386,'Threshold Summary'!$Y:$Y,'Threshold Summary'!$P:$P,"")/4))*XLOOKUP($Q386,'Threshold Summary'!$Y:$Y,'Threshold Summary'!$L:$L,""))/100)+5)*XLOOKUP(XLOOKUP($Q386,'Threshold Summary'!$Y:$Y,'Threshold Summary'!$M:$M,""),'Nature Editor'!$A:$A,'Nature Editor'!$B:$B,1)),FLOOR((FLOOR(((2*XLOOKUP(XLOOKUP($Q386,'Threshold Summary'!$Y:$Y,'Threshold Summary'!$K:$K,""),'Pokemon Editor'!$A:$A,'Pokemon Editor'!$H:$H,0)+31+FLOOR(XLOOKUP($Q386,'Threshold Summary'!$Y:$Y,'Threshold Summary'!$R:$R,"")/4))*XLOOKUP($Q386,'Threshold Summary'!$Y:$Y,'Threshold Summary'!$L:$L,""))/100)+5)*XLOOKUP(XLOOKUP($Q386,'Threshold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Editor'!$E:$E,1))),stab,IF(OR(mtype=XLOOKUP(XLOOKUP($Q386,'Threshold Summary'!$Y:$Y,'Threshold Summary'!$K:$K,""),'Pokemon Editor'!$A:$A,'Pokemon Editor'!$C:$C,""),mtype=XLOOKUP(XLOOKUP($Q386,'Threshold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Chart'!$B$1:$S$1,0)))),base,IF(OR(cat="Status",pow=0),0,FLOOR(FLOOR(FLOOR((2*XLOOKUP($Q386,'Threshold Summary'!$Y:$Y,'Threshold Summary'!$L:$L,"")/5+2)*pow*atk/def)/50)+2)),modifier,stab*eff,AVERAGE(ARRAYFORMULA(FLOOR(base*modifier*SEQUENCE(16,1,85,1)/100)))*MIN(1,acc/100)),0)</f>
        <v/>
      </c>
      <c r="N386" s="4">
        <f>IFERROR(LET(mtype,XLOOKUP($D386,'Move Editor'!$B:$B,'Move Editor'!$C:$C,""),cat,XLOOKUP($D386,'Move Editor'!$B:$B,'Move Editor'!$D:$D,""),pow,XLOOKUP($D386,'Move Editor'!$B:$B,'Move Editor'!$E:$E,0),acc,XLOOKUP($D386,'Move Editor'!$B:$B,'Move Editor'!$F:$F,100),atk,IF(cat="Physical",FLOOR((FLOOR(((2*XLOOKUP(XLOOKUP($Q386,'Threshold Summary'!$Y:$Y,'Threshold Summary'!$K:$K,""),'Pokemon Editor'!$A:$A,'Pokemon Editor'!$F:$F,0)+31+FLOOR(XLOOKUP($Q386,'Threshold Summary'!$Y:$Y,'Threshold Summary'!$P:$P,"")/4))*XLOOKUP($Q386,'Threshold Summary'!$Y:$Y,'Threshold Summary'!$L:$L,""))/100)+5)*XLOOKUP(XLOOKUP($Q386,'Threshold Summary'!$Y:$Y,'Threshold Summary'!$M:$M,""),'Nature Editor'!$A:$A,'Nature Editor'!$B:$B,1)),FLOOR((FLOOR(((2*XLOOKUP(XLOOKUP($Q386,'Threshold Summary'!$Y:$Y,'Threshold Summary'!$K:$K,""),'Pokemon Editor'!$A:$A,'Pokemon Editor'!$H:$H,0)+31+FLOOR(XLOOKUP($Q386,'Threshold Summary'!$Y:$Y,'Threshold Summary'!$R:$R,"")/4))*XLOOKUP($Q386,'Threshold Summary'!$Y:$Y,'Threshold Summary'!$L:$L,""))/100)+5)*XLOOKUP(XLOOKUP($Q386,'Threshold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Editor'!$E:$E,1))),stab,IF(OR(mtype=XLOOKUP(XLOOKUP($Q386,'Threshold Summary'!$Y:$Y,'Threshold Summary'!$K:$K,""),'Pokemon Editor'!$A:$A,'Pokemon Editor'!$C:$C,""),mtype=XLOOKUP(XLOOKUP($Q386,'Threshold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Chart'!$B$1:$S$1,0)))),base,IF(OR(cat="Status",pow=0),0,FLOOR(FLOOR(FLOOR((2*XLOOKUP($Q386,'Threshold Summary'!$Y:$Y,'Threshold Summary'!$L:$L,"")/5+2)*pow*atk/def)/50)+2)),modifier,stab*eff,AVERAGE(ARRAYFORMULA(FLOOR(base*modifier*SEQUENCE(16,1,85,1)/100)))/(FLOOR(((2*XLOOKUP('Boss Editor'!$C$4,'Pokemon Editor'!$A:$A,'Pokemon Editor'!$E:$E,0)+31+FLOOR('Boss Editor'!$G$4/4))*'Boss Editor'!$D$4)/100)+'Boss Editor'!$D$4+10)),0)</f>
        <v/>
      </c>
      <c r="O386" s="3">
        <f>IF(N386&gt;=1,"OHKO",IF(N386&gt;=0.5,"2HKO",IF(N386&gt;=0.333,"3HKO",IF(N386&gt;=0.25,"4HKO","5HKO+"))))</f>
        <v/>
      </c>
      <c r="P386" s="3" t="inlineStr">
        <is>
          <t>Live from editable databases</t>
        </is>
      </c>
      <c r="Q386" s="3" t="inlineStr">
        <is>
          <t>SPECIES_DRIFLOON</t>
        </is>
      </c>
      <c r="R386" s="3" t="n">
        <v>1</v>
      </c>
    </row>
    <row r="387">
      <c r="A387" s="3">
        <f>XLOOKUP($Q387,'Threshold Summary'!$Y:$Y,'Threshold Summary'!$A:$A,"")</f>
        <v/>
      </c>
      <c r="B387" s="3">
        <f>XLOOKUP($Q387,'Threshold Summary'!$Y:$Y,'Threshold Summary'!$M:$M,"")</f>
        <v/>
      </c>
      <c r="C387" s="3">
        <f>XLOOKUP($Q387,'Threshold Summary'!$Y:$Y,'Threshold Summary'!$N:$N,"")</f>
        <v/>
      </c>
      <c r="D387" s="3">
        <f>IFERROR(INDEX(FILTER('Learnset Editor'!$D$2:$D,'Learnset Editor'!$A$2:$A=XLOOKUP($Q387,'Threshold Summary'!$Y:$Y,'Threshold Summary'!$K:$K,""),'Learnset Editor'!$C$2:$C&lt;=XLOOKUP($Q387,'Threshold Summary'!$Y:$Y,'Threshold Summary'!$L:$L,"")),$R387),"")</f>
        <v/>
      </c>
      <c r="E387" s="3">
        <f>XLOOKUP(D387,'Move Editor'!$B:$B,'Move Editor'!$C:$C,"")</f>
        <v/>
      </c>
      <c r="F387" s="3">
        <f>XLOOKUP(D387,'Move Editor'!$B:$B,'Move Editor'!$D:$D,"")</f>
        <v/>
      </c>
      <c r="G387" s="3">
        <f>XLOOKUP(D387,'Move Editor'!$B:$B,'Move Editor'!$E:$E,0)</f>
        <v/>
      </c>
      <c r="H387" s="3">
        <f>XLOOKUP(D387,'Move Editor'!$B:$B,'Move Editor'!$F:$F,0)</f>
        <v/>
      </c>
      <c r="I387" s="3">
        <f>(INDEX('Type Chart'!$B:$S,MATCH(E387,'Type Chart'!$A:$A,0),MATCH(XLOOKUP('Boss Editor'!$C$4,'Pokemon Editor'!$A:$A,'Pokemon Editor'!$C:$C,""),'Type Chart'!$B$1:$S$1,0))*IF(XLOOKUP('Boss Editor'!$C$4,'Pokemon Editor'!$A:$A,'Pokemon Editor'!$D:$D,"")="",1,INDEX('Type Chart'!$B:$S,MATCH(E387,'Type Chart'!$A:$A,0),MATCH(XLOOKUP('Boss Editor'!$C$4,'Pokemon Editor'!$A:$A,'Pokemon Editor'!$D:$D,""),'Type Chart'!$B$1:$S$1,0))))</f>
        <v/>
      </c>
      <c r="J387" s="3">
        <f>IFERROR(LET(mtype,XLOOKUP($D387,'Move Editor'!$B:$B,'Move Editor'!$C:$C,""),cat,XLOOKUP($D387,'Move Editor'!$B:$B,'Move Editor'!$D:$D,""),pow,XLOOKUP($D387,'Move Editor'!$B:$B,'Move Editor'!$E:$E,0),acc,XLOOKUP($D387,'Move Editor'!$B:$B,'Move Editor'!$F:$F,100),atk,IF(cat="Physical",FLOOR((FLOOR(((2*XLOOKUP(XLOOKUP($Q387,'Threshold Summary'!$Y:$Y,'Threshold Summary'!$K:$K,""),'Pokemon Editor'!$A:$A,'Pokemon Editor'!$F:$F,0)+31+FLOOR(XLOOKUP($Q387,'Threshold Summary'!$Y:$Y,'Threshold Summary'!$P:$P,"")/4))*XLOOKUP($Q387,'Threshold Summary'!$Y:$Y,'Threshold Summary'!$L:$L,""))/100)+5)*XLOOKUP(XLOOKUP($Q387,'Threshold Summary'!$Y:$Y,'Threshold Summary'!$M:$M,""),'Nature Editor'!$A:$A,'Nature Editor'!$B:$B,1)),FLOOR((FLOOR(((2*XLOOKUP(XLOOKUP($Q387,'Threshold Summary'!$Y:$Y,'Threshold Summary'!$K:$K,""),'Pokemon Editor'!$A:$A,'Pokemon Editor'!$H:$H,0)+31+FLOOR(XLOOKUP($Q387,'Threshold Summary'!$Y:$Y,'Threshold Summary'!$R:$R,"")/4))*XLOOKUP($Q387,'Threshold Summary'!$Y:$Y,'Threshold Summary'!$L:$L,""))/100)+5)*XLOOKUP(XLOOKUP($Q387,'Threshold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Editor'!$E:$E,1))),stab,IF(OR(mtype=XLOOKUP(XLOOKUP($Q387,'Threshold Summary'!$Y:$Y,'Threshold Summary'!$K:$K,""),'Pokemon Editor'!$A:$A,'Pokemon Editor'!$C:$C,""),mtype=XLOOKUP(XLOOKUP($Q387,'Threshold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Chart'!$B$1:$S$1,0)))),base,IF(OR(cat="Status",pow=0),0,FLOOR(FLOOR(FLOOR((2*XLOOKUP($Q387,'Threshold Summary'!$Y:$Y,'Threshold Summary'!$L:$L,"")/5+2)*pow*atk/def)/50)+2)),modifier,stab*eff,FLOOR(base*modifier*0.85)),0)</f>
        <v/>
      </c>
      <c r="K387" s="3">
        <f>IFERROR(LET(mtype,XLOOKUP($D387,'Move Editor'!$B:$B,'Move Editor'!$C:$C,""),cat,XLOOKUP($D387,'Move Editor'!$B:$B,'Move Editor'!$D:$D,""),pow,XLOOKUP($D387,'Move Editor'!$B:$B,'Move Editor'!$E:$E,0),acc,XLOOKUP($D387,'Move Editor'!$B:$B,'Move Editor'!$F:$F,100),atk,IF(cat="Physical",FLOOR((FLOOR(((2*XLOOKUP(XLOOKUP($Q387,'Threshold Summary'!$Y:$Y,'Threshold Summary'!$K:$K,""),'Pokemon Editor'!$A:$A,'Pokemon Editor'!$F:$F,0)+31+FLOOR(XLOOKUP($Q387,'Threshold Summary'!$Y:$Y,'Threshold Summary'!$P:$P,"")/4))*XLOOKUP($Q387,'Threshold Summary'!$Y:$Y,'Threshold Summary'!$L:$L,""))/100)+5)*XLOOKUP(XLOOKUP($Q387,'Threshold Summary'!$Y:$Y,'Threshold Summary'!$M:$M,""),'Nature Editor'!$A:$A,'Nature Editor'!$B:$B,1)),FLOOR((FLOOR(((2*XLOOKUP(XLOOKUP($Q387,'Threshold Summary'!$Y:$Y,'Threshold Summary'!$K:$K,""),'Pokemon Editor'!$A:$A,'Pokemon Editor'!$H:$H,0)+31+FLOOR(XLOOKUP($Q387,'Threshold Summary'!$Y:$Y,'Threshold Summary'!$R:$R,"")/4))*XLOOKUP($Q387,'Threshold Summary'!$Y:$Y,'Threshold Summary'!$L:$L,""))/100)+5)*XLOOKUP(XLOOKUP($Q387,'Threshold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Editor'!$E:$E,1))),stab,IF(OR(mtype=XLOOKUP(XLOOKUP($Q387,'Threshold Summary'!$Y:$Y,'Threshold Summary'!$K:$K,""),'Pokemon Editor'!$A:$A,'Pokemon Editor'!$C:$C,""),mtype=XLOOKUP(XLOOKUP($Q387,'Threshold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Chart'!$B$1:$S$1,0)))),base,IF(OR(cat="Status",pow=0),0,FLOOR(FLOOR(FLOOR((2*XLOOKUP($Q387,'Threshold Summary'!$Y:$Y,'Threshold Summary'!$L:$L,"")/5+2)*pow*atk/def)/50)+2)),modifier,stab*eff,FLOOR(base*modifier)),0)</f>
        <v/>
      </c>
      <c r="L387" s="3">
        <f>IFERROR(LET(mtype,XLOOKUP($D387,'Move Editor'!$B:$B,'Move Editor'!$C:$C,""),cat,XLOOKUP($D387,'Move Editor'!$B:$B,'Move Editor'!$D:$D,""),pow,XLOOKUP($D387,'Move Editor'!$B:$B,'Move Editor'!$E:$E,0),acc,XLOOKUP($D387,'Move Editor'!$B:$B,'Move Editor'!$F:$F,100),atk,IF(cat="Physical",FLOOR((FLOOR(((2*XLOOKUP(XLOOKUP($Q387,'Threshold Summary'!$Y:$Y,'Threshold Summary'!$K:$K,""),'Pokemon Editor'!$A:$A,'Pokemon Editor'!$F:$F,0)+31+FLOOR(XLOOKUP($Q387,'Threshold Summary'!$Y:$Y,'Threshold Summary'!$P:$P,"")/4))*XLOOKUP($Q387,'Threshold Summary'!$Y:$Y,'Threshold Summary'!$L:$L,""))/100)+5)*XLOOKUP(XLOOKUP($Q387,'Threshold Summary'!$Y:$Y,'Threshold Summary'!$M:$M,""),'Nature Editor'!$A:$A,'Nature Editor'!$B:$B,1)),FLOOR((FLOOR(((2*XLOOKUP(XLOOKUP($Q387,'Threshold Summary'!$Y:$Y,'Threshold Summary'!$K:$K,""),'Pokemon Editor'!$A:$A,'Pokemon Editor'!$H:$H,0)+31+FLOOR(XLOOKUP($Q387,'Threshold Summary'!$Y:$Y,'Threshold Summary'!$R:$R,"")/4))*XLOOKUP($Q387,'Threshold Summary'!$Y:$Y,'Threshold Summary'!$L:$L,""))/100)+5)*XLOOKUP(XLOOKUP($Q387,'Threshold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Editor'!$E:$E,1))),stab,IF(OR(mtype=XLOOKUP(XLOOKUP($Q387,'Threshold Summary'!$Y:$Y,'Threshold Summary'!$K:$K,""),'Pokemon Editor'!$A:$A,'Pokemon Editor'!$C:$C,""),mtype=XLOOKUP(XLOOKUP($Q387,'Threshold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Chart'!$B$1:$S$1,0)))),base,IF(OR(cat="Status",pow=0),0,FLOOR(FLOOR(FLOOR((2*XLOOKUP($Q387,'Threshold Summary'!$Y:$Y,'Threshold Summary'!$L:$L,"")/5+2)*pow*atk/def)/50)+2)),modifier,stab*eff,AVERAGE(ARRAYFORMULA(FLOOR(base*modifier*SEQUENCE(16,1,85,1)/100)))),0)</f>
        <v/>
      </c>
      <c r="M387" s="3">
        <f>IFERROR(LET(mtype,XLOOKUP($D387,'Move Editor'!$B:$B,'Move Editor'!$C:$C,""),cat,XLOOKUP($D387,'Move Editor'!$B:$B,'Move Editor'!$D:$D,""),pow,XLOOKUP($D387,'Move Editor'!$B:$B,'Move Editor'!$E:$E,0),acc,XLOOKUP($D387,'Move Editor'!$B:$B,'Move Editor'!$F:$F,100),atk,IF(cat="Physical",FLOOR((FLOOR(((2*XLOOKUP(XLOOKUP($Q387,'Threshold Summary'!$Y:$Y,'Threshold Summary'!$K:$K,""),'Pokemon Editor'!$A:$A,'Pokemon Editor'!$F:$F,0)+31+FLOOR(XLOOKUP($Q387,'Threshold Summary'!$Y:$Y,'Threshold Summary'!$P:$P,"")/4))*XLOOKUP($Q387,'Threshold Summary'!$Y:$Y,'Threshold Summary'!$L:$L,""))/100)+5)*XLOOKUP(XLOOKUP($Q387,'Threshold Summary'!$Y:$Y,'Threshold Summary'!$M:$M,""),'Nature Editor'!$A:$A,'Nature Editor'!$B:$B,1)),FLOOR((FLOOR(((2*XLOOKUP(XLOOKUP($Q387,'Threshold Summary'!$Y:$Y,'Threshold Summary'!$K:$K,""),'Pokemon Editor'!$A:$A,'Pokemon Editor'!$H:$H,0)+31+FLOOR(XLOOKUP($Q387,'Threshold Summary'!$Y:$Y,'Threshold Summary'!$R:$R,"")/4))*XLOOKUP($Q387,'Threshold Summary'!$Y:$Y,'Threshold Summary'!$L:$L,""))/100)+5)*XLOOKUP(XLOOKUP($Q387,'Threshold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Editor'!$E:$E,1))),stab,IF(OR(mtype=XLOOKUP(XLOOKUP($Q387,'Threshold Summary'!$Y:$Y,'Threshold Summary'!$K:$K,""),'Pokemon Editor'!$A:$A,'Pokemon Editor'!$C:$C,""),mtype=XLOOKUP(XLOOKUP($Q387,'Threshold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Chart'!$B$1:$S$1,0)))),base,IF(OR(cat="Status",pow=0),0,FLOOR(FLOOR(FLOOR((2*XLOOKUP($Q387,'Threshold Summary'!$Y:$Y,'Threshold Summary'!$L:$L,"")/5+2)*pow*atk/def)/50)+2)),modifier,stab*eff,AVERAGE(ARRAYFORMULA(FLOOR(base*modifier*SEQUENCE(16,1,85,1)/100)))*MIN(1,acc/100)),0)</f>
        <v/>
      </c>
      <c r="N387" s="4">
        <f>IFERROR(LET(mtype,XLOOKUP($D387,'Move Editor'!$B:$B,'Move Editor'!$C:$C,""),cat,XLOOKUP($D387,'Move Editor'!$B:$B,'Move Editor'!$D:$D,""),pow,XLOOKUP($D387,'Move Editor'!$B:$B,'Move Editor'!$E:$E,0),acc,XLOOKUP($D387,'Move Editor'!$B:$B,'Move Editor'!$F:$F,100),atk,IF(cat="Physical",FLOOR((FLOOR(((2*XLOOKUP(XLOOKUP($Q387,'Threshold Summary'!$Y:$Y,'Threshold Summary'!$K:$K,""),'Pokemon Editor'!$A:$A,'Pokemon Editor'!$F:$F,0)+31+FLOOR(XLOOKUP($Q387,'Threshold Summary'!$Y:$Y,'Threshold Summary'!$P:$P,"")/4))*XLOOKUP($Q387,'Threshold Summary'!$Y:$Y,'Threshold Summary'!$L:$L,""))/100)+5)*XLOOKUP(XLOOKUP($Q387,'Threshold Summary'!$Y:$Y,'Threshold Summary'!$M:$M,""),'Nature Editor'!$A:$A,'Nature Editor'!$B:$B,1)),FLOOR((FLOOR(((2*XLOOKUP(XLOOKUP($Q387,'Threshold Summary'!$Y:$Y,'Threshold Summary'!$K:$K,""),'Pokemon Editor'!$A:$A,'Pokemon Editor'!$H:$H,0)+31+FLOOR(XLOOKUP($Q387,'Threshold Summary'!$Y:$Y,'Threshold Summary'!$R:$R,"")/4))*XLOOKUP($Q387,'Threshold Summary'!$Y:$Y,'Threshold Summary'!$L:$L,""))/100)+5)*XLOOKUP(XLOOKUP($Q387,'Threshold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Editor'!$E:$E,1))),stab,IF(OR(mtype=XLOOKUP(XLOOKUP($Q387,'Threshold Summary'!$Y:$Y,'Threshold Summary'!$K:$K,""),'Pokemon Editor'!$A:$A,'Pokemon Editor'!$C:$C,""),mtype=XLOOKUP(XLOOKUP($Q387,'Threshold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Chart'!$B$1:$S$1,0)))),base,IF(OR(cat="Status",pow=0),0,FLOOR(FLOOR(FLOOR((2*XLOOKUP($Q387,'Threshold Summary'!$Y:$Y,'Threshold Summary'!$L:$L,"")/5+2)*pow*atk/def)/50)+2)),modifier,stab*eff,AVERAGE(ARRAYFORMULA(FLOOR(base*modifier*SEQUENCE(16,1,85,1)/100)))/(FLOOR(((2*XLOOKUP('Boss Editor'!$C$4,'Pokemon Editor'!$A:$A,'Pokemon Editor'!$E:$E,0)+31+FLOOR('Boss Editor'!$G$4/4))*'Boss Editor'!$D$4)/100)+'Boss Editor'!$D$4+10)),0)</f>
        <v/>
      </c>
      <c r="O387" s="3">
        <f>IF(N387&gt;=1,"OHKO",IF(N387&gt;=0.5,"2HKO",IF(N387&gt;=0.333,"3HKO",IF(N387&gt;=0.25,"4HKO","5HKO+"))))</f>
        <v/>
      </c>
      <c r="P387" s="3" t="inlineStr">
        <is>
          <t>Live from editable databases</t>
        </is>
      </c>
      <c r="Q387" s="3" t="inlineStr">
        <is>
          <t>SPECIES_DRIFLOON</t>
        </is>
      </c>
      <c r="R387" s="3" t="n">
        <v>2</v>
      </c>
    </row>
    <row r="388">
      <c r="A388" s="3">
        <f>XLOOKUP($Q388,'Threshold Summary'!$Y:$Y,'Threshold Summary'!$A:$A,"")</f>
        <v/>
      </c>
      <c r="B388" s="3">
        <f>XLOOKUP($Q388,'Threshold Summary'!$Y:$Y,'Threshold Summary'!$M:$M,"")</f>
        <v/>
      </c>
      <c r="C388" s="3">
        <f>XLOOKUP($Q388,'Threshold Summary'!$Y:$Y,'Threshold Summary'!$N:$N,"")</f>
        <v/>
      </c>
      <c r="D388" s="3">
        <f>IFERROR(INDEX(FILTER('Learnset Editor'!$D$2:$D,'Learnset Editor'!$A$2:$A=XLOOKUP($Q388,'Threshold Summary'!$Y:$Y,'Threshold Summary'!$K:$K,""),'Learnset Editor'!$C$2:$C&lt;=XLOOKUP($Q388,'Threshold Summary'!$Y:$Y,'Threshold Summary'!$L:$L,"")),$R388),"")</f>
        <v/>
      </c>
      <c r="E388" s="3">
        <f>XLOOKUP(D388,'Move Editor'!$B:$B,'Move Editor'!$C:$C,"")</f>
        <v/>
      </c>
      <c r="F388" s="3">
        <f>XLOOKUP(D388,'Move Editor'!$B:$B,'Move Editor'!$D:$D,"")</f>
        <v/>
      </c>
      <c r="G388" s="3">
        <f>XLOOKUP(D388,'Move Editor'!$B:$B,'Move Editor'!$E:$E,0)</f>
        <v/>
      </c>
      <c r="H388" s="3">
        <f>XLOOKUP(D388,'Move Editor'!$B:$B,'Move Editor'!$F:$F,0)</f>
        <v/>
      </c>
      <c r="I388" s="3">
        <f>(INDEX('Type Chart'!$B:$S,MATCH(E388,'Type Chart'!$A:$A,0),MATCH(XLOOKUP('Boss Editor'!$C$4,'Pokemon Editor'!$A:$A,'Pokemon Editor'!$C:$C,""),'Type Chart'!$B$1:$S$1,0))*IF(XLOOKUP('Boss Editor'!$C$4,'Pokemon Editor'!$A:$A,'Pokemon Editor'!$D:$D,"")="",1,INDEX('Type Chart'!$B:$S,MATCH(E388,'Type Chart'!$A:$A,0),MATCH(XLOOKUP('Boss Editor'!$C$4,'Pokemon Editor'!$A:$A,'Pokemon Editor'!$D:$D,""),'Type Chart'!$B$1:$S$1,0))))</f>
        <v/>
      </c>
      <c r="J388" s="3">
        <f>IFERROR(LET(mtype,XLOOKUP($D388,'Move Editor'!$B:$B,'Move Editor'!$C:$C,""),cat,XLOOKUP($D388,'Move Editor'!$B:$B,'Move Editor'!$D:$D,""),pow,XLOOKUP($D388,'Move Editor'!$B:$B,'Move Editor'!$E:$E,0),acc,XLOOKUP($D388,'Move Editor'!$B:$B,'Move Editor'!$F:$F,100),atk,IF(cat="Physical",FLOOR((FLOOR(((2*XLOOKUP(XLOOKUP($Q388,'Threshold Summary'!$Y:$Y,'Threshold Summary'!$K:$K,""),'Pokemon Editor'!$A:$A,'Pokemon Editor'!$F:$F,0)+31+FLOOR(XLOOKUP($Q388,'Threshold Summary'!$Y:$Y,'Threshold Summary'!$P:$P,"")/4))*XLOOKUP($Q388,'Threshold Summary'!$Y:$Y,'Threshold Summary'!$L:$L,""))/100)+5)*XLOOKUP(XLOOKUP($Q388,'Threshold Summary'!$Y:$Y,'Threshold Summary'!$M:$M,""),'Nature Editor'!$A:$A,'Nature Editor'!$B:$B,1)),FLOOR((FLOOR(((2*XLOOKUP(XLOOKUP($Q388,'Threshold Summary'!$Y:$Y,'Threshold Summary'!$K:$K,""),'Pokemon Editor'!$A:$A,'Pokemon Editor'!$H:$H,0)+31+FLOOR(XLOOKUP($Q388,'Threshold Summary'!$Y:$Y,'Threshold Summary'!$R:$R,"")/4))*XLOOKUP($Q388,'Threshold Summary'!$Y:$Y,'Threshold Summary'!$L:$L,""))/100)+5)*XLOOKUP(XLOOKUP($Q388,'Threshold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Editor'!$E:$E,1))),stab,IF(OR(mtype=XLOOKUP(XLOOKUP($Q388,'Threshold Summary'!$Y:$Y,'Threshold Summary'!$K:$K,""),'Pokemon Editor'!$A:$A,'Pokemon Editor'!$C:$C,""),mtype=XLOOKUP(XLOOKUP($Q388,'Threshold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Chart'!$B$1:$S$1,0)))),base,IF(OR(cat="Status",pow=0),0,FLOOR(FLOOR(FLOOR((2*XLOOKUP($Q388,'Threshold Summary'!$Y:$Y,'Threshold Summary'!$L:$L,"")/5+2)*pow*atk/def)/50)+2)),modifier,stab*eff,FLOOR(base*modifier*0.85)),0)</f>
        <v/>
      </c>
      <c r="K388" s="3">
        <f>IFERROR(LET(mtype,XLOOKUP($D388,'Move Editor'!$B:$B,'Move Editor'!$C:$C,""),cat,XLOOKUP($D388,'Move Editor'!$B:$B,'Move Editor'!$D:$D,""),pow,XLOOKUP($D388,'Move Editor'!$B:$B,'Move Editor'!$E:$E,0),acc,XLOOKUP($D388,'Move Editor'!$B:$B,'Move Editor'!$F:$F,100),atk,IF(cat="Physical",FLOOR((FLOOR(((2*XLOOKUP(XLOOKUP($Q388,'Threshold Summary'!$Y:$Y,'Threshold Summary'!$K:$K,""),'Pokemon Editor'!$A:$A,'Pokemon Editor'!$F:$F,0)+31+FLOOR(XLOOKUP($Q388,'Threshold Summary'!$Y:$Y,'Threshold Summary'!$P:$P,"")/4))*XLOOKUP($Q388,'Threshold Summary'!$Y:$Y,'Threshold Summary'!$L:$L,""))/100)+5)*XLOOKUP(XLOOKUP($Q388,'Threshold Summary'!$Y:$Y,'Threshold Summary'!$M:$M,""),'Nature Editor'!$A:$A,'Nature Editor'!$B:$B,1)),FLOOR((FLOOR(((2*XLOOKUP(XLOOKUP($Q388,'Threshold Summary'!$Y:$Y,'Threshold Summary'!$K:$K,""),'Pokemon Editor'!$A:$A,'Pokemon Editor'!$H:$H,0)+31+FLOOR(XLOOKUP($Q388,'Threshold Summary'!$Y:$Y,'Threshold Summary'!$R:$R,"")/4))*XLOOKUP($Q388,'Threshold Summary'!$Y:$Y,'Threshold Summary'!$L:$L,""))/100)+5)*XLOOKUP(XLOOKUP($Q388,'Threshold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Editor'!$E:$E,1))),stab,IF(OR(mtype=XLOOKUP(XLOOKUP($Q388,'Threshold Summary'!$Y:$Y,'Threshold Summary'!$K:$K,""),'Pokemon Editor'!$A:$A,'Pokemon Editor'!$C:$C,""),mtype=XLOOKUP(XLOOKUP($Q388,'Threshold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Chart'!$B$1:$S$1,0)))),base,IF(OR(cat="Status",pow=0),0,FLOOR(FLOOR(FLOOR((2*XLOOKUP($Q388,'Threshold Summary'!$Y:$Y,'Threshold Summary'!$L:$L,"")/5+2)*pow*atk/def)/50)+2)),modifier,stab*eff,FLOOR(base*modifier)),0)</f>
        <v/>
      </c>
      <c r="L388" s="3">
        <f>IFERROR(LET(mtype,XLOOKUP($D388,'Move Editor'!$B:$B,'Move Editor'!$C:$C,""),cat,XLOOKUP($D388,'Move Editor'!$B:$B,'Move Editor'!$D:$D,""),pow,XLOOKUP($D388,'Move Editor'!$B:$B,'Move Editor'!$E:$E,0),acc,XLOOKUP($D388,'Move Editor'!$B:$B,'Move Editor'!$F:$F,100),atk,IF(cat="Physical",FLOOR((FLOOR(((2*XLOOKUP(XLOOKUP($Q388,'Threshold Summary'!$Y:$Y,'Threshold Summary'!$K:$K,""),'Pokemon Editor'!$A:$A,'Pokemon Editor'!$F:$F,0)+31+FLOOR(XLOOKUP($Q388,'Threshold Summary'!$Y:$Y,'Threshold Summary'!$P:$P,"")/4))*XLOOKUP($Q388,'Threshold Summary'!$Y:$Y,'Threshold Summary'!$L:$L,""))/100)+5)*XLOOKUP(XLOOKUP($Q388,'Threshold Summary'!$Y:$Y,'Threshold Summary'!$M:$M,""),'Nature Editor'!$A:$A,'Nature Editor'!$B:$B,1)),FLOOR((FLOOR(((2*XLOOKUP(XLOOKUP($Q388,'Threshold Summary'!$Y:$Y,'Threshold Summary'!$K:$K,""),'Pokemon Editor'!$A:$A,'Pokemon Editor'!$H:$H,0)+31+FLOOR(XLOOKUP($Q388,'Threshold Summary'!$Y:$Y,'Threshold Summary'!$R:$R,"")/4))*XLOOKUP($Q388,'Threshold Summary'!$Y:$Y,'Threshold Summary'!$L:$L,""))/100)+5)*XLOOKUP(XLOOKUP($Q388,'Threshold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Editor'!$E:$E,1))),stab,IF(OR(mtype=XLOOKUP(XLOOKUP($Q388,'Threshold Summary'!$Y:$Y,'Threshold Summary'!$K:$K,""),'Pokemon Editor'!$A:$A,'Pokemon Editor'!$C:$C,""),mtype=XLOOKUP(XLOOKUP($Q388,'Threshold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Chart'!$B$1:$S$1,0)))),base,IF(OR(cat="Status",pow=0),0,FLOOR(FLOOR(FLOOR((2*XLOOKUP($Q388,'Threshold Summary'!$Y:$Y,'Threshold Summary'!$L:$L,"")/5+2)*pow*atk/def)/50)+2)),modifier,stab*eff,AVERAGE(ARRAYFORMULA(FLOOR(base*modifier*SEQUENCE(16,1,85,1)/100)))),0)</f>
        <v/>
      </c>
      <c r="M388" s="3">
        <f>IFERROR(LET(mtype,XLOOKUP($D388,'Move Editor'!$B:$B,'Move Editor'!$C:$C,""),cat,XLOOKUP($D388,'Move Editor'!$B:$B,'Move Editor'!$D:$D,""),pow,XLOOKUP($D388,'Move Editor'!$B:$B,'Move Editor'!$E:$E,0),acc,XLOOKUP($D388,'Move Editor'!$B:$B,'Move Editor'!$F:$F,100),atk,IF(cat="Physical",FLOOR((FLOOR(((2*XLOOKUP(XLOOKUP($Q388,'Threshold Summary'!$Y:$Y,'Threshold Summary'!$K:$K,""),'Pokemon Editor'!$A:$A,'Pokemon Editor'!$F:$F,0)+31+FLOOR(XLOOKUP($Q388,'Threshold Summary'!$Y:$Y,'Threshold Summary'!$P:$P,"")/4))*XLOOKUP($Q388,'Threshold Summary'!$Y:$Y,'Threshold Summary'!$L:$L,""))/100)+5)*XLOOKUP(XLOOKUP($Q388,'Threshold Summary'!$Y:$Y,'Threshold Summary'!$M:$M,""),'Nature Editor'!$A:$A,'Nature Editor'!$B:$B,1)),FLOOR((FLOOR(((2*XLOOKUP(XLOOKUP($Q388,'Threshold Summary'!$Y:$Y,'Threshold Summary'!$K:$K,""),'Pokemon Editor'!$A:$A,'Pokemon Editor'!$H:$H,0)+31+FLOOR(XLOOKUP($Q388,'Threshold Summary'!$Y:$Y,'Threshold Summary'!$R:$R,"")/4))*XLOOKUP($Q388,'Threshold Summary'!$Y:$Y,'Threshold Summary'!$L:$L,""))/100)+5)*XLOOKUP(XLOOKUP($Q388,'Threshold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Editor'!$E:$E,1))),stab,IF(OR(mtype=XLOOKUP(XLOOKUP($Q388,'Threshold Summary'!$Y:$Y,'Threshold Summary'!$K:$K,""),'Pokemon Editor'!$A:$A,'Pokemon Editor'!$C:$C,""),mtype=XLOOKUP(XLOOKUP($Q388,'Threshold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Chart'!$B$1:$S$1,0)))),base,IF(OR(cat="Status",pow=0),0,FLOOR(FLOOR(FLOOR((2*XLOOKUP($Q388,'Threshold Summary'!$Y:$Y,'Threshold Summary'!$L:$L,"")/5+2)*pow*atk/def)/50)+2)),modifier,stab*eff,AVERAGE(ARRAYFORMULA(FLOOR(base*modifier*SEQUENCE(16,1,85,1)/100)))*MIN(1,acc/100)),0)</f>
        <v/>
      </c>
      <c r="N388" s="4">
        <f>IFERROR(LET(mtype,XLOOKUP($D388,'Move Editor'!$B:$B,'Move Editor'!$C:$C,""),cat,XLOOKUP($D388,'Move Editor'!$B:$B,'Move Editor'!$D:$D,""),pow,XLOOKUP($D388,'Move Editor'!$B:$B,'Move Editor'!$E:$E,0),acc,XLOOKUP($D388,'Move Editor'!$B:$B,'Move Editor'!$F:$F,100),atk,IF(cat="Physical",FLOOR((FLOOR(((2*XLOOKUP(XLOOKUP($Q388,'Threshold Summary'!$Y:$Y,'Threshold Summary'!$K:$K,""),'Pokemon Editor'!$A:$A,'Pokemon Editor'!$F:$F,0)+31+FLOOR(XLOOKUP($Q388,'Threshold Summary'!$Y:$Y,'Threshold Summary'!$P:$P,"")/4))*XLOOKUP($Q388,'Threshold Summary'!$Y:$Y,'Threshold Summary'!$L:$L,""))/100)+5)*XLOOKUP(XLOOKUP($Q388,'Threshold Summary'!$Y:$Y,'Threshold Summary'!$M:$M,""),'Nature Editor'!$A:$A,'Nature Editor'!$B:$B,1)),FLOOR((FLOOR(((2*XLOOKUP(XLOOKUP($Q388,'Threshold Summary'!$Y:$Y,'Threshold Summary'!$K:$K,""),'Pokemon Editor'!$A:$A,'Pokemon Editor'!$H:$H,0)+31+FLOOR(XLOOKUP($Q388,'Threshold Summary'!$Y:$Y,'Threshold Summary'!$R:$R,"")/4))*XLOOKUP($Q388,'Threshold Summary'!$Y:$Y,'Threshold Summary'!$L:$L,""))/100)+5)*XLOOKUP(XLOOKUP($Q388,'Threshold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Editor'!$E:$E,1))),stab,IF(OR(mtype=XLOOKUP(XLOOKUP($Q388,'Threshold Summary'!$Y:$Y,'Threshold Summary'!$K:$K,""),'Pokemon Editor'!$A:$A,'Pokemon Editor'!$C:$C,""),mtype=XLOOKUP(XLOOKUP($Q388,'Threshold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Chart'!$B$1:$S$1,0)))),base,IF(OR(cat="Status",pow=0),0,FLOOR(FLOOR(FLOOR((2*XLOOKUP($Q388,'Threshold Summary'!$Y:$Y,'Threshold Summary'!$L:$L,"")/5+2)*pow*atk/def)/50)+2)),modifier,stab*eff,AVERAGE(ARRAYFORMULA(FLOOR(base*modifier*SEQUENCE(16,1,85,1)/100)))/(FLOOR(((2*XLOOKUP('Boss Editor'!$C$4,'Pokemon Editor'!$A:$A,'Pokemon Editor'!$E:$E,0)+31+FLOOR('Boss Editor'!$G$4/4))*'Boss Editor'!$D$4)/100)+'Boss Editor'!$D$4+10)),0)</f>
        <v/>
      </c>
      <c r="O388" s="3">
        <f>IF(N388&gt;=1,"OHKO",IF(N388&gt;=0.5,"2HKO",IF(N388&gt;=0.333,"3HKO",IF(N388&gt;=0.25,"4HKO","5HKO+"))))</f>
        <v/>
      </c>
      <c r="P388" s="3" t="inlineStr">
        <is>
          <t>Live from editable databases</t>
        </is>
      </c>
      <c r="Q388" s="3" t="inlineStr">
        <is>
          <t>SPECIES_DRIFLOON</t>
        </is>
      </c>
      <c r="R388" s="3" t="n">
        <v>3</v>
      </c>
    </row>
    <row r="389">
      <c r="A389" s="3">
        <f>XLOOKUP($Q389,'Threshold Summary'!$Y:$Y,'Threshold Summary'!$A:$A,"")</f>
        <v/>
      </c>
      <c r="B389" s="3">
        <f>XLOOKUP($Q389,'Threshold Summary'!$Y:$Y,'Threshold Summary'!$M:$M,"")</f>
        <v/>
      </c>
      <c r="C389" s="3">
        <f>XLOOKUP($Q389,'Threshold Summary'!$Y:$Y,'Threshold Summary'!$N:$N,"")</f>
        <v/>
      </c>
      <c r="D389" s="3">
        <f>IFERROR(INDEX(FILTER('Learnset Editor'!$D$2:$D,'Learnset Editor'!$A$2:$A=XLOOKUP($Q389,'Threshold Summary'!$Y:$Y,'Threshold Summary'!$K:$K,""),'Learnset Editor'!$C$2:$C&lt;=XLOOKUP($Q389,'Threshold Summary'!$Y:$Y,'Threshold Summary'!$L:$L,"")),$R389),"")</f>
        <v/>
      </c>
      <c r="E389" s="3">
        <f>XLOOKUP(D389,'Move Editor'!$B:$B,'Move Editor'!$C:$C,"")</f>
        <v/>
      </c>
      <c r="F389" s="3">
        <f>XLOOKUP(D389,'Move Editor'!$B:$B,'Move Editor'!$D:$D,"")</f>
        <v/>
      </c>
      <c r="G389" s="3">
        <f>XLOOKUP(D389,'Move Editor'!$B:$B,'Move Editor'!$E:$E,0)</f>
        <v/>
      </c>
      <c r="H389" s="3">
        <f>XLOOKUP(D389,'Move Editor'!$B:$B,'Move Editor'!$F:$F,0)</f>
        <v/>
      </c>
      <c r="I389" s="3">
        <f>(INDEX('Type Chart'!$B:$S,MATCH(E389,'Type Chart'!$A:$A,0),MATCH(XLOOKUP('Boss Editor'!$C$4,'Pokemon Editor'!$A:$A,'Pokemon Editor'!$C:$C,""),'Type Chart'!$B$1:$S$1,0))*IF(XLOOKUP('Boss Editor'!$C$4,'Pokemon Editor'!$A:$A,'Pokemon Editor'!$D:$D,"")="",1,INDEX('Type Chart'!$B:$S,MATCH(E389,'Type Chart'!$A:$A,0),MATCH(XLOOKUP('Boss Editor'!$C$4,'Pokemon Editor'!$A:$A,'Pokemon Editor'!$D:$D,""),'Type Chart'!$B$1:$S$1,0))))</f>
        <v/>
      </c>
      <c r="J389" s="3">
        <f>IFERROR(LET(mtype,XLOOKUP($D389,'Move Editor'!$B:$B,'Move Editor'!$C:$C,""),cat,XLOOKUP($D389,'Move Editor'!$B:$B,'Move Editor'!$D:$D,""),pow,XLOOKUP($D389,'Move Editor'!$B:$B,'Move Editor'!$E:$E,0),acc,XLOOKUP($D389,'Move Editor'!$B:$B,'Move Editor'!$F:$F,100),atk,IF(cat="Physical",FLOOR((FLOOR(((2*XLOOKUP(XLOOKUP($Q389,'Threshold Summary'!$Y:$Y,'Threshold Summary'!$K:$K,""),'Pokemon Editor'!$A:$A,'Pokemon Editor'!$F:$F,0)+31+FLOOR(XLOOKUP($Q389,'Threshold Summary'!$Y:$Y,'Threshold Summary'!$P:$P,"")/4))*XLOOKUP($Q389,'Threshold Summary'!$Y:$Y,'Threshold Summary'!$L:$L,""))/100)+5)*XLOOKUP(XLOOKUP($Q389,'Threshold Summary'!$Y:$Y,'Threshold Summary'!$M:$M,""),'Nature Editor'!$A:$A,'Nature Editor'!$B:$B,1)),FLOOR((FLOOR(((2*XLOOKUP(XLOOKUP($Q389,'Threshold Summary'!$Y:$Y,'Threshold Summary'!$K:$K,""),'Pokemon Editor'!$A:$A,'Pokemon Editor'!$H:$H,0)+31+FLOOR(XLOOKUP($Q389,'Threshold Summary'!$Y:$Y,'Threshold Summary'!$R:$R,"")/4))*XLOOKUP($Q389,'Threshold Summary'!$Y:$Y,'Threshold Summary'!$L:$L,""))/100)+5)*XLOOKUP(XLOOKUP($Q389,'Threshold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Editor'!$E:$E,1))),stab,IF(OR(mtype=XLOOKUP(XLOOKUP($Q389,'Threshold Summary'!$Y:$Y,'Threshold Summary'!$K:$K,""),'Pokemon Editor'!$A:$A,'Pokemon Editor'!$C:$C,""),mtype=XLOOKUP(XLOOKUP($Q389,'Threshold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Chart'!$B$1:$S$1,0)))),base,IF(OR(cat="Status",pow=0),0,FLOOR(FLOOR(FLOOR((2*XLOOKUP($Q389,'Threshold Summary'!$Y:$Y,'Threshold Summary'!$L:$L,"")/5+2)*pow*atk/def)/50)+2)),modifier,stab*eff,FLOOR(base*modifier*0.85)),0)</f>
        <v/>
      </c>
      <c r="K389" s="3">
        <f>IFERROR(LET(mtype,XLOOKUP($D389,'Move Editor'!$B:$B,'Move Editor'!$C:$C,""),cat,XLOOKUP($D389,'Move Editor'!$B:$B,'Move Editor'!$D:$D,""),pow,XLOOKUP($D389,'Move Editor'!$B:$B,'Move Editor'!$E:$E,0),acc,XLOOKUP($D389,'Move Editor'!$B:$B,'Move Editor'!$F:$F,100),atk,IF(cat="Physical",FLOOR((FLOOR(((2*XLOOKUP(XLOOKUP($Q389,'Threshold Summary'!$Y:$Y,'Threshold Summary'!$K:$K,""),'Pokemon Editor'!$A:$A,'Pokemon Editor'!$F:$F,0)+31+FLOOR(XLOOKUP($Q389,'Threshold Summary'!$Y:$Y,'Threshold Summary'!$P:$P,"")/4))*XLOOKUP($Q389,'Threshold Summary'!$Y:$Y,'Threshold Summary'!$L:$L,""))/100)+5)*XLOOKUP(XLOOKUP($Q389,'Threshold Summary'!$Y:$Y,'Threshold Summary'!$M:$M,""),'Nature Editor'!$A:$A,'Nature Editor'!$B:$B,1)),FLOOR((FLOOR(((2*XLOOKUP(XLOOKUP($Q389,'Threshold Summary'!$Y:$Y,'Threshold Summary'!$K:$K,""),'Pokemon Editor'!$A:$A,'Pokemon Editor'!$H:$H,0)+31+FLOOR(XLOOKUP($Q389,'Threshold Summary'!$Y:$Y,'Threshold Summary'!$R:$R,"")/4))*XLOOKUP($Q389,'Threshold Summary'!$Y:$Y,'Threshold Summary'!$L:$L,""))/100)+5)*XLOOKUP(XLOOKUP($Q389,'Threshold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Editor'!$E:$E,1))),stab,IF(OR(mtype=XLOOKUP(XLOOKUP($Q389,'Threshold Summary'!$Y:$Y,'Threshold Summary'!$K:$K,""),'Pokemon Editor'!$A:$A,'Pokemon Editor'!$C:$C,""),mtype=XLOOKUP(XLOOKUP($Q389,'Threshold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Chart'!$B$1:$S$1,0)))),base,IF(OR(cat="Status",pow=0),0,FLOOR(FLOOR(FLOOR((2*XLOOKUP($Q389,'Threshold Summary'!$Y:$Y,'Threshold Summary'!$L:$L,"")/5+2)*pow*atk/def)/50)+2)),modifier,stab*eff,FLOOR(base*modifier)),0)</f>
        <v/>
      </c>
      <c r="L389" s="3">
        <f>IFERROR(LET(mtype,XLOOKUP($D389,'Move Editor'!$B:$B,'Move Editor'!$C:$C,""),cat,XLOOKUP($D389,'Move Editor'!$B:$B,'Move Editor'!$D:$D,""),pow,XLOOKUP($D389,'Move Editor'!$B:$B,'Move Editor'!$E:$E,0),acc,XLOOKUP($D389,'Move Editor'!$B:$B,'Move Editor'!$F:$F,100),atk,IF(cat="Physical",FLOOR((FLOOR(((2*XLOOKUP(XLOOKUP($Q389,'Threshold Summary'!$Y:$Y,'Threshold Summary'!$K:$K,""),'Pokemon Editor'!$A:$A,'Pokemon Editor'!$F:$F,0)+31+FLOOR(XLOOKUP($Q389,'Threshold Summary'!$Y:$Y,'Threshold Summary'!$P:$P,"")/4))*XLOOKUP($Q389,'Threshold Summary'!$Y:$Y,'Threshold Summary'!$L:$L,""))/100)+5)*XLOOKUP(XLOOKUP($Q389,'Threshold Summary'!$Y:$Y,'Threshold Summary'!$M:$M,""),'Nature Editor'!$A:$A,'Nature Editor'!$B:$B,1)),FLOOR((FLOOR(((2*XLOOKUP(XLOOKUP($Q389,'Threshold Summary'!$Y:$Y,'Threshold Summary'!$K:$K,""),'Pokemon Editor'!$A:$A,'Pokemon Editor'!$H:$H,0)+31+FLOOR(XLOOKUP($Q389,'Threshold Summary'!$Y:$Y,'Threshold Summary'!$R:$R,"")/4))*XLOOKUP($Q389,'Threshold Summary'!$Y:$Y,'Threshold Summary'!$L:$L,""))/100)+5)*XLOOKUP(XLOOKUP($Q389,'Threshold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Editor'!$E:$E,1))),stab,IF(OR(mtype=XLOOKUP(XLOOKUP($Q389,'Threshold Summary'!$Y:$Y,'Threshold Summary'!$K:$K,""),'Pokemon Editor'!$A:$A,'Pokemon Editor'!$C:$C,""),mtype=XLOOKUP(XLOOKUP($Q389,'Threshold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Chart'!$B$1:$S$1,0)))),base,IF(OR(cat="Status",pow=0),0,FLOOR(FLOOR(FLOOR((2*XLOOKUP($Q389,'Threshold Summary'!$Y:$Y,'Threshold Summary'!$L:$L,"")/5+2)*pow*atk/def)/50)+2)),modifier,stab*eff,AVERAGE(ARRAYFORMULA(FLOOR(base*modifier*SEQUENCE(16,1,85,1)/100)))),0)</f>
        <v/>
      </c>
      <c r="M389" s="3">
        <f>IFERROR(LET(mtype,XLOOKUP($D389,'Move Editor'!$B:$B,'Move Editor'!$C:$C,""),cat,XLOOKUP($D389,'Move Editor'!$B:$B,'Move Editor'!$D:$D,""),pow,XLOOKUP($D389,'Move Editor'!$B:$B,'Move Editor'!$E:$E,0),acc,XLOOKUP($D389,'Move Editor'!$B:$B,'Move Editor'!$F:$F,100),atk,IF(cat="Physical",FLOOR((FLOOR(((2*XLOOKUP(XLOOKUP($Q389,'Threshold Summary'!$Y:$Y,'Threshold Summary'!$K:$K,""),'Pokemon Editor'!$A:$A,'Pokemon Editor'!$F:$F,0)+31+FLOOR(XLOOKUP($Q389,'Threshold Summary'!$Y:$Y,'Threshold Summary'!$P:$P,"")/4))*XLOOKUP($Q389,'Threshold Summary'!$Y:$Y,'Threshold Summary'!$L:$L,""))/100)+5)*XLOOKUP(XLOOKUP($Q389,'Threshold Summary'!$Y:$Y,'Threshold Summary'!$M:$M,""),'Nature Editor'!$A:$A,'Nature Editor'!$B:$B,1)),FLOOR((FLOOR(((2*XLOOKUP(XLOOKUP($Q389,'Threshold Summary'!$Y:$Y,'Threshold Summary'!$K:$K,""),'Pokemon Editor'!$A:$A,'Pokemon Editor'!$H:$H,0)+31+FLOOR(XLOOKUP($Q389,'Threshold Summary'!$Y:$Y,'Threshold Summary'!$R:$R,"")/4))*XLOOKUP($Q389,'Threshold Summary'!$Y:$Y,'Threshold Summary'!$L:$L,""))/100)+5)*XLOOKUP(XLOOKUP($Q389,'Threshold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Editor'!$E:$E,1))),stab,IF(OR(mtype=XLOOKUP(XLOOKUP($Q389,'Threshold Summary'!$Y:$Y,'Threshold Summary'!$K:$K,""),'Pokemon Editor'!$A:$A,'Pokemon Editor'!$C:$C,""),mtype=XLOOKUP(XLOOKUP($Q389,'Threshold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Chart'!$B$1:$S$1,0)))),base,IF(OR(cat="Status",pow=0),0,FLOOR(FLOOR(FLOOR((2*XLOOKUP($Q389,'Threshold Summary'!$Y:$Y,'Threshold Summary'!$L:$L,"")/5+2)*pow*atk/def)/50)+2)),modifier,stab*eff,AVERAGE(ARRAYFORMULA(FLOOR(base*modifier*SEQUENCE(16,1,85,1)/100)))*MIN(1,acc/100)),0)</f>
        <v/>
      </c>
      <c r="N389" s="4">
        <f>IFERROR(LET(mtype,XLOOKUP($D389,'Move Editor'!$B:$B,'Move Editor'!$C:$C,""),cat,XLOOKUP($D389,'Move Editor'!$B:$B,'Move Editor'!$D:$D,""),pow,XLOOKUP($D389,'Move Editor'!$B:$B,'Move Editor'!$E:$E,0),acc,XLOOKUP($D389,'Move Editor'!$B:$B,'Move Editor'!$F:$F,100),atk,IF(cat="Physical",FLOOR((FLOOR(((2*XLOOKUP(XLOOKUP($Q389,'Threshold Summary'!$Y:$Y,'Threshold Summary'!$K:$K,""),'Pokemon Editor'!$A:$A,'Pokemon Editor'!$F:$F,0)+31+FLOOR(XLOOKUP($Q389,'Threshold Summary'!$Y:$Y,'Threshold Summary'!$P:$P,"")/4))*XLOOKUP($Q389,'Threshold Summary'!$Y:$Y,'Threshold Summary'!$L:$L,""))/100)+5)*XLOOKUP(XLOOKUP($Q389,'Threshold Summary'!$Y:$Y,'Threshold Summary'!$M:$M,""),'Nature Editor'!$A:$A,'Nature Editor'!$B:$B,1)),FLOOR((FLOOR(((2*XLOOKUP(XLOOKUP($Q389,'Threshold Summary'!$Y:$Y,'Threshold Summary'!$K:$K,""),'Pokemon Editor'!$A:$A,'Pokemon Editor'!$H:$H,0)+31+FLOOR(XLOOKUP($Q389,'Threshold Summary'!$Y:$Y,'Threshold Summary'!$R:$R,"")/4))*XLOOKUP($Q389,'Threshold Summary'!$Y:$Y,'Threshold Summary'!$L:$L,""))/100)+5)*XLOOKUP(XLOOKUP($Q389,'Threshold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Editor'!$E:$E,1))),stab,IF(OR(mtype=XLOOKUP(XLOOKUP($Q389,'Threshold Summary'!$Y:$Y,'Threshold Summary'!$K:$K,""),'Pokemon Editor'!$A:$A,'Pokemon Editor'!$C:$C,""),mtype=XLOOKUP(XLOOKUP($Q389,'Threshold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Chart'!$B$1:$S$1,0)))),base,IF(OR(cat="Status",pow=0),0,FLOOR(FLOOR(FLOOR((2*XLOOKUP($Q389,'Threshold Summary'!$Y:$Y,'Threshold Summary'!$L:$L,"")/5+2)*pow*atk/def)/50)+2)),modifier,stab*eff,AVERAGE(ARRAYFORMULA(FLOOR(base*modifier*SEQUENCE(16,1,85,1)/100)))/(FLOOR(((2*XLOOKUP('Boss Editor'!$C$4,'Pokemon Editor'!$A:$A,'Pokemon Editor'!$E:$E,0)+31+FLOOR('Boss Editor'!$G$4/4))*'Boss Editor'!$D$4)/100)+'Boss Editor'!$D$4+10)),0)</f>
        <v/>
      </c>
      <c r="O389" s="3">
        <f>IF(N389&gt;=1,"OHKO",IF(N389&gt;=0.5,"2HKO",IF(N389&gt;=0.333,"3HKO",IF(N389&gt;=0.25,"4HKO","5HKO+"))))</f>
        <v/>
      </c>
      <c r="P389" s="3" t="inlineStr">
        <is>
          <t>Live from editable databases</t>
        </is>
      </c>
      <c r="Q389" s="3" t="inlineStr">
        <is>
          <t>SPECIES_DRIFLOON</t>
        </is>
      </c>
      <c r="R389" s="3" t="n">
        <v>4</v>
      </c>
    </row>
    <row r="390">
      <c r="A390" s="3">
        <f>XLOOKUP($Q390,'Threshold Summary'!$Y:$Y,'Threshold Summary'!$A:$A,"")</f>
        <v/>
      </c>
      <c r="B390" s="3">
        <f>XLOOKUP($Q390,'Threshold Summary'!$Y:$Y,'Threshold Summary'!$M:$M,"")</f>
        <v/>
      </c>
      <c r="C390" s="3">
        <f>XLOOKUP($Q390,'Threshold Summary'!$Y:$Y,'Threshold Summary'!$N:$N,"")</f>
        <v/>
      </c>
      <c r="D390" s="3">
        <f>IFERROR(INDEX(FILTER('Learnset Editor'!$D$2:$D,'Learnset Editor'!$A$2:$A=XLOOKUP($Q390,'Threshold Summary'!$Y:$Y,'Threshold Summary'!$K:$K,""),'Learnset Editor'!$C$2:$C&lt;=XLOOKUP($Q390,'Threshold Summary'!$Y:$Y,'Threshold Summary'!$L:$L,"")),$R390),"")</f>
        <v/>
      </c>
      <c r="E390" s="3">
        <f>XLOOKUP(D390,'Move Editor'!$B:$B,'Move Editor'!$C:$C,"")</f>
        <v/>
      </c>
      <c r="F390" s="3">
        <f>XLOOKUP(D390,'Move Editor'!$B:$B,'Move Editor'!$D:$D,"")</f>
        <v/>
      </c>
      <c r="G390" s="3">
        <f>XLOOKUP(D390,'Move Editor'!$B:$B,'Move Editor'!$E:$E,0)</f>
        <v/>
      </c>
      <c r="H390" s="3">
        <f>XLOOKUP(D390,'Move Editor'!$B:$B,'Move Editor'!$F:$F,0)</f>
        <v/>
      </c>
      <c r="I390" s="3">
        <f>(INDEX('Type Chart'!$B:$S,MATCH(E390,'Type Chart'!$A:$A,0),MATCH(XLOOKUP('Boss Editor'!$C$4,'Pokemon Editor'!$A:$A,'Pokemon Editor'!$C:$C,""),'Type Chart'!$B$1:$S$1,0))*IF(XLOOKUP('Boss Editor'!$C$4,'Pokemon Editor'!$A:$A,'Pokemon Editor'!$D:$D,"")="",1,INDEX('Type Chart'!$B:$S,MATCH(E390,'Type Chart'!$A:$A,0),MATCH(XLOOKUP('Boss Editor'!$C$4,'Pokemon Editor'!$A:$A,'Pokemon Editor'!$D:$D,""),'Type Chart'!$B$1:$S$1,0))))</f>
        <v/>
      </c>
      <c r="J390" s="3">
        <f>IFERROR(LET(mtype,XLOOKUP($D390,'Move Editor'!$B:$B,'Move Editor'!$C:$C,""),cat,XLOOKUP($D390,'Move Editor'!$B:$B,'Move Editor'!$D:$D,""),pow,XLOOKUP($D390,'Move Editor'!$B:$B,'Move Editor'!$E:$E,0),acc,XLOOKUP($D390,'Move Editor'!$B:$B,'Move Editor'!$F:$F,100),atk,IF(cat="Physical",FLOOR((FLOOR(((2*XLOOKUP(XLOOKUP($Q390,'Threshold Summary'!$Y:$Y,'Threshold Summary'!$K:$K,""),'Pokemon Editor'!$A:$A,'Pokemon Editor'!$F:$F,0)+31+FLOOR(XLOOKUP($Q390,'Threshold Summary'!$Y:$Y,'Threshold Summary'!$P:$P,"")/4))*XLOOKUP($Q390,'Threshold Summary'!$Y:$Y,'Threshold Summary'!$L:$L,""))/100)+5)*XLOOKUP(XLOOKUP($Q390,'Threshold Summary'!$Y:$Y,'Threshold Summary'!$M:$M,""),'Nature Editor'!$A:$A,'Nature Editor'!$B:$B,1)),FLOOR((FLOOR(((2*XLOOKUP(XLOOKUP($Q390,'Threshold Summary'!$Y:$Y,'Threshold Summary'!$K:$K,""),'Pokemon Editor'!$A:$A,'Pokemon Editor'!$H:$H,0)+31+FLOOR(XLOOKUP($Q390,'Threshold Summary'!$Y:$Y,'Threshold Summary'!$R:$R,"")/4))*XLOOKUP($Q390,'Threshold Summary'!$Y:$Y,'Threshold Summary'!$L:$L,""))/100)+5)*XLOOKUP(XLOOKUP($Q390,'Threshold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Editor'!$E:$E,1))),stab,IF(OR(mtype=XLOOKUP(XLOOKUP($Q390,'Threshold Summary'!$Y:$Y,'Threshold Summary'!$K:$K,""),'Pokemon Editor'!$A:$A,'Pokemon Editor'!$C:$C,""),mtype=XLOOKUP(XLOOKUP($Q390,'Threshold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Chart'!$B$1:$S$1,0)))),base,IF(OR(cat="Status",pow=0),0,FLOOR(FLOOR(FLOOR((2*XLOOKUP($Q390,'Threshold Summary'!$Y:$Y,'Threshold Summary'!$L:$L,"")/5+2)*pow*atk/def)/50)+2)),modifier,stab*eff,FLOOR(base*modifier*0.85)),0)</f>
        <v/>
      </c>
      <c r="K390" s="3">
        <f>IFERROR(LET(mtype,XLOOKUP($D390,'Move Editor'!$B:$B,'Move Editor'!$C:$C,""),cat,XLOOKUP($D390,'Move Editor'!$B:$B,'Move Editor'!$D:$D,""),pow,XLOOKUP($D390,'Move Editor'!$B:$B,'Move Editor'!$E:$E,0),acc,XLOOKUP($D390,'Move Editor'!$B:$B,'Move Editor'!$F:$F,100),atk,IF(cat="Physical",FLOOR((FLOOR(((2*XLOOKUP(XLOOKUP($Q390,'Threshold Summary'!$Y:$Y,'Threshold Summary'!$K:$K,""),'Pokemon Editor'!$A:$A,'Pokemon Editor'!$F:$F,0)+31+FLOOR(XLOOKUP($Q390,'Threshold Summary'!$Y:$Y,'Threshold Summary'!$P:$P,"")/4))*XLOOKUP($Q390,'Threshold Summary'!$Y:$Y,'Threshold Summary'!$L:$L,""))/100)+5)*XLOOKUP(XLOOKUP($Q390,'Threshold Summary'!$Y:$Y,'Threshold Summary'!$M:$M,""),'Nature Editor'!$A:$A,'Nature Editor'!$B:$B,1)),FLOOR((FLOOR(((2*XLOOKUP(XLOOKUP($Q390,'Threshold Summary'!$Y:$Y,'Threshold Summary'!$K:$K,""),'Pokemon Editor'!$A:$A,'Pokemon Editor'!$H:$H,0)+31+FLOOR(XLOOKUP($Q390,'Threshold Summary'!$Y:$Y,'Threshold Summary'!$R:$R,"")/4))*XLOOKUP($Q390,'Threshold Summary'!$Y:$Y,'Threshold Summary'!$L:$L,""))/100)+5)*XLOOKUP(XLOOKUP($Q390,'Threshold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Editor'!$E:$E,1))),stab,IF(OR(mtype=XLOOKUP(XLOOKUP($Q390,'Threshold Summary'!$Y:$Y,'Threshold Summary'!$K:$K,""),'Pokemon Editor'!$A:$A,'Pokemon Editor'!$C:$C,""),mtype=XLOOKUP(XLOOKUP($Q390,'Threshold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Chart'!$B$1:$S$1,0)))),base,IF(OR(cat="Status",pow=0),0,FLOOR(FLOOR(FLOOR((2*XLOOKUP($Q390,'Threshold Summary'!$Y:$Y,'Threshold Summary'!$L:$L,"")/5+2)*pow*atk/def)/50)+2)),modifier,stab*eff,FLOOR(base*modifier)),0)</f>
        <v/>
      </c>
      <c r="L390" s="3">
        <f>IFERROR(LET(mtype,XLOOKUP($D390,'Move Editor'!$B:$B,'Move Editor'!$C:$C,""),cat,XLOOKUP($D390,'Move Editor'!$B:$B,'Move Editor'!$D:$D,""),pow,XLOOKUP($D390,'Move Editor'!$B:$B,'Move Editor'!$E:$E,0),acc,XLOOKUP($D390,'Move Editor'!$B:$B,'Move Editor'!$F:$F,100),atk,IF(cat="Physical",FLOOR((FLOOR(((2*XLOOKUP(XLOOKUP($Q390,'Threshold Summary'!$Y:$Y,'Threshold Summary'!$K:$K,""),'Pokemon Editor'!$A:$A,'Pokemon Editor'!$F:$F,0)+31+FLOOR(XLOOKUP($Q390,'Threshold Summary'!$Y:$Y,'Threshold Summary'!$P:$P,"")/4))*XLOOKUP($Q390,'Threshold Summary'!$Y:$Y,'Threshold Summary'!$L:$L,""))/100)+5)*XLOOKUP(XLOOKUP($Q390,'Threshold Summary'!$Y:$Y,'Threshold Summary'!$M:$M,""),'Nature Editor'!$A:$A,'Nature Editor'!$B:$B,1)),FLOOR((FLOOR(((2*XLOOKUP(XLOOKUP($Q390,'Threshold Summary'!$Y:$Y,'Threshold Summary'!$K:$K,""),'Pokemon Editor'!$A:$A,'Pokemon Editor'!$H:$H,0)+31+FLOOR(XLOOKUP($Q390,'Threshold Summary'!$Y:$Y,'Threshold Summary'!$R:$R,"")/4))*XLOOKUP($Q390,'Threshold Summary'!$Y:$Y,'Threshold Summary'!$L:$L,""))/100)+5)*XLOOKUP(XLOOKUP($Q390,'Threshold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Editor'!$E:$E,1))),stab,IF(OR(mtype=XLOOKUP(XLOOKUP($Q390,'Threshold Summary'!$Y:$Y,'Threshold Summary'!$K:$K,""),'Pokemon Editor'!$A:$A,'Pokemon Editor'!$C:$C,""),mtype=XLOOKUP(XLOOKUP($Q390,'Threshold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Chart'!$B$1:$S$1,0)))),base,IF(OR(cat="Status",pow=0),0,FLOOR(FLOOR(FLOOR((2*XLOOKUP($Q390,'Threshold Summary'!$Y:$Y,'Threshold Summary'!$L:$L,"")/5+2)*pow*atk/def)/50)+2)),modifier,stab*eff,AVERAGE(ARRAYFORMULA(FLOOR(base*modifier*SEQUENCE(16,1,85,1)/100)))),0)</f>
        <v/>
      </c>
      <c r="M390" s="3">
        <f>IFERROR(LET(mtype,XLOOKUP($D390,'Move Editor'!$B:$B,'Move Editor'!$C:$C,""),cat,XLOOKUP($D390,'Move Editor'!$B:$B,'Move Editor'!$D:$D,""),pow,XLOOKUP($D390,'Move Editor'!$B:$B,'Move Editor'!$E:$E,0),acc,XLOOKUP($D390,'Move Editor'!$B:$B,'Move Editor'!$F:$F,100),atk,IF(cat="Physical",FLOOR((FLOOR(((2*XLOOKUP(XLOOKUP($Q390,'Threshold Summary'!$Y:$Y,'Threshold Summary'!$K:$K,""),'Pokemon Editor'!$A:$A,'Pokemon Editor'!$F:$F,0)+31+FLOOR(XLOOKUP($Q390,'Threshold Summary'!$Y:$Y,'Threshold Summary'!$P:$P,"")/4))*XLOOKUP($Q390,'Threshold Summary'!$Y:$Y,'Threshold Summary'!$L:$L,""))/100)+5)*XLOOKUP(XLOOKUP($Q390,'Threshold Summary'!$Y:$Y,'Threshold Summary'!$M:$M,""),'Nature Editor'!$A:$A,'Nature Editor'!$B:$B,1)),FLOOR((FLOOR(((2*XLOOKUP(XLOOKUP($Q390,'Threshold Summary'!$Y:$Y,'Threshold Summary'!$K:$K,""),'Pokemon Editor'!$A:$A,'Pokemon Editor'!$H:$H,0)+31+FLOOR(XLOOKUP($Q390,'Threshold Summary'!$Y:$Y,'Threshold Summary'!$R:$R,"")/4))*XLOOKUP($Q390,'Threshold Summary'!$Y:$Y,'Threshold Summary'!$L:$L,""))/100)+5)*XLOOKUP(XLOOKUP($Q390,'Threshold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Editor'!$E:$E,1))),stab,IF(OR(mtype=XLOOKUP(XLOOKUP($Q390,'Threshold Summary'!$Y:$Y,'Threshold Summary'!$K:$K,""),'Pokemon Editor'!$A:$A,'Pokemon Editor'!$C:$C,""),mtype=XLOOKUP(XLOOKUP($Q390,'Threshold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Chart'!$B$1:$S$1,0)))),base,IF(OR(cat="Status",pow=0),0,FLOOR(FLOOR(FLOOR((2*XLOOKUP($Q390,'Threshold Summary'!$Y:$Y,'Threshold Summary'!$L:$L,"")/5+2)*pow*atk/def)/50)+2)),modifier,stab*eff,AVERAGE(ARRAYFORMULA(FLOOR(base*modifier*SEQUENCE(16,1,85,1)/100)))*MIN(1,acc/100)),0)</f>
        <v/>
      </c>
      <c r="N390" s="4">
        <f>IFERROR(LET(mtype,XLOOKUP($D390,'Move Editor'!$B:$B,'Move Editor'!$C:$C,""),cat,XLOOKUP($D390,'Move Editor'!$B:$B,'Move Editor'!$D:$D,""),pow,XLOOKUP($D390,'Move Editor'!$B:$B,'Move Editor'!$E:$E,0),acc,XLOOKUP($D390,'Move Editor'!$B:$B,'Move Editor'!$F:$F,100),atk,IF(cat="Physical",FLOOR((FLOOR(((2*XLOOKUP(XLOOKUP($Q390,'Threshold Summary'!$Y:$Y,'Threshold Summary'!$K:$K,""),'Pokemon Editor'!$A:$A,'Pokemon Editor'!$F:$F,0)+31+FLOOR(XLOOKUP($Q390,'Threshold Summary'!$Y:$Y,'Threshold Summary'!$P:$P,"")/4))*XLOOKUP($Q390,'Threshold Summary'!$Y:$Y,'Threshold Summary'!$L:$L,""))/100)+5)*XLOOKUP(XLOOKUP($Q390,'Threshold Summary'!$Y:$Y,'Threshold Summary'!$M:$M,""),'Nature Editor'!$A:$A,'Nature Editor'!$B:$B,1)),FLOOR((FLOOR(((2*XLOOKUP(XLOOKUP($Q390,'Threshold Summary'!$Y:$Y,'Threshold Summary'!$K:$K,""),'Pokemon Editor'!$A:$A,'Pokemon Editor'!$H:$H,0)+31+FLOOR(XLOOKUP($Q390,'Threshold Summary'!$Y:$Y,'Threshold Summary'!$R:$R,"")/4))*XLOOKUP($Q390,'Threshold Summary'!$Y:$Y,'Threshold Summary'!$L:$L,""))/100)+5)*XLOOKUP(XLOOKUP($Q390,'Threshold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Editor'!$E:$E,1))),stab,IF(OR(mtype=XLOOKUP(XLOOKUP($Q390,'Threshold Summary'!$Y:$Y,'Threshold Summary'!$K:$K,""),'Pokemon Editor'!$A:$A,'Pokemon Editor'!$C:$C,""),mtype=XLOOKUP(XLOOKUP($Q390,'Threshold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Chart'!$B$1:$S$1,0)))),base,IF(OR(cat="Status",pow=0),0,FLOOR(FLOOR(FLOOR((2*XLOOKUP($Q390,'Threshold Summary'!$Y:$Y,'Threshold Summary'!$L:$L,"")/5+2)*pow*atk/def)/50)+2)),modifier,stab*eff,AVERAGE(ARRAYFORMULA(FLOOR(base*modifier*SEQUENCE(16,1,85,1)/100)))/(FLOOR(((2*XLOOKUP('Boss Editor'!$C$4,'Pokemon Editor'!$A:$A,'Pokemon Editor'!$E:$E,0)+31+FLOOR('Boss Editor'!$G$4/4))*'Boss Editor'!$D$4)/100)+'Boss Editor'!$D$4+10)),0)</f>
        <v/>
      </c>
      <c r="O390" s="3">
        <f>IF(N390&gt;=1,"OHKO",IF(N390&gt;=0.5,"2HKO",IF(N390&gt;=0.333,"3HKO",IF(N390&gt;=0.25,"4HKO","5HKO+"))))</f>
        <v/>
      </c>
      <c r="P390" s="3" t="inlineStr">
        <is>
          <t>Live from editable databases</t>
        </is>
      </c>
      <c r="Q390" s="3" t="inlineStr">
        <is>
          <t>SPECIES_DRIFLOON</t>
        </is>
      </c>
      <c r="R390" s="3" t="n">
        <v>5</v>
      </c>
    </row>
    <row r="391">
      <c r="A391" s="3">
        <f>XLOOKUP($Q391,'Threshold Summary'!$Y:$Y,'Threshold Summary'!$A:$A,"")</f>
        <v/>
      </c>
      <c r="B391" s="3">
        <f>XLOOKUP($Q391,'Threshold Summary'!$Y:$Y,'Threshold Summary'!$M:$M,"")</f>
        <v/>
      </c>
      <c r="C391" s="3">
        <f>XLOOKUP($Q391,'Threshold Summary'!$Y:$Y,'Threshold Summary'!$N:$N,"")</f>
        <v/>
      </c>
      <c r="D391" s="3">
        <f>IFERROR(INDEX(FILTER('Learnset Editor'!$D$2:$D,'Learnset Editor'!$A$2:$A=XLOOKUP($Q391,'Threshold Summary'!$Y:$Y,'Threshold Summary'!$K:$K,""),'Learnset Editor'!$C$2:$C&lt;=XLOOKUP($Q391,'Threshold Summary'!$Y:$Y,'Threshold Summary'!$L:$L,"")),$R391),"")</f>
        <v/>
      </c>
      <c r="E391" s="3">
        <f>XLOOKUP(D391,'Move Editor'!$B:$B,'Move Editor'!$C:$C,"")</f>
        <v/>
      </c>
      <c r="F391" s="3">
        <f>XLOOKUP(D391,'Move Editor'!$B:$B,'Move Editor'!$D:$D,"")</f>
        <v/>
      </c>
      <c r="G391" s="3">
        <f>XLOOKUP(D391,'Move Editor'!$B:$B,'Move Editor'!$E:$E,0)</f>
        <v/>
      </c>
      <c r="H391" s="3">
        <f>XLOOKUP(D391,'Move Editor'!$B:$B,'Move Editor'!$F:$F,0)</f>
        <v/>
      </c>
      <c r="I391" s="3">
        <f>(INDEX('Type Chart'!$B:$S,MATCH(E391,'Type Chart'!$A:$A,0),MATCH(XLOOKUP('Boss Editor'!$C$4,'Pokemon Editor'!$A:$A,'Pokemon Editor'!$C:$C,""),'Type Chart'!$B$1:$S$1,0))*IF(XLOOKUP('Boss Editor'!$C$4,'Pokemon Editor'!$A:$A,'Pokemon Editor'!$D:$D,"")="",1,INDEX('Type Chart'!$B:$S,MATCH(E391,'Type Chart'!$A:$A,0),MATCH(XLOOKUP('Boss Editor'!$C$4,'Pokemon Editor'!$A:$A,'Pokemon Editor'!$D:$D,""),'Type Chart'!$B$1:$S$1,0))))</f>
        <v/>
      </c>
      <c r="J391" s="3">
        <f>IFERROR(LET(mtype,XLOOKUP($D391,'Move Editor'!$B:$B,'Move Editor'!$C:$C,""),cat,XLOOKUP($D391,'Move Editor'!$B:$B,'Move Editor'!$D:$D,""),pow,XLOOKUP($D391,'Move Editor'!$B:$B,'Move Editor'!$E:$E,0),acc,XLOOKUP($D391,'Move Editor'!$B:$B,'Move Editor'!$F:$F,100),atk,IF(cat="Physical",FLOOR((FLOOR(((2*XLOOKUP(XLOOKUP($Q391,'Threshold Summary'!$Y:$Y,'Threshold Summary'!$K:$K,""),'Pokemon Editor'!$A:$A,'Pokemon Editor'!$F:$F,0)+31+FLOOR(XLOOKUP($Q391,'Threshold Summary'!$Y:$Y,'Threshold Summary'!$P:$P,"")/4))*XLOOKUP($Q391,'Threshold Summary'!$Y:$Y,'Threshold Summary'!$L:$L,""))/100)+5)*XLOOKUP(XLOOKUP($Q391,'Threshold Summary'!$Y:$Y,'Threshold Summary'!$M:$M,""),'Nature Editor'!$A:$A,'Nature Editor'!$B:$B,1)),FLOOR((FLOOR(((2*XLOOKUP(XLOOKUP($Q391,'Threshold Summary'!$Y:$Y,'Threshold Summary'!$K:$K,""),'Pokemon Editor'!$A:$A,'Pokemon Editor'!$H:$H,0)+31+FLOOR(XLOOKUP($Q391,'Threshold Summary'!$Y:$Y,'Threshold Summary'!$R:$R,"")/4))*XLOOKUP($Q391,'Threshold Summary'!$Y:$Y,'Threshold Summary'!$L:$L,""))/100)+5)*XLOOKUP(XLOOKUP($Q391,'Threshold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Editor'!$E:$E,1))),stab,IF(OR(mtype=XLOOKUP(XLOOKUP($Q391,'Threshold Summary'!$Y:$Y,'Threshold Summary'!$K:$K,""),'Pokemon Editor'!$A:$A,'Pokemon Editor'!$C:$C,""),mtype=XLOOKUP(XLOOKUP($Q391,'Threshold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Chart'!$B$1:$S$1,0)))),base,IF(OR(cat="Status",pow=0),0,FLOOR(FLOOR(FLOOR((2*XLOOKUP($Q391,'Threshold Summary'!$Y:$Y,'Threshold Summary'!$L:$L,"")/5+2)*pow*atk/def)/50)+2)),modifier,stab*eff,FLOOR(base*modifier*0.85)),0)</f>
        <v/>
      </c>
      <c r="K391" s="3">
        <f>IFERROR(LET(mtype,XLOOKUP($D391,'Move Editor'!$B:$B,'Move Editor'!$C:$C,""),cat,XLOOKUP($D391,'Move Editor'!$B:$B,'Move Editor'!$D:$D,""),pow,XLOOKUP($D391,'Move Editor'!$B:$B,'Move Editor'!$E:$E,0),acc,XLOOKUP($D391,'Move Editor'!$B:$B,'Move Editor'!$F:$F,100),atk,IF(cat="Physical",FLOOR((FLOOR(((2*XLOOKUP(XLOOKUP($Q391,'Threshold Summary'!$Y:$Y,'Threshold Summary'!$K:$K,""),'Pokemon Editor'!$A:$A,'Pokemon Editor'!$F:$F,0)+31+FLOOR(XLOOKUP($Q391,'Threshold Summary'!$Y:$Y,'Threshold Summary'!$P:$P,"")/4))*XLOOKUP($Q391,'Threshold Summary'!$Y:$Y,'Threshold Summary'!$L:$L,""))/100)+5)*XLOOKUP(XLOOKUP($Q391,'Threshold Summary'!$Y:$Y,'Threshold Summary'!$M:$M,""),'Nature Editor'!$A:$A,'Nature Editor'!$B:$B,1)),FLOOR((FLOOR(((2*XLOOKUP(XLOOKUP($Q391,'Threshold Summary'!$Y:$Y,'Threshold Summary'!$K:$K,""),'Pokemon Editor'!$A:$A,'Pokemon Editor'!$H:$H,0)+31+FLOOR(XLOOKUP($Q391,'Threshold Summary'!$Y:$Y,'Threshold Summary'!$R:$R,"")/4))*XLOOKUP($Q391,'Threshold Summary'!$Y:$Y,'Threshold Summary'!$L:$L,""))/100)+5)*XLOOKUP(XLOOKUP($Q391,'Threshold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Editor'!$E:$E,1))),stab,IF(OR(mtype=XLOOKUP(XLOOKUP($Q391,'Threshold Summary'!$Y:$Y,'Threshold Summary'!$K:$K,""),'Pokemon Editor'!$A:$A,'Pokemon Editor'!$C:$C,""),mtype=XLOOKUP(XLOOKUP($Q391,'Threshold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Chart'!$B$1:$S$1,0)))),base,IF(OR(cat="Status",pow=0),0,FLOOR(FLOOR(FLOOR((2*XLOOKUP($Q391,'Threshold Summary'!$Y:$Y,'Threshold Summary'!$L:$L,"")/5+2)*pow*atk/def)/50)+2)),modifier,stab*eff,FLOOR(base*modifier)),0)</f>
        <v/>
      </c>
      <c r="L391" s="3">
        <f>IFERROR(LET(mtype,XLOOKUP($D391,'Move Editor'!$B:$B,'Move Editor'!$C:$C,""),cat,XLOOKUP($D391,'Move Editor'!$B:$B,'Move Editor'!$D:$D,""),pow,XLOOKUP($D391,'Move Editor'!$B:$B,'Move Editor'!$E:$E,0),acc,XLOOKUP($D391,'Move Editor'!$B:$B,'Move Editor'!$F:$F,100),atk,IF(cat="Physical",FLOOR((FLOOR(((2*XLOOKUP(XLOOKUP($Q391,'Threshold Summary'!$Y:$Y,'Threshold Summary'!$K:$K,""),'Pokemon Editor'!$A:$A,'Pokemon Editor'!$F:$F,0)+31+FLOOR(XLOOKUP($Q391,'Threshold Summary'!$Y:$Y,'Threshold Summary'!$P:$P,"")/4))*XLOOKUP($Q391,'Threshold Summary'!$Y:$Y,'Threshold Summary'!$L:$L,""))/100)+5)*XLOOKUP(XLOOKUP($Q391,'Threshold Summary'!$Y:$Y,'Threshold Summary'!$M:$M,""),'Nature Editor'!$A:$A,'Nature Editor'!$B:$B,1)),FLOOR((FLOOR(((2*XLOOKUP(XLOOKUP($Q391,'Threshold Summary'!$Y:$Y,'Threshold Summary'!$K:$K,""),'Pokemon Editor'!$A:$A,'Pokemon Editor'!$H:$H,0)+31+FLOOR(XLOOKUP($Q391,'Threshold Summary'!$Y:$Y,'Threshold Summary'!$R:$R,"")/4))*XLOOKUP($Q391,'Threshold Summary'!$Y:$Y,'Threshold Summary'!$L:$L,""))/100)+5)*XLOOKUP(XLOOKUP($Q391,'Threshold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Editor'!$E:$E,1))),stab,IF(OR(mtype=XLOOKUP(XLOOKUP($Q391,'Threshold Summary'!$Y:$Y,'Threshold Summary'!$K:$K,""),'Pokemon Editor'!$A:$A,'Pokemon Editor'!$C:$C,""),mtype=XLOOKUP(XLOOKUP($Q391,'Threshold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Chart'!$B$1:$S$1,0)))),base,IF(OR(cat="Status",pow=0),0,FLOOR(FLOOR(FLOOR((2*XLOOKUP($Q391,'Threshold Summary'!$Y:$Y,'Threshold Summary'!$L:$L,"")/5+2)*pow*atk/def)/50)+2)),modifier,stab*eff,AVERAGE(ARRAYFORMULA(FLOOR(base*modifier*SEQUENCE(16,1,85,1)/100)))),0)</f>
        <v/>
      </c>
      <c r="M391" s="3">
        <f>IFERROR(LET(mtype,XLOOKUP($D391,'Move Editor'!$B:$B,'Move Editor'!$C:$C,""),cat,XLOOKUP($D391,'Move Editor'!$B:$B,'Move Editor'!$D:$D,""),pow,XLOOKUP($D391,'Move Editor'!$B:$B,'Move Editor'!$E:$E,0),acc,XLOOKUP($D391,'Move Editor'!$B:$B,'Move Editor'!$F:$F,100),atk,IF(cat="Physical",FLOOR((FLOOR(((2*XLOOKUP(XLOOKUP($Q391,'Threshold Summary'!$Y:$Y,'Threshold Summary'!$K:$K,""),'Pokemon Editor'!$A:$A,'Pokemon Editor'!$F:$F,0)+31+FLOOR(XLOOKUP($Q391,'Threshold Summary'!$Y:$Y,'Threshold Summary'!$P:$P,"")/4))*XLOOKUP($Q391,'Threshold Summary'!$Y:$Y,'Threshold Summary'!$L:$L,""))/100)+5)*XLOOKUP(XLOOKUP($Q391,'Threshold Summary'!$Y:$Y,'Threshold Summary'!$M:$M,""),'Nature Editor'!$A:$A,'Nature Editor'!$B:$B,1)),FLOOR((FLOOR(((2*XLOOKUP(XLOOKUP($Q391,'Threshold Summary'!$Y:$Y,'Threshold Summary'!$K:$K,""),'Pokemon Editor'!$A:$A,'Pokemon Editor'!$H:$H,0)+31+FLOOR(XLOOKUP($Q391,'Threshold Summary'!$Y:$Y,'Threshold Summary'!$R:$R,"")/4))*XLOOKUP($Q391,'Threshold Summary'!$Y:$Y,'Threshold Summary'!$L:$L,""))/100)+5)*XLOOKUP(XLOOKUP($Q391,'Threshold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Editor'!$E:$E,1))),stab,IF(OR(mtype=XLOOKUP(XLOOKUP($Q391,'Threshold Summary'!$Y:$Y,'Threshold Summary'!$K:$K,""),'Pokemon Editor'!$A:$A,'Pokemon Editor'!$C:$C,""),mtype=XLOOKUP(XLOOKUP($Q391,'Threshold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Chart'!$B$1:$S$1,0)))),base,IF(OR(cat="Status",pow=0),0,FLOOR(FLOOR(FLOOR((2*XLOOKUP($Q391,'Threshold Summary'!$Y:$Y,'Threshold Summary'!$L:$L,"")/5+2)*pow*atk/def)/50)+2)),modifier,stab*eff,AVERAGE(ARRAYFORMULA(FLOOR(base*modifier*SEQUENCE(16,1,85,1)/100)))*MIN(1,acc/100)),0)</f>
        <v/>
      </c>
      <c r="N391" s="4">
        <f>IFERROR(LET(mtype,XLOOKUP($D391,'Move Editor'!$B:$B,'Move Editor'!$C:$C,""),cat,XLOOKUP($D391,'Move Editor'!$B:$B,'Move Editor'!$D:$D,""),pow,XLOOKUP($D391,'Move Editor'!$B:$B,'Move Editor'!$E:$E,0),acc,XLOOKUP($D391,'Move Editor'!$B:$B,'Move Editor'!$F:$F,100),atk,IF(cat="Physical",FLOOR((FLOOR(((2*XLOOKUP(XLOOKUP($Q391,'Threshold Summary'!$Y:$Y,'Threshold Summary'!$K:$K,""),'Pokemon Editor'!$A:$A,'Pokemon Editor'!$F:$F,0)+31+FLOOR(XLOOKUP($Q391,'Threshold Summary'!$Y:$Y,'Threshold Summary'!$P:$P,"")/4))*XLOOKUP($Q391,'Threshold Summary'!$Y:$Y,'Threshold Summary'!$L:$L,""))/100)+5)*XLOOKUP(XLOOKUP($Q391,'Threshold Summary'!$Y:$Y,'Threshold Summary'!$M:$M,""),'Nature Editor'!$A:$A,'Nature Editor'!$B:$B,1)),FLOOR((FLOOR(((2*XLOOKUP(XLOOKUP($Q391,'Threshold Summary'!$Y:$Y,'Threshold Summary'!$K:$K,""),'Pokemon Editor'!$A:$A,'Pokemon Editor'!$H:$H,0)+31+FLOOR(XLOOKUP($Q391,'Threshold Summary'!$Y:$Y,'Threshold Summary'!$R:$R,"")/4))*XLOOKUP($Q391,'Threshold Summary'!$Y:$Y,'Threshold Summary'!$L:$L,""))/100)+5)*XLOOKUP(XLOOKUP($Q391,'Threshold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Editor'!$E:$E,1))),stab,IF(OR(mtype=XLOOKUP(XLOOKUP($Q391,'Threshold Summary'!$Y:$Y,'Threshold Summary'!$K:$K,""),'Pokemon Editor'!$A:$A,'Pokemon Editor'!$C:$C,""),mtype=XLOOKUP(XLOOKUP($Q391,'Threshold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Chart'!$B$1:$S$1,0)))),base,IF(OR(cat="Status",pow=0),0,FLOOR(FLOOR(FLOOR((2*XLOOKUP($Q391,'Threshold Summary'!$Y:$Y,'Threshold Summary'!$L:$L,"")/5+2)*pow*atk/def)/50)+2)),modifier,stab*eff,AVERAGE(ARRAYFORMULA(FLOOR(base*modifier*SEQUENCE(16,1,85,1)/100)))/(FLOOR(((2*XLOOKUP('Boss Editor'!$C$4,'Pokemon Editor'!$A:$A,'Pokemon Editor'!$E:$E,0)+31+FLOOR('Boss Editor'!$G$4/4))*'Boss Editor'!$D$4)/100)+'Boss Editor'!$D$4+10)),0)</f>
        <v/>
      </c>
      <c r="O391" s="3">
        <f>IF(N391&gt;=1,"OHKO",IF(N391&gt;=0.5,"2HKO",IF(N391&gt;=0.333,"3HKO",IF(N391&gt;=0.25,"4HKO","5HKO+"))))</f>
        <v/>
      </c>
      <c r="P391" s="3" t="inlineStr">
        <is>
          <t>Live from editable databases</t>
        </is>
      </c>
      <c r="Q391" s="3" t="inlineStr">
        <is>
          <t>SPECIES_DRIFLOON</t>
        </is>
      </c>
      <c r="R391" s="3" t="n">
        <v>6</v>
      </c>
    </row>
    <row r="392">
      <c r="A392" s="3">
        <f>XLOOKUP($Q392,'Threshold Summary'!$Y:$Y,'Threshold Summary'!$A:$A,"")</f>
        <v/>
      </c>
      <c r="B392" s="3">
        <f>XLOOKUP($Q392,'Threshold Summary'!$Y:$Y,'Threshold Summary'!$M:$M,"")</f>
        <v/>
      </c>
      <c r="C392" s="3">
        <f>XLOOKUP($Q392,'Threshold Summary'!$Y:$Y,'Threshold Summary'!$N:$N,"")</f>
        <v/>
      </c>
      <c r="D392" s="3">
        <f>IFERROR(INDEX(FILTER('Learnset Editor'!$D$2:$D,'Learnset Editor'!$A$2:$A=XLOOKUP($Q392,'Threshold Summary'!$Y:$Y,'Threshold Summary'!$K:$K,""),'Learnset Editor'!$C$2:$C&lt;=XLOOKUP($Q392,'Threshold Summary'!$Y:$Y,'Threshold Summary'!$L:$L,"")),$R392),"")</f>
        <v/>
      </c>
      <c r="E392" s="3">
        <f>XLOOKUP(D392,'Move Editor'!$B:$B,'Move Editor'!$C:$C,"")</f>
        <v/>
      </c>
      <c r="F392" s="3">
        <f>XLOOKUP(D392,'Move Editor'!$B:$B,'Move Editor'!$D:$D,"")</f>
        <v/>
      </c>
      <c r="G392" s="3">
        <f>XLOOKUP(D392,'Move Editor'!$B:$B,'Move Editor'!$E:$E,0)</f>
        <v/>
      </c>
      <c r="H392" s="3">
        <f>XLOOKUP(D392,'Move Editor'!$B:$B,'Move Editor'!$F:$F,0)</f>
        <v/>
      </c>
      <c r="I392" s="3">
        <f>(INDEX('Type Chart'!$B:$S,MATCH(E392,'Type Chart'!$A:$A,0),MATCH(XLOOKUP('Boss Editor'!$C$4,'Pokemon Editor'!$A:$A,'Pokemon Editor'!$C:$C,""),'Type Chart'!$B$1:$S$1,0))*IF(XLOOKUP('Boss Editor'!$C$4,'Pokemon Editor'!$A:$A,'Pokemon Editor'!$D:$D,"")="",1,INDEX('Type Chart'!$B:$S,MATCH(E392,'Type Chart'!$A:$A,0),MATCH(XLOOKUP('Boss Editor'!$C$4,'Pokemon Editor'!$A:$A,'Pokemon Editor'!$D:$D,""),'Type Chart'!$B$1:$S$1,0))))</f>
        <v/>
      </c>
      <c r="J392" s="3">
        <f>IFERROR(LET(mtype,XLOOKUP($D392,'Move Editor'!$B:$B,'Move Editor'!$C:$C,""),cat,XLOOKUP($D392,'Move Editor'!$B:$B,'Move Editor'!$D:$D,""),pow,XLOOKUP($D392,'Move Editor'!$B:$B,'Move Editor'!$E:$E,0),acc,XLOOKUP($D392,'Move Editor'!$B:$B,'Move Editor'!$F:$F,100),atk,IF(cat="Physical",FLOOR((FLOOR(((2*XLOOKUP(XLOOKUP($Q392,'Threshold Summary'!$Y:$Y,'Threshold Summary'!$K:$K,""),'Pokemon Editor'!$A:$A,'Pokemon Editor'!$F:$F,0)+31+FLOOR(XLOOKUP($Q392,'Threshold Summary'!$Y:$Y,'Threshold Summary'!$P:$P,"")/4))*XLOOKUP($Q392,'Threshold Summary'!$Y:$Y,'Threshold Summary'!$L:$L,""))/100)+5)*XLOOKUP(XLOOKUP($Q392,'Threshold Summary'!$Y:$Y,'Threshold Summary'!$M:$M,""),'Nature Editor'!$A:$A,'Nature Editor'!$B:$B,1)),FLOOR((FLOOR(((2*XLOOKUP(XLOOKUP($Q392,'Threshold Summary'!$Y:$Y,'Threshold Summary'!$K:$K,""),'Pokemon Editor'!$A:$A,'Pokemon Editor'!$H:$H,0)+31+FLOOR(XLOOKUP($Q392,'Threshold Summary'!$Y:$Y,'Threshold Summary'!$R:$R,"")/4))*XLOOKUP($Q392,'Threshold Summary'!$Y:$Y,'Threshold Summary'!$L:$L,""))/100)+5)*XLOOKUP(XLOOKUP($Q392,'Threshold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Editor'!$E:$E,1))),stab,IF(OR(mtype=XLOOKUP(XLOOKUP($Q392,'Threshold Summary'!$Y:$Y,'Threshold Summary'!$K:$K,""),'Pokemon Editor'!$A:$A,'Pokemon Editor'!$C:$C,""),mtype=XLOOKUP(XLOOKUP($Q392,'Threshold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Chart'!$B$1:$S$1,0)))),base,IF(OR(cat="Status",pow=0),0,FLOOR(FLOOR(FLOOR((2*XLOOKUP($Q392,'Threshold Summary'!$Y:$Y,'Threshold Summary'!$L:$L,"")/5+2)*pow*atk/def)/50)+2)),modifier,stab*eff,FLOOR(base*modifier*0.85)),0)</f>
        <v/>
      </c>
      <c r="K392" s="3">
        <f>IFERROR(LET(mtype,XLOOKUP($D392,'Move Editor'!$B:$B,'Move Editor'!$C:$C,""),cat,XLOOKUP($D392,'Move Editor'!$B:$B,'Move Editor'!$D:$D,""),pow,XLOOKUP($D392,'Move Editor'!$B:$B,'Move Editor'!$E:$E,0),acc,XLOOKUP($D392,'Move Editor'!$B:$B,'Move Editor'!$F:$F,100),atk,IF(cat="Physical",FLOOR((FLOOR(((2*XLOOKUP(XLOOKUP($Q392,'Threshold Summary'!$Y:$Y,'Threshold Summary'!$K:$K,""),'Pokemon Editor'!$A:$A,'Pokemon Editor'!$F:$F,0)+31+FLOOR(XLOOKUP($Q392,'Threshold Summary'!$Y:$Y,'Threshold Summary'!$P:$P,"")/4))*XLOOKUP($Q392,'Threshold Summary'!$Y:$Y,'Threshold Summary'!$L:$L,""))/100)+5)*XLOOKUP(XLOOKUP($Q392,'Threshold Summary'!$Y:$Y,'Threshold Summary'!$M:$M,""),'Nature Editor'!$A:$A,'Nature Editor'!$B:$B,1)),FLOOR((FLOOR(((2*XLOOKUP(XLOOKUP($Q392,'Threshold Summary'!$Y:$Y,'Threshold Summary'!$K:$K,""),'Pokemon Editor'!$A:$A,'Pokemon Editor'!$H:$H,0)+31+FLOOR(XLOOKUP($Q392,'Threshold Summary'!$Y:$Y,'Threshold Summary'!$R:$R,"")/4))*XLOOKUP($Q392,'Threshold Summary'!$Y:$Y,'Threshold Summary'!$L:$L,""))/100)+5)*XLOOKUP(XLOOKUP($Q392,'Threshold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Editor'!$E:$E,1))),stab,IF(OR(mtype=XLOOKUP(XLOOKUP($Q392,'Threshold Summary'!$Y:$Y,'Threshold Summary'!$K:$K,""),'Pokemon Editor'!$A:$A,'Pokemon Editor'!$C:$C,""),mtype=XLOOKUP(XLOOKUP($Q392,'Threshold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Chart'!$B$1:$S$1,0)))),base,IF(OR(cat="Status",pow=0),0,FLOOR(FLOOR(FLOOR((2*XLOOKUP($Q392,'Threshold Summary'!$Y:$Y,'Threshold Summary'!$L:$L,"")/5+2)*pow*atk/def)/50)+2)),modifier,stab*eff,FLOOR(base*modifier)),0)</f>
        <v/>
      </c>
      <c r="L392" s="3">
        <f>IFERROR(LET(mtype,XLOOKUP($D392,'Move Editor'!$B:$B,'Move Editor'!$C:$C,""),cat,XLOOKUP($D392,'Move Editor'!$B:$B,'Move Editor'!$D:$D,""),pow,XLOOKUP($D392,'Move Editor'!$B:$B,'Move Editor'!$E:$E,0),acc,XLOOKUP($D392,'Move Editor'!$B:$B,'Move Editor'!$F:$F,100),atk,IF(cat="Physical",FLOOR((FLOOR(((2*XLOOKUP(XLOOKUP($Q392,'Threshold Summary'!$Y:$Y,'Threshold Summary'!$K:$K,""),'Pokemon Editor'!$A:$A,'Pokemon Editor'!$F:$F,0)+31+FLOOR(XLOOKUP($Q392,'Threshold Summary'!$Y:$Y,'Threshold Summary'!$P:$P,"")/4))*XLOOKUP($Q392,'Threshold Summary'!$Y:$Y,'Threshold Summary'!$L:$L,""))/100)+5)*XLOOKUP(XLOOKUP($Q392,'Threshold Summary'!$Y:$Y,'Threshold Summary'!$M:$M,""),'Nature Editor'!$A:$A,'Nature Editor'!$B:$B,1)),FLOOR((FLOOR(((2*XLOOKUP(XLOOKUP($Q392,'Threshold Summary'!$Y:$Y,'Threshold Summary'!$K:$K,""),'Pokemon Editor'!$A:$A,'Pokemon Editor'!$H:$H,0)+31+FLOOR(XLOOKUP($Q392,'Threshold Summary'!$Y:$Y,'Threshold Summary'!$R:$R,"")/4))*XLOOKUP($Q392,'Threshold Summary'!$Y:$Y,'Threshold Summary'!$L:$L,""))/100)+5)*XLOOKUP(XLOOKUP($Q392,'Threshold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Editor'!$E:$E,1))),stab,IF(OR(mtype=XLOOKUP(XLOOKUP($Q392,'Threshold Summary'!$Y:$Y,'Threshold Summary'!$K:$K,""),'Pokemon Editor'!$A:$A,'Pokemon Editor'!$C:$C,""),mtype=XLOOKUP(XLOOKUP($Q392,'Threshold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Chart'!$B$1:$S$1,0)))),base,IF(OR(cat="Status",pow=0),0,FLOOR(FLOOR(FLOOR((2*XLOOKUP($Q392,'Threshold Summary'!$Y:$Y,'Threshold Summary'!$L:$L,"")/5+2)*pow*atk/def)/50)+2)),modifier,stab*eff,AVERAGE(ARRAYFORMULA(FLOOR(base*modifier*SEQUENCE(16,1,85,1)/100)))),0)</f>
        <v/>
      </c>
      <c r="M392" s="3">
        <f>IFERROR(LET(mtype,XLOOKUP($D392,'Move Editor'!$B:$B,'Move Editor'!$C:$C,""),cat,XLOOKUP($D392,'Move Editor'!$B:$B,'Move Editor'!$D:$D,""),pow,XLOOKUP($D392,'Move Editor'!$B:$B,'Move Editor'!$E:$E,0),acc,XLOOKUP($D392,'Move Editor'!$B:$B,'Move Editor'!$F:$F,100),atk,IF(cat="Physical",FLOOR((FLOOR(((2*XLOOKUP(XLOOKUP($Q392,'Threshold Summary'!$Y:$Y,'Threshold Summary'!$K:$K,""),'Pokemon Editor'!$A:$A,'Pokemon Editor'!$F:$F,0)+31+FLOOR(XLOOKUP($Q392,'Threshold Summary'!$Y:$Y,'Threshold Summary'!$P:$P,"")/4))*XLOOKUP($Q392,'Threshold Summary'!$Y:$Y,'Threshold Summary'!$L:$L,""))/100)+5)*XLOOKUP(XLOOKUP($Q392,'Threshold Summary'!$Y:$Y,'Threshold Summary'!$M:$M,""),'Nature Editor'!$A:$A,'Nature Editor'!$B:$B,1)),FLOOR((FLOOR(((2*XLOOKUP(XLOOKUP($Q392,'Threshold Summary'!$Y:$Y,'Threshold Summary'!$K:$K,""),'Pokemon Editor'!$A:$A,'Pokemon Editor'!$H:$H,0)+31+FLOOR(XLOOKUP($Q392,'Threshold Summary'!$Y:$Y,'Threshold Summary'!$R:$R,"")/4))*XLOOKUP($Q392,'Threshold Summary'!$Y:$Y,'Threshold Summary'!$L:$L,""))/100)+5)*XLOOKUP(XLOOKUP($Q392,'Threshold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Editor'!$E:$E,1))),stab,IF(OR(mtype=XLOOKUP(XLOOKUP($Q392,'Threshold Summary'!$Y:$Y,'Threshold Summary'!$K:$K,""),'Pokemon Editor'!$A:$A,'Pokemon Editor'!$C:$C,""),mtype=XLOOKUP(XLOOKUP($Q392,'Threshold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Chart'!$B$1:$S$1,0)))),base,IF(OR(cat="Status",pow=0),0,FLOOR(FLOOR(FLOOR((2*XLOOKUP($Q392,'Threshold Summary'!$Y:$Y,'Threshold Summary'!$L:$L,"")/5+2)*pow*atk/def)/50)+2)),modifier,stab*eff,AVERAGE(ARRAYFORMULA(FLOOR(base*modifier*SEQUENCE(16,1,85,1)/100)))*MIN(1,acc/100)),0)</f>
        <v/>
      </c>
      <c r="N392" s="4">
        <f>IFERROR(LET(mtype,XLOOKUP($D392,'Move Editor'!$B:$B,'Move Editor'!$C:$C,""),cat,XLOOKUP($D392,'Move Editor'!$B:$B,'Move Editor'!$D:$D,""),pow,XLOOKUP($D392,'Move Editor'!$B:$B,'Move Editor'!$E:$E,0),acc,XLOOKUP($D392,'Move Editor'!$B:$B,'Move Editor'!$F:$F,100),atk,IF(cat="Physical",FLOOR((FLOOR(((2*XLOOKUP(XLOOKUP($Q392,'Threshold Summary'!$Y:$Y,'Threshold Summary'!$K:$K,""),'Pokemon Editor'!$A:$A,'Pokemon Editor'!$F:$F,0)+31+FLOOR(XLOOKUP($Q392,'Threshold Summary'!$Y:$Y,'Threshold Summary'!$P:$P,"")/4))*XLOOKUP($Q392,'Threshold Summary'!$Y:$Y,'Threshold Summary'!$L:$L,""))/100)+5)*XLOOKUP(XLOOKUP($Q392,'Threshold Summary'!$Y:$Y,'Threshold Summary'!$M:$M,""),'Nature Editor'!$A:$A,'Nature Editor'!$B:$B,1)),FLOOR((FLOOR(((2*XLOOKUP(XLOOKUP($Q392,'Threshold Summary'!$Y:$Y,'Threshold Summary'!$K:$K,""),'Pokemon Editor'!$A:$A,'Pokemon Editor'!$H:$H,0)+31+FLOOR(XLOOKUP($Q392,'Threshold Summary'!$Y:$Y,'Threshold Summary'!$R:$R,"")/4))*XLOOKUP($Q392,'Threshold Summary'!$Y:$Y,'Threshold Summary'!$L:$L,""))/100)+5)*XLOOKUP(XLOOKUP($Q392,'Threshold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Editor'!$E:$E,1))),stab,IF(OR(mtype=XLOOKUP(XLOOKUP($Q392,'Threshold Summary'!$Y:$Y,'Threshold Summary'!$K:$K,""),'Pokemon Editor'!$A:$A,'Pokemon Editor'!$C:$C,""),mtype=XLOOKUP(XLOOKUP($Q392,'Threshold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Chart'!$B$1:$S$1,0)))),base,IF(OR(cat="Status",pow=0),0,FLOOR(FLOOR(FLOOR((2*XLOOKUP($Q392,'Threshold Summary'!$Y:$Y,'Threshold Summary'!$L:$L,"")/5+2)*pow*atk/def)/50)+2)),modifier,stab*eff,AVERAGE(ARRAYFORMULA(FLOOR(base*modifier*SEQUENCE(16,1,85,1)/100)))/(FLOOR(((2*XLOOKUP('Boss Editor'!$C$4,'Pokemon Editor'!$A:$A,'Pokemon Editor'!$E:$E,0)+31+FLOOR('Boss Editor'!$G$4/4))*'Boss Editor'!$D$4)/100)+'Boss Editor'!$D$4+10)),0)</f>
        <v/>
      </c>
      <c r="O392" s="3">
        <f>IF(N392&gt;=1,"OHKO",IF(N392&gt;=0.5,"2HKO",IF(N392&gt;=0.333,"3HKO",IF(N392&gt;=0.25,"4HKO","5HKO+"))))</f>
        <v/>
      </c>
      <c r="P392" s="3" t="inlineStr">
        <is>
          <t>Live from editable databases</t>
        </is>
      </c>
      <c r="Q392" s="3" t="inlineStr">
        <is>
          <t>SPECIES_DRIFLOON</t>
        </is>
      </c>
      <c r="R392" s="3" t="n">
        <v>7</v>
      </c>
    </row>
    <row r="393">
      <c r="A393" s="3">
        <f>XLOOKUP($Q393,'Threshold Summary'!$Y:$Y,'Threshold Summary'!$A:$A,"")</f>
        <v/>
      </c>
      <c r="B393" s="3">
        <f>XLOOKUP($Q393,'Threshold Summary'!$Y:$Y,'Threshold Summary'!$M:$M,"")</f>
        <v/>
      </c>
      <c r="C393" s="3">
        <f>XLOOKUP($Q393,'Threshold Summary'!$Y:$Y,'Threshold Summary'!$N:$N,"")</f>
        <v/>
      </c>
      <c r="D393" s="3">
        <f>IFERROR(INDEX(FILTER('Learnset Editor'!$D$2:$D,'Learnset Editor'!$A$2:$A=XLOOKUP($Q393,'Threshold Summary'!$Y:$Y,'Threshold Summary'!$K:$K,""),'Learnset Editor'!$C$2:$C&lt;=XLOOKUP($Q393,'Threshold Summary'!$Y:$Y,'Threshold Summary'!$L:$L,"")),$R393),"")</f>
        <v/>
      </c>
      <c r="E393" s="3">
        <f>XLOOKUP(D393,'Move Editor'!$B:$B,'Move Editor'!$C:$C,"")</f>
        <v/>
      </c>
      <c r="F393" s="3">
        <f>XLOOKUP(D393,'Move Editor'!$B:$B,'Move Editor'!$D:$D,"")</f>
        <v/>
      </c>
      <c r="G393" s="3">
        <f>XLOOKUP(D393,'Move Editor'!$B:$B,'Move Editor'!$E:$E,0)</f>
        <v/>
      </c>
      <c r="H393" s="3">
        <f>XLOOKUP(D393,'Move Editor'!$B:$B,'Move Editor'!$F:$F,0)</f>
        <v/>
      </c>
      <c r="I393" s="3">
        <f>(INDEX('Type Chart'!$B:$S,MATCH(E393,'Type Chart'!$A:$A,0),MATCH(XLOOKUP('Boss Editor'!$C$4,'Pokemon Editor'!$A:$A,'Pokemon Editor'!$C:$C,""),'Type Chart'!$B$1:$S$1,0))*IF(XLOOKUP('Boss Editor'!$C$4,'Pokemon Editor'!$A:$A,'Pokemon Editor'!$D:$D,"")="",1,INDEX('Type Chart'!$B:$S,MATCH(E393,'Type Chart'!$A:$A,0),MATCH(XLOOKUP('Boss Editor'!$C$4,'Pokemon Editor'!$A:$A,'Pokemon Editor'!$D:$D,""),'Type Chart'!$B$1:$S$1,0))))</f>
        <v/>
      </c>
      <c r="J393" s="3">
        <f>IFERROR(LET(mtype,XLOOKUP($D393,'Move Editor'!$B:$B,'Move Editor'!$C:$C,""),cat,XLOOKUP($D393,'Move Editor'!$B:$B,'Move Editor'!$D:$D,""),pow,XLOOKUP($D393,'Move Editor'!$B:$B,'Move Editor'!$E:$E,0),acc,XLOOKUP($D393,'Move Editor'!$B:$B,'Move Editor'!$F:$F,100),atk,IF(cat="Physical",FLOOR((FLOOR(((2*XLOOKUP(XLOOKUP($Q393,'Threshold Summary'!$Y:$Y,'Threshold Summary'!$K:$K,""),'Pokemon Editor'!$A:$A,'Pokemon Editor'!$F:$F,0)+31+FLOOR(XLOOKUP($Q393,'Threshold Summary'!$Y:$Y,'Threshold Summary'!$P:$P,"")/4))*XLOOKUP($Q393,'Threshold Summary'!$Y:$Y,'Threshold Summary'!$L:$L,""))/100)+5)*XLOOKUP(XLOOKUP($Q393,'Threshold Summary'!$Y:$Y,'Threshold Summary'!$M:$M,""),'Nature Editor'!$A:$A,'Nature Editor'!$B:$B,1)),FLOOR((FLOOR(((2*XLOOKUP(XLOOKUP($Q393,'Threshold Summary'!$Y:$Y,'Threshold Summary'!$K:$K,""),'Pokemon Editor'!$A:$A,'Pokemon Editor'!$H:$H,0)+31+FLOOR(XLOOKUP($Q393,'Threshold Summary'!$Y:$Y,'Threshold Summary'!$R:$R,"")/4))*XLOOKUP($Q393,'Threshold Summary'!$Y:$Y,'Threshold Summary'!$L:$L,""))/100)+5)*XLOOKUP(XLOOKUP($Q393,'Threshold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Editor'!$E:$E,1))),stab,IF(OR(mtype=XLOOKUP(XLOOKUP($Q393,'Threshold Summary'!$Y:$Y,'Threshold Summary'!$K:$K,""),'Pokemon Editor'!$A:$A,'Pokemon Editor'!$C:$C,""),mtype=XLOOKUP(XLOOKUP($Q393,'Threshold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Chart'!$B$1:$S$1,0)))),base,IF(OR(cat="Status",pow=0),0,FLOOR(FLOOR(FLOOR((2*XLOOKUP($Q393,'Threshold Summary'!$Y:$Y,'Threshold Summary'!$L:$L,"")/5+2)*pow*atk/def)/50)+2)),modifier,stab*eff,FLOOR(base*modifier*0.85)),0)</f>
        <v/>
      </c>
      <c r="K393" s="3">
        <f>IFERROR(LET(mtype,XLOOKUP($D393,'Move Editor'!$B:$B,'Move Editor'!$C:$C,""),cat,XLOOKUP($D393,'Move Editor'!$B:$B,'Move Editor'!$D:$D,""),pow,XLOOKUP($D393,'Move Editor'!$B:$B,'Move Editor'!$E:$E,0),acc,XLOOKUP($D393,'Move Editor'!$B:$B,'Move Editor'!$F:$F,100),atk,IF(cat="Physical",FLOOR((FLOOR(((2*XLOOKUP(XLOOKUP($Q393,'Threshold Summary'!$Y:$Y,'Threshold Summary'!$K:$K,""),'Pokemon Editor'!$A:$A,'Pokemon Editor'!$F:$F,0)+31+FLOOR(XLOOKUP($Q393,'Threshold Summary'!$Y:$Y,'Threshold Summary'!$P:$P,"")/4))*XLOOKUP($Q393,'Threshold Summary'!$Y:$Y,'Threshold Summary'!$L:$L,""))/100)+5)*XLOOKUP(XLOOKUP($Q393,'Threshold Summary'!$Y:$Y,'Threshold Summary'!$M:$M,""),'Nature Editor'!$A:$A,'Nature Editor'!$B:$B,1)),FLOOR((FLOOR(((2*XLOOKUP(XLOOKUP($Q393,'Threshold Summary'!$Y:$Y,'Threshold Summary'!$K:$K,""),'Pokemon Editor'!$A:$A,'Pokemon Editor'!$H:$H,0)+31+FLOOR(XLOOKUP($Q393,'Threshold Summary'!$Y:$Y,'Threshold Summary'!$R:$R,"")/4))*XLOOKUP($Q393,'Threshold Summary'!$Y:$Y,'Threshold Summary'!$L:$L,""))/100)+5)*XLOOKUP(XLOOKUP($Q393,'Threshold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Editor'!$E:$E,1))),stab,IF(OR(mtype=XLOOKUP(XLOOKUP($Q393,'Threshold Summary'!$Y:$Y,'Threshold Summary'!$K:$K,""),'Pokemon Editor'!$A:$A,'Pokemon Editor'!$C:$C,""),mtype=XLOOKUP(XLOOKUP($Q393,'Threshold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Chart'!$B$1:$S$1,0)))),base,IF(OR(cat="Status",pow=0),0,FLOOR(FLOOR(FLOOR((2*XLOOKUP($Q393,'Threshold Summary'!$Y:$Y,'Threshold Summary'!$L:$L,"")/5+2)*pow*atk/def)/50)+2)),modifier,stab*eff,FLOOR(base*modifier)),0)</f>
        <v/>
      </c>
      <c r="L393" s="3">
        <f>IFERROR(LET(mtype,XLOOKUP($D393,'Move Editor'!$B:$B,'Move Editor'!$C:$C,""),cat,XLOOKUP($D393,'Move Editor'!$B:$B,'Move Editor'!$D:$D,""),pow,XLOOKUP($D393,'Move Editor'!$B:$B,'Move Editor'!$E:$E,0),acc,XLOOKUP($D393,'Move Editor'!$B:$B,'Move Editor'!$F:$F,100),atk,IF(cat="Physical",FLOOR((FLOOR(((2*XLOOKUP(XLOOKUP($Q393,'Threshold Summary'!$Y:$Y,'Threshold Summary'!$K:$K,""),'Pokemon Editor'!$A:$A,'Pokemon Editor'!$F:$F,0)+31+FLOOR(XLOOKUP($Q393,'Threshold Summary'!$Y:$Y,'Threshold Summary'!$P:$P,"")/4))*XLOOKUP($Q393,'Threshold Summary'!$Y:$Y,'Threshold Summary'!$L:$L,""))/100)+5)*XLOOKUP(XLOOKUP($Q393,'Threshold Summary'!$Y:$Y,'Threshold Summary'!$M:$M,""),'Nature Editor'!$A:$A,'Nature Editor'!$B:$B,1)),FLOOR((FLOOR(((2*XLOOKUP(XLOOKUP($Q393,'Threshold Summary'!$Y:$Y,'Threshold Summary'!$K:$K,""),'Pokemon Editor'!$A:$A,'Pokemon Editor'!$H:$H,0)+31+FLOOR(XLOOKUP($Q393,'Threshold Summary'!$Y:$Y,'Threshold Summary'!$R:$R,"")/4))*XLOOKUP($Q393,'Threshold Summary'!$Y:$Y,'Threshold Summary'!$L:$L,""))/100)+5)*XLOOKUP(XLOOKUP($Q393,'Threshold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Editor'!$E:$E,1))),stab,IF(OR(mtype=XLOOKUP(XLOOKUP($Q393,'Threshold Summary'!$Y:$Y,'Threshold Summary'!$K:$K,""),'Pokemon Editor'!$A:$A,'Pokemon Editor'!$C:$C,""),mtype=XLOOKUP(XLOOKUP($Q393,'Threshold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Chart'!$B$1:$S$1,0)))),base,IF(OR(cat="Status",pow=0),0,FLOOR(FLOOR(FLOOR((2*XLOOKUP($Q393,'Threshold Summary'!$Y:$Y,'Threshold Summary'!$L:$L,"")/5+2)*pow*atk/def)/50)+2)),modifier,stab*eff,AVERAGE(ARRAYFORMULA(FLOOR(base*modifier*SEQUENCE(16,1,85,1)/100)))),0)</f>
        <v/>
      </c>
      <c r="M393" s="3">
        <f>IFERROR(LET(mtype,XLOOKUP($D393,'Move Editor'!$B:$B,'Move Editor'!$C:$C,""),cat,XLOOKUP($D393,'Move Editor'!$B:$B,'Move Editor'!$D:$D,""),pow,XLOOKUP($D393,'Move Editor'!$B:$B,'Move Editor'!$E:$E,0),acc,XLOOKUP($D393,'Move Editor'!$B:$B,'Move Editor'!$F:$F,100),atk,IF(cat="Physical",FLOOR((FLOOR(((2*XLOOKUP(XLOOKUP($Q393,'Threshold Summary'!$Y:$Y,'Threshold Summary'!$K:$K,""),'Pokemon Editor'!$A:$A,'Pokemon Editor'!$F:$F,0)+31+FLOOR(XLOOKUP($Q393,'Threshold Summary'!$Y:$Y,'Threshold Summary'!$P:$P,"")/4))*XLOOKUP($Q393,'Threshold Summary'!$Y:$Y,'Threshold Summary'!$L:$L,""))/100)+5)*XLOOKUP(XLOOKUP($Q393,'Threshold Summary'!$Y:$Y,'Threshold Summary'!$M:$M,""),'Nature Editor'!$A:$A,'Nature Editor'!$B:$B,1)),FLOOR((FLOOR(((2*XLOOKUP(XLOOKUP($Q393,'Threshold Summary'!$Y:$Y,'Threshold Summary'!$K:$K,""),'Pokemon Editor'!$A:$A,'Pokemon Editor'!$H:$H,0)+31+FLOOR(XLOOKUP($Q393,'Threshold Summary'!$Y:$Y,'Threshold Summary'!$R:$R,"")/4))*XLOOKUP($Q393,'Threshold Summary'!$Y:$Y,'Threshold Summary'!$L:$L,""))/100)+5)*XLOOKUP(XLOOKUP($Q393,'Threshold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Editor'!$E:$E,1))),stab,IF(OR(mtype=XLOOKUP(XLOOKUP($Q393,'Threshold Summary'!$Y:$Y,'Threshold Summary'!$K:$K,""),'Pokemon Editor'!$A:$A,'Pokemon Editor'!$C:$C,""),mtype=XLOOKUP(XLOOKUP($Q393,'Threshold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Chart'!$B$1:$S$1,0)))),base,IF(OR(cat="Status",pow=0),0,FLOOR(FLOOR(FLOOR((2*XLOOKUP($Q393,'Threshold Summary'!$Y:$Y,'Threshold Summary'!$L:$L,"")/5+2)*pow*atk/def)/50)+2)),modifier,stab*eff,AVERAGE(ARRAYFORMULA(FLOOR(base*modifier*SEQUENCE(16,1,85,1)/100)))*MIN(1,acc/100)),0)</f>
        <v/>
      </c>
      <c r="N393" s="4">
        <f>IFERROR(LET(mtype,XLOOKUP($D393,'Move Editor'!$B:$B,'Move Editor'!$C:$C,""),cat,XLOOKUP($D393,'Move Editor'!$B:$B,'Move Editor'!$D:$D,""),pow,XLOOKUP($D393,'Move Editor'!$B:$B,'Move Editor'!$E:$E,0),acc,XLOOKUP($D393,'Move Editor'!$B:$B,'Move Editor'!$F:$F,100),atk,IF(cat="Physical",FLOOR((FLOOR(((2*XLOOKUP(XLOOKUP($Q393,'Threshold Summary'!$Y:$Y,'Threshold Summary'!$K:$K,""),'Pokemon Editor'!$A:$A,'Pokemon Editor'!$F:$F,0)+31+FLOOR(XLOOKUP($Q393,'Threshold Summary'!$Y:$Y,'Threshold Summary'!$P:$P,"")/4))*XLOOKUP($Q393,'Threshold Summary'!$Y:$Y,'Threshold Summary'!$L:$L,""))/100)+5)*XLOOKUP(XLOOKUP($Q393,'Threshold Summary'!$Y:$Y,'Threshold Summary'!$M:$M,""),'Nature Editor'!$A:$A,'Nature Editor'!$B:$B,1)),FLOOR((FLOOR(((2*XLOOKUP(XLOOKUP($Q393,'Threshold Summary'!$Y:$Y,'Threshold Summary'!$K:$K,""),'Pokemon Editor'!$A:$A,'Pokemon Editor'!$H:$H,0)+31+FLOOR(XLOOKUP($Q393,'Threshold Summary'!$Y:$Y,'Threshold Summary'!$R:$R,"")/4))*XLOOKUP($Q393,'Threshold Summary'!$Y:$Y,'Threshold Summary'!$L:$L,""))/100)+5)*XLOOKUP(XLOOKUP($Q393,'Threshold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Editor'!$E:$E,1))),stab,IF(OR(mtype=XLOOKUP(XLOOKUP($Q393,'Threshold Summary'!$Y:$Y,'Threshold Summary'!$K:$K,""),'Pokemon Editor'!$A:$A,'Pokemon Editor'!$C:$C,""),mtype=XLOOKUP(XLOOKUP($Q393,'Threshold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Chart'!$B$1:$S$1,0)))),base,IF(OR(cat="Status",pow=0),0,FLOOR(FLOOR(FLOOR((2*XLOOKUP($Q393,'Threshold Summary'!$Y:$Y,'Threshold Summary'!$L:$L,"")/5+2)*pow*atk/def)/50)+2)),modifier,stab*eff,AVERAGE(ARRAYFORMULA(FLOOR(base*modifier*SEQUENCE(16,1,85,1)/100)))/(FLOOR(((2*XLOOKUP('Boss Editor'!$C$4,'Pokemon Editor'!$A:$A,'Pokemon Editor'!$E:$E,0)+31+FLOOR('Boss Editor'!$G$4/4))*'Boss Editor'!$D$4)/100)+'Boss Editor'!$D$4+10)),0)</f>
        <v/>
      </c>
      <c r="O393" s="3">
        <f>IF(N393&gt;=1,"OHKO",IF(N393&gt;=0.5,"2HKO",IF(N393&gt;=0.333,"3HKO",IF(N393&gt;=0.25,"4HKO","5HKO+"))))</f>
        <v/>
      </c>
      <c r="P393" s="3" t="inlineStr">
        <is>
          <t>Live from editable databases</t>
        </is>
      </c>
      <c r="Q393" s="3" t="inlineStr">
        <is>
          <t>SPECIES_DRIFLOON</t>
        </is>
      </c>
      <c r="R393" s="3" t="n">
        <v>8</v>
      </c>
    </row>
    <row r="394">
      <c r="A394" s="3">
        <f>XLOOKUP($Q394,'Threshold Summary'!$Y:$Y,'Threshold Summary'!$A:$A,"")</f>
        <v/>
      </c>
      <c r="B394" s="3">
        <f>XLOOKUP($Q394,'Threshold Summary'!$Y:$Y,'Threshold Summary'!$M:$M,"")</f>
        <v/>
      </c>
      <c r="C394" s="3">
        <f>XLOOKUP($Q394,'Threshold Summary'!$Y:$Y,'Threshold Summary'!$N:$N,"")</f>
        <v/>
      </c>
      <c r="D394" s="3">
        <f>IFERROR(INDEX(FILTER('Learnset Editor'!$D$2:$D,'Learnset Editor'!$A$2:$A=XLOOKUP($Q394,'Threshold Summary'!$Y:$Y,'Threshold Summary'!$K:$K,""),'Learnset Editor'!$C$2:$C&lt;=XLOOKUP($Q394,'Threshold Summary'!$Y:$Y,'Threshold Summary'!$L:$L,"")),$R394),"")</f>
        <v/>
      </c>
      <c r="E394" s="3">
        <f>XLOOKUP(D394,'Move Editor'!$B:$B,'Move Editor'!$C:$C,"")</f>
        <v/>
      </c>
      <c r="F394" s="3">
        <f>XLOOKUP(D394,'Move Editor'!$B:$B,'Move Editor'!$D:$D,"")</f>
        <v/>
      </c>
      <c r="G394" s="3">
        <f>XLOOKUP(D394,'Move Editor'!$B:$B,'Move Editor'!$E:$E,0)</f>
        <v/>
      </c>
      <c r="H394" s="3">
        <f>XLOOKUP(D394,'Move Editor'!$B:$B,'Move Editor'!$F:$F,0)</f>
        <v/>
      </c>
      <c r="I394" s="3">
        <f>(INDEX('Type Chart'!$B:$S,MATCH(E394,'Type Chart'!$A:$A,0),MATCH(XLOOKUP('Boss Editor'!$C$4,'Pokemon Editor'!$A:$A,'Pokemon Editor'!$C:$C,""),'Type Chart'!$B$1:$S$1,0))*IF(XLOOKUP('Boss Editor'!$C$4,'Pokemon Editor'!$A:$A,'Pokemon Editor'!$D:$D,"")="",1,INDEX('Type Chart'!$B:$S,MATCH(E394,'Type Chart'!$A:$A,0),MATCH(XLOOKUP('Boss Editor'!$C$4,'Pokemon Editor'!$A:$A,'Pokemon Editor'!$D:$D,""),'Type Chart'!$B$1:$S$1,0))))</f>
        <v/>
      </c>
      <c r="J394" s="3">
        <f>IFERROR(LET(mtype,XLOOKUP($D394,'Move Editor'!$B:$B,'Move Editor'!$C:$C,""),cat,XLOOKUP($D394,'Move Editor'!$B:$B,'Move Editor'!$D:$D,""),pow,XLOOKUP($D394,'Move Editor'!$B:$B,'Move Editor'!$E:$E,0),acc,XLOOKUP($D394,'Move Editor'!$B:$B,'Move Editor'!$F:$F,100),atk,IF(cat="Physical",FLOOR((FLOOR(((2*XLOOKUP(XLOOKUP($Q394,'Threshold Summary'!$Y:$Y,'Threshold Summary'!$K:$K,""),'Pokemon Editor'!$A:$A,'Pokemon Editor'!$F:$F,0)+31+FLOOR(XLOOKUP($Q394,'Threshold Summary'!$Y:$Y,'Threshold Summary'!$P:$P,"")/4))*XLOOKUP($Q394,'Threshold Summary'!$Y:$Y,'Threshold Summary'!$L:$L,""))/100)+5)*XLOOKUP(XLOOKUP($Q394,'Threshold Summary'!$Y:$Y,'Threshold Summary'!$M:$M,""),'Nature Editor'!$A:$A,'Nature Editor'!$B:$B,1)),FLOOR((FLOOR(((2*XLOOKUP(XLOOKUP($Q394,'Threshold Summary'!$Y:$Y,'Threshold Summary'!$K:$K,""),'Pokemon Editor'!$A:$A,'Pokemon Editor'!$H:$H,0)+31+FLOOR(XLOOKUP($Q394,'Threshold Summary'!$Y:$Y,'Threshold Summary'!$R:$R,"")/4))*XLOOKUP($Q394,'Threshold Summary'!$Y:$Y,'Threshold Summary'!$L:$L,""))/100)+5)*XLOOKUP(XLOOKUP($Q394,'Threshold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Editor'!$E:$E,1))),stab,IF(OR(mtype=XLOOKUP(XLOOKUP($Q394,'Threshold Summary'!$Y:$Y,'Threshold Summary'!$K:$K,""),'Pokemon Editor'!$A:$A,'Pokemon Editor'!$C:$C,""),mtype=XLOOKUP(XLOOKUP($Q394,'Threshold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Chart'!$B$1:$S$1,0)))),base,IF(OR(cat="Status",pow=0),0,FLOOR(FLOOR(FLOOR((2*XLOOKUP($Q394,'Threshold Summary'!$Y:$Y,'Threshold Summary'!$L:$L,"")/5+2)*pow*atk/def)/50)+2)),modifier,stab*eff,FLOOR(base*modifier*0.85)),0)</f>
        <v/>
      </c>
      <c r="K394" s="3">
        <f>IFERROR(LET(mtype,XLOOKUP($D394,'Move Editor'!$B:$B,'Move Editor'!$C:$C,""),cat,XLOOKUP($D394,'Move Editor'!$B:$B,'Move Editor'!$D:$D,""),pow,XLOOKUP($D394,'Move Editor'!$B:$B,'Move Editor'!$E:$E,0),acc,XLOOKUP($D394,'Move Editor'!$B:$B,'Move Editor'!$F:$F,100),atk,IF(cat="Physical",FLOOR((FLOOR(((2*XLOOKUP(XLOOKUP($Q394,'Threshold Summary'!$Y:$Y,'Threshold Summary'!$K:$K,""),'Pokemon Editor'!$A:$A,'Pokemon Editor'!$F:$F,0)+31+FLOOR(XLOOKUP($Q394,'Threshold Summary'!$Y:$Y,'Threshold Summary'!$P:$P,"")/4))*XLOOKUP($Q394,'Threshold Summary'!$Y:$Y,'Threshold Summary'!$L:$L,""))/100)+5)*XLOOKUP(XLOOKUP($Q394,'Threshold Summary'!$Y:$Y,'Threshold Summary'!$M:$M,""),'Nature Editor'!$A:$A,'Nature Editor'!$B:$B,1)),FLOOR((FLOOR(((2*XLOOKUP(XLOOKUP($Q394,'Threshold Summary'!$Y:$Y,'Threshold Summary'!$K:$K,""),'Pokemon Editor'!$A:$A,'Pokemon Editor'!$H:$H,0)+31+FLOOR(XLOOKUP($Q394,'Threshold Summary'!$Y:$Y,'Threshold Summary'!$R:$R,"")/4))*XLOOKUP($Q394,'Threshold Summary'!$Y:$Y,'Threshold Summary'!$L:$L,""))/100)+5)*XLOOKUP(XLOOKUP($Q394,'Threshold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Editor'!$E:$E,1))),stab,IF(OR(mtype=XLOOKUP(XLOOKUP($Q394,'Threshold Summary'!$Y:$Y,'Threshold Summary'!$K:$K,""),'Pokemon Editor'!$A:$A,'Pokemon Editor'!$C:$C,""),mtype=XLOOKUP(XLOOKUP($Q394,'Threshold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Chart'!$B$1:$S$1,0)))),base,IF(OR(cat="Status",pow=0),0,FLOOR(FLOOR(FLOOR((2*XLOOKUP($Q394,'Threshold Summary'!$Y:$Y,'Threshold Summary'!$L:$L,"")/5+2)*pow*atk/def)/50)+2)),modifier,stab*eff,FLOOR(base*modifier)),0)</f>
        <v/>
      </c>
      <c r="L394" s="3">
        <f>IFERROR(LET(mtype,XLOOKUP($D394,'Move Editor'!$B:$B,'Move Editor'!$C:$C,""),cat,XLOOKUP($D394,'Move Editor'!$B:$B,'Move Editor'!$D:$D,""),pow,XLOOKUP($D394,'Move Editor'!$B:$B,'Move Editor'!$E:$E,0),acc,XLOOKUP($D394,'Move Editor'!$B:$B,'Move Editor'!$F:$F,100),atk,IF(cat="Physical",FLOOR((FLOOR(((2*XLOOKUP(XLOOKUP($Q394,'Threshold Summary'!$Y:$Y,'Threshold Summary'!$K:$K,""),'Pokemon Editor'!$A:$A,'Pokemon Editor'!$F:$F,0)+31+FLOOR(XLOOKUP($Q394,'Threshold Summary'!$Y:$Y,'Threshold Summary'!$P:$P,"")/4))*XLOOKUP($Q394,'Threshold Summary'!$Y:$Y,'Threshold Summary'!$L:$L,""))/100)+5)*XLOOKUP(XLOOKUP($Q394,'Threshold Summary'!$Y:$Y,'Threshold Summary'!$M:$M,""),'Nature Editor'!$A:$A,'Nature Editor'!$B:$B,1)),FLOOR((FLOOR(((2*XLOOKUP(XLOOKUP($Q394,'Threshold Summary'!$Y:$Y,'Threshold Summary'!$K:$K,""),'Pokemon Editor'!$A:$A,'Pokemon Editor'!$H:$H,0)+31+FLOOR(XLOOKUP($Q394,'Threshold Summary'!$Y:$Y,'Threshold Summary'!$R:$R,"")/4))*XLOOKUP($Q394,'Threshold Summary'!$Y:$Y,'Threshold Summary'!$L:$L,""))/100)+5)*XLOOKUP(XLOOKUP($Q394,'Threshold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Editor'!$E:$E,1))),stab,IF(OR(mtype=XLOOKUP(XLOOKUP($Q394,'Threshold Summary'!$Y:$Y,'Threshold Summary'!$K:$K,""),'Pokemon Editor'!$A:$A,'Pokemon Editor'!$C:$C,""),mtype=XLOOKUP(XLOOKUP($Q394,'Threshold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Chart'!$B$1:$S$1,0)))),base,IF(OR(cat="Status",pow=0),0,FLOOR(FLOOR(FLOOR((2*XLOOKUP($Q394,'Threshold Summary'!$Y:$Y,'Threshold Summary'!$L:$L,"")/5+2)*pow*atk/def)/50)+2)),modifier,stab*eff,AVERAGE(ARRAYFORMULA(FLOOR(base*modifier*SEQUENCE(16,1,85,1)/100)))),0)</f>
        <v/>
      </c>
      <c r="M394" s="3">
        <f>IFERROR(LET(mtype,XLOOKUP($D394,'Move Editor'!$B:$B,'Move Editor'!$C:$C,""),cat,XLOOKUP($D394,'Move Editor'!$B:$B,'Move Editor'!$D:$D,""),pow,XLOOKUP($D394,'Move Editor'!$B:$B,'Move Editor'!$E:$E,0),acc,XLOOKUP($D394,'Move Editor'!$B:$B,'Move Editor'!$F:$F,100),atk,IF(cat="Physical",FLOOR((FLOOR(((2*XLOOKUP(XLOOKUP($Q394,'Threshold Summary'!$Y:$Y,'Threshold Summary'!$K:$K,""),'Pokemon Editor'!$A:$A,'Pokemon Editor'!$F:$F,0)+31+FLOOR(XLOOKUP($Q394,'Threshold Summary'!$Y:$Y,'Threshold Summary'!$P:$P,"")/4))*XLOOKUP($Q394,'Threshold Summary'!$Y:$Y,'Threshold Summary'!$L:$L,""))/100)+5)*XLOOKUP(XLOOKUP($Q394,'Threshold Summary'!$Y:$Y,'Threshold Summary'!$M:$M,""),'Nature Editor'!$A:$A,'Nature Editor'!$B:$B,1)),FLOOR((FLOOR(((2*XLOOKUP(XLOOKUP($Q394,'Threshold Summary'!$Y:$Y,'Threshold Summary'!$K:$K,""),'Pokemon Editor'!$A:$A,'Pokemon Editor'!$H:$H,0)+31+FLOOR(XLOOKUP($Q394,'Threshold Summary'!$Y:$Y,'Threshold Summary'!$R:$R,"")/4))*XLOOKUP($Q394,'Threshold Summary'!$Y:$Y,'Threshold Summary'!$L:$L,""))/100)+5)*XLOOKUP(XLOOKUP($Q394,'Threshold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Editor'!$E:$E,1))),stab,IF(OR(mtype=XLOOKUP(XLOOKUP($Q394,'Threshold Summary'!$Y:$Y,'Threshold Summary'!$K:$K,""),'Pokemon Editor'!$A:$A,'Pokemon Editor'!$C:$C,""),mtype=XLOOKUP(XLOOKUP($Q394,'Threshold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Chart'!$B$1:$S$1,0)))),base,IF(OR(cat="Status",pow=0),0,FLOOR(FLOOR(FLOOR((2*XLOOKUP($Q394,'Threshold Summary'!$Y:$Y,'Threshold Summary'!$L:$L,"")/5+2)*pow*atk/def)/50)+2)),modifier,stab*eff,AVERAGE(ARRAYFORMULA(FLOOR(base*modifier*SEQUENCE(16,1,85,1)/100)))*MIN(1,acc/100)),0)</f>
        <v/>
      </c>
      <c r="N394" s="4">
        <f>IFERROR(LET(mtype,XLOOKUP($D394,'Move Editor'!$B:$B,'Move Editor'!$C:$C,""),cat,XLOOKUP($D394,'Move Editor'!$B:$B,'Move Editor'!$D:$D,""),pow,XLOOKUP($D394,'Move Editor'!$B:$B,'Move Editor'!$E:$E,0),acc,XLOOKUP($D394,'Move Editor'!$B:$B,'Move Editor'!$F:$F,100),atk,IF(cat="Physical",FLOOR((FLOOR(((2*XLOOKUP(XLOOKUP($Q394,'Threshold Summary'!$Y:$Y,'Threshold Summary'!$K:$K,""),'Pokemon Editor'!$A:$A,'Pokemon Editor'!$F:$F,0)+31+FLOOR(XLOOKUP($Q394,'Threshold Summary'!$Y:$Y,'Threshold Summary'!$P:$P,"")/4))*XLOOKUP($Q394,'Threshold Summary'!$Y:$Y,'Threshold Summary'!$L:$L,""))/100)+5)*XLOOKUP(XLOOKUP($Q394,'Threshold Summary'!$Y:$Y,'Threshold Summary'!$M:$M,""),'Nature Editor'!$A:$A,'Nature Editor'!$B:$B,1)),FLOOR((FLOOR(((2*XLOOKUP(XLOOKUP($Q394,'Threshold Summary'!$Y:$Y,'Threshold Summary'!$K:$K,""),'Pokemon Editor'!$A:$A,'Pokemon Editor'!$H:$H,0)+31+FLOOR(XLOOKUP($Q394,'Threshold Summary'!$Y:$Y,'Threshold Summary'!$R:$R,"")/4))*XLOOKUP($Q394,'Threshold Summary'!$Y:$Y,'Threshold Summary'!$L:$L,""))/100)+5)*XLOOKUP(XLOOKUP($Q394,'Threshold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Editor'!$E:$E,1))),stab,IF(OR(mtype=XLOOKUP(XLOOKUP($Q394,'Threshold Summary'!$Y:$Y,'Threshold Summary'!$K:$K,""),'Pokemon Editor'!$A:$A,'Pokemon Editor'!$C:$C,""),mtype=XLOOKUP(XLOOKUP($Q394,'Threshold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Chart'!$B$1:$S$1,0)))),base,IF(OR(cat="Status",pow=0),0,FLOOR(FLOOR(FLOOR((2*XLOOKUP($Q394,'Threshold Summary'!$Y:$Y,'Threshold Summary'!$L:$L,"")/5+2)*pow*atk/def)/50)+2)),modifier,stab*eff,AVERAGE(ARRAYFORMULA(FLOOR(base*modifier*SEQUENCE(16,1,85,1)/100)))/(FLOOR(((2*XLOOKUP('Boss Editor'!$C$4,'Pokemon Editor'!$A:$A,'Pokemon Editor'!$E:$E,0)+31+FLOOR('Boss Editor'!$G$4/4))*'Boss Editor'!$D$4)/100)+'Boss Editor'!$D$4+10)),0)</f>
        <v/>
      </c>
      <c r="O394" s="3">
        <f>IF(N394&gt;=1,"OHKO",IF(N394&gt;=0.5,"2HKO",IF(N394&gt;=0.333,"3HKO",IF(N394&gt;=0.25,"4HKO","5HKO+"))))</f>
        <v/>
      </c>
      <c r="P394" s="3" t="inlineStr">
        <is>
          <t>Live from editable databases</t>
        </is>
      </c>
      <c r="Q394" s="3" t="inlineStr">
        <is>
          <t>SPECIES_DRIFLOON</t>
        </is>
      </c>
      <c r="R394" s="3" t="n">
        <v>9</v>
      </c>
    </row>
    <row r="395">
      <c r="A395" s="3">
        <f>XLOOKUP($Q395,'Threshold Summary'!$Y:$Y,'Threshold Summary'!$A:$A,"")</f>
        <v/>
      </c>
      <c r="B395" s="3">
        <f>XLOOKUP($Q395,'Threshold Summary'!$Y:$Y,'Threshold Summary'!$M:$M,"")</f>
        <v/>
      </c>
      <c r="C395" s="3">
        <f>XLOOKUP($Q395,'Threshold Summary'!$Y:$Y,'Threshold Summary'!$N:$N,"")</f>
        <v/>
      </c>
      <c r="D395" s="3">
        <f>IFERROR(INDEX(FILTER('Learnset Editor'!$D$2:$D,'Learnset Editor'!$A$2:$A=XLOOKUP($Q395,'Threshold Summary'!$Y:$Y,'Threshold Summary'!$K:$K,""),'Learnset Editor'!$C$2:$C&lt;=XLOOKUP($Q395,'Threshold Summary'!$Y:$Y,'Threshold Summary'!$L:$L,"")),$R395),"")</f>
        <v/>
      </c>
      <c r="E395" s="3">
        <f>XLOOKUP(D395,'Move Editor'!$B:$B,'Move Editor'!$C:$C,"")</f>
        <v/>
      </c>
      <c r="F395" s="3">
        <f>XLOOKUP(D395,'Move Editor'!$B:$B,'Move Editor'!$D:$D,"")</f>
        <v/>
      </c>
      <c r="G395" s="3">
        <f>XLOOKUP(D395,'Move Editor'!$B:$B,'Move Editor'!$E:$E,0)</f>
        <v/>
      </c>
      <c r="H395" s="3">
        <f>XLOOKUP(D395,'Move Editor'!$B:$B,'Move Editor'!$F:$F,0)</f>
        <v/>
      </c>
      <c r="I395" s="3">
        <f>(INDEX('Type Chart'!$B:$S,MATCH(E395,'Type Chart'!$A:$A,0),MATCH(XLOOKUP('Boss Editor'!$C$4,'Pokemon Editor'!$A:$A,'Pokemon Editor'!$C:$C,""),'Type Chart'!$B$1:$S$1,0))*IF(XLOOKUP('Boss Editor'!$C$4,'Pokemon Editor'!$A:$A,'Pokemon Editor'!$D:$D,"")="",1,INDEX('Type Chart'!$B:$S,MATCH(E395,'Type Chart'!$A:$A,0),MATCH(XLOOKUP('Boss Editor'!$C$4,'Pokemon Editor'!$A:$A,'Pokemon Editor'!$D:$D,""),'Type Chart'!$B$1:$S$1,0))))</f>
        <v/>
      </c>
      <c r="J395" s="3">
        <f>IFERROR(LET(mtype,XLOOKUP($D395,'Move Editor'!$B:$B,'Move Editor'!$C:$C,""),cat,XLOOKUP($D395,'Move Editor'!$B:$B,'Move Editor'!$D:$D,""),pow,XLOOKUP($D395,'Move Editor'!$B:$B,'Move Editor'!$E:$E,0),acc,XLOOKUP($D395,'Move Editor'!$B:$B,'Move Editor'!$F:$F,100),atk,IF(cat="Physical",FLOOR((FLOOR(((2*XLOOKUP(XLOOKUP($Q395,'Threshold Summary'!$Y:$Y,'Threshold Summary'!$K:$K,""),'Pokemon Editor'!$A:$A,'Pokemon Editor'!$F:$F,0)+31+FLOOR(XLOOKUP($Q395,'Threshold Summary'!$Y:$Y,'Threshold Summary'!$P:$P,"")/4))*XLOOKUP($Q395,'Threshold Summary'!$Y:$Y,'Threshold Summary'!$L:$L,""))/100)+5)*XLOOKUP(XLOOKUP($Q395,'Threshold Summary'!$Y:$Y,'Threshold Summary'!$M:$M,""),'Nature Editor'!$A:$A,'Nature Editor'!$B:$B,1)),FLOOR((FLOOR(((2*XLOOKUP(XLOOKUP($Q395,'Threshold Summary'!$Y:$Y,'Threshold Summary'!$K:$K,""),'Pokemon Editor'!$A:$A,'Pokemon Editor'!$H:$H,0)+31+FLOOR(XLOOKUP($Q395,'Threshold Summary'!$Y:$Y,'Threshold Summary'!$R:$R,"")/4))*XLOOKUP($Q395,'Threshold Summary'!$Y:$Y,'Threshold Summary'!$L:$L,""))/100)+5)*XLOOKUP(XLOOKUP($Q395,'Threshold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Editor'!$E:$E,1))),stab,IF(OR(mtype=XLOOKUP(XLOOKUP($Q395,'Threshold Summary'!$Y:$Y,'Threshold Summary'!$K:$K,""),'Pokemon Editor'!$A:$A,'Pokemon Editor'!$C:$C,""),mtype=XLOOKUP(XLOOKUP($Q395,'Threshold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Chart'!$B$1:$S$1,0)))),base,IF(OR(cat="Status",pow=0),0,FLOOR(FLOOR(FLOOR((2*XLOOKUP($Q395,'Threshold Summary'!$Y:$Y,'Threshold Summary'!$L:$L,"")/5+2)*pow*atk/def)/50)+2)),modifier,stab*eff,FLOOR(base*modifier*0.85)),0)</f>
        <v/>
      </c>
      <c r="K395" s="3">
        <f>IFERROR(LET(mtype,XLOOKUP($D395,'Move Editor'!$B:$B,'Move Editor'!$C:$C,""),cat,XLOOKUP($D395,'Move Editor'!$B:$B,'Move Editor'!$D:$D,""),pow,XLOOKUP($D395,'Move Editor'!$B:$B,'Move Editor'!$E:$E,0),acc,XLOOKUP($D395,'Move Editor'!$B:$B,'Move Editor'!$F:$F,100),atk,IF(cat="Physical",FLOOR((FLOOR(((2*XLOOKUP(XLOOKUP($Q395,'Threshold Summary'!$Y:$Y,'Threshold Summary'!$K:$K,""),'Pokemon Editor'!$A:$A,'Pokemon Editor'!$F:$F,0)+31+FLOOR(XLOOKUP($Q395,'Threshold Summary'!$Y:$Y,'Threshold Summary'!$P:$P,"")/4))*XLOOKUP($Q395,'Threshold Summary'!$Y:$Y,'Threshold Summary'!$L:$L,""))/100)+5)*XLOOKUP(XLOOKUP($Q395,'Threshold Summary'!$Y:$Y,'Threshold Summary'!$M:$M,""),'Nature Editor'!$A:$A,'Nature Editor'!$B:$B,1)),FLOOR((FLOOR(((2*XLOOKUP(XLOOKUP($Q395,'Threshold Summary'!$Y:$Y,'Threshold Summary'!$K:$K,""),'Pokemon Editor'!$A:$A,'Pokemon Editor'!$H:$H,0)+31+FLOOR(XLOOKUP($Q395,'Threshold Summary'!$Y:$Y,'Threshold Summary'!$R:$R,"")/4))*XLOOKUP($Q395,'Threshold Summary'!$Y:$Y,'Threshold Summary'!$L:$L,""))/100)+5)*XLOOKUP(XLOOKUP($Q395,'Threshold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Editor'!$E:$E,1))),stab,IF(OR(mtype=XLOOKUP(XLOOKUP($Q395,'Threshold Summary'!$Y:$Y,'Threshold Summary'!$K:$K,""),'Pokemon Editor'!$A:$A,'Pokemon Editor'!$C:$C,""),mtype=XLOOKUP(XLOOKUP($Q395,'Threshold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Chart'!$B$1:$S$1,0)))),base,IF(OR(cat="Status",pow=0),0,FLOOR(FLOOR(FLOOR((2*XLOOKUP($Q395,'Threshold Summary'!$Y:$Y,'Threshold Summary'!$L:$L,"")/5+2)*pow*atk/def)/50)+2)),modifier,stab*eff,FLOOR(base*modifier)),0)</f>
        <v/>
      </c>
      <c r="L395" s="3">
        <f>IFERROR(LET(mtype,XLOOKUP($D395,'Move Editor'!$B:$B,'Move Editor'!$C:$C,""),cat,XLOOKUP($D395,'Move Editor'!$B:$B,'Move Editor'!$D:$D,""),pow,XLOOKUP($D395,'Move Editor'!$B:$B,'Move Editor'!$E:$E,0),acc,XLOOKUP($D395,'Move Editor'!$B:$B,'Move Editor'!$F:$F,100),atk,IF(cat="Physical",FLOOR((FLOOR(((2*XLOOKUP(XLOOKUP($Q395,'Threshold Summary'!$Y:$Y,'Threshold Summary'!$K:$K,""),'Pokemon Editor'!$A:$A,'Pokemon Editor'!$F:$F,0)+31+FLOOR(XLOOKUP($Q395,'Threshold Summary'!$Y:$Y,'Threshold Summary'!$P:$P,"")/4))*XLOOKUP($Q395,'Threshold Summary'!$Y:$Y,'Threshold Summary'!$L:$L,""))/100)+5)*XLOOKUP(XLOOKUP($Q395,'Threshold Summary'!$Y:$Y,'Threshold Summary'!$M:$M,""),'Nature Editor'!$A:$A,'Nature Editor'!$B:$B,1)),FLOOR((FLOOR(((2*XLOOKUP(XLOOKUP($Q395,'Threshold Summary'!$Y:$Y,'Threshold Summary'!$K:$K,""),'Pokemon Editor'!$A:$A,'Pokemon Editor'!$H:$H,0)+31+FLOOR(XLOOKUP($Q395,'Threshold Summary'!$Y:$Y,'Threshold Summary'!$R:$R,"")/4))*XLOOKUP($Q395,'Threshold Summary'!$Y:$Y,'Threshold Summary'!$L:$L,""))/100)+5)*XLOOKUP(XLOOKUP($Q395,'Threshold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Editor'!$E:$E,1))),stab,IF(OR(mtype=XLOOKUP(XLOOKUP($Q395,'Threshold Summary'!$Y:$Y,'Threshold Summary'!$K:$K,""),'Pokemon Editor'!$A:$A,'Pokemon Editor'!$C:$C,""),mtype=XLOOKUP(XLOOKUP($Q395,'Threshold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Chart'!$B$1:$S$1,0)))),base,IF(OR(cat="Status",pow=0),0,FLOOR(FLOOR(FLOOR((2*XLOOKUP($Q395,'Threshold Summary'!$Y:$Y,'Threshold Summary'!$L:$L,"")/5+2)*pow*atk/def)/50)+2)),modifier,stab*eff,AVERAGE(ARRAYFORMULA(FLOOR(base*modifier*SEQUENCE(16,1,85,1)/100)))),0)</f>
        <v/>
      </c>
      <c r="M395" s="3">
        <f>IFERROR(LET(mtype,XLOOKUP($D395,'Move Editor'!$B:$B,'Move Editor'!$C:$C,""),cat,XLOOKUP($D395,'Move Editor'!$B:$B,'Move Editor'!$D:$D,""),pow,XLOOKUP($D395,'Move Editor'!$B:$B,'Move Editor'!$E:$E,0),acc,XLOOKUP($D395,'Move Editor'!$B:$B,'Move Editor'!$F:$F,100),atk,IF(cat="Physical",FLOOR((FLOOR(((2*XLOOKUP(XLOOKUP($Q395,'Threshold Summary'!$Y:$Y,'Threshold Summary'!$K:$K,""),'Pokemon Editor'!$A:$A,'Pokemon Editor'!$F:$F,0)+31+FLOOR(XLOOKUP($Q395,'Threshold Summary'!$Y:$Y,'Threshold Summary'!$P:$P,"")/4))*XLOOKUP($Q395,'Threshold Summary'!$Y:$Y,'Threshold Summary'!$L:$L,""))/100)+5)*XLOOKUP(XLOOKUP($Q395,'Threshold Summary'!$Y:$Y,'Threshold Summary'!$M:$M,""),'Nature Editor'!$A:$A,'Nature Editor'!$B:$B,1)),FLOOR((FLOOR(((2*XLOOKUP(XLOOKUP($Q395,'Threshold Summary'!$Y:$Y,'Threshold Summary'!$K:$K,""),'Pokemon Editor'!$A:$A,'Pokemon Editor'!$H:$H,0)+31+FLOOR(XLOOKUP($Q395,'Threshold Summary'!$Y:$Y,'Threshold Summary'!$R:$R,"")/4))*XLOOKUP($Q395,'Threshold Summary'!$Y:$Y,'Threshold Summary'!$L:$L,""))/100)+5)*XLOOKUP(XLOOKUP($Q395,'Threshold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Editor'!$E:$E,1))),stab,IF(OR(mtype=XLOOKUP(XLOOKUP($Q395,'Threshold Summary'!$Y:$Y,'Threshold Summary'!$K:$K,""),'Pokemon Editor'!$A:$A,'Pokemon Editor'!$C:$C,""),mtype=XLOOKUP(XLOOKUP($Q395,'Threshold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Chart'!$B$1:$S$1,0)))),base,IF(OR(cat="Status",pow=0),0,FLOOR(FLOOR(FLOOR((2*XLOOKUP($Q395,'Threshold Summary'!$Y:$Y,'Threshold Summary'!$L:$L,"")/5+2)*pow*atk/def)/50)+2)),modifier,stab*eff,AVERAGE(ARRAYFORMULA(FLOOR(base*modifier*SEQUENCE(16,1,85,1)/100)))*MIN(1,acc/100)),0)</f>
        <v/>
      </c>
      <c r="N395" s="4">
        <f>IFERROR(LET(mtype,XLOOKUP($D395,'Move Editor'!$B:$B,'Move Editor'!$C:$C,""),cat,XLOOKUP($D395,'Move Editor'!$B:$B,'Move Editor'!$D:$D,""),pow,XLOOKUP($D395,'Move Editor'!$B:$B,'Move Editor'!$E:$E,0),acc,XLOOKUP($D395,'Move Editor'!$B:$B,'Move Editor'!$F:$F,100),atk,IF(cat="Physical",FLOOR((FLOOR(((2*XLOOKUP(XLOOKUP($Q395,'Threshold Summary'!$Y:$Y,'Threshold Summary'!$K:$K,""),'Pokemon Editor'!$A:$A,'Pokemon Editor'!$F:$F,0)+31+FLOOR(XLOOKUP($Q395,'Threshold Summary'!$Y:$Y,'Threshold Summary'!$P:$P,"")/4))*XLOOKUP($Q395,'Threshold Summary'!$Y:$Y,'Threshold Summary'!$L:$L,""))/100)+5)*XLOOKUP(XLOOKUP($Q395,'Threshold Summary'!$Y:$Y,'Threshold Summary'!$M:$M,""),'Nature Editor'!$A:$A,'Nature Editor'!$B:$B,1)),FLOOR((FLOOR(((2*XLOOKUP(XLOOKUP($Q395,'Threshold Summary'!$Y:$Y,'Threshold Summary'!$K:$K,""),'Pokemon Editor'!$A:$A,'Pokemon Editor'!$H:$H,0)+31+FLOOR(XLOOKUP($Q395,'Threshold Summary'!$Y:$Y,'Threshold Summary'!$R:$R,"")/4))*XLOOKUP($Q395,'Threshold Summary'!$Y:$Y,'Threshold Summary'!$L:$L,""))/100)+5)*XLOOKUP(XLOOKUP($Q395,'Threshold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Editor'!$E:$E,1))),stab,IF(OR(mtype=XLOOKUP(XLOOKUP($Q395,'Threshold Summary'!$Y:$Y,'Threshold Summary'!$K:$K,""),'Pokemon Editor'!$A:$A,'Pokemon Editor'!$C:$C,""),mtype=XLOOKUP(XLOOKUP($Q395,'Threshold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Chart'!$B$1:$S$1,0)))),base,IF(OR(cat="Status",pow=0),0,FLOOR(FLOOR(FLOOR((2*XLOOKUP($Q395,'Threshold Summary'!$Y:$Y,'Threshold Summary'!$L:$L,"")/5+2)*pow*atk/def)/50)+2)),modifier,stab*eff,AVERAGE(ARRAYFORMULA(FLOOR(base*modifier*SEQUENCE(16,1,85,1)/100)))/(FLOOR(((2*XLOOKUP('Boss Editor'!$C$4,'Pokemon Editor'!$A:$A,'Pokemon Editor'!$E:$E,0)+31+FLOOR('Boss Editor'!$G$4/4))*'Boss Editor'!$D$4)/100)+'Boss Editor'!$D$4+10)),0)</f>
        <v/>
      </c>
      <c r="O395" s="3">
        <f>IF(N395&gt;=1,"OHKO",IF(N395&gt;=0.5,"2HKO",IF(N395&gt;=0.333,"3HKO",IF(N395&gt;=0.25,"4HKO","5HKO+"))))</f>
        <v/>
      </c>
      <c r="P395" s="3" t="inlineStr">
        <is>
          <t>Live from editable databases</t>
        </is>
      </c>
      <c r="Q395" s="3" t="inlineStr">
        <is>
          <t>SPECIES_DRIFLOON</t>
        </is>
      </c>
      <c r="R395" s="3" t="n">
        <v>10</v>
      </c>
    </row>
    <row r="396">
      <c r="A396" s="3">
        <f>XLOOKUP($Q396,'Threshold Summary'!$Y:$Y,'Threshold Summary'!$A:$A,"")</f>
        <v/>
      </c>
      <c r="B396" s="3">
        <f>XLOOKUP($Q396,'Threshold Summary'!$Y:$Y,'Threshold Summary'!$M:$M,"")</f>
        <v/>
      </c>
      <c r="C396" s="3">
        <f>XLOOKUP($Q396,'Threshold Summary'!$Y:$Y,'Threshold Summary'!$N:$N,"")</f>
        <v/>
      </c>
      <c r="D396" s="3">
        <f>IFERROR(INDEX(FILTER('Learnset Editor'!$D$2:$D,'Learnset Editor'!$A$2:$A=XLOOKUP($Q396,'Threshold Summary'!$Y:$Y,'Threshold Summary'!$K:$K,""),'Learnset Editor'!$C$2:$C&lt;=XLOOKUP($Q396,'Threshold Summary'!$Y:$Y,'Threshold Summary'!$L:$L,"")),$R396),"")</f>
        <v/>
      </c>
      <c r="E396" s="3">
        <f>XLOOKUP(D396,'Move Editor'!$B:$B,'Move Editor'!$C:$C,"")</f>
        <v/>
      </c>
      <c r="F396" s="3">
        <f>XLOOKUP(D396,'Move Editor'!$B:$B,'Move Editor'!$D:$D,"")</f>
        <v/>
      </c>
      <c r="G396" s="3">
        <f>XLOOKUP(D396,'Move Editor'!$B:$B,'Move Editor'!$E:$E,0)</f>
        <v/>
      </c>
      <c r="H396" s="3">
        <f>XLOOKUP(D396,'Move Editor'!$B:$B,'Move Editor'!$F:$F,0)</f>
        <v/>
      </c>
      <c r="I396" s="3">
        <f>(INDEX('Type Chart'!$B:$S,MATCH(E396,'Type Chart'!$A:$A,0),MATCH(XLOOKUP('Boss Editor'!$C$4,'Pokemon Editor'!$A:$A,'Pokemon Editor'!$C:$C,""),'Type Chart'!$B$1:$S$1,0))*IF(XLOOKUP('Boss Editor'!$C$4,'Pokemon Editor'!$A:$A,'Pokemon Editor'!$D:$D,"")="",1,INDEX('Type Chart'!$B:$S,MATCH(E396,'Type Chart'!$A:$A,0),MATCH(XLOOKUP('Boss Editor'!$C$4,'Pokemon Editor'!$A:$A,'Pokemon Editor'!$D:$D,""),'Type Chart'!$B$1:$S$1,0))))</f>
        <v/>
      </c>
      <c r="J396" s="3">
        <f>IFERROR(LET(mtype,XLOOKUP($D396,'Move Editor'!$B:$B,'Move Editor'!$C:$C,""),cat,XLOOKUP($D396,'Move Editor'!$B:$B,'Move Editor'!$D:$D,""),pow,XLOOKUP($D396,'Move Editor'!$B:$B,'Move Editor'!$E:$E,0),acc,XLOOKUP($D396,'Move Editor'!$B:$B,'Move Editor'!$F:$F,100),atk,IF(cat="Physical",FLOOR((FLOOR(((2*XLOOKUP(XLOOKUP($Q396,'Threshold Summary'!$Y:$Y,'Threshold Summary'!$K:$K,""),'Pokemon Editor'!$A:$A,'Pokemon Editor'!$F:$F,0)+31+FLOOR(XLOOKUP($Q396,'Threshold Summary'!$Y:$Y,'Threshold Summary'!$P:$P,"")/4))*XLOOKUP($Q396,'Threshold Summary'!$Y:$Y,'Threshold Summary'!$L:$L,""))/100)+5)*XLOOKUP(XLOOKUP($Q396,'Threshold Summary'!$Y:$Y,'Threshold Summary'!$M:$M,""),'Nature Editor'!$A:$A,'Nature Editor'!$B:$B,1)),FLOOR((FLOOR(((2*XLOOKUP(XLOOKUP($Q396,'Threshold Summary'!$Y:$Y,'Threshold Summary'!$K:$K,""),'Pokemon Editor'!$A:$A,'Pokemon Editor'!$H:$H,0)+31+FLOOR(XLOOKUP($Q396,'Threshold Summary'!$Y:$Y,'Threshold Summary'!$R:$R,"")/4))*XLOOKUP($Q396,'Threshold Summary'!$Y:$Y,'Threshold Summary'!$L:$L,""))/100)+5)*XLOOKUP(XLOOKUP($Q396,'Threshold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Editor'!$E:$E,1))),stab,IF(OR(mtype=XLOOKUP(XLOOKUP($Q396,'Threshold Summary'!$Y:$Y,'Threshold Summary'!$K:$K,""),'Pokemon Editor'!$A:$A,'Pokemon Editor'!$C:$C,""),mtype=XLOOKUP(XLOOKUP($Q396,'Threshold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Chart'!$B$1:$S$1,0)))),base,IF(OR(cat="Status",pow=0),0,FLOOR(FLOOR(FLOOR((2*XLOOKUP($Q396,'Threshold Summary'!$Y:$Y,'Threshold Summary'!$L:$L,"")/5+2)*pow*atk/def)/50)+2)),modifier,stab*eff,FLOOR(base*modifier*0.85)),0)</f>
        <v/>
      </c>
      <c r="K396" s="3">
        <f>IFERROR(LET(mtype,XLOOKUP($D396,'Move Editor'!$B:$B,'Move Editor'!$C:$C,""),cat,XLOOKUP($D396,'Move Editor'!$B:$B,'Move Editor'!$D:$D,""),pow,XLOOKUP($D396,'Move Editor'!$B:$B,'Move Editor'!$E:$E,0),acc,XLOOKUP($D396,'Move Editor'!$B:$B,'Move Editor'!$F:$F,100),atk,IF(cat="Physical",FLOOR((FLOOR(((2*XLOOKUP(XLOOKUP($Q396,'Threshold Summary'!$Y:$Y,'Threshold Summary'!$K:$K,""),'Pokemon Editor'!$A:$A,'Pokemon Editor'!$F:$F,0)+31+FLOOR(XLOOKUP($Q396,'Threshold Summary'!$Y:$Y,'Threshold Summary'!$P:$P,"")/4))*XLOOKUP($Q396,'Threshold Summary'!$Y:$Y,'Threshold Summary'!$L:$L,""))/100)+5)*XLOOKUP(XLOOKUP($Q396,'Threshold Summary'!$Y:$Y,'Threshold Summary'!$M:$M,""),'Nature Editor'!$A:$A,'Nature Editor'!$B:$B,1)),FLOOR((FLOOR(((2*XLOOKUP(XLOOKUP($Q396,'Threshold Summary'!$Y:$Y,'Threshold Summary'!$K:$K,""),'Pokemon Editor'!$A:$A,'Pokemon Editor'!$H:$H,0)+31+FLOOR(XLOOKUP($Q396,'Threshold Summary'!$Y:$Y,'Threshold Summary'!$R:$R,"")/4))*XLOOKUP($Q396,'Threshold Summary'!$Y:$Y,'Threshold Summary'!$L:$L,""))/100)+5)*XLOOKUP(XLOOKUP($Q396,'Threshold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Editor'!$E:$E,1))),stab,IF(OR(mtype=XLOOKUP(XLOOKUP($Q396,'Threshold Summary'!$Y:$Y,'Threshold Summary'!$K:$K,""),'Pokemon Editor'!$A:$A,'Pokemon Editor'!$C:$C,""),mtype=XLOOKUP(XLOOKUP($Q396,'Threshold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Chart'!$B$1:$S$1,0)))),base,IF(OR(cat="Status",pow=0),0,FLOOR(FLOOR(FLOOR((2*XLOOKUP($Q396,'Threshold Summary'!$Y:$Y,'Threshold Summary'!$L:$L,"")/5+2)*pow*atk/def)/50)+2)),modifier,stab*eff,FLOOR(base*modifier)),0)</f>
        <v/>
      </c>
      <c r="L396" s="3">
        <f>IFERROR(LET(mtype,XLOOKUP($D396,'Move Editor'!$B:$B,'Move Editor'!$C:$C,""),cat,XLOOKUP($D396,'Move Editor'!$B:$B,'Move Editor'!$D:$D,""),pow,XLOOKUP($D396,'Move Editor'!$B:$B,'Move Editor'!$E:$E,0),acc,XLOOKUP($D396,'Move Editor'!$B:$B,'Move Editor'!$F:$F,100),atk,IF(cat="Physical",FLOOR((FLOOR(((2*XLOOKUP(XLOOKUP($Q396,'Threshold Summary'!$Y:$Y,'Threshold Summary'!$K:$K,""),'Pokemon Editor'!$A:$A,'Pokemon Editor'!$F:$F,0)+31+FLOOR(XLOOKUP($Q396,'Threshold Summary'!$Y:$Y,'Threshold Summary'!$P:$P,"")/4))*XLOOKUP($Q396,'Threshold Summary'!$Y:$Y,'Threshold Summary'!$L:$L,""))/100)+5)*XLOOKUP(XLOOKUP($Q396,'Threshold Summary'!$Y:$Y,'Threshold Summary'!$M:$M,""),'Nature Editor'!$A:$A,'Nature Editor'!$B:$B,1)),FLOOR((FLOOR(((2*XLOOKUP(XLOOKUP($Q396,'Threshold Summary'!$Y:$Y,'Threshold Summary'!$K:$K,""),'Pokemon Editor'!$A:$A,'Pokemon Editor'!$H:$H,0)+31+FLOOR(XLOOKUP($Q396,'Threshold Summary'!$Y:$Y,'Threshold Summary'!$R:$R,"")/4))*XLOOKUP($Q396,'Threshold Summary'!$Y:$Y,'Threshold Summary'!$L:$L,""))/100)+5)*XLOOKUP(XLOOKUP($Q396,'Threshold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Editor'!$E:$E,1))),stab,IF(OR(mtype=XLOOKUP(XLOOKUP($Q396,'Threshold Summary'!$Y:$Y,'Threshold Summary'!$K:$K,""),'Pokemon Editor'!$A:$A,'Pokemon Editor'!$C:$C,""),mtype=XLOOKUP(XLOOKUP($Q396,'Threshold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Chart'!$B$1:$S$1,0)))),base,IF(OR(cat="Status",pow=0),0,FLOOR(FLOOR(FLOOR((2*XLOOKUP($Q396,'Threshold Summary'!$Y:$Y,'Threshold Summary'!$L:$L,"")/5+2)*pow*atk/def)/50)+2)),modifier,stab*eff,AVERAGE(ARRAYFORMULA(FLOOR(base*modifier*SEQUENCE(16,1,85,1)/100)))),0)</f>
        <v/>
      </c>
      <c r="M396" s="3">
        <f>IFERROR(LET(mtype,XLOOKUP($D396,'Move Editor'!$B:$B,'Move Editor'!$C:$C,""),cat,XLOOKUP($D396,'Move Editor'!$B:$B,'Move Editor'!$D:$D,""),pow,XLOOKUP($D396,'Move Editor'!$B:$B,'Move Editor'!$E:$E,0),acc,XLOOKUP($D396,'Move Editor'!$B:$B,'Move Editor'!$F:$F,100),atk,IF(cat="Physical",FLOOR((FLOOR(((2*XLOOKUP(XLOOKUP($Q396,'Threshold Summary'!$Y:$Y,'Threshold Summary'!$K:$K,""),'Pokemon Editor'!$A:$A,'Pokemon Editor'!$F:$F,0)+31+FLOOR(XLOOKUP($Q396,'Threshold Summary'!$Y:$Y,'Threshold Summary'!$P:$P,"")/4))*XLOOKUP($Q396,'Threshold Summary'!$Y:$Y,'Threshold Summary'!$L:$L,""))/100)+5)*XLOOKUP(XLOOKUP($Q396,'Threshold Summary'!$Y:$Y,'Threshold Summary'!$M:$M,""),'Nature Editor'!$A:$A,'Nature Editor'!$B:$B,1)),FLOOR((FLOOR(((2*XLOOKUP(XLOOKUP($Q396,'Threshold Summary'!$Y:$Y,'Threshold Summary'!$K:$K,""),'Pokemon Editor'!$A:$A,'Pokemon Editor'!$H:$H,0)+31+FLOOR(XLOOKUP($Q396,'Threshold Summary'!$Y:$Y,'Threshold Summary'!$R:$R,"")/4))*XLOOKUP($Q396,'Threshold Summary'!$Y:$Y,'Threshold Summary'!$L:$L,""))/100)+5)*XLOOKUP(XLOOKUP($Q396,'Threshold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Editor'!$E:$E,1))),stab,IF(OR(mtype=XLOOKUP(XLOOKUP($Q396,'Threshold Summary'!$Y:$Y,'Threshold Summary'!$K:$K,""),'Pokemon Editor'!$A:$A,'Pokemon Editor'!$C:$C,""),mtype=XLOOKUP(XLOOKUP($Q396,'Threshold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Chart'!$B$1:$S$1,0)))),base,IF(OR(cat="Status",pow=0),0,FLOOR(FLOOR(FLOOR((2*XLOOKUP($Q396,'Threshold Summary'!$Y:$Y,'Threshold Summary'!$L:$L,"")/5+2)*pow*atk/def)/50)+2)),modifier,stab*eff,AVERAGE(ARRAYFORMULA(FLOOR(base*modifier*SEQUENCE(16,1,85,1)/100)))*MIN(1,acc/100)),0)</f>
        <v/>
      </c>
      <c r="N396" s="4">
        <f>IFERROR(LET(mtype,XLOOKUP($D396,'Move Editor'!$B:$B,'Move Editor'!$C:$C,""),cat,XLOOKUP($D396,'Move Editor'!$B:$B,'Move Editor'!$D:$D,""),pow,XLOOKUP($D396,'Move Editor'!$B:$B,'Move Editor'!$E:$E,0),acc,XLOOKUP($D396,'Move Editor'!$B:$B,'Move Editor'!$F:$F,100),atk,IF(cat="Physical",FLOOR((FLOOR(((2*XLOOKUP(XLOOKUP($Q396,'Threshold Summary'!$Y:$Y,'Threshold Summary'!$K:$K,""),'Pokemon Editor'!$A:$A,'Pokemon Editor'!$F:$F,0)+31+FLOOR(XLOOKUP($Q396,'Threshold Summary'!$Y:$Y,'Threshold Summary'!$P:$P,"")/4))*XLOOKUP($Q396,'Threshold Summary'!$Y:$Y,'Threshold Summary'!$L:$L,""))/100)+5)*XLOOKUP(XLOOKUP($Q396,'Threshold Summary'!$Y:$Y,'Threshold Summary'!$M:$M,""),'Nature Editor'!$A:$A,'Nature Editor'!$B:$B,1)),FLOOR((FLOOR(((2*XLOOKUP(XLOOKUP($Q396,'Threshold Summary'!$Y:$Y,'Threshold Summary'!$K:$K,""),'Pokemon Editor'!$A:$A,'Pokemon Editor'!$H:$H,0)+31+FLOOR(XLOOKUP($Q396,'Threshold Summary'!$Y:$Y,'Threshold Summary'!$R:$R,"")/4))*XLOOKUP($Q396,'Threshold Summary'!$Y:$Y,'Threshold Summary'!$L:$L,""))/100)+5)*XLOOKUP(XLOOKUP($Q396,'Threshold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Editor'!$E:$E,1))),stab,IF(OR(mtype=XLOOKUP(XLOOKUP($Q396,'Threshold Summary'!$Y:$Y,'Threshold Summary'!$K:$K,""),'Pokemon Editor'!$A:$A,'Pokemon Editor'!$C:$C,""),mtype=XLOOKUP(XLOOKUP($Q396,'Threshold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Chart'!$B$1:$S$1,0)))),base,IF(OR(cat="Status",pow=0),0,FLOOR(FLOOR(FLOOR((2*XLOOKUP($Q396,'Threshold Summary'!$Y:$Y,'Threshold Summary'!$L:$L,"")/5+2)*pow*atk/def)/50)+2)),modifier,stab*eff,AVERAGE(ARRAYFORMULA(FLOOR(base*modifier*SEQUENCE(16,1,85,1)/100)))/(FLOOR(((2*XLOOKUP('Boss Editor'!$C$4,'Pokemon Editor'!$A:$A,'Pokemon Editor'!$E:$E,0)+31+FLOOR('Boss Editor'!$G$4/4))*'Boss Editor'!$D$4)/100)+'Boss Editor'!$D$4+10)),0)</f>
        <v/>
      </c>
      <c r="O396" s="3">
        <f>IF(N396&gt;=1,"OHKO",IF(N396&gt;=0.5,"2HKO",IF(N396&gt;=0.333,"3HKO",IF(N396&gt;=0.25,"4HKO","5HKO+"))))</f>
        <v/>
      </c>
      <c r="P396" s="3" t="inlineStr">
        <is>
          <t>Live from editable databases</t>
        </is>
      </c>
      <c r="Q396" s="3" t="inlineStr">
        <is>
          <t>SPECIES_DRIFLOON</t>
        </is>
      </c>
      <c r="R396" s="3" t="n">
        <v>11</v>
      </c>
    </row>
    <row r="397">
      <c r="A397" s="3">
        <f>XLOOKUP($Q397,'Threshold Summary'!$Y:$Y,'Threshold Summary'!$A:$A,"")</f>
        <v/>
      </c>
      <c r="B397" s="3">
        <f>XLOOKUP($Q397,'Threshold Summary'!$Y:$Y,'Threshold Summary'!$M:$M,"")</f>
        <v/>
      </c>
      <c r="C397" s="3">
        <f>XLOOKUP($Q397,'Threshold Summary'!$Y:$Y,'Threshold Summary'!$N:$N,"")</f>
        <v/>
      </c>
      <c r="D397" s="3">
        <f>IFERROR(INDEX(FILTER('Learnset Editor'!$D$2:$D,'Learnset Editor'!$A$2:$A=XLOOKUP($Q397,'Threshold Summary'!$Y:$Y,'Threshold Summary'!$K:$K,""),'Learnset Editor'!$C$2:$C&lt;=XLOOKUP($Q397,'Threshold Summary'!$Y:$Y,'Threshold Summary'!$L:$L,"")),$R397),"")</f>
        <v/>
      </c>
      <c r="E397" s="3">
        <f>XLOOKUP(D397,'Move Editor'!$B:$B,'Move Editor'!$C:$C,"")</f>
        <v/>
      </c>
      <c r="F397" s="3">
        <f>XLOOKUP(D397,'Move Editor'!$B:$B,'Move Editor'!$D:$D,"")</f>
        <v/>
      </c>
      <c r="G397" s="3">
        <f>XLOOKUP(D397,'Move Editor'!$B:$B,'Move Editor'!$E:$E,0)</f>
        <v/>
      </c>
      <c r="H397" s="3">
        <f>XLOOKUP(D397,'Move Editor'!$B:$B,'Move Editor'!$F:$F,0)</f>
        <v/>
      </c>
      <c r="I397" s="3">
        <f>(INDEX('Type Chart'!$B:$S,MATCH(E397,'Type Chart'!$A:$A,0),MATCH(XLOOKUP('Boss Editor'!$C$4,'Pokemon Editor'!$A:$A,'Pokemon Editor'!$C:$C,""),'Type Chart'!$B$1:$S$1,0))*IF(XLOOKUP('Boss Editor'!$C$4,'Pokemon Editor'!$A:$A,'Pokemon Editor'!$D:$D,"")="",1,INDEX('Type Chart'!$B:$S,MATCH(E397,'Type Chart'!$A:$A,0),MATCH(XLOOKUP('Boss Editor'!$C$4,'Pokemon Editor'!$A:$A,'Pokemon Editor'!$D:$D,""),'Type Chart'!$B$1:$S$1,0))))</f>
        <v/>
      </c>
      <c r="J397" s="3">
        <f>IFERROR(LET(mtype,XLOOKUP($D397,'Move Editor'!$B:$B,'Move Editor'!$C:$C,""),cat,XLOOKUP($D397,'Move Editor'!$B:$B,'Move Editor'!$D:$D,""),pow,XLOOKUP($D397,'Move Editor'!$B:$B,'Move Editor'!$E:$E,0),acc,XLOOKUP($D397,'Move Editor'!$B:$B,'Move Editor'!$F:$F,100),atk,IF(cat="Physical",FLOOR((FLOOR(((2*XLOOKUP(XLOOKUP($Q397,'Threshold Summary'!$Y:$Y,'Threshold Summary'!$K:$K,""),'Pokemon Editor'!$A:$A,'Pokemon Editor'!$F:$F,0)+31+FLOOR(XLOOKUP($Q397,'Threshold Summary'!$Y:$Y,'Threshold Summary'!$P:$P,"")/4))*XLOOKUP($Q397,'Threshold Summary'!$Y:$Y,'Threshold Summary'!$L:$L,""))/100)+5)*XLOOKUP(XLOOKUP($Q397,'Threshold Summary'!$Y:$Y,'Threshold Summary'!$M:$M,""),'Nature Editor'!$A:$A,'Nature Editor'!$B:$B,1)),FLOOR((FLOOR(((2*XLOOKUP(XLOOKUP($Q397,'Threshold Summary'!$Y:$Y,'Threshold Summary'!$K:$K,""),'Pokemon Editor'!$A:$A,'Pokemon Editor'!$H:$H,0)+31+FLOOR(XLOOKUP($Q397,'Threshold Summary'!$Y:$Y,'Threshold Summary'!$R:$R,"")/4))*XLOOKUP($Q397,'Threshold Summary'!$Y:$Y,'Threshold Summary'!$L:$L,""))/100)+5)*XLOOKUP(XLOOKUP($Q397,'Threshold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Editor'!$E:$E,1))),stab,IF(OR(mtype=XLOOKUP(XLOOKUP($Q397,'Threshold Summary'!$Y:$Y,'Threshold Summary'!$K:$K,""),'Pokemon Editor'!$A:$A,'Pokemon Editor'!$C:$C,""),mtype=XLOOKUP(XLOOKUP($Q397,'Threshold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Chart'!$B$1:$S$1,0)))),base,IF(OR(cat="Status",pow=0),0,FLOOR(FLOOR(FLOOR((2*XLOOKUP($Q397,'Threshold Summary'!$Y:$Y,'Threshold Summary'!$L:$L,"")/5+2)*pow*atk/def)/50)+2)),modifier,stab*eff,FLOOR(base*modifier*0.85)),0)</f>
        <v/>
      </c>
      <c r="K397" s="3">
        <f>IFERROR(LET(mtype,XLOOKUP($D397,'Move Editor'!$B:$B,'Move Editor'!$C:$C,""),cat,XLOOKUP($D397,'Move Editor'!$B:$B,'Move Editor'!$D:$D,""),pow,XLOOKUP($D397,'Move Editor'!$B:$B,'Move Editor'!$E:$E,0),acc,XLOOKUP($D397,'Move Editor'!$B:$B,'Move Editor'!$F:$F,100),atk,IF(cat="Physical",FLOOR((FLOOR(((2*XLOOKUP(XLOOKUP($Q397,'Threshold Summary'!$Y:$Y,'Threshold Summary'!$K:$K,""),'Pokemon Editor'!$A:$A,'Pokemon Editor'!$F:$F,0)+31+FLOOR(XLOOKUP($Q397,'Threshold Summary'!$Y:$Y,'Threshold Summary'!$P:$P,"")/4))*XLOOKUP($Q397,'Threshold Summary'!$Y:$Y,'Threshold Summary'!$L:$L,""))/100)+5)*XLOOKUP(XLOOKUP($Q397,'Threshold Summary'!$Y:$Y,'Threshold Summary'!$M:$M,""),'Nature Editor'!$A:$A,'Nature Editor'!$B:$B,1)),FLOOR((FLOOR(((2*XLOOKUP(XLOOKUP($Q397,'Threshold Summary'!$Y:$Y,'Threshold Summary'!$K:$K,""),'Pokemon Editor'!$A:$A,'Pokemon Editor'!$H:$H,0)+31+FLOOR(XLOOKUP($Q397,'Threshold Summary'!$Y:$Y,'Threshold Summary'!$R:$R,"")/4))*XLOOKUP($Q397,'Threshold Summary'!$Y:$Y,'Threshold Summary'!$L:$L,""))/100)+5)*XLOOKUP(XLOOKUP($Q397,'Threshold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Editor'!$E:$E,1))),stab,IF(OR(mtype=XLOOKUP(XLOOKUP($Q397,'Threshold Summary'!$Y:$Y,'Threshold Summary'!$K:$K,""),'Pokemon Editor'!$A:$A,'Pokemon Editor'!$C:$C,""),mtype=XLOOKUP(XLOOKUP($Q397,'Threshold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Chart'!$B$1:$S$1,0)))),base,IF(OR(cat="Status",pow=0),0,FLOOR(FLOOR(FLOOR((2*XLOOKUP($Q397,'Threshold Summary'!$Y:$Y,'Threshold Summary'!$L:$L,"")/5+2)*pow*atk/def)/50)+2)),modifier,stab*eff,FLOOR(base*modifier)),0)</f>
        <v/>
      </c>
      <c r="L397" s="3">
        <f>IFERROR(LET(mtype,XLOOKUP($D397,'Move Editor'!$B:$B,'Move Editor'!$C:$C,""),cat,XLOOKUP($D397,'Move Editor'!$B:$B,'Move Editor'!$D:$D,""),pow,XLOOKUP($D397,'Move Editor'!$B:$B,'Move Editor'!$E:$E,0),acc,XLOOKUP($D397,'Move Editor'!$B:$B,'Move Editor'!$F:$F,100),atk,IF(cat="Physical",FLOOR((FLOOR(((2*XLOOKUP(XLOOKUP($Q397,'Threshold Summary'!$Y:$Y,'Threshold Summary'!$K:$K,""),'Pokemon Editor'!$A:$A,'Pokemon Editor'!$F:$F,0)+31+FLOOR(XLOOKUP($Q397,'Threshold Summary'!$Y:$Y,'Threshold Summary'!$P:$P,"")/4))*XLOOKUP($Q397,'Threshold Summary'!$Y:$Y,'Threshold Summary'!$L:$L,""))/100)+5)*XLOOKUP(XLOOKUP($Q397,'Threshold Summary'!$Y:$Y,'Threshold Summary'!$M:$M,""),'Nature Editor'!$A:$A,'Nature Editor'!$B:$B,1)),FLOOR((FLOOR(((2*XLOOKUP(XLOOKUP($Q397,'Threshold Summary'!$Y:$Y,'Threshold Summary'!$K:$K,""),'Pokemon Editor'!$A:$A,'Pokemon Editor'!$H:$H,0)+31+FLOOR(XLOOKUP($Q397,'Threshold Summary'!$Y:$Y,'Threshold Summary'!$R:$R,"")/4))*XLOOKUP($Q397,'Threshold Summary'!$Y:$Y,'Threshold Summary'!$L:$L,""))/100)+5)*XLOOKUP(XLOOKUP($Q397,'Threshold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Editor'!$E:$E,1))),stab,IF(OR(mtype=XLOOKUP(XLOOKUP($Q397,'Threshold Summary'!$Y:$Y,'Threshold Summary'!$K:$K,""),'Pokemon Editor'!$A:$A,'Pokemon Editor'!$C:$C,""),mtype=XLOOKUP(XLOOKUP($Q397,'Threshold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Chart'!$B$1:$S$1,0)))),base,IF(OR(cat="Status",pow=0),0,FLOOR(FLOOR(FLOOR((2*XLOOKUP($Q397,'Threshold Summary'!$Y:$Y,'Threshold Summary'!$L:$L,"")/5+2)*pow*atk/def)/50)+2)),modifier,stab*eff,AVERAGE(ARRAYFORMULA(FLOOR(base*modifier*SEQUENCE(16,1,85,1)/100)))),0)</f>
        <v/>
      </c>
      <c r="M397" s="3">
        <f>IFERROR(LET(mtype,XLOOKUP($D397,'Move Editor'!$B:$B,'Move Editor'!$C:$C,""),cat,XLOOKUP($D397,'Move Editor'!$B:$B,'Move Editor'!$D:$D,""),pow,XLOOKUP($D397,'Move Editor'!$B:$B,'Move Editor'!$E:$E,0),acc,XLOOKUP($D397,'Move Editor'!$B:$B,'Move Editor'!$F:$F,100),atk,IF(cat="Physical",FLOOR((FLOOR(((2*XLOOKUP(XLOOKUP($Q397,'Threshold Summary'!$Y:$Y,'Threshold Summary'!$K:$K,""),'Pokemon Editor'!$A:$A,'Pokemon Editor'!$F:$F,0)+31+FLOOR(XLOOKUP($Q397,'Threshold Summary'!$Y:$Y,'Threshold Summary'!$P:$P,"")/4))*XLOOKUP($Q397,'Threshold Summary'!$Y:$Y,'Threshold Summary'!$L:$L,""))/100)+5)*XLOOKUP(XLOOKUP($Q397,'Threshold Summary'!$Y:$Y,'Threshold Summary'!$M:$M,""),'Nature Editor'!$A:$A,'Nature Editor'!$B:$B,1)),FLOOR((FLOOR(((2*XLOOKUP(XLOOKUP($Q397,'Threshold Summary'!$Y:$Y,'Threshold Summary'!$K:$K,""),'Pokemon Editor'!$A:$A,'Pokemon Editor'!$H:$H,0)+31+FLOOR(XLOOKUP($Q397,'Threshold Summary'!$Y:$Y,'Threshold Summary'!$R:$R,"")/4))*XLOOKUP($Q397,'Threshold Summary'!$Y:$Y,'Threshold Summary'!$L:$L,""))/100)+5)*XLOOKUP(XLOOKUP($Q397,'Threshold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Editor'!$E:$E,1))),stab,IF(OR(mtype=XLOOKUP(XLOOKUP($Q397,'Threshold Summary'!$Y:$Y,'Threshold Summary'!$K:$K,""),'Pokemon Editor'!$A:$A,'Pokemon Editor'!$C:$C,""),mtype=XLOOKUP(XLOOKUP($Q397,'Threshold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Chart'!$B$1:$S$1,0)))),base,IF(OR(cat="Status",pow=0),0,FLOOR(FLOOR(FLOOR((2*XLOOKUP($Q397,'Threshold Summary'!$Y:$Y,'Threshold Summary'!$L:$L,"")/5+2)*pow*atk/def)/50)+2)),modifier,stab*eff,AVERAGE(ARRAYFORMULA(FLOOR(base*modifier*SEQUENCE(16,1,85,1)/100)))*MIN(1,acc/100)),0)</f>
        <v/>
      </c>
      <c r="N397" s="4">
        <f>IFERROR(LET(mtype,XLOOKUP($D397,'Move Editor'!$B:$B,'Move Editor'!$C:$C,""),cat,XLOOKUP($D397,'Move Editor'!$B:$B,'Move Editor'!$D:$D,""),pow,XLOOKUP($D397,'Move Editor'!$B:$B,'Move Editor'!$E:$E,0),acc,XLOOKUP($D397,'Move Editor'!$B:$B,'Move Editor'!$F:$F,100),atk,IF(cat="Physical",FLOOR((FLOOR(((2*XLOOKUP(XLOOKUP($Q397,'Threshold Summary'!$Y:$Y,'Threshold Summary'!$K:$K,""),'Pokemon Editor'!$A:$A,'Pokemon Editor'!$F:$F,0)+31+FLOOR(XLOOKUP($Q397,'Threshold Summary'!$Y:$Y,'Threshold Summary'!$P:$P,"")/4))*XLOOKUP($Q397,'Threshold Summary'!$Y:$Y,'Threshold Summary'!$L:$L,""))/100)+5)*XLOOKUP(XLOOKUP($Q397,'Threshold Summary'!$Y:$Y,'Threshold Summary'!$M:$M,""),'Nature Editor'!$A:$A,'Nature Editor'!$B:$B,1)),FLOOR((FLOOR(((2*XLOOKUP(XLOOKUP($Q397,'Threshold Summary'!$Y:$Y,'Threshold Summary'!$K:$K,""),'Pokemon Editor'!$A:$A,'Pokemon Editor'!$H:$H,0)+31+FLOOR(XLOOKUP($Q397,'Threshold Summary'!$Y:$Y,'Threshold Summary'!$R:$R,"")/4))*XLOOKUP($Q397,'Threshold Summary'!$Y:$Y,'Threshold Summary'!$L:$L,""))/100)+5)*XLOOKUP(XLOOKUP($Q397,'Threshold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Editor'!$E:$E,1))),stab,IF(OR(mtype=XLOOKUP(XLOOKUP($Q397,'Threshold Summary'!$Y:$Y,'Threshold Summary'!$K:$K,""),'Pokemon Editor'!$A:$A,'Pokemon Editor'!$C:$C,""),mtype=XLOOKUP(XLOOKUP($Q397,'Threshold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Chart'!$B$1:$S$1,0)))),base,IF(OR(cat="Status",pow=0),0,FLOOR(FLOOR(FLOOR((2*XLOOKUP($Q397,'Threshold Summary'!$Y:$Y,'Threshold Summary'!$L:$L,"")/5+2)*pow*atk/def)/50)+2)),modifier,stab*eff,AVERAGE(ARRAYFORMULA(FLOOR(base*modifier*SEQUENCE(16,1,85,1)/100)))/(FLOOR(((2*XLOOKUP('Boss Editor'!$C$4,'Pokemon Editor'!$A:$A,'Pokemon Editor'!$E:$E,0)+31+FLOOR('Boss Editor'!$G$4/4))*'Boss Editor'!$D$4)/100)+'Boss Editor'!$D$4+10)),0)</f>
        <v/>
      </c>
      <c r="O397" s="3">
        <f>IF(N397&gt;=1,"OHKO",IF(N397&gt;=0.5,"2HKO",IF(N397&gt;=0.333,"3HKO",IF(N397&gt;=0.25,"4HKO","5HKO+"))))</f>
        <v/>
      </c>
      <c r="P397" s="3" t="inlineStr">
        <is>
          <t>Live from editable databases</t>
        </is>
      </c>
      <c r="Q397" s="3" t="inlineStr">
        <is>
          <t>SPECIES_DRIFLOON</t>
        </is>
      </c>
      <c r="R397" s="3" t="n">
        <v>12</v>
      </c>
    </row>
    <row r="398">
      <c r="A398" s="3">
        <f>XLOOKUP($Q398,'Threshold Summary'!$Y:$Y,'Threshold Summary'!$A:$A,"")</f>
        <v/>
      </c>
      <c r="B398" s="3">
        <f>XLOOKUP($Q398,'Threshold Summary'!$Y:$Y,'Threshold Summary'!$M:$M,"")</f>
        <v/>
      </c>
      <c r="C398" s="3">
        <f>XLOOKUP($Q398,'Threshold Summary'!$Y:$Y,'Threshold Summary'!$N:$N,"")</f>
        <v/>
      </c>
      <c r="D398" s="3">
        <f>IFERROR(INDEX(FILTER('Learnset Editor'!$D$2:$D,'Learnset Editor'!$A$2:$A=XLOOKUP($Q398,'Threshold Summary'!$Y:$Y,'Threshold Summary'!$K:$K,""),'Learnset Editor'!$C$2:$C&lt;=XLOOKUP($Q398,'Threshold Summary'!$Y:$Y,'Threshold Summary'!$L:$L,"")),$R398),"")</f>
        <v/>
      </c>
      <c r="E398" s="3">
        <f>XLOOKUP(D398,'Move Editor'!$B:$B,'Move Editor'!$C:$C,"")</f>
        <v/>
      </c>
      <c r="F398" s="3">
        <f>XLOOKUP(D398,'Move Editor'!$B:$B,'Move Editor'!$D:$D,"")</f>
        <v/>
      </c>
      <c r="G398" s="3">
        <f>XLOOKUP(D398,'Move Editor'!$B:$B,'Move Editor'!$E:$E,0)</f>
        <v/>
      </c>
      <c r="H398" s="3">
        <f>XLOOKUP(D398,'Move Editor'!$B:$B,'Move Editor'!$F:$F,0)</f>
        <v/>
      </c>
      <c r="I398" s="3">
        <f>(INDEX('Type Chart'!$B:$S,MATCH(E398,'Type Chart'!$A:$A,0),MATCH(XLOOKUP('Boss Editor'!$C$4,'Pokemon Editor'!$A:$A,'Pokemon Editor'!$C:$C,""),'Type Chart'!$B$1:$S$1,0))*IF(XLOOKUP('Boss Editor'!$C$4,'Pokemon Editor'!$A:$A,'Pokemon Editor'!$D:$D,"")="",1,INDEX('Type Chart'!$B:$S,MATCH(E398,'Type Chart'!$A:$A,0),MATCH(XLOOKUP('Boss Editor'!$C$4,'Pokemon Editor'!$A:$A,'Pokemon Editor'!$D:$D,""),'Type Chart'!$B$1:$S$1,0))))</f>
        <v/>
      </c>
      <c r="J398" s="3">
        <f>IFERROR(LET(mtype,XLOOKUP($D398,'Move Editor'!$B:$B,'Move Editor'!$C:$C,""),cat,XLOOKUP($D398,'Move Editor'!$B:$B,'Move Editor'!$D:$D,""),pow,XLOOKUP($D398,'Move Editor'!$B:$B,'Move Editor'!$E:$E,0),acc,XLOOKUP($D398,'Move Editor'!$B:$B,'Move Editor'!$F:$F,100),atk,IF(cat="Physical",FLOOR((FLOOR(((2*XLOOKUP(XLOOKUP($Q398,'Threshold Summary'!$Y:$Y,'Threshold Summary'!$K:$K,""),'Pokemon Editor'!$A:$A,'Pokemon Editor'!$F:$F,0)+31+FLOOR(XLOOKUP($Q398,'Threshold Summary'!$Y:$Y,'Threshold Summary'!$P:$P,"")/4))*XLOOKUP($Q398,'Threshold Summary'!$Y:$Y,'Threshold Summary'!$L:$L,""))/100)+5)*XLOOKUP(XLOOKUP($Q398,'Threshold Summary'!$Y:$Y,'Threshold Summary'!$M:$M,""),'Nature Editor'!$A:$A,'Nature Editor'!$B:$B,1)),FLOOR((FLOOR(((2*XLOOKUP(XLOOKUP($Q398,'Threshold Summary'!$Y:$Y,'Threshold Summary'!$K:$K,""),'Pokemon Editor'!$A:$A,'Pokemon Editor'!$H:$H,0)+31+FLOOR(XLOOKUP($Q398,'Threshold Summary'!$Y:$Y,'Threshold Summary'!$R:$R,"")/4))*XLOOKUP($Q398,'Threshold Summary'!$Y:$Y,'Threshold Summary'!$L:$L,""))/100)+5)*XLOOKUP(XLOOKUP($Q398,'Threshold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Editor'!$E:$E,1))),stab,IF(OR(mtype=XLOOKUP(XLOOKUP($Q398,'Threshold Summary'!$Y:$Y,'Threshold Summary'!$K:$K,""),'Pokemon Editor'!$A:$A,'Pokemon Editor'!$C:$C,""),mtype=XLOOKUP(XLOOKUP($Q398,'Threshold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Chart'!$B$1:$S$1,0)))),base,IF(OR(cat="Status",pow=0),0,FLOOR(FLOOR(FLOOR((2*XLOOKUP($Q398,'Threshold Summary'!$Y:$Y,'Threshold Summary'!$L:$L,"")/5+2)*pow*atk/def)/50)+2)),modifier,stab*eff,FLOOR(base*modifier*0.85)),0)</f>
        <v/>
      </c>
      <c r="K398" s="3">
        <f>IFERROR(LET(mtype,XLOOKUP($D398,'Move Editor'!$B:$B,'Move Editor'!$C:$C,""),cat,XLOOKUP($D398,'Move Editor'!$B:$B,'Move Editor'!$D:$D,""),pow,XLOOKUP($D398,'Move Editor'!$B:$B,'Move Editor'!$E:$E,0),acc,XLOOKUP($D398,'Move Editor'!$B:$B,'Move Editor'!$F:$F,100),atk,IF(cat="Physical",FLOOR((FLOOR(((2*XLOOKUP(XLOOKUP($Q398,'Threshold Summary'!$Y:$Y,'Threshold Summary'!$K:$K,""),'Pokemon Editor'!$A:$A,'Pokemon Editor'!$F:$F,0)+31+FLOOR(XLOOKUP($Q398,'Threshold Summary'!$Y:$Y,'Threshold Summary'!$P:$P,"")/4))*XLOOKUP($Q398,'Threshold Summary'!$Y:$Y,'Threshold Summary'!$L:$L,""))/100)+5)*XLOOKUP(XLOOKUP($Q398,'Threshold Summary'!$Y:$Y,'Threshold Summary'!$M:$M,""),'Nature Editor'!$A:$A,'Nature Editor'!$B:$B,1)),FLOOR((FLOOR(((2*XLOOKUP(XLOOKUP($Q398,'Threshold Summary'!$Y:$Y,'Threshold Summary'!$K:$K,""),'Pokemon Editor'!$A:$A,'Pokemon Editor'!$H:$H,0)+31+FLOOR(XLOOKUP($Q398,'Threshold Summary'!$Y:$Y,'Threshold Summary'!$R:$R,"")/4))*XLOOKUP($Q398,'Threshold Summary'!$Y:$Y,'Threshold Summary'!$L:$L,""))/100)+5)*XLOOKUP(XLOOKUP($Q398,'Threshold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Editor'!$E:$E,1))),stab,IF(OR(mtype=XLOOKUP(XLOOKUP($Q398,'Threshold Summary'!$Y:$Y,'Threshold Summary'!$K:$K,""),'Pokemon Editor'!$A:$A,'Pokemon Editor'!$C:$C,""),mtype=XLOOKUP(XLOOKUP($Q398,'Threshold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Chart'!$B$1:$S$1,0)))),base,IF(OR(cat="Status",pow=0),0,FLOOR(FLOOR(FLOOR((2*XLOOKUP($Q398,'Threshold Summary'!$Y:$Y,'Threshold Summary'!$L:$L,"")/5+2)*pow*atk/def)/50)+2)),modifier,stab*eff,FLOOR(base*modifier)),0)</f>
        <v/>
      </c>
      <c r="L398" s="3">
        <f>IFERROR(LET(mtype,XLOOKUP($D398,'Move Editor'!$B:$B,'Move Editor'!$C:$C,""),cat,XLOOKUP($D398,'Move Editor'!$B:$B,'Move Editor'!$D:$D,""),pow,XLOOKUP($D398,'Move Editor'!$B:$B,'Move Editor'!$E:$E,0),acc,XLOOKUP($D398,'Move Editor'!$B:$B,'Move Editor'!$F:$F,100),atk,IF(cat="Physical",FLOOR((FLOOR(((2*XLOOKUP(XLOOKUP($Q398,'Threshold Summary'!$Y:$Y,'Threshold Summary'!$K:$K,""),'Pokemon Editor'!$A:$A,'Pokemon Editor'!$F:$F,0)+31+FLOOR(XLOOKUP($Q398,'Threshold Summary'!$Y:$Y,'Threshold Summary'!$P:$P,"")/4))*XLOOKUP($Q398,'Threshold Summary'!$Y:$Y,'Threshold Summary'!$L:$L,""))/100)+5)*XLOOKUP(XLOOKUP($Q398,'Threshold Summary'!$Y:$Y,'Threshold Summary'!$M:$M,""),'Nature Editor'!$A:$A,'Nature Editor'!$B:$B,1)),FLOOR((FLOOR(((2*XLOOKUP(XLOOKUP($Q398,'Threshold Summary'!$Y:$Y,'Threshold Summary'!$K:$K,""),'Pokemon Editor'!$A:$A,'Pokemon Editor'!$H:$H,0)+31+FLOOR(XLOOKUP($Q398,'Threshold Summary'!$Y:$Y,'Threshold Summary'!$R:$R,"")/4))*XLOOKUP($Q398,'Threshold Summary'!$Y:$Y,'Threshold Summary'!$L:$L,""))/100)+5)*XLOOKUP(XLOOKUP($Q398,'Threshold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Editor'!$E:$E,1))),stab,IF(OR(mtype=XLOOKUP(XLOOKUP($Q398,'Threshold Summary'!$Y:$Y,'Threshold Summary'!$K:$K,""),'Pokemon Editor'!$A:$A,'Pokemon Editor'!$C:$C,""),mtype=XLOOKUP(XLOOKUP($Q398,'Threshold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Chart'!$B$1:$S$1,0)))),base,IF(OR(cat="Status",pow=0),0,FLOOR(FLOOR(FLOOR((2*XLOOKUP($Q398,'Threshold Summary'!$Y:$Y,'Threshold Summary'!$L:$L,"")/5+2)*pow*atk/def)/50)+2)),modifier,stab*eff,AVERAGE(ARRAYFORMULA(FLOOR(base*modifier*SEQUENCE(16,1,85,1)/100)))),0)</f>
        <v/>
      </c>
      <c r="M398" s="3">
        <f>IFERROR(LET(mtype,XLOOKUP($D398,'Move Editor'!$B:$B,'Move Editor'!$C:$C,""),cat,XLOOKUP($D398,'Move Editor'!$B:$B,'Move Editor'!$D:$D,""),pow,XLOOKUP($D398,'Move Editor'!$B:$B,'Move Editor'!$E:$E,0),acc,XLOOKUP($D398,'Move Editor'!$B:$B,'Move Editor'!$F:$F,100),atk,IF(cat="Physical",FLOOR((FLOOR(((2*XLOOKUP(XLOOKUP($Q398,'Threshold Summary'!$Y:$Y,'Threshold Summary'!$K:$K,""),'Pokemon Editor'!$A:$A,'Pokemon Editor'!$F:$F,0)+31+FLOOR(XLOOKUP($Q398,'Threshold Summary'!$Y:$Y,'Threshold Summary'!$P:$P,"")/4))*XLOOKUP($Q398,'Threshold Summary'!$Y:$Y,'Threshold Summary'!$L:$L,""))/100)+5)*XLOOKUP(XLOOKUP($Q398,'Threshold Summary'!$Y:$Y,'Threshold Summary'!$M:$M,""),'Nature Editor'!$A:$A,'Nature Editor'!$B:$B,1)),FLOOR((FLOOR(((2*XLOOKUP(XLOOKUP($Q398,'Threshold Summary'!$Y:$Y,'Threshold Summary'!$K:$K,""),'Pokemon Editor'!$A:$A,'Pokemon Editor'!$H:$H,0)+31+FLOOR(XLOOKUP($Q398,'Threshold Summary'!$Y:$Y,'Threshold Summary'!$R:$R,"")/4))*XLOOKUP($Q398,'Threshold Summary'!$Y:$Y,'Threshold Summary'!$L:$L,""))/100)+5)*XLOOKUP(XLOOKUP($Q398,'Threshold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Editor'!$E:$E,1))),stab,IF(OR(mtype=XLOOKUP(XLOOKUP($Q398,'Threshold Summary'!$Y:$Y,'Threshold Summary'!$K:$K,""),'Pokemon Editor'!$A:$A,'Pokemon Editor'!$C:$C,""),mtype=XLOOKUP(XLOOKUP($Q398,'Threshold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Chart'!$B$1:$S$1,0)))),base,IF(OR(cat="Status",pow=0),0,FLOOR(FLOOR(FLOOR((2*XLOOKUP($Q398,'Threshold Summary'!$Y:$Y,'Threshold Summary'!$L:$L,"")/5+2)*pow*atk/def)/50)+2)),modifier,stab*eff,AVERAGE(ARRAYFORMULA(FLOOR(base*modifier*SEQUENCE(16,1,85,1)/100)))*MIN(1,acc/100)),0)</f>
        <v/>
      </c>
      <c r="N398" s="4">
        <f>IFERROR(LET(mtype,XLOOKUP($D398,'Move Editor'!$B:$B,'Move Editor'!$C:$C,""),cat,XLOOKUP($D398,'Move Editor'!$B:$B,'Move Editor'!$D:$D,""),pow,XLOOKUP($D398,'Move Editor'!$B:$B,'Move Editor'!$E:$E,0),acc,XLOOKUP($D398,'Move Editor'!$B:$B,'Move Editor'!$F:$F,100),atk,IF(cat="Physical",FLOOR((FLOOR(((2*XLOOKUP(XLOOKUP($Q398,'Threshold Summary'!$Y:$Y,'Threshold Summary'!$K:$K,""),'Pokemon Editor'!$A:$A,'Pokemon Editor'!$F:$F,0)+31+FLOOR(XLOOKUP($Q398,'Threshold Summary'!$Y:$Y,'Threshold Summary'!$P:$P,"")/4))*XLOOKUP($Q398,'Threshold Summary'!$Y:$Y,'Threshold Summary'!$L:$L,""))/100)+5)*XLOOKUP(XLOOKUP($Q398,'Threshold Summary'!$Y:$Y,'Threshold Summary'!$M:$M,""),'Nature Editor'!$A:$A,'Nature Editor'!$B:$B,1)),FLOOR((FLOOR(((2*XLOOKUP(XLOOKUP($Q398,'Threshold Summary'!$Y:$Y,'Threshold Summary'!$K:$K,""),'Pokemon Editor'!$A:$A,'Pokemon Editor'!$H:$H,0)+31+FLOOR(XLOOKUP($Q398,'Threshold Summary'!$Y:$Y,'Threshold Summary'!$R:$R,"")/4))*XLOOKUP($Q398,'Threshold Summary'!$Y:$Y,'Threshold Summary'!$L:$L,""))/100)+5)*XLOOKUP(XLOOKUP($Q398,'Threshold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Editor'!$E:$E,1))),stab,IF(OR(mtype=XLOOKUP(XLOOKUP($Q398,'Threshold Summary'!$Y:$Y,'Threshold Summary'!$K:$K,""),'Pokemon Editor'!$A:$A,'Pokemon Editor'!$C:$C,""),mtype=XLOOKUP(XLOOKUP($Q398,'Threshold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Chart'!$B$1:$S$1,0)))),base,IF(OR(cat="Status",pow=0),0,FLOOR(FLOOR(FLOOR((2*XLOOKUP($Q398,'Threshold Summary'!$Y:$Y,'Threshold Summary'!$L:$L,"")/5+2)*pow*atk/def)/50)+2)),modifier,stab*eff,AVERAGE(ARRAYFORMULA(FLOOR(base*modifier*SEQUENCE(16,1,85,1)/100)))/(FLOOR(((2*XLOOKUP('Boss Editor'!$C$4,'Pokemon Editor'!$A:$A,'Pokemon Editor'!$E:$E,0)+31+FLOOR('Boss Editor'!$G$4/4))*'Boss Editor'!$D$4)/100)+'Boss Editor'!$D$4+10)),0)</f>
        <v/>
      </c>
      <c r="O398" s="3">
        <f>IF(N398&gt;=1,"OHKO",IF(N398&gt;=0.5,"2HKO",IF(N398&gt;=0.333,"3HKO",IF(N398&gt;=0.25,"4HKO","5HKO+"))))</f>
        <v/>
      </c>
      <c r="P398" s="3" t="inlineStr">
        <is>
          <t>Live from editable databases</t>
        </is>
      </c>
      <c r="Q398" s="3" t="inlineStr">
        <is>
          <t>SPECIES_DRIFLOON</t>
        </is>
      </c>
      <c r="R398" s="3" t="n">
        <v>13</v>
      </c>
    </row>
    <row r="399">
      <c r="A399" s="3">
        <f>XLOOKUP($Q399,'Threshold Summary'!$Y:$Y,'Threshold Summary'!$A:$A,"")</f>
        <v/>
      </c>
      <c r="B399" s="3">
        <f>XLOOKUP($Q399,'Threshold Summary'!$Y:$Y,'Threshold Summary'!$M:$M,"")</f>
        <v/>
      </c>
      <c r="C399" s="3">
        <f>XLOOKUP($Q399,'Threshold Summary'!$Y:$Y,'Threshold Summary'!$N:$N,"")</f>
        <v/>
      </c>
      <c r="D399" s="3">
        <f>IFERROR(INDEX(FILTER('Learnset Editor'!$D$2:$D,'Learnset Editor'!$A$2:$A=XLOOKUP($Q399,'Threshold Summary'!$Y:$Y,'Threshold Summary'!$K:$K,""),'Learnset Editor'!$C$2:$C&lt;=XLOOKUP($Q399,'Threshold Summary'!$Y:$Y,'Threshold Summary'!$L:$L,"")),$R399),"")</f>
        <v/>
      </c>
      <c r="E399" s="3">
        <f>XLOOKUP(D399,'Move Editor'!$B:$B,'Move Editor'!$C:$C,"")</f>
        <v/>
      </c>
      <c r="F399" s="3">
        <f>XLOOKUP(D399,'Move Editor'!$B:$B,'Move Editor'!$D:$D,"")</f>
        <v/>
      </c>
      <c r="G399" s="3">
        <f>XLOOKUP(D399,'Move Editor'!$B:$B,'Move Editor'!$E:$E,0)</f>
        <v/>
      </c>
      <c r="H399" s="3">
        <f>XLOOKUP(D399,'Move Editor'!$B:$B,'Move Editor'!$F:$F,0)</f>
        <v/>
      </c>
      <c r="I399" s="3">
        <f>(INDEX('Type Chart'!$B:$S,MATCH(E399,'Type Chart'!$A:$A,0),MATCH(XLOOKUP('Boss Editor'!$C$4,'Pokemon Editor'!$A:$A,'Pokemon Editor'!$C:$C,""),'Type Chart'!$B$1:$S$1,0))*IF(XLOOKUP('Boss Editor'!$C$4,'Pokemon Editor'!$A:$A,'Pokemon Editor'!$D:$D,"")="",1,INDEX('Type Chart'!$B:$S,MATCH(E399,'Type Chart'!$A:$A,0),MATCH(XLOOKUP('Boss Editor'!$C$4,'Pokemon Editor'!$A:$A,'Pokemon Editor'!$D:$D,""),'Type Chart'!$B$1:$S$1,0))))</f>
        <v/>
      </c>
      <c r="J399" s="3">
        <f>IFERROR(LET(mtype,XLOOKUP($D399,'Move Editor'!$B:$B,'Move Editor'!$C:$C,""),cat,XLOOKUP($D399,'Move Editor'!$B:$B,'Move Editor'!$D:$D,""),pow,XLOOKUP($D399,'Move Editor'!$B:$B,'Move Editor'!$E:$E,0),acc,XLOOKUP($D399,'Move Editor'!$B:$B,'Move Editor'!$F:$F,100),atk,IF(cat="Physical",FLOOR((FLOOR(((2*XLOOKUP(XLOOKUP($Q399,'Threshold Summary'!$Y:$Y,'Threshold Summary'!$K:$K,""),'Pokemon Editor'!$A:$A,'Pokemon Editor'!$F:$F,0)+31+FLOOR(XLOOKUP($Q399,'Threshold Summary'!$Y:$Y,'Threshold Summary'!$P:$P,"")/4))*XLOOKUP($Q399,'Threshold Summary'!$Y:$Y,'Threshold Summary'!$L:$L,""))/100)+5)*XLOOKUP(XLOOKUP($Q399,'Threshold Summary'!$Y:$Y,'Threshold Summary'!$M:$M,""),'Nature Editor'!$A:$A,'Nature Editor'!$B:$B,1)),FLOOR((FLOOR(((2*XLOOKUP(XLOOKUP($Q399,'Threshold Summary'!$Y:$Y,'Threshold Summary'!$K:$K,""),'Pokemon Editor'!$A:$A,'Pokemon Editor'!$H:$H,0)+31+FLOOR(XLOOKUP($Q399,'Threshold Summary'!$Y:$Y,'Threshold Summary'!$R:$R,"")/4))*XLOOKUP($Q399,'Threshold Summary'!$Y:$Y,'Threshold Summary'!$L:$L,""))/100)+5)*XLOOKUP(XLOOKUP($Q399,'Threshold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Editor'!$E:$E,1))),stab,IF(OR(mtype=XLOOKUP(XLOOKUP($Q399,'Threshold Summary'!$Y:$Y,'Threshold Summary'!$K:$K,""),'Pokemon Editor'!$A:$A,'Pokemon Editor'!$C:$C,""),mtype=XLOOKUP(XLOOKUP($Q399,'Threshold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Chart'!$B$1:$S$1,0)))),base,IF(OR(cat="Status",pow=0),0,FLOOR(FLOOR(FLOOR((2*XLOOKUP($Q399,'Threshold Summary'!$Y:$Y,'Threshold Summary'!$L:$L,"")/5+2)*pow*atk/def)/50)+2)),modifier,stab*eff,FLOOR(base*modifier*0.85)),0)</f>
        <v/>
      </c>
      <c r="K399" s="3">
        <f>IFERROR(LET(mtype,XLOOKUP($D399,'Move Editor'!$B:$B,'Move Editor'!$C:$C,""),cat,XLOOKUP($D399,'Move Editor'!$B:$B,'Move Editor'!$D:$D,""),pow,XLOOKUP($D399,'Move Editor'!$B:$B,'Move Editor'!$E:$E,0),acc,XLOOKUP($D399,'Move Editor'!$B:$B,'Move Editor'!$F:$F,100),atk,IF(cat="Physical",FLOOR((FLOOR(((2*XLOOKUP(XLOOKUP($Q399,'Threshold Summary'!$Y:$Y,'Threshold Summary'!$K:$K,""),'Pokemon Editor'!$A:$A,'Pokemon Editor'!$F:$F,0)+31+FLOOR(XLOOKUP($Q399,'Threshold Summary'!$Y:$Y,'Threshold Summary'!$P:$P,"")/4))*XLOOKUP($Q399,'Threshold Summary'!$Y:$Y,'Threshold Summary'!$L:$L,""))/100)+5)*XLOOKUP(XLOOKUP($Q399,'Threshold Summary'!$Y:$Y,'Threshold Summary'!$M:$M,""),'Nature Editor'!$A:$A,'Nature Editor'!$B:$B,1)),FLOOR((FLOOR(((2*XLOOKUP(XLOOKUP($Q399,'Threshold Summary'!$Y:$Y,'Threshold Summary'!$K:$K,""),'Pokemon Editor'!$A:$A,'Pokemon Editor'!$H:$H,0)+31+FLOOR(XLOOKUP($Q399,'Threshold Summary'!$Y:$Y,'Threshold Summary'!$R:$R,"")/4))*XLOOKUP($Q399,'Threshold Summary'!$Y:$Y,'Threshold Summary'!$L:$L,""))/100)+5)*XLOOKUP(XLOOKUP($Q399,'Threshold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Editor'!$E:$E,1))),stab,IF(OR(mtype=XLOOKUP(XLOOKUP($Q399,'Threshold Summary'!$Y:$Y,'Threshold Summary'!$K:$K,""),'Pokemon Editor'!$A:$A,'Pokemon Editor'!$C:$C,""),mtype=XLOOKUP(XLOOKUP($Q399,'Threshold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Chart'!$B$1:$S$1,0)))),base,IF(OR(cat="Status",pow=0),0,FLOOR(FLOOR(FLOOR((2*XLOOKUP($Q399,'Threshold Summary'!$Y:$Y,'Threshold Summary'!$L:$L,"")/5+2)*pow*atk/def)/50)+2)),modifier,stab*eff,FLOOR(base*modifier)),0)</f>
        <v/>
      </c>
      <c r="L399" s="3">
        <f>IFERROR(LET(mtype,XLOOKUP($D399,'Move Editor'!$B:$B,'Move Editor'!$C:$C,""),cat,XLOOKUP($D399,'Move Editor'!$B:$B,'Move Editor'!$D:$D,""),pow,XLOOKUP($D399,'Move Editor'!$B:$B,'Move Editor'!$E:$E,0),acc,XLOOKUP($D399,'Move Editor'!$B:$B,'Move Editor'!$F:$F,100),atk,IF(cat="Physical",FLOOR((FLOOR(((2*XLOOKUP(XLOOKUP($Q399,'Threshold Summary'!$Y:$Y,'Threshold Summary'!$K:$K,""),'Pokemon Editor'!$A:$A,'Pokemon Editor'!$F:$F,0)+31+FLOOR(XLOOKUP($Q399,'Threshold Summary'!$Y:$Y,'Threshold Summary'!$P:$P,"")/4))*XLOOKUP($Q399,'Threshold Summary'!$Y:$Y,'Threshold Summary'!$L:$L,""))/100)+5)*XLOOKUP(XLOOKUP($Q399,'Threshold Summary'!$Y:$Y,'Threshold Summary'!$M:$M,""),'Nature Editor'!$A:$A,'Nature Editor'!$B:$B,1)),FLOOR((FLOOR(((2*XLOOKUP(XLOOKUP($Q399,'Threshold Summary'!$Y:$Y,'Threshold Summary'!$K:$K,""),'Pokemon Editor'!$A:$A,'Pokemon Editor'!$H:$H,0)+31+FLOOR(XLOOKUP($Q399,'Threshold Summary'!$Y:$Y,'Threshold Summary'!$R:$R,"")/4))*XLOOKUP($Q399,'Threshold Summary'!$Y:$Y,'Threshold Summary'!$L:$L,""))/100)+5)*XLOOKUP(XLOOKUP($Q399,'Threshold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Editor'!$E:$E,1))),stab,IF(OR(mtype=XLOOKUP(XLOOKUP($Q399,'Threshold Summary'!$Y:$Y,'Threshold Summary'!$K:$K,""),'Pokemon Editor'!$A:$A,'Pokemon Editor'!$C:$C,""),mtype=XLOOKUP(XLOOKUP($Q399,'Threshold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Chart'!$B$1:$S$1,0)))),base,IF(OR(cat="Status",pow=0),0,FLOOR(FLOOR(FLOOR((2*XLOOKUP($Q399,'Threshold Summary'!$Y:$Y,'Threshold Summary'!$L:$L,"")/5+2)*pow*atk/def)/50)+2)),modifier,stab*eff,AVERAGE(ARRAYFORMULA(FLOOR(base*modifier*SEQUENCE(16,1,85,1)/100)))),0)</f>
        <v/>
      </c>
      <c r="M399" s="3">
        <f>IFERROR(LET(mtype,XLOOKUP($D399,'Move Editor'!$B:$B,'Move Editor'!$C:$C,""),cat,XLOOKUP($D399,'Move Editor'!$B:$B,'Move Editor'!$D:$D,""),pow,XLOOKUP($D399,'Move Editor'!$B:$B,'Move Editor'!$E:$E,0),acc,XLOOKUP($D399,'Move Editor'!$B:$B,'Move Editor'!$F:$F,100),atk,IF(cat="Physical",FLOOR((FLOOR(((2*XLOOKUP(XLOOKUP($Q399,'Threshold Summary'!$Y:$Y,'Threshold Summary'!$K:$K,""),'Pokemon Editor'!$A:$A,'Pokemon Editor'!$F:$F,0)+31+FLOOR(XLOOKUP($Q399,'Threshold Summary'!$Y:$Y,'Threshold Summary'!$P:$P,"")/4))*XLOOKUP($Q399,'Threshold Summary'!$Y:$Y,'Threshold Summary'!$L:$L,""))/100)+5)*XLOOKUP(XLOOKUP($Q399,'Threshold Summary'!$Y:$Y,'Threshold Summary'!$M:$M,""),'Nature Editor'!$A:$A,'Nature Editor'!$B:$B,1)),FLOOR((FLOOR(((2*XLOOKUP(XLOOKUP($Q399,'Threshold Summary'!$Y:$Y,'Threshold Summary'!$K:$K,""),'Pokemon Editor'!$A:$A,'Pokemon Editor'!$H:$H,0)+31+FLOOR(XLOOKUP($Q399,'Threshold Summary'!$Y:$Y,'Threshold Summary'!$R:$R,"")/4))*XLOOKUP($Q399,'Threshold Summary'!$Y:$Y,'Threshold Summary'!$L:$L,""))/100)+5)*XLOOKUP(XLOOKUP($Q399,'Threshold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Editor'!$E:$E,1))),stab,IF(OR(mtype=XLOOKUP(XLOOKUP($Q399,'Threshold Summary'!$Y:$Y,'Threshold Summary'!$K:$K,""),'Pokemon Editor'!$A:$A,'Pokemon Editor'!$C:$C,""),mtype=XLOOKUP(XLOOKUP($Q399,'Threshold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Chart'!$B$1:$S$1,0)))),base,IF(OR(cat="Status",pow=0),0,FLOOR(FLOOR(FLOOR((2*XLOOKUP($Q399,'Threshold Summary'!$Y:$Y,'Threshold Summary'!$L:$L,"")/5+2)*pow*atk/def)/50)+2)),modifier,stab*eff,AVERAGE(ARRAYFORMULA(FLOOR(base*modifier*SEQUENCE(16,1,85,1)/100)))*MIN(1,acc/100)),0)</f>
        <v/>
      </c>
      <c r="N399" s="4">
        <f>IFERROR(LET(mtype,XLOOKUP($D399,'Move Editor'!$B:$B,'Move Editor'!$C:$C,""),cat,XLOOKUP($D399,'Move Editor'!$B:$B,'Move Editor'!$D:$D,""),pow,XLOOKUP($D399,'Move Editor'!$B:$B,'Move Editor'!$E:$E,0),acc,XLOOKUP($D399,'Move Editor'!$B:$B,'Move Editor'!$F:$F,100),atk,IF(cat="Physical",FLOOR((FLOOR(((2*XLOOKUP(XLOOKUP($Q399,'Threshold Summary'!$Y:$Y,'Threshold Summary'!$K:$K,""),'Pokemon Editor'!$A:$A,'Pokemon Editor'!$F:$F,0)+31+FLOOR(XLOOKUP($Q399,'Threshold Summary'!$Y:$Y,'Threshold Summary'!$P:$P,"")/4))*XLOOKUP($Q399,'Threshold Summary'!$Y:$Y,'Threshold Summary'!$L:$L,""))/100)+5)*XLOOKUP(XLOOKUP($Q399,'Threshold Summary'!$Y:$Y,'Threshold Summary'!$M:$M,""),'Nature Editor'!$A:$A,'Nature Editor'!$B:$B,1)),FLOOR((FLOOR(((2*XLOOKUP(XLOOKUP($Q399,'Threshold Summary'!$Y:$Y,'Threshold Summary'!$K:$K,""),'Pokemon Editor'!$A:$A,'Pokemon Editor'!$H:$H,0)+31+FLOOR(XLOOKUP($Q399,'Threshold Summary'!$Y:$Y,'Threshold Summary'!$R:$R,"")/4))*XLOOKUP($Q399,'Threshold Summary'!$Y:$Y,'Threshold Summary'!$L:$L,""))/100)+5)*XLOOKUP(XLOOKUP($Q399,'Threshold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Editor'!$E:$E,1))),stab,IF(OR(mtype=XLOOKUP(XLOOKUP($Q399,'Threshold Summary'!$Y:$Y,'Threshold Summary'!$K:$K,""),'Pokemon Editor'!$A:$A,'Pokemon Editor'!$C:$C,""),mtype=XLOOKUP(XLOOKUP($Q399,'Threshold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Chart'!$B$1:$S$1,0)))),base,IF(OR(cat="Status",pow=0),0,FLOOR(FLOOR(FLOOR((2*XLOOKUP($Q399,'Threshold Summary'!$Y:$Y,'Threshold Summary'!$L:$L,"")/5+2)*pow*atk/def)/50)+2)),modifier,stab*eff,AVERAGE(ARRAYFORMULA(FLOOR(base*modifier*SEQUENCE(16,1,85,1)/100)))/(FLOOR(((2*XLOOKUP('Boss Editor'!$C$4,'Pokemon Editor'!$A:$A,'Pokemon Editor'!$E:$E,0)+31+FLOOR('Boss Editor'!$G$4/4))*'Boss Editor'!$D$4)/100)+'Boss Editor'!$D$4+10)),0)</f>
        <v/>
      </c>
      <c r="O399" s="3">
        <f>IF(N399&gt;=1,"OHKO",IF(N399&gt;=0.5,"2HKO",IF(N399&gt;=0.333,"3HKO",IF(N399&gt;=0.25,"4HKO","5HKO+"))))</f>
        <v/>
      </c>
      <c r="P399" s="3" t="inlineStr">
        <is>
          <t>Live from editable databases</t>
        </is>
      </c>
      <c r="Q399" s="3" t="inlineStr">
        <is>
          <t>SPECIES_DRIFLOON</t>
        </is>
      </c>
      <c r="R399" s="3" t="n">
        <v>14</v>
      </c>
    </row>
    <row r="400">
      <c r="A400" s="3">
        <f>XLOOKUP($Q400,'Threshold Summary'!$Y:$Y,'Threshold Summary'!$A:$A,"")</f>
        <v/>
      </c>
      <c r="B400" s="3">
        <f>XLOOKUP($Q400,'Threshold Summary'!$Y:$Y,'Threshold Summary'!$M:$M,"")</f>
        <v/>
      </c>
      <c r="C400" s="3">
        <f>XLOOKUP($Q400,'Threshold Summary'!$Y:$Y,'Threshold Summary'!$N:$N,"")</f>
        <v/>
      </c>
      <c r="D400" s="3">
        <f>IFERROR(INDEX(FILTER('Learnset Editor'!$D$2:$D,'Learnset Editor'!$A$2:$A=XLOOKUP($Q400,'Threshold Summary'!$Y:$Y,'Threshold Summary'!$K:$K,""),'Learnset Editor'!$C$2:$C&lt;=XLOOKUP($Q400,'Threshold Summary'!$Y:$Y,'Threshold Summary'!$L:$L,"")),$R400),"")</f>
        <v/>
      </c>
      <c r="E400" s="3">
        <f>XLOOKUP(D400,'Move Editor'!$B:$B,'Move Editor'!$C:$C,"")</f>
        <v/>
      </c>
      <c r="F400" s="3">
        <f>XLOOKUP(D400,'Move Editor'!$B:$B,'Move Editor'!$D:$D,"")</f>
        <v/>
      </c>
      <c r="G400" s="3">
        <f>XLOOKUP(D400,'Move Editor'!$B:$B,'Move Editor'!$E:$E,0)</f>
        <v/>
      </c>
      <c r="H400" s="3">
        <f>XLOOKUP(D400,'Move Editor'!$B:$B,'Move Editor'!$F:$F,0)</f>
        <v/>
      </c>
      <c r="I400" s="3">
        <f>(INDEX('Type Chart'!$B:$S,MATCH(E400,'Type Chart'!$A:$A,0),MATCH(XLOOKUP('Boss Editor'!$C$4,'Pokemon Editor'!$A:$A,'Pokemon Editor'!$C:$C,""),'Type Chart'!$B$1:$S$1,0))*IF(XLOOKUP('Boss Editor'!$C$4,'Pokemon Editor'!$A:$A,'Pokemon Editor'!$D:$D,"")="",1,INDEX('Type Chart'!$B:$S,MATCH(E400,'Type Chart'!$A:$A,0),MATCH(XLOOKUP('Boss Editor'!$C$4,'Pokemon Editor'!$A:$A,'Pokemon Editor'!$D:$D,""),'Type Chart'!$B$1:$S$1,0))))</f>
        <v/>
      </c>
      <c r="J400" s="3">
        <f>IFERROR(LET(mtype,XLOOKUP($D400,'Move Editor'!$B:$B,'Move Editor'!$C:$C,""),cat,XLOOKUP($D400,'Move Editor'!$B:$B,'Move Editor'!$D:$D,""),pow,XLOOKUP($D400,'Move Editor'!$B:$B,'Move Editor'!$E:$E,0),acc,XLOOKUP($D400,'Move Editor'!$B:$B,'Move Editor'!$F:$F,100),atk,IF(cat="Physical",FLOOR((FLOOR(((2*XLOOKUP(XLOOKUP($Q400,'Threshold Summary'!$Y:$Y,'Threshold Summary'!$K:$K,""),'Pokemon Editor'!$A:$A,'Pokemon Editor'!$F:$F,0)+31+FLOOR(XLOOKUP($Q400,'Threshold Summary'!$Y:$Y,'Threshold Summary'!$P:$P,"")/4))*XLOOKUP($Q400,'Threshold Summary'!$Y:$Y,'Threshold Summary'!$L:$L,""))/100)+5)*XLOOKUP(XLOOKUP($Q400,'Threshold Summary'!$Y:$Y,'Threshold Summary'!$M:$M,""),'Nature Editor'!$A:$A,'Nature Editor'!$B:$B,1)),FLOOR((FLOOR(((2*XLOOKUP(XLOOKUP($Q400,'Threshold Summary'!$Y:$Y,'Threshold Summary'!$K:$K,""),'Pokemon Editor'!$A:$A,'Pokemon Editor'!$H:$H,0)+31+FLOOR(XLOOKUP($Q400,'Threshold Summary'!$Y:$Y,'Threshold Summary'!$R:$R,"")/4))*XLOOKUP($Q400,'Threshold Summary'!$Y:$Y,'Threshold Summary'!$L:$L,""))/100)+5)*XLOOKUP(XLOOKUP($Q400,'Threshold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Editor'!$E:$E,1))),stab,IF(OR(mtype=XLOOKUP(XLOOKUP($Q400,'Threshold Summary'!$Y:$Y,'Threshold Summary'!$K:$K,""),'Pokemon Editor'!$A:$A,'Pokemon Editor'!$C:$C,""),mtype=XLOOKUP(XLOOKUP($Q400,'Threshold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Chart'!$B$1:$S$1,0)))),base,IF(OR(cat="Status",pow=0),0,FLOOR(FLOOR(FLOOR((2*XLOOKUP($Q400,'Threshold Summary'!$Y:$Y,'Threshold Summary'!$L:$L,"")/5+2)*pow*atk/def)/50)+2)),modifier,stab*eff,FLOOR(base*modifier*0.85)),0)</f>
        <v/>
      </c>
      <c r="K400" s="3">
        <f>IFERROR(LET(mtype,XLOOKUP($D400,'Move Editor'!$B:$B,'Move Editor'!$C:$C,""),cat,XLOOKUP($D400,'Move Editor'!$B:$B,'Move Editor'!$D:$D,""),pow,XLOOKUP($D400,'Move Editor'!$B:$B,'Move Editor'!$E:$E,0),acc,XLOOKUP($D400,'Move Editor'!$B:$B,'Move Editor'!$F:$F,100),atk,IF(cat="Physical",FLOOR((FLOOR(((2*XLOOKUP(XLOOKUP($Q400,'Threshold Summary'!$Y:$Y,'Threshold Summary'!$K:$K,""),'Pokemon Editor'!$A:$A,'Pokemon Editor'!$F:$F,0)+31+FLOOR(XLOOKUP($Q400,'Threshold Summary'!$Y:$Y,'Threshold Summary'!$P:$P,"")/4))*XLOOKUP($Q400,'Threshold Summary'!$Y:$Y,'Threshold Summary'!$L:$L,""))/100)+5)*XLOOKUP(XLOOKUP($Q400,'Threshold Summary'!$Y:$Y,'Threshold Summary'!$M:$M,""),'Nature Editor'!$A:$A,'Nature Editor'!$B:$B,1)),FLOOR((FLOOR(((2*XLOOKUP(XLOOKUP($Q400,'Threshold Summary'!$Y:$Y,'Threshold Summary'!$K:$K,""),'Pokemon Editor'!$A:$A,'Pokemon Editor'!$H:$H,0)+31+FLOOR(XLOOKUP($Q400,'Threshold Summary'!$Y:$Y,'Threshold Summary'!$R:$R,"")/4))*XLOOKUP($Q400,'Threshold Summary'!$Y:$Y,'Threshold Summary'!$L:$L,""))/100)+5)*XLOOKUP(XLOOKUP($Q400,'Threshold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Editor'!$E:$E,1))),stab,IF(OR(mtype=XLOOKUP(XLOOKUP($Q400,'Threshold Summary'!$Y:$Y,'Threshold Summary'!$K:$K,""),'Pokemon Editor'!$A:$A,'Pokemon Editor'!$C:$C,""),mtype=XLOOKUP(XLOOKUP($Q400,'Threshold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Chart'!$B$1:$S$1,0)))),base,IF(OR(cat="Status",pow=0),0,FLOOR(FLOOR(FLOOR((2*XLOOKUP($Q400,'Threshold Summary'!$Y:$Y,'Threshold Summary'!$L:$L,"")/5+2)*pow*atk/def)/50)+2)),modifier,stab*eff,FLOOR(base*modifier)),0)</f>
        <v/>
      </c>
      <c r="L400" s="3">
        <f>IFERROR(LET(mtype,XLOOKUP($D400,'Move Editor'!$B:$B,'Move Editor'!$C:$C,""),cat,XLOOKUP($D400,'Move Editor'!$B:$B,'Move Editor'!$D:$D,""),pow,XLOOKUP($D400,'Move Editor'!$B:$B,'Move Editor'!$E:$E,0),acc,XLOOKUP($D400,'Move Editor'!$B:$B,'Move Editor'!$F:$F,100),atk,IF(cat="Physical",FLOOR((FLOOR(((2*XLOOKUP(XLOOKUP($Q400,'Threshold Summary'!$Y:$Y,'Threshold Summary'!$K:$K,""),'Pokemon Editor'!$A:$A,'Pokemon Editor'!$F:$F,0)+31+FLOOR(XLOOKUP($Q400,'Threshold Summary'!$Y:$Y,'Threshold Summary'!$P:$P,"")/4))*XLOOKUP($Q400,'Threshold Summary'!$Y:$Y,'Threshold Summary'!$L:$L,""))/100)+5)*XLOOKUP(XLOOKUP($Q400,'Threshold Summary'!$Y:$Y,'Threshold Summary'!$M:$M,""),'Nature Editor'!$A:$A,'Nature Editor'!$B:$B,1)),FLOOR((FLOOR(((2*XLOOKUP(XLOOKUP($Q400,'Threshold Summary'!$Y:$Y,'Threshold Summary'!$K:$K,""),'Pokemon Editor'!$A:$A,'Pokemon Editor'!$H:$H,0)+31+FLOOR(XLOOKUP($Q400,'Threshold Summary'!$Y:$Y,'Threshold Summary'!$R:$R,"")/4))*XLOOKUP($Q400,'Threshold Summary'!$Y:$Y,'Threshold Summary'!$L:$L,""))/100)+5)*XLOOKUP(XLOOKUP($Q400,'Threshold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Editor'!$E:$E,1))),stab,IF(OR(mtype=XLOOKUP(XLOOKUP($Q400,'Threshold Summary'!$Y:$Y,'Threshold Summary'!$K:$K,""),'Pokemon Editor'!$A:$A,'Pokemon Editor'!$C:$C,""),mtype=XLOOKUP(XLOOKUP($Q400,'Threshold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Chart'!$B$1:$S$1,0)))),base,IF(OR(cat="Status",pow=0),0,FLOOR(FLOOR(FLOOR((2*XLOOKUP($Q400,'Threshold Summary'!$Y:$Y,'Threshold Summary'!$L:$L,"")/5+2)*pow*atk/def)/50)+2)),modifier,stab*eff,AVERAGE(ARRAYFORMULA(FLOOR(base*modifier*SEQUENCE(16,1,85,1)/100)))),0)</f>
        <v/>
      </c>
      <c r="M400" s="3">
        <f>IFERROR(LET(mtype,XLOOKUP($D400,'Move Editor'!$B:$B,'Move Editor'!$C:$C,""),cat,XLOOKUP($D400,'Move Editor'!$B:$B,'Move Editor'!$D:$D,""),pow,XLOOKUP($D400,'Move Editor'!$B:$B,'Move Editor'!$E:$E,0),acc,XLOOKUP($D400,'Move Editor'!$B:$B,'Move Editor'!$F:$F,100),atk,IF(cat="Physical",FLOOR((FLOOR(((2*XLOOKUP(XLOOKUP($Q400,'Threshold Summary'!$Y:$Y,'Threshold Summary'!$K:$K,""),'Pokemon Editor'!$A:$A,'Pokemon Editor'!$F:$F,0)+31+FLOOR(XLOOKUP($Q400,'Threshold Summary'!$Y:$Y,'Threshold Summary'!$P:$P,"")/4))*XLOOKUP($Q400,'Threshold Summary'!$Y:$Y,'Threshold Summary'!$L:$L,""))/100)+5)*XLOOKUP(XLOOKUP($Q400,'Threshold Summary'!$Y:$Y,'Threshold Summary'!$M:$M,""),'Nature Editor'!$A:$A,'Nature Editor'!$B:$B,1)),FLOOR((FLOOR(((2*XLOOKUP(XLOOKUP($Q400,'Threshold Summary'!$Y:$Y,'Threshold Summary'!$K:$K,""),'Pokemon Editor'!$A:$A,'Pokemon Editor'!$H:$H,0)+31+FLOOR(XLOOKUP($Q400,'Threshold Summary'!$Y:$Y,'Threshold Summary'!$R:$R,"")/4))*XLOOKUP($Q400,'Threshold Summary'!$Y:$Y,'Threshold Summary'!$L:$L,""))/100)+5)*XLOOKUP(XLOOKUP($Q400,'Threshold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Editor'!$E:$E,1))),stab,IF(OR(mtype=XLOOKUP(XLOOKUP($Q400,'Threshold Summary'!$Y:$Y,'Threshold Summary'!$K:$K,""),'Pokemon Editor'!$A:$A,'Pokemon Editor'!$C:$C,""),mtype=XLOOKUP(XLOOKUP($Q400,'Threshold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Chart'!$B$1:$S$1,0)))),base,IF(OR(cat="Status",pow=0),0,FLOOR(FLOOR(FLOOR((2*XLOOKUP($Q400,'Threshold Summary'!$Y:$Y,'Threshold Summary'!$L:$L,"")/5+2)*pow*atk/def)/50)+2)),modifier,stab*eff,AVERAGE(ARRAYFORMULA(FLOOR(base*modifier*SEQUENCE(16,1,85,1)/100)))*MIN(1,acc/100)),0)</f>
        <v/>
      </c>
      <c r="N400" s="4">
        <f>IFERROR(LET(mtype,XLOOKUP($D400,'Move Editor'!$B:$B,'Move Editor'!$C:$C,""),cat,XLOOKUP($D400,'Move Editor'!$B:$B,'Move Editor'!$D:$D,""),pow,XLOOKUP($D400,'Move Editor'!$B:$B,'Move Editor'!$E:$E,0),acc,XLOOKUP($D400,'Move Editor'!$B:$B,'Move Editor'!$F:$F,100),atk,IF(cat="Physical",FLOOR((FLOOR(((2*XLOOKUP(XLOOKUP($Q400,'Threshold Summary'!$Y:$Y,'Threshold Summary'!$K:$K,""),'Pokemon Editor'!$A:$A,'Pokemon Editor'!$F:$F,0)+31+FLOOR(XLOOKUP($Q400,'Threshold Summary'!$Y:$Y,'Threshold Summary'!$P:$P,"")/4))*XLOOKUP($Q400,'Threshold Summary'!$Y:$Y,'Threshold Summary'!$L:$L,""))/100)+5)*XLOOKUP(XLOOKUP($Q400,'Threshold Summary'!$Y:$Y,'Threshold Summary'!$M:$M,""),'Nature Editor'!$A:$A,'Nature Editor'!$B:$B,1)),FLOOR((FLOOR(((2*XLOOKUP(XLOOKUP($Q400,'Threshold Summary'!$Y:$Y,'Threshold Summary'!$K:$K,""),'Pokemon Editor'!$A:$A,'Pokemon Editor'!$H:$H,0)+31+FLOOR(XLOOKUP($Q400,'Threshold Summary'!$Y:$Y,'Threshold Summary'!$R:$R,"")/4))*XLOOKUP($Q400,'Threshold Summary'!$Y:$Y,'Threshold Summary'!$L:$L,""))/100)+5)*XLOOKUP(XLOOKUP($Q400,'Threshold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Editor'!$E:$E,1))),stab,IF(OR(mtype=XLOOKUP(XLOOKUP($Q400,'Threshold Summary'!$Y:$Y,'Threshold Summary'!$K:$K,""),'Pokemon Editor'!$A:$A,'Pokemon Editor'!$C:$C,""),mtype=XLOOKUP(XLOOKUP($Q400,'Threshold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Chart'!$B$1:$S$1,0)))),base,IF(OR(cat="Status",pow=0),0,FLOOR(FLOOR(FLOOR((2*XLOOKUP($Q400,'Threshold Summary'!$Y:$Y,'Threshold Summary'!$L:$L,"")/5+2)*pow*atk/def)/50)+2)),modifier,stab*eff,AVERAGE(ARRAYFORMULA(FLOOR(base*modifier*SEQUENCE(16,1,85,1)/100)))/(FLOOR(((2*XLOOKUP('Boss Editor'!$C$4,'Pokemon Editor'!$A:$A,'Pokemon Editor'!$E:$E,0)+31+FLOOR('Boss Editor'!$G$4/4))*'Boss Editor'!$D$4)/100)+'Boss Editor'!$D$4+10)),0)</f>
        <v/>
      </c>
      <c r="O400" s="3">
        <f>IF(N400&gt;=1,"OHKO",IF(N400&gt;=0.5,"2HKO",IF(N400&gt;=0.333,"3HKO",IF(N400&gt;=0.25,"4HKO","5HKO+"))))</f>
        <v/>
      </c>
      <c r="P400" s="3" t="inlineStr">
        <is>
          <t>Live from editable databases</t>
        </is>
      </c>
      <c r="Q400" s="3" t="inlineStr">
        <is>
          <t>SPECIES_DRIFLOON</t>
        </is>
      </c>
      <c r="R400" s="3" t="n">
        <v>15</v>
      </c>
    </row>
    <row r="401">
      <c r="A401" s="3">
        <f>XLOOKUP($Q401,'Threshold Summary'!$Y:$Y,'Threshold Summary'!$A:$A,"")</f>
        <v/>
      </c>
      <c r="B401" s="3">
        <f>XLOOKUP($Q401,'Threshold Summary'!$Y:$Y,'Threshold Summary'!$M:$M,"")</f>
        <v/>
      </c>
      <c r="C401" s="3">
        <f>XLOOKUP($Q401,'Threshold Summary'!$Y:$Y,'Threshold Summary'!$N:$N,"")</f>
        <v/>
      </c>
      <c r="D401" s="3">
        <f>IFERROR(INDEX(FILTER('Learnset Editor'!$D$2:$D,'Learnset Editor'!$A$2:$A=XLOOKUP($Q401,'Threshold Summary'!$Y:$Y,'Threshold Summary'!$K:$K,""),'Learnset Editor'!$C$2:$C&lt;=XLOOKUP($Q401,'Threshold Summary'!$Y:$Y,'Threshold Summary'!$L:$L,"")),$R401),"")</f>
        <v/>
      </c>
      <c r="E401" s="3">
        <f>XLOOKUP(D401,'Move Editor'!$B:$B,'Move Editor'!$C:$C,"")</f>
        <v/>
      </c>
      <c r="F401" s="3">
        <f>XLOOKUP(D401,'Move Editor'!$B:$B,'Move Editor'!$D:$D,"")</f>
        <v/>
      </c>
      <c r="G401" s="3">
        <f>XLOOKUP(D401,'Move Editor'!$B:$B,'Move Editor'!$E:$E,0)</f>
        <v/>
      </c>
      <c r="H401" s="3">
        <f>XLOOKUP(D401,'Move Editor'!$B:$B,'Move Editor'!$F:$F,0)</f>
        <v/>
      </c>
      <c r="I401" s="3">
        <f>(INDEX('Type Chart'!$B:$S,MATCH(E401,'Type Chart'!$A:$A,0),MATCH(XLOOKUP('Boss Editor'!$C$4,'Pokemon Editor'!$A:$A,'Pokemon Editor'!$C:$C,""),'Type Chart'!$B$1:$S$1,0))*IF(XLOOKUP('Boss Editor'!$C$4,'Pokemon Editor'!$A:$A,'Pokemon Editor'!$D:$D,"")="",1,INDEX('Type Chart'!$B:$S,MATCH(E401,'Type Chart'!$A:$A,0),MATCH(XLOOKUP('Boss Editor'!$C$4,'Pokemon Editor'!$A:$A,'Pokemon Editor'!$D:$D,""),'Type Chart'!$B$1:$S$1,0))))</f>
        <v/>
      </c>
      <c r="J401" s="3">
        <f>IFERROR(LET(mtype,XLOOKUP($D401,'Move Editor'!$B:$B,'Move Editor'!$C:$C,""),cat,XLOOKUP($D401,'Move Editor'!$B:$B,'Move Editor'!$D:$D,""),pow,XLOOKUP($D401,'Move Editor'!$B:$B,'Move Editor'!$E:$E,0),acc,XLOOKUP($D401,'Move Editor'!$B:$B,'Move Editor'!$F:$F,100),atk,IF(cat="Physical",FLOOR((FLOOR(((2*XLOOKUP(XLOOKUP($Q401,'Threshold Summary'!$Y:$Y,'Threshold Summary'!$K:$K,""),'Pokemon Editor'!$A:$A,'Pokemon Editor'!$F:$F,0)+31+FLOOR(XLOOKUP($Q401,'Threshold Summary'!$Y:$Y,'Threshold Summary'!$P:$P,"")/4))*XLOOKUP($Q401,'Threshold Summary'!$Y:$Y,'Threshold Summary'!$L:$L,""))/100)+5)*XLOOKUP(XLOOKUP($Q401,'Threshold Summary'!$Y:$Y,'Threshold Summary'!$M:$M,""),'Nature Editor'!$A:$A,'Nature Editor'!$B:$B,1)),FLOOR((FLOOR(((2*XLOOKUP(XLOOKUP($Q401,'Threshold Summary'!$Y:$Y,'Threshold Summary'!$K:$K,""),'Pokemon Editor'!$A:$A,'Pokemon Editor'!$H:$H,0)+31+FLOOR(XLOOKUP($Q401,'Threshold Summary'!$Y:$Y,'Threshold Summary'!$R:$R,"")/4))*XLOOKUP($Q401,'Threshold Summary'!$Y:$Y,'Threshold Summary'!$L:$L,""))/100)+5)*XLOOKUP(XLOOKUP($Q401,'Threshold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Editor'!$E:$E,1))),stab,IF(OR(mtype=XLOOKUP(XLOOKUP($Q401,'Threshold Summary'!$Y:$Y,'Threshold Summary'!$K:$K,""),'Pokemon Editor'!$A:$A,'Pokemon Editor'!$C:$C,""),mtype=XLOOKUP(XLOOKUP($Q401,'Threshold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Chart'!$B$1:$S$1,0)))),base,IF(OR(cat="Status",pow=0),0,FLOOR(FLOOR(FLOOR((2*XLOOKUP($Q401,'Threshold Summary'!$Y:$Y,'Threshold Summary'!$L:$L,"")/5+2)*pow*atk/def)/50)+2)),modifier,stab*eff,FLOOR(base*modifier*0.85)),0)</f>
        <v/>
      </c>
      <c r="K401" s="3">
        <f>IFERROR(LET(mtype,XLOOKUP($D401,'Move Editor'!$B:$B,'Move Editor'!$C:$C,""),cat,XLOOKUP($D401,'Move Editor'!$B:$B,'Move Editor'!$D:$D,""),pow,XLOOKUP($D401,'Move Editor'!$B:$B,'Move Editor'!$E:$E,0),acc,XLOOKUP($D401,'Move Editor'!$B:$B,'Move Editor'!$F:$F,100),atk,IF(cat="Physical",FLOOR((FLOOR(((2*XLOOKUP(XLOOKUP($Q401,'Threshold Summary'!$Y:$Y,'Threshold Summary'!$K:$K,""),'Pokemon Editor'!$A:$A,'Pokemon Editor'!$F:$F,0)+31+FLOOR(XLOOKUP($Q401,'Threshold Summary'!$Y:$Y,'Threshold Summary'!$P:$P,"")/4))*XLOOKUP($Q401,'Threshold Summary'!$Y:$Y,'Threshold Summary'!$L:$L,""))/100)+5)*XLOOKUP(XLOOKUP($Q401,'Threshold Summary'!$Y:$Y,'Threshold Summary'!$M:$M,""),'Nature Editor'!$A:$A,'Nature Editor'!$B:$B,1)),FLOOR((FLOOR(((2*XLOOKUP(XLOOKUP($Q401,'Threshold Summary'!$Y:$Y,'Threshold Summary'!$K:$K,""),'Pokemon Editor'!$A:$A,'Pokemon Editor'!$H:$H,0)+31+FLOOR(XLOOKUP($Q401,'Threshold Summary'!$Y:$Y,'Threshold Summary'!$R:$R,"")/4))*XLOOKUP($Q401,'Threshold Summary'!$Y:$Y,'Threshold Summary'!$L:$L,""))/100)+5)*XLOOKUP(XLOOKUP($Q401,'Threshold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Editor'!$E:$E,1))),stab,IF(OR(mtype=XLOOKUP(XLOOKUP($Q401,'Threshold Summary'!$Y:$Y,'Threshold Summary'!$K:$K,""),'Pokemon Editor'!$A:$A,'Pokemon Editor'!$C:$C,""),mtype=XLOOKUP(XLOOKUP($Q401,'Threshold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Chart'!$B$1:$S$1,0)))),base,IF(OR(cat="Status",pow=0),0,FLOOR(FLOOR(FLOOR((2*XLOOKUP($Q401,'Threshold Summary'!$Y:$Y,'Threshold Summary'!$L:$L,"")/5+2)*pow*atk/def)/50)+2)),modifier,stab*eff,FLOOR(base*modifier)),0)</f>
        <v/>
      </c>
      <c r="L401" s="3">
        <f>IFERROR(LET(mtype,XLOOKUP($D401,'Move Editor'!$B:$B,'Move Editor'!$C:$C,""),cat,XLOOKUP($D401,'Move Editor'!$B:$B,'Move Editor'!$D:$D,""),pow,XLOOKUP($D401,'Move Editor'!$B:$B,'Move Editor'!$E:$E,0),acc,XLOOKUP($D401,'Move Editor'!$B:$B,'Move Editor'!$F:$F,100),atk,IF(cat="Physical",FLOOR((FLOOR(((2*XLOOKUP(XLOOKUP($Q401,'Threshold Summary'!$Y:$Y,'Threshold Summary'!$K:$K,""),'Pokemon Editor'!$A:$A,'Pokemon Editor'!$F:$F,0)+31+FLOOR(XLOOKUP($Q401,'Threshold Summary'!$Y:$Y,'Threshold Summary'!$P:$P,"")/4))*XLOOKUP($Q401,'Threshold Summary'!$Y:$Y,'Threshold Summary'!$L:$L,""))/100)+5)*XLOOKUP(XLOOKUP($Q401,'Threshold Summary'!$Y:$Y,'Threshold Summary'!$M:$M,""),'Nature Editor'!$A:$A,'Nature Editor'!$B:$B,1)),FLOOR((FLOOR(((2*XLOOKUP(XLOOKUP($Q401,'Threshold Summary'!$Y:$Y,'Threshold Summary'!$K:$K,""),'Pokemon Editor'!$A:$A,'Pokemon Editor'!$H:$H,0)+31+FLOOR(XLOOKUP($Q401,'Threshold Summary'!$Y:$Y,'Threshold Summary'!$R:$R,"")/4))*XLOOKUP($Q401,'Threshold Summary'!$Y:$Y,'Threshold Summary'!$L:$L,""))/100)+5)*XLOOKUP(XLOOKUP($Q401,'Threshold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Editor'!$E:$E,1))),stab,IF(OR(mtype=XLOOKUP(XLOOKUP($Q401,'Threshold Summary'!$Y:$Y,'Threshold Summary'!$K:$K,""),'Pokemon Editor'!$A:$A,'Pokemon Editor'!$C:$C,""),mtype=XLOOKUP(XLOOKUP($Q401,'Threshold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Chart'!$B$1:$S$1,0)))),base,IF(OR(cat="Status",pow=0),0,FLOOR(FLOOR(FLOOR((2*XLOOKUP($Q401,'Threshold Summary'!$Y:$Y,'Threshold Summary'!$L:$L,"")/5+2)*pow*atk/def)/50)+2)),modifier,stab*eff,AVERAGE(ARRAYFORMULA(FLOOR(base*modifier*SEQUENCE(16,1,85,1)/100)))),0)</f>
        <v/>
      </c>
      <c r="M401" s="3">
        <f>IFERROR(LET(mtype,XLOOKUP($D401,'Move Editor'!$B:$B,'Move Editor'!$C:$C,""),cat,XLOOKUP($D401,'Move Editor'!$B:$B,'Move Editor'!$D:$D,""),pow,XLOOKUP($D401,'Move Editor'!$B:$B,'Move Editor'!$E:$E,0),acc,XLOOKUP($D401,'Move Editor'!$B:$B,'Move Editor'!$F:$F,100),atk,IF(cat="Physical",FLOOR((FLOOR(((2*XLOOKUP(XLOOKUP($Q401,'Threshold Summary'!$Y:$Y,'Threshold Summary'!$K:$K,""),'Pokemon Editor'!$A:$A,'Pokemon Editor'!$F:$F,0)+31+FLOOR(XLOOKUP($Q401,'Threshold Summary'!$Y:$Y,'Threshold Summary'!$P:$P,"")/4))*XLOOKUP($Q401,'Threshold Summary'!$Y:$Y,'Threshold Summary'!$L:$L,""))/100)+5)*XLOOKUP(XLOOKUP($Q401,'Threshold Summary'!$Y:$Y,'Threshold Summary'!$M:$M,""),'Nature Editor'!$A:$A,'Nature Editor'!$B:$B,1)),FLOOR((FLOOR(((2*XLOOKUP(XLOOKUP($Q401,'Threshold Summary'!$Y:$Y,'Threshold Summary'!$K:$K,""),'Pokemon Editor'!$A:$A,'Pokemon Editor'!$H:$H,0)+31+FLOOR(XLOOKUP($Q401,'Threshold Summary'!$Y:$Y,'Threshold Summary'!$R:$R,"")/4))*XLOOKUP($Q401,'Threshold Summary'!$Y:$Y,'Threshold Summary'!$L:$L,""))/100)+5)*XLOOKUP(XLOOKUP($Q401,'Threshold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Editor'!$E:$E,1))),stab,IF(OR(mtype=XLOOKUP(XLOOKUP($Q401,'Threshold Summary'!$Y:$Y,'Threshold Summary'!$K:$K,""),'Pokemon Editor'!$A:$A,'Pokemon Editor'!$C:$C,""),mtype=XLOOKUP(XLOOKUP($Q401,'Threshold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Chart'!$B$1:$S$1,0)))),base,IF(OR(cat="Status",pow=0),0,FLOOR(FLOOR(FLOOR((2*XLOOKUP($Q401,'Threshold Summary'!$Y:$Y,'Threshold Summary'!$L:$L,"")/5+2)*pow*atk/def)/50)+2)),modifier,stab*eff,AVERAGE(ARRAYFORMULA(FLOOR(base*modifier*SEQUENCE(16,1,85,1)/100)))*MIN(1,acc/100)),0)</f>
        <v/>
      </c>
      <c r="N401" s="4">
        <f>IFERROR(LET(mtype,XLOOKUP($D401,'Move Editor'!$B:$B,'Move Editor'!$C:$C,""),cat,XLOOKUP($D401,'Move Editor'!$B:$B,'Move Editor'!$D:$D,""),pow,XLOOKUP($D401,'Move Editor'!$B:$B,'Move Editor'!$E:$E,0),acc,XLOOKUP($D401,'Move Editor'!$B:$B,'Move Editor'!$F:$F,100),atk,IF(cat="Physical",FLOOR((FLOOR(((2*XLOOKUP(XLOOKUP($Q401,'Threshold Summary'!$Y:$Y,'Threshold Summary'!$K:$K,""),'Pokemon Editor'!$A:$A,'Pokemon Editor'!$F:$F,0)+31+FLOOR(XLOOKUP($Q401,'Threshold Summary'!$Y:$Y,'Threshold Summary'!$P:$P,"")/4))*XLOOKUP($Q401,'Threshold Summary'!$Y:$Y,'Threshold Summary'!$L:$L,""))/100)+5)*XLOOKUP(XLOOKUP($Q401,'Threshold Summary'!$Y:$Y,'Threshold Summary'!$M:$M,""),'Nature Editor'!$A:$A,'Nature Editor'!$B:$B,1)),FLOOR((FLOOR(((2*XLOOKUP(XLOOKUP($Q401,'Threshold Summary'!$Y:$Y,'Threshold Summary'!$K:$K,""),'Pokemon Editor'!$A:$A,'Pokemon Editor'!$H:$H,0)+31+FLOOR(XLOOKUP($Q401,'Threshold Summary'!$Y:$Y,'Threshold Summary'!$R:$R,"")/4))*XLOOKUP($Q401,'Threshold Summary'!$Y:$Y,'Threshold Summary'!$L:$L,""))/100)+5)*XLOOKUP(XLOOKUP($Q401,'Threshold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Editor'!$E:$E,1))),stab,IF(OR(mtype=XLOOKUP(XLOOKUP($Q401,'Threshold Summary'!$Y:$Y,'Threshold Summary'!$K:$K,""),'Pokemon Editor'!$A:$A,'Pokemon Editor'!$C:$C,""),mtype=XLOOKUP(XLOOKUP($Q401,'Threshold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Chart'!$B$1:$S$1,0)))),base,IF(OR(cat="Status",pow=0),0,FLOOR(FLOOR(FLOOR((2*XLOOKUP($Q401,'Threshold Summary'!$Y:$Y,'Threshold Summary'!$L:$L,"")/5+2)*pow*atk/def)/50)+2)),modifier,stab*eff,AVERAGE(ARRAYFORMULA(FLOOR(base*modifier*SEQUENCE(16,1,85,1)/100)))/(FLOOR(((2*XLOOKUP('Boss Editor'!$C$4,'Pokemon Editor'!$A:$A,'Pokemon Editor'!$E:$E,0)+31+FLOOR('Boss Editor'!$G$4/4))*'Boss Editor'!$D$4)/100)+'Boss Editor'!$D$4+10)),0)</f>
        <v/>
      </c>
      <c r="O401" s="3">
        <f>IF(N401&gt;=1,"OHKO",IF(N401&gt;=0.5,"2HKO",IF(N401&gt;=0.333,"3HKO",IF(N401&gt;=0.25,"4HKO","5HKO+"))))</f>
        <v/>
      </c>
      <c r="P401" s="3" t="inlineStr">
        <is>
          <t>Live from editable databases</t>
        </is>
      </c>
      <c r="Q401" s="3" t="inlineStr">
        <is>
          <t>SPECIES_DRIFLOON</t>
        </is>
      </c>
      <c r="R401" s="3" t="n">
        <v>16</v>
      </c>
    </row>
    <row r="402">
      <c r="A402" s="3">
        <f>XLOOKUP($Q402,'Threshold Summary'!$Y:$Y,'Threshold Summary'!$A:$A,"")</f>
        <v/>
      </c>
      <c r="B402" s="3">
        <f>XLOOKUP($Q402,'Threshold Summary'!$Y:$Y,'Threshold Summary'!$M:$M,"")</f>
        <v/>
      </c>
      <c r="C402" s="3">
        <f>XLOOKUP($Q402,'Threshold Summary'!$Y:$Y,'Threshold Summary'!$N:$N,"")</f>
        <v/>
      </c>
      <c r="D402" s="3">
        <f>IFERROR(INDEX(FILTER('Learnset Editor'!$D$2:$D,'Learnset Editor'!$A$2:$A=XLOOKUP($Q402,'Threshold Summary'!$Y:$Y,'Threshold Summary'!$K:$K,""),'Learnset Editor'!$C$2:$C&lt;=XLOOKUP($Q402,'Threshold Summary'!$Y:$Y,'Threshold Summary'!$L:$L,"")),$R402),"")</f>
        <v/>
      </c>
      <c r="E402" s="3">
        <f>XLOOKUP(D402,'Move Editor'!$B:$B,'Move Editor'!$C:$C,"")</f>
        <v/>
      </c>
      <c r="F402" s="3">
        <f>XLOOKUP(D402,'Move Editor'!$B:$B,'Move Editor'!$D:$D,"")</f>
        <v/>
      </c>
      <c r="G402" s="3">
        <f>XLOOKUP(D402,'Move Editor'!$B:$B,'Move Editor'!$E:$E,0)</f>
        <v/>
      </c>
      <c r="H402" s="3">
        <f>XLOOKUP(D402,'Move Editor'!$B:$B,'Move Editor'!$F:$F,0)</f>
        <v/>
      </c>
      <c r="I402" s="3">
        <f>(INDEX('Type Chart'!$B:$S,MATCH(E402,'Type Chart'!$A:$A,0),MATCH(XLOOKUP('Boss Editor'!$C$4,'Pokemon Editor'!$A:$A,'Pokemon Editor'!$C:$C,""),'Type Chart'!$B$1:$S$1,0))*IF(XLOOKUP('Boss Editor'!$C$4,'Pokemon Editor'!$A:$A,'Pokemon Editor'!$D:$D,"")="",1,INDEX('Type Chart'!$B:$S,MATCH(E402,'Type Chart'!$A:$A,0),MATCH(XLOOKUP('Boss Editor'!$C$4,'Pokemon Editor'!$A:$A,'Pokemon Editor'!$D:$D,""),'Type Chart'!$B$1:$S$1,0))))</f>
        <v/>
      </c>
      <c r="J402" s="3">
        <f>IFERROR(LET(mtype,XLOOKUP($D402,'Move Editor'!$B:$B,'Move Editor'!$C:$C,""),cat,XLOOKUP($D402,'Move Editor'!$B:$B,'Move Editor'!$D:$D,""),pow,XLOOKUP($D402,'Move Editor'!$B:$B,'Move Editor'!$E:$E,0),acc,XLOOKUP($D402,'Move Editor'!$B:$B,'Move Editor'!$F:$F,100),atk,IF(cat="Physical",FLOOR((FLOOR(((2*XLOOKUP(XLOOKUP($Q402,'Threshold Summary'!$Y:$Y,'Threshold Summary'!$K:$K,""),'Pokemon Editor'!$A:$A,'Pokemon Editor'!$F:$F,0)+31+FLOOR(XLOOKUP($Q402,'Threshold Summary'!$Y:$Y,'Threshold Summary'!$P:$P,"")/4))*XLOOKUP($Q402,'Threshold Summary'!$Y:$Y,'Threshold Summary'!$L:$L,""))/100)+5)*XLOOKUP(XLOOKUP($Q402,'Threshold Summary'!$Y:$Y,'Threshold Summary'!$M:$M,""),'Nature Editor'!$A:$A,'Nature Editor'!$B:$B,1)),FLOOR((FLOOR(((2*XLOOKUP(XLOOKUP($Q402,'Threshold Summary'!$Y:$Y,'Threshold Summary'!$K:$K,""),'Pokemon Editor'!$A:$A,'Pokemon Editor'!$H:$H,0)+31+FLOOR(XLOOKUP($Q402,'Threshold Summary'!$Y:$Y,'Threshold Summary'!$R:$R,"")/4))*XLOOKUP($Q402,'Threshold Summary'!$Y:$Y,'Threshold Summary'!$L:$L,""))/100)+5)*XLOOKUP(XLOOKUP($Q402,'Threshold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Editor'!$E:$E,1))),stab,IF(OR(mtype=XLOOKUP(XLOOKUP($Q402,'Threshold Summary'!$Y:$Y,'Threshold Summary'!$K:$K,""),'Pokemon Editor'!$A:$A,'Pokemon Editor'!$C:$C,""),mtype=XLOOKUP(XLOOKUP($Q402,'Threshold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Chart'!$B$1:$S$1,0)))),base,IF(OR(cat="Status",pow=0),0,FLOOR(FLOOR(FLOOR((2*XLOOKUP($Q402,'Threshold Summary'!$Y:$Y,'Threshold Summary'!$L:$L,"")/5+2)*pow*atk/def)/50)+2)),modifier,stab*eff,FLOOR(base*modifier*0.85)),0)</f>
        <v/>
      </c>
      <c r="K402" s="3">
        <f>IFERROR(LET(mtype,XLOOKUP($D402,'Move Editor'!$B:$B,'Move Editor'!$C:$C,""),cat,XLOOKUP($D402,'Move Editor'!$B:$B,'Move Editor'!$D:$D,""),pow,XLOOKUP($D402,'Move Editor'!$B:$B,'Move Editor'!$E:$E,0),acc,XLOOKUP($D402,'Move Editor'!$B:$B,'Move Editor'!$F:$F,100),atk,IF(cat="Physical",FLOOR((FLOOR(((2*XLOOKUP(XLOOKUP($Q402,'Threshold Summary'!$Y:$Y,'Threshold Summary'!$K:$K,""),'Pokemon Editor'!$A:$A,'Pokemon Editor'!$F:$F,0)+31+FLOOR(XLOOKUP($Q402,'Threshold Summary'!$Y:$Y,'Threshold Summary'!$P:$P,"")/4))*XLOOKUP($Q402,'Threshold Summary'!$Y:$Y,'Threshold Summary'!$L:$L,""))/100)+5)*XLOOKUP(XLOOKUP($Q402,'Threshold Summary'!$Y:$Y,'Threshold Summary'!$M:$M,""),'Nature Editor'!$A:$A,'Nature Editor'!$B:$B,1)),FLOOR((FLOOR(((2*XLOOKUP(XLOOKUP($Q402,'Threshold Summary'!$Y:$Y,'Threshold Summary'!$K:$K,""),'Pokemon Editor'!$A:$A,'Pokemon Editor'!$H:$H,0)+31+FLOOR(XLOOKUP($Q402,'Threshold Summary'!$Y:$Y,'Threshold Summary'!$R:$R,"")/4))*XLOOKUP($Q402,'Threshold Summary'!$Y:$Y,'Threshold Summary'!$L:$L,""))/100)+5)*XLOOKUP(XLOOKUP($Q402,'Threshold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Editor'!$E:$E,1))),stab,IF(OR(mtype=XLOOKUP(XLOOKUP($Q402,'Threshold Summary'!$Y:$Y,'Threshold Summary'!$K:$K,""),'Pokemon Editor'!$A:$A,'Pokemon Editor'!$C:$C,""),mtype=XLOOKUP(XLOOKUP($Q402,'Threshold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Chart'!$B$1:$S$1,0)))),base,IF(OR(cat="Status",pow=0),0,FLOOR(FLOOR(FLOOR((2*XLOOKUP($Q402,'Threshold Summary'!$Y:$Y,'Threshold Summary'!$L:$L,"")/5+2)*pow*atk/def)/50)+2)),modifier,stab*eff,FLOOR(base*modifier)),0)</f>
        <v/>
      </c>
      <c r="L402" s="3">
        <f>IFERROR(LET(mtype,XLOOKUP($D402,'Move Editor'!$B:$B,'Move Editor'!$C:$C,""),cat,XLOOKUP($D402,'Move Editor'!$B:$B,'Move Editor'!$D:$D,""),pow,XLOOKUP($D402,'Move Editor'!$B:$B,'Move Editor'!$E:$E,0),acc,XLOOKUP($D402,'Move Editor'!$B:$B,'Move Editor'!$F:$F,100),atk,IF(cat="Physical",FLOOR((FLOOR(((2*XLOOKUP(XLOOKUP($Q402,'Threshold Summary'!$Y:$Y,'Threshold Summary'!$K:$K,""),'Pokemon Editor'!$A:$A,'Pokemon Editor'!$F:$F,0)+31+FLOOR(XLOOKUP($Q402,'Threshold Summary'!$Y:$Y,'Threshold Summary'!$P:$P,"")/4))*XLOOKUP($Q402,'Threshold Summary'!$Y:$Y,'Threshold Summary'!$L:$L,""))/100)+5)*XLOOKUP(XLOOKUP($Q402,'Threshold Summary'!$Y:$Y,'Threshold Summary'!$M:$M,""),'Nature Editor'!$A:$A,'Nature Editor'!$B:$B,1)),FLOOR((FLOOR(((2*XLOOKUP(XLOOKUP($Q402,'Threshold Summary'!$Y:$Y,'Threshold Summary'!$K:$K,""),'Pokemon Editor'!$A:$A,'Pokemon Editor'!$H:$H,0)+31+FLOOR(XLOOKUP($Q402,'Threshold Summary'!$Y:$Y,'Threshold Summary'!$R:$R,"")/4))*XLOOKUP($Q402,'Threshold Summary'!$Y:$Y,'Threshold Summary'!$L:$L,""))/100)+5)*XLOOKUP(XLOOKUP($Q402,'Threshold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Editor'!$E:$E,1))),stab,IF(OR(mtype=XLOOKUP(XLOOKUP($Q402,'Threshold Summary'!$Y:$Y,'Threshold Summary'!$K:$K,""),'Pokemon Editor'!$A:$A,'Pokemon Editor'!$C:$C,""),mtype=XLOOKUP(XLOOKUP($Q402,'Threshold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Chart'!$B$1:$S$1,0)))),base,IF(OR(cat="Status",pow=0),0,FLOOR(FLOOR(FLOOR((2*XLOOKUP($Q402,'Threshold Summary'!$Y:$Y,'Threshold Summary'!$L:$L,"")/5+2)*pow*atk/def)/50)+2)),modifier,stab*eff,AVERAGE(ARRAYFORMULA(FLOOR(base*modifier*SEQUENCE(16,1,85,1)/100)))),0)</f>
        <v/>
      </c>
      <c r="M402" s="3">
        <f>IFERROR(LET(mtype,XLOOKUP($D402,'Move Editor'!$B:$B,'Move Editor'!$C:$C,""),cat,XLOOKUP($D402,'Move Editor'!$B:$B,'Move Editor'!$D:$D,""),pow,XLOOKUP($D402,'Move Editor'!$B:$B,'Move Editor'!$E:$E,0),acc,XLOOKUP($D402,'Move Editor'!$B:$B,'Move Editor'!$F:$F,100),atk,IF(cat="Physical",FLOOR((FLOOR(((2*XLOOKUP(XLOOKUP($Q402,'Threshold Summary'!$Y:$Y,'Threshold Summary'!$K:$K,""),'Pokemon Editor'!$A:$A,'Pokemon Editor'!$F:$F,0)+31+FLOOR(XLOOKUP($Q402,'Threshold Summary'!$Y:$Y,'Threshold Summary'!$P:$P,"")/4))*XLOOKUP($Q402,'Threshold Summary'!$Y:$Y,'Threshold Summary'!$L:$L,""))/100)+5)*XLOOKUP(XLOOKUP($Q402,'Threshold Summary'!$Y:$Y,'Threshold Summary'!$M:$M,""),'Nature Editor'!$A:$A,'Nature Editor'!$B:$B,1)),FLOOR((FLOOR(((2*XLOOKUP(XLOOKUP($Q402,'Threshold Summary'!$Y:$Y,'Threshold Summary'!$K:$K,""),'Pokemon Editor'!$A:$A,'Pokemon Editor'!$H:$H,0)+31+FLOOR(XLOOKUP($Q402,'Threshold Summary'!$Y:$Y,'Threshold Summary'!$R:$R,"")/4))*XLOOKUP($Q402,'Threshold Summary'!$Y:$Y,'Threshold Summary'!$L:$L,""))/100)+5)*XLOOKUP(XLOOKUP($Q402,'Threshold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Editor'!$E:$E,1))),stab,IF(OR(mtype=XLOOKUP(XLOOKUP($Q402,'Threshold Summary'!$Y:$Y,'Threshold Summary'!$K:$K,""),'Pokemon Editor'!$A:$A,'Pokemon Editor'!$C:$C,""),mtype=XLOOKUP(XLOOKUP($Q402,'Threshold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Chart'!$B$1:$S$1,0)))),base,IF(OR(cat="Status",pow=0),0,FLOOR(FLOOR(FLOOR((2*XLOOKUP($Q402,'Threshold Summary'!$Y:$Y,'Threshold Summary'!$L:$L,"")/5+2)*pow*atk/def)/50)+2)),modifier,stab*eff,AVERAGE(ARRAYFORMULA(FLOOR(base*modifier*SEQUENCE(16,1,85,1)/100)))*MIN(1,acc/100)),0)</f>
        <v/>
      </c>
      <c r="N402" s="4">
        <f>IFERROR(LET(mtype,XLOOKUP($D402,'Move Editor'!$B:$B,'Move Editor'!$C:$C,""),cat,XLOOKUP($D402,'Move Editor'!$B:$B,'Move Editor'!$D:$D,""),pow,XLOOKUP($D402,'Move Editor'!$B:$B,'Move Editor'!$E:$E,0),acc,XLOOKUP($D402,'Move Editor'!$B:$B,'Move Editor'!$F:$F,100),atk,IF(cat="Physical",FLOOR((FLOOR(((2*XLOOKUP(XLOOKUP($Q402,'Threshold Summary'!$Y:$Y,'Threshold Summary'!$K:$K,""),'Pokemon Editor'!$A:$A,'Pokemon Editor'!$F:$F,0)+31+FLOOR(XLOOKUP($Q402,'Threshold Summary'!$Y:$Y,'Threshold Summary'!$P:$P,"")/4))*XLOOKUP($Q402,'Threshold Summary'!$Y:$Y,'Threshold Summary'!$L:$L,""))/100)+5)*XLOOKUP(XLOOKUP($Q402,'Threshold Summary'!$Y:$Y,'Threshold Summary'!$M:$M,""),'Nature Editor'!$A:$A,'Nature Editor'!$B:$B,1)),FLOOR((FLOOR(((2*XLOOKUP(XLOOKUP($Q402,'Threshold Summary'!$Y:$Y,'Threshold Summary'!$K:$K,""),'Pokemon Editor'!$A:$A,'Pokemon Editor'!$H:$H,0)+31+FLOOR(XLOOKUP($Q402,'Threshold Summary'!$Y:$Y,'Threshold Summary'!$R:$R,"")/4))*XLOOKUP($Q402,'Threshold Summary'!$Y:$Y,'Threshold Summary'!$L:$L,""))/100)+5)*XLOOKUP(XLOOKUP($Q402,'Threshold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Editor'!$E:$E,1))),stab,IF(OR(mtype=XLOOKUP(XLOOKUP($Q402,'Threshold Summary'!$Y:$Y,'Threshold Summary'!$K:$K,""),'Pokemon Editor'!$A:$A,'Pokemon Editor'!$C:$C,""),mtype=XLOOKUP(XLOOKUP($Q402,'Threshold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Chart'!$B$1:$S$1,0)))),base,IF(OR(cat="Status",pow=0),0,FLOOR(FLOOR(FLOOR((2*XLOOKUP($Q402,'Threshold Summary'!$Y:$Y,'Threshold Summary'!$L:$L,"")/5+2)*pow*atk/def)/50)+2)),modifier,stab*eff,AVERAGE(ARRAYFORMULA(FLOOR(base*modifier*SEQUENCE(16,1,85,1)/100)))/(FLOOR(((2*XLOOKUP('Boss Editor'!$C$4,'Pokemon Editor'!$A:$A,'Pokemon Editor'!$E:$E,0)+31+FLOOR('Boss Editor'!$G$4/4))*'Boss Editor'!$D$4)/100)+'Boss Editor'!$D$4+10)),0)</f>
        <v/>
      </c>
      <c r="O402" s="3">
        <f>IF(N402&gt;=1,"OHKO",IF(N402&gt;=0.5,"2HKO",IF(N402&gt;=0.333,"3HKO",IF(N402&gt;=0.25,"4HKO","5HKO+"))))</f>
        <v/>
      </c>
      <c r="P402" s="3" t="inlineStr">
        <is>
          <t>Live from editable databases</t>
        </is>
      </c>
      <c r="Q402" s="3" t="inlineStr">
        <is>
          <t>SPECIES_DRIFLOON</t>
        </is>
      </c>
      <c r="R402" s="3" t="n">
        <v>17</v>
      </c>
    </row>
    <row r="403">
      <c r="A403" s="3">
        <f>XLOOKUP($Q403,'Threshold Summary'!$Y:$Y,'Threshold Summary'!$A:$A,"")</f>
        <v/>
      </c>
      <c r="B403" s="3">
        <f>XLOOKUP($Q403,'Threshold Summary'!$Y:$Y,'Threshold Summary'!$M:$M,"")</f>
        <v/>
      </c>
      <c r="C403" s="3">
        <f>XLOOKUP($Q403,'Threshold Summary'!$Y:$Y,'Threshold Summary'!$N:$N,"")</f>
        <v/>
      </c>
      <c r="D403" s="3">
        <f>IFERROR(INDEX(FILTER('Learnset Editor'!$D$2:$D,'Learnset Editor'!$A$2:$A=XLOOKUP($Q403,'Threshold Summary'!$Y:$Y,'Threshold Summary'!$K:$K,""),'Learnset Editor'!$C$2:$C&lt;=XLOOKUP($Q403,'Threshold Summary'!$Y:$Y,'Threshold Summary'!$L:$L,"")),$R403),"")</f>
        <v/>
      </c>
      <c r="E403" s="3">
        <f>XLOOKUP(D403,'Move Editor'!$B:$B,'Move Editor'!$C:$C,"")</f>
        <v/>
      </c>
      <c r="F403" s="3">
        <f>XLOOKUP(D403,'Move Editor'!$B:$B,'Move Editor'!$D:$D,"")</f>
        <v/>
      </c>
      <c r="G403" s="3">
        <f>XLOOKUP(D403,'Move Editor'!$B:$B,'Move Editor'!$E:$E,0)</f>
        <v/>
      </c>
      <c r="H403" s="3">
        <f>XLOOKUP(D403,'Move Editor'!$B:$B,'Move Editor'!$F:$F,0)</f>
        <v/>
      </c>
      <c r="I403" s="3">
        <f>(INDEX('Type Chart'!$B:$S,MATCH(E403,'Type Chart'!$A:$A,0),MATCH(XLOOKUP('Boss Editor'!$C$4,'Pokemon Editor'!$A:$A,'Pokemon Editor'!$C:$C,""),'Type Chart'!$B$1:$S$1,0))*IF(XLOOKUP('Boss Editor'!$C$4,'Pokemon Editor'!$A:$A,'Pokemon Editor'!$D:$D,"")="",1,INDEX('Type Chart'!$B:$S,MATCH(E403,'Type Chart'!$A:$A,0),MATCH(XLOOKUP('Boss Editor'!$C$4,'Pokemon Editor'!$A:$A,'Pokemon Editor'!$D:$D,""),'Type Chart'!$B$1:$S$1,0))))</f>
        <v/>
      </c>
      <c r="J403" s="3">
        <f>IFERROR(LET(mtype,XLOOKUP($D403,'Move Editor'!$B:$B,'Move Editor'!$C:$C,""),cat,XLOOKUP($D403,'Move Editor'!$B:$B,'Move Editor'!$D:$D,""),pow,XLOOKUP($D403,'Move Editor'!$B:$B,'Move Editor'!$E:$E,0),acc,XLOOKUP($D403,'Move Editor'!$B:$B,'Move Editor'!$F:$F,100),atk,IF(cat="Physical",FLOOR((FLOOR(((2*XLOOKUP(XLOOKUP($Q403,'Threshold Summary'!$Y:$Y,'Threshold Summary'!$K:$K,""),'Pokemon Editor'!$A:$A,'Pokemon Editor'!$F:$F,0)+31+FLOOR(XLOOKUP($Q403,'Threshold Summary'!$Y:$Y,'Threshold Summary'!$P:$P,"")/4))*XLOOKUP($Q403,'Threshold Summary'!$Y:$Y,'Threshold Summary'!$L:$L,""))/100)+5)*XLOOKUP(XLOOKUP($Q403,'Threshold Summary'!$Y:$Y,'Threshold Summary'!$M:$M,""),'Nature Editor'!$A:$A,'Nature Editor'!$B:$B,1)),FLOOR((FLOOR(((2*XLOOKUP(XLOOKUP($Q403,'Threshold Summary'!$Y:$Y,'Threshold Summary'!$K:$K,""),'Pokemon Editor'!$A:$A,'Pokemon Editor'!$H:$H,0)+31+FLOOR(XLOOKUP($Q403,'Threshold Summary'!$Y:$Y,'Threshold Summary'!$R:$R,"")/4))*XLOOKUP($Q403,'Threshold Summary'!$Y:$Y,'Threshold Summary'!$L:$L,""))/100)+5)*XLOOKUP(XLOOKUP($Q403,'Threshold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Editor'!$E:$E,1))),stab,IF(OR(mtype=XLOOKUP(XLOOKUP($Q403,'Threshold Summary'!$Y:$Y,'Threshold Summary'!$K:$K,""),'Pokemon Editor'!$A:$A,'Pokemon Editor'!$C:$C,""),mtype=XLOOKUP(XLOOKUP($Q403,'Threshold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Chart'!$B$1:$S$1,0)))),base,IF(OR(cat="Status",pow=0),0,FLOOR(FLOOR(FLOOR((2*XLOOKUP($Q403,'Threshold Summary'!$Y:$Y,'Threshold Summary'!$L:$L,"")/5+2)*pow*atk/def)/50)+2)),modifier,stab*eff,FLOOR(base*modifier*0.85)),0)</f>
        <v/>
      </c>
      <c r="K403" s="3">
        <f>IFERROR(LET(mtype,XLOOKUP($D403,'Move Editor'!$B:$B,'Move Editor'!$C:$C,""),cat,XLOOKUP($D403,'Move Editor'!$B:$B,'Move Editor'!$D:$D,""),pow,XLOOKUP($D403,'Move Editor'!$B:$B,'Move Editor'!$E:$E,0),acc,XLOOKUP($D403,'Move Editor'!$B:$B,'Move Editor'!$F:$F,100),atk,IF(cat="Physical",FLOOR((FLOOR(((2*XLOOKUP(XLOOKUP($Q403,'Threshold Summary'!$Y:$Y,'Threshold Summary'!$K:$K,""),'Pokemon Editor'!$A:$A,'Pokemon Editor'!$F:$F,0)+31+FLOOR(XLOOKUP($Q403,'Threshold Summary'!$Y:$Y,'Threshold Summary'!$P:$P,"")/4))*XLOOKUP($Q403,'Threshold Summary'!$Y:$Y,'Threshold Summary'!$L:$L,""))/100)+5)*XLOOKUP(XLOOKUP($Q403,'Threshold Summary'!$Y:$Y,'Threshold Summary'!$M:$M,""),'Nature Editor'!$A:$A,'Nature Editor'!$B:$B,1)),FLOOR((FLOOR(((2*XLOOKUP(XLOOKUP($Q403,'Threshold Summary'!$Y:$Y,'Threshold Summary'!$K:$K,""),'Pokemon Editor'!$A:$A,'Pokemon Editor'!$H:$H,0)+31+FLOOR(XLOOKUP($Q403,'Threshold Summary'!$Y:$Y,'Threshold Summary'!$R:$R,"")/4))*XLOOKUP($Q403,'Threshold Summary'!$Y:$Y,'Threshold Summary'!$L:$L,""))/100)+5)*XLOOKUP(XLOOKUP($Q403,'Threshold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Editor'!$E:$E,1))),stab,IF(OR(mtype=XLOOKUP(XLOOKUP($Q403,'Threshold Summary'!$Y:$Y,'Threshold Summary'!$K:$K,""),'Pokemon Editor'!$A:$A,'Pokemon Editor'!$C:$C,""),mtype=XLOOKUP(XLOOKUP($Q403,'Threshold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Chart'!$B$1:$S$1,0)))),base,IF(OR(cat="Status",pow=0),0,FLOOR(FLOOR(FLOOR((2*XLOOKUP($Q403,'Threshold Summary'!$Y:$Y,'Threshold Summary'!$L:$L,"")/5+2)*pow*atk/def)/50)+2)),modifier,stab*eff,FLOOR(base*modifier)),0)</f>
        <v/>
      </c>
      <c r="L403" s="3">
        <f>IFERROR(LET(mtype,XLOOKUP($D403,'Move Editor'!$B:$B,'Move Editor'!$C:$C,""),cat,XLOOKUP($D403,'Move Editor'!$B:$B,'Move Editor'!$D:$D,""),pow,XLOOKUP($D403,'Move Editor'!$B:$B,'Move Editor'!$E:$E,0),acc,XLOOKUP($D403,'Move Editor'!$B:$B,'Move Editor'!$F:$F,100),atk,IF(cat="Physical",FLOOR((FLOOR(((2*XLOOKUP(XLOOKUP($Q403,'Threshold Summary'!$Y:$Y,'Threshold Summary'!$K:$K,""),'Pokemon Editor'!$A:$A,'Pokemon Editor'!$F:$F,0)+31+FLOOR(XLOOKUP($Q403,'Threshold Summary'!$Y:$Y,'Threshold Summary'!$P:$P,"")/4))*XLOOKUP($Q403,'Threshold Summary'!$Y:$Y,'Threshold Summary'!$L:$L,""))/100)+5)*XLOOKUP(XLOOKUP($Q403,'Threshold Summary'!$Y:$Y,'Threshold Summary'!$M:$M,""),'Nature Editor'!$A:$A,'Nature Editor'!$B:$B,1)),FLOOR((FLOOR(((2*XLOOKUP(XLOOKUP($Q403,'Threshold Summary'!$Y:$Y,'Threshold Summary'!$K:$K,""),'Pokemon Editor'!$A:$A,'Pokemon Editor'!$H:$H,0)+31+FLOOR(XLOOKUP($Q403,'Threshold Summary'!$Y:$Y,'Threshold Summary'!$R:$R,"")/4))*XLOOKUP($Q403,'Threshold Summary'!$Y:$Y,'Threshold Summary'!$L:$L,""))/100)+5)*XLOOKUP(XLOOKUP($Q403,'Threshold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Editor'!$E:$E,1))),stab,IF(OR(mtype=XLOOKUP(XLOOKUP($Q403,'Threshold Summary'!$Y:$Y,'Threshold Summary'!$K:$K,""),'Pokemon Editor'!$A:$A,'Pokemon Editor'!$C:$C,""),mtype=XLOOKUP(XLOOKUP($Q403,'Threshold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Chart'!$B$1:$S$1,0)))),base,IF(OR(cat="Status",pow=0),0,FLOOR(FLOOR(FLOOR((2*XLOOKUP($Q403,'Threshold Summary'!$Y:$Y,'Threshold Summary'!$L:$L,"")/5+2)*pow*atk/def)/50)+2)),modifier,stab*eff,AVERAGE(ARRAYFORMULA(FLOOR(base*modifier*SEQUENCE(16,1,85,1)/100)))),0)</f>
        <v/>
      </c>
      <c r="M403" s="3">
        <f>IFERROR(LET(mtype,XLOOKUP($D403,'Move Editor'!$B:$B,'Move Editor'!$C:$C,""),cat,XLOOKUP($D403,'Move Editor'!$B:$B,'Move Editor'!$D:$D,""),pow,XLOOKUP($D403,'Move Editor'!$B:$B,'Move Editor'!$E:$E,0),acc,XLOOKUP($D403,'Move Editor'!$B:$B,'Move Editor'!$F:$F,100),atk,IF(cat="Physical",FLOOR((FLOOR(((2*XLOOKUP(XLOOKUP($Q403,'Threshold Summary'!$Y:$Y,'Threshold Summary'!$K:$K,""),'Pokemon Editor'!$A:$A,'Pokemon Editor'!$F:$F,0)+31+FLOOR(XLOOKUP($Q403,'Threshold Summary'!$Y:$Y,'Threshold Summary'!$P:$P,"")/4))*XLOOKUP($Q403,'Threshold Summary'!$Y:$Y,'Threshold Summary'!$L:$L,""))/100)+5)*XLOOKUP(XLOOKUP($Q403,'Threshold Summary'!$Y:$Y,'Threshold Summary'!$M:$M,""),'Nature Editor'!$A:$A,'Nature Editor'!$B:$B,1)),FLOOR((FLOOR(((2*XLOOKUP(XLOOKUP($Q403,'Threshold Summary'!$Y:$Y,'Threshold Summary'!$K:$K,""),'Pokemon Editor'!$A:$A,'Pokemon Editor'!$H:$H,0)+31+FLOOR(XLOOKUP($Q403,'Threshold Summary'!$Y:$Y,'Threshold Summary'!$R:$R,"")/4))*XLOOKUP($Q403,'Threshold Summary'!$Y:$Y,'Threshold Summary'!$L:$L,""))/100)+5)*XLOOKUP(XLOOKUP($Q403,'Threshold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Editor'!$E:$E,1))),stab,IF(OR(mtype=XLOOKUP(XLOOKUP($Q403,'Threshold Summary'!$Y:$Y,'Threshold Summary'!$K:$K,""),'Pokemon Editor'!$A:$A,'Pokemon Editor'!$C:$C,""),mtype=XLOOKUP(XLOOKUP($Q403,'Threshold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Chart'!$B$1:$S$1,0)))),base,IF(OR(cat="Status",pow=0),0,FLOOR(FLOOR(FLOOR((2*XLOOKUP($Q403,'Threshold Summary'!$Y:$Y,'Threshold Summary'!$L:$L,"")/5+2)*pow*atk/def)/50)+2)),modifier,stab*eff,AVERAGE(ARRAYFORMULA(FLOOR(base*modifier*SEQUENCE(16,1,85,1)/100)))*MIN(1,acc/100)),0)</f>
        <v/>
      </c>
      <c r="N403" s="4">
        <f>IFERROR(LET(mtype,XLOOKUP($D403,'Move Editor'!$B:$B,'Move Editor'!$C:$C,""),cat,XLOOKUP($D403,'Move Editor'!$B:$B,'Move Editor'!$D:$D,""),pow,XLOOKUP($D403,'Move Editor'!$B:$B,'Move Editor'!$E:$E,0),acc,XLOOKUP($D403,'Move Editor'!$B:$B,'Move Editor'!$F:$F,100),atk,IF(cat="Physical",FLOOR((FLOOR(((2*XLOOKUP(XLOOKUP($Q403,'Threshold Summary'!$Y:$Y,'Threshold Summary'!$K:$K,""),'Pokemon Editor'!$A:$A,'Pokemon Editor'!$F:$F,0)+31+FLOOR(XLOOKUP($Q403,'Threshold Summary'!$Y:$Y,'Threshold Summary'!$P:$P,"")/4))*XLOOKUP($Q403,'Threshold Summary'!$Y:$Y,'Threshold Summary'!$L:$L,""))/100)+5)*XLOOKUP(XLOOKUP($Q403,'Threshold Summary'!$Y:$Y,'Threshold Summary'!$M:$M,""),'Nature Editor'!$A:$A,'Nature Editor'!$B:$B,1)),FLOOR((FLOOR(((2*XLOOKUP(XLOOKUP($Q403,'Threshold Summary'!$Y:$Y,'Threshold Summary'!$K:$K,""),'Pokemon Editor'!$A:$A,'Pokemon Editor'!$H:$H,0)+31+FLOOR(XLOOKUP($Q403,'Threshold Summary'!$Y:$Y,'Threshold Summary'!$R:$R,"")/4))*XLOOKUP($Q403,'Threshold Summary'!$Y:$Y,'Threshold Summary'!$L:$L,""))/100)+5)*XLOOKUP(XLOOKUP($Q403,'Threshold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Editor'!$E:$E,1))),stab,IF(OR(mtype=XLOOKUP(XLOOKUP($Q403,'Threshold Summary'!$Y:$Y,'Threshold Summary'!$K:$K,""),'Pokemon Editor'!$A:$A,'Pokemon Editor'!$C:$C,""),mtype=XLOOKUP(XLOOKUP($Q403,'Threshold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Chart'!$B$1:$S$1,0)))),base,IF(OR(cat="Status",pow=0),0,FLOOR(FLOOR(FLOOR((2*XLOOKUP($Q403,'Threshold Summary'!$Y:$Y,'Threshold Summary'!$L:$L,"")/5+2)*pow*atk/def)/50)+2)),modifier,stab*eff,AVERAGE(ARRAYFORMULA(FLOOR(base*modifier*SEQUENCE(16,1,85,1)/100)))/(FLOOR(((2*XLOOKUP('Boss Editor'!$C$4,'Pokemon Editor'!$A:$A,'Pokemon Editor'!$E:$E,0)+31+FLOOR('Boss Editor'!$G$4/4))*'Boss Editor'!$D$4)/100)+'Boss Editor'!$D$4+10)),0)</f>
        <v/>
      </c>
      <c r="O403" s="3">
        <f>IF(N403&gt;=1,"OHKO",IF(N403&gt;=0.5,"2HKO",IF(N403&gt;=0.333,"3HKO",IF(N403&gt;=0.25,"4HKO","5HKO+"))))</f>
        <v/>
      </c>
      <c r="P403" s="3" t="inlineStr">
        <is>
          <t>Live from editable databases</t>
        </is>
      </c>
      <c r="Q403" s="3" t="inlineStr">
        <is>
          <t>SPECIES_DRIFLOON</t>
        </is>
      </c>
      <c r="R403" s="3" t="n">
        <v>18</v>
      </c>
    </row>
    <row r="404">
      <c r="A404" s="3">
        <f>XLOOKUP($Q404,'Threshold Summary'!$Y:$Y,'Threshold Summary'!$A:$A,"")</f>
        <v/>
      </c>
      <c r="B404" s="3">
        <f>XLOOKUP($Q404,'Threshold Summary'!$Y:$Y,'Threshold Summary'!$M:$M,"")</f>
        <v/>
      </c>
      <c r="C404" s="3">
        <f>XLOOKUP($Q404,'Threshold Summary'!$Y:$Y,'Threshold Summary'!$N:$N,"")</f>
        <v/>
      </c>
      <c r="D404" s="3">
        <f>IFERROR(INDEX(FILTER('Learnset Editor'!$D$2:$D,'Learnset Editor'!$A$2:$A=XLOOKUP($Q404,'Threshold Summary'!$Y:$Y,'Threshold Summary'!$K:$K,""),'Learnset Editor'!$C$2:$C&lt;=XLOOKUP($Q404,'Threshold Summary'!$Y:$Y,'Threshold Summary'!$L:$L,"")),$R404),"")</f>
        <v/>
      </c>
      <c r="E404" s="3">
        <f>XLOOKUP(D404,'Move Editor'!$B:$B,'Move Editor'!$C:$C,"")</f>
        <v/>
      </c>
      <c r="F404" s="3">
        <f>XLOOKUP(D404,'Move Editor'!$B:$B,'Move Editor'!$D:$D,"")</f>
        <v/>
      </c>
      <c r="G404" s="3">
        <f>XLOOKUP(D404,'Move Editor'!$B:$B,'Move Editor'!$E:$E,0)</f>
        <v/>
      </c>
      <c r="H404" s="3">
        <f>XLOOKUP(D404,'Move Editor'!$B:$B,'Move Editor'!$F:$F,0)</f>
        <v/>
      </c>
      <c r="I404" s="3">
        <f>(INDEX('Type Chart'!$B:$S,MATCH(E404,'Type Chart'!$A:$A,0),MATCH(XLOOKUP('Boss Editor'!$C$4,'Pokemon Editor'!$A:$A,'Pokemon Editor'!$C:$C,""),'Type Chart'!$B$1:$S$1,0))*IF(XLOOKUP('Boss Editor'!$C$4,'Pokemon Editor'!$A:$A,'Pokemon Editor'!$D:$D,"")="",1,INDEX('Type Chart'!$B:$S,MATCH(E404,'Type Chart'!$A:$A,0),MATCH(XLOOKUP('Boss Editor'!$C$4,'Pokemon Editor'!$A:$A,'Pokemon Editor'!$D:$D,""),'Type Chart'!$B$1:$S$1,0))))</f>
        <v/>
      </c>
      <c r="J404" s="3">
        <f>IFERROR(LET(mtype,XLOOKUP($D404,'Move Editor'!$B:$B,'Move Editor'!$C:$C,""),cat,XLOOKUP($D404,'Move Editor'!$B:$B,'Move Editor'!$D:$D,""),pow,XLOOKUP($D404,'Move Editor'!$B:$B,'Move Editor'!$E:$E,0),acc,XLOOKUP($D404,'Move Editor'!$B:$B,'Move Editor'!$F:$F,100),atk,IF(cat="Physical",FLOOR((FLOOR(((2*XLOOKUP(XLOOKUP($Q404,'Threshold Summary'!$Y:$Y,'Threshold Summary'!$K:$K,""),'Pokemon Editor'!$A:$A,'Pokemon Editor'!$F:$F,0)+31+FLOOR(XLOOKUP($Q404,'Threshold Summary'!$Y:$Y,'Threshold Summary'!$P:$P,"")/4))*XLOOKUP($Q404,'Threshold Summary'!$Y:$Y,'Threshold Summary'!$L:$L,""))/100)+5)*XLOOKUP(XLOOKUP($Q404,'Threshold Summary'!$Y:$Y,'Threshold Summary'!$M:$M,""),'Nature Editor'!$A:$A,'Nature Editor'!$B:$B,1)),FLOOR((FLOOR(((2*XLOOKUP(XLOOKUP($Q404,'Threshold Summary'!$Y:$Y,'Threshold Summary'!$K:$K,""),'Pokemon Editor'!$A:$A,'Pokemon Editor'!$H:$H,0)+31+FLOOR(XLOOKUP($Q404,'Threshold Summary'!$Y:$Y,'Threshold Summary'!$R:$R,"")/4))*XLOOKUP($Q404,'Threshold Summary'!$Y:$Y,'Threshold Summary'!$L:$L,""))/100)+5)*XLOOKUP(XLOOKUP($Q404,'Threshold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Editor'!$E:$E,1))),stab,IF(OR(mtype=XLOOKUP(XLOOKUP($Q404,'Threshold Summary'!$Y:$Y,'Threshold Summary'!$K:$K,""),'Pokemon Editor'!$A:$A,'Pokemon Editor'!$C:$C,""),mtype=XLOOKUP(XLOOKUP($Q404,'Threshold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Chart'!$B$1:$S$1,0)))),base,IF(OR(cat="Status",pow=0),0,FLOOR(FLOOR(FLOOR((2*XLOOKUP($Q404,'Threshold Summary'!$Y:$Y,'Threshold Summary'!$L:$L,"")/5+2)*pow*atk/def)/50)+2)),modifier,stab*eff,FLOOR(base*modifier*0.85)),0)</f>
        <v/>
      </c>
      <c r="K404" s="3">
        <f>IFERROR(LET(mtype,XLOOKUP($D404,'Move Editor'!$B:$B,'Move Editor'!$C:$C,""),cat,XLOOKUP($D404,'Move Editor'!$B:$B,'Move Editor'!$D:$D,""),pow,XLOOKUP($D404,'Move Editor'!$B:$B,'Move Editor'!$E:$E,0),acc,XLOOKUP($D404,'Move Editor'!$B:$B,'Move Editor'!$F:$F,100),atk,IF(cat="Physical",FLOOR((FLOOR(((2*XLOOKUP(XLOOKUP($Q404,'Threshold Summary'!$Y:$Y,'Threshold Summary'!$K:$K,""),'Pokemon Editor'!$A:$A,'Pokemon Editor'!$F:$F,0)+31+FLOOR(XLOOKUP($Q404,'Threshold Summary'!$Y:$Y,'Threshold Summary'!$P:$P,"")/4))*XLOOKUP($Q404,'Threshold Summary'!$Y:$Y,'Threshold Summary'!$L:$L,""))/100)+5)*XLOOKUP(XLOOKUP($Q404,'Threshold Summary'!$Y:$Y,'Threshold Summary'!$M:$M,""),'Nature Editor'!$A:$A,'Nature Editor'!$B:$B,1)),FLOOR((FLOOR(((2*XLOOKUP(XLOOKUP($Q404,'Threshold Summary'!$Y:$Y,'Threshold Summary'!$K:$K,""),'Pokemon Editor'!$A:$A,'Pokemon Editor'!$H:$H,0)+31+FLOOR(XLOOKUP($Q404,'Threshold Summary'!$Y:$Y,'Threshold Summary'!$R:$R,"")/4))*XLOOKUP($Q404,'Threshold Summary'!$Y:$Y,'Threshold Summary'!$L:$L,""))/100)+5)*XLOOKUP(XLOOKUP($Q404,'Threshold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Editor'!$E:$E,1))),stab,IF(OR(mtype=XLOOKUP(XLOOKUP($Q404,'Threshold Summary'!$Y:$Y,'Threshold Summary'!$K:$K,""),'Pokemon Editor'!$A:$A,'Pokemon Editor'!$C:$C,""),mtype=XLOOKUP(XLOOKUP($Q404,'Threshold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Chart'!$B$1:$S$1,0)))),base,IF(OR(cat="Status",pow=0),0,FLOOR(FLOOR(FLOOR((2*XLOOKUP($Q404,'Threshold Summary'!$Y:$Y,'Threshold Summary'!$L:$L,"")/5+2)*pow*atk/def)/50)+2)),modifier,stab*eff,FLOOR(base*modifier)),0)</f>
        <v/>
      </c>
      <c r="L404" s="3">
        <f>IFERROR(LET(mtype,XLOOKUP($D404,'Move Editor'!$B:$B,'Move Editor'!$C:$C,""),cat,XLOOKUP($D404,'Move Editor'!$B:$B,'Move Editor'!$D:$D,""),pow,XLOOKUP($D404,'Move Editor'!$B:$B,'Move Editor'!$E:$E,0),acc,XLOOKUP($D404,'Move Editor'!$B:$B,'Move Editor'!$F:$F,100),atk,IF(cat="Physical",FLOOR((FLOOR(((2*XLOOKUP(XLOOKUP($Q404,'Threshold Summary'!$Y:$Y,'Threshold Summary'!$K:$K,""),'Pokemon Editor'!$A:$A,'Pokemon Editor'!$F:$F,0)+31+FLOOR(XLOOKUP($Q404,'Threshold Summary'!$Y:$Y,'Threshold Summary'!$P:$P,"")/4))*XLOOKUP($Q404,'Threshold Summary'!$Y:$Y,'Threshold Summary'!$L:$L,""))/100)+5)*XLOOKUP(XLOOKUP($Q404,'Threshold Summary'!$Y:$Y,'Threshold Summary'!$M:$M,""),'Nature Editor'!$A:$A,'Nature Editor'!$B:$B,1)),FLOOR((FLOOR(((2*XLOOKUP(XLOOKUP($Q404,'Threshold Summary'!$Y:$Y,'Threshold Summary'!$K:$K,""),'Pokemon Editor'!$A:$A,'Pokemon Editor'!$H:$H,0)+31+FLOOR(XLOOKUP($Q404,'Threshold Summary'!$Y:$Y,'Threshold Summary'!$R:$R,"")/4))*XLOOKUP($Q404,'Threshold Summary'!$Y:$Y,'Threshold Summary'!$L:$L,""))/100)+5)*XLOOKUP(XLOOKUP($Q404,'Threshold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Editor'!$E:$E,1))),stab,IF(OR(mtype=XLOOKUP(XLOOKUP($Q404,'Threshold Summary'!$Y:$Y,'Threshold Summary'!$K:$K,""),'Pokemon Editor'!$A:$A,'Pokemon Editor'!$C:$C,""),mtype=XLOOKUP(XLOOKUP($Q404,'Threshold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Chart'!$B$1:$S$1,0)))),base,IF(OR(cat="Status",pow=0),0,FLOOR(FLOOR(FLOOR((2*XLOOKUP($Q404,'Threshold Summary'!$Y:$Y,'Threshold Summary'!$L:$L,"")/5+2)*pow*atk/def)/50)+2)),modifier,stab*eff,AVERAGE(ARRAYFORMULA(FLOOR(base*modifier*SEQUENCE(16,1,85,1)/100)))),0)</f>
        <v/>
      </c>
      <c r="M404" s="3">
        <f>IFERROR(LET(mtype,XLOOKUP($D404,'Move Editor'!$B:$B,'Move Editor'!$C:$C,""),cat,XLOOKUP($D404,'Move Editor'!$B:$B,'Move Editor'!$D:$D,""),pow,XLOOKUP($D404,'Move Editor'!$B:$B,'Move Editor'!$E:$E,0),acc,XLOOKUP($D404,'Move Editor'!$B:$B,'Move Editor'!$F:$F,100),atk,IF(cat="Physical",FLOOR((FLOOR(((2*XLOOKUP(XLOOKUP($Q404,'Threshold Summary'!$Y:$Y,'Threshold Summary'!$K:$K,""),'Pokemon Editor'!$A:$A,'Pokemon Editor'!$F:$F,0)+31+FLOOR(XLOOKUP($Q404,'Threshold Summary'!$Y:$Y,'Threshold Summary'!$P:$P,"")/4))*XLOOKUP($Q404,'Threshold Summary'!$Y:$Y,'Threshold Summary'!$L:$L,""))/100)+5)*XLOOKUP(XLOOKUP($Q404,'Threshold Summary'!$Y:$Y,'Threshold Summary'!$M:$M,""),'Nature Editor'!$A:$A,'Nature Editor'!$B:$B,1)),FLOOR((FLOOR(((2*XLOOKUP(XLOOKUP($Q404,'Threshold Summary'!$Y:$Y,'Threshold Summary'!$K:$K,""),'Pokemon Editor'!$A:$A,'Pokemon Editor'!$H:$H,0)+31+FLOOR(XLOOKUP($Q404,'Threshold Summary'!$Y:$Y,'Threshold Summary'!$R:$R,"")/4))*XLOOKUP($Q404,'Threshold Summary'!$Y:$Y,'Threshold Summary'!$L:$L,""))/100)+5)*XLOOKUP(XLOOKUP($Q404,'Threshold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Editor'!$E:$E,1))),stab,IF(OR(mtype=XLOOKUP(XLOOKUP($Q404,'Threshold Summary'!$Y:$Y,'Threshold Summary'!$K:$K,""),'Pokemon Editor'!$A:$A,'Pokemon Editor'!$C:$C,""),mtype=XLOOKUP(XLOOKUP($Q404,'Threshold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Chart'!$B$1:$S$1,0)))),base,IF(OR(cat="Status",pow=0),0,FLOOR(FLOOR(FLOOR((2*XLOOKUP($Q404,'Threshold Summary'!$Y:$Y,'Threshold Summary'!$L:$L,"")/5+2)*pow*atk/def)/50)+2)),modifier,stab*eff,AVERAGE(ARRAYFORMULA(FLOOR(base*modifier*SEQUENCE(16,1,85,1)/100)))*MIN(1,acc/100)),0)</f>
        <v/>
      </c>
      <c r="N404" s="4">
        <f>IFERROR(LET(mtype,XLOOKUP($D404,'Move Editor'!$B:$B,'Move Editor'!$C:$C,""),cat,XLOOKUP($D404,'Move Editor'!$B:$B,'Move Editor'!$D:$D,""),pow,XLOOKUP($D404,'Move Editor'!$B:$B,'Move Editor'!$E:$E,0),acc,XLOOKUP($D404,'Move Editor'!$B:$B,'Move Editor'!$F:$F,100),atk,IF(cat="Physical",FLOOR((FLOOR(((2*XLOOKUP(XLOOKUP($Q404,'Threshold Summary'!$Y:$Y,'Threshold Summary'!$K:$K,""),'Pokemon Editor'!$A:$A,'Pokemon Editor'!$F:$F,0)+31+FLOOR(XLOOKUP($Q404,'Threshold Summary'!$Y:$Y,'Threshold Summary'!$P:$P,"")/4))*XLOOKUP($Q404,'Threshold Summary'!$Y:$Y,'Threshold Summary'!$L:$L,""))/100)+5)*XLOOKUP(XLOOKUP($Q404,'Threshold Summary'!$Y:$Y,'Threshold Summary'!$M:$M,""),'Nature Editor'!$A:$A,'Nature Editor'!$B:$B,1)),FLOOR((FLOOR(((2*XLOOKUP(XLOOKUP($Q404,'Threshold Summary'!$Y:$Y,'Threshold Summary'!$K:$K,""),'Pokemon Editor'!$A:$A,'Pokemon Editor'!$H:$H,0)+31+FLOOR(XLOOKUP($Q404,'Threshold Summary'!$Y:$Y,'Threshold Summary'!$R:$R,"")/4))*XLOOKUP($Q404,'Threshold Summary'!$Y:$Y,'Threshold Summary'!$L:$L,""))/100)+5)*XLOOKUP(XLOOKUP($Q404,'Threshold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Editor'!$E:$E,1))),stab,IF(OR(mtype=XLOOKUP(XLOOKUP($Q404,'Threshold Summary'!$Y:$Y,'Threshold Summary'!$K:$K,""),'Pokemon Editor'!$A:$A,'Pokemon Editor'!$C:$C,""),mtype=XLOOKUP(XLOOKUP($Q404,'Threshold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Chart'!$B$1:$S$1,0)))),base,IF(OR(cat="Status",pow=0),0,FLOOR(FLOOR(FLOOR((2*XLOOKUP($Q404,'Threshold Summary'!$Y:$Y,'Threshold Summary'!$L:$L,"")/5+2)*pow*atk/def)/50)+2)),modifier,stab*eff,AVERAGE(ARRAYFORMULA(FLOOR(base*modifier*SEQUENCE(16,1,85,1)/100)))/(FLOOR(((2*XLOOKUP('Boss Editor'!$C$4,'Pokemon Editor'!$A:$A,'Pokemon Editor'!$E:$E,0)+31+FLOOR('Boss Editor'!$G$4/4))*'Boss Editor'!$D$4)/100)+'Boss Editor'!$D$4+10)),0)</f>
        <v/>
      </c>
      <c r="O404" s="3">
        <f>IF(N404&gt;=1,"OHKO",IF(N404&gt;=0.5,"2HKO",IF(N404&gt;=0.333,"3HKO",IF(N404&gt;=0.25,"4HKO","5HKO+"))))</f>
        <v/>
      </c>
      <c r="P404" s="3" t="inlineStr">
        <is>
          <t>Live from editable databases</t>
        </is>
      </c>
      <c r="Q404" s="3" t="inlineStr">
        <is>
          <t>SPECIES_DRIFLOON</t>
        </is>
      </c>
      <c r="R404" s="3" t="n">
        <v>19</v>
      </c>
    </row>
    <row r="405">
      <c r="A405" s="3">
        <f>XLOOKUP($Q405,'Threshold Summary'!$Y:$Y,'Threshold Summary'!$A:$A,"")</f>
        <v/>
      </c>
      <c r="B405" s="3">
        <f>XLOOKUP($Q405,'Threshold Summary'!$Y:$Y,'Threshold Summary'!$M:$M,"")</f>
        <v/>
      </c>
      <c r="C405" s="3">
        <f>XLOOKUP($Q405,'Threshold Summary'!$Y:$Y,'Threshold Summary'!$N:$N,"")</f>
        <v/>
      </c>
      <c r="D405" s="3">
        <f>IFERROR(INDEX(FILTER('Learnset Editor'!$D$2:$D,'Learnset Editor'!$A$2:$A=XLOOKUP($Q405,'Threshold Summary'!$Y:$Y,'Threshold Summary'!$K:$K,""),'Learnset Editor'!$C$2:$C&lt;=XLOOKUP($Q405,'Threshold Summary'!$Y:$Y,'Threshold Summary'!$L:$L,"")),$R405),"")</f>
        <v/>
      </c>
      <c r="E405" s="3">
        <f>XLOOKUP(D405,'Move Editor'!$B:$B,'Move Editor'!$C:$C,"")</f>
        <v/>
      </c>
      <c r="F405" s="3">
        <f>XLOOKUP(D405,'Move Editor'!$B:$B,'Move Editor'!$D:$D,"")</f>
        <v/>
      </c>
      <c r="G405" s="3">
        <f>XLOOKUP(D405,'Move Editor'!$B:$B,'Move Editor'!$E:$E,0)</f>
        <v/>
      </c>
      <c r="H405" s="3">
        <f>XLOOKUP(D405,'Move Editor'!$B:$B,'Move Editor'!$F:$F,0)</f>
        <v/>
      </c>
      <c r="I405" s="3">
        <f>(INDEX('Type Chart'!$B:$S,MATCH(E405,'Type Chart'!$A:$A,0),MATCH(XLOOKUP('Boss Editor'!$C$4,'Pokemon Editor'!$A:$A,'Pokemon Editor'!$C:$C,""),'Type Chart'!$B$1:$S$1,0))*IF(XLOOKUP('Boss Editor'!$C$4,'Pokemon Editor'!$A:$A,'Pokemon Editor'!$D:$D,"")="",1,INDEX('Type Chart'!$B:$S,MATCH(E405,'Type Chart'!$A:$A,0),MATCH(XLOOKUP('Boss Editor'!$C$4,'Pokemon Editor'!$A:$A,'Pokemon Editor'!$D:$D,""),'Type Chart'!$B$1:$S$1,0))))</f>
        <v/>
      </c>
      <c r="J405" s="3">
        <f>IFERROR(LET(mtype,XLOOKUP($D405,'Move Editor'!$B:$B,'Move Editor'!$C:$C,""),cat,XLOOKUP($D405,'Move Editor'!$B:$B,'Move Editor'!$D:$D,""),pow,XLOOKUP($D405,'Move Editor'!$B:$B,'Move Editor'!$E:$E,0),acc,XLOOKUP($D405,'Move Editor'!$B:$B,'Move Editor'!$F:$F,100),atk,IF(cat="Physical",FLOOR((FLOOR(((2*XLOOKUP(XLOOKUP($Q405,'Threshold Summary'!$Y:$Y,'Threshold Summary'!$K:$K,""),'Pokemon Editor'!$A:$A,'Pokemon Editor'!$F:$F,0)+31+FLOOR(XLOOKUP($Q405,'Threshold Summary'!$Y:$Y,'Threshold Summary'!$P:$P,"")/4))*XLOOKUP($Q405,'Threshold Summary'!$Y:$Y,'Threshold Summary'!$L:$L,""))/100)+5)*XLOOKUP(XLOOKUP($Q405,'Threshold Summary'!$Y:$Y,'Threshold Summary'!$M:$M,""),'Nature Editor'!$A:$A,'Nature Editor'!$B:$B,1)),FLOOR((FLOOR(((2*XLOOKUP(XLOOKUP($Q405,'Threshold Summary'!$Y:$Y,'Threshold Summary'!$K:$K,""),'Pokemon Editor'!$A:$A,'Pokemon Editor'!$H:$H,0)+31+FLOOR(XLOOKUP($Q405,'Threshold Summary'!$Y:$Y,'Threshold Summary'!$R:$R,"")/4))*XLOOKUP($Q405,'Threshold Summary'!$Y:$Y,'Threshold Summary'!$L:$L,""))/100)+5)*XLOOKUP(XLOOKUP($Q405,'Threshold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Editor'!$E:$E,1))),stab,IF(OR(mtype=XLOOKUP(XLOOKUP($Q405,'Threshold Summary'!$Y:$Y,'Threshold Summary'!$K:$K,""),'Pokemon Editor'!$A:$A,'Pokemon Editor'!$C:$C,""),mtype=XLOOKUP(XLOOKUP($Q405,'Threshold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Chart'!$B$1:$S$1,0)))),base,IF(OR(cat="Status",pow=0),0,FLOOR(FLOOR(FLOOR((2*XLOOKUP($Q405,'Threshold Summary'!$Y:$Y,'Threshold Summary'!$L:$L,"")/5+2)*pow*atk/def)/50)+2)),modifier,stab*eff,FLOOR(base*modifier*0.85)),0)</f>
        <v/>
      </c>
      <c r="K405" s="3">
        <f>IFERROR(LET(mtype,XLOOKUP($D405,'Move Editor'!$B:$B,'Move Editor'!$C:$C,""),cat,XLOOKUP($D405,'Move Editor'!$B:$B,'Move Editor'!$D:$D,""),pow,XLOOKUP($D405,'Move Editor'!$B:$B,'Move Editor'!$E:$E,0),acc,XLOOKUP($D405,'Move Editor'!$B:$B,'Move Editor'!$F:$F,100),atk,IF(cat="Physical",FLOOR((FLOOR(((2*XLOOKUP(XLOOKUP($Q405,'Threshold Summary'!$Y:$Y,'Threshold Summary'!$K:$K,""),'Pokemon Editor'!$A:$A,'Pokemon Editor'!$F:$F,0)+31+FLOOR(XLOOKUP($Q405,'Threshold Summary'!$Y:$Y,'Threshold Summary'!$P:$P,"")/4))*XLOOKUP($Q405,'Threshold Summary'!$Y:$Y,'Threshold Summary'!$L:$L,""))/100)+5)*XLOOKUP(XLOOKUP($Q405,'Threshold Summary'!$Y:$Y,'Threshold Summary'!$M:$M,""),'Nature Editor'!$A:$A,'Nature Editor'!$B:$B,1)),FLOOR((FLOOR(((2*XLOOKUP(XLOOKUP($Q405,'Threshold Summary'!$Y:$Y,'Threshold Summary'!$K:$K,""),'Pokemon Editor'!$A:$A,'Pokemon Editor'!$H:$H,0)+31+FLOOR(XLOOKUP($Q405,'Threshold Summary'!$Y:$Y,'Threshold Summary'!$R:$R,"")/4))*XLOOKUP($Q405,'Threshold Summary'!$Y:$Y,'Threshold Summary'!$L:$L,""))/100)+5)*XLOOKUP(XLOOKUP($Q405,'Threshold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Editor'!$E:$E,1))),stab,IF(OR(mtype=XLOOKUP(XLOOKUP($Q405,'Threshold Summary'!$Y:$Y,'Threshold Summary'!$K:$K,""),'Pokemon Editor'!$A:$A,'Pokemon Editor'!$C:$C,""),mtype=XLOOKUP(XLOOKUP($Q405,'Threshold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Chart'!$B$1:$S$1,0)))),base,IF(OR(cat="Status",pow=0),0,FLOOR(FLOOR(FLOOR((2*XLOOKUP($Q405,'Threshold Summary'!$Y:$Y,'Threshold Summary'!$L:$L,"")/5+2)*pow*atk/def)/50)+2)),modifier,stab*eff,FLOOR(base*modifier)),0)</f>
        <v/>
      </c>
      <c r="L405" s="3">
        <f>IFERROR(LET(mtype,XLOOKUP($D405,'Move Editor'!$B:$B,'Move Editor'!$C:$C,""),cat,XLOOKUP($D405,'Move Editor'!$B:$B,'Move Editor'!$D:$D,""),pow,XLOOKUP($D405,'Move Editor'!$B:$B,'Move Editor'!$E:$E,0),acc,XLOOKUP($D405,'Move Editor'!$B:$B,'Move Editor'!$F:$F,100),atk,IF(cat="Physical",FLOOR((FLOOR(((2*XLOOKUP(XLOOKUP($Q405,'Threshold Summary'!$Y:$Y,'Threshold Summary'!$K:$K,""),'Pokemon Editor'!$A:$A,'Pokemon Editor'!$F:$F,0)+31+FLOOR(XLOOKUP($Q405,'Threshold Summary'!$Y:$Y,'Threshold Summary'!$P:$P,"")/4))*XLOOKUP($Q405,'Threshold Summary'!$Y:$Y,'Threshold Summary'!$L:$L,""))/100)+5)*XLOOKUP(XLOOKUP($Q405,'Threshold Summary'!$Y:$Y,'Threshold Summary'!$M:$M,""),'Nature Editor'!$A:$A,'Nature Editor'!$B:$B,1)),FLOOR((FLOOR(((2*XLOOKUP(XLOOKUP($Q405,'Threshold Summary'!$Y:$Y,'Threshold Summary'!$K:$K,""),'Pokemon Editor'!$A:$A,'Pokemon Editor'!$H:$H,0)+31+FLOOR(XLOOKUP($Q405,'Threshold Summary'!$Y:$Y,'Threshold Summary'!$R:$R,"")/4))*XLOOKUP($Q405,'Threshold Summary'!$Y:$Y,'Threshold Summary'!$L:$L,""))/100)+5)*XLOOKUP(XLOOKUP($Q405,'Threshold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Editor'!$E:$E,1))),stab,IF(OR(mtype=XLOOKUP(XLOOKUP($Q405,'Threshold Summary'!$Y:$Y,'Threshold Summary'!$K:$K,""),'Pokemon Editor'!$A:$A,'Pokemon Editor'!$C:$C,""),mtype=XLOOKUP(XLOOKUP($Q405,'Threshold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Chart'!$B$1:$S$1,0)))),base,IF(OR(cat="Status",pow=0),0,FLOOR(FLOOR(FLOOR((2*XLOOKUP($Q405,'Threshold Summary'!$Y:$Y,'Threshold Summary'!$L:$L,"")/5+2)*pow*atk/def)/50)+2)),modifier,stab*eff,AVERAGE(ARRAYFORMULA(FLOOR(base*modifier*SEQUENCE(16,1,85,1)/100)))),0)</f>
        <v/>
      </c>
      <c r="M405" s="3">
        <f>IFERROR(LET(mtype,XLOOKUP($D405,'Move Editor'!$B:$B,'Move Editor'!$C:$C,""),cat,XLOOKUP($D405,'Move Editor'!$B:$B,'Move Editor'!$D:$D,""),pow,XLOOKUP($D405,'Move Editor'!$B:$B,'Move Editor'!$E:$E,0),acc,XLOOKUP($D405,'Move Editor'!$B:$B,'Move Editor'!$F:$F,100),atk,IF(cat="Physical",FLOOR((FLOOR(((2*XLOOKUP(XLOOKUP($Q405,'Threshold Summary'!$Y:$Y,'Threshold Summary'!$K:$K,""),'Pokemon Editor'!$A:$A,'Pokemon Editor'!$F:$F,0)+31+FLOOR(XLOOKUP($Q405,'Threshold Summary'!$Y:$Y,'Threshold Summary'!$P:$P,"")/4))*XLOOKUP($Q405,'Threshold Summary'!$Y:$Y,'Threshold Summary'!$L:$L,""))/100)+5)*XLOOKUP(XLOOKUP($Q405,'Threshold Summary'!$Y:$Y,'Threshold Summary'!$M:$M,""),'Nature Editor'!$A:$A,'Nature Editor'!$B:$B,1)),FLOOR((FLOOR(((2*XLOOKUP(XLOOKUP($Q405,'Threshold Summary'!$Y:$Y,'Threshold Summary'!$K:$K,""),'Pokemon Editor'!$A:$A,'Pokemon Editor'!$H:$H,0)+31+FLOOR(XLOOKUP($Q405,'Threshold Summary'!$Y:$Y,'Threshold Summary'!$R:$R,"")/4))*XLOOKUP($Q405,'Threshold Summary'!$Y:$Y,'Threshold Summary'!$L:$L,""))/100)+5)*XLOOKUP(XLOOKUP($Q405,'Threshold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Editor'!$E:$E,1))),stab,IF(OR(mtype=XLOOKUP(XLOOKUP($Q405,'Threshold Summary'!$Y:$Y,'Threshold Summary'!$K:$K,""),'Pokemon Editor'!$A:$A,'Pokemon Editor'!$C:$C,""),mtype=XLOOKUP(XLOOKUP($Q405,'Threshold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Chart'!$B$1:$S$1,0)))),base,IF(OR(cat="Status",pow=0),0,FLOOR(FLOOR(FLOOR((2*XLOOKUP($Q405,'Threshold Summary'!$Y:$Y,'Threshold Summary'!$L:$L,"")/5+2)*pow*atk/def)/50)+2)),modifier,stab*eff,AVERAGE(ARRAYFORMULA(FLOOR(base*modifier*SEQUENCE(16,1,85,1)/100)))*MIN(1,acc/100)),0)</f>
        <v/>
      </c>
      <c r="N405" s="4">
        <f>IFERROR(LET(mtype,XLOOKUP($D405,'Move Editor'!$B:$B,'Move Editor'!$C:$C,""),cat,XLOOKUP($D405,'Move Editor'!$B:$B,'Move Editor'!$D:$D,""),pow,XLOOKUP($D405,'Move Editor'!$B:$B,'Move Editor'!$E:$E,0),acc,XLOOKUP($D405,'Move Editor'!$B:$B,'Move Editor'!$F:$F,100),atk,IF(cat="Physical",FLOOR((FLOOR(((2*XLOOKUP(XLOOKUP($Q405,'Threshold Summary'!$Y:$Y,'Threshold Summary'!$K:$K,""),'Pokemon Editor'!$A:$A,'Pokemon Editor'!$F:$F,0)+31+FLOOR(XLOOKUP($Q405,'Threshold Summary'!$Y:$Y,'Threshold Summary'!$P:$P,"")/4))*XLOOKUP($Q405,'Threshold Summary'!$Y:$Y,'Threshold Summary'!$L:$L,""))/100)+5)*XLOOKUP(XLOOKUP($Q405,'Threshold Summary'!$Y:$Y,'Threshold Summary'!$M:$M,""),'Nature Editor'!$A:$A,'Nature Editor'!$B:$B,1)),FLOOR((FLOOR(((2*XLOOKUP(XLOOKUP($Q405,'Threshold Summary'!$Y:$Y,'Threshold Summary'!$K:$K,""),'Pokemon Editor'!$A:$A,'Pokemon Editor'!$H:$H,0)+31+FLOOR(XLOOKUP($Q405,'Threshold Summary'!$Y:$Y,'Threshold Summary'!$R:$R,"")/4))*XLOOKUP($Q405,'Threshold Summary'!$Y:$Y,'Threshold Summary'!$L:$L,""))/100)+5)*XLOOKUP(XLOOKUP($Q405,'Threshold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Editor'!$E:$E,1))),stab,IF(OR(mtype=XLOOKUP(XLOOKUP($Q405,'Threshold Summary'!$Y:$Y,'Threshold Summary'!$K:$K,""),'Pokemon Editor'!$A:$A,'Pokemon Editor'!$C:$C,""),mtype=XLOOKUP(XLOOKUP($Q405,'Threshold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Chart'!$B$1:$S$1,0)))),base,IF(OR(cat="Status",pow=0),0,FLOOR(FLOOR(FLOOR((2*XLOOKUP($Q405,'Threshold Summary'!$Y:$Y,'Threshold Summary'!$L:$L,"")/5+2)*pow*atk/def)/50)+2)),modifier,stab*eff,AVERAGE(ARRAYFORMULA(FLOOR(base*modifier*SEQUENCE(16,1,85,1)/100)))/(FLOOR(((2*XLOOKUP('Boss Editor'!$C$4,'Pokemon Editor'!$A:$A,'Pokemon Editor'!$E:$E,0)+31+FLOOR('Boss Editor'!$G$4/4))*'Boss Editor'!$D$4)/100)+'Boss Editor'!$D$4+10)),0)</f>
        <v/>
      </c>
      <c r="O405" s="3">
        <f>IF(N405&gt;=1,"OHKO",IF(N405&gt;=0.5,"2HKO",IF(N405&gt;=0.333,"3HKO",IF(N405&gt;=0.25,"4HKO","5HKO+"))))</f>
        <v/>
      </c>
      <c r="P405" s="3" t="inlineStr">
        <is>
          <t>Live from editable databases</t>
        </is>
      </c>
      <c r="Q405" s="3" t="inlineStr">
        <is>
          <t>SPECIES_DRIFLOON</t>
        </is>
      </c>
      <c r="R405" s="3" t="n">
        <v>20</v>
      </c>
    </row>
    <row r="406">
      <c r="A406" s="3">
        <f>XLOOKUP($Q406,'Threshold Summary'!$Y:$Y,'Threshold Summary'!$A:$A,"")</f>
        <v/>
      </c>
      <c r="B406" s="3">
        <f>XLOOKUP($Q406,'Threshold Summary'!$Y:$Y,'Threshold Summary'!$M:$M,"")</f>
        <v/>
      </c>
      <c r="C406" s="3">
        <f>XLOOKUP($Q406,'Threshold Summary'!$Y:$Y,'Threshold Summary'!$N:$N,"")</f>
        <v/>
      </c>
      <c r="D406" s="3">
        <f>IFERROR(INDEX(FILTER('Learnset Editor'!$D$2:$D,'Learnset Editor'!$A$2:$A=XLOOKUP($Q406,'Threshold Summary'!$Y:$Y,'Threshold Summary'!$K:$K,""),'Learnset Editor'!$C$2:$C&lt;=XLOOKUP($Q406,'Threshold Summary'!$Y:$Y,'Threshold Summary'!$L:$L,"")),$R406),"")</f>
        <v/>
      </c>
      <c r="E406" s="3">
        <f>XLOOKUP(D406,'Move Editor'!$B:$B,'Move Editor'!$C:$C,"")</f>
        <v/>
      </c>
      <c r="F406" s="3">
        <f>XLOOKUP(D406,'Move Editor'!$B:$B,'Move Editor'!$D:$D,"")</f>
        <v/>
      </c>
      <c r="G406" s="3">
        <f>XLOOKUP(D406,'Move Editor'!$B:$B,'Move Editor'!$E:$E,0)</f>
        <v/>
      </c>
      <c r="H406" s="3">
        <f>XLOOKUP(D406,'Move Editor'!$B:$B,'Move Editor'!$F:$F,0)</f>
        <v/>
      </c>
      <c r="I406" s="3">
        <f>(INDEX('Type Chart'!$B:$S,MATCH(E406,'Type Chart'!$A:$A,0),MATCH(XLOOKUP('Boss Editor'!$C$4,'Pokemon Editor'!$A:$A,'Pokemon Editor'!$C:$C,""),'Type Chart'!$B$1:$S$1,0))*IF(XLOOKUP('Boss Editor'!$C$4,'Pokemon Editor'!$A:$A,'Pokemon Editor'!$D:$D,"")="",1,INDEX('Type Chart'!$B:$S,MATCH(E406,'Type Chart'!$A:$A,0),MATCH(XLOOKUP('Boss Editor'!$C$4,'Pokemon Editor'!$A:$A,'Pokemon Editor'!$D:$D,""),'Type Chart'!$B$1:$S$1,0))))</f>
        <v/>
      </c>
      <c r="J406" s="3">
        <f>IFERROR(LET(mtype,XLOOKUP($D406,'Move Editor'!$B:$B,'Move Editor'!$C:$C,""),cat,XLOOKUP($D406,'Move Editor'!$B:$B,'Move Editor'!$D:$D,""),pow,XLOOKUP($D406,'Move Editor'!$B:$B,'Move Editor'!$E:$E,0),acc,XLOOKUP($D406,'Move Editor'!$B:$B,'Move Editor'!$F:$F,100),atk,IF(cat="Physical",FLOOR((FLOOR(((2*XLOOKUP(XLOOKUP($Q406,'Threshold Summary'!$Y:$Y,'Threshold Summary'!$K:$K,""),'Pokemon Editor'!$A:$A,'Pokemon Editor'!$F:$F,0)+31+FLOOR(XLOOKUP($Q406,'Threshold Summary'!$Y:$Y,'Threshold Summary'!$P:$P,"")/4))*XLOOKUP($Q406,'Threshold Summary'!$Y:$Y,'Threshold Summary'!$L:$L,""))/100)+5)*XLOOKUP(XLOOKUP($Q406,'Threshold Summary'!$Y:$Y,'Threshold Summary'!$M:$M,""),'Nature Editor'!$A:$A,'Nature Editor'!$B:$B,1)),FLOOR((FLOOR(((2*XLOOKUP(XLOOKUP($Q406,'Threshold Summary'!$Y:$Y,'Threshold Summary'!$K:$K,""),'Pokemon Editor'!$A:$A,'Pokemon Editor'!$H:$H,0)+31+FLOOR(XLOOKUP($Q406,'Threshold Summary'!$Y:$Y,'Threshold Summary'!$R:$R,"")/4))*XLOOKUP($Q406,'Threshold Summary'!$Y:$Y,'Threshold Summary'!$L:$L,""))/100)+5)*XLOOKUP(XLOOKUP($Q406,'Threshold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Editor'!$E:$E,1))),stab,IF(OR(mtype=XLOOKUP(XLOOKUP($Q406,'Threshold Summary'!$Y:$Y,'Threshold Summary'!$K:$K,""),'Pokemon Editor'!$A:$A,'Pokemon Editor'!$C:$C,""),mtype=XLOOKUP(XLOOKUP($Q406,'Threshold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Chart'!$B$1:$S$1,0)))),base,IF(OR(cat="Status",pow=0),0,FLOOR(FLOOR(FLOOR((2*XLOOKUP($Q406,'Threshold Summary'!$Y:$Y,'Threshold Summary'!$L:$L,"")/5+2)*pow*atk/def)/50)+2)),modifier,stab*eff,FLOOR(base*modifier*0.85)),0)</f>
        <v/>
      </c>
      <c r="K406" s="3">
        <f>IFERROR(LET(mtype,XLOOKUP($D406,'Move Editor'!$B:$B,'Move Editor'!$C:$C,""),cat,XLOOKUP($D406,'Move Editor'!$B:$B,'Move Editor'!$D:$D,""),pow,XLOOKUP($D406,'Move Editor'!$B:$B,'Move Editor'!$E:$E,0),acc,XLOOKUP($D406,'Move Editor'!$B:$B,'Move Editor'!$F:$F,100),atk,IF(cat="Physical",FLOOR((FLOOR(((2*XLOOKUP(XLOOKUP($Q406,'Threshold Summary'!$Y:$Y,'Threshold Summary'!$K:$K,""),'Pokemon Editor'!$A:$A,'Pokemon Editor'!$F:$F,0)+31+FLOOR(XLOOKUP($Q406,'Threshold Summary'!$Y:$Y,'Threshold Summary'!$P:$P,"")/4))*XLOOKUP($Q406,'Threshold Summary'!$Y:$Y,'Threshold Summary'!$L:$L,""))/100)+5)*XLOOKUP(XLOOKUP($Q406,'Threshold Summary'!$Y:$Y,'Threshold Summary'!$M:$M,""),'Nature Editor'!$A:$A,'Nature Editor'!$B:$B,1)),FLOOR((FLOOR(((2*XLOOKUP(XLOOKUP($Q406,'Threshold Summary'!$Y:$Y,'Threshold Summary'!$K:$K,""),'Pokemon Editor'!$A:$A,'Pokemon Editor'!$H:$H,0)+31+FLOOR(XLOOKUP($Q406,'Threshold Summary'!$Y:$Y,'Threshold Summary'!$R:$R,"")/4))*XLOOKUP($Q406,'Threshold Summary'!$Y:$Y,'Threshold Summary'!$L:$L,""))/100)+5)*XLOOKUP(XLOOKUP($Q406,'Threshold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Editor'!$E:$E,1))),stab,IF(OR(mtype=XLOOKUP(XLOOKUP($Q406,'Threshold Summary'!$Y:$Y,'Threshold Summary'!$K:$K,""),'Pokemon Editor'!$A:$A,'Pokemon Editor'!$C:$C,""),mtype=XLOOKUP(XLOOKUP($Q406,'Threshold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Chart'!$B$1:$S$1,0)))),base,IF(OR(cat="Status",pow=0),0,FLOOR(FLOOR(FLOOR((2*XLOOKUP($Q406,'Threshold Summary'!$Y:$Y,'Threshold Summary'!$L:$L,"")/5+2)*pow*atk/def)/50)+2)),modifier,stab*eff,FLOOR(base*modifier)),0)</f>
        <v/>
      </c>
      <c r="L406" s="3">
        <f>IFERROR(LET(mtype,XLOOKUP($D406,'Move Editor'!$B:$B,'Move Editor'!$C:$C,""),cat,XLOOKUP($D406,'Move Editor'!$B:$B,'Move Editor'!$D:$D,""),pow,XLOOKUP($D406,'Move Editor'!$B:$B,'Move Editor'!$E:$E,0),acc,XLOOKUP($D406,'Move Editor'!$B:$B,'Move Editor'!$F:$F,100),atk,IF(cat="Physical",FLOOR((FLOOR(((2*XLOOKUP(XLOOKUP($Q406,'Threshold Summary'!$Y:$Y,'Threshold Summary'!$K:$K,""),'Pokemon Editor'!$A:$A,'Pokemon Editor'!$F:$F,0)+31+FLOOR(XLOOKUP($Q406,'Threshold Summary'!$Y:$Y,'Threshold Summary'!$P:$P,"")/4))*XLOOKUP($Q406,'Threshold Summary'!$Y:$Y,'Threshold Summary'!$L:$L,""))/100)+5)*XLOOKUP(XLOOKUP($Q406,'Threshold Summary'!$Y:$Y,'Threshold Summary'!$M:$M,""),'Nature Editor'!$A:$A,'Nature Editor'!$B:$B,1)),FLOOR((FLOOR(((2*XLOOKUP(XLOOKUP($Q406,'Threshold Summary'!$Y:$Y,'Threshold Summary'!$K:$K,""),'Pokemon Editor'!$A:$A,'Pokemon Editor'!$H:$H,0)+31+FLOOR(XLOOKUP($Q406,'Threshold Summary'!$Y:$Y,'Threshold Summary'!$R:$R,"")/4))*XLOOKUP($Q406,'Threshold Summary'!$Y:$Y,'Threshold Summary'!$L:$L,""))/100)+5)*XLOOKUP(XLOOKUP($Q406,'Threshold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Editor'!$E:$E,1))),stab,IF(OR(mtype=XLOOKUP(XLOOKUP($Q406,'Threshold Summary'!$Y:$Y,'Threshold Summary'!$K:$K,""),'Pokemon Editor'!$A:$A,'Pokemon Editor'!$C:$C,""),mtype=XLOOKUP(XLOOKUP($Q406,'Threshold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Chart'!$B$1:$S$1,0)))),base,IF(OR(cat="Status",pow=0),0,FLOOR(FLOOR(FLOOR((2*XLOOKUP($Q406,'Threshold Summary'!$Y:$Y,'Threshold Summary'!$L:$L,"")/5+2)*pow*atk/def)/50)+2)),modifier,stab*eff,AVERAGE(ARRAYFORMULA(FLOOR(base*modifier*SEQUENCE(16,1,85,1)/100)))),0)</f>
        <v/>
      </c>
      <c r="M406" s="3">
        <f>IFERROR(LET(mtype,XLOOKUP($D406,'Move Editor'!$B:$B,'Move Editor'!$C:$C,""),cat,XLOOKUP($D406,'Move Editor'!$B:$B,'Move Editor'!$D:$D,""),pow,XLOOKUP($D406,'Move Editor'!$B:$B,'Move Editor'!$E:$E,0),acc,XLOOKUP($D406,'Move Editor'!$B:$B,'Move Editor'!$F:$F,100),atk,IF(cat="Physical",FLOOR((FLOOR(((2*XLOOKUP(XLOOKUP($Q406,'Threshold Summary'!$Y:$Y,'Threshold Summary'!$K:$K,""),'Pokemon Editor'!$A:$A,'Pokemon Editor'!$F:$F,0)+31+FLOOR(XLOOKUP($Q406,'Threshold Summary'!$Y:$Y,'Threshold Summary'!$P:$P,"")/4))*XLOOKUP($Q406,'Threshold Summary'!$Y:$Y,'Threshold Summary'!$L:$L,""))/100)+5)*XLOOKUP(XLOOKUP($Q406,'Threshold Summary'!$Y:$Y,'Threshold Summary'!$M:$M,""),'Nature Editor'!$A:$A,'Nature Editor'!$B:$B,1)),FLOOR((FLOOR(((2*XLOOKUP(XLOOKUP($Q406,'Threshold Summary'!$Y:$Y,'Threshold Summary'!$K:$K,""),'Pokemon Editor'!$A:$A,'Pokemon Editor'!$H:$H,0)+31+FLOOR(XLOOKUP($Q406,'Threshold Summary'!$Y:$Y,'Threshold Summary'!$R:$R,"")/4))*XLOOKUP($Q406,'Threshold Summary'!$Y:$Y,'Threshold Summary'!$L:$L,""))/100)+5)*XLOOKUP(XLOOKUP($Q406,'Threshold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Editor'!$E:$E,1))),stab,IF(OR(mtype=XLOOKUP(XLOOKUP($Q406,'Threshold Summary'!$Y:$Y,'Threshold Summary'!$K:$K,""),'Pokemon Editor'!$A:$A,'Pokemon Editor'!$C:$C,""),mtype=XLOOKUP(XLOOKUP($Q406,'Threshold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Chart'!$B$1:$S$1,0)))),base,IF(OR(cat="Status",pow=0),0,FLOOR(FLOOR(FLOOR((2*XLOOKUP($Q406,'Threshold Summary'!$Y:$Y,'Threshold Summary'!$L:$L,"")/5+2)*pow*atk/def)/50)+2)),modifier,stab*eff,AVERAGE(ARRAYFORMULA(FLOOR(base*modifier*SEQUENCE(16,1,85,1)/100)))*MIN(1,acc/100)),0)</f>
        <v/>
      </c>
      <c r="N406" s="4">
        <f>IFERROR(LET(mtype,XLOOKUP($D406,'Move Editor'!$B:$B,'Move Editor'!$C:$C,""),cat,XLOOKUP($D406,'Move Editor'!$B:$B,'Move Editor'!$D:$D,""),pow,XLOOKUP($D406,'Move Editor'!$B:$B,'Move Editor'!$E:$E,0),acc,XLOOKUP($D406,'Move Editor'!$B:$B,'Move Editor'!$F:$F,100),atk,IF(cat="Physical",FLOOR((FLOOR(((2*XLOOKUP(XLOOKUP($Q406,'Threshold Summary'!$Y:$Y,'Threshold Summary'!$K:$K,""),'Pokemon Editor'!$A:$A,'Pokemon Editor'!$F:$F,0)+31+FLOOR(XLOOKUP($Q406,'Threshold Summary'!$Y:$Y,'Threshold Summary'!$P:$P,"")/4))*XLOOKUP($Q406,'Threshold Summary'!$Y:$Y,'Threshold Summary'!$L:$L,""))/100)+5)*XLOOKUP(XLOOKUP($Q406,'Threshold Summary'!$Y:$Y,'Threshold Summary'!$M:$M,""),'Nature Editor'!$A:$A,'Nature Editor'!$B:$B,1)),FLOOR((FLOOR(((2*XLOOKUP(XLOOKUP($Q406,'Threshold Summary'!$Y:$Y,'Threshold Summary'!$K:$K,""),'Pokemon Editor'!$A:$A,'Pokemon Editor'!$H:$H,0)+31+FLOOR(XLOOKUP($Q406,'Threshold Summary'!$Y:$Y,'Threshold Summary'!$R:$R,"")/4))*XLOOKUP($Q406,'Threshold Summary'!$Y:$Y,'Threshold Summary'!$L:$L,""))/100)+5)*XLOOKUP(XLOOKUP($Q406,'Threshold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Editor'!$E:$E,1))),stab,IF(OR(mtype=XLOOKUP(XLOOKUP($Q406,'Threshold Summary'!$Y:$Y,'Threshold Summary'!$K:$K,""),'Pokemon Editor'!$A:$A,'Pokemon Editor'!$C:$C,""),mtype=XLOOKUP(XLOOKUP($Q406,'Threshold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Chart'!$B$1:$S$1,0)))),base,IF(OR(cat="Status",pow=0),0,FLOOR(FLOOR(FLOOR((2*XLOOKUP($Q406,'Threshold Summary'!$Y:$Y,'Threshold Summary'!$L:$L,"")/5+2)*pow*atk/def)/50)+2)),modifier,stab*eff,AVERAGE(ARRAYFORMULA(FLOOR(base*modifier*SEQUENCE(16,1,85,1)/100)))/(FLOOR(((2*XLOOKUP('Boss Editor'!$C$4,'Pokemon Editor'!$A:$A,'Pokemon Editor'!$E:$E,0)+31+FLOOR('Boss Editor'!$G$4/4))*'Boss Editor'!$D$4)/100)+'Boss Editor'!$D$4+10)),0)</f>
        <v/>
      </c>
      <c r="O406" s="3">
        <f>IF(N406&gt;=1,"OHKO",IF(N406&gt;=0.5,"2HKO",IF(N406&gt;=0.333,"3HKO",IF(N406&gt;=0.25,"4HKO","5HKO+"))))</f>
        <v/>
      </c>
      <c r="P406" s="3" t="inlineStr">
        <is>
          <t>Live from editable databases</t>
        </is>
      </c>
      <c r="Q406" s="3" t="inlineStr">
        <is>
          <t>SPECIES_DRIFLOON</t>
        </is>
      </c>
      <c r="R406" s="3" t="n">
        <v>21</v>
      </c>
    </row>
    <row r="407">
      <c r="A407" s="3">
        <f>XLOOKUP($Q407,'Threshold Summary'!$Y:$Y,'Threshold Summary'!$A:$A,"")</f>
        <v/>
      </c>
      <c r="B407" s="3">
        <f>XLOOKUP($Q407,'Threshold Summary'!$Y:$Y,'Threshold Summary'!$M:$M,"")</f>
        <v/>
      </c>
      <c r="C407" s="3">
        <f>XLOOKUP($Q407,'Threshold Summary'!$Y:$Y,'Threshold Summary'!$N:$N,"")</f>
        <v/>
      </c>
      <c r="D407" s="3">
        <f>IFERROR(INDEX(FILTER('Learnset Editor'!$D$2:$D,'Learnset Editor'!$A$2:$A=XLOOKUP($Q407,'Threshold Summary'!$Y:$Y,'Threshold Summary'!$K:$K,""),'Learnset Editor'!$C$2:$C&lt;=XLOOKUP($Q407,'Threshold Summary'!$Y:$Y,'Threshold Summary'!$L:$L,"")),$R407),"")</f>
        <v/>
      </c>
      <c r="E407" s="3">
        <f>XLOOKUP(D407,'Move Editor'!$B:$B,'Move Editor'!$C:$C,"")</f>
        <v/>
      </c>
      <c r="F407" s="3">
        <f>XLOOKUP(D407,'Move Editor'!$B:$B,'Move Editor'!$D:$D,"")</f>
        <v/>
      </c>
      <c r="G407" s="3">
        <f>XLOOKUP(D407,'Move Editor'!$B:$B,'Move Editor'!$E:$E,0)</f>
        <v/>
      </c>
      <c r="H407" s="3">
        <f>XLOOKUP(D407,'Move Editor'!$B:$B,'Move Editor'!$F:$F,0)</f>
        <v/>
      </c>
      <c r="I407" s="3">
        <f>(INDEX('Type Chart'!$B:$S,MATCH(E407,'Type Chart'!$A:$A,0),MATCH(XLOOKUP('Boss Editor'!$C$4,'Pokemon Editor'!$A:$A,'Pokemon Editor'!$C:$C,""),'Type Chart'!$B$1:$S$1,0))*IF(XLOOKUP('Boss Editor'!$C$4,'Pokemon Editor'!$A:$A,'Pokemon Editor'!$D:$D,"")="",1,INDEX('Type Chart'!$B:$S,MATCH(E407,'Type Chart'!$A:$A,0),MATCH(XLOOKUP('Boss Editor'!$C$4,'Pokemon Editor'!$A:$A,'Pokemon Editor'!$D:$D,""),'Type Chart'!$B$1:$S$1,0))))</f>
        <v/>
      </c>
      <c r="J407" s="3">
        <f>IFERROR(LET(mtype,XLOOKUP($D407,'Move Editor'!$B:$B,'Move Editor'!$C:$C,""),cat,XLOOKUP($D407,'Move Editor'!$B:$B,'Move Editor'!$D:$D,""),pow,XLOOKUP($D407,'Move Editor'!$B:$B,'Move Editor'!$E:$E,0),acc,XLOOKUP($D407,'Move Editor'!$B:$B,'Move Editor'!$F:$F,100),atk,IF(cat="Physical",FLOOR((FLOOR(((2*XLOOKUP(XLOOKUP($Q407,'Threshold Summary'!$Y:$Y,'Threshold Summary'!$K:$K,""),'Pokemon Editor'!$A:$A,'Pokemon Editor'!$F:$F,0)+31+FLOOR(XLOOKUP($Q407,'Threshold Summary'!$Y:$Y,'Threshold Summary'!$P:$P,"")/4))*XLOOKUP($Q407,'Threshold Summary'!$Y:$Y,'Threshold Summary'!$L:$L,""))/100)+5)*XLOOKUP(XLOOKUP($Q407,'Threshold Summary'!$Y:$Y,'Threshold Summary'!$M:$M,""),'Nature Editor'!$A:$A,'Nature Editor'!$B:$B,1)),FLOOR((FLOOR(((2*XLOOKUP(XLOOKUP($Q407,'Threshold Summary'!$Y:$Y,'Threshold Summary'!$K:$K,""),'Pokemon Editor'!$A:$A,'Pokemon Editor'!$H:$H,0)+31+FLOOR(XLOOKUP($Q407,'Threshold Summary'!$Y:$Y,'Threshold Summary'!$R:$R,"")/4))*XLOOKUP($Q407,'Threshold Summary'!$Y:$Y,'Threshold Summary'!$L:$L,""))/100)+5)*XLOOKUP(XLOOKUP($Q407,'Threshold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Editor'!$E:$E,1))),stab,IF(OR(mtype=XLOOKUP(XLOOKUP($Q407,'Threshold Summary'!$Y:$Y,'Threshold Summary'!$K:$K,""),'Pokemon Editor'!$A:$A,'Pokemon Editor'!$C:$C,""),mtype=XLOOKUP(XLOOKUP($Q407,'Threshold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Chart'!$B$1:$S$1,0)))),base,IF(OR(cat="Status",pow=0),0,FLOOR(FLOOR(FLOOR((2*XLOOKUP($Q407,'Threshold Summary'!$Y:$Y,'Threshold Summary'!$L:$L,"")/5+2)*pow*atk/def)/50)+2)),modifier,stab*eff,FLOOR(base*modifier*0.85)),0)</f>
        <v/>
      </c>
      <c r="K407" s="3">
        <f>IFERROR(LET(mtype,XLOOKUP($D407,'Move Editor'!$B:$B,'Move Editor'!$C:$C,""),cat,XLOOKUP($D407,'Move Editor'!$B:$B,'Move Editor'!$D:$D,""),pow,XLOOKUP($D407,'Move Editor'!$B:$B,'Move Editor'!$E:$E,0),acc,XLOOKUP($D407,'Move Editor'!$B:$B,'Move Editor'!$F:$F,100),atk,IF(cat="Physical",FLOOR((FLOOR(((2*XLOOKUP(XLOOKUP($Q407,'Threshold Summary'!$Y:$Y,'Threshold Summary'!$K:$K,""),'Pokemon Editor'!$A:$A,'Pokemon Editor'!$F:$F,0)+31+FLOOR(XLOOKUP($Q407,'Threshold Summary'!$Y:$Y,'Threshold Summary'!$P:$P,"")/4))*XLOOKUP($Q407,'Threshold Summary'!$Y:$Y,'Threshold Summary'!$L:$L,""))/100)+5)*XLOOKUP(XLOOKUP($Q407,'Threshold Summary'!$Y:$Y,'Threshold Summary'!$M:$M,""),'Nature Editor'!$A:$A,'Nature Editor'!$B:$B,1)),FLOOR((FLOOR(((2*XLOOKUP(XLOOKUP($Q407,'Threshold Summary'!$Y:$Y,'Threshold Summary'!$K:$K,""),'Pokemon Editor'!$A:$A,'Pokemon Editor'!$H:$H,0)+31+FLOOR(XLOOKUP($Q407,'Threshold Summary'!$Y:$Y,'Threshold Summary'!$R:$R,"")/4))*XLOOKUP($Q407,'Threshold Summary'!$Y:$Y,'Threshold Summary'!$L:$L,""))/100)+5)*XLOOKUP(XLOOKUP($Q407,'Threshold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Editor'!$E:$E,1))),stab,IF(OR(mtype=XLOOKUP(XLOOKUP($Q407,'Threshold Summary'!$Y:$Y,'Threshold Summary'!$K:$K,""),'Pokemon Editor'!$A:$A,'Pokemon Editor'!$C:$C,""),mtype=XLOOKUP(XLOOKUP($Q407,'Threshold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Chart'!$B$1:$S$1,0)))),base,IF(OR(cat="Status",pow=0),0,FLOOR(FLOOR(FLOOR((2*XLOOKUP($Q407,'Threshold Summary'!$Y:$Y,'Threshold Summary'!$L:$L,"")/5+2)*pow*atk/def)/50)+2)),modifier,stab*eff,FLOOR(base*modifier)),0)</f>
        <v/>
      </c>
      <c r="L407" s="3">
        <f>IFERROR(LET(mtype,XLOOKUP($D407,'Move Editor'!$B:$B,'Move Editor'!$C:$C,""),cat,XLOOKUP($D407,'Move Editor'!$B:$B,'Move Editor'!$D:$D,""),pow,XLOOKUP($D407,'Move Editor'!$B:$B,'Move Editor'!$E:$E,0),acc,XLOOKUP($D407,'Move Editor'!$B:$B,'Move Editor'!$F:$F,100),atk,IF(cat="Physical",FLOOR((FLOOR(((2*XLOOKUP(XLOOKUP($Q407,'Threshold Summary'!$Y:$Y,'Threshold Summary'!$K:$K,""),'Pokemon Editor'!$A:$A,'Pokemon Editor'!$F:$F,0)+31+FLOOR(XLOOKUP($Q407,'Threshold Summary'!$Y:$Y,'Threshold Summary'!$P:$P,"")/4))*XLOOKUP($Q407,'Threshold Summary'!$Y:$Y,'Threshold Summary'!$L:$L,""))/100)+5)*XLOOKUP(XLOOKUP($Q407,'Threshold Summary'!$Y:$Y,'Threshold Summary'!$M:$M,""),'Nature Editor'!$A:$A,'Nature Editor'!$B:$B,1)),FLOOR((FLOOR(((2*XLOOKUP(XLOOKUP($Q407,'Threshold Summary'!$Y:$Y,'Threshold Summary'!$K:$K,""),'Pokemon Editor'!$A:$A,'Pokemon Editor'!$H:$H,0)+31+FLOOR(XLOOKUP($Q407,'Threshold Summary'!$Y:$Y,'Threshold Summary'!$R:$R,"")/4))*XLOOKUP($Q407,'Threshold Summary'!$Y:$Y,'Threshold Summary'!$L:$L,""))/100)+5)*XLOOKUP(XLOOKUP($Q407,'Threshold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Editor'!$E:$E,1))),stab,IF(OR(mtype=XLOOKUP(XLOOKUP($Q407,'Threshold Summary'!$Y:$Y,'Threshold Summary'!$K:$K,""),'Pokemon Editor'!$A:$A,'Pokemon Editor'!$C:$C,""),mtype=XLOOKUP(XLOOKUP($Q407,'Threshold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Chart'!$B$1:$S$1,0)))),base,IF(OR(cat="Status",pow=0),0,FLOOR(FLOOR(FLOOR((2*XLOOKUP($Q407,'Threshold Summary'!$Y:$Y,'Threshold Summary'!$L:$L,"")/5+2)*pow*atk/def)/50)+2)),modifier,stab*eff,AVERAGE(ARRAYFORMULA(FLOOR(base*modifier*SEQUENCE(16,1,85,1)/100)))),0)</f>
        <v/>
      </c>
      <c r="M407" s="3">
        <f>IFERROR(LET(mtype,XLOOKUP($D407,'Move Editor'!$B:$B,'Move Editor'!$C:$C,""),cat,XLOOKUP($D407,'Move Editor'!$B:$B,'Move Editor'!$D:$D,""),pow,XLOOKUP($D407,'Move Editor'!$B:$B,'Move Editor'!$E:$E,0),acc,XLOOKUP($D407,'Move Editor'!$B:$B,'Move Editor'!$F:$F,100),atk,IF(cat="Physical",FLOOR((FLOOR(((2*XLOOKUP(XLOOKUP($Q407,'Threshold Summary'!$Y:$Y,'Threshold Summary'!$K:$K,""),'Pokemon Editor'!$A:$A,'Pokemon Editor'!$F:$F,0)+31+FLOOR(XLOOKUP($Q407,'Threshold Summary'!$Y:$Y,'Threshold Summary'!$P:$P,"")/4))*XLOOKUP($Q407,'Threshold Summary'!$Y:$Y,'Threshold Summary'!$L:$L,""))/100)+5)*XLOOKUP(XLOOKUP($Q407,'Threshold Summary'!$Y:$Y,'Threshold Summary'!$M:$M,""),'Nature Editor'!$A:$A,'Nature Editor'!$B:$B,1)),FLOOR((FLOOR(((2*XLOOKUP(XLOOKUP($Q407,'Threshold Summary'!$Y:$Y,'Threshold Summary'!$K:$K,""),'Pokemon Editor'!$A:$A,'Pokemon Editor'!$H:$H,0)+31+FLOOR(XLOOKUP($Q407,'Threshold Summary'!$Y:$Y,'Threshold Summary'!$R:$R,"")/4))*XLOOKUP($Q407,'Threshold Summary'!$Y:$Y,'Threshold Summary'!$L:$L,""))/100)+5)*XLOOKUP(XLOOKUP($Q407,'Threshold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Editor'!$E:$E,1))),stab,IF(OR(mtype=XLOOKUP(XLOOKUP($Q407,'Threshold Summary'!$Y:$Y,'Threshold Summary'!$K:$K,""),'Pokemon Editor'!$A:$A,'Pokemon Editor'!$C:$C,""),mtype=XLOOKUP(XLOOKUP($Q407,'Threshold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Chart'!$B$1:$S$1,0)))),base,IF(OR(cat="Status",pow=0),0,FLOOR(FLOOR(FLOOR((2*XLOOKUP($Q407,'Threshold Summary'!$Y:$Y,'Threshold Summary'!$L:$L,"")/5+2)*pow*atk/def)/50)+2)),modifier,stab*eff,AVERAGE(ARRAYFORMULA(FLOOR(base*modifier*SEQUENCE(16,1,85,1)/100)))*MIN(1,acc/100)),0)</f>
        <v/>
      </c>
      <c r="N407" s="4">
        <f>IFERROR(LET(mtype,XLOOKUP($D407,'Move Editor'!$B:$B,'Move Editor'!$C:$C,""),cat,XLOOKUP($D407,'Move Editor'!$B:$B,'Move Editor'!$D:$D,""),pow,XLOOKUP($D407,'Move Editor'!$B:$B,'Move Editor'!$E:$E,0),acc,XLOOKUP($D407,'Move Editor'!$B:$B,'Move Editor'!$F:$F,100),atk,IF(cat="Physical",FLOOR((FLOOR(((2*XLOOKUP(XLOOKUP($Q407,'Threshold Summary'!$Y:$Y,'Threshold Summary'!$K:$K,""),'Pokemon Editor'!$A:$A,'Pokemon Editor'!$F:$F,0)+31+FLOOR(XLOOKUP($Q407,'Threshold Summary'!$Y:$Y,'Threshold Summary'!$P:$P,"")/4))*XLOOKUP($Q407,'Threshold Summary'!$Y:$Y,'Threshold Summary'!$L:$L,""))/100)+5)*XLOOKUP(XLOOKUP($Q407,'Threshold Summary'!$Y:$Y,'Threshold Summary'!$M:$M,""),'Nature Editor'!$A:$A,'Nature Editor'!$B:$B,1)),FLOOR((FLOOR(((2*XLOOKUP(XLOOKUP($Q407,'Threshold Summary'!$Y:$Y,'Threshold Summary'!$K:$K,""),'Pokemon Editor'!$A:$A,'Pokemon Editor'!$H:$H,0)+31+FLOOR(XLOOKUP($Q407,'Threshold Summary'!$Y:$Y,'Threshold Summary'!$R:$R,"")/4))*XLOOKUP($Q407,'Threshold Summary'!$Y:$Y,'Threshold Summary'!$L:$L,""))/100)+5)*XLOOKUP(XLOOKUP($Q407,'Threshold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Editor'!$E:$E,1))),stab,IF(OR(mtype=XLOOKUP(XLOOKUP($Q407,'Threshold Summary'!$Y:$Y,'Threshold Summary'!$K:$K,""),'Pokemon Editor'!$A:$A,'Pokemon Editor'!$C:$C,""),mtype=XLOOKUP(XLOOKUP($Q407,'Threshold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Chart'!$B$1:$S$1,0)))),base,IF(OR(cat="Status",pow=0),0,FLOOR(FLOOR(FLOOR((2*XLOOKUP($Q407,'Threshold Summary'!$Y:$Y,'Threshold Summary'!$L:$L,"")/5+2)*pow*atk/def)/50)+2)),modifier,stab*eff,AVERAGE(ARRAYFORMULA(FLOOR(base*modifier*SEQUENCE(16,1,85,1)/100)))/(FLOOR(((2*XLOOKUP('Boss Editor'!$C$4,'Pokemon Editor'!$A:$A,'Pokemon Editor'!$E:$E,0)+31+FLOOR('Boss Editor'!$G$4/4))*'Boss Editor'!$D$4)/100)+'Boss Editor'!$D$4+10)),0)</f>
        <v/>
      </c>
      <c r="O407" s="3">
        <f>IF(N407&gt;=1,"OHKO",IF(N407&gt;=0.5,"2HKO",IF(N407&gt;=0.333,"3HKO",IF(N407&gt;=0.25,"4HKO","5HKO+"))))</f>
        <v/>
      </c>
      <c r="P407" s="3" t="inlineStr">
        <is>
          <t>Live from editable databases</t>
        </is>
      </c>
      <c r="Q407" s="3" t="inlineStr">
        <is>
          <t>SPECIES_DRIFLOON</t>
        </is>
      </c>
      <c r="R407" s="3" t="n">
        <v>22</v>
      </c>
    </row>
    <row r="408">
      <c r="A408" s="3">
        <f>XLOOKUP($Q408,'Threshold Summary'!$Y:$Y,'Threshold Summary'!$A:$A,"")</f>
        <v/>
      </c>
      <c r="B408" s="3">
        <f>XLOOKUP($Q408,'Threshold Summary'!$Y:$Y,'Threshold Summary'!$M:$M,"")</f>
        <v/>
      </c>
      <c r="C408" s="3">
        <f>XLOOKUP($Q408,'Threshold Summary'!$Y:$Y,'Threshold Summary'!$N:$N,"")</f>
        <v/>
      </c>
      <c r="D408" s="3">
        <f>IFERROR(INDEX(FILTER('Learnset Editor'!$D$2:$D,'Learnset Editor'!$A$2:$A=XLOOKUP($Q408,'Threshold Summary'!$Y:$Y,'Threshold Summary'!$K:$K,""),'Learnset Editor'!$C$2:$C&lt;=XLOOKUP($Q408,'Threshold Summary'!$Y:$Y,'Threshold Summary'!$L:$L,"")),$R408),"")</f>
        <v/>
      </c>
      <c r="E408" s="3">
        <f>XLOOKUP(D408,'Move Editor'!$B:$B,'Move Editor'!$C:$C,"")</f>
        <v/>
      </c>
      <c r="F408" s="3">
        <f>XLOOKUP(D408,'Move Editor'!$B:$B,'Move Editor'!$D:$D,"")</f>
        <v/>
      </c>
      <c r="G408" s="3">
        <f>XLOOKUP(D408,'Move Editor'!$B:$B,'Move Editor'!$E:$E,0)</f>
        <v/>
      </c>
      <c r="H408" s="3">
        <f>XLOOKUP(D408,'Move Editor'!$B:$B,'Move Editor'!$F:$F,0)</f>
        <v/>
      </c>
      <c r="I408" s="3">
        <f>(INDEX('Type Chart'!$B:$S,MATCH(E408,'Type Chart'!$A:$A,0),MATCH(XLOOKUP('Boss Editor'!$C$4,'Pokemon Editor'!$A:$A,'Pokemon Editor'!$C:$C,""),'Type Chart'!$B$1:$S$1,0))*IF(XLOOKUP('Boss Editor'!$C$4,'Pokemon Editor'!$A:$A,'Pokemon Editor'!$D:$D,"")="",1,INDEX('Type Chart'!$B:$S,MATCH(E408,'Type Chart'!$A:$A,0),MATCH(XLOOKUP('Boss Editor'!$C$4,'Pokemon Editor'!$A:$A,'Pokemon Editor'!$D:$D,""),'Type Chart'!$B$1:$S$1,0))))</f>
        <v/>
      </c>
      <c r="J408" s="3">
        <f>IFERROR(LET(mtype,XLOOKUP($D408,'Move Editor'!$B:$B,'Move Editor'!$C:$C,""),cat,XLOOKUP($D408,'Move Editor'!$B:$B,'Move Editor'!$D:$D,""),pow,XLOOKUP($D408,'Move Editor'!$B:$B,'Move Editor'!$E:$E,0),acc,XLOOKUP($D408,'Move Editor'!$B:$B,'Move Editor'!$F:$F,100),atk,IF(cat="Physical",FLOOR((FLOOR(((2*XLOOKUP(XLOOKUP($Q408,'Threshold Summary'!$Y:$Y,'Threshold Summary'!$K:$K,""),'Pokemon Editor'!$A:$A,'Pokemon Editor'!$F:$F,0)+31+FLOOR(XLOOKUP($Q408,'Threshold Summary'!$Y:$Y,'Threshold Summary'!$P:$P,"")/4))*XLOOKUP($Q408,'Threshold Summary'!$Y:$Y,'Threshold Summary'!$L:$L,""))/100)+5)*XLOOKUP(XLOOKUP($Q408,'Threshold Summary'!$Y:$Y,'Threshold Summary'!$M:$M,""),'Nature Editor'!$A:$A,'Nature Editor'!$B:$B,1)),FLOOR((FLOOR(((2*XLOOKUP(XLOOKUP($Q408,'Threshold Summary'!$Y:$Y,'Threshold Summary'!$K:$K,""),'Pokemon Editor'!$A:$A,'Pokemon Editor'!$H:$H,0)+31+FLOOR(XLOOKUP($Q408,'Threshold Summary'!$Y:$Y,'Threshold Summary'!$R:$R,"")/4))*XLOOKUP($Q408,'Threshold Summary'!$Y:$Y,'Threshold Summary'!$L:$L,""))/100)+5)*XLOOKUP(XLOOKUP($Q408,'Threshold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Editor'!$E:$E,1))),stab,IF(OR(mtype=XLOOKUP(XLOOKUP($Q408,'Threshold Summary'!$Y:$Y,'Threshold Summary'!$K:$K,""),'Pokemon Editor'!$A:$A,'Pokemon Editor'!$C:$C,""),mtype=XLOOKUP(XLOOKUP($Q408,'Threshold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Chart'!$B$1:$S$1,0)))),base,IF(OR(cat="Status",pow=0),0,FLOOR(FLOOR(FLOOR((2*XLOOKUP($Q408,'Threshold Summary'!$Y:$Y,'Threshold Summary'!$L:$L,"")/5+2)*pow*atk/def)/50)+2)),modifier,stab*eff,FLOOR(base*modifier*0.85)),0)</f>
        <v/>
      </c>
      <c r="K408" s="3">
        <f>IFERROR(LET(mtype,XLOOKUP($D408,'Move Editor'!$B:$B,'Move Editor'!$C:$C,""),cat,XLOOKUP($D408,'Move Editor'!$B:$B,'Move Editor'!$D:$D,""),pow,XLOOKUP($D408,'Move Editor'!$B:$B,'Move Editor'!$E:$E,0),acc,XLOOKUP($D408,'Move Editor'!$B:$B,'Move Editor'!$F:$F,100),atk,IF(cat="Physical",FLOOR((FLOOR(((2*XLOOKUP(XLOOKUP($Q408,'Threshold Summary'!$Y:$Y,'Threshold Summary'!$K:$K,""),'Pokemon Editor'!$A:$A,'Pokemon Editor'!$F:$F,0)+31+FLOOR(XLOOKUP($Q408,'Threshold Summary'!$Y:$Y,'Threshold Summary'!$P:$P,"")/4))*XLOOKUP($Q408,'Threshold Summary'!$Y:$Y,'Threshold Summary'!$L:$L,""))/100)+5)*XLOOKUP(XLOOKUP($Q408,'Threshold Summary'!$Y:$Y,'Threshold Summary'!$M:$M,""),'Nature Editor'!$A:$A,'Nature Editor'!$B:$B,1)),FLOOR((FLOOR(((2*XLOOKUP(XLOOKUP($Q408,'Threshold Summary'!$Y:$Y,'Threshold Summary'!$K:$K,""),'Pokemon Editor'!$A:$A,'Pokemon Editor'!$H:$H,0)+31+FLOOR(XLOOKUP($Q408,'Threshold Summary'!$Y:$Y,'Threshold Summary'!$R:$R,"")/4))*XLOOKUP($Q408,'Threshold Summary'!$Y:$Y,'Threshold Summary'!$L:$L,""))/100)+5)*XLOOKUP(XLOOKUP($Q408,'Threshold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Editor'!$E:$E,1))),stab,IF(OR(mtype=XLOOKUP(XLOOKUP($Q408,'Threshold Summary'!$Y:$Y,'Threshold Summary'!$K:$K,""),'Pokemon Editor'!$A:$A,'Pokemon Editor'!$C:$C,""),mtype=XLOOKUP(XLOOKUP($Q408,'Threshold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Chart'!$B$1:$S$1,0)))),base,IF(OR(cat="Status",pow=0),0,FLOOR(FLOOR(FLOOR((2*XLOOKUP($Q408,'Threshold Summary'!$Y:$Y,'Threshold Summary'!$L:$L,"")/5+2)*pow*atk/def)/50)+2)),modifier,stab*eff,FLOOR(base*modifier)),0)</f>
        <v/>
      </c>
      <c r="L408" s="3">
        <f>IFERROR(LET(mtype,XLOOKUP($D408,'Move Editor'!$B:$B,'Move Editor'!$C:$C,""),cat,XLOOKUP($D408,'Move Editor'!$B:$B,'Move Editor'!$D:$D,""),pow,XLOOKUP($D408,'Move Editor'!$B:$B,'Move Editor'!$E:$E,0),acc,XLOOKUP($D408,'Move Editor'!$B:$B,'Move Editor'!$F:$F,100),atk,IF(cat="Physical",FLOOR((FLOOR(((2*XLOOKUP(XLOOKUP($Q408,'Threshold Summary'!$Y:$Y,'Threshold Summary'!$K:$K,""),'Pokemon Editor'!$A:$A,'Pokemon Editor'!$F:$F,0)+31+FLOOR(XLOOKUP($Q408,'Threshold Summary'!$Y:$Y,'Threshold Summary'!$P:$P,"")/4))*XLOOKUP($Q408,'Threshold Summary'!$Y:$Y,'Threshold Summary'!$L:$L,""))/100)+5)*XLOOKUP(XLOOKUP($Q408,'Threshold Summary'!$Y:$Y,'Threshold Summary'!$M:$M,""),'Nature Editor'!$A:$A,'Nature Editor'!$B:$B,1)),FLOOR((FLOOR(((2*XLOOKUP(XLOOKUP($Q408,'Threshold Summary'!$Y:$Y,'Threshold Summary'!$K:$K,""),'Pokemon Editor'!$A:$A,'Pokemon Editor'!$H:$H,0)+31+FLOOR(XLOOKUP($Q408,'Threshold Summary'!$Y:$Y,'Threshold Summary'!$R:$R,"")/4))*XLOOKUP($Q408,'Threshold Summary'!$Y:$Y,'Threshold Summary'!$L:$L,""))/100)+5)*XLOOKUP(XLOOKUP($Q408,'Threshold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Editor'!$E:$E,1))),stab,IF(OR(mtype=XLOOKUP(XLOOKUP($Q408,'Threshold Summary'!$Y:$Y,'Threshold Summary'!$K:$K,""),'Pokemon Editor'!$A:$A,'Pokemon Editor'!$C:$C,""),mtype=XLOOKUP(XLOOKUP($Q408,'Threshold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Chart'!$B$1:$S$1,0)))),base,IF(OR(cat="Status",pow=0),0,FLOOR(FLOOR(FLOOR((2*XLOOKUP($Q408,'Threshold Summary'!$Y:$Y,'Threshold Summary'!$L:$L,"")/5+2)*pow*atk/def)/50)+2)),modifier,stab*eff,AVERAGE(ARRAYFORMULA(FLOOR(base*modifier*SEQUENCE(16,1,85,1)/100)))),0)</f>
        <v/>
      </c>
      <c r="M408" s="3">
        <f>IFERROR(LET(mtype,XLOOKUP($D408,'Move Editor'!$B:$B,'Move Editor'!$C:$C,""),cat,XLOOKUP($D408,'Move Editor'!$B:$B,'Move Editor'!$D:$D,""),pow,XLOOKUP($D408,'Move Editor'!$B:$B,'Move Editor'!$E:$E,0),acc,XLOOKUP($D408,'Move Editor'!$B:$B,'Move Editor'!$F:$F,100),atk,IF(cat="Physical",FLOOR((FLOOR(((2*XLOOKUP(XLOOKUP($Q408,'Threshold Summary'!$Y:$Y,'Threshold Summary'!$K:$K,""),'Pokemon Editor'!$A:$A,'Pokemon Editor'!$F:$F,0)+31+FLOOR(XLOOKUP($Q408,'Threshold Summary'!$Y:$Y,'Threshold Summary'!$P:$P,"")/4))*XLOOKUP($Q408,'Threshold Summary'!$Y:$Y,'Threshold Summary'!$L:$L,""))/100)+5)*XLOOKUP(XLOOKUP($Q408,'Threshold Summary'!$Y:$Y,'Threshold Summary'!$M:$M,""),'Nature Editor'!$A:$A,'Nature Editor'!$B:$B,1)),FLOOR((FLOOR(((2*XLOOKUP(XLOOKUP($Q408,'Threshold Summary'!$Y:$Y,'Threshold Summary'!$K:$K,""),'Pokemon Editor'!$A:$A,'Pokemon Editor'!$H:$H,0)+31+FLOOR(XLOOKUP($Q408,'Threshold Summary'!$Y:$Y,'Threshold Summary'!$R:$R,"")/4))*XLOOKUP($Q408,'Threshold Summary'!$Y:$Y,'Threshold Summary'!$L:$L,""))/100)+5)*XLOOKUP(XLOOKUP($Q408,'Threshold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Editor'!$E:$E,1))),stab,IF(OR(mtype=XLOOKUP(XLOOKUP($Q408,'Threshold Summary'!$Y:$Y,'Threshold Summary'!$K:$K,""),'Pokemon Editor'!$A:$A,'Pokemon Editor'!$C:$C,""),mtype=XLOOKUP(XLOOKUP($Q408,'Threshold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Chart'!$B$1:$S$1,0)))),base,IF(OR(cat="Status",pow=0),0,FLOOR(FLOOR(FLOOR((2*XLOOKUP($Q408,'Threshold Summary'!$Y:$Y,'Threshold Summary'!$L:$L,"")/5+2)*pow*atk/def)/50)+2)),modifier,stab*eff,AVERAGE(ARRAYFORMULA(FLOOR(base*modifier*SEQUENCE(16,1,85,1)/100)))*MIN(1,acc/100)),0)</f>
        <v/>
      </c>
      <c r="N408" s="4">
        <f>IFERROR(LET(mtype,XLOOKUP($D408,'Move Editor'!$B:$B,'Move Editor'!$C:$C,""),cat,XLOOKUP($D408,'Move Editor'!$B:$B,'Move Editor'!$D:$D,""),pow,XLOOKUP($D408,'Move Editor'!$B:$B,'Move Editor'!$E:$E,0),acc,XLOOKUP($D408,'Move Editor'!$B:$B,'Move Editor'!$F:$F,100),atk,IF(cat="Physical",FLOOR((FLOOR(((2*XLOOKUP(XLOOKUP($Q408,'Threshold Summary'!$Y:$Y,'Threshold Summary'!$K:$K,""),'Pokemon Editor'!$A:$A,'Pokemon Editor'!$F:$F,0)+31+FLOOR(XLOOKUP($Q408,'Threshold Summary'!$Y:$Y,'Threshold Summary'!$P:$P,"")/4))*XLOOKUP($Q408,'Threshold Summary'!$Y:$Y,'Threshold Summary'!$L:$L,""))/100)+5)*XLOOKUP(XLOOKUP($Q408,'Threshold Summary'!$Y:$Y,'Threshold Summary'!$M:$M,""),'Nature Editor'!$A:$A,'Nature Editor'!$B:$B,1)),FLOOR((FLOOR(((2*XLOOKUP(XLOOKUP($Q408,'Threshold Summary'!$Y:$Y,'Threshold Summary'!$K:$K,""),'Pokemon Editor'!$A:$A,'Pokemon Editor'!$H:$H,0)+31+FLOOR(XLOOKUP($Q408,'Threshold Summary'!$Y:$Y,'Threshold Summary'!$R:$R,"")/4))*XLOOKUP($Q408,'Threshold Summary'!$Y:$Y,'Threshold Summary'!$L:$L,""))/100)+5)*XLOOKUP(XLOOKUP($Q408,'Threshold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Editor'!$E:$E,1))),stab,IF(OR(mtype=XLOOKUP(XLOOKUP($Q408,'Threshold Summary'!$Y:$Y,'Threshold Summary'!$K:$K,""),'Pokemon Editor'!$A:$A,'Pokemon Editor'!$C:$C,""),mtype=XLOOKUP(XLOOKUP($Q408,'Threshold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Chart'!$B$1:$S$1,0)))),base,IF(OR(cat="Status",pow=0),0,FLOOR(FLOOR(FLOOR((2*XLOOKUP($Q408,'Threshold Summary'!$Y:$Y,'Threshold Summary'!$L:$L,"")/5+2)*pow*atk/def)/50)+2)),modifier,stab*eff,AVERAGE(ARRAYFORMULA(FLOOR(base*modifier*SEQUENCE(16,1,85,1)/100)))/(FLOOR(((2*XLOOKUP('Boss Editor'!$C$4,'Pokemon Editor'!$A:$A,'Pokemon Editor'!$E:$E,0)+31+FLOOR('Boss Editor'!$G$4/4))*'Boss Editor'!$D$4)/100)+'Boss Editor'!$D$4+10)),0)</f>
        <v/>
      </c>
      <c r="O408" s="3">
        <f>IF(N408&gt;=1,"OHKO",IF(N408&gt;=0.5,"2HKO",IF(N408&gt;=0.333,"3HKO",IF(N408&gt;=0.25,"4HKO","5HKO+"))))</f>
        <v/>
      </c>
      <c r="P408" s="3" t="inlineStr">
        <is>
          <t>Live from editable databases</t>
        </is>
      </c>
      <c r="Q408" s="3" t="inlineStr">
        <is>
          <t>SPECIES_DRIFLOON</t>
        </is>
      </c>
      <c r="R408" s="3" t="n">
        <v>23</v>
      </c>
    </row>
    <row r="409">
      <c r="A409" s="3">
        <f>XLOOKUP($Q409,'Threshold Summary'!$Y:$Y,'Threshold Summary'!$A:$A,"")</f>
        <v/>
      </c>
      <c r="B409" s="3">
        <f>XLOOKUP($Q409,'Threshold Summary'!$Y:$Y,'Threshold Summary'!$M:$M,"")</f>
        <v/>
      </c>
      <c r="C409" s="3">
        <f>XLOOKUP($Q409,'Threshold Summary'!$Y:$Y,'Threshold Summary'!$N:$N,"")</f>
        <v/>
      </c>
      <c r="D409" s="3">
        <f>IFERROR(INDEX(FILTER('Learnset Editor'!$D$2:$D,'Learnset Editor'!$A$2:$A=XLOOKUP($Q409,'Threshold Summary'!$Y:$Y,'Threshold Summary'!$K:$K,""),'Learnset Editor'!$C$2:$C&lt;=XLOOKUP($Q409,'Threshold Summary'!$Y:$Y,'Threshold Summary'!$L:$L,"")),$R409),"")</f>
        <v/>
      </c>
      <c r="E409" s="3">
        <f>XLOOKUP(D409,'Move Editor'!$B:$B,'Move Editor'!$C:$C,"")</f>
        <v/>
      </c>
      <c r="F409" s="3">
        <f>XLOOKUP(D409,'Move Editor'!$B:$B,'Move Editor'!$D:$D,"")</f>
        <v/>
      </c>
      <c r="G409" s="3">
        <f>XLOOKUP(D409,'Move Editor'!$B:$B,'Move Editor'!$E:$E,0)</f>
        <v/>
      </c>
      <c r="H409" s="3">
        <f>XLOOKUP(D409,'Move Editor'!$B:$B,'Move Editor'!$F:$F,0)</f>
        <v/>
      </c>
      <c r="I409" s="3">
        <f>(INDEX('Type Chart'!$B:$S,MATCH(E409,'Type Chart'!$A:$A,0),MATCH(XLOOKUP('Boss Editor'!$C$4,'Pokemon Editor'!$A:$A,'Pokemon Editor'!$C:$C,""),'Type Chart'!$B$1:$S$1,0))*IF(XLOOKUP('Boss Editor'!$C$4,'Pokemon Editor'!$A:$A,'Pokemon Editor'!$D:$D,"")="",1,INDEX('Type Chart'!$B:$S,MATCH(E409,'Type Chart'!$A:$A,0),MATCH(XLOOKUP('Boss Editor'!$C$4,'Pokemon Editor'!$A:$A,'Pokemon Editor'!$D:$D,""),'Type Chart'!$B$1:$S$1,0))))</f>
        <v/>
      </c>
      <c r="J409" s="3">
        <f>IFERROR(LET(mtype,XLOOKUP($D409,'Move Editor'!$B:$B,'Move Editor'!$C:$C,""),cat,XLOOKUP($D409,'Move Editor'!$B:$B,'Move Editor'!$D:$D,""),pow,XLOOKUP($D409,'Move Editor'!$B:$B,'Move Editor'!$E:$E,0),acc,XLOOKUP($D409,'Move Editor'!$B:$B,'Move Editor'!$F:$F,100),atk,IF(cat="Physical",FLOOR((FLOOR(((2*XLOOKUP(XLOOKUP($Q409,'Threshold Summary'!$Y:$Y,'Threshold Summary'!$K:$K,""),'Pokemon Editor'!$A:$A,'Pokemon Editor'!$F:$F,0)+31+FLOOR(XLOOKUP($Q409,'Threshold Summary'!$Y:$Y,'Threshold Summary'!$P:$P,"")/4))*XLOOKUP($Q409,'Threshold Summary'!$Y:$Y,'Threshold Summary'!$L:$L,""))/100)+5)*XLOOKUP(XLOOKUP($Q409,'Threshold Summary'!$Y:$Y,'Threshold Summary'!$M:$M,""),'Nature Editor'!$A:$A,'Nature Editor'!$B:$B,1)),FLOOR((FLOOR(((2*XLOOKUP(XLOOKUP($Q409,'Threshold Summary'!$Y:$Y,'Threshold Summary'!$K:$K,""),'Pokemon Editor'!$A:$A,'Pokemon Editor'!$H:$H,0)+31+FLOOR(XLOOKUP($Q409,'Threshold Summary'!$Y:$Y,'Threshold Summary'!$R:$R,"")/4))*XLOOKUP($Q409,'Threshold Summary'!$Y:$Y,'Threshold Summary'!$L:$L,""))/100)+5)*XLOOKUP(XLOOKUP($Q409,'Threshold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Editor'!$E:$E,1))),stab,IF(OR(mtype=XLOOKUP(XLOOKUP($Q409,'Threshold Summary'!$Y:$Y,'Threshold Summary'!$K:$K,""),'Pokemon Editor'!$A:$A,'Pokemon Editor'!$C:$C,""),mtype=XLOOKUP(XLOOKUP($Q409,'Threshold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Chart'!$B$1:$S$1,0)))),base,IF(OR(cat="Status",pow=0),0,FLOOR(FLOOR(FLOOR((2*XLOOKUP($Q409,'Threshold Summary'!$Y:$Y,'Threshold Summary'!$L:$L,"")/5+2)*pow*atk/def)/50)+2)),modifier,stab*eff,FLOOR(base*modifier*0.85)),0)</f>
        <v/>
      </c>
      <c r="K409" s="3">
        <f>IFERROR(LET(mtype,XLOOKUP($D409,'Move Editor'!$B:$B,'Move Editor'!$C:$C,""),cat,XLOOKUP($D409,'Move Editor'!$B:$B,'Move Editor'!$D:$D,""),pow,XLOOKUP($D409,'Move Editor'!$B:$B,'Move Editor'!$E:$E,0),acc,XLOOKUP($D409,'Move Editor'!$B:$B,'Move Editor'!$F:$F,100),atk,IF(cat="Physical",FLOOR((FLOOR(((2*XLOOKUP(XLOOKUP($Q409,'Threshold Summary'!$Y:$Y,'Threshold Summary'!$K:$K,""),'Pokemon Editor'!$A:$A,'Pokemon Editor'!$F:$F,0)+31+FLOOR(XLOOKUP($Q409,'Threshold Summary'!$Y:$Y,'Threshold Summary'!$P:$P,"")/4))*XLOOKUP($Q409,'Threshold Summary'!$Y:$Y,'Threshold Summary'!$L:$L,""))/100)+5)*XLOOKUP(XLOOKUP($Q409,'Threshold Summary'!$Y:$Y,'Threshold Summary'!$M:$M,""),'Nature Editor'!$A:$A,'Nature Editor'!$B:$B,1)),FLOOR((FLOOR(((2*XLOOKUP(XLOOKUP($Q409,'Threshold Summary'!$Y:$Y,'Threshold Summary'!$K:$K,""),'Pokemon Editor'!$A:$A,'Pokemon Editor'!$H:$H,0)+31+FLOOR(XLOOKUP($Q409,'Threshold Summary'!$Y:$Y,'Threshold Summary'!$R:$R,"")/4))*XLOOKUP($Q409,'Threshold Summary'!$Y:$Y,'Threshold Summary'!$L:$L,""))/100)+5)*XLOOKUP(XLOOKUP($Q409,'Threshold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Editor'!$E:$E,1))),stab,IF(OR(mtype=XLOOKUP(XLOOKUP($Q409,'Threshold Summary'!$Y:$Y,'Threshold Summary'!$K:$K,""),'Pokemon Editor'!$A:$A,'Pokemon Editor'!$C:$C,""),mtype=XLOOKUP(XLOOKUP($Q409,'Threshold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Chart'!$B$1:$S$1,0)))),base,IF(OR(cat="Status",pow=0),0,FLOOR(FLOOR(FLOOR((2*XLOOKUP($Q409,'Threshold Summary'!$Y:$Y,'Threshold Summary'!$L:$L,"")/5+2)*pow*atk/def)/50)+2)),modifier,stab*eff,FLOOR(base*modifier)),0)</f>
        <v/>
      </c>
      <c r="L409" s="3">
        <f>IFERROR(LET(mtype,XLOOKUP($D409,'Move Editor'!$B:$B,'Move Editor'!$C:$C,""),cat,XLOOKUP($D409,'Move Editor'!$B:$B,'Move Editor'!$D:$D,""),pow,XLOOKUP($D409,'Move Editor'!$B:$B,'Move Editor'!$E:$E,0),acc,XLOOKUP($D409,'Move Editor'!$B:$B,'Move Editor'!$F:$F,100),atk,IF(cat="Physical",FLOOR((FLOOR(((2*XLOOKUP(XLOOKUP($Q409,'Threshold Summary'!$Y:$Y,'Threshold Summary'!$K:$K,""),'Pokemon Editor'!$A:$A,'Pokemon Editor'!$F:$F,0)+31+FLOOR(XLOOKUP($Q409,'Threshold Summary'!$Y:$Y,'Threshold Summary'!$P:$P,"")/4))*XLOOKUP($Q409,'Threshold Summary'!$Y:$Y,'Threshold Summary'!$L:$L,""))/100)+5)*XLOOKUP(XLOOKUP($Q409,'Threshold Summary'!$Y:$Y,'Threshold Summary'!$M:$M,""),'Nature Editor'!$A:$A,'Nature Editor'!$B:$B,1)),FLOOR((FLOOR(((2*XLOOKUP(XLOOKUP($Q409,'Threshold Summary'!$Y:$Y,'Threshold Summary'!$K:$K,""),'Pokemon Editor'!$A:$A,'Pokemon Editor'!$H:$H,0)+31+FLOOR(XLOOKUP($Q409,'Threshold Summary'!$Y:$Y,'Threshold Summary'!$R:$R,"")/4))*XLOOKUP($Q409,'Threshold Summary'!$Y:$Y,'Threshold Summary'!$L:$L,""))/100)+5)*XLOOKUP(XLOOKUP($Q409,'Threshold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Editor'!$E:$E,1))),stab,IF(OR(mtype=XLOOKUP(XLOOKUP($Q409,'Threshold Summary'!$Y:$Y,'Threshold Summary'!$K:$K,""),'Pokemon Editor'!$A:$A,'Pokemon Editor'!$C:$C,""),mtype=XLOOKUP(XLOOKUP($Q409,'Threshold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Chart'!$B$1:$S$1,0)))),base,IF(OR(cat="Status",pow=0),0,FLOOR(FLOOR(FLOOR((2*XLOOKUP($Q409,'Threshold Summary'!$Y:$Y,'Threshold Summary'!$L:$L,"")/5+2)*pow*atk/def)/50)+2)),modifier,stab*eff,AVERAGE(ARRAYFORMULA(FLOOR(base*modifier*SEQUENCE(16,1,85,1)/100)))),0)</f>
        <v/>
      </c>
      <c r="M409" s="3">
        <f>IFERROR(LET(mtype,XLOOKUP($D409,'Move Editor'!$B:$B,'Move Editor'!$C:$C,""),cat,XLOOKUP($D409,'Move Editor'!$B:$B,'Move Editor'!$D:$D,""),pow,XLOOKUP($D409,'Move Editor'!$B:$B,'Move Editor'!$E:$E,0),acc,XLOOKUP($D409,'Move Editor'!$B:$B,'Move Editor'!$F:$F,100),atk,IF(cat="Physical",FLOOR((FLOOR(((2*XLOOKUP(XLOOKUP($Q409,'Threshold Summary'!$Y:$Y,'Threshold Summary'!$K:$K,""),'Pokemon Editor'!$A:$A,'Pokemon Editor'!$F:$F,0)+31+FLOOR(XLOOKUP($Q409,'Threshold Summary'!$Y:$Y,'Threshold Summary'!$P:$P,"")/4))*XLOOKUP($Q409,'Threshold Summary'!$Y:$Y,'Threshold Summary'!$L:$L,""))/100)+5)*XLOOKUP(XLOOKUP($Q409,'Threshold Summary'!$Y:$Y,'Threshold Summary'!$M:$M,""),'Nature Editor'!$A:$A,'Nature Editor'!$B:$B,1)),FLOOR((FLOOR(((2*XLOOKUP(XLOOKUP($Q409,'Threshold Summary'!$Y:$Y,'Threshold Summary'!$K:$K,""),'Pokemon Editor'!$A:$A,'Pokemon Editor'!$H:$H,0)+31+FLOOR(XLOOKUP($Q409,'Threshold Summary'!$Y:$Y,'Threshold Summary'!$R:$R,"")/4))*XLOOKUP($Q409,'Threshold Summary'!$Y:$Y,'Threshold Summary'!$L:$L,""))/100)+5)*XLOOKUP(XLOOKUP($Q409,'Threshold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Editor'!$E:$E,1))),stab,IF(OR(mtype=XLOOKUP(XLOOKUP($Q409,'Threshold Summary'!$Y:$Y,'Threshold Summary'!$K:$K,""),'Pokemon Editor'!$A:$A,'Pokemon Editor'!$C:$C,""),mtype=XLOOKUP(XLOOKUP($Q409,'Threshold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Chart'!$B$1:$S$1,0)))),base,IF(OR(cat="Status",pow=0),0,FLOOR(FLOOR(FLOOR((2*XLOOKUP($Q409,'Threshold Summary'!$Y:$Y,'Threshold Summary'!$L:$L,"")/5+2)*pow*atk/def)/50)+2)),modifier,stab*eff,AVERAGE(ARRAYFORMULA(FLOOR(base*modifier*SEQUENCE(16,1,85,1)/100)))*MIN(1,acc/100)),0)</f>
        <v/>
      </c>
      <c r="N409" s="4">
        <f>IFERROR(LET(mtype,XLOOKUP($D409,'Move Editor'!$B:$B,'Move Editor'!$C:$C,""),cat,XLOOKUP($D409,'Move Editor'!$B:$B,'Move Editor'!$D:$D,""),pow,XLOOKUP($D409,'Move Editor'!$B:$B,'Move Editor'!$E:$E,0),acc,XLOOKUP($D409,'Move Editor'!$B:$B,'Move Editor'!$F:$F,100),atk,IF(cat="Physical",FLOOR((FLOOR(((2*XLOOKUP(XLOOKUP($Q409,'Threshold Summary'!$Y:$Y,'Threshold Summary'!$K:$K,""),'Pokemon Editor'!$A:$A,'Pokemon Editor'!$F:$F,0)+31+FLOOR(XLOOKUP($Q409,'Threshold Summary'!$Y:$Y,'Threshold Summary'!$P:$P,"")/4))*XLOOKUP($Q409,'Threshold Summary'!$Y:$Y,'Threshold Summary'!$L:$L,""))/100)+5)*XLOOKUP(XLOOKUP($Q409,'Threshold Summary'!$Y:$Y,'Threshold Summary'!$M:$M,""),'Nature Editor'!$A:$A,'Nature Editor'!$B:$B,1)),FLOOR((FLOOR(((2*XLOOKUP(XLOOKUP($Q409,'Threshold Summary'!$Y:$Y,'Threshold Summary'!$K:$K,""),'Pokemon Editor'!$A:$A,'Pokemon Editor'!$H:$H,0)+31+FLOOR(XLOOKUP($Q409,'Threshold Summary'!$Y:$Y,'Threshold Summary'!$R:$R,"")/4))*XLOOKUP($Q409,'Threshold Summary'!$Y:$Y,'Threshold Summary'!$L:$L,""))/100)+5)*XLOOKUP(XLOOKUP($Q409,'Threshold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Editor'!$E:$E,1))),stab,IF(OR(mtype=XLOOKUP(XLOOKUP($Q409,'Threshold Summary'!$Y:$Y,'Threshold Summary'!$K:$K,""),'Pokemon Editor'!$A:$A,'Pokemon Editor'!$C:$C,""),mtype=XLOOKUP(XLOOKUP($Q409,'Threshold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Chart'!$B$1:$S$1,0)))),base,IF(OR(cat="Status",pow=0),0,FLOOR(FLOOR(FLOOR((2*XLOOKUP($Q409,'Threshold Summary'!$Y:$Y,'Threshold Summary'!$L:$L,"")/5+2)*pow*atk/def)/50)+2)),modifier,stab*eff,AVERAGE(ARRAYFORMULA(FLOOR(base*modifier*SEQUENCE(16,1,85,1)/100)))/(FLOOR(((2*XLOOKUP('Boss Editor'!$C$4,'Pokemon Editor'!$A:$A,'Pokemon Editor'!$E:$E,0)+31+FLOOR('Boss Editor'!$G$4/4))*'Boss Editor'!$D$4)/100)+'Boss Editor'!$D$4+10)),0)</f>
        <v/>
      </c>
      <c r="O409" s="3">
        <f>IF(N409&gt;=1,"OHKO",IF(N409&gt;=0.5,"2HKO",IF(N409&gt;=0.333,"3HKO",IF(N409&gt;=0.25,"4HKO","5HKO+"))))</f>
        <v/>
      </c>
      <c r="P409" s="3" t="inlineStr">
        <is>
          <t>Live from editable databases</t>
        </is>
      </c>
      <c r="Q409" s="3" t="inlineStr">
        <is>
          <t>SPECIES_DRIFLOON</t>
        </is>
      </c>
      <c r="R409" s="3" t="n">
        <v>24</v>
      </c>
    </row>
    <row r="410">
      <c r="A410" s="3">
        <f>XLOOKUP($Q410,'Threshold Summary'!$Y:$Y,'Threshold Summary'!$A:$A,"")</f>
        <v/>
      </c>
      <c r="B410" s="3">
        <f>XLOOKUP($Q410,'Threshold Summary'!$Y:$Y,'Threshold Summary'!$M:$M,"")</f>
        <v/>
      </c>
      <c r="C410" s="3">
        <f>XLOOKUP($Q410,'Threshold Summary'!$Y:$Y,'Threshold Summary'!$N:$N,"")</f>
        <v/>
      </c>
      <c r="D410" s="3">
        <f>IFERROR(INDEX(FILTER('Learnset Editor'!$D$2:$D,'Learnset Editor'!$A$2:$A=XLOOKUP($Q410,'Threshold Summary'!$Y:$Y,'Threshold Summary'!$K:$K,""),'Learnset Editor'!$C$2:$C&lt;=XLOOKUP($Q410,'Threshold Summary'!$Y:$Y,'Threshold Summary'!$L:$L,"")),$R410),"")</f>
        <v/>
      </c>
      <c r="E410" s="3">
        <f>XLOOKUP(D410,'Move Editor'!$B:$B,'Move Editor'!$C:$C,"")</f>
        <v/>
      </c>
      <c r="F410" s="3">
        <f>XLOOKUP(D410,'Move Editor'!$B:$B,'Move Editor'!$D:$D,"")</f>
        <v/>
      </c>
      <c r="G410" s="3">
        <f>XLOOKUP(D410,'Move Editor'!$B:$B,'Move Editor'!$E:$E,0)</f>
        <v/>
      </c>
      <c r="H410" s="3">
        <f>XLOOKUP(D410,'Move Editor'!$B:$B,'Move Editor'!$F:$F,0)</f>
        <v/>
      </c>
      <c r="I410" s="3">
        <f>(INDEX('Type Chart'!$B:$S,MATCH(E410,'Type Chart'!$A:$A,0),MATCH(XLOOKUP('Boss Editor'!$C$4,'Pokemon Editor'!$A:$A,'Pokemon Editor'!$C:$C,""),'Type Chart'!$B$1:$S$1,0))*IF(XLOOKUP('Boss Editor'!$C$4,'Pokemon Editor'!$A:$A,'Pokemon Editor'!$D:$D,"")="",1,INDEX('Type Chart'!$B:$S,MATCH(E410,'Type Chart'!$A:$A,0),MATCH(XLOOKUP('Boss Editor'!$C$4,'Pokemon Editor'!$A:$A,'Pokemon Editor'!$D:$D,""),'Type Chart'!$B$1:$S$1,0))))</f>
        <v/>
      </c>
      <c r="J410" s="3">
        <f>IFERROR(LET(mtype,XLOOKUP($D410,'Move Editor'!$B:$B,'Move Editor'!$C:$C,""),cat,XLOOKUP($D410,'Move Editor'!$B:$B,'Move Editor'!$D:$D,""),pow,XLOOKUP($D410,'Move Editor'!$B:$B,'Move Editor'!$E:$E,0),acc,XLOOKUP($D410,'Move Editor'!$B:$B,'Move Editor'!$F:$F,100),atk,IF(cat="Physical",FLOOR((FLOOR(((2*XLOOKUP(XLOOKUP($Q410,'Threshold Summary'!$Y:$Y,'Threshold Summary'!$K:$K,""),'Pokemon Editor'!$A:$A,'Pokemon Editor'!$F:$F,0)+31+FLOOR(XLOOKUP($Q410,'Threshold Summary'!$Y:$Y,'Threshold Summary'!$P:$P,"")/4))*XLOOKUP($Q410,'Threshold Summary'!$Y:$Y,'Threshold Summary'!$L:$L,""))/100)+5)*XLOOKUP(XLOOKUP($Q410,'Threshold Summary'!$Y:$Y,'Threshold Summary'!$M:$M,""),'Nature Editor'!$A:$A,'Nature Editor'!$B:$B,1)),FLOOR((FLOOR(((2*XLOOKUP(XLOOKUP($Q410,'Threshold Summary'!$Y:$Y,'Threshold Summary'!$K:$K,""),'Pokemon Editor'!$A:$A,'Pokemon Editor'!$H:$H,0)+31+FLOOR(XLOOKUP($Q410,'Threshold Summary'!$Y:$Y,'Threshold Summary'!$R:$R,"")/4))*XLOOKUP($Q410,'Threshold Summary'!$Y:$Y,'Threshold Summary'!$L:$L,""))/100)+5)*XLOOKUP(XLOOKUP($Q410,'Threshold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Editor'!$E:$E,1))),stab,IF(OR(mtype=XLOOKUP(XLOOKUP($Q410,'Threshold Summary'!$Y:$Y,'Threshold Summary'!$K:$K,""),'Pokemon Editor'!$A:$A,'Pokemon Editor'!$C:$C,""),mtype=XLOOKUP(XLOOKUP($Q410,'Threshold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Chart'!$B$1:$S$1,0)))),base,IF(OR(cat="Status",pow=0),0,FLOOR(FLOOR(FLOOR((2*XLOOKUP($Q410,'Threshold Summary'!$Y:$Y,'Threshold Summary'!$L:$L,"")/5+2)*pow*atk/def)/50)+2)),modifier,stab*eff,FLOOR(base*modifier*0.85)),0)</f>
        <v/>
      </c>
      <c r="K410" s="3">
        <f>IFERROR(LET(mtype,XLOOKUP($D410,'Move Editor'!$B:$B,'Move Editor'!$C:$C,""),cat,XLOOKUP($D410,'Move Editor'!$B:$B,'Move Editor'!$D:$D,""),pow,XLOOKUP($D410,'Move Editor'!$B:$B,'Move Editor'!$E:$E,0),acc,XLOOKUP($D410,'Move Editor'!$B:$B,'Move Editor'!$F:$F,100),atk,IF(cat="Physical",FLOOR((FLOOR(((2*XLOOKUP(XLOOKUP($Q410,'Threshold Summary'!$Y:$Y,'Threshold Summary'!$K:$K,""),'Pokemon Editor'!$A:$A,'Pokemon Editor'!$F:$F,0)+31+FLOOR(XLOOKUP($Q410,'Threshold Summary'!$Y:$Y,'Threshold Summary'!$P:$P,"")/4))*XLOOKUP($Q410,'Threshold Summary'!$Y:$Y,'Threshold Summary'!$L:$L,""))/100)+5)*XLOOKUP(XLOOKUP($Q410,'Threshold Summary'!$Y:$Y,'Threshold Summary'!$M:$M,""),'Nature Editor'!$A:$A,'Nature Editor'!$B:$B,1)),FLOOR((FLOOR(((2*XLOOKUP(XLOOKUP($Q410,'Threshold Summary'!$Y:$Y,'Threshold Summary'!$K:$K,""),'Pokemon Editor'!$A:$A,'Pokemon Editor'!$H:$H,0)+31+FLOOR(XLOOKUP($Q410,'Threshold Summary'!$Y:$Y,'Threshold Summary'!$R:$R,"")/4))*XLOOKUP($Q410,'Threshold Summary'!$Y:$Y,'Threshold Summary'!$L:$L,""))/100)+5)*XLOOKUP(XLOOKUP($Q410,'Threshold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Editor'!$E:$E,1))),stab,IF(OR(mtype=XLOOKUP(XLOOKUP($Q410,'Threshold Summary'!$Y:$Y,'Threshold Summary'!$K:$K,""),'Pokemon Editor'!$A:$A,'Pokemon Editor'!$C:$C,""),mtype=XLOOKUP(XLOOKUP($Q410,'Threshold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Chart'!$B$1:$S$1,0)))),base,IF(OR(cat="Status",pow=0),0,FLOOR(FLOOR(FLOOR((2*XLOOKUP($Q410,'Threshold Summary'!$Y:$Y,'Threshold Summary'!$L:$L,"")/5+2)*pow*atk/def)/50)+2)),modifier,stab*eff,FLOOR(base*modifier)),0)</f>
        <v/>
      </c>
      <c r="L410" s="3">
        <f>IFERROR(LET(mtype,XLOOKUP($D410,'Move Editor'!$B:$B,'Move Editor'!$C:$C,""),cat,XLOOKUP($D410,'Move Editor'!$B:$B,'Move Editor'!$D:$D,""),pow,XLOOKUP($D410,'Move Editor'!$B:$B,'Move Editor'!$E:$E,0),acc,XLOOKUP($D410,'Move Editor'!$B:$B,'Move Editor'!$F:$F,100),atk,IF(cat="Physical",FLOOR((FLOOR(((2*XLOOKUP(XLOOKUP($Q410,'Threshold Summary'!$Y:$Y,'Threshold Summary'!$K:$K,""),'Pokemon Editor'!$A:$A,'Pokemon Editor'!$F:$F,0)+31+FLOOR(XLOOKUP($Q410,'Threshold Summary'!$Y:$Y,'Threshold Summary'!$P:$P,"")/4))*XLOOKUP($Q410,'Threshold Summary'!$Y:$Y,'Threshold Summary'!$L:$L,""))/100)+5)*XLOOKUP(XLOOKUP($Q410,'Threshold Summary'!$Y:$Y,'Threshold Summary'!$M:$M,""),'Nature Editor'!$A:$A,'Nature Editor'!$B:$B,1)),FLOOR((FLOOR(((2*XLOOKUP(XLOOKUP($Q410,'Threshold Summary'!$Y:$Y,'Threshold Summary'!$K:$K,""),'Pokemon Editor'!$A:$A,'Pokemon Editor'!$H:$H,0)+31+FLOOR(XLOOKUP($Q410,'Threshold Summary'!$Y:$Y,'Threshold Summary'!$R:$R,"")/4))*XLOOKUP($Q410,'Threshold Summary'!$Y:$Y,'Threshold Summary'!$L:$L,""))/100)+5)*XLOOKUP(XLOOKUP($Q410,'Threshold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Editor'!$E:$E,1))),stab,IF(OR(mtype=XLOOKUP(XLOOKUP($Q410,'Threshold Summary'!$Y:$Y,'Threshold Summary'!$K:$K,""),'Pokemon Editor'!$A:$A,'Pokemon Editor'!$C:$C,""),mtype=XLOOKUP(XLOOKUP($Q410,'Threshold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Chart'!$B$1:$S$1,0)))),base,IF(OR(cat="Status",pow=0),0,FLOOR(FLOOR(FLOOR((2*XLOOKUP($Q410,'Threshold Summary'!$Y:$Y,'Threshold Summary'!$L:$L,"")/5+2)*pow*atk/def)/50)+2)),modifier,stab*eff,AVERAGE(ARRAYFORMULA(FLOOR(base*modifier*SEQUENCE(16,1,85,1)/100)))),0)</f>
        <v/>
      </c>
      <c r="M410" s="3">
        <f>IFERROR(LET(mtype,XLOOKUP($D410,'Move Editor'!$B:$B,'Move Editor'!$C:$C,""),cat,XLOOKUP($D410,'Move Editor'!$B:$B,'Move Editor'!$D:$D,""),pow,XLOOKUP($D410,'Move Editor'!$B:$B,'Move Editor'!$E:$E,0),acc,XLOOKUP($D410,'Move Editor'!$B:$B,'Move Editor'!$F:$F,100),atk,IF(cat="Physical",FLOOR((FLOOR(((2*XLOOKUP(XLOOKUP($Q410,'Threshold Summary'!$Y:$Y,'Threshold Summary'!$K:$K,""),'Pokemon Editor'!$A:$A,'Pokemon Editor'!$F:$F,0)+31+FLOOR(XLOOKUP($Q410,'Threshold Summary'!$Y:$Y,'Threshold Summary'!$P:$P,"")/4))*XLOOKUP($Q410,'Threshold Summary'!$Y:$Y,'Threshold Summary'!$L:$L,""))/100)+5)*XLOOKUP(XLOOKUP($Q410,'Threshold Summary'!$Y:$Y,'Threshold Summary'!$M:$M,""),'Nature Editor'!$A:$A,'Nature Editor'!$B:$B,1)),FLOOR((FLOOR(((2*XLOOKUP(XLOOKUP($Q410,'Threshold Summary'!$Y:$Y,'Threshold Summary'!$K:$K,""),'Pokemon Editor'!$A:$A,'Pokemon Editor'!$H:$H,0)+31+FLOOR(XLOOKUP($Q410,'Threshold Summary'!$Y:$Y,'Threshold Summary'!$R:$R,"")/4))*XLOOKUP($Q410,'Threshold Summary'!$Y:$Y,'Threshold Summary'!$L:$L,""))/100)+5)*XLOOKUP(XLOOKUP($Q410,'Threshold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Editor'!$E:$E,1))),stab,IF(OR(mtype=XLOOKUP(XLOOKUP($Q410,'Threshold Summary'!$Y:$Y,'Threshold Summary'!$K:$K,""),'Pokemon Editor'!$A:$A,'Pokemon Editor'!$C:$C,""),mtype=XLOOKUP(XLOOKUP($Q410,'Threshold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Chart'!$B$1:$S$1,0)))),base,IF(OR(cat="Status",pow=0),0,FLOOR(FLOOR(FLOOR((2*XLOOKUP($Q410,'Threshold Summary'!$Y:$Y,'Threshold Summary'!$L:$L,"")/5+2)*pow*atk/def)/50)+2)),modifier,stab*eff,AVERAGE(ARRAYFORMULA(FLOOR(base*modifier*SEQUENCE(16,1,85,1)/100)))*MIN(1,acc/100)),0)</f>
        <v/>
      </c>
      <c r="N410" s="4">
        <f>IFERROR(LET(mtype,XLOOKUP($D410,'Move Editor'!$B:$B,'Move Editor'!$C:$C,""),cat,XLOOKUP($D410,'Move Editor'!$B:$B,'Move Editor'!$D:$D,""),pow,XLOOKUP($D410,'Move Editor'!$B:$B,'Move Editor'!$E:$E,0),acc,XLOOKUP($D410,'Move Editor'!$B:$B,'Move Editor'!$F:$F,100),atk,IF(cat="Physical",FLOOR((FLOOR(((2*XLOOKUP(XLOOKUP($Q410,'Threshold Summary'!$Y:$Y,'Threshold Summary'!$K:$K,""),'Pokemon Editor'!$A:$A,'Pokemon Editor'!$F:$F,0)+31+FLOOR(XLOOKUP($Q410,'Threshold Summary'!$Y:$Y,'Threshold Summary'!$P:$P,"")/4))*XLOOKUP($Q410,'Threshold Summary'!$Y:$Y,'Threshold Summary'!$L:$L,""))/100)+5)*XLOOKUP(XLOOKUP($Q410,'Threshold Summary'!$Y:$Y,'Threshold Summary'!$M:$M,""),'Nature Editor'!$A:$A,'Nature Editor'!$B:$B,1)),FLOOR((FLOOR(((2*XLOOKUP(XLOOKUP($Q410,'Threshold Summary'!$Y:$Y,'Threshold Summary'!$K:$K,""),'Pokemon Editor'!$A:$A,'Pokemon Editor'!$H:$H,0)+31+FLOOR(XLOOKUP($Q410,'Threshold Summary'!$Y:$Y,'Threshold Summary'!$R:$R,"")/4))*XLOOKUP($Q410,'Threshold Summary'!$Y:$Y,'Threshold Summary'!$L:$L,""))/100)+5)*XLOOKUP(XLOOKUP($Q410,'Threshold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Editor'!$E:$E,1))),stab,IF(OR(mtype=XLOOKUP(XLOOKUP($Q410,'Threshold Summary'!$Y:$Y,'Threshold Summary'!$K:$K,""),'Pokemon Editor'!$A:$A,'Pokemon Editor'!$C:$C,""),mtype=XLOOKUP(XLOOKUP($Q410,'Threshold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Chart'!$B$1:$S$1,0)))),base,IF(OR(cat="Status",pow=0),0,FLOOR(FLOOR(FLOOR((2*XLOOKUP($Q410,'Threshold Summary'!$Y:$Y,'Threshold Summary'!$L:$L,"")/5+2)*pow*atk/def)/50)+2)),modifier,stab*eff,AVERAGE(ARRAYFORMULA(FLOOR(base*modifier*SEQUENCE(16,1,85,1)/100)))/(FLOOR(((2*XLOOKUP('Boss Editor'!$C$4,'Pokemon Editor'!$A:$A,'Pokemon Editor'!$E:$E,0)+31+FLOOR('Boss Editor'!$G$4/4))*'Boss Editor'!$D$4)/100)+'Boss Editor'!$D$4+10)),0)</f>
        <v/>
      </c>
      <c r="O410" s="3">
        <f>IF(N410&gt;=1,"OHKO",IF(N410&gt;=0.5,"2HKO",IF(N410&gt;=0.333,"3HKO",IF(N410&gt;=0.25,"4HKO","5HKO+"))))</f>
        <v/>
      </c>
      <c r="P410" s="3" t="inlineStr">
        <is>
          <t>Live from editable databases</t>
        </is>
      </c>
      <c r="Q410" s="3" t="inlineStr">
        <is>
          <t>SPECIES_DRIFLOON</t>
        </is>
      </c>
      <c r="R410" s="3" t="n">
        <v>25</v>
      </c>
    </row>
    <row r="411">
      <c r="A411" s="3">
        <f>XLOOKUP($Q411,'Threshold Summary'!$Y:$Y,'Threshold Summary'!$A:$A,"")</f>
        <v/>
      </c>
      <c r="B411" s="3">
        <f>XLOOKUP($Q411,'Threshold Summary'!$Y:$Y,'Threshold Summary'!$M:$M,"")</f>
        <v/>
      </c>
      <c r="C411" s="3">
        <f>XLOOKUP($Q411,'Threshold Summary'!$Y:$Y,'Threshold Summary'!$N:$N,"")</f>
        <v/>
      </c>
      <c r="D411" s="3">
        <f>IFERROR(INDEX(FILTER('Learnset Editor'!$D$2:$D,'Learnset Editor'!$A$2:$A=XLOOKUP($Q411,'Threshold Summary'!$Y:$Y,'Threshold Summary'!$K:$K,""),'Learnset Editor'!$C$2:$C&lt;=XLOOKUP($Q411,'Threshold Summary'!$Y:$Y,'Threshold Summary'!$L:$L,"")),$R411),"")</f>
        <v/>
      </c>
      <c r="E411" s="3">
        <f>XLOOKUP(D411,'Move Editor'!$B:$B,'Move Editor'!$C:$C,"")</f>
        <v/>
      </c>
      <c r="F411" s="3">
        <f>XLOOKUP(D411,'Move Editor'!$B:$B,'Move Editor'!$D:$D,"")</f>
        <v/>
      </c>
      <c r="G411" s="3">
        <f>XLOOKUP(D411,'Move Editor'!$B:$B,'Move Editor'!$E:$E,0)</f>
        <v/>
      </c>
      <c r="H411" s="3">
        <f>XLOOKUP(D411,'Move Editor'!$B:$B,'Move Editor'!$F:$F,0)</f>
        <v/>
      </c>
      <c r="I411" s="3">
        <f>(INDEX('Type Chart'!$B:$S,MATCH(E411,'Type Chart'!$A:$A,0),MATCH(XLOOKUP('Boss Editor'!$C$4,'Pokemon Editor'!$A:$A,'Pokemon Editor'!$C:$C,""),'Type Chart'!$B$1:$S$1,0))*IF(XLOOKUP('Boss Editor'!$C$4,'Pokemon Editor'!$A:$A,'Pokemon Editor'!$D:$D,"")="",1,INDEX('Type Chart'!$B:$S,MATCH(E411,'Type Chart'!$A:$A,0),MATCH(XLOOKUP('Boss Editor'!$C$4,'Pokemon Editor'!$A:$A,'Pokemon Editor'!$D:$D,""),'Type Chart'!$B$1:$S$1,0))))</f>
        <v/>
      </c>
      <c r="J411" s="3">
        <f>IFERROR(LET(mtype,XLOOKUP($D411,'Move Editor'!$B:$B,'Move Editor'!$C:$C,""),cat,XLOOKUP($D411,'Move Editor'!$B:$B,'Move Editor'!$D:$D,""),pow,XLOOKUP($D411,'Move Editor'!$B:$B,'Move Editor'!$E:$E,0),acc,XLOOKUP($D411,'Move Editor'!$B:$B,'Move Editor'!$F:$F,100),atk,IF(cat="Physical",FLOOR((FLOOR(((2*XLOOKUP(XLOOKUP($Q411,'Threshold Summary'!$Y:$Y,'Threshold Summary'!$K:$K,""),'Pokemon Editor'!$A:$A,'Pokemon Editor'!$F:$F,0)+31+FLOOR(XLOOKUP($Q411,'Threshold Summary'!$Y:$Y,'Threshold Summary'!$P:$P,"")/4))*XLOOKUP($Q411,'Threshold Summary'!$Y:$Y,'Threshold Summary'!$L:$L,""))/100)+5)*XLOOKUP(XLOOKUP($Q411,'Threshold Summary'!$Y:$Y,'Threshold Summary'!$M:$M,""),'Nature Editor'!$A:$A,'Nature Editor'!$B:$B,1)),FLOOR((FLOOR(((2*XLOOKUP(XLOOKUP($Q411,'Threshold Summary'!$Y:$Y,'Threshold Summary'!$K:$K,""),'Pokemon Editor'!$A:$A,'Pokemon Editor'!$H:$H,0)+31+FLOOR(XLOOKUP($Q411,'Threshold Summary'!$Y:$Y,'Threshold Summary'!$R:$R,"")/4))*XLOOKUP($Q411,'Threshold Summary'!$Y:$Y,'Threshold Summary'!$L:$L,""))/100)+5)*XLOOKUP(XLOOKUP($Q411,'Threshold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Editor'!$E:$E,1))),stab,IF(OR(mtype=XLOOKUP(XLOOKUP($Q411,'Threshold Summary'!$Y:$Y,'Threshold Summary'!$K:$K,""),'Pokemon Editor'!$A:$A,'Pokemon Editor'!$C:$C,""),mtype=XLOOKUP(XLOOKUP($Q411,'Threshold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Chart'!$B$1:$S$1,0)))),base,IF(OR(cat="Status",pow=0),0,FLOOR(FLOOR(FLOOR((2*XLOOKUP($Q411,'Threshold Summary'!$Y:$Y,'Threshold Summary'!$L:$L,"")/5+2)*pow*atk/def)/50)+2)),modifier,stab*eff,FLOOR(base*modifier*0.85)),0)</f>
        <v/>
      </c>
      <c r="K411" s="3">
        <f>IFERROR(LET(mtype,XLOOKUP($D411,'Move Editor'!$B:$B,'Move Editor'!$C:$C,""),cat,XLOOKUP($D411,'Move Editor'!$B:$B,'Move Editor'!$D:$D,""),pow,XLOOKUP($D411,'Move Editor'!$B:$B,'Move Editor'!$E:$E,0),acc,XLOOKUP($D411,'Move Editor'!$B:$B,'Move Editor'!$F:$F,100),atk,IF(cat="Physical",FLOOR((FLOOR(((2*XLOOKUP(XLOOKUP($Q411,'Threshold Summary'!$Y:$Y,'Threshold Summary'!$K:$K,""),'Pokemon Editor'!$A:$A,'Pokemon Editor'!$F:$F,0)+31+FLOOR(XLOOKUP($Q411,'Threshold Summary'!$Y:$Y,'Threshold Summary'!$P:$P,"")/4))*XLOOKUP($Q411,'Threshold Summary'!$Y:$Y,'Threshold Summary'!$L:$L,""))/100)+5)*XLOOKUP(XLOOKUP($Q411,'Threshold Summary'!$Y:$Y,'Threshold Summary'!$M:$M,""),'Nature Editor'!$A:$A,'Nature Editor'!$B:$B,1)),FLOOR((FLOOR(((2*XLOOKUP(XLOOKUP($Q411,'Threshold Summary'!$Y:$Y,'Threshold Summary'!$K:$K,""),'Pokemon Editor'!$A:$A,'Pokemon Editor'!$H:$H,0)+31+FLOOR(XLOOKUP($Q411,'Threshold Summary'!$Y:$Y,'Threshold Summary'!$R:$R,"")/4))*XLOOKUP($Q411,'Threshold Summary'!$Y:$Y,'Threshold Summary'!$L:$L,""))/100)+5)*XLOOKUP(XLOOKUP($Q411,'Threshold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Editor'!$E:$E,1))),stab,IF(OR(mtype=XLOOKUP(XLOOKUP($Q411,'Threshold Summary'!$Y:$Y,'Threshold Summary'!$K:$K,""),'Pokemon Editor'!$A:$A,'Pokemon Editor'!$C:$C,""),mtype=XLOOKUP(XLOOKUP($Q411,'Threshold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Chart'!$B$1:$S$1,0)))),base,IF(OR(cat="Status",pow=0),0,FLOOR(FLOOR(FLOOR((2*XLOOKUP($Q411,'Threshold Summary'!$Y:$Y,'Threshold Summary'!$L:$L,"")/5+2)*pow*atk/def)/50)+2)),modifier,stab*eff,FLOOR(base*modifier)),0)</f>
        <v/>
      </c>
      <c r="L411" s="3">
        <f>IFERROR(LET(mtype,XLOOKUP($D411,'Move Editor'!$B:$B,'Move Editor'!$C:$C,""),cat,XLOOKUP($D411,'Move Editor'!$B:$B,'Move Editor'!$D:$D,""),pow,XLOOKUP($D411,'Move Editor'!$B:$B,'Move Editor'!$E:$E,0),acc,XLOOKUP($D411,'Move Editor'!$B:$B,'Move Editor'!$F:$F,100),atk,IF(cat="Physical",FLOOR((FLOOR(((2*XLOOKUP(XLOOKUP($Q411,'Threshold Summary'!$Y:$Y,'Threshold Summary'!$K:$K,""),'Pokemon Editor'!$A:$A,'Pokemon Editor'!$F:$F,0)+31+FLOOR(XLOOKUP($Q411,'Threshold Summary'!$Y:$Y,'Threshold Summary'!$P:$P,"")/4))*XLOOKUP($Q411,'Threshold Summary'!$Y:$Y,'Threshold Summary'!$L:$L,""))/100)+5)*XLOOKUP(XLOOKUP($Q411,'Threshold Summary'!$Y:$Y,'Threshold Summary'!$M:$M,""),'Nature Editor'!$A:$A,'Nature Editor'!$B:$B,1)),FLOOR((FLOOR(((2*XLOOKUP(XLOOKUP($Q411,'Threshold Summary'!$Y:$Y,'Threshold Summary'!$K:$K,""),'Pokemon Editor'!$A:$A,'Pokemon Editor'!$H:$H,0)+31+FLOOR(XLOOKUP($Q411,'Threshold Summary'!$Y:$Y,'Threshold Summary'!$R:$R,"")/4))*XLOOKUP($Q411,'Threshold Summary'!$Y:$Y,'Threshold Summary'!$L:$L,""))/100)+5)*XLOOKUP(XLOOKUP($Q411,'Threshold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Editor'!$E:$E,1))),stab,IF(OR(mtype=XLOOKUP(XLOOKUP($Q411,'Threshold Summary'!$Y:$Y,'Threshold Summary'!$K:$K,""),'Pokemon Editor'!$A:$A,'Pokemon Editor'!$C:$C,""),mtype=XLOOKUP(XLOOKUP($Q411,'Threshold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Chart'!$B$1:$S$1,0)))),base,IF(OR(cat="Status",pow=0),0,FLOOR(FLOOR(FLOOR((2*XLOOKUP($Q411,'Threshold Summary'!$Y:$Y,'Threshold Summary'!$L:$L,"")/5+2)*pow*atk/def)/50)+2)),modifier,stab*eff,AVERAGE(ARRAYFORMULA(FLOOR(base*modifier*SEQUENCE(16,1,85,1)/100)))),0)</f>
        <v/>
      </c>
      <c r="M411" s="3">
        <f>IFERROR(LET(mtype,XLOOKUP($D411,'Move Editor'!$B:$B,'Move Editor'!$C:$C,""),cat,XLOOKUP($D411,'Move Editor'!$B:$B,'Move Editor'!$D:$D,""),pow,XLOOKUP($D411,'Move Editor'!$B:$B,'Move Editor'!$E:$E,0),acc,XLOOKUP($D411,'Move Editor'!$B:$B,'Move Editor'!$F:$F,100),atk,IF(cat="Physical",FLOOR((FLOOR(((2*XLOOKUP(XLOOKUP($Q411,'Threshold Summary'!$Y:$Y,'Threshold Summary'!$K:$K,""),'Pokemon Editor'!$A:$A,'Pokemon Editor'!$F:$F,0)+31+FLOOR(XLOOKUP($Q411,'Threshold Summary'!$Y:$Y,'Threshold Summary'!$P:$P,"")/4))*XLOOKUP($Q411,'Threshold Summary'!$Y:$Y,'Threshold Summary'!$L:$L,""))/100)+5)*XLOOKUP(XLOOKUP($Q411,'Threshold Summary'!$Y:$Y,'Threshold Summary'!$M:$M,""),'Nature Editor'!$A:$A,'Nature Editor'!$B:$B,1)),FLOOR((FLOOR(((2*XLOOKUP(XLOOKUP($Q411,'Threshold Summary'!$Y:$Y,'Threshold Summary'!$K:$K,""),'Pokemon Editor'!$A:$A,'Pokemon Editor'!$H:$H,0)+31+FLOOR(XLOOKUP($Q411,'Threshold Summary'!$Y:$Y,'Threshold Summary'!$R:$R,"")/4))*XLOOKUP($Q411,'Threshold Summary'!$Y:$Y,'Threshold Summary'!$L:$L,""))/100)+5)*XLOOKUP(XLOOKUP($Q411,'Threshold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Editor'!$E:$E,1))),stab,IF(OR(mtype=XLOOKUP(XLOOKUP($Q411,'Threshold Summary'!$Y:$Y,'Threshold Summary'!$K:$K,""),'Pokemon Editor'!$A:$A,'Pokemon Editor'!$C:$C,""),mtype=XLOOKUP(XLOOKUP($Q411,'Threshold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Chart'!$B$1:$S$1,0)))),base,IF(OR(cat="Status",pow=0),0,FLOOR(FLOOR(FLOOR((2*XLOOKUP($Q411,'Threshold Summary'!$Y:$Y,'Threshold Summary'!$L:$L,"")/5+2)*pow*atk/def)/50)+2)),modifier,stab*eff,AVERAGE(ARRAYFORMULA(FLOOR(base*modifier*SEQUENCE(16,1,85,1)/100)))*MIN(1,acc/100)),0)</f>
        <v/>
      </c>
      <c r="N411" s="4">
        <f>IFERROR(LET(mtype,XLOOKUP($D411,'Move Editor'!$B:$B,'Move Editor'!$C:$C,""),cat,XLOOKUP($D411,'Move Editor'!$B:$B,'Move Editor'!$D:$D,""),pow,XLOOKUP($D411,'Move Editor'!$B:$B,'Move Editor'!$E:$E,0),acc,XLOOKUP($D411,'Move Editor'!$B:$B,'Move Editor'!$F:$F,100),atk,IF(cat="Physical",FLOOR((FLOOR(((2*XLOOKUP(XLOOKUP($Q411,'Threshold Summary'!$Y:$Y,'Threshold Summary'!$K:$K,""),'Pokemon Editor'!$A:$A,'Pokemon Editor'!$F:$F,0)+31+FLOOR(XLOOKUP($Q411,'Threshold Summary'!$Y:$Y,'Threshold Summary'!$P:$P,"")/4))*XLOOKUP($Q411,'Threshold Summary'!$Y:$Y,'Threshold Summary'!$L:$L,""))/100)+5)*XLOOKUP(XLOOKUP($Q411,'Threshold Summary'!$Y:$Y,'Threshold Summary'!$M:$M,""),'Nature Editor'!$A:$A,'Nature Editor'!$B:$B,1)),FLOOR((FLOOR(((2*XLOOKUP(XLOOKUP($Q411,'Threshold Summary'!$Y:$Y,'Threshold Summary'!$K:$K,""),'Pokemon Editor'!$A:$A,'Pokemon Editor'!$H:$H,0)+31+FLOOR(XLOOKUP($Q411,'Threshold Summary'!$Y:$Y,'Threshold Summary'!$R:$R,"")/4))*XLOOKUP($Q411,'Threshold Summary'!$Y:$Y,'Threshold Summary'!$L:$L,""))/100)+5)*XLOOKUP(XLOOKUP($Q411,'Threshold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Editor'!$E:$E,1))),stab,IF(OR(mtype=XLOOKUP(XLOOKUP($Q411,'Threshold Summary'!$Y:$Y,'Threshold Summary'!$K:$K,""),'Pokemon Editor'!$A:$A,'Pokemon Editor'!$C:$C,""),mtype=XLOOKUP(XLOOKUP($Q411,'Threshold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Chart'!$B$1:$S$1,0)))),base,IF(OR(cat="Status",pow=0),0,FLOOR(FLOOR(FLOOR((2*XLOOKUP($Q411,'Threshold Summary'!$Y:$Y,'Threshold Summary'!$L:$L,"")/5+2)*pow*atk/def)/50)+2)),modifier,stab*eff,AVERAGE(ARRAYFORMULA(FLOOR(base*modifier*SEQUENCE(16,1,85,1)/100)))/(FLOOR(((2*XLOOKUP('Boss Editor'!$C$4,'Pokemon Editor'!$A:$A,'Pokemon Editor'!$E:$E,0)+31+FLOOR('Boss Editor'!$G$4/4))*'Boss Editor'!$D$4)/100)+'Boss Editor'!$D$4+10)),0)</f>
        <v/>
      </c>
      <c r="O411" s="3">
        <f>IF(N411&gt;=1,"OHKO",IF(N411&gt;=0.5,"2HKO",IF(N411&gt;=0.333,"3HKO",IF(N411&gt;=0.25,"4HKO","5HKO+"))))</f>
        <v/>
      </c>
      <c r="P411" s="3" t="inlineStr">
        <is>
          <t>Live from editable databases</t>
        </is>
      </c>
      <c r="Q411" s="3" t="inlineStr">
        <is>
          <t>SPECIES_DRIFLOON</t>
        </is>
      </c>
      <c r="R411" s="3" t="n">
        <v>26</v>
      </c>
    </row>
    <row r="412">
      <c r="A412" s="3">
        <f>XLOOKUP($Q412,'Threshold Summary'!$Y:$Y,'Threshold Summary'!$A:$A,"")</f>
        <v/>
      </c>
      <c r="B412" s="3">
        <f>XLOOKUP($Q412,'Threshold Summary'!$Y:$Y,'Threshold Summary'!$M:$M,"")</f>
        <v/>
      </c>
      <c r="C412" s="3">
        <f>XLOOKUP($Q412,'Threshold Summary'!$Y:$Y,'Threshold Summary'!$N:$N,"")</f>
        <v/>
      </c>
      <c r="D412" s="3">
        <f>IFERROR(INDEX(FILTER('Learnset Editor'!$D$2:$D,'Learnset Editor'!$A$2:$A=XLOOKUP($Q412,'Threshold Summary'!$Y:$Y,'Threshold Summary'!$K:$K,""),'Learnset Editor'!$C$2:$C&lt;=XLOOKUP($Q412,'Threshold Summary'!$Y:$Y,'Threshold Summary'!$L:$L,"")),$R412),"")</f>
        <v/>
      </c>
      <c r="E412" s="3">
        <f>XLOOKUP(D412,'Move Editor'!$B:$B,'Move Editor'!$C:$C,"")</f>
        <v/>
      </c>
      <c r="F412" s="3">
        <f>XLOOKUP(D412,'Move Editor'!$B:$B,'Move Editor'!$D:$D,"")</f>
        <v/>
      </c>
      <c r="G412" s="3">
        <f>XLOOKUP(D412,'Move Editor'!$B:$B,'Move Editor'!$E:$E,0)</f>
        <v/>
      </c>
      <c r="H412" s="3">
        <f>XLOOKUP(D412,'Move Editor'!$B:$B,'Move Editor'!$F:$F,0)</f>
        <v/>
      </c>
      <c r="I412" s="3">
        <f>(INDEX('Type Chart'!$B:$S,MATCH(E412,'Type Chart'!$A:$A,0),MATCH(XLOOKUP('Boss Editor'!$C$4,'Pokemon Editor'!$A:$A,'Pokemon Editor'!$C:$C,""),'Type Chart'!$B$1:$S$1,0))*IF(XLOOKUP('Boss Editor'!$C$4,'Pokemon Editor'!$A:$A,'Pokemon Editor'!$D:$D,"")="",1,INDEX('Type Chart'!$B:$S,MATCH(E412,'Type Chart'!$A:$A,0),MATCH(XLOOKUP('Boss Editor'!$C$4,'Pokemon Editor'!$A:$A,'Pokemon Editor'!$D:$D,""),'Type Chart'!$B$1:$S$1,0))))</f>
        <v/>
      </c>
      <c r="J412" s="3">
        <f>IFERROR(LET(mtype,XLOOKUP($D412,'Move Editor'!$B:$B,'Move Editor'!$C:$C,""),cat,XLOOKUP($D412,'Move Editor'!$B:$B,'Move Editor'!$D:$D,""),pow,XLOOKUP($D412,'Move Editor'!$B:$B,'Move Editor'!$E:$E,0),acc,XLOOKUP($D412,'Move Editor'!$B:$B,'Move Editor'!$F:$F,100),atk,IF(cat="Physical",FLOOR((FLOOR(((2*XLOOKUP(XLOOKUP($Q412,'Threshold Summary'!$Y:$Y,'Threshold Summary'!$K:$K,""),'Pokemon Editor'!$A:$A,'Pokemon Editor'!$F:$F,0)+31+FLOOR(XLOOKUP($Q412,'Threshold Summary'!$Y:$Y,'Threshold Summary'!$P:$P,"")/4))*XLOOKUP($Q412,'Threshold Summary'!$Y:$Y,'Threshold Summary'!$L:$L,""))/100)+5)*XLOOKUP(XLOOKUP($Q412,'Threshold Summary'!$Y:$Y,'Threshold Summary'!$M:$M,""),'Nature Editor'!$A:$A,'Nature Editor'!$B:$B,1)),FLOOR((FLOOR(((2*XLOOKUP(XLOOKUP($Q412,'Threshold Summary'!$Y:$Y,'Threshold Summary'!$K:$K,""),'Pokemon Editor'!$A:$A,'Pokemon Editor'!$H:$H,0)+31+FLOOR(XLOOKUP($Q412,'Threshold Summary'!$Y:$Y,'Threshold Summary'!$R:$R,"")/4))*XLOOKUP($Q412,'Threshold Summary'!$Y:$Y,'Threshold Summary'!$L:$L,""))/100)+5)*XLOOKUP(XLOOKUP($Q412,'Threshold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Editor'!$E:$E,1))),stab,IF(OR(mtype=XLOOKUP(XLOOKUP($Q412,'Threshold Summary'!$Y:$Y,'Threshold Summary'!$K:$K,""),'Pokemon Editor'!$A:$A,'Pokemon Editor'!$C:$C,""),mtype=XLOOKUP(XLOOKUP($Q412,'Threshold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Chart'!$B$1:$S$1,0)))),base,IF(OR(cat="Status",pow=0),0,FLOOR(FLOOR(FLOOR((2*XLOOKUP($Q412,'Threshold Summary'!$Y:$Y,'Threshold Summary'!$L:$L,"")/5+2)*pow*atk/def)/50)+2)),modifier,stab*eff,FLOOR(base*modifier*0.85)),0)</f>
        <v/>
      </c>
      <c r="K412" s="3">
        <f>IFERROR(LET(mtype,XLOOKUP($D412,'Move Editor'!$B:$B,'Move Editor'!$C:$C,""),cat,XLOOKUP($D412,'Move Editor'!$B:$B,'Move Editor'!$D:$D,""),pow,XLOOKUP($D412,'Move Editor'!$B:$B,'Move Editor'!$E:$E,0),acc,XLOOKUP($D412,'Move Editor'!$B:$B,'Move Editor'!$F:$F,100),atk,IF(cat="Physical",FLOOR((FLOOR(((2*XLOOKUP(XLOOKUP($Q412,'Threshold Summary'!$Y:$Y,'Threshold Summary'!$K:$K,""),'Pokemon Editor'!$A:$A,'Pokemon Editor'!$F:$F,0)+31+FLOOR(XLOOKUP($Q412,'Threshold Summary'!$Y:$Y,'Threshold Summary'!$P:$P,"")/4))*XLOOKUP($Q412,'Threshold Summary'!$Y:$Y,'Threshold Summary'!$L:$L,""))/100)+5)*XLOOKUP(XLOOKUP($Q412,'Threshold Summary'!$Y:$Y,'Threshold Summary'!$M:$M,""),'Nature Editor'!$A:$A,'Nature Editor'!$B:$B,1)),FLOOR((FLOOR(((2*XLOOKUP(XLOOKUP($Q412,'Threshold Summary'!$Y:$Y,'Threshold Summary'!$K:$K,""),'Pokemon Editor'!$A:$A,'Pokemon Editor'!$H:$H,0)+31+FLOOR(XLOOKUP($Q412,'Threshold Summary'!$Y:$Y,'Threshold Summary'!$R:$R,"")/4))*XLOOKUP($Q412,'Threshold Summary'!$Y:$Y,'Threshold Summary'!$L:$L,""))/100)+5)*XLOOKUP(XLOOKUP($Q412,'Threshold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Editor'!$E:$E,1))),stab,IF(OR(mtype=XLOOKUP(XLOOKUP($Q412,'Threshold Summary'!$Y:$Y,'Threshold Summary'!$K:$K,""),'Pokemon Editor'!$A:$A,'Pokemon Editor'!$C:$C,""),mtype=XLOOKUP(XLOOKUP($Q412,'Threshold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Chart'!$B$1:$S$1,0)))),base,IF(OR(cat="Status",pow=0),0,FLOOR(FLOOR(FLOOR((2*XLOOKUP($Q412,'Threshold Summary'!$Y:$Y,'Threshold Summary'!$L:$L,"")/5+2)*pow*atk/def)/50)+2)),modifier,stab*eff,FLOOR(base*modifier)),0)</f>
        <v/>
      </c>
      <c r="L412" s="3">
        <f>IFERROR(LET(mtype,XLOOKUP($D412,'Move Editor'!$B:$B,'Move Editor'!$C:$C,""),cat,XLOOKUP($D412,'Move Editor'!$B:$B,'Move Editor'!$D:$D,""),pow,XLOOKUP($D412,'Move Editor'!$B:$B,'Move Editor'!$E:$E,0),acc,XLOOKUP($D412,'Move Editor'!$B:$B,'Move Editor'!$F:$F,100),atk,IF(cat="Physical",FLOOR((FLOOR(((2*XLOOKUP(XLOOKUP($Q412,'Threshold Summary'!$Y:$Y,'Threshold Summary'!$K:$K,""),'Pokemon Editor'!$A:$A,'Pokemon Editor'!$F:$F,0)+31+FLOOR(XLOOKUP($Q412,'Threshold Summary'!$Y:$Y,'Threshold Summary'!$P:$P,"")/4))*XLOOKUP($Q412,'Threshold Summary'!$Y:$Y,'Threshold Summary'!$L:$L,""))/100)+5)*XLOOKUP(XLOOKUP($Q412,'Threshold Summary'!$Y:$Y,'Threshold Summary'!$M:$M,""),'Nature Editor'!$A:$A,'Nature Editor'!$B:$B,1)),FLOOR((FLOOR(((2*XLOOKUP(XLOOKUP($Q412,'Threshold Summary'!$Y:$Y,'Threshold Summary'!$K:$K,""),'Pokemon Editor'!$A:$A,'Pokemon Editor'!$H:$H,0)+31+FLOOR(XLOOKUP($Q412,'Threshold Summary'!$Y:$Y,'Threshold Summary'!$R:$R,"")/4))*XLOOKUP($Q412,'Threshold Summary'!$Y:$Y,'Threshold Summary'!$L:$L,""))/100)+5)*XLOOKUP(XLOOKUP($Q412,'Threshold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Editor'!$E:$E,1))),stab,IF(OR(mtype=XLOOKUP(XLOOKUP($Q412,'Threshold Summary'!$Y:$Y,'Threshold Summary'!$K:$K,""),'Pokemon Editor'!$A:$A,'Pokemon Editor'!$C:$C,""),mtype=XLOOKUP(XLOOKUP($Q412,'Threshold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Chart'!$B$1:$S$1,0)))),base,IF(OR(cat="Status",pow=0),0,FLOOR(FLOOR(FLOOR((2*XLOOKUP($Q412,'Threshold Summary'!$Y:$Y,'Threshold Summary'!$L:$L,"")/5+2)*pow*atk/def)/50)+2)),modifier,stab*eff,AVERAGE(ARRAYFORMULA(FLOOR(base*modifier*SEQUENCE(16,1,85,1)/100)))),0)</f>
        <v/>
      </c>
      <c r="M412" s="3">
        <f>IFERROR(LET(mtype,XLOOKUP($D412,'Move Editor'!$B:$B,'Move Editor'!$C:$C,""),cat,XLOOKUP($D412,'Move Editor'!$B:$B,'Move Editor'!$D:$D,""),pow,XLOOKUP($D412,'Move Editor'!$B:$B,'Move Editor'!$E:$E,0),acc,XLOOKUP($D412,'Move Editor'!$B:$B,'Move Editor'!$F:$F,100),atk,IF(cat="Physical",FLOOR((FLOOR(((2*XLOOKUP(XLOOKUP($Q412,'Threshold Summary'!$Y:$Y,'Threshold Summary'!$K:$K,""),'Pokemon Editor'!$A:$A,'Pokemon Editor'!$F:$F,0)+31+FLOOR(XLOOKUP($Q412,'Threshold Summary'!$Y:$Y,'Threshold Summary'!$P:$P,"")/4))*XLOOKUP($Q412,'Threshold Summary'!$Y:$Y,'Threshold Summary'!$L:$L,""))/100)+5)*XLOOKUP(XLOOKUP($Q412,'Threshold Summary'!$Y:$Y,'Threshold Summary'!$M:$M,""),'Nature Editor'!$A:$A,'Nature Editor'!$B:$B,1)),FLOOR((FLOOR(((2*XLOOKUP(XLOOKUP($Q412,'Threshold Summary'!$Y:$Y,'Threshold Summary'!$K:$K,""),'Pokemon Editor'!$A:$A,'Pokemon Editor'!$H:$H,0)+31+FLOOR(XLOOKUP($Q412,'Threshold Summary'!$Y:$Y,'Threshold Summary'!$R:$R,"")/4))*XLOOKUP($Q412,'Threshold Summary'!$Y:$Y,'Threshold Summary'!$L:$L,""))/100)+5)*XLOOKUP(XLOOKUP($Q412,'Threshold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Editor'!$E:$E,1))),stab,IF(OR(mtype=XLOOKUP(XLOOKUP($Q412,'Threshold Summary'!$Y:$Y,'Threshold Summary'!$K:$K,""),'Pokemon Editor'!$A:$A,'Pokemon Editor'!$C:$C,""),mtype=XLOOKUP(XLOOKUP($Q412,'Threshold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Chart'!$B$1:$S$1,0)))),base,IF(OR(cat="Status",pow=0),0,FLOOR(FLOOR(FLOOR((2*XLOOKUP($Q412,'Threshold Summary'!$Y:$Y,'Threshold Summary'!$L:$L,"")/5+2)*pow*atk/def)/50)+2)),modifier,stab*eff,AVERAGE(ARRAYFORMULA(FLOOR(base*modifier*SEQUENCE(16,1,85,1)/100)))*MIN(1,acc/100)),0)</f>
        <v/>
      </c>
      <c r="N412" s="4">
        <f>IFERROR(LET(mtype,XLOOKUP($D412,'Move Editor'!$B:$B,'Move Editor'!$C:$C,""),cat,XLOOKUP($D412,'Move Editor'!$B:$B,'Move Editor'!$D:$D,""),pow,XLOOKUP($D412,'Move Editor'!$B:$B,'Move Editor'!$E:$E,0),acc,XLOOKUP($D412,'Move Editor'!$B:$B,'Move Editor'!$F:$F,100),atk,IF(cat="Physical",FLOOR((FLOOR(((2*XLOOKUP(XLOOKUP($Q412,'Threshold Summary'!$Y:$Y,'Threshold Summary'!$K:$K,""),'Pokemon Editor'!$A:$A,'Pokemon Editor'!$F:$F,0)+31+FLOOR(XLOOKUP($Q412,'Threshold Summary'!$Y:$Y,'Threshold Summary'!$P:$P,"")/4))*XLOOKUP($Q412,'Threshold Summary'!$Y:$Y,'Threshold Summary'!$L:$L,""))/100)+5)*XLOOKUP(XLOOKUP($Q412,'Threshold Summary'!$Y:$Y,'Threshold Summary'!$M:$M,""),'Nature Editor'!$A:$A,'Nature Editor'!$B:$B,1)),FLOOR((FLOOR(((2*XLOOKUP(XLOOKUP($Q412,'Threshold Summary'!$Y:$Y,'Threshold Summary'!$K:$K,""),'Pokemon Editor'!$A:$A,'Pokemon Editor'!$H:$H,0)+31+FLOOR(XLOOKUP($Q412,'Threshold Summary'!$Y:$Y,'Threshold Summary'!$R:$R,"")/4))*XLOOKUP($Q412,'Threshold Summary'!$Y:$Y,'Threshold Summary'!$L:$L,""))/100)+5)*XLOOKUP(XLOOKUP($Q412,'Threshold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Editor'!$E:$E,1))),stab,IF(OR(mtype=XLOOKUP(XLOOKUP($Q412,'Threshold Summary'!$Y:$Y,'Threshold Summary'!$K:$K,""),'Pokemon Editor'!$A:$A,'Pokemon Editor'!$C:$C,""),mtype=XLOOKUP(XLOOKUP($Q412,'Threshold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Chart'!$B$1:$S$1,0)))),base,IF(OR(cat="Status",pow=0),0,FLOOR(FLOOR(FLOOR((2*XLOOKUP($Q412,'Threshold Summary'!$Y:$Y,'Threshold Summary'!$L:$L,"")/5+2)*pow*atk/def)/50)+2)),modifier,stab*eff,AVERAGE(ARRAYFORMULA(FLOOR(base*modifier*SEQUENCE(16,1,85,1)/100)))/(FLOOR(((2*XLOOKUP('Boss Editor'!$C$4,'Pokemon Editor'!$A:$A,'Pokemon Editor'!$E:$E,0)+31+FLOOR('Boss Editor'!$G$4/4))*'Boss Editor'!$D$4)/100)+'Boss Editor'!$D$4+10)),0)</f>
        <v/>
      </c>
      <c r="O412" s="3">
        <f>IF(N412&gt;=1,"OHKO",IF(N412&gt;=0.5,"2HKO",IF(N412&gt;=0.333,"3HKO",IF(N412&gt;=0.25,"4HKO","5HKO+"))))</f>
        <v/>
      </c>
      <c r="P412" s="3" t="inlineStr">
        <is>
          <t>Live from editable databases</t>
        </is>
      </c>
      <c r="Q412" s="3" t="inlineStr">
        <is>
          <t>SPECIES_DRIFLOON</t>
        </is>
      </c>
      <c r="R412" s="3" t="n">
        <v>27</v>
      </c>
    </row>
    <row r="413">
      <c r="A413" s="3">
        <f>XLOOKUP($Q413,'Threshold Summary'!$Y:$Y,'Threshold Summary'!$A:$A,"")</f>
        <v/>
      </c>
      <c r="B413" s="3">
        <f>XLOOKUP($Q413,'Threshold Summary'!$Y:$Y,'Threshold Summary'!$M:$M,"")</f>
        <v/>
      </c>
      <c r="C413" s="3">
        <f>XLOOKUP($Q413,'Threshold Summary'!$Y:$Y,'Threshold Summary'!$N:$N,"")</f>
        <v/>
      </c>
      <c r="D413" s="3">
        <f>IFERROR(INDEX(FILTER('Learnset Editor'!$D$2:$D,'Learnset Editor'!$A$2:$A=XLOOKUP($Q413,'Threshold Summary'!$Y:$Y,'Threshold Summary'!$K:$K,""),'Learnset Editor'!$C$2:$C&lt;=XLOOKUP($Q413,'Threshold Summary'!$Y:$Y,'Threshold Summary'!$L:$L,"")),$R413),"")</f>
        <v/>
      </c>
      <c r="E413" s="3">
        <f>XLOOKUP(D413,'Move Editor'!$B:$B,'Move Editor'!$C:$C,"")</f>
        <v/>
      </c>
      <c r="F413" s="3">
        <f>XLOOKUP(D413,'Move Editor'!$B:$B,'Move Editor'!$D:$D,"")</f>
        <v/>
      </c>
      <c r="G413" s="3">
        <f>XLOOKUP(D413,'Move Editor'!$B:$B,'Move Editor'!$E:$E,0)</f>
        <v/>
      </c>
      <c r="H413" s="3">
        <f>XLOOKUP(D413,'Move Editor'!$B:$B,'Move Editor'!$F:$F,0)</f>
        <v/>
      </c>
      <c r="I413" s="3">
        <f>(INDEX('Type Chart'!$B:$S,MATCH(E413,'Type Chart'!$A:$A,0),MATCH(XLOOKUP('Boss Editor'!$C$4,'Pokemon Editor'!$A:$A,'Pokemon Editor'!$C:$C,""),'Type Chart'!$B$1:$S$1,0))*IF(XLOOKUP('Boss Editor'!$C$4,'Pokemon Editor'!$A:$A,'Pokemon Editor'!$D:$D,"")="",1,INDEX('Type Chart'!$B:$S,MATCH(E413,'Type Chart'!$A:$A,0),MATCH(XLOOKUP('Boss Editor'!$C$4,'Pokemon Editor'!$A:$A,'Pokemon Editor'!$D:$D,""),'Type Chart'!$B$1:$S$1,0))))</f>
        <v/>
      </c>
      <c r="J413" s="3">
        <f>IFERROR(LET(mtype,XLOOKUP($D413,'Move Editor'!$B:$B,'Move Editor'!$C:$C,""),cat,XLOOKUP($D413,'Move Editor'!$B:$B,'Move Editor'!$D:$D,""),pow,XLOOKUP($D413,'Move Editor'!$B:$B,'Move Editor'!$E:$E,0),acc,XLOOKUP($D413,'Move Editor'!$B:$B,'Move Editor'!$F:$F,100),atk,IF(cat="Physical",FLOOR((FLOOR(((2*XLOOKUP(XLOOKUP($Q413,'Threshold Summary'!$Y:$Y,'Threshold Summary'!$K:$K,""),'Pokemon Editor'!$A:$A,'Pokemon Editor'!$F:$F,0)+31+FLOOR(XLOOKUP($Q413,'Threshold Summary'!$Y:$Y,'Threshold Summary'!$P:$P,"")/4))*XLOOKUP($Q413,'Threshold Summary'!$Y:$Y,'Threshold Summary'!$L:$L,""))/100)+5)*XLOOKUP(XLOOKUP($Q413,'Threshold Summary'!$Y:$Y,'Threshold Summary'!$M:$M,""),'Nature Editor'!$A:$A,'Nature Editor'!$B:$B,1)),FLOOR((FLOOR(((2*XLOOKUP(XLOOKUP($Q413,'Threshold Summary'!$Y:$Y,'Threshold Summary'!$K:$K,""),'Pokemon Editor'!$A:$A,'Pokemon Editor'!$H:$H,0)+31+FLOOR(XLOOKUP($Q413,'Threshold Summary'!$Y:$Y,'Threshold Summary'!$R:$R,"")/4))*XLOOKUP($Q413,'Threshold Summary'!$Y:$Y,'Threshold Summary'!$L:$L,""))/100)+5)*XLOOKUP(XLOOKUP($Q413,'Threshold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Editor'!$E:$E,1))),stab,IF(OR(mtype=XLOOKUP(XLOOKUP($Q413,'Threshold Summary'!$Y:$Y,'Threshold Summary'!$K:$K,""),'Pokemon Editor'!$A:$A,'Pokemon Editor'!$C:$C,""),mtype=XLOOKUP(XLOOKUP($Q413,'Threshold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Chart'!$B$1:$S$1,0)))),base,IF(OR(cat="Status",pow=0),0,FLOOR(FLOOR(FLOOR((2*XLOOKUP($Q413,'Threshold Summary'!$Y:$Y,'Threshold Summary'!$L:$L,"")/5+2)*pow*atk/def)/50)+2)),modifier,stab*eff,FLOOR(base*modifier*0.85)),0)</f>
        <v/>
      </c>
      <c r="K413" s="3">
        <f>IFERROR(LET(mtype,XLOOKUP($D413,'Move Editor'!$B:$B,'Move Editor'!$C:$C,""),cat,XLOOKUP($D413,'Move Editor'!$B:$B,'Move Editor'!$D:$D,""),pow,XLOOKUP($D413,'Move Editor'!$B:$B,'Move Editor'!$E:$E,0),acc,XLOOKUP($D413,'Move Editor'!$B:$B,'Move Editor'!$F:$F,100),atk,IF(cat="Physical",FLOOR((FLOOR(((2*XLOOKUP(XLOOKUP($Q413,'Threshold Summary'!$Y:$Y,'Threshold Summary'!$K:$K,""),'Pokemon Editor'!$A:$A,'Pokemon Editor'!$F:$F,0)+31+FLOOR(XLOOKUP($Q413,'Threshold Summary'!$Y:$Y,'Threshold Summary'!$P:$P,"")/4))*XLOOKUP($Q413,'Threshold Summary'!$Y:$Y,'Threshold Summary'!$L:$L,""))/100)+5)*XLOOKUP(XLOOKUP($Q413,'Threshold Summary'!$Y:$Y,'Threshold Summary'!$M:$M,""),'Nature Editor'!$A:$A,'Nature Editor'!$B:$B,1)),FLOOR((FLOOR(((2*XLOOKUP(XLOOKUP($Q413,'Threshold Summary'!$Y:$Y,'Threshold Summary'!$K:$K,""),'Pokemon Editor'!$A:$A,'Pokemon Editor'!$H:$H,0)+31+FLOOR(XLOOKUP($Q413,'Threshold Summary'!$Y:$Y,'Threshold Summary'!$R:$R,"")/4))*XLOOKUP($Q413,'Threshold Summary'!$Y:$Y,'Threshold Summary'!$L:$L,""))/100)+5)*XLOOKUP(XLOOKUP($Q413,'Threshold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Editor'!$E:$E,1))),stab,IF(OR(mtype=XLOOKUP(XLOOKUP($Q413,'Threshold Summary'!$Y:$Y,'Threshold Summary'!$K:$K,""),'Pokemon Editor'!$A:$A,'Pokemon Editor'!$C:$C,""),mtype=XLOOKUP(XLOOKUP($Q413,'Threshold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Chart'!$B$1:$S$1,0)))),base,IF(OR(cat="Status",pow=0),0,FLOOR(FLOOR(FLOOR((2*XLOOKUP($Q413,'Threshold Summary'!$Y:$Y,'Threshold Summary'!$L:$L,"")/5+2)*pow*atk/def)/50)+2)),modifier,stab*eff,FLOOR(base*modifier)),0)</f>
        <v/>
      </c>
      <c r="L413" s="3">
        <f>IFERROR(LET(mtype,XLOOKUP($D413,'Move Editor'!$B:$B,'Move Editor'!$C:$C,""),cat,XLOOKUP($D413,'Move Editor'!$B:$B,'Move Editor'!$D:$D,""),pow,XLOOKUP($D413,'Move Editor'!$B:$B,'Move Editor'!$E:$E,0),acc,XLOOKUP($D413,'Move Editor'!$B:$B,'Move Editor'!$F:$F,100),atk,IF(cat="Physical",FLOOR((FLOOR(((2*XLOOKUP(XLOOKUP($Q413,'Threshold Summary'!$Y:$Y,'Threshold Summary'!$K:$K,""),'Pokemon Editor'!$A:$A,'Pokemon Editor'!$F:$F,0)+31+FLOOR(XLOOKUP($Q413,'Threshold Summary'!$Y:$Y,'Threshold Summary'!$P:$P,"")/4))*XLOOKUP($Q413,'Threshold Summary'!$Y:$Y,'Threshold Summary'!$L:$L,""))/100)+5)*XLOOKUP(XLOOKUP($Q413,'Threshold Summary'!$Y:$Y,'Threshold Summary'!$M:$M,""),'Nature Editor'!$A:$A,'Nature Editor'!$B:$B,1)),FLOOR((FLOOR(((2*XLOOKUP(XLOOKUP($Q413,'Threshold Summary'!$Y:$Y,'Threshold Summary'!$K:$K,""),'Pokemon Editor'!$A:$A,'Pokemon Editor'!$H:$H,0)+31+FLOOR(XLOOKUP($Q413,'Threshold Summary'!$Y:$Y,'Threshold Summary'!$R:$R,"")/4))*XLOOKUP($Q413,'Threshold Summary'!$Y:$Y,'Threshold Summary'!$L:$L,""))/100)+5)*XLOOKUP(XLOOKUP($Q413,'Threshold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Editor'!$E:$E,1))),stab,IF(OR(mtype=XLOOKUP(XLOOKUP($Q413,'Threshold Summary'!$Y:$Y,'Threshold Summary'!$K:$K,""),'Pokemon Editor'!$A:$A,'Pokemon Editor'!$C:$C,""),mtype=XLOOKUP(XLOOKUP($Q413,'Threshold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Chart'!$B$1:$S$1,0)))),base,IF(OR(cat="Status",pow=0),0,FLOOR(FLOOR(FLOOR((2*XLOOKUP($Q413,'Threshold Summary'!$Y:$Y,'Threshold Summary'!$L:$L,"")/5+2)*pow*atk/def)/50)+2)),modifier,stab*eff,AVERAGE(ARRAYFORMULA(FLOOR(base*modifier*SEQUENCE(16,1,85,1)/100)))),0)</f>
        <v/>
      </c>
      <c r="M413" s="3">
        <f>IFERROR(LET(mtype,XLOOKUP($D413,'Move Editor'!$B:$B,'Move Editor'!$C:$C,""),cat,XLOOKUP($D413,'Move Editor'!$B:$B,'Move Editor'!$D:$D,""),pow,XLOOKUP($D413,'Move Editor'!$B:$B,'Move Editor'!$E:$E,0),acc,XLOOKUP($D413,'Move Editor'!$B:$B,'Move Editor'!$F:$F,100),atk,IF(cat="Physical",FLOOR((FLOOR(((2*XLOOKUP(XLOOKUP($Q413,'Threshold Summary'!$Y:$Y,'Threshold Summary'!$K:$K,""),'Pokemon Editor'!$A:$A,'Pokemon Editor'!$F:$F,0)+31+FLOOR(XLOOKUP($Q413,'Threshold Summary'!$Y:$Y,'Threshold Summary'!$P:$P,"")/4))*XLOOKUP($Q413,'Threshold Summary'!$Y:$Y,'Threshold Summary'!$L:$L,""))/100)+5)*XLOOKUP(XLOOKUP($Q413,'Threshold Summary'!$Y:$Y,'Threshold Summary'!$M:$M,""),'Nature Editor'!$A:$A,'Nature Editor'!$B:$B,1)),FLOOR((FLOOR(((2*XLOOKUP(XLOOKUP($Q413,'Threshold Summary'!$Y:$Y,'Threshold Summary'!$K:$K,""),'Pokemon Editor'!$A:$A,'Pokemon Editor'!$H:$H,0)+31+FLOOR(XLOOKUP($Q413,'Threshold Summary'!$Y:$Y,'Threshold Summary'!$R:$R,"")/4))*XLOOKUP($Q413,'Threshold Summary'!$Y:$Y,'Threshold Summary'!$L:$L,""))/100)+5)*XLOOKUP(XLOOKUP($Q413,'Threshold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Editor'!$E:$E,1))),stab,IF(OR(mtype=XLOOKUP(XLOOKUP($Q413,'Threshold Summary'!$Y:$Y,'Threshold Summary'!$K:$K,""),'Pokemon Editor'!$A:$A,'Pokemon Editor'!$C:$C,""),mtype=XLOOKUP(XLOOKUP($Q413,'Threshold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Chart'!$B$1:$S$1,0)))),base,IF(OR(cat="Status",pow=0),0,FLOOR(FLOOR(FLOOR((2*XLOOKUP($Q413,'Threshold Summary'!$Y:$Y,'Threshold Summary'!$L:$L,"")/5+2)*pow*atk/def)/50)+2)),modifier,stab*eff,AVERAGE(ARRAYFORMULA(FLOOR(base*modifier*SEQUENCE(16,1,85,1)/100)))*MIN(1,acc/100)),0)</f>
        <v/>
      </c>
      <c r="N413" s="4">
        <f>IFERROR(LET(mtype,XLOOKUP($D413,'Move Editor'!$B:$B,'Move Editor'!$C:$C,""),cat,XLOOKUP($D413,'Move Editor'!$B:$B,'Move Editor'!$D:$D,""),pow,XLOOKUP($D413,'Move Editor'!$B:$B,'Move Editor'!$E:$E,0),acc,XLOOKUP($D413,'Move Editor'!$B:$B,'Move Editor'!$F:$F,100),atk,IF(cat="Physical",FLOOR((FLOOR(((2*XLOOKUP(XLOOKUP($Q413,'Threshold Summary'!$Y:$Y,'Threshold Summary'!$K:$K,""),'Pokemon Editor'!$A:$A,'Pokemon Editor'!$F:$F,0)+31+FLOOR(XLOOKUP($Q413,'Threshold Summary'!$Y:$Y,'Threshold Summary'!$P:$P,"")/4))*XLOOKUP($Q413,'Threshold Summary'!$Y:$Y,'Threshold Summary'!$L:$L,""))/100)+5)*XLOOKUP(XLOOKUP($Q413,'Threshold Summary'!$Y:$Y,'Threshold Summary'!$M:$M,""),'Nature Editor'!$A:$A,'Nature Editor'!$B:$B,1)),FLOOR((FLOOR(((2*XLOOKUP(XLOOKUP($Q413,'Threshold Summary'!$Y:$Y,'Threshold Summary'!$K:$K,""),'Pokemon Editor'!$A:$A,'Pokemon Editor'!$H:$H,0)+31+FLOOR(XLOOKUP($Q413,'Threshold Summary'!$Y:$Y,'Threshold Summary'!$R:$R,"")/4))*XLOOKUP($Q413,'Threshold Summary'!$Y:$Y,'Threshold Summary'!$L:$L,""))/100)+5)*XLOOKUP(XLOOKUP($Q413,'Threshold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Editor'!$E:$E,1))),stab,IF(OR(mtype=XLOOKUP(XLOOKUP($Q413,'Threshold Summary'!$Y:$Y,'Threshold Summary'!$K:$K,""),'Pokemon Editor'!$A:$A,'Pokemon Editor'!$C:$C,""),mtype=XLOOKUP(XLOOKUP($Q413,'Threshold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Chart'!$B$1:$S$1,0)))),base,IF(OR(cat="Status",pow=0),0,FLOOR(FLOOR(FLOOR((2*XLOOKUP($Q413,'Threshold Summary'!$Y:$Y,'Threshold Summary'!$L:$L,"")/5+2)*pow*atk/def)/50)+2)),modifier,stab*eff,AVERAGE(ARRAYFORMULA(FLOOR(base*modifier*SEQUENCE(16,1,85,1)/100)))/(FLOOR(((2*XLOOKUP('Boss Editor'!$C$4,'Pokemon Editor'!$A:$A,'Pokemon Editor'!$E:$E,0)+31+FLOOR('Boss Editor'!$G$4/4))*'Boss Editor'!$D$4)/100)+'Boss Editor'!$D$4+10)),0)</f>
        <v/>
      </c>
      <c r="O413" s="3">
        <f>IF(N413&gt;=1,"OHKO",IF(N413&gt;=0.5,"2HKO",IF(N413&gt;=0.333,"3HKO",IF(N413&gt;=0.25,"4HKO","5HKO+"))))</f>
        <v/>
      </c>
      <c r="P413" s="3" t="inlineStr">
        <is>
          <t>Live from editable databases</t>
        </is>
      </c>
      <c r="Q413" s="3" t="inlineStr">
        <is>
          <t>SPECIES_DRIFLOON</t>
        </is>
      </c>
      <c r="R413" s="3" t="n">
        <v>28</v>
      </c>
    </row>
    <row r="414">
      <c r="A414" s="3">
        <f>XLOOKUP($Q414,'Threshold Summary'!$Y:$Y,'Threshold Summary'!$A:$A,"")</f>
        <v/>
      </c>
      <c r="B414" s="3">
        <f>XLOOKUP($Q414,'Threshold Summary'!$Y:$Y,'Threshold Summary'!$M:$M,"")</f>
        <v/>
      </c>
      <c r="C414" s="3">
        <f>XLOOKUP($Q414,'Threshold Summary'!$Y:$Y,'Threshold Summary'!$N:$N,"")</f>
        <v/>
      </c>
      <c r="D414" s="3">
        <f>IFERROR(INDEX(FILTER('Learnset Editor'!$D$2:$D,'Learnset Editor'!$A$2:$A=XLOOKUP($Q414,'Threshold Summary'!$Y:$Y,'Threshold Summary'!$K:$K,""),'Learnset Editor'!$C$2:$C&lt;=XLOOKUP($Q414,'Threshold Summary'!$Y:$Y,'Threshold Summary'!$L:$L,"")),$R414),"")</f>
        <v/>
      </c>
      <c r="E414" s="3">
        <f>XLOOKUP(D414,'Move Editor'!$B:$B,'Move Editor'!$C:$C,"")</f>
        <v/>
      </c>
      <c r="F414" s="3">
        <f>XLOOKUP(D414,'Move Editor'!$B:$B,'Move Editor'!$D:$D,"")</f>
        <v/>
      </c>
      <c r="G414" s="3">
        <f>XLOOKUP(D414,'Move Editor'!$B:$B,'Move Editor'!$E:$E,0)</f>
        <v/>
      </c>
      <c r="H414" s="3">
        <f>XLOOKUP(D414,'Move Editor'!$B:$B,'Move Editor'!$F:$F,0)</f>
        <v/>
      </c>
      <c r="I414" s="3">
        <f>(INDEX('Type Chart'!$B:$S,MATCH(E414,'Type Chart'!$A:$A,0),MATCH(XLOOKUP('Boss Editor'!$C$4,'Pokemon Editor'!$A:$A,'Pokemon Editor'!$C:$C,""),'Type Chart'!$B$1:$S$1,0))*IF(XLOOKUP('Boss Editor'!$C$4,'Pokemon Editor'!$A:$A,'Pokemon Editor'!$D:$D,"")="",1,INDEX('Type Chart'!$B:$S,MATCH(E414,'Type Chart'!$A:$A,0),MATCH(XLOOKUP('Boss Editor'!$C$4,'Pokemon Editor'!$A:$A,'Pokemon Editor'!$D:$D,""),'Type Chart'!$B$1:$S$1,0))))</f>
        <v/>
      </c>
      <c r="J414" s="3">
        <f>IFERROR(LET(mtype,XLOOKUP($D414,'Move Editor'!$B:$B,'Move Editor'!$C:$C,""),cat,XLOOKUP($D414,'Move Editor'!$B:$B,'Move Editor'!$D:$D,""),pow,XLOOKUP($D414,'Move Editor'!$B:$B,'Move Editor'!$E:$E,0),acc,XLOOKUP($D414,'Move Editor'!$B:$B,'Move Editor'!$F:$F,100),atk,IF(cat="Physical",FLOOR((FLOOR(((2*XLOOKUP(XLOOKUP($Q414,'Threshold Summary'!$Y:$Y,'Threshold Summary'!$K:$K,""),'Pokemon Editor'!$A:$A,'Pokemon Editor'!$F:$F,0)+31+FLOOR(XLOOKUP($Q414,'Threshold Summary'!$Y:$Y,'Threshold Summary'!$P:$P,"")/4))*XLOOKUP($Q414,'Threshold Summary'!$Y:$Y,'Threshold Summary'!$L:$L,""))/100)+5)*XLOOKUP(XLOOKUP($Q414,'Threshold Summary'!$Y:$Y,'Threshold Summary'!$M:$M,""),'Nature Editor'!$A:$A,'Nature Editor'!$B:$B,1)),FLOOR((FLOOR(((2*XLOOKUP(XLOOKUP($Q414,'Threshold Summary'!$Y:$Y,'Threshold Summary'!$K:$K,""),'Pokemon Editor'!$A:$A,'Pokemon Editor'!$H:$H,0)+31+FLOOR(XLOOKUP($Q414,'Threshold Summary'!$Y:$Y,'Threshold Summary'!$R:$R,"")/4))*XLOOKUP($Q414,'Threshold Summary'!$Y:$Y,'Threshold Summary'!$L:$L,""))/100)+5)*XLOOKUP(XLOOKUP($Q414,'Threshold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Editor'!$E:$E,1))),stab,IF(OR(mtype=XLOOKUP(XLOOKUP($Q414,'Threshold Summary'!$Y:$Y,'Threshold Summary'!$K:$K,""),'Pokemon Editor'!$A:$A,'Pokemon Editor'!$C:$C,""),mtype=XLOOKUP(XLOOKUP($Q414,'Threshold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Chart'!$B$1:$S$1,0)))),base,IF(OR(cat="Status",pow=0),0,FLOOR(FLOOR(FLOOR((2*XLOOKUP($Q414,'Threshold Summary'!$Y:$Y,'Threshold Summary'!$L:$L,"")/5+2)*pow*atk/def)/50)+2)),modifier,stab*eff,FLOOR(base*modifier*0.85)),0)</f>
        <v/>
      </c>
      <c r="K414" s="3">
        <f>IFERROR(LET(mtype,XLOOKUP($D414,'Move Editor'!$B:$B,'Move Editor'!$C:$C,""),cat,XLOOKUP($D414,'Move Editor'!$B:$B,'Move Editor'!$D:$D,""),pow,XLOOKUP($D414,'Move Editor'!$B:$B,'Move Editor'!$E:$E,0),acc,XLOOKUP($D414,'Move Editor'!$B:$B,'Move Editor'!$F:$F,100),atk,IF(cat="Physical",FLOOR((FLOOR(((2*XLOOKUP(XLOOKUP($Q414,'Threshold Summary'!$Y:$Y,'Threshold Summary'!$K:$K,""),'Pokemon Editor'!$A:$A,'Pokemon Editor'!$F:$F,0)+31+FLOOR(XLOOKUP($Q414,'Threshold Summary'!$Y:$Y,'Threshold Summary'!$P:$P,"")/4))*XLOOKUP($Q414,'Threshold Summary'!$Y:$Y,'Threshold Summary'!$L:$L,""))/100)+5)*XLOOKUP(XLOOKUP($Q414,'Threshold Summary'!$Y:$Y,'Threshold Summary'!$M:$M,""),'Nature Editor'!$A:$A,'Nature Editor'!$B:$B,1)),FLOOR((FLOOR(((2*XLOOKUP(XLOOKUP($Q414,'Threshold Summary'!$Y:$Y,'Threshold Summary'!$K:$K,""),'Pokemon Editor'!$A:$A,'Pokemon Editor'!$H:$H,0)+31+FLOOR(XLOOKUP($Q414,'Threshold Summary'!$Y:$Y,'Threshold Summary'!$R:$R,"")/4))*XLOOKUP($Q414,'Threshold Summary'!$Y:$Y,'Threshold Summary'!$L:$L,""))/100)+5)*XLOOKUP(XLOOKUP($Q414,'Threshold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Editor'!$E:$E,1))),stab,IF(OR(mtype=XLOOKUP(XLOOKUP($Q414,'Threshold Summary'!$Y:$Y,'Threshold Summary'!$K:$K,""),'Pokemon Editor'!$A:$A,'Pokemon Editor'!$C:$C,""),mtype=XLOOKUP(XLOOKUP($Q414,'Threshold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Chart'!$B$1:$S$1,0)))),base,IF(OR(cat="Status",pow=0),0,FLOOR(FLOOR(FLOOR((2*XLOOKUP($Q414,'Threshold Summary'!$Y:$Y,'Threshold Summary'!$L:$L,"")/5+2)*pow*atk/def)/50)+2)),modifier,stab*eff,FLOOR(base*modifier)),0)</f>
        <v/>
      </c>
      <c r="L414" s="3">
        <f>IFERROR(LET(mtype,XLOOKUP($D414,'Move Editor'!$B:$B,'Move Editor'!$C:$C,""),cat,XLOOKUP($D414,'Move Editor'!$B:$B,'Move Editor'!$D:$D,""),pow,XLOOKUP($D414,'Move Editor'!$B:$B,'Move Editor'!$E:$E,0),acc,XLOOKUP($D414,'Move Editor'!$B:$B,'Move Editor'!$F:$F,100),atk,IF(cat="Physical",FLOOR((FLOOR(((2*XLOOKUP(XLOOKUP($Q414,'Threshold Summary'!$Y:$Y,'Threshold Summary'!$K:$K,""),'Pokemon Editor'!$A:$A,'Pokemon Editor'!$F:$F,0)+31+FLOOR(XLOOKUP($Q414,'Threshold Summary'!$Y:$Y,'Threshold Summary'!$P:$P,"")/4))*XLOOKUP($Q414,'Threshold Summary'!$Y:$Y,'Threshold Summary'!$L:$L,""))/100)+5)*XLOOKUP(XLOOKUP($Q414,'Threshold Summary'!$Y:$Y,'Threshold Summary'!$M:$M,""),'Nature Editor'!$A:$A,'Nature Editor'!$B:$B,1)),FLOOR((FLOOR(((2*XLOOKUP(XLOOKUP($Q414,'Threshold Summary'!$Y:$Y,'Threshold Summary'!$K:$K,""),'Pokemon Editor'!$A:$A,'Pokemon Editor'!$H:$H,0)+31+FLOOR(XLOOKUP($Q414,'Threshold Summary'!$Y:$Y,'Threshold Summary'!$R:$R,"")/4))*XLOOKUP($Q414,'Threshold Summary'!$Y:$Y,'Threshold Summary'!$L:$L,""))/100)+5)*XLOOKUP(XLOOKUP($Q414,'Threshold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Editor'!$E:$E,1))),stab,IF(OR(mtype=XLOOKUP(XLOOKUP($Q414,'Threshold Summary'!$Y:$Y,'Threshold Summary'!$K:$K,""),'Pokemon Editor'!$A:$A,'Pokemon Editor'!$C:$C,""),mtype=XLOOKUP(XLOOKUP($Q414,'Threshold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Chart'!$B$1:$S$1,0)))),base,IF(OR(cat="Status",pow=0),0,FLOOR(FLOOR(FLOOR((2*XLOOKUP($Q414,'Threshold Summary'!$Y:$Y,'Threshold Summary'!$L:$L,"")/5+2)*pow*atk/def)/50)+2)),modifier,stab*eff,AVERAGE(ARRAYFORMULA(FLOOR(base*modifier*SEQUENCE(16,1,85,1)/100)))),0)</f>
        <v/>
      </c>
      <c r="M414" s="3">
        <f>IFERROR(LET(mtype,XLOOKUP($D414,'Move Editor'!$B:$B,'Move Editor'!$C:$C,""),cat,XLOOKUP($D414,'Move Editor'!$B:$B,'Move Editor'!$D:$D,""),pow,XLOOKUP($D414,'Move Editor'!$B:$B,'Move Editor'!$E:$E,0),acc,XLOOKUP($D414,'Move Editor'!$B:$B,'Move Editor'!$F:$F,100),atk,IF(cat="Physical",FLOOR((FLOOR(((2*XLOOKUP(XLOOKUP($Q414,'Threshold Summary'!$Y:$Y,'Threshold Summary'!$K:$K,""),'Pokemon Editor'!$A:$A,'Pokemon Editor'!$F:$F,0)+31+FLOOR(XLOOKUP($Q414,'Threshold Summary'!$Y:$Y,'Threshold Summary'!$P:$P,"")/4))*XLOOKUP($Q414,'Threshold Summary'!$Y:$Y,'Threshold Summary'!$L:$L,""))/100)+5)*XLOOKUP(XLOOKUP($Q414,'Threshold Summary'!$Y:$Y,'Threshold Summary'!$M:$M,""),'Nature Editor'!$A:$A,'Nature Editor'!$B:$B,1)),FLOOR((FLOOR(((2*XLOOKUP(XLOOKUP($Q414,'Threshold Summary'!$Y:$Y,'Threshold Summary'!$K:$K,""),'Pokemon Editor'!$A:$A,'Pokemon Editor'!$H:$H,0)+31+FLOOR(XLOOKUP($Q414,'Threshold Summary'!$Y:$Y,'Threshold Summary'!$R:$R,"")/4))*XLOOKUP($Q414,'Threshold Summary'!$Y:$Y,'Threshold Summary'!$L:$L,""))/100)+5)*XLOOKUP(XLOOKUP($Q414,'Threshold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Editor'!$E:$E,1))),stab,IF(OR(mtype=XLOOKUP(XLOOKUP($Q414,'Threshold Summary'!$Y:$Y,'Threshold Summary'!$K:$K,""),'Pokemon Editor'!$A:$A,'Pokemon Editor'!$C:$C,""),mtype=XLOOKUP(XLOOKUP($Q414,'Threshold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Chart'!$B$1:$S$1,0)))),base,IF(OR(cat="Status",pow=0),0,FLOOR(FLOOR(FLOOR((2*XLOOKUP($Q414,'Threshold Summary'!$Y:$Y,'Threshold Summary'!$L:$L,"")/5+2)*pow*atk/def)/50)+2)),modifier,stab*eff,AVERAGE(ARRAYFORMULA(FLOOR(base*modifier*SEQUENCE(16,1,85,1)/100)))*MIN(1,acc/100)),0)</f>
        <v/>
      </c>
      <c r="N414" s="4">
        <f>IFERROR(LET(mtype,XLOOKUP($D414,'Move Editor'!$B:$B,'Move Editor'!$C:$C,""),cat,XLOOKUP($D414,'Move Editor'!$B:$B,'Move Editor'!$D:$D,""),pow,XLOOKUP($D414,'Move Editor'!$B:$B,'Move Editor'!$E:$E,0),acc,XLOOKUP($D414,'Move Editor'!$B:$B,'Move Editor'!$F:$F,100),atk,IF(cat="Physical",FLOOR((FLOOR(((2*XLOOKUP(XLOOKUP($Q414,'Threshold Summary'!$Y:$Y,'Threshold Summary'!$K:$K,""),'Pokemon Editor'!$A:$A,'Pokemon Editor'!$F:$F,0)+31+FLOOR(XLOOKUP($Q414,'Threshold Summary'!$Y:$Y,'Threshold Summary'!$P:$P,"")/4))*XLOOKUP($Q414,'Threshold Summary'!$Y:$Y,'Threshold Summary'!$L:$L,""))/100)+5)*XLOOKUP(XLOOKUP($Q414,'Threshold Summary'!$Y:$Y,'Threshold Summary'!$M:$M,""),'Nature Editor'!$A:$A,'Nature Editor'!$B:$B,1)),FLOOR((FLOOR(((2*XLOOKUP(XLOOKUP($Q414,'Threshold Summary'!$Y:$Y,'Threshold Summary'!$K:$K,""),'Pokemon Editor'!$A:$A,'Pokemon Editor'!$H:$H,0)+31+FLOOR(XLOOKUP($Q414,'Threshold Summary'!$Y:$Y,'Threshold Summary'!$R:$R,"")/4))*XLOOKUP($Q414,'Threshold Summary'!$Y:$Y,'Threshold Summary'!$L:$L,""))/100)+5)*XLOOKUP(XLOOKUP($Q414,'Threshold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Editor'!$E:$E,1))),stab,IF(OR(mtype=XLOOKUP(XLOOKUP($Q414,'Threshold Summary'!$Y:$Y,'Threshold Summary'!$K:$K,""),'Pokemon Editor'!$A:$A,'Pokemon Editor'!$C:$C,""),mtype=XLOOKUP(XLOOKUP($Q414,'Threshold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Chart'!$B$1:$S$1,0)))),base,IF(OR(cat="Status",pow=0),0,FLOOR(FLOOR(FLOOR((2*XLOOKUP($Q414,'Threshold Summary'!$Y:$Y,'Threshold Summary'!$L:$L,"")/5+2)*pow*atk/def)/50)+2)),modifier,stab*eff,AVERAGE(ARRAYFORMULA(FLOOR(base*modifier*SEQUENCE(16,1,85,1)/100)))/(FLOOR(((2*XLOOKUP('Boss Editor'!$C$4,'Pokemon Editor'!$A:$A,'Pokemon Editor'!$E:$E,0)+31+FLOOR('Boss Editor'!$G$4/4))*'Boss Editor'!$D$4)/100)+'Boss Editor'!$D$4+10)),0)</f>
        <v/>
      </c>
      <c r="O414" s="3">
        <f>IF(N414&gt;=1,"OHKO",IF(N414&gt;=0.5,"2HKO",IF(N414&gt;=0.333,"3HKO",IF(N414&gt;=0.25,"4HKO","5HKO+"))))</f>
        <v/>
      </c>
      <c r="P414" s="3" t="inlineStr">
        <is>
          <t>Live from editable databases</t>
        </is>
      </c>
      <c r="Q414" s="3" t="inlineStr">
        <is>
          <t>SPECIES_DRIFLOON</t>
        </is>
      </c>
      <c r="R414" s="3" t="n">
        <v>29</v>
      </c>
    </row>
    <row r="415">
      <c r="A415" s="3">
        <f>XLOOKUP($Q415,'Threshold Summary'!$Y:$Y,'Threshold Summary'!$A:$A,"")</f>
        <v/>
      </c>
      <c r="B415" s="3">
        <f>XLOOKUP($Q415,'Threshold Summary'!$Y:$Y,'Threshold Summary'!$M:$M,"")</f>
        <v/>
      </c>
      <c r="C415" s="3">
        <f>XLOOKUP($Q415,'Threshold Summary'!$Y:$Y,'Threshold Summary'!$N:$N,"")</f>
        <v/>
      </c>
      <c r="D415" s="3">
        <f>IFERROR(INDEX(FILTER('Learnset Editor'!$D$2:$D,'Learnset Editor'!$A$2:$A=XLOOKUP($Q415,'Threshold Summary'!$Y:$Y,'Threshold Summary'!$K:$K,""),'Learnset Editor'!$C$2:$C&lt;=XLOOKUP($Q415,'Threshold Summary'!$Y:$Y,'Threshold Summary'!$L:$L,"")),$R415),"")</f>
        <v/>
      </c>
      <c r="E415" s="3">
        <f>XLOOKUP(D415,'Move Editor'!$B:$B,'Move Editor'!$C:$C,"")</f>
        <v/>
      </c>
      <c r="F415" s="3">
        <f>XLOOKUP(D415,'Move Editor'!$B:$B,'Move Editor'!$D:$D,"")</f>
        <v/>
      </c>
      <c r="G415" s="3">
        <f>XLOOKUP(D415,'Move Editor'!$B:$B,'Move Editor'!$E:$E,0)</f>
        <v/>
      </c>
      <c r="H415" s="3">
        <f>XLOOKUP(D415,'Move Editor'!$B:$B,'Move Editor'!$F:$F,0)</f>
        <v/>
      </c>
      <c r="I415" s="3">
        <f>(INDEX('Type Chart'!$B:$S,MATCH(E415,'Type Chart'!$A:$A,0),MATCH(XLOOKUP('Boss Editor'!$C$4,'Pokemon Editor'!$A:$A,'Pokemon Editor'!$C:$C,""),'Type Chart'!$B$1:$S$1,0))*IF(XLOOKUP('Boss Editor'!$C$4,'Pokemon Editor'!$A:$A,'Pokemon Editor'!$D:$D,"")="",1,INDEX('Type Chart'!$B:$S,MATCH(E415,'Type Chart'!$A:$A,0),MATCH(XLOOKUP('Boss Editor'!$C$4,'Pokemon Editor'!$A:$A,'Pokemon Editor'!$D:$D,""),'Type Chart'!$B$1:$S$1,0))))</f>
        <v/>
      </c>
      <c r="J415" s="3">
        <f>IFERROR(LET(mtype,XLOOKUP($D415,'Move Editor'!$B:$B,'Move Editor'!$C:$C,""),cat,XLOOKUP($D415,'Move Editor'!$B:$B,'Move Editor'!$D:$D,""),pow,XLOOKUP($D415,'Move Editor'!$B:$B,'Move Editor'!$E:$E,0),acc,XLOOKUP($D415,'Move Editor'!$B:$B,'Move Editor'!$F:$F,100),atk,IF(cat="Physical",FLOOR((FLOOR(((2*XLOOKUP(XLOOKUP($Q415,'Threshold Summary'!$Y:$Y,'Threshold Summary'!$K:$K,""),'Pokemon Editor'!$A:$A,'Pokemon Editor'!$F:$F,0)+31+FLOOR(XLOOKUP($Q415,'Threshold Summary'!$Y:$Y,'Threshold Summary'!$P:$P,"")/4))*XLOOKUP($Q415,'Threshold Summary'!$Y:$Y,'Threshold Summary'!$L:$L,""))/100)+5)*XLOOKUP(XLOOKUP($Q415,'Threshold Summary'!$Y:$Y,'Threshold Summary'!$M:$M,""),'Nature Editor'!$A:$A,'Nature Editor'!$B:$B,1)),FLOOR((FLOOR(((2*XLOOKUP(XLOOKUP($Q415,'Threshold Summary'!$Y:$Y,'Threshold Summary'!$K:$K,""),'Pokemon Editor'!$A:$A,'Pokemon Editor'!$H:$H,0)+31+FLOOR(XLOOKUP($Q415,'Threshold Summary'!$Y:$Y,'Threshold Summary'!$R:$R,"")/4))*XLOOKUP($Q415,'Threshold Summary'!$Y:$Y,'Threshold Summary'!$L:$L,""))/100)+5)*XLOOKUP(XLOOKUP($Q415,'Threshold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Editor'!$E:$E,1))),stab,IF(OR(mtype=XLOOKUP(XLOOKUP($Q415,'Threshold Summary'!$Y:$Y,'Threshold Summary'!$K:$K,""),'Pokemon Editor'!$A:$A,'Pokemon Editor'!$C:$C,""),mtype=XLOOKUP(XLOOKUP($Q415,'Threshold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Chart'!$B$1:$S$1,0)))),base,IF(OR(cat="Status",pow=0),0,FLOOR(FLOOR(FLOOR((2*XLOOKUP($Q415,'Threshold Summary'!$Y:$Y,'Threshold Summary'!$L:$L,"")/5+2)*pow*atk/def)/50)+2)),modifier,stab*eff,FLOOR(base*modifier*0.85)),0)</f>
        <v/>
      </c>
      <c r="K415" s="3">
        <f>IFERROR(LET(mtype,XLOOKUP($D415,'Move Editor'!$B:$B,'Move Editor'!$C:$C,""),cat,XLOOKUP($D415,'Move Editor'!$B:$B,'Move Editor'!$D:$D,""),pow,XLOOKUP($D415,'Move Editor'!$B:$B,'Move Editor'!$E:$E,0),acc,XLOOKUP($D415,'Move Editor'!$B:$B,'Move Editor'!$F:$F,100),atk,IF(cat="Physical",FLOOR((FLOOR(((2*XLOOKUP(XLOOKUP($Q415,'Threshold Summary'!$Y:$Y,'Threshold Summary'!$K:$K,""),'Pokemon Editor'!$A:$A,'Pokemon Editor'!$F:$F,0)+31+FLOOR(XLOOKUP($Q415,'Threshold Summary'!$Y:$Y,'Threshold Summary'!$P:$P,"")/4))*XLOOKUP($Q415,'Threshold Summary'!$Y:$Y,'Threshold Summary'!$L:$L,""))/100)+5)*XLOOKUP(XLOOKUP($Q415,'Threshold Summary'!$Y:$Y,'Threshold Summary'!$M:$M,""),'Nature Editor'!$A:$A,'Nature Editor'!$B:$B,1)),FLOOR((FLOOR(((2*XLOOKUP(XLOOKUP($Q415,'Threshold Summary'!$Y:$Y,'Threshold Summary'!$K:$K,""),'Pokemon Editor'!$A:$A,'Pokemon Editor'!$H:$H,0)+31+FLOOR(XLOOKUP($Q415,'Threshold Summary'!$Y:$Y,'Threshold Summary'!$R:$R,"")/4))*XLOOKUP($Q415,'Threshold Summary'!$Y:$Y,'Threshold Summary'!$L:$L,""))/100)+5)*XLOOKUP(XLOOKUP($Q415,'Threshold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Editor'!$E:$E,1))),stab,IF(OR(mtype=XLOOKUP(XLOOKUP($Q415,'Threshold Summary'!$Y:$Y,'Threshold Summary'!$K:$K,""),'Pokemon Editor'!$A:$A,'Pokemon Editor'!$C:$C,""),mtype=XLOOKUP(XLOOKUP($Q415,'Threshold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Chart'!$B$1:$S$1,0)))),base,IF(OR(cat="Status",pow=0),0,FLOOR(FLOOR(FLOOR((2*XLOOKUP($Q415,'Threshold Summary'!$Y:$Y,'Threshold Summary'!$L:$L,"")/5+2)*pow*atk/def)/50)+2)),modifier,stab*eff,FLOOR(base*modifier)),0)</f>
        <v/>
      </c>
      <c r="L415" s="3">
        <f>IFERROR(LET(mtype,XLOOKUP($D415,'Move Editor'!$B:$B,'Move Editor'!$C:$C,""),cat,XLOOKUP($D415,'Move Editor'!$B:$B,'Move Editor'!$D:$D,""),pow,XLOOKUP($D415,'Move Editor'!$B:$B,'Move Editor'!$E:$E,0),acc,XLOOKUP($D415,'Move Editor'!$B:$B,'Move Editor'!$F:$F,100),atk,IF(cat="Physical",FLOOR((FLOOR(((2*XLOOKUP(XLOOKUP($Q415,'Threshold Summary'!$Y:$Y,'Threshold Summary'!$K:$K,""),'Pokemon Editor'!$A:$A,'Pokemon Editor'!$F:$F,0)+31+FLOOR(XLOOKUP($Q415,'Threshold Summary'!$Y:$Y,'Threshold Summary'!$P:$P,"")/4))*XLOOKUP($Q415,'Threshold Summary'!$Y:$Y,'Threshold Summary'!$L:$L,""))/100)+5)*XLOOKUP(XLOOKUP($Q415,'Threshold Summary'!$Y:$Y,'Threshold Summary'!$M:$M,""),'Nature Editor'!$A:$A,'Nature Editor'!$B:$B,1)),FLOOR((FLOOR(((2*XLOOKUP(XLOOKUP($Q415,'Threshold Summary'!$Y:$Y,'Threshold Summary'!$K:$K,""),'Pokemon Editor'!$A:$A,'Pokemon Editor'!$H:$H,0)+31+FLOOR(XLOOKUP($Q415,'Threshold Summary'!$Y:$Y,'Threshold Summary'!$R:$R,"")/4))*XLOOKUP($Q415,'Threshold Summary'!$Y:$Y,'Threshold Summary'!$L:$L,""))/100)+5)*XLOOKUP(XLOOKUP($Q415,'Threshold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Editor'!$E:$E,1))),stab,IF(OR(mtype=XLOOKUP(XLOOKUP($Q415,'Threshold Summary'!$Y:$Y,'Threshold Summary'!$K:$K,""),'Pokemon Editor'!$A:$A,'Pokemon Editor'!$C:$C,""),mtype=XLOOKUP(XLOOKUP($Q415,'Threshold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Chart'!$B$1:$S$1,0)))),base,IF(OR(cat="Status",pow=0),0,FLOOR(FLOOR(FLOOR((2*XLOOKUP($Q415,'Threshold Summary'!$Y:$Y,'Threshold Summary'!$L:$L,"")/5+2)*pow*atk/def)/50)+2)),modifier,stab*eff,AVERAGE(ARRAYFORMULA(FLOOR(base*modifier*SEQUENCE(16,1,85,1)/100)))),0)</f>
        <v/>
      </c>
      <c r="M415" s="3">
        <f>IFERROR(LET(mtype,XLOOKUP($D415,'Move Editor'!$B:$B,'Move Editor'!$C:$C,""),cat,XLOOKUP($D415,'Move Editor'!$B:$B,'Move Editor'!$D:$D,""),pow,XLOOKUP($D415,'Move Editor'!$B:$B,'Move Editor'!$E:$E,0),acc,XLOOKUP($D415,'Move Editor'!$B:$B,'Move Editor'!$F:$F,100),atk,IF(cat="Physical",FLOOR((FLOOR(((2*XLOOKUP(XLOOKUP($Q415,'Threshold Summary'!$Y:$Y,'Threshold Summary'!$K:$K,""),'Pokemon Editor'!$A:$A,'Pokemon Editor'!$F:$F,0)+31+FLOOR(XLOOKUP($Q415,'Threshold Summary'!$Y:$Y,'Threshold Summary'!$P:$P,"")/4))*XLOOKUP($Q415,'Threshold Summary'!$Y:$Y,'Threshold Summary'!$L:$L,""))/100)+5)*XLOOKUP(XLOOKUP($Q415,'Threshold Summary'!$Y:$Y,'Threshold Summary'!$M:$M,""),'Nature Editor'!$A:$A,'Nature Editor'!$B:$B,1)),FLOOR((FLOOR(((2*XLOOKUP(XLOOKUP($Q415,'Threshold Summary'!$Y:$Y,'Threshold Summary'!$K:$K,""),'Pokemon Editor'!$A:$A,'Pokemon Editor'!$H:$H,0)+31+FLOOR(XLOOKUP($Q415,'Threshold Summary'!$Y:$Y,'Threshold Summary'!$R:$R,"")/4))*XLOOKUP($Q415,'Threshold Summary'!$Y:$Y,'Threshold Summary'!$L:$L,""))/100)+5)*XLOOKUP(XLOOKUP($Q415,'Threshold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Editor'!$E:$E,1))),stab,IF(OR(mtype=XLOOKUP(XLOOKUP($Q415,'Threshold Summary'!$Y:$Y,'Threshold Summary'!$K:$K,""),'Pokemon Editor'!$A:$A,'Pokemon Editor'!$C:$C,""),mtype=XLOOKUP(XLOOKUP($Q415,'Threshold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Chart'!$B$1:$S$1,0)))),base,IF(OR(cat="Status",pow=0),0,FLOOR(FLOOR(FLOOR((2*XLOOKUP($Q415,'Threshold Summary'!$Y:$Y,'Threshold Summary'!$L:$L,"")/5+2)*pow*atk/def)/50)+2)),modifier,stab*eff,AVERAGE(ARRAYFORMULA(FLOOR(base*modifier*SEQUENCE(16,1,85,1)/100)))*MIN(1,acc/100)),0)</f>
        <v/>
      </c>
      <c r="N415" s="4">
        <f>IFERROR(LET(mtype,XLOOKUP($D415,'Move Editor'!$B:$B,'Move Editor'!$C:$C,""),cat,XLOOKUP($D415,'Move Editor'!$B:$B,'Move Editor'!$D:$D,""),pow,XLOOKUP($D415,'Move Editor'!$B:$B,'Move Editor'!$E:$E,0),acc,XLOOKUP($D415,'Move Editor'!$B:$B,'Move Editor'!$F:$F,100),atk,IF(cat="Physical",FLOOR((FLOOR(((2*XLOOKUP(XLOOKUP($Q415,'Threshold Summary'!$Y:$Y,'Threshold Summary'!$K:$K,""),'Pokemon Editor'!$A:$A,'Pokemon Editor'!$F:$F,0)+31+FLOOR(XLOOKUP($Q415,'Threshold Summary'!$Y:$Y,'Threshold Summary'!$P:$P,"")/4))*XLOOKUP($Q415,'Threshold Summary'!$Y:$Y,'Threshold Summary'!$L:$L,""))/100)+5)*XLOOKUP(XLOOKUP($Q415,'Threshold Summary'!$Y:$Y,'Threshold Summary'!$M:$M,""),'Nature Editor'!$A:$A,'Nature Editor'!$B:$B,1)),FLOOR((FLOOR(((2*XLOOKUP(XLOOKUP($Q415,'Threshold Summary'!$Y:$Y,'Threshold Summary'!$K:$K,""),'Pokemon Editor'!$A:$A,'Pokemon Editor'!$H:$H,0)+31+FLOOR(XLOOKUP($Q415,'Threshold Summary'!$Y:$Y,'Threshold Summary'!$R:$R,"")/4))*XLOOKUP($Q415,'Threshold Summary'!$Y:$Y,'Threshold Summary'!$L:$L,""))/100)+5)*XLOOKUP(XLOOKUP($Q415,'Threshold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Editor'!$E:$E,1))),stab,IF(OR(mtype=XLOOKUP(XLOOKUP($Q415,'Threshold Summary'!$Y:$Y,'Threshold Summary'!$K:$K,""),'Pokemon Editor'!$A:$A,'Pokemon Editor'!$C:$C,""),mtype=XLOOKUP(XLOOKUP($Q415,'Threshold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Chart'!$B$1:$S$1,0)))),base,IF(OR(cat="Status",pow=0),0,FLOOR(FLOOR(FLOOR((2*XLOOKUP($Q415,'Threshold Summary'!$Y:$Y,'Threshold Summary'!$L:$L,"")/5+2)*pow*atk/def)/50)+2)),modifier,stab*eff,AVERAGE(ARRAYFORMULA(FLOOR(base*modifier*SEQUENCE(16,1,85,1)/100)))/(FLOOR(((2*XLOOKUP('Boss Editor'!$C$4,'Pokemon Editor'!$A:$A,'Pokemon Editor'!$E:$E,0)+31+FLOOR('Boss Editor'!$G$4/4))*'Boss Editor'!$D$4)/100)+'Boss Editor'!$D$4+10)),0)</f>
        <v/>
      </c>
      <c r="O415" s="3">
        <f>IF(N415&gt;=1,"OHKO",IF(N415&gt;=0.5,"2HKO",IF(N415&gt;=0.333,"3HKO",IF(N415&gt;=0.25,"4HKO","5HKO+"))))</f>
        <v/>
      </c>
      <c r="P415" s="3" t="inlineStr">
        <is>
          <t>Live from editable databases</t>
        </is>
      </c>
      <c r="Q415" s="3" t="inlineStr">
        <is>
          <t>SPECIES_DRIFLOON</t>
        </is>
      </c>
      <c r="R415" s="3" t="n">
        <v>30</v>
      </c>
    </row>
    <row r="416">
      <c r="A416" s="3">
        <f>XLOOKUP($Q416,'Threshold Summary'!$Y:$Y,'Threshold Summary'!$A:$A,"")</f>
        <v/>
      </c>
      <c r="B416" s="3">
        <f>XLOOKUP($Q416,'Threshold Summary'!$Y:$Y,'Threshold Summary'!$M:$M,"")</f>
        <v/>
      </c>
      <c r="C416" s="3">
        <f>XLOOKUP($Q416,'Threshold Summary'!$Y:$Y,'Threshold Summary'!$N:$N,"")</f>
        <v/>
      </c>
      <c r="D416" s="3">
        <f>IFERROR(INDEX(FILTER('Learnset Editor'!$D$2:$D,'Learnset Editor'!$A$2:$A=XLOOKUP($Q416,'Threshold Summary'!$Y:$Y,'Threshold Summary'!$K:$K,""),'Learnset Editor'!$C$2:$C&lt;=XLOOKUP($Q416,'Threshold Summary'!$Y:$Y,'Threshold Summary'!$L:$L,"")),$R416),"")</f>
        <v/>
      </c>
      <c r="E416" s="3">
        <f>XLOOKUP(D416,'Move Editor'!$B:$B,'Move Editor'!$C:$C,"")</f>
        <v/>
      </c>
      <c r="F416" s="3">
        <f>XLOOKUP(D416,'Move Editor'!$B:$B,'Move Editor'!$D:$D,"")</f>
        <v/>
      </c>
      <c r="G416" s="3">
        <f>XLOOKUP(D416,'Move Editor'!$B:$B,'Move Editor'!$E:$E,0)</f>
        <v/>
      </c>
      <c r="H416" s="3">
        <f>XLOOKUP(D416,'Move Editor'!$B:$B,'Move Editor'!$F:$F,0)</f>
        <v/>
      </c>
      <c r="I416" s="3">
        <f>(INDEX('Type Chart'!$B:$S,MATCH(E416,'Type Chart'!$A:$A,0),MATCH(XLOOKUP('Boss Editor'!$C$4,'Pokemon Editor'!$A:$A,'Pokemon Editor'!$C:$C,""),'Type Chart'!$B$1:$S$1,0))*IF(XLOOKUP('Boss Editor'!$C$4,'Pokemon Editor'!$A:$A,'Pokemon Editor'!$D:$D,"")="",1,INDEX('Type Chart'!$B:$S,MATCH(E416,'Type Chart'!$A:$A,0),MATCH(XLOOKUP('Boss Editor'!$C$4,'Pokemon Editor'!$A:$A,'Pokemon Editor'!$D:$D,""),'Type Chart'!$B$1:$S$1,0))))</f>
        <v/>
      </c>
      <c r="J416" s="3">
        <f>IFERROR(LET(mtype,XLOOKUP($D416,'Move Editor'!$B:$B,'Move Editor'!$C:$C,""),cat,XLOOKUP($D416,'Move Editor'!$B:$B,'Move Editor'!$D:$D,""),pow,XLOOKUP($D416,'Move Editor'!$B:$B,'Move Editor'!$E:$E,0),acc,XLOOKUP($D416,'Move Editor'!$B:$B,'Move Editor'!$F:$F,100),atk,IF(cat="Physical",FLOOR((FLOOR(((2*XLOOKUP(XLOOKUP($Q416,'Threshold Summary'!$Y:$Y,'Threshold Summary'!$K:$K,""),'Pokemon Editor'!$A:$A,'Pokemon Editor'!$F:$F,0)+31+FLOOR(XLOOKUP($Q416,'Threshold Summary'!$Y:$Y,'Threshold Summary'!$P:$P,"")/4))*XLOOKUP($Q416,'Threshold Summary'!$Y:$Y,'Threshold Summary'!$L:$L,""))/100)+5)*XLOOKUP(XLOOKUP($Q416,'Threshold Summary'!$Y:$Y,'Threshold Summary'!$M:$M,""),'Nature Editor'!$A:$A,'Nature Editor'!$B:$B,1)),FLOOR((FLOOR(((2*XLOOKUP(XLOOKUP($Q416,'Threshold Summary'!$Y:$Y,'Threshold Summary'!$K:$K,""),'Pokemon Editor'!$A:$A,'Pokemon Editor'!$H:$H,0)+31+FLOOR(XLOOKUP($Q416,'Threshold Summary'!$Y:$Y,'Threshold Summary'!$R:$R,"")/4))*XLOOKUP($Q416,'Threshold Summary'!$Y:$Y,'Threshold Summary'!$L:$L,""))/100)+5)*XLOOKUP(XLOOKUP($Q416,'Threshold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Editor'!$E:$E,1))),stab,IF(OR(mtype=XLOOKUP(XLOOKUP($Q416,'Threshold Summary'!$Y:$Y,'Threshold Summary'!$K:$K,""),'Pokemon Editor'!$A:$A,'Pokemon Editor'!$C:$C,""),mtype=XLOOKUP(XLOOKUP($Q416,'Threshold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Chart'!$B$1:$S$1,0)))),base,IF(OR(cat="Status",pow=0),0,FLOOR(FLOOR(FLOOR((2*XLOOKUP($Q416,'Threshold Summary'!$Y:$Y,'Threshold Summary'!$L:$L,"")/5+2)*pow*atk/def)/50)+2)),modifier,stab*eff,FLOOR(base*modifier*0.85)),0)</f>
        <v/>
      </c>
      <c r="K416" s="3">
        <f>IFERROR(LET(mtype,XLOOKUP($D416,'Move Editor'!$B:$B,'Move Editor'!$C:$C,""),cat,XLOOKUP($D416,'Move Editor'!$B:$B,'Move Editor'!$D:$D,""),pow,XLOOKUP($D416,'Move Editor'!$B:$B,'Move Editor'!$E:$E,0),acc,XLOOKUP($D416,'Move Editor'!$B:$B,'Move Editor'!$F:$F,100),atk,IF(cat="Physical",FLOOR((FLOOR(((2*XLOOKUP(XLOOKUP($Q416,'Threshold Summary'!$Y:$Y,'Threshold Summary'!$K:$K,""),'Pokemon Editor'!$A:$A,'Pokemon Editor'!$F:$F,0)+31+FLOOR(XLOOKUP($Q416,'Threshold Summary'!$Y:$Y,'Threshold Summary'!$P:$P,"")/4))*XLOOKUP($Q416,'Threshold Summary'!$Y:$Y,'Threshold Summary'!$L:$L,""))/100)+5)*XLOOKUP(XLOOKUP($Q416,'Threshold Summary'!$Y:$Y,'Threshold Summary'!$M:$M,""),'Nature Editor'!$A:$A,'Nature Editor'!$B:$B,1)),FLOOR((FLOOR(((2*XLOOKUP(XLOOKUP($Q416,'Threshold Summary'!$Y:$Y,'Threshold Summary'!$K:$K,""),'Pokemon Editor'!$A:$A,'Pokemon Editor'!$H:$H,0)+31+FLOOR(XLOOKUP($Q416,'Threshold Summary'!$Y:$Y,'Threshold Summary'!$R:$R,"")/4))*XLOOKUP($Q416,'Threshold Summary'!$Y:$Y,'Threshold Summary'!$L:$L,""))/100)+5)*XLOOKUP(XLOOKUP($Q416,'Threshold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Editor'!$E:$E,1))),stab,IF(OR(mtype=XLOOKUP(XLOOKUP($Q416,'Threshold Summary'!$Y:$Y,'Threshold Summary'!$K:$K,""),'Pokemon Editor'!$A:$A,'Pokemon Editor'!$C:$C,""),mtype=XLOOKUP(XLOOKUP($Q416,'Threshold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Chart'!$B$1:$S$1,0)))),base,IF(OR(cat="Status",pow=0),0,FLOOR(FLOOR(FLOOR((2*XLOOKUP($Q416,'Threshold Summary'!$Y:$Y,'Threshold Summary'!$L:$L,"")/5+2)*pow*atk/def)/50)+2)),modifier,stab*eff,FLOOR(base*modifier)),0)</f>
        <v/>
      </c>
      <c r="L416" s="3">
        <f>IFERROR(LET(mtype,XLOOKUP($D416,'Move Editor'!$B:$B,'Move Editor'!$C:$C,""),cat,XLOOKUP($D416,'Move Editor'!$B:$B,'Move Editor'!$D:$D,""),pow,XLOOKUP($D416,'Move Editor'!$B:$B,'Move Editor'!$E:$E,0),acc,XLOOKUP($D416,'Move Editor'!$B:$B,'Move Editor'!$F:$F,100),atk,IF(cat="Physical",FLOOR((FLOOR(((2*XLOOKUP(XLOOKUP($Q416,'Threshold Summary'!$Y:$Y,'Threshold Summary'!$K:$K,""),'Pokemon Editor'!$A:$A,'Pokemon Editor'!$F:$F,0)+31+FLOOR(XLOOKUP($Q416,'Threshold Summary'!$Y:$Y,'Threshold Summary'!$P:$P,"")/4))*XLOOKUP($Q416,'Threshold Summary'!$Y:$Y,'Threshold Summary'!$L:$L,""))/100)+5)*XLOOKUP(XLOOKUP($Q416,'Threshold Summary'!$Y:$Y,'Threshold Summary'!$M:$M,""),'Nature Editor'!$A:$A,'Nature Editor'!$B:$B,1)),FLOOR((FLOOR(((2*XLOOKUP(XLOOKUP($Q416,'Threshold Summary'!$Y:$Y,'Threshold Summary'!$K:$K,""),'Pokemon Editor'!$A:$A,'Pokemon Editor'!$H:$H,0)+31+FLOOR(XLOOKUP($Q416,'Threshold Summary'!$Y:$Y,'Threshold Summary'!$R:$R,"")/4))*XLOOKUP($Q416,'Threshold Summary'!$Y:$Y,'Threshold Summary'!$L:$L,""))/100)+5)*XLOOKUP(XLOOKUP($Q416,'Threshold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Editor'!$E:$E,1))),stab,IF(OR(mtype=XLOOKUP(XLOOKUP($Q416,'Threshold Summary'!$Y:$Y,'Threshold Summary'!$K:$K,""),'Pokemon Editor'!$A:$A,'Pokemon Editor'!$C:$C,""),mtype=XLOOKUP(XLOOKUP($Q416,'Threshold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Chart'!$B$1:$S$1,0)))),base,IF(OR(cat="Status",pow=0),0,FLOOR(FLOOR(FLOOR((2*XLOOKUP($Q416,'Threshold Summary'!$Y:$Y,'Threshold Summary'!$L:$L,"")/5+2)*pow*atk/def)/50)+2)),modifier,stab*eff,AVERAGE(ARRAYFORMULA(FLOOR(base*modifier*SEQUENCE(16,1,85,1)/100)))),0)</f>
        <v/>
      </c>
      <c r="M416" s="3">
        <f>IFERROR(LET(mtype,XLOOKUP($D416,'Move Editor'!$B:$B,'Move Editor'!$C:$C,""),cat,XLOOKUP($D416,'Move Editor'!$B:$B,'Move Editor'!$D:$D,""),pow,XLOOKUP($D416,'Move Editor'!$B:$B,'Move Editor'!$E:$E,0),acc,XLOOKUP($D416,'Move Editor'!$B:$B,'Move Editor'!$F:$F,100),atk,IF(cat="Physical",FLOOR((FLOOR(((2*XLOOKUP(XLOOKUP($Q416,'Threshold Summary'!$Y:$Y,'Threshold Summary'!$K:$K,""),'Pokemon Editor'!$A:$A,'Pokemon Editor'!$F:$F,0)+31+FLOOR(XLOOKUP($Q416,'Threshold Summary'!$Y:$Y,'Threshold Summary'!$P:$P,"")/4))*XLOOKUP($Q416,'Threshold Summary'!$Y:$Y,'Threshold Summary'!$L:$L,""))/100)+5)*XLOOKUP(XLOOKUP($Q416,'Threshold Summary'!$Y:$Y,'Threshold Summary'!$M:$M,""),'Nature Editor'!$A:$A,'Nature Editor'!$B:$B,1)),FLOOR((FLOOR(((2*XLOOKUP(XLOOKUP($Q416,'Threshold Summary'!$Y:$Y,'Threshold Summary'!$K:$K,""),'Pokemon Editor'!$A:$A,'Pokemon Editor'!$H:$H,0)+31+FLOOR(XLOOKUP($Q416,'Threshold Summary'!$Y:$Y,'Threshold Summary'!$R:$R,"")/4))*XLOOKUP($Q416,'Threshold Summary'!$Y:$Y,'Threshold Summary'!$L:$L,""))/100)+5)*XLOOKUP(XLOOKUP($Q416,'Threshold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Editor'!$E:$E,1))),stab,IF(OR(mtype=XLOOKUP(XLOOKUP($Q416,'Threshold Summary'!$Y:$Y,'Threshold Summary'!$K:$K,""),'Pokemon Editor'!$A:$A,'Pokemon Editor'!$C:$C,""),mtype=XLOOKUP(XLOOKUP($Q416,'Threshold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Chart'!$B$1:$S$1,0)))),base,IF(OR(cat="Status",pow=0),0,FLOOR(FLOOR(FLOOR((2*XLOOKUP($Q416,'Threshold Summary'!$Y:$Y,'Threshold Summary'!$L:$L,"")/5+2)*pow*atk/def)/50)+2)),modifier,stab*eff,AVERAGE(ARRAYFORMULA(FLOOR(base*modifier*SEQUENCE(16,1,85,1)/100)))*MIN(1,acc/100)),0)</f>
        <v/>
      </c>
      <c r="N416" s="4">
        <f>IFERROR(LET(mtype,XLOOKUP($D416,'Move Editor'!$B:$B,'Move Editor'!$C:$C,""),cat,XLOOKUP($D416,'Move Editor'!$B:$B,'Move Editor'!$D:$D,""),pow,XLOOKUP($D416,'Move Editor'!$B:$B,'Move Editor'!$E:$E,0),acc,XLOOKUP($D416,'Move Editor'!$B:$B,'Move Editor'!$F:$F,100),atk,IF(cat="Physical",FLOOR((FLOOR(((2*XLOOKUP(XLOOKUP($Q416,'Threshold Summary'!$Y:$Y,'Threshold Summary'!$K:$K,""),'Pokemon Editor'!$A:$A,'Pokemon Editor'!$F:$F,0)+31+FLOOR(XLOOKUP($Q416,'Threshold Summary'!$Y:$Y,'Threshold Summary'!$P:$P,"")/4))*XLOOKUP($Q416,'Threshold Summary'!$Y:$Y,'Threshold Summary'!$L:$L,""))/100)+5)*XLOOKUP(XLOOKUP($Q416,'Threshold Summary'!$Y:$Y,'Threshold Summary'!$M:$M,""),'Nature Editor'!$A:$A,'Nature Editor'!$B:$B,1)),FLOOR((FLOOR(((2*XLOOKUP(XLOOKUP($Q416,'Threshold Summary'!$Y:$Y,'Threshold Summary'!$K:$K,""),'Pokemon Editor'!$A:$A,'Pokemon Editor'!$H:$H,0)+31+FLOOR(XLOOKUP($Q416,'Threshold Summary'!$Y:$Y,'Threshold Summary'!$R:$R,"")/4))*XLOOKUP($Q416,'Threshold Summary'!$Y:$Y,'Threshold Summary'!$L:$L,""))/100)+5)*XLOOKUP(XLOOKUP($Q416,'Threshold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Editor'!$E:$E,1))),stab,IF(OR(mtype=XLOOKUP(XLOOKUP($Q416,'Threshold Summary'!$Y:$Y,'Threshold Summary'!$K:$K,""),'Pokemon Editor'!$A:$A,'Pokemon Editor'!$C:$C,""),mtype=XLOOKUP(XLOOKUP($Q416,'Threshold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Chart'!$B$1:$S$1,0)))),base,IF(OR(cat="Status",pow=0),0,FLOOR(FLOOR(FLOOR((2*XLOOKUP($Q416,'Threshold Summary'!$Y:$Y,'Threshold Summary'!$L:$L,"")/5+2)*pow*atk/def)/50)+2)),modifier,stab*eff,AVERAGE(ARRAYFORMULA(FLOOR(base*modifier*SEQUENCE(16,1,85,1)/100)))/(FLOOR(((2*XLOOKUP('Boss Editor'!$C$4,'Pokemon Editor'!$A:$A,'Pokemon Editor'!$E:$E,0)+31+FLOOR('Boss Editor'!$G$4/4))*'Boss Editor'!$D$4)/100)+'Boss Editor'!$D$4+10)),0)</f>
        <v/>
      </c>
      <c r="O416" s="3">
        <f>IF(N416&gt;=1,"OHKO",IF(N416&gt;=0.5,"2HKO",IF(N416&gt;=0.333,"3HKO",IF(N416&gt;=0.25,"4HKO","5HKO+"))))</f>
        <v/>
      </c>
      <c r="P416" s="3" t="inlineStr">
        <is>
          <t>Live from editable databases</t>
        </is>
      </c>
      <c r="Q416" s="3" t="inlineStr">
        <is>
          <t>SPECIES_DRIFLOON</t>
        </is>
      </c>
      <c r="R416" s="3" t="n">
        <v>31</v>
      </c>
    </row>
    <row r="417">
      <c r="A417" s="3">
        <f>XLOOKUP($Q417,'Threshold Summary'!$Y:$Y,'Threshold Summary'!$A:$A,"")</f>
        <v/>
      </c>
      <c r="B417" s="3">
        <f>XLOOKUP($Q417,'Threshold Summary'!$Y:$Y,'Threshold Summary'!$M:$M,"")</f>
        <v/>
      </c>
      <c r="C417" s="3">
        <f>XLOOKUP($Q417,'Threshold Summary'!$Y:$Y,'Threshold Summary'!$N:$N,"")</f>
        <v/>
      </c>
      <c r="D417" s="3">
        <f>IFERROR(INDEX(FILTER('Learnset Editor'!$D$2:$D,'Learnset Editor'!$A$2:$A=XLOOKUP($Q417,'Threshold Summary'!$Y:$Y,'Threshold Summary'!$K:$K,""),'Learnset Editor'!$C$2:$C&lt;=XLOOKUP($Q417,'Threshold Summary'!$Y:$Y,'Threshold Summary'!$L:$L,"")),$R417),"")</f>
        <v/>
      </c>
      <c r="E417" s="3">
        <f>XLOOKUP(D417,'Move Editor'!$B:$B,'Move Editor'!$C:$C,"")</f>
        <v/>
      </c>
      <c r="F417" s="3">
        <f>XLOOKUP(D417,'Move Editor'!$B:$B,'Move Editor'!$D:$D,"")</f>
        <v/>
      </c>
      <c r="G417" s="3">
        <f>XLOOKUP(D417,'Move Editor'!$B:$B,'Move Editor'!$E:$E,0)</f>
        <v/>
      </c>
      <c r="H417" s="3">
        <f>XLOOKUP(D417,'Move Editor'!$B:$B,'Move Editor'!$F:$F,0)</f>
        <v/>
      </c>
      <c r="I417" s="3">
        <f>(INDEX('Type Chart'!$B:$S,MATCH(E417,'Type Chart'!$A:$A,0),MATCH(XLOOKUP('Boss Editor'!$C$4,'Pokemon Editor'!$A:$A,'Pokemon Editor'!$C:$C,""),'Type Chart'!$B$1:$S$1,0))*IF(XLOOKUP('Boss Editor'!$C$4,'Pokemon Editor'!$A:$A,'Pokemon Editor'!$D:$D,"")="",1,INDEX('Type Chart'!$B:$S,MATCH(E417,'Type Chart'!$A:$A,0),MATCH(XLOOKUP('Boss Editor'!$C$4,'Pokemon Editor'!$A:$A,'Pokemon Editor'!$D:$D,""),'Type Chart'!$B$1:$S$1,0))))</f>
        <v/>
      </c>
      <c r="J417" s="3">
        <f>IFERROR(LET(mtype,XLOOKUP($D417,'Move Editor'!$B:$B,'Move Editor'!$C:$C,""),cat,XLOOKUP($D417,'Move Editor'!$B:$B,'Move Editor'!$D:$D,""),pow,XLOOKUP($D417,'Move Editor'!$B:$B,'Move Editor'!$E:$E,0),acc,XLOOKUP($D417,'Move Editor'!$B:$B,'Move Editor'!$F:$F,100),atk,IF(cat="Physical",FLOOR((FLOOR(((2*XLOOKUP(XLOOKUP($Q417,'Threshold Summary'!$Y:$Y,'Threshold Summary'!$K:$K,""),'Pokemon Editor'!$A:$A,'Pokemon Editor'!$F:$F,0)+31+FLOOR(XLOOKUP($Q417,'Threshold Summary'!$Y:$Y,'Threshold Summary'!$P:$P,"")/4))*XLOOKUP($Q417,'Threshold Summary'!$Y:$Y,'Threshold Summary'!$L:$L,""))/100)+5)*XLOOKUP(XLOOKUP($Q417,'Threshold Summary'!$Y:$Y,'Threshold Summary'!$M:$M,""),'Nature Editor'!$A:$A,'Nature Editor'!$B:$B,1)),FLOOR((FLOOR(((2*XLOOKUP(XLOOKUP($Q417,'Threshold Summary'!$Y:$Y,'Threshold Summary'!$K:$K,""),'Pokemon Editor'!$A:$A,'Pokemon Editor'!$H:$H,0)+31+FLOOR(XLOOKUP($Q417,'Threshold Summary'!$Y:$Y,'Threshold Summary'!$R:$R,"")/4))*XLOOKUP($Q417,'Threshold Summary'!$Y:$Y,'Threshold Summary'!$L:$L,""))/100)+5)*XLOOKUP(XLOOKUP($Q417,'Threshold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Editor'!$E:$E,1))),stab,IF(OR(mtype=XLOOKUP(XLOOKUP($Q417,'Threshold Summary'!$Y:$Y,'Threshold Summary'!$K:$K,""),'Pokemon Editor'!$A:$A,'Pokemon Editor'!$C:$C,""),mtype=XLOOKUP(XLOOKUP($Q417,'Threshold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Chart'!$B$1:$S$1,0)))),base,IF(OR(cat="Status",pow=0),0,FLOOR(FLOOR(FLOOR((2*XLOOKUP($Q417,'Threshold Summary'!$Y:$Y,'Threshold Summary'!$L:$L,"")/5+2)*pow*atk/def)/50)+2)),modifier,stab*eff,FLOOR(base*modifier*0.85)),0)</f>
        <v/>
      </c>
      <c r="K417" s="3">
        <f>IFERROR(LET(mtype,XLOOKUP($D417,'Move Editor'!$B:$B,'Move Editor'!$C:$C,""),cat,XLOOKUP($D417,'Move Editor'!$B:$B,'Move Editor'!$D:$D,""),pow,XLOOKUP($D417,'Move Editor'!$B:$B,'Move Editor'!$E:$E,0),acc,XLOOKUP($D417,'Move Editor'!$B:$B,'Move Editor'!$F:$F,100),atk,IF(cat="Physical",FLOOR((FLOOR(((2*XLOOKUP(XLOOKUP($Q417,'Threshold Summary'!$Y:$Y,'Threshold Summary'!$K:$K,""),'Pokemon Editor'!$A:$A,'Pokemon Editor'!$F:$F,0)+31+FLOOR(XLOOKUP($Q417,'Threshold Summary'!$Y:$Y,'Threshold Summary'!$P:$P,"")/4))*XLOOKUP($Q417,'Threshold Summary'!$Y:$Y,'Threshold Summary'!$L:$L,""))/100)+5)*XLOOKUP(XLOOKUP($Q417,'Threshold Summary'!$Y:$Y,'Threshold Summary'!$M:$M,""),'Nature Editor'!$A:$A,'Nature Editor'!$B:$B,1)),FLOOR((FLOOR(((2*XLOOKUP(XLOOKUP($Q417,'Threshold Summary'!$Y:$Y,'Threshold Summary'!$K:$K,""),'Pokemon Editor'!$A:$A,'Pokemon Editor'!$H:$H,0)+31+FLOOR(XLOOKUP($Q417,'Threshold Summary'!$Y:$Y,'Threshold Summary'!$R:$R,"")/4))*XLOOKUP($Q417,'Threshold Summary'!$Y:$Y,'Threshold Summary'!$L:$L,""))/100)+5)*XLOOKUP(XLOOKUP($Q417,'Threshold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Editor'!$E:$E,1))),stab,IF(OR(mtype=XLOOKUP(XLOOKUP($Q417,'Threshold Summary'!$Y:$Y,'Threshold Summary'!$K:$K,""),'Pokemon Editor'!$A:$A,'Pokemon Editor'!$C:$C,""),mtype=XLOOKUP(XLOOKUP($Q417,'Threshold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Chart'!$B$1:$S$1,0)))),base,IF(OR(cat="Status",pow=0),0,FLOOR(FLOOR(FLOOR((2*XLOOKUP($Q417,'Threshold Summary'!$Y:$Y,'Threshold Summary'!$L:$L,"")/5+2)*pow*atk/def)/50)+2)),modifier,stab*eff,FLOOR(base*modifier)),0)</f>
        <v/>
      </c>
      <c r="L417" s="3">
        <f>IFERROR(LET(mtype,XLOOKUP($D417,'Move Editor'!$B:$B,'Move Editor'!$C:$C,""),cat,XLOOKUP($D417,'Move Editor'!$B:$B,'Move Editor'!$D:$D,""),pow,XLOOKUP($D417,'Move Editor'!$B:$B,'Move Editor'!$E:$E,0),acc,XLOOKUP($D417,'Move Editor'!$B:$B,'Move Editor'!$F:$F,100),atk,IF(cat="Physical",FLOOR((FLOOR(((2*XLOOKUP(XLOOKUP($Q417,'Threshold Summary'!$Y:$Y,'Threshold Summary'!$K:$K,""),'Pokemon Editor'!$A:$A,'Pokemon Editor'!$F:$F,0)+31+FLOOR(XLOOKUP($Q417,'Threshold Summary'!$Y:$Y,'Threshold Summary'!$P:$P,"")/4))*XLOOKUP($Q417,'Threshold Summary'!$Y:$Y,'Threshold Summary'!$L:$L,""))/100)+5)*XLOOKUP(XLOOKUP($Q417,'Threshold Summary'!$Y:$Y,'Threshold Summary'!$M:$M,""),'Nature Editor'!$A:$A,'Nature Editor'!$B:$B,1)),FLOOR((FLOOR(((2*XLOOKUP(XLOOKUP($Q417,'Threshold Summary'!$Y:$Y,'Threshold Summary'!$K:$K,""),'Pokemon Editor'!$A:$A,'Pokemon Editor'!$H:$H,0)+31+FLOOR(XLOOKUP($Q417,'Threshold Summary'!$Y:$Y,'Threshold Summary'!$R:$R,"")/4))*XLOOKUP($Q417,'Threshold Summary'!$Y:$Y,'Threshold Summary'!$L:$L,""))/100)+5)*XLOOKUP(XLOOKUP($Q417,'Threshold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Editor'!$E:$E,1))),stab,IF(OR(mtype=XLOOKUP(XLOOKUP($Q417,'Threshold Summary'!$Y:$Y,'Threshold Summary'!$K:$K,""),'Pokemon Editor'!$A:$A,'Pokemon Editor'!$C:$C,""),mtype=XLOOKUP(XLOOKUP($Q417,'Threshold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Chart'!$B$1:$S$1,0)))),base,IF(OR(cat="Status",pow=0),0,FLOOR(FLOOR(FLOOR((2*XLOOKUP($Q417,'Threshold Summary'!$Y:$Y,'Threshold Summary'!$L:$L,"")/5+2)*pow*atk/def)/50)+2)),modifier,stab*eff,AVERAGE(ARRAYFORMULA(FLOOR(base*modifier*SEQUENCE(16,1,85,1)/100)))),0)</f>
        <v/>
      </c>
      <c r="M417" s="3">
        <f>IFERROR(LET(mtype,XLOOKUP($D417,'Move Editor'!$B:$B,'Move Editor'!$C:$C,""),cat,XLOOKUP($D417,'Move Editor'!$B:$B,'Move Editor'!$D:$D,""),pow,XLOOKUP($D417,'Move Editor'!$B:$B,'Move Editor'!$E:$E,0),acc,XLOOKUP($D417,'Move Editor'!$B:$B,'Move Editor'!$F:$F,100),atk,IF(cat="Physical",FLOOR((FLOOR(((2*XLOOKUP(XLOOKUP($Q417,'Threshold Summary'!$Y:$Y,'Threshold Summary'!$K:$K,""),'Pokemon Editor'!$A:$A,'Pokemon Editor'!$F:$F,0)+31+FLOOR(XLOOKUP($Q417,'Threshold Summary'!$Y:$Y,'Threshold Summary'!$P:$P,"")/4))*XLOOKUP($Q417,'Threshold Summary'!$Y:$Y,'Threshold Summary'!$L:$L,""))/100)+5)*XLOOKUP(XLOOKUP($Q417,'Threshold Summary'!$Y:$Y,'Threshold Summary'!$M:$M,""),'Nature Editor'!$A:$A,'Nature Editor'!$B:$B,1)),FLOOR((FLOOR(((2*XLOOKUP(XLOOKUP($Q417,'Threshold Summary'!$Y:$Y,'Threshold Summary'!$K:$K,""),'Pokemon Editor'!$A:$A,'Pokemon Editor'!$H:$H,0)+31+FLOOR(XLOOKUP($Q417,'Threshold Summary'!$Y:$Y,'Threshold Summary'!$R:$R,"")/4))*XLOOKUP($Q417,'Threshold Summary'!$Y:$Y,'Threshold Summary'!$L:$L,""))/100)+5)*XLOOKUP(XLOOKUP($Q417,'Threshold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Editor'!$E:$E,1))),stab,IF(OR(mtype=XLOOKUP(XLOOKUP($Q417,'Threshold Summary'!$Y:$Y,'Threshold Summary'!$K:$K,""),'Pokemon Editor'!$A:$A,'Pokemon Editor'!$C:$C,""),mtype=XLOOKUP(XLOOKUP($Q417,'Threshold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Chart'!$B$1:$S$1,0)))),base,IF(OR(cat="Status",pow=0),0,FLOOR(FLOOR(FLOOR((2*XLOOKUP($Q417,'Threshold Summary'!$Y:$Y,'Threshold Summary'!$L:$L,"")/5+2)*pow*atk/def)/50)+2)),modifier,stab*eff,AVERAGE(ARRAYFORMULA(FLOOR(base*modifier*SEQUENCE(16,1,85,1)/100)))*MIN(1,acc/100)),0)</f>
        <v/>
      </c>
      <c r="N417" s="4">
        <f>IFERROR(LET(mtype,XLOOKUP($D417,'Move Editor'!$B:$B,'Move Editor'!$C:$C,""),cat,XLOOKUP($D417,'Move Editor'!$B:$B,'Move Editor'!$D:$D,""),pow,XLOOKUP($D417,'Move Editor'!$B:$B,'Move Editor'!$E:$E,0),acc,XLOOKUP($D417,'Move Editor'!$B:$B,'Move Editor'!$F:$F,100),atk,IF(cat="Physical",FLOOR((FLOOR(((2*XLOOKUP(XLOOKUP($Q417,'Threshold Summary'!$Y:$Y,'Threshold Summary'!$K:$K,""),'Pokemon Editor'!$A:$A,'Pokemon Editor'!$F:$F,0)+31+FLOOR(XLOOKUP($Q417,'Threshold Summary'!$Y:$Y,'Threshold Summary'!$P:$P,"")/4))*XLOOKUP($Q417,'Threshold Summary'!$Y:$Y,'Threshold Summary'!$L:$L,""))/100)+5)*XLOOKUP(XLOOKUP($Q417,'Threshold Summary'!$Y:$Y,'Threshold Summary'!$M:$M,""),'Nature Editor'!$A:$A,'Nature Editor'!$B:$B,1)),FLOOR((FLOOR(((2*XLOOKUP(XLOOKUP($Q417,'Threshold Summary'!$Y:$Y,'Threshold Summary'!$K:$K,""),'Pokemon Editor'!$A:$A,'Pokemon Editor'!$H:$H,0)+31+FLOOR(XLOOKUP($Q417,'Threshold Summary'!$Y:$Y,'Threshold Summary'!$R:$R,"")/4))*XLOOKUP($Q417,'Threshold Summary'!$Y:$Y,'Threshold Summary'!$L:$L,""))/100)+5)*XLOOKUP(XLOOKUP($Q417,'Threshold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Editor'!$E:$E,1))),stab,IF(OR(mtype=XLOOKUP(XLOOKUP($Q417,'Threshold Summary'!$Y:$Y,'Threshold Summary'!$K:$K,""),'Pokemon Editor'!$A:$A,'Pokemon Editor'!$C:$C,""),mtype=XLOOKUP(XLOOKUP($Q417,'Threshold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Chart'!$B$1:$S$1,0)))),base,IF(OR(cat="Status",pow=0),0,FLOOR(FLOOR(FLOOR((2*XLOOKUP($Q417,'Threshold Summary'!$Y:$Y,'Threshold Summary'!$L:$L,"")/5+2)*pow*atk/def)/50)+2)),modifier,stab*eff,AVERAGE(ARRAYFORMULA(FLOOR(base*modifier*SEQUENCE(16,1,85,1)/100)))/(FLOOR(((2*XLOOKUP('Boss Editor'!$C$4,'Pokemon Editor'!$A:$A,'Pokemon Editor'!$E:$E,0)+31+FLOOR('Boss Editor'!$G$4/4))*'Boss Editor'!$D$4)/100)+'Boss Editor'!$D$4+10)),0)</f>
        <v/>
      </c>
      <c r="O417" s="3">
        <f>IF(N417&gt;=1,"OHKO",IF(N417&gt;=0.5,"2HKO",IF(N417&gt;=0.333,"3HKO",IF(N417&gt;=0.25,"4HKO","5HKO+"))))</f>
        <v/>
      </c>
      <c r="P417" s="3" t="inlineStr">
        <is>
          <t>Live from editable databases</t>
        </is>
      </c>
      <c r="Q417" s="3" t="inlineStr">
        <is>
          <t>SPECIES_DRIFLOON</t>
        </is>
      </c>
      <c r="R417" s="3" t="n">
        <v>32</v>
      </c>
    </row>
    <row r="418">
      <c r="A418" s="3">
        <f>XLOOKUP($Q418,'Threshold Summary'!$Y:$Y,'Threshold Summary'!$A:$A,"")</f>
        <v/>
      </c>
      <c r="B418" s="3">
        <f>XLOOKUP($Q418,'Threshold Summary'!$Y:$Y,'Threshold Summary'!$M:$M,"")</f>
        <v/>
      </c>
      <c r="C418" s="3">
        <f>XLOOKUP($Q418,'Threshold Summary'!$Y:$Y,'Threshold Summary'!$N:$N,"")</f>
        <v/>
      </c>
      <c r="D418" s="3">
        <f>IFERROR(INDEX(FILTER('Learnset Editor'!$D$2:$D,'Learnset Editor'!$A$2:$A=XLOOKUP($Q418,'Threshold Summary'!$Y:$Y,'Threshold Summary'!$K:$K,""),'Learnset Editor'!$C$2:$C&lt;=XLOOKUP($Q418,'Threshold Summary'!$Y:$Y,'Threshold Summary'!$L:$L,"")),$R418),"")</f>
        <v/>
      </c>
      <c r="E418" s="3">
        <f>XLOOKUP(D418,'Move Editor'!$B:$B,'Move Editor'!$C:$C,"")</f>
        <v/>
      </c>
      <c r="F418" s="3">
        <f>XLOOKUP(D418,'Move Editor'!$B:$B,'Move Editor'!$D:$D,"")</f>
        <v/>
      </c>
      <c r="G418" s="3">
        <f>XLOOKUP(D418,'Move Editor'!$B:$B,'Move Editor'!$E:$E,0)</f>
        <v/>
      </c>
      <c r="H418" s="3">
        <f>XLOOKUP(D418,'Move Editor'!$B:$B,'Move Editor'!$F:$F,0)</f>
        <v/>
      </c>
      <c r="I418" s="3">
        <f>(INDEX('Type Chart'!$B:$S,MATCH(E418,'Type Chart'!$A:$A,0),MATCH(XLOOKUP('Boss Editor'!$C$4,'Pokemon Editor'!$A:$A,'Pokemon Editor'!$C:$C,""),'Type Chart'!$B$1:$S$1,0))*IF(XLOOKUP('Boss Editor'!$C$4,'Pokemon Editor'!$A:$A,'Pokemon Editor'!$D:$D,"")="",1,INDEX('Type Chart'!$B:$S,MATCH(E418,'Type Chart'!$A:$A,0),MATCH(XLOOKUP('Boss Editor'!$C$4,'Pokemon Editor'!$A:$A,'Pokemon Editor'!$D:$D,""),'Type Chart'!$B$1:$S$1,0))))</f>
        <v/>
      </c>
      <c r="J418" s="3">
        <f>IFERROR(LET(mtype,XLOOKUP($D418,'Move Editor'!$B:$B,'Move Editor'!$C:$C,""),cat,XLOOKUP($D418,'Move Editor'!$B:$B,'Move Editor'!$D:$D,""),pow,XLOOKUP($D418,'Move Editor'!$B:$B,'Move Editor'!$E:$E,0),acc,XLOOKUP($D418,'Move Editor'!$B:$B,'Move Editor'!$F:$F,100),atk,IF(cat="Physical",FLOOR((FLOOR(((2*XLOOKUP(XLOOKUP($Q418,'Threshold Summary'!$Y:$Y,'Threshold Summary'!$K:$K,""),'Pokemon Editor'!$A:$A,'Pokemon Editor'!$F:$F,0)+31+FLOOR(XLOOKUP($Q418,'Threshold Summary'!$Y:$Y,'Threshold Summary'!$P:$P,"")/4))*XLOOKUP($Q418,'Threshold Summary'!$Y:$Y,'Threshold Summary'!$L:$L,""))/100)+5)*XLOOKUP(XLOOKUP($Q418,'Threshold Summary'!$Y:$Y,'Threshold Summary'!$M:$M,""),'Nature Editor'!$A:$A,'Nature Editor'!$B:$B,1)),FLOOR((FLOOR(((2*XLOOKUP(XLOOKUP($Q418,'Threshold Summary'!$Y:$Y,'Threshold Summary'!$K:$K,""),'Pokemon Editor'!$A:$A,'Pokemon Editor'!$H:$H,0)+31+FLOOR(XLOOKUP($Q418,'Threshold Summary'!$Y:$Y,'Threshold Summary'!$R:$R,"")/4))*XLOOKUP($Q418,'Threshold Summary'!$Y:$Y,'Threshold Summary'!$L:$L,""))/100)+5)*XLOOKUP(XLOOKUP($Q418,'Threshold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Editor'!$E:$E,1))),stab,IF(OR(mtype=XLOOKUP(XLOOKUP($Q418,'Threshold Summary'!$Y:$Y,'Threshold Summary'!$K:$K,""),'Pokemon Editor'!$A:$A,'Pokemon Editor'!$C:$C,""),mtype=XLOOKUP(XLOOKUP($Q418,'Threshold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Chart'!$B$1:$S$1,0)))),base,IF(OR(cat="Status",pow=0),0,FLOOR(FLOOR(FLOOR((2*XLOOKUP($Q418,'Threshold Summary'!$Y:$Y,'Threshold Summary'!$L:$L,"")/5+2)*pow*atk/def)/50)+2)),modifier,stab*eff,FLOOR(base*modifier*0.85)),0)</f>
        <v/>
      </c>
      <c r="K418" s="3">
        <f>IFERROR(LET(mtype,XLOOKUP($D418,'Move Editor'!$B:$B,'Move Editor'!$C:$C,""),cat,XLOOKUP($D418,'Move Editor'!$B:$B,'Move Editor'!$D:$D,""),pow,XLOOKUP($D418,'Move Editor'!$B:$B,'Move Editor'!$E:$E,0),acc,XLOOKUP($D418,'Move Editor'!$B:$B,'Move Editor'!$F:$F,100),atk,IF(cat="Physical",FLOOR((FLOOR(((2*XLOOKUP(XLOOKUP($Q418,'Threshold Summary'!$Y:$Y,'Threshold Summary'!$K:$K,""),'Pokemon Editor'!$A:$A,'Pokemon Editor'!$F:$F,0)+31+FLOOR(XLOOKUP($Q418,'Threshold Summary'!$Y:$Y,'Threshold Summary'!$P:$P,"")/4))*XLOOKUP($Q418,'Threshold Summary'!$Y:$Y,'Threshold Summary'!$L:$L,""))/100)+5)*XLOOKUP(XLOOKUP($Q418,'Threshold Summary'!$Y:$Y,'Threshold Summary'!$M:$M,""),'Nature Editor'!$A:$A,'Nature Editor'!$B:$B,1)),FLOOR((FLOOR(((2*XLOOKUP(XLOOKUP($Q418,'Threshold Summary'!$Y:$Y,'Threshold Summary'!$K:$K,""),'Pokemon Editor'!$A:$A,'Pokemon Editor'!$H:$H,0)+31+FLOOR(XLOOKUP($Q418,'Threshold Summary'!$Y:$Y,'Threshold Summary'!$R:$R,"")/4))*XLOOKUP($Q418,'Threshold Summary'!$Y:$Y,'Threshold Summary'!$L:$L,""))/100)+5)*XLOOKUP(XLOOKUP($Q418,'Threshold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Editor'!$E:$E,1))),stab,IF(OR(mtype=XLOOKUP(XLOOKUP($Q418,'Threshold Summary'!$Y:$Y,'Threshold Summary'!$K:$K,""),'Pokemon Editor'!$A:$A,'Pokemon Editor'!$C:$C,""),mtype=XLOOKUP(XLOOKUP($Q418,'Threshold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Chart'!$B$1:$S$1,0)))),base,IF(OR(cat="Status",pow=0),0,FLOOR(FLOOR(FLOOR((2*XLOOKUP($Q418,'Threshold Summary'!$Y:$Y,'Threshold Summary'!$L:$L,"")/5+2)*pow*atk/def)/50)+2)),modifier,stab*eff,FLOOR(base*modifier)),0)</f>
        <v/>
      </c>
      <c r="L418" s="3">
        <f>IFERROR(LET(mtype,XLOOKUP($D418,'Move Editor'!$B:$B,'Move Editor'!$C:$C,""),cat,XLOOKUP($D418,'Move Editor'!$B:$B,'Move Editor'!$D:$D,""),pow,XLOOKUP($D418,'Move Editor'!$B:$B,'Move Editor'!$E:$E,0),acc,XLOOKUP($D418,'Move Editor'!$B:$B,'Move Editor'!$F:$F,100),atk,IF(cat="Physical",FLOOR((FLOOR(((2*XLOOKUP(XLOOKUP($Q418,'Threshold Summary'!$Y:$Y,'Threshold Summary'!$K:$K,""),'Pokemon Editor'!$A:$A,'Pokemon Editor'!$F:$F,0)+31+FLOOR(XLOOKUP($Q418,'Threshold Summary'!$Y:$Y,'Threshold Summary'!$P:$P,"")/4))*XLOOKUP($Q418,'Threshold Summary'!$Y:$Y,'Threshold Summary'!$L:$L,""))/100)+5)*XLOOKUP(XLOOKUP($Q418,'Threshold Summary'!$Y:$Y,'Threshold Summary'!$M:$M,""),'Nature Editor'!$A:$A,'Nature Editor'!$B:$B,1)),FLOOR((FLOOR(((2*XLOOKUP(XLOOKUP($Q418,'Threshold Summary'!$Y:$Y,'Threshold Summary'!$K:$K,""),'Pokemon Editor'!$A:$A,'Pokemon Editor'!$H:$H,0)+31+FLOOR(XLOOKUP($Q418,'Threshold Summary'!$Y:$Y,'Threshold Summary'!$R:$R,"")/4))*XLOOKUP($Q418,'Threshold Summary'!$Y:$Y,'Threshold Summary'!$L:$L,""))/100)+5)*XLOOKUP(XLOOKUP($Q418,'Threshold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Editor'!$E:$E,1))),stab,IF(OR(mtype=XLOOKUP(XLOOKUP($Q418,'Threshold Summary'!$Y:$Y,'Threshold Summary'!$K:$K,""),'Pokemon Editor'!$A:$A,'Pokemon Editor'!$C:$C,""),mtype=XLOOKUP(XLOOKUP($Q418,'Threshold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Chart'!$B$1:$S$1,0)))),base,IF(OR(cat="Status",pow=0),0,FLOOR(FLOOR(FLOOR((2*XLOOKUP($Q418,'Threshold Summary'!$Y:$Y,'Threshold Summary'!$L:$L,"")/5+2)*pow*atk/def)/50)+2)),modifier,stab*eff,AVERAGE(ARRAYFORMULA(FLOOR(base*modifier*SEQUENCE(16,1,85,1)/100)))),0)</f>
        <v/>
      </c>
      <c r="M418" s="3">
        <f>IFERROR(LET(mtype,XLOOKUP($D418,'Move Editor'!$B:$B,'Move Editor'!$C:$C,""),cat,XLOOKUP($D418,'Move Editor'!$B:$B,'Move Editor'!$D:$D,""),pow,XLOOKUP($D418,'Move Editor'!$B:$B,'Move Editor'!$E:$E,0),acc,XLOOKUP($D418,'Move Editor'!$B:$B,'Move Editor'!$F:$F,100),atk,IF(cat="Physical",FLOOR((FLOOR(((2*XLOOKUP(XLOOKUP($Q418,'Threshold Summary'!$Y:$Y,'Threshold Summary'!$K:$K,""),'Pokemon Editor'!$A:$A,'Pokemon Editor'!$F:$F,0)+31+FLOOR(XLOOKUP($Q418,'Threshold Summary'!$Y:$Y,'Threshold Summary'!$P:$P,"")/4))*XLOOKUP($Q418,'Threshold Summary'!$Y:$Y,'Threshold Summary'!$L:$L,""))/100)+5)*XLOOKUP(XLOOKUP($Q418,'Threshold Summary'!$Y:$Y,'Threshold Summary'!$M:$M,""),'Nature Editor'!$A:$A,'Nature Editor'!$B:$B,1)),FLOOR((FLOOR(((2*XLOOKUP(XLOOKUP($Q418,'Threshold Summary'!$Y:$Y,'Threshold Summary'!$K:$K,""),'Pokemon Editor'!$A:$A,'Pokemon Editor'!$H:$H,0)+31+FLOOR(XLOOKUP($Q418,'Threshold Summary'!$Y:$Y,'Threshold Summary'!$R:$R,"")/4))*XLOOKUP($Q418,'Threshold Summary'!$Y:$Y,'Threshold Summary'!$L:$L,""))/100)+5)*XLOOKUP(XLOOKUP($Q418,'Threshold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Editor'!$E:$E,1))),stab,IF(OR(mtype=XLOOKUP(XLOOKUP($Q418,'Threshold Summary'!$Y:$Y,'Threshold Summary'!$K:$K,""),'Pokemon Editor'!$A:$A,'Pokemon Editor'!$C:$C,""),mtype=XLOOKUP(XLOOKUP($Q418,'Threshold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Chart'!$B$1:$S$1,0)))),base,IF(OR(cat="Status",pow=0),0,FLOOR(FLOOR(FLOOR((2*XLOOKUP($Q418,'Threshold Summary'!$Y:$Y,'Threshold Summary'!$L:$L,"")/5+2)*pow*atk/def)/50)+2)),modifier,stab*eff,AVERAGE(ARRAYFORMULA(FLOOR(base*modifier*SEQUENCE(16,1,85,1)/100)))*MIN(1,acc/100)),0)</f>
        <v/>
      </c>
      <c r="N418" s="4">
        <f>IFERROR(LET(mtype,XLOOKUP($D418,'Move Editor'!$B:$B,'Move Editor'!$C:$C,""),cat,XLOOKUP($D418,'Move Editor'!$B:$B,'Move Editor'!$D:$D,""),pow,XLOOKUP($D418,'Move Editor'!$B:$B,'Move Editor'!$E:$E,0),acc,XLOOKUP($D418,'Move Editor'!$B:$B,'Move Editor'!$F:$F,100),atk,IF(cat="Physical",FLOOR((FLOOR(((2*XLOOKUP(XLOOKUP($Q418,'Threshold Summary'!$Y:$Y,'Threshold Summary'!$K:$K,""),'Pokemon Editor'!$A:$A,'Pokemon Editor'!$F:$F,0)+31+FLOOR(XLOOKUP($Q418,'Threshold Summary'!$Y:$Y,'Threshold Summary'!$P:$P,"")/4))*XLOOKUP($Q418,'Threshold Summary'!$Y:$Y,'Threshold Summary'!$L:$L,""))/100)+5)*XLOOKUP(XLOOKUP($Q418,'Threshold Summary'!$Y:$Y,'Threshold Summary'!$M:$M,""),'Nature Editor'!$A:$A,'Nature Editor'!$B:$B,1)),FLOOR((FLOOR(((2*XLOOKUP(XLOOKUP($Q418,'Threshold Summary'!$Y:$Y,'Threshold Summary'!$K:$K,""),'Pokemon Editor'!$A:$A,'Pokemon Editor'!$H:$H,0)+31+FLOOR(XLOOKUP($Q418,'Threshold Summary'!$Y:$Y,'Threshold Summary'!$R:$R,"")/4))*XLOOKUP($Q418,'Threshold Summary'!$Y:$Y,'Threshold Summary'!$L:$L,""))/100)+5)*XLOOKUP(XLOOKUP($Q418,'Threshold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Editor'!$E:$E,1))),stab,IF(OR(mtype=XLOOKUP(XLOOKUP($Q418,'Threshold Summary'!$Y:$Y,'Threshold Summary'!$K:$K,""),'Pokemon Editor'!$A:$A,'Pokemon Editor'!$C:$C,""),mtype=XLOOKUP(XLOOKUP($Q418,'Threshold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Chart'!$B$1:$S$1,0)))),base,IF(OR(cat="Status",pow=0),0,FLOOR(FLOOR(FLOOR((2*XLOOKUP($Q418,'Threshold Summary'!$Y:$Y,'Threshold Summary'!$L:$L,"")/5+2)*pow*atk/def)/50)+2)),modifier,stab*eff,AVERAGE(ARRAYFORMULA(FLOOR(base*modifier*SEQUENCE(16,1,85,1)/100)))/(FLOOR(((2*XLOOKUP('Boss Editor'!$C$4,'Pokemon Editor'!$A:$A,'Pokemon Editor'!$E:$E,0)+31+FLOOR('Boss Editor'!$G$4/4))*'Boss Editor'!$D$4)/100)+'Boss Editor'!$D$4+10)),0)</f>
        <v/>
      </c>
      <c r="O418" s="3">
        <f>IF(N418&gt;=1,"OHKO",IF(N418&gt;=0.5,"2HKO",IF(N418&gt;=0.333,"3HKO",IF(N418&gt;=0.25,"4HKO","5HKO+"))))</f>
        <v/>
      </c>
      <c r="P418" s="3" t="inlineStr">
        <is>
          <t>Live from editable databases</t>
        </is>
      </c>
      <c r="Q418" s="3" t="inlineStr">
        <is>
          <t>SPECIES_BUNEARY</t>
        </is>
      </c>
      <c r="R418" s="3" t="n">
        <v>1</v>
      </c>
    </row>
    <row r="419">
      <c r="A419" s="3">
        <f>XLOOKUP($Q419,'Threshold Summary'!$Y:$Y,'Threshold Summary'!$A:$A,"")</f>
        <v/>
      </c>
      <c r="B419" s="3">
        <f>XLOOKUP($Q419,'Threshold Summary'!$Y:$Y,'Threshold Summary'!$M:$M,"")</f>
        <v/>
      </c>
      <c r="C419" s="3">
        <f>XLOOKUP($Q419,'Threshold Summary'!$Y:$Y,'Threshold Summary'!$N:$N,"")</f>
        <v/>
      </c>
      <c r="D419" s="3">
        <f>IFERROR(INDEX(FILTER('Learnset Editor'!$D$2:$D,'Learnset Editor'!$A$2:$A=XLOOKUP($Q419,'Threshold Summary'!$Y:$Y,'Threshold Summary'!$K:$K,""),'Learnset Editor'!$C$2:$C&lt;=XLOOKUP($Q419,'Threshold Summary'!$Y:$Y,'Threshold Summary'!$L:$L,"")),$R419),"")</f>
        <v/>
      </c>
      <c r="E419" s="3">
        <f>XLOOKUP(D419,'Move Editor'!$B:$B,'Move Editor'!$C:$C,"")</f>
        <v/>
      </c>
      <c r="F419" s="3">
        <f>XLOOKUP(D419,'Move Editor'!$B:$B,'Move Editor'!$D:$D,"")</f>
        <v/>
      </c>
      <c r="G419" s="3">
        <f>XLOOKUP(D419,'Move Editor'!$B:$B,'Move Editor'!$E:$E,0)</f>
        <v/>
      </c>
      <c r="H419" s="3">
        <f>XLOOKUP(D419,'Move Editor'!$B:$B,'Move Editor'!$F:$F,0)</f>
        <v/>
      </c>
      <c r="I419" s="3">
        <f>(INDEX('Type Chart'!$B:$S,MATCH(E419,'Type Chart'!$A:$A,0),MATCH(XLOOKUP('Boss Editor'!$C$4,'Pokemon Editor'!$A:$A,'Pokemon Editor'!$C:$C,""),'Type Chart'!$B$1:$S$1,0))*IF(XLOOKUP('Boss Editor'!$C$4,'Pokemon Editor'!$A:$A,'Pokemon Editor'!$D:$D,"")="",1,INDEX('Type Chart'!$B:$S,MATCH(E419,'Type Chart'!$A:$A,0),MATCH(XLOOKUP('Boss Editor'!$C$4,'Pokemon Editor'!$A:$A,'Pokemon Editor'!$D:$D,""),'Type Chart'!$B$1:$S$1,0))))</f>
        <v/>
      </c>
      <c r="J419" s="3">
        <f>IFERROR(LET(mtype,XLOOKUP($D419,'Move Editor'!$B:$B,'Move Editor'!$C:$C,""),cat,XLOOKUP($D419,'Move Editor'!$B:$B,'Move Editor'!$D:$D,""),pow,XLOOKUP($D419,'Move Editor'!$B:$B,'Move Editor'!$E:$E,0),acc,XLOOKUP($D419,'Move Editor'!$B:$B,'Move Editor'!$F:$F,100),atk,IF(cat="Physical",FLOOR((FLOOR(((2*XLOOKUP(XLOOKUP($Q419,'Threshold Summary'!$Y:$Y,'Threshold Summary'!$K:$K,""),'Pokemon Editor'!$A:$A,'Pokemon Editor'!$F:$F,0)+31+FLOOR(XLOOKUP($Q419,'Threshold Summary'!$Y:$Y,'Threshold Summary'!$P:$P,"")/4))*XLOOKUP($Q419,'Threshold Summary'!$Y:$Y,'Threshold Summary'!$L:$L,""))/100)+5)*XLOOKUP(XLOOKUP($Q419,'Threshold Summary'!$Y:$Y,'Threshold Summary'!$M:$M,""),'Nature Editor'!$A:$A,'Nature Editor'!$B:$B,1)),FLOOR((FLOOR(((2*XLOOKUP(XLOOKUP($Q419,'Threshold Summary'!$Y:$Y,'Threshold Summary'!$K:$K,""),'Pokemon Editor'!$A:$A,'Pokemon Editor'!$H:$H,0)+31+FLOOR(XLOOKUP($Q419,'Threshold Summary'!$Y:$Y,'Threshold Summary'!$R:$R,"")/4))*XLOOKUP($Q419,'Threshold Summary'!$Y:$Y,'Threshold Summary'!$L:$L,""))/100)+5)*XLOOKUP(XLOOKUP($Q419,'Threshold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Editor'!$E:$E,1))),stab,IF(OR(mtype=XLOOKUP(XLOOKUP($Q419,'Threshold Summary'!$Y:$Y,'Threshold Summary'!$K:$K,""),'Pokemon Editor'!$A:$A,'Pokemon Editor'!$C:$C,""),mtype=XLOOKUP(XLOOKUP($Q419,'Threshold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Chart'!$B$1:$S$1,0)))),base,IF(OR(cat="Status",pow=0),0,FLOOR(FLOOR(FLOOR((2*XLOOKUP($Q419,'Threshold Summary'!$Y:$Y,'Threshold Summary'!$L:$L,"")/5+2)*pow*atk/def)/50)+2)),modifier,stab*eff,FLOOR(base*modifier*0.85)),0)</f>
        <v/>
      </c>
      <c r="K419" s="3">
        <f>IFERROR(LET(mtype,XLOOKUP($D419,'Move Editor'!$B:$B,'Move Editor'!$C:$C,""),cat,XLOOKUP($D419,'Move Editor'!$B:$B,'Move Editor'!$D:$D,""),pow,XLOOKUP($D419,'Move Editor'!$B:$B,'Move Editor'!$E:$E,0),acc,XLOOKUP($D419,'Move Editor'!$B:$B,'Move Editor'!$F:$F,100),atk,IF(cat="Physical",FLOOR((FLOOR(((2*XLOOKUP(XLOOKUP($Q419,'Threshold Summary'!$Y:$Y,'Threshold Summary'!$K:$K,""),'Pokemon Editor'!$A:$A,'Pokemon Editor'!$F:$F,0)+31+FLOOR(XLOOKUP($Q419,'Threshold Summary'!$Y:$Y,'Threshold Summary'!$P:$P,"")/4))*XLOOKUP($Q419,'Threshold Summary'!$Y:$Y,'Threshold Summary'!$L:$L,""))/100)+5)*XLOOKUP(XLOOKUP($Q419,'Threshold Summary'!$Y:$Y,'Threshold Summary'!$M:$M,""),'Nature Editor'!$A:$A,'Nature Editor'!$B:$B,1)),FLOOR((FLOOR(((2*XLOOKUP(XLOOKUP($Q419,'Threshold Summary'!$Y:$Y,'Threshold Summary'!$K:$K,""),'Pokemon Editor'!$A:$A,'Pokemon Editor'!$H:$H,0)+31+FLOOR(XLOOKUP($Q419,'Threshold Summary'!$Y:$Y,'Threshold Summary'!$R:$R,"")/4))*XLOOKUP($Q419,'Threshold Summary'!$Y:$Y,'Threshold Summary'!$L:$L,""))/100)+5)*XLOOKUP(XLOOKUP($Q419,'Threshold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Editor'!$E:$E,1))),stab,IF(OR(mtype=XLOOKUP(XLOOKUP($Q419,'Threshold Summary'!$Y:$Y,'Threshold Summary'!$K:$K,""),'Pokemon Editor'!$A:$A,'Pokemon Editor'!$C:$C,""),mtype=XLOOKUP(XLOOKUP($Q419,'Threshold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Chart'!$B$1:$S$1,0)))),base,IF(OR(cat="Status",pow=0),0,FLOOR(FLOOR(FLOOR((2*XLOOKUP($Q419,'Threshold Summary'!$Y:$Y,'Threshold Summary'!$L:$L,"")/5+2)*pow*atk/def)/50)+2)),modifier,stab*eff,FLOOR(base*modifier)),0)</f>
        <v/>
      </c>
      <c r="L419" s="3">
        <f>IFERROR(LET(mtype,XLOOKUP($D419,'Move Editor'!$B:$B,'Move Editor'!$C:$C,""),cat,XLOOKUP($D419,'Move Editor'!$B:$B,'Move Editor'!$D:$D,""),pow,XLOOKUP($D419,'Move Editor'!$B:$B,'Move Editor'!$E:$E,0),acc,XLOOKUP($D419,'Move Editor'!$B:$B,'Move Editor'!$F:$F,100),atk,IF(cat="Physical",FLOOR((FLOOR(((2*XLOOKUP(XLOOKUP($Q419,'Threshold Summary'!$Y:$Y,'Threshold Summary'!$K:$K,""),'Pokemon Editor'!$A:$A,'Pokemon Editor'!$F:$F,0)+31+FLOOR(XLOOKUP($Q419,'Threshold Summary'!$Y:$Y,'Threshold Summary'!$P:$P,"")/4))*XLOOKUP($Q419,'Threshold Summary'!$Y:$Y,'Threshold Summary'!$L:$L,""))/100)+5)*XLOOKUP(XLOOKUP($Q419,'Threshold Summary'!$Y:$Y,'Threshold Summary'!$M:$M,""),'Nature Editor'!$A:$A,'Nature Editor'!$B:$B,1)),FLOOR((FLOOR(((2*XLOOKUP(XLOOKUP($Q419,'Threshold Summary'!$Y:$Y,'Threshold Summary'!$K:$K,""),'Pokemon Editor'!$A:$A,'Pokemon Editor'!$H:$H,0)+31+FLOOR(XLOOKUP($Q419,'Threshold Summary'!$Y:$Y,'Threshold Summary'!$R:$R,"")/4))*XLOOKUP($Q419,'Threshold Summary'!$Y:$Y,'Threshold Summary'!$L:$L,""))/100)+5)*XLOOKUP(XLOOKUP($Q419,'Threshold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Editor'!$E:$E,1))),stab,IF(OR(mtype=XLOOKUP(XLOOKUP($Q419,'Threshold Summary'!$Y:$Y,'Threshold Summary'!$K:$K,""),'Pokemon Editor'!$A:$A,'Pokemon Editor'!$C:$C,""),mtype=XLOOKUP(XLOOKUP($Q419,'Threshold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Chart'!$B$1:$S$1,0)))),base,IF(OR(cat="Status",pow=0),0,FLOOR(FLOOR(FLOOR((2*XLOOKUP($Q419,'Threshold Summary'!$Y:$Y,'Threshold Summary'!$L:$L,"")/5+2)*pow*atk/def)/50)+2)),modifier,stab*eff,AVERAGE(ARRAYFORMULA(FLOOR(base*modifier*SEQUENCE(16,1,85,1)/100)))),0)</f>
        <v/>
      </c>
      <c r="M419" s="3">
        <f>IFERROR(LET(mtype,XLOOKUP($D419,'Move Editor'!$B:$B,'Move Editor'!$C:$C,""),cat,XLOOKUP($D419,'Move Editor'!$B:$B,'Move Editor'!$D:$D,""),pow,XLOOKUP($D419,'Move Editor'!$B:$B,'Move Editor'!$E:$E,0),acc,XLOOKUP($D419,'Move Editor'!$B:$B,'Move Editor'!$F:$F,100),atk,IF(cat="Physical",FLOOR((FLOOR(((2*XLOOKUP(XLOOKUP($Q419,'Threshold Summary'!$Y:$Y,'Threshold Summary'!$K:$K,""),'Pokemon Editor'!$A:$A,'Pokemon Editor'!$F:$F,0)+31+FLOOR(XLOOKUP($Q419,'Threshold Summary'!$Y:$Y,'Threshold Summary'!$P:$P,"")/4))*XLOOKUP($Q419,'Threshold Summary'!$Y:$Y,'Threshold Summary'!$L:$L,""))/100)+5)*XLOOKUP(XLOOKUP($Q419,'Threshold Summary'!$Y:$Y,'Threshold Summary'!$M:$M,""),'Nature Editor'!$A:$A,'Nature Editor'!$B:$B,1)),FLOOR((FLOOR(((2*XLOOKUP(XLOOKUP($Q419,'Threshold Summary'!$Y:$Y,'Threshold Summary'!$K:$K,""),'Pokemon Editor'!$A:$A,'Pokemon Editor'!$H:$H,0)+31+FLOOR(XLOOKUP($Q419,'Threshold Summary'!$Y:$Y,'Threshold Summary'!$R:$R,"")/4))*XLOOKUP($Q419,'Threshold Summary'!$Y:$Y,'Threshold Summary'!$L:$L,""))/100)+5)*XLOOKUP(XLOOKUP($Q419,'Threshold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Editor'!$E:$E,1))),stab,IF(OR(mtype=XLOOKUP(XLOOKUP($Q419,'Threshold Summary'!$Y:$Y,'Threshold Summary'!$K:$K,""),'Pokemon Editor'!$A:$A,'Pokemon Editor'!$C:$C,""),mtype=XLOOKUP(XLOOKUP($Q419,'Threshold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Chart'!$B$1:$S$1,0)))),base,IF(OR(cat="Status",pow=0),0,FLOOR(FLOOR(FLOOR((2*XLOOKUP($Q419,'Threshold Summary'!$Y:$Y,'Threshold Summary'!$L:$L,"")/5+2)*pow*atk/def)/50)+2)),modifier,stab*eff,AVERAGE(ARRAYFORMULA(FLOOR(base*modifier*SEQUENCE(16,1,85,1)/100)))*MIN(1,acc/100)),0)</f>
        <v/>
      </c>
      <c r="N419" s="4">
        <f>IFERROR(LET(mtype,XLOOKUP($D419,'Move Editor'!$B:$B,'Move Editor'!$C:$C,""),cat,XLOOKUP($D419,'Move Editor'!$B:$B,'Move Editor'!$D:$D,""),pow,XLOOKUP($D419,'Move Editor'!$B:$B,'Move Editor'!$E:$E,0),acc,XLOOKUP($D419,'Move Editor'!$B:$B,'Move Editor'!$F:$F,100),atk,IF(cat="Physical",FLOOR((FLOOR(((2*XLOOKUP(XLOOKUP($Q419,'Threshold Summary'!$Y:$Y,'Threshold Summary'!$K:$K,""),'Pokemon Editor'!$A:$A,'Pokemon Editor'!$F:$F,0)+31+FLOOR(XLOOKUP($Q419,'Threshold Summary'!$Y:$Y,'Threshold Summary'!$P:$P,"")/4))*XLOOKUP($Q419,'Threshold Summary'!$Y:$Y,'Threshold Summary'!$L:$L,""))/100)+5)*XLOOKUP(XLOOKUP($Q419,'Threshold Summary'!$Y:$Y,'Threshold Summary'!$M:$M,""),'Nature Editor'!$A:$A,'Nature Editor'!$B:$B,1)),FLOOR((FLOOR(((2*XLOOKUP(XLOOKUP($Q419,'Threshold Summary'!$Y:$Y,'Threshold Summary'!$K:$K,""),'Pokemon Editor'!$A:$A,'Pokemon Editor'!$H:$H,0)+31+FLOOR(XLOOKUP($Q419,'Threshold Summary'!$Y:$Y,'Threshold Summary'!$R:$R,"")/4))*XLOOKUP($Q419,'Threshold Summary'!$Y:$Y,'Threshold Summary'!$L:$L,""))/100)+5)*XLOOKUP(XLOOKUP($Q419,'Threshold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Editor'!$E:$E,1))),stab,IF(OR(mtype=XLOOKUP(XLOOKUP($Q419,'Threshold Summary'!$Y:$Y,'Threshold Summary'!$K:$K,""),'Pokemon Editor'!$A:$A,'Pokemon Editor'!$C:$C,""),mtype=XLOOKUP(XLOOKUP($Q419,'Threshold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Chart'!$B$1:$S$1,0)))),base,IF(OR(cat="Status",pow=0),0,FLOOR(FLOOR(FLOOR((2*XLOOKUP($Q419,'Threshold Summary'!$Y:$Y,'Threshold Summary'!$L:$L,"")/5+2)*pow*atk/def)/50)+2)),modifier,stab*eff,AVERAGE(ARRAYFORMULA(FLOOR(base*modifier*SEQUENCE(16,1,85,1)/100)))/(FLOOR(((2*XLOOKUP('Boss Editor'!$C$4,'Pokemon Editor'!$A:$A,'Pokemon Editor'!$E:$E,0)+31+FLOOR('Boss Editor'!$G$4/4))*'Boss Editor'!$D$4)/100)+'Boss Editor'!$D$4+10)),0)</f>
        <v/>
      </c>
      <c r="O419" s="3">
        <f>IF(N419&gt;=1,"OHKO",IF(N419&gt;=0.5,"2HKO",IF(N419&gt;=0.333,"3HKO",IF(N419&gt;=0.25,"4HKO","5HKO+"))))</f>
        <v/>
      </c>
      <c r="P419" s="3" t="inlineStr">
        <is>
          <t>Live from editable databases</t>
        </is>
      </c>
      <c r="Q419" s="3" t="inlineStr">
        <is>
          <t>SPECIES_BUNEARY</t>
        </is>
      </c>
      <c r="R419" s="3" t="n">
        <v>2</v>
      </c>
    </row>
    <row r="420">
      <c r="A420" s="3">
        <f>XLOOKUP($Q420,'Threshold Summary'!$Y:$Y,'Threshold Summary'!$A:$A,"")</f>
        <v/>
      </c>
      <c r="B420" s="3">
        <f>XLOOKUP($Q420,'Threshold Summary'!$Y:$Y,'Threshold Summary'!$M:$M,"")</f>
        <v/>
      </c>
      <c r="C420" s="3">
        <f>XLOOKUP($Q420,'Threshold Summary'!$Y:$Y,'Threshold Summary'!$N:$N,"")</f>
        <v/>
      </c>
      <c r="D420" s="3">
        <f>IFERROR(INDEX(FILTER('Learnset Editor'!$D$2:$D,'Learnset Editor'!$A$2:$A=XLOOKUP($Q420,'Threshold Summary'!$Y:$Y,'Threshold Summary'!$K:$K,""),'Learnset Editor'!$C$2:$C&lt;=XLOOKUP($Q420,'Threshold Summary'!$Y:$Y,'Threshold Summary'!$L:$L,"")),$R420),"")</f>
        <v/>
      </c>
      <c r="E420" s="3">
        <f>XLOOKUP(D420,'Move Editor'!$B:$B,'Move Editor'!$C:$C,"")</f>
        <v/>
      </c>
      <c r="F420" s="3">
        <f>XLOOKUP(D420,'Move Editor'!$B:$B,'Move Editor'!$D:$D,"")</f>
        <v/>
      </c>
      <c r="G420" s="3">
        <f>XLOOKUP(D420,'Move Editor'!$B:$B,'Move Editor'!$E:$E,0)</f>
        <v/>
      </c>
      <c r="H420" s="3">
        <f>XLOOKUP(D420,'Move Editor'!$B:$B,'Move Editor'!$F:$F,0)</f>
        <v/>
      </c>
      <c r="I420" s="3">
        <f>(INDEX('Type Chart'!$B:$S,MATCH(E420,'Type Chart'!$A:$A,0),MATCH(XLOOKUP('Boss Editor'!$C$4,'Pokemon Editor'!$A:$A,'Pokemon Editor'!$C:$C,""),'Type Chart'!$B$1:$S$1,0))*IF(XLOOKUP('Boss Editor'!$C$4,'Pokemon Editor'!$A:$A,'Pokemon Editor'!$D:$D,"")="",1,INDEX('Type Chart'!$B:$S,MATCH(E420,'Type Chart'!$A:$A,0),MATCH(XLOOKUP('Boss Editor'!$C$4,'Pokemon Editor'!$A:$A,'Pokemon Editor'!$D:$D,""),'Type Chart'!$B$1:$S$1,0))))</f>
        <v/>
      </c>
      <c r="J420" s="3">
        <f>IFERROR(LET(mtype,XLOOKUP($D420,'Move Editor'!$B:$B,'Move Editor'!$C:$C,""),cat,XLOOKUP($D420,'Move Editor'!$B:$B,'Move Editor'!$D:$D,""),pow,XLOOKUP($D420,'Move Editor'!$B:$B,'Move Editor'!$E:$E,0),acc,XLOOKUP($D420,'Move Editor'!$B:$B,'Move Editor'!$F:$F,100),atk,IF(cat="Physical",FLOOR((FLOOR(((2*XLOOKUP(XLOOKUP($Q420,'Threshold Summary'!$Y:$Y,'Threshold Summary'!$K:$K,""),'Pokemon Editor'!$A:$A,'Pokemon Editor'!$F:$F,0)+31+FLOOR(XLOOKUP($Q420,'Threshold Summary'!$Y:$Y,'Threshold Summary'!$P:$P,"")/4))*XLOOKUP($Q420,'Threshold Summary'!$Y:$Y,'Threshold Summary'!$L:$L,""))/100)+5)*XLOOKUP(XLOOKUP($Q420,'Threshold Summary'!$Y:$Y,'Threshold Summary'!$M:$M,""),'Nature Editor'!$A:$A,'Nature Editor'!$B:$B,1)),FLOOR((FLOOR(((2*XLOOKUP(XLOOKUP($Q420,'Threshold Summary'!$Y:$Y,'Threshold Summary'!$K:$K,""),'Pokemon Editor'!$A:$A,'Pokemon Editor'!$H:$H,0)+31+FLOOR(XLOOKUP($Q420,'Threshold Summary'!$Y:$Y,'Threshold Summary'!$R:$R,"")/4))*XLOOKUP($Q420,'Threshold Summary'!$Y:$Y,'Threshold Summary'!$L:$L,""))/100)+5)*XLOOKUP(XLOOKUP($Q420,'Threshold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Editor'!$E:$E,1))),stab,IF(OR(mtype=XLOOKUP(XLOOKUP($Q420,'Threshold Summary'!$Y:$Y,'Threshold Summary'!$K:$K,""),'Pokemon Editor'!$A:$A,'Pokemon Editor'!$C:$C,""),mtype=XLOOKUP(XLOOKUP($Q420,'Threshold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Chart'!$B$1:$S$1,0)))),base,IF(OR(cat="Status",pow=0),0,FLOOR(FLOOR(FLOOR((2*XLOOKUP($Q420,'Threshold Summary'!$Y:$Y,'Threshold Summary'!$L:$L,"")/5+2)*pow*atk/def)/50)+2)),modifier,stab*eff,FLOOR(base*modifier*0.85)),0)</f>
        <v/>
      </c>
      <c r="K420" s="3">
        <f>IFERROR(LET(mtype,XLOOKUP($D420,'Move Editor'!$B:$B,'Move Editor'!$C:$C,""),cat,XLOOKUP($D420,'Move Editor'!$B:$B,'Move Editor'!$D:$D,""),pow,XLOOKUP($D420,'Move Editor'!$B:$B,'Move Editor'!$E:$E,0),acc,XLOOKUP($D420,'Move Editor'!$B:$B,'Move Editor'!$F:$F,100),atk,IF(cat="Physical",FLOOR((FLOOR(((2*XLOOKUP(XLOOKUP($Q420,'Threshold Summary'!$Y:$Y,'Threshold Summary'!$K:$K,""),'Pokemon Editor'!$A:$A,'Pokemon Editor'!$F:$F,0)+31+FLOOR(XLOOKUP($Q420,'Threshold Summary'!$Y:$Y,'Threshold Summary'!$P:$P,"")/4))*XLOOKUP($Q420,'Threshold Summary'!$Y:$Y,'Threshold Summary'!$L:$L,""))/100)+5)*XLOOKUP(XLOOKUP($Q420,'Threshold Summary'!$Y:$Y,'Threshold Summary'!$M:$M,""),'Nature Editor'!$A:$A,'Nature Editor'!$B:$B,1)),FLOOR((FLOOR(((2*XLOOKUP(XLOOKUP($Q420,'Threshold Summary'!$Y:$Y,'Threshold Summary'!$K:$K,""),'Pokemon Editor'!$A:$A,'Pokemon Editor'!$H:$H,0)+31+FLOOR(XLOOKUP($Q420,'Threshold Summary'!$Y:$Y,'Threshold Summary'!$R:$R,"")/4))*XLOOKUP($Q420,'Threshold Summary'!$Y:$Y,'Threshold Summary'!$L:$L,""))/100)+5)*XLOOKUP(XLOOKUP($Q420,'Threshold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Editor'!$E:$E,1))),stab,IF(OR(mtype=XLOOKUP(XLOOKUP($Q420,'Threshold Summary'!$Y:$Y,'Threshold Summary'!$K:$K,""),'Pokemon Editor'!$A:$A,'Pokemon Editor'!$C:$C,""),mtype=XLOOKUP(XLOOKUP($Q420,'Threshold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Chart'!$B$1:$S$1,0)))),base,IF(OR(cat="Status",pow=0),0,FLOOR(FLOOR(FLOOR((2*XLOOKUP($Q420,'Threshold Summary'!$Y:$Y,'Threshold Summary'!$L:$L,"")/5+2)*pow*atk/def)/50)+2)),modifier,stab*eff,FLOOR(base*modifier)),0)</f>
        <v/>
      </c>
      <c r="L420" s="3">
        <f>IFERROR(LET(mtype,XLOOKUP($D420,'Move Editor'!$B:$B,'Move Editor'!$C:$C,""),cat,XLOOKUP($D420,'Move Editor'!$B:$B,'Move Editor'!$D:$D,""),pow,XLOOKUP($D420,'Move Editor'!$B:$B,'Move Editor'!$E:$E,0),acc,XLOOKUP($D420,'Move Editor'!$B:$B,'Move Editor'!$F:$F,100),atk,IF(cat="Physical",FLOOR((FLOOR(((2*XLOOKUP(XLOOKUP($Q420,'Threshold Summary'!$Y:$Y,'Threshold Summary'!$K:$K,""),'Pokemon Editor'!$A:$A,'Pokemon Editor'!$F:$F,0)+31+FLOOR(XLOOKUP($Q420,'Threshold Summary'!$Y:$Y,'Threshold Summary'!$P:$P,"")/4))*XLOOKUP($Q420,'Threshold Summary'!$Y:$Y,'Threshold Summary'!$L:$L,""))/100)+5)*XLOOKUP(XLOOKUP($Q420,'Threshold Summary'!$Y:$Y,'Threshold Summary'!$M:$M,""),'Nature Editor'!$A:$A,'Nature Editor'!$B:$B,1)),FLOOR((FLOOR(((2*XLOOKUP(XLOOKUP($Q420,'Threshold Summary'!$Y:$Y,'Threshold Summary'!$K:$K,""),'Pokemon Editor'!$A:$A,'Pokemon Editor'!$H:$H,0)+31+FLOOR(XLOOKUP($Q420,'Threshold Summary'!$Y:$Y,'Threshold Summary'!$R:$R,"")/4))*XLOOKUP($Q420,'Threshold Summary'!$Y:$Y,'Threshold Summary'!$L:$L,""))/100)+5)*XLOOKUP(XLOOKUP($Q420,'Threshold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Editor'!$E:$E,1))),stab,IF(OR(mtype=XLOOKUP(XLOOKUP($Q420,'Threshold Summary'!$Y:$Y,'Threshold Summary'!$K:$K,""),'Pokemon Editor'!$A:$A,'Pokemon Editor'!$C:$C,""),mtype=XLOOKUP(XLOOKUP($Q420,'Threshold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Chart'!$B$1:$S$1,0)))),base,IF(OR(cat="Status",pow=0),0,FLOOR(FLOOR(FLOOR((2*XLOOKUP($Q420,'Threshold Summary'!$Y:$Y,'Threshold Summary'!$L:$L,"")/5+2)*pow*atk/def)/50)+2)),modifier,stab*eff,AVERAGE(ARRAYFORMULA(FLOOR(base*modifier*SEQUENCE(16,1,85,1)/100)))),0)</f>
        <v/>
      </c>
      <c r="M420" s="3">
        <f>IFERROR(LET(mtype,XLOOKUP($D420,'Move Editor'!$B:$B,'Move Editor'!$C:$C,""),cat,XLOOKUP($D420,'Move Editor'!$B:$B,'Move Editor'!$D:$D,""),pow,XLOOKUP($D420,'Move Editor'!$B:$B,'Move Editor'!$E:$E,0),acc,XLOOKUP($D420,'Move Editor'!$B:$B,'Move Editor'!$F:$F,100),atk,IF(cat="Physical",FLOOR((FLOOR(((2*XLOOKUP(XLOOKUP($Q420,'Threshold Summary'!$Y:$Y,'Threshold Summary'!$K:$K,""),'Pokemon Editor'!$A:$A,'Pokemon Editor'!$F:$F,0)+31+FLOOR(XLOOKUP($Q420,'Threshold Summary'!$Y:$Y,'Threshold Summary'!$P:$P,"")/4))*XLOOKUP($Q420,'Threshold Summary'!$Y:$Y,'Threshold Summary'!$L:$L,""))/100)+5)*XLOOKUP(XLOOKUP($Q420,'Threshold Summary'!$Y:$Y,'Threshold Summary'!$M:$M,""),'Nature Editor'!$A:$A,'Nature Editor'!$B:$B,1)),FLOOR((FLOOR(((2*XLOOKUP(XLOOKUP($Q420,'Threshold Summary'!$Y:$Y,'Threshold Summary'!$K:$K,""),'Pokemon Editor'!$A:$A,'Pokemon Editor'!$H:$H,0)+31+FLOOR(XLOOKUP($Q420,'Threshold Summary'!$Y:$Y,'Threshold Summary'!$R:$R,"")/4))*XLOOKUP($Q420,'Threshold Summary'!$Y:$Y,'Threshold Summary'!$L:$L,""))/100)+5)*XLOOKUP(XLOOKUP($Q420,'Threshold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Editor'!$E:$E,1))),stab,IF(OR(mtype=XLOOKUP(XLOOKUP($Q420,'Threshold Summary'!$Y:$Y,'Threshold Summary'!$K:$K,""),'Pokemon Editor'!$A:$A,'Pokemon Editor'!$C:$C,""),mtype=XLOOKUP(XLOOKUP($Q420,'Threshold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Chart'!$B$1:$S$1,0)))),base,IF(OR(cat="Status",pow=0),0,FLOOR(FLOOR(FLOOR((2*XLOOKUP($Q420,'Threshold Summary'!$Y:$Y,'Threshold Summary'!$L:$L,"")/5+2)*pow*atk/def)/50)+2)),modifier,stab*eff,AVERAGE(ARRAYFORMULA(FLOOR(base*modifier*SEQUENCE(16,1,85,1)/100)))*MIN(1,acc/100)),0)</f>
        <v/>
      </c>
      <c r="N420" s="4">
        <f>IFERROR(LET(mtype,XLOOKUP($D420,'Move Editor'!$B:$B,'Move Editor'!$C:$C,""),cat,XLOOKUP($D420,'Move Editor'!$B:$B,'Move Editor'!$D:$D,""),pow,XLOOKUP($D420,'Move Editor'!$B:$B,'Move Editor'!$E:$E,0),acc,XLOOKUP($D420,'Move Editor'!$B:$B,'Move Editor'!$F:$F,100),atk,IF(cat="Physical",FLOOR((FLOOR(((2*XLOOKUP(XLOOKUP($Q420,'Threshold Summary'!$Y:$Y,'Threshold Summary'!$K:$K,""),'Pokemon Editor'!$A:$A,'Pokemon Editor'!$F:$F,0)+31+FLOOR(XLOOKUP($Q420,'Threshold Summary'!$Y:$Y,'Threshold Summary'!$P:$P,"")/4))*XLOOKUP($Q420,'Threshold Summary'!$Y:$Y,'Threshold Summary'!$L:$L,""))/100)+5)*XLOOKUP(XLOOKUP($Q420,'Threshold Summary'!$Y:$Y,'Threshold Summary'!$M:$M,""),'Nature Editor'!$A:$A,'Nature Editor'!$B:$B,1)),FLOOR((FLOOR(((2*XLOOKUP(XLOOKUP($Q420,'Threshold Summary'!$Y:$Y,'Threshold Summary'!$K:$K,""),'Pokemon Editor'!$A:$A,'Pokemon Editor'!$H:$H,0)+31+FLOOR(XLOOKUP($Q420,'Threshold Summary'!$Y:$Y,'Threshold Summary'!$R:$R,"")/4))*XLOOKUP($Q420,'Threshold Summary'!$Y:$Y,'Threshold Summary'!$L:$L,""))/100)+5)*XLOOKUP(XLOOKUP($Q420,'Threshold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Editor'!$E:$E,1))),stab,IF(OR(mtype=XLOOKUP(XLOOKUP($Q420,'Threshold Summary'!$Y:$Y,'Threshold Summary'!$K:$K,""),'Pokemon Editor'!$A:$A,'Pokemon Editor'!$C:$C,""),mtype=XLOOKUP(XLOOKUP($Q420,'Threshold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Chart'!$B$1:$S$1,0)))),base,IF(OR(cat="Status",pow=0),0,FLOOR(FLOOR(FLOOR((2*XLOOKUP($Q420,'Threshold Summary'!$Y:$Y,'Threshold Summary'!$L:$L,"")/5+2)*pow*atk/def)/50)+2)),modifier,stab*eff,AVERAGE(ARRAYFORMULA(FLOOR(base*modifier*SEQUENCE(16,1,85,1)/100)))/(FLOOR(((2*XLOOKUP('Boss Editor'!$C$4,'Pokemon Editor'!$A:$A,'Pokemon Editor'!$E:$E,0)+31+FLOOR('Boss Editor'!$G$4/4))*'Boss Editor'!$D$4)/100)+'Boss Editor'!$D$4+10)),0)</f>
        <v/>
      </c>
      <c r="O420" s="3">
        <f>IF(N420&gt;=1,"OHKO",IF(N420&gt;=0.5,"2HKO",IF(N420&gt;=0.333,"3HKO",IF(N420&gt;=0.25,"4HKO","5HKO+"))))</f>
        <v/>
      </c>
      <c r="P420" s="3" t="inlineStr">
        <is>
          <t>Live from editable databases</t>
        </is>
      </c>
      <c r="Q420" s="3" t="inlineStr">
        <is>
          <t>SPECIES_BUNEARY</t>
        </is>
      </c>
      <c r="R420" s="3" t="n">
        <v>3</v>
      </c>
    </row>
    <row r="421">
      <c r="A421" s="3">
        <f>XLOOKUP($Q421,'Threshold Summary'!$Y:$Y,'Threshold Summary'!$A:$A,"")</f>
        <v/>
      </c>
      <c r="B421" s="3">
        <f>XLOOKUP($Q421,'Threshold Summary'!$Y:$Y,'Threshold Summary'!$M:$M,"")</f>
        <v/>
      </c>
      <c r="C421" s="3">
        <f>XLOOKUP($Q421,'Threshold Summary'!$Y:$Y,'Threshold Summary'!$N:$N,"")</f>
        <v/>
      </c>
      <c r="D421" s="3">
        <f>IFERROR(INDEX(FILTER('Learnset Editor'!$D$2:$D,'Learnset Editor'!$A$2:$A=XLOOKUP($Q421,'Threshold Summary'!$Y:$Y,'Threshold Summary'!$K:$K,""),'Learnset Editor'!$C$2:$C&lt;=XLOOKUP($Q421,'Threshold Summary'!$Y:$Y,'Threshold Summary'!$L:$L,"")),$R421),"")</f>
        <v/>
      </c>
      <c r="E421" s="3">
        <f>XLOOKUP(D421,'Move Editor'!$B:$B,'Move Editor'!$C:$C,"")</f>
        <v/>
      </c>
      <c r="F421" s="3">
        <f>XLOOKUP(D421,'Move Editor'!$B:$B,'Move Editor'!$D:$D,"")</f>
        <v/>
      </c>
      <c r="G421" s="3">
        <f>XLOOKUP(D421,'Move Editor'!$B:$B,'Move Editor'!$E:$E,0)</f>
        <v/>
      </c>
      <c r="H421" s="3">
        <f>XLOOKUP(D421,'Move Editor'!$B:$B,'Move Editor'!$F:$F,0)</f>
        <v/>
      </c>
      <c r="I421" s="3">
        <f>(INDEX('Type Chart'!$B:$S,MATCH(E421,'Type Chart'!$A:$A,0),MATCH(XLOOKUP('Boss Editor'!$C$4,'Pokemon Editor'!$A:$A,'Pokemon Editor'!$C:$C,""),'Type Chart'!$B$1:$S$1,0))*IF(XLOOKUP('Boss Editor'!$C$4,'Pokemon Editor'!$A:$A,'Pokemon Editor'!$D:$D,"")="",1,INDEX('Type Chart'!$B:$S,MATCH(E421,'Type Chart'!$A:$A,0),MATCH(XLOOKUP('Boss Editor'!$C$4,'Pokemon Editor'!$A:$A,'Pokemon Editor'!$D:$D,""),'Type Chart'!$B$1:$S$1,0))))</f>
        <v/>
      </c>
      <c r="J421" s="3">
        <f>IFERROR(LET(mtype,XLOOKUP($D421,'Move Editor'!$B:$B,'Move Editor'!$C:$C,""),cat,XLOOKUP($D421,'Move Editor'!$B:$B,'Move Editor'!$D:$D,""),pow,XLOOKUP($D421,'Move Editor'!$B:$B,'Move Editor'!$E:$E,0),acc,XLOOKUP($D421,'Move Editor'!$B:$B,'Move Editor'!$F:$F,100),atk,IF(cat="Physical",FLOOR((FLOOR(((2*XLOOKUP(XLOOKUP($Q421,'Threshold Summary'!$Y:$Y,'Threshold Summary'!$K:$K,""),'Pokemon Editor'!$A:$A,'Pokemon Editor'!$F:$F,0)+31+FLOOR(XLOOKUP($Q421,'Threshold Summary'!$Y:$Y,'Threshold Summary'!$P:$P,"")/4))*XLOOKUP($Q421,'Threshold Summary'!$Y:$Y,'Threshold Summary'!$L:$L,""))/100)+5)*XLOOKUP(XLOOKUP($Q421,'Threshold Summary'!$Y:$Y,'Threshold Summary'!$M:$M,""),'Nature Editor'!$A:$A,'Nature Editor'!$B:$B,1)),FLOOR((FLOOR(((2*XLOOKUP(XLOOKUP($Q421,'Threshold Summary'!$Y:$Y,'Threshold Summary'!$K:$K,""),'Pokemon Editor'!$A:$A,'Pokemon Editor'!$H:$H,0)+31+FLOOR(XLOOKUP($Q421,'Threshold Summary'!$Y:$Y,'Threshold Summary'!$R:$R,"")/4))*XLOOKUP($Q421,'Threshold Summary'!$Y:$Y,'Threshold Summary'!$L:$L,""))/100)+5)*XLOOKUP(XLOOKUP($Q421,'Threshold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Editor'!$E:$E,1))),stab,IF(OR(mtype=XLOOKUP(XLOOKUP($Q421,'Threshold Summary'!$Y:$Y,'Threshold Summary'!$K:$K,""),'Pokemon Editor'!$A:$A,'Pokemon Editor'!$C:$C,""),mtype=XLOOKUP(XLOOKUP($Q421,'Threshold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Chart'!$B$1:$S$1,0)))),base,IF(OR(cat="Status",pow=0),0,FLOOR(FLOOR(FLOOR((2*XLOOKUP($Q421,'Threshold Summary'!$Y:$Y,'Threshold Summary'!$L:$L,"")/5+2)*pow*atk/def)/50)+2)),modifier,stab*eff,FLOOR(base*modifier*0.85)),0)</f>
        <v/>
      </c>
      <c r="K421" s="3">
        <f>IFERROR(LET(mtype,XLOOKUP($D421,'Move Editor'!$B:$B,'Move Editor'!$C:$C,""),cat,XLOOKUP($D421,'Move Editor'!$B:$B,'Move Editor'!$D:$D,""),pow,XLOOKUP($D421,'Move Editor'!$B:$B,'Move Editor'!$E:$E,0),acc,XLOOKUP($D421,'Move Editor'!$B:$B,'Move Editor'!$F:$F,100),atk,IF(cat="Physical",FLOOR((FLOOR(((2*XLOOKUP(XLOOKUP($Q421,'Threshold Summary'!$Y:$Y,'Threshold Summary'!$K:$K,""),'Pokemon Editor'!$A:$A,'Pokemon Editor'!$F:$F,0)+31+FLOOR(XLOOKUP($Q421,'Threshold Summary'!$Y:$Y,'Threshold Summary'!$P:$P,"")/4))*XLOOKUP($Q421,'Threshold Summary'!$Y:$Y,'Threshold Summary'!$L:$L,""))/100)+5)*XLOOKUP(XLOOKUP($Q421,'Threshold Summary'!$Y:$Y,'Threshold Summary'!$M:$M,""),'Nature Editor'!$A:$A,'Nature Editor'!$B:$B,1)),FLOOR((FLOOR(((2*XLOOKUP(XLOOKUP($Q421,'Threshold Summary'!$Y:$Y,'Threshold Summary'!$K:$K,""),'Pokemon Editor'!$A:$A,'Pokemon Editor'!$H:$H,0)+31+FLOOR(XLOOKUP($Q421,'Threshold Summary'!$Y:$Y,'Threshold Summary'!$R:$R,"")/4))*XLOOKUP($Q421,'Threshold Summary'!$Y:$Y,'Threshold Summary'!$L:$L,""))/100)+5)*XLOOKUP(XLOOKUP($Q421,'Threshold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Editor'!$E:$E,1))),stab,IF(OR(mtype=XLOOKUP(XLOOKUP($Q421,'Threshold Summary'!$Y:$Y,'Threshold Summary'!$K:$K,""),'Pokemon Editor'!$A:$A,'Pokemon Editor'!$C:$C,""),mtype=XLOOKUP(XLOOKUP($Q421,'Threshold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Chart'!$B$1:$S$1,0)))),base,IF(OR(cat="Status",pow=0),0,FLOOR(FLOOR(FLOOR((2*XLOOKUP($Q421,'Threshold Summary'!$Y:$Y,'Threshold Summary'!$L:$L,"")/5+2)*pow*atk/def)/50)+2)),modifier,stab*eff,FLOOR(base*modifier)),0)</f>
        <v/>
      </c>
      <c r="L421" s="3">
        <f>IFERROR(LET(mtype,XLOOKUP($D421,'Move Editor'!$B:$B,'Move Editor'!$C:$C,""),cat,XLOOKUP($D421,'Move Editor'!$B:$B,'Move Editor'!$D:$D,""),pow,XLOOKUP($D421,'Move Editor'!$B:$B,'Move Editor'!$E:$E,0),acc,XLOOKUP($D421,'Move Editor'!$B:$B,'Move Editor'!$F:$F,100),atk,IF(cat="Physical",FLOOR((FLOOR(((2*XLOOKUP(XLOOKUP($Q421,'Threshold Summary'!$Y:$Y,'Threshold Summary'!$K:$K,""),'Pokemon Editor'!$A:$A,'Pokemon Editor'!$F:$F,0)+31+FLOOR(XLOOKUP($Q421,'Threshold Summary'!$Y:$Y,'Threshold Summary'!$P:$P,"")/4))*XLOOKUP($Q421,'Threshold Summary'!$Y:$Y,'Threshold Summary'!$L:$L,""))/100)+5)*XLOOKUP(XLOOKUP($Q421,'Threshold Summary'!$Y:$Y,'Threshold Summary'!$M:$M,""),'Nature Editor'!$A:$A,'Nature Editor'!$B:$B,1)),FLOOR((FLOOR(((2*XLOOKUP(XLOOKUP($Q421,'Threshold Summary'!$Y:$Y,'Threshold Summary'!$K:$K,""),'Pokemon Editor'!$A:$A,'Pokemon Editor'!$H:$H,0)+31+FLOOR(XLOOKUP($Q421,'Threshold Summary'!$Y:$Y,'Threshold Summary'!$R:$R,"")/4))*XLOOKUP($Q421,'Threshold Summary'!$Y:$Y,'Threshold Summary'!$L:$L,""))/100)+5)*XLOOKUP(XLOOKUP($Q421,'Threshold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Editor'!$E:$E,1))),stab,IF(OR(mtype=XLOOKUP(XLOOKUP($Q421,'Threshold Summary'!$Y:$Y,'Threshold Summary'!$K:$K,""),'Pokemon Editor'!$A:$A,'Pokemon Editor'!$C:$C,""),mtype=XLOOKUP(XLOOKUP($Q421,'Threshold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Chart'!$B$1:$S$1,0)))),base,IF(OR(cat="Status",pow=0),0,FLOOR(FLOOR(FLOOR((2*XLOOKUP($Q421,'Threshold Summary'!$Y:$Y,'Threshold Summary'!$L:$L,"")/5+2)*pow*atk/def)/50)+2)),modifier,stab*eff,AVERAGE(ARRAYFORMULA(FLOOR(base*modifier*SEQUENCE(16,1,85,1)/100)))),0)</f>
        <v/>
      </c>
      <c r="M421" s="3">
        <f>IFERROR(LET(mtype,XLOOKUP($D421,'Move Editor'!$B:$B,'Move Editor'!$C:$C,""),cat,XLOOKUP($D421,'Move Editor'!$B:$B,'Move Editor'!$D:$D,""),pow,XLOOKUP($D421,'Move Editor'!$B:$B,'Move Editor'!$E:$E,0),acc,XLOOKUP($D421,'Move Editor'!$B:$B,'Move Editor'!$F:$F,100),atk,IF(cat="Physical",FLOOR((FLOOR(((2*XLOOKUP(XLOOKUP($Q421,'Threshold Summary'!$Y:$Y,'Threshold Summary'!$K:$K,""),'Pokemon Editor'!$A:$A,'Pokemon Editor'!$F:$F,0)+31+FLOOR(XLOOKUP($Q421,'Threshold Summary'!$Y:$Y,'Threshold Summary'!$P:$P,"")/4))*XLOOKUP($Q421,'Threshold Summary'!$Y:$Y,'Threshold Summary'!$L:$L,""))/100)+5)*XLOOKUP(XLOOKUP($Q421,'Threshold Summary'!$Y:$Y,'Threshold Summary'!$M:$M,""),'Nature Editor'!$A:$A,'Nature Editor'!$B:$B,1)),FLOOR((FLOOR(((2*XLOOKUP(XLOOKUP($Q421,'Threshold Summary'!$Y:$Y,'Threshold Summary'!$K:$K,""),'Pokemon Editor'!$A:$A,'Pokemon Editor'!$H:$H,0)+31+FLOOR(XLOOKUP($Q421,'Threshold Summary'!$Y:$Y,'Threshold Summary'!$R:$R,"")/4))*XLOOKUP($Q421,'Threshold Summary'!$Y:$Y,'Threshold Summary'!$L:$L,""))/100)+5)*XLOOKUP(XLOOKUP($Q421,'Threshold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Editor'!$E:$E,1))),stab,IF(OR(mtype=XLOOKUP(XLOOKUP($Q421,'Threshold Summary'!$Y:$Y,'Threshold Summary'!$K:$K,""),'Pokemon Editor'!$A:$A,'Pokemon Editor'!$C:$C,""),mtype=XLOOKUP(XLOOKUP($Q421,'Threshold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Chart'!$B$1:$S$1,0)))),base,IF(OR(cat="Status",pow=0),0,FLOOR(FLOOR(FLOOR((2*XLOOKUP($Q421,'Threshold Summary'!$Y:$Y,'Threshold Summary'!$L:$L,"")/5+2)*pow*atk/def)/50)+2)),modifier,stab*eff,AVERAGE(ARRAYFORMULA(FLOOR(base*modifier*SEQUENCE(16,1,85,1)/100)))*MIN(1,acc/100)),0)</f>
        <v/>
      </c>
      <c r="N421" s="4">
        <f>IFERROR(LET(mtype,XLOOKUP($D421,'Move Editor'!$B:$B,'Move Editor'!$C:$C,""),cat,XLOOKUP($D421,'Move Editor'!$B:$B,'Move Editor'!$D:$D,""),pow,XLOOKUP($D421,'Move Editor'!$B:$B,'Move Editor'!$E:$E,0),acc,XLOOKUP($D421,'Move Editor'!$B:$B,'Move Editor'!$F:$F,100),atk,IF(cat="Physical",FLOOR((FLOOR(((2*XLOOKUP(XLOOKUP($Q421,'Threshold Summary'!$Y:$Y,'Threshold Summary'!$K:$K,""),'Pokemon Editor'!$A:$A,'Pokemon Editor'!$F:$F,0)+31+FLOOR(XLOOKUP($Q421,'Threshold Summary'!$Y:$Y,'Threshold Summary'!$P:$P,"")/4))*XLOOKUP($Q421,'Threshold Summary'!$Y:$Y,'Threshold Summary'!$L:$L,""))/100)+5)*XLOOKUP(XLOOKUP($Q421,'Threshold Summary'!$Y:$Y,'Threshold Summary'!$M:$M,""),'Nature Editor'!$A:$A,'Nature Editor'!$B:$B,1)),FLOOR((FLOOR(((2*XLOOKUP(XLOOKUP($Q421,'Threshold Summary'!$Y:$Y,'Threshold Summary'!$K:$K,""),'Pokemon Editor'!$A:$A,'Pokemon Editor'!$H:$H,0)+31+FLOOR(XLOOKUP($Q421,'Threshold Summary'!$Y:$Y,'Threshold Summary'!$R:$R,"")/4))*XLOOKUP($Q421,'Threshold Summary'!$Y:$Y,'Threshold Summary'!$L:$L,""))/100)+5)*XLOOKUP(XLOOKUP($Q421,'Threshold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Editor'!$E:$E,1))),stab,IF(OR(mtype=XLOOKUP(XLOOKUP($Q421,'Threshold Summary'!$Y:$Y,'Threshold Summary'!$K:$K,""),'Pokemon Editor'!$A:$A,'Pokemon Editor'!$C:$C,""),mtype=XLOOKUP(XLOOKUP($Q421,'Threshold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Chart'!$B$1:$S$1,0)))),base,IF(OR(cat="Status",pow=0),0,FLOOR(FLOOR(FLOOR((2*XLOOKUP($Q421,'Threshold Summary'!$Y:$Y,'Threshold Summary'!$L:$L,"")/5+2)*pow*atk/def)/50)+2)),modifier,stab*eff,AVERAGE(ARRAYFORMULA(FLOOR(base*modifier*SEQUENCE(16,1,85,1)/100)))/(FLOOR(((2*XLOOKUP('Boss Editor'!$C$4,'Pokemon Editor'!$A:$A,'Pokemon Editor'!$E:$E,0)+31+FLOOR('Boss Editor'!$G$4/4))*'Boss Editor'!$D$4)/100)+'Boss Editor'!$D$4+10)),0)</f>
        <v/>
      </c>
      <c r="O421" s="3">
        <f>IF(N421&gt;=1,"OHKO",IF(N421&gt;=0.5,"2HKO",IF(N421&gt;=0.333,"3HKO",IF(N421&gt;=0.25,"4HKO","5HKO+"))))</f>
        <v/>
      </c>
      <c r="P421" s="3" t="inlineStr">
        <is>
          <t>Live from editable databases</t>
        </is>
      </c>
      <c r="Q421" s="3" t="inlineStr">
        <is>
          <t>SPECIES_BUNEARY</t>
        </is>
      </c>
      <c r="R421" s="3" t="n">
        <v>4</v>
      </c>
    </row>
    <row r="422">
      <c r="A422" s="3">
        <f>XLOOKUP($Q422,'Threshold Summary'!$Y:$Y,'Threshold Summary'!$A:$A,"")</f>
        <v/>
      </c>
      <c r="B422" s="3">
        <f>XLOOKUP($Q422,'Threshold Summary'!$Y:$Y,'Threshold Summary'!$M:$M,"")</f>
        <v/>
      </c>
      <c r="C422" s="3">
        <f>XLOOKUP($Q422,'Threshold Summary'!$Y:$Y,'Threshold Summary'!$N:$N,"")</f>
        <v/>
      </c>
      <c r="D422" s="3">
        <f>IFERROR(INDEX(FILTER('Learnset Editor'!$D$2:$D,'Learnset Editor'!$A$2:$A=XLOOKUP($Q422,'Threshold Summary'!$Y:$Y,'Threshold Summary'!$K:$K,""),'Learnset Editor'!$C$2:$C&lt;=XLOOKUP($Q422,'Threshold Summary'!$Y:$Y,'Threshold Summary'!$L:$L,"")),$R422),"")</f>
        <v/>
      </c>
      <c r="E422" s="3">
        <f>XLOOKUP(D422,'Move Editor'!$B:$B,'Move Editor'!$C:$C,"")</f>
        <v/>
      </c>
      <c r="F422" s="3">
        <f>XLOOKUP(D422,'Move Editor'!$B:$B,'Move Editor'!$D:$D,"")</f>
        <v/>
      </c>
      <c r="G422" s="3">
        <f>XLOOKUP(D422,'Move Editor'!$B:$B,'Move Editor'!$E:$E,0)</f>
        <v/>
      </c>
      <c r="H422" s="3">
        <f>XLOOKUP(D422,'Move Editor'!$B:$B,'Move Editor'!$F:$F,0)</f>
        <v/>
      </c>
      <c r="I422" s="3">
        <f>(INDEX('Type Chart'!$B:$S,MATCH(E422,'Type Chart'!$A:$A,0),MATCH(XLOOKUP('Boss Editor'!$C$4,'Pokemon Editor'!$A:$A,'Pokemon Editor'!$C:$C,""),'Type Chart'!$B$1:$S$1,0))*IF(XLOOKUP('Boss Editor'!$C$4,'Pokemon Editor'!$A:$A,'Pokemon Editor'!$D:$D,"")="",1,INDEX('Type Chart'!$B:$S,MATCH(E422,'Type Chart'!$A:$A,0),MATCH(XLOOKUP('Boss Editor'!$C$4,'Pokemon Editor'!$A:$A,'Pokemon Editor'!$D:$D,""),'Type Chart'!$B$1:$S$1,0))))</f>
        <v/>
      </c>
      <c r="J422" s="3">
        <f>IFERROR(LET(mtype,XLOOKUP($D422,'Move Editor'!$B:$B,'Move Editor'!$C:$C,""),cat,XLOOKUP($D422,'Move Editor'!$B:$B,'Move Editor'!$D:$D,""),pow,XLOOKUP($D422,'Move Editor'!$B:$B,'Move Editor'!$E:$E,0),acc,XLOOKUP($D422,'Move Editor'!$B:$B,'Move Editor'!$F:$F,100),atk,IF(cat="Physical",FLOOR((FLOOR(((2*XLOOKUP(XLOOKUP($Q422,'Threshold Summary'!$Y:$Y,'Threshold Summary'!$K:$K,""),'Pokemon Editor'!$A:$A,'Pokemon Editor'!$F:$F,0)+31+FLOOR(XLOOKUP($Q422,'Threshold Summary'!$Y:$Y,'Threshold Summary'!$P:$P,"")/4))*XLOOKUP($Q422,'Threshold Summary'!$Y:$Y,'Threshold Summary'!$L:$L,""))/100)+5)*XLOOKUP(XLOOKUP($Q422,'Threshold Summary'!$Y:$Y,'Threshold Summary'!$M:$M,""),'Nature Editor'!$A:$A,'Nature Editor'!$B:$B,1)),FLOOR((FLOOR(((2*XLOOKUP(XLOOKUP($Q422,'Threshold Summary'!$Y:$Y,'Threshold Summary'!$K:$K,""),'Pokemon Editor'!$A:$A,'Pokemon Editor'!$H:$H,0)+31+FLOOR(XLOOKUP($Q422,'Threshold Summary'!$Y:$Y,'Threshold Summary'!$R:$R,"")/4))*XLOOKUP($Q422,'Threshold Summary'!$Y:$Y,'Threshold Summary'!$L:$L,""))/100)+5)*XLOOKUP(XLOOKUP($Q422,'Threshold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Editor'!$E:$E,1))),stab,IF(OR(mtype=XLOOKUP(XLOOKUP($Q422,'Threshold Summary'!$Y:$Y,'Threshold Summary'!$K:$K,""),'Pokemon Editor'!$A:$A,'Pokemon Editor'!$C:$C,""),mtype=XLOOKUP(XLOOKUP($Q422,'Threshold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Chart'!$B$1:$S$1,0)))),base,IF(OR(cat="Status",pow=0),0,FLOOR(FLOOR(FLOOR((2*XLOOKUP($Q422,'Threshold Summary'!$Y:$Y,'Threshold Summary'!$L:$L,"")/5+2)*pow*atk/def)/50)+2)),modifier,stab*eff,FLOOR(base*modifier*0.85)),0)</f>
        <v/>
      </c>
      <c r="K422" s="3">
        <f>IFERROR(LET(mtype,XLOOKUP($D422,'Move Editor'!$B:$B,'Move Editor'!$C:$C,""),cat,XLOOKUP($D422,'Move Editor'!$B:$B,'Move Editor'!$D:$D,""),pow,XLOOKUP($D422,'Move Editor'!$B:$B,'Move Editor'!$E:$E,0),acc,XLOOKUP($D422,'Move Editor'!$B:$B,'Move Editor'!$F:$F,100),atk,IF(cat="Physical",FLOOR((FLOOR(((2*XLOOKUP(XLOOKUP($Q422,'Threshold Summary'!$Y:$Y,'Threshold Summary'!$K:$K,""),'Pokemon Editor'!$A:$A,'Pokemon Editor'!$F:$F,0)+31+FLOOR(XLOOKUP($Q422,'Threshold Summary'!$Y:$Y,'Threshold Summary'!$P:$P,"")/4))*XLOOKUP($Q422,'Threshold Summary'!$Y:$Y,'Threshold Summary'!$L:$L,""))/100)+5)*XLOOKUP(XLOOKUP($Q422,'Threshold Summary'!$Y:$Y,'Threshold Summary'!$M:$M,""),'Nature Editor'!$A:$A,'Nature Editor'!$B:$B,1)),FLOOR((FLOOR(((2*XLOOKUP(XLOOKUP($Q422,'Threshold Summary'!$Y:$Y,'Threshold Summary'!$K:$K,""),'Pokemon Editor'!$A:$A,'Pokemon Editor'!$H:$H,0)+31+FLOOR(XLOOKUP($Q422,'Threshold Summary'!$Y:$Y,'Threshold Summary'!$R:$R,"")/4))*XLOOKUP($Q422,'Threshold Summary'!$Y:$Y,'Threshold Summary'!$L:$L,""))/100)+5)*XLOOKUP(XLOOKUP($Q422,'Threshold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Editor'!$E:$E,1))),stab,IF(OR(mtype=XLOOKUP(XLOOKUP($Q422,'Threshold Summary'!$Y:$Y,'Threshold Summary'!$K:$K,""),'Pokemon Editor'!$A:$A,'Pokemon Editor'!$C:$C,""),mtype=XLOOKUP(XLOOKUP($Q422,'Threshold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Chart'!$B$1:$S$1,0)))),base,IF(OR(cat="Status",pow=0),0,FLOOR(FLOOR(FLOOR((2*XLOOKUP($Q422,'Threshold Summary'!$Y:$Y,'Threshold Summary'!$L:$L,"")/5+2)*pow*atk/def)/50)+2)),modifier,stab*eff,FLOOR(base*modifier)),0)</f>
        <v/>
      </c>
      <c r="L422" s="3">
        <f>IFERROR(LET(mtype,XLOOKUP($D422,'Move Editor'!$B:$B,'Move Editor'!$C:$C,""),cat,XLOOKUP($D422,'Move Editor'!$B:$B,'Move Editor'!$D:$D,""),pow,XLOOKUP($D422,'Move Editor'!$B:$B,'Move Editor'!$E:$E,0),acc,XLOOKUP($D422,'Move Editor'!$B:$B,'Move Editor'!$F:$F,100),atk,IF(cat="Physical",FLOOR((FLOOR(((2*XLOOKUP(XLOOKUP($Q422,'Threshold Summary'!$Y:$Y,'Threshold Summary'!$K:$K,""),'Pokemon Editor'!$A:$A,'Pokemon Editor'!$F:$F,0)+31+FLOOR(XLOOKUP($Q422,'Threshold Summary'!$Y:$Y,'Threshold Summary'!$P:$P,"")/4))*XLOOKUP($Q422,'Threshold Summary'!$Y:$Y,'Threshold Summary'!$L:$L,""))/100)+5)*XLOOKUP(XLOOKUP($Q422,'Threshold Summary'!$Y:$Y,'Threshold Summary'!$M:$M,""),'Nature Editor'!$A:$A,'Nature Editor'!$B:$B,1)),FLOOR((FLOOR(((2*XLOOKUP(XLOOKUP($Q422,'Threshold Summary'!$Y:$Y,'Threshold Summary'!$K:$K,""),'Pokemon Editor'!$A:$A,'Pokemon Editor'!$H:$H,0)+31+FLOOR(XLOOKUP($Q422,'Threshold Summary'!$Y:$Y,'Threshold Summary'!$R:$R,"")/4))*XLOOKUP($Q422,'Threshold Summary'!$Y:$Y,'Threshold Summary'!$L:$L,""))/100)+5)*XLOOKUP(XLOOKUP($Q422,'Threshold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Editor'!$E:$E,1))),stab,IF(OR(mtype=XLOOKUP(XLOOKUP($Q422,'Threshold Summary'!$Y:$Y,'Threshold Summary'!$K:$K,""),'Pokemon Editor'!$A:$A,'Pokemon Editor'!$C:$C,""),mtype=XLOOKUP(XLOOKUP($Q422,'Threshold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Chart'!$B$1:$S$1,0)))),base,IF(OR(cat="Status",pow=0),0,FLOOR(FLOOR(FLOOR((2*XLOOKUP($Q422,'Threshold Summary'!$Y:$Y,'Threshold Summary'!$L:$L,"")/5+2)*pow*atk/def)/50)+2)),modifier,stab*eff,AVERAGE(ARRAYFORMULA(FLOOR(base*modifier*SEQUENCE(16,1,85,1)/100)))),0)</f>
        <v/>
      </c>
      <c r="M422" s="3">
        <f>IFERROR(LET(mtype,XLOOKUP($D422,'Move Editor'!$B:$B,'Move Editor'!$C:$C,""),cat,XLOOKUP($D422,'Move Editor'!$B:$B,'Move Editor'!$D:$D,""),pow,XLOOKUP($D422,'Move Editor'!$B:$B,'Move Editor'!$E:$E,0),acc,XLOOKUP($D422,'Move Editor'!$B:$B,'Move Editor'!$F:$F,100),atk,IF(cat="Physical",FLOOR((FLOOR(((2*XLOOKUP(XLOOKUP($Q422,'Threshold Summary'!$Y:$Y,'Threshold Summary'!$K:$K,""),'Pokemon Editor'!$A:$A,'Pokemon Editor'!$F:$F,0)+31+FLOOR(XLOOKUP($Q422,'Threshold Summary'!$Y:$Y,'Threshold Summary'!$P:$P,"")/4))*XLOOKUP($Q422,'Threshold Summary'!$Y:$Y,'Threshold Summary'!$L:$L,""))/100)+5)*XLOOKUP(XLOOKUP($Q422,'Threshold Summary'!$Y:$Y,'Threshold Summary'!$M:$M,""),'Nature Editor'!$A:$A,'Nature Editor'!$B:$B,1)),FLOOR((FLOOR(((2*XLOOKUP(XLOOKUP($Q422,'Threshold Summary'!$Y:$Y,'Threshold Summary'!$K:$K,""),'Pokemon Editor'!$A:$A,'Pokemon Editor'!$H:$H,0)+31+FLOOR(XLOOKUP($Q422,'Threshold Summary'!$Y:$Y,'Threshold Summary'!$R:$R,"")/4))*XLOOKUP($Q422,'Threshold Summary'!$Y:$Y,'Threshold Summary'!$L:$L,""))/100)+5)*XLOOKUP(XLOOKUP($Q422,'Threshold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Editor'!$E:$E,1))),stab,IF(OR(mtype=XLOOKUP(XLOOKUP($Q422,'Threshold Summary'!$Y:$Y,'Threshold Summary'!$K:$K,""),'Pokemon Editor'!$A:$A,'Pokemon Editor'!$C:$C,""),mtype=XLOOKUP(XLOOKUP($Q422,'Threshold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Chart'!$B$1:$S$1,0)))),base,IF(OR(cat="Status",pow=0),0,FLOOR(FLOOR(FLOOR((2*XLOOKUP($Q422,'Threshold Summary'!$Y:$Y,'Threshold Summary'!$L:$L,"")/5+2)*pow*atk/def)/50)+2)),modifier,stab*eff,AVERAGE(ARRAYFORMULA(FLOOR(base*modifier*SEQUENCE(16,1,85,1)/100)))*MIN(1,acc/100)),0)</f>
        <v/>
      </c>
      <c r="N422" s="4">
        <f>IFERROR(LET(mtype,XLOOKUP($D422,'Move Editor'!$B:$B,'Move Editor'!$C:$C,""),cat,XLOOKUP($D422,'Move Editor'!$B:$B,'Move Editor'!$D:$D,""),pow,XLOOKUP($D422,'Move Editor'!$B:$B,'Move Editor'!$E:$E,0),acc,XLOOKUP($D422,'Move Editor'!$B:$B,'Move Editor'!$F:$F,100),atk,IF(cat="Physical",FLOOR((FLOOR(((2*XLOOKUP(XLOOKUP($Q422,'Threshold Summary'!$Y:$Y,'Threshold Summary'!$K:$K,""),'Pokemon Editor'!$A:$A,'Pokemon Editor'!$F:$F,0)+31+FLOOR(XLOOKUP($Q422,'Threshold Summary'!$Y:$Y,'Threshold Summary'!$P:$P,"")/4))*XLOOKUP($Q422,'Threshold Summary'!$Y:$Y,'Threshold Summary'!$L:$L,""))/100)+5)*XLOOKUP(XLOOKUP($Q422,'Threshold Summary'!$Y:$Y,'Threshold Summary'!$M:$M,""),'Nature Editor'!$A:$A,'Nature Editor'!$B:$B,1)),FLOOR((FLOOR(((2*XLOOKUP(XLOOKUP($Q422,'Threshold Summary'!$Y:$Y,'Threshold Summary'!$K:$K,""),'Pokemon Editor'!$A:$A,'Pokemon Editor'!$H:$H,0)+31+FLOOR(XLOOKUP($Q422,'Threshold Summary'!$Y:$Y,'Threshold Summary'!$R:$R,"")/4))*XLOOKUP($Q422,'Threshold Summary'!$Y:$Y,'Threshold Summary'!$L:$L,""))/100)+5)*XLOOKUP(XLOOKUP($Q422,'Threshold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Editor'!$E:$E,1))),stab,IF(OR(mtype=XLOOKUP(XLOOKUP($Q422,'Threshold Summary'!$Y:$Y,'Threshold Summary'!$K:$K,""),'Pokemon Editor'!$A:$A,'Pokemon Editor'!$C:$C,""),mtype=XLOOKUP(XLOOKUP($Q422,'Threshold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Chart'!$B$1:$S$1,0)))),base,IF(OR(cat="Status",pow=0),0,FLOOR(FLOOR(FLOOR((2*XLOOKUP($Q422,'Threshold Summary'!$Y:$Y,'Threshold Summary'!$L:$L,"")/5+2)*pow*atk/def)/50)+2)),modifier,stab*eff,AVERAGE(ARRAYFORMULA(FLOOR(base*modifier*SEQUENCE(16,1,85,1)/100)))/(FLOOR(((2*XLOOKUP('Boss Editor'!$C$4,'Pokemon Editor'!$A:$A,'Pokemon Editor'!$E:$E,0)+31+FLOOR('Boss Editor'!$G$4/4))*'Boss Editor'!$D$4)/100)+'Boss Editor'!$D$4+10)),0)</f>
        <v/>
      </c>
      <c r="O422" s="3">
        <f>IF(N422&gt;=1,"OHKO",IF(N422&gt;=0.5,"2HKO",IF(N422&gt;=0.333,"3HKO",IF(N422&gt;=0.25,"4HKO","5HKO+"))))</f>
        <v/>
      </c>
      <c r="P422" s="3" t="inlineStr">
        <is>
          <t>Live from editable databases</t>
        </is>
      </c>
      <c r="Q422" s="3" t="inlineStr">
        <is>
          <t>SPECIES_BUNEARY</t>
        </is>
      </c>
      <c r="R422" s="3" t="n">
        <v>5</v>
      </c>
    </row>
    <row r="423">
      <c r="A423" s="3">
        <f>XLOOKUP($Q423,'Threshold Summary'!$Y:$Y,'Threshold Summary'!$A:$A,"")</f>
        <v/>
      </c>
      <c r="B423" s="3">
        <f>XLOOKUP($Q423,'Threshold Summary'!$Y:$Y,'Threshold Summary'!$M:$M,"")</f>
        <v/>
      </c>
      <c r="C423" s="3">
        <f>XLOOKUP($Q423,'Threshold Summary'!$Y:$Y,'Threshold Summary'!$N:$N,"")</f>
        <v/>
      </c>
      <c r="D423" s="3">
        <f>IFERROR(INDEX(FILTER('Learnset Editor'!$D$2:$D,'Learnset Editor'!$A$2:$A=XLOOKUP($Q423,'Threshold Summary'!$Y:$Y,'Threshold Summary'!$K:$K,""),'Learnset Editor'!$C$2:$C&lt;=XLOOKUP($Q423,'Threshold Summary'!$Y:$Y,'Threshold Summary'!$L:$L,"")),$R423),"")</f>
        <v/>
      </c>
      <c r="E423" s="3">
        <f>XLOOKUP(D423,'Move Editor'!$B:$B,'Move Editor'!$C:$C,"")</f>
        <v/>
      </c>
      <c r="F423" s="3">
        <f>XLOOKUP(D423,'Move Editor'!$B:$B,'Move Editor'!$D:$D,"")</f>
        <v/>
      </c>
      <c r="G423" s="3">
        <f>XLOOKUP(D423,'Move Editor'!$B:$B,'Move Editor'!$E:$E,0)</f>
        <v/>
      </c>
      <c r="H423" s="3">
        <f>XLOOKUP(D423,'Move Editor'!$B:$B,'Move Editor'!$F:$F,0)</f>
        <v/>
      </c>
      <c r="I423" s="3">
        <f>(INDEX('Type Chart'!$B:$S,MATCH(E423,'Type Chart'!$A:$A,0),MATCH(XLOOKUP('Boss Editor'!$C$4,'Pokemon Editor'!$A:$A,'Pokemon Editor'!$C:$C,""),'Type Chart'!$B$1:$S$1,0))*IF(XLOOKUP('Boss Editor'!$C$4,'Pokemon Editor'!$A:$A,'Pokemon Editor'!$D:$D,"")="",1,INDEX('Type Chart'!$B:$S,MATCH(E423,'Type Chart'!$A:$A,0),MATCH(XLOOKUP('Boss Editor'!$C$4,'Pokemon Editor'!$A:$A,'Pokemon Editor'!$D:$D,""),'Type Chart'!$B$1:$S$1,0))))</f>
        <v/>
      </c>
      <c r="J423" s="3">
        <f>IFERROR(LET(mtype,XLOOKUP($D423,'Move Editor'!$B:$B,'Move Editor'!$C:$C,""),cat,XLOOKUP($D423,'Move Editor'!$B:$B,'Move Editor'!$D:$D,""),pow,XLOOKUP($D423,'Move Editor'!$B:$B,'Move Editor'!$E:$E,0),acc,XLOOKUP($D423,'Move Editor'!$B:$B,'Move Editor'!$F:$F,100),atk,IF(cat="Physical",FLOOR((FLOOR(((2*XLOOKUP(XLOOKUP($Q423,'Threshold Summary'!$Y:$Y,'Threshold Summary'!$K:$K,""),'Pokemon Editor'!$A:$A,'Pokemon Editor'!$F:$F,0)+31+FLOOR(XLOOKUP($Q423,'Threshold Summary'!$Y:$Y,'Threshold Summary'!$P:$P,"")/4))*XLOOKUP($Q423,'Threshold Summary'!$Y:$Y,'Threshold Summary'!$L:$L,""))/100)+5)*XLOOKUP(XLOOKUP($Q423,'Threshold Summary'!$Y:$Y,'Threshold Summary'!$M:$M,""),'Nature Editor'!$A:$A,'Nature Editor'!$B:$B,1)),FLOOR((FLOOR(((2*XLOOKUP(XLOOKUP($Q423,'Threshold Summary'!$Y:$Y,'Threshold Summary'!$K:$K,""),'Pokemon Editor'!$A:$A,'Pokemon Editor'!$H:$H,0)+31+FLOOR(XLOOKUP($Q423,'Threshold Summary'!$Y:$Y,'Threshold Summary'!$R:$R,"")/4))*XLOOKUP($Q423,'Threshold Summary'!$Y:$Y,'Threshold Summary'!$L:$L,""))/100)+5)*XLOOKUP(XLOOKUP($Q423,'Threshold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Editor'!$E:$E,1))),stab,IF(OR(mtype=XLOOKUP(XLOOKUP($Q423,'Threshold Summary'!$Y:$Y,'Threshold Summary'!$K:$K,""),'Pokemon Editor'!$A:$A,'Pokemon Editor'!$C:$C,""),mtype=XLOOKUP(XLOOKUP($Q423,'Threshold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Chart'!$B$1:$S$1,0)))),base,IF(OR(cat="Status",pow=0),0,FLOOR(FLOOR(FLOOR((2*XLOOKUP($Q423,'Threshold Summary'!$Y:$Y,'Threshold Summary'!$L:$L,"")/5+2)*pow*atk/def)/50)+2)),modifier,stab*eff,FLOOR(base*modifier*0.85)),0)</f>
        <v/>
      </c>
      <c r="K423" s="3">
        <f>IFERROR(LET(mtype,XLOOKUP($D423,'Move Editor'!$B:$B,'Move Editor'!$C:$C,""),cat,XLOOKUP($D423,'Move Editor'!$B:$B,'Move Editor'!$D:$D,""),pow,XLOOKUP($D423,'Move Editor'!$B:$B,'Move Editor'!$E:$E,0),acc,XLOOKUP($D423,'Move Editor'!$B:$B,'Move Editor'!$F:$F,100),atk,IF(cat="Physical",FLOOR((FLOOR(((2*XLOOKUP(XLOOKUP($Q423,'Threshold Summary'!$Y:$Y,'Threshold Summary'!$K:$K,""),'Pokemon Editor'!$A:$A,'Pokemon Editor'!$F:$F,0)+31+FLOOR(XLOOKUP($Q423,'Threshold Summary'!$Y:$Y,'Threshold Summary'!$P:$P,"")/4))*XLOOKUP($Q423,'Threshold Summary'!$Y:$Y,'Threshold Summary'!$L:$L,""))/100)+5)*XLOOKUP(XLOOKUP($Q423,'Threshold Summary'!$Y:$Y,'Threshold Summary'!$M:$M,""),'Nature Editor'!$A:$A,'Nature Editor'!$B:$B,1)),FLOOR((FLOOR(((2*XLOOKUP(XLOOKUP($Q423,'Threshold Summary'!$Y:$Y,'Threshold Summary'!$K:$K,""),'Pokemon Editor'!$A:$A,'Pokemon Editor'!$H:$H,0)+31+FLOOR(XLOOKUP($Q423,'Threshold Summary'!$Y:$Y,'Threshold Summary'!$R:$R,"")/4))*XLOOKUP($Q423,'Threshold Summary'!$Y:$Y,'Threshold Summary'!$L:$L,""))/100)+5)*XLOOKUP(XLOOKUP($Q423,'Threshold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Editor'!$E:$E,1))),stab,IF(OR(mtype=XLOOKUP(XLOOKUP($Q423,'Threshold Summary'!$Y:$Y,'Threshold Summary'!$K:$K,""),'Pokemon Editor'!$A:$A,'Pokemon Editor'!$C:$C,""),mtype=XLOOKUP(XLOOKUP($Q423,'Threshold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Chart'!$B$1:$S$1,0)))),base,IF(OR(cat="Status",pow=0),0,FLOOR(FLOOR(FLOOR((2*XLOOKUP($Q423,'Threshold Summary'!$Y:$Y,'Threshold Summary'!$L:$L,"")/5+2)*pow*atk/def)/50)+2)),modifier,stab*eff,FLOOR(base*modifier)),0)</f>
        <v/>
      </c>
      <c r="L423" s="3">
        <f>IFERROR(LET(mtype,XLOOKUP($D423,'Move Editor'!$B:$B,'Move Editor'!$C:$C,""),cat,XLOOKUP($D423,'Move Editor'!$B:$B,'Move Editor'!$D:$D,""),pow,XLOOKUP($D423,'Move Editor'!$B:$B,'Move Editor'!$E:$E,0),acc,XLOOKUP($D423,'Move Editor'!$B:$B,'Move Editor'!$F:$F,100),atk,IF(cat="Physical",FLOOR((FLOOR(((2*XLOOKUP(XLOOKUP($Q423,'Threshold Summary'!$Y:$Y,'Threshold Summary'!$K:$K,""),'Pokemon Editor'!$A:$A,'Pokemon Editor'!$F:$F,0)+31+FLOOR(XLOOKUP($Q423,'Threshold Summary'!$Y:$Y,'Threshold Summary'!$P:$P,"")/4))*XLOOKUP($Q423,'Threshold Summary'!$Y:$Y,'Threshold Summary'!$L:$L,""))/100)+5)*XLOOKUP(XLOOKUP($Q423,'Threshold Summary'!$Y:$Y,'Threshold Summary'!$M:$M,""),'Nature Editor'!$A:$A,'Nature Editor'!$B:$B,1)),FLOOR((FLOOR(((2*XLOOKUP(XLOOKUP($Q423,'Threshold Summary'!$Y:$Y,'Threshold Summary'!$K:$K,""),'Pokemon Editor'!$A:$A,'Pokemon Editor'!$H:$H,0)+31+FLOOR(XLOOKUP($Q423,'Threshold Summary'!$Y:$Y,'Threshold Summary'!$R:$R,"")/4))*XLOOKUP($Q423,'Threshold Summary'!$Y:$Y,'Threshold Summary'!$L:$L,""))/100)+5)*XLOOKUP(XLOOKUP($Q423,'Threshold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Editor'!$E:$E,1))),stab,IF(OR(mtype=XLOOKUP(XLOOKUP($Q423,'Threshold Summary'!$Y:$Y,'Threshold Summary'!$K:$K,""),'Pokemon Editor'!$A:$A,'Pokemon Editor'!$C:$C,""),mtype=XLOOKUP(XLOOKUP($Q423,'Threshold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Chart'!$B$1:$S$1,0)))),base,IF(OR(cat="Status",pow=0),0,FLOOR(FLOOR(FLOOR((2*XLOOKUP($Q423,'Threshold Summary'!$Y:$Y,'Threshold Summary'!$L:$L,"")/5+2)*pow*atk/def)/50)+2)),modifier,stab*eff,AVERAGE(ARRAYFORMULA(FLOOR(base*modifier*SEQUENCE(16,1,85,1)/100)))),0)</f>
        <v/>
      </c>
      <c r="M423" s="3">
        <f>IFERROR(LET(mtype,XLOOKUP($D423,'Move Editor'!$B:$B,'Move Editor'!$C:$C,""),cat,XLOOKUP($D423,'Move Editor'!$B:$B,'Move Editor'!$D:$D,""),pow,XLOOKUP($D423,'Move Editor'!$B:$B,'Move Editor'!$E:$E,0),acc,XLOOKUP($D423,'Move Editor'!$B:$B,'Move Editor'!$F:$F,100),atk,IF(cat="Physical",FLOOR((FLOOR(((2*XLOOKUP(XLOOKUP($Q423,'Threshold Summary'!$Y:$Y,'Threshold Summary'!$K:$K,""),'Pokemon Editor'!$A:$A,'Pokemon Editor'!$F:$F,0)+31+FLOOR(XLOOKUP($Q423,'Threshold Summary'!$Y:$Y,'Threshold Summary'!$P:$P,"")/4))*XLOOKUP($Q423,'Threshold Summary'!$Y:$Y,'Threshold Summary'!$L:$L,""))/100)+5)*XLOOKUP(XLOOKUP($Q423,'Threshold Summary'!$Y:$Y,'Threshold Summary'!$M:$M,""),'Nature Editor'!$A:$A,'Nature Editor'!$B:$B,1)),FLOOR((FLOOR(((2*XLOOKUP(XLOOKUP($Q423,'Threshold Summary'!$Y:$Y,'Threshold Summary'!$K:$K,""),'Pokemon Editor'!$A:$A,'Pokemon Editor'!$H:$H,0)+31+FLOOR(XLOOKUP($Q423,'Threshold Summary'!$Y:$Y,'Threshold Summary'!$R:$R,"")/4))*XLOOKUP($Q423,'Threshold Summary'!$Y:$Y,'Threshold Summary'!$L:$L,""))/100)+5)*XLOOKUP(XLOOKUP($Q423,'Threshold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Editor'!$E:$E,1))),stab,IF(OR(mtype=XLOOKUP(XLOOKUP($Q423,'Threshold Summary'!$Y:$Y,'Threshold Summary'!$K:$K,""),'Pokemon Editor'!$A:$A,'Pokemon Editor'!$C:$C,""),mtype=XLOOKUP(XLOOKUP($Q423,'Threshold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Chart'!$B$1:$S$1,0)))),base,IF(OR(cat="Status",pow=0),0,FLOOR(FLOOR(FLOOR((2*XLOOKUP($Q423,'Threshold Summary'!$Y:$Y,'Threshold Summary'!$L:$L,"")/5+2)*pow*atk/def)/50)+2)),modifier,stab*eff,AVERAGE(ARRAYFORMULA(FLOOR(base*modifier*SEQUENCE(16,1,85,1)/100)))*MIN(1,acc/100)),0)</f>
        <v/>
      </c>
      <c r="N423" s="4">
        <f>IFERROR(LET(mtype,XLOOKUP($D423,'Move Editor'!$B:$B,'Move Editor'!$C:$C,""),cat,XLOOKUP($D423,'Move Editor'!$B:$B,'Move Editor'!$D:$D,""),pow,XLOOKUP($D423,'Move Editor'!$B:$B,'Move Editor'!$E:$E,0),acc,XLOOKUP($D423,'Move Editor'!$B:$B,'Move Editor'!$F:$F,100),atk,IF(cat="Physical",FLOOR((FLOOR(((2*XLOOKUP(XLOOKUP($Q423,'Threshold Summary'!$Y:$Y,'Threshold Summary'!$K:$K,""),'Pokemon Editor'!$A:$A,'Pokemon Editor'!$F:$F,0)+31+FLOOR(XLOOKUP($Q423,'Threshold Summary'!$Y:$Y,'Threshold Summary'!$P:$P,"")/4))*XLOOKUP($Q423,'Threshold Summary'!$Y:$Y,'Threshold Summary'!$L:$L,""))/100)+5)*XLOOKUP(XLOOKUP($Q423,'Threshold Summary'!$Y:$Y,'Threshold Summary'!$M:$M,""),'Nature Editor'!$A:$A,'Nature Editor'!$B:$B,1)),FLOOR((FLOOR(((2*XLOOKUP(XLOOKUP($Q423,'Threshold Summary'!$Y:$Y,'Threshold Summary'!$K:$K,""),'Pokemon Editor'!$A:$A,'Pokemon Editor'!$H:$H,0)+31+FLOOR(XLOOKUP($Q423,'Threshold Summary'!$Y:$Y,'Threshold Summary'!$R:$R,"")/4))*XLOOKUP($Q423,'Threshold Summary'!$Y:$Y,'Threshold Summary'!$L:$L,""))/100)+5)*XLOOKUP(XLOOKUP($Q423,'Threshold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Editor'!$E:$E,1))),stab,IF(OR(mtype=XLOOKUP(XLOOKUP($Q423,'Threshold Summary'!$Y:$Y,'Threshold Summary'!$K:$K,""),'Pokemon Editor'!$A:$A,'Pokemon Editor'!$C:$C,""),mtype=XLOOKUP(XLOOKUP($Q423,'Threshold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Chart'!$B$1:$S$1,0)))),base,IF(OR(cat="Status",pow=0),0,FLOOR(FLOOR(FLOOR((2*XLOOKUP($Q423,'Threshold Summary'!$Y:$Y,'Threshold Summary'!$L:$L,"")/5+2)*pow*atk/def)/50)+2)),modifier,stab*eff,AVERAGE(ARRAYFORMULA(FLOOR(base*modifier*SEQUENCE(16,1,85,1)/100)))/(FLOOR(((2*XLOOKUP('Boss Editor'!$C$4,'Pokemon Editor'!$A:$A,'Pokemon Editor'!$E:$E,0)+31+FLOOR('Boss Editor'!$G$4/4))*'Boss Editor'!$D$4)/100)+'Boss Editor'!$D$4+10)),0)</f>
        <v/>
      </c>
      <c r="O423" s="3">
        <f>IF(N423&gt;=1,"OHKO",IF(N423&gt;=0.5,"2HKO",IF(N423&gt;=0.333,"3HKO",IF(N423&gt;=0.25,"4HKO","5HKO+"))))</f>
        <v/>
      </c>
      <c r="P423" s="3" t="inlineStr">
        <is>
          <t>Live from editable databases</t>
        </is>
      </c>
      <c r="Q423" s="3" t="inlineStr">
        <is>
          <t>SPECIES_BUNEARY</t>
        </is>
      </c>
      <c r="R423" s="3" t="n">
        <v>6</v>
      </c>
    </row>
    <row r="424">
      <c r="A424" s="3">
        <f>XLOOKUP($Q424,'Threshold Summary'!$Y:$Y,'Threshold Summary'!$A:$A,"")</f>
        <v/>
      </c>
      <c r="B424" s="3">
        <f>XLOOKUP($Q424,'Threshold Summary'!$Y:$Y,'Threshold Summary'!$M:$M,"")</f>
        <v/>
      </c>
      <c r="C424" s="3">
        <f>XLOOKUP($Q424,'Threshold Summary'!$Y:$Y,'Threshold Summary'!$N:$N,"")</f>
        <v/>
      </c>
      <c r="D424" s="3">
        <f>IFERROR(INDEX(FILTER('Learnset Editor'!$D$2:$D,'Learnset Editor'!$A$2:$A=XLOOKUP($Q424,'Threshold Summary'!$Y:$Y,'Threshold Summary'!$K:$K,""),'Learnset Editor'!$C$2:$C&lt;=XLOOKUP($Q424,'Threshold Summary'!$Y:$Y,'Threshold Summary'!$L:$L,"")),$R424),"")</f>
        <v/>
      </c>
      <c r="E424" s="3">
        <f>XLOOKUP(D424,'Move Editor'!$B:$B,'Move Editor'!$C:$C,"")</f>
        <v/>
      </c>
      <c r="F424" s="3">
        <f>XLOOKUP(D424,'Move Editor'!$B:$B,'Move Editor'!$D:$D,"")</f>
        <v/>
      </c>
      <c r="G424" s="3">
        <f>XLOOKUP(D424,'Move Editor'!$B:$B,'Move Editor'!$E:$E,0)</f>
        <v/>
      </c>
      <c r="H424" s="3">
        <f>XLOOKUP(D424,'Move Editor'!$B:$B,'Move Editor'!$F:$F,0)</f>
        <v/>
      </c>
      <c r="I424" s="3">
        <f>(INDEX('Type Chart'!$B:$S,MATCH(E424,'Type Chart'!$A:$A,0),MATCH(XLOOKUP('Boss Editor'!$C$4,'Pokemon Editor'!$A:$A,'Pokemon Editor'!$C:$C,""),'Type Chart'!$B$1:$S$1,0))*IF(XLOOKUP('Boss Editor'!$C$4,'Pokemon Editor'!$A:$A,'Pokemon Editor'!$D:$D,"")="",1,INDEX('Type Chart'!$B:$S,MATCH(E424,'Type Chart'!$A:$A,0),MATCH(XLOOKUP('Boss Editor'!$C$4,'Pokemon Editor'!$A:$A,'Pokemon Editor'!$D:$D,""),'Type Chart'!$B$1:$S$1,0))))</f>
        <v/>
      </c>
      <c r="J424" s="3">
        <f>IFERROR(LET(mtype,XLOOKUP($D424,'Move Editor'!$B:$B,'Move Editor'!$C:$C,""),cat,XLOOKUP($D424,'Move Editor'!$B:$B,'Move Editor'!$D:$D,""),pow,XLOOKUP($D424,'Move Editor'!$B:$B,'Move Editor'!$E:$E,0),acc,XLOOKUP($D424,'Move Editor'!$B:$B,'Move Editor'!$F:$F,100),atk,IF(cat="Physical",FLOOR((FLOOR(((2*XLOOKUP(XLOOKUP($Q424,'Threshold Summary'!$Y:$Y,'Threshold Summary'!$K:$K,""),'Pokemon Editor'!$A:$A,'Pokemon Editor'!$F:$F,0)+31+FLOOR(XLOOKUP($Q424,'Threshold Summary'!$Y:$Y,'Threshold Summary'!$P:$P,"")/4))*XLOOKUP($Q424,'Threshold Summary'!$Y:$Y,'Threshold Summary'!$L:$L,""))/100)+5)*XLOOKUP(XLOOKUP($Q424,'Threshold Summary'!$Y:$Y,'Threshold Summary'!$M:$M,""),'Nature Editor'!$A:$A,'Nature Editor'!$B:$B,1)),FLOOR((FLOOR(((2*XLOOKUP(XLOOKUP($Q424,'Threshold Summary'!$Y:$Y,'Threshold Summary'!$K:$K,""),'Pokemon Editor'!$A:$A,'Pokemon Editor'!$H:$H,0)+31+FLOOR(XLOOKUP($Q424,'Threshold Summary'!$Y:$Y,'Threshold Summary'!$R:$R,"")/4))*XLOOKUP($Q424,'Threshold Summary'!$Y:$Y,'Threshold Summary'!$L:$L,""))/100)+5)*XLOOKUP(XLOOKUP($Q424,'Threshold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Editor'!$E:$E,1))),stab,IF(OR(mtype=XLOOKUP(XLOOKUP($Q424,'Threshold Summary'!$Y:$Y,'Threshold Summary'!$K:$K,""),'Pokemon Editor'!$A:$A,'Pokemon Editor'!$C:$C,""),mtype=XLOOKUP(XLOOKUP($Q424,'Threshold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Chart'!$B$1:$S$1,0)))),base,IF(OR(cat="Status",pow=0),0,FLOOR(FLOOR(FLOOR((2*XLOOKUP($Q424,'Threshold Summary'!$Y:$Y,'Threshold Summary'!$L:$L,"")/5+2)*pow*atk/def)/50)+2)),modifier,stab*eff,FLOOR(base*modifier*0.85)),0)</f>
        <v/>
      </c>
      <c r="K424" s="3">
        <f>IFERROR(LET(mtype,XLOOKUP($D424,'Move Editor'!$B:$B,'Move Editor'!$C:$C,""),cat,XLOOKUP($D424,'Move Editor'!$B:$B,'Move Editor'!$D:$D,""),pow,XLOOKUP($D424,'Move Editor'!$B:$B,'Move Editor'!$E:$E,0),acc,XLOOKUP($D424,'Move Editor'!$B:$B,'Move Editor'!$F:$F,100),atk,IF(cat="Physical",FLOOR((FLOOR(((2*XLOOKUP(XLOOKUP($Q424,'Threshold Summary'!$Y:$Y,'Threshold Summary'!$K:$K,""),'Pokemon Editor'!$A:$A,'Pokemon Editor'!$F:$F,0)+31+FLOOR(XLOOKUP($Q424,'Threshold Summary'!$Y:$Y,'Threshold Summary'!$P:$P,"")/4))*XLOOKUP($Q424,'Threshold Summary'!$Y:$Y,'Threshold Summary'!$L:$L,""))/100)+5)*XLOOKUP(XLOOKUP($Q424,'Threshold Summary'!$Y:$Y,'Threshold Summary'!$M:$M,""),'Nature Editor'!$A:$A,'Nature Editor'!$B:$B,1)),FLOOR((FLOOR(((2*XLOOKUP(XLOOKUP($Q424,'Threshold Summary'!$Y:$Y,'Threshold Summary'!$K:$K,""),'Pokemon Editor'!$A:$A,'Pokemon Editor'!$H:$H,0)+31+FLOOR(XLOOKUP($Q424,'Threshold Summary'!$Y:$Y,'Threshold Summary'!$R:$R,"")/4))*XLOOKUP($Q424,'Threshold Summary'!$Y:$Y,'Threshold Summary'!$L:$L,""))/100)+5)*XLOOKUP(XLOOKUP($Q424,'Threshold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Editor'!$E:$E,1))),stab,IF(OR(mtype=XLOOKUP(XLOOKUP($Q424,'Threshold Summary'!$Y:$Y,'Threshold Summary'!$K:$K,""),'Pokemon Editor'!$A:$A,'Pokemon Editor'!$C:$C,""),mtype=XLOOKUP(XLOOKUP($Q424,'Threshold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Chart'!$B$1:$S$1,0)))),base,IF(OR(cat="Status",pow=0),0,FLOOR(FLOOR(FLOOR((2*XLOOKUP($Q424,'Threshold Summary'!$Y:$Y,'Threshold Summary'!$L:$L,"")/5+2)*pow*atk/def)/50)+2)),modifier,stab*eff,FLOOR(base*modifier)),0)</f>
        <v/>
      </c>
      <c r="L424" s="3">
        <f>IFERROR(LET(mtype,XLOOKUP($D424,'Move Editor'!$B:$B,'Move Editor'!$C:$C,""),cat,XLOOKUP($D424,'Move Editor'!$B:$B,'Move Editor'!$D:$D,""),pow,XLOOKUP($D424,'Move Editor'!$B:$B,'Move Editor'!$E:$E,0),acc,XLOOKUP($D424,'Move Editor'!$B:$B,'Move Editor'!$F:$F,100),atk,IF(cat="Physical",FLOOR((FLOOR(((2*XLOOKUP(XLOOKUP($Q424,'Threshold Summary'!$Y:$Y,'Threshold Summary'!$K:$K,""),'Pokemon Editor'!$A:$A,'Pokemon Editor'!$F:$F,0)+31+FLOOR(XLOOKUP($Q424,'Threshold Summary'!$Y:$Y,'Threshold Summary'!$P:$P,"")/4))*XLOOKUP($Q424,'Threshold Summary'!$Y:$Y,'Threshold Summary'!$L:$L,""))/100)+5)*XLOOKUP(XLOOKUP($Q424,'Threshold Summary'!$Y:$Y,'Threshold Summary'!$M:$M,""),'Nature Editor'!$A:$A,'Nature Editor'!$B:$B,1)),FLOOR((FLOOR(((2*XLOOKUP(XLOOKUP($Q424,'Threshold Summary'!$Y:$Y,'Threshold Summary'!$K:$K,""),'Pokemon Editor'!$A:$A,'Pokemon Editor'!$H:$H,0)+31+FLOOR(XLOOKUP($Q424,'Threshold Summary'!$Y:$Y,'Threshold Summary'!$R:$R,"")/4))*XLOOKUP($Q424,'Threshold Summary'!$Y:$Y,'Threshold Summary'!$L:$L,""))/100)+5)*XLOOKUP(XLOOKUP($Q424,'Threshold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Editor'!$E:$E,1))),stab,IF(OR(mtype=XLOOKUP(XLOOKUP($Q424,'Threshold Summary'!$Y:$Y,'Threshold Summary'!$K:$K,""),'Pokemon Editor'!$A:$A,'Pokemon Editor'!$C:$C,""),mtype=XLOOKUP(XLOOKUP($Q424,'Threshold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Chart'!$B$1:$S$1,0)))),base,IF(OR(cat="Status",pow=0),0,FLOOR(FLOOR(FLOOR((2*XLOOKUP($Q424,'Threshold Summary'!$Y:$Y,'Threshold Summary'!$L:$L,"")/5+2)*pow*atk/def)/50)+2)),modifier,stab*eff,AVERAGE(ARRAYFORMULA(FLOOR(base*modifier*SEQUENCE(16,1,85,1)/100)))),0)</f>
        <v/>
      </c>
      <c r="M424" s="3">
        <f>IFERROR(LET(mtype,XLOOKUP($D424,'Move Editor'!$B:$B,'Move Editor'!$C:$C,""),cat,XLOOKUP($D424,'Move Editor'!$B:$B,'Move Editor'!$D:$D,""),pow,XLOOKUP($D424,'Move Editor'!$B:$B,'Move Editor'!$E:$E,0),acc,XLOOKUP($D424,'Move Editor'!$B:$B,'Move Editor'!$F:$F,100),atk,IF(cat="Physical",FLOOR((FLOOR(((2*XLOOKUP(XLOOKUP($Q424,'Threshold Summary'!$Y:$Y,'Threshold Summary'!$K:$K,""),'Pokemon Editor'!$A:$A,'Pokemon Editor'!$F:$F,0)+31+FLOOR(XLOOKUP($Q424,'Threshold Summary'!$Y:$Y,'Threshold Summary'!$P:$P,"")/4))*XLOOKUP($Q424,'Threshold Summary'!$Y:$Y,'Threshold Summary'!$L:$L,""))/100)+5)*XLOOKUP(XLOOKUP($Q424,'Threshold Summary'!$Y:$Y,'Threshold Summary'!$M:$M,""),'Nature Editor'!$A:$A,'Nature Editor'!$B:$B,1)),FLOOR((FLOOR(((2*XLOOKUP(XLOOKUP($Q424,'Threshold Summary'!$Y:$Y,'Threshold Summary'!$K:$K,""),'Pokemon Editor'!$A:$A,'Pokemon Editor'!$H:$H,0)+31+FLOOR(XLOOKUP($Q424,'Threshold Summary'!$Y:$Y,'Threshold Summary'!$R:$R,"")/4))*XLOOKUP($Q424,'Threshold Summary'!$Y:$Y,'Threshold Summary'!$L:$L,""))/100)+5)*XLOOKUP(XLOOKUP($Q424,'Threshold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Editor'!$E:$E,1))),stab,IF(OR(mtype=XLOOKUP(XLOOKUP($Q424,'Threshold Summary'!$Y:$Y,'Threshold Summary'!$K:$K,""),'Pokemon Editor'!$A:$A,'Pokemon Editor'!$C:$C,""),mtype=XLOOKUP(XLOOKUP($Q424,'Threshold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Chart'!$B$1:$S$1,0)))),base,IF(OR(cat="Status",pow=0),0,FLOOR(FLOOR(FLOOR((2*XLOOKUP($Q424,'Threshold Summary'!$Y:$Y,'Threshold Summary'!$L:$L,"")/5+2)*pow*atk/def)/50)+2)),modifier,stab*eff,AVERAGE(ARRAYFORMULA(FLOOR(base*modifier*SEQUENCE(16,1,85,1)/100)))*MIN(1,acc/100)),0)</f>
        <v/>
      </c>
      <c r="N424" s="4">
        <f>IFERROR(LET(mtype,XLOOKUP($D424,'Move Editor'!$B:$B,'Move Editor'!$C:$C,""),cat,XLOOKUP($D424,'Move Editor'!$B:$B,'Move Editor'!$D:$D,""),pow,XLOOKUP($D424,'Move Editor'!$B:$B,'Move Editor'!$E:$E,0),acc,XLOOKUP($D424,'Move Editor'!$B:$B,'Move Editor'!$F:$F,100),atk,IF(cat="Physical",FLOOR((FLOOR(((2*XLOOKUP(XLOOKUP($Q424,'Threshold Summary'!$Y:$Y,'Threshold Summary'!$K:$K,""),'Pokemon Editor'!$A:$A,'Pokemon Editor'!$F:$F,0)+31+FLOOR(XLOOKUP($Q424,'Threshold Summary'!$Y:$Y,'Threshold Summary'!$P:$P,"")/4))*XLOOKUP($Q424,'Threshold Summary'!$Y:$Y,'Threshold Summary'!$L:$L,""))/100)+5)*XLOOKUP(XLOOKUP($Q424,'Threshold Summary'!$Y:$Y,'Threshold Summary'!$M:$M,""),'Nature Editor'!$A:$A,'Nature Editor'!$B:$B,1)),FLOOR((FLOOR(((2*XLOOKUP(XLOOKUP($Q424,'Threshold Summary'!$Y:$Y,'Threshold Summary'!$K:$K,""),'Pokemon Editor'!$A:$A,'Pokemon Editor'!$H:$H,0)+31+FLOOR(XLOOKUP($Q424,'Threshold Summary'!$Y:$Y,'Threshold Summary'!$R:$R,"")/4))*XLOOKUP($Q424,'Threshold Summary'!$Y:$Y,'Threshold Summary'!$L:$L,""))/100)+5)*XLOOKUP(XLOOKUP($Q424,'Threshold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Editor'!$E:$E,1))),stab,IF(OR(mtype=XLOOKUP(XLOOKUP($Q424,'Threshold Summary'!$Y:$Y,'Threshold Summary'!$K:$K,""),'Pokemon Editor'!$A:$A,'Pokemon Editor'!$C:$C,""),mtype=XLOOKUP(XLOOKUP($Q424,'Threshold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Chart'!$B$1:$S$1,0)))),base,IF(OR(cat="Status",pow=0),0,FLOOR(FLOOR(FLOOR((2*XLOOKUP($Q424,'Threshold Summary'!$Y:$Y,'Threshold Summary'!$L:$L,"")/5+2)*pow*atk/def)/50)+2)),modifier,stab*eff,AVERAGE(ARRAYFORMULA(FLOOR(base*modifier*SEQUENCE(16,1,85,1)/100)))/(FLOOR(((2*XLOOKUP('Boss Editor'!$C$4,'Pokemon Editor'!$A:$A,'Pokemon Editor'!$E:$E,0)+31+FLOOR('Boss Editor'!$G$4/4))*'Boss Editor'!$D$4)/100)+'Boss Editor'!$D$4+10)),0)</f>
        <v/>
      </c>
      <c r="O424" s="3">
        <f>IF(N424&gt;=1,"OHKO",IF(N424&gt;=0.5,"2HKO",IF(N424&gt;=0.333,"3HKO",IF(N424&gt;=0.25,"4HKO","5HKO+"))))</f>
        <v/>
      </c>
      <c r="P424" s="3" t="inlineStr">
        <is>
          <t>Live from editable databases</t>
        </is>
      </c>
      <c r="Q424" s="3" t="inlineStr">
        <is>
          <t>SPECIES_BUNEARY</t>
        </is>
      </c>
      <c r="R424" s="3" t="n">
        <v>7</v>
      </c>
    </row>
    <row r="425">
      <c r="A425" s="3">
        <f>XLOOKUP($Q425,'Threshold Summary'!$Y:$Y,'Threshold Summary'!$A:$A,"")</f>
        <v/>
      </c>
      <c r="B425" s="3">
        <f>XLOOKUP($Q425,'Threshold Summary'!$Y:$Y,'Threshold Summary'!$M:$M,"")</f>
        <v/>
      </c>
      <c r="C425" s="3">
        <f>XLOOKUP($Q425,'Threshold Summary'!$Y:$Y,'Threshold Summary'!$N:$N,"")</f>
        <v/>
      </c>
      <c r="D425" s="3">
        <f>IFERROR(INDEX(FILTER('Learnset Editor'!$D$2:$D,'Learnset Editor'!$A$2:$A=XLOOKUP($Q425,'Threshold Summary'!$Y:$Y,'Threshold Summary'!$K:$K,""),'Learnset Editor'!$C$2:$C&lt;=XLOOKUP($Q425,'Threshold Summary'!$Y:$Y,'Threshold Summary'!$L:$L,"")),$R425),"")</f>
        <v/>
      </c>
      <c r="E425" s="3">
        <f>XLOOKUP(D425,'Move Editor'!$B:$B,'Move Editor'!$C:$C,"")</f>
        <v/>
      </c>
      <c r="F425" s="3">
        <f>XLOOKUP(D425,'Move Editor'!$B:$B,'Move Editor'!$D:$D,"")</f>
        <v/>
      </c>
      <c r="G425" s="3">
        <f>XLOOKUP(D425,'Move Editor'!$B:$B,'Move Editor'!$E:$E,0)</f>
        <v/>
      </c>
      <c r="H425" s="3">
        <f>XLOOKUP(D425,'Move Editor'!$B:$B,'Move Editor'!$F:$F,0)</f>
        <v/>
      </c>
      <c r="I425" s="3">
        <f>(INDEX('Type Chart'!$B:$S,MATCH(E425,'Type Chart'!$A:$A,0),MATCH(XLOOKUP('Boss Editor'!$C$4,'Pokemon Editor'!$A:$A,'Pokemon Editor'!$C:$C,""),'Type Chart'!$B$1:$S$1,0))*IF(XLOOKUP('Boss Editor'!$C$4,'Pokemon Editor'!$A:$A,'Pokemon Editor'!$D:$D,"")="",1,INDEX('Type Chart'!$B:$S,MATCH(E425,'Type Chart'!$A:$A,0),MATCH(XLOOKUP('Boss Editor'!$C$4,'Pokemon Editor'!$A:$A,'Pokemon Editor'!$D:$D,""),'Type Chart'!$B$1:$S$1,0))))</f>
        <v/>
      </c>
      <c r="J425" s="3">
        <f>IFERROR(LET(mtype,XLOOKUP($D425,'Move Editor'!$B:$B,'Move Editor'!$C:$C,""),cat,XLOOKUP($D425,'Move Editor'!$B:$B,'Move Editor'!$D:$D,""),pow,XLOOKUP($D425,'Move Editor'!$B:$B,'Move Editor'!$E:$E,0),acc,XLOOKUP($D425,'Move Editor'!$B:$B,'Move Editor'!$F:$F,100),atk,IF(cat="Physical",FLOOR((FLOOR(((2*XLOOKUP(XLOOKUP($Q425,'Threshold Summary'!$Y:$Y,'Threshold Summary'!$K:$K,""),'Pokemon Editor'!$A:$A,'Pokemon Editor'!$F:$F,0)+31+FLOOR(XLOOKUP($Q425,'Threshold Summary'!$Y:$Y,'Threshold Summary'!$P:$P,"")/4))*XLOOKUP($Q425,'Threshold Summary'!$Y:$Y,'Threshold Summary'!$L:$L,""))/100)+5)*XLOOKUP(XLOOKUP($Q425,'Threshold Summary'!$Y:$Y,'Threshold Summary'!$M:$M,""),'Nature Editor'!$A:$A,'Nature Editor'!$B:$B,1)),FLOOR((FLOOR(((2*XLOOKUP(XLOOKUP($Q425,'Threshold Summary'!$Y:$Y,'Threshold Summary'!$K:$K,""),'Pokemon Editor'!$A:$A,'Pokemon Editor'!$H:$H,0)+31+FLOOR(XLOOKUP($Q425,'Threshold Summary'!$Y:$Y,'Threshold Summary'!$R:$R,"")/4))*XLOOKUP($Q425,'Threshold Summary'!$Y:$Y,'Threshold Summary'!$L:$L,""))/100)+5)*XLOOKUP(XLOOKUP($Q425,'Threshold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Editor'!$E:$E,1))),stab,IF(OR(mtype=XLOOKUP(XLOOKUP($Q425,'Threshold Summary'!$Y:$Y,'Threshold Summary'!$K:$K,""),'Pokemon Editor'!$A:$A,'Pokemon Editor'!$C:$C,""),mtype=XLOOKUP(XLOOKUP($Q425,'Threshold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Chart'!$B$1:$S$1,0)))),base,IF(OR(cat="Status",pow=0),0,FLOOR(FLOOR(FLOOR((2*XLOOKUP($Q425,'Threshold Summary'!$Y:$Y,'Threshold Summary'!$L:$L,"")/5+2)*pow*atk/def)/50)+2)),modifier,stab*eff,FLOOR(base*modifier*0.85)),0)</f>
        <v/>
      </c>
      <c r="K425" s="3">
        <f>IFERROR(LET(mtype,XLOOKUP($D425,'Move Editor'!$B:$B,'Move Editor'!$C:$C,""),cat,XLOOKUP($D425,'Move Editor'!$B:$B,'Move Editor'!$D:$D,""),pow,XLOOKUP($D425,'Move Editor'!$B:$B,'Move Editor'!$E:$E,0),acc,XLOOKUP($D425,'Move Editor'!$B:$B,'Move Editor'!$F:$F,100),atk,IF(cat="Physical",FLOOR((FLOOR(((2*XLOOKUP(XLOOKUP($Q425,'Threshold Summary'!$Y:$Y,'Threshold Summary'!$K:$K,""),'Pokemon Editor'!$A:$A,'Pokemon Editor'!$F:$F,0)+31+FLOOR(XLOOKUP($Q425,'Threshold Summary'!$Y:$Y,'Threshold Summary'!$P:$P,"")/4))*XLOOKUP($Q425,'Threshold Summary'!$Y:$Y,'Threshold Summary'!$L:$L,""))/100)+5)*XLOOKUP(XLOOKUP($Q425,'Threshold Summary'!$Y:$Y,'Threshold Summary'!$M:$M,""),'Nature Editor'!$A:$A,'Nature Editor'!$B:$B,1)),FLOOR((FLOOR(((2*XLOOKUP(XLOOKUP($Q425,'Threshold Summary'!$Y:$Y,'Threshold Summary'!$K:$K,""),'Pokemon Editor'!$A:$A,'Pokemon Editor'!$H:$H,0)+31+FLOOR(XLOOKUP($Q425,'Threshold Summary'!$Y:$Y,'Threshold Summary'!$R:$R,"")/4))*XLOOKUP($Q425,'Threshold Summary'!$Y:$Y,'Threshold Summary'!$L:$L,""))/100)+5)*XLOOKUP(XLOOKUP($Q425,'Threshold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Editor'!$E:$E,1))),stab,IF(OR(mtype=XLOOKUP(XLOOKUP($Q425,'Threshold Summary'!$Y:$Y,'Threshold Summary'!$K:$K,""),'Pokemon Editor'!$A:$A,'Pokemon Editor'!$C:$C,""),mtype=XLOOKUP(XLOOKUP($Q425,'Threshold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Chart'!$B$1:$S$1,0)))),base,IF(OR(cat="Status",pow=0),0,FLOOR(FLOOR(FLOOR((2*XLOOKUP($Q425,'Threshold Summary'!$Y:$Y,'Threshold Summary'!$L:$L,"")/5+2)*pow*atk/def)/50)+2)),modifier,stab*eff,FLOOR(base*modifier)),0)</f>
        <v/>
      </c>
      <c r="L425" s="3">
        <f>IFERROR(LET(mtype,XLOOKUP($D425,'Move Editor'!$B:$B,'Move Editor'!$C:$C,""),cat,XLOOKUP($D425,'Move Editor'!$B:$B,'Move Editor'!$D:$D,""),pow,XLOOKUP($D425,'Move Editor'!$B:$B,'Move Editor'!$E:$E,0),acc,XLOOKUP($D425,'Move Editor'!$B:$B,'Move Editor'!$F:$F,100),atk,IF(cat="Physical",FLOOR((FLOOR(((2*XLOOKUP(XLOOKUP($Q425,'Threshold Summary'!$Y:$Y,'Threshold Summary'!$K:$K,""),'Pokemon Editor'!$A:$A,'Pokemon Editor'!$F:$F,0)+31+FLOOR(XLOOKUP($Q425,'Threshold Summary'!$Y:$Y,'Threshold Summary'!$P:$P,"")/4))*XLOOKUP($Q425,'Threshold Summary'!$Y:$Y,'Threshold Summary'!$L:$L,""))/100)+5)*XLOOKUP(XLOOKUP($Q425,'Threshold Summary'!$Y:$Y,'Threshold Summary'!$M:$M,""),'Nature Editor'!$A:$A,'Nature Editor'!$B:$B,1)),FLOOR((FLOOR(((2*XLOOKUP(XLOOKUP($Q425,'Threshold Summary'!$Y:$Y,'Threshold Summary'!$K:$K,""),'Pokemon Editor'!$A:$A,'Pokemon Editor'!$H:$H,0)+31+FLOOR(XLOOKUP($Q425,'Threshold Summary'!$Y:$Y,'Threshold Summary'!$R:$R,"")/4))*XLOOKUP($Q425,'Threshold Summary'!$Y:$Y,'Threshold Summary'!$L:$L,""))/100)+5)*XLOOKUP(XLOOKUP($Q425,'Threshold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Editor'!$E:$E,1))),stab,IF(OR(mtype=XLOOKUP(XLOOKUP($Q425,'Threshold Summary'!$Y:$Y,'Threshold Summary'!$K:$K,""),'Pokemon Editor'!$A:$A,'Pokemon Editor'!$C:$C,""),mtype=XLOOKUP(XLOOKUP($Q425,'Threshold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Chart'!$B$1:$S$1,0)))),base,IF(OR(cat="Status",pow=0),0,FLOOR(FLOOR(FLOOR((2*XLOOKUP($Q425,'Threshold Summary'!$Y:$Y,'Threshold Summary'!$L:$L,"")/5+2)*pow*atk/def)/50)+2)),modifier,stab*eff,AVERAGE(ARRAYFORMULA(FLOOR(base*modifier*SEQUENCE(16,1,85,1)/100)))),0)</f>
        <v/>
      </c>
      <c r="M425" s="3">
        <f>IFERROR(LET(mtype,XLOOKUP($D425,'Move Editor'!$B:$B,'Move Editor'!$C:$C,""),cat,XLOOKUP($D425,'Move Editor'!$B:$B,'Move Editor'!$D:$D,""),pow,XLOOKUP($D425,'Move Editor'!$B:$B,'Move Editor'!$E:$E,0),acc,XLOOKUP($D425,'Move Editor'!$B:$B,'Move Editor'!$F:$F,100),atk,IF(cat="Physical",FLOOR((FLOOR(((2*XLOOKUP(XLOOKUP($Q425,'Threshold Summary'!$Y:$Y,'Threshold Summary'!$K:$K,""),'Pokemon Editor'!$A:$A,'Pokemon Editor'!$F:$F,0)+31+FLOOR(XLOOKUP($Q425,'Threshold Summary'!$Y:$Y,'Threshold Summary'!$P:$P,"")/4))*XLOOKUP($Q425,'Threshold Summary'!$Y:$Y,'Threshold Summary'!$L:$L,""))/100)+5)*XLOOKUP(XLOOKUP($Q425,'Threshold Summary'!$Y:$Y,'Threshold Summary'!$M:$M,""),'Nature Editor'!$A:$A,'Nature Editor'!$B:$B,1)),FLOOR((FLOOR(((2*XLOOKUP(XLOOKUP($Q425,'Threshold Summary'!$Y:$Y,'Threshold Summary'!$K:$K,""),'Pokemon Editor'!$A:$A,'Pokemon Editor'!$H:$H,0)+31+FLOOR(XLOOKUP($Q425,'Threshold Summary'!$Y:$Y,'Threshold Summary'!$R:$R,"")/4))*XLOOKUP($Q425,'Threshold Summary'!$Y:$Y,'Threshold Summary'!$L:$L,""))/100)+5)*XLOOKUP(XLOOKUP($Q425,'Threshold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Editor'!$E:$E,1))),stab,IF(OR(mtype=XLOOKUP(XLOOKUP($Q425,'Threshold Summary'!$Y:$Y,'Threshold Summary'!$K:$K,""),'Pokemon Editor'!$A:$A,'Pokemon Editor'!$C:$C,""),mtype=XLOOKUP(XLOOKUP($Q425,'Threshold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Chart'!$B$1:$S$1,0)))),base,IF(OR(cat="Status",pow=0),0,FLOOR(FLOOR(FLOOR((2*XLOOKUP($Q425,'Threshold Summary'!$Y:$Y,'Threshold Summary'!$L:$L,"")/5+2)*pow*atk/def)/50)+2)),modifier,stab*eff,AVERAGE(ARRAYFORMULA(FLOOR(base*modifier*SEQUENCE(16,1,85,1)/100)))*MIN(1,acc/100)),0)</f>
        <v/>
      </c>
      <c r="N425" s="4">
        <f>IFERROR(LET(mtype,XLOOKUP($D425,'Move Editor'!$B:$B,'Move Editor'!$C:$C,""),cat,XLOOKUP($D425,'Move Editor'!$B:$B,'Move Editor'!$D:$D,""),pow,XLOOKUP($D425,'Move Editor'!$B:$B,'Move Editor'!$E:$E,0),acc,XLOOKUP($D425,'Move Editor'!$B:$B,'Move Editor'!$F:$F,100),atk,IF(cat="Physical",FLOOR((FLOOR(((2*XLOOKUP(XLOOKUP($Q425,'Threshold Summary'!$Y:$Y,'Threshold Summary'!$K:$K,""),'Pokemon Editor'!$A:$A,'Pokemon Editor'!$F:$F,0)+31+FLOOR(XLOOKUP($Q425,'Threshold Summary'!$Y:$Y,'Threshold Summary'!$P:$P,"")/4))*XLOOKUP($Q425,'Threshold Summary'!$Y:$Y,'Threshold Summary'!$L:$L,""))/100)+5)*XLOOKUP(XLOOKUP($Q425,'Threshold Summary'!$Y:$Y,'Threshold Summary'!$M:$M,""),'Nature Editor'!$A:$A,'Nature Editor'!$B:$B,1)),FLOOR((FLOOR(((2*XLOOKUP(XLOOKUP($Q425,'Threshold Summary'!$Y:$Y,'Threshold Summary'!$K:$K,""),'Pokemon Editor'!$A:$A,'Pokemon Editor'!$H:$H,0)+31+FLOOR(XLOOKUP($Q425,'Threshold Summary'!$Y:$Y,'Threshold Summary'!$R:$R,"")/4))*XLOOKUP($Q425,'Threshold Summary'!$Y:$Y,'Threshold Summary'!$L:$L,""))/100)+5)*XLOOKUP(XLOOKUP($Q425,'Threshold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Editor'!$E:$E,1))),stab,IF(OR(mtype=XLOOKUP(XLOOKUP($Q425,'Threshold Summary'!$Y:$Y,'Threshold Summary'!$K:$K,""),'Pokemon Editor'!$A:$A,'Pokemon Editor'!$C:$C,""),mtype=XLOOKUP(XLOOKUP($Q425,'Threshold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Chart'!$B$1:$S$1,0)))),base,IF(OR(cat="Status",pow=0),0,FLOOR(FLOOR(FLOOR((2*XLOOKUP($Q425,'Threshold Summary'!$Y:$Y,'Threshold Summary'!$L:$L,"")/5+2)*pow*atk/def)/50)+2)),modifier,stab*eff,AVERAGE(ARRAYFORMULA(FLOOR(base*modifier*SEQUENCE(16,1,85,1)/100)))/(FLOOR(((2*XLOOKUP('Boss Editor'!$C$4,'Pokemon Editor'!$A:$A,'Pokemon Editor'!$E:$E,0)+31+FLOOR('Boss Editor'!$G$4/4))*'Boss Editor'!$D$4)/100)+'Boss Editor'!$D$4+10)),0)</f>
        <v/>
      </c>
      <c r="O425" s="3">
        <f>IF(N425&gt;=1,"OHKO",IF(N425&gt;=0.5,"2HKO",IF(N425&gt;=0.333,"3HKO",IF(N425&gt;=0.25,"4HKO","5HKO+"))))</f>
        <v/>
      </c>
      <c r="P425" s="3" t="inlineStr">
        <is>
          <t>Live from editable databases</t>
        </is>
      </c>
      <c r="Q425" s="3" t="inlineStr">
        <is>
          <t>SPECIES_BUNEARY</t>
        </is>
      </c>
      <c r="R425" s="3" t="n">
        <v>8</v>
      </c>
    </row>
    <row r="426">
      <c r="A426" s="3">
        <f>XLOOKUP($Q426,'Threshold Summary'!$Y:$Y,'Threshold Summary'!$A:$A,"")</f>
        <v/>
      </c>
      <c r="B426" s="3">
        <f>XLOOKUP($Q426,'Threshold Summary'!$Y:$Y,'Threshold Summary'!$M:$M,"")</f>
        <v/>
      </c>
      <c r="C426" s="3">
        <f>XLOOKUP($Q426,'Threshold Summary'!$Y:$Y,'Threshold Summary'!$N:$N,"")</f>
        <v/>
      </c>
      <c r="D426" s="3">
        <f>IFERROR(INDEX(FILTER('Learnset Editor'!$D$2:$D,'Learnset Editor'!$A$2:$A=XLOOKUP($Q426,'Threshold Summary'!$Y:$Y,'Threshold Summary'!$K:$K,""),'Learnset Editor'!$C$2:$C&lt;=XLOOKUP($Q426,'Threshold Summary'!$Y:$Y,'Threshold Summary'!$L:$L,"")),$R426),"")</f>
        <v/>
      </c>
      <c r="E426" s="3">
        <f>XLOOKUP(D426,'Move Editor'!$B:$B,'Move Editor'!$C:$C,"")</f>
        <v/>
      </c>
      <c r="F426" s="3">
        <f>XLOOKUP(D426,'Move Editor'!$B:$B,'Move Editor'!$D:$D,"")</f>
        <v/>
      </c>
      <c r="G426" s="3">
        <f>XLOOKUP(D426,'Move Editor'!$B:$B,'Move Editor'!$E:$E,0)</f>
        <v/>
      </c>
      <c r="H426" s="3">
        <f>XLOOKUP(D426,'Move Editor'!$B:$B,'Move Editor'!$F:$F,0)</f>
        <v/>
      </c>
      <c r="I426" s="3">
        <f>(INDEX('Type Chart'!$B:$S,MATCH(E426,'Type Chart'!$A:$A,0),MATCH(XLOOKUP('Boss Editor'!$C$4,'Pokemon Editor'!$A:$A,'Pokemon Editor'!$C:$C,""),'Type Chart'!$B$1:$S$1,0))*IF(XLOOKUP('Boss Editor'!$C$4,'Pokemon Editor'!$A:$A,'Pokemon Editor'!$D:$D,"")="",1,INDEX('Type Chart'!$B:$S,MATCH(E426,'Type Chart'!$A:$A,0),MATCH(XLOOKUP('Boss Editor'!$C$4,'Pokemon Editor'!$A:$A,'Pokemon Editor'!$D:$D,""),'Type Chart'!$B$1:$S$1,0))))</f>
        <v/>
      </c>
      <c r="J426" s="3">
        <f>IFERROR(LET(mtype,XLOOKUP($D426,'Move Editor'!$B:$B,'Move Editor'!$C:$C,""),cat,XLOOKUP($D426,'Move Editor'!$B:$B,'Move Editor'!$D:$D,""),pow,XLOOKUP($D426,'Move Editor'!$B:$B,'Move Editor'!$E:$E,0),acc,XLOOKUP($D426,'Move Editor'!$B:$B,'Move Editor'!$F:$F,100),atk,IF(cat="Physical",FLOOR((FLOOR(((2*XLOOKUP(XLOOKUP($Q426,'Threshold Summary'!$Y:$Y,'Threshold Summary'!$K:$K,""),'Pokemon Editor'!$A:$A,'Pokemon Editor'!$F:$F,0)+31+FLOOR(XLOOKUP($Q426,'Threshold Summary'!$Y:$Y,'Threshold Summary'!$P:$P,"")/4))*XLOOKUP($Q426,'Threshold Summary'!$Y:$Y,'Threshold Summary'!$L:$L,""))/100)+5)*XLOOKUP(XLOOKUP($Q426,'Threshold Summary'!$Y:$Y,'Threshold Summary'!$M:$M,""),'Nature Editor'!$A:$A,'Nature Editor'!$B:$B,1)),FLOOR((FLOOR(((2*XLOOKUP(XLOOKUP($Q426,'Threshold Summary'!$Y:$Y,'Threshold Summary'!$K:$K,""),'Pokemon Editor'!$A:$A,'Pokemon Editor'!$H:$H,0)+31+FLOOR(XLOOKUP($Q426,'Threshold Summary'!$Y:$Y,'Threshold Summary'!$R:$R,"")/4))*XLOOKUP($Q426,'Threshold Summary'!$Y:$Y,'Threshold Summary'!$L:$L,""))/100)+5)*XLOOKUP(XLOOKUP($Q426,'Threshold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Editor'!$E:$E,1))),stab,IF(OR(mtype=XLOOKUP(XLOOKUP($Q426,'Threshold Summary'!$Y:$Y,'Threshold Summary'!$K:$K,""),'Pokemon Editor'!$A:$A,'Pokemon Editor'!$C:$C,""),mtype=XLOOKUP(XLOOKUP($Q426,'Threshold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Chart'!$B$1:$S$1,0)))),base,IF(OR(cat="Status",pow=0),0,FLOOR(FLOOR(FLOOR((2*XLOOKUP($Q426,'Threshold Summary'!$Y:$Y,'Threshold Summary'!$L:$L,"")/5+2)*pow*atk/def)/50)+2)),modifier,stab*eff,FLOOR(base*modifier*0.85)),0)</f>
        <v/>
      </c>
      <c r="K426" s="3">
        <f>IFERROR(LET(mtype,XLOOKUP($D426,'Move Editor'!$B:$B,'Move Editor'!$C:$C,""),cat,XLOOKUP($D426,'Move Editor'!$B:$B,'Move Editor'!$D:$D,""),pow,XLOOKUP($D426,'Move Editor'!$B:$B,'Move Editor'!$E:$E,0),acc,XLOOKUP($D426,'Move Editor'!$B:$B,'Move Editor'!$F:$F,100),atk,IF(cat="Physical",FLOOR((FLOOR(((2*XLOOKUP(XLOOKUP($Q426,'Threshold Summary'!$Y:$Y,'Threshold Summary'!$K:$K,""),'Pokemon Editor'!$A:$A,'Pokemon Editor'!$F:$F,0)+31+FLOOR(XLOOKUP($Q426,'Threshold Summary'!$Y:$Y,'Threshold Summary'!$P:$P,"")/4))*XLOOKUP($Q426,'Threshold Summary'!$Y:$Y,'Threshold Summary'!$L:$L,""))/100)+5)*XLOOKUP(XLOOKUP($Q426,'Threshold Summary'!$Y:$Y,'Threshold Summary'!$M:$M,""),'Nature Editor'!$A:$A,'Nature Editor'!$B:$B,1)),FLOOR((FLOOR(((2*XLOOKUP(XLOOKUP($Q426,'Threshold Summary'!$Y:$Y,'Threshold Summary'!$K:$K,""),'Pokemon Editor'!$A:$A,'Pokemon Editor'!$H:$H,0)+31+FLOOR(XLOOKUP($Q426,'Threshold Summary'!$Y:$Y,'Threshold Summary'!$R:$R,"")/4))*XLOOKUP($Q426,'Threshold Summary'!$Y:$Y,'Threshold Summary'!$L:$L,""))/100)+5)*XLOOKUP(XLOOKUP($Q426,'Threshold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Editor'!$E:$E,1))),stab,IF(OR(mtype=XLOOKUP(XLOOKUP($Q426,'Threshold Summary'!$Y:$Y,'Threshold Summary'!$K:$K,""),'Pokemon Editor'!$A:$A,'Pokemon Editor'!$C:$C,""),mtype=XLOOKUP(XLOOKUP($Q426,'Threshold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Chart'!$B$1:$S$1,0)))),base,IF(OR(cat="Status",pow=0),0,FLOOR(FLOOR(FLOOR((2*XLOOKUP($Q426,'Threshold Summary'!$Y:$Y,'Threshold Summary'!$L:$L,"")/5+2)*pow*atk/def)/50)+2)),modifier,stab*eff,FLOOR(base*modifier)),0)</f>
        <v/>
      </c>
      <c r="L426" s="3">
        <f>IFERROR(LET(mtype,XLOOKUP($D426,'Move Editor'!$B:$B,'Move Editor'!$C:$C,""),cat,XLOOKUP($D426,'Move Editor'!$B:$B,'Move Editor'!$D:$D,""),pow,XLOOKUP($D426,'Move Editor'!$B:$B,'Move Editor'!$E:$E,0),acc,XLOOKUP($D426,'Move Editor'!$B:$B,'Move Editor'!$F:$F,100),atk,IF(cat="Physical",FLOOR((FLOOR(((2*XLOOKUP(XLOOKUP($Q426,'Threshold Summary'!$Y:$Y,'Threshold Summary'!$K:$K,""),'Pokemon Editor'!$A:$A,'Pokemon Editor'!$F:$F,0)+31+FLOOR(XLOOKUP($Q426,'Threshold Summary'!$Y:$Y,'Threshold Summary'!$P:$P,"")/4))*XLOOKUP($Q426,'Threshold Summary'!$Y:$Y,'Threshold Summary'!$L:$L,""))/100)+5)*XLOOKUP(XLOOKUP($Q426,'Threshold Summary'!$Y:$Y,'Threshold Summary'!$M:$M,""),'Nature Editor'!$A:$A,'Nature Editor'!$B:$B,1)),FLOOR((FLOOR(((2*XLOOKUP(XLOOKUP($Q426,'Threshold Summary'!$Y:$Y,'Threshold Summary'!$K:$K,""),'Pokemon Editor'!$A:$A,'Pokemon Editor'!$H:$H,0)+31+FLOOR(XLOOKUP($Q426,'Threshold Summary'!$Y:$Y,'Threshold Summary'!$R:$R,"")/4))*XLOOKUP($Q426,'Threshold Summary'!$Y:$Y,'Threshold Summary'!$L:$L,""))/100)+5)*XLOOKUP(XLOOKUP($Q426,'Threshold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Editor'!$E:$E,1))),stab,IF(OR(mtype=XLOOKUP(XLOOKUP($Q426,'Threshold Summary'!$Y:$Y,'Threshold Summary'!$K:$K,""),'Pokemon Editor'!$A:$A,'Pokemon Editor'!$C:$C,""),mtype=XLOOKUP(XLOOKUP($Q426,'Threshold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Chart'!$B$1:$S$1,0)))),base,IF(OR(cat="Status",pow=0),0,FLOOR(FLOOR(FLOOR((2*XLOOKUP($Q426,'Threshold Summary'!$Y:$Y,'Threshold Summary'!$L:$L,"")/5+2)*pow*atk/def)/50)+2)),modifier,stab*eff,AVERAGE(ARRAYFORMULA(FLOOR(base*modifier*SEQUENCE(16,1,85,1)/100)))),0)</f>
        <v/>
      </c>
      <c r="M426" s="3">
        <f>IFERROR(LET(mtype,XLOOKUP($D426,'Move Editor'!$B:$B,'Move Editor'!$C:$C,""),cat,XLOOKUP($D426,'Move Editor'!$B:$B,'Move Editor'!$D:$D,""),pow,XLOOKUP($D426,'Move Editor'!$B:$B,'Move Editor'!$E:$E,0),acc,XLOOKUP($D426,'Move Editor'!$B:$B,'Move Editor'!$F:$F,100),atk,IF(cat="Physical",FLOOR((FLOOR(((2*XLOOKUP(XLOOKUP($Q426,'Threshold Summary'!$Y:$Y,'Threshold Summary'!$K:$K,""),'Pokemon Editor'!$A:$A,'Pokemon Editor'!$F:$F,0)+31+FLOOR(XLOOKUP($Q426,'Threshold Summary'!$Y:$Y,'Threshold Summary'!$P:$P,"")/4))*XLOOKUP($Q426,'Threshold Summary'!$Y:$Y,'Threshold Summary'!$L:$L,""))/100)+5)*XLOOKUP(XLOOKUP($Q426,'Threshold Summary'!$Y:$Y,'Threshold Summary'!$M:$M,""),'Nature Editor'!$A:$A,'Nature Editor'!$B:$B,1)),FLOOR((FLOOR(((2*XLOOKUP(XLOOKUP($Q426,'Threshold Summary'!$Y:$Y,'Threshold Summary'!$K:$K,""),'Pokemon Editor'!$A:$A,'Pokemon Editor'!$H:$H,0)+31+FLOOR(XLOOKUP($Q426,'Threshold Summary'!$Y:$Y,'Threshold Summary'!$R:$R,"")/4))*XLOOKUP($Q426,'Threshold Summary'!$Y:$Y,'Threshold Summary'!$L:$L,""))/100)+5)*XLOOKUP(XLOOKUP($Q426,'Threshold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Editor'!$E:$E,1))),stab,IF(OR(mtype=XLOOKUP(XLOOKUP($Q426,'Threshold Summary'!$Y:$Y,'Threshold Summary'!$K:$K,""),'Pokemon Editor'!$A:$A,'Pokemon Editor'!$C:$C,""),mtype=XLOOKUP(XLOOKUP($Q426,'Threshold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Chart'!$B$1:$S$1,0)))),base,IF(OR(cat="Status",pow=0),0,FLOOR(FLOOR(FLOOR((2*XLOOKUP($Q426,'Threshold Summary'!$Y:$Y,'Threshold Summary'!$L:$L,"")/5+2)*pow*atk/def)/50)+2)),modifier,stab*eff,AVERAGE(ARRAYFORMULA(FLOOR(base*modifier*SEQUENCE(16,1,85,1)/100)))*MIN(1,acc/100)),0)</f>
        <v/>
      </c>
      <c r="N426" s="4">
        <f>IFERROR(LET(mtype,XLOOKUP($D426,'Move Editor'!$B:$B,'Move Editor'!$C:$C,""),cat,XLOOKUP($D426,'Move Editor'!$B:$B,'Move Editor'!$D:$D,""),pow,XLOOKUP($D426,'Move Editor'!$B:$B,'Move Editor'!$E:$E,0),acc,XLOOKUP($D426,'Move Editor'!$B:$B,'Move Editor'!$F:$F,100),atk,IF(cat="Physical",FLOOR((FLOOR(((2*XLOOKUP(XLOOKUP($Q426,'Threshold Summary'!$Y:$Y,'Threshold Summary'!$K:$K,""),'Pokemon Editor'!$A:$A,'Pokemon Editor'!$F:$F,0)+31+FLOOR(XLOOKUP($Q426,'Threshold Summary'!$Y:$Y,'Threshold Summary'!$P:$P,"")/4))*XLOOKUP($Q426,'Threshold Summary'!$Y:$Y,'Threshold Summary'!$L:$L,""))/100)+5)*XLOOKUP(XLOOKUP($Q426,'Threshold Summary'!$Y:$Y,'Threshold Summary'!$M:$M,""),'Nature Editor'!$A:$A,'Nature Editor'!$B:$B,1)),FLOOR((FLOOR(((2*XLOOKUP(XLOOKUP($Q426,'Threshold Summary'!$Y:$Y,'Threshold Summary'!$K:$K,""),'Pokemon Editor'!$A:$A,'Pokemon Editor'!$H:$H,0)+31+FLOOR(XLOOKUP($Q426,'Threshold Summary'!$Y:$Y,'Threshold Summary'!$R:$R,"")/4))*XLOOKUP($Q426,'Threshold Summary'!$Y:$Y,'Threshold Summary'!$L:$L,""))/100)+5)*XLOOKUP(XLOOKUP($Q426,'Threshold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Editor'!$E:$E,1))),stab,IF(OR(mtype=XLOOKUP(XLOOKUP($Q426,'Threshold Summary'!$Y:$Y,'Threshold Summary'!$K:$K,""),'Pokemon Editor'!$A:$A,'Pokemon Editor'!$C:$C,""),mtype=XLOOKUP(XLOOKUP($Q426,'Threshold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Chart'!$B$1:$S$1,0)))),base,IF(OR(cat="Status",pow=0),0,FLOOR(FLOOR(FLOOR((2*XLOOKUP($Q426,'Threshold Summary'!$Y:$Y,'Threshold Summary'!$L:$L,"")/5+2)*pow*atk/def)/50)+2)),modifier,stab*eff,AVERAGE(ARRAYFORMULA(FLOOR(base*modifier*SEQUENCE(16,1,85,1)/100)))/(FLOOR(((2*XLOOKUP('Boss Editor'!$C$4,'Pokemon Editor'!$A:$A,'Pokemon Editor'!$E:$E,0)+31+FLOOR('Boss Editor'!$G$4/4))*'Boss Editor'!$D$4)/100)+'Boss Editor'!$D$4+10)),0)</f>
        <v/>
      </c>
      <c r="O426" s="3">
        <f>IF(N426&gt;=1,"OHKO",IF(N426&gt;=0.5,"2HKO",IF(N426&gt;=0.333,"3HKO",IF(N426&gt;=0.25,"4HKO","5HKO+"))))</f>
        <v/>
      </c>
      <c r="P426" s="3" t="inlineStr">
        <is>
          <t>Live from editable databases</t>
        </is>
      </c>
      <c r="Q426" s="3" t="inlineStr">
        <is>
          <t>SPECIES_BUNEARY</t>
        </is>
      </c>
      <c r="R426" s="3" t="n">
        <v>9</v>
      </c>
    </row>
    <row r="427">
      <c r="A427" s="3">
        <f>XLOOKUP($Q427,'Threshold Summary'!$Y:$Y,'Threshold Summary'!$A:$A,"")</f>
        <v/>
      </c>
      <c r="B427" s="3">
        <f>XLOOKUP($Q427,'Threshold Summary'!$Y:$Y,'Threshold Summary'!$M:$M,"")</f>
        <v/>
      </c>
      <c r="C427" s="3">
        <f>XLOOKUP($Q427,'Threshold Summary'!$Y:$Y,'Threshold Summary'!$N:$N,"")</f>
        <v/>
      </c>
      <c r="D427" s="3">
        <f>IFERROR(INDEX(FILTER('Learnset Editor'!$D$2:$D,'Learnset Editor'!$A$2:$A=XLOOKUP($Q427,'Threshold Summary'!$Y:$Y,'Threshold Summary'!$K:$K,""),'Learnset Editor'!$C$2:$C&lt;=XLOOKUP($Q427,'Threshold Summary'!$Y:$Y,'Threshold Summary'!$L:$L,"")),$R427),"")</f>
        <v/>
      </c>
      <c r="E427" s="3">
        <f>XLOOKUP(D427,'Move Editor'!$B:$B,'Move Editor'!$C:$C,"")</f>
        <v/>
      </c>
      <c r="F427" s="3">
        <f>XLOOKUP(D427,'Move Editor'!$B:$B,'Move Editor'!$D:$D,"")</f>
        <v/>
      </c>
      <c r="G427" s="3">
        <f>XLOOKUP(D427,'Move Editor'!$B:$B,'Move Editor'!$E:$E,0)</f>
        <v/>
      </c>
      <c r="H427" s="3">
        <f>XLOOKUP(D427,'Move Editor'!$B:$B,'Move Editor'!$F:$F,0)</f>
        <v/>
      </c>
      <c r="I427" s="3">
        <f>(INDEX('Type Chart'!$B:$S,MATCH(E427,'Type Chart'!$A:$A,0),MATCH(XLOOKUP('Boss Editor'!$C$4,'Pokemon Editor'!$A:$A,'Pokemon Editor'!$C:$C,""),'Type Chart'!$B$1:$S$1,0))*IF(XLOOKUP('Boss Editor'!$C$4,'Pokemon Editor'!$A:$A,'Pokemon Editor'!$D:$D,"")="",1,INDEX('Type Chart'!$B:$S,MATCH(E427,'Type Chart'!$A:$A,0),MATCH(XLOOKUP('Boss Editor'!$C$4,'Pokemon Editor'!$A:$A,'Pokemon Editor'!$D:$D,""),'Type Chart'!$B$1:$S$1,0))))</f>
        <v/>
      </c>
      <c r="J427" s="3">
        <f>IFERROR(LET(mtype,XLOOKUP($D427,'Move Editor'!$B:$B,'Move Editor'!$C:$C,""),cat,XLOOKUP($D427,'Move Editor'!$B:$B,'Move Editor'!$D:$D,""),pow,XLOOKUP($D427,'Move Editor'!$B:$B,'Move Editor'!$E:$E,0),acc,XLOOKUP($D427,'Move Editor'!$B:$B,'Move Editor'!$F:$F,100),atk,IF(cat="Physical",FLOOR((FLOOR(((2*XLOOKUP(XLOOKUP($Q427,'Threshold Summary'!$Y:$Y,'Threshold Summary'!$K:$K,""),'Pokemon Editor'!$A:$A,'Pokemon Editor'!$F:$F,0)+31+FLOOR(XLOOKUP($Q427,'Threshold Summary'!$Y:$Y,'Threshold Summary'!$P:$P,"")/4))*XLOOKUP($Q427,'Threshold Summary'!$Y:$Y,'Threshold Summary'!$L:$L,""))/100)+5)*XLOOKUP(XLOOKUP($Q427,'Threshold Summary'!$Y:$Y,'Threshold Summary'!$M:$M,""),'Nature Editor'!$A:$A,'Nature Editor'!$B:$B,1)),FLOOR((FLOOR(((2*XLOOKUP(XLOOKUP($Q427,'Threshold Summary'!$Y:$Y,'Threshold Summary'!$K:$K,""),'Pokemon Editor'!$A:$A,'Pokemon Editor'!$H:$H,0)+31+FLOOR(XLOOKUP($Q427,'Threshold Summary'!$Y:$Y,'Threshold Summary'!$R:$R,"")/4))*XLOOKUP($Q427,'Threshold Summary'!$Y:$Y,'Threshold Summary'!$L:$L,""))/100)+5)*XLOOKUP(XLOOKUP($Q427,'Threshold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Editor'!$E:$E,1))),stab,IF(OR(mtype=XLOOKUP(XLOOKUP($Q427,'Threshold Summary'!$Y:$Y,'Threshold Summary'!$K:$K,""),'Pokemon Editor'!$A:$A,'Pokemon Editor'!$C:$C,""),mtype=XLOOKUP(XLOOKUP($Q427,'Threshold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Chart'!$B$1:$S$1,0)))),base,IF(OR(cat="Status",pow=0),0,FLOOR(FLOOR(FLOOR((2*XLOOKUP($Q427,'Threshold Summary'!$Y:$Y,'Threshold Summary'!$L:$L,"")/5+2)*pow*atk/def)/50)+2)),modifier,stab*eff,FLOOR(base*modifier*0.85)),0)</f>
        <v/>
      </c>
      <c r="K427" s="3">
        <f>IFERROR(LET(mtype,XLOOKUP($D427,'Move Editor'!$B:$B,'Move Editor'!$C:$C,""),cat,XLOOKUP($D427,'Move Editor'!$B:$B,'Move Editor'!$D:$D,""),pow,XLOOKUP($D427,'Move Editor'!$B:$B,'Move Editor'!$E:$E,0),acc,XLOOKUP($D427,'Move Editor'!$B:$B,'Move Editor'!$F:$F,100),atk,IF(cat="Physical",FLOOR((FLOOR(((2*XLOOKUP(XLOOKUP($Q427,'Threshold Summary'!$Y:$Y,'Threshold Summary'!$K:$K,""),'Pokemon Editor'!$A:$A,'Pokemon Editor'!$F:$F,0)+31+FLOOR(XLOOKUP($Q427,'Threshold Summary'!$Y:$Y,'Threshold Summary'!$P:$P,"")/4))*XLOOKUP($Q427,'Threshold Summary'!$Y:$Y,'Threshold Summary'!$L:$L,""))/100)+5)*XLOOKUP(XLOOKUP($Q427,'Threshold Summary'!$Y:$Y,'Threshold Summary'!$M:$M,""),'Nature Editor'!$A:$A,'Nature Editor'!$B:$B,1)),FLOOR((FLOOR(((2*XLOOKUP(XLOOKUP($Q427,'Threshold Summary'!$Y:$Y,'Threshold Summary'!$K:$K,""),'Pokemon Editor'!$A:$A,'Pokemon Editor'!$H:$H,0)+31+FLOOR(XLOOKUP($Q427,'Threshold Summary'!$Y:$Y,'Threshold Summary'!$R:$R,"")/4))*XLOOKUP($Q427,'Threshold Summary'!$Y:$Y,'Threshold Summary'!$L:$L,""))/100)+5)*XLOOKUP(XLOOKUP($Q427,'Threshold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Editor'!$E:$E,1))),stab,IF(OR(mtype=XLOOKUP(XLOOKUP($Q427,'Threshold Summary'!$Y:$Y,'Threshold Summary'!$K:$K,""),'Pokemon Editor'!$A:$A,'Pokemon Editor'!$C:$C,""),mtype=XLOOKUP(XLOOKUP($Q427,'Threshold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Chart'!$B$1:$S$1,0)))),base,IF(OR(cat="Status",pow=0),0,FLOOR(FLOOR(FLOOR((2*XLOOKUP($Q427,'Threshold Summary'!$Y:$Y,'Threshold Summary'!$L:$L,"")/5+2)*pow*atk/def)/50)+2)),modifier,stab*eff,FLOOR(base*modifier)),0)</f>
        <v/>
      </c>
      <c r="L427" s="3">
        <f>IFERROR(LET(mtype,XLOOKUP($D427,'Move Editor'!$B:$B,'Move Editor'!$C:$C,""),cat,XLOOKUP($D427,'Move Editor'!$B:$B,'Move Editor'!$D:$D,""),pow,XLOOKUP($D427,'Move Editor'!$B:$B,'Move Editor'!$E:$E,0),acc,XLOOKUP($D427,'Move Editor'!$B:$B,'Move Editor'!$F:$F,100),atk,IF(cat="Physical",FLOOR((FLOOR(((2*XLOOKUP(XLOOKUP($Q427,'Threshold Summary'!$Y:$Y,'Threshold Summary'!$K:$K,""),'Pokemon Editor'!$A:$A,'Pokemon Editor'!$F:$F,0)+31+FLOOR(XLOOKUP($Q427,'Threshold Summary'!$Y:$Y,'Threshold Summary'!$P:$P,"")/4))*XLOOKUP($Q427,'Threshold Summary'!$Y:$Y,'Threshold Summary'!$L:$L,""))/100)+5)*XLOOKUP(XLOOKUP($Q427,'Threshold Summary'!$Y:$Y,'Threshold Summary'!$M:$M,""),'Nature Editor'!$A:$A,'Nature Editor'!$B:$B,1)),FLOOR((FLOOR(((2*XLOOKUP(XLOOKUP($Q427,'Threshold Summary'!$Y:$Y,'Threshold Summary'!$K:$K,""),'Pokemon Editor'!$A:$A,'Pokemon Editor'!$H:$H,0)+31+FLOOR(XLOOKUP($Q427,'Threshold Summary'!$Y:$Y,'Threshold Summary'!$R:$R,"")/4))*XLOOKUP($Q427,'Threshold Summary'!$Y:$Y,'Threshold Summary'!$L:$L,""))/100)+5)*XLOOKUP(XLOOKUP($Q427,'Threshold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Editor'!$E:$E,1))),stab,IF(OR(mtype=XLOOKUP(XLOOKUP($Q427,'Threshold Summary'!$Y:$Y,'Threshold Summary'!$K:$K,""),'Pokemon Editor'!$A:$A,'Pokemon Editor'!$C:$C,""),mtype=XLOOKUP(XLOOKUP($Q427,'Threshold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Chart'!$B$1:$S$1,0)))),base,IF(OR(cat="Status",pow=0),0,FLOOR(FLOOR(FLOOR((2*XLOOKUP($Q427,'Threshold Summary'!$Y:$Y,'Threshold Summary'!$L:$L,"")/5+2)*pow*atk/def)/50)+2)),modifier,stab*eff,AVERAGE(ARRAYFORMULA(FLOOR(base*modifier*SEQUENCE(16,1,85,1)/100)))),0)</f>
        <v/>
      </c>
      <c r="M427" s="3">
        <f>IFERROR(LET(mtype,XLOOKUP($D427,'Move Editor'!$B:$B,'Move Editor'!$C:$C,""),cat,XLOOKUP($D427,'Move Editor'!$B:$B,'Move Editor'!$D:$D,""),pow,XLOOKUP($D427,'Move Editor'!$B:$B,'Move Editor'!$E:$E,0),acc,XLOOKUP($D427,'Move Editor'!$B:$B,'Move Editor'!$F:$F,100),atk,IF(cat="Physical",FLOOR((FLOOR(((2*XLOOKUP(XLOOKUP($Q427,'Threshold Summary'!$Y:$Y,'Threshold Summary'!$K:$K,""),'Pokemon Editor'!$A:$A,'Pokemon Editor'!$F:$F,0)+31+FLOOR(XLOOKUP($Q427,'Threshold Summary'!$Y:$Y,'Threshold Summary'!$P:$P,"")/4))*XLOOKUP($Q427,'Threshold Summary'!$Y:$Y,'Threshold Summary'!$L:$L,""))/100)+5)*XLOOKUP(XLOOKUP($Q427,'Threshold Summary'!$Y:$Y,'Threshold Summary'!$M:$M,""),'Nature Editor'!$A:$A,'Nature Editor'!$B:$B,1)),FLOOR((FLOOR(((2*XLOOKUP(XLOOKUP($Q427,'Threshold Summary'!$Y:$Y,'Threshold Summary'!$K:$K,""),'Pokemon Editor'!$A:$A,'Pokemon Editor'!$H:$H,0)+31+FLOOR(XLOOKUP($Q427,'Threshold Summary'!$Y:$Y,'Threshold Summary'!$R:$R,"")/4))*XLOOKUP($Q427,'Threshold Summary'!$Y:$Y,'Threshold Summary'!$L:$L,""))/100)+5)*XLOOKUP(XLOOKUP($Q427,'Threshold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Editor'!$E:$E,1))),stab,IF(OR(mtype=XLOOKUP(XLOOKUP($Q427,'Threshold Summary'!$Y:$Y,'Threshold Summary'!$K:$K,""),'Pokemon Editor'!$A:$A,'Pokemon Editor'!$C:$C,""),mtype=XLOOKUP(XLOOKUP($Q427,'Threshold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Chart'!$B$1:$S$1,0)))),base,IF(OR(cat="Status",pow=0),0,FLOOR(FLOOR(FLOOR((2*XLOOKUP($Q427,'Threshold Summary'!$Y:$Y,'Threshold Summary'!$L:$L,"")/5+2)*pow*atk/def)/50)+2)),modifier,stab*eff,AVERAGE(ARRAYFORMULA(FLOOR(base*modifier*SEQUENCE(16,1,85,1)/100)))*MIN(1,acc/100)),0)</f>
        <v/>
      </c>
      <c r="N427" s="4">
        <f>IFERROR(LET(mtype,XLOOKUP($D427,'Move Editor'!$B:$B,'Move Editor'!$C:$C,""),cat,XLOOKUP($D427,'Move Editor'!$B:$B,'Move Editor'!$D:$D,""),pow,XLOOKUP($D427,'Move Editor'!$B:$B,'Move Editor'!$E:$E,0),acc,XLOOKUP($D427,'Move Editor'!$B:$B,'Move Editor'!$F:$F,100),atk,IF(cat="Physical",FLOOR((FLOOR(((2*XLOOKUP(XLOOKUP($Q427,'Threshold Summary'!$Y:$Y,'Threshold Summary'!$K:$K,""),'Pokemon Editor'!$A:$A,'Pokemon Editor'!$F:$F,0)+31+FLOOR(XLOOKUP($Q427,'Threshold Summary'!$Y:$Y,'Threshold Summary'!$P:$P,"")/4))*XLOOKUP($Q427,'Threshold Summary'!$Y:$Y,'Threshold Summary'!$L:$L,""))/100)+5)*XLOOKUP(XLOOKUP($Q427,'Threshold Summary'!$Y:$Y,'Threshold Summary'!$M:$M,""),'Nature Editor'!$A:$A,'Nature Editor'!$B:$B,1)),FLOOR((FLOOR(((2*XLOOKUP(XLOOKUP($Q427,'Threshold Summary'!$Y:$Y,'Threshold Summary'!$K:$K,""),'Pokemon Editor'!$A:$A,'Pokemon Editor'!$H:$H,0)+31+FLOOR(XLOOKUP($Q427,'Threshold Summary'!$Y:$Y,'Threshold Summary'!$R:$R,"")/4))*XLOOKUP($Q427,'Threshold Summary'!$Y:$Y,'Threshold Summary'!$L:$L,""))/100)+5)*XLOOKUP(XLOOKUP($Q427,'Threshold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Editor'!$E:$E,1))),stab,IF(OR(mtype=XLOOKUP(XLOOKUP($Q427,'Threshold Summary'!$Y:$Y,'Threshold Summary'!$K:$K,""),'Pokemon Editor'!$A:$A,'Pokemon Editor'!$C:$C,""),mtype=XLOOKUP(XLOOKUP($Q427,'Threshold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Chart'!$B$1:$S$1,0)))),base,IF(OR(cat="Status",pow=0),0,FLOOR(FLOOR(FLOOR((2*XLOOKUP($Q427,'Threshold Summary'!$Y:$Y,'Threshold Summary'!$L:$L,"")/5+2)*pow*atk/def)/50)+2)),modifier,stab*eff,AVERAGE(ARRAYFORMULA(FLOOR(base*modifier*SEQUENCE(16,1,85,1)/100)))/(FLOOR(((2*XLOOKUP('Boss Editor'!$C$4,'Pokemon Editor'!$A:$A,'Pokemon Editor'!$E:$E,0)+31+FLOOR('Boss Editor'!$G$4/4))*'Boss Editor'!$D$4)/100)+'Boss Editor'!$D$4+10)),0)</f>
        <v/>
      </c>
      <c r="O427" s="3">
        <f>IF(N427&gt;=1,"OHKO",IF(N427&gt;=0.5,"2HKO",IF(N427&gt;=0.333,"3HKO",IF(N427&gt;=0.25,"4HKO","5HKO+"))))</f>
        <v/>
      </c>
      <c r="P427" s="3" t="inlineStr">
        <is>
          <t>Live from editable databases</t>
        </is>
      </c>
      <c r="Q427" s="3" t="inlineStr">
        <is>
          <t>SPECIES_BUNEARY</t>
        </is>
      </c>
      <c r="R427" s="3" t="n">
        <v>10</v>
      </c>
    </row>
    <row r="428">
      <c r="A428" s="3">
        <f>XLOOKUP($Q428,'Threshold Summary'!$Y:$Y,'Threshold Summary'!$A:$A,"")</f>
        <v/>
      </c>
      <c r="B428" s="3">
        <f>XLOOKUP($Q428,'Threshold Summary'!$Y:$Y,'Threshold Summary'!$M:$M,"")</f>
        <v/>
      </c>
      <c r="C428" s="3">
        <f>XLOOKUP($Q428,'Threshold Summary'!$Y:$Y,'Threshold Summary'!$N:$N,"")</f>
        <v/>
      </c>
      <c r="D428" s="3">
        <f>IFERROR(INDEX(FILTER('Learnset Editor'!$D$2:$D,'Learnset Editor'!$A$2:$A=XLOOKUP($Q428,'Threshold Summary'!$Y:$Y,'Threshold Summary'!$K:$K,""),'Learnset Editor'!$C$2:$C&lt;=XLOOKUP($Q428,'Threshold Summary'!$Y:$Y,'Threshold Summary'!$L:$L,"")),$R428),"")</f>
        <v/>
      </c>
      <c r="E428" s="3">
        <f>XLOOKUP(D428,'Move Editor'!$B:$B,'Move Editor'!$C:$C,"")</f>
        <v/>
      </c>
      <c r="F428" s="3">
        <f>XLOOKUP(D428,'Move Editor'!$B:$B,'Move Editor'!$D:$D,"")</f>
        <v/>
      </c>
      <c r="G428" s="3">
        <f>XLOOKUP(D428,'Move Editor'!$B:$B,'Move Editor'!$E:$E,0)</f>
        <v/>
      </c>
      <c r="H428" s="3">
        <f>XLOOKUP(D428,'Move Editor'!$B:$B,'Move Editor'!$F:$F,0)</f>
        <v/>
      </c>
      <c r="I428" s="3">
        <f>(INDEX('Type Chart'!$B:$S,MATCH(E428,'Type Chart'!$A:$A,0),MATCH(XLOOKUP('Boss Editor'!$C$4,'Pokemon Editor'!$A:$A,'Pokemon Editor'!$C:$C,""),'Type Chart'!$B$1:$S$1,0))*IF(XLOOKUP('Boss Editor'!$C$4,'Pokemon Editor'!$A:$A,'Pokemon Editor'!$D:$D,"")="",1,INDEX('Type Chart'!$B:$S,MATCH(E428,'Type Chart'!$A:$A,0),MATCH(XLOOKUP('Boss Editor'!$C$4,'Pokemon Editor'!$A:$A,'Pokemon Editor'!$D:$D,""),'Type Chart'!$B$1:$S$1,0))))</f>
        <v/>
      </c>
      <c r="J428" s="3">
        <f>IFERROR(LET(mtype,XLOOKUP($D428,'Move Editor'!$B:$B,'Move Editor'!$C:$C,""),cat,XLOOKUP($D428,'Move Editor'!$B:$B,'Move Editor'!$D:$D,""),pow,XLOOKUP($D428,'Move Editor'!$B:$B,'Move Editor'!$E:$E,0),acc,XLOOKUP($D428,'Move Editor'!$B:$B,'Move Editor'!$F:$F,100),atk,IF(cat="Physical",FLOOR((FLOOR(((2*XLOOKUP(XLOOKUP($Q428,'Threshold Summary'!$Y:$Y,'Threshold Summary'!$K:$K,""),'Pokemon Editor'!$A:$A,'Pokemon Editor'!$F:$F,0)+31+FLOOR(XLOOKUP($Q428,'Threshold Summary'!$Y:$Y,'Threshold Summary'!$P:$P,"")/4))*XLOOKUP($Q428,'Threshold Summary'!$Y:$Y,'Threshold Summary'!$L:$L,""))/100)+5)*XLOOKUP(XLOOKUP($Q428,'Threshold Summary'!$Y:$Y,'Threshold Summary'!$M:$M,""),'Nature Editor'!$A:$A,'Nature Editor'!$B:$B,1)),FLOOR((FLOOR(((2*XLOOKUP(XLOOKUP($Q428,'Threshold Summary'!$Y:$Y,'Threshold Summary'!$K:$K,""),'Pokemon Editor'!$A:$A,'Pokemon Editor'!$H:$H,0)+31+FLOOR(XLOOKUP($Q428,'Threshold Summary'!$Y:$Y,'Threshold Summary'!$R:$R,"")/4))*XLOOKUP($Q428,'Threshold Summary'!$Y:$Y,'Threshold Summary'!$L:$L,""))/100)+5)*XLOOKUP(XLOOKUP($Q428,'Threshold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Editor'!$E:$E,1))),stab,IF(OR(mtype=XLOOKUP(XLOOKUP($Q428,'Threshold Summary'!$Y:$Y,'Threshold Summary'!$K:$K,""),'Pokemon Editor'!$A:$A,'Pokemon Editor'!$C:$C,""),mtype=XLOOKUP(XLOOKUP($Q428,'Threshold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Chart'!$B$1:$S$1,0)))),base,IF(OR(cat="Status",pow=0),0,FLOOR(FLOOR(FLOOR((2*XLOOKUP($Q428,'Threshold Summary'!$Y:$Y,'Threshold Summary'!$L:$L,"")/5+2)*pow*atk/def)/50)+2)),modifier,stab*eff,FLOOR(base*modifier*0.85)),0)</f>
        <v/>
      </c>
      <c r="K428" s="3">
        <f>IFERROR(LET(mtype,XLOOKUP($D428,'Move Editor'!$B:$B,'Move Editor'!$C:$C,""),cat,XLOOKUP($D428,'Move Editor'!$B:$B,'Move Editor'!$D:$D,""),pow,XLOOKUP($D428,'Move Editor'!$B:$B,'Move Editor'!$E:$E,0),acc,XLOOKUP($D428,'Move Editor'!$B:$B,'Move Editor'!$F:$F,100),atk,IF(cat="Physical",FLOOR((FLOOR(((2*XLOOKUP(XLOOKUP($Q428,'Threshold Summary'!$Y:$Y,'Threshold Summary'!$K:$K,""),'Pokemon Editor'!$A:$A,'Pokemon Editor'!$F:$F,0)+31+FLOOR(XLOOKUP($Q428,'Threshold Summary'!$Y:$Y,'Threshold Summary'!$P:$P,"")/4))*XLOOKUP($Q428,'Threshold Summary'!$Y:$Y,'Threshold Summary'!$L:$L,""))/100)+5)*XLOOKUP(XLOOKUP($Q428,'Threshold Summary'!$Y:$Y,'Threshold Summary'!$M:$M,""),'Nature Editor'!$A:$A,'Nature Editor'!$B:$B,1)),FLOOR((FLOOR(((2*XLOOKUP(XLOOKUP($Q428,'Threshold Summary'!$Y:$Y,'Threshold Summary'!$K:$K,""),'Pokemon Editor'!$A:$A,'Pokemon Editor'!$H:$H,0)+31+FLOOR(XLOOKUP($Q428,'Threshold Summary'!$Y:$Y,'Threshold Summary'!$R:$R,"")/4))*XLOOKUP($Q428,'Threshold Summary'!$Y:$Y,'Threshold Summary'!$L:$L,""))/100)+5)*XLOOKUP(XLOOKUP($Q428,'Threshold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Editor'!$E:$E,1))),stab,IF(OR(mtype=XLOOKUP(XLOOKUP($Q428,'Threshold Summary'!$Y:$Y,'Threshold Summary'!$K:$K,""),'Pokemon Editor'!$A:$A,'Pokemon Editor'!$C:$C,""),mtype=XLOOKUP(XLOOKUP($Q428,'Threshold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Chart'!$B$1:$S$1,0)))),base,IF(OR(cat="Status",pow=0),0,FLOOR(FLOOR(FLOOR((2*XLOOKUP($Q428,'Threshold Summary'!$Y:$Y,'Threshold Summary'!$L:$L,"")/5+2)*pow*atk/def)/50)+2)),modifier,stab*eff,FLOOR(base*modifier)),0)</f>
        <v/>
      </c>
      <c r="L428" s="3">
        <f>IFERROR(LET(mtype,XLOOKUP($D428,'Move Editor'!$B:$B,'Move Editor'!$C:$C,""),cat,XLOOKUP($D428,'Move Editor'!$B:$B,'Move Editor'!$D:$D,""),pow,XLOOKUP($D428,'Move Editor'!$B:$B,'Move Editor'!$E:$E,0),acc,XLOOKUP($D428,'Move Editor'!$B:$B,'Move Editor'!$F:$F,100),atk,IF(cat="Physical",FLOOR((FLOOR(((2*XLOOKUP(XLOOKUP($Q428,'Threshold Summary'!$Y:$Y,'Threshold Summary'!$K:$K,""),'Pokemon Editor'!$A:$A,'Pokemon Editor'!$F:$F,0)+31+FLOOR(XLOOKUP($Q428,'Threshold Summary'!$Y:$Y,'Threshold Summary'!$P:$P,"")/4))*XLOOKUP($Q428,'Threshold Summary'!$Y:$Y,'Threshold Summary'!$L:$L,""))/100)+5)*XLOOKUP(XLOOKUP($Q428,'Threshold Summary'!$Y:$Y,'Threshold Summary'!$M:$M,""),'Nature Editor'!$A:$A,'Nature Editor'!$B:$B,1)),FLOOR((FLOOR(((2*XLOOKUP(XLOOKUP($Q428,'Threshold Summary'!$Y:$Y,'Threshold Summary'!$K:$K,""),'Pokemon Editor'!$A:$A,'Pokemon Editor'!$H:$H,0)+31+FLOOR(XLOOKUP($Q428,'Threshold Summary'!$Y:$Y,'Threshold Summary'!$R:$R,"")/4))*XLOOKUP($Q428,'Threshold Summary'!$Y:$Y,'Threshold Summary'!$L:$L,""))/100)+5)*XLOOKUP(XLOOKUP($Q428,'Threshold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Editor'!$E:$E,1))),stab,IF(OR(mtype=XLOOKUP(XLOOKUP($Q428,'Threshold Summary'!$Y:$Y,'Threshold Summary'!$K:$K,""),'Pokemon Editor'!$A:$A,'Pokemon Editor'!$C:$C,""),mtype=XLOOKUP(XLOOKUP($Q428,'Threshold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Chart'!$B$1:$S$1,0)))),base,IF(OR(cat="Status",pow=0),0,FLOOR(FLOOR(FLOOR((2*XLOOKUP($Q428,'Threshold Summary'!$Y:$Y,'Threshold Summary'!$L:$L,"")/5+2)*pow*atk/def)/50)+2)),modifier,stab*eff,AVERAGE(ARRAYFORMULA(FLOOR(base*modifier*SEQUENCE(16,1,85,1)/100)))),0)</f>
        <v/>
      </c>
      <c r="M428" s="3">
        <f>IFERROR(LET(mtype,XLOOKUP($D428,'Move Editor'!$B:$B,'Move Editor'!$C:$C,""),cat,XLOOKUP($D428,'Move Editor'!$B:$B,'Move Editor'!$D:$D,""),pow,XLOOKUP($D428,'Move Editor'!$B:$B,'Move Editor'!$E:$E,0),acc,XLOOKUP($D428,'Move Editor'!$B:$B,'Move Editor'!$F:$F,100),atk,IF(cat="Physical",FLOOR((FLOOR(((2*XLOOKUP(XLOOKUP($Q428,'Threshold Summary'!$Y:$Y,'Threshold Summary'!$K:$K,""),'Pokemon Editor'!$A:$A,'Pokemon Editor'!$F:$F,0)+31+FLOOR(XLOOKUP($Q428,'Threshold Summary'!$Y:$Y,'Threshold Summary'!$P:$P,"")/4))*XLOOKUP($Q428,'Threshold Summary'!$Y:$Y,'Threshold Summary'!$L:$L,""))/100)+5)*XLOOKUP(XLOOKUP($Q428,'Threshold Summary'!$Y:$Y,'Threshold Summary'!$M:$M,""),'Nature Editor'!$A:$A,'Nature Editor'!$B:$B,1)),FLOOR((FLOOR(((2*XLOOKUP(XLOOKUP($Q428,'Threshold Summary'!$Y:$Y,'Threshold Summary'!$K:$K,""),'Pokemon Editor'!$A:$A,'Pokemon Editor'!$H:$H,0)+31+FLOOR(XLOOKUP($Q428,'Threshold Summary'!$Y:$Y,'Threshold Summary'!$R:$R,"")/4))*XLOOKUP($Q428,'Threshold Summary'!$Y:$Y,'Threshold Summary'!$L:$L,""))/100)+5)*XLOOKUP(XLOOKUP($Q428,'Threshold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Editor'!$E:$E,1))),stab,IF(OR(mtype=XLOOKUP(XLOOKUP($Q428,'Threshold Summary'!$Y:$Y,'Threshold Summary'!$K:$K,""),'Pokemon Editor'!$A:$A,'Pokemon Editor'!$C:$C,""),mtype=XLOOKUP(XLOOKUP($Q428,'Threshold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Chart'!$B$1:$S$1,0)))),base,IF(OR(cat="Status",pow=0),0,FLOOR(FLOOR(FLOOR((2*XLOOKUP($Q428,'Threshold Summary'!$Y:$Y,'Threshold Summary'!$L:$L,"")/5+2)*pow*atk/def)/50)+2)),modifier,stab*eff,AVERAGE(ARRAYFORMULA(FLOOR(base*modifier*SEQUENCE(16,1,85,1)/100)))*MIN(1,acc/100)),0)</f>
        <v/>
      </c>
      <c r="N428" s="4">
        <f>IFERROR(LET(mtype,XLOOKUP($D428,'Move Editor'!$B:$B,'Move Editor'!$C:$C,""),cat,XLOOKUP($D428,'Move Editor'!$B:$B,'Move Editor'!$D:$D,""),pow,XLOOKUP($D428,'Move Editor'!$B:$B,'Move Editor'!$E:$E,0),acc,XLOOKUP($D428,'Move Editor'!$B:$B,'Move Editor'!$F:$F,100),atk,IF(cat="Physical",FLOOR((FLOOR(((2*XLOOKUP(XLOOKUP($Q428,'Threshold Summary'!$Y:$Y,'Threshold Summary'!$K:$K,""),'Pokemon Editor'!$A:$A,'Pokemon Editor'!$F:$F,0)+31+FLOOR(XLOOKUP($Q428,'Threshold Summary'!$Y:$Y,'Threshold Summary'!$P:$P,"")/4))*XLOOKUP($Q428,'Threshold Summary'!$Y:$Y,'Threshold Summary'!$L:$L,""))/100)+5)*XLOOKUP(XLOOKUP($Q428,'Threshold Summary'!$Y:$Y,'Threshold Summary'!$M:$M,""),'Nature Editor'!$A:$A,'Nature Editor'!$B:$B,1)),FLOOR((FLOOR(((2*XLOOKUP(XLOOKUP($Q428,'Threshold Summary'!$Y:$Y,'Threshold Summary'!$K:$K,""),'Pokemon Editor'!$A:$A,'Pokemon Editor'!$H:$H,0)+31+FLOOR(XLOOKUP($Q428,'Threshold Summary'!$Y:$Y,'Threshold Summary'!$R:$R,"")/4))*XLOOKUP($Q428,'Threshold Summary'!$Y:$Y,'Threshold Summary'!$L:$L,""))/100)+5)*XLOOKUP(XLOOKUP($Q428,'Threshold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Editor'!$E:$E,1))),stab,IF(OR(mtype=XLOOKUP(XLOOKUP($Q428,'Threshold Summary'!$Y:$Y,'Threshold Summary'!$K:$K,""),'Pokemon Editor'!$A:$A,'Pokemon Editor'!$C:$C,""),mtype=XLOOKUP(XLOOKUP($Q428,'Threshold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Chart'!$B$1:$S$1,0)))),base,IF(OR(cat="Status",pow=0),0,FLOOR(FLOOR(FLOOR((2*XLOOKUP($Q428,'Threshold Summary'!$Y:$Y,'Threshold Summary'!$L:$L,"")/5+2)*pow*atk/def)/50)+2)),modifier,stab*eff,AVERAGE(ARRAYFORMULA(FLOOR(base*modifier*SEQUENCE(16,1,85,1)/100)))/(FLOOR(((2*XLOOKUP('Boss Editor'!$C$4,'Pokemon Editor'!$A:$A,'Pokemon Editor'!$E:$E,0)+31+FLOOR('Boss Editor'!$G$4/4))*'Boss Editor'!$D$4)/100)+'Boss Editor'!$D$4+10)),0)</f>
        <v/>
      </c>
      <c r="O428" s="3">
        <f>IF(N428&gt;=1,"OHKO",IF(N428&gt;=0.5,"2HKO",IF(N428&gt;=0.333,"3HKO",IF(N428&gt;=0.25,"4HKO","5HKO+"))))</f>
        <v/>
      </c>
      <c r="P428" s="3" t="inlineStr">
        <is>
          <t>Live from editable databases</t>
        </is>
      </c>
      <c r="Q428" s="3" t="inlineStr">
        <is>
          <t>SPECIES_BUNEARY</t>
        </is>
      </c>
      <c r="R428" s="3" t="n">
        <v>11</v>
      </c>
    </row>
    <row r="429">
      <c r="A429" s="3">
        <f>XLOOKUP($Q429,'Threshold Summary'!$Y:$Y,'Threshold Summary'!$A:$A,"")</f>
        <v/>
      </c>
      <c r="B429" s="3">
        <f>XLOOKUP($Q429,'Threshold Summary'!$Y:$Y,'Threshold Summary'!$M:$M,"")</f>
        <v/>
      </c>
      <c r="C429" s="3">
        <f>XLOOKUP($Q429,'Threshold Summary'!$Y:$Y,'Threshold Summary'!$N:$N,"")</f>
        <v/>
      </c>
      <c r="D429" s="3">
        <f>IFERROR(INDEX(FILTER('Learnset Editor'!$D$2:$D,'Learnset Editor'!$A$2:$A=XLOOKUP($Q429,'Threshold Summary'!$Y:$Y,'Threshold Summary'!$K:$K,""),'Learnset Editor'!$C$2:$C&lt;=XLOOKUP($Q429,'Threshold Summary'!$Y:$Y,'Threshold Summary'!$L:$L,"")),$R429),"")</f>
        <v/>
      </c>
      <c r="E429" s="3">
        <f>XLOOKUP(D429,'Move Editor'!$B:$B,'Move Editor'!$C:$C,"")</f>
        <v/>
      </c>
      <c r="F429" s="3">
        <f>XLOOKUP(D429,'Move Editor'!$B:$B,'Move Editor'!$D:$D,"")</f>
        <v/>
      </c>
      <c r="G429" s="3">
        <f>XLOOKUP(D429,'Move Editor'!$B:$B,'Move Editor'!$E:$E,0)</f>
        <v/>
      </c>
      <c r="H429" s="3">
        <f>XLOOKUP(D429,'Move Editor'!$B:$B,'Move Editor'!$F:$F,0)</f>
        <v/>
      </c>
      <c r="I429" s="3">
        <f>(INDEX('Type Chart'!$B:$S,MATCH(E429,'Type Chart'!$A:$A,0),MATCH(XLOOKUP('Boss Editor'!$C$4,'Pokemon Editor'!$A:$A,'Pokemon Editor'!$C:$C,""),'Type Chart'!$B$1:$S$1,0))*IF(XLOOKUP('Boss Editor'!$C$4,'Pokemon Editor'!$A:$A,'Pokemon Editor'!$D:$D,"")="",1,INDEX('Type Chart'!$B:$S,MATCH(E429,'Type Chart'!$A:$A,0),MATCH(XLOOKUP('Boss Editor'!$C$4,'Pokemon Editor'!$A:$A,'Pokemon Editor'!$D:$D,""),'Type Chart'!$B$1:$S$1,0))))</f>
        <v/>
      </c>
      <c r="J429" s="3">
        <f>IFERROR(LET(mtype,XLOOKUP($D429,'Move Editor'!$B:$B,'Move Editor'!$C:$C,""),cat,XLOOKUP($D429,'Move Editor'!$B:$B,'Move Editor'!$D:$D,""),pow,XLOOKUP($D429,'Move Editor'!$B:$B,'Move Editor'!$E:$E,0),acc,XLOOKUP($D429,'Move Editor'!$B:$B,'Move Editor'!$F:$F,100),atk,IF(cat="Physical",FLOOR((FLOOR(((2*XLOOKUP(XLOOKUP($Q429,'Threshold Summary'!$Y:$Y,'Threshold Summary'!$K:$K,""),'Pokemon Editor'!$A:$A,'Pokemon Editor'!$F:$F,0)+31+FLOOR(XLOOKUP($Q429,'Threshold Summary'!$Y:$Y,'Threshold Summary'!$P:$P,"")/4))*XLOOKUP($Q429,'Threshold Summary'!$Y:$Y,'Threshold Summary'!$L:$L,""))/100)+5)*XLOOKUP(XLOOKUP($Q429,'Threshold Summary'!$Y:$Y,'Threshold Summary'!$M:$M,""),'Nature Editor'!$A:$A,'Nature Editor'!$B:$B,1)),FLOOR((FLOOR(((2*XLOOKUP(XLOOKUP($Q429,'Threshold Summary'!$Y:$Y,'Threshold Summary'!$K:$K,""),'Pokemon Editor'!$A:$A,'Pokemon Editor'!$H:$H,0)+31+FLOOR(XLOOKUP($Q429,'Threshold Summary'!$Y:$Y,'Threshold Summary'!$R:$R,"")/4))*XLOOKUP($Q429,'Threshold Summary'!$Y:$Y,'Threshold Summary'!$L:$L,""))/100)+5)*XLOOKUP(XLOOKUP($Q429,'Threshold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Editor'!$E:$E,1))),stab,IF(OR(mtype=XLOOKUP(XLOOKUP($Q429,'Threshold Summary'!$Y:$Y,'Threshold Summary'!$K:$K,""),'Pokemon Editor'!$A:$A,'Pokemon Editor'!$C:$C,""),mtype=XLOOKUP(XLOOKUP($Q429,'Threshold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Chart'!$B$1:$S$1,0)))),base,IF(OR(cat="Status",pow=0),0,FLOOR(FLOOR(FLOOR((2*XLOOKUP($Q429,'Threshold Summary'!$Y:$Y,'Threshold Summary'!$L:$L,"")/5+2)*pow*atk/def)/50)+2)),modifier,stab*eff,FLOOR(base*modifier*0.85)),0)</f>
        <v/>
      </c>
      <c r="K429" s="3">
        <f>IFERROR(LET(mtype,XLOOKUP($D429,'Move Editor'!$B:$B,'Move Editor'!$C:$C,""),cat,XLOOKUP($D429,'Move Editor'!$B:$B,'Move Editor'!$D:$D,""),pow,XLOOKUP($D429,'Move Editor'!$B:$B,'Move Editor'!$E:$E,0),acc,XLOOKUP($D429,'Move Editor'!$B:$B,'Move Editor'!$F:$F,100),atk,IF(cat="Physical",FLOOR((FLOOR(((2*XLOOKUP(XLOOKUP($Q429,'Threshold Summary'!$Y:$Y,'Threshold Summary'!$K:$K,""),'Pokemon Editor'!$A:$A,'Pokemon Editor'!$F:$F,0)+31+FLOOR(XLOOKUP($Q429,'Threshold Summary'!$Y:$Y,'Threshold Summary'!$P:$P,"")/4))*XLOOKUP($Q429,'Threshold Summary'!$Y:$Y,'Threshold Summary'!$L:$L,""))/100)+5)*XLOOKUP(XLOOKUP($Q429,'Threshold Summary'!$Y:$Y,'Threshold Summary'!$M:$M,""),'Nature Editor'!$A:$A,'Nature Editor'!$B:$B,1)),FLOOR((FLOOR(((2*XLOOKUP(XLOOKUP($Q429,'Threshold Summary'!$Y:$Y,'Threshold Summary'!$K:$K,""),'Pokemon Editor'!$A:$A,'Pokemon Editor'!$H:$H,0)+31+FLOOR(XLOOKUP($Q429,'Threshold Summary'!$Y:$Y,'Threshold Summary'!$R:$R,"")/4))*XLOOKUP($Q429,'Threshold Summary'!$Y:$Y,'Threshold Summary'!$L:$L,""))/100)+5)*XLOOKUP(XLOOKUP($Q429,'Threshold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Editor'!$E:$E,1))),stab,IF(OR(mtype=XLOOKUP(XLOOKUP($Q429,'Threshold Summary'!$Y:$Y,'Threshold Summary'!$K:$K,""),'Pokemon Editor'!$A:$A,'Pokemon Editor'!$C:$C,""),mtype=XLOOKUP(XLOOKUP($Q429,'Threshold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Chart'!$B$1:$S$1,0)))),base,IF(OR(cat="Status",pow=0),0,FLOOR(FLOOR(FLOOR((2*XLOOKUP($Q429,'Threshold Summary'!$Y:$Y,'Threshold Summary'!$L:$L,"")/5+2)*pow*atk/def)/50)+2)),modifier,stab*eff,FLOOR(base*modifier)),0)</f>
        <v/>
      </c>
      <c r="L429" s="3">
        <f>IFERROR(LET(mtype,XLOOKUP($D429,'Move Editor'!$B:$B,'Move Editor'!$C:$C,""),cat,XLOOKUP($D429,'Move Editor'!$B:$B,'Move Editor'!$D:$D,""),pow,XLOOKUP($D429,'Move Editor'!$B:$B,'Move Editor'!$E:$E,0),acc,XLOOKUP($D429,'Move Editor'!$B:$B,'Move Editor'!$F:$F,100),atk,IF(cat="Physical",FLOOR((FLOOR(((2*XLOOKUP(XLOOKUP($Q429,'Threshold Summary'!$Y:$Y,'Threshold Summary'!$K:$K,""),'Pokemon Editor'!$A:$A,'Pokemon Editor'!$F:$F,0)+31+FLOOR(XLOOKUP($Q429,'Threshold Summary'!$Y:$Y,'Threshold Summary'!$P:$P,"")/4))*XLOOKUP($Q429,'Threshold Summary'!$Y:$Y,'Threshold Summary'!$L:$L,""))/100)+5)*XLOOKUP(XLOOKUP($Q429,'Threshold Summary'!$Y:$Y,'Threshold Summary'!$M:$M,""),'Nature Editor'!$A:$A,'Nature Editor'!$B:$B,1)),FLOOR((FLOOR(((2*XLOOKUP(XLOOKUP($Q429,'Threshold Summary'!$Y:$Y,'Threshold Summary'!$K:$K,""),'Pokemon Editor'!$A:$A,'Pokemon Editor'!$H:$H,0)+31+FLOOR(XLOOKUP($Q429,'Threshold Summary'!$Y:$Y,'Threshold Summary'!$R:$R,"")/4))*XLOOKUP($Q429,'Threshold Summary'!$Y:$Y,'Threshold Summary'!$L:$L,""))/100)+5)*XLOOKUP(XLOOKUP($Q429,'Threshold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Editor'!$E:$E,1))),stab,IF(OR(mtype=XLOOKUP(XLOOKUP($Q429,'Threshold Summary'!$Y:$Y,'Threshold Summary'!$K:$K,""),'Pokemon Editor'!$A:$A,'Pokemon Editor'!$C:$C,""),mtype=XLOOKUP(XLOOKUP($Q429,'Threshold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Chart'!$B$1:$S$1,0)))),base,IF(OR(cat="Status",pow=0),0,FLOOR(FLOOR(FLOOR((2*XLOOKUP($Q429,'Threshold Summary'!$Y:$Y,'Threshold Summary'!$L:$L,"")/5+2)*pow*atk/def)/50)+2)),modifier,stab*eff,AVERAGE(ARRAYFORMULA(FLOOR(base*modifier*SEQUENCE(16,1,85,1)/100)))),0)</f>
        <v/>
      </c>
      <c r="M429" s="3">
        <f>IFERROR(LET(mtype,XLOOKUP($D429,'Move Editor'!$B:$B,'Move Editor'!$C:$C,""),cat,XLOOKUP($D429,'Move Editor'!$B:$B,'Move Editor'!$D:$D,""),pow,XLOOKUP($D429,'Move Editor'!$B:$B,'Move Editor'!$E:$E,0),acc,XLOOKUP($D429,'Move Editor'!$B:$B,'Move Editor'!$F:$F,100),atk,IF(cat="Physical",FLOOR((FLOOR(((2*XLOOKUP(XLOOKUP($Q429,'Threshold Summary'!$Y:$Y,'Threshold Summary'!$K:$K,""),'Pokemon Editor'!$A:$A,'Pokemon Editor'!$F:$F,0)+31+FLOOR(XLOOKUP($Q429,'Threshold Summary'!$Y:$Y,'Threshold Summary'!$P:$P,"")/4))*XLOOKUP($Q429,'Threshold Summary'!$Y:$Y,'Threshold Summary'!$L:$L,""))/100)+5)*XLOOKUP(XLOOKUP($Q429,'Threshold Summary'!$Y:$Y,'Threshold Summary'!$M:$M,""),'Nature Editor'!$A:$A,'Nature Editor'!$B:$B,1)),FLOOR((FLOOR(((2*XLOOKUP(XLOOKUP($Q429,'Threshold Summary'!$Y:$Y,'Threshold Summary'!$K:$K,""),'Pokemon Editor'!$A:$A,'Pokemon Editor'!$H:$H,0)+31+FLOOR(XLOOKUP($Q429,'Threshold Summary'!$Y:$Y,'Threshold Summary'!$R:$R,"")/4))*XLOOKUP($Q429,'Threshold Summary'!$Y:$Y,'Threshold Summary'!$L:$L,""))/100)+5)*XLOOKUP(XLOOKUP($Q429,'Threshold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Editor'!$E:$E,1))),stab,IF(OR(mtype=XLOOKUP(XLOOKUP($Q429,'Threshold Summary'!$Y:$Y,'Threshold Summary'!$K:$K,""),'Pokemon Editor'!$A:$A,'Pokemon Editor'!$C:$C,""),mtype=XLOOKUP(XLOOKUP($Q429,'Threshold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Chart'!$B$1:$S$1,0)))),base,IF(OR(cat="Status",pow=0),0,FLOOR(FLOOR(FLOOR((2*XLOOKUP($Q429,'Threshold Summary'!$Y:$Y,'Threshold Summary'!$L:$L,"")/5+2)*pow*atk/def)/50)+2)),modifier,stab*eff,AVERAGE(ARRAYFORMULA(FLOOR(base*modifier*SEQUENCE(16,1,85,1)/100)))*MIN(1,acc/100)),0)</f>
        <v/>
      </c>
      <c r="N429" s="4">
        <f>IFERROR(LET(mtype,XLOOKUP($D429,'Move Editor'!$B:$B,'Move Editor'!$C:$C,""),cat,XLOOKUP($D429,'Move Editor'!$B:$B,'Move Editor'!$D:$D,""),pow,XLOOKUP($D429,'Move Editor'!$B:$B,'Move Editor'!$E:$E,0),acc,XLOOKUP($D429,'Move Editor'!$B:$B,'Move Editor'!$F:$F,100),atk,IF(cat="Physical",FLOOR((FLOOR(((2*XLOOKUP(XLOOKUP($Q429,'Threshold Summary'!$Y:$Y,'Threshold Summary'!$K:$K,""),'Pokemon Editor'!$A:$A,'Pokemon Editor'!$F:$F,0)+31+FLOOR(XLOOKUP($Q429,'Threshold Summary'!$Y:$Y,'Threshold Summary'!$P:$P,"")/4))*XLOOKUP($Q429,'Threshold Summary'!$Y:$Y,'Threshold Summary'!$L:$L,""))/100)+5)*XLOOKUP(XLOOKUP($Q429,'Threshold Summary'!$Y:$Y,'Threshold Summary'!$M:$M,""),'Nature Editor'!$A:$A,'Nature Editor'!$B:$B,1)),FLOOR((FLOOR(((2*XLOOKUP(XLOOKUP($Q429,'Threshold Summary'!$Y:$Y,'Threshold Summary'!$K:$K,""),'Pokemon Editor'!$A:$A,'Pokemon Editor'!$H:$H,0)+31+FLOOR(XLOOKUP($Q429,'Threshold Summary'!$Y:$Y,'Threshold Summary'!$R:$R,"")/4))*XLOOKUP($Q429,'Threshold Summary'!$Y:$Y,'Threshold Summary'!$L:$L,""))/100)+5)*XLOOKUP(XLOOKUP($Q429,'Threshold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Editor'!$E:$E,1))),stab,IF(OR(mtype=XLOOKUP(XLOOKUP($Q429,'Threshold Summary'!$Y:$Y,'Threshold Summary'!$K:$K,""),'Pokemon Editor'!$A:$A,'Pokemon Editor'!$C:$C,""),mtype=XLOOKUP(XLOOKUP($Q429,'Threshold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Chart'!$B$1:$S$1,0)))),base,IF(OR(cat="Status",pow=0),0,FLOOR(FLOOR(FLOOR((2*XLOOKUP($Q429,'Threshold Summary'!$Y:$Y,'Threshold Summary'!$L:$L,"")/5+2)*pow*atk/def)/50)+2)),modifier,stab*eff,AVERAGE(ARRAYFORMULA(FLOOR(base*modifier*SEQUENCE(16,1,85,1)/100)))/(FLOOR(((2*XLOOKUP('Boss Editor'!$C$4,'Pokemon Editor'!$A:$A,'Pokemon Editor'!$E:$E,0)+31+FLOOR('Boss Editor'!$G$4/4))*'Boss Editor'!$D$4)/100)+'Boss Editor'!$D$4+10)),0)</f>
        <v/>
      </c>
      <c r="O429" s="3">
        <f>IF(N429&gt;=1,"OHKO",IF(N429&gt;=0.5,"2HKO",IF(N429&gt;=0.333,"3HKO",IF(N429&gt;=0.25,"4HKO","5HKO+"))))</f>
        <v/>
      </c>
      <c r="P429" s="3" t="inlineStr">
        <is>
          <t>Live from editable databases</t>
        </is>
      </c>
      <c r="Q429" s="3" t="inlineStr">
        <is>
          <t>SPECIES_BUNEARY</t>
        </is>
      </c>
      <c r="R429" s="3" t="n">
        <v>12</v>
      </c>
    </row>
    <row r="430">
      <c r="A430" s="3">
        <f>XLOOKUP($Q430,'Threshold Summary'!$Y:$Y,'Threshold Summary'!$A:$A,"")</f>
        <v/>
      </c>
      <c r="B430" s="3">
        <f>XLOOKUP($Q430,'Threshold Summary'!$Y:$Y,'Threshold Summary'!$M:$M,"")</f>
        <v/>
      </c>
      <c r="C430" s="3">
        <f>XLOOKUP($Q430,'Threshold Summary'!$Y:$Y,'Threshold Summary'!$N:$N,"")</f>
        <v/>
      </c>
      <c r="D430" s="3">
        <f>IFERROR(INDEX(FILTER('Learnset Editor'!$D$2:$D,'Learnset Editor'!$A$2:$A=XLOOKUP($Q430,'Threshold Summary'!$Y:$Y,'Threshold Summary'!$K:$K,""),'Learnset Editor'!$C$2:$C&lt;=XLOOKUP($Q430,'Threshold Summary'!$Y:$Y,'Threshold Summary'!$L:$L,"")),$R430),"")</f>
        <v/>
      </c>
      <c r="E430" s="3">
        <f>XLOOKUP(D430,'Move Editor'!$B:$B,'Move Editor'!$C:$C,"")</f>
        <v/>
      </c>
      <c r="F430" s="3">
        <f>XLOOKUP(D430,'Move Editor'!$B:$B,'Move Editor'!$D:$D,"")</f>
        <v/>
      </c>
      <c r="G430" s="3">
        <f>XLOOKUP(D430,'Move Editor'!$B:$B,'Move Editor'!$E:$E,0)</f>
        <v/>
      </c>
      <c r="H430" s="3">
        <f>XLOOKUP(D430,'Move Editor'!$B:$B,'Move Editor'!$F:$F,0)</f>
        <v/>
      </c>
      <c r="I430" s="3">
        <f>(INDEX('Type Chart'!$B:$S,MATCH(E430,'Type Chart'!$A:$A,0),MATCH(XLOOKUP('Boss Editor'!$C$4,'Pokemon Editor'!$A:$A,'Pokemon Editor'!$C:$C,""),'Type Chart'!$B$1:$S$1,0))*IF(XLOOKUP('Boss Editor'!$C$4,'Pokemon Editor'!$A:$A,'Pokemon Editor'!$D:$D,"")="",1,INDEX('Type Chart'!$B:$S,MATCH(E430,'Type Chart'!$A:$A,0),MATCH(XLOOKUP('Boss Editor'!$C$4,'Pokemon Editor'!$A:$A,'Pokemon Editor'!$D:$D,""),'Type Chart'!$B$1:$S$1,0))))</f>
        <v/>
      </c>
      <c r="J430" s="3">
        <f>IFERROR(LET(mtype,XLOOKUP($D430,'Move Editor'!$B:$B,'Move Editor'!$C:$C,""),cat,XLOOKUP($D430,'Move Editor'!$B:$B,'Move Editor'!$D:$D,""),pow,XLOOKUP($D430,'Move Editor'!$B:$B,'Move Editor'!$E:$E,0),acc,XLOOKUP($D430,'Move Editor'!$B:$B,'Move Editor'!$F:$F,100),atk,IF(cat="Physical",FLOOR((FLOOR(((2*XLOOKUP(XLOOKUP($Q430,'Threshold Summary'!$Y:$Y,'Threshold Summary'!$K:$K,""),'Pokemon Editor'!$A:$A,'Pokemon Editor'!$F:$F,0)+31+FLOOR(XLOOKUP($Q430,'Threshold Summary'!$Y:$Y,'Threshold Summary'!$P:$P,"")/4))*XLOOKUP($Q430,'Threshold Summary'!$Y:$Y,'Threshold Summary'!$L:$L,""))/100)+5)*XLOOKUP(XLOOKUP($Q430,'Threshold Summary'!$Y:$Y,'Threshold Summary'!$M:$M,""),'Nature Editor'!$A:$A,'Nature Editor'!$B:$B,1)),FLOOR((FLOOR(((2*XLOOKUP(XLOOKUP($Q430,'Threshold Summary'!$Y:$Y,'Threshold Summary'!$K:$K,""),'Pokemon Editor'!$A:$A,'Pokemon Editor'!$H:$H,0)+31+FLOOR(XLOOKUP($Q430,'Threshold Summary'!$Y:$Y,'Threshold Summary'!$R:$R,"")/4))*XLOOKUP($Q430,'Threshold Summary'!$Y:$Y,'Threshold Summary'!$L:$L,""))/100)+5)*XLOOKUP(XLOOKUP($Q430,'Threshold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Editor'!$E:$E,1))),stab,IF(OR(mtype=XLOOKUP(XLOOKUP($Q430,'Threshold Summary'!$Y:$Y,'Threshold Summary'!$K:$K,""),'Pokemon Editor'!$A:$A,'Pokemon Editor'!$C:$C,""),mtype=XLOOKUP(XLOOKUP($Q430,'Threshold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Chart'!$B$1:$S$1,0)))),base,IF(OR(cat="Status",pow=0),0,FLOOR(FLOOR(FLOOR((2*XLOOKUP($Q430,'Threshold Summary'!$Y:$Y,'Threshold Summary'!$L:$L,"")/5+2)*pow*atk/def)/50)+2)),modifier,stab*eff,FLOOR(base*modifier*0.85)),0)</f>
        <v/>
      </c>
      <c r="K430" s="3">
        <f>IFERROR(LET(mtype,XLOOKUP($D430,'Move Editor'!$B:$B,'Move Editor'!$C:$C,""),cat,XLOOKUP($D430,'Move Editor'!$B:$B,'Move Editor'!$D:$D,""),pow,XLOOKUP($D430,'Move Editor'!$B:$B,'Move Editor'!$E:$E,0),acc,XLOOKUP($D430,'Move Editor'!$B:$B,'Move Editor'!$F:$F,100),atk,IF(cat="Physical",FLOOR((FLOOR(((2*XLOOKUP(XLOOKUP($Q430,'Threshold Summary'!$Y:$Y,'Threshold Summary'!$K:$K,""),'Pokemon Editor'!$A:$A,'Pokemon Editor'!$F:$F,0)+31+FLOOR(XLOOKUP($Q430,'Threshold Summary'!$Y:$Y,'Threshold Summary'!$P:$P,"")/4))*XLOOKUP($Q430,'Threshold Summary'!$Y:$Y,'Threshold Summary'!$L:$L,""))/100)+5)*XLOOKUP(XLOOKUP($Q430,'Threshold Summary'!$Y:$Y,'Threshold Summary'!$M:$M,""),'Nature Editor'!$A:$A,'Nature Editor'!$B:$B,1)),FLOOR((FLOOR(((2*XLOOKUP(XLOOKUP($Q430,'Threshold Summary'!$Y:$Y,'Threshold Summary'!$K:$K,""),'Pokemon Editor'!$A:$A,'Pokemon Editor'!$H:$H,0)+31+FLOOR(XLOOKUP($Q430,'Threshold Summary'!$Y:$Y,'Threshold Summary'!$R:$R,"")/4))*XLOOKUP($Q430,'Threshold Summary'!$Y:$Y,'Threshold Summary'!$L:$L,""))/100)+5)*XLOOKUP(XLOOKUP($Q430,'Threshold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Editor'!$E:$E,1))),stab,IF(OR(mtype=XLOOKUP(XLOOKUP($Q430,'Threshold Summary'!$Y:$Y,'Threshold Summary'!$K:$K,""),'Pokemon Editor'!$A:$A,'Pokemon Editor'!$C:$C,""),mtype=XLOOKUP(XLOOKUP($Q430,'Threshold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Chart'!$B$1:$S$1,0)))),base,IF(OR(cat="Status",pow=0),0,FLOOR(FLOOR(FLOOR((2*XLOOKUP($Q430,'Threshold Summary'!$Y:$Y,'Threshold Summary'!$L:$L,"")/5+2)*pow*atk/def)/50)+2)),modifier,stab*eff,FLOOR(base*modifier)),0)</f>
        <v/>
      </c>
      <c r="L430" s="3">
        <f>IFERROR(LET(mtype,XLOOKUP($D430,'Move Editor'!$B:$B,'Move Editor'!$C:$C,""),cat,XLOOKUP($D430,'Move Editor'!$B:$B,'Move Editor'!$D:$D,""),pow,XLOOKUP($D430,'Move Editor'!$B:$B,'Move Editor'!$E:$E,0),acc,XLOOKUP($D430,'Move Editor'!$B:$B,'Move Editor'!$F:$F,100),atk,IF(cat="Physical",FLOOR((FLOOR(((2*XLOOKUP(XLOOKUP($Q430,'Threshold Summary'!$Y:$Y,'Threshold Summary'!$K:$K,""),'Pokemon Editor'!$A:$A,'Pokemon Editor'!$F:$F,0)+31+FLOOR(XLOOKUP($Q430,'Threshold Summary'!$Y:$Y,'Threshold Summary'!$P:$P,"")/4))*XLOOKUP($Q430,'Threshold Summary'!$Y:$Y,'Threshold Summary'!$L:$L,""))/100)+5)*XLOOKUP(XLOOKUP($Q430,'Threshold Summary'!$Y:$Y,'Threshold Summary'!$M:$M,""),'Nature Editor'!$A:$A,'Nature Editor'!$B:$B,1)),FLOOR((FLOOR(((2*XLOOKUP(XLOOKUP($Q430,'Threshold Summary'!$Y:$Y,'Threshold Summary'!$K:$K,""),'Pokemon Editor'!$A:$A,'Pokemon Editor'!$H:$H,0)+31+FLOOR(XLOOKUP($Q430,'Threshold Summary'!$Y:$Y,'Threshold Summary'!$R:$R,"")/4))*XLOOKUP($Q430,'Threshold Summary'!$Y:$Y,'Threshold Summary'!$L:$L,""))/100)+5)*XLOOKUP(XLOOKUP($Q430,'Threshold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Editor'!$E:$E,1))),stab,IF(OR(mtype=XLOOKUP(XLOOKUP($Q430,'Threshold Summary'!$Y:$Y,'Threshold Summary'!$K:$K,""),'Pokemon Editor'!$A:$A,'Pokemon Editor'!$C:$C,""),mtype=XLOOKUP(XLOOKUP($Q430,'Threshold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Chart'!$B$1:$S$1,0)))),base,IF(OR(cat="Status",pow=0),0,FLOOR(FLOOR(FLOOR((2*XLOOKUP($Q430,'Threshold Summary'!$Y:$Y,'Threshold Summary'!$L:$L,"")/5+2)*pow*atk/def)/50)+2)),modifier,stab*eff,AVERAGE(ARRAYFORMULA(FLOOR(base*modifier*SEQUENCE(16,1,85,1)/100)))),0)</f>
        <v/>
      </c>
      <c r="M430" s="3">
        <f>IFERROR(LET(mtype,XLOOKUP($D430,'Move Editor'!$B:$B,'Move Editor'!$C:$C,""),cat,XLOOKUP($D430,'Move Editor'!$B:$B,'Move Editor'!$D:$D,""),pow,XLOOKUP($D430,'Move Editor'!$B:$B,'Move Editor'!$E:$E,0),acc,XLOOKUP($D430,'Move Editor'!$B:$B,'Move Editor'!$F:$F,100),atk,IF(cat="Physical",FLOOR((FLOOR(((2*XLOOKUP(XLOOKUP($Q430,'Threshold Summary'!$Y:$Y,'Threshold Summary'!$K:$K,""),'Pokemon Editor'!$A:$A,'Pokemon Editor'!$F:$F,0)+31+FLOOR(XLOOKUP($Q430,'Threshold Summary'!$Y:$Y,'Threshold Summary'!$P:$P,"")/4))*XLOOKUP($Q430,'Threshold Summary'!$Y:$Y,'Threshold Summary'!$L:$L,""))/100)+5)*XLOOKUP(XLOOKUP($Q430,'Threshold Summary'!$Y:$Y,'Threshold Summary'!$M:$M,""),'Nature Editor'!$A:$A,'Nature Editor'!$B:$B,1)),FLOOR((FLOOR(((2*XLOOKUP(XLOOKUP($Q430,'Threshold Summary'!$Y:$Y,'Threshold Summary'!$K:$K,""),'Pokemon Editor'!$A:$A,'Pokemon Editor'!$H:$H,0)+31+FLOOR(XLOOKUP($Q430,'Threshold Summary'!$Y:$Y,'Threshold Summary'!$R:$R,"")/4))*XLOOKUP($Q430,'Threshold Summary'!$Y:$Y,'Threshold Summary'!$L:$L,""))/100)+5)*XLOOKUP(XLOOKUP($Q430,'Threshold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Editor'!$E:$E,1))),stab,IF(OR(mtype=XLOOKUP(XLOOKUP($Q430,'Threshold Summary'!$Y:$Y,'Threshold Summary'!$K:$K,""),'Pokemon Editor'!$A:$A,'Pokemon Editor'!$C:$C,""),mtype=XLOOKUP(XLOOKUP($Q430,'Threshold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Chart'!$B$1:$S$1,0)))),base,IF(OR(cat="Status",pow=0),0,FLOOR(FLOOR(FLOOR((2*XLOOKUP($Q430,'Threshold Summary'!$Y:$Y,'Threshold Summary'!$L:$L,"")/5+2)*pow*atk/def)/50)+2)),modifier,stab*eff,AVERAGE(ARRAYFORMULA(FLOOR(base*modifier*SEQUENCE(16,1,85,1)/100)))*MIN(1,acc/100)),0)</f>
        <v/>
      </c>
      <c r="N430" s="4">
        <f>IFERROR(LET(mtype,XLOOKUP($D430,'Move Editor'!$B:$B,'Move Editor'!$C:$C,""),cat,XLOOKUP($D430,'Move Editor'!$B:$B,'Move Editor'!$D:$D,""),pow,XLOOKUP($D430,'Move Editor'!$B:$B,'Move Editor'!$E:$E,0),acc,XLOOKUP($D430,'Move Editor'!$B:$B,'Move Editor'!$F:$F,100),atk,IF(cat="Physical",FLOOR((FLOOR(((2*XLOOKUP(XLOOKUP($Q430,'Threshold Summary'!$Y:$Y,'Threshold Summary'!$K:$K,""),'Pokemon Editor'!$A:$A,'Pokemon Editor'!$F:$F,0)+31+FLOOR(XLOOKUP($Q430,'Threshold Summary'!$Y:$Y,'Threshold Summary'!$P:$P,"")/4))*XLOOKUP($Q430,'Threshold Summary'!$Y:$Y,'Threshold Summary'!$L:$L,""))/100)+5)*XLOOKUP(XLOOKUP($Q430,'Threshold Summary'!$Y:$Y,'Threshold Summary'!$M:$M,""),'Nature Editor'!$A:$A,'Nature Editor'!$B:$B,1)),FLOOR((FLOOR(((2*XLOOKUP(XLOOKUP($Q430,'Threshold Summary'!$Y:$Y,'Threshold Summary'!$K:$K,""),'Pokemon Editor'!$A:$A,'Pokemon Editor'!$H:$H,0)+31+FLOOR(XLOOKUP($Q430,'Threshold Summary'!$Y:$Y,'Threshold Summary'!$R:$R,"")/4))*XLOOKUP($Q430,'Threshold Summary'!$Y:$Y,'Threshold Summary'!$L:$L,""))/100)+5)*XLOOKUP(XLOOKUP($Q430,'Threshold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Editor'!$E:$E,1))),stab,IF(OR(mtype=XLOOKUP(XLOOKUP($Q430,'Threshold Summary'!$Y:$Y,'Threshold Summary'!$K:$K,""),'Pokemon Editor'!$A:$A,'Pokemon Editor'!$C:$C,""),mtype=XLOOKUP(XLOOKUP($Q430,'Threshold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Chart'!$B$1:$S$1,0)))),base,IF(OR(cat="Status",pow=0),0,FLOOR(FLOOR(FLOOR((2*XLOOKUP($Q430,'Threshold Summary'!$Y:$Y,'Threshold Summary'!$L:$L,"")/5+2)*pow*atk/def)/50)+2)),modifier,stab*eff,AVERAGE(ARRAYFORMULA(FLOOR(base*modifier*SEQUENCE(16,1,85,1)/100)))/(FLOOR(((2*XLOOKUP('Boss Editor'!$C$4,'Pokemon Editor'!$A:$A,'Pokemon Editor'!$E:$E,0)+31+FLOOR('Boss Editor'!$G$4/4))*'Boss Editor'!$D$4)/100)+'Boss Editor'!$D$4+10)),0)</f>
        <v/>
      </c>
      <c r="O430" s="3">
        <f>IF(N430&gt;=1,"OHKO",IF(N430&gt;=0.5,"2HKO",IF(N430&gt;=0.333,"3HKO",IF(N430&gt;=0.25,"4HKO","5HKO+"))))</f>
        <v/>
      </c>
      <c r="P430" s="3" t="inlineStr">
        <is>
          <t>Live from editable databases</t>
        </is>
      </c>
      <c r="Q430" s="3" t="inlineStr">
        <is>
          <t>SPECIES_BUNEARY</t>
        </is>
      </c>
      <c r="R430" s="3" t="n">
        <v>13</v>
      </c>
    </row>
    <row r="431">
      <c r="A431" s="3">
        <f>XLOOKUP($Q431,'Threshold Summary'!$Y:$Y,'Threshold Summary'!$A:$A,"")</f>
        <v/>
      </c>
      <c r="B431" s="3">
        <f>XLOOKUP($Q431,'Threshold Summary'!$Y:$Y,'Threshold Summary'!$M:$M,"")</f>
        <v/>
      </c>
      <c r="C431" s="3">
        <f>XLOOKUP($Q431,'Threshold Summary'!$Y:$Y,'Threshold Summary'!$N:$N,"")</f>
        <v/>
      </c>
      <c r="D431" s="3">
        <f>IFERROR(INDEX(FILTER('Learnset Editor'!$D$2:$D,'Learnset Editor'!$A$2:$A=XLOOKUP($Q431,'Threshold Summary'!$Y:$Y,'Threshold Summary'!$K:$K,""),'Learnset Editor'!$C$2:$C&lt;=XLOOKUP($Q431,'Threshold Summary'!$Y:$Y,'Threshold Summary'!$L:$L,"")),$R431),"")</f>
        <v/>
      </c>
      <c r="E431" s="3">
        <f>XLOOKUP(D431,'Move Editor'!$B:$B,'Move Editor'!$C:$C,"")</f>
        <v/>
      </c>
      <c r="F431" s="3">
        <f>XLOOKUP(D431,'Move Editor'!$B:$B,'Move Editor'!$D:$D,"")</f>
        <v/>
      </c>
      <c r="G431" s="3">
        <f>XLOOKUP(D431,'Move Editor'!$B:$B,'Move Editor'!$E:$E,0)</f>
        <v/>
      </c>
      <c r="H431" s="3">
        <f>XLOOKUP(D431,'Move Editor'!$B:$B,'Move Editor'!$F:$F,0)</f>
        <v/>
      </c>
      <c r="I431" s="3">
        <f>(INDEX('Type Chart'!$B:$S,MATCH(E431,'Type Chart'!$A:$A,0),MATCH(XLOOKUP('Boss Editor'!$C$4,'Pokemon Editor'!$A:$A,'Pokemon Editor'!$C:$C,""),'Type Chart'!$B$1:$S$1,0))*IF(XLOOKUP('Boss Editor'!$C$4,'Pokemon Editor'!$A:$A,'Pokemon Editor'!$D:$D,"")="",1,INDEX('Type Chart'!$B:$S,MATCH(E431,'Type Chart'!$A:$A,0),MATCH(XLOOKUP('Boss Editor'!$C$4,'Pokemon Editor'!$A:$A,'Pokemon Editor'!$D:$D,""),'Type Chart'!$B$1:$S$1,0))))</f>
        <v/>
      </c>
      <c r="J431" s="3">
        <f>IFERROR(LET(mtype,XLOOKUP($D431,'Move Editor'!$B:$B,'Move Editor'!$C:$C,""),cat,XLOOKUP($D431,'Move Editor'!$B:$B,'Move Editor'!$D:$D,""),pow,XLOOKUP($D431,'Move Editor'!$B:$B,'Move Editor'!$E:$E,0),acc,XLOOKUP($D431,'Move Editor'!$B:$B,'Move Editor'!$F:$F,100),atk,IF(cat="Physical",FLOOR((FLOOR(((2*XLOOKUP(XLOOKUP($Q431,'Threshold Summary'!$Y:$Y,'Threshold Summary'!$K:$K,""),'Pokemon Editor'!$A:$A,'Pokemon Editor'!$F:$F,0)+31+FLOOR(XLOOKUP($Q431,'Threshold Summary'!$Y:$Y,'Threshold Summary'!$P:$P,"")/4))*XLOOKUP($Q431,'Threshold Summary'!$Y:$Y,'Threshold Summary'!$L:$L,""))/100)+5)*XLOOKUP(XLOOKUP($Q431,'Threshold Summary'!$Y:$Y,'Threshold Summary'!$M:$M,""),'Nature Editor'!$A:$A,'Nature Editor'!$B:$B,1)),FLOOR((FLOOR(((2*XLOOKUP(XLOOKUP($Q431,'Threshold Summary'!$Y:$Y,'Threshold Summary'!$K:$K,""),'Pokemon Editor'!$A:$A,'Pokemon Editor'!$H:$H,0)+31+FLOOR(XLOOKUP($Q431,'Threshold Summary'!$Y:$Y,'Threshold Summary'!$R:$R,"")/4))*XLOOKUP($Q431,'Threshold Summary'!$Y:$Y,'Threshold Summary'!$L:$L,""))/100)+5)*XLOOKUP(XLOOKUP($Q431,'Threshold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Editor'!$E:$E,1))),stab,IF(OR(mtype=XLOOKUP(XLOOKUP($Q431,'Threshold Summary'!$Y:$Y,'Threshold Summary'!$K:$K,""),'Pokemon Editor'!$A:$A,'Pokemon Editor'!$C:$C,""),mtype=XLOOKUP(XLOOKUP($Q431,'Threshold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Chart'!$B$1:$S$1,0)))),base,IF(OR(cat="Status",pow=0),0,FLOOR(FLOOR(FLOOR((2*XLOOKUP($Q431,'Threshold Summary'!$Y:$Y,'Threshold Summary'!$L:$L,"")/5+2)*pow*atk/def)/50)+2)),modifier,stab*eff,FLOOR(base*modifier*0.85)),0)</f>
        <v/>
      </c>
      <c r="K431" s="3">
        <f>IFERROR(LET(mtype,XLOOKUP($D431,'Move Editor'!$B:$B,'Move Editor'!$C:$C,""),cat,XLOOKUP($D431,'Move Editor'!$B:$B,'Move Editor'!$D:$D,""),pow,XLOOKUP($D431,'Move Editor'!$B:$B,'Move Editor'!$E:$E,0),acc,XLOOKUP($D431,'Move Editor'!$B:$B,'Move Editor'!$F:$F,100),atk,IF(cat="Physical",FLOOR((FLOOR(((2*XLOOKUP(XLOOKUP($Q431,'Threshold Summary'!$Y:$Y,'Threshold Summary'!$K:$K,""),'Pokemon Editor'!$A:$A,'Pokemon Editor'!$F:$F,0)+31+FLOOR(XLOOKUP($Q431,'Threshold Summary'!$Y:$Y,'Threshold Summary'!$P:$P,"")/4))*XLOOKUP($Q431,'Threshold Summary'!$Y:$Y,'Threshold Summary'!$L:$L,""))/100)+5)*XLOOKUP(XLOOKUP($Q431,'Threshold Summary'!$Y:$Y,'Threshold Summary'!$M:$M,""),'Nature Editor'!$A:$A,'Nature Editor'!$B:$B,1)),FLOOR((FLOOR(((2*XLOOKUP(XLOOKUP($Q431,'Threshold Summary'!$Y:$Y,'Threshold Summary'!$K:$K,""),'Pokemon Editor'!$A:$A,'Pokemon Editor'!$H:$H,0)+31+FLOOR(XLOOKUP($Q431,'Threshold Summary'!$Y:$Y,'Threshold Summary'!$R:$R,"")/4))*XLOOKUP($Q431,'Threshold Summary'!$Y:$Y,'Threshold Summary'!$L:$L,""))/100)+5)*XLOOKUP(XLOOKUP($Q431,'Threshold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Editor'!$E:$E,1))),stab,IF(OR(mtype=XLOOKUP(XLOOKUP($Q431,'Threshold Summary'!$Y:$Y,'Threshold Summary'!$K:$K,""),'Pokemon Editor'!$A:$A,'Pokemon Editor'!$C:$C,""),mtype=XLOOKUP(XLOOKUP($Q431,'Threshold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Chart'!$B$1:$S$1,0)))),base,IF(OR(cat="Status",pow=0),0,FLOOR(FLOOR(FLOOR((2*XLOOKUP($Q431,'Threshold Summary'!$Y:$Y,'Threshold Summary'!$L:$L,"")/5+2)*pow*atk/def)/50)+2)),modifier,stab*eff,FLOOR(base*modifier)),0)</f>
        <v/>
      </c>
      <c r="L431" s="3">
        <f>IFERROR(LET(mtype,XLOOKUP($D431,'Move Editor'!$B:$B,'Move Editor'!$C:$C,""),cat,XLOOKUP($D431,'Move Editor'!$B:$B,'Move Editor'!$D:$D,""),pow,XLOOKUP($D431,'Move Editor'!$B:$B,'Move Editor'!$E:$E,0),acc,XLOOKUP($D431,'Move Editor'!$B:$B,'Move Editor'!$F:$F,100),atk,IF(cat="Physical",FLOOR((FLOOR(((2*XLOOKUP(XLOOKUP($Q431,'Threshold Summary'!$Y:$Y,'Threshold Summary'!$K:$K,""),'Pokemon Editor'!$A:$A,'Pokemon Editor'!$F:$F,0)+31+FLOOR(XLOOKUP($Q431,'Threshold Summary'!$Y:$Y,'Threshold Summary'!$P:$P,"")/4))*XLOOKUP($Q431,'Threshold Summary'!$Y:$Y,'Threshold Summary'!$L:$L,""))/100)+5)*XLOOKUP(XLOOKUP($Q431,'Threshold Summary'!$Y:$Y,'Threshold Summary'!$M:$M,""),'Nature Editor'!$A:$A,'Nature Editor'!$B:$B,1)),FLOOR((FLOOR(((2*XLOOKUP(XLOOKUP($Q431,'Threshold Summary'!$Y:$Y,'Threshold Summary'!$K:$K,""),'Pokemon Editor'!$A:$A,'Pokemon Editor'!$H:$H,0)+31+FLOOR(XLOOKUP($Q431,'Threshold Summary'!$Y:$Y,'Threshold Summary'!$R:$R,"")/4))*XLOOKUP($Q431,'Threshold Summary'!$Y:$Y,'Threshold Summary'!$L:$L,""))/100)+5)*XLOOKUP(XLOOKUP($Q431,'Threshold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Editor'!$E:$E,1))),stab,IF(OR(mtype=XLOOKUP(XLOOKUP($Q431,'Threshold Summary'!$Y:$Y,'Threshold Summary'!$K:$K,""),'Pokemon Editor'!$A:$A,'Pokemon Editor'!$C:$C,""),mtype=XLOOKUP(XLOOKUP($Q431,'Threshold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Chart'!$B$1:$S$1,0)))),base,IF(OR(cat="Status",pow=0),0,FLOOR(FLOOR(FLOOR((2*XLOOKUP($Q431,'Threshold Summary'!$Y:$Y,'Threshold Summary'!$L:$L,"")/5+2)*pow*atk/def)/50)+2)),modifier,stab*eff,AVERAGE(ARRAYFORMULA(FLOOR(base*modifier*SEQUENCE(16,1,85,1)/100)))),0)</f>
        <v/>
      </c>
      <c r="M431" s="3">
        <f>IFERROR(LET(mtype,XLOOKUP($D431,'Move Editor'!$B:$B,'Move Editor'!$C:$C,""),cat,XLOOKUP($D431,'Move Editor'!$B:$B,'Move Editor'!$D:$D,""),pow,XLOOKUP($D431,'Move Editor'!$B:$B,'Move Editor'!$E:$E,0),acc,XLOOKUP($D431,'Move Editor'!$B:$B,'Move Editor'!$F:$F,100),atk,IF(cat="Physical",FLOOR((FLOOR(((2*XLOOKUP(XLOOKUP($Q431,'Threshold Summary'!$Y:$Y,'Threshold Summary'!$K:$K,""),'Pokemon Editor'!$A:$A,'Pokemon Editor'!$F:$F,0)+31+FLOOR(XLOOKUP($Q431,'Threshold Summary'!$Y:$Y,'Threshold Summary'!$P:$P,"")/4))*XLOOKUP($Q431,'Threshold Summary'!$Y:$Y,'Threshold Summary'!$L:$L,""))/100)+5)*XLOOKUP(XLOOKUP($Q431,'Threshold Summary'!$Y:$Y,'Threshold Summary'!$M:$M,""),'Nature Editor'!$A:$A,'Nature Editor'!$B:$B,1)),FLOOR((FLOOR(((2*XLOOKUP(XLOOKUP($Q431,'Threshold Summary'!$Y:$Y,'Threshold Summary'!$K:$K,""),'Pokemon Editor'!$A:$A,'Pokemon Editor'!$H:$H,0)+31+FLOOR(XLOOKUP($Q431,'Threshold Summary'!$Y:$Y,'Threshold Summary'!$R:$R,"")/4))*XLOOKUP($Q431,'Threshold Summary'!$Y:$Y,'Threshold Summary'!$L:$L,""))/100)+5)*XLOOKUP(XLOOKUP($Q431,'Threshold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Editor'!$E:$E,1))),stab,IF(OR(mtype=XLOOKUP(XLOOKUP($Q431,'Threshold Summary'!$Y:$Y,'Threshold Summary'!$K:$K,""),'Pokemon Editor'!$A:$A,'Pokemon Editor'!$C:$C,""),mtype=XLOOKUP(XLOOKUP($Q431,'Threshold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Chart'!$B$1:$S$1,0)))),base,IF(OR(cat="Status",pow=0),0,FLOOR(FLOOR(FLOOR((2*XLOOKUP($Q431,'Threshold Summary'!$Y:$Y,'Threshold Summary'!$L:$L,"")/5+2)*pow*atk/def)/50)+2)),modifier,stab*eff,AVERAGE(ARRAYFORMULA(FLOOR(base*modifier*SEQUENCE(16,1,85,1)/100)))*MIN(1,acc/100)),0)</f>
        <v/>
      </c>
      <c r="N431" s="4">
        <f>IFERROR(LET(mtype,XLOOKUP($D431,'Move Editor'!$B:$B,'Move Editor'!$C:$C,""),cat,XLOOKUP($D431,'Move Editor'!$B:$B,'Move Editor'!$D:$D,""),pow,XLOOKUP($D431,'Move Editor'!$B:$B,'Move Editor'!$E:$E,0),acc,XLOOKUP($D431,'Move Editor'!$B:$B,'Move Editor'!$F:$F,100),atk,IF(cat="Physical",FLOOR((FLOOR(((2*XLOOKUP(XLOOKUP($Q431,'Threshold Summary'!$Y:$Y,'Threshold Summary'!$K:$K,""),'Pokemon Editor'!$A:$A,'Pokemon Editor'!$F:$F,0)+31+FLOOR(XLOOKUP($Q431,'Threshold Summary'!$Y:$Y,'Threshold Summary'!$P:$P,"")/4))*XLOOKUP($Q431,'Threshold Summary'!$Y:$Y,'Threshold Summary'!$L:$L,""))/100)+5)*XLOOKUP(XLOOKUP($Q431,'Threshold Summary'!$Y:$Y,'Threshold Summary'!$M:$M,""),'Nature Editor'!$A:$A,'Nature Editor'!$B:$B,1)),FLOOR((FLOOR(((2*XLOOKUP(XLOOKUP($Q431,'Threshold Summary'!$Y:$Y,'Threshold Summary'!$K:$K,""),'Pokemon Editor'!$A:$A,'Pokemon Editor'!$H:$H,0)+31+FLOOR(XLOOKUP($Q431,'Threshold Summary'!$Y:$Y,'Threshold Summary'!$R:$R,"")/4))*XLOOKUP($Q431,'Threshold Summary'!$Y:$Y,'Threshold Summary'!$L:$L,""))/100)+5)*XLOOKUP(XLOOKUP($Q431,'Threshold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Editor'!$E:$E,1))),stab,IF(OR(mtype=XLOOKUP(XLOOKUP($Q431,'Threshold Summary'!$Y:$Y,'Threshold Summary'!$K:$K,""),'Pokemon Editor'!$A:$A,'Pokemon Editor'!$C:$C,""),mtype=XLOOKUP(XLOOKUP($Q431,'Threshold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Chart'!$B$1:$S$1,0)))),base,IF(OR(cat="Status",pow=0),0,FLOOR(FLOOR(FLOOR((2*XLOOKUP($Q431,'Threshold Summary'!$Y:$Y,'Threshold Summary'!$L:$L,"")/5+2)*pow*atk/def)/50)+2)),modifier,stab*eff,AVERAGE(ARRAYFORMULA(FLOOR(base*modifier*SEQUENCE(16,1,85,1)/100)))/(FLOOR(((2*XLOOKUP('Boss Editor'!$C$4,'Pokemon Editor'!$A:$A,'Pokemon Editor'!$E:$E,0)+31+FLOOR('Boss Editor'!$G$4/4))*'Boss Editor'!$D$4)/100)+'Boss Editor'!$D$4+10)),0)</f>
        <v/>
      </c>
      <c r="O431" s="3">
        <f>IF(N431&gt;=1,"OHKO",IF(N431&gt;=0.5,"2HKO",IF(N431&gt;=0.333,"3HKO",IF(N431&gt;=0.25,"4HKO","5HKO+"))))</f>
        <v/>
      </c>
      <c r="P431" s="3" t="inlineStr">
        <is>
          <t>Live from editable databases</t>
        </is>
      </c>
      <c r="Q431" s="3" t="inlineStr">
        <is>
          <t>SPECIES_BUNEARY</t>
        </is>
      </c>
      <c r="R431" s="3" t="n">
        <v>14</v>
      </c>
    </row>
    <row r="432">
      <c r="A432" s="3">
        <f>XLOOKUP($Q432,'Threshold Summary'!$Y:$Y,'Threshold Summary'!$A:$A,"")</f>
        <v/>
      </c>
      <c r="B432" s="3">
        <f>XLOOKUP($Q432,'Threshold Summary'!$Y:$Y,'Threshold Summary'!$M:$M,"")</f>
        <v/>
      </c>
      <c r="C432" s="3">
        <f>XLOOKUP($Q432,'Threshold Summary'!$Y:$Y,'Threshold Summary'!$N:$N,"")</f>
        <v/>
      </c>
      <c r="D432" s="3">
        <f>IFERROR(INDEX(FILTER('Learnset Editor'!$D$2:$D,'Learnset Editor'!$A$2:$A=XLOOKUP($Q432,'Threshold Summary'!$Y:$Y,'Threshold Summary'!$K:$K,""),'Learnset Editor'!$C$2:$C&lt;=XLOOKUP($Q432,'Threshold Summary'!$Y:$Y,'Threshold Summary'!$L:$L,"")),$R432),"")</f>
        <v/>
      </c>
      <c r="E432" s="3">
        <f>XLOOKUP(D432,'Move Editor'!$B:$B,'Move Editor'!$C:$C,"")</f>
        <v/>
      </c>
      <c r="F432" s="3">
        <f>XLOOKUP(D432,'Move Editor'!$B:$B,'Move Editor'!$D:$D,"")</f>
        <v/>
      </c>
      <c r="G432" s="3">
        <f>XLOOKUP(D432,'Move Editor'!$B:$B,'Move Editor'!$E:$E,0)</f>
        <v/>
      </c>
      <c r="H432" s="3">
        <f>XLOOKUP(D432,'Move Editor'!$B:$B,'Move Editor'!$F:$F,0)</f>
        <v/>
      </c>
      <c r="I432" s="3">
        <f>(INDEX('Type Chart'!$B:$S,MATCH(E432,'Type Chart'!$A:$A,0),MATCH(XLOOKUP('Boss Editor'!$C$4,'Pokemon Editor'!$A:$A,'Pokemon Editor'!$C:$C,""),'Type Chart'!$B$1:$S$1,0))*IF(XLOOKUP('Boss Editor'!$C$4,'Pokemon Editor'!$A:$A,'Pokemon Editor'!$D:$D,"")="",1,INDEX('Type Chart'!$B:$S,MATCH(E432,'Type Chart'!$A:$A,0),MATCH(XLOOKUP('Boss Editor'!$C$4,'Pokemon Editor'!$A:$A,'Pokemon Editor'!$D:$D,""),'Type Chart'!$B$1:$S$1,0))))</f>
        <v/>
      </c>
      <c r="J432" s="3">
        <f>IFERROR(LET(mtype,XLOOKUP($D432,'Move Editor'!$B:$B,'Move Editor'!$C:$C,""),cat,XLOOKUP($D432,'Move Editor'!$B:$B,'Move Editor'!$D:$D,""),pow,XLOOKUP($D432,'Move Editor'!$B:$B,'Move Editor'!$E:$E,0),acc,XLOOKUP($D432,'Move Editor'!$B:$B,'Move Editor'!$F:$F,100),atk,IF(cat="Physical",FLOOR((FLOOR(((2*XLOOKUP(XLOOKUP($Q432,'Threshold Summary'!$Y:$Y,'Threshold Summary'!$K:$K,""),'Pokemon Editor'!$A:$A,'Pokemon Editor'!$F:$F,0)+31+FLOOR(XLOOKUP($Q432,'Threshold Summary'!$Y:$Y,'Threshold Summary'!$P:$P,"")/4))*XLOOKUP($Q432,'Threshold Summary'!$Y:$Y,'Threshold Summary'!$L:$L,""))/100)+5)*XLOOKUP(XLOOKUP($Q432,'Threshold Summary'!$Y:$Y,'Threshold Summary'!$M:$M,""),'Nature Editor'!$A:$A,'Nature Editor'!$B:$B,1)),FLOOR((FLOOR(((2*XLOOKUP(XLOOKUP($Q432,'Threshold Summary'!$Y:$Y,'Threshold Summary'!$K:$K,""),'Pokemon Editor'!$A:$A,'Pokemon Editor'!$H:$H,0)+31+FLOOR(XLOOKUP($Q432,'Threshold Summary'!$Y:$Y,'Threshold Summary'!$R:$R,"")/4))*XLOOKUP($Q432,'Threshold Summary'!$Y:$Y,'Threshold Summary'!$L:$L,""))/100)+5)*XLOOKUP(XLOOKUP($Q432,'Threshold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Editor'!$E:$E,1))),stab,IF(OR(mtype=XLOOKUP(XLOOKUP($Q432,'Threshold Summary'!$Y:$Y,'Threshold Summary'!$K:$K,""),'Pokemon Editor'!$A:$A,'Pokemon Editor'!$C:$C,""),mtype=XLOOKUP(XLOOKUP($Q432,'Threshold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Chart'!$B$1:$S$1,0)))),base,IF(OR(cat="Status",pow=0),0,FLOOR(FLOOR(FLOOR((2*XLOOKUP($Q432,'Threshold Summary'!$Y:$Y,'Threshold Summary'!$L:$L,"")/5+2)*pow*atk/def)/50)+2)),modifier,stab*eff,FLOOR(base*modifier*0.85)),0)</f>
        <v/>
      </c>
      <c r="K432" s="3">
        <f>IFERROR(LET(mtype,XLOOKUP($D432,'Move Editor'!$B:$B,'Move Editor'!$C:$C,""),cat,XLOOKUP($D432,'Move Editor'!$B:$B,'Move Editor'!$D:$D,""),pow,XLOOKUP($D432,'Move Editor'!$B:$B,'Move Editor'!$E:$E,0),acc,XLOOKUP($D432,'Move Editor'!$B:$B,'Move Editor'!$F:$F,100),atk,IF(cat="Physical",FLOOR((FLOOR(((2*XLOOKUP(XLOOKUP($Q432,'Threshold Summary'!$Y:$Y,'Threshold Summary'!$K:$K,""),'Pokemon Editor'!$A:$A,'Pokemon Editor'!$F:$F,0)+31+FLOOR(XLOOKUP($Q432,'Threshold Summary'!$Y:$Y,'Threshold Summary'!$P:$P,"")/4))*XLOOKUP($Q432,'Threshold Summary'!$Y:$Y,'Threshold Summary'!$L:$L,""))/100)+5)*XLOOKUP(XLOOKUP($Q432,'Threshold Summary'!$Y:$Y,'Threshold Summary'!$M:$M,""),'Nature Editor'!$A:$A,'Nature Editor'!$B:$B,1)),FLOOR((FLOOR(((2*XLOOKUP(XLOOKUP($Q432,'Threshold Summary'!$Y:$Y,'Threshold Summary'!$K:$K,""),'Pokemon Editor'!$A:$A,'Pokemon Editor'!$H:$H,0)+31+FLOOR(XLOOKUP($Q432,'Threshold Summary'!$Y:$Y,'Threshold Summary'!$R:$R,"")/4))*XLOOKUP($Q432,'Threshold Summary'!$Y:$Y,'Threshold Summary'!$L:$L,""))/100)+5)*XLOOKUP(XLOOKUP($Q432,'Threshold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Editor'!$E:$E,1))),stab,IF(OR(mtype=XLOOKUP(XLOOKUP($Q432,'Threshold Summary'!$Y:$Y,'Threshold Summary'!$K:$K,""),'Pokemon Editor'!$A:$A,'Pokemon Editor'!$C:$C,""),mtype=XLOOKUP(XLOOKUP($Q432,'Threshold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Chart'!$B$1:$S$1,0)))),base,IF(OR(cat="Status",pow=0),0,FLOOR(FLOOR(FLOOR((2*XLOOKUP($Q432,'Threshold Summary'!$Y:$Y,'Threshold Summary'!$L:$L,"")/5+2)*pow*atk/def)/50)+2)),modifier,stab*eff,FLOOR(base*modifier)),0)</f>
        <v/>
      </c>
      <c r="L432" s="3">
        <f>IFERROR(LET(mtype,XLOOKUP($D432,'Move Editor'!$B:$B,'Move Editor'!$C:$C,""),cat,XLOOKUP($D432,'Move Editor'!$B:$B,'Move Editor'!$D:$D,""),pow,XLOOKUP($D432,'Move Editor'!$B:$B,'Move Editor'!$E:$E,0),acc,XLOOKUP($D432,'Move Editor'!$B:$B,'Move Editor'!$F:$F,100),atk,IF(cat="Physical",FLOOR((FLOOR(((2*XLOOKUP(XLOOKUP($Q432,'Threshold Summary'!$Y:$Y,'Threshold Summary'!$K:$K,""),'Pokemon Editor'!$A:$A,'Pokemon Editor'!$F:$F,0)+31+FLOOR(XLOOKUP($Q432,'Threshold Summary'!$Y:$Y,'Threshold Summary'!$P:$P,"")/4))*XLOOKUP($Q432,'Threshold Summary'!$Y:$Y,'Threshold Summary'!$L:$L,""))/100)+5)*XLOOKUP(XLOOKUP($Q432,'Threshold Summary'!$Y:$Y,'Threshold Summary'!$M:$M,""),'Nature Editor'!$A:$A,'Nature Editor'!$B:$B,1)),FLOOR((FLOOR(((2*XLOOKUP(XLOOKUP($Q432,'Threshold Summary'!$Y:$Y,'Threshold Summary'!$K:$K,""),'Pokemon Editor'!$A:$A,'Pokemon Editor'!$H:$H,0)+31+FLOOR(XLOOKUP($Q432,'Threshold Summary'!$Y:$Y,'Threshold Summary'!$R:$R,"")/4))*XLOOKUP($Q432,'Threshold Summary'!$Y:$Y,'Threshold Summary'!$L:$L,""))/100)+5)*XLOOKUP(XLOOKUP($Q432,'Threshold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Editor'!$E:$E,1))),stab,IF(OR(mtype=XLOOKUP(XLOOKUP($Q432,'Threshold Summary'!$Y:$Y,'Threshold Summary'!$K:$K,""),'Pokemon Editor'!$A:$A,'Pokemon Editor'!$C:$C,""),mtype=XLOOKUP(XLOOKUP($Q432,'Threshold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Chart'!$B$1:$S$1,0)))),base,IF(OR(cat="Status",pow=0),0,FLOOR(FLOOR(FLOOR((2*XLOOKUP($Q432,'Threshold Summary'!$Y:$Y,'Threshold Summary'!$L:$L,"")/5+2)*pow*atk/def)/50)+2)),modifier,stab*eff,AVERAGE(ARRAYFORMULA(FLOOR(base*modifier*SEQUENCE(16,1,85,1)/100)))),0)</f>
        <v/>
      </c>
      <c r="M432" s="3">
        <f>IFERROR(LET(mtype,XLOOKUP($D432,'Move Editor'!$B:$B,'Move Editor'!$C:$C,""),cat,XLOOKUP($D432,'Move Editor'!$B:$B,'Move Editor'!$D:$D,""),pow,XLOOKUP($D432,'Move Editor'!$B:$B,'Move Editor'!$E:$E,0),acc,XLOOKUP($D432,'Move Editor'!$B:$B,'Move Editor'!$F:$F,100),atk,IF(cat="Physical",FLOOR((FLOOR(((2*XLOOKUP(XLOOKUP($Q432,'Threshold Summary'!$Y:$Y,'Threshold Summary'!$K:$K,""),'Pokemon Editor'!$A:$A,'Pokemon Editor'!$F:$F,0)+31+FLOOR(XLOOKUP($Q432,'Threshold Summary'!$Y:$Y,'Threshold Summary'!$P:$P,"")/4))*XLOOKUP($Q432,'Threshold Summary'!$Y:$Y,'Threshold Summary'!$L:$L,""))/100)+5)*XLOOKUP(XLOOKUP($Q432,'Threshold Summary'!$Y:$Y,'Threshold Summary'!$M:$M,""),'Nature Editor'!$A:$A,'Nature Editor'!$B:$B,1)),FLOOR((FLOOR(((2*XLOOKUP(XLOOKUP($Q432,'Threshold Summary'!$Y:$Y,'Threshold Summary'!$K:$K,""),'Pokemon Editor'!$A:$A,'Pokemon Editor'!$H:$H,0)+31+FLOOR(XLOOKUP($Q432,'Threshold Summary'!$Y:$Y,'Threshold Summary'!$R:$R,"")/4))*XLOOKUP($Q432,'Threshold Summary'!$Y:$Y,'Threshold Summary'!$L:$L,""))/100)+5)*XLOOKUP(XLOOKUP($Q432,'Threshold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Editor'!$E:$E,1))),stab,IF(OR(mtype=XLOOKUP(XLOOKUP($Q432,'Threshold Summary'!$Y:$Y,'Threshold Summary'!$K:$K,""),'Pokemon Editor'!$A:$A,'Pokemon Editor'!$C:$C,""),mtype=XLOOKUP(XLOOKUP($Q432,'Threshold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Chart'!$B$1:$S$1,0)))),base,IF(OR(cat="Status",pow=0),0,FLOOR(FLOOR(FLOOR((2*XLOOKUP($Q432,'Threshold Summary'!$Y:$Y,'Threshold Summary'!$L:$L,"")/5+2)*pow*atk/def)/50)+2)),modifier,stab*eff,AVERAGE(ARRAYFORMULA(FLOOR(base*modifier*SEQUENCE(16,1,85,1)/100)))*MIN(1,acc/100)),0)</f>
        <v/>
      </c>
      <c r="N432" s="4">
        <f>IFERROR(LET(mtype,XLOOKUP($D432,'Move Editor'!$B:$B,'Move Editor'!$C:$C,""),cat,XLOOKUP($D432,'Move Editor'!$B:$B,'Move Editor'!$D:$D,""),pow,XLOOKUP($D432,'Move Editor'!$B:$B,'Move Editor'!$E:$E,0),acc,XLOOKUP($D432,'Move Editor'!$B:$B,'Move Editor'!$F:$F,100),atk,IF(cat="Physical",FLOOR((FLOOR(((2*XLOOKUP(XLOOKUP($Q432,'Threshold Summary'!$Y:$Y,'Threshold Summary'!$K:$K,""),'Pokemon Editor'!$A:$A,'Pokemon Editor'!$F:$F,0)+31+FLOOR(XLOOKUP($Q432,'Threshold Summary'!$Y:$Y,'Threshold Summary'!$P:$P,"")/4))*XLOOKUP($Q432,'Threshold Summary'!$Y:$Y,'Threshold Summary'!$L:$L,""))/100)+5)*XLOOKUP(XLOOKUP($Q432,'Threshold Summary'!$Y:$Y,'Threshold Summary'!$M:$M,""),'Nature Editor'!$A:$A,'Nature Editor'!$B:$B,1)),FLOOR((FLOOR(((2*XLOOKUP(XLOOKUP($Q432,'Threshold Summary'!$Y:$Y,'Threshold Summary'!$K:$K,""),'Pokemon Editor'!$A:$A,'Pokemon Editor'!$H:$H,0)+31+FLOOR(XLOOKUP($Q432,'Threshold Summary'!$Y:$Y,'Threshold Summary'!$R:$R,"")/4))*XLOOKUP($Q432,'Threshold Summary'!$Y:$Y,'Threshold Summary'!$L:$L,""))/100)+5)*XLOOKUP(XLOOKUP($Q432,'Threshold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Editor'!$E:$E,1))),stab,IF(OR(mtype=XLOOKUP(XLOOKUP($Q432,'Threshold Summary'!$Y:$Y,'Threshold Summary'!$K:$K,""),'Pokemon Editor'!$A:$A,'Pokemon Editor'!$C:$C,""),mtype=XLOOKUP(XLOOKUP($Q432,'Threshold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Chart'!$B$1:$S$1,0)))),base,IF(OR(cat="Status",pow=0),0,FLOOR(FLOOR(FLOOR((2*XLOOKUP($Q432,'Threshold Summary'!$Y:$Y,'Threshold Summary'!$L:$L,"")/5+2)*pow*atk/def)/50)+2)),modifier,stab*eff,AVERAGE(ARRAYFORMULA(FLOOR(base*modifier*SEQUENCE(16,1,85,1)/100)))/(FLOOR(((2*XLOOKUP('Boss Editor'!$C$4,'Pokemon Editor'!$A:$A,'Pokemon Editor'!$E:$E,0)+31+FLOOR('Boss Editor'!$G$4/4))*'Boss Editor'!$D$4)/100)+'Boss Editor'!$D$4+10)),0)</f>
        <v/>
      </c>
      <c r="O432" s="3">
        <f>IF(N432&gt;=1,"OHKO",IF(N432&gt;=0.5,"2HKO",IF(N432&gt;=0.333,"3HKO",IF(N432&gt;=0.25,"4HKO","5HKO+"))))</f>
        <v/>
      </c>
      <c r="P432" s="3" t="inlineStr">
        <is>
          <t>Live from editable databases</t>
        </is>
      </c>
      <c r="Q432" s="3" t="inlineStr">
        <is>
          <t>SPECIES_BUNEARY</t>
        </is>
      </c>
      <c r="R432" s="3" t="n">
        <v>15</v>
      </c>
    </row>
    <row r="433">
      <c r="A433" s="3">
        <f>XLOOKUP($Q433,'Threshold Summary'!$Y:$Y,'Threshold Summary'!$A:$A,"")</f>
        <v/>
      </c>
      <c r="B433" s="3">
        <f>XLOOKUP($Q433,'Threshold Summary'!$Y:$Y,'Threshold Summary'!$M:$M,"")</f>
        <v/>
      </c>
      <c r="C433" s="3">
        <f>XLOOKUP($Q433,'Threshold Summary'!$Y:$Y,'Threshold Summary'!$N:$N,"")</f>
        <v/>
      </c>
      <c r="D433" s="3">
        <f>IFERROR(INDEX(FILTER('Learnset Editor'!$D$2:$D,'Learnset Editor'!$A$2:$A=XLOOKUP($Q433,'Threshold Summary'!$Y:$Y,'Threshold Summary'!$K:$K,""),'Learnset Editor'!$C$2:$C&lt;=XLOOKUP($Q433,'Threshold Summary'!$Y:$Y,'Threshold Summary'!$L:$L,"")),$R433),"")</f>
        <v/>
      </c>
      <c r="E433" s="3">
        <f>XLOOKUP(D433,'Move Editor'!$B:$B,'Move Editor'!$C:$C,"")</f>
        <v/>
      </c>
      <c r="F433" s="3">
        <f>XLOOKUP(D433,'Move Editor'!$B:$B,'Move Editor'!$D:$D,"")</f>
        <v/>
      </c>
      <c r="G433" s="3">
        <f>XLOOKUP(D433,'Move Editor'!$B:$B,'Move Editor'!$E:$E,0)</f>
        <v/>
      </c>
      <c r="H433" s="3">
        <f>XLOOKUP(D433,'Move Editor'!$B:$B,'Move Editor'!$F:$F,0)</f>
        <v/>
      </c>
      <c r="I433" s="3">
        <f>(INDEX('Type Chart'!$B:$S,MATCH(E433,'Type Chart'!$A:$A,0),MATCH(XLOOKUP('Boss Editor'!$C$4,'Pokemon Editor'!$A:$A,'Pokemon Editor'!$C:$C,""),'Type Chart'!$B$1:$S$1,0))*IF(XLOOKUP('Boss Editor'!$C$4,'Pokemon Editor'!$A:$A,'Pokemon Editor'!$D:$D,"")="",1,INDEX('Type Chart'!$B:$S,MATCH(E433,'Type Chart'!$A:$A,0),MATCH(XLOOKUP('Boss Editor'!$C$4,'Pokemon Editor'!$A:$A,'Pokemon Editor'!$D:$D,""),'Type Chart'!$B$1:$S$1,0))))</f>
        <v/>
      </c>
      <c r="J433" s="3">
        <f>IFERROR(LET(mtype,XLOOKUP($D433,'Move Editor'!$B:$B,'Move Editor'!$C:$C,""),cat,XLOOKUP($D433,'Move Editor'!$B:$B,'Move Editor'!$D:$D,""),pow,XLOOKUP($D433,'Move Editor'!$B:$B,'Move Editor'!$E:$E,0),acc,XLOOKUP($D433,'Move Editor'!$B:$B,'Move Editor'!$F:$F,100),atk,IF(cat="Physical",FLOOR((FLOOR(((2*XLOOKUP(XLOOKUP($Q433,'Threshold Summary'!$Y:$Y,'Threshold Summary'!$K:$K,""),'Pokemon Editor'!$A:$A,'Pokemon Editor'!$F:$F,0)+31+FLOOR(XLOOKUP($Q433,'Threshold Summary'!$Y:$Y,'Threshold Summary'!$P:$P,"")/4))*XLOOKUP($Q433,'Threshold Summary'!$Y:$Y,'Threshold Summary'!$L:$L,""))/100)+5)*XLOOKUP(XLOOKUP($Q433,'Threshold Summary'!$Y:$Y,'Threshold Summary'!$M:$M,""),'Nature Editor'!$A:$A,'Nature Editor'!$B:$B,1)),FLOOR((FLOOR(((2*XLOOKUP(XLOOKUP($Q433,'Threshold Summary'!$Y:$Y,'Threshold Summary'!$K:$K,""),'Pokemon Editor'!$A:$A,'Pokemon Editor'!$H:$H,0)+31+FLOOR(XLOOKUP($Q433,'Threshold Summary'!$Y:$Y,'Threshold Summary'!$R:$R,"")/4))*XLOOKUP($Q433,'Threshold Summary'!$Y:$Y,'Threshold Summary'!$L:$L,""))/100)+5)*XLOOKUP(XLOOKUP($Q433,'Threshold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Editor'!$E:$E,1))),stab,IF(OR(mtype=XLOOKUP(XLOOKUP($Q433,'Threshold Summary'!$Y:$Y,'Threshold Summary'!$K:$K,""),'Pokemon Editor'!$A:$A,'Pokemon Editor'!$C:$C,""),mtype=XLOOKUP(XLOOKUP($Q433,'Threshold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Chart'!$B$1:$S$1,0)))),base,IF(OR(cat="Status",pow=0),0,FLOOR(FLOOR(FLOOR((2*XLOOKUP($Q433,'Threshold Summary'!$Y:$Y,'Threshold Summary'!$L:$L,"")/5+2)*pow*atk/def)/50)+2)),modifier,stab*eff,FLOOR(base*modifier*0.85)),0)</f>
        <v/>
      </c>
      <c r="K433" s="3">
        <f>IFERROR(LET(mtype,XLOOKUP($D433,'Move Editor'!$B:$B,'Move Editor'!$C:$C,""),cat,XLOOKUP($D433,'Move Editor'!$B:$B,'Move Editor'!$D:$D,""),pow,XLOOKUP($D433,'Move Editor'!$B:$B,'Move Editor'!$E:$E,0),acc,XLOOKUP($D433,'Move Editor'!$B:$B,'Move Editor'!$F:$F,100),atk,IF(cat="Physical",FLOOR((FLOOR(((2*XLOOKUP(XLOOKUP($Q433,'Threshold Summary'!$Y:$Y,'Threshold Summary'!$K:$K,""),'Pokemon Editor'!$A:$A,'Pokemon Editor'!$F:$F,0)+31+FLOOR(XLOOKUP($Q433,'Threshold Summary'!$Y:$Y,'Threshold Summary'!$P:$P,"")/4))*XLOOKUP($Q433,'Threshold Summary'!$Y:$Y,'Threshold Summary'!$L:$L,""))/100)+5)*XLOOKUP(XLOOKUP($Q433,'Threshold Summary'!$Y:$Y,'Threshold Summary'!$M:$M,""),'Nature Editor'!$A:$A,'Nature Editor'!$B:$B,1)),FLOOR((FLOOR(((2*XLOOKUP(XLOOKUP($Q433,'Threshold Summary'!$Y:$Y,'Threshold Summary'!$K:$K,""),'Pokemon Editor'!$A:$A,'Pokemon Editor'!$H:$H,0)+31+FLOOR(XLOOKUP($Q433,'Threshold Summary'!$Y:$Y,'Threshold Summary'!$R:$R,"")/4))*XLOOKUP($Q433,'Threshold Summary'!$Y:$Y,'Threshold Summary'!$L:$L,""))/100)+5)*XLOOKUP(XLOOKUP($Q433,'Threshold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Editor'!$E:$E,1))),stab,IF(OR(mtype=XLOOKUP(XLOOKUP($Q433,'Threshold Summary'!$Y:$Y,'Threshold Summary'!$K:$K,""),'Pokemon Editor'!$A:$A,'Pokemon Editor'!$C:$C,""),mtype=XLOOKUP(XLOOKUP($Q433,'Threshold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Chart'!$B$1:$S$1,0)))),base,IF(OR(cat="Status",pow=0),0,FLOOR(FLOOR(FLOOR((2*XLOOKUP($Q433,'Threshold Summary'!$Y:$Y,'Threshold Summary'!$L:$L,"")/5+2)*pow*atk/def)/50)+2)),modifier,stab*eff,FLOOR(base*modifier)),0)</f>
        <v/>
      </c>
      <c r="L433" s="3">
        <f>IFERROR(LET(mtype,XLOOKUP($D433,'Move Editor'!$B:$B,'Move Editor'!$C:$C,""),cat,XLOOKUP($D433,'Move Editor'!$B:$B,'Move Editor'!$D:$D,""),pow,XLOOKUP($D433,'Move Editor'!$B:$B,'Move Editor'!$E:$E,0),acc,XLOOKUP($D433,'Move Editor'!$B:$B,'Move Editor'!$F:$F,100),atk,IF(cat="Physical",FLOOR((FLOOR(((2*XLOOKUP(XLOOKUP($Q433,'Threshold Summary'!$Y:$Y,'Threshold Summary'!$K:$K,""),'Pokemon Editor'!$A:$A,'Pokemon Editor'!$F:$F,0)+31+FLOOR(XLOOKUP($Q433,'Threshold Summary'!$Y:$Y,'Threshold Summary'!$P:$P,"")/4))*XLOOKUP($Q433,'Threshold Summary'!$Y:$Y,'Threshold Summary'!$L:$L,""))/100)+5)*XLOOKUP(XLOOKUP($Q433,'Threshold Summary'!$Y:$Y,'Threshold Summary'!$M:$M,""),'Nature Editor'!$A:$A,'Nature Editor'!$B:$B,1)),FLOOR((FLOOR(((2*XLOOKUP(XLOOKUP($Q433,'Threshold Summary'!$Y:$Y,'Threshold Summary'!$K:$K,""),'Pokemon Editor'!$A:$A,'Pokemon Editor'!$H:$H,0)+31+FLOOR(XLOOKUP($Q433,'Threshold Summary'!$Y:$Y,'Threshold Summary'!$R:$R,"")/4))*XLOOKUP($Q433,'Threshold Summary'!$Y:$Y,'Threshold Summary'!$L:$L,""))/100)+5)*XLOOKUP(XLOOKUP($Q433,'Threshold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Editor'!$E:$E,1))),stab,IF(OR(mtype=XLOOKUP(XLOOKUP($Q433,'Threshold Summary'!$Y:$Y,'Threshold Summary'!$K:$K,""),'Pokemon Editor'!$A:$A,'Pokemon Editor'!$C:$C,""),mtype=XLOOKUP(XLOOKUP($Q433,'Threshold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Chart'!$B$1:$S$1,0)))),base,IF(OR(cat="Status",pow=0),0,FLOOR(FLOOR(FLOOR((2*XLOOKUP($Q433,'Threshold Summary'!$Y:$Y,'Threshold Summary'!$L:$L,"")/5+2)*pow*atk/def)/50)+2)),modifier,stab*eff,AVERAGE(ARRAYFORMULA(FLOOR(base*modifier*SEQUENCE(16,1,85,1)/100)))),0)</f>
        <v/>
      </c>
      <c r="M433" s="3">
        <f>IFERROR(LET(mtype,XLOOKUP($D433,'Move Editor'!$B:$B,'Move Editor'!$C:$C,""),cat,XLOOKUP($D433,'Move Editor'!$B:$B,'Move Editor'!$D:$D,""),pow,XLOOKUP($D433,'Move Editor'!$B:$B,'Move Editor'!$E:$E,0),acc,XLOOKUP($D433,'Move Editor'!$B:$B,'Move Editor'!$F:$F,100),atk,IF(cat="Physical",FLOOR((FLOOR(((2*XLOOKUP(XLOOKUP($Q433,'Threshold Summary'!$Y:$Y,'Threshold Summary'!$K:$K,""),'Pokemon Editor'!$A:$A,'Pokemon Editor'!$F:$F,0)+31+FLOOR(XLOOKUP($Q433,'Threshold Summary'!$Y:$Y,'Threshold Summary'!$P:$P,"")/4))*XLOOKUP($Q433,'Threshold Summary'!$Y:$Y,'Threshold Summary'!$L:$L,""))/100)+5)*XLOOKUP(XLOOKUP($Q433,'Threshold Summary'!$Y:$Y,'Threshold Summary'!$M:$M,""),'Nature Editor'!$A:$A,'Nature Editor'!$B:$B,1)),FLOOR((FLOOR(((2*XLOOKUP(XLOOKUP($Q433,'Threshold Summary'!$Y:$Y,'Threshold Summary'!$K:$K,""),'Pokemon Editor'!$A:$A,'Pokemon Editor'!$H:$H,0)+31+FLOOR(XLOOKUP($Q433,'Threshold Summary'!$Y:$Y,'Threshold Summary'!$R:$R,"")/4))*XLOOKUP($Q433,'Threshold Summary'!$Y:$Y,'Threshold Summary'!$L:$L,""))/100)+5)*XLOOKUP(XLOOKUP($Q433,'Threshold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Editor'!$E:$E,1))),stab,IF(OR(mtype=XLOOKUP(XLOOKUP($Q433,'Threshold Summary'!$Y:$Y,'Threshold Summary'!$K:$K,""),'Pokemon Editor'!$A:$A,'Pokemon Editor'!$C:$C,""),mtype=XLOOKUP(XLOOKUP($Q433,'Threshold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Chart'!$B$1:$S$1,0)))),base,IF(OR(cat="Status",pow=0),0,FLOOR(FLOOR(FLOOR((2*XLOOKUP($Q433,'Threshold Summary'!$Y:$Y,'Threshold Summary'!$L:$L,"")/5+2)*pow*atk/def)/50)+2)),modifier,stab*eff,AVERAGE(ARRAYFORMULA(FLOOR(base*modifier*SEQUENCE(16,1,85,1)/100)))*MIN(1,acc/100)),0)</f>
        <v/>
      </c>
      <c r="N433" s="4">
        <f>IFERROR(LET(mtype,XLOOKUP($D433,'Move Editor'!$B:$B,'Move Editor'!$C:$C,""),cat,XLOOKUP($D433,'Move Editor'!$B:$B,'Move Editor'!$D:$D,""),pow,XLOOKUP($D433,'Move Editor'!$B:$B,'Move Editor'!$E:$E,0),acc,XLOOKUP($D433,'Move Editor'!$B:$B,'Move Editor'!$F:$F,100),atk,IF(cat="Physical",FLOOR((FLOOR(((2*XLOOKUP(XLOOKUP($Q433,'Threshold Summary'!$Y:$Y,'Threshold Summary'!$K:$K,""),'Pokemon Editor'!$A:$A,'Pokemon Editor'!$F:$F,0)+31+FLOOR(XLOOKUP($Q433,'Threshold Summary'!$Y:$Y,'Threshold Summary'!$P:$P,"")/4))*XLOOKUP($Q433,'Threshold Summary'!$Y:$Y,'Threshold Summary'!$L:$L,""))/100)+5)*XLOOKUP(XLOOKUP($Q433,'Threshold Summary'!$Y:$Y,'Threshold Summary'!$M:$M,""),'Nature Editor'!$A:$A,'Nature Editor'!$B:$B,1)),FLOOR((FLOOR(((2*XLOOKUP(XLOOKUP($Q433,'Threshold Summary'!$Y:$Y,'Threshold Summary'!$K:$K,""),'Pokemon Editor'!$A:$A,'Pokemon Editor'!$H:$H,0)+31+FLOOR(XLOOKUP($Q433,'Threshold Summary'!$Y:$Y,'Threshold Summary'!$R:$R,"")/4))*XLOOKUP($Q433,'Threshold Summary'!$Y:$Y,'Threshold Summary'!$L:$L,""))/100)+5)*XLOOKUP(XLOOKUP($Q433,'Threshold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Editor'!$E:$E,1))),stab,IF(OR(mtype=XLOOKUP(XLOOKUP($Q433,'Threshold Summary'!$Y:$Y,'Threshold Summary'!$K:$K,""),'Pokemon Editor'!$A:$A,'Pokemon Editor'!$C:$C,""),mtype=XLOOKUP(XLOOKUP($Q433,'Threshold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Chart'!$B$1:$S$1,0)))),base,IF(OR(cat="Status",pow=0),0,FLOOR(FLOOR(FLOOR((2*XLOOKUP($Q433,'Threshold Summary'!$Y:$Y,'Threshold Summary'!$L:$L,"")/5+2)*pow*atk/def)/50)+2)),modifier,stab*eff,AVERAGE(ARRAYFORMULA(FLOOR(base*modifier*SEQUENCE(16,1,85,1)/100)))/(FLOOR(((2*XLOOKUP('Boss Editor'!$C$4,'Pokemon Editor'!$A:$A,'Pokemon Editor'!$E:$E,0)+31+FLOOR('Boss Editor'!$G$4/4))*'Boss Editor'!$D$4)/100)+'Boss Editor'!$D$4+10)),0)</f>
        <v/>
      </c>
      <c r="O433" s="3">
        <f>IF(N433&gt;=1,"OHKO",IF(N433&gt;=0.5,"2HKO",IF(N433&gt;=0.333,"3HKO",IF(N433&gt;=0.25,"4HKO","5HKO+"))))</f>
        <v/>
      </c>
      <c r="P433" s="3" t="inlineStr">
        <is>
          <t>Live from editable databases</t>
        </is>
      </c>
      <c r="Q433" s="3" t="inlineStr">
        <is>
          <t>SPECIES_BUNEARY</t>
        </is>
      </c>
      <c r="R433" s="3" t="n">
        <v>16</v>
      </c>
    </row>
    <row r="434">
      <c r="A434" s="3">
        <f>XLOOKUP($Q434,'Threshold Summary'!$Y:$Y,'Threshold Summary'!$A:$A,"")</f>
        <v/>
      </c>
      <c r="B434" s="3">
        <f>XLOOKUP($Q434,'Threshold Summary'!$Y:$Y,'Threshold Summary'!$M:$M,"")</f>
        <v/>
      </c>
      <c r="C434" s="3">
        <f>XLOOKUP($Q434,'Threshold Summary'!$Y:$Y,'Threshold Summary'!$N:$N,"")</f>
        <v/>
      </c>
      <c r="D434" s="3">
        <f>IFERROR(INDEX(FILTER('Learnset Editor'!$D$2:$D,'Learnset Editor'!$A$2:$A=XLOOKUP($Q434,'Threshold Summary'!$Y:$Y,'Threshold Summary'!$K:$K,""),'Learnset Editor'!$C$2:$C&lt;=XLOOKUP($Q434,'Threshold Summary'!$Y:$Y,'Threshold Summary'!$L:$L,"")),$R434),"")</f>
        <v/>
      </c>
      <c r="E434" s="3">
        <f>XLOOKUP(D434,'Move Editor'!$B:$B,'Move Editor'!$C:$C,"")</f>
        <v/>
      </c>
      <c r="F434" s="3">
        <f>XLOOKUP(D434,'Move Editor'!$B:$B,'Move Editor'!$D:$D,"")</f>
        <v/>
      </c>
      <c r="G434" s="3">
        <f>XLOOKUP(D434,'Move Editor'!$B:$B,'Move Editor'!$E:$E,0)</f>
        <v/>
      </c>
      <c r="H434" s="3">
        <f>XLOOKUP(D434,'Move Editor'!$B:$B,'Move Editor'!$F:$F,0)</f>
        <v/>
      </c>
      <c r="I434" s="3">
        <f>(INDEX('Type Chart'!$B:$S,MATCH(E434,'Type Chart'!$A:$A,0),MATCH(XLOOKUP('Boss Editor'!$C$4,'Pokemon Editor'!$A:$A,'Pokemon Editor'!$C:$C,""),'Type Chart'!$B$1:$S$1,0))*IF(XLOOKUP('Boss Editor'!$C$4,'Pokemon Editor'!$A:$A,'Pokemon Editor'!$D:$D,"")="",1,INDEX('Type Chart'!$B:$S,MATCH(E434,'Type Chart'!$A:$A,0),MATCH(XLOOKUP('Boss Editor'!$C$4,'Pokemon Editor'!$A:$A,'Pokemon Editor'!$D:$D,""),'Type Chart'!$B$1:$S$1,0))))</f>
        <v/>
      </c>
      <c r="J434" s="3">
        <f>IFERROR(LET(mtype,XLOOKUP($D434,'Move Editor'!$B:$B,'Move Editor'!$C:$C,""),cat,XLOOKUP($D434,'Move Editor'!$B:$B,'Move Editor'!$D:$D,""),pow,XLOOKUP($D434,'Move Editor'!$B:$B,'Move Editor'!$E:$E,0),acc,XLOOKUP($D434,'Move Editor'!$B:$B,'Move Editor'!$F:$F,100),atk,IF(cat="Physical",FLOOR((FLOOR(((2*XLOOKUP(XLOOKUP($Q434,'Threshold Summary'!$Y:$Y,'Threshold Summary'!$K:$K,""),'Pokemon Editor'!$A:$A,'Pokemon Editor'!$F:$F,0)+31+FLOOR(XLOOKUP($Q434,'Threshold Summary'!$Y:$Y,'Threshold Summary'!$P:$P,"")/4))*XLOOKUP($Q434,'Threshold Summary'!$Y:$Y,'Threshold Summary'!$L:$L,""))/100)+5)*XLOOKUP(XLOOKUP($Q434,'Threshold Summary'!$Y:$Y,'Threshold Summary'!$M:$M,""),'Nature Editor'!$A:$A,'Nature Editor'!$B:$B,1)),FLOOR((FLOOR(((2*XLOOKUP(XLOOKUP($Q434,'Threshold Summary'!$Y:$Y,'Threshold Summary'!$K:$K,""),'Pokemon Editor'!$A:$A,'Pokemon Editor'!$H:$H,0)+31+FLOOR(XLOOKUP($Q434,'Threshold Summary'!$Y:$Y,'Threshold Summary'!$R:$R,"")/4))*XLOOKUP($Q434,'Threshold Summary'!$Y:$Y,'Threshold Summary'!$L:$L,""))/100)+5)*XLOOKUP(XLOOKUP($Q434,'Threshold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Editor'!$E:$E,1))),stab,IF(OR(mtype=XLOOKUP(XLOOKUP($Q434,'Threshold Summary'!$Y:$Y,'Threshold Summary'!$K:$K,""),'Pokemon Editor'!$A:$A,'Pokemon Editor'!$C:$C,""),mtype=XLOOKUP(XLOOKUP($Q434,'Threshold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Chart'!$B$1:$S$1,0)))),base,IF(OR(cat="Status",pow=0),0,FLOOR(FLOOR(FLOOR((2*XLOOKUP($Q434,'Threshold Summary'!$Y:$Y,'Threshold Summary'!$L:$L,"")/5+2)*pow*atk/def)/50)+2)),modifier,stab*eff,FLOOR(base*modifier*0.85)),0)</f>
        <v/>
      </c>
      <c r="K434" s="3">
        <f>IFERROR(LET(mtype,XLOOKUP($D434,'Move Editor'!$B:$B,'Move Editor'!$C:$C,""),cat,XLOOKUP($D434,'Move Editor'!$B:$B,'Move Editor'!$D:$D,""),pow,XLOOKUP($D434,'Move Editor'!$B:$B,'Move Editor'!$E:$E,0),acc,XLOOKUP($D434,'Move Editor'!$B:$B,'Move Editor'!$F:$F,100),atk,IF(cat="Physical",FLOOR((FLOOR(((2*XLOOKUP(XLOOKUP($Q434,'Threshold Summary'!$Y:$Y,'Threshold Summary'!$K:$K,""),'Pokemon Editor'!$A:$A,'Pokemon Editor'!$F:$F,0)+31+FLOOR(XLOOKUP($Q434,'Threshold Summary'!$Y:$Y,'Threshold Summary'!$P:$P,"")/4))*XLOOKUP($Q434,'Threshold Summary'!$Y:$Y,'Threshold Summary'!$L:$L,""))/100)+5)*XLOOKUP(XLOOKUP($Q434,'Threshold Summary'!$Y:$Y,'Threshold Summary'!$M:$M,""),'Nature Editor'!$A:$A,'Nature Editor'!$B:$B,1)),FLOOR((FLOOR(((2*XLOOKUP(XLOOKUP($Q434,'Threshold Summary'!$Y:$Y,'Threshold Summary'!$K:$K,""),'Pokemon Editor'!$A:$A,'Pokemon Editor'!$H:$H,0)+31+FLOOR(XLOOKUP($Q434,'Threshold Summary'!$Y:$Y,'Threshold Summary'!$R:$R,"")/4))*XLOOKUP($Q434,'Threshold Summary'!$Y:$Y,'Threshold Summary'!$L:$L,""))/100)+5)*XLOOKUP(XLOOKUP($Q434,'Threshold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Editor'!$E:$E,1))),stab,IF(OR(mtype=XLOOKUP(XLOOKUP($Q434,'Threshold Summary'!$Y:$Y,'Threshold Summary'!$K:$K,""),'Pokemon Editor'!$A:$A,'Pokemon Editor'!$C:$C,""),mtype=XLOOKUP(XLOOKUP($Q434,'Threshold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Chart'!$B$1:$S$1,0)))),base,IF(OR(cat="Status",pow=0),0,FLOOR(FLOOR(FLOOR((2*XLOOKUP($Q434,'Threshold Summary'!$Y:$Y,'Threshold Summary'!$L:$L,"")/5+2)*pow*atk/def)/50)+2)),modifier,stab*eff,FLOOR(base*modifier)),0)</f>
        <v/>
      </c>
      <c r="L434" s="3">
        <f>IFERROR(LET(mtype,XLOOKUP($D434,'Move Editor'!$B:$B,'Move Editor'!$C:$C,""),cat,XLOOKUP($D434,'Move Editor'!$B:$B,'Move Editor'!$D:$D,""),pow,XLOOKUP($D434,'Move Editor'!$B:$B,'Move Editor'!$E:$E,0),acc,XLOOKUP($D434,'Move Editor'!$B:$B,'Move Editor'!$F:$F,100),atk,IF(cat="Physical",FLOOR((FLOOR(((2*XLOOKUP(XLOOKUP($Q434,'Threshold Summary'!$Y:$Y,'Threshold Summary'!$K:$K,""),'Pokemon Editor'!$A:$A,'Pokemon Editor'!$F:$F,0)+31+FLOOR(XLOOKUP($Q434,'Threshold Summary'!$Y:$Y,'Threshold Summary'!$P:$P,"")/4))*XLOOKUP($Q434,'Threshold Summary'!$Y:$Y,'Threshold Summary'!$L:$L,""))/100)+5)*XLOOKUP(XLOOKUP($Q434,'Threshold Summary'!$Y:$Y,'Threshold Summary'!$M:$M,""),'Nature Editor'!$A:$A,'Nature Editor'!$B:$B,1)),FLOOR((FLOOR(((2*XLOOKUP(XLOOKUP($Q434,'Threshold Summary'!$Y:$Y,'Threshold Summary'!$K:$K,""),'Pokemon Editor'!$A:$A,'Pokemon Editor'!$H:$H,0)+31+FLOOR(XLOOKUP($Q434,'Threshold Summary'!$Y:$Y,'Threshold Summary'!$R:$R,"")/4))*XLOOKUP($Q434,'Threshold Summary'!$Y:$Y,'Threshold Summary'!$L:$L,""))/100)+5)*XLOOKUP(XLOOKUP($Q434,'Threshold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Editor'!$E:$E,1))),stab,IF(OR(mtype=XLOOKUP(XLOOKUP($Q434,'Threshold Summary'!$Y:$Y,'Threshold Summary'!$K:$K,""),'Pokemon Editor'!$A:$A,'Pokemon Editor'!$C:$C,""),mtype=XLOOKUP(XLOOKUP($Q434,'Threshold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Chart'!$B$1:$S$1,0)))),base,IF(OR(cat="Status",pow=0),0,FLOOR(FLOOR(FLOOR((2*XLOOKUP($Q434,'Threshold Summary'!$Y:$Y,'Threshold Summary'!$L:$L,"")/5+2)*pow*atk/def)/50)+2)),modifier,stab*eff,AVERAGE(ARRAYFORMULA(FLOOR(base*modifier*SEQUENCE(16,1,85,1)/100)))),0)</f>
        <v/>
      </c>
      <c r="M434" s="3">
        <f>IFERROR(LET(mtype,XLOOKUP($D434,'Move Editor'!$B:$B,'Move Editor'!$C:$C,""),cat,XLOOKUP($D434,'Move Editor'!$B:$B,'Move Editor'!$D:$D,""),pow,XLOOKUP($D434,'Move Editor'!$B:$B,'Move Editor'!$E:$E,0),acc,XLOOKUP($D434,'Move Editor'!$B:$B,'Move Editor'!$F:$F,100),atk,IF(cat="Physical",FLOOR((FLOOR(((2*XLOOKUP(XLOOKUP($Q434,'Threshold Summary'!$Y:$Y,'Threshold Summary'!$K:$K,""),'Pokemon Editor'!$A:$A,'Pokemon Editor'!$F:$F,0)+31+FLOOR(XLOOKUP($Q434,'Threshold Summary'!$Y:$Y,'Threshold Summary'!$P:$P,"")/4))*XLOOKUP($Q434,'Threshold Summary'!$Y:$Y,'Threshold Summary'!$L:$L,""))/100)+5)*XLOOKUP(XLOOKUP($Q434,'Threshold Summary'!$Y:$Y,'Threshold Summary'!$M:$M,""),'Nature Editor'!$A:$A,'Nature Editor'!$B:$B,1)),FLOOR((FLOOR(((2*XLOOKUP(XLOOKUP($Q434,'Threshold Summary'!$Y:$Y,'Threshold Summary'!$K:$K,""),'Pokemon Editor'!$A:$A,'Pokemon Editor'!$H:$H,0)+31+FLOOR(XLOOKUP($Q434,'Threshold Summary'!$Y:$Y,'Threshold Summary'!$R:$R,"")/4))*XLOOKUP($Q434,'Threshold Summary'!$Y:$Y,'Threshold Summary'!$L:$L,""))/100)+5)*XLOOKUP(XLOOKUP($Q434,'Threshold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Editor'!$E:$E,1))),stab,IF(OR(mtype=XLOOKUP(XLOOKUP($Q434,'Threshold Summary'!$Y:$Y,'Threshold Summary'!$K:$K,""),'Pokemon Editor'!$A:$A,'Pokemon Editor'!$C:$C,""),mtype=XLOOKUP(XLOOKUP($Q434,'Threshold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Chart'!$B$1:$S$1,0)))),base,IF(OR(cat="Status",pow=0),0,FLOOR(FLOOR(FLOOR((2*XLOOKUP($Q434,'Threshold Summary'!$Y:$Y,'Threshold Summary'!$L:$L,"")/5+2)*pow*atk/def)/50)+2)),modifier,stab*eff,AVERAGE(ARRAYFORMULA(FLOOR(base*modifier*SEQUENCE(16,1,85,1)/100)))*MIN(1,acc/100)),0)</f>
        <v/>
      </c>
      <c r="N434" s="4">
        <f>IFERROR(LET(mtype,XLOOKUP($D434,'Move Editor'!$B:$B,'Move Editor'!$C:$C,""),cat,XLOOKUP($D434,'Move Editor'!$B:$B,'Move Editor'!$D:$D,""),pow,XLOOKUP($D434,'Move Editor'!$B:$B,'Move Editor'!$E:$E,0),acc,XLOOKUP($D434,'Move Editor'!$B:$B,'Move Editor'!$F:$F,100),atk,IF(cat="Physical",FLOOR((FLOOR(((2*XLOOKUP(XLOOKUP($Q434,'Threshold Summary'!$Y:$Y,'Threshold Summary'!$K:$K,""),'Pokemon Editor'!$A:$A,'Pokemon Editor'!$F:$F,0)+31+FLOOR(XLOOKUP($Q434,'Threshold Summary'!$Y:$Y,'Threshold Summary'!$P:$P,"")/4))*XLOOKUP($Q434,'Threshold Summary'!$Y:$Y,'Threshold Summary'!$L:$L,""))/100)+5)*XLOOKUP(XLOOKUP($Q434,'Threshold Summary'!$Y:$Y,'Threshold Summary'!$M:$M,""),'Nature Editor'!$A:$A,'Nature Editor'!$B:$B,1)),FLOOR((FLOOR(((2*XLOOKUP(XLOOKUP($Q434,'Threshold Summary'!$Y:$Y,'Threshold Summary'!$K:$K,""),'Pokemon Editor'!$A:$A,'Pokemon Editor'!$H:$H,0)+31+FLOOR(XLOOKUP($Q434,'Threshold Summary'!$Y:$Y,'Threshold Summary'!$R:$R,"")/4))*XLOOKUP($Q434,'Threshold Summary'!$Y:$Y,'Threshold Summary'!$L:$L,""))/100)+5)*XLOOKUP(XLOOKUP($Q434,'Threshold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Editor'!$E:$E,1))),stab,IF(OR(mtype=XLOOKUP(XLOOKUP($Q434,'Threshold Summary'!$Y:$Y,'Threshold Summary'!$K:$K,""),'Pokemon Editor'!$A:$A,'Pokemon Editor'!$C:$C,""),mtype=XLOOKUP(XLOOKUP($Q434,'Threshold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Chart'!$B$1:$S$1,0)))),base,IF(OR(cat="Status",pow=0),0,FLOOR(FLOOR(FLOOR((2*XLOOKUP($Q434,'Threshold Summary'!$Y:$Y,'Threshold Summary'!$L:$L,"")/5+2)*pow*atk/def)/50)+2)),modifier,stab*eff,AVERAGE(ARRAYFORMULA(FLOOR(base*modifier*SEQUENCE(16,1,85,1)/100)))/(FLOOR(((2*XLOOKUP('Boss Editor'!$C$4,'Pokemon Editor'!$A:$A,'Pokemon Editor'!$E:$E,0)+31+FLOOR('Boss Editor'!$G$4/4))*'Boss Editor'!$D$4)/100)+'Boss Editor'!$D$4+10)),0)</f>
        <v/>
      </c>
      <c r="O434" s="3">
        <f>IF(N434&gt;=1,"OHKO",IF(N434&gt;=0.5,"2HKO",IF(N434&gt;=0.333,"3HKO",IF(N434&gt;=0.25,"4HKO","5HKO+"))))</f>
        <v/>
      </c>
      <c r="P434" s="3" t="inlineStr">
        <is>
          <t>Live from editable databases</t>
        </is>
      </c>
      <c r="Q434" s="3" t="inlineStr">
        <is>
          <t>SPECIES_BUNEARY</t>
        </is>
      </c>
      <c r="R434" s="3" t="n">
        <v>17</v>
      </c>
    </row>
    <row r="435">
      <c r="A435" s="3">
        <f>XLOOKUP($Q435,'Threshold Summary'!$Y:$Y,'Threshold Summary'!$A:$A,"")</f>
        <v/>
      </c>
      <c r="B435" s="3">
        <f>XLOOKUP($Q435,'Threshold Summary'!$Y:$Y,'Threshold Summary'!$M:$M,"")</f>
        <v/>
      </c>
      <c r="C435" s="3">
        <f>XLOOKUP($Q435,'Threshold Summary'!$Y:$Y,'Threshold Summary'!$N:$N,"")</f>
        <v/>
      </c>
      <c r="D435" s="3">
        <f>IFERROR(INDEX(FILTER('Learnset Editor'!$D$2:$D,'Learnset Editor'!$A$2:$A=XLOOKUP($Q435,'Threshold Summary'!$Y:$Y,'Threshold Summary'!$K:$K,""),'Learnset Editor'!$C$2:$C&lt;=XLOOKUP($Q435,'Threshold Summary'!$Y:$Y,'Threshold Summary'!$L:$L,"")),$R435),"")</f>
        <v/>
      </c>
      <c r="E435" s="3">
        <f>XLOOKUP(D435,'Move Editor'!$B:$B,'Move Editor'!$C:$C,"")</f>
        <v/>
      </c>
      <c r="F435" s="3">
        <f>XLOOKUP(D435,'Move Editor'!$B:$B,'Move Editor'!$D:$D,"")</f>
        <v/>
      </c>
      <c r="G435" s="3">
        <f>XLOOKUP(D435,'Move Editor'!$B:$B,'Move Editor'!$E:$E,0)</f>
        <v/>
      </c>
      <c r="H435" s="3">
        <f>XLOOKUP(D435,'Move Editor'!$B:$B,'Move Editor'!$F:$F,0)</f>
        <v/>
      </c>
      <c r="I435" s="3">
        <f>(INDEX('Type Chart'!$B:$S,MATCH(E435,'Type Chart'!$A:$A,0),MATCH(XLOOKUP('Boss Editor'!$C$4,'Pokemon Editor'!$A:$A,'Pokemon Editor'!$C:$C,""),'Type Chart'!$B$1:$S$1,0))*IF(XLOOKUP('Boss Editor'!$C$4,'Pokemon Editor'!$A:$A,'Pokemon Editor'!$D:$D,"")="",1,INDEX('Type Chart'!$B:$S,MATCH(E435,'Type Chart'!$A:$A,0),MATCH(XLOOKUP('Boss Editor'!$C$4,'Pokemon Editor'!$A:$A,'Pokemon Editor'!$D:$D,""),'Type Chart'!$B$1:$S$1,0))))</f>
        <v/>
      </c>
      <c r="J435" s="3">
        <f>IFERROR(LET(mtype,XLOOKUP($D435,'Move Editor'!$B:$B,'Move Editor'!$C:$C,""),cat,XLOOKUP($D435,'Move Editor'!$B:$B,'Move Editor'!$D:$D,""),pow,XLOOKUP($D435,'Move Editor'!$B:$B,'Move Editor'!$E:$E,0),acc,XLOOKUP($D435,'Move Editor'!$B:$B,'Move Editor'!$F:$F,100),atk,IF(cat="Physical",FLOOR((FLOOR(((2*XLOOKUP(XLOOKUP($Q435,'Threshold Summary'!$Y:$Y,'Threshold Summary'!$K:$K,""),'Pokemon Editor'!$A:$A,'Pokemon Editor'!$F:$F,0)+31+FLOOR(XLOOKUP($Q435,'Threshold Summary'!$Y:$Y,'Threshold Summary'!$P:$P,"")/4))*XLOOKUP($Q435,'Threshold Summary'!$Y:$Y,'Threshold Summary'!$L:$L,""))/100)+5)*XLOOKUP(XLOOKUP($Q435,'Threshold Summary'!$Y:$Y,'Threshold Summary'!$M:$M,""),'Nature Editor'!$A:$A,'Nature Editor'!$B:$B,1)),FLOOR((FLOOR(((2*XLOOKUP(XLOOKUP($Q435,'Threshold Summary'!$Y:$Y,'Threshold Summary'!$K:$K,""),'Pokemon Editor'!$A:$A,'Pokemon Editor'!$H:$H,0)+31+FLOOR(XLOOKUP($Q435,'Threshold Summary'!$Y:$Y,'Threshold Summary'!$R:$R,"")/4))*XLOOKUP($Q435,'Threshold Summary'!$Y:$Y,'Threshold Summary'!$L:$L,""))/100)+5)*XLOOKUP(XLOOKUP($Q435,'Threshold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Editor'!$E:$E,1))),stab,IF(OR(mtype=XLOOKUP(XLOOKUP($Q435,'Threshold Summary'!$Y:$Y,'Threshold Summary'!$K:$K,""),'Pokemon Editor'!$A:$A,'Pokemon Editor'!$C:$C,""),mtype=XLOOKUP(XLOOKUP($Q435,'Threshold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Chart'!$B$1:$S$1,0)))),base,IF(OR(cat="Status",pow=0),0,FLOOR(FLOOR(FLOOR((2*XLOOKUP($Q435,'Threshold Summary'!$Y:$Y,'Threshold Summary'!$L:$L,"")/5+2)*pow*atk/def)/50)+2)),modifier,stab*eff,FLOOR(base*modifier*0.85)),0)</f>
        <v/>
      </c>
      <c r="K435" s="3">
        <f>IFERROR(LET(mtype,XLOOKUP($D435,'Move Editor'!$B:$B,'Move Editor'!$C:$C,""),cat,XLOOKUP($D435,'Move Editor'!$B:$B,'Move Editor'!$D:$D,""),pow,XLOOKUP($D435,'Move Editor'!$B:$B,'Move Editor'!$E:$E,0),acc,XLOOKUP($D435,'Move Editor'!$B:$B,'Move Editor'!$F:$F,100),atk,IF(cat="Physical",FLOOR((FLOOR(((2*XLOOKUP(XLOOKUP($Q435,'Threshold Summary'!$Y:$Y,'Threshold Summary'!$K:$K,""),'Pokemon Editor'!$A:$A,'Pokemon Editor'!$F:$F,0)+31+FLOOR(XLOOKUP($Q435,'Threshold Summary'!$Y:$Y,'Threshold Summary'!$P:$P,"")/4))*XLOOKUP($Q435,'Threshold Summary'!$Y:$Y,'Threshold Summary'!$L:$L,""))/100)+5)*XLOOKUP(XLOOKUP($Q435,'Threshold Summary'!$Y:$Y,'Threshold Summary'!$M:$M,""),'Nature Editor'!$A:$A,'Nature Editor'!$B:$B,1)),FLOOR((FLOOR(((2*XLOOKUP(XLOOKUP($Q435,'Threshold Summary'!$Y:$Y,'Threshold Summary'!$K:$K,""),'Pokemon Editor'!$A:$A,'Pokemon Editor'!$H:$H,0)+31+FLOOR(XLOOKUP($Q435,'Threshold Summary'!$Y:$Y,'Threshold Summary'!$R:$R,"")/4))*XLOOKUP($Q435,'Threshold Summary'!$Y:$Y,'Threshold Summary'!$L:$L,""))/100)+5)*XLOOKUP(XLOOKUP($Q435,'Threshold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Editor'!$E:$E,1))),stab,IF(OR(mtype=XLOOKUP(XLOOKUP($Q435,'Threshold Summary'!$Y:$Y,'Threshold Summary'!$K:$K,""),'Pokemon Editor'!$A:$A,'Pokemon Editor'!$C:$C,""),mtype=XLOOKUP(XLOOKUP($Q435,'Threshold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Chart'!$B$1:$S$1,0)))),base,IF(OR(cat="Status",pow=0),0,FLOOR(FLOOR(FLOOR((2*XLOOKUP($Q435,'Threshold Summary'!$Y:$Y,'Threshold Summary'!$L:$L,"")/5+2)*pow*atk/def)/50)+2)),modifier,stab*eff,FLOOR(base*modifier)),0)</f>
        <v/>
      </c>
      <c r="L435" s="3">
        <f>IFERROR(LET(mtype,XLOOKUP($D435,'Move Editor'!$B:$B,'Move Editor'!$C:$C,""),cat,XLOOKUP($D435,'Move Editor'!$B:$B,'Move Editor'!$D:$D,""),pow,XLOOKUP($D435,'Move Editor'!$B:$B,'Move Editor'!$E:$E,0),acc,XLOOKUP($D435,'Move Editor'!$B:$B,'Move Editor'!$F:$F,100),atk,IF(cat="Physical",FLOOR((FLOOR(((2*XLOOKUP(XLOOKUP($Q435,'Threshold Summary'!$Y:$Y,'Threshold Summary'!$K:$K,""),'Pokemon Editor'!$A:$A,'Pokemon Editor'!$F:$F,0)+31+FLOOR(XLOOKUP($Q435,'Threshold Summary'!$Y:$Y,'Threshold Summary'!$P:$P,"")/4))*XLOOKUP($Q435,'Threshold Summary'!$Y:$Y,'Threshold Summary'!$L:$L,""))/100)+5)*XLOOKUP(XLOOKUP($Q435,'Threshold Summary'!$Y:$Y,'Threshold Summary'!$M:$M,""),'Nature Editor'!$A:$A,'Nature Editor'!$B:$B,1)),FLOOR((FLOOR(((2*XLOOKUP(XLOOKUP($Q435,'Threshold Summary'!$Y:$Y,'Threshold Summary'!$K:$K,""),'Pokemon Editor'!$A:$A,'Pokemon Editor'!$H:$H,0)+31+FLOOR(XLOOKUP($Q435,'Threshold Summary'!$Y:$Y,'Threshold Summary'!$R:$R,"")/4))*XLOOKUP($Q435,'Threshold Summary'!$Y:$Y,'Threshold Summary'!$L:$L,""))/100)+5)*XLOOKUP(XLOOKUP($Q435,'Threshold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Editor'!$E:$E,1))),stab,IF(OR(mtype=XLOOKUP(XLOOKUP($Q435,'Threshold Summary'!$Y:$Y,'Threshold Summary'!$K:$K,""),'Pokemon Editor'!$A:$A,'Pokemon Editor'!$C:$C,""),mtype=XLOOKUP(XLOOKUP($Q435,'Threshold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Chart'!$B$1:$S$1,0)))),base,IF(OR(cat="Status",pow=0),0,FLOOR(FLOOR(FLOOR((2*XLOOKUP($Q435,'Threshold Summary'!$Y:$Y,'Threshold Summary'!$L:$L,"")/5+2)*pow*atk/def)/50)+2)),modifier,stab*eff,AVERAGE(ARRAYFORMULA(FLOOR(base*modifier*SEQUENCE(16,1,85,1)/100)))),0)</f>
        <v/>
      </c>
      <c r="M435" s="3">
        <f>IFERROR(LET(mtype,XLOOKUP($D435,'Move Editor'!$B:$B,'Move Editor'!$C:$C,""),cat,XLOOKUP($D435,'Move Editor'!$B:$B,'Move Editor'!$D:$D,""),pow,XLOOKUP($D435,'Move Editor'!$B:$B,'Move Editor'!$E:$E,0),acc,XLOOKUP($D435,'Move Editor'!$B:$B,'Move Editor'!$F:$F,100),atk,IF(cat="Physical",FLOOR((FLOOR(((2*XLOOKUP(XLOOKUP($Q435,'Threshold Summary'!$Y:$Y,'Threshold Summary'!$K:$K,""),'Pokemon Editor'!$A:$A,'Pokemon Editor'!$F:$F,0)+31+FLOOR(XLOOKUP($Q435,'Threshold Summary'!$Y:$Y,'Threshold Summary'!$P:$P,"")/4))*XLOOKUP($Q435,'Threshold Summary'!$Y:$Y,'Threshold Summary'!$L:$L,""))/100)+5)*XLOOKUP(XLOOKUP($Q435,'Threshold Summary'!$Y:$Y,'Threshold Summary'!$M:$M,""),'Nature Editor'!$A:$A,'Nature Editor'!$B:$B,1)),FLOOR((FLOOR(((2*XLOOKUP(XLOOKUP($Q435,'Threshold Summary'!$Y:$Y,'Threshold Summary'!$K:$K,""),'Pokemon Editor'!$A:$A,'Pokemon Editor'!$H:$H,0)+31+FLOOR(XLOOKUP($Q435,'Threshold Summary'!$Y:$Y,'Threshold Summary'!$R:$R,"")/4))*XLOOKUP($Q435,'Threshold Summary'!$Y:$Y,'Threshold Summary'!$L:$L,""))/100)+5)*XLOOKUP(XLOOKUP($Q435,'Threshold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Editor'!$E:$E,1))),stab,IF(OR(mtype=XLOOKUP(XLOOKUP($Q435,'Threshold Summary'!$Y:$Y,'Threshold Summary'!$K:$K,""),'Pokemon Editor'!$A:$A,'Pokemon Editor'!$C:$C,""),mtype=XLOOKUP(XLOOKUP($Q435,'Threshold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Chart'!$B$1:$S$1,0)))),base,IF(OR(cat="Status",pow=0),0,FLOOR(FLOOR(FLOOR((2*XLOOKUP($Q435,'Threshold Summary'!$Y:$Y,'Threshold Summary'!$L:$L,"")/5+2)*pow*atk/def)/50)+2)),modifier,stab*eff,AVERAGE(ARRAYFORMULA(FLOOR(base*modifier*SEQUENCE(16,1,85,1)/100)))*MIN(1,acc/100)),0)</f>
        <v/>
      </c>
      <c r="N435" s="4">
        <f>IFERROR(LET(mtype,XLOOKUP($D435,'Move Editor'!$B:$B,'Move Editor'!$C:$C,""),cat,XLOOKUP($D435,'Move Editor'!$B:$B,'Move Editor'!$D:$D,""),pow,XLOOKUP($D435,'Move Editor'!$B:$B,'Move Editor'!$E:$E,0),acc,XLOOKUP($D435,'Move Editor'!$B:$B,'Move Editor'!$F:$F,100),atk,IF(cat="Physical",FLOOR((FLOOR(((2*XLOOKUP(XLOOKUP($Q435,'Threshold Summary'!$Y:$Y,'Threshold Summary'!$K:$K,""),'Pokemon Editor'!$A:$A,'Pokemon Editor'!$F:$F,0)+31+FLOOR(XLOOKUP($Q435,'Threshold Summary'!$Y:$Y,'Threshold Summary'!$P:$P,"")/4))*XLOOKUP($Q435,'Threshold Summary'!$Y:$Y,'Threshold Summary'!$L:$L,""))/100)+5)*XLOOKUP(XLOOKUP($Q435,'Threshold Summary'!$Y:$Y,'Threshold Summary'!$M:$M,""),'Nature Editor'!$A:$A,'Nature Editor'!$B:$B,1)),FLOOR((FLOOR(((2*XLOOKUP(XLOOKUP($Q435,'Threshold Summary'!$Y:$Y,'Threshold Summary'!$K:$K,""),'Pokemon Editor'!$A:$A,'Pokemon Editor'!$H:$H,0)+31+FLOOR(XLOOKUP($Q435,'Threshold Summary'!$Y:$Y,'Threshold Summary'!$R:$R,"")/4))*XLOOKUP($Q435,'Threshold Summary'!$Y:$Y,'Threshold Summary'!$L:$L,""))/100)+5)*XLOOKUP(XLOOKUP($Q435,'Threshold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Editor'!$E:$E,1))),stab,IF(OR(mtype=XLOOKUP(XLOOKUP($Q435,'Threshold Summary'!$Y:$Y,'Threshold Summary'!$K:$K,""),'Pokemon Editor'!$A:$A,'Pokemon Editor'!$C:$C,""),mtype=XLOOKUP(XLOOKUP($Q435,'Threshold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Chart'!$B$1:$S$1,0)))),base,IF(OR(cat="Status",pow=0),0,FLOOR(FLOOR(FLOOR((2*XLOOKUP($Q435,'Threshold Summary'!$Y:$Y,'Threshold Summary'!$L:$L,"")/5+2)*pow*atk/def)/50)+2)),modifier,stab*eff,AVERAGE(ARRAYFORMULA(FLOOR(base*modifier*SEQUENCE(16,1,85,1)/100)))/(FLOOR(((2*XLOOKUP('Boss Editor'!$C$4,'Pokemon Editor'!$A:$A,'Pokemon Editor'!$E:$E,0)+31+FLOOR('Boss Editor'!$G$4/4))*'Boss Editor'!$D$4)/100)+'Boss Editor'!$D$4+10)),0)</f>
        <v/>
      </c>
      <c r="O435" s="3">
        <f>IF(N435&gt;=1,"OHKO",IF(N435&gt;=0.5,"2HKO",IF(N435&gt;=0.333,"3HKO",IF(N435&gt;=0.25,"4HKO","5HKO+"))))</f>
        <v/>
      </c>
      <c r="P435" s="3" t="inlineStr">
        <is>
          <t>Live from editable databases</t>
        </is>
      </c>
      <c r="Q435" s="3" t="inlineStr">
        <is>
          <t>SPECIES_BUNEARY</t>
        </is>
      </c>
      <c r="R435" s="3" t="n">
        <v>18</v>
      </c>
    </row>
    <row r="436">
      <c r="A436" s="3">
        <f>XLOOKUP($Q436,'Threshold Summary'!$Y:$Y,'Threshold Summary'!$A:$A,"")</f>
        <v/>
      </c>
      <c r="B436" s="3">
        <f>XLOOKUP($Q436,'Threshold Summary'!$Y:$Y,'Threshold Summary'!$M:$M,"")</f>
        <v/>
      </c>
      <c r="C436" s="3">
        <f>XLOOKUP($Q436,'Threshold Summary'!$Y:$Y,'Threshold Summary'!$N:$N,"")</f>
        <v/>
      </c>
      <c r="D436" s="3">
        <f>IFERROR(INDEX(FILTER('Learnset Editor'!$D$2:$D,'Learnset Editor'!$A$2:$A=XLOOKUP($Q436,'Threshold Summary'!$Y:$Y,'Threshold Summary'!$K:$K,""),'Learnset Editor'!$C$2:$C&lt;=XLOOKUP($Q436,'Threshold Summary'!$Y:$Y,'Threshold Summary'!$L:$L,"")),$R436),"")</f>
        <v/>
      </c>
      <c r="E436" s="3">
        <f>XLOOKUP(D436,'Move Editor'!$B:$B,'Move Editor'!$C:$C,"")</f>
        <v/>
      </c>
      <c r="F436" s="3">
        <f>XLOOKUP(D436,'Move Editor'!$B:$B,'Move Editor'!$D:$D,"")</f>
        <v/>
      </c>
      <c r="G436" s="3">
        <f>XLOOKUP(D436,'Move Editor'!$B:$B,'Move Editor'!$E:$E,0)</f>
        <v/>
      </c>
      <c r="H436" s="3">
        <f>XLOOKUP(D436,'Move Editor'!$B:$B,'Move Editor'!$F:$F,0)</f>
        <v/>
      </c>
      <c r="I436" s="3">
        <f>(INDEX('Type Chart'!$B:$S,MATCH(E436,'Type Chart'!$A:$A,0),MATCH(XLOOKUP('Boss Editor'!$C$4,'Pokemon Editor'!$A:$A,'Pokemon Editor'!$C:$C,""),'Type Chart'!$B$1:$S$1,0))*IF(XLOOKUP('Boss Editor'!$C$4,'Pokemon Editor'!$A:$A,'Pokemon Editor'!$D:$D,"")="",1,INDEX('Type Chart'!$B:$S,MATCH(E436,'Type Chart'!$A:$A,0),MATCH(XLOOKUP('Boss Editor'!$C$4,'Pokemon Editor'!$A:$A,'Pokemon Editor'!$D:$D,""),'Type Chart'!$B$1:$S$1,0))))</f>
        <v/>
      </c>
      <c r="J436" s="3">
        <f>IFERROR(LET(mtype,XLOOKUP($D436,'Move Editor'!$B:$B,'Move Editor'!$C:$C,""),cat,XLOOKUP($D436,'Move Editor'!$B:$B,'Move Editor'!$D:$D,""),pow,XLOOKUP($D436,'Move Editor'!$B:$B,'Move Editor'!$E:$E,0),acc,XLOOKUP($D436,'Move Editor'!$B:$B,'Move Editor'!$F:$F,100),atk,IF(cat="Physical",FLOOR((FLOOR(((2*XLOOKUP(XLOOKUP($Q436,'Threshold Summary'!$Y:$Y,'Threshold Summary'!$K:$K,""),'Pokemon Editor'!$A:$A,'Pokemon Editor'!$F:$F,0)+31+FLOOR(XLOOKUP($Q436,'Threshold Summary'!$Y:$Y,'Threshold Summary'!$P:$P,"")/4))*XLOOKUP($Q436,'Threshold Summary'!$Y:$Y,'Threshold Summary'!$L:$L,""))/100)+5)*XLOOKUP(XLOOKUP($Q436,'Threshold Summary'!$Y:$Y,'Threshold Summary'!$M:$M,""),'Nature Editor'!$A:$A,'Nature Editor'!$B:$B,1)),FLOOR((FLOOR(((2*XLOOKUP(XLOOKUP($Q436,'Threshold Summary'!$Y:$Y,'Threshold Summary'!$K:$K,""),'Pokemon Editor'!$A:$A,'Pokemon Editor'!$H:$H,0)+31+FLOOR(XLOOKUP($Q436,'Threshold Summary'!$Y:$Y,'Threshold Summary'!$R:$R,"")/4))*XLOOKUP($Q436,'Threshold Summary'!$Y:$Y,'Threshold Summary'!$L:$L,""))/100)+5)*XLOOKUP(XLOOKUP($Q436,'Threshold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Editor'!$E:$E,1))),stab,IF(OR(mtype=XLOOKUP(XLOOKUP($Q436,'Threshold Summary'!$Y:$Y,'Threshold Summary'!$K:$K,""),'Pokemon Editor'!$A:$A,'Pokemon Editor'!$C:$C,""),mtype=XLOOKUP(XLOOKUP($Q436,'Threshold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Chart'!$B$1:$S$1,0)))),base,IF(OR(cat="Status",pow=0),0,FLOOR(FLOOR(FLOOR((2*XLOOKUP($Q436,'Threshold Summary'!$Y:$Y,'Threshold Summary'!$L:$L,"")/5+2)*pow*atk/def)/50)+2)),modifier,stab*eff,FLOOR(base*modifier*0.85)),0)</f>
        <v/>
      </c>
      <c r="K436" s="3">
        <f>IFERROR(LET(mtype,XLOOKUP($D436,'Move Editor'!$B:$B,'Move Editor'!$C:$C,""),cat,XLOOKUP($D436,'Move Editor'!$B:$B,'Move Editor'!$D:$D,""),pow,XLOOKUP($D436,'Move Editor'!$B:$B,'Move Editor'!$E:$E,0),acc,XLOOKUP($D436,'Move Editor'!$B:$B,'Move Editor'!$F:$F,100),atk,IF(cat="Physical",FLOOR((FLOOR(((2*XLOOKUP(XLOOKUP($Q436,'Threshold Summary'!$Y:$Y,'Threshold Summary'!$K:$K,""),'Pokemon Editor'!$A:$A,'Pokemon Editor'!$F:$F,0)+31+FLOOR(XLOOKUP($Q436,'Threshold Summary'!$Y:$Y,'Threshold Summary'!$P:$P,"")/4))*XLOOKUP($Q436,'Threshold Summary'!$Y:$Y,'Threshold Summary'!$L:$L,""))/100)+5)*XLOOKUP(XLOOKUP($Q436,'Threshold Summary'!$Y:$Y,'Threshold Summary'!$M:$M,""),'Nature Editor'!$A:$A,'Nature Editor'!$B:$B,1)),FLOOR((FLOOR(((2*XLOOKUP(XLOOKUP($Q436,'Threshold Summary'!$Y:$Y,'Threshold Summary'!$K:$K,""),'Pokemon Editor'!$A:$A,'Pokemon Editor'!$H:$H,0)+31+FLOOR(XLOOKUP($Q436,'Threshold Summary'!$Y:$Y,'Threshold Summary'!$R:$R,"")/4))*XLOOKUP($Q436,'Threshold Summary'!$Y:$Y,'Threshold Summary'!$L:$L,""))/100)+5)*XLOOKUP(XLOOKUP($Q436,'Threshold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Editor'!$E:$E,1))),stab,IF(OR(mtype=XLOOKUP(XLOOKUP($Q436,'Threshold Summary'!$Y:$Y,'Threshold Summary'!$K:$K,""),'Pokemon Editor'!$A:$A,'Pokemon Editor'!$C:$C,""),mtype=XLOOKUP(XLOOKUP($Q436,'Threshold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Chart'!$B$1:$S$1,0)))),base,IF(OR(cat="Status",pow=0),0,FLOOR(FLOOR(FLOOR((2*XLOOKUP($Q436,'Threshold Summary'!$Y:$Y,'Threshold Summary'!$L:$L,"")/5+2)*pow*atk/def)/50)+2)),modifier,stab*eff,FLOOR(base*modifier)),0)</f>
        <v/>
      </c>
      <c r="L436" s="3">
        <f>IFERROR(LET(mtype,XLOOKUP($D436,'Move Editor'!$B:$B,'Move Editor'!$C:$C,""),cat,XLOOKUP($D436,'Move Editor'!$B:$B,'Move Editor'!$D:$D,""),pow,XLOOKUP($D436,'Move Editor'!$B:$B,'Move Editor'!$E:$E,0),acc,XLOOKUP($D436,'Move Editor'!$B:$B,'Move Editor'!$F:$F,100),atk,IF(cat="Physical",FLOOR((FLOOR(((2*XLOOKUP(XLOOKUP($Q436,'Threshold Summary'!$Y:$Y,'Threshold Summary'!$K:$K,""),'Pokemon Editor'!$A:$A,'Pokemon Editor'!$F:$F,0)+31+FLOOR(XLOOKUP($Q436,'Threshold Summary'!$Y:$Y,'Threshold Summary'!$P:$P,"")/4))*XLOOKUP($Q436,'Threshold Summary'!$Y:$Y,'Threshold Summary'!$L:$L,""))/100)+5)*XLOOKUP(XLOOKUP($Q436,'Threshold Summary'!$Y:$Y,'Threshold Summary'!$M:$M,""),'Nature Editor'!$A:$A,'Nature Editor'!$B:$B,1)),FLOOR((FLOOR(((2*XLOOKUP(XLOOKUP($Q436,'Threshold Summary'!$Y:$Y,'Threshold Summary'!$K:$K,""),'Pokemon Editor'!$A:$A,'Pokemon Editor'!$H:$H,0)+31+FLOOR(XLOOKUP($Q436,'Threshold Summary'!$Y:$Y,'Threshold Summary'!$R:$R,"")/4))*XLOOKUP($Q436,'Threshold Summary'!$Y:$Y,'Threshold Summary'!$L:$L,""))/100)+5)*XLOOKUP(XLOOKUP($Q436,'Threshold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Editor'!$E:$E,1))),stab,IF(OR(mtype=XLOOKUP(XLOOKUP($Q436,'Threshold Summary'!$Y:$Y,'Threshold Summary'!$K:$K,""),'Pokemon Editor'!$A:$A,'Pokemon Editor'!$C:$C,""),mtype=XLOOKUP(XLOOKUP($Q436,'Threshold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Chart'!$B$1:$S$1,0)))),base,IF(OR(cat="Status",pow=0),0,FLOOR(FLOOR(FLOOR((2*XLOOKUP($Q436,'Threshold Summary'!$Y:$Y,'Threshold Summary'!$L:$L,"")/5+2)*pow*atk/def)/50)+2)),modifier,stab*eff,AVERAGE(ARRAYFORMULA(FLOOR(base*modifier*SEQUENCE(16,1,85,1)/100)))),0)</f>
        <v/>
      </c>
      <c r="M436" s="3">
        <f>IFERROR(LET(mtype,XLOOKUP($D436,'Move Editor'!$B:$B,'Move Editor'!$C:$C,""),cat,XLOOKUP($D436,'Move Editor'!$B:$B,'Move Editor'!$D:$D,""),pow,XLOOKUP($D436,'Move Editor'!$B:$B,'Move Editor'!$E:$E,0),acc,XLOOKUP($D436,'Move Editor'!$B:$B,'Move Editor'!$F:$F,100),atk,IF(cat="Physical",FLOOR((FLOOR(((2*XLOOKUP(XLOOKUP($Q436,'Threshold Summary'!$Y:$Y,'Threshold Summary'!$K:$K,""),'Pokemon Editor'!$A:$A,'Pokemon Editor'!$F:$F,0)+31+FLOOR(XLOOKUP($Q436,'Threshold Summary'!$Y:$Y,'Threshold Summary'!$P:$P,"")/4))*XLOOKUP($Q436,'Threshold Summary'!$Y:$Y,'Threshold Summary'!$L:$L,""))/100)+5)*XLOOKUP(XLOOKUP($Q436,'Threshold Summary'!$Y:$Y,'Threshold Summary'!$M:$M,""),'Nature Editor'!$A:$A,'Nature Editor'!$B:$B,1)),FLOOR((FLOOR(((2*XLOOKUP(XLOOKUP($Q436,'Threshold Summary'!$Y:$Y,'Threshold Summary'!$K:$K,""),'Pokemon Editor'!$A:$A,'Pokemon Editor'!$H:$H,0)+31+FLOOR(XLOOKUP($Q436,'Threshold Summary'!$Y:$Y,'Threshold Summary'!$R:$R,"")/4))*XLOOKUP($Q436,'Threshold Summary'!$Y:$Y,'Threshold Summary'!$L:$L,""))/100)+5)*XLOOKUP(XLOOKUP($Q436,'Threshold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Editor'!$E:$E,1))),stab,IF(OR(mtype=XLOOKUP(XLOOKUP($Q436,'Threshold Summary'!$Y:$Y,'Threshold Summary'!$K:$K,""),'Pokemon Editor'!$A:$A,'Pokemon Editor'!$C:$C,""),mtype=XLOOKUP(XLOOKUP($Q436,'Threshold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Chart'!$B$1:$S$1,0)))),base,IF(OR(cat="Status",pow=0),0,FLOOR(FLOOR(FLOOR((2*XLOOKUP($Q436,'Threshold Summary'!$Y:$Y,'Threshold Summary'!$L:$L,"")/5+2)*pow*atk/def)/50)+2)),modifier,stab*eff,AVERAGE(ARRAYFORMULA(FLOOR(base*modifier*SEQUENCE(16,1,85,1)/100)))*MIN(1,acc/100)),0)</f>
        <v/>
      </c>
      <c r="N436" s="4">
        <f>IFERROR(LET(mtype,XLOOKUP($D436,'Move Editor'!$B:$B,'Move Editor'!$C:$C,""),cat,XLOOKUP($D436,'Move Editor'!$B:$B,'Move Editor'!$D:$D,""),pow,XLOOKUP($D436,'Move Editor'!$B:$B,'Move Editor'!$E:$E,0),acc,XLOOKUP($D436,'Move Editor'!$B:$B,'Move Editor'!$F:$F,100),atk,IF(cat="Physical",FLOOR((FLOOR(((2*XLOOKUP(XLOOKUP($Q436,'Threshold Summary'!$Y:$Y,'Threshold Summary'!$K:$K,""),'Pokemon Editor'!$A:$A,'Pokemon Editor'!$F:$F,0)+31+FLOOR(XLOOKUP($Q436,'Threshold Summary'!$Y:$Y,'Threshold Summary'!$P:$P,"")/4))*XLOOKUP($Q436,'Threshold Summary'!$Y:$Y,'Threshold Summary'!$L:$L,""))/100)+5)*XLOOKUP(XLOOKUP($Q436,'Threshold Summary'!$Y:$Y,'Threshold Summary'!$M:$M,""),'Nature Editor'!$A:$A,'Nature Editor'!$B:$B,1)),FLOOR((FLOOR(((2*XLOOKUP(XLOOKUP($Q436,'Threshold Summary'!$Y:$Y,'Threshold Summary'!$K:$K,""),'Pokemon Editor'!$A:$A,'Pokemon Editor'!$H:$H,0)+31+FLOOR(XLOOKUP($Q436,'Threshold Summary'!$Y:$Y,'Threshold Summary'!$R:$R,"")/4))*XLOOKUP($Q436,'Threshold Summary'!$Y:$Y,'Threshold Summary'!$L:$L,""))/100)+5)*XLOOKUP(XLOOKUP($Q436,'Threshold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Editor'!$E:$E,1))),stab,IF(OR(mtype=XLOOKUP(XLOOKUP($Q436,'Threshold Summary'!$Y:$Y,'Threshold Summary'!$K:$K,""),'Pokemon Editor'!$A:$A,'Pokemon Editor'!$C:$C,""),mtype=XLOOKUP(XLOOKUP($Q436,'Threshold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Chart'!$B$1:$S$1,0)))),base,IF(OR(cat="Status",pow=0),0,FLOOR(FLOOR(FLOOR((2*XLOOKUP($Q436,'Threshold Summary'!$Y:$Y,'Threshold Summary'!$L:$L,"")/5+2)*pow*atk/def)/50)+2)),modifier,stab*eff,AVERAGE(ARRAYFORMULA(FLOOR(base*modifier*SEQUENCE(16,1,85,1)/100)))/(FLOOR(((2*XLOOKUP('Boss Editor'!$C$4,'Pokemon Editor'!$A:$A,'Pokemon Editor'!$E:$E,0)+31+FLOOR('Boss Editor'!$G$4/4))*'Boss Editor'!$D$4)/100)+'Boss Editor'!$D$4+10)),0)</f>
        <v/>
      </c>
      <c r="O436" s="3">
        <f>IF(N436&gt;=1,"OHKO",IF(N436&gt;=0.5,"2HKO",IF(N436&gt;=0.333,"3HKO",IF(N436&gt;=0.25,"4HKO","5HKO+"))))</f>
        <v/>
      </c>
      <c r="P436" s="3" t="inlineStr">
        <is>
          <t>Live from editable databases</t>
        </is>
      </c>
      <c r="Q436" s="3" t="inlineStr">
        <is>
          <t>SPECIES_BUNEARY</t>
        </is>
      </c>
      <c r="R436" s="3" t="n">
        <v>19</v>
      </c>
    </row>
    <row r="437">
      <c r="A437" s="3">
        <f>XLOOKUP($Q437,'Threshold Summary'!$Y:$Y,'Threshold Summary'!$A:$A,"")</f>
        <v/>
      </c>
      <c r="B437" s="3">
        <f>XLOOKUP($Q437,'Threshold Summary'!$Y:$Y,'Threshold Summary'!$M:$M,"")</f>
        <v/>
      </c>
      <c r="C437" s="3">
        <f>XLOOKUP($Q437,'Threshold Summary'!$Y:$Y,'Threshold Summary'!$N:$N,"")</f>
        <v/>
      </c>
      <c r="D437" s="3">
        <f>IFERROR(INDEX(FILTER('Learnset Editor'!$D$2:$D,'Learnset Editor'!$A$2:$A=XLOOKUP($Q437,'Threshold Summary'!$Y:$Y,'Threshold Summary'!$K:$K,""),'Learnset Editor'!$C$2:$C&lt;=XLOOKUP($Q437,'Threshold Summary'!$Y:$Y,'Threshold Summary'!$L:$L,"")),$R437),"")</f>
        <v/>
      </c>
      <c r="E437" s="3">
        <f>XLOOKUP(D437,'Move Editor'!$B:$B,'Move Editor'!$C:$C,"")</f>
        <v/>
      </c>
      <c r="F437" s="3">
        <f>XLOOKUP(D437,'Move Editor'!$B:$B,'Move Editor'!$D:$D,"")</f>
        <v/>
      </c>
      <c r="G437" s="3">
        <f>XLOOKUP(D437,'Move Editor'!$B:$B,'Move Editor'!$E:$E,0)</f>
        <v/>
      </c>
      <c r="H437" s="3">
        <f>XLOOKUP(D437,'Move Editor'!$B:$B,'Move Editor'!$F:$F,0)</f>
        <v/>
      </c>
      <c r="I437" s="3">
        <f>(INDEX('Type Chart'!$B:$S,MATCH(E437,'Type Chart'!$A:$A,0),MATCH(XLOOKUP('Boss Editor'!$C$4,'Pokemon Editor'!$A:$A,'Pokemon Editor'!$C:$C,""),'Type Chart'!$B$1:$S$1,0))*IF(XLOOKUP('Boss Editor'!$C$4,'Pokemon Editor'!$A:$A,'Pokemon Editor'!$D:$D,"")="",1,INDEX('Type Chart'!$B:$S,MATCH(E437,'Type Chart'!$A:$A,0),MATCH(XLOOKUP('Boss Editor'!$C$4,'Pokemon Editor'!$A:$A,'Pokemon Editor'!$D:$D,""),'Type Chart'!$B$1:$S$1,0))))</f>
        <v/>
      </c>
      <c r="J437" s="3">
        <f>IFERROR(LET(mtype,XLOOKUP($D437,'Move Editor'!$B:$B,'Move Editor'!$C:$C,""),cat,XLOOKUP($D437,'Move Editor'!$B:$B,'Move Editor'!$D:$D,""),pow,XLOOKUP($D437,'Move Editor'!$B:$B,'Move Editor'!$E:$E,0),acc,XLOOKUP($D437,'Move Editor'!$B:$B,'Move Editor'!$F:$F,100),atk,IF(cat="Physical",FLOOR((FLOOR(((2*XLOOKUP(XLOOKUP($Q437,'Threshold Summary'!$Y:$Y,'Threshold Summary'!$K:$K,""),'Pokemon Editor'!$A:$A,'Pokemon Editor'!$F:$F,0)+31+FLOOR(XLOOKUP($Q437,'Threshold Summary'!$Y:$Y,'Threshold Summary'!$P:$P,"")/4))*XLOOKUP($Q437,'Threshold Summary'!$Y:$Y,'Threshold Summary'!$L:$L,""))/100)+5)*XLOOKUP(XLOOKUP($Q437,'Threshold Summary'!$Y:$Y,'Threshold Summary'!$M:$M,""),'Nature Editor'!$A:$A,'Nature Editor'!$B:$B,1)),FLOOR((FLOOR(((2*XLOOKUP(XLOOKUP($Q437,'Threshold Summary'!$Y:$Y,'Threshold Summary'!$K:$K,""),'Pokemon Editor'!$A:$A,'Pokemon Editor'!$H:$H,0)+31+FLOOR(XLOOKUP($Q437,'Threshold Summary'!$Y:$Y,'Threshold Summary'!$R:$R,"")/4))*XLOOKUP($Q437,'Threshold Summary'!$Y:$Y,'Threshold Summary'!$L:$L,""))/100)+5)*XLOOKUP(XLOOKUP($Q437,'Threshold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Editor'!$E:$E,1))),stab,IF(OR(mtype=XLOOKUP(XLOOKUP($Q437,'Threshold Summary'!$Y:$Y,'Threshold Summary'!$K:$K,""),'Pokemon Editor'!$A:$A,'Pokemon Editor'!$C:$C,""),mtype=XLOOKUP(XLOOKUP($Q437,'Threshold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Chart'!$B$1:$S$1,0)))),base,IF(OR(cat="Status",pow=0),0,FLOOR(FLOOR(FLOOR((2*XLOOKUP($Q437,'Threshold Summary'!$Y:$Y,'Threshold Summary'!$L:$L,"")/5+2)*pow*atk/def)/50)+2)),modifier,stab*eff,FLOOR(base*modifier*0.85)),0)</f>
        <v/>
      </c>
      <c r="K437" s="3">
        <f>IFERROR(LET(mtype,XLOOKUP($D437,'Move Editor'!$B:$B,'Move Editor'!$C:$C,""),cat,XLOOKUP($D437,'Move Editor'!$B:$B,'Move Editor'!$D:$D,""),pow,XLOOKUP($D437,'Move Editor'!$B:$B,'Move Editor'!$E:$E,0),acc,XLOOKUP($D437,'Move Editor'!$B:$B,'Move Editor'!$F:$F,100),atk,IF(cat="Physical",FLOOR((FLOOR(((2*XLOOKUP(XLOOKUP($Q437,'Threshold Summary'!$Y:$Y,'Threshold Summary'!$K:$K,""),'Pokemon Editor'!$A:$A,'Pokemon Editor'!$F:$F,0)+31+FLOOR(XLOOKUP($Q437,'Threshold Summary'!$Y:$Y,'Threshold Summary'!$P:$P,"")/4))*XLOOKUP($Q437,'Threshold Summary'!$Y:$Y,'Threshold Summary'!$L:$L,""))/100)+5)*XLOOKUP(XLOOKUP($Q437,'Threshold Summary'!$Y:$Y,'Threshold Summary'!$M:$M,""),'Nature Editor'!$A:$A,'Nature Editor'!$B:$B,1)),FLOOR((FLOOR(((2*XLOOKUP(XLOOKUP($Q437,'Threshold Summary'!$Y:$Y,'Threshold Summary'!$K:$K,""),'Pokemon Editor'!$A:$A,'Pokemon Editor'!$H:$H,0)+31+FLOOR(XLOOKUP($Q437,'Threshold Summary'!$Y:$Y,'Threshold Summary'!$R:$R,"")/4))*XLOOKUP($Q437,'Threshold Summary'!$Y:$Y,'Threshold Summary'!$L:$L,""))/100)+5)*XLOOKUP(XLOOKUP($Q437,'Threshold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Editor'!$E:$E,1))),stab,IF(OR(mtype=XLOOKUP(XLOOKUP($Q437,'Threshold Summary'!$Y:$Y,'Threshold Summary'!$K:$K,""),'Pokemon Editor'!$A:$A,'Pokemon Editor'!$C:$C,""),mtype=XLOOKUP(XLOOKUP($Q437,'Threshold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Chart'!$B$1:$S$1,0)))),base,IF(OR(cat="Status",pow=0),0,FLOOR(FLOOR(FLOOR((2*XLOOKUP($Q437,'Threshold Summary'!$Y:$Y,'Threshold Summary'!$L:$L,"")/5+2)*pow*atk/def)/50)+2)),modifier,stab*eff,FLOOR(base*modifier)),0)</f>
        <v/>
      </c>
      <c r="L437" s="3">
        <f>IFERROR(LET(mtype,XLOOKUP($D437,'Move Editor'!$B:$B,'Move Editor'!$C:$C,""),cat,XLOOKUP($D437,'Move Editor'!$B:$B,'Move Editor'!$D:$D,""),pow,XLOOKUP($D437,'Move Editor'!$B:$B,'Move Editor'!$E:$E,0),acc,XLOOKUP($D437,'Move Editor'!$B:$B,'Move Editor'!$F:$F,100),atk,IF(cat="Physical",FLOOR((FLOOR(((2*XLOOKUP(XLOOKUP($Q437,'Threshold Summary'!$Y:$Y,'Threshold Summary'!$K:$K,""),'Pokemon Editor'!$A:$A,'Pokemon Editor'!$F:$F,0)+31+FLOOR(XLOOKUP($Q437,'Threshold Summary'!$Y:$Y,'Threshold Summary'!$P:$P,"")/4))*XLOOKUP($Q437,'Threshold Summary'!$Y:$Y,'Threshold Summary'!$L:$L,""))/100)+5)*XLOOKUP(XLOOKUP($Q437,'Threshold Summary'!$Y:$Y,'Threshold Summary'!$M:$M,""),'Nature Editor'!$A:$A,'Nature Editor'!$B:$B,1)),FLOOR((FLOOR(((2*XLOOKUP(XLOOKUP($Q437,'Threshold Summary'!$Y:$Y,'Threshold Summary'!$K:$K,""),'Pokemon Editor'!$A:$A,'Pokemon Editor'!$H:$H,0)+31+FLOOR(XLOOKUP($Q437,'Threshold Summary'!$Y:$Y,'Threshold Summary'!$R:$R,"")/4))*XLOOKUP($Q437,'Threshold Summary'!$Y:$Y,'Threshold Summary'!$L:$L,""))/100)+5)*XLOOKUP(XLOOKUP($Q437,'Threshold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Editor'!$E:$E,1))),stab,IF(OR(mtype=XLOOKUP(XLOOKUP($Q437,'Threshold Summary'!$Y:$Y,'Threshold Summary'!$K:$K,""),'Pokemon Editor'!$A:$A,'Pokemon Editor'!$C:$C,""),mtype=XLOOKUP(XLOOKUP($Q437,'Threshold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Chart'!$B$1:$S$1,0)))),base,IF(OR(cat="Status",pow=0),0,FLOOR(FLOOR(FLOOR((2*XLOOKUP($Q437,'Threshold Summary'!$Y:$Y,'Threshold Summary'!$L:$L,"")/5+2)*pow*atk/def)/50)+2)),modifier,stab*eff,AVERAGE(ARRAYFORMULA(FLOOR(base*modifier*SEQUENCE(16,1,85,1)/100)))),0)</f>
        <v/>
      </c>
      <c r="M437" s="3">
        <f>IFERROR(LET(mtype,XLOOKUP($D437,'Move Editor'!$B:$B,'Move Editor'!$C:$C,""),cat,XLOOKUP($D437,'Move Editor'!$B:$B,'Move Editor'!$D:$D,""),pow,XLOOKUP($D437,'Move Editor'!$B:$B,'Move Editor'!$E:$E,0),acc,XLOOKUP($D437,'Move Editor'!$B:$B,'Move Editor'!$F:$F,100),atk,IF(cat="Physical",FLOOR((FLOOR(((2*XLOOKUP(XLOOKUP($Q437,'Threshold Summary'!$Y:$Y,'Threshold Summary'!$K:$K,""),'Pokemon Editor'!$A:$A,'Pokemon Editor'!$F:$F,0)+31+FLOOR(XLOOKUP($Q437,'Threshold Summary'!$Y:$Y,'Threshold Summary'!$P:$P,"")/4))*XLOOKUP($Q437,'Threshold Summary'!$Y:$Y,'Threshold Summary'!$L:$L,""))/100)+5)*XLOOKUP(XLOOKUP($Q437,'Threshold Summary'!$Y:$Y,'Threshold Summary'!$M:$M,""),'Nature Editor'!$A:$A,'Nature Editor'!$B:$B,1)),FLOOR((FLOOR(((2*XLOOKUP(XLOOKUP($Q437,'Threshold Summary'!$Y:$Y,'Threshold Summary'!$K:$K,""),'Pokemon Editor'!$A:$A,'Pokemon Editor'!$H:$H,0)+31+FLOOR(XLOOKUP($Q437,'Threshold Summary'!$Y:$Y,'Threshold Summary'!$R:$R,"")/4))*XLOOKUP($Q437,'Threshold Summary'!$Y:$Y,'Threshold Summary'!$L:$L,""))/100)+5)*XLOOKUP(XLOOKUP($Q437,'Threshold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Editor'!$E:$E,1))),stab,IF(OR(mtype=XLOOKUP(XLOOKUP($Q437,'Threshold Summary'!$Y:$Y,'Threshold Summary'!$K:$K,""),'Pokemon Editor'!$A:$A,'Pokemon Editor'!$C:$C,""),mtype=XLOOKUP(XLOOKUP($Q437,'Threshold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Chart'!$B$1:$S$1,0)))),base,IF(OR(cat="Status",pow=0),0,FLOOR(FLOOR(FLOOR((2*XLOOKUP($Q437,'Threshold Summary'!$Y:$Y,'Threshold Summary'!$L:$L,"")/5+2)*pow*atk/def)/50)+2)),modifier,stab*eff,AVERAGE(ARRAYFORMULA(FLOOR(base*modifier*SEQUENCE(16,1,85,1)/100)))*MIN(1,acc/100)),0)</f>
        <v/>
      </c>
      <c r="N437" s="4">
        <f>IFERROR(LET(mtype,XLOOKUP($D437,'Move Editor'!$B:$B,'Move Editor'!$C:$C,""),cat,XLOOKUP($D437,'Move Editor'!$B:$B,'Move Editor'!$D:$D,""),pow,XLOOKUP($D437,'Move Editor'!$B:$B,'Move Editor'!$E:$E,0),acc,XLOOKUP($D437,'Move Editor'!$B:$B,'Move Editor'!$F:$F,100),atk,IF(cat="Physical",FLOOR((FLOOR(((2*XLOOKUP(XLOOKUP($Q437,'Threshold Summary'!$Y:$Y,'Threshold Summary'!$K:$K,""),'Pokemon Editor'!$A:$A,'Pokemon Editor'!$F:$F,0)+31+FLOOR(XLOOKUP($Q437,'Threshold Summary'!$Y:$Y,'Threshold Summary'!$P:$P,"")/4))*XLOOKUP($Q437,'Threshold Summary'!$Y:$Y,'Threshold Summary'!$L:$L,""))/100)+5)*XLOOKUP(XLOOKUP($Q437,'Threshold Summary'!$Y:$Y,'Threshold Summary'!$M:$M,""),'Nature Editor'!$A:$A,'Nature Editor'!$B:$B,1)),FLOOR((FLOOR(((2*XLOOKUP(XLOOKUP($Q437,'Threshold Summary'!$Y:$Y,'Threshold Summary'!$K:$K,""),'Pokemon Editor'!$A:$A,'Pokemon Editor'!$H:$H,0)+31+FLOOR(XLOOKUP($Q437,'Threshold Summary'!$Y:$Y,'Threshold Summary'!$R:$R,"")/4))*XLOOKUP($Q437,'Threshold Summary'!$Y:$Y,'Threshold Summary'!$L:$L,""))/100)+5)*XLOOKUP(XLOOKUP($Q437,'Threshold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Editor'!$E:$E,1))),stab,IF(OR(mtype=XLOOKUP(XLOOKUP($Q437,'Threshold Summary'!$Y:$Y,'Threshold Summary'!$K:$K,""),'Pokemon Editor'!$A:$A,'Pokemon Editor'!$C:$C,""),mtype=XLOOKUP(XLOOKUP($Q437,'Threshold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Chart'!$B$1:$S$1,0)))),base,IF(OR(cat="Status",pow=0),0,FLOOR(FLOOR(FLOOR((2*XLOOKUP($Q437,'Threshold Summary'!$Y:$Y,'Threshold Summary'!$L:$L,"")/5+2)*pow*atk/def)/50)+2)),modifier,stab*eff,AVERAGE(ARRAYFORMULA(FLOOR(base*modifier*SEQUENCE(16,1,85,1)/100)))/(FLOOR(((2*XLOOKUP('Boss Editor'!$C$4,'Pokemon Editor'!$A:$A,'Pokemon Editor'!$E:$E,0)+31+FLOOR('Boss Editor'!$G$4/4))*'Boss Editor'!$D$4)/100)+'Boss Editor'!$D$4+10)),0)</f>
        <v/>
      </c>
      <c r="O437" s="3">
        <f>IF(N437&gt;=1,"OHKO",IF(N437&gt;=0.5,"2HKO",IF(N437&gt;=0.333,"3HKO",IF(N437&gt;=0.25,"4HKO","5HKO+"))))</f>
        <v/>
      </c>
      <c r="P437" s="3" t="inlineStr">
        <is>
          <t>Live from editable databases</t>
        </is>
      </c>
      <c r="Q437" s="3" t="inlineStr">
        <is>
          <t>SPECIES_BUNEARY</t>
        </is>
      </c>
      <c r="R437" s="3" t="n">
        <v>20</v>
      </c>
    </row>
    <row r="438">
      <c r="A438" s="3">
        <f>XLOOKUP($Q438,'Threshold Summary'!$Y:$Y,'Threshold Summary'!$A:$A,"")</f>
        <v/>
      </c>
      <c r="B438" s="3">
        <f>XLOOKUP($Q438,'Threshold Summary'!$Y:$Y,'Threshold Summary'!$M:$M,"")</f>
        <v/>
      </c>
      <c r="C438" s="3">
        <f>XLOOKUP($Q438,'Threshold Summary'!$Y:$Y,'Threshold Summary'!$N:$N,"")</f>
        <v/>
      </c>
      <c r="D438" s="3">
        <f>IFERROR(INDEX(FILTER('Learnset Editor'!$D$2:$D,'Learnset Editor'!$A$2:$A=XLOOKUP($Q438,'Threshold Summary'!$Y:$Y,'Threshold Summary'!$K:$K,""),'Learnset Editor'!$C$2:$C&lt;=XLOOKUP($Q438,'Threshold Summary'!$Y:$Y,'Threshold Summary'!$L:$L,"")),$R438),"")</f>
        <v/>
      </c>
      <c r="E438" s="3">
        <f>XLOOKUP(D438,'Move Editor'!$B:$B,'Move Editor'!$C:$C,"")</f>
        <v/>
      </c>
      <c r="F438" s="3">
        <f>XLOOKUP(D438,'Move Editor'!$B:$B,'Move Editor'!$D:$D,"")</f>
        <v/>
      </c>
      <c r="G438" s="3">
        <f>XLOOKUP(D438,'Move Editor'!$B:$B,'Move Editor'!$E:$E,0)</f>
        <v/>
      </c>
      <c r="H438" s="3">
        <f>XLOOKUP(D438,'Move Editor'!$B:$B,'Move Editor'!$F:$F,0)</f>
        <v/>
      </c>
      <c r="I438" s="3">
        <f>(INDEX('Type Chart'!$B:$S,MATCH(E438,'Type Chart'!$A:$A,0),MATCH(XLOOKUP('Boss Editor'!$C$4,'Pokemon Editor'!$A:$A,'Pokemon Editor'!$C:$C,""),'Type Chart'!$B$1:$S$1,0))*IF(XLOOKUP('Boss Editor'!$C$4,'Pokemon Editor'!$A:$A,'Pokemon Editor'!$D:$D,"")="",1,INDEX('Type Chart'!$B:$S,MATCH(E438,'Type Chart'!$A:$A,0),MATCH(XLOOKUP('Boss Editor'!$C$4,'Pokemon Editor'!$A:$A,'Pokemon Editor'!$D:$D,""),'Type Chart'!$B$1:$S$1,0))))</f>
        <v/>
      </c>
      <c r="J438" s="3">
        <f>IFERROR(LET(mtype,XLOOKUP($D438,'Move Editor'!$B:$B,'Move Editor'!$C:$C,""),cat,XLOOKUP($D438,'Move Editor'!$B:$B,'Move Editor'!$D:$D,""),pow,XLOOKUP($D438,'Move Editor'!$B:$B,'Move Editor'!$E:$E,0),acc,XLOOKUP($D438,'Move Editor'!$B:$B,'Move Editor'!$F:$F,100),atk,IF(cat="Physical",FLOOR((FLOOR(((2*XLOOKUP(XLOOKUP($Q438,'Threshold Summary'!$Y:$Y,'Threshold Summary'!$K:$K,""),'Pokemon Editor'!$A:$A,'Pokemon Editor'!$F:$F,0)+31+FLOOR(XLOOKUP($Q438,'Threshold Summary'!$Y:$Y,'Threshold Summary'!$P:$P,"")/4))*XLOOKUP($Q438,'Threshold Summary'!$Y:$Y,'Threshold Summary'!$L:$L,""))/100)+5)*XLOOKUP(XLOOKUP($Q438,'Threshold Summary'!$Y:$Y,'Threshold Summary'!$M:$M,""),'Nature Editor'!$A:$A,'Nature Editor'!$B:$B,1)),FLOOR((FLOOR(((2*XLOOKUP(XLOOKUP($Q438,'Threshold Summary'!$Y:$Y,'Threshold Summary'!$K:$K,""),'Pokemon Editor'!$A:$A,'Pokemon Editor'!$H:$H,0)+31+FLOOR(XLOOKUP($Q438,'Threshold Summary'!$Y:$Y,'Threshold Summary'!$R:$R,"")/4))*XLOOKUP($Q438,'Threshold Summary'!$Y:$Y,'Threshold Summary'!$L:$L,""))/100)+5)*XLOOKUP(XLOOKUP($Q438,'Threshold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Editor'!$E:$E,1))),stab,IF(OR(mtype=XLOOKUP(XLOOKUP($Q438,'Threshold Summary'!$Y:$Y,'Threshold Summary'!$K:$K,""),'Pokemon Editor'!$A:$A,'Pokemon Editor'!$C:$C,""),mtype=XLOOKUP(XLOOKUP($Q438,'Threshold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Chart'!$B$1:$S$1,0)))),base,IF(OR(cat="Status",pow=0),0,FLOOR(FLOOR(FLOOR((2*XLOOKUP($Q438,'Threshold Summary'!$Y:$Y,'Threshold Summary'!$L:$L,"")/5+2)*pow*atk/def)/50)+2)),modifier,stab*eff,FLOOR(base*modifier*0.85)),0)</f>
        <v/>
      </c>
      <c r="K438" s="3">
        <f>IFERROR(LET(mtype,XLOOKUP($D438,'Move Editor'!$B:$B,'Move Editor'!$C:$C,""),cat,XLOOKUP($D438,'Move Editor'!$B:$B,'Move Editor'!$D:$D,""),pow,XLOOKUP($D438,'Move Editor'!$B:$B,'Move Editor'!$E:$E,0),acc,XLOOKUP($D438,'Move Editor'!$B:$B,'Move Editor'!$F:$F,100),atk,IF(cat="Physical",FLOOR((FLOOR(((2*XLOOKUP(XLOOKUP($Q438,'Threshold Summary'!$Y:$Y,'Threshold Summary'!$K:$K,""),'Pokemon Editor'!$A:$A,'Pokemon Editor'!$F:$F,0)+31+FLOOR(XLOOKUP($Q438,'Threshold Summary'!$Y:$Y,'Threshold Summary'!$P:$P,"")/4))*XLOOKUP($Q438,'Threshold Summary'!$Y:$Y,'Threshold Summary'!$L:$L,""))/100)+5)*XLOOKUP(XLOOKUP($Q438,'Threshold Summary'!$Y:$Y,'Threshold Summary'!$M:$M,""),'Nature Editor'!$A:$A,'Nature Editor'!$B:$B,1)),FLOOR((FLOOR(((2*XLOOKUP(XLOOKUP($Q438,'Threshold Summary'!$Y:$Y,'Threshold Summary'!$K:$K,""),'Pokemon Editor'!$A:$A,'Pokemon Editor'!$H:$H,0)+31+FLOOR(XLOOKUP($Q438,'Threshold Summary'!$Y:$Y,'Threshold Summary'!$R:$R,"")/4))*XLOOKUP($Q438,'Threshold Summary'!$Y:$Y,'Threshold Summary'!$L:$L,""))/100)+5)*XLOOKUP(XLOOKUP($Q438,'Threshold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Editor'!$E:$E,1))),stab,IF(OR(mtype=XLOOKUP(XLOOKUP($Q438,'Threshold Summary'!$Y:$Y,'Threshold Summary'!$K:$K,""),'Pokemon Editor'!$A:$A,'Pokemon Editor'!$C:$C,""),mtype=XLOOKUP(XLOOKUP($Q438,'Threshold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Chart'!$B$1:$S$1,0)))),base,IF(OR(cat="Status",pow=0),0,FLOOR(FLOOR(FLOOR((2*XLOOKUP($Q438,'Threshold Summary'!$Y:$Y,'Threshold Summary'!$L:$L,"")/5+2)*pow*atk/def)/50)+2)),modifier,stab*eff,FLOOR(base*modifier)),0)</f>
        <v/>
      </c>
      <c r="L438" s="3">
        <f>IFERROR(LET(mtype,XLOOKUP($D438,'Move Editor'!$B:$B,'Move Editor'!$C:$C,""),cat,XLOOKUP($D438,'Move Editor'!$B:$B,'Move Editor'!$D:$D,""),pow,XLOOKUP($D438,'Move Editor'!$B:$B,'Move Editor'!$E:$E,0),acc,XLOOKUP($D438,'Move Editor'!$B:$B,'Move Editor'!$F:$F,100),atk,IF(cat="Physical",FLOOR((FLOOR(((2*XLOOKUP(XLOOKUP($Q438,'Threshold Summary'!$Y:$Y,'Threshold Summary'!$K:$K,""),'Pokemon Editor'!$A:$A,'Pokemon Editor'!$F:$F,0)+31+FLOOR(XLOOKUP($Q438,'Threshold Summary'!$Y:$Y,'Threshold Summary'!$P:$P,"")/4))*XLOOKUP($Q438,'Threshold Summary'!$Y:$Y,'Threshold Summary'!$L:$L,""))/100)+5)*XLOOKUP(XLOOKUP($Q438,'Threshold Summary'!$Y:$Y,'Threshold Summary'!$M:$M,""),'Nature Editor'!$A:$A,'Nature Editor'!$B:$B,1)),FLOOR((FLOOR(((2*XLOOKUP(XLOOKUP($Q438,'Threshold Summary'!$Y:$Y,'Threshold Summary'!$K:$K,""),'Pokemon Editor'!$A:$A,'Pokemon Editor'!$H:$H,0)+31+FLOOR(XLOOKUP($Q438,'Threshold Summary'!$Y:$Y,'Threshold Summary'!$R:$R,"")/4))*XLOOKUP($Q438,'Threshold Summary'!$Y:$Y,'Threshold Summary'!$L:$L,""))/100)+5)*XLOOKUP(XLOOKUP($Q438,'Threshold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Editor'!$E:$E,1))),stab,IF(OR(mtype=XLOOKUP(XLOOKUP($Q438,'Threshold Summary'!$Y:$Y,'Threshold Summary'!$K:$K,""),'Pokemon Editor'!$A:$A,'Pokemon Editor'!$C:$C,""),mtype=XLOOKUP(XLOOKUP($Q438,'Threshold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Chart'!$B$1:$S$1,0)))),base,IF(OR(cat="Status",pow=0),0,FLOOR(FLOOR(FLOOR((2*XLOOKUP($Q438,'Threshold Summary'!$Y:$Y,'Threshold Summary'!$L:$L,"")/5+2)*pow*atk/def)/50)+2)),modifier,stab*eff,AVERAGE(ARRAYFORMULA(FLOOR(base*modifier*SEQUENCE(16,1,85,1)/100)))),0)</f>
        <v/>
      </c>
      <c r="M438" s="3">
        <f>IFERROR(LET(mtype,XLOOKUP($D438,'Move Editor'!$B:$B,'Move Editor'!$C:$C,""),cat,XLOOKUP($D438,'Move Editor'!$B:$B,'Move Editor'!$D:$D,""),pow,XLOOKUP($D438,'Move Editor'!$B:$B,'Move Editor'!$E:$E,0),acc,XLOOKUP($D438,'Move Editor'!$B:$B,'Move Editor'!$F:$F,100),atk,IF(cat="Physical",FLOOR((FLOOR(((2*XLOOKUP(XLOOKUP($Q438,'Threshold Summary'!$Y:$Y,'Threshold Summary'!$K:$K,""),'Pokemon Editor'!$A:$A,'Pokemon Editor'!$F:$F,0)+31+FLOOR(XLOOKUP($Q438,'Threshold Summary'!$Y:$Y,'Threshold Summary'!$P:$P,"")/4))*XLOOKUP($Q438,'Threshold Summary'!$Y:$Y,'Threshold Summary'!$L:$L,""))/100)+5)*XLOOKUP(XLOOKUP($Q438,'Threshold Summary'!$Y:$Y,'Threshold Summary'!$M:$M,""),'Nature Editor'!$A:$A,'Nature Editor'!$B:$B,1)),FLOOR((FLOOR(((2*XLOOKUP(XLOOKUP($Q438,'Threshold Summary'!$Y:$Y,'Threshold Summary'!$K:$K,""),'Pokemon Editor'!$A:$A,'Pokemon Editor'!$H:$H,0)+31+FLOOR(XLOOKUP($Q438,'Threshold Summary'!$Y:$Y,'Threshold Summary'!$R:$R,"")/4))*XLOOKUP($Q438,'Threshold Summary'!$Y:$Y,'Threshold Summary'!$L:$L,""))/100)+5)*XLOOKUP(XLOOKUP($Q438,'Threshold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Editor'!$E:$E,1))),stab,IF(OR(mtype=XLOOKUP(XLOOKUP($Q438,'Threshold Summary'!$Y:$Y,'Threshold Summary'!$K:$K,""),'Pokemon Editor'!$A:$A,'Pokemon Editor'!$C:$C,""),mtype=XLOOKUP(XLOOKUP($Q438,'Threshold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Chart'!$B$1:$S$1,0)))),base,IF(OR(cat="Status",pow=0),0,FLOOR(FLOOR(FLOOR((2*XLOOKUP($Q438,'Threshold Summary'!$Y:$Y,'Threshold Summary'!$L:$L,"")/5+2)*pow*atk/def)/50)+2)),modifier,stab*eff,AVERAGE(ARRAYFORMULA(FLOOR(base*modifier*SEQUENCE(16,1,85,1)/100)))*MIN(1,acc/100)),0)</f>
        <v/>
      </c>
      <c r="N438" s="4">
        <f>IFERROR(LET(mtype,XLOOKUP($D438,'Move Editor'!$B:$B,'Move Editor'!$C:$C,""),cat,XLOOKUP($D438,'Move Editor'!$B:$B,'Move Editor'!$D:$D,""),pow,XLOOKUP($D438,'Move Editor'!$B:$B,'Move Editor'!$E:$E,0),acc,XLOOKUP($D438,'Move Editor'!$B:$B,'Move Editor'!$F:$F,100),atk,IF(cat="Physical",FLOOR((FLOOR(((2*XLOOKUP(XLOOKUP($Q438,'Threshold Summary'!$Y:$Y,'Threshold Summary'!$K:$K,""),'Pokemon Editor'!$A:$A,'Pokemon Editor'!$F:$F,0)+31+FLOOR(XLOOKUP($Q438,'Threshold Summary'!$Y:$Y,'Threshold Summary'!$P:$P,"")/4))*XLOOKUP($Q438,'Threshold Summary'!$Y:$Y,'Threshold Summary'!$L:$L,""))/100)+5)*XLOOKUP(XLOOKUP($Q438,'Threshold Summary'!$Y:$Y,'Threshold Summary'!$M:$M,""),'Nature Editor'!$A:$A,'Nature Editor'!$B:$B,1)),FLOOR((FLOOR(((2*XLOOKUP(XLOOKUP($Q438,'Threshold Summary'!$Y:$Y,'Threshold Summary'!$K:$K,""),'Pokemon Editor'!$A:$A,'Pokemon Editor'!$H:$H,0)+31+FLOOR(XLOOKUP($Q438,'Threshold Summary'!$Y:$Y,'Threshold Summary'!$R:$R,"")/4))*XLOOKUP($Q438,'Threshold Summary'!$Y:$Y,'Threshold Summary'!$L:$L,""))/100)+5)*XLOOKUP(XLOOKUP($Q438,'Threshold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Editor'!$E:$E,1))),stab,IF(OR(mtype=XLOOKUP(XLOOKUP($Q438,'Threshold Summary'!$Y:$Y,'Threshold Summary'!$K:$K,""),'Pokemon Editor'!$A:$A,'Pokemon Editor'!$C:$C,""),mtype=XLOOKUP(XLOOKUP($Q438,'Threshold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Chart'!$B$1:$S$1,0)))),base,IF(OR(cat="Status",pow=0),0,FLOOR(FLOOR(FLOOR((2*XLOOKUP($Q438,'Threshold Summary'!$Y:$Y,'Threshold Summary'!$L:$L,"")/5+2)*pow*atk/def)/50)+2)),modifier,stab*eff,AVERAGE(ARRAYFORMULA(FLOOR(base*modifier*SEQUENCE(16,1,85,1)/100)))/(FLOOR(((2*XLOOKUP('Boss Editor'!$C$4,'Pokemon Editor'!$A:$A,'Pokemon Editor'!$E:$E,0)+31+FLOOR('Boss Editor'!$G$4/4))*'Boss Editor'!$D$4)/100)+'Boss Editor'!$D$4+10)),0)</f>
        <v/>
      </c>
      <c r="O438" s="3">
        <f>IF(N438&gt;=1,"OHKO",IF(N438&gt;=0.5,"2HKO",IF(N438&gt;=0.333,"3HKO",IF(N438&gt;=0.25,"4HKO","5HKO+"))))</f>
        <v/>
      </c>
      <c r="P438" s="3" t="inlineStr">
        <is>
          <t>Live from editable databases</t>
        </is>
      </c>
      <c r="Q438" s="3" t="inlineStr">
        <is>
          <t>SPECIES_BUNEARY</t>
        </is>
      </c>
      <c r="R438" s="3" t="n">
        <v>21</v>
      </c>
    </row>
    <row r="439">
      <c r="A439" s="3">
        <f>XLOOKUP($Q439,'Threshold Summary'!$Y:$Y,'Threshold Summary'!$A:$A,"")</f>
        <v/>
      </c>
      <c r="B439" s="3">
        <f>XLOOKUP($Q439,'Threshold Summary'!$Y:$Y,'Threshold Summary'!$M:$M,"")</f>
        <v/>
      </c>
      <c r="C439" s="3">
        <f>XLOOKUP($Q439,'Threshold Summary'!$Y:$Y,'Threshold Summary'!$N:$N,"")</f>
        <v/>
      </c>
      <c r="D439" s="3">
        <f>IFERROR(INDEX(FILTER('Learnset Editor'!$D$2:$D,'Learnset Editor'!$A$2:$A=XLOOKUP($Q439,'Threshold Summary'!$Y:$Y,'Threshold Summary'!$K:$K,""),'Learnset Editor'!$C$2:$C&lt;=XLOOKUP($Q439,'Threshold Summary'!$Y:$Y,'Threshold Summary'!$L:$L,"")),$R439),"")</f>
        <v/>
      </c>
      <c r="E439" s="3">
        <f>XLOOKUP(D439,'Move Editor'!$B:$B,'Move Editor'!$C:$C,"")</f>
        <v/>
      </c>
      <c r="F439" s="3">
        <f>XLOOKUP(D439,'Move Editor'!$B:$B,'Move Editor'!$D:$D,"")</f>
        <v/>
      </c>
      <c r="G439" s="3">
        <f>XLOOKUP(D439,'Move Editor'!$B:$B,'Move Editor'!$E:$E,0)</f>
        <v/>
      </c>
      <c r="H439" s="3">
        <f>XLOOKUP(D439,'Move Editor'!$B:$B,'Move Editor'!$F:$F,0)</f>
        <v/>
      </c>
      <c r="I439" s="3">
        <f>(INDEX('Type Chart'!$B:$S,MATCH(E439,'Type Chart'!$A:$A,0),MATCH(XLOOKUP('Boss Editor'!$C$4,'Pokemon Editor'!$A:$A,'Pokemon Editor'!$C:$C,""),'Type Chart'!$B$1:$S$1,0))*IF(XLOOKUP('Boss Editor'!$C$4,'Pokemon Editor'!$A:$A,'Pokemon Editor'!$D:$D,"")="",1,INDEX('Type Chart'!$B:$S,MATCH(E439,'Type Chart'!$A:$A,0),MATCH(XLOOKUP('Boss Editor'!$C$4,'Pokemon Editor'!$A:$A,'Pokemon Editor'!$D:$D,""),'Type Chart'!$B$1:$S$1,0))))</f>
        <v/>
      </c>
      <c r="J439" s="3">
        <f>IFERROR(LET(mtype,XLOOKUP($D439,'Move Editor'!$B:$B,'Move Editor'!$C:$C,""),cat,XLOOKUP($D439,'Move Editor'!$B:$B,'Move Editor'!$D:$D,""),pow,XLOOKUP($D439,'Move Editor'!$B:$B,'Move Editor'!$E:$E,0),acc,XLOOKUP($D439,'Move Editor'!$B:$B,'Move Editor'!$F:$F,100),atk,IF(cat="Physical",FLOOR((FLOOR(((2*XLOOKUP(XLOOKUP($Q439,'Threshold Summary'!$Y:$Y,'Threshold Summary'!$K:$K,""),'Pokemon Editor'!$A:$A,'Pokemon Editor'!$F:$F,0)+31+FLOOR(XLOOKUP($Q439,'Threshold Summary'!$Y:$Y,'Threshold Summary'!$P:$P,"")/4))*XLOOKUP($Q439,'Threshold Summary'!$Y:$Y,'Threshold Summary'!$L:$L,""))/100)+5)*XLOOKUP(XLOOKUP($Q439,'Threshold Summary'!$Y:$Y,'Threshold Summary'!$M:$M,""),'Nature Editor'!$A:$A,'Nature Editor'!$B:$B,1)),FLOOR((FLOOR(((2*XLOOKUP(XLOOKUP($Q439,'Threshold Summary'!$Y:$Y,'Threshold Summary'!$K:$K,""),'Pokemon Editor'!$A:$A,'Pokemon Editor'!$H:$H,0)+31+FLOOR(XLOOKUP($Q439,'Threshold Summary'!$Y:$Y,'Threshold Summary'!$R:$R,"")/4))*XLOOKUP($Q439,'Threshold Summary'!$Y:$Y,'Threshold Summary'!$L:$L,""))/100)+5)*XLOOKUP(XLOOKUP($Q439,'Threshold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Editor'!$E:$E,1))),stab,IF(OR(mtype=XLOOKUP(XLOOKUP($Q439,'Threshold Summary'!$Y:$Y,'Threshold Summary'!$K:$K,""),'Pokemon Editor'!$A:$A,'Pokemon Editor'!$C:$C,""),mtype=XLOOKUP(XLOOKUP($Q439,'Threshold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Chart'!$B$1:$S$1,0)))),base,IF(OR(cat="Status",pow=0),0,FLOOR(FLOOR(FLOOR((2*XLOOKUP($Q439,'Threshold Summary'!$Y:$Y,'Threshold Summary'!$L:$L,"")/5+2)*pow*atk/def)/50)+2)),modifier,stab*eff,FLOOR(base*modifier*0.85)),0)</f>
        <v/>
      </c>
      <c r="K439" s="3">
        <f>IFERROR(LET(mtype,XLOOKUP($D439,'Move Editor'!$B:$B,'Move Editor'!$C:$C,""),cat,XLOOKUP($D439,'Move Editor'!$B:$B,'Move Editor'!$D:$D,""),pow,XLOOKUP($D439,'Move Editor'!$B:$B,'Move Editor'!$E:$E,0),acc,XLOOKUP($D439,'Move Editor'!$B:$B,'Move Editor'!$F:$F,100),atk,IF(cat="Physical",FLOOR((FLOOR(((2*XLOOKUP(XLOOKUP($Q439,'Threshold Summary'!$Y:$Y,'Threshold Summary'!$K:$K,""),'Pokemon Editor'!$A:$A,'Pokemon Editor'!$F:$F,0)+31+FLOOR(XLOOKUP($Q439,'Threshold Summary'!$Y:$Y,'Threshold Summary'!$P:$P,"")/4))*XLOOKUP($Q439,'Threshold Summary'!$Y:$Y,'Threshold Summary'!$L:$L,""))/100)+5)*XLOOKUP(XLOOKUP($Q439,'Threshold Summary'!$Y:$Y,'Threshold Summary'!$M:$M,""),'Nature Editor'!$A:$A,'Nature Editor'!$B:$B,1)),FLOOR((FLOOR(((2*XLOOKUP(XLOOKUP($Q439,'Threshold Summary'!$Y:$Y,'Threshold Summary'!$K:$K,""),'Pokemon Editor'!$A:$A,'Pokemon Editor'!$H:$H,0)+31+FLOOR(XLOOKUP($Q439,'Threshold Summary'!$Y:$Y,'Threshold Summary'!$R:$R,"")/4))*XLOOKUP($Q439,'Threshold Summary'!$Y:$Y,'Threshold Summary'!$L:$L,""))/100)+5)*XLOOKUP(XLOOKUP($Q439,'Threshold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Editor'!$E:$E,1))),stab,IF(OR(mtype=XLOOKUP(XLOOKUP($Q439,'Threshold Summary'!$Y:$Y,'Threshold Summary'!$K:$K,""),'Pokemon Editor'!$A:$A,'Pokemon Editor'!$C:$C,""),mtype=XLOOKUP(XLOOKUP($Q439,'Threshold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Chart'!$B$1:$S$1,0)))),base,IF(OR(cat="Status",pow=0),0,FLOOR(FLOOR(FLOOR((2*XLOOKUP($Q439,'Threshold Summary'!$Y:$Y,'Threshold Summary'!$L:$L,"")/5+2)*pow*atk/def)/50)+2)),modifier,stab*eff,FLOOR(base*modifier)),0)</f>
        <v/>
      </c>
      <c r="L439" s="3">
        <f>IFERROR(LET(mtype,XLOOKUP($D439,'Move Editor'!$B:$B,'Move Editor'!$C:$C,""),cat,XLOOKUP($D439,'Move Editor'!$B:$B,'Move Editor'!$D:$D,""),pow,XLOOKUP($D439,'Move Editor'!$B:$B,'Move Editor'!$E:$E,0),acc,XLOOKUP($D439,'Move Editor'!$B:$B,'Move Editor'!$F:$F,100),atk,IF(cat="Physical",FLOOR((FLOOR(((2*XLOOKUP(XLOOKUP($Q439,'Threshold Summary'!$Y:$Y,'Threshold Summary'!$K:$K,""),'Pokemon Editor'!$A:$A,'Pokemon Editor'!$F:$F,0)+31+FLOOR(XLOOKUP($Q439,'Threshold Summary'!$Y:$Y,'Threshold Summary'!$P:$P,"")/4))*XLOOKUP($Q439,'Threshold Summary'!$Y:$Y,'Threshold Summary'!$L:$L,""))/100)+5)*XLOOKUP(XLOOKUP($Q439,'Threshold Summary'!$Y:$Y,'Threshold Summary'!$M:$M,""),'Nature Editor'!$A:$A,'Nature Editor'!$B:$B,1)),FLOOR((FLOOR(((2*XLOOKUP(XLOOKUP($Q439,'Threshold Summary'!$Y:$Y,'Threshold Summary'!$K:$K,""),'Pokemon Editor'!$A:$A,'Pokemon Editor'!$H:$H,0)+31+FLOOR(XLOOKUP($Q439,'Threshold Summary'!$Y:$Y,'Threshold Summary'!$R:$R,"")/4))*XLOOKUP($Q439,'Threshold Summary'!$Y:$Y,'Threshold Summary'!$L:$L,""))/100)+5)*XLOOKUP(XLOOKUP($Q439,'Threshold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Editor'!$E:$E,1))),stab,IF(OR(mtype=XLOOKUP(XLOOKUP($Q439,'Threshold Summary'!$Y:$Y,'Threshold Summary'!$K:$K,""),'Pokemon Editor'!$A:$A,'Pokemon Editor'!$C:$C,""),mtype=XLOOKUP(XLOOKUP($Q439,'Threshold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Chart'!$B$1:$S$1,0)))),base,IF(OR(cat="Status",pow=0),0,FLOOR(FLOOR(FLOOR((2*XLOOKUP($Q439,'Threshold Summary'!$Y:$Y,'Threshold Summary'!$L:$L,"")/5+2)*pow*atk/def)/50)+2)),modifier,stab*eff,AVERAGE(ARRAYFORMULA(FLOOR(base*modifier*SEQUENCE(16,1,85,1)/100)))),0)</f>
        <v/>
      </c>
      <c r="M439" s="3">
        <f>IFERROR(LET(mtype,XLOOKUP($D439,'Move Editor'!$B:$B,'Move Editor'!$C:$C,""),cat,XLOOKUP($D439,'Move Editor'!$B:$B,'Move Editor'!$D:$D,""),pow,XLOOKUP($D439,'Move Editor'!$B:$B,'Move Editor'!$E:$E,0),acc,XLOOKUP($D439,'Move Editor'!$B:$B,'Move Editor'!$F:$F,100),atk,IF(cat="Physical",FLOOR((FLOOR(((2*XLOOKUP(XLOOKUP($Q439,'Threshold Summary'!$Y:$Y,'Threshold Summary'!$K:$K,""),'Pokemon Editor'!$A:$A,'Pokemon Editor'!$F:$F,0)+31+FLOOR(XLOOKUP($Q439,'Threshold Summary'!$Y:$Y,'Threshold Summary'!$P:$P,"")/4))*XLOOKUP($Q439,'Threshold Summary'!$Y:$Y,'Threshold Summary'!$L:$L,""))/100)+5)*XLOOKUP(XLOOKUP($Q439,'Threshold Summary'!$Y:$Y,'Threshold Summary'!$M:$M,""),'Nature Editor'!$A:$A,'Nature Editor'!$B:$B,1)),FLOOR((FLOOR(((2*XLOOKUP(XLOOKUP($Q439,'Threshold Summary'!$Y:$Y,'Threshold Summary'!$K:$K,""),'Pokemon Editor'!$A:$A,'Pokemon Editor'!$H:$H,0)+31+FLOOR(XLOOKUP($Q439,'Threshold Summary'!$Y:$Y,'Threshold Summary'!$R:$R,"")/4))*XLOOKUP($Q439,'Threshold Summary'!$Y:$Y,'Threshold Summary'!$L:$L,""))/100)+5)*XLOOKUP(XLOOKUP($Q439,'Threshold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Editor'!$E:$E,1))),stab,IF(OR(mtype=XLOOKUP(XLOOKUP($Q439,'Threshold Summary'!$Y:$Y,'Threshold Summary'!$K:$K,""),'Pokemon Editor'!$A:$A,'Pokemon Editor'!$C:$C,""),mtype=XLOOKUP(XLOOKUP($Q439,'Threshold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Chart'!$B$1:$S$1,0)))),base,IF(OR(cat="Status",pow=0),0,FLOOR(FLOOR(FLOOR((2*XLOOKUP($Q439,'Threshold Summary'!$Y:$Y,'Threshold Summary'!$L:$L,"")/5+2)*pow*atk/def)/50)+2)),modifier,stab*eff,AVERAGE(ARRAYFORMULA(FLOOR(base*modifier*SEQUENCE(16,1,85,1)/100)))*MIN(1,acc/100)),0)</f>
        <v/>
      </c>
      <c r="N439" s="4">
        <f>IFERROR(LET(mtype,XLOOKUP($D439,'Move Editor'!$B:$B,'Move Editor'!$C:$C,""),cat,XLOOKUP($D439,'Move Editor'!$B:$B,'Move Editor'!$D:$D,""),pow,XLOOKUP($D439,'Move Editor'!$B:$B,'Move Editor'!$E:$E,0),acc,XLOOKUP($D439,'Move Editor'!$B:$B,'Move Editor'!$F:$F,100),atk,IF(cat="Physical",FLOOR((FLOOR(((2*XLOOKUP(XLOOKUP($Q439,'Threshold Summary'!$Y:$Y,'Threshold Summary'!$K:$K,""),'Pokemon Editor'!$A:$A,'Pokemon Editor'!$F:$F,0)+31+FLOOR(XLOOKUP($Q439,'Threshold Summary'!$Y:$Y,'Threshold Summary'!$P:$P,"")/4))*XLOOKUP($Q439,'Threshold Summary'!$Y:$Y,'Threshold Summary'!$L:$L,""))/100)+5)*XLOOKUP(XLOOKUP($Q439,'Threshold Summary'!$Y:$Y,'Threshold Summary'!$M:$M,""),'Nature Editor'!$A:$A,'Nature Editor'!$B:$B,1)),FLOOR((FLOOR(((2*XLOOKUP(XLOOKUP($Q439,'Threshold Summary'!$Y:$Y,'Threshold Summary'!$K:$K,""),'Pokemon Editor'!$A:$A,'Pokemon Editor'!$H:$H,0)+31+FLOOR(XLOOKUP($Q439,'Threshold Summary'!$Y:$Y,'Threshold Summary'!$R:$R,"")/4))*XLOOKUP($Q439,'Threshold Summary'!$Y:$Y,'Threshold Summary'!$L:$L,""))/100)+5)*XLOOKUP(XLOOKUP($Q439,'Threshold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Editor'!$E:$E,1))),stab,IF(OR(mtype=XLOOKUP(XLOOKUP($Q439,'Threshold Summary'!$Y:$Y,'Threshold Summary'!$K:$K,""),'Pokemon Editor'!$A:$A,'Pokemon Editor'!$C:$C,""),mtype=XLOOKUP(XLOOKUP($Q439,'Threshold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Chart'!$B$1:$S$1,0)))),base,IF(OR(cat="Status",pow=0),0,FLOOR(FLOOR(FLOOR((2*XLOOKUP($Q439,'Threshold Summary'!$Y:$Y,'Threshold Summary'!$L:$L,"")/5+2)*pow*atk/def)/50)+2)),modifier,stab*eff,AVERAGE(ARRAYFORMULA(FLOOR(base*modifier*SEQUENCE(16,1,85,1)/100)))/(FLOOR(((2*XLOOKUP('Boss Editor'!$C$4,'Pokemon Editor'!$A:$A,'Pokemon Editor'!$E:$E,0)+31+FLOOR('Boss Editor'!$G$4/4))*'Boss Editor'!$D$4)/100)+'Boss Editor'!$D$4+10)),0)</f>
        <v/>
      </c>
      <c r="O439" s="3">
        <f>IF(N439&gt;=1,"OHKO",IF(N439&gt;=0.5,"2HKO",IF(N439&gt;=0.333,"3HKO",IF(N439&gt;=0.25,"4HKO","5HKO+"))))</f>
        <v/>
      </c>
      <c r="P439" s="3" t="inlineStr">
        <is>
          <t>Live from editable databases</t>
        </is>
      </c>
      <c r="Q439" s="3" t="inlineStr">
        <is>
          <t>SPECIES_BUNEARY</t>
        </is>
      </c>
      <c r="R439" s="3" t="n">
        <v>22</v>
      </c>
    </row>
    <row r="440">
      <c r="A440" s="3">
        <f>XLOOKUP($Q440,'Threshold Summary'!$Y:$Y,'Threshold Summary'!$A:$A,"")</f>
        <v/>
      </c>
      <c r="B440" s="3">
        <f>XLOOKUP($Q440,'Threshold Summary'!$Y:$Y,'Threshold Summary'!$M:$M,"")</f>
        <v/>
      </c>
      <c r="C440" s="3">
        <f>XLOOKUP($Q440,'Threshold Summary'!$Y:$Y,'Threshold Summary'!$N:$N,"")</f>
        <v/>
      </c>
      <c r="D440" s="3">
        <f>IFERROR(INDEX(FILTER('Learnset Editor'!$D$2:$D,'Learnset Editor'!$A$2:$A=XLOOKUP($Q440,'Threshold Summary'!$Y:$Y,'Threshold Summary'!$K:$K,""),'Learnset Editor'!$C$2:$C&lt;=XLOOKUP($Q440,'Threshold Summary'!$Y:$Y,'Threshold Summary'!$L:$L,"")),$R440),"")</f>
        <v/>
      </c>
      <c r="E440" s="3">
        <f>XLOOKUP(D440,'Move Editor'!$B:$B,'Move Editor'!$C:$C,"")</f>
        <v/>
      </c>
      <c r="F440" s="3">
        <f>XLOOKUP(D440,'Move Editor'!$B:$B,'Move Editor'!$D:$D,"")</f>
        <v/>
      </c>
      <c r="G440" s="3">
        <f>XLOOKUP(D440,'Move Editor'!$B:$B,'Move Editor'!$E:$E,0)</f>
        <v/>
      </c>
      <c r="H440" s="3">
        <f>XLOOKUP(D440,'Move Editor'!$B:$B,'Move Editor'!$F:$F,0)</f>
        <v/>
      </c>
      <c r="I440" s="3">
        <f>(INDEX('Type Chart'!$B:$S,MATCH(E440,'Type Chart'!$A:$A,0),MATCH(XLOOKUP('Boss Editor'!$C$4,'Pokemon Editor'!$A:$A,'Pokemon Editor'!$C:$C,""),'Type Chart'!$B$1:$S$1,0))*IF(XLOOKUP('Boss Editor'!$C$4,'Pokemon Editor'!$A:$A,'Pokemon Editor'!$D:$D,"")="",1,INDEX('Type Chart'!$B:$S,MATCH(E440,'Type Chart'!$A:$A,0),MATCH(XLOOKUP('Boss Editor'!$C$4,'Pokemon Editor'!$A:$A,'Pokemon Editor'!$D:$D,""),'Type Chart'!$B$1:$S$1,0))))</f>
        <v/>
      </c>
      <c r="J440" s="3">
        <f>IFERROR(LET(mtype,XLOOKUP($D440,'Move Editor'!$B:$B,'Move Editor'!$C:$C,""),cat,XLOOKUP($D440,'Move Editor'!$B:$B,'Move Editor'!$D:$D,""),pow,XLOOKUP($D440,'Move Editor'!$B:$B,'Move Editor'!$E:$E,0),acc,XLOOKUP($D440,'Move Editor'!$B:$B,'Move Editor'!$F:$F,100),atk,IF(cat="Physical",FLOOR((FLOOR(((2*XLOOKUP(XLOOKUP($Q440,'Threshold Summary'!$Y:$Y,'Threshold Summary'!$K:$K,""),'Pokemon Editor'!$A:$A,'Pokemon Editor'!$F:$F,0)+31+FLOOR(XLOOKUP($Q440,'Threshold Summary'!$Y:$Y,'Threshold Summary'!$P:$P,"")/4))*XLOOKUP($Q440,'Threshold Summary'!$Y:$Y,'Threshold Summary'!$L:$L,""))/100)+5)*XLOOKUP(XLOOKUP($Q440,'Threshold Summary'!$Y:$Y,'Threshold Summary'!$M:$M,""),'Nature Editor'!$A:$A,'Nature Editor'!$B:$B,1)),FLOOR((FLOOR(((2*XLOOKUP(XLOOKUP($Q440,'Threshold Summary'!$Y:$Y,'Threshold Summary'!$K:$K,""),'Pokemon Editor'!$A:$A,'Pokemon Editor'!$H:$H,0)+31+FLOOR(XLOOKUP($Q440,'Threshold Summary'!$Y:$Y,'Threshold Summary'!$R:$R,"")/4))*XLOOKUP($Q440,'Threshold Summary'!$Y:$Y,'Threshold Summary'!$L:$L,""))/100)+5)*XLOOKUP(XLOOKUP($Q440,'Threshold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Editor'!$E:$E,1))),stab,IF(OR(mtype=XLOOKUP(XLOOKUP($Q440,'Threshold Summary'!$Y:$Y,'Threshold Summary'!$K:$K,""),'Pokemon Editor'!$A:$A,'Pokemon Editor'!$C:$C,""),mtype=XLOOKUP(XLOOKUP($Q440,'Threshold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Chart'!$B$1:$S$1,0)))),base,IF(OR(cat="Status",pow=0),0,FLOOR(FLOOR(FLOOR((2*XLOOKUP($Q440,'Threshold Summary'!$Y:$Y,'Threshold Summary'!$L:$L,"")/5+2)*pow*atk/def)/50)+2)),modifier,stab*eff,FLOOR(base*modifier*0.85)),0)</f>
        <v/>
      </c>
      <c r="K440" s="3">
        <f>IFERROR(LET(mtype,XLOOKUP($D440,'Move Editor'!$B:$B,'Move Editor'!$C:$C,""),cat,XLOOKUP($D440,'Move Editor'!$B:$B,'Move Editor'!$D:$D,""),pow,XLOOKUP($D440,'Move Editor'!$B:$B,'Move Editor'!$E:$E,0),acc,XLOOKUP($D440,'Move Editor'!$B:$B,'Move Editor'!$F:$F,100),atk,IF(cat="Physical",FLOOR((FLOOR(((2*XLOOKUP(XLOOKUP($Q440,'Threshold Summary'!$Y:$Y,'Threshold Summary'!$K:$K,""),'Pokemon Editor'!$A:$A,'Pokemon Editor'!$F:$F,0)+31+FLOOR(XLOOKUP($Q440,'Threshold Summary'!$Y:$Y,'Threshold Summary'!$P:$P,"")/4))*XLOOKUP($Q440,'Threshold Summary'!$Y:$Y,'Threshold Summary'!$L:$L,""))/100)+5)*XLOOKUP(XLOOKUP($Q440,'Threshold Summary'!$Y:$Y,'Threshold Summary'!$M:$M,""),'Nature Editor'!$A:$A,'Nature Editor'!$B:$B,1)),FLOOR((FLOOR(((2*XLOOKUP(XLOOKUP($Q440,'Threshold Summary'!$Y:$Y,'Threshold Summary'!$K:$K,""),'Pokemon Editor'!$A:$A,'Pokemon Editor'!$H:$H,0)+31+FLOOR(XLOOKUP($Q440,'Threshold Summary'!$Y:$Y,'Threshold Summary'!$R:$R,"")/4))*XLOOKUP($Q440,'Threshold Summary'!$Y:$Y,'Threshold Summary'!$L:$L,""))/100)+5)*XLOOKUP(XLOOKUP($Q440,'Threshold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Editor'!$E:$E,1))),stab,IF(OR(mtype=XLOOKUP(XLOOKUP($Q440,'Threshold Summary'!$Y:$Y,'Threshold Summary'!$K:$K,""),'Pokemon Editor'!$A:$A,'Pokemon Editor'!$C:$C,""),mtype=XLOOKUP(XLOOKUP($Q440,'Threshold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Chart'!$B$1:$S$1,0)))),base,IF(OR(cat="Status",pow=0),0,FLOOR(FLOOR(FLOOR((2*XLOOKUP($Q440,'Threshold Summary'!$Y:$Y,'Threshold Summary'!$L:$L,"")/5+2)*pow*atk/def)/50)+2)),modifier,stab*eff,FLOOR(base*modifier)),0)</f>
        <v/>
      </c>
      <c r="L440" s="3">
        <f>IFERROR(LET(mtype,XLOOKUP($D440,'Move Editor'!$B:$B,'Move Editor'!$C:$C,""),cat,XLOOKUP($D440,'Move Editor'!$B:$B,'Move Editor'!$D:$D,""),pow,XLOOKUP($D440,'Move Editor'!$B:$B,'Move Editor'!$E:$E,0),acc,XLOOKUP($D440,'Move Editor'!$B:$B,'Move Editor'!$F:$F,100),atk,IF(cat="Physical",FLOOR((FLOOR(((2*XLOOKUP(XLOOKUP($Q440,'Threshold Summary'!$Y:$Y,'Threshold Summary'!$K:$K,""),'Pokemon Editor'!$A:$A,'Pokemon Editor'!$F:$F,0)+31+FLOOR(XLOOKUP($Q440,'Threshold Summary'!$Y:$Y,'Threshold Summary'!$P:$P,"")/4))*XLOOKUP($Q440,'Threshold Summary'!$Y:$Y,'Threshold Summary'!$L:$L,""))/100)+5)*XLOOKUP(XLOOKUP($Q440,'Threshold Summary'!$Y:$Y,'Threshold Summary'!$M:$M,""),'Nature Editor'!$A:$A,'Nature Editor'!$B:$B,1)),FLOOR((FLOOR(((2*XLOOKUP(XLOOKUP($Q440,'Threshold Summary'!$Y:$Y,'Threshold Summary'!$K:$K,""),'Pokemon Editor'!$A:$A,'Pokemon Editor'!$H:$H,0)+31+FLOOR(XLOOKUP($Q440,'Threshold Summary'!$Y:$Y,'Threshold Summary'!$R:$R,"")/4))*XLOOKUP($Q440,'Threshold Summary'!$Y:$Y,'Threshold Summary'!$L:$L,""))/100)+5)*XLOOKUP(XLOOKUP($Q440,'Threshold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Editor'!$E:$E,1))),stab,IF(OR(mtype=XLOOKUP(XLOOKUP($Q440,'Threshold Summary'!$Y:$Y,'Threshold Summary'!$K:$K,""),'Pokemon Editor'!$A:$A,'Pokemon Editor'!$C:$C,""),mtype=XLOOKUP(XLOOKUP($Q440,'Threshold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Chart'!$B$1:$S$1,0)))),base,IF(OR(cat="Status",pow=0),0,FLOOR(FLOOR(FLOOR((2*XLOOKUP($Q440,'Threshold Summary'!$Y:$Y,'Threshold Summary'!$L:$L,"")/5+2)*pow*atk/def)/50)+2)),modifier,stab*eff,AVERAGE(ARRAYFORMULA(FLOOR(base*modifier*SEQUENCE(16,1,85,1)/100)))),0)</f>
        <v/>
      </c>
      <c r="M440" s="3">
        <f>IFERROR(LET(mtype,XLOOKUP($D440,'Move Editor'!$B:$B,'Move Editor'!$C:$C,""),cat,XLOOKUP($D440,'Move Editor'!$B:$B,'Move Editor'!$D:$D,""),pow,XLOOKUP($D440,'Move Editor'!$B:$B,'Move Editor'!$E:$E,0),acc,XLOOKUP($D440,'Move Editor'!$B:$B,'Move Editor'!$F:$F,100),atk,IF(cat="Physical",FLOOR((FLOOR(((2*XLOOKUP(XLOOKUP($Q440,'Threshold Summary'!$Y:$Y,'Threshold Summary'!$K:$K,""),'Pokemon Editor'!$A:$A,'Pokemon Editor'!$F:$F,0)+31+FLOOR(XLOOKUP($Q440,'Threshold Summary'!$Y:$Y,'Threshold Summary'!$P:$P,"")/4))*XLOOKUP($Q440,'Threshold Summary'!$Y:$Y,'Threshold Summary'!$L:$L,""))/100)+5)*XLOOKUP(XLOOKUP($Q440,'Threshold Summary'!$Y:$Y,'Threshold Summary'!$M:$M,""),'Nature Editor'!$A:$A,'Nature Editor'!$B:$B,1)),FLOOR((FLOOR(((2*XLOOKUP(XLOOKUP($Q440,'Threshold Summary'!$Y:$Y,'Threshold Summary'!$K:$K,""),'Pokemon Editor'!$A:$A,'Pokemon Editor'!$H:$H,0)+31+FLOOR(XLOOKUP($Q440,'Threshold Summary'!$Y:$Y,'Threshold Summary'!$R:$R,"")/4))*XLOOKUP($Q440,'Threshold Summary'!$Y:$Y,'Threshold Summary'!$L:$L,""))/100)+5)*XLOOKUP(XLOOKUP($Q440,'Threshold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Editor'!$E:$E,1))),stab,IF(OR(mtype=XLOOKUP(XLOOKUP($Q440,'Threshold Summary'!$Y:$Y,'Threshold Summary'!$K:$K,""),'Pokemon Editor'!$A:$A,'Pokemon Editor'!$C:$C,""),mtype=XLOOKUP(XLOOKUP($Q440,'Threshold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Chart'!$B$1:$S$1,0)))),base,IF(OR(cat="Status",pow=0),0,FLOOR(FLOOR(FLOOR((2*XLOOKUP($Q440,'Threshold Summary'!$Y:$Y,'Threshold Summary'!$L:$L,"")/5+2)*pow*atk/def)/50)+2)),modifier,stab*eff,AVERAGE(ARRAYFORMULA(FLOOR(base*modifier*SEQUENCE(16,1,85,1)/100)))*MIN(1,acc/100)),0)</f>
        <v/>
      </c>
      <c r="N440" s="4">
        <f>IFERROR(LET(mtype,XLOOKUP($D440,'Move Editor'!$B:$B,'Move Editor'!$C:$C,""),cat,XLOOKUP($D440,'Move Editor'!$B:$B,'Move Editor'!$D:$D,""),pow,XLOOKUP($D440,'Move Editor'!$B:$B,'Move Editor'!$E:$E,0),acc,XLOOKUP($D440,'Move Editor'!$B:$B,'Move Editor'!$F:$F,100),atk,IF(cat="Physical",FLOOR((FLOOR(((2*XLOOKUP(XLOOKUP($Q440,'Threshold Summary'!$Y:$Y,'Threshold Summary'!$K:$K,""),'Pokemon Editor'!$A:$A,'Pokemon Editor'!$F:$F,0)+31+FLOOR(XLOOKUP($Q440,'Threshold Summary'!$Y:$Y,'Threshold Summary'!$P:$P,"")/4))*XLOOKUP($Q440,'Threshold Summary'!$Y:$Y,'Threshold Summary'!$L:$L,""))/100)+5)*XLOOKUP(XLOOKUP($Q440,'Threshold Summary'!$Y:$Y,'Threshold Summary'!$M:$M,""),'Nature Editor'!$A:$A,'Nature Editor'!$B:$B,1)),FLOOR((FLOOR(((2*XLOOKUP(XLOOKUP($Q440,'Threshold Summary'!$Y:$Y,'Threshold Summary'!$K:$K,""),'Pokemon Editor'!$A:$A,'Pokemon Editor'!$H:$H,0)+31+FLOOR(XLOOKUP($Q440,'Threshold Summary'!$Y:$Y,'Threshold Summary'!$R:$R,"")/4))*XLOOKUP($Q440,'Threshold Summary'!$Y:$Y,'Threshold Summary'!$L:$L,""))/100)+5)*XLOOKUP(XLOOKUP($Q440,'Threshold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Editor'!$E:$E,1))),stab,IF(OR(mtype=XLOOKUP(XLOOKUP($Q440,'Threshold Summary'!$Y:$Y,'Threshold Summary'!$K:$K,""),'Pokemon Editor'!$A:$A,'Pokemon Editor'!$C:$C,""),mtype=XLOOKUP(XLOOKUP($Q440,'Threshold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Chart'!$B$1:$S$1,0)))),base,IF(OR(cat="Status",pow=0),0,FLOOR(FLOOR(FLOOR((2*XLOOKUP($Q440,'Threshold Summary'!$Y:$Y,'Threshold Summary'!$L:$L,"")/5+2)*pow*atk/def)/50)+2)),modifier,stab*eff,AVERAGE(ARRAYFORMULA(FLOOR(base*modifier*SEQUENCE(16,1,85,1)/100)))/(FLOOR(((2*XLOOKUP('Boss Editor'!$C$4,'Pokemon Editor'!$A:$A,'Pokemon Editor'!$E:$E,0)+31+FLOOR('Boss Editor'!$G$4/4))*'Boss Editor'!$D$4)/100)+'Boss Editor'!$D$4+10)),0)</f>
        <v/>
      </c>
      <c r="O440" s="3">
        <f>IF(N440&gt;=1,"OHKO",IF(N440&gt;=0.5,"2HKO",IF(N440&gt;=0.333,"3HKO",IF(N440&gt;=0.25,"4HKO","5HKO+"))))</f>
        <v/>
      </c>
      <c r="P440" s="3" t="inlineStr">
        <is>
          <t>Live from editable databases</t>
        </is>
      </c>
      <c r="Q440" s="3" t="inlineStr">
        <is>
          <t>SPECIES_BUNEARY</t>
        </is>
      </c>
      <c r="R440" s="3" t="n">
        <v>23</v>
      </c>
    </row>
    <row r="441">
      <c r="A441" s="3">
        <f>XLOOKUP($Q441,'Threshold Summary'!$Y:$Y,'Threshold Summary'!$A:$A,"")</f>
        <v/>
      </c>
      <c r="B441" s="3">
        <f>XLOOKUP($Q441,'Threshold Summary'!$Y:$Y,'Threshold Summary'!$M:$M,"")</f>
        <v/>
      </c>
      <c r="C441" s="3">
        <f>XLOOKUP($Q441,'Threshold Summary'!$Y:$Y,'Threshold Summary'!$N:$N,"")</f>
        <v/>
      </c>
      <c r="D441" s="3">
        <f>IFERROR(INDEX(FILTER('Learnset Editor'!$D$2:$D,'Learnset Editor'!$A$2:$A=XLOOKUP($Q441,'Threshold Summary'!$Y:$Y,'Threshold Summary'!$K:$K,""),'Learnset Editor'!$C$2:$C&lt;=XLOOKUP($Q441,'Threshold Summary'!$Y:$Y,'Threshold Summary'!$L:$L,"")),$R441),"")</f>
        <v/>
      </c>
      <c r="E441" s="3">
        <f>XLOOKUP(D441,'Move Editor'!$B:$B,'Move Editor'!$C:$C,"")</f>
        <v/>
      </c>
      <c r="F441" s="3">
        <f>XLOOKUP(D441,'Move Editor'!$B:$B,'Move Editor'!$D:$D,"")</f>
        <v/>
      </c>
      <c r="G441" s="3">
        <f>XLOOKUP(D441,'Move Editor'!$B:$B,'Move Editor'!$E:$E,0)</f>
        <v/>
      </c>
      <c r="H441" s="3">
        <f>XLOOKUP(D441,'Move Editor'!$B:$B,'Move Editor'!$F:$F,0)</f>
        <v/>
      </c>
      <c r="I441" s="3">
        <f>(INDEX('Type Chart'!$B:$S,MATCH(E441,'Type Chart'!$A:$A,0),MATCH(XLOOKUP('Boss Editor'!$C$4,'Pokemon Editor'!$A:$A,'Pokemon Editor'!$C:$C,""),'Type Chart'!$B$1:$S$1,0))*IF(XLOOKUP('Boss Editor'!$C$4,'Pokemon Editor'!$A:$A,'Pokemon Editor'!$D:$D,"")="",1,INDEX('Type Chart'!$B:$S,MATCH(E441,'Type Chart'!$A:$A,0),MATCH(XLOOKUP('Boss Editor'!$C$4,'Pokemon Editor'!$A:$A,'Pokemon Editor'!$D:$D,""),'Type Chart'!$B$1:$S$1,0))))</f>
        <v/>
      </c>
      <c r="J441" s="3">
        <f>IFERROR(LET(mtype,XLOOKUP($D441,'Move Editor'!$B:$B,'Move Editor'!$C:$C,""),cat,XLOOKUP($D441,'Move Editor'!$B:$B,'Move Editor'!$D:$D,""),pow,XLOOKUP($D441,'Move Editor'!$B:$B,'Move Editor'!$E:$E,0),acc,XLOOKUP($D441,'Move Editor'!$B:$B,'Move Editor'!$F:$F,100),atk,IF(cat="Physical",FLOOR((FLOOR(((2*XLOOKUP(XLOOKUP($Q441,'Threshold Summary'!$Y:$Y,'Threshold Summary'!$K:$K,""),'Pokemon Editor'!$A:$A,'Pokemon Editor'!$F:$F,0)+31+FLOOR(XLOOKUP($Q441,'Threshold Summary'!$Y:$Y,'Threshold Summary'!$P:$P,"")/4))*XLOOKUP($Q441,'Threshold Summary'!$Y:$Y,'Threshold Summary'!$L:$L,""))/100)+5)*XLOOKUP(XLOOKUP($Q441,'Threshold Summary'!$Y:$Y,'Threshold Summary'!$M:$M,""),'Nature Editor'!$A:$A,'Nature Editor'!$B:$B,1)),FLOOR((FLOOR(((2*XLOOKUP(XLOOKUP($Q441,'Threshold Summary'!$Y:$Y,'Threshold Summary'!$K:$K,""),'Pokemon Editor'!$A:$A,'Pokemon Editor'!$H:$H,0)+31+FLOOR(XLOOKUP($Q441,'Threshold Summary'!$Y:$Y,'Threshold Summary'!$R:$R,"")/4))*XLOOKUP($Q441,'Threshold Summary'!$Y:$Y,'Threshold Summary'!$L:$L,""))/100)+5)*XLOOKUP(XLOOKUP($Q441,'Threshold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Editor'!$E:$E,1))),stab,IF(OR(mtype=XLOOKUP(XLOOKUP($Q441,'Threshold Summary'!$Y:$Y,'Threshold Summary'!$K:$K,""),'Pokemon Editor'!$A:$A,'Pokemon Editor'!$C:$C,""),mtype=XLOOKUP(XLOOKUP($Q441,'Threshold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Chart'!$B$1:$S$1,0)))),base,IF(OR(cat="Status",pow=0),0,FLOOR(FLOOR(FLOOR((2*XLOOKUP($Q441,'Threshold Summary'!$Y:$Y,'Threshold Summary'!$L:$L,"")/5+2)*pow*atk/def)/50)+2)),modifier,stab*eff,FLOOR(base*modifier*0.85)),0)</f>
        <v/>
      </c>
      <c r="K441" s="3">
        <f>IFERROR(LET(mtype,XLOOKUP($D441,'Move Editor'!$B:$B,'Move Editor'!$C:$C,""),cat,XLOOKUP($D441,'Move Editor'!$B:$B,'Move Editor'!$D:$D,""),pow,XLOOKUP($D441,'Move Editor'!$B:$B,'Move Editor'!$E:$E,0),acc,XLOOKUP($D441,'Move Editor'!$B:$B,'Move Editor'!$F:$F,100),atk,IF(cat="Physical",FLOOR((FLOOR(((2*XLOOKUP(XLOOKUP($Q441,'Threshold Summary'!$Y:$Y,'Threshold Summary'!$K:$K,""),'Pokemon Editor'!$A:$A,'Pokemon Editor'!$F:$F,0)+31+FLOOR(XLOOKUP($Q441,'Threshold Summary'!$Y:$Y,'Threshold Summary'!$P:$P,"")/4))*XLOOKUP($Q441,'Threshold Summary'!$Y:$Y,'Threshold Summary'!$L:$L,""))/100)+5)*XLOOKUP(XLOOKUP($Q441,'Threshold Summary'!$Y:$Y,'Threshold Summary'!$M:$M,""),'Nature Editor'!$A:$A,'Nature Editor'!$B:$B,1)),FLOOR((FLOOR(((2*XLOOKUP(XLOOKUP($Q441,'Threshold Summary'!$Y:$Y,'Threshold Summary'!$K:$K,""),'Pokemon Editor'!$A:$A,'Pokemon Editor'!$H:$H,0)+31+FLOOR(XLOOKUP($Q441,'Threshold Summary'!$Y:$Y,'Threshold Summary'!$R:$R,"")/4))*XLOOKUP($Q441,'Threshold Summary'!$Y:$Y,'Threshold Summary'!$L:$L,""))/100)+5)*XLOOKUP(XLOOKUP($Q441,'Threshold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Editor'!$E:$E,1))),stab,IF(OR(mtype=XLOOKUP(XLOOKUP($Q441,'Threshold Summary'!$Y:$Y,'Threshold Summary'!$K:$K,""),'Pokemon Editor'!$A:$A,'Pokemon Editor'!$C:$C,""),mtype=XLOOKUP(XLOOKUP($Q441,'Threshold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Chart'!$B$1:$S$1,0)))),base,IF(OR(cat="Status",pow=0),0,FLOOR(FLOOR(FLOOR((2*XLOOKUP($Q441,'Threshold Summary'!$Y:$Y,'Threshold Summary'!$L:$L,"")/5+2)*pow*atk/def)/50)+2)),modifier,stab*eff,FLOOR(base*modifier)),0)</f>
        <v/>
      </c>
      <c r="L441" s="3">
        <f>IFERROR(LET(mtype,XLOOKUP($D441,'Move Editor'!$B:$B,'Move Editor'!$C:$C,""),cat,XLOOKUP($D441,'Move Editor'!$B:$B,'Move Editor'!$D:$D,""),pow,XLOOKUP($D441,'Move Editor'!$B:$B,'Move Editor'!$E:$E,0),acc,XLOOKUP($D441,'Move Editor'!$B:$B,'Move Editor'!$F:$F,100),atk,IF(cat="Physical",FLOOR((FLOOR(((2*XLOOKUP(XLOOKUP($Q441,'Threshold Summary'!$Y:$Y,'Threshold Summary'!$K:$K,""),'Pokemon Editor'!$A:$A,'Pokemon Editor'!$F:$F,0)+31+FLOOR(XLOOKUP($Q441,'Threshold Summary'!$Y:$Y,'Threshold Summary'!$P:$P,"")/4))*XLOOKUP($Q441,'Threshold Summary'!$Y:$Y,'Threshold Summary'!$L:$L,""))/100)+5)*XLOOKUP(XLOOKUP($Q441,'Threshold Summary'!$Y:$Y,'Threshold Summary'!$M:$M,""),'Nature Editor'!$A:$A,'Nature Editor'!$B:$B,1)),FLOOR((FLOOR(((2*XLOOKUP(XLOOKUP($Q441,'Threshold Summary'!$Y:$Y,'Threshold Summary'!$K:$K,""),'Pokemon Editor'!$A:$A,'Pokemon Editor'!$H:$H,0)+31+FLOOR(XLOOKUP($Q441,'Threshold Summary'!$Y:$Y,'Threshold Summary'!$R:$R,"")/4))*XLOOKUP($Q441,'Threshold Summary'!$Y:$Y,'Threshold Summary'!$L:$L,""))/100)+5)*XLOOKUP(XLOOKUP($Q441,'Threshold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Editor'!$E:$E,1))),stab,IF(OR(mtype=XLOOKUP(XLOOKUP($Q441,'Threshold Summary'!$Y:$Y,'Threshold Summary'!$K:$K,""),'Pokemon Editor'!$A:$A,'Pokemon Editor'!$C:$C,""),mtype=XLOOKUP(XLOOKUP($Q441,'Threshold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Chart'!$B$1:$S$1,0)))),base,IF(OR(cat="Status",pow=0),0,FLOOR(FLOOR(FLOOR((2*XLOOKUP($Q441,'Threshold Summary'!$Y:$Y,'Threshold Summary'!$L:$L,"")/5+2)*pow*atk/def)/50)+2)),modifier,stab*eff,AVERAGE(ARRAYFORMULA(FLOOR(base*modifier*SEQUENCE(16,1,85,1)/100)))),0)</f>
        <v/>
      </c>
      <c r="M441" s="3">
        <f>IFERROR(LET(mtype,XLOOKUP($D441,'Move Editor'!$B:$B,'Move Editor'!$C:$C,""),cat,XLOOKUP($D441,'Move Editor'!$B:$B,'Move Editor'!$D:$D,""),pow,XLOOKUP($D441,'Move Editor'!$B:$B,'Move Editor'!$E:$E,0),acc,XLOOKUP($D441,'Move Editor'!$B:$B,'Move Editor'!$F:$F,100),atk,IF(cat="Physical",FLOOR((FLOOR(((2*XLOOKUP(XLOOKUP($Q441,'Threshold Summary'!$Y:$Y,'Threshold Summary'!$K:$K,""),'Pokemon Editor'!$A:$A,'Pokemon Editor'!$F:$F,0)+31+FLOOR(XLOOKUP($Q441,'Threshold Summary'!$Y:$Y,'Threshold Summary'!$P:$P,"")/4))*XLOOKUP($Q441,'Threshold Summary'!$Y:$Y,'Threshold Summary'!$L:$L,""))/100)+5)*XLOOKUP(XLOOKUP($Q441,'Threshold Summary'!$Y:$Y,'Threshold Summary'!$M:$M,""),'Nature Editor'!$A:$A,'Nature Editor'!$B:$B,1)),FLOOR((FLOOR(((2*XLOOKUP(XLOOKUP($Q441,'Threshold Summary'!$Y:$Y,'Threshold Summary'!$K:$K,""),'Pokemon Editor'!$A:$A,'Pokemon Editor'!$H:$H,0)+31+FLOOR(XLOOKUP($Q441,'Threshold Summary'!$Y:$Y,'Threshold Summary'!$R:$R,"")/4))*XLOOKUP($Q441,'Threshold Summary'!$Y:$Y,'Threshold Summary'!$L:$L,""))/100)+5)*XLOOKUP(XLOOKUP($Q441,'Threshold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Editor'!$E:$E,1))),stab,IF(OR(mtype=XLOOKUP(XLOOKUP($Q441,'Threshold Summary'!$Y:$Y,'Threshold Summary'!$K:$K,""),'Pokemon Editor'!$A:$A,'Pokemon Editor'!$C:$C,""),mtype=XLOOKUP(XLOOKUP($Q441,'Threshold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Chart'!$B$1:$S$1,0)))),base,IF(OR(cat="Status",pow=0),0,FLOOR(FLOOR(FLOOR((2*XLOOKUP($Q441,'Threshold Summary'!$Y:$Y,'Threshold Summary'!$L:$L,"")/5+2)*pow*atk/def)/50)+2)),modifier,stab*eff,AVERAGE(ARRAYFORMULA(FLOOR(base*modifier*SEQUENCE(16,1,85,1)/100)))*MIN(1,acc/100)),0)</f>
        <v/>
      </c>
      <c r="N441" s="4">
        <f>IFERROR(LET(mtype,XLOOKUP($D441,'Move Editor'!$B:$B,'Move Editor'!$C:$C,""),cat,XLOOKUP($D441,'Move Editor'!$B:$B,'Move Editor'!$D:$D,""),pow,XLOOKUP($D441,'Move Editor'!$B:$B,'Move Editor'!$E:$E,0),acc,XLOOKUP($D441,'Move Editor'!$B:$B,'Move Editor'!$F:$F,100),atk,IF(cat="Physical",FLOOR((FLOOR(((2*XLOOKUP(XLOOKUP($Q441,'Threshold Summary'!$Y:$Y,'Threshold Summary'!$K:$K,""),'Pokemon Editor'!$A:$A,'Pokemon Editor'!$F:$F,0)+31+FLOOR(XLOOKUP($Q441,'Threshold Summary'!$Y:$Y,'Threshold Summary'!$P:$P,"")/4))*XLOOKUP($Q441,'Threshold Summary'!$Y:$Y,'Threshold Summary'!$L:$L,""))/100)+5)*XLOOKUP(XLOOKUP($Q441,'Threshold Summary'!$Y:$Y,'Threshold Summary'!$M:$M,""),'Nature Editor'!$A:$A,'Nature Editor'!$B:$B,1)),FLOOR((FLOOR(((2*XLOOKUP(XLOOKUP($Q441,'Threshold Summary'!$Y:$Y,'Threshold Summary'!$K:$K,""),'Pokemon Editor'!$A:$A,'Pokemon Editor'!$H:$H,0)+31+FLOOR(XLOOKUP($Q441,'Threshold Summary'!$Y:$Y,'Threshold Summary'!$R:$R,"")/4))*XLOOKUP($Q441,'Threshold Summary'!$Y:$Y,'Threshold Summary'!$L:$L,""))/100)+5)*XLOOKUP(XLOOKUP($Q441,'Threshold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Editor'!$E:$E,1))),stab,IF(OR(mtype=XLOOKUP(XLOOKUP($Q441,'Threshold Summary'!$Y:$Y,'Threshold Summary'!$K:$K,""),'Pokemon Editor'!$A:$A,'Pokemon Editor'!$C:$C,""),mtype=XLOOKUP(XLOOKUP($Q441,'Threshold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Chart'!$B$1:$S$1,0)))),base,IF(OR(cat="Status",pow=0),0,FLOOR(FLOOR(FLOOR((2*XLOOKUP($Q441,'Threshold Summary'!$Y:$Y,'Threshold Summary'!$L:$L,"")/5+2)*pow*atk/def)/50)+2)),modifier,stab*eff,AVERAGE(ARRAYFORMULA(FLOOR(base*modifier*SEQUENCE(16,1,85,1)/100)))/(FLOOR(((2*XLOOKUP('Boss Editor'!$C$4,'Pokemon Editor'!$A:$A,'Pokemon Editor'!$E:$E,0)+31+FLOOR('Boss Editor'!$G$4/4))*'Boss Editor'!$D$4)/100)+'Boss Editor'!$D$4+10)),0)</f>
        <v/>
      </c>
      <c r="O441" s="3">
        <f>IF(N441&gt;=1,"OHKO",IF(N441&gt;=0.5,"2HKO",IF(N441&gt;=0.333,"3HKO",IF(N441&gt;=0.25,"4HKO","5HKO+"))))</f>
        <v/>
      </c>
      <c r="P441" s="3" t="inlineStr">
        <is>
          <t>Live from editable databases</t>
        </is>
      </c>
      <c r="Q441" s="3" t="inlineStr">
        <is>
          <t>SPECIES_BUNEARY</t>
        </is>
      </c>
      <c r="R441" s="3" t="n">
        <v>24</v>
      </c>
    </row>
    <row r="442">
      <c r="A442" s="3">
        <f>XLOOKUP($Q442,'Threshold Summary'!$Y:$Y,'Threshold Summary'!$A:$A,"")</f>
        <v/>
      </c>
      <c r="B442" s="3">
        <f>XLOOKUP($Q442,'Threshold Summary'!$Y:$Y,'Threshold Summary'!$M:$M,"")</f>
        <v/>
      </c>
      <c r="C442" s="3">
        <f>XLOOKUP($Q442,'Threshold Summary'!$Y:$Y,'Threshold Summary'!$N:$N,"")</f>
        <v/>
      </c>
      <c r="D442" s="3">
        <f>IFERROR(INDEX(FILTER('Learnset Editor'!$D$2:$D,'Learnset Editor'!$A$2:$A=XLOOKUP($Q442,'Threshold Summary'!$Y:$Y,'Threshold Summary'!$K:$K,""),'Learnset Editor'!$C$2:$C&lt;=XLOOKUP($Q442,'Threshold Summary'!$Y:$Y,'Threshold Summary'!$L:$L,"")),$R442),"")</f>
        <v/>
      </c>
      <c r="E442" s="3">
        <f>XLOOKUP(D442,'Move Editor'!$B:$B,'Move Editor'!$C:$C,"")</f>
        <v/>
      </c>
      <c r="F442" s="3">
        <f>XLOOKUP(D442,'Move Editor'!$B:$B,'Move Editor'!$D:$D,"")</f>
        <v/>
      </c>
      <c r="G442" s="3">
        <f>XLOOKUP(D442,'Move Editor'!$B:$B,'Move Editor'!$E:$E,0)</f>
        <v/>
      </c>
      <c r="H442" s="3">
        <f>XLOOKUP(D442,'Move Editor'!$B:$B,'Move Editor'!$F:$F,0)</f>
        <v/>
      </c>
      <c r="I442" s="3">
        <f>(INDEX('Type Chart'!$B:$S,MATCH(E442,'Type Chart'!$A:$A,0),MATCH(XLOOKUP('Boss Editor'!$C$4,'Pokemon Editor'!$A:$A,'Pokemon Editor'!$C:$C,""),'Type Chart'!$B$1:$S$1,0))*IF(XLOOKUP('Boss Editor'!$C$4,'Pokemon Editor'!$A:$A,'Pokemon Editor'!$D:$D,"")="",1,INDEX('Type Chart'!$B:$S,MATCH(E442,'Type Chart'!$A:$A,0),MATCH(XLOOKUP('Boss Editor'!$C$4,'Pokemon Editor'!$A:$A,'Pokemon Editor'!$D:$D,""),'Type Chart'!$B$1:$S$1,0))))</f>
        <v/>
      </c>
      <c r="J442" s="3">
        <f>IFERROR(LET(mtype,XLOOKUP($D442,'Move Editor'!$B:$B,'Move Editor'!$C:$C,""),cat,XLOOKUP($D442,'Move Editor'!$B:$B,'Move Editor'!$D:$D,""),pow,XLOOKUP($D442,'Move Editor'!$B:$B,'Move Editor'!$E:$E,0),acc,XLOOKUP($D442,'Move Editor'!$B:$B,'Move Editor'!$F:$F,100),atk,IF(cat="Physical",FLOOR((FLOOR(((2*XLOOKUP(XLOOKUP($Q442,'Threshold Summary'!$Y:$Y,'Threshold Summary'!$K:$K,""),'Pokemon Editor'!$A:$A,'Pokemon Editor'!$F:$F,0)+31+FLOOR(XLOOKUP($Q442,'Threshold Summary'!$Y:$Y,'Threshold Summary'!$P:$P,"")/4))*XLOOKUP($Q442,'Threshold Summary'!$Y:$Y,'Threshold Summary'!$L:$L,""))/100)+5)*XLOOKUP(XLOOKUP($Q442,'Threshold Summary'!$Y:$Y,'Threshold Summary'!$M:$M,""),'Nature Editor'!$A:$A,'Nature Editor'!$B:$B,1)),FLOOR((FLOOR(((2*XLOOKUP(XLOOKUP($Q442,'Threshold Summary'!$Y:$Y,'Threshold Summary'!$K:$K,""),'Pokemon Editor'!$A:$A,'Pokemon Editor'!$H:$H,0)+31+FLOOR(XLOOKUP($Q442,'Threshold Summary'!$Y:$Y,'Threshold Summary'!$R:$R,"")/4))*XLOOKUP($Q442,'Threshold Summary'!$Y:$Y,'Threshold Summary'!$L:$L,""))/100)+5)*XLOOKUP(XLOOKUP($Q442,'Threshold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Editor'!$E:$E,1))),stab,IF(OR(mtype=XLOOKUP(XLOOKUP($Q442,'Threshold Summary'!$Y:$Y,'Threshold Summary'!$K:$K,""),'Pokemon Editor'!$A:$A,'Pokemon Editor'!$C:$C,""),mtype=XLOOKUP(XLOOKUP($Q442,'Threshold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Chart'!$B$1:$S$1,0)))),base,IF(OR(cat="Status",pow=0),0,FLOOR(FLOOR(FLOOR((2*XLOOKUP($Q442,'Threshold Summary'!$Y:$Y,'Threshold Summary'!$L:$L,"")/5+2)*pow*atk/def)/50)+2)),modifier,stab*eff,FLOOR(base*modifier*0.85)),0)</f>
        <v/>
      </c>
      <c r="K442" s="3">
        <f>IFERROR(LET(mtype,XLOOKUP($D442,'Move Editor'!$B:$B,'Move Editor'!$C:$C,""),cat,XLOOKUP($D442,'Move Editor'!$B:$B,'Move Editor'!$D:$D,""),pow,XLOOKUP($D442,'Move Editor'!$B:$B,'Move Editor'!$E:$E,0),acc,XLOOKUP($D442,'Move Editor'!$B:$B,'Move Editor'!$F:$F,100),atk,IF(cat="Physical",FLOOR((FLOOR(((2*XLOOKUP(XLOOKUP($Q442,'Threshold Summary'!$Y:$Y,'Threshold Summary'!$K:$K,""),'Pokemon Editor'!$A:$A,'Pokemon Editor'!$F:$F,0)+31+FLOOR(XLOOKUP($Q442,'Threshold Summary'!$Y:$Y,'Threshold Summary'!$P:$P,"")/4))*XLOOKUP($Q442,'Threshold Summary'!$Y:$Y,'Threshold Summary'!$L:$L,""))/100)+5)*XLOOKUP(XLOOKUP($Q442,'Threshold Summary'!$Y:$Y,'Threshold Summary'!$M:$M,""),'Nature Editor'!$A:$A,'Nature Editor'!$B:$B,1)),FLOOR((FLOOR(((2*XLOOKUP(XLOOKUP($Q442,'Threshold Summary'!$Y:$Y,'Threshold Summary'!$K:$K,""),'Pokemon Editor'!$A:$A,'Pokemon Editor'!$H:$H,0)+31+FLOOR(XLOOKUP($Q442,'Threshold Summary'!$Y:$Y,'Threshold Summary'!$R:$R,"")/4))*XLOOKUP($Q442,'Threshold Summary'!$Y:$Y,'Threshold Summary'!$L:$L,""))/100)+5)*XLOOKUP(XLOOKUP($Q442,'Threshold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Editor'!$E:$E,1))),stab,IF(OR(mtype=XLOOKUP(XLOOKUP($Q442,'Threshold Summary'!$Y:$Y,'Threshold Summary'!$K:$K,""),'Pokemon Editor'!$A:$A,'Pokemon Editor'!$C:$C,""),mtype=XLOOKUP(XLOOKUP($Q442,'Threshold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Chart'!$B$1:$S$1,0)))),base,IF(OR(cat="Status",pow=0),0,FLOOR(FLOOR(FLOOR((2*XLOOKUP($Q442,'Threshold Summary'!$Y:$Y,'Threshold Summary'!$L:$L,"")/5+2)*pow*atk/def)/50)+2)),modifier,stab*eff,FLOOR(base*modifier)),0)</f>
        <v/>
      </c>
      <c r="L442" s="3">
        <f>IFERROR(LET(mtype,XLOOKUP($D442,'Move Editor'!$B:$B,'Move Editor'!$C:$C,""),cat,XLOOKUP($D442,'Move Editor'!$B:$B,'Move Editor'!$D:$D,""),pow,XLOOKUP($D442,'Move Editor'!$B:$B,'Move Editor'!$E:$E,0),acc,XLOOKUP($D442,'Move Editor'!$B:$B,'Move Editor'!$F:$F,100),atk,IF(cat="Physical",FLOOR((FLOOR(((2*XLOOKUP(XLOOKUP($Q442,'Threshold Summary'!$Y:$Y,'Threshold Summary'!$K:$K,""),'Pokemon Editor'!$A:$A,'Pokemon Editor'!$F:$F,0)+31+FLOOR(XLOOKUP($Q442,'Threshold Summary'!$Y:$Y,'Threshold Summary'!$P:$P,"")/4))*XLOOKUP($Q442,'Threshold Summary'!$Y:$Y,'Threshold Summary'!$L:$L,""))/100)+5)*XLOOKUP(XLOOKUP($Q442,'Threshold Summary'!$Y:$Y,'Threshold Summary'!$M:$M,""),'Nature Editor'!$A:$A,'Nature Editor'!$B:$B,1)),FLOOR((FLOOR(((2*XLOOKUP(XLOOKUP($Q442,'Threshold Summary'!$Y:$Y,'Threshold Summary'!$K:$K,""),'Pokemon Editor'!$A:$A,'Pokemon Editor'!$H:$H,0)+31+FLOOR(XLOOKUP($Q442,'Threshold Summary'!$Y:$Y,'Threshold Summary'!$R:$R,"")/4))*XLOOKUP($Q442,'Threshold Summary'!$Y:$Y,'Threshold Summary'!$L:$L,""))/100)+5)*XLOOKUP(XLOOKUP($Q442,'Threshold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Editor'!$E:$E,1))),stab,IF(OR(mtype=XLOOKUP(XLOOKUP($Q442,'Threshold Summary'!$Y:$Y,'Threshold Summary'!$K:$K,""),'Pokemon Editor'!$A:$A,'Pokemon Editor'!$C:$C,""),mtype=XLOOKUP(XLOOKUP($Q442,'Threshold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Chart'!$B$1:$S$1,0)))),base,IF(OR(cat="Status",pow=0),0,FLOOR(FLOOR(FLOOR((2*XLOOKUP($Q442,'Threshold Summary'!$Y:$Y,'Threshold Summary'!$L:$L,"")/5+2)*pow*atk/def)/50)+2)),modifier,stab*eff,AVERAGE(ARRAYFORMULA(FLOOR(base*modifier*SEQUENCE(16,1,85,1)/100)))),0)</f>
        <v/>
      </c>
      <c r="M442" s="3">
        <f>IFERROR(LET(mtype,XLOOKUP($D442,'Move Editor'!$B:$B,'Move Editor'!$C:$C,""),cat,XLOOKUP($D442,'Move Editor'!$B:$B,'Move Editor'!$D:$D,""),pow,XLOOKUP($D442,'Move Editor'!$B:$B,'Move Editor'!$E:$E,0),acc,XLOOKUP($D442,'Move Editor'!$B:$B,'Move Editor'!$F:$F,100),atk,IF(cat="Physical",FLOOR((FLOOR(((2*XLOOKUP(XLOOKUP($Q442,'Threshold Summary'!$Y:$Y,'Threshold Summary'!$K:$K,""),'Pokemon Editor'!$A:$A,'Pokemon Editor'!$F:$F,0)+31+FLOOR(XLOOKUP($Q442,'Threshold Summary'!$Y:$Y,'Threshold Summary'!$P:$P,"")/4))*XLOOKUP($Q442,'Threshold Summary'!$Y:$Y,'Threshold Summary'!$L:$L,""))/100)+5)*XLOOKUP(XLOOKUP($Q442,'Threshold Summary'!$Y:$Y,'Threshold Summary'!$M:$M,""),'Nature Editor'!$A:$A,'Nature Editor'!$B:$B,1)),FLOOR((FLOOR(((2*XLOOKUP(XLOOKUP($Q442,'Threshold Summary'!$Y:$Y,'Threshold Summary'!$K:$K,""),'Pokemon Editor'!$A:$A,'Pokemon Editor'!$H:$H,0)+31+FLOOR(XLOOKUP($Q442,'Threshold Summary'!$Y:$Y,'Threshold Summary'!$R:$R,"")/4))*XLOOKUP($Q442,'Threshold Summary'!$Y:$Y,'Threshold Summary'!$L:$L,""))/100)+5)*XLOOKUP(XLOOKUP($Q442,'Threshold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Editor'!$E:$E,1))),stab,IF(OR(mtype=XLOOKUP(XLOOKUP($Q442,'Threshold Summary'!$Y:$Y,'Threshold Summary'!$K:$K,""),'Pokemon Editor'!$A:$A,'Pokemon Editor'!$C:$C,""),mtype=XLOOKUP(XLOOKUP($Q442,'Threshold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Chart'!$B$1:$S$1,0)))),base,IF(OR(cat="Status",pow=0),0,FLOOR(FLOOR(FLOOR((2*XLOOKUP($Q442,'Threshold Summary'!$Y:$Y,'Threshold Summary'!$L:$L,"")/5+2)*pow*atk/def)/50)+2)),modifier,stab*eff,AVERAGE(ARRAYFORMULA(FLOOR(base*modifier*SEQUENCE(16,1,85,1)/100)))*MIN(1,acc/100)),0)</f>
        <v/>
      </c>
      <c r="N442" s="4">
        <f>IFERROR(LET(mtype,XLOOKUP($D442,'Move Editor'!$B:$B,'Move Editor'!$C:$C,""),cat,XLOOKUP($D442,'Move Editor'!$B:$B,'Move Editor'!$D:$D,""),pow,XLOOKUP($D442,'Move Editor'!$B:$B,'Move Editor'!$E:$E,0),acc,XLOOKUP($D442,'Move Editor'!$B:$B,'Move Editor'!$F:$F,100),atk,IF(cat="Physical",FLOOR((FLOOR(((2*XLOOKUP(XLOOKUP($Q442,'Threshold Summary'!$Y:$Y,'Threshold Summary'!$K:$K,""),'Pokemon Editor'!$A:$A,'Pokemon Editor'!$F:$F,0)+31+FLOOR(XLOOKUP($Q442,'Threshold Summary'!$Y:$Y,'Threshold Summary'!$P:$P,"")/4))*XLOOKUP($Q442,'Threshold Summary'!$Y:$Y,'Threshold Summary'!$L:$L,""))/100)+5)*XLOOKUP(XLOOKUP($Q442,'Threshold Summary'!$Y:$Y,'Threshold Summary'!$M:$M,""),'Nature Editor'!$A:$A,'Nature Editor'!$B:$B,1)),FLOOR((FLOOR(((2*XLOOKUP(XLOOKUP($Q442,'Threshold Summary'!$Y:$Y,'Threshold Summary'!$K:$K,""),'Pokemon Editor'!$A:$A,'Pokemon Editor'!$H:$H,0)+31+FLOOR(XLOOKUP($Q442,'Threshold Summary'!$Y:$Y,'Threshold Summary'!$R:$R,"")/4))*XLOOKUP($Q442,'Threshold Summary'!$Y:$Y,'Threshold Summary'!$L:$L,""))/100)+5)*XLOOKUP(XLOOKUP($Q442,'Threshold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Editor'!$E:$E,1))),stab,IF(OR(mtype=XLOOKUP(XLOOKUP($Q442,'Threshold Summary'!$Y:$Y,'Threshold Summary'!$K:$K,""),'Pokemon Editor'!$A:$A,'Pokemon Editor'!$C:$C,""),mtype=XLOOKUP(XLOOKUP($Q442,'Threshold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Chart'!$B$1:$S$1,0)))),base,IF(OR(cat="Status",pow=0),0,FLOOR(FLOOR(FLOOR((2*XLOOKUP($Q442,'Threshold Summary'!$Y:$Y,'Threshold Summary'!$L:$L,"")/5+2)*pow*atk/def)/50)+2)),modifier,stab*eff,AVERAGE(ARRAYFORMULA(FLOOR(base*modifier*SEQUENCE(16,1,85,1)/100)))/(FLOOR(((2*XLOOKUP('Boss Editor'!$C$4,'Pokemon Editor'!$A:$A,'Pokemon Editor'!$E:$E,0)+31+FLOOR('Boss Editor'!$G$4/4))*'Boss Editor'!$D$4)/100)+'Boss Editor'!$D$4+10)),0)</f>
        <v/>
      </c>
      <c r="O442" s="3">
        <f>IF(N442&gt;=1,"OHKO",IF(N442&gt;=0.5,"2HKO",IF(N442&gt;=0.333,"3HKO",IF(N442&gt;=0.25,"4HKO","5HKO+"))))</f>
        <v/>
      </c>
      <c r="P442" s="3" t="inlineStr">
        <is>
          <t>Live from editable databases</t>
        </is>
      </c>
      <c r="Q442" s="3" t="inlineStr">
        <is>
          <t>SPECIES_BUNEARY</t>
        </is>
      </c>
      <c r="R442" s="3" t="n">
        <v>25</v>
      </c>
    </row>
    <row r="443">
      <c r="A443" s="3">
        <f>XLOOKUP($Q443,'Threshold Summary'!$Y:$Y,'Threshold Summary'!$A:$A,"")</f>
        <v/>
      </c>
      <c r="B443" s="3">
        <f>XLOOKUP($Q443,'Threshold Summary'!$Y:$Y,'Threshold Summary'!$M:$M,"")</f>
        <v/>
      </c>
      <c r="C443" s="3">
        <f>XLOOKUP($Q443,'Threshold Summary'!$Y:$Y,'Threshold Summary'!$N:$N,"")</f>
        <v/>
      </c>
      <c r="D443" s="3">
        <f>IFERROR(INDEX(FILTER('Learnset Editor'!$D$2:$D,'Learnset Editor'!$A$2:$A=XLOOKUP($Q443,'Threshold Summary'!$Y:$Y,'Threshold Summary'!$K:$K,""),'Learnset Editor'!$C$2:$C&lt;=XLOOKUP($Q443,'Threshold Summary'!$Y:$Y,'Threshold Summary'!$L:$L,"")),$R443),"")</f>
        <v/>
      </c>
      <c r="E443" s="3">
        <f>XLOOKUP(D443,'Move Editor'!$B:$B,'Move Editor'!$C:$C,"")</f>
        <v/>
      </c>
      <c r="F443" s="3">
        <f>XLOOKUP(D443,'Move Editor'!$B:$B,'Move Editor'!$D:$D,"")</f>
        <v/>
      </c>
      <c r="G443" s="3">
        <f>XLOOKUP(D443,'Move Editor'!$B:$B,'Move Editor'!$E:$E,0)</f>
        <v/>
      </c>
      <c r="H443" s="3">
        <f>XLOOKUP(D443,'Move Editor'!$B:$B,'Move Editor'!$F:$F,0)</f>
        <v/>
      </c>
      <c r="I443" s="3">
        <f>(INDEX('Type Chart'!$B:$S,MATCH(E443,'Type Chart'!$A:$A,0),MATCH(XLOOKUP('Boss Editor'!$C$4,'Pokemon Editor'!$A:$A,'Pokemon Editor'!$C:$C,""),'Type Chart'!$B$1:$S$1,0))*IF(XLOOKUP('Boss Editor'!$C$4,'Pokemon Editor'!$A:$A,'Pokemon Editor'!$D:$D,"")="",1,INDEX('Type Chart'!$B:$S,MATCH(E443,'Type Chart'!$A:$A,0),MATCH(XLOOKUP('Boss Editor'!$C$4,'Pokemon Editor'!$A:$A,'Pokemon Editor'!$D:$D,""),'Type Chart'!$B$1:$S$1,0))))</f>
        <v/>
      </c>
      <c r="J443" s="3">
        <f>IFERROR(LET(mtype,XLOOKUP($D443,'Move Editor'!$B:$B,'Move Editor'!$C:$C,""),cat,XLOOKUP($D443,'Move Editor'!$B:$B,'Move Editor'!$D:$D,""),pow,XLOOKUP($D443,'Move Editor'!$B:$B,'Move Editor'!$E:$E,0),acc,XLOOKUP($D443,'Move Editor'!$B:$B,'Move Editor'!$F:$F,100),atk,IF(cat="Physical",FLOOR((FLOOR(((2*XLOOKUP(XLOOKUP($Q443,'Threshold Summary'!$Y:$Y,'Threshold Summary'!$K:$K,""),'Pokemon Editor'!$A:$A,'Pokemon Editor'!$F:$F,0)+31+FLOOR(XLOOKUP($Q443,'Threshold Summary'!$Y:$Y,'Threshold Summary'!$P:$P,"")/4))*XLOOKUP($Q443,'Threshold Summary'!$Y:$Y,'Threshold Summary'!$L:$L,""))/100)+5)*XLOOKUP(XLOOKUP($Q443,'Threshold Summary'!$Y:$Y,'Threshold Summary'!$M:$M,""),'Nature Editor'!$A:$A,'Nature Editor'!$B:$B,1)),FLOOR((FLOOR(((2*XLOOKUP(XLOOKUP($Q443,'Threshold Summary'!$Y:$Y,'Threshold Summary'!$K:$K,""),'Pokemon Editor'!$A:$A,'Pokemon Editor'!$H:$H,0)+31+FLOOR(XLOOKUP($Q443,'Threshold Summary'!$Y:$Y,'Threshold Summary'!$R:$R,"")/4))*XLOOKUP($Q443,'Threshold Summary'!$Y:$Y,'Threshold Summary'!$L:$L,""))/100)+5)*XLOOKUP(XLOOKUP($Q443,'Threshold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Editor'!$E:$E,1))),stab,IF(OR(mtype=XLOOKUP(XLOOKUP($Q443,'Threshold Summary'!$Y:$Y,'Threshold Summary'!$K:$K,""),'Pokemon Editor'!$A:$A,'Pokemon Editor'!$C:$C,""),mtype=XLOOKUP(XLOOKUP($Q443,'Threshold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Chart'!$B$1:$S$1,0)))),base,IF(OR(cat="Status",pow=0),0,FLOOR(FLOOR(FLOOR((2*XLOOKUP($Q443,'Threshold Summary'!$Y:$Y,'Threshold Summary'!$L:$L,"")/5+2)*pow*atk/def)/50)+2)),modifier,stab*eff,FLOOR(base*modifier*0.85)),0)</f>
        <v/>
      </c>
      <c r="K443" s="3">
        <f>IFERROR(LET(mtype,XLOOKUP($D443,'Move Editor'!$B:$B,'Move Editor'!$C:$C,""),cat,XLOOKUP($D443,'Move Editor'!$B:$B,'Move Editor'!$D:$D,""),pow,XLOOKUP($D443,'Move Editor'!$B:$B,'Move Editor'!$E:$E,0),acc,XLOOKUP($D443,'Move Editor'!$B:$B,'Move Editor'!$F:$F,100),atk,IF(cat="Physical",FLOOR((FLOOR(((2*XLOOKUP(XLOOKUP($Q443,'Threshold Summary'!$Y:$Y,'Threshold Summary'!$K:$K,""),'Pokemon Editor'!$A:$A,'Pokemon Editor'!$F:$F,0)+31+FLOOR(XLOOKUP($Q443,'Threshold Summary'!$Y:$Y,'Threshold Summary'!$P:$P,"")/4))*XLOOKUP($Q443,'Threshold Summary'!$Y:$Y,'Threshold Summary'!$L:$L,""))/100)+5)*XLOOKUP(XLOOKUP($Q443,'Threshold Summary'!$Y:$Y,'Threshold Summary'!$M:$M,""),'Nature Editor'!$A:$A,'Nature Editor'!$B:$B,1)),FLOOR((FLOOR(((2*XLOOKUP(XLOOKUP($Q443,'Threshold Summary'!$Y:$Y,'Threshold Summary'!$K:$K,""),'Pokemon Editor'!$A:$A,'Pokemon Editor'!$H:$H,0)+31+FLOOR(XLOOKUP($Q443,'Threshold Summary'!$Y:$Y,'Threshold Summary'!$R:$R,"")/4))*XLOOKUP($Q443,'Threshold Summary'!$Y:$Y,'Threshold Summary'!$L:$L,""))/100)+5)*XLOOKUP(XLOOKUP($Q443,'Threshold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Editor'!$E:$E,1))),stab,IF(OR(mtype=XLOOKUP(XLOOKUP($Q443,'Threshold Summary'!$Y:$Y,'Threshold Summary'!$K:$K,""),'Pokemon Editor'!$A:$A,'Pokemon Editor'!$C:$C,""),mtype=XLOOKUP(XLOOKUP($Q443,'Threshold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Chart'!$B$1:$S$1,0)))),base,IF(OR(cat="Status",pow=0),0,FLOOR(FLOOR(FLOOR((2*XLOOKUP($Q443,'Threshold Summary'!$Y:$Y,'Threshold Summary'!$L:$L,"")/5+2)*pow*atk/def)/50)+2)),modifier,stab*eff,FLOOR(base*modifier)),0)</f>
        <v/>
      </c>
      <c r="L443" s="3">
        <f>IFERROR(LET(mtype,XLOOKUP($D443,'Move Editor'!$B:$B,'Move Editor'!$C:$C,""),cat,XLOOKUP($D443,'Move Editor'!$B:$B,'Move Editor'!$D:$D,""),pow,XLOOKUP($D443,'Move Editor'!$B:$B,'Move Editor'!$E:$E,0),acc,XLOOKUP($D443,'Move Editor'!$B:$B,'Move Editor'!$F:$F,100),atk,IF(cat="Physical",FLOOR((FLOOR(((2*XLOOKUP(XLOOKUP($Q443,'Threshold Summary'!$Y:$Y,'Threshold Summary'!$K:$K,""),'Pokemon Editor'!$A:$A,'Pokemon Editor'!$F:$F,0)+31+FLOOR(XLOOKUP($Q443,'Threshold Summary'!$Y:$Y,'Threshold Summary'!$P:$P,"")/4))*XLOOKUP($Q443,'Threshold Summary'!$Y:$Y,'Threshold Summary'!$L:$L,""))/100)+5)*XLOOKUP(XLOOKUP($Q443,'Threshold Summary'!$Y:$Y,'Threshold Summary'!$M:$M,""),'Nature Editor'!$A:$A,'Nature Editor'!$B:$B,1)),FLOOR((FLOOR(((2*XLOOKUP(XLOOKUP($Q443,'Threshold Summary'!$Y:$Y,'Threshold Summary'!$K:$K,""),'Pokemon Editor'!$A:$A,'Pokemon Editor'!$H:$H,0)+31+FLOOR(XLOOKUP($Q443,'Threshold Summary'!$Y:$Y,'Threshold Summary'!$R:$R,"")/4))*XLOOKUP($Q443,'Threshold Summary'!$Y:$Y,'Threshold Summary'!$L:$L,""))/100)+5)*XLOOKUP(XLOOKUP($Q443,'Threshold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Editor'!$E:$E,1))),stab,IF(OR(mtype=XLOOKUP(XLOOKUP($Q443,'Threshold Summary'!$Y:$Y,'Threshold Summary'!$K:$K,""),'Pokemon Editor'!$A:$A,'Pokemon Editor'!$C:$C,""),mtype=XLOOKUP(XLOOKUP($Q443,'Threshold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Chart'!$B$1:$S$1,0)))),base,IF(OR(cat="Status",pow=0),0,FLOOR(FLOOR(FLOOR((2*XLOOKUP($Q443,'Threshold Summary'!$Y:$Y,'Threshold Summary'!$L:$L,"")/5+2)*pow*atk/def)/50)+2)),modifier,stab*eff,AVERAGE(ARRAYFORMULA(FLOOR(base*modifier*SEQUENCE(16,1,85,1)/100)))),0)</f>
        <v/>
      </c>
      <c r="M443" s="3">
        <f>IFERROR(LET(mtype,XLOOKUP($D443,'Move Editor'!$B:$B,'Move Editor'!$C:$C,""),cat,XLOOKUP($D443,'Move Editor'!$B:$B,'Move Editor'!$D:$D,""),pow,XLOOKUP($D443,'Move Editor'!$B:$B,'Move Editor'!$E:$E,0),acc,XLOOKUP($D443,'Move Editor'!$B:$B,'Move Editor'!$F:$F,100),atk,IF(cat="Physical",FLOOR((FLOOR(((2*XLOOKUP(XLOOKUP($Q443,'Threshold Summary'!$Y:$Y,'Threshold Summary'!$K:$K,""),'Pokemon Editor'!$A:$A,'Pokemon Editor'!$F:$F,0)+31+FLOOR(XLOOKUP($Q443,'Threshold Summary'!$Y:$Y,'Threshold Summary'!$P:$P,"")/4))*XLOOKUP($Q443,'Threshold Summary'!$Y:$Y,'Threshold Summary'!$L:$L,""))/100)+5)*XLOOKUP(XLOOKUP($Q443,'Threshold Summary'!$Y:$Y,'Threshold Summary'!$M:$M,""),'Nature Editor'!$A:$A,'Nature Editor'!$B:$B,1)),FLOOR((FLOOR(((2*XLOOKUP(XLOOKUP($Q443,'Threshold Summary'!$Y:$Y,'Threshold Summary'!$K:$K,""),'Pokemon Editor'!$A:$A,'Pokemon Editor'!$H:$H,0)+31+FLOOR(XLOOKUP($Q443,'Threshold Summary'!$Y:$Y,'Threshold Summary'!$R:$R,"")/4))*XLOOKUP($Q443,'Threshold Summary'!$Y:$Y,'Threshold Summary'!$L:$L,""))/100)+5)*XLOOKUP(XLOOKUP($Q443,'Threshold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Editor'!$E:$E,1))),stab,IF(OR(mtype=XLOOKUP(XLOOKUP($Q443,'Threshold Summary'!$Y:$Y,'Threshold Summary'!$K:$K,""),'Pokemon Editor'!$A:$A,'Pokemon Editor'!$C:$C,""),mtype=XLOOKUP(XLOOKUP($Q443,'Threshold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Chart'!$B$1:$S$1,0)))),base,IF(OR(cat="Status",pow=0),0,FLOOR(FLOOR(FLOOR((2*XLOOKUP($Q443,'Threshold Summary'!$Y:$Y,'Threshold Summary'!$L:$L,"")/5+2)*pow*atk/def)/50)+2)),modifier,stab*eff,AVERAGE(ARRAYFORMULA(FLOOR(base*modifier*SEQUENCE(16,1,85,1)/100)))*MIN(1,acc/100)),0)</f>
        <v/>
      </c>
      <c r="N443" s="4">
        <f>IFERROR(LET(mtype,XLOOKUP($D443,'Move Editor'!$B:$B,'Move Editor'!$C:$C,""),cat,XLOOKUP($D443,'Move Editor'!$B:$B,'Move Editor'!$D:$D,""),pow,XLOOKUP($D443,'Move Editor'!$B:$B,'Move Editor'!$E:$E,0),acc,XLOOKUP($D443,'Move Editor'!$B:$B,'Move Editor'!$F:$F,100),atk,IF(cat="Physical",FLOOR((FLOOR(((2*XLOOKUP(XLOOKUP($Q443,'Threshold Summary'!$Y:$Y,'Threshold Summary'!$K:$K,""),'Pokemon Editor'!$A:$A,'Pokemon Editor'!$F:$F,0)+31+FLOOR(XLOOKUP($Q443,'Threshold Summary'!$Y:$Y,'Threshold Summary'!$P:$P,"")/4))*XLOOKUP($Q443,'Threshold Summary'!$Y:$Y,'Threshold Summary'!$L:$L,""))/100)+5)*XLOOKUP(XLOOKUP($Q443,'Threshold Summary'!$Y:$Y,'Threshold Summary'!$M:$M,""),'Nature Editor'!$A:$A,'Nature Editor'!$B:$B,1)),FLOOR((FLOOR(((2*XLOOKUP(XLOOKUP($Q443,'Threshold Summary'!$Y:$Y,'Threshold Summary'!$K:$K,""),'Pokemon Editor'!$A:$A,'Pokemon Editor'!$H:$H,0)+31+FLOOR(XLOOKUP($Q443,'Threshold Summary'!$Y:$Y,'Threshold Summary'!$R:$R,"")/4))*XLOOKUP($Q443,'Threshold Summary'!$Y:$Y,'Threshold Summary'!$L:$L,""))/100)+5)*XLOOKUP(XLOOKUP($Q443,'Threshold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Editor'!$E:$E,1))),stab,IF(OR(mtype=XLOOKUP(XLOOKUP($Q443,'Threshold Summary'!$Y:$Y,'Threshold Summary'!$K:$K,""),'Pokemon Editor'!$A:$A,'Pokemon Editor'!$C:$C,""),mtype=XLOOKUP(XLOOKUP($Q443,'Threshold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Chart'!$B$1:$S$1,0)))),base,IF(OR(cat="Status",pow=0),0,FLOOR(FLOOR(FLOOR((2*XLOOKUP($Q443,'Threshold Summary'!$Y:$Y,'Threshold Summary'!$L:$L,"")/5+2)*pow*atk/def)/50)+2)),modifier,stab*eff,AVERAGE(ARRAYFORMULA(FLOOR(base*modifier*SEQUENCE(16,1,85,1)/100)))/(FLOOR(((2*XLOOKUP('Boss Editor'!$C$4,'Pokemon Editor'!$A:$A,'Pokemon Editor'!$E:$E,0)+31+FLOOR('Boss Editor'!$G$4/4))*'Boss Editor'!$D$4)/100)+'Boss Editor'!$D$4+10)),0)</f>
        <v/>
      </c>
      <c r="O443" s="3">
        <f>IF(N443&gt;=1,"OHKO",IF(N443&gt;=0.5,"2HKO",IF(N443&gt;=0.333,"3HKO",IF(N443&gt;=0.25,"4HKO","5HKO+"))))</f>
        <v/>
      </c>
      <c r="P443" s="3" t="inlineStr">
        <is>
          <t>Live from editable databases</t>
        </is>
      </c>
      <c r="Q443" s="3" t="inlineStr">
        <is>
          <t>SPECIES_BUNEARY</t>
        </is>
      </c>
      <c r="R443" s="3" t="n">
        <v>26</v>
      </c>
    </row>
    <row r="444">
      <c r="A444" s="3">
        <f>XLOOKUP($Q444,'Threshold Summary'!$Y:$Y,'Threshold Summary'!$A:$A,"")</f>
        <v/>
      </c>
      <c r="B444" s="3">
        <f>XLOOKUP($Q444,'Threshold Summary'!$Y:$Y,'Threshold Summary'!$M:$M,"")</f>
        <v/>
      </c>
      <c r="C444" s="3">
        <f>XLOOKUP($Q444,'Threshold Summary'!$Y:$Y,'Threshold Summary'!$N:$N,"")</f>
        <v/>
      </c>
      <c r="D444" s="3">
        <f>IFERROR(INDEX(FILTER('Learnset Editor'!$D$2:$D,'Learnset Editor'!$A$2:$A=XLOOKUP($Q444,'Threshold Summary'!$Y:$Y,'Threshold Summary'!$K:$K,""),'Learnset Editor'!$C$2:$C&lt;=XLOOKUP($Q444,'Threshold Summary'!$Y:$Y,'Threshold Summary'!$L:$L,"")),$R444),"")</f>
        <v/>
      </c>
      <c r="E444" s="3">
        <f>XLOOKUP(D444,'Move Editor'!$B:$B,'Move Editor'!$C:$C,"")</f>
        <v/>
      </c>
      <c r="F444" s="3">
        <f>XLOOKUP(D444,'Move Editor'!$B:$B,'Move Editor'!$D:$D,"")</f>
        <v/>
      </c>
      <c r="G444" s="3">
        <f>XLOOKUP(D444,'Move Editor'!$B:$B,'Move Editor'!$E:$E,0)</f>
        <v/>
      </c>
      <c r="H444" s="3">
        <f>XLOOKUP(D444,'Move Editor'!$B:$B,'Move Editor'!$F:$F,0)</f>
        <v/>
      </c>
      <c r="I444" s="3">
        <f>(INDEX('Type Chart'!$B:$S,MATCH(E444,'Type Chart'!$A:$A,0),MATCH(XLOOKUP('Boss Editor'!$C$4,'Pokemon Editor'!$A:$A,'Pokemon Editor'!$C:$C,""),'Type Chart'!$B$1:$S$1,0))*IF(XLOOKUP('Boss Editor'!$C$4,'Pokemon Editor'!$A:$A,'Pokemon Editor'!$D:$D,"")="",1,INDEX('Type Chart'!$B:$S,MATCH(E444,'Type Chart'!$A:$A,0),MATCH(XLOOKUP('Boss Editor'!$C$4,'Pokemon Editor'!$A:$A,'Pokemon Editor'!$D:$D,""),'Type Chart'!$B$1:$S$1,0))))</f>
        <v/>
      </c>
      <c r="J444" s="3">
        <f>IFERROR(LET(mtype,XLOOKUP($D444,'Move Editor'!$B:$B,'Move Editor'!$C:$C,""),cat,XLOOKUP($D444,'Move Editor'!$B:$B,'Move Editor'!$D:$D,""),pow,XLOOKUP($D444,'Move Editor'!$B:$B,'Move Editor'!$E:$E,0),acc,XLOOKUP($D444,'Move Editor'!$B:$B,'Move Editor'!$F:$F,100),atk,IF(cat="Physical",FLOOR((FLOOR(((2*XLOOKUP(XLOOKUP($Q444,'Threshold Summary'!$Y:$Y,'Threshold Summary'!$K:$K,""),'Pokemon Editor'!$A:$A,'Pokemon Editor'!$F:$F,0)+31+FLOOR(XLOOKUP($Q444,'Threshold Summary'!$Y:$Y,'Threshold Summary'!$P:$P,"")/4))*XLOOKUP($Q444,'Threshold Summary'!$Y:$Y,'Threshold Summary'!$L:$L,""))/100)+5)*XLOOKUP(XLOOKUP($Q444,'Threshold Summary'!$Y:$Y,'Threshold Summary'!$M:$M,""),'Nature Editor'!$A:$A,'Nature Editor'!$B:$B,1)),FLOOR((FLOOR(((2*XLOOKUP(XLOOKUP($Q444,'Threshold Summary'!$Y:$Y,'Threshold Summary'!$K:$K,""),'Pokemon Editor'!$A:$A,'Pokemon Editor'!$H:$H,0)+31+FLOOR(XLOOKUP($Q444,'Threshold Summary'!$Y:$Y,'Threshold Summary'!$R:$R,"")/4))*XLOOKUP($Q444,'Threshold Summary'!$Y:$Y,'Threshold Summary'!$L:$L,""))/100)+5)*XLOOKUP(XLOOKUP($Q444,'Threshold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Editor'!$E:$E,1))),stab,IF(OR(mtype=XLOOKUP(XLOOKUP($Q444,'Threshold Summary'!$Y:$Y,'Threshold Summary'!$K:$K,""),'Pokemon Editor'!$A:$A,'Pokemon Editor'!$C:$C,""),mtype=XLOOKUP(XLOOKUP($Q444,'Threshold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Chart'!$B$1:$S$1,0)))),base,IF(OR(cat="Status",pow=0),0,FLOOR(FLOOR(FLOOR((2*XLOOKUP($Q444,'Threshold Summary'!$Y:$Y,'Threshold Summary'!$L:$L,"")/5+2)*pow*atk/def)/50)+2)),modifier,stab*eff,FLOOR(base*modifier*0.85)),0)</f>
        <v/>
      </c>
      <c r="K444" s="3">
        <f>IFERROR(LET(mtype,XLOOKUP($D444,'Move Editor'!$B:$B,'Move Editor'!$C:$C,""),cat,XLOOKUP($D444,'Move Editor'!$B:$B,'Move Editor'!$D:$D,""),pow,XLOOKUP($D444,'Move Editor'!$B:$B,'Move Editor'!$E:$E,0),acc,XLOOKUP($D444,'Move Editor'!$B:$B,'Move Editor'!$F:$F,100),atk,IF(cat="Physical",FLOOR((FLOOR(((2*XLOOKUP(XLOOKUP($Q444,'Threshold Summary'!$Y:$Y,'Threshold Summary'!$K:$K,""),'Pokemon Editor'!$A:$A,'Pokemon Editor'!$F:$F,0)+31+FLOOR(XLOOKUP($Q444,'Threshold Summary'!$Y:$Y,'Threshold Summary'!$P:$P,"")/4))*XLOOKUP($Q444,'Threshold Summary'!$Y:$Y,'Threshold Summary'!$L:$L,""))/100)+5)*XLOOKUP(XLOOKUP($Q444,'Threshold Summary'!$Y:$Y,'Threshold Summary'!$M:$M,""),'Nature Editor'!$A:$A,'Nature Editor'!$B:$B,1)),FLOOR((FLOOR(((2*XLOOKUP(XLOOKUP($Q444,'Threshold Summary'!$Y:$Y,'Threshold Summary'!$K:$K,""),'Pokemon Editor'!$A:$A,'Pokemon Editor'!$H:$H,0)+31+FLOOR(XLOOKUP($Q444,'Threshold Summary'!$Y:$Y,'Threshold Summary'!$R:$R,"")/4))*XLOOKUP($Q444,'Threshold Summary'!$Y:$Y,'Threshold Summary'!$L:$L,""))/100)+5)*XLOOKUP(XLOOKUP($Q444,'Threshold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Editor'!$E:$E,1))),stab,IF(OR(mtype=XLOOKUP(XLOOKUP($Q444,'Threshold Summary'!$Y:$Y,'Threshold Summary'!$K:$K,""),'Pokemon Editor'!$A:$A,'Pokemon Editor'!$C:$C,""),mtype=XLOOKUP(XLOOKUP($Q444,'Threshold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Chart'!$B$1:$S$1,0)))),base,IF(OR(cat="Status",pow=0),0,FLOOR(FLOOR(FLOOR((2*XLOOKUP($Q444,'Threshold Summary'!$Y:$Y,'Threshold Summary'!$L:$L,"")/5+2)*pow*atk/def)/50)+2)),modifier,stab*eff,FLOOR(base*modifier)),0)</f>
        <v/>
      </c>
      <c r="L444" s="3">
        <f>IFERROR(LET(mtype,XLOOKUP($D444,'Move Editor'!$B:$B,'Move Editor'!$C:$C,""),cat,XLOOKUP($D444,'Move Editor'!$B:$B,'Move Editor'!$D:$D,""),pow,XLOOKUP($D444,'Move Editor'!$B:$B,'Move Editor'!$E:$E,0),acc,XLOOKUP($D444,'Move Editor'!$B:$B,'Move Editor'!$F:$F,100),atk,IF(cat="Physical",FLOOR((FLOOR(((2*XLOOKUP(XLOOKUP($Q444,'Threshold Summary'!$Y:$Y,'Threshold Summary'!$K:$K,""),'Pokemon Editor'!$A:$A,'Pokemon Editor'!$F:$F,0)+31+FLOOR(XLOOKUP($Q444,'Threshold Summary'!$Y:$Y,'Threshold Summary'!$P:$P,"")/4))*XLOOKUP($Q444,'Threshold Summary'!$Y:$Y,'Threshold Summary'!$L:$L,""))/100)+5)*XLOOKUP(XLOOKUP($Q444,'Threshold Summary'!$Y:$Y,'Threshold Summary'!$M:$M,""),'Nature Editor'!$A:$A,'Nature Editor'!$B:$B,1)),FLOOR((FLOOR(((2*XLOOKUP(XLOOKUP($Q444,'Threshold Summary'!$Y:$Y,'Threshold Summary'!$K:$K,""),'Pokemon Editor'!$A:$A,'Pokemon Editor'!$H:$H,0)+31+FLOOR(XLOOKUP($Q444,'Threshold Summary'!$Y:$Y,'Threshold Summary'!$R:$R,"")/4))*XLOOKUP($Q444,'Threshold Summary'!$Y:$Y,'Threshold Summary'!$L:$L,""))/100)+5)*XLOOKUP(XLOOKUP($Q444,'Threshold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Editor'!$E:$E,1))),stab,IF(OR(mtype=XLOOKUP(XLOOKUP($Q444,'Threshold Summary'!$Y:$Y,'Threshold Summary'!$K:$K,""),'Pokemon Editor'!$A:$A,'Pokemon Editor'!$C:$C,""),mtype=XLOOKUP(XLOOKUP($Q444,'Threshold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Chart'!$B$1:$S$1,0)))),base,IF(OR(cat="Status",pow=0),0,FLOOR(FLOOR(FLOOR((2*XLOOKUP($Q444,'Threshold Summary'!$Y:$Y,'Threshold Summary'!$L:$L,"")/5+2)*pow*atk/def)/50)+2)),modifier,stab*eff,AVERAGE(ARRAYFORMULA(FLOOR(base*modifier*SEQUENCE(16,1,85,1)/100)))),0)</f>
        <v/>
      </c>
      <c r="M444" s="3">
        <f>IFERROR(LET(mtype,XLOOKUP($D444,'Move Editor'!$B:$B,'Move Editor'!$C:$C,""),cat,XLOOKUP($D444,'Move Editor'!$B:$B,'Move Editor'!$D:$D,""),pow,XLOOKUP($D444,'Move Editor'!$B:$B,'Move Editor'!$E:$E,0),acc,XLOOKUP($D444,'Move Editor'!$B:$B,'Move Editor'!$F:$F,100),atk,IF(cat="Physical",FLOOR((FLOOR(((2*XLOOKUP(XLOOKUP($Q444,'Threshold Summary'!$Y:$Y,'Threshold Summary'!$K:$K,""),'Pokemon Editor'!$A:$A,'Pokemon Editor'!$F:$F,0)+31+FLOOR(XLOOKUP($Q444,'Threshold Summary'!$Y:$Y,'Threshold Summary'!$P:$P,"")/4))*XLOOKUP($Q444,'Threshold Summary'!$Y:$Y,'Threshold Summary'!$L:$L,""))/100)+5)*XLOOKUP(XLOOKUP($Q444,'Threshold Summary'!$Y:$Y,'Threshold Summary'!$M:$M,""),'Nature Editor'!$A:$A,'Nature Editor'!$B:$B,1)),FLOOR((FLOOR(((2*XLOOKUP(XLOOKUP($Q444,'Threshold Summary'!$Y:$Y,'Threshold Summary'!$K:$K,""),'Pokemon Editor'!$A:$A,'Pokemon Editor'!$H:$H,0)+31+FLOOR(XLOOKUP($Q444,'Threshold Summary'!$Y:$Y,'Threshold Summary'!$R:$R,"")/4))*XLOOKUP($Q444,'Threshold Summary'!$Y:$Y,'Threshold Summary'!$L:$L,""))/100)+5)*XLOOKUP(XLOOKUP($Q444,'Threshold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Editor'!$E:$E,1))),stab,IF(OR(mtype=XLOOKUP(XLOOKUP($Q444,'Threshold Summary'!$Y:$Y,'Threshold Summary'!$K:$K,""),'Pokemon Editor'!$A:$A,'Pokemon Editor'!$C:$C,""),mtype=XLOOKUP(XLOOKUP($Q444,'Threshold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Chart'!$B$1:$S$1,0)))),base,IF(OR(cat="Status",pow=0),0,FLOOR(FLOOR(FLOOR((2*XLOOKUP($Q444,'Threshold Summary'!$Y:$Y,'Threshold Summary'!$L:$L,"")/5+2)*pow*atk/def)/50)+2)),modifier,stab*eff,AVERAGE(ARRAYFORMULA(FLOOR(base*modifier*SEQUENCE(16,1,85,1)/100)))*MIN(1,acc/100)),0)</f>
        <v/>
      </c>
      <c r="N444" s="4">
        <f>IFERROR(LET(mtype,XLOOKUP($D444,'Move Editor'!$B:$B,'Move Editor'!$C:$C,""),cat,XLOOKUP($D444,'Move Editor'!$B:$B,'Move Editor'!$D:$D,""),pow,XLOOKUP($D444,'Move Editor'!$B:$B,'Move Editor'!$E:$E,0),acc,XLOOKUP($D444,'Move Editor'!$B:$B,'Move Editor'!$F:$F,100),atk,IF(cat="Physical",FLOOR((FLOOR(((2*XLOOKUP(XLOOKUP($Q444,'Threshold Summary'!$Y:$Y,'Threshold Summary'!$K:$K,""),'Pokemon Editor'!$A:$A,'Pokemon Editor'!$F:$F,0)+31+FLOOR(XLOOKUP($Q444,'Threshold Summary'!$Y:$Y,'Threshold Summary'!$P:$P,"")/4))*XLOOKUP($Q444,'Threshold Summary'!$Y:$Y,'Threshold Summary'!$L:$L,""))/100)+5)*XLOOKUP(XLOOKUP($Q444,'Threshold Summary'!$Y:$Y,'Threshold Summary'!$M:$M,""),'Nature Editor'!$A:$A,'Nature Editor'!$B:$B,1)),FLOOR((FLOOR(((2*XLOOKUP(XLOOKUP($Q444,'Threshold Summary'!$Y:$Y,'Threshold Summary'!$K:$K,""),'Pokemon Editor'!$A:$A,'Pokemon Editor'!$H:$H,0)+31+FLOOR(XLOOKUP($Q444,'Threshold Summary'!$Y:$Y,'Threshold Summary'!$R:$R,"")/4))*XLOOKUP($Q444,'Threshold Summary'!$Y:$Y,'Threshold Summary'!$L:$L,""))/100)+5)*XLOOKUP(XLOOKUP($Q444,'Threshold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Editor'!$E:$E,1))),stab,IF(OR(mtype=XLOOKUP(XLOOKUP($Q444,'Threshold Summary'!$Y:$Y,'Threshold Summary'!$K:$K,""),'Pokemon Editor'!$A:$A,'Pokemon Editor'!$C:$C,""),mtype=XLOOKUP(XLOOKUP($Q444,'Threshold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Chart'!$B$1:$S$1,0)))),base,IF(OR(cat="Status",pow=0),0,FLOOR(FLOOR(FLOOR((2*XLOOKUP($Q444,'Threshold Summary'!$Y:$Y,'Threshold Summary'!$L:$L,"")/5+2)*pow*atk/def)/50)+2)),modifier,stab*eff,AVERAGE(ARRAYFORMULA(FLOOR(base*modifier*SEQUENCE(16,1,85,1)/100)))/(FLOOR(((2*XLOOKUP('Boss Editor'!$C$4,'Pokemon Editor'!$A:$A,'Pokemon Editor'!$E:$E,0)+31+FLOOR('Boss Editor'!$G$4/4))*'Boss Editor'!$D$4)/100)+'Boss Editor'!$D$4+10)),0)</f>
        <v/>
      </c>
      <c r="O444" s="3">
        <f>IF(N444&gt;=1,"OHKO",IF(N444&gt;=0.5,"2HKO",IF(N444&gt;=0.333,"3HKO",IF(N444&gt;=0.25,"4HKO","5HKO+"))))</f>
        <v/>
      </c>
      <c r="P444" s="3" t="inlineStr">
        <is>
          <t>Live from editable databases</t>
        </is>
      </c>
      <c r="Q444" s="3" t="inlineStr">
        <is>
          <t>SPECIES_BUNEARY</t>
        </is>
      </c>
      <c r="R444" s="3" t="n">
        <v>27</v>
      </c>
    </row>
    <row r="445">
      <c r="A445" s="3">
        <f>XLOOKUP($Q445,'Threshold Summary'!$Y:$Y,'Threshold Summary'!$A:$A,"")</f>
        <v/>
      </c>
      <c r="B445" s="3">
        <f>XLOOKUP($Q445,'Threshold Summary'!$Y:$Y,'Threshold Summary'!$M:$M,"")</f>
        <v/>
      </c>
      <c r="C445" s="3">
        <f>XLOOKUP($Q445,'Threshold Summary'!$Y:$Y,'Threshold Summary'!$N:$N,"")</f>
        <v/>
      </c>
      <c r="D445" s="3">
        <f>IFERROR(INDEX(FILTER('Learnset Editor'!$D$2:$D,'Learnset Editor'!$A$2:$A=XLOOKUP($Q445,'Threshold Summary'!$Y:$Y,'Threshold Summary'!$K:$K,""),'Learnset Editor'!$C$2:$C&lt;=XLOOKUP($Q445,'Threshold Summary'!$Y:$Y,'Threshold Summary'!$L:$L,"")),$R445),"")</f>
        <v/>
      </c>
      <c r="E445" s="3">
        <f>XLOOKUP(D445,'Move Editor'!$B:$B,'Move Editor'!$C:$C,"")</f>
        <v/>
      </c>
      <c r="F445" s="3">
        <f>XLOOKUP(D445,'Move Editor'!$B:$B,'Move Editor'!$D:$D,"")</f>
        <v/>
      </c>
      <c r="G445" s="3">
        <f>XLOOKUP(D445,'Move Editor'!$B:$B,'Move Editor'!$E:$E,0)</f>
        <v/>
      </c>
      <c r="H445" s="3">
        <f>XLOOKUP(D445,'Move Editor'!$B:$B,'Move Editor'!$F:$F,0)</f>
        <v/>
      </c>
      <c r="I445" s="3">
        <f>(INDEX('Type Chart'!$B:$S,MATCH(E445,'Type Chart'!$A:$A,0),MATCH(XLOOKUP('Boss Editor'!$C$4,'Pokemon Editor'!$A:$A,'Pokemon Editor'!$C:$C,""),'Type Chart'!$B$1:$S$1,0))*IF(XLOOKUP('Boss Editor'!$C$4,'Pokemon Editor'!$A:$A,'Pokemon Editor'!$D:$D,"")="",1,INDEX('Type Chart'!$B:$S,MATCH(E445,'Type Chart'!$A:$A,0),MATCH(XLOOKUP('Boss Editor'!$C$4,'Pokemon Editor'!$A:$A,'Pokemon Editor'!$D:$D,""),'Type Chart'!$B$1:$S$1,0))))</f>
        <v/>
      </c>
      <c r="J445" s="3">
        <f>IFERROR(LET(mtype,XLOOKUP($D445,'Move Editor'!$B:$B,'Move Editor'!$C:$C,""),cat,XLOOKUP($D445,'Move Editor'!$B:$B,'Move Editor'!$D:$D,""),pow,XLOOKUP($D445,'Move Editor'!$B:$B,'Move Editor'!$E:$E,0),acc,XLOOKUP($D445,'Move Editor'!$B:$B,'Move Editor'!$F:$F,100),atk,IF(cat="Physical",FLOOR((FLOOR(((2*XLOOKUP(XLOOKUP($Q445,'Threshold Summary'!$Y:$Y,'Threshold Summary'!$K:$K,""),'Pokemon Editor'!$A:$A,'Pokemon Editor'!$F:$F,0)+31+FLOOR(XLOOKUP($Q445,'Threshold Summary'!$Y:$Y,'Threshold Summary'!$P:$P,"")/4))*XLOOKUP($Q445,'Threshold Summary'!$Y:$Y,'Threshold Summary'!$L:$L,""))/100)+5)*XLOOKUP(XLOOKUP($Q445,'Threshold Summary'!$Y:$Y,'Threshold Summary'!$M:$M,""),'Nature Editor'!$A:$A,'Nature Editor'!$B:$B,1)),FLOOR((FLOOR(((2*XLOOKUP(XLOOKUP($Q445,'Threshold Summary'!$Y:$Y,'Threshold Summary'!$K:$K,""),'Pokemon Editor'!$A:$A,'Pokemon Editor'!$H:$H,0)+31+FLOOR(XLOOKUP($Q445,'Threshold Summary'!$Y:$Y,'Threshold Summary'!$R:$R,"")/4))*XLOOKUP($Q445,'Threshold Summary'!$Y:$Y,'Threshold Summary'!$L:$L,""))/100)+5)*XLOOKUP(XLOOKUP($Q445,'Threshold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Editor'!$E:$E,1))),stab,IF(OR(mtype=XLOOKUP(XLOOKUP($Q445,'Threshold Summary'!$Y:$Y,'Threshold Summary'!$K:$K,""),'Pokemon Editor'!$A:$A,'Pokemon Editor'!$C:$C,""),mtype=XLOOKUP(XLOOKUP($Q445,'Threshold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Chart'!$B$1:$S$1,0)))),base,IF(OR(cat="Status",pow=0),0,FLOOR(FLOOR(FLOOR((2*XLOOKUP($Q445,'Threshold Summary'!$Y:$Y,'Threshold Summary'!$L:$L,"")/5+2)*pow*atk/def)/50)+2)),modifier,stab*eff,FLOOR(base*modifier*0.85)),0)</f>
        <v/>
      </c>
      <c r="K445" s="3">
        <f>IFERROR(LET(mtype,XLOOKUP($D445,'Move Editor'!$B:$B,'Move Editor'!$C:$C,""),cat,XLOOKUP($D445,'Move Editor'!$B:$B,'Move Editor'!$D:$D,""),pow,XLOOKUP($D445,'Move Editor'!$B:$B,'Move Editor'!$E:$E,0),acc,XLOOKUP($D445,'Move Editor'!$B:$B,'Move Editor'!$F:$F,100),atk,IF(cat="Physical",FLOOR((FLOOR(((2*XLOOKUP(XLOOKUP($Q445,'Threshold Summary'!$Y:$Y,'Threshold Summary'!$K:$K,""),'Pokemon Editor'!$A:$A,'Pokemon Editor'!$F:$F,0)+31+FLOOR(XLOOKUP($Q445,'Threshold Summary'!$Y:$Y,'Threshold Summary'!$P:$P,"")/4))*XLOOKUP($Q445,'Threshold Summary'!$Y:$Y,'Threshold Summary'!$L:$L,""))/100)+5)*XLOOKUP(XLOOKUP($Q445,'Threshold Summary'!$Y:$Y,'Threshold Summary'!$M:$M,""),'Nature Editor'!$A:$A,'Nature Editor'!$B:$B,1)),FLOOR((FLOOR(((2*XLOOKUP(XLOOKUP($Q445,'Threshold Summary'!$Y:$Y,'Threshold Summary'!$K:$K,""),'Pokemon Editor'!$A:$A,'Pokemon Editor'!$H:$H,0)+31+FLOOR(XLOOKUP($Q445,'Threshold Summary'!$Y:$Y,'Threshold Summary'!$R:$R,"")/4))*XLOOKUP($Q445,'Threshold Summary'!$Y:$Y,'Threshold Summary'!$L:$L,""))/100)+5)*XLOOKUP(XLOOKUP($Q445,'Threshold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Editor'!$E:$E,1))),stab,IF(OR(mtype=XLOOKUP(XLOOKUP($Q445,'Threshold Summary'!$Y:$Y,'Threshold Summary'!$K:$K,""),'Pokemon Editor'!$A:$A,'Pokemon Editor'!$C:$C,""),mtype=XLOOKUP(XLOOKUP($Q445,'Threshold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Chart'!$B$1:$S$1,0)))),base,IF(OR(cat="Status",pow=0),0,FLOOR(FLOOR(FLOOR((2*XLOOKUP($Q445,'Threshold Summary'!$Y:$Y,'Threshold Summary'!$L:$L,"")/5+2)*pow*atk/def)/50)+2)),modifier,stab*eff,FLOOR(base*modifier)),0)</f>
        <v/>
      </c>
      <c r="L445" s="3">
        <f>IFERROR(LET(mtype,XLOOKUP($D445,'Move Editor'!$B:$B,'Move Editor'!$C:$C,""),cat,XLOOKUP($D445,'Move Editor'!$B:$B,'Move Editor'!$D:$D,""),pow,XLOOKUP($D445,'Move Editor'!$B:$B,'Move Editor'!$E:$E,0),acc,XLOOKUP($D445,'Move Editor'!$B:$B,'Move Editor'!$F:$F,100),atk,IF(cat="Physical",FLOOR((FLOOR(((2*XLOOKUP(XLOOKUP($Q445,'Threshold Summary'!$Y:$Y,'Threshold Summary'!$K:$K,""),'Pokemon Editor'!$A:$A,'Pokemon Editor'!$F:$F,0)+31+FLOOR(XLOOKUP($Q445,'Threshold Summary'!$Y:$Y,'Threshold Summary'!$P:$P,"")/4))*XLOOKUP($Q445,'Threshold Summary'!$Y:$Y,'Threshold Summary'!$L:$L,""))/100)+5)*XLOOKUP(XLOOKUP($Q445,'Threshold Summary'!$Y:$Y,'Threshold Summary'!$M:$M,""),'Nature Editor'!$A:$A,'Nature Editor'!$B:$B,1)),FLOOR((FLOOR(((2*XLOOKUP(XLOOKUP($Q445,'Threshold Summary'!$Y:$Y,'Threshold Summary'!$K:$K,""),'Pokemon Editor'!$A:$A,'Pokemon Editor'!$H:$H,0)+31+FLOOR(XLOOKUP($Q445,'Threshold Summary'!$Y:$Y,'Threshold Summary'!$R:$R,"")/4))*XLOOKUP($Q445,'Threshold Summary'!$Y:$Y,'Threshold Summary'!$L:$L,""))/100)+5)*XLOOKUP(XLOOKUP($Q445,'Threshold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Editor'!$E:$E,1))),stab,IF(OR(mtype=XLOOKUP(XLOOKUP($Q445,'Threshold Summary'!$Y:$Y,'Threshold Summary'!$K:$K,""),'Pokemon Editor'!$A:$A,'Pokemon Editor'!$C:$C,""),mtype=XLOOKUP(XLOOKUP($Q445,'Threshold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Chart'!$B$1:$S$1,0)))),base,IF(OR(cat="Status",pow=0),0,FLOOR(FLOOR(FLOOR((2*XLOOKUP($Q445,'Threshold Summary'!$Y:$Y,'Threshold Summary'!$L:$L,"")/5+2)*pow*atk/def)/50)+2)),modifier,stab*eff,AVERAGE(ARRAYFORMULA(FLOOR(base*modifier*SEQUENCE(16,1,85,1)/100)))),0)</f>
        <v/>
      </c>
      <c r="M445" s="3">
        <f>IFERROR(LET(mtype,XLOOKUP($D445,'Move Editor'!$B:$B,'Move Editor'!$C:$C,""),cat,XLOOKUP($D445,'Move Editor'!$B:$B,'Move Editor'!$D:$D,""),pow,XLOOKUP($D445,'Move Editor'!$B:$B,'Move Editor'!$E:$E,0),acc,XLOOKUP($D445,'Move Editor'!$B:$B,'Move Editor'!$F:$F,100),atk,IF(cat="Physical",FLOOR((FLOOR(((2*XLOOKUP(XLOOKUP($Q445,'Threshold Summary'!$Y:$Y,'Threshold Summary'!$K:$K,""),'Pokemon Editor'!$A:$A,'Pokemon Editor'!$F:$F,0)+31+FLOOR(XLOOKUP($Q445,'Threshold Summary'!$Y:$Y,'Threshold Summary'!$P:$P,"")/4))*XLOOKUP($Q445,'Threshold Summary'!$Y:$Y,'Threshold Summary'!$L:$L,""))/100)+5)*XLOOKUP(XLOOKUP($Q445,'Threshold Summary'!$Y:$Y,'Threshold Summary'!$M:$M,""),'Nature Editor'!$A:$A,'Nature Editor'!$B:$B,1)),FLOOR((FLOOR(((2*XLOOKUP(XLOOKUP($Q445,'Threshold Summary'!$Y:$Y,'Threshold Summary'!$K:$K,""),'Pokemon Editor'!$A:$A,'Pokemon Editor'!$H:$H,0)+31+FLOOR(XLOOKUP($Q445,'Threshold Summary'!$Y:$Y,'Threshold Summary'!$R:$R,"")/4))*XLOOKUP($Q445,'Threshold Summary'!$Y:$Y,'Threshold Summary'!$L:$L,""))/100)+5)*XLOOKUP(XLOOKUP($Q445,'Threshold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Editor'!$E:$E,1))),stab,IF(OR(mtype=XLOOKUP(XLOOKUP($Q445,'Threshold Summary'!$Y:$Y,'Threshold Summary'!$K:$K,""),'Pokemon Editor'!$A:$A,'Pokemon Editor'!$C:$C,""),mtype=XLOOKUP(XLOOKUP($Q445,'Threshold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Chart'!$B$1:$S$1,0)))),base,IF(OR(cat="Status",pow=0),0,FLOOR(FLOOR(FLOOR((2*XLOOKUP($Q445,'Threshold Summary'!$Y:$Y,'Threshold Summary'!$L:$L,"")/5+2)*pow*atk/def)/50)+2)),modifier,stab*eff,AVERAGE(ARRAYFORMULA(FLOOR(base*modifier*SEQUENCE(16,1,85,1)/100)))*MIN(1,acc/100)),0)</f>
        <v/>
      </c>
      <c r="N445" s="4">
        <f>IFERROR(LET(mtype,XLOOKUP($D445,'Move Editor'!$B:$B,'Move Editor'!$C:$C,""),cat,XLOOKUP($D445,'Move Editor'!$B:$B,'Move Editor'!$D:$D,""),pow,XLOOKUP($D445,'Move Editor'!$B:$B,'Move Editor'!$E:$E,0),acc,XLOOKUP($D445,'Move Editor'!$B:$B,'Move Editor'!$F:$F,100),atk,IF(cat="Physical",FLOOR((FLOOR(((2*XLOOKUP(XLOOKUP($Q445,'Threshold Summary'!$Y:$Y,'Threshold Summary'!$K:$K,""),'Pokemon Editor'!$A:$A,'Pokemon Editor'!$F:$F,0)+31+FLOOR(XLOOKUP($Q445,'Threshold Summary'!$Y:$Y,'Threshold Summary'!$P:$P,"")/4))*XLOOKUP($Q445,'Threshold Summary'!$Y:$Y,'Threshold Summary'!$L:$L,""))/100)+5)*XLOOKUP(XLOOKUP($Q445,'Threshold Summary'!$Y:$Y,'Threshold Summary'!$M:$M,""),'Nature Editor'!$A:$A,'Nature Editor'!$B:$B,1)),FLOOR((FLOOR(((2*XLOOKUP(XLOOKUP($Q445,'Threshold Summary'!$Y:$Y,'Threshold Summary'!$K:$K,""),'Pokemon Editor'!$A:$A,'Pokemon Editor'!$H:$H,0)+31+FLOOR(XLOOKUP($Q445,'Threshold Summary'!$Y:$Y,'Threshold Summary'!$R:$R,"")/4))*XLOOKUP($Q445,'Threshold Summary'!$Y:$Y,'Threshold Summary'!$L:$L,""))/100)+5)*XLOOKUP(XLOOKUP($Q445,'Threshold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Editor'!$E:$E,1))),stab,IF(OR(mtype=XLOOKUP(XLOOKUP($Q445,'Threshold Summary'!$Y:$Y,'Threshold Summary'!$K:$K,""),'Pokemon Editor'!$A:$A,'Pokemon Editor'!$C:$C,""),mtype=XLOOKUP(XLOOKUP($Q445,'Threshold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Chart'!$B$1:$S$1,0)))),base,IF(OR(cat="Status",pow=0),0,FLOOR(FLOOR(FLOOR((2*XLOOKUP($Q445,'Threshold Summary'!$Y:$Y,'Threshold Summary'!$L:$L,"")/5+2)*pow*atk/def)/50)+2)),modifier,stab*eff,AVERAGE(ARRAYFORMULA(FLOOR(base*modifier*SEQUENCE(16,1,85,1)/100)))/(FLOOR(((2*XLOOKUP('Boss Editor'!$C$4,'Pokemon Editor'!$A:$A,'Pokemon Editor'!$E:$E,0)+31+FLOOR('Boss Editor'!$G$4/4))*'Boss Editor'!$D$4)/100)+'Boss Editor'!$D$4+10)),0)</f>
        <v/>
      </c>
      <c r="O445" s="3">
        <f>IF(N445&gt;=1,"OHKO",IF(N445&gt;=0.5,"2HKO",IF(N445&gt;=0.333,"3HKO",IF(N445&gt;=0.25,"4HKO","5HKO+"))))</f>
        <v/>
      </c>
      <c r="P445" s="3" t="inlineStr">
        <is>
          <t>Live from editable databases</t>
        </is>
      </c>
      <c r="Q445" s="3" t="inlineStr">
        <is>
          <t>SPECIES_BUNEARY</t>
        </is>
      </c>
      <c r="R445" s="3" t="n">
        <v>28</v>
      </c>
    </row>
    <row r="446">
      <c r="A446" s="3">
        <f>XLOOKUP($Q446,'Threshold Summary'!$Y:$Y,'Threshold Summary'!$A:$A,"")</f>
        <v/>
      </c>
      <c r="B446" s="3">
        <f>XLOOKUP($Q446,'Threshold Summary'!$Y:$Y,'Threshold Summary'!$M:$M,"")</f>
        <v/>
      </c>
      <c r="C446" s="3">
        <f>XLOOKUP($Q446,'Threshold Summary'!$Y:$Y,'Threshold Summary'!$N:$N,"")</f>
        <v/>
      </c>
      <c r="D446" s="3">
        <f>IFERROR(INDEX(FILTER('Learnset Editor'!$D$2:$D,'Learnset Editor'!$A$2:$A=XLOOKUP($Q446,'Threshold Summary'!$Y:$Y,'Threshold Summary'!$K:$K,""),'Learnset Editor'!$C$2:$C&lt;=XLOOKUP($Q446,'Threshold Summary'!$Y:$Y,'Threshold Summary'!$L:$L,"")),$R446),"")</f>
        <v/>
      </c>
      <c r="E446" s="3">
        <f>XLOOKUP(D446,'Move Editor'!$B:$B,'Move Editor'!$C:$C,"")</f>
        <v/>
      </c>
      <c r="F446" s="3">
        <f>XLOOKUP(D446,'Move Editor'!$B:$B,'Move Editor'!$D:$D,"")</f>
        <v/>
      </c>
      <c r="G446" s="3">
        <f>XLOOKUP(D446,'Move Editor'!$B:$B,'Move Editor'!$E:$E,0)</f>
        <v/>
      </c>
      <c r="H446" s="3">
        <f>XLOOKUP(D446,'Move Editor'!$B:$B,'Move Editor'!$F:$F,0)</f>
        <v/>
      </c>
      <c r="I446" s="3">
        <f>(INDEX('Type Chart'!$B:$S,MATCH(E446,'Type Chart'!$A:$A,0),MATCH(XLOOKUP('Boss Editor'!$C$4,'Pokemon Editor'!$A:$A,'Pokemon Editor'!$C:$C,""),'Type Chart'!$B$1:$S$1,0))*IF(XLOOKUP('Boss Editor'!$C$4,'Pokemon Editor'!$A:$A,'Pokemon Editor'!$D:$D,"")="",1,INDEX('Type Chart'!$B:$S,MATCH(E446,'Type Chart'!$A:$A,0),MATCH(XLOOKUP('Boss Editor'!$C$4,'Pokemon Editor'!$A:$A,'Pokemon Editor'!$D:$D,""),'Type Chart'!$B$1:$S$1,0))))</f>
        <v/>
      </c>
      <c r="J446" s="3">
        <f>IFERROR(LET(mtype,XLOOKUP($D446,'Move Editor'!$B:$B,'Move Editor'!$C:$C,""),cat,XLOOKUP($D446,'Move Editor'!$B:$B,'Move Editor'!$D:$D,""),pow,XLOOKUP($D446,'Move Editor'!$B:$B,'Move Editor'!$E:$E,0),acc,XLOOKUP($D446,'Move Editor'!$B:$B,'Move Editor'!$F:$F,100),atk,IF(cat="Physical",FLOOR((FLOOR(((2*XLOOKUP(XLOOKUP($Q446,'Threshold Summary'!$Y:$Y,'Threshold Summary'!$K:$K,""),'Pokemon Editor'!$A:$A,'Pokemon Editor'!$F:$F,0)+31+FLOOR(XLOOKUP($Q446,'Threshold Summary'!$Y:$Y,'Threshold Summary'!$P:$P,"")/4))*XLOOKUP($Q446,'Threshold Summary'!$Y:$Y,'Threshold Summary'!$L:$L,""))/100)+5)*XLOOKUP(XLOOKUP($Q446,'Threshold Summary'!$Y:$Y,'Threshold Summary'!$M:$M,""),'Nature Editor'!$A:$A,'Nature Editor'!$B:$B,1)),FLOOR((FLOOR(((2*XLOOKUP(XLOOKUP($Q446,'Threshold Summary'!$Y:$Y,'Threshold Summary'!$K:$K,""),'Pokemon Editor'!$A:$A,'Pokemon Editor'!$H:$H,0)+31+FLOOR(XLOOKUP($Q446,'Threshold Summary'!$Y:$Y,'Threshold Summary'!$R:$R,"")/4))*XLOOKUP($Q446,'Threshold Summary'!$Y:$Y,'Threshold Summary'!$L:$L,""))/100)+5)*XLOOKUP(XLOOKUP($Q446,'Threshold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Editor'!$E:$E,1))),stab,IF(OR(mtype=XLOOKUP(XLOOKUP($Q446,'Threshold Summary'!$Y:$Y,'Threshold Summary'!$K:$K,""),'Pokemon Editor'!$A:$A,'Pokemon Editor'!$C:$C,""),mtype=XLOOKUP(XLOOKUP($Q446,'Threshold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Chart'!$B$1:$S$1,0)))),base,IF(OR(cat="Status",pow=0),0,FLOOR(FLOOR(FLOOR((2*XLOOKUP($Q446,'Threshold Summary'!$Y:$Y,'Threshold Summary'!$L:$L,"")/5+2)*pow*atk/def)/50)+2)),modifier,stab*eff,FLOOR(base*modifier*0.85)),0)</f>
        <v/>
      </c>
      <c r="K446" s="3">
        <f>IFERROR(LET(mtype,XLOOKUP($D446,'Move Editor'!$B:$B,'Move Editor'!$C:$C,""),cat,XLOOKUP($D446,'Move Editor'!$B:$B,'Move Editor'!$D:$D,""),pow,XLOOKUP($D446,'Move Editor'!$B:$B,'Move Editor'!$E:$E,0),acc,XLOOKUP($D446,'Move Editor'!$B:$B,'Move Editor'!$F:$F,100),atk,IF(cat="Physical",FLOOR((FLOOR(((2*XLOOKUP(XLOOKUP($Q446,'Threshold Summary'!$Y:$Y,'Threshold Summary'!$K:$K,""),'Pokemon Editor'!$A:$A,'Pokemon Editor'!$F:$F,0)+31+FLOOR(XLOOKUP($Q446,'Threshold Summary'!$Y:$Y,'Threshold Summary'!$P:$P,"")/4))*XLOOKUP($Q446,'Threshold Summary'!$Y:$Y,'Threshold Summary'!$L:$L,""))/100)+5)*XLOOKUP(XLOOKUP($Q446,'Threshold Summary'!$Y:$Y,'Threshold Summary'!$M:$M,""),'Nature Editor'!$A:$A,'Nature Editor'!$B:$B,1)),FLOOR((FLOOR(((2*XLOOKUP(XLOOKUP($Q446,'Threshold Summary'!$Y:$Y,'Threshold Summary'!$K:$K,""),'Pokemon Editor'!$A:$A,'Pokemon Editor'!$H:$H,0)+31+FLOOR(XLOOKUP($Q446,'Threshold Summary'!$Y:$Y,'Threshold Summary'!$R:$R,"")/4))*XLOOKUP($Q446,'Threshold Summary'!$Y:$Y,'Threshold Summary'!$L:$L,""))/100)+5)*XLOOKUP(XLOOKUP($Q446,'Threshold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Editor'!$E:$E,1))),stab,IF(OR(mtype=XLOOKUP(XLOOKUP($Q446,'Threshold Summary'!$Y:$Y,'Threshold Summary'!$K:$K,""),'Pokemon Editor'!$A:$A,'Pokemon Editor'!$C:$C,""),mtype=XLOOKUP(XLOOKUP($Q446,'Threshold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Chart'!$B$1:$S$1,0)))),base,IF(OR(cat="Status",pow=0),0,FLOOR(FLOOR(FLOOR((2*XLOOKUP($Q446,'Threshold Summary'!$Y:$Y,'Threshold Summary'!$L:$L,"")/5+2)*pow*atk/def)/50)+2)),modifier,stab*eff,FLOOR(base*modifier)),0)</f>
        <v/>
      </c>
      <c r="L446" s="3">
        <f>IFERROR(LET(mtype,XLOOKUP($D446,'Move Editor'!$B:$B,'Move Editor'!$C:$C,""),cat,XLOOKUP($D446,'Move Editor'!$B:$B,'Move Editor'!$D:$D,""),pow,XLOOKUP($D446,'Move Editor'!$B:$B,'Move Editor'!$E:$E,0),acc,XLOOKUP($D446,'Move Editor'!$B:$B,'Move Editor'!$F:$F,100),atk,IF(cat="Physical",FLOOR((FLOOR(((2*XLOOKUP(XLOOKUP($Q446,'Threshold Summary'!$Y:$Y,'Threshold Summary'!$K:$K,""),'Pokemon Editor'!$A:$A,'Pokemon Editor'!$F:$F,0)+31+FLOOR(XLOOKUP($Q446,'Threshold Summary'!$Y:$Y,'Threshold Summary'!$P:$P,"")/4))*XLOOKUP($Q446,'Threshold Summary'!$Y:$Y,'Threshold Summary'!$L:$L,""))/100)+5)*XLOOKUP(XLOOKUP($Q446,'Threshold Summary'!$Y:$Y,'Threshold Summary'!$M:$M,""),'Nature Editor'!$A:$A,'Nature Editor'!$B:$B,1)),FLOOR((FLOOR(((2*XLOOKUP(XLOOKUP($Q446,'Threshold Summary'!$Y:$Y,'Threshold Summary'!$K:$K,""),'Pokemon Editor'!$A:$A,'Pokemon Editor'!$H:$H,0)+31+FLOOR(XLOOKUP($Q446,'Threshold Summary'!$Y:$Y,'Threshold Summary'!$R:$R,"")/4))*XLOOKUP($Q446,'Threshold Summary'!$Y:$Y,'Threshold Summary'!$L:$L,""))/100)+5)*XLOOKUP(XLOOKUP($Q446,'Threshold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Editor'!$E:$E,1))),stab,IF(OR(mtype=XLOOKUP(XLOOKUP($Q446,'Threshold Summary'!$Y:$Y,'Threshold Summary'!$K:$K,""),'Pokemon Editor'!$A:$A,'Pokemon Editor'!$C:$C,""),mtype=XLOOKUP(XLOOKUP($Q446,'Threshold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Chart'!$B$1:$S$1,0)))),base,IF(OR(cat="Status",pow=0),0,FLOOR(FLOOR(FLOOR((2*XLOOKUP($Q446,'Threshold Summary'!$Y:$Y,'Threshold Summary'!$L:$L,"")/5+2)*pow*atk/def)/50)+2)),modifier,stab*eff,AVERAGE(ARRAYFORMULA(FLOOR(base*modifier*SEQUENCE(16,1,85,1)/100)))),0)</f>
        <v/>
      </c>
      <c r="M446" s="3">
        <f>IFERROR(LET(mtype,XLOOKUP($D446,'Move Editor'!$B:$B,'Move Editor'!$C:$C,""),cat,XLOOKUP($D446,'Move Editor'!$B:$B,'Move Editor'!$D:$D,""),pow,XLOOKUP($D446,'Move Editor'!$B:$B,'Move Editor'!$E:$E,0),acc,XLOOKUP($D446,'Move Editor'!$B:$B,'Move Editor'!$F:$F,100),atk,IF(cat="Physical",FLOOR((FLOOR(((2*XLOOKUP(XLOOKUP($Q446,'Threshold Summary'!$Y:$Y,'Threshold Summary'!$K:$K,""),'Pokemon Editor'!$A:$A,'Pokemon Editor'!$F:$F,0)+31+FLOOR(XLOOKUP($Q446,'Threshold Summary'!$Y:$Y,'Threshold Summary'!$P:$P,"")/4))*XLOOKUP($Q446,'Threshold Summary'!$Y:$Y,'Threshold Summary'!$L:$L,""))/100)+5)*XLOOKUP(XLOOKUP($Q446,'Threshold Summary'!$Y:$Y,'Threshold Summary'!$M:$M,""),'Nature Editor'!$A:$A,'Nature Editor'!$B:$B,1)),FLOOR((FLOOR(((2*XLOOKUP(XLOOKUP($Q446,'Threshold Summary'!$Y:$Y,'Threshold Summary'!$K:$K,""),'Pokemon Editor'!$A:$A,'Pokemon Editor'!$H:$H,0)+31+FLOOR(XLOOKUP($Q446,'Threshold Summary'!$Y:$Y,'Threshold Summary'!$R:$R,"")/4))*XLOOKUP($Q446,'Threshold Summary'!$Y:$Y,'Threshold Summary'!$L:$L,""))/100)+5)*XLOOKUP(XLOOKUP($Q446,'Threshold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Editor'!$E:$E,1))),stab,IF(OR(mtype=XLOOKUP(XLOOKUP($Q446,'Threshold Summary'!$Y:$Y,'Threshold Summary'!$K:$K,""),'Pokemon Editor'!$A:$A,'Pokemon Editor'!$C:$C,""),mtype=XLOOKUP(XLOOKUP($Q446,'Threshold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Chart'!$B$1:$S$1,0)))),base,IF(OR(cat="Status",pow=0),0,FLOOR(FLOOR(FLOOR((2*XLOOKUP($Q446,'Threshold Summary'!$Y:$Y,'Threshold Summary'!$L:$L,"")/5+2)*pow*atk/def)/50)+2)),modifier,stab*eff,AVERAGE(ARRAYFORMULA(FLOOR(base*modifier*SEQUENCE(16,1,85,1)/100)))*MIN(1,acc/100)),0)</f>
        <v/>
      </c>
      <c r="N446" s="4">
        <f>IFERROR(LET(mtype,XLOOKUP($D446,'Move Editor'!$B:$B,'Move Editor'!$C:$C,""),cat,XLOOKUP($D446,'Move Editor'!$B:$B,'Move Editor'!$D:$D,""),pow,XLOOKUP($D446,'Move Editor'!$B:$B,'Move Editor'!$E:$E,0),acc,XLOOKUP($D446,'Move Editor'!$B:$B,'Move Editor'!$F:$F,100),atk,IF(cat="Physical",FLOOR((FLOOR(((2*XLOOKUP(XLOOKUP($Q446,'Threshold Summary'!$Y:$Y,'Threshold Summary'!$K:$K,""),'Pokemon Editor'!$A:$A,'Pokemon Editor'!$F:$F,0)+31+FLOOR(XLOOKUP($Q446,'Threshold Summary'!$Y:$Y,'Threshold Summary'!$P:$P,"")/4))*XLOOKUP($Q446,'Threshold Summary'!$Y:$Y,'Threshold Summary'!$L:$L,""))/100)+5)*XLOOKUP(XLOOKUP($Q446,'Threshold Summary'!$Y:$Y,'Threshold Summary'!$M:$M,""),'Nature Editor'!$A:$A,'Nature Editor'!$B:$B,1)),FLOOR((FLOOR(((2*XLOOKUP(XLOOKUP($Q446,'Threshold Summary'!$Y:$Y,'Threshold Summary'!$K:$K,""),'Pokemon Editor'!$A:$A,'Pokemon Editor'!$H:$H,0)+31+FLOOR(XLOOKUP($Q446,'Threshold Summary'!$Y:$Y,'Threshold Summary'!$R:$R,"")/4))*XLOOKUP($Q446,'Threshold Summary'!$Y:$Y,'Threshold Summary'!$L:$L,""))/100)+5)*XLOOKUP(XLOOKUP($Q446,'Threshold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Editor'!$E:$E,1))),stab,IF(OR(mtype=XLOOKUP(XLOOKUP($Q446,'Threshold Summary'!$Y:$Y,'Threshold Summary'!$K:$K,""),'Pokemon Editor'!$A:$A,'Pokemon Editor'!$C:$C,""),mtype=XLOOKUP(XLOOKUP($Q446,'Threshold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Chart'!$B$1:$S$1,0)))),base,IF(OR(cat="Status",pow=0),0,FLOOR(FLOOR(FLOOR((2*XLOOKUP($Q446,'Threshold Summary'!$Y:$Y,'Threshold Summary'!$L:$L,"")/5+2)*pow*atk/def)/50)+2)),modifier,stab*eff,AVERAGE(ARRAYFORMULA(FLOOR(base*modifier*SEQUENCE(16,1,85,1)/100)))/(FLOOR(((2*XLOOKUP('Boss Editor'!$C$4,'Pokemon Editor'!$A:$A,'Pokemon Editor'!$E:$E,0)+31+FLOOR('Boss Editor'!$G$4/4))*'Boss Editor'!$D$4)/100)+'Boss Editor'!$D$4+10)),0)</f>
        <v/>
      </c>
      <c r="O446" s="3">
        <f>IF(N446&gt;=1,"OHKO",IF(N446&gt;=0.5,"2HKO",IF(N446&gt;=0.333,"3HKO",IF(N446&gt;=0.25,"4HKO","5HKO+"))))</f>
        <v/>
      </c>
      <c r="P446" s="3" t="inlineStr">
        <is>
          <t>Live from editable databases</t>
        </is>
      </c>
      <c r="Q446" s="3" t="inlineStr">
        <is>
          <t>SPECIES_BUNEARY</t>
        </is>
      </c>
      <c r="R446" s="3" t="n">
        <v>29</v>
      </c>
    </row>
    <row r="447">
      <c r="A447" s="3">
        <f>XLOOKUP($Q447,'Threshold Summary'!$Y:$Y,'Threshold Summary'!$A:$A,"")</f>
        <v/>
      </c>
      <c r="B447" s="3">
        <f>XLOOKUP($Q447,'Threshold Summary'!$Y:$Y,'Threshold Summary'!$M:$M,"")</f>
        <v/>
      </c>
      <c r="C447" s="3">
        <f>XLOOKUP($Q447,'Threshold Summary'!$Y:$Y,'Threshold Summary'!$N:$N,"")</f>
        <v/>
      </c>
      <c r="D447" s="3">
        <f>IFERROR(INDEX(FILTER('Learnset Editor'!$D$2:$D,'Learnset Editor'!$A$2:$A=XLOOKUP($Q447,'Threshold Summary'!$Y:$Y,'Threshold Summary'!$K:$K,""),'Learnset Editor'!$C$2:$C&lt;=XLOOKUP($Q447,'Threshold Summary'!$Y:$Y,'Threshold Summary'!$L:$L,"")),$R447),"")</f>
        <v/>
      </c>
      <c r="E447" s="3">
        <f>XLOOKUP(D447,'Move Editor'!$B:$B,'Move Editor'!$C:$C,"")</f>
        <v/>
      </c>
      <c r="F447" s="3">
        <f>XLOOKUP(D447,'Move Editor'!$B:$B,'Move Editor'!$D:$D,"")</f>
        <v/>
      </c>
      <c r="G447" s="3">
        <f>XLOOKUP(D447,'Move Editor'!$B:$B,'Move Editor'!$E:$E,0)</f>
        <v/>
      </c>
      <c r="H447" s="3">
        <f>XLOOKUP(D447,'Move Editor'!$B:$B,'Move Editor'!$F:$F,0)</f>
        <v/>
      </c>
      <c r="I447" s="3">
        <f>(INDEX('Type Chart'!$B:$S,MATCH(E447,'Type Chart'!$A:$A,0),MATCH(XLOOKUP('Boss Editor'!$C$4,'Pokemon Editor'!$A:$A,'Pokemon Editor'!$C:$C,""),'Type Chart'!$B$1:$S$1,0))*IF(XLOOKUP('Boss Editor'!$C$4,'Pokemon Editor'!$A:$A,'Pokemon Editor'!$D:$D,"")="",1,INDEX('Type Chart'!$B:$S,MATCH(E447,'Type Chart'!$A:$A,0),MATCH(XLOOKUP('Boss Editor'!$C$4,'Pokemon Editor'!$A:$A,'Pokemon Editor'!$D:$D,""),'Type Chart'!$B$1:$S$1,0))))</f>
        <v/>
      </c>
      <c r="J447" s="3">
        <f>IFERROR(LET(mtype,XLOOKUP($D447,'Move Editor'!$B:$B,'Move Editor'!$C:$C,""),cat,XLOOKUP($D447,'Move Editor'!$B:$B,'Move Editor'!$D:$D,""),pow,XLOOKUP($D447,'Move Editor'!$B:$B,'Move Editor'!$E:$E,0),acc,XLOOKUP($D447,'Move Editor'!$B:$B,'Move Editor'!$F:$F,100),atk,IF(cat="Physical",FLOOR((FLOOR(((2*XLOOKUP(XLOOKUP($Q447,'Threshold Summary'!$Y:$Y,'Threshold Summary'!$K:$K,""),'Pokemon Editor'!$A:$A,'Pokemon Editor'!$F:$F,0)+31+FLOOR(XLOOKUP($Q447,'Threshold Summary'!$Y:$Y,'Threshold Summary'!$P:$P,"")/4))*XLOOKUP($Q447,'Threshold Summary'!$Y:$Y,'Threshold Summary'!$L:$L,""))/100)+5)*XLOOKUP(XLOOKUP($Q447,'Threshold Summary'!$Y:$Y,'Threshold Summary'!$M:$M,""),'Nature Editor'!$A:$A,'Nature Editor'!$B:$B,1)),FLOOR((FLOOR(((2*XLOOKUP(XLOOKUP($Q447,'Threshold Summary'!$Y:$Y,'Threshold Summary'!$K:$K,""),'Pokemon Editor'!$A:$A,'Pokemon Editor'!$H:$H,0)+31+FLOOR(XLOOKUP($Q447,'Threshold Summary'!$Y:$Y,'Threshold Summary'!$R:$R,"")/4))*XLOOKUP($Q447,'Threshold Summary'!$Y:$Y,'Threshold Summary'!$L:$L,""))/100)+5)*XLOOKUP(XLOOKUP($Q447,'Threshold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Editor'!$E:$E,1))),stab,IF(OR(mtype=XLOOKUP(XLOOKUP($Q447,'Threshold Summary'!$Y:$Y,'Threshold Summary'!$K:$K,""),'Pokemon Editor'!$A:$A,'Pokemon Editor'!$C:$C,""),mtype=XLOOKUP(XLOOKUP($Q447,'Threshold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Chart'!$B$1:$S$1,0)))),base,IF(OR(cat="Status",pow=0),0,FLOOR(FLOOR(FLOOR((2*XLOOKUP($Q447,'Threshold Summary'!$Y:$Y,'Threshold Summary'!$L:$L,"")/5+2)*pow*atk/def)/50)+2)),modifier,stab*eff,FLOOR(base*modifier*0.85)),0)</f>
        <v/>
      </c>
      <c r="K447" s="3">
        <f>IFERROR(LET(mtype,XLOOKUP($D447,'Move Editor'!$B:$B,'Move Editor'!$C:$C,""),cat,XLOOKUP($D447,'Move Editor'!$B:$B,'Move Editor'!$D:$D,""),pow,XLOOKUP($D447,'Move Editor'!$B:$B,'Move Editor'!$E:$E,0),acc,XLOOKUP($D447,'Move Editor'!$B:$B,'Move Editor'!$F:$F,100),atk,IF(cat="Physical",FLOOR((FLOOR(((2*XLOOKUP(XLOOKUP($Q447,'Threshold Summary'!$Y:$Y,'Threshold Summary'!$K:$K,""),'Pokemon Editor'!$A:$A,'Pokemon Editor'!$F:$F,0)+31+FLOOR(XLOOKUP($Q447,'Threshold Summary'!$Y:$Y,'Threshold Summary'!$P:$P,"")/4))*XLOOKUP($Q447,'Threshold Summary'!$Y:$Y,'Threshold Summary'!$L:$L,""))/100)+5)*XLOOKUP(XLOOKUP($Q447,'Threshold Summary'!$Y:$Y,'Threshold Summary'!$M:$M,""),'Nature Editor'!$A:$A,'Nature Editor'!$B:$B,1)),FLOOR((FLOOR(((2*XLOOKUP(XLOOKUP($Q447,'Threshold Summary'!$Y:$Y,'Threshold Summary'!$K:$K,""),'Pokemon Editor'!$A:$A,'Pokemon Editor'!$H:$H,0)+31+FLOOR(XLOOKUP($Q447,'Threshold Summary'!$Y:$Y,'Threshold Summary'!$R:$R,"")/4))*XLOOKUP($Q447,'Threshold Summary'!$Y:$Y,'Threshold Summary'!$L:$L,""))/100)+5)*XLOOKUP(XLOOKUP($Q447,'Threshold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Editor'!$E:$E,1))),stab,IF(OR(mtype=XLOOKUP(XLOOKUP($Q447,'Threshold Summary'!$Y:$Y,'Threshold Summary'!$K:$K,""),'Pokemon Editor'!$A:$A,'Pokemon Editor'!$C:$C,""),mtype=XLOOKUP(XLOOKUP($Q447,'Threshold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Chart'!$B$1:$S$1,0)))),base,IF(OR(cat="Status",pow=0),0,FLOOR(FLOOR(FLOOR((2*XLOOKUP($Q447,'Threshold Summary'!$Y:$Y,'Threshold Summary'!$L:$L,"")/5+2)*pow*atk/def)/50)+2)),modifier,stab*eff,FLOOR(base*modifier)),0)</f>
        <v/>
      </c>
      <c r="L447" s="3">
        <f>IFERROR(LET(mtype,XLOOKUP($D447,'Move Editor'!$B:$B,'Move Editor'!$C:$C,""),cat,XLOOKUP($D447,'Move Editor'!$B:$B,'Move Editor'!$D:$D,""),pow,XLOOKUP($D447,'Move Editor'!$B:$B,'Move Editor'!$E:$E,0),acc,XLOOKUP($D447,'Move Editor'!$B:$B,'Move Editor'!$F:$F,100),atk,IF(cat="Physical",FLOOR((FLOOR(((2*XLOOKUP(XLOOKUP($Q447,'Threshold Summary'!$Y:$Y,'Threshold Summary'!$K:$K,""),'Pokemon Editor'!$A:$A,'Pokemon Editor'!$F:$F,0)+31+FLOOR(XLOOKUP($Q447,'Threshold Summary'!$Y:$Y,'Threshold Summary'!$P:$P,"")/4))*XLOOKUP($Q447,'Threshold Summary'!$Y:$Y,'Threshold Summary'!$L:$L,""))/100)+5)*XLOOKUP(XLOOKUP($Q447,'Threshold Summary'!$Y:$Y,'Threshold Summary'!$M:$M,""),'Nature Editor'!$A:$A,'Nature Editor'!$B:$B,1)),FLOOR((FLOOR(((2*XLOOKUP(XLOOKUP($Q447,'Threshold Summary'!$Y:$Y,'Threshold Summary'!$K:$K,""),'Pokemon Editor'!$A:$A,'Pokemon Editor'!$H:$H,0)+31+FLOOR(XLOOKUP($Q447,'Threshold Summary'!$Y:$Y,'Threshold Summary'!$R:$R,"")/4))*XLOOKUP($Q447,'Threshold Summary'!$Y:$Y,'Threshold Summary'!$L:$L,""))/100)+5)*XLOOKUP(XLOOKUP($Q447,'Threshold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Editor'!$E:$E,1))),stab,IF(OR(mtype=XLOOKUP(XLOOKUP($Q447,'Threshold Summary'!$Y:$Y,'Threshold Summary'!$K:$K,""),'Pokemon Editor'!$A:$A,'Pokemon Editor'!$C:$C,""),mtype=XLOOKUP(XLOOKUP($Q447,'Threshold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Chart'!$B$1:$S$1,0)))),base,IF(OR(cat="Status",pow=0),0,FLOOR(FLOOR(FLOOR((2*XLOOKUP($Q447,'Threshold Summary'!$Y:$Y,'Threshold Summary'!$L:$L,"")/5+2)*pow*atk/def)/50)+2)),modifier,stab*eff,AVERAGE(ARRAYFORMULA(FLOOR(base*modifier*SEQUENCE(16,1,85,1)/100)))),0)</f>
        <v/>
      </c>
      <c r="M447" s="3">
        <f>IFERROR(LET(mtype,XLOOKUP($D447,'Move Editor'!$B:$B,'Move Editor'!$C:$C,""),cat,XLOOKUP($D447,'Move Editor'!$B:$B,'Move Editor'!$D:$D,""),pow,XLOOKUP($D447,'Move Editor'!$B:$B,'Move Editor'!$E:$E,0),acc,XLOOKUP($D447,'Move Editor'!$B:$B,'Move Editor'!$F:$F,100),atk,IF(cat="Physical",FLOOR((FLOOR(((2*XLOOKUP(XLOOKUP($Q447,'Threshold Summary'!$Y:$Y,'Threshold Summary'!$K:$K,""),'Pokemon Editor'!$A:$A,'Pokemon Editor'!$F:$F,0)+31+FLOOR(XLOOKUP($Q447,'Threshold Summary'!$Y:$Y,'Threshold Summary'!$P:$P,"")/4))*XLOOKUP($Q447,'Threshold Summary'!$Y:$Y,'Threshold Summary'!$L:$L,""))/100)+5)*XLOOKUP(XLOOKUP($Q447,'Threshold Summary'!$Y:$Y,'Threshold Summary'!$M:$M,""),'Nature Editor'!$A:$A,'Nature Editor'!$B:$B,1)),FLOOR((FLOOR(((2*XLOOKUP(XLOOKUP($Q447,'Threshold Summary'!$Y:$Y,'Threshold Summary'!$K:$K,""),'Pokemon Editor'!$A:$A,'Pokemon Editor'!$H:$H,0)+31+FLOOR(XLOOKUP($Q447,'Threshold Summary'!$Y:$Y,'Threshold Summary'!$R:$R,"")/4))*XLOOKUP($Q447,'Threshold Summary'!$Y:$Y,'Threshold Summary'!$L:$L,""))/100)+5)*XLOOKUP(XLOOKUP($Q447,'Threshold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Editor'!$E:$E,1))),stab,IF(OR(mtype=XLOOKUP(XLOOKUP($Q447,'Threshold Summary'!$Y:$Y,'Threshold Summary'!$K:$K,""),'Pokemon Editor'!$A:$A,'Pokemon Editor'!$C:$C,""),mtype=XLOOKUP(XLOOKUP($Q447,'Threshold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Chart'!$B$1:$S$1,0)))),base,IF(OR(cat="Status",pow=0),0,FLOOR(FLOOR(FLOOR((2*XLOOKUP($Q447,'Threshold Summary'!$Y:$Y,'Threshold Summary'!$L:$L,"")/5+2)*pow*atk/def)/50)+2)),modifier,stab*eff,AVERAGE(ARRAYFORMULA(FLOOR(base*modifier*SEQUENCE(16,1,85,1)/100)))*MIN(1,acc/100)),0)</f>
        <v/>
      </c>
      <c r="N447" s="4">
        <f>IFERROR(LET(mtype,XLOOKUP($D447,'Move Editor'!$B:$B,'Move Editor'!$C:$C,""),cat,XLOOKUP($D447,'Move Editor'!$B:$B,'Move Editor'!$D:$D,""),pow,XLOOKUP($D447,'Move Editor'!$B:$B,'Move Editor'!$E:$E,0),acc,XLOOKUP($D447,'Move Editor'!$B:$B,'Move Editor'!$F:$F,100),atk,IF(cat="Physical",FLOOR((FLOOR(((2*XLOOKUP(XLOOKUP($Q447,'Threshold Summary'!$Y:$Y,'Threshold Summary'!$K:$K,""),'Pokemon Editor'!$A:$A,'Pokemon Editor'!$F:$F,0)+31+FLOOR(XLOOKUP($Q447,'Threshold Summary'!$Y:$Y,'Threshold Summary'!$P:$P,"")/4))*XLOOKUP($Q447,'Threshold Summary'!$Y:$Y,'Threshold Summary'!$L:$L,""))/100)+5)*XLOOKUP(XLOOKUP($Q447,'Threshold Summary'!$Y:$Y,'Threshold Summary'!$M:$M,""),'Nature Editor'!$A:$A,'Nature Editor'!$B:$B,1)),FLOOR((FLOOR(((2*XLOOKUP(XLOOKUP($Q447,'Threshold Summary'!$Y:$Y,'Threshold Summary'!$K:$K,""),'Pokemon Editor'!$A:$A,'Pokemon Editor'!$H:$H,0)+31+FLOOR(XLOOKUP($Q447,'Threshold Summary'!$Y:$Y,'Threshold Summary'!$R:$R,"")/4))*XLOOKUP($Q447,'Threshold Summary'!$Y:$Y,'Threshold Summary'!$L:$L,""))/100)+5)*XLOOKUP(XLOOKUP($Q447,'Threshold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Editor'!$E:$E,1))),stab,IF(OR(mtype=XLOOKUP(XLOOKUP($Q447,'Threshold Summary'!$Y:$Y,'Threshold Summary'!$K:$K,""),'Pokemon Editor'!$A:$A,'Pokemon Editor'!$C:$C,""),mtype=XLOOKUP(XLOOKUP($Q447,'Threshold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Chart'!$B$1:$S$1,0)))),base,IF(OR(cat="Status",pow=0),0,FLOOR(FLOOR(FLOOR((2*XLOOKUP($Q447,'Threshold Summary'!$Y:$Y,'Threshold Summary'!$L:$L,"")/5+2)*pow*atk/def)/50)+2)),modifier,stab*eff,AVERAGE(ARRAYFORMULA(FLOOR(base*modifier*SEQUENCE(16,1,85,1)/100)))/(FLOOR(((2*XLOOKUP('Boss Editor'!$C$4,'Pokemon Editor'!$A:$A,'Pokemon Editor'!$E:$E,0)+31+FLOOR('Boss Editor'!$G$4/4))*'Boss Editor'!$D$4)/100)+'Boss Editor'!$D$4+10)),0)</f>
        <v/>
      </c>
      <c r="O447" s="3">
        <f>IF(N447&gt;=1,"OHKO",IF(N447&gt;=0.5,"2HKO",IF(N447&gt;=0.333,"3HKO",IF(N447&gt;=0.25,"4HKO","5HKO+"))))</f>
        <v/>
      </c>
      <c r="P447" s="3" t="inlineStr">
        <is>
          <t>Live from editable databases</t>
        </is>
      </c>
      <c r="Q447" s="3" t="inlineStr">
        <is>
          <t>SPECIES_BUNEARY</t>
        </is>
      </c>
      <c r="R447" s="3" t="n">
        <v>30</v>
      </c>
    </row>
    <row r="448">
      <c r="A448" s="3">
        <f>XLOOKUP($Q448,'Threshold Summary'!$Y:$Y,'Threshold Summary'!$A:$A,"")</f>
        <v/>
      </c>
      <c r="B448" s="3">
        <f>XLOOKUP($Q448,'Threshold Summary'!$Y:$Y,'Threshold Summary'!$M:$M,"")</f>
        <v/>
      </c>
      <c r="C448" s="3">
        <f>XLOOKUP($Q448,'Threshold Summary'!$Y:$Y,'Threshold Summary'!$N:$N,"")</f>
        <v/>
      </c>
      <c r="D448" s="3">
        <f>IFERROR(INDEX(FILTER('Learnset Editor'!$D$2:$D,'Learnset Editor'!$A$2:$A=XLOOKUP($Q448,'Threshold Summary'!$Y:$Y,'Threshold Summary'!$K:$K,""),'Learnset Editor'!$C$2:$C&lt;=XLOOKUP($Q448,'Threshold Summary'!$Y:$Y,'Threshold Summary'!$L:$L,"")),$R448),"")</f>
        <v/>
      </c>
      <c r="E448" s="3">
        <f>XLOOKUP(D448,'Move Editor'!$B:$B,'Move Editor'!$C:$C,"")</f>
        <v/>
      </c>
      <c r="F448" s="3">
        <f>XLOOKUP(D448,'Move Editor'!$B:$B,'Move Editor'!$D:$D,"")</f>
        <v/>
      </c>
      <c r="G448" s="3">
        <f>XLOOKUP(D448,'Move Editor'!$B:$B,'Move Editor'!$E:$E,0)</f>
        <v/>
      </c>
      <c r="H448" s="3">
        <f>XLOOKUP(D448,'Move Editor'!$B:$B,'Move Editor'!$F:$F,0)</f>
        <v/>
      </c>
      <c r="I448" s="3">
        <f>(INDEX('Type Chart'!$B:$S,MATCH(E448,'Type Chart'!$A:$A,0),MATCH(XLOOKUP('Boss Editor'!$C$4,'Pokemon Editor'!$A:$A,'Pokemon Editor'!$C:$C,""),'Type Chart'!$B$1:$S$1,0))*IF(XLOOKUP('Boss Editor'!$C$4,'Pokemon Editor'!$A:$A,'Pokemon Editor'!$D:$D,"")="",1,INDEX('Type Chart'!$B:$S,MATCH(E448,'Type Chart'!$A:$A,0),MATCH(XLOOKUP('Boss Editor'!$C$4,'Pokemon Editor'!$A:$A,'Pokemon Editor'!$D:$D,""),'Type Chart'!$B$1:$S$1,0))))</f>
        <v/>
      </c>
      <c r="J448" s="3">
        <f>IFERROR(LET(mtype,XLOOKUP($D448,'Move Editor'!$B:$B,'Move Editor'!$C:$C,""),cat,XLOOKUP($D448,'Move Editor'!$B:$B,'Move Editor'!$D:$D,""),pow,XLOOKUP($D448,'Move Editor'!$B:$B,'Move Editor'!$E:$E,0),acc,XLOOKUP($D448,'Move Editor'!$B:$B,'Move Editor'!$F:$F,100),atk,IF(cat="Physical",FLOOR((FLOOR(((2*XLOOKUP(XLOOKUP($Q448,'Threshold Summary'!$Y:$Y,'Threshold Summary'!$K:$K,""),'Pokemon Editor'!$A:$A,'Pokemon Editor'!$F:$F,0)+31+FLOOR(XLOOKUP($Q448,'Threshold Summary'!$Y:$Y,'Threshold Summary'!$P:$P,"")/4))*XLOOKUP($Q448,'Threshold Summary'!$Y:$Y,'Threshold Summary'!$L:$L,""))/100)+5)*XLOOKUP(XLOOKUP($Q448,'Threshold Summary'!$Y:$Y,'Threshold Summary'!$M:$M,""),'Nature Editor'!$A:$A,'Nature Editor'!$B:$B,1)),FLOOR((FLOOR(((2*XLOOKUP(XLOOKUP($Q448,'Threshold Summary'!$Y:$Y,'Threshold Summary'!$K:$K,""),'Pokemon Editor'!$A:$A,'Pokemon Editor'!$H:$H,0)+31+FLOOR(XLOOKUP($Q448,'Threshold Summary'!$Y:$Y,'Threshold Summary'!$R:$R,"")/4))*XLOOKUP($Q448,'Threshold Summary'!$Y:$Y,'Threshold Summary'!$L:$L,""))/100)+5)*XLOOKUP(XLOOKUP($Q448,'Threshold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Editor'!$E:$E,1))),stab,IF(OR(mtype=XLOOKUP(XLOOKUP($Q448,'Threshold Summary'!$Y:$Y,'Threshold Summary'!$K:$K,""),'Pokemon Editor'!$A:$A,'Pokemon Editor'!$C:$C,""),mtype=XLOOKUP(XLOOKUP($Q448,'Threshold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Chart'!$B$1:$S$1,0)))),base,IF(OR(cat="Status",pow=0),0,FLOOR(FLOOR(FLOOR((2*XLOOKUP($Q448,'Threshold Summary'!$Y:$Y,'Threshold Summary'!$L:$L,"")/5+2)*pow*atk/def)/50)+2)),modifier,stab*eff,FLOOR(base*modifier*0.85)),0)</f>
        <v/>
      </c>
      <c r="K448" s="3">
        <f>IFERROR(LET(mtype,XLOOKUP($D448,'Move Editor'!$B:$B,'Move Editor'!$C:$C,""),cat,XLOOKUP($D448,'Move Editor'!$B:$B,'Move Editor'!$D:$D,""),pow,XLOOKUP($D448,'Move Editor'!$B:$B,'Move Editor'!$E:$E,0),acc,XLOOKUP($D448,'Move Editor'!$B:$B,'Move Editor'!$F:$F,100),atk,IF(cat="Physical",FLOOR((FLOOR(((2*XLOOKUP(XLOOKUP($Q448,'Threshold Summary'!$Y:$Y,'Threshold Summary'!$K:$K,""),'Pokemon Editor'!$A:$A,'Pokemon Editor'!$F:$F,0)+31+FLOOR(XLOOKUP($Q448,'Threshold Summary'!$Y:$Y,'Threshold Summary'!$P:$P,"")/4))*XLOOKUP($Q448,'Threshold Summary'!$Y:$Y,'Threshold Summary'!$L:$L,""))/100)+5)*XLOOKUP(XLOOKUP($Q448,'Threshold Summary'!$Y:$Y,'Threshold Summary'!$M:$M,""),'Nature Editor'!$A:$A,'Nature Editor'!$B:$B,1)),FLOOR((FLOOR(((2*XLOOKUP(XLOOKUP($Q448,'Threshold Summary'!$Y:$Y,'Threshold Summary'!$K:$K,""),'Pokemon Editor'!$A:$A,'Pokemon Editor'!$H:$H,0)+31+FLOOR(XLOOKUP($Q448,'Threshold Summary'!$Y:$Y,'Threshold Summary'!$R:$R,"")/4))*XLOOKUP($Q448,'Threshold Summary'!$Y:$Y,'Threshold Summary'!$L:$L,""))/100)+5)*XLOOKUP(XLOOKUP($Q448,'Threshold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Editor'!$E:$E,1))),stab,IF(OR(mtype=XLOOKUP(XLOOKUP($Q448,'Threshold Summary'!$Y:$Y,'Threshold Summary'!$K:$K,""),'Pokemon Editor'!$A:$A,'Pokemon Editor'!$C:$C,""),mtype=XLOOKUP(XLOOKUP($Q448,'Threshold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Chart'!$B$1:$S$1,0)))),base,IF(OR(cat="Status",pow=0),0,FLOOR(FLOOR(FLOOR((2*XLOOKUP($Q448,'Threshold Summary'!$Y:$Y,'Threshold Summary'!$L:$L,"")/5+2)*pow*atk/def)/50)+2)),modifier,stab*eff,FLOOR(base*modifier)),0)</f>
        <v/>
      </c>
      <c r="L448" s="3">
        <f>IFERROR(LET(mtype,XLOOKUP($D448,'Move Editor'!$B:$B,'Move Editor'!$C:$C,""),cat,XLOOKUP($D448,'Move Editor'!$B:$B,'Move Editor'!$D:$D,""),pow,XLOOKUP($D448,'Move Editor'!$B:$B,'Move Editor'!$E:$E,0),acc,XLOOKUP($D448,'Move Editor'!$B:$B,'Move Editor'!$F:$F,100),atk,IF(cat="Physical",FLOOR((FLOOR(((2*XLOOKUP(XLOOKUP($Q448,'Threshold Summary'!$Y:$Y,'Threshold Summary'!$K:$K,""),'Pokemon Editor'!$A:$A,'Pokemon Editor'!$F:$F,0)+31+FLOOR(XLOOKUP($Q448,'Threshold Summary'!$Y:$Y,'Threshold Summary'!$P:$P,"")/4))*XLOOKUP($Q448,'Threshold Summary'!$Y:$Y,'Threshold Summary'!$L:$L,""))/100)+5)*XLOOKUP(XLOOKUP($Q448,'Threshold Summary'!$Y:$Y,'Threshold Summary'!$M:$M,""),'Nature Editor'!$A:$A,'Nature Editor'!$B:$B,1)),FLOOR((FLOOR(((2*XLOOKUP(XLOOKUP($Q448,'Threshold Summary'!$Y:$Y,'Threshold Summary'!$K:$K,""),'Pokemon Editor'!$A:$A,'Pokemon Editor'!$H:$H,0)+31+FLOOR(XLOOKUP($Q448,'Threshold Summary'!$Y:$Y,'Threshold Summary'!$R:$R,"")/4))*XLOOKUP($Q448,'Threshold Summary'!$Y:$Y,'Threshold Summary'!$L:$L,""))/100)+5)*XLOOKUP(XLOOKUP($Q448,'Threshold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Editor'!$E:$E,1))),stab,IF(OR(mtype=XLOOKUP(XLOOKUP($Q448,'Threshold Summary'!$Y:$Y,'Threshold Summary'!$K:$K,""),'Pokemon Editor'!$A:$A,'Pokemon Editor'!$C:$C,""),mtype=XLOOKUP(XLOOKUP($Q448,'Threshold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Chart'!$B$1:$S$1,0)))),base,IF(OR(cat="Status",pow=0),0,FLOOR(FLOOR(FLOOR((2*XLOOKUP($Q448,'Threshold Summary'!$Y:$Y,'Threshold Summary'!$L:$L,"")/5+2)*pow*atk/def)/50)+2)),modifier,stab*eff,AVERAGE(ARRAYFORMULA(FLOOR(base*modifier*SEQUENCE(16,1,85,1)/100)))),0)</f>
        <v/>
      </c>
      <c r="M448" s="3">
        <f>IFERROR(LET(mtype,XLOOKUP($D448,'Move Editor'!$B:$B,'Move Editor'!$C:$C,""),cat,XLOOKUP($D448,'Move Editor'!$B:$B,'Move Editor'!$D:$D,""),pow,XLOOKUP($D448,'Move Editor'!$B:$B,'Move Editor'!$E:$E,0),acc,XLOOKUP($D448,'Move Editor'!$B:$B,'Move Editor'!$F:$F,100),atk,IF(cat="Physical",FLOOR((FLOOR(((2*XLOOKUP(XLOOKUP($Q448,'Threshold Summary'!$Y:$Y,'Threshold Summary'!$K:$K,""),'Pokemon Editor'!$A:$A,'Pokemon Editor'!$F:$F,0)+31+FLOOR(XLOOKUP($Q448,'Threshold Summary'!$Y:$Y,'Threshold Summary'!$P:$P,"")/4))*XLOOKUP($Q448,'Threshold Summary'!$Y:$Y,'Threshold Summary'!$L:$L,""))/100)+5)*XLOOKUP(XLOOKUP($Q448,'Threshold Summary'!$Y:$Y,'Threshold Summary'!$M:$M,""),'Nature Editor'!$A:$A,'Nature Editor'!$B:$B,1)),FLOOR((FLOOR(((2*XLOOKUP(XLOOKUP($Q448,'Threshold Summary'!$Y:$Y,'Threshold Summary'!$K:$K,""),'Pokemon Editor'!$A:$A,'Pokemon Editor'!$H:$H,0)+31+FLOOR(XLOOKUP($Q448,'Threshold Summary'!$Y:$Y,'Threshold Summary'!$R:$R,"")/4))*XLOOKUP($Q448,'Threshold Summary'!$Y:$Y,'Threshold Summary'!$L:$L,""))/100)+5)*XLOOKUP(XLOOKUP($Q448,'Threshold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Editor'!$E:$E,1))),stab,IF(OR(mtype=XLOOKUP(XLOOKUP($Q448,'Threshold Summary'!$Y:$Y,'Threshold Summary'!$K:$K,""),'Pokemon Editor'!$A:$A,'Pokemon Editor'!$C:$C,""),mtype=XLOOKUP(XLOOKUP($Q448,'Threshold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Chart'!$B$1:$S$1,0)))),base,IF(OR(cat="Status",pow=0),0,FLOOR(FLOOR(FLOOR((2*XLOOKUP($Q448,'Threshold Summary'!$Y:$Y,'Threshold Summary'!$L:$L,"")/5+2)*pow*atk/def)/50)+2)),modifier,stab*eff,AVERAGE(ARRAYFORMULA(FLOOR(base*modifier*SEQUENCE(16,1,85,1)/100)))*MIN(1,acc/100)),0)</f>
        <v/>
      </c>
      <c r="N448" s="4">
        <f>IFERROR(LET(mtype,XLOOKUP($D448,'Move Editor'!$B:$B,'Move Editor'!$C:$C,""),cat,XLOOKUP($D448,'Move Editor'!$B:$B,'Move Editor'!$D:$D,""),pow,XLOOKUP($D448,'Move Editor'!$B:$B,'Move Editor'!$E:$E,0),acc,XLOOKUP($D448,'Move Editor'!$B:$B,'Move Editor'!$F:$F,100),atk,IF(cat="Physical",FLOOR((FLOOR(((2*XLOOKUP(XLOOKUP($Q448,'Threshold Summary'!$Y:$Y,'Threshold Summary'!$K:$K,""),'Pokemon Editor'!$A:$A,'Pokemon Editor'!$F:$F,0)+31+FLOOR(XLOOKUP($Q448,'Threshold Summary'!$Y:$Y,'Threshold Summary'!$P:$P,"")/4))*XLOOKUP($Q448,'Threshold Summary'!$Y:$Y,'Threshold Summary'!$L:$L,""))/100)+5)*XLOOKUP(XLOOKUP($Q448,'Threshold Summary'!$Y:$Y,'Threshold Summary'!$M:$M,""),'Nature Editor'!$A:$A,'Nature Editor'!$B:$B,1)),FLOOR((FLOOR(((2*XLOOKUP(XLOOKUP($Q448,'Threshold Summary'!$Y:$Y,'Threshold Summary'!$K:$K,""),'Pokemon Editor'!$A:$A,'Pokemon Editor'!$H:$H,0)+31+FLOOR(XLOOKUP($Q448,'Threshold Summary'!$Y:$Y,'Threshold Summary'!$R:$R,"")/4))*XLOOKUP($Q448,'Threshold Summary'!$Y:$Y,'Threshold Summary'!$L:$L,""))/100)+5)*XLOOKUP(XLOOKUP($Q448,'Threshold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Editor'!$E:$E,1))),stab,IF(OR(mtype=XLOOKUP(XLOOKUP($Q448,'Threshold Summary'!$Y:$Y,'Threshold Summary'!$K:$K,""),'Pokemon Editor'!$A:$A,'Pokemon Editor'!$C:$C,""),mtype=XLOOKUP(XLOOKUP($Q448,'Threshold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Chart'!$B$1:$S$1,0)))),base,IF(OR(cat="Status",pow=0),0,FLOOR(FLOOR(FLOOR((2*XLOOKUP($Q448,'Threshold Summary'!$Y:$Y,'Threshold Summary'!$L:$L,"")/5+2)*pow*atk/def)/50)+2)),modifier,stab*eff,AVERAGE(ARRAYFORMULA(FLOOR(base*modifier*SEQUENCE(16,1,85,1)/100)))/(FLOOR(((2*XLOOKUP('Boss Editor'!$C$4,'Pokemon Editor'!$A:$A,'Pokemon Editor'!$E:$E,0)+31+FLOOR('Boss Editor'!$G$4/4))*'Boss Editor'!$D$4)/100)+'Boss Editor'!$D$4+10)),0)</f>
        <v/>
      </c>
      <c r="O448" s="3">
        <f>IF(N448&gt;=1,"OHKO",IF(N448&gt;=0.5,"2HKO",IF(N448&gt;=0.333,"3HKO",IF(N448&gt;=0.25,"4HKO","5HKO+"))))</f>
        <v/>
      </c>
      <c r="P448" s="3" t="inlineStr">
        <is>
          <t>Live from editable databases</t>
        </is>
      </c>
      <c r="Q448" s="3" t="inlineStr">
        <is>
          <t>SPECIES_BUNEARY</t>
        </is>
      </c>
      <c r="R448" s="3" t="n">
        <v>31</v>
      </c>
    </row>
    <row r="449">
      <c r="A449" s="3">
        <f>XLOOKUP($Q449,'Threshold Summary'!$Y:$Y,'Threshold Summary'!$A:$A,"")</f>
        <v/>
      </c>
      <c r="B449" s="3">
        <f>XLOOKUP($Q449,'Threshold Summary'!$Y:$Y,'Threshold Summary'!$M:$M,"")</f>
        <v/>
      </c>
      <c r="C449" s="3">
        <f>XLOOKUP($Q449,'Threshold Summary'!$Y:$Y,'Threshold Summary'!$N:$N,"")</f>
        <v/>
      </c>
      <c r="D449" s="3">
        <f>IFERROR(INDEX(FILTER('Learnset Editor'!$D$2:$D,'Learnset Editor'!$A$2:$A=XLOOKUP($Q449,'Threshold Summary'!$Y:$Y,'Threshold Summary'!$K:$K,""),'Learnset Editor'!$C$2:$C&lt;=XLOOKUP($Q449,'Threshold Summary'!$Y:$Y,'Threshold Summary'!$L:$L,"")),$R449),"")</f>
        <v/>
      </c>
      <c r="E449" s="3">
        <f>XLOOKUP(D449,'Move Editor'!$B:$B,'Move Editor'!$C:$C,"")</f>
        <v/>
      </c>
      <c r="F449" s="3">
        <f>XLOOKUP(D449,'Move Editor'!$B:$B,'Move Editor'!$D:$D,"")</f>
        <v/>
      </c>
      <c r="G449" s="3">
        <f>XLOOKUP(D449,'Move Editor'!$B:$B,'Move Editor'!$E:$E,0)</f>
        <v/>
      </c>
      <c r="H449" s="3">
        <f>XLOOKUP(D449,'Move Editor'!$B:$B,'Move Editor'!$F:$F,0)</f>
        <v/>
      </c>
      <c r="I449" s="3">
        <f>(INDEX('Type Chart'!$B:$S,MATCH(E449,'Type Chart'!$A:$A,0),MATCH(XLOOKUP('Boss Editor'!$C$4,'Pokemon Editor'!$A:$A,'Pokemon Editor'!$C:$C,""),'Type Chart'!$B$1:$S$1,0))*IF(XLOOKUP('Boss Editor'!$C$4,'Pokemon Editor'!$A:$A,'Pokemon Editor'!$D:$D,"")="",1,INDEX('Type Chart'!$B:$S,MATCH(E449,'Type Chart'!$A:$A,0),MATCH(XLOOKUP('Boss Editor'!$C$4,'Pokemon Editor'!$A:$A,'Pokemon Editor'!$D:$D,""),'Type Chart'!$B$1:$S$1,0))))</f>
        <v/>
      </c>
      <c r="J449" s="3">
        <f>IFERROR(LET(mtype,XLOOKUP($D449,'Move Editor'!$B:$B,'Move Editor'!$C:$C,""),cat,XLOOKUP($D449,'Move Editor'!$B:$B,'Move Editor'!$D:$D,""),pow,XLOOKUP($D449,'Move Editor'!$B:$B,'Move Editor'!$E:$E,0),acc,XLOOKUP($D449,'Move Editor'!$B:$B,'Move Editor'!$F:$F,100),atk,IF(cat="Physical",FLOOR((FLOOR(((2*XLOOKUP(XLOOKUP($Q449,'Threshold Summary'!$Y:$Y,'Threshold Summary'!$K:$K,""),'Pokemon Editor'!$A:$A,'Pokemon Editor'!$F:$F,0)+31+FLOOR(XLOOKUP($Q449,'Threshold Summary'!$Y:$Y,'Threshold Summary'!$P:$P,"")/4))*XLOOKUP($Q449,'Threshold Summary'!$Y:$Y,'Threshold Summary'!$L:$L,""))/100)+5)*XLOOKUP(XLOOKUP($Q449,'Threshold Summary'!$Y:$Y,'Threshold Summary'!$M:$M,""),'Nature Editor'!$A:$A,'Nature Editor'!$B:$B,1)),FLOOR((FLOOR(((2*XLOOKUP(XLOOKUP($Q449,'Threshold Summary'!$Y:$Y,'Threshold Summary'!$K:$K,""),'Pokemon Editor'!$A:$A,'Pokemon Editor'!$H:$H,0)+31+FLOOR(XLOOKUP($Q449,'Threshold Summary'!$Y:$Y,'Threshold Summary'!$R:$R,"")/4))*XLOOKUP($Q449,'Threshold Summary'!$Y:$Y,'Threshold Summary'!$L:$L,""))/100)+5)*XLOOKUP(XLOOKUP($Q449,'Threshold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Editor'!$E:$E,1))),stab,IF(OR(mtype=XLOOKUP(XLOOKUP($Q449,'Threshold Summary'!$Y:$Y,'Threshold Summary'!$K:$K,""),'Pokemon Editor'!$A:$A,'Pokemon Editor'!$C:$C,""),mtype=XLOOKUP(XLOOKUP($Q449,'Threshold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Chart'!$B$1:$S$1,0)))),base,IF(OR(cat="Status",pow=0),0,FLOOR(FLOOR(FLOOR((2*XLOOKUP($Q449,'Threshold Summary'!$Y:$Y,'Threshold Summary'!$L:$L,"")/5+2)*pow*atk/def)/50)+2)),modifier,stab*eff,FLOOR(base*modifier*0.85)),0)</f>
        <v/>
      </c>
      <c r="K449" s="3">
        <f>IFERROR(LET(mtype,XLOOKUP($D449,'Move Editor'!$B:$B,'Move Editor'!$C:$C,""),cat,XLOOKUP($D449,'Move Editor'!$B:$B,'Move Editor'!$D:$D,""),pow,XLOOKUP($D449,'Move Editor'!$B:$B,'Move Editor'!$E:$E,0),acc,XLOOKUP($D449,'Move Editor'!$B:$B,'Move Editor'!$F:$F,100),atk,IF(cat="Physical",FLOOR((FLOOR(((2*XLOOKUP(XLOOKUP($Q449,'Threshold Summary'!$Y:$Y,'Threshold Summary'!$K:$K,""),'Pokemon Editor'!$A:$A,'Pokemon Editor'!$F:$F,0)+31+FLOOR(XLOOKUP($Q449,'Threshold Summary'!$Y:$Y,'Threshold Summary'!$P:$P,"")/4))*XLOOKUP($Q449,'Threshold Summary'!$Y:$Y,'Threshold Summary'!$L:$L,""))/100)+5)*XLOOKUP(XLOOKUP($Q449,'Threshold Summary'!$Y:$Y,'Threshold Summary'!$M:$M,""),'Nature Editor'!$A:$A,'Nature Editor'!$B:$B,1)),FLOOR((FLOOR(((2*XLOOKUP(XLOOKUP($Q449,'Threshold Summary'!$Y:$Y,'Threshold Summary'!$K:$K,""),'Pokemon Editor'!$A:$A,'Pokemon Editor'!$H:$H,0)+31+FLOOR(XLOOKUP($Q449,'Threshold Summary'!$Y:$Y,'Threshold Summary'!$R:$R,"")/4))*XLOOKUP($Q449,'Threshold Summary'!$Y:$Y,'Threshold Summary'!$L:$L,""))/100)+5)*XLOOKUP(XLOOKUP($Q449,'Threshold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Editor'!$E:$E,1))),stab,IF(OR(mtype=XLOOKUP(XLOOKUP($Q449,'Threshold Summary'!$Y:$Y,'Threshold Summary'!$K:$K,""),'Pokemon Editor'!$A:$A,'Pokemon Editor'!$C:$C,""),mtype=XLOOKUP(XLOOKUP($Q449,'Threshold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Chart'!$B$1:$S$1,0)))),base,IF(OR(cat="Status",pow=0),0,FLOOR(FLOOR(FLOOR((2*XLOOKUP($Q449,'Threshold Summary'!$Y:$Y,'Threshold Summary'!$L:$L,"")/5+2)*pow*atk/def)/50)+2)),modifier,stab*eff,FLOOR(base*modifier)),0)</f>
        <v/>
      </c>
      <c r="L449" s="3">
        <f>IFERROR(LET(mtype,XLOOKUP($D449,'Move Editor'!$B:$B,'Move Editor'!$C:$C,""),cat,XLOOKUP($D449,'Move Editor'!$B:$B,'Move Editor'!$D:$D,""),pow,XLOOKUP($D449,'Move Editor'!$B:$B,'Move Editor'!$E:$E,0),acc,XLOOKUP($D449,'Move Editor'!$B:$B,'Move Editor'!$F:$F,100),atk,IF(cat="Physical",FLOOR((FLOOR(((2*XLOOKUP(XLOOKUP($Q449,'Threshold Summary'!$Y:$Y,'Threshold Summary'!$K:$K,""),'Pokemon Editor'!$A:$A,'Pokemon Editor'!$F:$F,0)+31+FLOOR(XLOOKUP($Q449,'Threshold Summary'!$Y:$Y,'Threshold Summary'!$P:$P,"")/4))*XLOOKUP($Q449,'Threshold Summary'!$Y:$Y,'Threshold Summary'!$L:$L,""))/100)+5)*XLOOKUP(XLOOKUP($Q449,'Threshold Summary'!$Y:$Y,'Threshold Summary'!$M:$M,""),'Nature Editor'!$A:$A,'Nature Editor'!$B:$B,1)),FLOOR((FLOOR(((2*XLOOKUP(XLOOKUP($Q449,'Threshold Summary'!$Y:$Y,'Threshold Summary'!$K:$K,""),'Pokemon Editor'!$A:$A,'Pokemon Editor'!$H:$H,0)+31+FLOOR(XLOOKUP($Q449,'Threshold Summary'!$Y:$Y,'Threshold Summary'!$R:$R,"")/4))*XLOOKUP($Q449,'Threshold Summary'!$Y:$Y,'Threshold Summary'!$L:$L,""))/100)+5)*XLOOKUP(XLOOKUP($Q449,'Threshold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Editor'!$E:$E,1))),stab,IF(OR(mtype=XLOOKUP(XLOOKUP($Q449,'Threshold Summary'!$Y:$Y,'Threshold Summary'!$K:$K,""),'Pokemon Editor'!$A:$A,'Pokemon Editor'!$C:$C,""),mtype=XLOOKUP(XLOOKUP($Q449,'Threshold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Chart'!$B$1:$S$1,0)))),base,IF(OR(cat="Status",pow=0),0,FLOOR(FLOOR(FLOOR((2*XLOOKUP($Q449,'Threshold Summary'!$Y:$Y,'Threshold Summary'!$L:$L,"")/5+2)*pow*atk/def)/50)+2)),modifier,stab*eff,AVERAGE(ARRAYFORMULA(FLOOR(base*modifier*SEQUENCE(16,1,85,1)/100)))),0)</f>
        <v/>
      </c>
      <c r="M449" s="3">
        <f>IFERROR(LET(mtype,XLOOKUP($D449,'Move Editor'!$B:$B,'Move Editor'!$C:$C,""),cat,XLOOKUP($D449,'Move Editor'!$B:$B,'Move Editor'!$D:$D,""),pow,XLOOKUP($D449,'Move Editor'!$B:$B,'Move Editor'!$E:$E,0),acc,XLOOKUP($D449,'Move Editor'!$B:$B,'Move Editor'!$F:$F,100),atk,IF(cat="Physical",FLOOR((FLOOR(((2*XLOOKUP(XLOOKUP($Q449,'Threshold Summary'!$Y:$Y,'Threshold Summary'!$K:$K,""),'Pokemon Editor'!$A:$A,'Pokemon Editor'!$F:$F,0)+31+FLOOR(XLOOKUP($Q449,'Threshold Summary'!$Y:$Y,'Threshold Summary'!$P:$P,"")/4))*XLOOKUP($Q449,'Threshold Summary'!$Y:$Y,'Threshold Summary'!$L:$L,""))/100)+5)*XLOOKUP(XLOOKUP($Q449,'Threshold Summary'!$Y:$Y,'Threshold Summary'!$M:$M,""),'Nature Editor'!$A:$A,'Nature Editor'!$B:$B,1)),FLOOR((FLOOR(((2*XLOOKUP(XLOOKUP($Q449,'Threshold Summary'!$Y:$Y,'Threshold Summary'!$K:$K,""),'Pokemon Editor'!$A:$A,'Pokemon Editor'!$H:$H,0)+31+FLOOR(XLOOKUP($Q449,'Threshold Summary'!$Y:$Y,'Threshold Summary'!$R:$R,"")/4))*XLOOKUP($Q449,'Threshold Summary'!$Y:$Y,'Threshold Summary'!$L:$L,""))/100)+5)*XLOOKUP(XLOOKUP($Q449,'Threshold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Editor'!$E:$E,1))),stab,IF(OR(mtype=XLOOKUP(XLOOKUP($Q449,'Threshold Summary'!$Y:$Y,'Threshold Summary'!$K:$K,""),'Pokemon Editor'!$A:$A,'Pokemon Editor'!$C:$C,""),mtype=XLOOKUP(XLOOKUP($Q449,'Threshold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Chart'!$B$1:$S$1,0)))),base,IF(OR(cat="Status",pow=0),0,FLOOR(FLOOR(FLOOR((2*XLOOKUP($Q449,'Threshold Summary'!$Y:$Y,'Threshold Summary'!$L:$L,"")/5+2)*pow*atk/def)/50)+2)),modifier,stab*eff,AVERAGE(ARRAYFORMULA(FLOOR(base*modifier*SEQUENCE(16,1,85,1)/100)))*MIN(1,acc/100)),0)</f>
        <v/>
      </c>
      <c r="N449" s="4">
        <f>IFERROR(LET(mtype,XLOOKUP($D449,'Move Editor'!$B:$B,'Move Editor'!$C:$C,""),cat,XLOOKUP($D449,'Move Editor'!$B:$B,'Move Editor'!$D:$D,""),pow,XLOOKUP($D449,'Move Editor'!$B:$B,'Move Editor'!$E:$E,0),acc,XLOOKUP($D449,'Move Editor'!$B:$B,'Move Editor'!$F:$F,100),atk,IF(cat="Physical",FLOOR((FLOOR(((2*XLOOKUP(XLOOKUP($Q449,'Threshold Summary'!$Y:$Y,'Threshold Summary'!$K:$K,""),'Pokemon Editor'!$A:$A,'Pokemon Editor'!$F:$F,0)+31+FLOOR(XLOOKUP($Q449,'Threshold Summary'!$Y:$Y,'Threshold Summary'!$P:$P,"")/4))*XLOOKUP($Q449,'Threshold Summary'!$Y:$Y,'Threshold Summary'!$L:$L,""))/100)+5)*XLOOKUP(XLOOKUP($Q449,'Threshold Summary'!$Y:$Y,'Threshold Summary'!$M:$M,""),'Nature Editor'!$A:$A,'Nature Editor'!$B:$B,1)),FLOOR((FLOOR(((2*XLOOKUP(XLOOKUP($Q449,'Threshold Summary'!$Y:$Y,'Threshold Summary'!$K:$K,""),'Pokemon Editor'!$A:$A,'Pokemon Editor'!$H:$H,0)+31+FLOOR(XLOOKUP($Q449,'Threshold Summary'!$Y:$Y,'Threshold Summary'!$R:$R,"")/4))*XLOOKUP($Q449,'Threshold Summary'!$Y:$Y,'Threshold Summary'!$L:$L,""))/100)+5)*XLOOKUP(XLOOKUP($Q449,'Threshold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Editor'!$E:$E,1))),stab,IF(OR(mtype=XLOOKUP(XLOOKUP($Q449,'Threshold Summary'!$Y:$Y,'Threshold Summary'!$K:$K,""),'Pokemon Editor'!$A:$A,'Pokemon Editor'!$C:$C,""),mtype=XLOOKUP(XLOOKUP($Q449,'Threshold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Chart'!$B$1:$S$1,0)))),base,IF(OR(cat="Status",pow=0),0,FLOOR(FLOOR(FLOOR((2*XLOOKUP($Q449,'Threshold Summary'!$Y:$Y,'Threshold Summary'!$L:$L,"")/5+2)*pow*atk/def)/50)+2)),modifier,stab*eff,AVERAGE(ARRAYFORMULA(FLOOR(base*modifier*SEQUENCE(16,1,85,1)/100)))/(FLOOR(((2*XLOOKUP('Boss Editor'!$C$4,'Pokemon Editor'!$A:$A,'Pokemon Editor'!$E:$E,0)+31+FLOOR('Boss Editor'!$G$4/4))*'Boss Editor'!$D$4)/100)+'Boss Editor'!$D$4+10)),0)</f>
        <v/>
      </c>
      <c r="O449" s="3">
        <f>IF(N449&gt;=1,"OHKO",IF(N449&gt;=0.5,"2HKO",IF(N449&gt;=0.333,"3HKO",IF(N449&gt;=0.25,"4HKO","5HKO+"))))</f>
        <v/>
      </c>
      <c r="P449" s="3" t="inlineStr">
        <is>
          <t>Live from editable databases</t>
        </is>
      </c>
      <c r="Q449" s="3" t="inlineStr">
        <is>
          <t>SPECIES_BUNEARY</t>
        </is>
      </c>
      <c r="R449" s="3" t="n">
        <v>32</v>
      </c>
    </row>
    <row r="450">
      <c r="A450" s="3">
        <f>XLOOKUP($Q450,'Threshold Summary'!$Y:$Y,'Threshold Summary'!$A:$A,"")</f>
        <v/>
      </c>
      <c r="B450" s="3">
        <f>XLOOKUP($Q450,'Threshold Summary'!$Y:$Y,'Threshold Summary'!$M:$M,"")</f>
        <v/>
      </c>
      <c r="C450" s="3">
        <f>XLOOKUP($Q450,'Threshold Summary'!$Y:$Y,'Threshold Summary'!$N:$N,"")</f>
        <v/>
      </c>
      <c r="D450" s="3">
        <f>IFERROR(INDEX(FILTER('Learnset Editor'!$D$2:$D,'Learnset Editor'!$A$2:$A=XLOOKUP($Q450,'Threshold Summary'!$Y:$Y,'Threshold Summary'!$K:$K,""),'Learnset Editor'!$C$2:$C&lt;=XLOOKUP($Q450,'Threshold Summary'!$Y:$Y,'Threshold Summary'!$L:$L,"")),$R450),"")</f>
        <v/>
      </c>
      <c r="E450" s="3">
        <f>XLOOKUP(D450,'Move Editor'!$B:$B,'Move Editor'!$C:$C,"")</f>
        <v/>
      </c>
      <c r="F450" s="3">
        <f>XLOOKUP(D450,'Move Editor'!$B:$B,'Move Editor'!$D:$D,"")</f>
        <v/>
      </c>
      <c r="G450" s="3">
        <f>XLOOKUP(D450,'Move Editor'!$B:$B,'Move Editor'!$E:$E,0)</f>
        <v/>
      </c>
      <c r="H450" s="3">
        <f>XLOOKUP(D450,'Move Editor'!$B:$B,'Move Editor'!$F:$F,0)</f>
        <v/>
      </c>
      <c r="I450" s="3">
        <f>(INDEX('Type Chart'!$B:$S,MATCH(E450,'Type Chart'!$A:$A,0),MATCH(XLOOKUP('Boss Editor'!$C$4,'Pokemon Editor'!$A:$A,'Pokemon Editor'!$C:$C,""),'Type Chart'!$B$1:$S$1,0))*IF(XLOOKUP('Boss Editor'!$C$4,'Pokemon Editor'!$A:$A,'Pokemon Editor'!$D:$D,"")="",1,INDEX('Type Chart'!$B:$S,MATCH(E450,'Type Chart'!$A:$A,0),MATCH(XLOOKUP('Boss Editor'!$C$4,'Pokemon Editor'!$A:$A,'Pokemon Editor'!$D:$D,""),'Type Chart'!$B$1:$S$1,0))))</f>
        <v/>
      </c>
      <c r="J450" s="3">
        <f>IFERROR(LET(mtype,XLOOKUP($D450,'Move Editor'!$B:$B,'Move Editor'!$C:$C,""),cat,XLOOKUP($D450,'Move Editor'!$B:$B,'Move Editor'!$D:$D,""),pow,XLOOKUP($D450,'Move Editor'!$B:$B,'Move Editor'!$E:$E,0),acc,XLOOKUP($D450,'Move Editor'!$B:$B,'Move Editor'!$F:$F,100),atk,IF(cat="Physical",FLOOR((FLOOR(((2*XLOOKUP(XLOOKUP($Q450,'Threshold Summary'!$Y:$Y,'Threshold Summary'!$K:$K,""),'Pokemon Editor'!$A:$A,'Pokemon Editor'!$F:$F,0)+31+FLOOR(XLOOKUP($Q450,'Threshold Summary'!$Y:$Y,'Threshold Summary'!$P:$P,"")/4))*XLOOKUP($Q450,'Threshold Summary'!$Y:$Y,'Threshold Summary'!$L:$L,""))/100)+5)*XLOOKUP(XLOOKUP($Q450,'Threshold Summary'!$Y:$Y,'Threshold Summary'!$M:$M,""),'Nature Editor'!$A:$A,'Nature Editor'!$B:$B,1)),FLOOR((FLOOR(((2*XLOOKUP(XLOOKUP($Q450,'Threshold Summary'!$Y:$Y,'Threshold Summary'!$K:$K,""),'Pokemon Editor'!$A:$A,'Pokemon Editor'!$H:$H,0)+31+FLOOR(XLOOKUP($Q450,'Threshold Summary'!$Y:$Y,'Threshold Summary'!$R:$R,"")/4))*XLOOKUP($Q450,'Threshold Summary'!$Y:$Y,'Threshold Summary'!$L:$L,""))/100)+5)*XLOOKUP(XLOOKUP($Q450,'Threshold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Editor'!$E:$E,1))),stab,IF(OR(mtype=XLOOKUP(XLOOKUP($Q450,'Threshold Summary'!$Y:$Y,'Threshold Summary'!$K:$K,""),'Pokemon Editor'!$A:$A,'Pokemon Editor'!$C:$C,""),mtype=XLOOKUP(XLOOKUP($Q450,'Threshold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Chart'!$B$1:$S$1,0)))),base,IF(OR(cat="Status",pow=0),0,FLOOR(FLOOR(FLOOR((2*XLOOKUP($Q450,'Threshold Summary'!$Y:$Y,'Threshold Summary'!$L:$L,"")/5+2)*pow*atk/def)/50)+2)),modifier,stab*eff,FLOOR(base*modifier*0.85)),0)</f>
        <v/>
      </c>
      <c r="K450" s="3">
        <f>IFERROR(LET(mtype,XLOOKUP($D450,'Move Editor'!$B:$B,'Move Editor'!$C:$C,""),cat,XLOOKUP($D450,'Move Editor'!$B:$B,'Move Editor'!$D:$D,""),pow,XLOOKUP($D450,'Move Editor'!$B:$B,'Move Editor'!$E:$E,0),acc,XLOOKUP($D450,'Move Editor'!$B:$B,'Move Editor'!$F:$F,100),atk,IF(cat="Physical",FLOOR((FLOOR(((2*XLOOKUP(XLOOKUP($Q450,'Threshold Summary'!$Y:$Y,'Threshold Summary'!$K:$K,""),'Pokemon Editor'!$A:$A,'Pokemon Editor'!$F:$F,0)+31+FLOOR(XLOOKUP($Q450,'Threshold Summary'!$Y:$Y,'Threshold Summary'!$P:$P,"")/4))*XLOOKUP($Q450,'Threshold Summary'!$Y:$Y,'Threshold Summary'!$L:$L,""))/100)+5)*XLOOKUP(XLOOKUP($Q450,'Threshold Summary'!$Y:$Y,'Threshold Summary'!$M:$M,""),'Nature Editor'!$A:$A,'Nature Editor'!$B:$B,1)),FLOOR((FLOOR(((2*XLOOKUP(XLOOKUP($Q450,'Threshold Summary'!$Y:$Y,'Threshold Summary'!$K:$K,""),'Pokemon Editor'!$A:$A,'Pokemon Editor'!$H:$H,0)+31+FLOOR(XLOOKUP($Q450,'Threshold Summary'!$Y:$Y,'Threshold Summary'!$R:$R,"")/4))*XLOOKUP($Q450,'Threshold Summary'!$Y:$Y,'Threshold Summary'!$L:$L,""))/100)+5)*XLOOKUP(XLOOKUP($Q450,'Threshold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Editor'!$E:$E,1))),stab,IF(OR(mtype=XLOOKUP(XLOOKUP($Q450,'Threshold Summary'!$Y:$Y,'Threshold Summary'!$K:$K,""),'Pokemon Editor'!$A:$A,'Pokemon Editor'!$C:$C,""),mtype=XLOOKUP(XLOOKUP($Q450,'Threshold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Chart'!$B$1:$S$1,0)))),base,IF(OR(cat="Status",pow=0),0,FLOOR(FLOOR(FLOOR((2*XLOOKUP($Q450,'Threshold Summary'!$Y:$Y,'Threshold Summary'!$L:$L,"")/5+2)*pow*atk/def)/50)+2)),modifier,stab*eff,FLOOR(base*modifier)),0)</f>
        <v/>
      </c>
      <c r="L450" s="3">
        <f>IFERROR(LET(mtype,XLOOKUP($D450,'Move Editor'!$B:$B,'Move Editor'!$C:$C,""),cat,XLOOKUP($D450,'Move Editor'!$B:$B,'Move Editor'!$D:$D,""),pow,XLOOKUP($D450,'Move Editor'!$B:$B,'Move Editor'!$E:$E,0),acc,XLOOKUP($D450,'Move Editor'!$B:$B,'Move Editor'!$F:$F,100),atk,IF(cat="Physical",FLOOR((FLOOR(((2*XLOOKUP(XLOOKUP($Q450,'Threshold Summary'!$Y:$Y,'Threshold Summary'!$K:$K,""),'Pokemon Editor'!$A:$A,'Pokemon Editor'!$F:$F,0)+31+FLOOR(XLOOKUP($Q450,'Threshold Summary'!$Y:$Y,'Threshold Summary'!$P:$P,"")/4))*XLOOKUP($Q450,'Threshold Summary'!$Y:$Y,'Threshold Summary'!$L:$L,""))/100)+5)*XLOOKUP(XLOOKUP($Q450,'Threshold Summary'!$Y:$Y,'Threshold Summary'!$M:$M,""),'Nature Editor'!$A:$A,'Nature Editor'!$B:$B,1)),FLOOR((FLOOR(((2*XLOOKUP(XLOOKUP($Q450,'Threshold Summary'!$Y:$Y,'Threshold Summary'!$K:$K,""),'Pokemon Editor'!$A:$A,'Pokemon Editor'!$H:$H,0)+31+FLOOR(XLOOKUP($Q450,'Threshold Summary'!$Y:$Y,'Threshold Summary'!$R:$R,"")/4))*XLOOKUP($Q450,'Threshold Summary'!$Y:$Y,'Threshold Summary'!$L:$L,""))/100)+5)*XLOOKUP(XLOOKUP($Q450,'Threshold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Editor'!$E:$E,1))),stab,IF(OR(mtype=XLOOKUP(XLOOKUP($Q450,'Threshold Summary'!$Y:$Y,'Threshold Summary'!$K:$K,""),'Pokemon Editor'!$A:$A,'Pokemon Editor'!$C:$C,""),mtype=XLOOKUP(XLOOKUP($Q450,'Threshold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Chart'!$B$1:$S$1,0)))),base,IF(OR(cat="Status",pow=0),0,FLOOR(FLOOR(FLOOR((2*XLOOKUP($Q450,'Threshold Summary'!$Y:$Y,'Threshold Summary'!$L:$L,"")/5+2)*pow*atk/def)/50)+2)),modifier,stab*eff,AVERAGE(ARRAYFORMULA(FLOOR(base*modifier*SEQUENCE(16,1,85,1)/100)))),0)</f>
        <v/>
      </c>
      <c r="M450" s="3">
        <f>IFERROR(LET(mtype,XLOOKUP($D450,'Move Editor'!$B:$B,'Move Editor'!$C:$C,""),cat,XLOOKUP($D450,'Move Editor'!$B:$B,'Move Editor'!$D:$D,""),pow,XLOOKUP($D450,'Move Editor'!$B:$B,'Move Editor'!$E:$E,0),acc,XLOOKUP($D450,'Move Editor'!$B:$B,'Move Editor'!$F:$F,100),atk,IF(cat="Physical",FLOOR((FLOOR(((2*XLOOKUP(XLOOKUP($Q450,'Threshold Summary'!$Y:$Y,'Threshold Summary'!$K:$K,""),'Pokemon Editor'!$A:$A,'Pokemon Editor'!$F:$F,0)+31+FLOOR(XLOOKUP($Q450,'Threshold Summary'!$Y:$Y,'Threshold Summary'!$P:$P,"")/4))*XLOOKUP($Q450,'Threshold Summary'!$Y:$Y,'Threshold Summary'!$L:$L,""))/100)+5)*XLOOKUP(XLOOKUP($Q450,'Threshold Summary'!$Y:$Y,'Threshold Summary'!$M:$M,""),'Nature Editor'!$A:$A,'Nature Editor'!$B:$B,1)),FLOOR((FLOOR(((2*XLOOKUP(XLOOKUP($Q450,'Threshold Summary'!$Y:$Y,'Threshold Summary'!$K:$K,""),'Pokemon Editor'!$A:$A,'Pokemon Editor'!$H:$H,0)+31+FLOOR(XLOOKUP($Q450,'Threshold Summary'!$Y:$Y,'Threshold Summary'!$R:$R,"")/4))*XLOOKUP($Q450,'Threshold Summary'!$Y:$Y,'Threshold Summary'!$L:$L,""))/100)+5)*XLOOKUP(XLOOKUP($Q450,'Threshold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Editor'!$E:$E,1))),stab,IF(OR(mtype=XLOOKUP(XLOOKUP($Q450,'Threshold Summary'!$Y:$Y,'Threshold Summary'!$K:$K,""),'Pokemon Editor'!$A:$A,'Pokemon Editor'!$C:$C,""),mtype=XLOOKUP(XLOOKUP($Q450,'Threshold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Chart'!$B$1:$S$1,0)))),base,IF(OR(cat="Status",pow=0),0,FLOOR(FLOOR(FLOOR((2*XLOOKUP($Q450,'Threshold Summary'!$Y:$Y,'Threshold Summary'!$L:$L,"")/5+2)*pow*atk/def)/50)+2)),modifier,stab*eff,AVERAGE(ARRAYFORMULA(FLOOR(base*modifier*SEQUENCE(16,1,85,1)/100)))*MIN(1,acc/100)),0)</f>
        <v/>
      </c>
      <c r="N450" s="4">
        <f>IFERROR(LET(mtype,XLOOKUP($D450,'Move Editor'!$B:$B,'Move Editor'!$C:$C,""),cat,XLOOKUP($D450,'Move Editor'!$B:$B,'Move Editor'!$D:$D,""),pow,XLOOKUP($D450,'Move Editor'!$B:$B,'Move Editor'!$E:$E,0),acc,XLOOKUP($D450,'Move Editor'!$B:$B,'Move Editor'!$F:$F,100),atk,IF(cat="Physical",FLOOR((FLOOR(((2*XLOOKUP(XLOOKUP($Q450,'Threshold Summary'!$Y:$Y,'Threshold Summary'!$K:$K,""),'Pokemon Editor'!$A:$A,'Pokemon Editor'!$F:$F,0)+31+FLOOR(XLOOKUP($Q450,'Threshold Summary'!$Y:$Y,'Threshold Summary'!$P:$P,"")/4))*XLOOKUP($Q450,'Threshold Summary'!$Y:$Y,'Threshold Summary'!$L:$L,""))/100)+5)*XLOOKUP(XLOOKUP($Q450,'Threshold Summary'!$Y:$Y,'Threshold Summary'!$M:$M,""),'Nature Editor'!$A:$A,'Nature Editor'!$B:$B,1)),FLOOR((FLOOR(((2*XLOOKUP(XLOOKUP($Q450,'Threshold Summary'!$Y:$Y,'Threshold Summary'!$K:$K,""),'Pokemon Editor'!$A:$A,'Pokemon Editor'!$H:$H,0)+31+FLOOR(XLOOKUP($Q450,'Threshold Summary'!$Y:$Y,'Threshold Summary'!$R:$R,"")/4))*XLOOKUP($Q450,'Threshold Summary'!$Y:$Y,'Threshold Summary'!$L:$L,""))/100)+5)*XLOOKUP(XLOOKUP($Q450,'Threshold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Editor'!$E:$E,1))),stab,IF(OR(mtype=XLOOKUP(XLOOKUP($Q450,'Threshold Summary'!$Y:$Y,'Threshold Summary'!$K:$K,""),'Pokemon Editor'!$A:$A,'Pokemon Editor'!$C:$C,""),mtype=XLOOKUP(XLOOKUP($Q450,'Threshold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Chart'!$B$1:$S$1,0)))),base,IF(OR(cat="Status",pow=0),0,FLOOR(FLOOR(FLOOR((2*XLOOKUP($Q450,'Threshold Summary'!$Y:$Y,'Threshold Summary'!$L:$L,"")/5+2)*pow*atk/def)/50)+2)),modifier,stab*eff,AVERAGE(ARRAYFORMULA(FLOOR(base*modifier*SEQUENCE(16,1,85,1)/100)))/(FLOOR(((2*XLOOKUP('Boss Editor'!$C$4,'Pokemon Editor'!$A:$A,'Pokemon Editor'!$E:$E,0)+31+FLOOR('Boss Editor'!$G$4/4))*'Boss Editor'!$D$4)/100)+'Boss Editor'!$D$4+10)),0)</f>
        <v/>
      </c>
      <c r="O450" s="3">
        <f>IF(N450&gt;=1,"OHKO",IF(N450&gt;=0.5,"2HKO",IF(N450&gt;=0.333,"3HKO",IF(N450&gt;=0.25,"4HKO","5HKO+"))))</f>
        <v/>
      </c>
      <c r="P450" s="3" t="inlineStr">
        <is>
          <t>Live from editable databases</t>
        </is>
      </c>
      <c r="Q450" s="3" t="inlineStr">
        <is>
          <t>SPECIES_SEWADDLE</t>
        </is>
      </c>
      <c r="R450" s="3" t="n">
        <v>1</v>
      </c>
    </row>
    <row r="451">
      <c r="A451" s="3">
        <f>XLOOKUP($Q451,'Threshold Summary'!$Y:$Y,'Threshold Summary'!$A:$A,"")</f>
        <v/>
      </c>
      <c r="B451" s="3">
        <f>XLOOKUP($Q451,'Threshold Summary'!$Y:$Y,'Threshold Summary'!$M:$M,"")</f>
        <v/>
      </c>
      <c r="C451" s="3">
        <f>XLOOKUP($Q451,'Threshold Summary'!$Y:$Y,'Threshold Summary'!$N:$N,"")</f>
        <v/>
      </c>
      <c r="D451" s="3">
        <f>IFERROR(INDEX(FILTER('Learnset Editor'!$D$2:$D,'Learnset Editor'!$A$2:$A=XLOOKUP($Q451,'Threshold Summary'!$Y:$Y,'Threshold Summary'!$K:$K,""),'Learnset Editor'!$C$2:$C&lt;=XLOOKUP($Q451,'Threshold Summary'!$Y:$Y,'Threshold Summary'!$L:$L,"")),$R451),"")</f>
        <v/>
      </c>
      <c r="E451" s="3">
        <f>XLOOKUP(D451,'Move Editor'!$B:$B,'Move Editor'!$C:$C,"")</f>
        <v/>
      </c>
      <c r="F451" s="3">
        <f>XLOOKUP(D451,'Move Editor'!$B:$B,'Move Editor'!$D:$D,"")</f>
        <v/>
      </c>
      <c r="G451" s="3">
        <f>XLOOKUP(D451,'Move Editor'!$B:$B,'Move Editor'!$E:$E,0)</f>
        <v/>
      </c>
      <c r="H451" s="3">
        <f>XLOOKUP(D451,'Move Editor'!$B:$B,'Move Editor'!$F:$F,0)</f>
        <v/>
      </c>
      <c r="I451" s="3">
        <f>(INDEX('Type Chart'!$B:$S,MATCH(E451,'Type Chart'!$A:$A,0),MATCH(XLOOKUP('Boss Editor'!$C$4,'Pokemon Editor'!$A:$A,'Pokemon Editor'!$C:$C,""),'Type Chart'!$B$1:$S$1,0))*IF(XLOOKUP('Boss Editor'!$C$4,'Pokemon Editor'!$A:$A,'Pokemon Editor'!$D:$D,"")="",1,INDEX('Type Chart'!$B:$S,MATCH(E451,'Type Chart'!$A:$A,0),MATCH(XLOOKUP('Boss Editor'!$C$4,'Pokemon Editor'!$A:$A,'Pokemon Editor'!$D:$D,""),'Type Chart'!$B$1:$S$1,0))))</f>
        <v/>
      </c>
      <c r="J451" s="3">
        <f>IFERROR(LET(mtype,XLOOKUP($D451,'Move Editor'!$B:$B,'Move Editor'!$C:$C,""),cat,XLOOKUP($D451,'Move Editor'!$B:$B,'Move Editor'!$D:$D,""),pow,XLOOKUP($D451,'Move Editor'!$B:$B,'Move Editor'!$E:$E,0),acc,XLOOKUP($D451,'Move Editor'!$B:$B,'Move Editor'!$F:$F,100),atk,IF(cat="Physical",FLOOR((FLOOR(((2*XLOOKUP(XLOOKUP($Q451,'Threshold Summary'!$Y:$Y,'Threshold Summary'!$K:$K,""),'Pokemon Editor'!$A:$A,'Pokemon Editor'!$F:$F,0)+31+FLOOR(XLOOKUP($Q451,'Threshold Summary'!$Y:$Y,'Threshold Summary'!$P:$P,"")/4))*XLOOKUP($Q451,'Threshold Summary'!$Y:$Y,'Threshold Summary'!$L:$L,""))/100)+5)*XLOOKUP(XLOOKUP($Q451,'Threshold Summary'!$Y:$Y,'Threshold Summary'!$M:$M,""),'Nature Editor'!$A:$A,'Nature Editor'!$B:$B,1)),FLOOR((FLOOR(((2*XLOOKUP(XLOOKUP($Q451,'Threshold Summary'!$Y:$Y,'Threshold Summary'!$K:$K,""),'Pokemon Editor'!$A:$A,'Pokemon Editor'!$H:$H,0)+31+FLOOR(XLOOKUP($Q451,'Threshold Summary'!$Y:$Y,'Threshold Summary'!$R:$R,"")/4))*XLOOKUP($Q451,'Threshold Summary'!$Y:$Y,'Threshold Summary'!$L:$L,""))/100)+5)*XLOOKUP(XLOOKUP($Q451,'Threshold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Editor'!$E:$E,1))),stab,IF(OR(mtype=XLOOKUP(XLOOKUP($Q451,'Threshold Summary'!$Y:$Y,'Threshold Summary'!$K:$K,""),'Pokemon Editor'!$A:$A,'Pokemon Editor'!$C:$C,""),mtype=XLOOKUP(XLOOKUP($Q451,'Threshold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Chart'!$B$1:$S$1,0)))),base,IF(OR(cat="Status",pow=0),0,FLOOR(FLOOR(FLOOR((2*XLOOKUP($Q451,'Threshold Summary'!$Y:$Y,'Threshold Summary'!$L:$L,"")/5+2)*pow*atk/def)/50)+2)),modifier,stab*eff,FLOOR(base*modifier*0.85)),0)</f>
        <v/>
      </c>
      <c r="K451" s="3">
        <f>IFERROR(LET(mtype,XLOOKUP($D451,'Move Editor'!$B:$B,'Move Editor'!$C:$C,""),cat,XLOOKUP($D451,'Move Editor'!$B:$B,'Move Editor'!$D:$D,""),pow,XLOOKUP($D451,'Move Editor'!$B:$B,'Move Editor'!$E:$E,0),acc,XLOOKUP($D451,'Move Editor'!$B:$B,'Move Editor'!$F:$F,100),atk,IF(cat="Physical",FLOOR((FLOOR(((2*XLOOKUP(XLOOKUP($Q451,'Threshold Summary'!$Y:$Y,'Threshold Summary'!$K:$K,""),'Pokemon Editor'!$A:$A,'Pokemon Editor'!$F:$F,0)+31+FLOOR(XLOOKUP($Q451,'Threshold Summary'!$Y:$Y,'Threshold Summary'!$P:$P,"")/4))*XLOOKUP($Q451,'Threshold Summary'!$Y:$Y,'Threshold Summary'!$L:$L,""))/100)+5)*XLOOKUP(XLOOKUP($Q451,'Threshold Summary'!$Y:$Y,'Threshold Summary'!$M:$M,""),'Nature Editor'!$A:$A,'Nature Editor'!$B:$B,1)),FLOOR((FLOOR(((2*XLOOKUP(XLOOKUP($Q451,'Threshold Summary'!$Y:$Y,'Threshold Summary'!$K:$K,""),'Pokemon Editor'!$A:$A,'Pokemon Editor'!$H:$H,0)+31+FLOOR(XLOOKUP($Q451,'Threshold Summary'!$Y:$Y,'Threshold Summary'!$R:$R,"")/4))*XLOOKUP($Q451,'Threshold Summary'!$Y:$Y,'Threshold Summary'!$L:$L,""))/100)+5)*XLOOKUP(XLOOKUP($Q451,'Threshold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Editor'!$E:$E,1))),stab,IF(OR(mtype=XLOOKUP(XLOOKUP($Q451,'Threshold Summary'!$Y:$Y,'Threshold Summary'!$K:$K,""),'Pokemon Editor'!$A:$A,'Pokemon Editor'!$C:$C,""),mtype=XLOOKUP(XLOOKUP($Q451,'Threshold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Chart'!$B$1:$S$1,0)))),base,IF(OR(cat="Status",pow=0),0,FLOOR(FLOOR(FLOOR((2*XLOOKUP($Q451,'Threshold Summary'!$Y:$Y,'Threshold Summary'!$L:$L,"")/5+2)*pow*atk/def)/50)+2)),modifier,stab*eff,FLOOR(base*modifier)),0)</f>
        <v/>
      </c>
      <c r="L451" s="3">
        <f>IFERROR(LET(mtype,XLOOKUP($D451,'Move Editor'!$B:$B,'Move Editor'!$C:$C,""),cat,XLOOKUP($D451,'Move Editor'!$B:$B,'Move Editor'!$D:$D,""),pow,XLOOKUP($D451,'Move Editor'!$B:$B,'Move Editor'!$E:$E,0),acc,XLOOKUP($D451,'Move Editor'!$B:$B,'Move Editor'!$F:$F,100),atk,IF(cat="Physical",FLOOR((FLOOR(((2*XLOOKUP(XLOOKUP($Q451,'Threshold Summary'!$Y:$Y,'Threshold Summary'!$K:$K,""),'Pokemon Editor'!$A:$A,'Pokemon Editor'!$F:$F,0)+31+FLOOR(XLOOKUP($Q451,'Threshold Summary'!$Y:$Y,'Threshold Summary'!$P:$P,"")/4))*XLOOKUP($Q451,'Threshold Summary'!$Y:$Y,'Threshold Summary'!$L:$L,""))/100)+5)*XLOOKUP(XLOOKUP($Q451,'Threshold Summary'!$Y:$Y,'Threshold Summary'!$M:$M,""),'Nature Editor'!$A:$A,'Nature Editor'!$B:$B,1)),FLOOR((FLOOR(((2*XLOOKUP(XLOOKUP($Q451,'Threshold Summary'!$Y:$Y,'Threshold Summary'!$K:$K,""),'Pokemon Editor'!$A:$A,'Pokemon Editor'!$H:$H,0)+31+FLOOR(XLOOKUP($Q451,'Threshold Summary'!$Y:$Y,'Threshold Summary'!$R:$R,"")/4))*XLOOKUP($Q451,'Threshold Summary'!$Y:$Y,'Threshold Summary'!$L:$L,""))/100)+5)*XLOOKUP(XLOOKUP($Q451,'Threshold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Editor'!$E:$E,1))),stab,IF(OR(mtype=XLOOKUP(XLOOKUP($Q451,'Threshold Summary'!$Y:$Y,'Threshold Summary'!$K:$K,""),'Pokemon Editor'!$A:$A,'Pokemon Editor'!$C:$C,""),mtype=XLOOKUP(XLOOKUP($Q451,'Threshold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Chart'!$B$1:$S$1,0)))),base,IF(OR(cat="Status",pow=0),0,FLOOR(FLOOR(FLOOR((2*XLOOKUP($Q451,'Threshold Summary'!$Y:$Y,'Threshold Summary'!$L:$L,"")/5+2)*pow*atk/def)/50)+2)),modifier,stab*eff,AVERAGE(ARRAYFORMULA(FLOOR(base*modifier*SEQUENCE(16,1,85,1)/100)))),0)</f>
        <v/>
      </c>
      <c r="M451" s="3">
        <f>IFERROR(LET(mtype,XLOOKUP($D451,'Move Editor'!$B:$B,'Move Editor'!$C:$C,""),cat,XLOOKUP($D451,'Move Editor'!$B:$B,'Move Editor'!$D:$D,""),pow,XLOOKUP($D451,'Move Editor'!$B:$B,'Move Editor'!$E:$E,0),acc,XLOOKUP($D451,'Move Editor'!$B:$B,'Move Editor'!$F:$F,100),atk,IF(cat="Physical",FLOOR((FLOOR(((2*XLOOKUP(XLOOKUP($Q451,'Threshold Summary'!$Y:$Y,'Threshold Summary'!$K:$K,""),'Pokemon Editor'!$A:$A,'Pokemon Editor'!$F:$F,0)+31+FLOOR(XLOOKUP($Q451,'Threshold Summary'!$Y:$Y,'Threshold Summary'!$P:$P,"")/4))*XLOOKUP($Q451,'Threshold Summary'!$Y:$Y,'Threshold Summary'!$L:$L,""))/100)+5)*XLOOKUP(XLOOKUP($Q451,'Threshold Summary'!$Y:$Y,'Threshold Summary'!$M:$M,""),'Nature Editor'!$A:$A,'Nature Editor'!$B:$B,1)),FLOOR((FLOOR(((2*XLOOKUP(XLOOKUP($Q451,'Threshold Summary'!$Y:$Y,'Threshold Summary'!$K:$K,""),'Pokemon Editor'!$A:$A,'Pokemon Editor'!$H:$H,0)+31+FLOOR(XLOOKUP($Q451,'Threshold Summary'!$Y:$Y,'Threshold Summary'!$R:$R,"")/4))*XLOOKUP($Q451,'Threshold Summary'!$Y:$Y,'Threshold Summary'!$L:$L,""))/100)+5)*XLOOKUP(XLOOKUP($Q451,'Threshold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Editor'!$E:$E,1))),stab,IF(OR(mtype=XLOOKUP(XLOOKUP($Q451,'Threshold Summary'!$Y:$Y,'Threshold Summary'!$K:$K,""),'Pokemon Editor'!$A:$A,'Pokemon Editor'!$C:$C,""),mtype=XLOOKUP(XLOOKUP($Q451,'Threshold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Chart'!$B$1:$S$1,0)))),base,IF(OR(cat="Status",pow=0),0,FLOOR(FLOOR(FLOOR((2*XLOOKUP($Q451,'Threshold Summary'!$Y:$Y,'Threshold Summary'!$L:$L,"")/5+2)*pow*atk/def)/50)+2)),modifier,stab*eff,AVERAGE(ARRAYFORMULA(FLOOR(base*modifier*SEQUENCE(16,1,85,1)/100)))*MIN(1,acc/100)),0)</f>
        <v/>
      </c>
      <c r="N451" s="4">
        <f>IFERROR(LET(mtype,XLOOKUP($D451,'Move Editor'!$B:$B,'Move Editor'!$C:$C,""),cat,XLOOKUP($D451,'Move Editor'!$B:$B,'Move Editor'!$D:$D,""),pow,XLOOKUP($D451,'Move Editor'!$B:$B,'Move Editor'!$E:$E,0),acc,XLOOKUP($D451,'Move Editor'!$B:$B,'Move Editor'!$F:$F,100),atk,IF(cat="Physical",FLOOR((FLOOR(((2*XLOOKUP(XLOOKUP($Q451,'Threshold Summary'!$Y:$Y,'Threshold Summary'!$K:$K,""),'Pokemon Editor'!$A:$A,'Pokemon Editor'!$F:$F,0)+31+FLOOR(XLOOKUP($Q451,'Threshold Summary'!$Y:$Y,'Threshold Summary'!$P:$P,"")/4))*XLOOKUP($Q451,'Threshold Summary'!$Y:$Y,'Threshold Summary'!$L:$L,""))/100)+5)*XLOOKUP(XLOOKUP($Q451,'Threshold Summary'!$Y:$Y,'Threshold Summary'!$M:$M,""),'Nature Editor'!$A:$A,'Nature Editor'!$B:$B,1)),FLOOR((FLOOR(((2*XLOOKUP(XLOOKUP($Q451,'Threshold Summary'!$Y:$Y,'Threshold Summary'!$K:$K,""),'Pokemon Editor'!$A:$A,'Pokemon Editor'!$H:$H,0)+31+FLOOR(XLOOKUP($Q451,'Threshold Summary'!$Y:$Y,'Threshold Summary'!$R:$R,"")/4))*XLOOKUP($Q451,'Threshold Summary'!$Y:$Y,'Threshold Summary'!$L:$L,""))/100)+5)*XLOOKUP(XLOOKUP($Q451,'Threshold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Editor'!$E:$E,1))),stab,IF(OR(mtype=XLOOKUP(XLOOKUP($Q451,'Threshold Summary'!$Y:$Y,'Threshold Summary'!$K:$K,""),'Pokemon Editor'!$A:$A,'Pokemon Editor'!$C:$C,""),mtype=XLOOKUP(XLOOKUP($Q451,'Threshold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Chart'!$B$1:$S$1,0)))),base,IF(OR(cat="Status",pow=0),0,FLOOR(FLOOR(FLOOR((2*XLOOKUP($Q451,'Threshold Summary'!$Y:$Y,'Threshold Summary'!$L:$L,"")/5+2)*pow*atk/def)/50)+2)),modifier,stab*eff,AVERAGE(ARRAYFORMULA(FLOOR(base*modifier*SEQUENCE(16,1,85,1)/100)))/(FLOOR(((2*XLOOKUP('Boss Editor'!$C$4,'Pokemon Editor'!$A:$A,'Pokemon Editor'!$E:$E,0)+31+FLOOR('Boss Editor'!$G$4/4))*'Boss Editor'!$D$4)/100)+'Boss Editor'!$D$4+10)),0)</f>
        <v/>
      </c>
      <c r="O451" s="3">
        <f>IF(N451&gt;=1,"OHKO",IF(N451&gt;=0.5,"2HKO",IF(N451&gt;=0.333,"3HKO",IF(N451&gt;=0.25,"4HKO","5HKO+"))))</f>
        <v/>
      </c>
      <c r="P451" s="3" t="inlineStr">
        <is>
          <t>Live from editable databases</t>
        </is>
      </c>
      <c r="Q451" s="3" t="inlineStr">
        <is>
          <t>SPECIES_SEWADDLE</t>
        </is>
      </c>
      <c r="R451" s="3" t="n">
        <v>2</v>
      </c>
    </row>
    <row r="452">
      <c r="A452" s="3">
        <f>XLOOKUP($Q452,'Threshold Summary'!$Y:$Y,'Threshold Summary'!$A:$A,"")</f>
        <v/>
      </c>
      <c r="B452" s="3">
        <f>XLOOKUP($Q452,'Threshold Summary'!$Y:$Y,'Threshold Summary'!$M:$M,"")</f>
        <v/>
      </c>
      <c r="C452" s="3">
        <f>XLOOKUP($Q452,'Threshold Summary'!$Y:$Y,'Threshold Summary'!$N:$N,"")</f>
        <v/>
      </c>
      <c r="D452" s="3">
        <f>IFERROR(INDEX(FILTER('Learnset Editor'!$D$2:$D,'Learnset Editor'!$A$2:$A=XLOOKUP($Q452,'Threshold Summary'!$Y:$Y,'Threshold Summary'!$K:$K,""),'Learnset Editor'!$C$2:$C&lt;=XLOOKUP($Q452,'Threshold Summary'!$Y:$Y,'Threshold Summary'!$L:$L,"")),$R452),"")</f>
        <v/>
      </c>
      <c r="E452" s="3">
        <f>XLOOKUP(D452,'Move Editor'!$B:$B,'Move Editor'!$C:$C,"")</f>
        <v/>
      </c>
      <c r="F452" s="3">
        <f>XLOOKUP(D452,'Move Editor'!$B:$B,'Move Editor'!$D:$D,"")</f>
        <v/>
      </c>
      <c r="G452" s="3">
        <f>XLOOKUP(D452,'Move Editor'!$B:$B,'Move Editor'!$E:$E,0)</f>
        <v/>
      </c>
      <c r="H452" s="3">
        <f>XLOOKUP(D452,'Move Editor'!$B:$B,'Move Editor'!$F:$F,0)</f>
        <v/>
      </c>
      <c r="I452" s="3">
        <f>(INDEX('Type Chart'!$B:$S,MATCH(E452,'Type Chart'!$A:$A,0),MATCH(XLOOKUP('Boss Editor'!$C$4,'Pokemon Editor'!$A:$A,'Pokemon Editor'!$C:$C,""),'Type Chart'!$B$1:$S$1,0))*IF(XLOOKUP('Boss Editor'!$C$4,'Pokemon Editor'!$A:$A,'Pokemon Editor'!$D:$D,"")="",1,INDEX('Type Chart'!$B:$S,MATCH(E452,'Type Chart'!$A:$A,0),MATCH(XLOOKUP('Boss Editor'!$C$4,'Pokemon Editor'!$A:$A,'Pokemon Editor'!$D:$D,""),'Type Chart'!$B$1:$S$1,0))))</f>
        <v/>
      </c>
      <c r="J452" s="3">
        <f>IFERROR(LET(mtype,XLOOKUP($D452,'Move Editor'!$B:$B,'Move Editor'!$C:$C,""),cat,XLOOKUP($D452,'Move Editor'!$B:$B,'Move Editor'!$D:$D,""),pow,XLOOKUP($D452,'Move Editor'!$B:$B,'Move Editor'!$E:$E,0),acc,XLOOKUP($D452,'Move Editor'!$B:$B,'Move Editor'!$F:$F,100),atk,IF(cat="Physical",FLOOR((FLOOR(((2*XLOOKUP(XLOOKUP($Q452,'Threshold Summary'!$Y:$Y,'Threshold Summary'!$K:$K,""),'Pokemon Editor'!$A:$A,'Pokemon Editor'!$F:$F,0)+31+FLOOR(XLOOKUP($Q452,'Threshold Summary'!$Y:$Y,'Threshold Summary'!$P:$P,"")/4))*XLOOKUP($Q452,'Threshold Summary'!$Y:$Y,'Threshold Summary'!$L:$L,""))/100)+5)*XLOOKUP(XLOOKUP($Q452,'Threshold Summary'!$Y:$Y,'Threshold Summary'!$M:$M,""),'Nature Editor'!$A:$A,'Nature Editor'!$B:$B,1)),FLOOR((FLOOR(((2*XLOOKUP(XLOOKUP($Q452,'Threshold Summary'!$Y:$Y,'Threshold Summary'!$K:$K,""),'Pokemon Editor'!$A:$A,'Pokemon Editor'!$H:$H,0)+31+FLOOR(XLOOKUP($Q452,'Threshold Summary'!$Y:$Y,'Threshold Summary'!$R:$R,"")/4))*XLOOKUP($Q452,'Threshold Summary'!$Y:$Y,'Threshold Summary'!$L:$L,""))/100)+5)*XLOOKUP(XLOOKUP($Q452,'Threshold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Editor'!$E:$E,1))),stab,IF(OR(mtype=XLOOKUP(XLOOKUP($Q452,'Threshold Summary'!$Y:$Y,'Threshold Summary'!$K:$K,""),'Pokemon Editor'!$A:$A,'Pokemon Editor'!$C:$C,""),mtype=XLOOKUP(XLOOKUP($Q452,'Threshold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Chart'!$B$1:$S$1,0)))),base,IF(OR(cat="Status",pow=0),0,FLOOR(FLOOR(FLOOR((2*XLOOKUP($Q452,'Threshold Summary'!$Y:$Y,'Threshold Summary'!$L:$L,"")/5+2)*pow*atk/def)/50)+2)),modifier,stab*eff,FLOOR(base*modifier*0.85)),0)</f>
        <v/>
      </c>
      <c r="K452" s="3">
        <f>IFERROR(LET(mtype,XLOOKUP($D452,'Move Editor'!$B:$B,'Move Editor'!$C:$C,""),cat,XLOOKUP($D452,'Move Editor'!$B:$B,'Move Editor'!$D:$D,""),pow,XLOOKUP($D452,'Move Editor'!$B:$B,'Move Editor'!$E:$E,0),acc,XLOOKUP($D452,'Move Editor'!$B:$B,'Move Editor'!$F:$F,100),atk,IF(cat="Physical",FLOOR((FLOOR(((2*XLOOKUP(XLOOKUP($Q452,'Threshold Summary'!$Y:$Y,'Threshold Summary'!$K:$K,""),'Pokemon Editor'!$A:$A,'Pokemon Editor'!$F:$F,0)+31+FLOOR(XLOOKUP($Q452,'Threshold Summary'!$Y:$Y,'Threshold Summary'!$P:$P,"")/4))*XLOOKUP($Q452,'Threshold Summary'!$Y:$Y,'Threshold Summary'!$L:$L,""))/100)+5)*XLOOKUP(XLOOKUP($Q452,'Threshold Summary'!$Y:$Y,'Threshold Summary'!$M:$M,""),'Nature Editor'!$A:$A,'Nature Editor'!$B:$B,1)),FLOOR((FLOOR(((2*XLOOKUP(XLOOKUP($Q452,'Threshold Summary'!$Y:$Y,'Threshold Summary'!$K:$K,""),'Pokemon Editor'!$A:$A,'Pokemon Editor'!$H:$H,0)+31+FLOOR(XLOOKUP($Q452,'Threshold Summary'!$Y:$Y,'Threshold Summary'!$R:$R,"")/4))*XLOOKUP($Q452,'Threshold Summary'!$Y:$Y,'Threshold Summary'!$L:$L,""))/100)+5)*XLOOKUP(XLOOKUP($Q452,'Threshold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Editor'!$E:$E,1))),stab,IF(OR(mtype=XLOOKUP(XLOOKUP($Q452,'Threshold Summary'!$Y:$Y,'Threshold Summary'!$K:$K,""),'Pokemon Editor'!$A:$A,'Pokemon Editor'!$C:$C,""),mtype=XLOOKUP(XLOOKUP($Q452,'Threshold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Chart'!$B$1:$S$1,0)))),base,IF(OR(cat="Status",pow=0),0,FLOOR(FLOOR(FLOOR((2*XLOOKUP($Q452,'Threshold Summary'!$Y:$Y,'Threshold Summary'!$L:$L,"")/5+2)*pow*atk/def)/50)+2)),modifier,stab*eff,FLOOR(base*modifier)),0)</f>
        <v/>
      </c>
      <c r="L452" s="3">
        <f>IFERROR(LET(mtype,XLOOKUP($D452,'Move Editor'!$B:$B,'Move Editor'!$C:$C,""),cat,XLOOKUP($D452,'Move Editor'!$B:$B,'Move Editor'!$D:$D,""),pow,XLOOKUP($D452,'Move Editor'!$B:$B,'Move Editor'!$E:$E,0),acc,XLOOKUP($D452,'Move Editor'!$B:$B,'Move Editor'!$F:$F,100),atk,IF(cat="Physical",FLOOR((FLOOR(((2*XLOOKUP(XLOOKUP($Q452,'Threshold Summary'!$Y:$Y,'Threshold Summary'!$K:$K,""),'Pokemon Editor'!$A:$A,'Pokemon Editor'!$F:$F,0)+31+FLOOR(XLOOKUP($Q452,'Threshold Summary'!$Y:$Y,'Threshold Summary'!$P:$P,"")/4))*XLOOKUP($Q452,'Threshold Summary'!$Y:$Y,'Threshold Summary'!$L:$L,""))/100)+5)*XLOOKUP(XLOOKUP($Q452,'Threshold Summary'!$Y:$Y,'Threshold Summary'!$M:$M,""),'Nature Editor'!$A:$A,'Nature Editor'!$B:$B,1)),FLOOR((FLOOR(((2*XLOOKUP(XLOOKUP($Q452,'Threshold Summary'!$Y:$Y,'Threshold Summary'!$K:$K,""),'Pokemon Editor'!$A:$A,'Pokemon Editor'!$H:$H,0)+31+FLOOR(XLOOKUP($Q452,'Threshold Summary'!$Y:$Y,'Threshold Summary'!$R:$R,"")/4))*XLOOKUP($Q452,'Threshold Summary'!$Y:$Y,'Threshold Summary'!$L:$L,""))/100)+5)*XLOOKUP(XLOOKUP($Q452,'Threshold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Editor'!$E:$E,1))),stab,IF(OR(mtype=XLOOKUP(XLOOKUP($Q452,'Threshold Summary'!$Y:$Y,'Threshold Summary'!$K:$K,""),'Pokemon Editor'!$A:$A,'Pokemon Editor'!$C:$C,""),mtype=XLOOKUP(XLOOKUP($Q452,'Threshold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Chart'!$B$1:$S$1,0)))),base,IF(OR(cat="Status",pow=0),0,FLOOR(FLOOR(FLOOR((2*XLOOKUP($Q452,'Threshold Summary'!$Y:$Y,'Threshold Summary'!$L:$L,"")/5+2)*pow*atk/def)/50)+2)),modifier,stab*eff,AVERAGE(ARRAYFORMULA(FLOOR(base*modifier*SEQUENCE(16,1,85,1)/100)))),0)</f>
        <v/>
      </c>
      <c r="M452" s="3">
        <f>IFERROR(LET(mtype,XLOOKUP($D452,'Move Editor'!$B:$B,'Move Editor'!$C:$C,""),cat,XLOOKUP($D452,'Move Editor'!$B:$B,'Move Editor'!$D:$D,""),pow,XLOOKUP($D452,'Move Editor'!$B:$B,'Move Editor'!$E:$E,0),acc,XLOOKUP($D452,'Move Editor'!$B:$B,'Move Editor'!$F:$F,100),atk,IF(cat="Physical",FLOOR((FLOOR(((2*XLOOKUP(XLOOKUP($Q452,'Threshold Summary'!$Y:$Y,'Threshold Summary'!$K:$K,""),'Pokemon Editor'!$A:$A,'Pokemon Editor'!$F:$F,0)+31+FLOOR(XLOOKUP($Q452,'Threshold Summary'!$Y:$Y,'Threshold Summary'!$P:$P,"")/4))*XLOOKUP($Q452,'Threshold Summary'!$Y:$Y,'Threshold Summary'!$L:$L,""))/100)+5)*XLOOKUP(XLOOKUP($Q452,'Threshold Summary'!$Y:$Y,'Threshold Summary'!$M:$M,""),'Nature Editor'!$A:$A,'Nature Editor'!$B:$B,1)),FLOOR((FLOOR(((2*XLOOKUP(XLOOKUP($Q452,'Threshold Summary'!$Y:$Y,'Threshold Summary'!$K:$K,""),'Pokemon Editor'!$A:$A,'Pokemon Editor'!$H:$H,0)+31+FLOOR(XLOOKUP($Q452,'Threshold Summary'!$Y:$Y,'Threshold Summary'!$R:$R,"")/4))*XLOOKUP($Q452,'Threshold Summary'!$Y:$Y,'Threshold Summary'!$L:$L,""))/100)+5)*XLOOKUP(XLOOKUP($Q452,'Threshold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Editor'!$E:$E,1))),stab,IF(OR(mtype=XLOOKUP(XLOOKUP($Q452,'Threshold Summary'!$Y:$Y,'Threshold Summary'!$K:$K,""),'Pokemon Editor'!$A:$A,'Pokemon Editor'!$C:$C,""),mtype=XLOOKUP(XLOOKUP($Q452,'Threshold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Chart'!$B$1:$S$1,0)))),base,IF(OR(cat="Status",pow=0),0,FLOOR(FLOOR(FLOOR((2*XLOOKUP($Q452,'Threshold Summary'!$Y:$Y,'Threshold Summary'!$L:$L,"")/5+2)*pow*atk/def)/50)+2)),modifier,stab*eff,AVERAGE(ARRAYFORMULA(FLOOR(base*modifier*SEQUENCE(16,1,85,1)/100)))*MIN(1,acc/100)),0)</f>
        <v/>
      </c>
      <c r="N452" s="4">
        <f>IFERROR(LET(mtype,XLOOKUP($D452,'Move Editor'!$B:$B,'Move Editor'!$C:$C,""),cat,XLOOKUP($D452,'Move Editor'!$B:$B,'Move Editor'!$D:$D,""),pow,XLOOKUP($D452,'Move Editor'!$B:$B,'Move Editor'!$E:$E,0),acc,XLOOKUP($D452,'Move Editor'!$B:$B,'Move Editor'!$F:$F,100),atk,IF(cat="Physical",FLOOR((FLOOR(((2*XLOOKUP(XLOOKUP($Q452,'Threshold Summary'!$Y:$Y,'Threshold Summary'!$K:$K,""),'Pokemon Editor'!$A:$A,'Pokemon Editor'!$F:$F,0)+31+FLOOR(XLOOKUP($Q452,'Threshold Summary'!$Y:$Y,'Threshold Summary'!$P:$P,"")/4))*XLOOKUP($Q452,'Threshold Summary'!$Y:$Y,'Threshold Summary'!$L:$L,""))/100)+5)*XLOOKUP(XLOOKUP($Q452,'Threshold Summary'!$Y:$Y,'Threshold Summary'!$M:$M,""),'Nature Editor'!$A:$A,'Nature Editor'!$B:$B,1)),FLOOR((FLOOR(((2*XLOOKUP(XLOOKUP($Q452,'Threshold Summary'!$Y:$Y,'Threshold Summary'!$K:$K,""),'Pokemon Editor'!$A:$A,'Pokemon Editor'!$H:$H,0)+31+FLOOR(XLOOKUP($Q452,'Threshold Summary'!$Y:$Y,'Threshold Summary'!$R:$R,"")/4))*XLOOKUP($Q452,'Threshold Summary'!$Y:$Y,'Threshold Summary'!$L:$L,""))/100)+5)*XLOOKUP(XLOOKUP($Q452,'Threshold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Editor'!$E:$E,1))),stab,IF(OR(mtype=XLOOKUP(XLOOKUP($Q452,'Threshold Summary'!$Y:$Y,'Threshold Summary'!$K:$K,""),'Pokemon Editor'!$A:$A,'Pokemon Editor'!$C:$C,""),mtype=XLOOKUP(XLOOKUP($Q452,'Threshold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Chart'!$B$1:$S$1,0)))),base,IF(OR(cat="Status",pow=0),0,FLOOR(FLOOR(FLOOR((2*XLOOKUP($Q452,'Threshold Summary'!$Y:$Y,'Threshold Summary'!$L:$L,"")/5+2)*pow*atk/def)/50)+2)),modifier,stab*eff,AVERAGE(ARRAYFORMULA(FLOOR(base*modifier*SEQUENCE(16,1,85,1)/100)))/(FLOOR(((2*XLOOKUP('Boss Editor'!$C$4,'Pokemon Editor'!$A:$A,'Pokemon Editor'!$E:$E,0)+31+FLOOR('Boss Editor'!$G$4/4))*'Boss Editor'!$D$4)/100)+'Boss Editor'!$D$4+10)),0)</f>
        <v/>
      </c>
      <c r="O452" s="3">
        <f>IF(N452&gt;=1,"OHKO",IF(N452&gt;=0.5,"2HKO",IF(N452&gt;=0.333,"3HKO",IF(N452&gt;=0.25,"4HKO","5HKO+"))))</f>
        <v/>
      </c>
      <c r="P452" s="3" t="inlineStr">
        <is>
          <t>Live from editable databases</t>
        </is>
      </c>
      <c r="Q452" s="3" t="inlineStr">
        <is>
          <t>SPECIES_SEWADDLE</t>
        </is>
      </c>
      <c r="R452" s="3" t="n">
        <v>3</v>
      </c>
    </row>
    <row r="453">
      <c r="A453" s="3">
        <f>XLOOKUP($Q453,'Threshold Summary'!$Y:$Y,'Threshold Summary'!$A:$A,"")</f>
        <v/>
      </c>
      <c r="B453" s="3">
        <f>XLOOKUP($Q453,'Threshold Summary'!$Y:$Y,'Threshold Summary'!$M:$M,"")</f>
        <v/>
      </c>
      <c r="C453" s="3">
        <f>XLOOKUP($Q453,'Threshold Summary'!$Y:$Y,'Threshold Summary'!$N:$N,"")</f>
        <v/>
      </c>
      <c r="D453" s="3">
        <f>IFERROR(INDEX(FILTER('Learnset Editor'!$D$2:$D,'Learnset Editor'!$A$2:$A=XLOOKUP($Q453,'Threshold Summary'!$Y:$Y,'Threshold Summary'!$K:$K,""),'Learnset Editor'!$C$2:$C&lt;=XLOOKUP($Q453,'Threshold Summary'!$Y:$Y,'Threshold Summary'!$L:$L,"")),$R453),"")</f>
        <v/>
      </c>
      <c r="E453" s="3">
        <f>XLOOKUP(D453,'Move Editor'!$B:$B,'Move Editor'!$C:$C,"")</f>
        <v/>
      </c>
      <c r="F453" s="3">
        <f>XLOOKUP(D453,'Move Editor'!$B:$B,'Move Editor'!$D:$D,"")</f>
        <v/>
      </c>
      <c r="G453" s="3">
        <f>XLOOKUP(D453,'Move Editor'!$B:$B,'Move Editor'!$E:$E,0)</f>
        <v/>
      </c>
      <c r="H453" s="3">
        <f>XLOOKUP(D453,'Move Editor'!$B:$B,'Move Editor'!$F:$F,0)</f>
        <v/>
      </c>
      <c r="I453" s="3">
        <f>(INDEX('Type Chart'!$B:$S,MATCH(E453,'Type Chart'!$A:$A,0),MATCH(XLOOKUP('Boss Editor'!$C$4,'Pokemon Editor'!$A:$A,'Pokemon Editor'!$C:$C,""),'Type Chart'!$B$1:$S$1,0))*IF(XLOOKUP('Boss Editor'!$C$4,'Pokemon Editor'!$A:$A,'Pokemon Editor'!$D:$D,"")="",1,INDEX('Type Chart'!$B:$S,MATCH(E453,'Type Chart'!$A:$A,0),MATCH(XLOOKUP('Boss Editor'!$C$4,'Pokemon Editor'!$A:$A,'Pokemon Editor'!$D:$D,""),'Type Chart'!$B$1:$S$1,0))))</f>
        <v/>
      </c>
      <c r="J453" s="3">
        <f>IFERROR(LET(mtype,XLOOKUP($D453,'Move Editor'!$B:$B,'Move Editor'!$C:$C,""),cat,XLOOKUP($D453,'Move Editor'!$B:$B,'Move Editor'!$D:$D,""),pow,XLOOKUP($D453,'Move Editor'!$B:$B,'Move Editor'!$E:$E,0),acc,XLOOKUP($D453,'Move Editor'!$B:$B,'Move Editor'!$F:$F,100),atk,IF(cat="Physical",FLOOR((FLOOR(((2*XLOOKUP(XLOOKUP($Q453,'Threshold Summary'!$Y:$Y,'Threshold Summary'!$K:$K,""),'Pokemon Editor'!$A:$A,'Pokemon Editor'!$F:$F,0)+31+FLOOR(XLOOKUP($Q453,'Threshold Summary'!$Y:$Y,'Threshold Summary'!$P:$P,"")/4))*XLOOKUP($Q453,'Threshold Summary'!$Y:$Y,'Threshold Summary'!$L:$L,""))/100)+5)*XLOOKUP(XLOOKUP($Q453,'Threshold Summary'!$Y:$Y,'Threshold Summary'!$M:$M,""),'Nature Editor'!$A:$A,'Nature Editor'!$B:$B,1)),FLOOR((FLOOR(((2*XLOOKUP(XLOOKUP($Q453,'Threshold Summary'!$Y:$Y,'Threshold Summary'!$K:$K,""),'Pokemon Editor'!$A:$A,'Pokemon Editor'!$H:$H,0)+31+FLOOR(XLOOKUP($Q453,'Threshold Summary'!$Y:$Y,'Threshold Summary'!$R:$R,"")/4))*XLOOKUP($Q453,'Threshold Summary'!$Y:$Y,'Threshold Summary'!$L:$L,""))/100)+5)*XLOOKUP(XLOOKUP($Q453,'Threshold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Editor'!$E:$E,1))),stab,IF(OR(mtype=XLOOKUP(XLOOKUP($Q453,'Threshold Summary'!$Y:$Y,'Threshold Summary'!$K:$K,""),'Pokemon Editor'!$A:$A,'Pokemon Editor'!$C:$C,""),mtype=XLOOKUP(XLOOKUP($Q453,'Threshold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Chart'!$B$1:$S$1,0)))),base,IF(OR(cat="Status",pow=0),0,FLOOR(FLOOR(FLOOR((2*XLOOKUP($Q453,'Threshold Summary'!$Y:$Y,'Threshold Summary'!$L:$L,"")/5+2)*pow*atk/def)/50)+2)),modifier,stab*eff,FLOOR(base*modifier*0.85)),0)</f>
        <v/>
      </c>
      <c r="K453" s="3">
        <f>IFERROR(LET(mtype,XLOOKUP($D453,'Move Editor'!$B:$B,'Move Editor'!$C:$C,""),cat,XLOOKUP($D453,'Move Editor'!$B:$B,'Move Editor'!$D:$D,""),pow,XLOOKUP($D453,'Move Editor'!$B:$B,'Move Editor'!$E:$E,0),acc,XLOOKUP($D453,'Move Editor'!$B:$B,'Move Editor'!$F:$F,100),atk,IF(cat="Physical",FLOOR((FLOOR(((2*XLOOKUP(XLOOKUP($Q453,'Threshold Summary'!$Y:$Y,'Threshold Summary'!$K:$K,""),'Pokemon Editor'!$A:$A,'Pokemon Editor'!$F:$F,0)+31+FLOOR(XLOOKUP($Q453,'Threshold Summary'!$Y:$Y,'Threshold Summary'!$P:$P,"")/4))*XLOOKUP($Q453,'Threshold Summary'!$Y:$Y,'Threshold Summary'!$L:$L,""))/100)+5)*XLOOKUP(XLOOKUP($Q453,'Threshold Summary'!$Y:$Y,'Threshold Summary'!$M:$M,""),'Nature Editor'!$A:$A,'Nature Editor'!$B:$B,1)),FLOOR((FLOOR(((2*XLOOKUP(XLOOKUP($Q453,'Threshold Summary'!$Y:$Y,'Threshold Summary'!$K:$K,""),'Pokemon Editor'!$A:$A,'Pokemon Editor'!$H:$H,0)+31+FLOOR(XLOOKUP($Q453,'Threshold Summary'!$Y:$Y,'Threshold Summary'!$R:$R,"")/4))*XLOOKUP($Q453,'Threshold Summary'!$Y:$Y,'Threshold Summary'!$L:$L,""))/100)+5)*XLOOKUP(XLOOKUP($Q453,'Threshold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Editor'!$E:$E,1))),stab,IF(OR(mtype=XLOOKUP(XLOOKUP($Q453,'Threshold Summary'!$Y:$Y,'Threshold Summary'!$K:$K,""),'Pokemon Editor'!$A:$A,'Pokemon Editor'!$C:$C,""),mtype=XLOOKUP(XLOOKUP($Q453,'Threshold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Chart'!$B$1:$S$1,0)))),base,IF(OR(cat="Status",pow=0),0,FLOOR(FLOOR(FLOOR((2*XLOOKUP($Q453,'Threshold Summary'!$Y:$Y,'Threshold Summary'!$L:$L,"")/5+2)*pow*atk/def)/50)+2)),modifier,stab*eff,FLOOR(base*modifier)),0)</f>
        <v/>
      </c>
      <c r="L453" s="3">
        <f>IFERROR(LET(mtype,XLOOKUP($D453,'Move Editor'!$B:$B,'Move Editor'!$C:$C,""),cat,XLOOKUP($D453,'Move Editor'!$B:$B,'Move Editor'!$D:$D,""),pow,XLOOKUP($D453,'Move Editor'!$B:$B,'Move Editor'!$E:$E,0),acc,XLOOKUP($D453,'Move Editor'!$B:$B,'Move Editor'!$F:$F,100),atk,IF(cat="Physical",FLOOR((FLOOR(((2*XLOOKUP(XLOOKUP($Q453,'Threshold Summary'!$Y:$Y,'Threshold Summary'!$K:$K,""),'Pokemon Editor'!$A:$A,'Pokemon Editor'!$F:$F,0)+31+FLOOR(XLOOKUP($Q453,'Threshold Summary'!$Y:$Y,'Threshold Summary'!$P:$P,"")/4))*XLOOKUP($Q453,'Threshold Summary'!$Y:$Y,'Threshold Summary'!$L:$L,""))/100)+5)*XLOOKUP(XLOOKUP($Q453,'Threshold Summary'!$Y:$Y,'Threshold Summary'!$M:$M,""),'Nature Editor'!$A:$A,'Nature Editor'!$B:$B,1)),FLOOR((FLOOR(((2*XLOOKUP(XLOOKUP($Q453,'Threshold Summary'!$Y:$Y,'Threshold Summary'!$K:$K,""),'Pokemon Editor'!$A:$A,'Pokemon Editor'!$H:$H,0)+31+FLOOR(XLOOKUP($Q453,'Threshold Summary'!$Y:$Y,'Threshold Summary'!$R:$R,"")/4))*XLOOKUP($Q453,'Threshold Summary'!$Y:$Y,'Threshold Summary'!$L:$L,""))/100)+5)*XLOOKUP(XLOOKUP($Q453,'Threshold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Editor'!$E:$E,1))),stab,IF(OR(mtype=XLOOKUP(XLOOKUP($Q453,'Threshold Summary'!$Y:$Y,'Threshold Summary'!$K:$K,""),'Pokemon Editor'!$A:$A,'Pokemon Editor'!$C:$C,""),mtype=XLOOKUP(XLOOKUP($Q453,'Threshold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Chart'!$B$1:$S$1,0)))),base,IF(OR(cat="Status",pow=0),0,FLOOR(FLOOR(FLOOR((2*XLOOKUP($Q453,'Threshold Summary'!$Y:$Y,'Threshold Summary'!$L:$L,"")/5+2)*pow*atk/def)/50)+2)),modifier,stab*eff,AVERAGE(ARRAYFORMULA(FLOOR(base*modifier*SEQUENCE(16,1,85,1)/100)))),0)</f>
        <v/>
      </c>
      <c r="M453" s="3">
        <f>IFERROR(LET(mtype,XLOOKUP($D453,'Move Editor'!$B:$B,'Move Editor'!$C:$C,""),cat,XLOOKUP($D453,'Move Editor'!$B:$B,'Move Editor'!$D:$D,""),pow,XLOOKUP($D453,'Move Editor'!$B:$B,'Move Editor'!$E:$E,0),acc,XLOOKUP($D453,'Move Editor'!$B:$B,'Move Editor'!$F:$F,100),atk,IF(cat="Physical",FLOOR((FLOOR(((2*XLOOKUP(XLOOKUP($Q453,'Threshold Summary'!$Y:$Y,'Threshold Summary'!$K:$K,""),'Pokemon Editor'!$A:$A,'Pokemon Editor'!$F:$F,0)+31+FLOOR(XLOOKUP($Q453,'Threshold Summary'!$Y:$Y,'Threshold Summary'!$P:$P,"")/4))*XLOOKUP($Q453,'Threshold Summary'!$Y:$Y,'Threshold Summary'!$L:$L,""))/100)+5)*XLOOKUP(XLOOKUP($Q453,'Threshold Summary'!$Y:$Y,'Threshold Summary'!$M:$M,""),'Nature Editor'!$A:$A,'Nature Editor'!$B:$B,1)),FLOOR((FLOOR(((2*XLOOKUP(XLOOKUP($Q453,'Threshold Summary'!$Y:$Y,'Threshold Summary'!$K:$K,""),'Pokemon Editor'!$A:$A,'Pokemon Editor'!$H:$H,0)+31+FLOOR(XLOOKUP($Q453,'Threshold Summary'!$Y:$Y,'Threshold Summary'!$R:$R,"")/4))*XLOOKUP($Q453,'Threshold Summary'!$Y:$Y,'Threshold Summary'!$L:$L,""))/100)+5)*XLOOKUP(XLOOKUP($Q453,'Threshold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Editor'!$E:$E,1))),stab,IF(OR(mtype=XLOOKUP(XLOOKUP($Q453,'Threshold Summary'!$Y:$Y,'Threshold Summary'!$K:$K,""),'Pokemon Editor'!$A:$A,'Pokemon Editor'!$C:$C,""),mtype=XLOOKUP(XLOOKUP($Q453,'Threshold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Chart'!$B$1:$S$1,0)))),base,IF(OR(cat="Status",pow=0),0,FLOOR(FLOOR(FLOOR((2*XLOOKUP($Q453,'Threshold Summary'!$Y:$Y,'Threshold Summary'!$L:$L,"")/5+2)*pow*atk/def)/50)+2)),modifier,stab*eff,AVERAGE(ARRAYFORMULA(FLOOR(base*modifier*SEQUENCE(16,1,85,1)/100)))*MIN(1,acc/100)),0)</f>
        <v/>
      </c>
      <c r="N453" s="4">
        <f>IFERROR(LET(mtype,XLOOKUP($D453,'Move Editor'!$B:$B,'Move Editor'!$C:$C,""),cat,XLOOKUP($D453,'Move Editor'!$B:$B,'Move Editor'!$D:$D,""),pow,XLOOKUP($D453,'Move Editor'!$B:$B,'Move Editor'!$E:$E,0),acc,XLOOKUP($D453,'Move Editor'!$B:$B,'Move Editor'!$F:$F,100),atk,IF(cat="Physical",FLOOR((FLOOR(((2*XLOOKUP(XLOOKUP($Q453,'Threshold Summary'!$Y:$Y,'Threshold Summary'!$K:$K,""),'Pokemon Editor'!$A:$A,'Pokemon Editor'!$F:$F,0)+31+FLOOR(XLOOKUP($Q453,'Threshold Summary'!$Y:$Y,'Threshold Summary'!$P:$P,"")/4))*XLOOKUP($Q453,'Threshold Summary'!$Y:$Y,'Threshold Summary'!$L:$L,""))/100)+5)*XLOOKUP(XLOOKUP($Q453,'Threshold Summary'!$Y:$Y,'Threshold Summary'!$M:$M,""),'Nature Editor'!$A:$A,'Nature Editor'!$B:$B,1)),FLOOR((FLOOR(((2*XLOOKUP(XLOOKUP($Q453,'Threshold Summary'!$Y:$Y,'Threshold Summary'!$K:$K,""),'Pokemon Editor'!$A:$A,'Pokemon Editor'!$H:$H,0)+31+FLOOR(XLOOKUP($Q453,'Threshold Summary'!$Y:$Y,'Threshold Summary'!$R:$R,"")/4))*XLOOKUP($Q453,'Threshold Summary'!$Y:$Y,'Threshold Summary'!$L:$L,""))/100)+5)*XLOOKUP(XLOOKUP($Q453,'Threshold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Editor'!$E:$E,1))),stab,IF(OR(mtype=XLOOKUP(XLOOKUP($Q453,'Threshold Summary'!$Y:$Y,'Threshold Summary'!$K:$K,""),'Pokemon Editor'!$A:$A,'Pokemon Editor'!$C:$C,""),mtype=XLOOKUP(XLOOKUP($Q453,'Threshold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Chart'!$B$1:$S$1,0)))),base,IF(OR(cat="Status",pow=0),0,FLOOR(FLOOR(FLOOR((2*XLOOKUP($Q453,'Threshold Summary'!$Y:$Y,'Threshold Summary'!$L:$L,"")/5+2)*pow*atk/def)/50)+2)),modifier,stab*eff,AVERAGE(ARRAYFORMULA(FLOOR(base*modifier*SEQUENCE(16,1,85,1)/100)))/(FLOOR(((2*XLOOKUP('Boss Editor'!$C$4,'Pokemon Editor'!$A:$A,'Pokemon Editor'!$E:$E,0)+31+FLOOR('Boss Editor'!$G$4/4))*'Boss Editor'!$D$4)/100)+'Boss Editor'!$D$4+10)),0)</f>
        <v/>
      </c>
      <c r="O453" s="3">
        <f>IF(N453&gt;=1,"OHKO",IF(N453&gt;=0.5,"2HKO",IF(N453&gt;=0.333,"3HKO",IF(N453&gt;=0.25,"4HKO","5HKO+"))))</f>
        <v/>
      </c>
      <c r="P453" s="3" t="inlineStr">
        <is>
          <t>Live from editable databases</t>
        </is>
      </c>
      <c r="Q453" s="3" t="inlineStr">
        <is>
          <t>SPECIES_SEWADDLE</t>
        </is>
      </c>
      <c r="R453" s="3" t="n">
        <v>4</v>
      </c>
    </row>
    <row r="454">
      <c r="A454" s="3">
        <f>XLOOKUP($Q454,'Threshold Summary'!$Y:$Y,'Threshold Summary'!$A:$A,"")</f>
        <v/>
      </c>
      <c r="B454" s="3">
        <f>XLOOKUP($Q454,'Threshold Summary'!$Y:$Y,'Threshold Summary'!$M:$M,"")</f>
        <v/>
      </c>
      <c r="C454" s="3">
        <f>XLOOKUP($Q454,'Threshold Summary'!$Y:$Y,'Threshold Summary'!$N:$N,"")</f>
        <v/>
      </c>
      <c r="D454" s="3">
        <f>IFERROR(INDEX(FILTER('Learnset Editor'!$D$2:$D,'Learnset Editor'!$A$2:$A=XLOOKUP($Q454,'Threshold Summary'!$Y:$Y,'Threshold Summary'!$K:$K,""),'Learnset Editor'!$C$2:$C&lt;=XLOOKUP($Q454,'Threshold Summary'!$Y:$Y,'Threshold Summary'!$L:$L,"")),$R454),"")</f>
        <v/>
      </c>
      <c r="E454" s="3">
        <f>XLOOKUP(D454,'Move Editor'!$B:$B,'Move Editor'!$C:$C,"")</f>
        <v/>
      </c>
      <c r="F454" s="3">
        <f>XLOOKUP(D454,'Move Editor'!$B:$B,'Move Editor'!$D:$D,"")</f>
        <v/>
      </c>
      <c r="G454" s="3">
        <f>XLOOKUP(D454,'Move Editor'!$B:$B,'Move Editor'!$E:$E,0)</f>
        <v/>
      </c>
      <c r="H454" s="3">
        <f>XLOOKUP(D454,'Move Editor'!$B:$B,'Move Editor'!$F:$F,0)</f>
        <v/>
      </c>
      <c r="I454" s="3">
        <f>(INDEX('Type Chart'!$B:$S,MATCH(E454,'Type Chart'!$A:$A,0),MATCH(XLOOKUP('Boss Editor'!$C$4,'Pokemon Editor'!$A:$A,'Pokemon Editor'!$C:$C,""),'Type Chart'!$B$1:$S$1,0))*IF(XLOOKUP('Boss Editor'!$C$4,'Pokemon Editor'!$A:$A,'Pokemon Editor'!$D:$D,"")="",1,INDEX('Type Chart'!$B:$S,MATCH(E454,'Type Chart'!$A:$A,0),MATCH(XLOOKUP('Boss Editor'!$C$4,'Pokemon Editor'!$A:$A,'Pokemon Editor'!$D:$D,""),'Type Chart'!$B$1:$S$1,0))))</f>
        <v/>
      </c>
      <c r="J454" s="3">
        <f>IFERROR(LET(mtype,XLOOKUP($D454,'Move Editor'!$B:$B,'Move Editor'!$C:$C,""),cat,XLOOKUP($D454,'Move Editor'!$B:$B,'Move Editor'!$D:$D,""),pow,XLOOKUP($D454,'Move Editor'!$B:$B,'Move Editor'!$E:$E,0),acc,XLOOKUP($D454,'Move Editor'!$B:$B,'Move Editor'!$F:$F,100),atk,IF(cat="Physical",FLOOR((FLOOR(((2*XLOOKUP(XLOOKUP($Q454,'Threshold Summary'!$Y:$Y,'Threshold Summary'!$K:$K,""),'Pokemon Editor'!$A:$A,'Pokemon Editor'!$F:$F,0)+31+FLOOR(XLOOKUP($Q454,'Threshold Summary'!$Y:$Y,'Threshold Summary'!$P:$P,"")/4))*XLOOKUP($Q454,'Threshold Summary'!$Y:$Y,'Threshold Summary'!$L:$L,""))/100)+5)*XLOOKUP(XLOOKUP($Q454,'Threshold Summary'!$Y:$Y,'Threshold Summary'!$M:$M,""),'Nature Editor'!$A:$A,'Nature Editor'!$B:$B,1)),FLOOR((FLOOR(((2*XLOOKUP(XLOOKUP($Q454,'Threshold Summary'!$Y:$Y,'Threshold Summary'!$K:$K,""),'Pokemon Editor'!$A:$A,'Pokemon Editor'!$H:$H,0)+31+FLOOR(XLOOKUP($Q454,'Threshold Summary'!$Y:$Y,'Threshold Summary'!$R:$R,"")/4))*XLOOKUP($Q454,'Threshold Summary'!$Y:$Y,'Threshold Summary'!$L:$L,""))/100)+5)*XLOOKUP(XLOOKUP($Q454,'Threshold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Editor'!$E:$E,1))),stab,IF(OR(mtype=XLOOKUP(XLOOKUP($Q454,'Threshold Summary'!$Y:$Y,'Threshold Summary'!$K:$K,""),'Pokemon Editor'!$A:$A,'Pokemon Editor'!$C:$C,""),mtype=XLOOKUP(XLOOKUP($Q454,'Threshold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Chart'!$B$1:$S$1,0)))),base,IF(OR(cat="Status",pow=0),0,FLOOR(FLOOR(FLOOR((2*XLOOKUP($Q454,'Threshold Summary'!$Y:$Y,'Threshold Summary'!$L:$L,"")/5+2)*pow*atk/def)/50)+2)),modifier,stab*eff,FLOOR(base*modifier*0.85)),0)</f>
        <v/>
      </c>
      <c r="K454" s="3">
        <f>IFERROR(LET(mtype,XLOOKUP($D454,'Move Editor'!$B:$B,'Move Editor'!$C:$C,""),cat,XLOOKUP($D454,'Move Editor'!$B:$B,'Move Editor'!$D:$D,""),pow,XLOOKUP($D454,'Move Editor'!$B:$B,'Move Editor'!$E:$E,0),acc,XLOOKUP($D454,'Move Editor'!$B:$B,'Move Editor'!$F:$F,100),atk,IF(cat="Physical",FLOOR((FLOOR(((2*XLOOKUP(XLOOKUP($Q454,'Threshold Summary'!$Y:$Y,'Threshold Summary'!$K:$K,""),'Pokemon Editor'!$A:$A,'Pokemon Editor'!$F:$F,0)+31+FLOOR(XLOOKUP($Q454,'Threshold Summary'!$Y:$Y,'Threshold Summary'!$P:$P,"")/4))*XLOOKUP($Q454,'Threshold Summary'!$Y:$Y,'Threshold Summary'!$L:$L,""))/100)+5)*XLOOKUP(XLOOKUP($Q454,'Threshold Summary'!$Y:$Y,'Threshold Summary'!$M:$M,""),'Nature Editor'!$A:$A,'Nature Editor'!$B:$B,1)),FLOOR((FLOOR(((2*XLOOKUP(XLOOKUP($Q454,'Threshold Summary'!$Y:$Y,'Threshold Summary'!$K:$K,""),'Pokemon Editor'!$A:$A,'Pokemon Editor'!$H:$H,0)+31+FLOOR(XLOOKUP($Q454,'Threshold Summary'!$Y:$Y,'Threshold Summary'!$R:$R,"")/4))*XLOOKUP($Q454,'Threshold Summary'!$Y:$Y,'Threshold Summary'!$L:$L,""))/100)+5)*XLOOKUP(XLOOKUP($Q454,'Threshold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Editor'!$E:$E,1))),stab,IF(OR(mtype=XLOOKUP(XLOOKUP($Q454,'Threshold Summary'!$Y:$Y,'Threshold Summary'!$K:$K,""),'Pokemon Editor'!$A:$A,'Pokemon Editor'!$C:$C,""),mtype=XLOOKUP(XLOOKUP($Q454,'Threshold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Chart'!$B$1:$S$1,0)))),base,IF(OR(cat="Status",pow=0),0,FLOOR(FLOOR(FLOOR((2*XLOOKUP($Q454,'Threshold Summary'!$Y:$Y,'Threshold Summary'!$L:$L,"")/5+2)*pow*atk/def)/50)+2)),modifier,stab*eff,FLOOR(base*modifier)),0)</f>
        <v/>
      </c>
      <c r="L454" s="3">
        <f>IFERROR(LET(mtype,XLOOKUP($D454,'Move Editor'!$B:$B,'Move Editor'!$C:$C,""),cat,XLOOKUP($D454,'Move Editor'!$B:$B,'Move Editor'!$D:$D,""),pow,XLOOKUP($D454,'Move Editor'!$B:$B,'Move Editor'!$E:$E,0),acc,XLOOKUP($D454,'Move Editor'!$B:$B,'Move Editor'!$F:$F,100),atk,IF(cat="Physical",FLOOR((FLOOR(((2*XLOOKUP(XLOOKUP($Q454,'Threshold Summary'!$Y:$Y,'Threshold Summary'!$K:$K,""),'Pokemon Editor'!$A:$A,'Pokemon Editor'!$F:$F,0)+31+FLOOR(XLOOKUP($Q454,'Threshold Summary'!$Y:$Y,'Threshold Summary'!$P:$P,"")/4))*XLOOKUP($Q454,'Threshold Summary'!$Y:$Y,'Threshold Summary'!$L:$L,""))/100)+5)*XLOOKUP(XLOOKUP($Q454,'Threshold Summary'!$Y:$Y,'Threshold Summary'!$M:$M,""),'Nature Editor'!$A:$A,'Nature Editor'!$B:$B,1)),FLOOR((FLOOR(((2*XLOOKUP(XLOOKUP($Q454,'Threshold Summary'!$Y:$Y,'Threshold Summary'!$K:$K,""),'Pokemon Editor'!$A:$A,'Pokemon Editor'!$H:$H,0)+31+FLOOR(XLOOKUP($Q454,'Threshold Summary'!$Y:$Y,'Threshold Summary'!$R:$R,"")/4))*XLOOKUP($Q454,'Threshold Summary'!$Y:$Y,'Threshold Summary'!$L:$L,""))/100)+5)*XLOOKUP(XLOOKUP($Q454,'Threshold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Editor'!$E:$E,1))),stab,IF(OR(mtype=XLOOKUP(XLOOKUP($Q454,'Threshold Summary'!$Y:$Y,'Threshold Summary'!$K:$K,""),'Pokemon Editor'!$A:$A,'Pokemon Editor'!$C:$C,""),mtype=XLOOKUP(XLOOKUP($Q454,'Threshold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Chart'!$B$1:$S$1,0)))),base,IF(OR(cat="Status",pow=0),0,FLOOR(FLOOR(FLOOR((2*XLOOKUP($Q454,'Threshold Summary'!$Y:$Y,'Threshold Summary'!$L:$L,"")/5+2)*pow*atk/def)/50)+2)),modifier,stab*eff,AVERAGE(ARRAYFORMULA(FLOOR(base*modifier*SEQUENCE(16,1,85,1)/100)))),0)</f>
        <v/>
      </c>
      <c r="M454" s="3">
        <f>IFERROR(LET(mtype,XLOOKUP($D454,'Move Editor'!$B:$B,'Move Editor'!$C:$C,""),cat,XLOOKUP($D454,'Move Editor'!$B:$B,'Move Editor'!$D:$D,""),pow,XLOOKUP($D454,'Move Editor'!$B:$B,'Move Editor'!$E:$E,0),acc,XLOOKUP($D454,'Move Editor'!$B:$B,'Move Editor'!$F:$F,100),atk,IF(cat="Physical",FLOOR((FLOOR(((2*XLOOKUP(XLOOKUP($Q454,'Threshold Summary'!$Y:$Y,'Threshold Summary'!$K:$K,""),'Pokemon Editor'!$A:$A,'Pokemon Editor'!$F:$F,0)+31+FLOOR(XLOOKUP($Q454,'Threshold Summary'!$Y:$Y,'Threshold Summary'!$P:$P,"")/4))*XLOOKUP($Q454,'Threshold Summary'!$Y:$Y,'Threshold Summary'!$L:$L,""))/100)+5)*XLOOKUP(XLOOKUP($Q454,'Threshold Summary'!$Y:$Y,'Threshold Summary'!$M:$M,""),'Nature Editor'!$A:$A,'Nature Editor'!$B:$B,1)),FLOOR((FLOOR(((2*XLOOKUP(XLOOKUP($Q454,'Threshold Summary'!$Y:$Y,'Threshold Summary'!$K:$K,""),'Pokemon Editor'!$A:$A,'Pokemon Editor'!$H:$H,0)+31+FLOOR(XLOOKUP($Q454,'Threshold Summary'!$Y:$Y,'Threshold Summary'!$R:$R,"")/4))*XLOOKUP($Q454,'Threshold Summary'!$Y:$Y,'Threshold Summary'!$L:$L,""))/100)+5)*XLOOKUP(XLOOKUP($Q454,'Threshold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Editor'!$E:$E,1))),stab,IF(OR(mtype=XLOOKUP(XLOOKUP($Q454,'Threshold Summary'!$Y:$Y,'Threshold Summary'!$K:$K,""),'Pokemon Editor'!$A:$A,'Pokemon Editor'!$C:$C,""),mtype=XLOOKUP(XLOOKUP($Q454,'Threshold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Chart'!$B$1:$S$1,0)))),base,IF(OR(cat="Status",pow=0),0,FLOOR(FLOOR(FLOOR((2*XLOOKUP($Q454,'Threshold Summary'!$Y:$Y,'Threshold Summary'!$L:$L,"")/5+2)*pow*atk/def)/50)+2)),modifier,stab*eff,AVERAGE(ARRAYFORMULA(FLOOR(base*modifier*SEQUENCE(16,1,85,1)/100)))*MIN(1,acc/100)),0)</f>
        <v/>
      </c>
      <c r="N454" s="4">
        <f>IFERROR(LET(mtype,XLOOKUP($D454,'Move Editor'!$B:$B,'Move Editor'!$C:$C,""),cat,XLOOKUP($D454,'Move Editor'!$B:$B,'Move Editor'!$D:$D,""),pow,XLOOKUP($D454,'Move Editor'!$B:$B,'Move Editor'!$E:$E,0),acc,XLOOKUP($D454,'Move Editor'!$B:$B,'Move Editor'!$F:$F,100),atk,IF(cat="Physical",FLOOR((FLOOR(((2*XLOOKUP(XLOOKUP($Q454,'Threshold Summary'!$Y:$Y,'Threshold Summary'!$K:$K,""),'Pokemon Editor'!$A:$A,'Pokemon Editor'!$F:$F,0)+31+FLOOR(XLOOKUP($Q454,'Threshold Summary'!$Y:$Y,'Threshold Summary'!$P:$P,"")/4))*XLOOKUP($Q454,'Threshold Summary'!$Y:$Y,'Threshold Summary'!$L:$L,""))/100)+5)*XLOOKUP(XLOOKUP($Q454,'Threshold Summary'!$Y:$Y,'Threshold Summary'!$M:$M,""),'Nature Editor'!$A:$A,'Nature Editor'!$B:$B,1)),FLOOR((FLOOR(((2*XLOOKUP(XLOOKUP($Q454,'Threshold Summary'!$Y:$Y,'Threshold Summary'!$K:$K,""),'Pokemon Editor'!$A:$A,'Pokemon Editor'!$H:$H,0)+31+FLOOR(XLOOKUP($Q454,'Threshold Summary'!$Y:$Y,'Threshold Summary'!$R:$R,"")/4))*XLOOKUP($Q454,'Threshold Summary'!$Y:$Y,'Threshold Summary'!$L:$L,""))/100)+5)*XLOOKUP(XLOOKUP($Q454,'Threshold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Editor'!$E:$E,1))),stab,IF(OR(mtype=XLOOKUP(XLOOKUP($Q454,'Threshold Summary'!$Y:$Y,'Threshold Summary'!$K:$K,""),'Pokemon Editor'!$A:$A,'Pokemon Editor'!$C:$C,""),mtype=XLOOKUP(XLOOKUP($Q454,'Threshold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Chart'!$B$1:$S$1,0)))),base,IF(OR(cat="Status",pow=0),0,FLOOR(FLOOR(FLOOR((2*XLOOKUP($Q454,'Threshold Summary'!$Y:$Y,'Threshold Summary'!$L:$L,"")/5+2)*pow*atk/def)/50)+2)),modifier,stab*eff,AVERAGE(ARRAYFORMULA(FLOOR(base*modifier*SEQUENCE(16,1,85,1)/100)))/(FLOOR(((2*XLOOKUP('Boss Editor'!$C$4,'Pokemon Editor'!$A:$A,'Pokemon Editor'!$E:$E,0)+31+FLOOR('Boss Editor'!$G$4/4))*'Boss Editor'!$D$4)/100)+'Boss Editor'!$D$4+10)),0)</f>
        <v/>
      </c>
      <c r="O454" s="3">
        <f>IF(N454&gt;=1,"OHKO",IF(N454&gt;=0.5,"2HKO",IF(N454&gt;=0.333,"3HKO",IF(N454&gt;=0.25,"4HKO","5HKO+"))))</f>
        <v/>
      </c>
      <c r="P454" s="3" t="inlineStr">
        <is>
          <t>Live from editable databases</t>
        </is>
      </c>
      <c r="Q454" s="3" t="inlineStr">
        <is>
          <t>SPECIES_SEWADDLE</t>
        </is>
      </c>
      <c r="R454" s="3" t="n">
        <v>5</v>
      </c>
    </row>
    <row r="455">
      <c r="A455" s="3">
        <f>XLOOKUP($Q455,'Threshold Summary'!$Y:$Y,'Threshold Summary'!$A:$A,"")</f>
        <v/>
      </c>
      <c r="B455" s="3">
        <f>XLOOKUP($Q455,'Threshold Summary'!$Y:$Y,'Threshold Summary'!$M:$M,"")</f>
        <v/>
      </c>
      <c r="C455" s="3">
        <f>XLOOKUP($Q455,'Threshold Summary'!$Y:$Y,'Threshold Summary'!$N:$N,"")</f>
        <v/>
      </c>
      <c r="D455" s="3">
        <f>IFERROR(INDEX(FILTER('Learnset Editor'!$D$2:$D,'Learnset Editor'!$A$2:$A=XLOOKUP($Q455,'Threshold Summary'!$Y:$Y,'Threshold Summary'!$K:$K,""),'Learnset Editor'!$C$2:$C&lt;=XLOOKUP($Q455,'Threshold Summary'!$Y:$Y,'Threshold Summary'!$L:$L,"")),$R455),"")</f>
        <v/>
      </c>
      <c r="E455" s="3">
        <f>XLOOKUP(D455,'Move Editor'!$B:$B,'Move Editor'!$C:$C,"")</f>
        <v/>
      </c>
      <c r="F455" s="3">
        <f>XLOOKUP(D455,'Move Editor'!$B:$B,'Move Editor'!$D:$D,"")</f>
        <v/>
      </c>
      <c r="G455" s="3">
        <f>XLOOKUP(D455,'Move Editor'!$B:$B,'Move Editor'!$E:$E,0)</f>
        <v/>
      </c>
      <c r="H455" s="3">
        <f>XLOOKUP(D455,'Move Editor'!$B:$B,'Move Editor'!$F:$F,0)</f>
        <v/>
      </c>
      <c r="I455" s="3">
        <f>(INDEX('Type Chart'!$B:$S,MATCH(E455,'Type Chart'!$A:$A,0),MATCH(XLOOKUP('Boss Editor'!$C$4,'Pokemon Editor'!$A:$A,'Pokemon Editor'!$C:$C,""),'Type Chart'!$B$1:$S$1,0))*IF(XLOOKUP('Boss Editor'!$C$4,'Pokemon Editor'!$A:$A,'Pokemon Editor'!$D:$D,"")="",1,INDEX('Type Chart'!$B:$S,MATCH(E455,'Type Chart'!$A:$A,0),MATCH(XLOOKUP('Boss Editor'!$C$4,'Pokemon Editor'!$A:$A,'Pokemon Editor'!$D:$D,""),'Type Chart'!$B$1:$S$1,0))))</f>
        <v/>
      </c>
      <c r="J455" s="3">
        <f>IFERROR(LET(mtype,XLOOKUP($D455,'Move Editor'!$B:$B,'Move Editor'!$C:$C,""),cat,XLOOKUP($D455,'Move Editor'!$B:$B,'Move Editor'!$D:$D,""),pow,XLOOKUP($D455,'Move Editor'!$B:$B,'Move Editor'!$E:$E,0),acc,XLOOKUP($D455,'Move Editor'!$B:$B,'Move Editor'!$F:$F,100),atk,IF(cat="Physical",FLOOR((FLOOR(((2*XLOOKUP(XLOOKUP($Q455,'Threshold Summary'!$Y:$Y,'Threshold Summary'!$K:$K,""),'Pokemon Editor'!$A:$A,'Pokemon Editor'!$F:$F,0)+31+FLOOR(XLOOKUP($Q455,'Threshold Summary'!$Y:$Y,'Threshold Summary'!$P:$P,"")/4))*XLOOKUP($Q455,'Threshold Summary'!$Y:$Y,'Threshold Summary'!$L:$L,""))/100)+5)*XLOOKUP(XLOOKUP($Q455,'Threshold Summary'!$Y:$Y,'Threshold Summary'!$M:$M,""),'Nature Editor'!$A:$A,'Nature Editor'!$B:$B,1)),FLOOR((FLOOR(((2*XLOOKUP(XLOOKUP($Q455,'Threshold Summary'!$Y:$Y,'Threshold Summary'!$K:$K,""),'Pokemon Editor'!$A:$A,'Pokemon Editor'!$H:$H,0)+31+FLOOR(XLOOKUP($Q455,'Threshold Summary'!$Y:$Y,'Threshold Summary'!$R:$R,"")/4))*XLOOKUP($Q455,'Threshold Summary'!$Y:$Y,'Threshold Summary'!$L:$L,""))/100)+5)*XLOOKUP(XLOOKUP($Q455,'Threshold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Editor'!$E:$E,1))),stab,IF(OR(mtype=XLOOKUP(XLOOKUP($Q455,'Threshold Summary'!$Y:$Y,'Threshold Summary'!$K:$K,""),'Pokemon Editor'!$A:$A,'Pokemon Editor'!$C:$C,""),mtype=XLOOKUP(XLOOKUP($Q455,'Threshold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Chart'!$B$1:$S$1,0)))),base,IF(OR(cat="Status",pow=0),0,FLOOR(FLOOR(FLOOR((2*XLOOKUP($Q455,'Threshold Summary'!$Y:$Y,'Threshold Summary'!$L:$L,"")/5+2)*pow*atk/def)/50)+2)),modifier,stab*eff,FLOOR(base*modifier*0.85)),0)</f>
        <v/>
      </c>
      <c r="K455" s="3">
        <f>IFERROR(LET(mtype,XLOOKUP($D455,'Move Editor'!$B:$B,'Move Editor'!$C:$C,""),cat,XLOOKUP($D455,'Move Editor'!$B:$B,'Move Editor'!$D:$D,""),pow,XLOOKUP($D455,'Move Editor'!$B:$B,'Move Editor'!$E:$E,0),acc,XLOOKUP($D455,'Move Editor'!$B:$B,'Move Editor'!$F:$F,100),atk,IF(cat="Physical",FLOOR((FLOOR(((2*XLOOKUP(XLOOKUP($Q455,'Threshold Summary'!$Y:$Y,'Threshold Summary'!$K:$K,""),'Pokemon Editor'!$A:$A,'Pokemon Editor'!$F:$F,0)+31+FLOOR(XLOOKUP($Q455,'Threshold Summary'!$Y:$Y,'Threshold Summary'!$P:$P,"")/4))*XLOOKUP($Q455,'Threshold Summary'!$Y:$Y,'Threshold Summary'!$L:$L,""))/100)+5)*XLOOKUP(XLOOKUP($Q455,'Threshold Summary'!$Y:$Y,'Threshold Summary'!$M:$M,""),'Nature Editor'!$A:$A,'Nature Editor'!$B:$B,1)),FLOOR((FLOOR(((2*XLOOKUP(XLOOKUP($Q455,'Threshold Summary'!$Y:$Y,'Threshold Summary'!$K:$K,""),'Pokemon Editor'!$A:$A,'Pokemon Editor'!$H:$H,0)+31+FLOOR(XLOOKUP($Q455,'Threshold Summary'!$Y:$Y,'Threshold Summary'!$R:$R,"")/4))*XLOOKUP($Q455,'Threshold Summary'!$Y:$Y,'Threshold Summary'!$L:$L,""))/100)+5)*XLOOKUP(XLOOKUP($Q455,'Threshold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Editor'!$E:$E,1))),stab,IF(OR(mtype=XLOOKUP(XLOOKUP($Q455,'Threshold Summary'!$Y:$Y,'Threshold Summary'!$K:$K,""),'Pokemon Editor'!$A:$A,'Pokemon Editor'!$C:$C,""),mtype=XLOOKUP(XLOOKUP($Q455,'Threshold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Chart'!$B$1:$S$1,0)))),base,IF(OR(cat="Status",pow=0),0,FLOOR(FLOOR(FLOOR((2*XLOOKUP($Q455,'Threshold Summary'!$Y:$Y,'Threshold Summary'!$L:$L,"")/5+2)*pow*atk/def)/50)+2)),modifier,stab*eff,FLOOR(base*modifier)),0)</f>
        <v/>
      </c>
      <c r="L455" s="3">
        <f>IFERROR(LET(mtype,XLOOKUP($D455,'Move Editor'!$B:$B,'Move Editor'!$C:$C,""),cat,XLOOKUP($D455,'Move Editor'!$B:$B,'Move Editor'!$D:$D,""),pow,XLOOKUP($D455,'Move Editor'!$B:$B,'Move Editor'!$E:$E,0),acc,XLOOKUP($D455,'Move Editor'!$B:$B,'Move Editor'!$F:$F,100),atk,IF(cat="Physical",FLOOR((FLOOR(((2*XLOOKUP(XLOOKUP($Q455,'Threshold Summary'!$Y:$Y,'Threshold Summary'!$K:$K,""),'Pokemon Editor'!$A:$A,'Pokemon Editor'!$F:$F,0)+31+FLOOR(XLOOKUP($Q455,'Threshold Summary'!$Y:$Y,'Threshold Summary'!$P:$P,"")/4))*XLOOKUP($Q455,'Threshold Summary'!$Y:$Y,'Threshold Summary'!$L:$L,""))/100)+5)*XLOOKUP(XLOOKUP($Q455,'Threshold Summary'!$Y:$Y,'Threshold Summary'!$M:$M,""),'Nature Editor'!$A:$A,'Nature Editor'!$B:$B,1)),FLOOR((FLOOR(((2*XLOOKUP(XLOOKUP($Q455,'Threshold Summary'!$Y:$Y,'Threshold Summary'!$K:$K,""),'Pokemon Editor'!$A:$A,'Pokemon Editor'!$H:$H,0)+31+FLOOR(XLOOKUP($Q455,'Threshold Summary'!$Y:$Y,'Threshold Summary'!$R:$R,"")/4))*XLOOKUP($Q455,'Threshold Summary'!$Y:$Y,'Threshold Summary'!$L:$L,""))/100)+5)*XLOOKUP(XLOOKUP($Q455,'Threshold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Editor'!$E:$E,1))),stab,IF(OR(mtype=XLOOKUP(XLOOKUP($Q455,'Threshold Summary'!$Y:$Y,'Threshold Summary'!$K:$K,""),'Pokemon Editor'!$A:$A,'Pokemon Editor'!$C:$C,""),mtype=XLOOKUP(XLOOKUP($Q455,'Threshold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Chart'!$B$1:$S$1,0)))),base,IF(OR(cat="Status",pow=0),0,FLOOR(FLOOR(FLOOR((2*XLOOKUP($Q455,'Threshold Summary'!$Y:$Y,'Threshold Summary'!$L:$L,"")/5+2)*pow*atk/def)/50)+2)),modifier,stab*eff,AVERAGE(ARRAYFORMULA(FLOOR(base*modifier*SEQUENCE(16,1,85,1)/100)))),0)</f>
        <v/>
      </c>
      <c r="M455" s="3">
        <f>IFERROR(LET(mtype,XLOOKUP($D455,'Move Editor'!$B:$B,'Move Editor'!$C:$C,""),cat,XLOOKUP($D455,'Move Editor'!$B:$B,'Move Editor'!$D:$D,""),pow,XLOOKUP($D455,'Move Editor'!$B:$B,'Move Editor'!$E:$E,0),acc,XLOOKUP($D455,'Move Editor'!$B:$B,'Move Editor'!$F:$F,100),atk,IF(cat="Physical",FLOOR((FLOOR(((2*XLOOKUP(XLOOKUP($Q455,'Threshold Summary'!$Y:$Y,'Threshold Summary'!$K:$K,""),'Pokemon Editor'!$A:$A,'Pokemon Editor'!$F:$F,0)+31+FLOOR(XLOOKUP($Q455,'Threshold Summary'!$Y:$Y,'Threshold Summary'!$P:$P,"")/4))*XLOOKUP($Q455,'Threshold Summary'!$Y:$Y,'Threshold Summary'!$L:$L,""))/100)+5)*XLOOKUP(XLOOKUP($Q455,'Threshold Summary'!$Y:$Y,'Threshold Summary'!$M:$M,""),'Nature Editor'!$A:$A,'Nature Editor'!$B:$B,1)),FLOOR((FLOOR(((2*XLOOKUP(XLOOKUP($Q455,'Threshold Summary'!$Y:$Y,'Threshold Summary'!$K:$K,""),'Pokemon Editor'!$A:$A,'Pokemon Editor'!$H:$H,0)+31+FLOOR(XLOOKUP($Q455,'Threshold Summary'!$Y:$Y,'Threshold Summary'!$R:$R,"")/4))*XLOOKUP($Q455,'Threshold Summary'!$Y:$Y,'Threshold Summary'!$L:$L,""))/100)+5)*XLOOKUP(XLOOKUP($Q455,'Threshold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Editor'!$E:$E,1))),stab,IF(OR(mtype=XLOOKUP(XLOOKUP($Q455,'Threshold Summary'!$Y:$Y,'Threshold Summary'!$K:$K,""),'Pokemon Editor'!$A:$A,'Pokemon Editor'!$C:$C,""),mtype=XLOOKUP(XLOOKUP($Q455,'Threshold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Chart'!$B$1:$S$1,0)))),base,IF(OR(cat="Status",pow=0),0,FLOOR(FLOOR(FLOOR((2*XLOOKUP($Q455,'Threshold Summary'!$Y:$Y,'Threshold Summary'!$L:$L,"")/5+2)*pow*atk/def)/50)+2)),modifier,stab*eff,AVERAGE(ARRAYFORMULA(FLOOR(base*modifier*SEQUENCE(16,1,85,1)/100)))*MIN(1,acc/100)),0)</f>
        <v/>
      </c>
      <c r="N455" s="4">
        <f>IFERROR(LET(mtype,XLOOKUP($D455,'Move Editor'!$B:$B,'Move Editor'!$C:$C,""),cat,XLOOKUP($D455,'Move Editor'!$B:$B,'Move Editor'!$D:$D,""),pow,XLOOKUP($D455,'Move Editor'!$B:$B,'Move Editor'!$E:$E,0),acc,XLOOKUP($D455,'Move Editor'!$B:$B,'Move Editor'!$F:$F,100),atk,IF(cat="Physical",FLOOR((FLOOR(((2*XLOOKUP(XLOOKUP($Q455,'Threshold Summary'!$Y:$Y,'Threshold Summary'!$K:$K,""),'Pokemon Editor'!$A:$A,'Pokemon Editor'!$F:$F,0)+31+FLOOR(XLOOKUP($Q455,'Threshold Summary'!$Y:$Y,'Threshold Summary'!$P:$P,"")/4))*XLOOKUP($Q455,'Threshold Summary'!$Y:$Y,'Threshold Summary'!$L:$L,""))/100)+5)*XLOOKUP(XLOOKUP($Q455,'Threshold Summary'!$Y:$Y,'Threshold Summary'!$M:$M,""),'Nature Editor'!$A:$A,'Nature Editor'!$B:$B,1)),FLOOR((FLOOR(((2*XLOOKUP(XLOOKUP($Q455,'Threshold Summary'!$Y:$Y,'Threshold Summary'!$K:$K,""),'Pokemon Editor'!$A:$A,'Pokemon Editor'!$H:$H,0)+31+FLOOR(XLOOKUP($Q455,'Threshold Summary'!$Y:$Y,'Threshold Summary'!$R:$R,"")/4))*XLOOKUP($Q455,'Threshold Summary'!$Y:$Y,'Threshold Summary'!$L:$L,""))/100)+5)*XLOOKUP(XLOOKUP($Q455,'Threshold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Editor'!$E:$E,1))),stab,IF(OR(mtype=XLOOKUP(XLOOKUP($Q455,'Threshold Summary'!$Y:$Y,'Threshold Summary'!$K:$K,""),'Pokemon Editor'!$A:$A,'Pokemon Editor'!$C:$C,""),mtype=XLOOKUP(XLOOKUP($Q455,'Threshold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Chart'!$B$1:$S$1,0)))),base,IF(OR(cat="Status",pow=0),0,FLOOR(FLOOR(FLOOR((2*XLOOKUP($Q455,'Threshold Summary'!$Y:$Y,'Threshold Summary'!$L:$L,"")/5+2)*pow*atk/def)/50)+2)),modifier,stab*eff,AVERAGE(ARRAYFORMULA(FLOOR(base*modifier*SEQUENCE(16,1,85,1)/100)))/(FLOOR(((2*XLOOKUP('Boss Editor'!$C$4,'Pokemon Editor'!$A:$A,'Pokemon Editor'!$E:$E,0)+31+FLOOR('Boss Editor'!$G$4/4))*'Boss Editor'!$D$4)/100)+'Boss Editor'!$D$4+10)),0)</f>
        <v/>
      </c>
      <c r="O455" s="3">
        <f>IF(N455&gt;=1,"OHKO",IF(N455&gt;=0.5,"2HKO",IF(N455&gt;=0.333,"3HKO",IF(N455&gt;=0.25,"4HKO","5HKO+"))))</f>
        <v/>
      </c>
      <c r="P455" s="3" t="inlineStr">
        <is>
          <t>Live from editable databases</t>
        </is>
      </c>
      <c r="Q455" s="3" t="inlineStr">
        <is>
          <t>SPECIES_SEWADDLE</t>
        </is>
      </c>
      <c r="R455" s="3" t="n">
        <v>6</v>
      </c>
    </row>
    <row r="456">
      <c r="A456" s="3">
        <f>XLOOKUP($Q456,'Threshold Summary'!$Y:$Y,'Threshold Summary'!$A:$A,"")</f>
        <v/>
      </c>
      <c r="B456" s="3">
        <f>XLOOKUP($Q456,'Threshold Summary'!$Y:$Y,'Threshold Summary'!$M:$M,"")</f>
        <v/>
      </c>
      <c r="C456" s="3">
        <f>XLOOKUP($Q456,'Threshold Summary'!$Y:$Y,'Threshold Summary'!$N:$N,"")</f>
        <v/>
      </c>
      <c r="D456" s="3">
        <f>IFERROR(INDEX(FILTER('Learnset Editor'!$D$2:$D,'Learnset Editor'!$A$2:$A=XLOOKUP($Q456,'Threshold Summary'!$Y:$Y,'Threshold Summary'!$K:$K,""),'Learnset Editor'!$C$2:$C&lt;=XLOOKUP($Q456,'Threshold Summary'!$Y:$Y,'Threshold Summary'!$L:$L,"")),$R456),"")</f>
        <v/>
      </c>
      <c r="E456" s="3">
        <f>XLOOKUP(D456,'Move Editor'!$B:$B,'Move Editor'!$C:$C,"")</f>
        <v/>
      </c>
      <c r="F456" s="3">
        <f>XLOOKUP(D456,'Move Editor'!$B:$B,'Move Editor'!$D:$D,"")</f>
        <v/>
      </c>
      <c r="G456" s="3">
        <f>XLOOKUP(D456,'Move Editor'!$B:$B,'Move Editor'!$E:$E,0)</f>
        <v/>
      </c>
      <c r="H456" s="3">
        <f>XLOOKUP(D456,'Move Editor'!$B:$B,'Move Editor'!$F:$F,0)</f>
        <v/>
      </c>
      <c r="I456" s="3">
        <f>(INDEX('Type Chart'!$B:$S,MATCH(E456,'Type Chart'!$A:$A,0),MATCH(XLOOKUP('Boss Editor'!$C$4,'Pokemon Editor'!$A:$A,'Pokemon Editor'!$C:$C,""),'Type Chart'!$B$1:$S$1,0))*IF(XLOOKUP('Boss Editor'!$C$4,'Pokemon Editor'!$A:$A,'Pokemon Editor'!$D:$D,"")="",1,INDEX('Type Chart'!$B:$S,MATCH(E456,'Type Chart'!$A:$A,0),MATCH(XLOOKUP('Boss Editor'!$C$4,'Pokemon Editor'!$A:$A,'Pokemon Editor'!$D:$D,""),'Type Chart'!$B$1:$S$1,0))))</f>
        <v/>
      </c>
      <c r="J456" s="3">
        <f>IFERROR(LET(mtype,XLOOKUP($D456,'Move Editor'!$B:$B,'Move Editor'!$C:$C,""),cat,XLOOKUP($D456,'Move Editor'!$B:$B,'Move Editor'!$D:$D,""),pow,XLOOKUP($D456,'Move Editor'!$B:$B,'Move Editor'!$E:$E,0),acc,XLOOKUP($D456,'Move Editor'!$B:$B,'Move Editor'!$F:$F,100),atk,IF(cat="Physical",FLOOR((FLOOR(((2*XLOOKUP(XLOOKUP($Q456,'Threshold Summary'!$Y:$Y,'Threshold Summary'!$K:$K,""),'Pokemon Editor'!$A:$A,'Pokemon Editor'!$F:$F,0)+31+FLOOR(XLOOKUP($Q456,'Threshold Summary'!$Y:$Y,'Threshold Summary'!$P:$P,"")/4))*XLOOKUP($Q456,'Threshold Summary'!$Y:$Y,'Threshold Summary'!$L:$L,""))/100)+5)*XLOOKUP(XLOOKUP($Q456,'Threshold Summary'!$Y:$Y,'Threshold Summary'!$M:$M,""),'Nature Editor'!$A:$A,'Nature Editor'!$B:$B,1)),FLOOR((FLOOR(((2*XLOOKUP(XLOOKUP($Q456,'Threshold Summary'!$Y:$Y,'Threshold Summary'!$K:$K,""),'Pokemon Editor'!$A:$A,'Pokemon Editor'!$H:$H,0)+31+FLOOR(XLOOKUP($Q456,'Threshold Summary'!$Y:$Y,'Threshold Summary'!$R:$R,"")/4))*XLOOKUP($Q456,'Threshold Summary'!$Y:$Y,'Threshold Summary'!$L:$L,""))/100)+5)*XLOOKUP(XLOOKUP($Q456,'Threshold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Editor'!$E:$E,1))),stab,IF(OR(mtype=XLOOKUP(XLOOKUP($Q456,'Threshold Summary'!$Y:$Y,'Threshold Summary'!$K:$K,""),'Pokemon Editor'!$A:$A,'Pokemon Editor'!$C:$C,""),mtype=XLOOKUP(XLOOKUP($Q456,'Threshold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Chart'!$B$1:$S$1,0)))),base,IF(OR(cat="Status",pow=0),0,FLOOR(FLOOR(FLOOR((2*XLOOKUP($Q456,'Threshold Summary'!$Y:$Y,'Threshold Summary'!$L:$L,"")/5+2)*pow*atk/def)/50)+2)),modifier,stab*eff,FLOOR(base*modifier*0.85)),0)</f>
        <v/>
      </c>
      <c r="K456" s="3">
        <f>IFERROR(LET(mtype,XLOOKUP($D456,'Move Editor'!$B:$B,'Move Editor'!$C:$C,""),cat,XLOOKUP($D456,'Move Editor'!$B:$B,'Move Editor'!$D:$D,""),pow,XLOOKUP($D456,'Move Editor'!$B:$B,'Move Editor'!$E:$E,0),acc,XLOOKUP($D456,'Move Editor'!$B:$B,'Move Editor'!$F:$F,100),atk,IF(cat="Physical",FLOOR((FLOOR(((2*XLOOKUP(XLOOKUP($Q456,'Threshold Summary'!$Y:$Y,'Threshold Summary'!$K:$K,""),'Pokemon Editor'!$A:$A,'Pokemon Editor'!$F:$F,0)+31+FLOOR(XLOOKUP($Q456,'Threshold Summary'!$Y:$Y,'Threshold Summary'!$P:$P,"")/4))*XLOOKUP($Q456,'Threshold Summary'!$Y:$Y,'Threshold Summary'!$L:$L,""))/100)+5)*XLOOKUP(XLOOKUP($Q456,'Threshold Summary'!$Y:$Y,'Threshold Summary'!$M:$M,""),'Nature Editor'!$A:$A,'Nature Editor'!$B:$B,1)),FLOOR((FLOOR(((2*XLOOKUP(XLOOKUP($Q456,'Threshold Summary'!$Y:$Y,'Threshold Summary'!$K:$K,""),'Pokemon Editor'!$A:$A,'Pokemon Editor'!$H:$H,0)+31+FLOOR(XLOOKUP($Q456,'Threshold Summary'!$Y:$Y,'Threshold Summary'!$R:$R,"")/4))*XLOOKUP($Q456,'Threshold Summary'!$Y:$Y,'Threshold Summary'!$L:$L,""))/100)+5)*XLOOKUP(XLOOKUP($Q456,'Threshold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Editor'!$E:$E,1))),stab,IF(OR(mtype=XLOOKUP(XLOOKUP($Q456,'Threshold Summary'!$Y:$Y,'Threshold Summary'!$K:$K,""),'Pokemon Editor'!$A:$A,'Pokemon Editor'!$C:$C,""),mtype=XLOOKUP(XLOOKUP($Q456,'Threshold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Chart'!$B$1:$S$1,0)))),base,IF(OR(cat="Status",pow=0),0,FLOOR(FLOOR(FLOOR((2*XLOOKUP($Q456,'Threshold Summary'!$Y:$Y,'Threshold Summary'!$L:$L,"")/5+2)*pow*atk/def)/50)+2)),modifier,stab*eff,FLOOR(base*modifier)),0)</f>
        <v/>
      </c>
      <c r="L456" s="3">
        <f>IFERROR(LET(mtype,XLOOKUP($D456,'Move Editor'!$B:$B,'Move Editor'!$C:$C,""),cat,XLOOKUP($D456,'Move Editor'!$B:$B,'Move Editor'!$D:$D,""),pow,XLOOKUP($D456,'Move Editor'!$B:$B,'Move Editor'!$E:$E,0),acc,XLOOKUP($D456,'Move Editor'!$B:$B,'Move Editor'!$F:$F,100),atk,IF(cat="Physical",FLOOR((FLOOR(((2*XLOOKUP(XLOOKUP($Q456,'Threshold Summary'!$Y:$Y,'Threshold Summary'!$K:$K,""),'Pokemon Editor'!$A:$A,'Pokemon Editor'!$F:$F,0)+31+FLOOR(XLOOKUP($Q456,'Threshold Summary'!$Y:$Y,'Threshold Summary'!$P:$P,"")/4))*XLOOKUP($Q456,'Threshold Summary'!$Y:$Y,'Threshold Summary'!$L:$L,""))/100)+5)*XLOOKUP(XLOOKUP($Q456,'Threshold Summary'!$Y:$Y,'Threshold Summary'!$M:$M,""),'Nature Editor'!$A:$A,'Nature Editor'!$B:$B,1)),FLOOR((FLOOR(((2*XLOOKUP(XLOOKUP($Q456,'Threshold Summary'!$Y:$Y,'Threshold Summary'!$K:$K,""),'Pokemon Editor'!$A:$A,'Pokemon Editor'!$H:$H,0)+31+FLOOR(XLOOKUP($Q456,'Threshold Summary'!$Y:$Y,'Threshold Summary'!$R:$R,"")/4))*XLOOKUP($Q456,'Threshold Summary'!$Y:$Y,'Threshold Summary'!$L:$L,""))/100)+5)*XLOOKUP(XLOOKUP($Q456,'Threshold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Editor'!$E:$E,1))),stab,IF(OR(mtype=XLOOKUP(XLOOKUP($Q456,'Threshold Summary'!$Y:$Y,'Threshold Summary'!$K:$K,""),'Pokemon Editor'!$A:$A,'Pokemon Editor'!$C:$C,""),mtype=XLOOKUP(XLOOKUP($Q456,'Threshold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Chart'!$B$1:$S$1,0)))),base,IF(OR(cat="Status",pow=0),0,FLOOR(FLOOR(FLOOR((2*XLOOKUP($Q456,'Threshold Summary'!$Y:$Y,'Threshold Summary'!$L:$L,"")/5+2)*pow*atk/def)/50)+2)),modifier,stab*eff,AVERAGE(ARRAYFORMULA(FLOOR(base*modifier*SEQUENCE(16,1,85,1)/100)))),0)</f>
        <v/>
      </c>
      <c r="M456" s="3">
        <f>IFERROR(LET(mtype,XLOOKUP($D456,'Move Editor'!$B:$B,'Move Editor'!$C:$C,""),cat,XLOOKUP($D456,'Move Editor'!$B:$B,'Move Editor'!$D:$D,""),pow,XLOOKUP($D456,'Move Editor'!$B:$B,'Move Editor'!$E:$E,0),acc,XLOOKUP($D456,'Move Editor'!$B:$B,'Move Editor'!$F:$F,100),atk,IF(cat="Physical",FLOOR((FLOOR(((2*XLOOKUP(XLOOKUP($Q456,'Threshold Summary'!$Y:$Y,'Threshold Summary'!$K:$K,""),'Pokemon Editor'!$A:$A,'Pokemon Editor'!$F:$F,0)+31+FLOOR(XLOOKUP($Q456,'Threshold Summary'!$Y:$Y,'Threshold Summary'!$P:$P,"")/4))*XLOOKUP($Q456,'Threshold Summary'!$Y:$Y,'Threshold Summary'!$L:$L,""))/100)+5)*XLOOKUP(XLOOKUP($Q456,'Threshold Summary'!$Y:$Y,'Threshold Summary'!$M:$M,""),'Nature Editor'!$A:$A,'Nature Editor'!$B:$B,1)),FLOOR((FLOOR(((2*XLOOKUP(XLOOKUP($Q456,'Threshold Summary'!$Y:$Y,'Threshold Summary'!$K:$K,""),'Pokemon Editor'!$A:$A,'Pokemon Editor'!$H:$H,0)+31+FLOOR(XLOOKUP($Q456,'Threshold Summary'!$Y:$Y,'Threshold Summary'!$R:$R,"")/4))*XLOOKUP($Q456,'Threshold Summary'!$Y:$Y,'Threshold Summary'!$L:$L,""))/100)+5)*XLOOKUP(XLOOKUP($Q456,'Threshold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Editor'!$E:$E,1))),stab,IF(OR(mtype=XLOOKUP(XLOOKUP($Q456,'Threshold Summary'!$Y:$Y,'Threshold Summary'!$K:$K,""),'Pokemon Editor'!$A:$A,'Pokemon Editor'!$C:$C,""),mtype=XLOOKUP(XLOOKUP($Q456,'Threshold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Chart'!$B$1:$S$1,0)))),base,IF(OR(cat="Status",pow=0),0,FLOOR(FLOOR(FLOOR((2*XLOOKUP($Q456,'Threshold Summary'!$Y:$Y,'Threshold Summary'!$L:$L,"")/5+2)*pow*atk/def)/50)+2)),modifier,stab*eff,AVERAGE(ARRAYFORMULA(FLOOR(base*modifier*SEQUENCE(16,1,85,1)/100)))*MIN(1,acc/100)),0)</f>
        <v/>
      </c>
      <c r="N456" s="4">
        <f>IFERROR(LET(mtype,XLOOKUP($D456,'Move Editor'!$B:$B,'Move Editor'!$C:$C,""),cat,XLOOKUP($D456,'Move Editor'!$B:$B,'Move Editor'!$D:$D,""),pow,XLOOKUP($D456,'Move Editor'!$B:$B,'Move Editor'!$E:$E,0),acc,XLOOKUP($D456,'Move Editor'!$B:$B,'Move Editor'!$F:$F,100),atk,IF(cat="Physical",FLOOR((FLOOR(((2*XLOOKUP(XLOOKUP($Q456,'Threshold Summary'!$Y:$Y,'Threshold Summary'!$K:$K,""),'Pokemon Editor'!$A:$A,'Pokemon Editor'!$F:$F,0)+31+FLOOR(XLOOKUP($Q456,'Threshold Summary'!$Y:$Y,'Threshold Summary'!$P:$P,"")/4))*XLOOKUP($Q456,'Threshold Summary'!$Y:$Y,'Threshold Summary'!$L:$L,""))/100)+5)*XLOOKUP(XLOOKUP($Q456,'Threshold Summary'!$Y:$Y,'Threshold Summary'!$M:$M,""),'Nature Editor'!$A:$A,'Nature Editor'!$B:$B,1)),FLOOR((FLOOR(((2*XLOOKUP(XLOOKUP($Q456,'Threshold Summary'!$Y:$Y,'Threshold Summary'!$K:$K,""),'Pokemon Editor'!$A:$A,'Pokemon Editor'!$H:$H,0)+31+FLOOR(XLOOKUP($Q456,'Threshold Summary'!$Y:$Y,'Threshold Summary'!$R:$R,"")/4))*XLOOKUP($Q456,'Threshold Summary'!$Y:$Y,'Threshold Summary'!$L:$L,""))/100)+5)*XLOOKUP(XLOOKUP($Q456,'Threshold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Editor'!$E:$E,1))),stab,IF(OR(mtype=XLOOKUP(XLOOKUP($Q456,'Threshold Summary'!$Y:$Y,'Threshold Summary'!$K:$K,""),'Pokemon Editor'!$A:$A,'Pokemon Editor'!$C:$C,""),mtype=XLOOKUP(XLOOKUP($Q456,'Threshold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Chart'!$B$1:$S$1,0)))),base,IF(OR(cat="Status",pow=0),0,FLOOR(FLOOR(FLOOR((2*XLOOKUP($Q456,'Threshold Summary'!$Y:$Y,'Threshold Summary'!$L:$L,"")/5+2)*pow*atk/def)/50)+2)),modifier,stab*eff,AVERAGE(ARRAYFORMULA(FLOOR(base*modifier*SEQUENCE(16,1,85,1)/100)))/(FLOOR(((2*XLOOKUP('Boss Editor'!$C$4,'Pokemon Editor'!$A:$A,'Pokemon Editor'!$E:$E,0)+31+FLOOR('Boss Editor'!$G$4/4))*'Boss Editor'!$D$4)/100)+'Boss Editor'!$D$4+10)),0)</f>
        <v/>
      </c>
      <c r="O456" s="3">
        <f>IF(N456&gt;=1,"OHKO",IF(N456&gt;=0.5,"2HKO",IF(N456&gt;=0.333,"3HKO",IF(N456&gt;=0.25,"4HKO","5HKO+"))))</f>
        <v/>
      </c>
      <c r="P456" s="3" t="inlineStr">
        <is>
          <t>Live from editable databases</t>
        </is>
      </c>
      <c r="Q456" s="3" t="inlineStr">
        <is>
          <t>SPECIES_SEWADDLE</t>
        </is>
      </c>
      <c r="R456" s="3" t="n">
        <v>7</v>
      </c>
    </row>
    <row r="457">
      <c r="A457" s="3">
        <f>XLOOKUP($Q457,'Threshold Summary'!$Y:$Y,'Threshold Summary'!$A:$A,"")</f>
        <v/>
      </c>
      <c r="B457" s="3">
        <f>XLOOKUP($Q457,'Threshold Summary'!$Y:$Y,'Threshold Summary'!$M:$M,"")</f>
        <v/>
      </c>
      <c r="C457" s="3">
        <f>XLOOKUP($Q457,'Threshold Summary'!$Y:$Y,'Threshold Summary'!$N:$N,"")</f>
        <v/>
      </c>
      <c r="D457" s="3">
        <f>IFERROR(INDEX(FILTER('Learnset Editor'!$D$2:$D,'Learnset Editor'!$A$2:$A=XLOOKUP($Q457,'Threshold Summary'!$Y:$Y,'Threshold Summary'!$K:$K,""),'Learnset Editor'!$C$2:$C&lt;=XLOOKUP($Q457,'Threshold Summary'!$Y:$Y,'Threshold Summary'!$L:$L,"")),$R457),"")</f>
        <v/>
      </c>
      <c r="E457" s="3">
        <f>XLOOKUP(D457,'Move Editor'!$B:$B,'Move Editor'!$C:$C,"")</f>
        <v/>
      </c>
      <c r="F457" s="3">
        <f>XLOOKUP(D457,'Move Editor'!$B:$B,'Move Editor'!$D:$D,"")</f>
        <v/>
      </c>
      <c r="G457" s="3">
        <f>XLOOKUP(D457,'Move Editor'!$B:$B,'Move Editor'!$E:$E,0)</f>
        <v/>
      </c>
      <c r="H457" s="3">
        <f>XLOOKUP(D457,'Move Editor'!$B:$B,'Move Editor'!$F:$F,0)</f>
        <v/>
      </c>
      <c r="I457" s="3">
        <f>(INDEX('Type Chart'!$B:$S,MATCH(E457,'Type Chart'!$A:$A,0),MATCH(XLOOKUP('Boss Editor'!$C$4,'Pokemon Editor'!$A:$A,'Pokemon Editor'!$C:$C,""),'Type Chart'!$B$1:$S$1,0))*IF(XLOOKUP('Boss Editor'!$C$4,'Pokemon Editor'!$A:$A,'Pokemon Editor'!$D:$D,"")="",1,INDEX('Type Chart'!$B:$S,MATCH(E457,'Type Chart'!$A:$A,0),MATCH(XLOOKUP('Boss Editor'!$C$4,'Pokemon Editor'!$A:$A,'Pokemon Editor'!$D:$D,""),'Type Chart'!$B$1:$S$1,0))))</f>
        <v/>
      </c>
      <c r="J457" s="3">
        <f>IFERROR(LET(mtype,XLOOKUP($D457,'Move Editor'!$B:$B,'Move Editor'!$C:$C,""),cat,XLOOKUP($D457,'Move Editor'!$B:$B,'Move Editor'!$D:$D,""),pow,XLOOKUP($D457,'Move Editor'!$B:$B,'Move Editor'!$E:$E,0),acc,XLOOKUP($D457,'Move Editor'!$B:$B,'Move Editor'!$F:$F,100),atk,IF(cat="Physical",FLOOR((FLOOR(((2*XLOOKUP(XLOOKUP($Q457,'Threshold Summary'!$Y:$Y,'Threshold Summary'!$K:$K,""),'Pokemon Editor'!$A:$A,'Pokemon Editor'!$F:$F,0)+31+FLOOR(XLOOKUP($Q457,'Threshold Summary'!$Y:$Y,'Threshold Summary'!$P:$P,"")/4))*XLOOKUP($Q457,'Threshold Summary'!$Y:$Y,'Threshold Summary'!$L:$L,""))/100)+5)*XLOOKUP(XLOOKUP($Q457,'Threshold Summary'!$Y:$Y,'Threshold Summary'!$M:$M,""),'Nature Editor'!$A:$A,'Nature Editor'!$B:$B,1)),FLOOR((FLOOR(((2*XLOOKUP(XLOOKUP($Q457,'Threshold Summary'!$Y:$Y,'Threshold Summary'!$K:$K,""),'Pokemon Editor'!$A:$A,'Pokemon Editor'!$H:$H,0)+31+FLOOR(XLOOKUP($Q457,'Threshold Summary'!$Y:$Y,'Threshold Summary'!$R:$R,"")/4))*XLOOKUP($Q457,'Threshold Summary'!$Y:$Y,'Threshold Summary'!$L:$L,""))/100)+5)*XLOOKUP(XLOOKUP($Q457,'Threshold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Editor'!$E:$E,1))),stab,IF(OR(mtype=XLOOKUP(XLOOKUP($Q457,'Threshold Summary'!$Y:$Y,'Threshold Summary'!$K:$K,""),'Pokemon Editor'!$A:$A,'Pokemon Editor'!$C:$C,""),mtype=XLOOKUP(XLOOKUP($Q457,'Threshold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Chart'!$B$1:$S$1,0)))),base,IF(OR(cat="Status",pow=0),0,FLOOR(FLOOR(FLOOR((2*XLOOKUP($Q457,'Threshold Summary'!$Y:$Y,'Threshold Summary'!$L:$L,"")/5+2)*pow*atk/def)/50)+2)),modifier,stab*eff,FLOOR(base*modifier*0.85)),0)</f>
        <v/>
      </c>
      <c r="K457" s="3">
        <f>IFERROR(LET(mtype,XLOOKUP($D457,'Move Editor'!$B:$B,'Move Editor'!$C:$C,""),cat,XLOOKUP($D457,'Move Editor'!$B:$B,'Move Editor'!$D:$D,""),pow,XLOOKUP($D457,'Move Editor'!$B:$B,'Move Editor'!$E:$E,0),acc,XLOOKUP($D457,'Move Editor'!$B:$B,'Move Editor'!$F:$F,100),atk,IF(cat="Physical",FLOOR((FLOOR(((2*XLOOKUP(XLOOKUP($Q457,'Threshold Summary'!$Y:$Y,'Threshold Summary'!$K:$K,""),'Pokemon Editor'!$A:$A,'Pokemon Editor'!$F:$F,0)+31+FLOOR(XLOOKUP($Q457,'Threshold Summary'!$Y:$Y,'Threshold Summary'!$P:$P,"")/4))*XLOOKUP($Q457,'Threshold Summary'!$Y:$Y,'Threshold Summary'!$L:$L,""))/100)+5)*XLOOKUP(XLOOKUP($Q457,'Threshold Summary'!$Y:$Y,'Threshold Summary'!$M:$M,""),'Nature Editor'!$A:$A,'Nature Editor'!$B:$B,1)),FLOOR((FLOOR(((2*XLOOKUP(XLOOKUP($Q457,'Threshold Summary'!$Y:$Y,'Threshold Summary'!$K:$K,""),'Pokemon Editor'!$A:$A,'Pokemon Editor'!$H:$H,0)+31+FLOOR(XLOOKUP($Q457,'Threshold Summary'!$Y:$Y,'Threshold Summary'!$R:$R,"")/4))*XLOOKUP($Q457,'Threshold Summary'!$Y:$Y,'Threshold Summary'!$L:$L,""))/100)+5)*XLOOKUP(XLOOKUP($Q457,'Threshold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Editor'!$E:$E,1))),stab,IF(OR(mtype=XLOOKUP(XLOOKUP($Q457,'Threshold Summary'!$Y:$Y,'Threshold Summary'!$K:$K,""),'Pokemon Editor'!$A:$A,'Pokemon Editor'!$C:$C,""),mtype=XLOOKUP(XLOOKUP($Q457,'Threshold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Chart'!$B$1:$S$1,0)))),base,IF(OR(cat="Status",pow=0),0,FLOOR(FLOOR(FLOOR((2*XLOOKUP($Q457,'Threshold Summary'!$Y:$Y,'Threshold Summary'!$L:$L,"")/5+2)*pow*atk/def)/50)+2)),modifier,stab*eff,FLOOR(base*modifier)),0)</f>
        <v/>
      </c>
      <c r="L457" s="3">
        <f>IFERROR(LET(mtype,XLOOKUP($D457,'Move Editor'!$B:$B,'Move Editor'!$C:$C,""),cat,XLOOKUP($D457,'Move Editor'!$B:$B,'Move Editor'!$D:$D,""),pow,XLOOKUP($D457,'Move Editor'!$B:$B,'Move Editor'!$E:$E,0),acc,XLOOKUP($D457,'Move Editor'!$B:$B,'Move Editor'!$F:$F,100),atk,IF(cat="Physical",FLOOR((FLOOR(((2*XLOOKUP(XLOOKUP($Q457,'Threshold Summary'!$Y:$Y,'Threshold Summary'!$K:$K,""),'Pokemon Editor'!$A:$A,'Pokemon Editor'!$F:$F,0)+31+FLOOR(XLOOKUP($Q457,'Threshold Summary'!$Y:$Y,'Threshold Summary'!$P:$P,"")/4))*XLOOKUP($Q457,'Threshold Summary'!$Y:$Y,'Threshold Summary'!$L:$L,""))/100)+5)*XLOOKUP(XLOOKUP($Q457,'Threshold Summary'!$Y:$Y,'Threshold Summary'!$M:$M,""),'Nature Editor'!$A:$A,'Nature Editor'!$B:$B,1)),FLOOR((FLOOR(((2*XLOOKUP(XLOOKUP($Q457,'Threshold Summary'!$Y:$Y,'Threshold Summary'!$K:$K,""),'Pokemon Editor'!$A:$A,'Pokemon Editor'!$H:$H,0)+31+FLOOR(XLOOKUP($Q457,'Threshold Summary'!$Y:$Y,'Threshold Summary'!$R:$R,"")/4))*XLOOKUP($Q457,'Threshold Summary'!$Y:$Y,'Threshold Summary'!$L:$L,""))/100)+5)*XLOOKUP(XLOOKUP($Q457,'Threshold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Editor'!$E:$E,1))),stab,IF(OR(mtype=XLOOKUP(XLOOKUP($Q457,'Threshold Summary'!$Y:$Y,'Threshold Summary'!$K:$K,""),'Pokemon Editor'!$A:$A,'Pokemon Editor'!$C:$C,""),mtype=XLOOKUP(XLOOKUP($Q457,'Threshold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Chart'!$B$1:$S$1,0)))),base,IF(OR(cat="Status",pow=0),0,FLOOR(FLOOR(FLOOR((2*XLOOKUP($Q457,'Threshold Summary'!$Y:$Y,'Threshold Summary'!$L:$L,"")/5+2)*pow*atk/def)/50)+2)),modifier,stab*eff,AVERAGE(ARRAYFORMULA(FLOOR(base*modifier*SEQUENCE(16,1,85,1)/100)))),0)</f>
        <v/>
      </c>
      <c r="M457" s="3">
        <f>IFERROR(LET(mtype,XLOOKUP($D457,'Move Editor'!$B:$B,'Move Editor'!$C:$C,""),cat,XLOOKUP($D457,'Move Editor'!$B:$B,'Move Editor'!$D:$D,""),pow,XLOOKUP($D457,'Move Editor'!$B:$B,'Move Editor'!$E:$E,0),acc,XLOOKUP($D457,'Move Editor'!$B:$B,'Move Editor'!$F:$F,100),atk,IF(cat="Physical",FLOOR((FLOOR(((2*XLOOKUP(XLOOKUP($Q457,'Threshold Summary'!$Y:$Y,'Threshold Summary'!$K:$K,""),'Pokemon Editor'!$A:$A,'Pokemon Editor'!$F:$F,0)+31+FLOOR(XLOOKUP($Q457,'Threshold Summary'!$Y:$Y,'Threshold Summary'!$P:$P,"")/4))*XLOOKUP($Q457,'Threshold Summary'!$Y:$Y,'Threshold Summary'!$L:$L,""))/100)+5)*XLOOKUP(XLOOKUP($Q457,'Threshold Summary'!$Y:$Y,'Threshold Summary'!$M:$M,""),'Nature Editor'!$A:$A,'Nature Editor'!$B:$B,1)),FLOOR((FLOOR(((2*XLOOKUP(XLOOKUP($Q457,'Threshold Summary'!$Y:$Y,'Threshold Summary'!$K:$K,""),'Pokemon Editor'!$A:$A,'Pokemon Editor'!$H:$H,0)+31+FLOOR(XLOOKUP($Q457,'Threshold Summary'!$Y:$Y,'Threshold Summary'!$R:$R,"")/4))*XLOOKUP($Q457,'Threshold Summary'!$Y:$Y,'Threshold Summary'!$L:$L,""))/100)+5)*XLOOKUP(XLOOKUP($Q457,'Threshold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Editor'!$E:$E,1))),stab,IF(OR(mtype=XLOOKUP(XLOOKUP($Q457,'Threshold Summary'!$Y:$Y,'Threshold Summary'!$K:$K,""),'Pokemon Editor'!$A:$A,'Pokemon Editor'!$C:$C,""),mtype=XLOOKUP(XLOOKUP($Q457,'Threshold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Chart'!$B$1:$S$1,0)))),base,IF(OR(cat="Status",pow=0),0,FLOOR(FLOOR(FLOOR((2*XLOOKUP($Q457,'Threshold Summary'!$Y:$Y,'Threshold Summary'!$L:$L,"")/5+2)*pow*atk/def)/50)+2)),modifier,stab*eff,AVERAGE(ARRAYFORMULA(FLOOR(base*modifier*SEQUENCE(16,1,85,1)/100)))*MIN(1,acc/100)),0)</f>
        <v/>
      </c>
      <c r="N457" s="4">
        <f>IFERROR(LET(mtype,XLOOKUP($D457,'Move Editor'!$B:$B,'Move Editor'!$C:$C,""),cat,XLOOKUP($D457,'Move Editor'!$B:$B,'Move Editor'!$D:$D,""),pow,XLOOKUP($D457,'Move Editor'!$B:$B,'Move Editor'!$E:$E,0),acc,XLOOKUP($D457,'Move Editor'!$B:$B,'Move Editor'!$F:$F,100),atk,IF(cat="Physical",FLOOR((FLOOR(((2*XLOOKUP(XLOOKUP($Q457,'Threshold Summary'!$Y:$Y,'Threshold Summary'!$K:$K,""),'Pokemon Editor'!$A:$A,'Pokemon Editor'!$F:$F,0)+31+FLOOR(XLOOKUP($Q457,'Threshold Summary'!$Y:$Y,'Threshold Summary'!$P:$P,"")/4))*XLOOKUP($Q457,'Threshold Summary'!$Y:$Y,'Threshold Summary'!$L:$L,""))/100)+5)*XLOOKUP(XLOOKUP($Q457,'Threshold Summary'!$Y:$Y,'Threshold Summary'!$M:$M,""),'Nature Editor'!$A:$A,'Nature Editor'!$B:$B,1)),FLOOR((FLOOR(((2*XLOOKUP(XLOOKUP($Q457,'Threshold Summary'!$Y:$Y,'Threshold Summary'!$K:$K,""),'Pokemon Editor'!$A:$A,'Pokemon Editor'!$H:$H,0)+31+FLOOR(XLOOKUP($Q457,'Threshold Summary'!$Y:$Y,'Threshold Summary'!$R:$R,"")/4))*XLOOKUP($Q457,'Threshold Summary'!$Y:$Y,'Threshold Summary'!$L:$L,""))/100)+5)*XLOOKUP(XLOOKUP($Q457,'Threshold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Editor'!$E:$E,1))),stab,IF(OR(mtype=XLOOKUP(XLOOKUP($Q457,'Threshold Summary'!$Y:$Y,'Threshold Summary'!$K:$K,""),'Pokemon Editor'!$A:$A,'Pokemon Editor'!$C:$C,""),mtype=XLOOKUP(XLOOKUP($Q457,'Threshold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Chart'!$B$1:$S$1,0)))),base,IF(OR(cat="Status",pow=0),0,FLOOR(FLOOR(FLOOR((2*XLOOKUP($Q457,'Threshold Summary'!$Y:$Y,'Threshold Summary'!$L:$L,"")/5+2)*pow*atk/def)/50)+2)),modifier,stab*eff,AVERAGE(ARRAYFORMULA(FLOOR(base*modifier*SEQUENCE(16,1,85,1)/100)))/(FLOOR(((2*XLOOKUP('Boss Editor'!$C$4,'Pokemon Editor'!$A:$A,'Pokemon Editor'!$E:$E,0)+31+FLOOR('Boss Editor'!$G$4/4))*'Boss Editor'!$D$4)/100)+'Boss Editor'!$D$4+10)),0)</f>
        <v/>
      </c>
      <c r="O457" s="3">
        <f>IF(N457&gt;=1,"OHKO",IF(N457&gt;=0.5,"2HKO",IF(N457&gt;=0.333,"3HKO",IF(N457&gt;=0.25,"4HKO","5HKO+"))))</f>
        <v/>
      </c>
      <c r="P457" s="3" t="inlineStr">
        <is>
          <t>Live from editable databases</t>
        </is>
      </c>
      <c r="Q457" s="3" t="inlineStr">
        <is>
          <t>SPECIES_SEWADDLE</t>
        </is>
      </c>
      <c r="R457" s="3" t="n">
        <v>8</v>
      </c>
    </row>
    <row r="458">
      <c r="A458" s="3">
        <f>XLOOKUP($Q458,'Threshold Summary'!$Y:$Y,'Threshold Summary'!$A:$A,"")</f>
        <v/>
      </c>
      <c r="B458" s="3">
        <f>XLOOKUP($Q458,'Threshold Summary'!$Y:$Y,'Threshold Summary'!$M:$M,"")</f>
        <v/>
      </c>
      <c r="C458" s="3">
        <f>XLOOKUP($Q458,'Threshold Summary'!$Y:$Y,'Threshold Summary'!$N:$N,"")</f>
        <v/>
      </c>
      <c r="D458" s="3">
        <f>IFERROR(INDEX(FILTER('Learnset Editor'!$D$2:$D,'Learnset Editor'!$A$2:$A=XLOOKUP($Q458,'Threshold Summary'!$Y:$Y,'Threshold Summary'!$K:$K,""),'Learnset Editor'!$C$2:$C&lt;=XLOOKUP($Q458,'Threshold Summary'!$Y:$Y,'Threshold Summary'!$L:$L,"")),$R458),"")</f>
        <v/>
      </c>
      <c r="E458" s="3">
        <f>XLOOKUP(D458,'Move Editor'!$B:$B,'Move Editor'!$C:$C,"")</f>
        <v/>
      </c>
      <c r="F458" s="3">
        <f>XLOOKUP(D458,'Move Editor'!$B:$B,'Move Editor'!$D:$D,"")</f>
        <v/>
      </c>
      <c r="G458" s="3">
        <f>XLOOKUP(D458,'Move Editor'!$B:$B,'Move Editor'!$E:$E,0)</f>
        <v/>
      </c>
      <c r="H458" s="3">
        <f>XLOOKUP(D458,'Move Editor'!$B:$B,'Move Editor'!$F:$F,0)</f>
        <v/>
      </c>
      <c r="I458" s="3">
        <f>(INDEX('Type Chart'!$B:$S,MATCH(E458,'Type Chart'!$A:$A,0),MATCH(XLOOKUP('Boss Editor'!$C$4,'Pokemon Editor'!$A:$A,'Pokemon Editor'!$C:$C,""),'Type Chart'!$B$1:$S$1,0))*IF(XLOOKUP('Boss Editor'!$C$4,'Pokemon Editor'!$A:$A,'Pokemon Editor'!$D:$D,"")="",1,INDEX('Type Chart'!$B:$S,MATCH(E458,'Type Chart'!$A:$A,0),MATCH(XLOOKUP('Boss Editor'!$C$4,'Pokemon Editor'!$A:$A,'Pokemon Editor'!$D:$D,""),'Type Chart'!$B$1:$S$1,0))))</f>
        <v/>
      </c>
      <c r="J458" s="3">
        <f>IFERROR(LET(mtype,XLOOKUP($D458,'Move Editor'!$B:$B,'Move Editor'!$C:$C,""),cat,XLOOKUP($D458,'Move Editor'!$B:$B,'Move Editor'!$D:$D,""),pow,XLOOKUP($D458,'Move Editor'!$B:$B,'Move Editor'!$E:$E,0),acc,XLOOKUP($D458,'Move Editor'!$B:$B,'Move Editor'!$F:$F,100),atk,IF(cat="Physical",FLOOR((FLOOR(((2*XLOOKUP(XLOOKUP($Q458,'Threshold Summary'!$Y:$Y,'Threshold Summary'!$K:$K,""),'Pokemon Editor'!$A:$A,'Pokemon Editor'!$F:$F,0)+31+FLOOR(XLOOKUP($Q458,'Threshold Summary'!$Y:$Y,'Threshold Summary'!$P:$P,"")/4))*XLOOKUP($Q458,'Threshold Summary'!$Y:$Y,'Threshold Summary'!$L:$L,""))/100)+5)*XLOOKUP(XLOOKUP($Q458,'Threshold Summary'!$Y:$Y,'Threshold Summary'!$M:$M,""),'Nature Editor'!$A:$A,'Nature Editor'!$B:$B,1)),FLOOR((FLOOR(((2*XLOOKUP(XLOOKUP($Q458,'Threshold Summary'!$Y:$Y,'Threshold Summary'!$K:$K,""),'Pokemon Editor'!$A:$A,'Pokemon Editor'!$H:$H,0)+31+FLOOR(XLOOKUP($Q458,'Threshold Summary'!$Y:$Y,'Threshold Summary'!$R:$R,"")/4))*XLOOKUP($Q458,'Threshold Summary'!$Y:$Y,'Threshold Summary'!$L:$L,""))/100)+5)*XLOOKUP(XLOOKUP($Q458,'Threshold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Editor'!$E:$E,1))),stab,IF(OR(mtype=XLOOKUP(XLOOKUP($Q458,'Threshold Summary'!$Y:$Y,'Threshold Summary'!$K:$K,""),'Pokemon Editor'!$A:$A,'Pokemon Editor'!$C:$C,""),mtype=XLOOKUP(XLOOKUP($Q458,'Threshold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Chart'!$B$1:$S$1,0)))),base,IF(OR(cat="Status",pow=0),0,FLOOR(FLOOR(FLOOR((2*XLOOKUP($Q458,'Threshold Summary'!$Y:$Y,'Threshold Summary'!$L:$L,"")/5+2)*pow*atk/def)/50)+2)),modifier,stab*eff,FLOOR(base*modifier*0.85)),0)</f>
        <v/>
      </c>
      <c r="K458" s="3">
        <f>IFERROR(LET(mtype,XLOOKUP($D458,'Move Editor'!$B:$B,'Move Editor'!$C:$C,""),cat,XLOOKUP($D458,'Move Editor'!$B:$B,'Move Editor'!$D:$D,""),pow,XLOOKUP($D458,'Move Editor'!$B:$B,'Move Editor'!$E:$E,0),acc,XLOOKUP($D458,'Move Editor'!$B:$B,'Move Editor'!$F:$F,100),atk,IF(cat="Physical",FLOOR((FLOOR(((2*XLOOKUP(XLOOKUP($Q458,'Threshold Summary'!$Y:$Y,'Threshold Summary'!$K:$K,""),'Pokemon Editor'!$A:$A,'Pokemon Editor'!$F:$F,0)+31+FLOOR(XLOOKUP($Q458,'Threshold Summary'!$Y:$Y,'Threshold Summary'!$P:$P,"")/4))*XLOOKUP($Q458,'Threshold Summary'!$Y:$Y,'Threshold Summary'!$L:$L,""))/100)+5)*XLOOKUP(XLOOKUP($Q458,'Threshold Summary'!$Y:$Y,'Threshold Summary'!$M:$M,""),'Nature Editor'!$A:$A,'Nature Editor'!$B:$B,1)),FLOOR((FLOOR(((2*XLOOKUP(XLOOKUP($Q458,'Threshold Summary'!$Y:$Y,'Threshold Summary'!$K:$K,""),'Pokemon Editor'!$A:$A,'Pokemon Editor'!$H:$H,0)+31+FLOOR(XLOOKUP($Q458,'Threshold Summary'!$Y:$Y,'Threshold Summary'!$R:$R,"")/4))*XLOOKUP($Q458,'Threshold Summary'!$Y:$Y,'Threshold Summary'!$L:$L,""))/100)+5)*XLOOKUP(XLOOKUP($Q458,'Threshold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Editor'!$E:$E,1))),stab,IF(OR(mtype=XLOOKUP(XLOOKUP($Q458,'Threshold Summary'!$Y:$Y,'Threshold Summary'!$K:$K,""),'Pokemon Editor'!$A:$A,'Pokemon Editor'!$C:$C,""),mtype=XLOOKUP(XLOOKUP($Q458,'Threshold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Chart'!$B$1:$S$1,0)))),base,IF(OR(cat="Status",pow=0),0,FLOOR(FLOOR(FLOOR((2*XLOOKUP($Q458,'Threshold Summary'!$Y:$Y,'Threshold Summary'!$L:$L,"")/5+2)*pow*atk/def)/50)+2)),modifier,stab*eff,FLOOR(base*modifier)),0)</f>
        <v/>
      </c>
      <c r="L458" s="3">
        <f>IFERROR(LET(mtype,XLOOKUP($D458,'Move Editor'!$B:$B,'Move Editor'!$C:$C,""),cat,XLOOKUP($D458,'Move Editor'!$B:$B,'Move Editor'!$D:$D,""),pow,XLOOKUP($D458,'Move Editor'!$B:$B,'Move Editor'!$E:$E,0),acc,XLOOKUP($D458,'Move Editor'!$B:$B,'Move Editor'!$F:$F,100),atk,IF(cat="Physical",FLOOR((FLOOR(((2*XLOOKUP(XLOOKUP($Q458,'Threshold Summary'!$Y:$Y,'Threshold Summary'!$K:$K,""),'Pokemon Editor'!$A:$A,'Pokemon Editor'!$F:$F,0)+31+FLOOR(XLOOKUP($Q458,'Threshold Summary'!$Y:$Y,'Threshold Summary'!$P:$P,"")/4))*XLOOKUP($Q458,'Threshold Summary'!$Y:$Y,'Threshold Summary'!$L:$L,""))/100)+5)*XLOOKUP(XLOOKUP($Q458,'Threshold Summary'!$Y:$Y,'Threshold Summary'!$M:$M,""),'Nature Editor'!$A:$A,'Nature Editor'!$B:$B,1)),FLOOR((FLOOR(((2*XLOOKUP(XLOOKUP($Q458,'Threshold Summary'!$Y:$Y,'Threshold Summary'!$K:$K,""),'Pokemon Editor'!$A:$A,'Pokemon Editor'!$H:$H,0)+31+FLOOR(XLOOKUP($Q458,'Threshold Summary'!$Y:$Y,'Threshold Summary'!$R:$R,"")/4))*XLOOKUP($Q458,'Threshold Summary'!$Y:$Y,'Threshold Summary'!$L:$L,""))/100)+5)*XLOOKUP(XLOOKUP($Q458,'Threshold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Editor'!$E:$E,1))),stab,IF(OR(mtype=XLOOKUP(XLOOKUP($Q458,'Threshold Summary'!$Y:$Y,'Threshold Summary'!$K:$K,""),'Pokemon Editor'!$A:$A,'Pokemon Editor'!$C:$C,""),mtype=XLOOKUP(XLOOKUP($Q458,'Threshold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Chart'!$B$1:$S$1,0)))),base,IF(OR(cat="Status",pow=0),0,FLOOR(FLOOR(FLOOR((2*XLOOKUP($Q458,'Threshold Summary'!$Y:$Y,'Threshold Summary'!$L:$L,"")/5+2)*pow*atk/def)/50)+2)),modifier,stab*eff,AVERAGE(ARRAYFORMULA(FLOOR(base*modifier*SEQUENCE(16,1,85,1)/100)))),0)</f>
        <v/>
      </c>
      <c r="M458" s="3">
        <f>IFERROR(LET(mtype,XLOOKUP($D458,'Move Editor'!$B:$B,'Move Editor'!$C:$C,""),cat,XLOOKUP($D458,'Move Editor'!$B:$B,'Move Editor'!$D:$D,""),pow,XLOOKUP($D458,'Move Editor'!$B:$B,'Move Editor'!$E:$E,0),acc,XLOOKUP($D458,'Move Editor'!$B:$B,'Move Editor'!$F:$F,100),atk,IF(cat="Physical",FLOOR((FLOOR(((2*XLOOKUP(XLOOKUP($Q458,'Threshold Summary'!$Y:$Y,'Threshold Summary'!$K:$K,""),'Pokemon Editor'!$A:$A,'Pokemon Editor'!$F:$F,0)+31+FLOOR(XLOOKUP($Q458,'Threshold Summary'!$Y:$Y,'Threshold Summary'!$P:$P,"")/4))*XLOOKUP($Q458,'Threshold Summary'!$Y:$Y,'Threshold Summary'!$L:$L,""))/100)+5)*XLOOKUP(XLOOKUP($Q458,'Threshold Summary'!$Y:$Y,'Threshold Summary'!$M:$M,""),'Nature Editor'!$A:$A,'Nature Editor'!$B:$B,1)),FLOOR((FLOOR(((2*XLOOKUP(XLOOKUP($Q458,'Threshold Summary'!$Y:$Y,'Threshold Summary'!$K:$K,""),'Pokemon Editor'!$A:$A,'Pokemon Editor'!$H:$H,0)+31+FLOOR(XLOOKUP($Q458,'Threshold Summary'!$Y:$Y,'Threshold Summary'!$R:$R,"")/4))*XLOOKUP($Q458,'Threshold Summary'!$Y:$Y,'Threshold Summary'!$L:$L,""))/100)+5)*XLOOKUP(XLOOKUP($Q458,'Threshold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Editor'!$E:$E,1))),stab,IF(OR(mtype=XLOOKUP(XLOOKUP($Q458,'Threshold Summary'!$Y:$Y,'Threshold Summary'!$K:$K,""),'Pokemon Editor'!$A:$A,'Pokemon Editor'!$C:$C,""),mtype=XLOOKUP(XLOOKUP($Q458,'Threshold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Chart'!$B$1:$S$1,0)))),base,IF(OR(cat="Status",pow=0),0,FLOOR(FLOOR(FLOOR((2*XLOOKUP($Q458,'Threshold Summary'!$Y:$Y,'Threshold Summary'!$L:$L,"")/5+2)*pow*atk/def)/50)+2)),modifier,stab*eff,AVERAGE(ARRAYFORMULA(FLOOR(base*modifier*SEQUENCE(16,1,85,1)/100)))*MIN(1,acc/100)),0)</f>
        <v/>
      </c>
      <c r="N458" s="4">
        <f>IFERROR(LET(mtype,XLOOKUP($D458,'Move Editor'!$B:$B,'Move Editor'!$C:$C,""),cat,XLOOKUP($D458,'Move Editor'!$B:$B,'Move Editor'!$D:$D,""),pow,XLOOKUP($D458,'Move Editor'!$B:$B,'Move Editor'!$E:$E,0),acc,XLOOKUP($D458,'Move Editor'!$B:$B,'Move Editor'!$F:$F,100),atk,IF(cat="Physical",FLOOR((FLOOR(((2*XLOOKUP(XLOOKUP($Q458,'Threshold Summary'!$Y:$Y,'Threshold Summary'!$K:$K,""),'Pokemon Editor'!$A:$A,'Pokemon Editor'!$F:$F,0)+31+FLOOR(XLOOKUP($Q458,'Threshold Summary'!$Y:$Y,'Threshold Summary'!$P:$P,"")/4))*XLOOKUP($Q458,'Threshold Summary'!$Y:$Y,'Threshold Summary'!$L:$L,""))/100)+5)*XLOOKUP(XLOOKUP($Q458,'Threshold Summary'!$Y:$Y,'Threshold Summary'!$M:$M,""),'Nature Editor'!$A:$A,'Nature Editor'!$B:$B,1)),FLOOR((FLOOR(((2*XLOOKUP(XLOOKUP($Q458,'Threshold Summary'!$Y:$Y,'Threshold Summary'!$K:$K,""),'Pokemon Editor'!$A:$A,'Pokemon Editor'!$H:$H,0)+31+FLOOR(XLOOKUP($Q458,'Threshold Summary'!$Y:$Y,'Threshold Summary'!$R:$R,"")/4))*XLOOKUP($Q458,'Threshold Summary'!$Y:$Y,'Threshold Summary'!$L:$L,""))/100)+5)*XLOOKUP(XLOOKUP($Q458,'Threshold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Editor'!$E:$E,1))),stab,IF(OR(mtype=XLOOKUP(XLOOKUP($Q458,'Threshold Summary'!$Y:$Y,'Threshold Summary'!$K:$K,""),'Pokemon Editor'!$A:$A,'Pokemon Editor'!$C:$C,""),mtype=XLOOKUP(XLOOKUP($Q458,'Threshold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Chart'!$B$1:$S$1,0)))),base,IF(OR(cat="Status",pow=0),0,FLOOR(FLOOR(FLOOR((2*XLOOKUP($Q458,'Threshold Summary'!$Y:$Y,'Threshold Summary'!$L:$L,"")/5+2)*pow*atk/def)/50)+2)),modifier,stab*eff,AVERAGE(ARRAYFORMULA(FLOOR(base*modifier*SEQUENCE(16,1,85,1)/100)))/(FLOOR(((2*XLOOKUP('Boss Editor'!$C$4,'Pokemon Editor'!$A:$A,'Pokemon Editor'!$E:$E,0)+31+FLOOR('Boss Editor'!$G$4/4))*'Boss Editor'!$D$4)/100)+'Boss Editor'!$D$4+10)),0)</f>
        <v/>
      </c>
      <c r="O458" s="3">
        <f>IF(N458&gt;=1,"OHKO",IF(N458&gt;=0.5,"2HKO",IF(N458&gt;=0.333,"3HKO",IF(N458&gt;=0.25,"4HKO","5HKO+"))))</f>
        <v/>
      </c>
      <c r="P458" s="3" t="inlineStr">
        <is>
          <t>Live from editable databases</t>
        </is>
      </c>
      <c r="Q458" s="3" t="inlineStr">
        <is>
          <t>SPECIES_SEWADDLE</t>
        </is>
      </c>
      <c r="R458" s="3" t="n">
        <v>9</v>
      </c>
    </row>
    <row r="459">
      <c r="A459" s="3">
        <f>XLOOKUP($Q459,'Threshold Summary'!$Y:$Y,'Threshold Summary'!$A:$A,"")</f>
        <v/>
      </c>
      <c r="B459" s="3">
        <f>XLOOKUP($Q459,'Threshold Summary'!$Y:$Y,'Threshold Summary'!$M:$M,"")</f>
        <v/>
      </c>
      <c r="C459" s="3">
        <f>XLOOKUP($Q459,'Threshold Summary'!$Y:$Y,'Threshold Summary'!$N:$N,"")</f>
        <v/>
      </c>
      <c r="D459" s="3">
        <f>IFERROR(INDEX(FILTER('Learnset Editor'!$D$2:$D,'Learnset Editor'!$A$2:$A=XLOOKUP($Q459,'Threshold Summary'!$Y:$Y,'Threshold Summary'!$K:$K,""),'Learnset Editor'!$C$2:$C&lt;=XLOOKUP($Q459,'Threshold Summary'!$Y:$Y,'Threshold Summary'!$L:$L,"")),$R459),"")</f>
        <v/>
      </c>
      <c r="E459" s="3">
        <f>XLOOKUP(D459,'Move Editor'!$B:$B,'Move Editor'!$C:$C,"")</f>
        <v/>
      </c>
      <c r="F459" s="3">
        <f>XLOOKUP(D459,'Move Editor'!$B:$B,'Move Editor'!$D:$D,"")</f>
        <v/>
      </c>
      <c r="G459" s="3">
        <f>XLOOKUP(D459,'Move Editor'!$B:$B,'Move Editor'!$E:$E,0)</f>
        <v/>
      </c>
      <c r="H459" s="3">
        <f>XLOOKUP(D459,'Move Editor'!$B:$B,'Move Editor'!$F:$F,0)</f>
        <v/>
      </c>
      <c r="I459" s="3">
        <f>(INDEX('Type Chart'!$B:$S,MATCH(E459,'Type Chart'!$A:$A,0),MATCH(XLOOKUP('Boss Editor'!$C$4,'Pokemon Editor'!$A:$A,'Pokemon Editor'!$C:$C,""),'Type Chart'!$B$1:$S$1,0))*IF(XLOOKUP('Boss Editor'!$C$4,'Pokemon Editor'!$A:$A,'Pokemon Editor'!$D:$D,"")="",1,INDEX('Type Chart'!$B:$S,MATCH(E459,'Type Chart'!$A:$A,0),MATCH(XLOOKUP('Boss Editor'!$C$4,'Pokemon Editor'!$A:$A,'Pokemon Editor'!$D:$D,""),'Type Chart'!$B$1:$S$1,0))))</f>
        <v/>
      </c>
      <c r="J459" s="3">
        <f>IFERROR(LET(mtype,XLOOKUP($D459,'Move Editor'!$B:$B,'Move Editor'!$C:$C,""),cat,XLOOKUP($D459,'Move Editor'!$B:$B,'Move Editor'!$D:$D,""),pow,XLOOKUP($D459,'Move Editor'!$B:$B,'Move Editor'!$E:$E,0),acc,XLOOKUP($D459,'Move Editor'!$B:$B,'Move Editor'!$F:$F,100),atk,IF(cat="Physical",FLOOR((FLOOR(((2*XLOOKUP(XLOOKUP($Q459,'Threshold Summary'!$Y:$Y,'Threshold Summary'!$K:$K,""),'Pokemon Editor'!$A:$A,'Pokemon Editor'!$F:$F,0)+31+FLOOR(XLOOKUP($Q459,'Threshold Summary'!$Y:$Y,'Threshold Summary'!$P:$P,"")/4))*XLOOKUP($Q459,'Threshold Summary'!$Y:$Y,'Threshold Summary'!$L:$L,""))/100)+5)*XLOOKUP(XLOOKUP($Q459,'Threshold Summary'!$Y:$Y,'Threshold Summary'!$M:$M,""),'Nature Editor'!$A:$A,'Nature Editor'!$B:$B,1)),FLOOR((FLOOR(((2*XLOOKUP(XLOOKUP($Q459,'Threshold Summary'!$Y:$Y,'Threshold Summary'!$K:$K,""),'Pokemon Editor'!$A:$A,'Pokemon Editor'!$H:$H,0)+31+FLOOR(XLOOKUP($Q459,'Threshold Summary'!$Y:$Y,'Threshold Summary'!$R:$R,"")/4))*XLOOKUP($Q459,'Threshold Summary'!$Y:$Y,'Threshold Summary'!$L:$L,""))/100)+5)*XLOOKUP(XLOOKUP($Q459,'Threshold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Editor'!$E:$E,1))),stab,IF(OR(mtype=XLOOKUP(XLOOKUP($Q459,'Threshold Summary'!$Y:$Y,'Threshold Summary'!$K:$K,""),'Pokemon Editor'!$A:$A,'Pokemon Editor'!$C:$C,""),mtype=XLOOKUP(XLOOKUP($Q459,'Threshold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Chart'!$B$1:$S$1,0)))),base,IF(OR(cat="Status",pow=0),0,FLOOR(FLOOR(FLOOR((2*XLOOKUP($Q459,'Threshold Summary'!$Y:$Y,'Threshold Summary'!$L:$L,"")/5+2)*pow*atk/def)/50)+2)),modifier,stab*eff,FLOOR(base*modifier*0.85)),0)</f>
        <v/>
      </c>
      <c r="K459" s="3">
        <f>IFERROR(LET(mtype,XLOOKUP($D459,'Move Editor'!$B:$B,'Move Editor'!$C:$C,""),cat,XLOOKUP($D459,'Move Editor'!$B:$B,'Move Editor'!$D:$D,""),pow,XLOOKUP($D459,'Move Editor'!$B:$B,'Move Editor'!$E:$E,0),acc,XLOOKUP($D459,'Move Editor'!$B:$B,'Move Editor'!$F:$F,100),atk,IF(cat="Physical",FLOOR((FLOOR(((2*XLOOKUP(XLOOKUP($Q459,'Threshold Summary'!$Y:$Y,'Threshold Summary'!$K:$K,""),'Pokemon Editor'!$A:$A,'Pokemon Editor'!$F:$F,0)+31+FLOOR(XLOOKUP($Q459,'Threshold Summary'!$Y:$Y,'Threshold Summary'!$P:$P,"")/4))*XLOOKUP($Q459,'Threshold Summary'!$Y:$Y,'Threshold Summary'!$L:$L,""))/100)+5)*XLOOKUP(XLOOKUP($Q459,'Threshold Summary'!$Y:$Y,'Threshold Summary'!$M:$M,""),'Nature Editor'!$A:$A,'Nature Editor'!$B:$B,1)),FLOOR((FLOOR(((2*XLOOKUP(XLOOKUP($Q459,'Threshold Summary'!$Y:$Y,'Threshold Summary'!$K:$K,""),'Pokemon Editor'!$A:$A,'Pokemon Editor'!$H:$H,0)+31+FLOOR(XLOOKUP($Q459,'Threshold Summary'!$Y:$Y,'Threshold Summary'!$R:$R,"")/4))*XLOOKUP($Q459,'Threshold Summary'!$Y:$Y,'Threshold Summary'!$L:$L,""))/100)+5)*XLOOKUP(XLOOKUP($Q459,'Threshold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Editor'!$E:$E,1))),stab,IF(OR(mtype=XLOOKUP(XLOOKUP($Q459,'Threshold Summary'!$Y:$Y,'Threshold Summary'!$K:$K,""),'Pokemon Editor'!$A:$A,'Pokemon Editor'!$C:$C,""),mtype=XLOOKUP(XLOOKUP($Q459,'Threshold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Chart'!$B$1:$S$1,0)))),base,IF(OR(cat="Status",pow=0),0,FLOOR(FLOOR(FLOOR((2*XLOOKUP($Q459,'Threshold Summary'!$Y:$Y,'Threshold Summary'!$L:$L,"")/5+2)*pow*atk/def)/50)+2)),modifier,stab*eff,FLOOR(base*modifier)),0)</f>
        <v/>
      </c>
      <c r="L459" s="3">
        <f>IFERROR(LET(mtype,XLOOKUP($D459,'Move Editor'!$B:$B,'Move Editor'!$C:$C,""),cat,XLOOKUP($D459,'Move Editor'!$B:$B,'Move Editor'!$D:$D,""),pow,XLOOKUP($D459,'Move Editor'!$B:$B,'Move Editor'!$E:$E,0),acc,XLOOKUP($D459,'Move Editor'!$B:$B,'Move Editor'!$F:$F,100),atk,IF(cat="Physical",FLOOR((FLOOR(((2*XLOOKUP(XLOOKUP($Q459,'Threshold Summary'!$Y:$Y,'Threshold Summary'!$K:$K,""),'Pokemon Editor'!$A:$A,'Pokemon Editor'!$F:$F,0)+31+FLOOR(XLOOKUP($Q459,'Threshold Summary'!$Y:$Y,'Threshold Summary'!$P:$P,"")/4))*XLOOKUP($Q459,'Threshold Summary'!$Y:$Y,'Threshold Summary'!$L:$L,""))/100)+5)*XLOOKUP(XLOOKUP($Q459,'Threshold Summary'!$Y:$Y,'Threshold Summary'!$M:$M,""),'Nature Editor'!$A:$A,'Nature Editor'!$B:$B,1)),FLOOR((FLOOR(((2*XLOOKUP(XLOOKUP($Q459,'Threshold Summary'!$Y:$Y,'Threshold Summary'!$K:$K,""),'Pokemon Editor'!$A:$A,'Pokemon Editor'!$H:$H,0)+31+FLOOR(XLOOKUP($Q459,'Threshold Summary'!$Y:$Y,'Threshold Summary'!$R:$R,"")/4))*XLOOKUP($Q459,'Threshold Summary'!$Y:$Y,'Threshold Summary'!$L:$L,""))/100)+5)*XLOOKUP(XLOOKUP($Q459,'Threshold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Editor'!$E:$E,1))),stab,IF(OR(mtype=XLOOKUP(XLOOKUP($Q459,'Threshold Summary'!$Y:$Y,'Threshold Summary'!$K:$K,""),'Pokemon Editor'!$A:$A,'Pokemon Editor'!$C:$C,""),mtype=XLOOKUP(XLOOKUP($Q459,'Threshold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Chart'!$B$1:$S$1,0)))),base,IF(OR(cat="Status",pow=0),0,FLOOR(FLOOR(FLOOR((2*XLOOKUP($Q459,'Threshold Summary'!$Y:$Y,'Threshold Summary'!$L:$L,"")/5+2)*pow*atk/def)/50)+2)),modifier,stab*eff,AVERAGE(ARRAYFORMULA(FLOOR(base*modifier*SEQUENCE(16,1,85,1)/100)))),0)</f>
        <v/>
      </c>
      <c r="M459" s="3">
        <f>IFERROR(LET(mtype,XLOOKUP($D459,'Move Editor'!$B:$B,'Move Editor'!$C:$C,""),cat,XLOOKUP($D459,'Move Editor'!$B:$B,'Move Editor'!$D:$D,""),pow,XLOOKUP($D459,'Move Editor'!$B:$B,'Move Editor'!$E:$E,0),acc,XLOOKUP($D459,'Move Editor'!$B:$B,'Move Editor'!$F:$F,100),atk,IF(cat="Physical",FLOOR((FLOOR(((2*XLOOKUP(XLOOKUP($Q459,'Threshold Summary'!$Y:$Y,'Threshold Summary'!$K:$K,""),'Pokemon Editor'!$A:$A,'Pokemon Editor'!$F:$F,0)+31+FLOOR(XLOOKUP($Q459,'Threshold Summary'!$Y:$Y,'Threshold Summary'!$P:$P,"")/4))*XLOOKUP($Q459,'Threshold Summary'!$Y:$Y,'Threshold Summary'!$L:$L,""))/100)+5)*XLOOKUP(XLOOKUP($Q459,'Threshold Summary'!$Y:$Y,'Threshold Summary'!$M:$M,""),'Nature Editor'!$A:$A,'Nature Editor'!$B:$B,1)),FLOOR((FLOOR(((2*XLOOKUP(XLOOKUP($Q459,'Threshold Summary'!$Y:$Y,'Threshold Summary'!$K:$K,""),'Pokemon Editor'!$A:$A,'Pokemon Editor'!$H:$H,0)+31+FLOOR(XLOOKUP($Q459,'Threshold Summary'!$Y:$Y,'Threshold Summary'!$R:$R,"")/4))*XLOOKUP($Q459,'Threshold Summary'!$Y:$Y,'Threshold Summary'!$L:$L,""))/100)+5)*XLOOKUP(XLOOKUP($Q459,'Threshold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Editor'!$E:$E,1))),stab,IF(OR(mtype=XLOOKUP(XLOOKUP($Q459,'Threshold Summary'!$Y:$Y,'Threshold Summary'!$K:$K,""),'Pokemon Editor'!$A:$A,'Pokemon Editor'!$C:$C,""),mtype=XLOOKUP(XLOOKUP($Q459,'Threshold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Chart'!$B$1:$S$1,0)))),base,IF(OR(cat="Status",pow=0),0,FLOOR(FLOOR(FLOOR((2*XLOOKUP($Q459,'Threshold Summary'!$Y:$Y,'Threshold Summary'!$L:$L,"")/5+2)*pow*atk/def)/50)+2)),modifier,stab*eff,AVERAGE(ARRAYFORMULA(FLOOR(base*modifier*SEQUENCE(16,1,85,1)/100)))*MIN(1,acc/100)),0)</f>
        <v/>
      </c>
      <c r="N459" s="4">
        <f>IFERROR(LET(mtype,XLOOKUP($D459,'Move Editor'!$B:$B,'Move Editor'!$C:$C,""),cat,XLOOKUP($D459,'Move Editor'!$B:$B,'Move Editor'!$D:$D,""),pow,XLOOKUP($D459,'Move Editor'!$B:$B,'Move Editor'!$E:$E,0),acc,XLOOKUP($D459,'Move Editor'!$B:$B,'Move Editor'!$F:$F,100),atk,IF(cat="Physical",FLOOR((FLOOR(((2*XLOOKUP(XLOOKUP($Q459,'Threshold Summary'!$Y:$Y,'Threshold Summary'!$K:$K,""),'Pokemon Editor'!$A:$A,'Pokemon Editor'!$F:$F,0)+31+FLOOR(XLOOKUP($Q459,'Threshold Summary'!$Y:$Y,'Threshold Summary'!$P:$P,"")/4))*XLOOKUP($Q459,'Threshold Summary'!$Y:$Y,'Threshold Summary'!$L:$L,""))/100)+5)*XLOOKUP(XLOOKUP($Q459,'Threshold Summary'!$Y:$Y,'Threshold Summary'!$M:$M,""),'Nature Editor'!$A:$A,'Nature Editor'!$B:$B,1)),FLOOR((FLOOR(((2*XLOOKUP(XLOOKUP($Q459,'Threshold Summary'!$Y:$Y,'Threshold Summary'!$K:$K,""),'Pokemon Editor'!$A:$A,'Pokemon Editor'!$H:$H,0)+31+FLOOR(XLOOKUP($Q459,'Threshold Summary'!$Y:$Y,'Threshold Summary'!$R:$R,"")/4))*XLOOKUP($Q459,'Threshold Summary'!$Y:$Y,'Threshold Summary'!$L:$L,""))/100)+5)*XLOOKUP(XLOOKUP($Q459,'Threshold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Editor'!$E:$E,1))),stab,IF(OR(mtype=XLOOKUP(XLOOKUP($Q459,'Threshold Summary'!$Y:$Y,'Threshold Summary'!$K:$K,""),'Pokemon Editor'!$A:$A,'Pokemon Editor'!$C:$C,""),mtype=XLOOKUP(XLOOKUP($Q459,'Threshold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Chart'!$B$1:$S$1,0)))),base,IF(OR(cat="Status",pow=0),0,FLOOR(FLOOR(FLOOR((2*XLOOKUP($Q459,'Threshold Summary'!$Y:$Y,'Threshold Summary'!$L:$L,"")/5+2)*pow*atk/def)/50)+2)),modifier,stab*eff,AVERAGE(ARRAYFORMULA(FLOOR(base*modifier*SEQUENCE(16,1,85,1)/100)))/(FLOOR(((2*XLOOKUP('Boss Editor'!$C$4,'Pokemon Editor'!$A:$A,'Pokemon Editor'!$E:$E,0)+31+FLOOR('Boss Editor'!$G$4/4))*'Boss Editor'!$D$4)/100)+'Boss Editor'!$D$4+10)),0)</f>
        <v/>
      </c>
      <c r="O459" s="3">
        <f>IF(N459&gt;=1,"OHKO",IF(N459&gt;=0.5,"2HKO",IF(N459&gt;=0.333,"3HKO",IF(N459&gt;=0.25,"4HKO","5HKO+"))))</f>
        <v/>
      </c>
      <c r="P459" s="3" t="inlineStr">
        <is>
          <t>Live from editable databases</t>
        </is>
      </c>
      <c r="Q459" s="3" t="inlineStr">
        <is>
          <t>SPECIES_SEWADDLE</t>
        </is>
      </c>
      <c r="R459" s="3" t="n">
        <v>10</v>
      </c>
    </row>
    <row r="460">
      <c r="A460" s="3">
        <f>XLOOKUP($Q460,'Threshold Summary'!$Y:$Y,'Threshold Summary'!$A:$A,"")</f>
        <v/>
      </c>
      <c r="B460" s="3">
        <f>XLOOKUP($Q460,'Threshold Summary'!$Y:$Y,'Threshold Summary'!$M:$M,"")</f>
        <v/>
      </c>
      <c r="C460" s="3">
        <f>XLOOKUP($Q460,'Threshold Summary'!$Y:$Y,'Threshold Summary'!$N:$N,"")</f>
        <v/>
      </c>
      <c r="D460" s="3">
        <f>IFERROR(INDEX(FILTER('Learnset Editor'!$D$2:$D,'Learnset Editor'!$A$2:$A=XLOOKUP($Q460,'Threshold Summary'!$Y:$Y,'Threshold Summary'!$K:$K,""),'Learnset Editor'!$C$2:$C&lt;=XLOOKUP($Q460,'Threshold Summary'!$Y:$Y,'Threshold Summary'!$L:$L,"")),$R460),"")</f>
        <v/>
      </c>
      <c r="E460" s="3">
        <f>XLOOKUP(D460,'Move Editor'!$B:$B,'Move Editor'!$C:$C,"")</f>
        <v/>
      </c>
      <c r="F460" s="3">
        <f>XLOOKUP(D460,'Move Editor'!$B:$B,'Move Editor'!$D:$D,"")</f>
        <v/>
      </c>
      <c r="G460" s="3">
        <f>XLOOKUP(D460,'Move Editor'!$B:$B,'Move Editor'!$E:$E,0)</f>
        <v/>
      </c>
      <c r="H460" s="3">
        <f>XLOOKUP(D460,'Move Editor'!$B:$B,'Move Editor'!$F:$F,0)</f>
        <v/>
      </c>
      <c r="I460" s="3">
        <f>(INDEX('Type Chart'!$B:$S,MATCH(E460,'Type Chart'!$A:$A,0),MATCH(XLOOKUP('Boss Editor'!$C$4,'Pokemon Editor'!$A:$A,'Pokemon Editor'!$C:$C,""),'Type Chart'!$B$1:$S$1,0))*IF(XLOOKUP('Boss Editor'!$C$4,'Pokemon Editor'!$A:$A,'Pokemon Editor'!$D:$D,"")="",1,INDEX('Type Chart'!$B:$S,MATCH(E460,'Type Chart'!$A:$A,0),MATCH(XLOOKUP('Boss Editor'!$C$4,'Pokemon Editor'!$A:$A,'Pokemon Editor'!$D:$D,""),'Type Chart'!$B$1:$S$1,0))))</f>
        <v/>
      </c>
      <c r="J460" s="3">
        <f>IFERROR(LET(mtype,XLOOKUP($D460,'Move Editor'!$B:$B,'Move Editor'!$C:$C,""),cat,XLOOKUP($D460,'Move Editor'!$B:$B,'Move Editor'!$D:$D,""),pow,XLOOKUP($D460,'Move Editor'!$B:$B,'Move Editor'!$E:$E,0),acc,XLOOKUP($D460,'Move Editor'!$B:$B,'Move Editor'!$F:$F,100),atk,IF(cat="Physical",FLOOR((FLOOR(((2*XLOOKUP(XLOOKUP($Q460,'Threshold Summary'!$Y:$Y,'Threshold Summary'!$K:$K,""),'Pokemon Editor'!$A:$A,'Pokemon Editor'!$F:$F,0)+31+FLOOR(XLOOKUP($Q460,'Threshold Summary'!$Y:$Y,'Threshold Summary'!$P:$P,"")/4))*XLOOKUP($Q460,'Threshold Summary'!$Y:$Y,'Threshold Summary'!$L:$L,""))/100)+5)*XLOOKUP(XLOOKUP($Q460,'Threshold Summary'!$Y:$Y,'Threshold Summary'!$M:$M,""),'Nature Editor'!$A:$A,'Nature Editor'!$B:$B,1)),FLOOR((FLOOR(((2*XLOOKUP(XLOOKUP($Q460,'Threshold Summary'!$Y:$Y,'Threshold Summary'!$K:$K,""),'Pokemon Editor'!$A:$A,'Pokemon Editor'!$H:$H,0)+31+FLOOR(XLOOKUP($Q460,'Threshold Summary'!$Y:$Y,'Threshold Summary'!$R:$R,"")/4))*XLOOKUP($Q460,'Threshold Summary'!$Y:$Y,'Threshold Summary'!$L:$L,""))/100)+5)*XLOOKUP(XLOOKUP($Q460,'Threshold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Editor'!$E:$E,1))),stab,IF(OR(mtype=XLOOKUP(XLOOKUP($Q460,'Threshold Summary'!$Y:$Y,'Threshold Summary'!$K:$K,""),'Pokemon Editor'!$A:$A,'Pokemon Editor'!$C:$C,""),mtype=XLOOKUP(XLOOKUP($Q460,'Threshold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Chart'!$B$1:$S$1,0)))),base,IF(OR(cat="Status",pow=0),0,FLOOR(FLOOR(FLOOR((2*XLOOKUP($Q460,'Threshold Summary'!$Y:$Y,'Threshold Summary'!$L:$L,"")/5+2)*pow*atk/def)/50)+2)),modifier,stab*eff,FLOOR(base*modifier*0.85)),0)</f>
        <v/>
      </c>
      <c r="K460" s="3">
        <f>IFERROR(LET(mtype,XLOOKUP($D460,'Move Editor'!$B:$B,'Move Editor'!$C:$C,""),cat,XLOOKUP($D460,'Move Editor'!$B:$B,'Move Editor'!$D:$D,""),pow,XLOOKUP($D460,'Move Editor'!$B:$B,'Move Editor'!$E:$E,0),acc,XLOOKUP($D460,'Move Editor'!$B:$B,'Move Editor'!$F:$F,100),atk,IF(cat="Physical",FLOOR((FLOOR(((2*XLOOKUP(XLOOKUP($Q460,'Threshold Summary'!$Y:$Y,'Threshold Summary'!$K:$K,""),'Pokemon Editor'!$A:$A,'Pokemon Editor'!$F:$F,0)+31+FLOOR(XLOOKUP($Q460,'Threshold Summary'!$Y:$Y,'Threshold Summary'!$P:$P,"")/4))*XLOOKUP($Q460,'Threshold Summary'!$Y:$Y,'Threshold Summary'!$L:$L,""))/100)+5)*XLOOKUP(XLOOKUP($Q460,'Threshold Summary'!$Y:$Y,'Threshold Summary'!$M:$M,""),'Nature Editor'!$A:$A,'Nature Editor'!$B:$B,1)),FLOOR((FLOOR(((2*XLOOKUP(XLOOKUP($Q460,'Threshold Summary'!$Y:$Y,'Threshold Summary'!$K:$K,""),'Pokemon Editor'!$A:$A,'Pokemon Editor'!$H:$H,0)+31+FLOOR(XLOOKUP($Q460,'Threshold Summary'!$Y:$Y,'Threshold Summary'!$R:$R,"")/4))*XLOOKUP($Q460,'Threshold Summary'!$Y:$Y,'Threshold Summary'!$L:$L,""))/100)+5)*XLOOKUP(XLOOKUP($Q460,'Threshold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Editor'!$E:$E,1))),stab,IF(OR(mtype=XLOOKUP(XLOOKUP($Q460,'Threshold Summary'!$Y:$Y,'Threshold Summary'!$K:$K,""),'Pokemon Editor'!$A:$A,'Pokemon Editor'!$C:$C,""),mtype=XLOOKUP(XLOOKUP($Q460,'Threshold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Chart'!$B$1:$S$1,0)))),base,IF(OR(cat="Status",pow=0),0,FLOOR(FLOOR(FLOOR((2*XLOOKUP($Q460,'Threshold Summary'!$Y:$Y,'Threshold Summary'!$L:$L,"")/5+2)*pow*atk/def)/50)+2)),modifier,stab*eff,FLOOR(base*modifier)),0)</f>
        <v/>
      </c>
      <c r="L460" s="3">
        <f>IFERROR(LET(mtype,XLOOKUP($D460,'Move Editor'!$B:$B,'Move Editor'!$C:$C,""),cat,XLOOKUP($D460,'Move Editor'!$B:$B,'Move Editor'!$D:$D,""),pow,XLOOKUP($D460,'Move Editor'!$B:$B,'Move Editor'!$E:$E,0),acc,XLOOKUP($D460,'Move Editor'!$B:$B,'Move Editor'!$F:$F,100),atk,IF(cat="Physical",FLOOR((FLOOR(((2*XLOOKUP(XLOOKUP($Q460,'Threshold Summary'!$Y:$Y,'Threshold Summary'!$K:$K,""),'Pokemon Editor'!$A:$A,'Pokemon Editor'!$F:$F,0)+31+FLOOR(XLOOKUP($Q460,'Threshold Summary'!$Y:$Y,'Threshold Summary'!$P:$P,"")/4))*XLOOKUP($Q460,'Threshold Summary'!$Y:$Y,'Threshold Summary'!$L:$L,""))/100)+5)*XLOOKUP(XLOOKUP($Q460,'Threshold Summary'!$Y:$Y,'Threshold Summary'!$M:$M,""),'Nature Editor'!$A:$A,'Nature Editor'!$B:$B,1)),FLOOR((FLOOR(((2*XLOOKUP(XLOOKUP($Q460,'Threshold Summary'!$Y:$Y,'Threshold Summary'!$K:$K,""),'Pokemon Editor'!$A:$A,'Pokemon Editor'!$H:$H,0)+31+FLOOR(XLOOKUP($Q460,'Threshold Summary'!$Y:$Y,'Threshold Summary'!$R:$R,"")/4))*XLOOKUP($Q460,'Threshold Summary'!$Y:$Y,'Threshold Summary'!$L:$L,""))/100)+5)*XLOOKUP(XLOOKUP($Q460,'Threshold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Editor'!$E:$E,1))),stab,IF(OR(mtype=XLOOKUP(XLOOKUP($Q460,'Threshold Summary'!$Y:$Y,'Threshold Summary'!$K:$K,""),'Pokemon Editor'!$A:$A,'Pokemon Editor'!$C:$C,""),mtype=XLOOKUP(XLOOKUP($Q460,'Threshold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Chart'!$B$1:$S$1,0)))),base,IF(OR(cat="Status",pow=0),0,FLOOR(FLOOR(FLOOR((2*XLOOKUP($Q460,'Threshold Summary'!$Y:$Y,'Threshold Summary'!$L:$L,"")/5+2)*pow*atk/def)/50)+2)),modifier,stab*eff,AVERAGE(ARRAYFORMULA(FLOOR(base*modifier*SEQUENCE(16,1,85,1)/100)))),0)</f>
        <v/>
      </c>
      <c r="M460" s="3">
        <f>IFERROR(LET(mtype,XLOOKUP($D460,'Move Editor'!$B:$B,'Move Editor'!$C:$C,""),cat,XLOOKUP($D460,'Move Editor'!$B:$B,'Move Editor'!$D:$D,""),pow,XLOOKUP($D460,'Move Editor'!$B:$B,'Move Editor'!$E:$E,0),acc,XLOOKUP($D460,'Move Editor'!$B:$B,'Move Editor'!$F:$F,100),atk,IF(cat="Physical",FLOOR((FLOOR(((2*XLOOKUP(XLOOKUP($Q460,'Threshold Summary'!$Y:$Y,'Threshold Summary'!$K:$K,""),'Pokemon Editor'!$A:$A,'Pokemon Editor'!$F:$F,0)+31+FLOOR(XLOOKUP($Q460,'Threshold Summary'!$Y:$Y,'Threshold Summary'!$P:$P,"")/4))*XLOOKUP($Q460,'Threshold Summary'!$Y:$Y,'Threshold Summary'!$L:$L,""))/100)+5)*XLOOKUP(XLOOKUP($Q460,'Threshold Summary'!$Y:$Y,'Threshold Summary'!$M:$M,""),'Nature Editor'!$A:$A,'Nature Editor'!$B:$B,1)),FLOOR((FLOOR(((2*XLOOKUP(XLOOKUP($Q460,'Threshold Summary'!$Y:$Y,'Threshold Summary'!$K:$K,""),'Pokemon Editor'!$A:$A,'Pokemon Editor'!$H:$H,0)+31+FLOOR(XLOOKUP($Q460,'Threshold Summary'!$Y:$Y,'Threshold Summary'!$R:$R,"")/4))*XLOOKUP($Q460,'Threshold Summary'!$Y:$Y,'Threshold Summary'!$L:$L,""))/100)+5)*XLOOKUP(XLOOKUP($Q460,'Threshold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Editor'!$E:$E,1))),stab,IF(OR(mtype=XLOOKUP(XLOOKUP($Q460,'Threshold Summary'!$Y:$Y,'Threshold Summary'!$K:$K,""),'Pokemon Editor'!$A:$A,'Pokemon Editor'!$C:$C,""),mtype=XLOOKUP(XLOOKUP($Q460,'Threshold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Chart'!$B$1:$S$1,0)))),base,IF(OR(cat="Status",pow=0),0,FLOOR(FLOOR(FLOOR((2*XLOOKUP($Q460,'Threshold Summary'!$Y:$Y,'Threshold Summary'!$L:$L,"")/5+2)*pow*atk/def)/50)+2)),modifier,stab*eff,AVERAGE(ARRAYFORMULA(FLOOR(base*modifier*SEQUENCE(16,1,85,1)/100)))*MIN(1,acc/100)),0)</f>
        <v/>
      </c>
      <c r="N460" s="4">
        <f>IFERROR(LET(mtype,XLOOKUP($D460,'Move Editor'!$B:$B,'Move Editor'!$C:$C,""),cat,XLOOKUP($D460,'Move Editor'!$B:$B,'Move Editor'!$D:$D,""),pow,XLOOKUP($D460,'Move Editor'!$B:$B,'Move Editor'!$E:$E,0),acc,XLOOKUP($D460,'Move Editor'!$B:$B,'Move Editor'!$F:$F,100),atk,IF(cat="Physical",FLOOR((FLOOR(((2*XLOOKUP(XLOOKUP($Q460,'Threshold Summary'!$Y:$Y,'Threshold Summary'!$K:$K,""),'Pokemon Editor'!$A:$A,'Pokemon Editor'!$F:$F,0)+31+FLOOR(XLOOKUP($Q460,'Threshold Summary'!$Y:$Y,'Threshold Summary'!$P:$P,"")/4))*XLOOKUP($Q460,'Threshold Summary'!$Y:$Y,'Threshold Summary'!$L:$L,""))/100)+5)*XLOOKUP(XLOOKUP($Q460,'Threshold Summary'!$Y:$Y,'Threshold Summary'!$M:$M,""),'Nature Editor'!$A:$A,'Nature Editor'!$B:$B,1)),FLOOR((FLOOR(((2*XLOOKUP(XLOOKUP($Q460,'Threshold Summary'!$Y:$Y,'Threshold Summary'!$K:$K,""),'Pokemon Editor'!$A:$A,'Pokemon Editor'!$H:$H,0)+31+FLOOR(XLOOKUP($Q460,'Threshold Summary'!$Y:$Y,'Threshold Summary'!$R:$R,"")/4))*XLOOKUP($Q460,'Threshold Summary'!$Y:$Y,'Threshold Summary'!$L:$L,""))/100)+5)*XLOOKUP(XLOOKUP($Q460,'Threshold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Editor'!$E:$E,1))),stab,IF(OR(mtype=XLOOKUP(XLOOKUP($Q460,'Threshold Summary'!$Y:$Y,'Threshold Summary'!$K:$K,""),'Pokemon Editor'!$A:$A,'Pokemon Editor'!$C:$C,""),mtype=XLOOKUP(XLOOKUP($Q460,'Threshold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Chart'!$B$1:$S$1,0)))),base,IF(OR(cat="Status",pow=0),0,FLOOR(FLOOR(FLOOR((2*XLOOKUP($Q460,'Threshold Summary'!$Y:$Y,'Threshold Summary'!$L:$L,"")/5+2)*pow*atk/def)/50)+2)),modifier,stab*eff,AVERAGE(ARRAYFORMULA(FLOOR(base*modifier*SEQUENCE(16,1,85,1)/100)))/(FLOOR(((2*XLOOKUP('Boss Editor'!$C$4,'Pokemon Editor'!$A:$A,'Pokemon Editor'!$E:$E,0)+31+FLOOR('Boss Editor'!$G$4/4))*'Boss Editor'!$D$4)/100)+'Boss Editor'!$D$4+10)),0)</f>
        <v/>
      </c>
      <c r="O460" s="3">
        <f>IF(N460&gt;=1,"OHKO",IF(N460&gt;=0.5,"2HKO",IF(N460&gt;=0.333,"3HKO",IF(N460&gt;=0.25,"4HKO","5HKO+"))))</f>
        <v/>
      </c>
      <c r="P460" s="3" t="inlineStr">
        <is>
          <t>Live from editable databases</t>
        </is>
      </c>
      <c r="Q460" s="3" t="inlineStr">
        <is>
          <t>SPECIES_SEWADDLE</t>
        </is>
      </c>
      <c r="R460" s="3" t="n">
        <v>11</v>
      </c>
    </row>
    <row r="461">
      <c r="A461" s="3">
        <f>XLOOKUP($Q461,'Threshold Summary'!$Y:$Y,'Threshold Summary'!$A:$A,"")</f>
        <v/>
      </c>
      <c r="B461" s="3">
        <f>XLOOKUP($Q461,'Threshold Summary'!$Y:$Y,'Threshold Summary'!$M:$M,"")</f>
        <v/>
      </c>
      <c r="C461" s="3">
        <f>XLOOKUP($Q461,'Threshold Summary'!$Y:$Y,'Threshold Summary'!$N:$N,"")</f>
        <v/>
      </c>
      <c r="D461" s="3">
        <f>IFERROR(INDEX(FILTER('Learnset Editor'!$D$2:$D,'Learnset Editor'!$A$2:$A=XLOOKUP($Q461,'Threshold Summary'!$Y:$Y,'Threshold Summary'!$K:$K,""),'Learnset Editor'!$C$2:$C&lt;=XLOOKUP($Q461,'Threshold Summary'!$Y:$Y,'Threshold Summary'!$L:$L,"")),$R461),"")</f>
        <v/>
      </c>
      <c r="E461" s="3">
        <f>XLOOKUP(D461,'Move Editor'!$B:$B,'Move Editor'!$C:$C,"")</f>
        <v/>
      </c>
      <c r="F461" s="3">
        <f>XLOOKUP(D461,'Move Editor'!$B:$B,'Move Editor'!$D:$D,"")</f>
        <v/>
      </c>
      <c r="G461" s="3">
        <f>XLOOKUP(D461,'Move Editor'!$B:$B,'Move Editor'!$E:$E,0)</f>
        <v/>
      </c>
      <c r="H461" s="3">
        <f>XLOOKUP(D461,'Move Editor'!$B:$B,'Move Editor'!$F:$F,0)</f>
        <v/>
      </c>
      <c r="I461" s="3">
        <f>(INDEX('Type Chart'!$B:$S,MATCH(E461,'Type Chart'!$A:$A,0),MATCH(XLOOKUP('Boss Editor'!$C$4,'Pokemon Editor'!$A:$A,'Pokemon Editor'!$C:$C,""),'Type Chart'!$B$1:$S$1,0))*IF(XLOOKUP('Boss Editor'!$C$4,'Pokemon Editor'!$A:$A,'Pokemon Editor'!$D:$D,"")="",1,INDEX('Type Chart'!$B:$S,MATCH(E461,'Type Chart'!$A:$A,0),MATCH(XLOOKUP('Boss Editor'!$C$4,'Pokemon Editor'!$A:$A,'Pokemon Editor'!$D:$D,""),'Type Chart'!$B$1:$S$1,0))))</f>
        <v/>
      </c>
      <c r="J461" s="3">
        <f>IFERROR(LET(mtype,XLOOKUP($D461,'Move Editor'!$B:$B,'Move Editor'!$C:$C,""),cat,XLOOKUP($D461,'Move Editor'!$B:$B,'Move Editor'!$D:$D,""),pow,XLOOKUP($D461,'Move Editor'!$B:$B,'Move Editor'!$E:$E,0),acc,XLOOKUP($D461,'Move Editor'!$B:$B,'Move Editor'!$F:$F,100),atk,IF(cat="Physical",FLOOR((FLOOR(((2*XLOOKUP(XLOOKUP($Q461,'Threshold Summary'!$Y:$Y,'Threshold Summary'!$K:$K,""),'Pokemon Editor'!$A:$A,'Pokemon Editor'!$F:$F,0)+31+FLOOR(XLOOKUP($Q461,'Threshold Summary'!$Y:$Y,'Threshold Summary'!$P:$P,"")/4))*XLOOKUP($Q461,'Threshold Summary'!$Y:$Y,'Threshold Summary'!$L:$L,""))/100)+5)*XLOOKUP(XLOOKUP($Q461,'Threshold Summary'!$Y:$Y,'Threshold Summary'!$M:$M,""),'Nature Editor'!$A:$A,'Nature Editor'!$B:$B,1)),FLOOR((FLOOR(((2*XLOOKUP(XLOOKUP($Q461,'Threshold Summary'!$Y:$Y,'Threshold Summary'!$K:$K,""),'Pokemon Editor'!$A:$A,'Pokemon Editor'!$H:$H,0)+31+FLOOR(XLOOKUP($Q461,'Threshold Summary'!$Y:$Y,'Threshold Summary'!$R:$R,"")/4))*XLOOKUP($Q461,'Threshold Summary'!$Y:$Y,'Threshold Summary'!$L:$L,""))/100)+5)*XLOOKUP(XLOOKUP($Q461,'Threshold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Editor'!$E:$E,1))),stab,IF(OR(mtype=XLOOKUP(XLOOKUP($Q461,'Threshold Summary'!$Y:$Y,'Threshold Summary'!$K:$K,""),'Pokemon Editor'!$A:$A,'Pokemon Editor'!$C:$C,""),mtype=XLOOKUP(XLOOKUP($Q461,'Threshold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Chart'!$B$1:$S$1,0)))),base,IF(OR(cat="Status",pow=0),0,FLOOR(FLOOR(FLOOR((2*XLOOKUP($Q461,'Threshold Summary'!$Y:$Y,'Threshold Summary'!$L:$L,"")/5+2)*pow*atk/def)/50)+2)),modifier,stab*eff,FLOOR(base*modifier*0.85)),0)</f>
        <v/>
      </c>
      <c r="K461" s="3">
        <f>IFERROR(LET(mtype,XLOOKUP($D461,'Move Editor'!$B:$B,'Move Editor'!$C:$C,""),cat,XLOOKUP($D461,'Move Editor'!$B:$B,'Move Editor'!$D:$D,""),pow,XLOOKUP($D461,'Move Editor'!$B:$B,'Move Editor'!$E:$E,0),acc,XLOOKUP($D461,'Move Editor'!$B:$B,'Move Editor'!$F:$F,100),atk,IF(cat="Physical",FLOOR((FLOOR(((2*XLOOKUP(XLOOKUP($Q461,'Threshold Summary'!$Y:$Y,'Threshold Summary'!$K:$K,""),'Pokemon Editor'!$A:$A,'Pokemon Editor'!$F:$F,0)+31+FLOOR(XLOOKUP($Q461,'Threshold Summary'!$Y:$Y,'Threshold Summary'!$P:$P,"")/4))*XLOOKUP($Q461,'Threshold Summary'!$Y:$Y,'Threshold Summary'!$L:$L,""))/100)+5)*XLOOKUP(XLOOKUP($Q461,'Threshold Summary'!$Y:$Y,'Threshold Summary'!$M:$M,""),'Nature Editor'!$A:$A,'Nature Editor'!$B:$B,1)),FLOOR((FLOOR(((2*XLOOKUP(XLOOKUP($Q461,'Threshold Summary'!$Y:$Y,'Threshold Summary'!$K:$K,""),'Pokemon Editor'!$A:$A,'Pokemon Editor'!$H:$H,0)+31+FLOOR(XLOOKUP($Q461,'Threshold Summary'!$Y:$Y,'Threshold Summary'!$R:$R,"")/4))*XLOOKUP($Q461,'Threshold Summary'!$Y:$Y,'Threshold Summary'!$L:$L,""))/100)+5)*XLOOKUP(XLOOKUP($Q461,'Threshold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Editor'!$E:$E,1))),stab,IF(OR(mtype=XLOOKUP(XLOOKUP($Q461,'Threshold Summary'!$Y:$Y,'Threshold Summary'!$K:$K,""),'Pokemon Editor'!$A:$A,'Pokemon Editor'!$C:$C,""),mtype=XLOOKUP(XLOOKUP($Q461,'Threshold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Chart'!$B$1:$S$1,0)))),base,IF(OR(cat="Status",pow=0),0,FLOOR(FLOOR(FLOOR((2*XLOOKUP($Q461,'Threshold Summary'!$Y:$Y,'Threshold Summary'!$L:$L,"")/5+2)*pow*atk/def)/50)+2)),modifier,stab*eff,FLOOR(base*modifier)),0)</f>
        <v/>
      </c>
      <c r="L461" s="3">
        <f>IFERROR(LET(mtype,XLOOKUP($D461,'Move Editor'!$B:$B,'Move Editor'!$C:$C,""),cat,XLOOKUP($D461,'Move Editor'!$B:$B,'Move Editor'!$D:$D,""),pow,XLOOKUP($D461,'Move Editor'!$B:$B,'Move Editor'!$E:$E,0),acc,XLOOKUP($D461,'Move Editor'!$B:$B,'Move Editor'!$F:$F,100),atk,IF(cat="Physical",FLOOR((FLOOR(((2*XLOOKUP(XLOOKUP($Q461,'Threshold Summary'!$Y:$Y,'Threshold Summary'!$K:$K,""),'Pokemon Editor'!$A:$A,'Pokemon Editor'!$F:$F,0)+31+FLOOR(XLOOKUP($Q461,'Threshold Summary'!$Y:$Y,'Threshold Summary'!$P:$P,"")/4))*XLOOKUP($Q461,'Threshold Summary'!$Y:$Y,'Threshold Summary'!$L:$L,""))/100)+5)*XLOOKUP(XLOOKUP($Q461,'Threshold Summary'!$Y:$Y,'Threshold Summary'!$M:$M,""),'Nature Editor'!$A:$A,'Nature Editor'!$B:$B,1)),FLOOR((FLOOR(((2*XLOOKUP(XLOOKUP($Q461,'Threshold Summary'!$Y:$Y,'Threshold Summary'!$K:$K,""),'Pokemon Editor'!$A:$A,'Pokemon Editor'!$H:$H,0)+31+FLOOR(XLOOKUP($Q461,'Threshold Summary'!$Y:$Y,'Threshold Summary'!$R:$R,"")/4))*XLOOKUP($Q461,'Threshold Summary'!$Y:$Y,'Threshold Summary'!$L:$L,""))/100)+5)*XLOOKUP(XLOOKUP($Q461,'Threshold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Editor'!$E:$E,1))),stab,IF(OR(mtype=XLOOKUP(XLOOKUP($Q461,'Threshold Summary'!$Y:$Y,'Threshold Summary'!$K:$K,""),'Pokemon Editor'!$A:$A,'Pokemon Editor'!$C:$C,""),mtype=XLOOKUP(XLOOKUP($Q461,'Threshold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Chart'!$B$1:$S$1,0)))),base,IF(OR(cat="Status",pow=0),0,FLOOR(FLOOR(FLOOR((2*XLOOKUP($Q461,'Threshold Summary'!$Y:$Y,'Threshold Summary'!$L:$L,"")/5+2)*pow*atk/def)/50)+2)),modifier,stab*eff,AVERAGE(ARRAYFORMULA(FLOOR(base*modifier*SEQUENCE(16,1,85,1)/100)))),0)</f>
        <v/>
      </c>
      <c r="M461" s="3">
        <f>IFERROR(LET(mtype,XLOOKUP($D461,'Move Editor'!$B:$B,'Move Editor'!$C:$C,""),cat,XLOOKUP($D461,'Move Editor'!$B:$B,'Move Editor'!$D:$D,""),pow,XLOOKUP($D461,'Move Editor'!$B:$B,'Move Editor'!$E:$E,0),acc,XLOOKUP($D461,'Move Editor'!$B:$B,'Move Editor'!$F:$F,100),atk,IF(cat="Physical",FLOOR((FLOOR(((2*XLOOKUP(XLOOKUP($Q461,'Threshold Summary'!$Y:$Y,'Threshold Summary'!$K:$K,""),'Pokemon Editor'!$A:$A,'Pokemon Editor'!$F:$F,0)+31+FLOOR(XLOOKUP($Q461,'Threshold Summary'!$Y:$Y,'Threshold Summary'!$P:$P,"")/4))*XLOOKUP($Q461,'Threshold Summary'!$Y:$Y,'Threshold Summary'!$L:$L,""))/100)+5)*XLOOKUP(XLOOKUP($Q461,'Threshold Summary'!$Y:$Y,'Threshold Summary'!$M:$M,""),'Nature Editor'!$A:$A,'Nature Editor'!$B:$B,1)),FLOOR((FLOOR(((2*XLOOKUP(XLOOKUP($Q461,'Threshold Summary'!$Y:$Y,'Threshold Summary'!$K:$K,""),'Pokemon Editor'!$A:$A,'Pokemon Editor'!$H:$H,0)+31+FLOOR(XLOOKUP($Q461,'Threshold Summary'!$Y:$Y,'Threshold Summary'!$R:$R,"")/4))*XLOOKUP($Q461,'Threshold Summary'!$Y:$Y,'Threshold Summary'!$L:$L,""))/100)+5)*XLOOKUP(XLOOKUP($Q461,'Threshold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Editor'!$E:$E,1))),stab,IF(OR(mtype=XLOOKUP(XLOOKUP($Q461,'Threshold Summary'!$Y:$Y,'Threshold Summary'!$K:$K,""),'Pokemon Editor'!$A:$A,'Pokemon Editor'!$C:$C,""),mtype=XLOOKUP(XLOOKUP($Q461,'Threshold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Chart'!$B$1:$S$1,0)))),base,IF(OR(cat="Status",pow=0),0,FLOOR(FLOOR(FLOOR((2*XLOOKUP($Q461,'Threshold Summary'!$Y:$Y,'Threshold Summary'!$L:$L,"")/5+2)*pow*atk/def)/50)+2)),modifier,stab*eff,AVERAGE(ARRAYFORMULA(FLOOR(base*modifier*SEQUENCE(16,1,85,1)/100)))*MIN(1,acc/100)),0)</f>
        <v/>
      </c>
      <c r="N461" s="4">
        <f>IFERROR(LET(mtype,XLOOKUP($D461,'Move Editor'!$B:$B,'Move Editor'!$C:$C,""),cat,XLOOKUP($D461,'Move Editor'!$B:$B,'Move Editor'!$D:$D,""),pow,XLOOKUP($D461,'Move Editor'!$B:$B,'Move Editor'!$E:$E,0),acc,XLOOKUP($D461,'Move Editor'!$B:$B,'Move Editor'!$F:$F,100),atk,IF(cat="Physical",FLOOR((FLOOR(((2*XLOOKUP(XLOOKUP($Q461,'Threshold Summary'!$Y:$Y,'Threshold Summary'!$K:$K,""),'Pokemon Editor'!$A:$A,'Pokemon Editor'!$F:$F,0)+31+FLOOR(XLOOKUP($Q461,'Threshold Summary'!$Y:$Y,'Threshold Summary'!$P:$P,"")/4))*XLOOKUP($Q461,'Threshold Summary'!$Y:$Y,'Threshold Summary'!$L:$L,""))/100)+5)*XLOOKUP(XLOOKUP($Q461,'Threshold Summary'!$Y:$Y,'Threshold Summary'!$M:$M,""),'Nature Editor'!$A:$A,'Nature Editor'!$B:$B,1)),FLOOR((FLOOR(((2*XLOOKUP(XLOOKUP($Q461,'Threshold Summary'!$Y:$Y,'Threshold Summary'!$K:$K,""),'Pokemon Editor'!$A:$A,'Pokemon Editor'!$H:$H,0)+31+FLOOR(XLOOKUP($Q461,'Threshold Summary'!$Y:$Y,'Threshold Summary'!$R:$R,"")/4))*XLOOKUP($Q461,'Threshold Summary'!$Y:$Y,'Threshold Summary'!$L:$L,""))/100)+5)*XLOOKUP(XLOOKUP($Q461,'Threshold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Editor'!$E:$E,1))),stab,IF(OR(mtype=XLOOKUP(XLOOKUP($Q461,'Threshold Summary'!$Y:$Y,'Threshold Summary'!$K:$K,""),'Pokemon Editor'!$A:$A,'Pokemon Editor'!$C:$C,""),mtype=XLOOKUP(XLOOKUP($Q461,'Threshold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Chart'!$B$1:$S$1,0)))),base,IF(OR(cat="Status",pow=0),0,FLOOR(FLOOR(FLOOR((2*XLOOKUP($Q461,'Threshold Summary'!$Y:$Y,'Threshold Summary'!$L:$L,"")/5+2)*pow*atk/def)/50)+2)),modifier,stab*eff,AVERAGE(ARRAYFORMULA(FLOOR(base*modifier*SEQUENCE(16,1,85,1)/100)))/(FLOOR(((2*XLOOKUP('Boss Editor'!$C$4,'Pokemon Editor'!$A:$A,'Pokemon Editor'!$E:$E,0)+31+FLOOR('Boss Editor'!$G$4/4))*'Boss Editor'!$D$4)/100)+'Boss Editor'!$D$4+10)),0)</f>
        <v/>
      </c>
      <c r="O461" s="3">
        <f>IF(N461&gt;=1,"OHKO",IF(N461&gt;=0.5,"2HKO",IF(N461&gt;=0.333,"3HKO",IF(N461&gt;=0.25,"4HKO","5HKO+"))))</f>
        <v/>
      </c>
      <c r="P461" s="3" t="inlineStr">
        <is>
          <t>Live from editable databases</t>
        </is>
      </c>
      <c r="Q461" s="3" t="inlineStr">
        <is>
          <t>SPECIES_SEWADDLE</t>
        </is>
      </c>
      <c r="R461" s="3" t="n">
        <v>12</v>
      </c>
    </row>
    <row r="462">
      <c r="A462" s="3">
        <f>XLOOKUP($Q462,'Threshold Summary'!$Y:$Y,'Threshold Summary'!$A:$A,"")</f>
        <v/>
      </c>
      <c r="B462" s="3">
        <f>XLOOKUP($Q462,'Threshold Summary'!$Y:$Y,'Threshold Summary'!$M:$M,"")</f>
        <v/>
      </c>
      <c r="C462" s="3">
        <f>XLOOKUP($Q462,'Threshold Summary'!$Y:$Y,'Threshold Summary'!$N:$N,"")</f>
        <v/>
      </c>
      <c r="D462" s="3">
        <f>IFERROR(INDEX(FILTER('Learnset Editor'!$D$2:$D,'Learnset Editor'!$A$2:$A=XLOOKUP($Q462,'Threshold Summary'!$Y:$Y,'Threshold Summary'!$K:$K,""),'Learnset Editor'!$C$2:$C&lt;=XLOOKUP($Q462,'Threshold Summary'!$Y:$Y,'Threshold Summary'!$L:$L,"")),$R462),"")</f>
        <v/>
      </c>
      <c r="E462" s="3">
        <f>XLOOKUP(D462,'Move Editor'!$B:$B,'Move Editor'!$C:$C,"")</f>
        <v/>
      </c>
      <c r="F462" s="3">
        <f>XLOOKUP(D462,'Move Editor'!$B:$B,'Move Editor'!$D:$D,"")</f>
        <v/>
      </c>
      <c r="G462" s="3">
        <f>XLOOKUP(D462,'Move Editor'!$B:$B,'Move Editor'!$E:$E,0)</f>
        <v/>
      </c>
      <c r="H462" s="3">
        <f>XLOOKUP(D462,'Move Editor'!$B:$B,'Move Editor'!$F:$F,0)</f>
        <v/>
      </c>
      <c r="I462" s="3">
        <f>(INDEX('Type Chart'!$B:$S,MATCH(E462,'Type Chart'!$A:$A,0),MATCH(XLOOKUP('Boss Editor'!$C$4,'Pokemon Editor'!$A:$A,'Pokemon Editor'!$C:$C,""),'Type Chart'!$B$1:$S$1,0))*IF(XLOOKUP('Boss Editor'!$C$4,'Pokemon Editor'!$A:$A,'Pokemon Editor'!$D:$D,"")="",1,INDEX('Type Chart'!$B:$S,MATCH(E462,'Type Chart'!$A:$A,0),MATCH(XLOOKUP('Boss Editor'!$C$4,'Pokemon Editor'!$A:$A,'Pokemon Editor'!$D:$D,""),'Type Chart'!$B$1:$S$1,0))))</f>
        <v/>
      </c>
      <c r="J462" s="3">
        <f>IFERROR(LET(mtype,XLOOKUP($D462,'Move Editor'!$B:$B,'Move Editor'!$C:$C,""),cat,XLOOKUP($D462,'Move Editor'!$B:$B,'Move Editor'!$D:$D,""),pow,XLOOKUP($D462,'Move Editor'!$B:$B,'Move Editor'!$E:$E,0),acc,XLOOKUP($D462,'Move Editor'!$B:$B,'Move Editor'!$F:$F,100),atk,IF(cat="Physical",FLOOR((FLOOR(((2*XLOOKUP(XLOOKUP($Q462,'Threshold Summary'!$Y:$Y,'Threshold Summary'!$K:$K,""),'Pokemon Editor'!$A:$A,'Pokemon Editor'!$F:$F,0)+31+FLOOR(XLOOKUP($Q462,'Threshold Summary'!$Y:$Y,'Threshold Summary'!$P:$P,"")/4))*XLOOKUP($Q462,'Threshold Summary'!$Y:$Y,'Threshold Summary'!$L:$L,""))/100)+5)*XLOOKUP(XLOOKUP($Q462,'Threshold Summary'!$Y:$Y,'Threshold Summary'!$M:$M,""),'Nature Editor'!$A:$A,'Nature Editor'!$B:$B,1)),FLOOR((FLOOR(((2*XLOOKUP(XLOOKUP($Q462,'Threshold Summary'!$Y:$Y,'Threshold Summary'!$K:$K,""),'Pokemon Editor'!$A:$A,'Pokemon Editor'!$H:$H,0)+31+FLOOR(XLOOKUP($Q462,'Threshold Summary'!$Y:$Y,'Threshold Summary'!$R:$R,"")/4))*XLOOKUP($Q462,'Threshold Summary'!$Y:$Y,'Threshold Summary'!$L:$L,""))/100)+5)*XLOOKUP(XLOOKUP($Q462,'Threshold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Editor'!$E:$E,1))),stab,IF(OR(mtype=XLOOKUP(XLOOKUP($Q462,'Threshold Summary'!$Y:$Y,'Threshold Summary'!$K:$K,""),'Pokemon Editor'!$A:$A,'Pokemon Editor'!$C:$C,""),mtype=XLOOKUP(XLOOKUP($Q462,'Threshold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Chart'!$B$1:$S$1,0)))),base,IF(OR(cat="Status",pow=0),0,FLOOR(FLOOR(FLOOR((2*XLOOKUP($Q462,'Threshold Summary'!$Y:$Y,'Threshold Summary'!$L:$L,"")/5+2)*pow*atk/def)/50)+2)),modifier,stab*eff,FLOOR(base*modifier*0.85)),0)</f>
        <v/>
      </c>
      <c r="K462" s="3">
        <f>IFERROR(LET(mtype,XLOOKUP($D462,'Move Editor'!$B:$B,'Move Editor'!$C:$C,""),cat,XLOOKUP($D462,'Move Editor'!$B:$B,'Move Editor'!$D:$D,""),pow,XLOOKUP($D462,'Move Editor'!$B:$B,'Move Editor'!$E:$E,0),acc,XLOOKUP($D462,'Move Editor'!$B:$B,'Move Editor'!$F:$F,100),atk,IF(cat="Physical",FLOOR((FLOOR(((2*XLOOKUP(XLOOKUP($Q462,'Threshold Summary'!$Y:$Y,'Threshold Summary'!$K:$K,""),'Pokemon Editor'!$A:$A,'Pokemon Editor'!$F:$F,0)+31+FLOOR(XLOOKUP($Q462,'Threshold Summary'!$Y:$Y,'Threshold Summary'!$P:$P,"")/4))*XLOOKUP($Q462,'Threshold Summary'!$Y:$Y,'Threshold Summary'!$L:$L,""))/100)+5)*XLOOKUP(XLOOKUP($Q462,'Threshold Summary'!$Y:$Y,'Threshold Summary'!$M:$M,""),'Nature Editor'!$A:$A,'Nature Editor'!$B:$B,1)),FLOOR((FLOOR(((2*XLOOKUP(XLOOKUP($Q462,'Threshold Summary'!$Y:$Y,'Threshold Summary'!$K:$K,""),'Pokemon Editor'!$A:$A,'Pokemon Editor'!$H:$H,0)+31+FLOOR(XLOOKUP($Q462,'Threshold Summary'!$Y:$Y,'Threshold Summary'!$R:$R,"")/4))*XLOOKUP($Q462,'Threshold Summary'!$Y:$Y,'Threshold Summary'!$L:$L,""))/100)+5)*XLOOKUP(XLOOKUP($Q462,'Threshold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Editor'!$E:$E,1))),stab,IF(OR(mtype=XLOOKUP(XLOOKUP($Q462,'Threshold Summary'!$Y:$Y,'Threshold Summary'!$K:$K,""),'Pokemon Editor'!$A:$A,'Pokemon Editor'!$C:$C,""),mtype=XLOOKUP(XLOOKUP($Q462,'Threshold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Chart'!$B$1:$S$1,0)))),base,IF(OR(cat="Status",pow=0),0,FLOOR(FLOOR(FLOOR((2*XLOOKUP($Q462,'Threshold Summary'!$Y:$Y,'Threshold Summary'!$L:$L,"")/5+2)*pow*atk/def)/50)+2)),modifier,stab*eff,FLOOR(base*modifier)),0)</f>
        <v/>
      </c>
      <c r="L462" s="3">
        <f>IFERROR(LET(mtype,XLOOKUP($D462,'Move Editor'!$B:$B,'Move Editor'!$C:$C,""),cat,XLOOKUP($D462,'Move Editor'!$B:$B,'Move Editor'!$D:$D,""),pow,XLOOKUP($D462,'Move Editor'!$B:$B,'Move Editor'!$E:$E,0),acc,XLOOKUP($D462,'Move Editor'!$B:$B,'Move Editor'!$F:$F,100),atk,IF(cat="Physical",FLOOR((FLOOR(((2*XLOOKUP(XLOOKUP($Q462,'Threshold Summary'!$Y:$Y,'Threshold Summary'!$K:$K,""),'Pokemon Editor'!$A:$A,'Pokemon Editor'!$F:$F,0)+31+FLOOR(XLOOKUP($Q462,'Threshold Summary'!$Y:$Y,'Threshold Summary'!$P:$P,"")/4))*XLOOKUP($Q462,'Threshold Summary'!$Y:$Y,'Threshold Summary'!$L:$L,""))/100)+5)*XLOOKUP(XLOOKUP($Q462,'Threshold Summary'!$Y:$Y,'Threshold Summary'!$M:$M,""),'Nature Editor'!$A:$A,'Nature Editor'!$B:$B,1)),FLOOR((FLOOR(((2*XLOOKUP(XLOOKUP($Q462,'Threshold Summary'!$Y:$Y,'Threshold Summary'!$K:$K,""),'Pokemon Editor'!$A:$A,'Pokemon Editor'!$H:$H,0)+31+FLOOR(XLOOKUP($Q462,'Threshold Summary'!$Y:$Y,'Threshold Summary'!$R:$R,"")/4))*XLOOKUP($Q462,'Threshold Summary'!$Y:$Y,'Threshold Summary'!$L:$L,""))/100)+5)*XLOOKUP(XLOOKUP($Q462,'Threshold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Editor'!$E:$E,1))),stab,IF(OR(mtype=XLOOKUP(XLOOKUP($Q462,'Threshold Summary'!$Y:$Y,'Threshold Summary'!$K:$K,""),'Pokemon Editor'!$A:$A,'Pokemon Editor'!$C:$C,""),mtype=XLOOKUP(XLOOKUP($Q462,'Threshold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Chart'!$B$1:$S$1,0)))),base,IF(OR(cat="Status",pow=0),0,FLOOR(FLOOR(FLOOR((2*XLOOKUP($Q462,'Threshold Summary'!$Y:$Y,'Threshold Summary'!$L:$L,"")/5+2)*pow*atk/def)/50)+2)),modifier,stab*eff,AVERAGE(ARRAYFORMULA(FLOOR(base*modifier*SEQUENCE(16,1,85,1)/100)))),0)</f>
        <v/>
      </c>
      <c r="M462" s="3">
        <f>IFERROR(LET(mtype,XLOOKUP($D462,'Move Editor'!$B:$B,'Move Editor'!$C:$C,""),cat,XLOOKUP($D462,'Move Editor'!$B:$B,'Move Editor'!$D:$D,""),pow,XLOOKUP($D462,'Move Editor'!$B:$B,'Move Editor'!$E:$E,0),acc,XLOOKUP($D462,'Move Editor'!$B:$B,'Move Editor'!$F:$F,100),atk,IF(cat="Physical",FLOOR((FLOOR(((2*XLOOKUP(XLOOKUP($Q462,'Threshold Summary'!$Y:$Y,'Threshold Summary'!$K:$K,""),'Pokemon Editor'!$A:$A,'Pokemon Editor'!$F:$F,0)+31+FLOOR(XLOOKUP($Q462,'Threshold Summary'!$Y:$Y,'Threshold Summary'!$P:$P,"")/4))*XLOOKUP($Q462,'Threshold Summary'!$Y:$Y,'Threshold Summary'!$L:$L,""))/100)+5)*XLOOKUP(XLOOKUP($Q462,'Threshold Summary'!$Y:$Y,'Threshold Summary'!$M:$M,""),'Nature Editor'!$A:$A,'Nature Editor'!$B:$B,1)),FLOOR((FLOOR(((2*XLOOKUP(XLOOKUP($Q462,'Threshold Summary'!$Y:$Y,'Threshold Summary'!$K:$K,""),'Pokemon Editor'!$A:$A,'Pokemon Editor'!$H:$H,0)+31+FLOOR(XLOOKUP($Q462,'Threshold Summary'!$Y:$Y,'Threshold Summary'!$R:$R,"")/4))*XLOOKUP($Q462,'Threshold Summary'!$Y:$Y,'Threshold Summary'!$L:$L,""))/100)+5)*XLOOKUP(XLOOKUP($Q462,'Threshold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Editor'!$E:$E,1))),stab,IF(OR(mtype=XLOOKUP(XLOOKUP($Q462,'Threshold Summary'!$Y:$Y,'Threshold Summary'!$K:$K,""),'Pokemon Editor'!$A:$A,'Pokemon Editor'!$C:$C,""),mtype=XLOOKUP(XLOOKUP($Q462,'Threshold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Chart'!$B$1:$S$1,0)))),base,IF(OR(cat="Status",pow=0),0,FLOOR(FLOOR(FLOOR((2*XLOOKUP($Q462,'Threshold Summary'!$Y:$Y,'Threshold Summary'!$L:$L,"")/5+2)*pow*atk/def)/50)+2)),modifier,stab*eff,AVERAGE(ARRAYFORMULA(FLOOR(base*modifier*SEQUENCE(16,1,85,1)/100)))*MIN(1,acc/100)),0)</f>
        <v/>
      </c>
      <c r="N462" s="4">
        <f>IFERROR(LET(mtype,XLOOKUP($D462,'Move Editor'!$B:$B,'Move Editor'!$C:$C,""),cat,XLOOKUP($D462,'Move Editor'!$B:$B,'Move Editor'!$D:$D,""),pow,XLOOKUP($D462,'Move Editor'!$B:$B,'Move Editor'!$E:$E,0),acc,XLOOKUP($D462,'Move Editor'!$B:$B,'Move Editor'!$F:$F,100),atk,IF(cat="Physical",FLOOR((FLOOR(((2*XLOOKUP(XLOOKUP($Q462,'Threshold Summary'!$Y:$Y,'Threshold Summary'!$K:$K,""),'Pokemon Editor'!$A:$A,'Pokemon Editor'!$F:$F,0)+31+FLOOR(XLOOKUP($Q462,'Threshold Summary'!$Y:$Y,'Threshold Summary'!$P:$P,"")/4))*XLOOKUP($Q462,'Threshold Summary'!$Y:$Y,'Threshold Summary'!$L:$L,""))/100)+5)*XLOOKUP(XLOOKUP($Q462,'Threshold Summary'!$Y:$Y,'Threshold Summary'!$M:$M,""),'Nature Editor'!$A:$A,'Nature Editor'!$B:$B,1)),FLOOR((FLOOR(((2*XLOOKUP(XLOOKUP($Q462,'Threshold Summary'!$Y:$Y,'Threshold Summary'!$K:$K,""),'Pokemon Editor'!$A:$A,'Pokemon Editor'!$H:$H,0)+31+FLOOR(XLOOKUP($Q462,'Threshold Summary'!$Y:$Y,'Threshold Summary'!$R:$R,"")/4))*XLOOKUP($Q462,'Threshold Summary'!$Y:$Y,'Threshold Summary'!$L:$L,""))/100)+5)*XLOOKUP(XLOOKUP($Q462,'Threshold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Editor'!$E:$E,1))),stab,IF(OR(mtype=XLOOKUP(XLOOKUP($Q462,'Threshold Summary'!$Y:$Y,'Threshold Summary'!$K:$K,""),'Pokemon Editor'!$A:$A,'Pokemon Editor'!$C:$C,""),mtype=XLOOKUP(XLOOKUP($Q462,'Threshold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Chart'!$B$1:$S$1,0)))),base,IF(OR(cat="Status",pow=0),0,FLOOR(FLOOR(FLOOR((2*XLOOKUP($Q462,'Threshold Summary'!$Y:$Y,'Threshold Summary'!$L:$L,"")/5+2)*pow*atk/def)/50)+2)),modifier,stab*eff,AVERAGE(ARRAYFORMULA(FLOOR(base*modifier*SEQUENCE(16,1,85,1)/100)))/(FLOOR(((2*XLOOKUP('Boss Editor'!$C$4,'Pokemon Editor'!$A:$A,'Pokemon Editor'!$E:$E,0)+31+FLOOR('Boss Editor'!$G$4/4))*'Boss Editor'!$D$4)/100)+'Boss Editor'!$D$4+10)),0)</f>
        <v/>
      </c>
      <c r="O462" s="3">
        <f>IF(N462&gt;=1,"OHKO",IF(N462&gt;=0.5,"2HKO",IF(N462&gt;=0.333,"3HKO",IF(N462&gt;=0.25,"4HKO","5HKO+"))))</f>
        <v/>
      </c>
      <c r="P462" s="3" t="inlineStr">
        <is>
          <t>Live from editable databases</t>
        </is>
      </c>
      <c r="Q462" s="3" t="inlineStr">
        <is>
          <t>SPECIES_SEWADDLE</t>
        </is>
      </c>
      <c r="R462" s="3" t="n">
        <v>13</v>
      </c>
    </row>
    <row r="463">
      <c r="A463" s="3">
        <f>XLOOKUP($Q463,'Threshold Summary'!$Y:$Y,'Threshold Summary'!$A:$A,"")</f>
        <v/>
      </c>
      <c r="B463" s="3">
        <f>XLOOKUP($Q463,'Threshold Summary'!$Y:$Y,'Threshold Summary'!$M:$M,"")</f>
        <v/>
      </c>
      <c r="C463" s="3">
        <f>XLOOKUP($Q463,'Threshold Summary'!$Y:$Y,'Threshold Summary'!$N:$N,"")</f>
        <v/>
      </c>
      <c r="D463" s="3">
        <f>IFERROR(INDEX(FILTER('Learnset Editor'!$D$2:$D,'Learnset Editor'!$A$2:$A=XLOOKUP($Q463,'Threshold Summary'!$Y:$Y,'Threshold Summary'!$K:$K,""),'Learnset Editor'!$C$2:$C&lt;=XLOOKUP($Q463,'Threshold Summary'!$Y:$Y,'Threshold Summary'!$L:$L,"")),$R463),"")</f>
        <v/>
      </c>
      <c r="E463" s="3">
        <f>XLOOKUP(D463,'Move Editor'!$B:$B,'Move Editor'!$C:$C,"")</f>
        <v/>
      </c>
      <c r="F463" s="3">
        <f>XLOOKUP(D463,'Move Editor'!$B:$B,'Move Editor'!$D:$D,"")</f>
        <v/>
      </c>
      <c r="G463" s="3">
        <f>XLOOKUP(D463,'Move Editor'!$B:$B,'Move Editor'!$E:$E,0)</f>
        <v/>
      </c>
      <c r="H463" s="3">
        <f>XLOOKUP(D463,'Move Editor'!$B:$B,'Move Editor'!$F:$F,0)</f>
        <v/>
      </c>
      <c r="I463" s="3">
        <f>(INDEX('Type Chart'!$B:$S,MATCH(E463,'Type Chart'!$A:$A,0),MATCH(XLOOKUP('Boss Editor'!$C$4,'Pokemon Editor'!$A:$A,'Pokemon Editor'!$C:$C,""),'Type Chart'!$B$1:$S$1,0))*IF(XLOOKUP('Boss Editor'!$C$4,'Pokemon Editor'!$A:$A,'Pokemon Editor'!$D:$D,"")="",1,INDEX('Type Chart'!$B:$S,MATCH(E463,'Type Chart'!$A:$A,0),MATCH(XLOOKUP('Boss Editor'!$C$4,'Pokemon Editor'!$A:$A,'Pokemon Editor'!$D:$D,""),'Type Chart'!$B$1:$S$1,0))))</f>
        <v/>
      </c>
      <c r="J463" s="3">
        <f>IFERROR(LET(mtype,XLOOKUP($D463,'Move Editor'!$B:$B,'Move Editor'!$C:$C,""),cat,XLOOKUP($D463,'Move Editor'!$B:$B,'Move Editor'!$D:$D,""),pow,XLOOKUP($D463,'Move Editor'!$B:$B,'Move Editor'!$E:$E,0),acc,XLOOKUP($D463,'Move Editor'!$B:$B,'Move Editor'!$F:$F,100),atk,IF(cat="Physical",FLOOR((FLOOR(((2*XLOOKUP(XLOOKUP($Q463,'Threshold Summary'!$Y:$Y,'Threshold Summary'!$K:$K,""),'Pokemon Editor'!$A:$A,'Pokemon Editor'!$F:$F,0)+31+FLOOR(XLOOKUP($Q463,'Threshold Summary'!$Y:$Y,'Threshold Summary'!$P:$P,"")/4))*XLOOKUP($Q463,'Threshold Summary'!$Y:$Y,'Threshold Summary'!$L:$L,""))/100)+5)*XLOOKUP(XLOOKUP($Q463,'Threshold Summary'!$Y:$Y,'Threshold Summary'!$M:$M,""),'Nature Editor'!$A:$A,'Nature Editor'!$B:$B,1)),FLOOR((FLOOR(((2*XLOOKUP(XLOOKUP($Q463,'Threshold Summary'!$Y:$Y,'Threshold Summary'!$K:$K,""),'Pokemon Editor'!$A:$A,'Pokemon Editor'!$H:$H,0)+31+FLOOR(XLOOKUP($Q463,'Threshold Summary'!$Y:$Y,'Threshold Summary'!$R:$R,"")/4))*XLOOKUP($Q463,'Threshold Summary'!$Y:$Y,'Threshold Summary'!$L:$L,""))/100)+5)*XLOOKUP(XLOOKUP($Q463,'Threshold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Editor'!$E:$E,1))),stab,IF(OR(mtype=XLOOKUP(XLOOKUP($Q463,'Threshold Summary'!$Y:$Y,'Threshold Summary'!$K:$K,""),'Pokemon Editor'!$A:$A,'Pokemon Editor'!$C:$C,""),mtype=XLOOKUP(XLOOKUP($Q463,'Threshold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Chart'!$B$1:$S$1,0)))),base,IF(OR(cat="Status",pow=0),0,FLOOR(FLOOR(FLOOR((2*XLOOKUP($Q463,'Threshold Summary'!$Y:$Y,'Threshold Summary'!$L:$L,"")/5+2)*pow*atk/def)/50)+2)),modifier,stab*eff,FLOOR(base*modifier*0.85)),0)</f>
        <v/>
      </c>
      <c r="K463" s="3">
        <f>IFERROR(LET(mtype,XLOOKUP($D463,'Move Editor'!$B:$B,'Move Editor'!$C:$C,""),cat,XLOOKUP($D463,'Move Editor'!$B:$B,'Move Editor'!$D:$D,""),pow,XLOOKUP($D463,'Move Editor'!$B:$B,'Move Editor'!$E:$E,0),acc,XLOOKUP($D463,'Move Editor'!$B:$B,'Move Editor'!$F:$F,100),atk,IF(cat="Physical",FLOOR((FLOOR(((2*XLOOKUP(XLOOKUP($Q463,'Threshold Summary'!$Y:$Y,'Threshold Summary'!$K:$K,""),'Pokemon Editor'!$A:$A,'Pokemon Editor'!$F:$F,0)+31+FLOOR(XLOOKUP($Q463,'Threshold Summary'!$Y:$Y,'Threshold Summary'!$P:$P,"")/4))*XLOOKUP($Q463,'Threshold Summary'!$Y:$Y,'Threshold Summary'!$L:$L,""))/100)+5)*XLOOKUP(XLOOKUP($Q463,'Threshold Summary'!$Y:$Y,'Threshold Summary'!$M:$M,""),'Nature Editor'!$A:$A,'Nature Editor'!$B:$B,1)),FLOOR((FLOOR(((2*XLOOKUP(XLOOKUP($Q463,'Threshold Summary'!$Y:$Y,'Threshold Summary'!$K:$K,""),'Pokemon Editor'!$A:$A,'Pokemon Editor'!$H:$H,0)+31+FLOOR(XLOOKUP($Q463,'Threshold Summary'!$Y:$Y,'Threshold Summary'!$R:$R,"")/4))*XLOOKUP($Q463,'Threshold Summary'!$Y:$Y,'Threshold Summary'!$L:$L,""))/100)+5)*XLOOKUP(XLOOKUP($Q463,'Threshold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Editor'!$E:$E,1))),stab,IF(OR(mtype=XLOOKUP(XLOOKUP($Q463,'Threshold Summary'!$Y:$Y,'Threshold Summary'!$K:$K,""),'Pokemon Editor'!$A:$A,'Pokemon Editor'!$C:$C,""),mtype=XLOOKUP(XLOOKUP($Q463,'Threshold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Chart'!$B$1:$S$1,0)))),base,IF(OR(cat="Status",pow=0),0,FLOOR(FLOOR(FLOOR((2*XLOOKUP($Q463,'Threshold Summary'!$Y:$Y,'Threshold Summary'!$L:$L,"")/5+2)*pow*atk/def)/50)+2)),modifier,stab*eff,FLOOR(base*modifier)),0)</f>
        <v/>
      </c>
      <c r="L463" s="3">
        <f>IFERROR(LET(mtype,XLOOKUP($D463,'Move Editor'!$B:$B,'Move Editor'!$C:$C,""),cat,XLOOKUP($D463,'Move Editor'!$B:$B,'Move Editor'!$D:$D,""),pow,XLOOKUP($D463,'Move Editor'!$B:$B,'Move Editor'!$E:$E,0),acc,XLOOKUP($D463,'Move Editor'!$B:$B,'Move Editor'!$F:$F,100),atk,IF(cat="Physical",FLOOR((FLOOR(((2*XLOOKUP(XLOOKUP($Q463,'Threshold Summary'!$Y:$Y,'Threshold Summary'!$K:$K,""),'Pokemon Editor'!$A:$A,'Pokemon Editor'!$F:$F,0)+31+FLOOR(XLOOKUP($Q463,'Threshold Summary'!$Y:$Y,'Threshold Summary'!$P:$P,"")/4))*XLOOKUP($Q463,'Threshold Summary'!$Y:$Y,'Threshold Summary'!$L:$L,""))/100)+5)*XLOOKUP(XLOOKUP($Q463,'Threshold Summary'!$Y:$Y,'Threshold Summary'!$M:$M,""),'Nature Editor'!$A:$A,'Nature Editor'!$B:$B,1)),FLOOR((FLOOR(((2*XLOOKUP(XLOOKUP($Q463,'Threshold Summary'!$Y:$Y,'Threshold Summary'!$K:$K,""),'Pokemon Editor'!$A:$A,'Pokemon Editor'!$H:$H,0)+31+FLOOR(XLOOKUP($Q463,'Threshold Summary'!$Y:$Y,'Threshold Summary'!$R:$R,"")/4))*XLOOKUP($Q463,'Threshold Summary'!$Y:$Y,'Threshold Summary'!$L:$L,""))/100)+5)*XLOOKUP(XLOOKUP($Q463,'Threshold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Editor'!$E:$E,1))),stab,IF(OR(mtype=XLOOKUP(XLOOKUP($Q463,'Threshold Summary'!$Y:$Y,'Threshold Summary'!$K:$K,""),'Pokemon Editor'!$A:$A,'Pokemon Editor'!$C:$C,""),mtype=XLOOKUP(XLOOKUP($Q463,'Threshold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Chart'!$B$1:$S$1,0)))),base,IF(OR(cat="Status",pow=0),0,FLOOR(FLOOR(FLOOR((2*XLOOKUP($Q463,'Threshold Summary'!$Y:$Y,'Threshold Summary'!$L:$L,"")/5+2)*pow*atk/def)/50)+2)),modifier,stab*eff,AVERAGE(ARRAYFORMULA(FLOOR(base*modifier*SEQUENCE(16,1,85,1)/100)))),0)</f>
        <v/>
      </c>
      <c r="M463" s="3">
        <f>IFERROR(LET(mtype,XLOOKUP($D463,'Move Editor'!$B:$B,'Move Editor'!$C:$C,""),cat,XLOOKUP($D463,'Move Editor'!$B:$B,'Move Editor'!$D:$D,""),pow,XLOOKUP($D463,'Move Editor'!$B:$B,'Move Editor'!$E:$E,0),acc,XLOOKUP($D463,'Move Editor'!$B:$B,'Move Editor'!$F:$F,100),atk,IF(cat="Physical",FLOOR((FLOOR(((2*XLOOKUP(XLOOKUP($Q463,'Threshold Summary'!$Y:$Y,'Threshold Summary'!$K:$K,""),'Pokemon Editor'!$A:$A,'Pokemon Editor'!$F:$F,0)+31+FLOOR(XLOOKUP($Q463,'Threshold Summary'!$Y:$Y,'Threshold Summary'!$P:$P,"")/4))*XLOOKUP($Q463,'Threshold Summary'!$Y:$Y,'Threshold Summary'!$L:$L,""))/100)+5)*XLOOKUP(XLOOKUP($Q463,'Threshold Summary'!$Y:$Y,'Threshold Summary'!$M:$M,""),'Nature Editor'!$A:$A,'Nature Editor'!$B:$B,1)),FLOOR((FLOOR(((2*XLOOKUP(XLOOKUP($Q463,'Threshold Summary'!$Y:$Y,'Threshold Summary'!$K:$K,""),'Pokemon Editor'!$A:$A,'Pokemon Editor'!$H:$H,0)+31+FLOOR(XLOOKUP($Q463,'Threshold Summary'!$Y:$Y,'Threshold Summary'!$R:$R,"")/4))*XLOOKUP($Q463,'Threshold Summary'!$Y:$Y,'Threshold Summary'!$L:$L,""))/100)+5)*XLOOKUP(XLOOKUP($Q463,'Threshold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Editor'!$E:$E,1))),stab,IF(OR(mtype=XLOOKUP(XLOOKUP($Q463,'Threshold Summary'!$Y:$Y,'Threshold Summary'!$K:$K,""),'Pokemon Editor'!$A:$A,'Pokemon Editor'!$C:$C,""),mtype=XLOOKUP(XLOOKUP($Q463,'Threshold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Chart'!$B$1:$S$1,0)))),base,IF(OR(cat="Status",pow=0),0,FLOOR(FLOOR(FLOOR((2*XLOOKUP($Q463,'Threshold Summary'!$Y:$Y,'Threshold Summary'!$L:$L,"")/5+2)*pow*atk/def)/50)+2)),modifier,stab*eff,AVERAGE(ARRAYFORMULA(FLOOR(base*modifier*SEQUENCE(16,1,85,1)/100)))*MIN(1,acc/100)),0)</f>
        <v/>
      </c>
      <c r="N463" s="4">
        <f>IFERROR(LET(mtype,XLOOKUP($D463,'Move Editor'!$B:$B,'Move Editor'!$C:$C,""),cat,XLOOKUP($D463,'Move Editor'!$B:$B,'Move Editor'!$D:$D,""),pow,XLOOKUP($D463,'Move Editor'!$B:$B,'Move Editor'!$E:$E,0),acc,XLOOKUP($D463,'Move Editor'!$B:$B,'Move Editor'!$F:$F,100),atk,IF(cat="Physical",FLOOR((FLOOR(((2*XLOOKUP(XLOOKUP($Q463,'Threshold Summary'!$Y:$Y,'Threshold Summary'!$K:$K,""),'Pokemon Editor'!$A:$A,'Pokemon Editor'!$F:$F,0)+31+FLOOR(XLOOKUP($Q463,'Threshold Summary'!$Y:$Y,'Threshold Summary'!$P:$P,"")/4))*XLOOKUP($Q463,'Threshold Summary'!$Y:$Y,'Threshold Summary'!$L:$L,""))/100)+5)*XLOOKUP(XLOOKUP($Q463,'Threshold Summary'!$Y:$Y,'Threshold Summary'!$M:$M,""),'Nature Editor'!$A:$A,'Nature Editor'!$B:$B,1)),FLOOR((FLOOR(((2*XLOOKUP(XLOOKUP($Q463,'Threshold Summary'!$Y:$Y,'Threshold Summary'!$K:$K,""),'Pokemon Editor'!$A:$A,'Pokemon Editor'!$H:$H,0)+31+FLOOR(XLOOKUP($Q463,'Threshold Summary'!$Y:$Y,'Threshold Summary'!$R:$R,"")/4))*XLOOKUP($Q463,'Threshold Summary'!$Y:$Y,'Threshold Summary'!$L:$L,""))/100)+5)*XLOOKUP(XLOOKUP($Q463,'Threshold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Editor'!$E:$E,1))),stab,IF(OR(mtype=XLOOKUP(XLOOKUP($Q463,'Threshold Summary'!$Y:$Y,'Threshold Summary'!$K:$K,""),'Pokemon Editor'!$A:$A,'Pokemon Editor'!$C:$C,""),mtype=XLOOKUP(XLOOKUP($Q463,'Threshold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Chart'!$B$1:$S$1,0)))),base,IF(OR(cat="Status",pow=0),0,FLOOR(FLOOR(FLOOR((2*XLOOKUP($Q463,'Threshold Summary'!$Y:$Y,'Threshold Summary'!$L:$L,"")/5+2)*pow*atk/def)/50)+2)),modifier,stab*eff,AVERAGE(ARRAYFORMULA(FLOOR(base*modifier*SEQUENCE(16,1,85,1)/100)))/(FLOOR(((2*XLOOKUP('Boss Editor'!$C$4,'Pokemon Editor'!$A:$A,'Pokemon Editor'!$E:$E,0)+31+FLOOR('Boss Editor'!$G$4/4))*'Boss Editor'!$D$4)/100)+'Boss Editor'!$D$4+10)),0)</f>
        <v/>
      </c>
      <c r="O463" s="3">
        <f>IF(N463&gt;=1,"OHKO",IF(N463&gt;=0.5,"2HKO",IF(N463&gt;=0.333,"3HKO",IF(N463&gt;=0.25,"4HKO","5HKO+"))))</f>
        <v/>
      </c>
      <c r="P463" s="3" t="inlineStr">
        <is>
          <t>Live from editable databases</t>
        </is>
      </c>
      <c r="Q463" s="3" t="inlineStr">
        <is>
          <t>SPECIES_SEWADDLE</t>
        </is>
      </c>
      <c r="R463" s="3" t="n">
        <v>14</v>
      </c>
    </row>
    <row r="464">
      <c r="A464" s="3">
        <f>XLOOKUP($Q464,'Threshold Summary'!$Y:$Y,'Threshold Summary'!$A:$A,"")</f>
        <v/>
      </c>
      <c r="B464" s="3">
        <f>XLOOKUP($Q464,'Threshold Summary'!$Y:$Y,'Threshold Summary'!$M:$M,"")</f>
        <v/>
      </c>
      <c r="C464" s="3">
        <f>XLOOKUP($Q464,'Threshold Summary'!$Y:$Y,'Threshold Summary'!$N:$N,"")</f>
        <v/>
      </c>
      <c r="D464" s="3">
        <f>IFERROR(INDEX(FILTER('Learnset Editor'!$D$2:$D,'Learnset Editor'!$A$2:$A=XLOOKUP($Q464,'Threshold Summary'!$Y:$Y,'Threshold Summary'!$K:$K,""),'Learnset Editor'!$C$2:$C&lt;=XLOOKUP($Q464,'Threshold Summary'!$Y:$Y,'Threshold Summary'!$L:$L,"")),$R464),"")</f>
        <v/>
      </c>
      <c r="E464" s="3">
        <f>XLOOKUP(D464,'Move Editor'!$B:$B,'Move Editor'!$C:$C,"")</f>
        <v/>
      </c>
      <c r="F464" s="3">
        <f>XLOOKUP(D464,'Move Editor'!$B:$B,'Move Editor'!$D:$D,"")</f>
        <v/>
      </c>
      <c r="G464" s="3">
        <f>XLOOKUP(D464,'Move Editor'!$B:$B,'Move Editor'!$E:$E,0)</f>
        <v/>
      </c>
      <c r="H464" s="3">
        <f>XLOOKUP(D464,'Move Editor'!$B:$B,'Move Editor'!$F:$F,0)</f>
        <v/>
      </c>
      <c r="I464" s="3">
        <f>(INDEX('Type Chart'!$B:$S,MATCH(E464,'Type Chart'!$A:$A,0),MATCH(XLOOKUP('Boss Editor'!$C$4,'Pokemon Editor'!$A:$A,'Pokemon Editor'!$C:$C,""),'Type Chart'!$B$1:$S$1,0))*IF(XLOOKUP('Boss Editor'!$C$4,'Pokemon Editor'!$A:$A,'Pokemon Editor'!$D:$D,"")="",1,INDEX('Type Chart'!$B:$S,MATCH(E464,'Type Chart'!$A:$A,0),MATCH(XLOOKUP('Boss Editor'!$C$4,'Pokemon Editor'!$A:$A,'Pokemon Editor'!$D:$D,""),'Type Chart'!$B$1:$S$1,0))))</f>
        <v/>
      </c>
      <c r="J464" s="3">
        <f>IFERROR(LET(mtype,XLOOKUP($D464,'Move Editor'!$B:$B,'Move Editor'!$C:$C,""),cat,XLOOKUP($D464,'Move Editor'!$B:$B,'Move Editor'!$D:$D,""),pow,XLOOKUP($D464,'Move Editor'!$B:$B,'Move Editor'!$E:$E,0),acc,XLOOKUP($D464,'Move Editor'!$B:$B,'Move Editor'!$F:$F,100),atk,IF(cat="Physical",FLOOR((FLOOR(((2*XLOOKUP(XLOOKUP($Q464,'Threshold Summary'!$Y:$Y,'Threshold Summary'!$K:$K,""),'Pokemon Editor'!$A:$A,'Pokemon Editor'!$F:$F,0)+31+FLOOR(XLOOKUP($Q464,'Threshold Summary'!$Y:$Y,'Threshold Summary'!$P:$P,"")/4))*XLOOKUP($Q464,'Threshold Summary'!$Y:$Y,'Threshold Summary'!$L:$L,""))/100)+5)*XLOOKUP(XLOOKUP($Q464,'Threshold Summary'!$Y:$Y,'Threshold Summary'!$M:$M,""),'Nature Editor'!$A:$A,'Nature Editor'!$B:$B,1)),FLOOR((FLOOR(((2*XLOOKUP(XLOOKUP($Q464,'Threshold Summary'!$Y:$Y,'Threshold Summary'!$K:$K,""),'Pokemon Editor'!$A:$A,'Pokemon Editor'!$H:$H,0)+31+FLOOR(XLOOKUP($Q464,'Threshold Summary'!$Y:$Y,'Threshold Summary'!$R:$R,"")/4))*XLOOKUP($Q464,'Threshold Summary'!$Y:$Y,'Threshold Summary'!$L:$L,""))/100)+5)*XLOOKUP(XLOOKUP($Q464,'Threshold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Editor'!$E:$E,1))),stab,IF(OR(mtype=XLOOKUP(XLOOKUP($Q464,'Threshold Summary'!$Y:$Y,'Threshold Summary'!$K:$K,""),'Pokemon Editor'!$A:$A,'Pokemon Editor'!$C:$C,""),mtype=XLOOKUP(XLOOKUP($Q464,'Threshold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Chart'!$B$1:$S$1,0)))),base,IF(OR(cat="Status",pow=0),0,FLOOR(FLOOR(FLOOR((2*XLOOKUP($Q464,'Threshold Summary'!$Y:$Y,'Threshold Summary'!$L:$L,"")/5+2)*pow*atk/def)/50)+2)),modifier,stab*eff,FLOOR(base*modifier*0.85)),0)</f>
        <v/>
      </c>
      <c r="K464" s="3">
        <f>IFERROR(LET(mtype,XLOOKUP($D464,'Move Editor'!$B:$B,'Move Editor'!$C:$C,""),cat,XLOOKUP($D464,'Move Editor'!$B:$B,'Move Editor'!$D:$D,""),pow,XLOOKUP($D464,'Move Editor'!$B:$B,'Move Editor'!$E:$E,0),acc,XLOOKUP($D464,'Move Editor'!$B:$B,'Move Editor'!$F:$F,100),atk,IF(cat="Physical",FLOOR((FLOOR(((2*XLOOKUP(XLOOKUP($Q464,'Threshold Summary'!$Y:$Y,'Threshold Summary'!$K:$K,""),'Pokemon Editor'!$A:$A,'Pokemon Editor'!$F:$F,0)+31+FLOOR(XLOOKUP($Q464,'Threshold Summary'!$Y:$Y,'Threshold Summary'!$P:$P,"")/4))*XLOOKUP($Q464,'Threshold Summary'!$Y:$Y,'Threshold Summary'!$L:$L,""))/100)+5)*XLOOKUP(XLOOKUP($Q464,'Threshold Summary'!$Y:$Y,'Threshold Summary'!$M:$M,""),'Nature Editor'!$A:$A,'Nature Editor'!$B:$B,1)),FLOOR((FLOOR(((2*XLOOKUP(XLOOKUP($Q464,'Threshold Summary'!$Y:$Y,'Threshold Summary'!$K:$K,""),'Pokemon Editor'!$A:$A,'Pokemon Editor'!$H:$H,0)+31+FLOOR(XLOOKUP($Q464,'Threshold Summary'!$Y:$Y,'Threshold Summary'!$R:$R,"")/4))*XLOOKUP($Q464,'Threshold Summary'!$Y:$Y,'Threshold Summary'!$L:$L,""))/100)+5)*XLOOKUP(XLOOKUP($Q464,'Threshold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Editor'!$E:$E,1))),stab,IF(OR(mtype=XLOOKUP(XLOOKUP($Q464,'Threshold Summary'!$Y:$Y,'Threshold Summary'!$K:$K,""),'Pokemon Editor'!$A:$A,'Pokemon Editor'!$C:$C,""),mtype=XLOOKUP(XLOOKUP($Q464,'Threshold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Chart'!$B$1:$S$1,0)))),base,IF(OR(cat="Status",pow=0),0,FLOOR(FLOOR(FLOOR((2*XLOOKUP($Q464,'Threshold Summary'!$Y:$Y,'Threshold Summary'!$L:$L,"")/5+2)*pow*atk/def)/50)+2)),modifier,stab*eff,FLOOR(base*modifier)),0)</f>
        <v/>
      </c>
      <c r="L464" s="3">
        <f>IFERROR(LET(mtype,XLOOKUP($D464,'Move Editor'!$B:$B,'Move Editor'!$C:$C,""),cat,XLOOKUP($D464,'Move Editor'!$B:$B,'Move Editor'!$D:$D,""),pow,XLOOKUP($D464,'Move Editor'!$B:$B,'Move Editor'!$E:$E,0),acc,XLOOKUP($D464,'Move Editor'!$B:$B,'Move Editor'!$F:$F,100),atk,IF(cat="Physical",FLOOR((FLOOR(((2*XLOOKUP(XLOOKUP($Q464,'Threshold Summary'!$Y:$Y,'Threshold Summary'!$K:$K,""),'Pokemon Editor'!$A:$A,'Pokemon Editor'!$F:$F,0)+31+FLOOR(XLOOKUP($Q464,'Threshold Summary'!$Y:$Y,'Threshold Summary'!$P:$P,"")/4))*XLOOKUP($Q464,'Threshold Summary'!$Y:$Y,'Threshold Summary'!$L:$L,""))/100)+5)*XLOOKUP(XLOOKUP($Q464,'Threshold Summary'!$Y:$Y,'Threshold Summary'!$M:$M,""),'Nature Editor'!$A:$A,'Nature Editor'!$B:$B,1)),FLOOR((FLOOR(((2*XLOOKUP(XLOOKUP($Q464,'Threshold Summary'!$Y:$Y,'Threshold Summary'!$K:$K,""),'Pokemon Editor'!$A:$A,'Pokemon Editor'!$H:$H,0)+31+FLOOR(XLOOKUP($Q464,'Threshold Summary'!$Y:$Y,'Threshold Summary'!$R:$R,"")/4))*XLOOKUP($Q464,'Threshold Summary'!$Y:$Y,'Threshold Summary'!$L:$L,""))/100)+5)*XLOOKUP(XLOOKUP($Q464,'Threshold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Editor'!$E:$E,1))),stab,IF(OR(mtype=XLOOKUP(XLOOKUP($Q464,'Threshold Summary'!$Y:$Y,'Threshold Summary'!$K:$K,""),'Pokemon Editor'!$A:$A,'Pokemon Editor'!$C:$C,""),mtype=XLOOKUP(XLOOKUP($Q464,'Threshold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Chart'!$B$1:$S$1,0)))),base,IF(OR(cat="Status",pow=0),0,FLOOR(FLOOR(FLOOR((2*XLOOKUP($Q464,'Threshold Summary'!$Y:$Y,'Threshold Summary'!$L:$L,"")/5+2)*pow*atk/def)/50)+2)),modifier,stab*eff,AVERAGE(ARRAYFORMULA(FLOOR(base*modifier*SEQUENCE(16,1,85,1)/100)))),0)</f>
        <v/>
      </c>
      <c r="M464" s="3">
        <f>IFERROR(LET(mtype,XLOOKUP($D464,'Move Editor'!$B:$B,'Move Editor'!$C:$C,""),cat,XLOOKUP($D464,'Move Editor'!$B:$B,'Move Editor'!$D:$D,""),pow,XLOOKUP($D464,'Move Editor'!$B:$B,'Move Editor'!$E:$E,0),acc,XLOOKUP($D464,'Move Editor'!$B:$B,'Move Editor'!$F:$F,100),atk,IF(cat="Physical",FLOOR((FLOOR(((2*XLOOKUP(XLOOKUP($Q464,'Threshold Summary'!$Y:$Y,'Threshold Summary'!$K:$K,""),'Pokemon Editor'!$A:$A,'Pokemon Editor'!$F:$F,0)+31+FLOOR(XLOOKUP($Q464,'Threshold Summary'!$Y:$Y,'Threshold Summary'!$P:$P,"")/4))*XLOOKUP($Q464,'Threshold Summary'!$Y:$Y,'Threshold Summary'!$L:$L,""))/100)+5)*XLOOKUP(XLOOKUP($Q464,'Threshold Summary'!$Y:$Y,'Threshold Summary'!$M:$M,""),'Nature Editor'!$A:$A,'Nature Editor'!$B:$B,1)),FLOOR((FLOOR(((2*XLOOKUP(XLOOKUP($Q464,'Threshold Summary'!$Y:$Y,'Threshold Summary'!$K:$K,""),'Pokemon Editor'!$A:$A,'Pokemon Editor'!$H:$H,0)+31+FLOOR(XLOOKUP($Q464,'Threshold Summary'!$Y:$Y,'Threshold Summary'!$R:$R,"")/4))*XLOOKUP($Q464,'Threshold Summary'!$Y:$Y,'Threshold Summary'!$L:$L,""))/100)+5)*XLOOKUP(XLOOKUP($Q464,'Threshold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Editor'!$E:$E,1))),stab,IF(OR(mtype=XLOOKUP(XLOOKUP($Q464,'Threshold Summary'!$Y:$Y,'Threshold Summary'!$K:$K,""),'Pokemon Editor'!$A:$A,'Pokemon Editor'!$C:$C,""),mtype=XLOOKUP(XLOOKUP($Q464,'Threshold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Chart'!$B$1:$S$1,0)))),base,IF(OR(cat="Status",pow=0),0,FLOOR(FLOOR(FLOOR((2*XLOOKUP($Q464,'Threshold Summary'!$Y:$Y,'Threshold Summary'!$L:$L,"")/5+2)*pow*atk/def)/50)+2)),modifier,stab*eff,AVERAGE(ARRAYFORMULA(FLOOR(base*modifier*SEQUENCE(16,1,85,1)/100)))*MIN(1,acc/100)),0)</f>
        <v/>
      </c>
      <c r="N464" s="4">
        <f>IFERROR(LET(mtype,XLOOKUP($D464,'Move Editor'!$B:$B,'Move Editor'!$C:$C,""),cat,XLOOKUP($D464,'Move Editor'!$B:$B,'Move Editor'!$D:$D,""),pow,XLOOKUP($D464,'Move Editor'!$B:$B,'Move Editor'!$E:$E,0),acc,XLOOKUP($D464,'Move Editor'!$B:$B,'Move Editor'!$F:$F,100),atk,IF(cat="Physical",FLOOR((FLOOR(((2*XLOOKUP(XLOOKUP($Q464,'Threshold Summary'!$Y:$Y,'Threshold Summary'!$K:$K,""),'Pokemon Editor'!$A:$A,'Pokemon Editor'!$F:$F,0)+31+FLOOR(XLOOKUP($Q464,'Threshold Summary'!$Y:$Y,'Threshold Summary'!$P:$P,"")/4))*XLOOKUP($Q464,'Threshold Summary'!$Y:$Y,'Threshold Summary'!$L:$L,""))/100)+5)*XLOOKUP(XLOOKUP($Q464,'Threshold Summary'!$Y:$Y,'Threshold Summary'!$M:$M,""),'Nature Editor'!$A:$A,'Nature Editor'!$B:$B,1)),FLOOR((FLOOR(((2*XLOOKUP(XLOOKUP($Q464,'Threshold Summary'!$Y:$Y,'Threshold Summary'!$K:$K,""),'Pokemon Editor'!$A:$A,'Pokemon Editor'!$H:$H,0)+31+FLOOR(XLOOKUP($Q464,'Threshold Summary'!$Y:$Y,'Threshold Summary'!$R:$R,"")/4))*XLOOKUP($Q464,'Threshold Summary'!$Y:$Y,'Threshold Summary'!$L:$L,""))/100)+5)*XLOOKUP(XLOOKUP($Q464,'Threshold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Editor'!$E:$E,1))),stab,IF(OR(mtype=XLOOKUP(XLOOKUP($Q464,'Threshold Summary'!$Y:$Y,'Threshold Summary'!$K:$K,""),'Pokemon Editor'!$A:$A,'Pokemon Editor'!$C:$C,""),mtype=XLOOKUP(XLOOKUP($Q464,'Threshold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Chart'!$B$1:$S$1,0)))),base,IF(OR(cat="Status",pow=0),0,FLOOR(FLOOR(FLOOR((2*XLOOKUP($Q464,'Threshold Summary'!$Y:$Y,'Threshold Summary'!$L:$L,"")/5+2)*pow*atk/def)/50)+2)),modifier,stab*eff,AVERAGE(ARRAYFORMULA(FLOOR(base*modifier*SEQUENCE(16,1,85,1)/100)))/(FLOOR(((2*XLOOKUP('Boss Editor'!$C$4,'Pokemon Editor'!$A:$A,'Pokemon Editor'!$E:$E,0)+31+FLOOR('Boss Editor'!$G$4/4))*'Boss Editor'!$D$4)/100)+'Boss Editor'!$D$4+10)),0)</f>
        <v/>
      </c>
      <c r="O464" s="3">
        <f>IF(N464&gt;=1,"OHKO",IF(N464&gt;=0.5,"2HKO",IF(N464&gt;=0.333,"3HKO",IF(N464&gt;=0.25,"4HKO","5HKO+"))))</f>
        <v/>
      </c>
      <c r="P464" s="3" t="inlineStr">
        <is>
          <t>Live from editable databases</t>
        </is>
      </c>
      <c r="Q464" s="3" t="inlineStr">
        <is>
          <t>SPECIES_SEWADDLE</t>
        </is>
      </c>
      <c r="R464" s="3" t="n">
        <v>15</v>
      </c>
    </row>
    <row r="465">
      <c r="A465" s="3">
        <f>XLOOKUP($Q465,'Threshold Summary'!$Y:$Y,'Threshold Summary'!$A:$A,"")</f>
        <v/>
      </c>
      <c r="B465" s="3">
        <f>XLOOKUP($Q465,'Threshold Summary'!$Y:$Y,'Threshold Summary'!$M:$M,"")</f>
        <v/>
      </c>
      <c r="C465" s="3">
        <f>XLOOKUP($Q465,'Threshold Summary'!$Y:$Y,'Threshold Summary'!$N:$N,"")</f>
        <v/>
      </c>
      <c r="D465" s="3">
        <f>IFERROR(INDEX(FILTER('Learnset Editor'!$D$2:$D,'Learnset Editor'!$A$2:$A=XLOOKUP($Q465,'Threshold Summary'!$Y:$Y,'Threshold Summary'!$K:$K,""),'Learnset Editor'!$C$2:$C&lt;=XLOOKUP($Q465,'Threshold Summary'!$Y:$Y,'Threshold Summary'!$L:$L,"")),$R465),"")</f>
        <v/>
      </c>
      <c r="E465" s="3">
        <f>XLOOKUP(D465,'Move Editor'!$B:$B,'Move Editor'!$C:$C,"")</f>
        <v/>
      </c>
      <c r="F465" s="3">
        <f>XLOOKUP(D465,'Move Editor'!$B:$B,'Move Editor'!$D:$D,"")</f>
        <v/>
      </c>
      <c r="G465" s="3">
        <f>XLOOKUP(D465,'Move Editor'!$B:$B,'Move Editor'!$E:$E,0)</f>
        <v/>
      </c>
      <c r="H465" s="3">
        <f>XLOOKUP(D465,'Move Editor'!$B:$B,'Move Editor'!$F:$F,0)</f>
        <v/>
      </c>
      <c r="I465" s="3">
        <f>(INDEX('Type Chart'!$B:$S,MATCH(E465,'Type Chart'!$A:$A,0),MATCH(XLOOKUP('Boss Editor'!$C$4,'Pokemon Editor'!$A:$A,'Pokemon Editor'!$C:$C,""),'Type Chart'!$B$1:$S$1,0))*IF(XLOOKUP('Boss Editor'!$C$4,'Pokemon Editor'!$A:$A,'Pokemon Editor'!$D:$D,"")="",1,INDEX('Type Chart'!$B:$S,MATCH(E465,'Type Chart'!$A:$A,0),MATCH(XLOOKUP('Boss Editor'!$C$4,'Pokemon Editor'!$A:$A,'Pokemon Editor'!$D:$D,""),'Type Chart'!$B$1:$S$1,0))))</f>
        <v/>
      </c>
      <c r="J465" s="3">
        <f>IFERROR(LET(mtype,XLOOKUP($D465,'Move Editor'!$B:$B,'Move Editor'!$C:$C,""),cat,XLOOKUP($D465,'Move Editor'!$B:$B,'Move Editor'!$D:$D,""),pow,XLOOKUP($D465,'Move Editor'!$B:$B,'Move Editor'!$E:$E,0),acc,XLOOKUP($D465,'Move Editor'!$B:$B,'Move Editor'!$F:$F,100),atk,IF(cat="Physical",FLOOR((FLOOR(((2*XLOOKUP(XLOOKUP($Q465,'Threshold Summary'!$Y:$Y,'Threshold Summary'!$K:$K,""),'Pokemon Editor'!$A:$A,'Pokemon Editor'!$F:$F,0)+31+FLOOR(XLOOKUP($Q465,'Threshold Summary'!$Y:$Y,'Threshold Summary'!$P:$P,"")/4))*XLOOKUP($Q465,'Threshold Summary'!$Y:$Y,'Threshold Summary'!$L:$L,""))/100)+5)*XLOOKUP(XLOOKUP($Q465,'Threshold Summary'!$Y:$Y,'Threshold Summary'!$M:$M,""),'Nature Editor'!$A:$A,'Nature Editor'!$B:$B,1)),FLOOR((FLOOR(((2*XLOOKUP(XLOOKUP($Q465,'Threshold Summary'!$Y:$Y,'Threshold Summary'!$K:$K,""),'Pokemon Editor'!$A:$A,'Pokemon Editor'!$H:$H,0)+31+FLOOR(XLOOKUP($Q465,'Threshold Summary'!$Y:$Y,'Threshold Summary'!$R:$R,"")/4))*XLOOKUP($Q465,'Threshold Summary'!$Y:$Y,'Threshold Summary'!$L:$L,""))/100)+5)*XLOOKUP(XLOOKUP($Q465,'Threshold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Editor'!$E:$E,1))),stab,IF(OR(mtype=XLOOKUP(XLOOKUP($Q465,'Threshold Summary'!$Y:$Y,'Threshold Summary'!$K:$K,""),'Pokemon Editor'!$A:$A,'Pokemon Editor'!$C:$C,""),mtype=XLOOKUP(XLOOKUP($Q465,'Threshold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Chart'!$B$1:$S$1,0)))),base,IF(OR(cat="Status",pow=0),0,FLOOR(FLOOR(FLOOR((2*XLOOKUP($Q465,'Threshold Summary'!$Y:$Y,'Threshold Summary'!$L:$L,"")/5+2)*pow*atk/def)/50)+2)),modifier,stab*eff,FLOOR(base*modifier*0.85)),0)</f>
        <v/>
      </c>
      <c r="K465" s="3">
        <f>IFERROR(LET(mtype,XLOOKUP($D465,'Move Editor'!$B:$B,'Move Editor'!$C:$C,""),cat,XLOOKUP($D465,'Move Editor'!$B:$B,'Move Editor'!$D:$D,""),pow,XLOOKUP($D465,'Move Editor'!$B:$B,'Move Editor'!$E:$E,0),acc,XLOOKUP($D465,'Move Editor'!$B:$B,'Move Editor'!$F:$F,100),atk,IF(cat="Physical",FLOOR((FLOOR(((2*XLOOKUP(XLOOKUP($Q465,'Threshold Summary'!$Y:$Y,'Threshold Summary'!$K:$K,""),'Pokemon Editor'!$A:$A,'Pokemon Editor'!$F:$F,0)+31+FLOOR(XLOOKUP($Q465,'Threshold Summary'!$Y:$Y,'Threshold Summary'!$P:$P,"")/4))*XLOOKUP($Q465,'Threshold Summary'!$Y:$Y,'Threshold Summary'!$L:$L,""))/100)+5)*XLOOKUP(XLOOKUP($Q465,'Threshold Summary'!$Y:$Y,'Threshold Summary'!$M:$M,""),'Nature Editor'!$A:$A,'Nature Editor'!$B:$B,1)),FLOOR((FLOOR(((2*XLOOKUP(XLOOKUP($Q465,'Threshold Summary'!$Y:$Y,'Threshold Summary'!$K:$K,""),'Pokemon Editor'!$A:$A,'Pokemon Editor'!$H:$H,0)+31+FLOOR(XLOOKUP($Q465,'Threshold Summary'!$Y:$Y,'Threshold Summary'!$R:$R,"")/4))*XLOOKUP($Q465,'Threshold Summary'!$Y:$Y,'Threshold Summary'!$L:$L,""))/100)+5)*XLOOKUP(XLOOKUP($Q465,'Threshold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Editor'!$E:$E,1))),stab,IF(OR(mtype=XLOOKUP(XLOOKUP($Q465,'Threshold Summary'!$Y:$Y,'Threshold Summary'!$K:$K,""),'Pokemon Editor'!$A:$A,'Pokemon Editor'!$C:$C,""),mtype=XLOOKUP(XLOOKUP($Q465,'Threshold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Chart'!$B$1:$S$1,0)))),base,IF(OR(cat="Status",pow=0),0,FLOOR(FLOOR(FLOOR((2*XLOOKUP($Q465,'Threshold Summary'!$Y:$Y,'Threshold Summary'!$L:$L,"")/5+2)*pow*atk/def)/50)+2)),modifier,stab*eff,FLOOR(base*modifier)),0)</f>
        <v/>
      </c>
      <c r="L465" s="3">
        <f>IFERROR(LET(mtype,XLOOKUP($D465,'Move Editor'!$B:$B,'Move Editor'!$C:$C,""),cat,XLOOKUP($D465,'Move Editor'!$B:$B,'Move Editor'!$D:$D,""),pow,XLOOKUP($D465,'Move Editor'!$B:$B,'Move Editor'!$E:$E,0),acc,XLOOKUP($D465,'Move Editor'!$B:$B,'Move Editor'!$F:$F,100),atk,IF(cat="Physical",FLOOR((FLOOR(((2*XLOOKUP(XLOOKUP($Q465,'Threshold Summary'!$Y:$Y,'Threshold Summary'!$K:$K,""),'Pokemon Editor'!$A:$A,'Pokemon Editor'!$F:$F,0)+31+FLOOR(XLOOKUP($Q465,'Threshold Summary'!$Y:$Y,'Threshold Summary'!$P:$P,"")/4))*XLOOKUP($Q465,'Threshold Summary'!$Y:$Y,'Threshold Summary'!$L:$L,""))/100)+5)*XLOOKUP(XLOOKUP($Q465,'Threshold Summary'!$Y:$Y,'Threshold Summary'!$M:$M,""),'Nature Editor'!$A:$A,'Nature Editor'!$B:$B,1)),FLOOR((FLOOR(((2*XLOOKUP(XLOOKUP($Q465,'Threshold Summary'!$Y:$Y,'Threshold Summary'!$K:$K,""),'Pokemon Editor'!$A:$A,'Pokemon Editor'!$H:$H,0)+31+FLOOR(XLOOKUP($Q465,'Threshold Summary'!$Y:$Y,'Threshold Summary'!$R:$R,"")/4))*XLOOKUP($Q465,'Threshold Summary'!$Y:$Y,'Threshold Summary'!$L:$L,""))/100)+5)*XLOOKUP(XLOOKUP($Q465,'Threshold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Editor'!$E:$E,1))),stab,IF(OR(mtype=XLOOKUP(XLOOKUP($Q465,'Threshold Summary'!$Y:$Y,'Threshold Summary'!$K:$K,""),'Pokemon Editor'!$A:$A,'Pokemon Editor'!$C:$C,""),mtype=XLOOKUP(XLOOKUP($Q465,'Threshold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Chart'!$B$1:$S$1,0)))),base,IF(OR(cat="Status",pow=0),0,FLOOR(FLOOR(FLOOR((2*XLOOKUP($Q465,'Threshold Summary'!$Y:$Y,'Threshold Summary'!$L:$L,"")/5+2)*pow*atk/def)/50)+2)),modifier,stab*eff,AVERAGE(ARRAYFORMULA(FLOOR(base*modifier*SEQUENCE(16,1,85,1)/100)))),0)</f>
        <v/>
      </c>
      <c r="M465" s="3">
        <f>IFERROR(LET(mtype,XLOOKUP($D465,'Move Editor'!$B:$B,'Move Editor'!$C:$C,""),cat,XLOOKUP($D465,'Move Editor'!$B:$B,'Move Editor'!$D:$D,""),pow,XLOOKUP($D465,'Move Editor'!$B:$B,'Move Editor'!$E:$E,0),acc,XLOOKUP($D465,'Move Editor'!$B:$B,'Move Editor'!$F:$F,100),atk,IF(cat="Physical",FLOOR((FLOOR(((2*XLOOKUP(XLOOKUP($Q465,'Threshold Summary'!$Y:$Y,'Threshold Summary'!$K:$K,""),'Pokemon Editor'!$A:$A,'Pokemon Editor'!$F:$F,0)+31+FLOOR(XLOOKUP($Q465,'Threshold Summary'!$Y:$Y,'Threshold Summary'!$P:$P,"")/4))*XLOOKUP($Q465,'Threshold Summary'!$Y:$Y,'Threshold Summary'!$L:$L,""))/100)+5)*XLOOKUP(XLOOKUP($Q465,'Threshold Summary'!$Y:$Y,'Threshold Summary'!$M:$M,""),'Nature Editor'!$A:$A,'Nature Editor'!$B:$B,1)),FLOOR((FLOOR(((2*XLOOKUP(XLOOKUP($Q465,'Threshold Summary'!$Y:$Y,'Threshold Summary'!$K:$K,""),'Pokemon Editor'!$A:$A,'Pokemon Editor'!$H:$H,0)+31+FLOOR(XLOOKUP($Q465,'Threshold Summary'!$Y:$Y,'Threshold Summary'!$R:$R,"")/4))*XLOOKUP($Q465,'Threshold Summary'!$Y:$Y,'Threshold Summary'!$L:$L,""))/100)+5)*XLOOKUP(XLOOKUP($Q465,'Threshold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Editor'!$E:$E,1))),stab,IF(OR(mtype=XLOOKUP(XLOOKUP($Q465,'Threshold Summary'!$Y:$Y,'Threshold Summary'!$K:$K,""),'Pokemon Editor'!$A:$A,'Pokemon Editor'!$C:$C,""),mtype=XLOOKUP(XLOOKUP($Q465,'Threshold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Chart'!$B$1:$S$1,0)))),base,IF(OR(cat="Status",pow=0),0,FLOOR(FLOOR(FLOOR((2*XLOOKUP($Q465,'Threshold Summary'!$Y:$Y,'Threshold Summary'!$L:$L,"")/5+2)*pow*atk/def)/50)+2)),modifier,stab*eff,AVERAGE(ARRAYFORMULA(FLOOR(base*modifier*SEQUENCE(16,1,85,1)/100)))*MIN(1,acc/100)),0)</f>
        <v/>
      </c>
      <c r="N465" s="4">
        <f>IFERROR(LET(mtype,XLOOKUP($D465,'Move Editor'!$B:$B,'Move Editor'!$C:$C,""),cat,XLOOKUP($D465,'Move Editor'!$B:$B,'Move Editor'!$D:$D,""),pow,XLOOKUP($D465,'Move Editor'!$B:$B,'Move Editor'!$E:$E,0),acc,XLOOKUP($D465,'Move Editor'!$B:$B,'Move Editor'!$F:$F,100),atk,IF(cat="Physical",FLOOR((FLOOR(((2*XLOOKUP(XLOOKUP($Q465,'Threshold Summary'!$Y:$Y,'Threshold Summary'!$K:$K,""),'Pokemon Editor'!$A:$A,'Pokemon Editor'!$F:$F,0)+31+FLOOR(XLOOKUP($Q465,'Threshold Summary'!$Y:$Y,'Threshold Summary'!$P:$P,"")/4))*XLOOKUP($Q465,'Threshold Summary'!$Y:$Y,'Threshold Summary'!$L:$L,""))/100)+5)*XLOOKUP(XLOOKUP($Q465,'Threshold Summary'!$Y:$Y,'Threshold Summary'!$M:$M,""),'Nature Editor'!$A:$A,'Nature Editor'!$B:$B,1)),FLOOR((FLOOR(((2*XLOOKUP(XLOOKUP($Q465,'Threshold Summary'!$Y:$Y,'Threshold Summary'!$K:$K,""),'Pokemon Editor'!$A:$A,'Pokemon Editor'!$H:$H,0)+31+FLOOR(XLOOKUP($Q465,'Threshold Summary'!$Y:$Y,'Threshold Summary'!$R:$R,"")/4))*XLOOKUP($Q465,'Threshold Summary'!$Y:$Y,'Threshold Summary'!$L:$L,""))/100)+5)*XLOOKUP(XLOOKUP($Q465,'Threshold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Editor'!$E:$E,1))),stab,IF(OR(mtype=XLOOKUP(XLOOKUP($Q465,'Threshold Summary'!$Y:$Y,'Threshold Summary'!$K:$K,""),'Pokemon Editor'!$A:$A,'Pokemon Editor'!$C:$C,""),mtype=XLOOKUP(XLOOKUP($Q465,'Threshold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Chart'!$B$1:$S$1,0)))),base,IF(OR(cat="Status",pow=0),0,FLOOR(FLOOR(FLOOR((2*XLOOKUP($Q465,'Threshold Summary'!$Y:$Y,'Threshold Summary'!$L:$L,"")/5+2)*pow*atk/def)/50)+2)),modifier,stab*eff,AVERAGE(ARRAYFORMULA(FLOOR(base*modifier*SEQUENCE(16,1,85,1)/100)))/(FLOOR(((2*XLOOKUP('Boss Editor'!$C$4,'Pokemon Editor'!$A:$A,'Pokemon Editor'!$E:$E,0)+31+FLOOR('Boss Editor'!$G$4/4))*'Boss Editor'!$D$4)/100)+'Boss Editor'!$D$4+10)),0)</f>
        <v/>
      </c>
      <c r="O465" s="3">
        <f>IF(N465&gt;=1,"OHKO",IF(N465&gt;=0.5,"2HKO",IF(N465&gt;=0.333,"3HKO",IF(N465&gt;=0.25,"4HKO","5HKO+"))))</f>
        <v/>
      </c>
      <c r="P465" s="3" t="inlineStr">
        <is>
          <t>Live from editable databases</t>
        </is>
      </c>
      <c r="Q465" s="3" t="inlineStr">
        <is>
          <t>SPECIES_SEWADDLE</t>
        </is>
      </c>
      <c r="R465" s="3" t="n">
        <v>16</v>
      </c>
    </row>
    <row r="466">
      <c r="A466" s="3">
        <f>XLOOKUP($Q466,'Threshold Summary'!$Y:$Y,'Threshold Summary'!$A:$A,"")</f>
        <v/>
      </c>
      <c r="B466" s="3">
        <f>XLOOKUP($Q466,'Threshold Summary'!$Y:$Y,'Threshold Summary'!$M:$M,"")</f>
        <v/>
      </c>
      <c r="C466" s="3">
        <f>XLOOKUP($Q466,'Threshold Summary'!$Y:$Y,'Threshold Summary'!$N:$N,"")</f>
        <v/>
      </c>
      <c r="D466" s="3">
        <f>IFERROR(INDEX(FILTER('Learnset Editor'!$D$2:$D,'Learnset Editor'!$A$2:$A=XLOOKUP($Q466,'Threshold Summary'!$Y:$Y,'Threshold Summary'!$K:$K,""),'Learnset Editor'!$C$2:$C&lt;=XLOOKUP($Q466,'Threshold Summary'!$Y:$Y,'Threshold Summary'!$L:$L,"")),$R466),"")</f>
        <v/>
      </c>
      <c r="E466" s="3">
        <f>XLOOKUP(D466,'Move Editor'!$B:$B,'Move Editor'!$C:$C,"")</f>
        <v/>
      </c>
      <c r="F466" s="3">
        <f>XLOOKUP(D466,'Move Editor'!$B:$B,'Move Editor'!$D:$D,"")</f>
        <v/>
      </c>
      <c r="G466" s="3">
        <f>XLOOKUP(D466,'Move Editor'!$B:$B,'Move Editor'!$E:$E,0)</f>
        <v/>
      </c>
      <c r="H466" s="3">
        <f>XLOOKUP(D466,'Move Editor'!$B:$B,'Move Editor'!$F:$F,0)</f>
        <v/>
      </c>
      <c r="I466" s="3">
        <f>(INDEX('Type Chart'!$B:$S,MATCH(E466,'Type Chart'!$A:$A,0),MATCH(XLOOKUP('Boss Editor'!$C$4,'Pokemon Editor'!$A:$A,'Pokemon Editor'!$C:$C,""),'Type Chart'!$B$1:$S$1,0))*IF(XLOOKUP('Boss Editor'!$C$4,'Pokemon Editor'!$A:$A,'Pokemon Editor'!$D:$D,"")="",1,INDEX('Type Chart'!$B:$S,MATCH(E466,'Type Chart'!$A:$A,0),MATCH(XLOOKUP('Boss Editor'!$C$4,'Pokemon Editor'!$A:$A,'Pokemon Editor'!$D:$D,""),'Type Chart'!$B$1:$S$1,0))))</f>
        <v/>
      </c>
      <c r="J466" s="3">
        <f>IFERROR(LET(mtype,XLOOKUP($D466,'Move Editor'!$B:$B,'Move Editor'!$C:$C,""),cat,XLOOKUP($D466,'Move Editor'!$B:$B,'Move Editor'!$D:$D,""),pow,XLOOKUP($D466,'Move Editor'!$B:$B,'Move Editor'!$E:$E,0),acc,XLOOKUP($D466,'Move Editor'!$B:$B,'Move Editor'!$F:$F,100),atk,IF(cat="Physical",FLOOR((FLOOR(((2*XLOOKUP(XLOOKUP($Q466,'Threshold Summary'!$Y:$Y,'Threshold Summary'!$K:$K,""),'Pokemon Editor'!$A:$A,'Pokemon Editor'!$F:$F,0)+31+FLOOR(XLOOKUP($Q466,'Threshold Summary'!$Y:$Y,'Threshold Summary'!$P:$P,"")/4))*XLOOKUP($Q466,'Threshold Summary'!$Y:$Y,'Threshold Summary'!$L:$L,""))/100)+5)*XLOOKUP(XLOOKUP($Q466,'Threshold Summary'!$Y:$Y,'Threshold Summary'!$M:$M,""),'Nature Editor'!$A:$A,'Nature Editor'!$B:$B,1)),FLOOR((FLOOR(((2*XLOOKUP(XLOOKUP($Q466,'Threshold Summary'!$Y:$Y,'Threshold Summary'!$K:$K,""),'Pokemon Editor'!$A:$A,'Pokemon Editor'!$H:$H,0)+31+FLOOR(XLOOKUP($Q466,'Threshold Summary'!$Y:$Y,'Threshold Summary'!$R:$R,"")/4))*XLOOKUP($Q466,'Threshold Summary'!$Y:$Y,'Threshold Summary'!$L:$L,""))/100)+5)*XLOOKUP(XLOOKUP($Q466,'Threshold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Editor'!$E:$E,1))),stab,IF(OR(mtype=XLOOKUP(XLOOKUP($Q466,'Threshold Summary'!$Y:$Y,'Threshold Summary'!$K:$K,""),'Pokemon Editor'!$A:$A,'Pokemon Editor'!$C:$C,""),mtype=XLOOKUP(XLOOKUP($Q466,'Threshold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Chart'!$B$1:$S$1,0)))),base,IF(OR(cat="Status",pow=0),0,FLOOR(FLOOR(FLOOR((2*XLOOKUP($Q466,'Threshold Summary'!$Y:$Y,'Threshold Summary'!$L:$L,"")/5+2)*pow*atk/def)/50)+2)),modifier,stab*eff,FLOOR(base*modifier*0.85)),0)</f>
        <v/>
      </c>
      <c r="K466" s="3">
        <f>IFERROR(LET(mtype,XLOOKUP($D466,'Move Editor'!$B:$B,'Move Editor'!$C:$C,""),cat,XLOOKUP($D466,'Move Editor'!$B:$B,'Move Editor'!$D:$D,""),pow,XLOOKUP($D466,'Move Editor'!$B:$B,'Move Editor'!$E:$E,0),acc,XLOOKUP($D466,'Move Editor'!$B:$B,'Move Editor'!$F:$F,100),atk,IF(cat="Physical",FLOOR((FLOOR(((2*XLOOKUP(XLOOKUP($Q466,'Threshold Summary'!$Y:$Y,'Threshold Summary'!$K:$K,""),'Pokemon Editor'!$A:$A,'Pokemon Editor'!$F:$F,0)+31+FLOOR(XLOOKUP($Q466,'Threshold Summary'!$Y:$Y,'Threshold Summary'!$P:$P,"")/4))*XLOOKUP($Q466,'Threshold Summary'!$Y:$Y,'Threshold Summary'!$L:$L,""))/100)+5)*XLOOKUP(XLOOKUP($Q466,'Threshold Summary'!$Y:$Y,'Threshold Summary'!$M:$M,""),'Nature Editor'!$A:$A,'Nature Editor'!$B:$B,1)),FLOOR((FLOOR(((2*XLOOKUP(XLOOKUP($Q466,'Threshold Summary'!$Y:$Y,'Threshold Summary'!$K:$K,""),'Pokemon Editor'!$A:$A,'Pokemon Editor'!$H:$H,0)+31+FLOOR(XLOOKUP($Q466,'Threshold Summary'!$Y:$Y,'Threshold Summary'!$R:$R,"")/4))*XLOOKUP($Q466,'Threshold Summary'!$Y:$Y,'Threshold Summary'!$L:$L,""))/100)+5)*XLOOKUP(XLOOKUP($Q466,'Threshold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Editor'!$E:$E,1))),stab,IF(OR(mtype=XLOOKUP(XLOOKUP($Q466,'Threshold Summary'!$Y:$Y,'Threshold Summary'!$K:$K,""),'Pokemon Editor'!$A:$A,'Pokemon Editor'!$C:$C,""),mtype=XLOOKUP(XLOOKUP($Q466,'Threshold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Chart'!$B$1:$S$1,0)))),base,IF(OR(cat="Status",pow=0),0,FLOOR(FLOOR(FLOOR((2*XLOOKUP($Q466,'Threshold Summary'!$Y:$Y,'Threshold Summary'!$L:$L,"")/5+2)*pow*atk/def)/50)+2)),modifier,stab*eff,FLOOR(base*modifier)),0)</f>
        <v/>
      </c>
      <c r="L466" s="3">
        <f>IFERROR(LET(mtype,XLOOKUP($D466,'Move Editor'!$B:$B,'Move Editor'!$C:$C,""),cat,XLOOKUP($D466,'Move Editor'!$B:$B,'Move Editor'!$D:$D,""),pow,XLOOKUP($D466,'Move Editor'!$B:$B,'Move Editor'!$E:$E,0),acc,XLOOKUP($D466,'Move Editor'!$B:$B,'Move Editor'!$F:$F,100),atk,IF(cat="Physical",FLOOR((FLOOR(((2*XLOOKUP(XLOOKUP($Q466,'Threshold Summary'!$Y:$Y,'Threshold Summary'!$K:$K,""),'Pokemon Editor'!$A:$A,'Pokemon Editor'!$F:$F,0)+31+FLOOR(XLOOKUP($Q466,'Threshold Summary'!$Y:$Y,'Threshold Summary'!$P:$P,"")/4))*XLOOKUP($Q466,'Threshold Summary'!$Y:$Y,'Threshold Summary'!$L:$L,""))/100)+5)*XLOOKUP(XLOOKUP($Q466,'Threshold Summary'!$Y:$Y,'Threshold Summary'!$M:$M,""),'Nature Editor'!$A:$A,'Nature Editor'!$B:$B,1)),FLOOR((FLOOR(((2*XLOOKUP(XLOOKUP($Q466,'Threshold Summary'!$Y:$Y,'Threshold Summary'!$K:$K,""),'Pokemon Editor'!$A:$A,'Pokemon Editor'!$H:$H,0)+31+FLOOR(XLOOKUP($Q466,'Threshold Summary'!$Y:$Y,'Threshold Summary'!$R:$R,"")/4))*XLOOKUP($Q466,'Threshold Summary'!$Y:$Y,'Threshold Summary'!$L:$L,""))/100)+5)*XLOOKUP(XLOOKUP($Q466,'Threshold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Editor'!$E:$E,1))),stab,IF(OR(mtype=XLOOKUP(XLOOKUP($Q466,'Threshold Summary'!$Y:$Y,'Threshold Summary'!$K:$K,""),'Pokemon Editor'!$A:$A,'Pokemon Editor'!$C:$C,""),mtype=XLOOKUP(XLOOKUP($Q466,'Threshold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Chart'!$B$1:$S$1,0)))),base,IF(OR(cat="Status",pow=0),0,FLOOR(FLOOR(FLOOR((2*XLOOKUP($Q466,'Threshold Summary'!$Y:$Y,'Threshold Summary'!$L:$L,"")/5+2)*pow*atk/def)/50)+2)),modifier,stab*eff,AVERAGE(ARRAYFORMULA(FLOOR(base*modifier*SEQUENCE(16,1,85,1)/100)))),0)</f>
        <v/>
      </c>
      <c r="M466" s="3">
        <f>IFERROR(LET(mtype,XLOOKUP($D466,'Move Editor'!$B:$B,'Move Editor'!$C:$C,""),cat,XLOOKUP($D466,'Move Editor'!$B:$B,'Move Editor'!$D:$D,""),pow,XLOOKUP($D466,'Move Editor'!$B:$B,'Move Editor'!$E:$E,0),acc,XLOOKUP($D466,'Move Editor'!$B:$B,'Move Editor'!$F:$F,100),atk,IF(cat="Physical",FLOOR((FLOOR(((2*XLOOKUP(XLOOKUP($Q466,'Threshold Summary'!$Y:$Y,'Threshold Summary'!$K:$K,""),'Pokemon Editor'!$A:$A,'Pokemon Editor'!$F:$F,0)+31+FLOOR(XLOOKUP($Q466,'Threshold Summary'!$Y:$Y,'Threshold Summary'!$P:$P,"")/4))*XLOOKUP($Q466,'Threshold Summary'!$Y:$Y,'Threshold Summary'!$L:$L,""))/100)+5)*XLOOKUP(XLOOKUP($Q466,'Threshold Summary'!$Y:$Y,'Threshold Summary'!$M:$M,""),'Nature Editor'!$A:$A,'Nature Editor'!$B:$B,1)),FLOOR((FLOOR(((2*XLOOKUP(XLOOKUP($Q466,'Threshold Summary'!$Y:$Y,'Threshold Summary'!$K:$K,""),'Pokemon Editor'!$A:$A,'Pokemon Editor'!$H:$H,0)+31+FLOOR(XLOOKUP($Q466,'Threshold Summary'!$Y:$Y,'Threshold Summary'!$R:$R,"")/4))*XLOOKUP($Q466,'Threshold Summary'!$Y:$Y,'Threshold Summary'!$L:$L,""))/100)+5)*XLOOKUP(XLOOKUP($Q466,'Threshold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Editor'!$E:$E,1))),stab,IF(OR(mtype=XLOOKUP(XLOOKUP($Q466,'Threshold Summary'!$Y:$Y,'Threshold Summary'!$K:$K,""),'Pokemon Editor'!$A:$A,'Pokemon Editor'!$C:$C,""),mtype=XLOOKUP(XLOOKUP($Q466,'Threshold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Chart'!$B$1:$S$1,0)))),base,IF(OR(cat="Status",pow=0),0,FLOOR(FLOOR(FLOOR((2*XLOOKUP($Q466,'Threshold Summary'!$Y:$Y,'Threshold Summary'!$L:$L,"")/5+2)*pow*atk/def)/50)+2)),modifier,stab*eff,AVERAGE(ARRAYFORMULA(FLOOR(base*modifier*SEQUENCE(16,1,85,1)/100)))*MIN(1,acc/100)),0)</f>
        <v/>
      </c>
      <c r="N466" s="4">
        <f>IFERROR(LET(mtype,XLOOKUP($D466,'Move Editor'!$B:$B,'Move Editor'!$C:$C,""),cat,XLOOKUP($D466,'Move Editor'!$B:$B,'Move Editor'!$D:$D,""),pow,XLOOKUP($D466,'Move Editor'!$B:$B,'Move Editor'!$E:$E,0),acc,XLOOKUP($D466,'Move Editor'!$B:$B,'Move Editor'!$F:$F,100),atk,IF(cat="Physical",FLOOR((FLOOR(((2*XLOOKUP(XLOOKUP($Q466,'Threshold Summary'!$Y:$Y,'Threshold Summary'!$K:$K,""),'Pokemon Editor'!$A:$A,'Pokemon Editor'!$F:$F,0)+31+FLOOR(XLOOKUP($Q466,'Threshold Summary'!$Y:$Y,'Threshold Summary'!$P:$P,"")/4))*XLOOKUP($Q466,'Threshold Summary'!$Y:$Y,'Threshold Summary'!$L:$L,""))/100)+5)*XLOOKUP(XLOOKUP($Q466,'Threshold Summary'!$Y:$Y,'Threshold Summary'!$M:$M,""),'Nature Editor'!$A:$A,'Nature Editor'!$B:$B,1)),FLOOR((FLOOR(((2*XLOOKUP(XLOOKUP($Q466,'Threshold Summary'!$Y:$Y,'Threshold Summary'!$K:$K,""),'Pokemon Editor'!$A:$A,'Pokemon Editor'!$H:$H,0)+31+FLOOR(XLOOKUP($Q466,'Threshold Summary'!$Y:$Y,'Threshold Summary'!$R:$R,"")/4))*XLOOKUP($Q466,'Threshold Summary'!$Y:$Y,'Threshold Summary'!$L:$L,""))/100)+5)*XLOOKUP(XLOOKUP($Q466,'Threshold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Editor'!$E:$E,1))),stab,IF(OR(mtype=XLOOKUP(XLOOKUP($Q466,'Threshold Summary'!$Y:$Y,'Threshold Summary'!$K:$K,""),'Pokemon Editor'!$A:$A,'Pokemon Editor'!$C:$C,""),mtype=XLOOKUP(XLOOKUP($Q466,'Threshold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Chart'!$B$1:$S$1,0)))),base,IF(OR(cat="Status",pow=0),0,FLOOR(FLOOR(FLOOR((2*XLOOKUP($Q466,'Threshold Summary'!$Y:$Y,'Threshold Summary'!$L:$L,"")/5+2)*pow*atk/def)/50)+2)),modifier,stab*eff,AVERAGE(ARRAYFORMULA(FLOOR(base*modifier*SEQUENCE(16,1,85,1)/100)))/(FLOOR(((2*XLOOKUP('Boss Editor'!$C$4,'Pokemon Editor'!$A:$A,'Pokemon Editor'!$E:$E,0)+31+FLOOR('Boss Editor'!$G$4/4))*'Boss Editor'!$D$4)/100)+'Boss Editor'!$D$4+10)),0)</f>
        <v/>
      </c>
      <c r="O466" s="3">
        <f>IF(N466&gt;=1,"OHKO",IF(N466&gt;=0.5,"2HKO",IF(N466&gt;=0.333,"3HKO",IF(N466&gt;=0.25,"4HKO","5HKO+"))))</f>
        <v/>
      </c>
      <c r="P466" s="3" t="inlineStr">
        <is>
          <t>Live from editable databases</t>
        </is>
      </c>
      <c r="Q466" s="3" t="inlineStr">
        <is>
          <t>SPECIES_SEWADDLE</t>
        </is>
      </c>
      <c r="R466" s="3" t="n">
        <v>17</v>
      </c>
    </row>
    <row r="467">
      <c r="A467" s="3">
        <f>XLOOKUP($Q467,'Threshold Summary'!$Y:$Y,'Threshold Summary'!$A:$A,"")</f>
        <v/>
      </c>
      <c r="B467" s="3">
        <f>XLOOKUP($Q467,'Threshold Summary'!$Y:$Y,'Threshold Summary'!$M:$M,"")</f>
        <v/>
      </c>
      <c r="C467" s="3">
        <f>XLOOKUP($Q467,'Threshold Summary'!$Y:$Y,'Threshold Summary'!$N:$N,"")</f>
        <v/>
      </c>
      <c r="D467" s="3">
        <f>IFERROR(INDEX(FILTER('Learnset Editor'!$D$2:$D,'Learnset Editor'!$A$2:$A=XLOOKUP($Q467,'Threshold Summary'!$Y:$Y,'Threshold Summary'!$K:$K,""),'Learnset Editor'!$C$2:$C&lt;=XLOOKUP($Q467,'Threshold Summary'!$Y:$Y,'Threshold Summary'!$L:$L,"")),$R467),"")</f>
        <v/>
      </c>
      <c r="E467" s="3">
        <f>XLOOKUP(D467,'Move Editor'!$B:$B,'Move Editor'!$C:$C,"")</f>
        <v/>
      </c>
      <c r="F467" s="3">
        <f>XLOOKUP(D467,'Move Editor'!$B:$B,'Move Editor'!$D:$D,"")</f>
        <v/>
      </c>
      <c r="G467" s="3">
        <f>XLOOKUP(D467,'Move Editor'!$B:$B,'Move Editor'!$E:$E,0)</f>
        <v/>
      </c>
      <c r="H467" s="3">
        <f>XLOOKUP(D467,'Move Editor'!$B:$B,'Move Editor'!$F:$F,0)</f>
        <v/>
      </c>
      <c r="I467" s="3">
        <f>(INDEX('Type Chart'!$B:$S,MATCH(E467,'Type Chart'!$A:$A,0),MATCH(XLOOKUP('Boss Editor'!$C$4,'Pokemon Editor'!$A:$A,'Pokemon Editor'!$C:$C,""),'Type Chart'!$B$1:$S$1,0))*IF(XLOOKUP('Boss Editor'!$C$4,'Pokemon Editor'!$A:$A,'Pokemon Editor'!$D:$D,"")="",1,INDEX('Type Chart'!$B:$S,MATCH(E467,'Type Chart'!$A:$A,0),MATCH(XLOOKUP('Boss Editor'!$C$4,'Pokemon Editor'!$A:$A,'Pokemon Editor'!$D:$D,""),'Type Chart'!$B$1:$S$1,0))))</f>
        <v/>
      </c>
      <c r="J467" s="3">
        <f>IFERROR(LET(mtype,XLOOKUP($D467,'Move Editor'!$B:$B,'Move Editor'!$C:$C,""),cat,XLOOKUP($D467,'Move Editor'!$B:$B,'Move Editor'!$D:$D,""),pow,XLOOKUP($D467,'Move Editor'!$B:$B,'Move Editor'!$E:$E,0),acc,XLOOKUP($D467,'Move Editor'!$B:$B,'Move Editor'!$F:$F,100),atk,IF(cat="Physical",FLOOR((FLOOR(((2*XLOOKUP(XLOOKUP($Q467,'Threshold Summary'!$Y:$Y,'Threshold Summary'!$K:$K,""),'Pokemon Editor'!$A:$A,'Pokemon Editor'!$F:$F,0)+31+FLOOR(XLOOKUP($Q467,'Threshold Summary'!$Y:$Y,'Threshold Summary'!$P:$P,"")/4))*XLOOKUP($Q467,'Threshold Summary'!$Y:$Y,'Threshold Summary'!$L:$L,""))/100)+5)*XLOOKUP(XLOOKUP($Q467,'Threshold Summary'!$Y:$Y,'Threshold Summary'!$M:$M,""),'Nature Editor'!$A:$A,'Nature Editor'!$B:$B,1)),FLOOR((FLOOR(((2*XLOOKUP(XLOOKUP($Q467,'Threshold Summary'!$Y:$Y,'Threshold Summary'!$K:$K,""),'Pokemon Editor'!$A:$A,'Pokemon Editor'!$H:$H,0)+31+FLOOR(XLOOKUP($Q467,'Threshold Summary'!$Y:$Y,'Threshold Summary'!$R:$R,"")/4))*XLOOKUP($Q467,'Threshold Summary'!$Y:$Y,'Threshold Summary'!$L:$L,""))/100)+5)*XLOOKUP(XLOOKUP($Q467,'Threshold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Editor'!$E:$E,1))),stab,IF(OR(mtype=XLOOKUP(XLOOKUP($Q467,'Threshold Summary'!$Y:$Y,'Threshold Summary'!$K:$K,""),'Pokemon Editor'!$A:$A,'Pokemon Editor'!$C:$C,""),mtype=XLOOKUP(XLOOKUP($Q467,'Threshold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Chart'!$B$1:$S$1,0)))),base,IF(OR(cat="Status",pow=0),0,FLOOR(FLOOR(FLOOR((2*XLOOKUP($Q467,'Threshold Summary'!$Y:$Y,'Threshold Summary'!$L:$L,"")/5+2)*pow*atk/def)/50)+2)),modifier,stab*eff,FLOOR(base*modifier*0.85)),0)</f>
        <v/>
      </c>
      <c r="K467" s="3">
        <f>IFERROR(LET(mtype,XLOOKUP($D467,'Move Editor'!$B:$B,'Move Editor'!$C:$C,""),cat,XLOOKUP($D467,'Move Editor'!$B:$B,'Move Editor'!$D:$D,""),pow,XLOOKUP($D467,'Move Editor'!$B:$B,'Move Editor'!$E:$E,0),acc,XLOOKUP($D467,'Move Editor'!$B:$B,'Move Editor'!$F:$F,100),atk,IF(cat="Physical",FLOOR((FLOOR(((2*XLOOKUP(XLOOKUP($Q467,'Threshold Summary'!$Y:$Y,'Threshold Summary'!$K:$K,""),'Pokemon Editor'!$A:$A,'Pokemon Editor'!$F:$F,0)+31+FLOOR(XLOOKUP($Q467,'Threshold Summary'!$Y:$Y,'Threshold Summary'!$P:$P,"")/4))*XLOOKUP($Q467,'Threshold Summary'!$Y:$Y,'Threshold Summary'!$L:$L,""))/100)+5)*XLOOKUP(XLOOKUP($Q467,'Threshold Summary'!$Y:$Y,'Threshold Summary'!$M:$M,""),'Nature Editor'!$A:$A,'Nature Editor'!$B:$B,1)),FLOOR((FLOOR(((2*XLOOKUP(XLOOKUP($Q467,'Threshold Summary'!$Y:$Y,'Threshold Summary'!$K:$K,""),'Pokemon Editor'!$A:$A,'Pokemon Editor'!$H:$H,0)+31+FLOOR(XLOOKUP($Q467,'Threshold Summary'!$Y:$Y,'Threshold Summary'!$R:$R,"")/4))*XLOOKUP($Q467,'Threshold Summary'!$Y:$Y,'Threshold Summary'!$L:$L,""))/100)+5)*XLOOKUP(XLOOKUP($Q467,'Threshold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Editor'!$E:$E,1))),stab,IF(OR(mtype=XLOOKUP(XLOOKUP($Q467,'Threshold Summary'!$Y:$Y,'Threshold Summary'!$K:$K,""),'Pokemon Editor'!$A:$A,'Pokemon Editor'!$C:$C,""),mtype=XLOOKUP(XLOOKUP($Q467,'Threshold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Chart'!$B$1:$S$1,0)))),base,IF(OR(cat="Status",pow=0),0,FLOOR(FLOOR(FLOOR((2*XLOOKUP($Q467,'Threshold Summary'!$Y:$Y,'Threshold Summary'!$L:$L,"")/5+2)*pow*atk/def)/50)+2)),modifier,stab*eff,FLOOR(base*modifier)),0)</f>
        <v/>
      </c>
      <c r="L467" s="3">
        <f>IFERROR(LET(mtype,XLOOKUP($D467,'Move Editor'!$B:$B,'Move Editor'!$C:$C,""),cat,XLOOKUP($D467,'Move Editor'!$B:$B,'Move Editor'!$D:$D,""),pow,XLOOKUP($D467,'Move Editor'!$B:$B,'Move Editor'!$E:$E,0),acc,XLOOKUP($D467,'Move Editor'!$B:$B,'Move Editor'!$F:$F,100),atk,IF(cat="Physical",FLOOR((FLOOR(((2*XLOOKUP(XLOOKUP($Q467,'Threshold Summary'!$Y:$Y,'Threshold Summary'!$K:$K,""),'Pokemon Editor'!$A:$A,'Pokemon Editor'!$F:$F,0)+31+FLOOR(XLOOKUP($Q467,'Threshold Summary'!$Y:$Y,'Threshold Summary'!$P:$P,"")/4))*XLOOKUP($Q467,'Threshold Summary'!$Y:$Y,'Threshold Summary'!$L:$L,""))/100)+5)*XLOOKUP(XLOOKUP($Q467,'Threshold Summary'!$Y:$Y,'Threshold Summary'!$M:$M,""),'Nature Editor'!$A:$A,'Nature Editor'!$B:$B,1)),FLOOR((FLOOR(((2*XLOOKUP(XLOOKUP($Q467,'Threshold Summary'!$Y:$Y,'Threshold Summary'!$K:$K,""),'Pokemon Editor'!$A:$A,'Pokemon Editor'!$H:$H,0)+31+FLOOR(XLOOKUP($Q467,'Threshold Summary'!$Y:$Y,'Threshold Summary'!$R:$R,"")/4))*XLOOKUP($Q467,'Threshold Summary'!$Y:$Y,'Threshold Summary'!$L:$L,""))/100)+5)*XLOOKUP(XLOOKUP($Q467,'Threshold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Editor'!$E:$E,1))),stab,IF(OR(mtype=XLOOKUP(XLOOKUP($Q467,'Threshold Summary'!$Y:$Y,'Threshold Summary'!$K:$K,""),'Pokemon Editor'!$A:$A,'Pokemon Editor'!$C:$C,""),mtype=XLOOKUP(XLOOKUP($Q467,'Threshold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Chart'!$B$1:$S$1,0)))),base,IF(OR(cat="Status",pow=0),0,FLOOR(FLOOR(FLOOR((2*XLOOKUP($Q467,'Threshold Summary'!$Y:$Y,'Threshold Summary'!$L:$L,"")/5+2)*pow*atk/def)/50)+2)),modifier,stab*eff,AVERAGE(ARRAYFORMULA(FLOOR(base*modifier*SEQUENCE(16,1,85,1)/100)))),0)</f>
        <v/>
      </c>
      <c r="M467" s="3">
        <f>IFERROR(LET(mtype,XLOOKUP($D467,'Move Editor'!$B:$B,'Move Editor'!$C:$C,""),cat,XLOOKUP($D467,'Move Editor'!$B:$B,'Move Editor'!$D:$D,""),pow,XLOOKUP($D467,'Move Editor'!$B:$B,'Move Editor'!$E:$E,0),acc,XLOOKUP($D467,'Move Editor'!$B:$B,'Move Editor'!$F:$F,100),atk,IF(cat="Physical",FLOOR((FLOOR(((2*XLOOKUP(XLOOKUP($Q467,'Threshold Summary'!$Y:$Y,'Threshold Summary'!$K:$K,""),'Pokemon Editor'!$A:$A,'Pokemon Editor'!$F:$F,0)+31+FLOOR(XLOOKUP($Q467,'Threshold Summary'!$Y:$Y,'Threshold Summary'!$P:$P,"")/4))*XLOOKUP($Q467,'Threshold Summary'!$Y:$Y,'Threshold Summary'!$L:$L,""))/100)+5)*XLOOKUP(XLOOKUP($Q467,'Threshold Summary'!$Y:$Y,'Threshold Summary'!$M:$M,""),'Nature Editor'!$A:$A,'Nature Editor'!$B:$B,1)),FLOOR((FLOOR(((2*XLOOKUP(XLOOKUP($Q467,'Threshold Summary'!$Y:$Y,'Threshold Summary'!$K:$K,""),'Pokemon Editor'!$A:$A,'Pokemon Editor'!$H:$H,0)+31+FLOOR(XLOOKUP($Q467,'Threshold Summary'!$Y:$Y,'Threshold Summary'!$R:$R,"")/4))*XLOOKUP($Q467,'Threshold Summary'!$Y:$Y,'Threshold Summary'!$L:$L,""))/100)+5)*XLOOKUP(XLOOKUP($Q467,'Threshold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Editor'!$E:$E,1))),stab,IF(OR(mtype=XLOOKUP(XLOOKUP($Q467,'Threshold Summary'!$Y:$Y,'Threshold Summary'!$K:$K,""),'Pokemon Editor'!$A:$A,'Pokemon Editor'!$C:$C,""),mtype=XLOOKUP(XLOOKUP($Q467,'Threshold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Chart'!$B$1:$S$1,0)))),base,IF(OR(cat="Status",pow=0),0,FLOOR(FLOOR(FLOOR((2*XLOOKUP($Q467,'Threshold Summary'!$Y:$Y,'Threshold Summary'!$L:$L,"")/5+2)*pow*atk/def)/50)+2)),modifier,stab*eff,AVERAGE(ARRAYFORMULA(FLOOR(base*modifier*SEQUENCE(16,1,85,1)/100)))*MIN(1,acc/100)),0)</f>
        <v/>
      </c>
      <c r="N467" s="4">
        <f>IFERROR(LET(mtype,XLOOKUP($D467,'Move Editor'!$B:$B,'Move Editor'!$C:$C,""),cat,XLOOKUP($D467,'Move Editor'!$B:$B,'Move Editor'!$D:$D,""),pow,XLOOKUP($D467,'Move Editor'!$B:$B,'Move Editor'!$E:$E,0),acc,XLOOKUP($D467,'Move Editor'!$B:$B,'Move Editor'!$F:$F,100),atk,IF(cat="Physical",FLOOR((FLOOR(((2*XLOOKUP(XLOOKUP($Q467,'Threshold Summary'!$Y:$Y,'Threshold Summary'!$K:$K,""),'Pokemon Editor'!$A:$A,'Pokemon Editor'!$F:$F,0)+31+FLOOR(XLOOKUP($Q467,'Threshold Summary'!$Y:$Y,'Threshold Summary'!$P:$P,"")/4))*XLOOKUP($Q467,'Threshold Summary'!$Y:$Y,'Threshold Summary'!$L:$L,""))/100)+5)*XLOOKUP(XLOOKUP($Q467,'Threshold Summary'!$Y:$Y,'Threshold Summary'!$M:$M,""),'Nature Editor'!$A:$A,'Nature Editor'!$B:$B,1)),FLOOR((FLOOR(((2*XLOOKUP(XLOOKUP($Q467,'Threshold Summary'!$Y:$Y,'Threshold Summary'!$K:$K,""),'Pokemon Editor'!$A:$A,'Pokemon Editor'!$H:$H,0)+31+FLOOR(XLOOKUP($Q467,'Threshold Summary'!$Y:$Y,'Threshold Summary'!$R:$R,"")/4))*XLOOKUP($Q467,'Threshold Summary'!$Y:$Y,'Threshold Summary'!$L:$L,""))/100)+5)*XLOOKUP(XLOOKUP($Q467,'Threshold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Editor'!$E:$E,1))),stab,IF(OR(mtype=XLOOKUP(XLOOKUP($Q467,'Threshold Summary'!$Y:$Y,'Threshold Summary'!$K:$K,""),'Pokemon Editor'!$A:$A,'Pokemon Editor'!$C:$C,""),mtype=XLOOKUP(XLOOKUP($Q467,'Threshold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Chart'!$B$1:$S$1,0)))),base,IF(OR(cat="Status",pow=0),0,FLOOR(FLOOR(FLOOR((2*XLOOKUP($Q467,'Threshold Summary'!$Y:$Y,'Threshold Summary'!$L:$L,"")/5+2)*pow*atk/def)/50)+2)),modifier,stab*eff,AVERAGE(ARRAYFORMULA(FLOOR(base*modifier*SEQUENCE(16,1,85,1)/100)))/(FLOOR(((2*XLOOKUP('Boss Editor'!$C$4,'Pokemon Editor'!$A:$A,'Pokemon Editor'!$E:$E,0)+31+FLOOR('Boss Editor'!$G$4/4))*'Boss Editor'!$D$4)/100)+'Boss Editor'!$D$4+10)),0)</f>
        <v/>
      </c>
      <c r="O467" s="3">
        <f>IF(N467&gt;=1,"OHKO",IF(N467&gt;=0.5,"2HKO",IF(N467&gt;=0.333,"3HKO",IF(N467&gt;=0.25,"4HKO","5HKO+"))))</f>
        <v/>
      </c>
      <c r="P467" s="3" t="inlineStr">
        <is>
          <t>Live from editable databases</t>
        </is>
      </c>
      <c r="Q467" s="3" t="inlineStr">
        <is>
          <t>SPECIES_SEWADDLE</t>
        </is>
      </c>
      <c r="R467" s="3" t="n">
        <v>18</v>
      </c>
    </row>
    <row r="468">
      <c r="A468" s="3">
        <f>XLOOKUP($Q468,'Threshold Summary'!$Y:$Y,'Threshold Summary'!$A:$A,"")</f>
        <v/>
      </c>
      <c r="B468" s="3">
        <f>XLOOKUP($Q468,'Threshold Summary'!$Y:$Y,'Threshold Summary'!$M:$M,"")</f>
        <v/>
      </c>
      <c r="C468" s="3">
        <f>XLOOKUP($Q468,'Threshold Summary'!$Y:$Y,'Threshold Summary'!$N:$N,"")</f>
        <v/>
      </c>
      <c r="D468" s="3">
        <f>IFERROR(INDEX(FILTER('Learnset Editor'!$D$2:$D,'Learnset Editor'!$A$2:$A=XLOOKUP($Q468,'Threshold Summary'!$Y:$Y,'Threshold Summary'!$K:$K,""),'Learnset Editor'!$C$2:$C&lt;=XLOOKUP($Q468,'Threshold Summary'!$Y:$Y,'Threshold Summary'!$L:$L,"")),$R468),"")</f>
        <v/>
      </c>
      <c r="E468" s="3">
        <f>XLOOKUP(D468,'Move Editor'!$B:$B,'Move Editor'!$C:$C,"")</f>
        <v/>
      </c>
      <c r="F468" s="3">
        <f>XLOOKUP(D468,'Move Editor'!$B:$B,'Move Editor'!$D:$D,"")</f>
        <v/>
      </c>
      <c r="G468" s="3">
        <f>XLOOKUP(D468,'Move Editor'!$B:$B,'Move Editor'!$E:$E,0)</f>
        <v/>
      </c>
      <c r="H468" s="3">
        <f>XLOOKUP(D468,'Move Editor'!$B:$B,'Move Editor'!$F:$F,0)</f>
        <v/>
      </c>
      <c r="I468" s="3">
        <f>(INDEX('Type Chart'!$B:$S,MATCH(E468,'Type Chart'!$A:$A,0),MATCH(XLOOKUP('Boss Editor'!$C$4,'Pokemon Editor'!$A:$A,'Pokemon Editor'!$C:$C,""),'Type Chart'!$B$1:$S$1,0))*IF(XLOOKUP('Boss Editor'!$C$4,'Pokemon Editor'!$A:$A,'Pokemon Editor'!$D:$D,"")="",1,INDEX('Type Chart'!$B:$S,MATCH(E468,'Type Chart'!$A:$A,0),MATCH(XLOOKUP('Boss Editor'!$C$4,'Pokemon Editor'!$A:$A,'Pokemon Editor'!$D:$D,""),'Type Chart'!$B$1:$S$1,0))))</f>
        <v/>
      </c>
      <c r="J468" s="3">
        <f>IFERROR(LET(mtype,XLOOKUP($D468,'Move Editor'!$B:$B,'Move Editor'!$C:$C,""),cat,XLOOKUP($D468,'Move Editor'!$B:$B,'Move Editor'!$D:$D,""),pow,XLOOKUP($D468,'Move Editor'!$B:$B,'Move Editor'!$E:$E,0),acc,XLOOKUP($D468,'Move Editor'!$B:$B,'Move Editor'!$F:$F,100),atk,IF(cat="Physical",FLOOR((FLOOR(((2*XLOOKUP(XLOOKUP($Q468,'Threshold Summary'!$Y:$Y,'Threshold Summary'!$K:$K,""),'Pokemon Editor'!$A:$A,'Pokemon Editor'!$F:$F,0)+31+FLOOR(XLOOKUP($Q468,'Threshold Summary'!$Y:$Y,'Threshold Summary'!$P:$P,"")/4))*XLOOKUP($Q468,'Threshold Summary'!$Y:$Y,'Threshold Summary'!$L:$L,""))/100)+5)*XLOOKUP(XLOOKUP($Q468,'Threshold Summary'!$Y:$Y,'Threshold Summary'!$M:$M,""),'Nature Editor'!$A:$A,'Nature Editor'!$B:$B,1)),FLOOR((FLOOR(((2*XLOOKUP(XLOOKUP($Q468,'Threshold Summary'!$Y:$Y,'Threshold Summary'!$K:$K,""),'Pokemon Editor'!$A:$A,'Pokemon Editor'!$H:$H,0)+31+FLOOR(XLOOKUP($Q468,'Threshold Summary'!$Y:$Y,'Threshold Summary'!$R:$R,"")/4))*XLOOKUP($Q468,'Threshold Summary'!$Y:$Y,'Threshold Summary'!$L:$L,""))/100)+5)*XLOOKUP(XLOOKUP($Q468,'Threshold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Editor'!$E:$E,1))),stab,IF(OR(mtype=XLOOKUP(XLOOKUP($Q468,'Threshold Summary'!$Y:$Y,'Threshold Summary'!$K:$K,""),'Pokemon Editor'!$A:$A,'Pokemon Editor'!$C:$C,""),mtype=XLOOKUP(XLOOKUP($Q468,'Threshold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Chart'!$B$1:$S$1,0)))),base,IF(OR(cat="Status",pow=0),0,FLOOR(FLOOR(FLOOR((2*XLOOKUP($Q468,'Threshold Summary'!$Y:$Y,'Threshold Summary'!$L:$L,"")/5+2)*pow*atk/def)/50)+2)),modifier,stab*eff,FLOOR(base*modifier*0.85)),0)</f>
        <v/>
      </c>
      <c r="K468" s="3">
        <f>IFERROR(LET(mtype,XLOOKUP($D468,'Move Editor'!$B:$B,'Move Editor'!$C:$C,""),cat,XLOOKUP($D468,'Move Editor'!$B:$B,'Move Editor'!$D:$D,""),pow,XLOOKUP($D468,'Move Editor'!$B:$B,'Move Editor'!$E:$E,0),acc,XLOOKUP($D468,'Move Editor'!$B:$B,'Move Editor'!$F:$F,100),atk,IF(cat="Physical",FLOOR((FLOOR(((2*XLOOKUP(XLOOKUP($Q468,'Threshold Summary'!$Y:$Y,'Threshold Summary'!$K:$K,""),'Pokemon Editor'!$A:$A,'Pokemon Editor'!$F:$F,0)+31+FLOOR(XLOOKUP($Q468,'Threshold Summary'!$Y:$Y,'Threshold Summary'!$P:$P,"")/4))*XLOOKUP($Q468,'Threshold Summary'!$Y:$Y,'Threshold Summary'!$L:$L,""))/100)+5)*XLOOKUP(XLOOKUP($Q468,'Threshold Summary'!$Y:$Y,'Threshold Summary'!$M:$M,""),'Nature Editor'!$A:$A,'Nature Editor'!$B:$B,1)),FLOOR((FLOOR(((2*XLOOKUP(XLOOKUP($Q468,'Threshold Summary'!$Y:$Y,'Threshold Summary'!$K:$K,""),'Pokemon Editor'!$A:$A,'Pokemon Editor'!$H:$H,0)+31+FLOOR(XLOOKUP($Q468,'Threshold Summary'!$Y:$Y,'Threshold Summary'!$R:$R,"")/4))*XLOOKUP($Q468,'Threshold Summary'!$Y:$Y,'Threshold Summary'!$L:$L,""))/100)+5)*XLOOKUP(XLOOKUP($Q468,'Threshold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Editor'!$E:$E,1))),stab,IF(OR(mtype=XLOOKUP(XLOOKUP($Q468,'Threshold Summary'!$Y:$Y,'Threshold Summary'!$K:$K,""),'Pokemon Editor'!$A:$A,'Pokemon Editor'!$C:$C,""),mtype=XLOOKUP(XLOOKUP($Q468,'Threshold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Chart'!$B$1:$S$1,0)))),base,IF(OR(cat="Status",pow=0),0,FLOOR(FLOOR(FLOOR((2*XLOOKUP($Q468,'Threshold Summary'!$Y:$Y,'Threshold Summary'!$L:$L,"")/5+2)*pow*atk/def)/50)+2)),modifier,stab*eff,FLOOR(base*modifier)),0)</f>
        <v/>
      </c>
      <c r="L468" s="3">
        <f>IFERROR(LET(mtype,XLOOKUP($D468,'Move Editor'!$B:$B,'Move Editor'!$C:$C,""),cat,XLOOKUP($D468,'Move Editor'!$B:$B,'Move Editor'!$D:$D,""),pow,XLOOKUP($D468,'Move Editor'!$B:$B,'Move Editor'!$E:$E,0),acc,XLOOKUP($D468,'Move Editor'!$B:$B,'Move Editor'!$F:$F,100),atk,IF(cat="Physical",FLOOR((FLOOR(((2*XLOOKUP(XLOOKUP($Q468,'Threshold Summary'!$Y:$Y,'Threshold Summary'!$K:$K,""),'Pokemon Editor'!$A:$A,'Pokemon Editor'!$F:$F,0)+31+FLOOR(XLOOKUP($Q468,'Threshold Summary'!$Y:$Y,'Threshold Summary'!$P:$P,"")/4))*XLOOKUP($Q468,'Threshold Summary'!$Y:$Y,'Threshold Summary'!$L:$L,""))/100)+5)*XLOOKUP(XLOOKUP($Q468,'Threshold Summary'!$Y:$Y,'Threshold Summary'!$M:$M,""),'Nature Editor'!$A:$A,'Nature Editor'!$B:$B,1)),FLOOR((FLOOR(((2*XLOOKUP(XLOOKUP($Q468,'Threshold Summary'!$Y:$Y,'Threshold Summary'!$K:$K,""),'Pokemon Editor'!$A:$A,'Pokemon Editor'!$H:$H,0)+31+FLOOR(XLOOKUP($Q468,'Threshold Summary'!$Y:$Y,'Threshold Summary'!$R:$R,"")/4))*XLOOKUP($Q468,'Threshold Summary'!$Y:$Y,'Threshold Summary'!$L:$L,""))/100)+5)*XLOOKUP(XLOOKUP($Q468,'Threshold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Editor'!$E:$E,1))),stab,IF(OR(mtype=XLOOKUP(XLOOKUP($Q468,'Threshold Summary'!$Y:$Y,'Threshold Summary'!$K:$K,""),'Pokemon Editor'!$A:$A,'Pokemon Editor'!$C:$C,""),mtype=XLOOKUP(XLOOKUP($Q468,'Threshold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Chart'!$B$1:$S$1,0)))),base,IF(OR(cat="Status",pow=0),0,FLOOR(FLOOR(FLOOR((2*XLOOKUP($Q468,'Threshold Summary'!$Y:$Y,'Threshold Summary'!$L:$L,"")/5+2)*pow*atk/def)/50)+2)),modifier,stab*eff,AVERAGE(ARRAYFORMULA(FLOOR(base*modifier*SEQUENCE(16,1,85,1)/100)))),0)</f>
        <v/>
      </c>
      <c r="M468" s="3">
        <f>IFERROR(LET(mtype,XLOOKUP($D468,'Move Editor'!$B:$B,'Move Editor'!$C:$C,""),cat,XLOOKUP($D468,'Move Editor'!$B:$B,'Move Editor'!$D:$D,""),pow,XLOOKUP($D468,'Move Editor'!$B:$B,'Move Editor'!$E:$E,0),acc,XLOOKUP($D468,'Move Editor'!$B:$B,'Move Editor'!$F:$F,100),atk,IF(cat="Physical",FLOOR((FLOOR(((2*XLOOKUP(XLOOKUP($Q468,'Threshold Summary'!$Y:$Y,'Threshold Summary'!$K:$K,""),'Pokemon Editor'!$A:$A,'Pokemon Editor'!$F:$F,0)+31+FLOOR(XLOOKUP($Q468,'Threshold Summary'!$Y:$Y,'Threshold Summary'!$P:$P,"")/4))*XLOOKUP($Q468,'Threshold Summary'!$Y:$Y,'Threshold Summary'!$L:$L,""))/100)+5)*XLOOKUP(XLOOKUP($Q468,'Threshold Summary'!$Y:$Y,'Threshold Summary'!$M:$M,""),'Nature Editor'!$A:$A,'Nature Editor'!$B:$B,1)),FLOOR((FLOOR(((2*XLOOKUP(XLOOKUP($Q468,'Threshold Summary'!$Y:$Y,'Threshold Summary'!$K:$K,""),'Pokemon Editor'!$A:$A,'Pokemon Editor'!$H:$H,0)+31+FLOOR(XLOOKUP($Q468,'Threshold Summary'!$Y:$Y,'Threshold Summary'!$R:$R,"")/4))*XLOOKUP($Q468,'Threshold Summary'!$Y:$Y,'Threshold Summary'!$L:$L,""))/100)+5)*XLOOKUP(XLOOKUP($Q468,'Threshold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Editor'!$E:$E,1))),stab,IF(OR(mtype=XLOOKUP(XLOOKUP($Q468,'Threshold Summary'!$Y:$Y,'Threshold Summary'!$K:$K,""),'Pokemon Editor'!$A:$A,'Pokemon Editor'!$C:$C,""),mtype=XLOOKUP(XLOOKUP($Q468,'Threshold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Chart'!$B$1:$S$1,0)))),base,IF(OR(cat="Status",pow=0),0,FLOOR(FLOOR(FLOOR((2*XLOOKUP($Q468,'Threshold Summary'!$Y:$Y,'Threshold Summary'!$L:$L,"")/5+2)*pow*atk/def)/50)+2)),modifier,stab*eff,AVERAGE(ARRAYFORMULA(FLOOR(base*modifier*SEQUENCE(16,1,85,1)/100)))*MIN(1,acc/100)),0)</f>
        <v/>
      </c>
      <c r="N468" s="4">
        <f>IFERROR(LET(mtype,XLOOKUP($D468,'Move Editor'!$B:$B,'Move Editor'!$C:$C,""),cat,XLOOKUP($D468,'Move Editor'!$B:$B,'Move Editor'!$D:$D,""),pow,XLOOKUP($D468,'Move Editor'!$B:$B,'Move Editor'!$E:$E,0),acc,XLOOKUP($D468,'Move Editor'!$B:$B,'Move Editor'!$F:$F,100),atk,IF(cat="Physical",FLOOR((FLOOR(((2*XLOOKUP(XLOOKUP($Q468,'Threshold Summary'!$Y:$Y,'Threshold Summary'!$K:$K,""),'Pokemon Editor'!$A:$A,'Pokemon Editor'!$F:$F,0)+31+FLOOR(XLOOKUP($Q468,'Threshold Summary'!$Y:$Y,'Threshold Summary'!$P:$P,"")/4))*XLOOKUP($Q468,'Threshold Summary'!$Y:$Y,'Threshold Summary'!$L:$L,""))/100)+5)*XLOOKUP(XLOOKUP($Q468,'Threshold Summary'!$Y:$Y,'Threshold Summary'!$M:$M,""),'Nature Editor'!$A:$A,'Nature Editor'!$B:$B,1)),FLOOR((FLOOR(((2*XLOOKUP(XLOOKUP($Q468,'Threshold Summary'!$Y:$Y,'Threshold Summary'!$K:$K,""),'Pokemon Editor'!$A:$A,'Pokemon Editor'!$H:$H,0)+31+FLOOR(XLOOKUP($Q468,'Threshold Summary'!$Y:$Y,'Threshold Summary'!$R:$R,"")/4))*XLOOKUP($Q468,'Threshold Summary'!$Y:$Y,'Threshold Summary'!$L:$L,""))/100)+5)*XLOOKUP(XLOOKUP($Q468,'Threshold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Editor'!$E:$E,1))),stab,IF(OR(mtype=XLOOKUP(XLOOKUP($Q468,'Threshold Summary'!$Y:$Y,'Threshold Summary'!$K:$K,""),'Pokemon Editor'!$A:$A,'Pokemon Editor'!$C:$C,""),mtype=XLOOKUP(XLOOKUP($Q468,'Threshold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Chart'!$B$1:$S$1,0)))),base,IF(OR(cat="Status",pow=0),0,FLOOR(FLOOR(FLOOR((2*XLOOKUP($Q468,'Threshold Summary'!$Y:$Y,'Threshold Summary'!$L:$L,"")/5+2)*pow*atk/def)/50)+2)),modifier,stab*eff,AVERAGE(ARRAYFORMULA(FLOOR(base*modifier*SEQUENCE(16,1,85,1)/100)))/(FLOOR(((2*XLOOKUP('Boss Editor'!$C$4,'Pokemon Editor'!$A:$A,'Pokemon Editor'!$E:$E,0)+31+FLOOR('Boss Editor'!$G$4/4))*'Boss Editor'!$D$4)/100)+'Boss Editor'!$D$4+10)),0)</f>
        <v/>
      </c>
      <c r="O468" s="3">
        <f>IF(N468&gt;=1,"OHKO",IF(N468&gt;=0.5,"2HKO",IF(N468&gt;=0.333,"3HKO",IF(N468&gt;=0.25,"4HKO","5HKO+"))))</f>
        <v/>
      </c>
      <c r="P468" s="3" t="inlineStr">
        <is>
          <t>Live from editable databases</t>
        </is>
      </c>
      <c r="Q468" s="3" t="inlineStr">
        <is>
          <t>SPECIES_SEWADDLE</t>
        </is>
      </c>
      <c r="R468" s="3" t="n">
        <v>19</v>
      </c>
    </row>
    <row r="469">
      <c r="A469" s="3">
        <f>XLOOKUP($Q469,'Threshold Summary'!$Y:$Y,'Threshold Summary'!$A:$A,"")</f>
        <v/>
      </c>
      <c r="B469" s="3">
        <f>XLOOKUP($Q469,'Threshold Summary'!$Y:$Y,'Threshold Summary'!$M:$M,"")</f>
        <v/>
      </c>
      <c r="C469" s="3">
        <f>XLOOKUP($Q469,'Threshold Summary'!$Y:$Y,'Threshold Summary'!$N:$N,"")</f>
        <v/>
      </c>
      <c r="D469" s="3">
        <f>IFERROR(INDEX(FILTER('Learnset Editor'!$D$2:$D,'Learnset Editor'!$A$2:$A=XLOOKUP($Q469,'Threshold Summary'!$Y:$Y,'Threshold Summary'!$K:$K,""),'Learnset Editor'!$C$2:$C&lt;=XLOOKUP($Q469,'Threshold Summary'!$Y:$Y,'Threshold Summary'!$L:$L,"")),$R469),"")</f>
        <v/>
      </c>
      <c r="E469" s="3">
        <f>XLOOKUP(D469,'Move Editor'!$B:$B,'Move Editor'!$C:$C,"")</f>
        <v/>
      </c>
      <c r="F469" s="3">
        <f>XLOOKUP(D469,'Move Editor'!$B:$B,'Move Editor'!$D:$D,"")</f>
        <v/>
      </c>
      <c r="G469" s="3">
        <f>XLOOKUP(D469,'Move Editor'!$B:$B,'Move Editor'!$E:$E,0)</f>
        <v/>
      </c>
      <c r="H469" s="3">
        <f>XLOOKUP(D469,'Move Editor'!$B:$B,'Move Editor'!$F:$F,0)</f>
        <v/>
      </c>
      <c r="I469" s="3">
        <f>(INDEX('Type Chart'!$B:$S,MATCH(E469,'Type Chart'!$A:$A,0),MATCH(XLOOKUP('Boss Editor'!$C$4,'Pokemon Editor'!$A:$A,'Pokemon Editor'!$C:$C,""),'Type Chart'!$B$1:$S$1,0))*IF(XLOOKUP('Boss Editor'!$C$4,'Pokemon Editor'!$A:$A,'Pokemon Editor'!$D:$D,"")="",1,INDEX('Type Chart'!$B:$S,MATCH(E469,'Type Chart'!$A:$A,0),MATCH(XLOOKUP('Boss Editor'!$C$4,'Pokemon Editor'!$A:$A,'Pokemon Editor'!$D:$D,""),'Type Chart'!$B$1:$S$1,0))))</f>
        <v/>
      </c>
      <c r="J469" s="3">
        <f>IFERROR(LET(mtype,XLOOKUP($D469,'Move Editor'!$B:$B,'Move Editor'!$C:$C,""),cat,XLOOKUP($D469,'Move Editor'!$B:$B,'Move Editor'!$D:$D,""),pow,XLOOKUP($D469,'Move Editor'!$B:$B,'Move Editor'!$E:$E,0),acc,XLOOKUP($D469,'Move Editor'!$B:$B,'Move Editor'!$F:$F,100),atk,IF(cat="Physical",FLOOR((FLOOR(((2*XLOOKUP(XLOOKUP($Q469,'Threshold Summary'!$Y:$Y,'Threshold Summary'!$K:$K,""),'Pokemon Editor'!$A:$A,'Pokemon Editor'!$F:$F,0)+31+FLOOR(XLOOKUP($Q469,'Threshold Summary'!$Y:$Y,'Threshold Summary'!$P:$P,"")/4))*XLOOKUP($Q469,'Threshold Summary'!$Y:$Y,'Threshold Summary'!$L:$L,""))/100)+5)*XLOOKUP(XLOOKUP($Q469,'Threshold Summary'!$Y:$Y,'Threshold Summary'!$M:$M,""),'Nature Editor'!$A:$A,'Nature Editor'!$B:$B,1)),FLOOR((FLOOR(((2*XLOOKUP(XLOOKUP($Q469,'Threshold Summary'!$Y:$Y,'Threshold Summary'!$K:$K,""),'Pokemon Editor'!$A:$A,'Pokemon Editor'!$H:$H,0)+31+FLOOR(XLOOKUP($Q469,'Threshold Summary'!$Y:$Y,'Threshold Summary'!$R:$R,"")/4))*XLOOKUP($Q469,'Threshold Summary'!$Y:$Y,'Threshold Summary'!$L:$L,""))/100)+5)*XLOOKUP(XLOOKUP($Q469,'Threshold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Editor'!$E:$E,1))),stab,IF(OR(mtype=XLOOKUP(XLOOKUP($Q469,'Threshold Summary'!$Y:$Y,'Threshold Summary'!$K:$K,""),'Pokemon Editor'!$A:$A,'Pokemon Editor'!$C:$C,""),mtype=XLOOKUP(XLOOKUP($Q469,'Threshold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Chart'!$B$1:$S$1,0)))),base,IF(OR(cat="Status",pow=0),0,FLOOR(FLOOR(FLOOR((2*XLOOKUP($Q469,'Threshold Summary'!$Y:$Y,'Threshold Summary'!$L:$L,"")/5+2)*pow*atk/def)/50)+2)),modifier,stab*eff,FLOOR(base*modifier*0.85)),0)</f>
        <v/>
      </c>
      <c r="K469" s="3">
        <f>IFERROR(LET(mtype,XLOOKUP($D469,'Move Editor'!$B:$B,'Move Editor'!$C:$C,""),cat,XLOOKUP($D469,'Move Editor'!$B:$B,'Move Editor'!$D:$D,""),pow,XLOOKUP($D469,'Move Editor'!$B:$B,'Move Editor'!$E:$E,0),acc,XLOOKUP($D469,'Move Editor'!$B:$B,'Move Editor'!$F:$F,100),atk,IF(cat="Physical",FLOOR((FLOOR(((2*XLOOKUP(XLOOKUP($Q469,'Threshold Summary'!$Y:$Y,'Threshold Summary'!$K:$K,""),'Pokemon Editor'!$A:$A,'Pokemon Editor'!$F:$F,0)+31+FLOOR(XLOOKUP($Q469,'Threshold Summary'!$Y:$Y,'Threshold Summary'!$P:$P,"")/4))*XLOOKUP($Q469,'Threshold Summary'!$Y:$Y,'Threshold Summary'!$L:$L,""))/100)+5)*XLOOKUP(XLOOKUP($Q469,'Threshold Summary'!$Y:$Y,'Threshold Summary'!$M:$M,""),'Nature Editor'!$A:$A,'Nature Editor'!$B:$B,1)),FLOOR((FLOOR(((2*XLOOKUP(XLOOKUP($Q469,'Threshold Summary'!$Y:$Y,'Threshold Summary'!$K:$K,""),'Pokemon Editor'!$A:$A,'Pokemon Editor'!$H:$H,0)+31+FLOOR(XLOOKUP($Q469,'Threshold Summary'!$Y:$Y,'Threshold Summary'!$R:$R,"")/4))*XLOOKUP($Q469,'Threshold Summary'!$Y:$Y,'Threshold Summary'!$L:$L,""))/100)+5)*XLOOKUP(XLOOKUP($Q469,'Threshold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Editor'!$E:$E,1))),stab,IF(OR(mtype=XLOOKUP(XLOOKUP($Q469,'Threshold Summary'!$Y:$Y,'Threshold Summary'!$K:$K,""),'Pokemon Editor'!$A:$A,'Pokemon Editor'!$C:$C,""),mtype=XLOOKUP(XLOOKUP($Q469,'Threshold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Chart'!$B$1:$S$1,0)))),base,IF(OR(cat="Status",pow=0),0,FLOOR(FLOOR(FLOOR((2*XLOOKUP($Q469,'Threshold Summary'!$Y:$Y,'Threshold Summary'!$L:$L,"")/5+2)*pow*atk/def)/50)+2)),modifier,stab*eff,FLOOR(base*modifier)),0)</f>
        <v/>
      </c>
      <c r="L469" s="3">
        <f>IFERROR(LET(mtype,XLOOKUP($D469,'Move Editor'!$B:$B,'Move Editor'!$C:$C,""),cat,XLOOKUP($D469,'Move Editor'!$B:$B,'Move Editor'!$D:$D,""),pow,XLOOKUP($D469,'Move Editor'!$B:$B,'Move Editor'!$E:$E,0),acc,XLOOKUP($D469,'Move Editor'!$B:$B,'Move Editor'!$F:$F,100),atk,IF(cat="Physical",FLOOR((FLOOR(((2*XLOOKUP(XLOOKUP($Q469,'Threshold Summary'!$Y:$Y,'Threshold Summary'!$K:$K,""),'Pokemon Editor'!$A:$A,'Pokemon Editor'!$F:$F,0)+31+FLOOR(XLOOKUP($Q469,'Threshold Summary'!$Y:$Y,'Threshold Summary'!$P:$P,"")/4))*XLOOKUP($Q469,'Threshold Summary'!$Y:$Y,'Threshold Summary'!$L:$L,""))/100)+5)*XLOOKUP(XLOOKUP($Q469,'Threshold Summary'!$Y:$Y,'Threshold Summary'!$M:$M,""),'Nature Editor'!$A:$A,'Nature Editor'!$B:$B,1)),FLOOR((FLOOR(((2*XLOOKUP(XLOOKUP($Q469,'Threshold Summary'!$Y:$Y,'Threshold Summary'!$K:$K,""),'Pokemon Editor'!$A:$A,'Pokemon Editor'!$H:$H,0)+31+FLOOR(XLOOKUP($Q469,'Threshold Summary'!$Y:$Y,'Threshold Summary'!$R:$R,"")/4))*XLOOKUP($Q469,'Threshold Summary'!$Y:$Y,'Threshold Summary'!$L:$L,""))/100)+5)*XLOOKUP(XLOOKUP($Q469,'Threshold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Editor'!$E:$E,1))),stab,IF(OR(mtype=XLOOKUP(XLOOKUP($Q469,'Threshold Summary'!$Y:$Y,'Threshold Summary'!$K:$K,""),'Pokemon Editor'!$A:$A,'Pokemon Editor'!$C:$C,""),mtype=XLOOKUP(XLOOKUP($Q469,'Threshold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Chart'!$B$1:$S$1,0)))),base,IF(OR(cat="Status",pow=0),0,FLOOR(FLOOR(FLOOR((2*XLOOKUP($Q469,'Threshold Summary'!$Y:$Y,'Threshold Summary'!$L:$L,"")/5+2)*pow*atk/def)/50)+2)),modifier,stab*eff,AVERAGE(ARRAYFORMULA(FLOOR(base*modifier*SEQUENCE(16,1,85,1)/100)))),0)</f>
        <v/>
      </c>
      <c r="M469" s="3">
        <f>IFERROR(LET(mtype,XLOOKUP($D469,'Move Editor'!$B:$B,'Move Editor'!$C:$C,""),cat,XLOOKUP($D469,'Move Editor'!$B:$B,'Move Editor'!$D:$D,""),pow,XLOOKUP($D469,'Move Editor'!$B:$B,'Move Editor'!$E:$E,0),acc,XLOOKUP($D469,'Move Editor'!$B:$B,'Move Editor'!$F:$F,100),atk,IF(cat="Physical",FLOOR((FLOOR(((2*XLOOKUP(XLOOKUP($Q469,'Threshold Summary'!$Y:$Y,'Threshold Summary'!$K:$K,""),'Pokemon Editor'!$A:$A,'Pokemon Editor'!$F:$F,0)+31+FLOOR(XLOOKUP($Q469,'Threshold Summary'!$Y:$Y,'Threshold Summary'!$P:$P,"")/4))*XLOOKUP($Q469,'Threshold Summary'!$Y:$Y,'Threshold Summary'!$L:$L,""))/100)+5)*XLOOKUP(XLOOKUP($Q469,'Threshold Summary'!$Y:$Y,'Threshold Summary'!$M:$M,""),'Nature Editor'!$A:$A,'Nature Editor'!$B:$B,1)),FLOOR((FLOOR(((2*XLOOKUP(XLOOKUP($Q469,'Threshold Summary'!$Y:$Y,'Threshold Summary'!$K:$K,""),'Pokemon Editor'!$A:$A,'Pokemon Editor'!$H:$H,0)+31+FLOOR(XLOOKUP($Q469,'Threshold Summary'!$Y:$Y,'Threshold Summary'!$R:$R,"")/4))*XLOOKUP($Q469,'Threshold Summary'!$Y:$Y,'Threshold Summary'!$L:$L,""))/100)+5)*XLOOKUP(XLOOKUP($Q469,'Threshold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Editor'!$E:$E,1))),stab,IF(OR(mtype=XLOOKUP(XLOOKUP($Q469,'Threshold Summary'!$Y:$Y,'Threshold Summary'!$K:$K,""),'Pokemon Editor'!$A:$A,'Pokemon Editor'!$C:$C,""),mtype=XLOOKUP(XLOOKUP($Q469,'Threshold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Chart'!$B$1:$S$1,0)))),base,IF(OR(cat="Status",pow=0),0,FLOOR(FLOOR(FLOOR((2*XLOOKUP($Q469,'Threshold Summary'!$Y:$Y,'Threshold Summary'!$L:$L,"")/5+2)*pow*atk/def)/50)+2)),modifier,stab*eff,AVERAGE(ARRAYFORMULA(FLOOR(base*modifier*SEQUENCE(16,1,85,1)/100)))*MIN(1,acc/100)),0)</f>
        <v/>
      </c>
      <c r="N469" s="4">
        <f>IFERROR(LET(mtype,XLOOKUP($D469,'Move Editor'!$B:$B,'Move Editor'!$C:$C,""),cat,XLOOKUP($D469,'Move Editor'!$B:$B,'Move Editor'!$D:$D,""),pow,XLOOKUP($D469,'Move Editor'!$B:$B,'Move Editor'!$E:$E,0),acc,XLOOKUP($D469,'Move Editor'!$B:$B,'Move Editor'!$F:$F,100),atk,IF(cat="Physical",FLOOR((FLOOR(((2*XLOOKUP(XLOOKUP($Q469,'Threshold Summary'!$Y:$Y,'Threshold Summary'!$K:$K,""),'Pokemon Editor'!$A:$A,'Pokemon Editor'!$F:$F,0)+31+FLOOR(XLOOKUP($Q469,'Threshold Summary'!$Y:$Y,'Threshold Summary'!$P:$P,"")/4))*XLOOKUP($Q469,'Threshold Summary'!$Y:$Y,'Threshold Summary'!$L:$L,""))/100)+5)*XLOOKUP(XLOOKUP($Q469,'Threshold Summary'!$Y:$Y,'Threshold Summary'!$M:$M,""),'Nature Editor'!$A:$A,'Nature Editor'!$B:$B,1)),FLOOR((FLOOR(((2*XLOOKUP(XLOOKUP($Q469,'Threshold Summary'!$Y:$Y,'Threshold Summary'!$K:$K,""),'Pokemon Editor'!$A:$A,'Pokemon Editor'!$H:$H,0)+31+FLOOR(XLOOKUP($Q469,'Threshold Summary'!$Y:$Y,'Threshold Summary'!$R:$R,"")/4))*XLOOKUP($Q469,'Threshold Summary'!$Y:$Y,'Threshold Summary'!$L:$L,""))/100)+5)*XLOOKUP(XLOOKUP($Q469,'Threshold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Editor'!$E:$E,1))),stab,IF(OR(mtype=XLOOKUP(XLOOKUP($Q469,'Threshold Summary'!$Y:$Y,'Threshold Summary'!$K:$K,""),'Pokemon Editor'!$A:$A,'Pokemon Editor'!$C:$C,""),mtype=XLOOKUP(XLOOKUP($Q469,'Threshold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Chart'!$B$1:$S$1,0)))),base,IF(OR(cat="Status",pow=0),0,FLOOR(FLOOR(FLOOR((2*XLOOKUP($Q469,'Threshold Summary'!$Y:$Y,'Threshold Summary'!$L:$L,"")/5+2)*pow*atk/def)/50)+2)),modifier,stab*eff,AVERAGE(ARRAYFORMULA(FLOOR(base*modifier*SEQUENCE(16,1,85,1)/100)))/(FLOOR(((2*XLOOKUP('Boss Editor'!$C$4,'Pokemon Editor'!$A:$A,'Pokemon Editor'!$E:$E,0)+31+FLOOR('Boss Editor'!$G$4/4))*'Boss Editor'!$D$4)/100)+'Boss Editor'!$D$4+10)),0)</f>
        <v/>
      </c>
      <c r="O469" s="3">
        <f>IF(N469&gt;=1,"OHKO",IF(N469&gt;=0.5,"2HKO",IF(N469&gt;=0.333,"3HKO",IF(N469&gt;=0.25,"4HKO","5HKO+"))))</f>
        <v/>
      </c>
      <c r="P469" s="3" t="inlineStr">
        <is>
          <t>Live from editable databases</t>
        </is>
      </c>
      <c r="Q469" s="3" t="inlineStr">
        <is>
          <t>SPECIES_SEWADDLE</t>
        </is>
      </c>
      <c r="R469" s="3" t="n">
        <v>20</v>
      </c>
    </row>
    <row r="470">
      <c r="A470" s="3">
        <f>XLOOKUP($Q470,'Threshold Summary'!$Y:$Y,'Threshold Summary'!$A:$A,"")</f>
        <v/>
      </c>
      <c r="B470" s="3">
        <f>XLOOKUP($Q470,'Threshold Summary'!$Y:$Y,'Threshold Summary'!$M:$M,"")</f>
        <v/>
      </c>
      <c r="C470" s="3">
        <f>XLOOKUP($Q470,'Threshold Summary'!$Y:$Y,'Threshold Summary'!$N:$N,"")</f>
        <v/>
      </c>
      <c r="D470" s="3">
        <f>IFERROR(INDEX(FILTER('Learnset Editor'!$D$2:$D,'Learnset Editor'!$A$2:$A=XLOOKUP($Q470,'Threshold Summary'!$Y:$Y,'Threshold Summary'!$K:$K,""),'Learnset Editor'!$C$2:$C&lt;=XLOOKUP($Q470,'Threshold Summary'!$Y:$Y,'Threshold Summary'!$L:$L,"")),$R470),"")</f>
        <v/>
      </c>
      <c r="E470" s="3">
        <f>XLOOKUP(D470,'Move Editor'!$B:$B,'Move Editor'!$C:$C,"")</f>
        <v/>
      </c>
      <c r="F470" s="3">
        <f>XLOOKUP(D470,'Move Editor'!$B:$B,'Move Editor'!$D:$D,"")</f>
        <v/>
      </c>
      <c r="G470" s="3">
        <f>XLOOKUP(D470,'Move Editor'!$B:$B,'Move Editor'!$E:$E,0)</f>
        <v/>
      </c>
      <c r="H470" s="3">
        <f>XLOOKUP(D470,'Move Editor'!$B:$B,'Move Editor'!$F:$F,0)</f>
        <v/>
      </c>
      <c r="I470" s="3">
        <f>(INDEX('Type Chart'!$B:$S,MATCH(E470,'Type Chart'!$A:$A,0),MATCH(XLOOKUP('Boss Editor'!$C$4,'Pokemon Editor'!$A:$A,'Pokemon Editor'!$C:$C,""),'Type Chart'!$B$1:$S$1,0))*IF(XLOOKUP('Boss Editor'!$C$4,'Pokemon Editor'!$A:$A,'Pokemon Editor'!$D:$D,"")="",1,INDEX('Type Chart'!$B:$S,MATCH(E470,'Type Chart'!$A:$A,0),MATCH(XLOOKUP('Boss Editor'!$C$4,'Pokemon Editor'!$A:$A,'Pokemon Editor'!$D:$D,""),'Type Chart'!$B$1:$S$1,0))))</f>
        <v/>
      </c>
      <c r="J470" s="3">
        <f>IFERROR(LET(mtype,XLOOKUP($D470,'Move Editor'!$B:$B,'Move Editor'!$C:$C,""),cat,XLOOKUP($D470,'Move Editor'!$B:$B,'Move Editor'!$D:$D,""),pow,XLOOKUP($D470,'Move Editor'!$B:$B,'Move Editor'!$E:$E,0),acc,XLOOKUP($D470,'Move Editor'!$B:$B,'Move Editor'!$F:$F,100),atk,IF(cat="Physical",FLOOR((FLOOR(((2*XLOOKUP(XLOOKUP($Q470,'Threshold Summary'!$Y:$Y,'Threshold Summary'!$K:$K,""),'Pokemon Editor'!$A:$A,'Pokemon Editor'!$F:$F,0)+31+FLOOR(XLOOKUP($Q470,'Threshold Summary'!$Y:$Y,'Threshold Summary'!$P:$P,"")/4))*XLOOKUP($Q470,'Threshold Summary'!$Y:$Y,'Threshold Summary'!$L:$L,""))/100)+5)*XLOOKUP(XLOOKUP($Q470,'Threshold Summary'!$Y:$Y,'Threshold Summary'!$M:$M,""),'Nature Editor'!$A:$A,'Nature Editor'!$B:$B,1)),FLOOR((FLOOR(((2*XLOOKUP(XLOOKUP($Q470,'Threshold Summary'!$Y:$Y,'Threshold Summary'!$K:$K,""),'Pokemon Editor'!$A:$A,'Pokemon Editor'!$H:$H,0)+31+FLOOR(XLOOKUP($Q470,'Threshold Summary'!$Y:$Y,'Threshold Summary'!$R:$R,"")/4))*XLOOKUP($Q470,'Threshold Summary'!$Y:$Y,'Threshold Summary'!$L:$L,""))/100)+5)*XLOOKUP(XLOOKUP($Q470,'Threshold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Editor'!$E:$E,1))),stab,IF(OR(mtype=XLOOKUP(XLOOKUP($Q470,'Threshold Summary'!$Y:$Y,'Threshold Summary'!$K:$K,""),'Pokemon Editor'!$A:$A,'Pokemon Editor'!$C:$C,""),mtype=XLOOKUP(XLOOKUP($Q470,'Threshold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Chart'!$B$1:$S$1,0)))),base,IF(OR(cat="Status",pow=0),0,FLOOR(FLOOR(FLOOR((2*XLOOKUP($Q470,'Threshold Summary'!$Y:$Y,'Threshold Summary'!$L:$L,"")/5+2)*pow*atk/def)/50)+2)),modifier,stab*eff,FLOOR(base*modifier*0.85)),0)</f>
        <v/>
      </c>
      <c r="K470" s="3">
        <f>IFERROR(LET(mtype,XLOOKUP($D470,'Move Editor'!$B:$B,'Move Editor'!$C:$C,""),cat,XLOOKUP($D470,'Move Editor'!$B:$B,'Move Editor'!$D:$D,""),pow,XLOOKUP($D470,'Move Editor'!$B:$B,'Move Editor'!$E:$E,0),acc,XLOOKUP($D470,'Move Editor'!$B:$B,'Move Editor'!$F:$F,100),atk,IF(cat="Physical",FLOOR((FLOOR(((2*XLOOKUP(XLOOKUP($Q470,'Threshold Summary'!$Y:$Y,'Threshold Summary'!$K:$K,""),'Pokemon Editor'!$A:$A,'Pokemon Editor'!$F:$F,0)+31+FLOOR(XLOOKUP($Q470,'Threshold Summary'!$Y:$Y,'Threshold Summary'!$P:$P,"")/4))*XLOOKUP($Q470,'Threshold Summary'!$Y:$Y,'Threshold Summary'!$L:$L,""))/100)+5)*XLOOKUP(XLOOKUP($Q470,'Threshold Summary'!$Y:$Y,'Threshold Summary'!$M:$M,""),'Nature Editor'!$A:$A,'Nature Editor'!$B:$B,1)),FLOOR((FLOOR(((2*XLOOKUP(XLOOKUP($Q470,'Threshold Summary'!$Y:$Y,'Threshold Summary'!$K:$K,""),'Pokemon Editor'!$A:$A,'Pokemon Editor'!$H:$H,0)+31+FLOOR(XLOOKUP($Q470,'Threshold Summary'!$Y:$Y,'Threshold Summary'!$R:$R,"")/4))*XLOOKUP($Q470,'Threshold Summary'!$Y:$Y,'Threshold Summary'!$L:$L,""))/100)+5)*XLOOKUP(XLOOKUP($Q470,'Threshold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Editor'!$E:$E,1))),stab,IF(OR(mtype=XLOOKUP(XLOOKUP($Q470,'Threshold Summary'!$Y:$Y,'Threshold Summary'!$K:$K,""),'Pokemon Editor'!$A:$A,'Pokemon Editor'!$C:$C,""),mtype=XLOOKUP(XLOOKUP($Q470,'Threshold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Chart'!$B$1:$S$1,0)))),base,IF(OR(cat="Status",pow=0),0,FLOOR(FLOOR(FLOOR((2*XLOOKUP($Q470,'Threshold Summary'!$Y:$Y,'Threshold Summary'!$L:$L,"")/5+2)*pow*atk/def)/50)+2)),modifier,stab*eff,FLOOR(base*modifier)),0)</f>
        <v/>
      </c>
      <c r="L470" s="3">
        <f>IFERROR(LET(mtype,XLOOKUP($D470,'Move Editor'!$B:$B,'Move Editor'!$C:$C,""),cat,XLOOKUP($D470,'Move Editor'!$B:$B,'Move Editor'!$D:$D,""),pow,XLOOKUP($D470,'Move Editor'!$B:$B,'Move Editor'!$E:$E,0),acc,XLOOKUP($D470,'Move Editor'!$B:$B,'Move Editor'!$F:$F,100),atk,IF(cat="Physical",FLOOR((FLOOR(((2*XLOOKUP(XLOOKUP($Q470,'Threshold Summary'!$Y:$Y,'Threshold Summary'!$K:$K,""),'Pokemon Editor'!$A:$A,'Pokemon Editor'!$F:$F,0)+31+FLOOR(XLOOKUP($Q470,'Threshold Summary'!$Y:$Y,'Threshold Summary'!$P:$P,"")/4))*XLOOKUP($Q470,'Threshold Summary'!$Y:$Y,'Threshold Summary'!$L:$L,""))/100)+5)*XLOOKUP(XLOOKUP($Q470,'Threshold Summary'!$Y:$Y,'Threshold Summary'!$M:$M,""),'Nature Editor'!$A:$A,'Nature Editor'!$B:$B,1)),FLOOR((FLOOR(((2*XLOOKUP(XLOOKUP($Q470,'Threshold Summary'!$Y:$Y,'Threshold Summary'!$K:$K,""),'Pokemon Editor'!$A:$A,'Pokemon Editor'!$H:$H,0)+31+FLOOR(XLOOKUP($Q470,'Threshold Summary'!$Y:$Y,'Threshold Summary'!$R:$R,"")/4))*XLOOKUP($Q470,'Threshold Summary'!$Y:$Y,'Threshold Summary'!$L:$L,""))/100)+5)*XLOOKUP(XLOOKUP($Q470,'Threshold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Editor'!$E:$E,1))),stab,IF(OR(mtype=XLOOKUP(XLOOKUP($Q470,'Threshold Summary'!$Y:$Y,'Threshold Summary'!$K:$K,""),'Pokemon Editor'!$A:$A,'Pokemon Editor'!$C:$C,""),mtype=XLOOKUP(XLOOKUP($Q470,'Threshold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Chart'!$B$1:$S$1,0)))),base,IF(OR(cat="Status",pow=0),0,FLOOR(FLOOR(FLOOR((2*XLOOKUP($Q470,'Threshold Summary'!$Y:$Y,'Threshold Summary'!$L:$L,"")/5+2)*pow*atk/def)/50)+2)),modifier,stab*eff,AVERAGE(ARRAYFORMULA(FLOOR(base*modifier*SEQUENCE(16,1,85,1)/100)))),0)</f>
        <v/>
      </c>
      <c r="M470" s="3">
        <f>IFERROR(LET(mtype,XLOOKUP($D470,'Move Editor'!$B:$B,'Move Editor'!$C:$C,""),cat,XLOOKUP($D470,'Move Editor'!$B:$B,'Move Editor'!$D:$D,""),pow,XLOOKUP($D470,'Move Editor'!$B:$B,'Move Editor'!$E:$E,0),acc,XLOOKUP($D470,'Move Editor'!$B:$B,'Move Editor'!$F:$F,100),atk,IF(cat="Physical",FLOOR((FLOOR(((2*XLOOKUP(XLOOKUP($Q470,'Threshold Summary'!$Y:$Y,'Threshold Summary'!$K:$K,""),'Pokemon Editor'!$A:$A,'Pokemon Editor'!$F:$F,0)+31+FLOOR(XLOOKUP($Q470,'Threshold Summary'!$Y:$Y,'Threshold Summary'!$P:$P,"")/4))*XLOOKUP($Q470,'Threshold Summary'!$Y:$Y,'Threshold Summary'!$L:$L,""))/100)+5)*XLOOKUP(XLOOKUP($Q470,'Threshold Summary'!$Y:$Y,'Threshold Summary'!$M:$M,""),'Nature Editor'!$A:$A,'Nature Editor'!$B:$B,1)),FLOOR((FLOOR(((2*XLOOKUP(XLOOKUP($Q470,'Threshold Summary'!$Y:$Y,'Threshold Summary'!$K:$K,""),'Pokemon Editor'!$A:$A,'Pokemon Editor'!$H:$H,0)+31+FLOOR(XLOOKUP($Q470,'Threshold Summary'!$Y:$Y,'Threshold Summary'!$R:$R,"")/4))*XLOOKUP($Q470,'Threshold Summary'!$Y:$Y,'Threshold Summary'!$L:$L,""))/100)+5)*XLOOKUP(XLOOKUP($Q470,'Threshold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Editor'!$E:$E,1))),stab,IF(OR(mtype=XLOOKUP(XLOOKUP($Q470,'Threshold Summary'!$Y:$Y,'Threshold Summary'!$K:$K,""),'Pokemon Editor'!$A:$A,'Pokemon Editor'!$C:$C,""),mtype=XLOOKUP(XLOOKUP($Q470,'Threshold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Chart'!$B$1:$S$1,0)))),base,IF(OR(cat="Status",pow=0),0,FLOOR(FLOOR(FLOOR((2*XLOOKUP($Q470,'Threshold Summary'!$Y:$Y,'Threshold Summary'!$L:$L,"")/5+2)*pow*atk/def)/50)+2)),modifier,stab*eff,AVERAGE(ARRAYFORMULA(FLOOR(base*modifier*SEQUENCE(16,1,85,1)/100)))*MIN(1,acc/100)),0)</f>
        <v/>
      </c>
      <c r="N470" s="4">
        <f>IFERROR(LET(mtype,XLOOKUP($D470,'Move Editor'!$B:$B,'Move Editor'!$C:$C,""),cat,XLOOKUP($D470,'Move Editor'!$B:$B,'Move Editor'!$D:$D,""),pow,XLOOKUP($D470,'Move Editor'!$B:$B,'Move Editor'!$E:$E,0),acc,XLOOKUP($D470,'Move Editor'!$B:$B,'Move Editor'!$F:$F,100),atk,IF(cat="Physical",FLOOR((FLOOR(((2*XLOOKUP(XLOOKUP($Q470,'Threshold Summary'!$Y:$Y,'Threshold Summary'!$K:$K,""),'Pokemon Editor'!$A:$A,'Pokemon Editor'!$F:$F,0)+31+FLOOR(XLOOKUP($Q470,'Threshold Summary'!$Y:$Y,'Threshold Summary'!$P:$P,"")/4))*XLOOKUP($Q470,'Threshold Summary'!$Y:$Y,'Threshold Summary'!$L:$L,""))/100)+5)*XLOOKUP(XLOOKUP($Q470,'Threshold Summary'!$Y:$Y,'Threshold Summary'!$M:$M,""),'Nature Editor'!$A:$A,'Nature Editor'!$B:$B,1)),FLOOR((FLOOR(((2*XLOOKUP(XLOOKUP($Q470,'Threshold Summary'!$Y:$Y,'Threshold Summary'!$K:$K,""),'Pokemon Editor'!$A:$A,'Pokemon Editor'!$H:$H,0)+31+FLOOR(XLOOKUP($Q470,'Threshold Summary'!$Y:$Y,'Threshold Summary'!$R:$R,"")/4))*XLOOKUP($Q470,'Threshold Summary'!$Y:$Y,'Threshold Summary'!$L:$L,""))/100)+5)*XLOOKUP(XLOOKUP($Q470,'Threshold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Editor'!$E:$E,1))),stab,IF(OR(mtype=XLOOKUP(XLOOKUP($Q470,'Threshold Summary'!$Y:$Y,'Threshold Summary'!$K:$K,""),'Pokemon Editor'!$A:$A,'Pokemon Editor'!$C:$C,""),mtype=XLOOKUP(XLOOKUP($Q470,'Threshold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Chart'!$B$1:$S$1,0)))),base,IF(OR(cat="Status",pow=0),0,FLOOR(FLOOR(FLOOR((2*XLOOKUP($Q470,'Threshold Summary'!$Y:$Y,'Threshold Summary'!$L:$L,"")/5+2)*pow*atk/def)/50)+2)),modifier,stab*eff,AVERAGE(ARRAYFORMULA(FLOOR(base*modifier*SEQUENCE(16,1,85,1)/100)))/(FLOOR(((2*XLOOKUP('Boss Editor'!$C$4,'Pokemon Editor'!$A:$A,'Pokemon Editor'!$E:$E,0)+31+FLOOR('Boss Editor'!$G$4/4))*'Boss Editor'!$D$4)/100)+'Boss Editor'!$D$4+10)),0)</f>
        <v/>
      </c>
      <c r="O470" s="3">
        <f>IF(N470&gt;=1,"OHKO",IF(N470&gt;=0.5,"2HKO",IF(N470&gt;=0.333,"3HKO",IF(N470&gt;=0.25,"4HKO","5HKO+"))))</f>
        <v/>
      </c>
      <c r="P470" s="3" t="inlineStr">
        <is>
          <t>Live from editable databases</t>
        </is>
      </c>
      <c r="Q470" s="3" t="inlineStr">
        <is>
          <t>SPECIES_SEWADDLE</t>
        </is>
      </c>
      <c r="R470" s="3" t="n">
        <v>21</v>
      </c>
    </row>
    <row r="471">
      <c r="A471" s="3">
        <f>XLOOKUP($Q471,'Threshold Summary'!$Y:$Y,'Threshold Summary'!$A:$A,"")</f>
        <v/>
      </c>
      <c r="B471" s="3">
        <f>XLOOKUP($Q471,'Threshold Summary'!$Y:$Y,'Threshold Summary'!$M:$M,"")</f>
        <v/>
      </c>
      <c r="C471" s="3">
        <f>XLOOKUP($Q471,'Threshold Summary'!$Y:$Y,'Threshold Summary'!$N:$N,"")</f>
        <v/>
      </c>
      <c r="D471" s="3">
        <f>IFERROR(INDEX(FILTER('Learnset Editor'!$D$2:$D,'Learnset Editor'!$A$2:$A=XLOOKUP($Q471,'Threshold Summary'!$Y:$Y,'Threshold Summary'!$K:$K,""),'Learnset Editor'!$C$2:$C&lt;=XLOOKUP($Q471,'Threshold Summary'!$Y:$Y,'Threshold Summary'!$L:$L,"")),$R471),"")</f>
        <v/>
      </c>
      <c r="E471" s="3">
        <f>XLOOKUP(D471,'Move Editor'!$B:$B,'Move Editor'!$C:$C,"")</f>
        <v/>
      </c>
      <c r="F471" s="3">
        <f>XLOOKUP(D471,'Move Editor'!$B:$B,'Move Editor'!$D:$D,"")</f>
        <v/>
      </c>
      <c r="G471" s="3">
        <f>XLOOKUP(D471,'Move Editor'!$B:$B,'Move Editor'!$E:$E,0)</f>
        <v/>
      </c>
      <c r="H471" s="3">
        <f>XLOOKUP(D471,'Move Editor'!$B:$B,'Move Editor'!$F:$F,0)</f>
        <v/>
      </c>
      <c r="I471" s="3">
        <f>(INDEX('Type Chart'!$B:$S,MATCH(E471,'Type Chart'!$A:$A,0),MATCH(XLOOKUP('Boss Editor'!$C$4,'Pokemon Editor'!$A:$A,'Pokemon Editor'!$C:$C,""),'Type Chart'!$B$1:$S$1,0))*IF(XLOOKUP('Boss Editor'!$C$4,'Pokemon Editor'!$A:$A,'Pokemon Editor'!$D:$D,"")="",1,INDEX('Type Chart'!$B:$S,MATCH(E471,'Type Chart'!$A:$A,0),MATCH(XLOOKUP('Boss Editor'!$C$4,'Pokemon Editor'!$A:$A,'Pokemon Editor'!$D:$D,""),'Type Chart'!$B$1:$S$1,0))))</f>
        <v/>
      </c>
      <c r="J471" s="3">
        <f>IFERROR(LET(mtype,XLOOKUP($D471,'Move Editor'!$B:$B,'Move Editor'!$C:$C,""),cat,XLOOKUP($D471,'Move Editor'!$B:$B,'Move Editor'!$D:$D,""),pow,XLOOKUP($D471,'Move Editor'!$B:$B,'Move Editor'!$E:$E,0),acc,XLOOKUP($D471,'Move Editor'!$B:$B,'Move Editor'!$F:$F,100),atk,IF(cat="Physical",FLOOR((FLOOR(((2*XLOOKUP(XLOOKUP($Q471,'Threshold Summary'!$Y:$Y,'Threshold Summary'!$K:$K,""),'Pokemon Editor'!$A:$A,'Pokemon Editor'!$F:$F,0)+31+FLOOR(XLOOKUP($Q471,'Threshold Summary'!$Y:$Y,'Threshold Summary'!$P:$P,"")/4))*XLOOKUP($Q471,'Threshold Summary'!$Y:$Y,'Threshold Summary'!$L:$L,""))/100)+5)*XLOOKUP(XLOOKUP($Q471,'Threshold Summary'!$Y:$Y,'Threshold Summary'!$M:$M,""),'Nature Editor'!$A:$A,'Nature Editor'!$B:$B,1)),FLOOR((FLOOR(((2*XLOOKUP(XLOOKUP($Q471,'Threshold Summary'!$Y:$Y,'Threshold Summary'!$K:$K,""),'Pokemon Editor'!$A:$A,'Pokemon Editor'!$H:$H,0)+31+FLOOR(XLOOKUP($Q471,'Threshold Summary'!$Y:$Y,'Threshold Summary'!$R:$R,"")/4))*XLOOKUP($Q471,'Threshold Summary'!$Y:$Y,'Threshold Summary'!$L:$L,""))/100)+5)*XLOOKUP(XLOOKUP($Q471,'Threshold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Editor'!$E:$E,1))),stab,IF(OR(mtype=XLOOKUP(XLOOKUP($Q471,'Threshold Summary'!$Y:$Y,'Threshold Summary'!$K:$K,""),'Pokemon Editor'!$A:$A,'Pokemon Editor'!$C:$C,""),mtype=XLOOKUP(XLOOKUP($Q471,'Threshold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Chart'!$B$1:$S$1,0)))),base,IF(OR(cat="Status",pow=0),0,FLOOR(FLOOR(FLOOR((2*XLOOKUP($Q471,'Threshold Summary'!$Y:$Y,'Threshold Summary'!$L:$L,"")/5+2)*pow*atk/def)/50)+2)),modifier,stab*eff,FLOOR(base*modifier*0.85)),0)</f>
        <v/>
      </c>
      <c r="K471" s="3">
        <f>IFERROR(LET(mtype,XLOOKUP($D471,'Move Editor'!$B:$B,'Move Editor'!$C:$C,""),cat,XLOOKUP($D471,'Move Editor'!$B:$B,'Move Editor'!$D:$D,""),pow,XLOOKUP($D471,'Move Editor'!$B:$B,'Move Editor'!$E:$E,0),acc,XLOOKUP($D471,'Move Editor'!$B:$B,'Move Editor'!$F:$F,100),atk,IF(cat="Physical",FLOOR((FLOOR(((2*XLOOKUP(XLOOKUP($Q471,'Threshold Summary'!$Y:$Y,'Threshold Summary'!$K:$K,""),'Pokemon Editor'!$A:$A,'Pokemon Editor'!$F:$F,0)+31+FLOOR(XLOOKUP($Q471,'Threshold Summary'!$Y:$Y,'Threshold Summary'!$P:$P,"")/4))*XLOOKUP($Q471,'Threshold Summary'!$Y:$Y,'Threshold Summary'!$L:$L,""))/100)+5)*XLOOKUP(XLOOKUP($Q471,'Threshold Summary'!$Y:$Y,'Threshold Summary'!$M:$M,""),'Nature Editor'!$A:$A,'Nature Editor'!$B:$B,1)),FLOOR((FLOOR(((2*XLOOKUP(XLOOKUP($Q471,'Threshold Summary'!$Y:$Y,'Threshold Summary'!$K:$K,""),'Pokemon Editor'!$A:$A,'Pokemon Editor'!$H:$H,0)+31+FLOOR(XLOOKUP($Q471,'Threshold Summary'!$Y:$Y,'Threshold Summary'!$R:$R,"")/4))*XLOOKUP($Q471,'Threshold Summary'!$Y:$Y,'Threshold Summary'!$L:$L,""))/100)+5)*XLOOKUP(XLOOKUP($Q471,'Threshold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Editor'!$E:$E,1))),stab,IF(OR(mtype=XLOOKUP(XLOOKUP($Q471,'Threshold Summary'!$Y:$Y,'Threshold Summary'!$K:$K,""),'Pokemon Editor'!$A:$A,'Pokemon Editor'!$C:$C,""),mtype=XLOOKUP(XLOOKUP($Q471,'Threshold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Chart'!$B$1:$S$1,0)))),base,IF(OR(cat="Status",pow=0),0,FLOOR(FLOOR(FLOOR((2*XLOOKUP($Q471,'Threshold Summary'!$Y:$Y,'Threshold Summary'!$L:$L,"")/5+2)*pow*atk/def)/50)+2)),modifier,stab*eff,FLOOR(base*modifier)),0)</f>
        <v/>
      </c>
      <c r="L471" s="3">
        <f>IFERROR(LET(mtype,XLOOKUP($D471,'Move Editor'!$B:$B,'Move Editor'!$C:$C,""),cat,XLOOKUP($D471,'Move Editor'!$B:$B,'Move Editor'!$D:$D,""),pow,XLOOKUP($D471,'Move Editor'!$B:$B,'Move Editor'!$E:$E,0),acc,XLOOKUP($D471,'Move Editor'!$B:$B,'Move Editor'!$F:$F,100),atk,IF(cat="Physical",FLOOR((FLOOR(((2*XLOOKUP(XLOOKUP($Q471,'Threshold Summary'!$Y:$Y,'Threshold Summary'!$K:$K,""),'Pokemon Editor'!$A:$A,'Pokemon Editor'!$F:$F,0)+31+FLOOR(XLOOKUP($Q471,'Threshold Summary'!$Y:$Y,'Threshold Summary'!$P:$P,"")/4))*XLOOKUP($Q471,'Threshold Summary'!$Y:$Y,'Threshold Summary'!$L:$L,""))/100)+5)*XLOOKUP(XLOOKUP($Q471,'Threshold Summary'!$Y:$Y,'Threshold Summary'!$M:$M,""),'Nature Editor'!$A:$A,'Nature Editor'!$B:$B,1)),FLOOR((FLOOR(((2*XLOOKUP(XLOOKUP($Q471,'Threshold Summary'!$Y:$Y,'Threshold Summary'!$K:$K,""),'Pokemon Editor'!$A:$A,'Pokemon Editor'!$H:$H,0)+31+FLOOR(XLOOKUP($Q471,'Threshold Summary'!$Y:$Y,'Threshold Summary'!$R:$R,"")/4))*XLOOKUP($Q471,'Threshold Summary'!$Y:$Y,'Threshold Summary'!$L:$L,""))/100)+5)*XLOOKUP(XLOOKUP($Q471,'Threshold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Editor'!$E:$E,1))),stab,IF(OR(mtype=XLOOKUP(XLOOKUP($Q471,'Threshold Summary'!$Y:$Y,'Threshold Summary'!$K:$K,""),'Pokemon Editor'!$A:$A,'Pokemon Editor'!$C:$C,""),mtype=XLOOKUP(XLOOKUP($Q471,'Threshold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Chart'!$B$1:$S$1,0)))),base,IF(OR(cat="Status",pow=0),0,FLOOR(FLOOR(FLOOR((2*XLOOKUP($Q471,'Threshold Summary'!$Y:$Y,'Threshold Summary'!$L:$L,"")/5+2)*pow*atk/def)/50)+2)),modifier,stab*eff,AVERAGE(ARRAYFORMULA(FLOOR(base*modifier*SEQUENCE(16,1,85,1)/100)))),0)</f>
        <v/>
      </c>
      <c r="M471" s="3">
        <f>IFERROR(LET(mtype,XLOOKUP($D471,'Move Editor'!$B:$B,'Move Editor'!$C:$C,""),cat,XLOOKUP($D471,'Move Editor'!$B:$B,'Move Editor'!$D:$D,""),pow,XLOOKUP($D471,'Move Editor'!$B:$B,'Move Editor'!$E:$E,0),acc,XLOOKUP($D471,'Move Editor'!$B:$B,'Move Editor'!$F:$F,100),atk,IF(cat="Physical",FLOOR((FLOOR(((2*XLOOKUP(XLOOKUP($Q471,'Threshold Summary'!$Y:$Y,'Threshold Summary'!$K:$K,""),'Pokemon Editor'!$A:$A,'Pokemon Editor'!$F:$F,0)+31+FLOOR(XLOOKUP($Q471,'Threshold Summary'!$Y:$Y,'Threshold Summary'!$P:$P,"")/4))*XLOOKUP($Q471,'Threshold Summary'!$Y:$Y,'Threshold Summary'!$L:$L,""))/100)+5)*XLOOKUP(XLOOKUP($Q471,'Threshold Summary'!$Y:$Y,'Threshold Summary'!$M:$M,""),'Nature Editor'!$A:$A,'Nature Editor'!$B:$B,1)),FLOOR((FLOOR(((2*XLOOKUP(XLOOKUP($Q471,'Threshold Summary'!$Y:$Y,'Threshold Summary'!$K:$K,""),'Pokemon Editor'!$A:$A,'Pokemon Editor'!$H:$H,0)+31+FLOOR(XLOOKUP($Q471,'Threshold Summary'!$Y:$Y,'Threshold Summary'!$R:$R,"")/4))*XLOOKUP($Q471,'Threshold Summary'!$Y:$Y,'Threshold Summary'!$L:$L,""))/100)+5)*XLOOKUP(XLOOKUP($Q471,'Threshold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Editor'!$E:$E,1))),stab,IF(OR(mtype=XLOOKUP(XLOOKUP($Q471,'Threshold Summary'!$Y:$Y,'Threshold Summary'!$K:$K,""),'Pokemon Editor'!$A:$A,'Pokemon Editor'!$C:$C,""),mtype=XLOOKUP(XLOOKUP($Q471,'Threshold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Chart'!$B$1:$S$1,0)))),base,IF(OR(cat="Status",pow=0),0,FLOOR(FLOOR(FLOOR((2*XLOOKUP($Q471,'Threshold Summary'!$Y:$Y,'Threshold Summary'!$L:$L,"")/5+2)*pow*atk/def)/50)+2)),modifier,stab*eff,AVERAGE(ARRAYFORMULA(FLOOR(base*modifier*SEQUENCE(16,1,85,1)/100)))*MIN(1,acc/100)),0)</f>
        <v/>
      </c>
      <c r="N471" s="4">
        <f>IFERROR(LET(mtype,XLOOKUP($D471,'Move Editor'!$B:$B,'Move Editor'!$C:$C,""),cat,XLOOKUP($D471,'Move Editor'!$B:$B,'Move Editor'!$D:$D,""),pow,XLOOKUP($D471,'Move Editor'!$B:$B,'Move Editor'!$E:$E,0),acc,XLOOKUP($D471,'Move Editor'!$B:$B,'Move Editor'!$F:$F,100),atk,IF(cat="Physical",FLOOR((FLOOR(((2*XLOOKUP(XLOOKUP($Q471,'Threshold Summary'!$Y:$Y,'Threshold Summary'!$K:$K,""),'Pokemon Editor'!$A:$A,'Pokemon Editor'!$F:$F,0)+31+FLOOR(XLOOKUP($Q471,'Threshold Summary'!$Y:$Y,'Threshold Summary'!$P:$P,"")/4))*XLOOKUP($Q471,'Threshold Summary'!$Y:$Y,'Threshold Summary'!$L:$L,""))/100)+5)*XLOOKUP(XLOOKUP($Q471,'Threshold Summary'!$Y:$Y,'Threshold Summary'!$M:$M,""),'Nature Editor'!$A:$A,'Nature Editor'!$B:$B,1)),FLOOR((FLOOR(((2*XLOOKUP(XLOOKUP($Q471,'Threshold Summary'!$Y:$Y,'Threshold Summary'!$K:$K,""),'Pokemon Editor'!$A:$A,'Pokemon Editor'!$H:$H,0)+31+FLOOR(XLOOKUP($Q471,'Threshold Summary'!$Y:$Y,'Threshold Summary'!$R:$R,"")/4))*XLOOKUP($Q471,'Threshold Summary'!$Y:$Y,'Threshold Summary'!$L:$L,""))/100)+5)*XLOOKUP(XLOOKUP($Q471,'Threshold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Editor'!$E:$E,1))),stab,IF(OR(mtype=XLOOKUP(XLOOKUP($Q471,'Threshold Summary'!$Y:$Y,'Threshold Summary'!$K:$K,""),'Pokemon Editor'!$A:$A,'Pokemon Editor'!$C:$C,""),mtype=XLOOKUP(XLOOKUP($Q471,'Threshold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Chart'!$B$1:$S$1,0)))),base,IF(OR(cat="Status",pow=0),0,FLOOR(FLOOR(FLOOR((2*XLOOKUP($Q471,'Threshold Summary'!$Y:$Y,'Threshold Summary'!$L:$L,"")/5+2)*pow*atk/def)/50)+2)),modifier,stab*eff,AVERAGE(ARRAYFORMULA(FLOOR(base*modifier*SEQUENCE(16,1,85,1)/100)))/(FLOOR(((2*XLOOKUP('Boss Editor'!$C$4,'Pokemon Editor'!$A:$A,'Pokemon Editor'!$E:$E,0)+31+FLOOR('Boss Editor'!$G$4/4))*'Boss Editor'!$D$4)/100)+'Boss Editor'!$D$4+10)),0)</f>
        <v/>
      </c>
      <c r="O471" s="3">
        <f>IF(N471&gt;=1,"OHKO",IF(N471&gt;=0.5,"2HKO",IF(N471&gt;=0.333,"3HKO",IF(N471&gt;=0.25,"4HKO","5HKO+"))))</f>
        <v/>
      </c>
      <c r="P471" s="3" t="inlineStr">
        <is>
          <t>Live from editable databases</t>
        </is>
      </c>
      <c r="Q471" s="3" t="inlineStr">
        <is>
          <t>SPECIES_SEWADDLE</t>
        </is>
      </c>
      <c r="R471" s="3" t="n">
        <v>22</v>
      </c>
    </row>
    <row r="472">
      <c r="A472" s="3">
        <f>XLOOKUP($Q472,'Threshold Summary'!$Y:$Y,'Threshold Summary'!$A:$A,"")</f>
        <v/>
      </c>
      <c r="B472" s="3">
        <f>XLOOKUP($Q472,'Threshold Summary'!$Y:$Y,'Threshold Summary'!$M:$M,"")</f>
        <v/>
      </c>
      <c r="C472" s="3">
        <f>XLOOKUP($Q472,'Threshold Summary'!$Y:$Y,'Threshold Summary'!$N:$N,"")</f>
        <v/>
      </c>
      <c r="D472" s="3">
        <f>IFERROR(INDEX(FILTER('Learnset Editor'!$D$2:$D,'Learnset Editor'!$A$2:$A=XLOOKUP($Q472,'Threshold Summary'!$Y:$Y,'Threshold Summary'!$K:$K,""),'Learnset Editor'!$C$2:$C&lt;=XLOOKUP($Q472,'Threshold Summary'!$Y:$Y,'Threshold Summary'!$L:$L,"")),$R472),"")</f>
        <v/>
      </c>
      <c r="E472" s="3">
        <f>XLOOKUP(D472,'Move Editor'!$B:$B,'Move Editor'!$C:$C,"")</f>
        <v/>
      </c>
      <c r="F472" s="3">
        <f>XLOOKUP(D472,'Move Editor'!$B:$B,'Move Editor'!$D:$D,"")</f>
        <v/>
      </c>
      <c r="G472" s="3">
        <f>XLOOKUP(D472,'Move Editor'!$B:$B,'Move Editor'!$E:$E,0)</f>
        <v/>
      </c>
      <c r="H472" s="3">
        <f>XLOOKUP(D472,'Move Editor'!$B:$B,'Move Editor'!$F:$F,0)</f>
        <v/>
      </c>
      <c r="I472" s="3">
        <f>(INDEX('Type Chart'!$B:$S,MATCH(E472,'Type Chart'!$A:$A,0),MATCH(XLOOKUP('Boss Editor'!$C$4,'Pokemon Editor'!$A:$A,'Pokemon Editor'!$C:$C,""),'Type Chart'!$B$1:$S$1,0))*IF(XLOOKUP('Boss Editor'!$C$4,'Pokemon Editor'!$A:$A,'Pokemon Editor'!$D:$D,"")="",1,INDEX('Type Chart'!$B:$S,MATCH(E472,'Type Chart'!$A:$A,0),MATCH(XLOOKUP('Boss Editor'!$C$4,'Pokemon Editor'!$A:$A,'Pokemon Editor'!$D:$D,""),'Type Chart'!$B$1:$S$1,0))))</f>
        <v/>
      </c>
      <c r="J472" s="3">
        <f>IFERROR(LET(mtype,XLOOKUP($D472,'Move Editor'!$B:$B,'Move Editor'!$C:$C,""),cat,XLOOKUP($D472,'Move Editor'!$B:$B,'Move Editor'!$D:$D,""),pow,XLOOKUP($D472,'Move Editor'!$B:$B,'Move Editor'!$E:$E,0),acc,XLOOKUP($D472,'Move Editor'!$B:$B,'Move Editor'!$F:$F,100),atk,IF(cat="Physical",FLOOR((FLOOR(((2*XLOOKUP(XLOOKUP($Q472,'Threshold Summary'!$Y:$Y,'Threshold Summary'!$K:$K,""),'Pokemon Editor'!$A:$A,'Pokemon Editor'!$F:$F,0)+31+FLOOR(XLOOKUP($Q472,'Threshold Summary'!$Y:$Y,'Threshold Summary'!$P:$P,"")/4))*XLOOKUP($Q472,'Threshold Summary'!$Y:$Y,'Threshold Summary'!$L:$L,""))/100)+5)*XLOOKUP(XLOOKUP($Q472,'Threshold Summary'!$Y:$Y,'Threshold Summary'!$M:$M,""),'Nature Editor'!$A:$A,'Nature Editor'!$B:$B,1)),FLOOR((FLOOR(((2*XLOOKUP(XLOOKUP($Q472,'Threshold Summary'!$Y:$Y,'Threshold Summary'!$K:$K,""),'Pokemon Editor'!$A:$A,'Pokemon Editor'!$H:$H,0)+31+FLOOR(XLOOKUP($Q472,'Threshold Summary'!$Y:$Y,'Threshold Summary'!$R:$R,"")/4))*XLOOKUP($Q472,'Threshold Summary'!$Y:$Y,'Threshold Summary'!$L:$L,""))/100)+5)*XLOOKUP(XLOOKUP($Q472,'Threshold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Editor'!$E:$E,1))),stab,IF(OR(mtype=XLOOKUP(XLOOKUP($Q472,'Threshold Summary'!$Y:$Y,'Threshold Summary'!$K:$K,""),'Pokemon Editor'!$A:$A,'Pokemon Editor'!$C:$C,""),mtype=XLOOKUP(XLOOKUP($Q472,'Threshold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Chart'!$B$1:$S$1,0)))),base,IF(OR(cat="Status",pow=0),0,FLOOR(FLOOR(FLOOR((2*XLOOKUP($Q472,'Threshold Summary'!$Y:$Y,'Threshold Summary'!$L:$L,"")/5+2)*pow*atk/def)/50)+2)),modifier,stab*eff,FLOOR(base*modifier*0.85)),0)</f>
        <v/>
      </c>
      <c r="K472" s="3">
        <f>IFERROR(LET(mtype,XLOOKUP($D472,'Move Editor'!$B:$B,'Move Editor'!$C:$C,""),cat,XLOOKUP($D472,'Move Editor'!$B:$B,'Move Editor'!$D:$D,""),pow,XLOOKUP($D472,'Move Editor'!$B:$B,'Move Editor'!$E:$E,0),acc,XLOOKUP($D472,'Move Editor'!$B:$B,'Move Editor'!$F:$F,100),atk,IF(cat="Physical",FLOOR((FLOOR(((2*XLOOKUP(XLOOKUP($Q472,'Threshold Summary'!$Y:$Y,'Threshold Summary'!$K:$K,""),'Pokemon Editor'!$A:$A,'Pokemon Editor'!$F:$F,0)+31+FLOOR(XLOOKUP($Q472,'Threshold Summary'!$Y:$Y,'Threshold Summary'!$P:$P,"")/4))*XLOOKUP($Q472,'Threshold Summary'!$Y:$Y,'Threshold Summary'!$L:$L,""))/100)+5)*XLOOKUP(XLOOKUP($Q472,'Threshold Summary'!$Y:$Y,'Threshold Summary'!$M:$M,""),'Nature Editor'!$A:$A,'Nature Editor'!$B:$B,1)),FLOOR((FLOOR(((2*XLOOKUP(XLOOKUP($Q472,'Threshold Summary'!$Y:$Y,'Threshold Summary'!$K:$K,""),'Pokemon Editor'!$A:$A,'Pokemon Editor'!$H:$H,0)+31+FLOOR(XLOOKUP($Q472,'Threshold Summary'!$Y:$Y,'Threshold Summary'!$R:$R,"")/4))*XLOOKUP($Q472,'Threshold Summary'!$Y:$Y,'Threshold Summary'!$L:$L,""))/100)+5)*XLOOKUP(XLOOKUP($Q472,'Threshold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Editor'!$E:$E,1))),stab,IF(OR(mtype=XLOOKUP(XLOOKUP($Q472,'Threshold Summary'!$Y:$Y,'Threshold Summary'!$K:$K,""),'Pokemon Editor'!$A:$A,'Pokemon Editor'!$C:$C,""),mtype=XLOOKUP(XLOOKUP($Q472,'Threshold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Chart'!$B$1:$S$1,0)))),base,IF(OR(cat="Status",pow=0),0,FLOOR(FLOOR(FLOOR((2*XLOOKUP($Q472,'Threshold Summary'!$Y:$Y,'Threshold Summary'!$L:$L,"")/5+2)*pow*atk/def)/50)+2)),modifier,stab*eff,FLOOR(base*modifier)),0)</f>
        <v/>
      </c>
      <c r="L472" s="3">
        <f>IFERROR(LET(mtype,XLOOKUP($D472,'Move Editor'!$B:$B,'Move Editor'!$C:$C,""),cat,XLOOKUP($D472,'Move Editor'!$B:$B,'Move Editor'!$D:$D,""),pow,XLOOKUP($D472,'Move Editor'!$B:$B,'Move Editor'!$E:$E,0),acc,XLOOKUP($D472,'Move Editor'!$B:$B,'Move Editor'!$F:$F,100),atk,IF(cat="Physical",FLOOR((FLOOR(((2*XLOOKUP(XLOOKUP($Q472,'Threshold Summary'!$Y:$Y,'Threshold Summary'!$K:$K,""),'Pokemon Editor'!$A:$A,'Pokemon Editor'!$F:$F,0)+31+FLOOR(XLOOKUP($Q472,'Threshold Summary'!$Y:$Y,'Threshold Summary'!$P:$P,"")/4))*XLOOKUP($Q472,'Threshold Summary'!$Y:$Y,'Threshold Summary'!$L:$L,""))/100)+5)*XLOOKUP(XLOOKUP($Q472,'Threshold Summary'!$Y:$Y,'Threshold Summary'!$M:$M,""),'Nature Editor'!$A:$A,'Nature Editor'!$B:$B,1)),FLOOR((FLOOR(((2*XLOOKUP(XLOOKUP($Q472,'Threshold Summary'!$Y:$Y,'Threshold Summary'!$K:$K,""),'Pokemon Editor'!$A:$A,'Pokemon Editor'!$H:$H,0)+31+FLOOR(XLOOKUP($Q472,'Threshold Summary'!$Y:$Y,'Threshold Summary'!$R:$R,"")/4))*XLOOKUP($Q472,'Threshold Summary'!$Y:$Y,'Threshold Summary'!$L:$L,""))/100)+5)*XLOOKUP(XLOOKUP($Q472,'Threshold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Editor'!$E:$E,1))),stab,IF(OR(mtype=XLOOKUP(XLOOKUP($Q472,'Threshold Summary'!$Y:$Y,'Threshold Summary'!$K:$K,""),'Pokemon Editor'!$A:$A,'Pokemon Editor'!$C:$C,""),mtype=XLOOKUP(XLOOKUP($Q472,'Threshold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Chart'!$B$1:$S$1,0)))),base,IF(OR(cat="Status",pow=0),0,FLOOR(FLOOR(FLOOR((2*XLOOKUP($Q472,'Threshold Summary'!$Y:$Y,'Threshold Summary'!$L:$L,"")/5+2)*pow*atk/def)/50)+2)),modifier,stab*eff,AVERAGE(ARRAYFORMULA(FLOOR(base*modifier*SEQUENCE(16,1,85,1)/100)))),0)</f>
        <v/>
      </c>
      <c r="M472" s="3">
        <f>IFERROR(LET(mtype,XLOOKUP($D472,'Move Editor'!$B:$B,'Move Editor'!$C:$C,""),cat,XLOOKUP($D472,'Move Editor'!$B:$B,'Move Editor'!$D:$D,""),pow,XLOOKUP($D472,'Move Editor'!$B:$B,'Move Editor'!$E:$E,0),acc,XLOOKUP($D472,'Move Editor'!$B:$B,'Move Editor'!$F:$F,100),atk,IF(cat="Physical",FLOOR((FLOOR(((2*XLOOKUP(XLOOKUP($Q472,'Threshold Summary'!$Y:$Y,'Threshold Summary'!$K:$K,""),'Pokemon Editor'!$A:$A,'Pokemon Editor'!$F:$F,0)+31+FLOOR(XLOOKUP($Q472,'Threshold Summary'!$Y:$Y,'Threshold Summary'!$P:$P,"")/4))*XLOOKUP($Q472,'Threshold Summary'!$Y:$Y,'Threshold Summary'!$L:$L,""))/100)+5)*XLOOKUP(XLOOKUP($Q472,'Threshold Summary'!$Y:$Y,'Threshold Summary'!$M:$M,""),'Nature Editor'!$A:$A,'Nature Editor'!$B:$B,1)),FLOOR((FLOOR(((2*XLOOKUP(XLOOKUP($Q472,'Threshold Summary'!$Y:$Y,'Threshold Summary'!$K:$K,""),'Pokemon Editor'!$A:$A,'Pokemon Editor'!$H:$H,0)+31+FLOOR(XLOOKUP($Q472,'Threshold Summary'!$Y:$Y,'Threshold Summary'!$R:$R,"")/4))*XLOOKUP($Q472,'Threshold Summary'!$Y:$Y,'Threshold Summary'!$L:$L,""))/100)+5)*XLOOKUP(XLOOKUP($Q472,'Threshold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Editor'!$E:$E,1))),stab,IF(OR(mtype=XLOOKUP(XLOOKUP($Q472,'Threshold Summary'!$Y:$Y,'Threshold Summary'!$K:$K,""),'Pokemon Editor'!$A:$A,'Pokemon Editor'!$C:$C,""),mtype=XLOOKUP(XLOOKUP($Q472,'Threshold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Chart'!$B$1:$S$1,0)))),base,IF(OR(cat="Status",pow=0),0,FLOOR(FLOOR(FLOOR((2*XLOOKUP($Q472,'Threshold Summary'!$Y:$Y,'Threshold Summary'!$L:$L,"")/5+2)*pow*atk/def)/50)+2)),modifier,stab*eff,AVERAGE(ARRAYFORMULA(FLOOR(base*modifier*SEQUENCE(16,1,85,1)/100)))*MIN(1,acc/100)),0)</f>
        <v/>
      </c>
      <c r="N472" s="4">
        <f>IFERROR(LET(mtype,XLOOKUP($D472,'Move Editor'!$B:$B,'Move Editor'!$C:$C,""),cat,XLOOKUP($D472,'Move Editor'!$B:$B,'Move Editor'!$D:$D,""),pow,XLOOKUP($D472,'Move Editor'!$B:$B,'Move Editor'!$E:$E,0),acc,XLOOKUP($D472,'Move Editor'!$B:$B,'Move Editor'!$F:$F,100),atk,IF(cat="Physical",FLOOR((FLOOR(((2*XLOOKUP(XLOOKUP($Q472,'Threshold Summary'!$Y:$Y,'Threshold Summary'!$K:$K,""),'Pokemon Editor'!$A:$A,'Pokemon Editor'!$F:$F,0)+31+FLOOR(XLOOKUP($Q472,'Threshold Summary'!$Y:$Y,'Threshold Summary'!$P:$P,"")/4))*XLOOKUP($Q472,'Threshold Summary'!$Y:$Y,'Threshold Summary'!$L:$L,""))/100)+5)*XLOOKUP(XLOOKUP($Q472,'Threshold Summary'!$Y:$Y,'Threshold Summary'!$M:$M,""),'Nature Editor'!$A:$A,'Nature Editor'!$B:$B,1)),FLOOR((FLOOR(((2*XLOOKUP(XLOOKUP($Q472,'Threshold Summary'!$Y:$Y,'Threshold Summary'!$K:$K,""),'Pokemon Editor'!$A:$A,'Pokemon Editor'!$H:$H,0)+31+FLOOR(XLOOKUP($Q472,'Threshold Summary'!$Y:$Y,'Threshold Summary'!$R:$R,"")/4))*XLOOKUP($Q472,'Threshold Summary'!$Y:$Y,'Threshold Summary'!$L:$L,""))/100)+5)*XLOOKUP(XLOOKUP($Q472,'Threshold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Editor'!$E:$E,1))),stab,IF(OR(mtype=XLOOKUP(XLOOKUP($Q472,'Threshold Summary'!$Y:$Y,'Threshold Summary'!$K:$K,""),'Pokemon Editor'!$A:$A,'Pokemon Editor'!$C:$C,""),mtype=XLOOKUP(XLOOKUP($Q472,'Threshold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Chart'!$B$1:$S$1,0)))),base,IF(OR(cat="Status",pow=0),0,FLOOR(FLOOR(FLOOR((2*XLOOKUP($Q472,'Threshold Summary'!$Y:$Y,'Threshold Summary'!$L:$L,"")/5+2)*pow*atk/def)/50)+2)),modifier,stab*eff,AVERAGE(ARRAYFORMULA(FLOOR(base*modifier*SEQUENCE(16,1,85,1)/100)))/(FLOOR(((2*XLOOKUP('Boss Editor'!$C$4,'Pokemon Editor'!$A:$A,'Pokemon Editor'!$E:$E,0)+31+FLOOR('Boss Editor'!$G$4/4))*'Boss Editor'!$D$4)/100)+'Boss Editor'!$D$4+10)),0)</f>
        <v/>
      </c>
      <c r="O472" s="3">
        <f>IF(N472&gt;=1,"OHKO",IF(N472&gt;=0.5,"2HKO",IF(N472&gt;=0.333,"3HKO",IF(N472&gt;=0.25,"4HKO","5HKO+"))))</f>
        <v/>
      </c>
      <c r="P472" s="3" t="inlineStr">
        <is>
          <t>Live from editable databases</t>
        </is>
      </c>
      <c r="Q472" s="3" t="inlineStr">
        <is>
          <t>SPECIES_SEWADDLE</t>
        </is>
      </c>
      <c r="R472" s="3" t="n">
        <v>23</v>
      </c>
    </row>
    <row r="473">
      <c r="A473" s="3">
        <f>XLOOKUP($Q473,'Threshold Summary'!$Y:$Y,'Threshold Summary'!$A:$A,"")</f>
        <v/>
      </c>
      <c r="B473" s="3">
        <f>XLOOKUP($Q473,'Threshold Summary'!$Y:$Y,'Threshold Summary'!$M:$M,"")</f>
        <v/>
      </c>
      <c r="C473" s="3">
        <f>XLOOKUP($Q473,'Threshold Summary'!$Y:$Y,'Threshold Summary'!$N:$N,"")</f>
        <v/>
      </c>
      <c r="D473" s="3">
        <f>IFERROR(INDEX(FILTER('Learnset Editor'!$D$2:$D,'Learnset Editor'!$A$2:$A=XLOOKUP($Q473,'Threshold Summary'!$Y:$Y,'Threshold Summary'!$K:$K,""),'Learnset Editor'!$C$2:$C&lt;=XLOOKUP($Q473,'Threshold Summary'!$Y:$Y,'Threshold Summary'!$L:$L,"")),$R473),"")</f>
        <v/>
      </c>
      <c r="E473" s="3">
        <f>XLOOKUP(D473,'Move Editor'!$B:$B,'Move Editor'!$C:$C,"")</f>
        <v/>
      </c>
      <c r="F473" s="3">
        <f>XLOOKUP(D473,'Move Editor'!$B:$B,'Move Editor'!$D:$D,"")</f>
        <v/>
      </c>
      <c r="G473" s="3">
        <f>XLOOKUP(D473,'Move Editor'!$B:$B,'Move Editor'!$E:$E,0)</f>
        <v/>
      </c>
      <c r="H473" s="3">
        <f>XLOOKUP(D473,'Move Editor'!$B:$B,'Move Editor'!$F:$F,0)</f>
        <v/>
      </c>
      <c r="I473" s="3">
        <f>(INDEX('Type Chart'!$B:$S,MATCH(E473,'Type Chart'!$A:$A,0),MATCH(XLOOKUP('Boss Editor'!$C$4,'Pokemon Editor'!$A:$A,'Pokemon Editor'!$C:$C,""),'Type Chart'!$B$1:$S$1,0))*IF(XLOOKUP('Boss Editor'!$C$4,'Pokemon Editor'!$A:$A,'Pokemon Editor'!$D:$D,"")="",1,INDEX('Type Chart'!$B:$S,MATCH(E473,'Type Chart'!$A:$A,0),MATCH(XLOOKUP('Boss Editor'!$C$4,'Pokemon Editor'!$A:$A,'Pokemon Editor'!$D:$D,""),'Type Chart'!$B$1:$S$1,0))))</f>
        <v/>
      </c>
      <c r="J473" s="3">
        <f>IFERROR(LET(mtype,XLOOKUP($D473,'Move Editor'!$B:$B,'Move Editor'!$C:$C,""),cat,XLOOKUP($D473,'Move Editor'!$B:$B,'Move Editor'!$D:$D,""),pow,XLOOKUP($D473,'Move Editor'!$B:$B,'Move Editor'!$E:$E,0),acc,XLOOKUP($D473,'Move Editor'!$B:$B,'Move Editor'!$F:$F,100),atk,IF(cat="Physical",FLOOR((FLOOR(((2*XLOOKUP(XLOOKUP($Q473,'Threshold Summary'!$Y:$Y,'Threshold Summary'!$K:$K,""),'Pokemon Editor'!$A:$A,'Pokemon Editor'!$F:$F,0)+31+FLOOR(XLOOKUP($Q473,'Threshold Summary'!$Y:$Y,'Threshold Summary'!$P:$P,"")/4))*XLOOKUP($Q473,'Threshold Summary'!$Y:$Y,'Threshold Summary'!$L:$L,""))/100)+5)*XLOOKUP(XLOOKUP($Q473,'Threshold Summary'!$Y:$Y,'Threshold Summary'!$M:$M,""),'Nature Editor'!$A:$A,'Nature Editor'!$B:$B,1)),FLOOR((FLOOR(((2*XLOOKUP(XLOOKUP($Q473,'Threshold Summary'!$Y:$Y,'Threshold Summary'!$K:$K,""),'Pokemon Editor'!$A:$A,'Pokemon Editor'!$H:$H,0)+31+FLOOR(XLOOKUP($Q473,'Threshold Summary'!$Y:$Y,'Threshold Summary'!$R:$R,"")/4))*XLOOKUP($Q473,'Threshold Summary'!$Y:$Y,'Threshold Summary'!$L:$L,""))/100)+5)*XLOOKUP(XLOOKUP($Q473,'Threshold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Editor'!$E:$E,1))),stab,IF(OR(mtype=XLOOKUP(XLOOKUP($Q473,'Threshold Summary'!$Y:$Y,'Threshold Summary'!$K:$K,""),'Pokemon Editor'!$A:$A,'Pokemon Editor'!$C:$C,""),mtype=XLOOKUP(XLOOKUP($Q473,'Threshold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Chart'!$B$1:$S$1,0)))),base,IF(OR(cat="Status",pow=0),0,FLOOR(FLOOR(FLOOR((2*XLOOKUP($Q473,'Threshold Summary'!$Y:$Y,'Threshold Summary'!$L:$L,"")/5+2)*pow*atk/def)/50)+2)),modifier,stab*eff,FLOOR(base*modifier*0.85)),0)</f>
        <v/>
      </c>
      <c r="K473" s="3">
        <f>IFERROR(LET(mtype,XLOOKUP($D473,'Move Editor'!$B:$B,'Move Editor'!$C:$C,""),cat,XLOOKUP($D473,'Move Editor'!$B:$B,'Move Editor'!$D:$D,""),pow,XLOOKUP($D473,'Move Editor'!$B:$B,'Move Editor'!$E:$E,0),acc,XLOOKUP($D473,'Move Editor'!$B:$B,'Move Editor'!$F:$F,100),atk,IF(cat="Physical",FLOOR((FLOOR(((2*XLOOKUP(XLOOKUP($Q473,'Threshold Summary'!$Y:$Y,'Threshold Summary'!$K:$K,""),'Pokemon Editor'!$A:$A,'Pokemon Editor'!$F:$F,0)+31+FLOOR(XLOOKUP($Q473,'Threshold Summary'!$Y:$Y,'Threshold Summary'!$P:$P,"")/4))*XLOOKUP($Q473,'Threshold Summary'!$Y:$Y,'Threshold Summary'!$L:$L,""))/100)+5)*XLOOKUP(XLOOKUP($Q473,'Threshold Summary'!$Y:$Y,'Threshold Summary'!$M:$M,""),'Nature Editor'!$A:$A,'Nature Editor'!$B:$B,1)),FLOOR((FLOOR(((2*XLOOKUP(XLOOKUP($Q473,'Threshold Summary'!$Y:$Y,'Threshold Summary'!$K:$K,""),'Pokemon Editor'!$A:$A,'Pokemon Editor'!$H:$H,0)+31+FLOOR(XLOOKUP($Q473,'Threshold Summary'!$Y:$Y,'Threshold Summary'!$R:$R,"")/4))*XLOOKUP($Q473,'Threshold Summary'!$Y:$Y,'Threshold Summary'!$L:$L,""))/100)+5)*XLOOKUP(XLOOKUP($Q473,'Threshold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Editor'!$E:$E,1))),stab,IF(OR(mtype=XLOOKUP(XLOOKUP($Q473,'Threshold Summary'!$Y:$Y,'Threshold Summary'!$K:$K,""),'Pokemon Editor'!$A:$A,'Pokemon Editor'!$C:$C,""),mtype=XLOOKUP(XLOOKUP($Q473,'Threshold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Chart'!$B$1:$S$1,0)))),base,IF(OR(cat="Status",pow=0),0,FLOOR(FLOOR(FLOOR((2*XLOOKUP($Q473,'Threshold Summary'!$Y:$Y,'Threshold Summary'!$L:$L,"")/5+2)*pow*atk/def)/50)+2)),modifier,stab*eff,FLOOR(base*modifier)),0)</f>
        <v/>
      </c>
      <c r="L473" s="3">
        <f>IFERROR(LET(mtype,XLOOKUP($D473,'Move Editor'!$B:$B,'Move Editor'!$C:$C,""),cat,XLOOKUP($D473,'Move Editor'!$B:$B,'Move Editor'!$D:$D,""),pow,XLOOKUP($D473,'Move Editor'!$B:$B,'Move Editor'!$E:$E,0),acc,XLOOKUP($D473,'Move Editor'!$B:$B,'Move Editor'!$F:$F,100),atk,IF(cat="Physical",FLOOR((FLOOR(((2*XLOOKUP(XLOOKUP($Q473,'Threshold Summary'!$Y:$Y,'Threshold Summary'!$K:$K,""),'Pokemon Editor'!$A:$A,'Pokemon Editor'!$F:$F,0)+31+FLOOR(XLOOKUP($Q473,'Threshold Summary'!$Y:$Y,'Threshold Summary'!$P:$P,"")/4))*XLOOKUP($Q473,'Threshold Summary'!$Y:$Y,'Threshold Summary'!$L:$L,""))/100)+5)*XLOOKUP(XLOOKUP($Q473,'Threshold Summary'!$Y:$Y,'Threshold Summary'!$M:$M,""),'Nature Editor'!$A:$A,'Nature Editor'!$B:$B,1)),FLOOR((FLOOR(((2*XLOOKUP(XLOOKUP($Q473,'Threshold Summary'!$Y:$Y,'Threshold Summary'!$K:$K,""),'Pokemon Editor'!$A:$A,'Pokemon Editor'!$H:$H,0)+31+FLOOR(XLOOKUP($Q473,'Threshold Summary'!$Y:$Y,'Threshold Summary'!$R:$R,"")/4))*XLOOKUP($Q473,'Threshold Summary'!$Y:$Y,'Threshold Summary'!$L:$L,""))/100)+5)*XLOOKUP(XLOOKUP($Q473,'Threshold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Editor'!$E:$E,1))),stab,IF(OR(mtype=XLOOKUP(XLOOKUP($Q473,'Threshold Summary'!$Y:$Y,'Threshold Summary'!$K:$K,""),'Pokemon Editor'!$A:$A,'Pokemon Editor'!$C:$C,""),mtype=XLOOKUP(XLOOKUP($Q473,'Threshold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Chart'!$B$1:$S$1,0)))),base,IF(OR(cat="Status",pow=0),0,FLOOR(FLOOR(FLOOR((2*XLOOKUP($Q473,'Threshold Summary'!$Y:$Y,'Threshold Summary'!$L:$L,"")/5+2)*pow*atk/def)/50)+2)),modifier,stab*eff,AVERAGE(ARRAYFORMULA(FLOOR(base*modifier*SEQUENCE(16,1,85,1)/100)))),0)</f>
        <v/>
      </c>
      <c r="M473" s="3">
        <f>IFERROR(LET(mtype,XLOOKUP($D473,'Move Editor'!$B:$B,'Move Editor'!$C:$C,""),cat,XLOOKUP($D473,'Move Editor'!$B:$B,'Move Editor'!$D:$D,""),pow,XLOOKUP($D473,'Move Editor'!$B:$B,'Move Editor'!$E:$E,0),acc,XLOOKUP($D473,'Move Editor'!$B:$B,'Move Editor'!$F:$F,100),atk,IF(cat="Physical",FLOOR((FLOOR(((2*XLOOKUP(XLOOKUP($Q473,'Threshold Summary'!$Y:$Y,'Threshold Summary'!$K:$K,""),'Pokemon Editor'!$A:$A,'Pokemon Editor'!$F:$F,0)+31+FLOOR(XLOOKUP($Q473,'Threshold Summary'!$Y:$Y,'Threshold Summary'!$P:$P,"")/4))*XLOOKUP($Q473,'Threshold Summary'!$Y:$Y,'Threshold Summary'!$L:$L,""))/100)+5)*XLOOKUP(XLOOKUP($Q473,'Threshold Summary'!$Y:$Y,'Threshold Summary'!$M:$M,""),'Nature Editor'!$A:$A,'Nature Editor'!$B:$B,1)),FLOOR((FLOOR(((2*XLOOKUP(XLOOKUP($Q473,'Threshold Summary'!$Y:$Y,'Threshold Summary'!$K:$K,""),'Pokemon Editor'!$A:$A,'Pokemon Editor'!$H:$H,0)+31+FLOOR(XLOOKUP($Q473,'Threshold Summary'!$Y:$Y,'Threshold Summary'!$R:$R,"")/4))*XLOOKUP($Q473,'Threshold Summary'!$Y:$Y,'Threshold Summary'!$L:$L,""))/100)+5)*XLOOKUP(XLOOKUP($Q473,'Threshold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Editor'!$E:$E,1))),stab,IF(OR(mtype=XLOOKUP(XLOOKUP($Q473,'Threshold Summary'!$Y:$Y,'Threshold Summary'!$K:$K,""),'Pokemon Editor'!$A:$A,'Pokemon Editor'!$C:$C,""),mtype=XLOOKUP(XLOOKUP($Q473,'Threshold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Chart'!$B$1:$S$1,0)))),base,IF(OR(cat="Status",pow=0),0,FLOOR(FLOOR(FLOOR((2*XLOOKUP($Q473,'Threshold Summary'!$Y:$Y,'Threshold Summary'!$L:$L,"")/5+2)*pow*atk/def)/50)+2)),modifier,stab*eff,AVERAGE(ARRAYFORMULA(FLOOR(base*modifier*SEQUENCE(16,1,85,1)/100)))*MIN(1,acc/100)),0)</f>
        <v/>
      </c>
      <c r="N473" s="4">
        <f>IFERROR(LET(mtype,XLOOKUP($D473,'Move Editor'!$B:$B,'Move Editor'!$C:$C,""),cat,XLOOKUP($D473,'Move Editor'!$B:$B,'Move Editor'!$D:$D,""),pow,XLOOKUP($D473,'Move Editor'!$B:$B,'Move Editor'!$E:$E,0),acc,XLOOKUP($D473,'Move Editor'!$B:$B,'Move Editor'!$F:$F,100),atk,IF(cat="Physical",FLOOR((FLOOR(((2*XLOOKUP(XLOOKUP($Q473,'Threshold Summary'!$Y:$Y,'Threshold Summary'!$K:$K,""),'Pokemon Editor'!$A:$A,'Pokemon Editor'!$F:$F,0)+31+FLOOR(XLOOKUP($Q473,'Threshold Summary'!$Y:$Y,'Threshold Summary'!$P:$P,"")/4))*XLOOKUP($Q473,'Threshold Summary'!$Y:$Y,'Threshold Summary'!$L:$L,""))/100)+5)*XLOOKUP(XLOOKUP($Q473,'Threshold Summary'!$Y:$Y,'Threshold Summary'!$M:$M,""),'Nature Editor'!$A:$A,'Nature Editor'!$B:$B,1)),FLOOR((FLOOR(((2*XLOOKUP(XLOOKUP($Q473,'Threshold Summary'!$Y:$Y,'Threshold Summary'!$K:$K,""),'Pokemon Editor'!$A:$A,'Pokemon Editor'!$H:$H,0)+31+FLOOR(XLOOKUP($Q473,'Threshold Summary'!$Y:$Y,'Threshold Summary'!$R:$R,"")/4))*XLOOKUP($Q473,'Threshold Summary'!$Y:$Y,'Threshold Summary'!$L:$L,""))/100)+5)*XLOOKUP(XLOOKUP($Q473,'Threshold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Editor'!$E:$E,1))),stab,IF(OR(mtype=XLOOKUP(XLOOKUP($Q473,'Threshold Summary'!$Y:$Y,'Threshold Summary'!$K:$K,""),'Pokemon Editor'!$A:$A,'Pokemon Editor'!$C:$C,""),mtype=XLOOKUP(XLOOKUP($Q473,'Threshold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Chart'!$B$1:$S$1,0)))),base,IF(OR(cat="Status",pow=0),0,FLOOR(FLOOR(FLOOR((2*XLOOKUP($Q473,'Threshold Summary'!$Y:$Y,'Threshold Summary'!$L:$L,"")/5+2)*pow*atk/def)/50)+2)),modifier,stab*eff,AVERAGE(ARRAYFORMULA(FLOOR(base*modifier*SEQUENCE(16,1,85,1)/100)))/(FLOOR(((2*XLOOKUP('Boss Editor'!$C$4,'Pokemon Editor'!$A:$A,'Pokemon Editor'!$E:$E,0)+31+FLOOR('Boss Editor'!$G$4/4))*'Boss Editor'!$D$4)/100)+'Boss Editor'!$D$4+10)),0)</f>
        <v/>
      </c>
      <c r="O473" s="3">
        <f>IF(N473&gt;=1,"OHKO",IF(N473&gt;=0.5,"2HKO",IF(N473&gt;=0.333,"3HKO",IF(N473&gt;=0.25,"4HKO","5HKO+"))))</f>
        <v/>
      </c>
      <c r="P473" s="3" t="inlineStr">
        <is>
          <t>Live from editable databases</t>
        </is>
      </c>
      <c r="Q473" s="3" t="inlineStr">
        <is>
          <t>SPECIES_SEWADDLE</t>
        </is>
      </c>
      <c r="R473" s="3" t="n">
        <v>24</v>
      </c>
    </row>
    <row r="474">
      <c r="A474" s="3">
        <f>XLOOKUP($Q474,'Threshold Summary'!$Y:$Y,'Threshold Summary'!$A:$A,"")</f>
        <v/>
      </c>
      <c r="B474" s="3">
        <f>XLOOKUP($Q474,'Threshold Summary'!$Y:$Y,'Threshold Summary'!$M:$M,"")</f>
        <v/>
      </c>
      <c r="C474" s="3">
        <f>XLOOKUP($Q474,'Threshold Summary'!$Y:$Y,'Threshold Summary'!$N:$N,"")</f>
        <v/>
      </c>
      <c r="D474" s="3">
        <f>IFERROR(INDEX(FILTER('Learnset Editor'!$D$2:$D,'Learnset Editor'!$A$2:$A=XLOOKUP($Q474,'Threshold Summary'!$Y:$Y,'Threshold Summary'!$K:$K,""),'Learnset Editor'!$C$2:$C&lt;=XLOOKUP($Q474,'Threshold Summary'!$Y:$Y,'Threshold Summary'!$L:$L,"")),$R474),"")</f>
        <v/>
      </c>
      <c r="E474" s="3">
        <f>XLOOKUP(D474,'Move Editor'!$B:$B,'Move Editor'!$C:$C,"")</f>
        <v/>
      </c>
      <c r="F474" s="3">
        <f>XLOOKUP(D474,'Move Editor'!$B:$B,'Move Editor'!$D:$D,"")</f>
        <v/>
      </c>
      <c r="G474" s="3">
        <f>XLOOKUP(D474,'Move Editor'!$B:$B,'Move Editor'!$E:$E,0)</f>
        <v/>
      </c>
      <c r="H474" s="3">
        <f>XLOOKUP(D474,'Move Editor'!$B:$B,'Move Editor'!$F:$F,0)</f>
        <v/>
      </c>
      <c r="I474" s="3">
        <f>(INDEX('Type Chart'!$B:$S,MATCH(E474,'Type Chart'!$A:$A,0),MATCH(XLOOKUP('Boss Editor'!$C$4,'Pokemon Editor'!$A:$A,'Pokemon Editor'!$C:$C,""),'Type Chart'!$B$1:$S$1,0))*IF(XLOOKUP('Boss Editor'!$C$4,'Pokemon Editor'!$A:$A,'Pokemon Editor'!$D:$D,"")="",1,INDEX('Type Chart'!$B:$S,MATCH(E474,'Type Chart'!$A:$A,0),MATCH(XLOOKUP('Boss Editor'!$C$4,'Pokemon Editor'!$A:$A,'Pokemon Editor'!$D:$D,""),'Type Chart'!$B$1:$S$1,0))))</f>
        <v/>
      </c>
      <c r="J474" s="3">
        <f>IFERROR(LET(mtype,XLOOKUP($D474,'Move Editor'!$B:$B,'Move Editor'!$C:$C,""),cat,XLOOKUP($D474,'Move Editor'!$B:$B,'Move Editor'!$D:$D,""),pow,XLOOKUP($D474,'Move Editor'!$B:$B,'Move Editor'!$E:$E,0),acc,XLOOKUP($D474,'Move Editor'!$B:$B,'Move Editor'!$F:$F,100),atk,IF(cat="Physical",FLOOR((FLOOR(((2*XLOOKUP(XLOOKUP($Q474,'Threshold Summary'!$Y:$Y,'Threshold Summary'!$K:$K,""),'Pokemon Editor'!$A:$A,'Pokemon Editor'!$F:$F,0)+31+FLOOR(XLOOKUP($Q474,'Threshold Summary'!$Y:$Y,'Threshold Summary'!$P:$P,"")/4))*XLOOKUP($Q474,'Threshold Summary'!$Y:$Y,'Threshold Summary'!$L:$L,""))/100)+5)*XLOOKUP(XLOOKUP($Q474,'Threshold Summary'!$Y:$Y,'Threshold Summary'!$M:$M,""),'Nature Editor'!$A:$A,'Nature Editor'!$B:$B,1)),FLOOR((FLOOR(((2*XLOOKUP(XLOOKUP($Q474,'Threshold Summary'!$Y:$Y,'Threshold Summary'!$K:$K,""),'Pokemon Editor'!$A:$A,'Pokemon Editor'!$H:$H,0)+31+FLOOR(XLOOKUP($Q474,'Threshold Summary'!$Y:$Y,'Threshold Summary'!$R:$R,"")/4))*XLOOKUP($Q474,'Threshold Summary'!$Y:$Y,'Threshold Summary'!$L:$L,""))/100)+5)*XLOOKUP(XLOOKUP($Q474,'Threshold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Editor'!$E:$E,1))),stab,IF(OR(mtype=XLOOKUP(XLOOKUP($Q474,'Threshold Summary'!$Y:$Y,'Threshold Summary'!$K:$K,""),'Pokemon Editor'!$A:$A,'Pokemon Editor'!$C:$C,""),mtype=XLOOKUP(XLOOKUP($Q474,'Threshold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Chart'!$B$1:$S$1,0)))),base,IF(OR(cat="Status",pow=0),0,FLOOR(FLOOR(FLOOR((2*XLOOKUP($Q474,'Threshold Summary'!$Y:$Y,'Threshold Summary'!$L:$L,"")/5+2)*pow*atk/def)/50)+2)),modifier,stab*eff,FLOOR(base*modifier*0.85)),0)</f>
        <v/>
      </c>
      <c r="K474" s="3">
        <f>IFERROR(LET(mtype,XLOOKUP($D474,'Move Editor'!$B:$B,'Move Editor'!$C:$C,""),cat,XLOOKUP($D474,'Move Editor'!$B:$B,'Move Editor'!$D:$D,""),pow,XLOOKUP($D474,'Move Editor'!$B:$B,'Move Editor'!$E:$E,0),acc,XLOOKUP($D474,'Move Editor'!$B:$B,'Move Editor'!$F:$F,100),atk,IF(cat="Physical",FLOOR((FLOOR(((2*XLOOKUP(XLOOKUP($Q474,'Threshold Summary'!$Y:$Y,'Threshold Summary'!$K:$K,""),'Pokemon Editor'!$A:$A,'Pokemon Editor'!$F:$F,0)+31+FLOOR(XLOOKUP($Q474,'Threshold Summary'!$Y:$Y,'Threshold Summary'!$P:$P,"")/4))*XLOOKUP($Q474,'Threshold Summary'!$Y:$Y,'Threshold Summary'!$L:$L,""))/100)+5)*XLOOKUP(XLOOKUP($Q474,'Threshold Summary'!$Y:$Y,'Threshold Summary'!$M:$M,""),'Nature Editor'!$A:$A,'Nature Editor'!$B:$B,1)),FLOOR((FLOOR(((2*XLOOKUP(XLOOKUP($Q474,'Threshold Summary'!$Y:$Y,'Threshold Summary'!$K:$K,""),'Pokemon Editor'!$A:$A,'Pokemon Editor'!$H:$H,0)+31+FLOOR(XLOOKUP($Q474,'Threshold Summary'!$Y:$Y,'Threshold Summary'!$R:$R,"")/4))*XLOOKUP($Q474,'Threshold Summary'!$Y:$Y,'Threshold Summary'!$L:$L,""))/100)+5)*XLOOKUP(XLOOKUP($Q474,'Threshold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Editor'!$E:$E,1))),stab,IF(OR(mtype=XLOOKUP(XLOOKUP($Q474,'Threshold Summary'!$Y:$Y,'Threshold Summary'!$K:$K,""),'Pokemon Editor'!$A:$A,'Pokemon Editor'!$C:$C,""),mtype=XLOOKUP(XLOOKUP($Q474,'Threshold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Chart'!$B$1:$S$1,0)))),base,IF(OR(cat="Status",pow=0),0,FLOOR(FLOOR(FLOOR((2*XLOOKUP($Q474,'Threshold Summary'!$Y:$Y,'Threshold Summary'!$L:$L,"")/5+2)*pow*atk/def)/50)+2)),modifier,stab*eff,FLOOR(base*modifier)),0)</f>
        <v/>
      </c>
      <c r="L474" s="3">
        <f>IFERROR(LET(mtype,XLOOKUP($D474,'Move Editor'!$B:$B,'Move Editor'!$C:$C,""),cat,XLOOKUP($D474,'Move Editor'!$B:$B,'Move Editor'!$D:$D,""),pow,XLOOKUP($D474,'Move Editor'!$B:$B,'Move Editor'!$E:$E,0),acc,XLOOKUP($D474,'Move Editor'!$B:$B,'Move Editor'!$F:$F,100),atk,IF(cat="Physical",FLOOR((FLOOR(((2*XLOOKUP(XLOOKUP($Q474,'Threshold Summary'!$Y:$Y,'Threshold Summary'!$K:$K,""),'Pokemon Editor'!$A:$A,'Pokemon Editor'!$F:$F,0)+31+FLOOR(XLOOKUP($Q474,'Threshold Summary'!$Y:$Y,'Threshold Summary'!$P:$P,"")/4))*XLOOKUP($Q474,'Threshold Summary'!$Y:$Y,'Threshold Summary'!$L:$L,""))/100)+5)*XLOOKUP(XLOOKUP($Q474,'Threshold Summary'!$Y:$Y,'Threshold Summary'!$M:$M,""),'Nature Editor'!$A:$A,'Nature Editor'!$B:$B,1)),FLOOR((FLOOR(((2*XLOOKUP(XLOOKUP($Q474,'Threshold Summary'!$Y:$Y,'Threshold Summary'!$K:$K,""),'Pokemon Editor'!$A:$A,'Pokemon Editor'!$H:$H,0)+31+FLOOR(XLOOKUP($Q474,'Threshold Summary'!$Y:$Y,'Threshold Summary'!$R:$R,"")/4))*XLOOKUP($Q474,'Threshold Summary'!$Y:$Y,'Threshold Summary'!$L:$L,""))/100)+5)*XLOOKUP(XLOOKUP($Q474,'Threshold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Editor'!$E:$E,1))),stab,IF(OR(mtype=XLOOKUP(XLOOKUP($Q474,'Threshold Summary'!$Y:$Y,'Threshold Summary'!$K:$K,""),'Pokemon Editor'!$A:$A,'Pokemon Editor'!$C:$C,""),mtype=XLOOKUP(XLOOKUP($Q474,'Threshold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Chart'!$B$1:$S$1,0)))),base,IF(OR(cat="Status",pow=0),0,FLOOR(FLOOR(FLOOR((2*XLOOKUP($Q474,'Threshold Summary'!$Y:$Y,'Threshold Summary'!$L:$L,"")/5+2)*pow*atk/def)/50)+2)),modifier,stab*eff,AVERAGE(ARRAYFORMULA(FLOOR(base*modifier*SEQUENCE(16,1,85,1)/100)))),0)</f>
        <v/>
      </c>
      <c r="M474" s="3">
        <f>IFERROR(LET(mtype,XLOOKUP($D474,'Move Editor'!$B:$B,'Move Editor'!$C:$C,""),cat,XLOOKUP($D474,'Move Editor'!$B:$B,'Move Editor'!$D:$D,""),pow,XLOOKUP($D474,'Move Editor'!$B:$B,'Move Editor'!$E:$E,0),acc,XLOOKUP($D474,'Move Editor'!$B:$B,'Move Editor'!$F:$F,100),atk,IF(cat="Physical",FLOOR((FLOOR(((2*XLOOKUP(XLOOKUP($Q474,'Threshold Summary'!$Y:$Y,'Threshold Summary'!$K:$K,""),'Pokemon Editor'!$A:$A,'Pokemon Editor'!$F:$F,0)+31+FLOOR(XLOOKUP($Q474,'Threshold Summary'!$Y:$Y,'Threshold Summary'!$P:$P,"")/4))*XLOOKUP($Q474,'Threshold Summary'!$Y:$Y,'Threshold Summary'!$L:$L,""))/100)+5)*XLOOKUP(XLOOKUP($Q474,'Threshold Summary'!$Y:$Y,'Threshold Summary'!$M:$M,""),'Nature Editor'!$A:$A,'Nature Editor'!$B:$B,1)),FLOOR((FLOOR(((2*XLOOKUP(XLOOKUP($Q474,'Threshold Summary'!$Y:$Y,'Threshold Summary'!$K:$K,""),'Pokemon Editor'!$A:$A,'Pokemon Editor'!$H:$H,0)+31+FLOOR(XLOOKUP($Q474,'Threshold Summary'!$Y:$Y,'Threshold Summary'!$R:$R,"")/4))*XLOOKUP($Q474,'Threshold Summary'!$Y:$Y,'Threshold Summary'!$L:$L,""))/100)+5)*XLOOKUP(XLOOKUP($Q474,'Threshold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Editor'!$E:$E,1))),stab,IF(OR(mtype=XLOOKUP(XLOOKUP($Q474,'Threshold Summary'!$Y:$Y,'Threshold Summary'!$K:$K,""),'Pokemon Editor'!$A:$A,'Pokemon Editor'!$C:$C,""),mtype=XLOOKUP(XLOOKUP($Q474,'Threshold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Chart'!$B$1:$S$1,0)))),base,IF(OR(cat="Status",pow=0),0,FLOOR(FLOOR(FLOOR((2*XLOOKUP($Q474,'Threshold Summary'!$Y:$Y,'Threshold Summary'!$L:$L,"")/5+2)*pow*atk/def)/50)+2)),modifier,stab*eff,AVERAGE(ARRAYFORMULA(FLOOR(base*modifier*SEQUENCE(16,1,85,1)/100)))*MIN(1,acc/100)),0)</f>
        <v/>
      </c>
      <c r="N474" s="4">
        <f>IFERROR(LET(mtype,XLOOKUP($D474,'Move Editor'!$B:$B,'Move Editor'!$C:$C,""),cat,XLOOKUP($D474,'Move Editor'!$B:$B,'Move Editor'!$D:$D,""),pow,XLOOKUP($D474,'Move Editor'!$B:$B,'Move Editor'!$E:$E,0),acc,XLOOKUP($D474,'Move Editor'!$B:$B,'Move Editor'!$F:$F,100),atk,IF(cat="Physical",FLOOR((FLOOR(((2*XLOOKUP(XLOOKUP($Q474,'Threshold Summary'!$Y:$Y,'Threshold Summary'!$K:$K,""),'Pokemon Editor'!$A:$A,'Pokemon Editor'!$F:$F,0)+31+FLOOR(XLOOKUP($Q474,'Threshold Summary'!$Y:$Y,'Threshold Summary'!$P:$P,"")/4))*XLOOKUP($Q474,'Threshold Summary'!$Y:$Y,'Threshold Summary'!$L:$L,""))/100)+5)*XLOOKUP(XLOOKUP($Q474,'Threshold Summary'!$Y:$Y,'Threshold Summary'!$M:$M,""),'Nature Editor'!$A:$A,'Nature Editor'!$B:$B,1)),FLOOR((FLOOR(((2*XLOOKUP(XLOOKUP($Q474,'Threshold Summary'!$Y:$Y,'Threshold Summary'!$K:$K,""),'Pokemon Editor'!$A:$A,'Pokemon Editor'!$H:$H,0)+31+FLOOR(XLOOKUP($Q474,'Threshold Summary'!$Y:$Y,'Threshold Summary'!$R:$R,"")/4))*XLOOKUP($Q474,'Threshold Summary'!$Y:$Y,'Threshold Summary'!$L:$L,""))/100)+5)*XLOOKUP(XLOOKUP($Q474,'Threshold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Editor'!$E:$E,1))),stab,IF(OR(mtype=XLOOKUP(XLOOKUP($Q474,'Threshold Summary'!$Y:$Y,'Threshold Summary'!$K:$K,""),'Pokemon Editor'!$A:$A,'Pokemon Editor'!$C:$C,""),mtype=XLOOKUP(XLOOKUP($Q474,'Threshold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Chart'!$B$1:$S$1,0)))),base,IF(OR(cat="Status",pow=0),0,FLOOR(FLOOR(FLOOR((2*XLOOKUP($Q474,'Threshold Summary'!$Y:$Y,'Threshold Summary'!$L:$L,"")/5+2)*pow*atk/def)/50)+2)),modifier,stab*eff,AVERAGE(ARRAYFORMULA(FLOOR(base*modifier*SEQUENCE(16,1,85,1)/100)))/(FLOOR(((2*XLOOKUP('Boss Editor'!$C$4,'Pokemon Editor'!$A:$A,'Pokemon Editor'!$E:$E,0)+31+FLOOR('Boss Editor'!$G$4/4))*'Boss Editor'!$D$4)/100)+'Boss Editor'!$D$4+10)),0)</f>
        <v/>
      </c>
      <c r="O474" s="3">
        <f>IF(N474&gt;=1,"OHKO",IF(N474&gt;=0.5,"2HKO",IF(N474&gt;=0.333,"3HKO",IF(N474&gt;=0.25,"4HKO","5HKO+"))))</f>
        <v/>
      </c>
      <c r="P474" s="3" t="inlineStr">
        <is>
          <t>Live from editable databases</t>
        </is>
      </c>
      <c r="Q474" s="3" t="inlineStr">
        <is>
          <t>SPECIES_SEWADDLE</t>
        </is>
      </c>
      <c r="R474" s="3" t="n">
        <v>25</v>
      </c>
    </row>
    <row r="475">
      <c r="A475" s="3">
        <f>XLOOKUP($Q475,'Threshold Summary'!$Y:$Y,'Threshold Summary'!$A:$A,"")</f>
        <v/>
      </c>
      <c r="B475" s="3">
        <f>XLOOKUP($Q475,'Threshold Summary'!$Y:$Y,'Threshold Summary'!$M:$M,"")</f>
        <v/>
      </c>
      <c r="C475" s="3">
        <f>XLOOKUP($Q475,'Threshold Summary'!$Y:$Y,'Threshold Summary'!$N:$N,"")</f>
        <v/>
      </c>
      <c r="D475" s="3">
        <f>IFERROR(INDEX(FILTER('Learnset Editor'!$D$2:$D,'Learnset Editor'!$A$2:$A=XLOOKUP($Q475,'Threshold Summary'!$Y:$Y,'Threshold Summary'!$K:$K,""),'Learnset Editor'!$C$2:$C&lt;=XLOOKUP($Q475,'Threshold Summary'!$Y:$Y,'Threshold Summary'!$L:$L,"")),$R475),"")</f>
        <v/>
      </c>
      <c r="E475" s="3">
        <f>XLOOKUP(D475,'Move Editor'!$B:$B,'Move Editor'!$C:$C,"")</f>
        <v/>
      </c>
      <c r="F475" s="3">
        <f>XLOOKUP(D475,'Move Editor'!$B:$B,'Move Editor'!$D:$D,"")</f>
        <v/>
      </c>
      <c r="G475" s="3">
        <f>XLOOKUP(D475,'Move Editor'!$B:$B,'Move Editor'!$E:$E,0)</f>
        <v/>
      </c>
      <c r="H475" s="3">
        <f>XLOOKUP(D475,'Move Editor'!$B:$B,'Move Editor'!$F:$F,0)</f>
        <v/>
      </c>
      <c r="I475" s="3">
        <f>(INDEX('Type Chart'!$B:$S,MATCH(E475,'Type Chart'!$A:$A,0),MATCH(XLOOKUP('Boss Editor'!$C$4,'Pokemon Editor'!$A:$A,'Pokemon Editor'!$C:$C,""),'Type Chart'!$B$1:$S$1,0))*IF(XLOOKUP('Boss Editor'!$C$4,'Pokemon Editor'!$A:$A,'Pokemon Editor'!$D:$D,"")="",1,INDEX('Type Chart'!$B:$S,MATCH(E475,'Type Chart'!$A:$A,0),MATCH(XLOOKUP('Boss Editor'!$C$4,'Pokemon Editor'!$A:$A,'Pokemon Editor'!$D:$D,""),'Type Chart'!$B$1:$S$1,0))))</f>
        <v/>
      </c>
      <c r="J475" s="3">
        <f>IFERROR(LET(mtype,XLOOKUP($D475,'Move Editor'!$B:$B,'Move Editor'!$C:$C,""),cat,XLOOKUP($D475,'Move Editor'!$B:$B,'Move Editor'!$D:$D,""),pow,XLOOKUP($D475,'Move Editor'!$B:$B,'Move Editor'!$E:$E,0),acc,XLOOKUP($D475,'Move Editor'!$B:$B,'Move Editor'!$F:$F,100),atk,IF(cat="Physical",FLOOR((FLOOR(((2*XLOOKUP(XLOOKUP($Q475,'Threshold Summary'!$Y:$Y,'Threshold Summary'!$K:$K,""),'Pokemon Editor'!$A:$A,'Pokemon Editor'!$F:$F,0)+31+FLOOR(XLOOKUP($Q475,'Threshold Summary'!$Y:$Y,'Threshold Summary'!$P:$P,"")/4))*XLOOKUP($Q475,'Threshold Summary'!$Y:$Y,'Threshold Summary'!$L:$L,""))/100)+5)*XLOOKUP(XLOOKUP($Q475,'Threshold Summary'!$Y:$Y,'Threshold Summary'!$M:$M,""),'Nature Editor'!$A:$A,'Nature Editor'!$B:$B,1)),FLOOR((FLOOR(((2*XLOOKUP(XLOOKUP($Q475,'Threshold Summary'!$Y:$Y,'Threshold Summary'!$K:$K,""),'Pokemon Editor'!$A:$A,'Pokemon Editor'!$H:$H,0)+31+FLOOR(XLOOKUP($Q475,'Threshold Summary'!$Y:$Y,'Threshold Summary'!$R:$R,"")/4))*XLOOKUP($Q475,'Threshold Summary'!$Y:$Y,'Threshold Summary'!$L:$L,""))/100)+5)*XLOOKUP(XLOOKUP($Q475,'Threshold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Editor'!$E:$E,1))),stab,IF(OR(mtype=XLOOKUP(XLOOKUP($Q475,'Threshold Summary'!$Y:$Y,'Threshold Summary'!$K:$K,""),'Pokemon Editor'!$A:$A,'Pokemon Editor'!$C:$C,""),mtype=XLOOKUP(XLOOKUP($Q475,'Threshold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Chart'!$B$1:$S$1,0)))),base,IF(OR(cat="Status",pow=0),0,FLOOR(FLOOR(FLOOR((2*XLOOKUP($Q475,'Threshold Summary'!$Y:$Y,'Threshold Summary'!$L:$L,"")/5+2)*pow*atk/def)/50)+2)),modifier,stab*eff,FLOOR(base*modifier*0.85)),0)</f>
        <v/>
      </c>
      <c r="K475" s="3">
        <f>IFERROR(LET(mtype,XLOOKUP($D475,'Move Editor'!$B:$B,'Move Editor'!$C:$C,""),cat,XLOOKUP($D475,'Move Editor'!$B:$B,'Move Editor'!$D:$D,""),pow,XLOOKUP($D475,'Move Editor'!$B:$B,'Move Editor'!$E:$E,0),acc,XLOOKUP($D475,'Move Editor'!$B:$B,'Move Editor'!$F:$F,100),atk,IF(cat="Physical",FLOOR((FLOOR(((2*XLOOKUP(XLOOKUP($Q475,'Threshold Summary'!$Y:$Y,'Threshold Summary'!$K:$K,""),'Pokemon Editor'!$A:$A,'Pokemon Editor'!$F:$F,0)+31+FLOOR(XLOOKUP($Q475,'Threshold Summary'!$Y:$Y,'Threshold Summary'!$P:$P,"")/4))*XLOOKUP($Q475,'Threshold Summary'!$Y:$Y,'Threshold Summary'!$L:$L,""))/100)+5)*XLOOKUP(XLOOKUP($Q475,'Threshold Summary'!$Y:$Y,'Threshold Summary'!$M:$M,""),'Nature Editor'!$A:$A,'Nature Editor'!$B:$B,1)),FLOOR((FLOOR(((2*XLOOKUP(XLOOKUP($Q475,'Threshold Summary'!$Y:$Y,'Threshold Summary'!$K:$K,""),'Pokemon Editor'!$A:$A,'Pokemon Editor'!$H:$H,0)+31+FLOOR(XLOOKUP($Q475,'Threshold Summary'!$Y:$Y,'Threshold Summary'!$R:$R,"")/4))*XLOOKUP($Q475,'Threshold Summary'!$Y:$Y,'Threshold Summary'!$L:$L,""))/100)+5)*XLOOKUP(XLOOKUP($Q475,'Threshold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Editor'!$E:$E,1))),stab,IF(OR(mtype=XLOOKUP(XLOOKUP($Q475,'Threshold Summary'!$Y:$Y,'Threshold Summary'!$K:$K,""),'Pokemon Editor'!$A:$A,'Pokemon Editor'!$C:$C,""),mtype=XLOOKUP(XLOOKUP($Q475,'Threshold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Chart'!$B$1:$S$1,0)))),base,IF(OR(cat="Status",pow=0),0,FLOOR(FLOOR(FLOOR((2*XLOOKUP($Q475,'Threshold Summary'!$Y:$Y,'Threshold Summary'!$L:$L,"")/5+2)*pow*atk/def)/50)+2)),modifier,stab*eff,FLOOR(base*modifier)),0)</f>
        <v/>
      </c>
      <c r="L475" s="3">
        <f>IFERROR(LET(mtype,XLOOKUP($D475,'Move Editor'!$B:$B,'Move Editor'!$C:$C,""),cat,XLOOKUP($D475,'Move Editor'!$B:$B,'Move Editor'!$D:$D,""),pow,XLOOKUP($D475,'Move Editor'!$B:$B,'Move Editor'!$E:$E,0),acc,XLOOKUP($D475,'Move Editor'!$B:$B,'Move Editor'!$F:$F,100),atk,IF(cat="Physical",FLOOR((FLOOR(((2*XLOOKUP(XLOOKUP($Q475,'Threshold Summary'!$Y:$Y,'Threshold Summary'!$K:$K,""),'Pokemon Editor'!$A:$A,'Pokemon Editor'!$F:$F,0)+31+FLOOR(XLOOKUP($Q475,'Threshold Summary'!$Y:$Y,'Threshold Summary'!$P:$P,"")/4))*XLOOKUP($Q475,'Threshold Summary'!$Y:$Y,'Threshold Summary'!$L:$L,""))/100)+5)*XLOOKUP(XLOOKUP($Q475,'Threshold Summary'!$Y:$Y,'Threshold Summary'!$M:$M,""),'Nature Editor'!$A:$A,'Nature Editor'!$B:$B,1)),FLOOR((FLOOR(((2*XLOOKUP(XLOOKUP($Q475,'Threshold Summary'!$Y:$Y,'Threshold Summary'!$K:$K,""),'Pokemon Editor'!$A:$A,'Pokemon Editor'!$H:$H,0)+31+FLOOR(XLOOKUP($Q475,'Threshold Summary'!$Y:$Y,'Threshold Summary'!$R:$R,"")/4))*XLOOKUP($Q475,'Threshold Summary'!$Y:$Y,'Threshold Summary'!$L:$L,""))/100)+5)*XLOOKUP(XLOOKUP($Q475,'Threshold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Editor'!$E:$E,1))),stab,IF(OR(mtype=XLOOKUP(XLOOKUP($Q475,'Threshold Summary'!$Y:$Y,'Threshold Summary'!$K:$K,""),'Pokemon Editor'!$A:$A,'Pokemon Editor'!$C:$C,""),mtype=XLOOKUP(XLOOKUP($Q475,'Threshold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Chart'!$B$1:$S$1,0)))),base,IF(OR(cat="Status",pow=0),0,FLOOR(FLOOR(FLOOR((2*XLOOKUP($Q475,'Threshold Summary'!$Y:$Y,'Threshold Summary'!$L:$L,"")/5+2)*pow*atk/def)/50)+2)),modifier,stab*eff,AVERAGE(ARRAYFORMULA(FLOOR(base*modifier*SEQUENCE(16,1,85,1)/100)))),0)</f>
        <v/>
      </c>
      <c r="M475" s="3">
        <f>IFERROR(LET(mtype,XLOOKUP($D475,'Move Editor'!$B:$B,'Move Editor'!$C:$C,""),cat,XLOOKUP($D475,'Move Editor'!$B:$B,'Move Editor'!$D:$D,""),pow,XLOOKUP($D475,'Move Editor'!$B:$B,'Move Editor'!$E:$E,0),acc,XLOOKUP($D475,'Move Editor'!$B:$B,'Move Editor'!$F:$F,100),atk,IF(cat="Physical",FLOOR((FLOOR(((2*XLOOKUP(XLOOKUP($Q475,'Threshold Summary'!$Y:$Y,'Threshold Summary'!$K:$K,""),'Pokemon Editor'!$A:$A,'Pokemon Editor'!$F:$F,0)+31+FLOOR(XLOOKUP($Q475,'Threshold Summary'!$Y:$Y,'Threshold Summary'!$P:$P,"")/4))*XLOOKUP($Q475,'Threshold Summary'!$Y:$Y,'Threshold Summary'!$L:$L,""))/100)+5)*XLOOKUP(XLOOKUP($Q475,'Threshold Summary'!$Y:$Y,'Threshold Summary'!$M:$M,""),'Nature Editor'!$A:$A,'Nature Editor'!$B:$B,1)),FLOOR((FLOOR(((2*XLOOKUP(XLOOKUP($Q475,'Threshold Summary'!$Y:$Y,'Threshold Summary'!$K:$K,""),'Pokemon Editor'!$A:$A,'Pokemon Editor'!$H:$H,0)+31+FLOOR(XLOOKUP($Q475,'Threshold Summary'!$Y:$Y,'Threshold Summary'!$R:$R,"")/4))*XLOOKUP($Q475,'Threshold Summary'!$Y:$Y,'Threshold Summary'!$L:$L,""))/100)+5)*XLOOKUP(XLOOKUP($Q475,'Threshold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Editor'!$E:$E,1))),stab,IF(OR(mtype=XLOOKUP(XLOOKUP($Q475,'Threshold Summary'!$Y:$Y,'Threshold Summary'!$K:$K,""),'Pokemon Editor'!$A:$A,'Pokemon Editor'!$C:$C,""),mtype=XLOOKUP(XLOOKUP($Q475,'Threshold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Chart'!$B$1:$S$1,0)))),base,IF(OR(cat="Status",pow=0),0,FLOOR(FLOOR(FLOOR((2*XLOOKUP($Q475,'Threshold Summary'!$Y:$Y,'Threshold Summary'!$L:$L,"")/5+2)*pow*atk/def)/50)+2)),modifier,stab*eff,AVERAGE(ARRAYFORMULA(FLOOR(base*modifier*SEQUENCE(16,1,85,1)/100)))*MIN(1,acc/100)),0)</f>
        <v/>
      </c>
      <c r="N475" s="4">
        <f>IFERROR(LET(mtype,XLOOKUP($D475,'Move Editor'!$B:$B,'Move Editor'!$C:$C,""),cat,XLOOKUP($D475,'Move Editor'!$B:$B,'Move Editor'!$D:$D,""),pow,XLOOKUP($D475,'Move Editor'!$B:$B,'Move Editor'!$E:$E,0),acc,XLOOKUP($D475,'Move Editor'!$B:$B,'Move Editor'!$F:$F,100),atk,IF(cat="Physical",FLOOR((FLOOR(((2*XLOOKUP(XLOOKUP($Q475,'Threshold Summary'!$Y:$Y,'Threshold Summary'!$K:$K,""),'Pokemon Editor'!$A:$A,'Pokemon Editor'!$F:$F,0)+31+FLOOR(XLOOKUP($Q475,'Threshold Summary'!$Y:$Y,'Threshold Summary'!$P:$P,"")/4))*XLOOKUP($Q475,'Threshold Summary'!$Y:$Y,'Threshold Summary'!$L:$L,""))/100)+5)*XLOOKUP(XLOOKUP($Q475,'Threshold Summary'!$Y:$Y,'Threshold Summary'!$M:$M,""),'Nature Editor'!$A:$A,'Nature Editor'!$B:$B,1)),FLOOR((FLOOR(((2*XLOOKUP(XLOOKUP($Q475,'Threshold Summary'!$Y:$Y,'Threshold Summary'!$K:$K,""),'Pokemon Editor'!$A:$A,'Pokemon Editor'!$H:$H,0)+31+FLOOR(XLOOKUP($Q475,'Threshold Summary'!$Y:$Y,'Threshold Summary'!$R:$R,"")/4))*XLOOKUP($Q475,'Threshold Summary'!$Y:$Y,'Threshold Summary'!$L:$L,""))/100)+5)*XLOOKUP(XLOOKUP($Q475,'Threshold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Editor'!$E:$E,1))),stab,IF(OR(mtype=XLOOKUP(XLOOKUP($Q475,'Threshold Summary'!$Y:$Y,'Threshold Summary'!$K:$K,""),'Pokemon Editor'!$A:$A,'Pokemon Editor'!$C:$C,""),mtype=XLOOKUP(XLOOKUP($Q475,'Threshold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Chart'!$B$1:$S$1,0)))),base,IF(OR(cat="Status",pow=0),0,FLOOR(FLOOR(FLOOR((2*XLOOKUP($Q475,'Threshold Summary'!$Y:$Y,'Threshold Summary'!$L:$L,"")/5+2)*pow*atk/def)/50)+2)),modifier,stab*eff,AVERAGE(ARRAYFORMULA(FLOOR(base*modifier*SEQUENCE(16,1,85,1)/100)))/(FLOOR(((2*XLOOKUP('Boss Editor'!$C$4,'Pokemon Editor'!$A:$A,'Pokemon Editor'!$E:$E,0)+31+FLOOR('Boss Editor'!$G$4/4))*'Boss Editor'!$D$4)/100)+'Boss Editor'!$D$4+10)),0)</f>
        <v/>
      </c>
      <c r="O475" s="3">
        <f>IF(N475&gt;=1,"OHKO",IF(N475&gt;=0.5,"2HKO",IF(N475&gt;=0.333,"3HKO",IF(N475&gt;=0.25,"4HKO","5HKO+"))))</f>
        <v/>
      </c>
      <c r="P475" s="3" t="inlineStr">
        <is>
          <t>Live from editable databases</t>
        </is>
      </c>
      <c r="Q475" s="3" t="inlineStr">
        <is>
          <t>SPECIES_SEWADDLE</t>
        </is>
      </c>
      <c r="R475" s="3" t="n">
        <v>26</v>
      </c>
    </row>
    <row r="476">
      <c r="A476" s="3">
        <f>XLOOKUP($Q476,'Threshold Summary'!$Y:$Y,'Threshold Summary'!$A:$A,"")</f>
        <v/>
      </c>
      <c r="B476" s="3">
        <f>XLOOKUP($Q476,'Threshold Summary'!$Y:$Y,'Threshold Summary'!$M:$M,"")</f>
        <v/>
      </c>
      <c r="C476" s="3">
        <f>XLOOKUP($Q476,'Threshold Summary'!$Y:$Y,'Threshold Summary'!$N:$N,"")</f>
        <v/>
      </c>
      <c r="D476" s="3">
        <f>IFERROR(INDEX(FILTER('Learnset Editor'!$D$2:$D,'Learnset Editor'!$A$2:$A=XLOOKUP($Q476,'Threshold Summary'!$Y:$Y,'Threshold Summary'!$K:$K,""),'Learnset Editor'!$C$2:$C&lt;=XLOOKUP($Q476,'Threshold Summary'!$Y:$Y,'Threshold Summary'!$L:$L,"")),$R476),"")</f>
        <v/>
      </c>
      <c r="E476" s="3">
        <f>XLOOKUP(D476,'Move Editor'!$B:$B,'Move Editor'!$C:$C,"")</f>
        <v/>
      </c>
      <c r="F476" s="3">
        <f>XLOOKUP(D476,'Move Editor'!$B:$B,'Move Editor'!$D:$D,"")</f>
        <v/>
      </c>
      <c r="G476" s="3">
        <f>XLOOKUP(D476,'Move Editor'!$B:$B,'Move Editor'!$E:$E,0)</f>
        <v/>
      </c>
      <c r="H476" s="3">
        <f>XLOOKUP(D476,'Move Editor'!$B:$B,'Move Editor'!$F:$F,0)</f>
        <v/>
      </c>
      <c r="I476" s="3">
        <f>(INDEX('Type Chart'!$B:$S,MATCH(E476,'Type Chart'!$A:$A,0),MATCH(XLOOKUP('Boss Editor'!$C$4,'Pokemon Editor'!$A:$A,'Pokemon Editor'!$C:$C,""),'Type Chart'!$B$1:$S$1,0))*IF(XLOOKUP('Boss Editor'!$C$4,'Pokemon Editor'!$A:$A,'Pokemon Editor'!$D:$D,"")="",1,INDEX('Type Chart'!$B:$S,MATCH(E476,'Type Chart'!$A:$A,0),MATCH(XLOOKUP('Boss Editor'!$C$4,'Pokemon Editor'!$A:$A,'Pokemon Editor'!$D:$D,""),'Type Chart'!$B$1:$S$1,0))))</f>
        <v/>
      </c>
      <c r="J476" s="3">
        <f>IFERROR(LET(mtype,XLOOKUP($D476,'Move Editor'!$B:$B,'Move Editor'!$C:$C,""),cat,XLOOKUP($D476,'Move Editor'!$B:$B,'Move Editor'!$D:$D,""),pow,XLOOKUP($D476,'Move Editor'!$B:$B,'Move Editor'!$E:$E,0),acc,XLOOKUP($D476,'Move Editor'!$B:$B,'Move Editor'!$F:$F,100),atk,IF(cat="Physical",FLOOR((FLOOR(((2*XLOOKUP(XLOOKUP($Q476,'Threshold Summary'!$Y:$Y,'Threshold Summary'!$K:$K,""),'Pokemon Editor'!$A:$A,'Pokemon Editor'!$F:$F,0)+31+FLOOR(XLOOKUP($Q476,'Threshold Summary'!$Y:$Y,'Threshold Summary'!$P:$P,"")/4))*XLOOKUP($Q476,'Threshold Summary'!$Y:$Y,'Threshold Summary'!$L:$L,""))/100)+5)*XLOOKUP(XLOOKUP($Q476,'Threshold Summary'!$Y:$Y,'Threshold Summary'!$M:$M,""),'Nature Editor'!$A:$A,'Nature Editor'!$B:$B,1)),FLOOR((FLOOR(((2*XLOOKUP(XLOOKUP($Q476,'Threshold Summary'!$Y:$Y,'Threshold Summary'!$K:$K,""),'Pokemon Editor'!$A:$A,'Pokemon Editor'!$H:$H,0)+31+FLOOR(XLOOKUP($Q476,'Threshold Summary'!$Y:$Y,'Threshold Summary'!$R:$R,"")/4))*XLOOKUP($Q476,'Threshold Summary'!$Y:$Y,'Threshold Summary'!$L:$L,""))/100)+5)*XLOOKUP(XLOOKUP($Q476,'Threshold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Editor'!$E:$E,1))),stab,IF(OR(mtype=XLOOKUP(XLOOKUP($Q476,'Threshold Summary'!$Y:$Y,'Threshold Summary'!$K:$K,""),'Pokemon Editor'!$A:$A,'Pokemon Editor'!$C:$C,""),mtype=XLOOKUP(XLOOKUP($Q476,'Threshold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Chart'!$B$1:$S$1,0)))),base,IF(OR(cat="Status",pow=0),0,FLOOR(FLOOR(FLOOR((2*XLOOKUP($Q476,'Threshold Summary'!$Y:$Y,'Threshold Summary'!$L:$L,"")/5+2)*pow*atk/def)/50)+2)),modifier,stab*eff,FLOOR(base*modifier*0.85)),0)</f>
        <v/>
      </c>
      <c r="K476" s="3">
        <f>IFERROR(LET(mtype,XLOOKUP($D476,'Move Editor'!$B:$B,'Move Editor'!$C:$C,""),cat,XLOOKUP($D476,'Move Editor'!$B:$B,'Move Editor'!$D:$D,""),pow,XLOOKUP($D476,'Move Editor'!$B:$B,'Move Editor'!$E:$E,0),acc,XLOOKUP($D476,'Move Editor'!$B:$B,'Move Editor'!$F:$F,100),atk,IF(cat="Physical",FLOOR((FLOOR(((2*XLOOKUP(XLOOKUP($Q476,'Threshold Summary'!$Y:$Y,'Threshold Summary'!$K:$K,""),'Pokemon Editor'!$A:$A,'Pokemon Editor'!$F:$F,0)+31+FLOOR(XLOOKUP($Q476,'Threshold Summary'!$Y:$Y,'Threshold Summary'!$P:$P,"")/4))*XLOOKUP($Q476,'Threshold Summary'!$Y:$Y,'Threshold Summary'!$L:$L,""))/100)+5)*XLOOKUP(XLOOKUP($Q476,'Threshold Summary'!$Y:$Y,'Threshold Summary'!$M:$M,""),'Nature Editor'!$A:$A,'Nature Editor'!$B:$B,1)),FLOOR((FLOOR(((2*XLOOKUP(XLOOKUP($Q476,'Threshold Summary'!$Y:$Y,'Threshold Summary'!$K:$K,""),'Pokemon Editor'!$A:$A,'Pokemon Editor'!$H:$H,0)+31+FLOOR(XLOOKUP($Q476,'Threshold Summary'!$Y:$Y,'Threshold Summary'!$R:$R,"")/4))*XLOOKUP($Q476,'Threshold Summary'!$Y:$Y,'Threshold Summary'!$L:$L,""))/100)+5)*XLOOKUP(XLOOKUP($Q476,'Threshold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Editor'!$E:$E,1))),stab,IF(OR(mtype=XLOOKUP(XLOOKUP($Q476,'Threshold Summary'!$Y:$Y,'Threshold Summary'!$K:$K,""),'Pokemon Editor'!$A:$A,'Pokemon Editor'!$C:$C,""),mtype=XLOOKUP(XLOOKUP($Q476,'Threshold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Chart'!$B$1:$S$1,0)))),base,IF(OR(cat="Status",pow=0),0,FLOOR(FLOOR(FLOOR((2*XLOOKUP($Q476,'Threshold Summary'!$Y:$Y,'Threshold Summary'!$L:$L,"")/5+2)*pow*atk/def)/50)+2)),modifier,stab*eff,FLOOR(base*modifier)),0)</f>
        <v/>
      </c>
      <c r="L476" s="3">
        <f>IFERROR(LET(mtype,XLOOKUP($D476,'Move Editor'!$B:$B,'Move Editor'!$C:$C,""),cat,XLOOKUP($D476,'Move Editor'!$B:$B,'Move Editor'!$D:$D,""),pow,XLOOKUP($D476,'Move Editor'!$B:$B,'Move Editor'!$E:$E,0),acc,XLOOKUP($D476,'Move Editor'!$B:$B,'Move Editor'!$F:$F,100),atk,IF(cat="Physical",FLOOR((FLOOR(((2*XLOOKUP(XLOOKUP($Q476,'Threshold Summary'!$Y:$Y,'Threshold Summary'!$K:$K,""),'Pokemon Editor'!$A:$A,'Pokemon Editor'!$F:$F,0)+31+FLOOR(XLOOKUP($Q476,'Threshold Summary'!$Y:$Y,'Threshold Summary'!$P:$P,"")/4))*XLOOKUP($Q476,'Threshold Summary'!$Y:$Y,'Threshold Summary'!$L:$L,""))/100)+5)*XLOOKUP(XLOOKUP($Q476,'Threshold Summary'!$Y:$Y,'Threshold Summary'!$M:$M,""),'Nature Editor'!$A:$A,'Nature Editor'!$B:$B,1)),FLOOR((FLOOR(((2*XLOOKUP(XLOOKUP($Q476,'Threshold Summary'!$Y:$Y,'Threshold Summary'!$K:$K,""),'Pokemon Editor'!$A:$A,'Pokemon Editor'!$H:$H,0)+31+FLOOR(XLOOKUP($Q476,'Threshold Summary'!$Y:$Y,'Threshold Summary'!$R:$R,"")/4))*XLOOKUP($Q476,'Threshold Summary'!$Y:$Y,'Threshold Summary'!$L:$L,""))/100)+5)*XLOOKUP(XLOOKUP($Q476,'Threshold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Editor'!$E:$E,1))),stab,IF(OR(mtype=XLOOKUP(XLOOKUP($Q476,'Threshold Summary'!$Y:$Y,'Threshold Summary'!$K:$K,""),'Pokemon Editor'!$A:$A,'Pokemon Editor'!$C:$C,""),mtype=XLOOKUP(XLOOKUP($Q476,'Threshold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Chart'!$B$1:$S$1,0)))),base,IF(OR(cat="Status",pow=0),0,FLOOR(FLOOR(FLOOR((2*XLOOKUP($Q476,'Threshold Summary'!$Y:$Y,'Threshold Summary'!$L:$L,"")/5+2)*pow*atk/def)/50)+2)),modifier,stab*eff,AVERAGE(ARRAYFORMULA(FLOOR(base*modifier*SEQUENCE(16,1,85,1)/100)))),0)</f>
        <v/>
      </c>
      <c r="M476" s="3">
        <f>IFERROR(LET(mtype,XLOOKUP($D476,'Move Editor'!$B:$B,'Move Editor'!$C:$C,""),cat,XLOOKUP($D476,'Move Editor'!$B:$B,'Move Editor'!$D:$D,""),pow,XLOOKUP($D476,'Move Editor'!$B:$B,'Move Editor'!$E:$E,0),acc,XLOOKUP($D476,'Move Editor'!$B:$B,'Move Editor'!$F:$F,100),atk,IF(cat="Physical",FLOOR((FLOOR(((2*XLOOKUP(XLOOKUP($Q476,'Threshold Summary'!$Y:$Y,'Threshold Summary'!$K:$K,""),'Pokemon Editor'!$A:$A,'Pokemon Editor'!$F:$F,0)+31+FLOOR(XLOOKUP($Q476,'Threshold Summary'!$Y:$Y,'Threshold Summary'!$P:$P,"")/4))*XLOOKUP($Q476,'Threshold Summary'!$Y:$Y,'Threshold Summary'!$L:$L,""))/100)+5)*XLOOKUP(XLOOKUP($Q476,'Threshold Summary'!$Y:$Y,'Threshold Summary'!$M:$M,""),'Nature Editor'!$A:$A,'Nature Editor'!$B:$B,1)),FLOOR((FLOOR(((2*XLOOKUP(XLOOKUP($Q476,'Threshold Summary'!$Y:$Y,'Threshold Summary'!$K:$K,""),'Pokemon Editor'!$A:$A,'Pokemon Editor'!$H:$H,0)+31+FLOOR(XLOOKUP($Q476,'Threshold Summary'!$Y:$Y,'Threshold Summary'!$R:$R,"")/4))*XLOOKUP($Q476,'Threshold Summary'!$Y:$Y,'Threshold Summary'!$L:$L,""))/100)+5)*XLOOKUP(XLOOKUP($Q476,'Threshold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Editor'!$E:$E,1))),stab,IF(OR(mtype=XLOOKUP(XLOOKUP($Q476,'Threshold Summary'!$Y:$Y,'Threshold Summary'!$K:$K,""),'Pokemon Editor'!$A:$A,'Pokemon Editor'!$C:$C,""),mtype=XLOOKUP(XLOOKUP($Q476,'Threshold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Chart'!$B$1:$S$1,0)))),base,IF(OR(cat="Status",pow=0),0,FLOOR(FLOOR(FLOOR((2*XLOOKUP($Q476,'Threshold Summary'!$Y:$Y,'Threshold Summary'!$L:$L,"")/5+2)*pow*atk/def)/50)+2)),modifier,stab*eff,AVERAGE(ARRAYFORMULA(FLOOR(base*modifier*SEQUENCE(16,1,85,1)/100)))*MIN(1,acc/100)),0)</f>
        <v/>
      </c>
      <c r="N476" s="4">
        <f>IFERROR(LET(mtype,XLOOKUP($D476,'Move Editor'!$B:$B,'Move Editor'!$C:$C,""),cat,XLOOKUP($D476,'Move Editor'!$B:$B,'Move Editor'!$D:$D,""),pow,XLOOKUP($D476,'Move Editor'!$B:$B,'Move Editor'!$E:$E,0),acc,XLOOKUP($D476,'Move Editor'!$B:$B,'Move Editor'!$F:$F,100),atk,IF(cat="Physical",FLOOR((FLOOR(((2*XLOOKUP(XLOOKUP($Q476,'Threshold Summary'!$Y:$Y,'Threshold Summary'!$K:$K,""),'Pokemon Editor'!$A:$A,'Pokemon Editor'!$F:$F,0)+31+FLOOR(XLOOKUP($Q476,'Threshold Summary'!$Y:$Y,'Threshold Summary'!$P:$P,"")/4))*XLOOKUP($Q476,'Threshold Summary'!$Y:$Y,'Threshold Summary'!$L:$L,""))/100)+5)*XLOOKUP(XLOOKUP($Q476,'Threshold Summary'!$Y:$Y,'Threshold Summary'!$M:$M,""),'Nature Editor'!$A:$A,'Nature Editor'!$B:$B,1)),FLOOR((FLOOR(((2*XLOOKUP(XLOOKUP($Q476,'Threshold Summary'!$Y:$Y,'Threshold Summary'!$K:$K,""),'Pokemon Editor'!$A:$A,'Pokemon Editor'!$H:$H,0)+31+FLOOR(XLOOKUP($Q476,'Threshold Summary'!$Y:$Y,'Threshold Summary'!$R:$R,"")/4))*XLOOKUP($Q476,'Threshold Summary'!$Y:$Y,'Threshold Summary'!$L:$L,""))/100)+5)*XLOOKUP(XLOOKUP($Q476,'Threshold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Editor'!$E:$E,1))),stab,IF(OR(mtype=XLOOKUP(XLOOKUP($Q476,'Threshold Summary'!$Y:$Y,'Threshold Summary'!$K:$K,""),'Pokemon Editor'!$A:$A,'Pokemon Editor'!$C:$C,""),mtype=XLOOKUP(XLOOKUP($Q476,'Threshold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Chart'!$B$1:$S$1,0)))),base,IF(OR(cat="Status",pow=0),0,FLOOR(FLOOR(FLOOR((2*XLOOKUP($Q476,'Threshold Summary'!$Y:$Y,'Threshold Summary'!$L:$L,"")/5+2)*pow*atk/def)/50)+2)),modifier,stab*eff,AVERAGE(ARRAYFORMULA(FLOOR(base*modifier*SEQUENCE(16,1,85,1)/100)))/(FLOOR(((2*XLOOKUP('Boss Editor'!$C$4,'Pokemon Editor'!$A:$A,'Pokemon Editor'!$E:$E,0)+31+FLOOR('Boss Editor'!$G$4/4))*'Boss Editor'!$D$4)/100)+'Boss Editor'!$D$4+10)),0)</f>
        <v/>
      </c>
      <c r="O476" s="3">
        <f>IF(N476&gt;=1,"OHKO",IF(N476&gt;=0.5,"2HKO",IF(N476&gt;=0.333,"3HKO",IF(N476&gt;=0.25,"4HKO","5HKO+"))))</f>
        <v/>
      </c>
      <c r="P476" s="3" t="inlineStr">
        <is>
          <t>Live from editable databases</t>
        </is>
      </c>
      <c r="Q476" s="3" t="inlineStr">
        <is>
          <t>SPECIES_SEWADDLE</t>
        </is>
      </c>
      <c r="R476" s="3" t="n">
        <v>27</v>
      </c>
    </row>
    <row r="477">
      <c r="A477" s="3">
        <f>XLOOKUP($Q477,'Threshold Summary'!$Y:$Y,'Threshold Summary'!$A:$A,"")</f>
        <v/>
      </c>
      <c r="B477" s="3">
        <f>XLOOKUP($Q477,'Threshold Summary'!$Y:$Y,'Threshold Summary'!$M:$M,"")</f>
        <v/>
      </c>
      <c r="C477" s="3">
        <f>XLOOKUP($Q477,'Threshold Summary'!$Y:$Y,'Threshold Summary'!$N:$N,"")</f>
        <v/>
      </c>
      <c r="D477" s="3">
        <f>IFERROR(INDEX(FILTER('Learnset Editor'!$D$2:$D,'Learnset Editor'!$A$2:$A=XLOOKUP($Q477,'Threshold Summary'!$Y:$Y,'Threshold Summary'!$K:$K,""),'Learnset Editor'!$C$2:$C&lt;=XLOOKUP($Q477,'Threshold Summary'!$Y:$Y,'Threshold Summary'!$L:$L,"")),$R477),"")</f>
        <v/>
      </c>
      <c r="E477" s="3">
        <f>XLOOKUP(D477,'Move Editor'!$B:$B,'Move Editor'!$C:$C,"")</f>
        <v/>
      </c>
      <c r="F477" s="3">
        <f>XLOOKUP(D477,'Move Editor'!$B:$B,'Move Editor'!$D:$D,"")</f>
        <v/>
      </c>
      <c r="G477" s="3">
        <f>XLOOKUP(D477,'Move Editor'!$B:$B,'Move Editor'!$E:$E,0)</f>
        <v/>
      </c>
      <c r="H477" s="3">
        <f>XLOOKUP(D477,'Move Editor'!$B:$B,'Move Editor'!$F:$F,0)</f>
        <v/>
      </c>
      <c r="I477" s="3">
        <f>(INDEX('Type Chart'!$B:$S,MATCH(E477,'Type Chart'!$A:$A,0),MATCH(XLOOKUP('Boss Editor'!$C$4,'Pokemon Editor'!$A:$A,'Pokemon Editor'!$C:$C,""),'Type Chart'!$B$1:$S$1,0))*IF(XLOOKUP('Boss Editor'!$C$4,'Pokemon Editor'!$A:$A,'Pokemon Editor'!$D:$D,"")="",1,INDEX('Type Chart'!$B:$S,MATCH(E477,'Type Chart'!$A:$A,0),MATCH(XLOOKUP('Boss Editor'!$C$4,'Pokemon Editor'!$A:$A,'Pokemon Editor'!$D:$D,""),'Type Chart'!$B$1:$S$1,0))))</f>
        <v/>
      </c>
      <c r="J477" s="3">
        <f>IFERROR(LET(mtype,XLOOKUP($D477,'Move Editor'!$B:$B,'Move Editor'!$C:$C,""),cat,XLOOKUP($D477,'Move Editor'!$B:$B,'Move Editor'!$D:$D,""),pow,XLOOKUP($D477,'Move Editor'!$B:$B,'Move Editor'!$E:$E,0),acc,XLOOKUP($D477,'Move Editor'!$B:$B,'Move Editor'!$F:$F,100),atk,IF(cat="Physical",FLOOR((FLOOR(((2*XLOOKUP(XLOOKUP($Q477,'Threshold Summary'!$Y:$Y,'Threshold Summary'!$K:$K,""),'Pokemon Editor'!$A:$A,'Pokemon Editor'!$F:$F,0)+31+FLOOR(XLOOKUP($Q477,'Threshold Summary'!$Y:$Y,'Threshold Summary'!$P:$P,"")/4))*XLOOKUP($Q477,'Threshold Summary'!$Y:$Y,'Threshold Summary'!$L:$L,""))/100)+5)*XLOOKUP(XLOOKUP($Q477,'Threshold Summary'!$Y:$Y,'Threshold Summary'!$M:$M,""),'Nature Editor'!$A:$A,'Nature Editor'!$B:$B,1)),FLOOR((FLOOR(((2*XLOOKUP(XLOOKUP($Q477,'Threshold Summary'!$Y:$Y,'Threshold Summary'!$K:$K,""),'Pokemon Editor'!$A:$A,'Pokemon Editor'!$H:$H,0)+31+FLOOR(XLOOKUP($Q477,'Threshold Summary'!$Y:$Y,'Threshold Summary'!$R:$R,"")/4))*XLOOKUP($Q477,'Threshold Summary'!$Y:$Y,'Threshold Summary'!$L:$L,""))/100)+5)*XLOOKUP(XLOOKUP($Q477,'Threshold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Editor'!$E:$E,1))),stab,IF(OR(mtype=XLOOKUP(XLOOKUP($Q477,'Threshold Summary'!$Y:$Y,'Threshold Summary'!$K:$K,""),'Pokemon Editor'!$A:$A,'Pokemon Editor'!$C:$C,""),mtype=XLOOKUP(XLOOKUP($Q477,'Threshold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Chart'!$B$1:$S$1,0)))),base,IF(OR(cat="Status",pow=0),0,FLOOR(FLOOR(FLOOR((2*XLOOKUP($Q477,'Threshold Summary'!$Y:$Y,'Threshold Summary'!$L:$L,"")/5+2)*pow*atk/def)/50)+2)),modifier,stab*eff,FLOOR(base*modifier*0.85)),0)</f>
        <v/>
      </c>
      <c r="K477" s="3">
        <f>IFERROR(LET(mtype,XLOOKUP($D477,'Move Editor'!$B:$B,'Move Editor'!$C:$C,""),cat,XLOOKUP($D477,'Move Editor'!$B:$B,'Move Editor'!$D:$D,""),pow,XLOOKUP($D477,'Move Editor'!$B:$B,'Move Editor'!$E:$E,0),acc,XLOOKUP($D477,'Move Editor'!$B:$B,'Move Editor'!$F:$F,100),atk,IF(cat="Physical",FLOOR((FLOOR(((2*XLOOKUP(XLOOKUP($Q477,'Threshold Summary'!$Y:$Y,'Threshold Summary'!$K:$K,""),'Pokemon Editor'!$A:$A,'Pokemon Editor'!$F:$F,0)+31+FLOOR(XLOOKUP($Q477,'Threshold Summary'!$Y:$Y,'Threshold Summary'!$P:$P,"")/4))*XLOOKUP($Q477,'Threshold Summary'!$Y:$Y,'Threshold Summary'!$L:$L,""))/100)+5)*XLOOKUP(XLOOKUP($Q477,'Threshold Summary'!$Y:$Y,'Threshold Summary'!$M:$M,""),'Nature Editor'!$A:$A,'Nature Editor'!$B:$B,1)),FLOOR((FLOOR(((2*XLOOKUP(XLOOKUP($Q477,'Threshold Summary'!$Y:$Y,'Threshold Summary'!$K:$K,""),'Pokemon Editor'!$A:$A,'Pokemon Editor'!$H:$H,0)+31+FLOOR(XLOOKUP($Q477,'Threshold Summary'!$Y:$Y,'Threshold Summary'!$R:$R,"")/4))*XLOOKUP($Q477,'Threshold Summary'!$Y:$Y,'Threshold Summary'!$L:$L,""))/100)+5)*XLOOKUP(XLOOKUP($Q477,'Threshold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Editor'!$E:$E,1))),stab,IF(OR(mtype=XLOOKUP(XLOOKUP($Q477,'Threshold Summary'!$Y:$Y,'Threshold Summary'!$K:$K,""),'Pokemon Editor'!$A:$A,'Pokemon Editor'!$C:$C,""),mtype=XLOOKUP(XLOOKUP($Q477,'Threshold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Chart'!$B$1:$S$1,0)))),base,IF(OR(cat="Status",pow=0),0,FLOOR(FLOOR(FLOOR((2*XLOOKUP($Q477,'Threshold Summary'!$Y:$Y,'Threshold Summary'!$L:$L,"")/5+2)*pow*atk/def)/50)+2)),modifier,stab*eff,FLOOR(base*modifier)),0)</f>
        <v/>
      </c>
      <c r="L477" s="3">
        <f>IFERROR(LET(mtype,XLOOKUP($D477,'Move Editor'!$B:$B,'Move Editor'!$C:$C,""),cat,XLOOKUP($D477,'Move Editor'!$B:$B,'Move Editor'!$D:$D,""),pow,XLOOKUP($D477,'Move Editor'!$B:$B,'Move Editor'!$E:$E,0),acc,XLOOKUP($D477,'Move Editor'!$B:$B,'Move Editor'!$F:$F,100),atk,IF(cat="Physical",FLOOR((FLOOR(((2*XLOOKUP(XLOOKUP($Q477,'Threshold Summary'!$Y:$Y,'Threshold Summary'!$K:$K,""),'Pokemon Editor'!$A:$A,'Pokemon Editor'!$F:$F,0)+31+FLOOR(XLOOKUP($Q477,'Threshold Summary'!$Y:$Y,'Threshold Summary'!$P:$P,"")/4))*XLOOKUP($Q477,'Threshold Summary'!$Y:$Y,'Threshold Summary'!$L:$L,""))/100)+5)*XLOOKUP(XLOOKUP($Q477,'Threshold Summary'!$Y:$Y,'Threshold Summary'!$M:$M,""),'Nature Editor'!$A:$A,'Nature Editor'!$B:$B,1)),FLOOR((FLOOR(((2*XLOOKUP(XLOOKUP($Q477,'Threshold Summary'!$Y:$Y,'Threshold Summary'!$K:$K,""),'Pokemon Editor'!$A:$A,'Pokemon Editor'!$H:$H,0)+31+FLOOR(XLOOKUP($Q477,'Threshold Summary'!$Y:$Y,'Threshold Summary'!$R:$R,"")/4))*XLOOKUP($Q477,'Threshold Summary'!$Y:$Y,'Threshold Summary'!$L:$L,""))/100)+5)*XLOOKUP(XLOOKUP($Q477,'Threshold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Editor'!$E:$E,1))),stab,IF(OR(mtype=XLOOKUP(XLOOKUP($Q477,'Threshold Summary'!$Y:$Y,'Threshold Summary'!$K:$K,""),'Pokemon Editor'!$A:$A,'Pokemon Editor'!$C:$C,""),mtype=XLOOKUP(XLOOKUP($Q477,'Threshold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Chart'!$B$1:$S$1,0)))),base,IF(OR(cat="Status",pow=0),0,FLOOR(FLOOR(FLOOR((2*XLOOKUP($Q477,'Threshold Summary'!$Y:$Y,'Threshold Summary'!$L:$L,"")/5+2)*pow*atk/def)/50)+2)),modifier,stab*eff,AVERAGE(ARRAYFORMULA(FLOOR(base*modifier*SEQUENCE(16,1,85,1)/100)))),0)</f>
        <v/>
      </c>
      <c r="M477" s="3">
        <f>IFERROR(LET(mtype,XLOOKUP($D477,'Move Editor'!$B:$B,'Move Editor'!$C:$C,""),cat,XLOOKUP($D477,'Move Editor'!$B:$B,'Move Editor'!$D:$D,""),pow,XLOOKUP($D477,'Move Editor'!$B:$B,'Move Editor'!$E:$E,0),acc,XLOOKUP($D477,'Move Editor'!$B:$B,'Move Editor'!$F:$F,100),atk,IF(cat="Physical",FLOOR((FLOOR(((2*XLOOKUP(XLOOKUP($Q477,'Threshold Summary'!$Y:$Y,'Threshold Summary'!$K:$K,""),'Pokemon Editor'!$A:$A,'Pokemon Editor'!$F:$F,0)+31+FLOOR(XLOOKUP($Q477,'Threshold Summary'!$Y:$Y,'Threshold Summary'!$P:$P,"")/4))*XLOOKUP($Q477,'Threshold Summary'!$Y:$Y,'Threshold Summary'!$L:$L,""))/100)+5)*XLOOKUP(XLOOKUP($Q477,'Threshold Summary'!$Y:$Y,'Threshold Summary'!$M:$M,""),'Nature Editor'!$A:$A,'Nature Editor'!$B:$B,1)),FLOOR((FLOOR(((2*XLOOKUP(XLOOKUP($Q477,'Threshold Summary'!$Y:$Y,'Threshold Summary'!$K:$K,""),'Pokemon Editor'!$A:$A,'Pokemon Editor'!$H:$H,0)+31+FLOOR(XLOOKUP($Q477,'Threshold Summary'!$Y:$Y,'Threshold Summary'!$R:$R,"")/4))*XLOOKUP($Q477,'Threshold Summary'!$Y:$Y,'Threshold Summary'!$L:$L,""))/100)+5)*XLOOKUP(XLOOKUP($Q477,'Threshold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Editor'!$E:$E,1))),stab,IF(OR(mtype=XLOOKUP(XLOOKUP($Q477,'Threshold Summary'!$Y:$Y,'Threshold Summary'!$K:$K,""),'Pokemon Editor'!$A:$A,'Pokemon Editor'!$C:$C,""),mtype=XLOOKUP(XLOOKUP($Q477,'Threshold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Chart'!$B$1:$S$1,0)))),base,IF(OR(cat="Status",pow=0),0,FLOOR(FLOOR(FLOOR((2*XLOOKUP($Q477,'Threshold Summary'!$Y:$Y,'Threshold Summary'!$L:$L,"")/5+2)*pow*atk/def)/50)+2)),modifier,stab*eff,AVERAGE(ARRAYFORMULA(FLOOR(base*modifier*SEQUENCE(16,1,85,1)/100)))*MIN(1,acc/100)),0)</f>
        <v/>
      </c>
      <c r="N477" s="4">
        <f>IFERROR(LET(mtype,XLOOKUP($D477,'Move Editor'!$B:$B,'Move Editor'!$C:$C,""),cat,XLOOKUP($D477,'Move Editor'!$B:$B,'Move Editor'!$D:$D,""),pow,XLOOKUP($D477,'Move Editor'!$B:$B,'Move Editor'!$E:$E,0),acc,XLOOKUP($D477,'Move Editor'!$B:$B,'Move Editor'!$F:$F,100),atk,IF(cat="Physical",FLOOR((FLOOR(((2*XLOOKUP(XLOOKUP($Q477,'Threshold Summary'!$Y:$Y,'Threshold Summary'!$K:$K,""),'Pokemon Editor'!$A:$A,'Pokemon Editor'!$F:$F,0)+31+FLOOR(XLOOKUP($Q477,'Threshold Summary'!$Y:$Y,'Threshold Summary'!$P:$P,"")/4))*XLOOKUP($Q477,'Threshold Summary'!$Y:$Y,'Threshold Summary'!$L:$L,""))/100)+5)*XLOOKUP(XLOOKUP($Q477,'Threshold Summary'!$Y:$Y,'Threshold Summary'!$M:$M,""),'Nature Editor'!$A:$A,'Nature Editor'!$B:$B,1)),FLOOR((FLOOR(((2*XLOOKUP(XLOOKUP($Q477,'Threshold Summary'!$Y:$Y,'Threshold Summary'!$K:$K,""),'Pokemon Editor'!$A:$A,'Pokemon Editor'!$H:$H,0)+31+FLOOR(XLOOKUP($Q477,'Threshold Summary'!$Y:$Y,'Threshold Summary'!$R:$R,"")/4))*XLOOKUP($Q477,'Threshold Summary'!$Y:$Y,'Threshold Summary'!$L:$L,""))/100)+5)*XLOOKUP(XLOOKUP($Q477,'Threshold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Editor'!$E:$E,1))),stab,IF(OR(mtype=XLOOKUP(XLOOKUP($Q477,'Threshold Summary'!$Y:$Y,'Threshold Summary'!$K:$K,""),'Pokemon Editor'!$A:$A,'Pokemon Editor'!$C:$C,""),mtype=XLOOKUP(XLOOKUP($Q477,'Threshold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Chart'!$B$1:$S$1,0)))),base,IF(OR(cat="Status",pow=0),0,FLOOR(FLOOR(FLOOR((2*XLOOKUP($Q477,'Threshold Summary'!$Y:$Y,'Threshold Summary'!$L:$L,"")/5+2)*pow*atk/def)/50)+2)),modifier,stab*eff,AVERAGE(ARRAYFORMULA(FLOOR(base*modifier*SEQUENCE(16,1,85,1)/100)))/(FLOOR(((2*XLOOKUP('Boss Editor'!$C$4,'Pokemon Editor'!$A:$A,'Pokemon Editor'!$E:$E,0)+31+FLOOR('Boss Editor'!$G$4/4))*'Boss Editor'!$D$4)/100)+'Boss Editor'!$D$4+10)),0)</f>
        <v/>
      </c>
      <c r="O477" s="3">
        <f>IF(N477&gt;=1,"OHKO",IF(N477&gt;=0.5,"2HKO",IF(N477&gt;=0.333,"3HKO",IF(N477&gt;=0.25,"4HKO","5HKO+"))))</f>
        <v/>
      </c>
      <c r="P477" s="3" t="inlineStr">
        <is>
          <t>Live from editable databases</t>
        </is>
      </c>
      <c r="Q477" s="3" t="inlineStr">
        <is>
          <t>SPECIES_SEWADDLE</t>
        </is>
      </c>
      <c r="R477" s="3" t="n">
        <v>28</v>
      </c>
    </row>
    <row r="478">
      <c r="A478" s="3">
        <f>XLOOKUP($Q478,'Threshold Summary'!$Y:$Y,'Threshold Summary'!$A:$A,"")</f>
        <v/>
      </c>
      <c r="B478" s="3">
        <f>XLOOKUP($Q478,'Threshold Summary'!$Y:$Y,'Threshold Summary'!$M:$M,"")</f>
        <v/>
      </c>
      <c r="C478" s="3">
        <f>XLOOKUP($Q478,'Threshold Summary'!$Y:$Y,'Threshold Summary'!$N:$N,"")</f>
        <v/>
      </c>
      <c r="D478" s="3">
        <f>IFERROR(INDEX(FILTER('Learnset Editor'!$D$2:$D,'Learnset Editor'!$A$2:$A=XLOOKUP($Q478,'Threshold Summary'!$Y:$Y,'Threshold Summary'!$K:$K,""),'Learnset Editor'!$C$2:$C&lt;=XLOOKUP($Q478,'Threshold Summary'!$Y:$Y,'Threshold Summary'!$L:$L,"")),$R478),"")</f>
        <v/>
      </c>
      <c r="E478" s="3">
        <f>XLOOKUP(D478,'Move Editor'!$B:$B,'Move Editor'!$C:$C,"")</f>
        <v/>
      </c>
      <c r="F478" s="3">
        <f>XLOOKUP(D478,'Move Editor'!$B:$B,'Move Editor'!$D:$D,"")</f>
        <v/>
      </c>
      <c r="G478" s="3">
        <f>XLOOKUP(D478,'Move Editor'!$B:$B,'Move Editor'!$E:$E,0)</f>
        <v/>
      </c>
      <c r="H478" s="3">
        <f>XLOOKUP(D478,'Move Editor'!$B:$B,'Move Editor'!$F:$F,0)</f>
        <v/>
      </c>
      <c r="I478" s="3">
        <f>(INDEX('Type Chart'!$B:$S,MATCH(E478,'Type Chart'!$A:$A,0),MATCH(XLOOKUP('Boss Editor'!$C$4,'Pokemon Editor'!$A:$A,'Pokemon Editor'!$C:$C,""),'Type Chart'!$B$1:$S$1,0))*IF(XLOOKUP('Boss Editor'!$C$4,'Pokemon Editor'!$A:$A,'Pokemon Editor'!$D:$D,"")="",1,INDEX('Type Chart'!$B:$S,MATCH(E478,'Type Chart'!$A:$A,0),MATCH(XLOOKUP('Boss Editor'!$C$4,'Pokemon Editor'!$A:$A,'Pokemon Editor'!$D:$D,""),'Type Chart'!$B$1:$S$1,0))))</f>
        <v/>
      </c>
      <c r="J478" s="3">
        <f>IFERROR(LET(mtype,XLOOKUP($D478,'Move Editor'!$B:$B,'Move Editor'!$C:$C,""),cat,XLOOKUP($D478,'Move Editor'!$B:$B,'Move Editor'!$D:$D,""),pow,XLOOKUP($D478,'Move Editor'!$B:$B,'Move Editor'!$E:$E,0),acc,XLOOKUP($D478,'Move Editor'!$B:$B,'Move Editor'!$F:$F,100),atk,IF(cat="Physical",FLOOR((FLOOR(((2*XLOOKUP(XLOOKUP($Q478,'Threshold Summary'!$Y:$Y,'Threshold Summary'!$K:$K,""),'Pokemon Editor'!$A:$A,'Pokemon Editor'!$F:$F,0)+31+FLOOR(XLOOKUP($Q478,'Threshold Summary'!$Y:$Y,'Threshold Summary'!$P:$P,"")/4))*XLOOKUP($Q478,'Threshold Summary'!$Y:$Y,'Threshold Summary'!$L:$L,""))/100)+5)*XLOOKUP(XLOOKUP($Q478,'Threshold Summary'!$Y:$Y,'Threshold Summary'!$M:$M,""),'Nature Editor'!$A:$A,'Nature Editor'!$B:$B,1)),FLOOR((FLOOR(((2*XLOOKUP(XLOOKUP($Q478,'Threshold Summary'!$Y:$Y,'Threshold Summary'!$K:$K,""),'Pokemon Editor'!$A:$A,'Pokemon Editor'!$H:$H,0)+31+FLOOR(XLOOKUP($Q478,'Threshold Summary'!$Y:$Y,'Threshold Summary'!$R:$R,"")/4))*XLOOKUP($Q478,'Threshold Summary'!$Y:$Y,'Threshold Summary'!$L:$L,""))/100)+5)*XLOOKUP(XLOOKUP($Q478,'Threshold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Editor'!$E:$E,1))),stab,IF(OR(mtype=XLOOKUP(XLOOKUP($Q478,'Threshold Summary'!$Y:$Y,'Threshold Summary'!$K:$K,""),'Pokemon Editor'!$A:$A,'Pokemon Editor'!$C:$C,""),mtype=XLOOKUP(XLOOKUP($Q478,'Threshold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Chart'!$B$1:$S$1,0)))),base,IF(OR(cat="Status",pow=0),0,FLOOR(FLOOR(FLOOR((2*XLOOKUP($Q478,'Threshold Summary'!$Y:$Y,'Threshold Summary'!$L:$L,"")/5+2)*pow*atk/def)/50)+2)),modifier,stab*eff,FLOOR(base*modifier*0.85)),0)</f>
        <v/>
      </c>
      <c r="K478" s="3">
        <f>IFERROR(LET(mtype,XLOOKUP($D478,'Move Editor'!$B:$B,'Move Editor'!$C:$C,""),cat,XLOOKUP($D478,'Move Editor'!$B:$B,'Move Editor'!$D:$D,""),pow,XLOOKUP($D478,'Move Editor'!$B:$B,'Move Editor'!$E:$E,0),acc,XLOOKUP($D478,'Move Editor'!$B:$B,'Move Editor'!$F:$F,100),atk,IF(cat="Physical",FLOOR((FLOOR(((2*XLOOKUP(XLOOKUP($Q478,'Threshold Summary'!$Y:$Y,'Threshold Summary'!$K:$K,""),'Pokemon Editor'!$A:$A,'Pokemon Editor'!$F:$F,0)+31+FLOOR(XLOOKUP($Q478,'Threshold Summary'!$Y:$Y,'Threshold Summary'!$P:$P,"")/4))*XLOOKUP($Q478,'Threshold Summary'!$Y:$Y,'Threshold Summary'!$L:$L,""))/100)+5)*XLOOKUP(XLOOKUP($Q478,'Threshold Summary'!$Y:$Y,'Threshold Summary'!$M:$M,""),'Nature Editor'!$A:$A,'Nature Editor'!$B:$B,1)),FLOOR((FLOOR(((2*XLOOKUP(XLOOKUP($Q478,'Threshold Summary'!$Y:$Y,'Threshold Summary'!$K:$K,""),'Pokemon Editor'!$A:$A,'Pokemon Editor'!$H:$H,0)+31+FLOOR(XLOOKUP($Q478,'Threshold Summary'!$Y:$Y,'Threshold Summary'!$R:$R,"")/4))*XLOOKUP($Q478,'Threshold Summary'!$Y:$Y,'Threshold Summary'!$L:$L,""))/100)+5)*XLOOKUP(XLOOKUP($Q478,'Threshold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Editor'!$E:$E,1))),stab,IF(OR(mtype=XLOOKUP(XLOOKUP($Q478,'Threshold Summary'!$Y:$Y,'Threshold Summary'!$K:$K,""),'Pokemon Editor'!$A:$A,'Pokemon Editor'!$C:$C,""),mtype=XLOOKUP(XLOOKUP($Q478,'Threshold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Chart'!$B$1:$S$1,0)))),base,IF(OR(cat="Status",pow=0),0,FLOOR(FLOOR(FLOOR((2*XLOOKUP($Q478,'Threshold Summary'!$Y:$Y,'Threshold Summary'!$L:$L,"")/5+2)*pow*atk/def)/50)+2)),modifier,stab*eff,FLOOR(base*modifier)),0)</f>
        <v/>
      </c>
      <c r="L478" s="3">
        <f>IFERROR(LET(mtype,XLOOKUP($D478,'Move Editor'!$B:$B,'Move Editor'!$C:$C,""),cat,XLOOKUP($D478,'Move Editor'!$B:$B,'Move Editor'!$D:$D,""),pow,XLOOKUP($D478,'Move Editor'!$B:$B,'Move Editor'!$E:$E,0),acc,XLOOKUP($D478,'Move Editor'!$B:$B,'Move Editor'!$F:$F,100),atk,IF(cat="Physical",FLOOR((FLOOR(((2*XLOOKUP(XLOOKUP($Q478,'Threshold Summary'!$Y:$Y,'Threshold Summary'!$K:$K,""),'Pokemon Editor'!$A:$A,'Pokemon Editor'!$F:$F,0)+31+FLOOR(XLOOKUP($Q478,'Threshold Summary'!$Y:$Y,'Threshold Summary'!$P:$P,"")/4))*XLOOKUP($Q478,'Threshold Summary'!$Y:$Y,'Threshold Summary'!$L:$L,""))/100)+5)*XLOOKUP(XLOOKUP($Q478,'Threshold Summary'!$Y:$Y,'Threshold Summary'!$M:$M,""),'Nature Editor'!$A:$A,'Nature Editor'!$B:$B,1)),FLOOR((FLOOR(((2*XLOOKUP(XLOOKUP($Q478,'Threshold Summary'!$Y:$Y,'Threshold Summary'!$K:$K,""),'Pokemon Editor'!$A:$A,'Pokemon Editor'!$H:$H,0)+31+FLOOR(XLOOKUP($Q478,'Threshold Summary'!$Y:$Y,'Threshold Summary'!$R:$R,"")/4))*XLOOKUP($Q478,'Threshold Summary'!$Y:$Y,'Threshold Summary'!$L:$L,""))/100)+5)*XLOOKUP(XLOOKUP($Q478,'Threshold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Editor'!$E:$E,1))),stab,IF(OR(mtype=XLOOKUP(XLOOKUP($Q478,'Threshold Summary'!$Y:$Y,'Threshold Summary'!$K:$K,""),'Pokemon Editor'!$A:$A,'Pokemon Editor'!$C:$C,""),mtype=XLOOKUP(XLOOKUP($Q478,'Threshold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Chart'!$B$1:$S$1,0)))),base,IF(OR(cat="Status",pow=0),0,FLOOR(FLOOR(FLOOR((2*XLOOKUP($Q478,'Threshold Summary'!$Y:$Y,'Threshold Summary'!$L:$L,"")/5+2)*pow*atk/def)/50)+2)),modifier,stab*eff,AVERAGE(ARRAYFORMULA(FLOOR(base*modifier*SEQUENCE(16,1,85,1)/100)))),0)</f>
        <v/>
      </c>
      <c r="M478" s="3">
        <f>IFERROR(LET(mtype,XLOOKUP($D478,'Move Editor'!$B:$B,'Move Editor'!$C:$C,""),cat,XLOOKUP($D478,'Move Editor'!$B:$B,'Move Editor'!$D:$D,""),pow,XLOOKUP($D478,'Move Editor'!$B:$B,'Move Editor'!$E:$E,0),acc,XLOOKUP($D478,'Move Editor'!$B:$B,'Move Editor'!$F:$F,100),atk,IF(cat="Physical",FLOOR((FLOOR(((2*XLOOKUP(XLOOKUP($Q478,'Threshold Summary'!$Y:$Y,'Threshold Summary'!$K:$K,""),'Pokemon Editor'!$A:$A,'Pokemon Editor'!$F:$F,0)+31+FLOOR(XLOOKUP($Q478,'Threshold Summary'!$Y:$Y,'Threshold Summary'!$P:$P,"")/4))*XLOOKUP($Q478,'Threshold Summary'!$Y:$Y,'Threshold Summary'!$L:$L,""))/100)+5)*XLOOKUP(XLOOKUP($Q478,'Threshold Summary'!$Y:$Y,'Threshold Summary'!$M:$M,""),'Nature Editor'!$A:$A,'Nature Editor'!$B:$B,1)),FLOOR((FLOOR(((2*XLOOKUP(XLOOKUP($Q478,'Threshold Summary'!$Y:$Y,'Threshold Summary'!$K:$K,""),'Pokemon Editor'!$A:$A,'Pokemon Editor'!$H:$H,0)+31+FLOOR(XLOOKUP($Q478,'Threshold Summary'!$Y:$Y,'Threshold Summary'!$R:$R,"")/4))*XLOOKUP($Q478,'Threshold Summary'!$Y:$Y,'Threshold Summary'!$L:$L,""))/100)+5)*XLOOKUP(XLOOKUP($Q478,'Threshold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Editor'!$E:$E,1))),stab,IF(OR(mtype=XLOOKUP(XLOOKUP($Q478,'Threshold Summary'!$Y:$Y,'Threshold Summary'!$K:$K,""),'Pokemon Editor'!$A:$A,'Pokemon Editor'!$C:$C,""),mtype=XLOOKUP(XLOOKUP($Q478,'Threshold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Chart'!$B$1:$S$1,0)))),base,IF(OR(cat="Status",pow=0),0,FLOOR(FLOOR(FLOOR((2*XLOOKUP($Q478,'Threshold Summary'!$Y:$Y,'Threshold Summary'!$L:$L,"")/5+2)*pow*atk/def)/50)+2)),modifier,stab*eff,AVERAGE(ARRAYFORMULA(FLOOR(base*modifier*SEQUENCE(16,1,85,1)/100)))*MIN(1,acc/100)),0)</f>
        <v/>
      </c>
      <c r="N478" s="4">
        <f>IFERROR(LET(mtype,XLOOKUP($D478,'Move Editor'!$B:$B,'Move Editor'!$C:$C,""),cat,XLOOKUP($D478,'Move Editor'!$B:$B,'Move Editor'!$D:$D,""),pow,XLOOKUP($D478,'Move Editor'!$B:$B,'Move Editor'!$E:$E,0),acc,XLOOKUP($D478,'Move Editor'!$B:$B,'Move Editor'!$F:$F,100),atk,IF(cat="Physical",FLOOR((FLOOR(((2*XLOOKUP(XLOOKUP($Q478,'Threshold Summary'!$Y:$Y,'Threshold Summary'!$K:$K,""),'Pokemon Editor'!$A:$A,'Pokemon Editor'!$F:$F,0)+31+FLOOR(XLOOKUP($Q478,'Threshold Summary'!$Y:$Y,'Threshold Summary'!$P:$P,"")/4))*XLOOKUP($Q478,'Threshold Summary'!$Y:$Y,'Threshold Summary'!$L:$L,""))/100)+5)*XLOOKUP(XLOOKUP($Q478,'Threshold Summary'!$Y:$Y,'Threshold Summary'!$M:$M,""),'Nature Editor'!$A:$A,'Nature Editor'!$B:$B,1)),FLOOR((FLOOR(((2*XLOOKUP(XLOOKUP($Q478,'Threshold Summary'!$Y:$Y,'Threshold Summary'!$K:$K,""),'Pokemon Editor'!$A:$A,'Pokemon Editor'!$H:$H,0)+31+FLOOR(XLOOKUP($Q478,'Threshold Summary'!$Y:$Y,'Threshold Summary'!$R:$R,"")/4))*XLOOKUP($Q478,'Threshold Summary'!$Y:$Y,'Threshold Summary'!$L:$L,""))/100)+5)*XLOOKUP(XLOOKUP($Q478,'Threshold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Editor'!$E:$E,1))),stab,IF(OR(mtype=XLOOKUP(XLOOKUP($Q478,'Threshold Summary'!$Y:$Y,'Threshold Summary'!$K:$K,""),'Pokemon Editor'!$A:$A,'Pokemon Editor'!$C:$C,""),mtype=XLOOKUP(XLOOKUP($Q478,'Threshold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Chart'!$B$1:$S$1,0)))),base,IF(OR(cat="Status",pow=0),0,FLOOR(FLOOR(FLOOR((2*XLOOKUP($Q478,'Threshold Summary'!$Y:$Y,'Threshold Summary'!$L:$L,"")/5+2)*pow*atk/def)/50)+2)),modifier,stab*eff,AVERAGE(ARRAYFORMULA(FLOOR(base*modifier*SEQUENCE(16,1,85,1)/100)))/(FLOOR(((2*XLOOKUP('Boss Editor'!$C$4,'Pokemon Editor'!$A:$A,'Pokemon Editor'!$E:$E,0)+31+FLOOR('Boss Editor'!$G$4/4))*'Boss Editor'!$D$4)/100)+'Boss Editor'!$D$4+10)),0)</f>
        <v/>
      </c>
      <c r="O478" s="3">
        <f>IF(N478&gt;=1,"OHKO",IF(N478&gt;=0.5,"2HKO",IF(N478&gt;=0.333,"3HKO",IF(N478&gt;=0.25,"4HKO","5HKO+"))))</f>
        <v/>
      </c>
      <c r="P478" s="3" t="inlineStr">
        <is>
          <t>Live from editable databases</t>
        </is>
      </c>
      <c r="Q478" s="3" t="inlineStr">
        <is>
          <t>SPECIES_SEWADDLE</t>
        </is>
      </c>
      <c r="R478" s="3" t="n">
        <v>29</v>
      </c>
    </row>
    <row r="479">
      <c r="A479" s="3">
        <f>XLOOKUP($Q479,'Threshold Summary'!$Y:$Y,'Threshold Summary'!$A:$A,"")</f>
        <v/>
      </c>
      <c r="B479" s="3">
        <f>XLOOKUP($Q479,'Threshold Summary'!$Y:$Y,'Threshold Summary'!$M:$M,"")</f>
        <v/>
      </c>
      <c r="C479" s="3">
        <f>XLOOKUP($Q479,'Threshold Summary'!$Y:$Y,'Threshold Summary'!$N:$N,"")</f>
        <v/>
      </c>
      <c r="D479" s="3">
        <f>IFERROR(INDEX(FILTER('Learnset Editor'!$D$2:$D,'Learnset Editor'!$A$2:$A=XLOOKUP($Q479,'Threshold Summary'!$Y:$Y,'Threshold Summary'!$K:$K,""),'Learnset Editor'!$C$2:$C&lt;=XLOOKUP($Q479,'Threshold Summary'!$Y:$Y,'Threshold Summary'!$L:$L,"")),$R479),"")</f>
        <v/>
      </c>
      <c r="E479" s="3">
        <f>XLOOKUP(D479,'Move Editor'!$B:$B,'Move Editor'!$C:$C,"")</f>
        <v/>
      </c>
      <c r="F479" s="3">
        <f>XLOOKUP(D479,'Move Editor'!$B:$B,'Move Editor'!$D:$D,"")</f>
        <v/>
      </c>
      <c r="G479" s="3">
        <f>XLOOKUP(D479,'Move Editor'!$B:$B,'Move Editor'!$E:$E,0)</f>
        <v/>
      </c>
      <c r="H479" s="3">
        <f>XLOOKUP(D479,'Move Editor'!$B:$B,'Move Editor'!$F:$F,0)</f>
        <v/>
      </c>
      <c r="I479" s="3">
        <f>(INDEX('Type Chart'!$B:$S,MATCH(E479,'Type Chart'!$A:$A,0),MATCH(XLOOKUP('Boss Editor'!$C$4,'Pokemon Editor'!$A:$A,'Pokemon Editor'!$C:$C,""),'Type Chart'!$B$1:$S$1,0))*IF(XLOOKUP('Boss Editor'!$C$4,'Pokemon Editor'!$A:$A,'Pokemon Editor'!$D:$D,"")="",1,INDEX('Type Chart'!$B:$S,MATCH(E479,'Type Chart'!$A:$A,0),MATCH(XLOOKUP('Boss Editor'!$C$4,'Pokemon Editor'!$A:$A,'Pokemon Editor'!$D:$D,""),'Type Chart'!$B$1:$S$1,0))))</f>
        <v/>
      </c>
      <c r="J479" s="3">
        <f>IFERROR(LET(mtype,XLOOKUP($D479,'Move Editor'!$B:$B,'Move Editor'!$C:$C,""),cat,XLOOKUP($D479,'Move Editor'!$B:$B,'Move Editor'!$D:$D,""),pow,XLOOKUP($D479,'Move Editor'!$B:$B,'Move Editor'!$E:$E,0),acc,XLOOKUP($D479,'Move Editor'!$B:$B,'Move Editor'!$F:$F,100),atk,IF(cat="Physical",FLOOR((FLOOR(((2*XLOOKUP(XLOOKUP($Q479,'Threshold Summary'!$Y:$Y,'Threshold Summary'!$K:$K,""),'Pokemon Editor'!$A:$A,'Pokemon Editor'!$F:$F,0)+31+FLOOR(XLOOKUP($Q479,'Threshold Summary'!$Y:$Y,'Threshold Summary'!$P:$P,"")/4))*XLOOKUP($Q479,'Threshold Summary'!$Y:$Y,'Threshold Summary'!$L:$L,""))/100)+5)*XLOOKUP(XLOOKUP($Q479,'Threshold Summary'!$Y:$Y,'Threshold Summary'!$M:$M,""),'Nature Editor'!$A:$A,'Nature Editor'!$B:$B,1)),FLOOR((FLOOR(((2*XLOOKUP(XLOOKUP($Q479,'Threshold Summary'!$Y:$Y,'Threshold Summary'!$K:$K,""),'Pokemon Editor'!$A:$A,'Pokemon Editor'!$H:$H,0)+31+FLOOR(XLOOKUP($Q479,'Threshold Summary'!$Y:$Y,'Threshold Summary'!$R:$R,"")/4))*XLOOKUP($Q479,'Threshold Summary'!$Y:$Y,'Threshold Summary'!$L:$L,""))/100)+5)*XLOOKUP(XLOOKUP($Q479,'Threshold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Editor'!$E:$E,1))),stab,IF(OR(mtype=XLOOKUP(XLOOKUP($Q479,'Threshold Summary'!$Y:$Y,'Threshold Summary'!$K:$K,""),'Pokemon Editor'!$A:$A,'Pokemon Editor'!$C:$C,""),mtype=XLOOKUP(XLOOKUP($Q479,'Threshold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Chart'!$B$1:$S$1,0)))),base,IF(OR(cat="Status",pow=0),0,FLOOR(FLOOR(FLOOR((2*XLOOKUP($Q479,'Threshold Summary'!$Y:$Y,'Threshold Summary'!$L:$L,"")/5+2)*pow*atk/def)/50)+2)),modifier,stab*eff,FLOOR(base*modifier*0.85)),0)</f>
        <v/>
      </c>
      <c r="K479" s="3">
        <f>IFERROR(LET(mtype,XLOOKUP($D479,'Move Editor'!$B:$B,'Move Editor'!$C:$C,""),cat,XLOOKUP($D479,'Move Editor'!$B:$B,'Move Editor'!$D:$D,""),pow,XLOOKUP($D479,'Move Editor'!$B:$B,'Move Editor'!$E:$E,0),acc,XLOOKUP($D479,'Move Editor'!$B:$B,'Move Editor'!$F:$F,100),atk,IF(cat="Physical",FLOOR((FLOOR(((2*XLOOKUP(XLOOKUP($Q479,'Threshold Summary'!$Y:$Y,'Threshold Summary'!$K:$K,""),'Pokemon Editor'!$A:$A,'Pokemon Editor'!$F:$F,0)+31+FLOOR(XLOOKUP($Q479,'Threshold Summary'!$Y:$Y,'Threshold Summary'!$P:$P,"")/4))*XLOOKUP($Q479,'Threshold Summary'!$Y:$Y,'Threshold Summary'!$L:$L,""))/100)+5)*XLOOKUP(XLOOKUP($Q479,'Threshold Summary'!$Y:$Y,'Threshold Summary'!$M:$M,""),'Nature Editor'!$A:$A,'Nature Editor'!$B:$B,1)),FLOOR((FLOOR(((2*XLOOKUP(XLOOKUP($Q479,'Threshold Summary'!$Y:$Y,'Threshold Summary'!$K:$K,""),'Pokemon Editor'!$A:$A,'Pokemon Editor'!$H:$H,0)+31+FLOOR(XLOOKUP($Q479,'Threshold Summary'!$Y:$Y,'Threshold Summary'!$R:$R,"")/4))*XLOOKUP($Q479,'Threshold Summary'!$Y:$Y,'Threshold Summary'!$L:$L,""))/100)+5)*XLOOKUP(XLOOKUP($Q479,'Threshold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Editor'!$E:$E,1))),stab,IF(OR(mtype=XLOOKUP(XLOOKUP($Q479,'Threshold Summary'!$Y:$Y,'Threshold Summary'!$K:$K,""),'Pokemon Editor'!$A:$A,'Pokemon Editor'!$C:$C,""),mtype=XLOOKUP(XLOOKUP($Q479,'Threshold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Chart'!$B$1:$S$1,0)))),base,IF(OR(cat="Status",pow=0),0,FLOOR(FLOOR(FLOOR((2*XLOOKUP($Q479,'Threshold Summary'!$Y:$Y,'Threshold Summary'!$L:$L,"")/5+2)*pow*atk/def)/50)+2)),modifier,stab*eff,FLOOR(base*modifier)),0)</f>
        <v/>
      </c>
      <c r="L479" s="3">
        <f>IFERROR(LET(mtype,XLOOKUP($D479,'Move Editor'!$B:$B,'Move Editor'!$C:$C,""),cat,XLOOKUP($D479,'Move Editor'!$B:$B,'Move Editor'!$D:$D,""),pow,XLOOKUP($D479,'Move Editor'!$B:$B,'Move Editor'!$E:$E,0),acc,XLOOKUP($D479,'Move Editor'!$B:$B,'Move Editor'!$F:$F,100),atk,IF(cat="Physical",FLOOR((FLOOR(((2*XLOOKUP(XLOOKUP($Q479,'Threshold Summary'!$Y:$Y,'Threshold Summary'!$K:$K,""),'Pokemon Editor'!$A:$A,'Pokemon Editor'!$F:$F,0)+31+FLOOR(XLOOKUP($Q479,'Threshold Summary'!$Y:$Y,'Threshold Summary'!$P:$P,"")/4))*XLOOKUP($Q479,'Threshold Summary'!$Y:$Y,'Threshold Summary'!$L:$L,""))/100)+5)*XLOOKUP(XLOOKUP($Q479,'Threshold Summary'!$Y:$Y,'Threshold Summary'!$M:$M,""),'Nature Editor'!$A:$A,'Nature Editor'!$B:$B,1)),FLOOR((FLOOR(((2*XLOOKUP(XLOOKUP($Q479,'Threshold Summary'!$Y:$Y,'Threshold Summary'!$K:$K,""),'Pokemon Editor'!$A:$A,'Pokemon Editor'!$H:$H,0)+31+FLOOR(XLOOKUP($Q479,'Threshold Summary'!$Y:$Y,'Threshold Summary'!$R:$R,"")/4))*XLOOKUP($Q479,'Threshold Summary'!$Y:$Y,'Threshold Summary'!$L:$L,""))/100)+5)*XLOOKUP(XLOOKUP($Q479,'Threshold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Editor'!$E:$E,1))),stab,IF(OR(mtype=XLOOKUP(XLOOKUP($Q479,'Threshold Summary'!$Y:$Y,'Threshold Summary'!$K:$K,""),'Pokemon Editor'!$A:$A,'Pokemon Editor'!$C:$C,""),mtype=XLOOKUP(XLOOKUP($Q479,'Threshold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Chart'!$B$1:$S$1,0)))),base,IF(OR(cat="Status",pow=0),0,FLOOR(FLOOR(FLOOR((2*XLOOKUP($Q479,'Threshold Summary'!$Y:$Y,'Threshold Summary'!$L:$L,"")/5+2)*pow*atk/def)/50)+2)),modifier,stab*eff,AVERAGE(ARRAYFORMULA(FLOOR(base*modifier*SEQUENCE(16,1,85,1)/100)))),0)</f>
        <v/>
      </c>
      <c r="M479" s="3">
        <f>IFERROR(LET(mtype,XLOOKUP($D479,'Move Editor'!$B:$B,'Move Editor'!$C:$C,""),cat,XLOOKUP($D479,'Move Editor'!$B:$B,'Move Editor'!$D:$D,""),pow,XLOOKUP($D479,'Move Editor'!$B:$B,'Move Editor'!$E:$E,0),acc,XLOOKUP($D479,'Move Editor'!$B:$B,'Move Editor'!$F:$F,100),atk,IF(cat="Physical",FLOOR((FLOOR(((2*XLOOKUP(XLOOKUP($Q479,'Threshold Summary'!$Y:$Y,'Threshold Summary'!$K:$K,""),'Pokemon Editor'!$A:$A,'Pokemon Editor'!$F:$F,0)+31+FLOOR(XLOOKUP($Q479,'Threshold Summary'!$Y:$Y,'Threshold Summary'!$P:$P,"")/4))*XLOOKUP($Q479,'Threshold Summary'!$Y:$Y,'Threshold Summary'!$L:$L,""))/100)+5)*XLOOKUP(XLOOKUP($Q479,'Threshold Summary'!$Y:$Y,'Threshold Summary'!$M:$M,""),'Nature Editor'!$A:$A,'Nature Editor'!$B:$B,1)),FLOOR((FLOOR(((2*XLOOKUP(XLOOKUP($Q479,'Threshold Summary'!$Y:$Y,'Threshold Summary'!$K:$K,""),'Pokemon Editor'!$A:$A,'Pokemon Editor'!$H:$H,0)+31+FLOOR(XLOOKUP($Q479,'Threshold Summary'!$Y:$Y,'Threshold Summary'!$R:$R,"")/4))*XLOOKUP($Q479,'Threshold Summary'!$Y:$Y,'Threshold Summary'!$L:$L,""))/100)+5)*XLOOKUP(XLOOKUP($Q479,'Threshold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Editor'!$E:$E,1))),stab,IF(OR(mtype=XLOOKUP(XLOOKUP($Q479,'Threshold Summary'!$Y:$Y,'Threshold Summary'!$K:$K,""),'Pokemon Editor'!$A:$A,'Pokemon Editor'!$C:$C,""),mtype=XLOOKUP(XLOOKUP($Q479,'Threshold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Chart'!$B$1:$S$1,0)))),base,IF(OR(cat="Status",pow=0),0,FLOOR(FLOOR(FLOOR((2*XLOOKUP($Q479,'Threshold Summary'!$Y:$Y,'Threshold Summary'!$L:$L,"")/5+2)*pow*atk/def)/50)+2)),modifier,stab*eff,AVERAGE(ARRAYFORMULA(FLOOR(base*modifier*SEQUENCE(16,1,85,1)/100)))*MIN(1,acc/100)),0)</f>
        <v/>
      </c>
      <c r="N479" s="4">
        <f>IFERROR(LET(mtype,XLOOKUP($D479,'Move Editor'!$B:$B,'Move Editor'!$C:$C,""),cat,XLOOKUP($D479,'Move Editor'!$B:$B,'Move Editor'!$D:$D,""),pow,XLOOKUP($D479,'Move Editor'!$B:$B,'Move Editor'!$E:$E,0),acc,XLOOKUP($D479,'Move Editor'!$B:$B,'Move Editor'!$F:$F,100),atk,IF(cat="Physical",FLOOR((FLOOR(((2*XLOOKUP(XLOOKUP($Q479,'Threshold Summary'!$Y:$Y,'Threshold Summary'!$K:$K,""),'Pokemon Editor'!$A:$A,'Pokemon Editor'!$F:$F,0)+31+FLOOR(XLOOKUP($Q479,'Threshold Summary'!$Y:$Y,'Threshold Summary'!$P:$P,"")/4))*XLOOKUP($Q479,'Threshold Summary'!$Y:$Y,'Threshold Summary'!$L:$L,""))/100)+5)*XLOOKUP(XLOOKUP($Q479,'Threshold Summary'!$Y:$Y,'Threshold Summary'!$M:$M,""),'Nature Editor'!$A:$A,'Nature Editor'!$B:$B,1)),FLOOR((FLOOR(((2*XLOOKUP(XLOOKUP($Q479,'Threshold Summary'!$Y:$Y,'Threshold Summary'!$K:$K,""),'Pokemon Editor'!$A:$A,'Pokemon Editor'!$H:$H,0)+31+FLOOR(XLOOKUP($Q479,'Threshold Summary'!$Y:$Y,'Threshold Summary'!$R:$R,"")/4))*XLOOKUP($Q479,'Threshold Summary'!$Y:$Y,'Threshold Summary'!$L:$L,""))/100)+5)*XLOOKUP(XLOOKUP($Q479,'Threshold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Editor'!$E:$E,1))),stab,IF(OR(mtype=XLOOKUP(XLOOKUP($Q479,'Threshold Summary'!$Y:$Y,'Threshold Summary'!$K:$K,""),'Pokemon Editor'!$A:$A,'Pokemon Editor'!$C:$C,""),mtype=XLOOKUP(XLOOKUP($Q479,'Threshold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Chart'!$B$1:$S$1,0)))),base,IF(OR(cat="Status",pow=0),0,FLOOR(FLOOR(FLOOR((2*XLOOKUP($Q479,'Threshold Summary'!$Y:$Y,'Threshold Summary'!$L:$L,"")/5+2)*pow*atk/def)/50)+2)),modifier,stab*eff,AVERAGE(ARRAYFORMULA(FLOOR(base*modifier*SEQUENCE(16,1,85,1)/100)))/(FLOOR(((2*XLOOKUP('Boss Editor'!$C$4,'Pokemon Editor'!$A:$A,'Pokemon Editor'!$E:$E,0)+31+FLOOR('Boss Editor'!$G$4/4))*'Boss Editor'!$D$4)/100)+'Boss Editor'!$D$4+10)),0)</f>
        <v/>
      </c>
      <c r="O479" s="3">
        <f>IF(N479&gt;=1,"OHKO",IF(N479&gt;=0.5,"2HKO",IF(N479&gt;=0.333,"3HKO",IF(N479&gt;=0.25,"4HKO","5HKO+"))))</f>
        <v/>
      </c>
      <c r="P479" s="3" t="inlineStr">
        <is>
          <t>Live from editable databases</t>
        </is>
      </c>
      <c r="Q479" s="3" t="inlineStr">
        <is>
          <t>SPECIES_SEWADDLE</t>
        </is>
      </c>
      <c r="R479" s="3" t="n">
        <v>30</v>
      </c>
    </row>
    <row r="480">
      <c r="A480" s="3">
        <f>XLOOKUP($Q480,'Threshold Summary'!$Y:$Y,'Threshold Summary'!$A:$A,"")</f>
        <v/>
      </c>
      <c r="B480" s="3">
        <f>XLOOKUP($Q480,'Threshold Summary'!$Y:$Y,'Threshold Summary'!$M:$M,"")</f>
        <v/>
      </c>
      <c r="C480" s="3">
        <f>XLOOKUP($Q480,'Threshold Summary'!$Y:$Y,'Threshold Summary'!$N:$N,"")</f>
        <v/>
      </c>
      <c r="D480" s="3">
        <f>IFERROR(INDEX(FILTER('Learnset Editor'!$D$2:$D,'Learnset Editor'!$A$2:$A=XLOOKUP($Q480,'Threshold Summary'!$Y:$Y,'Threshold Summary'!$K:$K,""),'Learnset Editor'!$C$2:$C&lt;=XLOOKUP($Q480,'Threshold Summary'!$Y:$Y,'Threshold Summary'!$L:$L,"")),$R480),"")</f>
        <v/>
      </c>
      <c r="E480" s="3">
        <f>XLOOKUP(D480,'Move Editor'!$B:$B,'Move Editor'!$C:$C,"")</f>
        <v/>
      </c>
      <c r="F480" s="3">
        <f>XLOOKUP(D480,'Move Editor'!$B:$B,'Move Editor'!$D:$D,"")</f>
        <v/>
      </c>
      <c r="G480" s="3">
        <f>XLOOKUP(D480,'Move Editor'!$B:$B,'Move Editor'!$E:$E,0)</f>
        <v/>
      </c>
      <c r="H480" s="3">
        <f>XLOOKUP(D480,'Move Editor'!$B:$B,'Move Editor'!$F:$F,0)</f>
        <v/>
      </c>
      <c r="I480" s="3">
        <f>(INDEX('Type Chart'!$B:$S,MATCH(E480,'Type Chart'!$A:$A,0),MATCH(XLOOKUP('Boss Editor'!$C$4,'Pokemon Editor'!$A:$A,'Pokemon Editor'!$C:$C,""),'Type Chart'!$B$1:$S$1,0))*IF(XLOOKUP('Boss Editor'!$C$4,'Pokemon Editor'!$A:$A,'Pokemon Editor'!$D:$D,"")="",1,INDEX('Type Chart'!$B:$S,MATCH(E480,'Type Chart'!$A:$A,0),MATCH(XLOOKUP('Boss Editor'!$C$4,'Pokemon Editor'!$A:$A,'Pokemon Editor'!$D:$D,""),'Type Chart'!$B$1:$S$1,0))))</f>
        <v/>
      </c>
      <c r="J480" s="3">
        <f>IFERROR(LET(mtype,XLOOKUP($D480,'Move Editor'!$B:$B,'Move Editor'!$C:$C,""),cat,XLOOKUP($D480,'Move Editor'!$B:$B,'Move Editor'!$D:$D,""),pow,XLOOKUP($D480,'Move Editor'!$B:$B,'Move Editor'!$E:$E,0),acc,XLOOKUP($D480,'Move Editor'!$B:$B,'Move Editor'!$F:$F,100),atk,IF(cat="Physical",FLOOR((FLOOR(((2*XLOOKUP(XLOOKUP($Q480,'Threshold Summary'!$Y:$Y,'Threshold Summary'!$K:$K,""),'Pokemon Editor'!$A:$A,'Pokemon Editor'!$F:$F,0)+31+FLOOR(XLOOKUP($Q480,'Threshold Summary'!$Y:$Y,'Threshold Summary'!$P:$P,"")/4))*XLOOKUP($Q480,'Threshold Summary'!$Y:$Y,'Threshold Summary'!$L:$L,""))/100)+5)*XLOOKUP(XLOOKUP($Q480,'Threshold Summary'!$Y:$Y,'Threshold Summary'!$M:$M,""),'Nature Editor'!$A:$A,'Nature Editor'!$B:$B,1)),FLOOR((FLOOR(((2*XLOOKUP(XLOOKUP($Q480,'Threshold Summary'!$Y:$Y,'Threshold Summary'!$K:$K,""),'Pokemon Editor'!$A:$A,'Pokemon Editor'!$H:$H,0)+31+FLOOR(XLOOKUP($Q480,'Threshold Summary'!$Y:$Y,'Threshold Summary'!$R:$R,"")/4))*XLOOKUP($Q480,'Threshold Summary'!$Y:$Y,'Threshold Summary'!$L:$L,""))/100)+5)*XLOOKUP(XLOOKUP($Q480,'Threshold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Editor'!$E:$E,1))),stab,IF(OR(mtype=XLOOKUP(XLOOKUP($Q480,'Threshold Summary'!$Y:$Y,'Threshold Summary'!$K:$K,""),'Pokemon Editor'!$A:$A,'Pokemon Editor'!$C:$C,""),mtype=XLOOKUP(XLOOKUP($Q480,'Threshold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Chart'!$B$1:$S$1,0)))),base,IF(OR(cat="Status",pow=0),0,FLOOR(FLOOR(FLOOR((2*XLOOKUP($Q480,'Threshold Summary'!$Y:$Y,'Threshold Summary'!$L:$L,"")/5+2)*pow*atk/def)/50)+2)),modifier,stab*eff,FLOOR(base*modifier*0.85)),0)</f>
        <v/>
      </c>
      <c r="K480" s="3">
        <f>IFERROR(LET(mtype,XLOOKUP($D480,'Move Editor'!$B:$B,'Move Editor'!$C:$C,""),cat,XLOOKUP($D480,'Move Editor'!$B:$B,'Move Editor'!$D:$D,""),pow,XLOOKUP($D480,'Move Editor'!$B:$B,'Move Editor'!$E:$E,0),acc,XLOOKUP($D480,'Move Editor'!$B:$B,'Move Editor'!$F:$F,100),atk,IF(cat="Physical",FLOOR((FLOOR(((2*XLOOKUP(XLOOKUP($Q480,'Threshold Summary'!$Y:$Y,'Threshold Summary'!$K:$K,""),'Pokemon Editor'!$A:$A,'Pokemon Editor'!$F:$F,0)+31+FLOOR(XLOOKUP($Q480,'Threshold Summary'!$Y:$Y,'Threshold Summary'!$P:$P,"")/4))*XLOOKUP($Q480,'Threshold Summary'!$Y:$Y,'Threshold Summary'!$L:$L,""))/100)+5)*XLOOKUP(XLOOKUP($Q480,'Threshold Summary'!$Y:$Y,'Threshold Summary'!$M:$M,""),'Nature Editor'!$A:$A,'Nature Editor'!$B:$B,1)),FLOOR((FLOOR(((2*XLOOKUP(XLOOKUP($Q480,'Threshold Summary'!$Y:$Y,'Threshold Summary'!$K:$K,""),'Pokemon Editor'!$A:$A,'Pokemon Editor'!$H:$H,0)+31+FLOOR(XLOOKUP($Q480,'Threshold Summary'!$Y:$Y,'Threshold Summary'!$R:$R,"")/4))*XLOOKUP($Q480,'Threshold Summary'!$Y:$Y,'Threshold Summary'!$L:$L,""))/100)+5)*XLOOKUP(XLOOKUP($Q480,'Threshold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Editor'!$E:$E,1))),stab,IF(OR(mtype=XLOOKUP(XLOOKUP($Q480,'Threshold Summary'!$Y:$Y,'Threshold Summary'!$K:$K,""),'Pokemon Editor'!$A:$A,'Pokemon Editor'!$C:$C,""),mtype=XLOOKUP(XLOOKUP($Q480,'Threshold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Chart'!$B$1:$S$1,0)))),base,IF(OR(cat="Status",pow=0),0,FLOOR(FLOOR(FLOOR((2*XLOOKUP($Q480,'Threshold Summary'!$Y:$Y,'Threshold Summary'!$L:$L,"")/5+2)*pow*atk/def)/50)+2)),modifier,stab*eff,FLOOR(base*modifier)),0)</f>
        <v/>
      </c>
      <c r="L480" s="3">
        <f>IFERROR(LET(mtype,XLOOKUP($D480,'Move Editor'!$B:$B,'Move Editor'!$C:$C,""),cat,XLOOKUP($D480,'Move Editor'!$B:$B,'Move Editor'!$D:$D,""),pow,XLOOKUP($D480,'Move Editor'!$B:$B,'Move Editor'!$E:$E,0),acc,XLOOKUP($D480,'Move Editor'!$B:$B,'Move Editor'!$F:$F,100),atk,IF(cat="Physical",FLOOR((FLOOR(((2*XLOOKUP(XLOOKUP($Q480,'Threshold Summary'!$Y:$Y,'Threshold Summary'!$K:$K,""),'Pokemon Editor'!$A:$A,'Pokemon Editor'!$F:$F,0)+31+FLOOR(XLOOKUP($Q480,'Threshold Summary'!$Y:$Y,'Threshold Summary'!$P:$P,"")/4))*XLOOKUP($Q480,'Threshold Summary'!$Y:$Y,'Threshold Summary'!$L:$L,""))/100)+5)*XLOOKUP(XLOOKUP($Q480,'Threshold Summary'!$Y:$Y,'Threshold Summary'!$M:$M,""),'Nature Editor'!$A:$A,'Nature Editor'!$B:$B,1)),FLOOR((FLOOR(((2*XLOOKUP(XLOOKUP($Q480,'Threshold Summary'!$Y:$Y,'Threshold Summary'!$K:$K,""),'Pokemon Editor'!$A:$A,'Pokemon Editor'!$H:$H,0)+31+FLOOR(XLOOKUP($Q480,'Threshold Summary'!$Y:$Y,'Threshold Summary'!$R:$R,"")/4))*XLOOKUP($Q480,'Threshold Summary'!$Y:$Y,'Threshold Summary'!$L:$L,""))/100)+5)*XLOOKUP(XLOOKUP($Q480,'Threshold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Editor'!$E:$E,1))),stab,IF(OR(mtype=XLOOKUP(XLOOKUP($Q480,'Threshold Summary'!$Y:$Y,'Threshold Summary'!$K:$K,""),'Pokemon Editor'!$A:$A,'Pokemon Editor'!$C:$C,""),mtype=XLOOKUP(XLOOKUP($Q480,'Threshold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Chart'!$B$1:$S$1,0)))),base,IF(OR(cat="Status",pow=0),0,FLOOR(FLOOR(FLOOR((2*XLOOKUP($Q480,'Threshold Summary'!$Y:$Y,'Threshold Summary'!$L:$L,"")/5+2)*pow*atk/def)/50)+2)),modifier,stab*eff,AVERAGE(ARRAYFORMULA(FLOOR(base*modifier*SEQUENCE(16,1,85,1)/100)))),0)</f>
        <v/>
      </c>
      <c r="M480" s="3">
        <f>IFERROR(LET(mtype,XLOOKUP($D480,'Move Editor'!$B:$B,'Move Editor'!$C:$C,""),cat,XLOOKUP($D480,'Move Editor'!$B:$B,'Move Editor'!$D:$D,""),pow,XLOOKUP($D480,'Move Editor'!$B:$B,'Move Editor'!$E:$E,0),acc,XLOOKUP($D480,'Move Editor'!$B:$B,'Move Editor'!$F:$F,100),atk,IF(cat="Physical",FLOOR((FLOOR(((2*XLOOKUP(XLOOKUP($Q480,'Threshold Summary'!$Y:$Y,'Threshold Summary'!$K:$K,""),'Pokemon Editor'!$A:$A,'Pokemon Editor'!$F:$F,0)+31+FLOOR(XLOOKUP($Q480,'Threshold Summary'!$Y:$Y,'Threshold Summary'!$P:$P,"")/4))*XLOOKUP($Q480,'Threshold Summary'!$Y:$Y,'Threshold Summary'!$L:$L,""))/100)+5)*XLOOKUP(XLOOKUP($Q480,'Threshold Summary'!$Y:$Y,'Threshold Summary'!$M:$M,""),'Nature Editor'!$A:$A,'Nature Editor'!$B:$B,1)),FLOOR((FLOOR(((2*XLOOKUP(XLOOKUP($Q480,'Threshold Summary'!$Y:$Y,'Threshold Summary'!$K:$K,""),'Pokemon Editor'!$A:$A,'Pokemon Editor'!$H:$H,0)+31+FLOOR(XLOOKUP($Q480,'Threshold Summary'!$Y:$Y,'Threshold Summary'!$R:$R,"")/4))*XLOOKUP($Q480,'Threshold Summary'!$Y:$Y,'Threshold Summary'!$L:$L,""))/100)+5)*XLOOKUP(XLOOKUP($Q480,'Threshold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Editor'!$E:$E,1))),stab,IF(OR(mtype=XLOOKUP(XLOOKUP($Q480,'Threshold Summary'!$Y:$Y,'Threshold Summary'!$K:$K,""),'Pokemon Editor'!$A:$A,'Pokemon Editor'!$C:$C,""),mtype=XLOOKUP(XLOOKUP($Q480,'Threshold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Chart'!$B$1:$S$1,0)))),base,IF(OR(cat="Status",pow=0),0,FLOOR(FLOOR(FLOOR((2*XLOOKUP($Q480,'Threshold Summary'!$Y:$Y,'Threshold Summary'!$L:$L,"")/5+2)*pow*atk/def)/50)+2)),modifier,stab*eff,AVERAGE(ARRAYFORMULA(FLOOR(base*modifier*SEQUENCE(16,1,85,1)/100)))*MIN(1,acc/100)),0)</f>
        <v/>
      </c>
      <c r="N480" s="4">
        <f>IFERROR(LET(mtype,XLOOKUP($D480,'Move Editor'!$B:$B,'Move Editor'!$C:$C,""),cat,XLOOKUP($D480,'Move Editor'!$B:$B,'Move Editor'!$D:$D,""),pow,XLOOKUP($D480,'Move Editor'!$B:$B,'Move Editor'!$E:$E,0),acc,XLOOKUP($D480,'Move Editor'!$B:$B,'Move Editor'!$F:$F,100),atk,IF(cat="Physical",FLOOR((FLOOR(((2*XLOOKUP(XLOOKUP($Q480,'Threshold Summary'!$Y:$Y,'Threshold Summary'!$K:$K,""),'Pokemon Editor'!$A:$A,'Pokemon Editor'!$F:$F,0)+31+FLOOR(XLOOKUP($Q480,'Threshold Summary'!$Y:$Y,'Threshold Summary'!$P:$P,"")/4))*XLOOKUP($Q480,'Threshold Summary'!$Y:$Y,'Threshold Summary'!$L:$L,""))/100)+5)*XLOOKUP(XLOOKUP($Q480,'Threshold Summary'!$Y:$Y,'Threshold Summary'!$M:$M,""),'Nature Editor'!$A:$A,'Nature Editor'!$B:$B,1)),FLOOR((FLOOR(((2*XLOOKUP(XLOOKUP($Q480,'Threshold Summary'!$Y:$Y,'Threshold Summary'!$K:$K,""),'Pokemon Editor'!$A:$A,'Pokemon Editor'!$H:$H,0)+31+FLOOR(XLOOKUP($Q480,'Threshold Summary'!$Y:$Y,'Threshold Summary'!$R:$R,"")/4))*XLOOKUP($Q480,'Threshold Summary'!$Y:$Y,'Threshold Summary'!$L:$L,""))/100)+5)*XLOOKUP(XLOOKUP($Q480,'Threshold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Editor'!$E:$E,1))),stab,IF(OR(mtype=XLOOKUP(XLOOKUP($Q480,'Threshold Summary'!$Y:$Y,'Threshold Summary'!$K:$K,""),'Pokemon Editor'!$A:$A,'Pokemon Editor'!$C:$C,""),mtype=XLOOKUP(XLOOKUP($Q480,'Threshold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Chart'!$B$1:$S$1,0)))),base,IF(OR(cat="Status",pow=0),0,FLOOR(FLOOR(FLOOR((2*XLOOKUP($Q480,'Threshold Summary'!$Y:$Y,'Threshold Summary'!$L:$L,"")/5+2)*pow*atk/def)/50)+2)),modifier,stab*eff,AVERAGE(ARRAYFORMULA(FLOOR(base*modifier*SEQUENCE(16,1,85,1)/100)))/(FLOOR(((2*XLOOKUP('Boss Editor'!$C$4,'Pokemon Editor'!$A:$A,'Pokemon Editor'!$E:$E,0)+31+FLOOR('Boss Editor'!$G$4/4))*'Boss Editor'!$D$4)/100)+'Boss Editor'!$D$4+10)),0)</f>
        <v/>
      </c>
      <c r="O480" s="3">
        <f>IF(N480&gt;=1,"OHKO",IF(N480&gt;=0.5,"2HKO",IF(N480&gt;=0.333,"3HKO",IF(N480&gt;=0.25,"4HKO","5HKO+"))))</f>
        <v/>
      </c>
      <c r="P480" s="3" t="inlineStr">
        <is>
          <t>Live from editable databases</t>
        </is>
      </c>
      <c r="Q480" s="3" t="inlineStr">
        <is>
          <t>SPECIES_SEWADDLE</t>
        </is>
      </c>
      <c r="R480" s="3" t="n">
        <v>31</v>
      </c>
    </row>
    <row r="481">
      <c r="A481" s="3">
        <f>XLOOKUP($Q481,'Threshold Summary'!$Y:$Y,'Threshold Summary'!$A:$A,"")</f>
        <v/>
      </c>
      <c r="B481" s="3">
        <f>XLOOKUP($Q481,'Threshold Summary'!$Y:$Y,'Threshold Summary'!$M:$M,"")</f>
        <v/>
      </c>
      <c r="C481" s="3">
        <f>XLOOKUP($Q481,'Threshold Summary'!$Y:$Y,'Threshold Summary'!$N:$N,"")</f>
        <v/>
      </c>
      <c r="D481" s="3">
        <f>IFERROR(INDEX(FILTER('Learnset Editor'!$D$2:$D,'Learnset Editor'!$A$2:$A=XLOOKUP($Q481,'Threshold Summary'!$Y:$Y,'Threshold Summary'!$K:$K,""),'Learnset Editor'!$C$2:$C&lt;=XLOOKUP($Q481,'Threshold Summary'!$Y:$Y,'Threshold Summary'!$L:$L,"")),$R481),"")</f>
        <v/>
      </c>
      <c r="E481" s="3">
        <f>XLOOKUP(D481,'Move Editor'!$B:$B,'Move Editor'!$C:$C,"")</f>
        <v/>
      </c>
      <c r="F481" s="3">
        <f>XLOOKUP(D481,'Move Editor'!$B:$B,'Move Editor'!$D:$D,"")</f>
        <v/>
      </c>
      <c r="G481" s="3">
        <f>XLOOKUP(D481,'Move Editor'!$B:$B,'Move Editor'!$E:$E,0)</f>
        <v/>
      </c>
      <c r="H481" s="3">
        <f>XLOOKUP(D481,'Move Editor'!$B:$B,'Move Editor'!$F:$F,0)</f>
        <v/>
      </c>
      <c r="I481" s="3">
        <f>(INDEX('Type Chart'!$B:$S,MATCH(E481,'Type Chart'!$A:$A,0),MATCH(XLOOKUP('Boss Editor'!$C$4,'Pokemon Editor'!$A:$A,'Pokemon Editor'!$C:$C,""),'Type Chart'!$B$1:$S$1,0))*IF(XLOOKUP('Boss Editor'!$C$4,'Pokemon Editor'!$A:$A,'Pokemon Editor'!$D:$D,"")="",1,INDEX('Type Chart'!$B:$S,MATCH(E481,'Type Chart'!$A:$A,0),MATCH(XLOOKUP('Boss Editor'!$C$4,'Pokemon Editor'!$A:$A,'Pokemon Editor'!$D:$D,""),'Type Chart'!$B$1:$S$1,0))))</f>
        <v/>
      </c>
      <c r="J481" s="3">
        <f>IFERROR(LET(mtype,XLOOKUP($D481,'Move Editor'!$B:$B,'Move Editor'!$C:$C,""),cat,XLOOKUP($D481,'Move Editor'!$B:$B,'Move Editor'!$D:$D,""),pow,XLOOKUP($D481,'Move Editor'!$B:$B,'Move Editor'!$E:$E,0),acc,XLOOKUP($D481,'Move Editor'!$B:$B,'Move Editor'!$F:$F,100),atk,IF(cat="Physical",FLOOR((FLOOR(((2*XLOOKUP(XLOOKUP($Q481,'Threshold Summary'!$Y:$Y,'Threshold Summary'!$K:$K,""),'Pokemon Editor'!$A:$A,'Pokemon Editor'!$F:$F,0)+31+FLOOR(XLOOKUP($Q481,'Threshold Summary'!$Y:$Y,'Threshold Summary'!$P:$P,"")/4))*XLOOKUP($Q481,'Threshold Summary'!$Y:$Y,'Threshold Summary'!$L:$L,""))/100)+5)*XLOOKUP(XLOOKUP($Q481,'Threshold Summary'!$Y:$Y,'Threshold Summary'!$M:$M,""),'Nature Editor'!$A:$A,'Nature Editor'!$B:$B,1)),FLOOR((FLOOR(((2*XLOOKUP(XLOOKUP($Q481,'Threshold Summary'!$Y:$Y,'Threshold Summary'!$K:$K,""),'Pokemon Editor'!$A:$A,'Pokemon Editor'!$H:$H,0)+31+FLOOR(XLOOKUP($Q481,'Threshold Summary'!$Y:$Y,'Threshold Summary'!$R:$R,"")/4))*XLOOKUP($Q481,'Threshold Summary'!$Y:$Y,'Threshold Summary'!$L:$L,""))/100)+5)*XLOOKUP(XLOOKUP($Q481,'Threshold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Editor'!$E:$E,1))),stab,IF(OR(mtype=XLOOKUP(XLOOKUP($Q481,'Threshold Summary'!$Y:$Y,'Threshold Summary'!$K:$K,""),'Pokemon Editor'!$A:$A,'Pokemon Editor'!$C:$C,""),mtype=XLOOKUP(XLOOKUP($Q481,'Threshold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Chart'!$B$1:$S$1,0)))),base,IF(OR(cat="Status",pow=0),0,FLOOR(FLOOR(FLOOR((2*XLOOKUP($Q481,'Threshold Summary'!$Y:$Y,'Threshold Summary'!$L:$L,"")/5+2)*pow*atk/def)/50)+2)),modifier,stab*eff,FLOOR(base*modifier*0.85)),0)</f>
        <v/>
      </c>
      <c r="K481" s="3">
        <f>IFERROR(LET(mtype,XLOOKUP($D481,'Move Editor'!$B:$B,'Move Editor'!$C:$C,""),cat,XLOOKUP($D481,'Move Editor'!$B:$B,'Move Editor'!$D:$D,""),pow,XLOOKUP($D481,'Move Editor'!$B:$B,'Move Editor'!$E:$E,0),acc,XLOOKUP($D481,'Move Editor'!$B:$B,'Move Editor'!$F:$F,100),atk,IF(cat="Physical",FLOOR((FLOOR(((2*XLOOKUP(XLOOKUP($Q481,'Threshold Summary'!$Y:$Y,'Threshold Summary'!$K:$K,""),'Pokemon Editor'!$A:$A,'Pokemon Editor'!$F:$F,0)+31+FLOOR(XLOOKUP($Q481,'Threshold Summary'!$Y:$Y,'Threshold Summary'!$P:$P,"")/4))*XLOOKUP($Q481,'Threshold Summary'!$Y:$Y,'Threshold Summary'!$L:$L,""))/100)+5)*XLOOKUP(XLOOKUP($Q481,'Threshold Summary'!$Y:$Y,'Threshold Summary'!$M:$M,""),'Nature Editor'!$A:$A,'Nature Editor'!$B:$B,1)),FLOOR((FLOOR(((2*XLOOKUP(XLOOKUP($Q481,'Threshold Summary'!$Y:$Y,'Threshold Summary'!$K:$K,""),'Pokemon Editor'!$A:$A,'Pokemon Editor'!$H:$H,0)+31+FLOOR(XLOOKUP($Q481,'Threshold Summary'!$Y:$Y,'Threshold Summary'!$R:$R,"")/4))*XLOOKUP($Q481,'Threshold Summary'!$Y:$Y,'Threshold Summary'!$L:$L,""))/100)+5)*XLOOKUP(XLOOKUP($Q481,'Threshold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Editor'!$E:$E,1))),stab,IF(OR(mtype=XLOOKUP(XLOOKUP($Q481,'Threshold Summary'!$Y:$Y,'Threshold Summary'!$K:$K,""),'Pokemon Editor'!$A:$A,'Pokemon Editor'!$C:$C,""),mtype=XLOOKUP(XLOOKUP($Q481,'Threshold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Chart'!$B$1:$S$1,0)))),base,IF(OR(cat="Status",pow=0),0,FLOOR(FLOOR(FLOOR((2*XLOOKUP($Q481,'Threshold Summary'!$Y:$Y,'Threshold Summary'!$L:$L,"")/5+2)*pow*atk/def)/50)+2)),modifier,stab*eff,FLOOR(base*modifier)),0)</f>
        <v/>
      </c>
      <c r="L481" s="3">
        <f>IFERROR(LET(mtype,XLOOKUP($D481,'Move Editor'!$B:$B,'Move Editor'!$C:$C,""),cat,XLOOKUP($D481,'Move Editor'!$B:$B,'Move Editor'!$D:$D,""),pow,XLOOKUP($D481,'Move Editor'!$B:$B,'Move Editor'!$E:$E,0),acc,XLOOKUP($D481,'Move Editor'!$B:$B,'Move Editor'!$F:$F,100),atk,IF(cat="Physical",FLOOR((FLOOR(((2*XLOOKUP(XLOOKUP($Q481,'Threshold Summary'!$Y:$Y,'Threshold Summary'!$K:$K,""),'Pokemon Editor'!$A:$A,'Pokemon Editor'!$F:$F,0)+31+FLOOR(XLOOKUP($Q481,'Threshold Summary'!$Y:$Y,'Threshold Summary'!$P:$P,"")/4))*XLOOKUP($Q481,'Threshold Summary'!$Y:$Y,'Threshold Summary'!$L:$L,""))/100)+5)*XLOOKUP(XLOOKUP($Q481,'Threshold Summary'!$Y:$Y,'Threshold Summary'!$M:$M,""),'Nature Editor'!$A:$A,'Nature Editor'!$B:$B,1)),FLOOR((FLOOR(((2*XLOOKUP(XLOOKUP($Q481,'Threshold Summary'!$Y:$Y,'Threshold Summary'!$K:$K,""),'Pokemon Editor'!$A:$A,'Pokemon Editor'!$H:$H,0)+31+FLOOR(XLOOKUP($Q481,'Threshold Summary'!$Y:$Y,'Threshold Summary'!$R:$R,"")/4))*XLOOKUP($Q481,'Threshold Summary'!$Y:$Y,'Threshold Summary'!$L:$L,""))/100)+5)*XLOOKUP(XLOOKUP($Q481,'Threshold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Editor'!$E:$E,1))),stab,IF(OR(mtype=XLOOKUP(XLOOKUP($Q481,'Threshold Summary'!$Y:$Y,'Threshold Summary'!$K:$K,""),'Pokemon Editor'!$A:$A,'Pokemon Editor'!$C:$C,""),mtype=XLOOKUP(XLOOKUP($Q481,'Threshold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Chart'!$B$1:$S$1,0)))),base,IF(OR(cat="Status",pow=0),0,FLOOR(FLOOR(FLOOR((2*XLOOKUP($Q481,'Threshold Summary'!$Y:$Y,'Threshold Summary'!$L:$L,"")/5+2)*pow*atk/def)/50)+2)),modifier,stab*eff,AVERAGE(ARRAYFORMULA(FLOOR(base*modifier*SEQUENCE(16,1,85,1)/100)))),0)</f>
        <v/>
      </c>
      <c r="M481" s="3">
        <f>IFERROR(LET(mtype,XLOOKUP($D481,'Move Editor'!$B:$B,'Move Editor'!$C:$C,""),cat,XLOOKUP($D481,'Move Editor'!$B:$B,'Move Editor'!$D:$D,""),pow,XLOOKUP($D481,'Move Editor'!$B:$B,'Move Editor'!$E:$E,0),acc,XLOOKUP($D481,'Move Editor'!$B:$B,'Move Editor'!$F:$F,100),atk,IF(cat="Physical",FLOOR((FLOOR(((2*XLOOKUP(XLOOKUP($Q481,'Threshold Summary'!$Y:$Y,'Threshold Summary'!$K:$K,""),'Pokemon Editor'!$A:$A,'Pokemon Editor'!$F:$F,0)+31+FLOOR(XLOOKUP($Q481,'Threshold Summary'!$Y:$Y,'Threshold Summary'!$P:$P,"")/4))*XLOOKUP($Q481,'Threshold Summary'!$Y:$Y,'Threshold Summary'!$L:$L,""))/100)+5)*XLOOKUP(XLOOKUP($Q481,'Threshold Summary'!$Y:$Y,'Threshold Summary'!$M:$M,""),'Nature Editor'!$A:$A,'Nature Editor'!$B:$B,1)),FLOOR((FLOOR(((2*XLOOKUP(XLOOKUP($Q481,'Threshold Summary'!$Y:$Y,'Threshold Summary'!$K:$K,""),'Pokemon Editor'!$A:$A,'Pokemon Editor'!$H:$H,0)+31+FLOOR(XLOOKUP($Q481,'Threshold Summary'!$Y:$Y,'Threshold Summary'!$R:$R,"")/4))*XLOOKUP($Q481,'Threshold Summary'!$Y:$Y,'Threshold Summary'!$L:$L,""))/100)+5)*XLOOKUP(XLOOKUP($Q481,'Threshold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Editor'!$E:$E,1))),stab,IF(OR(mtype=XLOOKUP(XLOOKUP($Q481,'Threshold Summary'!$Y:$Y,'Threshold Summary'!$K:$K,""),'Pokemon Editor'!$A:$A,'Pokemon Editor'!$C:$C,""),mtype=XLOOKUP(XLOOKUP($Q481,'Threshold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Chart'!$B$1:$S$1,0)))),base,IF(OR(cat="Status",pow=0),0,FLOOR(FLOOR(FLOOR((2*XLOOKUP($Q481,'Threshold Summary'!$Y:$Y,'Threshold Summary'!$L:$L,"")/5+2)*pow*atk/def)/50)+2)),modifier,stab*eff,AVERAGE(ARRAYFORMULA(FLOOR(base*modifier*SEQUENCE(16,1,85,1)/100)))*MIN(1,acc/100)),0)</f>
        <v/>
      </c>
      <c r="N481" s="4">
        <f>IFERROR(LET(mtype,XLOOKUP($D481,'Move Editor'!$B:$B,'Move Editor'!$C:$C,""),cat,XLOOKUP($D481,'Move Editor'!$B:$B,'Move Editor'!$D:$D,""),pow,XLOOKUP($D481,'Move Editor'!$B:$B,'Move Editor'!$E:$E,0),acc,XLOOKUP($D481,'Move Editor'!$B:$B,'Move Editor'!$F:$F,100),atk,IF(cat="Physical",FLOOR((FLOOR(((2*XLOOKUP(XLOOKUP($Q481,'Threshold Summary'!$Y:$Y,'Threshold Summary'!$K:$K,""),'Pokemon Editor'!$A:$A,'Pokemon Editor'!$F:$F,0)+31+FLOOR(XLOOKUP($Q481,'Threshold Summary'!$Y:$Y,'Threshold Summary'!$P:$P,"")/4))*XLOOKUP($Q481,'Threshold Summary'!$Y:$Y,'Threshold Summary'!$L:$L,""))/100)+5)*XLOOKUP(XLOOKUP($Q481,'Threshold Summary'!$Y:$Y,'Threshold Summary'!$M:$M,""),'Nature Editor'!$A:$A,'Nature Editor'!$B:$B,1)),FLOOR((FLOOR(((2*XLOOKUP(XLOOKUP($Q481,'Threshold Summary'!$Y:$Y,'Threshold Summary'!$K:$K,""),'Pokemon Editor'!$A:$A,'Pokemon Editor'!$H:$H,0)+31+FLOOR(XLOOKUP($Q481,'Threshold Summary'!$Y:$Y,'Threshold Summary'!$R:$R,"")/4))*XLOOKUP($Q481,'Threshold Summary'!$Y:$Y,'Threshold Summary'!$L:$L,""))/100)+5)*XLOOKUP(XLOOKUP($Q481,'Threshold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Editor'!$E:$E,1))),stab,IF(OR(mtype=XLOOKUP(XLOOKUP($Q481,'Threshold Summary'!$Y:$Y,'Threshold Summary'!$K:$K,""),'Pokemon Editor'!$A:$A,'Pokemon Editor'!$C:$C,""),mtype=XLOOKUP(XLOOKUP($Q481,'Threshold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Chart'!$B$1:$S$1,0)))),base,IF(OR(cat="Status",pow=0),0,FLOOR(FLOOR(FLOOR((2*XLOOKUP($Q481,'Threshold Summary'!$Y:$Y,'Threshold Summary'!$L:$L,"")/5+2)*pow*atk/def)/50)+2)),modifier,stab*eff,AVERAGE(ARRAYFORMULA(FLOOR(base*modifier*SEQUENCE(16,1,85,1)/100)))/(FLOOR(((2*XLOOKUP('Boss Editor'!$C$4,'Pokemon Editor'!$A:$A,'Pokemon Editor'!$E:$E,0)+31+FLOOR('Boss Editor'!$G$4/4))*'Boss Editor'!$D$4)/100)+'Boss Editor'!$D$4+10)),0)</f>
        <v/>
      </c>
      <c r="O481" s="3">
        <f>IF(N481&gt;=1,"OHKO",IF(N481&gt;=0.5,"2HKO",IF(N481&gt;=0.333,"3HKO",IF(N481&gt;=0.25,"4HKO","5HKO+"))))</f>
        <v/>
      </c>
      <c r="P481" s="3" t="inlineStr">
        <is>
          <t>Live from editable databases</t>
        </is>
      </c>
      <c r="Q481" s="3" t="inlineStr">
        <is>
          <t>SPECIES_SEWADDLE</t>
        </is>
      </c>
      <c r="R481" s="3" t="n">
        <v>32</v>
      </c>
    </row>
    <row r="482">
      <c r="A482" s="3">
        <f>XLOOKUP($Q482,'Threshold Summary'!$Y:$Y,'Threshold Summary'!$A:$A,"")</f>
        <v/>
      </c>
      <c r="B482" s="3">
        <f>XLOOKUP($Q482,'Threshold Summary'!$Y:$Y,'Threshold Summary'!$M:$M,"")</f>
        <v/>
      </c>
      <c r="C482" s="3">
        <f>XLOOKUP($Q482,'Threshold Summary'!$Y:$Y,'Threshold Summary'!$N:$N,"")</f>
        <v/>
      </c>
      <c r="D482" s="3">
        <f>IFERROR(INDEX(FILTER('Learnset Editor'!$D$2:$D,'Learnset Editor'!$A$2:$A=XLOOKUP($Q482,'Threshold Summary'!$Y:$Y,'Threshold Summary'!$K:$K,""),'Learnset Editor'!$C$2:$C&lt;=XLOOKUP($Q482,'Threshold Summary'!$Y:$Y,'Threshold Summary'!$L:$L,"")),$R482),"")</f>
        <v/>
      </c>
      <c r="E482" s="3">
        <f>XLOOKUP(D482,'Move Editor'!$B:$B,'Move Editor'!$C:$C,"")</f>
        <v/>
      </c>
      <c r="F482" s="3">
        <f>XLOOKUP(D482,'Move Editor'!$B:$B,'Move Editor'!$D:$D,"")</f>
        <v/>
      </c>
      <c r="G482" s="3">
        <f>XLOOKUP(D482,'Move Editor'!$B:$B,'Move Editor'!$E:$E,0)</f>
        <v/>
      </c>
      <c r="H482" s="3">
        <f>XLOOKUP(D482,'Move Editor'!$B:$B,'Move Editor'!$F:$F,0)</f>
        <v/>
      </c>
      <c r="I482" s="3">
        <f>(INDEX('Type Chart'!$B:$S,MATCH(E482,'Type Chart'!$A:$A,0),MATCH(XLOOKUP('Boss Editor'!$C$4,'Pokemon Editor'!$A:$A,'Pokemon Editor'!$C:$C,""),'Type Chart'!$B$1:$S$1,0))*IF(XLOOKUP('Boss Editor'!$C$4,'Pokemon Editor'!$A:$A,'Pokemon Editor'!$D:$D,"")="",1,INDEX('Type Chart'!$B:$S,MATCH(E482,'Type Chart'!$A:$A,0),MATCH(XLOOKUP('Boss Editor'!$C$4,'Pokemon Editor'!$A:$A,'Pokemon Editor'!$D:$D,""),'Type Chart'!$B$1:$S$1,0))))</f>
        <v/>
      </c>
      <c r="J482" s="3">
        <f>IFERROR(LET(mtype,XLOOKUP($D482,'Move Editor'!$B:$B,'Move Editor'!$C:$C,""),cat,XLOOKUP($D482,'Move Editor'!$B:$B,'Move Editor'!$D:$D,""),pow,XLOOKUP($D482,'Move Editor'!$B:$B,'Move Editor'!$E:$E,0),acc,XLOOKUP($D482,'Move Editor'!$B:$B,'Move Editor'!$F:$F,100),atk,IF(cat="Physical",FLOOR((FLOOR(((2*XLOOKUP(XLOOKUP($Q482,'Threshold Summary'!$Y:$Y,'Threshold Summary'!$K:$K,""),'Pokemon Editor'!$A:$A,'Pokemon Editor'!$F:$F,0)+31+FLOOR(XLOOKUP($Q482,'Threshold Summary'!$Y:$Y,'Threshold Summary'!$P:$P,"")/4))*XLOOKUP($Q482,'Threshold Summary'!$Y:$Y,'Threshold Summary'!$L:$L,""))/100)+5)*XLOOKUP(XLOOKUP($Q482,'Threshold Summary'!$Y:$Y,'Threshold Summary'!$M:$M,""),'Nature Editor'!$A:$A,'Nature Editor'!$B:$B,1)),FLOOR((FLOOR(((2*XLOOKUP(XLOOKUP($Q482,'Threshold Summary'!$Y:$Y,'Threshold Summary'!$K:$K,""),'Pokemon Editor'!$A:$A,'Pokemon Editor'!$H:$H,0)+31+FLOOR(XLOOKUP($Q482,'Threshold Summary'!$Y:$Y,'Threshold Summary'!$R:$R,"")/4))*XLOOKUP($Q482,'Threshold Summary'!$Y:$Y,'Threshold Summary'!$L:$L,""))/100)+5)*XLOOKUP(XLOOKUP($Q482,'Threshold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Editor'!$E:$E,1))),stab,IF(OR(mtype=XLOOKUP(XLOOKUP($Q482,'Threshold Summary'!$Y:$Y,'Threshold Summary'!$K:$K,""),'Pokemon Editor'!$A:$A,'Pokemon Editor'!$C:$C,""),mtype=XLOOKUP(XLOOKUP($Q482,'Threshold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Chart'!$B$1:$S$1,0)))),base,IF(OR(cat="Status",pow=0),0,FLOOR(FLOOR(FLOOR((2*XLOOKUP($Q482,'Threshold Summary'!$Y:$Y,'Threshold Summary'!$L:$L,"")/5+2)*pow*atk/def)/50)+2)),modifier,stab*eff,FLOOR(base*modifier*0.85)),0)</f>
        <v/>
      </c>
      <c r="K482" s="3">
        <f>IFERROR(LET(mtype,XLOOKUP($D482,'Move Editor'!$B:$B,'Move Editor'!$C:$C,""),cat,XLOOKUP($D482,'Move Editor'!$B:$B,'Move Editor'!$D:$D,""),pow,XLOOKUP($D482,'Move Editor'!$B:$B,'Move Editor'!$E:$E,0),acc,XLOOKUP($D482,'Move Editor'!$B:$B,'Move Editor'!$F:$F,100),atk,IF(cat="Physical",FLOOR((FLOOR(((2*XLOOKUP(XLOOKUP($Q482,'Threshold Summary'!$Y:$Y,'Threshold Summary'!$K:$K,""),'Pokemon Editor'!$A:$A,'Pokemon Editor'!$F:$F,0)+31+FLOOR(XLOOKUP($Q482,'Threshold Summary'!$Y:$Y,'Threshold Summary'!$P:$P,"")/4))*XLOOKUP($Q482,'Threshold Summary'!$Y:$Y,'Threshold Summary'!$L:$L,""))/100)+5)*XLOOKUP(XLOOKUP($Q482,'Threshold Summary'!$Y:$Y,'Threshold Summary'!$M:$M,""),'Nature Editor'!$A:$A,'Nature Editor'!$B:$B,1)),FLOOR((FLOOR(((2*XLOOKUP(XLOOKUP($Q482,'Threshold Summary'!$Y:$Y,'Threshold Summary'!$K:$K,""),'Pokemon Editor'!$A:$A,'Pokemon Editor'!$H:$H,0)+31+FLOOR(XLOOKUP($Q482,'Threshold Summary'!$Y:$Y,'Threshold Summary'!$R:$R,"")/4))*XLOOKUP($Q482,'Threshold Summary'!$Y:$Y,'Threshold Summary'!$L:$L,""))/100)+5)*XLOOKUP(XLOOKUP($Q482,'Threshold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Editor'!$E:$E,1))),stab,IF(OR(mtype=XLOOKUP(XLOOKUP($Q482,'Threshold Summary'!$Y:$Y,'Threshold Summary'!$K:$K,""),'Pokemon Editor'!$A:$A,'Pokemon Editor'!$C:$C,""),mtype=XLOOKUP(XLOOKUP($Q482,'Threshold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Chart'!$B$1:$S$1,0)))),base,IF(OR(cat="Status",pow=0),0,FLOOR(FLOOR(FLOOR((2*XLOOKUP($Q482,'Threshold Summary'!$Y:$Y,'Threshold Summary'!$L:$L,"")/5+2)*pow*atk/def)/50)+2)),modifier,stab*eff,FLOOR(base*modifier)),0)</f>
        <v/>
      </c>
      <c r="L482" s="3">
        <f>IFERROR(LET(mtype,XLOOKUP($D482,'Move Editor'!$B:$B,'Move Editor'!$C:$C,""),cat,XLOOKUP($D482,'Move Editor'!$B:$B,'Move Editor'!$D:$D,""),pow,XLOOKUP($D482,'Move Editor'!$B:$B,'Move Editor'!$E:$E,0),acc,XLOOKUP($D482,'Move Editor'!$B:$B,'Move Editor'!$F:$F,100),atk,IF(cat="Physical",FLOOR((FLOOR(((2*XLOOKUP(XLOOKUP($Q482,'Threshold Summary'!$Y:$Y,'Threshold Summary'!$K:$K,""),'Pokemon Editor'!$A:$A,'Pokemon Editor'!$F:$F,0)+31+FLOOR(XLOOKUP($Q482,'Threshold Summary'!$Y:$Y,'Threshold Summary'!$P:$P,"")/4))*XLOOKUP($Q482,'Threshold Summary'!$Y:$Y,'Threshold Summary'!$L:$L,""))/100)+5)*XLOOKUP(XLOOKUP($Q482,'Threshold Summary'!$Y:$Y,'Threshold Summary'!$M:$M,""),'Nature Editor'!$A:$A,'Nature Editor'!$B:$B,1)),FLOOR((FLOOR(((2*XLOOKUP(XLOOKUP($Q482,'Threshold Summary'!$Y:$Y,'Threshold Summary'!$K:$K,""),'Pokemon Editor'!$A:$A,'Pokemon Editor'!$H:$H,0)+31+FLOOR(XLOOKUP($Q482,'Threshold Summary'!$Y:$Y,'Threshold Summary'!$R:$R,"")/4))*XLOOKUP($Q482,'Threshold Summary'!$Y:$Y,'Threshold Summary'!$L:$L,""))/100)+5)*XLOOKUP(XLOOKUP($Q482,'Threshold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Editor'!$E:$E,1))),stab,IF(OR(mtype=XLOOKUP(XLOOKUP($Q482,'Threshold Summary'!$Y:$Y,'Threshold Summary'!$K:$K,""),'Pokemon Editor'!$A:$A,'Pokemon Editor'!$C:$C,""),mtype=XLOOKUP(XLOOKUP($Q482,'Threshold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Chart'!$B$1:$S$1,0)))),base,IF(OR(cat="Status",pow=0),0,FLOOR(FLOOR(FLOOR((2*XLOOKUP($Q482,'Threshold Summary'!$Y:$Y,'Threshold Summary'!$L:$L,"")/5+2)*pow*atk/def)/50)+2)),modifier,stab*eff,AVERAGE(ARRAYFORMULA(FLOOR(base*modifier*SEQUENCE(16,1,85,1)/100)))),0)</f>
        <v/>
      </c>
      <c r="M482" s="3">
        <f>IFERROR(LET(mtype,XLOOKUP($D482,'Move Editor'!$B:$B,'Move Editor'!$C:$C,""),cat,XLOOKUP($D482,'Move Editor'!$B:$B,'Move Editor'!$D:$D,""),pow,XLOOKUP($D482,'Move Editor'!$B:$B,'Move Editor'!$E:$E,0),acc,XLOOKUP($D482,'Move Editor'!$B:$B,'Move Editor'!$F:$F,100),atk,IF(cat="Physical",FLOOR((FLOOR(((2*XLOOKUP(XLOOKUP($Q482,'Threshold Summary'!$Y:$Y,'Threshold Summary'!$K:$K,""),'Pokemon Editor'!$A:$A,'Pokemon Editor'!$F:$F,0)+31+FLOOR(XLOOKUP($Q482,'Threshold Summary'!$Y:$Y,'Threshold Summary'!$P:$P,"")/4))*XLOOKUP($Q482,'Threshold Summary'!$Y:$Y,'Threshold Summary'!$L:$L,""))/100)+5)*XLOOKUP(XLOOKUP($Q482,'Threshold Summary'!$Y:$Y,'Threshold Summary'!$M:$M,""),'Nature Editor'!$A:$A,'Nature Editor'!$B:$B,1)),FLOOR((FLOOR(((2*XLOOKUP(XLOOKUP($Q482,'Threshold Summary'!$Y:$Y,'Threshold Summary'!$K:$K,""),'Pokemon Editor'!$A:$A,'Pokemon Editor'!$H:$H,0)+31+FLOOR(XLOOKUP($Q482,'Threshold Summary'!$Y:$Y,'Threshold Summary'!$R:$R,"")/4))*XLOOKUP($Q482,'Threshold Summary'!$Y:$Y,'Threshold Summary'!$L:$L,""))/100)+5)*XLOOKUP(XLOOKUP($Q482,'Threshold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Editor'!$E:$E,1))),stab,IF(OR(mtype=XLOOKUP(XLOOKUP($Q482,'Threshold Summary'!$Y:$Y,'Threshold Summary'!$K:$K,""),'Pokemon Editor'!$A:$A,'Pokemon Editor'!$C:$C,""),mtype=XLOOKUP(XLOOKUP($Q482,'Threshold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Chart'!$B$1:$S$1,0)))),base,IF(OR(cat="Status",pow=0),0,FLOOR(FLOOR(FLOOR((2*XLOOKUP($Q482,'Threshold Summary'!$Y:$Y,'Threshold Summary'!$L:$L,"")/5+2)*pow*atk/def)/50)+2)),modifier,stab*eff,AVERAGE(ARRAYFORMULA(FLOOR(base*modifier*SEQUENCE(16,1,85,1)/100)))*MIN(1,acc/100)),0)</f>
        <v/>
      </c>
      <c r="N482" s="4">
        <f>IFERROR(LET(mtype,XLOOKUP($D482,'Move Editor'!$B:$B,'Move Editor'!$C:$C,""),cat,XLOOKUP($D482,'Move Editor'!$B:$B,'Move Editor'!$D:$D,""),pow,XLOOKUP($D482,'Move Editor'!$B:$B,'Move Editor'!$E:$E,0),acc,XLOOKUP($D482,'Move Editor'!$B:$B,'Move Editor'!$F:$F,100),atk,IF(cat="Physical",FLOOR((FLOOR(((2*XLOOKUP(XLOOKUP($Q482,'Threshold Summary'!$Y:$Y,'Threshold Summary'!$K:$K,""),'Pokemon Editor'!$A:$A,'Pokemon Editor'!$F:$F,0)+31+FLOOR(XLOOKUP($Q482,'Threshold Summary'!$Y:$Y,'Threshold Summary'!$P:$P,"")/4))*XLOOKUP($Q482,'Threshold Summary'!$Y:$Y,'Threshold Summary'!$L:$L,""))/100)+5)*XLOOKUP(XLOOKUP($Q482,'Threshold Summary'!$Y:$Y,'Threshold Summary'!$M:$M,""),'Nature Editor'!$A:$A,'Nature Editor'!$B:$B,1)),FLOOR((FLOOR(((2*XLOOKUP(XLOOKUP($Q482,'Threshold Summary'!$Y:$Y,'Threshold Summary'!$K:$K,""),'Pokemon Editor'!$A:$A,'Pokemon Editor'!$H:$H,0)+31+FLOOR(XLOOKUP($Q482,'Threshold Summary'!$Y:$Y,'Threshold Summary'!$R:$R,"")/4))*XLOOKUP($Q482,'Threshold Summary'!$Y:$Y,'Threshold Summary'!$L:$L,""))/100)+5)*XLOOKUP(XLOOKUP($Q482,'Threshold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Editor'!$E:$E,1))),stab,IF(OR(mtype=XLOOKUP(XLOOKUP($Q482,'Threshold Summary'!$Y:$Y,'Threshold Summary'!$K:$K,""),'Pokemon Editor'!$A:$A,'Pokemon Editor'!$C:$C,""),mtype=XLOOKUP(XLOOKUP($Q482,'Threshold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Chart'!$B$1:$S$1,0)))),base,IF(OR(cat="Status",pow=0),0,FLOOR(FLOOR(FLOOR((2*XLOOKUP($Q482,'Threshold Summary'!$Y:$Y,'Threshold Summary'!$L:$L,"")/5+2)*pow*atk/def)/50)+2)),modifier,stab*eff,AVERAGE(ARRAYFORMULA(FLOOR(base*modifier*SEQUENCE(16,1,85,1)/100)))/(FLOOR(((2*XLOOKUP('Boss Editor'!$C$4,'Pokemon Editor'!$A:$A,'Pokemon Editor'!$E:$E,0)+31+FLOOR('Boss Editor'!$G$4/4))*'Boss Editor'!$D$4)/100)+'Boss Editor'!$D$4+10)),0)</f>
        <v/>
      </c>
      <c r="O482" s="3">
        <f>IF(N482&gt;=1,"OHKO",IF(N482&gt;=0.5,"2HKO",IF(N482&gt;=0.333,"3HKO",IF(N482&gt;=0.25,"4HKO","5HKO+"))))</f>
        <v/>
      </c>
      <c r="P482" s="3" t="inlineStr">
        <is>
          <t>Live from editable databases</t>
        </is>
      </c>
      <c r="Q482" s="3" t="inlineStr">
        <is>
          <t>SPECIES_VENIPEDE</t>
        </is>
      </c>
      <c r="R482" s="3" t="n">
        <v>1</v>
      </c>
    </row>
    <row r="483">
      <c r="A483" s="3">
        <f>XLOOKUP($Q483,'Threshold Summary'!$Y:$Y,'Threshold Summary'!$A:$A,"")</f>
        <v/>
      </c>
      <c r="B483" s="3">
        <f>XLOOKUP($Q483,'Threshold Summary'!$Y:$Y,'Threshold Summary'!$M:$M,"")</f>
        <v/>
      </c>
      <c r="C483" s="3">
        <f>XLOOKUP($Q483,'Threshold Summary'!$Y:$Y,'Threshold Summary'!$N:$N,"")</f>
        <v/>
      </c>
      <c r="D483" s="3">
        <f>IFERROR(INDEX(FILTER('Learnset Editor'!$D$2:$D,'Learnset Editor'!$A$2:$A=XLOOKUP($Q483,'Threshold Summary'!$Y:$Y,'Threshold Summary'!$K:$K,""),'Learnset Editor'!$C$2:$C&lt;=XLOOKUP($Q483,'Threshold Summary'!$Y:$Y,'Threshold Summary'!$L:$L,"")),$R483),"")</f>
        <v/>
      </c>
      <c r="E483" s="3">
        <f>XLOOKUP(D483,'Move Editor'!$B:$B,'Move Editor'!$C:$C,"")</f>
        <v/>
      </c>
      <c r="F483" s="3">
        <f>XLOOKUP(D483,'Move Editor'!$B:$B,'Move Editor'!$D:$D,"")</f>
        <v/>
      </c>
      <c r="G483" s="3">
        <f>XLOOKUP(D483,'Move Editor'!$B:$B,'Move Editor'!$E:$E,0)</f>
        <v/>
      </c>
      <c r="H483" s="3">
        <f>XLOOKUP(D483,'Move Editor'!$B:$B,'Move Editor'!$F:$F,0)</f>
        <v/>
      </c>
      <c r="I483" s="3">
        <f>(INDEX('Type Chart'!$B:$S,MATCH(E483,'Type Chart'!$A:$A,0),MATCH(XLOOKUP('Boss Editor'!$C$4,'Pokemon Editor'!$A:$A,'Pokemon Editor'!$C:$C,""),'Type Chart'!$B$1:$S$1,0))*IF(XLOOKUP('Boss Editor'!$C$4,'Pokemon Editor'!$A:$A,'Pokemon Editor'!$D:$D,"")="",1,INDEX('Type Chart'!$B:$S,MATCH(E483,'Type Chart'!$A:$A,0),MATCH(XLOOKUP('Boss Editor'!$C$4,'Pokemon Editor'!$A:$A,'Pokemon Editor'!$D:$D,""),'Type Chart'!$B$1:$S$1,0))))</f>
        <v/>
      </c>
      <c r="J483" s="3">
        <f>IFERROR(LET(mtype,XLOOKUP($D483,'Move Editor'!$B:$B,'Move Editor'!$C:$C,""),cat,XLOOKUP($D483,'Move Editor'!$B:$B,'Move Editor'!$D:$D,""),pow,XLOOKUP($D483,'Move Editor'!$B:$B,'Move Editor'!$E:$E,0),acc,XLOOKUP($D483,'Move Editor'!$B:$B,'Move Editor'!$F:$F,100),atk,IF(cat="Physical",FLOOR((FLOOR(((2*XLOOKUP(XLOOKUP($Q483,'Threshold Summary'!$Y:$Y,'Threshold Summary'!$K:$K,""),'Pokemon Editor'!$A:$A,'Pokemon Editor'!$F:$F,0)+31+FLOOR(XLOOKUP($Q483,'Threshold Summary'!$Y:$Y,'Threshold Summary'!$P:$P,"")/4))*XLOOKUP($Q483,'Threshold Summary'!$Y:$Y,'Threshold Summary'!$L:$L,""))/100)+5)*XLOOKUP(XLOOKUP($Q483,'Threshold Summary'!$Y:$Y,'Threshold Summary'!$M:$M,""),'Nature Editor'!$A:$A,'Nature Editor'!$B:$B,1)),FLOOR((FLOOR(((2*XLOOKUP(XLOOKUP($Q483,'Threshold Summary'!$Y:$Y,'Threshold Summary'!$K:$K,""),'Pokemon Editor'!$A:$A,'Pokemon Editor'!$H:$H,0)+31+FLOOR(XLOOKUP($Q483,'Threshold Summary'!$Y:$Y,'Threshold Summary'!$R:$R,"")/4))*XLOOKUP($Q483,'Threshold Summary'!$Y:$Y,'Threshold Summary'!$L:$L,""))/100)+5)*XLOOKUP(XLOOKUP($Q483,'Threshold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Editor'!$E:$E,1))),stab,IF(OR(mtype=XLOOKUP(XLOOKUP($Q483,'Threshold Summary'!$Y:$Y,'Threshold Summary'!$K:$K,""),'Pokemon Editor'!$A:$A,'Pokemon Editor'!$C:$C,""),mtype=XLOOKUP(XLOOKUP($Q483,'Threshold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Chart'!$B$1:$S$1,0)))),base,IF(OR(cat="Status",pow=0),0,FLOOR(FLOOR(FLOOR((2*XLOOKUP($Q483,'Threshold Summary'!$Y:$Y,'Threshold Summary'!$L:$L,"")/5+2)*pow*atk/def)/50)+2)),modifier,stab*eff,FLOOR(base*modifier*0.85)),0)</f>
        <v/>
      </c>
      <c r="K483" s="3">
        <f>IFERROR(LET(mtype,XLOOKUP($D483,'Move Editor'!$B:$B,'Move Editor'!$C:$C,""),cat,XLOOKUP($D483,'Move Editor'!$B:$B,'Move Editor'!$D:$D,""),pow,XLOOKUP($D483,'Move Editor'!$B:$B,'Move Editor'!$E:$E,0),acc,XLOOKUP($D483,'Move Editor'!$B:$B,'Move Editor'!$F:$F,100),atk,IF(cat="Physical",FLOOR((FLOOR(((2*XLOOKUP(XLOOKUP($Q483,'Threshold Summary'!$Y:$Y,'Threshold Summary'!$K:$K,""),'Pokemon Editor'!$A:$A,'Pokemon Editor'!$F:$F,0)+31+FLOOR(XLOOKUP($Q483,'Threshold Summary'!$Y:$Y,'Threshold Summary'!$P:$P,"")/4))*XLOOKUP($Q483,'Threshold Summary'!$Y:$Y,'Threshold Summary'!$L:$L,""))/100)+5)*XLOOKUP(XLOOKUP($Q483,'Threshold Summary'!$Y:$Y,'Threshold Summary'!$M:$M,""),'Nature Editor'!$A:$A,'Nature Editor'!$B:$B,1)),FLOOR((FLOOR(((2*XLOOKUP(XLOOKUP($Q483,'Threshold Summary'!$Y:$Y,'Threshold Summary'!$K:$K,""),'Pokemon Editor'!$A:$A,'Pokemon Editor'!$H:$H,0)+31+FLOOR(XLOOKUP($Q483,'Threshold Summary'!$Y:$Y,'Threshold Summary'!$R:$R,"")/4))*XLOOKUP($Q483,'Threshold Summary'!$Y:$Y,'Threshold Summary'!$L:$L,""))/100)+5)*XLOOKUP(XLOOKUP($Q483,'Threshold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Editor'!$E:$E,1))),stab,IF(OR(mtype=XLOOKUP(XLOOKUP($Q483,'Threshold Summary'!$Y:$Y,'Threshold Summary'!$K:$K,""),'Pokemon Editor'!$A:$A,'Pokemon Editor'!$C:$C,""),mtype=XLOOKUP(XLOOKUP($Q483,'Threshold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Chart'!$B$1:$S$1,0)))),base,IF(OR(cat="Status",pow=0),0,FLOOR(FLOOR(FLOOR((2*XLOOKUP($Q483,'Threshold Summary'!$Y:$Y,'Threshold Summary'!$L:$L,"")/5+2)*pow*atk/def)/50)+2)),modifier,stab*eff,FLOOR(base*modifier)),0)</f>
        <v/>
      </c>
      <c r="L483" s="3">
        <f>IFERROR(LET(mtype,XLOOKUP($D483,'Move Editor'!$B:$B,'Move Editor'!$C:$C,""),cat,XLOOKUP($D483,'Move Editor'!$B:$B,'Move Editor'!$D:$D,""),pow,XLOOKUP($D483,'Move Editor'!$B:$B,'Move Editor'!$E:$E,0),acc,XLOOKUP($D483,'Move Editor'!$B:$B,'Move Editor'!$F:$F,100),atk,IF(cat="Physical",FLOOR((FLOOR(((2*XLOOKUP(XLOOKUP($Q483,'Threshold Summary'!$Y:$Y,'Threshold Summary'!$K:$K,""),'Pokemon Editor'!$A:$A,'Pokemon Editor'!$F:$F,0)+31+FLOOR(XLOOKUP($Q483,'Threshold Summary'!$Y:$Y,'Threshold Summary'!$P:$P,"")/4))*XLOOKUP($Q483,'Threshold Summary'!$Y:$Y,'Threshold Summary'!$L:$L,""))/100)+5)*XLOOKUP(XLOOKUP($Q483,'Threshold Summary'!$Y:$Y,'Threshold Summary'!$M:$M,""),'Nature Editor'!$A:$A,'Nature Editor'!$B:$B,1)),FLOOR((FLOOR(((2*XLOOKUP(XLOOKUP($Q483,'Threshold Summary'!$Y:$Y,'Threshold Summary'!$K:$K,""),'Pokemon Editor'!$A:$A,'Pokemon Editor'!$H:$H,0)+31+FLOOR(XLOOKUP($Q483,'Threshold Summary'!$Y:$Y,'Threshold Summary'!$R:$R,"")/4))*XLOOKUP($Q483,'Threshold Summary'!$Y:$Y,'Threshold Summary'!$L:$L,""))/100)+5)*XLOOKUP(XLOOKUP($Q483,'Threshold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Editor'!$E:$E,1))),stab,IF(OR(mtype=XLOOKUP(XLOOKUP($Q483,'Threshold Summary'!$Y:$Y,'Threshold Summary'!$K:$K,""),'Pokemon Editor'!$A:$A,'Pokemon Editor'!$C:$C,""),mtype=XLOOKUP(XLOOKUP($Q483,'Threshold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Chart'!$B$1:$S$1,0)))),base,IF(OR(cat="Status",pow=0),0,FLOOR(FLOOR(FLOOR((2*XLOOKUP($Q483,'Threshold Summary'!$Y:$Y,'Threshold Summary'!$L:$L,"")/5+2)*pow*atk/def)/50)+2)),modifier,stab*eff,AVERAGE(ARRAYFORMULA(FLOOR(base*modifier*SEQUENCE(16,1,85,1)/100)))),0)</f>
        <v/>
      </c>
      <c r="M483" s="3">
        <f>IFERROR(LET(mtype,XLOOKUP($D483,'Move Editor'!$B:$B,'Move Editor'!$C:$C,""),cat,XLOOKUP($D483,'Move Editor'!$B:$B,'Move Editor'!$D:$D,""),pow,XLOOKUP($D483,'Move Editor'!$B:$B,'Move Editor'!$E:$E,0),acc,XLOOKUP($D483,'Move Editor'!$B:$B,'Move Editor'!$F:$F,100),atk,IF(cat="Physical",FLOOR((FLOOR(((2*XLOOKUP(XLOOKUP($Q483,'Threshold Summary'!$Y:$Y,'Threshold Summary'!$K:$K,""),'Pokemon Editor'!$A:$A,'Pokemon Editor'!$F:$F,0)+31+FLOOR(XLOOKUP($Q483,'Threshold Summary'!$Y:$Y,'Threshold Summary'!$P:$P,"")/4))*XLOOKUP($Q483,'Threshold Summary'!$Y:$Y,'Threshold Summary'!$L:$L,""))/100)+5)*XLOOKUP(XLOOKUP($Q483,'Threshold Summary'!$Y:$Y,'Threshold Summary'!$M:$M,""),'Nature Editor'!$A:$A,'Nature Editor'!$B:$B,1)),FLOOR((FLOOR(((2*XLOOKUP(XLOOKUP($Q483,'Threshold Summary'!$Y:$Y,'Threshold Summary'!$K:$K,""),'Pokemon Editor'!$A:$A,'Pokemon Editor'!$H:$H,0)+31+FLOOR(XLOOKUP($Q483,'Threshold Summary'!$Y:$Y,'Threshold Summary'!$R:$R,"")/4))*XLOOKUP($Q483,'Threshold Summary'!$Y:$Y,'Threshold Summary'!$L:$L,""))/100)+5)*XLOOKUP(XLOOKUP($Q483,'Threshold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Editor'!$E:$E,1))),stab,IF(OR(mtype=XLOOKUP(XLOOKUP($Q483,'Threshold Summary'!$Y:$Y,'Threshold Summary'!$K:$K,""),'Pokemon Editor'!$A:$A,'Pokemon Editor'!$C:$C,""),mtype=XLOOKUP(XLOOKUP($Q483,'Threshold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Chart'!$B$1:$S$1,0)))),base,IF(OR(cat="Status",pow=0),0,FLOOR(FLOOR(FLOOR((2*XLOOKUP($Q483,'Threshold Summary'!$Y:$Y,'Threshold Summary'!$L:$L,"")/5+2)*pow*atk/def)/50)+2)),modifier,stab*eff,AVERAGE(ARRAYFORMULA(FLOOR(base*modifier*SEQUENCE(16,1,85,1)/100)))*MIN(1,acc/100)),0)</f>
        <v/>
      </c>
      <c r="N483" s="4">
        <f>IFERROR(LET(mtype,XLOOKUP($D483,'Move Editor'!$B:$B,'Move Editor'!$C:$C,""),cat,XLOOKUP($D483,'Move Editor'!$B:$B,'Move Editor'!$D:$D,""),pow,XLOOKUP($D483,'Move Editor'!$B:$B,'Move Editor'!$E:$E,0),acc,XLOOKUP($D483,'Move Editor'!$B:$B,'Move Editor'!$F:$F,100),atk,IF(cat="Physical",FLOOR((FLOOR(((2*XLOOKUP(XLOOKUP($Q483,'Threshold Summary'!$Y:$Y,'Threshold Summary'!$K:$K,""),'Pokemon Editor'!$A:$A,'Pokemon Editor'!$F:$F,0)+31+FLOOR(XLOOKUP($Q483,'Threshold Summary'!$Y:$Y,'Threshold Summary'!$P:$P,"")/4))*XLOOKUP($Q483,'Threshold Summary'!$Y:$Y,'Threshold Summary'!$L:$L,""))/100)+5)*XLOOKUP(XLOOKUP($Q483,'Threshold Summary'!$Y:$Y,'Threshold Summary'!$M:$M,""),'Nature Editor'!$A:$A,'Nature Editor'!$B:$B,1)),FLOOR((FLOOR(((2*XLOOKUP(XLOOKUP($Q483,'Threshold Summary'!$Y:$Y,'Threshold Summary'!$K:$K,""),'Pokemon Editor'!$A:$A,'Pokemon Editor'!$H:$H,0)+31+FLOOR(XLOOKUP($Q483,'Threshold Summary'!$Y:$Y,'Threshold Summary'!$R:$R,"")/4))*XLOOKUP($Q483,'Threshold Summary'!$Y:$Y,'Threshold Summary'!$L:$L,""))/100)+5)*XLOOKUP(XLOOKUP($Q483,'Threshold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Editor'!$E:$E,1))),stab,IF(OR(mtype=XLOOKUP(XLOOKUP($Q483,'Threshold Summary'!$Y:$Y,'Threshold Summary'!$K:$K,""),'Pokemon Editor'!$A:$A,'Pokemon Editor'!$C:$C,""),mtype=XLOOKUP(XLOOKUP($Q483,'Threshold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Chart'!$B$1:$S$1,0)))),base,IF(OR(cat="Status",pow=0),0,FLOOR(FLOOR(FLOOR((2*XLOOKUP($Q483,'Threshold Summary'!$Y:$Y,'Threshold Summary'!$L:$L,"")/5+2)*pow*atk/def)/50)+2)),modifier,stab*eff,AVERAGE(ARRAYFORMULA(FLOOR(base*modifier*SEQUENCE(16,1,85,1)/100)))/(FLOOR(((2*XLOOKUP('Boss Editor'!$C$4,'Pokemon Editor'!$A:$A,'Pokemon Editor'!$E:$E,0)+31+FLOOR('Boss Editor'!$G$4/4))*'Boss Editor'!$D$4)/100)+'Boss Editor'!$D$4+10)),0)</f>
        <v/>
      </c>
      <c r="O483" s="3">
        <f>IF(N483&gt;=1,"OHKO",IF(N483&gt;=0.5,"2HKO",IF(N483&gt;=0.333,"3HKO",IF(N483&gt;=0.25,"4HKO","5HKO+"))))</f>
        <v/>
      </c>
      <c r="P483" s="3" t="inlineStr">
        <is>
          <t>Live from editable databases</t>
        </is>
      </c>
      <c r="Q483" s="3" t="inlineStr">
        <is>
          <t>SPECIES_VENIPEDE</t>
        </is>
      </c>
      <c r="R483" s="3" t="n">
        <v>2</v>
      </c>
    </row>
    <row r="484">
      <c r="A484" s="3">
        <f>XLOOKUP($Q484,'Threshold Summary'!$Y:$Y,'Threshold Summary'!$A:$A,"")</f>
        <v/>
      </c>
      <c r="B484" s="3">
        <f>XLOOKUP($Q484,'Threshold Summary'!$Y:$Y,'Threshold Summary'!$M:$M,"")</f>
        <v/>
      </c>
      <c r="C484" s="3">
        <f>XLOOKUP($Q484,'Threshold Summary'!$Y:$Y,'Threshold Summary'!$N:$N,"")</f>
        <v/>
      </c>
      <c r="D484" s="3">
        <f>IFERROR(INDEX(FILTER('Learnset Editor'!$D$2:$D,'Learnset Editor'!$A$2:$A=XLOOKUP($Q484,'Threshold Summary'!$Y:$Y,'Threshold Summary'!$K:$K,""),'Learnset Editor'!$C$2:$C&lt;=XLOOKUP($Q484,'Threshold Summary'!$Y:$Y,'Threshold Summary'!$L:$L,"")),$R484),"")</f>
        <v/>
      </c>
      <c r="E484" s="3">
        <f>XLOOKUP(D484,'Move Editor'!$B:$B,'Move Editor'!$C:$C,"")</f>
        <v/>
      </c>
      <c r="F484" s="3">
        <f>XLOOKUP(D484,'Move Editor'!$B:$B,'Move Editor'!$D:$D,"")</f>
        <v/>
      </c>
      <c r="G484" s="3">
        <f>XLOOKUP(D484,'Move Editor'!$B:$B,'Move Editor'!$E:$E,0)</f>
        <v/>
      </c>
      <c r="H484" s="3">
        <f>XLOOKUP(D484,'Move Editor'!$B:$B,'Move Editor'!$F:$F,0)</f>
        <v/>
      </c>
      <c r="I484" s="3">
        <f>(INDEX('Type Chart'!$B:$S,MATCH(E484,'Type Chart'!$A:$A,0),MATCH(XLOOKUP('Boss Editor'!$C$4,'Pokemon Editor'!$A:$A,'Pokemon Editor'!$C:$C,""),'Type Chart'!$B$1:$S$1,0))*IF(XLOOKUP('Boss Editor'!$C$4,'Pokemon Editor'!$A:$A,'Pokemon Editor'!$D:$D,"")="",1,INDEX('Type Chart'!$B:$S,MATCH(E484,'Type Chart'!$A:$A,0),MATCH(XLOOKUP('Boss Editor'!$C$4,'Pokemon Editor'!$A:$A,'Pokemon Editor'!$D:$D,""),'Type Chart'!$B$1:$S$1,0))))</f>
        <v/>
      </c>
      <c r="J484" s="3">
        <f>IFERROR(LET(mtype,XLOOKUP($D484,'Move Editor'!$B:$B,'Move Editor'!$C:$C,""),cat,XLOOKUP($D484,'Move Editor'!$B:$B,'Move Editor'!$D:$D,""),pow,XLOOKUP($D484,'Move Editor'!$B:$B,'Move Editor'!$E:$E,0),acc,XLOOKUP($D484,'Move Editor'!$B:$B,'Move Editor'!$F:$F,100),atk,IF(cat="Physical",FLOOR((FLOOR(((2*XLOOKUP(XLOOKUP($Q484,'Threshold Summary'!$Y:$Y,'Threshold Summary'!$K:$K,""),'Pokemon Editor'!$A:$A,'Pokemon Editor'!$F:$F,0)+31+FLOOR(XLOOKUP($Q484,'Threshold Summary'!$Y:$Y,'Threshold Summary'!$P:$P,"")/4))*XLOOKUP($Q484,'Threshold Summary'!$Y:$Y,'Threshold Summary'!$L:$L,""))/100)+5)*XLOOKUP(XLOOKUP($Q484,'Threshold Summary'!$Y:$Y,'Threshold Summary'!$M:$M,""),'Nature Editor'!$A:$A,'Nature Editor'!$B:$B,1)),FLOOR((FLOOR(((2*XLOOKUP(XLOOKUP($Q484,'Threshold Summary'!$Y:$Y,'Threshold Summary'!$K:$K,""),'Pokemon Editor'!$A:$A,'Pokemon Editor'!$H:$H,0)+31+FLOOR(XLOOKUP($Q484,'Threshold Summary'!$Y:$Y,'Threshold Summary'!$R:$R,"")/4))*XLOOKUP($Q484,'Threshold Summary'!$Y:$Y,'Threshold Summary'!$L:$L,""))/100)+5)*XLOOKUP(XLOOKUP($Q484,'Threshold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Editor'!$E:$E,1))),stab,IF(OR(mtype=XLOOKUP(XLOOKUP($Q484,'Threshold Summary'!$Y:$Y,'Threshold Summary'!$K:$K,""),'Pokemon Editor'!$A:$A,'Pokemon Editor'!$C:$C,""),mtype=XLOOKUP(XLOOKUP($Q484,'Threshold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Chart'!$B$1:$S$1,0)))),base,IF(OR(cat="Status",pow=0),0,FLOOR(FLOOR(FLOOR((2*XLOOKUP($Q484,'Threshold Summary'!$Y:$Y,'Threshold Summary'!$L:$L,"")/5+2)*pow*atk/def)/50)+2)),modifier,stab*eff,FLOOR(base*modifier*0.85)),0)</f>
        <v/>
      </c>
      <c r="K484" s="3">
        <f>IFERROR(LET(mtype,XLOOKUP($D484,'Move Editor'!$B:$B,'Move Editor'!$C:$C,""),cat,XLOOKUP($D484,'Move Editor'!$B:$B,'Move Editor'!$D:$D,""),pow,XLOOKUP($D484,'Move Editor'!$B:$B,'Move Editor'!$E:$E,0),acc,XLOOKUP($D484,'Move Editor'!$B:$B,'Move Editor'!$F:$F,100),atk,IF(cat="Physical",FLOOR((FLOOR(((2*XLOOKUP(XLOOKUP($Q484,'Threshold Summary'!$Y:$Y,'Threshold Summary'!$K:$K,""),'Pokemon Editor'!$A:$A,'Pokemon Editor'!$F:$F,0)+31+FLOOR(XLOOKUP($Q484,'Threshold Summary'!$Y:$Y,'Threshold Summary'!$P:$P,"")/4))*XLOOKUP($Q484,'Threshold Summary'!$Y:$Y,'Threshold Summary'!$L:$L,""))/100)+5)*XLOOKUP(XLOOKUP($Q484,'Threshold Summary'!$Y:$Y,'Threshold Summary'!$M:$M,""),'Nature Editor'!$A:$A,'Nature Editor'!$B:$B,1)),FLOOR((FLOOR(((2*XLOOKUP(XLOOKUP($Q484,'Threshold Summary'!$Y:$Y,'Threshold Summary'!$K:$K,""),'Pokemon Editor'!$A:$A,'Pokemon Editor'!$H:$H,0)+31+FLOOR(XLOOKUP($Q484,'Threshold Summary'!$Y:$Y,'Threshold Summary'!$R:$R,"")/4))*XLOOKUP($Q484,'Threshold Summary'!$Y:$Y,'Threshold Summary'!$L:$L,""))/100)+5)*XLOOKUP(XLOOKUP($Q484,'Threshold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Editor'!$E:$E,1))),stab,IF(OR(mtype=XLOOKUP(XLOOKUP($Q484,'Threshold Summary'!$Y:$Y,'Threshold Summary'!$K:$K,""),'Pokemon Editor'!$A:$A,'Pokemon Editor'!$C:$C,""),mtype=XLOOKUP(XLOOKUP($Q484,'Threshold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Chart'!$B$1:$S$1,0)))),base,IF(OR(cat="Status",pow=0),0,FLOOR(FLOOR(FLOOR((2*XLOOKUP($Q484,'Threshold Summary'!$Y:$Y,'Threshold Summary'!$L:$L,"")/5+2)*pow*atk/def)/50)+2)),modifier,stab*eff,FLOOR(base*modifier)),0)</f>
        <v/>
      </c>
      <c r="L484" s="3">
        <f>IFERROR(LET(mtype,XLOOKUP($D484,'Move Editor'!$B:$B,'Move Editor'!$C:$C,""),cat,XLOOKUP($D484,'Move Editor'!$B:$B,'Move Editor'!$D:$D,""),pow,XLOOKUP($D484,'Move Editor'!$B:$B,'Move Editor'!$E:$E,0),acc,XLOOKUP($D484,'Move Editor'!$B:$B,'Move Editor'!$F:$F,100),atk,IF(cat="Physical",FLOOR((FLOOR(((2*XLOOKUP(XLOOKUP($Q484,'Threshold Summary'!$Y:$Y,'Threshold Summary'!$K:$K,""),'Pokemon Editor'!$A:$A,'Pokemon Editor'!$F:$F,0)+31+FLOOR(XLOOKUP($Q484,'Threshold Summary'!$Y:$Y,'Threshold Summary'!$P:$P,"")/4))*XLOOKUP($Q484,'Threshold Summary'!$Y:$Y,'Threshold Summary'!$L:$L,""))/100)+5)*XLOOKUP(XLOOKUP($Q484,'Threshold Summary'!$Y:$Y,'Threshold Summary'!$M:$M,""),'Nature Editor'!$A:$A,'Nature Editor'!$B:$B,1)),FLOOR((FLOOR(((2*XLOOKUP(XLOOKUP($Q484,'Threshold Summary'!$Y:$Y,'Threshold Summary'!$K:$K,""),'Pokemon Editor'!$A:$A,'Pokemon Editor'!$H:$H,0)+31+FLOOR(XLOOKUP($Q484,'Threshold Summary'!$Y:$Y,'Threshold Summary'!$R:$R,"")/4))*XLOOKUP($Q484,'Threshold Summary'!$Y:$Y,'Threshold Summary'!$L:$L,""))/100)+5)*XLOOKUP(XLOOKUP($Q484,'Threshold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Editor'!$E:$E,1))),stab,IF(OR(mtype=XLOOKUP(XLOOKUP($Q484,'Threshold Summary'!$Y:$Y,'Threshold Summary'!$K:$K,""),'Pokemon Editor'!$A:$A,'Pokemon Editor'!$C:$C,""),mtype=XLOOKUP(XLOOKUP($Q484,'Threshold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Chart'!$B$1:$S$1,0)))),base,IF(OR(cat="Status",pow=0),0,FLOOR(FLOOR(FLOOR((2*XLOOKUP($Q484,'Threshold Summary'!$Y:$Y,'Threshold Summary'!$L:$L,"")/5+2)*pow*atk/def)/50)+2)),modifier,stab*eff,AVERAGE(ARRAYFORMULA(FLOOR(base*modifier*SEQUENCE(16,1,85,1)/100)))),0)</f>
        <v/>
      </c>
      <c r="M484" s="3">
        <f>IFERROR(LET(mtype,XLOOKUP($D484,'Move Editor'!$B:$B,'Move Editor'!$C:$C,""),cat,XLOOKUP($D484,'Move Editor'!$B:$B,'Move Editor'!$D:$D,""),pow,XLOOKUP($D484,'Move Editor'!$B:$B,'Move Editor'!$E:$E,0),acc,XLOOKUP($D484,'Move Editor'!$B:$B,'Move Editor'!$F:$F,100),atk,IF(cat="Physical",FLOOR((FLOOR(((2*XLOOKUP(XLOOKUP($Q484,'Threshold Summary'!$Y:$Y,'Threshold Summary'!$K:$K,""),'Pokemon Editor'!$A:$A,'Pokemon Editor'!$F:$F,0)+31+FLOOR(XLOOKUP($Q484,'Threshold Summary'!$Y:$Y,'Threshold Summary'!$P:$P,"")/4))*XLOOKUP($Q484,'Threshold Summary'!$Y:$Y,'Threshold Summary'!$L:$L,""))/100)+5)*XLOOKUP(XLOOKUP($Q484,'Threshold Summary'!$Y:$Y,'Threshold Summary'!$M:$M,""),'Nature Editor'!$A:$A,'Nature Editor'!$B:$B,1)),FLOOR((FLOOR(((2*XLOOKUP(XLOOKUP($Q484,'Threshold Summary'!$Y:$Y,'Threshold Summary'!$K:$K,""),'Pokemon Editor'!$A:$A,'Pokemon Editor'!$H:$H,0)+31+FLOOR(XLOOKUP($Q484,'Threshold Summary'!$Y:$Y,'Threshold Summary'!$R:$R,"")/4))*XLOOKUP($Q484,'Threshold Summary'!$Y:$Y,'Threshold Summary'!$L:$L,""))/100)+5)*XLOOKUP(XLOOKUP($Q484,'Threshold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Editor'!$E:$E,1))),stab,IF(OR(mtype=XLOOKUP(XLOOKUP($Q484,'Threshold Summary'!$Y:$Y,'Threshold Summary'!$K:$K,""),'Pokemon Editor'!$A:$A,'Pokemon Editor'!$C:$C,""),mtype=XLOOKUP(XLOOKUP($Q484,'Threshold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Chart'!$B$1:$S$1,0)))),base,IF(OR(cat="Status",pow=0),0,FLOOR(FLOOR(FLOOR((2*XLOOKUP($Q484,'Threshold Summary'!$Y:$Y,'Threshold Summary'!$L:$L,"")/5+2)*pow*atk/def)/50)+2)),modifier,stab*eff,AVERAGE(ARRAYFORMULA(FLOOR(base*modifier*SEQUENCE(16,1,85,1)/100)))*MIN(1,acc/100)),0)</f>
        <v/>
      </c>
      <c r="N484" s="4">
        <f>IFERROR(LET(mtype,XLOOKUP($D484,'Move Editor'!$B:$B,'Move Editor'!$C:$C,""),cat,XLOOKUP($D484,'Move Editor'!$B:$B,'Move Editor'!$D:$D,""),pow,XLOOKUP($D484,'Move Editor'!$B:$B,'Move Editor'!$E:$E,0),acc,XLOOKUP($D484,'Move Editor'!$B:$B,'Move Editor'!$F:$F,100),atk,IF(cat="Physical",FLOOR((FLOOR(((2*XLOOKUP(XLOOKUP($Q484,'Threshold Summary'!$Y:$Y,'Threshold Summary'!$K:$K,""),'Pokemon Editor'!$A:$A,'Pokemon Editor'!$F:$F,0)+31+FLOOR(XLOOKUP($Q484,'Threshold Summary'!$Y:$Y,'Threshold Summary'!$P:$P,"")/4))*XLOOKUP($Q484,'Threshold Summary'!$Y:$Y,'Threshold Summary'!$L:$L,""))/100)+5)*XLOOKUP(XLOOKUP($Q484,'Threshold Summary'!$Y:$Y,'Threshold Summary'!$M:$M,""),'Nature Editor'!$A:$A,'Nature Editor'!$B:$B,1)),FLOOR((FLOOR(((2*XLOOKUP(XLOOKUP($Q484,'Threshold Summary'!$Y:$Y,'Threshold Summary'!$K:$K,""),'Pokemon Editor'!$A:$A,'Pokemon Editor'!$H:$H,0)+31+FLOOR(XLOOKUP($Q484,'Threshold Summary'!$Y:$Y,'Threshold Summary'!$R:$R,"")/4))*XLOOKUP($Q484,'Threshold Summary'!$Y:$Y,'Threshold Summary'!$L:$L,""))/100)+5)*XLOOKUP(XLOOKUP($Q484,'Threshold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Editor'!$E:$E,1))),stab,IF(OR(mtype=XLOOKUP(XLOOKUP($Q484,'Threshold Summary'!$Y:$Y,'Threshold Summary'!$K:$K,""),'Pokemon Editor'!$A:$A,'Pokemon Editor'!$C:$C,""),mtype=XLOOKUP(XLOOKUP($Q484,'Threshold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Chart'!$B$1:$S$1,0)))),base,IF(OR(cat="Status",pow=0),0,FLOOR(FLOOR(FLOOR((2*XLOOKUP($Q484,'Threshold Summary'!$Y:$Y,'Threshold Summary'!$L:$L,"")/5+2)*pow*atk/def)/50)+2)),modifier,stab*eff,AVERAGE(ARRAYFORMULA(FLOOR(base*modifier*SEQUENCE(16,1,85,1)/100)))/(FLOOR(((2*XLOOKUP('Boss Editor'!$C$4,'Pokemon Editor'!$A:$A,'Pokemon Editor'!$E:$E,0)+31+FLOOR('Boss Editor'!$G$4/4))*'Boss Editor'!$D$4)/100)+'Boss Editor'!$D$4+10)),0)</f>
        <v/>
      </c>
      <c r="O484" s="3">
        <f>IF(N484&gt;=1,"OHKO",IF(N484&gt;=0.5,"2HKO",IF(N484&gt;=0.333,"3HKO",IF(N484&gt;=0.25,"4HKO","5HKO+"))))</f>
        <v/>
      </c>
      <c r="P484" s="3" t="inlineStr">
        <is>
          <t>Live from editable databases</t>
        </is>
      </c>
      <c r="Q484" s="3" t="inlineStr">
        <is>
          <t>SPECIES_VENIPEDE</t>
        </is>
      </c>
      <c r="R484" s="3" t="n">
        <v>3</v>
      </c>
    </row>
    <row r="485">
      <c r="A485" s="3">
        <f>XLOOKUP($Q485,'Threshold Summary'!$Y:$Y,'Threshold Summary'!$A:$A,"")</f>
        <v/>
      </c>
      <c r="B485" s="3">
        <f>XLOOKUP($Q485,'Threshold Summary'!$Y:$Y,'Threshold Summary'!$M:$M,"")</f>
        <v/>
      </c>
      <c r="C485" s="3">
        <f>XLOOKUP($Q485,'Threshold Summary'!$Y:$Y,'Threshold Summary'!$N:$N,"")</f>
        <v/>
      </c>
      <c r="D485" s="3">
        <f>IFERROR(INDEX(FILTER('Learnset Editor'!$D$2:$D,'Learnset Editor'!$A$2:$A=XLOOKUP($Q485,'Threshold Summary'!$Y:$Y,'Threshold Summary'!$K:$K,""),'Learnset Editor'!$C$2:$C&lt;=XLOOKUP($Q485,'Threshold Summary'!$Y:$Y,'Threshold Summary'!$L:$L,"")),$R485),"")</f>
        <v/>
      </c>
      <c r="E485" s="3">
        <f>XLOOKUP(D485,'Move Editor'!$B:$B,'Move Editor'!$C:$C,"")</f>
        <v/>
      </c>
      <c r="F485" s="3">
        <f>XLOOKUP(D485,'Move Editor'!$B:$B,'Move Editor'!$D:$D,"")</f>
        <v/>
      </c>
      <c r="G485" s="3">
        <f>XLOOKUP(D485,'Move Editor'!$B:$B,'Move Editor'!$E:$E,0)</f>
        <v/>
      </c>
      <c r="H485" s="3">
        <f>XLOOKUP(D485,'Move Editor'!$B:$B,'Move Editor'!$F:$F,0)</f>
        <v/>
      </c>
      <c r="I485" s="3">
        <f>(INDEX('Type Chart'!$B:$S,MATCH(E485,'Type Chart'!$A:$A,0),MATCH(XLOOKUP('Boss Editor'!$C$4,'Pokemon Editor'!$A:$A,'Pokemon Editor'!$C:$C,""),'Type Chart'!$B$1:$S$1,0))*IF(XLOOKUP('Boss Editor'!$C$4,'Pokemon Editor'!$A:$A,'Pokemon Editor'!$D:$D,"")="",1,INDEX('Type Chart'!$B:$S,MATCH(E485,'Type Chart'!$A:$A,0),MATCH(XLOOKUP('Boss Editor'!$C$4,'Pokemon Editor'!$A:$A,'Pokemon Editor'!$D:$D,""),'Type Chart'!$B$1:$S$1,0))))</f>
        <v/>
      </c>
      <c r="J485" s="3">
        <f>IFERROR(LET(mtype,XLOOKUP($D485,'Move Editor'!$B:$B,'Move Editor'!$C:$C,""),cat,XLOOKUP($D485,'Move Editor'!$B:$B,'Move Editor'!$D:$D,""),pow,XLOOKUP($D485,'Move Editor'!$B:$B,'Move Editor'!$E:$E,0),acc,XLOOKUP($D485,'Move Editor'!$B:$B,'Move Editor'!$F:$F,100),atk,IF(cat="Physical",FLOOR((FLOOR(((2*XLOOKUP(XLOOKUP($Q485,'Threshold Summary'!$Y:$Y,'Threshold Summary'!$K:$K,""),'Pokemon Editor'!$A:$A,'Pokemon Editor'!$F:$F,0)+31+FLOOR(XLOOKUP($Q485,'Threshold Summary'!$Y:$Y,'Threshold Summary'!$P:$P,"")/4))*XLOOKUP($Q485,'Threshold Summary'!$Y:$Y,'Threshold Summary'!$L:$L,""))/100)+5)*XLOOKUP(XLOOKUP($Q485,'Threshold Summary'!$Y:$Y,'Threshold Summary'!$M:$M,""),'Nature Editor'!$A:$A,'Nature Editor'!$B:$B,1)),FLOOR((FLOOR(((2*XLOOKUP(XLOOKUP($Q485,'Threshold Summary'!$Y:$Y,'Threshold Summary'!$K:$K,""),'Pokemon Editor'!$A:$A,'Pokemon Editor'!$H:$H,0)+31+FLOOR(XLOOKUP($Q485,'Threshold Summary'!$Y:$Y,'Threshold Summary'!$R:$R,"")/4))*XLOOKUP($Q485,'Threshold Summary'!$Y:$Y,'Threshold Summary'!$L:$L,""))/100)+5)*XLOOKUP(XLOOKUP($Q485,'Threshold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Editor'!$E:$E,1))),stab,IF(OR(mtype=XLOOKUP(XLOOKUP($Q485,'Threshold Summary'!$Y:$Y,'Threshold Summary'!$K:$K,""),'Pokemon Editor'!$A:$A,'Pokemon Editor'!$C:$C,""),mtype=XLOOKUP(XLOOKUP($Q485,'Threshold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Chart'!$B$1:$S$1,0)))),base,IF(OR(cat="Status",pow=0),0,FLOOR(FLOOR(FLOOR((2*XLOOKUP($Q485,'Threshold Summary'!$Y:$Y,'Threshold Summary'!$L:$L,"")/5+2)*pow*atk/def)/50)+2)),modifier,stab*eff,FLOOR(base*modifier*0.85)),0)</f>
        <v/>
      </c>
      <c r="K485" s="3">
        <f>IFERROR(LET(mtype,XLOOKUP($D485,'Move Editor'!$B:$B,'Move Editor'!$C:$C,""),cat,XLOOKUP($D485,'Move Editor'!$B:$B,'Move Editor'!$D:$D,""),pow,XLOOKUP($D485,'Move Editor'!$B:$B,'Move Editor'!$E:$E,0),acc,XLOOKUP($D485,'Move Editor'!$B:$B,'Move Editor'!$F:$F,100),atk,IF(cat="Physical",FLOOR((FLOOR(((2*XLOOKUP(XLOOKUP($Q485,'Threshold Summary'!$Y:$Y,'Threshold Summary'!$K:$K,""),'Pokemon Editor'!$A:$A,'Pokemon Editor'!$F:$F,0)+31+FLOOR(XLOOKUP($Q485,'Threshold Summary'!$Y:$Y,'Threshold Summary'!$P:$P,"")/4))*XLOOKUP($Q485,'Threshold Summary'!$Y:$Y,'Threshold Summary'!$L:$L,""))/100)+5)*XLOOKUP(XLOOKUP($Q485,'Threshold Summary'!$Y:$Y,'Threshold Summary'!$M:$M,""),'Nature Editor'!$A:$A,'Nature Editor'!$B:$B,1)),FLOOR((FLOOR(((2*XLOOKUP(XLOOKUP($Q485,'Threshold Summary'!$Y:$Y,'Threshold Summary'!$K:$K,""),'Pokemon Editor'!$A:$A,'Pokemon Editor'!$H:$H,0)+31+FLOOR(XLOOKUP($Q485,'Threshold Summary'!$Y:$Y,'Threshold Summary'!$R:$R,"")/4))*XLOOKUP($Q485,'Threshold Summary'!$Y:$Y,'Threshold Summary'!$L:$L,""))/100)+5)*XLOOKUP(XLOOKUP($Q485,'Threshold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Editor'!$E:$E,1))),stab,IF(OR(mtype=XLOOKUP(XLOOKUP($Q485,'Threshold Summary'!$Y:$Y,'Threshold Summary'!$K:$K,""),'Pokemon Editor'!$A:$A,'Pokemon Editor'!$C:$C,""),mtype=XLOOKUP(XLOOKUP($Q485,'Threshold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Chart'!$B$1:$S$1,0)))),base,IF(OR(cat="Status",pow=0),0,FLOOR(FLOOR(FLOOR((2*XLOOKUP($Q485,'Threshold Summary'!$Y:$Y,'Threshold Summary'!$L:$L,"")/5+2)*pow*atk/def)/50)+2)),modifier,stab*eff,FLOOR(base*modifier)),0)</f>
        <v/>
      </c>
      <c r="L485" s="3">
        <f>IFERROR(LET(mtype,XLOOKUP($D485,'Move Editor'!$B:$B,'Move Editor'!$C:$C,""),cat,XLOOKUP($D485,'Move Editor'!$B:$B,'Move Editor'!$D:$D,""),pow,XLOOKUP($D485,'Move Editor'!$B:$B,'Move Editor'!$E:$E,0),acc,XLOOKUP($D485,'Move Editor'!$B:$B,'Move Editor'!$F:$F,100),atk,IF(cat="Physical",FLOOR((FLOOR(((2*XLOOKUP(XLOOKUP($Q485,'Threshold Summary'!$Y:$Y,'Threshold Summary'!$K:$K,""),'Pokemon Editor'!$A:$A,'Pokemon Editor'!$F:$F,0)+31+FLOOR(XLOOKUP($Q485,'Threshold Summary'!$Y:$Y,'Threshold Summary'!$P:$P,"")/4))*XLOOKUP($Q485,'Threshold Summary'!$Y:$Y,'Threshold Summary'!$L:$L,""))/100)+5)*XLOOKUP(XLOOKUP($Q485,'Threshold Summary'!$Y:$Y,'Threshold Summary'!$M:$M,""),'Nature Editor'!$A:$A,'Nature Editor'!$B:$B,1)),FLOOR((FLOOR(((2*XLOOKUP(XLOOKUP($Q485,'Threshold Summary'!$Y:$Y,'Threshold Summary'!$K:$K,""),'Pokemon Editor'!$A:$A,'Pokemon Editor'!$H:$H,0)+31+FLOOR(XLOOKUP($Q485,'Threshold Summary'!$Y:$Y,'Threshold Summary'!$R:$R,"")/4))*XLOOKUP($Q485,'Threshold Summary'!$Y:$Y,'Threshold Summary'!$L:$L,""))/100)+5)*XLOOKUP(XLOOKUP($Q485,'Threshold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Editor'!$E:$E,1))),stab,IF(OR(mtype=XLOOKUP(XLOOKUP($Q485,'Threshold Summary'!$Y:$Y,'Threshold Summary'!$K:$K,""),'Pokemon Editor'!$A:$A,'Pokemon Editor'!$C:$C,""),mtype=XLOOKUP(XLOOKUP($Q485,'Threshold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Chart'!$B$1:$S$1,0)))),base,IF(OR(cat="Status",pow=0),0,FLOOR(FLOOR(FLOOR((2*XLOOKUP($Q485,'Threshold Summary'!$Y:$Y,'Threshold Summary'!$L:$L,"")/5+2)*pow*atk/def)/50)+2)),modifier,stab*eff,AVERAGE(ARRAYFORMULA(FLOOR(base*modifier*SEQUENCE(16,1,85,1)/100)))),0)</f>
        <v/>
      </c>
      <c r="M485" s="3">
        <f>IFERROR(LET(mtype,XLOOKUP($D485,'Move Editor'!$B:$B,'Move Editor'!$C:$C,""),cat,XLOOKUP($D485,'Move Editor'!$B:$B,'Move Editor'!$D:$D,""),pow,XLOOKUP($D485,'Move Editor'!$B:$B,'Move Editor'!$E:$E,0),acc,XLOOKUP($D485,'Move Editor'!$B:$B,'Move Editor'!$F:$F,100),atk,IF(cat="Physical",FLOOR((FLOOR(((2*XLOOKUP(XLOOKUP($Q485,'Threshold Summary'!$Y:$Y,'Threshold Summary'!$K:$K,""),'Pokemon Editor'!$A:$A,'Pokemon Editor'!$F:$F,0)+31+FLOOR(XLOOKUP($Q485,'Threshold Summary'!$Y:$Y,'Threshold Summary'!$P:$P,"")/4))*XLOOKUP($Q485,'Threshold Summary'!$Y:$Y,'Threshold Summary'!$L:$L,""))/100)+5)*XLOOKUP(XLOOKUP($Q485,'Threshold Summary'!$Y:$Y,'Threshold Summary'!$M:$M,""),'Nature Editor'!$A:$A,'Nature Editor'!$B:$B,1)),FLOOR((FLOOR(((2*XLOOKUP(XLOOKUP($Q485,'Threshold Summary'!$Y:$Y,'Threshold Summary'!$K:$K,""),'Pokemon Editor'!$A:$A,'Pokemon Editor'!$H:$H,0)+31+FLOOR(XLOOKUP($Q485,'Threshold Summary'!$Y:$Y,'Threshold Summary'!$R:$R,"")/4))*XLOOKUP($Q485,'Threshold Summary'!$Y:$Y,'Threshold Summary'!$L:$L,""))/100)+5)*XLOOKUP(XLOOKUP($Q485,'Threshold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Editor'!$E:$E,1))),stab,IF(OR(mtype=XLOOKUP(XLOOKUP($Q485,'Threshold Summary'!$Y:$Y,'Threshold Summary'!$K:$K,""),'Pokemon Editor'!$A:$A,'Pokemon Editor'!$C:$C,""),mtype=XLOOKUP(XLOOKUP($Q485,'Threshold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Chart'!$B$1:$S$1,0)))),base,IF(OR(cat="Status",pow=0),0,FLOOR(FLOOR(FLOOR((2*XLOOKUP($Q485,'Threshold Summary'!$Y:$Y,'Threshold Summary'!$L:$L,"")/5+2)*pow*atk/def)/50)+2)),modifier,stab*eff,AVERAGE(ARRAYFORMULA(FLOOR(base*modifier*SEQUENCE(16,1,85,1)/100)))*MIN(1,acc/100)),0)</f>
        <v/>
      </c>
      <c r="N485" s="4">
        <f>IFERROR(LET(mtype,XLOOKUP($D485,'Move Editor'!$B:$B,'Move Editor'!$C:$C,""),cat,XLOOKUP($D485,'Move Editor'!$B:$B,'Move Editor'!$D:$D,""),pow,XLOOKUP($D485,'Move Editor'!$B:$B,'Move Editor'!$E:$E,0),acc,XLOOKUP($D485,'Move Editor'!$B:$B,'Move Editor'!$F:$F,100),atk,IF(cat="Physical",FLOOR((FLOOR(((2*XLOOKUP(XLOOKUP($Q485,'Threshold Summary'!$Y:$Y,'Threshold Summary'!$K:$K,""),'Pokemon Editor'!$A:$A,'Pokemon Editor'!$F:$F,0)+31+FLOOR(XLOOKUP($Q485,'Threshold Summary'!$Y:$Y,'Threshold Summary'!$P:$P,"")/4))*XLOOKUP($Q485,'Threshold Summary'!$Y:$Y,'Threshold Summary'!$L:$L,""))/100)+5)*XLOOKUP(XLOOKUP($Q485,'Threshold Summary'!$Y:$Y,'Threshold Summary'!$M:$M,""),'Nature Editor'!$A:$A,'Nature Editor'!$B:$B,1)),FLOOR((FLOOR(((2*XLOOKUP(XLOOKUP($Q485,'Threshold Summary'!$Y:$Y,'Threshold Summary'!$K:$K,""),'Pokemon Editor'!$A:$A,'Pokemon Editor'!$H:$H,0)+31+FLOOR(XLOOKUP($Q485,'Threshold Summary'!$Y:$Y,'Threshold Summary'!$R:$R,"")/4))*XLOOKUP($Q485,'Threshold Summary'!$Y:$Y,'Threshold Summary'!$L:$L,""))/100)+5)*XLOOKUP(XLOOKUP($Q485,'Threshold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Editor'!$E:$E,1))),stab,IF(OR(mtype=XLOOKUP(XLOOKUP($Q485,'Threshold Summary'!$Y:$Y,'Threshold Summary'!$K:$K,""),'Pokemon Editor'!$A:$A,'Pokemon Editor'!$C:$C,""),mtype=XLOOKUP(XLOOKUP($Q485,'Threshold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Chart'!$B$1:$S$1,0)))),base,IF(OR(cat="Status",pow=0),0,FLOOR(FLOOR(FLOOR((2*XLOOKUP($Q485,'Threshold Summary'!$Y:$Y,'Threshold Summary'!$L:$L,"")/5+2)*pow*atk/def)/50)+2)),modifier,stab*eff,AVERAGE(ARRAYFORMULA(FLOOR(base*modifier*SEQUENCE(16,1,85,1)/100)))/(FLOOR(((2*XLOOKUP('Boss Editor'!$C$4,'Pokemon Editor'!$A:$A,'Pokemon Editor'!$E:$E,0)+31+FLOOR('Boss Editor'!$G$4/4))*'Boss Editor'!$D$4)/100)+'Boss Editor'!$D$4+10)),0)</f>
        <v/>
      </c>
      <c r="O485" s="3">
        <f>IF(N485&gt;=1,"OHKO",IF(N485&gt;=0.5,"2HKO",IF(N485&gt;=0.333,"3HKO",IF(N485&gt;=0.25,"4HKO","5HKO+"))))</f>
        <v/>
      </c>
      <c r="P485" s="3" t="inlineStr">
        <is>
          <t>Live from editable databases</t>
        </is>
      </c>
      <c r="Q485" s="3" t="inlineStr">
        <is>
          <t>SPECIES_VENIPEDE</t>
        </is>
      </c>
      <c r="R485" s="3" t="n">
        <v>4</v>
      </c>
    </row>
    <row r="486">
      <c r="A486" s="3">
        <f>XLOOKUP($Q486,'Threshold Summary'!$Y:$Y,'Threshold Summary'!$A:$A,"")</f>
        <v/>
      </c>
      <c r="B486" s="3">
        <f>XLOOKUP($Q486,'Threshold Summary'!$Y:$Y,'Threshold Summary'!$M:$M,"")</f>
        <v/>
      </c>
      <c r="C486" s="3">
        <f>XLOOKUP($Q486,'Threshold Summary'!$Y:$Y,'Threshold Summary'!$N:$N,"")</f>
        <v/>
      </c>
      <c r="D486" s="3">
        <f>IFERROR(INDEX(FILTER('Learnset Editor'!$D$2:$D,'Learnset Editor'!$A$2:$A=XLOOKUP($Q486,'Threshold Summary'!$Y:$Y,'Threshold Summary'!$K:$K,""),'Learnset Editor'!$C$2:$C&lt;=XLOOKUP($Q486,'Threshold Summary'!$Y:$Y,'Threshold Summary'!$L:$L,"")),$R486),"")</f>
        <v/>
      </c>
      <c r="E486" s="3">
        <f>XLOOKUP(D486,'Move Editor'!$B:$B,'Move Editor'!$C:$C,"")</f>
        <v/>
      </c>
      <c r="F486" s="3">
        <f>XLOOKUP(D486,'Move Editor'!$B:$B,'Move Editor'!$D:$D,"")</f>
        <v/>
      </c>
      <c r="G486" s="3">
        <f>XLOOKUP(D486,'Move Editor'!$B:$B,'Move Editor'!$E:$E,0)</f>
        <v/>
      </c>
      <c r="H486" s="3">
        <f>XLOOKUP(D486,'Move Editor'!$B:$B,'Move Editor'!$F:$F,0)</f>
        <v/>
      </c>
      <c r="I486" s="3">
        <f>(INDEX('Type Chart'!$B:$S,MATCH(E486,'Type Chart'!$A:$A,0),MATCH(XLOOKUP('Boss Editor'!$C$4,'Pokemon Editor'!$A:$A,'Pokemon Editor'!$C:$C,""),'Type Chart'!$B$1:$S$1,0))*IF(XLOOKUP('Boss Editor'!$C$4,'Pokemon Editor'!$A:$A,'Pokemon Editor'!$D:$D,"")="",1,INDEX('Type Chart'!$B:$S,MATCH(E486,'Type Chart'!$A:$A,0),MATCH(XLOOKUP('Boss Editor'!$C$4,'Pokemon Editor'!$A:$A,'Pokemon Editor'!$D:$D,""),'Type Chart'!$B$1:$S$1,0))))</f>
        <v/>
      </c>
      <c r="J486" s="3">
        <f>IFERROR(LET(mtype,XLOOKUP($D486,'Move Editor'!$B:$B,'Move Editor'!$C:$C,""),cat,XLOOKUP($D486,'Move Editor'!$B:$B,'Move Editor'!$D:$D,""),pow,XLOOKUP($D486,'Move Editor'!$B:$B,'Move Editor'!$E:$E,0),acc,XLOOKUP($D486,'Move Editor'!$B:$B,'Move Editor'!$F:$F,100),atk,IF(cat="Physical",FLOOR((FLOOR(((2*XLOOKUP(XLOOKUP($Q486,'Threshold Summary'!$Y:$Y,'Threshold Summary'!$K:$K,""),'Pokemon Editor'!$A:$A,'Pokemon Editor'!$F:$F,0)+31+FLOOR(XLOOKUP($Q486,'Threshold Summary'!$Y:$Y,'Threshold Summary'!$P:$P,"")/4))*XLOOKUP($Q486,'Threshold Summary'!$Y:$Y,'Threshold Summary'!$L:$L,""))/100)+5)*XLOOKUP(XLOOKUP($Q486,'Threshold Summary'!$Y:$Y,'Threshold Summary'!$M:$M,""),'Nature Editor'!$A:$A,'Nature Editor'!$B:$B,1)),FLOOR((FLOOR(((2*XLOOKUP(XLOOKUP($Q486,'Threshold Summary'!$Y:$Y,'Threshold Summary'!$K:$K,""),'Pokemon Editor'!$A:$A,'Pokemon Editor'!$H:$H,0)+31+FLOOR(XLOOKUP($Q486,'Threshold Summary'!$Y:$Y,'Threshold Summary'!$R:$R,"")/4))*XLOOKUP($Q486,'Threshold Summary'!$Y:$Y,'Threshold Summary'!$L:$L,""))/100)+5)*XLOOKUP(XLOOKUP($Q486,'Threshold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Editor'!$E:$E,1))),stab,IF(OR(mtype=XLOOKUP(XLOOKUP($Q486,'Threshold Summary'!$Y:$Y,'Threshold Summary'!$K:$K,""),'Pokemon Editor'!$A:$A,'Pokemon Editor'!$C:$C,""),mtype=XLOOKUP(XLOOKUP($Q486,'Threshold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Chart'!$B$1:$S$1,0)))),base,IF(OR(cat="Status",pow=0),0,FLOOR(FLOOR(FLOOR((2*XLOOKUP($Q486,'Threshold Summary'!$Y:$Y,'Threshold Summary'!$L:$L,"")/5+2)*pow*atk/def)/50)+2)),modifier,stab*eff,FLOOR(base*modifier*0.85)),0)</f>
        <v/>
      </c>
      <c r="K486" s="3">
        <f>IFERROR(LET(mtype,XLOOKUP($D486,'Move Editor'!$B:$B,'Move Editor'!$C:$C,""),cat,XLOOKUP($D486,'Move Editor'!$B:$B,'Move Editor'!$D:$D,""),pow,XLOOKUP($D486,'Move Editor'!$B:$B,'Move Editor'!$E:$E,0),acc,XLOOKUP($D486,'Move Editor'!$B:$B,'Move Editor'!$F:$F,100),atk,IF(cat="Physical",FLOOR((FLOOR(((2*XLOOKUP(XLOOKUP($Q486,'Threshold Summary'!$Y:$Y,'Threshold Summary'!$K:$K,""),'Pokemon Editor'!$A:$A,'Pokemon Editor'!$F:$F,0)+31+FLOOR(XLOOKUP($Q486,'Threshold Summary'!$Y:$Y,'Threshold Summary'!$P:$P,"")/4))*XLOOKUP($Q486,'Threshold Summary'!$Y:$Y,'Threshold Summary'!$L:$L,""))/100)+5)*XLOOKUP(XLOOKUP($Q486,'Threshold Summary'!$Y:$Y,'Threshold Summary'!$M:$M,""),'Nature Editor'!$A:$A,'Nature Editor'!$B:$B,1)),FLOOR((FLOOR(((2*XLOOKUP(XLOOKUP($Q486,'Threshold Summary'!$Y:$Y,'Threshold Summary'!$K:$K,""),'Pokemon Editor'!$A:$A,'Pokemon Editor'!$H:$H,0)+31+FLOOR(XLOOKUP($Q486,'Threshold Summary'!$Y:$Y,'Threshold Summary'!$R:$R,"")/4))*XLOOKUP($Q486,'Threshold Summary'!$Y:$Y,'Threshold Summary'!$L:$L,""))/100)+5)*XLOOKUP(XLOOKUP($Q486,'Threshold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Editor'!$E:$E,1))),stab,IF(OR(mtype=XLOOKUP(XLOOKUP($Q486,'Threshold Summary'!$Y:$Y,'Threshold Summary'!$K:$K,""),'Pokemon Editor'!$A:$A,'Pokemon Editor'!$C:$C,""),mtype=XLOOKUP(XLOOKUP($Q486,'Threshold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Chart'!$B$1:$S$1,0)))),base,IF(OR(cat="Status",pow=0),0,FLOOR(FLOOR(FLOOR((2*XLOOKUP($Q486,'Threshold Summary'!$Y:$Y,'Threshold Summary'!$L:$L,"")/5+2)*pow*atk/def)/50)+2)),modifier,stab*eff,FLOOR(base*modifier)),0)</f>
        <v/>
      </c>
      <c r="L486" s="3">
        <f>IFERROR(LET(mtype,XLOOKUP($D486,'Move Editor'!$B:$B,'Move Editor'!$C:$C,""),cat,XLOOKUP($D486,'Move Editor'!$B:$B,'Move Editor'!$D:$D,""),pow,XLOOKUP($D486,'Move Editor'!$B:$B,'Move Editor'!$E:$E,0),acc,XLOOKUP($D486,'Move Editor'!$B:$B,'Move Editor'!$F:$F,100),atk,IF(cat="Physical",FLOOR((FLOOR(((2*XLOOKUP(XLOOKUP($Q486,'Threshold Summary'!$Y:$Y,'Threshold Summary'!$K:$K,""),'Pokemon Editor'!$A:$A,'Pokemon Editor'!$F:$F,0)+31+FLOOR(XLOOKUP($Q486,'Threshold Summary'!$Y:$Y,'Threshold Summary'!$P:$P,"")/4))*XLOOKUP($Q486,'Threshold Summary'!$Y:$Y,'Threshold Summary'!$L:$L,""))/100)+5)*XLOOKUP(XLOOKUP($Q486,'Threshold Summary'!$Y:$Y,'Threshold Summary'!$M:$M,""),'Nature Editor'!$A:$A,'Nature Editor'!$B:$B,1)),FLOOR((FLOOR(((2*XLOOKUP(XLOOKUP($Q486,'Threshold Summary'!$Y:$Y,'Threshold Summary'!$K:$K,""),'Pokemon Editor'!$A:$A,'Pokemon Editor'!$H:$H,0)+31+FLOOR(XLOOKUP($Q486,'Threshold Summary'!$Y:$Y,'Threshold Summary'!$R:$R,"")/4))*XLOOKUP($Q486,'Threshold Summary'!$Y:$Y,'Threshold Summary'!$L:$L,""))/100)+5)*XLOOKUP(XLOOKUP($Q486,'Threshold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Editor'!$E:$E,1))),stab,IF(OR(mtype=XLOOKUP(XLOOKUP($Q486,'Threshold Summary'!$Y:$Y,'Threshold Summary'!$K:$K,""),'Pokemon Editor'!$A:$A,'Pokemon Editor'!$C:$C,""),mtype=XLOOKUP(XLOOKUP($Q486,'Threshold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Chart'!$B$1:$S$1,0)))),base,IF(OR(cat="Status",pow=0),0,FLOOR(FLOOR(FLOOR((2*XLOOKUP($Q486,'Threshold Summary'!$Y:$Y,'Threshold Summary'!$L:$L,"")/5+2)*pow*atk/def)/50)+2)),modifier,stab*eff,AVERAGE(ARRAYFORMULA(FLOOR(base*modifier*SEQUENCE(16,1,85,1)/100)))),0)</f>
        <v/>
      </c>
      <c r="M486" s="3">
        <f>IFERROR(LET(mtype,XLOOKUP($D486,'Move Editor'!$B:$B,'Move Editor'!$C:$C,""),cat,XLOOKUP($D486,'Move Editor'!$B:$B,'Move Editor'!$D:$D,""),pow,XLOOKUP($D486,'Move Editor'!$B:$B,'Move Editor'!$E:$E,0),acc,XLOOKUP($D486,'Move Editor'!$B:$B,'Move Editor'!$F:$F,100),atk,IF(cat="Physical",FLOOR((FLOOR(((2*XLOOKUP(XLOOKUP($Q486,'Threshold Summary'!$Y:$Y,'Threshold Summary'!$K:$K,""),'Pokemon Editor'!$A:$A,'Pokemon Editor'!$F:$F,0)+31+FLOOR(XLOOKUP($Q486,'Threshold Summary'!$Y:$Y,'Threshold Summary'!$P:$P,"")/4))*XLOOKUP($Q486,'Threshold Summary'!$Y:$Y,'Threshold Summary'!$L:$L,""))/100)+5)*XLOOKUP(XLOOKUP($Q486,'Threshold Summary'!$Y:$Y,'Threshold Summary'!$M:$M,""),'Nature Editor'!$A:$A,'Nature Editor'!$B:$B,1)),FLOOR((FLOOR(((2*XLOOKUP(XLOOKUP($Q486,'Threshold Summary'!$Y:$Y,'Threshold Summary'!$K:$K,""),'Pokemon Editor'!$A:$A,'Pokemon Editor'!$H:$H,0)+31+FLOOR(XLOOKUP($Q486,'Threshold Summary'!$Y:$Y,'Threshold Summary'!$R:$R,"")/4))*XLOOKUP($Q486,'Threshold Summary'!$Y:$Y,'Threshold Summary'!$L:$L,""))/100)+5)*XLOOKUP(XLOOKUP($Q486,'Threshold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Editor'!$E:$E,1))),stab,IF(OR(mtype=XLOOKUP(XLOOKUP($Q486,'Threshold Summary'!$Y:$Y,'Threshold Summary'!$K:$K,""),'Pokemon Editor'!$A:$A,'Pokemon Editor'!$C:$C,""),mtype=XLOOKUP(XLOOKUP($Q486,'Threshold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Chart'!$B$1:$S$1,0)))),base,IF(OR(cat="Status",pow=0),0,FLOOR(FLOOR(FLOOR((2*XLOOKUP($Q486,'Threshold Summary'!$Y:$Y,'Threshold Summary'!$L:$L,"")/5+2)*pow*atk/def)/50)+2)),modifier,stab*eff,AVERAGE(ARRAYFORMULA(FLOOR(base*modifier*SEQUENCE(16,1,85,1)/100)))*MIN(1,acc/100)),0)</f>
        <v/>
      </c>
      <c r="N486" s="4">
        <f>IFERROR(LET(mtype,XLOOKUP($D486,'Move Editor'!$B:$B,'Move Editor'!$C:$C,""),cat,XLOOKUP($D486,'Move Editor'!$B:$B,'Move Editor'!$D:$D,""),pow,XLOOKUP($D486,'Move Editor'!$B:$B,'Move Editor'!$E:$E,0),acc,XLOOKUP($D486,'Move Editor'!$B:$B,'Move Editor'!$F:$F,100),atk,IF(cat="Physical",FLOOR((FLOOR(((2*XLOOKUP(XLOOKUP($Q486,'Threshold Summary'!$Y:$Y,'Threshold Summary'!$K:$K,""),'Pokemon Editor'!$A:$A,'Pokemon Editor'!$F:$F,0)+31+FLOOR(XLOOKUP($Q486,'Threshold Summary'!$Y:$Y,'Threshold Summary'!$P:$P,"")/4))*XLOOKUP($Q486,'Threshold Summary'!$Y:$Y,'Threshold Summary'!$L:$L,""))/100)+5)*XLOOKUP(XLOOKUP($Q486,'Threshold Summary'!$Y:$Y,'Threshold Summary'!$M:$M,""),'Nature Editor'!$A:$A,'Nature Editor'!$B:$B,1)),FLOOR((FLOOR(((2*XLOOKUP(XLOOKUP($Q486,'Threshold Summary'!$Y:$Y,'Threshold Summary'!$K:$K,""),'Pokemon Editor'!$A:$A,'Pokemon Editor'!$H:$H,0)+31+FLOOR(XLOOKUP($Q486,'Threshold Summary'!$Y:$Y,'Threshold Summary'!$R:$R,"")/4))*XLOOKUP($Q486,'Threshold Summary'!$Y:$Y,'Threshold Summary'!$L:$L,""))/100)+5)*XLOOKUP(XLOOKUP($Q486,'Threshold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Editor'!$E:$E,1))),stab,IF(OR(mtype=XLOOKUP(XLOOKUP($Q486,'Threshold Summary'!$Y:$Y,'Threshold Summary'!$K:$K,""),'Pokemon Editor'!$A:$A,'Pokemon Editor'!$C:$C,""),mtype=XLOOKUP(XLOOKUP($Q486,'Threshold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Chart'!$B$1:$S$1,0)))),base,IF(OR(cat="Status",pow=0),0,FLOOR(FLOOR(FLOOR((2*XLOOKUP($Q486,'Threshold Summary'!$Y:$Y,'Threshold Summary'!$L:$L,"")/5+2)*pow*atk/def)/50)+2)),modifier,stab*eff,AVERAGE(ARRAYFORMULA(FLOOR(base*modifier*SEQUENCE(16,1,85,1)/100)))/(FLOOR(((2*XLOOKUP('Boss Editor'!$C$4,'Pokemon Editor'!$A:$A,'Pokemon Editor'!$E:$E,0)+31+FLOOR('Boss Editor'!$G$4/4))*'Boss Editor'!$D$4)/100)+'Boss Editor'!$D$4+10)),0)</f>
        <v/>
      </c>
      <c r="O486" s="3">
        <f>IF(N486&gt;=1,"OHKO",IF(N486&gt;=0.5,"2HKO",IF(N486&gt;=0.333,"3HKO",IF(N486&gt;=0.25,"4HKO","5HKO+"))))</f>
        <v/>
      </c>
      <c r="P486" s="3" t="inlineStr">
        <is>
          <t>Live from editable databases</t>
        </is>
      </c>
      <c r="Q486" s="3" t="inlineStr">
        <is>
          <t>SPECIES_VENIPEDE</t>
        </is>
      </c>
      <c r="R486" s="3" t="n">
        <v>5</v>
      </c>
    </row>
    <row r="487">
      <c r="A487" s="3">
        <f>XLOOKUP($Q487,'Threshold Summary'!$Y:$Y,'Threshold Summary'!$A:$A,"")</f>
        <v/>
      </c>
      <c r="B487" s="3">
        <f>XLOOKUP($Q487,'Threshold Summary'!$Y:$Y,'Threshold Summary'!$M:$M,"")</f>
        <v/>
      </c>
      <c r="C487" s="3">
        <f>XLOOKUP($Q487,'Threshold Summary'!$Y:$Y,'Threshold Summary'!$N:$N,"")</f>
        <v/>
      </c>
      <c r="D487" s="3">
        <f>IFERROR(INDEX(FILTER('Learnset Editor'!$D$2:$D,'Learnset Editor'!$A$2:$A=XLOOKUP($Q487,'Threshold Summary'!$Y:$Y,'Threshold Summary'!$K:$K,""),'Learnset Editor'!$C$2:$C&lt;=XLOOKUP($Q487,'Threshold Summary'!$Y:$Y,'Threshold Summary'!$L:$L,"")),$R487),"")</f>
        <v/>
      </c>
      <c r="E487" s="3">
        <f>XLOOKUP(D487,'Move Editor'!$B:$B,'Move Editor'!$C:$C,"")</f>
        <v/>
      </c>
      <c r="F487" s="3">
        <f>XLOOKUP(D487,'Move Editor'!$B:$B,'Move Editor'!$D:$D,"")</f>
        <v/>
      </c>
      <c r="G487" s="3">
        <f>XLOOKUP(D487,'Move Editor'!$B:$B,'Move Editor'!$E:$E,0)</f>
        <v/>
      </c>
      <c r="H487" s="3">
        <f>XLOOKUP(D487,'Move Editor'!$B:$B,'Move Editor'!$F:$F,0)</f>
        <v/>
      </c>
      <c r="I487" s="3">
        <f>(INDEX('Type Chart'!$B:$S,MATCH(E487,'Type Chart'!$A:$A,0),MATCH(XLOOKUP('Boss Editor'!$C$4,'Pokemon Editor'!$A:$A,'Pokemon Editor'!$C:$C,""),'Type Chart'!$B$1:$S$1,0))*IF(XLOOKUP('Boss Editor'!$C$4,'Pokemon Editor'!$A:$A,'Pokemon Editor'!$D:$D,"")="",1,INDEX('Type Chart'!$B:$S,MATCH(E487,'Type Chart'!$A:$A,0),MATCH(XLOOKUP('Boss Editor'!$C$4,'Pokemon Editor'!$A:$A,'Pokemon Editor'!$D:$D,""),'Type Chart'!$B$1:$S$1,0))))</f>
        <v/>
      </c>
      <c r="J487" s="3">
        <f>IFERROR(LET(mtype,XLOOKUP($D487,'Move Editor'!$B:$B,'Move Editor'!$C:$C,""),cat,XLOOKUP($D487,'Move Editor'!$B:$B,'Move Editor'!$D:$D,""),pow,XLOOKUP($D487,'Move Editor'!$B:$B,'Move Editor'!$E:$E,0),acc,XLOOKUP($D487,'Move Editor'!$B:$B,'Move Editor'!$F:$F,100),atk,IF(cat="Physical",FLOOR((FLOOR(((2*XLOOKUP(XLOOKUP($Q487,'Threshold Summary'!$Y:$Y,'Threshold Summary'!$K:$K,""),'Pokemon Editor'!$A:$A,'Pokemon Editor'!$F:$F,0)+31+FLOOR(XLOOKUP($Q487,'Threshold Summary'!$Y:$Y,'Threshold Summary'!$P:$P,"")/4))*XLOOKUP($Q487,'Threshold Summary'!$Y:$Y,'Threshold Summary'!$L:$L,""))/100)+5)*XLOOKUP(XLOOKUP($Q487,'Threshold Summary'!$Y:$Y,'Threshold Summary'!$M:$M,""),'Nature Editor'!$A:$A,'Nature Editor'!$B:$B,1)),FLOOR((FLOOR(((2*XLOOKUP(XLOOKUP($Q487,'Threshold Summary'!$Y:$Y,'Threshold Summary'!$K:$K,""),'Pokemon Editor'!$A:$A,'Pokemon Editor'!$H:$H,0)+31+FLOOR(XLOOKUP($Q487,'Threshold Summary'!$Y:$Y,'Threshold Summary'!$R:$R,"")/4))*XLOOKUP($Q487,'Threshold Summary'!$Y:$Y,'Threshold Summary'!$L:$L,""))/100)+5)*XLOOKUP(XLOOKUP($Q487,'Threshold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Editor'!$E:$E,1))),stab,IF(OR(mtype=XLOOKUP(XLOOKUP($Q487,'Threshold Summary'!$Y:$Y,'Threshold Summary'!$K:$K,""),'Pokemon Editor'!$A:$A,'Pokemon Editor'!$C:$C,""),mtype=XLOOKUP(XLOOKUP($Q487,'Threshold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Chart'!$B$1:$S$1,0)))),base,IF(OR(cat="Status",pow=0),0,FLOOR(FLOOR(FLOOR((2*XLOOKUP($Q487,'Threshold Summary'!$Y:$Y,'Threshold Summary'!$L:$L,"")/5+2)*pow*atk/def)/50)+2)),modifier,stab*eff,FLOOR(base*modifier*0.85)),0)</f>
        <v/>
      </c>
      <c r="K487" s="3">
        <f>IFERROR(LET(mtype,XLOOKUP($D487,'Move Editor'!$B:$B,'Move Editor'!$C:$C,""),cat,XLOOKUP($D487,'Move Editor'!$B:$B,'Move Editor'!$D:$D,""),pow,XLOOKUP($D487,'Move Editor'!$B:$B,'Move Editor'!$E:$E,0),acc,XLOOKUP($D487,'Move Editor'!$B:$B,'Move Editor'!$F:$F,100),atk,IF(cat="Physical",FLOOR((FLOOR(((2*XLOOKUP(XLOOKUP($Q487,'Threshold Summary'!$Y:$Y,'Threshold Summary'!$K:$K,""),'Pokemon Editor'!$A:$A,'Pokemon Editor'!$F:$F,0)+31+FLOOR(XLOOKUP($Q487,'Threshold Summary'!$Y:$Y,'Threshold Summary'!$P:$P,"")/4))*XLOOKUP($Q487,'Threshold Summary'!$Y:$Y,'Threshold Summary'!$L:$L,""))/100)+5)*XLOOKUP(XLOOKUP($Q487,'Threshold Summary'!$Y:$Y,'Threshold Summary'!$M:$M,""),'Nature Editor'!$A:$A,'Nature Editor'!$B:$B,1)),FLOOR((FLOOR(((2*XLOOKUP(XLOOKUP($Q487,'Threshold Summary'!$Y:$Y,'Threshold Summary'!$K:$K,""),'Pokemon Editor'!$A:$A,'Pokemon Editor'!$H:$H,0)+31+FLOOR(XLOOKUP($Q487,'Threshold Summary'!$Y:$Y,'Threshold Summary'!$R:$R,"")/4))*XLOOKUP($Q487,'Threshold Summary'!$Y:$Y,'Threshold Summary'!$L:$L,""))/100)+5)*XLOOKUP(XLOOKUP($Q487,'Threshold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Editor'!$E:$E,1))),stab,IF(OR(mtype=XLOOKUP(XLOOKUP($Q487,'Threshold Summary'!$Y:$Y,'Threshold Summary'!$K:$K,""),'Pokemon Editor'!$A:$A,'Pokemon Editor'!$C:$C,""),mtype=XLOOKUP(XLOOKUP($Q487,'Threshold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Chart'!$B$1:$S$1,0)))),base,IF(OR(cat="Status",pow=0),0,FLOOR(FLOOR(FLOOR((2*XLOOKUP($Q487,'Threshold Summary'!$Y:$Y,'Threshold Summary'!$L:$L,"")/5+2)*pow*atk/def)/50)+2)),modifier,stab*eff,FLOOR(base*modifier)),0)</f>
        <v/>
      </c>
      <c r="L487" s="3">
        <f>IFERROR(LET(mtype,XLOOKUP($D487,'Move Editor'!$B:$B,'Move Editor'!$C:$C,""),cat,XLOOKUP($D487,'Move Editor'!$B:$B,'Move Editor'!$D:$D,""),pow,XLOOKUP($D487,'Move Editor'!$B:$B,'Move Editor'!$E:$E,0),acc,XLOOKUP($D487,'Move Editor'!$B:$B,'Move Editor'!$F:$F,100),atk,IF(cat="Physical",FLOOR((FLOOR(((2*XLOOKUP(XLOOKUP($Q487,'Threshold Summary'!$Y:$Y,'Threshold Summary'!$K:$K,""),'Pokemon Editor'!$A:$A,'Pokemon Editor'!$F:$F,0)+31+FLOOR(XLOOKUP($Q487,'Threshold Summary'!$Y:$Y,'Threshold Summary'!$P:$P,"")/4))*XLOOKUP($Q487,'Threshold Summary'!$Y:$Y,'Threshold Summary'!$L:$L,""))/100)+5)*XLOOKUP(XLOOKUP($Q487,'Threshold Summary'!$Y:$Y,'Threshold Summary'!$M:$M,""),'Nature Editor'!$A:$A,'Nature Editor'!$B:$B,1)),FLOOR((FLOOR(((2*XLOOKUP(XLOOKUP($Q487,'Threshold Summary'!$Y:$Y,'Threshold Summary'!$K:$K,""),'Pokemon Editor'!$A:$A,'Pokemon Editor'!$H:$H,0)+31+FLOOR(XLOOKUP($Q487,'Threshold Summary'!$Y:$Y,'Threshold Summary'!$R:$R,"")/4))*XLOOKUP($Q487,'Threshold Summary'!$Y:$Y,'Threshold Summary'!$L:$L,""))/100)+5)*XLOOKUP(XLOOKUP($Q487,'Threshold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Editor'!$E:$E,1))),stab,IF(OR(mtype=XLOOKUP(XLOOKUP($Q487,'Threshold Summary'!$Y:$Y,'Threshold Summary'!$K:$K,""),'Pokemon Editor'!$A:$A,'Pokemon Editor'!$C:$C,""),mtype=XLOOKUP(XLOOKUP($Q487,'Threshold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Chart'!$B$1:$S$1,0)))),base,IF(OR(cat="Status",pow=0),0,FLOOR(FLOOR(FLOOR((2*XLOOKUP($Q487,'Threshold Summary'!$Y:$Y,'Threshold Summary'!$L:$L,"")/5+2)*pow*atk/def)/50)+2)),modifier,stab*eff,AVERAGE(ARRAYFORMULA(FLOOR(base*modifier*SEQUENCE(16,1,85,1)/100)))),0)</f>
        <v/>
      </c>
      <c r="M487" s="3">
        <f>IFERROR(LET(mtype,XLOOKUP($D487,'Move Editor'!$B:$B,'Move Editor'!$C:$C,""),cat,XLOOKUP($D487,'Move Editor'!$B:$B,'Move Editor'!$D:$D,""),pow,XLOOKUP($D487,'Move Editor'!$B:$B,'Move Editor'!$E:$E,0),acc,XLOOKUP($D487,'Move Editor'!$B:$B,'Move Editor'!$F:$F,100),atk,IF(cat="Physical",FLOOR((FLOOR(((2*XLOOKUP(XLOOKUP($Q487,'Threshold Summary'!$Y:$Y,'Threshold Summary'!$K:$K,""),'Pokemon Editor'!$A:$A,'Pokemon Editor'!$F:$F,0)+31+FLOOR(XLOOKUP($Q487,'Threshold Summary'!$Y:$Y,'Threshold Summary'!$P:$P,"")/4))*XLOOKUP($Q487,'Threshold Summary'!$Y:$Y,'Threshold Summary'!$L:$L,""))/100)+5)*XLOOKUP(XLOOKUP($Q487,'Threshold Summary'!$Y:$Y,'Threshold Summary'!$M:$M,""),'Nature Editor'!$A:$A,'Nature Editor'!$B:$B,1)),FLOOR((FLOOR(((2*XLOOKUP(XLOOKUP($Q487,'Threshold Summary'!$Y:$Y,'Threshold Summary'!$K:$K,""),'Pokemon Editor'!$A:$A,'Pokemon Editor'!$H:$H,0)+31+FLOOR(XLOOKUP($Q487,'Threshold Summary'!$Y:$Y,'Threshold Summary'!$R:$R,"")/4))*XLOOKUP($Q487,'Threshold Summary'!$Y:$Y,'Threshold Summary'!$L:$L,""))/100)+5)*XLOOKUP(XLOOKUP($Q487,'Threshold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Editor'!$E:$E,1))),stab,IF(OR(mtype=XLOOKUP(XLOOKUP($Q487,'Threshold Summary'!$Y:$Y,'Threshold Summary'!$K:$K,""),'Pokemon Editor'!$A:$A,'Pokemon Editor'!$C:$C,""),mtype=XLOOKUP(XLOOKUP($Q487,'Threshold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Chart'!$B$1:$S$1,0)))),base,IF(OR(cat="Status",pow=0),0,FLOOR(FLOOR(FLOOR((2*XLOOKUP($Q487,'Threshold Summary'!$Y:$Y,'Threshold Summary'!$L:$L,"")/5+2)*pow*atk/def)/50)+2)),modifier,stab*eff,AVERAGE(ARRAYFORMULA(FLOOR(base*modifier*SEQUENCE(16,1,85,1)/100)))*MIN(1,acc/100)),0)</f>
        <v/>
      </c>
      <c r="N487" s="4">
        <f>IFERROR(LET(mtype,XLOOKUP($D487,'Move Editor'!$B:$B,'Move Editor'!$C:$C,""),cat,XLOOKUP($D487,'Move Editor'!$B:$B,'Move Editor'!$D:$D,""),pow,XLOOKUP($D487,'Move Editor'!$B:$B,'Move Editor'!$E:$E,0),acc,XLOOKUP($D487,'Move Editor'!$B:$B,'Move Editor'!$F:$F,100),atk,IF(cat="Physical",FLOOR((FLOOR(((2*XLOOKUP(XLOOKUP($Q487,'Threshold Summary'!$Y:$Y,'Threshold Summary'!$K:$K,""),'Pokemon Editor'!$A:$A,'Pokemon Editor'!$F:$F,0)+31+FLOOR(XLOOKUP($Q487,'Threshold Summary'!$Y:$Y,'Threshold Summary'!$P:$P,"")/4))*XLOOKUP($Q487,'Threshold Summary'!$Y:$Y,'Threshold Summary'!$L:$L,""))/100)+5)*XLOOKUP(XLOOKUP($Q487,'Threshold Summary'!$Y:$Y,'Threshold Summary'!$M:$M,""),'Nature Editor'!$A:$A,'Nature Editor'!$B:$B,1)),FLOOR((FLOOR(((2*XLOOKUP(XLOOKUP($Q487,'Threshold Summary'!$Y:$Y,'Threshold Summary'!$K:$K,""),'Pokemon Editor'!$A:$A,'Pokemon Editor'!$H:$H,0)+31+FLOOR(XLOOKUP($Q487,'Threshold Summary'!$Y:$Y,'Threshold Summary'!$R:$R,"")/4))*XLOOKUP($Q487,'Threshold Summary'!$Y:$Y,'Threshold Summary'!$L:$L,""))/100)+5)*XLOOKUP(XLOOKUP($Q487,'Threshold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Editor'!$E:$E,1))),stab,IF(OR(mtype=XLOOKUP(XLOOKUP($Q487,'Threshold Summary'!$Y:$Y,'Threshold Summary'!$K:$K,""),'Pokemon Editor'!$A:$A,'Pokemon Editor'!$C:$C,""),mtype=XLOOKUP(XLOOKUP($Q487,'Threshold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Chart'!$B$1:$S$1,0)))),base,IF(OR(cat="Status",pow=0),0,FLOOR(FLOOR(FLOOR((2*XLOOKUP($Q487,'Threshold Summary'!$Y:$Y,'Threshold Summary'!$L:$L,"")/5+2)*pow*atk/def)/50)+2)),modifier,stab*eff,AVERAGE(ARRAYFORMULA(FLOOR(base*modifier*SEQUENCE(16,1,85,1)/100)))/(FLOOR(((2*XLOOKUP('Boss Editor'!$C$4,'Pokemon Editor'!$A:$A,'Pokemon Editor'!$E:$E,0)+31+FLOOR('Boss Editor'!$G$4/4))*'Boss Editor'!$D$4)/100)+'Boss Editor'!$D$4+10)),0)</f>
        <v/>
      </c>
      <c r="O487" s="3">
        <f>IF(N487&gt;=1,"OHKO",IF(N487&gt;=0.5,"2HKO",IF(N487&gt;=0.333,"3HKO",IF(N487&gt;=0.25,"4HKO","5HKO+"))))</f>
        <v/>
      </c>
      <c r="P487" s="3" t="inlineStr">
        <is>
          <t>Live from editable databases</t>
        </is>
      </c>
      <c r="Q487" s="3" t="inlineStr">
        <is>
          <t>SPECIES_VENIPEDE</t>
        </is>
      </c>
      <c r="R487" s="3" t="n">
        <v>6</v>
      </c>
    </row>
    <row r="488">
      <c r="A488" s="3">
        <f>XLOOKUP($Q488,'Threshold Summary'!$Y:$Y,'Threshold Summary'!$A:$A,"")</f>
        <v/>
      </c>
      <c r="B488" s="3">
        <f>XLOOKUP($Q488,'Threshold Summary'!$Y:$Y,'Threshold Summary'!$M:$M,"")</f>
        <v/>
      </c>
      <c r="C488" s="3">
        <f>XLOOKUP($Q488,'Threshold Summary'!$Y:$Y,'Threshold Summary'!$N:$N,"")</f>
        <v/>
      </c>
      <c r="D488" s="3">
        <f>IFERROR(INDEX(FILTER('Learnset Editor'!$D$2:$D,'Learnset Editor'!$A$2:$A=XLOOKUP($Q488,'Threshold Summary'!$Y:$Y,'Threshold Summary'!$K:$K,""),'Learnset Editor'!$C$2:$C&lt;=XLOOKUP($Q488,'Threshold Summary'!$Y:$Y,'Threshold Summary'!$L:$L,"")),$R488),"")</f>
        <v/>
      </c>
      <c r="E488" s="3">
        <f>XLOOKUP(D488,'Move Editor'!$B:$B,'Move Editor'!$C:$C,"")</f>
        <v/>
      </c>
      <c r="F488" s="3">
        <f>XLOOKUP(D488,'Move Editor'!$B:$B,'Move Editor'!$D:$D,"")</f>
        <v/>
      </c>
      <c r="G488" s="3">
        <f>XLOOKUP(D488,'Move Editor'!$B:$B,'Move Editor'!$E:$E,0)</f>
        <v/>
      </c>
      <c r="H488" s="3">
        <f>XLOOKUP(D488,'Move Editor'!$B:$B,'Move Editor'!$F:$F,0)</f>
        <v/>
      </c>
      <c r="I488" s="3">
        <f>(INDEX('Type Chart'!$B:$S,MATCH(E488,'Type Chart'!$A:$A,0),MATCH(XLOOKUP('Boss Editor'!$C$4,'Pokemon Editor'!$A:$A,'Pokemon Editor'!$C:$C,""),'Type Chart'!$B$1:$S$1,0))*IF(XLOOKUP('Boss Editor'!$C$4,'Pokemon Editor'!$A:$A,'Pokemon Editor'!$D:$D,"")="",1,INDEX('Type Chart'!$B:$S,MATCH(E488,'Type Chart'!$A:$A,0),MATCH(XLOOKUP('Boss Editor'!$C$4,'Pokemon Editor'!$A:$A,'Pokemon Editor'!$D:$D,""),'Type Chart'!$B$1:$S$1,0))))</f>
        <v/>
      </c>
      <c r="J488" s="3">
        <f>IFERROR(LET(mtype,XLOOKUP($D488,'Move Editor'!$B:$B,'Move Editor'!$C:$C,""),cat,XLOOKUP($D488,'Move Editor'!$B:$B,'Move Editor'!$D:$D,""),pow,XLOOKUP($D488,'Move Editor'!$B:$B,'Move Editor'!$E:$E,0),acc,XLOOKUP($D488,'Move Editor'!$B:$B,'Move Editor'!$F:$F,100),atk,IF(cat="Physical",FLOOR((FLOOR(((2*XLOOKUP(XLOOKUP($Q488,'Threshold Summary'!$Y:$Y,'Threshold Summary'!$K:$K,""),'Pokemon Editor'!$A:$A,'Pokemon Editor'!$F:$F,0)+31+FLOOR(XLOOKUP($Q488,'Threshold Summary'!$Y:$Y,'Threshold Summary'!$P:$P,"")/4))*XLOOKUP($Q488,'Threshold Summary'!$Y:$Y,'Threshold Summary'!$L:$L,""))/100)+5)*XLOOKUP(XLOOKUP($Q488,'Threshold Summary'!$Y:$Y,'Threshold Summary'!$M:$M,""),'Nature Editor'!$A:$A,'Nature Editor'!$B:$B,1)),FLOOR((FLOOR(((2*XLOOKUP(XLOOKUP($Q488,'Threshold Summary'!$Y:$Y,'Threshold Summary'!$K:$K,""),'Pokemon Editor'!$A:$A,'Pokemon Editor'!$H:$H,0)+31+FLOOR(XLOOKUP($Q488,'Threshold Summary'!$Y:$Y,'Threshold Summary'!$R:$R,"")/4))*XLOOKUP($Q488,'Threshold Summary'!$Y:$Y,'Threshold Summary'!$L:$L,""))/100)+5)*XLOOKUP(XLOOKUP($Q488,'Threshold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Editor'!$E:$E,1))),stab,IF(OR(mtype=XLOOKUP(XLOOKUP($Q488,'Threshold Summary'!$Y:$Y,'Threshold Summary'!$K:$K,""),'Pokemon Editor'!$A:$A,'Pokemon Editor'!$C:$C,""),mtype=XLOOKUP(XLOOKUP($Q488,'Threshold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Chart'!$B$1:$S$1,0)))),base,IF(OR(cat="Status",pow=0),0,FLOOR(FLOOR(FLOOR((2*XLOOKUP($Q488,'Threshold Summary'!$Y:$Y,'Threshold Summary'!$L:$L,"")/5+2)*pow*atk/def)/50)+2)),modifier,stab*eff,FLOOR(base*modifier*0.85)),0)</f>
        <v/>
      </c>
      <c r="K488" s="3">
        <f>IFERROR(LET(mtype,XLOOKUP($D488,'Move Editor'!$B:$B,'Move Editor'!$C:$C,""),cat,XLOOKUP($D488,'Move Editor'!$B:$B,'Move Editor'!$D:$D,""),pow,XLOOKUP($D488,'Move Editor'!$B:$B,'Move Editor'!$E:$E,0),acc,XLOOKUP($D488,'Move Editor'!$B:$B,'Move Editor'!$F:$F,100),atk,IF(cat="Physical",FLOOR((FLOOR(((2*XLOOKUP(XLOOKUP($Q488,'Threshold Summary'!$Y:$Y,'Threshold Summary'!$K:$K,""),'Pokemon Editor'!$A:$A,'Pokemon Editor'!$F:$F,0)+31+FLOOR(XLOOKUP($Q488,'Threshold Summary'!$Y:$Y,'Threshold Summary'!$P:$P,"")/4))*XLOOKUP($Q488,'Threshold Summary'!$Y:$Y,'Threshold Summary'!$L:$L,""))/100)+5)*XLOOKUP(XLOOKUP($Q488,'Threshold Summary'!$Y:$Y,'Threshold Summary'!$M:$M,""),'Nature Editor'!$A:$A,'Nature Editor'!$B:$B,1)),FLOOR((FLOOR(((2*XLOOKUP(XLOOKUP($Q488,'Threshold Summary'!$Y:$Y,'Threshold Summary'!$K:$K,""),'Pokemon Editor'!$A:$A,'Pokemon Editor'!$H:$H,0)+31+FLOOR(XLOOKUP($Q488,'Threshold Summary'!$Y:$Y,'Threshold Summary'!$R:$R,"")/4))*XLOOKUP($Q488,'Threshold Summary'!$Y:$Y,'Threshold Summary'!$L:$L,""))/100)+5)*XLOOKUP(XLOOKUP($Q488,'Threshold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Editor'!$E:$E,1))),stab,IF(OR(mtype=XLOOKUP(XLOOKUP($Q488,'Threshold Summary'!$Y:$Y,'Threshold Summary'!$K:$K,""),'Pokemon Editor'!$A:$A,'Pokemon Editor'!$C:$C,""),mtype=XLOOKUP(XLOOKUP($Q488,'Threshold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Chart'!$B$1:$S$1,0)))),base,IF(OR(cat="Status",pow=0),0,FLOOR(FLOOR(FLOOR((2*XLOOKUP($Q488,'Threshold Summary'!$Y:$Y,'Threshold Summary'!$L:$L,"")/5+2)*pow*atk/def)/50)+2)),modifier,stab*eff,FLOOR(base*modifier)),0)</f>
        <v/>
      </c>
      <c r="L488" s="3">
        <f>IFERROR(LET(mtype,XLOOKUP($D488,'Move Editor'!$B:$B,'Move Editor'!$C:$C,""),cat,XLOOKUP($D488,'Move Editor'!$B:$B,'Move Editor'!$D:$D,""),pow,XLOOKUP($D488,'Move Editor'!$B:$B,'Move Editor'!$E:$E,0),acc,XLOOKUP($D488,'Move Editor'!$B:$B,'Move Editor'!$F:$F,100),atk,IF(cat="Physical",FLOOR((FLOOR(((2*XLOOKUP(XLOOKUP($Q488,'Threshold Summary'!$Y:$Y,'Threshold Summary'!$K:$K,""),'Pokemon Editor'!$A:$A,'Pokemon Editor'!$F:$F,0)+31+FLOOR(XLOOKUP($Q488,'Threshold Summary'!$Y:$Y,'Threshold Summary'!$P:$P,"")/4))*XLOOKUP($Q488,'Threshold Summary'!$Y:$Y,'Threshold Summary'!$L:$L,""))/100)+5)*XLOOKUP(XLOOKUP($Q488,'Threshold Summary'!$Y:$Y,'Threshold Summary'!$M:$M,""),'Nature Editor'!$A:$A,'Nature Editor'!$B:$B,1)),FLOOR((FLOOR(((2*XLOOKUP(XLOOKUP($Q488,'Threshold Summary'!$Y:$Y,'Threshold Summary'!$K:$K,""),'Pokemon Editor'!$A:$A,'Pokemon Editor'!$H:$H,0)+31+FLOOR(XLOOKUP($Q488,'Threshold Summary'!$Y:$Y,'Threshold Summary'!$R:$R,"")/4))*XLOOKUP($Q488,'Threshold Summary'!$Y:$Y,'Threshold Summary'!$L:$L,""))/100)+5)*XLOOKUP(XLOOKUP($Q488,'Threshold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Editor'!$E:$E,1))),stab,IF(OR(mtype=XLOOKUP(XLOOKUP($Q488,'Threshold Summary'!$Y:$Y,'Threshold Summary'!$K:$K,""),'Pokemon Editor'!$A:$A,'Pokemon Editor'!$C:$C,""),mtype=XLOOKUP(XLOOKUP($Q488,'Threshold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Chart'!$B$1:$S$1,0)))),base,IF(OR(cat="Status",pow=0),0,FLOOR(FLOOR(FLOOR((2*XLOOKUP($Q488,'Threshold Summary'!$Y:$Y,'Threshold Summary'!$L:$L,"")/5+2)*pow*atk/def)/50)+2)),modifier,stab*eff,AVERAGE(ARRAYFORMULA(FLOOR(base*modifier*SEQUENCE(16,1,85,1)/100)))),0)</f>
        <v/>
      </c>
      <c r="M488" s="3">
        <f>IFERROR(LET(mtype,XLOOKUP($D488,'Move Editor'!$B:$B,'Move Editor'!$C:$C,""),cat,XLOOKUP($D488,'Move Editor'!$B:$B,'Move Editor'!$D:$D,""),pow,XLOOKUP($D488,'Move Editor'!$B:$B,'Move Editor'!$E:$E,0),acc,XLOOKUP($D488,'Move Editor'!$B:$B,'Move Editor'!$F:$F,100),atk,IF(cat="Physical",FLOOR((FLOOR(((2*XLOOKUP(XLOOKUP($Q488,'Threshold Summary'!$Y:$Y,'Threshold Summary'!$K:$K,""),'Pokemon Editor'!$A:$A,'Pokemon Editor'!$F:$F,0)+31+FLOOR(XLOOKUP($Q488,'Threshold Summary'!$Y:$Y,'Threshold Summary'!$P:$P,"")/4))*XLOOKUP($Q488,'Threshold Summary'!$Y:$Y,'Threshold Summary'!$L:$L,""))/100)+5)*XLOOKUP(XLOOKUP($Q488,'Threshold Summary'!$Y:$Y,'Threshold Summary'!$M:$M,""),'Nature Editor'!$A:$A,'Nature Editor'!$B:$B,1)),FLOOR((FLOOR(((2*XLOOKUP(XLOOKUP($Q488,'Threshold Summary'!$Y:$Y,'Threshold Summary'!$K:$K,""),'Pokemon Editor'!$A:$A,'Pokemon Editor'!$H:$H,0)+31+FLOOR(XLOOKUP($Q488,'Threshold Summary'!$Y:$Y,'Threshold Summary'!$R:$R,"")/4))*XLOOKUP($Q488,'Threshold Summary'!$Y:$Y,'Threshold Summary'!$L:$L,""))/100)+5)*XLOOKUP(XLOOKUP($Q488,'Threshold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Editor'!$E:$E,1))),stab,IF(OR(mtype=XLOOKUP(XLOOKUP($Q488,'Threshold Summary'!$Y:$Y,'Threshold Summary'!$K:$K,""),'Pokemon Editor'!$A:$A,'Pokemon Editor'!$C:$C,""),mtype=XLOOKUP(XLOOKUP($Q488,'Threshold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Chart'!$B$1:$S$1,0)))),base,IF(OR(cat="Status",pow=0),0,FLOOR(FLOOR(FLOOR((2*XLOOKUP($Q488,'Threshold Summary'!$Y:$Y,'Threshold Summary'!$L:$L,"")/5+2)*pow*atk/def)/50)+2)),modifier,stab*eff,AVERAGE(ARRAYFORMULA(FLOOR(base*modifier*SEQUENCE(16,1,85,1)/100)))*MIN(1,acc/100)),0)</f>
        <v/>
      </c>
      <c r="N488" s="4">
        <f>IFERROR(LET(mtype,XLOOKUP($D488,'Move Editor'!$B:$B,'Move Editor'!$C:$C,""),cat,XLOOKUP($D488,'Move Editor'!$B:$B,'Move Editor'!$D:$D,""),pow,XLOOKUP($D488,'Move Editor'!$B:$B,'Move Editor'!$E:$E,0),acc,XLOOKUP($D488,'Move Editor'!$B:$B,'Move Editor'!$F:$F,100),atk,IF(cat="Physical",FLOOR((FLOOR(((2*XLOOKUP(XLOOKUP($Q488,'Threshold Summary'!$Y:$Y,'Threshold Summary'!$K:$K,""),'Pokemon Editor'!$A:$A,'Pokemon Editor'!$F:$F,0)+31+FLOOR(XLOOKUP($Q488,'Threshold Summary'!$Y:$Y,'Threshold Summary'!$P:$P,"")/4))*XLOOKUP($Q488,'Threshold Summary'!$Y:$Y,'Threshold Summary'!$L:$L,""))/100)+5)*XLOOKUP(XLOOKUP($Q488,'Threshold Summary'!$Y:$Y,'Threshold Summary'!$M:$M,""),'Nature Editor'!$A:$A,'Nature Editor'!$B:$B,1)),FLOOR((FLOOR(((2*XLOOKUP(XLOOKUP($Q488,'Threshold Summary'!$Y:$Y,'Threshold Summary'!$K:$K,""),'Pokemon Editor'!$A:$A,'Pokemon Editor'!$H:$H,0)+31+FLOOR(XLOOKUP($Q488,'Threshold Summary'!$Y:$Y,'Threshold Summary'!$R:$R,"")/4))*XLOOKUP($Q488,'Threshold Summary'!$Y:$Y,'Threshold Summary'!$L:$L,""))/100)+5)*XLOOKUP(XLOOKUP($Q488,'Threshold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Editor'!$E:$E,1))),stab,IF(OR(mtype=XLOOKUP(XLOOKUP($Q488,'Threshold Summary'!$Y:$Y,'Threshold Summary'!$K:$K,""),'Pokemon Editor'!$A:$A,'Pokemon Editor'!$C:$C,""),mtype=XLOOKUP(XLOOKUP($Q488,'Threshold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Chart'!$B$1:$S$1,0)))),base,IF(OR(cat="Status",pow=0),0,FLOOR(FLOOR(FLOOR((2*XLOOKUP($Q488,'Threshold Summary'!$Y:$Y,'Threshold Summary'!$L:$L,"")/5+2)*pow*atk/def)/50)+2)),modifier,stab*eff,AVERAGE(ARRAYFORMULA(FLOOR(base*modifier*SEQUENCE(16,1,85,1)/100)))/(FLOOR(((2*XLOOKUP('Boss Editor'!$C$4,'Pokemon Editor'!$A:$A,'Pokemon Editor'!$E:$E,0)+31+FLOOR('Boss Editor'!$G$4/4))*'Boss Editor'!$D$4)/100)+'Boss Editor'!$D$4+10)),0)</f>
        <v/>
      </c>
      <c r="O488" s="3">
        <f>IF(N488&gt;=1,"OHKO",IF(N488&gt;=0.5,"2HKO",IF(N488&gt;=0.333,"3HKO",IF(N488&gt;=0.25,"4HKO","5HKO+"))))</f>
        <v/>
      </c>
      <c r="P488" s="3" t="inlineStr">
        <is>
          <t>Live from editable databases</t>
        </is>
      </c>
      <c r="Q488" s="3" t="inlineStr">
        <is>
          <t>SPECIES_VENIPEDE</t>
        </is>
      </c>
      <c r="R488" s="3" t="n">
        <v>7</v>
      </c>
    </row>
    <row r="489">
      <c r="A489" s="3">
        <f>XLOOKUP($Q489,'Threshold Summary'!$Y:$Y,'Threshold Summary'!$A:$A,"")</f>
        <v/>
      </c>
      <c r="B489" s="3">
        <f>XLOOKUP($Q489,'Threshold Summary'!$Y:$Y,'Threshold Summary'!$M:$M,"")</f>
        <v/>
      </c>
      <c r="C489" s="3">
        <f>XLOOKUP($Q489,'Threshold Summary'!$Y:$Y,'Threshold Summary'!$N:$N,"")</f>
        <v/>
      </c>
      <c r="D489" s="3">
        <f>IFERROR(INDEX(FILTER('Learnset Editor'!$D$2:$D,'Learnset Editor'!$A$2:$A=XLOOKUP($Q489,'Threshold Summary'!$Y:$Y,'Threshold Summary'!$K:$K,""),'Learnset Editor'!$C$2:$C&lt;=XLOOKUP($Q489,'Threshold Summary'!$Y:$Y,'Threshold Summary'!$L:$L,"")),$R489),"")</f>
        <v/>
      </c>
      <c r="E489" s="3">
        <f>XLOOKUP(D489,'Move Editor'!$B:$B,'Move Editor'!$C:$C,"")</f>
        <v/>
      </c>
      <c r="F489" s="3">
        <f>XLOOKUP(D489,'Move Editor'!$B:$B,'Move Editor'!$D:$D,"")</f>
        <v/>
      </c>
      <c r="G489" s="3">
        <f>XLOOKUP(D489,'Move Editor'!$B:$B,'Move Editor'!$E:$E,0)</f>
        <v/>
      </c>
      <c r="H489" s="3">
        <f>XLOOKUP(D489,'Move Editor'!$B:$B,'Move Editor'!$F:$F,0)</f>
        <v/>
      </c>
      <c r="I489" s="3">
        <f>(INDEX('Type Chart'!$B:$S,MATCH(E489,'Type Chart'!$A:$A,0),MATCH(XLOOKUP('Boss Editor'!$C$4,'Pokemon Editor'!$A:$A,'Pokemon Editor'!$C:$C,""),'Type Chart'!$B$1:$S$1,0))*IF(XLOOKUP('Boss Editor'!$C$4,'Pokemon Editor'!$A:$A,'Pokemon Editor'!$D:$D,"")="",1,INDEX('Type Chart'!$B:$S,MATCH(E489,'Type Chart'!$A:$A,0),MATCH(XLOOKUP('Boss Editor'!$C$4,'Pokemon Editor'!$A:$A,'Pokemon Editor'!$D:$D,""),'Type Chart'!$B$1:$S$1,0))))</f>
        <v/>
      </c>
      <c r="J489" s="3">
        <f>IFERROR(LET(mtype,XLOOKUP($D489,'Move Editor'!$B:$B,'Move Editor'!$C:$C,""),cat,XLOOKUP($D489,'Move Editor'!$B:$B,'Move Editor'!$D:$D,""),pow,XLOOKUP($D489,'Move Editor'!$B:$B,'Move Editor'!$E:$E,0),acc,XLOOKUP($D489,'Move Editor'!$B:$B,'Move Editor'!$F:$F,100),atk,IF(cat="Physical",FLOOR((FLOOR(((2*XLOOKUP(XLOOKUP($Q489,'Threshold Summary'!$Y:$Y,'Threshold Summary'!$K:$K,""),'Pokemon Editor'!$A:$A,'Pokemon Editor'!$F:$F,0)+31+FLOOR(XLOOKUP($Q489,'Threshold Summary'!$Y:$Y,'Threshold Summary'!$P:$P,"")/4))*XLOOKUP($Q489,'Threshold Summary'!$Y:$Y,'Threshold Summary'!$L:$L,""))/100)+5)*XLOOKUP(XLOOKUP($Q489,'Threshold Summary'!$Y:$Y,'Threshold Summary'!$M:$M,""),'Nature Editor'!$A:$A,'Nature Editor'!$B:$B,1)),FLOOR((FLOOR(((2*XLOOKUP(XLOOKUP($Q489,'Threshold Summary'!$Y:$Y,'Threshold Summary'!$K:$K,""),'Pokemon Editor'!$A:$A,'Pokemon Editor'!$H:$H,0)+31+FLOOR(XLOOKUP($Q489,'Threshold Summary'!$Y:$Y,'Threshold Summary'!$R:$R,"")/4))*XLOOKUP($Q489,'Threshold Summary'!$Y:$Y,'Threshold Summary'!$L:$L,""))/100)+5)*XLOOKUP(XLOOKUP($Q489,'Threshold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Editor'!$E:$E,1))),stab,IF(OR(mtype=XLOOKUP(XLOOKUP($Q489,'Threshold Summary'!$Y:$Y,'Threshold Summary'!$K:$K,""),'Pokemon Editor'!$A:$A,'Pokemon Editor'!$C:$C,""),mtype=XLOOKUP(XLOOKUP($Q489,'Threshold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Chart'!$B$1:$S$1,0)))),base,IF(OR(cat="Status",pow=0),0,FLOOR(FLOOR(FLOOR((2*XLOOKUP($Q489,'Threshold Summary'!$Y:$Y,'Threshold Summary'!$L:$L,"")/5+2)*pow*atk/def)/50)+2)),modifier,stab*eff,FLOOR(base*modifier*0.85)),0)</f>
        <v/>
      </c>
      <c r="K489" s="3">
        <f>IFERROR(LET(mtype,XLOOKUP($D489,'Move Editor'!$B:$B,'Move Editor'!$C:$C,""),cat,XLOOKUP($D489,'Move Editor'!$B:$B,'Move Editor'!$D:$D,""),pow,XLOOKUP($D489,'Move Editor'!$B:$B,'Move Editor'!$E:$E,0),acc,XLOOKUP($D489,'Move Editor'!$B:$B,'Move Editor'!$F:$F,100),atk,IF(cat="Physical",FLOOR((FLOOR(((2*XLOOKUP(XLOOKUP($Q489,'Threshold Summary'!$Y:$Y,'Threshold Summary'!$K:$K,""),'Pokemon Editor'!$A:$A,'Pokemon Editor'!$F:$F,0)+31+FLOOR(XLOOKUP($Q489,'Threshold Summary'!$Y:$Y,'Threshold Summary'!$P:$P,"")/4))*XLOOKUP($Q489,'Threshold Summary'!$Y:$Y,'Threshold Summary'!$L:$L,""))/100)+5)*XLOOKUP(XLOOKUP($Q489,'Threshold Summary'!$Y:$Y,'Threshold Summary'!$M:$M,""),'Nature Editor'!$A:$A,'Nature Editor'!$B:$B,1)),FLOOR((FLOOR(((2*XLOOKUP(XLOOKUP($Q489,'Threshold Summary'!$Y:$Y,'Threshold Summary'!$K:$K,""),'Pokemon Editor'!$A:$A,'Pokemon Editor'!$H:$H,0)+31+FLOOR(XLOOKUP($Q489,'Threshold Summary'!$Y:$Y,'Threshold Summary'!$R:$R,"")/4))*XLOOKUP($Q489,'Threshold Summary'!$Y:$Y,'Threshold Summary'!$L:$L,""))/100)+5)*XLOOKUP(XLOOKUP($Q489,'Threshold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Editor'!$E:$E,1))),stab,IF(OR(mtype=XLOOKUP(XLOOKUP($Q489,'Threshold Summary'!$Y:$Y,'Threshold Summary'!$K:$K,""),'Pokemon Editor'!$A:$A,'Pokemon Editor'!$C:$C,""),mtype=XLOOKUP(XLOOKUP($Q489,'Threshold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Chart'!$B$1:$S$1,0)))),base,IF(OR(cat="Status",pow=0),0,FLOOR(FLOOR(FLOOR((2*XLOOKUP($Q489,'Threshold Summary'!$Y:$Y,'Threshold Summary'!$L:$L,"")/5+2)*pow*atk/def)/50)+2)),modifier,stab*eff,FLOOR(base*modifier)),0)</f>
        <v/>
      </c>
      <c r="L489" s="3">
        <f>IFERROR(LET(mtype,XLOOKUP($D489,'Move Editor'!$B:$B,'Move Editor'!$C:$C,""),cat,XLOOKUP($D489,'Move Editor'!$B:$B,'Move Editor'!$D:$D,""),pow,XLOOKUP($D489,'Move Editor'!$B:$B,'Move Editor'!$E:$E,0),acc,XLOOKUP($D489,'Move Editor'!$B:$B,'Move Editor'!$F:$F,100),atk,IF(cat="Physical",FLOOR((FLOOR(((2*XLOOKUP(XLOOKUP($Q489,'Threshold Summary'!$Y:$Y,'Threshold Summary'!$K:$K,""),'Pokemon Editor'!$A:$A,'Pokemon Editor'!$F:$F,0)+31+FLOOR(XLOOKUP($Q489,'Threshold Summary'!$Y:$Y,'Threshold Summary'!$P:$P,"")/4))*XLOOKUP($Q489,'Threshold Summary'!$Y:$Y,'Threshold Summary'!$L:$L,""))/100)+5)*XLOOKUP(XLOOKUP($Q489,'Threshold Summary'!$Y:$Y,'Threshold Summary'!$M:$M,""),'Nature Editor'!$A:$A,'Nature Editor'!$B:$B,1)),FLOOR((FLOOR(((2*XLOOKUP(XLOOKUP($Q489,'Threshold Summary'!$Y:$Y,'Threshold Summary'!$K:$K,""),'Pokemon Editor'!$A:$A,'Pokemon Editor'!$H:$H,0)+31+FLOOR(XLOOKUP($Q489,'Threshold Summary'!$Y:$Y,'Threshold Summary'!$R:$R,"")/4))*XLOOKUP($Q489,'Threshold Summary'!$Y:$Y,'Threshold Summary'!$L:$L,""))/100)+5)*XLOOKUP(XLOOKUP($Q489,'Threshold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Editor'!$E:$E,1))),stab,IF(OR(mtype=XLOOKUP(XLOOKUP($Q489,'Threshold Summary'!$Y:$Y,'Threshold Summary'!$K:$K,""),'Pokemon Editor'!$A:$A,'Pokemon Editor'!$C:$C,""),mtype=XLOOKUP(XLOOKUP($Q489,'Threshold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Chart'!$B$1:$S$1,0)))),base,IF(OR(cat="Status",pow=0),0,FLOOR(FLOOR(FLOOR((2*XLOOKUP($Q489,'Threshold Summary'!$Y:$Y,'Threshold Summary'!$L:$L,"")/5+2)*pow*atk/def)/50)+2)),modifier,stab*eff,AVERAGE(ARRAYFORMULA(FLOOR(base*modifier*SEQUENCE(16,1,85,1)/100)))),0)</f>
        <v/>
      </c>
      <c r="M489" s="3">
        <f>IFERROR(LET(mtype,XLOOKUP($D489,'Move Editor'!$B:$B,'Move Editor'!$C:$C,""),cat,XLOOKUP($D489,'Move Editor'!$B:$B,'Move Editor'!$D:$D,""),pow,XLOOKUP($D489,'Move Editor'!$B:$B,'Move Editor'!$E:$E,0),acc,XLOOKUP($D489,'Move Editor'!$B:$B,'Move Editor'!$F:$F,100),atk,IF(cat="Physical",FLOOR((FLOOR(((2*XLOOKUP(XLOOKUP($Q489,'Threshold Summary'!$Y:$Y,'Threshold Summary'!$K:$K,""),'Pokemon Editor'!$A:$A,'Pokemon Editor'!$F:$F,0)+31+FLOOR(XLOOKUP($Q489,'Threshold Summary'!$Y:$Y,'Threshold Summary'!$P:$P,"")/4))*XLOOKUP($Q489,'Threshold Summary'!$Y:$Y,'Threshold Summary'!$L:$L,""))/100)+5)*XLOOKUP(XLOOKUP($Q489,'Threshold Summary'!$Y:$Y,'Threshold Summary'!$M:$M,""),'Nature Editor'!$A:$A,'Nature Editor'!$B:$B,1)),FLOOR((FLOOR(((2*XLOOKUP(XLOOKUP($Q489,'Threshold Summary'!$Y:$Y,'Threshold Summary'!$K:$K,""),'Pokemon Editor'!$A:$A,'Pokemon Editor'!$H:$H,0)+31+FLOOR(XLOOKUP($Q489,'Threshold Summary'!$Y:$Y,'Threshold Summary'!$R:$R,"")/4))*XLOOKUP($Q489,'Threshold Summary'!$Y:$Y,'Threshold Summary'!$L:$L,""))/100)+5)*XLOOKUP(XLOOKUP($Q489,'Threshold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Editor'!$E:$E,1))),stab,IF(OR(mtype=XLOOKUP(XLOOKUP($Q489,'Threshold Summary'!$Y:$Y,'Threshold Summary'!$K:$K,""),'Pokemon Editor'!$A:$A,'Pokemon Editor'!$C:$C,""),mtype=XLOOKUP(XLOOKUP($Q489,'Threshold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Chart'!$B$1:$S$1,0)))),base,IF(OR(cat="Status",pow=0),0,FLOOR(FLOOR(FLOOR((2*XLOOKUP($Q489,'Threshold Summary'!$Y:$Y,'Threshold Summary'!$L:$L,"")/5+2)*pow*atk/def)/50)+2)),modifier,stab*eff,AVERAGE(ARRAYFORMULA(FLOOR(base*modifier*SEQUENCE(16,1,85,1)/100)))*MIN(1,acc/100)),0)</f>
        <v/>
      </c>
      <c r="N489" s="4">
        <f>IFERROR(LET(mtype,XLOOKUP($D489,'Move Editor'!$B:$B,'Move Editor'!$C:$C,""),cat,XLOOKUP($D489,'Move Editor'!$B:$B,'Move Editor'!$D:$D,""),pow,XLOOKUP($D489,'Move Editor'!$B:$B,'Move Editor'!$E:$E,0),acc,XLOOKUP($D489,'Move Editor'!$B:$B,'Move Editor'!$F:$F,100),atk,IF(cat="Physical",FLOOR((FLOOR(((2*XLOOKUP(XLOOKUP($Q489,'Threshold Summary'!$Y:$Y,'Threshold Summary'!$K:$K,""),'Pokemon Editor'!$A:$A,'Pokemon Editor'!$F:$F,0)+31+FLOOR(XLOOKUP($Q489,'Threshold Summary'!$Y:$Y,'Threshold Summary'!$P:$P,"")/4))*XLOOKUP($Q489,'Threshold Summary'!$Y:$Y,'Threshold Summary'!$L:$L,""))/100)+5)*XLOOKUP(XLOOKUP($Q489,'Threshold Summary'!$Y:$Y,'Threshold Summary'!$M:$M,""),'Nature Editor'!$A:$A,'Nature Editor'!$B:$B,1)),FLOOR((FLOOR(((2*XLOOKUP(XLOOKUP($Q489,'Threshold Summary'!$Y:$Y,'Threshold Summary'!$K:$K,""),'Pokemon Editor'!$A:$A,'Pokemon Editor'!$H:$H,0)+31+FLOOR(XLOOKUP($Q489,'Threshold Summary'!$Y:$Y,'Threshold Summary'!$R:$R,"")/4))*XLOOKUP($Q489,'Threshold Summary'!$Y:$Y,'Threshold Summary'!$L:$L,""))/100)+5)*XLOOKUP(XLOOKUP($Q489,'Threshold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Editor'!$E:$E,1))),stab,IF(OR(mtype=XLOOKUP(XLOOKUP($Q489,'Threshold Summary'!$Y:$Y,'Threshold Summary'!$K:$K,""),'Pokemon Editor'!$A:$A,'Pokemon Editor'!$C:$C,""),mtype=XLOOKUP(XLOOKUP($Q489,'Threshold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Chart'!$B$1:$S$1,0)))),base,IF(OR(cat="Status",pow=0),0,FLOOR(FLOOR(FLOOR((2*XLOOKUP($Q489,'Threshold Summary'!$Y:$Y,'Threshold Summary'!$L:$L,"")/5+2)*pow*atk/def)/50)+2)),modifier,stab*eff,AVERAGE(ARRAYFORMULA(FLOOR(base*modifier*SEQUENCE(16,1,85,1)/100)))/(FLOOR(((2*XLOOKUP('Boss Editor'!$C$4,'Pokemon Editor'!$A:$A,'Pokemon Editor'!$E:$E,0)+31+FLOOR('Boss Editor'!$G$4/4))*'Boss Editor'!$D$4)/100)+'Boss Editor'!$D$4+10)),0)</f>
        <v/>
      </c>
      <c r="O489" s="3">
        <f>IF(N489&gt;=1,"OHKO",IF(N489&gt;=0.5,"2HKO",IF(N489&gt;=0.333,"3HKO",IF(N489&gt;=0.25,"4HKO","5HKO+"))))</f>
        <v/>
      </c>
      <c r="P489" s="3" t="inlineStr">
        <is>
          <t>Live from editable databases</t>
        </is>
      </c>
      <c r="Q489" s="3" t="inlineStr">
        <is>
          <t>SPECIES_VENIPEDE</t>
        </is>
      </c>
      <c r="R489" s="3" t="n">
        <v>8</v>
      </c>
    </row>
    <row r="490">
      <c r="A490" s="3">
        <f>XLOOKUP($Q490,'Threshold Summary'!$Y:$Y,'Threshold Summary'!$A:$A,"")</f>
        <v/>
      </c>
      <c r="B490" s="3">
        <f>XLOOKUP($Q490,'Threshold Summary'!$Y:$Y,'Threshold Summary'!$M:$M,"")</f>
        <v/>
      </c>
      <c r="C490" s="3">
        <f>XLOOKUP($Q490,'Threshold Summary'!$Y:$Y,'Threshold Summary'!$N:$N,"")</f>
        <v/>
      </c>
      <c r="D490" s="3">
        <f>IFERROR(INDEX(FILTER('Learnset Editor'!$D$2:$D,'Learnset Editor'!$A$2:$A=XLOOKUP($Q490,'Threshold Summary'!$Y:$Y,'Threshold Summary'!$K:$K,""),'Learnset Editor'!$C$2:$C&lt;=XLOOKUP($Q490,'Threshold Summary'!$Y:$Y,'Threshold Summary'!$L:$L,"")),$R490),"")</f>
        <v/>
      </c>
      <c r="E490" s="3">
        <f>XLOOKUP(D490,'Move Editor'!$B:$B,'Move Editor'!$C:$C,"")</f>
        <v/>
      </c>
      <c r="F490" s="3">
        <f>XLOOKUP(D490,'Move Editor'!$B:$B,'Move Editor'!$D:$D,"")</f>
        <v/>
      </c>
      <c r="G490" s="3">
        <f>XLOOKUP(D490,'Move Editor'!$B:$B,'Move Editor'!$E:$E,0)</f>
        <v/>
      </c>
      <c r="H490" s="3">
        <f>XLOOKUP(D490,'Move Editor'!$B:$B,'Move Editor'!$F:$F,0)</f>
        <v/>
      </c>
      <c r="I490" s="3">
        <f>(INDEX('Type Chart'!$B:$S,MATCH(E490,'Type Chart'!$A:$A,0),MATCH(XLOOKUP('Boss Editor'!$C$4,'Pokemon Editor'!$A:$A,'Pokemon Editor'!$C:$C,""),'Type Chart'!$B$1:$S$1,0))*IF(XLOOKUP('Boss Editor'!$C$4,'Pokemon Editor'!$A:$A,'Pokemon Editor'!$D:$D,"")="",1,INDEX('Type Chart'!$B:$S,MATCH(E490,'Type Chart'!$A:$A,0),MATCH(XLOOKUP('Boss Editor'!$C$4,'Pokemon Editor'!$A:$A,'Pokemon Editor'!$D:$D,""),'Type Chart'!$B$1:$S$1,0))))</f>
        <v/>
      </c>
      <c r="J490" s="3">
        <f>IFERROR(LET(mtype,XLOOKUP($D490,'Move Editor'!$B:$B,'Move Editor'!$C:$C,""),cat,XLOOKUP($D490,'Move Editor'!$B:$B,'Move Editor'!$D:$D,""),pow,XLOOKUP($D490,'Move Editor'!$B:$B,'Move Editor'!$E:$E,0),acc,XLOOKUP($D490,'Move Editor'!$B:$B,'Move Editor'!$F:$F,100),atk,IF(cat="Physical",FLOOR((FLOOR(((2*XLOOKUP(XLOOKUP($Q490,'Threshold Summary'!$Y:$Y,'Threshold Summary'!$K:$K,""),'Pokemon Editor'!$A:$A,'Pokemon Editor'!$F:$F,0)+31+FLOOR(XLOOKUP($Q490,'Threshold Summary'!$Y:$Y,'Threshold Summary'!$P:$P,"")/4))*XLOOKUP($Q490,'Threshold Summary'!$Y:$Y,'Threshold Summary'!$L:$L,""))/100)+5)*XLOOKUP(XLOOKUP($Q490,'Threshold Summary'!$Y:$Y,'Threshold Summary'!$M:$M,""),'Nature Editor'!$A:$A,'Nature Editor'!$B:$B,1)),FLOOR((FLOOR(((2*XLOOKUP(XLOOKUP($Q490,'Threshold Summary'!$Y:$Y,'Threshold Summary'!$K:$K,""),'Pokemon Editor'!$A:$A,'Pokemon Editor'!$H:$H,0)+31+FLOOR(XLOOKUP($Q490,'Threshold Summary'!$Y:$Y,'Threshold Summary'!$R:$R,"")/4))*XLOOKUP($Q490,'Threshold Summary'!$Y:$Y,'Threshold Summary'!$L:$L,""))/100)+5)*XLOOKUP(XLOOKUP($Q490,'Threshold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Editor'!$E:$E,1))),stab,IF(OR(mtype=XLOOKUP(XLOOKUP($Q490,'Threshold Summary'!$Y:$Y,'Threshold Summary'!$K:$K,""),'Pokemon Editor'!$A:$A,'Pokemon Editor'!$C:$C,""),mtype=XLOOKUP(XLOOKUP($Q490,'Threshold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Chart'!$B$1:$S$1,0)))),base,IF(OR(cat="Status",pow=0),0,FLOOR(FLOOR(FLOOR((2*XLOOKUP($Q490,'Threshold Summary'!$Y:$Y,'Threshold Summary'!$L:$L,"")/5+2)*pow*atk/def)/50)+2)),modifier,stab*eff,FLOOR(base*modifier*0.85)),0)</f>
        <v/>
      </c>
      <c r="K490" s="3">
        <f>IFERROR(LET(mtype,XLOOKUP($D490,'Move Editor'!$B:$B,'Move Editor'!$C:$C,""),cat,XLOOKUP($D490,'Move Editor'!$B:$B,'Move Editor'!$D:$D,""),pow,XLOOKUP($D490,'Move Editor'!$B:$B,'Move Editor'!$E:$E,0),acc,XLOOKUP($D490,'Move Editor'!$B:$B,'Move Editor'!$F:$F,100),atk,IF(cat="Physical",FLOOR((FLOOR(((2*XLOOKUP(XLOOKUP($Q490,'Threshold Summary'!$Y:$Y,'Threshold Summary'!$K:$K,""),'Pokemon Editor'!$A:$A,'Pokemon Editor'!$F:$F,0)+31+FLOOR(XLOOKUP($Q490,'Threshold Summary'!$Y:$Y,'Threshold Summary'!$P:$P,"")/4))*XLOOKUP($Q490,'Threshold Summary'!$Y:$Y,'Threshold Summary'!$L:$L,""))/100)+5)*XLOOKUP(XLOOKUP($Q490,'Threshold Summary'!$Y:$Y,'Threshold Summary'!$M:$M,""),'Nature Editor'!$A:$A,'Nature Editor'!$B:$B,1)),FLOOR((FLOOR(((2*XLOOKUP(XLOOKUP($Q490,'Threshold Summary'!$Y:$Y,'Threshold Summary'!$K:$K,""),'Pokemon Editor'!$A:$A,'Pokemon Editor'!$H:$H,0)+31+FLOOR(XLOOKUP($Q490,'Threshold Summary'!$Y:$Y,'Threshold Summary'!$R:$R,"")/4))*XLOOKUP($Q490,'Threshold Summary'!$Y:$Y,'Threshold Summary'!$L:$L,""))/100)+5)*XLOOKUP(XLOOKUP($Q490,'Threshold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Editor'!$E:$E,1))),stab,IF(OR(mtype=XLOOKUP(XLOOKUP($Q490,'Threshold Summary'!$Y:$Y,'Threshold Summary'!$K:$K,""),'Pokemon Editor'!$A:$A,'Pokemon Editor'!$C:$C,""),mtype=XLOOKUP(XLOOKUP($Q490,'Threshold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Chart'!$B$1:$S$1,0)))),base,IF(OR(cat="Status",pow=0),0,FLOOR(FLOOR(FLOOR((2*XLOOKUP($Q490,'Threshold Summary'!$Y:$Y,'Threshold Summary'!$L:$L,"")/5+2)*pow*atk/def)/50)+2)),modifier,stab*eff,FLOOR(base*modifier)),0)</f>
        <v/>
      </c>
      <c r="L490" s="3">
        <f>IFERROR(LET(mtype,XLOOKUP($D490,'Move Editor'!$B:$B,'Move Editor'!$C:$C,""),cat,XLOOKUP($D490,'Move Editor'!$B:$B,'Move Editor'!$D:$D,""),pow,XLOOKUP($D490,'Move Editor'!$B:$B,'Move Editor'!$E:$E,0),acc,XLOOKUP($D490,'Move Editor'!$B:$B,'Move Editor'!$F:$F,100),atk,IF(cat="Physical",FLOOR((FLOOR(((2*XLOOKUP(XLOOKUP($Q490,'Threshold Summary'!$Y:$Y,'Threshold Summary'!$K:$K,""),'Pokemon Editor'!$A:$A,'Pokemon Editor'!$F:$F,0)+31+FLOOR(XLOOKUP($Q490,'Threshold Summary'!$Y:$Y,'Threshold Summary'!$P:$P,"")/4))*XLOOKUP($Q490,'Threshold Summary'!$Y:$Y,'Threshold Summary'!$L:$L,""))/100)+5)*XLOOKUP(XLOOKUP($Q490,'Threshold Summary'!$Y:$Y,'Threshold Summary'!$M:$M,""),'Nature Editor'!$A:$A,'Nature Editor'!$B:$B,1)),FLOOR((FLOOR(((2*XLOOKUP(XLOOKUP($Q490,'Threshold Summary'!$Y:$Y,'Threshold Summary'!$K:$K,""),'Pokemon Editor'!$A:$A,'Pokemon Editor'!$H:$H,0)+31+FLOOR(XLOOKUP($Q490,'Threshold Summary'!$Y:$Y,'Threshold Summary'!$R:$R,"")/4))*XLOOKUP($Q490,'Threshold Summary'!$Y:$Y,'Threshold Summary'!$L:$L,""))/100)+5)*XLOOKUP(XLOOKUP($Q490,'Threshold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Editor'!$E:$E,1))),stab,IF(OR(mtype=XLOOKUP(XLOOKUP($Q490,'Threshold Summary'!$Y:$Y,'Threshold Summary'!$K:$K,""),'Pokemon Editor'!$A:$A,'Pokemon Editor'!$C:$C,""),mtype=XLOOKUP(XLOOKUP($Q490,'Threshold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Chart'!$B$1:$S$1,0)))),base,IF(OR(cat="Status",pow=0),0,FLOOR(FLOOR(FLOOR((2*XLOOKUP($Q490,'Threshold Summary'!$Y:$Y,'Threshold Summary'!$L:$L,"")/5+2)*pow*atk/def)/50)+2)),modifier,stab*eff,AVERAGE(ARRAYFORMULA(FLOOR(base*modifier*SEQUENCE(16,1,85,1)/100)))),0)</f>
        <v/>
      </c>
      <c r="M490" s="3">
        <f>IFERROR(LET(mtype,XLOOKUP($D490,'Move Editor'!$B:$B,'Move Editor'!$C:$C,""),cat,XLOOKUP($D490,'Move Editor'!$B:$B,'Move Editor'!$D:$D,""),pow,XLOOKUP($D490,'Move Editor'!$B:$B,'Move Editor'!$E:$E,0),acc,XLOOKUP($D490,'Move Editor'!$B:$B,'Move Editor'!$F:$F,100),atk,IF(cat="Physical",FLOOR((FLOOR(((2*XLOOKUP(XLOOKUP($Q490,'Threshold Summary'!$Y:$Y,'Threshold Summary'!$K:$K,""),'Pokemon Editor'!$A:$A,'Pokemon Editor'!$F:$F,0)+31+FLOOR(XLOOKUP($Q490,'Threshold Summary'!$Y:$Y,'Threshold Summary'!$P:$P,"")/4))*XLOOKUP($Q490,'Threshold Summary'!$Y:$Y,'Threshold Summary'!$L:$L,""))/100)+5)*XLOOKUP(XLOOKUP($Q490,'Threshold Summary'!$Y:$Y,'Threshold Summary'!$M:$M,""),'Nature Editor'!$A:$A,'Nature Editor'!$B:$B,1)),FLOOR((FLOOR(((2*XLOOKUP(XLOOKUP($Q490,'Threshold Summary'!$Y:$Y,'Threshold Summary'!$K:$K,""),'Pokemon Editor'!$A:$A,'Pokemon Editor'!$H:$H,0)+31+FLOOR(XLOOKUP($Q490,'Threshold Summary'!$Y:$Y,'Threshold Summary'!$R:$R,"")/4))*XLOOKUP($Q490,'Threshold Summary'!$Y:$Y,'Threshold Summary'!$L:$L,""))/100)+5)*XLOOKUP(XLOOKUP($Q490,'Threshold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Editor'!$E:$E,1))),stab,IF(OR(mtype=XLOOKUP(XLOOKUP($Q490,'Threshold Summary'!$Y:$Y,'Threshold Summary'!$K:$K,""),'Pokemon Editor'!$A:$A,'Pokemon Editor'!$C:$C,""),mtype=XLOOKUP(XLOOKUP($Q490,'Threshold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Chart'!$B$1:$S$1,0)))),base,IF(OR(cat="Status",pow=0),0,FLOOR(FLOOR(FLOOR((2*XLOOKUP($Q490,'Threshold Summary'!$Y:$Y,'Threshold Summary'!$L:$L,"")/5+2)*pow*atk/def)/50)+2)),modifier,stab*eff,AVERAGE(ARRAYFORMULA(FLOOR(base*modifier*SEQUENCE(16,1,85,1)/100)))*MIN(1,acc/100)),0)</f>
        <v/>
      </c>
      <c r="N490" s="4">
        <f>IFERROR(LET(mtype,XLOOKUP($D490,'Move Editor'!$B:$B,'Move Editor'!$C:$C,""),cat,XLOOKUP($D490,'Move Editor'!$B:$B,'Move Editor'!$D:$D,""),pow,XLOOKUP($D490,'Move Editor'!$B:$B,'Move Editor'!$E:$E,0),acc,XLOOKUP($D490,'Move Editor'!$B:$B,'Move Editor'!$F:$F,100),atk,IF(cat="Physical",FLOOR((FLOOR(((2*XLOOKUP(XLOOKUP($Q490,'Threshold Summary'!$Y:$Y,'Threshold Summary'!$K:$K,""),'Pokemon Editor'!$A:$A,'Pokemon Editor'!$F:$F,0)+31+FLOOR(XLOOKUP($Q490,'Threshold Summary'!$Y:$Y,'Threshold Summary'!$P:$P,"")/4))*XLOOKUP($Q490,'Threshold Summary'!$Y:$Y,'Threshold Summary'!$L:$L,""))/100)+5)*XLOOKUP(XLOOKUP($Q490,'Threshold Summary'!$Y:$Y,'Threshold Summary'!$M:$M,""),'Nature Editor'!$A:$A,'Nature Editor'!$B:$B,1)),FLOOR((FLOOR(((2*XLOOKUP(XLOOKUP($Q490,'Threshold Summary'!$Y:$Y,'Threshold Summary'!$K:$K,""),'Pokemon Editor'!$A:$A,'Pokemon Editor'!$H:$H,0)+31+FLOOR(XLOOKUP($Q490,'Threshold Summary'!$Y:$Y,'Threshold Summary'!$R:$R,"")/4))*XLOOKUP($Q490,'Threshold Summary'!$Y:$Y,'Threshold Summary'!$L:$L,""))/100)+5)*XLOOKUP(XLOOKUP($Q490,'Threshold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Editor'!$E:$E,1))),stab,IF(OR(mtype=XLOOKUP(XLOOKUP($Q490,'Threshold Summary'!$Y:$Y,'Threshold Summary'!$K:$K,""),'Pokemon Editor'!$A:$A,'Pokemon Editor'!$C:$C,""),mtype=XLOOKUP(XLOOKUP($Q490,'Threshold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Chart'!$B$1:$S$1,0)))),base,IF(OR(cat="Status",pow=0),0,FLOOR(FLOOR(FLOOR((2*XLOOKUP($Q490,'Threshold Summary'!$Y:$Y,'Threshold Summary'!$L:$L,"")/5+2)*pow*atk/def)/50)+2)),modifier,stab*eff,AVERAGE(ARRAYFORMULA(FLOOR(base*modifier*SEQUENCE(16,1,85,1)/100)))/(FLOOR(((2*XLOOKUP('Boss Editor'!$C$4,'Pokemon Editor'!$A:$A,'Pokemon Editor'!$E:$E,0)+31+FLOOR('Boss Editor'!$G$4/4))*'Boss Editor'!$D$4)/100)+'Boss Editor'!$D$4+10)),0)</f>
        <v/>
      </c>
      <c r="O490" s="3">
        <f>IF(N490&gt;=1,"OHKO",IF(N490&gt;=0.5,"2HKO",IF(N490&gt;=0.333,"3HKO",IF(N490&gt;=0.25,"4HKO","5HKO+"))))</f>
        <v/>
      </c>
      <c r="P490" s="3" t="inlineStr">
        <is>
          <t>Live from editable databases</t>
        </is>
      </c>
      <c r="Q490" s="3" t="inlineStr">
        <is>
          <t>SPECIES_VENIPEDE</t>
        </is>
      </c>
      <c r="R490" s="3" t="n">
        <v>9</v>
      </c>
    </row>
    <row r="491">
      <c r="A491" s="3">
        <f>XLOOKUP($Q491,'Threshold Summary'!$Y:$Y,'Threshold Summary'!$A:$A,"")</f>
        <v/>
      </c>
      <c r="B491" s="3">
        <f>XLOOKUP($Q491,'Threshold Summary'!$Y:$Y,'Threshold Summary'!$M:$M,"")</f>
        <v/>
      </c>
      <c r="C491" s="3">
        <f>XLOOKUP($Q491,'Threshold Summary'!$Y:$Y,'Threshold Summary'!$N:$N,"")</f>
        <v/>
      </c>
      <c r="D491" s="3">
        <f>IFERROR(INDEX(FILTER('Learnset Editor'!$D$2:$D,'Learnset Editor'!$A$2:$A=XLOOKUP($Q491,'Threshold Summary'!$Y:$Y,'Threshold Summary'!$K:$K,""),'Learnset Editor'!$C$2:$C&lt;=XLOOKUP($Q491,'Threshold Summary'!$Y:$Y,'Threshold Summary'!$L:$L,"")),$R491),"")</f>
        <v/>
      </c>
      <c r="E491" s="3">
        <f>XLOOKUP(D491,'Move Editor'!$B:$B,'Move Editor'!$C:$C,"")</f>
        <v/>
      </c>
      <c r="F491" s="3">
        <f>XLOOKUP(D491,'Move Editor'!$B:$B,'Move Editor'!$D:$D,"")</f>
        <v/>
      </c>
      <c r="G491" s="3">
        <f>XLOOKUP(D491,'Move Editor'!$B:$B,'Move Editor'!$E:$E,0)</f>
        <v/>
      </c>
      <c r="H491" s="3">
        <f>XLOOKUP(D491,'Move Editor'!$B:$B,'Move Editor'!$F:$F,0)</f>
        <v/>
      </c>
      <c r="I491" s="3">
        <f>(INDEX('Type Chart'!$B:$S,MATCH(E491,'Type Chart'!$A:$A,0),MATCH(XLOOKUP('Boss Editor'!$C$4,'Pokemon Editor'!$A:$A,'Pokemon Editor'!$C:$C,""),'Type Chart'!$B$1:$S$1,0))*IF(XLOOKUP('Boss Editor'!$C$4,'Pokemon Editor'!$A:$A,'Pokemon Editor'!$D:$D,"")="",1,INDEX('Type Chart'!$B:$S,MATCH(E491,'Type Chart'!$A:$A,0),MATCH(XLOOKUP('Boss Editor'!$C$4,'Pokemon Editor'!$A:$A,'Pokemon Editor'!$D:$D,""),'Type Chart'!$B$1:$S$1,0))))</f>
        <v/>
      </c>
      <c r="J491" s="3">
        <f>IFERROR(LET(mtype,XLOOKUP($D491,'Move Editor'!$B:$B,'Move Editor'!$C:$C,""),cat,XLOOKUP($D491,'Move Editor'!$B:$B,'Move Editor'!$D:$D,""),pow,XLOOKUP($D491,'Move Editor'!$B:$B,'Move Editor'!$E:$E,0),acc,XLOOKUP($D491,'Move Editor'!$B:$B,'Move Editor'!$F:$F,100),atk,IF(cat="Physical",FLOOR((FLOOR(((2*XLOOKUP(XLOOKUP($Q491,'Threshold Summary'!$Y:$Y,'Threshold Summary'!$K:$K,""),'Pokemon Editor'!$A:$A,'Pokemon Editor'!$F:$F,0)+31+FLOOR(XLOOKUP($Q491,'Threshold Summary'!$Y:$Y,'Threshold Summary'!$P:$P,"")/4))*XLOOKUP($Q491,'Threshold Summary'!$Y:$Y,'Threshold Summary'!$L:$L,""))/100)+5)*XLOOKUP(XLOOKUP($Q491,'Threshold Summary'!$Y:$Y,'Threshold Summary'!$M:$M,""),'Nature Editor'!$A:$A,'Nature Editor'!$B:$B,1)),FLOOR((FLOOR(((2*XLOOKUP(XLOOKUP($Q491,'Threshold Summary'!$Y:$Y,'Threshold Summary'!$K:$K,""),'Pokemon Editor'!$A:$A,'Pokemon Editor'!$H:$H,0)+31+FLOOR(XLOOKUP($Q491,'Threshold Summary'!$Y:$Y,'Threshold Summary'!$R:$R,"")/4))*XLOOKUP($Q491,'Threshold Summary'!$Y:$Y,'Threshold Summary'!$L:$L,""))/100)+5)*XLOOKUP(XLOOKUP($Q491,'Threshold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Editor'!$E:$E,1))),stab,IF(OR(mtype=XLOOKUP(XLOOKUP($Q491,'Threshold Summary'!$Y:$Y,'Threshold Summary'!$K:$K,""),'Pokemon Editor'!$A:$A,'Pokemon Editor'!$C:$C,""),mtype=XLOOKUP(XLOOKUP($Q491,'Threshold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Chart'!$B$1:$S$1,0)))),base,IF(OR(cat="Status",pow=0),0,FLOOR(FLOOR(FLOOR((2*XLOOKUP($Q491,'Threshold Summary'!$Y:$Y,'Threshold Summary'!$L:$L,"")/5+2)*pow*atk/def)/50)+2)),modifier,stab*eff,FLOOR(base*modifier*0.85)),0)</f>
        <v/>
      </c>
      <c r="K491" s="3">
        <f>IFERROR(LET(mtype,XLOOKUP($D491,'Move Editor'!$B:$B,'Move Editor'!$C:$C,""),cat,XLOOKUP($D491,'Move Editor'!$B:$B,'Move Editor'!$D:$D,""),pow,XLOOKUP($D491,'Move Editor'!$B:$B,'Move Editor'!$E:$E,0),acc,XLOOKUP($D491,'Move Editor'!$B:$B,'Move Editor'!$F:$F,100),atk,IF(cat="Physical",FLOOR((FLOOR(((2*XLOOKUP(XLOOKUP($Q491,'Threshold Summary'!$Y:$Y,'Threshold Summary'!$K:$K,""),'Pokemon Editor'!$A:$A,'Pokemon Editor'!$F:$F,0)+31+FLOOR(XLOOKUP($Q491,'Threshold Summary'!$Y:$Y,'Threshold Summary'!$P:$P,"")/4))*XLOOKUP($Q491,'Threshold Summary'!$Y:$Y,'Threshold Summary'!$L:$L,""))/100)+5)*XLOOKUP(XLOOKUP($Q491,'Threshold Summary'!$Y:$Y,'Threshold Summary'!$M:$M,""),'Nature Editor'!$A:$A,'Nature Editor'!$B:$B,1)),FLOOR((FLOOR(((2*XLOOKUP(XLOOKUP($Q491,'Threshold Summary'!$Y:$Y,'Threshold Summary'!$K:$K,""),'Pokemon Editor'!$A:$A,'Pokemon Editor'!$H:$H,0)+31+FLOOR(XLOOKUP($Q491,'Threshold Summary'!$Y:$Y,'Threshold Summary'!$R:$R,"")/4))*XLOOKUP($Q491,'Threshold Summary'!$Y:$Y,'Threshold Summary'!$L:$L,""))/100)+5)*XLOOKUP(XLOOKUP($Q491,'Threshold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Editor'!$E:$E,1))),stab,IF(OR(mtype=XLOOKUP(XLOOKUP($Q491,'Threshold Summary'!$Y:$Y,'Threshold Summary'!$K:$K,""),'Pokemon Editor'!$A:$A,'Pokemon Editor'!$C:$C,""),mtype=XLOOKUP(XLOOKUP($Q491,'Threshold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Chart'!$B$1:$S$1,0)))),base,IF(OR(cat="Status",pow=0),0,FLOOR(FLOOR(FLOOR((2*XLOOKUP($Q491,'Threshold Summary'!$Y:$Y,'Threshold Summary'!$L:$L,"")/5+2)*pow*atk/def)/50)+2)),modifier,stab*eff,FLOOR(base*modifier)),0)</f>
        <v/>
      </c>
      <c r="L491" s="3">
        <f>IFERROR(LET(mtype,XLOOKUP($D491,'Move Editor'!$B:$B,'Move Editor'!$C:$C,""),cat,XLOOKUP($D491,'Move Editor'!$B:$B,'Move Editor'!$D:$D,""),pow,XLOOKUP($D491,'Move Editor'!$B:$B,'Move Editor'!$E:$E,0),acc,XLOOKUP($D491,'Move Editor'!$B:$B,'Move Editor'!$F:$F,100),atk,IF(cat="Physical",FLOOR((FLOOR(((2*XLOOKUP(XLOOKUP($Q491,'Threshold Summary'!$Y:$Y,'Threshold Summary'!$K:$K,""),'Pokemon Editor'!$A:$A,'Pokemon Editor'!$F:$F,0)+31+FLOOR(XLOOKUP($Q491,'Threshold Summary'!$Y:$Y,'Threshold Summary'!$P:$P,"")/4))*XLOOKUP($Q491,'Threshold Summary'!$Y:$Y,'Threshold Summary'!$L:$L,""))/100)+5)*XLOOKUP(XLOOKUP($Q491,'Threshold Summary'!$Y:$Y,'Threshold Summary'!$M:$M,""),'Nature Editor'!$A:$A,'Nature Editor'!$B:$B,1)),FLOOR((FLOOR(((2*XLOOKUP(XLOOKUP($Q491,'Threshold Summary'!$Y:$Y,'Threshold Summary'!$K:$K,""),'Pokemon Editor'!$A:$A,'Pokemon Editor'!$H:$H,0)+31+FLOOR(XLOOKUP($Q491,'Threshold Summary'!$Y:$Y,'Threshold Summary'!$R:$R,"")/4))*XLOOKUP($Q491,'Threshold Summary'!$Y:$Y,'Threshold Summary'!$L:$L,""))/100)+5)*XLOOKUP(XLOOKUP($Q491,'Threshold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Editor'!$E:$E,1))),stab,IF(OR(mtype=XLOOKUP(XLOOKUP($Q491,'Threshold Summary'!$Y:$Y,'Threshold Summary'!$K:$K,""),'Pokemon Editor'!$A:$A,'Pokemon Editor'!$C:$C,""),mtype=XLOOKUP(XLOOKUP($Q491,'Threshold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Chart'!$B$1:$S$1,0)))),base,IF(OR(cat="Status",pow=0),0,FLOOR(FLOOR(FLOOR((2*XLOOKUP($Q491,'Threshold Summary'!$Y:$Y,'Threshold Summary'!$L:$L,"")/5+2)*pow*atk/def)/50)+2)),modifier,stab*eff,AVERAGE(ARRAYFORMULA(FLOOR(base*modifier*SEQUENCE(16,1,85,1)/100)))),0)</f>
        <v/>
      </c>
      <c r="M491" s="3">
        <f>IFERROR(LET(mtype,XLOOKUP($D491,'Move Editor'!$B:$B,'Move Editor'!$C:$C,""),cat,XLOOKUP($D491,'Move Editor'!$B:$B,'Move Editor'!$D:$D,""),pow,XLOOKUP($D491,'Move Editor'!$B:$B,'Move Editor'!$E:$E,0),acc,XLOOKUP($D491,'Move Editor'!$B:$B,'Move Editor'!$F:$F,100),atk,IF(cat="Physical",FLOOR((FLOOR(((2*XLOOKUP(XLOOKUP($Q491,'Threshold Summary'!$Y:$Y,'Threshold Summary'!$K:$K,""),'Pokemon Editor'!$A:$A,'Pokemon Editor'!$F:$F,0)+31+FLOOR(XLOOKUP($Q491,'Threshold Summary'!$Y:$Y,'Threshold Summary'!$P:$P,"")/4))*XLOOKUP($Q491,'Threshold Summary'!$Y:$Y,'Threshold Summary'!$L:$L,""))/100)+5)*XLOOKUP(XLOOKUP($Q491,'Threshold Summary'!$Y:$Y,'Threshold Summary'!$M:$M,""),'Nature Editor'!$A:$A,'Nature Editor'!$B:$B,1)),FLOOR((FLOOR(((2*XLOOKUP(XLOOKUP($Q491,'Threshold Summary'!$Y:$Y,'Threshold Summary'!$K:$K,""),'Pokemon Editor'!$A:$A,'Pokemon Editor'!$H:$H,0)+31+FLOOR(XLOOKUP($Q491,'Threshold Summary'!$Y:$Y,'Threshold Summary'!$R:$R,"")/4))*XLOOKUP($Q491,'Threshold Summary'!$Y:$Y,'Threshold Summary'!$L:$L,""))/100)+5)*XLOOKUP(XLOOKUP($Q491,'Threshold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Editor'!$E:$E,1))),stab,IF(OR(mtype=XLOOKUP(XLOOKUP($Q491,'Threshold Summary'!$Y:$Y,'Threshold Summary'!$K:$K,""),'Pokemon Editor'!$A:$A,'Pokemon Editor'!$C:$C,""),mtype=XLOOKUP(XLOOKUP($Q491,'Threshold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Chart'!$B$1:$S$1,0)))),base,IF(OR(cat="Status",pow=0),0,FLOOR(FLOOR(FLOOR((2*XLOOKUP($Q491,'Threshold Summary'!$Y:$Y,'Threshold Summary'!$L:$L,"")/5+2)*pow*atk/def)/50)+2)),modifier,stab*eff,AVERAGE(ARRAYFORMULA(FLOOR(base*modifier*SEQUENCE(16,1,85,1)/100)))*MIN(1,acc/100)),0)</f>
        <v/>
      </c>
      <c r="N491" s="4">
        <f>IFERROR(LET(mtype,XLOOKUP($D491,'Move Editor'!$B:$B,'Move Editor'!$C:$C,""),cat,XLOOKUP($D491,'Move Editor'!$B:$B,'Move Editor'!$D:$D,""),pow,XLOOKUP($D491,'Move Editor'!$B:$B,'Move Editor'!$E:$E,0),acc,XLOOKUP($D491,'Move Editor'!$B:$B,'Move Editor'!$F:$F,100),atk,IF(cat="Physical",FLOOR((FLOOR(((2*XLOOKUP(XLOOKUP($Q491,'Threshold Summary'!$Y:$Y,'Threshold Summary'!$K:$K,""),'Pokemon Editor'!$A:$A,'Pokemon Editor'!$F:$F,0)+31+FLOOR(XLOOKUP($Q491,'Threshold Summary'!$Y:$Y,'Threshold Summary'!$P:$P,"")/4))*XLOOKUP($Q491,'Threshold Summary'!$Y:$Y,'Threshold Summary'!$L:$L,""))/100)+5)*XLOOKUP(XLOOKUP($Q491,'Threshold Summary'!$Y:$Y,'Threshold Summary'!$M:$M,""),'Nature Editor'!$A:$A,'Nature Editor'!$B:$B,1)),FLOOR((FLOOR(((2*XLOOKUP(XLOOKUP($Q491,'Threshold Summary'!$Y:$Y,'Threshold Summary'!$K:$K,""),'Pokemon Editor'!$A:$A,'Pokemon Editor'!$H:$H,0)+31+FLOOR(XLOOKUP($Q491,'Threshold Summary'!$Y:$Y,'Threshold Summary'!$R:$R,"")/4))*XLOOKUP($Q491,'Threshold Summary'!$Y:$Y,'Threshold Summary'!$L:$L,""))/100)+5)*XLOOKUP(XLOOKUP($Q491,'Threshold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Editor'!$E:$E,1))),stab,IF(OR(mtype=XLOOKUP(XLOOKUP($Q491,'Threshold Summary'!$Y:$Y,'Threshold Summary'!$K:$K,""),'Pokemon Editor'!$A:$A,'Pokemon Editor'!$C:$C,""),mtype=XLOOKUP(XLOOKUP($Q491,'Threshold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Chart'!$B$1:$S$1,0)))),base,IF(OR(cat="Status",pow=0),0,FLOOR(FLOOR(FLOOR((2*XLOOKUP($Q491,'Threshold Summary'!$Y:$Y,'Threshold Summary'!$L:$L,"")/5+2)*pow*atk/def)/50)+2)),modifier,stab*eff,AVERAGE(ARRAYFORMULA(FLOOR(base*modifier*SEQUENCE(16,1,85,1)/100)))/(FLOOR(((2*XLOOKUP('Boss Editor'!$C$4,'Pokemon Editor'!$A:$A,'Pokemon Editor'!$E:$E,0)+31+FLOOR('Boss Editor'!$G$4/4))*'Boss Editor'!$D$4)/100)+'Boss Editor'!$D$4+10)),0)</f>
        <v/>
      </c>
      <c r="O491" s="3">
        <f>IF(N491&gt;=1,"OHKO",IF(N491&gt;=0.5,"2HKO",IF(N491&gt;=0.333,"3HKO",IF(N491&gt;=0.25,"4HKO","5HKO+"))))</f>
        <v/>
      </c>
      <c r="P491" s="3" t="inlineStr">
        <is>
          <t>Live from editable databases</t>
        </is>
      </c>
      <c r="Q491" s="3" t="inlineStr">
        <is>
          <t>SPECIES_VENIPEDE</t>
        </is>
      </c>
      <c r="R491" s="3" t="n">
        <v>10</v>
      </c>
    </row>
    <row r="492">
      <c r="A492" s="3">
        <f>XLOOKUP($Q492,'Threshold Summary'!$Y:$Y,'Threshold Summary'!$A:$A,"")</f>
        <v/>
      </c>
      <c r="B492" s="3">
        <f>XLOOKUP($Q492,'Threshold Summary'!$Y:$Y,'Threshold Summary'!$M:$M,"")</f>
        <v/>
      </c>
      <c r="C492" s="3">
        <f>XLOOKUP($Q492,'Threshold Summary'!$Y:$Y,'Threshold Summary'!$N:$N,"")</f>
        <v/>
      </c>
      <c r="D492" s="3">
        <f>IFERROR(INDEX(FILTER('Learnset Editor'!$D$2:$D,'Learnset Editor'!$A$2:$A=XLOOKUP($Q492,'Threshold Summary'!$Y:$Y,'Threshold Summary'!$K:$K,""),'Learnset Editor'!$C$2:$C&lt;=XLOOKUP($Q492,'Threshold Summary'!$Y:$Y,'Threshold Summary'!$L:$L,"")),$R492),"")</f>
        <v/>
      </c>
      <c r="E492" s="3">
        <f>XLOOKUP(D492,'Move Editor'!$B:$B,'Move Editor'!$C:$C,"")</f>
        <v/>
      </c>
      <c r="F492" s="3">
        <f>XLOOKUP(D492,'Move Editor'!$B:$B,'Move Editor'!$D:$D,"")</f>
        <v/>
      </c>
      <c r="G492" s="3">
        <f>XLOOKUP(D492,'Move Editor'!$B:$B,'Move Editor'!$E:$E,0)</f>
        <v/>
      </c>
      <c r="H492" s="3">
        <f>XLOOKUP(D492,'Move Editor'!$B:$B,'Move Editor'!$F:$F,0)</f>
        <v/>
      </c>
      <c r="I492" s="3">
        <f>(INDEX('Type Chart'!$B:$S,MATCH(E492,'Type Chart'!$A:$A,0),MATCH(XLOOKUP('Boss Editor'!$C$4,'Pokemon Editor'!$A:$A,'Pokemon Editor'!$C:$C,""),'Type Chart'!$B$1:$S$1,0))*IF(XLOOKUP('Boss Editor'!$C$4,'Pokemon Editor'!$A:$A,'Pokemon Editor'!$D:$D,"")="",1,INDEX('Type Chart'!$B:$S,MATCH(E492,'Type Chart'!$A:$A,0),MATCH(XLOOKUP('Boss Editor'!$C$4,'Pokemon Editor'!$A:$A,'Pokemon Editor'!$D:$D,""),'Type Chart'!$B$1:$S$1,0))))</f>
        <v/>
      </c>
      <c r="J492" s="3">
        <f>IFERROR(LET(mtype,XLOOKUP($D492,'Move Editor'!$B:$B,'Move Editor'!$C:$C,""),cat,XLOOKUP($D492,'Move Editor'!$B:$B,'Move Editor'!$D:$D,""),pow,XLOOKUP($D492,'Move Editor'!$B:$B,'Move Editor'!$E:$E,0),acc,XLOOKUP($D492,'Move Editor'!$B:$B,'Move Editor'!$F:$F,100),atk,IF(cat="Physical",FLOOR((FLOOR(((2*XLOOKUP(XLOOKUP($Q492,'Threshold Summary'!$Y:$Y,'Threshold Summary'!$K:$K,""),'Pokemon Editor'!$A:$A,'Pokemon Editor'!$F:$F,0)+31+FLOOR(XLOOKUP($Q492,'Threshold Summary'!$Y:$Y,'Threshold Summary'!$P:$P,"")/4))*XLOOKUP($Q492,'Threshold Summary'!$Y:$Y,'Threshold Summary'!$L:$L,""))/100)+5)*XLOOKUP(XLOOKUP($Q492,'Threshold Summary'!$Y:$Y,'Threshold Summary'!$M:$M,""),'Nature Editor'!$A:$A,'Nature Editor'!$B:$B,1)),FLOOR((FLOOR(((2*XLOOKUP(XLOOKUP($Q492,'Threshold Summary'!$Y:$Y,'Threshold Summary'!$K:$K,""),'Pokemon Editor'!$A:$A,'Pokemon Editor'!$H:$H,0)+31+FLOOR(XLOOKUP($Q492,'Threshold Summary'!$Y:$Y,'Threshold Summary'!$R:$R,"")/4))*XLOOKUP($Q492,'Threshold Summary'!$Y:$Y,'Threshold Summary'!$L:$L,""))/100)+5)*XLOOKUP(XLOOKUP($Q492,'Threshold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Editor'!$E:$E,1))),stab,IF(OR(mtype=XLOOKUP(XLOOKUP($Q492,'Threshold Summary'!$Y:$Y,'Threshold Summary'!$K:$K,""),'Pokemon Editor'!$A:$A,'Pokemon Editor'!$C:$C,""),mtype=XLOOKUP(XLOOKUP($Q492,'Threshold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Chart'!$B$1:$S$1,0)))),base,IF(OR(cat="Status",pow=0),0,FLOOR(FLOOR(FLOOR((2*XLOOKUP($Q492,'Threshold Summary'!$Y:$Y,'Threshold Summary'!$L:$L,"")/5+2)*pow*atk/def)/50)+2)),modifier,stab*eff,FLOOR(base*modifier*0.85)),0)</f>
        <v/>
      </c>
      <c r="K492" s="3">
        <f>IFERROR(LET(mtype,XLOOKUP($D492,'Move Editor'!$B:$B,'Move Editor'!$C:$C,""),cat,XLOOKUP($D492,'Move Editor'!$B:$B,'Move Editor'!$D:$D,""),pow,XLOOKUP($D492,'Move Editor'!$B:$B,'Move Editor'!$E:$E,0),acc,XLOOKUP($D492,'Move Editor'!$B:$B,'Move Editor'!$F:$F,100),atk,IF(cat="Physical",FLOOR((FLOOR(((2*XLOOKUP(XLOOKUP($Q492,'Threshold Summary'!$Y:$Y,'Threshold Summary'!$K:$K,""),'Pokemon Editor'!$A:$A,'Pokemon Editor'!$F:$F,0)+31+FLOOR(XLOOKUP($Q492,'Threshold Summary'!$Y:$Y,'Threshold Summary'!$P:$P,"")/4))*XLOOKUP($Q492,'Threshold Summary'!$Y:$Y,'Threshold Summary'!$L:$L,""))/100)+5)*XLOOKUP(XLOOKUP($Q492,'Threshold Summary'!$Y:$Y,'Threshold Summary'!$M:$M,""),'Nature Editor'!$A:$A,'Nature Editor'!$B:$B,1)),FLOOR((FLOOR(((2*XLOOKUP(XLOOKUP($Q492,'Threshold Summary'!$Y:$Y,'Threshold Summary'!$K:$K,""),'Pokemon Editor'!$A:$A,'Pokemon Editor'!$H:$H,0)+31+FLOOR(XLOOKUP($Q492,'Threshold Summary'!$Y:$Y,'Threshold Summary'!$R:$R,"")/4))*XLOOKUP($Q492,'Threshold Summary'!$Y:$Y,'Threshold Summary'!$L:$L,""))/100)+5)*XLOOKUP(XLOOKUP($Q492,'Threshold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Editor'!$E:$E,1))),stab,IF(OR(mtype=XLOOKUP(XLOOKUP($Q492,'Threshold Summary'!$Y:$Y,'Threshold Summary'!$K:$K,""),'Pokemon Editor'!$A:$A,'Pokemon Editor'!$C:$C,""),mtype=XLOOKUP(XLOOKUP($Q492,'Threshold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Chart'!$B$1:$S$1,0)))),base,IF(OR(cat="Status",pow=0),0,FLOOR(FLOOR(FLOOR((2*XLOOKUP($Q492,'Threshold Summary'!$Y:$Y,'Threshold Summary'!$L:$L,"")/5+2)*pow*atk/def)/50)+2)),modifier,stab*eff,FLOOR(base*modifier)),0)</f>
        <v/>
      </c>
      <c r="L492" s="3">
        <f>IFERROR(LET(mtype,XLOOKUP($D492,'Move Editor'!$B:$B,'Move Editor'!$C:$C,""),cat,XLOOKUP($D492,'Move Editor'!$B:$B,'Move Editor'!$D:$D,""),pow,XLOOKUP($D492,'Move Editor'!$B:$B,'Move Editor'!$E:$E,0),acc,XLOOKUP($D492,'Move Editor'!$B:$B,'Move Editor'!$F:$F,100),atk,IF(cat="Physical",FLOOR((FLOOR(((2*XLOOKUP(XLOOKUP($Q492,'Threshold Summary'!$Y:$Y,'Threshold Summary'!$K:$K,""),'Pokemon Editor'!$A:$A,'Pokemon Editor'!$F:$F,0)+31+FLOOR(XLOOKUP($Q492,'Threshold Summary'!$Y:$Y,'Threshold Summary'!$P:$P,"")/4))*XLOOKUP($Q492,'Threshold Summary'!$Y:$Y,'Threshold Summary'!$L:$L,""))/100)+5)*XLOOKUP(XLOOKUP($Q492,'Threshold Summary'!$Y:$Y,'Threshold Summary'!$M:$M,""),'Nature Editor'!$A:$A,'Nature Editor'!$B:$B,1)),FLOOR((FLOOR(((2*XLOOKUP(XLOOKUP($Q492,'Threshold Summary'!$Y:$Y,'Threshold Summary'!$K:$K,""),'Pokemon Editor'!$A:$A,'Pokemon Editor'!$H:$H,0)+31+FLOOR(XLOOKUP($Q492,'Threshold Summary'!$Y:$Y,'Threshold Summary'!$R:$R,"")/4))*XLOOKUP($Q492,'Threshold Summary'!$Y:$Y,'Threshold Summary'!$L:$L,""))/100)+5)*XLOOKUP(XLOOKUP($Q492,'Threshold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Editor'!$E:$E,1))),stab,IF(OR(mtype=XLOOKUP(XLOOKUP($Q492,'Threshold Summary'!$Y:$Y,'Threshold Summary'!$K:$K,""),'Pokemon Editor'!$A:$A,'Pokemon Editor'!$C:$C,""),mtype=XLOOKUP(XLOOKUP($Q492,'Threshold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Chart'!$B$1:$S$1,0)))),base,IF(OR(cat="Status",pow=0),0,FLOOR(FLOOR(FLOOR((2*XLOOKUP($Q492,'Threshold Summary'!$Y:$Y,'Threshold Summary'!$L:$L,"")/5+2)*pow*atk/def)/50)+2)),modifier,stab*eff,AVERAGE(ARRAYFORMULA(FLOOR(base*modifier*SEQUENCE(16,1,85,1)/100)))),0)</f>
        <v/>
      </c>
      <c r="M492" s="3">
        <f>IFERROR(LET(mtype,XLOOKUP($D492,'Move Editor'!$B:$B,'Move Editor'!$C:$C,""),cat,XLOOKUP($D492,'Move Editor'!$B:$B,'Move Editor'!$D:$D,""),pow,XLOOKUP($D492,'Move Editor'!$B:$B,'Move Editor'!$E:$E,0),acc,XLOOKUP($D492,'Move Editor'!$B:$B,'Move Editor'!$F:$F,100),atk,IF(cat="Physical",FLOOR((FLOOR(((2*XLOOKUP(XLOOKUP($Q492,'Threshold Summary'!$Y:$Y,'Threshold Summary'!$K:$K,""),'Pokemon Editor'!$A:$A,'Pokemon Editor'!$F:$F,0)+31+FLOOR(XLOOKUP($Q492,'Threshold Summary'!$Y:$Y,'Threshold Summary'!$P:$P,"")/4))*XLOOKUP($Q492,'Threshold Summary'!$Y:$Y,'Threshold Summary'!$L:$L,""))/100)+5)*XLOOKUP(XLOOKUP($Q492,'Threshold Summary'!$Y:$Y,'Threshold Summary'!$M:$M,""),'Nature Editor'!$A:$A,'Nature Editor'!$B:$B,1)),FLOOR((FLOOR(((2*XLOOKUP(XLOOKUP($Q492,'Threshold Summary'!$Y:$Y,'Threshold Summary'!$K:$K,""),'Pokemon Editor'!$A:$A,'Pokemon Editor'!$H:$H,0)+31+FLOOR(XLOOKUP($Q492,'Threshold Summary'!$Y:$Y,'Threshold Summary'!$R:$R,"")/4))*XLOOKUP($Q492,'Threshold Summary'!$Y:$Y,'Threshold Summary'!$L:$L,""))/100)+5)*XLOOKUP(XLOOKUP($Q492,'Threshold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Editor'!$E:$E,1))),stab,IF(OR(mtype=XLOOKUP(XLOOKUP($Q492,'Threshold Summary'!$Y:$Y,'Threshold Summary'!$K:$K,""),'Pokemon Editor'!$A:$A,'Pokemon Editor'!$C:$C,""),mtype=XLOOKUP(XLOOKUP($Q492,'Threshold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Chart'!$B$1:$S$1,0)))),base,IF(OR(cat="Status",pow=0),0,FLOOR(FLOOR(FLOOR((2*XLOOKUP($Q492,'Threshold Summary'!$Y:$Y,'Threshold Summary'!$L:$L,"")/5+2)*pow*atk/def)/50)+2)),modifier,stab*eff,AVERAGE(ARRAYFORMULA(FLOOR(base*modifier*SEQUENCE(16,1,85,1)/100)))*MIN(1,acc/100)),0)</f>
        <v/>
      </c>
      <c r="N492" s="4">
        <f>IFERROR(LET(mtype,XLOOKUP($D492,'Move Editor'!$B:$B,'Move Editor'!$C:$C,""),cat,XLOOKUP($D492,'Move Editor'!$B:$B,'Move Editor'!$D:$D,""),pow,XLOOKUP($D492,'Move Editor'!$B:$B,'Move Editor'!$E:$E,0),acc,XLOOKUP($D492,'Move Editor'!$B:$B,'Move Editor'!$F:$F,100),atk,IF(cat="Physical",FLOOR((FLOOR(((2*XLOOKUP(XLOOKUP($Q492,'Threshold Summary'!$Y:$Y,'Threshold Summary'!$K:$K,""),'Pokemon Editor'!$A:$A,'Pokemon Editor'!$F:$F,0)+31+FLOOR(XLOOKUP($Q492,'Threshold Summary'!$Y:$Y,'Threshold Summary'!$P:$P,"")/4))*XLOOKUP($Q492,'Threshold Summary'!$Y:$Y,'Threshold Summary'!$L:$L,""))/100)+5)*XLOOKUP(XLOOKUP($Q492,'Threshold Summary'!$Y:$Y,'Threshold Summary'!$M:$M,""),'Nature Editor'!$A:$A,'Nature Editor'!$B:$B,1)),FLOOR((FLOOR(((2*XLOOKUP(XLOOKUP($Q492,'Threshold Summary'!$Y:$Y,'Threshold Summary'!$K:$K,""),'Pokemon Editor'!$A:$A,'Pokemon Editor'!$H:$H,0)+31+FLOOR(XLOOKUP($Q492,'Threshold Summary'!$Y:$Y,'Threshold Summary'!$R:$R,"")/4))*XLOOKUP($Q492,'Threshold Summary'!$Y:$Y,'Threshold Summary'!$L:$L,""))/100)+5)*XLOOKUP(XLOOKUP($Q492,'Threshold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Editor'!$E:$E,1))),stab,IF(OR(mtype=XLOOKUP(XLOOKUP($Q492,'Threshold Summary'!$Y:$Y,'Threshold Summary'!$K:$K,""),'Pokemon Editor'!$A:$A,'Pokemon Editor'!$C:$C,""),mtype=XLOOKUP(XLOOKUP($Q492,'Threshold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Chart'!$B$1:$S$1,0)))),base,IF(OR(cat="Status",pow=0),0,FLOOR(FLOOR(FLOOR((2*XLOOKUP($Q492,'Threshold Summary'!$Y:$Y,'Threshold Summary'!$L:$L,"")/5+2)*pow*atk/def)/50)+2)),modifier,stab*eff,AVERAGE(ARRAYFORMULA(FLOOR(base*modifier*SEQUENCE(16,1,85,1)/100)))/(FLOOR(((2*XLOOKUP('Boss Editor'!$C$4,'Pokemon Editor'!$A:$A,'Pokemon Editor'!$E:$E,0)+31+FLOOR('Boss Editor'!$G$4/4))*'Boss Editor'!$D$4)/100)+'Boss Editor'!$D$4+10)),0)</f>
        <v/>
      </c>
      <c r="O492" s="3">
        <f>IF(N492&gt;=1,"OHKO",IF(N492&gt;=0.5,"2HKO",IF(N492&gt;=0.333,"3HKO",IF(N492&gt;=0.25,"4HKO","5HKO+"))))</f>
        <v/>
      </c>
      <c r="P492" s="3" t="inlineStr">
        <is>
          <t>Live from editable databases</t>
        </is>
      </c>
      <c r="Q492" s="3" t="inlineStr">
        <is>
          <t>SPECIES_VENIPEDE</t>
        </is>
      </c>
      <c r="R492" s="3" t="n">
        <v>11</v>
      </c>
    </row>
    <row r="493">
      <c r="A493" s="3">
        <f>XLOOKUP($Q493,'Threshold Summary'!$Y:$Y,'Threshold Summary'!$A:$A,"")</f>
        <v/>
      </c>
      <c r="B493" s="3">
        <f>XLOOKUP($Q493,'Threshold Summary'!$Y:$Y,'Threshold Summary'!$M:$M,"")</f>
        <v/>
      </c>
      <c r="C493" s="3">
        <f>XLOOKUP($Q493,'Threshold Summary'!$Y:$Y,'Threshold Summary'!$N:$N,"")</f>
        <v/>
      </c>
      <c r="D493" s="3">
        <f>IFERROR(INDEX(FILTER('Learnset Editor'!$D$2:$D,'Learnset Editor'!$A$2:$A=XLOOKUP($Q493,'Threshold Summary'!$Y:$Y,'Threshold Summary'!$K:$K,""),'Learnset Editor'!$C$2:$C&lt;=XLOOKUP($Q493,'Threshold Summary'!$Y:$Y,'Threshold Summary'!$L:$L,"")),$R493),"")</f>
        <v/>
      </c>
      <c r="E493" s="3">
        <f>XLOOKUP(D493,'Move Editor'!$B:$B,'Move Editor'!$C:$C,"")</f>
        <v/>
      </c>
      <c r="F493" s="3">
        <f>XLOOKUP(D493,'Move Editor'!$B:$B,'Move Editor'!$D:$D,"")</f>
        <v/>
      </c>
      <c r="G493" s="3">
        <f>XLOOKUP(D493,'Move Editor'!$B:$B,'Move Editor'!$E:$E,0)</f>
        <v/>
      </c>
      <c r="H493" s="3">
        <f>XLOOKUP(D493,'Move Editor'!$B:$B,'Move Editor'!$F:$F,0)</f>
        <v/>
      </c>
      <c r="I493" s="3">
        <f>(INDEX('Type Chart'!$B:$S,MATCH(E493,'Type Chart'!$A:$A,0),MATCH(XLOOKUP('Boss Editor'!$C$4,'Pokemon Editor'!$A:$A,'Pokemon Editor'!$C:$C,""),'Type Chart'!$B$1:$S$1,0))*IF(XLOOKUP('Boss Editor'!$C$4,'Pokemon Editor'!$A:$A,'Pokemon Editor'!$D:$D,"")="",1,INDEX('Type Chart'!$B:$S,MATCH(E493,'Type Chart'!$A:$A,0),MATCH(XLOOKUP('Boss Editor'!$C$4,'Pokemon Editor'!$A:$A,'Pokemon Editor'!$D:$D,""),'Type Chart'!$B$1:$S$1,0))))</f>
        <v/>
      </c>
      <c r="J493" s="3">
        <f>IFERROR(LET(mtype,XLOOKUP($D493,'Move Editor'!$B:$B,'Move Editor'!$C:$C,""),cat,XLOOKUP($D493,'Move Editor'!$B:$B,'Move Editor'!$D:$D,""),pow,XLOOKUP($D493,'Move Editor'!$B:$B,'Move Editor'!$E:$E,0),acc,XLOOKUP($D493,'Move Editor'!$B:$B,'Move Editor'!$F:$F,100),atk,IF(cat="Physical",FLOOR((FLOOR(((2*XLOOKUP(XLOOKUP($Q493,'Threshold Summary'!$Y:$Y,'Threshold Summary'!$K:$K,""),'Pokemon Editor'!$A:$A,'Pokemon Editor'!$F:$F,0)+31+FLOOR(XLOOKUP($Q493,'Threshold Summary'!$Y:$Y,'Threshold Summary'!$P:$P,"")/4))*XLOOKUP($Q493,'Threshold Summary'!$Y:$Y,'Threshold Summary'!$L:$L,""))/100)+5)*XLOOKUP(XLOOKUP($Q493,'Threshold Summary'!$Y:$Y,'Threshold Summary'!$M:$M,""),'Nature Editor'!$A:$A,'Nature Editor'!$B:$B,1)),FLOOR((FLOOR(((2*XLOOKUP(XLOOKUP($Q493,'Threshold Summary'!$Y:$Y,'Threshold Summary'!$K:$K,""),'Pokemon Editor'!$A:$A,'Pokemon Editor'!$H:$H,0)+31+FLOOR(XLOOKUP($Q493,'Threshold Summary'!$Y:$Y,'Threshold Summary'!$R:$R,"")/4))*XLOOKUP($Q493,'Threshold Summary'!$Y:$Y,'Threshold Summary'!$L:$L,""))/100)+5)*XLOOKUP(XLOOKUP($Q493,'Threshold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Editor'!$E:$E,1))),stab,IF(OR(mtype=XLOOKUP(XLOOKUP($Q493,'Threshold Summary'!$Y:$Y,'Threshold Summary'!$K:$K,""),'Pokemon Editor'!$A:$A,'Pokemon Editor'!$C:$C,""),mtype=XLOOKUP(XLOOKUP($Q493,'Threshold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Chart'!$B$1:$S$1,0)))),base,IF(OR(cat="Status",pow=0),0,FLOOR(FLOOR(FLOOR((2*XLOOKUP($Q493,'Threshold Summary'!$Y:$Y,'Threshold Summary'!$L:$L,"")/5+2)*pow*atk/def)/50)+2)),modifier,stab*eff,FLOOR(base*modifier*0.85)),0)</f>
        <v/>
      </c>
      <c r="K493" s="3">
        <f>IFERROR(LET(mtype,XLOOKUP($D493,'Move Editor'!$B:$B,'Move Editor'!$C:$C,""),cat,XLOOKUP($D493,'Move Editor'!$B:$B,'Move Editor'!$D:$D,""),pow,XLOOKUP($D493,'Move Editor'!$B:$B,'Move Editor'!$E:$E,0),acc,XLOOKUP($D493,'Move Editor'!$B:$B,'Move Editor'!$F:$F,100),atk,IF(cat="Physical",FLOOR((FLOOR(((2*XLOOKUP(XLOOKUP($Q493,'Threshold Summary'!$Y:$Y,'Threshold Summary'!$K:$K,""),'Pokemon Editor'!$A:$A,'Pokemon Editor'!$F:$F,0)+31+FLOOR(XLOOKUP($Q493,'Threshold Summary'!$Y:$Y,'Threshold Summary'!$P:$P,"")/4))*XLOOKUP($Q493,'Threshold Summary'!$Y:$Y,'Threshold Summary'!$L:$L,""))/100)+5)*XLOOKUP(XLOOKUP($Q493,'Threshold Summary'!$Y:$Y,'Threshold Summary'!$M:$M,""),'Nature Editor'!$A:$A,'Nature Editor'!$B:$B,1)),FLOOR((FLOOR(((2*XLOOKUP(XLOOKUP($Q493,'Threshold Summary'!$Y:$Y,'Threshold Summary'!$K:$K,""),'Pokemon Editor'!$A:$A,'Pokemon Editor'!$H:$H,0)+31+FLOOR(XLOOKUP($Q493,'Threshold Summary'!$Y:$Y,'Threshold Summary'!$R:$R,"")/4))*XLOOKUP($Q493,'Threshold Summary'!$Y:$Y,'Threshold Summary'!$L:$L,""))/100)+5)*XLOOKUP(XLOOKUP($Q493,'Threshold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Editor'!$E:$E,1))),stab,IF(OR(mtype=XLOOKUP(XLOOKUP($Q493,'Threshold Summary'!$Y:$Y,'Threshold Summary'!$K:$K,""),'Pokemon Editor'!$A:$A,'Pokemon Editor'!$C:$C,""),mtype=XLOOKUP(XLOOKUP($Q493,'Threshold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Chart'!$B$1:$S$1,0)))),base,IF(OR(cat="Status",pow=0),0,FLOOR(FLOOR(FLOOR((2*XLOOKUP($Q493,'Threshold Summary'!$Y:$Y,'Threshold Summary'!$L:$L,"")/5+2)*pow*atk/def)/50)+2)),modifier,stab*eff,FLOOR(base*modifier)),0)</f>
        <v/>
      </c>
      <c r="L493" s="3">
        <f>IFERROR(LET(mtype,XLOOKUP($D493,'Move Editor'!$B:$B,'Move Editor'!$C:$C,""),cat,XLOOKUP($D493,'Move Editor'!$B:$B,'Move Editor'!$D:$D,""),pow,XLOOKUP($D493,'Move Editor'!$B:$B,'Move Editor'!$E:$E,0),acc,XLOOKUP($D493,'Move Editor'!$B:$B,'Move Editor'!$F:$F,100),atk,IF(cat="Physical",FLOOR((FLOOR(((2*XLOOKUP(XLOOKUP($Q493,'Threshold Summary'!$Y:$Y,'Threshold Summary'!$K:$K,""),'Pokemon Editor'!$A:$A,'Pokemon Editor'!$F:$F,0)+31+FLOOR(XLOOKUP($Q493,'Threshold Summary'!$Y:$Y,'Threshold Summary'!$P:$P,"")/4))*XLOOKUP($Q493,'Threshold Summary'!$Y:$Y,'Threshold Summary'!$L:$L,""))/100)+5)*XLOOKUP(XLOOKUP($Q493,'Threshold Summary'!$Y:$Y,'Threshold Summary'!$M:$M,""),'Nature Editor'!$A:$A,'Nature Editor'!$B:$B,1)),FLOOR((FLOOR(((2*XLOOKUP(XLOOKUP($Q493,'Threshold Summary'!$Y:$Y,'Threshold Summary'!$K:$K,""),'Pokemon Editor'!$A:$A,'Pokemon Editor'!$H:$H,0)+31+FLOOR(XLOOKUP($Q493,'Threshold Summary'!$Y:$Y,'Threshold Summary'!$R:$R,"")/4))*XLOOKUP($Q493,'Threshold Summary'!$Y:$Y,'Threshold Summary'!$L:$L,""))/100)+5)*XLOOKUP(XLOOKUP($Q493,'Threshold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Editor'!$E:$E,1))),stab,IF(OR(mtype=XLOOKUP(XLOOKUP($Q493,'Threshold Summary'!$Y:$Y,'Threshold Summary'!$K:$K,""),'Pokemon Editor'!$A:$A,'Pokemon Editor'!$C:$C,""),mtype=XLOOKUP(XLOOKUP($Q493,'Threshold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Chart'!$B$1:$S$1,0)))),base,IF(OR(cat="Status",pow=0),0,FLOOR(FLOOR(FLOOR((2*XLOOKUP($Q493,'Threshold Summary'!$Y:$Y,'Threshold Summary'!$L:$L,"")/5+2)*pow*atk/def)/50)+2)),modifier,stab*eff,AVERAGE(ARRAYFORMULA(FLOOR(base*modifier*SEQUENCE(16,1,85,1)/100)))),0)</f>
        <v/>
      </c>
      <c r="M493" s="3">
        <f>IFERROR(LET(mtype,XLOOKUP($D493,'Move Editor'!$B:$B,'Move Editor'!$C:$C,""),cat,XLOOKUP($D493,'Move Editor'!$B:$B,'Move Editor'!$D:$D,""),pow,XLOOKUP($D493,'Move Editor'!$B:$B,'Move Editor'!$E:$E,0),acc,XLOOKUP($D493,'Move Editor'!$B:$B,'Move Editor'!$F:$F,100),atk,IF(cat="Physical",FLOOR((FLOOR(((2*XLOOKUP(XLOOKUP($Q493,'Threshold Summary'!$Y:$Y,'Threshold Summary'!$K:$K,""),'Pokemon Editor'!$A:$A,'Pokemon Editor'!$F:$F,0)+31+FLOOR(XLOOKUP($Q493,'Threshold Summary'!$Y:$Y,'Threshold Summary'!$P:$P,"")/4))*XLOOKUP($Q493,'Threshold Summary'!$Y:$Y,'Threshold Summary'!$L:$L,""))/100)+5)*XLOOKUP(XLOOKUP($Q493,'Threshold Summary'!$Y:$Y,'Threshold Summary'!$M:$M,""),'Nature Editor'!$A:$A,'Nature Editor'!$B:$B,1)),FLOOR((FLOOR(((2*XLOOKUP(XLOOKUP($Q493,'Threshold Summary'!$Y:$Y,'Threshold Summary'!$K:$K,""),'Pokemon Editor'!$A:$A,'Pokemon Editor'!$H:$H,0)+31+FLOOR(XLOOKUP($Q493,'Threshold Summary'!$Y:$Y,'Threshold Summary'!$R:$R,"")/4))*XLOOKUP($Q493,'Threshold Summary'!$Y:$Y,'Threshold Summary'!$L:$L,""))/100)+5)*XLOOKUP(XLOOKUP($Q493,'Threshold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Editor'!$E:$E,1))),stab,IF(OR(mtype=XLOOKUP(XLOOKUP($Q493,'Threshold Summary'!$Y:$Y,'Threshold Summary'!$K:$K,""),'Pokemon Editor'!$A:$A,'Pokemon Editor'!$C:$C,""),mtype=XLOOKUP(XLOOKUP($Q493,'Threshold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Chart'!$B$1:$S$1,0)))),base,IF(OR(cat="Status",pow=0),0,FLOOR(FLOOR(FLOOR((2*XLOOKUP($Q493,'Threshold Summary'!$Y:$Y,'Threshold Summary'!$L:$L,"")/5+2)*pow*atk/def)/50)+2)),modifier,stab*eff,AVERAGE(ARRAYFORMULA(FLOOR(base*modifier*SEQUENCE(16,1,85,1)/100)))*MIN(1,acc/100)),0)</f>
        <v/>
      </c>
      <c r="N493" s="4">
        <f>IFERROR(LET(mtype,XLOOKUP($D493,'Move Editor'!$B:$B,'Move Editor'!$C:$C,""),cat,XLOOKUP($D493,'Move Editor'!$B:$B,'Move Editor'!$D:$D,""),pow,XLOOKUP($D493,'Move Editor'!$B:$B,'Move Editor'!$E:$E,0),acc,XLOOKUP($D493,'Move Editor'!$B:$B,'Move Editor'!$F:$F,100),atk,IF(cat="Physical",FLOOR((FLOOR(((2*XLOOKUP(XLOOKUP($Q493,'Threshold Summary'!$Y:$Y,'Threshold Summary'!$K:$K,""),'Pokemon Editor'!$A:$A,'Pokemon Editor'!$F:$F,0)+31+FLOOR(XLOOKUP($Q493,'Threshold Summary'!$Y:$Y,'Threshold Summary'!$P:$P,"")/4))*XLOOKUP($Q493,'Threshold Summary'!$Y:$Y,'Threshold Summary'!$L:$L,""))/100)+5)*XLOOKUP(XLOOKUP($Q493,'Threshold Summary'!$Y:$Y,'Threshold Summary'!$M:$M,""),'Nature Editor'!$A:$A,'Nature Editor'!$B:$B,1)),FLOOR((FLOOR(((2*XLOOKUP(XLOOKUP($Q493,'Threshold Summary'!$Y:$Y,'Threshold Summary'!$K:$K,""),'Pokemon Editor'!$A:$A,'Pokemon Editor'!$H:$H,0)+31+FLOOR(XLOOKUP($Q493,'Threshold Summary'!$Y:$Y,'Threshold Summary'!$R:$R,"")/4))*XLOOKUP($Q493,'Threshold Summary'!$Y:$Y,'Threshold Summary'!$L:$L,""))/100)+5)*XLOOKUP(XLOOKUP($Q493,'Threshold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Editor'!$E:$E,1))),stab,IF(OR(mtype=XLOOKUP(XLOOKUP($Q493,'Threshold Summary'!$Y:$Y,'Threshold Summary'!$K:$K,""),'Pokemon Editor'!$A:$A,'Pokemon Editor'!$C:$C,""),mtype=XLOOKUP(XLOOKUP($Q493,'Threshold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Chart'!$B$1:$S$1,0)))),base,IF(OR(cat="Status",pow=0),0,FLOOR(FLOOR(FLOOR((2*XLOOKUP($Q493,'Threshold Summary'!$Y:$Y,'Threshold Summary'!$L:$L,"")/5+2)*pow*atk/def)/50)+2)),modifier,stab*eff,AVERAGE(ARRAYFORMULA(FLOOR(base*modifier*SEQUENCE(16,1,85,1)/100)))/(FLOOR(((2*XLOOKUP('Boss Editor'!$C$4,'Pokemon Editor'!$A:$A,'Pokemon Editor'!$E:$E,0)+31+FLOOR('Boss Editor'!$G$4/4))*'Boss Editor'!$D$4)/100)+'Boss Editor'!$D$4+10)),0)</f>
        <v/>
      </c>
      <c r="O493" s="3">
        <f>IF(N493&gt;=1,"OHKO",IF(N493&gt;=0.5,"2HKO",IF(N493&gt;=0.333,"3HKO",IF(N493&gt;=0.25,"4HKO","5HKO+"))))</f>
        <v/>
      </c>
      <c r="P493" s="3" t="inlineStr">
        <is>
          <t>Live from editable databases</t>
        </is>
      </c>
      <c r="Q493" s="3" t="inlineStr">
        <is>
          <t>SPECIES_VENIPEDE</t>
        </is>
      </c>
      <c r="R493" s="3" t="n">
        <v>12</v>
      </c>
    </row>
    <row r="494">
      <c r="A494" s="3">
        <f>XLOOKUP($Q494,'Threshold Summary'!$Y:$Y,'Threshold Summary'!$A:$A,"")</f>
        <v/>
      </c>
      <c r="B494" s="3">
        <f>XLOOKUP($Q494,'Threshold Summary'!$Y:$Y,'Threshold Summary'!$M:$M,"")</f>
        <v/>
      </c>
      <c r="C494" s="3">
        <f>XLOOKUP($Q494,'Threshold Summary'!$Y:$Y,'Threshold Summary'!$N:$N,"")</f>
        <v/>
      </c>
      <c r="D494" s="3">
        <f>IFERROR(INDEX(FILTER('Learnset Editor'!$D$2:$D,'Learnset Editor'!$A$2:$A=XLOOKUP($Q494,'Threshold Summary'!$Y:$Y,'Threshold Summary'!$K:$K,""),'Learnset Editor'!$C$2:$C&lt;=XLOOKUP($Q494,'Threshold Summary'!$Y:$Y,'Threshold Summary'!$L:$L,"")),$R494),"")</f>
        <v/>
      </c>
      <c r="E494" s="3">
        <f>XLOOKUP(D494,'Move Editor'!$B:$B,'Move Editor'!$C:$C,"")</f>
        <v/>
      </c>
      <c r="F494" s="3">
        <f>XLOOKUP(D494,'Move Editor'!$B:$B,'Move Editor'!$D:$D,"")</f>
        <v/>
      </c>
      <c r="G494" s="3">
        <f>XLOOKUP(D494,'Move Editor'!$B:$B,'Move Editor'!$E:$E,0)</f>
        <v/>
      </c>
      <c r="H494" s="3">
        <f>XLOOKUP(D494,'Move Editor'!$B:$B,'Move Editor'!$F:$F,0)</f>
        <v/>
      </c>
      <c r="I494" s="3">
        <f>(INDEX('Type Chart'!$B:$S,MATCH(E494,'Type Chart'!$A:$A,0),MATCH(XLOOKUP('Boss Editor'!$C$4,'Pokemon Editor'!$A:$A,'Pokemon Editor'!$C:$C,""),'Type Chart'!$B$1:$S$1,0))*IF(XLOOKUP('Boss Editor'!$C$4,'Pokemon Editor'!$A:$A,'Pokemon Editor'!$D:$D,"")="",1,INDEX('Type Chart'!$B:$S,MATCH(E494,'Type Chart'!$A:$A,0),MATCH(XLOOKUP('Boss Editor'!$C$4,'Pokemon Editor'!$A:$A,'Pokemon Editor'!$D:$D,""),'Type Chart'!$B$1:$S$1,0))))</f>
        <v/>
      </c>
      <c r="J494" s="3">
        <f>IFERROR(LET(mtype,XLOOKUP($D494,'Move Editor'!$B:$B,'Move Editor'!$C:$C,""),cat,XLOOKUP($D494,'Move Editor'!$B:$B,'Move Editor'!$D:$D,""),pow,XLOOKUP($D494,'Move Editor'!$B:$B,'Move Editor'!$E:$E,0),acc,XLOOKUP($D494,'Move Editor'!$B:$B,'Move Editor'!$F:$F,100),atk,IF(cat="Physical",FLOOR((FLOOR(((2*XLOOKUP(XLOOKUP($Q494,'Threshold Summary'!$Y:$Y,'Threshold Summary'!$K:$K,""),'Pokemon Editor'!$A:$A,'Pokemon Editor'!$F:$F,0)+31+FLOOR(XLOOKUP($Q494,'Threshold Summary'!$Y:$Y,'Threshold Summary'!$P:$P,"")/4))*XLOOKUP($Q494,'Threshold Summary'!$Y:$Y,'Threshold Summary'!$L:$L,""))/100)+5)*XLOOKUP(XLOOKUP($Q494,'Threshold Summary'!$Y:$Y,'Threshold Summary'!$M:$M,""),'Nature Editor'!$A:$A,'Nature Editor'!$B:$B,1)),FLOOR((FLOOR(((2*XLOOKUP(XLOOKUP($Q494,'Threshold Summary'!$Y:$Y,'Threshold Summary'!$K:$K,""),'Pokemon Editor'!$A:$A,'Pokemon Editor'!$H:$H,0)+31+FLOOR(XLOOKUP($Q494,'Threshold Summary'!$Y:$Y,'Threshold Summary'!$R:$R,"")/4))*XLOOKUP($Q494,'Threshold Summary'!$Y:$Y,'Threshold Summary'!$L:$L,""))/100)+5)*XLOOKUP(XLOOKUP($Q494,'Threshold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Editor'!$E:$E,1))),stab,IF(OR(mtype=XLOOKUP(XLOOKUP($Q494,'Threshold Summary'!$Y:$Y,'Threshold Summary'!$K:$K,""),'Pokemon Editor'!$A:$A,'Pokemon Editor'!$C:$C,""),mtype=XLOOKUP(XLOOKUP($Q494,'Threshold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Chart'!$B$1:$S$1,0)))),base,IF(OR(cat="Status",pow=0),0,FLOOR(FLOOR(FLOOR((2*XLOOKUP($Q494,'Threshold Summary'!$Y:$Y,'Threshold Summary'!$L:$L,"")/5+2)*pow*atk/def)/50)+2)),modifier,stab*eff,FLOOR(base*modifier*0.85)),0)</f>
        <v/>
      </c>
      <c r="K494" s="3">
        <f>IFERROR(LET(mtype,XLOOKUP($D494,'Move Editor'!$B:$B,'Move Editor'!$C:$C,""),cat,XLOOKUP($D494,'Move Editor'!$B:$B,'Move Editor'!$D:$D,""),pow,XLOOKUP($D494,'Move Editor'!$B:$B,'Move Editor'!$E:$E,0),acc,XLOOKUP($D494,'Move Editor'!$B:$B,'Move Editor'!$F:$F,100),atk,IF(cat="Physical",FLOOR((FLOOR(((2*XLOOKUP(XLOOKUP($Q494,'Threshold Summary'!$Y:$Y,'Threshold Summary'!$K:$K,""),'Pokemon Editor'!$A:$A,'Pokemon Editor'!$F:$F,0)+31+FLOOR(XLOOKUP($Q494,'Threshold Summary'!$Y:$Y,'Threshold Summary'!$P:$P,"")/4))*XLOOKUP($Q494,'Threshold Summary'!$Y:$Y,'Threshold Summary'!$L:$L,""))/100)+5)*XLOOKUP(XLOOKUP($Q494,'Threshold Summary'!$Y:$Y,'Threshold Summary'!$M:$M,""),'Nature Editor'!$A:$A,'Nature Editor'!$B:$B,1)),FLOOR((FLOOR(((2*XLOOKUP(XLOOKUP($Q494,'Threshold Summary'!$Y:$Y,'Threshold Summary'!$K:$K,""),'Pokemon Editor'!$A:$A,'Pokemon Editor'!$H:$H,0)+31+FLOOR(XLOOKUP($Q494,'Threshold Summary'!$Y:$Y,'Threshold Summary'!$R:$R,"")/4))*XLOOKUP($Q494,'Threshold Summary'!$Y:$Y,'Threshold Summary'!$L:$L,""))/100)+5)*XLOOKUP(XLOOKUP($Q494,'Threshold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Editor'!$E:$E,1))),stab,IF(OR(mtype=XLOOKUP(XLOOKUP($Q494,'Threshold Summary'!$Y:$Y,'Threshold Summary'!$K:$K,""),'Pokemon Editor'!$A:$A,'Pokemon Editor'!$C:$C,""),mtype=XLOOKUP(XLOOKUP($Q494,'Threshold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Chart'!$B$1:$S$1,0)))),base,IF(OR(cat="Status",pow=0),0,FLOOR(FLOOR(FLOOR((2*XLOOKUP($Q494,'Threshold Summary'!$Y:$Y,'Threshold Summary'!$L:$L,"")/5+2)*pow*atk/def)/50)+2)),modifier,stab*eff,FLOOR(base*modifier)),0)</f>
        <v/>
      </c>
      <c r="L494" s="3">
        <f>IFERROR(LET(mtype,XLOOKUP($D494,'Move Editor'!$B:$B,'Move Editor'!$C:$C,""),cat,XLOOKUP($D494,'Move Editor'!$B:$B,'Move Editor'!$D:$D,""),pow,XLOOKUP($D494,'Move Editor'!$B:$B,'Move Editor'!$E:$E,0),acc,XLOOKUP($D494,'Move Editor'!$B:$B,'Move Editor'!$F:$F,100),atk,IF(cat="Physical",FLOOR((FLOOR(((2*XLOOKUP(XLOOKUP($Q494,'Threshold Summary'!$Y:$Y,'Threshold Summary'!$K:$K,""),'Pokemon Editor'!$A:$A,'Pokemon Editor'!$F:$F,0)+31+FLOOR(XLOOKUP($Q494,'Threshold Summary'!$Y:$Y,'Threshold Summary'!$P:$P,"")/4))*XLOOKUP($Q494,'Threshold Summary'!$Y:$Y,'Threshold Summary'!$L:$L,""))/100)+5)*XLOOKUP(XLOOKUP($Q494,'Threshold Summary'!$Y:$Y,'Threshold Summary'!$M:$M,""),'Nature Editor'!$A:$A,'Nature Editor'!$B:$B,1)),FLOOR((FLOOR(((2*XLOOKUP(XLOOKUP($Q494,'Threshold Summary'!$Y:$Y,'Threshold Summary'!$K:$K,""),'Pokemon Editor'!$A:$A,'Pokemon Editor'!$H:$H,0)+31+FLOOR(XLOOKUP($Q494,'Threshold Summary'!$Y:$Y,'Threshold Summary'!$R:$R,"")/4))*XLOOKUP($Q494,'Threshold Summary'!$Y:$Y,'Threshold Summary'!$L:$L,""))/100)+5)*XLOOKUP(XLOOKUP($Q494,'Threshold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Editor'!$E:$E,1))),stab,IF(OR(mtype=XLOOKUP(XLOOKUP($Q494,'Threshold Summary'!$Y:$Y,'Threshold Summary'!$K:$K,""),'Pokemon Editor'!$A:$A,'Pokemon Editor'!$C:$C,""),mtype=XLOOKUP(XLOOKUP($Q494,'Threshold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Chart'!$B$1:$S$1,0)))),base,IF(OR(cat="Status",pow=0),0,FLOOR(FLOOR(FLOOR((2*XLOOKUP($Q494,'Threshold Summary'!$Y:$Y,'Threshold Summary'!$L:$L,"")/5+2)*pow*atk/def)/50)+2)),modifier,stab*eff,AVERAGE(ARRAYFORMULA(FLOOR(base*modifier*SEQUENCE(16,1,85,1)/100)))),0)</f>
        <v/>
      </c>
      <c r="M494" s="3">
        <f>IFERROR(LET(mtype,XLOOKUP($D494,'Move Editor'!$B:$B,'Move Editor'!$C:$C,""),cat,XLOOKUP($D494,'Move Editor'!$B:$B,'Move Editor'!$D:$D,""),pow,XLOOKUP($D494,'Move Editor'!$B:$B,'Move Editor'!$E:$E,0),acc,XLOOKUP($D494,'Move Editor'!$B:$B,'Move Editor'!$F:$F,100),atk,IF(cat="Physical",FLOOR((FLOOR(((2*XLOOKUP(XLOOKUP($Q494,'Threshold Summary'!$Y:$Y,'Threshold Summary'!$K:$K,""),'Pokemon Editor'!$A:$A,'Pokemon Editor'!$F:$F,0)+31+FLOOR(XLOOKUP($Q494,'Threshold Summary'!$Y:$Y,'Threshold Summary'!$P:$P,"")/4))*XLOOKUP($Q494,'Threshold Summary'!$Y:$Y,'Threshold Summary'!$L:$L,""))/100)+5)*XLOOKUP(XLOOKUP($Q494,'Threshold Summary'!$Y:$Y,'Threshold Summary'!$M:$M,""),'Nature Editor'!$A:$A,'Nature Editor'!$B:$B,1)),FLOOR((FLOOR(((2*XLOOKUP(XLOOKUP($Q494,'Threshold Summary'!$Y:$Y,'Threshold Summary'!$K:$K,""),'Pokemon Editor'!$A:$A,'Pokemon Editor'!$H:$H,0)+31+FLOOR(XLOOKUP($Q494,'Threshold Summary'!$Y:$Y,'Threshold Summary'!$R:$R,"")/4))*XLOOKUP($Q494,'Threshold Summary'!$Y:$Y,'Threshold Summary'!$L:$L,""))/100)+5)*XLOOKUP(XLOOKUP($Q494,'Threshold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Editor'!$E:$E,1))),stab,IF(OR(mtype=XLOOKUP(XLOOKUP($Q494,'Threshold Summary'!$Y:$Y,'Threshold Summary'!$K:$K,""),'Pokemon Editor'!$A:$A,'Pokemon Editor'!$C:$C,""),mtype=XLOOKUP(XLOOKUP($Q494,'Threshold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Chart'!$B$1:$S$1,0)))),base,IF(OR(cat="Status",pow=0),0,FLOOR(FLOOR(FLOOR((2*XLOOKUP($Q494,'Threshold Summary'!$Y:$Y,'Threshold Summary'!$L:$L,"")/5+2)*pow*atk/def)/50)+2)),modifier,stab*eff,AVERAGE(ARRAYFORMULA(FLOOR(base*modifier*SEQUENCE(16,1,85,1)/100)))*MIN(1,acc/100)),0)</f>
        <v/>
      </c>
      <c r="N494" s="4">
        <f>IFERROR(LET(mtype,XLOOKUP($D494,'Move Editor'!$B:$B,'Move Editor'!$C:$C,""),cat,XLOOKUP($D494,'Move Editor'!$B:$B,'Move Editor'!$D:$D,""),pow,XLOOKUP($D494,'Move Editor'!$B:$B,'Move Editor'!$E:$E,0),acc,XLOOKUP($D494,'Move Editor'!$B:$B,'Move Editor'!$F:$F,100),atk,IF(cat="Physical",FLOOR((FLOOR(((2*XLOOKUP(XLOOKUP($Q494,'Threshold Summary'!$Y:$Y,'Threshold Summary'!$K:$K,""),'Pokemon Editor'!$A:$A,'Pokemon Editor'!$F:$F,0)+31+FLOOR(XLOOKUP($Q494,'Threshold Summary'!$Y:$Y,'Threshold Summary'!$P:$P,"")/4))*XLOOKUP($Q494,'Threshold Summary'!$Y:$Y,'Threshold Summary'!$L:$L,""))/100)+5)*XLOOKUP(XLOOKUP($Q494,'Threshold Summary'!$Y:$Y,'Threshold Summary'!$M:$M,""),'Nature Editor'!$A:$A,'Nature Editor'!$B:$B,1)),FLOOR((FLOOR(((2*XLOOKUP(XLOOKUP($Q494,'Threshold Summary'!$Y:$Y,'Threshold Summary'!$K:$K,""),'Pokemon Editor'!$A:$A,'Pokemon Editor'!$H:$H,0)+31+FLOOR(XLOOKUP($Q494,'Threshold Summary'!$Y:$Y,'Threshold Summary'!$R:$R,"")/4))*XLOOKUP($Q494,'Threshold Summary'!$Y:$Y,'Threshold Summary'!$L:$L,""))/100)+5)*XLOOKUP(XLOOKUP($Q494,'Threshold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Editor'!$E:$E,1))),stab,IF(OR(mtype=XLOOKUP(XLOOKUP($Q494,'Threshold Summary'!$Y:$Y,'Threshold Summary'!$K:$K,""),'Pokemon Editor'!$A:$A,'Pokemon Editor'!$C:$C,""),mtype=XLOOKUP(XLOOKUP($Q494,'Threshold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Chart'!$B$1:$S$1,0)))),base,IF(OR(cat="Status",pow=0),0,FLOOR(FLOOR(FLOOR((2*XLOOKUP($Q494,'Threshold Summary'!$Y:$Y,'Threshold Summary'!$L:$L,"")/5+2)*pow*atk/def)/50)+2)),modifier,stab*eff,AVERAGE(ARRAYFORMULA(FLOOR(base*modifier*SEQUENCE(16,1,85,1)/100)))/(FLOOR(((2*XLOOKUP('Boss Editor'!$C$4,'Pokemon Editor'!$A:$A,'Pokemon Editor'!$E:$E,0)+31+FLOOR('Boss Editor'!$G$4/4))*'Boss Editor'!$D$4)/100)+'Boss Editor'!$D$4+10)),0)</f>
        <v/>
      </c>
      <c r="O494" s="3">
        <f>IF(N494&gt;=1,"OHKO",IF(N494&gt;=0.5,"2HKO",IF(N494&gt;=0.333,"3HKO",IF(N494&gt;=0.25,"4HKO","5HKO+"))))</f>
        <v/>
      </c>
      <c r="P494" s="3" t="inlineStr">
        <is>
          <t>Live from editable databases</t>
        </is>
      </c>
      <c r="Q494" s="3" t="inlineStr">
        <is>
          <t>SPECIES_VENIPEDE</t>
        </is>
      </c>
      <c r="R494" s="3" t="n">
        <v>13</v>
      </c>
    </row>
    <row r="495">
      <c r="A495" s="3">
        <f>XLOOKUP($Q495,'Threshold Summary'!$Y:$Y,'Threshold Summary'!$A:$A,"")</f>
        <v/>
      </c>
      <c r="B495" s="3">
        <f>XLOOKUP($Q495,'Threshold Summary'!$Y:$Y,'Threshold Summary'!$M:$M,"")</f>
        <v/>
      </c>
      <c r="C495" s="3">
        <f>XLOOKUP($Q495,'Threshold Summary'!$Y:$Y,'Threshold Summary'!$N:$N,"")</f>
        <v/>
      </c>
      <c r="D495" s="3">
        <f>IFERROR(INDEX(FILTER('Learnset Editor'!$D$2:$D,'Learnset Editor'!$A$2:$A=XLOOKUP($Q495,'Threshold Summary'!$Y:$Y,'Threshold Summary'!$K:$K,""),'Learnset Editor'!$C$2:$C&lt;=XLOOKUP($Q495,'Threshold Summary'!$Y:$Y,'Threshold Summary'!$L:$L,"")),$R495),"")</f>
        <v/>
      </c>
      <c r="E495" s="3">
        <f>XLOOKUP(D495,'Move Editor'!$B:$B,'Move Editor'!$C:$C,"")</f>
        <v/>
      </c>
      <c r="F495" s="3">
        <f>XLOOKUP(D495,'Move Editor'!$B:$B,'Move Editor'!$D:$D,"")</f>
        <v/>
      </c>
      <c r="G495" s="3">
        <f>XLOOKUP(D495,'Move Editor'!$B:$B,'Move Editor'!$E:$E,0)</f>
        <v/>
      </c>
      <c r="H495" s="3">
        <f>XLOOKUP(D495,'Move Editor'!$B:$B,'Move Editor'!$F:$F,0)</f>
        <v/>
      </c>
      <c r="I495" s="3">
        <f>(INDEX('Type Chart'!$B:$S,MATCH(E495,'Type Chart'!$A:$A,0),MATCH(XLOOKUP('Boss Editor'!$C$4,'Pokemon Editor'!$A:$A,'Pokemon Editor'!$C:$C,""),'Type Chart'!$B$1:$S$1,0))*IF(XLOOKUP('Boss Editor'!$C$4,'Pokemon Editor'!$A:$A,'Pokemon Editor'!$D:$D,"")="",1,INDEX('Type Chart'!$B:$S,MATCH(E495,'Type Chart'!$A:$A,0),MATCH(XLOOKUP('Boss Editor'!$C$4,'Pokemon Editor'!$A:$A,'Pokemon Editor'!$D:$D,""),'Type Chart'!$B$1:$S$1,0))))</f>
        <v/>
      </c>
      <c r="J495" s="3">
        <f>IFERROR(LET(mtype,XLOOKUP($D495,'Move Editor'!$B:$B,'Move Editor'!$C:$C,""),cat,XLOOKUP($D495,'Move Editor'!$B:$B,'Move Editor'!$D:$D,""),pow,XLOOKUP($D495,'Move Editor'!$B:$B,'Move Editor'!$E:$E,0),acc,XLOOKUP($D495,'Move Editor'!$B:$B,'Move Editor'!$F:$F,100),atk,IF(cat="Physical",FLOOR((FLOOR(((2*XLOOKUP(XLOOKUP($Q495,'Threshold Summary'!$Y:$Y,'Threshold Summary'!$K:$K,""),'Pokemon Editor'!$A:$A,'Pokemon Editor'!$F:$F,0)+31+FLOOR(XLOOKUP($Q495,'Threshold Summary'!$Y:$Y,'Threshold Summary'!$P:$P,"")/4))*XLOOKUP($Q495,'Threshold Summary'!$Y:$Y,'Threshold Summary'!$L:$L,""))/100)+5)*XLOOKUP(XLOOKUP($Q495,'Threshold Summary'!$Y:$Y,'Threshold Summary'!$M:$M,""),'Nature Editor'!$A:$A,'Nature Editor'!$B:$B,1)),FLOOR((FLOOR(((2*XLOOKUP(XLOOKUP($Q495,'Threshold Summary'!$Y:$Y,'Threshold Summary'!$K:$K,""),'Pokemon Editor'!$A:$A,'Pokemon Editor'!$H:$H,0)+31+FLOOR(XLOOKUP($Q495,'Threshold Summary'!$Y:$Y,'Threshold Summary'!$R:$R,"")/4))*XLOOKUP($Q495,'Threshold Summary'!$Y:$Y,'Threshold Summary'!$L:$L,""))/100)+5)*XLOOKUP(XLOOKUP($Q495,'Threshold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Editor'!$E:$E,1))),stab,IF(OR(mtype=XLOOKUP(XLOOKUP($Q495,'Threshold Summary'!$Y:$Y,'Threshold Summary'!$K:$K,""),'Pokemon Editor'!$A:$A,'Pokemon Editor'!$C:$C,""),mtype=XLOOKUP(XLOOKUP($Q495,'Threshold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Chart'!$B$1:$S$1,0)))),base,IF(OR(cat="Status",pow=0),0,FLOOR(FLOOR(FLOOR((2*XLOOKUP($Q495,'Threshold Summary'!$Y:$Y,'Threshold Summary'!$L:$L,"")/5+2)*pow*atk/def)/50)+2)),modifier,stab*eff,FLOOR(base*modifier*0.85)),0)</f>
        <v/>
      </c>
      <c r="K495" s="3">
        <f>IFERROR(LET(mtype,XLOOKUP($D495,'Move Editor'!$B:$B,'Move Editor'!$C:$C,""),cat,XLOOKUP($D495,'Move Editor'!$B:$B,'Move Editor'!$D:$D,""),pow,XLOOKUP($D495,'Move Editor'!$B:$B,'Move Editor'!$E:$E,0),acc,XLOOKUP($D495,'Move Editor'!$B:$B,'Move Editor'!$F:$F,100),atk,IF(cat="Physical",FLOOR((FLOOR(((2*XLOOKUP(XLOOKUP($Q495,'Threshold Summary'!$Y:$Y,'Threshold Summary'!$K:$K,""),'Pokemon Editor'!$A:$A,'Pokemon Editor'!$F:$F,0)+31+FLOOR(XLOOKUP($Q495,'Threshold Summary'!$Y:$Y,'Threshold Summary'!$P:$P,"")/4))*XLOOKUP($Q495,'Threshold Summary'!$Y:$Y,'Threshold Summary'!$L:$L,""))/100)+5)*XLOOKUP(XLOOKUP($Q495,'Threshold Summary'!$Y:$Y,'Threshold Summary'!$M:$M,""),'Nature Editor'!$A:$A,'Nature Editor'!$B:$B,1)),FLOOR((FLOOR(((2*XLOOKUP(XLOOKUP($Q495,'Threshold Summary'!$Y:$Y,'Threshold Summary'!$K:$K,""),'Pokemon Editor'!$A:$A,'Pokemon Editor'!$H:$H,0)+31+FLOOR(XLOOKUP($Q495,'Threshold Summary'!$Y:$Y,'Threshold Summary'!$R:$R,"")/4))*XLOOKUP($Q495,'Threshold Summary'!$Y:$Y,'Threshold Summary'!$L:$L,""))/100)+5)*XLOOKUP(XLOOKUP($Q495,'Threshold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Editor'!$E:$E,1))),stab,IF(OR(mtype=XLOOKUP(XLOOKUP($Q495,'Threshold Summary'!$Y:$Y,'Threshold Summary'!$K:$K,""),'Pokemon Editor'!$A:$A,'Pokemon Editor'!$C:$C,""),mtype=XLOOKUP(XLOOKUP($Q495,'Threshold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Chart'!$B$1:$S$1,0)))),base,IF(OR(cat="Status",pow=0),0,FLOOR(FLOOR(FLOOR((2*XLOOKUP($Q495,'Threshold Summary'!$Y:$Y,'Threshold Summary'!$L:$L,"")/5+2)*pow*atk/def)/50)+2)),modifier,stab*eff,FLOOR(base*modifier)),0)</f>
        <v/>
      </c>
      <c r="L495" s="3">
        <f>IFERROR(LET(mtype,XLOOKUP($D495,'Move Editor'!$B:$B,'Move Editor'!$C:$C,""),cat,XLOOKUP($D495,'Move Editor'!$B:$B,'Move Editor'!$D:$D,""),pow,XLOOKUP($D495,'Move Editor'!$B:$B,'Move Editor'!$E:$E,0),acc,XLOOKUP($D495,'Move Editor'!$B:$B,'Move Editor'!$F:$F,100),atk,IF(cat="Physical",FLOOR((FLOOR(((2*XLOOKUP(XLOOKUP($Q495,'Threshold Summary'!$Y:$Y,'Threshold Summary'!$K:$K,""),'Pokemon Editor'!$A:$A,'Pokemon Editor'!$F:$F,0)+31+FLOOR(XLOOKUP($Q495,'Threshold Summary'!$Y:$Y,'Threshold Summary'!$P:$P,"")/4))*XLOOKUP($Q495,'Threshold Summary'!$Y:$Y,'Threshold Summary'!$L:$L,""))/100)+5)*XLOOKUP(XLOOKUP($Q495,'Threshold Summary'!$Y:$Y,'Threshold Summary'!$M:$M,""),'Nature Editor'!$A:$A,'Nature Editor'!$B:$B,1)),FLOOR((FLOOR(((2*XLOOKUP(XLOOKUP($Q495,'Threshold Summary'!$Y:$Y,'Threshold Summary'!$K:$K,""),'Pokemon Editor'!$A:$A,'Pokemon Editor'!$H:$H,0)+31+FLOOR(XLOOKUP($Q495,'Threshold Summary'!$Y:$Y,'Threshold Summary'!$R:$R,"")/4))*XLOOKUP($Q495,'Threshold Summary'!$Y:$Y,'Threshold Summary'!$L:$L,""))/100)+5)*XLOOKUP(XLOOKUP($Q495,'Threshold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Editor'!$E:$E,1))),stab,IF(OR(mtype=XLOOKUP(XLOOKUP($Q495,'Threshold Summary'!$Y:$Y,'Threshold Summary'!$K:$K,""),'Pokemon Editor'!$A:$A,'Pokemon Editor'!$C:$C,""),mtype=XLOOKUP(XLOOKUP($Q495,'Threshold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Chart'!$B$1:$S$1,0)))),base,IF(OR(cat="Status",pow=0),0,FLOOR(FLOOR(FLOOR((2*XLOOKUP($Q495,'Threshold Summary'!$Y:$Y,'Threshold Summary'!$L:$L,"")/5+2)*pow*atk/def)/50)+2)),modifier,stab*eff,AVERAGE(ARRAYFORMULA(FLOOR(base*modifier*SEQUENCE(16,1,85,1)/100)))),0)</f>
        <v/>
      </c>
      <c r="M495" s="3">
        <f>IFERROR(LET(mtype,XLOOKUP($D495,'Move Editor'!$B:$B,'Move Editor'!$C:$C,""),cat,XLOOKUP($D495,'Move Editor'!$B:$B,'Move Editor'!$D:$D,""),pow,XLOOKUP($D495,'Move Editor'!$B:$B,'Move Editor'!$E:$E,0),acc,XLOOKUP($D495,'Move Editor'!$B:$B,'Move Editor'!$F:$F,100),atk,IF(cat="Physical",FLOOR((FLOOR(((2*XLOOKUP(XLOOKUP($Q495,'Threshold Summary'!$Y:$Y,'Threshold Summary'!$K:$K,""),'Pokemon Editor'!$A:$A,'Pokemon Editor'!$F:$F,0)+31+FLOOR(XLOOKUP($Q495,'Threshold Summary'!$Y:$Y,'Threshold Summary'!$P:$P,"")/4))*XLOOKUP($Q495,'Threshold Summary'!$Y:$Y,'Threshold Summary'!$L:$L,""))/100)+5)*XLOOKUP(XLOOKUP($Q495,'Threshold Summary'!$Y:$Y,'Threshold Summary'!$M:$M,""),'Nature Editor'!$A:$A,'Nature Editor'!$B:$B,1)),FLOOR((FLOOR(((2*XLOOKUP(XLOOKUP($Q495,'Threshold Summary'!$Y:$Y,'Threshold Summary'!$K:$K,""),'Pokemon Editor'!$A:$A,'Pokemon Editor'!$H:$H,0)+31+FLOOR(XLOOKUP($Q495,'Threshold Summary'!$Y:$Y,'Threshold Summary'!$R:$R,"")/4))*XLOOKUP($Q495,'Threshold Summary'!$Y:$Y,'Threshold Summary'!$L:$L,""))/100)+5)*XLOOKUP(XLOOKUP($Q495,'Threshold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Editor'!$E:$E,1))),stab,IF(OR(mtype=XLOOKUP(XLOOKUP($Q495,'Threshold Summary'!$Y:$Y,'Threshold Summary'!$K:$K,""),'Pokemon Editor'!$A:$A,'Pokemon Editor'!$C:$C,""),mtype=XLOOKUP(XLOOKUP($Q495,'Threshold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Chart'!$B$1:$S$1,0)))),base,IF(OR(cat="Status",pow=0),0,FLOOR(FLOOR(FLOOR((2*XLOOKUP($Q495,'Threshold Summary'!$Y:$Y,'Threshold Summary'!$L:$L,"")/5+2)*pow*atk/def)/50)+2)),modifier,stab*eff,AVERAGE(ARRAYFORMULA(FLOOR(base*modifier*SEQUENCE(16,1,85,1)/100)))*MIN(1,acc/100)),0)</f>
        <v/>
      </c>
      <c r="N495" s="4">
        <f>IFERROR(LET(mtype,XLOOKUP($D495,'Move Editor'!$B:$B,'Move Editor'!$C:$C,""),cat,XLOOKUP($D495,'Move Editor'!$B:$B,'Move Editor'!$D:$D,""),pow,XLOOKUP($D495,'Move Editor'!$B:$B,'Move Editor'!$E:$E,0),acc,XLOOKUP($D495,'Move Editor'!$B:$B,'Move Editor'!$F:$F,100),atk,IF(cat="Physical",FLOOR((FLOOR(((2*XLOOKUP(XLOOKUP($Q495,'Threshold Summary'!$Y:$Y,'Threshold Summary'!$K:$K,""),'Pokemon Editor'!$A:$A,'Pokemon Editor'!$F:$F,0)+31+FLOOR(XLOOKUP($Q495,'Threshold Summary'!$Y:$Y,'Threshold Summary'!$P:$P,"")/4))*XLOOKUP($Q495,'Threshold Summary'!$Y:$Y,'Threshold Summary'!$L:$L,""))/100)+5)*XLOOKUP(XLOOKUP($Q495,'Threshold Summary'!$Y:$Y,'Threshold Summary'!$M:$M,""),'Nature Editor'!$A:$A,'Nature Editor'!$B:$B,1)),FLOOR((FLOOR(((2*XLOOKUP(XLOOKUP($Q495,'Threshold Summary'!$Y:$Y,'Threshold Summary'!$K:$K,""),'Pokemon Editor'!$A:$A,'Pokemon Editor'!$H:$H,0)+31+FLOOR(XLOOKUP($Q495,'Threshold Summary'!$Y:$Y,'Threshold Summary'!$R:$R,"")/4))*XLOOKUP($Q495,'Threshold Summary'!$Y:$Y,'Threshold Summary'!$L:$L,""))/100)+5)*XLOOKUP(XLOOKUP($Q495,'Threshold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Editor'!$E:$E,1))),stab,IF(OR(mtype=XLOOKUP(XLOOKUP($Q495,'Threshold Summary'!$Y:$Y,'Threshold Summary'!$K:$K,""),'Pokemon Editor'!$A:$A,'Pokemon Editor'!$C:$C,""),mtype=XLOOKUP(XLOOKUP($Q495,'Threshold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Chart'!$B$1:$S$1,0)))),base,IF(OR(cat="Status",pow=0),0,FLOOR(FLOOR(FLOOR((2*XLOOKUP($Q495,'Threshold Summary'!$Y:$Y,'Threshold Summary'!$L:$L,"")/5+2)*pow*atk/def)/50)+2)),modifier,stab*eff,AVERAGE(ARRAYFORMULA(FLOOR(base*modifier*SEQUENCE(16,1,85,1)/100)))/(FLOOR(((2*XLOOKUP('Boss Editor'!$C$4,'Pokemon Editor'!$A:$A,'Pokemon Editor'!$E:$E,0)+31+FLOOR('Boss Editor'!$G$4/4))*'Boss Editor'!$D$4)/100)+'Boss Editor'!$D$4+10)),0)</f>
        <v/>
      </c>
      <c r="O495" s="3">
        <f>IF(N495&gt;=1,"OHKO",IF(N495&gt;=0.5,"2HKO",IF(N495&gt;=0.333,"3HKO",IF(N495&gt;=0.25,"4HKO","5HKO+"))))</f>
        <v/>
      </c>
      <c r="P495" s="3" t="inlineStr">
        <is>
          <t>Live from editable databases</t>
        </is>
      </c>
      <c r="Q495" s="3" t="inlineStr">
        <is>
          <t>SPECIES_VENIPEDE</t>
        </is>
      </c>
      <c r="R495" s="3" t="n">
        <v>14</v>
      </c>
    </row>
    <row r="496">
      <c r="A496" s="3">
        <f>XLOOKUP($Q496,'Threshold Summary'!$Y:$Y,'Threshold Summary'!$A:$A,"")</f>
        <v/>
      </c>
      <c r="B496" s="3">
        <f>XLOOKUP($Q496,'Threshold Summary'!$Y:$Y,'Threshold Summary'!$M:$M,"")</f>
        <v/>
      </c>
      <c r="C496" s="3">
        <f>XLOOKUP($Q496,'Threshold Summary'!$Y:$Y,'Threshold Summary'!$N:$N,"")</f>
        <v/>
      </c>
      <c r="D496" s="3">
        <f>IFERROR(INDEX(FILTER('Learnset Editor'!$D$2:$D,'Learnset Editor'!$A$2:$A=XLOOKUP($Q496,'Threshold Summary'!$Y:$Y,'Threshold Summary'!$K:$K,""),'Learnset Editor'!$C$2:$C&lt;=XLOOKUP($Q496,'Threshold Summary'!$Y:$Y,'Threshold Summary'!$L:$L,"")),$R496),"")</f>
        <v/>
      </c>
      <c r="E496" s="3">
        <f>XLOOKUP(D496,'Move Editor'!$B:$B,'Move Editor'!$C:$C,"")</f>
        <v/>
      </c>
      <c r="F496" s="3">
        <f>XLOOKUP(D496,'Move Editor'!$B:$B,'Move Editor'!$D:$D,"")</f>
        <v/>
      </c>
      <c r="G496" s="3">
        <f>XLOOKUP(D496,'Move Editor'!$B:$B,'Move Editor'!$E:$E,0)</f>
        <v/>
      </c>
      <c r="H496" s="3">
        <f>XLOOKUP(D496,'Move Editor'!$B:$B,'Move Editor'!$F:$F,0)</f>
        <v/>
      </c>
      <c r="I496" s="3">
        <f>(INDEX('Type Chart'!$B:$S,MATCH(E496,'Type Chart'!$A:$A,0),MATCH(XLOOKUP('Boss Editor'!$C$4,'Pokemon Editor'!$A:$A,'Pokemon Editor'!$C:$C,""),'Type Chart'!$B$1:$S$1,0))*IF(XLOOKUP('Boss Editor'!$C$4,'Pokemon Editor'!$A:$A,'Pokemon Editor'!$D:$D,"")="",1,INDEX('Type Chart'!$B:$S,MATCH(E496,'Type Chart'!$A:$A,0),MATCH(XLOOKUP('Boss Editor'!$C$4,'Pokemon Editor'!$A:$A,'Pokemon Editor'!$D:$D,""),'Type Chart'!$B$1:$S$1,0))))</f>
        <v/>
      </c>
      <c r="J496" s="3">
        <f>IFERROR(LET(mtype,XLOOKUP($D496,'Move Editor'!$B:$B,'Move Editor'!$C:$C,""),cat,XLOOKUP($D496,'Move Editor'!$B:$B,'Move Editor'!$D:$D,""),pow,XLOOKUP($D496,'Move Editor'!$B:$B,'Move Editor'!$E:$E,0),acc,XLOOKUP($D496,'Move Editor'!$B:$B,'Move Editor'!$F:$F,100),atk,IF(cat="Physical",FLOOR((FLOOR(((2*XLOOKUP(XLOOKUP($Q496,'Threshold Summary'!$Y:$Y,'Threshold Summary'!$K:$K,""),'Pokemon Editor'!$A:$A,'Pokemon Editor'!$F:$F,0)+31+FLOOR(XLOOKUP($Q496,'Threshold Summary'!$Y:$Y,'Threshold Summary'!$P:$P,"")/4))*XLOOKUP($Q496,'Threshold Summary'!$Y:$Y,'Threshold Summary'!$L:$L,""))/100)+5)*XLOOKUP(XLOOKUP($Q496,'Threshold Summary'!$Y:$Y,'Threshold Summary'!$M:$M,""),'Nature Editor'!$A:$A,'Nature Editor'!$B:$B,1)),FLOOR((FLOOR(((2*XLOOKUP(XLOOKUP($Q496,'Threshold Summary'!$Y:$Y,'Threshold Summary'!$K:$K,""),'Pokemon Editor'!$A:$A,'Pokemon Editor'!$H:$H,0)+31+FLOOR(XLOOKUP($Q496,'Threshold Summary'!$Y:$Y,'Threshold Summary'!$R:$R,"")/4))*XLOOKUP($Q496,'Threshold Summary'!$Y:$Y,'Threshold Summary'!$L:$L,""))/100)+5)*XLOOKUP(XLOOKUP($Q496,'Threshold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Editor'!$E:$E,1))),stab,IF(OR(mtype=XLOOKUP(XLOOKUP($Q496,'Threshold Summary'!$Y:$Y,'Threshold Summary'!$K:$K,""),'Pokemon Editor'!$A:$A,'Pokemon Editor'!$C:$C,""),mtype=XLOOKUP(XLOOKUP($Q496,'Threshold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Chart'!$B$1:$S$1,0)))),base,IF(OR(cat="Status",pow=0),0,FLOOR(FLOOR(FLOOR((2*XLOOKUP($Q496,'Threshold Summary'!$Y:$Y,'Threshold Summary'!$L:$L,"")/5+2)*pow*atk/def)/50)+2)),modifier,stab*eff,FLOOR(base*modifier*0.85)),0)</f>
        <v/>
      </c>
      <c r="K496" s="3">
        <f>IFERROR(LET(mtype,XLOOKUP($D496,'Move Editor'!$B:$B,'Move Editor'!$C:$C,""),cat,XLOOKUP($D496,'Move Editor'!$B:$B,'Move Editor'!$D:$D,""),pow,XLOOKUP($D496,'Move Editor'!$B:$B,'Move Editor'!$E:$E,0),acc,XLOOKUP($D496,'Move Editor'!$B:$B,'Move Editor'!$F:$F,100),atk,IF(cat="Physical",FLOOR((FLOOR(((2*XLOOKUP(XLOOKUP($Q496,'Threshold Summary'!$Y:$Y,'Threshold Summary'!$K:$K,""),'Pokemon Editor'!$A:$A,'Pokemon Editor'!$F:$F,0)+31+FLOOR(XLOOKUP($Q496,'Threshold Summary'!$Y:$Y,'Threshold Summary'!$P:$P,"")/4))*XLOOKUP($Q496,'Threshold Summary'!$Y:$Y,'Threshold Summary'!$L:$L,""))/100)+5)*XLOOKUP(XLOOKUP($Q496,'Threshold Summary'!$Y:$Y,'Threshold Summary'!$M:$M,""),'Nature Editor'!$A:$A,'Nature Editor'!$B:$B,1)),FLOOR((FLOOR(((2*XLOOKUP(XLOOKUP($Q496,'Threshold Summary'!$Y:$Y,'Threshold Summary'!$K:$K,""),'Pokemon Editor'!$A:$A,'Pokemon Editor'!$H:$H,0)+31+FLOOR(XLOOKUP($Q496,'Threshold Summary'!$Y:$Y,'Threshold Summary'!$R:$R,"")/4))*XLOOKUP($Q496,'Threshold Summary'!$Y:$Y,'Threshold Summary'!$L:$L,""))/100)+5)*XLOOKUP(XLOOKUP($Q496,'Threshold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Editor'!$E:$E,1))),stab,IF(OR(mtype=XLOOKUP(XLOOKUP($Q496,'Threshold Summary'!$Y:$Y,'Threshold Summary'!$K:$K,""),'Pokemon Editor'!$A:$A,'Pokemon Editor'!$C:$C,""),mtype=XLOOKUP(XLOOKUP($Q496,'Threshold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Chart'!$B$1:$S$1,0)))),base,IF(OR(cat="Status",pow=0),0,FLOOR(FLOOR(FLOOR((2*XLOOKUP($Q496,'Threshold Summary'!$Y:$Y,'Threshold Summary'!$L:$L,"")/5+2)*pow*atk/def)/50)+2)),modifier,stab*eff,FLOOR(base*modifier)),0)</f>
        <v/>
      </c>
      <c r="L496" s="3">
        <f>IFERROR(LET(mtype,XLOOKUP($D496,'Move Editor'!$B:$B,'Move Editor'!$C:$C,""),cat,XLOOKUP($D496,'Move Editor'!$B:$B,'Move Editor'!$D:$D,""),pow,XLOOKUP($D496,'Move Editor'!$B:$B,'Move Editor'!$E:$E,0),acc,XLOOKUP($D496,'Move Editor'!$B:$B,'Move Editor'!$F:$F,100),atk,IF(cat="Physical",FLOOR((FLOOR(((2*XLOOKUP(XLOOKUP($Q496,'Threshold Summary'!$Y:$Y,'Threshold Summary'!$K:$K,""),'Pokemon Editor'!$A:$A,'Pokemon Editor'!$F:$F,0)+31+FLOOR(XLOOKUP($Q496,'Threshold Summary'!$Y:$Y,'Threshold Summary'!$P:$P,"")/4))*XLOOKUP($Q496,'Threshold Summary'!$Y:$Y,'Threshold Summary'!$L:$L,""))/100)+5)*XLOOKUP(XLOOKUP($Q496,'Threshold Summary'!$Y:$Y,'Threshold Summary'!$M:$M,""),'Nature Editor'!$A:$A,'Nature Editor'!$B:$B,1)),FLOOR((FLOOR(((2*XLOOKUP(XLOOKUP($Q496,'Threshold Summary'!$Y:$Y,'Threshold Summary'!$K:$K,""),'Pokemon Editor'!$A:$A,'Pokemon Editor'!$H:$H,0)+31+FLOOR(XLOOKUP($Q496,'Threshold Summary'!$Y:$Y,'Threshold Summary'!$R:$R,"")/4))*XLOOKUP($Q496,'Threshold Summary'!$Y:$Y,'Threshold Summary'!$L:$L,""))/100)+5)*XLOOKUP(XLOOKUP($Q496,'Threshold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Editor'!$E:$E,1))),stab,IF(OR(mtype=XLOOKUP(XLOOKUP($Q496,'Threshold Summary'!$Y:$Y,'Threshold Summary'!$K:$K,""),'Pokemon Editor'!$A:$A,'Pokemon Editor'!$C:$C,""),mtype=XLOOKUP(XLOOKUP($Q496,'Threshold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Chart'!$B$1:$S$1,0)))),base,IF(OR(cat="Status",pow=0),0,FLOOR(FLOOR(FLOOR((2*XLOOKUP($Q496,'Threshold Summary'!$Y:$Y,'Threshold Summary'!$L:$L,"")/5+2)*pow*atk/def)/50)+2)),modifier,stab*eff,AVERAGE(ARRAYFORMULA(FLOOR(base*modifier*SEQUENCE(16,1,85,1)/100)))),0)</f>
        <v/>
      </c>
      <c r="M496" s="3">
        <f>IFERROR(LET(mtype,XLOOKUP($D496,'Move Editor'!$B:$B,'Move Editor'!$C:$C,""),cat,XLOOKUP($D496,'Move Editor'!$B:$B,'Move Editor'!$D:$D,""),pow,XLOOKUP($D496,'Move Editor'!$B:$B,'Move Editor'!$E:$E,0),acc,XLOOKUP($D496,'Move Editor'!$B:$B,'Move Editor'!$F:$F,100),atk,IF(cat="Physical",FLOOR((FLOOR(((2*XLOOKUP(XLOOKUP($Q496,'Threshold Summary'!$Y:$Y,'Threshold Summary'!$K:$K,""),'Pokemon Editor'!$A:$A,'Pokemon Editor'!$F:$F,0)+31+FLOOR(XLOOKUP($Q496,'Threshold Summary'!$Y:$Y,'Threshold Summary'!$P:$P,"")/4))*XLOOKUP($Q496,'Threshold Summary'!$Y:$Y,'Threshold Summary'!$L:$L,""))/100)+5)*XLOOKUP(XLOOKUP($Q496,'Threshold Summary'!$Y:$Y,'Threshold Summary'!$M:$M,""),'Nature Editor'!$A:$A,'Nature Editor'!$B:$B,1)),FLOOR((FLOOR(((2*XLOOKUP(XLOOKUP($Q496,'Threshold Summary'!$Y:$Y,'Threshold Summary'!$K:$K,""),'Pokemon Editor'!$A:$A,'Pokemon Editor'!$H:$H,0)+31+FLOOR(XLOOKUP($Q496,'Threshold Summary'!$Y:$Y,'Threshold Summary'!$R:$R,"")/4))*XLOOKUP($Q496,'Threshold Summary'!$Y:$Y,'Threshold Summary'!$L:$L,""))/100)+5)*XLOOKUP(XLOOKUP($Q496,'Threshold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Editor'!$E:$E,1))),stab,IF(OR(mtype=XLOOKUP(XLOOKUP($Q496,'Threshold Summary'!$Y:$Y,'Threshold Summary'!$K:$K,""),'Pokemon Editor'!$A:$A,'Pokemon Editor'!$C:$C,""),mtype=XLOOKUP(XLOOKUP($Q496,'Threshold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Chart'!$B$1:$S$1,0)))),base,IF(OR(cat="Status",pow=0),0,FLOOR(FLOOR(FLOOR((2*XLOOKUP($Q496,'Threshold Summary'!$Y:$Y,'Threshold Summary'!$L:$L,"")/5+2)*pow*atk/def)/50)+2)),modifier,stab*eff,AVERAGE(ARRAYFORMULA(FLOOR(base*modifier*SEQUENCE(16,1,85,1)/100)))*MIN(1,acc/100)),0)</f>
        <v/>
      </c>
      <c r="N496" s="4">
        <f>IFERROR(LET(mtype,XLOOKUP($D496,'Move Editor'!$B:$B,'Move Editor'!$C:$C,""),cat,XLOOKUP($D496,'Move Editor'!$B:$B,'Move Editor'!$D:$D,""),pow,XLOOKUP($D496,'Move Editor'!$B:$B,'Move Editor'!$E:$E,0),acc,XLOOKUP($D496,'Move Editor'!$B:$B,'Move Editor'!$F:$F,100),atk,IF(cat="Physical",FLOOR((FLOOR(((2*XLOOKUP(XLOOKUP($Q496,'Threshold Summary'!$Y:$Y,'Threshold Summary'!$K:$K,""),'Pokemon Editor'!$A:$A,'Pokemon Editor'!$F:$F,0)+31+FLOOR(XLOOKUP($Q496,'Threshold Summary'!$Y:$Y,'Threshold Summary'!$P:$P,"")/4))*XLOOKUP($Q496,'Threshold Summary'!$Y:$Y,'Threshold Summary'!$L:$L,""))/100)+5)*XLOOKUP(XLOOKUP($Q496,'Threshold Summary'!$Y:$Y,'Threshold Summary'!$M:$M,""),'Nature Editor'!$A:$A,'Nature Editor'!$B:$B,1)),FLOOR((FLOOR(((2*XLOOKUP(XLOOKUP($Q496,'Threshold Summary'!$Y:$Y,'Threshold Summary'!$K:$K,""),'Pokemon Editor'!$A:$A,'Pokemon Editor'!$H:$H,0)+31+FLOOR(XLOOKUP($Q496,'Threshold Summary'!$Y:$Y,'Threshold Summary'!$R:$R,"")/4))*XLOOKUP($Q496,'Threshold Summary'!$Y:$Y,'Threshold Summary'!$L:$L,""))/100)+5)*XLOOKUP(XLOOKUP($Q496,'Threshold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Editor'!$E:$E,1))),stab,IF(OR(mtype=XLOOKUP(XLOOKUP($Q496,'Threshold Summary'!$Y:$Y,'Threshold Summary'!$K:$K,""),'Pokemon Editor'!$A:$A,'Pokemon Editor'!$C:$C,""),mtype=XLOOKUP(XLOOKUP($Q496,'Threshold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Chart'!$B$1:$S$1,0)))),base,IF(OR(cat="Status",pow=0),0,FLOOR(FLOOR(FLOOR((2*XLOOKUP($Q496,'Threshold Summary'!$Y:$Y,'Threshold Summary'!$L:$L,"")/5+2)*pow*atk/def)/50)+2)),modifier,stab*eff,AVERAGE(ARRAYFORMULA(FLOOR(base*modifier*SEQUENCE(16,1,85,1)/100)))/(FLOOR(((2*XLOOKUP('Boss Editor'!$C$4,'Pokemon Editor'!$A:$A,'Pokemon Editor'!$E:$E,0)+31+FLOOR('Boss Editor'!$G$4/4))*'Boss Editor'!$D$4)/100)+'Boss Editor'!$D$4+10)),0)</f>
        <v/>
      </c>
      <c r="O496" s="3">
        <f>IF(N496&gt;=1,"OHKO",IF(N496&gt;=0.5,"2HKO",IF(N496&gt;=0.333,"3HKO",IF(N496&gt;=0.25,"4HKO","5HKO+"))))</f>
        <v/>
      </c>
      <c r="P496" s="3" t="inlineStr">
        <is>
          <t>Live from editable databases</t>
        </is>
      </c>
      <c r="Q496" s="3" t="inlineStr">
        <is>
          <t>SPECIES_VENIPEDE</t>
        </is>
      </c>
      <c r="R496" s="3" t="n">
        <v>15</v>
      </c>
    </row>
    <row r="497">
      <c r="A497" s="3">
        <f>XLOOKUP($Q497,'Threshold Summary'!$Y:$Y,'Threshold Summary'!$A:$A,"")</f>
        <v/>
      </c>
      <c r="B497" s="3">
        <f>XLOOKUP($Q497,'Threshold Summary'!$Y:$Y,'Threshold Summary'!$M:$M,"")</f>
        <v/>
      </c>
      <c r="C497" s="3">
        <f>XLOOKUP($Q497,'Threshold Summary'!$Y:$Y,'Threshold Summary'!$N:$N,"")</f>
        <v/>
      </c>
      <c r="D497" s="3">
        <f>IFERROR(INDEX(FILTER('Learnset Editor'!$D$2:$D,'Learnset Editor'!$A$2:$A=XLOOKUP($Q497,'Threshold Summary'!$Y:$Y,'Threshold Summary'!$K:$K,""),'Learnset Editor'!$C$2:$C&lt;=XLOOKUP($Q497,'Threshold Summary'!$Y:$Y,'Threshold Summary'!$L:$L,"")),$R497),"")</f>
        <v/>
      </c>
      <c r="E497" s="3">
        <f>XLOOKUP(D497,'Move Editor'!$B:$B,'Move Editor'!$C:$C,"")</f>
        <v/>
      </c>
      <c r="F497" s="3">
        <f>XLOOKUP(D497,'Move Editor'!$B:$B,'Move Editor'!$D:$D,"")</f>
        <v/>
      </c>
      <c r="G497" s="3">
        <f>XLOOKUP(D497,'Move Editor'!$B:$B,'Move Editor'!$E:$E,0)</f>
        <v/>
      </c>
      <c r="H497" s="3">
        <f>XLOOKUP(D497,'Move Editor'!$B:$B,'Move Editor'!$F:$F,0)</f>
        <v/>
      </c>
      <c r="I497" s="3">
        <f>(INDEX('Type Chart'!$B:$S,MATCH(E497,'Type Chart'!$A:$A,0),MATCH(XLOOKUP('Boss Editor'!$C$4,'Pokemon Editor'!$A:$A,'Pokemon Editor'!$C:$C,""),'Type Chart'!$B$1:$S$1,0))*IF(XLOOKUP('Boss Editor'!$C$4,'Pokemon Editor'!$A:$A,'Pokemon Editor'!$D:$D,"")="",1,INDEX('Type Chart'!$B:$S,MATCH(E497,'Type Chart'!$A:$A,0),MATCH(XLOOKUP('Boss Editor'!$C$4,'Pokemon Editor'!$A:$A,'Pokemon Editor'!$D:$D,""),'Type Chart'!$B$1:$S$1,0))))</f>
        <v/>
      </c>
      <c r="J497" s="3">
        <f>IFERROR(LET(mtype,XLOOKUP($D497,'Move Editor'!$B:$B,'Move Editor'!$C:$C,""),cat,XLOOKUP($D497,'Move Editor'!$B:$B,'Move Editor'!$D:$D,""),pow,XLOOKUP($D497,'Move Editor'!$B:$B,'Move Editor'!$E:$E,0),acc,XLOOKUP($D497,'Move Editor'!$B:$B,'Move Editor'!$F:$F,100),atk,IF(cat="Physical",FLOOR((FLOOR(((2*XLOOKUP(XLOOKUP($Q497,'Threshold Summary'!$Y:$Y,'Threshold Summary'!$K:$K,""),'Pokemon Editor'!$A:$A,'Pokemon Editor'!$F:$F,0)+31+FLOOR(XLOOKUP($Q497,'Threshold Summary'!$Y:$Y,'Threshold Summary'!$P:$P,"")/4))*XLOOKUP($Q497,'Threshold Summary'!$Y:$Y,'Threshold Summary'!$L:$L,""))/100)+5)*XLOOKUP(XLOOKUP($Q497,'Threshold Summary'!$Y:$Y,'Threshold Summary'!$M:$M,""),'Nature Editor'!$A:$A,'Nature Editor'!$B:$B,1)),FLOOR((FLOOR(((2*XLOOKUP(XLOOKUP($Q497,'Threshold Summary'!$Y:$Y,'Threshold Summary'!$K:$K,""),'Pokemon Editor'!$A:$A,'Pokemon Editor'!$H:$H,0)+31+FLOOR(XLOOKUP($Q497,'Threshold Summary'!$Y:$Y,'Threshold Summary'!$R:$R,"")/4))*XLOOKUP($Q497,'Threshold Summary'!$Y:$Y,'Threshold Summary'!$L:$L,""))/100)+5)*XLOOKUP(XLOOKUP($Q497,'Threshold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Editor'!$E:$E,1))),stab,IF(OR(mtype=XLOOKUP(XLOOKUP($Q497,'Threshold Summary'!$Y:$Y,'Threshold Summary'!$K:$K,""),'Pokemon Editor'!$A:$A,'Pokemon Editor'!$C:$C,""),mtype=XLOOKUP(XLOOKUP($Q497,'Threshold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Chart'!$B$1:$S$1,0)))),base,IF(OR(cat="Status",pow=0),0,FLOOR(FLOOR(FLOOR((2*XLOOKUP($Q497,'Threshold Summary'!$Y:$Y,'Threshold Summary'!$L:$L,"")/5+2)*pow*atk/def)/50)+2)),modifier,stab*eff,FLOOR(base*modifier*0.85)),0)</f>
        <v/>
      </c>
      <c r="K497" s="3">
        <f>IFERROR(LET(mtype,XLOOKUP($D497,'Move Editor'!$B:$B,'Move Editor'!$C:$C,""),cat,XLOOKUP($D497,'Move Editor'!$B:$B,'Move Editor'!$D:$D,""),pow,XLOOKUP($D497,'Move Editor'!$B:$B,'Move Editor'!$E:$E,0),acc,XLOOKUP($D497,'Move Editor'!$B:$B,'Move Editor'!$F:$F,100),atk,IF(cat="Physical",FLOOR((FLOOR(((2*XLOOKUP(XLOOKUP($Q497,'Threshold Summary'!$Y:$Y,'Threshold Summary'!$K:$K,""),'Pokemon Editor'!$A:$A,'Pokemon Editor'!$F:$F,0)+31+FLOOR(XLOOKUP($Q497,'Threshold Summary'!$Y:$Y,'Threshold Summary'!$P:$P,"")/4))*XLOOKUP($Q497,'Threshold Summary'!$Y:$Y,'Threshold Summary'!$L:$L,""))/100)+5)*XLOOKUP(XLOOKUP($Q497,'Threshold Summary'!$Y:$Y,'Threshold Summary'!$M:$M,""),'Nature Editor'!$A:$A,'Nature Editor'!$B:$B,1)),FLOOR((FLOOR(((2*XLOOKUP(XLOOKUP($Q497,'Threshold Summary'!$Y:$Y,'Threshold Summary'!$K:$K,""),'Pokemon Editor'!$A:$A,'Pokemon Editor'!$H:$H,0)+31+FLOOR(XLOOKUP($Q497,'Threshold Summary'!$Y:$Y,'Threshold Summary'!$R:$R,"")/4))*XLOOKUP($Q497,'Threshold Summary'!$Y:$Y,'Threshold Summary'!$L:$L,""))/100)+5)*XLOOKUP(XLOOKUP($Q497,'Threshold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Editor'!$E:$E,1))),stab,IF(OR(mtype=XLOOKUP(XLOOKUP($Q497,'Threshold Summary'!$Y:$Y,'Threshold Summary'!$K:$K,""),'Pokemon Editor'!$A:$A,'Pokemon Editor'!$C:$C,""),mtype=XLOOKUP(XLOOKUP($Q497,'Threshold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Chart'!$B$1:$S$1,0)))),base,IF(OR(cat="Status",pow=0),0,FLOOR(FLOOR(FLOOR((2*XLOOKUP($Q497,'Threshold Summary'!$Y:$Y,'Threshold Summary'!$L:$L,"")/5+2)*pow*atk/def)/50)+2)),modifier,stab*eff,FLOOR(base*modifier)),0)</f>
        <v/>
      </c>
      <c r="L497" s="3">
        <f>IFERROR(LET(mtype,XLOOKUP($D497,'Move Editor'!$B:$B,'Move Editor'!$C:$C,""),cat,XLOOKUP($D497,'Move Editor'!$B:$B,'Move Editor'!$D:$D,""),pow,XLOOKUP($D497,'Move Editor'!$B:$B,'Move Editor'!$E:$E,0),acc,XLOOKUP($D497,'Move Editor'!$B:$B,'Move Editor'!$F:$F,100),atk,IF(cat="Physical",FLOOR((FLOOR(((2*XLOOKUP(XLOOKUP($Q497,'Threshold Summary'!$Y:$Y,'Threshold Summary'!$K:$K,""),'Pokemon Editor'!$A:$A,'Pokemon Editor'!$F:$F,0)+31+FLOOR(XLOOKUP($Q497,'Threshold Summary'!$Y:$Y,'Threshold Summary'!$P:$P,"")/4))*XLOOKUP($Q497,'Threshold Summary'!$Y:$Y,'Threshold Summary'!$L:$L,""))/100)+5)*XLOOKUP(XLOOKUP($Q497,'Threshold Summary'!$Y:$Y,'Threshold Summary'!$M:$M,""),'Nature Editor'!$A:$A,'Nature Editor'!$B:$B,1)),FLOOR((FLOOR(((2*XLOOKUP(XLOOKUP($Q497,'Threshold Summary'!$Y:$Y,'Threshold Summary'!$K:$K,""),'Pokemon Editor'!$A:$A,'Pokemon Editor'!$H:$H,0)+31+FLOOR(XLOOKUP($Q497,'Threshold Summary'!$Y:$Y,'Threshold Summary'!$R:$R,"")/4))*XLOOKUP($Q497,'Threshold Summary'!$Y:$Y,'Threshold Summary'!$L:$L,""))/100)+5)*XLOOKUP(XLOOKUP($Q497,'Threshold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Editor'!$E:$E,1))),stab,IF(OR(mtype=XLOOKUP(XLOOKUP($Q497,'Threshold Summary'!$Y:$Y,'Threshold Summary'!$K:$K,""),'Pokemon Editor'!$A:$A,'Pokemon Editor'!$C:$C,""),mtype=XLOOKUP(XLOOKUP($Q497,'Threshold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Chart'!$B$1:$S$1,0)))),base,IF(OR(cat="Status",pow=0),0,FLOOR(FLOOR(FLOOR((2*XLOOKUP($Q497,'Threshold Summary'!$Y:$Y,'Threshold Summary'!$L:$L,"")/5+2)*pow*atk/def)/50)+2)),modifier,stab*eff,AVERAGE(ARRAYFORMULA(FLOOR(base*modifier*SEQUENCE(16,1,85,1)/100)))),0)</f>
        <v/>
      </c>
      <c r="M497" s="3">
        <f>IFERROR(LET(mtype,XLOOKUP($D497,'Move Editor'!$B:$B,'Move Editor'!$C:$C,""),cat,XLOOKUP($D497,'Move Editor'!$B:$B,'Move Editor'!$D:$D,""),pow,XLOOKUP($D497,'Move Editor'!$B:$B,'Move Editor'!$E:$E,0),acc,XLOOKUP($D497,'Move Editor'!$B:$B,'Move Editor'!$F:$F,100),atk,IF(cat="Physical",FLOOR((FLOOR(((2*XLOOKUP(XLOOKUP($Q497,'Threshold Summary'!$Y:$Y,'Threshold Summary'!$K:$K,""),'Pokemon Editor'!$A:$A,'Pokemon Editor'!$F:$F,0)+31+FLOOR(XLOOKUP($Q497,'Threshold Summary'!$Y:$Y,'Threshold Summary'!$P:$P,"")/4))*XLOOKUP($Q497,'Threshold Summary'!$Y:$Y,'Threshold Summary'!$L:$L,""))/100)+5)*XLOOKUP(XLOOKUP($Q497,'Threshold Summary'!$Y:$Y,'Threshold Summary'!$M:$M,""),'Nature Editor'!$A:$A,'Nature Editor'!$B:$B,1)),FLOOR((FLOOR(((2*XLOOKUP(XLOOKUP($Q497,'Threshold Summary'!$Y:$Y,'Threshold Summary'!$K:$K,""),'Pokemon Editor'!$A:$A,'Pokemon Editor'!$H:$H,0)+31+FLOOR(XLOOKUP($Q497,'Threshold Summary'!$Y:$Y,'Threshold Summary'!$R:$R,"")/4))*XLOOKUP($Q497,'Threshold Summary'!$Y:$Y,'Threshold Summary'!$L:$L,""))/100)+5)*XLOOKUP(XLOOKUP($Q497,'Threshold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Editor'!$E:$E,1))),stab,IF(OR(mtype=XLOOKUP(XLOOKUP($Q497,'Threshold Summary'!$Y:$Y,'Threshold Summary'!$K:$K,""),'Pokemon Editor'!$A:$A,'Pokemon Editor'!$C:$C,""),mtype=XLOOKUP(XLOOKUP($Q497,'Threshold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Chart'!$B$1:$S$1,0)))),base,IF(OR(cat="Status",pow=0),0,FLOOR(FLOOR(FLOOR((2*XLOOKUP($Q497,'Threshold Summary'!$Y:$Y,'Threshold Summary'!$L:$L,"")/5+2)*pow*atk/def)/50)+2)),modifier,stab*eff,AVERAGE(ARRAYFORMULA(FLOOR(base*modifier*SEQUENCE(16,1,85,1)/100)))*MIN(1,acc/100)),0)</f>
        <v/>
      </c>
      <c r="N497" s="4">
        <f>IFERROR(LET(mtype,XLOOKUP($D497,'Move Editor'!$B:$B,'Move Editor'!$C:$C,""),cat,XLOOKUP($D497,'Move Editor'!$B:$B,'Move Editor'!$D:$D,""),pow,XLOOKUP($D497,'Move Editor'!$B:$B,'Move Editor'!$E:$E,0),acc,XLOOKUP($D497,'Move Editor'!$B:$B,'Move Editor'!$F:$F,100),atk,IF(cat="Physical",FLOOR((FLOOR(((2*XLOOKUP(XLOOKUP($Q497,'Threshold Summary'!$Y:$Y,'Threshold Summary'!$K:$K,""),'Pokemon Editor'!$A:$A,'Pokemon Editor'!$F:$F,0)+31+FLOOR(XLOOKUP($Q497,'Threshold Summary'!$Y:$Y,'Threshold Summary'!$P:$P,"")/4))*XLOOKUP($Q497,'Threshold Summary'!$Y:$Y,'Threshold Summary'!$L:$L,""))/100)+5)*XLOOKUP(XLOOKUP($Q497,'Threshold Summary'!$Y:$Y,'Threshold Summary'!$M:$M,""),'Nature Editor'!$A:$A,'Nature Editor'!$B:$B,1)),FLOOR((FLOOR(((2*XLOOKUP(XLOOKUP($Q497,'Threshold Summary'!$Y:$Y,'Threshold Summary'!$K:$K,""),'Pokemon Editor'!$A:$A,'Pokemon Editor'!$H:$H,0)+31+FLOOR(XLOOKUP($Q497,'Threshold Summary'!$Y:$Y,'Threshold Summary'!$R:$R,"")/4))*XLOOKUP($Q497,'Threshold Summary'!$Y:$Y,'Threshold Summary'!$L:$L,""))/100)+5)*XLOOKUP(XLOOKUP($Q497,'Threshold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Editor'!$E:$E,1))),stab,IF(OR(mtype=XLOOKUP(XLOOKUP($Q497,'Threshold Summary'!$Y:$Y,'Threshold Summary'!$K:$K,""),'Pokemon Editor'!$A:$A,'Pokemon Editor'!$C:$C,""),mtype=XLOOKUP(XLOOKUP($Q497,'Threshold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Chart'!$B$1:$S$1,0)))),base,IF(OR(cat="Status",pow=0),0,FLOOR(FLOOR(FLOOR((2*XLOOKUP($Q497,'Threshold Summary'!$Y:$Y,'Threshold Summary'!$L:$L,"")/5+2)*pow*atk/def)/50)+2)),modifier,stab*eff,AVERAGE(ARRAYFORMULA(FLOOR(base*modifier*SEQUENCE(16,1,85,1)/100)))/(FLOOR(((2*XLOOKUP('Boss Editor'!$C$4,'Pokemon Editor'!$A:$A,'Pokemon Editor'!$E:$E,0)+31+FLOOR('Boss Editor'!$G$4/4))*'Boss Editor'!$D$4)/100)+'Boss Editor'!$D$4+10)),0)</f>
        <v/>
      </c>
      <c r="O497" s="3">
        <f>IF(N497&gt;=1,"OHKO",IF(N497&gt;=0.5,"2HKO",IF(N497&gt;=0.333,"3HKO",IF(N497&gt;=0.25,"4HKO","5HKO+"))))</f>
        <v/>
      </c>
      <c r="P497" s="3" t="inlineStr">
        <is>
          <t>Live from editable databases</t>
        </is>
      </c>
      <c r="Q497" s="3" t="inlineStr">
        <is>
          <t>SPECIES_VENIPEDE</t>
        </is>
      </c>
      <c r="R497" s="3" t="n">
        <v>16</v>
      </c>
    </row>
    <row r="498">
      <c r="A498" s="3">
        <f>XLOOKUP($Q498,'Threshold Summary'!$Y:$Y,'Threshold Summary'!$A:$A,"")</f>
        <v/>
      </c>
      <c r="B498" s="3">
        <f>XLOOKUP($Q498,'Threshold Summary'!$Y:$Y,'Threshold Summary'!$M:$M,"")</f>
        <v/>
      </c>
      <c r="C498" s="3">
        <f>XLOOKUP($Q498,'Threshold Summary'!$Y:$Y,'Threshold Summary'!$N:$N,"")</f>
        <v/>
      </c>
      <c r="D498" s="3">
        <f>IFERROR(INDEX(FILTER('Learnset Editor'!$D$2:$D,'Learnset Editor'!$A$2:$A=XLOOKUP($Q498,'Threshold Summary'!$Y:$Y,'Threshold Summary'!$K:$K,""),'Learnset Editor'!$C$2:$C&lt;=XLOOKUP($Q498,'Threshold Summary'!$Y:$Y,'Threshold Summary'!$L:$L,"")),$R498),"")</f>
        <v/>
      </c>
      <c r="E498" s="3">
        <f>XLOOKUP(D498,'Move Editor'!$B:$B,'Move Editor'!$C:$C,"")</f>
        <v/>
      </c>
      <c r="F498" s="3">
        <f>XLOOKUP(D498,'Move Editor'!$B:$B,'Move Editor'!$D:$D,"")</f>
        <v/>
      </c>
      <c r="G498" s="3">
        <f>XLOOKUP(D498,'Move Editor'!$B:$B,'Move Editor'!$E:$E,0)</f>
        <v/>
      </c>
      <c r="H498" s="3">
        <f>XLOOKUP(D498,'Move Editor'!$B:$B,'Move Editor'!$F:$F,0)</f>
        <v/>
      </c>
      <c r="I498" s="3">
        <f>(INDEX('Type Chart'!$B:$S,MATCH(E498,'Type Chart'!$A:$A,0),MATCH(XLOOKUP('Boss Editor'!$C$4,'Pokemon Editor'!$A:$A,'Pokemon Editor'!$C:$C,""),'Type Chart'!$B$1:$S$1,0))*IF(XLOOKUP('Boss Editor'!$C$4,'Pokemon Editor'!$A:$A,'Pokemon Editor'!$D:$D,"")="",1,INDEX('Type Chart'!$B:$S,MATCH(E498,'Type Chart'!$A:$A,0),MATCH(XLOOKUP('Boss Editor'!$C$4,'Pokemon Editor'!$A:$A,'Pokemon Editor'!$D:$D,""),'Type Chart'!$B$1:$S$1,0))))</f>
        <v/>
      </c>
      <c r="J498" s="3">
        <f>IFERROR(LET(mtype,XLOOKUP($D498,'Move Editor'!$B:$B,'Move Editor'!$C:$C,""),cat,XLOOKUP($D498,'Move Editor'!$B:$B,'Move Editor'!$D:$D,""),pow,XLOOKUP($D498,'Move Editor'!$B:$B,'Move Editor'!$E:$E,0),acc,XLOOKUP($D498,'Move Editor'!$B:$B,'Move Editor'!$F:$F,100),atk,IF(cat="Physical",FLOOR((FLOOR(((2*XLOOKUP(XLOOKUP($Q498,'Threshold Summary'!$Y:$Y,'Threshold Summary'!$K:$K,""),'Pokemon Editor'!$A:$A,'Pokemon Editor'!$F:$F,0)+31+FLOOR(XLOOKUP($Q498,'Threshold Summary'!$Y:$Y,'Threshold Summary'!$P:$P,"")/4))*XLOOKUP($Q498,'Threshold Summary'!$Y:$Y,'Threshold Summary'!$L:$L,""))/100)+5)*XLOOKUP(XLOOKUP($Q498,'Threshold Summary'!$Y:$Y,'Threshold Summary'!$M:$M,""),'Nature Editor'!$A:$A,'Nature Editor'!$B:$B,1)),FLOOR((FLOOR(((2*XLOOKUP(XLOOKUP($Q498,'Threshold Summary'!$Y:$Y,'Threshold Summary'!$K:$K,""),'Pokemon Editor'!$A:$A,'Pokemon Editor'!$H:$H,0)+31+FLOOR(XLOOKUP($Q498,'Threshold Summary'!$Y:$Y,'Threshold Summary'!$R:$R,"")/4))*XLOOKUP($Q498,'Threshold Summary'!$Y:$Y,'Threshold Summary'!$L:$L,""))/100)+5)*XLOOKUP(XLOOKUP($Q498,'Threshold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Editor'!$E:$E,1))),stab,IF(OR(mtype=XLOOKUP(XLOOKUP($Q498,'Threshold Summary'!$Y:$Y,'Threshold Summary'!$K:$K,""),'Pokemon Editor'!$A:$A,'Pokemon Editor'!$C:$C,""),mtype=XLOOKUP(XLOOKUP($Q498,'Threshold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Chart'!$B$1:$S$1,0)))),base,IF(OR(cat="Status",pow=0),0,FLOOR(FLOOR(FLOOR((2*XLOOKUP($Q498,'Threshold Summary'!$Y:$Y,'Threshold Summary'!$L:$L,"")/5+2)*pow*atk/def)/50)+2)),modifier,stab*eff,FLOOR(base*modifier*0.85)),0)</f>
        <v/>
      </c>
      <c r="K498" s="3">
        <f>IFERROR(LET(mtype,XLOOKUP($D498,'Move Editor'!$B:$B,'Move Editor'!$C:$C,""),cat,XLOOKUP($D498,'Move Editor'!$B:$B,'Move Editor'!$D:$D,""),pow,XLOOKUP($D498,'Move Editor'!$B:$B,'Move Editor'!$E:$E,0),acc,XLOOKUP($D498,'Move Editor'!$B:$B,'Move Editor'!$F:$F,100),atk,IF(cat="Physical",FLOOR((FLOOR(((2*XLOOKUP(XLOOKUP($Q498,'Threshold Summary'!$Y:$Y,'Threshold Summary'!$K:$K,""),'Pokemon Editor'!$A:$A,'Pokemon Editor'!$F:$F,0)+31+FLOOR(XLOOKUP($Q498,'Threshold Summary'!$Y:$Y,'Threshold Summary'!$P:$P,"")/4))*XLOOKUP($Q498,'Threshold Summary'!$Y:$Y,'Threshold Summary'!$L:$L,""))/100)+5)*XLOOKUP(XLOOKUP($Q498,'Threshold Summary'!$Y:$Y,'Threshold Summary'!$M:$M,""),'Nature Editor'!$A:$A,'Nature Editor'!$B:$B,1)),FLOOR((FLOOR(((2*XLOOKUP(XLOOKUP($Q498,'Threshold Summary'!$Y:$Y,'Threshold Summary'!$K:$K,""),'Pokemon Editor'!$A:$A,'Pokemon Editor'!$H:$H,0)+31+FLOOR(XLOOKUP($Q498,'Threshold Summary'!$Y:$Y,'Threshold Summary'!$R:$R,"")/4))*XLOOKUP($Q498,'Threshold Summary'!$Y:$Y,'Threshold Summary'!$L:$L,""))/100)+5)*XLOOKUP(XLOOKUP($Q498,'Threshold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Editor'!$E:$E,1))),stab,IF(OR(mtype=XLOOKUP(XLOOKUP($Q498,'Threshold Summary'!$Y:$Y,'Threshold Summary'!$K:$K,""),'Pokemon Editor'!$A:$A,'Pokemon Editor'!$C:$C,""),mtype=XLOOKUP(XLOOKUP($Q498,'Threshold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Chart'!$B$1:$S$1,0)))),base,IF(OR(cat="Status",pow=0),0,FLOOR(FLOOR(FLOOR((2*XLOOKUP($Q498,'Threshold Summary'!$Y:$Y,'Threshold Summary'!$L:$L,"")/5+2)*pow*atk/def)/50)+2)),modifier,stab*eff,FLOOR(base*modifier)),0)</f>
        <v/>
      </c>
      <c r="L498" s="3">
        <f>IFERROR(LET(mtype,XLOOKUP($D498,'Move Editor'!$B:$B,'Move Editor'!$C:$C,""),cat,XLOOKUP($D498,'Move Editor'!$B:$B,'Move Editor'!$D:$D,""),pow,XLOOKUP($D498,'Move Editor'!$B:$B,'Move Editor'!$E:$E,0),acc,XLOOKUP($D498,'Move Editor'!$B:$B,'Move Editor'!$F:$F,100),atk,IF(cat="Physical",FLOOR((FLOOR(((2*XLOOKUP(XLOOKUP($Q498,'Threshold Summary'!$Y:$Y,'Threshold Summary'!$K:$K,""),'Pokemon Editor'!$A:$A,'Pokemon Editor'!$F:$F,0)+31+FLOOR(XLOOKUP($Q498,'Threshold Summary'!$Y:$Y,'Threshold Summary'!$P:$P,"")/4))*XLOOKUP($Q498,'Threshold Summary'!$Y:$Y,'Threshold Summary'!$L:$L,""))/100)+5)*XLOOKUP(XLOOKUP($Q498,'Threshold Summary'!$Y:$Y,'Threshold Summary'!$M:$M,""),'Nature Editor'!$A:$A,'Nature Editor'!$B:$B,1)),FLOOR((FLOOR(((2*XLOOKUP(XLOOKUP($Q498,'Threshold Summary'!$Y:$Y,'Threshold Summary'!$K:$K,""),'Pokemon Editor'!$A:$A,'Pokemon Editor'!$H:$H,0)+31+FLOOR(XLOOKUP($Q498,'Threshold Summary'!$Y:$Y,'Threshold Summary'!$R:$R,"")/4))*XLOOKUP($Q498,'Threshold Summary'!$Y:$Y,'Threshold Summary'!$L:$L,""))/100)+5)*XLOOKUP(XLOOKUP($Q498,'Threshold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Editor'!$E:$E,1))),stab,IF(OR(mtype=XLOOKUP(XLOOKUP($Q498,'Threshold Summary'!$Y:$Y,'Threshold Summary'!$K:$K,""),'Pokemon Editor'!$A:$A,'Pokemon Editor'!$C:$C,""),mtype=XLOOKUP(XLOOKUP($Q498,'Threshold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Chart'!$B$1:$S$1,0)))),base,IF(OR(cat="Status",pow=0),0,FLOOR(FLOOR(FLOOR((2*XLOOKUP($Q498,'Threshold Summary'!$Y:$Y,'Threshold Summary'!$L:$L,"")/5+2)*pow*atk/def)/50)+2)),modifier,stab*eff,AVERAGE(ARRAYFORMULA(FLOOR(base*modifier*SEQUENCE(16,1,85,1)/100)))),0)</f>
        <v/>
      </c>
      <c r="M498" s="3">
        <f>IFERROR(LET(mtype,XLOOKUP($D498,'Move Editor'!$B:$B,'Move Editor'!$C:$C,""),cat,XLOOKUP($D498,'Move Editor'!$B:$B,'Move Editor'!$D:$D,""),pow,XLOOKUP($D498,'Move Editor'!$B:$B,'Move Editor'!$E:$E,0),acc,XLOOKUP($D498,'Move Editor'!$B:$B,'Move Editor'!$F:$F,100),atk,IF(cat="Physical",FLOOR((FLOOR(((2*XLOOKUP(XLOOKUP($Q498,'Threshold Summary'!$Y:$Y,'Threshold Summary'!$K:$K,""),'Pokemon Editor'!$A:$A,'Pokemon Editor'!$F:$F,0)+31+FLOOR(XLOOKUP($Q498,'Threshold Summary'!$Y:$Y,'Threshold Summary'!$P:$P,"")/4))*XLOOKUP($Q498,'Threshold Summary'!$Y:$Y,'Threshold Summary'!$L:$L,""))/100)+5)*XLOOKUP(XLOOKUP($Q498,'Threshold Summary'!$Y:$Y,'Threshold Summary'!$M:$M,""),'Nature Editor'!$A:$A,'Nature Editor'!$B:$B,1)),FLOOR((FLOOR(((2*XLOOKUP(XLOOKUP($Q498,'Threshold Summary'!$Y:$Y,'Threshold Summary'!$K:$K,""),'Pokemon Editor'!$A:$A,'Pokemon Editor'!$H:$H,0)+31+FLOOR(XLOOKUP($Q498,'Threshold Summary'!$Y:$Y,'Threshold Summary'!$R:$R,"")/4))*XLOOKUP($Q498,'Threshold Summary'!$Y:$Y,'Threshold Summary'!$L:$L,""))/100)+5)*XLOOKUP(XLOOKUP($Q498,'Threshold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Editor'!$E:$E,1))),stab,IF(OR(mtype=XLOOKUP(XLOOKUP($Q498,'Threshold Summary'!$Y:$Y,'Threshold Summary'!$K:$K,""),'Pokemon Editor'!$A:$A,'Pokemon Editor'!$C:$C,""),mtype=XLOOKUP(XLOOKUP($Q498,'Threshold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Chart'!$B$1:$S$1,0)))),base,IF(OR(cat="Status",pow=0),0,FLOOR(FLOOR(FLOOR((2*XLOOKUP($Q498,'Threshold Summary'!$Y:$Y,'Threshold Summary'!$L:$L,"")/5+2)*pow*atk/def)/50)+2)),modifier,stab*eff,AVERAGE(ARRAYFORMULA(FLOOR(base*modifier*SEQUENCE(16,1,85,1)/100)))*MIN(1,acc/100)),0)</f>
        <v/>
      </c>
      <c r="N498" s="4">
        <f>IFERROR(LET(mtype,XLOOKUP($D498,'Move Editor'!$B:$B,'Move Editor'!$C:$C,""),cat,XLOOKUP($D498,'Move Editor'!$B:$B,'Move Editor'!$D:$D,""),pow,XLOOKUP($D498,'Move Editor'!$B:$B,'Move Editor'!$E:$E,0),acc,XLOOKUP($D498,'Move Editor'!$B:$B,'Move Editor'!$F:$F,100),atk,IF(cat="Physical",FLOOR((FLOOR(((2*XLOOKUP(XLOOKUP($Q498,'Threshold Summary'!$Y:$Y,'Threshold Summary'!$K:$K,""),'Pokemon Editor'!$A:$A,'Pokemon Editor'!$F:$F,0)+31+FLOOR(XLOOKUP($Q498,'Threshold Summary'!$Y:$Y,'Threshold Summary'!$P:$P,"")/4))*XLOOKUP($Q498,'Threshold Summary'!$Y:$Y,'Threshold Summary'!$L:$L,""))/100)+5)*XLOOKUP(XLOOKUP($Q498,'Threshold Summary'!$Y:$Y,'Threshold Summary'!$M:$M,""),'Nature Editor'!$A:$A,'Nature Editor'!$B:$B,1)),FLOOR((FLOOR(((2*XLOOKUP(XLOOKUP($Q498,'Threshold Summary'!$Y:$Y,'Threshold Summary'!$K:$K,""),'Pokemon Editor'!$A:$A,'Pokemon Editor'!$H:$H,0)+31+FLOOR(XLOOKUP($Q498,'Threshold Summary'!$Y:$Y,'Threshold Summary'!$R:$R,"")/4))*XLOOKUP($Q498,'Threshold Summary'!$Y:$Y,'Threshold Summary'!$L:$L,""))/100)+5)*XLOOKUP(XLOOKUP($Q498,'Threshold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Editor'!$E:$E,1))),stab,IF(OR(mtype=XLOOKUP(XLOOKUP($Q498,'Threshold Summary'!$Y:$Y,'Threshold Summary'!$K:$K,""),'Pokemon Editor'!$A:$A,'Pokemon Editor'!$C:$C,""),mtype=XLOOKUP(XLOOKUP($Q498,'Threshold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Chart'!$B$1:$S$1,0)))),base,IF(OR(cat="Status",pow=0),0,FLOOR(FLOOR(FLOOR((2*XLOOKUP($Q498,'Threshold Summary'!$Y:$Y,'Threshold Summary'!$L:$L,"")/5+2)*pow*atk/def)/50)+2)),modifier,stab*eff,AVERAGE(ARRAYFORMULA(FLOOR(base*modifier*SEQUENCE(16,1,85,1)/100)))/(FLOOR(((2*XLOOKUP('Boss Editor'!$C$4,'Pokemon Editor'!$A:$A,'Pokemon Editor'!$E:$E,0)+31+FLOOR('Boss Editor'!$G$4/4))*'Boss Editor'!$D$4)/100)+'Boss Editor'!$D$4+10)),0)</f>
        <v/>
      </c>
      <c r="O498" s="3">
        <f>IF(N498&gt;=1,"OHKO",IF(N498&gt;=0.5,"2HKO",IF(N498&gt;=0.333,"3HKO",IF(N498&gt;=0.25,"4HKO","5HKO+"))))</f>
        <v/>
      </c>
      <c r="P498" s="3" t="inlineStr">
        <is>
          <t>Live from editable databases</t>
        </is>
      </c>
      <c r="Q498" s="3" t="inlineStr">
        <is>
          <t>SPECIES_VENIPEDE</t>
        </is>
      </c>
      <c r="R498" s="3" t="n">
        <v>17</v>
      </c>
    </row>
    <row r="499">
      <c r="A499" s="3">
        <f>XLOOKUP($Q499,'Threshold Summary'!$Y:$Y,'Threshold Summary'!$A:$A,"")</f>
        <v/>
      </c>
      <c r="B499" s="3">
        <f>XLOOKUP($Q499,'Threshold Summary'!$Y:$Y,'Threshold Summary'!$M:$M,"")</f>
        <v/>
      </c>
      <c r="C499" s="3">
        <f>XLOOKUP($Q499,'Threshold Summary'!$Y:$Y,'Threshold Summary'!$N:$N,"")</f>
        <v/>
      </c>
      <c r="D499" s="3">
        <f>IFERROR(INDEX(FILTER('Learnset Editor'!$D$2:$D,'Learnset Editor'!$A$2:$A=XLOOKUP($Q499,'Threshold Summary'!$Y:$Y,'Threshold Summary'!$K:$K,""),'Learnset Editor'!$C$2:$C&lt;=XLOOKUP($Q499,'Threshold Summary'!$Y:$Y,'Threshold Summary'!$L:$L,"")),$R499),"")</f>
        <v/>
      </c>
      <c r="E499" s="3">
        <f>XLOOKUP(D499,'Move Editor'!$B:$B,'Move Editor'!$C:$C,"")</f>
        <v/>
      </c>
      <c r="F499" s="3">
        <f>XLOOKUP(D499,'Move Editor'!$B:$B,'Move Editor'!$D:$D,"")</f>
        <v/>
      </c>
      <c r="G499" s="3">
        <f>XLOOKUP(D499,'Move Editor'!$B:$B,'Move Editor'!$E:$E,0)</f>
        <v/>
      </c>
      <c r="H499" s="3">
        <f>XLOOKUP(D499,'Move Editor'!$B:$B,'Move Editor'!$F:$F,0)</f>
        <v/>
      </c>
      <c r="I499" s="3">
        <f>(INDEX('Type Chart'!$B:$S,MATCH(E499,'Type Chart'!$A:$A,0),MATCH(XLOOKUP('Boss Editor'!$C$4,'Pokemon Editor'!$A:$A,'Pokemon Editor'!$C:$C,""),'Type Chart'!$B$1:$S$1,0))*IF(XLOOKUP('Boss Editor'!$C$4,'Pokemon Editor'!$A:$A,'Pokemon Editor'!$D:$D,"")="",1,INDEX('Type Chart'!$B:$S,MATCH(E499,'Type Chart'!$A:$A,0),MATCH(XLOOKUP('Boss Editor'!$C$4,'Pokemon Editor'!$A:$A,'Pokemon Editor'!$D:$D,""),'Type Chart'!$B$1:$S$1,0))))</f>
        <v/>
      </c>
      <c r="J499" s="3">
        <f>IFERROR(LET(mtype,XLOOKUP($D499,'Move Editor'!$B:$B,'Move Editor'!$C:$C,""),cat,XLOOKUP($D499,'Move Editor'!$B:$B,'Move Editor'!$D:$D,""),pow,XLOOKUP($D499,'Move Editor'!$B:$B,'Move Editor'!$E:$E,0),acc,XLOOKUP($D499,'Move Editor'!$B:$B,'Move Editor'!$F:$F,100),atk,IF(cat="Physical",FLOOR((FLOOR(((2*XLOOKUP(XLOOKUP($Q499,'Threshold Summary'!$Y:$Y,'Threshold Summary'!$K:$K,""),'Pokemon Editor'!$A:$A,'Pokemon Editor'!$F:$F,0)+31+FLOOR(XLOOKUP($Q499,'Threshold Summary'!$Y:$Y,'Threshold Summary'!$P:$P,"")/4))*XLOOKUP($Q499,'Threshold Summary'!$Y:$Y,'Threshold Summary'!$L:$L,""))/100)+5)*XLOOKUP(XLOOKUP($Q499,'Threshold Summary'!$Y:$Y,'Threshold Summary'!$M:$M,""),'Nature Editor'!$A:$A,'Nature Editor'!$B:$B,1)),FLOOR((FLOOR(((2*XLOOKUP(XLOOKUP($Q499,'Threshold Summary'!$Y:$Y,'Threshold Summary'!$K:$K,""),'Pokemon Editor'!$A:$A,'Pokemon Editor'!$H:$H,0)+31+FLOOR(XLOOKUP($Q499,'Threshold Summary'!$Y:$Y,'Threshold Summary'!$R:$R,"")/4))*XLOOKUP($Q499,'Threshold Summary'!$Y:$Y,'Threshold Summary'!$L:$L,""))/100)+5)*XLOOKUP(XLOOKUP($Q499,'Threshold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Editor'!$E:$E,1))),stab,IF(OR(mtype=XLOOKUP(XLOOKUP($Q499,'Threshold Summary'!$Y:$Y,'Threshold Summary'!$K:$K,""),'Pokemon Editor'!$A:$A,'Pokemon Editor'!$C:$C,""),mtype=XLOOKUP(XLOOKUP($Q499,'Threshold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Chart'!$B$1:$S$1,0)))),base,IF(OR(cat="Status",pow=0),0,FLOOR(FLOOR(FLOOR((2*XLOOKUP($Q499,'Threshold Summary'!$Y:$Y,'Threshold Summary'!$L:$L,"")/5+2)*pow*atk/def)/50)+2)),modifier,stab*eff,FLOOR(base*modifier*0.85)),0)</f>
        <v/>
      </c>
      <c r="K499" s="3">
        <f>IFERROR(LET(mtype,XLOOKUP($D499,'Move Editor'!$B:$B,'Move Editor'!$C:$C,""),cat,XLOOKUP($D499,'Move Editor'!$B:$B,'Move Editor'!$D:$D,""),pow,XLOOKUP($D499,'Move Editor'!$B:$B,'Move Editor'!$E:$E,0),acc,XLOOKUP($D499,'Move Editor'!$B:$B,'Move Editor'!$F:$F,100),atk,IF(cat="Physical",FLOOR((FLOOR(((2*XLOOKUP(XLOOKUP($Q499,'Threshold Summary'!$Y:$Y,'Threshold Summary'!$K:$K,""),'Pokemon Editor'!$A:$A,'Pokemon Editor'!$F:$F,0)+31+FLOOR(XLOOKUP($Q499,'Threshold Summary'!$Y:$Y,'Threshold Summary'!$P:$P,"")/4))*XLOOKUP($Q499,'Threshold Summary'!$Y:$Y,'Threshold Summary'!$L:$L,""))/100)+5)*XLOOKUP(XLOOKUP($Q499,'Threshold Summary'!$Y:$Y,'Threshold Summary'!$M:$M,""),'Nature Editor'!$A:$A,'Nature Editor'!$B:$B,1)),FLOOR((FLOOR(((2*XLOOKUP(XLOOKUP($Q499,'Threshold Summary'!$Y:$Y,'Threshold Summary'!$K:$K,""),'Pokemon Editor'!$A:$A,'Pokemon Editor'!$H:$H,0)+31+FLOOR(XLOOKUP($Q499,'Threshold Summary'!$Y:$Y,'Threshold Summary'!$R:$R,"")/4))*XLOOKUP($Q499,'Threshold Summary'!$Y:$Y,'Threshold Summary'!$L:$L,""))/100)+5)*XLOOKUP(XLOOKUP($Q499,'Threshold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Editor'!$E:$E,1))),stab,IF(OR(mtype=XLOOKUP(XLOOKUP($Q499,'Threshold Summary'!$Y:$Y,'Threshold Summary'!$K:$K,""),'Pokemon Editor'!$A:$A,'Pokemon Editor'!$C:$C,""),mtype=XLOOKUP(XLOOKUP($Q499,'Threshold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Chart'!$B$1:$S$1,0)))),base,IF(OR(cat="Status",pow=0),0,FLOOR(FLOOR(FLOOR((2*XLOOKUP($Q499,'Threshold Summary'!$Y:$Y,'Threshold Summary'!$L:$L,"")/5+2)*pow*atk/def)/50)+2)),modifier,stab*eff,FLOOR(base*modifier)),0)</f>
        <v/>
      </c>
      <c r="L499" s="3">
        <f>IFERROR(LET(mtype,XLOOKUP($D499,'Move Editor'!$B:$B,'Move Editor'!$C:$C,""),cat,XLOOKUP($D499,'Move Editor'!$B:$B,'Move Editor'!$D:$D,""),pow,XLOOKUP($D499,'Move Editor'!$B:$B,'Move Editor'!$E:$E,0),acc,XLOOKUP($D499,'Move Editor'!$B:$B,'Move Editor'!$F:$F,100),atk,IF(cat="Physical",FLOOR((FLOOR(((2*XLOOKUP(XLOOKUP($Q499,'Threshold Summary'!$Y:$Y,'Threshold Summary'!$K:$K,""),'Pokemon Editor'!$A:$A,'Pokemon Editor'!$F:$F,0)+31+FLOOR(XLOOKUP($Q499,'Threshold Summary'!$Y:$Y,'Threshold Summary'!$P:$P,"")/4))*XLOOKUP($Q499,'Threshold Summary'!$Y:$Y,'Threshold Summary'!$L:$L,""))/100)+5)*XLOOKUP(XLOOKUP($Q499,'Threshold Summary'!$Y:$Y,'Threshold Summary'!$M:$M,""),'Nature Editor'!$A:$A,'Nature Editor'!$B:$B,1)),FLOOR((FLOOR(((2*XLOOKUP(XLOOKUP($Q499,'Threshold Summary'!$Y:$Y,'Threshold Summary'!$K:$K,""),'Pokemon Editor'!$A:$A,'Pokemon Editor'!$H:$H,0)+31+FLOOR(XLOOKUP($Q499,'Threshold Summary'!$Y:$Y,'Threshold Summary'!$R:$R,"")/4))*XLOOKUP($Q499,'Threshold Summary'!$Y:$Y,'Threshold Summary'!$L:$L,""))/100)+5)*XLOOKUP(XLOOKUP($Q499,'Threshold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Editor'!$E:$E,1))),stab,IF(OR(mtype=XLOOKUP(XLOOKUP($Q499,'Threshold Summary'!$Y:$Y,'Threshold Summary'!$K:$K,""),'Pokemon Editor'!$A:$A,'Pokemon Editor'!$C:$C,""),mtype=XLOOKUP(XLOOKUP($Q499,'Threshold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Chart'!$B$1:$S$1,0)))),base,IF(OR(cat="Status",pow=0),0,FLOOR(FLOOR(FLOOR((2*XLOOKUP($Q499,'Threshold Summary'!$Y:$Y,'Threshold Summary'!$L:$L,"")/5+2)*pow*atk/def)/50)+2)),modifier,stab*eff,AVERAGE(ARRAYFORMULA(FLOOR(base*modifier*SEQUENCE(16,1,85,1)/100)))),0)</f>
        <v/>
      </c>
      <c r="M499" s="3">
        <f>IFERROR(LET(mtype,XLOOKUP($D499,'Move Editor'!$B:$B,'Move Editor'!$C:$C,""),cat,XLOOKUP($D499,'Move Editor'!$B:$B,'Move Editor'!$D:$D,""),pow,XLOOKUP($D499,'Move Editor'!$B:$B,'Move Editor'!$E:$E,0),acc,XLOOKUP($D499,'Move Editor'!$B:$B,'Move Editor'!$F:$F,100),atk,IF(cat="Physical",FLOOR((FLOOR(((2*XLOOKUP(XLOOKUP($Q499,'Threshold Summary'!$Y:$Y,'Threshold Summary'!$K:$K,""),'Pokemon Editor'!$A:$A,'Pokemon Editor'!$F:$F,0)+31+FLOOR(XLOOKUP($Q499,'Threshold Summary'!$Y:$Y,'Threshold Summary'!$P:$P,"")/4))*XLOOKUP($Q499,'Threshold Summary'!$Y:$Y,'Threshold Summary'!$L:$L,""))/100)+5)*XLOOKUP(XLOOKUP($Q499,'Threshold Summary'!$Y:$Y,'Threshold Summary'!$M:$M,""),'Nature Editor'!$A:$A,'Nature Editor'!$B:$B,1)),FLOOR((FLOOR(((2*XLOOKUP(XLOOKUP($Q499,'Threshold Summary'!$Y:$Y,'Threshold Summary'!$K:$K,""),'Pokemon Editor'!$A:$A,'Pokemon Editor'!$H:$H,0)+31+FLOOR(XLOOKUP($Q499,'Threshold Summary'!$Y:$Y,'Threshold Summary'!$R:$R,"")/4))*XLOOKUP($Q499,'Threshold Summary'!$Y:$Y,'Threshold Summary'!$L:$L,""))/100)+5)*XLOOKUP(XLOOKUP($Q499,'Threshold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Editor'!$E:$E,1))),stab,IF(OR(mtype=XLOOKUP(XLOOKUP($Q499,'Threshold Summary'!$Y:$Y,'Threshold Summary'!$K:$K,""),'Pokemon Editor'!$A:$A,'Pokemon Editor'!$C:$C,""),mtype=XLOOKUP(XLOOKUP($Q499,'Threshold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Chart'!$B$1:$S$1,0)))),base,IF(OR(cat="Status",pow=0),0,FLOOR(FLOOR(FLOOR((2*XLOOKUP($Q499,'Threshold Summary'!$Y:$Y,'Threshold Summary'!$L:$L,"")/5+2)*pow*atk/def)/50)+2)),modifier,stab*eff,AVERAGE(ARRAYFORMULA(FLOOR(base*modifier*SEQUENCE(16,1,85,1)/100)))*MIN(1,acc/100)),0)</f>
        <v/>
      </c>
      <c r="N499" s="4">
        <f>IFERROR(LET(mtype,XLOOKUP($D499,'Move Editor'!$B:$B,'Move Editor'!$C:$C,""),cat,XLOOKUP($D499,'Move Editor'!$B:$B,'Move Editor'!$D:$D,""),pow,XLOOKUP($D499,'Move Editor'!$B:$B,'Move Editor'!$E:$E,0),acc,XLOOKUP($D499,'Move Editor'!$B:$B,'Move Editor'!$F:$F,100),atk,IF(cat="Physical",FLOOR((FLOOR(((2*XLOOKUP(XLOOKUP($Q499,'Threshold Summary'!$Y:$Y,'Threshold Summary'!$K:$K,""),'Pokemon Editor'!$A:$A,'Pokemon Editor'!$F:$F,0)+31+FLOOR(XLOOKUP($Q499,'Threshold Summary'!$Y:$Y,'Threshold Summary'!$P:$P,"")/4))*XLOOKUP($Q499,'Threshold Summary'!$Y:$Y,'Threshold Summary'!$L:$L,""))/100)+5)*XLOOKUP(XLOOKUP($Q499,'Threshold Summary'!$Y:$Y,'Threshold Summary'!$M:$M,""),'Nature Editor'!$A:$A,'Nature Editor'!$B:$B,1)),FLOOR((FLOOR(((2*XLOOKUP(XLOOKUP($Q499,'Threshold Summary'!$Y:$Y,'Threshold Summary'!$K:$K,""),'Pokemon Editor'!$A:$A,'Pokemon Editor'!$H:$H,0)+31+FLOOR(XLOOKUP($Q499,'Threshold Summary'!$Y:$Y,'Threshold Summary'!$R:$R,"")/4))*XLOOKUP($Q499,'Threshold Summary'!$Y:$Y,'Threshold Summary'!$L:$L,""))/100)+5)*XLOOKUP(XLOOKUP($Q499,'Threshold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Editor'!$E:$E,1))),stab,IF(OR(mtype=XLOOKUP(XLOOKUP($Q499,'Threshold Summary'!$Y:$Y,'Threshold Summary'!$K:$K,""),'Pokemon Editor'!$A:$A,'Pokemon Editor'!$C:$C,""),mtype=XLOOKUP(XLOOKUP($Q499,'Threshold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Chart'!$B$1:$S$1,0)))),base,IF(OR(cat="Status",pow=0),0,FLOOR(FLOOR(FLOOR((2*XLOOKUP($Q499,'Threshold Summary'!$Y:$Y,'Threshold Summary'!$L:$L,"")/5+2)*pow*atk/def)/50)+2)),modifier,stab*eff,AVERAGE(ARRAYFORMULA(FLOOR(base*modifier*SEQUENCE(16,1,85,1)/100)))/(FLOOR(((2*XLOOKUP('Boss Editor'!$C$4,'Pokemon Editor'!$A:$A,'Pokemon Editor'!$E:$E,0)+31+FLOOR('Boss Editor'!$G$4/4))*'Boss Editor'!$D$4)/100)+'Boss Editor'!$D$4+10)),0)</f>
        <v/>
      </c>
      <c r="O499" s="3">
        <f>IF(N499&gt;=1,"OHKO",IF(N499&gt;=0.5,"2HKO",IF(N499&gt;=0.333,"3HKO",IF(N499&gt;=0.25,"4HKO","5HKO+"))))</f>
        <v/>
      </c>
      <c r="P499" s="3" t="inlineStr">
        <is>
          <t>Live from editable databases</t>
        </is>
      </c>
      <c r="Q499" s="3" t="inlineStr">
        <is>
          <t>SPECIES_VENIPEDE</t>
        </is>
      </c>
      <c r="R499" s="3" t="n">
        <v>18</v>
      </c>
    </row>
    <row r="500">
      <c r="A500" s="3">
        <f>XLOOKUP($Q500,'Threshold Summary'!$Y:$Y,'Threshold Summary'!$A:$A,"")</f>
        <v/>
      </c>
      <c r="B500" s="3">
        <f>XLOOKUP($Q500,'Threshold Summary'!$Y:$Y,'Threshold Summary'!$M:$M,"")</f>
        <v/>
      </c>
      <c r="C500" s="3">
        <f>XLOOKUP($Q500,'Threshold Summary'!$Y:$Y,'Threshold Summary'!$N:$N,"")</f>
        <v/>
      </c>
      <c r="D500" s="3">
        <f>IFERROR(INDEX(FILTER('Learnset Editor'!$D$2:$D,'Learnset Editor'!$A$2:$A=XLOOKUP($Q500,'Threshold Summary'!$Y:$Y,'Threshold Summary'!$K:$K,""),'Learnset Editor'!$C$2:$C&lt;=XLOOKUP($Q500,'Threshold Summary'!$Y:$Y,'Threshold Summary'!$L:$L,"")),$R500),"")</f>
        <v/>
      </c>
      <c r="E500" s="3">
        <f>XLOOKUP(D500,'Move Editor'!$B:$B,'Move Editor'!$C:$C,"")</f>
        <v/>
      </c>
      <c r="F500" s="3">
        <f>XLOOKUP(D500,'Move Editor'!$B:$B,'Move Editor'!$D:$D,"")</f>
        <v/>
      </c>
      <c r="G500" s="3">
        <f>XLOOKUP(D500,'Move Editor'!$B:$B,'Move Editor'!$E:$E,0)</f>
        <v/>
      </c>
      <c r="H500" s="3">
        <f>XLOOKUP(D500,'Move Editor'!$B:$B,'Move Editor'!$F:$F,0)</f>
        <v/>
      </c>
      <c r="I500" s="3">
        <f>(INDEX('Type Chart'!$B:$S,MATCH(E500,'Type Chart'!$A:$A,0),MATCH(XLOOKUP('Boss Editor'!$C$4,'Pokemon Editor'!$A:$A,'Pokemon Editor'!$C:$C,""),'Type Chart'!$B$1:$S$1,0))*IF(XLOOKUP('Boss Editor'!$C$4,'Pokemon Editor'!$A:$A,'Pokemon Editor'!$D:$D,"")="",1,INDEX('Type Chart'!$B:$S,MATCH(E500,'Type Chart'!$A:$A,0),MATCH(XLOOKUP('Boss Editor'!$C$4,'Pokemon Editor'!$A:$A,'Pokemon Editor'!$D:$D,""),'Type Chart'!$B$1:$S$1,0))))</f>
        <v/>
      </c>
      <c r="J500" s="3">
        <f>IFERROR(LET(mtype,XLOOKUP($D500,'Move Editor'!$B:$B,'Move Editor'!$C:$C,""),cat,XLOOKUP($D500,'Move Editor'!$B:$B,'Move Editor'!$D:$D,""),pow,XLOOKUP($D500,'Move Editor'!$B:$B,'Move Editor'!$E:$E,0),acc,XLOOKUP($D500,'Move Editor'!$B:$B,'Move Editor'!$F:$F,100),atk,IF(cat="Physical",FLOOR((FLOOR(((2*XLOOKUP(XLOOKUP($Q500,'Threshold Summary'!$Y:$Y,'Threshold Summary'!$K:$K,""),'Pokemon Editor'!$A:$A,'Pokemon Editor'!$F:$F,0)+31+FLOOR(XLOOKUP($Q500,'Threshold Summary'!$Y:$Y,'Threshold Summary'!$P:$P,"")/4))*XLOOKUP($Q500,'Threshold Summary'!$Y:$Y,'Threshold Summary'!$L:$L,""))/100)+5)*XLOOKUP(XLOOKUP($Q500,'Threshold Summary'!$Y:$Y,'Threshold Summary'!$M:$M,""),'Nature Editor'!$A:$A,'Nature Editor'!$B:$B,1)),FLOOR((FLOOR(((2*XLOOKUP(XLOOKUP($Q500,'Threshold Summary'!$Y:$Y,'Threshold Summary'!$K:$K,""),'Pokemon Editor'!$A:$A,'Pokemon Editor'!$H:$H,0)+31+FLOOR(XLOOKUP($Q500,'Threshold Summary'!$Y:$Y,'Threshold Summary'!$R:$R,"")/4))*XLOOKUP($Q500,'Threshold Summary'!$Y:$Y,'Threshold Summary'!$L:$L,""))/100)+5)*XLOOKUP(XLOOKUP($Q500,'Threshold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Editor'!$E:$E,1))),stab,IF(OR(mtype=XLOOKUP(XLOOKUP($Q500,'Threshold Summary'!$Y:$Y,'Threshold Summary'!$K:$K,""),'Pokemon Editor'!$A:$A,'Pokemon Editor'!$C:$C,""),mtype=XLOOKUP(XLOOKUP($Q500,'Threshold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Chart'!$B$1:$S$1,0)))),base,IF(OR(cat="Status",pow=0),0,FLOOR(FLOOR(FLOOR((2*XLOOKUP($Q500,'Threshold Summary'!$Y:$Y,'Threshold Summary'!$L:$L,"")/5+2)*pow*atk/def)/50)+2)),modifier,stab*eff,FLOOR(base*modifier*0.85)),0)</f>
        <v/>
      </c>
      <c r="K500" s="3">
        <f>IFERROR(LET(mtype,XLOOKUP($D500,'Move Editor'!$B:$B,'Move Editor'!$C:$C,""),cat,XLOOKUP($D500,'Move Editor'!$B:$B,'Move Editor'!$D:$D,""),pow,XLOOKUP($D500,'Move Editor'!$B:$B,'Move Editor'!$E:$E,0),acc,XLOOKUP($D500,'Move Editor'!$B:$B,'Move Editor'!$F:$F,100),atk,IF(cat="Physical",FLOOR((FLOOR(((2*XLOOKUP(XLOOKUP($Q500,'Threshold Summary'!$Y:$Y,'Threshold Summary'!$K:$K,""),'Pokemon Editor'!$A:$A,'Pokemon Editor'!$F:$F,0)+31+FLOOR(XLOOKUP($Q500,'Threshold Summary'!$Y:$Y,'Threshold Summary'!$P:$P,"")/4))*XLOOKUP($Q500,'Threshold Summary'!$Y:$Y,'Threshold Summary'!$L:$L,""))/100)+5)*XLOOKUP(XLOOKUP($Q500,'Threshold Summary'!$Y:$Y,'Threshold Summary'!$M:$M,""),'Nature Editor'!$A:$A,'Nature Editor'!$B:$B,1)),FLOOR((FLOOR(((2*XLOOKUP(XLOOKUP($Q500,'Threshold Summary'!$Y:$Y,'Threshold Summary'!$K:$K,""),'Pokemon Editor'!$A:$A,'Pokemon Editor'!$H:$H,0)+31+FLOOR(XLOOKUP($Q500,'Threshold Summary'!$Y:$Y,'Threshold Summary'!$R:$R,"")/4))*XLOOKUP($Q500,'Threshold Summary'!$Y:$Y,'Threshold Summary'!$L:$L,""))/100)+5)*XLOOKUP(XLOOKUP($Q500,'Threshold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Editor'!$E:$E,1))),stab,IF(OR(mtype=XLOOKUP(XLOOKUP($Q500,'Threshold Summary'!$Y:$Y,'Threshold Summary'!$K:$K,""),'Pokemon Editor'!$A:$A,'Pokemon Editor'!$C:$C,""),mtype=XLOOKUP(XLOOKUP($Q500,'Threshold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Chart'!$B$1:$S$1,0)))),base,IF(OR(cat="Status",pow=0),0,FLOOR(FLOOR(FLOOR((2*XLOOKUP($Q500,'Threshold Summary'!$Y:$Y,'Threshold Summary'!$L:$L,"")/5+2)*pow*atk/def)/50)+2)),modifier,stab*eff,FLOOR(base*modifier)),0)</f>
        <v/>
      </c>
      <c r="L500" s="3">
        <f>IFERROR(LET(mtype,XLOOKUP($D500,'Move Editor'!$B:$B,'Move Editor'!$C:$C,""),cat,XLOOKUP($D500,'Move Editor'!$B:$B,'Move Editor'!$D:$D,""),pow,XLOOKUP($D500,'Move Editor'!$B:$B,'Move Editor'!$E:$E,0),acc,XLOOKUP($D500,'Move Editor'!$B:$B,'Move Editor'!$F:$F,100),atk,IF(cat="Physical",FLOOR((FLOOR(((2*XLOOKUP(XLOOKUP($Q500,'Threshold Summary'!$Y:$Y,'Threshold Summary'!$K:$K,""),'Pokemon Editor'!$A:$A,'Pokemon Editor'!$F:$F,0)+31+FLOOR(XLOOKUP($Q500,'Threshold Summary'!$Y:$Y,'Threshold Summary'!$P:$P,"")/4))*XLOOKUP($Q500,'Threshold Summary'!$Y:$Y,'Threshold Summary'!$L:$L,""))/100)+5)*XLOOKUP(XLOOKUP($Q500,'Threshold Summary'!$Y:$Y,'Threshold Summary'!$M:$M,""),'Nature Editor'!$A:$A,'Nature Editor'!$B:$B,1)),FLOOR((FLOOR(((2*XLOOKUP(XLOOKUP($Q500,'Threshold Summary'!$Y:$Y,'Threshold Summary'!$K:$K,""),'Pokemon Editor'!$A:$A,'Pokemon Editor'!$H:$H,0)+31+FLOOR(XLOOKUP($Q500,'Threshold Summary'!$Y:$Y,'Threshold Summary'!$R:$R,"")/4))*XLOOKUP($Q500,'Threshold Summary'!$Y:$Y,'Threshold Summary'!$L:$L,""))/100)+5)*XLOOKUP(XLOOKUP($Q500,'Threshold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Editor'!$E:$E,1))),stab,IF(OR(mtype=XLOOKUP(XLOOKUP($Q500,'Threshold Summary'!$Y:$Y,'Threshold Summary'!$K:$K,""),'Pokemon Editor'!$A:$A,'Pokemon Editor'!$C:$C,""),mtype=XLOOKUP(XLOOKUP($Q500,'Threshold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Chart'!$B$1:$S$1,0)))),base,IF(OR(cat="Status",pow=0),0,FLOOR(FLOOR(FLOOR((2*XLOOKUP($Q500,'Threshold Summary'!$Y:$Y,'Threshold Summary'!$L:$L,"")/5+2)*pow*atk/def)/50)+2)),modifier,stab*eff,AVERAGE(ARRAYFORMULA(FLOOR(base*modifier*SEQUENCE(16,1,85,1)/100)))),0)</f>
        <v/>
      </c>
      <c r="M500" s="3">
        <f>IFERROR(LET(mtype,XLOOKUP($D500,'Move Editor'!$B:$B,'Move Editor'!$C:$C,""),cat,XLOOKUP($D500,'Move Editor'!$B:$B,'Move Editor'!$D:$D,""),pow,XLOOKUP($D500,'Move Editor'!$B:$B,'Move Editor'!$E:$E,0),acc,XLOOKUP($D500,'Move Editor'!$B:$B,'Move Editor'!$F:$F,100),atk,IF(cat="Physical",FLOOR((FLOOR(((2*XLOOKUP(XLOOKUP($Q500,'Threshold Summary'!$Y:$Y,'Threshold Summary'!$K:$K,""),'Pokemon Editor'!$A:$A,'Pokemon Editor'!$F:$F,0)+31+FLOOR(XLOOKUP($Q500,'Threshold Summary'!$Y:$Y,'Threshold Summary'!$P:$P,"")/4))*XLOOKUP($Q500,'Threshold Summary'!$Y:$Y,'Threshold Summary'!$L:$L,""))/100)+5)*XLOOKUP(XLOOKUP($Q500,'Threshold Summary'!$Y:$Y,'Threshold Summary'!$M:$M,""),'Nature Editor'!$A:$A,'Nature Editor'!$B:$B,1)),FLOOR((FLOOR(((2*XLOOKUP(XLOOKUP($Q500,'Threshold Summary'!$Y:$Y,'Threshold Summary'!$K:$K,""),'Pokemon Editor'!$A:$A,'Pokemon Editor'!$H:$H,0)+31+FLOOR(XLOOKUP($Q500,'Threshold Summary'!$Y:$Y,'Threshold Summary'!$R:$R,"")/4))*XLOOKUP($Q500,'Threshold Summary'!$Y:$Y,'Threshold Summary'!$L:$L,""))/100)+5)*XLOOKUP(XLOOKUP($Q500,'Threshold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Editor'!$E:$E,1))),stab,IF(OR(mtype=XLOOKUP(XLOOKUP($Q500,'Threshold Summary'!$Y:$Y,'Threshold Summary'!$K:$K,""),'Pokemon Editor'!$A:$A,'Pokemon Editor'!$C:$C,""),mtype=XLOOKUP(XLOOKUP($Q500,'Threshold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Chart'!$B$1:$S$1,0)))),base,IF(OR(cat="Status",pow=0),0,FLOOR(FLOOR(FLOOR((2*XLOOKUP($Q500,'Threshold Summary'!$Y:$Y,'Threshold Summary'!$L:$L,"")/5+2)*pow*atk/def)/50)+2)),modifier,stab*eff,AVERAGE(ARRAYFORMULA(FLOOR(base*modifier*SEQUENCE(16,1,85,1)/100)))*MIN(1,acc/100)),0)</f>
        <v/>
      </c>
      <c r="N500" s="4">
        <f>IFERROR(LET(mtype,XLOOKUP($D500,'Move Editor'!$B:$B,'Move Editor'!$C:$C,""),cat,XLOOKUP($D500,'Move Editor'!$B:$B,'Move Editor'!$D:$D,""),pow,XLOOKUP($D500,'Move Editor'!$B:$B,'Move Editor'!$E:$E,0),acc,XLOOKUP($D500,'Move Editor'!$B:$B,'Move Editor'!$F:$F,100),atk,IF(cat="Physical",FLOOR((FLOOR(((2*XLOOKUP(XLOOKUP($Q500,'Threshold Summary'!$Y:$Y,'Threshold Summary'!$K:$K,""),'Pokemon Editor'!$A:$A,'Pokemon Editor'!$F:$F,0)+31+FLOOR(XLOOKUP($Q500,'Threshold Summary'!$Y:$Y,'Threshold Summary'!$P:$P,"")/4))*XLOOKUP($Q500,'Threshold Summary'!$Y:$Y,'Threshold Summary'!$L:$L,""))/100)+5)*XLOOKUP(XLOOKUP($Q500,'Threshold Summary'!$Y:$Y,'Threshold Summary'!$M:$M,""),'Nature Editor'!$A:$A,'Nature Editor'!$B:$B,1)),FLOOR((FLOOR(((2*XLOOKUP(XLOOKUP($Q500,'Threshold Summary'!$Y:$Y,'Threshold Summary'!$K:$K,""),'Pokemon Editor'!$A:$A,'Pokemon Editor'!$H:$H,0)+31+FLOOR(XLOOKUP($Q500,'Threshold Summary'!$Y:$Y,'Threshold Summary'!$R:$R,"")/4))*XLOOKUP($Q500,'Threshold Summary'!$Y:$Y,'Threshold Summary'!$L:$L,""))/100)+5)*XLOOKUP(XLOOKUP($Q500,'Threshold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Editor'!$E:$E,1))),stab,IF(OR(mtype=XLOOKUP(XLOOKUP($Q500,'Threshold Summary'!$Y:$Y,'Threshold Summary'!$K:$K,""),'Pokemon Editor'!$A:$A,'Pokemon Editor'!$C:$C,""),mtype=XLOOKUP(XLOOKUP($Q500,'Threshold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Chart'!$B$1:$S$1,0)))),base,IF(OR(cat="Status",pow=0),0,FLOOR(FLOOR(FLOOR((2*XLOOKUP($Q500,'Threshold Summary'!$Y:$Y,'Threshold Summary'!$L:$L,"")/5+2)*pow*atk/def)/50)+2)),modifier,stab*eff,AVERAGE(ARRAYFORMULA(FLOOR(base*modifier*SEQUENCE(16,1,85,1)/100)))/(FLOOR(((2*XLOOKUP('Boss Editor'!$C$4,'Pokemon Editor'!$A:$A,'Pokemon Editor'!$E:$E,0)+31+FLOOR('Boss Editor'!$G$4/4))*'Boss Editor'!$D$4)/100)+'Boss Editor'!$D$4+10)),0)</f>
        <v/>
      </c>
      <c r="O500" s="3">
        <f>IF(N500&gt;=1,"OHKO",IF(N500&gt;=0.5,"2HKO",IF(N500&gt;=0.333,"3HKO",IF(N500&gt;=0.25,"4HKO","5HKO+"))))</f>
        <v/>
      </c>
      <c r="P500" s="3" t="inlineStr">
        <is>
          <t>Live from editable databases</t>
        </is>
      </c>
      <c r="Q500" s="3" t="inlineStr">
        <is>
          <t>SPECIES_VENIPEDE</t>
        </is>
      </c>
      <c r="R500" s="3" t="n">
        <v>19</v>
      </c>
    </row>
    <row r="501">
      <c r="A501" s="3">
        <f>XLOOKUP($Q501,'Threshold Summary'!$Y:$Y,'Threshold Summary'!$A:$A,"")</f>
        <v/>
      </c>
      <c r="B501" s="3">
        <f>XLOOKUP($Q501,'Threshold Summary'!$Y:$Y,'Threshold Summary'!$M:$M,"")</f>
        <v/>
      </c>
      <c r="C501" s="3">
        <f>XLOOKUP($Q501,'Threshold Summary'!$Y:$Y,'Threshold Summary'!$N:$N,"")</f>
        <v/>
      </c>
      <c r="D501" s="3">
        <f>IFERROR(INDEX(FILTER('Learnset Editor'!$D$2:$D,'Learnset Editor'!$A$2:$A=XLOOKUP($Q501,'Threshold Summary'!$Y:$Y,'Threshold Summary'!$K:$K,""),'Learnset Editor'!$C$2:$C&lt;=XLOOKUP($Q501,'Threshold Summary'!$Y:$Y,'Threshold Summary'!$L:$L,"")),$R501),"")</f>
        <v/>
      </c>
      <c r="E501" s="3">
        <f>XLOOKUP(D501,'Move Editor'!$B:$B,'Move Editor'!$C:$C,"")</f>
        <v/>
      </c>
      <c r="F501" s="3">
        <f>XLOOKUP(D501,'Move Editor'!$B:$B,'Move Editor'!$D:$D,"")</f>
        <v/>
      </c>
      <c r="G501" s="3">
        <f>XLOOKUP(D501,'Move Editor'!$B:$B,'Move Editor'!$E:$E,0)</f>
        <v/>
      </c>
      <c r="H501" s="3">
        <f>XLOOKUP(D501,'Move Editor'!$B:$B,'Move Editor'!$F:$F,0)</f>
        <v/>
      </c>
      <c r="I501" s="3">
        <f>(INDEX('Type Chart'!$B:$S,MATCH(E501,'Type Chart'!$A:$A,0),MATCH(XLOOKUP('Boss Editor'!$C$4,'Pokemon Editor'!$A:$A,'Pokemon Editor'!$C:$C,""),'Type Chart'!$B$1:$S$1,0))*IF(XLOOKUP('Boss Editor'!$C$4,'Pokemon Editor'!$A:$A,'Pokemon Editor'!$D:$D,"")="",1,INDEX('Type Chart'!$B:$S,MATCH(E501,'Type Chart'!$A:$A,0),MATCH(XLOOKUP('Boss Editor'!$C$4,'Pokemon Editor'!$A:$A,'Pokemon Editor'!$D:$D,""),'Type Chart'!$B$1:$S$1,0))))</f>
        <v/>
      </c>
      <c r="J501" s="3">
        <f>IFERROR(LET(mtype,XLOOKUP($D501,'Move Editor'!$B:$B,'Move Editor'!$C:$C,""),cat,XLOOKUP($D501,'Move Editor'!$B:$B,'Move Editor'!$D:$D,""),pow,XLOOKUP($D501,'Move Editor'!$B:$B,'Move Editor'!$E:$E,0),acc,XLOOKUP($D501,'Move Editor'!$B:$B,'Move Editor'!$F:$F,100),atk,IF(cat="Physical",FLOOR((FLOOR(((2*XLOOKUP(XLOOKUP($Q501,'Threshold Summary'!$Y:$Y,'Threshold Summary'!$K:$K,""),'Pokemon Editor'!$A:$A,'Pokemon Editor'!$F:$F,0)+31+FLOOR(XLOOKUP($Q501,'Threshold Summary'!$Y:$Y,'Threshold Summary'!$P:$P,"")/4))*XLOOKUP($Q501,'Threshold Summary'!$Y:$Y,'Threshold Summary'!$L:$L,""))/100)+5)*XLOOKUP(XLOOKUP($Q501,'Threshold Summary'!$Y:$Y,'Threshold Summary'!$M:$M,""),'Nature Editor'!$A:$A,'Nature Editor'!$B:$B,1)),FLOOR((FLOOR(((2*XLOOKUP(XLOOKUP($Q501,'Threshold Summary'!$Y:$Y,'Threshold Summary'!$K:$K,""),'Pokemon Editor'!$A:$A,'Pokemon Editor'!$H:$H,0)+31+FLOOR(XLOOKUP($Q501,'Threshold Summary'!$Y:$Y,'Threshold Summary'!$R:$R,"")/4))*XLOOKUP($Q501,'Threshold Summary'!$Y:$Y,'Threshold Summary'!$L:$L,""))/100)+5)*XLOOKUP(XLOOKUP($Q501,'Threshold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Editor'!$E:$E,1))),stab,IF(OR(mtype=XLOOKUP(XLOOKUP($Q501,'Threshold Summary'!$Y:$Y,'Threshold Summary'!$K:$K,""),'Pokemon Editor'!$A:$A,'Pokemon Editor'!$C:$C,""),mtype=XLOOKUP(XLOOKUP($Q501,'Threshold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Chart'!$B$1:$S$1,0)))),base,IF(OR(cat="Status",pow=0),0,FLOOR(FLOOR(FLOOR((2*XLOOKUP($Q501,'Threshold Summary'!$Y:$Y,'Threshold Summary'!$L:$L,"")/5+2)*pow*atk/def)/50)+2)),modifier,stab*eff,FLOOR(base*modifier*0.85)),0)</f>
        <v/>
      </c>
      <c r="K501" s="3">
        <f>IFERROR(LET(mtype,XLOOKUP($D501,'Move Editor'!$B:$B,'Move Editor'!$C:$C,""),cat,XLOOKUP($D501,'Move Editor'!$B:$B,'Move Editor'!$D:$D,""),pow,XLOOKUP($D501,'Move Editor'!$B:$B,'Move Editor'!$E:$E,0),acc,XLOOKUP($D501,'Move Editor'!$B:$B,'Move Editor'!$F:$F,100),atk,IF(cat="Physical",FLOOR((FLOOR(((2*XLOOKUP(XLOOKUP($Q501,'Threshold Summary'!$Y:$Y,'Threshold Summary'!$K:$K,""),'Pokemon Editor'!$A:$A,'Pokemon Editor'!$F:$F,0)+31+FLOOR(XLOOKUP($Q501,'Threshold Summary'!$Y:$Y,'Threshold Summary'!$P:$P,"")/4))*XLOOKUP($Q501,'Threshold Summary'!$Y:$Y,'Threshold Summary'!$L:$L,""))/100)+5)*XLOOKUP(XLOOKUP($Q501,'Threshold Summary'!$Y:$Y,'Threshold Summary'!$M:$M,""),'Nature Editor'!$A:$A,'Nature Editor'!$B:$B,1)),FLOOR((FLOOR(((2*XLOOKUP(XLOOKUP($Q501,'Threshold Summary'!$Y:$Y,'Threshold Summary'!$K:$K,""),'Pokemon Editor'!$A:$A,'Pokemon Editor'!$H:$H,0)+31+FLOOR(XLOOKUP($Q501,'Threshold Summary'!$Y:$Y,'Threshold Summary'!$R:$R,"")/4))*XLOOKUP($Q501,'Threshold Summary'!$Y:$Y,'Threshold Summary'!$L:$L,""))/100)+5)*XLOOKUP(XLOOKUP($Q501,'Threshold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Editor'!$E:$E,1))),stab,IF(OR(mtype=XLOOKUP(XLOOKUP($Q501,'Threshold Summary'!$Y:$Y,'Threshold Summary'!$K:$K,""),'Pokemon Editor'!$A:$A,'Pokemon Editor'!$C:$C,""),mtype=XLOOKUP(XLOOKUP($Q501,'Threshold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Chart'!$B$1:$S$1,0)))),base,IF(OR(cat="Status",pow=0),0,FLOOR(FLOOR(FLOOR((2*XLOOKUP($Q501,'Threshold Summary'!$Y:$Y,'Threshold Summary'!$L:$L,"")/5+2)*pow*atk/def)/50)+2)),modifier,stab*eff,FLOOR(base*modifier)),0)</f>
        <v/>
      </c>
      <c r="L501" s="3">
        <f>IFERROR(LET(mtype,XLOOKUP($D501,'Move Editor'!$B:$B,'Move Editor'!$C:$C,""),cat,XLOOKUP($D501,'Move Editor'!$B:$B,'Move Editor'!$D:$D,""),pow,XLOOKUP($D501,'Move Editor'!$B:$B,'Move Editor'!$E:$E,0),acc,XLOOKUP($D501,'Move Editor'!$B:$B,'Move Editor'!$F:$F,100),atk,IF(cat="Physical",FLOOR((FLOOR(((2*XLOOKUP(XLOOKUP($Q501,'Threshold Summary'!$Y:$Y,'Threshold Summary'!$K:$K,""),'Pokemon Editor'!$A:$A,'Pokemon Editor'!$F:$F,0)+31+FLOOR(XLOOKUP($Q501,'Threshold Summary'!$Y:$Y,'Threshold Summary'!$P:$P,"")/4))*XLOOKUP($Q501,'Threshold Summary'!$Y:$Y,'Threshold Summary'!$L:$L,""))/100)+5)*XLOOKUP(XLOOKUP($Q501,'Threshold Summary'!$Y:$Y,'Threshold Summary'!$M:$M,""),'Nature Editor'!$A:$A,'Nature Editor'!$B:$B,1)),FLOOR((FLOOR(((2*XLOOKUP(XLOOKUP($Q501,'Threshold Summary'!$Y:$Y,'Threshold Summary'!$K:$K,""),'Pokemon Editor'!$A:$A,'Pokemon Editor'!$H:$H,0)+31+FLOOR(XLOOKUP($Q501,'Threshold Summary'!$Y:$Y,'Threshold Summary'!$R:$R,"")/4))*XLOOKUP($Q501,'Threshold Summary'!$Y:$Y,'Threshold Summary'!$L:$L,""))/100)+5)*XLOOKUP(XLOOKUP($Q501,'Threshold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Editor'!$E:$E,1))),stab,IF(OR(mtype=XLOOKUP(XLOOKUP($Q501,'Threshold Summary'!$Y:$Y,'Threshold Summary'!$K:$K,""),'Pokemon Editor'!$A:$A,'Pokemon Editor'!$C:$C,""),mtype=XLOOKUP(XLOOKUP($Q501,'Threshold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Chart'!$B$1:$S$1,0)))),base,IF(OR(cat="Status",pow=0),0,FLOOR(FLOOR(FLOOR((2*XLOOKUP($Q501,'Threshold Summary'!$Y:$Y,'Threshold Summary'!$L:$L,"")/5+2)*pow*atk/def)/50)+2)),modifier,stab*eff,AVERAGE(ARRAYFORMULA(FLOOR(base*modifier*SEQUENCE(16,1,85,1)/100)))),0)</f>
        <v/>
      </c>
      <c r="M501" s="3">
        <f>IFERROR(LET(mtype,XLOOKUP($D501,'Move Editor'!$B:$B,'Move Editor'!$C:$C,""),cat,XLOOKUP($D501,'Move Editor'!$B:$B,'Move Editor'!$D:$D,""),pow,XLOOKUP($D501,'Move Editor'!$B:$B,'Move Editor'!$E:$E,0),acc,XLOOKUP($D501,'Move Editor'!$B:$B,'Move Editor'!$F:$F,100),atk,IF(cat="Physical",FLOOR((FLOOR(((2*XLOOKUP(XLOOKUP($Q501,'Threshold Summary'!$Y:$Y,'Threshold Summary'!$K:$K,""),'Pokemon Editor'!$A:$A,'Pokemon Editor'!$F:$F,0)+31+FLOOR(XLOOKUP($Q501,'Threshold Summary'!$Y:$Y,'Threshold Summary'!$P:$P,"")/4))*XLOOKUP($Q501,'Threshold Summary'!$Y:$Y,'Threshold Summary'!$L:$L,""))/100)+5)*XLOOKUP(XLOOKUP($Q501,'Threshold Summary'!$Y:$Y,'Threshold Summary'!$M:$M,""),'Nature Editor'!$A:$A,'Nature Editor'!$B:$B,1)),FLOOR((FLOOR(((2*XLOOKUP(XLOOKUP($Q501,'Threshold Summary'!$Y:$Y,'Threshold Summary'!$K:$K,""),'Pokemon Editor'!$A:$A,'Pokemon Editor'!$H:$H,0)+31+FLOOR(XLOOKUP($Q501,'Threshold Summary'!$Y:$Y,'Threshold Summary'!$R:$R,"")/4))*XLOOKUP($Q501,'Threshold Summary'!$Y:$Y,'Threshold Summary'!$L:$L,""))/100)+5)*XLOOKUP(XLOOKUP($Q501,'Threshold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Editor'!$E:$E,1))),stab,IF(OR(mtype=XLOOKUP(XLOOKUP($Q501,'Threshold Summary'!$Y:$Y,'Threshold Summary'!$K:$K,""),'Pokemon Editor'!$A:$A,'Pokemon Editor'!$C:$C,""),mtype=XLOOKUP(XLOOKUP($Q501,'Threshold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Chart'!$B$1:$S$1,0)))),base,IF(OR(cat="Status",pow=0),0,FLOOR(FLOOR(FLOOR((2*XLOOKUP($Q501,'Threshold Summary'!$Y:$Y,'Threshold Summary'!$L:$L,"")/5+2)*pow*atk/def)/50)+2)),modifier,stab*eff,AVERAGE(ARRAYFORMULA(FLOOR(base*modifier*SEQUENCE(16,1,85,1)/100)))*MIN(1,acc/100)),0)</f>
        <v/>
      </c>
      <c r="N501" s="4">
        <f>IFERROR(LET(mtype,XLOOKUP($D501,'Move Editor'!$B:$B,'Move Editor'!$C:$C,""),cat,XLOOKUP($D501,'Move Editor'!$B:$B,'Move Editor'!$D:$D,""),pow,XLOOKUP($D501,'Move Editor'!$B:$B,'Move Editor'!$E:$E,0),acc,XLOOKUP($D501,'Move Editor'!$B:$B,'Move Editor'!$F:$F,100),atk,IF(cat="Physical",FLOOR((FLOOR(((2*XLOOKUP(XLOOKUP($Q501,'Threshold Summary'!$Y:$Y,'Threshold Summary'!$K:$K,""),'Pokemon Editor'!$A:$A,'Pokemon Editor'!$F:$F,0)+31+FLOOR(XLOOKUP($Q501,'Threshold Summary'!$Y:$Y,'Threshold Summary'!$P:$P,"")/4))*XLOOKUP($Q501,'Threshold Summary'!$Y:$Y,'Threshold Summary'!$L:$L,""))/100)+5)*XLOOKUP(XLOOKUP($Q501,'Threshold Summary'!$Y:$Y,'Threshold Summary'!$M:$M,""),'Nature Editor'!$A:$A,'Nature Editor'!$B:$B,1)),FLOOR((FLOOR(((2*XLOOKUP(XLOOKUP($Q501,'Threshold Summary'!$Y:$Y,'Threshold Summary'!$K:$K,""),'Pokemon Editor'!$A:$A,'Pokemon Editor'!$H:$H,0)+31+FLOOR(XLOOKUP($Q501,'Threshold Summary'!$Y:$Y,'Threshold Summary'!$R:$R,"")/4))*XLOOKUP($Q501,'Threshold Summary'!$Y:$Y,'Threshold Summary'!$L:$L,""))/100)+5)*XLOOKUP(XLOOKUP($Q501,'Threshold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Editor'!$E:$E,1))),stab,IF(OR(mtype=XLOOKUP(XLOOKUP($Q501,'Threshold Summary'!$Y:$Y,'Threshold Summary'!$K:$K,""),'Pokemon Editor'!$A:$A,'Pokemon Editor'!$C:$C,""),mtype=XLOOKUP(XLOOKUP($Q501,'Threshold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Chart'!$B$1:$S$1,0)))),base,IF(OR(cat="Status",pow=0),0,FLOOR(FLOOR(FLOOR((2*XLOOKUP($Q501,'Threshold Summary'!$Y:$Y,'Threshold Summary'!$L:$L,"")/5+2)*pow*atk/def)/50)+2)),modifier,stab*eff,AVERAGE(ARRAYFORMULA(FLOOR(base*modifier*SEQUENCE(16,1,85,1)/100)))/(FLOOR(((2*XLOOKUP('Boss Editor'!$C$4,'Pokemon Editor'!$A:$A,'Pokemon Editor'!$E:$E,0)+31+FLOOR('Boss Editor'!$G$4/4))*'Boss Editor'!$D$4)/100)+'Boss Editor'!$D$4+10)),0)</f>
        <v/>
      </c>
      <c r="O501" s="3">
        <f>IF(N501&gt;=1,"OHKO",IF(N501&gt;=0.5,"2HKO",IF(N501&gt;=0.333,"3HKO",IF(N501&gt;=0.25,"4HKO","5HKO+"))))</f>
        <v/>
      </c>
      <c r="P501" s="3" t="inlineStr">
        <is>
          <t>Live from editable databases</t>
        </is>
      </c>
      <c r="Q501" s="3" t="inlineStr">
        <is>
          <t>SPECIES_VENIPEDE</t>
        </is>
      </c>
      <c r="R501" s="3" t="n">
        <v>20</v>
      </c>
    </row>
    <row r="502">
      <c r="A502" s="3">
        <f>XLOOKUP($Q502,'Threshold Summary'!$Y:$Y,'Threshold Summary'!$A:$A,"")</f>
        <v/>
      </c>
      <c r="B502" s="3">
        <f>XLOOKUP($Q502,'Threshold Summary'!$Y:$Y,'Threshold Summary'!$M:$M,"")</f>
        <v/>
      </c>
      <c r="C502" s="3">
        <f>XLOOKUP($Q502,'Threshold Summary'!$Y:$Y,'Threshold Summary'!$N:$N,"")</f>
        <v/>
      </c>
      <c r="D502" s="3">
        <f>IFERROR(INDEX(FILTER('Learnset Editor'!$D$2:$D,'Learnset Editor'!$A$2:$A=XLOOKUP($Q502,'Threshold Summary'!$Y:$Y,'Threshold Summary'!$K:$K,""),'Learnset Editor'!$C$2:$C&lt;=XLOOKUP($Q502,'Threshold Summary'!$Y:$Y,'Threshold Summary'!$L:$L,"")),$R502),"")</f>
        <v/>
      </c>
      <c r="E502" s="3">
        <f>XLOOKUP(D502,'Move Editor'!$B:$B,'Move Editor'!$C:$C,"")</f>
        <v/>
      </c>
      <c r="F502" s="3">
        <f>XLOOKUP(D502,'Move Editor'!$B:$B,'Move Editor'!$D:$D,"")</f>
        <v/>
      </c>
      <c r="G502" s="3">
        <f>XLOOKUP(D502,'Move Editor'!$B:$B,'Move Editor'!$E:$E,0)</f>
        <v/>
      </c>
      <c r="H502" s="3">
        <f>XLOOKUP(D502,'Move Editor'!$B:$B,'Move Editor'!$F:$F,0)</f>
        <v/>
      </c>
      <c r="I502" s="3">
        <f>(INDEX('Type Chart'!$B:$S,MATCH(E502,'Type Chart'!$A:$A,0),MATCH(XLOOKUP('Boss Editor'!$C$4,'Pokemon Editor'!$A:$A,'Pokemon Editor'!$C:$C,""),'Type Chart'!$B$1:$S$1,0))*IF(XLOOKUP('Boss Editor'!$C$4,'Pokemon Editor'!$A:$A,'Pokemon Editor'!$D:$D,"")="",1,INDEX('Type Chart'!$B:$S,MATCH(E502,'Type Chart'!$A:$A,0),MATCH(XLOOKUP('Boss Editor'!$C$4,'Pokemon Editor'!$A:$A,'Pokemon Editor'!$D:$D,""),'Type Chart'!$B$1:$S$1,0))))</f>
        <v/>
      </c>
      <c r="J502" s="3">
        <f>IFERROR(LET(mtype,XLOOKUP($D502,'Move Editor'!$B:$B,'Move Editor'!$C:$C,""),cat,XLOOKUP($D502,'Move Editor'!$B:$B,'Move Editor'!$D:$D,""),pow,XLOOKUP($D502,'Move Editor'!$B:$B,'Move Editor'!$E:$E,0),acc,XLOOKUP($D502,'Move Editor'!$B:$B,'Move Editor'!$F:$F,100),atk,IF(cat="Physical",FLOOR((FLOOR(((2*XLOOKUP(XLOOKUP($Q502,'Threshold Summary'!$Y:$Y,'Threshold Summary'!$K:$K,""),'Pokemon Editor'!$A:$A,'Pokemon Editor'!$F:$F,0)+31+FLOOR(XLOOKUP($Q502,'Threshold Summary'!$Y:$Y,'Threshold Summary'!$P:$P,"")/4))*XLOOKUP($Q502,'Threshold Summary'!$Y:$Y,'Threshold Summary'!$L:$L,""))/100)+5)*XLOOKUP(XLOOKUP($Q502,'Threshold Summary'!$Y:$Y,'Threshold Summary'!$M:$M,""),'Nature Editor'!$A:$A,'Nature Editor'!$B:$B,1)),FLOOR((FLOOR(((2*XLOOKUP(XLOOKUP($Q502,'Threshold Summary'!$Y:$Y,'Threshold Summary'!$K:$K,""),'Pokemon Editor'!$A:$A,'Pokemon Editor'!$H:$H,0)+31+FLOOR(XLOOKUP($Q502,'Threshold Summary'!$Y:$Y,'Threshold Summary'!$R:$R,"")/4))*XLOOKUP($Q502,'Threshold Summary'!$Y:$Y,'Threshold Summary'!$L:$L,""))/100)+5)*XLOOKUP(XLOOKUP($Q502,'Threshold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Editor'!$E:$E,1))),stab,IF(OR(mtype=XLOOKUP(XLOOKUP($Q502,'Threshold Summary'!$Y:$Y,'Threshold Summary'!$K:$K,""),'Pokemon Editor'!$A:$A,'Pokemon Editor'!$C:$C,""),mtype=XLOOKUP(XLOOKUP($Q502,'Threshold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Chart'!$B$1:$S$1,0)))),base,IF(OR(cat="Status",pow=0),0,FLOOR(FLOOR(FLOOR((2*XLOOKUP($Q502,'Threshold Summary'!$Y:$Y,'Threshold Summary'!$L:$L,"")/5+2)*pow*atk/def)/50)+2)),modifier,stab*eff,FLOOR(base*modifier*0.85)),0)</f>
        <v/>
      </c>
      <c r="K502" s="3">
        <f>IFERROR(LET(mtype,XLOOKUP($D502,'Move Editor'!$B:$B,'Move Editor'!$C:$C,""),cat,XLOOKUP($D502,'Move Editor'!$B:$B,'Move Editor'!$D:$D,""),pow,XLOOKUP($D502,'Move Editor'!$B:$B,'Move Editor'!$E:$E,0),acc,XLOOKUP($D502,'Move Editor'!$B:$B,'Move Editor'!$F:$F,100),atk,IF(cat="Physical",FLOOR((FLOOR(((2*XLOOKUP(XLOOKUP($Q502,'Threshold Summary'!$Y:$Y,'Threshold Summary'!$K:$K,""),'Pokemon Editor'!$A:$A,'Pokemon Editor'!$F:$F,0)+31+FLOOR(XLOOKUP($Q502,'Threshold Summary'!$Y:$Y,'Threshold Summary'!$P:$P,"")/4))*XLOOKUP($Q502,'Threshold Summary'!$Y:$Y,'Threshold Summary'!$L:$L,""))/100)+5)*XLOOKUP(XLOOKUP($Q502,'Threshold Summary'!$Y:$Y,'Threshold Summary'!$M:$M,""),'Nature Editor'!$A:$A,'Nature Editor'!$B:$B,1)),FLOOR((FLOOR(((2*XLOOKUP(XLOOKUP($Q502,'Threshold Summary'!$Y:$Y,'Threshold Summary'!$K:$K,""),'Pokemon Editor'!$A:$A,'Pokemon Editor'!$H:$H,0)+31+FLOOR(XLOOKUP($Q502,'Threshold Summary'!$Y:$Y,'Threshold Summary'!$R:$R,"")/4))*XLOOKUP($Q502,'Threshold Summary'!$Y:$Y,'Threshold Summary'!$L:$L,""))/100)+5)*XLOOKUP(XLOOKUP($Q502,'Threshold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Editor'!$E:$E,1))),stab,IF(OR(mtype=XLOOKUP(XLOOKUP($Q502,'Threshold Summary'!$Y:$Y,'Threshold Summary'!$K:$K,""),'Pokemon Editor'!$A:$A,'Pokemon Editor'!$C:$C,""),mtype=XLOOKUP(XLOOKUP($Q502,'Threshold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Chart'!$B$1:$S$1,0)))),base,IF(OR(cat="Status",pow=0),0,FLOOR(FLOOR(FLOOR((2*XLOOKUP($Q502,'Threshold Summary'!$Y:$Y,'Threshold Summary'!$L:$L,"")/5+2)*pow*atk/def)/50)+2)),modifier,stab*eff,FLOOR(base*modifier)),0)</f>
        <v/>
      </c>
      <c r="L502" s="3">
        <f>IFERROR(LET(mtype,XLOOKUP($D502,'Move Editor'!$B:$B,'Move Editor'!$C:$C,""),cat,XLOOKUP($D502,'Move Editor'!$B:$B,'Move Editor'!$D:$D,""),pow,XLOOKUP($D502,'Move Editor'!$B:$B,'Move Editor'!$E:$E,0),acc,XLOOKUP($D502,'Move Editor'!$B:$B,'Move Editor'!$F:$F,100),atk,IF(cat="Physical",FLOOR((FLOOR(((2*XLOOKUP(XLOOKUP($Q502,'Threshold Summary'!$Y:$Y,'Threshold Summary'!$K:$K,""),'Pokemon Editor'!$A:$A,'Pokemon Editor'!$F:$F,0)+31+FLOOR(XLOOKUP($Q502,'Threshold Summary'!$Y:$Y,'Threshold Summary'!$P:$P,"")/4))*XLOOKUP($Q502,'Threshold Summary'!$Y:$Y,'Threshold Summary'!$L:$L,""))/100)+5)*XLOOKUP(XLOOKUP($Q502,'Threshold Summary'!$Y:$Y,'Threshold Summary'!$M:$M,""),'Nature Editor'!$A:$A,'Nature Editor'!$B:$B,1)),FLOOR((FLOOR(((2*XLOOKUP(XLOOKUP($Q502,'Threshold Summary'!$Y:$Y,'Threshold Summary'!$K:$K,""),'Pokemon Editor'!$A:$A,'Pokemon Editor'!$H:$H,0)+31+FLOOR(XLOOKUP($Q502,'Threshold Summary'!$Y:$Y,'Threshold Summary'!$R:$R,"")/4))*XLOOKUP($Q502,'Threshold Summary'!$Y:$Y,'Threshold Summary'!$L:$L,""))/100)+5)*XLOOKUP(XLOOKUP($Q502,'Threshold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Editor'!$E:$E,1))),stab,IF(OR(mtype=XLOOKUP(XLOOKUP($Q502,'Threshold Summary'!$Y:$Y,'Threshold Summary'!$K:$K,""),'Pokemon Editor'!$A:$A,'Pokemon Editor'!$C:$C,""),mtype=XLOOKUP(XLOOKUP($Q502,'Threshold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Chart'!$B$1:$S$1,0)))),base,IF(OR(cat="Status",pow=0),0,FLOOR(FLOOR(FLOOR((2*XLOOKUP($Q502,'Threshold Summary'!$Y:$Y,'Threshold Summary'!$L:$L,"")/5+2)*pow*atk/def)/50)+2)),modifier,stab*eff,AVERAGE(ARRAYFORMULA(FLOOR(base*modifier*SEQUENCE(16,1,85,1)/100)))),0)</f>
        <v/>
      </c>
      <c r="M502" s="3">
        <f>IFERROR(LET(mtype,XLOOKUP($D502,'Move Editor'!$B:$B,'Move Editor'!$C:$C,""),cat,XLOOKUP($D502,'Move Editor'!$B:$B,'Move Editor'!$D:$D,""),pow,XLOOKUP($D502,'Move Editor'!$B:$B,'Move Editor'!$E:$E,0),acc,XLOOKUP($D502,'Move Editor'!$B:$B,'Move Editor'!$F:$F,100),atk,IF(cat="Physical",FLOOR((FLOOR(((2*XLOOKUP(XLOOKUP($Q502,'Threshold Summary'!$Y:$Y,'Threshold Summary'!$K:$K,""),'Pokemon Editor'!$A:$A,'Pokemon Editor'!$F:$F,0)+31+FLOOR(XLOOKUP($Q502,'Threshold Summary'!$Y:$Y,'Threshold Summary'!$P:$P,"")/4))*XLOOKUP($Q502,'Threshold Summary'!$Y:$Y,'Threshold Summary'!$L:$L,""))/100)+5)*XLOOKUP(XLOOKUP($Q502,'Threshold Summary'!$Y:$Y,'Threshold Summary'!$M:$M,""),'Nature Editor'!$A:$A,'Nature Editor'!$B:$B,1)),FLOOR((FLOOR(((2*XLOOKUP(XLOOKUP($Q502,'Threshold Summary'!$Y:$Y,'Threshold Summary'!$K:$K,""),'Pokemon Editor'!$A:$A,'Pokemon Editor'!$H:$H,0)+31+FLOOR(XLOOKUP($Q502,'Threshold Summary'!$Y:$Y,'Threshold Summary'!$R:$R,"")/4))*XLOOKUP($Q502,'Threshold Summary'!$Y:$Y,'Threshold Summary'!$L:$L,""))/100)+5)*XLOOKUP(XLOOKUP($Q502,'Threshold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Editor'!$E:$E,1))),stab,IF(OR(mtype=XLOOKUP(XLOOKUP($Q502,'Threshold Summary'!$Y:$Y,'Threshold Summary'!$K:$K,""),'Pokemon Editor'!$A:$A,'Pokemon Editor'!$C:$C,""),mtype=XLOOKUP(XLOOKUP($Q502,'Threshold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Chart'!$B$1:$S$1,0)))),base,IF(OR(cat="Status",pow=0),0,FLOOR(FLOOR(FLOOR((2*XLOOKUP($Q502,'Threshold Summary'!$Y:$Y,'Threshold Summary'!$L:$L,"")/5+2)*pow*atk/def)/50)+2)),modifier,stab*eff,AVERAGE(ARRAYFORMULA(FLOOR(base*modifier*SEQUENCE(16,1,85,1)/100)))*MIN(1,acc/100)),0)</f>
        <v/>
      </c>
      <c r="N502" s="4">
        <f>IFERROR(LET(mtype,XLOOKUP($D502,'Move Editor'!$B:$B,'Move Editor'!$C:$C,""),cat,XLOOKUP($D502,'Move Editor'!$B:$B,'Move Editor'!$D:$D,""),pow,XLOOKUP($D502,'Move Editor'!$B:$B,'Move Editor'!$E:$E,0),acc,XLOOKUP($D502,'Move Editor'!$B:$B,'Move Editor'!$F:$F,100),atk,IF(cat="Physical",FLOOR((FLOOR(((2*XLOOKUP(XLOOKUP($Q502,'Threshold Summary'!$Y:$Y,'Threshold Summary'!$K:$K,""),'Pokemon Editor'!$A:$A,'Pokemon Editor'!$F:$F,0)+31+FLOOR(XLOOKUP($Q502,'Threshold Summary'!$Y:$Y,'Threshold Summary'!$P:$P,"")/4))*XLOOKUP($Q502,'Threshold Summary'!$Y:$Y,'Threshold Summary'!$L:$L,""))/100)+5)*XLOOKUP(XLOOKUP($Q502,'Threshold Summary'!$Y:$Y,'Threshold Summary'!$M:$M,""),'Nature Editor'!$A:$A,'Nature Editor'!$B:$B,1)),FLOOR((FLOOR(((2*XLOOKUP(XLOOKUP($Q502,'Threshold Summary'!$Y:$Y,'Threshold Summary'!$K:$K,""),'Pokemon Editor'!$A:$A,'Pokemon Editor'!$H:$H,0)+31+FLOOR(XLOOKUP($Q502,'Threshold Summary'!$Y:$Y,'Threshold Summary'!$R:$R,"")/4))*XLOOKUP($Q502,'Threshold Summary'!$Y:$Y,'Threshold Summary'!$L:$L,""))/100)+5)*XLOOKUP(XLOOKUP($Q502,'Threshold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Editor'!$E:$E,1))),stab,IF(OR(mtype=XLOOKUP(XLOOKUP($Q502,'Threshold Summary'!$Y:$Y,'Threshold Summary'!$K:$K,""),'Pokemon Editor'!$A:$A,'Pokemon Editor'!$C:$C,""),mtype=XLOOKUP(XLOOKUP($Q502,'Threshold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Chart'!$B$1:$S$1,0)))),base,IF(OR(cat="Status",pow=0),0,FLOOR(FLOOR(FLOOR((2*XLOOKUP($Q502,'Threshold Summary'!$Y:$Y,'Threshold Summary'!$L:$L,"")/5+2)*pow*atk/def)/50)+2)),modifier,stab*eff,AVERAGE(ARRAYFORMULA(FLOOR(base*modifier*SEQUENCE(16,1,85,1)/100)))/(FLOOR(((2*XLOOKUP('Boss Editor'!$C$4,'Pokemon Editor'!$A:$A,'Pokemon Editor'!$E:$E,0)+31+FLOOR('Boss Editor'!$G$4/4))*'Boss Editor'!$D$4)/100)+'Boss Editor'!$D$4+10)),0)</f>
        <v/>
      </c>
      <c r="O502" s="3">
        <f>IF(N502&gt;=1,"OHKO",IF(N502&gt;=0.5,"2HKO",IF(N502&gt;=0.333,"3HKO",IF(N502&gt;=0.25,"4HKO","5HKO+"))))</f>
        <v/>
      </c>
      <c r="P502" s="3" t="inlineStr">
        <is>
          <t>Live from editable databases</t>
        </is>
      </c>
      <c r="Q502" s="3" t="inlineStr">
        <is>
          <t>SPECIES_VENIPEDE</t>
        </is>
      </c>
      <c r="R502" s="3" t="n">
        <v>21</v>
      </c>
    </row>
    <row r="503">
      <c r="A503" s="3">
        <f>XLOOKUP($Q503,'Threshold Summary'!$Y:$Y,'Threshold Summary'!$A:$A,"")</f>
        <v/>
      </c>
      <c r="B503" s="3">
        <f>XLOOKUP($Q503,'Threshold Summary'!$Y:$Y,'Threshold Summary'!$M:$M,"")</f>
        <v/>
      </c>
      <c r="C503" s="3">
        <f>XLOOKUP($Q503,'Threshold Summary'!$Y:$Y,'Threshold Summary'!$N:$N,"")</f>
        <v/>
      </c>
      <c r="D503" s="3">
        <f>IFERROR(INDEX(FILTER('Learnset Editor'!$D$2:$D,'Learnset Editor'!$A$2:$A=XLOOKUP($Q503,'Threshold Summary'!$Y:$Y,'Threshold Summary'!$K:$K,""),'Learnset Editor'!$C$2:$C&lt;=XLOOKUP($Q503,'Threshold Summary'!$Y:$Y,'Threshold Summary'!$L:$L,"")),$R503),"")</f>
        <v/>
      </c>
      <c r="E503" s="3">
        <f>XLOOKUP(D503,'Move Editor'!$B:$B,'Move Editor'!$C:$C,"")</f>
        <v/>
      </c>
      <c r="F503" s="3">
        <f>XLOOKUP(D503,'Move Editor'!$B:$B,'Move Editor'!$D:$D,"")</f>
        <v/>
      </c>
      <c r="G503" s="3">
        <f>XLOOKUP(D503,'Move Editor'!$B:$B,'Move Editor'!$E:$E,0)</f>
        <v/>
      </c>
      <c r="H503" s="3">
        <f>XLOOKUP(D503,'Move Editor'!$B:$B,'Move Editor'!$F:$F,0)</f>
        <v/>
      </c>
      <c r="I503" s="3">
        <f>(INDEX('Type Chart'!$B:$S,MATCH(E503,'Type Chart'!$A:$A,0),MATCH(XLOOKUP('Boss Editor'!$C$4,'Pokemon Editor'!$A:$A,'Pokemon Editor'!$C:$C,""),'Type Chart'!$B$1:$S$1,0))*IF(XLOOKUP('Boss Editor'!$C$4,'Pokemon Editor'!$A:$A,'Pokemon Editor'!$D:$D,"")="",1,INDEX('Type Chart'!$B:$S,MATCH(E503,'Type Chart'!$A:$A,0),MATCH(XLOOKUP('Boss Editor'!$C$4,'Pokemon Editor'!$A:$A,'Pokemon Editor'!$D:$D,""),'Type Chart'!$B$1:$S$1,0))))</f>
        <v/>
      </c>
      <c r="J503" s="3">
        <f>IFERROR(LET(mtype,XLOOKUP($D503,'Move Editor'!$B:$B,'Move Editor'!$C:$C,""),cat,XLOOKUP($D503,'Move Editor'!$B:$B,'Move Editor'!$D:$D,""),pow,XLOOKUP($D503,'Move Editor'!$B:$B,'Move Editor'!$E:$E,0),acc,XLOOKUP($D503,'Move Editor'!$B:$B,'Move Editor'!$F:$F,100),atk,IF(cat="Physical",FLOOR((FLOOR(((2*XLOOKUP(XLOOKUP($Q503,'Threshold Summary'!$Y:$Y,'Threshold Summary'!$K:$K,""),'Pokemon Editor'!$A:$A,'Pokemon Editor'!$F:$F,0)+31+FLOOR(XLOOKUP($Q503,'Threshold Summary'!$Y:$Y,'Threshold Summary'!$P:$P,"")/4))*XLOOKUP($Q503,'Threshold Summary'!$Y:$Y,'Threshold Summary'!$L:$L,""))/100)+5)*XLOOKUP(XLOOKUP($Q503,'Threshold Summary'!$Y:$Y,'Threshold Summary'!$M:$M,""),'Nature Editor'!$A:$A,'Nature Editor'!$B:$B,1)),FLOOR((FLOOR(((2*XLOOKUP(XLOOKUP($Q503,'Threshold Summary'!$Y:$Y,'Threshold Summary'!$K:$K,""),'Pokemon Editor'!$A:$A,'Pokemon Editor'!$H:$H,0)+31+FLOOR(XLOOKUP($Q503,'Threshold Summary'!$Y:$Y,'Threshold Summary'!$R:$R,"")/4))*XLOOKUP($Q503,'Threshold Summary'!$Y:$Y,'Threshold Summary'!$L:$L,""))/100)+5)*XLOOKUP(XLOOKUP($Q503,'Threshold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Editor'!$E:$E,1))),stab,IF(OR(mtype=XLOOKUP(XLOOKUP($Q503,'Threshold Summary'!$Y:$Y,'Threshold Summary'!$K:$K,""),'Pokemon Editor'!$A:$A,'Pokemon Editor'!$C:$C,""),mtype=XLOOKUP(XLOOKUP($Q503,'Threshold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Chart'!$B$1:$S$1,0)))),base,IF(OR(cat="Status",pow=0),0,FLOOR(FLOOR(FLOOR((2*XLOOKUP($Q503,'Threshold Summary'!$Y:$Y,'Threshold Summary'!$L:$L,"")/5+2)*pow*atk/def)/50)+2)),modifier,stab*eff,FLOOR(base*modifier*0.85)),0)</f>
        <v/>
      </c>
      <c r="K503" s="3">
        <f>IFERROR(LET(mtype,XLOOKUP($D503,'Move Editor'!$B:$B,'Move Editor'!$C:$C,""),cat,XLOOKUP($D503,'Move Editor'!$B:$B,'Move Editor'!$D:$D,""),pow,XLOOKUP($D503,'Move Editor'!$B:$B,'Move Editor'!$E:$E,0),acc,XLOOKUP($D503,'Move Editor'!$B:$B,'Move Editor'!$F:$F,100),atk,IF(cat="Physical",FLOOR((FLOOR(((2*XLOOKUP(XLOOKUP($Q503,'Threshold Summary'!$Y:$Y,'Threshold Summary'!$K:$K,""),'Pokemon Editor'!$A:$A,'Pokemon Editor'!$F:$F,0)+31+FLOOR(XLOOKUP($Q503,'Threshold Summary'!$Y:$Y,'Threshold Summary'!$P:$P,"")/4))*XLOOKUP($Q503,'Threshold Summary'!$Y:$Y,'Threshold Summary'!$L:$L,""))/100)+5)*XLOOKUP(XLOOKUP($Q503,'Threshold Summary'!$Y:$Y,'Threshold Summary'!$M:$M,""),'Nature Editor'!$A:$A,'Nature Editor'!$B:$B,1)),FLOOR((FLOOR(((2*XLOOKUP(XLOOKUP($Q503,'Threshold Summary'!$Y:$Y,'Threshold Summary'!$K:$K,""),'Pokemon Editor'!$A:$A,'Pokemon Editor'!$H:$H,0)+31+FLOOR(XLOOKUP($Q503,'Threshold Summary'!$Y:$Y,'Threshold Summary'!$R:$R,"")/4))*XLOOKUP($Q503,'Threshold Summary'!$Y:$Y,'Threshold Summary'!$L:$L,""))/100)+5)*XLOOKUP(XLOOKUP($Q503,'Threshold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Editor'!$E:$E,1))),stab,IF(OR(mtype=XLOOKUP(XLOOKUP($Q503,'Threshold Summary'!$Y:$Y,'Threshold Summary'!$K:$K,""),'Pokemon Editor'!$A:$A,'Pokemon Editor'!$C:$C,""),mtype=XLOOKUP(XLOOKUP($Q503,'Threshold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Chart'!$B$1:$S$1,0)))),base,IF(OR(cat="Status",pow=0),0,FLOOR(FLOOR(FLOOR((2*XLOOKUP($Q503,'Threshold Summary'!$Y:$Y,'Threshold Summary'!$L:$L,"")/5+2)*pow*atk/def)/50)+2)),modifier,stab*eff,FLOOR(base*modifier)),0)</f>
        <v/>
      </c>
      <c r="L503" s="3">
        <f>IFERROR(LET(mtype,XLOOKUP($D503,'Move Editor'!$B:$B,'Move Editor'!$C:$C,""),cat,XLOOKUP($D503,'Move Editor'!$B:$B,'Move Editor'!$D:$D,""),pow,XLOOKUP($D503,'Move Editor'!$B:$B,'Move Editor'!$E:$E,0),acc,XLOOKUP($D503,'Move Editor'!$B:$B,'Move Editor'!$F:$F,100),atk,IF(cat="Physical",FLOOR((FLOOR(((2*XLOOKUP(XLOOKUP($Q503,'Threshold Summary'!$Y:$Y,'Threshold Summary'!$K:$K,""),'Pokemon Editor'!$A:$A,'Pokemon Editor'!$F:$F,0)+31+FLOOR(XLOOKUP($Q503,'Threshold Summary'!$Y:$Y,'Threshold Summary'!$P:$P,"")/4))*XLOOKUP($Q503,'Threshold Summary'!$Y:$Y,'Threshold Summary'!$L:$L,""))/100)+5)*XLOOKUP(XLOOKUP($Q503,'Threshold Summary'!$Y:$Y,'Threshold Summary'!$M:$M,""),'Nature Editor'!$A:$A,'Nature Editor'!$B:$B,1)),FLOOR((FLOOR(((2*XLOOKUP(XLOOKUP($Q503,'Threshold Summary'!$Y:$Y,'Threshold Summary'!$K:$K,""),'Pokemon Editor'!$A:$A,'Pokemon Editor'!$H:$H,0)+31+FLOOR(XLOOKUP($Q503,'Threshold Summary'!$Y:$Y,'Threshold Summary'!$R:$R,"")/4))*XLOOKUP($Q503,'Threshold Summary'!$Y:$Y,'Threshold Summary'!$L:$L,""))/100)+5)*XLOOKUP(XLOOKUP($Q503,'Threshold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Editor'!$E:$E,1))),stab,IF(OR(mtype=XLOOKUP(XLOOKUP($Q503,'Threshold Summary'!$Y:$Y,'Threshold Summary'!$K:$K,""),'Pokemon Editor'!$A:$A,'Pokemon Editor'!$C:$C,""),mtype=XLOOKUP(XLOOKUP($Q503,'Threshold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Chart'!$B$1:$S$1,0)))),base,IF(OR(cat="Status",pow=0),0,FLOOR(FLOOR(FLOOR((2*XLOOKUP($Q503,'Threshold Summary'!$Y:$Y,'Threshold Summary'!$L:$L,"")/5+2)*pow*atk/def)/50)+2)),modifier,stab*eff,AVERAGE(ARRAYFORMULA(FLOOR(base*modifier*SEQUENCE(16,1,85,1)/100)))),0)</f>
        <v/>
      </c>
      <c r="M503" s="3">
        <f>IFERROR(LET(mtype,XLOOKUP($D503,'Move Editor'!$B:$B,'Move Editor'!$C:$C,""),cat,XLOOKUP($D503,'Move Editor'!$B:$B,'Move Editor'!$D:$D,""),pow,XLOOKUP($D503,'Move Editor'!$B:$B,'Move Editor'!$E:$E,0),acc,XLOOKUP($D503,'Move Editor'!$B:$B,'Move Editor'!$F:$F,100),atk,IF(cat="Physical",FLOOR((FLOOR(((2*XLOOKUP(XLOOKUP($Q503,'Threshold Summary'!$Y:$Y,'Threshold Summary'!$K:$K,""),'Pokemon Editor'!$A:$A,'Pokemon Editor'!$F:$F,0)+31+FLOOR(XLOOKUP($Q503,'Threshold Summary'!$Y:$Y,'Threshold Summary'!$P:$P,"")/4))*XLOOKUP($Q503,'Threshold Summary'!$Y:$Y,'Threshold Summary'!$L:$L,""))/100)+5)*XLOOKUP(XLOOKUP($Q503,'Threshold Summary'!$Y:$Y,'Threshold Summary'!$M:$M,""),'Nature Editor'!$A:$A,'Nature Editor'!$B:$B,1)),FLOOR((FLOOR(((2*XLOOKUP(XLOOKUP($Q503,'Threshold Summary'!$Y:$Y,'Threshold Summary'!$K:$K,""),'Pokemon Editor'!$A:$A,'Pokemon Editor'!$H:$H,0)+31+FLOOR(XLOOKUP($Q503,'Threshold Summary'!$Y:$Y,'Threshold Summary'!$R:$R,"")/4))*XLOOKUP($Q503,'Threshold Summary'!$Y:$Y,'Threshold Summary'!$L:$L,""))/100)+5)*XLOOKUP(XLOOKUP($Q503,'Threshold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Editor'!$E:$E,1))),stab,IF(OR(mtype=XLOOKUP(XLOOKUP($Q503,'Threshold Summary'!$Y:$Y,'Threshold Summary'!$K:$K,""),'Pokemon Editor'!$A:$A,'Pokemon Editor'!$C:$C,""),mtype=XLOOKUP(XLOOKUP($Q503,'Threshold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Chart'!$B$1:$S$1,0)))),base,IF(OR(cat="Status",pow=0),0,FLOOR(FLOOR(FLOOR((2*XLOOKUP($Q503,'Threshold Summary'!$Y:$Y,'Threshold Summary'!$L:$L,"")/5+2)*pow*atk/def)/50)+2)),modifier,stab*eff,AVERAGE(ARRAYFORMULA(FLOOR(base*modifier*SEQUENCE(16,1,85,1)/100)))*MIN(1,acc/100)),0)</f>
        <v/>
      </c>
      <c r="N503" s="4">
        <f>IFERROR(LET(mtype,XLOOKUP($D503,'Move Editor'!$B:$B,'Move Editor'!$C:$C,""),cat,XLOOKUP($D503,'Move Editor'!$B:$B,'Move Editor'!$D:$D,""),pow,XLOOKUP($D503,'Move Editor'!$B:$B,'Move Editor'!$E:$E,0),acc,XLOOKUP($D503,'Move Editor'!$B:$B,'Move Editor'!$F:$F,100),atk,IF(cat="Physical",FLOOR((FLOOR(((2*XLOOKUP(XLOOKUP($Q503,'Threshold Summary'!$Y:$Y,'Threshold Summary'!$K:$K,""),'Pokemon Editor'!$A:$A,'Pokemon Editor'!$F:$F,0)+31+FLOOR(XLOOKUP($Q503,'Threshold Summary'!$Y:$Y,'Threshold Summary'!$P:$P,"")/4))*XLOOKUP($Q503,'Threshold Summary'!$Y:$Y,'Threshold Summary'!$L:$L,""))/100)+5)*XLOOKUP(XLOOKUP($Q503,'Threshold Summary'!$Y:$Y,'Threshold Summary'!$M:$M,""),'Nature Editor'!$A:$A,'Nature Editor'!$B:$B,1)),FLOOR((FLOOR(((2*XLOOKUP(XLOOKUP($Q503,'Threshold Summary'!$Y:$Y,'Threshold Summary'!$K:$K,""),'Pokemon Editor'!$A:$A,'Pokemon Editor'!$H:$H,0)+31+FLOOR(XLOOKUP($Q503,'Threshold Summary'!$Y:$Y,'Threshold Summary'!$R:$R,"")/4))*XLOOKUP($Q503,'Threshold Summary'!$Y:$Y,'Threshold Summary'!$L:$L,""))/100)+5)*XLOOKUP(XLOOKUP($Q503,'Threshold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Editor'!$E:$E,1))),stab,IF(OR(mtype=XLOOKUP(XLOOKUP($Q503,'Threshold Summary'!$Y:$Y,'Threshold Summary'!$K:$K,""),'Pokemon Editor'!$A:$A,'Pokemon Editor'!$C:$C,""),mtype=XLOOKUP(XLOOKUP($Q503,'Threshold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Chart'!$B$1:$S$1,0)))),base,IF(OR(cat="Status",pow=0),0,FLOOR(FLOOR(FLOOR((2*XLOOKUP($Q503,'Threshold Summary'!$Y:$Y,'Threshold Summary'!$L:$L,"")/5+2)*pow*atk/def)/50)+2)),modifier,stab*eff,AVERAGE(ARRAYFORMULA(FLOOR(base*modifier*SEQUENCE(16,1,85,1)/100)))/(FLOOR(((2*XLOOKUP('Boss Editor'!$C$4,'Pokemon Editor'!$A:$A,'Pokemon Editor'!$E:$E,0)+31+FLOOR('Boss Editor'!$G$4/4))*'Boss Editor'!$D$4)/100)+'Boss Editor'!$D$4+10)),0)</f>
        <v/>
      </c>
      <c r="O503" s="3">
        <f>IF(N503&gt;=1,"OHKO",IF(N503&gt;=0.5,"2HKO",IF(N503&gt;=0.333,"3HKO",IF(N503&gt;=0.25,"4HKO","5HKO+"))))</f>
        <v/>
      </c>
      <c r="P503" s="3" t="inlineStr">
        <is>
          <t>Live from editable databases</t>
        </is>
      </c>
      <c r="Q503" s="3" t="inlineStr">
        <is>
          <t>SPECIES_VENIPEDE</t>
        </is>
      </c>
      <c r="R503" s="3" t="n">
        <v>22</v>
      </c>
    </row>
    <row r="504">
      <c r="A504" s="3">
        <f>XLOOKUP($Q504,'Threshold Summary'!$Y:$Y,'Threshold Summary'!$A:$A,"")</f>
        <v/>
      </c>
      <c r="B504" s="3">
        <f>XLOOKUP($Q504,'Threshold Summary'!$Y:$Y,'Threshold Summary'!$M:$M,"")</f>
        <v/>
      </c>
      <c r="C504" s="3">
        <f>XLOOKUP($Q504,'Threshold Summary'!$Y:$Y,'Threshold Summary'!$N:$N,"")</f>
        <v/>
      </c>
      <c r="D504" s="3">
        <f>IFERROR(INDEX(FILTER('Learnset Editor'!$D$2:$D,'Learnset Editor'!$A$2:$A=XLOOKUP($Q504,'Threshold Summary'!$Y:$Y,'Threshold Summary'!$K:$K,""),'Learnset Editor'!$C$2:$C&lt;=XLOOKUP($Q504,'Threshold Summary'!$Y:$Y,'Threshold Summary'!$L:$L,"")),$R504),"")</f>
        <v/>
      </c>
      <c r="E504" s="3">
        <f>XLOOKUP(D504,'Move Editor'!$B:$B,'Move Editor'!$C:$C,"")</f>
        <v/>
      </c>
      <c r="F504" s="3">
        <f>XLOOKUP(D504,'Move Editor'!$B:$B,'Move Editor'!$D:$D,"")</f>
        <v/>
      </c>
      <c r="G504" s="3">
        <f>XLOOKUP(D504,'Move Editor'!$B:$B,'Move Editor'!$E:$E,0)</f>
        <v/>
      </c>
      <c r="H504" s="3">
        <f>XLOOKUP(D504,'Move Editor'!$B:$B,'Move Editor'!$F:$F,0)</f>
        <v/>
      </c>
      <c r="I504" s="3">
        <f>(INDEX('Type Chart'!$B:$S,MATCH(E504,'Type Chart'!$A:$A,0),MATCH(XLOOKUP('Boss Editor'!$C$4,'Pokemon Editor'!$A:$A,'Pokemon Editor'!$C:$C,""),'Type Chart'!$B$1:$S$1,0))*IF(XLOOKUP('Boss Editor'!$C$4,'Pokemon Editor'!$A:$A,'Pokemon Editor'!$D:$D,"")="",1,INDEX('Type Chart'!$B:$S,MATCH(E504,'Type Chart'!$A:$A,0),MATCH(XLOOKUP('Boss Editor'!$C$4,'Pokemon Editor'!$A:$A,'Pokemon Editor'!$D:$D,""),'Type Chart'!$B$1:$S$1,0))))</f>
        <v/>
      </c>
      <c r="J504" s="3">
        <f>IFERROR(LET(mtype,XLOOKUP($D504,'Move Editor'!$B:$B,'Move Editor'!$C:$C,""),cat,XLOOKUP($D504,'Move Editor'!$B:$B,'Move Editor'!$D:$D,""),pow,XLOOKUP($D504,'Move Editor'!$B:$B,'Move Editor'!$E:$E,0),acc,XLOOKUP($D504,'Move Editor'!$B:$B,'Move Editor'!$F:$F,100),atk,IF(cat="Physical",FLOOR((FLOOR(((2*XLOOKUP(XLOOKUP($Q504,'Threshold Summary'!$Y:$Y,'Threshold Summary'!$K:$K,""),'Pokemon Editor'!$A:$A,'Pokemon Editor'!$F:$F,0)+31+FLOOR(XLOOKUP($Q504,'Threshold Summary'!$Y:$Y,'Threshold Summary'!$P:$P,"")/4))*XLOOKUP($Q504,'Threshold Summary'!$Y:$Y,'Threshold Summary'!$L:$L,""))/100)+5)*XLOOKUP(XLOOKUP($Q504,'Threshold Summary'!$Y:$Y,'Threshold Summary'!$M:$M,""),'Nature Editor'!$A:$A,'Nature Editor'!$B:$B,1)),FLOOR((FLOOR(((2*XLOOKUP(XLOOKUP($Q504,'Threshold Summary'!$Y:$Y,'Threshold Summary'!$K:$K,""),'Pokemon Editor'!$A:$A,'Pokemon Editor'!$H:$H,0)+31+FLOOR(XLOOKUP($Q504,'Threshold Summary'!$Y:$Y,'Threshold Summary'!$R:$R,"")/4))*XLOOKUP($Q504,'Threshold Summary'!$Y:$Y,'Threshold Summary'!$L:$L,""))/100)+5)*XLOOKUP(XLOOKUP($Q504,'Threshold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Editor'!$E:$E,1))),stab,IF(OR(mtype=XLOOKUP(XLOOKUP($Q504,'Threshold Summary'!$Y:$Y,'Threshold Summary'!$K:$K,""),'Pokemon Editor'!$A:$A,'Pokemon Editor'!$C:$C,""),mtype=XLOOKUP(XLOOKUP($Q504,'Threshold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Chart'!$B$1:$S$1,0)))),base,IF(OR(cat="Status",pow=0),0,FLOOR(FLOOR(FLOOR((2*XLOOKUP($Q504,'Threshold Summary'!$Y:$Y,'Threshold Summary'!$L:$L,"")/5+2)*pow*atk/def)/50)+2)),modifier,stab*eff,FLOOR(base*modifier*0.85)),0)</f>
        <v/>
      </c>
      <c r="K504" s="3">
        <f>IFERROR(LET(mtype,XLOOKUP($D504,'Move Editor'!$B:$B,'Move Editor'!$C:$C,""),cat,XLOOKUP($D504,'Move Editor'!$B:$B,'Move Editor'!$D:$D,""),pow,XLOOKUP($D504,'Move Editor'!$B:$B,'Move Editor'!$E:$E,0),acc,XLOOKUP($D504,'Move Editor'!$B:$B,'Move Editor'!$F:$F,100),atk,IF(cat="Physical",FLOOR((FLOOR(((2*XLOOKUP(XLOOKUP($Q504,'Threshold Summary'!$Y:$Y,'Threshold Summary'!$K:$K,""),'Pokemon Editor'!$A:$A,'Pokemon Editor'!$F:$F,0)+31+FLOOR(XLOOKUP($Q504,'Threshold Summary'!$Y:$Y,'Threshold Summary'!$P:$P,"")/4))*XLOOKUP($Q504,'Threshold Summary'!$Y:$Y,'Threshold Summary'!$L:$L,""))/100)+5)*XLOOKUP(XLOOKUP($Q504,'Threshold Summary'!$Y:$Y,'Threshold Summary'!$M:$M,""),'Nature Editor'!$A:$A,'Nature Editor'!$B:$B,1)),FLOOR((FLOOR(((2*XLOOKUP(XLOOKUP($Q504,'Threshold Summary'!$Y:$Y,'Threshold Summary'!$K:$K,""),'Pokemon Editor'!$A:$A,'Pokemon Editor'!$H:$H,0)+31+FLOOR(XLOOKUP($Q504,'Threshold Summary'!$Y:$Y,'Threshold Summary'!$R:$R,"")/4))*XLOOKUP($Q504,'Threshold Summary'!$Y:$Y,'Threshold Summary'!$L:$L,""))/100)+5)*XLOOKUP(XLOOKUP($Q504,'Threshold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Editor'!$E:$E,1))),stab,IF(OR(mtype=XLOOKUP(XLOOKUP($Q504,'Threshold Summary'!$Y:$Y,'Threshold Summary'!$K:$K,""),'Pokemon Editor'!$A:$A,'Pokemon Editor'!$C:$C,""),mtype=XLOOKUP(XLOOKUP($Q504,'Threshold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Chart'!$B$1:$S$1,0)))),base,IF(OR(cat="Status",pow=0),0,FLOOR(FLOOR(FLOOR((2*XLOOKUP($Q504,'Threshold Summary'!$Y:$Y,'Threshold Summary'!$L:$L,"")/5+2)*pow*atk/def)/50)+2)),modifier,stab*eff,FLOOR(base*modifier)),0)</f>
        <v/>
      </c>
      <c r="L504" s="3">
        <f>IFERROR(LET(mtype,XLOOKUP($D504,'Move Editor'!$B:$B,'Move Editor'!$C:$C,""),cat,XLOOKUP($D504,'Move Editor'!$B:$B,'Move Editor'!$D:$D,""),pow,XLOOKUP($D504,'Move Editor'!$B:$B,'Move Editor'!$E:$E,0),acc,XLOOKUP($D504,'Move Editor'!$B:$B,'Move Editor'!$F:$F,100),atk,IF(cat="Physical",FLOOR((FLOOR(((2*XLOOKUP(XLOOKUP($Q504,'Threshold Summary'!$Y:$Y,'Threshold Summary'!$K:$K,""),'Pokemon Editor'!$A:$A,'Pokemon Editor'!$F:$F,0)+31+FLOOR(XLOOKUP($Q504,'Threshold Summary'!$Y:$Y,'Threshold Summary'!$P:$P,"")/4))*XLOOKUP($Q504,'Threshold Summary'!$Y:$Y,'Threshold Summary'!$L:$L,""))/100)+5)*XLOOKUP(XLOOKUP($Q504,'Threshold Summary'!$Y:$Y,'Threshold Summary'!$M:$M,""),'Nature Editor'!$A:$A,'Nature Editor'!$B:$B,1)),FLOOR((FLOOR(((2*XLOOKUP(XLOOKUP($Q504,'Threshold Summary'!$Y:$Y,'Threshold Summary'!$K:$K,""),'Pokemon Editor'!$A:$A,'Pokemon Editor'!$H:$H,0)+31+FLOOR(XLOOKUP($Q504,'Threshold Summary'!$Y:$Y,'Threshold Summary'!$R:$R,"")/4))*XLOOKUP($Q504,'Threshold Summary'!$Y:$Y,'Threshold Summary'!$L:$L,""))/100)+5)*XLOOKUP(XLOOKUP($Q504,'Threshold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Editor'!$E:$E,1))),stab,IF(OR(mtype=XLOOKUP(XLOOKUP($Q504,'Threshold Summary'!$Y:$Y,'Threshold Summary'!$K:$K,""),'Pokemon Editor'!$A:$A,'Pokemon Editor'!$C:$C,""),mtype=XLOOKUP(XLOOKUP($Q504,'Threshold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Chart'!$B$1:$S$1,0)))),base,IF(OR(cat="Status",pow=0),0,FLOOR(FLOOR(FLOOR((2*XLOOKUP($Q504,'Threshold Summary'!$Y:$Y,'Threshold Summary'!$L:$L,"")/5+2)*pow*atk/def)/50)+2)),modifier,stab*eff,AVERAGE(ARRAYFORMULA(FLOOR(base*modifier*SEQUENCE(16,1,85,1)/100)))),0)</f>
        <v/>
      </c>
      <c r="M504" s="3">
        <f>IFERROR(LET(mtype,XLOOKUP($D504,'Move Editor'!$B:$B,'Move Editor'!$C:$C,""),cat,XLOOKUP($D504,'Move Editor'!$B:$B,'Move Editor'!$D:$D,""),pow,XLOOKUP($D504,'Move Editor'!$B:$B,'Move Editor'!$E:$E,0),acc,XLOOKUP($D504,'Move Editor'!$B:$B,'Move Editor'!$F:$F,100),atk,IF(cat="Physical",FLOOR((FLOOR(((2*XLOOKUP(XLOOKUP($Q504,'Threshold Summary'!$Y:$Y,'Threshold Summary'!$K:$K,""),'Pokemon Editor'!$A:$A,'Pokemon Editor'!$F:$F,0)+31+FLOOR(XLOOKUP($Q504,'Threshold Summary'!$Y:$Y,'Threshold Summary'!$P:$P,"")/4))*XLOOKUP($Q504,'Threshold Summary'!$Y:$Y,'Threshold Summary'!$L:$L,""))/100)+5)*XLOOKUP(XLOOKUP($Q504,'Threshold Summary'!$Y:$Y,'Threshold Summary'!$M:$M,""),'Nature Editor'!$A:$A,'Nature Editor'!$B:$B,1)),FLOOR((FLOOR(((2*XLOOKUP(XLOOKUP($Q504,'Threshold Summary'!$Y:$Y,'Threshold Summary'!$K:$K,""),'Pokemon Editor'!$A:$A,'Pokemon Editor'!$H:$H,0)+31+FLOOR(XLOOKUP($Q504,'Threshold Summary'!$Y:$Y,'Threshold Summary'!$R:$R,"")/4))*XLOOKUP($Q504,'Threshold Summary'!$Y:$Y,'Threshold Summary'!$L:$L,""))/100)+5)*XLOOKUP(XLOOKUP($Q504,'Threshold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Editor'!$E:$E,1))),stab,IF(OR(mtype=XLOOKUP(XLOOKUP($Q504,'Threshold Summary'!$Y:$Y,'Threshold Summary'!$K:$K,""),'Pokemon Editor'!$A:$A,'Pokemon Editor'!$C:$C,""),mtype=XLOOKUP(XLOOKUP($Q504,'Threshold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Chart'!$B$1:$S$1,0)))),base,IF(OR(cat="Status",pow=0),0,FLOOR(FLOOR(FLOOR((2*XLOOKUP($Q504,'Threshold Summary'!$Y:$Y,'Threshold Summary'!$L:$L,"")/5+2)*pow*atk/def)/50)+2)),modifier,stab*eff,AVERAGE(ARRAYFORMULA(FLOOR(base*modifier*SEQUENCE(16,1,85,1)/100)))*MIN(1,acc/100)),0)</f>
        <v/>
      </c>
      <c r="N504" s="4">
        <f>IFERROR(LET(mtype,XLOOKUP($D504,'Move Editor'!$B:$B,'Move Editor'!$C:$C,""),cat,XLOOKUP($D504,'Move Editor'!$B:$B,'Move Editor'!$D:$D,""),pow,XLOOKUP($D504,'Move Editor'!$B:$B,'Move Editor'!$E:$E,0),acc,XLOOKUP($D504,'Move Editor'!$B:$B,'Move Editor'!$F:$F,100),atk,IF(cat="Physical",FLOOR((FLOOR(((2*XLOOKUP(XLOOKUP($Q504,'Threshold Summary'!$Y:$Y,'Threshold Summary'!$K:$K,""),'Pokemon Editor'!$A:$A,'Pokemon Editor'!$F:$F,0)+31+FLOOR(XLOOKUP($Q504,'Threshold Summary'!$Y:$Y,'Threshold Summary'!$P:$P,"")/4))*XLOOKUP($Q504,'Threshold Summary'!$Y:$Y,'Threshold Summary'!$L:$L,""))/100)+5)*XLOOKUP(XLOOKUP($Q504,'Threshold Summary'!$Y:$Y,'Threshold Summary'!$M:$M,""),'Nature Editor'!$A:$A,'Nature Editor'!$B:$B,1)),FLOOR((FLOOR(((2*XLOOKUP(XLOOKUP($Q504,'Threshold Summary'!$Y:$Y,'Threshold Summary'!$K:$K,""),'Pokemon Editor'!$A:$A,'Pokemon Editor'!$H:$H,0)+31+FLOOR(XLOOKUP($Q504,'Threshold Summary'!$Y:$Y,'Threshold Summary'!$R:$R,"")/4))*XLOOKUP($Q504,'Threshold Summary'!$Y:$Y,'Threshold Summary'!$L:$L,""))/100)+5)*XLOOKUP(XLOOKUP($Q504,'Threshold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Editor'!$E:$E,1))),stab,IF(OR(mtype=XLOOKUP(XLOOKUP($Q504,'Threshold Summary'!$Y:$Y,'Threshold Summary'!$K:$K,""),'Pokemon Editor'!$A:$A,'Pokemon Editor'!$C:$C,""),mtype=XLOOKUP(XLOOKUP($Q504,'Threshold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Chart'!$B$1:$S$1,0)))),base,IF(OR(cat="Status",pow=0),0,FLOOR(FLOOR(FLOOR((2*XLOOKUP($Q504,'Threshold Summary'!$Y:$Y,'Threshold Summary'!$L:$L,"")/5+2)*pow*atk/def)/50)+2)),modifier,stab*eff,AVERAGE(ARRAYFORMULA(FLOOR(base*modifier*SEQUENCE(16,1,85,1)/100)))/(FLOOR(((2*XLOOKUP('Boss Editor'!$C$4,'Pokemon Editor'!$A:$A,'Pokemon Editor'!$E:$E,0)+31+FLOOR('Boss Editor'!$G$4/4))*'Boss Editor'!$D$4)/100)+'Boss Editor'!$D$4+10)),0)</f>
        <v/>
      </c>
      <c r="O504" s="3">
        <f>IF(N504&gt;=1,"OHKO",IF(N504&gt;=0.5,"2HKO",IF(N504&gt;=0.333,"3HKO",IF(N504&gt;=0.25,"4HKO","5HKO+"))))</f>
        <v/>
      </c>
      <c r="P504" s="3" t="inlineStr">
        <is>
          <t>Live from editable databases</t>
        </is>
      </c>
      <c r="Q504" s="3" t="inlineStr">
        <is>
          <t>SPECIES_VENIPEDE</t>
        </is>
      </c>
      <c r="R504" s="3" t="n">
        <v>23</v>
      </c>
    </row>
    <row r="505">
      <c r="A505" s="3">
        <f>XLOOKUP($Q505,'Threshold Summary'!$Y:$Y,'Threshold Summary'!$A:$A,"")</f>
        <v/>
      </c>
      <c r="B505" s="3">
        <f>XLOOKUP($Q505,'Threshold Summary'!$Y:$Y,'Threshold Summary'!$M:$M,"")</f>
        <v/>
      </c>
      <c r="C505" s="3">
        <f>XLOOKUP($Q505,'Threshold Summary'!$Y:$Y,'Threshold Summary'!$N:$N,"")</f>
        <v/>
      </c>
      <c r="D505" s="3">
        <f>IFERROR(INDEX(FILTER('Learnset Editor'!$D$2:$D,'Learnset Editor'!$A$2:$A=XLOOKUP($Q505,'Threshold Summary'!$Y:$Y,'Threshold Summary'!$K:$K,""),'Learnset Editor'!$C$2:$C&lt;=XLOOKUP($Q505,'Threshold Summary'!$Y:$Y,'Threshold Summary'!$L:$L,"")),$R505),"")</f>
        <v/>
      </c>
      <c r="E505" s="3">
        <f>XLOOKUP(D505,'Move Editor'!$B:$B,'Move Editor'!$C:$C,"")</f>
        <v/>
      </c>
      <c r="F505" s="3">
        <f>XLOOKUP(D505,'Move Editor'!$B:$B,'Move Editor'!$D:$D,"")</f>
        <v/>
      </c>
      <c r="G505" s="3">
        <f>XLOOKUP(D505,'Move Editor'!$B:$B,'Move Editor'!$E:$E,0)</f>
        <v/>
      </c>
      <c r="H505" s="3">
        <f>XLOOKUP(D505,'Move Editor'!$B:$B,'Move Editor'!$F:$F,0)</f>
        <v/>
      </c>
      <c r="I505" s="3">
        <f>(INDEX('Type Chart'!$B:$S,MATCH(E505,'Type Chart'!$A:$A,0),MATCH(XLOOKUP('Boss Editor'!$C$4,'Pokemon Editor'!$A:$A,'Pokemon Editor'!$C:$C,""),'Type Chart'!$B$1:$S$1,0))*IF(XLOOKUP('Boss Editor'!$C$4,'Pokemon Editor'!$A:$A,'Pokemon Editor'!$D:$D,"")="",1,INDEX('Type Chart'!$B:$S,MATCH(E505,'Type Chart'!$A:$A,0),MATCH(XLOOKUP('Boss Editor'!$C$4,'Pokemon Editor'!$A:$A,'Pokemon Editor'!$D:$D,""),'Type Chart'!$B$1:$S$1,0))))</f>
        <v/>
      </c>
      <c r="J505" s="3">
        <f>IFERROR(LET(mtype,XLOOKUP($D505,'Move Editor'!$B:$B,'Move Editor'!$C:$C,""),cat,XLOOKUP($D505,'Move Editor'!$B:$B,'Move Editor'!$D:$D,""),pow,XLOOKUP($D505,'Move Editor'!$B:$B,'Move Editor'!$E:$E,0),acc,XLOOKUP($D505,'Move Editor'!$B:$B,'Move Editor'!$F:$F,100),atk,IF(cat="Physical",FLOOR((FLOOR(((2*XLOOKUP(XLOOKUP($Q505,'Threshold Summary'!$Y:$Y,'Threshold Summary'!$K:$K,""),'Pokemon Editor'!$A:$A,'Pokemon Editor'!$F:$F,0)+31+FLOOR(XLOOKUP($Q505,'Threshold Summary'!$Y:$Y,'Threshold Summary'!$P:$P,"")/4))*XLOOKUP($Q505,'Threshold Summary'!$Y:$Y,'Threshold Summary'!$L:$L,""))/100)+5)*XLOOKUP(XLOOKUP($Q505,'Threshold Summary'!$Y:$Y,'Threshold Summary'!$M:$M,""),'Nature Editor'!$A:$A,'Nature Editor'!$B:$B,1)),FLOOR((FLOOR(((2*XLOOKUP(XLOOKUP($Q505,'Threshold Summary'!$Y:$Y,'Threshold Summary'!$K:$K,""),'Pokemon Editor'!$A:$A,'Pokemon Editor'!$H:$H,0)+31+FLOOR(XLOOKUP($Q505,'Threshold Summary'!$Y:$Y,'Threshold Summary'!$R:$R,"")/4))*XLOOKUP($Q505,'Threshold Summary'!$Y:$Y,'Threshold Summary'!$L:$L,""))/100)+5)*XLOOKUP(XLOOKUP($Q505,'Threshold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Editor'!$E:$E,1))),stab,IF(OR(mtype=XLOOKUP(XLOOKUP($Q505,'Threshold Summary'!$Y:$Y,'Threshold Summary'!$K:$K,""),'Pokemon Editor'!$A:$A,'Pokemon Editor'!$C:$C,""),mtype=XLOOKUP(XLOOKUP($Q505,'Threshold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Chart'!$B$1:$S$1,0)))),base,IF(OR(cat="Status",pow=0),0,FLOOR(FLOOR(FLOOR((2*XLOOKUP($Q505,'Threshold Summary'!$Y:$Y,'Threshold Summary'!$L:$L,"")/5+2)*pow*atk/def)/50)+2)),modifier,stab*eff,FLOOR(base*modifier*0.85)),0)</f>
        <v/>
      </c>
      <c r="K505" s="3">
        <f>IFERROR(LET(mtype,XLOOKUP($D505,'Move Editor'!$B:$B,'Move Editor'!$C:$C,""),cat,XLOOKUP($D505,'Move Editor'!$B:$B,'Move Editor'!$D:$D,""),pow,XLOOKUP($D505,'Move Editor'!$B:$B,'Move Editor'!$E:$E,0),acc,XLOOKUP($D505,'Move Editor'!$B:$B,'Move Editor'!$F:$F,100),atk,IF(cat="Physical",FLOOR((FLOOR(((2*XLOOKUP(XLOOKUP($Q505,'Threshold Summary'!$Y:$Y,'Threshold Summary'!$K:$K,""),'Pokemon Editor'!$A:$A,'Pokemon Editor'!$F:$F,0)+31+FLOOR(XLOOKUP($Q505,'Threshold Summary'!$Y:$Y,'Threshold Summary'!$P:$P,"")/4))*XLOOKUP($Q505,'Threshold Summary'!$Y:$Y,'Threshold Summary'!$L:$L,""))/100)+5)*XLOOKUP(XLOOKUP($Q505,'Threshold Summary'!$Y:$Y,'Threshold Summary'!$M:$M,""),'Nature Editor'!$A:$A,'Nature Editor'!$B:$B,1)),FLOOR((FLOOR(((2*XLOOKUP(XLOOKUP($Q505,'Threshold Summary'!$Y:$Y,'Threshold Summary'!$K:$K,""),'Pokemon Editor'!$A:$A,'Pokemon Editor'!$H:$H,0)+31+FLOOR(XLOOKUP($Q505,'Threshold Summary'!$Y:$Y,'Threshold Summary'!$R:$R,"")/4))*XLOOKUP($Q505,'Threshold Summary'!$Y:$Y,'Threshold Summary'!$L:$L,""))/100)+5)*XLOOKUP(XLOOKUP($Q505,'Threshold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Editor'!$E:$E,1))),stab,IF(OR(mtype=XLOOKUP(XLOOKUP($Q505,'Threshold Summary'!$Y:$Y,'Threshold Summary'!$K:$K,""),'Pokemon Editor'!$A:$A,'Pokemon Editor'!$C:$C,""),mtype=XLOOKUP(XLOOKUP($Q505,'Threshold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Chart'!$B$1:$S$1,0)))),base,IF(OR(cat="Status",pow=0),0,FLOOR(FLOOR(FLOOR((2*XLOOKUP($Q505,'Threshold Summary'!$Y:$Y,'Threshold Summary'!$L:$L,"")/5+2)*pow*atk/def)/50)+2)),modifier,stab*eff,FLOOR(base*modifier)),0)</f>
        <v/>
      </c>
      <c r="L505" s="3">
        <f>IFERROR(LET(mtype,XLOOKUP($D505,'Move Editor'!$B:$B,'Move Editor'!$C:$C,""),cat,XLOOKUP($D505,'Move Editor'!$B:$B,'Move Editor'!$D:$D,""),pow,XLOOKUP($D505,'Move Editor'!$B:$B,'Move Editor'!$E:$E,0),acc,XLOOKUP($D505,'Move Editor'!$B:$B,'Move Editor'!$F:$F,100),atk,IF(cat="Physical",FLOOR((FLOOR(((2*XLOOKUP(XLOOKUP($Q505,'Threshold Summary'!$Y:$Y,'Threshold Summary'!$K:$K,""),'Pokemon Editor'!$A:$A,'Pokemon Editor'!$F:$F,0)+31+FLOOR(XLOOKUP($Q505,'Threshold Summary'!$Y:$Y,'Threshold Summary'!$P:$P,"")/4))*XLOOKUP($Q505,'Threshold Summary'!$Y:$Y,'Threshold Summary'!$L:$L,""))/100)+5)*XLOOKUP(XLOOKUP($Q505,'Threshold Summary'!$Y:$Y,'Threshold Summary'!$M:$M,""),'Nature Editor'!$A:$A,'Nature Editor'!$B:$B,1)),FLOOR((FLOOR(((2*XLOOKUP(XLOOKUP($Q505,'Threshold Summary'!$Y:$Y,'Threshold Summary'!$K:$K,""),'Pokemon Editor'!$A:$A,'Pokemon Editor'!$H:$H,0)+31+FLOOR(XLOOKUP($Q505,'Threshold Summary'!$Y:$Y,'Threshold Summary'!$R:$R,"")/4))*XLOOKUP($Q505,'Threshold Summary'!$Y:$Y,'Threshold Summary'!$L:$L,""))/100)+5)*XLOOKUP(XLOOKUP($Q505,'Threshold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Editor'!$E:$E,1))),stab,IF(OR(mtype=XLOOKUP(XLOOKUP($Q505,'Threshold Summary'!$Y:$Y,'Threshold Summary'!$K:$K,""),'Pokemon Editor'!$A:$A,'Pokemon Editor'!$C:$C,""),mtype=XLOOKUP(XLOOKUP($Q505,'Threshold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Chart'!$B$1:$S$1,0)))),base,IF(OR(cat="Status",pow=0),0,FLOOR(FLOOR(FLOOR((2*XLOOKUP($Q505,'Threshold Summary'!$Y:$Y,'Threshold Summary'!$L:$L,"")/5+2)*pow*atk/def)/50)+2)),modifier,stab*eff,AVERAGE(ARRAYFORMULA(FLOOR(base*modifier*SEQUENCE(16,1,85,1)/100)))),0)</f>
        <v/>
      </c>
      <c r="M505" s="3">
        <f>IFERROR(LET(mtype,XLOOKUP($D505,'Move Editor'!$B:$B,'Move Editor'!$C:$C,""),cat,XLOOKUP($D505,'Move Editor'!$B:$B,'Move Editor'!$D:$D,""),pow,XLOOKUP($D505,'Move Editor'!$B:$B,'Move Editor'!$E:$E,0),acc,XLOOKUP($D505,'Move Editor'!$B:$B,'Move Editor'!$F:$F,100),atk,IF(cat="Physical",FLOOR((FLOOR(((2*XLOOKUP(XLOOKUP($Q505,'Threshold Summary'!$Y:$Y,'Threshold Summary'!$K:$K,""),'Pokemon Editor'!$A:$A,'Pokemon Editor'!$F:$F,0)+31+FLOOR(XLOOKUP($Q505,'Threshold Summary'!$Y:$Y,'Threshold Summary'!$P:$P,"")/4))*XLOOKUP($Q505,'Threshold Summary'!$Y:$Y,'Threshold Summary'!$L:$L,""))/100)+5)*XLOOKUP(XLOOKUP($Q505,'Threshold Summary'!$Y:$Y,'Threshold Summary'!$M:$M,""),'Nature Editor'!$A:$A,'Nature Editor'!$B:$B,1)),FLOOR((FLOOR(((2*XLOOKUP(XLOOKUP($Q505,'Threshold Summary'!$Y:$Y,'Threshold Summary'!$K:$K,""),'Pokemon Editor'!$A:$A,'Pokemon Editor'!$H:$H,0)+31+FLOOR(XLOOKUP($Q505,'Threshold Summary'!$Y:$Y,'Threshold Summary'!$R:$R,"")/4))*XLOOKUP($Q505,'Threshold Summary'!$Y:$Y,'Threshold Summary'!$L:$L,""))/100)+5)*XLOOKUP(XLOOKUP($Q505,'Threshold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Editor'!$E:$E,1))),stab,IF(OR(mtype=XLOOKUP(XLOOKUP($Q505,'Threshold Summary'!$Y:$Y,'Threshold Summary'!$K:$K,""),'Pokemon Editor'!$A:$A,'Pokemon Editor'!$C:$C,""),mtype=XLOOKUP(XLOOKUP($Q505,'Threshold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Chart'!$B$1:$S$1,0)))),base,IF(OR(cat="Status",pow=0),0,FLOOR(FLOOR(FLOOR((2*XLOOKUP($Q505,'Threshold Summary'!$Y:$Y,'Threshold Summary'!$L:$L,"")/5+2)*pow*atk/def)/50)+2)),modifier,stab*eff,AVERAGE(ARRAYFORMULA(FLOOR(base*modifier*SEQUENCE(16,1,85,1)/100)))*MIN(1,acc/100)),0)</f>
        <v/>
      </c>
      <c r="N505" s="4">
        <f>IFERROR(LET(mtype,XLOOKUP($D505,'Move Editor'!$B:$B,'Move Editor'!$C:$C,""),cat,XLOOKUP($D505,'Move Editor'!$B:$B,'Move Editor'!$D:$D,""),pow,XLOOKUP($D505,'Move Editor'!$B:$B,'Move Editor'!$E:$E,0),acc,XLOOKUP($D505,'Move Editor'!$B:$B,'Move Editor'!$F:$F,100),atk,IF(cat="Physical",FLOOR((FLOOR(((2*XLOOKUP(XLOOKUP($Q505,'Threshold Summary'!$Y:$Y,'Threshold Summary'!$K:$K,""),'Pokemon Editor'!$A:$A,'Pokemon Editor'!$F:$F,0)+31+FLOOR(XLOOKUP($Q505,'Threshold Summary'!$Y:$Y,'Threshold Summary'!$P:$P,"")/4))*XLOOKUP($Q505,'Threshold Summary'!$Y:$Y,'Threshold Summary'!$L:$L,""))/100)+5)*XLOOKUP(XLOOKUP($Q505,'Threshold Summary'!$Y:$Y,'Threshold Summary'!$M:$M,""),'Nature Editor'!$A:$A,'Nature Editor'!$B:$B,1)),FLOOR((FLOOR(((2*XLOOKUP(XLOOKUP($Q505,'Threshold Summary'!$Y:$Y,'Threshold Summary'!$K:$K,""),'Pokemon Editor'!$A:$A,'Pokemon Editor'!$H:$H,0)+31+FLOOR(XLOOKUP($Q505,'Threshold Summary'!$Y:$Y,'Threshold Summary'!$R:$R,"")/4))*XLOOKUP($Q505,'Threshold Summary'!$Y:$Y,'Threshold Summary'!$L:$L,""))/100)+5)*XLOOKUP(XLOOKUP($Q505,'Threshold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Editor'!$E:$E,1))),stab,IF(OR(mtype=XLOOKUP(XLOOKUP($Q505,'Threshold Summary'!$Y:$Y,'Threshold Summary'!$K:$K,""),'Pokemon Editor'!$A:$A,'Pokemon Editor'!$C:$C,""),mtype=XLOOKUP(XLOOKUP($Q505,'Threshold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Chart'!$B$1:$S$1,0)))),base,IF(OR(cat="Status",pow=0),0,FLOOR(FLOOR(FLOOR((2*XLOOKUP($Q505,'Threshold Summary'!$Y:$Y,'Threshold Summary'!$L:$L,"")/5+2)*pow*atk/def)/50)+2)),modifier,stab*eff,AVERAGE(ARRAYFORMULA(FLOOR(base*modifier*SEQUENCE(16,1,85,1)/100)))/(FLOOR(((2*XLOOKUP('Boss Editor'!$C$4,'Pokemon Editor'!$A:$A,'Pokemon Editor'!$E:$E,0)+31+FLOOR('Boss Editor'!$G$4/4))*'Boss Editor'!$D$4)/100)+'Boss Editor'!$D$4+10)),0)</f>
        <v/>
      </c>
      <c r="O505" s="3">
        <f>IF(N505&gt;=1,"OHKO",IF(N505&gt;=0.5,"2HKO",IF(N505&gt;=0.333,"3HKO",IF(N505&gt;=0.25,"4HKO","5HKO+"))))</f>
        <v/>
      </c>
      <c r="P505" s="3" t="inlineStr">
        <is>
          <t>Live from editable databases</t>
        </is>
      </c>
      <c r="Q505" s="3" t="inlineStr">
        <is>
          <t>SPECIES_VENIPEDE</t>
        </is>
      </c>
      <c r="R505" s="3" t="n">
        <v>24</v>
      </c>
    </row>
    <row r="506">
      <c r="A506" s="3">
        <f>XLOOKUP($Q506,'Threshold Summary'!$Y:$Y,'Threshold Summary'!$A:$A,"")</f>
        <v/>
      </c>
      <c r="B506" s="3">
        <f>XLOOKUP($Q506,'Threshold Summary'!$Y:$Y,'Threshold Summary'!$M:$M,"")</f>
        <v/>
      </c>
      <c r="C506" s="3">
        <f>XLOOKUP($Q506,'Threshold Summary'!$Y:$Y,'Threshold Summary'!$N:$N,"")</f>
        <v/>
      </c>
      <c r="D506" s="3">
        <f>IFERROR(INDEX(FILTER('Learnset Editor'!$D$2:$D,'Learnset Editor'!$A$2:$A=XLOOKUP($Q506,'Threshold Summary'!$Y:$Y,'Threshold Summary'!$K:$K,""),'Learnset Editor'!$C$2:$C&lt;=XLOOKUP($Q506,'Threshold Summary'!$Y:$Y,'Threshold Summary'!$L:$L,"")),$R506),"")</f>
        <v/>
      </c>
      <c r="E506" s="3">
        <f>XLOOKUP(D506,'Move Editor'!$B:$B,'Move Editor'!$C:$C,"")</f>
        <v/>
      </c>
      <c r="F506" s="3">
        <f>XLOOKUP(D506,'Move Editor'!$B:$B,'Move Editor'!$D:$D,"")</f>
        <v/>
      </c>
      <c r="G506" s="3">
        <f>XLOOKUP(D506,'Move Editor'!$B:$B,'Move Editor'!$E:$E,0)</f>
        <v/>
      </c>
      <c r="H506" s="3">
        <f>XLOOKUP(D506,'Move Editor'!$B:$B,'Move Editor'!$F:$F,0)</f>
        <v/>
      </c>
      <c r="I506" s="3">
        <f>(INDEX('Type Chart'!$B:$S,MATCH(E506,'Type Chart'!$A:$A,0),MATCH(XLOOKUP('Boss Editor'!$C$4,'Pokemon Editor'!$A:$A,'Pokemon Editor'!$C:$C,""),'Type Chart'!$B$1:$S$1,0))*IF(XLOOKUP('Boss Editor'!$C$4,'Pokemon Editor'!$A:$A,'Pokemon Editor'!$D:$D,"")="",1,INDEX('Type Chart'!$B:$S,MATCH(E506,'Type Chart'!$A:$A,0),MATCH(XLOOKUP('Boss Editor'!$C$4,'Pokemon Editor'!$A:$A,'Pokemon Editor'!$D:$D,""),'Type Chart'!$B$1:$S$1,0))))</f>
        <v/>
      </c>
      <c r="J506" s="3">
        <f>IFERROR(LET(mtype,XLOOKUP($D506,'Move Editor'!$B:$B,'Move Editor'!$C:$C,""),cat,XLOOKUP($D506,'Move Editor'!$B:$B,'Move Editor'!$D:$D,""),pow,XLOOKUP($D506,'Move Editor'!$B:$B,'Move Editor'!$E:$E,0),acc,XLOOKUP($D506,'Move Editor'!$B:$B,'Move Editor'!$F:$F,100),atk,IF(cat="Physical",FLOOR((FLOOR(((2*XLOOKUP(XLOOKUP($Q506,'Threshold Summary'!$Y:$Y,'Threshold Summary'!$K:$K,""),'Pokemon Editor'!$A:$A,'Pokemon Editor'!$F:$F,0)+31+FLOOR(XLOOKUP($Q506,'Threshold Summary'!$Y:$Y,'Threshold Summary'!$P:$P,"")/4))*XLOOKUP($Q506,'Threshold Summary'!$Y:$Y,'Threshold Summary'!$L:$L,""))/100)+5)*XLOOKUP(XLOOKUP($Q506,'Threshold Summary'!$Y:$Y,'Threshold Summary'!$M:$M,""),'Nature Editor'!$A:$A,'Nature Editor'!$B:$B,1)),FLOOR((FLOOR(((2*XLOOKUP(XLOOKUP($Q506,'Threshold Summary'!$Y:$Y,'Threshold Summary'!$K:$K,""),'Pokemon Editor'!$A:$A,'Pokemon Editor'!$H:$H,0)+31+FLOOR(XLOOKUP($Q506,'Threshold Summary'!$Y:$Y,'Threshold Summary'!$R:$R,"")/4))*XLOOKUP($Q506,'Threshold Summary'!$Y:$Y,'Threshold Summary'!$L:$L,""))/100)+5)*XLOOKUP(XLOOKUP($Q506,'Threshold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Editor'!$E:$E,1))),stab,IF(OR(mtype=XLOOKUP(XLOOKUP($Q506,'Threshold Summary'!$Y:$Y,'Threshold Summary'!$K:$K,""),'Pokemon Editor'!$A:$A,'Pokemon Editor'!$C:$C,""),mtype=XLOOKUP(XLOOKUP($Q506,'Threshold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Chart'!$B$1:$S$1,0)))),base,IF(OR(cat="Status",pow=0),0,FLOOR(FLOOR(FLOOR((2*XLOOKUP($Q506,'Threshold Summary'!$Y:$Y,'Threshold Summary'!$L:$L,"")/5+2)*pow*atk/def)/50)+2)),modifier,stab*eff,FLOOR(base*modifier*0.85)),0)</f>
        <v/>
      </c>
      <c r="K506" s="3">
        <f>IFERROR(LET(mtype,XLOOKUP($D506,'Move Editor'!$B:$B,'Move Editor'!$C:$C,""),cat,XLOOKUP($D506,'Move Editor'!$B:$B,'Move Editor'!$D:$D,""),pow,XLOOKUP($D506,'Move Editor'!$B:$B,'Move Editor'!$E:$E,0),acc,XLOOKUP($D506,'Move Editor'!$B:$B,'Move Editor'!$F:$F,100),atk,IF(cat="Physical",FLOOR((FLOOR(((2*XLOOKUP(XLOOKUP($Q506,'Threshold Summary'!$Y:$Y,'Threshold Summary'!$K:$K,""),'Pokemon Editor'!$A:$A,'Pokemon Editor'!$F:$F,0)+31+FLOOR(XLOOKUP($Q506,'Threshold Summary'!$Y:$Y,'Threshold Summary'!$P:$P,"")/4))*XLOOKUP($Q506,'Threshold Summary'!$Y:$Y,'Threshold Summary'!$L:$L,""))/100)+5)*XLOOKUP(XLOOKUP($Q506,'Threshold Summary'!$Y:$Y,'Threshold Summary'!$M:$M,""),'Nature Editor'!$A:$A,'Nature Editor'!$B:$B,1)),FLOOR((FLOOR(((2*XLOOKUP(XLOOKUP($Q506,'Threshold Summary'!$Y:$Y,'Threshold Summary'!$K:$K,""),'Pokemon Editor'!$A:$A,'Pokemon Editor'!$H:$H,0)+31+FLOOR(XLOOKUP($Q506,'Threshold Summary'!$Y:$Y,'Threshold Summary'!$R:$R,"")/4))*XLOOKUP($Q506,'Threshold Summary'!$Y:$Y,'Threshold Summary'!$L:$L,""))/100)+5)*XLOOKUP(XLOOKUP($Q506,'Threshold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Editor'!$E:$E,1))),stab,IF(OR(mtype=XLOOKUP(XLOOKUP($Q506,'Threshold Summary'!$Y:$Y,'Threshold Summary'!$K:$K,""),'Pokemon Editor'!$A:$A,'Pokemon Editor'!$C:$C,""),mtype=XLOOKUP(XLOOKUP($Q506,'Threshold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Chart'!$B$1:$S$1,0)))),base,IF(OR(cat="Status",pow=0),0,FLOOR(FLOOR(FLOOR((2*XLOOKUP($Q506,'Threshold Summary'!$Y:$Y,'Threshold Summary'!$L:$L,"")/5+2)*pow*atk/def)/50)+2)),modifier,stab*eff,FLOOR(base*modifier)),0)</f>
        <v/>
      </c>
      <c r="L506" s="3">
        <f>IFERROR(LET(mtype,XLOOKUP($D506,'Move Editor'!$B:$B,'Move Editor'!$C:$C,""),cat,XLOOKUP($D506,'Move Editor'!$B:$B,'Move Editor'!$D:$D,""),pow,XLOOKUP($D506,'Move Editor'!$B:$B,'Move Editor'!$E:$E,0),acc,XLOOKUP($D506,'Move Editor'!$B:$B,'Move Editor'!$F:$F,100),atk,IF(cat="Physical",FLOOR((FLOOR(((2*XLOOKUP(XLOOKUP($Q506,'Threshold Summary'!$Y:$Y,'Threshold Summary'!$K:$K,""),'Pokemon Editor'!$A:$A,'Pokemon Editor'!$F:$F,0)+31+FLOOR(XLOOKUP($Q506,'Threshold Summary'!$Y:$Y,'Threshold Summary'!$P:$P,"")/4))*XLOOKUP($Q506,'Threshold Summary'!$Y:$Y,'Threshold Summary'!$L:$L,""))/100)+5)*XLOOKUP(XLOOKUP($Q506,'Threshold Summary'!$Y:$Y,'Threshold Summary'!$M:$M,""),'Nature Editor'!$A:$A,'Nature Editor'!$B:$B,1)),FLOOR((FLOOR(((2*XLOOKUP(XLOOKUP($Q506,'Threshold Summary'!$Y:$Y,'Threshold Summary'!$K:$K,""),'Pokemon Editor'!$A:$A,'Pokemon Editor'!$H:$H,0)+31+FLOOR(XLOOKUP($Q506,'Threshold Summary'!$Y:$Y,'Threshold Summary'!$R:$R,"")/4))*XLOOKUP($Q506,'Threshold Summary'!$Y:$Y,'Threshold Summary'!$L:$L,""))/100)+5)*XLOOKUP(XLOOKUP($Q506,'Threshold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Editor'!$E:$E,1))),stab,IF(OR(mtype=XLOOKUP(XLOOKUP($Q506,'Threshold Summary'!$Y:$Y,'Threshold Summary'!$K:$K,""),'Pokemon Editor'!$A:$A,'Pokemon Editor'!$C:$C,""),mtype=XLOOKUP(XLOOKUP($Q506,'Threshold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Chart'!$B$1:$S$1,0)))),base,IF(OR(cat="Status",pow=0),0,FLOOR(FLOOR(FLOOR((2*XLOOKUP($Q506,'Threshold Summary'!$Y:$Y,'Threshold Summary'!$L:$L,"")/5+2)*pow*atk/def)/50)+2)),modifier,stab*eff,AVERAGE(ARRAYFORMULA(FLOOR(base*modifier*SEQUENCE(16,1,85,1)/100)))),0)</f>
        <v/>
      </c>
      <c r="M506" s="3">
        <f>IFERROR(LET(mtype,XLOOKUP($D506,'Move Editor'!$B:$B,'Move Editor'!$C:$C,""),cat,XLOOKUP($D506,'Move Editor'!$B:$B,'Move Editor'!$D:$D,""),pow,XLOOKUP($D506,'Move Editor'!$B:$B,'Move Editor'!$E:$E,0),acc,XLOOKUP($D506,'Move Editor'!$B:$B,'Move Editor'!$F:$F,100),atk,IF(cat="Physical",FLOOR((FLOOR(((2*XLOOKUP(XLOOKUP($Q506,'Threshold Summary'!$Y:$Y,'Threshold Summary'!$K:$K,""),'Pokemon Editor'!$A:$A,'Pokemon Editor'!$F:$F,0)+31+FLOOR(XLOOKUP($Q506,'Threshold Summary'!$Y:$Y,'Threshold Summary'!$P:$P,"")/4))*XLOOKUP($Q506,'Threshold Summary'!$Y:$Y,'Threshold Summary'!$L:$L,""))/100)+5)*XLOOKUP(XLOOKUP($Q506,'Threshold Summary'!$Y:$Y,'Threshold Summary'!$M:$M,""),'Nature Editor'!$A:$A,'Nature Editor'!$B:$B,1)),FLOOR((FLOOR(((2*XLOOKUP(XLOOKUP($Q506,'Threshold Summary'!$Y:$Y,'Threshold Summary'!$K:$K,""),'Pokemon Editor'!$A:$A,'Pokemon Editor'!$H:$H,0)+31+FLOOR(XLOOKUP($Q506,'Threshold Summary'!$Y:$Y,'Threshold Summary'!$R:$R,"")/4))*XLOOKUP($Q506,'Threshold Summary'!$Y:$Y,'Threshold Summary'!$L:$L,""))/100)+5)*XLOOKUP(XLOOKUP($Q506,'Threshold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Editor'!$E:$E,1))),stab,IF(OR(mtype=XLOOKUP(XLOOKUP($Q506,'Threshold Summary'!$Y:$Y,'Threshold Summary'!$K:$K,""),'Pokemon Editor'!$A:$A,'Pokemon Editor'!$C:$C,""),mtype=XLOOKUP(XLOOKUP($Q506,'Threshold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Chart'!$B$1:$S$1,0)))),base,IF(OR(cat="Status",pow=0),0,FLOOR(FLOOR(FLOOR((2*XLOOKUP($Q506,'Threshold Summary'!$Y:$Y,'Threshold Summary'!$L:$L,"")/5+2)*pow*atk/def)/50)+2)),modifier,stab*eff,AVERAGE(ARRAYFORMULA(FLOOR(base*modifier*SEQUENCE(16,1,85,1)/100)))*MIN(1,acc/100)),0)</f>
        <v/>
      </c>
      <c r="N506" s="4">
        <f>IFERROR(LET(mtype,XLOOKUP($D506,'Move Editor'!$B:$B,'Move Editor'!$C:$C,""),cat,XLOOKUP($D506,'Move Editor'!$B:$B,'Move Editor'!$D:$D,""),pow,XLOOKUP($D506,'Move Editor'!$B:$B,'Move Editor'!$E:$E,0),acc,XLOOKUP($D506,'Move Editor'!$B:$B,'Move Editor'!$F:$F,100),atk,IF(cat="Physical",FLOOR((FLOOR(((2*XLOOKUP(XLOOKUP($Q506,'Threshold Summary'!$Y:$Y,'Threshold Summary'!$K:$K,""),'Pokemon Editor'!$A:$A,'Pokemon Editor'!$F:$F,0)+31+FLOOR(XLOOKUP($Q506,'Threshold Summary'!$Y:$Y,'Threshold Summary'!$P:$P,"")/4))*XLOOKUP($Q506,'Threshold Summary'!$Y:$Y,'Threshold Summary'!$L:$L,""))/100)+5)*XLOOKUP(XLOOKUP($Q506,'Threshold Summary'!$Y:$Y,'Threshold Summary'!$M:$M,""),'Nature Editor'!$A:$A,'Nature Editor'!$B:$B,1)),FLOOR((FLOOR(((2*XLOOKUP(XLOOKUP($Q506,'Threshold Summary'!$Y:$Y,'Threshold Summary'!$K:$K,""),'Pokemon Editor'!$A:$A,'Pokemon Editor'!$H:$H,0)+31+FLOOR(XLOOKUP($Q506,'Threshold Summary'!$Y:$Y,'Threshold Summary'!$R:$R,"")/4))*XLOOKUP($Q506,'Threshold Summary'!$Y:$Y,'Threshold Summary'!$L:$L,""))/100)+5)*XLOOKUP(XLOOKUP($Q506,'Threshold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Editor'!$E:$E,1))),stab,IF(OR(mtype=XLOOKUP(XLOOKUP($Q506,'Threshold Summary'!$Y:$Y,'Threshold Summary'!$K:$K,""),'Pokemon Editor'!$A:$A,'Pokemon Editor'!$C:$C,""),mtype=XLOOKUP(XLOOKUP($Q506,'Threshold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Chart'!$B$1:$S$1,0)))),base,IF(OR(cat="Status",pow=0),0,FLOOR(FLOOR(FLOOR((2*XLOOKUP($Q506,'Threshold Summary'!$Y:$Y,'Threshold Summary'!$L:$L,"")/5+2)*pow*atk/def)/50)+2)),modifier,stab*eff,AVERAGE(ARRAYFORMULA(FLOOR(base*modifier*SEQUENCE(16,1,85,1)/100)))/(FLOOR(((2*XLOOKUP('Boss Editor'!$C$4,'Pokemon Editor'!$A:$A,'Pokemon Editor'!$E:$E,0)+31+FLOOR('Boss Editor'!$G$4/4))*'Boss Editor'!$D$4)/100)+'Boss Editor'!$D$4+10)),0)</f>
        <v/>
      </c>
      <c r="O506" s="3">
        <f>IF(N506&gt;=1,"OHKO",IF(N506&gt;=0.5,"2HKO",IF(N506&gt;=0.333,"3HKO",IF(N506&gt;=0.25,"4HKO","5HKO+"))))</f>
        <v/>
      </c>
      <c r="P506" s="3" t="inlineStr">
        <is>
          <t>Live from editable databases</t>
        </is>
      </c>
      <c r="Q506" s="3" t="inlineStr">
        <is>
          <t>SPECIES_VENIPEDE</t>
        </is>
      </c>
      <c r="R506" s="3" t="n">
        <v>25</v>
      </c>
    </row>
    <row r="507">
      <c r="A507" s="3">
        <f>XLOOKUP($Q507,'Threshold Summary'!$Y:$Y,'Threshold Summary'!$A:$A,"")</f>
        <v/>
      </c>
      <c r="B507" s="3">
        <f>XLOOKUP($Q507,'Threshold Summary'!$Y:$Y,'Threshold Summary'!$M:$M,"")</f>
        <v/>
      </c>
      <c r="C507" s="3">
        <f>XLOOKUP($Q507,'Threshold Summary'!$Y:$Y,'Threshold Summary'!$N:$N,"")</f>
        <v/>
      </c>
      <c r="D507" s="3">
        <f>IFERROR(INDEX(FILTER('Learnset Editor'!$D$2:$D,'Learnset Editor'!$A$2:$A=XLOOKUP($Q507,'Threshold Summary'!$Y:$Y,'Threshold Summary'!$K:$K,""),'Learnset Editor'!$C$2:$C&lt;=XLOOKUP($Q507,'Threshold Summary'!$Y:$Y,'Threshold Summary'!$L:$L,"")),$R507),"")</f>
        <v/>
      </c>
      <c r="E507" s="3">
        <f>XLOOKUP(D507,'Move Editor'!$B:$B,'Move Editor'!$C:$C,"")</f>
        <v/>
      </c>
      <c r="F507" s="3">
        <f>XLOOKUP(D507,'Move Editor'!$B:$B,'Move Editor'!$D:$D,"")</f>
        <v/>
      </c>
      <c r="G507" s="3">
        <f>XLOOKUP(D507,'Move Editor'!$B:$B,'Move Editor'!$E:$E,0)</f>
        <v/>
      </c>
      <c r="H507" s="3">
        <f>XLOOKUP(D507,'Move Editor'!$B:$B,'Move Editor'!$F:$F,0)</f>
        <v/>
      </c>
      <c r="I507" s="3">
        <f>(INDEX('Type Chart'!$B:$S,MATCH(E507,'Type Chart'!$A:$A,0),MATCH(XLOOKUP('Boss Editor'!$C$4,'Pokemon Editor'!$A:$A,'Pokemon Editor'!$C:$C,""),'Type Chart'!$B$1:$S$1,0))*IF(XLOOKUP('Boss Editor'!$C$4,'Pokemon Editor'!$A:$A,'Pokemon Editor'!$D:$D,"")="",1,INDEX('Type Chart'!$B:$S,MATCH(E507,'Type Chart'!$A:$A,0),MATCH(XLOOKUP('Boss Editor'!$C$4,'Pokemon Editor'!$A:$A,'Pokemon Editor'!$D:$D,""),'Type Chart'!$B$1:$S$1,0))))</f>
        <v/>
      </c>
      <c r="J507" s="3">
        <f>IFERROR(LET(mtype,XLOOKUP($D507,'Move Editor'!$B:$B,'Move Editor'!$C:$C,""),cat,XLOOKUP($D507,'Move Editor'!$B:$B,'Move Editor'!$D:$D,""),pow,XLOOKUP($D507,'Move Editor'!$B:$B,'Move Editor'!$E:$E,0),acc,XLOOKUP($D507,'Move Editor'!$B:$B,'Move Editor'!$F:$F,100),atk,IF(cat="Physical",FLOOR((FLOOR(((2*XLOOKUP(XLOOKUP($Q507,'Threshold Summary'!$Y:$Y,'Threshold Summary'!$K:$K,""),'Pokemon Editor'!$A:$A,'Pokemon Editor'!$F:$F,0)+31+FLOOR(XLOOKUP($Q507,'Threshold Summary'!$Y:$Y,'Threshold Summary'!$P:$P,"")/4))*XLOOKUP($Q507,'Threshold Summary'!$Y:$Y,'Threshold Summary'!$L:$L,""))/100)+5)*XLOOKUP(XLOOKUP($Q507,'Threshold Summary'!$Y:$Y,'Threshold Summary'!$M:$M,""),'Nature Editor'!$A:$A,'Nature Editor'!$B:$B,1)),FLOOR((FLOOR(((2*XLOOKUP(XLOOKUP($Q507,'Threshold Summary'!$Y:$Y,'Threshold Summary'!$K:$K,""),'Pokemon Editor'!$A:$A,'Pokemon Editor'!$H:$H,0)+31+FLOOR(XLOOKUP($Q507,'Threshold Summary'!$Y:$Y,'Threshold Summary'!$R:$R,"")/4))*XLOOKUP($Q507,'Threshold Summary'!$Y:$Y,'Threshold Summary'!$L:$L,""))/100)+5)*XLOOKUP(XLOOKUP($Q507,'Threshold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Editor'!$E:$E,1))),stab,IF(OR(mtype=XLOOKUP(XLOOKUP($Q507,'Threshold Summary'!$Y:$Y,'Threshold Summary'!$K:$K,""),'Pokemon Editor'!$A:$A,'Pokemon Editor'!$C:$C,""),mtype=XLOOKUP(XLOOKUP($Q507,'Threshold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Chart'!$B$1:$S$1,0)))),base,IF(OR(cat="Status",pow=0),0,FLOOR(FLOOR(FLOOR((2*XLOOKUP($Q507,'Threshold Summary'!$Y:$Y,'Threshold Summary'!$L:$L,"")/5+2)*pow*atk/def)/50)+2)),modifier,stab*eff,FLOOR(base*modifier*0.85)),0)</f>
        <v/>
      </c>
      <c r="K507" s="3">
        <f>IFERROR(LET(mtype,XLOOKUP($D507,'Move Editor'!$B:$B,'Move Editor'!$C:$C,""),cat,XLOOKUP($D507,'Move Editor'!$B:$B,'Move Editor'!$D:$D,""),pow,XLOOKUP($D507,'Move Editor'!$B:$B,'Move Editor'!$E:$E,0),acc,XLOOKUP($D507,'Move Editor'!$B:$B,'Move Editor'!$F:$F,100),atk,IF(cat="Physical",FLOOR((FLOOR(((2*XLOOKUP(XLOOKUP($Q507,'Threshold Summary'!$Y:$Y,'Threshold Summary'!$K:$K,""),'Pokemon Editor'!$A:$A,'Pokemon Editor'!$F:$F,0)+31+FLOOR(XLOOKUP($Q507,'Threshold Summary'!$Y:$Y,'Threshold Summary'!$P:$P,"")/4))*XLOOKUP($Q507,'Threshold Summary'!$Y:$Y,'Threshold Summary'!$L:$L,""))/100)+5)*XLOOKUP(XLOOKUP($Q507,'Threshold Summary'!$Y:$Y,'Threshold Summary'!$M:$M,""),'Nature Editor'!$A:$A,'Nature Editor'!$B:$B,1)),FLOOR((FLOOR(((2*XLOOKUP(XLOOKUP($Q507,'Threshold Summary'!$Y:$Y,'Threshold Summary'!$K:$K,""),'Pokemon Editor'!$A:$A,'Pokemon Editor'!$H:$H,0)+31+FLOOR(XLOOKUP($Q507,'Threshold Summary'!$Y:$Y,'Threshold Summary'!$R:$R,"")/4))*XLOOKUP($Q507,'Threshold Summary'!$Y:$Y,'Threshold Summary'!$L:$L,""))/100)+5)*XLOOKUP(XLOOKUP($Q507,'Threshold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Editor'!$E:$E,1))),stab,IF(OR(mtype=XLOOKUP(XLOOKUP($Q507,'Threshold Summary'!$Y:$Y,'Threshold Summary'!$K:$K,""),'Pokemon Editor'!$A:$A,'Pokemon Editor'!$C:$C,""),mtype=XLOOKUP(XLOOKUP($Q507,'Threshold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Chart'!$B$1:$S$1,0)))),base,IF(OR(cat="Status",pow=0),0,FLOOR(FLOOR(FLOOR((2*XLOOKUP($Q507,'Threshold Summary'!$Y:$Y,'Threshold Summary'!$L:$L,"")/5+2)*pow*atk/def)/50)+2)),modifier,stab*eff,FLOOR(base*modifier)),0)</f>
        <v/>
      </c>
      <c r="L507" s="3">
        <f>IFERROR(LET(mtype,XLOOKUP($D507,'Move Editor'!$B:$B,'Move Editor'!$C:$C,""),cat,XLOOKUP($D507,'Move Editor'!$B:$B,'Move Editor'!$D:$D,""),pow,XLOOKUP($D507,'Move Editor'!$B:$B,'Move Editor'!$E:$E,0),acc,XLOOKUP($D507,'Move Editor'!$B:$B,'Move Editor'!$F:$F,100),atk,IF(cat="Physical",FLOOR((FLOOR(((2*XLOOKUP(XLOOKUP($Q507,'Threshold Summary'!$Y:$Y,'Threshold Summary'!$K:$K,""),'Pokemon Editor'!$A:$A,'Pokemon Editor'!$F:$F,0)+31+FLOOR(XLOOKUP($Q507,'Threshold Summary'!$Y:$Y,'Threshold Summary'!$P:$P,"")/4))*XLOOKUP($Q507,'Threshold Summary'!$Y:$Y,'Threshold Summary'!$L:$L,""))/100)+5)*XLOOKUP(XLOOKUP($Q507,'Threshold Summary'!$Y:$Y,'Threshold Summary'!$M:$M,""),'Nature Editor'!$A:$A,'Nature Editor'!$B:$B,1)),FLOOR((FLOOR(((2*XLOOKUP(XLOOKUP($Q507,'Threshold Summary'!$Y:$Y,'Threshold Summary'!$K:$K,""),'Pokemon Editor'!$A:$A,'Pokemon Editor'!$H:$H,0)+31+FLOOR(XLOOKUP($Q507,'Threshold Summary'!$Y:$Y,'Threshold Summary'!$R:$R,"")/4))*XLOOKUP($Q507,'Threshold Summary'!$Y:$Y,'Threshold Summary'!$L:$L,""))/100)+5)*XLOOKUP(XLOOKUP($Q507,'Threshold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Editor'!$E:$E,1))),stab,IF(OR(mtype=XLOOKUP(XLOOKUP($Q507,'Threshold Summary'!$Y:$Y,'Threshold Summary'!$K:$K,""),'Pokemon Editor'!$A:$A,'Pokemon Editor'!$C:$C,""),mtype=XLOOKUP(XLOOKUP($Q507,'Threshold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Chart'!$B$1:$S$1,0)))),base,IF(OR(cat="Status",pow=0),0,FLOOR(FLOOR(FLOOR((2*XLOOKUP($Q507,'Threshold Summary'!$Y:$Y,'Threshold Summary'!$L:$L,"")/5+2)*pow*atk/def)/50)+2)),modifier,stab*eff,AVERAGE(ARRAYFORMULA(FLOOR(base*modifier*SEQUENCE(16,1,85,1)/100)))),0)</f>
        <v/>
      </c>
      <c r="M507" s="3">
        <f>IFERROR(LET(mtype,XLOOKUP($D507,'Move Editor'!$B:$B,'Move Editor'!$C:$C,""),cat,XLOOKUP($D507,'Move Editor'!$B:$B,'Move Editor'!$D:$D,""),pow,XLOOKUP($D507,'Move Editor'!$B:$B,'Move Editor'!$E:$E,0),acc,XLOOKUP($D507,'Move Editor'!$B:$B,'Move Editor'!$F:$F,100),atk,IF(cat="Physical",FLOOR((FLOOR(((2*XLOOKUP(XLOOKUP($Q507,'Threshold Summary'!$Y:$Y,'Threshold Summary'!$K:$K,""),'Pokemon Editor'!$A:$A,'Pokemon Editor'!$F:$F,0)+31+FLOOR(XLOOKUP($Q507,'Threshold Summary'!$Y:$Y,'Threshold Summary'!$P:$P,"")/4))*XLOOKUP($Q507,'Threshold Summary'!$Y:$Y,'Threshold Summary'!$L:$L,""))/100)+5)*XLOOKUP(XLOOKUP($Q507,'Threshold Summary'!$Y:$Y,'Threshold Summary'!$M:$M,""),'Nature Editor'!$A:$A,'Nature Editor'!$B:$B,1)),FLOOR((FLOOR(((2*XLOOKUP(XLOOKUP($Q507,'Threshold Summary'!$Y:$Y,'Threshold Summary'!$K:$K,""),'Pokemon Editor'!$A:$A,'Pokemon Editor'!$H:$H,0)+31+FLOOR(XLOOKUP($Q507,'Threshold Summary'!$Y:$Y,'Threshold Summary'!$R:$R,"")/4))*XLOOKUP($Q507,'Threshold Summary'!$Y:$Y,'Threshold Summary'!$L:$L,""))/100)+5)*XLOOKUP(XLOOKUP($Q507,'Threshold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Editor'!$E:$E,1))),stab,IF(OR(mtype=XLOOKUP(XLOOKUP($Q507,'Threshold Summary'!$Y:$Y,'Threshold Summary'!$K:$K,""),'Pokemon Editor'!$A:$A,'Pokemon Editor'!$C:$C,""),mtype=XLOOKUP(XLOOKUP($Q507,'Threshold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Chart'!$B$1:$S$1,0)))),base,IF(OR(cat="Status",pow=0),0,FLOOR(FLOOR(FLOOR((2*XLOOKUP($Q507,'Threshold Summary'!$Y:$Y,'Threshold Summary'!$L:$L,"")/5+2)*pow*atk/def)/50)+2)),modifier,stab*eff,AVERAGE(ARRAYFORMULA(FLOOR(base*modifier*SEQUENCE(16,1,85,1)/100)))*MIN(1,acc/100)),0)</f>
        <v/>
      </c>
      <c r="N507" s="4">
        <f>IFERROR(LET(mtype,XLOOKUP($D507,'Move Editor'!$B:$B,'Move Editor'!$C:$C,""),cat,XLOOKUP($D507,'Move Editor'!$B:$B,'Move Editor'!$D:$D,""),pow,XLOOKUP($D507,'Move Editor'!$B:$B,'Move Editor'!$E:$E,0),acc,XLOOKUP($D507,'Move Editor'!$B:$B,'Move Editor'!$F:$F,100),atk,IF(cat="Physical",FLOOR((FLOOR(((2*XLOOKUP(XLOOKUP($Q507,'Threshold Summary'!$Y:$Y,'Threshold Summary'!$K:$K,""),'Pokemon Editor'!$A:$A,'Pokemon Editor'!$F:$F,0)+31+FLOOR(XLOOKUP($Q507,'Threshold Summary'!$Y:$Y,'Threshold Summary'!$P:$P,"")/4))*XLOOKUP($Q507,'Threshold Summary'!$Y:$Y,'Threshold Summary'!$L:$L,""))/100)+5)*XLOOKUP(XLOOKUP($Q507,'Threshold Summary'!$Y:$Y,'Threshold Summary'!$M:$M,""),'Nature Editor'!$A:$A,'Nature Editor'!$B:$B,1)),FLOOR((FLOOR(((2*XLOOKUP(XLOOKUP($Q507,'Threshold Summary'!$Y:$Y,'Threshold Summary'!$K:$K,""),'Pokemon Editor'!$A:$A,'Pokemon Editor'!$H:$H,0)+31+FLOOR(XLOOKUP($Q507,'Threshold Summary'!$Y:$Y,'Threshold Summary'!$R:$R,"")/4))*XLOOKUP($Q507,'Threshold Summary'!$Y:$Y,'Threshold Summary'!$L:$L,""))/100)+5)*XLOOKUP(XLOOKUP($Q507,'Threshold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Editor'!$E:$E,1))),stab,IF(OR(mtype=XLOOKUP(XLOOKUP($Q507,'Threshold Summary'!$Y:$Y,'Threshold Summary'!$K:$K,""),'Pokemon Editor'!$A:$A,'Pokemon Editor'!$C:$C,""),mtype=XLOOKUP(XLOOKUP($Q507,'Threshold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Chart'!$B$1:$S$1,0)))),base,IF(OR(cat="Status",pow=0),0,FLOOR(FLOOR(FLOOR((2*XLOOKUP($Q507,'Threshold Summary'!$Y:$Y,'Threshold Summary'!$L:$L,"")/5+2)*pow*atk/def)/50)+2)),modifier,stab*eff,AVERAGE(ARRAYFORMULA(FLOOR(base*modifier*SEQUENCE(16,1,85,1)/100)))/(FLOOR(((2*XLOOKUP('Boss Editor'!$C$4,'Pokemon Editor'!$A:$A,'Pokemon Editor'!$E:$E,0)+31+FLOOR('Boss Editor'!$G$4/4))*'Boss Editor'!$D$4)/100)+'Boss Editor'!$D$4+10)),0)</f>
        <v/>
      </c>
      <c r="O507" s="3">
        <f>IF(N507&gt;=1,"OHKO",IF(N507&gt;=0.5,"2HKO",IF(N507&gt;=0.333,"3HKO",IF(N507&gt;=0.25,"4HKO","5HKO+"))))</f>
        <v/>
      </c>
      <c r="P507" s="3" t="inlineStr">
        <is>
          <t>Live from editable databases</t>
        </is>
      </c>
      <c r="Q507" s="3" t="inlineStr">
        <is>
          <t>SPECIES_VENIPEDE</t>
        </is>
      </c>
      <c r="R507" s="3" t="n">
        <v>26</v>
      </c>
    </row>
    <row r="508">
      <c r="A508" s="3">
        <f>XLOOKUP($Q508,'Threshold Summary'!$Y:$Y,'Threshold Summary'!$A:$A,"")</f>
        <v/>
      </c>
      <c r="B508" s="3">
        <f>XLOOKUP($Q508,'Threshold Summary'!$Y:$Y,'Threshold Summary'!$M:$M,"")</f>
        <v/>
      </c>
      <c r="C508" s="3">
        <f>XLOOKUP($Q508,'Threshold Summary'!$Y:$Y,'Threshold Summary'!$N:$N,"")</f>
        <v/>
      </c>
      <c r="D508" s="3">
        <f>IFERROR(INDEX(FILTER('Learnset Editor'!$D$2:$D,'Learnset Editor'!$A$2:$A=XLOOKUP($Q508,'Threshold Summary'!$Y:$Y,'Threshold Summary'!$K:$K,""),'Learnset Editor'!$C$2:$C&lt;=XLOOKUP($Q508,'Threshold Summary'!$Y:$Y,'Threshold Summary'!$L:$L,"")),$R508),"")</f>
        <v/>
      </c>
      <c r="E508" s="3">
        <f>XLOOKUP(D508,'Move Editor'!$B:$B,'Move Editor'!$C:$C,"")</f>
        <v/>
      </c>
      <c r="F508" s="3">
        <f>XLOOKUP(D508,'Move Editor'!$B:$B,'Move Editor'!$D:$D,"")</f>
        <v/>
      </c>
      <c r="G508" s="3">
        <f>XLOOKUP(D508,'Move Editor'!$B:$B,'Move Editor'!$E:$E,0)</f>
        <v/>
      </c>
      <c r="H508" s="3">
        <f>XLOOKUP(D508,'Move Editor'!$B:$B,'Move Editor'!$F:$F,0)</f>
        <v/>
      </c>
      <c r="I508" s="3">
        <f>(INDEX('Type Chart'!$B:$S,MATCH(E508,'Type Chart'!$A:$A,0),MATCH(XLOOKUP('Boss Editor'!$C$4,'Pokemon Editor'!$A:$A,'Pokemon Editor'!$C:$C,""),'Type Chart'!$B$1:$S$1,0))*IF(XLOOKUP('Boss Editor'!$C$4,'Pokemon Editor'!$A:$A,'Pokemon Editor'!$D:$D,"")="",1,INDEX('Type Chart'!$B:$S,MATCH(E508,'Type Chart'!$A:$A,0),MATCH(XLOOKUP('Boss Editor'!$C$4,'Pokemon Editor'!$A:$A,'Pokemon Editor'!$D:$D,""),'Type Chart'!$B$1:$S$1,0))))</f>
        <v/>
      </c>
      <c r="J508" s="3">
        <f>IFERROR(LET(mtype,XLOOKUP($D508,'Move Editor'!$B:$B,'Move Editor'!$C:$C,""),cat,XLOOKUP($D508,'Move Editor'!$B:$B,'Move Editor'!$D:$D,""),pow,XLOOKUP($D508,'Move Editor'!$B:$B,'Move Editor'!$E:$E,0),acc,XLOOKUP($D508,'Move Editor'!$B:$B,'Move Editor'!$F:$F,100),atk,IF(cat="Physical",FLOOR((FLOOR(((2*XLOOKUP(XLOOKUP($Q508,'Threshold Summary'!$Y:$Y,'Threshold Summary'!$K:$K,""),'Pokemon Editor'!$A:$A,'Pokemon Editor'!$F:$F,0)+31+FLOOR(XLOOKUP($Q508,'Threshold Summary'!$Y:$Y,'Threshold Summary'!$P:$P,"")/4))*XLOOKUP($Q508,'Threshold Summary'!$Y:$Y,'Threshold Summary'!$L:$L,""))/100)+5)*XLOOKUP(XLOOKUP($Q508,'Threshold Summary'!$Y:$Y,'Threshold Summary'!$M:$M,""),'Nature Editor'!$A:$A,'Nature Editor'!$B:$B,1)),FLOOR((FLOOR(((2*XLOOKUP(XLOOKUP($Q508,'Threshold Summary'!$Y:$Y,'Threshold Summary'!$K:$K,""),'Pokemon Editor'!$A:$A,'Pokemon Editor'!$H:$H,0)+31+FLOOR(XLOOKUP($Q508,'Threshold Summary'!$Y:$Y,'Threshold Summary'!$R:$R,"")/4))*XLOOKUP($Q508,'Threshold Summary'!$Y:$Y,'Threshold Summary'!$L:$L,""))/100)+5)*XLOOKUP(XLOOKUP($Q508,'Threshold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Editor'!$E:$E,1))),stab,IF(OR(mtype=XLOOKUP(XLOOKUP($Q508,'Threshold Summary'!$Y:$Y,'Threshold Summary'!$K:$K,""),'Pokemon Editor'!$A:$A,'Pokemon Editor'!$C:$C,""),mtype=XLOOKUP(XLOOKUP($Q508,'Threshold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Chart'!$B$1:$S$1,0)))),base,IF(OR(cat="Status",pow=0),0,FLOOR(FLOOR(FLOOR((2*XLOOKUP($Q508,'Threshold Summary'!$Y:$Y,'Threshold Summary'!$L:$L,"")/5+2)*pow*atk/def)/50)+2)),modifier,stab*eff,FLOOR(base*modifier*0.85)),0)</f>
        <v/>
      </c>
      <c r="K508" s="3">
        <f>IFERROR(LET(mtype,XLOOKUP($D508,'Move Editor'!$B:$B,'Move Editor'!$C:$C,""),cat,XLOOKUP($D508,'Move Editor'!$B:$B,'Move Editor'!$D:$D,""),pow,XLOOKUP($D508,'Move Editor'!$B:$B,'Move Editor'!$E:$E,0),acc,XLOOKUP($D508,'Move Editor'!$B:$B,'Move Editor'!$F:$F,100),atk,IF(cat="Physical",FLOOR((FLOOR(((2*XLOOKUP(XLOOKUP($Q508,'Threshold Summary'!$Y:$Y,'Threshold Summary'!$K:$K,""),'Pokemon Editor'!$A:$A,'Pokemon Editor'!$F:$F,0)+31+FLOOR(XLOOKUP($Q508,'Threshold Summary'!$Y:$Y,'Threshold Summary'!$P:$P,"")/4))*XLOOKUP($Q508,'Threshold Summary'!$Y:$Y,'Threshold Summary'!$L:$L,""))/100)+5)*XLOOKUP(XLOOKUP($Q508,'Threshold Summary'!$Y:$Y,'Threshold Summary'!$M:$M,""),'Nature Editor'!$A:$A,'Nature Editor'!$B:$B,1)),FLOOR((FLOOR(((2*XLOOKUP(XLOOKUP($Q508,'Threshold Summary'!$Y:$Y,'Threshold Summary'!$K:$K,""),'Pokemon Editor'!$A:$A,'Pokemon Editor'!$H:$H,0)+31+FLOOR(XLOOKUP($Q508,'Threshold Summary'!$Y:$Y,'Threshold Summary'!$R:$R,"")/4))*XLOOKUP($Q508,'Threshold Summary'!$Y:$Y,'Threshold Summary'!$L:$L,""))/100)+5)*XLOOKUP(XLOOKUP($Q508,'Threshold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Editor'!$E:$E,1))),stab,IF(OR(mtype=XLOOKUP(XLOOKUP($Q508,'Threshold Summary'!$Y:$Y,'Threshold Summary'!$K:$K,""),'Pokemon Editor'!$A:$A,'Pokemon Editor'!$C:$C,""),mtype=XLOOKUP(XLOOKUP($Q508,'Threshold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Chart'!$B$1:$S$1,0)))),base,IF(OR(cat="Status",pow=0),0,FLOOR(FLOOR(FLOOR((2*XLOOKUP($Q508,'Threshold Summary'!$Y:$Y,'Threshold Summary'!$L:$L,"")/5+2)*pow*atk/def)/50)+2)),modifier,stab*eff,FLOOR(base*modifier)),0)</f>
        <v/>
      </c>
      <c r="L508" s="3">
        <f>IFERROR(LET(mtype,XLOOKUP($D508,'Move Editor'!$B:$B,'Move Editor'!$C:$C,""),cat,XLOOKUP($D508,'Move Editor'!$B:$B,'Move Editor'!$D:$D,""),pow,XLOOKUP($D508,'Move Editor'!$B:$B,'Move Editor'!$E:$E,0),acc,XLOOKUP($D508,'Move Editor'!$B:$B,'Move Editor'!$F:$F,100),atk,IF(cat="Physical",FLOOR((FLOOR(((2*XLOOKUP(XLOOKUP($Q508,'Threshold Summary'!$Y:$Y,'Threshold Summary'!$K:$K,""),'Pokemon Editor'!$A:$A,'Pokemon Editor'!$F:$F,0)+31+FLOOR(XLOOKUP($Q508,'Threshold Summary'!$Y:$Y,'Threshold Summary'!$P:$P,"")/4))*XLOOKUP($Q508,'Threshold Summary'!$Y:$Y,'Threshold Summary'!$L:$L,""))/100)+5)*XLOOKUP(XLOOKUP($Q508,'Threshold Summary'!$Y:$Y,'Threshold Summary'!$M:$M,""),'Nature Editor'!$A:$A,'Nature Editor'!$B:$B,1)),FLOOR((FLOOR(((2*XLOOKUP(XLOOKUP($Q508,'Threshold Summary'!$Y:$Y,'Threshold Summary'!$K:$K,""),'Pokemon Editor'!$A:$A,'Pokemon Editor'!$H:$H,0)+31+FLOOR(XLOOKUP($Q508,'Threshold Summary'!$Y:$Y,'Threshold Summary'!$R:$R,"")/4))*XLOOKUP($Q508,'Threshold Summary'!$Y:$Y,'Threshold Summary'!$L:$L,""))/100)+5)*XLOOKUP(XLOOKUP($Q508,'Threshold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Editor'!$E:$E,1))),stab,IF(OR(mtype=XLOOKUP(XLOOKUP($Q508,'Threshold Summary'!$Y:$Y,'Threshold Summary'!$K:$K,""),'Pokemon Editor'!$A:$A,'Pokemon Editor'!$C:$C,""),mtype=XLOOKUP(XLOOKUP($Q508,'Threshold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Chart'!$B$1:$S$1,0)))),base,IF(OR(cat="Status",pow=0),0,FLOOR(FLOOR(FLOOR((2*XLOOKUP($Q508,'Threshold Summary'!$Y:$Y,'Threshold Summary'!$L:$L,"")/5+2)*pow*atk/def)/50)+2)),modifier,stab*eff,AVERAGE(ARRAYFORMULA(FLOOR(base*modifier*SEQUENCE(16,1,85,1)/100)))),0)</f>
        <v/>
      </c>
      <c r="M508" s="3">
        <f>IFERROR(LET(mtype,XLOOKUP($D508,'Move Editor'!$B:$B,'Move Editor'!$C:$C,""),cat,XLOOKUP($D508,'Move Editor'!$B:$B,'Move Editor'!$D:$D,""),pow,XLOOKUP($D508,'Move Editor'!$B:$B,'Move Editor'!$E:$E,0),acc,XLOOKUP($D508,'Move Editor'!$B:$B,'Move Editor'!$F:$F,100),atk,IF(cat="Physical",FLOOR((FLOOR(((2*XLOOKUP(XLOOKUP($Q508,'Threshold Summary'!$Y:$Y,'Threshold Summary'!$K:$K,""),'Pokemon Editor'!$A:$A,'Pokemon Editor'!$F:$F,0)+31+FLOOR(XLOOKUP($Q508,'Threshold Summary'!$Y:$Y,'Threshold Summary'!$P:$P,"")/4))*XLOOKUP($Q508,'Threshold Summary'!$Y:$Y,'Threshold Summary'!$L:$L,""))/100)+5)*XLOOKUP(XLOOKUP($Q508,'Threshold Summary'!$Y:$Y,'Threshold Summary'!$M:$M,""),'Nature Editor'!$A:$A,'Nature Editor'!$B:$B,1)),FLOOR((FLOOR(((2*XLOOKUP(XLOOKUP($Q508,'Threshold Summary'!$Y:$Y,'Threshold Summary'!$K:$K,""),'Pokemon Editor'!$A:$A,'Pokemon Editor'!$H:$H,0)+31+FLOOR(XLOOKUP($Q508,'Threshold Summary'!$Y:$Y,'Threshold Summary'!$R:$R,"")/4))*XLOOKUP($Q508,'Threshold Summary'!$Y:$Y,'Threshold Summary'!$L:$L,""))/100)+5)*XLOOKUP(XLOOKUP($Q508,'Threshold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Editor'!$E:$E,1))),stab,IF(OR(mtype=XLOOKUP(XLOOKUP($Q508,'Threshold Summary'!$Y:$Y,'Threshold Summary'!$K:$K,""),'Pokemon Editor'!$A:$A,'Pokemon Editor'!$C:$C,""),mtype=XLOOKUP(XLOOKUP($Q508,'Threshold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Chart'!$B$1:$S$1,0)))),base,IF(OR(cat="Status",pow=0),0,FLOOR(FLOOR(FLOOR((2*XLOOKUP($Q508,'Threshold Summary'!$Y:$Y,'Threshold Summary'!$L:$L,"")/5+2)*pow*atk/def)/50)+2)),modifier,stab*eff,AVERAGE(ARRAYFORMULA(FLOOR(base*modifier*SEQUENCE(16,1,85,1)/100)))*MIN(1,acc/100)),0)</f>
        <v/>
      </c>
      <c r="N508" s="4">
        <f>IFERROR(LET(mtype,XLOOKUP($D508,'Move Editor'!$B:$B,'Move Editor'!$C:$C,""),cat,XLOOKUP($D508,'Move Editor'!$B:$B,'Move Editor'!$D:$D,""),pow,XLOOKUP($D508,'Move Editor'!$B:$B,'Move Editor'!$E:$E,0),acc,XLOOKUP($D508,'Move Editor'!$B:$B,'Move Editor'!$F:$F,100),atk,IF(cat="Physical",FLOOR((FLOOR(((2*XLOOKUP(XLOOKUP($Q508,'Threshold Summary'!$Y:$Y,'Threshold Summary'!$K:$K,""),'Pokemon Editor'!$A:$A,'Pokemon Editor'!$F:$F,0)+31+FLOOR(XLOOKUP($Q508,'Threshold Summary'!$Y:$Y,'Threshold Summary'!$P:$P,"")/4))*XLOOKUP($Q508,'Threshold Summary'!$Y:$Y,'Threshold Summary'!$L:$L,""))/100)+5)*XLOOKUP(XLOOKUP($Q508,'Threshold Summary'!$Y:$Y,'Threshold Summary'!$M:$M,""),'Nature Editor'!$A:$A,'Nature Editor'!$B:$B,1)),FLOOR((FLOOR(((2*XLOOKUP(XLOOKUP($Q508,'Threshold Summary'!$Y:$Y,'Threshold Summary'!$K:$K,""),'Pokemon Editor'!$A:$A,'Pokemon Editor'!$H:$H,0)+31+FLOOR(XLOOKUP($Q508,'Threshold Summary'!$Y:$Y,'Threshold Summary'!$R:$R,"")/4))*XLOOKUP($Q508,'Threshold Summary'!$Y:$Y,'Threshold Summary'!$L:$L,""))/100)+5)*XLOOKUP(XLOOKUP($Q508,'Threshold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Editor'!$E:$E,1))),stab,IF(OR(mtype=XLOOKUP(XLOOKUP($Q508,'Threshold Summary'!$Y:$Y,'Threshold Summary'!$K:$K,""),'Pokemon Editor'!$A:$A,'Pokemon Editor'!$C:$C,""),mtype=XLOOKUP(XLOOKUP($Q508,'Threshold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Chart'!$B$1:$S$1,0)))),base,IF(OR(cat="Status",pow=0),0,FLOOR(FLOOR(FLOOR((2*XLOOKUP($Q508,'Threshold Summary'!$Y:$Y,'Threshold Summary'!$L:$L,"")/5+2)*pow*atk/def)/50)+2)),modifier,stab*eff,AVERAGE(ARRAYFORMULA(FLOOR(base*modifier*SEQUENCE(16,1,85,1)/100)))/(FLOOR(((2*XLOOKUP('Boss Editor'!$C$4,'Pokemon Editor'!$A:$A,'Pokemon Editor'!$E:$E,0)+31+FLOOR('Boss Editor'!$G$4/4))*'Boss Editor'!$D$4)/100)+'Boss Editor'!$D$4+10)),0)</f>
        <v/>
      </c>
      <c r="O508" s="3">
        <f>IF(N508&gt;=1,"OHKO",IF(N508&gt;=0.5,"2HKO",IF(N508&gt;=0.333,"3HKO",IF(N508&gt;=0.25,"4HKO","5HKO+"))))</f>
        <v/>
      </c>
      <c r="P508" s="3" t="inlineStr">
        <is>
          <t>Live from editable databases</t>
        </is>
      </c>
      <c r="Q508" s="3" t="inlineStr">
        <is>
          <t>SPECIES_VENIPEDE</t>
        </is>
      </c>
      <c r="R508" s="3" t="n">
        <v>27</v>
      </c>
    </row>
    <row r="509">
      <c r="A509" s="3">
        <f>XLOOKUP($Q509,'Threshold Summary'!$Y:$Y,'Threshold Summary'!$A:$A,"")</f>
        <v/>
      </c>
      <c r="B509" s="3">
        <f>XLOOKUP($Q509,'Threshold Summary'!$Y:$Y,'Threshold Summary'!$M:$M,"")</f>
        <v/>
      </c>
      <c r="C509" s="3">
        <f>XLOOKUP($Q509,'Threshold Summary'!$Y:$Y,'Threshold Summary'!$N:$N,"")</f>
        <v/>
      </c>
      <c r="D509" s="3">
        <f>IFERROR(INDEX(FILTER('Learnset Editor'!$D$2:$D,'Learnset Editor'!$A$2:$A=XLOOKUP($Q509,'Threshold Summary'!$Y:$Y,'Threshold Summary'!$K:$K,""),'Learnset Editor'!$C$2:$C&lt;=XLOOKUP($Q509,'Threshold Summary'!$Y:$Y,'Threshold Summary'!$L:$L,"")),$R509),"")</f>
        <v/>
      </c>
      <c r="E509" s="3">
        <f>XLOOKUP(D509,'Move Editor'!$B:$B,'Move Editor'!$C:$C,"")</f>
        <v/>
      </c>
      <c r="F509" s="3">
        <f>XLOOKUP(D509,'Move Editor'!$B:$B,'Move Editor'!$D:$D,"")</f>
        <v/>
      </c>
      <c r="G509" s="3">
        <f>XLOOKUP(D509,'Move Editor'!$B:$B,'Move Editor'!$E:$E,0)</f>
        <v/>
      </c>
      <c r="H509" s="3">
        <f>XLOOKUP(D509,'Move Editor'!$B:$B,'Move Editor'!$F:$F,0)</f>
        <v/>
      </c>
      <c r="I509" s="3">
        <f>(INDEX('Type Chart'!$B:$S,MATCH(E509,'Type Chart'!$A:$A,0),MATCH(XLOOKUP('Boss Editor'!$C$4,'Pokemon Editor'!$A:$A,'Pokemon Editor'!$C:$C,""),'Type Chart'!$B$1:$S$1,0))*IF(XLOOKUP('Boss Editor'!$C$4,'Pokemon Editor'!$A:$A,'Pokemon Editor'!$D:$D,"")="",1,INDEX('Type Chart'!$B:$S,MATCH(E509,'Type Chart'!$A:$A,0),MATCH(XLOOKUP('Boss Editor'!$C$4,'Pokemon Editor'!$A:$A,'Pokemon Editor'!$D:$D,""),'Type Chart'!$B$1:$S$1,0))))</f>
        <v/>
      </c>
      <c r="J509" s="3">
        <f>IFERROR(LET(mtype,XLOOKUP($D509,'Move Editor'!$B:$B,'Move Editor'!$C:$C,""),cat,XLOOKUP($D509,'Move Editor'!$B:$B,'Move Editor'!$D:$D,""),pow,XLOOKUP($D509,'Move Editor'!$B:$B,'Move Editor'!$E:$E,0),acc,XLOOKUP($D509,'Move Editor'!$B:$B,'Move Editor'!$F:$F,100),atk,IF(cat="Physical",FLOOR((FLOOR(((2*XLOOKUP(XLOOKUP($Q509,'Threshold Summary'!$Y:$Y,'Threshold Summary'!$K:$K,""),'Pokemon Editor'!$A:$A,'Pokemon Editor'!$F:$F,0)+31+FLOOR(XLOOKUP($Q509,'Threshold Summary'!$Y:$Y,'Threshold Summary'!$P:$P,"")/4))*XLOOKUP($Q509,'Threshold Summary'!$Y:$Y,'Threshold Summary'!$L:$L,""))/100)+5)*XLOOKUP(XLOOKUP($Q509,'Threshold Summary'!$Y:$Y,'Threshold Summary'!$M:$M,""),'Nature Editor'!$A:$A,'Nature Editor'!$B:$B,1)),FLOOR((FLOOR(((2*XLOOKUP(XLOOKUP($Q509,'Threshold Summary'!$Y:$Y,'Threshold Summary'!$K:$K,""),'Pokemon Editor'!$A:$A,'Pokemon Editor'!$H:$H,0)+31+FLOOR(XLOOKUP($Q509,'Threshold Summary'!$Y:$Y,'Threshold Summary'!$R:$R,"")/4))*XLOOKUP($Q509,'Threshold Summary'!$Y:$Y,'Threshold Summary'!$L:$L,""))/100)+5)*XLOOKUP(XLOOKUP($Q509,'Threshold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Editor'!$E:$E,1))),stab,IF(OR(mtype=XLOOKUP(XLOOKUP($Q509,'Threshold Summary'!$Y:$Y,'Threshold Summary'!$K:$K,""),'Pokemon Editor'!$A:$A,'Pokemon Editor'!$C:$C,""),mtype=XLOOKUP(XLOOKUP($Q509,'Threshold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Chart'!$B$1:$S$1,0)))),base,IF(OR(cat="Status",pow=0),0,FLOOR(FLOOR(FLOOR((2*XLOOKUP($Q509,'Threshold Summary'!$Y:$Y,'Threshold Summary'!$L:$L,"")/5+2)*pow*atk/def)/50)+2)),modifier,stab*eff,FLOOR(base*modifier*0.85)),0)</f>
        <v/>
      </c>
      <c r="K509" s="3">
        <f>IFERROR(LET(mtype,XLOOKUP($D509,'Move Editor'!$B:$B,'Move Editor'!$C:$C,""),cat,XLOOKUP($D509,'Move Editor'!$B:$B,'Move Editor'!$D:$D,""),pow,XLOOKUP($D509,'Move Editor'!$B:$B,'Move Editor'!$E:$E,0),acc,XLOOKUP($D509,'Move Editor'!$B:$B,'Move Editor'!$F:$F,100),atk,IF(cat="Physical",FLOOR((FLOOR(((2*XLOOKUP(XLOOKUP($Q509,'Threshold Summary'!$Y:$Y,'Threshold Summary'!$K:$K,""),'Pokemon Editor'!$A:$A,'Pokemon Editor'!$F:$F,0)+31+FLOOR(XLOOKUP($Q509,'Threshold Summary'!$Y:$Y,'Threshold Summary'!$P:$P,"")/4))*XLOOKUP($Q509,'Threshold Summary'!$Y:$Y,'Threshold Summary'!$L:$L,""))/100)+5)*XLOOKUP(XLOOKUP($Q509,'Threshold Summary'!$Y:$Y,'Threshold Summary'!$M:$M,""),'Nature Editor'!$A:$A,'Nature Editor'!$B:$B,1)),FLOOR((FLOOR(((2*XLOOKUP(XLOOKUP($Q509,'Threshold Summary'!$Y:$Y,'Threshold Summary'!$K:$K,""),'Pokemon Editor'!$A:$A,'Pokemon Editor'!$H:$H,0)+31+FLOOR(XLOOKUP($Q509,'Threshold Summary'!$Y:$Y,'Threshold Summary'!$R:$R,"")/4))*XLOOKUP($Q509,'Threshold Summary'!$Y:$Y,'Threshold Summary'!$L:$L,""))/100)+5)*XLOOKUP(XLOOKUP($Q509,'Threshold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Editor'!$E:$E,1))),stab,IF(OR(mtype=XLOOKUP(XLOOKUP($Q509,'Threshold Summary'!$Y:$Y,'Threshold Summary'!$K:$K,""),'Pokemon Editor'!$A:$A,'Pokemon Editor'!$C:$C,""),mtype=XLOOKUP(XLOOKUP($Q509,'Threshold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Chart'!$B$1:$S$1,0)))),base,IF(OR(cat="Status",pow=0),0,FLOOR(FLOOR(FLOOR((2*XLOOKUP($Q509,'Threshold Summary'!$Y:$Y,'Threshold Summary'!$L:$L,"")/5+2)*pow*atk/def)/50)+2)),modifier,stab*eff,FLOOR(base*modifier)),0)</f>
        <v/>
      </c>
      <c r="L509" s="3">
        <f>IFERROR(LET(mtype,XLOOKUP($D509,'Move Editor'!$B:$B,'Move Editor'!$C:$C,""),cat,XLOOKUP($D509,'Move Editor'!$B:$B,'Move Editor'!$D:$D,""),pow,XLOOKUP($D509,'Move Editor'!$B:$B,'Move Editor'!$E:$E,0),acc,XLOOKUP($D509,'Move Editor'!$B:$B,'Move Editor'!$F:$F,100),atk,IF(cat="Physical",FLOOR((FLOOR(((2*XLOOKUP(XLOOKUP($Q509,'Threshold Summary'!$Y:$Y,'Threshold Summary'!$K:$K,""),'Pokemon Editor'!$A:$A,'Pokemon Editor'!$F:$F,0)+31+FLOOR(XLOOKUP($Q509,'Threshold Summary'!$Y:$Y,'Threshold Summary'!$P:$P,"")/4))*XLOOKUP($Q509,'Threshold Summary'!$Y:$Y,'Threshold Summary'!$L:$L,""))/100)+5)*XLOOKUP(XLOOKUP($Q509,'Threshold Summary'!$Y:$Y,'Threshold Summary'!$M:$M,""),'Nature Editor'!$A:$A,'Nature Editor'!$B:$B,1)),FLOOR((FLOOR(((2*XLOOKUP(XLOOKUP($Q509,'Threshold Summary'!$Y:$Y,'Threshold Summary'!$K:$K,""),'Pokemon Editor'!$A:$A,'Pokemon Editor'!$H:$H,0)+31+FLOOR(XLOOKUP($Q509,'Threshold Summary'!$Y:$Y,'Threshold Summary'!$R:$R,"")/4))*XLOOKUP($Q509,'Threshold Summary'!$Y:$Y,'Threshold Summary'!$L:$L,""))/100)+5)*XLOOKUP(XLOOKUP($Q509,'Threshold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Editor'!$E:$E,1))),stab,IF(OR(mtype=XLOOKUP(XLOOKUP($Q509,'Threshold Summary'!$Y:$Y,'Threshold Summary'!$K:$K,""),'Pokemon Editor'!$A:$A,'Pokemon Editor'!$C:$C,""),mtype=XLOOKUP(XLOOKUP($Q509,'Threshold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Chart'!$B$1:$S$1,0)))),base,IF(OR(cat="Status",pow=0),0,FLOOR(FLOOR(FLOOR((2*XLOOKUP($Q509,'Threshold Summary'!$Y:$Y,'Threshold Summary'!$L:$L,"")/5+2)*pow*atk/def)/50)+2)),modifier,stab*eff,AVERAGE(ARRAYFORMULA(FLOOR(base*modifier*SEQUENCE(16,1,85,1)/100)))),0)</f>
        <v/>
      </c>
      <c r="M509" s="3">
        <f>IFERROR(LET(mtype,XLOOKUP($D509,'Move Editor'!$B:$B,'Move Editor'!$C:$C,""),cat,XLOOKUP($D509,'Move Editor'!$B:$B,'Move Editor'!$D:$D,""),pow,XLOOKUP($D509,'Move Editor'!$B:$B,'Move Editor'!$E:$E,0),acc,XLOOKUP($D509,'Move Editor'!$B:$B,'Move Editor'!$F:$F,100),atk,IF(cat="Physical",FLOOR((FLOOR(((2*XLOOKUP(XLOOKUP($Q509,'Threshold Summary'!$Y:$Y,'Threshold Summary'!$K:$K,""),'Pokemon Editor'!$A:$A,'Pokemon Editor'!$F:$F,0)+31+FLOOR(XLOOKUP($Q509,'Threshold Summary'!$Y:$Y,'Threshold Summary'!$P:$P,"")/4))*XLOOKUP($Q509,'Threshold Summary'!$Y:$Y,'Threshold Summary'!$L:$L,""))/100)+5)*XLOOKUP(XLOOKUP($Q509,'Threshold Summary'!$Y:$Y,'Threshold Summary'!$M:$M,""),'Nature Editor'!$A:$A,'Nature Editor'!$B:$B,1)),FLOOR((FLOOR(((2*XLOOKUP(XLOOKUP($Q509,'Threshold Summary'!$Y:$Y,'Threshold Summary'!$K:$K,""),'Pokemon Editor'!$A:$A,'Pokemon Editor'!$H:$H,0)+31+FLOOR(XLOOKUP($Q509,'Threshold Summary'!$Y:$Y,'Threshold Summary'!$R:$R,"")/4))*XLOOKUP($Q509,'Threshold Summary'!$Y:$Y,'Threshold Summary'!$L:$L,""))/100)+5)*XLOOKUP(XLOOKUP($Q509,'Threshold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Editor'!$E:$E,1))),stab,IF(OR(mtype=XLOOKUP(XLOOKUP($Q509,'Threshold Summary'!$Y:$Y,'Threshold Summary'!$K:$K,""),'Pokemon Editor'!$A:$A,'Pokemon Editor'!$C:$C,""),mtype=XLOOKUP(XLOOKUP($Q509,'Threshold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Chart'!$B$1:$S$1,0)))),base,IF(OR(cat="Status",pow=0),0,FLOOR(FLOOR(FLOOR((2*XLOOKUP($Q509,'Threshold Summary'!$Y:$Y,'Threshold Summary'!$L:$L,"")/5+2)*pow*atk/def)/50)+2)),modifier,stab*eff,AVERAGE(ARRAYFORMULA(FLOOR(base*modifier*SEQUENCE(16,1,85,1)/100)))*MIN(1,acc/100)),0)</f>
        <v/>
      </c>
      <c r="N509" s="4">
        <f>IFERROR(LET(mtype,XLOOKUP($D509,'Move Editor'!$B:$B,'Move Editor'!$C:$C,""),cat,XLOOKUP($D509,'Move Editor'!$B:$B,'Move Editor'!$D:$D,""),pow,XLOOKUP($D509,'Move Editor'!$B:$B,'Move Editor'!$E:$E,0),acc,XLOOKUP($D509,'Move Editor'!$B:$B,'Move Editor'!$F:$F,100),atk,IF(cat="Physical",FLOOR((FLOOR(((2*XLOOKUP(XLOOKUP($Q509,'Threshold Summary'!$Y:$Y,'Threshold Summary'!$K:$K,""),'Pokemon Editor'!$A:$A,'Pokemon Editor'!$F:$F,0)+31+FLOOR(XLOOKUP($Q509,'Threshold Summary'!$Y:$Y,'Threshold Summary'!$P:$P,"")/4))*XLOOKUP($Q509,'Threshold Summary'!$Y:$Y,'Threshold Summary'!$L:$L,""))/100)+5)*XLOOKUP(XLOOKUP($Q509,'Threshold Summary'!$Y:$Y,'Threshold Summary'!$M:$M,""),'Nature Editor'!$A:$A,'Nature Editor'!$B:$B,1)),FLOOR((FLOOR(((2*XLOOKUP(XLOOKUP($Q509,'Threshold Summary'!$Y:$Y,'Threshold Summary'!$K:$K,""),'Pokemon Editor'!$A:$A,'Pokemon Editor'!$H:$H,0)+31+FLOOR(XLOOKUP($Q509,'Threshold Summary'!$Y:$Y,'Threshold Summary'!$R:$R,"")/4))*XLOOKUP($Q509,'Threshold Summary'!$Y:$Y,'Threshold Summary'!$L:$L,""))/100)+5)*XLOOKUP(XLOOKUP($Q509,'Threshold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Editor'!$E:$E,1))),stab,IF(OR(mtype=XLOOKUP(XLOOKUP($Q509,'Threshold Summary'!$Y:$Y,'Threshold Summary'!$K:$K,""),'Pokemon Editor'!$A:$A,'Pokemon Editor'!$C:$C,""),mtype=XLOOKUP(XLOOKUP($Q509,'Threshold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Chart'!$B$1:$S$1,0)))),base,IF(OR(cat="Status",pow=0),0,FLOOR(FLOOR(FLOOR((2*XLOOKUP($Q509,'Threshold Summary'!$Y:$Y,'Threshold Summary'!$L:$L,"")/5+2)*pow*atk/def)/50)+2)),modifier,stab*eff,AVERAGE(ARRAYFORMULA(FLOOR(base*modifier*SEQUENCE(16,1,85,1)/100)))/(FLOOR(((2*XLOOKUP('Boss Editor'!$C$4,'Pokemon Editor'!$A:$A,'Pokemon Editor'!$E:$E,0)+31+FLOOR('Boss Editor'!$G$4/4))*'Boss Editor'!$D$4)/100)+'Boss Editor'!$D$4+10)),0)</f>
        <v/>
      </c>
      <c r="O509" s="3">
        <f>IF(N509&gt;=1,"OHKO",IF(N509&gt;=0.5,"2HKO",IF(N509&gt;=0.333,"3HKO",IF(N509&gt;=0.25,"4HKO","5HKO+"))))</f>
        <v/>
      </c>
      <c r="P509" s="3" t="inlineStr">
        <is>
          <t>Live from editable databases</t>
        </is>
      </c>
      <c r="Q509" s="3" t="inlineStr">
        <is>
          <t>SPECIES_VENIPEDE</t>
        </is>
      </c>
      <c r="R509" s="3" t="n">
        <v>28</v>
      </c>
    </row>
    <row r="510">
      <c r="A510" s="3">
        <f>XLOOKUP($Q510,'Threshold Summary'!$Y:$Y,'Threshold Summary'!$A:$A,"")</f>
        <v/>
      </c>
      <c r="B510" s="3">
        <f>XLOOKUP($Q510,'Threshold Summary'!$Y:$Y,'Threshold Summary'!$M:$M,"")</f>
        <v/>
      </c>
      <c r="C510" s="3">
        <f>XLOOKUP($Q510,'Threshold Summary'!$Y:$Y,'Threshold Summary'!$N:$N,"")</f>
        <v/>
      </c>
      <c r="D510" s="3">
        <f>IFERROR(INDEX(FILTER('Learnset Editor'!$D$2:$D,'Learnset Editor'!$A$2:$A=XLOOKUP($Q510,'Threshold Summary'!$Y:$Y,'Threshold Summary'!$K:$K,""),'Learnset Editor'!$C$2:$C&lt;=XLOOKUP($Q510,'Threshold Summary'!$Y:$Y,'Threshold Summary'!$L:$L,"")),$R510),"")</f>
        <v/>
      </c>
      <c r="E510" s="3">
        <f>XLOOKUP(D510,'Move Editor'!$B:$B,'Move Editor'!$C:$C,"")</f>
        <v/>
      </c>
      <c r="F510" s="3">
        <f>XLOOKUP(D510,'Move Editor'!$B:$B,'Move Editor'!$D:$D,"")</f>
        <v/>
      </c>
      <c r="G510" s="3">
        <f>XLOOKUP(D510,'Move Editor'!$B:$B,'Move Editor'!$E:$E,0)</f>
        <v/>
      </c>
      <c r="H510" s="3">
        <f>XLOOKUP(D510,'Move Editor'!$B:$B,'Move Editor'!$F:$F,0)</f>
        <v/>
      </c>
      <c r="I510" s="3">
        <f>(INDEX('Type Chart'!$B:$S,MATCH(E510,'Type Chart'!$A:$A,0),MATCH(XLOOKUP('Boss Editor'!$C$4,'Pokemon Editor'!$A:$A,'Pokemon Editor'!$C:$C,""),'Type Chart'!$B$1:$S$1,0))*IF(XLOOKUP('Boss Editor'!$C$4,'Pokemon Editor'!$A:$A,'Pokemon Editor'!$D:$D,"")="",1,INDEX('Type Chart'!$B:$S,MATCH(E510,'Type Chart'!$A:$A,0),MATCH(XLOOKUP('Boss Editor'!$C$4,'Pokemon Editor'!$A:$A,'Pokemon Editor'!$D:$D,""),'Type Chart'!$B$1:$S$1,0))))</f>
        <v/>
      </c>
      <c r="J510" s="3">
        <f>IFERROR(LET(mtype,XLOOKUP($D510,'Move Editor'!$B:$B,'Move Editor'!$C:$C,""),cat,XLOOKUP($D510,'Move Editor'!$B:$B,'Move Editor'!$D:$D,""),pow,XLOOKUP($D510,'Move Editor'!$B:$B,'Move Editor'!$E:$E,0),acc,XLOOKUP($D510,'Move Editor'!$B:$B,'Move Editor'!$F:$F,100),atk,IF(cat="Physical",FLOOR((FLOOR(((2*XLOOKUP(XLOOKUP($Q510,'Threshold Summary'!$Y:$Y,'Threshold Summary'!$K:$K,""),'Pokemon Editor'!$A:$A,'Pokemon Editor'!$F:$F,0)+31+FLOOR(XLOOKUP($Q510,'Threshold Summary'!$Y:$Y,'Threshold Summary'!$P:$P,"")/4))*XLOOKUP($Q510,'Threshold Summary'!$Y:$Y,'Threshold Summary'!$L:$L,""))/100)+5)*XLOOKUP(XLOOKUP($Q510,'Threshold Summary'!$Y:$Y,'Threshold Summary'!$M:$M,""),'Nature Editor'!$A:$A,'Nature Editor'!$B:$B,1)),FLOOR((FLOOR(((2*XLOOKUP(XLOOKUP($Q510,'Threshold Summary'!$Y:$Y,'Threshold Summary'!$K:$K,""),'Pokemon Editor'!$A:$A,'Pokemon Editor'!$H:$H,0)+31+FLOOR(XLOOKUP($Q510,'Threshold Summary'!$Y:$Y,'Threshold Summary'!$R:$R,"")/4))*XLOOKUP($Q510,'Threshold Summary'!$Y:$Y,'Threshold Summary'!$L:$L,""))/100)+5)*XLOOKUP(XLOOKUP($Q510,'Threshold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Editor'!$E:$E,1))),stab,IF(OR(mtype=XLOOKUP(XLOOKUP($Q510,'Threshold Summary'!$Y:$Y,'Threshold Summary'!$K:$K,""),'Pokemon Editor'!$A:$A,'Pokemon Editor'!$C:$C,""),mtype=XLOOKUP(XLOOKUP($Q510,'Threshold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Chart'!$B$1:$S$1,0)))),base,IF(OR(cat="Status",pow=0),0,FLOOR(FLOOR(FLOOR((2*XLOOKUP($Q510,'Threshold Summary'!$Y:$Y,'Threshold Summary'!$L:$L,"")/5+2)*pow*atk/def)/50)+2)),modifier,stab*eff,FLOOR(base*modifier*0.85)),0)</f>
        <v/>
      </c>
      <c r="K510" s="3">
        <f>IFERROR(LET(mtype,XLOOKUP($D510,'Move Editor'!$B:$B,'Move Editor'!$C:$C,""),cat,XLOOKUP($D510,'Move Editor'!$B:$B,'Move Editor'!$D:$D,""),pow,XLOOKUP($D510,'Move Editor'!$B:$B,'Move Editor'!$E:$E,0),acc,XLOOKUP($D510,'Move Editor'!$B:$B,'Move Editor'!$F:$F,100),atk,IF(cat="Physical",FLOOR((FLOOR(((2*XLOOKUP(XLOOKUP($Q510,'Threshold Summary'!$Y:$Y,'Threshold Summary'!$K:$K,""),'Pokemon Editor'!$A:$A,'Pokemon Editor'!$F:$F,0)+31+FLOOR(XLOOKUP($Q510,'Threshold Summary'!$Y:$Y,'Threshold Summary'!$P:$P,"")/4))*XLOOKUP($Q510,'Threshold Summary'!$Y:$Y,'Threshold Summary'!$L:$L,""))/100)+5)*XLOOKUP(XLOOKUP($Q510,'Threshold Summary'!$Y:$Y,'Threshold Summary'!$M:$M,""),'Nature Editor'!$A:$A,'Nature Editor'!$B:$B,1)),FLOOR((FLOOR(((2*XLOOKUP(XLOOKUP($Q510,'Threshold Summary'!$Y:$Y,'Threshold Summary'!$K:$K,""),'Pokemon Editor'!$A:$A,'Pokemon Editor'!$H:$H,0)+31+FLOOR(XLOOKUP($Q510,'Threshold Summary'!$Y:$Y,'Threshold Summary'!$R:$R,"")/4))*XLOOKUP($Q510,'Threshold Summary'!$Y:$Y,'Threshold Summary'!$L:$L,""))/100)+5)*XLOOKUP(XLOOKUP($Q510,'Threshold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Editor'!$E:$E,1))),stab,IF(OR(mtype=XLOOKUP(XLOOKUP($Q510,'Threshold Summary'!$Y:$Y,'Threshold Summary'!$K:$K,""),'Pokemon Editor'!$A:$A,'Pokemon Editor'!$C:$C,""),mtype=XLOOKUP(XLOOKUP($Q510,'Threshold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Chart'!$B$1:$S$1,0)))),base,IF(OR(cat="Status",pow=0),0,FLOOR(FLOOR(FLOOR((2*XLOOKUP($Q510,'Threshold Summary'!$Y:$Y,'Threshold Summary'!$L:$L,"")/5+2)*pow*atk/def)/50)+2)),modifier,stab*eff,FLOOR(base*modifier)),0)</f>
        <v/>
      </c>
      <c r="L510" s="3">
        <f>IFERROR(LET(mtype,XLOOKUP($D510,'Move Editor'!$B:$B,'Move Editor'!$C:$C,""),cat,XLOOKUP($D510,'Move Editor'!$B:$B,'Move Editor'!$D:$D,""),pow,XLOOKUP($D510,'Move Editor'!$B:$B,'Move Editor'!$E:$E,0),acc,XLOOKUP($D510,'Move Editor'!$B:$B,'Move Editor'!$F:$F,100),atk,IF(cat="Physical",FLOOR((FLOOR(((2*XLOOKUP(XLOOKUP($Q510,'Threshold Summary'!$Y:$Y,'Threshold Summary'!$K:$K,""),'Pokemon Editor'!$A:$A,'Pokemon Editor'!$F:$F,0)+31+FLOOR(XLOOKUP($Q510,'Threshold Summary'!$Y:$Y,'Threshold Summary'!$P:$P,"")/4))*XLOOKUP($Q510,'Threshold Summary'!$Y:$Y,'Threshold Summary'!$L:$L,""))/100)+5)*XLOOKUP(XLOOKUP($Q510,'Threshold Summary'!$Y:$Y,'Threshold Summary'!$M:$M,""),'Nature Editor'!$A:$A,'Nature Editor'!$B:$B,1)),FLOOR((FLOOR(((2*XLOOKUP(XLOOKUP($Q510,'Threshold Summary'!$Y:$Y,'Threshold Summary'!$K:$K,""),'Pokemon Editor'!$A:$A,'Pokemon Editor'!$H:$H,0)+31+FLOOR(XLOOKUP($Q510,'Threshold Summary'!$Y:$Y,'Threshold Summary'!$R:$R,"")/4))*XLOOKUP($Q510,'Threshold Summary'!$Y:$Y,'Threshold Summary'!$L:$L,""))/100)+5)*XLOOKUP(XLOOKUP($Q510,'Threshold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Editor'!$E:$E,1))),stab,IF(OR(mtype=XLOOKUP(XLOOKUP($Q510,'Threshold Summary'!$Y:$Y,'Threshold Summary'!$K:$K,""),'Pokemon Editor'!$A:$A,'Pokemon Editor'!$C:$C,""),mtype=XLOOKUP(XLOOKUP($Q510,'Threshold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Chart'!$B$1:$S$1,0)))),base,IF(OR(cat="Status",pow=0),0,FLOOR(FLOOR(FLOOR((2*XLOOKUP($Q510,'Threshold Summary'!$Y:$Y,'Threshold Summary'!$L:$L,"")/5+2)*pow*atk/def)/50)+2)),modifier,stab*eff,AVERAGE(ARRAYFORMULA(FLOOR(base*modifier*SEQUENCE(16,1,85,1)/100)))),0)</f>
        <v/>
      </c>
      <c r="M510" s="3">
        <f>IFERROR(LET(mtype,XLOOKUP($D510,'Move Editor'!$B:$B,'Move Editor'!$C:$C,""),cat,XLOOKUP($D510,'Move Editor'!$B:$B,'Move Editor'!$D:$D,""),pow,XLOOKUP($D510,'Move Editor'!$B:$B,'Move Editor'!$E:$E,0),acc,XLOOKUP($D510,'Move Editor'!$B:$B,'Move Editor'!$F:$F,100),atk,IF(cat="Physical",FLOOR((FLOOR(((2*XLOOKUP(XLOOKUP($Q510,'Threshold Summary'!$Y:$Y,'Threshold Summary'!$K:$K,""),'Pokemon Editor'!$A:$A,'Pokemon Editor'!$F:$F,0)+31+FLOOR(XLOOKUP($Q510,'Threshold Summary'!$Y:$Y,'Threshold Summary'!$P:$P,"")/4))*XLOOKUP($Q510,'Threshold Summary'!$Y:$Y,'Threshold Summary'!$L:$L,""))/100)+5)*XLOOKUP(XLOOKUP($Q510,'Threshold Summary'!$Y:$Y,'Threshold Summary'!$M:$M,""),'Nature Editor'!$A:$A,'Nature Editor'!$B:$B,1)),FLOOR((FLOOR(((2*XLOOKUP(XLOOKUP($Q510,'Threshold Summary'!$Y:$Y,'Threshold Summary'!$K:$K,""),'Pokemon Editor'!$A:$A,'Pokemon Editor'!$H:$H,0)+31+FLOOR(XLOOKUP($Q510,'Threshold Summary'!$Y:$Y,'Threshold Summary'!$R:$R,"")/4))*XLOOKUP($Q510,'Threshold Summary'!$Y:$Y,'Threshold Summary'!$L:$L,""))/100)+5)*XLOOKUP(XLOOKUP($Q510,'Threshold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Editor'!$E:$E,1))),stab,IF(OR(mtype=XLOOKUP(XLOOKUP($Q510,'Threshold Summary'!$Y:$Y,'Threshold Summary'!$K:$K,""),'Pokemon Editor'!$A:$A,'Pokemon Editor'!$C:$C,""),mtype=XLOOKUP(XLOOKUP($Q510,'Threshold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Chart'!$B$1:$S$1,0)))),base,IF(OR(cat="Status",pow=0),0,FLOOR(FLOOR(FLOOR((2*XLOOKUP($Q510,'Threshold Summary'!$Y:$Y,'Threshold Summary'!$L:$L,"")/5+2)*pow*atk/def)/50)+2)),modifier,stab*eff,AVERAGE(ARRAYFORMULA(FLOOR(base*modifier*SEQUENCE(16,1,85,1)/100)))*MIN(1,acc/100)),0)</f>
        <v/>
      </c>
      <c r="N510" s="4">
        <f>IFERROR(LET(mtype,XLOOKUP($D510,'Move Editor'!$B:$B,'Move Editor'!$C:$C,""),cat,XLOOKUP($D510,'Move Editor'!$B:$B,'Move Editor'!$D:$D,""),pow,XLOOKUP($D510,'Move Editor'!$B:$B,'Move Editor'!$E:$E,0),acc,XLOOKUP($D510,'Move Editor'!$B:$B,'Move Editor'!$F:$F,100),atk,IF(cat="Physical",FLOOR((FLOOR(((2*XLOOKUP(XLOOKUP($Q510,'Threshold Summary'!$Y:$Y,'Threshold Summary'!$K:$K,""),'Pokemon Editor'!$A:$A,'Pokemon Editor'!$F:$F,0)+31+FLOOR(XLOOKUP($Q510,'Threshold Summary'!$Y:$Y,'Threshold Summary'!$P:$P,"")/4))*XLOOKUP($Q510,'Threshold Summary'!$Y:$Y,'Threshold Summary'!$L:$L,""))/100)+5)*XLOOKUP(XLOOKUP($Q510,'Threshold Summary'!$Y:$Y,'Threshold Summary'!$M:$M,""),'Nature Editor'!$A:$A,'Nature Editor'!$B:$B,1)),FLOOR((FLOOR(((2*XLOOKUP(XLOOKUP($Q510,'Threshold Summary'!$Y:$Y,'Threshold Summary'!$K:$K,""),'Pokemon Editor'!$A:$A,'Pokemon Editor'!$H:$H,0)+31+FLOOR(XLOOKUP($Q510,'Threshold Summary'!$Y:$Y,'Threshold Summary'!$R:$R,"")/4))*XLOOKUP($Q510,'Threshold Summary'!$Y:$Y,'Threshold Summary'!$L:$L,""))/100)+5)*XLOOKUP(XLOOKUP($Q510,'Threshold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Editor'!$E:$E,1))),stab,IF(OR(mtype=XLOOKUP(XLOOKUP($Q510,'Threshold Summary'!$Y:$Y,'Threshold Summary'!$K:$K,""),'Pokemon Editor'!$A:$A,'Pokemon Editor'!$C:$C,""),mtype=XLOOKUP(XLOOKUP($Q510,'Threshold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Chart'!$B$1:$S$1,0)))),base,IF(OR(cat="Status",pow=0),0,FLOOR(FLOOR(FLOOR((2*XLOOKUP($Q510,'Threshold Summary'!$Y:$Y,'Threshold Summary'!$L:$L,"")/5+2)*pow*atk/def)/50)+2)),modifier,stab*eff,AVERAGE(ARRAYFORMULA(FLOOR(base*modifier*SEQUENCE(16,1,85,1)/100)))/(FLOOR(((2*XLOOKUP('Boss Editor'!$C$4,'Pokemon Editor'!$A:$A,'Pokemon Editor'!$E:$E,0)+31+FLOOR('Boss Editor'!$G$4/4))*'Boss Editor'!$D$4)/100)+'Boss Editor'!$D$4+10)),0)</f>
        <v/>
      </c>
      <c r="O510" s="3">
        <f>IF(N510&gt;=1,"OHKO",IF(N510&gt;=0.5,"2HKO",IF(N510&gt;=0.333,"3HKO",IF(N510&gt;=0.25,"4HKO","5HKO+"))))</f>
        <v/>
      </c>
      <c r="P510" s="3" t="inlineStr">
        <is>
          <t>Live from editable databases</t>
        </is>
      </c>
      <c r="Q510" s="3" t="inlineStr">
        <is>
          <t>SPECIES_VENIPEDE</t>
        </is>
      </c>
      <c r="R510" s="3" t="n">
        <v>29</v>
      </c>
    </row>
    <row r="511">
      <c r="A511" s="3">
        <f>XLOOKUP($Q511,'Threshold Summary'!$Y:$Y,'Threshold Summary'!$A:$A,"")</f>
        <v/>
      </c>
      <c r="B511" s="3">
        <f>XLOOKUP($Q511,'Threshold Summary'!$Y:$Y,'Threshold Summary'!$M:$M,"")</f>
        <v/>
      </c>
      <c r="C511" s="3">
        <f>XLOOKUP($Q511,'Threshold Summary'!$Y:$Y,'Threshold Summary'!$N:$N,"")</f>
        <v/>
      </c>
      <c r="D511" s="3">
        <f>IFERROR(INDEX(FILTER('Learnset Editor'!$D$2:$D,'Learnset Editor'!$A$2:$A=XLOOKUP($Q511,'Threshold Summary'!$Y:$Y,'Threshold Summary'!$K:$K,""),'Learnset Editor'!$C$2:$C&lt;=XLOOKUP($Q511,'Threshold Summary'!$Y:$Y,'Threshold Summary'!$L:$L,"")),$R511),"")</f>
        <v/>
      </c>
      <c r="E511" s="3">
        <f>XLOOKUP(D511,'Move Editor'!$B:$B,'Move Editor'!$C:$C,"")</f>
        <v/>
      </c>
      <c r="F511" s="3">
        <f>XLOOKUP(D511,'Move Editor'!$B:$B,'Move Editor'!$D:$D,"")</f>
        <v/>
      </c>
      <c r="G511" s="3">
        <f>XLOOKUP(D511,'Move Editor'!$B:$B,'Move Editor'!$E:$E,0)</f>
        <v/>
      </c>
      <c r="H511" s="3">
        <f>XLOOKUP(D511,'Move Editor'!$B:$B,'Move Editor'!$F:$F,0)</f>
        <v/>
      </c>
      <c r="I511" s="3">
        <f>(INDEX('Type Chart'!$B:$S,MATCH(E511,'Type Chart'!$A:$A,0),MATCH(XLOOKUP('Boss Editor'!$C$4,'Pokemon Editor'!$A:$A,'Pokemon Editor'!$C:$C,""),'Type Chart'!$B$1:$S$1,0))*IF(XLOOKUP('Boss Editor'!$C$4,'Pokemon Editor'!$A:$A,'Pokemon Editor'!$D:$D,"")="",1,INDEX('Type Chart'!$B:$S,MATCH(E511,'Type Chart'!$A:$A,0),MATCH(XLOOKUP('Boss Editor'!$C$4,'Pokemon Editor'!$A:$A,'Pokemon Editor'!$D:$D,""),'Type Chart'!$B$1:$S$1,0))))</f>
        <v/>
      </c>
      <c r="J511" s="3">
        <f>IFERROR(LET(mtype,XLOOKUP($D511,'Move Editor'!$B:$B,'Move Editor'!$C:$C,""),cat,XLOOKUP($D511,'Move Editor'!$B:$B,'Move Editor'!$D:$D,""),pow,XLOOKUP($D511,'Move Editor'!$B:$B,'Move Editor'!$E:$E,0),acc,XLOOKUP($D511,'Move Editor'!$B:$B,'Move Editor'!$F:$F,100),atk,IF(cat="Physical",FLOOR((FLOOR(((2*XLOOKUP(XLOOKUP($Q511,'Threshold Summary'!$Y:$Y,'Threshold Summary'!$K:$K,""),'Pokemon Editor'!$A:$A,'Pokemon Editor'!$F:$F,0)+31+FLOOR(XLOOKUP($Q511,'Threshold Summary'!$Y:$Y,'Threshold Summary'!$P:$P,"")/4))*XLOOKUP($Q511,'Threshold Summary'!$Y:$Y,'Threshold Summary'!$L:$L,""))/100)+5)*XLOOKUP(XLOOKUP($Q511,'Threshold Summary'!$Y:$Y,'Threshold Summary'!$M:$M,""),'Nature Editor'!$A:$A,'Nature Editor'!$B:$B,1)),FLOOR((FLOOR(((2*XLOOKUP(XLOOKUP($Q511,'Threshold Summary'!$Y:$Y,'Threshold Summary'!$K:$K,""),'Pokemon Editor'!$A:$A,'Pokemon Editor'!$H:$H,0)+31+FLOOR(XLOOKUP($Q511,'Threshold Summary'!$Y:$Y,'Threshold Summary'!$R:$R,"")/4))*XLOOKUP($Q511,'Threshold Summary'!$Y:$Y,'Threshold Summary'!$L:$L,""))/100)+5)*XLOOKUP(XLOOKUP($Q511,'Threshold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Editor'!$E:$E,1))),stab,IF(OR(mtype=XLOOKUP(XLOOKUP($Q511,'Threshold Summary'!$Y:$Y,'Threshold Summary'!$K:$K,""),'Pokemon Editor'!$A:$A,'Pokemon Editor'!$C:$C,""),mtype=XLOOKUP(XLOOKUP($Q511,'Threshold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Chart'!$B$1:$S$1,0)))),base,IF(OR(cat="Status",pow=0),0,FLOOR(FLOOR(FLOOR((2*XLOOKUP($Q511,'Threshold Summary'!$Y:$Y,'Threshold Summary'!$L:$L,"")/5+2)*pow*atk/def)/50)+2)),modifier,stab*eff,FLOOR(base*modifier*0.85)),0)</f>
        <v/>
      </c>
      <c r="K511" s="3">
        <f>IFERROR(LET(mtype,XLOOKUP($D511,'Move Editor'!$B:$B,'Move Editor'!$C:$C,""),cat,XLOOKUP($D511,'Move Editor'!$B:$B,'Move Editor'!$D:$D,""),pow,XLOOKUP($D511,'Move Editor'!$B:$B,'Move Editor'!$E:$E,0),acc,XLOOKUP($D511,'Move Editor'!$B:$B,'Move Editor'!$F:$F,100),atk,IF(cat="Physical",FLOOR((FLOOR(((2*XLOOKUP(XLOOKUP($Q511,'Threshold Summary'!$Y:$Y,'Threshold Summary'!$K:$K,""),'Pokemon Editor'!$A:$A,'Pokemon Editor'!$F:$F,0)+31+FLOOR(XLOOKUP($Q511,'Threshold Summary'!$Y:$Y,'Threshold Summary'!$P:$P,"")/4))*XLOOKUP($Q511,'Threshold Summary'!$Y:$Y,'Threshold Summary'!$L:$L,""))/100)+5)*XLOOKUP(XLOOKUP($Q511,'Threshold Summary'!$Y:$Y,'Threshold Summary'!$M:$M,""),'Nature Editor'!$A:$A,'Nature Editor'!$B:$B,1)),FLOOR((FLOOR(((2*XLOOKUP(XLOOKUP($Q511,'Threshold Summary'!$Y:$Y,'Threshold Summary'!$K:$K,""),'Pokemon Editor'!$A:$A,'Pokemon Editor'!$H:$H,0)+31+FLOOR(XLOOKUP($Q511,'Threshold Summary'!$Y:$Y,'Threshold Summary'!$R:$R,"")/4))*XLOOKUP($Q511,'Threshold Summary'!$Y:$Y,'Threshold Summary'!$L:$L,""))/100)+5)*XLOOKUP(XLOOKUP($Q511,'Threshold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Editor'!$E:$E,1))),stab,IF(OR(mtype=XLOOKUP(XLOOKUP($Q511,'Threshold Summary'!$Y:$Y,'Threshold Summary'!$K:$K,""),'Pokemon Editor'!$A:$A,'Pokemon Editor'!$C:$C,""),mtype=XLOOKUP(XLOOKUP($Q511,'Threshold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Chart'!$B$1:$S$1,0)))),base,IF(OR(cat="Status",pow=0),0,FLOOR(FLOOR(FLOOR((2*XLOOKUP($Q511,'Threshold Summary'!$Y:$Y,'Threshold Summary'!$L:$L,"")/5+2)*pow*atk/def)/50)+2)),modifier,stab*eff,FLOOR(base*modifier)),0)</f>
        <v/>
      </c>
      <c r="L511" s="3">
        <f>IFERROR(LET(mtype,XLOOKUP($D511,'Move Editor'!$B:$B,'Move Editor'!$C:$C,""),cat,XLOOKUP($D511,'Move Editor'!$B:$B,'Move Editor'!$D:$D,""),pow,XLOOKUP($D511,'Move Editor'!$B:$B,'Move Editor'!$E:$E,0),acc,XLOOKUP($D511,'Move Editor'!$B:$B,'Move Editor'!$F:$F,100),atk,IF(cat="Physical",FLOOR((FLOOR(((2*XLOOKUP(XLOOKUP($Q511,'Threshold Summary'!$Y:$Y,'Threshold Summary'!$K:$K,""),'Pokemon Editor'!$A:$A,'Pokemon Editor'!$F:$F,0)+31+FLOOR(XLOOKUP($Q511,'Threshold Summary'!$Y:$Y,'Threshold Summary'!$P:$P,"")/4))*XLOOKUP($Q511,'Threshold Summary'!$Y:$Y,'Threshold Summary'!$L:$L,""))/100)+5)*XLOOKUP(XLOOKUP($Q511,'Threshold Summary'!$Y:$Y,'Threshold Summary'!$M:$M,""),'Nature Editor'!$A:$A,'Nature Editor'!$B:$B,1)),FLOOR((FLOOR(((2*XLOOKUP(XLOOKUP($Q511,'Threshold Summary'!$Y:$Y,'Threshold Summary'!$K:$K,""),'Pokemon Editor'!$A:$A,'Pokemon Editor'!$H:$H,0)+31+FLOOR(XLOOKUP($Q511,'Threshold Summary'!$Y:$Y,'Threshold Summary'!$R:$R,"")/4))*XLOOKUP($Q511,'Threshold Summary'!$Y:$Y,'Threshold Summary'!$L:$L,""))/100)+5)*XLOOKUP(XLOOKUP($Q511,'Threshold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Editor'!$E:$E,1))),stab,IF(OR(mtype=XLOOKUP(XLOOKUP($Q511,'Threshold Summary'!$Y:$Y,'Threshold Summary'!$K:$K,""),'Pokemon Editor'!$A:$A,'Pokemon Editor'!$C:$C,""),mtype=XLOOKUP(XLOOKUP($Q511,'Threshold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Chart'!$B$1:$S$1,0)))),base,IF(OR(cat="Status",pow=0),0,FLOOR(FLOOR(FLOOR((2*XLOOKUP($Q511,'Threshold Summary'!$Y:$Y,'Threshold Summary'!$L:$L,"")/5+2)*pow*atk/def)/50)+2)),modifier,stab*eff,AVERAGE(ARRAYFORMULA(FLOOR(base*modifier*SEQUENCE(16,1,85,1)/100)))),0)</f>
        <v/>
      </c>
      <c r="M511" s="3">
        <f>IFERROR(LET(mtype,XLOOKUP($D511,'Move Editor'!$B:$B,'Move Editor'!$C:$C,""),cat,XLOOKUP($D511,'Move Editor'!$B:$B,'Move Editor'!$D:$D,""),pow,XLOOKUP($D511,'Move Editor'!$B:$B,'Move Editor'!$E:$E,0),acc,XLOOKUP($D511,'Move Editor'!$B:$B,'Move Editor'!$F:$F,100),atk,IF(cat="Physical",FLOOR((FLOOR(((2*XLOOKUP(XLOOKUP($Q511,'Threshold Summary'!$Y:$Y,'Threshold Summary'!$K:$K,""),'Pokemon Editor'!$A:$A,'Pokemon Editor'!$F:$F,0)+31+FLOOR(XLOOKUP($Q511,'Threshold Summary'!$Y:$Y,'Threshold Summary'!$P:$P,"")/4))*XLOOKUP($Q511,'Threshold Summary'!$Y:$Y,'Threshold Summary'!$L:$L,""))/100)+5)*XLOOKUP(XLOOKUP($Q511,'Threshold Summary'!$Y:$Y,'Threshold Summary'!$M:$M,""),'Nature Editor'!$A:$A,'Nature Editor'!$B:$B,1)),FLOOR((FLOOR(((2*XLOOKUP(XLOOKUP($Q511,'Threshold Summary'!$Y:$Y,'Threshold Summary'!$K:$K,""),'Pokemon Editor'!$A:$A,'Pokemon Editor'!$H:$H,0)+31+FLOOR(XLOOKUP($Q511,'Threshold Summary'!$Y:$Y,'Threshold Summary'!$R:$R,"")/4))*XLOOKUP($Q511,'Threshold Summary'!$Y:$Y,'Threshold Summary'!$L:$L,""))/100)+5)*XLOOKUP(XLOOKUP($Q511,'Threshold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Editor'!$E:$E,1))),stab,IF(OR(mtype=XLOOKUP(XLOOKUP($Q511,'Threshold Summary'!$Y:$Y,'Threshold Summary'!$K:$K,""),'Pokemon Editor'!$A:$A,'Pokemon Editor'!$C:$C,""),mtype=XLOOKUP(XLOOKUP($Q511,'Threshold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Chart'!$B$1:$S$1,0)))),base,IF(OR(cat="Status",pow=0),0,FLOOR(FLOOR(FLOOR((2*XLOOKUP($Q511,'Threshold Summary'!$Y:$Y,'Threshold Summary'!$L:$L,"")/5+2)*pow*atk/def)/50)+2)),modifier,stab*eff,AVERAGE(ARRAYFORMULA(FLOOR(base*modifier*SEQUENCE(16,1,85,1)/100)))*MIN(1,acc/100)),0)</f>
        <v/>
      </c>
      <c r="N511" s="4">
        <f>IFERROR(LET(mtype,XLOOKUP($D511,'Move Editor'!$B:$B,'Move Editor'!$C:$C,""),cat,XLOOKUP($D511,'Move Editor'!$B:$B,'Move Editor'!$D:$D,""),pow,XLOOKUP($D511,'Move Editor'!$B:$B,'Move Editor'!$E:$E,0),acc,XLOOKUP($D511,'Move Editor'!$B:$B,'Move Editor'!$F:$F,100),atk,IF(cat="Physical",FLOOR((FLOOR(((2*XLOOKUP(XLOOKUP($Q511,'Threshold Summary'!$Y:$Y,'Threshold Summary'!$K:$K,""),'Pokemon Editor'!$A:$A,'Pokemon Editor'!$F:$F,0)+31+FLOOR(XLOOKUP($Q511,'Threshold Summary'!$Y:$Y,'Threshold Summary'!$P:$P,"")/4))*XLOOKUP($Q511,'Threshold Summary'!$Y:$Y,'Threshold Summary'!$L:$L,""))/100)+5)*XLOOKUP(XLOOKUP($Q511,'Threshold Summary'!$Y:$Y,'Threshold Summary'!$M:$M,""),'Nature Editor'!$A:$A,'Nature Editor'!$B:$B,1)),FLOOR((FLOOR(((2*XLOOKUP(XLOOKUP($Q511,'Threshold Summary'!$Y:$Y,'Threshold Summary'!$K:$K,""),'Pokemon Editor'!$A:$A,'Pokemon Editor'!$H:$H,0)+31+FLOOR(XLOOKUP($Q511,'Threshold Summary'!$Y:$Y,'Threshold Summary'!$R:$R,"")/4))*XLOOKUP($Q511,'Threshold Summary'!$Y:$Y,'Threshold Summary'!$L:$L,""))/100)+5)*XLOOKUP(XLOOKUP($Q511,'Threshold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Editor'!$E:$E,1))),stab,IF(OR(mtype=XLOOKUP(XLOOKUP($Q511,'Threshold Summary'!$Y:$Y,'Threshold Summary'!$K:$K,""),'Pokemon Editor'!$A:$A,'Pokemon Editor'!$C:$C,""),mtype=XLOOKUP(XLOOKUP($Q511,'Threshold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Chart'!$B$1:$S$1,0)))),base,IF(OR(cat="Status",pow=0),0,FLOOR(FLOOR(FLOOR((2*XLOOKUP($Q511,'Threshold Summary'!$Y:$Y,'Threshold Summary'!$L:$L,"")/5+2)*pow*atk/def)/50)+2)),modifier,stab*eff,AVERAGE(ARRAYFORMULA(FLOOR(base*modifier*SEQUENCE(16,1,85,1)/100)))/(FLOOR(((2*XLOOKUP('Boss Editor'!$C$4,'Pokemon Editor'!$A:$A,'Pokemon Editor'!$E:$E,0)+31+FLOOR('Boss Editor'!$G$4/4))*'Boss Editor'!$D$4)/100)+'Boss Editor'!$D$4+10)),0)</f>
        <v/>
      </c>
      <c r="O511" s="3">
        <f>IF(N511&gt;=1,"OHKO",IF(N511&gt;=0.5,"2HKO",IF(N511&gt;=0.333,"3HKO",IF(N511&gt;=0.25,"4HKO","5HKO+"))))</f>
        <v/>
      </c>
      <c r="P511" s="3" t="inlineStr">
        <is>
          <t>Live from editable databases</t>
        </is>
      </c>
      <c r="Q511" s="3" t="inlineStr">
        <is>
          <t>SPECIES_VENIPEDE</t>
        </is>
      </c>
      <c r="R511" s="3" t="n">
        <v>30</v>
      </c>
    </row>
    <row r="512">
      <c r="A512" s="3">
        <f>XLOOKUP($Q512,'Threshold Summary'!$Y:$Y,'Threshold Summary'!$A:$A,"")</f>
        <v/>
      </c>
      <c r="B512" s="3">
        <f>XLOOKUP($Q512,'Threshold Summary'!$Y:$Y,'Threshold Summary'!$M:$M,"")</f>
        <v/>
      </c>
      <c r="C512" s="3">
        <f>XLOOKUP($Q512,'Threshold Summary'!$Y:$Y,'Threshold Summary'!$N:$N,"")</f>
        <v/>
      </c>
      <c r="D512" s="3">
        <f>IFERROR(INDEX(FILTER('Learnset Editor'!$D$2:$D,'Learnset Editor'!$A$2:$A=XLOOKUP($Q512,'Threshold Summary'!$Y:$Y,'Threshold Summary'!$K:$K,""),'Learnset Editor'!$C$2:$C&lt;=XLOOKUP($Q512,'Threshold Summary'!$Y:$Y,'Threshold Summary'!$L:$L,"")),$R512),"")</f>
        <v/>
      </c>
      <c r="E512" s="3">
        <f>XLOOKUP(D512,'Move Editor'!$B:$B,'Move Editor'!$C:$C,"")</f>
        <v/>
      </c>
      <c r="F512" s="3">
        <f>XLOOKUP(D512,'Move Editor'!$B:$B,'Move Editor'!$D:$D,"")</f>
        <v/>
      </c>
      <c r="G512" s="3">
        <f>XLOOKUP(D512,'Move Editor'!$B:$B,'Move Editor'!$E:$E,0)</f>
        <v/>
      </c>
      <c r="H512" s="3">
        <f>XLOOKUP(D512,'Move Editor'!$B:$B,'Move Editor'!$F:$F,0)</f>
        <v/>
      </c>
      <c r="I512" s="3">
        <f>(INDEX('Type Chart'!$B:$S,MATCH(E512,'Type Chart'!$A:$A,0),MATCH(XLOOKUP('Boss Editor'!$C$4,'Pokemon Editor'!$A:$A,'Pokemon Editor'!$C:$C,""),'Type Chart'!$B$1:$S$1,0))*IF(XLOOKUP('Boss Editor'!$C$4,'Pokemon Editor'!$A:$A,'Pokemon Editor'!$D:$D,"")="",1,INDEX('Type Chart'!$B:$S,MATCH(E512,'Type Chart'!$A:$A,0),MATCH(XLOOKUP('Boss Editor'!$C$4,'Pokemon Editor'!$A:$A,'Pokemon Editor'!$D:$D,""),'Type Chart'!$B$1:$S$1,0))))</f>
        <v/>
      </c>
      <c r="J512" s="3">
        <f>IFERROR(LET(mtype,XLOOKUP($D512,'Move Editor'!$B:$B,'Move Editor'!$C:$C,""),cat,XLOOKUP($D512,'Move Editor'!$B:$B,'Move Editor'!$D:$D,""),pow,XLOOKUP($D512,'Move Editor'!$B:$B,'Move Editor'!$E:$E,0),acc,XLOOKUP($D512,'Move Editor'!$B:$B,'Move Editor'!$F:$F,100),atk,IF(cat="Physical",FLOOR((FLOOR(((2*XLOOKUP(XLOOKUP($Q512,'Threshold Summary'!$Y:$Y,'Threshold Summary'!$K:$K,""),'Pokemon Editor'!$A:$A,'Pokemon Editor'!$F:$F,0)+31+FLOOR(XLOOKUP($Q512,'Threshold Summary'!$Y:$Y,'Threshold Summary'!$P:$P,"")/4))*XLOOKUP($Q512,'Threshold Summary'!$Y:$Y,'Threshold Summary'!$L:$L,""))/100)+5)*XLOOKUP(XLOOKUP($Q512,'Threshold Summary'!$Y:$Y,'Threshold Summary'!$M:$M,""),'Nature Editor'!$A:$A,'Nature Editor'!$B:$B,1)),FLOOR((FLOOR(((2*XLOOKUP(XLOOKUP($Q512,'Threshold Summary'!$Y:$Y,'Threshold Summary'!$K:$K,""),'Pokemon Editor'!$A:$A,'Pokemon Editor'!$H:$H,0)+31+FLOOR(XLOOKUP($Q512,'Threshold Summary'!$Y:$Y,'Threshold Summary'!$R:$R,"")/4))*XLOOKUP($Q512,'Threshold Summary'!$Y:$Y,'Threshold Summary'!$L:$L,""))/100)+5)*XLOOKUP(XLOOKUP($Q512,'Threshold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Editor'!$E:$E,1))),stab,IF(OR(mtype=XLOOKUP(XLOOKUP($Q512,'Threshold Summary'!$Y:$Y,'Threshold Summary'!$K:$K,""),'Pokemon Editor'!$A:$A,'Pokemon Editor'!$C:$C,""),mtype=XLOOKUP(XLOOKUP($Q512,'Threshold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Chart'!$B$1:$S$1,0)))),base,IF(OR(cat="Status",pow=0),0,FLOOR(FLOOR(FLOOR((2*XLOOKUP($Q512,'Threshold Summary'!$Y:$Y,'Threshold Summary'!$L:$L,"")/5+2)*pow*atk/def)/50)+2)),modifier,stab*eff,FLOOR(base*modifier*0.85)),0)</f>
        <v/>
      </c>
      <c r="K512" s="3">
        <f>IFERROR(LET(mtype,XLOOKUP($D512,'Move Editor'!$B:$B,'Move Editor'!$C:$C,""),cat,XLOOKUP($D512,'Move Editor'!$B:$B,'Move Editor'!$D:$D,""),pow,XLOOKUP($D512,'Move Editor'!$B:$B,'Move Editor'!$E:$E,0),acc,XLOOKUP($D512,'Move Editor'!$B:$B,'Move Editor'!$F:$F,100),atk,IF(cat="Physical",FLOOR((FLOOR(((2*XLOOKUP(XLOOKUP($Q512,'Threshold Summary'!$Y:$Y,'Threshold Summary'!$K:$K,""),'Pokemon Editor'!$A:$A,'Pokemon Editor'!$F:$F,0)+31+FLOOR(XLOOKUP($Q512,'Threshold Summary'!$Y:$Y,'Threshold Summary'!$P:$P,"")/4))*XLOOKUP($Q512,'Threshold Summary'!$Y:$Y,'Threshold Summary'!$L:$L,""))/100)+5)*XLOOKUP(XLOOKUP($Q512,'Threshold Summary'!$Y:$Y,'Threshold Summary'!$M:$M,""),'Nature Editor'!$A:$A,'Nature Editor'!$B:$B,1)),FLOOR((FLOOR(((2*XLOOKUP(XLOOKUP($Q512,'Threshold Summary'!$Y:$Y,'Threshold Summary'!$K:$K,""),'Pokemon Editor'!$A:$A,'Pokemon Editor'!$H:$H,0)+31+FLOOR(XLOOKUP($Q512,'Threshold Summary'!$Y:$Y,'Threshold Summary'!$R:$R,"")/4))*XLOOKUP($Q512,'Threshold Summary'!$Y:$Y,'Threshold Summary'!$L:$L,""))/100)+5)*XLOOKUP(XLOOKUP($Q512,'Threshold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Editor'!$E:$E,1))),stab,IF(OR(mtype=XLOOKUP(XLOOKUP($Q512,'Threshold Summary'!$Y:$Y,'Threshold Summary'!$K:$K,""),'Pokemon Editor'!$A:$A,'Pokemon Editor'!$C:$C,""),mtype=XLOOKUP(XLOOKUP($Q512,'Threshold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Chart'!$B$1:$S$1,0)))),base,IF(OR(cat="Status",pow=0),0,FLOOR(FLOOR(FLOOR((2*XLOOKUP($Q512,'Threshold Summary'!$Y:$Y,'Threshold Summary'!$L:$L,"")/5+2)*pow*atk/def)/50)+2)),modifier,stab*eff,FLOOR(base*modifier)),0)</f>
        <v/>
      </c>
      <c r="L512" s="3">
        <f>IFERROR(LET(mtype,XLOOKUP($D512,'Move Editor'!$B:$B,'Move Editor'!$C:$C,""),cat,XLOOKUP($D512,'Move Editor'!$B:$B,'Move Editor'!$D:$D,""),pow,XLOOKUP($D512,'Move Editor'!$B:$B,'Move Editor'!$E:$E,0),acc,XLOOKUP($D512,'Move Editor'!$B:$B,'Move Editor'!$F:$F,100),atk,IF(cat="Physical",FLOOR((FLOOR(((2*XLOOKUP(XLOOKUP($Q512,'Threshold Summary'!$Y:$Y,'Threshold Summary'!$K:$K,""),'Pokemon Editor'!$A:$A,'Pokemon Editor'!$F:$F,0)+31+FLOOR(XLOOKUP($Q512,'Threshold Summary'!$Y:$Y,'Threshold Summary'!$P:$P,"")/4))*XLOOKUP($Q512,'Threshold Summary'!$Y:$Y,'Threshold Summary'!$L:$L,""))/100)+5)*XLOOKUP(XLOOKUP($Q512,'Threshold Summary'!$Y:$Y,'Threshold Summary'!$M:$M,""),'Nature Editor'!$A:$A,'Nature Editor'!$B:$B,1)),FLOOR((FLOOR(((2*XLOOKUP(XLOOKUP($Q512,'Threshold Summary'!$Y:$Y,'Threshold Summary'!$K:$K,""),'Pokemon Editor'!$A:$A,'Pokemon Editor'!$H:$H,0)+31+FLOOR(XLOOKUP($Q512,'Threshold Summary'!$Y:$Y,'Threshold Summary'!$R:$R,"")/4))*XLOOKUP($Q512,'Threshold Summary'!$Y:$Y,'Threshold Summary'!$L:$L,""))/100)+5)*XLOOKUP(XLOOKUP($Q512,'Threshold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Editor'!$E:$E,1))),stab,IF(OR(mtype=XLOOKUP(XLOOKUP($Q512,'Threshold Summary'!$Y:$Y,'Threshold Summary'!$K:$K,""),'Pokemon Editor'!$A:$A,'Pokemon Editor'!$C:$C,""),mtype=XLOOKUP(XLOOKUP($Q512,'Threshold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Chart'!$B$1:$S$1,0)))),base,IF(OR(cat="Status",pow=0),0,FLOOR(FLOOR(FLOOR((2*XLOOKUP($Q512,'Threshold Summary'!$Y:$Y,'Threshold Summary'!$L:$L,"")/5+2)*pow*atk/def)/50)+2)),modifier,stab*eff,AVERAGE(ARRAYFORMULA(FLOOR(base*modifier*SEQUENCE(16,1,85,1)/100)))),0)</f>
        <v/>
      </c>
      <c r="M512" s="3">
        <f>IFERROR(LET(mtype,XLOOKUP($D512,'Move Editor'!$B:$B,'Move Editor'!$C:$C,""),cat,XLOOKUP($D512,'Move Editor'!$B:$B,'Move Editor'!$D:$D,""),pow,XLOOKUP($D512,'Move Editor'!$B:$B,'Move Editor'!$E:$E,0),acc,XLOOKUP($D512,'Move Editor'!$B:$B,'Move Editor'!$F:$F,100),atk,IF(cat="Physical",FLOOR((FLOOR(((2*XLOOKUP(XLOOKUP($Q512,'Threshold Summary'!$Y:$Y,'Threshold Summary'!$K:$K,""),'Pokemon Editor'!$A:$A,'Pokemon Editor'!$F:$F,0)+31+FLOOR(XLOOKUP($Q512,'Threshold Summary'!$Y:$Y,'Threshold Summary'!$P:$P,"")/4))*XLOOKUP($Q512,'Threshold Summary'!$Y:$Y,'Threshold Summary'!$L:$L,""))/100)+5)*XLOOKUP(XLOOKUP($Q512,'Threshold Summary'!$Y:$Y,'Threshold Summary'!$M:$M,""),'Nature Editor'!$A:$A,'Nature Editor'!$B:$B,1)),FLOOR((FLOOR(((2*XLOOKUP(XLOOKUP($Q512,'Threshold Summary'!$Y:$Y,'Threshold Summary'!$K:$K,""),'Pokemon Editor'!$A:$A,'Pokemon Editor'!$H:$H,0)+31+FLOOR(XLOOKUP($Q512,'Threshold Summary'!$Y:$Y,'Threshold Summary'!$R:$R,"")/4))*XLOOKUP($Q512,'Threshold Summary'!$Y:$Y,'Threshold Summary'!$L:$L,""))/100)+5)*XLOOKUP(XLOOKUP($Q512,'Threshold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Editor'!$E:$E,1))),stab,IF(OR(mtype=XLOOKUP(XLOOKUP($Q512,'Threshold Summary'!$Y:$Y,'Threshold Summary'!$K:$K,""),'Pokemon Editor'!$A:$A,'Pokemon Editor'!$C:$C,""),mtype=XLOOKUP(XLOOKUP($Q512,'Threshold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Chart'!$B$1:$S$1,0)))),base,IF(OR(cat="Status",pow=0),0,FLOOR(FLOOR(FLOOR((2*XLOOKUP($Q512,'Threshold Summary'!$Y:$Y,'Threshold Summary'!$L:$L,"")/5+2)*pow*atk/def)/50)+2)),modifier,stab*eff,AVERAGE(ARRAYFORMULA(FLOOR(base*modifier*SEQUENCE(16,1,85,1)/100)))*MIN(1,acc/100)),0)</f>
        <v/>
      </c>
      <c r="N512" s="4">
        <f>IFERROR(LET(mtype,XLOOKUP($D512,'Move Editor'!$B:$B,'Move Editor'!$C:$C,""),cat,XLOOKUP($D512,'Move Editor'!$B:$B,'Move Editor'!$D:$D,""),pow,XLOOKUP($D512,'Move Editor'!$B:$B,'Move Editor'!$E:$E,0),acc,XLOOKUP($D512,'Move Editor'!$B:$B,'Move Editor'!$F:$F,100),atk,IF(cat="Physical",FLOOR((FLOOR(((2*XLOOKUP(XLOOKUP($Q512,'Threshold Summary'!$Y:$Y,'Threshold Summary'!$K:$K,""),'Pokemon Editor'!$A:$A,'Pokemon Editor'!$F:$F,0)+31+FLOOR(XLOOKUP($Q512,'Threshold Summary'!$Y:$Y,'Threshold Summary'!$P:$P,"")/4))*XLOOKUP($Q512,'Threshold Summary'!$Y:$Y,'Threshold Summary'!$L:$L,""))/100)+5)*XLOOKUP(XLOOKUP($Q512,'Threshold Summary'!$Y:$Y,'Threshold Summary'!$M:$M,""),'Nature Editor'!$A:$A,'Nature Editor'!$B:$B,1)),FLOOR((FLOOR(((2*XLOOKUP(XLOOKUP($Q512,'Threshold Summary'!$Y:$Y,'Threshold Summary'!$K:$K,""),'Pokemon Editor'!$A:$A,'Pokemon Editor'!$H:$H,0)+31+FLOOR(XLOOKUP($Q512,'Threshold Summary'!$Y:$Y,'Threshold Summary'!$R:$R,"")/4))*XLOOKUP($Q512,'Threshold Summary'!$Y:$Y,'Threshold Summary'!$L:$L,""))/100)+5)*XLOOKUP(XLOOKUP($Q512,'Threshold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Editor'!$E:$E,1))),stab,IF(OR(mtype=XLOOKUP(XLOOKUP($Q512,'Threshold Summary'!$Y:$Y,'Threshold Summary'!$K:$K,""),'Pokemon Editor'!$A:$A,'Pokemon Editor'!$C:$C,""),mtype=XLOOKUP(XLOOKUP($Q512,'Threshold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Chart'!$B$1:$S$1,0)))),base,IF(OR(cat="Status",pow=0),0,FLOOR(FLOOR(FLOOR((2*XLOOKUP($Q512,'Threshold Summary'!$Y:$Y,'Threshold Summary'!$L:$L,"")/5+2)*pow*atk/def)/50)+2)),modifier,stab*eff,AVERAGE(ARRAYFORMULA(FLOOR(base*modifier*SEQUENCE(16,1,85,1)/100)))/(FLOOR(((2*XLOOKUP('Boss Editor'!$C$4,'Pokemon Editor'!$A:$A,'Pokemon Editor'!$E:$E,0)+31+FLOOR('Boss Editor'!$G$4/4))*'Boss Editor'!$D$4)/100)+'Boss Editor'!$D$4+10)),0)</f>
        <v/>
      </c>
      <c r="O512" s="3">
        <f>IF(N512&gt;=1,"OHKO",IF(N512&gt;=0.5,"2HKO",IF(N512&gt;=0.333,"3HKO",IF(N512&gt;=0.25,"4HKO","5HKO+"))))</f>
        <v/>
      </c>
      <c r="P512" s="3" t="inlineStr">
        <is>
          <t>Live from editable databases</t>
        </is>
      </c>
      <c r="Q512" s="3" t="inlineStr">
        <is>
          <t>SPECIES_VENIPEDE</t>
        </is>
      </c>
      <c r="R512" s="3" t="n">
        <v>31</v>
      </c>
    </row>
    <row r="513">
      <c r="A513" s="3">
        <f>XLOOKUP($Q513,'Threshold Summary'!$Y:$Y,'Threshold Summary'!$A:$A,"")</f>
        <v/>
      </c>
      <c r="B513" s="3">
        <f>XLOOKUP($Q513,'Threshold Summary'!$Y:$Y,'Threshold Summary'!$M:$M,"")</f>
        <v/>
      </c>
      <c r="C513" s="3">
        <f>XLOOKUP($Q513,'Threshold Summary'!$Y:$Y,'Threshold Summary'!$N:$N,"")</f>
        <v/>
      </c>
      <c r="D513" s="3">
        <f>IFERROR(INDEX(FILTER('Learnset Editor'!$D$2:$D,'Learnset Editor'!$A$2:$A=XLOOKUP($Q513,'Threshold Summary'!$Y:$Y,'Threshold Summary'!$K:$K,""),'Learnset Editor'!$C$2:$C&lt;=XLOOKUP($Q513,'Threshold Summary'!$Y:$Y,'Threshold Summary'!$L:$L,"")),$R513),"")</f>
        <v/>
      </c>
      <c r="E513" s="3">
        <f>XLOOKUP(D513,'Move Editor'!$B:$B,'Move Editor'!$C:$C,"")</f>
        <v/>
      </c>
      <c r="F513" s="3">
        <f>XLOOKUP(D513,'Move Editor'!$B:$B,'Move Editor'!$D:$D,"")</f>
        <v/>
      </c>
      <c r="G513" s="3">
        <f>XLOOKUP(D513,'Move Editor'!$B:$B,'Move Editor'!$E:$E,0)</f>
        <v/>
      </c>
      <c r="H513" s="3">
        <f>XLOOKUP(D513,'Move Editor'!$B:$B,'Move Editor'!$F:$F,0)</f>
        <v/>
      </c>
      <c r="I513" s="3">
        <f>(INDEX('Type Chart'!$B:$S,MATCH(E513,'Type Chart'!$A:$A,0),MATCH(XLOOKUP('Boss Editor'!$C$4,'Pokemon Editor'!$A:$A,'Pokemon Editor'!$C:$C,""),'Type Chart'!$B$1:$S$1,0))*IF(XLOOKUP('Boss Editor'!$C$4,'Pokemon Editor'!$A:$A,'Pokemon Editor'!$D:$D,"")="",1,INDEX('Type Chart'!$B:$S,MATCH(E513,'Type Chart'!$A:$A,0),MATCH(XLOOKUP('Boss Editor'!$C$4,'Pokemon Editor'!$A:$A,'Pokemon Editor'!$D:$D,""),'Type Chart'!$B$1:$S$1,0))))</f>
        <v/>
      </c>
      <c r="J513" s="3">
        <f>IFERROR(LET(mtype,XLOOKUP($D513,'Move Editor'!$B:$B,'Move Editor'!$C:$C,""),cat,XLOOKUP($D513,'Move Editor'!$B:$B,'Move Editor'!$D:$D,""),pow,XLOOKUP($D513,'Move Editor'!$B:$B,'Move Editor'!$E:$E,0),acc,XLOOKUP($D513,'Move Editor'!$B:$B,'Move Editor'!$F:$F,100),atk,IF(cat="Physical",FLOOR((FLOOR(((2*XLOOKUP(XLOOKUP($Q513,'Threshold Summary'!$Y:$Y,'Threshold Summary'!$K:$K,""),'Pokemon Editor'!$A:$A,'Pokemon Editor'!$F:$F,0)+31+FLOOR(XLOOKUP($Q513,'Threshold Summary'!$Y:$Y,'Threshold Summary'!$P:$P,"")/4))*XLOOKUP($Q513,'Threshold Summary'!$Y:$Y,'Threshold Summary'!$L:$L,""))/100)+5)*XLOOKUP(XLOOKUP($Q513,'Threshold Summary'!$Y:$Y,'Threshold Summary'!$M:$M,""),'Nature Editor'!$A:$A,'Nature Editor'!$B:$B,1)),FLOOR((FLOOR(((2*XLOOKUP(XLOOKUP($Q513,'Threshold Summary'!$Y:$Y,'Threshold Summary'!$K:$K,""),'Pokemon Editor'!$A:$A,'Pokemon Editor'!$H:$H,0)+31+FLOOR(XLOOKUP($Q513,'Threshold Summary'!$Y:$Y,'Threshold Summary'!$R:$R,"")/4))*XLOOKUP($Q513,'Threshold Summary'!$Y:$Y,'Threshold Summary'!$L:$L,""))/100)+5)*XLOOKUP(XLOOKUP($Q513,'Threshold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Editor'!$E:$E,1))),stab,IF(OR(mtype=XLOOKUP(XLOOKUP($Q513,'Threshold Summary'!$Y:$Y,'Threshold Summary'!$K:$K,""),'Pokemon Editor'!$A:$A,'Pokemon Editor'!$C:$C,""),mtype=XLOOKUP(XLOOKUP($Q513,'Threshold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Chart'!$B$1:$S$1,0)))),base,IF(OR(cat="Status",pow=0),0,FLOOR(FLOOR(FLOOR((2*XLOOKUP($Q513,'Threshold Summary'!$Y:$Y,'Threshold Summary'!$L:$L,"")/5+2)*pow*atk/def)/50)+2)),modifier,stab*eff,FLOOR(base*modifier*0.85)),0)</f>
        <v/>
      </c>
      <c r="K513" s="3">
        <f>IFERROR(LET(mtype,XLOOKUP($D513,'Move Editor'!$B:$B,'Move Editor'!$C:$C,""),cat,XLOOKUP($D513,'Move Editor'!$B:$B,'Move Editor'!$D:$D,""),pow,XLOOKUP($D513,'Move Editor'!$B:$B,'Move Editor'!$E:$E,0),acc,XLOOKUP($D513,'Move Editor'!$B:$B,'Move Editor'!$F:$F,100),atk,IF(cat="Physical",FLOOR((FLOOR(((2*XLOOKUP(XLOOKUP($Q513,'Threshold Summary'!$Y:$Y,'Threshold Summary'!$K:$K,""),'Pokemon Editor'!$A:$A,'Pokemon Editor'!$F:$F,0)+31+FLOOR(XLOOKUP($Q513,'Threshold Summary'!$Y:$Y,'Threshold Summary'!$P:$P,"")/4))*XLOOKUP($Q513,'Threshold Summary'!$Y:$Y,'Threshold Summary'!$L:$L,""))/100)+5)*XLOOKUP(XLOOKUP($Q513,'Threshold Summary'!$Y:$Y,'Threshold Summary'!$M:$M,""),'Nature Editor'!$A:$A,'Nature Editor'!$B:$B,1)),FLOOR((FLOOR(((2*XLOOKUP(XLOOKUP($Q513,'Threshold Summary'!$Y:$Y,'Threshold Summary'!$K:$K,""),'Pokemon Editor'!$A:$A,'Pokemon Editor'!$H:$H,0)+31+FLOOR(XLOOKUP($Q513,'Threshold Summary'!$Y:$Y,'Threshold Summary'!$R:$R,"")/4))*XLOOKUP($Q513,'Threshold Summary'!$Y:$Y,'Threshold Summary'!$L:$L,""))/100)+5)*XLOOKUP(XLOOKUP($Q513,'Threshold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Editor'!$E:$E,1))),stab,IF(OR(mtype=XLOOKUP(XLOOKUP($Q513,'Threshold Summary'!$Y:$Y,'Threshold Summary'!$K:$K,""),'Pokemon Editor'!$A:$A,'Pokemon Editor'!$C:$C,""),mtype=XLOOKUP(XLOOKUP($Q513,'Threshold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Chart'!$B$1:$S$1,0)))),base,IF(OR(cat="Status",pow=0),0,FLOOR(FLOOR(FLOOR((2*XLOOKUP($Q513,'Threshold Summary'!$Y:$Y,'Threshold Summary'!$L:$L,"")/5+2)*pow*atk/def)/50)+2)),modifier,stab*eff,FLOOR(base*modifier)),0)</f>
        <v/>
      </c>
      <c r="L513" s="3">
        <f>IFERROR(LET(mtype,XLOOKUP($D513,'Move Editor'!$B:$B,'Move Editor'!$C:$C,""),cat,XLOOKUP($D513,'Move Editor'!$B:$B,'Move Editor'!$D:$D,""),pow,XLOOKUP($D513,'Move Editor'!$B:$B,'Move Editor'!$E:$E,0),acc,XLOOKUP($D513,'Move Editor'!$B:$B,'Move Editor'!$F:$F,100),atk,IF(cat="Physical",FLOOR((FLOOR(((2*XLOOKUP(XLOOKUP($Q513,'Threshold Summary'!$Y:$Y,'Threshold Summary'!$K:$K,""),'Pokemon Editor'!$A:$A,'Pokemon Editor'!$F:$F,0)+31+FLOOR(XLOOKUP($Q513,'Threshold Summary'!$Y:$Y,'Threshold Summary'!$P:$P,"")/4))*XLOOKUP($Q513,'Threshold Summary'!$Y:$Y,'Threshold Summary'!$L:$L,""))/100)+5)*XLOOKUP(XLOOKUP($Q513,'Threshold Summary'!$Y:$Y,'Threshold Summary'!$M:$M,""),'Nature Editor'!$A:$A,'Nature Editor'!$B:$B,1)),FLOOR((FLOOR(((2*XLOOKUP(XLOOKUP($Q513,'Threshold Summary'!$Y:$Y,'Threshold Summary'!$K:$K,""),'Pokemon Editor'!$A:$A,'Pokemon Editor'!$H:$H,0)+31+FLOOR(XLOOKUP($Q513,'Threshold Summary'!$Y:$Y,'Threshold Summary'!$R:$R,"")/4))*XLOOKUP($Q513,'Threshold Summary'!$Y:$Y,'Threshold Summary'!$L:$L,""))/100)+5)*XLOOKUP(XLOOKUP($Q513,'Threshold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Editor'!$E:$E,1))),stab,IF(OR(mtype=XLOOKUP(XLOOKUP($Q513,'Threshold Summary'!$Y:$Y,'Threshold Summary'!$K:$K,""),'Pokemon Editor'!$A:$A,'Pokemon Editor'!$C:$C,""),mtype=XLOOKUP(XLOOKUP($Q513,'Threshold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Chart'!$B$1:$S$1,0)))),base,IF(OR(cat="Status",pow=0),0,FLOOR(FLOOR(FLOOR((2*XLOOKUP($Q513,'Threshold Summary'!$Y:$Y,'Threshold Summary'!$L:$L,"")/5+2)*pow*atk/def)/50)+2)),modifier,stab*eff,AVERAGE(ARRAYFORMULA(FLOOR(base*modifier*SEQUENCE(16,1,85,1)/100)))),0)</f>
        <v/>
      </c>
      <c r="M513" s="3">
        <f>IFERROR(LET(mtype,XLOOKUP($D513,'Move Editor'!$B:$B,'Move Editor'!$C:$C,""),cat,XLOOKUP($D513,'Move Editor'!$B:$B,'Move Editor'!$D:$D,""),pow,XLOOKUP($D513,'Move Editor'!$B:$B,'Move Editor'!$E:$E,0),acc,XLOOKUP($D513,'Move Editor'!$B:$B,'Move Editor'!$F:$F,100),atk,IF(cat="Physical",FLOOR((FLOOR(((2*XLOOKUP(XLOOKUP($Q513,'Threshold Summary'!$Y:$Y,'Threshold Summary'!$K:$K,""),'Pokemon Editor'!$A:$A,'Pokemon Editor'!$F:$F,0)+31+FLOOR(XLOOKUP($Q513,'Threshold Summary'!$Y:$Y,'Threshold Summary'!$P:$P,"")/4))*XLOOKUP($Q513,'Threshold Summary'!$Y:$Y,'Threshold Summary'!$L:$L,""))/100)+5)*XLOOKUP(XLOOKUP($Q513,'Threshold Summary'!$Y:$Y,'Threshold Summary'!$M:$M,""),'Nature Editor'!$A:$A,'Nature Editor'!$B:$B,1)),FLOOR((FLOOR(((2*XLOOKUP(XLOOKUP($Q513,'Threshold Summary'!$Y:$Y,'Threshold Summary'!$K:$K,""),'Pokemon Editor'!$A:$A,'Pokemon Editor'!$H:$H,0)+31+FLOOR(XLOOKUP($Q513,'Threshold Summary'!$Y:$Y,'Threshold Summary'!$R:$R,"")/4))*XLOOKUP($Q513,'Threshold Summary'!$Y:$Y,'Threshold Summary'!$L:$L,""))/100)+5)*XLOOKUP(XLOOKUP($Q513,'Threshold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Editor'!$E:$E,1))),stab,IF(OR(mtype=XLOOKUP(XLOOKUP($Q513,'Threshold Summary'!$Y:$Y,'Threshold Summary'!$K:$K,""),'Pokemon Editor'!$A:$A,'Pokemon Editor'!$C:$C,""),mtype=XLOOKUP(XLOOKUP($Q513,'Threshold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Chart'!$B$1:$S$1,0)))),base,IF(OR(cat="Status",pow=0),0,FLOOR(FLOOR(FLOOR((2*XLOOKUP($Q513,'Threshold Summary'!$Y:$Y,'Threshold Summary'!$L:$L,"")/5+2)*pow*atk/def)/50)+2)),modifier,stab*eff,AVERAGE(ARRAYFORMULA(FLOOR(base*modifier*SEQUENCE(16,1,85,1)/100)))*MIN(1,acc/100)),0)</f>
        <v/>
      </c>
      <c r="N513" s="4">
        <f>IFERROR(LET(mtype,XLOOKUP($D513,'Move Editor'!$B:$B,'Move Editor'!$C:$C,""),cat,XLOOKUP($D513,'Move Editor'!$B:$B,'Move Editor'!$D:$D,""),pow,XLOOKUP($D513,'Move Editor'!$B:$B,'Move Editor'!$E:$E,0),acc,XLOOKUP($D513,'Move Editor'!$B:$B,'Move Editor'!$F:$F,100),atk,IF(cat="Physical",FLOOR((FLOOR(((2*XLOOKUP(XLOOKUP($Q513,'Threshold Summary'!$Y:$Y,'Threshold Summary'!$K:$K,""),'Pokemon Editor'!$A:$A,'Pokemon Editor'!$F:$F,0)+31+FLOOR(XLOOKUP($Q513,'Threshold Summary'!$Y:$Y,'Threshold Summary'!$P:$P,"")/4))*XLOOKUP($Q513,'Threshold Summary'!$Y:$Y,'Threshold Summary'!$L:$L,""))/100)+5)*XLOOKUP(XLOOKUP($Q513,'Threshold Summary'!$Y:$Y,'Threshold Summary'!$M:$M,""),'Nature Editor'!$A:$A,'Nature Editor'!$B:$B,1)),FLOOR((FLOOR(((2*XLOOKUP(XLOOKUP($Q513,'Threshold Summary'!$Y:$Y,'Threshold Summary'!$K:$K,""),'Pokemon Editor'!$A:$A,'Pokemon Editor'!$H:$H,0)+31+FLOOR(XLOOKUP($Q513,'Threshold Summary'!$Y:$Y,'Threshold Summary'!$R:$R,"")/4))*XLOOKUP($Q513,'Threshold Summary'!$Y:$Y,'Threshold Summary'!$L:$L,""))/100)+5)*XLOOKUP(XLOOKUP($Q513,'Threshold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Editor'!$E:$E,1))),stab,IF(OR(mtype=XLOOKUP(XLOOKUP($Q513,'Threshold Summary'!$Y:$Y,'Threshold Summary'!$K:$K,""),'Pokemon Editor'!$A:$A,'Pokemon Editor'!$C:$C,""),mtype=XLOOKUP(XLOOKUP($Q513,'Threshold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Chart'!$B$1:$S$1,0)))),base,IF(OR(cat="Status",pow=0),0,FLOOR(FLOOR(FLOOR((2*XLOOKUP($Q513,'Threshold Summary'!$Y:$Y,'Threshold Summary'!$L:$L,"")/5+2)*pow*atk/def)/50)+2)),modifier,stab*eff,AVERAGE(ARRAYFORMULA(FLOOR(base*modifier*SEQUENCE(16,1,85,1)/100)))/(FLOOR(((2*XLOOKUP('Boss Editor'!$C$4,'Pokemon Editor'!$A:$A,'Pokemon Editor'!$E:$E,0)+31+FLOOR('Boss Editor'!$G$4/4))*'Boss Editor'!$D$4)/100)+'Boss Editor'!$D$4+10)),0)</f>
        <v/>
      </c>
      <c r="O513" s="3">
        <f>IF(N513&gt;=1,"OHKO",IF(N513&gt;=0.5,"2HKO",IF(N513&gt;=0.333,"3HKO",IF(N513&gt;=0.25,"4HKO","5HKO+"))))</f>
        <v/>
      </c>
      <c r="P513" s="3" t="inlineStr">
        <is>
          <t>Live from editable databases</t>
        </is>
      </c>
      <c r="Q513" s="3" t="inlineStr">
        <is>
          <t>SPECIES_VENIPEDE</t>
        </is>
      </c>
      <c r="R513" s="3" t="n">
        <v>32</v>
      </c>
    </row>
    <row r="514">
      <c r="A514" s="3">
        <f>XLOOKUP($Q514,'Threshold Summary'!$Y:$Y,'Threshold Summary'!$A:$A,"")</f>
        <v/>
      </c>
      <c r="B514" s="3">
        <f>XLOOKUP($Q514,'Threshold Summary'!$Y:$Y,'Threshold Summary'!$M:$M,"")</f>
        <v/>
      </c>
      <c r="C514" s="3">
        <f>XLOOKUP($Q514,'Threshold Summary'!$Y:$Y,'Threshold Summary'!$N:$N,"")</f>
        <v/>
      </c>
      <c r="D514" s="3">
        <f>IFERROR(INDEX(FILTER('Learnset Editor'!$D$2:$D,'Learnset Editor'!$A$2:$A=XLOOKUP($Q514,'Threshold Summary'!$Y:$Y,'Threshold Summary'!$K:$K,""),'Learnset Editor'!$C$2:$C&lt;=XLOOKUP($Q514,'Threshold Summary'!$Y:$Y,'Threshold Summary'!$L:$L,"")),$R514),"")</f>
        <v/>
      </c>
      <c r="E514" s="3">
        <f>XLOOKUP(D514,'Move Editor'!$B:$B,'Move Editor'!$C:$C,"")</f>
        <v/>
      </c>
      <c r="F514" s="3">
        <f>XLOOKUP(D514,'Move Editor'!$B:$B,'Move Editor'!$D:$D,"")</f>
        <v/>
      </c>
      <c r="G514" s="3">
        <f>XLOOKUP(D514,'Move Editor'!$B:$B,'Move Editor'!$E:$E,0)</f>
        <v/>
      </c>
      <c r="H514" s="3">
        <f>XLOOKUP(D514,'Move Editor'!$B:$B,'Move Editor'!$F:$F,0)</f>
        <v/>
      </c>
      <c r="I514" s="3">
        <f>(INDEX('Type Chart'!$B:$S,MATCH(E514,'Type Chart'!$A:$A,0),MATCH(XLOOKUP('Boss Editor'!$C$4,'Pokemon Editor'!$A:$A,'Pokemon Editor'!$C:$C,""),'Type Chart'!$B$1:$S$1,0))*IF(XLOOKUP('Boss Editor'!$C$4,'Pokemon Editor'!$A:$A,'Pokemon Editor'!$D:$D,"")="",1,INDEX('Type Chart'!$B:$S,MATCH(E514,'Type Chart'!$A:$A,0),MATCH(XLOOKUP('Boss Editor'!$C$4,'Pokemon Editor'!$A:$A,'Pokemon Editor'!$D:$D,""),'Type Chart'!$B$1:$S$1,0))))</f>
        <v/>
      </c>
      <c r="J514" s="3">
        <f>IFERROR(LET(mtype,XLOOKUP($D514,'Move Editor'!$B:$B,'Move Editor'!$C:$C,""),cat,XLOOKUP($D514,'Move Editor'!$B:$B,'Move Editor'!$D:$D,""),pow,XLOOKUP($D514,'Move Editor'!$B:$B,'Move Editor'!$E:$E,0),acc,XLOOKUP($D514,'Move Editor'!$B:$B,'Move Editor'!$F:$F,100),atk,IF(cat="Physical",FLOOR((FLOOR(((2*XLOOKUP(XLOOKUP($Q514,'Threshold Summary'!$Y:$Y,'Threshold Summary'!$K:$K,""),'Pokemon Editor'!$A:$A,'Pokemon Editor'!$F:$F,0)+31+FLOOR(XLOOKUP($Q514,'Threshold Summary'!$Y:$Y,'Threshold Summary'!$P:$P,"")/4))*XLOOKUP($Q514,'Threshold Summary'!$Y:$Y,'Threshold Summary'!$L:$L,""))/100)+5)*XLOOKUP(XLOOKUP($Q514,'Threshold Summary'!$Y:$Y,'Threshold Summary'!$M:$M,""),'Nature Editor'!$A:$A,'Nature Editor'!$B:$B,1)),FLOOR((FLOOR(((2*XLOOKUP(XLOOKUP($Q514,'Threshold Summary'!$Y:$Y,'Threshold Summary'!$K:$K,""),'Pokemon Editor'!$A:$A,'Pokemon Editor'!$H:$H,0)+31+FLOOR(XLOOKUP($Q514,'Threshold Summary'!$Y:$Y,'Threshold Summary'!$R:$R,"")/4))*XLOOKUP($Q514,'Threshold Summary'!$Y:$Y,'Threshold Summary'!$L:$L,""))/100)+5)*XLOOKUP(XLOOKUP($Q514,'Threshold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Editor'!$E:$E,1))),stab,IF(OR(mtype=XLOOKUP(XLOOKUP($Q514,'Threshold Summary'!$Y:$Y,'Threshold Summary'!$K:$K,""),'Pokemon Editor'!$A:$A,'Pokemon Editor'!$C:$C,""),mtype=XLOOKUP(XLOOKUP($Q514,'Threshold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Chart'!$B$1:$S$1,0)))),base,IF(OR(cat="Status",pow=0),0,FLOOR(FLOOR(FLOOR((2*XLOOKUP($Q514,'Threshold Summary'!$Y:$Y,'Threshold Summary'!$L:$L,"")/5+2)*pow*atk/def)/50)+2)),modifier,stab*eff,FLOOR(base*modifier*0.85)),0)</f>
        <v/>
      </c>
      <c r="K514" s="3">
        <f>IFERROR(LET(mtype,XLOOKUP($D514,'Move Editor'!$B:$B,'Move Editor'!$C:$C,""),cat,XLOOKUP($D514,'Move Editor'!$B:$B,'Move Editor'!$D:$D,""),pow,XLOOKUP($D514,'Move Editor'!$B:$B,'Move Editor'!$E:$E,0),acc,XLOOKUP($D514,'Move Editor'!$B:$B,'Move Editor'!$F:$F,100),atk,IF(cat="Physical",FLOOR((FLOOR(((2*XLOOKUP(XLOOKUP($Q514,'Threshold Summary'!$Y:$Y,'Threshold Summary'!$K:$K,""),'Pokemon Editor'!$A:$A,'Pokemon Editor'!$F:$F,0)+31+FLOOR(XLOOKUP($Q514,'Threshold Summary'!$Y:$Y,'Threshold Summary'!$P:$P,"")/4))*XLOOKUP($Q514,'Threshold Summary'!$Y:$Y,'Threshold Summary'!$L:$L,""))/100)+5)*XLOOKUP(XLOOKUP($Q514,'Threshold Summary'!$Y:$Y,'Threshold Summary'!$M:$M,""),'Nature Editor'!$A:$A,'Nature Editor'!$B:$B,1)),FLOOR((FLOOR(((2*XLOOKUP(XLOOKUP($Q514,'Threshold Summary'!$Y:$Y,'Threshold Summary'!$K:$K,""),'Pokemon Editor'!$A:$A,'Pokemon Editor'!$H:$H,0)+31+FLOOR(XLOOKUP($Q514,'Threshold Summary'!$Y:$Y,'Threshold Summary'!$R:$R,"")/4))*XLOOKUP($Q514,'Threshold Summary'!$Y:$Y,'Threshold Summary'!$L:$L,""))/100)+5)*XLOOKUP(XLOOKUP($Q514,'Threshold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Editor'!$E:$E,1))),stab,IF(OR(mtype=XLOOKUP(XLOOKUP($Q514,'Threshold Summary'!$Y:$Y,'Threshold Summary'!$K:$K,""),'Pokemon Editor'!$A:$A,'Pokemon Editor'!$C:$C,""),mtype=XLOOKUP(XLOOKUP($Q514,'Threshold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Chart'!$B$1:$S$1,0)))),base,IF(OR(cat="Status",pow=0),0,FLOOR(FLOOR(FLOOR((2*XLOOKUP($Q514,'Threshold Summary'!$Y:$Y,'Threshold Summary'!$L:$L,"")/5+2)*pow*atk/def)/50)+2)),modifier,stab*eff,FLOOR(base*modifier)),0)</f>
        <v/>
      </c>
      <c r="L514" s="3">
        <f>IFERROR(LET(mtype,XLOOKUP($D514,'Move Editor'!$B:$B,'Move Editor'!$C:$C,""),cat,XLOOKUP($D514,'Move Editor'!$B:$B,'Move Editor'!$D:$D,""),pow,XLOOKUP($D514,'Move Editor'!$B:$B,'Move Editor'!$E:$E,0),acc,XLOOKUP($D514,'Move Editor'!$B:$B,'Move Editor'!$F:$F,100),atk,IF(cat="Physical",FLOOR((FLOOR(((2*XLOOKUP(XLOOKUP($Q514,'Threshold Summary'!$Y:$Y,'Threshold Summary'!$K:$K,""),'Pokemon Editor'!$A:$A,'Pokemon Editor'!$F:$F,0)+31+FLOOR(XLOOKUP($Q514,'Threshold Summary'!$Y:$Y,'Threshold Summary'!$P:$P,"")/4))*XLOOKUP($Q514,'Threshold Summary'!$Y:$Y,'Threshold Summary'!$L:$L,""))/100)+5)*XLOOKUP(XLOOKUP($Q514,'Threshold Summary'!$Y:$Y,'Threshold Summary'!$M:$M,""),'Nature Editor'!$A:$A,'Nature Editor'!$B:$B,1)),FLOOR((FLOOR(((2*XLOOKUP(XLOOKUP($Q514,'Threshold Summary'!$Y:$Y,'Threshold Summary'!$K:$K,""),'Pokemon Editor'!$A:$A,'Pokemon Editor'!$H:$H,0)+31+FLOOR(XLOOKUP($Q514,'Threshold Summary'!$Y:$Y,'Threshold Summary'!$R:$R,"")/4))*XLOOKUP($Q514,'Threshold Summary'!$Y:$Y,'Threshold Summary'!$L:$L,""))/100)+5)*XLOOKUP(XLOOKUP($Q514,'Threshold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Editor'!$E:$E,1))),stab,IF(OR(mtype=XLOOKUP(XLOOKUP($Q514,'Threshold Summary'!$Y:$Y,'Threshold Summary'!$K:$K,""),'Pokemon Editor'!$A:$A,'Pokemon Editor'!$C:$C,""),mtype=XLOOKUP(XLOOKUP($Q514,'Threshold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Chart'!$B$1:$S$1,0)))),base,IF(OR(cat="Status",pow=0),0,FLOOR(FLOOR(FLOOR((2*XLOOKUP($Q514,'Threshold Summary'!$Y:$Y,'Threshold Summary'!$L:$L,"")/5+2)*pow*atk/def)/50)+2)),modifier,stab*eff,AVERAGE(ARRAYFORMULA(FLOOR(base*modifier*SEQUENCE(16,1,85,1)/100)))),0)</f>
        <v/>
      </c>
      <c r="M514" s="3">
        <f>IFERROR(LET(mtype,XLOOKUP($D514,'Move Editor'!$B:$B,'Move Editor'!$C:$C,""),cat,XLOOKUP($D514,'Move Editor'!$B:$B,'Move Editor'!$D:$D,""),pow,XLOOKUP($D514,'Move Editor'!$B:$B,'Move Editor'!$E:$E,0),acc,XLOOKUP($D514,'Move Editor'!$B:$B,'Move Editor'!$F:$F,100),atk,IF(cat="Physical",FLOOR((FLOOR(((2*XLOOKUP(XLOOKUP($Q514,'Threshold Summary'!$Y:$Y,'Threshold Summary'!$K:$K,""),'Pokemon Editor'!$A:$A,'Pokemon Editor'!$F:$F,0)+31+FLOOR(XLOOKUP($Q514,'Threshold Summary'!$Y:$Y,'Threshold Summary'!$P:$P,"")/4))*XLOOKUP($Q514,'Threshold Summary'!$Y:$Y,'Threshold Summary'!$L:$L,""))/100)+5)*XLOOKUP(XLOOKUP($Q514,'Threshold Summary'!$Y:$Y,'Threshold Summary'!$M:$M,""),'Nature Editor'!$A:$A,'Nature Editor'!$B:$B,1)),FLOOR((FLOOR(((2*XLOOKUP(XLOOKUP($Q514,'Threshold Summary'!$Y:$Y,'Threshold Summary'!$K:$K,""),'Pokemon Editor'!$A:$A,'Pokemon Editor'!$H:$H,0)+31+FLOOR(XLOOKUP($Q514,'Threshold Summary'!$Y:$Y,'Threshold Summary'!$R:$R,"")/4))*XLOOKUP($Q514,'Threshold Summary'!$Y:$Y,'Threshold Summary'!$L:$L,""))/100)+5)*XLOOKUP(XLOOKUP($Q514,'Threshold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Editor'!$E:$E,1))),stab,IF(OR(mtype=XLOOKUP(XLOOKUP($Q514,'Threshold Summary'!$Y:$Y,'Threshold Summary'!$K:$K,""),'Pokemon Editor'!$A:$A,'Pokemon Editor'!$C:$C,""),mtype=XLOOKUP(XLOOKUP($Q514,'Threshold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Chart'!$B$1:$S$1,0)))),base,IF(OR(cat="Status",pow=0),0,FLOOR(FLOOR(FLOOR((2*XLOOKUP($Q514,'Threshold Summary'!$Y:$Y,'Threshold Summary'!$L:$L,"")/5+2)*pow*atk/def)/50)+2)),modifier,stab*eff,AVERAGE(ARRAYFORMULA(FLOOR(base*modifier*SEQUENCE(16,1,85,1)/100)))*MIN(1,acc/100)),0)</f>
        <v/>
      </c>
      <c r="N514" s="4">
        <f>IFERROR(LET(mtype,XLOOKUP($D514,'Move Editor'!$B:$B,'Move Editor'!$C:$C,""),cat,XLOOKUP($D514,'Move Editor'!$B:$B,'Move Editor'!$D:$D,""),pow,XLOOKUP($D514,'Move Editor'!$B:$B,'Move Editor'!$E:$E,0),acc,XLOOKUP($D514,'Move Editor'!$B:$B,'Move Editor'!$F:$F,100),atk,IF(cat="Physical",FLOOR((FLOOR(((2*XLOOKUP(XLOOKUP($Q514,'Threshold Summary'!$Y:$Y,'Threshold Summary'!$K:$K,""),'Pokemon Editor'!$A:$A,'Pokemon Editor'!$F:$F,0)+31+FLOOR(XLOOKUP($Q514,'Threshold Summary'!$Y:$Y,'Threshold Summary'!$P:$P,"")/4))*XLOOKUP($Q514,'Threshold Summary'!$Y:$Y,'Threshold Summary'!$L:$L,""))/100)+5)*XLOOKUP(XLOOKUP($Q514,'Threshold Summary'!$Y:$Y,'Threshold Summary'!$M:$M,""),'Nature Editor'!$A:$A,'Nature Editor'!$B:$B,1)),FLOOR((FLOOR(((2*XLOOKUP(XLOOKUP($Q514,'Threshold Summary'!$Y:$Y,'Threshold Summary'!$K:$K,""),'Pokemon Editor'!$A:$A,'Pokemon Editor'!$H:$H,0)+31+FLOOR(XLOOKUP($Q514,'Threshold Summary'!$Y:$Y,'Threshold Summary'!$R:$R,"")/4))*XLOOKUP($Q514,'Threshold Summary'!$Y:$Y,'Threshold Summary'!$L:$L,""))/100)+5)*XLOOKUP(XLOOKUP($Q514,'Threshold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Editor'!$E:$E,1))),stab,IF(OR(mtype=XLOOKUP(XLOOKUP($Q514,'Threshold Summary'!$Y:$Y,'Threshold Summary'!$K:$K,""),'Pokemon Editor'!$A:$A,'Pokemon Editor'!$C:$C,""),mtype=XLOOKUP(XLOOKUP($Q514,'Threshold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Chart'!$B$1:$S$1,0)))),base,IF(OR(cat="Status",pow=0),0,FLOOR(FLOOR(FLOOR((2*XLOOKUP($Q514,'Threshold Summary'!$Y:$Y,'Threshold Summary'!$L:$L,"")/5+2)*pow*atk/def)/50)+2)),modifier,stab*eff,AVERAGE(ARRAYFORMULA(FLOOR(base*modifier*SEQUENCE(16,1,85,1)/100)))/(FLOOR(((2*XLOOKUP('Boss Editor'!$C$4,'Pokemon Editor'!$A:$A,'Pokemon Editor'!$E:$E,0)+31+FLOOR('Boss Editor'!$G$4/4))*'Boss Editor'!$D$4)/100)+'Boss Editor'!$D$4+10)),0)</f>
        <v/>
      </c>
      <c r="O514" s="3">
        <f>IF(N514&gt;=1,"OHKO",IF(N514&gt;=0.5,"2HKO",IF(N514&gt;=0.333,"3HKO",IF(N514&gt;=0.25,"4HKO","5HKO+"))))</f>
        <v/>
      </c>
      <c r="P514" s="3" t="inlineStr">
        <is>
          <t>Live from editable databases</t>
        </is>
      </c>
      <c r="Q514" s="3" t="inlineStr">
        <is>
          <t>SPECIES_MINCCINO</t>
        </is>
      </c>
      <c r="R514" s="3" t="n">
        <v>1</v>
      </c>
    </row>
    <row r="515">
      <c r="A515" s="3">
        <f>XLOOKUP($Q515,'Threshold Summary'!$Y:$Y,'Threshold Summary'!$A:$A,"")</f>
        <v/>
      </c>
      <c r="B515" s="3">
        <f>XLOOKUP($Q515,'Threshold Summary'!$Y:$Y,'Threshold Summary'!$M:$M,"")</f>
        <v/>
      </c>
      <c r="C515" s="3">
        <f>XLOOKUP($Q515,'Threshold Summary'!$Y:$Y,'Threshold Summary'!$N:$N,"")</f>
        <v/>
      </c>
      <c r="D515" s="3">
        <f>IFERROR(INDEX(FILTER('Learnset Editor'!$D$2:$D,'Learnset Editor'!$A$2:$A=XLOOKUP($Q515,'Threshold Summary'!$Y:$Y,'Threshold Summary'!$K:$K,""),'Learnset Editor'!$C$2:$C&lt;=XLOOKUP($Q515,'Threshold Summary'!$Y:$Y,'Threshold Summary'!$L:$L,"")),$R515),"")</f>
        <v/>
      </c>
      <c r="E515" s="3">
        <f>XLOOKUP(D515,'Move Editor'!$B:$B,'Move Editor'!$C:$C,"")</f>
        <v/>
      </c>
      <c r="F515" s="3">
        <f>XLOOKUP(D515,'Move Editor'!$B:$B,'Move Editor'!$D:$D,"")</f>
        <v/>
      </c>
      <c r="G515" s="3">
        <f>XLOOKUP(D515,'Move Editor'!$B:$B,'Move Editor'!$E:$E,0)</f>
        <v/>
      </c>
      <c r="H515" s="3">
        <f>XLOOKUP(D515,'Move Editor'!$B:$B,'Move Editor'!$F:$F,0)</f>
        <v/>
      </c>
      <c r="I515" s="3">
        <f>(INDEX('Type Chart'!$B:$S,MATCH(E515,'Type Chart'!$A:$A,0),MATCH(XLOOKUP('Boss Editor'!$C$4,'Pokemon Editor'!$A:$A,'Pokemon Editor'!$C:$C,""),'Type Chart'!$B$1:$S$1,0))*IF(XLOOKUP('Boss Editor'!$C$4,'Pokemon Editor'!$A:$A,'Pokemon Editor'!$D:$D,"")="",1,INDEX('Type Chart'!$B:$S,MATCH(E515,'Type Chart'!$A:$A,0),MATCH(XLOOKUP('Boss Editor'!$C$4,'Pokemon Editor'!$A:$A,'Pokemon Editor'!$D:$D,""),'Type Chart'!$B$1:$S$1,0))))</f>
        <v/>
      </c>
      <c r="J515" s="3">
        <f>IFERROR(LET(mtype,XLOOKUP($D515,'Move Editor'!$B:$B,'Move Editor'!$C:$C,""),cat,XLOOKUP($D515,'Move Editor'!$B:$B,'Move Editor'!$D:$D,""),pow,XLOOKUP($D515,'Move Editor'!$B:$B,'Move Editor'!$E:$E,0),acc,XLOOKUP($D515,'Move Editor'!$B:$B,'Move Editor'!$F:$F,100),atk,IF(cat="Physical",FLOOR((FLOOR(((2*XLOOKUP(XLOOKUP($Q515,'Threshold Summary'!$Y:$Y,'Threshold Summary'!$K:$K,""),'Pokemon Editor'!$A:$A,'Pokemon Editor'!$F:$F,0)+31+FLOOR(XLOOKUP($Q515,'Threshold Summary'!$Y:$Y,'Threshold Summary'!$P:$P,"")/4))*XLOOKUP($Q515,'Threshold Summary'!$Y:$Y,'Threshold Summary'!$L:$L,""))/100)+5)*XLOOKUP(XLOOKUP($Q515,'Threshold Summary'!$Y:$Y,'Threshold Summary'!$M:$M,""),'Nature Editor'!$A:$A,'Nature Editor'!$B:$B,1)),FLOOR((FLOOR(((2*XLOOKUP(XLOOKUP($Q515,'Threshold Summary'!$Y:$Y,'Threshold Summary'!$K:$K,""),'Pokemon Editor'!$A:$A,'Pokemon Editor'!$H:$H,0)+31+FLOOR(XLOOKUP($Q515,'Threshold Summary'!$Y:$Y,'Threshold Summary'!$R:$R,"")/4))*XLOOKUP($Q515,'Threshold Summary'!$Y:$Y,'Threshold Summary'!$L:$L,""))/100)+5)*XLOOKUP(XLOOKUP($Q515,'Threshold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Editor'!$E:$E,1))),stab,IF(OR(mtype=XLOOKUP(XLOOKUP($Q515,'Threshold Summary'!$Y:$Y,'Threshold Summary'!$K:$K,""),'Pokemon Editor'!$A:$A,'Pokemon Editor'!$C:$C,""),mtype=XLOOKUP(XLOOKUP($Q515,'Threshold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Chart'!$B$1:$S$1,0)))),base,IF(OR(cat="Status",pow=0),0,FLOOR(FLOOR(FLOOR((2*XLOOKUP($Q515,'Threshold Summary'!$Y:$Y,'Threshold Summary'!$L:$L,"")/5+2)*pow*atk/def)/50)+2)),modifier,stab*eff,FLOOR(base*modifier*0.85)),0)</f>
        <v/>
      </c>
      <c r="K515" s="3">
        <f>IFERROR(LET(mtype,XLOOKUP($D515,'Move Editor'!$B:$B,'Move Editor'!$C:$C,""),cat,XLOOKUP($D515,'Move Editor'!$B:$B,'Move Editor'!$D:$D,""),pow,XLOOKUP($D515,'Move Editor'!$B:$B,'Move Editor'!$E:$E,0),acc,XLOOKUP($D515,'Move Editor'!$B:$B,'Move Editor'!$F:$F,100),atk,IF(cat="Physical",FLOOR((FLOOR(((2*XLOOKUP(XLOOKUP($Q515,'Threshold Summary'!$Y:$Y,'Threshold Summary'!$K:$K,""),'Pokemon Editor'!$A:$A,'Pokemon Editor'!$F:$F,0)+31+FLOOR(XLOOKUP($Q515,'Threshold Summary'!$Y:$Y,'Threshold Summary'!$P:$P,"")/4))*XLOOKUP($Q515,'Threshold Summary'!$Y:$Y,'Threshold Summary'!$L:$L,""))/100)+5)*XLOOKUP(XLOOKUP($Q515,'Threshold Summary'!$Y:$Y,'Threshold Summary'!$M:$M,""),'Nature Editor'!$A:$A,'Nature Editor'!$B:$B,1)),FLOOR((FLOOR(((2*XLOOKUP(XLOOKUP($Q515,'Threshold Summary'!$Y:$Y,'Threshold Summary'!$K:$K,""),'Pokemon Editor'!$A:$A,'Pokemon Editor'!$H:$H,0)+31+FLOOR(XLOOKUP($Q515,'Threshold Summary'!$Y:$Y,'Threshold Summary'!$R:$R,"")/4))*XLOOKUP($Q515,'Threshold Summary'!$Y:$Y,'Threshold Summary'!$L:$L,""))/100)+5)*XLOOKUP(XLOOKUP($Q515,'Threshold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Editor'!$E:$E,1))),stab,IF(OR(mtype=XLOOKUP(XLOOKUP($Q515,'Threshold Summary'!$Y:$Y,'Threshold Summary'!$K:$K,""),'Pokemon Editor'!$A:$A,'Pokemon Editor'!$C:$C,""),mtype=XLOOKUP(XLOOKUP($Q515,'Threshold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Chart'!$B$1:$S$1,0)))),base,IF(OR(cat="Status",pow=0),0,FLOOR(FLOOR(FLOOR((2*XLOOKUP($Q515,'Threshold Summary'!$Y:$Y,'Threshold Summary'!$L:$L,"")/5+2)*pow*atk/def)/50)+2)),modifier,stab*eff,FLOOR(base*modifier)),0)</f>
        <v/>
      </c>
      <c r="L515" s="3">
        <f>IFERROR(LET(mtype,XLOOKUP($D515,'Move Editor'!$B:$B,'Move Editor'!$C:$C,""),cat,XLOOKUP($D515,'Move Editor'!$B:$B,'Move Editor'!$D:$D,""),pow,XLOOKUP($D515,'Move Editor'!$B:$B,'Move Editor'!$E:$E,0),acc,XLOOKUP($D515,'Move Editor'!$B:$B,'Move Editor'!$F:$F,100),atk,IF(cat="Physical",FLOOR((FLOOR(((2*XLOOKUP(XLOOKUP($Q515,'Threshold Summary'!$Y:$Y,'Threshold Summary'!$K:$K,""),'Pokemon Editor'!$A:$A,'Pokemon Editor'!$F:$F,0)+31+FLOOR(XLOOKUP($Q515,'Threshold Summary'!$Y:$Y,'Threshold Summary'!$P:$P,"")/4))*XLOOKUP($Q515,'Threshold Summary'!$Y:$Y,'Threshold Summary'!$L:$L,""))/100)+5)*XLOOKUP(XLOOKUP($Q515,'Threshold Summary'!$Y:$Y,'Threshold Summary'!$M:$M,""),'Nature Editor'!$A:$A,'Nature Editor'!$B:$B,1)),FLOOR((FLOOR(((2*XLOOKUP(XLOOKUP($Q515,'Threshold Summary'!$Y:$Y,'Threshold Summary'!$K:$K,""),'Pokemon Editor'!$A:$A,'Pokemon Editor'!$H:$H,0)+31+FLOOR(XLOOKUP($Q515,'Threshold Summary'!$Y:$Y,'Threshold Summary'!$R:$R,"")/4))*XLOOKUP($Q515,'Threshold Summary'!$Y:$Y,'Threshold Summary'!$L:$L,""))/100)+5)*XLOOKUP(XLOOKUP($Q515,'Threshold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Editor'!$E:$E,1))),stab,IF(OR(mtype=XLOOKUP(XLOOKUP($Q515,'Threshold Summary'!$Y:$Y,'Threshold Summary'!$K:$K,""),'Pokemon Editor'!$A:$A,'Pokemon Editor'!$C:$C,""),mtype=XLOOKUP(XLOOKUP($Q515,'Threshold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Chart'!$B$1:$S$1,0)))),base,IF(OR(cat="Status",pow=0),0,FLOOR(FLOOR(FLOOR((2*XLOOKUP($Q515,'Threshold Summary'!$Y:$Y,'Threshold Summary'!$L:$L,"")/5+2)*pow*atk/def)/50)+2)),modifier,stab*eff,AVERAGE(ARRAYFORMULA(FLOOR(base*modifier*SEQUENCE(16,1,85,1)/100)))),0)</f>
        <v/>
      </c>
      <c r="M515" s="3">
        <f>IFERROR(LET(mtype,XLOOKUP($D515,'Move Editor'!$B:$B,'Move Editor'!$C:$C,""),cat,XLOOKUP($D515,'Move Editor'!$B:$B,'Move Editor'!$D:$D,""),pow,XLOOKUP($D515,'Move Editor'!$B:$B,'Move Editor'!$E:$E,0),acc,XLOOKUP($D515,'Move Editor'!$B:$B,'Move Editor'!$F:$F,100),atk,IF(cat="Physical",FLOOR((FLOOR(((2*XLOOKUP(XLOOKUP($Q515,'Threshold Summary'!$Y:$Y,'Threshold Summary'!$K:$K,""),'Pokemon Editor'!$A:$A,'Pokemon Editor'!$F:$F,0)+31+FLOOR(XLOOKUP($Q515,'Threshold Summary'!$Y:$Y,'Threshold Summary'!$P:$P,"")/4))*XLOOKUP($Q515,'Threshold Summary'!$Y:$Y,'Threshold Summary'!$L:$L,""))/100)+5)*XLOOKUP(XLOOKUP($Q515,'Threshold Summary'!$Y:$Y,'Threshold Summary'!$M:$M,""),'Nature Editor'!$A:$A,'Nature Editor'!$B:$B,1)),FLOOR((FLOOR(((2*XLOOKUP(XLOOKUP($Q515,'Threshold Summary'!$Y:$Y,'Threshold Summary'!$K:$K,""),'Pokemon Editor'!$A:$A,'Pokemon Editor'!$H:$H,0)+31+FLOOR(XLOOKUP($Q515,'Threshold Summary'!$Y:$Y,'Threshold Summary'!$R:$R,"")/4))*XLOOKUP($Q515,'Threshold Summary'!$Y:$Y,'Threshold Summary'!$L:$L,""))/100)+5)*XLOOKUP(XLOOKUP($Q515,'Threshold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Editor'!$E:$E,1))),stab,IF(OR(mtype=XLOOKUP(XLOOKUP($Q515,'Threshold Summary'!$Y:$Y,'Threshold Summary'!$K:$K,""),'Pokemon Editor'!$A:$A,'Pokemon Editor'!$C:$C,""),mtype=XLOOKUP(XLOOKUP($Q515,'Threshold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Chart'!$B$1:$S$1,0)))),base,IF(OR(cat="Status",pow=0),0,FLOOR(FLOOR(FLOOR((2*XLOOKUP($Q515,'Threshold Summary'!$Y:$Y,'Threshold Summary'!$L:$L,"")/5+2)*pow*atk/def)/50)+2)),modifier,stab*eff,AVERAGE(ARRAYFORMULA(FLOOR(base*modifier*SEQUENCE(16,1,85,1)/100)))*MIN(1,acc/100)),0)</f>
        <v/>
      </c>
      <c r="N515" s="4">
        <f>IFERROR(LET(mtype,XLOOKUP($D515,'Move Editor'!$B:$B,'Move Editor'!$C:$C,""),cat,XLOOKUP($D515,'Move Editor'!$B:$B,'Move Editor'!$D:$D,""),pow,XLOOKUP($D515,'Move Editor'!$B:$B,'Move Editor'!$E:$E,0),acc,XLOOKUP($D515,'Move Editor'!$B:$B,'Move Editor'!$F:$F,100),atk,IF(cat="Physical",FLOOR((FLOOR(((2*XLOOKUP(XLOOKUP($Q515,'Threshold Summary'!$Y:$Y,'Threshold Summary'!$K:$K,""),'Pokemon Editor'!$A:$A,'Pokemon Editor'!$F:$F,0)+31+FLOOR(XLOOKUP($Q515,'Threshold Summary'!$Y:$Y,'Threshold Summary'!$P:$P,"")/4))*XLOOKUP($Q515,'Threshold Summary'!$Y:$Y,'Threshold Summary'!$L:$L,""))/100)+5)*XLOOKUP(XLOOKUP($Q515,'Threshold Summary'!$Y:$Y,'Threshold Summary'!$M:$M,""),'Nature Editor'!$A:$A,'Nature Editor'!$B:$B,1)),FLOOR((FLOOR(((2*XLOOKUP(XLOOKUP($Q515,'Threshold Summary'!$Y:$Y,'Threshold Summary'!$K:$K,""),'Pokemon Editor'!$A:$A,'Pokemon Editor'!$H:$H,0)+31+FLOOR(XLOOKUP($Q515,'Threshold Summary'!$Y:$Y,'Threshold Summary'!$R:$R,"")/4))*XLOOKUP($Q515,'Threshold Summary'!$Y:$Y,'Threshold Summary'!$L:$L,""))/100)+5)*XLOOKUP(XLOOKUP($Q515,'Threshold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Editor'!$E:$E,1))),stab,IF(OR(mtype=XLOOKUP(XLOOKUP($Q515,'Threshold Summary'!$Y:$Y,'Threshold Summary'!$K:$K,""),'Pokemon Editor'!$A:$A,'Pokemon Editor'!$C:$C,""),mtype=XLOOKUP(XLOOKUP($Q515,'Threshold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Chart'!$B$1:$S$1,0)))),base,IF(OR(cat="Status",pow=0),0,FLOOR(FLOOR(FLOOR((2*XLOOKUP($Q515,'Threshold Summary'!$Y:$Y,'Threshold Summary'!$L:$L,"")/5+2)*pow*atk/def)/50)+2)),modifier,stab*eff,AVERAGE(ARRAYFORMULA(FLOOR(base*modifier*SEQUENCE(16,1,85,1)/100)))/(FLOOR(((2*XLOOKUP('Boss Editor'!$C$4,'Pokemon Editor'!$A:$A,'Pokemon Editor'!$E:$E,0)+31+FLOOR('Boss Editor'!$G$4/4))*'Boss Editor'!$D$4)/100)+'Boss Editor'!$D$4+10)),0)</f>
        <v/>
      </c>
      <c r="O515" s="3">
        <f>IF(N515&gt;=1,"OHKO",IF(N515&gt;=0.5,"2HKO",IF(N515&gt;=0.333,"3HKO",IF(N515&gt;=0.25,"4HKO","5HKO+"))))</f>
        <v/>
      </c>
      <c r="P515" s="3" t="inlineStr">
        <is>
          <t>Live from editable databases</t>
        </is>
      </c>
      <c r="Q515" s="3" t="inlineStr">
        <is>
          <t>SPECIES_MINCCINO</t>
        </is>
      </c>
      <c r="R515" s="3" t="n">
        <v>2</v>
      </c>
    </row>
    <row r="516">
      <c r="A516" s="3">
        <f>XLOOKUP($Q516,'Threshold Summary'!$Y:$Y,'Threshold Summary'!$A:$A,"")</f>
        <v/>
      </c>
      <c r="B516" s="3">
        <f>XLOOKUP($Q516,'Threshold Summary'!$Y:$Y,'Threshold Summary'!$M:$M,"")</f>
        <v/>
      </c>
      <c r="C516" s="3">
        <f>XLOOKUP($Q516,'Threshold Summary'!$Y:$Y,'Threshold Summary'!$N:$N,"")</f>
        <v/>
      </c>
      <c r="D516" s="3">
        <f>IFERROR(INDEX(FILTER('Learnset Editor'!$D$2:$D,'Learnset Editor'!$A$2:$A=XLOOKUP($Q516,'Threshold Summary'!$Y:$Y,'Threshold Summary'!$K:$K,""),'Learnset Editor'!$C$2:$C&lt;=XLOOKUP($Q516,'Threshold Summary'!$Y:$Y,'Threshold Summary'!$L:$L,"")),$R516),"")</f>
        <v/>
      </c>
      <c r="E516" s="3">
        <f>XLOOKUP(D516,'Move Editor'!$B:$B,'Move Editor'!$C:$C,"")</f>
        <v/>
      </c>
      <c r="F516" s="3">
        <f>XLOOKUP(D516,'Move Editor'!$B:$B,'Move Editor'!$D:$D,"")</f>
        <v/>
      </c>
      <c r="G516" s="3">
        <f>XLOOKUP(D516,'Move Editor'!$B:$B,'Move Editor'!$E:$E,0)</f>
        <v/>
      </c>
      <c r="H516" s="3">
        <f>XLOOKUP(D516,'Move Editor'!$B:$B,'Move Editor'!$F:$F,0)</f>
        <v/>
      </c>
      <c r="I516" s="3">
        <f>(INDEX('Type Chart'!$B:$S,MATCH(E516,'Type Chart'!$A:$A,0),MATCH(XLOOKUP('Boss Editor'!$C$4,'Pokemon Editor'!$A:$A,'Pokemon Editor'!$C:$C,""),'Type Chart'!$B$1:$S$1,0))*IF(XLOOKUP('Boss Editor'!$C$4,'Pokemon Editor'!$A:$A,'Pokemon Editor'!$D:$D,"")="",1,INDEX('Type Chart'!$B:$S,MATCH(E516,'Type Chart'!$A:$A,0),MATCH(XLOOKUP('Boss Editor'!$C$4,'Pokemon Editor'!$A:$A,'Pokemon Editor'!$D:$D,""),'Type Chart'!$B$1:$S$1,0))))</f>
        <v/>
      </c>
      <c r="J516" s="3">
        <f>IFERROR(LET(mtype,XLOOKUP($D516,'Move Editor'!$B:$B,'Move Editor'!$C:$C,""),cat,XLOOKUP($D516,'Move Editor'!$B:$B,'Move Editor'!$D:$D,""),pow,XLOOKUP($D516,'Move Editor'!$B:$B,'Move Editor'!$E:$E,0),acc,XLOOKUP($D516,'Move Editor'!$B:$B,'Move Editor'!$F:$F,100),atk,IF(cat="Physical",FLOOR((FLOOR(((2*XLOOKUP(XLOOKUP($Q516,'Threshold Summary'!$Y:$Y,'Threshold Summary'!$K:$K,""),'Pokemon Editor'!$A:$A,'Pokemon Editor'!$F:$F,0)+31+FLOOR(XLOOKUP($Q516,'Threshold Summary'!$Y:$Y,'Threshold Summary'!$P:$P,"")/4))*XLOOKUP($Q516,'Threshold Summary'!$Y:$Y,'Threshold Summary'!$L:$L,""))/100)+5)*XLOOKUP(XLOOKUP($Q516,'Threshold Summary'!$Y:$Y,'Threshold Summary'!$M:$M,""),'Nature Editor'!$A:$A,'Nature Editor'!$B:$B,1)),FLOOR((FLOOR(((2*XLOOKUP(XLOOKUP($Q516,'Threshold Summary'!$Y:$Y,'Threshold Summary'!$K:$K,""),'Pokemon Editor'!$A:$A,'Pokemon Editor'!$H:$H,0)+31+FLOOR(XLOOKUP($Q516,'Threshold Summary'!$Y:$Y,'Threshold Summary'!$R:$R,"")/4))*XLOOKUP($Q516,'Threshold Summary'!$Y:$Y,'Threshold Summary'!$L:$L,""))/100)+5)*XLOOKUP(XLOOKUP($Q516,'Threshold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Editor'!$E:$E,1))),stab,IF(OR(mtype=XLOOKUP(XLOOKUP($Q516,'Threshold Summary'!$Y:$Y,'Threshold Summary'!$K:$K,""),'Pokemon Editor'!$A:$A,'Pokemon Editor'!$C:$C,""),mtype=XLOOKUP(XLOOKUP($Q516,'Threshold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Chart'!$B$1:$S$1,0)))),base,IF(OR(cat="Status",pow=0),0,FLOOR(FLOOR(FLOOR((2*XLOOKUP($Q516,'Threshold Summary'!$Y:$Y,'Threshold Summary'!$L:$L,"")/5+2)*pow*atk/def)/50)+2)),modifier,stab*eff,FLOOR(base*modifier*0.85)),0)</f>
        <v/>
      </c>
      <c r="K516" s="3">
        <f>IFERROR(LET(mtype,XLOOKUP($D516,'Move Editor'!$B:$B,'Move Editor'!$C:$C,""),cat,XLOOKUP($D516,'Move Editor'!$B:$B,'Move Editor'!$D:$D,""),pow,XLOOKUP($D516,'Move Editor'!$B:$B,'Move Editor'!$E:$E,0),acc,XLOOKUP($D516,'Move Editor'!$B:$B,'Move Editor'!$F:$F,100),atk,IF(cat="Physical",FLOOR((FLOOR(((2*XLOOKUP(XLOOKUP($Q516,'Threshold Summary'!$Y:$Y,'Threshold Summary'!$K:$K,""),'Pokemon Editor'!$A:$A,'Pokemon Editor'!$F:$F,0)+31+FLOOR(XLOOKUP($Q516,'Threshold Summary'!$Y:$Y,'Threshold Summary'!$P:$P,"")/4))*XLOOKUP($Q516,'Threshold Summary'!$Y:$Y,'Threshold Summary'!$L:$L,""))/100)+5)*XLOOKUP(XLOOKUP($Q516,'Threshold Summary'!$Y:$Y,'Threshold Summary'!$M:$M,""),'Nature Editor'!$A:$A,'Nature Editor'!$B:$B,1)),FLOOR((FLOOR(((2*XLOOKUP(XLOOKUP($Q516,'Threshold Summary'!$Y:$Y,'Threshold Summary'!$K:$K,""),'Pokemon Editor'!$A:$A,'Pokemon Editor'!$H:$H,0)+31+FLOOR(XLOOKUP($Q516,'Threshold Summary'!$Y:$Y,'Threshold Summary'!$R:$R,"")/4))*XLOOKUP($Q516,'Threshold Summary'!$Y:$Y,'Threshold Summary'!$L:$L,""))/100)+5)*XLOOKUP(XLOOKUP($Q516,'Threshold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Editor'!$E:$E,1))),stab,IF(OR(mtype=XLOOKUP(XLOOKUP($Q516,'Threshold Summary'!$Y:$Y,'Threshold Summary'!$K:$K,""),'Pokemon Editor'!$A:$A,'Pokemon Editor'!$C:$C,""),mtype=XLOOKUP(XLOOKUP($Q516,'Threshold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Chart'!$B$1:$S$1,0)))),base,IF(OR(cat="Status",pow=0),0,FLOOR(FLOOR(FLOOR((2*XLOOKUP($Q516,'Threshold Summary'!$Y:$Y,'Threshold Summary'!$L:$L,"")/5+2)*pow*atk/def)/50)+2)),modifier,stab*eff,FLOOR(base*modifier)),0)</f>
        <v/>
      </c>
      <c r="L516" s="3">
        <f>IFERROR(LET(mtype,XLOOKUP($D516,'Move Editor'!$B:$B,'Move Editor'!$C:$C,""),cat,XLOOKUP($D516,'Move Editor'!$B:$B,'Move Editor'!$D:$D,""),pow,XLOOKUP($D516,'Move Editor'!$B:$B,'Move Editor'!$E:$E,0),acc,XLOOKUP($D516,'Move Editor'!$B:$B,'Move Editor'!$F:$F,100),atk,IF(cat="Physical",FLOOR((FLOOR(((2*XLOOKUP(XLOOKUP($Q516,'Threshold Summary'!$Y:$Y,'Threshold Summary'!$K:$K,""),'Pokemon Editor'!$A:$A,'Pokemon Editor'!$F:$F,0)+31+FLOOR(XLOOKUP($Q516,'Threshold Summary'!$Y:$Y,'Threshold Summary'!$P:$P,"")/4))*XLOOKUP($Q516,'Threshold Summary'!$Y:$Y,'Threshold Summary'!$L:$L,""))/100)+5)*XLOOKUP(XLOOKUP($Q516,'Threshold Summary'!$Y:$Y,'Threshold Summary'!$M:$M,""),'Nature Editor'!$A:$A,'Nature Editor'!$B:$B,1)),FLOOR((FLOOR(((2*XLOOKUP(XLOOKUP($Q516,'Threshold Summary'!$Y:$Y,'Threshold Summary'!$K:$K,""),'Pokemon Editor'!$A:$A,'Pokemon Editor'!$H:$H,0)+31+FLOOR(XLOOKUP($Q516,'Threshold Summary'!$Y:$Y,'Threshold Summary'!$R:$R,"")/4))*XLOOKUP($Q516,'Threshold Summary'!$Y:$Y,'Threshold Summary'!$L:$L,""))/100)+5)*XLOOKUP(XLOOKUP($Q516,'Threshold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Editor'!$E:$E,1))),stab,IF(OR(mtype=XLOOKUP(XLOOKUP($Q516,'Threshold Summary'!$Y:$Y,'Threshold Summary'!$K:$K,""),'Pokemon Editor'!$A:$A,'Pokemon Editor'!$C:$C,""),mtype=XLOOKUP(XLOOKUP($Q516,'Threshold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Chart'!$B$1:$S$1,0)))),base,IF(OR(cat="Status",pow=0),0,FLOOR(FLOOR(FLOOR((2*XLOOKUP($Q516,'Threshold Summary'!$Y:$Y,'Threshold Summary'!$L:$L,"")/5+2)*pow*atk/def)/50)+2)),modifier,stab*eff,AVERAGE(ARRAYFORMULA(FLOOR(base*modifier*SEQUENCE(16,1,85,1)/100)))),0)</f>
        <v/>
      </c>
      <c r="M516" s="3">
        <f>IFERROR(LET(mtype,XLOOKUP($D516,'Move Editor'!$B:$B,'Move Editor'!$C:$C,""),cat,XLOOKUP($D516,'Move Editor'!$B:$B,'Move Editor'!$D:$D,""),pow,XLOOKUP($D516,'Move Editor'!$B:$B,'Move Editor'!$E:$E,0),acc,XLOOKUP($D516,'Move Editor'!$B:$B,'Move Editor'!$F:$F,100),atk,IF(cat="Physical",FLOOR((FLOOR(((2*XLOOKUP(XLOOKUP($Q516,'Threshold Summary'!$Y:$Y,'Threshold Summary'!$K:$K,""),'Pokemon Editor'!$A:$A,'Pokemon Editor'!$F:$F,0)+31+FLOOR(XLOOKUP($Q516,'Threshold Summary'!$Y:$Y,'Threshold Summary'!$P:$P,"")/4))*XLOOKUP($Q516,'Threshold Summary'!$Y:$Y,'Threshold Summary'!$L:$L,""))/100)+5)*XLOOKUP(XLOOKUP($Q516,'Threshold Summary'!$Y:$Y,'Threshold Summary'!$M:$M,""),'Nature Editor'!$A:$A,'Nature Editor'!$B:$B,1)),FLOOR((FLOOR(((2*XLOOKUP(XLOOKUP($Q516,'Threshold Summary'!$Y:$Y,'Threshold Summary'!$K:$K,""),'Pokemon Editor'!$A:$A,'Pokemon Editor'!$H:$H,0)+31+FLOOR(XLOOKUP($Q516,'Threshold Summary'!$Y:$Y,'Threshold Summary'!$R:$R,"")/4))*XLOOKUP($Q516,'Threshold Summary'!$Y:$Y,'Threshold Summary'!$L:$L,""))/100)+5)*XLOOKUP(XLOOKUP($Q516,'Threshold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Editor'!$E:$E,1))),stab,IF(OR(mtype=XLOOKUP(XLOOKUP($Q516,'Threshold Summary'!$Y:$Y,'Threshold Summary'!$K:$K,""),'Pokemon Editor'!$A:$A,'Pokemon Editor'!$C:$C,""),mtype=XLOOKUP(XLOOKUP($Q516,'Threshold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Chart'!$B$1:$S$1,0)))),base,IF(OR(cat="Status",pow=0),0,FLOOR(FLOOR(FLOOR((2*XLOOKUP($Q516,'Threshold Summary'!$Y:$Y,'Threshold Summary'!$L:$L,"")/5+2)*pow*atk/def)/50)+2)),modifier,stab*eff,AVERAGE(ARRAYFORMULA(FLOOR(base*modifier*SEQUENCE(16,1,85,1)/100)))*MIN(1,acc/100)),0)</f>
        <v/>
      </c>
      <c r="N516" s="4">
        <f>IFERROR(LET(mtype,XLOOKUP($D516,'Move Editor'!$B:$B,'Move Editor'!$C:$C,""),cat,XLOOKUP($D516,'Move Editor'!$B:$B,'Move Editor'!$D:$D,""),pow,XLOOKUP($D516,'Move Editor'!$B:$B,'Move Editor'!$E:$E,0),acc,XLOOKUP($D516,'Move Editor'!$B:$B,'Move Editor'!$F:$F,100),atk,IF(cat="Physical",FLOOR((FLOOR(((2*XLOOKUP(XLOOKUP($Q516,'Threshold Summary'!$Y:$Y,'Threshold Summary'!$K:$K,""),'Pokemon Editor'!$A:$A,'Pokemon Editor'!$F:$F,0)+31+FLOOR(XLOOKUP($Q516,'Threshold Summary'!$Y:$Y,'Threshold Summary'!$P:$P,"")/4))*XLOOKUP($Q516,'Threshold Summary'!$Y:$Y,'Threshold Summary'!$L:$L,""))/100)+5)*XLOOKUP(XLOOKUP($Q516,'Threshold Summary'!$Y:$Y,'Threshold Summary'!$M:$M,""),'Nature Editor'!$A:$A,'Nature Editor'!$B:$B,1)),FLOOR((FLOOR(((2*XLOOKUP(XLOOKUP($Q516,'Threshold Summary'!$Y:$Y,'Threshold Summary'!$K:$K,""),'Pokemon Editor'!$A:$A,'Pokemon Editor'!$H:$H,0)+31+FLOOR(XLOOKUP($Q516,'Threshold Summary'!$Y:$Y,'Threshold Summary'!$R:$R,"")/4))*XLOOKUP($Q516,'Threshold Summary'!$Y:$Y,'Threshold Summary'!$L:$L,""))/100)+5)*XLOOKUP(XLOOKUP($Q516,'Threshold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Editor'!$E:$E,1))),stab,IF(OR(mtype=XLOOKUP(XLOOKUP($Q516,'Threshold Summary'!$Y:$Y,'Threshold Summary'!$K:$K,""),'Pokemon Editor'!$A:$A,'Pokemon Editor'!$C:$C,""),mtype=XLOOKUP(XLOOKUP($Q516,'Threshold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Chart'!$B$1:$S$1,0)))),base,IF(OR(cat="Status",pow=0),0,FLOOR(FLOOR(FLOOR((2*XLOOKUP($Q516,'Threshold Summary'!$Y:$Y,'Threshold Summary'!$L:$L,"")/5+2)*pow*atk/def)/50)+2)),modifier,stab*eff,AVERAGE(ARRAYFORMULA(FLOOR(base*modifier*SEQUENCE(16,1,85,1)/100)))/(FLOOR(((2*XLOOKUP('Boss Editor'!$C$4,'Pokemon Editor'!$A:$A,'Pokemon Editor'!$E:$E,0)+31+FLOOR('Boss Editor'!$G$4/4))*'Boss Editor'!$D$4)/100)+'Boss Editor'!$D$4+10)),0)</f>
        <v/>
      </c>
      <c r="O516" s="3">
        <f>IF(N516&gt;=1,"OHKO",IF(N516&gt;=0.5,"2HKO",IF(N516&gt;=0.333,"3HKO",IF(N516&gt;=0.25,"4HKO","5HKO+"))))</f>
        <v/>
      </c>
      <c r="P516" s="3" t="inlineStr">
        <is>
          <t>Live from editable databases</t>
        </is>
      </c>
      <c r="Q516" s="3" t="inlineStr">
        <is>
          <t>SPECIES_MINCCINO</t>
        </is>
      </c>
      <c r="R516" s="3" t="n">
        <v>3</v>
      </c>
    </row>
    <row r="517">
      <c r="A517" s="3">
        <f>XLOOKUP($Q517,'Threshold Summary'!$Y:$Y,'Threshold Summary'!$A:$A,"")</f>
        <v/>
      </c>
      <c r="B517" s="3">
        <f>XLOOKUP($Q517,'Threshold Summary'!$Y:$Y,'Threshold Summary'!$M:$M,"")</f>
        <v/>
      </c>
      <c r="C517" s="3">
        <f>XLOOKUP($Q517,'Threshold Summary'!$Y:$Y,'Threshold Summary'!$N:$N,"")</f>
        <v/>
      </c>
      <c r="D517" s="3">
        <f>IFERROR(INDEX(FILTER('Learnset Editor'!$D$2:$D,'Learnset Editor'!$A$2:$A=XLOOKUP($Q517,'Threshold Summary'!$Y:$Y,'Threshold Summary'!$K:$K,""),'Learnset Editor'!$C$2:$C&lt;=XLOOKUP($Q517,'Threshold Summary'!$Y:$Y,'Threshold Summary'!$L:$L,"")),$R517),"")</f>
        <v/>
      </c>
      <c r="E517" s="3">
        <f>XLOOKUP(D517,'Move Editor'!$B:$B,'Move Editor'!$C:$C,"")</f>
        <v/>
      </c>
      <c r="F517" s="3">
        <f>XLOOKUP(D517,'Move Editor'!$B:$B,'Move Editor'!$D:$D,"")</f>
        <v/>
      </c>
      <c r="G517" s="3">
        <f>XLOOKUP(D517,'Move Editor'!$B:$B,'Move Editor'!$E:$E,0)</f>
        <v/>
      </c>
      <c r="H517" s="3">
        <f>XLOOKUP(D517,'Move Editor'!$B:$B,'Move Editor'!$F:$F,0)</f>
        <v/>
      </c>
      <c r="I517" s="3">
        <f>(INDEX('Type Chart'!$B:$S,MATCH(E517,'Type Chart'!$A:$A,0),MATCH(XLOOKUP('Boss Editor'!$C$4,'Pokemon Editor'!$A:$A,'Pokemon Editor'!$C:$C,""),'Type Chart'!$B$1:$S$1,0))*IF(XLOOKUP('Boss Editor'!$C$4,'Pokemon Editor'!$A:$A,'Pokemon Editor'!$D:$D,"")="",1,INDEX('Type Chart'!$B:$S,MATCH(E517,'Type Chart'!$A:$A,0),MATCH(XLOOKUP('Boss Editor'!$C$4,'Pokemon Editor'!$A:$A,'Pokemon Editor'!$D:$D,""),'Type Chart'!$B$1:$S$1,0))))</f>
        <v/>
      </c>
      <c r="J517" s="3">
        <f>IFERROR(LET(mtype,XLOOKUP($D517,'Move Editor'!$B:$B,'Move Editor'!$C:$C,""),cat,XLOOKUP($D517,'Move Editor'!$B:$B,'Move Editor'!$D:$D,""),pow,XLOOKUP($D517,'Move Editor'!$B:$B,'Move Editor'!$E:$E,0),acc,XLOOKUP($D517,'Move Editor'!$B:$B,'Move Editor'!$F:$F,100),atk,IF(cat="Physical",FLOOR((FLOOR(((2*XLOOKUP(XLOOKUP($Q517,'Threshold Summary'!$Y:$Y,'Threshold Summary'!$K:$K,""),'Pokemon Editor'!$A:$A,'Pokemon Editor'!$F:$F,0)+31+FLOOR(XLOOKUP($Q517,'Threshold Summary'!$Y:$Y,'Threshold Summary'!$P:$P,"")/4))*XLOOKUP($Q517,'Threshold Summary'!$Y:$Y,'Threshold Summary'!$L:$L,""))/100)+5)*XLOOKUP(XLOOKUP($Q517,'Threshold Summary'!$Y:$Y,'Threshold Summary'!$M:$M,""),'Nature Editor'!$A:$A,'Nature Editor'!$B:$B,1)),FLOOR((FLOOR(((2*XLOOKUP(XLOOKUP($Q517,'Threshold Summary'!$Y:$Y,'Threshold Summary'!$K:$K,""),'Pokemon Editor'!$A:$A,'Pokemon Editor'!$H:$H,0)+31+FLOOR(XLOOKUP($Q517,'Threshold Summary'!$Y:$Y,'Threshold Summary'!$R:$R,"")/4))*XLOOKUP($Q517,'Threshold Summary'!$Y:$Y,'Threshold Summary'!$L:$L,""))/100)+5)*XLOOKUP(XLOOKUP($Q517,'Threshold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Editor'!$E:$E,1))),stab,IF(OR(mtype=XLOOKUP(XLOOKUP($Q517,'Threshold Summary'!$Y:$Y,'Threshold Summary'!$K:$K,""),'Pokemon Editor'!$A:$A,'Pokemon Editor'!$C:$C,""),mtype=XLOOKUP(XLOOKUP($Q517,'Threshold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Chart'!$B$1:$S$1,0)))),base,IF(OR(cat="Status",pow=0),0,FLOOR(FLOOR(FLOOR((2*XLOOKUP($Q517,'Threshold Summary'!$Y:$Y,'Threshold Summary'!$L:$L,"")/5+2)*pow*atk/def)/50)+2)),modifier,stab*eff,FLOOR(base*modifier*0.85)),0)</f>
        <v/>
      </c>
      <c r="K517" s="3">
        <f>IFERROR(LET(mtype,XLOOKUP($D517,'Move Editor'!$B:$B,'Move Editor'!$C:$C,""),cat,XLOOKUP($D517,'Move Editor'!$B:$B,'Move Editor'!$D:$D,""),pow,XLOOKUP($D517,'Move Editor'!$B:$B,'Move Editor'!$E:$E,0),acc,XLOOKUP($D517,'Move Editor'!$B:$B,'Move Editor'!$F:$F,100),atk,IF(cat="Physical",FLOOR((FLOOR(((2*XLOOKUP(XLOOKUP($Q517,'Threshold Summary'!$Y:$Y,'Threshold Summary'!$K:$K,""),'Pokemon Editor'!$A:$A,'Pokemon Editor'!$F:$F,0)+31+FLOOR(XLOOKUP($Q517,'Threshold Summary'!$Y:$Y,'Threshold Summary'!$P:$P,"")/4))*XLOOKUP($Q517,'Threshold Summary'!$Y:$Y,'Threshold Summary'!$L:$L,""))/100)+5)*XLOOKUP(XLOOKUP($Q517,'Threshold Summary'!$Y:$Y,'Threshold Summary'!$M:$M,""),'Nature Editor'!$A:$A,'Nature Editor'!$B:$B,1)),FLOOR((FLOOR(((2*XLOOKUP(XLOOKUP($Q517,'Threshold Summary'!$Y:$Y,'Threshold Summary'!$K:$K,""),'Pokemon Editor'!$A:$A,'Pokemon Editor'!$H:$H,0)+31+FLOOR(XLOOKUP($Q517,'Threshold Summary'!$Y:$Y,'Threshold Summary'!$R:$R,"")/4))*XLOOKUP($Q517,'Threshold Summary'!$Y:$Y,'Threshold Summary'!$L:$L,""))/100)+5)*XLOOKUP(XLOOKUP($Q517,'Threshold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Editor'!$E:$E,1))),stab,IF(OR(mtype=XLOOKUP(XLOOKUP($Q517,'Threshold Summary'!$Y:$Y,'Threshold Summary'!$K:$K,""),'Pokemon Editor'!$A:$A,'Pokemon Editor'!$C:$C,""),mtype=XLOOKUP(XLOOKUP($Q517,'Threshold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Chart'!$B$1:$S$1,0)))),base,IF(OR(cat="Status",pow=0),0,FLOOR(FLOOR(FLOOR((2*XLOOKUP($Q517,'Threshold Summary'!$Y:$Y,'Threshold Summary'!$L:$L,"")/5+2)*pow*atk/def)/50)+2)),modifier,stab*eff,FLOOR(base*modifier)),0)</f>
        <v/>
      </c>
      <c r="L517" s="3">
        <f>IFERROR(LET(mtype,XLOOKUP($D517,'Move Editor'!$B:$B,'Move Editor'!$C:$C,""),cat,XLOOKUP($D517,'Move Editor'!$B:$B,'Move Editor'!$D:$D,""),pow,XLOOKUP($D517,'Move Editor'!$B:$B,'Move Editor'!$E:$E,0),acc,XLOOKUP($D517,'Move Editor'!$B:$B,'Move Editor'!$F:$F,100),atk,IF(cat="Physical",FLOOR((FLOOR(((2*XLOOKUP(XLOOKUP($Q517,'Threshold Summary'!$Y:$Y,'Threshold Summary'!$K:$K,""),'Pokemon Editor'!$A:$A,'Pokemon Editor'!$F:$F,0)+31+FLOOR(XLOOKUP($Q517,'Threshold Summary'!$Y:$Y,'Threshold Summary'!$P:$P,"")/4))*XLOOKUP($Q517,'Threshold Summary'!$Y:$Y,'Threshold Summary'!$L:$L,""))/100)+5)*XLOOKUP(XLOOKUP($Q517,'Threshold Summary'!$Y:$Y,'Threshold Summary'!$M:$M,""),'Nature Editor'!$A:$A,'Nature Editor'!$B:$B,1)),FLOOR((FLOOR(((2*XLOOKUP(XLOOKUP($Q517,'Threshold Summary'!$Y:$Y,'Threshold Summary'!$K:$K,""),'Pokemon Editor'!$A:$A,'Pokemon Editor'!$H:$H,0)+31+FLOOR(XLOOKUP($Q517,'Threshold Summary'!$Y:$Y,'Threshold Summary'!$R:$R,"")/4))*XLOOKUP($Q517,'Threshold Summary'!$Y:$Y,'Threshold Summary'!$L:$L,""))/100)+5)*XLOOKUP(XLOOKUP($Q517,'Threshold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Editor'!$E:$E,1))),stab,IF(OR(mtype=XLOOKUP(XLOOKUP($Q517,'Threshold Summary'!$Y:$Y,'Threshold Summary'!$K:$K,""),'Pokemon Editor'!$A:$A,'Pokemon Editor'!$C:$C,""),mtype=XLOOKUP(XLOOKUP($Q517,'Threshold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Chart'!$B$1:$S$1,0)))),base,IF(OR(cat="Status",pow=0),0,FLOOR(FLOOR(FLOOR((2*XLOOKUP($Q517,'Threshold Summary'!$Y:$Y,'Threshold Summary'!$L:$L,"")/5+2)*pow*atk/def)/50)+2)),modifier,stab*eff,AVERAGE(ARRAYFORMULA(FLOOR(base*modifier*SEQUENCE(16,1,85,1)/100)))),0)</f>
        <v/>
      </c>
      <c r="M517" s="3">
        <f>IFERROR(LET(mtype,XLOOKUP($D517,'Move Editor'!$B:$B,'Move Editor'!$C:$C,""),cat,XLOOKUP($D517,'Move Editor'!$B:$B,'Move Editor'!$D:$D,""),pow,XLOOKUP($D517,'Move Editor'!$B:$B,'Move Editor'!$E:$E,0),acc,XLOOKUP($D517,'Move Editor'!$B:$B,'Move Editor'!$F:$F,100),atk,IF(cat="Physical",FLOOR((FLOOR(((2*XLOOKUP(XLOOKUP($Q517,'Threshold Summary'!$Y:$Y,'Threshold Summary'!$K:$K,""),'Pokemon Editor'!$A:$A,'Pokemon Editor'!$F:$F,0)+31+FLOOR(XLOOKUP($Q517,'Threshold Summary'!$Y:$Y,'Threshold Summary'!$P:$P,"")/4))*XLOOKUP($Q517,'Threshold Summary'!$Y:$Y,'Threshold Summary'!$L:$L,""))/100)+5)*XLOOKUP(XLOOKUP($Q517,'Threshold Summary'!$Y:$Y,'Threshold Summary'!$M:$M,""),'Nature Editor'!$A:$A,'Nature Editor'!$B:$B,1)),FLOOR((FLOOR(((2*XLOOKUP(XLOOKUP($Q517,'Threshold Summary'!$Y:$Y,'Threshold Summary'!$K:$K,""),'Pokemon Editor'!$A:$A,'Pokemon Editor'!$H:$H,0)+31+FLOOR(XLOOKUP($Q517,'Threshold Summary'!$Y:$Y,'Threshold Summary'!$R:$R,"")/4))*XLOOKUP($Q517,'Threshold Summary'!$Y:$Y,'Threshold Summary'!$L:$L,""))/100)+5)*XLOOKUP(XLOOKUP($Q517,'Threshold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Editor'!$E:$E,1))),stab,IF(OR(mtype=XLOOKUP(XLOOKUP($Q517,'Threshold Summary'!$Y:$Y,'Threshold Summary'!$K:$K,""),'Pokemon Editor'!$A:$A,'Pokemon Editor'!$C:$C,""),mtype=XLOOKUP(XLOOKUP($Q517,'Threshold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Chart'!$B$1:$S$1,0)))),base,IF(OR(cat="Status",pow=0),0,FLOOR(FLOOR(FLOOR((2*XLOOKUP($Q517,'Threshold Summary'!$Y:$Y,'Threshold Summary'!$L:$L,"")/5+2)*pow*atk/def)/50)+2)),modifier,stab*eff,AVERAGE(ARRAYFORMULA(FLOOR(base*modifier*SEQUENCE(16,1,85,1)/100)))*MIN(1,acc/100)),0)</f>
        <v/>
      </c>
      <c r="N517" s="4">
        <f>IFERROR(LET(mtype,XLOOKUP($D517,'Move Editor'!$B:$B,'Move Editor'!$C:$C,""),cat,XLOOKUP($D517,'Move Editor'!$B:$B,'Move Editor'!$D:$D,""),pow,XLOOKUP($D517,'Move Editor'!$B:$B,'Move Editor'!$E:$E,0),acc,XLOOKUP($D517,'Move Editor'!$B:$B,'Move Editor'!$F:$F,100),atk,IF(cat="Physical",FLOOR((FLOOR(((2*XLOOKUP(XLOOKUP($Q517,'Threshold Summary'!$Y:$Y,'Threshold Summary'!$K:$K,""),'Pokemon Editor'!$A:$A,'Pokemon Editor'!$F:$F,0)+31+FLOOR(XLOOKUP($Q517,'Threshold Summary'!$Y:$Y,'Threshold Summary'!$P:$P,"")/4))*XLOOKUP($Q517,'Threshold Summary'!$Y:$Y,'Threshold Summary'!$L:$L,""))/100)+5)*XLOOKUP(XLOOKUP($Q517,'Threshold Summary'!$Y:$Y,'Threshold Summary'!$M:$M,""),'Nature Editor'!$A:$A,'Nature Editor'!$B:$B,1)),FLOOR((FLOOR(((2*XLOOKUP(XLOOKUP($Q517,'Threshold Summary'!$Y:$Y,'Threshold Summary'!$K:$K,""),'Pokemon Editor'!$A:$A,'Pokemon Editor'!$H:$H,0)+31+FLOOR(XLOOKUP($Q517,'Threshold Summary'!$Y:$Y,'Threshold Summary'!$R:$R,"")/4))*XLOOKUP($Q517,'Threshold Summary'!$Y:$Y,'Threshold Summary'!$L:$L,""))/100)+5)*XLOOKUP(XLOOKUP($Q517,'Threshold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Editor'!$E:$E,1))),stab,IF(OR(mtype=XLOOKUP(XLOOKUP($Q517,'Threshold Summary'!$Y:$Y,'Threshold Summary'!$K:$K,""),'Pokemon Editor'!$A:$A,'Pokemon Editor'!$C:$C,""),mtype=XLOOKUP(XLOOKUP($Q517,'Threshold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Chart'!$B$1:$S$1,0)))),base,IF(OR(cat="Status",pow=0),0,FLOOR(FLOOR(FLOOR((2*XLOOKUP($Q517,'Threshold Summary'!$Y:$Y,'Threshold Summary'!$L:$L,"")/5+2)*pow*atk/def)/50)+2)),modifier,stab*eff,AVERAGE(ARRAYFORMULA(FLOOR(base*modifier*SEQUENCE(16,1,85,1)/100)))/(FLOOR(((2*XLOOKUP('Boss Editor'!$C$4,'Pokemon Editor'!$A:$A,'Pokemon Editor'!$E:$E,0)+31+FLOOR('Boss Editor'!$G$4/4))*'Boss Editor'!$D$4)/100)+'Boss Editor'!$D$4+10)),0)</f>
        <v/>
      </c>
      <c r="O517" s="3">
        <f>IF(N517&gt;=1,"OHKO",IF(N517&gt;=0.5,"2HKO",IF(N517&gt;=0.333,"3HKO",IF(N517&gt;=0.25,"4HKO","5HKO+"))))</f>
        <v/>
      </c>
      <c r="P517" s="3" t="inlineStr">
        <is>
          <t>Live from editable databases</t>
        </is>
      </c>
      <c r="Q517" s="3" t="inlineStr">
        <is>
          <t>SPECIES_MINCCINO</t>
        </is>
      </c>
      <c r="R517" s="3" t="n">
        <v>4</v>
      </c>
    </row>
    <row r="518">
      <c r="A518" s="3">
        <f>XLOOKUP($Q518,'Threshold Summary'!$Y:$Y,'Threshold Summary'!$A:$A,"")</f>
        <v/>
      </c>
      <c r="B518" s="3">
        <f>XLOOKUP($Q518,'Threshold Summary'!$Y:$Y,'Threshold Summary'!$M:$M,"")</f>
        <v/>
      </c>
      <c r="C518" s="3">
        <f>XLOOKUP($Q518,'Threshold Summary'!$Y:$Y,'Threshold Summary'!$N:$N,"")</f>
        <v/>
      </c>
      <c r="D518" s="3">
        <f>IFERROR(INDEX(FILTER('Learnset Editor'!$D$2:$D,'Learnset Editor'!$A$2:$A=XLOOKUP($Q518,'Threshold Summary'!$Y:$Y,'Threshold Summary'!$K:$K,""),'Learnset Editor'!$C$2:$C&lt;=XLOOKUP($Q518,'Threshold Summary'!$Y:$Y,'Threshold Summary'!$L:$L,"")),$R518),"")</f>
        <v/>
      </c>
      <c r="E518" s="3">
        <f>XLOOKUP(D518,'Move Editor'!$B:$B,'Move Editor'!$C:$C,"")</f>
        <v/>
      </c>
      <c r="F518" s="3">
        <f>XLOOKUP(D518,'Move Editor'!$B:$B,'Move Editor'!$D:$D,"")</f>
        <v/>
      </c>
      <c r="G518" s="3">
        <f>XLOOKUP(D518,'Move Editor'!$B:$B,'Move Editor'!$E:$E,0)</f>
        <v/>
      </c>
      <c r="H518" s="3">
        <f>XLOOKUP(D518,'Move Editor'!$B:$B,'Move Editor'!$F:$F,0)</f>
        <v/>
      </c>
      <c r="I518" s="3">
        <f>(INDEX('Type Chart'!$B:$S,MATCH(E518,'Type Chart'!$A:$A,0),MATCH(XLOOKUP('Boss Editor'!$C$4,'Pokemon Editor'!$A:$A,'Pokemon Editor'!$C:$C,""),'Type Chart'!$B$1:$S$1,0))*IF(XLOOKUP('Boss Editor'!$C$4,'Pokemon Editor'!$A:$A,'Pokemon Editor'!$D:$D,"")="",1,INDEX('Type Chart'!$B:$S,MATCH(E518,'Type Chart'!$A:$A,0),MATCH(XLOOKUP('Boss Editor'!$C$4,'Pokemon Editor'!$A:$A,'Pokemon Editor'!$D:$D,""),'Type Chart'!$B$1:$S$1,0))))</f>
        <v/>
      </c>
      <c r="J518" s="3">
        <f>IFERROR(LET(mtype,XLOOKUP($D518,'Move Editor'!$B:$B,'Move Editor'!$C:$C,""),cat,XLOOKUP($D518,'Move Editor'!$B:$B,'Move Editor'!$D:$D,""),pow,XLOOKUP($D518,'Move Editor'!$B:$B,'Move Editor'!$E:$E,0),acc,XLOOKUP($D518,'Move Editor'!$B:$B,'Move Editor'!$F:$F,100),atk,IF(cat="Physical",FLOOR((FLOOR(((2*XLOOKUP(XLOOKUP($Q518,'Threshold Summary'!$Y:$Y,'Threshold Summary'!$K:$K,""),'Pokemon Editor'!$A:$A,'Pokemon Editor'!$F:$F,0)+31+FLOOR(XLOOKUP($Q518,'Threshold Summary'!$Y:$Y,'Threshold Summary'!$P:$P,"")/4))*XLOOKUP($Q518,'Threshold Summary'!$Y:$Y,'Threshold Summary'!$L:$L,""))/100)+5)*XLOOKUP(XLOOKUP($Q518,'Threshold Summary'!$Y:$Y,'Threshold Summary'!$M:$M,""),'Nature Editor'!$A:$A,'Nature Editor'!$B:$B,1)),FLOOR((FLOOR(((2*XLOOKUP(XLOOKUP($Q518,'Threshold Summary'!$Y:$Y,'Threshold Summary'!$K:$K,""),'Pokemon Editor'!$A:$A,'Pokemon Editor'!$H:$H,0)+31+FLOOR(XLOOKUP($Q518,'Threshold Summary'!$Y:$Y,'Threshold Summary'!$R:$R,"")/4))*XLOOKUP($Q518,'Threshold Summary'!$Y:$Y,'Threshold Summary'!$L:$L,""))/100)+5)*XLOOKUP(XLOOKUP($Q518,'Threshold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Editor'!$E:$E,1))),stab,IF(OR(mtype=XLOOKUP(XLOOKUP($Q518,'Threshold Summary'!$Y:$Y,'Threshold Summary'!$K:$K,""),'Pokemon Editor'!$A:$A,'Pokemon Editor'!$C:$C,""),mtype=XLOOKUP(XLOOKUP($Q518,'Threshold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Chart'!$B$1:$S$1,0)))),base,IF(OR(cat="Status",pow=0),0,FLOOR(FLOOR(FLOOR((2*XLOOKUP($Q518,'Threshold Summary'!$Y:$Y,'Threshold Summary'!$L:$L,"")/5+2)*pow*atk/def)/50)+2)),modifier,stab*eff,FLOOR(base*modifier*0.85)),0)</f>
        <v/>
      </c>
      <c r="K518" s="3">
        <f>IFERROR(LET(mtype,XLOOKUP($D518,'Move Editor'!$B:$B,'Move Editor'!$C:$C,""),cat,XLOOKUP($D518,'Move Editor'!$B:$B,'Move Editor'!$D:$D,""),pow,XLOOKUP($D518,'Move Editor'!$B:$B,'Move Editor'!$E:$E,0),acc,XLOOKUP($D518,'Move Editor'!$B:$B,'Move Editor'!$F:$F,100),atk,IF(cat="Physical",FLOOR((FLOOR(((2*XLOOKUP(XLOOKUP($Q518,'Threshold Summary'!$Y:$Y,'Threshold Summary'!$K:$K,""),'Pokemon Editor'!$A:$A,'Pokemon Editor'!$F:$F,0)+31+FLOOR(XLOOKUP($Q518,'Threshold Summary'!$Y:$Y,'Threshold Summary'!$P:$P,"")/4))*XLOOKUP($Q518,'Threshold Summary'!$Y:$Y,'Threshold Summary'!$L:$L,""))/100)+5)*XLOOKUP(XLOOKUP($Q518,'Threshold Summary'!$Y:$Y,'Threshold Summary'!$M:$M,""),'Nature Editor'!$A:$A,'Nature Editor'!$B:$B,1)),FLOOR((FLOOR(((2*XLOOKUP(XLOOKUP($Q518,'Threshold Summary'!$Y:$Y,'Threshold Summary'!$K:$K,""),'Pokemon Editor'!$A:$A,'Pokemon Editor'!$H:$H,0)+31+FLOOR(XLOOKUP($Q518,'Threshold Summary'!$Y:$Y,'Threshold Summary'!$R:$R,"")/4))*XLOOKUP($Q518,'Threshold Summary'!$Y:$Y,'Threshold Summary'!$L:$L,""))/100)+5)*XLOOKUP(XLOOKUP($Q518,'Threshold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Editor'!$E:$E,1))),stab,IF(OR(mtype=XLOOKUP(XLOOKUP($Q518,'Threshold Summary'!$Y:$Y,'Threshold Summary'!$K:$K,""),'Pokemon Editor'!$A:$A,'Pokemon Editor'!$C:$C,""),mtype=XLOOKUP(XLOOKUP($Q518,'Threshold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Chart'!$B$1:$S$1,0)))),base,IF(OR(cat="Status",pow=0),0,FLOOR(FLOOR(FLOOR((2*XLOOKUP($Q518,'Threshold Summary'!$Y:$Y,'Threshold Summary'!$L:$L,"")/5+2)*pow*atk/def)/50)+2)),modifier,stab*eff,FLOOR(base*modifier)),0)</f>
        <v/>
      </c>
      <c r="L518" s="3">
        <f>IFERROR(LET(mtype,XLOOKUP($D518,'Move Editor'!$B:$B,'Move Editor'!$C:$C,""),cat,XLOOKUP($D518,'Move Editor'!$B:$B,'Move Editor'!$D:$D,""),pow,XLOOKUP($D518,'Move Editor'!$B:$B,'Move Editor'!$E:$E,0),acc,XLOOKUP($D518,'Move Editor'!$B:$B,'Move Editor'!$F:$F,100),atk,IF(cat="Physical",FLOOR((FLOOR(((2*XLOOKUP(XLOOKUP($Q518,'Threshold Summary'!$Y:$Y,'Threshold Summary'!$K:$K,""),'Pokemon Editor'!$A:$A,'Pokemon Editor'!$F:$F,0)+31+FLOOR(XLOOKUP($Q518,'Threshold Summary'!$Y:$Y,'Threshold Summary'!$P:$P,"")/4))*XLOOKUP($Q518,'Threshold Summary'!$Y:$Y,'Threshold Summary'!$L:$L,""))/100)+5)*XLOOKUP(XLOOKUP($Q518,'Threshold Summary'!$Y:$Y,'Threshold Summary'!$M:$M,""),'Nature Editor'!$A:$A,'Nature Editor'!$B:$B,1)),FLOOR((FLOOR(((2*XLOOKUP(XLOOKUP($Q518,'Threshold Summary'!$Y:$Y,'Threshold Summary'!$K:$K,""),'Pokemon Editor'!$A:$A,'Pokemon Editor'!$H:$H,0)+31+FLOOR(XLOOKUP($Q518,'Threshold Summary'!$Y:$Y,'Threshold Summary'!$R:$R,"")/4))*XLOOKUP($Q518,'Threshold Summary'!$Y:$Y,'Threshold Summary'!$L:$L,""))/100)+5)*XLOOKUP(XLOOKUP($Q518,'Threshold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Editor'!$E:$E,1))),stab,IF(OR(mtype=XLOOKUP(XLOOKUP($Q518,'Threshold Summary'!$Y:$Y,'Threshold Summary'!$K:$K,""),'Pokemon Editor'!$A:$A,'Pokemon Editor'!$C:$C,""),mtype=XLOOKUP(XLOOKUP($Q518,'Threshold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Chart'!$B$1:$S$1,0)))),base,IF(OR(cat="Status",pow=0),0,FLOOR(FLOOR(FLOOR((2*XLOOKUP($Q518,'Threshold Summary'!$Y:$Y,'Threshold Summary'!$L:$L,"")/5+2)*pow*atk/def)/50)+2)),modifier,stab*eff,AVERAGE(ARRAYFORMULA(FLOOR(base*modifier*SEQUENCE(16,1,85,1)/100)))),0)</f>
        <v/>
      </c>
      <c r="M518" s="3">
        <f>IFERROR(LET(mtype,XLOOKUP($D518,'Move Editor'!$B:$B,'Move Editor'!$C:$C,""),cat,XLOOKUP($D518,'Move Editor'!$B:$B,'Move Editor'!$D:$D,""),pow,XLOOKUP($D518,'Move Editor'!$B:$B,'Move Editor'!$E:$E,0),acc,XLOOKUP($D518,'Move Editor'!$B:$B,'Move Editor'!$F:$F,100),atk,IF(cat="Physical",FLOOR((FLOOR(((2*XLOOKUP(XLOOKUP($Q518,'Threshold Summary'!$Y:$Y,'Threshold Summary'!$K:$K,""),'Pokemon Editor'!$A:$A,'Pokemon Editor'!$F:$F,0)+31+FLOOR(XLOOKUP($Q518,'Threshold Summary'!$Y:$Y,'Threshold Summary'!$P:$P,"")/4))*XLOOKUP($Q518,'Threshold Summary'!$Y:$Y,'Threshold Summary'!$L:$L,""))/100)+5)*XLOOKUP(XLOOKUP($Q518,'Threshold Summary'!$Y:$Y,'Threshold Summary'!$M:$M,""),'Nature Editor'!$A:$A,'Nature Editor'!$B:$B,1)),FLOOR((FLOOR(((2*XLOOKUP(XLOOKUP($Q518,'Threshold Summary'!$Y:$Y,'Threshold Summary'!$K:$K,""),'Pokemon Editor'!$A:$A,'Pokemon Editor'!$H:$H,0)+31+FLOOR(XLOOKUP($Q518,'Threshold Summary'!$Y:$Y,'Threshold Summary'!$R:$R,"")/4))*XLOOKUP($Q518,'Threshold Summary'!$Y:$Y,'Threshold Summary'!$L:$L,""))/100)+5)*XLOOKUP(XLOOKUP($Q518,'Threshold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Editor'!$E:$E,1))),stab,IF(OR(mtype=XLOOKUP(XLOOKUP($Q518,'Threshold Summary'!$Y:$Y,'Threshold Summary'!$K:$K,""),'Pokemon Editor'!$A:$A,'Pokemon Editor'!$C:$C,""),mtype=XLOOKUP(XLOOKUP($Q518,'Threshold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Chart'!$B$1:$S$1,0)))),base,IF(OR(cat="Status",pow=0),0,FLOOR(FLOOR(FLOOR((2*XLOOKUP($Q518,'Threshold Summary'!$Y:$Y,'Threshold Summary'!$L:$L,"")/5+2)*pow*atk/def)/50)+2)),modifier,stab*eff,AVERAGE(ARRAYFORMULA(FLOOR(base*modifier*SEQUENCE(16,1,85,1)/100)))*MIN(1,acc/100)),0)</f>
        <v/>
      </c>
      <c r="N518" s="4">
        <f>IFERROR(LET(mtype,XLOOKUP($D518,'Move Editor'!$B:$B,'Move Editor'!$C:$C,""),cat,XLOOKUP($D518,'Move Editor'!$B:$B,'Move Editor'!$D:$D,""),pow,XLOOKUP($D518,'Move Editor'!$B:$B,'Move Editor'!$E:$E,0),acc,XLOOKUP($D518,'Move Editor'!$B:$B,'Move Editor'!$F:$F,100),atk,IF(cat="Physical",FLOOR((FLOOR(((2*XLOOKUP(XLOOKUP($Q518,'Threshold Summary'!$Y:$Y,'Threshold Summary'!$K:$K,""),'Pokemon Editor'!$A:$A,'Pokemon Editor'!$F:$F,0)+31+FLOOR(XLOOKUP($Q518,'Threshold Summary'!$Y:$Y,'Threshold Summary'!$P:$P,"")/4))*XLOOKUP($Q518,'Threshold Summary'!$Y:$Y,'Threshold Summary'!$L:$L,""))/100)+5)*XLOOKUP(XLOOKUP($Q518,'Threshold Summary'!$Y:$Y,'Threshold Summary'!$M:$M,""),'Nature Editor'!$A:$A,'Nature Editor'!$B:$B,1)),FLOOR((FLOOR(((2*XLOOKUP(XLOOKUP($Q518,'Threshold Summary'!$Y:$Y,'Threshold Summary'!$K:$K,""),'Pokemon Editor'!$A:$A,'Pokemon Editor'!$H:$H,0)+31+FLOOR(XLOOKUP($Q518,'Threshold Summary'!$Y:$Y,'Threshold Summary'!$R:$R,"")/4))*XLOOKUP($Q518,'Threshold Summary'!$Y:$Y,'Threshold Summary'!$L:$L,""))/100)+5)*XLOOKUP(XLOOKUP($Q518,'Threshold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Editor'!$E:$E,1))),stab,IF(OR(mtype=XLOOKUP(XLOOKUP($Q518,'Threshold Summary'!$Y:$Y,'Threshold Summary'!$K:$K,""),'Pokemon Editor'!$A:$A,'Pokemon Editor'!$C:$C,""),mtype=XLOOKUP(XLOOKUP($Q518,'Threshold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Chart'!$B$1:$S$1,0)))),base,IF(OR(cat="Status",pow=0),0,FLOOR(FLOOR(FLOOR((2*XLOOKUP($Q518,'Threshold Summary'!$Y:$Y,'Threshold Summary'!$L:$L,"")/5+2)*pow*atk/def)/50)+2)),modifier,stab*eff,AVERAGE(ARRAYFORMULA(FLOOR(base*modifier*SEQUENCE(16,1,85,1)/100)))/(FLOOR(((2*XLOOKUP('Boss Editor'!$C$4,'Pokemon Editor'!$A:$A,'Pokemon Editor'!$E:$E,0)+31+FLOOR('Boss Editor'!$G$4/4))*'Boss Editor'!$D$4)/100)+'Boss Editor'!$D$4+10)),0)</f>
        <v/>
      </c>
      <c r="O518" s="3">
        <f>IF(N518&gt;=1,"OHKO",IF(N518&gt;=0.5,"2HKO",IF(N518&gt;=0.333,"3HKO",IF(N518&gt;=0.25,"4HKO","5HKO+"))))</f>
        <v/>
      </c>
      <c r="P518" s="3" t="inlineStr">
        <is>
          <t>Live from editable databases</t>
        </is>
      </c>
      <c r="Q518" s="3" t="inlineStr">
        <is>
          <t>SPECIES_MINCCINO</t>
        </is>
      </c>
      <c r="R518" s="3" t="n">
        <v>5</v>
      </c>
    </row>
    <row r="519">
      <c r="A519" s="3">
        <f>XLOOKUP($Q519,'Threshold Summary'!$Y:$Y,'Threshold Summary'!$A:$A,"")</f>
        <v/>
      </c>
      <c r="B519" s="3">
        <f>XLOOKUP($Q519,'Threshold Summary'!$Y:$Y,'Threshold Summary'!$M:$M,"")</f>
        <v/>
      </c>
      <c r="C519" s="3">
        <f>XLOOKUP($Q519,'Threshold Summary'!$Y:$Y,'Threshold Summary'!$N:$N,"")</f>
        <v/>
      </c>
      <c r="D519" s="3">
        <f>IFERROR(INDEX(FILTER('Learnset Editor'!$D$2:$D,'Learnset Editor'!$A$2:$A=XLOOKUP($Q519,'Threshold Summary'!$Y:$Y,'Threshold Summary'!$K:$K,""),'Learnset Editor'!$C$2:$C&lt;=XLOOKUP($Q519,'Threshold Summary'!$Y:$Y,'Threshold Summary'!$L:$L,"")),$R519),"")</f>
        <v/>
      </c>
      <c r="E519" s="3">
        <f>XLOOKUP(D519,'Move Editor'!$B:$B,'Move Editor'!$C:$C,"")</f>
        <v/>
      </c>
      <c r="F519" s="3">
        <f>XLOOKUP(D519,'Move Editor'!$B:$B,'Move Editor'!$D:$D,"")</f>
        <v/>
      </c>
      <c r="G519" s="3">
        <f>XLOOKUP(D519,'Move Editor'!$B:$B,'Move Editor'!$E:$E,0)</f>
        <v/>
      </c>
      <c r="H519" s="3">
        <f>XLOOKUP(D519,'Move Editor'!$B:$B,'Move Editor'!$F:$F,0)</f>
        <v/>
      </c>
      <c r="I519" s="3">
        <f>(INDEX('Type Chart'!$B:$S,MATCH(E519,'Type Chart'!$A:$A,0),MATCH(XLOOKUP('Boss Editor'!$C$4,'Pokemon Editor'!$A:$A,'Pokemon Editor'!$C:$C,""),'Type Chart'!$B$1:$S$1,0))*IF(XLOOKUP('Boss Editor'!$C$4,'Pokemon Editor'!$A:$A,'Pokemon Editor'!$D:$D,"")="",1,INDEX('Type Chart'!$B:$S,MATCH(E519,'Type Chart'!$A:$A,0),MATCH(XLOOKUP('Boss Editor'!$C$4,'Pokemon Editor'!$A:$A,'Pokemon Editor'!$D:$D,""),'Type Chart'!$B$1:$S$1,0))))</f>
        <v/>
      </c>
      <c r="J519" s="3">
        <f>IFERROR(LET(mtype,XLOOKUP($D519,'Move Editor'!$B:$B,'Move Editor'!$C:$C,""),cat,XLOOKUP($D519,'Move Editor'!$B:$B,'Move Editor'!$D:$D,""),pow,XLOOKUP($D519,'Move Editor'!$B:$B,'Move Editor'!$E:$E,0),acc,XLOOKUP($D519,'Move Editor'!$B:$B,'Move Editor'!$F:$F,100),atk,IF(cat="Physical",FLOOR((FLOOR(((2*XLOOKUP(XLOOKUP($Q519,'Threshold Summary'!$Y:$Y,'Threshold Summary'!$K:$K,""),'Pokemon Editor'!$A:$A,'Pokemon Editor'!$F:$F,0)+31+FLOOR(XLOOKUP($Q519,'Threshold Summary'!$Y:$Y,'Threshold Summary'!$P:$P,"")/4))*XLOOKUP($Q519,'Threshold Summary'!$Y:$Y,'Threshold Summary'!$L:$L,""))/100)+5)*XLOOKUP(XLOOKUP($Q519,'Threshold Summary'!$Y:$Y,'Threshold Summary'!$M:$M,""),'Nature Editor'!$A:$A,'Nature Editor'!$B:$B,1)),FLOOR((FLOOR(((2*XLOOKUP(XLOOKUP($Q519,'Threshold Summary'!$Y:$Y,'Threshold Summary'!$K:$K,""),'Pokemon Editor'!$A:$A,'Pokemon Editor'!$H:$H,0)+31+FLOOR(XLOOKUP($Q519,'Threshold Summary'!$Y:$Y,'Threshold Summary'!$R:$R,"")/4))*XLOOKUP($Q519,'Threshold Summary'!$Y:$Y,'Threshold Summary'!$L:$L,""))/100)+5)*XLOOKUP(XLOOKUP($Q519,'Threshold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Editor'!$E:$E,1))),stab,IF(OR(mtype=XLOOKUP(XLOOKUP($Q519,'Threshold Summary'!$Y:$Y,'Threshold Summary'!$K:$K,""),'Pokemon Editor'!$A:$A,'Pokemon Editor'!$C:$C,""),mtype=XLOOKUP(XLOOKUP($Q519,'Threshold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Chart'!$B$1:$S$1,0)))),base,IF(OR(cat="Status",pow=0),0,FLOOR(FLOOR(FLOOR((2*XLOOKUP($Q519,'Threshold Summary'!$Y:$Y,'Threshold Summary'!$L:$L,"")/5+2)*pow*atk/def)/50)+2)),modifier,stab*eff,FLOOR(base*modifier*0.85)),0)</f>
        <v/>
      </c>
      <c r="K519" s="3">
        <f>IFERROR(LET(mtype,XLOOKUP($D519,'Move Editor'!$B:$B,'Move Editor'!$C:$C,""),cat,XLOOKUP($D519,'Move Editor'!$B:$B,'Move Editor'!$D:$D,""),pow,XLOOKUP($D519,'Move Editor'!$B:$B,'Move Editor'!$E:$E,0),acc,XLOOKUP($D519,'Move Editor'!$B:$B,'Move Editor'!$F:$F,100),atk,IF(cat="Physical",FLOOR((FLOOR(((2*XLOOKUP(XLOOKUP($Q519,'Threshold Summary'!$Y:$Y,'Threshold Summary'!$K:$K,""),'Pokemon Editor'!$A:$A,'Pokemon Editor'!$F:$F,0)+31+FLOOR(XLOOKUP($Q519,'Threshold Summary'!$Y:$Y,'Threshold Summary'!$P:$P,"")/4))*XLOOKUP($Q519,'Threshold Summary'!$Y:$Y,'Threshold Summary'!$L:$L,""))/100)+5)*XLOOKUP(XLOOKUP($Q519,'Threshold Summary'!$Y:$Y,'Threshold Summary'!$M:$M,""),'Nature Editor'!$A:$A,'Nature Editor'!$B:$B,1)),FLOOR((FLOOR(((2*XLOOKUP(XLOOKUP($Q519,'Threshold Summary'!$Y:$Y,'Threshold Summary'!$K:$K,""),'Pokemon Editor'!$A:$A,'Pokemon Editor'!$H:$H,0)+31+FLOOR(XLOOKUP($Q519,'Threshold Summary'!$Y:$Y,'Threshold Summary'!$R:$R,"")/4))*XLOOKUP($Q519,'Threshold Summary'!$Y:$Y,'Threshold Summary'!$L:$L,""))/100)+5)*XLOOKUP(XLOOKUP($Q519,'Threshold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Editor'!$E:$E,1))),stab,IF(OR(mtype=XLOOKUP(XLOOKUP($Q519,'Threshold Summary'!$Y:$Y,'Threshold Summary'!$K:$K,""),'Pokemon Editor'!$A:$A,'Pokemon Editor'!$C:$C,""),mtype=XLOOKUP(XLOOKUP($Q519,'Threshold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Chart'!$B$1:$S$1,0)))),base,IF(OR(cat="Status",pow=0),0,FLOOR(FLOOR(FLOOR((2*XLOOKUP($Q519,'Threshold Summary'!$Y:$Y,'Threshold Summary'!$L:$L,"")/5+2)*pow*atk/def)/50)+2)),modifier,stab*eff,FLOOR(base*modifier)),0)</f>
        <v/>
      </c>
      <c r="L519" s="3">
        <f>IFERROR(LET(mtype,XLOOKUP($D519,'Move Editor'!$B:$B,'Move Editor'!$C:$C,""),cat,XLOOKUP($D519,'Move Editor'!$B:$B,'Move Editor'!$D:$D,""),pow,XLOOKUP($D519,'Move Editor'!$B:$B,'Move Editor'!$E:$E,0),acc,XLOOKUP($D519,'Move Editor'!$B:$B,'Move Editor'!$F:$F,100),atk,IF(cat="Physical",FLOOR((FLOOR(((2*XLOOKUP(XLOOKUP($Q519,'Threshold Summary'!$Y:$Y,'Threshold Summary'!$K:$K,""),'Pokemon Editor'!$A:$A,'Pokemon Editor'!$F:$F,0)+31+FLOOR(XLOOKUP($Q519,'Threshold Summary'!$Y:$Y,'Threshold Summary'!$P:$P,"")/4))*XLOOKUP($Q519,'Threshold Summary'!$Y:$Y,'Threshold Summary'!$L:$L,""))/100)+5)*XLOOKUP(XLOOKUP($Q519,'Threshold Summary'!$Y:$Y,'Threshold Summary'!$M:$M,""),'Nature Editor'!$A:$A,'Nature Editor'!$B:$B,1)),FLOOR((FLOOR(((2*XLOOKUP(XLOOKUP($Q519,'Threshold Summary'!$Y:$Y,'Threshold Summary'!$K:$K,""),'Pokemon Editor'!$A:$A,'Pokemon Editor'!$H:$H,0)+31+FLOOR(XLOOKUP($Q519,'Threshold Summary'!$Y:$Y,'Threshold Summary'!$R:$R,"")/4))*XLOOKUP($Q519,'Threshold Summary'!$Y:$Y,'Threshold Summary'!$L:$L,""))/100)+5)*XLOOKUP(XLOOKUP($Q519,'Threshold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Editor'!$E:$E,1))),stab,IF(OR(mtype=XLOOKUP(XLOOKUP($Q519,'Threshold Summary'!$Y:$Y,'Threshold Summary'!$K:$K,""),'Pokemon Editor'!$A:$A,'Pokemon Editor'!$C:$C,""),mtype=XLOOKUP(XLOOKUP($Q519,'Threshold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Chart'!$B$1:$S$1,0)))),base,IF(OR(cat="Status",pow=0),0,FLOOR(FLOOR(FLOOR((2*XLOOKUP($Q519,'Threshold Summary'!$Y:$Y,'Threshold Summary'!$L:$L,"")/5+2)*pow*atk/def)/50)+2)),modifier,stab*eff,AVERAGE(ARRAYFORMULA(FLOOR(base*modifier*SEQUENCE(16,1,85,1)/100)))),0)</f>
        <v/>
      </c>
      <c r="M519" s="3">
        <f>IFERROR(LET(mtype,XLOOKUP($D519,'Move Editor'!$B:$B,'Move Editor'!$C:$C,""),cat,XLOOKUP($D519,'Move Editor'!$B:$B,'Move Editor'!$D:$D,""),pow,XLOOKUP($D519,'Move Editor'!$B:$B,'Move Editor'!$E:$E,0),acc,XLOOKUP($D519,'Move Editor'!$B:$B,'Move Editor'!$F:$F,100),atk,IF(cat="Physical",FLOOR((FLOOR(((2*XLOOKUP(XLOOKUP($Q519,'Threshold Summary'!$Y:$Y,'Threshold Summary'!$K:$K,""),'Pokemon Editor'!$A:$A,'Pokemon Editor'!$F:$F,0)+31+FLOOR(XLOOKUP($Q519,'Threshold Summary'!$Y:$Y,'Threshold Summary'!$P:$P,"")/4))*XLOOKUP($Q519,'Threshold Summary'!$Y:$Y,'Threshold Summary'!$L:$L,""))/100)+5)*XLOOKUP(XLOOKUP($Q519,'Threshold Summary'!$Y:$Y,'Threshold Summary'!$M:$M,""),'Nature Editor'!$A:$A,'Nature Editor'!$B:$B,1)),FLOOR((FLOOR(((2*XLOOKUP(XLOOKUP($Q519,'Threshold Summary'!$Y:$Y,'Threshold Summary'!$K:$K,""),'Pokemon Editor'!$A:$A,'Pokemon Editor'!$H:$H,0)+31+FLOOR(XLOOKUP($Q519,'Threshold Summary'!$Y:$Y,'Threshold Summary'!$R:$R,"")/4))*XLOOKUP($Q519,'Threshold Summary'!$Y:$Y,'Threshold Summary'!$L:$L,""))/100)+5)*XLOOKUP(XLOOKUP($Q519,'Threshold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Editor'!$E:$E,1))),stab,IF(OR(mtype=XLOOKUP(XLOOKUP($Q519,'Threshold Summary'!$Y:$Y,'Threshold Summary'!$K:$K,""),'Pokemon Editor'!$A:$A,'Pokemon Editor'!$C:$C,""),mtype=XLOOKUP(XLOOKUP($Q519,'Threshold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Chart'!$B$1:$S$1,0)))),base,IF(OR(cat="Status",pow=0),0,FLOOR(FLOOR(FLOOR((2*XLOOKUP($Q519,'Threshold Summary'!$Y:$Y,'Threshold Summary'!$L:$L,"")/5+2)*pow*atk/def)/50)+2)),modifier,stab*eff,AVERAGE(ARRAYFORMULA(FLOOR(base*modifier*SEQUENCE(16,1,85,1)/100)))*MIN(1,acc/100)),0)</f>
        <v/>
      </c>
      <c r="N519" s="4">
        <f>IFERROR(LET(mtype,XLOOKUP($D519,'Move Editor'!$B:$B,'Move Editor'!$C:$C,""),cat,XLOOKUP($D519,'Move Editor'!$B:$B,'Move Editor'!$D:$D,""),pow,XLOOKUP($D519,'Move Editor'!$B:$B,'Move Editor'!$E:$E,0),acc,XLOOKUP($D519,'Move Editor'!$B:$B,'Move Editor'!$F:$F,100),atk,IF(cat="Physical",FLOOR((FLOOR(((2*XLOOKUP(XLOOKUP($Q519,'Threshold Summary'!$Y:$Y,'Threshold Summary'!$K:$K,""),'Pokemon Editor'!$A:$A,'Pokemon Editor'!$F:$F,0)+31+FLOOR(XLOOKUP($Q519,'Threshold Summary'!$Y:$Y,'Threshold Summary'!$P:$P,"")/4))*XLOOKUP($Q519,'Threshold Summary'!$Y:$Y,'Threshold Summary'!$L:$L,""))/100)+5)*XLOOKUP(XLOOKUP($Q519,'Threshold Summary'!$Y:$Y,'Threshold Summary'!$M:$M,""),'Nature Editor'!$A:$A,'Nature Editor'!$B:$B,1)),FLOOR((FLOOR(((2*XLOOKUP(XLOOKUP($Q519,'Threshold Summary'!$Y:$Y,'Threshold Summary'!$K:$K,""),'Pokemon Editor'!$A:$A,'Pokemon Editor'!$H:$H,0)+31+FLOOR(XLOOKUP($Q519,'Threshold Summary'!$Y:$Y,'Threshold Summary'!$R:$R,"")/4))*XLOOKUP($Q519,'Threshold Summary'!$Y:$Y,'Threshold Summary'!$L:$L,""))/100)+5)*XLOOKUP(XLOOKUP($Q519,'Threshold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Editor'!$E:$E,1))),stab,IF(OR(mtype=XLOOKUP(XLOOKUP($Q519,'Threshold Summary'!$Y:$Y,'Threshold Summary'!$K:$K,""),'Pokemon Editor'!$A:$A,'Pokemon Editor'!$C:$C,""),mtype=XLOOKUP(XLOOKUP($Q519,'Threshold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Chart'!$B$1:$S$1,0)))),base,IF(OR(cat="Status",pow=0),0,FLOOR(FLOOR(FLOOR((2*XLOOKUP($Q519,'Threshold Summary'!$Y:$Y,'Threshold Summary'!$L:$L,"")/5+2)*pow*atk/def)/50)+2)),modifier,stab*eff,AVERAGE(ARRAYFORMULA(FLOOR(base*modifier*SEQUENCE(16,1,85,1)/100)))/(FLOOR(((2*XLOOKUP('Boss Editor'!$C$4,'Pokemon Editor'!$A:$A,'Pokemon Editor'!$E:$E,0)+31+FLOOR('Boss Editor'!$G$4/4))*'Boss Editor'!$D$4)/100)+'Boss Editor'!$D$4+10)),0)</f>
        <v/>
      </c>
      <c r="O519" s="3">
        <f>IF(N519&gt;=1,"OHKO",IF(N519&gt;=0.5,"2HKO",IF(N519&gt;=0.333,"3HKO",IF(N519&gt;=0.25,"4HKO","5HKO+"))))</f>
        <v/>
      </c>
      <c r="P519" s="3" t="inlineStr">
        <is>
          <t>Live from editable databases</t>
        </is>
      </c>
      <c r="Q519" s="3" t="inlineStr">
        <is>
          <t>SPECIES_MINCCINO</t>
        </is>
      </c>
      <c r="R519" s="3" t="n">
        <v>6</v>
      </c>
    </row>
    <row r="520">
      <c r="A520" s="3">
        <f>XLOOKUP($Q520,'Threshold Summary'!$Y:$Y,'Threshold Summary'!$A:$A,"")</f>
        <v/>
      </c>
      <c r="B520" s="3">
        <f>XLOOKUP($Q520,'Threshold Summary'!$Y:$Y,'Threshold Summary'!$M:$M,"")</f>
        <v/>
      </c>
      <c r="C520" s="3">
        <f>XLOOKUP($Q520,'Threshold Summary'!$Y:$Y,'Threshold Summary'!$N:$N,"")</f>
        <v/>
      </c>
      <c r="D520" s="3">
        <f>IFERROR(INDEX(FILTER('Learnset Editor'!$D$2:$D,'Learnset Editor'!$A$2:$A=XLOOKUP($Q520,'Threshold Summary'!$Y:$Y,'Threshold Summary'!$K:$K,""),'Learnset Editor'!$C$2:$C&lt;=XLOOKUP($Q520,'Threshold Summary'!$Y:$Y,'Threshold Summary'!$L:$L,"")),$R520),"")</f>
        <v/>
      </c>
      <c r="E520" s="3">
        <f>XLOOKUP(D520,'Move Editor'!$B:$B,'Move Editor'!$C:$C,"")</f>
        <v/>
      </c>
      <c r="F520" s="3">
        <f>XLOOKUP(D520,'Move Editor'!$B:$B,'Move Editor'!$D:$D,"")</f>
        <v/>
      </c>
      <c r="G520" s="3">
        <f>XLOOKUP(D520,'Move Editor'!$B:$B,'Move Editor'!$E:$E,0)</f>
        <v/>
      </c>
      <c r="H520" s="3">
        <f>XLOOKUP(D520,'Move Editor'!$B:$B,'Move Editor'!$F:$F,0)</f>
        <v/>
      </c>
      <c r="I520" s="3">
        <f>(INDEX('Type Chart'!$B:$S,MATCH(E520,'Type Chart'!$A:$A,0),MATCH(XLOOKUP('Boss Editor'!$C$4,'Pokemon Editor'!$A:$A,'Pokemon Editor'!$C:$C,""),'Type Chart'!$B$1:$S$1,0))*IF(XLOOKUP('Boss Editor'!$C$4,'Pokemon Editor'!$A:$A,'Pokemon Editor'!$D:$D,"")="",1,INDEX('Type Chart'!$B:$S,MATCH(E520,'Type Chart'!$A:$A,0),MATCH(XLOOKUP('Boss Editor'!$C$4,'Pokemon Editor'!$A:$A,'Pokemon Editor'!$D:$D,""),'Type Chart'!$B$1:$S$1,0))))</f>
        <v/>
      </c>
      <c r="J520" s="3">
        <f>IFERROR(LET(mtype,XLOOKUP($D520,'Move Editor'!$B:$B,'Move Editor'!$C:$C,""),cat,XLOOKUP($D520,'Move Editor'!$B:$B,'Move Editor'!$D:$D,""),pow,XLOOKUP($D520,'Move Editor'!$B:$B,'Move Editor'!$E:$E,0),acc,XLOOKUP($D520,'Move Editor'!$B:$B,'Move Editor'!$F:$F,100),atk,IF(cat="Physical",FLOOR((FLOOR(((2*XLOOKUP(XLOOKUP($Q520,'Threshold Summary'!$Y:$Y,'Threshold Summary'!$K:$K,""),'Pokemon Editor'!$A:$A,'Pokemon Editor'!$F:$F,0)+31+FLOOR(XLOOKUP($Q520,'Threshold Summary'!$Y:$Y,'Threshold Summary'!$P:$P,"")/4))*XLOOKUP($Q520,'Threshold Summary'!$Y:$Y,'Threshold Summary'!$L:$L,""))/100)+5)*XLOOKUP(XLOOKUP($Q520,'Threshold Summary'!$Y:$Y,'Threshold Summary'!$M:$M,""),'Nature Editor'!$A:$A,'Nature Editor'!$B:$B,1)),FLOOR((FLOOR(((2*XLOOKUP(XLOOKUP($Q520,'Threshold Summary'!$Y:$Y,'Threshold Summary'!$K:$K,""),'Pokemon Editor'!$A:$A,'Pokemon Editor'!$H:$H,0)+31+FLOOR(XLOOKUP($Q520,'Threshold Summary'!$Y:$Y,'Threshold Summary'!$R:$R,"")/4))*XLOOKUP($Q520,'Threshold Summary'!$Y:$Y,'Threshold Summary'!$L:$L,""))/100)+5)*XLOOKUP(XLOOKUP($Q520,'Threshold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Editor'!$E:$E,1))),stab,IF(OR(mtype=XLOOKUP(XLOOKUP($Q520,'Threshold Summary'!$Y:$Y,'Threshold Summary'!$K:$K,""),'Pokemon Editor'!$A:$A,'Pokemon Editor'!$C:$C,""),mtype=XLOOKUP(XLOOKUP($Q520,'Threshold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Chart'!$B$1:$S$1,0)))),base,IF(OR(cat="Status",pow=0),0,FLOOR(FLOOR(FLOOR((2*XLOOKUP($Q520,'Threshold Summary'!$Y:$Y,'Threshold Summary'!$L:$L,"")/5+2)*pow*atk/def)/50)+2)),modifier,stab*eff,FLOOR(base*modifier*0.85)),0)</f>
        <v/>
      </c>
      <c r="K520" s="3">
        <f>IFERROR(LET(mtype,XLOOKUP($D520,'Move Editor'!$B:$B,'Move Editor'!$C:$C,""),cat,XLOOKUP($D520,'Move Editor'!$B:$B,'Move Editor'!$D:$D,""),pow,XLOOKUP($D520,'Move Editor'!$B:$B,'Move Editor'!$E:$E,0),acc,XLOOKUP($D520,'Move Editor'!$B:$B,'Move Editor'!$F:$F,100),atk,IF(cat="Physical",FLOOR((FLOOR(((2*XLOOKUP(XLOOKUP($Q520,'Threshold Summary'!$Y:$Y,'Threshold Summary'!$K:$K,""),'Pokemon Editor'!$A:$A,'Pokemon Editor'!$F:$F,0)+31+FLOOR(XLOOKUP($Q520,'Threshold Summary'!$Y:$Y,'Threshold Summary'!$P:$P,"")/4))*XLOOKUP($Q520,'Threshold Summary'!$Y:$Y,'Threshold Summary'!$L:$L,""))/100)+5)*XLOOKUP(XLOOKUP($Q520,'Threshold Summary'!$Y:$Y,'Threshold Summary'!$M:$M,""),'Nature Editor'!$A:$A,'Nature Editor'!$B:$B,1)),FLOOR((FLOOR(((2*XLOOKUP(XLOOKUP($Q520,'Threshold Summary'!$Y:$Y,'Threshold Summary'!$K:$K,""),'Pokemon Editor'!$A:$A,'Pokemon Editor'!$H:$H,0)+31+FLOOR(XLOOKUP($Q520,'Threshold Summary'!$Y:$Y,'Threshold Summary'!$R:$R,"")/4))*XLOOKUP($Q520,'Threshold Summary'!$Y:$Y,'Threshold Summary'!$L:$L,""))/100)+5)*XLOOKUP(XLOOKUP($Q520,'Threshold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Editor'!$E:$E,1))),stab,IF(OR(mtype=XLOOKUP(XLOOKUP($Q520,'Threshold Summary'!$Y:$Y,'Threshold Summary'!$K:$K,""),'Pokemon Editor'!$A:$A,'Pokemon Editor'!$C:$C,""),mtype=XLOOKUP(XLOOKUP($Q520,'Threshold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Chart'!$B$1:$S$1,0)))),base,IF(OR(cat="Status",pow=0),0,FLOOR(FLOOR(FLOOR((2*XLOOKUP($Q520,'Threshold Summary'!$Y:$Y,'Threshold Summary'!$L:$L,"")/5+2)*pow*atk/def)/50)+2)),modifier,stab*eff,FLOOR(base*modifier)),0)</f>
        <v/>
      </c>
      <c r="L520" s="3">
        <f>IFERROR(LET(mtype,XLOOKUP($D520,'Move Editor'!$B:$B,'Move Editor'!$C:$C,""),cat,XLOOKUP($D520,'Move Editor'!$B:$B,'Move Editor'!$D:$D,""),pow,XLOOKUP($D520,'Move Editor'!$B:$B,'Move Editor'!$E:$E,0),acc,XLOOKUP($D520,'Move Editor'!$B:$B,'Move Editor'!$F:$F,100),atk,IF(cat="Physical",FLOOR((FLOOR(((2*XLOOKUP(XLOOKUP($Q520,'Threshold Summary'!$Y:$Y,'Threshold Summary'!$K:$K,""),'Pokemon Editor'!$A:$A,'Pokemon Editor'!$F:$F,0)+31+FLOOR(XLOOKUP($Q520,'Threshold Summary'!$Y:$Y,'Threshold Summary'!$P:$P,"")/4))*XLOOKUP($Q520,'Threshold Summary'!$Y:$Y,'Threshold Summary'!$L:$L,""))/100)+5)*XLOOKUP(XLOOKUP($Q520,'Threshold Summary'!$Y:$Y,'Threshold Summary'!$M:$M,""),'Nature Editor'!$A:$A,'Nature Editor'!$B:$B,1)),FLOOR((FLOOR(((2*XLOOKUP(XLOOKUP($Q520,'Threshold Summary'!$Y:$Y,'Threshold Summary'!$K:$K,""),'Pokemon Editor'!$A:$A,'Pokemon Editor'!$H:$H,0)+31+FLOOR(XLOOKUP($Q520,'Threshold Summary'!$Y:$Y,'Threshold Summary'!$R:$R,"")/4))*XLOOKUP($Q520,'Threshold Summary'!$Y:$Y,'Threshold Summary'!$L:$L,""))/100)+5)*XLOOKUP(XLOOKUP($Q520,'Threshold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Editor'!$E:$E,1))),stab,IF(OR(mtype=XLOOKUP(XLOOKUP($Q520,'Threshold Summary'!$Y:$Y,'Threshold Summary'!$K:$K,""),'Pokemon Editor'!$A:$A,'Pokemon Editor'!$C:$C,""),mtype=XLOOKUP(XLOOKUP($Q520,'Threshold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Chart'!$B$1:$S$1,0)))),base,IF(OR(cat="Status",pow=0),0,FLOOR(FLOOR(FLOOR((2*XLOOKUP($Q520,'Threshold Summary'!$Y:$Y,'Threshold Summary'!$L:$L,"")/5+2)*pow*atk/def)/50)+2)),modifier,stab*eff,AVERAGE(ARRAYFORMULA(FLOOR(base*modifier*SEQUENCE(16,1,85,1)/100)))),0)</f>
        <v/>
      </c>
      <c r="M520" s="3">
        <f>IFERROR(LET(mtype,XLOOKUP($D520,'Move Editor'!$B:$B,'Move Editor'!$C:$C,""),cat,XLOOKUP($D520,'Move Editor'!$B:$B,'Move Editor'!$D:$D,""),pow,XLOOKUP($D520,'Move Editor'!$B:$B,'Move Editor'!$E:$E,0),acc,XLOOKUP($D520,'Move Editor'!$B:$B,'Move Editor'!$F:$F,100),atk,IF(cat="Physical",FLOOR((FLOOR(((2*XLOOKUP(XLOOKUP($Q520,'Threshold Summary'!$Y:$Y,'Threshold Summary'!$K:$K,""),'Pokemon Editor'!$A:$A,'Pokemon Editor'!$F:$F,0)+31+FLOOR(XLOOKUP($Q520,'Threshold Summary'!$Y:$Y,'Threshold Summary'!$P:$P,"")/4))*XLOOKUP($Q520,'Threshold Summary'!$Y:$Y,'Threshold Summary'!$L:$L,""))/100)+5)*XLOOKUP(XLOOKUP($Q520,'Threshold Summary'!$Y:$Y,'Threshold Summary'!$M:$M,""),'Nature Editor'!$A:$A,'Nature Editor'!$B:$B,1)),FLOOR((FLOOR(((2*XLOOKUP(XLOOKUP($Q520,'Threshold Summary'!$Y:$Y,'Threshold Summary'!$K:$K,""),'Pokemon Editor'!$A:$A,'Pokemon Editor'!$H:$H,0)+31+FLOOR(XLOOKUP($Q520,'Threshold Summary'!$Y:$Y,'Threshold Summary'!$R:$R,"")/4))*XLOOKUP($Q520,'Threshold Summary'!$Y:$Y,'Threshold Summary'!$L:$L,""))/100)+5)*XLOOKUP(XLOOKUP($Q520,'Threshold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Editor'!$E:$E,1))),stab,IF(OR(mtype=XLOOKUP(XLOOKUP($Q520,'Threshold Summary'!$Y:$Y,'Threshold Summary'!$K:$K,""),'Pokemon Editor'!$A:$A,'Pokemon Editor'!$C:$C,""),mtype=XLOOKUP(XLOOKUP($Q520,'Threshold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Chart'!$B$1:$S$1,0)))),base,IF(OR(cat="Status",pow=0),0,FLOOR(FLOOR(FLOOR((2*XLOOKUP($Q520,'Threshold Summary'!$Y:$Y,'Threshold Summary'!$L:$L,"")/5+2)*pow*atk/def)/50)+2)),modifier,stab*eff,AVERAGE(ARRAYFORMULA(FLOOR(base*modifier*SEQUENCE(16,1,85,1)/100)))*MIN(1,acc/100)),0)</f>
        <v/>
      </c>
      <c r="N520" s="4">
        <f>IFERROR(LET(mtype,XLOOKUP($D520,'Move Editor'!$B:$B,'Move Editor'!$C:$C,""),cat,XLOOKUP($D520,'Move Editor'!$B:$B,'Move Editor'!$D:$D,""),pow,XLOOKUP($D520,'Move Editor'!$B:$B,'Move Editor'!$E:$E,0),acc,XLOOKUP($D520,'Move Editor'!$B:$B,'Move Editor'!$F:$F,100),atk,IF(cat="Physical",FLOOR((FLOOR(((2*XLOOKUP(XLOOKUP($Q520,'Threshold Summary'!$Y:$Y,'Threshold Summary'!$K:$K,""),'Pokemon Editor'!$A:$A,'Pokemon Editor'!$F:$F,0)+31+FLOOR(XLOOKUP($Q520,'Threshold Summary'!$Y:$Y,'Threshold Summary'!$P:$P,"")/4))*XLOOKUP($Q520,'Threshold Summary'!$Y:$Y,'Threshold Summary'!$L:$L,""))/100)+5)*XLOOKUP(XLOOKUP($Q520,'Threshold Summary'!$Y:$Y,'Threshold Summary'!$M:$M,""),'Nature Editor'!$A:$A,'Nature Editor'!$B:$B,1)),FLOOR((FLOOR(((2*XLOOKUP(XLOOKUP($Q520,'Threshold Summary'!$Y:$Y,'Threshold Summary'!$K:$K,""),'Pokemon Editor'!$A:$A,'Pokemon Editor'!$H:$H,0)+31+FLOOR(XLOOKUP($Q520,'Threshold Summary'!$Y:$Y,'Threshold Summary'!$R:$R,"")/4))*XLOOKUP($Q520,'Threshold Summary'!$Y:$Y,'Threshold Summary'!$L:$L,""))/100)+5)*XLOOKUP(XLOOKUP($Q520,'Threshold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Editor'!$E:$E,1))),stab,IF(OR(mtype=XLOOKUP(XLOOKUP($Q520,'Threshold Summary'!$Y:$Y,'Threshold Summary'!$K:$K,""),'Pokemon Editor'!$A:$A,'Pokemon Editor'!$C:$C,""),mtype=XLOOKUP(XLOOKUP($Q520,'Threshold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Chart'!$B$1:$S$1,0)))),base,IF(OR(cat="Status",pow=0),0,FLOOR(FLOOR(FLOOR((2*XLOOKUP($Q520,'Threshold Summary'!$Y:$Y,'Threshold Summary'!$L:$L,"")/5+2)*pow*atk/def)/50)+2)),modifier,stab*eff,AVERAGE(ARRAYFORMULA(FLOOR(base*modifier*SEQUENCE(16,1,85,1)/100)))/(FLOOR(((2*XLOOKUP('Boss Editor'!$C$4,'Pokemon Editor'!$A:$A,'Pokemon Editor'!$E:$E,0)+31+FLOOR('Boss Editor'!$G$4/4))*'Boss Editor'!$D$4)/100)+'Boss Editor'!$D$4+10)),0)</f>
        <v/>
      </c>
      <c r="O520" s="3">
        <f>IF(N520&gt;=1,"OHKO",IF(N520&gt;=0.5,"2HKO",IF(N520&gt;=0.333,"3HKO",IF(N520&gt;=0.25,"4HKO","5HKO+"))))</f>
        <v/>
      </c>
      <c r="P520" s="3" t="inlineStr">
        <is>
          <t>Live from editable databases</t>
        </is>
      </c>
      <c r="Q520" s="3" t="inlineStr">
        <is>
          <t>SPECIES_MINCCINO</t>
        </is>
      </c>
      <c r="R520" s="3" t="n">
        <v>7</v>
      </c>
    </row>
    <row r="521">
      <c r="A521" s="3">
        <f>XLOOKUP($Q521,'Threshold Summary'!$Y:$Y,'Threshold Summary'!$A:$A,"")</f>
        <v/>
      </c>
      <c r="B521" s="3">
        <f>XLOOKUP($Q521,'Threshold Summary'!$Y:$Y,'Threshold Summary'!$M:$M,"")</f>
        <v/>
      </c>
      <c r="C521" s="3">
        <f>XLOOKUP($Q521,'Threshold Summary'!$Y:$Y,'Threshold Summary'!$N:$N,"")</f>
        <v/>
      </c>
      <c r="D521" s="3">
        <f>IFERROR(INDEX(FILTER('Learnset Editor'!$D$2:$D,'Learnset Editor'!$A$2:$A=XLOOKUP($Q521,'Threshold Summary'!$Y:$Y,'Threshold Summary'!$K:$K,""),'Learnset Editor'!$C$2:$C&lt;=XLOOKUP($Q521,'Threshold Summary'!$Y:$Y,'Threshold Summary'!$L:$L,"")),$R521),"")</f>
        <v/>
      </c>
      <c r="E521" s="3">
        <f>XLOOKUP(D521,'Move Editor'!$B:$B,'Move Editor'!$C:$C,"")</f>
        <v/>
      </c>
      <c r="F521" s="3">
        <f>XLOOKUP(D521,'Move Editor'!$B:$B,'Move Editor'!$D:$D,"")</f>
        <v/>
      </c>
      <c r="G521" s="3">
        <f>XLOOKUP(D521,'Move Editor'!$B:$B,'Move Editor'!$E:$E,0)</f>
        <v/>
      </c>
      <c r="H521" s="3">
        <f>XLOOKUP(D521,'Move Editor'!$B:$B,'Move Editor'!$F:$F,0)</f>
        <v/>
      </c>
      <c r="I521" s="3">
        <f>(INDEX('Type Chart'!$B:$S,MATCH(E521,'Type Chart'!$A:$A,0),MATCH(XLOOKUP('Boss Editor'!$C$4,'Pokemon Editor'!$A:$A,'Pokemon Editor'!$C:$C,""),'Type Chart'!$B$1:$S$1,0))*IF(XLOOKUP('Boss Editor'!$C$4,'Pokemon Editor'!$A:$A,'Pokemon Editor'!$D:$D,"")="",1,INDEX('Type Chart'!$B:$S,MATCH(E521,'Type Chart'!$A:$A,0),MATCH(XLOOKUP('Boss Editor'!$C$4,'Pokemon Editor'!$A:$A,'Pokemon Editor'!$D:$D,""),'Type Chart'!$B$1:$S$1,0))))</f>
        <v/>
      </c>
      <c r="J521" s="3">
        <f>IFERROR(LET(mtype,XLOOKUP($D521,'Move Editor'!$B:$B,'Move Editor'!$C:$C,""),cat,XLOOKUP($D521,'Move Editor'!$B:$B,'Move Editor'!$D:$D,""),pow,XLOOKUP($D521,'Move Editor'!$B:$B,'Move Editor'!$E:$E,0),acc,XLOOKUP($D521,'Move Editor'!$B:$B,'Move Editor'!$F:$F,100),atk,IF(cat="Physical",FLOOR((FLOOR(((2*XLOOKUP(XLOOKUP($Q521,'Threshold Summary'!$Y:$Y,'Threshold Summary'!$K:$K,""),'Pokemon Editor'!$A:$A,'Pokemon Editor'!$F:$F,0)+31+FLOOR(XLOOKUP($Q521,'Threshold Summary'!$Y:$Y,'Threshold Summary'!$P:$P,"")/4))*XLOOKUP($Q521,'Threshold Summary'!$Y:$Y,'Threshold Summary'!$L:$L,""))/100)+5)*XLOOKUP(XLOOKUP($Q521,'Threshold Summary'!$Y:$Y,'Threshold Summary'!$M:$M,""),'Nature Editor'!$A:$A,'Nature Editor'!$B:$B,1)),FLOOR((FLOOR(((2*XLOOKUP(XLOOKUP($Q521,'Threshold Summary'!$Y:$Y,'Threshold Summary'!$K:$K,""),'Pokemon Editor'!$A:$A,'Pokemon Editor'!$H:$H,0)+31+FLOOR(XLOOKUP($Q521,'Threshold Summary'!$Y:$Y,'Threshold Summary'!$R:$R,"")/4))*XLOOKUP($Q521,'Threshold Summary'!$Y:$Y,'Threshold Summary'!$L:$L,""))/100)+5)*XLOOKUP(XLOOKUP($Q521,'Threshold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Editor'!$E:$E,1))),stab,IF(OR(mtype=XLOOKUP(XLOOKUP($Q521,'Threshold Summary'!$Y:$Y,'Threshold Summary'!$K:$K,""),'Pokemon Editor'!$A:$A,'Pokemon Editor'!$C:$C,""),mtype=XLOOKUP(XLOOKUP($Q521,'Threshold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Chart'!$B$1:$S$1,0)))),base,IF(OR(cat="Status",pow=0),0,FLOOR(FLOOR(FLOOR((2*XLOOKUP($Q521,'Threshold Summary'!$Y:$Y,'Threshold Summary'!$L:$L,"")/5+2)*pow*atk/def)/50)+2)),modifier,stab*eff,FLOOR(base*modifier*0.85)),0)</f>
        <v/>
      </c>
      <c r="K521" s="3">
        <f>IFERROR(LET(mtype,XLOOKUP($D521,'Move Editor'!$B:$B,'Move Editor'!$C:$C,""),cat,XLOOKUP($D521,'Move Editor'!$B:$B,'Move Editor'!$D:$D,""),pow,XLOOKUP($D521,'Move Editor'!$B:$B,'Move Editor'!$E:$E,0),acc,XLOOKUP($D521,'Move Editor'!$B:$B,'Move Editor'!$F:$F,100),atk,IF(cat="Physical",FLOOR((FLOOR(((2*XLOOKUP(XLOOKUP($Q521,'Threshold Summary'!$Y:$Y,'Threshold Summary'!$K:$K,""),'Pokemon Editor'!$A:$A,'Pokemon Editor'!$F:$F,0)+31+FLOOR(XLOOKUP($Q521,'Threshold Summary'!$Y:$Y,'Threshold Summary'!$P:$P,"")/4))*XLOOKUP($Q521,'Threshold Summary'!$Y:$Y,'Threshold Summary'!$L:$L,""))/100)+5)*XLOOKUP(XLOOKUP($Q521,'Threshold Summary'!$Y:$Y,'Threshold Summary'!$M:$M,""),'Nature Editor'!$A:$A,'Nature Editor'!$B:$B,1)),FLOOR((FLOOR(((2*XLOOKUP(XLOOKUP($Q521,'Threshold Summary'!$Y:$Y,'Threshold Summary'!$K:$K,""),'Pokemon Editor'!$A:$A,'Pokemon Editor'!$H:$H,0)+31+FLOOR(XLOOKUP($Q521,'Threshold Summary'!$Y:$Y,'Threshold Summary'!$R:$R,"")/4))*XLOOKUP($Q521,'Threshold Summary'!$Y:$Y,'Threshold Summary'!$L:$L,""))/100)+5)*XLOOKUP(XLOOKUP($Q521,'Threshold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Editor'!$E:$E,1))),stab,IF(OR(mtype=XLOOKUP(XLOOKUP($Q521,'Threshold Summary'!$Y:$Y,'Threshold Summary'!$K:$K,""),'Pokemon Editor'!$A:$A,'Pokemon Editor'!$C:$C,""),mtype=XLOOKUP(XLOOKUP($Q521,'Threshold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Chart'!$B$1:$S$1,0)))),base,IF(OR(cat="Status",pow=0),0,FLOOR(FLOOR(FLOOR((2*XLOOKUP($Q521,'Threshold Summary'!$Y:$Y,'Threshold Summary'!$L:$L,"")/5+2)*pow*atk/def)/50)+2)),modifier,stab*eff,FLOOR(base*modifier)),0)</f>
        <v/>
      </c>
      <c r="L521" s="3">
        <f>IFERROR(LET(mtype,XLOOKUP($D521,'Move Editor'!$B:$B,'Move Editor'!$C:$C,""),cat,XLOOKUP($D521,'Move Editor'!$B:$B,'Move Editor'!$D:$D,""),pow,XLOOKUP($D521,'Move Editor'!$B:$B,'Move Editor'!$E:$E,0),acc,XLOOKUP($D521,'Move Editor'!$B:$B,'Move Editor'!$F:$F,100),atk,IF(cat="Physical",FLOOR((FLOOR(((2*XLOOKUP(XLOOKUP($Q521,'Threshold Summary'!$Y:$Y,'Threshold Summary'!$K:$K,""),'Pokemon Editor'!$A:$A,'Pokemon Editor'!$F:$F,0)+31+FLOOR(XLOOKUP($Q521,'Threshold Summary'!$Y:$Y,'Threshold Summary'!$P:$P,"")/4))*XLOOKUP($Q521,'Threshold Summary'!$Y:$Y,'Threshold Summary'!$L:$L,""))/100)+5)*XLOOKUP(XLOOKUP($Q521,'Threshold Summary'!$Y:$Y,'Threshold Summary'!$M:$M,""),'Nature Editor'!$A:$A,'Nature Editor'!$B:$B,1)),FLOOR((FLOOR(((2*XLOOKUP(XLOOKUP($Q521,'Threshold Summary'!$Y:$Y,'Threshold Summary'!$K:$K,""),'Pokemon Editor'!$A:$A,'Pokemon Editor'!$H:$H,0)+31+FLOOR(XLOOKUP($Q521,'Threshold Summary'!$Y:$Y,'Threshold Summary'!$R:$R,"")/4))*XLOOKUP($Q521,'Threshold Summary'!$Y:$Y,'Threshold Summary'!$L:$L,""))/100)+5)*XLOOKUP(XLOOKUP($Q521,'Threshold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Editor'!$E:$E,1))),stab,IF(OR(mtype=XLOOKUP(XLOOKUP($Q521,'Threshold Summary'!$Y:$Y,'Threshold Summary'!$K:$K,""),'Pokemon Editor'!$A:$A,'Pokemon Editor'!$C:$C,""),mtype=XLOOKUP(XLOOKUP($Q521,'Threshold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Chart'!$B$1:$S$1,0)))),base,IF(OR(cat="Status",pow=0),0,FLOOR(FLOOR(FLOOR((2*XLOOKUP($Q521,'Threshold Summary'!$Y:$Y,'Threshold Summary'!$L:$L,"")/5+2)*pow*atk/def)/50)+2)),modifier,stab*eff,AVERAGE(ARRAYFORMULA(FLOOR(base*modifier*SEQUENCE(16,1,85,1)/100)))),0)</f>
        <v/>
      </c>
      <c r="M521" s="3">
        <f>IFERROR(LET(mtype,XLOOKUP($D521,'Move Editor'!$B:$B,'Move Editor'!$C:$C,""),cat,XLOOKUP($D521,'Move Editor'!$B:$B,'Move Editor'!$D:$D,""),pow,XLOOKUP($D521,'Move Editor'!$B:$B,'Move Editor'!$E:$E,0),acc,XLOOKUP($D521,'Move Editor'!$B:$B,'Move Editor'!$F:$F,100),atk,IF(cat="Physical",FLOOR((FLOOR(((2*XLOOKUP(XLOOKUP($Q521,'Threshold Summary'!$Y:$Y,'Threshold Summary'!$K:$K,""),'Pokemon Editor'!$A:$A,'Pokemon Editor'!$F:$F,0)+31+FLOOR(XLOOKUP($Q521,'Threshold Summary'!$Y:$Y,'Threshold Summary'!$P:$P,"")/4))*XLOOKUP($Q521,'Threshold Summary'!$Y:$Y,'Threshold Summary'!$L:$L,""))/100)+5)*XLOOKUP(XLOOKUP($Q521,'Threshold Summary'!$Y:$Y,'Threshold Summary'!$M:$M,""),'Nature Editor'!$A:$A,'Nature Editor'!$B:$B,1)),FLOOR((FLOOR(((2*XLOOKUP(XLOOKUP($Q521,'Threshold Summary'!$Y:$Y,'Threshold Summary'!$K:$K,""),'Pokemon Editor'!$A:$A,'Pokemon Editor'!$H:$H,0)+31+FLOOR(XLOOKUP($Q521,'Threshold Summary'!$Y:$Y,'Threshold Summary'!$R:$R,"")/4))*XLOOKUP($Q521,'Threshold Summary'!$Y:$Y,'Threshold Summary'!$L:$L,""))/100)+5)*XLOOKUP(XLOOKUP($Q521,'Threshold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Editor'!$E:$E,1))),stab,IF(OR(mtype=XLOOKUP(XLOOKUP($Q521,'Threshold Summary'!$Y:$Y,'Threshold Summary'!$K:$K,""),'Pokemon Editor'!$A:$A,'Pokemon Editor'!$C:$C,""),mtype=XLOOKUP(XLOOKUP($Q521,'Threshold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Chart'!$B$1:$S$1,0)))),base,IF(OR(cat="Status",pow=0),0,FLOOR(FLOOR(FLOOR((2*XLOOKUP($Q521,'Threshold Summary'!$Y:$Y,'Threshold Summary'!$L:$L,"")/5+2)*pow*atk/def)/50)+2)),modifier,stab*eff,AVERAGE(ARRAYFORMULA(FLOOR(base*modifier*SEQUENCE(16,1,85,1)/100)))*MIN(1,acc/100)),0)</f>
        <v/>
      </c>
      <c r="N521" s="4">
        <f>IFERROR(LET(mtype,XLOOKUP($D521,'Move Editor'!$B:$B,'Move Editor'!$C:$C,""),cat,XLOOKUP($D521,'Move Editor'!$B:$B,'Move Editor'!$D:$D,""),pow,XLOOKUP($D521,'Move Editor'!$B:$B,'Move Editor'!$E:$E,0),acc,XLOOKUP($D521,'Move Editor'!$B:$B,'Move Editor'!$F:$F,100),atk,IF(cat="Physical",FLOOR((FLOOR(((2*XLOOKUP(XLOOKUP($Q521,'Threshold Summary'!$Y:$Y,'Threshold Summary'!$K:$K,""),'Pokemon Editor'!$A:$A,'Pokemon Editor'!$F:$F,0)+31+FLOOR(XLOOKUP($Q521,'Threshold Summary'!$Y:$Y,'Threshold Summary'!$P:$P,"")/4))*XLOOKUP($Q521,'Threshold Summary'!$Y:$Y,'Threshold Summary'!$L:$L,""))/100)+5)*XLOOKUP(XLOOKUP($Q521,'Threshold Summary'!$Y:$Y,'Threshold Summary'!$M:$M,""),'Nature Editor'!$A:$A,'Nature Editor'!$B:$B,1)),FLOOR((FLOOR(((2*XLOOKUP(XLOOKUP($Q521,'Threshold Summary'!$Y:$Y,'Threshold Summary'!$K:$K,""),'Pokemon Editor'!$A:$A,'Pokemon Editor'!$H:$H,0)+31+FLOOR(XLOOKUP($Q521,'Threshold Summary'!$Y:$Y,'Threshold Summary'!$R:$R,"")/4))*XLOOKUP($Q521,'Threshold Summary'!$Y:$Y,'Threshold Summary'!$L:$L,""))/100)+5)*XLOOKUP(XLOOKUP($Q521,'Threshold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Editor'!$E:$E,1))),stab,IF(OR(mtype=XLOOKUP(XLOOKUP($Q521,'Threshold Summary'!$Y:$Y,'Threshold Summary'!$K:$K,""),'Pokemon Editor'!$A:$A,'Pokemon Editor'!$C:$C,""),mtype=XLOOKUP(XLOOKUP($Q521,'Threshold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Chart'!$B$1:$S$1,0)))),base,IF(OR(cat="Status",pow=0),0,FLOOR(FLOOR(FLOOR((2*XLOOKUP($Q521,'Threshold Summary'!$Y:$Y,'Threshold Summary'!$L:$L,"")/5+2)*pow*atk/def)/50)+2)),modifier,stab*eff,AVERAGE(ARRAYFORMULA(FLOOR(base*modifier*SEQUENCE(16,1,85,1)/100)))/(FLOOR(((2*XLOOKUP('Boss Editor'!$C$4,'Pokemon Editor'!$A:$A,'Pokemon Editor'!$E:$E,0)+31+FLOOR('Boss Editor'!$G$4/4))*'Boss Editor'!$D$4)/100)+'Boss Editor'!$D$4+10)),0)</f>
        <v/>
      </c>
      <c r="O521" s="3">
        <f>IF(N521&gt;=1,"OHKO",IF(N521&gt;=0.5,"2HKO",IF(N521&gt;=0.333,"3HKO",IF(N521&gt;=0.25,"4HKO","5HKO+"))))</f>
        <v/>
      </c>
      <c r="P521" s="3" t="inlineStr">
        <is>
          <t>Live from editable databases</t>
        </is>
      </c>
      <c r="Q521" s="3" t="inlineStr">
        <is>
          <t>SPECIES_MINCCINO</t>
        </is>
      </c>
      <c r="R521" s="3" t="n">
        <v>8</v>
      </c>
    </row>
    <row r="522">
      <c r="A522" s="3">
        <f>XLOOKUP($Q522,'Threshold Summary'!$Y:$Y,'Threshold Summary'!$A:$A,"")</f>
        <v/>
      </c>
      <c r="B522" s="3">
        <f>XLOOKUP($Q522,'Threshold Summary'!$Y:$Y,'Threshold Summary'!$M:$M,"")</f>
        <v/>
      </c>
      <c r="C522" s="3">
        <f>XLOOKUP($Q522,'Threshold Summary'!$Y:$Y,'Threshold Summary'!$N:$N,"")</f>
        <v/>
      </c>
      <c r="D522" s="3">
        <f>IFERROR(INDEX(FILTER('Learnset Editor'!$D$2:$D,'Learnset Editor'!$A$2:$A=XLOOKUP($Q522,'Threshold Summary'!$Y:$Y,'Threshold Summary'!$K:$K,""),'Learnset Editor'!$C$2:$C&lt;=XLOOKUP($Q522,'Threshold Summary'!$Y:$Y,'Threshold Summary'!$L:$L,"")),$R522),"")</f>
        <v/>
      </c>
      <c r="E522" s="3">
        <f>XLOOKUP(D522,'Move Editor'!$B:$B,'Move Editor'!$C:$C,"")</f>
        <v/>
      </c>
      <c r="F522" s="3">
        <f>XLOOKUP(D522,'Move Editor'!$B:$B,'Move Editor'!$D:$D,"")</f>
        <v/>
      </c>
      <c r="G522" s="3">
        <f>XLOOKUP(D522,'Move Editor'!$B:$B,'Move Editor'!$E:$E,0)</f>
        <v/>
      </c>
      <c r="H522" s="3">
        <f>XLOOKUP(D522,'Move Editor'!$B:$B,'Move Editor'!$F:$F,0)</f>
        <v/>
      </c>
      <c r="I522" s="3">
        <f>(INDEX('Type Chart'!$B:$S,MATCH(E522,'Type Chart'!$A:$A,0),MATCH(XLOOKUP('Boss Editor'!$C$4,'Pokemon Editor'!$A:$A,'Pokemon Editor'!$C:$C,""),'Type Chart'!$B$1:$S$1,0))*IF(XLOOKUP('Boss Editor'!$C$4,'Pokemon Editor'!$A:$A,'Pokemon Editor'!$D:$D,"")="",1,INDEX('Type Chart'!$B:$S,MATCH(E522,'Type Chart'!$A:$A,0),MATCH(XLOOKUP('Boss Editor'!$C$4,'Pokemon Editor'!$A:$A,'Pokemon Editor'!$D:$D,""),'Type Chart'!$B$1:$S$1,0))))</f>
        <v/>
      </c>
      <c r="J522" s="3">
        <f>IFERROR(LET(mtype,XLOOKUP($D522,'Move Editor'!$B:$B,'Move Editor'!$C:$C,""),cat,XLOOKUP($D522,'Move Editor'!$B:$B,'Move Editor'!$D:$D,""),pow,XLOOKUP($D522,'Move Editor'!$B:$B,'Move Editor'!$E:$E,0),acc,XLOOKUP($D522,'Move Editor'!$B:$B,'Move Editor'!$F:$F,100),atk,IF(cat="Physical",FLOOR((FLOOR(((2*XLOOKUP(XLOOKUP($Q522,'Threshold Summary'!$Y:$Y,'Threshold Summary'!$K:$K,""),'Pokemon Editor'!$A:$A,'Pokemon Editor'!$F:$F,0)+31+FLOOR(XLOOKUP($Q522,'Threshold Summary'!$Y:$Y,'Threshold Summary'!$P:$P,"")/4))*XLOOKUP($Q522,'Threshold Summary'!$Y:$Y,'Threshold Summary'!$L:$L,""))/100)+5)*XLOOKUP(XLOOKUP($Q522,'Threshold Summary'!$Y:$Y,'Threshold Summary'!$M:$M,""),'Nature Editor'!$A:$A,'Nature Editor'!$B:$B,1)),FLOOR((FLOOR(((2*XLOOKUP(XLOOKUP($Q522,'Threshold Summary'!$Y:$Y,'Threshold Summary'!$K:$K,""),'Pokemon Editor'!$A:$A,'Pokemon Editor'!$H:$H,0)+31+FLOOR(XLOOKUP($Q522,'Threshold Summary'!$Y:$Y,'Threshold Summary'!$R:$R,"")/4))*XLOOKUP($Q522,'Threshold Summary'!$Y:$Y,'Threshold Summary'!$L:$L,""))/100)+5)*XLOOKUP(XLOOKUP($Q522,'Threshold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Editor'!$E:$E,1))),stab,IF(OR(mtype=XLOOKUP(XLOOKUP($Q522,'Threshold Summary'!$Y:$Y,'Threshold Summary'!$K:$K,""),'Pokemon Editor'!$A:$A,'Pokemon Editor'!$C:$C,""),mtype=XLOOKUP(XLOOKUP($Q522,'Threshold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Chart'!$B$1:$S$1,0)))),base,IF(OR(cat="Status",pow=0),0,FLOOR(FLOOR(FLOOR((2*XLOOKUP($Q522,'Threshold Summary'!$Y:$Y,'Threshold Summary'!$L:$L,"")/5+2)*pow*atk/def)/50)+2)),modifier,stab*eff,FLOOR(base*modifier*0.85)),0)</f>
        <v/>
      </c>
      <c r="K522" s="3">
        <f>IFERROR(LET(mtype,XLOOKUP($D522,'Move Editor'!$B:$B,'Move Editor'!$C:$C,""),cat,XLOOKUP($D522,'Move Editor'!$B:$B,'Move Editor'!$D:$D,""),pow,XLOOKUP($D522,'Move Editor'!$B:$B,'Move Editor'!$E:$E,0),acc,XLOOKUP($D522,'Move Editor'!$B:$B,'Move Editor'!$F:$F,100),atk,IF(cat="Physical",FLOOR((FLOOR(((2*XLOOKUP(XLOOKUP($Q522,'Threshold Summary'!$Y:$Y,'Threshold Summary'!$K:$K,""),'Pokemon Editor'!$A:$A,'Pokemon Editor'!$F:$F,0)+31+FLOOR(XLOOKUP($Q522,'Threshold Summary'!$Y:$Y,'Threshold Summary'!$P:$P,"")/4))*XLOOKUP($Q522,'Threshold Summary'!$Y:$Y,'Threshold Summary'!$L:$L,""))/100)+5)*XLOOKUP(XLOOKUP($Q522,'Threshold Summary'!$Y:$Y,'Threshold Summary'!$M:$M,""),'Nature Editor'!$A:$A,'Nature Editor'!$B:$B,1)),FLOOR((FLOOR(((2*XLOOKUP(XLOOKUP($Q522,'Threshold Summary'!$Y:$Y,'Threshold Summary'!$K:$K,""),'Pokemon Editor'!$A:$A,'Pokemon Editor'!$H:$H,0)+31+FLOOR(XLOOKUP($Q522,'Threshold Summary'!$Y:$Y,'Threshold Summary'!$R:$R,"")/4))*XLOOKUP($Q522,'Threshold Summary'!$Y:$Y,'Threshold Summary'!$L:$L,""))/100)+5)*XLOOKUP(XLOOKUP($Q522,'Threshold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Editor'!$E:$E,1))),stab,IF(OR(mtype=XLOOKUP(XLOOKUP($Q522,'Threshold Summary'!$Y:$Y,'Threshold Summary'!$K:$K,""),'Pokemon Editor'!$A:$A,'Pokemon Editor'!$C:$C,""),mtype=XLOOKUP(XLOOKUP($Q522,'Threshold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Chart'!$B$1:$S$1,0)))),base,IF(OR(cat="Status",pow=0),0,FLOOR(FLOOR(FLOOR((2*XLOOKUP($Q522,'Threshold Summary'!$Y:$Y,'Threshold Summary'!$L:$L,"")/5+2)*pow*atk/def)/50)+2)),modifier,stab*eff,FLOOR(base*modifier)),0)</f>
        <v/>
      </c>
      <c r="L522" s="3">
        <f>IFERROR(LET(mtype,XLOOKUP($D522,'Move Editor'!$B:$B,'Move Editor'!$C:$C,""),cat,XLOOKUP($D522,'Move Editor'!$B:$B,'Move Editor'!$D:$D,""),pow,XLOOKUP($D522,'Move Editor'!$B:$B,'Move Editor'!$E:$E,0),acc,XLOOKUP($D522,'Move Editor'!$B:$B,'Move Editor'!$F:$F,100),atk,IF(cat="Physical",FLOOR((FLOOR(((2*XLOOKUP(XLOOKUP($Q522,'Threshold Summary'!$Y:$Y,'Threshold Summary'!$K:$K,""),'Pokemon Editor'!$A:$A,'Pokemon Editor'!$F:$F,0)+31+FLOOR(XLOOKUP($Q522,'Threshold Summary'!$Y:$Y,'Threshold Summary'!$P:$P,"")/4))*XLOOKUP($Q522,'Threshold Summary'!$Y:$Y,'Threshold Summary'!$L:$L,""))/100)+5)*XLOOKUP(XLOOKUP($Q522,'Threshold Summary'!$Y:$Y,'Threshold Summary'!$M:$M,""),'Nature Editor'!$A:$A,'Nature Editor'!$B:$B,1)),FLOOR((FLOOR(((2*XLOOKUP(XLOOKUP($Q522,'Threshold Summary'!$Y:$Y,'Threshold Summary'!$K:$K,""),'Pokemon Editor'!$A:$A,'Pokemon Editor'!$H:$H,0)+31+FLOOR(XLOOKUP($Q522,'Threshold Summary'!$Y:$Y,'Threshold Summary'!$R:$R,"")/4))*XLOOKUP($Q522,'Threshold Summary'!$Y:$Y,'Threshold Summary'!$L:$L,""))/100)+5)*XLOOKUP(XLOOKUP($Q522,'Threshold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Editor'!$E:$E,1))),stab,IF(OR(mtype=XLOOKUP(XLOOKUP($Q522,'Threshold Summary'!$Y:$Y,'Threshold Summary'!$K:$K,""),'Pokemon Editor'!$A:$A,'Pokemon Editor'!$C:$C,""),mtype=XLOOKUP(XLOOKUP($Q522,'Threshold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Chart'!$B$1:$S$1,0)))),base,IF(OR(cat="Status",pow=0),0,FLOOR(FLOOR(FLOOR((2*XLOOKUP($Q522,'Threshold Summary'!$Y:$Y,'Threshold Summary'!$L:$L,"")/5+2)*pow*atk/def)/50)+2)),modifier,stab*eff,AVERAGE(ARRAYFORMULA(FLOOR(base*modifier*SEQUENCE(16,1,85,1)/100)))),0)</f>
        <v/>
      </c>
      <c r="M522" s="3">
        <f>IFERROR(LET(mtype,XLOOKUP($D522,'Move Editor'!$B:$B,'Move Editor'!$C:$C,""),cat,XLOOKUP($D522,'Move Editor'!$B:$B,'Move Editor'!$D:$D,""),pow,XLOOKUP($D522,'Move Editor'!$B:$B,'Move Editor'!$E:$E,0),acc,XLOOKUP($D522,'Move Editor'!$B:$B,'Move Editor'!$F:$F,100),atk,IF(cat="Physical",FLOOR((FLOOR(((2*XLOOKUP(XLOOKUP($Q522,'Threshold Summary'!$Y:$Y,'Threshold Summary'!$K:$K,""),'Pokemon Editor'!$A:$A,'Pokemon Editor'!$F:$F,0)+31+FLOOR(XLOOKUP($Q522,'Threshold Summary'!$Y:$Y,'Threshold Summary'!$P:$P,"")/4))*XLOOKUP($Q522,'Threshold Summary'!$Y:$Y,'Threshold Summary'!$L:$L,""))/100)+5)*XLOOKUP(XLOOKUP($Q522,'Threshold Summary'!$Y:$Y,'Threshold Summary'!$M:$M,""),'Nature Editor'!$A:$A,'Nature Editor'!$B:$B,1)),FLOOR((FLOOR(((2*XLOOKUP(XLOOKUP($Q522,'Threshold Summary'!$Y:$Y,'Threshold Summary'!$K:$K,""),'Pokemon Editor'!$A:$A,'Pokemon Editor'!$H:$H,0)+31+FLOOR(XLOOKUP($Q522,'Threshold Summary'!$Y:$Y,'Threshold Summary'!$R:$R,"")/4))*XLOOKUP($Q522,'Threshold Summary'!$Y:$Y,'Threshold Summary'!$L:$L,""))/100)+5)*XLOOKUP(XLOOKUP($Q522,'Threshold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Editor'!$E:$E,1))),stab,IF(OR(mtype=XLOOKUP(XLOOKUP($Q522,'Threshold Summary'!$Y:$Y,'Threshold Summary'!$K:$K,""),'Pokemon Editor'!$A:$A,'Pokemon Editor'!$C:$C,""),mtype=XLOOKUP(XLOOKUP($Q522,'Threshold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Chart'!$B$1:$S$1,0)))),base,IF(OR(cat="Status",pow=0),0,FLOOR(FLOOR(FLOOR((2*XLOOKUP($Q522,'Threshold Summary'!$Y:$Y,'Threshold Summary'!$L:$L,"")/5+2)*pow*atk/def)/50)+2)),modifier,stab*eff,AVERAGE(ARRAYFORMULA(FLOOR(base*modifier*SEQUENCE(16,1,85,1)/100)))*MIN(1,acc/100)),0)</f>
        <v/>
      </c>
      <c r="N522" s="4">
        <f>IFERROR(LET(mtype,XLOOKUP($D522,'Move Editor'!$B:$B,'Move Editor'!$C:$C,""),cat,XLOOKUP($D522,'Move Editor'!$B:$B,'Move Editor'!$D:$D,""),pow,XLOOKUP($D522,'Move Editor'!$B:$B,'Move Editor'!$E:$E,0),acc,XLOOKUP($D522,'Move Editor'!$B:$B,'Move Editor'!$F:$F,100),atk,IF(cat="Physical",FLOOR((FLOOR(((2*XLOOKUP(XLOOKUP($Q522,'Threshold Summary'!$Y:$Y,'Threshold Summary'!$K:$K,""),'Pokemon Editor'!$A:$A,'Pokemon Editor'!$F:$F,0)+31+FLOOR(XLOOKUP($Q522,'Threshold Summary'!$Y:$Y,'Threshold Summary'!$P:$P,"")/4))*XLOOKUP($Q522,'Threshold Summary'!$Y:$Y,'Threshold Summary'!$L:$L,""))/100)+5)*XLOOKUP(XLOOKUP($Q522,'Threshold Summary'!$Y:$Y,'Threshold Summary'!$M:$M,""),'Nature Editor'!$A:$A,'Nature Editor'!$B:$B,1)),FLOOR((FLOOR(((2*XLOOKUP(XLOOKUP($Q522,'Threshold Summary'!$Y:$Y,'Threshold Summary'!$K:$K,""),'Pokemon Editor'!$A:$A,'Pokemon Editor'!$H:$H,0)+31+FLOOR(XLOOKUP($Q522,'Threshold Summary'!$Y:$Y,'Threshold Summary'!$R:$R,"")/4))*XLOOKUP($Q522,'Threshold Summary'!$Y:$Y,'Threshold Summary'!$L:$L,""))/100)+5)*XLOOKUP(XLOOKUP($Q522,'Threshold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Editor'!$E:$E,1))),stab,IF(OR(mtype=XLOOKUP(XLOOKUP($Q522,'Threshold Summary'!$Y:$Y,'Threshold Summary'!$K:$K,""),'Pokemon Editor'!$A:$A,'Pokemon Editor'!$C:$C,""),mtype=XLOOKUP(XLOOKUP($Q522,'Threshold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Chart'!$B$1:$S$1,0)))),base,IF(OR(cat="Status",pow=0),0,FLOOR(FLOOR(FLOOR((2*XLOOKUP($Q522,'Threshold Summary'!$Y:$Y,'Threshold Summary'!$L:$L,"")/5+2)*pow*atk/def)/50)+2)),modifier,stab*eff,AVERAGE(ARRAYFORMULA(FLOOR(base*modifier*SEQUENCE(16,1,85,1)/100)))/(FLOOR(((2*XLOOKUP('Boss Editor'!$C$4,'Pokemon Editor'!$A:$A,'Pokemon Editor'!$E:$E,0)+31+FLOOR('Boss Editor'!$G$4/4))*'Boss Editor'!$D$4)/100)+'Boss Editor'!$D$4+10)),0)</f>
        <v/>
      </c>
      <c r="O522" s="3">
        <f>IF(N522&gt;=1,"OHKO",IF(N522&gt;=0.5,"2HKO",IF(N522&gt;=0.333,"3HKO",IF(N522&gt;=0.25,"4HKO","5HKO+"))))</f>
        <v/>
      </c>
      <c r="P522" s="3" t="inlineStr">
        <is>
          <t>Live from editable databases</t>
        </is>
      </c>
      <c r="Q522" s="3" t="inlineStr">
        <is>
          <t>SPECIES_MINCCINO</t>
        </is>
      </c>
      <c r="R522" s="3" t="n">
        <v>9</v>
      </c>
    </row>
    <row r="523">
      <c r="A523" s="3">
        <f>XLOOKUP($Q523,'Threshold Summary'!$Y:$Y,'Threshold Summary'!$A:$A,"")</f>
        <v/>
      </c>
      <c r="B523" s="3">
        <f>XLOOKUP($Q523,'Threshold Summary'!$Y:$Y,'Threshold Summary'!$M:$M,"")</f>
        <v/>
      </c>
      <c r="C523" s="3">
        <f>XLOOKUP($Q523,'Threshold Summary'!$Y:$Y,'Threshold Summary'!$N:$N,"")</f>
        <v/>
      </c>
      <c r="D523" s="3">
        <f>IFERROR(INDEX(FILTER('Learnset Editor'!$D$2:$D,'Learnset Editor'!$A$2:$A=XLOOKUP($Q523,'Threshold Summary'!$Y:$Y,'Threshold Summary'!$K:$K,""),'Learnset Editor'!$C$2:$C&lt;=XLOOKUP($Q523,'Threshold Summary'!$Y:$Y,'Threshold Summary'!$L:$L,"")),$R523),"")</f>
        <v/>
      </c>
      <c r="E523" s="3">
        <f>XLOOKUP(D523,'Move Editor'!$B:$B,'Move Editor'!$C:$C,"")</f>
        <v/>
      </c>
      <c r="F523" s="3">
        <f>XLOOKUP(D523,'Move Editor'!$B:$B,'Move Editor'!$D:$D,"")</f>
        <v/>
      </c>
      <c r="G523" s="3">
        <f>XLOOKUP(D523,'Move Editor'!$B:$B,'Move Editor'!$E:$E,0)</f>
        <v/>
      </c>
      <c r="H523" s="3">
        <f>XLOOKUP(D523,'Move Editor'!$B:$B,'Move Editor'!$F:$F,0)</f>
        <v/>
      </c>
      <c r="I523" s="3">
        <f>(INDEX('Type Chart'!$B:$S,MATCH(E523,'Type Chart'!$A:$A,0),MATCH(XLOOKUP('Boss Editor'!$C$4,'Pokemon Editor'!$A:$A,'Pokemon Editor'!$C:$C,""),'Type Chart'!$B$1:$S$1,0))*IF(XLOOKUP('Boss Editor'!$C$4,'Pokemon Editor'!$A:$A,'Pokemon Editor'!$D:$D,"")="",1,INDEX('Type Chart'!$B:$S,MATCH(E523,'Type Chart'!$A:$A,0),MATCH(XLOOKUP('Boss Editor'!$C$4,'Pokemon Editor'!$A:$A,'Pokemon Editor'!$D:$D,""),'Type Chart'!$B$1:$S$1,0))))</f>
        <v/>
      </c>
      <c r="J523" s="3">
        <f>IFERROR(LET(mtype,XLOOKUP($D523,'Move Editor'!$B:$B,'Move Editor'!$C:$C,""),cat,XLOOKUP($D523,'Move Editor'!$B:$B,'Move Editor'!$D:$D,""),pow,XLOOKUP($D523,'Move Editor'!$B:$B,'Move Editor'!$E:$E,0),acc,XLOOKUP($D523,'Move Editor'!$B:$B,'Move Editor'!$F:$F,100),atk,IF(cat="Physical",FLOOR((FLOOR(((2*XLOOKUP(XLOOKUP($Q523,'Threshold Summary'!$Y:$Y,'Threshold Summary'!$K:$K,""),'Pokemon Editor'!$A:$A,'Pokemon Editor'!$F:$F,0)+31+FLOOR(XLOOKUP($Q523,'Threshold Summary'!$Y:$Y,'Threshold Summary'!$P:$P,"")/4))*XLOOKUP($Q523,'Threshold Summary'!$Y:$Y,'Threshold Summary'!$L:$L,""))/100)+5)*XLOOKUP(XLOOKUP($Q523,'Threshold Summary'!$Y:$Y,'Threshold Summary'!$M:$M,""),'Nature Editor'!$A:$A,'Nature Editor'!$B:$B,1)),FLOOR((FLOOR(((2*XLOOKUP(XLOOKUP($Q523,'Threshold Summary'!$Y:$Y,'Threshold Summary'!$K:$K,""),'Pokemon Editor'!$A:$A,'Pokemon Editor'!$H:$H,0)+31+FLOOR(XLOOKUP($Q523,'Threshold Summary'!$Y:$Y,'Threshold Summary'!$R:$R,"")/4))*XLOOKUP($Q523,'Threshold Summary'!$Y:$Y,'Threshold Summary'!$L:$L,""))/100)+5)*XLOOKUP(XLOOKUP($Q523,'Threshold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Editor'!$E:$E,1))),stab,IF(OR(mtype=XLOOKUP(XLOOKUP($Q523,'Threshold Summary'!$Y:$Y,'Threshold Summary'!$K:$K,""),'Pokemon Editor'!$A:$A,'Pokemon Editor'!$C:$C,""),mtype=XLOOKUP(XLOOKUP($Q523,'Threshold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Chart'!$B$1:$S$1,0)))),base,IF(OR(cat="Status",pow=0),0,FLOOR(FLOOR(FLOOR((2*XLOOKUP($Q523,'Threshold Summary'!$Y:$Y,'Threshold Summary'!$L:$L,"")/5+2)*pow*atk/def)/50)+2)),modifier,stab*eff,FLOOR(base*modifier*0.85)),0)</f>
        <v/>
      </c>
      <c r="K523" s="3">
        <f>IFERROR(LET(mtype,XLOOKUP($D523,'Move Editor'!$B:$B,'Move Editor'!$C:$C,""),cat,XLOOKUP($D523,'Move Editor'!$B:$B,'Move Editor'!$D:$D,""),pow,XLOOKUP($D523,'Move Editor'!$B:$B,'Move Editor'!$E:$E,0),acc,XLOOKUP($D523,'Move Editor'!$B:$B,'Move Editor'!$F:$F,100),atk,IF(cat="Physical",FLOOR((FLOOR(((2*XLOOKUP(XLOOKUP($Q523,'Threshold Summary'!$Y:$Y,'Threshold Summary'!$K:$K,""),'Pokemon Editor'!$A:$A,'Pokemon Editor'!$F:$F,0)+31+FLOOR(XLOOKUP($Q523,'Threshold Summary'!$Y:$Y,'Threshold Summary'!$P:$P,"")/4))*XLOOKUP($Q523,'Threshold Summary'!$Y:$Y,'Threshold Summary'!$L:$L,""))/100)+5)*XLOOKUP(XLOOKUP($Q523,'Threshold Summary'!$Y:$Y,'Threshold Summary'!$M:$M,""),'Nature Editor'!$A:$A,'Nature Editor'!$B:$B,1)),FLOOR((FLOOR(((2*XLOOKUP(XLOOKUP($Q523,'Threshold Summary'!$Y:$Y,'Threshold Summary'!$K:$K,""),'Pokemon Editor'!$A:$A,'Pokemon Editor'!$H:$H,0)+31+FLOOR(XLOOKUP($Q523,'Threshold Summary'!$Y:$Y,'Threshold Summary'!$R:$R,"")/4))*XLOOKUP($Q523,'Threshold Summary'!$Y:$Y,'Threshold Summary'!$L:$L,""))/100)+5)*XLOOKUP(XLOOKUP($Q523,'Threshold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Editor'!$E:$E,1))),stab,IF(OR(mtype=XLOOKUP(XLOOKUP($Q523,'Threshold Summary'!$Y:$Y,'Threshold Summary'!$K:$K,""),'Pokemon Editor'!$A:$A,'Pokemon Editor'!$C:$C,""),mtype=XLOOKUP(XLOOKUP($Q523,'Threshold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Chart'!$B$1:$S$1,0)))),base,IF(OR(cat="Status",pow=0),0,FLOOR(FLOOR(FLOOR((2*XLOOKUP($Q523,'Threshold Summary'!$Y:$Y,'Threshold Summary'!$L:$L,"")/5+2)*pow*atk/def)/50)+2)),modifier,stab*eff,FLOOR(base*modifier)),0)</f>
        <v/>
      </c>
      <c r="L523" s="3">
        <f>IFERROR(LET(mtype,XLOOKUP($D523,'Move Editor'!$B:$B,'Move Editor'!$C:$C,""),cat,XLOOKUP($D523,'Move Editor'!$B:$B,'Move Editor'!$D:$D,""),pow,XLOOKUP($D523,'Move Editor'!$B:$B,'Move Editor'!$E:$E,0),acc,XLOOKUP($D523,'Move Editor'!$B:$B,'Move Editor'!$F:$F,100),atk,IF(cat="Physical",FLOOR((FLOOR(((2*XLOOKUP(XLOOKUP($Q523,'Threshold Summary'!$Y:$Y,'Threshold Summary'!$K:$K,""),'Pokemon Editor'!$A:$A,'Pokemon Editor'!$F:$F,0)+31+FLOOR(XLOOKUP($Q523,'Threshold Summary'!$Y:$Y,'Threshold Summary'!$P:$P,"")/4))*XLOOKUP($Q523,'Threshold Summary'!$Y:$Y,'Threshold Summary'!$L:$L,""))/100)+5)*XLOOKUP(XLOOKUP($Q523,'Threshold Summary'!$Y:$Y,'Threshold Summary'!$M:$M,""),'Nature Editor'!$A:$A,'Nature Editor'!$B:$B,1)),FLOOR((FLOOR(((2*XLOOKUP(XLOOKUP($Q523,'Threshold Summary'!$Y:$Y,'Threshold Summary'!$K:$K,""),'Pokemon Editor'!$A:$A,'Pokemon Editor'!$H:$H,0)+31+FLOOR(XLOOKUP($Q523,'Threshold Summary'!$Y:$Y,'Threshold Summary'!$R:$R,"")/4))*XLOOKUP($Q523,'Threshold Summary'!$Y:$Y,'Threshold Summary'!$L:$L,""))/100)+5)*XLOOKUP(XLOOKUP($Q523,'Threshold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Editor'!$E:$E,1))),stab,IF(OR(mtype=XLOOKUP(XLOOKUP($Q523,'Threshold Summary'!$Y:$Y,'Threshold Summary'!$K:$K,""),'Pokemon Editor'!$A:$A,'Pokemon Editor'!$C:$C,""),mtype=XLOOKUP(XLOOKUP($Q523,'Threshold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Chart'!$B$1:$S$1,0)))),base,IF(OR(cat="Status",pow=0),0,FLOOR(FLOOR(FLOOR((2*XLOOKUP($Q523,'Threshold Summary'!$Y:$Y,'Threshold Summary'!$L:$L,"")/5+2)*pow*atk/def)/50)+2)),modifier,stab*eff,AVERAGE(ARRAYFORMULA(FLOOR(base*modifier*SEQUENCE(16,1,85,1)/100)))),0)</f>
        <v/>
      </c>
      <c r="M523" s="3">
        <f>IFERROR(LET(mtype,XLOOKUP($D523,'Move Editor'!$B:$B,'Move Editor'!$C:$C,""),cat,XLOOKUP($D523,'Move Editor'!$B:$B,'Move Editor'!$D:$D,""),pow,XLOOKUP($D523,'Move Editor'!$B:$B,'Move Editor'!$E:$E,0),acc,XLOOKUP($D523,'Move Editor'!$B:$B,'Move Editor'!$F:$F,100),atk,IF(cat="Physical",FLOOR((FLOOR(((2*XLOOKUP(XLOOKUP($Q523,'Threshold Summary'!$Y:$Y,'Threshold Summary'!$K:$K,""),'Pokemon Editor'!$A:$A,'Pokemon Editor'!$F:$F,0)+31+FLOOR(XLOOKUP($Q523,'Threshold Summary'!$Y:$Y,'Threshold Summary'!$P:$P,"")/4))*XLOOKUP($Q523,'Threshold Summary'!$Y:$Y,'Threshold Summary'!$L:$L,""))/100)+5)*XLOOKUP(XLOOKUP($Q523,'Threshold Summary'!$Y:$Y,'Threshold Summary'!$M:$M,""),'Nature Editor'!$A:$A,'Nature Editor'!$B:$B,1)),FLOOR((FLOOR(((2*XLOOKUP(XLOOKUP($Q523,'Threshold Summary'!$Y:$Y,'Threshold Summary'!$K:$K,""),'Pokemon Editor'!$A:$A,'Pokemon Editor'!$H:$H,0)+31+FLOOR(XLOOKUP($Q523,'Threshold Summary'!$Y:$Y,'Threshold Summary'!$R:$R,"")/4))*XLOOKUP($Q523,'Threshold Summary'!$Y:$Y,'Threshold Summary'!$L:$L,""))/100)+5)*XLOOKUP(XLOOKUP($Q523,'Threshold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Editor'!$E:$E,1))),stab,IF(OR(mtype=XLOOKUP(XLOOKUP($Q523,'Threshold Summary'!$Y:$Y,'Threshold Summary'!$K:$K,""),'Pokemon Editor'!$A:$A,'Pokemon Editor'!$C:$C,""),mtype=XLOOKUP(XLOOKUP($Q523,'Threshold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Chart'!$B$1:$S$1,0)))),base,IF(OR(cat="Status",pow=0),0,FLOOR(FLOOR(FLOOR((2*XLOOKUP($Q523,'Threshold Summary'!$Y:$Y,'Threshold Summary'!$L:$L,"")/5+2)*pow*atk/def)/50)+2)),modifier,stab*eff,AVERAGE(ARRAYFORMULA(FLOOR(base*modifier*SEQUENCE(16,1,85,1)/100)))*MIN(1,acc/100)),0)</f>
        <v/>
      </c>
      <c r="N523" s="4">
        <f>IFERROR(LET(mtype,XLOOKUP($D523,'Move Editor'!$B:$B,'Move Editor'!$C:$C,""),cat,XLOOKUP($D523,'Move Editor'!$B:$B,'Move Editor'!$D:$D,""),pow,XLOOKUP($D523,'Move Editor'!$B:$B,'Move Editor'!$E:$E,0),acc,XLOOKUP($D523,'Move Editor'!$B:$B,'Move Editor'!$F:$F,100),atk,IF(cat="Physical",FLOOR((FLOOR(((2*XLOOKUP(XLOOKUP($Q523,'Threshold Summary'!$Y:$Y,'Threshold Summary'!$K:$K,""),'Pokemon Editor'!$A:$A,'Pokemon Editor'!$F:$F,0)+31+FLOOR(XLOOKUP($Q523,'Threshold Summary'!$Y:$Y,'Threshold Summary'!$P:$P,"")/4))*XLOOKUP($Q523,'Threshold Summary'!$Y:$Y,'Threshold Summary'!$L:$L,""))/100)+5)*XLOOKUP(XLOOKUP($Q523,'Threshold Summary'!$Y:$Y,'Threshold Summary'!$M:$M,""),'Nature Editor'!$A:$A,'Nature Editor'!$B:$B,1)),FLOOR((FLOOR(((2*XLOOKUP(XLOOKUP($Q523,'Threshold Summary'!$Y:$Y,'Threshold Summary'!$K:$K,""),'Pokemon Editor'!$A:$A,'Pokemon Editor'!$H:$H,0)+31+FLOOR(XLOOKUP($Q523,'Threshold Summary'!$Y:$Y,'Threshold Summary'!$R:$R,"")/4))*XLOOKUP($Q523,'Threshold Summary'!$Y:$Y,'Threshold Summary'!$L:$L,""))/100)+5)*XLOOKUP(XLOOKUP($Q523,'Threshold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Editor'!$E:$E,1))),stab,IF(OR(mtype=XLOOKUP(XLOOKUP($Q523,'Threshold Summary'!$Y:$Y,'Threshold Summary'!$K:$K,""),'Pokemon Editor'!$A:$A,'Pokemon Editor'!$C:$C,""),mtype=XLOOKUP(XLOOKUP($Q523,'Threshold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Chart'!$B$1:$S$1,0)))),base,IF(OR(cat="Status",pow=0),0,FLOOR(FLOOR(FLOOR((2*XLOOKUP($Q523,'Threshold Summary'!$Y:$Y,'Threshold Summary'!$L:$L,"")/5+2)*pow*atk/def)/50)+2)),modifier,stab*eff,AVERAGE(ARRAYFORMULA(FLOOR(base*modifier*SEQUENCE(16,1,85,1)/100)))/(FLOOR(((2*XLOOKUP('Boss Editor'!$C$4,'Pokemon Editor'!$A:$A,'Pokemon Editor'!$E:$E,0)+31+FLOOR('Boss Editor'!$G$4/4))*'Boss Editor'!$D$4)/100)+'Boss Editor'!$D$4+10)),0)</f>
        <v/>
      </c>
      <c r="O523" s="3">
        <f>IF(N523&gt;=1,"OHKO",IF(N523&gt;=0.5,"2HKO",IF(N523&gt;=0.333,"3HKO",IF(N523&gt;=0.25,"4HKO","5HKO+"))))</f>
        <v/>
      </c>
      <c r="P523" s="3" t="inlineStr">
        <is>
          <t>Live from editable databases</t>
        </is>
      </c>
      <c r="Q523" s="3" t="inlineStr">
        <is>
          <t>SPECIES_MINCCINO</t>
        </is>
      </c>
      <c r="R523" s="3" t="n">
        <v>10</v>
      </c>
    </row>
    <row r="524">
      <c r="A524" s="3">
        <f>XLOOKUP($Q524,'Threshold Summary'!$Y:$Y,'Threshold Summary'!$A:$A,"")</f>
        <v/>
      </c>
      <c r="B524" s="3">
        <f>XLOOKUP($Q524,'Threshold Summary'!$Y:$Y,'Threshold Summary'!$M:$M,"")</f>
        <v/>
      </c>
      <c r="C524" s="3">
        <f>XLOOKUP($Q524,'Threshold Summary'!$Y:$Y,'Threshold Summary'!$N:$N,"")</f>
        <v/>
      </c>
      <c r="D524" s="3">
        <f>IFERROR(INDEX(FILTER('Learnset Editor'!$D$2:$D,'Learnset Editor'!$A$2:$A=XLOOKUP($Q524,'Threshold Summary'!$Y:$Y,'Threshold Summary'!$K:$K,""),'Learnset Editor'!$C$2:$C&lt;=XLOOKUP($Q524,'Threshold Summary'!$Y:$Y,'Threshold Summary'!$L:$L,"")),$R524),"")</f>
        <v/>
      </c>
      <c r="E524" s="3">
        <f>XLOOKUP(D524,'Move Editor'!$B:$B,'Move Editor'!$C:$C,"")</f>
        <v/>
      </c>
      <c r="F524" s="3">
        <f>XLOOKUP(D524,'Move Editor'!$B:$B,'Move Editor'!$D:$D,"")</f>
        <v/>
      </c>
      <c r="G524" s="3">
        <f>XLOOKUP(D524,'Move Editor'!$B:$B,'Move Editor'!$E:$E,0)</f>
        <v/>
      </c>
      <c r="H524" s="3">
        <f>XLOOKUP(D524,'Move Editor'!$B:$B,'Move Editor'!$F:$F,0)</f>
        <v/>
      </c>
      <c r="I524" s="3">
        <f>(INDEX('Type Chart'!$B:$S,MATCH(E524,'Type Chart'!$A:$A,0),MATCH(XLOOKUP('Boss Editor'!$C$4,'Pokemon Editor'!$A:$A,'Pokemon Editor'!$C:$C,""),'Type Chart'!$B$1:$S$1,0))*IF(XLOOKUP('Boss Editor'!$C$4,'Pokemon Editor'!$A:$A,'Pokemon Editor'!$D:$D,"")="",1,INDEX('Type Chart'!$B:$S,MATCH(E524,'Type Chart'!$A:$A,0),MATCH(XLOOKUP('Boss Editor'!$C$4,'Pokemon Editor'!$A:$A,'Pokemon Editor'!$D:$D,""),'Type Chart'!$B$1:$S$1,0))))</f>
        <v/>
      </c>
      <c r="J524" s="3">
        <f>IFERROR(LET(mtype,XLOOKUP($D524,'Move Editor'!$B:$B,'Move Editor'!$C:$C,""),cat,XLOOKUP($D524,'Move Editor'!$B:$B,'Move Editor'!$D:$D,""),pow,XLOOKUP($D524,'Move Editor'!$B:$B,'Move Editor'!$E:$E,0),acc,XLOOKUP($D524,'Move Editor'!$B:$B,'Move Editor'!$F:$F,100),atk,IF(cat="Physical",FLOOR((FLOOR(((2*XLOOKUP(XLOOKUP($Q524,'Threshold Summary'!$Y:$Y,'Threshold Summary'!$K:$K,""),'Pokemon Editor'!$A:$A,'Pokemon Editor'!$F:$F,0)+31+FLOOR(XLOOKUP($Q524,'Threshold Summary'!$Y:$Y,'Threshold Summary'!$P:$P,"")/4))*XLOOKUP($Q524,'Threshold Summary'!$Y:$Y,'Threshold Summary'!$L:$L,""))/100)+5)*XLOOKUP(XLOOKUP($Q524,'Threshold Summary'!$Y:$Y,'Threshold Summary'!$M:$M,""),'Nature Editor'!$A:$A,'Nature Editor'!$B:$B,1)),FLOOR((FLOOR(((2*XLOOKUP(XLOOKUP($Q524,'Threshold Summary'!$Y:$Y,'Threshold Summary'!$K:$K,""),'Pokemon Editor'!$A:$A,'Pokemon Editor'!$H:$H,0)+31+FLOOR(XLOOKUP($Q524,'Threshold Summary'!$Y:$Y,'Threshold Summary'!$R:$R,"")/4))*XLOOKUP($Q524,'Threshold Summary'!$Y:$Y,'Threshold Summary'!$L:$L,""))/100)+5)*XLOOKUP(XLOOKUP($Q524,'Threshold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Editor'!$E:$E,1))),stab,IF(OR(mtype=XLOOKUP(XLOOKUP($Q524,'Threshold Summary'!$Y:$Y,'Threshold Summary'!$K:$K,""),'Pokemon Editor'!$A:$A,'Pokemon Editor'!$C:$C,""),mtype=XLOOKUP(XLOOKUP($Q524,'Threshold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Chart'!$B$1:$S$1,0)))),base,IF(OR(cat="Status",pow=0),0,FLOOR(FLOOR(FLOOR((2*XLOOKUP($Q524,'Threshold Summary'!$Y:$Y,'Threshold Summary'!$L:$L,"")/5+2)*pow*atk/def)/50)+2)),modifier,stab*eff,FLOOR(base*modifier*0.85)),0)</f>
        <v/>
      </c>
      <c r="K524" s="3">
        <f>IFERROR(LET(mtype,XLOOKUP($D524,'Move Editor'!$B:$B,'Move Editor'!$C:$C,""),cat,XLOOKUP($D524,'Move Editor'!$B:$B,'Move Editor'!$D:$D,""),pow,XLOOKUP($D524,'Move Editor'!$B:$B,'Move Editor'!$E:$E,0),acc,XLOOKUP($D524,'Move Editor'!$B:$B,'Move Editor'!$F:$F,100),atk,IF(cat="Physical",FLOOR((FLOOR(((2*XLOOKUP(XLOOKUP($Q524,'Threshold Summary'!$Y:$Y,'Threshold Summary'!$K:$K,""),'Pokemon Editor'!$A:$A,'Pokemon Editor'!$F:$F,0)+31+FLOOR(XLOOKUP($Q524,'Threshold Summary'!$Y:$Y,'Threshold Summary'!$P:$P,"")/4))*XLOOKUP($Q524,'Threshold Summary'!$Y:$Y,'Threshold Summary'!$L:$L,""))/100)+5)*XLOOKUP(XLOOKUP($Q524,'Threshold Summary'!$Y:$Y,'Threshold Summary'!$M:$M,""),'Nature Editor'!$A:$A,'Nature Editor'!$B:$B,1)),FLOOR((FLOOR(((2*XLOOKUP(XLOOKUP($Q524,'Threshold Summary'!$Y:$Y,'Threshold Summary'!$K:$K,""),'Pokemon Editor'!$A:$A,'Pokemon Editor'!$H:$H,0)+31+FLOOR(XLOOKUP($Q524,'Threshold Summary'!$Y:$Y,'Threshold Summary'!$R:$R,"")/4))*XLOOKUP($Q524,'Threshold Summary'!$Y:$Y,'Threshold Summary'!$L:$L,""))/100)+5)*XLOOKUP(XLOOKUP($Q524,'Threshold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Editor'!$E:$E,1))),stab,IF(OR(mtype=XLOOKUP(XLOOKUP($Q524,'Threshold Summary'!$Y:$Y,'Threshold Summary'!$K:$K,""),'Pokemon Editor'!$A:$A,'Pokemon Editor'!$C:$C,""),mtype=XLOOKUP(XLOOKUP($Q524,'Threshold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Chart'!$B$1:$S$1,0)))),base,IF(OR(cat="Status",pow=0),0,FLOOR(FLOOR(FLOOR((2*XLOOKUP($Q524,'Threshold Summary'!$Y:$Y,'Threshold Summary'!$L:$L,"")/5+2)*pow*atk/def)/50)+2)),modifier,stab*eff,FLOOR(base*modifier)),0)</f>
        <v/>
      </c>
      <c r="L524" s="3">
        <f>IFERROR(LET(mtype,XLOOKUP($D524,'Move Editor'!$B:$B,'Move Editor'!$C:$C,""),cat,XLOOKUP($D524,'Move Editor'!$B:$B,'Move Editor'!$D:$D,""),pow,XLOOKUP($D524,'Move Editor'!$B:$B,'Move Editor'!$E:$E,0),acc,XLOOKUP($D524,'Move Editor'!$B:$B,'Move Editor'!$F:$F,100),atk,IF(cat="Physical",FLOOR((FLOOR(((2*XLOOKUP(XLOOKUP($Q524,'Threshold Summary'!$Y:$Y,'Threshold Summary'!$K:$K,""),'Pokemon Editor'!$A:$A,'Pokemon Editor'!$F:$F,0)+31+FLOOR(XLOOKUP($Q524,'Threshold Summary'!$Y:$Y,'Threshold Summary'!$P:$P,"")/4))*XLOOKUP($Q524,'Threshold Summary'!$Y:$Y,'Threshold Summary'!$L:$L,""))/100)+5)*XLOOKUP(XLOOKUP($Q524,'Threshold Summary'!$Y:$Y,'Threshold Summary'!$M:$M,""),'Nature Editor'!$A:$A,'Nature Editor'!$B:$B,1)),FLOOR((FLOOR(((2*XLOOKUP(XLOOKUP($Q524,'Threshold Summary'!$Y:$Y,'Threshold Summary'!$K:$K,""),'Pokemon Editor'!$A:$A,'Pokemon Editor'!$H:$H,0)+31+FLOOR(XLOOKUP($Q524,'Threshold Summary'!$Y:$Y,'Threshold Summary'!$R:$R,"")/4))*XLOOKUP($Q524,'Threshold Summary'!$Y:$Y,'Threshold Summary'!$L:$L,""))/100)+5)*XLOOKUP(XLOOKUP($Q524,'Threshold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Editor'!$E:$E,1))),stab,IF(OR(mtype=XLOOKUP(XLOOKUP($Q524,'Threshold Summary'!$Y:$Y,'Threshold Summary'!$K:$K,""),'Pokemon Editor'!$A:$A,'Pokemon Editor'!$C:$C,""),mtype=XLOOKUP(XLOOKUP($Q524,'Threshold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Chart'!$B$1:$S$1,0)))),base,IF(OR(cat="Status",pow=0),0,FLOOR(FLOOR(FLOOR((2*XLOOKUP($Q524,'Threshold Summary'!$Y:$Y,'Threshold Summary'!$L:$L,"")/5+2)*pow*atk/def)/50)+2)),modifier,stab*eff,AVERAGE(ARRAYFORMULA(FLOOR(base*modifier*SEQUENCE(16,1,85,1)/100)))),0)</f>
        <v/>
      </c>
      <c r="M524" s="3">
        <f>IFERROR(LET(mtype,XLOOKUP($D524,'Move Editor'!$B:$B,'Move Editor'!$C:$C,""),cat,XLOOKUP($D524,'Move Editor'!$B:$B,'Move Editor'!$D:$D,""),pow,XLOOKUP($D524,'Move Editor'!$B:$B,'Move Editor'!$E:$E,0),acc,XLOOKUP($D524,'Move Editor'!$B:$B,'Move Editor'!$F:$F,100),atk,IF(cat="Physical",FLOOR((FLOOR(((2*XLOOKUP(XLOOKUP($Q524,'Threshold Summary'!$Y:$Y,'Threshold Summary'!$K:$K,""),'Pokemon Editor'!$A:$A,'Pokemon Editor'!$F:$F,0)+31+FLOOR(XLOOKUP($Q524,'Threshold Summary'!$Y:$Y,'Threshold Summary'!$P:$P,"")/4))*XLOOKUP($Q524,'Threshold Summary'!$Y:$Y,'Threshold Summary'!$L:$L,""))/100)+5)*XLOOKUP(XLOOKUP($Q524,'Threshold Summary'!$Y:$Y,'Threshold Summary'!$M:$M,""),'Nature Editor'!$A:$A,'Nature Editor'!$B:$B,1)),FLOOR((FLOOR(((2*XLOOKUP(XLOOKUP($Q524,'Threshold Summary'!$Y:$Y,'Threshold Summary'!$K:$K,""),'Pokemon Editor'!$A:$A,'Pokemon Editor'!$H:$H,0)+31+FLOOR(XLOOKUP($Q524,'Threshold Summary'!$Y:$Y,'Threshold Summary'!$R:$R,"")/4))*XLOOKUP($Q524,'Threshold Summary'!$Y:$Y,'Threshold Summary'!$L:$L,""))/100)+5)*XLOOKUP(XLOOKUP($Q524,'Threshold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Editor'!$E:$E,1))),stab,IF(OR(mtype=XLOOKUP(XLOOKUP($Q524,'Threshold Summary'!$Y:$Y,'Threshold Summary'!$K:$K,""),'Pokemon Editor'!$A:$A,'Pokemon Editor'!$C:$C,""),mtype=XLOOKUP(XLOOKUP($Q524,'Threshold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Chart'!$B$1:$S$1,0)))),base,IF(OR(cat="Status",pow=0),0,FLOOR(FLOOR(FLOOR((2*XLOOKUP($Q524,'Threshold Summary'!$Y:$Y,'Threshold Summary'!$L:$L,"")/5+2)*pow*atk/def)/50)+2)),modifier,stab*eff,AVERAGE(ARRAYFORMULA(FLOOR(base*modifier*SEQUENCE(16,1,85,1)/100)))*MIN(1,acc/100)),0)</f>
        <v/>
      </c>
      <c r="N524" s="4">
        <f>IFERROR(LET(mtype,XLOOKUP($D524,'Move Editor'!$B:$B,'Move Editor'!$C:$C,""),cat,XLOOKUP($D524,'Move Editor'!$B:$B,'Move Editor'!$D:$D,""),pow,XLOOKUP($D524,'Move Editor'!$B:$B,'Move Editor'!$E:$E,0),acc,XLOOKUP($D524,'Move Editor'!$B:$B,'Move Editor'!$F:$F,100),atk,IF(cat="Physical",FLOOR((FLOOR(((2*XLOOKUP(XLOOKUP($Q524,'Threshold Summary'!$Y:$Y,'Threshold Summary'!$K:$K,""),'Pokemon Editor'!$A:$A,'Pokemon Editor'!$F:$F,0)+31+FLOOR(XLOOKUP($Q524,'Threshold Summary'!$Y:$Y,'Threshold Summary'!$P:$P,"")/4))*XLOOKUP($Q524,'Threshold Summary'!$Y:$Y,'Threshold Summary'!$L:$L,""))/100)+5)*XLOOKUP(XLOOKUP($Q524,'Threshold Summary'!$Y:$Y,'Threshold Summary'!$M:$M,""),'Nature Editor'!$A:$A,'Nature Editor'!$B:$B,1)),FLOOR((FLOOR(((2*XLOOKUP(XLOOKUP($Q524,'Threshold Summary'!$Y:$Y,'Threshold Summary'!$K:$K,""),'Pokemon Editor'!$A:$A,'Pokemon Editor'!$H:$H,0)+31+FLOOR(XLOOKUP($Q524,'Threshold Summary'!$Y:$Y,'Threshold Summary'!$R:$R,"")/4))*XLOOKUP($Q524,'Threshold Summary'!$Y:$Y,'Threshold Summary'!$L:$L,""))/100)+5)*XLOOKUP(XLOOKUP($Q524,'Threshold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Editor'!$E:$E,1))),stab,IF(OR(mtype=XLOOKUP(XLOOKUP($Q524,'Threshold Summary'!$Y:$Y,'Threshold Summary'!$K:$K,""),'Pokemon Editor'!$A:$A,'Pokemon Editor'!$C:$C,""),mtype=XLOOKUP(XLOOKUP($Q524,'Threshold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Chart'!$B$1:$S$1,0)))),base,IF(OR(cat="Status",pow=0),0,FLOOR(FLOOR(FLOOR((2*XLOOKUP($Q524,'Threshold Summary'!$Y:$Y,'Threshold Summary'!$L:$L,"")/5+2)*pow*atk/def)/50)+2)),modifier,stab*eff,AVERAGE(ARRAYFORMULA(FLOOR(base*modifier*SEQUENCE(16,1,85,1)/100)))/(FLOOR(((2*XLOOKUP('Boss Editor'!$C$4,'Pokemon Editor'!$A:$A,'Pokemon Editor'!$E:$E,0)+31+FLOOR('Boss Editor'!$G$4/4))*'Boss Editor'!$D$4)/100)+'Boss Editor'!$D$4+10)),0)</f>
        <v/>
      </c>
      <c r="O524" s="3">
        <f>IF(N524&gt;=1,"OHKO",IF(N524&gt;=0.5,"2HKO",IF(N524&gt;=0.333,"3HKO",IF(N524&gt;=0.25,"4HKO","5HKO+"))))</f>
        <v/>
      </c>
      <c r="P524" s="3" t="inlineStr">
        <is>
          <t>Live from editable databases</t>
        </is>
      </c>
      <c r="Q524" s="3" t="inlineStr">
        <is>
          <t>SPECIES_MINCCINO</t>
        </is>
      </c>
      <c r="R524" s="3" t="n">
        <v>11</v>
      </c>
    </row>
    <row r="525">
      <c r="A525" s="3">
        <f>XLOOKUP($Q525,'Threshold Summary'!$Y:$Y,'Threshold Summary'!$A:$A,"")</f>
        <v/>
      </c>
      <c r="B525" s="3">
        <f>XLOOKUP($Q525,'Threshold Summary'!$Y:$Y,'Threshold Summary'!$M:$M,"")</f>
        <v/>
      </c>
      <c r="C525" s="3">
        <f>XLOOKUP($Q525,'Threshold Summary'!$Y:$Y,'Threshold Summary'!$N:$N,"")</f>
        <v/>
      </c>
      <c r="D525" s="3">
        <f>IFERROR(INDEX(FILTER('Learnset Editor'!$D$2:$D,'Learnset Editor'!$A$2:$A=XLOOKUP($Q525,'Threshold Summary'!$Y:$Y,'Threshold Summary'!$K:$K,""),'Learnset Editor'!$C$2:$C&lt;=XLOOKUP($Q525,'Threshold Summary'!$Y:$Y,'Threshold Summary'!$L:$L,"")),$R525),"")</f>
        <v/>
      </c>
      <c r="E525" s="3">
        <f>XLOOKUP(D525,'Move Editor'!$B:$B,'Move Editor'!$C:$C,"")</f>
        <v/>
      </c>
      <c r="F525" s="3">
        <f>XLOOKUP(D525,'Move Editor'!$B:$B,'Move Editor'!$D:$D,"")</f>
        <v/>
      </c>
      <c r="G525" s="3">
        <f>XLOOKUP(D525,'Move Editor'!$B:$B,'Move Editor'!$E:$E,0)</f>
        <v/>
      </c>
      <c r="H525" s="3">
        <f>XLOOKUP(D525,'Move Editor'!$B:$B,'Move Editor'!$F:$F,0)</f>
        <v/>
      </c>
      <c r="I525" s="3">
        <f>(INDEX('Type Chart'!$B:$S,MATCH(E525,'Type Chart'!$A:$A,0),MATCH(XLOOKUP('Boss Editor'!$C$4,'Pokemon Editor'!$A:$A,'Pokemon Editor'!$C:$C,""),'Type Chart'!$B$1:$S$1,0))*IF(XLOOKUP('Boss Editor'!$C$4,'Pokemon Editor'!$A:$A,'Pokemon Editor'!$D:$D,"")="",1,INDEX('Type Chart'!$B:$S,MATCH(E525,'Type Chart'!$A:$A,0),MATCH(XLOOKUP('Boss Editor'!$C$4,'Pokemon Editor'!$A:$A,'Pokemon Editor'!$D:$D,""),'Type Chart'!$B$1:$S$1,0))))</f>
        <v/>
      </c>
      <c r="J525" s="3">
        <f>IFERROR(LET(mtype,XLOOKUP($D525,'Move Editor'!$B:$B,'Move Editor'!$C:$C,""),cat,XLOOKUP($D525,'Move Editor'!$B:$B,'Move Editor'!$D:$D,""),pow,XLOOKUP($D525,'Move Editor'!$B:$B,'Move Editor'!$E:$E,0),acc,XLOOKUP($D525,'Move Editor'!$B:$B,'Move Editor'!$F:$F,100),atk,IF(cat="Physical",FLOOR((FLOOR(((2*XLOOKUP(XLOOKUP($Q525,'Threshold Summary'!$Y:$Y,'Threshold Summary'!$K:$K,""),'Pokemon Editor'!$A:$A,'Pokemon Editor'!$F:$F,0)+31+FLOOR(XLOOKUP($Q525,'Threshold Summary'!$Y:$Y,'Threshold Summary'!$P:$P,"")/4))*XLOOKUP($Q525,'Threshold Summary'!$Y:$Y,'Threshold Summary'!$L:$L,""))/100)+5)*XLOOKUP(XLOOKUP($Q525,'Threshold Summary'!$Y:$Y,'Threshold Summary'!$M:$M,""),'Nature Editor'!$A:$A,'Nature Editor'!$B:$B,1)),FLOOR((FLOOR(((2*XLOOKUP(XLOOKUP($Q525,'Threshold Summary'!$Y:$Y,'Threshold Summary'!$K:$K,""),'Pokemon Editor'!$A:$A,'Pokemon Editor'!$H:$H,0)+31+FLOOR(XLOOKUP($Q525,'Threshold Summary'!$Y:$Y,'Threshold Summary'!$R:$R,"")/4))*XLOOKUP($Q525,'Threshold Summary'!$Y:$Y,'Threshold Summary'!$L:$L,""))/100)+5)*XLOOKUP(XLOOKUP($Q525,'Threshold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Editor'!$E:$E,1))),stab,IF(OR(mtype=XLOOKUP(XLOOKUP($Q525,'Threshold Summary'!$Y:$Y,'Threshold Summary'!$K:$K,""),'Pokemon Editor'!$A:$A,'Pokemon Editor'!$C:$C,""),mtype=XLOOKUP(XLOOKUP($Q525,'Threshold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Chart'!$B$1:$S$1,0)))),base,IF(OR(cat="Status",pow=0),0,FLOOR(FLOOR(FLOOR((2*XLOOKUP($Q525,'Threshold Summary'!$Y:$Y,'Threshold Summary'!$L:$L,"")/5+2)*pow*atk/def)/50)+2)),modifier,stab*eff,FLOOR(base*modifier*0.85)),0)</f>
        <v/>
      </c>
      <c r="K525" s="3">
        <f>IFERROR(LET(mtype,XLOOKUP($D525,'Move Editor'!$B:$B,'Move Editor'!$C:$C,""),cat,XLOOKUP($D525,'Move Editor'!$B:$B,'Move Editor'!$D:$D,""),pow,XLOOKUP($D525,'Move Editor'!$B:$B,'Move Editor'!$E:$E,0),acc,XLOOKUP($D525,'Move Editor'!$B:$B,'Move Editor'!$F:$F,100),atk,IF(cat="Physical",FLOOR((FLOOR(((2*XLOOKUP(XLOOKUP($Q525,'Threshold Summary'!$Y:$Y,'Threshold Summary'!$K:$K,""),'Pokemon Editor'!$A:$A,'Pokemon Editor'!$F:$F,0)+31+FLOOR(XLOOKUP($Q525,'Threshold Summary'!$Y:$Y,'Threshold Summary'!$P:$P,"")/4))*XLOOKUP($Q525,'Threshold Summary'!$Y:$Y,'Threshold Summary'!$L:$L,""))/100)+5)*XLOOKUP(XLOOKUP($Q525,'Threshold Summary'!$Y:$Y,'Threshold Summary'!$M:$M,""),'Nature Editor'!$A:$A,'Nature Editor'!$B:$B,1)),FLOOR((FLOOR(((2*XLOOKUP(XLOOKUP($Q525,'Threshold Summary'!$Y:$Y,'Threshold Summary'!$K:$K,""),'Pokemon Editor'!$A:$A,'Pokemon Editor'!$H:$H,0)+31+FLOOR(XLOOKUP($Q525,'Threshold Summary'!$Y:$Y,'Threshold Summary'!$R:$R,"")/4))*XLOOKUP($Q525,'Threshold Summary'!$Y:$Y,'Threshold Summary'!$L:$L,""))/100)+5)*XLOOKUP(XLOOKUP($Q525,'Threshold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Editor'!$E:$E,1))),stab,IF(OR(mtype=XLOOKUP(XLOOKUP($Q525,'Threshold Summary'!$Y:$Y,'Threshold Summary'!$K:$K,""),'Pokemon Editor'!$A:$A,'Pokemon Editor'!$C:$C,""),mtype=XLOOKUP(XLOOKUP($Q525,'Threshold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Chart'!$B$1:$S$1,0)))),base,IF(OR(cat="Status",pow=0),0,FLOOR(FLOOR(FLOOR((2*XLOOKUP($Q525,'Threshold Summary'!$Y:$Y,'Threshold Summary'!$L:$L,"")/5+2)*pow*atk/def)/50)+2)),modifier,stab*eff,FLOOR(base*modifier)),0)</f>
        <v/>
      </c>
      <c r="L525" s="3">
        <f>IFERROR(LET(mtype,XLOOKUP($D525,'Move Editor'!$B:$B,'Move Editor'!$C:$C,""),cat,XLOOKUP($D525,'Move Editor'!$B:$B,'Move Editor'!$D:$D,""),pow,XLOOKUP($D525,'Move Editor'!$B:$B,'Move Editor'!$E:$E,0),acc,XLOOKUP($D525,'Move Editor'!$B:$B,'Move Editor'!$F:$F,100),atk,IF(cat="Physical",FLOOR((FLOOR(((2*XLOOKUP(XLOOKUP($Q525,'Threshold Summary'!$Y:$Y,'Threshold Summary'!$K:$K,""),'Pokemon Editor'!$A:$A,'Pokemon Editor'!$F:$F,0)+31+FLOOR(XLOOKUP($Q525,'Threshold Summary'!$Y:$Y,'Threshold Summary'!$P:$P,"")/4))*XLOOKUP($Q525,'Threshold Summary'!$Y:$Y,'Threshold Summary'!$L:$L,""))/100)+5)*XLOOKUP(XLOOKUP($Q525,'Threshold Summary'!$Y:$Y,'Threshold Summary'!$M:$M,""),'Nature Editor'!$A:$A,'Nature Editor'!$B:$B,1)),FLOOR((FLOOR(((2*XLOOKUP(XLOOKUP($Q525,'Threshold Summary'!$Y:$Y,'Threshold Summary'!$K:$K,""),'Pokemon Editor'!$A:$A,'Pokemon Editor'!$H:$H,0)+31+FLOOR(XLOOKUP($Q525,'Threshold Summary'!$Y:$Y,'Threshold Summary'!$R:$R,"")/4))*XLOOKUP($Q525,'Threshold Summary'!$Y:$Y,'Threshold Summary'!$L:$L,""))/100)+5)*XLOOKUP(XLOOKUP($Q525,'Threshold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Editor'!$E:$E,1))),stab,IF(OR(mtype=XLOOKUP(XLOOKUP($Q525,'Threshold Summary'!$Y:$Y,'Threshold Summary'!$K:$K,""),'Pokemon Editor'!$A:$A,'Pokemon Editor'!$C:$C,""),mtype=XLOOKUP(XLOOKUP($Q525,'Threshold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Chart'!$B$1:$S$1,0)))),base,IF(OR(cat="Status",pow=0),0,FLOOR(FLOOR(FLOOR((2*XLOOKUP($Q525,'Threshold Summary'!$Y:$Y,'Threshold Summary'!$L:$L,"")/5+2)*pow*atk/def)/50)+2)),modifier,stab*eff,AVERAGE(ARRAYFORMULA(FLOOR(base*modifier*SEQUENCE(16,1,85,1)/100)))),0)</f>
        <v/>
      </c>
      <c r="M525" s="3">
        <f>IFERROR(LET(mtype,XLOOKUP($D525,'Move Editor'!$B:$B,'Move Editor'!$C:$C,""),cat,XLOOKUP($D525,'Move Editor'!$B:$B,'Move Editor'!$D:$D,""),pow,XLOOKUP($D525,'Move Editor'!$B:$B,'Move Editor'!$E:$E,0),acc,XLOOKUP($D525,'Move Editor'!$B:$B,'Move Editor'!$F:$F,100),atk,IF(cat="Physical",FLOOR((FLOOR(((2*XLOOKUP(XLOOKUP($Q525,'Threshold Summary'!$Y:$Y,'Threshold Summary'!$K:$K,""),'Pokemon Editor'!$A:$A,'Pokemon Editor'!$F:$F,0)+31+FLOOR(XLOOKUP($Q525,'Threshold Summary'!$Y:$Y,'Threshold Summary'!$P:$P,"")/4))*XLOOKUP($Q525,'Threshold Summary'!$Y:$Y,'Threshold Summary'!$L:$L,""))/100)+5)*XLOOKUP(XLOOKUP($Q525,'Threshold Summary'!$Y:$Y,'Threshold Summary'!$M:$M,""),'Nature Editor'!$A:$A,'Nature Editor'!$B:$B,1)),FLOOR((FLOOR(((2*XLOOKUP(XLOOKUP($Q525,'Threshold Summary'!$Y:$Y,'Threshold Summary'!$K:$K,""),'Pokemon Editor'!$A:$A,'Pokemon Editor'!$H:$H,0)+31+FLOOR(XLOOKUP($Q525,'Threshold Summary'!$Y:$Y,'Threshold Summary'!$R:$R,"")/4))*XLOOKUP($Q525,'Threshold Summary'!$Y:$Y,'Threshold Summary'!$L:$L,""))/100)+5)*XLOOKUP(XLOOKUP($Q525,'Threshold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Editor'!$E:$E,1))),stab,IF(OR(mtype=XLOOKUP(XLOOKUP($Q525,'Threshold Summary'!$Y:$Y,'Threshold Summary'!$K:$K,""),'Pokemon Editor'!$A:$A,'Pokemon Editor'!$C:$C,""),mtype=XLOOKUP(XLOOKUP($Q525,'Threshold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Chart'!$B$1:$S$1,0)))),base,IF(OR(cat="Status",pow=0),0,FLOOR(FLOOR(FLOOR((2*XLOOKUP($Q525,'Threshold Summary'!$Y:$Y,'Threshold Summary'!$L:$L,"")/5+2)*pow*atk/def)/50)+2)),modifier,stab*eff,AVERAGE(ARRAYFORMULA(FLOOR(base*modifier*SEQUENCE(16,1,85,1)/100)))*MIN(1,acc/100)),0)</f>
        <v/>
      </c>
      <c r="N525" s="4">
        <f>IFERROR(LET(mtype,XLOOKUP($D525,'Move Editor'!$B:$B,'Move Editor'!$C:$C,""),cat,XLOOKUP($D525,'Move Editor'!$B:$B,'Move Editor'!$D:$D,""),pow,XLOOKUP($D525,'Move Editor'!$B:$B,'Move Editor'!$E:$E,0),acc,XLOOKUP($D525,'Move Editor'!$B:$B,'Move Editor'!$F:$F,100),atk,IF(cat="Physical",FLOOR((FLOOR(((2*XLOOKUP(XLOOKUP($Q525,'Threshold Summary'!$Y:$Y,'Threshold Summary'!$K:$K,""),'Pokemon Editor'!$A:$A,'Pokemon Editor'!$F:$F,0)+31+FLOOR(XLOOKUP($Q525,'Threshold Summary'!$Y:$Y,'Threshold Summary'!$P:$P,"")/4))*XLOOKUP($Q525,'Threshold Summary'!$Y:$Y,'Threshold Summary'!$L:$L,""))/100)+5)*XLOOKUP(XLOOKUP($Q525,'Threshold Summary'!$Y:$Y,'Threshold Summary'!$M:$M,""),'Nature Editor'!$A:$A,'Nature Editor'!$B:$B,1)),FLOOR((FLOOR(((2*XLOOKUP(XLOOKUP($Q525,'Threshold Summary'!$Y:$Y,'Threshold Summary'!$K:$K,""),'Pokemon Editor'!$A:$A,'Pokemon Editor'!$H:$H,0)+31+FLOOR(XLOOKUP($Q525,'Threshold Summary'!$Y:$Y,'Threshold Summary'!$R:$R,"")/4))*XLOOKUP($Q525,'Threshold Summary'!$Y:$Y,'Threshold Summary'!$L:$L,""))/100)+5)*XLOOKUP(XLOOKUP($Q525,'Threshold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Editor'!$E:$E,1))),stab,IF(OR(mtype=XLOOKUP(XLOOKUP($Q525,'Threshold Summary'!$Y:$Y,'Threshold Summary'!$K:$K,""),'Pokemon Editor'!$A:$A,'Pokemon Editor'!$C:$C,""),mtype=XLOOKUP(XLOOKUP($Q525,'Threshold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Chart'!$B$1:$S$1,0)))),base,IF(OR(cat="Status",pow=0),0,FLOOR(FLOOR(FLOOR((2*XLOOKUP($Q525,'Threshold Summary'!$Y:$Y,'Threshold Summary'!$L:$L,"")/5+2)*pow*atk/def)/50)+2)),modifier,stab*eff,AVERAGE(ARRAYFORMULA(FLOOR(base*modifier*SEQUENCE(16,1,85,1)/100)))/(FLOOR(((2*XLOOKUP('Boss Editor'!$C$4,'Pokemon Editor'!$A:$A,'Pokemon Editor'!$E:$E,0)+31+FLOOR('Boss Editor'!$G$4/4))*'Boss Editor'!$D$4)/100)+'Boss Editor'!$D$4+10)),0)</f>
        <v/>
      </c>
      <c r="O525" s="3">
        <f>IF(N525&gt;=1,"OHKO",IF(N525&gt;=0.5,"2HKO",IF(N525&gt;=0.333,"3HKO",IF(N525&gt;=0.25,"4HKO","5HKO+"))))</f>
        <v/>
      </c>
      <c r="P525" s="3" t="inlineStr">
        <is>
          <t>Live from editable databases</t>
        </is>
      </c>
      <c r="Q525" s="3" t="inlineStr">
        <is>
          <t>SPECIES_MINCCINO</t>
        </is>
      </c>
      <c r="R525" s="3" t="n">
        <v>12</v>
      </c>
    </row>
    <row r="526">
      <c r="A526" s="3">
        <f>XLOOKUP($Q526,'Threshold Summary'!$Y:$Y,'Threshold Summary'!$A:$A,"")</f>
        <v/>
      </c>
      <c r="B526" s="3">
        <f>XLOOKUP($Q526,'Threshold Summary'!$Y:$Y,'Threshold Summary'!$M:$M,"")</f>
        <v/>
      </c>
      <c r="C526" s="3">
        <f>XLOOKUP($Q526,'Threshold Summary'!$Y:$Y,'Threshold Summary'!$N:$N,"")</f>
        <v/>
      </c>
      <c r="D526" s="3">
        <f>IFERROR(INDEX(FILTER('Learnset Editor'!$D$2:$D,'Learnset Editor'!$A$2:$A=XLOOKUP($Q526,'Threshold Summary'!$Y:$Y,'Threshold Summary'!$K:$K,""),'Learnset Editor'!$C$2:$C&lt;=XLOOKUP($Q526,'Threshold Summary'!$Y:$Y,'Threshold Summary'!$L:$L,"")),$R526),"")</f>
        <v/>
      </c>
      <c r="E526" s="3">
        <f>XLOOKUP(D526,'Move Editor'!$B:$B,'Move Editor'!$C:$C,"")</f>
        <v/>
      </c>
      <c r="F526" s="3">
        <f>XLOOKUP(D526,'Move Editor'!$B:$B,'Move Editor'!$D:$D,"")</f>
        <v/>
      </c>
      <c r="G526" s="3">
        <f>XLOOKUP(D526,'Move Editor'!$B:$B,'Move Editor'!$E:$E,0)</f>
        <v/>
      </c>
      <c r="H526" s="3">
        <f>XLOOKUP(D526,'Move Editor'!$B:$B,'Move Editor'!$F:$F,0)</f>
        <v/>
      </c>
      <c r="I526" s="3">
        <f>(INDEX('Type Chart'!$B:$S,MATCH(E526,'Type Chart'!$A:$A,0),MATCH(XLOOKUP('Boss Editor'!$C$4,'Pokemon Editor'!$A:$A,'Pokemon Editor'!$C:$C,""),'Type Chart'!$B$1:$S$1,0))*IF(XLOOKUP('Boss Editor'!$C$4,'Pokemon Editor'!$A:$A,'Pokemon Editor'!$D:$D,"")="",1,INDEX('Type Chart'!$B:$S,MATCH(E526,'Type Chart'!$A:$A,0),MATCH(XLOOKUP('Boss Editor'!$C$4,'Pokemon Editor'!$A:$A,'Pokemon Editor'!$D:$D,""),'Type Chart'!$B$1:$S$1,0))))</f>
        <v/>
      </c>
      <c r="J526" s="3">
        <f>IFERROR(LET(mtype,XLOOKUP($D526,'Move Editor'!$B:$B,'Move Editor'!$C:$C,""),cat,XLOOKUP($D526,'Move Editor'!$B:$B,'Move Editor'!$D:$D,""),pow,XLOOKUP($D526,'Move Editor'!$B:$B,'Move Editor'!$E:$E,0),acc,XLOOKUP($D526,'Move Editor'!$B:$B,'Move Editor'!$F:$F,100),atk,IF(cat="Physical",FLOOR((FLOOR(((2*XLOOKUP(XLOOKUP($Q526,'Threshold Summary'!$Y:$Y,'Threshold Summary'!$K:$K,""),'Pokemon Editor'!$A:$A,'Pokemon Editor'!$F:$F,0)+31+FLOOR(XLOOKUP($Q526,'Threshold Summary'!$Y:$Y,'Threshold Summary'!$P:$P,"")/4))*XLOOKUP($Q526,'Threshold Summary'!$Y:$Y,'Threshold Summary'!$L:$L,""))/100)+5)*XLOOKUP(XLOOKUP($Q526,'Threshold Summary'!$Y:$Y,'Threshold Summary'!$M:$M,""),'Nature Editor'!$A:$A,'Nature Editor'!$B:$B,1)),FLOOR((FLOOR(((2*XLOOKUP(XLOOKUP($Q526,'Threshold Summary'!$Y:$Y,'Threshold Summary'!$K:$K,""),'Pokemon Editor'!$A:$A,'Pokemon Editor'!$H:$H,0)+31+FLOOR(XLOOKUP($Q526,'Threshold Summary'!$Y:$Y,'Threshold Summary'!$R:$R,"")/4))*XLOOKUP($Q526,'Threshold Summary'!$Y:$Y,'Threshold Summary'!$L:$L,""))/100)+5)*XLOOKUP(XLOOKUP($Q526,'Threshold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Editor'!$E:$E,1))),stab,IF(OR(mtype=XLOOKUP(XLOOKUP($Q526,'Threshold Summary'!$Y:$Y,'Threshold Summary'!$K:$K,""),'Pokemon Editor'!$A:$A,'Pokemon Editor'!$C:$C,""),mtype=XLOOKUP(XLOOKUP($Q526,'Threshold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Chart'!$B$1:$S$1,0)))),base,IF(OR(cat="Status",pow=0),0,FLOOR(FLOOR(FLOOR((2*XLOOKUP($Q526,'Threshold Summary'!$Y:$Y,'Threshold Summary'!$L:$L,"")/5+2)*pow*atk/def)/50)+2)),modifier,stab*eff,FLOOR(base*modifier*0.85)),0)</f>
        <v/>
      </c>
      <c r="K526" s="3">
        <f>IFERROR(LET(mtype,XLOOKUP($D526,'Move Editor'!$B:$B,'Move Editor'!$C:$C,""),cat,XLOOKUP($D526,'Move Editor'!$B:$B,'Move Editor'!$D:$D,""),pow,XLOOKUP($D526,'Move Editor'!$B:$B,'Move Editor'!$E:$E,0),acc,XLOOKUP($D526,'Move Editor'!$B:$B,'Move Editor'!$F:$F,100),atk,IF(cat="Physical",FLOOR((FLOOR(((2*XLOOKUP(XLOOKUP($Q526,'Threshold Summary'!$Y:$Y,'Threshold Summary'!$K:$K,""),'Pokemon Editor'!$A:$A,'Pokemon Editor'!$F:$F,0)+31+FLOOR(XLOOKUP($Q526,'Threshold Summary'!$Y:$Y,'Threshold Summary'!$P:$P,"")/4))*XLOOKUP($Q526,'Threshold Summary'!$Y:$Y,'Threshold Summary'!$L:$L,""))/100)+5)*XLOOKUP(XLOOKUP($Q526,'Threshold Summary'!$Y:$Y,'Threshold Summary'!$M:$M,""),'Nature Editor'!$A:$A,'Nature Editor'!$B:$B,1)),FLOOR((FLOOR(((2*XLOOKUP(XLOOKUP($Q526,'Threshold Summary'!$Y:$Y,'Threshold Summary'!$K:$K,""),'Pokemon Editor'!$A:$A,'Pokemon Editor'!$H:$H,0)+31+FLOOR(XLOOKUP($Q526,'Threshold Summary'!$Y:$Y,'Threshold Summary'!$R:$R,"")/4))*XLOOKUP($Q526,'Threshold Summary'!$Y:$Y,'Threshold Summary'!$L:$L,""))/100)+5)*XLOOKUP(XLOOKUP($Q526,'Threshold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Editor'!$E:$E,1))),stab,IF(OR(mtype=XLOOKUP(XLOOKUP($Q526,'Threshold Summary'!$Y:$Y,'Threshold Summary'!$K:$K,""),'Pokemon Editor'!$A:$A,'Pokemon Editor'!$C:$C,""),mtype=XLOOKUP(XLOOKUP($Q526,'Threshold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Chart'!$B$1:$S$1,0)))),base,IF(OR(cat="Status",pow=0),0,FLOOR(FLOOR(FLOOR((2*XLOOKUP($Q526,'Threshold Summary'!$Y:$Y,'Threshold Summary'!$L:$L,"")/5+2)*pow*atk/def)/50)+2)),modifier,stab*eff,FLOOR(base*modifier)),0)</f>
        <v/>
      </c>
      <c r="L526" s="3">
        <f>IFERROR(LET(mtype,XLOOKUP($D526,'Move Editor'!$B:$B,'Move Editor'!$C:$C,""),cat,XLOOKUP($D526,'Move Editor'!$B:$B,'Move Editor'!$D:$D,""),pow,XLOOKUP($D526,'Move Editor'!$B:$B,'Move Editor'!$E:$E,0),acc,XLOOKUP($D526,'Move Editor'!$B:$B,'Move Editor'!$F:$F,100),atk,IF(cat="Physical",FLOOR((FLOOR(((2*XLOOKUP(XLOOKUP($Q526,'Threshold Summary'!$Y:$Y,'Threshold Summary'!$K:$K,""),'Pokemon Editor'!$A:$A,'Pokemon Editor'!$F:$F,0)+31+FLOOR(XLOOKUP($Q526,'Threshold Summary'!$Y:$Y,'Threshold Summary'!$P:$P,"")/4))*XLOOKUP($Q526,'Threshold Summary'!$Y:$Y,'Threshold Summary'!$L:$L,""))/100)+5)*XLOOKUP(XLOOKUP($Q526,'Threshold Summary'!$Y:$Y,'Threshold Summary'!$M:$M,""),'Nature Editor'!$A:$A,'Nature Editor'!$B:$B,1)),FLOOR((FLOOR(((2*XLOOKUP(XLOOKUP($Q526,'Threshold Summary'!$Y:$Y,'Threshold Summary'!$K:$K,""),'Pokemon Editor'!$A:$A,'Pokemon Editor'!$H:$H,0)+31+FLOOR(XLOOKUP($Q526,'Threshold Summary'!$Y:$Y,'Threshold Summary'!$R:$R,"")/4))*XLOOKUP($Q526,'Threshold Summary'!$Y:$Y,'Threshold Summary'!$L:$L,""))/100)+5)*XLOOKUP(XLOOKUP($Q526,'Threshold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Editor'!$E:$E,1))),stab,IF(OR(mtype=XLOOKUP(XLOOKUP($Q526,'Threshold Summary'!$Y:$Y,'Threshold Summary'!$K:$K,""),'Pokemon Editor'!$A:$A,'Pokemon Editor'!$C:$C,""),mtype=XLOOKUP(XLOOKUP($Q526,'Threshold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Chart'!$B$1:$S$1,0)))),base,IF(OR(cat="Status",pow=0),0,FLOOR(FLOOR(FLOOR((2*XLOOKUP($Q526,'Threshold Summary'!$Y:$Y,'Threshold Summary'!$L:$L,"")/5+2)*pow*atk/def)/50)+2)),modifier,stab*eff,AVERAGE(ARRAYFORMULA(FLOOR(base*modifier*SEQUENCE(16,1,85,1)/100)))),0)</f>
        <v/>
      </c>
      <c r="M526" s="3">
        <f>IFERROR(LET(mtype,XLOOKUP($D526,'Move Editor'!$B:$B,'Move Editor'!$C:$C,""),cat,XLOOKUP($D526,'Move Editor'!$B:$B,'Move Editor'!$D:$D,""),pow,XLOOKUP($D526,'Move Editor'!$B:$B,'Move Editor'!$E:$E,0),acc,XLOOKUP($D526,'Move Editor'!$B:$B,'Move Editor'!$F:$F,100),atk,IF(cat="Physical",FLOOR((FLOOR(((2*XLOOKUP(XLOOKUP($Q526,'Threshold Summary'!$Y:$Y,'Threshold Summary'!$K:$K,""),'Pokemon Editor'!$A:$A,'Pokemon Editor'!$F:$F,0)+31+FLOOR(XLOOKUP($Q526,'Threshold Summary'!$Y:$Y,'Threshold Summary'!$P:$P,"")/4))*XLOOKUP($Q526,'Threshold Summary'!$Y:$Y,'Threshold Summary'!$L:$L,""))/100)+5)*XLOOKUP(XLOOKUP($Q526,'Threshold Summary'!$Y:$Y,'Threshold Summary'!$M:$M,""),'Nature Editor'!$A:$A,'Nature Editor'!$B:$B,1)),FLOOR((FLOOR(((2*XLOOKUP(XLOOKUP($Q526,'Threshold Summary'!$Y:$Y,'Threshold Summary'!$K:$K,""),'Pokemon Editor'!$A:$A,'Pokemon Editor'!$H:$H,0)+31+FLOOR(XLOOKUP($Q526,'Threshold Summary'!$Y:$Y,'Threshold Summary'!$R:$R,"")/4))*XLOOKUP($Q526,'Threshold Summary'!$Y:$Y,'Threshold Summary'!$L:$L,""))/100)+5)*XLOOKUP(XLOOKUP($Q526,'Threshold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Editor'!$E:$E,1))),stab,IF(OR(mtype=XLOOKUP(XLOOKUP($Q526,'Threshold Summary'!$Y:$Y,'Threshold Summary'!$K:$K,""),'Pokemon Editor'!$A:$A,'Pokemon Editor'!$C:$C,""),mtype=XLOOKUP(XLOOKUP($Q526,'Threshold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Chart'!$B$1:$S$1,0)))),base,IF(OR(cat="Status",pow=0),0,FLOOR(FLOOR(FLOOR((2*XLOOKUP($Q526,'Threshold Summary'!$Y:$Y,'Threshold Summary'!$L:$L,"")/5+2)*pow*atk/def)/50)+2)),modifier,stab*eff,AVERAGE(ARRAYFORMULA(FLOOR(base*modifier*SEQUENCE(16,1,85,1)/100)))*MIN(1,acc/100)),0)</f>
        <v/>
      </c>
      <c r="N526" s="4">
        <f>IFERROR(LET(mtype,XLOOKUP($D526,'Move Editor'!$B:$B,'Move Editor'!$C:$C,""),cat,XLOOKUP($D526,'Move Editor'!$B:$B,'Move Editor'!$D:$D,""),pow,XLOOKUP($D526,'Move Editor'!$B:$B,'Move Editor'!$E:$E,0),acc,XLOOKUP($D526,'Move Editor'!$B:$B,'Move Editor'!$F:$F,100),atk,IF(cat="Physical",FLOOR((FLOOR(((2*XLOOKUP(XLOOKUP($Q526,'Threshold Summary'!$Y:$Y,'Threshold Summary'!$K:$K,""),'Pokemon Editor'!$A:$A,'Pokemon Editor'!$F:$F,0)+31+FLOOR(XLOOKUP($Q526,'Threshold Summary'!$Y:$Y,'Threshold Summary'!$P:$P,"")/4))*XLOOKUP($Q526,'Threshold Summary'!$Y:$Y,'Threshold Summary'!$L:$L,""))/100)+5)*XLOOKUP(XLOOKUP($Q526,'Threshold Summary'!$Y:$Y,'Threshold Summary'!$M:$M,""),'Nature Editor'!$A:$A,'Nature Editor'!$B:$B,1)),FLOOR((FLOOR(((2*XLOOKUP(XLOOKUP($Q526,'Threshold Summary'!$Y:$Y,'Threshold Summary'!$K:$K,""),'Pokemon Editor'!$A:$A,'Pokemon Editor'!$H:$H,0)+31+FLOOR(XLOOKUP($Q526,'Threshold Summary'!$Y:$Y,'Threshold Summary'!$R:$R,"")/4))*XLOOKUP($Q526,'Threshold Summary'!$Y:$Y,'Threshold Summary'!$L:$L,""))/100)+5)*XLOOKUP(XLOOKUP($Q526,'Threshold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Editor'!$E:$E,1))),stab,IF(OR(mtype=XLOOKUP(XLOOKUP($Q526,'Threshold Summary'!$Y:$Y,'Threshold Summary'!$K:$K,""),'Pokemon Editor'!$A:$A,'Pokemon Editor'!$C:$C,""),mtype=XLOOKUP(XLOOKUP($Q526,'Threshold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Chart'!$B$1:$S$1,0)))),base,IF(OR(cat="Status",pow=0),0,FLOOR(FLOOR(FLOOR((2*XLOOKUP($Q526,'Threshold Summary'!$Y:$Y,'Threshold Summary'!$L:$L,"")/5+2)*pow*atk/def)/50)+2)),modifier,stab*eff,AVERAGE(ARRAYFORMULA(FLOOR(base*modifier*SEQUENCE(16,1,85,1)/100)))/(FLOOR(((2*XLOOKUP('Boss Editor'!$C$4,'Pokemon Editor'!$A:$A,'Pokemon Editor'!$E:$E,0)+31+FLOOR('Boss Editor'!$G$4/4))*'Boss Editor'!$D$4)/100)+'Boss Editor'!$D$4+10)),0)</f>
        <v/>
      </c>
      <c r="O526" s="3">
        <f>IF(N526&gt;=1,"OHKO",IF(N526&gt;=0.5,"2HKO",IF(N526&gt;=0.333,"3HKO",IF(N526&gt;=0.25,"4HKO","5HKO+"))))</f>
        <v/>
      </c>
      <c r="P526" s="3" t="inlineStr">
        <is>
          <t>Live from editable databases</t>
        </is>
      </c>
      <c r="Q526" s="3" t="inlineStr">
        <is>
          <t>SPECIES_MINCCINO</t>
        </is>
      </c>
      <c r="R526" s="3" t="n">
        <v>13</v>
      </c>
    </row>
    <row r="527">
      <c r="A527" s="3">
        <f>XLOOKUP($Q527,'Threshold Summary'!$Y:$Y,'Threshold Summary'!$A:$A,"")</f>
        <v/>
      </c>
      <c r="B527" s="3">
        <f>XLOOKUP($Q527,'Threshold Summary'!$Y:$Y,'Threshold Summary'!$M:$M,"")</f>
        <v/>
      </c>
      <c r="C527" s="3">
        <f>XLOOKUP($Q527,'Threshold Summary'!$Y:$Y,'Threshold Summary'!$N:$N,"")</f>
        <v/>
      </c>
      <c r="D527" s="3">
        <f>IFERROR(INDEX(FILTER('Learnset Editor'!$D$2:$D,'Learnset Editor'!$A$2:$A=XLOOKUP($Q527,'Threshold Summary'!$Y:$Y,'Threshold Summary'!$K:$K,""),'Learnset Editor'!$C$2:$C&lt;=XLOOKUP($Q527,'Threshold Summary'!$Y:$Y,'Threshold Summary'!$L:$L,"")),$R527),"")</f>
        <v/>
      </c>
      <c r="E527" s="3">
        <f>XLOOKUP(D527,'Move Editor'!$B:$B,'Move Editor'!$C:$C,"")</f>
        <v/>
      </c>
      <c r="F527" s="3">
        <f>XLOOKUP(D527,'Move Editor'!$B:$B,'Move Editor'!$D:$D,"")</f>
        <v/>
      </c>
      <c r="G527" s="3">
        <f>XLOOKUP(D527,'Move Editor'!$B:$B,'Move Editor'!$E:$E,0)</f>
        <v/>
      </c>
      <c r="H527" s="3">
        <f>XLOOKUP(D527,'Move Editor'!$B:$B,'Move Editor'!$F:$F,0)</f>
        <v/>
      </c>
      <c r="I527" s="3">
        <f>(INDEX('Type Chart'!$B:$S,MATCH(E527,'Type Chart'!$A:$A,0),MATCH(XLOOKUP('Boss Editor'!$C$4,'Pokemon Editor'!$A:$A,'Pokemon Editor'!$C:$C,""),'Type Chart'!$B$1:$S$1,0))*IF(XLOOKUP('Boss Editor'!$C$4,'Pokemon Editor'!$A:$A,'Pokemon Editor'!$D:$D,"")="",1,INDEX('Type Chart'!$B:$S,MATCH(E527,'Type Chart'!$A:$A,0),MATCH(XLOOKUP('Boss Editor'!$C$4,'Pokemon Editor'!$A:$A,'Pokemon Editor'!$D:$D,""),'Type Chart'!$B$1:$S$1,0))))</f>
        <v/>
      </c>
      <c r="J527" s="3">
        <f>IFERROR(LET(mtype,XLOOKUP($D527,'Move Editor'!$B:$B,'Move Editor'!$C:$C,""),cat,XLOOKUP($D527,'Move Editor'!$B:$B,'Move Editor'!$D:$D,""),pow,XLOOKUP($D527,'Move Editor'!$B:$B,'Move Editor'!$E:$E,0),acc,XLOOKUP($D527,'Move Editor'!$B:$B,'Move Editor'!$F:$F,100),atk,IF(cat="Physical",FLOOR((FLOOR(((2*XLOOKUP(XLOOKUP($Q527,'Threshold Summary'!$Y:$Y,'Threshold Summary'!$K:$K,""),'Pokemon Editor'!$A:$A,'Pokemon Editor'!$F:$F,0)+31+FLOOR(XLOOKUP($Q527,'Threshold Summary'!$Y:$Y,'Threshold Summary'!$P:$P,"")/4))*XLOOKUP($Q527,'Threshold Summary'!$Y:$Y,'Threshold Summary'!$L:$L,""))/100)+5)*XLOOKUP(XLOOKUP($Q527,'Threshold Summary'!$Y:$Y,'Threshold Summary'!$M:$M,""),'Nature Editor'!$A:$A,'Nature Editor'!$B:$B,1)),FLOOR((FLOOR(((2*XLOOKUP(XLOOKUP($Q527,'Threshold Summary'!$Y:$Y,'Threshold Summary'!$K:$K,""),'Pokemon Editor'!$A:$A,'Pokemon Editor'!$H:$H,0)+31+FLOOR(XLOOKUP($Q527,'Threshold Summary'!$Y:$Y,'Threshold Summary'!$R:$R,"")/4))*XLOOKUP($Q527,'Threshold Summary'!$Y:$Y,'Threshold Summary'!$L:$L,""))/100)+5)*XLOOKUP(XLOOKUP($Q527,'Threshold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Editor'!$E:$E,1))),stab,IF(OR(mtype=XLOOKUP(XLOOKUP($Q527,'Threshold Summary'!$Y:$Y,'Threshold Summary'!$K:$K,""),'Pokemon Editor'!$A:$A,'Pokemon Editor'!$C:$C,""),mtype=XLOOKUP(XLOOKUP($Q527,'Threshold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Chart'!$B$1:$S$1,0)))),base,IF(OR(cat="Status",pow=0),0,FLOOR(FLOOR(FLOOR((2*XLOOKUP($Q527,'Threshold Summary'!$Y:$Y,'Threshold Summary'!$L:$L,"")/5+2)*pow*atk/def)/50)+2)),modifier,stab*eff,FLOOR(base*modifier*0.85)),0)</f>
        <v/>
      </c>
      <c r="K527" s="3">
        <f>IFERROR(LET(mtype,XLOOKUP($D527,'Move Editor'!$B:$B,'Move Editor'!$C:$C,""),cat,XLOOKUP($D527,'Move Editor'!$B:$B,'Move Editor'!$D:$D,""),pow,XLOOKUP($D527,'Move Editor'!$B:$B,'Move Editor'!$E:$E,0),acc,XLOOKUP($D527,'Move Editor'!$B:$B,'Move Editor'!$F:$F,100),atk,IF(cat="Physical",FLOOR((FLOOR(((2*XLOOKUP(XLOOKUP($Q527,'Threshold Summary'!$Y:$Y,'Threshold Summary'!$K:$K,""),'Pokemon Editor'!$A:$A,'Pokemon Editor'!$F:$F,0)+31+FLOOR(XLOOKUP($Q527,'Threshold Summary'!$Y:$Y,'Threshold Summary'!$P:$P,"")/4))*XLOOKUP($Q527,'Threshold Summary'!$Y:$Y,'Threshold Summary'!$L:$L,""))/100)+5)*XLOOKUP(XLOOKUP($Q527,'Threshold Summary'!$Y:$Y,'Threshold Summary'!$M:$M,""),'Nature Editor'!$A:$A,'Nature Editor'!$B:$B,1)),FLOOR((FLOOR(((2*XLOOKUP(XLOOKUP($Q527,'Threshold Summary'!$Y:$Y,'Threshold Summary'!$K:$K,""),'Pokemon Editor'!$A:$A,'Pokemon Editor'!$H:$H,0)+31+FLOOR(XLOOKUP($Q527,'Threshold Summary'!$Y:$Y,'Threshold Summary'!$R:$R,"")/4))*XLOOKUP($Q527,'Threshold Summary'!$Y:$Y,'Threshold Summary'!$L:$L,""))/100)+5)*XLOOKUP(XLOOKUP($Q527,'Threshold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Editor'!$E:$E,1))),stab,IF(OR(mtype=XLOOKUP(XLOOKUP($Q527,'Threshold Summary'!$Y:$Y,'Threshold Summary'!$K:$K,""),'Pokemon Editor'!$A:$A,'Pokemon Editor'!$C:$C,""),mtype=XLOOKUP(XLOOKUP($Q527,'Threshold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Chart'!$B$1:$S$1,0)))),base,IF(OR(cat="Status",pow=0),0,FLOOR(FLOOR(FLOOR((2*XLOOKUP($Q527,'Threshold Summary'!$Y:$Y,'Threshold Summary'!$L:$L,"")/5+2)*pow*atk/def)/50)+2)),modifier,stab*eff,FLOOR(base*modifier)),0)</f>
        <v/>
      </c>
      <c r="L527" s="3">
        <f>IFERROR(LET(mtype,XLOOKUP($D527,'Move Editor'!$B:$B,'Move Editor'!$C:$C,""),cat,XLOOKUP($D527,'Move Editor'!$B:$B,'Move Editor'!$D:$D,""),pow,XLOOKUP($D527,'Move Editor'!$B:$B,'Move Editor'!$E:$E,0),acc,XLOOKUP($D527,'Move Editor'!$B:$B,'Move Editor'!$F:$F,100),atk,IF(cat="Physical",FLOOR((FLOOR(((2*XLOOKUP(XLOOKUP($Q527,'Threshold Summary'!$Y:$Y,'Threshold Summary'!$K:$K,""),'Pokemon Editor'!$A:$A,'Pokemon Editor'!$F:$F,0)+31+FLOOR(XLOOKUP($Q527,'Threshold Summary'!$Y:$Y,'Threshold Summary'!$P:$P,"")/4))*XLOOKUP($Q527,'Threshold Summary'!$Y:$Y,'Threshold Summary'!$L:$L,""))/100)+5)*XLOOKUP(XLOOKUP($Q527,'Threshold Summary'!$Y:$Y,'Threshold Summary'!$M:$M,""),'Nature Editor'!$A:$A,'Nature Editor'!$B:$B,1)),FLOOR((FLOOR(((2*XLOOKUP(XLOOKUP($Q527,'Threshold Summary'!$Y:$Y,'Threshold Summary'!$K:$K,""),'Pokemon Editor'!$A:$A,'Pokemon Editor'!$H:$H,0)+31+FLOOR(XLOOKUP($Q527,'Threshold Summary'!$Y:$Y,'Threshold Summary'!$R:$R,"")/4))*XLOOKUP($Q527,'Threshold Summary'!$Y:$Y,'Threshold Summary'!$L:$L,""))/100)+5)*XLOOKUP(XLOOKUP($Q527,'Threshold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Editor'!$E:$E,1))),stab,IF(OR(mtype=XLOOKUP(XLOOKUP($Q527,'Threshold Summary'!$Y:$Y,'Threshold Summary'!$K:$K,""),'Pokemon Editor'!$A:$A,'Pokemon Editor'!$C:$C,""),mtype=XLOOKUP(XLOOKUP($Q527,'Threshold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Chart'!$B$1:$S$1,0)))),base,IF(OR(cat="Status",pow=0),0,FLOOR(FLOOR(FLOOR((2*XLOOKUP($Q527,'Threshold Summary'!$Y:$Y,'Threshold Summary'!$L:$L,"")/5+2)*pow*atk/def)/50)+2)),modifier,stab*eff,AVERAGE(ARRAYFORMULA(FLOOR(base*modifier*SEQUENCE(16,1,85,1)/100)))),0)</f>
        <v/>
      </c>
      <c r="M527" s="3">
        <f>IFERROR(LET(mtype,XLOOKUP($D527,'Move Editor'!$B:$B,'Move Editor'!$C:$C,""),cat,XLOOKUP($D527,'Move Editor'!$B:$B,'Move Editor'!$D:$D,""),pow,XLOOKUP($D527,'Move Editor'!$B:$B,'Move Editor'!$E:$E,0),acc,XLOOKUP($D527,'Move Editor'!$B:$B,'Move Editor'!$F:$F,100),atk,IF(cat="Physical",FLOOR((FLOOR(((2*XLOOKUP(XLOOKUP($Q527,'Threshold Summary'!$Y:$Y,'Threshold Summary'!$K:$K,""),'Pokemon Editor'!$A:$A,'Pokemon Editor'!$F:$F,0)+31+FLOOR(XLOOKUP($Q527,'Threshold Summary'!$Y:$Y,'Threshold Summary'!$P:$P,"")/4))*XLOOKUP($Q527,'Threshold Summary'!$Y:$Y,'Threshold Summary'!$L:$L,""))/100)+5)*XLOOKUP(XLOOKUP($Q527,'Threshold Summary'!$Y:$Y,'Threshold Summary'!$M:$M,""),'Nature Editor'!$A:$A,'Nature Editor'!$B:$B,1)),FLOOR((FLOOR(((2*XLOOKUP(XLOOKUP($Q527,'Threshold Summary'!$Y:$Y,'Threshold Summary'!$K:$K,""),'Pokemon Editor'!$A:$A,'Pokemon Editor'!$H:$H,0)+31+FLOOR(XLOOKUP($Q527,'Threshold Summary'!$Y:$Y,'Threshold Summary'!$R:$R,"")/4))*XLOOKUP($Q527,'Threshold Summary'!$Y:$Y,'Threshold Summary'!$L:$L,""))/100)+5)*XLOOKUP(XLOOKUP($Q527,'Threshold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Editor'!$E:$E,1))),stab,IF(OR(mtype=XLOOKUP(XLOOKUP($Q527,'Threshold Summary'!$Y:$Y,'Threshold Summary'!$K:$K,""),'Pokemon Editor'!$A:$A,'Pokemon Editor'!$C:$C,""),mtype=XLOOKUP(XLOOKUP($Q527,'Threshold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Chart'!$B$1:$S$1,0)))),base,IF(OR(cat="Status",pow=0),0,FLOOR(FLOOR(FLOOR((2*XLOOKUP($Q527,'Threshold Summary'!$Y:$Y,'Threshold Summary'!$L:$L,"")/5+2)*pow*atk/def)/50)+2)),modifier,stab*eff,AVERAGE(ARRAYFORMULA(FLOOR(base*modifier*SEQUENCE(16,1,85,1)/100)))*MIN(1,acc/100)),0)</f>
        <v/>
      </c>
      <c r="N527" s="4">
        <f>IFERROR(LET(mtype,XLOOKUP($D527,'Move Editor'!$B:$B,'Move Editor'!$C:$C,""),cat,XLOOKUP($D527,'Move Editor'!$B:$B,'Move Editor'!$D:$D,""),pow,XLOOKUP($D527,'Move Editor'!$B:$B,'Move Editor'!$E:$E,0),acc,XLOOKUP($D527,'Move Editor'!$B:$B,'Move Editor'!$F:$F,100),atk,IF(cat="Physical",FLOOR((FLOOR(((2*XLOOKUP(XLOOKUP($Q527,'Threshold Summary'!$Y:$Y,'Threshold Summary'!$K:$K,""),'Pokemon Editor'!$A:$A,'Pokemon Editor'!$F:$F,0)+31+FLOOR(XLOOKUP($Q527,'Threshold Summary'!$Y:$Y,'Threshold Summary'!$P:$P,"")/4))*XLOOKUP($Q527,'Threshold Summary'!$Y:$Y,'Threshold Summary'!$L:$L,""))/100)+5)*XLOOKUP(XLOOKUP($Q527,'Threshold Summary'!$Y:$Y,'Threshold Summary'!$M:$M,""),'Nature Editor'!$A:$A,'Nature Editor'!$B:$B,1)),FLOOR((FLOOR(((2*XLOOKUP(XLOOKUP($Q527,'Threshold Summary'!$Y:$Y,'Threshold Summary'!$K:$K,""),'Pokemon Editor'!$A:$A,'Pokemon Editor'!$H:$H,0)+31+FLOOR(XLOOKUP($Q527,'Threshold Summary'!$Y:$Y,'Threshold Summary'!$R:$R,"")/4))*XLOOKUP($Q527,'Threshold Summary'!$Y:$Y,'Threshold Summary'!$L:$L,""))/100)+5)*XLOOKUP(XLOOKUP($Q527,'Threshold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Editor'!$E:$E,1))),stab,IF(OR(mtype=XLOOKUP(XLOOKUP($Q527,'Threshold Summary'!$Y:$Y,'Threshold Summary'!$K:$K,""),'Pokemon Editor'!$A:$A,'Pokemon Editor'!$C:$C,""),mtype=XLOOKUP(XLOOKUP($Q527,'Threshold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Chart'!$B$1:$S$1,0)))),base,IF(OR(cat="Status",pow=0),0,FLOOR(FLOOR(FLOOR((2*XLOOKUP($Q527,'Threshold Summary'!$Y:$Y,'Threshold Summary'!$L:$L,"")/5+2)*pow*atk/def)/50)+2)),modifier,stab*eff,AVERAGE(ARRAYFORMULA(FLOOR(base*modifier*SEQUENCE(16,1,85,1)/100)))/(FLOOR(((2*XLOOKUP('Boss Editor'!$C$4,'Pokemon Editor'!$A:$A,'Pokemon Editor'!$E:$E,0)+31+FLOOR('Boss Editor'!$G$4/4))*'Boss Editor'!$D$4)/100)+'Boss Editor'!$D$4+10)),0)</f>
        <v/>
      </c>
      <c r="O527" s="3">
        <f>IF(N527&gt;=1,"OHKO",IF(N527&gt;=0.5,"2HKO",IF(N527&gt;=0.333,"3HKO",IF(N527&gt;=0.25,"4HKO","5HKO+"))))</f>
        <v/>
      </c>
      <c r="P527" s="3" t="inlineStr">
        <is>
          <t>Live from editable databases</t>
        </is>
      </c>
      <c r="Q527" s="3" t="inlineStr">
        <is>
          <t>SPECIES_MINCCINO</t>
        </is>
      </c>
      <c r="R527" s="3" t="n">
        <v>14</v>
      </c>
    </row>
    <row r="528">
      <c r="A528" s="3">
        <f>XLOOKUP($Q528,'Threshold Summary'!$Y:$Y,'Threshold Summary'!$A:$A,"")</f>
        <v/>
      </c>
      <c r="B528" s="3">
        <f>XLOOKUP($Q528,'Threshold Summary'!$Y:$Y,'Threshold Summary'!$M:$M,"")</f>
        <v/>
      </c>
      <c r="C528" s="3">
        <f>XLOOKUP($Q528,'Threshold Summary'!$Y:$Y,'Threshold Summary'!$N:$N,"")</f>
        <v/>
      </c>
      <c r="D528" s="3">
        <f>IFERROR(INDEX(FILTER('Learnset Editor'!$D$2:$D,'Learnset Editor'!$A$2:$A=XLOOKUP($Q528,'Threshold Summary'!$Y:$Y,'Threshold Summary'!$K:$K,""),'Learnset Editor'!$C$2:$C&lt;=XLOOKUP($Q528,'Threshold Summary'!$Y:$Y,'Threshold Summary'!$L:$L,"")),$R528),"")</f>
        <v/>
      </c>
      <c r="E528" s="3">
        <f>XLOOKUP(D528,'Move Editor'!$B:$B,'Move Editor'!$C:$C,"")</f>
        <v/>
      </c>
      <c r="F528" s="3">
        <f>XLOOKUP(D528,'Move Editor'!$B:$B,'Move Editor'!$D:$D,"")</f>
        <v/>
      </c>
      <c r="G528" s="3">
        <f>XLOOKUP(D528,'Move Editor'!$B:$B,'Move Editor'!$E:$E,0)</f>
        <v/>
      </c>
      <c r="H528" s="3">
        <f>XLOOKUP(D528,'Move Editor'!$B:$B,'Move Editor'!$F:$F,0)</f>
        <v/>
      </c>
      <c r="I528" s="3">
        <f>(INDEX('Type Chart'!$B:$S,MATCH(E528,'Type Chart'!$A:$A,0),MATCH(XLOOKUP('Boss Editor'!$C$4,'Pokemon Editor'!$A:$A,'Pokemon Editor'!$C:$C,""),'Type Chart'!$B$1:$S$1,0))*IF(XLOOKUP('Boss Editor'!$C$4,'Pokemon Editor'!$A:$A,'Pokemon Editor'!$D:$D,"")="",1,INDEX('Type Chart'!$B:$S,MATCH(E528,'Type Chart'!$A:$A,0),MATCH(XLOOKUP('Boss Editor'!$C$4,'Pokemon Editor'!$A:$A,'Pokemon Editor'!$D:$D,""),'Type Chart'!$B$1:$S$1,0))))</f>
        <v/>
      </c>
      <c r="J528" s="3">
        <f>IFERROR(LET(mtype,XLOOKUP($D528,'Move Editor'!$B:$B,'Move Editor'!$C:$C,""),cat,XLOOKUP($D528,'Move Editor'!$B:$B,'Move Editor'!$D:$D,""),pow,XLOOKUP($D528,'Move Editor'!$B:$B,'Move Editor'!$E:$E,0),acc,XLOOKUP($D528,'Move Editor'!$B:$B,'Move Editor'!$F:$F,100),atk,IF(cat="Physical",FLOOR((FLOOR(((2*XLOOKUP(XLOOKUP($Q528,'Threshold Summary'!$Y:$Y,'Threshold Summary'!$K:$K,""),'Pokemon Editor'!$A:$A,'Pokemon Editor'!$F:$F,0)+31+FLOOR(XLOOKUP($Q528,'Threshold Summary'!$Y:$Y,'Threshold Summary'!$P:$P,"")/4))*XLOOKUP($Q528,'Threshold Summary'!$Y:$Y,'Threshold Summary'!$L:$L,""))/100)+5)*XLOOKUP(XLOOKUP($Q528,'Threshold Summary'!$Y:$Y,'Threshold Summary'!$M:$M,""),'Nature Editor'!$A:$A,'Nature Editor'!$B:$B,1)),FLOOR((FLOOR(((2*XLOOKUP(XLOOKUP($Q528,'Threshold Summary'!$Y:$Y,'Threshold Summary'!$K:$K,""),'Pokemon Editor'!$A:$A,'Pokemon Editor'!$H:$H,0)+31+FLOOR(XLOOKUP($Q528,'Threshold Summary'!$Y:$Y,'Threshold Summary'!$R:$R,"")/4))*XLOOKUP($Q528,'Threshold Summary'!$Y:$Y,'Threshold Summary'!$L:$L,""))/100)+5)*XLOOKUP(XLOOKUP($Q528,'Threshold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Editor'!$E:$E,1))),stab,IF(OR(mtype=XLOOKUP(XLOOKUP($Q528,'Threshold Summary'!$Y:$Y,'Threshold Summary'!$K:$K,""),'Pokemon Editor'!$A:$A,'Pokemon Editor'!$C:$C,""),mtype=XLOOKUP(XLOOKUP($Q528,'Threshold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Chart'!$B$1:$S$1,0)))),base,IF(OR(cat="Status",pow=0),0,FLOOR(FLOOR(FLOOR((2*XLOOKUP($Q528,'Threshold Summary'!$Y:$Y,'Threshold Summary'!$L:$L,"")/5+2)*pow*atk/def)/50)+2)),modifier,stab*eff,FLOOR(base*modifier*0.85)),0)</f>
        <v/>
      </c>
      <c r="K528" s="3">
        <f>IFERROR(LET(mtype,XLOOKUP($D528,'Move Editor'!$B:$B,'Move Editor'!$C:$C,""),cat,XLOOKUP($D528,'Move Editor'!$B:$B,'Move Editor'!$D:$D,""),pow,XLOOKUP($D528,'Move Editor'!$B:$B,'Move Editor'!$E:$E,0),acc,XLOOKUP($D528,'Move Editor'!$B:$B,'Move Editor'!$F:$F,100),atk,IF(cat="Physical",FLOOR((FLOOR(((2*XLOOKUP(XLOOKUP($Q528,'Threshold Summary'!$Y:$Y,'Threshold Summary'!$K:$K,""),'Pokemon Editor'!$A:$A,'Pokemon Editor'!$F:$F,0)+31+FLOOR(XLOOKUP($Q528,'Threshold Summary'!$Y:$Y,'Threshold Summary'!$P:$P,"")/4))*XLOOKUP($Q528,'Threshold Summary'!$Y:$Y,'Threshold Summary'!$L:$L,""))/100)+5)*XLOOKUP(XLOOKUP($Q528,'Threshold Summary'!$Y:$Y,'Threshold Summary'!$M:$M,""),'Nature Editor'!$A:$A,'Nature Editor'!$B:$B,1)),FLOOR((FLOOR(((2*XLOOKUP(XLOOKUP($Q528,'Threshold Summary'!$Y:$Y,'Threshold Summary'!$K:$K,""),'Pokemon Editor'!$A:$A,'Pokemon Editor'!$H:$H,0)+31+FLOOR(XLOOKUP($Q528,'Threshold Summary'!$Y:$Y,'Threshold Summary'!$R:$R,"")/4))*XLOOKUP($Q528,'Threshold Summary'!$Y:$Y,'Threshold Summary'!$L:$L,""))/100)+5)*XLOOKUP(XLOOKUP($Q528,'Threshold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Editor'!$E:$E,1))),stab,IF(OR(mtype=XLOOKUP(XLOOKUP($Q528,'Threshold Summary'!$Y:$Y,'Threshold Summary'!$K:$K,""),'Pokemon Editor'!$A:$A,'Pokemon Editor'!$C:$C,""),mtype=XLOOKUP(XLOOKUP($Q528,'Threshold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Chart'!$B$1:$S$1,0)))),base,IF(OR(cat="Status",pow=0),0,FLOOR(FLOOR(FLOOR((2*XLOOKUP($Q528,'Threshold Summary'!$Y:$Y,'Threshold Summary'!$L:$L,"")/5+2)*pow*atk/def)/50)+2)),modifier,stab*eff,FLOOR(base*modifier)),0)</f>
        <v/>
      </c>
      <c r="L528" s="3">
        <f>IFERROR(LET(mtype,XLOOKUP($D528,'Move Editor'!$B:$B,'Move Editor'!$C:$C,""),cat,XLOOKUP($D528,'Move Editor'!$B:$B,'Move Editor'!$D:$D,""),pow,XLOOKUP($D528,'Move Editor'!$B:$B,'Move Editor'!$E:$E,0),acc,XLOOKUP($D528,'Move Editor'!$B:$B,'Move Editor'!$F:$F,100),atk,IF(cat="Physical",FLOOR((FLOOR(((2*XLOOKUP(XLOOKUP($Q528,'Threshold Summary'!$Y:$Y,'Threshold Summary'!$K:$K,""),'Pokemon Editor'!$A:$A,'Pokemon Editor'!$F:$F,0)+31+FLOOR(XLOOKUP($Q528,'Threshold Summary'!$Y:$Y,'Threshold Summary'!$P:$P,"")/4))*XLOOKUP($Q528,'Threshold Summary'!$Y:$Y,'Threshold Summary'!$L:$L,""))/100)+5)*XLOOKUP(XLOOKUP($Q528,'Threshold Summary'!$Y:$Y,'Threshold Summary'!$M:$M,""),'Nature Editor'!$A:$A,'Nature Editor'!$B:$B,1)),FLOOR((FLOOR(((2*XLOOKUP(XLOOKUP($Q528,'Threshold Summary'!$Y:$Y,'Threshold Summary'!$K:$K,""),'Pokemon Editor'!$A:$A,'Pokemon Editor'!$H:$H,0)+31+FLOOR(XLOOKUP($Q528,'Threshold Summary'!$Y:$Y,'Threshold Summary'!$R:$R,"")/4))*XLOOKUP($Q528,'Threshold Summary'!$Y:$Y,'Threshold Summary'!$L:$L,""))/100)+5)*XLOOKUP(XLOOKUP($Q528,'Threshold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Editor'!$E:$E,1))),stab,IF(OR(mtype=XLOOKUP(XLOOKUP($Q528,'Threshold Summary'!$Y:$Y,'Threshold Summary'!$K:$K,""),'Pokemon Editor'!$A:$A,'Pokemon Editor'!$C:$C,""),mtype=XLOOKUP(XLOOKUP($Q528,'Threshold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Chart'!$B$1:$S$1,0)))),base,IF(OR(cat="Status",pow=0),0,FLOOR(FLOOR(FLOOR((2*XLOOKUP($Q528,'Threshold Summary'!$Y:$Y,'Threshold Summary'!$L:$L,"")/5+2)*pow*atk/def)/50)+2)),modifier,stab*eff,AVERAGE(ARRAYFORMULA(FLOOR(base*modifier*SEQUENCE(16,1,85,1)/100)))),0)</f>
        <v/>
      </c>
      <c r="M528" s="3">
        <f>IFERROR(LET(mtype,XLOOKUP($D528,'Move Editor'!$B:$B,'Move Editor'!$C:$C,""),cat,XLOOKUP($D528,'Move Editor'!$B:$B,'Move Editor'!$D:$D,""),pow,XLOOKUP($D528,'Move Editor'!$B:$B,'Move Editor'!$E:$E,0),acc,XLOOKUP($D528,'Move Editor'!$B:$B,'Move Editor'!$F:$F,100),atk,IF(cat="Physical",FLOOR((FLOOR(((2*XLOOKUP(XLOOKUP($Q528,'Threshold Summary'!$Y:$Y,'Threshold Summary'!$K:$K,""),'Pokemon Editor'!$A:$A,'Pokemon Editor'!$F:$F,0)+31+FLOOR(XLOOKUP($Q528,'Threshold Summary'!$Y:$Y,'Threshold Summary'!$P:$P,"")/4))*XLOOKUP($Q528,'Threshold Summary'!$Y:$Y,'Threshold Summary'!$L:$L,""))/100)+5)*XLOOKUP(XLOOKUP($Q528,'Threshold Summary'!$Y:$Y,'Threshold Summary'!$M:$M,""),'Nature Editor'!$A:$A,'Nature Editor'!$B:$B,1)),FLOOR((FLOOR(((2*XLOOKUP(XLOOKUP($Q528,'Threshold Summary'!$Y:$Y,'Threshold Summary'!$K:$K,""),'Pokemon Editor'!$A:$A,'Pokemon Editor'!$H:$H,0)+31+FLOOR(XLOOKUP($Q528,'Threshold Summary'!$Y:$Y,'Threshold Summary'!$R:$R,"")/4))*XLOOKUP($Q528,'Threshold Summary'!$Y:$Y,'Threshold Summary'!$L:$L,""))/100)+5)*XLOOKUP(XLOOKUP($Q528,'Threshold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Editor'!$E:$E,1))),stab,IF(OR(mtype=XLOOKUP(XLOOKUP($Q528,'Threshold Summary'!$Y:$Y,'Threshold Summary'!$K:$K,""),'Pokemon Editor'!$A:$A,'Pokemon Editor'!$C:$C,""),mtype=XLOOKUP(XLOOKUP($Q528,'Threshold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Chart'!$B$1:$S$1,0)))),base,IF(OR(cat="Status",pow=0),0,FLOOR(FLOOR(FLOOR((2*XLOOKUP($Q528,'Threshold Summary'!$Y:$Y,'Threshold Summary'!$L:$L,"")/5+2)*pow*atk/def)/50)+2)),modifier,stab*eff,AVERAGE(ARRAYFORMULA(FLOOR(base*modifier*SEQUENCE(16,1,85,1)/100)))*MIN(1,acc/100)),0)</f>
        <v/>
      </c>
      <c r="N528" s="4">
        <f>IFERROR(LET(mtype,XLOOKUP($D528,'Move Editor'!$B:$B,'Move Editor'!$C:$C,""),cat,XLOOKUP($D528,'Move Editor'!$B:$B,'Move Editor'!$D:$D,""),pow,XLOOKUP($D528,'Move Editor'!$B:$B,'Move Editor'!$E:$E,0),acc,XLOOKUP($D528,'Move Editor'!$B:$B,'Move Editor'!$F:$F,100),atk,IF(cat="Physical",FLOOR((FLOOR(((2*XLOOKUP(XLOOKUP($Q528,'Threshold Summary'!$Y:$Y,'Threshold Summary'!$K:$K,""),'Pokemon Editor'!$A:$A,'Pokemon Editor'!$F:$F,0)+31+FLOOR(XLOOKUP($Q528,'Threshold Summary'!$Y:$Y,'Threshold Summary'!$P:$P,"")/4))*XLOOKUP($Q528,'Threshold Summary'!$Y:$Y,'Threshold Summary'!$L:$L,""))/100)+5)*XLOOKUP(XLOOKUP($Q528,'Threshold Summary'!$Y:$Y,'Threshold Summary'!$M:$M,""),'Nature Editor'!$A:$A,'Nature Editor'!$B:$B,1)),FLOOR((FLOOR(((2*XLOOKUP(XLOOKUP($Q528,'Threshold Summary'!$Y:$Y,'Threshold Summary'!$K:$K,""),'Pokemon Editor'!$A:$A,'Pokemon Editor'!$H:$H,0)+31+FLOOR(XLOOKUP($Q528,'Threshold Summary'!$Y:$Y,'Threshold Summary'!$R:$R,"")/4))*XLOOKUP($Q528,'Threshold Summary'!$Y:$Y,'Threshold Summary'!$L:$L,""))/100)+5)*XLOOKUP(XLOOKUP($Q528,'Threshold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Editor'!$E:$E,1))),stab,IF(OR(mtype=XLOOKUP(XLOOKUP($Q528,'Threshold Summary'!$Y:$Y,'Threshold Summary'!$K:$K,""),'Pokemon Editor'!$A:$A,'Pokemon Editor'!$C:$C,""),mtype=XLOOKUP(XLOOKUP($Q528,'Threshold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Chart'!$B$1:$S$1,0)))),base,IF(OR(cat="Status",pow=0),0,FLOOR(FLOOR(FLOOR((2*XLOOKUP($Q528,'Threshold Summary'!$Y:$Y,'Threshold Summary'!$L:$L,"")/5+2)*pow*atk/def)/50)+2)),modifier,stab*eff,AVERAGE(ARRAYFORMULA(FLOOR(base*modifier*SEQUENCE(16,1,85,1)/100)))/(FLOOR(((2*XLOOKUP('Boss Editor'!$C$4,'Pokemon Editor'!$A:$A,'Pokemon Editor'!$E:$E,0)+31+FLOOR('Boss Editor'!$G$4/4))*'Boss Editor'!$D$4)/100)+'Boss Editor'!$D$4+10)),0)</f>
        <v/>
      </c>
      <c r="O528" s="3">
        <f>IF(N528&gt;=1,"OHKO",IF(N528&gt;=0.5,"2HKO",IF(N528&gt;=0.333,"3HKO",IF(N528&gt;=0.25,"4HKO","5HKO+"))))</f>
        <v/>
      </c>
      <c r="P528" s="3" t="inlineStr">
        <is>
          <t>Live from editable databases</t>
        </is>
      </c>
      <c r="Q528" s="3" t="inlineStr">
        <is>
          <t>SPECIES_MINCCINO</t>
        </is>
      </c>
      <c r="R528" s="3" t="n">
        <v>15</v>
      </c>
    </row>
    <row r="529">
      <c r="A529" s="3">
        <f>XLOOKUP($Q529,'Threshold Summary'!$Y:$Y,'Threshold Summary'!$A:$A,"")</f>
        <v/>
      </c>
      <c r="B529" s="3">
        <f>XLOOKUP($Q529,'Threshold Summary'!$Y:$Y,'Threshold Summary'!$M:$M,"")</f>
        <v/>
      </c>
      <c r="C529" s="3">
        <f>XLOOKUP($Q529,'Threshold Summary'!$Y:$Y,'Threshold Summary'!$N:$N,"")</f>
        <v/>
      </c>
      <c r="D529" s="3">
        <f>IFERROR(INDEX(FILTER('Learnset Editor'!$D$2:$D,'Learnset Editor'!$A$2:$A=XLOOKUP($Q529,'Threshold Summary'!$Y:$Y,'Threshold Summary'!$K:$K,""),'Learnset Editor'!$C$2:$C&lt;=XLOOKUP($Q529,'Threshold Summary'!$Y:$Y,'Threshold Summary'!$L:$L,"")),$R529),"")</f>
        <v/>
      </c>
      <c r="E529" s="3">
        <f>XLOOKUP(D529,'Move Editor'!$B:$B,'Move Editor'!$C:$C,"")</f>
        <v/>
      </c>
      <c r="F529" s="3">
        <f>XLOOKUP(D529,'Move Editor'!$B:$B,'Move Editor'!$D:$D,"")</f>
        <v/>
      </c>
      <c r="G529" s="3">
        <f>XLOOKUP(D529,'Move Editor'!$B:$B,'Move Editor'!$E:$E,0)</f>
        <v/>
      </c>
      <c r="H529" s="3">
        <f>XLOOKUP(D529,'Move Editor'!$B:$B,'Move Editor'!$F:$F,0)</f>
        <v/>
      </c>
      <c r="I529" s="3">
        <f>(INDEX('Type Chart'!$B:$S,MATCH(E529,'Type Chart'!$A:$A,0),MATCH(XLOOKUP('Boss Editor'!$C$4,'Pokemon Editor'!$A:$A,'Pokemon Editor'!$C:$C,""),'Type Chart'!$B$1:$S$1,0))*IF(XLOOKUP('Boss Editor'!$C$4,'Pokemon Editor'!$A:$A,'Pokemon Editor'!$D:$D,"")="",1,INDEX('Type Chart'!$B:$S,MATCH(E529,'Type Chart'!$A:$A,0),MATCH(XLOOKUP('Boss Editor'!$C$4,'Pokemon Editor'!$A:$A,'Pokemon Editor'!$D:$D,""),'Type Chart'!$B$1:$S$1,0))))</f>
        <v/>
      </c>
      <c r="J529" s="3">
        <f>IFERROR(LET(mtype,XLOOKUP($D529,'Move Editor'!$B:$B,'Move Editor'!$C:$C,""),cat,XLOOKUP($D529,'Move Editor'!$B:$B,'Move Editor'!$D:$D,""),pow,XLOOKUP($D529,'Move Editor'!$B:$B,'Move Editor'!$E:$E,0),acc,XLOOKUP($D529,'Move Editor'!$B:$B,'Move Editor'!$F:$F,100),atk,IF(cat="Physical",FLOOR((FLOOR(((2*XLOOKUP(XLOOKUP($Q529,'Threshold Summary'!$Y:$Y,'Threshold Summary'!$K:$K,""),'Pokemon Editor'!$A:$A,'Pokemon Editor'!$F:$F,0)+31+FLOOR(XLOOKUP($Q529,'Threshold Summary'!$Y:$Y,'Threshold Summary'!$P:$P,"")/4))*XLOOKUP($Q529,'Threshold Summary'!$Y:$Y,'Threshold Summary'!$L:$L,""))/100)+5)*XLOOKUP(XLOOKUP($Q529,'Threshold Summary'!$Y:$Y,'Threshold Summary'!$M:$M,""),'Nature Editor'!$A:$A,'Nature Editor'!$B:$B,1)),FLOOR((FLOOR(((2*XLOOKUP(XLOOKUP($Q529,'Threshold Summary'!$Y:$Y,'Threshold Summary'!$K:$K,""),'Pokemon Editor'!$A:$A,'Pokemon Editor'!$H:$H,0)+31+FLOOR(XLOOKUP($Q529,'Threshold Summary'!$Y:$Y,'Threshold Summary'!$R:$R,"")/4))*XLOOKUP($Q529,'Threshold Summary'!$Y:$Y,'Threshold Summary'!$L:$L,""))/100)+5)*XLOOKUP(XLOOKUP($Q529,'Threshold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Editor'!$E:$E,1))),stab,IF(OR(mtype=XLOOKUP(XLOOKUP($Q529,'Threshold Summary'!$Y:$Y,'Threshold Summary'!$K:$K,""),'Pokemon Editor'!$A:$A,'Pokemon Editor'!$C:$C,""),mtype=XLOOKUP(XLOOKUP($Q529,'Threshold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Chart'!$B$1:$S$1,0)))),base,IF(OR(cat="Status",pow=0),0,FLOOR(FLOOR(FLOOR((2*XLOOKUP($Q529,'Threshold Summary'!$Y:$Y,'Threshold Summary'!$L:$L,"")/5+2)*pow*atk/def)/50)+2)),modifier,stab*eff,FLOOR(base*modifier*0.85)),0)</f>
        <v/>
      </c>
      <c r="K529" s="3">
        <f>IFERROR(LET(mtype,XLOOKUP($D529,'Move Editor'!$B:$B,'Move Editor'!$C:$C,""),cat,XLOOKUP($D529,'Move Editor'!$B:$B,'Move Editor'!$D:$D,""),pow,XLOOKUP($D529,'Move Editor'!$B:$B,'Move Editor'!$E:$E,0),acc,XLOOKUP($D529,'Move Editor'!$B:$B,'Move Editor'!$F:$F,100),atk,IF(cat="Physical",FLOOR((FLOOR(((2*XLOOKUP(XLOOKUP($Q529,'Threshold Summary'!$Y:$Y,'Threshold Summary'!$K:$K,""),'Pokemon Editor'!$A:$A,'Pokemon Editor'!$F:$F,0)+31+FLOOR(XLOOKUP($Q529,'Threshold Summary'!$Y:$Y,'Threshold Summary'!$P:$P,"")/4))*XLOOKUP($Q529,'Threshold Summary'!$Y:$Y,'Threshold Summary'!$L:$L,""))/100)+5)*XLOOKUP(XLOOKUP($Q529,'Threshold Summary'!$Y:$Y,'Threshold Summary'!$M:$M,""),'Nature Editor'!$A:$A,'Nature Editor'!$B:$B,1)),FLOOR((FLOOR(((2*XLOOKUP(XLOOKUP($Q529,'Threshold Summary'!$Y:$Y,'Threshold Summary'!$K:$K,""),'Pokemon Editor'!$A:$A,'Pokemon Editor'!$H:$H,0)+31+FLOOR(XLOOKUP($Q529,'Threshold Summary'!$Y:$Y,'Threshold Summary'!$R:$R,"")/4))*XLOOKUP($Q529,'Threshold Summary'!$Y:$Y,'Threshold Summary'!$L:$L,""))/100)+5)*XLOOKUP(XLOOKUP($Q529,'Threshold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Editor'!$E:$E,1))),stab,IF(OR(mtype=XLOOKUP(XLOOKUP($Q529,'Threshold Summary'!$Y:$Y,'Threshold Summary'!$K:$K,""),'Pokemon Editor'!$A:$A,'Pokemon Editor'!$C:$C,""),mtype=XLOOKUP(XLOOKUP($Q529,'Threshold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Chart'!$B$1:$S$1,0)))),base,IF(OR(cat="Status",pow=0),0,FLOOR(FLOOR(FLOOR((2*XLOOKUP($Q529,'Threshold Summary'!$Y:$Y,'Threshold Summary'!$L:$L,"")/5+2)*pow*atk/def)/50)+2)),modifier,stab*eff,FLOOR(base*modifier)),0)</f>
        <v/>
      </c>
      <c r="L529" s="3">
        <f>IFERROR(LET(mtype,XLOOKUP($D529,'Move Editor'!$B:$B,'Move Editor'!$C:$C,""),cat,XLOOKUP($D529,'Move Editor'!$B:$B,'Move Editor'!$D:$D,""),pow,XLOOKUP($D529,'Move Editor'!$B:$B,'Move Editor'!$E:$E,0),acc,XLOOKUP($D529,'Move Editor'!$B:$B,'Move Editor'!$F:$F,100),atk,IF(cat="Physical",FLOOR((FLOOR(((2*XLOOKUP(XLOOKUP($Q529,'Threshold Summary'!$Y:$Y,'Threshold Summary'!$K:$K,""),'Pokemon Editor'!$A:$A,'Pokemon Editor'!$F:$F,0)+31+FLOOR(XLOOKUP($Q529,'Threshold Summary'!$Y:$Y,'Threshold Summary'!$P:$P,"")/4))*XLOOKUP($Q529,'Threshold Summary'!$Y:$Y,'Threshold Summary'!$L:$L,""))/100)+5)*XLOOKUP(XLOOKUP($Q529,'Threshold Summary'!$Y:$Y,'Threshold Summary'!$M:$M,""),'Nature Editor'!$A:$A,'Nature Editor'!$B:$B,1)),FLOOR((FLOOR(((2*XLOOKUP(XLOOKUP($Q529,'Threshold Summary'!$Y:$Y,'Threshold Summary'!$K:$K,""),'Pokemon Editor'!$A:$A,'Pokemon Editor'!$H:$H,0)+31+FLOOR(XLOOKUP($Q529,'Threshold Summary'!$Y:$Y,'Threshold Summary'!$R:$R,"")/4))*XLOOKUP($Q529,'Threshold Summary'!$Y:$Y,'Threshold Summary'!$L:$L,""))/100)+5)*XLOOKUP(XLOOKUP($Q529,'Threshold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Editor'!$E:$E,1))),stab,IF(OR(mtype=XLOOKUP(XLOOKUP($Q529,'Threshold Summary'!$Y:$Y,'Threshold Summary'!$K:$K,""),'Pokemon Editor'!$A:$A,'Pokemon Editor'!$C:$C,""),mtype=XLOOKUP(XLOOKUP($Q529,'Threshold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Chart'!$B$1:$S$1,0)))),base,IF(OR(cat="Status",pow=0),0,FLOOR(FLOOR(FLOOR((2*XLOOKUP($Q529,'Threshold Summary'!$Y:$Y,'Threshold Summary'!$L:$L,"")/5+2)*pow*atk/def)/50)+2)),modifier,stab*eff,AVERAGE(ARRAYFORMULA(FLOOR(base*modifier*SEQUENCE(16,1,85,1)/100)))),0)</f>
        <v/>
      </c>
      <c r="M529" s="3">
        <f>IFERROR(LET(mtype,XLOOKUP($D529,'Move Editor'!$B:$B,'Move Editor'!$C:$C,""),cat,XLOOKUP($D529,'Move Editor'!$B:$B,'Move Editor'!$D:$D,""),pow,XLOOKUP($D529,'Move Editor'!$B:$B,'Move Editor'!$E:$E,0),acc,XLOOKUP($D529,'Move Editor'!$B:$B,'Move Editor'!$F:$F,100),atk,IF(cat="Physical",FLOOR((FLOOR(((2*XLOOKUP(XLOOKUP($Q529,'Threshold Summary'!$Y:$Y,'Threshold Summary'!$K:$K,""),'Pokemon Editor'!$A:$A,'Pokemon Editor'!$F:$F,0)+31+FLOOR(XLOOKUP($Q529,'Threshold Summary'!$Y:$Y,'Threshold Summary'!$P:$P,"")/4))*XLOOKUP($Q529,'Threshold Summary'!$Y:$Y,'Threshold Summary'!$L:$L,""))/100)+5)*XLOOKUP(XLOOKUP($Q529,'Threshold Summary'!$Y:$Y,'Threshold Summary'!$M:$M,""),'Nature Editor'!$A:$A,'Nature Editor'!$B:$B,1)),FLOOR((FLOOR(((2*XLOOKUP(XLOOKUP($Q529,'Threshold Summary'!$Y:$Y,'Threshold Summary'!$K:$K,""),'Pokemon Editor'!$A:$A,'Pokemon Editor'!$H:$H,0)+31+FLOOR(XLOOKUP($Q529,'Threshold Summary'!$Y:$Y,'Threshold Summary'!$R:$R,"")/4))*XLOOKUP($Q529,'Threshold Summary'!$Y:$Y,'Threshold Summary'!$L:$L,""))/100)+5)*XLOOKUP(XLOOKUP($Q529,'Threshold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Editor'!$E:$E,1))),stab,IF(OR(mtype=XLOOKUP(XLOOKUP($Q529,'Threshold Summary'!$Y:$Y,'Threshold Summary'!$K:$K,""),'Pokemon Editor'!$A:$A,'Pokemon Editor'!$C:$C,""),mtype=XLOOKUP(XLOOKUP($Q529,'Threshold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Chart'!$B$1:$S$1,0)))),base,IF(OR(cat="Status",pow=0),0,FLOOR(FLOOR(FLOOR((2*XLOOKUP($Q529,'Threshold Summary'!$Y:$Y,'Threshold Summary'!$L:$L,"")/5+2)*pow*atk/def)/50)+2)),modifier,stab*eff,AVERAGE(ARRAYFORMULA(FLOOR(base*modifier*SEQUENCE(16,1,85,1)/100)))*MIN(1,acc/100)),0)</f>
        <v/>
      </c>
      <c r="N529" s="4">
        <f>IFERROR(LET(mtype,XLOOKUP($D529,'Move Editor'!$B:$B,'Move Editor'!$C:$C,""),cat,XLOOKUP($D529,'Move Editor'!$B:$B,'Move Editor'!$D:$D,""),pow,XLOOKUP($D529,'Move Editor'!$B:$B,'Move Editor'!$E:$E,0),acc,XLOOKUP($D529,'Move Editor'!$B:$B,'Move Editor'!$F:$F,100),atk,IF(cat="Physical",FLOOR((FLOOR(((2*XLOOKUP(XLOOKUP($Q529,'Threshold Summary'!$Y:$Y,'Threshold Summary'!$K:$K,""),'Pokemon Editor'!$A:$A,'Pokemon Editor'!$F:$F,0)+31+FLOOR(XLOOKUP($Q529,'Threshold Summary'!$Y:$Y,'Threshold Summary'!$P:$P,"")/4))*XLOOKUP($Q529,'Threshold Summary'!$Y:$Y,'Threshold Summary'!$L:$L,""))/100)+5)*XLOOKUP(XLOOKUP($Q529,'Threshold Summary'!$Y:$Y,'Threshold Summary'!$M:$M,""),'Nature Editor'!$A:$A,'Nature Editor'!$B:$B,1)),FLOOR((FLOOR(((2*XLOOKUP(XLOOKUP($Q529,'Threshold Summary'!$Y:$Y,'Threshold Summary'!$K:$K,""),'Pokemon Editor'!$A:$A,'Pokemon Editor'!$H:$H,0)+31+FLOOR(XLOOKUP($Q529,'Threshold Summary'!$Y:$Y,'Threshold Summary'!$R:$R,"")/4))*XLOOKUP($Q529,'Threshold Summary'!$Y:$Y,'Threshold Summary'!$L:$L,""))/100)+5)*XLOOKUP(XLOOKUP($Q529,'Threshold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Editor'!$E:$E,1))),stab,IF(OR(mtype=XLOOKUP(XLOOKUP($Q529,'Threshold Summary'!$Y:$Y,'Threshold Summary'!$K:$K,""),'Pokemon Editor'!$A:$A,'Pokemon Editor'!$C:$C,""),mtype=XLOOKUP(XLOOKUP($Q529,'Threshold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Chart'!$B$1:$S$1,0)))),base,IF(OR(cat="Status",pow=0),0,FLOOR(FLOOR(FLOOR((2*XLOOKUP($Q529,'Threshold Summary'!$Y:$Y,'Threshold Summary'!$L:$L,"")/5+2)*pow*atk/def)/50)+2)),modifier,stab*eff,AVERAGE(ARRAYFORMULA(FLOOR(base*modifier*SEQUENCE(16,1,85,1)/100)))/(FLOOR(((2*XLOOKUP('Boss Editor'!$C$4,'Pokemon Editor'!$A:$A,'Pokemon Editor'!$E:$E,0)+31+FLOOR('Boss Editor'!$G$4/4))*'Boss Editor'!$D$4)/100)+'Boss Editor'!$D$4+10)),0)</f>
        <v/>
      </c>
      <c r="O529" s="3">
        <f>IF(N529&gt;=1,"OHKO",IF(N529&gt;=0.5,"2HKO",IF(N529&gt;=0.333,"3HKO",IF(N529&gt;=0.25,"4HKO","5HKO+"))))</f>
        <v/>
      </c>
      <c r="P529" s="3" t="inlineStr">
        <is>
          <t>Live from editable databases</t>
        </is>
      </c>
      <c r="Q529" s="3" t="inlineStr">
        <is>
          <t>SPECIES_MINCCINO</t>
        </is>
      </c>
      <c r="R529" s="3" t="n">
        <v>16</v>
      </c>
    </row>
    <row r="530">
      <c r="A530" s="3">
        <f>XLOOKUP($Q530,'Threshold Summary'!$Y:$Y,'Threshold Summary'!$A:$A,"")</f>
        <v/>
      </c>
      <c r="B530" s="3">
        <f>XLOOKUP($Q530,'Threshold Summary'!$Y:$Y,'Threshold Summary'!$M:$M,"")</f>
        <v/>
      </c>
      <c r="C530" s="3">
        <f>XLOOKUP($Q530,'Threshold Summary'!$Y:$Y,'Threshold Summary'!$N:$N,"")</f>
        <v/>
      </c>
      <c r="D530" s="3">
        <f>IFERROR(INDEX(FILTER('Learnset Editor'!$D$2:$D,'Learnset Editor'!$A$2:$A=XLOOKUP($Q530,'Threshold Summary'!$Y:$Y,'Threshold Summary'!$K:$K,""),'Learnset Editor'!$C$2:$C&lt;=XLOOKUP($Q530,'Threshold Summary'!$Y:$Y,'Threshold Summary'!$L:$L,"")),$R530),"")</f>
        <v/>
      </c>
      <c r="E530" s="3">
        <f>XLOOKUP(D530,'Move Editor'!$B:$B,'Move Editor'!$C:$C,"")</f>
        <v/>
      </c>
      <c r="F530" s="3">
        <f>XLOOKUP(D530,'Move Editor'!$B:$B,'Move Editor'!$D:$D,"")</f>
        <v/>
      </c>
      <c r="G530" s="3">
        <f>XLOOKUP(D530,'Move Editor'!$B:$B,'Move Editor'!$E:$E,0)</f>
        <v/>
      </c>
      <c r="H530" s="3">
        <f>XLOOKUP(D530,'Move Editor'!$B:$B,'Move Editor'!$F:$F,0)</f>
        <v/>
      </c>
      <c r="I530" s="3">
        <f>(INDEX('Type Chart'!$B:$S,MATCH(E530,'Type Chart'!$A:$A,0),MATCH(XLOOKUP('Boss Editor'!$C$4,'Pokemon Editor'!$A:$A,'Pokemon Editor'!$C:$C,""),'Type Chart'!$B$1:$S$1,0))*IF(XLOOKUP('Boss Editor'!$C$4,'Pokemon Editor'!$A:$A,'Pokemon Editor'!$D:$D,"")="",1,INDEX('Type Chart'!$B:$S,MATCH(E530,'Type Chart'!$A:$A,0),MATCH(XLOOKUP('Boss Editor'!$C$4,'Pokemon Editor'!$A:$A,'Pokemon Editor'!$D:$D,""),'Type Chart'!$B$1:$S$1,0))))</f>
        <v/>
      </c>
      <c r="J530" s="3">
        <f>IFERROR(LET(mtype,XLOOKUP($D530,'Move Editor'!$B:$B,'Move Editor'!$C:$C,""),cat,XLOOKUP($D530,'Move Editor'!$B:$B,'Move Editor'!$D:$D,""),pow,XLOOKUP($D530,'Move Editor'!$B:$B,'Move Editor'!$E:$E,0),acc,XLOOKUP($D530,'Move Editor'!$B:$B,'Move Editor'!$F:$F,100),atk,IF(cat="Physical",FLOOR((FLOOR(((2*XLOOKUP(XLOOKUP($Q530,'Threshold Summary'!$Y:$Y,'Threshold Summary'!$K:$K,""),'Pokemon Editor'!$A:$A,'Pokemon Editor'!$F:$F,0)+31+FLOOR(XLOOKUP($Q530,'Threshold Summary'!$Y:$Y,'Threshold Summary'!$P:$P,"")/4))*XLOOKUP($Q530,'Threshold Summary'!$Y:$Y,'Threshold Summary'!$L:$L,""))/100)+5)*XLOOKUP(XLOOKUP($Q530,'Threshold Summary'!$Y:$Y,'Threshold Summary'!$M:$M,""),'Nature Editor'!$A:$A,'Nature Editor'!$B:$B,1)),FLOOR((FLOOR(((2*XLOOKUP(XLOOKUP($Q530,'Threshold Summary'!$Y:$Y,'Threshold Summary'!$K:$K,""),'Pokemon Editor'!$A:$A,'Pokemon Editor'!$H:$H,0)+31+FLOOR(XLOOKUP($Q530,'Threshold Summary'!$Y:$Y,'Threshold Summary'!$R:$R,"")/4))*XLOOKUP($Q530,'Threshold Summary'!$Y:$Y,'Threshold Summary'!$L:$L,""))/100)+5)*XLOOKUP(XLOOKUP($Q530,'Threshold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Editor'!$E:$E,1))),stab,IF(OR(mtype=XLOOKUP(XLOOKUP($Q530,'Threshold Summary'!$Y:$Y,'Threshold Summary'!$K:$K,""),'Pokemon Editor'!$A:$A,'Pokemon Editor'!$C:$C,""),mtype=XLOOKUP(XLOOKUP($Q530,'Threshold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Chart'!$B$1:$S$1,0)))),base,IF(OR(cat="Status",pow=0),0,FLOOR(FLOOR(FLOOR((2*XLOOKUP($Q530,'Threshold Summary'!$Y:$Y,'Threshold Summary'!$L:$L,"")/5+2)*pow*atk/def)/50)+2)),modifier,stab*eff,FLOOR(base*modifier*0.85)),0)</f>
        <v/>
      </c>
      <c r="K530" s="3">
        <f>IFERROR(LET(mtype,XLOOKUP($D530,'Move Editor'!$B:$B,'Move Editor'!$C:$C,""),cat,XLOOKUP($D530,'Move Editor'!$B:$B,'Move Editor'!$D:$D,""),pow,XLOOKUP($D530,'Move Editor'!$B:$B,'Move Editor'!$E:$E,0),acc,XLOOKUP($D530,'Move Editor'!$B:$B,'Move Editor'!$F:$F,100),atk,IF(cat="Physical",FLOOR((FLOOR(((2*XLOOKUP(XLOOKUP($Q530,'Threshold Summary'!$Y:$Y,'Threshold Summary'!$K:$K,""),'Pokemon Editor'!$A:$A,'Pokemon Editor'!$F:$F,0)+31+FLOOR(XLOOKUP($Q530,'Threshold Summary'!$Y:$Y,'Threshold Summary'!$P:$P,"")/4))*XLOOKUP($Q530,'Threshold Summary'!$Y:$Y,'Threshold Summary'!$L:$L,""))/100)+5)*XLOOKUP(XLOOKUP($Q530,'Threshold Summary'!$Y:$Y,'Threshold Summary'!$M:$M,""),'Nature Editor'!$A:$A,'Nature Editor'!$B:$B,1)),FLOOR((FLOOR(((2*XLOOKUP(XLOOKUP($Q530,'Threshold Summary'!$Y:$Y,'Threshold Summary'!$K:$K,""),'Pokemon Editor'!$A:$A,'Pokemon Editor'!$H:$H,0)+31+FLOOR(XLOOKUP($Q530,'Threshold Summary'!$Y:$Y,'Threshold Summary'!$R:$R,"")/4))*XLOOKUP($Q530,'Threshold Summary'!$Y:$Y,'Threshold Summary'!$L:$L,""))/100)+5)*XLOOKUP(XLOOKUP($Q530,'Threshold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Editor'!$E:$E,1))),stab,IF(OR(mtype=XLOOKUP(XLOOKUP($Q530,'Threshold Summary'!$Y:$Y,'Threshold Summary'!$K:$K,""),'Pokemon Editor'!$A:$A,'Pokemon Editor'!$C:$C,""),mtype=XLOOKUP(XLOOKUP($Q530,'Threshold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Chart'!$B$1:$S$1,0)))),base,IF(OR(cat="Status",pow=0),0,FLOOR(FLOOR(FLOOR((2*XLOOKUP($Q530,'Threshold Summary'!$Y:$Y,'Threshold Summary'!$L:$L,"")/5+2)*pow*atk/def)/50)+2)),modifier,stab*eff,FLOOR(base*modifier)),0)</f>
        <v/>
      </c>
      <c r="L530" s="3">
        <f>IFERROR(LET(mtype,XLOOKUP($D530,'Move Editor'!$B:$B,'Move Editor'!$C:$C,""),cat,XLOOKUP($D530,'Move Editor'!$B:$B,'Move Editor'!$D:$D,""),pow,XLOOKUP($D530,'Move Editor'!$B:$B,'Move Editor'!$E:$E,0),acc,XLOOKUP($D530,'Move Editor'!$B:$B,'Move Editor'!$F:$F,100),atk,IF(cat="Physical",FLOOR((FLOOR(((2*XLOOKUP(XLOOKUP($Q530,'Threshold Summary'!$Y:$Y,'Threshold Summary'!$K:$K,""),'Pokemon Editor'!$A:$A,'Pokemon Editor'!$F:$F,0)+31+FLOOR(XLOOKUP($Q530,'Threshold Summary'!$Y:$Y,'Threshold Summary'!$P:$P,"")/4))*XLOOKUP($Q530,'Threshold Summary'!$Y:$Y,'Threshold Summary'!$L:$L,""))/100)+5)*XLOOKUP(XLOOKUP($Q530,'Threshold Summary'!$Y:$Y,'Threshold Summary'!$M:$M,""),'Nature Editor'!$A:$A,'Nature Editor'!$B:$B,1)),FLOOR((FLOOR(((2*XLOOKUP(XLOOKUP($Q530,'Threshold Summary'!$Y:$Y,'Threshold Summary'!$K:$K,""),'Pokemon Editor'!$A:$A,'Pokemon Editor'!$H:$H,0)+31+FLOOR(XLOOKUP($Q530,'Threshold Summary'!$Y:$Y,'Threshold Summary'!$R:$R,"")/4))*XLOOKUP($Q530,'Threshold Summary'!$Y:$Y,'Threshold Summary'!$L:$L,""))/100)+5)*XLOOKUP(XLOOKUP($Q530,'Threshold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Editor'!$E:$E,1))),stab,IF(OR(mtype=XLOOKUP(XLOOKUP($Q530,'Threshold Summary'!$Y:$Y,'Threshold Summary'!$K:$K,""),'Pokemon Editor'!$A:$A,'Pokemon Editor'!$C:$C,""),mtype=XLOOKUP(XLOOKUP($Q530,'Threshold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Chart'!$B$1:$S$1,0)))),base,IF(OR(cat="Status",pow=0),0,FLOOR(FLOOR(FLOOR((2*XLOOKUP($Q530,'Threshold Summary'!$Y:$Y,'Threshold Summary'!$L:$L,"")/5+2)*pow*atk/def)/50)+2)),modifier,stab*eff,AVERAGE(ARRAYFORMULA(FLOOR(base*modifier*SEQUENCE(16,1,85,1)/100)))),0)</f>
        <v/>
      </c>
      <c r="M530" s="3">
        <f>IFERROR(LET(mtype,XLOOKUP($D530,'Move Editor'!$B:$B,'Move Editor'!$C:$C,""),cat,XLOOKUP($D530,'Move Editor'!$B:$B,'Move Editor'!$D:$D,""),pow,XLOOKUP($D530,'Move Editor'!$B:$B,'Move Editor'!$E:$E,0),acc,XLOOKUP($D530,'Move Editor'!$B:$B,'Move Editor'!$F:$F,100),atk,IF(cat="Physical",FLOOR((FLOOR(((2*XLOOKUP(XLOOKUP($Q530,'Threshold Summary'!$Y:$Y,'Threshold Summary'!$K:$K,""),'Pokemon Editor'!$A:$A,'Pokemon Editor'!$F:$F,0)+31+FLOOR(XLOOKUP($Q530,'Threshold Summary'!$Y:$Y,'Threshold Summary'!$P:$P,"")/4))*XLOOKUP($Q530,'Threshold Summary'!$Y:$Y,'Threshold Summary'!$L:$L,""))/100)+5)*XLOOKUP(XLOOKUP($Q530,'Threshold Summary'!$Y:$Y,'Threshold Summary'!$M:$M,""),'Nature Editor'!$A:$A,'Nature Editor'!$B:$B,1)),FLOOR((FLOOR(((2*XLOOKUP(XLOOKUP($Q530,'Threshold Summary'!$Y:$Y,'Threshold Summary'!$K:$K,""),'Pokemon Editor'!$A:$A,'Pokemon Editor'!$H:$H,0)+31+FLOOR(XLOOKUP($Q530,'Threshold Summary'!$Y:$Y,'Threshold Summary'!$R:$R,"")/4))*XLOOKUP($Q530,'Threshold Summary'!$Y:$Y,'Threshold Summary'!$L:$L,""))/100)+5)*XLOOKUP(XLOOKUP($Q530,'Threshold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Editor'!$E:$E,1))),stab,IF(OR(mtype=XLOOKUP(XLOOKUP($Q530,'Threshold Summary'!$Y:$Y,'Threshold Summary'!$K:$K,""),'Pokemon Editor'!$A:$A,'Pokemon Editor'!$C:$C,""),mtype=XLOOKUP(XLOOKUP($Q530,'Threshold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Chart'!$B$1:$S$1,0)))),base,IF(OR(cat="Status",pow=0),0,FLOOR(FLOOR(FLOOR((2*XLOOKUP($Q530,'Threshold Summary'!$Y:$Y,'Threshold Summary'!$L:$L,"")/5+2)*pow*atk/def)/50)+2)),modifier,stab*eff,AVERAGE(ARRAYFORMULA(FLOOR(base*modifier*SEQUENCE(16,1,85,1)/100)))*MIN(1,acc/100)),0)</f>
        <v/>
      </c>
      <c r="N530" s="4">
        <f>IFERROR(LET(mtype,XLOOKUP($D530,'Move Editor'!$B:$B,'Move Editor'!$C:$C,""),cat,XLOOKUP($D530,'Move Editor'!$B:$B,'Move Editor'!$D:$D,""),pow,XLOOKUP($D530,'Move Editor'!$B:$B,'Move Editor'!$E:$E,0),acc,XLOOKUP($D530,'Move Editor'!$B:$B,'Move Editor'!$F:$F,100),atk,IF(cat="Physical",FLOOR((FLOOR(((2*XLOOKUP(XLOOKUP($Q530,'Threshold Summary'!$Y:$Y,'Threshold Summary'!$K:$K,""),'Pokemon Editor'!$A:$A,'Pokemon Editor'!$F:$F,0)+31+FLOOR(XLOOKUP($Q530,'Threshold Summary'!$Y:$Y,'Threshold Summary'!$P:$P,"")/4))*XLOOKUP($Q530,'Threshold Summary'!$Y:$Y,'Threshold Summary'!$L:$L,""))/100)+5)*XLOOKUP(XLOOKUP($Q530,'Threshold Summary'!$Y:$Y,'Threshold Summary'!$M:$M,""),'Nature Editor'!$A:$A,'Nature Editor'!$B:$B,1)),FLOOR((FLOOR(((2*XLOOKUP(XLOOKUP($Q530,'Threshold Summary'!$Y:$Y,'Threshold Summary'!$K:$K,""),'Pokemon Editor'!$A:$A,'Pokemon Editor'!$H:$H,0)+31+FLOOR(XLOOKUP($Q530,'Threshold Summary'!$Y:$Y,'Threshold Summary'!$R:$R,"")/4))*XLOOKUP($Q530,'Threshold Summary'!$Y:$Y,'Threshold Summary'!$L:$L,""))/100)+5)*XLOOKUP(XLOOKUP($Q530,'Threshold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Editor'!$E:$E,1))),stab,IF(OR(mtype=XLOOKUP(XLOOKUP($Q530,'Threshold Summary'!$Y:$Y,'Threshold Summary'!$K:$K,""),'Pokemon Editor'!$A:$A,'Pokemon Editor'!$C:$C,""),mtype=XLOOKUP(XLOOKUP($Q530,'Threshold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Chart'!$B$1:$S$1,0)))),base,IF(OR(cat="Status",pow=0),0,FLOOR(FLOOR(FLOOR((2*XLOOKUP($Q530,'Threshold Summary'!$Y:$Y,'Threshold Summary'!$L:$L,"")/5+2)*pow*atk/def)/50)+2)),modifier,stab*eff,AVERAGE(ARRAYFORMULA(FLOOR(base*modifier*SEQUENCE(16,1,85,1)/100)))/(FLOOR(((2*XLOOKUP('Boss Editor'!$C$4,'Pokemon Editor'!$A:$A,'Pokemon Editor'!$E:$E,0)+31+FLOOR('Boss Editor'!$G$4/4))*'Boss Editor'!$D$4)/100)+'Boss Editor'!$D$4+10)),0)</f>
        <v/>
      </c>
      <c r="O530" s="3">
        <f>IF(N530&gt;=1,"OHKO",IF(N530&gt;=0.5,"2HKO",IF(N530&gt;=0.333,"3HKO",IF(N530&gt;=0.25,"4HKO","5HKO+"))))</f>
        <v/>
      </c>
      <c r="P530" s="3" t="inlineStr">
        <is>
          <t>Live from editable databases</t>
        </is>
      </c>
      <c r="Q530" s="3" t="inlineStr">
        <is>
          <t>SPECIES_MINCCINO</t>
        </is>
      </c>
      <c r="R530" s="3" t="n">
        <v>17</v>
      </c>
    </row>
    <row r="531">
      <c r="A531" s="3">
        <f>XLOOKUP($Q531,'Threshold Summary'!$Y:$Y,'Threshold Summary'!$A:$A,"")</f>
        <v/>
      </c>
      <c r="B531" s="3">
        <f>XLOOKUP($Q531,'Threshold Summary'!$Y:$Y,'Threshold Summary'!$M:$M,"")</f>
        <v/>
      </c>
      <c r="C531" s="3">
        <f>XLOOKUP($Q531,'Threshold Summary'!$Y:$Y,'Threshold Summary'!$N:$N,"")</f>
        <v/>
      </c>
      <c r="D531" s="3">
        <f>IFERROR(INDEX(FILTER('Learnset Editor'!$D$2:$D,'Learnset Editor'!$A$2:$A=XLOOKUP($Q531,'Threshold Summary'!$Y:$Y,'Threshold Summary'!$K:$K,""),'Learnset Editor'!$C$2:$C&lt;=XLOOKUP($Q531,'Threshold Summary'!$Y:$Y,'Threshold Summary'!$L:$L,"")),$R531),"")</f>
        <v/>
      </c>
      <c r="E531" s="3">
        <f>XLOOKUP(D531,'Move Editor'!$B:$B,'Move Editor'!$C:$C,"")</f>
        <v/>
      </c>
      <c r="F531" s="3">
        <f>XLOOKUP(D531,'Move Editor'!$B:$B,'Move Editor'!$D:$D,"")</f>
        <v/>
      </c>
      <c r="G531" s="3">
        <f>XLOOKUP(D531,'Move Editor'!$B:$B,'Move Editor'!$E:$E,0)</f>
        <v/>
      </c>
      <c r="H531" s="3">
        <f>XLOOKUP(D531,'Move Editor'!$B:$B,'Move Editor'!$F:$F,0)</f>
        <v/>
      </c>
      <c r="I531" s="3">
        <f>(INDEX('Type Chart'!$B:$S,MATCH(E531,'Type Chart'!$A:$A,0),MATCH(XLOOKUP('Boss Editor'!$C$4,'Pokemon Editor'!$A:$A,'Pokemon Editor'!$C:$C,""),'Type Chart'!$B$1:$S$1,0))*IF(XLOOKUP('Boss Editor'!$C$4,'Pokemon Editor'!$A:$A,'Pokemon Editor'!$D:$D,"")="",1,INDEX('Type Chart'!$B:$S,MATCH(E531,'Type Chart'!$A:$A,0),MATCH(XLOOKUP('Boss Editor'!$C$4,'Pokemon Editor'!$A:$A,'Pokemon Editor'!$D:$D,""),'Type Chart'!$B$1:$S$1,0))))</f>
        <v/>
      </c>
      <c r="J531" s="3">
        <f>IFERROR(LET(mtype,XLOOKUP($D531,'Move Editor'!$B:$B,'Move Editor'!$C:$C,""),cat,XLOOKUP($D531,'Move Editor'!$B:$B,'Move Editor'!$D:$D,""),pow,XLOOKUP($D531,'Move Editor'!$B:$B,'Move Editor'!$E:$E,0),acc,XLOOKUP($D531,'Move Editor'!$B:$B,'Move Editor'!$F:$F,100),atk,IF(cat="Physical",FLOOR((FLOOR(((2*XLOOKUP(XLOOKUP($Q531,'Threshold Summary'!$Y:$Y,'Threshold Summary'!$K:$K,""),'Pokemon Editor'!$A:$A,'Pokemon Editor'!$F:$F,0)+31+FLOOR(XLOOKUP($Q531,'Threshold Summary'!$Y:$Y,'Threshold Summary'!$P:$P,"")/4))*XLOOKUP($Q531,'Threshold Summary'!$Y:$Y,'Threshold Summary'!$L:$L,""))/100)+5)*XLOOKUP(XLOOKUP($Q531,'Threshold Summary'!$Y:$Y,'Threshold Summary'!$M:$M,""),'Nature Editor'!$A:$A,'Nature Editor'!$B:$B,1)),FLOOR((FLOOR(((2*XLOOKUP(XLOOKUP($Q531,'Threshold Summary'!$Y:$Y,'Threshold Summary'!$K:$K,""),'Pokemon Editor'!$A:$A,'Pokemon Editor'!$H:$H,0)+31+FLOOR(XLOOKUP($Q531,'Threshold Summary'!$Y:$Y,'Threshold Summary'!$R:$R,"")/4))*XLOOKUP($Q531,'Threshold Summary'!$Y:$Y,'Threshold Summary'!$L:$L,""))/100)+5)*XLOOKUP(XLOOKUP($Q531,'Threshold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Editor'!$E:$E,1))),stab,IF(OR(mtype=XLOOKUP(XLOOKUP($Q531,'Threshold Summary'!$Y:$Y,'Threshold Summary'!$K:$K,""),'Pokemon Editor'!$A:$A,'Pokemon Editor'!$C:$C,""),mtype=XLOOKUP(XLOOKUP($Q531,'Threshold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Chart'!$B$1:$S$1,0)))),base,IF(OR(cat="Status",pow=0),0,FLOOR(FLOOR(FLOOR((2*XLOOKUP($Q531,'Threshold Summary'!$Y:$Y,'Threshold Summary'!$L:$L,"")/5+2)*pow*atk/def)/50)+2)),modifier,stab*eff,FLOOR(base*modifier*0.85)),0)</f>
        <v/>
      </c>
      <c r="K531" s="3">
        <f>IFERROR(LET(mtype,XLOOKUP($D531,'Move Editor'!$B:$B,'Move Editor'!$C:$C,""),cat,XLOOKUP($D531,'Move Editor'!$B:$B,'Move Editor'!$D:$D,""),pow,XLOOKUP($D531,'Move Editor'!$B:$B,'Move Editor'!$E:$E,0),acc,XLOOKUP($D531,'Move Editor'!$B:$B,'Move Editor'!$F:$F,100),atk,IF(cat="Physical",FLOOR((FLOOR(((2*XLOOKUP(XLOOKUP($Q531,'Threshold Summary'!$Y:$Y,'Threshold Summary'!$K:$K,""),'Pokemon Editor'!$A:$A,'Pokemon Editor'!$F:$F,0)+31+FLOOR(XLOOKUP($Q531,'Threshold Summary'!$Y:$Y,'Threshold Summary'!$P:$P,"")/4))*XLOOKUP($Q531,'Threshold Summary'!$Y:$Y,'Threshold Summary'!$L:$L,""))/100)+5)*XLOOKUP(XLOOKUP($Q531,'Threshold Summary'!$Y:$Y,'Threshold Summary'!$M:$M,""),'Nature Editor'!$A:$A,'Nature Editor'!$B:$B,1)),FLOOR((FLOOR(((2*XLOOKUP(XLOOKUP($Q531,'Threshold Summary'!$Y:$Y,'Threshold Summary'!$K:$K,""),'Pokemon Editor'!$A:$A,'Pokemon Editor'!$H:$H,0)+31+FLOOR(XLOOKUP($Q531,'Threshold Summary'!$Y:$Y,'Threshold Summary'!$R:$R,"")/4))*XLOOKUP($Q531,'Threshold Summary'!$Y:$Y,'Threshold Summary'!$L:$L,""))/100)+5)*XLOOKUP(XLOOKUP($Q531,'Threshold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Editor'!$E:$E,1))),stab,IF(OR(mtype=XLOOKUP(XLOOKUP($Q531,'Threshold Summary'!$Y:$Y,'Threshold Summary'!$K:$K,""),'Pokemon Editor'!$A:$A,'Pokemon Editor'!$C:$C,""),mtype=XLOOKUP(XLOOKUP($Q531,'Threshold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Chart'!$B$1:$S$1,0)))),base,IF(OR(cat="Status",pow=0),0,FLOOR(FLOOR(FLOOR((2*XLOOKUP($Q531,'Threshold Summary'!$Y:$Y,'Threshold Summary'!$L:$L,"")/5+2)*pow*atk/def)/50)+2)),modifier,stab*eff,FLOOR(base*modifier)),0)</f>
        <v/>
      </c>
      <c r="L531" s="3">
        <f>IFERROR(LET(mtype,XLOOKUP($D531,'Move Editor'!$B:$B,'Move Editor'!$C:$C,""),cat,XLOOKUP($D531,'Move Editor'!$B:$B,'Move Editor'!$D:$D,""),pow,XLOOKUP($D531,'Move Editor'!$B:$B,'Move Editor'!$E:$E,0),acc,XLOOKUP($D531,'Move Editor'!$B:$B,'Move Editor'!$F:$F,100),atk,IF(cat="Physical",FLOOR((FLOOR(((2*XLOOKUP(XLOOKUP($Q531,'Threshold Summary'!$Y:$Y,'Threshold Summary'!$K:$K,""),'Pokemon Editor'!$A:$A,'Pokemon Editor'!$F:$F,0)+31+FLOOR(XLOOKUP($Q531,'Threshold Summary'!$Y:$Y,'Threshold Summary'!$P:$P,"")/4))*XLOOKUP($Q531,'Threshold Summary'!$Y:$Y,'Threshold Summary'!$L:$L,""))/100)+5)*XLOOKUP(XLOOKUP($Q531,'Threshold Summary'!$Y:$Y,'Threshold Summary'!$M:$M,""),'Nature Editor'!$A:$A,'Nature Editor'!$B:$B,1)),FLOOR((FLOOR(((2*XLOOKUP(XLOOKUP($Q531,'Threshold Summary'!$Y:$Y,'Threshold Summary'!$K:$K,""),'Pokemon Editor'!$A:$A,'Pokemon Editor'!$H:$H,0)+31+FLOOR(XLOOKUP($Q531,'Threshold Summary'!$Y:$Y,'Threshold Summary'!$R:$R,"")/4))*XLOOKUP($Q531,'Threshold Summary'!$Y:$Y,'Threshold Summary'!$L:$L,""))/100)+5)*XLOOKUP(XLOOKUP($Q531,'Threshold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Editor'!$E:$E,1))),stab,IF(OR(mtype=XLOOKUP(XLOOKUP($Q531,'Threshold Summary'!$Y:$Y,'Threshold Summary'!$K:$K,""),'Pokemon Editor'!$A:$A,'Pokemon Editor'!$C:$C,""),mtype=XLOOKUP(XLOOKUP($Q531,'Threshold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Chart'!$B$1:$S$1,0)))),base,IF(OR(cat="Status",pow=0),0,FLOOR(FLOOR(FLOOR((2*XLOOKUP($Q531,'Threshold Summary'!$Y:$Y,'Threshold Summary'!$L:$L,"")/5+2)*pow*atk/def)/50)+2)),modifier,stab*eff,AVERAGE(ARRAYFORMULA(FLOOR(base*modifier*SEQUENCE(16,1,85,1)/100)))),0)</f>
        <v/>
      </c>
      <c r="M531" s="3">
        <f>IFERROR(LET(mtype,XLOOKUP($D531,'Move Editor'!$B:$B,'Move Editor'!$C:$C,""),cat,XLOOKUP($D531,'Move Editor'!$B:$B,'Move Editor'!$D:$D,""),pow,XLOOKUP($D531,'Move Editor'!$B:$B,'Move Editor'!$E:$E,0),acc,XLOOKUP($D531,'Move Editor'!$B:$B,'Move Editor'!$F:$F,100),atk,IF(cat="Physical",FLOOR((FLOOR(((2*XLOOKUP(XLOOKUP($Q531,'Threshold Summary'!$Y:$Y,'Threshold Summary'!$K:$K,""),'Pokemon Editor'!$A:$A,'Pokemon Editor'!$F:$F,0)+31+FLOOR(XLOOKUP($Q531,'Threshold Summary'!$Y:$Y,'Threshold Summary'!$P:$P,"")/4))*XLOOKUP($Q531,'Threshold Summary'!$Y:$Y,'Threshold Summary'!$L:$L,""))/100)+5)*XLOOKUP(XLOOKUP($Q531,'Threshold Summary'!$Y:$Y,'Threshold Summary'!$M:$M,""),'Nature Editor'!$A:$A,'Nature Editor'!$B:$B,1)),FLOOR((FLOOR(((2*XLOOKUP(XLOOKUP($Q531,'Threshold Summary'!$Y:$Y,'Threshold Summary'!$K:$K,""),'Pokemon Editor'!$A:$A,'Pokemon Editor'!$H:$H,0)+31+FLOOR(XLOOKUP($Q531,'Threshold Summary'!$Y:$Y,'Threshold Summary'!$R:$R,"")/4))*XLOOKUP($Q531,'Threshold Summary'!$Y:$Y,'Threshold Summary'!$L:$L,""))/100)+5)*XLOOKUP(XLOOKUP($Q531,'Threshold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Editor'!$E:$E,1))),stab,IF(OR(mtype=XLOOKUP(XLOOKUP($Q531,'Threshold Summary'!$Y:$Y,'Threshold Summary'!$K:$K,""),'Pokemon Editor'!$A:$A,'Pokemon Editor'!$C:$C,""),mtype=XLOOKUP(XLOOKUP($Q531,'Threshold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Chart'!$B$1:$S$1,0)))),base,IF(OR(cat="Status",pow=0),0,FLOOR(FLOOR(FLOOR((2*XLOOKUP($Q531,'Threshold Summary'!$Y:$Y,'Threshold Summary'!$L:$L,"")/5+2)*pow*atk/def)/50)+2)),modifier,stab*eff,AVERAGE(ARRAYFORMULA(FLOOR(base*modifier*SEQUENCE(16,1,85,1)/100)))*MIN(1,acc/100)),0)</f>
        <v/>
      </c>
      <c r="N531" s="4">
        <f>IFERROR(LET(mtype,XLOOKUP($D531,'Move Editor'!$B:$B,'Move Editor'!$C:$C,""),cat,XLOOKUP($D531,'Move Editor'!$B:$B,'Move Editor'!$D:$D,""),pow,XLOOKUP($D531,'Move Editor'!$B:$B,'Move Editor'!$E:$E,0),acc,XLOOKUP($D531,'Move Editor'!$B:$B,'Move Editor'!$F:$F,100),atk,IF(cat="Physical",FLOOR((FLOOR(((2*XLOOKUP(XLOOKUP($Q531,'Threshold Summary'!$Y:$Y,'Threshold Summary'!$K:$K,""),'Pokemon Editor'!$A:$A,'Pokemon Editor'!$F:$F,0)+31+FLOOR(XLOOKUP($Q531,'Threshold Summary'!$Y:$Y,'Threshold Summary'!$P:$P,"")/4))*XLOOKUP($Q531,'Threshold Summary'!$Y:$Y,'Threshold Summary'!$L:$L,""))/100)+5)*XLOOKUP(XLOOKUP($Q531,'Threshold Summary'!$Y:$Y,'Threshold Summary'!$M:$M,""),'Nature Editor'!$A:$A,'Nature Editor'!$B:$B,1)),FLOOR((FLOOR(((2*XLOOKUP(XLOOKUP($Q531,'Threshold Summary'!$Y:$Y,'Threshold Summary'!$K:$K,""),'Pokemon Editor'!$A:$A,'Pokemon Editor'!$H:$H,0)+31+FLOOR(XLOOKUP($Q531,'Threshold Summary'!$Y:$Y,'Threshold Summary'!$R:$R,"")/4))*XLOOKUP($Q531,'Threshold Summary'!$Y:$Y,'Threshold Summary'!$L:$L,""))/100)+5)*XLOOKUP(XLOOKUP($Q531,'Threshold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Editor'!$E:$E,1))),stab,IF(OR(mtype=XLOOKUP(XLOOKUP($Q531,'Threshold Summary'!$Y:$Y,'Threshold Summary'!$K:$K,""),'Pokemon Editor'!$A:$A,'Pokemon Editor'!$C:$C,""),mtype=XLOOKUP(XLOOKUP($Q531,'Threshold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Chart'!$B$1:$S$1,0)))),base,IF(OR(cat="Status",pow=0),0,FLOOR(FLOOR(FLOOR((2*XLOOKUP($Q531,'Threshold Summary'!$Y:$Y,'Threshold Summary'!$L:$L,"")/5+2)*pow*atk/def)/50)+2)),modifier,stab*eff,AVERAGE(ARRAYFORMULA(FLOOR(base*modifier*SEQUENCE(16,1,85,1)/100)))/(FLOOR(((2*XLOOKUP('Boss Editor'!$C$4,'Pokemon Editor'!$A:$A,'Pokemon Editor'!$E:$E,0)+31+FLOOR('Boss Editor'!$G$4/4))*'Boss Editor'!$D$4)/100)+'Boss Editor'!$D$4+10)),0)</f>
        <v/>
      </c>
      <c r="O531" s="3">
        <f>IF(N531&gt;=1,"OHKO",IF(N531&gt;=0.5,"2HKO",IF(N531&gt;=0.333,"3HKO",IF(N531&gt;=0.25,"4HKO","5HKO+"))))</f>
        <v/>
      </c>
      <c r="P531" s="3" t="inlineStr">
        <is>
          <t>Live from editable databases</t>
        </is>
      </c>
      <c r="Q531" s="3" t="inlineStr">
        <is>
          <t>SPECIES_MINCCINO</t>
        </is>
      </c>
      <c r="R531" s="3" t="n">
        <v>18</v>
      </c>
    </row>
    <row r="532">
      <c r="A532" s="3">
        <f>XLOOKUP($Q532,'Threshold Summary'!$Y:$Y,'Threshold Summary'!$A:$A,"")</f>
        <v/>
      </c>
      <c r="B532" s="3">
        <f>XLOOKUP($Q532,'Threshold Summary'!$Y:$Y,'Threshold Summary'!$M:$M,"")</f>
        <v/>
      </c>
      <c r="C532" s="3">
        <f>XLOOKUP($Q532,'Threshold Summary'!$Y:$Y,'Threshold Summary'!$N:$N,"")</f>
        <v/>
      </c>
      <c r="D532" s="3">
        <f>IFERROR(INDEX(FILTER('Learnset Editor'!$D$2:$D,'Learnset Editor'!$A$2:$A=XLOOKUP($Q532,'Threshold Summary'!$Y:$Y,'Threshold Summary'!$K:$K,""),'Learnset Editor'!$C$2:$C&lt;=XLOOKUP($Q532,'Threshold Summary'!$Y:$Y,'Threshold Summary'!$L:$L,"")),$R532),"")</f>
        <v/>
      </c>
      <c r="E532" s="3">
        <f>XLOOKUP(D532,'Move Editor'!$B:$B,'Move Editor'!$C:$C,"")</f>
        <v/>
      </c>
      <c r="F532" s="3">
        <f>XLOOKUP(D532,'Move Editor'!$B:$B,'Move Editor'!$D:$D,"")</f>
        <v/>
      </c>
      <c r="G532" s="3">
        <f>XLOOKUP(D532,'Move Editor'!$B:$B,'Move Editor'!$E:$E,0)</f>
        <v/>
      </c>
      <c r="H532" s="3">
        <f>XLOOKUP(D532,'Move Editor'!$B:$B,'Move Editor'!$F:$F,0)</f>
        <v/>
      </c>
      <c r="I532" s="3">
        <f>(INDEX('Type Chart'!$B:$S,MATCH(E532,'Type Chart'!$A:$A,0),MATCH(XLOOKUP('Boss Editor'!$C$4,'Pokemon Editor'!$A:$A,'Pokemon Editor'!$C:$C,""),'Type Chart'!$B$1:$S$1,0))*IF(XLOOKUP('Boss Editor'!$C$4,'Pokemon Editor'!$A:$A,'Pokemon Editor'!$D:$D,"")="",1,INDEX('Type Chart'!$B:$S,MATCH(E532,'Type Chart'!$A:$A,0),MATCH(XLOOKUP('Boss Editor'!$C$4,'Pokemon Editor'!$A:$A,'Pokemon Editor'!$D:$D,""),'Type Chart'!$B$1:$S$1,0))))</f>
        <v/>
      </c>
      <c r="J532" s="3">
        <f>IFERROR(LET(mtype,XLOOKUP($D532,'Move Editor'!$B:$B,'Move Editor'!$C:$C,""),cat,XLOOKUP($D532,'Move Editor'!$B:$B,'Move Editor'!$D:$D,""),pow,XLOOKUP($D532,'Move Editor'!$B:$B,'Move Editor'!$E:$E,0),acc,XLOOKUP($D532,'Move Editor'!$B:$B,'Move Editor'!$F:$F,100),atk,IF(cat="Physical",FLOOR((FLOOR(((2*XLOOKUP(XLOOKUP($Q532,'Threshold Summary'!$Y:$Y,'Threshold Summary'!$K:$K,""),'Pokemon Editor'!$A:$A,'Pokemon Editor'!$F:$F,0)+31+FLOOR(XLOOKUP($Q532,'Threshold Summary'!$Y:$Y,'Threshold Summary'!$P:$P,"")/4))*XLOOKUP($Q532,'Threshold Summary'!$Y:$Y,'Threshold Summary'!$L:$L,""))/100)+5)*XLOOKUP(XLOOKUP($Q532,'Threshold Summary'!$Y:$Y,'Threshold Summary'!$M:$M,""),'Nature Editor'!$A:$A,'Nature Editor'!$B:$B,1)),FLOOR((FLOOR(((2*XLOOKUP(XLOOKUP($Q532,'Threshold Summary'!$Y:$Y,'Threshold Summary'!$K:$K,""),'Pokemon Editor'!$A:$A,'Pokemon Editor'!$H:$H,0)+31+FLOOR(XLOOKUP($Q532,'Threshold Summary'!$Y:$Y,'Threshold Summary'!$R:$R,"")/4))*XLOOKUP($Q532,'Threshold Summary'!$Y:$Y,'Threshold Summary'!$L:$L,""))/100)+5)*XLOOKUP(XLOOKUP($Q532,'Threshold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Editor'!$E:$E,1))),stab,IF(OR(mtype=XLOOKUP(XLOOKUP($Q532,'Threshold Summary'!$Y:$Y,'Threshold Summary'!$K:$K,""),'Pokemon Editor'!$A:$A,'Pokemon Editor'!$C:$C,""),mtype=XLOOKUP(XLOOKUP($Q532,'Threshold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Chart'!$B$1:$S$1,0)))),base,IF(OR(cat="Status",pow=0),0,FLOOR(FLOOR(FLOOR((2*XLOOKUP($Q532,'Threshold Summary'!$Y:$Y,'Threshold Summary'!$L:$L,"")/5+2)*pow*atk/def)/50)+2)),modifier,stab*eff,FLOOR(base*modifier*0.85)),0)</f>
        <v/>
      </c>
      <c r="K532" s="3">
        <f>IFERROR(LET(mtype,XLOOKUP($D532,'Move Editor'!$B:$B,'Move Editor'!$C:$C,""),cat,XLOOKUP($D532,'Move Editor'!$B:$B,'Move Editor'!$D:$D,""),pow,XLOOKUP($D532,'Move Editor'!$B:$B,'Move Editor'!$E:$E,0),acc,XLOOKUP($D532,'Move Editor'!$B:$B,'Move Editor'!$F:$F,100),atk,IF(cat="Physical",FLOOR((FLOOR(((2*XLOOKUP(XLOOKUP($Q532,'Threshold Summary'!$Y:$Y,'Threshold Summary'!$K:$K,""),'Pokemon Editor'!$A:$A,'Pokemon Editor'!$F:$F,0)+31+FLOOR(XLOOKUP($Q532,'Threshold Summary'!$Y:$Y,'Threshold Summary'!$P:$P,"")/4))*XLOOKUP($Q532,'Threshold Summary'!$Y:$Y,'Threshold Summary'!$L:$L,""))/100)+5)*XLOOKUP(XLOOKUP($Q532,'Threshold Summary'!$Y:$Y,'Threshold Summary'!$M:$M,""),'Nature Editor'!$A:$A,'Nature Editor'!$B:$B,1)),FLOOR((FLOOR(((2*XLOOKUP(XLOOKUP($Q532,'Threshold Summary'!$Y:$Y,'Threshold Summary'!$K:$K,""),'Pokemon Editor'!$A:$A,'Pokemon Editor'!$H:$H,0)+31+FLOOR(XLOOKUP($Q532,'Threshold Summary'!$Y:$Y,'Threshold Summary'!$R:$R,"")/4))*XLOOKUP($Q532,'Threshold Summary'!$Y:$Y,'Threshold Summary'!$L:$L,""))/100)+5)*XLOOKUP(XLOOKUP($Q532,'Threshold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Editor'!$E:$E,1))),stab,IF(OR(mtype=XLOOKUP(XLOOKUP($Q532,'Threshold Summary'!$Y:$Y,'Threshold Summary'!$K:$K,""),'Pokemon Editor'!$A:$A,'Pokemon Editor'!$C:$C,""),mtype=XLOOKUP(XLOOKUP($Q532,'Threshold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Chart'!$B$1:$S$1,0)))),base,IF(OR(cat="Status",pow=0),0,FLOOR(FLOOR(FLOOR((2*XLOOKUP($Q532,'Threshold Summary'!$Y:$Y,'Threshold Summary'!$L:$L,"")/5+2)*pow*atk/def)/50)+2)),modifier,stab*eff,FLOOR(base*modifier)),0)</f>
        <v/>
      </c>
      <c r="L532" s="3">
        <f>IFERROR(LET(mtype,XLOOKUP($D532,'Move Editor'!$B:$B,'Move Editor'!$C:$C,""),cat,XLOOKUP($D532,'Move Editor'!$B:$B,'Move Editor'!$D:$D,""),pow,XLOOKUP($D532,'Move Editor'!$B:$B,'Move Editor'!$E:$E,0),acc,XLOOKUP($D532,'Move Editor'!$B:$B,'Move Editor'!$F:$F,100),atk,IF(cat="Physical",FLOOR((FLOOR(((2*XLOOKUP(XLOOKUP($Q532,'Threshold Summary'!$Y:$Y,'Threshold Summary'!$K:$K,""),'Pokemon Editor'!$A:$A,'Pokemon Editor'!$F:$F,0)+31+FLOOR(XLOOKUP($Q532,'Threshold Summary'!$Y:$Y,'Threshold Summary'!$P:$P,"")/4))*XLOOKUP($Q532,'Threshold Summary'!$Y:$Y,'Threshold Summary'!$L:$L,""))/100)+5)*XLOOKUP(XLOOKUP($Q532,'Threshold Summary'!$Y:$Y,'Threshold Summary'!$M:$M,""),'Nature Editor'!$A:$A,'Nature Editor'!$B:$B,1)),FLOOR((FLOOR(((2*XLOOKUP(XLOOKUP($Q532,'Threshold Summary'!$Y:$Y,'Threshold Summary'!$K:$K,""),'Pokemon Editor'!$A:$A,'Pokemon Editor'!$H:$H,0)+31+FLOOR(XLOOKUP($Q532,'Threshold Summary'!$Y:$Y,'Threshold Summary'!$R:$R,"")/4))*XLOOKUP($Q532,'Threshold Summary'!$Y:$Y,'Threshold Summary'!$L:$L,""))/100)+5)*XLOOKUP(XLOOKUP($Q532,'Threshold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Editor'!$E:$E,1))),stab,IF(OR(mtype=XLOOKUP(XLOOKUP($Q532,'Threshold Summary'!$Y:$Y,'Threshold Summary'!$K:$K,""),'Pokemon Editor'!$A:$A,'Pokemon Editor'!$C:$C,""),mtype=XLOOKUP(XLOOKUP($Q532,'Threshold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Chart'!$B$1:$S$1,0)))),base,IF(OR(cat="Status",pow=0),0,FLOOR(FLOOR(FLOOR((2*XLOOKUP($Q532,'Threshold Summary'!$Y:$Y,'Threshold Summary'!$L:$L,"")/5+2)*pow*atk/def)/50)+2)),modifier,stab*eff,AVERAGE(ARRAYFORMULA(FLOOR(base*modifier*SEQUENCE(16,1,85,1)/100)))),0)</f>
        <v/>
      </c>
      <c r="M532" s="3">
        <f>IFERROR(LET(mtype,XLOOKUP($D532,'Move Editor'!$B:$B,'Move Editor'!$C:$C,""),cat,XLOOKUP($D532,'Move Editor'!$B:$B,'Move Editor'!$D:$D,""),pow,XLOOKUP($D532,'Move Editor'!$B:$B,'Move Editor'!$E:$E,0),acc,XLOOKUP($D532,'Move Editor'!$B:$B,'Move Editor'!$F:$F,100),atk,IF(cat="Physical",FLOOR((FLOOR(((2*XLOOKUP(XLOOKUP($Q532,'Threshold Summary'!$Y:$Y,'Threshold Summary'!$K:$K,""),'Pokemon Editor'!$A:$A,'Pokemon Editor'!$F:$F,0)+31+FLOOR(XLOOKUP($Q532,'Threshold Summary'!$Y:$Y,'Threshold Summary'!$P:$P,"")/4))*XLOOKUP($Q532,'Threshold Summary'!$Y:$Y,'Threshold Summary'!$L:$L,""))/100)+5)*XLOOKUP(XLOOKUP($Q532,'Threshold Summary'!$Y:$Y,'Threshold Summary'!$M:$M,""),'Nature Editor'!$A:$A,'Nature Editor'!$B:$B,1)),FLOOR((FLOOR(((2*XLOOKUP(XLOOKUP($Q532,'Threshold Summary'!$Y:$Y,'Threshold Summary'!$K:$K,""),'Pokemon Editor'!$A:$A,'Pokemon Editor'!$H:$H,0)+31+FLOOR(XLOOKUP($Q532,'Threshold Summary'!$Y:$Y,'Threshold Summary'!$R:$R,"")/4))*XLOOKUP($Q532,'Threshold Summary'!$Y:$Y,'Threshold Summary'!$L:$L,""))/100)+5)*XLOOKUP(XLOOKUP($Q532,'Threshold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Editor'!$E:$E,1))),stab,IF(OR(mtype=XLOOKUP(XLOOKUP($Q532,'Threshold Summary'!$Y:$Y,'Threshold Summary'!$K:$K,""),'Pokemon Editor'!$A:$A,'Pokemon Editor'!$C:$C,""),mtype=XLOOKUP(XLOOKUP($Q532,'Threshold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Chart'!$B$1:$S$1,0)))),base,IF(OR(cat="Status",pow=0),0,FLOOR(FLOOR(FLOOR((2*XLOOKUP($Q532,'Threshold Summary'!$Y:$Y,'Threshold Summary'!$L:$L,"")/5+2)*pow*atk/def)/50)+2)),modifier,stab*eff,AVERAGE(ARRAYFORMULA(FLOOR(base*modifier*SEQUENCE(16,1,85,1)/100)))*MIN(1,acc/100)),0)</f>
        <v/>
      </c>
      <c r="N532" s="4">
        <f>IFERROR(LET(mtype,XLOOKUP($D532,'Move Editor'!$B:$B,'Move Editor'!$C:$C,""),cat,XLOOKUP($D532,'Move Editor'!$B:$B,'Move Editor'!$D:$D,""),pow,XLOOKUP($D532,'Move Editor'!$B:$B,'Move Editor'!$E:$E,0),acc,XLOOKUP($D532,'Move Editor'!$B:$B,'Move Editor'!$F:$F,100),atk,IF(cat="Physical",FLOOR((FLOOR(((2*XLOOKUP(XLOOKUP($Q532,'Threshold Summary'!$Y:$Y,'Threshold Summary'!$K:$K,""),'Pokemon Editor'!$A:$A,'Pokemon Editor'!$F:$F,0)+31+FLOOR(XLOOKUP($Q532,'Threshold Summary'!$Y:$Y,'Threshold Summary'!$P:$P,"")/4))*XLOOKUP($Q532,'Threshold Summary'!$Y:$Y,'Threshold Summary'!$L:$L,""))/100)+5)*XLOOKUP(XLOOKUP($Q532,'Threshold Summary'!$Y:$Y,'Threshold Summary'!$M:$M,""),'Nature Editor'!$A:$A,'Nature Editor'!$B:$B,1)),FLOOR((FLOOR(((2*XLOOKUP(XLOOKUP($Q532,'Threshold Summary'!$Y:$Y,'Threshold Summary'!$K:$K,""),'Pokemon Editor'!$A:$A,'Pokemon Editor'!$H:$H,0)+31+FLOOR(XLOOKUP($Q532,'Threshold Summary'!$Y:$Y,'Threshold Summary'!$R:$R,"")/4))*XLOOKUP($Q532,'Threshold Summary'!$Y:$Y,'Threshold Summary'!$L:$L,""))/100)+5)*XLOOKUP(XLOOKUP($Q532,'Threshold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Editor'!$E:$E,1))),stab,IF(OR(mtype=XLOOKUP(XLOOKUP($Q532,'Threshold Summary'!$Y:$Y,'Threshold Summary'!$K:$K,""),'Pokemon Editor'!$A:$A,'Pokemon Editor'!$C:$C,""),mtype=XLOOKUP(XLOOKUP($Q532,'Threshold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Chart'!$B$1:$S$1,0)))),base,IF(OR(cat="Status",pow=0),0,FLOOR(FLOOR(FLOOR((2*XLOOKUP($Q532,'Threshold Summary'!$Y:$Y,'Threshold Summary'!$L:$L,"")/5+2)*pow*atk/def)/50)+2)),modifier,stab*eff,AVERAGE(ARRAYFORMULA(FLOOR(base*modifier*SEQUENCE(16,1,85,1)/100)))/(FLOOR(((2*XLOOKUP('Boss Editor'!$C$4,'Pokemon Editor'!$A:$A,'Pokemon Editor'!$E:$E,0)+31+FLOOR('Boss Editor'!$G$4/4))*'Boss Editor'!$D$4)/100)+'Boss Editor'!$D$4+10)),0)</f>
        <v/>
      </c>
      <c r="O532" s="3">
        <f>IF(N532&gt;=1,"OHKO",IF(N532&gt;=0.5,"2HKO",IF(N532&gt;=0.333,"3HKO",IF(N532&gt;=0.25,"4HKO","5HKO+"))))</f>
        <v/>
      </c>
      <c r="P532" s="3" t="inlineStr">
        <is>
          <t>Live from editable databases</t>
        </is>
      </c>
      <c r="Q532" s="3" t="inlineStr">
        <is>
          <t>SPECIES_MINCCINO</t>
        </is>
      </c>
      <c r="R532" s="3" t="n">
        <v>19</v>
      </c>
    </row>
    <row r="533">
      <c r="A533" s="3">
        <f>XLOOKUP($Q533,'Threshold Summary'!$Y:$Y,'Threshold Summary'!$A:$A,"")</f>
        <v/>
      </c>
      <c r="B533" s="3">
        <f>XLOOKUP($Q533,'Threshold Summary'!$Y:$Y,'Threshold Summary'!$M:$M,"")</f>
        <v/>
      </c>
      <c r="C533" s="3">
        <f>XLOOKUP($Q533,'Threshold Summary'!$Y:$Y,'Threshold Summary'!$N:$N,"")</f>
        <v/>
      </c>
      <c r="D533" s="3">
        <f>IFERROR(INDEX(FILTER('Learnset Editor'!$D$2:$D,'Learnset Editor'!$A$2:$A=XLOOKUP($Q533,'Threshold Summary'!$Y:$Y,'Threshold Summary'!$K:$K,""),'Learnset Editor'!$C$2:$C&lt;=XLOOKUP($Q533,'Threshold Summary'!$Y:$Y,'Threshold Summary'!$L:$L,"")),$R533),"")</f>
        <v/>
      </c>
      <c r="E533" s="3">
        <f>XLOOKUP(D533,'Move Editor'!$B:$B,'Move Editor'!$C:$C,"")</f>
        <v/>
      </c>
      <c r="F533" s="3">
        <f>XLOOKUP(D533,'Move Editor'!$B:$B,'Move Editor'!$D:$D,"")</f>
        <v/>
      </c>
      <c r="G533" s="3">
        <f>XLOOKUP(D533,'Move Editor'!$B:$B,'Move Editor'!$E:$E,0)</f>
        <v/>
      </c>
      <c r="H533" s="3">
        <f>XLOOKUP(D533,'Move Editor'!$B:$B,'Move Editor'!$F:$F,0)</f>
        <v/>
      </c>
      <c r="I533" s="3">
        <f>(INDEX('Type Chart'!$B:$S,MATCH(E533,'Type Chart'!$A:$A,0),MATCH(XLOOKUP('Boss Editor'!$C$4,'Pokemon Editor'!$A:$A,'Pokemon Editor'!$C:$C,""),'Type Chart'!$B$1:$S$1,0))*IF(XLOOKUP('Boss Editor'!$C$4,'Pokemon Editor'!$A:$A,'Pokemon Editor'!$D:$D,"")="",1,INDEX('Type Chart'!$B:$S,MATCH(E533,'Type Chart'!$A:$A,0),MATCH(XLOOKUP('Boss Editor'!$C$4,'Pokemon Editor'!$A:$A,'Pokemon Editor'!$D:$D,""),'Type Chart'!$B$1:$S$1,0))))</f>
        <v/>
      </c>
      <c r="J533" s="3">
        <f>IFERROR(LET(mtype,XLOOKUP($D533,'Move Editor'!$B:$B,'Move Editor'!$C:$C,""),cat,XLOOKUP($D533,'Move Editor'!$B:$B,'Move Editor'!$D:$D,""),pow,XLOOKUP($D533,'Move Editor'!$B:$B,'Move Editor'!$E:$E,0),acc,XLOOKUP($D533,'Move Editor'!$B:$B,'Move Editor'!$F:$F,100),atk,IF(cat="Physical",FLOOR((FLOOR(((2*XLOOKUP(XLOOKUP($Q533,'Threshold Summary'!$Y:$Y,'Threshold Summary'!$K:$K,""),'Pokemon Editor'!$A:$A,'Pokemon Editor'!$F:$F,0)+31+FLOOR(XLOOKUP($Q533,'Threshold Summary'!$Y:$Y,'Threshold Summary'!$P:$P,"")/4))*XLOOKUP($Q533,'Threshold Summary'!$Y:$Y,'Threshold Summary'!$L:$L,""))/100)+5)*XLOOKUP(XLOOKUP($Q533,'Threshold Summary'!$Y:$Y,'Threshold Summary'!$M:$M,""),'Nature Editor'!$A:$A,'Nature Editor'!$B:$B,1)),FLOOR((FLOOR(((2*XLOOKUP(XLOOKUP($Q533,'Threshold Summary'!$Y:$Y,'Threshold Summary'!$K:$K,""),'Pokemon Editor'!$A:$A,'Pokemon Editor'!$H:$H,0)+31+FLOOR(XLOOKUP($Q533,'Threshold Summary'!$Y:$Y,'Threshold Summary'!$R:$R,"")/4))*XLOOKUP($Q533,'Threshold Summary'!$Y:$Y,'Threshold Summary'!$L:$L,""))/100)+5)*XLOOKUP(XLOOKUP($Q533,'Threshold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Editor'!$E:$E,1))),stab,IF(OR(mtype=XLOOKUP(XLOOKUP($Q533,'Threshold Summary'!$Y:$Y,'Threshold Summary'!$K:$K,""),'Pokemon Editor'!$A:$A,'Pokemon Editor'!$C:$C,""),mtype=XLOOKUP(XLOOKUP($Q533,'Threshold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Chart'!$B$1:$S$1,0)))),base,IF(OR(cat="Status",pow=0),0,FLOOR(FLOOR(FLOOR((2*XLOOKUP($Q533,'Threshold Summary'!$Y:$Y,'Threshold Summary'!$L:$L,"")/5+2)*pow*atk/def)/50)+2)),modifier,stab*eff,FLOOR(base*modifier*0.85)),0)</f>
        <v/>
      </c>
      <c r="K533" s="3">
        <f>IFERROR(LET(mtype,XLOOKUP($D533,'Move Editor'!$B:$B,'Move Editor'!$C:$C,""),cat,XLOOKUP($D533,'Move Editor'!$B:$B,'Move Editor'!$D:$D,""),pow,XLOOKUP($D533,'Move Editor'!$B:$B,'Move Editor'!$E:$E,0),acc,XLOOKUP($D533,'Move Editor'!$B:$B,'Move Editor'!$F:$F,100),atk,IF(cat="Physical",FLOOR((FLOOR(((2*XLOOKUP(XLOOKUP($Q533,'Threshold Summary'!$Y:$Y,'Threshold Summary'!$K:$K,""),'Pokemon Editor'!$A:$A,'Pokemon Editor'!$F:$F,0)+31+FLOOR(XLOOKUP($Q533,'Threshold Summary'!$Y:$Y,'Threshold Summary'!$P:$P,"")/4))*XLOOKUP($Q533,'Threshold Summary'!$Y:$Y,'Threshold Summary'!$L:$L,""))/100)+5)*XLOOKUP(XLOOKUP($Q533,'Threshold Summary'!$Y:$Y,'Threshold Summary'!$M:$M,""),'Nature Editor'!$A:$A,'Nature Editor'!$B:$B,1)),FLOOR((FLOOR(((2*XLOOKUP(XLOOKUP($Q533,'Threshold Summary'!$Y:$Y,'Threshold Summary'!$K:$K,""),'Pokemon Editor'!$A:$A,'Pokemon Editor'!$H:$H,0)+31+FLOOR(XLOOKUP($Q533,'Threshold Summary'!$Y:$Y,'Threshold Summary'!$R:$R,"")/4))*XLOOKUP($Q533,'Threshold Summary'!$Y:$Y,'Threshold Summary'!$L:$L,""))/100)+5)*XLOOKUP(XLOOKUP($Q533,'Threshold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Editor'!$E:$E,1))),stab,IF(OR(mtype=XLOOKUP(XLOOKUP($Q533,'Threshold Summary'!$Y:$Y,'Threshold Summary'!$K:$K,""),'Pokemon Editor'!$A:$A,'Pokemon Editor'!$C:$C,""),mtype=XLOOKUP(XLOOKUP($Q533,'Threshold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Chart'!$B$1:$S$1,0)))),base,IF(OR(cat="Status",pow=0),0,FLOOR(FLOOR(FLOOR((2*XLOOKUP($Q533,'Threshold Summary'!$Y:$Y,'Threshold Summary'!$L:$L,"")/5+2)*pow*atk/def)/50)+2)),modifier,stab*eff,FLOOR(base*modifier)),0)</f>
        <v/>
      </c>
      <c r="L533" s="3">
        <f>IFERROR(LET(mtype,XLOOKUP($D533,'Move Editor'!$B:$B,'Move Editor'!$C:$C,""),cat,XLOOKUP($D533,'Move Editor'!$B:$B,'Move Editor'!$D:$D,""),pow,XLOOKUP($D533,'Move Editor'!$B:$B,'Move Editor'!$E:$E,0),acc,XLOOKUP($D533,'Move Editor'!$B:$B,'Move Editor'!$F:$F,100),atk,IF(cat="Physical",FLOOR((FLOOR(((2*XLOOKUP(XLOOKUP($Q533,'Threshold Summary'!$Y:$Y,'Threshold Summary'!$K:$K,""),'Pokemon Editor'!$A:$A,'Pokemon Editor'!$F:$F,0)+31+FLOOR(XLOOKUP($Q533,'Threshold Summary'!$Y:$Y,'Threshold Summary'!$P:$P,"")/4))*XLOOKUP($Q533,'Threshold Summary'!$Y:$Y,'Threshold Summary'!$L:$L,""))/100)+5)*XLOOKUP(XLOOKUP($Q533,'Threshold Summary'!$Y:$Y,'Threshold Summary'!$M:$M,""),'Nature Editor'!$A:$A,'Nature Editor'!$B:$B,1)),FLOOR((FLOOR(((2*XLOOKUP(XLOOKUP($Q533,'Threshold Summary'!$Y:$Y,'Threshold Summary'!$K:$K,""),'Pokemon Editor'!$A:$A,'Pokemon Editor'!$H:$H,0)+31+FLOOR(XLOOKUP($Q533,'Threshold Summary'!$Y:$Y,'Threshold Summary'!$R:$R,"")/4))*XLOOKUP($Q533,'Threshold Summary'!$Y:$Y,'Threshold Summary'!$L:$L,""))/100)+5)*XLOOKUP(XLOOKUP($Q533,'Threshold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Editor'!$E:$E,1))),stab,IF(OR(mtype=XLOOKUP(XLOOKUP($Q533,'Threshold Summary'!$Y:$Y,'Threshold Summary'!$K:$K,""),'Pokemon Editor'!$A:$A,'Pokemon Editor'!$C:$C,""),mtype=XLOOKUP(XLOOKUP($Q533,'Threshold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Chart'!$B$1:$S$1,0)))),base,IF(OR(cat="Status",pow=0),0,FLOOR(FLOOR(FLOOR((2*XLOOKUP($Q533,'Threshold Summary'!$Y:$Y,'Threshold Summary'!$L:$L,"")/5+2)*pow*atk/def)/50)+2)),modifier,stab*eff,AVERAGE(ARRAYFORMULA(FLOOR(base*modifier*SEQUENCE(16,1,85,1)/100)))),0)</f>
        <v/>
      </c>
      <c r="M533" s="3">
        <f>IFERROR(LET(mtype,XLOOKUP($D533,'Move Editor'!$B:$B,'Move Editor'!$C:$C,""),cat,XLOOKUP($D533,'Move Editor'!$B:$B,'Move Editor'!$D:$D,""),pow,XLOOKUP($D533,'Move Editor'!$B:$B,'Move Editor'!$E:$E,0),acc,XLOOKUP($D533,'Move Editor'!$B:$B,'Move Editor'!$F:$F,100),atk,IF(cat="Physical",FLOOR((FLOOR(((2*XLOOKUP(XLOOKUP($Q533,'Threshold Summary'!$Y:$Y,'Threshold Summary'!$K:$K,""),'Pokemon Editor'!$A:$A,'Pokemon Editor'!$F:$F,0)+31+FLOOR(XLOOKUP($Q533,'Threshold Summary'!$Y:$Y,'Threshold Summary'!$P:$P,"")/4))*XLOOKUP($Q533,'Threshold Summary'!$Y:$Y,'Threshold Summary'!$L:$L,""))/100)+5)*XLOOKUP(XLOOKUP($Q533,'Threshold Summary'!$Y:$Y,'Threshold Summary'!$M:$M,""),'Nature Editor'!$A:$A,'Nature Editor'!$B:$B,1)),FLOOR((FLOOR(((2*XLOOKUP(XLOOKUP($Q533,'Threshold Summary'!$Y:$Y,'Threshold Summary'!$K:$K,""),'Pokemon Editor'!$A:$A,'Pokemon Editor'!$H:$H,0)+31+FLOOR(XLOOKUP($Q533,'Threshold Summary'!$Y:$Y,'Threshold Summary'!$R:$R,"")/4))*XLOOKUP($Q533,'Threshold Summary'!$Y:$Y,'Threshold Summary'!$L:$L,""))/100)+5)*XLOOKUP(XLOOKUP($Q533,'Threshold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Editor'!$E:$E,1))),stab,IF(OR(mtype=XLOOKUP(XLOOKUP($Q533,'Threshold Summary'!$Y:$Y,'Threshold Summary'!$K:$K,""),'Pokemon Editor'!$A:$A,'Pokemon Editor'!$C:$C,""),mtype=XLOOKUP(XLOOKUP($Q533,'Threshold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Chart'!$B$1:$S$1,0)))),base,IF(OR(cat="Status",pow=0),0,FLOOR(FLOOR(FLOOR((2*XLOOKUP($Q533,'Threshold Summary'!$Y:$Y,'Threshold Summary'!$L:$L,"")/5+2)*pow*atk/def)/50)+2)),modifier,stab*eff,AVERAGE(ARRAYFORMULA(FLOOR(base*modifier*SEQUENCE(16,1,85,1)/100)))*MIN(1,acc/100)),0)</f>
        <v/>
      </c>
      <c r="N533" s="4">
        <f>IFERROR(LET(mtype,XLOOKUP($D533,'Move Editor'!$B:$B,'Move Editor'!$C:$C,""),cat,XLOOKUP($D533,'Move Editor'!$B:$B,'Move Editor'!$D:$D,""),pow,XLOOKUP($D533,'Move Editor'!$B:$B,'Move Editor'!$E:$E,0),acc,XLOOKUP($D533,'Move Editor'!$B:$B,'Move Editor'!$F:$F,100),atk,IF(cat="Physical",FLOOR((FLOOR(((2*XLOOKUP(XLOOKUP($Q533,'Threshold Summary'!$Y:$Y,'Threshold Summary'!$K:$K,""),'Pokemon Editor'!$A:$A,'Pokemon Editor'!$F:$F,0)+31+FLOOR(XLOOKUP($Q533,'Threshold Summary'!$Y:$Y,'Threshold Summary'!$P:$P,"")/4))*XLOOKUP($Q533,'Threshold Summary'!$Y:$Y,'Threshold Summary'!$L:$L,""))/100)+5)*XLOOKUP(XLOOKUP($Q533,'Threshold Summary'!$Y:$Y,'Threshold Summary'!$M:$M,""),'Nature Editor'!$A:$A,'Nature Editor'!$B:$B,1)),FLOOR((FLOOR(((2*XLOOKUP(XLOOKUP($Q533,'Threshold Summary'!$Y:$Y,'Threshold Summary'!$K:$K,""),'Pokemon Editor'!$A:$A,'Pokemon Editor'!$H:$H,0)+31+FLOOR(XLOOKUP($Q533,'Threshold Summary'!$Y:$Y,'Threshold Summary'!$R:$R,"")/4))*XLOOKUP($Q533,'Threshold Summary'!$Y:$Y,'Threshold Summary'!$L:$L,""))/100)+5)*XLOOKUP(XLOOKUP($Q533,'Threshold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Editor'!$E:$E,1))),stab,IF(OR(mtype=XLOOKUP(XLOOKUP($Q533,'Threshold Summary'!$Y:$Y,'Threshold Summary'!$K:$K,""),'Pokemon Editor'!$A:$A,'Pokemon Editor'!$C:$C,""),mtype=XLOOKUP(XLOOKUP($Q533,'Threshold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Chart'!$B$1:$S$1,0)))),base,IF(OR(cat="Status",pow=0),0,FLOOR(FLOOR(FLOOR((2*XLOOKUP($Q533,'Threshold Summary'!$Y:$Y,'Threshold Summary'!$L:$L,"")/5+2)*pow*atk/def)/50)+2)),modifier,stab*eff,AVERAGE(ARRAYFORMULA(FLOOR(base*modifier*SEQUENCE(16,1,85,1)/100)))/(FLOOR(((2*XLOOKUP('Boss Editor'!$C$4,'Pokemon Editor'!$A:$A,'Pokemon Editor'!$E:$E,0)+31+FLOOR('Boss Editor'!$G$4/4))*'Boss Editor'!$D$4)/100)+'Boss Editor'!$D$4+10)),0)</f>
        <v/>
      </c>
      <c r="O533" s="3">
        <f>IF(N533&gt;=1,"OHKO",IF(N533&gt;=0.5,"2HKO",IF(N533&gt;=0.333,"3HKO",IF(N533&gt;=0.25,"4HKO","5HKO+"))))</f>
        <v/>
      </c>
      <c r="P533" s="3" t="inlineStr">
        <is>
          <t>Live from editable databases</t>
        </is>
      </c>
      <c r="Q533" s="3" t="inlineStr">
        <is>
          <t>SPECIES_MINCCINO</t>
        </is>
      </c>
      <c r="R533" s="3" t="n">
        <v>20</v>
      </c>
    </row>
    <row r="534">
      <c r="A534" s="3">
        <f>XLOOKUP($Q534,'Threshold Summary'!$Y:$Y,'Threshold Summary'!$A:$A,"")</f>
        <v/>
      </c>
      <c r="B534" s="3">
        <f>XLOOKUP($Q534,'Threshold Summary'!$Y:$Y,'Threshold Summary'!$M:$M,"")</f>
        <v/>
      </c>
      <c r="C534" s="3">
        <f>XLOOKUP($Q534,'Threshold Summary'!$Y:$Y,'Threshold Summary'!$N:$N,"")</f>
        <v/>
      </c>
      <c r="D534" s="3">
        <f>IFERROR(INDEX(FILTER('Learnset Editor'!$D$2:$D,'Learnset Editor'!$A$2:$A=XLOOKUP($Q534,'Threshold Summary'!$Y:$Y,'Threshold Summary'!$K:$K,""),'Learnset Editor'!$C$2:$C&lt;=XLOOKUP($Q534,'Threshold Summary'!$Y:$Y,'Threshold Summary'!$L:$L,"")),$R534),"")</f>
        <v/>
      </c>
      <c r="E534" s="3">
        <f>XLOOKUP(D534,'Move Editor'!$B:$B,'Move Editor'!$C:$C,"")</f>
        <v/>
      </c>
      <c r="F534" s="3">
        <f>XLOOKUP(D534,'Move Editor'!$B:$B,'Move Editor'!$D:$D,"")</f>
        <v/>
      </c>
      <c r="G534" s="3">
        <f>XLOOKUP(D534,'Move Editor'!$B:$B,'Move Editor'!$E:$E,0)</f>
        <v/>
      </c>
      <c r="H534" s="3">
        <f>XLOOKUP(D534,'Move Editor'!$B:$B,'Move Editor'!$F:$F,0)</f>
        <v/>
      </c>
      <c r="I534" s="3">
        <f>(INDEX('Type Chart'!$B:$S,MATCH(E534,'Type Chart'!$A:$A,0),MATCH(XLOOKUP('Boss Editor'!$C$4,'Pokemon Editor'!$A:$A,'Pokemon Editor'!$C:$C,""),'Type Chart'!$B$1:$S$1,0))*IF(XLOOKUP('Boss Editor'!$C$4,'Pokemon Editor'!$A:$A,'Pokemon Editor'!$D:$D,"")="",1,INDEX('Type Chart'!$B:$S,MATCH(E534,'Type Chart'!$A:$A,0),MATCH(XLOOKUP('Boss Editor'!$C$4,'Pokemon Editor'!$A:$A,'Pokemon Editor'!$D:$D,""),'Type Chart'!$B$1:$S$1,0))))</f>
        <v/>
      </c>
      <c r="J534" s="3">
        <f>IFERROR(LET(mtype,XLOOKUP($D534,'Move Editor'!$B:$B,'Move Editor'!$C:$C,""),cat,XLOOKUP($D534,'Move Editor'!$B:$B,'Move Editor'!$D:$D,""),pow,XLOOKUP($D534,'Move Editor'!$B:$B,'Move Editor'!$E:$E,0),acc,XLOOKUP($D534,'Move Editor'!$B:$B,'Move Editor'!$F:$F,100),atk,IF(cat="Physical",FLOOR((FLOOR(((2*XLOOKUP(XLOOKUP($Q534,'Threshold Summary'!$Y:$Y,'Threshold Summary'!$K:$K,""),'Pokemon Editor'!$A:$A,'Pokemon Editor'!$F:$F,0)+31+FLOOR(XLOOKUP($Q534,'Threshold Summary'!$Y:$Y,'Threshold Summary'!$P:$P,"")/4))*XLOOKUP($Q534,'Threshold Summary'!$Y:$Y,'Threshold Summary'!$L:$L,""))/100)+5)*XLOOKUP(XLOOKUP($Q534,'Threshold Summary'!$Y:$Y,'Threshold Summary'!$M:$M,""),'Nature Editor'!$A:$A,'Nature Editor'!$B:$B,1)),FLOOR((FLOOR(((2*XLOOKUP(XLOOKUP($Q534,'Threshold Summary'!$Y:$Y,'Threshold Summary'!$K:$K,""),'Pokemon Editor'!$A:$A,'Pokemon Editor'!$H:$H,0)+31+FLOOR(XLOOKUP($Q534,'Threshold Summary'!$Y:$Y,'Threshold Summary'!$R:$R,"")/4))*XLOOKUP($Q534,'Threshold Summary'!$Y:$Y,'Threshold Summary'!$L:$L,""))/100)+5)*XLOOKUP(XLOOKUP($Q534,'Threshold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Editor'!$E:$E,1))),stab,IF(OR(mtype=XLOOKUP(XLOOKUP($Q534,'Threshold Summary'!$Y:$Y,'Threshold Summary'!$K:$K,""),'Pokemon Editor'!$A:$A,'Pokemon Editor'!$C:$C,""),mtype=XLOOKUP(XLOOKUP($Q534,'Threshold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Chart'!$B$1:$S$1,0)))),base,IF(OR(cat="Status",pow=0),0,FLOOR(FLOOR(FLOOR((2*XLOOKUP($Q534,'Threshold Summary'!$Y:$Y,'Threshold Summary'!$L:$L,"")/5+2)*pow*atk/def)/50)+2)),modifier,stab*eff,FLOOR(base*modifier*0.85)),0)</f>
        <v/>
      </c>
      <c r="K534" s="3">
        <f>IFERROR(LET(mtype,XLOOKUP($D534,'Move Editor'!$B:$B,'Move Editor'!$C:$C,""),cat,XLOOKUP($D534,'Move Editor'!$B:$B,'Move Editor'!$D:$D,""),pow,XLOOKUP($D534,'Move Editor'!$B:$B,'Move Editor'!$E:$E,0),acc,XLOOKUP($D534,'Move Editor'!$B:$B,'Move Editor'!$F:$F,100),atk,IF(cat="Physical",FLOOR((FLOOR(((2*XLOOKUP(XLOOKUP($Q534,'Threshold Summary'!$Y:$Y,'Threshold Summary'!$K:$K,""),'Pokemon Editor'!$A:$A,'Pokemon Editor'!$F:$F,0)+31+FLOOR(XLOOKUP($Q534,'Threshold Summary'!$Y:$Y,'Threshold Summary'!$P:$P,"")/4))*XLOOKUP($Q534,'Threshold Summary'!$Y:$Y,'Threshold Summary'!$L:$L,""))/100)+5)*XLOOKUP(XLOOKUP($Q534,'Threshold Summary'!$Y:$Y,'Threshold Summary'!$M:$M,""),'Nature Editor'!$A:$A,'Nature Editor'!$B:$B,1)),FLOOR((FLOOR(((2*XLOOKUP(XLOOKUP($Q534,'Threshold Summary'!$Y:$Y,'Threshold Summary'!$K:$K,""),'Pokemon Editor'!$A:$A,'Pokemon Editor'!$H:$H,0)+31+FLOOR(XLOOKUP($Q534,'Threshold Summary'!$Y:$Y,'Threshold Summary'!$R:$R,"")/4))*XLOOKUP($Q534,'Threshold Summary'!$Y:$Y,'Threshold Summary'!$L:$L,""))/100)+5)*XLOOKUP(XLOOKUP($Q534,'Threshold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Editor'!$E:$E,1))),stab,IF(OR(mtype=XLOOKUP(XLOOKUP($Q534,'Threshold Summary'!$Y:$Y,'Threshold Summary'!$K:$K,""),'Pokemon Editor'!$A:$A,'Pokemon Editor'!$C:$C,""),mtype=XLOOKUP(XLOOKUP($Q534,'Threshold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Chart'!$B$1:$S$1,0)))),base,IF(OR(cat="Status",pow=0),0,FLOOR(FLOOR(FLOOR((2*XLOOKUP($Q534,'Threshold Summary'!$Y:$Y,'Threshold Summary'!$L:$L,"")/5+2)*pow*atk/def)/50)+2)),modifier,stab*eff,FLOOR(base*modifier)),0)</f>
        <v/>
      </c>
      <c r="L534" s="3">
        <f>IFERROR(LET(mtype,XLOOKUP($D534,'Move Editor'!$B:$B,'Move Editor'!$C:$C,""),cat,XLOOKUP($D534,'Move Editor'!$B:$B,'Move Editor'!$D:$D,""),pow,XLOOKUP($D534,'Move Editor'!$B:$B,'Move Editor'!$E:$E,0),acc,XLOOKUP($D534,'Move Editor'!$B:$B,'Move Editor'!$F:$F,100),atk,IF(cat="Physical",FLOOR((FLOOR(((2*XLOOKUP(XLOOKUP($Q534,'Threshold Summary'!$Y:$Y,'Threshold Summary'!$K:$K,""),'Pokemon Editor'!$A:$A,'Pokemon Editor'!$F:$F,0)+31+FLOOR(XLOOKUP($Q534,'Threshold Summary'!$Y:$Y,'Threshold Summary'!$P:$P,"")/4))*XLOOKUP($Q534,'Threshold Summary'!$Y:$Y,'Threshold Summary'!$L:$L,""))/100)+5)*XLOOKUP(XLOOKUP($Q534,'Threshold Summary'!$Y:$Y,'Threshold Summary'!$M:$M,""),'Nature Editor'!$A:$A,'Nature Editor'!$B:$B,1)),FLOOR((FLOOR(((2*XLOOKUP(XLOOKUP($Q534,'Threshold Summary'!$Y:$Y,'Threshold Summary'!$K:$K,""),'Pokemon Editor'!$A:$A,'Pokemon Editor'!$H:$H,0)+31+FLOOR(XLOOKUP($Q534,'Threshold Summary'!$Y:$Y,'Threshold Summary'!$R:$R,"")/4))*XLOOKUP($Q534,'Threshold Summary'!$Y:$Y,'Threshold Summary'!$L:$L,""))/100)+5)*XLOOKUP(XLOOKUP($Q534,'Threshold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Editor'!$E:$E,1))),stab,IF(OR(mtype=XLOOKUP(XLOOKUP($Q534,'Threshold Summary'!$Y:$Y,'Threshold Summary'!$K:$K,""),'Pokemon Editor'!$A:$A,'Pokemon Editor'!$C:$C,""),mtype=XLOOKUP(XLOOKUP($Q534,'Threshold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Chart'!$B$1:$S$1,0)))),base,IF(OR(cat="Status",pow=0),0,FLOOR(FLOOR(FLOOR((2*XLOOKUP($Q534,'Threshold Summary'!$Y:$Y,'Threshold Summary'!$L:$L,"")/5+2)*pow*atk/def)/50)+2)),modifier,stab*eff,AVERAGE(ARRAYFORMULA(FLOOR(base*modifier*SEQUENCE(16,1,85,1)/100)))),0)</f>
        <v/>
      </c>
      <c r="M534" s="3">
        <f>IFERROR(LET(mtype,XLOOKUP($D534,'Move Editor'!$B:$B,'Move Editor'!$C:$C,""),cat,XLOOKUP($D534,'Move Editor'!$B:$B,'Move Editor'!$D:$D,""),pow,XLOOKUP($D534,'Move Editor'!$B:$B,'Move Editor'!$E:$E,0),acc,XLOOKUP($D534,'Move Editor'!$B:$B,'Move Editor'!$F:$F,100),atk,IF(cat="Physical",FLOOR((FLOOR(((2*XLOOKUP(XLOOKUP($Q534,'Threshold Summary'!$Y:$Y,'Threshold Summary'!$K:$K,""),'Pokemon Editor'!$A:$A,'Pokemon Editor'!$F:$F,0)+31+FLOOR(XLOOKUP($Q534,'Threshold Summary'!$Y:$Y,'Threshold Summary'!$P:$P,"")/4))*XLOOKUP($Q534,'Threshold Summary'!$Y:$Y,'Threshold Summary'!$L:$L,""))/100)+5)*XLOOKUP(XLOOKUP($Q534,'Threshold Summary'!$Y:$Y,'Threshold Summary'!$M:$M,""),'Nature Editor'!$A:$A,'Nature Editor'!$B:$B,1)),FLOOR((FLOOR(((2*XLOOKUP(XLOOKUP($Q534,'Threshold Summary'!$Y:$Y,'Threshold Summary'!$K:$K,""),'Pokemon Editor'!$A:$A,'Pokemon Editor'!$H:$H,0)+31+FLOOR(XLOOKUP($Q534,'Threshold Summary'!$Y:$Y,'Threshold Summary'!$R:$R,"")/4))*XLOOKUP($Q534,'Threshold Summary'!$Y:$Y,'Threshold Summary'!$L:$L,""))/100)+5)*XLOOKUP(XLOOKUP($Q534,'Threshold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Editor'!$E:$E,1))),stab,IF(OR(mtype=XLOOKUP(XLOOKUP($Q534,'Threshold Summary'!$Y:$Y,'Threshold Summary'!$K:$K,""),'Pokemon Editor'!$A:$A,'Pokemon Editor'!$C:$C,""),mtype=XLOOKUP(XLOOKUP($Q534,'Threshold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Chart'!$B$1:$S$1,0)))),base,IF(OR(cat="Status",pow=0),0,FLOOR(FLOOR(FLOOR((2*XLOOKUP($Q534,'Threshold Summary'!$Y:$Y,'Threshold Summary'!$L:$L,"")/5+2)*pow*atk/def)/50)+2)),modifier,stab*eff,AVERAGE(ARRAYFORMULA(FLOOR(base*modifier*SEQUENCE(16,1,85,1)/100)))*MIN(1,acc/100)),0)</f>
        <v/>
      </c>
      <c r="N534" s="4">
        <f>IFERROR(LET(mtype,XLOOKUP($D534,'Move Editor'!$B:$B,'Move Editor'!$C:$C,""),cat,XLOOKUP($D534,'Move Editor'!$B:$B,'Move Editor'!$D:$D,""),pow,XLOOKUP($D534,'Move Editor'!$B:$B,'Move Editor'!$E:$E,0),acc,XLOOKUP($D534,'Move Editor'!$B:$B,'Move Editor'!$F:$F,100),atk,IF(cat="Physical",FLOOR((FLOOR(((2*XLOOKUP(XLOOKUP($Q534,'Threshold Summary'!$Y:$Y,'Threshold Summary'!$K:$K,""),'Pokemon Editor'!$A:$A,'Pokemon Editor'!$F:$F,0)+31+FLOOR(XLOOKUP($Q534,'Threshold Summary'!$Y:$Y,'Threshold Summary'!$P:$P,"")/4))*XLOOKUP($Q534,'Threshold Summary'!$Y:$Y,'Threshold Summary'!$L:$L,""))/100)+5)*XLOOKUP(XLOOKUP($Q534,'Threshold Summary'!$Y:$Y,'Threshold Summary'!$M:$M,""),'Nature Editor'!$A:$A,'Nature Editor'!$B:$B,1)),FLOOR((FLOOR(((2*XLOOKUP(XLOOKUP($Q534,'Threshold Summary'!$Y:$Y,'Threshold Summary'!$K:$K,""),'Pokemon Editor'!$A:$A,'Pokemon Editor'!$H:$H,0)+31+FLOOR(XLOOKUP($Q534,'Threshold Summary'!$Y:$Y,'Threshold Summary'!$R:$R,"")/4))*XLOOKUP($Q534,'Threshold Summary'!$Y:$Y,'Threshold Summary'!$L:$L,""))/100)+5)*XLOOKUP(XLOOKUP($Q534,'Threshold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Editor'!$E:$E,1))),stab,IF(OR(mtype=XLOOKUP(XLOOKUP($Q534,'Threshold Summary'!$Y:$Y,'Threshold Summary'!$K:$K,""),'Pokemon Editor'!$A:$A,'Pokemon Editor'!$C:$C,""),mtype=XLOOKUP(XLOOKUP($Q534,'Threshold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Chart'!$B$1:$S$1,0)))),base,IF(OR(cat="Status",pow=0),0,FLOOR(FLOOR(FLOOR((2*XLOOKUP($Q534,'Threshold Summary'!$Y:$Y,'Threshold Summary'!$L:$L,"")/5+2)*pow*atk/def)/50)+2)),modifier,stab*eff,AVERAGE(ARRAYFORMULA(FLOOR(base*modifier*SEQUENCE(16,1,85,1)/100)))/(FLOOR(((2*XLOOKUP('Boss Editor'!$C$4,'Pokemon Editor'!$A:$A,'Pokemon Editor'!$E:$E,0)+31+FLOOR('Boss Editor'!$G$4/4))*'Boss Editor'!$D$4)/100)+'Boss Editor'!$D$4+10)),0)</f>
        <v/>
      </c>
      <c r="O534" s="3">
        <f>IF(N534&gt;=1,"OHKO",IF(N534&gt;=0.5,"2HKO",IF(N534&gt;=0.333,"3HKO",IF(N534&gt;=0.25,"4HKO","5HKO+"))))</f>
        <v/>
      </c>
      <c r="P534" s="3" t="inlineStr">
        <is>
          <t>Live from editable databases</t>
        </is>
      </c>
      <c r="Q534" s="3" t="inlineStr">
        <is>
          <t>SPECIES_MINCCINO</t>
        </is>
      </c>
      <c r="R534" s="3" t="n">
        <v>21</v>
      </c>
    </row>
    <row r="535">
      <c r="A535" s="3">
        <f>XLOOKUP($Q535,'Threshold Summary'!$Y:$Y,'Threshold Summary'!$A:$A,"")</f>
        <v/>
      </c>
      <c r="B535" s="3">
        <f>XLOOKUP($Q535,'Threshold Summary'!$Y:$Y,'Threshold Summary'!$M:$M,"")</f>
        <v/>
      </c>
      <c r="C535" s="3">
        <f>XLOOKUP($Q535,'Threshold Summary'!$Y:$Y,'Threshold Summary'!$N:$N,"")</f>
        <v/>
      </c>
      <c r="D535" s="3">
        <f>IFERROR(INDEX(FILTER('Learnset Editor'!$D$2:$D,'Learnset Editor'!$A$2:$A=XLOOKUP($Q535,'Threshold Summary'!$Y:$Y,'Threshold Summary'!$K:$K,""),'Learnset Editor'!$C$2:$C&lt;=XLOOKUP($Q535,'Threshold Summary'!$Y:$Y,'Threshold Summary'!$L:$L,"")),$R535),"")</f>
        <v/>
      </c>
      <c r="E535" s="3">
        <f>XLOOKUP(D535,'Move Editor'!$B:$B,'Move Editor'!$C:$C,"")</f>
        <v/>
      </c>
      <c r="F535" s="3">
        <f>XLOOKUP(D535,'Move Editor'!$B:$B,'Move Editor'!$D:$D,"")</f>
        <v/>
      </c>
      <c r="G535" s="3">
        <f>XLOOKUP(D535,'Move Editor'!$B:$B,'Move Editor'!$E:$E,0)</f>
        <v/>
      </c>
      <c r="H535" s="3">
        <f>XLOOKUP(D535,'Move Editor'!$B:$B,'Move Editor'!$F:$F,0)</f>
        <v/>
      </c>
      <c r="I535" s="3">
        <f>(INDEX('Type Chart'!$B:$S,MATCH(E535,'Type Chart'!$A:$A,0),MATCH(XLOOKUP('Boss Editor'!$C$4,'Pokemon Editor'!$A:$A,'Pokemon Editor'!$C:$C,""),'Type Chart'!$B$1:$S$1,0))*IF(XLOOKUP('Boss Editor'!$C$4,'Pokemon Editor'!$A:$A,'Pokemon Editor'!$D:$D,"")="",1,INDEX('Type Chart'!$B:$S,MATCH(E535,'Type Chart'!$A:$A,0),MATCH(XLOOKUP('Boss Editor'!$C$4,'Pokemon Editor'!$A:$A,'Pokemon Editor'!$D:$D,""),'Type Chart'!$B$1:$S$1,0))))</f>
        <v/>
      </c>
      <c r="J535" s="3">
        <f>IFERROR(LET(mtype,XLOOKUP($D535,'Move Editor'!$B:$B,'Move Editor'!$C:$C,""),cat,XLOOKUP($D535,'Move Editor'!$B:$B,'Move Editor'!$D:$D,""),pow,XLOOKUP($D535,'Move Editor'!$B:$B,'Move Editor'!$E:$E,0),acc,XLOOKUP($D535,'Move Editor'!$B:$B,'Move Editor'!$F:$F,100),atk,IF(cat="Physical",FLOOR((FLOOR(((2*XLOOKUP(XLOOKUP($Q535,'Threshold Summary'!$Y:$Y,'Threshold Summary'!$K:$K,""),'Pokemon Editor'!$A:$A,'Pokemon Editor'!$F:$F,0)+31+FLOOR(XLOOKUP($Q535,'Threshold Summary'!$Y:$Y,'Threshold Summary'!$P:$P,"")/4))*XLOOKUP($Q535,'Threshold Summary'!$Y:$Y,'Threshold Summary'!$L:$L,""))/100)+5)*XLOOKUP(XLOOKUP($Q535,'Threshold Summary'!$Y:$Y,'Threshold Summary'!$M:$M,""),'Nature Editor'!$A:$A,'Nature Editor'!$B:$B,1)),FLOOR((FLOOR(((2*XLOOKUP(XLOOKUP($Q535,'Threshold Summary'!$Y:$Y,'Threshold Summary'!$K:$K,""),'Pokemon Editor'!$A:$A,'Pokemon Editor'!$H:$H,0)+31+FLOOR(XLOOKUP($Q535,'Threshold Summary'!$Y:$Y,'Threshold Summary'!$R:$R,"")/4))*XLOOKUP($Q535,'Threshold Summary'!$Y:$Y,'Threshold Summary'!$L:$L,""))/100)+5)*XLOOKUP(XLOOKUP($Q535,'Threshold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Editor'!$E:$E,1))),stab,IF(OR(mtype=XLOOKUP(XLOOKUP($Q535,'Threshold Summary'!$Y:$Y,'Threshold Summary'!$K:$K,""),'Pokemon Editor'!$A:$A,'Pokemon Editor'!$C:$C,""),mtype=XLOOKUP(XLOOKUP($Q535,'Threshold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Chart'!$B$1:$S$1,0)))),base,IF(OR(cat="Status",pow=0),0,FLOOR(FLOOR(FLOOR((2*XLOOKUP($Q535,'Threshold Summary'!$Y:$Y,'Threshold Summary'!$L:$L,"")/5+2)*pow*atk/def)/50)+2)),modifier,stab*eff,FLOOR(base*modifier*0.85)),0)</f>
        <v/>
      </c>
      <c r="K535" s="3">
        <f>IFERROR(LET(mtype,XLOOKUP($D535,'Move Editor'!$B:$B,'Move Editor'!$C:$C,""),cat,XLOOKUP($D535,'Move Editor'!$B:$B,'Move Editor'!$D:$D,""),pow,XLOOKUP($D535,'Move Editor'!$B:$B,'Move Editor'!$E:$E,0),acc,XLOOKUP($D535,'Move Editor'!$B:$B,'Move Editor'!$F:$F,100),atk,IF(cat="Physical",FLOOR((FLOOR(((2*XLOOKUP(XLOOKUP($Q535,'Threshold Summary'!$Y:$Y,'Threshold Summary'!$K:$K,""),'Pokemon Editor'!$A:$A,'Pokemon Editor'!$F:$F,0)+31+FLOOR(XLOOKUP($Q535,'Threshold Summary'!$Y:$Y,'Threshold Summary'!$P:$P,"")/4))*XLOOKUP($Q535,'Threshold Summary'!$Y:$Y,'Threshold Summary'!$L:$L,""))/100)+5)*XLOOKUP(XLOOKUP($Q535,'Threshold Summary'!$Y:$Y,'Threshold Summary'!$M:$M,""),'Nature Editor'!$A:$A,'Nature Editor'!$B:$B,1)),FLOOR((FLOOR(((2*XLOOKUP(XLOOKUP($Q535,'Threshold Summary'!$Y:$Y,'Threshold Summary'!$K:$K,""),'Pokemon Editor'!$A:$A,'Pokemon Editor'!$H:$H,0)+31+FLOOR(XLOOKUP($Q535,'Threshold Summary'!$Y:$Y,'Threshold Summary'!$R:$R,"")/4))*XLOOKUP($Q535,'Threshold Summary'!$Y:$Y,'Threshold Summary'!$L:$L,""))/100)+5)*XLOOKUP(XLOOKUP($Q535,'Threshold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Editor'!$E:$E,1))),stab,IF(OR(mtype=XLOOKUP(XLOOKUP($Q535,'Threshold Summary'!$Y:$Y,'Threshold Summary'!$K:$K,""),'Pokemon Editor'!$A:$A,'Pokemon Editor'!$C:$C,""),mtype=XLOOKUP(XLOOKUP($Q535,'Threshold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Chart'!$B$1:$S$1,0)))),base,IF(OR(cat="Status",pow=0),0,FLOOR(FLOOR(FLOOR((2*XLOOKUP($Q535,'Threshold Summary'!$Y:$Y,'Threshold Summary'!$L:$L,"")/5+2)*pow*atk/def)/50)+2)),modifier,stab*eff,FLOOR(base*modifier)),0)</f>
        <v/>
      </c>
      <c r="L535" s="3">
        <f>IFERROR(LET(mtype,XLOOKUP($D535,'Move Editor'!$B:$B,'Move Editor'!$C:$C,""),cat,XLOOKUP($D535,'Move Editor'!$B:$B,'Move Editor'!$D:$D,""),pow,XLOOKUP($D535,'Move Editor'!$B:$B,'Move Editor'!$E:$E,0),acc,XLOOKUP($D535,'Move Editor'!$B:$B,'Move Editor'!$F:$F,100),atk,IF(cat="Physical",FLOOR((FLOOR(((2*XLOOKUP(XLOOKUP($Q535,'Threshold Summary'!$Y:$Y,'Threshold Summary'!$K:$K,""),'Pokemon Editor'!$A:$A,'Pokemon Editor'!$F:$F,0)+31+FLOOR(XLOOKUP($Q535,'Threshold Summary'!$Y:$Y,'Threshold Summary'!$P:$P,"")/4))*XLOOKUP($Q535,'Threshold Summary'!$Y:$Y,'Threshold Summary'!$L:$L,""))/100)+5)*XLOOKUP(XLOOKUP($Q535,'Threshold Summary'!$Y:$Y,'Threshold Summary'!$M:$M,""),'Nature Editor'!$A:$A,'Nature Editor'!$B:$B,1)),FLOOR((FLOOR(((2*XLOOKUP(XLOOKUP($Q535,'Threshold Summary'!$Y:$Y,'Threshold Summary'!$K:$K,""),'Pokemon Editor'!$A:$A,'Pokemon Editor'!$H:$H,0)+31+FLOOR(XLOOKUP($Q535,'Threshold Summary'!$Y:$Y,'Threshold Summary'!$R:$R,"")/4))*XLOOKUP($Q535,'Threshold Summary'!$Y:$Y,'Threshold Summary'!$L:$L,""))/100)+5)*XLOOKUP(XLOOKUP($Q535,'Threshold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Editor'!$E:$E,1))),stab,IF(OR(mtype=XLOOKUP(XLOOKUP($Q535,'Threshold Summary'!$Y:$Y,'Threshold Summary'!$K:$K,""),'Pokemon Editor'!$A:$A,'Pokemon Editor'!$C:$C,""),mtype=XLOOKUP(XLOOKUP($Q535,'Threshold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Chart'!$B$1:$S$1,0)))),base,IF(OR(cat="Status",pow=0),0,FLOOR(FLOOR(FLOOR((2*XLOOKUP($Q535,'Threshold Summary'!$Y:$Y,'Threshold Summary'!$L:$L,"")/5+2)*pow*atk/def)/50)+2)),modifier,stab*eff,AVERAGE(ARRAYFORMULA(FLOOR(base*modifier*SEQUENCE(16,1,85,1)/100)))),0)</f>
        <v/>
      </c>
      <c r="M535" s="3">
        <f>IFERROR(LET(mtype,XLOOKUP($D535,'Move Editor'!$B:$B,'Move Editor'!$C:$C,""),cat,XLOOKUP($D535,'Move Editor'!$B:$B,'Move Editor'!$D:$D,""),pow,XLOOKUP($D535,'Move Editor'!$B:$B,'Move Editor'!$E:$E,0),acc,XLOOKUP($D535,'Move Editor'!$B:$B,'Move Editor'!$F:$F,100),atk,IF(cat="Physical",FLOOR((FLOOR(((2*XLOOKUP(XLOOKUP($Q535,'Threshold Summary'!$Y:$Y,'Threshold Summary'!$K:$K,""),'Pokemon Editor'!$A:$A,'Pokemon Editor'!$F:$F,0)+31+FLOOR(XLOOKUP($Q535,'Threshold Summary'!$Y:$Y,'Threshold Summary'!$P:$P,"")/4))*XLOOKUP($Q535,'Threshold Summary'!$Y:$Y,'Threshold Summary'!$L:$L,""))/100)+5)*XLOOKUP(XLOOKUP($Q535,'Threshold Summary'!$Y:$Y,'Threshold Summary'!$M:$M,""),'Nature Editor'!$A:$A,'Nature Editor'!$B:$B,1)),FLOOR((FLOOR(((2*XLOOKUP(XLOOKUP($Q535,'Threshold Summary'!$Y:$Y,'Threshold Summary'!$K:$K,""),'Pokemon Editor'!$A:$A,'Pokemon Editor'!$H:$H,0)+31+FLOOR(XLOOKUP($Q535,'Threshold Summary'!$Y:$Y,'Threshold Summary'!$R:$R,"")/4))*XLOOKUP($Q535,'Threshold Summary'!$Y:$Y,'Threshold Summary'!$L:$L,""))/100)+5)*XLOOKUP(XLOOKUP($Q535,'Threshold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Editor'!$E:$E,1))),stab,IF(OR(mtype=XLOOKUP(XLOOKUP($Q535,'Threshold Summary'!$Y:$Y,'Threshold Summary'!$K:$K,""),'Pokemon Editor'!$A:$A,'Pokemon Editor'!$C:$C,""),mtype=XLOOKUP(XLOOKUP($Q535,'Threshold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Chart'!$B$1:$S$1,0)))),base,IF(OR(cat="Status",pow=0),0,FLOOR(FLOOR(FLOOR((2*XLOOKUP($Q535,'Threshold Summary'!$Y:$Y,'Threshold Summary'!$L:$L,"")/5+2)*pow*atk/def)/50)+2)),modifier,stab*eff,AVERAGE(ARRAYFORMULA(FLOOR(base*modifier*SEQUENCE(16,1,85,1)/100)))*MIN(1,acc/100)),0)</f>
        <v/>
      </c>
      <c r="N535" s="4">
        <f>IFERROR(LET(mtype,XLOOKUP($D535,'Move Editor'!$B:$B,'Move Editor'!$C:$C,""),cat,XLOOKUP($D535,'Move Editor'!$B:$B,'Move Editor'!$D:$D,""),pow,XLOOKUP($D535,'Move Editor'!$B:$B,'Move Editor'!$E:$E,0),acc,XLOOKUP($D535,'Move Editor'!$B:$B,'Move Editor'!$F:$F,100),atk,IF(cat="Physical",FLOOR((FLOOR(((2*XLOOKUP(XLOOKUP($Q535,'Threshold Summary'!$Y:$Y,'Threshold Summary'!$K:$K,""),'Pokemon Editor'!$A:$A,'Pokemon Editor'!$F:$F,0)+31+FLOOR(XLOOKUP($Q535,'Threshold Summary'!$Y:$Y,'Threshold Summary'!$P:$P,"")/4))*XLOOKUP($Q535,'Threshold Summary'!$Y:$Y,'Threshold Summary'!$L:$L,""))/100)+5)*XLOOKUP(XLOOKUP($Q535,'Threshold Summary'!$Y:$Y,'Threshold Summary'!$M:$M,""),'Nature Editor'!$A:$A,'Nature Editor'!$B:$B,1)),FLOOR((FLOOR(((2*XLOOKUP(XLOOKUP($Q535,'Threshold Summary'!$Y:$Y,'Threshold Summary'!$K:$K,""),'Pokemon Editor'!$A:$A,'Pokemon Editor'!$H:$H,0)+31+FLOOR(XLOOKUP($Q535,'Threshold Summary'!$Y:$Y,'Threshold Summary'!$R:$R,"")/4))*XLOOKUP($Q535,'Threshold Summary'!$Y:$Y,'Threshold Summary'!$L:$L,""))/100)+5)*XLOOKUP(XLOOKUP($Q535,'Threshold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Editor'!$E:$E,1))),stab,IF(OR(mtype=XLOOKUP(XLOOKUP($Q535,'Threshold Summary'!$Y:$Y,'Threshold Summary'!$K:$K,""),'Pokemon Editor'!$A:$A,'Pokemon Editor'!$C:$C,""),mtype=XLOOKUP(XLOOKUP($Q535,'Threshold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Chart'!$B$1:$S$1,0)))),base,IF(OR(cat="Status",pow=0),0,FLOOR(FLOOR(FLOOR((2*XLOOKUP($Q535,'Threshold Summary'!$Y:$Y,'Threshold Summary'!$L:$L,"")/5+2)*pow*atk/def)/50)+2)),modifier,stab*eff,AVERAGE(ARRAYFORMULA(FLOOR(base*modifier*SEQUENCE(16,1,85,1)/100)))/(FLOOR(((2*XLOOKUP('Boss Editor'!$C$4,'Pokemon Editor'!$A:$A,'Pokemon Editor'!$E:$E,0)+31+FLOOR('Boss Editor'!$G$4/4))*'Boss Editor'!$D$4)/100)+'Boss Editor'!$D$4+10)),0)</f>
        <v/>
      </c>
      <c r="O535" s="3">
        <f>IF(N535&gt;=1,"OHKO",IF(N535&gt;=0.5,"2HKO",IF(N535&gt;=0.333,"3HKO",IF(N535&gt;=0.25,"4HKO","5HKO+"))))</f>
        <v/>
      </c>
      <c r="P535" s="3" t="inlineStr">
        <is>
          <t>Live from editable databases</t>
        </is>
      </c>
      <c r="Q535" s="3" t="inlineStr">
        <is>
          <t>SPECIES_MINCCINO</t>
        </is>
      </c>
      <c r="R535" s="3" t="n">
        <v>22</v>
      </c>
    </row>
    <row r="536">
      <c r="A536" s="3">
        <f>XLOOKUP($Q536,'Threshold Summary'!$Y:$Y,'Threshold Summary'!$A:$A,"")</f>
        <v/>
      </c>
      <c r="B536" s="3">
        <f>XLOOKUP($Q536,'Threshold Summary'!$Y:$Y,'Threshold Summary'!$M:$M,"")</f>
        <v/>
      </c>
      <c r="C536" s="3">
        <f>XLOOKUP($Q536,'Threshold Summary'!$Y:$Y,'Threshold Summary'!$N:$N,"")</f>
        <v/>
      </c>
      <c r="D536" s="3">
        <f>IFERROR(INDEX(FILTER('Learnset Editor'!$D$2:$D,'Learnset Editor'!$A$2:$A=XLOOKUP($Q536,'Threshold Summary'!$Y:$Y,'Threshold Summary'!$K:$K,""),'Learnset Editor'!$C$2:$C&lt;=XLOOKUP($Q536,'Threshold Summary'!$Y:$Y,'Threshold Summary'!$L:$L,"")),$R536),"")</f>
        <v/>
      </c>
      <c r="E536" s="3">
        <f>XLOOKUP(D536,'Move Editor'!$B:$B,'Move Editor'!$C:$C,"")</f>
        <v/>
      </c>
      <c r="F536" s="3">
        <f>XLOOKUP(D536,'Move Editor'!$B:$B,'Move Editor'!$D:$D,"")</f>
        <v/>
      </c>
      <c r="G536" s="3">
        <f>XLOOKUP(D536,'Move Editor'!$B:$B,'Move Editor'!$E:$E,0)</f>
        <v/>
      </c>
      <c r="H536" s="3">
        <f>XLOOKUP(D536,'Move Editor'!$B:$B,'Move Editor'!$F:$F,0)</f>
        <v/>
      </c>
      <c r="I536" s="3">
        <f>(INDEX('Type Chart'!$B:$S,MATCH(E536,'Type Chart'!$A:$A,0),MATCH(XLOOKUP('Boss Editor'!$C$4,'Pokemon Editor'!$A:$A,'Pokemon Editor'!$C:$C,""),'Type Chart'!$B$1:$S$1,0))*IF(XLOOKUP('Boss Editor'!$C$4,'Pokemon Editor'!$A:$A,'Pokemon Editor'!$D:$D,"")="",1,INDEX('Type Chart'!$B:$S,MATCH(E536,'Type Chart'!$A:$A,0),MATCH(XLOOKUP('Boss Editor'!$C$4,'Pokemon Editor'!$A:$A,'Pokemon Editor'!$D:$D,""),'Type Chart'!$B$1:$S$1,0))))</f>
        <v/>
      </c>
      <c r="J536" s="3">
        <f>IFERROR(LET(mtype,XLOOKUP($D536,'Move Editor'!$B:$B,'Move Editor'!$C:$C,""),cat,XLOOKUP($D536,'Move Editor'!$B:$B,'Move Editor'!$D:$D,""),pow,XLOOKUP($D536,'Move Editor'!$B:$B,'Move Editor'!$E:$E,0),acc,XLOOKUP($D536,'Move Editor'!$B:$B,'Move Editor'!$F:$F,100),atk,IF(cat="Physical",FLOOR((FLOOR(((2*XLOOKUP(XLOOKUP($Q536,'Threshold Summary'!$Y:$Y,'Threshold Summary'!$K:$K,""),'Pokemon Editor'!$A:$A,'Pokemon Editor'!$F:$F,0)+31+FLOOR(XLOOKUP($Q536,'Threshold Summary'!$Y:$Y,'Threshold Summary'!$P:$P,"")/4))*XLOOKUP($Q536,'Threshold Summary'!$Y:$Y,'Threshold Summary'!$L:$L,""))/100)+5)*XLOOKUP(XLOOKUP($Q536,'Threshold Summary'!$Y:$Y,'Threshold Summary'!$M:$M,""),'Nature Editor'!$A:$A,'Nature Editor'!$B:$B,1)),FLOOR((FLOOR(((2*XLOOKUP(XLOOKUP($Q536,'Threshold Summary'!$Y:$Y,'Threshold Summary'!$K:$K,""),'Pokemon Editor'!$A:$A,'Pokemon Editor'!$H:$H,0)+31+FLOOR(XLOOKUP($Q536,'Threshold Summary'!$Y:$Y,'Threshold Summary'!$R:$R,"")/4))*XLOOKUP($Q536,'Threshold Summary'!$Y:$Y,'Threshold Summary'!$L:$L,""))/100)+5)*XLOOKUP(XLOOKUP($Q536,'Threshold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Editor'!$E:$E,1))),stab,IF(OR(mtype=XLOOKUP(XLOOKUP($Q536,'Threshold Summary'!$Y:$Y,'Threshold Summary'!$K:$K,""),'Pokemon Editor'!$A:$A,'Pokemon Editor'!$C:$C,""),mtype=XLOOKUP(XLOOKUP($Q536,'Threshold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Chart'!$B$1:$S$1,0)))),base,IF(OR(cat="Status",pow=0),0,FLOOR(FLOOR(FLOOR((2*XLOOKUP($Q536,'Threshold Summary'!$Y:$Y,'Threshold Summary'!$L:$L,"")/5+2)*pow*atk/def)/50)+2)),modifier,stab*eff,FLOOR(base*modifier*0.85)),0)</f>
        <v/>
      </c>
      <c r="K536" s="3">
        <f>IFERROR(LET(mtype,XLOOKUP($D536,'Move Editor'!$B:$B,'Move Editor'!$C:$C,""),cat,XLOOKUP($D536,'Move Editor'!$B:$B,'Move Editor'!$D:$D,""),pow,XLOOKUP($D536,'Move Editor'!$B:$B,'Move Editor'!$E:$E,0),acc,XLOOKUP($D536,'Move Editor'!$B:$B,'Move Editor'!$F:$F,100),atk,IF(cat="Physical",FLOOR((FLOOR(((2*XLOOKUP(XLOOKUP($Q536,'Threshold Summary'!$Y:$Y,'Threshold Summary'!$K:$K,""),'Pokemon Editor'!$A:$A,'Pokemon Editor'!$F:$F,0)+31+FLOOR(XLOOKUP($Q536,'Threshold Summary'!$Y:$Y,'Threshold Summary'!$P:$P,"")/4))*XLOOKUP($Q536,'Threshold Summary'!$Y:$Y,'Threshold Summary'!$L:$L,""))/100)+5)*XLOOKUP(XLOOKUP($Q536,'Threshold Summary'!$Y:$Y,'Threshold Summary'!$M:$M,""),'Nature Editor'!$A:$A,'Nature Editor'!$B:$B,1)),FLOOR((FLOOR(((2*XLOOKUP(XLOOKUP($Q536,'Threshold Summary'!$Y:$Y,'Threshold Summary'!$K:$K,""),'Pokemon Editor'!$A:$A,'Pokemon Editor'!$H:$H,0)+31+FLOOR(XLOOKUP($Q536,'Threshold Summary'!$Y:$Y,'Threshold Summary'!$R:$R,"")/4))*XLOOKUP($Q536,'Threshold Summary'!$Y:$Y,'Threshold Summary'!$L:$L,""))/100)+5)*XLOOKUP(XLOOKUP($Q536,'Threshold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Editor'!$E:$E,1))),stab,IF(OR(mtype=XLOOKUP(XLOOKUP($Q536,'Threshold Summary'!$Y:$Y,'Threshold Summary'!$K:$K,""),'Pokemon Editor'!$A:$A,'Pokemon Editor'!$C:$C,""),mtype=XLOOKUP(XLOOKUP($Q536,'Threshold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Chart'!$B$1:$S$1,0)))),base,IF(OR(cat="Status",pow=0),0,FLOOR(FLOOR(FLOOR((2*XLOOKUP($Q536,'Threshold Summary'!$Y:$Y,'Threshold Summary'!$L:$L,"")/5+2)*pow*atk/def)/50)+2)),modifier,stab*eff,FLOOR(base*modifier)),0)</f>
        <v/>
      </c>
      <c r="L536" s="3">
        <f>IFERROR(LET(mtype,XLOOKUP($D536,'Move Editor'!$B:$B,'Move Editor'!$C:$C,""),cat,XLOOKUP($D536,'Move Editor'!$B:$B,'Move Editor'!$D:$D,""),pow,XLOOKUP($D536,'Move Editor'!$B:$B,'Move Editor'!$E:$E,0),acc,XLOOKUP($D536,'Move Editor'!$B:$B,'Move Editor'!$F:$F,100),atk,IF(cat="Physical",FLOOR((FLOOR(((2*XLOOKUP(XLOOKUP($Q536,'Threshold Summary'!$Y:$Y,'Threshold Summary'!$K:$K,""),'Pokemon Editor'!$A:$A,'Pokemon Editor'!$F:$F,0)+31+FLOOR(XLOOKUP($Q536,'Threshold Summary'!$Y:$Y,'Threshold Summary'!$P:$P,"")/4))*XLOOKUP($Q536,'Threshold Summary'!$Y:$Y,'Threshold Summary'!$L:$L,""))/100)+5)*XLOOKUP(XLOOKUP($Q536,'Threshold Summary'!$Y:$Y,'Threshold Summary'!$M:$M,""),'Nature Editor'!$A:$A,'Nature Editor'!$B:$B,1)),FLOOR((FLOOR(((2*XLOOKUP(XLOOKUP($Q536,'Threshold Summary'!$Y:$Y,'Threshold Summary'!$K:$K,""),'Pokemon Editor'!$A:$A,'Pokemon Editor'!$H:$H,0)+31+FLOOR(XLOOKUP($Q536,'Threshold Summary'!$Y:$Y,'Threshold Summary'!$R:$R,"")/4))*XLOOKUP($Q536,'Threshold Summary'!$Y:$Y,'Threshold Summary'!$L:$L,""))/100)+5)*XLOOKUP(XLOOKUP($Q536,'Threshold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Editor'!$E:$E,1))),stab,IF(OR(mtype=XLOOKUP(XLOOKUP($Q536,'Threshold Summary'!$Y:$Y,'Threshold Summary'!$K:$K,""),'Pokemon Editor'!$A:$A,'Pokemon Editor'!$C:$C,""),mtype=XLOOKUP(XLOOKUP($Q536,'Threshold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Chart'!$B$1:$S$1,0)))),base,IF(OR(cat="Status",pow=0),0,FLOOR(FLOOR(FLOOR((2*XLOOKUP($Q536,'Threshold Summary'!$Y:$Y,'Threshold Summary'!$L:$L,"")/5+2)*pow*atk/def)/50)+2)),modifier,stab*eff,AVERAGE(ARRAYFORMULA(FLOOR(base*modifier*SEQUENCE(16,1,85,1)/100)))),0)</f>
        <v/>
      </c>
      <c r="M536" s="3">
        <f>IFERROR(LET(mtype,XLOOKUP($D536,'Move Editor'!$B:$B,'Move Editor'!$C:$C,""),cat,XLOOKUP($D536,'Move Editor'!$B:$B,'Move Editor'!$D:$D,""),pow,XLOOKUP($D536,'Move Editor'!$B:$B,'Move Editor'!$E:$E,0),acc,XLOOKUP($D536,'Move Editor'!$B:$B,'Move Editor'!$F:$F,100),atk,IF(cat="Physical",FLOOR((FLOOR(((2*XLOOKUP(XLOOKUP($Q536,'Threshold Summary'!$Y:$Y,'Threshold Summary'!$K:$K,""),'Pokemon Editor'!$A:$A,'Pokemon Editor'!$F:$F,0)+31+FLOOR(XLOOKUP($Q536,'Threshold Summary'!$Y:$Y,'Threshold Summary'!$P:$P,"")/4))*XLOOKUP($Q536,'Threshold Summary'!$Y:$Y,'Threshold Summary'!$L:$L,""))/100)+5)*XLOOKUP(XLOOKUP($Q536,'Threshold Summary'!$Y:$Y,'Threshold Summary'!$M:$M,""),'Nature Editor'!$A:$A,'Nature Editor'!$B:$B,1)),FLOOR((FLOOR(((2*XLOOKUP(XLOOKUP($Q536,'Threshold Summary'!$Y:$Y,'Threshold Summary'!$K:$K,""),'Pokemon Editor'!$A:$A,'Pokemon Editor'!$H:$H,0)+31+FLOOR(XLOOKUP($Q536,'Threshold Summary'!$Y:$Y,'Threshold Summary'!$R:$R,"")/4))*XLOOKUP($Q536,'Threshold Summary'!$Y:$Y,'Threshold Summary'!$L:$L,""))/100)+5)*XLOOKUP(XLOOKUP($Q536,'Threshold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Editor'!$E:$E,1))),stab,IF(OR(mtype=XLOOKUP(XLOOKUP($Q536,'Threshold Summary'!$Y:$Y,'Threshold Summary'!$K:$K,""),'Pokemon Editor'!$A:$A,'Pokemon Editor'!$C:$C,""),mtype=XLOOKUP(XLOOKUP($Q536,'Threshold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Chart'!$B$1:$S$1,0)))),base,IF(OR(cat="Status",pow=0),0,FLOOR(FLOOR(FLOOR((2*XLOOKUP($Q536,'Threshold Summary'!$Y:$Y,'Threshold Summary'!$L:$L,"")/5+2)*pow*atk/def)/50)+2)),modifier,stab*eff,AVERAGE(ARRAYFORMULA(FLOOR(base*modifier*SEQUENCE(16,1,85,1)/100)))*MIN(1,acc/100)),0)</f>
        <v/>
      </c>
      <c r="N536" s="4">
        <f>IFERROR(LET(mtype,XLOOKUP($D536,'Move Editor'!$B:$B,'Move Editor'!$C:$C,""),cat,XLOOKUP($D536,'Move Editor'!$B:$B,'Move Editor'!$D:$D,""),pow,XLOOKUP($D536,'Move Editor'!$B:$B,'Move Editor'!$E:$E,0),acc,XLOOKUP($D536,'Move Editor'!$B:$B,'Move Editor'!$F:$F,100),atk,IF(cat="Physical",FLOOR((FLOOR(((2*XLOOKUP(XLOOKUP($Q536,'Threshold Summary'!$Y:$Y,'Threshold Summary'!$K:$K,""),'Pokemon Editor'!$A:$A,'Pokemon Editor'!$F:$F,0)+31+FLOOR(XLOOKUP($Q536,'Threshold Summary'!$Y:$Y,'Threshold Summary'!$P:$P,"")/4))*XLOOKUP($Q536,'Threshold Summary'!$Y:$Y,'Threshold Summary'!$L:$L,""))/100)+5)*XLOOKUP(XLOOKUP($Q536,'Threshold Summary'!$Y:$Y,'Threshold Summary'!$M:$M,""),'Nature Editor'!$A:$A,'Nature Editor'!$B:$B,1)),FLOOR((FLOOR(((2*XLOOKUP(XLOOKUP($Q536,'Threshold Summary'!$Y:$Y,'Threshold Summary'!$K:$K,""),'Pokemon Editor'!$A:$A,'Pokemon Editor'!$H:$H,0)+31+FLOOR(XLOOKUP($Q536,'Threshold Summary'!$Y:$Y,'Threshold Summary'!$R:$R,"")/4))*XLOOKUP($Q536,'Threshold Summary'!$Y:$Y,'Threshold Summary'!$L:$L,""))/100)+5)*XLOOKUP(XLOOKUP($Q536,'Threshold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Editor'!$E:$E,1))),stab,IF(OR(mtype=XLOOKUP(XLOOKUP($Q536,'Threshold Summary'!$Y:$Y,'Threshold Summary'!$K:$K,""),'Pokemon Editor'!$A:$A,'Pokemon Editor'!$C:$C,""),mtype=XLOOKUP(XLOOKUP($Q536,'Threshold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Chart'!$B$1:$S$1,0)))),base,IF(OR(cat="Status",pow=0),0,FLOOR(FLOOR(FLOOR((2*XLOOKUP($Q536,'Threshold Summary'!$Y:$Y,'Threshold Summary'!$L:$L,"")/5+2)*pow*atk/def)/50)+2)),modifier,stab*eff,AVERAGE(ARRAYFORMULA(FLOOR(base*modifier*SEQUENCE(16,1,85,1)/100)))/(FLOOR(((2*XLOOKUP('Boss Editor'!$C$4,'Pokemon Editor'!$A:$A,'Pokemon Editor'!$E:$E,0)+31+FLOOR('Boss Editor'!$G$4/4))*'Boss Editor'!$D$4)/100)+'Boss Editor'!$D$4+10)),0)</f>
        <v/>
      </c>
      <c r="O536" s="3">
        <f>IF(N536&gt;=1,"OHKO",IF(N536&gt;=0.5,"2HKO",IF(N536&gt;=0.333,"3HKO",IF(N536&gt;=0.25,"4HKO","5HKO+"))))</f>
        <v/>
      </c>
      <c r="P536" s="3" t="inlineStr">
        <is>
          <t>Live from editable databases</t>
        </is>
      </c>
      <c r="Q536" s="3" t="inlineStr">
        <is>
          <t>SPECIES_MINCCINO</t>
        </is>
      </c>
      <c r="R536" s="3" t="n">
        <v>23</v>
      </c>
    </row>
    <row r="537">
      <c r="A537" s="3">
        <f>XLOOKUP($Q537,'Threshold Summary'!$Y:$Y,'Threshold Summary'!$A:$A,"")</f>
        <v/>
      </c>
      <c r="B537" s="3">
        <f>XLOOKUP($Q537,'Threshold Summary'!$Y:$Y,'Threshold Summary'!$M:$M,"")</f>
        <v/>
      </c>
      <c r="C537" s="3">
        <f>XLOOKUP($Q537,'Threshold Summary'!$Y:$Y,'Threshold Summary'!$N:$N,"")</f>
        <v/>
      </c>
      <c r="D537" s="3">
        <f>IFERROR(INDEX(FILTER('Learnset Editor'!$D$2:$D,'Learnset Editor'!$A$2:$A=XLOOKUP($Q537,'Threshold Summary'!$Y:$Y,'Threshold Summary'!$K:$K,""),'Learnset Editor'!$C$2:$C&lt;=XLOOKUP($Q537,'Threshold Summary'!$Y:$Y,'Threshold Summary'!$L:$L,"")),$R537),"")</f>
        <v/>
      </c>
      <c r="E537" s="3">
        <f>XLOOKUP(D537,'Move Editor'!$B:$B,'Move Editor'!$C:$C,"")</f>
        <v/>
      </c>
      <c r="F537" s="3">
        <f>XLOOKUP(D537,'Move Editor'!$B:$B,'Move Editor'!$D:$D,"")</f>
        <v/>
      </c>
      <c r="G537" s="3">
        <f>XLOOKUP(D537,'Move Editor'!$B:$B,'Move Editor'!$E:$E,0)</f>
        <v/>
      </c>
      <c r="H537" s="3">
        <f>XLOOKUP(D537,'Move Editor'!$B:$B,'Move Editor'!$F:$F,0)</f>
        <v/>
      </c>
      <c r="I537" s="3">
        <f>(INDEX('Type Chart'!$B:$S,MATCH(E537,'Type Chart'!$A:$A,0),MATCH(XLOOKUP('Boss Editor'!$C$4,'Pokemon Editor'!$A:$A,'Pokemon Editor'!$C:$C,""),'Type Chart'!$B$1:$S$1,0))*IF(XLOOKUP('Boss Editor'!$C$4,'Pokemon Editor'!$A:$A,'Pokemon Editor'!$D:$D,"")="",1,INDEX('Type Chart'!$B:$S,MATCH(E537,'Type Chart'!$A:$A,0),MATCH(XLOOKUP('Boss Editor'!$C$4,'Pokemon Editor'!$A:$A,'Pokemon Editor'!$D:$D,""),'Type Chart'!$B$1:$S$1,0))))</f>
        <v/>
      </c>
      <c r="J537" s="3">
        <f>IFERROR(LET(mtype,XLOOKUP($D537,'Move Editor'!$B:$B,'Move Editor'!$C:$C,""),cat,XLOOKUP($D537,'Move Editor'!$B:$B,'Move Editor'!$D:$D,""),pow,XLOOKUP($D537,'Move Editor'!$B:$B,'Move Editor'!$E:$E,0),acc,XLOOKUP($D537,'Move Editor'!$B:$B,'Move Editor'!$F:$F,100),atk,IF(cat="Physical",FLOOR((FLOOR(((2*XLOOKUP(XLOOKUP($Q537,'Threshold Summary'!$Y:$Y,'Threshold Summary'!$K:$K,""),'Pokemon Editor'!$A:$A,'Pokemon Editor'!$F:$F,0)+31+FLOOR(XLOOKUP($Q537,'Threshold Summary'!$Y:$Y,'Threshold Summary'!$P:$P,"")/4))*XLOOKUP($Q537,'Threshold Summary'!$Y:$Y,'Threshold Summary'!$L:$L,""))/100)+5)*XLOOKUP(XLOOKUP($Q537,'Threshold Summary'!$Y:$Y,'Threshold Summary'!$M:$M,""),'Nature Editor'!$A:$A,'Nature Editor'!$B:$B,1)),FLOOR((FLOOR(((2*XLOOKUP(XLOOKUP($Q537,'Threshold Summary'!$Y:$Y,'Threshold Summary'!$K:$K,""),'Pokemon Editor'!$A:$A,'Pokemon Editor'!$H:$H,0)+31+FLOOR(XLOOKUP($Q537,'Threshold Summary'!$Y:$Y,'Threshold Summary'!$R:$R,"")/4))*XLOOKUP($Q537,'Threshold Summary'!$Y:$Y,'Threshold Summary'!$L:$L,""))/100)+5)*XLOOKUP(XLOOKUP($Q537,'Threshold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Editor'!$E:$E,1))),stab,IF(OR(mtype=XLOOKUP(XLOOKUP($Q537,'Threshold Summary'!$Y:$Y,'Threshold Summary'!$K:$K,""),'Pokemon Editor'!$A:$A,'Pokemon Editor'!$C:$C,""),mtype=XLOOKUP(XLOOKUP($Q537,'Threshold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Chart'!$B$1:$S$1,0)))),base,IF(OR(cat="Status",pow=0),0,FLOOR(FLOOR(FLOOR((2*XLOOKUP($Q537,'Threshold Summary'!$Y:$Y,'Threshold Summary'!$L:$L,"")/5+2)*pow*atk/def)/50)+2)),modifier,stab*eff,FLOOR(base*modifier*0.85)),0)</f>
        <v/>
      </c>
      <c r="K537" s="3">
        <f>IFERROR(LET(mtype,XLOOKUP($D537,'Move Editor'!$B:$B,'Move Editor'!$C:$C,""),cat,XLOOKUP($D537,'Move Editor'!$B:$B,'Move Editor'!$D:$D,""),pow,XLOOKUP($D537,'Move Editor'!$B:$B,'Move Editor'!$E:$E,0),acc,XLOOKUP($D537,'Move Editor'!$B:$B,'Move Editor'!$F:$F,100),atk,IF(cat="Physical",FLOOR((FLOOR(((2*XLOOKUP(XLOOKUP($Q537,'Threshold Summary'!$Y:$Y,'Threshold Summary'!$K:$K,""),'Pokemon Editor'!$A:$A,'Pokemon Editor'!$F:$F,0)+31+FLOOR(XLOOKUP($Q537,'Threshold Summary'!$Y:$Y,'Threshold Summary'!$P:$P,"")/4))*XLOOKUP($Q537,'Threshold Summary'!$Y:$Y,'Threshold Summary'!$L:$L,""))/100)+5)*XLOOKUP(XLOOKUP($Q537,'Threshold Summary'!$Y:$Y,'Threshold Summary'!$M:$M,""),'Nature Editor'!$A:$A,'Nature Editor'!$B:$B,1)),FLOOR((FLOOR(((2*XLOOKUP(XLOOKUP($Q537,'Threshold Summary'!$Y:$Y,'Threshold Summary'!$K:$K,""),'Pokemon Editor'!$A:$A,'Pokemon Editor'!$H:$H,0)+31+FLOOR(XLOOKUP($Q537,'Threshold Summary'!$Y:$Y,'Threshold Summary'!$R:$R,"")/4))*XLOOKUP($Q537,'Threshold Summary'!$Y:$Y,'Threshold Summary'!$L:$L,""))/100)+5)*XLOOKUP(XLOOKUP($Q537,'Threshold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Editor'!$E:$E,1))),stab,IF(OR(mtype=XLOOKUP(XLOOKUP($Q537,'Threshold Summary'!$Y:$Y,'Threshold Summary'!$K:$K,""),'Pokemon Editor'!$A:$A,'Pokemon Editor'!$C:$C,""),mtype=XLOOKUP(XLOOKUP($Q537,'Threshold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Chart'!$B$1:$S$1,0)))),base,IF(OR(cat="Status",pow=0),0,FLOOR(FLOOR(FLOOR((2*XLOOKUP($Q537,'Threshold Summary'!$Y:$Y,'Threshold Summary'!$L:$L,"")/5+2)*pow*atk/def)/50)+2)),modifier,stab*eff,FLOOR(base*modifier)),0)</f>
        <v/>
      </c>
      <c r="L537" s="3">
        <f>IFERROR(LET(mtype,XLOOKUP($D537,'Move Editor'!$B:$B,'Move Editor'!$C:$C,""),cat,XLOOKUP($D537,'Move Editor'!$B:$B,'Move Editor'!$D:$D,""),pow,XLOOKUP($D537,'Move Editor'!$B:$B,'Move Editor'!$E:$E,0),acc,XLOOKUP($D537,'Move Editor'!$B:$B,'Move Editor'!$F:$F,100),atk,IF(cat="Physical",FLOOR((FLOOR(((2*XLOOKUP(XLOOKUP($Q537,'Threshold Summary'!$Y:$Y,'Threshold Summary'!$K:$K,""),'Pokemon Editor'!$A:$A,'Pokemon Editor'!$F:$F,0)+31+FLOOR(XLOOKUP($Q537,'Threshold Summary'!$Y:$Y,'Threshold Summary'!$P:$P,"")/4))*XLOOKUP($Q537,'Threshold Summary'!$Y:$Y,'Threshold Summary'!$L:$L,""))/100)+5)*XLOOKUP(XLOOKUP($Q537,'Threshold Summary'!$Y:$Y,'Threshold Summary'!$M:$M,""),'Nature Editor'!$A:$A,'Nature Editor'!$B:$B,1)),FLOOR((FLOOR(((2*XLOOKUP(XLOOKUP($Q537,'Threshold Summary'!$Y:$Y,'Threshold Summary'!$K:$K,""),'Pokemon Editor'!$A:$A,'Pokemon Editor'!$H:$H,0)+31+FLOOR(XLOOKUP($Q537,'Threshold Summary'!$Y:$Y,'Threshold Summary'!$R:$R,"")/4))*XLOOKUP($Q537,'Threshold Summary'!$Y:$Y,'Threshold Summary'!$L:$L,""))/100)+5)*XLOOKUP(XLOOKUP($Q537,'Threshold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Editor'!$E:$E,1))),stab,IF(OR(mtype=XLOOKUP(XLOOKUP($Q537,'Threshold Summary'!$Y:$Y,'Threshold Summary'!$K:$K,""),'Pokemon Editor'!$A:$A,'Pokemon Editor'!$C:$C,""),mtype=XLOOKUP(XLOOKUP($Q537,'Threshold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Chart'!$B$1:$S$1,0)))),base,IF(OR(cat="Status",pow=0),0,FLOOR(FLOOR(FLOOR((2*XLOOKUP($Q537,'Threshold Summary'!$Y:$Y,'Threshold Summary'!$L:$L,"")/5+2)*pow*atk/def)/50)+2)),modifier,stab*eff,AVERAGE(ARRAYFORMULA(FLOOR(base*modifier*SEQUENCE(16,1,85,1)/100)))),0)</f>
        <v/>
      </c>
      <c r="M537" s="3">
        <f>IFERROR(LET(mtype,XLOOKUP($D537,'Move Editor'!$B:$B,'Move Editor'!$C:$C,""),cat,XLOOKUP($D537,'Move Editor'!$B:$B,'Move Editor'!$D:$D,""),pow,XLOOKUP($D537,'Move Editor'!$B:$B,'Move Editor'!$E:$E,0),acc,XLOOKUP($D537,'Move Editor'!$B:$B,'Move Editor'!$F:$F,100),atk,IF(cat="Physical",FLOOR((FLOOR(((2*XLOOKUP(XLOOKUP($Q537,'Threshold Summary'!$Y:$Y,'Threshold Summary'!$K:$K,""),'Pokemon Editor'!$A:$A,'Pokemon Editor'!$F:$F,0)+31+FLOOR(XLOOKUP($Q537,'Threshold Summary'!$Y:$Y,'Threshold Summary'!$P:$P,"")/4))*XLOOKUP($Q537,'Threshold Summary'!$Y:$Y,'Threshold Summary'!$L:$L,""))/100)+5)*XLOOKUP(XLOOKUP($Q537,'Threshold Summary'!$Y:$Y,'Threshold Summary'!$M:$M,""),'Nature Editor'!$A:$A,'Nature Editor'!$B:$B,1)),FLOOR((FLOOR(((2*XLOOKUP(XLOOKUP($Q537,'Threshold Summary'!$Y:$Y,'Threshold Summary'!$K:$K,""),'Pokemon Editor'!$A:$A,'Pokemon Editor'!$H:$H,0)+31+FLOOR(XLOOKUP($Q537,'Threshold Summary'!$Y:$Y,'Threshold Summary'!$R:$R,"")/4))*XLOOKUP($Q537,'Threshold Summary'!$Y:$Y,'Threshold Summary'!$L:$L,""))/100)+5)*XLOOKUP(XLOOKUP($Q537,'Threshold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Editor'!$E:$E,1))),stab,IF(OR(mtype=XLOOKUP(XLOOKUP($Q537,'Threshold Summary'!$Y:$Y,'Threshold Summary'!$K:$K,""),'Pokemon Editor'!$A:$A,'Pokemon Editor'!$C:$C,""),mtype=XLOOKUP(XLOOKUP($Q537,'Threshold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Chart'!$B$1:$S$1,0)))),base,IF(OR(cat="Status",pow=0),0,FLOOR(FLOOR(FLOOR((2*XLOOKUP($Q537,'Threshold Summary'!$Y:$Y,'Threshold Summary'!$L:$L,"")/5+2)*pow*atk/def)/50)+2)),modifier,stab*eff,AVERAGE(ARRAYFORMULA(FLOOR(base*modifier*SEQUENCE(16,1,85,1)/100)))*MIN(1,acc/100)),0)</f>
        <v/>
      </c>
      <c r="N537" s="4">
        <f>IFERROR(LET(mtype,XLOOKUP($D537,'Move Editor'!$B:$B,'Move Editor'!$C:$C,""),cat,XLOOKUP($D537,'Move Editor'!$B:$B,'Move Editor'!$D:$D,""),pow,XLOOKUP($D537,'Move Editor'!$B:$B,'Move Editor'!$E:$E,0),acc,XLOOKUP($D537,'Move Editor'!$B:$B,'Move Editor'!$F:$F,100),atk,IF(cat="Physical",FLOOR((FLOOR(((2*XLOOKUP(XLOOKUP($Q537,'Threshold Summary'!$Y:$Y,'Threshold Summary'!$K:$K,""),'Pokemon Editor'!$A:$A,'Pokemon Editor'!$F:$F,0)+31+FLOOR(XLOOKUP($Q537,'Threshold Summary'!$Y:$Y,'Threshold Summary'!$P:$P,"")/4))*XLOOKUP($Q537,'Threshold Summary'!$Y:$Y,'Threshold Summary'!$L:$L,""))/100)+5)*XLOOKUP(XLOOKUP($Q537,'Threshold Summary'!$Y:$Y,'Threshold Summary'!$M:$M,""),'Nature Editor'!$A:$A,'Nature Editor'!$B:$B,1)),FLOOR((FLOOR(((2*XLOOKUP(XLOOKUP($Q537,'Threshold Summary'!$Y:$Y,'Threshold Summary'!$K:$K,""),'Pokemon Editor'!$A:$A,'Pokemon Editor'!$H:$H,0)+31+FLOOR(XLOOKUP($Q537,'Threshold Summary'!$Y:$Y,'Threshold Summary'!$R:$R,"")/4))*XLOOKUP($Q537,'Threshold Summary'!$Y:$Y,'Threshold Summary'!$L:$L,""))/100)+5)*XLOOKUP(XLOOKUP($Q537,'Threshold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Editor'!$E:$E,1))),stab,IF(OR(mtype=XLOOKUP(XLOOKUP($Q537,'Threshold Summary'!$Y:$Y,'Threshold Summary'!$K:$K,""),'Pokemon Editor'!$A:$A,'Pokemon Editor'!$C:$C,""),mtype=XLOOKUP(XLOOKUP($Q537,'Threshold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Chart'!$B$1:$S$1,0)))),base,IF(OR(cat="Status",pow=0),0,FLOOR(FLOOR(FLOOR((2*XLOOKUP($Q537,'Threshold Summary'!$Y:$Y,'Threshold Summary'!$L:$L,"")/5+2)*pow*atk/def)/50)+2)),modifier,stab*eff,AVERAGE(ARRAYFORMULA(FLOOR(base*modifier*SEQUENCE(16,1,85,1)/100)))/(FLOOR(((2*XLOOKUP('Boss Editor'!$C$4,'Pokemon Editor'!$A:$A,'Pokemon Editor'!$E:$E,0)+31+FLOOR('Boss Editor'!$G$4/4))*'Boss Editor'!$D$4)/100)+'Boss Editor'!$D$4+10)),0)</f>
        <v/>
      </c>
      <c r="O537" s="3">
        <f>IF(N537&gt;=1,"OHKO",IF(N537&gt;=0.5,"2HKO",IF(N537&gt;=0.333,"3HKO",IF(N537&gt;=0.25,"4HKO","5HKO+"))))</f>
        <v/>
      </c>
      <c r="P537" s="3" t="inlineStr">
        <is>
          <t>Live from editable databases</t>
        </is>
      </c>
      <c r="Q537" s="3" t="inlineStr">
        <is>
          <t>SPECIES_MINCCINO</t>
        </is>
      </c>
      <c r="R537" s="3" t="n">
        <v>24</v>
      </c>
    </row>
    <row r="538">
      <c r="A538" s="3">
        <f>XLOOKUP($Q538,'Threshold Summary'!$Y:$Y,'Threshold Summary'!$A:$A,"")</f>
        <v/>
      </c>
      <c r="B538" s="3">
        <f>XLOOKUP($Q538,'Threshold Summary'!$Y:$Y,'Threshold Summary'!$M:$M,"")</f>
        <v/>
      </c>
      <c r="C538" s="3">
        <f>XLOOKUP($Q538,'Threshold Summary'!$Y:$Y,'Threshold Summary'!$N:$N,"")</f>
        <v/>
      </c>
      <c r="D538" s="3">
        <f>IFERROR(INDEX(FILTER('Learnset Editor'!$D$2:$D,'Learnset Editor'!$A$2:$A=XLOOKUP($Q538,'Threshold Summary'!$Y:$Y,'Threshold Summary'!$K:$K,""),'Learnset Editor'!$C$2:$C&lt;=XLOOKUP($Q538,'Threshold Summary'!$Y:$Y,'Threshold Summary'!$L:$L,"")),$R538),"")</f>
        <v/>
      </c>
      <c r="E538" s="3">
        <f>XLOOKUP(D538,'Move Editor'!$B:$B,'Move Editor'!$C:$C,"")</f>
        <v/>
      </c>
      <c r="F538" s="3">
        <f>XLOOKUP(D538,'Move Editor'!$B:$B,'Move Editor'!$D:$D,"")</f>
        <v/>
      </c>
      <c r="G538" s="3">
        <f>XLOOKUP(D538,'Move Editor'!$B:$B,'Move Editor'!$E:$E,0)</f>
        <v/>
      </c>
      <c r="H538" s="3">
        <f>XLOOKUP(D538,'Move Editor'!$B:$B,'Move Editor'!$F:$F,0)</f>
        <v/>
      </c>
      <c r="I538" s="3">
        <f>(INDEX('Type Chart'!$B:$S,MATCH(E538,'Type Chart'!$A:$A,0),MATCH(XLOOKUP('Boss Editor'!$C$4,'Pokemon Editor'!$A:$A,'Pokemon Editor'!$C:$C,""),'Type Chart'!$B$1:$S$1,0))*IF(XLOOKUP('Boss Editor'!$C$4,'Pokemon Editor'!$A:$A,'Pokemon Editor'!$D:$D,"")="",1,INDEX('Type Chart'!$B:$S,MATCH(E538,'Type Chart'!$A:$A,0),MATCH(XLOOKUP('Boss Editor'!$C$4,'Pokemon Editor'!$A:$A,'Pokemon Editor'!$D:$D,""),'Type Chart'!$B$1:$S$1,0))))</f>
        <v/>
      </c>
      <c r="J538" s="3">
        <f>IFERROR(LET(mtype,XLOOKUP($D538,'Move Editor'!$B:$B,'Move Editor'!$C:$C,""),cat,XLOOKUP($D538,'Move Editor'!$B:$B,'Move Editor'!$D:$D,""),pow,XLOOKUP($D538,'Move Editor'!$B:$B,'Move Editor'!$E:$E,0),acc,XLOOKUP($D538,'Move Editor'!$B:$B,'Move Editor'!$F:$F,100),atk,IF(cat="Physical",FLOOR((FLOOR(((2*XLOOKUP(XLOOKUP($Q538,'Threshold Summary'!$Y:$Y,'Threshold Summary'!$K:$K,""),'Pokemon Editor'!$A:$A,'Pokemon Editor'!$F:$F,0)+31+FLOOR(XLOOKUP($Q538,'Threshold Summary'!$Y:$Y,'Threshold Summary'!$P:$P,"")/4))*XLOOKUP($Q538,'Threshold Summary'!$Y:$Y,'Threshold Summary'!$L:$L,""))/100)+5)*XLOOKUP(XLOOKUP($Q538,'Threshold Summary'!$Y:$Y,'Threshold Summary'!$M:$M,""),'Nature Editor'!$A:$A,'Nature Editor'!$B:$B,1)),FLOOR((FLOOR(((2*XLOOKUP(XLOOKUP($Q538,'Threshold Summary'!$Y:$Y,'Threshold Summary'!$K:$K,""),'Pokemon Editor'!$A:$A,'Pokemon Editor'!$H:$H,0)+31+FLOOR(XLOOKUP($Q538,'Threshold Summary'!$Y:$Y,'Threshold Summary'!$R:$R,"")/4))*XLOOKUP($Q538,'Threshold Summary'!$Y:$Y,'Threshold Summary'!$L:$L,""))/100)+5)*XLOOKUP(XLOOKUP($Q538,'Threshold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Editor'!$E:$E,1))),stab,IF(OR(mtype=XLOOKUP(XLOOKUP($Q538,'Threshold Summary'!$Y:$Y,'Threshold Summary'!$K:$K,""),'Pokemon Editor'!$A:$A,'Pokemon Editor'!$C:$C,""),mtype=XLOOKUP(XLOOKUP($Q538,'Threshold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Chart'!$B$1:$S$1,0)))),base,IF(OR(cat="Status",pow=0),0,FLOOR(FLOOR(FLOOR((2*XLOOKUP($Q538,'Threshold Summary'!$Y:$Y,'Threshold Summary'!$L:$L,"")/5+2)*pow*atk/def)/50)+2)),modifier,stab*eff,FLOOR(base*modifier*0.85)),0)</f>
        <v/>
      </c>
      <c r="K538" s="3">
        <f>IFERROR(LET(mtype,XLOOKUP($D538,'Move Editor'!$B:$B,'Move Editor'!$C:$C,""),cat,XLOOKUP($D538,'Move Editor'!$B:$B,'Move Editor'!$D:$D,""),pow,XLOOKUP($D538,'Move Editor'!$B:$B,'Move Editor'!$E:$E,0),acc,XLOOKUP($D538,'Move Editor'!$B:$B,'Move Editor'!$F:$F,100),atk,IF(cat="Physical",FLOOR((FLOOR(((2*XLOOKUP(XLOOKUP($Q538,'Threshold Summary'!$Y:$Y,'Threshold Summary'!$K:$K,""),'Pokemon Editor'!$A:$A,'Pokemon Editor'!$F:$F,0)+31+FLOOR(XLOOKUP($Q538,'Threshold Summary'!$Y:$Y,'Threshold Summary'!$P:$P,"")/4))*XLOOKUP($Q538,'Threshold Summary'!$Y:$Y,'Threshold Summary'!$L:$L,""))/100)+5)*XLOOKUP(XLOOKUP($Q538,'Threshold Summary'!$Y:$Y,'Threshold Summary'!$M:$M,""),'Nature Editor'!$A:$A,'Nature Editor'!$B:$B,1)),FLOOR((FLOOR(((2*XLOOKUP(XLOOKUP($Q538,'Threshold Summary'!$Y:$Y,'Threshold Summary'!$K:$K,""),'Pokemon Editor'!$A:$A,'Pokemon Editor'!$H:$H,0)+31+FLOOR(XLOOKUP($Q538,'Threshold Summary'!$Y:$Y,'Threshold Summary'!$R:$R,"")/4))*XLOOKUP($Q538,'Threshold Summary'!$Y:$Y,'Threshold Summary'!$L:$L,""))/100)+5)*XLOOKUP(XLOOKUP($Q538,'Threshold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Editor'!$E:$E,1))),stab,IF(OR(mtype=XLOOKUP(XLOOKUP($Q538,'Threshold Summary'!$Y:$Y,'Threshold Summary'!$K:$K,""),'Pokemon Editor'!$A:$A,'Pokemon Editor'!$C:$C,""),mtype=XLOOKUP(XLOOKUP($Q538,'Threshold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Chart'!$B$1:$S$1,0)))),base,IF(OR(cat="Status",pow=0),0,FLOOR(FLOOR(FLOOR((2*XLOOKUP($Q538,'Threshold Summary'!$Y:$Y,'Threshold Summary'!$L:$L,"")/5+2)*pow*atk/def)/50)+2)),modifier,stab*eff,FLOOR(base*modifier)),0)</f>
        <v/>
      </c>
      <c r="L538" s="3">
        <f>IFERROR(LET(mtype,XLOOKUP($D538,'Move Editor'!$B:$B,'Move Editor'!$C:$C,""),cat,XLOOKUP($D538,'Move Editor'!$B:$B,'Move Editor'!$D:$D,""),pow,XLOOKUP($D538,'Move Editor'!$B:$B,'Move Editor'!$E:$E,0),acc,XLOOKUP($D538,'Move Editor'!$B:$B,'Move Editor'!$F:$F,100),atk,IF(cat="Physical",FLOOR((FLOOR(((2*XLOOKUP(XLOOKUP($Q538,'Threshold Summary'!$Y:$Y,'Threshold Summary'!$K:$K,""),'Pokemon Editor'!$A:$A,'Pokemon Editor'!$F:$F,0)+31+FLOOR(XLOOKUP($Q538,'Threshold Summary'!$Y:$Y,'Threshold Summary'!$P:$P,"")/4))*XLOOKUP($Q538,'Threshold Summary'!$Y:$Y,'Threshold Summary'!$L:$L,""))/100)+5)*XLOOKUP(XLOOKUP($Q538,'Threshold Summary'!$Y:$Y,'Threshold Summary'!$M:$M,""),'Nature Editor'!$A:$A,'Nature Editor'!$B:$B,1)),FLOOR((FLOOR(((2*XLOOKUP(XLOOKUP($Q538,'Threshold Summary'!$Y:$Y,'Threshold Summary'!$K:$K,""),'Pokemon Editor'!$A:$A,'Pokemon Editor'!$H:$H,0)+31+FLOOR(XLOOKUP($Q538,'Threshold Summary'!$Y:$Y,'Threshold Summary'!$R:$R,"")/4))*XLOOKUP($Q538,'Threshold Summary'!$Y:$Y,'Threshold Summary'!$L:$L,""))/100)+5)*XLOOKUP(XLOOKUP($Q538,'Threshold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Editor'!$E:$E,1))),stab,IF(OR(mtype=XLOOKUP(XLOOKUP($Q538,'Threshold Summary'!$Y:$Y,'Threshold Summary'!$K:$K,""),'Pokemon Editor'!$A:$A,'Pokemon Editor'!$C:$C,""),mtype=XLOOKUP(XLOOKUP($Q538,'Threshold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Chart'!$B$1:$S$1,0)))),base,IF(OR(cat="Status",pow=0),0,FLOOR(FLOOR(FLOOR((2*XLOOKUP($Q538,'Threshold Summary'!$Y:$Y,'Threshold Summary'!$L:$L,"")/5+2)*pow*atk/def)/50)+2)),modifier,stab*eff,AVERAGE(ARRAYFORMULA(FLOOR(base*modifier*SEQUENCE(16,1,85,1)/100)))),0)</f>
        <v/>
      </c>
      <c r="M538" s="3">
        <f>IFERROR(LET(mtype,XLOOKUP($D538,'Move Editor'!$B:$B,'Move Editor'!$C:$C,""),cat,XLOOKUP($D538,'Move Editor'!$B:$B,'Move Editor'!$D:$D,""),pow,XLOOKUP($D538,'Move Editor'!$B:$B,'Move Editor'!$E:$E,0),acc,XLOOKUP($D538,'Move Editor'!$B:$B,'Move Editor'!$F:$F,100),atk,IF(cat="Physical",FLOOR((FLOOR(((2*XLOOKUP(XLOOKUP($Q538,'Threshold Summary'!$Y:$Y,'Threshold Summary'!$K:$K,""),'Pokemon Editor'!$A:$A,'Pokemon Editor'!$F:$F,0)+31+FLOOR(XLOOKUP($Q538,'Threshold Summary'!$Y:$Y,'Threshold Summary'!$P:$P,"")/4))*XLOOKUP($Q538,'Threshold Summary'!$Y:$Y,'Threshold Summary'!$L:$L,""))/100)+5)*XLOOKUP(XLOOKUP($Q538,'Threshold Summary'!$Y:$Y,'Threshold Summary'!$M:$M,""),'Nature Editor'!$A:$A,'Nature Editor'!$B:$B,1)),FLOOR((FLOOR(((2*XLOOKUP(XLOOKUP($Q538,'Threshold Summary'!$Y:$Y,'Threshold Summary'!$K:$K,""),'Pokemon Editor'!$A:$A,'Pokemon Editor'!$H:$H,0)+31+FLOOR(XLOOKUP($Q538,'Threshold Summary'!$Y:$Y,'Threshold Summary'!$R:$R,"")/4))*XLOOKUP($Q538,'Threshold Summary'!$Y:$Y,'Threshold Summary'!$L:$L,""))/100)+5)*XLOOKUP(XLOOKUP($Q538,'Threshold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Editor'!$E:$E,1))),stab,IF(OR(mtype=XLOOKUP(XLOOKUP($Q538,'Threshold Summary'!$Y:$Y,'Threshold Summary'!$K:$K,""),'Pokemon Editor'!$A:$A,'Pokemon Editor'!$C:$C,""),mtype=XLOOKUP(XLOOKUP($Q538,'Threshold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Chart'!$B$1:$S$1,0)))),base,IF(OR(cat="Status",pow=0),0,FLOOR(FLOOR(FLOOR((2*XLOOKUP($Q538,'Threshold Summary'!$Y:$Y,'Threshold Summary'!$L:$L,"")/5+2)*pow*atk/def)/50)+2)),modifier,stab*eff,AVERAGE(ARRAYFORMULA(FLOOR(base*modifier*SEQUENCE(16,1,85,1)/100)))*MIN(1,acc/100)),0)</f>
        <v/>
      </c>
      <c r="N538" s="4">
        <f>IFERROR(LET(mtype,XLOOKUP($D538,'Move Editor'!$B:$B,'Move Editor'!$C:$C,""),cat,XLOOKUP($D538,'Move Editor'!$B:$B,'Move Editor'!$D:$D,""),pow,XLOOKUP($D538,'Move Editor'!$B:$B,'Move Editor'!$E:$E,0),acc,XLOOKUP($D538,'Move Editor'!$B:$B,'Move Editor'!$F:$F,100),atk,IF(cat="Physical",FLOOR((FLOOR(((2*XLOOKUP(XLOOKUP($Q538,'Threshold Summary'!$Y:$Y,'Threshold Summary'!$K:$K,""),'Pokemon Editor'!$A:$A,'Pokemon Editor'!$F:$F,0)+31+FLOOR(XLOOKUP($Q538,'Threshold Summary'!$Y:$Y,'Threshold Summary'!$P:$P,"")/4))*XLOOKUP($Q538,'Threshold Summary'!$Y:$Y,'Threshold Summary'!$L:$L,""))/100)+5)*XLOOKUP(XLOOKUP($Q538,'Threshold Summary'!$Y:$Y,'Threshold Summary'!$M:$M,""),'Nature Editor'!$A:$A,'Nature Editor'!$B:$B,1)),FLOOR((FLOOR(((2*XLOOKUP(XLOOKUP($Q538,'Threshold Summary'!$Y:$Y,'Threshold Summary'!$K:$K,""),'Pokemon Editor'!$A:$A,'Pokemon Editor'!$H:$H,0)+31+FLOOR(XLOOKUP($Q538,'Threshold Summary'!$Y:$Y,'Threshold Summary'!$R:$R,"")/4))*XLOOKUP($Q538,'Threshold Summary'!$Y:$Y,'Threshold Summary'!$L:$L,""))/100)+5)*XLOOKUP(XLOOKUP($Q538,'Threshold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Editor'!$E:$E,1))),stab,IF(OR(mtype=XLOOKUP(XLOOKUP($Q538,'Threshold Summary'!$Y:$Y,'Threshold Summary'!$K:$K,""),'Pokemon Editor'!$A:$A,'Pokemon Editor'!$C:$C,""),mtype=XLOOKUP(XLOOKUP($Q538,'Threshold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Chart'!$B$1:$S$1,0)))),base,IF(OR(cat="Status",pow=0),0,FLOOR(FLOOR(FLOOR((2*XLOOKUP($Q538,'Threshold Summary'!$Y:$Y,'Threshold Summary'!$L:$L,"")/5+2)*pow*atk/def)/50)+2)),modifier,stab*eff,AVERAGE(ARRAYFORMULA(FLOOR(base*modifier*SEQUENCE(16,1,85,1)/100)))/(FLOOR(((2*XLOOKUP('Boss Editor'!$C$4,'Pokemon Editor'!$A:$A,'Pokemon Editor'!$E:$E,0)+31+FLOOR('Boss Editor'!$G$4/4))*'Boss Editor'!$D$4)/100)+'Boss Editor'!$D$4+10)),0)</f>
        <v/>
      </c>
      <c r="O538" s="3">
        <f>IF(N538&gt;=1,"OHKO",IF(N538&gt;=0.5,"2HKO",IF(N538&gt;=0.333,"3HKO",IF(N538&gt;=0.25,"4HKO","5HKO+"))))</f>
        <v/>
      </c>
      <c r="P538" s="3" t="inlineStr">
        <is>
          <t>Live from editable databases</t>
        </is>
      </c>
      <c r="Q538" s="3" t="inlineStr">
        <is>
          <t>SPECIES_MINCCINO</t>
        </is>
      </c>
      <c r="R538" s="3" t="n">
        <v>25</v>
      </c>
    </row>
    <row r="539">
      <c r="A539" s="3">
        <f>XLOOKUP($Q539,'Threshold Summary'!$Y:$Y,'Threshold Summary'!$A:$A,"")</f>
        <v/>
      </c>
      <c r="B539" s="3">
        <f>XLOOKUP($Q539,'Threshold Summary'!$Y:$Y,'Threshold Summary'!$M:$M,"")</f>
        <v/>
      </c>
      <c r="C539" s="3">
        <f>XLOOKUP($Q539,'Threshold Summary'!$Y:$Y,'Threshold Summary'!$N:$N,"")</f>
        <v/>
      </c>
      <c r="D539" s="3">
        <f>IFERROR(INDEX(FILTER('Learnset Editor'!$D$2:$D,'Learnset Editor'!$A$2:$A=XLOOKUP($Q539,'Threshold Summary'!$Y:$Y,'Threshold Summary'!$K:$K,""),'Learnset Editor'!$C$2:$C&lt;=XLOOKUP($Q539,'Threshold Summary'!$Y:$Y,'Threshold Summary'!$L:$L,"")),$R539),"")</f>
        <v/>
      </c>
      <c r="E539" s="3">
        <f>XLOOKUP(D539,'Move Editor'!$B:$B,'Move Editor'!$C:$C,"")</f>
        <v/>
      </c>
      <c r="F539" s="3">
        <f>XLOOKUP(D539,'Move Editor'!$B:$B,'Move Editor'!$D:$D,"")</f>
        <v/>
      </c>
      <c r="G539" s="3">
        <f>XLOOKUP(D539,'Move Editor'!$B:$B,'Move Editor'!$E:$E,0)</f>
        <v/>
      </c>
      <c r="H539" s="3">
        <f>XLOOKUP(D539,'Move Editor'!$B:$B,'Move Editor'!$F:$F,0)</f>
        <v/>
      </c>
      <c r="I539" s="3">
        <f>(INDEX('Type Chart'!$B:$S,MATCH(E539,'Type Chart'!$A:$A,0),MATCH(XLOOKUP('Boss Editor'!$C$4,'Pokemon Editor'!$A:$A,'Pokemon Editor'!$C:$C,""),'Type Chart'!$B$1:$S$1,0))*IF(XLOOKUP('Boss Editor'!$C$4,'Pokemon Editor'!$A:$A,'Pokemon Editor'!$D:$D,"")="",1,INDEX('Type Chart'!$B:$S,MATCH(E539,'Type Chart'!$A:$A,0),MATCH(XLOOKUP('Boss Editor'!$C$4,'Pokemon Editor'!$A:$A,'Pokemon Editor'!$D:$D,""),'Type Chart'!$B$1:$S$1,0))))</f>
        <v/>
      </c>
      <c r="J539" s="3">
        <f>IFERROR(LET(mtype,XLOOKUP($D539,'Move Editor'!$B:$B,'Move Editor'!$C:$C,""),cat,XLOOKUP($D539,'Move Editor'!$B:$B,'Move Editor'!$D:$D,""),pow,XLOOKUP($D539,'Move Editor'!$B:$B,'Move Editor'!$E:$E,0),acc,XLOOKUP($D539,'Move Editor'!$B:$B,'Move Editor'!$F:$F,100),atk,IF(cat="Physical",FLOOR((FLOOR(((2*XLOOKUP(XLOOKUP($Q539,'Threshold Summary'!$Y:$Y,'Threshold Summary'!$K:$K,""),'Pokemon Editor'!$A:$A,'Pokemon Editor'!$F:$F,0)+31+FLOOR(XLOOKUP($Q539,'Threshold Summary'!$Y:$Y,'Threshold Summary'!$P:$P,"")/4))*XLOOKUP($Q539,'Threshold Summary'!$Y:$Y,'Threshold Summary'!$L:$L,""))/100)+5)*XLOOKUP(XLOOKUP($Q539,'Threshold Summary'!$Y:$Y,'Threshold Summary'!$M:$M,""),'Nature Editor'!$A:$A,'Nature Editor'!$B:$B,1)),FLOOR((FLOOR(((2*XLOOKUP(XLOOKUP($Q539,'Threshold Summary'!$Y:$Y,'Threshold Summary'!$K:$K,""),'Pokemon Editor'!$A:$A,'Pokemon Editor'!$H:$H,0)+31+FLOOR(XLOOKUP($Q539,'Threshold Summary'!$Y:$Y,'Threshold Summary'!$R:$R,"")/4))*XLOOKUP($Q539,'Threshold Summary'!$Y:$Y,'Threshold Summary'!$L:$L,""))/100)+5)*XLOOKUP(XLOOKUP($Q539,'Threshold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Editor'!$E:$E,1))),stab,IF(OR(mtype=XLOOKUP(XLOOKUP($Q539,'Threshold Summary'!$Y:$Y,'Threshold Summary'!$K:$K,""),'Pokemon Editor'!$A:$A,'Pokemon Editor'!$C:$C,""),mtype=XLOOKUP(XLOOKUP($Q539,'Threshold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Chart'!$B$1:$S$1,0)))),base,IF(OR(cat="Status",pow=0),0,FLOOR(FLOOR(FLOOR((2*XLOOKUP($Q539,'Threshold Summary'!$Y:$Y,'Threshold Summary'!$L:$L,"")/5+2)*pow*atk/def)/50)+2)),modifier,stab*eff,FLOOR(base*modifier*0.85)),0)</f>
        <v/>
      </c>
      <c r="K539" s="3">
        <f>IFERROR(LET(mtype,XLOOKUP($D539,'Move Editor'!$B:$B,'Move Editor'!$C:$C,""),cat,XLOOKUP($D539,'Move Editor'!$B:$B,'Move Editor'!$D:$D,""),pow,XLOOKUP($D539,'Move Editor'!$B:$B,'Move Editor'!$E:$E,0),acc,XLOOKUP($D539,'Move Editor'!$B:$B,'Move Editor'!$F:$F,100),atk,IF(cat="Physical",FLOOR((FLOOR(((2*XLOOKUP(XLOOKUP($Q539,'Threshold Summary'!$Y:$Y,'Threshold Summary'!$K:$K,""),'Pokemon Editor'!$A:$A,'Pokemon Editor'!$F:$F,0)+31+FLOOR(XLOOKUP($Q539,'Threshold Summary'!$Y:$Y,'Threshold Summary'!$P:$P,"")/4))*XLOOKUP($Q539,'Threshold Summary'!$Y:$Y,'Threshold Summary'!$L:$L,""))/100)+5)*XLOOKUP(XLOOKUP($Q539,'Threshold Summary'!$Y:$Y,'Threshold Summary'!$M:$M,""),'Nature Editor'!$A:$A,'Nature Editor'!$B:$B,1)),FLOOR((FLOOR(((2*XLOOKUP(XLOOKUP($Q539,'Threshold Summary'!$Y:$Y,'Threshold Summary'!$K:$K,""),'Pokemon Editor'!$A:$A,'Pokemon Editor'!$H:$H,0)+31+FLOOR(XLOOKUP($Q539,'Threshold Summary'!$Y:$Y,'Threshold Summary'!$R:$R,"")/4))*XLOOKUP($Q539,'Threshold Summary'!$Y:$Y,'Threshold Summary'!$L:$L,""))/100)+5)*XLOOKUP(XLOOKUP($Q539,'Threshold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Editor'!$E:$E,1))),stab,IF(OR(mtype=XLOOKUP(XLOOKUP($Q539,'Threshold Summary'!$Y:$Y,'Threshold Summary'!$K:$K,""),'Pokemon Editor'!$A:$A,'Pokemon Editor'!$C:$C,""),mtype=XLOOKUP(XLOOKUP($Q539,'Threshold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Chart'!$B$1:$S$1,0)))),base,IF(OR(cat="Status",pow=0),0,FLOOR(FLOOR(FLOOR((2*XLOOKUP($Q539,'Threshold Summary'!$Y:$Y,'Threshold Summary'!$L:$L,"")/5+2)*pow*atk/def)/50)+2)),modifier,stab*eff,FLOOR(base*modifier)),0)</f>
        <v/>
      </c>
      <c r="L539" s="3">
        <f>IFERROR(LET(mtype,XLOOKUP($D539,'Move Editor'!$B:$B,'Move Editor'!$C:$C,""),cat,XLOOKUP($D539,'Move Editor'!$B:$B,'Move Editor'!$D:$D,""),pow,XLOOKUP($D539,'Move Editor'!$B:$B,'Move Editor'!$E:$E,0),acc,XLOOKUP($D539,'Move Editor'!$B:$B,'Move Editor'!$F:$F,100),atk,IF(cat="Physical",FLOOR((FLOOR(((2*XLOOKUP(XLOOKUP($Q539,'Threshold Summary'!$Y:$Y,'Threshold Summary'!$K:$K,""),'Pokemon Editor'!$A:$A,'Pokemon Editor'!$F:$F,0)+31+FLOOR(XLOOKUP($Q539,'Threshold Summary'!$Y:$Y,'Threshold Summary'!$P:$P,"")/4))*XLOOKUP($Q539,'Threshold Summary'!$Y:$Y,'Threshold Summary'!$L:$L,""))/100)+5)*XLOOKUP(XLOOKUP($Q539,'Threshold Summary'!$Y:$Y,'Threshold Summary'!$M:$M,""),'Nature Editor'!$A:$A,'Nature Editor'!$B:$B,1)),FLOOR((FLOOR(((2*XLOOKUP(XLOOKUP($Q539,'Threshold Summary'!$Y:$Y,'Threshold Summary'!$K:$K,""),'Pokemon Editor'!$A:$A,'Pokemon Editor'!$H:$H,0)+31+FLOOR(XLOOKUP($Q539,'Threshold Summary'!$Y:$Y,'Threshold Summary'!$R:$R,"")/4))*XLOOKUP($Q539,'Threshold Summary'!$Y:$Y,'Threshold Summary'!$L:$L,""))/100)+5)*XLOOKUP(XLOOKUP($Q539,'Threshold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Editor'!$E:$E,1))),stab,IF(OR(mtype=XLOOKUP(XLOOKUP($Q539,'Threshold Summary'!$Y:$Y,'Threshold Summary'!$K:$K,""),'Pokemon Editor'!$A:$A,'Pokemon Editor'!$C:$C,""),mtype=XLOOKUP(XLOOKUP($Q539,'Threshold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Chart'!$B$1:$S$1,0)))),base,IF(OR(cat="Status",pow=0),0,FLOOR(FLOOR(FLOOR((2*XLOOKUP($Q539,'Threshold Summary'!$Y:$Y,'Threshold Summary'!$L:$L,"")/5+2)*pow*atk/def)/50)+2)),modifier,stab*eff,AVERAGE(ARRAYFORMULA(FLOOR(base*modifier*SEQUENCE(16,1,85,1)/100)))),0)</f>
        <v/>
      </c>
      <c r="M539" s="3">
        <f>IFERROR(LET(mtype,XLOOKUP($D539,'Move Editor'!$B:$B,'Move Editor'!$C:$C,""),cat,XLOOKUP($D539,'Move Editor'!$B:$B,'Move Editor'!$D:$D,""),pow,XLOOKUP($D539,'Move Editor'!$B:$B,'Move Editor'!$E:$E,0),acc,XLOOKUP($D539,'Move Editor'!$B:$B,'Move Editor'!$F:$F,100),atk,IF(cat="Physical",FLOOR((FLOOR(((2*XLOOKUP(XLOOKUP($Q539,'Threshold Summary'!$Y:$Y,'Threshold Summary'!$K:$K,""),'Pokemon Editor'!$A:$A,'Pokemon Editor'!$F:$F,0)+31+FLOOR(XLOOKUP($Q539,'Threshold Summary'!$Y:$Y,'Threshold Summary'!$P:$P,"")/4))*XLOOKUP($Q539,'Threshold Summary'!$Y:$Y,'Threshold Summary'!$L:$L,""))/100)+5)*XLOOKUP(XLOOKUP($Q539,'Threshold Summary'!$Y:$Y,'Threshold Summary'!$M:$M,""),'Nature Editor'!$A:$A,'Nature Editor'!$B:$B,1)),FLOOR((FLOOR(((2*XLOOKUP(XLOOKUP($Q539,'Threshold Summary'!$Y:$Y,'Threshold Summary'!$K:$K,""),'Pokemon Editor'!$A:$A,'Pokemon Editor'!$H:$H,0)+31+FLOOR(XLOOKUP($Q539,'Threshold Summary'!$Y:$Y,'Threshold Summary'!$R:$R,"")/4))*XLOOKUP($Q539,'Threshold Summary'!$Y:$Y,'Threshold Summary'!$L:$L,""))/100)+5)*XLOOKUP(XLOOKUP($Q539,'Threshold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Editor'!$E:$E,1))),stab,IF(OR(mtype=XLOOKUP(XLOOKUP($Q539,'Threshold Summary'!$Y:$Y,'Threshold Summary'!$K:$K,""),'Pokemon Editor'!$A:$A,'Pokemon Editor'!$C:$C,""),mtype=XLOOKUP(XLOOKUP($Q539,'Threshold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Chart'!$B$1:$S$1,0)))),base,IF(OR(cat="Status",pow=0),0,FLOOR(FLOOR(FLOOR((2*XLOOKUP($Q539,'Threshold Summary'!$Y:$Y,'Threshold Summary'!$L:$L,"")/5+2)*pow*atk/def)/50)+2)),modifier,stab*eff,AVERAGE(ARRAYFORMULA(FLOOR(base*modifier*SEQUENCE(16,1,85,1)/100)))*MIN(1,acc/100)),0)</f>
        <v/>
      </c>
      <c r="N539" s="4">
        <f>IFERROR(LET(mtype,XLOOKUP($D539,'Move Editor'!$B:$B,'Move Editor'!$C:$C,""),cat,XLOOKUP($D539,'Move Editor'!$B:$B,'Move Editor'!$D:$D,""),pow,XLOOKUP($D539,'Move Editor'!$B:$B,'Move Editor'!$E:$E,0),acc,XLOOKUP($D539,'Move Editor'!$B:$B,'Move Editor'!$F:$F,100),atk,IF(cat="Physical",FLOOR((FLOOR(((2*XLOOKUP(XLOOKUP($Q539,'Threshold Summary'!$Y:$Y,'Threshold Summary'!$K:$K,""),'Pokemon Editor'!$A:$A,'Pokemon Editor'!$F:$F,0)+31+FLOOR(XLOOKUP($Q539,'Threshold Summary'!$Y:$Y,'Threshold Summary'!$P:$P,"")/4))*XLOOKUP($Q539,'Threshold Summary'!$Y:$Y,'Threshold Summary'!$L:$L,""))/100)+5)*XLOOKUP(XLOOKUP($Q539,'Threshold Summary'!$Y:$Y,'Threshold Summary'!$M:$M,""),'Nature Editor'!$A:$A,'Nature Editor'!$B:$B,1)),FLOOR((FLOOR(((2*XLOOKUP(XLOOKUP($Q539,'Threshold Summary'!$Y:$Y,'Threshold Summary'!$K:$K,""),'Pokemon Editor'!$A:$A,'Pokemon Editor'!$H:$H,0)+31+FLOOR(XLOOKUP($Q539,'Threshold Summary'!$Y:$Y,'Threshold Summary'!$R:$R,"")/4))*XLOOKUP($Q539,'Threshold Summary'!$Y:$Y,'Threshold Summary'!$L:$L,""))/100)+5)*XLOOKUP(XLOOKUP($Q539,'Threshold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Editor'!$E:$E,1))),stab,IF(OR(mtype=XLOOKUP(XLOOKUP($Q539,'Threshold Summary'!$Y:$Y,'Threshold Summary'!$K:$K,""),'Pokemon Editor'!$A:$A,'Pokemon Editor'!$C:$C,""),mtype=XLOOKUP(XLOOKUP($Q539,'Threshold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Chart'!$B$1:$S$1,0)))),base,IF(OR(cat="Status",pow=0),0,FLOOR(FLOOR(FLOOR((2*XLOOKUP($Q539,'Threshold Summary'!$Y:$Y,'Threshold Summary'!$L:$L,"")/5+2)*pow*atk/def)/50)+2)),modifier,stab*eff,AVERAGE(ARRAYFORMULA(FLOOR(base*modifier*SEQUENCE(16,1,85,1)/100)))/(FLOOR(((2*XLOOKUP('Boss Editor'!$C$4,'Pokemon Editor'!$A:$A,'Pokemon Editor'!$E:$E,0)+31+FLOOR('Boss Editor'!$G$4/4))*'Boss Editor'!$D$4)/100)+'Boss Editor'!$D$4+10)),0)</f>
        <v/>
      </c>
      <c r="O539" s="3">
        <f>IF(N539&gt;=1,"OHKO",IF(N539&gt;=0.5,"2HKO",IF(N539&gt;=0.333,"3HKO",IF(N539&gt;=0.25,"4HKO","5HKO+"))))</f>
        <v/>
      </c>
      <c r="P539" s="3" t="inlineStr">
        <is>
          <t>Live from editable databases</t>
        </is>
      </c>
      <c r="Q539" s="3" t="inlineStr">
        <is>
          <t>SPECIES_MINCCINO</t>
        </is>
      </c>
      <c r="R539" s="3" t="n">
        <v>26</v>
      </c>
    </row>
    <row r="540">
      <c r="A540" s="3">
        <f>XLOOKUP($Q540,'Threshold Summary'!$Y:$Y,'Threshold Summary'!$A:$A,"")</f>
        <v/>
      </c>
      <c r="B540" s="3">
        <f>XLOOKUP($Q540,'Threshold Summary'!$Y:$Y,'Threshold Summary'!$M:$M,"")</f>
        <v/>
      </c>
      <c r="C540" s="3">
        <f>XLOOKUP($Q540,'Threshold Summary'!$Y:$Y,'Threshold Summary'!$N:$N,"")</f>
        <v/>
      </c>
      <c r="D540" s="3">
        <f>IFERROR(INDEX(FILTER('Learnset Editor'!$D$2:$D,'Learnset Editor'!$A$2:$A=XLOOKUP($Q540,'Threshold Summary'!$Y:$Y,'Threshold Summary'!$K:$K,""),'Learnset Editor'!$C$2:$C&lt;=XLOOKUP($Q540,'Threshold Summary'!$Y:$Y,'Threshold Summary'!$L:$L,"")),$R540),"")</f>
        <v/>
      </c>
      <c r="E540" s="3">
        <f>XLOOKUP(D540,'Move Editor'!$B:$B,'Move Editor'!$C:$C,"")</f>
        <v/>
      </c>
      <c r="F540" s="3">
        <f>XLOOKUP(D540,'Move Editor'!$B:$B,'Move Editor'!$D:$D,"")</f>
        <v/>
      </c>
      <c r="G540" s="3">
        <f>XLOOKUP(D540,'Move Editor'!$B:$B,'Move Editor'!$E:$E,0)</f>
        <v/>
      </c>
      <c r="H540" s="3">
        <f>XLOOKUP(D540,'Move Editor'!$B:$B,'Move Editor'!$F:$F,0)</f>
        <v/>
      </c>
      <c r="I540" s="3">
        <f>(INDEX('Type Chart'!$B:$S,MATCH(E540,'Type Chart'!$A:$A,0),MATCH(XLOOKUP('Boss Editor'!$C$4,'Pokemon Editor'!$A:$A,'Pokemon Editor'!$C:$C,""),'Type Chart'!$B$1:$S$1,0))*IF(XLOOKUP('Boss Editor'!$C$4,'Pokemon Editor'!$A:$A,'Pokemon Editor'!$D:$D,"")="",1,INDEX('Type Chart'!$B:$S,MATCH(E540,'Type Chart'!$A:$A,0),MATCH(XLOOKUP('Boss Editor'!$C$4,'Pokemon Editor'!$A:$A,'Pokemon Editor'!$D:$D,""),'Type Chart'!$B$1:$S$1,0))))</f>
        <v/>
      </c>
      <c r="J540" s="3">
        <f>IFERROR(LET(mtype,XLOOKUP($D540,'Move Editor'!$B:$B,'Move Editor'!$C:$C,""),cat,XLOOKUP($D540,'Move Editor'!$B:$B,'Move Editor'!$D:$D,""),pow,XLOOKUP($D540,'Move Editor'!$B:$B,'Move Editor'!$E:$E,0),acc,XLOOKUP($D540,'Move Editor'!$B:$B,'Move Editor'!$F:$F,100),atk,IF(cat="Physical",FLOOR((FLOOR(((2*XLOOKUP(XLOOKUP($Q540,'Threshold Summary'!$Y:$Y,'Threshold Summary'!$K:$K,""),'Pokemon Editor'!$A:$A,'Pokemon Editor'!$F:$F,0)+31+FLOOR(XLOOKUP($Q540,'Threshold Summary'!$Y:$Y,'Threshold Summary'!$P:$P,"")/4))*XLOOKUP($Q540,'Threshold Summary'!$Y:$Y,'Threshold Summary'!$L:$L,""))/100)+5)*XLOOKUP(XLOOKUP($Q540,'Threshold Summary'!$Y:$Y,'Threshold Summary'!$M:$M,""),'Nature Editor'!$A:$A,'Nature Editor'!$B:$B,1)),FLOOR((FLOOR(((2*XLOOKUP(XLOOKUP($Q540,'Threshold Summary'!$Y:$Y,'Threshold Summary'!$K:$K,""),'Pokemon Editor'!$A:$A,'Pokemon Editor'!$H:$H,0)+31+FLOOR(XLOOKUP($Q540,'Threshold Summary'!$Y:$Y,'Threshold Summary'!$R:$R,"")/4))*XLOOKUP($Q540,'Threshold Summary'!$Y:$Y,'Threshold Summary'!$L:$L,""))/100)+5)*XLOOKUP(XLOOKUP($Q540,'Threshold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Editor'!$E:$E,1))),stab,IF(OR(mtype=XLOOKUP(XLOOKUP($Q540,'Threshold Summary'!$Y:$Y,'Threshold Summary'!$K:$K,""),'Pokemon Editor'!$A:$A,'Pokemon Editor'!$C:$C,""),mtype=XLOOKUP(XLOOKUP($Q540,'Threshold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Chart'!$B$1:$S$1,0)))),base,IF(OR(cat="Status",pow=0),0,FLOOR(FLOOR(FLOOR((2*XLOOKUP($Q540,'Threshold Summary'!$Y:$Y,'Threshold Summary'!$L:$L,"")/5+2)*pow*atk/def)/50)+2)),modifier,stab*eff,FLOOR(base*modifier*0.85)),0)</f>
        <v/>
      </c>
      <c r="K540" s="3">
        <f>IFERROR(LET(mtype,XLOOKUP($D540,'Move Editor'!$B:$B,'Move Editor'!$C:$C,""),cat,XLOOKUP($D540,'Move Editor'!$B:$B,'Move Editor'!$D:$D,""),pow,XLOOKUP($D540,'Move Editor'!$B:$B,'Move Editor'!$E:$E,0),acc,XLOOKUP($D540,'Move Editor'!$B:$B,'Move Editor'!$F:$F,100),atk,IF(cat="Physical",FLOOR((FLOOR(((2*XLOOKUP(XLOOKUP($Q540,'Threshold Summary'!$Y:$Y,'Threshold Summary'!$K:$K,""),'Pokemon Editor'!$A:$A,'Pokemon Editor'!$F:$F,0)+31+FLOOR(XLOOKUP($Q540,'Threshold Summary'!$Y:$Y,'Threshold Summary'!$P:$P,"")/4))*XLOOKUP($Q540,'Threshold Summary'!$Y:$Y,'Threshold Summary'!$L:$L,""))/100)+5)*XLOOKUP(XLOOKUP($Q540,'Threshold Summary'!$Y:$Y,'Threshold Summary'!$M:$M,""),'Nature Editor'!$A:$A,'Nature Editor'!$B:$B,1)),FLOOR((FLOOR(((2*XLOOKUP(XLOOKUP($Q540,'Threshold Summary'!$Y:$Y,'Threshold Summary'!$K:$K,""),'Pokemon Editor'!$A:$A,'Pokemon Editor'!$H:$H,0)+31+FLOOR(XLOOKUP($Q540,'Threshold Summary'!$Y:$Y,'Threshold Summary'!$R:$R,"")/4))*XLOOKUP($Q540,'Threshold Summary'!$Y:$Y,'Threshold Summary'!$L:$L,""))/100)+5)*XLOOKUP(XLOOKUP($Q540,'Threshold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Editor'!$E:$E,1))),stab,IF(OR(mtype=XLOOKUP(XLOOKUP($Q540,'Threshold Summary'!$Y:$Y,'Threshold Summary'!$K:$K,""),'Pokemon Editor'!$A:$A,'Pokemon Editor'!$C:$C,""),mtype=XLOOKUP(XLOOKUP($Q540,'Threshold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Chart'!$B$1:$S$1,0)))),base,IF(OR(cat="Status",pow=0),0,FLOOR(FLOOR(FLOOR((2*XLOOKUP($Q540,'Threshold Summary'!$Y:$Y,'Threshold Summary'!$L:$L,"")/5+2)*pow*atk/def)/50)+2)),modifier,stab*eff,FLOOR(base*modifier)),0)</f>
        <v/>
      </c>
      <c r="L540" s="3">
        <f>IFERROR(LET(mtype,XLOOKUP($D540,'Move Editor'!$B:$B,'Move Editor'!$C:$C,""),cat,XLOOKUP($D540,'Move Editor'!$B:$B,'Move Editor'!$D:$D,""),pow,XLOOKUP($D540,'Move Editor'!$B:$B,'Move Editor'!$E:$E,0),acc,XLOOKUP($D540,'Move Editor'!$B:$B,'Move Editor'!$F:$F,100),atk,IF(cat="Physical",FLOOR((FLOOR(((2*XLOOKUP(XLOOKUP($Q540,'Threshold Summary'!$Y:$Y,'Threshold Summary'!$K:$K,""),'Pokemon Editor'!$A:$A,'Pokemon Editor'!$F:$F,0)+31+FLOOR(XLOOKUP($Q540,'Threshold Summary'!$Y:$Y,'Threshold Summary'!$P:$P,"")/4))*XLOOKUP($Q540,'Threshold Summary'!$Y:$Y,'Threshold Summary'!$L:$L,""))/100)+5)*XLOOKUP(XLOOKUP($Q540,'Threshold Summary'!$Y:$Y,'Threshold Summary'!$M:$M,""),'Nature Editor'!$A:$A,'Nature Editor'!$B:$B,1)),FLOOR((FLOOR(((2*XLOOKUP(XLOOKUP($Q540,'Threshold Summary'!$Y:$Y,'Threshold Summary'!$K:$K,""),'Pokemon Editor'!$A:$A,'Pokemon Editor'!$H:$H,0)+31+FLOOR(XLOOKUP($Q540,'Threshold Summary'!$Y:$Y,'Threshold Summary'!$R:$R,"")/4))*XLOOKUP($Q540,'Threshold Summary'!$Y:$Y,'Threshold Summary'!$L:$L,""))/100)+5)*XLOOKUP(XLOOKUP($Q540,'Threshold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Editor'!$E:$E,1))),stab,IF(OR(mtype=XLOOKUP(XLOOKUP($Q540,'Threshold Summary'!$Y:$Y,'Threshold Summary'!$K:$K,""),'Pokemon Editor'!$A:$A,'Pokemon Editor'!$C:$C,""),mtype=XLOOKUP(XLOOKUP($Q540,'Threshold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Chart'!$B$1:$S$1,0)))),base,IF(OR(cat="Status",pow=0),0,FLOOR(FLOOR(FLOOR((2*XLOOKUP($Q540,'Threshold Summary'!$Y:$Y,'Threshold Summary'!$L:$L,"")/5+2)*pow*atk/def)/50)+2)),modifier,stab*eff,AVERAGE(ARRAYFORMULA(FLOOR(base*modifier*SEQUENCE(16,1,85,1)/100)))),0)</f>
        <v/>
      </c>
      <c r="M540" s="3">
        <f>IFERROR(LET(mtype,XLOOKUP($D540,'Move Editor'!$B:$B,'Move Editor'!$C:$C,""),cat,XLOOKUP($D540,'Move Editor'!$B:$B,'Move Editor'!$D:$D,""),pow,XLOOKUP($D540,'Move Editor'!$B:$B,'Move Editor'!$E:$E,0),acc,XLOOKUP($D540,'Move Editor'!$B:$B,'Move Editor'!$F:$F,100),atk,IF(cat="Physical",FLOOR((FLOOR(((2*XLOOKUP(XLOOKUP($Q540,'Threshold Summary'!$Y:$Y,'Threshold Summary'!$K:$K,""),'Pokemon Editor'!$A:$A,'Pokemon Editor'!$F:$F,0)+31+FLOOR(XLOOKUP($Q540,'Threshold Summary'!$Y:$Y,'Threshold Summary'!$P:$P,"")/4))*XLOOKUP($Q540,'Threshold Summary'!$Y:$Y,'Threshold Summary'!$L:$L,""))/100)+5)*XLOOKUP(XLOOKUP($Q540,'Threshold Summary'!$Y:$Y,'Threshold Summary'!$M:$M,""),'Nature Editor'!$A:$A,'Nature Editor'!$B:$B,1)),FLOOR((FLOOR(((2*XLOOKUP(XLOOKUP($Q540,'Threshold Summary'!$Y:$Y,'Threshold Summary'!$K:$K,""),'Pokemon Editor'!$A:$A,'Pokemon Editor'!$H:$H,0)+31+FLOOR(XLOOKUP($Q540,'Threshold Summary'!$Y:$Y,'Threshold Summary'!$R:$R,"")/4))*XLOOKUP($Q540,'Threshold Summary'!$Y:$Y,'Threshold Summary'!$L:$L,""))/100)+5)*XLOOKUP(XLOOKUP($Q540,'Threshold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Editor'!$E:$E,1))),stab,IF(OR(mtype=XLOOKUP(XLOOKUP($Q540,'Threshold Summary'!$Y:$Y,'Threshold Summary'!$K:$K,""),'Pokemon Editor'!$A:$A,'Pokemon Editor'!$C:$C,""),mtype=XLOOKUP(XLOOKUP($Q540,'Threshold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Chart'!$B$1:$S$1,0)))),base,IF(OR(cat="Status",pow=0),0,FLOOR(FLOOR(FLOOR((2*XLOOKUP($Q540,'Threshold Summary'!$Y:$Y,'Threshold Summary'!$L:$L,"")/5+2)*pow*atk/def)/50)+2)),modifier,stab*eff,AVERAGE(ARRAYFORMULA(FLOOR(base*modifier*SEQUENCE(16,1,85,1)/100)))*MIN(1,acc/100)),0)</f>
        <v/>
      </c>
      <c r="N540" s="4">
        <f>IFERROR(LET(mtype,XLOOKUP($D540,'Move Editor'!$B:$B,'Move Editor'!$C:$C,""),cat,XLOOKUP($D540,'Move Editor'!$B:$B,'Move Editor'!$D:$D,""),pow,XLOOKUP($D540,'Move Editor'!$B:$B,'Move Editor'!$E:$E,0),acc,XLOOKUP($D540,'Move Editor'!$B:$B,'Move Editor'!$F:$F,100),atk,IF(cat="Physical",FLOOR((FLOOR(((2*XLOOKUP(XLOOKUP($Q540,'Threshold Summary'!$Y:$Y,'Threshold Summary'!$K:$K,""),'Pokemon Editor'!$A:$A,'Pokemon Editor'!$F:$F,0)+31+FLOOR(XLOOKUP($Q540,'Threshold Summary'!$Y:$Y,'Threshold Summary'!$P:$P,"")/4))*XLOOKUP($Q540,'Threshold Summary'!$Y:$Y,'Threshold Summary'!$L:$L,""))/100)+5)*XLOOKUP(XLOOKUP($Q540,'Threshold Summary'!$Y:$Y,'Threshold Summary'!$M:$M,""),'Nature Editor'!$A:$A,'Nature Editor'!$B:$B,1)),FLOOR((FLOOR(((2*XLOOKUP(XLOOKUP($Q540,'Threshold Summary'!$Y:$Y,'Threshold Summary'!$K:$K,""),'Pokemon Editor'!$A:$A,'Pokemon Editor'!$H:$H,0)+31+FLOOR(XLOOKUP($Q540,'Threshold Summary'!$Y:$Y,'Threshold Summary'!$R:$R,"")/4))*XLOOKUP($Q540,'Threshold Summary'!$Y:$Y,'Threshold Summary'!$L:$L,""))/100)+5)*XLOOKUP(XLOOKUP($Q540,'Threshold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Editor'!$E:$E,1))),stab,IF(OR(mtype=XLOOKUP(XLOOKUP($Q540,'Threshold Summary'!$Y:$Y,'Threshold Summary'!$K:$K,""),'Pokemon Editor'!$A:$A,'Pokemon Editor'!$C:$C,""),mtype=XLOOKUP(XLOOKUP($Q540,'Threshold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Chart'!$B$1:$S$1,0)))),base,IF(OR(cat="Status",pow=0),0,FLOOR(FLOOR(FLOOR((2*XLOOKUP($Q540,'Threshold Summary'!$Y:$Y,'Threshold Summary'!$L:$L,"")/5+2)*pow*atk/def)/50)+2)),modifier,stab*eff,AVERAGE(ARRAYFORMULA(FLOOR(base*modifier*SEQUENCE(16,1,85,1)/100)))/(FLOOR(((2*XLOOKUP('Boss Editor'!$C$4,'Pokemon Editor'!$A:$A,'Pokemon Editor'!$E:$E,0)+31+FLOOR('Boss Editor'!$G$4/4))*'Boss Editor'!$D$4)/100)+'Boss Editor'!$D$4+10)),0)</f>
        <v/>
      </c>
      <c r="O540" s="3">
        <f>IF(N540&gt;=1,"OHKO",IF(N540&gt;=0.5,"2HKO",IF(N540&gt;=0.333,"3HKO",IF(N540&gt;=0.25,"4HKO","5HKO+"))))</f>
        <v/>
      </c>
      <c r="P540" s="3" t="inlineStr">
        <is>
          <t>Live from editable databases</t>
        </is>
      </c>
      <c r="Q540" s="3" t="inlineStr">
        <is>
          <t>SPECIES_MINCCINO</t>
        </is>
      </c>
      <c r="R540" s="3" t="n">
        <v>27</v>
      </c>
    </row>
    <row r="541">
      <c r="A541" s="3">
        <f>XLOOKUP($Q541,'Threshold Summary'!$Y:$Y,'Threshold Summary'!$A:$A,"")</f>
        <v/>
      </c>
      <c r="B541" s="3">
        <f>XLOOKUP($Q541,'Threshold Summary'!$Y:$Y,'Threshold Summary'!$M:$M,"")</f>
        <v/>
      </c>
      <c r="C541" s="3">
        <f>XLOOKUP($Q541,'Threshold Summary'!$Y:$Y,'Threshold Summary'!$N:$N,"")</f>
        <v/>
      </c>
      <c r="D541" s="3">
        <f>IFERROR(INDEX(FILTER('Learnset Editor'!$D$2:$D,'Learnset Editor'!$A$2:$A=XLOOKUP($Q541,'Threshold Summary'!$Y:$Y,'Threshold Summary'!$K:$K,""),'Learnset Editor'!$C$2:$C&lt;=XLOOKUP($Q541,'Threshold Summary'!$Y:$Y,'Threshold Summary'!$L:$L,"")),$R541),"")</f>
        <v/>
      </c>
      <c r="E541" s="3">
        <f>XLOOKUP(D541,'Move Editor'!$B:$B,'Move Editor'!$C:$C,"")</f>
        <v/>
      </c>
      <c r="F541" s="3">
        <f>XLOOKUP(D541,'Move Editor'!$B:$B,'Move Editor'!$D:$D,"")</f>
        <v/>
      </c>
      <c r="G541" s="3">
        <f>XLOOKUP(D541,'Move Editor'!$B:$B,'Move Editor'!$E:$E,0)</f>
        <v/>
      </c>
      <c r="H541" s="3">
        <f>XLOOKUP(D541,'Move Editor'!$B:$B,'Move Editor'!$F:$F,0)</f>
        <v/>
      </c>
      <c r="I541" s="3">
        <f>(INDEX('Type Chart'!$B:$S,MATCH(E541,'Type Chart'!$A:$A,0),MATCH(XLOOKUP('Boss Editor'!$C$4,'Pokemon Editor'!$A:$A,'Pokemon Editor'!$C:$C,""),'Type Chart'!$B$1:$S$1,0))*IF(XLOOKUP('Boss Editor'!$C$4,'Pokemon Editor'!$A:$A,'Pokemon Editor'!$D:$D,"")="",1,INDEX('Type Chart'!$B:$S,MATCH(E541,'Type Chart'!$A:$A,0),MATCH(XLOOKUP('Boss Editor'!$C$4,'Pokemon Editor'!$A:$A,'Pokemon Editor'!$D:$D,""),'Type Chart'!$B$1:$S$1,0))))</f>
        <v/>
      </c>
      <c r="J541" s="3">
        <f>IFERROR(LET(mtype,XLOOKUP($D541,'Move Editor'!$B:$B,'Move Editor'!$C:$C,""),cat,XLOOKUP($D541,'Move Editor'!$B:$B,'Move Editor'!$D:$D,""),pow,XLOOKUP($D541,'Move Editor'!$B:$B,'Move Editor'!$E:$E,0),acc,XLOOKUP($D541,'Move Editor'!$B:$B,'Move Editor'!$F:$F,100),atk,IF(cat="Physical",FLOOR((FLOOR(((2*XLOOKUP(XLOOKUP($Q541,'Threshold Summary'!$Y:$Y,'Threshold Summary'!$K:$K,""),'Pokemon Editor'!$A:$A,'Pokemon Editor'!$F:$F,0)+31+FLOOR(XLOOKUP($Q541,'Threshold Summary'!$Y:$Y,'Threshold Summary'!$P:$P,"")/4))*XLOOKUP($Q541,'Threshold Summary'!$Y:$Y,'Threshold Summary'!$L:$L,""))/100)+5)*XLOOKUP(XLOOKUP($Q541,'Threshold Summary'!$Y:$Y,'Threshold Summary'!$M:$M,""),'Nature Editor'!$A:$A,'Nature Editor'!$B:$B,1)),FLOOR((FLOOR(((2*XLOOKUP(XLOOKUP($Q541,'Threshold Summary'!$Y:$Y,'Threshold Summary'!$K:$K,""),'Pokemon Editor'!$A:$A,'Pokemon Editor'!$H:$H,0)+31+FLOOR(XLOOKUP($Q541,'Threshold Summary'!$Y:$Y,'Threshold Summary'!$R:$R,"")/4))*XLOOKUP($Q541,'Threshold Summary'!$Y:$Y,'Threshold Summary'!$L:$L,""))/100)+5)*XLOOKUP(XLOOKUP($Q541,'Threshold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Editor'!$E:$E,1))),stab,IF(OR(mtype=XLOOKUP(XLOOKUP($Q541,'Threshold Summary'!$Y:$Y,'Threshold Summary'!$K:$K,""),'Pokemon Editor'!$A:$A,'Pokemon Editor'!$C:$C,""),mtype=XLOOKUP(XLOOKUP($Q541,'Threshold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Chart'!$B$1:$S$1,0)))),base,IF(OR(cat="Status",pow=0),0,FLOOR(FLOOR(FLOOR((2*XLOOKUP($Q541,'Threshold Summary'!$Y:$Y,'Threshold Summary'!$L:$L,"")/5+2)*pow*atk/def)/50)+2)),modifier,stab*eff,FLOOR(base*modifier*0.85)),0)</f>
        <v/>
      </c>
      <c r="K541" s="3">
        <f>IFERROR(LET(mtype,XLOOKUP($D541,'Move Editor'!$B:$B,'Move Editor'!$C:$C,""),cat,XLOOKUP($D541,'Move Editor'!$B:$B,'Move Editor'!$D:$D,""),pow,XLOOKUP($D541,'Move Editor'!$B:$B,'Move Editor'!$E:$E,0),acc,XLOOKUP($D541,'Move Editor'!$B:$B,'Move Editor'!$F:$F,100),atk,IF(cat="Physical",FLOOR((FLOOR(((2*XLOOKUP(XLOOKUP($Q541,'Threshold Summary'!$Y:$Y,'Threshold Summary'!$K:$K,""),'Pokemon Editor'!$A:$A,'Pokemon Editor'!$F:$F,0)+31+FLOOR(XLOOKUP($Q541,'Threshold Summary'!$Y:$Y,'Threshold Summary'!$P:$P,"")/4))*XLOOKUP($Q541,'Threshold Summary'!$Y:$Y,'Threshold Summary'!$L:$L,""))/100)+5)*XLOOKUP(XLOOKUP($Q541,'Threshold Summary'!$Y:$Y,'Threshold Summary'!$M:$M,""),'Nature Editor'!$A:$A,'Nature Editor'!$B:$B,1)),FLOOR((FLOOR(((2*XLOOKUP(XLOOKUP($Q541,'Threshold Summary'!$Y:$Y,'Threshold Summary'!$K:$K,""),'Pokemon Editor'!$A:$A,'Pokemon Editor'!$H:$H,0)+31+FLOOR(XLOOKUP($Q541,'Threshold Summary'!$Y:$Y,'Threshold Summary'!$R:$R,"")/4))*XLOOKUP($Q541,'Threshold Summary'!$Y:$Y,'Threshold Summary'!$L:$L,""))/100)+5)*XLOOKUP(XLOOKUP($Q541,'Threshold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Editor'!$E:$E,1))),stab,IF(OR(mtype=XLOOKUP(XLOOKUP($Q541,'Threshold Summary'!$Y:$Y,'Threshold Summary'!$K:$K,""),'Pokemon Editor'!$A:$A,'Pokemon Editor'!$C:$C,""),mtype=XLOOKUP(XLOOKUP($Q541,'Threshold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Chart'!$B$1:$S$1,0)))),base,IF(OR(cat="Status",pow=0),0,FLOOR(FLOOR(FLOOR((2*XLOOKUP($Q541,'Threshold Summary'!$Y:$Y,'Threshold Summary'!$L:$L,"")/5+2)*pow*atk/def)/50)+2)),modifier,stab*eff,FLOOR(base*modifier)),0)</f>
        <v/>
      </c>
      <c r="L541" s="3">
        <f>IFERROR(LET(mtype,XLOOKUP($D541,'Move Editor'!$B:$B,'Move Editor'!$C:$C,""),cat,XLOOKUP($D541,'Move Editor'!$B:$B,'Move Editor'!$D:$D,""),pow,XLOOKUP($D541,'Move Editor'!$B:$B,'Move Editor'!$E:$E,0),acc,XLOOKUP($D541,'Move Editor'!$B:$B,'Move Editor'!$F:$F,100),atk,IF(cat="Physical",FLOOR((FLOOR(((2*XLOOKUP(XLOOKUP($Q541,'Threshold Summary'!$Y:$Y,'Threshold Summary'!$K:$K,""),'Pokemon Editor'!$A:$A,'Pokemon Editor'!$F:$F,0)+31+FLOOR(XLOOKUP($Q541,'Threshold Summary'!$Y:$Y,'Threshold Summary'!$P:$P,"")/4))*XLOOKUP($Q541,'Threshold Summary'!$Y:$Y,'Threshold Summary'!$L:$L,""))/100)+5)*XLOOKUP(XLOOKUP($Q541,'Threshold Summary'!$Y:$Y,'Threshold Summary'!$M:$M,""),'Nature Editor'!$A:$A,'Nature Editor'!$B:$B,1)),FLOOR((FLOOR(((2*XLOOKUP(XLOOKUP($Q541,'Threshold Summary'!$Y:$Y,'Threshold Summary'!$K:$K,""),'Pokemon Editor'!$A:$A,'Pokemon Editor'!$H:$H,0)+31+FLOOR(XLOOKUP($Q541,'Threshold Summary'!$Y:$Y,'Threshold Summary'!$R:$R,"")/4))*XLOOKUP($Q541,'Threshold Summary'!$Y:$Y,'Threshold Summary'!$L:$L,""))/100)+5)*XLOOKUP(XLOOKUP($Q541,'Threshold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Editor'!$E:$E,1))),stab,IF(OR(mtype=XLOOKUP(XLOOKUP($Q541,'Threshold Summary'!$Y:$Y,'Threshold Summary'!$K:$K,""),'Pokemon Editor'!$A:$A,'Pokemon Editor'!$C:$C,""),mtype=XLOOKUP(XLOOKUP($Q541,'Threshold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Chart'!$B$1:$S$1,0)))),base,IF(OR(cat="Status",pow=0),0,FLOOR(FLOOR(FLOOR((2*XLOOKUP($Q541,'Threshold Summary'!$Y:$Y,'Threshold Summary'!$L:$L,"")/5+2)*pow*atk/def)/50)+2)),modifier,stab*eff,AVERAGE(ARRAYFORMULA(FLOOR(base*modifier*SEQUENCE(16,1,85,1)/100)))),0)</f>
        <v/>
      </c>
      <c r="M541" s="3">
        <f>IFERROR(LET(mtype,XLOOKUP($D541,'Move Editor'!$B:$B,'Move Editor'!$C:$C,""),cat,XLOOKUP($D541,'Move Editor'!$B:$B,'Move Editor'!$D:$D,""),pow,XLOOKUP($D541,'Move Editor'!$B:$B,'Move Editor'!$E:$E,0),acc,XLOOKUP($D541,'Move Editor'!$B:$B,'Move Editor'!$F:$F,100),atk,IF(cat="Physical",FLOOR((FLOOR(((2*XLOOKUP(XLOOKUP($Q541,'Threshold Summary'!$Y:$Y,'Threshold Summary'!$K:$K,""),'Pokemon Editor'!$A:$A,'Pokemon Editor'!$F:$F,0)+31+FLOOR(XLOOKUP($Q541,'Threshold Summary'!$Y:$Y,'Threshold Summary'!$P:$P,"")/4))*XLOOKUP($Q541,'Threshold Summary'!$Y:$Y,'Threshold Summary'!$L:$L,""))/100)+5)*XLOOKUP(XLOOKUP($Q541,'Threshold Summary'!$Y:$Y,'Threshold Summary'!$M:$M,""),'Nature Editor'!$A:$A,'Nature Editor'!$B:$B,1)),FLOOR((FLOOR(((2*XLOOKUP(XLOOKUP($Q541,'Threshold Summary'!$Y:$Y,'Threshold Summary'!$K:$K,""),'Pokemon Editor'!$A:$A,'Pokemon Editor'!$H:$H,0)+31+FLOOR(XLOOKUP($Q541,'Threshold Summary'!$Y:$Y,'Threshold Summary'!$R:$R,"")/4))*XLOOKUP($Q541,'Threshold Summary'!$Y:$Y,'Threshold Summary'!$L:$L,""))/100)+5)*XLOOKUP(XLOOKUP($Q541,'Threshold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Editor'!$E:$E,1))),stab,IF(OR(mtype=XLOOKUP(XLOOKUP($Q541,'Threshold Summary'!$Y:$Y,'Threshold Summary'!$K:$K,""),'Pokemon Editor'!$A:$A,'Pokemon Editor'!$C:$C,""),mtype=XLOOKUP(XLOOKUP($Q541,'Threshold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Chart'!$B$1:$S$1,0)))),base,IF(OR(cat="Status",pow=0),0,FLOOR(FLOOR(FLOOR((2*XLOOKUP($Q541,'Threshold Summary'!$Y:$Y,'Threshold Summary'!$L:$L,"")/5+2)*pow*atk/def)/50)+2)),modifier,stab*eff,AVERAGE(ARRAYFORMULA(FLOOR(base*modifier*SEQUENCE(16,1,85,1)/100)))*MIN(1,acc/100)),0)</f>
        <v/>
      </c>
      <c r="N541" s="4">
        <f>IFERROR(LET(mtype,XLOOKUP($D541,'Move Editor'!$B:$B,'Move Editor'!$C:$C,""),cat,XLOOKUP($D541,'Move Editor'!$B:$B,'Move Editor'!$D:$D,""),pow,XLOOKUP($D541,'Move Editor'!$B:$B,'Move Editor'!$E:$E,0),acc,XLOOKUP($D541,'Move Editor'!$B:$B,'Move Editor'!$F:$F,100),atk,IF(cat="Physical",FLOOR((FLOOR(((2*XLOOKUP(XLOOKUP($Q541,'Threshold Summary'!$Y:$Y,'Threshold Summary'!$K:$K,""),'Pokemon Editor'!$A:$A,'Pokemon Editor'!$F:$F,0)+31+FLOOR(XLOOKUP($Q541,'Threshold Summary'!$Y:$Y,'Threshold Summary'!$P:$P,"")/4))*XLOOKUP($Q541,'Threshold Summary'!$Y:$Y,'Threshold Summary'!$L:$L,""))/100)+5)*XLOOKUP(XLOOKUP($Q541,'Threshold Summary'!$Y:$Y,'Threshold Summary'!$M:$M,""),'Nature Editor'!$A:$A,'Nature Editor'!$B:$B,1)),FLOOR((FLOOR(((2*XLOOKUP(XLOOKUP($Q541,'Threshold Summary'!$Y:$Y,'Threshold Summary'!$K:$K,""),'Pokemon Editor'!$A:$A,'Pokemon Editor'!$H:$H,0)+31+FLOOR(XLOOKUP($Q541,'Threshold Summary'!$Y:$Y,'Threshold Summary'!$R:$R,"")/4))*XLOOKUP($Q541,'Threshold Summary'!$Y:$Y,'Threshold Summary'!$L:$L,""))/100)+5)*XLOOKUP(XLOOKUP($Q541,'Threshold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Editor'!$E:$E,1))),stab,IF(OR(mtype=XLOOKUP(XLOOKUP($Q541,'Threshold Summary'!$Y:$Y,'Threshold Summary'!$K:$K,""),'Pokemon Editor'!$A:$A,'Pokemon Editor'!$C:$C,""),mtype=XLOOKUP(XLOOKUP($Q541,'Threshold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Chart'!$B$1:$S$1,0)))),base,IF(OR(cat="Status",pow=0),0,FLOOR(FLOOR(FLOOR((2*XLOOKUP($Q541,'Threshold Summary'!$Y:$Y,'Threshold Summary'!$L:$L,"")/5+2)*pow*atk/def)/50)+2)),modifier,stab*eff,AVERAGE(ARRAYFORMULA(FLOOR(base*modifier*SEQUENCE(16,1,85,1)/100)))/(FLOOR(((2*XLOOKUP('Boss Editor'!$C$4,'Pokemon Editor'!$A:$A,'Pokemon Editor'!$E:$E,0)+31+FLOOR('Boss Editor'!$G$4/4))*'Boss Editor'!$D$4)/100)+'Boss Editor'!$D$4+10)),0)</f>
        <v/>
      </c>
      <c r="O541" s="3">
        <f>IF(N541&gt;=1,"OHKO",IF(N541&gt;=0.5,"2HKO",IF(N541&gt;=0.333,"3HKO",IF(N541&gt;=0.25,"4HKO","5HKO+"))))</f>
        <v/>
      </c>
      <c r="P541" s="3" t="inlineStr">
        <is>
          <t>Live from editable databases</t>
        </is>
      </c>
      <c r="Q541" s="3" t="inlineStr">
        <is>
          <t>SPECIES_MINCCINO</t>
        </is>
      </c>
      <c r="R541" s="3" t="n">
        <v>28</v>
      </c>
    </row>
    <row r="542">
      <c r="A542" s="3">
        <f>XLOOKUP($Q542,'Threshold Summary'!$Y:$Y,'Threshold Summary'!$A:$A,"")</f>
        <v/>
      </c>
      <c r="B542" s="3">
        <f>XLOOKUP($Q542,'Threshold Summary'!$Y:$Y,'Threshold Summary'!$M:$M,"")</f>
        <v/>
      </c>
      <c r="C542" s="3">
        <f>XLOOKUP($Q542,'Threshold Summary'!$Y:$Y,'Threshold Summary'!$N:$N,"")</f>
        <v/>
      </c>
      <c r="D542" s="3">
        <f>IFERROR(INDEX(FILTER('Learnset Editor'!$D$2:$D,'Learnset Editor'!$A$2:$A=XLOOKUP($Q542,'Threshold Summary'!$Y:$Y,'Threshold Summary'!$K:$K,""),'Learnset Editor'!$C$2:$C&lt;=XLOOKUP($Q542,'Threshold Summary'!$Y:$Y,'Threshold Summary'!$L:$L,"")),$R542),"")</f>
        <v/>
      </c>
      <c r="E542" s="3">
        <f>XLOOKUP(D542,'Move Editor'!$B:$B,'Move Editor'!$C:$C,"")</f>
        <v/>
      </c>
      <c r="F542" s="3">
        <f>XLOOKUP(D542,'Move Editor'!$B:$B,'Move Editor'!$D:$D,"")</f>
        <v/>
      </c>
      <c r="G542" s="3">
        <f>XLOOKUP(D542,'Move Editor'!$B:$B,'Move Editor'!$E:$E,0)</f>
        <v/>
      </c>
      <c r="H542" s="3">
        <f>XLOOKUP(D542,'Move Editor'!$B:$B,'Move Editor'!$F:$F,0)</f>
        <v/>
      </c>
      <c r="I542" s="3">
        <f>(INDEX('Type Chart'!$B:$S,MATCH(E542,'Type Chart'!$A:$A,0),MATCH(XLOOKUP('Boss Editor'!$C$4,'Pokemon Editor'!$A:$A,'Pokemon Editor'!$C:$C,""),'Type Chart'!$B$1:$S$1,0))*IF(XLOOKUP('Boss Editor'!$C$4,'Pokemon Editor'!$A:$A,'Pokemon Editor'!$D:$D,"")="",1,INDEX('Type Chart'!$B:$S,MATCH(E542,'Type Chart'!$A:$A,0),MATCH(XLOOKUP('Boss Editor'!$C$4,'Pokemon Editor'!$A:$A,'Pokemon Editor'!$D:$D,""),'Type Chart'!$B$1:$S$1,0))))</f>
        <v/>
      </c>
      <c r="J542" s="3">
        <f>IFERROR(LET(mtype,XLOOKUP($D542,'Move Editor'!$B:$B,'Move Editor'!$C:$C,""),cat,XLOOKUP($D542,'Move Editor'!$B:$B,'Move Editor'!$D:$D,""),pow,XLOOKUP($D542,'Move Editor'!$B:$B,'Move Editor'!$E:$E,0),acc,XLOOKUP($D542,'Move Editor'!$B:$B,'Move Editor'!$F:$F,100),atk,IF(cat="Physical",FLOOR((FLOOR(((2*XLOOKUP(XLOOKUP($Q542,'Threshold Summary'!$Y:$Y,'Threshold Summary'!$K:$K,""),'Pokemon Editor'!$A:$A,'Pokemon Editor'!$F:$F,0)+31+FLOOR(XLOOKUP($Q542,'Threshold Summary'!$Y:$Y,'Threshold Summary'!$P:$P,"")/4))*XLOOKUP($Q542,'Threshold Summary'!$Y:$Y,'Threshold Summary'!$L:$L,""))/100)+5)*XLOOKUP(XLOOKUP($Q542,'Threshold Summary'!$Y:$Y,'Threshold Summary'!$M:$M,""),'Nature Editor'!$A:$A,'Nature Editor'!$B:$B,1)),FLOOR((FLOOR(((2*XLOOKUP(XLOOKUP($Q542,'Threshold Summary'!$Y:$Y,'Threshold Summary'!$K:$K,""),'Pokemon Editor'!$A:$A,'Pokemon Editor'!$H:$H,0)+31+FLOOR(XLOOKUP($Q542,'Threshold Summary'!$Y:$Y,'Threshold Summary'!$R:$R,"")/4))*XLOOKUP($Q542,'Threshold Summary'!$Y:$Y,'Threshold Summary'!$L:$L,""))/100)+5)*XLOOKUP(XLOOKUP($Q542,'Threshold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Editor'!$E:$E,1))),stab,IF(OR(mtype=XLOOKUP(XLOOKUP($Q542,'Threshold Summary'!$Y:$Y,'Threshold Summary'!$K:$K,""),'Pokemon Editor'!$A:$A,'Pokemon Editor'!$C:$C,""),mtype=XLOOKUP(XLOOKUP($Q542,'Threshold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Chart'!$B$1:$S$1,0)))),base,IF(OR(cat="Status",pow=0),0,FLOOR(FLOOR(FLOOR((2*XLOOKUP($Q542,'Threshold Summary'!$Y:$Y,'Threshold Summary'!$L:$L,"")/5+2)*pow*atk/def)/50)+2)),modifier,stab*eff,FLOOR(base*modifier*0.85)),0)</f>
        <v/>
      </c>
      <c r="K542" s="3">
        <f>IFERROR(LET(mtype,XLOOKUP($D542,'Move Editor'!$B:$B,'Move Editor'!$C:$C,""),cat,XLOOKUP($D542,'Move Editor'!$B:$B,'Move Editor'!$D:$D,""),pow,XLOOKUP($D542,'Move Editor'!$B:$B,'Move Editor'!$E:$E,0),acc,XLOOKUP($D542,'Move Editor'!$B:$B,'Move Editor'!$F:$F,100),atk,IF(cat="Physical",FLOOR((FLOOR(((2*XLOOKUP(XLOOKUP($Q542,'Threshold Summary'!$Y:$Y,'Threshold Summary'!$K:$K,""),'Pokemon Editor'!$A:$A,'Pokemon Editor'!$F:$F,0)+31+FLOOR(XLOOKUP($Q542,'Threshold Summary'!$Y:$Y,'Threshold Summary'!$P:$P,"")/4))*XLOOKUP($Q542,'Threshold Summary'!$Y:$Y,'Threshold Summary'!$L:$L,""))/100)+5)*XLOOKUP(XLOOKUP($Q542,'Threshold Summary'!$Y:$Y,'Threshold Summary'!$M:$M,""),'Nature Editor'!$A:$A,'Nature Editor'!$B:$B,1)),FLOOR((FLOOR(((2*XLOOKUP(XLOOKUP($Q542,'Threshold Summary'!$Y:$Y,'Threshold Summary'!$K:$K,""),'Pokemon Editor'!$A:$A,'Pokemon Editor'!$H:$H,0)+31+FLOOR(XLOOKUP($Q542,'Threshold Summary'!$Y:$Y,'Threshold Summary'!$R:$R,"")/4))*XLOOKUP($Q542,'Threshold Summary'!$Y:$Y,'Threshold Summary'!$L:$L,""))/100)+5)*XLOOKUP(XLOOKUP($Q542,'Threshold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Editor'!$E:$E,1))),stab,IF(OR(mtype=XLOOKUP(XLOOKUP($Q542,'Threshold Summary'!$Y:$Y,'Threshold Summary'!$K:$K,""),'Pokemon Editor'!$A:$A,'Pokemon Editor'!$C:$C,""),mtype=XLOOKUP(XLOOKUP($Q542,'Threshold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Chart'!$B$1:$S$1,0)))),base,IF(OR(cat="Status",pow=0),0,FLOOR(FLOOR(FLOOR((2*XLOOKUP($Q542,'Threshold Summary'!$Y:$Y,'Threshold Summary'!$L:$L,"")/5+2)*pow*atk/def)/50)+2)),modifier,stab*eff,FLOOR(base*modifier)),0)</f>
        <v/>
      </c>
      <c r="L542" s="3">
        <f>IFERROR(LET(mtype,XLOOKUP($D542,'Move Editor'!$B:$B,'Move Editor'!$C:$C,""),cat,XLOOKUP($D542,'Move Editor'!$B:$B,'Move Editor'!$D:$D,""),pow,XLOOKUP($D542,'Move Editor'!$B:$B,'Move Editor'!$E:$E,0),acc,XLOOKUP($D542,'Move Editor'!$B:$B,'Move Editor'!$F:$F,100),atk,IF(cat="Physical",FLOOR((FLOOR(((2*XLOOKUP(XLOOKUP($Q542,'Threshold Summary'!$Y:$Y,'Threshold Summary'!$K:$K,""),'Pokemon Editor'!$A:$A,'Pokemon Editor'!$F:$F,0)+31+FLOOR(XLOOKUP($Q542,'Threshold Summary'!$Y:$Y,'Threshold Summary'!$P:$P,"")/4))*XLOOKUP($Q542,'Threshold Summary'!$Y:$Y,'Threshold Summary'!$L:$L,""))/100)+5)*XLOOKUP(XLOOKUP($Q542,'Threshold Summary'!$Y:$Y,'Threshold Summary'!$M:$M,""),'Nature Editor'!$A:$A,'Nature Editor'!$B:$B,1)),FLOOR((FLOOR(((2*XLOOKUP(XLOOKUP($Q542,'Threshold Summary'!$Y:$Y,'Threshold Summary'!$K:$K,""),'Pokemon Editor'!$A:$A,'Pokemon Editor'!$H:$H,0)+31+FLOOR(XLOOKUP($Q542,'Threshold Summary'!$Y:$Y,'Threshold Summary'!$R:$R,"")/4))*XLOOKUP($Q542,'Threshold Summary'!$Y:$Y,'Threshold Summary'!$L:$L,""))/100)+5)*XLOOKUP(XLOOKUP($Q542,'Threshold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Editor'!$E:$E,1))),stab,IF(OR(mtype=XLOOKUP(XLOOKUP($Q542,'Threshold Summary'!$Y:$Y,'Threshold Summary'!$K:$K,""),'Pokemon Editor'!$A:$A,'Pokemon Editor'!$C:$C,""),mtype=XLOOKUP(XLOOKUP($Q542,'Threshold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Chart'!$B$1:$S$1,0)))),base,IF(OR(cat="Status",pow=0),0,FLOOR(FLOOR(FLOOR((2*XLOOKUP($Q542,'Threshold Summary'!$Y:$Y,'Threshold Summary'!$L:$L,"")/5+2)*pow*atk/def)/50)+2)),modifier,stab*eff,AVERAGE(ARRAYFORMULA(FLOOR(base*modifier*SEQUENCE(16,1,85,1)/100)))),0)</f>
        <v/>
      </c>
      <c r="M542" s="3">
        <f>IFERROR(LET(mtype,XLOOKUP($D542,'Move Editor'!$B:$B,'Move Editor'!$C:$C,""),cat,XLOOKUP($D542,'Move Editor'!$B:$B,'Move Editor'!$D:$D,""),pow,XLOOKUP($D542,'Move Editor'!$B:$B,'Move Editor'!$E:$E,0),acc,XLOOKUP($D542,'Move Editor'!$B:$B,'Move Editor'!$F:$F,100),atk,IF(cat="Physical",FLOOR((FLOOR(((2*XLOOKUP(XLOOKUP($Q542,'Threshold Summary'!$Y:$Y,'Threshold Summary'!$K:$K,""),'Pokemon Editor'!$A:$A,'Pokemon Editor'!$F:$F,0)+31+FLOOR(XLOOKUP($Q542,'Threshold Summary'!$Y:$Y,'Threshold Summary'!$P:$P,"")/4))*XLOOKUP($Q542,'Threshold Summary'!$Y:$Y,'Threshold Summary'!$L:$L,""))/100)+5)*XLOOKUP(XLOOKUP($Q542,'Threshold Summary'!$Y:$Y,'Threshold Summary'!$M:$M,""),'Nature Editor'!$A:$A,'Nature Editor'!$B:$B,1)),FLOOR((FLOOR(((2*XLOOKUP(XLOOKUP($Q542,'Threshold Summary'!$Y:$Y,'Threshold Summary'!$K:$K,""),'Pokemon Editor'!$A:$A,'Pokemon Editor'!$H:$H,0)+31+FLOOR(XLOOKUP($Q542,'Threshold Summary'!$Y:$Y,'Threshold Summary'!$R:$R,"")/4))*XLOOKUP($Q542,'Threshold Summary'!$Y:$Y,'Threshold Summary'!$L:$L,""))/100)+5)*XLOOKUP(XLOOKUP($Q542,'Threshold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Editor'!$E:$E,1))),stab,IF(OR(mtype=XLOOKUP(XLOOKUP($Q542,'Threshold Summary'!$Y:$Y,'Threshold Summary'!$K:$K,""),'Pokemon Editor'!$A:$A,'Pokemon Editor'!$C:$C,""),mtype=XLOOKUP(XLOOKUP($Q542,'Threshold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Chart'!$B$1:$S$1,0)))),base,IF(OR(cat="Status",pow=0),0,FLOOR(FLOOR(FLOOR((2*XLOOKUP($Q542,'Threshold Summary'!$Y:$Y,'Threshold Summary'!$L:$L,"")/5+2)*pow*atk/def)/50)+2)),modifier,stab*eff,AVERAGE(ARRAYFORMULA(FLOOR(base*modifier*SEQUENCE(16,1,85,1)/100)))*MIN(1,acc/100)),0)</f>
        <v/>
      </c>
      <c r="N542" s="4">
        <f>IFERROR(LET(mtype,XLOOKUP($D542,'Move Editor'!$B:$B,'Move Editor'!$C:$C,""),cat,XLOOKUP($D542,'Move Editor'!$B:$B,'Move Editor'!$D:$D,""),pow,XLOOKUP($D542,'Move Editor'!$B:$B,'Move Editor'!$E:$E,0),acc,XLOOKUP($D542,'Move Editor'!$B:$B,'Move Editor'!$F:$F,100),atk,IF(cat="Physical",FLOOR((FLOOR(((2*XLOOKUP(XLOOKUP($Q542,'Threshold Summary'!$Y:$Y,'Threshold Summary'!$K:$K,""),'Pokemon Editor'!$A:$A,'Pokemon Editor'!$F:$F,0)+31+FLOOR(XLOOKUP($Q542,'Threshold Summary'!$Y:$Y,'Threshold Summary'!$P:$P,"")/4))*XLOOKUP($Q542,'Threshold Summary'!$Y:$Y,'Threshold Summary'!$L:$L,""))/100)+5)*XLOOKUP(XLOOKUP($Q542,'Threshold Summary'!$Y:$Y,'Threshold Summary'!$M:$M,""),'Nature Editor'!$A:$A,'Nature Editor'!$B:$B,1)),FLOOR((FLOOR(((2*XLOOKUP(XLOOKUP($Q542,'Threshold Summary'!$Y:$Y,'Threshold Summary'!$K:$K,""),'Pokemon Editor'!$A:$A,'Pokemon Editor'!$H:$H,0)+31+FLOOR(XLOOKUP($Q542,'Threshold Summary'!$Y:$Y,'Threshold Summary'!$R:$R,"")/4))*XLOOKUP($Q542,'Threshold Summary'!$Y:$Y,'Threshold Summary'!$L:$L,""))/100)+5)*XLOOKUP(XLOOKUP($Q542,'Threshold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Editor'!$E:$E,1))),stab,IF(OR(mtype=XLOOKUP(XLOOKUP($Q542,'Threshold Summary'!$Y:$Y,'Threshold Summary'!$K:$K,""),'Pokemon Editor'!$A:$A,'Pokemon Editor'!$C:$C,""),mtype=XLOOKUP(XLOOKUP($Q542,'Threshold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Chart'!$B$1:$S$1,0)))),base,IF(OR(cat="Status",pow=0),0,FLOOR(FLOOR(FLOOR((2*XLOOKUP($Q542,'Threshold Summary'!$Y:$Y,'Threshold Summary'!$L:$L,"")/5+2)*pow*atk/def)/50)+2)),modifier,stab*eff,AVERAGE(ARRAYFORMULA(FLOOR(base*modifier*SEQUENCE(16,1,85,1)/100)))/(FLOOR(((2*XLOOKUP('Boss Editor'!$C$4,'Pokemon Editor'!$A:$A,'Pokemon Editor'!$E:$E,0)+31+FLOOR('Boss Editor'!$G$4/4))*'Boss Editor'!$D$4)/100)+'Boss Editor'!$D$4+10)),0)</f>
        <v/>
      </c>
      <c r="O542" s="3">
        <f>IF(N542&gt;=1,"OHKO",IF(N542&gt;=0.5,"2HKO",IF(N542&gt;=0.333,"3HKO",IF(N542&gt;=0.25,"4HKO","5HKO+"))))</f>
        <v/>
      </c>
      <c r="P542" s="3" t="inlineStr">
        <is>
          <t>Live from editable databases</t>
        </is>
      </c>
      <c r="Q542" s="3" t="inlineStr">
        <is>
          <t>SPECIES_MINCCINO</t>
        </is>
      </c>
      <c r="R542" s="3" t="n">
        <v>29</v>
      </c>
    </row>
    <row r="543">
      <c r="A543" s="3">
        <f>XLOOKUP($Q543,'Threshold Summary'!$Y:$Y,'Threshold Summary'!$A:$A,"")</f>
        <v/>
      </c>
      <c r="B543" s="3">
        <f>XLOOKUP($Q543,'Threshold Summary'!$Y:$Y,'Threshold Summary'!$M:$M,"")</f>
        <v/>
      </c>
      <c r="C543" s="3">
        <f>XLOOKUP($Q543,'Threshold Summary'!$Y:$Y,'Threshold Summary'!$N:$N,"")</f>
        <v/>
      </c>
      <c r="D543" s="3">
        <f>IFERROR(INDEX(FILTER('Learnset Editor'!$D$2:$D,'Learnset Editor'!$A$2:$A=XLOOKUP($Q543,'Threshold Summary'!$Y:$Y,'Threshold Summary'!$K:$K,""),'Learnset Editor'!$C$2:$C&lt;=XLOOKUP($Q543,'Threshold Summary'!$Y:$Y,'Threshold Summary'!$L:$L,"")),$R543),"")</f>
        <v/>
      </c>
      <c r="E543" s="3">
        <f>XLOOKUP(D543,'Move Editor'!$B:$B,'Move Editor'!$C:$C,"")</f>
        <v/>
      </c>
      <c r="F543" s="3">
        <f>XLOOKUP(D543,'Move Editor'!$B:$B,'Move Editor'!$D:$D,"")</f>
        <v/>
      </c>
      <c r="G543" s="3">
        <f>XLOOKUP(D543,'Move Editor'!$B:$B,'Move Editor'!$E:$E,0)</f>
        <v/>
      </c>
      <c r="H543" s="3">
        <f>XLOOKUP(D543,'Move Editor'!$B:$B,'Move Editor'!$F:$F,0)</f>
        <v/>
      </c>
      <c r="I543" s="3">
        <f>(INDEX('Type Chart'!$B:$S,MATCH(E543,'Type Chart'!$A:$A,0),MATCH(XLOOKUP('Boss Editor'!$C$4,'Pokemon Editor'!$A:$A,'Pokemon Editor'!$C:$C,""),'Type Chart'!$B$1:$S$1,0))*IF(XLOOKUP('Boss Editor'!$C$4,'Pokemon Editor'!$A:$A,'Pokemon Editor'!$D:$D,"")="",1,INDEX('Type Chart'!$B:$S,MATCH(E543,'Type Chart'!$A:$A,0),MATCH(XLOOKUP('Boss Editor'!$C$4,'Pokemon Editor'!$A:$A,'Pokemon Editor'!$D:$D,""),'Type Chart'!$B$1:$S$1,0))))</f>
        <v/>
      </c>
      <c r="J543" s="3">
        <f>IFERROR(LET(mtype,XLOOKUP($D543,'Move Editor'!$B:$B,'Move Editor'!$C:$C,""),cat,XLOOKUP($D543,'Move Editor'!$B:$B,'Move Editor'!$D:$D,""),pow,XLOOKUP($D543,'Move Editor'!$B:$B,'Move Editor'!$E:$E,0),acc,XLOOKUP($D543,'Move Editor'!$B:$B,'Move Editor'!$F:$F,100),atk,IF(cat="Physical",FLOOR((FLOOR(((2*XLOOKUP(XLOOKUP($Q543,'Threshold Summary'!$Y:$Y,'Threshold Summary'!$K:$K,""),'Pokemon Editor'!$A:$A,'Pokemon Editor'!$F:$F,0)+31+FLOOR(XLOOKUP($Q543,'Threshold Summary'!$Y:$Y,'Threshold Summary'!$P:$P,"")/4))*XLOOKUP($Q543,'Threshold Summary'!$Y:$Y,'Threshold Summary'!$L:$L,""))/100)+5)*XLOOKUP(XLOOKUP($Q543,'Threshold Summary'!$Y:$Y,'Threshold Summary'!$M:$M,""),'Nature Editor'!$A:$A,'Nature Editor'!$B:$B,1)),FLOOR((FLOOR(((2*XLOOKUP(XLOOKUP($Q543,'Threshold Summary'!$Y:$Y,'Threshold Summary'!$K:$K,""),'Pokemon Editor'!$A:$A,'Pokemon Editor'!$H:$H,0)+31+FLOOR(XLOOKUP($Q543,'Threshold Summary'!$Y:$Y,'Threshold Summary'!$R:$R,"")/4))*XLOOKUP($Q543,'Threshold Summary'!$Y:$Y,'Threshold Summary'!$L:$L,""))/100)+5)*XLOOKUP(XLOOKUP($Q543,'Threshold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Editor'!$E:$E,1))),stab,IF(OR(mtype=XLOOKUP(XLOOKUP($Q543,'Threshold Summary'!$Y:$Y,'Threshold Summary'!$K:$K,""),'Pokemon Editor'!$A:$A,'Pokemon Editor'!$C:$C,""),mtype=XLOOKUP(XLOOKUP($Q543,'Threshold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Chart'!$B$1:$S$1,0)))),base,IF(OR(cat="Status",pow=0),0,FLOOR(FLOOR(FLOOR((2*XLOOKUP($Q543,'Threshold Summary'!$Y:$Y,'Threshold Summary'!$L:$L,"")/5+2)*pow*atk/def)/50)+2)),modifier,stab*eff,FLOOR(base*modifier*0.85)),0)</f>
        <v/>
      </c>
      <c r="K543" s="3">
        <f>IFERROR(LET(mtype,XLOOKUP($D543,'Move Editor'!$B:$B,'Move Editor'!$C:$C,""),cat,XLOOKUP($D543,'Move Editor'!$B:$B,'Move Editor'!$D:$D,""),pow,XLOOKUP($D543,'Move Editor'!$B:$B,'Move Editor'!$E:$E,0),acc,XLOOKUP($D543,'Move Editor'!$B:$B,'Move Editor'!$F:$F,100),atk,IF(cat="Physical",FLOOR((FLOOR(((2*XLOOKUP(XLOOKUP($Q543,'Threshold Summary'!$Y:$Y,'Threshold Summary'!$K:$K,""),'Pokemon Editor'!$A:$A,'Pokemon Editor'!$F:$F,0)+31+FLOOR(XLOOKUP($Q543,'Threshold Summary'!$Y:$Y,'Threshold Summary'!$P:$P,"")/4))*XLOOKUP($Q543,'Threshold Summary'!$Y:$Y,'Threshold Summary'!$L:$L,""))/100)+5)*XLOOKUP(XLOOKUP($Q543,'Threshold Summary'!$Y:$Y,'Threshold Summary'!$M:$M,""),'Nature Editor'!$A:$A,'Nature Editor'!$B:$B,1)),FLOOR((FLOOR(((2*XLOOKUP(XLOOKUP($Q543,'Threshold Summary'!$Y:$Y,'Threshold Summary'!$K:$K,""),'Pokemon Editor'!$A:$A,'Pokemon Editor'!$H:$H,0)+31+FLOOR(XLOOKUP($Q543,'Threshold Summary'!$Y:$Y,'Threshold Summary'!$R:$R,"")/4))*XLOOKUP($Q543,'Threshold Summary'!$Y:$Y,'Threshold Summary'!$L:$L,""))/100)+5)*XLOOKUP(XLOOKUP($Q543,'Threshold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Editor'!$E:$E,1))),stab,IF(OR(mtype=XLOOKUP(XLOOKUP($Q543,'Threshold Summary'!$Y:$Y,'Threshold Summary'!$K:$K,""),'Pokemon Editor'!$A:$A,'Pokemon Editor'!$C:$C,""),mtype=XLOOKUP(XLOOKUP($Q543,'Threshold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Chart'!$B$1:$S$1,0)))),base,IF(OR(cat="Status",pow=0),0,FLOOR(FLOOR(FLOOR((2*XLOOKUP($Q543,'Threshold Summary'!$Y:$Y,'Threshold Summary'!$L:$L,"")/5+2)*pow*atk/def)/50)+2)),modifier,stab*eff,FLOOR(base*modifier)),0)</f>
        <v/>
      </c>
      <c r="L543" s="3">
        <f>IFERROR(LET(mtype,XLOOKUP($D543,'Move Editor'!$B:$B,'Move Editor'!$C:$C,""),cat,XLOOKUP($D543,'Move Editor'!$B:$B,'Move Editor'!$D:$D,""),pow,XLOOKUP($D543,'Move Editor'!$B:$B,'Move Editor'!$E:$E,0),acc,XLOOKUP($D543,'Move Editor'!$B:$B,'Move Editor'!$F:$F,100),atk,IF(cat="Physical",FLOOR((FLOOR(((2*XLOOKUP(XLOOKUP($Q543,'Threshold Summary'!$Y:$Y,'Threshold Summary'!$K:$K,""),'Pokemon Editor'!$A:$A,'Pokemon Editor'!$F:$F,0)+31+FLOOR(XLOOKUP($Q543,'Threshold Summary'!$Y:$Y,'Threshold Summary'!$P:$P,"")/4))*XLOOKUP($Q543,'Threshold Summary'!$Y:$Y,'Threshold Summary'!$L:$L,""))/100)+5)*XLOOKUP(XLOOKUP($Q543,'Threshold Summary'!$Y:$Y,'Threshold Summary'!$M:$M,""),'Nature Editor'!$A:$A,'Nature Editor'!$B:$B,1)),FLOOR((FLOOR(((2*XLOOKUP(XLOOKUP($Q543,'Threshold Summary'!$Y:$Y,'Threshold Summary'!$K:$K,""),'Pokemon Editor'!$A:$A,'Pokemon Editor'!$H:$H,0)+31+FLOOR(XLOOKUP($Q543,'Threshold Summary'!$Y:$Y,'Threshold Summary'!$R:$R,"")/4))*XLOOKUP($Q543,'Threshold Summary'!$Y:$Y,'Threshold Summary'!$L:$L,""))/100)+5)*XLOOKUP(XLOOKUP($Q543,'Threshold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Editor'!$E:$E,1))),stab,IF(OR(mtype=XLOOKUP(XLOOKUP($Q543,'Threshold Summary'!$Y:$Y,'Threshold Summary'!$K:$K,""),'Pokemon Editor'!$A:$A,'Pokemon Editor'!$C:$C,""),mtype=XLOOKUP(XLOOKUP($Q543,'Threshold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Chart'!$B$1:$S$1,0)))),base,IF(OR(cat="Status",pow=0),0,FLOOR(FLOOR(FLOOR((2*XLOOKUP($Q543,'Threshold Summary'!$Y:$Y,'Threshold Summary'!$L:$L,"")/5+2)*pow*atk/def)/50)+2)),modifier,stab*eff,AVERAGE(ARRAYFORMULA(FLOOR(base*modifier*SEQUENCE(16,1,85,1)/100)))),0)</f>
        <v/>
      </c>
      <c r="M543" s="3">
        <f>IFERROR(LET(mtype,XLOOKUP($D543,'Move Editor'!$B:$B,'Move Editor'!$C:$C,""),cat,XLOOKUP($D543,'Move Editor'!$B:$B,'Move Editor'!$D:$D,""),pow,XLOOKUP($D543,'Move Editor'!$B:$B,'Move Editor'!$E:$E,0),acc,XLOOKUP($D543,'Move Editor'!$B:$B,'Move Editor'!$F:$F,100),atk,IF(cat="Physical",FLOOR((FLOOR(((2*XLOOKUP(XLOOKUP($Q543,'Threshold Summary'!$Y:$Y,'Threshold Summary'!$K:$K,""),'Pokemon Editor'!$A:$A,'Pokemon Editor'!$F:$F,0)+31+FLOOR(XLOOKUP($Q543,'Threshold Summary'!$Y:$Y,'Threshold Summary'!$P:$P,"")/4))*XLOOKUP($Q543,'Threshold Summary'!$Y:$Y,'Threshold Summary'!$L:$L,""))/100)+5)*XLOOKUP(XLOOKUP($Q543,'Threshold Summary'!$Y:$Y,'Threshold Summary'!$M:$M,""),'Nature Editor'!$A:$A,'Nature Editor'!$B:$B,1)),FLOOR((FLOOR(((2*XLOOKUP(XLOOKUP($Q543,'Threshold Summary'!$Y:$Y,'Threshold Summary'!$K:$K,""),'Pokemon Editor'!$A:$A,'Pokemon Editor'!$H:$H,0)+31+FLOOR(XLOOKUP($Q543,'Threshold Summary'!$Y:$Y,'Threshold Summary'!$R:$R,"")/4))*XLOOKUP($Q543,'Threshold Summary'!$Y:$Y,'Threshold Summary'!$L:$L,""))/100)+5)*XLOOKUP(XLOOKUP($Q543,'Threshold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Editor'!$E:$E,1))),stab,IF(OR(mtype=XLOOKUP(XLOOKUP($Q543,'Threshold Summary'!$Y:$Y,'Threshold Summary'!$K:$K,""),'Pokemon Editor'!$A:$A,'Pokemon Editor'!$C:$C,""),mtype=XLOOKUP(XLOOKUP($Q543,'Threshold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Chart'!$B$1:$S$1,0)))),base,IF(OR(cat="Status",pow=0),0,FLOOR(FLOOR(FLOOR((2*XLOOKUP($Q543,'Threshold Summary'!$Y:$Y,'Threshold Summary'!$L:$L,"")/5+2)*pow*atk/def)/50)+2)),modifier,stab*eff,AVERAGE(ARRAYFORMULA(FLOOR(base*modifier*SEQUENCE(16,1,85,1)/100)))*MIN(1,acc/100)),0)</f>
        <v/>
      </c>
      <c r="N543" s="4">
        <f>IFERROR(LET(mtype,XLOOKUP($D543,'Move Editor'!$B:$B,'Move Editor'!$C:$C,""),cat,XLOOKUP($D543,'Move Editor'!$B:$B,'Move Editor'!$D:$D,""),pow,XLOOKUP($D543,'Move Editor'!$B:$B,'Move Editor'!$E:$E,0),acc,XLOOKUP($D543,'Move Editor'!$B:$B,'Move Editor'!$F:$F,100),atk,IF(cat="Physical",FLOOR((FLOOR(((2*XLOOKUP(XLOOKUP($Q543,'Threshold Summary'!$Y:$Y,'Threshold Summary'!$K:$K,""),'Pokemon Editor'!$A:$A,'Pokemon Editor'!$F:$F,0)+31+FLOOR(XLOOKUP($Q543,'Threshold Summary'!$Y:$Y,'Threshold Summary'!$P:$P,"")/4))*XLOOKUP($Q543,'Threshold Summary'!$Y:$Y,'Threshold Summary'!$L:$L,""))/100)+5)*XLOOKUP(XLOOKUP($Q543,'Threshold Summary'!$Y:$Y,'Threshold Summary'!$M:$M,""),'Nature Editor'!$A:$A,'Nature Editor'!$B:$B,1)),FLOOR((FLOOR(((2*XLOOKUP(XLOOKUP($Q543,'Threshold Summary'!$Y:$Y,'Threshold Summary'!$K:$K,""),'Pokemon Editor'!$A:$A,'Pokemon Editor'!$H:$H,0)+31+FLOOR(XLOOKUP($Q543,'Threshold Summary'!$Y:$Y,'Threshold Summary'!$R:$R,"")/4))*XLOOKUP($Q543,'Threshold Summary'!$Y:$Y,'Threshold Summary'!$L:$L,""))/100)+5)*XLOOKUP(XLOOKUP($Q543,'Threshold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Editor'!$E:$E,1))),stab,IF(OR(mtype=XLOOKUP(XLOOKUP($Q543,'Threshold Summary'!$Y:$Y,'Threshold Summary'!$K:$K,""),'Pokemon Editor'!$A:$A,'Pokemon Editor'!$C:$C,""),mtype=XLOOKUP(XLOOKUP($Q543,'Threshold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Chart'!$B$1:$S$1,0)))),base,IF(OR(cat="Status",pow=0),0,FLOOR(FLOOR(FLOOR((2*XLOOKUP($Q543,'Threshold Summary'!$Y:$Y,'Threshold Summary'!$L:$L,"")/5+2)*pow*atk/def)/50)+2)),modifier,stab*eff,AVERAGE(ARRAYFORMULA(FLOOR(base*modifier*SEQUENCE(16,1,85,1)/100)))/(FLOOR(((2*XLOOKUP('Boss Editor'!$C$4,'Pokemon Editor'!$A:$A,'Pokemon Editor'!$E:$E,0)+31+FLOOR('Boss Editor'!$G$4/4))*'Boss Editor'!$D$4)/100)+'Boss Editor'!$D$4+10)),0)</f>
        <v/>
      </c>
      <c r="O543" s="3">
        <f>IF(N543&gt;=1,"OHKO",IF(N543&gt;=0.5,"2HKO",IF(N543&gt;=0.333,"3HKO",IF(N543&gt;=0.25,"4HKO","5HKO+"))))</f>
        <v/>
      </c>
      <c r="P543" s="3" t="inlineStr">
        <is>
          <t>Live from editable databases</t>
        </is>
      </c>
      <c r="Q543" s="3" t="inlineStr">
        <is>
          <t>SPECIES_MINCCINO</t>
        </is>
      </c>
      <c r="R543" s="3" t="n">
        <v>30</v>
      </c>
    </row>
    <row r="544">
      <c r="A544" s="3">
        <f>XLOOKUP($Q544,'Threshold Summary'!$Y:$Y,'Threshold Summary'!$A:$A,"")</f>
        <v/>
      </c>
      <c r="B544" s="3">
        <f>XLOOKUP($Q544,'Threshold Summary'!$Y:$Y,'Threshold Summary'!$M:$M,"")</f>
        <v/>
      </c>
      <c r="C544" s="3">
        <f>XLOOKUP($Q544,'Threshold Summary'!$Y:$Y,'Threshold Summary'!$N:$N,"")</f>
        <v/>
      </c>
      <c r="D544" s="3">
        <f>IFERROR(INDEX(FILTER('Learnset Editor'!$D$2:$D,'Learnset Editor'!$A$2:$A=XLOOKUP($Q544,'Threshold Summary'!$Y:$Y,'Threshold Summary'!$K:$K,""),'Learnset Editor'!$C$2:$C&lt;=XLOOKUP($Q544,'Threshold Summary'!$Y:$Y,'Threshold Summary'!$L:$L,"")),$R544),"")</f>
        <v/>
      </c>
      <c r="E544" s="3">
        <f>XLOOKUP(D544,'Move Editor'!$B:$B,'Move Editor'!$C:$C,"")</f>
        <v/>
      </c>
      <c r="F544" s="3">
        <f>XLOOKUP(D544,'Move Editor'!$B:$B,'Move Editor'!$D:$D,"")</f>
        <v/>
      </c>
      <c r="G544" s="3">
        <f>XLOOKUP(D544,'Move Editor'!$B:$B,'Move Editor'!$E:$E,0)</f>
        <v/>
      </c>
      <c r="H544" s="3">
        <f>XLOOKUP(D544,'Move Editor'!$B:$B,'Move Editor'!$F:$F,0)</f>
        <v/>
      </c>
      <c r="I544" s="3">
        <f>(INDEX('Type Chart'!$B:$S,MATCH(E544,'Type Chart'!$A:$A,0),MATCH(XLOOKUP('Boss Editor'!$C$4,'Pokemon Editor'!$A:$A,'Pokemon Editor'!$C:$C,""),'Type Chart'!$B$1:$S$1,0))*IF(XLOOKUP('Boss Editor'!$C$4,'Pokemon Editor'!$A:$A,'Pokemon Editor'!$D:$D,"")="",1,INDEX('Type Chart'!$B:$S,MATCH(E544,'Type Chart'!$A:$A,0),MATCH(XLOOKUP('Boss Editor'!$C$4,'Pokemon Editor'!$A:$A,'Pokemon Editor'!$D:$D,""),'Type Chart'!$B$1:$S$1,0))))</f>
        <v/>
      </c>
      <c r="J544" s="3">
        <f>IFERROR(LET(mtype,XLOOKUP($D544,'Move Editor'!$B:$B,'Move Editor'!$C:$C,""),cat,XLOOKUP($D544,'Move Editor'!$B:$B,'Move Editor'!$D:$D,""),pow,XLOOKUP($D544,'Move Editor'!$B:$B,'Move Editor'!$E:$E,0),acc,XLOOKUP($D544,'Move Editor'!$B:$B,'Move Editor'!$F:$F,100),atk,IF(cat="Physical",FLOOR((FLOOR(((2*XLOOKUP(XLOOKUP($Q544,'Threshold Summary'!$Y:$Y,'Threshold Summary'!$K:$K,""),'Pokemon Editor'!$A:$A,'Pokemon Editor'!$F:$F,0)+31+FLOOR(XLOOKUP($Q544,'Threshold Summary'!$Y:$Y,'Threshold Summary'!$P:$P,"")/4))*XLOOKUP($Q544,'Threshold Summary'!$Y:$Y,'Threshold Summary'!$L:$L,""))/100)+5)*XLOOKUP(XLOOKUP($Q544,'Threshold Summary'!$Y:$Y,'Threshold Summary'!$M:$M,""),'Nature Editor'!$A:$A,'Nature Editor'!$B:$B,1)),FLOOR((FLOOR(((2*XLOOKUP(XLOOKUP($Q544,'Threshold Summary'!$Y:$Y,'Threshold Summary'!$K:$K,""),'Pokemon Editor'!$A:$A,'Pokemon Editor'!$H:$H,0)+31+FLOOR(XLOOKUP($Q544,'Threshold Summary'!$Y:$Y,'Threshold Summary'!$R:$R,"")/4))*XLOOKUP($Q544,'Threshold Summary'!$Y:$Y,'Threshold Summary'!$L:$L,""))/100)+5)*XLOOKUP(XLOOKUP($Q544,'Threshold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Editor'!$E:$E,1))),stab,IF(OR(mtype=XLOOKUP(XLOOKUP($Q544,'Threshold Summary'!$Y:$Y,'Threshold Summary'!$K:$K,""),'Pokemon Editor'!$A:$A,'Pokemon Editor'!$C:$C,""),mtype=XLOOKUP(XLOOKUP($Q544,'Threshold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Chart'!$B$1:$S$1,0)))),base,IF(OR(cat="Status",pow=0),0,FLOOR(FLOOR(FLOOR((2*XLOOKUP($Q544,'Threshold Summary'!$Y:$Y,'Threshold Summary'!$L:$L,"")/5+2)*pow*atk/def)/50)+2)),modifier,stab*eff,FLOOR(base*modifier*0.85)),0)</f>
        <v/>
      </c>
      <c r="K544" s="3">
        <f>IFERROR(LET(mtype,XLOOKUP($D544,'Move Editor'!$B:$B,'Move Editor'!$C:$C,""),cat,XLOOKUP($D544,'Move Editor'!$B:$B,'Move Editor'!$D:$D,""),pow,XLOOKUP($D544,'Move Editor'!$B:$B,'Move Editor'!$E:$E,0),acc,XLOOKUP($D544,'Move Editor'!$B:$B,'Move Editor'!$F:$F,100),atk,IF(cat="Physical",FLOOR((FLOOR(((2*XLOOKUP(XLOOKUP($Q544,'Threshold Summary'!$Y:$Y,'Threshold Summary'!$K:$K,""),'Pokemon Editor'!$A:$A,'Pokemon Editor'!$F:$F,0)+31+FLOOR(XLOOKUP($Q544,'Threshold Summary'!$Y:$Y,'Threshold Summary'!$P:$P,"")/4))*XLOOKUP($Q544,'Threshold Summary'!$Y:$Y,'Threshold Summary'!$L:$L,""))/100)+5)*XLOOKUP(XLOOKUP($Q544,'Threshold Summary'!$Y:$Y,'Threshold Summary'!$M:$M,""),'Nature Editor'!$A:$A,'Nature Editor'!$B:$B,1)),FLOOR((FLOOR(((2*XLOOKUP(XLOOKUP($Q544,'Threshold Summary'!$Y:$Y,'Threshold Summary'!$K:$K,""),'Pokemon Editor'!$A:$A,'Pokemon Editor'!$H:$H,0)+31+FLOOR(XLOOKUP($Q544,'Threshold Summary'!$Y:$Y,'Threshold Summary'!$R:$R,"")/4))*XLOOKUP($Q544,'Threshold Summary'!$Y:$Y,'Threshold Summary'!$L:$L,""))/100)+5)*XLOOKUP(XLOOKUP($Q544,'Threshold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Editor'!$E:$E,1))),stab,IF(OR(mtype=XLOOKUP(XLOOKUP($Q544,'Threshold Summary'!$Y:$Y,'Threshold Summary'!$K:$K,""),'Pokemon Editor'!$A:$A,'Pokemon Editor'!$C:$C,""),mtype=XLOOKUP(XLOOKUP($Q544,'Threshold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Chart'!$B$1:$S$1,0)))),base,IF(OR(cat="Status",pow=0),0,FLOOR(FLOOR(FLOOR((2*XLOOKUP($Q544,'Threshold Summary'!$Y:$Y,'Threshold Summary'!$L:$L,"")/5+2)*pow*atk/def)/50)+2)),modifier,stab*eff,FLOOR(base*modifier)),0)</f>
        <v/>
      </c>
      <c r="L544" s="3">
        <f>IFERROR(LET(mtype,XLOOKUP($D544,'Move Editor'!$B:$B,'Move Editor'!$C:$C,""),cat,XLOOKUP($D544,'Move Editor'!$B:$B,'Move Editor'!$D:$D,""),pow,XLOOKUP($D544,'Move Editor'!$B:$B,'Move Editor'!$E:$E,0),acc,XLOOKUP($D544,'Move Editor'!$B:$B,'Move Editor'!$F:$F,100),atk,IF(cat="Physical",FLOOR((FLOOR(((2*XLOOKUP(XLOOKUP($Q544,'Threshold Summary'!$Y:$Y,'Threshold Summary'!$K:$K,""),'Pokemon Editor'!$A:$A,'Pokemon Editor'!$F:$F,0)+31+FLOOR(XLOOKUP($Q544,'Threshold Summary'!$Y:$Y,'Threshold Summary'!$P:$P,"")/4))*XLOOKUP($Q544,'Threshold Summary'!$Y:$Y,'Threshold Summary'!$L:$L,""))/100)+5)*XLOOKUP(XLOOKUP($Q544,'Threshold Summary'!$Y:$Y,'Threshold Summary'!$M:$M,""),'Nature Editor'!$A:$A,'Nature Editor'!$B:$B,1)),FLOOR((FLOOR(((2*XLOOKUP(XLOOKUP($Q544,'Threshold Summary'!$Y:$Y,'Threshold Summary'!$K:$K,""),'Pokemon Editor'!$A:$A,'Pokemon Editor'!$H:$H,0)+31+FLOOR(XLOOKUP($Q544,'Threshold Summary'!$Y:$Y,'Threshold Summary'!$R:$R,"")/4))*XLOOKUP($Q544,'Threshold Summary'!$Y:$Y,'Threshold Summary'!$L:$L,""))/100)+5)*XLOOKUP(XLOOKUP($Q544,'Threshold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Editor'!$E:$E,1))),stab,IF(OR(mtype=XLOOKUP(XLOOKUP($Q544,'Threshold Summary'!$Y:$Y,'Threshold Summary'!$K:$K,""),'Pokemon Editor'!$A:$A,'Pokemon Editor'!$C:$C,""),mtype=XLOOKUP(XLOOKUP($Q544,'Threshold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Chart'!$B$1:$S$1,0)))),base,IF(OR(cat="Status",pow=0),0,FLOOR(FLOOR(FLOOR((2*XLOOKUP($Q544,'Threshold Summary'!$Y:$Y,'Threshold Summary'!$L:$L,"")/5+2)*pow*atk/def)/50)+2)),modifier,stab*eff,AVERAGE(ARRAYFORMULA(FLOOR(base*modifier*SEQUENCE(16,1,85,1)/100)))),0)</f>
        <v/>
      </c>
      <c r="M544" s="3">
        <f>IFERROR(LET(mtype,XLOOKUP($D544,'Move Editor'!$B:$B,'Move Editor'!$C:$C,""),cat,XLOOKUP($D544,'Move Editor'!$B:$B,'Move Editor'!$D:$D,""),pow,XLOOKUP($D544,'Move Editor'!$B:$B,'Move Editor'!$E:$E,0),acc,XLOOKUP($D544,'Move Editor'!$B:$B,'Move Editor'!$F:$F,100),atk,IF(cat="Physical",FLOOR((FLOOR(((2*XLOOKUP(XLOOKUP($Q544,'Threshold Summary'!$Y:$Y,'Threshold Summary'!$K:$K,""),'Pokemon Editor'!$A:$A,'Pokemon Editor'!$F:$F,0)+31+FLOOR(XLOOKUP($Q544,'Threshold Summary'!$Y:$Y,'Threshold Summary'!$P:$P,"")/4))*XLOOKUP($Q544,'Threshold Summary'!$Y:$Y,'Threshold Summary'!$L:$L,""))/100)+5)*XLOOKUP(XLOOKUP($Q544,'Threshold Summary'!$Y:$Y,'Threshold Summary'!$M:$M,""),'Nature Editor'!$A:$A,'Nature Editor'!$B:$B,1)),FLOOR((FLOOR(((2*XLOOKUP(XLOOKUP($Q544,'Threshold Summary'!$Y:$Y,'Threshold Summary'!$K:$K,""),'Pokemon Editor'!$A:$A,'Pokemon Editor'!$H:$H,0)+31+FLOOR(XLOOKUP($Q544,'Threshold Summary'!$Y:$Y,'Threshold Summary'!$R:$R,"")/4))*XLOOKUP($Q544,'Threshold Summary'!$Y:$Y,'Threshold Summary'!$L:$L,""))/100)+5)*XLOOKUP(XLOOKUP($Q544,'Threshold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Editor'!$E:$E,1))),stab,IF(OR(mtype=XLOOKUP(XLOOKUP($Q544,'Threshold Summary'!$Y:$Y,'Threshold Summary'!$K:$K,""),'Pokemon Editor'!$A:$A,'Pokemon Editor'!$C:$C,""),mtype=XLOOKUP(XLOOKUP($Q544,'Threshold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Chart'!$B$1:$S$1,0)))),base,IF(OR(cat="Status",pow=0),0,FLOOR(FLOOR(FLOOR((2*XLOOKUP($Q544,'Threshold Summary'!$Y:$Y,'Threshold Summary'!$L:$L,"")/5+2)*pow*atk/def)/50)+2)),modifier,stab*eff,AVERAGE(ARRAYFORMULA(FLOOR(base*modifier*SEQUENCE(16,1,85,1)/100)))*MIN(1,acc/100)),0)</f>
        <v/>
      </c>
      <c r="N544" s="4">
        <f>IFERROR(LET(mtype,XLOOKUP($D544,'Move Editor'!$B:$B,'Move Editor'!$C:$C,""),cat,XLOOKUP($D544,'Move Editor'!$B:$B,'Move Editor'!$D:$D,""),pow,XLOOKUP($D544,'Move Editor'!$B:$B,'Move Editor'!$E:$E,0),acc,XLOOKUP($D544,'Move Editor'!$B:$B,'Move Editor'!$F:$F,100),atk,IF(cat="Physical",FLOOR((FLOOR(((2*XLOOKUP(XLOOKUP($Q544,'Threshold Summary'!$Y:$Y,'Threshold Summary'!$K:$K,""),'Pokemon Editor'!$A:$A,'Pokemon Editor'!$F:$F,0)+31+FLOOR(XLOOKUP($Q544,'Threshold Summary'!$Y:$Y,'Threshold Summary'!$P:$P,"")/4))*XLOOKUP($Q544,'Threshold Summary'!$Y:$Y,'Threshold Summary'!$L:$L,""))/100)+5)*XLOOKUP(XLOOKUP($Q544,'Threshold Summary'!$Y:$Y,'Threshold Summary'!$M:$M,""),'Nature Editor'!$A:$A,'Nature Editor'!$B:$B,1)),FLOOR((FLOOR(((2*XLOOKUP(XLOOKUP($Q544,'Threshold Summary'!$Y:$Y,'Threshold Summary'!$K:$K,""),'Pokemon Editor'!$A:$A,'Pokemon Editor'!$H:$H,0)+31+FLOOR(XLOOKUP($Q544,'Threshold Summary'!$Y:$Y,'Threshold Summary'!$R:$R,"")/4))*XLOOKUP($Q544,'Threshold Summary'!$Y:$Y,'Threshold Summary'!$L:$L,""))/100)+5)*XLOOKUP(XLOOKUP($Q544,'Threshold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Editor'!$E:$E,1))),stab,IF(OR(mtype=XLOOKUP(XLOOKUP($Q544,'Threshold Summary'!$Y:$Y,'Threshold Summary'!$K:$K,""),'Pokemon Editor'!$A:$A,'Pokemon Editor'!$C:$C,""),mtype=XLOOKUP(XLOOKUP($Q544,'Threshold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Chart'!$B$1:$S$1,0)))),base,IF(OR(cat="Status",pow=0),0,FLOOR(FLOOR(FLOOR((2*XLOOKUP($Q544,'Threshold Summary'!$Y:$Y,'Threshold Summary'!$L:$L,"")/5+2)*pow*atk/def)/50)+2)),modifier,stab*eff,AVERAGE(ARRAYFORMULA(FLOOR(base*modifier*SEQUENCE(16,1,85,1)/100)))/(FLOOR(((2*XLOOKUP('Boss Editor'!$C$4,'Pokemon Editor'!$A:$A,'Pokemon Editor'!$E:$E,0)+31+FLOOR('Boss Editor'!$G$4/4))*'Boss Editor'!$D$4)/100)+'Boss Editor'!$D$4+10)),0)</f>
        <v/>
      </c>
      <c r="O544" s="3">
        <f>IF(N544&gt;=1,"OHKO",IF(N544&gt;=0.5,"2HKO",IF(N544&gt;=0.333,"3HKO",IF(N544&gt;=0.25,"4HKO","5HKO+"))))</f>
        <v/>
      </c>
      <c r="P544" s="3" t="inlineStr">
        <is>
          <t>Live from editable databases</t>
        </is>
      </c>
      <c r="Q544" s="3" t="inlineStr">
        <is>
          <t>SPECIES_MINCCINO</t>
        </is>
      </c>
      <c r="R544" s="3" t="n">
        <v>31</v>
      </c>
    </row>
    <row r="545">
      <c r="A545" s="3">
        <f>XLOOKUP($Q545,'Threshold Summary'!$Y:$Y,'Threshold Summary'!$A:$A,"")</f>
        <v/>
      </c>
      <c r="B545" s="3">
        <f>XLOOKUP($Q545,'Threshold Summary'!$Y:$Y,'Threshold Summary'!$M:$M,"")</f>
        <v/>
      </c>
      <c r="C545" s="3">
        <f>XLOOKUP($Q545,'Threshold Summary'!$Y:$Y,'Threshold Summary'!$N:$N,"")</f>
        <v/>
      </c>
      <c r="D545" s="3">
        <f>IFERROR(INDEX(FILTER('Learnset Editor'!$D$2:$D,'Learnset Editor'!$A$2:$A=XLOOKUP($Q545,'Threshold Summary'!$Y:$Y,'Threshold Summary'!$K:$K,""),'Learnset Editor'!$C$2:$C&lt;=XLOOKUP($Q545,'Threshold Summary'!$Y:$Y,'Threshold Summary'!$L:$L,"")),$R545),"")</f>
        <v/>
      </c>
      <c r="E545" s="3">
        <f>XLOOKUP(D545,'Move Editor'!$B:$B,'Move Editor'!$C:$C,"")</f>
        <v/>
      </c>
      <c r="F545" s="3">
        <f>XLOOKUP(D545,'Move Editor'!$B:$B,'Move Editor'!$D:$D,"")</f>
        <v/>
      </c>
      <c r="G545" s="3">
        <f>XLOOKUP(D545,'Move Editor'!$B:$B,'Move Editor'!$E:$E,0)</f>
        <v/>
      </c>
      <c r="H545" s="3">
        <f>XLOOKUP(D545,'Move Editor'!$B:$B,'Move Editor'!$F:$F,0)</f>
        <v/>
      </c>
      <c r="I545" s="3">
        <f>(INDEX('Type Chart'!$B:$S,MATCH(E545,'Type Chart'!$A:$A,0),MATCH(XLOOKUP('Boss Editor'!$C$4,'Pokemon Editor'!$A:$A,'Pokemon Editor'!$C:$C,""),'Type Chart'!$B$1:$S$1,0))*IF(XLOOKUP('Boss Editor'!$C$4,'Pokemon Editor'!$A:$A,'Pokemon Editor'!$D:$D,"")="",1,INDEX('Type Chart'!$B:$S,MATCH(E545,'Type Chart'!$A:$A,0),MATCH(XLOOKUP('Boss Editor'!$C$4,'Pokemon Editor'!$A:$A,'Pokemon Editor'!$D:$D,""),'Type Chart'!$B$1:$S$1,0))))</f>
        <v/>
      </c>
      <c r="J545" s="3">
        <f>IFERROR(LET(mtype,XLOOKUP($D545,'Move Editor'!$B:$B,'Move Editor'!$C:$C,""),cat,XLOOKUP($D545,'Move Editor'!$B:$B,'Move Editor'!$D:$D,""),pow,XLOOKUP($D545,'Move Editor'!$B:$B,'Move Editor'!$E:$E,0),acc,XLOOKUP($D545,'Move Editor'!$B:$B,'Move Editor'!$F:$F,100),atk,IF(cat="Physical",FLOOR((FLOOR(((2*XLOOKUP(XLOOKUP($Q545,'Threshold Summary'!$Y:$Y,'Threshold Summary'!$K:$K,""),'Pokemon Editor'!$A:$A,'Pokemon Editor'!$F:$F,0)+31+FLOOR(XLOOKUP($Q545,'Threshold Summary'!$Y:$Y,'Threshold Summary'!$P:$P,"")/4))*XLOOKUP($Q545,'Threshold Summary'!$Y:$Y,'Threshold Summary'!$L:$L,""))/100)+5)*XLOOKUP(XLOOKUP($Q545,'Threshold Summary'!$Y:$Y,'Threshold Summary'!$M:$M,""),'Nature Editor'!$A:$A,'Nature Editor'!$B:$B,1)),FLOOR((FLOOR(((2*XLOOKUP(XLOOKUP($Q545,'Threshold Summary'!$Y:$Y,'Threshold Summary'!$K:$K,""),'Pokemon Editor'!$A:$A,'Pokemon Editor'!$H:$H,0)+31+FLOOR(XLOOKUP($Q545,'Threshold Summary'!$Y:$Y,'Threshold Summary'!$R:$R,"")/4))*XLOOKUP($Q545,'Threshold Summary'!$Y:$Y,'Threshold Summary'!$L:$L,""))/100)+5)*XLOOKUP(XLOOKUP($Q545,'Threshold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Editor'!$E:$E,1))),stab,IF(OR(mtype=XLOOKUP(XLOOKUP($Q545,'Threshold Summary'!$Y:$Y,'Threshold Summary'!$K:$K,""),'Pokemon Editor'!$A:$A,'Pokemon Editor'!$C:$C,""),mtype=XLOOKUP(XLOOKUP($Q545,'Threshold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Chart'!$B$1:$S$1,0)))),base,IF(OR(cat="Status",pow=0),0,FLOOR(FLOOR(FLOOR((2*XLOOKUP($Q545,'Threshold Summary'!$Y:$Y,'Threshold Summary'!$L:$L,"")/5+2)*pow*atk/def)/50)+2)),modifier,stab*eff,FLOOR(base*modifier*0.85)),0)</f>
        <v/>
      </c>
      <c r="K545" s="3">
        <f>IFERROR(LET(mtype,XLOOKUP($D545,'Move Editor'!$B:$B,'Move Editor'!$C:$C,""),cat,XLOOKUP($D545,'Move Editor'!$B:$B,'Move Editor'!$D:$D,""),pow,XLOOKUP($D545,'Move Editor'!$B:$B,'Move Editor'!$E:$E,0),acc,XLOOKUP($D545,'Move Editor'!$B:$B,'Move Editor'!$F:$F,100),atk,IF(cat="Physical",FLOOR((FLOOR(((2*XLOOKUP(XLOOKUP($Q545,'Threshold Summary'!$Y:$Y,'Threshold Summary'!$K:$K,""),'Pokemon Editor'!$A:$A,'Pokemon Editor'!$F:$F,0)+31+FLOOR(XLOOKUP($Q545,'Threshold Summary'!$Y:$Y,'Threshold Summary'!$P:$P,"")/4))*XLOOKUP($Q545,'Threshold Summary'!$Y:$Y,'Threshold Summary'!$L:$L,""))/100)+5)*XLOOKUP(XLOOKUP($Q545,'Threshold Summary'!$Y:$Y,'Threshold Summary'!$M:$M,""),'Nature Editor'!$A:$A,'Nature Editor'!$B:$B,1)),FLOOR((FLOOR(((2*XLOOKUP(XLOOKUP($Q545,'Threshold Summary'!$Y:$Y,'Threshold Summary'!$K:$K,""),'Pokemon Editor'!$A:$A,'Pokemon Editor'!$H:$H,0)+31+FLOOR(XLOOKUP($Q545,'Threshold Summary'!$Y:$Y,'Threshold Summary'!$R:$R,"")/4))*XLOOKUP($Q545,'Threshold Summary'!$Y:$Y,'Threshold Summary'!$L:$L,""))/100)+5)*XLOOKUP(XLOOKUP($Q545,'Threshold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Editor'!$E:$E,1))),stab,IF(OR(mtype=XLOOKUP(XLOOKUP($Q545,'Threshold Summary'!$Y:$Y,'Threshold Summary'!$K:$K,""),'Pokemon Editor'!$A:$A,'Pokemon Editor'!$C:$C,""),mtype=XLOOKUP(XLOOKUP($Q545,'Threshold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Chart'!$B$1:$S$1,0)))),base,IF(OR(cat="Status",pow=0),0,FLOOR(FLOOR(FLOOR((2*XLOOKUP($Q545,'Threshold Summary'!$Y:$Y,'Threshold Summary'!$L:$L,"")/5+2)*pow*atk/def)/50)+2)),modifier,stab*eff,FLOOR(base*modifier)),0)</f>
        <v/>
      </c>
      <c r="L545" s="3">
        <f>IFERROR(LET(mtype,XLOOKUP($D545,'Move Editor'!$B:$B,'Move Editor'!$C:$C,""),cat,XLOOKUP($D545,'Move Editor'!$B:$B,'Move Editor'!$D:$D,""),pow,XLOOKUP($D545,'Move Editor'!$B:$B,'Move Editor'!$E:$E,0),acc,XLOOKUP($D545,'Move Editor'!$B:$B,'Move Editor'!$F:$F,100),atk,IF(cat="Physical",FLOOR((FLOOR(((2*XLOOKUP(XLOOKUP($Q545,'Threshold Summary'!$Y:$Y,'Threshold Summary'!$K:$K,""),'Pokemon Editor'!$A:$A,'Pokemon Editor'!$F:$F,0)+31+FLOOR(XLOOKUP($Q545,'Threshold Summary'!$Y:$Y,'Threshold Summary'!$P:$P,"")/4))*XLOOKUP($Q545,'Threshold Summary'!$Y:$Y,'Threshold Summary'!$L:$L,""))/100)+5)*XLOOKUP(XLOOKUP($Q545,'Threshold Summary'!$Y:$Y,'Threshold Summary'!$M:$M,""),'Nature Editor'!$A:$A,'Nature Editor'!$B:$B,1)),FLOOR((FLOOR(((2*XLOOKUP(XLOOKUP($Q545,'Threshold Summary'!$Y:$Y,'Threshold Summary'!$K:$K,""),'Pokemon Editor'!$A:$A,'Pokemon Editor'!$H:$H,0)+31+FLOOR(XLOOKUP($Q545,'Threshold Summary'!$Y:$Y,'Threshold Summary'!$R:$R,"")/4))*XLOOKUP($Q545,'Threshold Summary'!$Y:$Y,'Threshold Summary'!$L:$L,""))/100)+5)*XLOOKUP(XLOOKUP($Q545,'Threshold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Editor'!$E:$E,1))),stab,IF(OR(mtype=XLOOKUP(XLOOKUP($Q545,'Threshold Summary'!$Y:$Y,'Threshold Summary'!$K:$K,""),'Pokemon Editor'!$A:$A,'Pokemon Editor'!$C:$C,""),mtype=XLOOKUP(XLOOKUP($Q545,'Threshold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Chart'!$B$1:$S$1,0)))),base,IF(OR(cat="Status",pow=0),0,FLOOR(FLOOR(FLOOR((2*XLOOKUP($Q545,'Threshold Summary'!$Y:$Y,'Threshold Summary'!$L:$L,"")/5+2)*pow*atk/def)/50)+2)),modifier,stab*eff,AVERAGE(ARRAYFORMULA(FLOOR(base*modifier*SEQUENCE(16,1,85,1)/100)))),0)</f>
        <v/>
      </c>
      <c r="M545" s="3">
        <f>IFERROR(LET(mtype,XLOOKUP($D545,'Move Editor'!$B:$B,'Move Editor'!$C:$C,""),cat,XLOOKUP($D545,'Move Editor'!$B:$B,'Move Editor'!$D:$D,""),pow,XLOOKUP($D545,'Move Editor'!$B:$B,'Move Editor'!$E:$E,0),acc,XLOOKUP($D545,'Move Editor'!$B:$B,'Move Editor'!$F:$F,100),atk,IF(cat="Physical",FLOOR((FLOOR(((2*XLOOKUP(XLOOKUP($Q545,'Threshold Summary'!$Y:$Y,'Threshold Summary'!$K:$K,""),'Pokemon Editor'!$A:$A,'Pokemon Editor'!$F:$F,0)+31+FLOOR(XLOOKUP($Q545,'Threshold Summary'!$Y:$Y,'Threshold Summary'!$P:$P,"")/4))*XLOOKUP($Q545,'Threshold Summary'!$Y:$Y,'Threshold Summary'!$L:$L,""))/100)+5)*XLOOKUP(XLOOKUP($Q545,'Threshold Summary'!$Y:$Y,'Threshold Summary'!$M:$M,""),'Nature Editor'!$A:$A,'Nature Editor'!$B:$B,1)),FLOOR((FLOOR(((2*XLOOKUP(XLOOKUP($Q545,'Threshold Summary'!$Y:$Y,'Threshold Summary'!$K:$K,""),'Pokemon Editor'!$A:$A,'Pokemon Editor'!$H:$H,0)+31+FLOOR(XLOOKUP($Q545,'Threshold Summary'!$Y:$Y,'Threshold Summary'!$R:$R,"")/4))*XLOOKUP($Q545,'Threshold Summary'!$Y:$Y,'Threshold Summary'!$L:$L,""))/100)+5)*XLOOKUP(XLOOKUP($Q545,'Threshold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Editor'!$E:$E,1))),stab,IF(OR(mtype=XLOOKUP(XLOOKUP($Q545,'Threshold Summary'!$Y:$Y,'Threshold Summary'!$K:$K,""),'Pokemon Editor'!$A:$A,'Pokemon Editor'!$C:$C,""),mtype=XLOOKUP(XLOOKUP($Q545,'Threshold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Chart'!$B$1:$S$1,0)))),base,IF(OR(cat="Status",pow=0),0,FLOOR(FLOOR(FLOOR((2*XLOOKUP($Q545,'Threshold Summary'!$Y:$Y,'Threshold Summary'!$L:$L,"")/5+2)*pow*atk/def)/50)+2)),modifier,stab*eff,AVERAGE(ARRAYFORMULA(FLOOR(base*modifier*SEQUENCE(16,1,85,1)/100)))*MIN(1,acc/100)),0)</f>
        <v/>
      </c>
      <c r="N545" s="4">
        <f>IFERROR(LET(mtype,XLOOKUP($D545,'Move Editor'!$B:$B,'Move Editor'!$C:$C,""),cat,XLOOKUP($D545,'Move Editor'!$B:$B,'Move Editor'!$D:$D,""),pow,XLOOKUP($D545,'Move Editor'!$B:$B,'Move Editor'!$E:$E,0),acc,XLOOKUP($D545,'Move Editor'!$B:$B,'Move Editor'!$F:$F,100),atk,IF(cat="Physical",FLOOR((FLOOR(((2*XLOOKUP(XLOOKUP($Q545,'Threshold Summary'!$Y:$Y,'Threshold Summary'!$K:$K,""),'Pokemon Editor'!$A:$A,'Pokemon Editor'!$F:$F,0)+31+FLOOR(XLOOKUP($Q545,'Threshold Summary'!$Y:$Y,'Threshold Summary'!$P:$P,"")/4))*XLOOKUP($Q545,'Threshold Summary'!$Y:$Y,'Threshold Summary'!$L:$L,""))/100)+5)*XLOOKUP(XLOOKUP($Q545,'Threshold Summary'!$Y:$Y,'Threshold Summary'!$M:$M,""),'Nature Editor'!$A:$A,'Nature Editor'!$B:$B,1)),FLOOR((FLOOR(((2*XLOOKUP(XLOOKUP($Q545,'Threshold Summary'!$Y:$Y,'Threshold Summary'!$K:$K,""),'Pokemon Editor'!$A:$A,'Pokemon Editor'!$H:$H,0)+31+FLOOR(XLOOKUP($Q545,'Threshold Summary'!$Y:$Y,'Threshold Summary'!$R:$R,"")/4))*XLOOKUP($Q545,'Threshold Summary'!$Y:$Y,'Threshold Summary'!$L:$L,""))/100)+5)*XLOOKUP(XLOOKUP($Q545,'Threshold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Editor'!$E:$E,1))),stab,IF(OR(mtype=XLOOKUP(XLOOKUP($Q545,'Threshold Summary'!$Y:$Y,'Threshold Summary'!$K:$K,""),'Pokemon Editor'!$A:$A,'Pokemon Editor'!$C:$C,""),mtype=XLOOKUP(XLOOKUP($Q545,'Threshold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Chart'!$B$1:$S$1,0)))),base,IF(OR(cat="Status",pow=0),0,FLOOR(FLOOR(FLOOR((2*XLOOKUP($Q545,'Threshold Summary'!$Y:$Y,'Threshold Summary'!$L:$L,"")/5+2)*pow*atk/def)/50)+2)),modifier,stab*eff,AVERAGE(ARRAYFORMULA(FLOOR(base*modifier*SEQUENCE(16,1,85,1)/100)))/(FLOOR(((2*XLOOKUP('Boss Editor'!$C$4,'Pokemon Editor'!$A:$A,'Pokemon Editor'!$E:$E,0)+31+FLOOR('Boss Editor'!$G$4/4))*'Boss Editor'!$D$4)/100)+'Boss Editor'!$D$4+10)),0)</f>
        <v/>
      </c>
      <c r="O545" s="3">
        <f>IF(N545&gt;=1,"OHKO",IF(N545&gt;=0.5,"2HKO",IF(N545&gt;=0.333,"3HKO",IF(N545&gt;=0.25,"4HKO","5HKO+"))))</f>
        <v/>
      </c>
      <c r="P545" s="3" t="inlineStr">
        <is>
          <t>Live from editable databases</t>
        </is>
      </c>
      <c r="Q545" s="3" t="inlineStr">
        <is>
          <t>SPECIES_MINCCINO</t>
        </is>
      </c>
      <c r="R545" s="3" t="n">
        <v>32</v>
      </c>
    </row>
    <row r="546">
      <c r="A546" s="3">
        <f>XLOOKUP($Q546,'Threshold Summary'!$Y:$Y,'Threshold Summary'!$A:$A,"")</f>
        <v/>
      </c>
      <c r="B546" s="3">
        <f>XLOOKUP($Q546,'Threshold Summary'!$Y:$Y,'Threshold Summary'!$M:$M,"")</f>
        <v/>
      </c>
      <c r="C546" s="3">
        <f>XLOOKUP($Q546,'Threshold Summary'!$Y:$Y,'Threshold Summary'!$N:$N,"")</f>
        <v/>
      </c>
      <c r="D546" s="3">
        <f>IFERROR(INDEX(FILTER('Learnset Editor'!$D$2:$D,'Learnset Editor'!$A$2:$A=XLOOKUP($Q546,'Threshold Summary'!$Y:$Y,'Threshold Summary'!$K:$K,""),'Learnset Editor'!$C$2:$C&lt;=XLOOKUP($Q546,'Threshold Summary'!$Y:$Y,'Threshold Summary'!$L:$L,"")),$R546),"")</f>
        <v/>
      </c>
      <c r="E546" s="3">
        <f>XLOOKUP(D546,'Move Editor'!$B:$B,'Move Editor'!$C:$C,"")</f>
        <v/>
      </c>
      <c r="F546" s="3">
        <f>XLOOKUP(D546,'Move Editor'!$B:$B,'Move Editor'!$D:$D,"")</f>
        <v/>
      </c>
      <c r="G546" s="3">
        <f>XLOOKUP(D546,'Move Editor'!$B:$B,'Move Editor'!$E:$E,0)</f>
        <v/>
      </c>
      <c r="H546" s="3">
        <f>XLOOKUP(D546,'Move Editor'!$B:$B,'Move Editor'!$F:$F,0)</f>
        <v/>
      </c>
      <c r="I546" s="3">
        <f>(INDEX('Type Chart'!$B:$S,MATCH(E546,'Type Chart'!$A:$A,0),MATCH(XLOOKUP('Boss Editor'!$C$4,'Pokemon Editor'!$A:$A,'Pokemon Editor'!$C:$C,""),'Type Chart'!$B$1:$S$1,0))*IF(XLOOKUP('Boss Editor'!$C$4,'Pokemon Editor'!$A:$A,'Pokemon Editor'!$D:$D,"")="",1,INDEX('Type Chart'!$B:$S,MATCH(E546,'Type Chart'!$A:$A,0),MATCH(XLOOKUP('Boss Editor'!$C$4,'Pokemon Editor'!$A:$A,'Pokemon Editor'!$D:$D,""),'Type Chart'!$B$1:$S$1,0))))</f>
        <v/>
      </c>
      <c r="J546" s="3">
        <f>IFERROR(LET(mtype,XLOOKUP($D546,'Move Editor'!$B:$B,'Move Editor'!$C:$C,""),cat,XLOOKUP($D546,'Move Editor'!$B:$B,'Move Editor'!$D:$D,""),pow,XLOOKUP($D546,'Move Editor'!$B:$B,'Move Editor'!$E:$E,0),acc,XLOOKUP($D546,'Move Editor'!$B:$B,'Move Editor'!$F:$F,100),atk,IF(cat="Physical",FLOOR((FLOOR(((2*XLOOKUP(XLOOKUP($Q546,'Threshold Summary'!$Y:$Y,'Threshold Summary'!$K:$K,""),'Pokemon Editor'!$A:$A,'Pokemon Editor'!$F:$F,0)+31+FLOOR(XLOOKUP($Q546,'Threshold Summary'!$Y:$Y,'Threshold Summary'!$P:$P,"")/4))*XLOOKUP($Q546,'Threshold Summary'!$Y:$Y,'Threshold Summary'!$L:$L,""))/100)+5)*XLOOKUP(XLOOKUP($Q546,'Threshold Summary'!$Y:$Y,'Threshold Summary'!$M:$M,""),'Nature Editor'!$A:$A,'Nature Editor'!$B:$B,1)),FLOOR((FLOOR(((2*XLOOKUP(XLOOKUP($Q546,'Threshold Summary'!$Y:$Y,'Threshold Summary'!$K:$K,""),'Pokemon Editor'!$A:$A,'Pokemon Editor'!$H:$H,0)+31+FLOOR(XLOOKUP($Q546,'Threshold Summary'!$Y:$Y,'Threshold Summary'!$R:$R,"")/4))*XLOOKUP($Q546,'Threshold Summary'!$Y:$Y,'Threshold Summary'!$L:$L,""))/100)+5)*XLOOKUP(XLOOKUP($Q546,'Threshold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Editor'!$E:$E,1))),stab,IF(OR(mtype=XLOOKUP(XLOOKUP($Q546,'Threshold Summary'!$Y:$Y,'Threshold Summary'!$K:$K,""),'Pokemon Editor'!$A:$A,'Pokemon Editor'!$C:$C,""),mtype=XLOOKUP(XLOOKUP($Q546,'Threshold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Chart'!$B$1:$S$1,0)))),base,IF(OR(cat="Status",pow=0),0,FLOOR(FLOOR(FLOOR((2*XLOOKUP($Q546,'Threshold Summary'!$Y:$Y,'Threshold Summary'!$L:$L,"")/5+2)*pow*atk/def)/50)+2)),modifier,stab*eff,FLOOR(base*modifier*0.85)),0)</f>
        <v/>
      </c>
      <c r="K546" s="3">
        <f>IFERROR(LET(mtype,XLOOKUP($D546,'Move Editor'!$B:$B,'Move Editor'!$C:$C,""),cat,XLOOKUP($D546,'Move Editor'!$B:$B,'Move Editor'!$D:$D,""),pow,XLOOKUP($D546,'Move Editor'!$B:$B,'Move Editor'!$E:$E,0),acc,XLOOKUP($D546,'Move Editor'!$B:$B,'Move Editor'!$F:$F,100),atk,IF(cat="Physical",FLOOR((FLOOR(((2*XLOOKUP(XLOOKUP($Q546,'Threshold Summary'!$Y:$Y,'Threshold Summary'!$K:$K,""),'Pokemon Editor'!$A:$A,'Pokemon Editor'!$F:$F,0)+31+FLOOR(XLOOKUP($Q546,'Threshold Summary'!$Y:$Y,'Threshold Summary'!$P:$P,"")/4))*XLOOKUP($Q546,'Threshold Summary'!$Y:$Y,'Threshold Summary'!$L:$L,""))/100)+5)*XLOOKUP(XLOOKUP($Q546,'Threshold Summary'!$Y:$Y,'Threshold Summary'!$M:$M,""),'Nature Editor'!$A:$A,'Nature Editor'!$B:$B,1)),FLOOR((FLOOR(((2*XLOOKUP(XLOOKUP($Q546,'Threshold Summary'!$Y:$Y,'Threshold Summary'!$K:$K,""),'Pokemon Editor'!$A:$A,'Pokemon Editor'!$H:$H,0)+31+FLOOR(XLOOKUP($Q546,'Threshold Summary'!$Y:$Y,'Threshold Summary'!$R:$R,"")/4))*XLOOKUP($Q546,'Threshold Summary'!$Y:$Y,'Threshold Summary'!$L:$L,""))/100)+5)*XLOOKUP(XLOOKUP($Q546,'Threshold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Editor'!$E:$E,1))),stab,IF(OR(mtype=XLOOKUP(XLOOKUP($Q546,'Threshold Summary'!$Y:$Y,'Threshold Summary'!$K:$K,""),'Pokemon Editor'!$A:$A,'Pokemon Editor'!$C:$C,""),mtype=XLOOKUP(XLOOKUP($Q546,'Threshold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Chart'!$B$1:$S$1,0)))),base,IF(OR(cat="Status",pow=0),0,FLOOR(FLOOR(FLOOR((2*XLOOKUP($Q546,'Threshold Summary'!$Y:$Y,'Threshold Summary'!$L:$L,"")/5+2)*pow*atk/def)/50)+2)),modifier,stab*eff,FLOOR(base*modifier)),0)</f>
        <v/>
      </c>
      <c r="L546" s="3">
        <f>IFERROR(LET(mtype,XLOOKUP($D546,'Move Editor'!$B:$B,'Move Editor'!$C:$C,""),cat,XLOOKUP($D546,'Move Editor'!$B:$B,'Move Editor'!$D:$D,""),pow,XLOOKUP($D546,'Move Editor'!$B:$B,'Move Editor'!$E:$E,0),acc,XLOOKUP($D546,'Move Editor'!$B:$B,'Move Editor'!$F:$F,100),atk,IF(cat="Physical",FLOOR((FLOOR(((2*XLOOKUP(XLOOKUP($Q546,'Threshold Summary'!$Y:$Y,'Threshold Summary'!$K:$K,""),'Pokemon Editor'!$A:$A,'Pokemon Editor'!$F:$F,0)+31+FLOOR(XLOOKUP($Q546,'Threshold Summary'!$Y:$Y,'Threshold Summary'!$P:$P,"")/4))*XLOOKUP($Q546,'Threshold Summary'!$Y:$Y,'Threshold Summary'!$L:$L,""))/100)+5)*XLOOKUP(XLOOKUP($Q546,'Threshold Summary'!$Y:$Y,'Threshold Summary'!$M:$M,""),'Nature Editor'!$A:$A,'Nature Editor'!$B:$B,1)),FLOOR((FLOOR(((2*XLOOKUP(XLOOKUP($Q546,'Threshold Summary'!$Y:$Y,'Threshold Summary'!$K:$K,""),'Pokemon Editor'!$A:$A,'Pokemon Editor'!$H:$H,0)+31+FLOOR(XLOOKUP($Q546,'Threshold Summary'!$Y:$Y,'Threshold Summary'!$R:$R,"")/4))*XLOOKUP($Q546,'Threshold Summary'!$Y:$Y,'Threshold Summary'!$L:$L,""))/100)+5)*XLOOKUP(XLOOKUP($Q546,'Threshold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Editor'!$E:$E,1))),stab,IF(OR(mtype=XLOOKUP(XLOOKUP($Q546,'Threshold Summary'!$Y:$Y,'Threshold Summary'!$K:$K,""),'Pokemon Editor'!$A:$A,'Pokemon Editor'!$C:$C,""),mtype=XLOOKUP(XLOOKUP($Q546,'Threshold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Chart'!$B$1:$S$1,0)))),base,IF(OR(cat="Status",pow=0),0,FLOOR(FLOOR(FLOOR((2*XLOOKUP($Q546,'Threshold Summary'!$Y:$Y,'Threshold Summary'!$L:$L,"")/5+2)*pow*atk/def)/50)+2)),modifier,stab*eff,AVERAGE(ARRAYFORMULA(FLOOR(base*modifier*SEQUENCE(16,1,85,1)/100)))),0)</f>
        <v/>
      </c>
      <c r="M546" s="3">
        <f>IFERROR(LET(mtype,XLOOKUP($D546,'Move Editor'!$B:$B,'Move Editor'!$C:$C,""),cat,XLOOKUP($D546,'Move Editor'!$B:$B,'Move Editor'!$D:$D,""),pow,XLOOKUP($D546,'Move Editor'!$B:$B,'Move Editor'!$E:$E,0),acc,XLOOKUP($D546,'Move Editor'!$B:$B,'Move Editor'!$F:$F,100),atk,IF(cat="Physical",FLOOR((FLOOR(((2*XLOOKUP(XLOOKUP($Q546,'Threshold Summary'!$Y:$Y,'Threshold Summary'!$K:$K,""),'Pokemon Editor'!$A:$A,'Pokemon Editor'!$F:$F,0)+31+FLOOR(XLOOKUP($Q546,'Threshold Summary'!$Y:$Y,'Threshold Summary'!$P:$P,"")/4))*XLOOKUP($Q546,'Threshold Summary'!$Y:$Y,'Threshold Summary'!$L:$L,""))/100)+5)*XLOOKUP(XLOOKUP($Q546,'Threshold Summary'!$Y:$Y,'Threshold Summary'!$M:$M,""),'Nature Editor'!$A:$A,'Nature Editor'!$B:$B,1)),FLOOR((FLOOR(((2*XLOOKUP(XLOOKUP($Q546,'Threshold Summary'!$Y:$Y,'Threshold Summary'!$K:$K,""),'Pokemon Editor'!$A:$A,'Pokemon Editor'!$H:$H,0)+31+FLOOR(XLOOKUP($Q546,'Threshold Summary'!$Y:$Y,'Threshold Summary'!$R:$R,"")/4))*XLOOKUP($Q546,'Threshold Summary'!$Y:$Y,'Threshold Summary'!$L:$L,""))/100)+5)*XLOOKUP(XLOOKUP($Q546,'Threshold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Editor'!$E:$E,1))),stab,IF(OR(mtype=XLOOKUP(XLOOKUP($Q546,'Threshold Summary'!$Y:$Y,'Threshold Summary'!$K:$K,""),'Pokemon Editor'!$A:$A,'Pokemon Editor'!$C:$C,""),mtype=XLOOKUP(XLOOKUP($Q546,'Threshold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Chart'!$B$1:$S$1,0)))),base,IF(OR(cat="Status",pow=0),0,FLOOR(FLOOR(FLOOR((2*XLOOKUP($Q546,'Threshold Summary'!$Y:$Y,'Threshold Summary'!$L:$L,"")/5+2)*pow*atk/def)/50)+2)),modifier,stab*eff,AVERAGE(ARRAYFORMULA(FLOOR(base*modifier*SEQUENCE(16,1,85,1)/100)))*MIN(1,acc/100)),0)</f>
        <v/>
      </c>
      <c r="N546" s="4">
        <f>IFERROR(LET(mtype,XLOOKUP($D546,'Move Editor'!$B:$B,'Move Editor'!$C:$C,""),cat,XLOOKUP($D546,'Move Editor'!$B:$B,'Move Editor'!$D:$D,""),pow,XLOOKUP($D546,'Move Editor'!$B:$B,'Move Editor'!$E:$E,0),acc,XLOOKUP($D546,'Move Editor'!$B:$B,'Move Editor'!$F:$F,100),atk,IF(cat="Physical",FLOOR((FLOOR(((2*XLOOKUP(XLOOKUP($Q546,'Threshold Summary'!$Y:$Y,'Threshold Summary'!$K:$K,""),'Pokemon Editor'!$A:$A,'Pokemon Editor'!$F:$F,0)+31+FLOOR(XLOOKUP($Q546,'Threshold Summary'!$Y:$Y,'Threshold Summary'!$P:$P,"")/4))*XLOOKUP($Q546,'Threshold Summary'!$Y:$Y,'Threshold Summary'!$L:$L,""))/100)+5)*XLOOKUP(XLOOKUP($Q546,'Threshold Summary'!$Y:$Y,'Threshold Summary'!$M:$M,""),'Nature Editor'!$A:$A,'Nature Editor'!$B:$B,1)),FLOOR((FLOOR(((2*XLOOKUP(XLOOKUP($Q546,'Threshold Summary'!$Y:$Y,'Threshold Summary'!$K:$K,""),'Pokemon Editor'!$A:$A,'Pokemon Editor'!$H:$H,0)+31+FLOOR(XLOOKUP($Q546,'Threshold Summary'!$Y:$Y,'Threshold Summary'!$R:$R,"")/4))*XLOOKUP($Q546,'Threshold Summary'!$Y:$Y,'Threshold Summary'!$L:$L,""))/100)+5)*XLOOKUP(XLOOKUP($Q546,'Threshold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Editor'!$E:$E,1))),stab,IF(OR(mtype=XLOOKUP(XLOOKUP($Q546,'Threshold Summary'!$Y:$Y,'Threshold Summary'!$K:$K,""),'Pokemon Editor'!$A:$A,'Pokemon Editor'!$C:$C,""),mtype=XLOOKUP(XLOOKUP($Q546,'Threshold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Chart'!$B$1:$S$1,0)))),base,IF(OR(cat="Status",pow=0),0,FLOOR(FLOOR(FLOOR((2*XLOOKUP($Q546,'Threshold Summary'!$Y:$Y,'Threshold Summary'!$L:$L,"")/5+2)*pow*atk/def)/50)+2)),modifier,stab*eff,AVERAGE(ARRAYFORMULA(FLOOR(base*modifier*SEQUENCE(16,1,85,1)/100)))/(FLOOR(((2*XLOOKUP('Boss Editor'!$C$4,'Pokemon Editor'!$A:$A,'Pokemon Editor'!$E:$E,0)+31+FLOOR('Boss Editor'!$G$4/4))*'Boss Editor'!$D$4)/100)+'Boss Editor'!$D$4+10)),0)</f>
        <v/>
      </c>
      <c r="O546" s="3">
        <f>IF(N546&gt;=1,"OHKO",IF(N546&gt;=0.5,"2HKO",IF(N546&gt;=0.333,"3HKO",IF(N546&gt;=0.25,"4HKO","5HKO+"))))</f>
        <v/>
      </c>
      <c r="P546" s="3" t="inlineStr">
        <is>
          <t>Live from editable databases</t>
        </is>
      </c>
      <c r="Q546" s="3" t="inlineStr">
        <is>
          <t>SPECIES_DUCKLETT</t>
        </is>
      </c>
      <c r="R546" s="3" t="n">
        <v>1</v>
      </c>
    </row>
    <row r="547">
      <c r="A547" s="3">
        <f>XLOOKUP($Q547,'Threshold Summary'!$Y:$Y,'Threshold Summary'!$A:$A,"")</f>
        <v/>
      </c>
      <c r="B547" s="3">
        <f>XLOOKUP($Q547,'Threshold Summary'!$Y:$Y,'Threshold Summary'!$M:$M,"")</f>
        <v/>
      </c>
      <c r="C547" s="3">
        <f>XLOOKUP($Q547,'Threshold Summary'!$Y:$Y,'Threshold Summary'!$N:$N,"")</f>
        <v/>
      </c>
      <c r="D547" s="3">
        <f>IFERROR(INDEX(FILTER('Learnset Editor'!$D$2:$D,'Learnset Editor'!$A$2:$A=XLOOKUP($Q547,'Threshold Summary'!$Y:$Y,'Threshold Summary'!$K:$K,""),'Learnset Editor'!$C$2:$C&lt;=XLOOKUP($Q547,'Threshold Summary'!$Y:$Y,'Threshold Summary'!$L:$L,"")),$R547),"")</f>
        <v/>
      </c>
      <c r="E547" s="3">
        <f>XLOOKUP(D547,'Move Editor'!$B:$B,'Move Editor'!$C:$C,"")</f>
        <v/>
      </c>
      <c r="F547" s="3">
        <f>XLOOKUP(D547,'Move Editor'!$B:$B,'Move Editor'!$D:$D,"")</f>
        <v/>
      </c>
      <c r="G547" s="3">
        <f>XLOOKUP(D547,'Move Editor'!$B:$B,'Move Editor'!$E:$E,0)</f>
        <v/>
      </c>
      <c r="H547" s="3">
        <f>XLOOKUP(D547,'Move Editor'!$B:$B,'Move Editor'!$F:$F,0)</f>
        <v/>
      </c>
      <c r="I547" s="3">
        <f>(INDEX('Type Chart'!$B:$S,MATCH(E547,'Type Chart'!$A:$A,0),MATCH(XLOOKUP('Boss Editor'!$C$4,'Pokemon Editor'!$A:$A,'Pokemon Editor'!$C:$C,""),'Type Chart'!$B$1:$S$1,0))*IF(XLOOKUP('Boss Editor'!$C$4,'Pokemon Editor'!$A:$A,'Pokemon Editor'!$D:$D,"")="",1,INDEX('Type Chart'!$B:$S,MATCH(E547,'Type Chart'!$A:$A,0),MATCH(XLOOKUP('Boss Editor'!$C$4,'Pokemon Editor'!$A:$A,'Pokemon Editor'!$D:$D,""),'Type Chart'!$B$1:$S$1,0))))</f>
        <v/>
      </c>
      <c r="J547" s="3">
        <f>IFERROR(LET(mtype,XLOOKUP($D547,'Move Editor'!$B:$B,'Move Editor'!$C:$C,""),cat,XLOOKUP($D547,'Move Editor'!$B:$B,'Move Editor'!$D:$D,""),pow,XLOOKUP($D547,'Move Editor'!$B:$B,'Move Editor'!$E:$E,0),acc,XLOOKUP($D547,'Move Editor'!$B:$B,'Move Editor'!$F:$F,100),atk,IF(cat="Physical",FLOOR((FLOOR(((2*XLOOKUP(XLOOKUP($Q547,'Threshold Summary'!$Y:$Y,'Threshold Summary'!$K:$K,""),'Pokemon Editor'!$A:$A,'Pokemon Editor'!$F:$F,0)+31+FLOOR(XLOOKUP($Q547,'Threshold Summary'!$Y:$Y,'Threshold Summary'!$P:$P,"")/4))*XLOOKUP($Q547,'Threshold Summary'!$Y:$Y,'Threshold Summary'!$L:$L,""))/100)+5)*XLOOKUP(XLOOKUP($Q547,'Threshold Summary'!$Y:$Y,'Threshold Summary'!$M:$M,""),'Nature Editor'!$A:$A,'Nature Editor'!$B:$B,1)),FLOOR((FLOOR(((2*XLOOKUP(XLOOKUP($Q547,'Threshold Summary'!$Y:$Y,'Threshold Summary'!$K:$K,""),'Pokemon Editor'!$A:$A,'Pokemon Editor'!$H:$H,0)+31+FLOOR(XLOOKUP($Q547,'Threshold Summary'!$Y:$Y,'Threshold Summary'!$R:$R,"")/4))*XLOOKUP($Q547,'Threshold Summary'!$Y:$Y,'Threshold Summary'!$L:$L,""))/100)+5)*XLOOKUP(XLOOKUP($Q547,'Threshold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Editor'!$E:$E,1))),stab,IF(OR(mtype=XLOOKUP(XLOOKUP($Q547,'Threshold Summary'!$Y:$Y,'Threshold Summary'!$K:$K,""),'Pokemon Editor'!$A:$A,'Pokemon Editor'!$C:$C,""),mtype=XLOOKUP(XLOOKUP($Q547,'Threshold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Chart'!$B$1:$S$1,0)))),base,IF(OR(cat="Status",pow=0),0,FLOOR(FLOOR(FLOOR((2*XLOOKUP($Q547,'Threshold Summary'!$Y:$Y,'Threshold Summary'!$L:$L,"")/5+2)*pow*atk/def)/50)+2)),modifier,stab*eff,FLOOR(base*modifier*0.85)),0)</f>
        <v/>
      </c>
      <c r="K547" s="3">
        <f>IFERROR(LET(mtype,XLOOKUP($D547,'Move Editor'!$B:$B,'Move Editor'!$C:$C,""),cat,XLOOKUP($D547,'Move Editor'!$B:$B,'Move Editor'!$D:$D,""),pow,XLOOKUP($D547,'Move Editor'!$B:$B,'Move Editor'!$E:$E,0),acc,XLOOKUP($D547,'Move Editor'!$B:$B,'Move Editor'!$F:$F,100),atk,IF(cat="Physical",FLOOR((FLOOR(((2*XLOOKUP(XLOOKUP($Q547,'Threshold Summary'!$Y:$Y,'Threshold Summary'!$K:$K,""),'Pokemon Editor'!$A:$A,'Pokemon Editor'!$F:$F,0)+31+FLOOR(XLOOKUP($Q547,'Threshold Summary'!$Y:$Y,'Threshold Summary'!$P:$P,"")/4))*XLOOKUP($Q547,'Threshold Summary'!$Y:$Y,'Threshold Summary'!$L:$L,""))/100)+5)*XLOOKUP(XLOOKUP($Q547,'Threshold Summary'!$Y:$Y,'Threshold Summary'!$M:$M,""),'Nature Editor'!$A:$A,'Nature Editor'!$B:$B,1)),FLOOR((FLOOR(((2*XLOOKUP(XLOOKUP($Q547,'Threshold Summary'!$Y:$Y,'Threshold Summary'!$K:$K,""),'Pokemon Editor'!$A:$A,'Pokemon Editor'!$H:$H,0)+31+FLOOR(XLOOKUP($Q547,'Threshold Summary'!$Y:$Y,'Threshold Summary'!$R:$R,"")/4))*XLOOKUP($Q547,'Threshold Summary'!$Y:$Y,'Threshold Summary'!$L:$L,""))/100)+5)*XLOOKUP(XLOOKUP($Q547,'Threshold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Editor'!$E:$E,1))),stab,IF(OR(mtype=XLOOKUP(XLOOKUP($Q547,'Threshold Summary'!$Y:$Y,'Threshold Summary'!$K:$K,""),'Pokemon Editor'!$A:$A,'Pokemon Editor'!$C:$C,""),mtype=XLOOKUP(XLOOKUP($Q547,'Threshold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Chart'!$B$1:$S$1,0)))),base,IF(OR(cat="Status",pow=0),0,FLOOR(FLOOR(FLOOR((2*XLOOKUP($Q547,'Threshold Summary'!$Y:$Y,'Threshold Summary'!$L:$L,"")/5+2)*pow*atk/def)/50)+2)),modifier,stab*eff,FLOOR(base*modifier)),0)</f>
        <v/>
      </c>
      <c r="L547" s="3">
        <f>IFERROR(LET(mtype,XLOOKUP($D547,'Move Editor'!$B:$B,'Move Editor'!$C:$C,""),cat,XLOOKUP($D547,'Move Editor'!$B:$B,'Move Editor'!$D:$D,""),pow,XLOOKUP($D547,'Move Editor'!$B:$B,'Move Editor'!$E:$E,0),acc,XLOOKUP($D547,'Move Editor'!$B:$B,'Move Editor'!$F:$F,100),atk,IF(cat="Physical",FLOOR((FLOOR(((2*XLOOKUP(XLOOKUP($Q547,'Threshold Summary'!$Y:$Y,'Threshold Summary'!$K:$K,""),'Pokemon Editor'!$A:$A,'Pokemon Editor'!$F:$F,0)+31+FLOOR(XLOOKUP($Q547,'Threshold Summary'!$Y:$Y,'Threshold Summary'!$P:$P,"")/4))*XLOOKUP($Q547,'Threshold Summary'!$Y:$Y,'Threshold Summary'!$L:$L,""))/100)+5)*XLOOKUP(XLOOKUP($Q547,'Threshold Summary'!$Y:$Y,'Threshold Summary'!$M:$M,""),'Nature Editor'!$A:$A,'Nature Editor'!$B:$B,1)),FLOOR((FLOOR(((2*XLOOKUP(XLOOKUP($Q547,'Threshold Summary'!$Y:$Y,'Threshold Summary'!$K:$K,""),'Pokemon Editor'!$A:$A,'Pokemon Editor'!$H:$H,0)+31+FLOOR(XLOOKUP($Q547,'Threshold Summary'!$Y:$Y,'Threshold Summary'!$R:$R,"")/4))*XLOOKUP($Q547,'Threshold Summary'!$Y:$Y,'Threshold Summary'!$L:$L,""))/100)+5)*XLOOKUP(XLOOKUP($Q547,'Threshold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Editor'!$E:$E,1))),stab,IF(OR(mtype=XLOOKUP(XLOOKUP($Q547,'Threshold Summary'!$Y:$Y,'Threshold Summary'!$K:$K,""),'Pokemon Editor'!$A:$A,'Pokemon Editor'!$C:$C,""),mtype=XLOOKUP(XLOOKUP($Q547,'Threshold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Chart'!$B$1:$S$1,0)))),base,IF(OR(cat="Status",pow=0),0,FLOOR(FLOOR(FLOOR((2*XLOOKUP($Q547,'Threshold Summary'!$Y:$Y,'Threshold Summary'!$L:$L,"")/5+2)*pow*atk/def)/50)+2)),modifier,stab*eff,AVERAGE(ARRAYFORMULA(FLOOR(base*modifier*SEQUENCE(16,1,85,1)/100)))),0)</f>
        <v/>
      </c>
      <c r="M547" s="3">
        <f>IFERROR(LET(mtype,XLOOKUP($D547,'Move Editor'!$B:$B,'Move Editor'!$C:$C,""),cat,XLOOKUP($D547,'Move Editor'!$B:$B,'Move Editor'!$D:$D,""),pow,XLOOKUP($D547,'Move Editor'!$B:$B,'Move Editor'!$E:$E,0),acc,XLOOKUP($D547,'Move Editor'!$B:$B,'Move Editor'!$F:$F,100),atk,IF(cat="Physical",FLOOR((FLOOR(((2*XLOOKUP(XLOOKUP($Q547,'Threshold Summary'!$Y:$Y,'Threshold Summary'!$K:$K,""),'Pokemon Editor'!$A:$A,'Pokemon Editor'!$F:$F,0)+31+FLOOR(XLOOKUP($Q547,'Threshold Summary'!$Y:$Y,'Threshold Summary'!$P:$P,"")/4))*XLOOKUP($Q547,'Threshold Summary'!$Y:$Y,'Threshold Summary'!$L:$L,""))/100)+5)*XLOOKUP(XLOOKUP($Q547,'Threshold Summary'!$Y:$Y,'Threshold Summary'!$M:$M,""),'Nature Editor'!$A:$A,'Nature Editor'!$B:$B,1)),FLOOR((FLOOR(((2*XLOOKUP(XLOOKUP($Q547,'Threshold Summary'!$Y:$Y,'Threshold Summary'!$K:$K,""),'Pokemon Editor'!$A:$A,'Pokemon Editor'!$H:$H,0)+31+FLOOR(XLOOKUP($Q547,'Threshold Summary'!$Y:$Y,'Threshold Summary'!$R:$R,"")/4))*XLOOKUP($Q547,'Threshold Summary'!$Y:$Y,'Threshold Summary'!$L:$L,""))/100)+5)*XLOOKUP(XLOOKUP($Q547,'Threshold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Editor'!$E:$E,1))),stab,IF(OR(mtype=XLOOKUP(XLOOKUP($Q547,'Threshold Summary'!$Y:$Y,'Threshold Summary'!$K:$K,""),'Pokemon Editor'!$A:$A,'Pokemon Editor'!$C:$C,""),mtype=XLOOKUP(XLOOKUP($Q547,'Threshold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Chart'!$B$1:$S$1,0)))),base,IF(OR(cat="Status",pow=0),0,FLOOR(FLOOR(FLOOR((2*XLOOKUP($Q547,'Threshold Summary'!$Y:$Y,'Threshold Summary'!$L:$L,"")/5+2)*pow*atk/def)/50)+2)),modifier,stab*eff,AVERAGE(ARRAYFORMULA(FLOOR(base*modifier*SEQUENCE(16,1,85,1)/100)))*MIN(1,acc/100)),0)</f>
        <v/>
      </c>
      <c r="N547" s="4">
        <f>IFERROR(LET(mtype,XLOOKUP($D547,'Move Editor'!$B:$B,'Move Editor'!$C:$C,""),cat,XLOOKUP($D547,'Move Editor'!$B:$B,'Move Editor'!$D:$D,""),pow,XLOOKUP($D547,'Move Editor'!$B:$B,'Move Editor'!$E:$E,0),acc,XLOOKUP($D547,'Move Editor'!$B:$B,'Move Editor'!$F:$F,100),atk,IF(cat="Physical",FLOOR((FLOOR(((2*XLOOKUP(XLOOKUP($Q547,'Threshold Summary'!$Y:$Y,'Threshold Summary'!$K:$K,""),'Pokemon Editor'!$A:$A,'Pokemon Editor'!$F:$F,0)+31+FLOOR(XLOOKUP($Q547,'Threshold Summary'!$Y:$Y,'Threshold Summary'!$P:$P,"")/4))*XLOOKUP($Q547,'Threshold Summary'!$Y:$Y,'Threshold Summary'!$L:$L,""))/100)+5)*XLOOKUP(XLOOKUP($Q547,'Threshold Summary'!$Y:$Y,'Threshold Summary'!$M:$M,""),'Nature Editor'!$A:$A,'Nature Editor'!$B:$B,1)),FLOOR((FLOOR(((2*XLOOKUP(XLOOKUP($Q547,'Threshold Summary'!$Y:$Y,'Threshold Summary'!$K:$K,""),'Pokemon Editor'!$A:$A,'Pokemon Editor'!$H:$H,0)+31+FLOOR(XLOOKUP($Q547,'Threshold Summary'!$Y:$Y,'Threshold Summary'!$R:$R,"")/4))*XLOOKUP($Q547,'Threshold Summary'!$Y:$Y,'Threshold Summary'!$L:$L,""))/100)+5)*XLOOKUP(XLOOKUP($Q547,'Threshold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Editor'!$E:$E,1))),stab,IF(OR(mtype=XLOOKUP(XLOOKUP($Q547,'Threshold Summary'!$Y:$Y,'Threshold Summary'!$K:$K,""),'Pokemon Editor'!$A:$A,'Pokemon Editor'!$C:$C,""),mtype=XLOOKUP(XLOOKUP($Q547,'Threshold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Chart'!$B$1:$S$1,0)))),base,IF(OR(cat="Status",pow=0),0,FLOOR(FLOOR(FLOOR((2*XLOOKUP($Q547,'Threshold Summary'!$Y:$Y,'Threshold Summary'!$L:$L,"")/5+2)*pow*atk/def)/50)+2)),modifier,stab*eff,AVERAGE(ARRAYFORMULA(FLOOR(base*modifier*SEQUENCE(16,1,85,1)/100)))/(FLOOR(((2*XLOOKUP('Boss Editor'!$C$4,'Pokemon Editor'!$A:$A,'Pokemon Editor'!$E:$E,0)+31+FLOOR('Boss Editor'!$G$4/4))*'Boss Editor'!$D$4)/100)+'Boss Editor'!$D$4+10)),0)</f>
        <v/>
      </c>
      <c r="O547" s="3">
        <f>IF(N547&gt;=1,"OHKO",IF(N547&gt;=0.5,"2HKO",IF(N547&gt;=0.333,"3HKO",IF(N547&gt;=0.25,"4HKO","5HKO+"))))</f>
        <v/>
      </c>
      <c r="P547" s="3" t="inlineStr">
        <is>
          <t>Live from editable databases</t>
        </is>
      </c>
      <c r="Q547" s="3" t="inlineStr">
        <is>
          <t>SPECIES_DUCKLETT</t>
        </is>
      </c>
      <c r="R547" s="3" t="n">
        <v>2</v>
      </c>
    </row>
    <row r="548">
      <c r="A548" s="3">
        <f>XLOOKUP($Q548,'Threshold Summary'!$Y:$Y,'Threshold Summary'!$A:$A,"")</f>
        <v/>
      </c>
      <c r="B548" s="3">
        <f>XLOOKUP($Q548,'Threshold Summary'!$Y:$Y,'Threshold Summary'!$M:$M,"")</f>
        <v/>
      </c>
      <c r="C548" s="3">
        <f>XLOOKUP($Q548,'Threshold Summary'!$Y:$Y,'Threshold Summary'!$N:$N,"")</f>
        <v/>
      </c>
      <c r="D548" s="3">
        <f>IFERROR(INDEX(FILTER('Learnset Editor'!$D$2:$D,'Learnset Editor'!$A$2:$A=XLOOKUP($Q548,'Threshold Summary'!$Y:$Y,'Threshold Summary'!$K:$K,""),'Learnset Editor'!$C$2:$C&lt;=XLOOKUP($Q548,'Threshold Summary'!$Y:$Y,'Threshold Summary'!$L:$L,"")),$R548),"")</f>
        <v/>
      </c>
      <c r="E548" s="3">
        <f>XLOOKUP(D548,'Move Editor'!$B:$B,'Move Editor'!$C:$C,"")</f>
        <v/>
      </c>
      <c r="F548" s="3">
        <f>XLOOKUP(D548,'Move Editor'!$B:$B,'Move Editor'!$D:$D,"")</f>
        <v/>
      </c>
      <c r="G548" s="3">
        <f>XLOOKUP(D548,'Move Editor'!$B:$B,'Move Editor'!$E:$E,0)</f>
        <v/>
      </c>
      <c r="H548" s="3">
        <f>XLOOKUP(D548,'Move Editor'!$B:$B,'Move Editor'!$F:$F,0)</f>
        <v/>
      </c>
      <c r="I548" s="3">
        <f>(INDEX('Type Chart'!$B:$S,MATCH(E548,'Type Chart'!$A:$A,0),MATCH(XLOOKUP('Boss Editor'!$C$4,'Pokemon Editor'!$A:$A,'Pokemon Editor'!$C:$C,""),'Type Chart'!$B$1:$S$1,0))*IF(XLOOKUP('Boss Editor'!$C$4,'Pokemon Editor'!$A:$A,'Pokemon Editor'!$D:$D,"")="",1,INDEX('Type Chart'!$B:$S,MATCH(E548,'Type Chart'!$A:$A,0),MATCH(XLOOKUP('Boss Editor'!$C$4,'Pokemon Editor'!$A:$A,'Pokemon Editor'!$D:$D,""),'Type Chart'!$B$1:$S$1,0))))</f>
        <v/>
      </c>
      <c r="J548" s="3">
        <f>IFERROR(LET(mtype,XLOOKUP($D548,'Move Editor'!$B:$B,'Move Editor'!$C:$C,""),cat,XLOOKUP($D548,'Move Editor'!$B:$B,'Move Editor'!$D:$D,""),pow,XLOOKUP($D548,'Move Editor'!$B:$B,'Move Editor'!$E:$E,0),acc,XLOOKUP($D548,'Move Editor'!$B:$B,'Move Editor'!$F:$F,100),atk,IF(cat="Physical",FLOOR((FLOOR(((2*XLOOKUP(XLOOKUP($Q548,'Threshold Summary'!$Y:$Y,'Threshold Summary'!$K:$K,""),'Pokemon Editor'!$A:$A,'Pokemon Editor'!$F:$F,0)+31+FLOOR(XLOOKUP($Q548,'Threshold Summary'!$Y:$Y,'Threshold Summary'!$P:$P,"")/4))*XLOOKUP($Q548,'Threshold Summary'!$Y:$Y,'Threshold Summary'!$L:$L,""))/100)+5)*XLOOKUP(XLOOKUP($Q548,'Threshold Summary'!$Y:$Y,'Threshold Summary'!$M:$M,""),'Nature Editor'!$A:$A,'Nature Editor'!$B:$B,1)),FLOOR((FLOOR(((2*XLOOKUP(XLOOKUP($Q548,'Threshold Summary'!$Y:$Y,'Threshold Summary'!$K:$K,""),'Pokemon Editor'!$A:$A,'Pokemon Editor'!$H:$H,0)+31+FLOOR(XLOOKUP($Q548,'Threshold Summary'!$Y:$Y,'Threshold Summary'!$R:$R,"")/4))*XLOOKUP($Q548,'Threshold Summary'!$Y:$Y,'Threshold Summary'!$L:$L,""))/100)+5)*XLOOKUP(XLOOKUP($Q548,'Threshold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Editor'!$E:$E,1))),stab,IF(OR(mtype=XLOOKUP(XLOOKUP($Q548,'Threshold Summary'!$Y:$Y,'Threshold Summary'!$K:$K,""),'Pokemon Editor'!$A:$A,'Pokemon Editor'!$C:$C,""),mtype=XLOOKUP(XLOOKUP($Q548,'Threshold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Chart'!$B$1:$S$1,0)))),base,IF(OR(cat="Status",pow=0),0,FLOOR(FLOOR(FLOOR((2*XLOOKUP($Q548,'Threshold Summary'!$Y:$Y,'Threshold Summary'!$L:$L,"")/5+2)*pow*atk/def)/50)+2)),modifier,stab*eff,FLOOR(base*modifier*0.85)),0)</f>
        <v/>
      </c>
      <c r="K548" s="3">
        <f>IFERROR(LET(mtype,XLOOKUP($D548,'Move Editor'!$B:$B,'Move Editor'!$C:$C,""),cat,XLOOKUP($D548,'Move Editor'!$B:$B,'Move Editor'!$D:$D,""),pow,XLOOKUP($D548,'Move Editor'!$B:$B,'Move Editor'!$E:$E,0),acc,XLOOKUP($D548,'Move Editor'!$B:$B,'Move Editor'!$F:$F,100),atk,IF(cat="Physical",FLOOR((FLOOR(((2*XLOOKUP(XLOOKUP($Q548,'Threshold Summary'!$Y:$Y,'Threshold Summary'!$K:$K,""),'Pokemon Editor'!$A:$A,'Pokemon Editor'!$F:$F,0)+31+FLOOR(XLOOKUP($Q548,'Threshold Summary'!$Y:$Y,'Threshold Summary'!$P:$P,"")/4))*XLOOKUP($Q548,'Threshold Summary'!$Y:$Y,'Threshold Summary'!$L:$L,""))/100)+5)*XLOOKUP(XLOOKUP($Q548,'Threshold Summary'!$Y:$Y,'Threshold Summary'!$M:$M,""),'Nature Editor'!$A:$A,'Nature Editor'!$B:$B,1)),FLOOR((FLOOR(((2*XLOOKUP(XLOOKUP($Q548,'Threshold Summary'!$Y:$Y,'Threshold Summary'!$K:$K,""),'Pokemon Editor'!$A:$A,'Pokemon Editor'!$H:$H,0)+31+FLOOR(XLOOKUP($Q548,'Threshold Summary'!$Y:$Y,'Threshold Summary'!$R:$R,"")/4))*XLOOKUP($Q548,'Threshold Summary'!$Y:$Y,'Threshold Summary'!$L:$L,""))/100)+5)*XLOOKUP(XLOOKUP($Q548,'Threshold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Editor'!$E:$E,1))),stab,IF(OR(mtype=XLOOKUP(XLOOKUP($Q548,'Threshold Summary'!$Y:$Y,'Threshold Summary'!$K:$K,""),'Pokemon Editor'!$A:$A,'Pokemon Editor'!$C:$C,""),mtype=XLOOKUP(XLOOKUP($Q548,'Threshold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Chart'!$B$1:$S$1,0)))),base,IF(OR(cat="Status",pow=0),0,FLOOR(FLOOR(FLOOR((2*XLOOKUP($Q548,'Threshold Summary'!$Y:$Y,'Threshold Summary'!$L:$L,"")/5+2)*pow*atk/def)/50)+2)),modifier,stab*eff,FLOOR(base*modifier)),0)</f>
        <v/>
      </c>
      <c r="L548" s="3">
        <f>IFERROR(LET(mtype,XLOOKUP($D548,'Move Editor'!$B:$B,'Move Editor'!$C:$C,""),cat,XLOOKUP($D548,'Move Editor'!$B:$B,'Move Editor'!$D:$D,""),pow,XLOOKUP($D548,'Move Editor'!$B:$B,'Move Editor'!$E:$E,0),acc,XLOOKUP($D548,'Move Editor'!$B:$B,'Move Editor'!$F:$F,100),atk,IF(cat="Physical",FLOOR((FLOOR(((2*XLOOKUP(XLOOKUP($Q548,'Threshold Summary'!$Y:$Y,'Threshold Summary'!$K:$K,""),'Pokemon Editor'!$A:$A,'Pokemon Editor'!$F:$F,0)+31+FLOOR(XLOOKUP($Q548,'Threshold Summary'!$Y:$Y,'Threshold Summary'!$P:$P,"")/4))*XLOOKUP($Q548,'Threshold Summary'!$Y:$Y,'Threshold Summary'!$L:$L,""))/100)+5)*XLOOKUP(XLOOKUP($Q548,'Threshold Summary'!$Y:$Y,'Threshold Summary'!$M:$M,""),'Nature Editor'!$A:$A,'Nature Editor'!$B:$B,1)),FLOOR((FLOOR(((2*XLOOKUP(XLOOKUP($Q548,'Threshold Summary'!$Y:$Y,'Threshold Summary'!$K:$K,""),'Pokemon Editor'!$A:$A,'Pokemon Editor'!$H:$H,0)+31+FLOOR(XLOOKUP($Q548,'Threshold Summary'!$Y:$Y,'Threshold Summary'!$R:$R,"")/4))*XLOOKUP($Q548,'Threshold Summary'!$Y:$Y,'Threshold Summary'!$L:$L,""))/100)+5)*XLOOKUP(XLOOKUP($Q548,'Threshold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Editor'!$E:$E,1))),stab,IF(OR(mtype=XLOOKUP(XLOOKUP($Q548,'Threshold Summary'!$Y:$Y,'Threshold Summary'!$K:$K,""),'Pokemon Editor'!$A:$A,'Pokemon Editor'!$C:$C,""),mtype=XLOOKUP(XLOOKUP($Q548,'Threshold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Chart'!$B$1:$S$1,0)))),base,IF(OR(cat="Status",pow=0),0,FLOOR(FLOOR(FLOOR((2*XLOOKUP($Q548,'Threshold Summary'!$Y:$Y,'Threshold Summary'!$L:$L,"")/5+2)*pow*atk/def)/50)+2)),modifier,stab*eff,AVERAGE(ARRAYFORMULA(FLOOR(base*modifier*SEQUENCE(16,1,85,1)/100)))),0)</f>
        <v/>
      </c>
      <c r="M548" s="3">
        <f>IFERROR(LET(mtype,XLOOKUP($D548,'Move Editor'!$B:$B,'Move Editor'!$C:$C,""),cat,XLOOKUP($D548,'Move Editor'!$B:$B,'Move Editor'!$D:$D,""),pow,XLOOKUP($D548,'Move Editor'!$B:$B,'Move Editor'!$E:$E,0),acc,XLOOKUP($D548,'Move Editor'!$B:$B,'Move Editor'!$F:$F,100),atk,IF(cat="Physical",FLOOR((FLOOR(((2*XLOOKUP(XLOOKUP($Q548,'Threshold Summary'!$Y:$Y,'Threshold Summary'!$K:$K,""),'Pokemon Editor'!$A:$A,'Pokemon Editor'!$F:$F,0)+31+FLOOR(XLOOKUP($Q548,'Threshold Summary'!$Y:$Y,'Threshold Summary'!$P:$P,"")/4))*XLOOKUP($Q548,'Threshold Summary'!$Y:$Y,'Threshold Summary'!$L:$L,""))/100)+5)*XLOOKUP(XLOOKUP($Q548,'Threshold Summary'!$Y:$Y,'Threshold Summary'!$M:$M,""),'Nature Editor'!$A:$A,'Nature Editor'!$B:$B,1)),FLOOR((FLOOR(((2*XLOOKUP(XLOOKUP($Q548,'Threshold Summary'!$Y:$Y,'Threshold Summary'!$K:$K,""),'Pokemon Editor'!$A:$A,'Pokemon Editor'!$H:$H,0)+31+FLOOR(XLOOKUP($Q548,'Threshold Summary'!$Y:$Y,'Threshold Summary'!$R:$R,"")/4))*XLOOKUP($Q548,'Threshold Summary'!$Y:$Y,'Threshold Summary'!$L:$L,""))/100)+5)*XLOOKUP(XLOOKUP($Q548,'Threshold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Editor'!$E:$E,1))),stab,IF(OR(mtype=XLOOKUP(XLOOKUP($Q548,'Threshold Summary'!$Y:$Y,'Threshold Summary'!$K:$K,""),'Pokemon Editor'!$A:$A,'Pokemon Editor'!$C:$C,""),mtype=XLOOKUP(XLOOKUP($Q548,'Threshold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Chart'!$B$1:$S$1,0)))),base,IF(OR(cat="Status",pow=0),0,FLOOR(FLOOR(FLOOR((2*XLOOKUP($Q548,'Threshold Summary'!$Y:$Y,'Threshold Summary'!$L:$L,"")/5+2)*pow*atk/def)/50)+2)),modifier,stab*eff,AVERAGE(ARRAYFORMULA(FLOOR(base*modifier*SEQUENCE(16,1,85,1)/100)))*MIN(1,acc/100)),0)</f>
        <v/>
      </c>
      <c r="N548" s="4">
        <f>IFERROR(LET(mtype,XLOOKUP($D548,'Move Editor'!$B:$B,'Move Editor'!$C:$C,""),cat,XLOOKUP($D548,'Move Editor'!$B:$B,'Move Editor'!$D:$D,""),pow,XLOOKUP($D548,'Move Editor'!$B:$B,'Move Editor'!$E:$E,0),acc,XLOOKUP($D548,'Move Editor'!$B:$B,'Move Editor'!$F:$F,100),atk,IF(cat="Physical",FLOOR((FLOOR(((2*XLOOKUP(XLOOKUP($Q548,'Threshold Summary'!$Y:$Y,'Threshold Summary'!$K:$K,""),'Pokemon Editor'!$A:$A,'Pokemon Editor'!$F:$F,0)+31+FLOOR(XLOOKUP($Q548,'Threshold Summary'!$Y:$Y,'Threshold Summary'!$P:$P,"")/4))*XLOOKUP($Q548,'Threshold Summary'!$Y:$Y,'Threshold Summary'!$L:$L,""))/100)+5)*XLOOKUP(XLOOKUP($Q548,'Threshold Summary'!$Y:$Y,'Threshold Summary'!$M:$M,""),'Nature Editor'!$A:$A,'Nature Editor'!$B:$B,1)),FLOOR((FLOOR(((2*XLOOKUP(XLOOKUP($Q548,'Threshold Summary'!$Y:$Y,'Threshold Summary'!$K:$K,""),'Pokemon Editor'!$A:$A,'Pokemon Editor'!$H:$H,0)+31+FLOOR(XLOOKUP($Q548,'Threshold Summary'!$Y:$Y,'Threshold Summary'!$R:$R,"")/4))*XLOOKUP($Q548,'Threshold Summary'!$Y:$Y,'Threshold Summary'!$L:$L,""))/100)+5)*XLOOKUP(XLOOKUP($Q548,'Threshold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Editor'!$E:$E,1))),stab,IF(OR(mtype=XLOOKUP(XLOOKUP($Q548,'Threshold Summary'!$Y:$Y,'Threshold Summary'!$K:$K,""),'Pokemon Editor'!$A:$A,'Pokemon Editor'!$C:$C,""),mtype=XLOOKUP(XLOOKUP($Q548,'Threshold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Chart'!$B$1:$S$1,0)))),base,IF(OR(cat="Status",pow=0),0,FLOOR(FLOOR(FLOOR((2*XLOOKUP($Q548,'Threshold Summary'!$Y:$Y,'Threshold Summary'!$L:$L,"")/5+2)*pow*atk/def)/50)+2)),modifier,stab*eff,AVERAGE(ARRAYFORMULA(FLOOR(base*modifier*SEQUENCE(16,1,85,1)/100)))/(FLOOR(((2*XLOOKUP('Boss Editor'!$C$4,'Pokemon Editor'!$A:$A,'Pokemon Editor'!$E:$E,0)+31+FLOOR('Boss Editor'!$G$4/4))*'Boss Editor'!$D$4)/100)+'Boss Editor'!$D$4+10)),0)</f>
        <v/>
      </c>
      <c r="O548" s="3">
        <f>IF(N548&gt;=1,"OHKO",IF(N548&gt;=0.5,"2HKO",IF(N548&gt;=0.333,"3HKO",IF(N548&gt;=0.25,"4HKO","5HKO+"))))</f>
        <v/>
      </c>
      <c r="P548" s="3" t="inlineStr">
        <is>
          <t>Live from editable databases</t>
        </is>
      </c>
      <c r="Q548" s="3" t="inlineStr">
        <is>
          <t>SPECIES_DUCKLETT</t>
        </is>
      </c>
      <c r="R548" s="3" t="n">
        <v>3</v>
      </c>
    </row>
    <row r="549">
      <c r="A549" s="3">
        <f>XLOOKUP($Q549,'Threshold Summary'!$Y:$Y,'Threshold Summary'!$A:$A,"")</f>
        <v/>
      </c>
      <c r="B549" s="3">
        <f>XLOOKUP($Q549,'Threshold Summary'!$Y:$Y,'Threshold Summary'!$M:$M,"")</f>
        <v/>
      </c>
      <c r="C549" s="3">
        <f>XLOOKUP($Q549,'Threshold Summary'!$Y:$Y,'Threshold Summary'!$N:$N,"")</f>
        <v/>
      </c>
      <c r="D549" s="3">
        <f>IFERROR(INDEX(FILTER('Learnset Editor'!$D$2:$D,'Learnset Editor'!$A$2:$A=XLOOKUP($Q549,'Threshold Summary'!$Y:$Y,'Threshold Summary'!$K:$K,""),'Learnset Editor'!$C$2:$C&lt;=XLOOKUP($Q549,'Threshold Summary'!$Y:$Y,'Threshold Summary'!$L:$L,"")),$R549),"")</f>
        <v/>
      </c>
      <c r="E549" s="3">
        <f>XLOOKUP(D549,'Move Editor'!$B:$B,'Move Editor'!$C:$C,"")</f>
        <v/>
      </c>
      <c r="F549" s="3">
        <f>XLOOKUP(D549,'Move Editor'!$B:$B,'Move Editor'!$D:$D,"")</f>
        <v/>
      </c>
      <c r="G549" s="3">
        <f>XLOOKUP(D549,'Move Editor'!$B:$B,'Move Editor'!$E:$E,0)</f>
        <v/>
      </c>
      <c r="H549" s="3">
        <f>XLOOKUP(D549,'Move Editor'!$B:$B,'Move Editor'!$F:$F,0)</f>
        <v/>
      </c>
      <c r="I549" s="3">
        <f>(INDEX('Type Chart'!$B:$S,MATCH(E549,'Type Chart'!$A:$A,0),MATCH(XLOOKUP('Boss Editor'!$C$4,'Pokemon Editor'!$A:$A,'Pokemon Editor'!$C:$C,""),'Type Chart'!$B$1:$S$1,0))*IF(XLOOKUP('Boss Editor'!$C$4,'Pokemon Editor'!$A:$A,'Pokemon Editor'!$D:$D,"")="",1,INDEX('Type Chart'!$B:$S,MATCH(E549,'Type Chart'!$A:$A,0),MATCH(XLOOKUP('Boss Editor'!$C$4,'Pokemon Editor'!$A:$A,'Pokemon Editor'!$D:$D,""),'Type Chart'!$B$1:$S$1,0))))</f>
        <v/>
      </c>
      <c r="J549" s="3">
        <f>IFERROR(LET(mtype,XLOOKUP($D549,'Move Editor'!$B:$B,'Move Editor'!$C:$C,""),cat,XLOOKUP($D549,'Move Editor'!$B:$B,'Move Editor'!$D:$D,""),pow,XLOOKUP($D549,'Move Editor'!$B:$B,'Move Editor'!$E:$E,0),acc,XLOOKUP($D549,'Move Editor'!$B:$B,'Move Editor'!$F:$F,100),atk,IF(cat="Physical",FLOOR((FLOOR(((2*XLOOKUP(XLOOKUP($Q549,'Threshold Summary'!$Y:$Y,'Threshold Summary'!$K:$K,""),'Pokemon Editor'!$A:$A,'Pokemon Editor'!$F:$F,0)+31+FLOOR(XLOOKUP($Q549,'Threshold Summary'!$Y:$Y,'Threshold Summary'!$P:$P,"")/4))*XLOOKUP($Q549,'Threshold Summary'!$Y:$Y,'Threshold Summary'!$L:$L,""))/100)+5)*XLOOKUP(XLOOKUP($Q549,'Threshold Summary'!$Y:$Y,'Threshold Summary'!$M:$M,""),'Nature Editor'!$A:$A,'Nature Editor'!$B:$B,1)),FLOOR((FLOOR(((2*XLOOKUP(XLOOKUP($Q549,'Threshold Summary'!$Y:$Y,'Threshold Summary'!$K:$K,""),'Pokemon Editor'!$A:$A,'Pokemon Editor'!$H:$H,0)+31+FLOOR(XLOOKUP($Q549,'Threshold Summary'!$Y:$Y,'Threshold Summary'!$R:$R,"")/4))*XLOOKUP($Q549,'Threshold Summary'!$Y:$Y,'Threshold Summary'!$L:$L,""))/100)+5)*XLOOKUP(XLOOKUP($Q549,'Threshold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Editor'!$E:$E,1))),stab,IF(OR(mtype=XLOOKUP(XLOOKUP($Q549,'Threshold Summary'!$Y:$Y,'Threshold Summary'!$K:$K,""),'Pokemon Editor'!$A:$A,'Pokemon Editor'!$C:$C,""),mtype=XLOOKUP(XLOOKUP($Q549,'Threshold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Chart'!$B$1:$S$1,0)))),base,IF(OR(cat="Status",pow=0),0,FLOOR(FLOOR(FLOOR((2*XLOOKUP($Q549,'Threshold Summary'!$Y:$Y,'Threshold Summary'!$L:$L,"")/5+2)*pow*atk/def)/50)+2)),modifier,stab*eff,FLOOR(base*modifier*0.85)),0)</f>
        <v/>
      </c>
      <c r="K549" s="3">
        <f>IFERROR(LET(mtype,XLOOKUP($D549,'Move Editor'!$B:$B,'Move Editor'!$C:$C,""),cat,XLOOKUP($D549,'Move Editor'!$B:$B,'Move Editor'!$D:$D,""),pow,XLOOKUP($D549,'Move Editor'!$B:$B,'Move Editor'!$E:$E,0),acc,XLOOKUP($D549,'Move Editor'!$B:$B,'Move Editor'!$F:$F,100),atk,IF(cat="Physical",FLOOR((FLOOR(((2*XLOOKUP(XLOOKUP($Q549,'Threshold Summary'!$Y:$Y,'Threshold Summary'!$K:$K,""),'Pokemon Editor'!$A:$A,'Pokemon Editor'!$F:$F,0)+31+FLOOR(XLOOKUP($Q549,'Threshold Summary'!$Y:$Y,'Threshold Summary'!$P:$P,"")/4))*XLOOKUP($Q549,'Threshold Summary'!$Y:$Y,'Threshold Summary'!$L:$L,""))/100)+5)*XLOOKUP(XLOOKUP($Q549,'Threshold Summary'!$Y:$Y,'Threshold Summary'!$M:$M,""),'Nature Editor'!$A:$A,'Nature Editor'!$B:$B,1)),FLOOR((FLOOR(((2*XLOOKUP(XLOOKUP($Q549,'Threshold Summary'!$Y:$Y,'Threshold Summary'!$K:$K,""),'Pokemon Editor'!$A:$A,'Pokemon Editor'!$H:$H,0)+31+FLOOR(XLOOKUP($Q549,'Threshold Summary'!$Y:$Y,'Threshold Summary'!$R:$R,"")/4))*XLOOKUP($Q549,'Threshold Summary'!$Y:$Y,'Threshold Summary'!$L:$L,""))/100)+5)*XLOOKUP(XLOOKUP($Q549,'Threshold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Editor'!$E:$E,1))),stab,IF(OR(mtype=XLOOKUP(XLOOKUP($Q549,'Threshold Summary'!$Y:$Y,'Threshold Summary'!$K:$K,""),'Pokemon Editor'!$A:$A,'Pokemon Editor'!$C:$C,""),mtype=XLOOKUP(XLOOKUP($Q549,'Threshold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Chart'!$B$1:$S$1,0)))),base,IF(OR(cat="Status",pow=0),0,FLOOR(FLOOR(FLOOR((2*XLOOKUP($Q549,'Threshold Summary'!$Y:$Y,'Threshold Summary'!$L:$L,"")/5+2)*pow*atk/def)/50)+2)),modifier,stab*eff,FLOOR(base*modifier)),0)</f>
        <v/>
      </c>
      <c r="L549" s="3">
        <f>IFERROR(LET(mtype,XLOOKUP($D549,'Move Editor'!$B:$B,'Move Editor'!$C:$C,""),cat,XLOOKUP($D549,'Move Editor'!$B:$B,'Move Editor'!$D:$D,""),pow,XLOOKUP($D549,'Move Editor'!$B:$B,'Move Editor'!$E:$E,0),acc,XLOOKUP($D549,'Move Editor'!$B:$B,'Move Editor'!$F:$F,100),atk,IF(cat="Physical",FLOOR((FLOOR(((2*XLOOKUP(XLOOKUP($Q549,'Threshold Summary'!$Y:$Y,'Threshold Summary'!$K:$K,""),'Pokemon Editor'!$A:$A,'Pokemon Editor'!$F:$F,0)+31+FLOOR(XLOOKUP($Q549,'Threshold Summary'!$Y:$Y,'Threshold Summary'!$P:$P,"")/4))*XLOOKUP($Q549,'Threshold Summary'!$Y:$Y,'Threshold Summary'!$L:$L,""))/100)+5)*XLOOKUP(XLOOKUP($Q549,'Threshold Summary'!$Y:$Y,'Threshold Summary'!$M:$M,""),'Nature Editor'!$A:$A,'Nature Editor'!$B:$B,1)),FLOOR((FLOOR(((2*XLOOKUP(XLOOKUP($Q549,'Threshold Summary'!$Y:$Y,'Threshold Summary'!$K:$K,""),'Pokemon Editor'!$A:$A,'Pokemon Editor'!$H:$H,0)+31+FLOOR(XLOOKUP($Q549,'Threshold Summary'!$Y:$Y,'Threshold Summary'!$R:$R,"")/4))*XLOOKUP($Q549,'Threshold Summary'!$Y:$Y,'Threshold Summary'!$L:$L,""))/100)+5)*XLOOKUP(XLOOKUP($Q549,'Threshold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Editor'!$E:$E,1))),stab,IF(OR(mtype=XLOOKUP(XLOOKUP($Q549,'Threshold Summary'!$Y:$Y,'Threshold Summary'!$K:$K,""),'Pokemon Editor'!$A:$A,'Pokemon Editor'!$C:$C,""),mtype=XLOOKUP(XLOOKUP($Q549,'Threshold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Chart'!$B$1:$S$1,0)))),base,IF(OR(cat="Status",pow=0),0,FLOOR(FLOOR(FLOOR((2*XLOOKUP($Q549,'Threshold Summary'!$Y:$Y,'Threshold Summary'!$L:$L,"")/5+2)*pow*atk/def)/50)+2)),modifier,stab*eff,AVERAGE(ARRAYFORMULA(FLOOR(base*modifier*SEQUENCE(16,1,85,1)/100)))),0)</f>
        <v/>
      </c>
      <c r="M549" s="3">
        <f>IFERROR(LET(mtype,XLOOKUP($D549,'Move Editor'!$B:$B,'Move Editor'!$C:$C,""),cat,XLOOKUP($D549,'Move Editor'!$B:$B,'Move Editor'!$D:$D,""),pow,XLOOKUP($D549,'Move Editor'!$B:$B,'Move Editor'!$E:$E,0),acc,XLOOKUP($D549,'Move Editor'!$B:$B,'Move Editor'!$F:$F,100),atk,IF(cat="Physical",FLOOR((FLOOR(((2*XLOOKUP(XLOOKUP($Q549,'Threshold Summary'!$Y:$Y,'Threshold Summary'!$K:$K,""),'Pokemon Editor'!$A:$A,'Pokemon Editor'!$F:$F,0)+31+FLOOR(XLOOKUP($Q549,'Threshold Summary'!$Y:$Y,'Threshold Summary'!$P:$P,"")/4))*XLOOKUP($Q549,'Threshold Summary'!$Y:$Y,'Threshold Summary'!$L:$L,""))/100)+5)*XLOOKUP(XLOOKUP($Q549,'Threshold Summary'!$Y:$Y,'Threshold Summary'!$M:$M,""),'Nature Editor'!$A:$A,'Nature Editor'!$B:$B,1)),FLOOR((FLOOR(((2*XLOOKUP(XLOOKUP($Q549,'Threshold Summary'!$Y:$Y,'Threshold Summary'!$K:$K,""),'Pokemon Editor'!$A:$A,'Pokemon Editor'!$H:$H,0)+31+FLOOR(XLOOKUP($Q549,'Threshold Summary'!$Y:$Y,'Threshold Summary'!$R:$R,"")/4))*XLOOKUP($Q549,'Threshold Summary'!$Y:$Y,'Threshold Summary'!$L:$L,""))/100)+5)*XLOOKUP(XLOOKUP($Q549,'Threshold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Editor'!$E:$E,1))),stab,IF(OR(mtype=XLOOKUP(XLOOKUP($Q549,'Threshold Summary'!$Y:$Y,'Threshold Summary'!$K:$K,""),'Pokemon Editor'!$A:$A,'Pokemon Editor'!$C:$C,""),mtype=XLOOKUP(XLOOKUP($Q549,'Threshold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Chart'!$B$1:$S$1,0)))),base,IF(OR(cat="Status",pow=0),0,FLOOR(FLOOR(FLOOR((2*XLOOKUP($Q549,'Threshold Summary'!$Y:$Y,'Threshold Summary'!$L:$L,"")/5+2)*pow*atk/def)/50)+2)),modifier,stab*eff,AVERAGE(ARRAYFORMULA(FLOOR(base*modifier*SEQUENCE(16,1,85,1)/100)))*MIN(1,acc/100)),0)</f>
        <v/>
      </c>
      <c r="N549" s="4">
        <f>IFERROR(LET(mtype,XLOOKUP($D549,'Move Editor'!$B:$B,'Move Editor'!$C:$C,""),cat,XLOOKUP($D549,'Move Editor'!$B:$B,'Move Editor'!$D:$D,""),pow,XLOOKUP($D549,'Move Editor'!$B:$B,'Move Editor'!$E:$E,0),acc,XLOOKUP($D549,'Move Editor'!$B:$B,'Move Editor'!$F:$F,100),atk,IF(cat="Physical",FLOOR((FLOOR(((2*XLOOKUP(XLOOKUP($Q549,'Threshold Summary'!$Y:$Y,'Threshold Summary'!$K:$K,""),'Pokemon Editor'!$A:$A,'Pokemon Editor'!$F:$F,0)+31+FLOOR(XLOOKUP($Q549,'Threshold Summary'!$Y:$Y,'Threshold Summary'!$P:$P,"")/4))*XLOOKUP($Q549,'Threshold Summary'!$Y:$Y,'Threshold Summary'!$L:$L,""))/100)+5)*XLOOKUP(XLOOKUP($Q549,'Threshold Summary'!$Y:$Y,'Threshold Summary'!$M:$M,""),'Nature Editor'!$A:$A,'Nature Editor'!$B:$B,1)),FLOOR((FLOOR(((2*XLOOKUP(XLOOKUP($Q549,'Threshold Summary'!$Y:$Y,'Threshold Summary'!$K:$K,""),'Pokemon Editor'!$A:$A,'Pokemon Editor'!$H:$H,0)+31+FLOOR(XLOOKUP($Q549,'Threshold Summary'!$Y:$Y,'Threshold Summary'!$R:$R,"")/4))*XLOOKUP($Q549,'Threshold Summary'!$Y:$Y,'Threshold Summary'!$L:$L,""))/100)+5)*XLOOKUP(XLOOKUP($Q549,'Threshold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Editor'!$E:$E,1))),stab,IF(OR(mtype=XLOOKUP(XLOOKUP($Q549,'Threshold Summary'!$Y:$Y,'Threshold Summary'!$K:$K,""),'Pokemon Editor'!$A:$A,'Pokemon Editor'!$C:$C,""),mtype=XLOOKUP(XLOOKUP($Q549,'Threshold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Chart'!$B$1:$S$1,0)))),base,IF(OR(cat="Status",pow=0),0,FLOOR(FLOOR(FLOOR((2*XLOOKUP($Q549,'Threshold Summary'!$Y:$Y,'Threshold Summary'!$L:$L,"")/5+2)*pow*atk/def)/50)+2)),modifier,stab*eff,AVERAGE(ARRAYFORMULA(FLOOR(base*modifier*SEQUENCE(16,1,85,1)/100)))/(FLOOR(((2*XLOOKUP('Boss Editor'!$C$4,'Pokemon Editor'!$A:$A,'Pokemon Editor'!$E:$E,0)+31+FLOOR('Boss Editor'!$G$4/4))*'Boss Editor'!$D$4)/100)+'Boss Editor'!$D$4+10)),0)</f>
        <v/>
      </c>
      <c r="O549" s="3">
        <f>IF(N549&gt;=1,"OHKO",IF(N549&gt;=0.5,"2HKO",IF(N549&gt;=0.333,"3HKO",IF(N549&gt;=0.25,"4HKO","5HKO+"))))</f>
        <v/>
      </c>
      <c r="P549" s="3" t="inlineStr">
        <is>
          <t>Live from editable databases</t>
        </is>
      </c>
      <c r="Q549" s="3" t="inlineStr">
        <is>
          <t>SPECIES_DUCKLETT</t>
        </is>
      </c>
      <c r="R549" s="3" t="n">
        <v>4</v>
      </c>
    </row>
    <row r="550">
      <c r="A550" s="3">
        <f>XLOOKUP($Q550,'Threshold Summary'!$Y:$Y,'Threshold Summary'!$A:$A,"")</f>
        <v/>
      </c>
      <c r="B550" s="3">
        <f>XLOOKUP($Q550,'Threshold Summary'!$Y:$Y,'Threshold Summary'!$M:$M,"")</f>
        <v/>
      </c>
      <c r="C550" s="3">
        <f>XLOOKUP($Q550,'Threshold Summary'!$Y:$Y,'Threshold Summary'!$N:$N,"")</f>
        <v/>
      </c>
      <c r="D550" s="3">
        <f>IFERROR(INDEX(FILTER('Learnset Editor'!$D$2:$D,'Learnset Editor'!$A$2:$A=XLOOKUP($Q550,'Threshold Summary'!$Y:$Y,'Threshold Summary'!$K:$K,""),'Learnset Editor'!$C$2:$C&lt;=XLOOKUP($Q550,'Threshold Summary'!$Y:$Y,'Threshold Summary'!$L:$L,"")),$R550),"")</f>
        <v/>
      </c>
      <c r="E550" s="3">
        <f>XLOOKUP(D550,'Move Editor'!$B:$B,'Move Editor'!$C:$C,"")</f>
        <v/>
      </c>
      <c r="F550" s="3">
        <f>XLOOKUP(D550,'Move Editor'!$B:$B,'Move Editor'!$D:$D,"")</f>
        <v/>
      </c>
      <c r="G550" s="3">
        <f>XLOOKUP(D550,'Move Editor'!$B:$B,'Move Editor'!$E:$E,0)</f>
        <v/>
      </c>
      <c r="H550" s="3">
        <f>XLOOKUP(D550,'Move Editor'!$B:$B,'Move Editor'!$F:$F,0)</f>
        <v/>
      </c>
      <c r="I550" s="3">
        <f>(INDEX('Type Chart'!$B:$S,MATCH(E550,'Type Chart'!$A:$A,0),MATCH(XLOOKUP('Boss Editor'!$C$4,'Pokemon Editor'!$A:$A,'Pokemon Editor'!$C:$C,""),'Type Chart'!$B$1:$S$1,0))*IF(XLOOKUP('Boss Editor'!$C$4,'Pokemon Editor'!$A:$A,'Pokemon Editor'!$D:$D,"")="",1,INDEX('Type Chart'!$B:$S,MATCH(E550,'Type Chart'!$A:$A,0),MATCH(XLOOKUP('Boss Editor'!$C$4,'Pokemon Editor'!$A:$A,'Pokemon Editor'!$D:$D,""),'Type Chart'!$B$1:$S$1,0))))</f>
        <v/>
      </c>
      <c r="J550" s="3">
        <f>IFERROR(LET(mtype,XLOOKUP($D550,'Move Editor'!$B:$B,'Move Editor'!$C:$C,""),cat,XLOOKUP($D550,'Move Editor'!$B:$B,'Move Editor'!$D:$D,""),pow,XLOOKUP($D550,'Move Editor'!$B:$B,'Move Editor'!$E:$E,0),acc,XLOOKUP($D550,'Move Editor'!$B:$B,'Move Editor'!$F:$F,100),atk,IF(cat="Physical",FLOOR((FLOOR(((2*XLOOKUP(XLOOKUP($Q550,'Threshold Summary'!$Y:$Y,'Threshold Summary'!$K:$K,""),'Pokemon Editor'!$A:$A,'Pokemon Editor'!$F:$F,0)+31+FLOOR(XLOOKUP($Q550,'Threshold Summary'!$Y:$Y,'Threshold Summary'!$P:$P,"")/4))*XLOOKUP($Q550,'Threshold Summary'!$Y:$Y,'Threshold Summary'!$L:$L,""))/100)+5)*XLOOKUP(XLOOKUP($Q550,'Threshold Summary'!$Y:$Y,'Threshold Summary'!$M:$M,""),'Nature Editor'!$A:$A,'Nature Editor'!$B:$B,1)),FLOOR((FLOOR(((2*XLOOKUP(XLOOKUP($Q550,'Threshold Summary'!$Y:$Y,'Threshold Summary'!$K:$K,""),'Pokemon Editor'!$A:$A,'Pokemon Editor'!$H:$H,0)+31+FLOOR(XLOOKUP($Q550,'Threshold Summary'!$Y:$Y,'Threshold Summary'!$R:$R,"")/4))*XLOOKUP($Q550,'Threshold Summary'!$Y:$Y,'Threshold Summary'!$L:$L,""))/100)+5)*XLOOKUP(XLOOKUP($Q550,'Threshold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Editor'!$E:$E,1))),stab,IF(OR(mtype=XLOOKUP(XLOOKUP($Q550,'Threshold Summary'!$Y:$Y,'Threshold Summary'!$K:$K,""),'Pokemon Editor'!$A:$A,'Pokemon Editor'!$C:$C,""),mtype=XLOOKUP(XLOOKUP($Q550,'Threshold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Chart'!$B$1:$S$1,0)))),base,IF(OR(cat="Status",pow=0),0,FLOOR(FLOOR(FLOOR((2*XLOOKUP($Q550,'Threshold Summary'!$Y:$Y,'Threshold Summary'!$L:$L,"")/5+2)*pow*atk/def)/50)+2)),modifier,stab*eff,FLOOR(base*modifier*0.85)),0)</f>
        <v/>
      </c>
      <c r="K550" s="3">
        <f>IFERROR(LET(mtype,XLOOKUP($D550,'Move Editor'!$B:$B,'Move Editor'!$C:$C,""),cat,XLOOKUP($D550,'Move Editor'!$B:$B,'Move Editor'!$D:$D,""),pow,XLOOKUP($D550,'Move Editor'!$B:$B,'Move Editor'!$E:$E,0),acc,XLOOKUP($D550,'Move Editor'!$B:$B,'Move Editor'!$F:$F,100),atk,IF(cat="Physical",FLOOR((FLOOR(((2*XLOOKUP(XLOOKUP($Q550,'Threshold Summary'!$Y:$Y,'Threshold Summary'!$K:$K,""),'Pokemon Editor'!$A:$A,'Pokemon Editor'!$F:$F,0)+31+FLOOR(XLOOKUP($Q550,'Threshold Summary'!$Y:$Y,'Threshold Summary'!$P:$P,"")/4))*XLOOKUP($Q550,'Threshold Summary'!$Y:$Y,'Threshold Summary'!$L:$L,""))/100)+5)*XLOOKUP(XLOOKUP($Q550,'Threshold Summary'!$Y:$Y,'Threshold Summary'!$M:$M,""),'Nature Editor'!$A:$A,'Nature Editor'!$B:$B,1)),FLOOR((FLOOR(((2*XLOOKUP(XLOOKUP($Q550,'Threshold Summary'!$Y:$Y,'Threshold Summary'!$K:$K,""),'Pokemon Editor'!$A:$A,'Pokemon Editor'!$H:$H,0)+31+FLOOR(XLOOKUP($Q550,'Threshold Summary'!$Y:$Y,'Threshold Summary'!$R:$R,"")/4))*XLOOKUP($Q550,'Threshold Summary'!$Y:$Y,'Threshold Summary'!$L:$L,""))/100)+5)*XLOOKUP(XLOOKUP($Q550,'Threshold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Editor'!$E:$E,1))),stab,IF(OR(mtype=XLOOKUP(XLOOKUP($Q550,'Threshold Summary'!$Y:$Y,'Threshold Summary'!$K:$K,""),'Pokemon Editor'!$A:$A,'Pokemon Editor'!$C:$C,""),mtype=XLOOKUP(XLOOKUP($Q550,'Threshold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Chart'!$B$1:$S$1,0)))),base,IF(OR(cat="Status",pow=0),0,FLOOR(FLOOR(FLOOR((2*XLOOKUP($Q550,'Threshold Summary'!$Y:$Y,'Threshold Summary'!$L:$L,"")/5+2)*pow*atk/def)/50)+2)),modifier,stab*eff,FLOOR(base*modifier)),0)</f>
        <v/>
      </c>
      <c r="L550" s="3">
        <f>IFERROR(LET(mtype,XLOOKUP($D550,'Move Editor'!$B:$B,'Move Editor'!$C:$C,""),cat,XLOOKUP($D550,'Move Editor'!$B:$B,'Move Editor'!$D:$D,""),pow,XLOOKUP($D550,'Move Editor'!$B:$B,'Move Editor'!$E:$E,0),acc,XLOOKUP($D550,'Move Editor'!$B:$B,'Move Editor'!$F:$F,100),atk,IF(cat="Physical",FLOOR((FLOOR(((2*XLOOKUP(XLOOKUP($Q550,'Threshold Summary'!$Y:$Y,'Threshold Summary'!$K:$K,""),'Pokemon Editor'!$A:$A,'Pokemon Editor'!$F:$F,0)+31+FLOOR(XLOOKUP($Q550,'Threshold Summary'!$Y:$Y,'Threshold Summary'!$P:$P,"")/4))*XLOOKUP($Q550,'Threshold Summary'!$Y:$Y,'Threshold Summary'!$L:$L,""))/100)+5)*XLOOKUP(XLOOKUP($Q550,'Threshold Summary'!$Y:$Y,'Threshold Summary'!$M:$M,""),'Nature Editor'!$A:$A,'Nature Editor'!$B:$B,1)),FLOOR((FLOOR(((2*XLOOKUP(XLOOKUP($Q550,'Threshold Summary'!$Y:$Y,'Threshold Summary'!$K:$K,""),'Pokemon Editor'!$A:$A,'Pokemon Editor'!$H:$H,0)+31+FLOOR(XLOOKUP($Q550,'Threshold Summary'!$Y:$Y,'Threshold Summary'!$R:$R,"")/4))*XLOOKUP($Q550,'Threshold Summary'!$Y:$Y,'Threshold Summary'!$L:$L,""))/100)+5)*XLOOKUP(XLOOKUP($Q550,'Threshold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Editor'!$E:$E,1))),stab,IF(OR(mtype=XLOOKUP(XLOOKUP($Q550,'Threshold Summary'!$Y:$Y,'Threshold Summary'!$K:$K,""),'Pokemon Editor'!$A:$A,'Pokemon Editor'!$C:$C,""),mtype=XLOOKUP(XLOOKUP($Q550,'Threshold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Chart'!$B$1:$S$1,0)))),base,IF(OR(cat="Status",pow=0),0,FLOOR(FLOOR(FLOOR((2*XLOOKUP($Q550,'Threshold Summary'!$Y:$Y,'Threshold Summary'!$L:$L,"")/5+2)*pow*atk/def)/50)+2)),modifier,stab*eff,AVERAGE(ARRAYFORMULA(FLOOR(base*modifier*SEQUENCE(16,1,85,1)/100)))),0)</f>
        <v/>
      </c>
      <c r="M550" s="3">
        <f>IFERROR(LET(mtype,XLOOKUP($D550,'Move Editor'!$B:$B,'Move Editor'!$C:$C,""),cat,XLOOKUP($D550,'Move Editor'!$B:$B,'Move Editor'!$D:$D,""),pow,XLOOKUP($D550,'Move Editor'!$B:$B,'Move Editor'!$E:$E,0),acc,XLOOKUP($D550,'Move Editor'!$B:$B,'Move Editor'!$F:$F,100),atk,IF(cat="Physical",FLOOR((FLOOR(((2*XLOOKUP(XLOOKUP($Q550,'Threshold Summary'!$Y:$Y,'Threshold Summary'!$K:$K,""),'Pokemon Editor'!$A:$A,'Pokemon Editor'!$F:$F,0)+31+FLOOR(XLOOKUP($Q550,'Threshold Summary'!$Y:$Y,'Threshold Summary'!$P:$P,"")/4))*XLOOKUP($Q550,'Threshold Summary'!$Y:$Y,'Threshold Summary'!$L:$L,""))/100)+5)*XLOOKUP(XLOOKUP($Q550,'Threshold Summary'!$Y:$Y,'Threshold Summary'!$M:$M,""),'Nature Editor'!$A:$A,'Nature Editor'!$B:$B,1)),FLOOR((FLOOR(((2*XLOOKUP(XLOOKUP($Q550,'Threshold Summary'!$Y:$Y,'Threshold Summary'!$K:$K,""),'Pokemon Editor'!$A:$A,'Pokemon Editor'!$H:$H,0)+31+FLOOR(XLOOKUP($Q550,'Threshold Summary'!$Y:$Y,'Threshold Summary'!$R:$R,"")/4))*XLOOKUP($Q550,'Threshold Summary'!$Y:$Y,'Threshold Summary'!$L:$L,""))/100)+5)*XLOOKUP(XLOOKUP($Q550,'Threshold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Editor'!$E:$E,1))),stab,IF(OR(mtype=XLOOKUP(XLOOKUP($Q550,'Threshold Summary'!$Y:$Y,'Threshold Summary'!$K:$K,""),'Pokemon Editor'!$A:$A,'Pokemon Editor'!$C:$C,""),mtype=XLOOKUP(XLOOKUP($Q550,'Threshold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Chart'!$B$1:$S$1,0)))),base,IF(OR(cat="Status",pow=0),0,FLOOR(FLOOR(FLOOR((2*XLOOKUP($Q550,'Threshold Summary'!$Y:$Y,'Threshold Summary'!$L:$L,"")/5+2)*pow*atk/def)/50)+2)),modifier,stab*eff,AVERAGE(ARRAYFORMULA(FLOOR(base*modifier*SEQUENCE(16,1,85,1)/100)))*MIN(1,acc/100)),0)</f>
        <v/>
      </c>
      <c r="N550" s="4">
        <f>IFERROR(LET(mtype,XLOOKUP($D550,'Move Editor'!$B:$B,'Move Editor'!$C:$C,""),cat,XLOOKUP($D550,'Move Editor'!$B:$B,'Move Editor'!$D:$D,""),pow,XLOOKUP($D550,'Move Editor'!$B:$B,'Move Editor'!$E:$E,0),acc,XLOOKUP($D550,'Move Editor'!$B:$B,'Move Editor'!$F:$F,100),atk,IF(cat="Physical",FLOOR((FLOOR(((2*XLOOKUP(XLOOKUP($Q550,'Threshold Summary'!$Y:$Y,'Threshold Summary'!$K:$K,""),'Pokemon Editor'!$A:$A,'Pokemon Editor'!$F:$F,0)+31+FLOOR(XLOOKUP($Q550,'Threshold Summary'!$Y:$Y,'Threshold Summary'!$P:$P,"")/4))*XLOOKUP($Q550,'Threshold Summary'!$Y:$Y,'Threshold Summary'!$L:$L,""))/100)+5)*XLOOKUP(XLOOKUP($Q550,'Threshold Summary'!$Y:$Y,'Threshold Summary'!$M:$M,""),'Nature Editor'!$A:$A,'Nature Editor'!$B:$B,1)),FLOOR((FLOOR(((2*XLOOKUP(XLOOKUP($Q550,'Threshold Summary'!$Y:$Y,'Threshold Summary'!$K:$K,""),'Pokemon Editor'!$A:$A,'Pokemon Editor'!$H:$H,0)+31+FLOOR(XLOOKUP($Q550,'Threshold Summary'!$Y:$Y,'Threshold Summary'!$R:$R,"")/4))*XLOOKUP($Q550,'Threshold Summary'!$Y:$Y,'Threshold Summary'!$L:$L,""))/100)+5)*XLOOKUP(XLOOKUP($Q550,'Threshold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Editor'!$E:$E,1))),stab,IF(OR(mtype=XLOOKUP(XLOOKUP($Q550,'Threshold Summary'!$Y:$Y,'Threshold Summary'!$K:$K,""),'Pokemon Editor'!$A:$A,'Pokemon Editor'!$C:$C,""),mtype=XLOOKUP(XLOOKUP($Q550,'Threshold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Chart'!$B$1:$S$1,0)))),base,IF(OR(cat="Status",pow=0),0,FLOOR(FLOOR(FLOOR((2*XLOOKUP($Q550,'Threshold Summary'!$Y:$Y,'Threshold Summary'!$L:$L,"")/5+2)*pow*atk/def)/50)+2)),modifier,stab*eff,AVERAGE(ARRAYFORMULA(FLOOR(base*modifier*SEQUENCE(16,1,85,1)/100)))/(FLOOR(((2*XLOOKUP('Boss Editor'!$C$4,'Pokemon Editor'!$A:$A,'Pokemon Editor'!$E:$E,0)+31+FLOOR('Boss Editor'!$G$4/4))*'Boss Editor'!$D$4)/100)+'Boss Editor'!$D$4+10)),0)</f>
        <v/>
      </c>
      <c r="O550" s="3">
        <f>IF(N550&gt;=1,"OHKO",IF(N550&gt;=0.5,"2HKO",IF(N550&gt;=0.333,"3HKO",IF(N550&gt;=0.25,"4HKO","5HKO+"))))</f>
        <v/>
      </c>
      <c r="P550" s="3" t="inlineStr">
        <is>
          <t>Live from editable databases</t>
        </is>
      </c>
      <c r="Q550" s="3" t="inlineStr">
        <is>
          <t>SPECIES_DUCKLETT</t>
        </is>
      </c>
      <c r="R550" s="3" t="n">
        <v>5</v>
      </c>
    </row>
    <row r="551">
      <c r="A551" s="3">
        <f>XLOOKUP($Q551,'Threshold Summary'!$Y:$Y,'Threshold Summary'!$A:$A,"")</f>
        <v/>
      </c>
      <c r="B551" s="3">
        <f>XLOOKUP($Q551,'Threshold Summary'!$Y:$Y,'Threshold Summary'!$M:$M,"")</f>
        <v/>
      </c>
      <c r="C551" s="3">
        <f>XLOOKUP($Q551,'Threshold Summary'!$Y:$Y,'Threshold Summary'!$N:$N,"")</f>
        <v/>
      </c>
      <c r="D551" s="3">
        <f>IFERROR(INDEX(FILTER('Learnset Editor'!$D$2:$D,'Learnset Editor'!$A$2:$A=XLOOKUP($Q551,'Threshold Summary'!$Y:$Y,'Threshold Summary'!$K:$K,""),'Learnset Editor'!$C$2:$C&lt;=XLOOKUP($Q551,'Threshold Summary'!$Y:$Y,'Threshold Summary'!$L:$L,"")),$R551),"")</f>
        <v/>
      </c>
      <c r="E551" s="3">
        <f>XLOOKUP(D551,'Move Editor'!$B:$B,'Move Editor'!$C:$C,"")</f>
        <v/>
      </c>
      <c r="F551" s="3">
        <f>XLOOKUP(D551,'Move Editor'!$B:$B,'Move Editor'!$D:$D,"")</f>
        <v/>
      </c>
      <c r="G551" s="3">
        <f>XLOOKUP(D551,'Move Editor'!$B:$B,'Move Editor'!$E:$E,0)</f>
        <v/>
      </c>
      <c r="H551" s="3">
        <f>XLOOKUP(D551,'Move Editor'!$B:$B,'Move Editor'!$F:$F,0)</f>
        <v/>
      </c>
      <c r="I551" s="3">
        <f>(INDEX('Type Chart'!$B:$S,MATCH(E551,'Type Chart'!$A:$A,0),MATCH(XLOOKUP('Boss Editor'!$C$4,'Pokemon Editor'!$A:$A,'Pokemon Editor'!$C:$C,""),'Type Chart'!$B$1:$S$1,0))*IF(XLOOKUP('Boss Editor'!$C$4,'Pokemon Editor'!$A:$A,'Pokemon Editor'!$D:$D,"")="",1,INDEX('Type Chart'!$B:$S,MATCH(E551,'Type Chart'!$A:$A,0),MATCH(XLOOKUP('Boss Editor'!$C$4,'Pokemon Editor'!$A:$A,'Pokemon Editor'!$D:$D,""),'Type Chart'!$B$1:$S$1,0))))</f>
        <v/>
      </c>
      <c r="J551" s="3">
        <f>IFERROR(LET(mtype,XLOOKUP($D551,'Move Editor'!$B:$B,'Move Editor'!$C:$C,""),cat,XLOOKUP($D551,'Move Editor'!$B:$B,'Move Editor'!$D:$D,""),pow,XLOOKUP($D551,'Move Editor'!$B:$B,'Move Editor'!$E:$E,0),acc,XLOOKUP($D551,'Move Editor'!$B:$B,'Move Editor'!$F:$F,100),atk,IF(cat="Physical",FLOOR((FLOOR(((2*XLOOKUP(XLOOKUP($Q551,'Threshold Summary'!$Y:$Y,'Threshold Summary'!$K:$K,""),'Pokemon Editor'!$A:$A,'Pokemon Editor'!$F:$F,0)+31+FLOOR(XLOOKUP($Q551,'Threshold Summary'!$Y:$Y,'Threshold Summary'!$P:$P,"")/4))*XLOOKUP($Q551,'Threshold Summary'!$Y:$Y,'Threshold Summary'!$L:$L,""))/100)+5)*XLOOKUP(XLOOKUP($Q551,'Threshold Summary'!$Y:$Y,'Threshold Summary'!$M:$M,""),'Nature Editor'!$A:$A,'Nature Editor'!$B:$B,1)),FLOOR((FLOOR(((2*XLOOKUP(XLOOKUP($Q551,'Threshold Summary'!$Y:$Y,'Threshold Summary'!$K:$K,""),'Pokemon Editor'!$A:$A,'Pokemon Editor'!$H:$H,0)+31+FLOOR(XLOOKUP($Q551,'Threshold Summary'!$Y:$Y,'Threshold Summary'!$R:$R,"")/4))*XLOOKUP($Q551,'Threshold Summary'!$Y:$Y,'Threshold Summary'!$L:$L,""))/100)+5)*XLOOKUP(XLOOKUP($Q551,'Threshold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Editor'!$E:$E,1))),stab,IF(OR(mtype=XLOOKUP(XLOOKUP($Q551,'Threshold Summary'!$Y:$Y,'Threshold Summary'!$K:$K,""),'Pokemon Editor'!$A:$A,'Pokemon Editor'!$C:$C,""),mtype=XLOOKUP(XLOOKUP($Q551,'Threshold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Chart'!$B$1:$S$1,0)))),base,IF(OR(cat="Status",pow=0),0,FLOOR(FLOOR(FLOOR((2*XLOOKUP($Q551,'Threshold Summary'!$Y:$Y,'Threshold Summary'!$L:$L,"")/5+2)*pow*atk/def)/50)+2)),modifier,stab*eff,FLOOR(base*modifier*0.85)),0)</f>
        <v/>
      </c>
      <c r="K551" s="3">
        <f>IFERROR(LET(mtype,XLOOKUP($D551,'Move Editor'!$B:$B,'Move Editor'!$C:$C,""),cat,XLOOKUP($D551,'Move Editor'!$B:$B,'Move Editor'!$D:$D,""),pow,XLOOKUP($D551,'Move Editor'!$B:$B,'Move Editor'!$E:$E,0),acc,XLOOKUP($D551,'Move Editor'!$B:$B,'Move Editor'!$F:$F,100),atk,IF(cat="Physical",FLOOR((FLOOR(((2*XLOOKUP(XLOOKUP($Q551,'Threshold Summary'!$Y:$Y,'Threshold Summary'!$K:$K,""),'Pokemon Editor'!$A:$A,'Pokemon Editor'!$F:$F,0)+31+FLOOR(XLOOKUP($Q551,'Threshold Summary'!$Y:$Y,'Threshold Summary'!$P:$P,"")/4))*XLOOKUP($Q551,'Threshold Summary'!$Y:$Y,'Threshold Summary'!$L:$L,""))/100)+5)*XLOOKUP(XLOOKUP($Q551,'Threshold Summary'!$Y:$Y,'Threshold Summary'!$M:$M,""),'Nature Editor'!$A:$A,'Nature Editor'!$B:$B,1)),FLOOR((FLOOR(((2*XLOOKUP(XLOOKUP($Q551,'Threshold Summary'!$Y:$Y,'Threshold Summary'!$K:$K,""),'Pokemon Editor'!$A:$A,'Pokemon Editor'!$H:$H,0)+31+FLOOR(XLOOKUP($Q551,'Threshold Summary'!$Y:$Y,'Threshold Summary'!$R:$R,"")/4))*XLOOKUP($Q551,'Threshold Summary'!$Y:$Y,'Threshold Summary'!$L:$L,""))/100)+5)*XLOOKUP(XLOOKUP($Q551,'Threshold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Editor'!$E:$E,1))),stab,IF(OR(mtype=XLOOKUP(XLOOKUP($Q551,'Threshold Summary'!$Y:$Y,'Threshold Summary'!$K:$K,""),'Pokemon Editor'!$A:$A,'Pokemon Editor'!$C:$C,""),mtype=XLOOKUP(XLOOKUP($Q551,'Threshold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Chart'!$B$1:$S$1,0)))),base,IF(OR(cat="Status",pow=0),0,FLOOR(FLOOR(FLOOR((2*XLOOKUP($Q551,'Threshold Summary'!$Y:$Y,'Threshold Summary'!$L:$L,"")/5+2)*pow*atk/def)/50)+2)),modifier,stab*eff,FLOOR(base*modifier)),0)</f>
        <v/>
      </c>
      <c r="L551" s="3">
        <f>IFERROR(LET(mtype,XLOOKUP($D551,'Move Editor'!$B:$B,'Move Editor'!$C:$C,""),cat,XLOOKUP($D551,'Move Editor'!$B:$B,'Move Editor'!$D:$D,""),pow,XLOOKUP($D551,'Move Editor'!$B:$B,'Move Editor'!$E:$E,0),acc,XLOOKUP($D551,'Move Editor'!$B:$B,'Move Editor'!$F:$F,100),atk,IF(cat="Physical",FLOOR((FLOOR(((2*XLOOKUP(XLOOKUP($Q551,'Threshold Summary'!$Y:$Y,'Threshold Summary'!$K:$K,""),'Pokemon Editor'!$A:$A,'Pokemon Editor'!$F:$F,0)+31+FLOOR(XLOOKUP($Q551,'Threshold Summary'!$Y:$Y,'Threshold Summary'!$P:$P,"")/4))*XLOOKUP($Q551,'Threshold Summary'!$Y:$Y,'Threshold Summary'!$L:$L,""))/100)+5)*XLOOKUP(XLOOKUP($Q551,'Threshold Summary'!$Y:$Y,'Threshold Summary'!$M:$M,""),'Nature Editor'!$A:$A,'Nature Editor'!$B:$B,1)),FLOOR((FLOOR(((2*XLOOKUP(XLOOKUP($Q551,'Threshold Summary'!$Y:$Y,'Threshold Summary'!$K:$K,""),'Pokemon Editor'!$A:$A,'Pokemon Editor'!$H:$H,0)+31+FLOOR(XLOOKUP($Q551,'Threshold Summary'!$Y:$Y,'Threshold Summary'!$R:$R,"")/4))*XLOOKUP($Q551,'Threshold Summary'!$Y:$Y,'Threshold Summary'!$L:$L,""))/100)+5)*XLOOKUP(XLOOKUP($Q551,'Threshold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Editor'!$E:$E,1))),stab,IF(OR(mtype=XLOOKUP(XLOOKUP($Q551,'Threshold Summary'!$Y:$Y,'Threshold Summary'!$K:$K,""),'Pokemon Editor'!$A:$A,'Pokemon Editor'!$C:$C,""),mtype=XLOOKUP(XLOOKUP($Q551,'Threshold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Chart'!$B$1:$S$1,0)))),base,IF(OR(cat="Status",pow=0),0,FLOOR(FLOOR(FLOOR((2*XLOOKUP($Q551,'Threshold Summary'!$Y:$Y,'Threshold Summary'!$L:$L,"")/5+2)*pow*atk/def)/50)+2)),modifier,stab*eff,AVERAGE(ARRAYFORMULA(FLOOR(base*modifier*SEQUENCE(16,1,85,1)/100)))),0)</f>
        <v/>
      </c>
      <c r="M551" s="3">
        <f>IFERROR(LET(mtype,XLOOKUP($D551,'Move Editor'!$B:$B,'Move Editor'!$C:$C,""),cat,XLOOKUP($D551,'Move Editor'!$B:$B,'Move Editor'!$D:$D,""),pow,XLOOKUP($D551,'Move Editor'!$B:$B,'Move Editor'!$E:$E,0),acc,XLOOKUP($D551,'Move Editor'!$B:$B,'Move Editor'!$F:$F,100),atk,IF(cat="Physical",FLOOR((FLOOR(((2*XLOOKUP(XLOOKUP($Q551,'Threshold Summary'!$Y:$Y,'Threshold Summary'!$K:$K,""),'Pokemon Editor'!$A:$A,'Pokemon Editor'!$F:$F,0)+31+FLOOR(XLOOKUP($Q551,'Threshold Summary'!$Y:$Y,'Threshold Summary'!$P:$P,"")/4))*XLOOKUP($Q551,'Threshold Summary'!$Y:$Y,'Threshold Summary'!$L:$L,""))/100)+5)*XLOOKUP(XLOOKUP($Q551,'Threshold Summary'!$Y:$Y,'Threshold Summary'!$M:$M,""),'Nature Editor'!$A:$A,'Nature Editor'!$B:$B,1)),FLOOR((FLOOR(((2*XLOOKUP(XLOOKUP($Q551,'Threshold Summary'!$Y:$Y,'Threshold Summary'!$K:$K,""),'Pokemon Editor'!$A:$A,'Pokemon Editor'!$H:$H,0)+31+FLOOR(XLOOKUP($Q551,'Threshold Summary'!$Y:$Y,'Threshold Summary'!$R:$R,"")/4))*XLOOKUP($Q551,'Threshold Summary'!$Y:$Y,'Threshold Summary'!$L:$L,""))/100)+5)*XLOOKUP(XLOOKUP($Q551,'Threshold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Editor'!$E:$E,1))),stab,IF(OR(mtype=XLOOKUP(XLOOKUP($Q551,'Threshold Summary'!$Y:$Y,'Threshold Summary'!$K:$K,""),'Pokemon Editor'!$A:$A,'Pokemon Editor'!$C:$C,""),mtype=XLOOKUP(XLOOKUP($Q551,'Threshold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Chart'!$B$1:$S$1,0)))),base,IF(OR(cat="Status",pow=0),0,FLOOR(FLOOR(FLOOR((2*XLOOKUP($Q551,'Threshold Summary'!$Y:$Y,'Threshold Summary'!$L:$L,"")/5+2)*pow*atk/def)/50)+2)),modifier,stab*eff,AVERAGE(ARRAYFORMULA(FLOOR(base*modifier*SEQUENCE(16,1,85,1)/100)))*MIN(1,acc/100)),0)</f>
        <v/>
      </c>
      <c r="N551" s="4">
        <f>IFERROR(LET(mtype,XLOOKUP($D551,'Move Editor'!$B:$B,'Move Editor'!$C:$C,""),cat,XLOOKUP($D551,'Move Editor'!$B:$B,'Move Editor'!$D:$D,""),pow,XLOOKUP($D551,'Move Editor'!$B:$B,'Move Editor'!$E:$E,0),acc,XLOOKUP($D551,'Move Editor'!$B:$B,'Move Editor'!$F:$F,100),atk,IF(cat="Physical",FLOOR((FLOOR(((2*XLOOKUP(XLOOKUP($Q551,'Threshold Summary'!$Y:$Y,'Threshold Summary'!$K:$K,""),'Pokemon Editor'!$A:$A,'Pokemon Editor'!$F:$F,0)+31+FLOOR(XLOOKUP($Q551,'Threshold Summary'!$Y:$Y,'Threshold Summary'!$P:$P,"")/4))*XLOOKUP($Q551,'Threshold Summary'!$Y:$Y,'Threshold Summary'!$L:$L,""))/100)+5)*XLOOKUP(XLOOKUP($Q551,'Threshold Summary'!$Y:$Y,'Threshold Summary'!$M:$M,""),'Nature Editor'!$A:$A,'Nature Editor'!$B:$B,1)),FLOOR((FLOOR(((2*XLOOKUP(XLOOKUP($Q551,'Threshold Summary'!$Y:$Y,'Threshold Summary'!$K:$K,""),'Pokemon Editor'!$A:$A,'Pokemon Editor'!$H:$H,0)+31+FLOOR(XLOOKUP($Q551,'Threshold Summary'!$Y:$Y,'Threshold Summary'!$R:$R,"")/4))*XLOOKUP($Q551,'Threshold Summary'!$Y:$Y,'Threshold Summary'!$L:$L,""))/100)+5)*XLOOKUP(XLOOKUP($Q551,'Threshold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Editor'!$E:$E,1))),stab,IF(OR(mtype=XLOOKUP(XLOOKUP($Q551,'Threshold Summary'!$Y:$Y,'Threshold Summary'!$K:$K,""),'Pokemon Editor'!$A:$A,'Pokemon Editor'!$C:$C,""),mtype=XLOOKUP(XLOOKUP($Q551,'Threshold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Chart'!$B$1:$S$1,0)))),base,IF(OR(cat="Status",pow=0),0,FLOOR(FLOOR(FLOOR((2*XLOOKUP($Q551,'Threshold Summary'!$Y:$Y,'Threshold Summary'!$L:$L,"")/5+2)*pow*atk/def)/50)+2)),modifier,stab*eff,AVERAGE(ARRAYFORMULA(FLOOR(base*modifier*SEQUENCE(16,1,85,1)/100)))/(FLOOR(((2*XLOOKUP('Boss Editor'!$C$4,'Pokemon Editor'!$A:$A,'Pokemon Editor'!$E:$E,0)+31+FLOOR('Boss Editor'!$G$4/4))*'Boss Editor'!$D$4)/100)+'Boss Editor'!$D$4+10)),0)</f>
        <v/>
      </c>
      <c r="O551" s="3">
        <f>IF(N551&gt;=1,"OHKO",IF(N551&gt;=0.5,"2HKO",IF(N551&gt;=0.333,"3HKO",IF(N551&gt;=0.25,"4HKO","5HKO+"))))</f>
        <v/>
      </c>
      <c r="P551" s="3" t="inlineStr">
        <is>
          <t>Live from editable databases</t>
        </is>
      </c>
      <c r="Q551" s="3" t="inlineStr">
        <is>
          <t>SPECIES_DUCKLETT</t>
        </is>
      </c>
      <c r="R551" s="3" t="n">
        <v>6</v>
      </c>
    </row>
    <row r="552">
      <c r="A552" s="3">
        <f>XLOOKUP($Q552,'Threshold Summary'!$Y:$Y,'Threshold Summary'!$A:$A,"")</f>
        <v/>
      </c>
      <c r="B552" s="3">
        <f>XLOOKUP($Q552,'Threshold Summary'!$Y:$Y,'Threshold Summary'!$M:$M,"")</f>
        <v/>
      </c>
      <c r="C552" s="3">
        <f>XLOOKUP($Q552,'Threshold Summary'!$Y:$Y,'Threshold Summary'!$N:$N,"")</f>
        <v/>
      </c>
      <c r="D552" s="3">
        <f>IFERROR(INDEX(FILTER('Learnset Editor'!$D$2:$D,'Learnset Editor'!$A$2:$A=XLOOKUP($Q552,'Threshold Summary'!$Y:$Y,'Threshold Summary'!$K:$K,""),'Learnset Editor'!$C$2:$C&lt;=XLOOKUP($Q552,'Threshold Summary'!$Y:$Y,'Threshold Summary'!$L:$L,"")),$R552),"")</f>
        <v/>
      </c>
      <c r="E552" s="3">
        <f>XLOOKUP(D552,'Move Editor'!$B:$B,'Move Editor'!$C:$C,"")</f>
        <v/>
      </c>
      <c r="F552" s="3">
        <f>XLOOKUP(D552,'Move Editor'!$B:$B,'Move Editor'!$D:$D,"")</f>
        <v/>
      </c>
      <c r="G552" s="3">
        <f>XLOOKUP(D552,'Move Editor'!$B:$B,'Move Editor'!$E:$E,0)</f>
        <v/>
      </c>
      <c r="H552" s="3">
        <f>XLOOKUP(D552,'Move Editor'!$B:$B,'Move Editor'!$F:$F,0)</f>
        <v/>
      </c>
      <c r="I552" s="3">
        <f>(INDEX('Type Chart'!$B:$S,MATCH(E552,'Type Chart'!$A:$A,0),MATCH(XLOOKUP('Boss Editor'!$C$4,'Pokemon Editor'!$A:$A,'Pokemon Editor'!$C:$C,""),'Type Chart'!$B$1:$S$1,0))*IF(XLOOKUP('Boss Editor'!$C$4,'Pokemon Editor'!$A:$A,'Pokemon Editor'!$D:$D,"")="",1,INDEX('Type Chart'!$B:$S,MATCH(E552,'Type Chart'!$A:$A,0),MATCH(XLOOKUP('Boss Editor'!$C$4,'Pokemon Editor'!$A:$A,'Pokemon Editor'!$D:$D,""),'Type Chart'!$B$1:$S$1,0))))</f>
        <v/>
      </c>
      <c r="J552" s="3">
        <f>IFERROR(LET(mtype,XLOOKUP($D552,'Move Editor'!$B:$B,'Move Editor'!$C:$C,""),cat,XLOOKUP($D552,'Move Editor'!$B:$B,'Move Editor'!$D:$D,""),pow,XLOOKUP($D552,'Move Editor'!$B:$B,'Move Editor'!$E:$E,0),acc,XLOOKUP($D552,'Move Editor'!$B:$B,'Move Editor'!$F:$F,100),atk,IF(cat="Physical",FLOOR((FLOOR(((2*XLOOKUP(XLOOKUP($Q552,'Threshold Summary'!$Y:$Y,'Threshold Summary'!$K:$K,""),'Pokemon Editor'!$A:$A,'Pokemon Editor'!$F:$F,0)+31+FLOOR(XLOOKUP($Q552,'Threshold Summary'!$Y:$Y,'Threshold Summary'!$P:$P,"")/4))*XLOOKUP($Q552,'Threshold Summary'!$Y:$Y,'Threshold Summary'!$L:$L,""))/100)+5)*XLOOKUP(XLOOKUP($Q552,'Threshold Summary'!$Y:$Y,'Threshold Summary'!$M:$M,""),'Nature Editor'!$A:$A,'Nature Editor'!$B:$B,1)),FLOOR((FLOOR(((2*XLOOKUP(XLOOKUP($Q552,'Threshold Summary'!$Y:$Y,'Threshold Summary'!$K:$K,""),'Pokemon Editor'!$A:$A,'Pokemon Editor'!$H:$H,0)+31+FLOOR(XLOOKUP($Q552,'Threshold Summary'!$Y:$Y,'Threshold Summary'!$R:$R,"")/4))*XLOOKUP($Q552,'Threshold Summary'!$Y:$Y,'Threshold Summary'!$L:$L,""))/100)+5)*XLOOKUP(XLOOKUP($Q552,'Threshold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Editor'!$E:$E,1))),stab,IF(OR(mtype=XLOOKUP(XLOOKUP($Q552,'Threshold Summary'!$Y:$Y,'Threshold Summary'!$K:$K,""),'Pokemon Editor'!$A:$A,'Pokemon Editor'!$C:$C,""),mtype=XLOOKUP(XLOOKUP($Q552,'Threshold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Chart'!$B$1:$S$1,0)))),base,IF(OR(cat="Status",pow=0),0,FLOOR(FLOOR(FLOOR((2*XLOOKUP($Q552,'Threshold Summary'!$Y:$Y,'Threshold Summary'!$L:$L,"")/5+2)*pow*atk/def)/50)+2)),modifier,stab*eff,FLOOR(base*modifier*0.85)),0)</f>
        <v/>
      </c>
      <c r="K552" s="3">
        <f>IFERROR(LET(mtype,XLOOKUP($D552,'Move Editor'!$B:$B,'Move Editor'!$C:$C,""),cat,XLOOKUP($D552,'Move Editor'!$B:$B,'Move Editor'!$D:$D,""),pow,XLOOKUP($D552,'Move Editor'!$B:$B,'Move Editor'!$E:$E,0),acc,XLOOKUP($D552,'Move Editor'!$B:$B,'Move Editor'!$F:$F,100),atk,IF(cat="Physical",FLOOR((FLOOR(((2*XLOOKUP(XLOOKUP($Q552,'Threshold Summary'!$Y:$Y,'Threshold Summary'!$K:$K,""),'Pokemon Editor'!$A:$A,'Pokemon Editor'!$F:$F,0)+31+FLOOR(XLOOKUP($Q552,'Threshold Summary'!$Y:$Y,'Threshold Summary'!$P:$P,"")/4))*XLOOKUP($Q552,'Threshold Summary'!$Y:$Y,'Threshold Summary'!$L:$L,""))/100)+5)*XLOOKUP(XLOOKUP($Q552,'Threshold Summary'!$Y:$Y,'Threshold Summary'!$M:$M,""),'Nature Editor'!$A:$A,'Nature Editor'!$B:$B,1)),FLOOR((FLOOR(((2*XLOOKUP(XLOOKUP($Q552,'Threshold Summary'!$Y:$Y,'Threshold Summary'!$K:$K,""),'Pokemon Editor'!$A:$A,'Pokemon Editor'!$H:$H,0)+31+FLOOR(XLOOKUP($Q552,'Threshold Summary'!$Y:$Y,'Threshold Summary'!$R:$R,"")/4))*XLOOKUP($Q552,'Threshold Summary'!$Y:$Y,'Threshold Summary'!$L:$L,""))/100)+5)*XLOOKUP(XLOOKUP($Q552,'Threshold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Editor'!$E:$E,1))),stab,IF(OR(mtype=XLOOKUP(XLOOKUP($Q552,'Threshold Summary'!$Y:$Y,'Threshold Summary'!$K:$K,""),'Pokemon Editor'!$A:$A,'Pokemon Editor'!$C:$C,""),mtype=XLOOKUP(XLOOKUP($Q552,'Threshold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Chart'!$B$1:$S$1,0)))),base,IF(OR(cat="Status",pow=0),0,FLOOR(FLOOR(FLOOR((2*XLOOKUP($Q552,'Threshold Summary'!$Y:$Y,'Threshold Summary'!$L:$L,"")/5+2)*pow*atk/def)/50)+2)),modifier,stab*eff,FLOOR(base*modifier)),0)</f>
        <v/>
      </c>
      <c r="L552" s="3">
        <f>IFERROR(LET(mtype,XLOOKUP($D552,'Move Editor'!$B:$B,'Move Editor'!$C:$C,""),cat,XLOOKUP($D552,'Move Editor'!$B:$B,'Move Editor'!$D:$D,""),pow,XLOOKUP($D552,'Move Editor'!$B:$B,'Move Editor'!$E:$E,0),acc,XLOOKUP($D552,'Move Editor'!$B:$B,'Move Editor'!$F:$F,100),atk,IF(cat="Physical",FLOOR((FLOOR(((2*XLOOKUP(XLOOKUP($Q552,'Threshold Summary'!$Y:$Y,'Threshold Summary'!$K:$K,""),'Pokemon Editor'!$A:$A,'Pokemon Editor'!$F:$F,0)+31+FLOOR(XLOOKUP($Q552,'Threshold Summary'!$Y:$Y,'Threshold Summary'!$P:$P,"")/4))*XLOOKUP($Q552,'Threshold Summary'!$Y:$Y,'Threshold Summary'!$L:$L,""))/100)+5)*XLOOKUP(XLOOKUP($Q552,'Threshold Summary'!$Y:$Y,'Threshold Summary'!$M:$M,""),'Nature Editor'!$A:$A,'Nature Editor'!$B:$B,1)),FLOOR((FLOOR(((2*XLOOKUP(XLOOKUP($Q552,'Threshold Summary'!$Y:$Y,'Threshold Summary'!$K:$K,""),'Pokemon Editor'!$A:$A,'Pokemon Editor'!$H:$H,0)+31+FLOOR(XLOOKUP($Q552,'Threshold Summary'!$Y:$Y,'Threshold Summary'!$R:$R,"")/4))*XLOOKUP($Q552,'Threshold Summary'!$Y:$Y,'Threshold Summary'!$L:$L,""))/100)+5)*XLOOKUP(XLOOKUP($Q552,'Threshold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Editor'!$E:$E,1))),stab,IF(OR(mtype=XLOOKUP(XLOOKUP($Q552,'Threshold Summary'!$Y:$Y,'Threshold Summary'!$K:$K,""),'Pokemon Editor'!$A:$A,'Pokemon Editor'!$C:$C,""),mtype=XLOOKUP(XLOOKUP($Q552,'Threshold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Chart'!$B$1:$S$1,0)))),base,IF(OR(cat="Status",pow=0),0,FLOOR(FLOOR(FLOOR((2*XLOOKUP($Q552,'Threshold Summary'!$Y:$Y,'Threshold Summary'!$L:$L,"")/5+2)*pow*atk/def)/50)+2)),modifier,stab*eff,AVERAGE(ARRAYFORMULA(FLOOR(base*modifier*SEQUENCE(16,1,85,1)/100)))),0)</f>
        <v/>
      </c>
      <c r="M552" s="3">
        <f>IFERROR(LET(mtype,XLOOKUP($D552,'Move Editor'!$B:$B,'Move Editor'!$C:$C,""),cat,XLOOKUP($D552,'Move Editor'!$B:$B,'Move Editor'!$D:$D,""),pow,XLOOKUP($D552,'Move Editor'!$B:$B,'Move Editor'!$E:$E,0),acc,XLOOKUP($D552,'Move Editor'!$B:$B,'Move Editor'!$F:$F,100),atk,IF(cat="Physical",FLOOR((FLOOR(((2*XLOOKUP(XLOOKUP($Q552,'Threshold Summary'!$Y:$Y,'Threshold Summary'!$K:$K,""),'Pokemon Editor'!$A:$A,'Pokemon Editor'!$F:$F,0)+31+FLOOR(XLOOKUP($Q552,'Threshold Summary'!$Y:$Y,'Threshold Summary'!$P:$P,"")/4))*XLOOKUP($Q552,'Threshold Summary'!$Y:$Y,'Threshold Summary'!$L:$L,""))/100)+5)*XLOOKUP(XLOOKUP($Q552,'Threshold Summary'!$Y:$Y,'Threshold Summary'!$M:$M,""),'Nature Editor'!$A:$A,'Nature Editor'!$B:$B,1)),FLOOR((FLOOR(((2*XLOOKUP(XLOOKUP($Q552,'Threshold Summary'!$Y:$Y,'Threshold Summary'!$K:$K,""),'Pokemon Editor'!$A:$A,'Pokemon Editor'!$H:$H,0)+31+FLOOR(XLOOKUP($Q552,'Threshold Summary'!$Y:$Y,'Threshold Summary'!$R:$R,"")/4))*XLOOKUP($Q552,'Threshold Summary'!$Y:$Y,'Threshold Summary'!$L:$L,""))/100)+5)*XLOOKUP(XLOOKUP($Q552,'Threshold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Editor'!$E:$E,1))),stab,IF(OR(mtype=XLOOKUP(XLOOKUP($Q552,'Threshold Summary'!$Y:$Y,'Threshold Summary'!$K:$K,""),'Pokemon Editor'!$A:$A,'Pokemon Editor'!$C:$C,""),mtype=XLOOKUP(XLOOKUP($Q552,'Threshold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Chart'!$B$1:$S$1,0)))),base,IF(OR(cat="Status",pow=0),0,FLOOR(FLOOR(FLOOR((2*XLOOKUP($Q552,'Threshold Summary'!$Y:$Y,'Threshold Summary'!$L:$L,"")/5+2)*pow*atk/def)/50)+2)),modifier,stab*eff,AVERAGE(ARRAYFORMULA(FLOOR(base*modifier*SEQUENCE(16,1,85,1)/100)))*MIN(1,acc/100)),0)</f>
        <v/>
      </c>
      <c r="N552" s="4">
        <f>IFERROR(LET(mtype,XLOOKUP($D552,'Move Editor'!$B:$B,'Move Editor'!$C:$C,""),cat,XLOOKUP($D552,'Move Editor'!$B:$B,'Move Editor'!$D:$D,""),pow,XLOOKUP($D552,'Move Editor'!$B:$B,'Move Editor'!$E:$E,0),acc,XLOOKUP($D552,'Move Editor'!$B:$B,'Move Editor'!$F:$F,100),atk,IF(cat="Physical",FLOOR((FLOOR(((2*XLOOKUP(XLOOKUP($Q552,'Threshold Summary'!$Y:$Y,'Threshold Summary'!$K:$K,""),'Pokemon Editor'!$A:$A,'Pokemon Editor'!$F:$F,0)+31+FLOOR(XLOOKUP($Q552,'Threshold Summary'!$Y:$Y,'Threshold Summary'!$P:$P,"")/4))*XLOOKUP($Q552,'Threshold Summary'!$Y:$Y,'Threshold Summary'!$L:$L,""))/100)+5)*XLOOKUP(XLOOKUP($Q552,'Threshold Summary'!$Y:$Y,'Threshold Summary'!$M:$M,""),'Nature Editor'!$A:$A,'Nature Editor'!$B:$B,1)),FLOOR((FLOOR(((2*XLOOKUP(XLOOKUP($Q552,'Threshold Summary'!$Y:$Y,'Threshold Summary'!$K:$K,""),'Pokemon Editor'!$A:$A,'Pokemon Editor'!$H:$H,0)+31+FLOOR(XLOOKUP($Q552,'Threshold Summary'!$Y:$Y,'Threshold Summary'!$R:$R,"")/4))*XLOOKUP($Q552,'Threshold Summary'!$Y:$Y,'Threshold Summary'!$L:$L,""))/100)+5)*XLOOKUP(XLOOKUP($Q552,'Threshold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Editor'!$E:$E,1))),stab,IF(OR(mtype=XLOOKUP(XLOOKUP($Q552,'Threshold Summary'!$Y:$Y,'Threshold Summary'!$K:$K,""),'Pokemon Editor'!$A:$A,'Pokemon Editor'!$C:$C,""),mtype=XLOOKUP(XLOOKUP($Q552,'Threshold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Chart'!$B$1:$S$1,0)))),base,IF(OR(cat="Status",pow=0),0,FLOOR(FLOOR(FLOOR((2*XLOOKUP($Q552,'Threshold Summary'!$Y:$Y,'Threshold Summary'!$L:$L,"")/5+2)*pow*atk/def)/50)+2)),modifier,stab*eff,AVERAGE(ARRAYFORMULA(FLOOR(base*modifier*SEQUENCE(16,1,85,1)/100)))/(FLOOR(((2*XLOOKUP('Boss Editor'!$C$4,'Pokemon Editor'!$A:$A,'Pokemon Editor'!$E:$E,0)+31+FLOOR('Boss Editor'!$G$4/4))*'Boss Editor'!$D$4)/100)+'Boss Editor'!$D$4+10)),0)</f>
        <v/>
      </c>
      <c r="O552" s="3">
        <f>IF(N552&gt;=1,"OHKO",IF(N552&gt;=0.5,"2HKO",IF(N552&gt;=0.333,"3HKO",IF(N552&gt;=0.25,"4HKO","5HKO+"))))</f>
        <v/>
      </c>
      <c r="P552" s="3" t="inlineStr">
        <is>
          <t>Live from editable databases</t>
        </is>
      </c>
      <c r="Q552" s="3" t="inlineStr">
        <is>
          <t>SPECIES_DUCKLETT</t>
        </is>
      </c>
      <c r="R552" s="3" t="n">
        <v>7</v>
      </c>
    </row>
    <row r="553">
      <c r="A553" s="3">
        <f>XLOOKUP($Q553,'Threshold Summary'!$Y:$Y,'Threshold Summary'!$A:$A,"")</f>
        <v/>
      </c>
      <c r="B553" s="3">
        <f>XLOOKUP($Q553,'Threshold Summary'!$Y:$Y,'Threshold Summary'!$M:$M,"")</f>
        <v/>
      </c>
      <c r="C553" s="3">
        <f>XLOOKUP($Q553,'Threshold Summary'!$Y:$Y,'Threshold Summary'!$N:$N,"")</f>
        <v/>
      </c>
      <c r="D553" s="3">
        <f>IFERROR(INDEX(FILTER('Learnset Editor'!$D$2:$D,'Learnset Editor'!$A$2:$A=XLOOKUP($Q553,'Threshold Summary'!$Y:$Y,'Threshold Summary'!$K:$K,""),'Learnset Editor'!$C$2:$C&lt;=XLOOKUP($Q553,'Threshold Summary'!$Y:$Y,'Threshold Summary'!$L:$L,"")),$R553),"")</f>
        <v/>
      </c>
      <c r="E553" s="3">
        <f>XLOOKUP(D553,'Move Editor'!$B:$B,'Move Editor'!$C:$C,"")</f>
        <v/>
      </c>
      <c r="F553" s="3">
        <f>XLOOKUP(D553,'Move Editor'!$B:$B,'Move Editor'!$D:$D,"")</f>
        <v/>
      </c>
      <c r="G553" s="3">
        <f>XLOOKUP(D553,'Move Editor'!$B:$B,'Move Editor'!$E:$E,0)</f>
        <v/>
      </c>
      <c r="H553" s="3">
        <f>XLOOKUP(D553,'Move Editor'!$B:$B,'Move Editor'!$F:$F,0)</f>
        <v/>
      </c>
      <c r="I553" s="3">
        <f>(INDEX('Type Chart'!$B:$S,MATCH(E553,'Type Chart'!$A:$A,0),MATCH(XLOOKUP('Boss Editor'!$C$4,'Pokemon Editor'!$A:$A,'Pokemon Editor'!$C:$C,""),'Type Chart'!$B$1:$S$1,0))*IF(XLOOKUP('Boss Editor'!$C$4,'Pokemon Editor'!$A:$A,'Pokemon Editor'!$D:$D,"")="",1,INDEX('Type Chart'!$B:$S,MATCH(E553,'Type Chart'!$A:$A,0),MATCH(XLOOKUP('Boss Editor'!$C$4,'Pokemon Editor'!$A:$A,'Pokemon Editor'!$D:$D,""),'Type Chart'!$B$1:$S$1,0))))</f>
        <v/>
      </c>
      <c r="J553" s="3">
        <f>IFERROR(LET(mtype,XLOOKUP($D553,'Move Editor'!$B:$B,'Move Editor'!$C:$C,""),cat,XLOOKUP($D553,'Move Editor'!$B:$B,'Move Editor'!$D:$D,""),pow,XLOOKUP($D553,'Move Editor'!$B:$B,'Move Editor'!$E:$E,0),acc,XLOOKUP($D553,'Move Editor'!$B:$B,'Move Editor'!$F:$F,100),atk,IF(cat="Physical",FLOOR((FLOOR(((2*XLOOKUP(XLOOKUP($Q553,'Threshold Summary'!$Y:$Y,'Threshold Summary'!$K:$K,""),'Pokemon Editor'!$A:$A,'Pokemon Editor'!$F:$F,0)+31+FLOOR(XLOOKUP($Q553,'Threshold Summary'!$Y:$Y,'Threshold Summary'!$P:$P,"")/4))*XLOOKUP($Q553,'Threshold Summary'!$Y:$Y,'Threshold Summary'!$L:$L,""))/100)+5)*XLOOKUP(XLOOKUP($Q553,'Threshold Summary'!$Y:$Y,'Threshold Summary'!$M:$M,""),'Nature Editor'!$A:$A,'Nature Editor'!$B:$B,1)),FLOOR((FLOOR(((2*XLOOKUP(XLOOKUP($Q553,'Threshold Summary'!$Y:$Y,'Threshold Summary'!$K:$K,""),'Pokemon Editor'!$A:$A,'Pokemon Editor'!$H:$H,0)+31+FLOOR(XLOOKUP($Q553,'Threshold Summary'!$Y:$Y,'Threshold Summary'!$R:$R,"")/4))*XLOOKUP($Q553,'Threshold Summary'!$Y:$Y,'Threshold Summary'!$L:$L,""))/100)+5)*XLOOKUP(XLOOKUP($Q553,'Threshold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Editor'!$E:$E,1))),stab,IF(OR(mtype=XLOOKUP(XLOOKUP($Q553,'Threshold Summary'!$Y:$Y,'Threshold Summary'!$K:$K,""),'Pokemon Editor'!$A:$A,'Pokemon Editor'!$C:$C,""),mtype=XLOOKUP(XLOOKUP($Q553,'Threshold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Chart'!$B$1:$S$1,0)))),base,IF(OR(cat="Status",pow=0),0,FLOOR(FLOOR(FLOOR((2*XLOOKUP($Q553,'Threshold Summary'!$Y:$Y,'Threshold Summary'!$L:$L,"")/5+2)*pow*atk/def)/50)+2)),modifier,stab*eff,FLOOR(base*modifier*0.85)),0)</f>
        <v/>
      </c>
      <c r="K553" s="3">
        <f>IFERROR(LET(mtype,XLOOKUP($D553,'Move Editor'!$B:$B,'Move Editor'!$C:$C,""),cat,XLOOKUP($D553,'Move Editor'!$B:$B,'Move Editor'!$D:$D,""),pow,XLOOKUP($D553,'Move Editor'!$B:$B,'Move Editor'!$E:$E,0),acc,XLOOKUP($D553,'Move Editor'!$B:$B,'Move Editor'!$F:$F,100),atk,IF(cat="Physical",FLOOR((FLOOR(((2*XLOOKUP(XLOOKUP($Q553,'Threshold Summary'!$Y:$Y,'Threshold Summary'!$K:$K,""),'Pokemon Editor'!$A:$A,'Pokemon Editor'!$F:$F,0)+31+FLOOR(XLOOKUP($Q553,'Threshold Summary'!$Y:$Y,'Threshold Summary'!$P:$P,"")/4))*XLOOKUP($Q553,'Threshold Summary'!$Y:$Y,'Threshold Summary'!$L:$L,""))/100)+5)*XLOOKUP(XLOOKUP($Q553,'Threshold Summary'!$Y:$Y,'Threshold Summary'!$M:$M,""),'Nature Editor'!$A:$A,'Nature Editor'!$B:$B,1)),FLOOR((FLOOR(((2*XLOOKUP(XLOOKUP($Q553,'Threshold Summary'!$Y:$Y,'Threshold Summary'!$K:$K,""),'Pokemon Editor'!$A:$A,'Pokemon Editor'!$H:$H,0)+31+FLOOR(XLOOKUP($Q553,'Threshold Summary'!$Y:$Y,'Threshold Summary'!$R:$R,"")/4))*XLOOKUP($Q553,'Threshold Summary'!$Y:$Y,'Threshold Summary'!$L:$L,""))/100)+5)*XLOOKUP(XLOOKUP($Q553,'Threshold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Editor'!$E:$E,1))),stab,IF(OR(mtype=XLOOKUP(XLOOKUP($Q553,'Threshold Summary'!$Y:$Y,'Threshold Summary'!$K:$K,""),'Pokemon Editor'!$A:$A,'Pokemon Editor'!$C:$C,""),mtype=XLOOKUP(XLOOKUP($Q553,'Threshold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Chart'!$B$1:$S$1,0)))),base,IF(OR(cat="Status",pow=0),0,FLOOR(FLOOR(FLOOR((2*XLOOKUP($Q553,'Threshold Summary'!$Y:$Y,'Threshold Summary'!$L:$L,"")/5+2)*pow*atk/def)/50)+2)),modifier,stab*eff,FLOOR(base*modifier)),0)</f>
        <v/>
      </c>
      <c r="L553" s="3">
        <f>IFERROR(LET(mtype,XLOOKUP($D553,'Move Editor'!$B:$B,'Move Editor'!$C:$C,""),cat,XLOOKUP($D553,'Move Editor'!$B:$B,'Move Editor'!$D:$D,""),pow,XLOOKUP($D553,'Move Editor'!$B:$B,'Move Editor'!$E:$E,0),acc,XLOOKUP($D553,'Move Editor'!$B:$B,'Move Editor'!$F:$F,100),atk,IF(cat="Physical",FLOOR((FLOOR(((2*XLOOKUP(XLOOKUP($Q553,'Threshold Summary'!$Y:$Y,'Threshold Summary'!$K:$K,""),'Pokemon Editor'!$A:$A,'Pokemon Editor'!$F:$F,0)+31+FLOOR(XLOOKUP($Q553,'Threshold Summary'!$Y:$Y,'Threshold Summary'!$P:$P,"")/4))*XLOOKUP($Q553,'Threshold Summary'!$Y:$Y,'Threshold Summary'!$L:$L,""))/100)+5)*XLOOKUP(XLOOKUP($Q553,'Threshold Summary'!$Y:$Y,'Threshold Summary'!$M:$M,""),'Nature Editor'!$A:$A,'Nature Editor'!$B:$B,1)),FLOOR((FLOOR(((2*XLOOKUP(XLOOKUP($Q553,'Threshold Summary'!$Y:$Y,'Threshold Summary'!$K:$K,""),'Pokemon Editor'!$A:$A,'Pokemon Editor'!$H:$H,0)+31+FLOOR(XLOOKUP($Q553,'Threshold Summary'!$Y:$Y,'Threshold Summary'!$R:$R,"")/4))*XLOOKUP($Q553,'Threshold Summary'!$Y:$Y,'Threshold Summary'!$L:$L,""))/100)+5)*XLOOKUP(XLOOKUP($Q553,'Threshold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Editor'!$E:$E,1))),stab,IF(OR(mtype=XLOOKUP(XLOOKUP($Q553,'Threshold Summary'!$Y:$Y,'Threshold Summary'!$K:$K,""),'Pokemon Editor'!$A:$A,'Pokemon Editor'!$C:$C,""),mtype=XLOOKUP(XLOOKUP($Q553,'Threshold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Chart'!$B$1:$S$1,0)))),base,IF(OR(cat="Status",pow=0),0,FLOOR(FLOOR(FLOOR((2*XLOOKUP($Q553,'Threshold Summary'!$Y:$Y,'Threshold Summary'!$L:$L,"")/5+2)*pow*atk/def)/50)+2)),modifier,stab*eff,AVERAGE(ARRAYFORMULA(FLOOR(base*modifier*SEQUENCE(16,1,85,1)/100)))),0)</f>
        <v/>
      </c>
      <c r="M553" s="3">
        <f>IFERROR(LET(mtype,XLOOKUP($D553,'Move Editor'!$B:$B,'Move Editor'!$C:$C,""),cat,XLOOKUP($D553,'Move Editor'!$B:$B,'Move Editor'!$D:$D,""),pow,XLOOKUP($D553,'Move Editor'!$B:$B,'Move Editor'!$E:$E,0),acc,XLOOKUP($D553,'Move Editor'!$B:$B,'Move Editor'!$F:$F,100),atk,IF(cat="Physical",FLOOR((FLOOR(((2*XLOOKUP(XLOOKUP($Q553,'Threshold Summary'!$Y:$Y,'Threshold Summary'!$K:$K,""),'Pokemon Editor'!$A:$A,'Pokemon Editor'!$F:$F,0)+31+FLOOR(XLOOKUP($Q553,'Threshold Summary'!$Y:$Y,'Threshold Summary'!$P:$P,"")/4))*XLOOKUP($Q553,'Threshold Summary'!$Y:$Y,'Threshold Summary'!$L:$L,""))/100)+5)*XLOOKUP(XLOOKUP($Q553,'Threshold Summary'!$Y:$Y,'Threshold Summary'!$M:$M,""),'Nature Editor'!$A:$A,'Nature Editor'!$B:$B,1)),FLOOR((FLOOR(((2*XLOOKUP(XLOOKUP($Q553,'Threshold Summary'!$Y:$Y,'Threshold Summary'!$K:$K,""),'Pokemon Editor'!$A:$A,'Pokemon Editor'!$H:$H,0)+31+FLOOR(XLOOKUP($Q553,'Threshold Summary'!$Y:$Y,'Threshold Summary'!$R:$R,"")/4))*XLOOKUP($Q553,'Threshold Summary'!$Y:$Y,'Threshold Summary'!$L:$L,""))/100)+5)*XLOOKUP(XLOOKUP($Q553,'Threshold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Editor'!$E:$E,1))),stab,IF(OR(mtype=XLOOKUP(XLOOKUP($Q553,'Threshold Summary'!$Y:$Y,'Threshold Summary'!$K:$K,""),'Pokemon Editor'!$A:$A,'Pokemon Editor'!$C:$C,""),mtype=XLOOKUP(XLOOKUP($Q553,'Threshold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Chart'!$B$1:$S$1,0)))),base,IF(OR(cat="Status",pow=0),0,FLOOR(FLOOR(FLOOR((2*XLOOKUP($Q553,'Threshold Summary'!$Y:$Y,'Threshold Summary'!$L:$L,"")/5+2)*pow*atk/def)/50)+2)),modifier,stab*eff,AVERAGE(ARRAYFORMULA(FLOOR(base*modifier*SEQUENCE(16,1,85,1)/100)))*MIN(1,acc/100)),0)</f>
        <v/>
      </c>
      <c r="N553" s="4">
        <f>IFERROR(LET(mtype,XLOOKUP($D553,'Move Editor'!$B:$B,'Move Editor'!$C:$C,""),cat,XLOOKUP($D553,'Move Editor'!$B:$B,'Move Editor'!$D:$D,""),pow,XLOOKUP($D553,'Move Editor'!$B:$B,'Move Editor'!$E:$E,0),acc,XLOOKUP($D553,'Move Editor'!$B:$B,'Move Editor'!$F:$F,100),atk,IF(cat="Physical",FLOOR((FLOOR(((2*XLOOKUP(XLOOKUP($Q553,'Threshold Summary'!$Y:$Y,'Threshold Summary'!$K:$K,""),'Pokemon Editor'!$A:$A,'Pokemon Editor'!$F:$F,0)+31+FLOOR(XLOOKUP($Q553,'Threshold Summary'!$Y:$Y,'Threshold Summary'!$P:$P,"")/4))*XLOOKUP($Q553,'Threshold Summary'!$Y:$Y,'Threshold Summary'!$L:$L,""))/100)+5)*XLOOKUP(XLOOKUP($Q553,'Threshold Summary'!$Y:$Y,'Threshold Summary'!$M:$M,""),'Nature Editor'!$A:$A,'Nature Editor'!$B:$B,1)),FLOOR((FLOOR(((2*XLOOKUP(XLOOKUP($Q553,'Threshold Summary'!$Y:$Y,'Threshold Summary'!$K:$K,""),'Pokemon Editor'!$A:$A,'Pokemon Editor'!$H:$H,0)+31+FLOOR(XLOOKUP($Q553,'Threshold Summary'!$Y:$Y,'Threshold Summary'!$R:$R,"")/4))*XLOOKUP($Q553,'Threshold Summary'!$Y:$Y,'Threshold Summary'!$L:$L,""))/100)+5)*XLOOKUP(XLOOKUP($Q553,'Threshold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Editor'!$E:$E,1))),stab,IF(OR(mtype=XLOOKUP(XLOOKUP($Q553,'Threshold Summary'!$Y:$Y,'Threshold Summary'!$K:$K,""),'Pokemon Editor'!$A:$A,'Pokemon Editor'!$C:$C,""),mtype=XLOOKUP(XLOOKUP($Q553,'Threshold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Chart'!$B$1:$S$1,0)))),base,IF(OR(cat="Status",pow=0),0,FLOOR(FLOOR(FLOOR((2*XLOOKUP($Q553,'Threshold Summary'!$Y:$Y,'Threshold Summary'!$L:$L,"")/5+2)*pow*atk/def)/50)+2)),modifier,stab*eff,AVERAGE(ARRAYFORMULA(FLOOR(base*modifier*SEQUENCE(16,1,85,1)/100)))/(FLOOR(((2*XLOOKUP('Boss Editor'!$C$4,'Pokemon Editor'!$A:$A,'Pokemon Editor'!$E:$E,0)+31+FLOOR('Boss Editor'!$G$4/4))*'Boss Editor'!$D$4)/100)+'Boss Editor'!$D$4+10)),0)</f>
        <v/>
      </c>
      <c r="O553" s="3">
        <f>IF(N553&gt;=1,"OHKO",IF(N553&gt;=0.5,"2HKO",IF(N553&gt;=0.333,"3HKO",IF(N553&gt;=0.25,"4HKO","5HKO+"))))</f>
        <v/>
      </c>
      <c r="P553" s="3" t="inlineStr">
        <is>
          <t>Live from editable databases</t>
        </is>
      </c>
      <c r="Q553" s="3" t="inlineStr">
        <is>
          <t>SPECIES_DUCKLETT</t>
        </is>
      </c>
      <c r="R553" s="3" t="n">
        <v>8</v>
      </c>
    </row>
    <row r="554">
      <c r="A554" s="3">
        <f>XLOOKUP($Q554,'Threshold Summary'!$Y:$Y,'Threshold Summary'!$A:$A,"")</f>
        <v/>
      </c>
      <c r="B554" s="3">
        <f>XLOOKUP($Q554,'Threshold Summary'!$Y:$Y,'Threshold Summary'!$M:$M,"")</f>
        <v/>
      </c>
      <c r="C554" s="3">
        <f>XLOOKUP($Q554,'Threshold Summary'!$Y:$Y,'Threshold Summary'!$N:$N,"")</f>
        <v/>
      </c>
      <c r="D554" s="3">
        <f>IFERROR(INDEX(FILTER('Learnset Editor'!$D$2:$D,'Learnset Editor'!$A$2:$A=XLOOKUP($Q554,'Threshold Summary'!$Y:$Y,'Threshold Summary'!$K:$K,""),'Learnset Editor'!$C$2:$C&lt;=XLOOKUP($Q554,'Threshold Summary'!$Y:$Y,'Threshold Summary'!$L:$L,"")),$R554),"")</f>
        <v/>
      </c>
      <c r="E554" s="3">
        <f>XLOOKUP(D554,'Move Editor'!$B:$B,'Move Editor'!$C:$C,"")</f>
        <v/>
      </c>
      <c r="F554" s="3">
        <f>XLOOKUP(D554,'Move Editor'!$B:$B,'Move Editor'!$D:$D,"")</f>
        <v/>
      </c>
      <c r="G554" s="3">
        <f>XLOOKUP(D554,'Move Editor'!$B:$B,'Move Editor'!$E:$E,0)</f>
        <v/>
      </c>
      <c r="H554" s="3">
        <f>XLOOKUP(D554,'Move Editor'!$B:$B,'Move Editor'!$F:$F,0)</f>
        <v/>
      </c>
      <c r="I554" s="3">
        <f>(INDEX('Type Chart'!$B:$S,MATCH(E554,'Type Chart'!$A:$A,0),MATCH(XLOOKUP('Boss Editor'!$C$4,'Pokemon Editor'!$A:$A,'Pokemon Editor'!$C:$C,""),'Type Chart'!$B$1:$S$1,0))*IF(XLOOKUP('Boss Editor'!$C$4,'Pokemon Editor'!$A:$A,'Pokemon Editor'!$D:$D,"")="",1,INDEX('Type Chart'!$B:$S,MATCH(E554,'Type Chart'!$A:$A,0),MATCH(XLOOKUP('Boss Editor'!$C$4,'Pokemon Editor'!$A:$A,'Pokemon Editor'!$D:$D,""),'Type Chart'!$B$1:$S$1,0))))</f>
        <v/>
      </c>
      <c r="J554" s="3">
        <f>IFERROR(LET(mtype,XLOOKUP($D554,'Move Editor'!$B:$B,'Move Editor'!$C:$C,""),cat,XLOOKUP($D554,'Move Editor'!$B:$B,'Move Editor'!$D:$D,""),pow,XLOOKUP($D554,'Move Editor'!$B:$B,'Move Editor'!$E:$E,0),acc,XLOOKUP($D554,'Move Editor'!$B:$B,'Move Editor'!$F:$F,100),atk,IF(cat="Physical",FLOOR((FLOOR(((2*XLOOKUP(XLOOKUP($Q554,'Threshold Summary'!$Y:$Y,'Threshold Summary'!$K:$K,""),'Pokemon Editor'!$A:$A,'Pokemon Editor'!$F:$F,0)+31+FLOOR(XLOOKUP($Q554,'Threshold Summary'!$Y:$Y,'Threshold Summary'!$P:$P,"")/4))*XLOOKUP($Q554,'Threshold Summary'!$Y:$Y,'Threshold Summary'!$L:$L,""))/100)+5)*XLOOKUP(XLOOKUP($Q554,'Threshold Summary'!$Y:$Y,'Threshold Summary'!$M:$M,""),'Nature Editor'!$A:$A,'Nature Editor'!$B:$B,1)),FLOOR((FLOOR(((2*XLOOKUP(XLOOKUP($Q554,'Threshold Summary'!$Y:$Y,'Threshold Summary'!$K:$K,""),'Pokemon Editor'!$A:$A,'Pokemon Editor'!$H:$H,0)+31+FLOOR(XLOOKUP($Q554,'Threshold Summary'!$Y:$Y,'Threshold Summary'!$R:$R,"")/4))*XLOOKUP($Q554,'Threshold Summary'!$Y:$Y,'Threshold Summary'!$L:$L,""))/100)+5)*XLOOKUP(XLOOKUP($Q554,'Threshold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Editor'!$E:$E,1))),stab,IF(OR(mtype=XLOOKUP(XLOOKUP($Q554,'Threshold Summary'!$Y:$Y,'Threshold Summary'!$K:$K,""),'Pokemon Editor'!$A:$A,'Pokemon Editor'!$C:$C,""),mtype=XLOOKUP(XLOOKUP($Q554,'Threshold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Chart'!$B$1:$S$1,0)))),base,IF(OR(cat="Status",pow=0),0,FLOOR(FLOOR(FLOOR((2*XLOOKUP($Q554,'Threshold Summary'!$Y:$Y,'Threshold Summary'!$L:$L,"")/5+2)*pow*atk/def)/50)+2)),modifier,stab*eff,FLOOR(base*modifier*0.85)),0)</f>
        <v/>
      </c>
      <c r="K554" s="3">
        <f>IFERROR(LET(mtype,XLOOKUP($D554,'Move Editor'!$B:$B,'Move Editor'!$C:$C,""),cat,XLOOKUP($D554,'Move Editor'!$B:$B,'Move Editor'!$D:$D,""),pow,XLOOKUP($D554,'Move Editor'!$B:$B,'Move Editor'!$E:$E,0),acc,XLOOKUP($D554,'Move Editor'!$B:$B,'Move Editor'!$F:$F,100),atk,IF(cat="Physical",FLOOR((FLOOR(((2*XLOOKUP(XLOOKUP($Q554,'Threshold Summary'!$Y:$Y,'Threshold Summary'!$K:$K,""),'Pokemon Editor'!$A:$A,'Pokemon Editor'!$F:$F,0)+31+FLOOR(XLOOKUP($Q554,'Threshold Summary'!$Y:$Y,'Threshold Summary'!$P:$P,"")/4))*XLOOKUP($Q554,'Threshold Summary'!$Y:$Y,'Threshold Summary'!$L:$L,""))/100)+5)*XLOOKUP(XLOOKUP($Q554,'Threshold Summary'!$Y:$Y,'Threshold Summary'!$M:$M,""),'Nature Editor'!$A:$A,'Nature Editor'!$B:$B,1)),FLOOR((FLOOR(((2*XLOOKUP(XLOOKUP($Q554,'Threshold Summary'!$Y:$Y,'Threshold Summary'!$K:$K,""),'Pokemon Editor'!$A:$A,'Pokemon Editor'!$H:$H,0)+31+FLOOR(XLOOKUP($Q554,'Threshold Summary'!$Y:$Y,'Threshold Summary'!$R:$R,"")/4))*XLOOKUP($Q554,'Threshold Summary'!$Y:$Y,'Threshold Summary'!$L:$L,""))/100)+5)*XLOOKUP(XLOOKUP($Q554,'Threshold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Editor'!$E:$E,1))),stab,IF(OR(mtype=XLOOKUP(XLOOKUP($Q554,'Threshold Summary'!$Y:$Y,'Threshold Summary'!$K:$K,""),'Pokemon Editor'!$A:$A,'Pokemon Editor'!$C:$C,""),mtype=XLOOKUP(XLOOKUP($Q554,'Threshold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Chart'!$B$1:$S$1,0)))),base,IF(OR(cat="Status",pow=0),0,FLOOR(FLOOR(FLOOR((2*XLOOKUP($Q554,'Threshold Summary'!$Y:$Y,'Threshold Summary'!$L:$L,"")/5+2)*pow*atk/def)/50)+2)),modifier,stab*eff,FLOOR(base*modifier)),0)</f>
        <v/>
      </c>
      <c r="L554" s="3">
        <f>IFERROR(LET(mtype,XLOOKUP($D554,'Move Editor'!$B:$B,'Move Editor'!$C:$C,""),cat,XLOOKUP($D554,'Move Editor'!$B:$B,'Move Editor'!$D:$D,""),pow,XLOOKUP($D554,'Move Editor'!$B:$B,'Move Editor'!$E:$E,0),acc,XLOOKUP($D554,'Move Editor'!$B:$B,'Move Editor'!$F:$F,100),atk,IF(cat="Physical",FLOOR((FLOOR(((2*XLOOKUP(XLOOKUP($Q554,'Threshold Summary'!$Y:$Y,'Threshold Summary'!$K:$K,""),'Pokemon Editor'!$A:$A,'Pokemon Editor'!$F:$F,0)+31+FLOOR(XLOOKUP($Q554,'Threshold Summary'!$Y:$Y,'Threshold Summary'!$P:$P,"")/4))*XLOOKUP($Q554,'Threshold Summary'!$Y:$Y,'Threshold Summary'!$L:$L,""))/100)+5)*XLOOKUP(XLOOKUP($Q554,'Threshold Summary'!$Y:$Y,'Threshold Summary'!$M:$M,""),'Nature Editor'!$A:$A,'Nature Editor'!$B:$B,1)),FLOOR((FLOOR(((2*XLOOKUP(XLOOKUP($Q554,'Threshold Summary'!$Y:$Y,'Threshold Summary'!$K:$K,""),'Pokemon Editor'!$A:$A,'Pokemon Editor'!$H:$H,0)+31+FLOOR(XLOOKUP($Q554,'Threshold Summary'!$Y:$Y,'Threshold Summary'!$R:$R,"")/4))*XLOOKUP($Q554,'Threshold Summary'!$Y:$Y,'Threshold Summary'!$L:$L,""))/100)+5)*XLOOKUP(XLOOKUP($Q554,'Threshold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Editor'!$E:$E,1))),stab,IF(OR(mtype=XLOOKUP(XLOOKUP($Q554,'Threshold Summary'!$Y:$Y,'Threshold Summary'!$K:$K,""),'Pokemon Editor'!$A:$A,'Pokemon Editor'!$C:$C,""),mtype=XLOOKUP(XLOOKUP($Q554,'Threshold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Chart'!$B$1:$S$1,0)))),base,IF(OR(cat="Status",pow=0),0,FLOOR(FLOOR(FLOOR((2*XLOOKUP($Q554,'Threshold Summary'!$Y:$Y,'Threshold Summary'!$L:$L,"")/5+2)*pow*atk/def)/50)+2)),modifier,stab*eff,AVERAGE(ARRAYFORMULA(FLOOR(base*modifier*SEQUENCE(16,1,85,1)/100)))),0)</f>
        <v/>
      </c>
      <c r="M554" s="3">
        <f>IFERROR(LET(mtype,XLOOKUP($D554,'Move Editor'!$B:$B,'Move Editor'!$C:$C,""),cat,XLOOKUP($D554,'Move Editor'!$B:$B,'Move Editor'!$D:$D,""),pow,XLOOKUP($D554,'Move Editor'!$B:$B,'Move Editor'!$E:$E,0),acc,XLOOKUP($D554,'Move Editor'!$B:$B,'Move Editor'!$F:$F,100),atk,IF(cat="Physical",FLOOR((FLOOR(((2*XLOOKUP(XLOOKUP($Q554,'Threshold Summary'!$Y:$Y,'Threshold Summary'!$K:$K,""),'Pokemon Editor'!$A:$A,'Pokemon Editor'!$F:$F,0)+31+FLOOR(XLOOKUP($Q554,'Threshold Summary'!$Y:$Y,'Threshold Summary'!$P:$P,"")/4))*XLOOKUP($Q554,'Threshold Summary'!$Y:$Y,'Threshold Summary'!$L:$L,""))/100)+5)*XLOOKUP(XLOOKUP($Q554,'Threshold Summary'!$Y:$Y,'Threshold Summary'!$M:$M,""),'Nature Editor'!$A:$A,'Nature Editor'!$B:$B,1)),FLOOR((FLOOR(((2*XLOOKUP(XLOOKUP($Q554,'Threshold Summary'!$Y:$Y,'Threshold Summary'!$K:$K,""),'Pokemon Editor'!$A:$A,'Pokemon Editor'!$H:$H,0)+31+FLOOR(XLOOKUP($Q554,'Threshold Summary'!$Y:$Y,'Threshold Summary'!$R:$R,"")/4))*XLOOKUP($Q554,'Threshold Summary'!$Y:$Y,'Threshold Summary'!$L:$L,""))/100)+5)*XLOOKUP(XLOOKUP($Q554,'Threshold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Editor'!$E:$E,1))),stab,IF(OR(mtype=XLOOKUP(XLOOKUP($Q554,'Threshold Summary'!$Y:$Y,'Threshold Summary'!$K:$K,""),'Pokemon Editor'!$A:$A,'Pokemon Editor'!$C:$C,""),mtype=XLOOKUP(XLOOKUP($Q554,'Threshold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Chart'!$B$1:$S$1,0)))),base,IF(OR(cat="Status",pow=0),0,FLOOR(FLOOR(FLOOR((2*XLOOKUP($Q554,'Threshold Summary'!$Y:$Y,'Threshold Summary'!$L:$L,"")/5+2)*pow*atk/def)/50)+2)),modifier,stab*eff,AVERAGE(ARRAYFORMULA(FLOOR(base*modifier*SEQUENCE(16,1,85,1)/100)))*MIN(1,acc/100)),0)</f>
        <v/>
      </c>
      <c r="N554" s="4">
        <f>IFERROR(LET(mtype,XLOOKUP($D554,'Move Editor'!$B:$B,'Move Editor'!$C:$C,""),cat,XLOOKUP($D554,'Move Editor'!$B:$B,'Move Editor'!$D:$D,""),pow,XLOOKUP($D554,'Move Editor'!$B:$B,'Move Editor'!$E:$E,0),acc,XLOOKUP($D554,'Move Editor'!$B:$B,'Move Editor'!$F:$F,100),atk,IF(cat="Physical",FLOOR((FLOOR(((2*XLOOKUP(XLOOKUP($Q554,'Threshold Summary'!$Y:$Y,'Threshold Summary'!$K:$K,""),'Pokemon Editor'!$A:$A,'Pokemon Editor'!$F:$F,0)+31+FLOOR(XLOOKUP($Q554,'Threshold Summary'!$Y:$Y,'Threshold Summary'!$P:$P,"")/4))*XLOOKUP($Q554,'Threshold Summary'!$Y:$Y,'Threshold Summary'!$L:$L,""))/100)+5)*XLOOKUP(XLOOKUP($Q554,'Threshold Summary'!$Y:$Y,'Threshold Summary'!$M:$M,""),'Nature Editor'!$A:$A,'Nature Editor'!$B:$B,1)),FLOOR((FLOOR(((2*XLOOKUP(XLOOKUP($Q554,'Threshold Summary'!$Y:$Y,'Threshold Summary'!$K:$K,""),'Pokemon Editor'!$A:$A,'Pokemon Editor'!$H:$H,0)+31+FLOOR(XLOOKUP($Q554,'Threshold Summary'!$Y:$Y,'Threshold Summary'!$R:$R,"")/4))*XLOOKUP($Q554,'Threshold Summary'!$Y:$Y,'Threshold Summary'!$L:$L,""))/100)+5)*XLOOKUP(XLOOKUP($Q554,'Threshold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Editor'!$E:$E,1))),stab,IF(OR(mtype=XLOOKUP(XLOOKUP($Q554,'Threshold Summary'!$Y:$Y,'Threshold Summary'!$K:$K,""),'Pokemon Editor'!$A:$A,'Pokemon Editor'!$C:$C,""),mtype=XLOOKUP(XLOOKUP($Q554,'Threshold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Chart'!$B$1:$S$1,0)))),base,IF(OR(cat="Status",pow=0),0,FLOOR(FLOOR(FLOOR((2*XLOOKUP($Q554,'Threshold Summary'!$Y:$Y,'Threshold Summary'!$L:$L,"")/5+2)*pow*atk/def)/50)+2)),modifier,stab*eff,AVERAGE(ARRAYFORMULA(FLOOR(base*modifier*SEQUENCE(16,1,85,1)/100)))/(FLOOR(((2*XLOOKUP('Boss Editor'!$C$4,'Pokemon Editor'!$A:$A,'Pokemon Editor'!$E:$E,0)+31+FLOOR('Boss Editor'!$G$4/4))*'Boss Editor'!$D$4)/100)+'Boss Editor'!$D$4+10)),0)</f>
        <v/>
      </c>
      <c r="O554" s="3">
        <f>IF(N554&gt;=1,"OHKO",IF(N554&gt;=0.5,"2HKO",IF(N554&gt;=0.333,"3HKO",IF(N554&gt;=0.25,"4HKO","5HKO+"))))</f>
        <v/>
      </c>
      <c r="P554" s="3" t="inlineStr">
        <is>
          <t>Live from editable databases</t>
        </is>
      </c>
      <c r="Q554" s="3" t="inlineStr">
        <is>
          <t>SPECIES_DUCKLETT</t>
        </is>
      </c>
      <c r="R554" s="3" t="n">
        <v>9</v>
      </c>
    </row>
    <row r="555">
      <c r="A555" s="3">
        <f>XLOOKUP($Q555,'Threshold Summary'!$Y:$Y,'Threshold Summary'!$A:$A,"")</f>
        <v/>
      </c>
      <c r="B555" s="3">
        <f>XLOOKUP($Q555,'Threshold Summary'!$Y:$Y,'Threshold Summary'!$M:$M,"")</f>
        <v/>
      </c>
      <c r="C555" s="3">
        <f>XLOOKUP($Q555,'Threshold Summary'!$Y:$Y,'Threshold Summary'!$N:$N,"")</f>
        <v/>
      </c>
      <c r="D555" s="3">
        <f>IFERROR(INDEX(FILTER('Learnset Editor'!$D$2:$D,'Learnset Editor'!$A$2:$A=XLOOKUP($Q555,'Threshold Summary'!$Y:$Y,'Threshold Summary'!$K:$K,""),'Learnset Editor'!$C$2:$C&lt;=XLOOKUP($Q555,'Threshold Summary'!$Y:$Y,'Threshold Summary'!$L:$L,"")),$R555),"")</f>
        <v/>
      </c>
      <c r="E555" s="3">
        <f>XLOOKUP(D555,'Move Editor'!$B:$B,'Move Editor'!$C:$C,"")</f>
        <v/>
      </c>
      <c r="F555" s="3">
        <f>XLOOKUP(D555,'Move Editor'!$B:$B,'Move Editor'!$D:$D,"")</f>
        <v/>
      </c>
      <c r="G555" s="3">
        <f>XLOOKUP(D555,'Move Editor'!$B:$B,'Move Editor'!$E:$E,0)</f>
        <v/>
      </c>
      <c r="H555" s="3">
        <f>XLOOKUP(D555,'Move Editor'!$B:$B,'Move Editor'!$F:$F,0)</f>
        <v/>
      </c>
      <c r="I555" s="3">
        <f>(INDEX('Type Chart'!$B:$S,MATCH(E555,'Type Chart'!$A:$A,0),MATCH(XLOOKUP('Boss Editor'!$C$4,'Pokemon Editor'!$A:$A,'Pokemon Editor'!$C:$C,""),'Type Chart'!$B$1:$S$1,0))*IF(XLOOKUP('Boss Editor'!$C$4,'Pokemon Editor'!$A:$A,'Pokemon Editor'!$D:$D,"")="",1,INDEX('Type Chart'!$B:$S,MATCH(E555,'Type Chart'!$A:$A,0),MATCH(XLOOKUP('Boss Editor'!$C$4,'Pokemon Editor'!$A:$A,'Pokemon Editor'!$D:$D,""),'Type Chart'!$B$1:$S$1,0))))</f>
        <v/>
      </c>
      <c r="J555" s="3">
        <f>IFERROR(LET(mtype,XLOOKUP($D555,'Move Editor'!$B:$B,'Move Editor'!$C:$C,""),cat,XLOOKUP($D555,'Move Editor'!$B:$B,'Move Editor'!$D:$D,""),pow,XLOOKUP($D555,'Move Editor'!$B:$B,'Move Editor'!$E:$E,0),acc,XLOOKUP($D555,'Move Editor'!$B:$B,'Move Editor'!$F:$F,100),atk,IF(cat="Physical",FLOOR((FLOOR(((2*XLOOKUP(XLOOKUP($Q555,'Threshold Summary'!$Y:$Y,'Threshold Summary'!$K:$K,""),'Pokemon Editor'!$A:$A,'Pokemon Editor'!$F:$F,0)+31+FLOOR(XLOOKUP($Q555,'Threshold Summary'!$Y:$Y,'Threshold Summary'!$P:$P,"")/4))*XLOOKUP($Q555,'Threshold Summary'!$Y:$Y,'Threshold Summary'!$L:$L,""))/100)+5)*XLOOKUP(XLOOKUP($Q555,'Threshold Summary'!$Y:$Y,'Threshold Summary'!$M:$M,""),'Nature Editor'!$A:$A,'Nature Editor'!$B:$B,1)),FLOOR((FLOOR(((2*XLOOKUP(XLOOKUP($Q555,'Threshold Summary'!$Y:$Y,'Threshold Summary'!$K:$K,""),'Pokemon Editor'!$A:$A,'Pokemon Editor'!$H:$H,0)+31+FLOOR(XLOOKUP($Q555,'Threshold Summary'!$Y:$Y,'Threshold Summary'!$R:$R,"")/4))*XLOOKUP($Q555,'Threshold Summary'!$Y:$Y,'Threshold Summary'!$L:$L,""))/100)+5)*XLOOKUP(XLOOKUP($Q555,'Threshold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Editor'!$E:$E,1))),stab,IF(OR(mtype=XLOOKUP(XLOOKUP($Q555,'Threshold Summary'!$Y:$Y,'Threshold Summary'!$K:$K,""),'Pokemon Editor'!$A:$A,'Pokemon Editor'!$C:$C,""),mtype=XLOOKUP(XLOOKUP($Q555,'Threshold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Chart'!$B$1:$S$1,0)))),base,IF(OR(cat="Status",pow=0),0,FLOOR(FLOOR(FLOOR((2*XLOOKUP($Q555,'Threshold Summary'!$Y:$Y,'Threshold Summary'!$L:$L,"")/5+2)*pow*atk/def)/50)+2)),modifier,stab*eff,FLOOR(base*modifier*0.85)),0)</f>
        <v/>
      </c>
      <c r="K555" s="3">
        <f>IFERROR(LET(mtype,XLOOKUP($D555,'Move Editor'!$B:$B,'Move Editor'!$C:$C,""),cat,XLOOKUP($D555,'Move Editor'!$B:$B,'Move Editor'!$D:$D,""),pow,XLOOKUP($D555,'Move Editor'!$B:$B,'Move Editor'!$E:$E,0),acc,XLOOKUP($D555,'Move Editor'!$B:$B,'Move Editor'!$F:$F,100),atk,IF(cat="Physical",FLOOR((FLOOR(((2*XLOOKUP(XLOOKUP($Q555,'Threshold Summary'!$Y:$Y,'Threshold Summary'!$K:$K,""),'Pokemon Editor'!$A:$A,'Pokemon Editor'!$F:$F,0)+31+FLOOR(XLOOKUP($Q555,'Threshold Summary'!$Y:$Y,'Threshold Summary'!$P:$P,"")/4))*XLOOKUP($Q555,'Threshold Summary'!$Y:$Y,'Threshold Summary'!$L:$L,""))/100)+5)*XLOOKUP(XLOOKUP($Q555,'Threshold Summary'!$Y:$Y,'Threshold Summary'!$M:$M,""),'Nature Editor'!$A:$A,'Nature Editor'!$B:$B,1)),FLOOR((FLOOR(((2*XLOOKUP(XLOOKUP($Q555,'Threshold Summary'!$Y:$Y,'Threshold Summary'!$K:$K,""),'Pokemon Editor'!$A:$A,'Pokemon Editor'!$H:$H,0)+31+FLOOR(XLOOKUP($Q555,'Threshold Summary'!$Y:$Y,'Threshold Summary'!$R:$R,"")/4))*XLOOKUP($Q555,'Threshold Summary'!$Y:$Y,'Threshold Summary'!$L:$L,""))/100)+5)*XLOOKUP(XLOOKUP($Q555,'Threshold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Editor'!$E:$E,1))),stab,IF(OR(mtype=XLOOKUP(XLOOKUP($Q555,'Threshold Summary'!$Y:$Y,'Threshold Summary'!$K:$K,""),'Pokemon Editor'!$A:$A,'Pokemon Editor'!$C:$C,""),mtype=XLOOKUP(XLOOKUP($Q555,'Threshold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Chart'!$B$1:$S$1,0)))),base,IF(OR(cat="Status",pow=0),0,FLOOR(FLOOR(FLOOR((2*XLOOKUP($Q555,'Threshold Summary'!$Y:$Y,'Threshold Summary'!$L:$L,"")/5+2)*pow*atk/def)/50)+2)),modifier,stab*eff,FLOOR(base*modifier)),0)</f>
        <v/>
      </c>
      <c r="L555" s="3">
        <f>IFERROR(LET(mtype,XLOOKUP($D555,'Move Editor'!$B:$B,'Move Editor'!$C:$C,""),cat,XLOOKUP($D555,'Move Editor'!$B:$B,'Move Editor'!$D:$D,""),pow,XLOOKUP($D555,'Move Editor'!$B:$B,'Move Editor'!$E:$E,0),acc,XLOOKUP($D555,'Move Editor'!$B:$B,'Move Editor'!$F:$F,100),atk,IF(cat="Physical",FLOOR((FLOOR(((2*XLOOKUP(XLOOKUP($Q555,'Threshold Summary'!$Y:$Y,'Threshold Summary'!$K:$K,""),'Pokemon Editor'!$A:$A,'Pokemon Editor'!$F:$F,0)+31+FLOOR(XLOOKUP($Q555,'Threshold Summary'!$Y:$Y,'Threshold Summary'!$P:$P,"")/4))*XLOOKUP($Q555,'Threshold Summary'!$Y:$Y,'Threshold Summary'!$L:$L,""))/100)+5)*XLOOKUP(XLOOKUP($Q555,'Threshold Summary'!$Y:$Y,'Threshold Summary'!$M:$M,""),'Nature Editor'!$A:$A,'Nature Editor'!$B:$B,1)),FLOOR((FLOOR(((2*XLOOKUP(XLOOKUP($Q555,'Threshold Summary'!$Y:$Y,'Threshold Summary'!$K:$K,""),'Pokemon Editor'!$A:$A,'Pokemon Editor'!$H:$H,0)+31+FLOOR(XLOOKUP($Q555,'Threshold Summary'!$Y:$Y,'Threshold Summary'!$R:$R,"")/4))*XLOOKUP($Q555,'Threshold Summary'!$Y:$Y,'Threshold Summary'!$L:$L,""))/100)+5)*XLOOKUP(XLOOKUP($Q555,'Threshold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Editor'!$E:$E,1))),stab,IF(OR(mtype=XLOOKUP(XLOOKUP($Q555,'Threshold Summary'!$Y:$Y,'Threshold Summary'!$K:$K,""),'Pokemon Editor'!$A:$A,'Pokemon Editor'!$C:$C,""),mtype=XLOOKUP(XLOOKUP($Q555,'Threshold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Chart'!$B$1:$S$1,0)))),base,IF(OR(cat="Status",pow=0),0,FLOOR(FLOOR(FLOOR((2*XLOOKUP($Q555,'Threshold Summary'!$Y:$Y,'Threshold Summary'!$L:$L,"")/5+2)*pow*atk/def)/50)+2)),modifier,stab*eff,AVERAGE(ARRAYFORMULA(FLOOR(base*modifier*SEQUENCE(16,1,85,1)/100)))),0)</f>
        <v/>
      </c>
      <c r="M555" s="3">
        <f>IFERROR(LET(mtype,XLOOKUP($D555,'Move Editor'!$B:$B,'Move Editor'!$C:$C,""),cat,XLOOKUP($D555,'Move Editor'!$B:$B,'Move Editor'!$D:$D,""),pow,XLOOKUP($D555,'Move Editor'!$B:$B,'Move Editor'!$E:$E,0),acc,XLOOKUP($D555,'Move Editor'!$B:$B,'Move Editor'!$F:$F,100),atk,IF(cat="Physical",FLOOR((FLOOR(((2*XLOOKUP(XLOOKUP($Q555,'Threshold Summary'!$Y:$Y,'Threshold Summary'!$K:$K,""),'Pokemon Editor'!$A:$A,'Pokemon Editor'!$F:$F,0)+31+FLOOR(XLOOKUP($Q555,'Threshold Summary'!$Y:$Y,'Threshold Summary'!$P:$P,"")/4))*XLOOKUP($Q555,'Threshold Summary'!$Y:$Y,'Threshold Summary'!$L:$L,""))/100)+5)*XLOOKUP(XLOOKUP($Q555,'Threshold Summary'!$Y:$Y,'Threshold Summary'!$M:$M,""),'Nature Editor'!$A:$A,'Nature Editor'!$B:$B,1)),FLOOR((FLOOR(((2*XLOOKUP(XLOOKUP($Q555,'Threshold Summary'!$Y:$Y,'Threshold Summary'!$K:$K,""),'Pokemon Editor'!$A:$A,'Pokemon Editor'!$H:$H,0)+31+FLOOR(XLOOKUP($Q555,'Threshold Summary'!$Y:$Y,'Threshold Summary'!$R:$R,"")/4))*XLOOKUP($Q555,'Threshold Summary'!$Y:$Y,'Threshold Summary'!$L:$L,""))/100)+5)*XLOOKUP(XLOOKUP($Q555,'Threshold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Editor'!$E:$E,1))),stab,IF(OR(mtype=XLOOKUP(XLOOKUP($Q555,'Threshold Summary'!$Y:$Y,'Threshold Summary'!$K:$K,""),'Pokemon Editor'!$A:$A,'Pokemon Editor'!$C:$C,""),mtype=XLOOKUP(XLOOKUP($Q555,'Threshold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Chart'!$B$1:$S$1,0)))),base,IF(OR(cat="Status",pow=0),0,FLOOR(FLOOR(FLOOR((2*XLOOKUP($Q555,'Threshold Summary'!$Y:$Y,'Threshold Summary'!$L:$L,"")/5+2)*pow*atk/def)/50)+2)),modifier,stab*eff,AVERAGE(ARRAYFORMULA(FLOOR(base*modifier*SEQUENCE(16,1,85,1)/100)))*MIN(1,acc/100)),0)</f>
        <v/>
      </c>
      <c r="N555" s="4">
        <f>IFERROR(LET(mtype,XLOOKUP($D555,'Move Editor'!$B:$B,'Move Editor'!$C:$C,""),cat,XLOOKUP($D555,'Move Editor'!$B:$B,'Move Editor'!$D:$D,""),pow,XLOOKUP($D555,'Move Editor'!$B:$B,'Move Editor'!$E:$E,0),acc,XLOOKUP($D555,'Move Editor'!$B:$B,'Move Editor'!$F:$F,100),atk,IF(cat="Physical",FLOOR((FLOOR(((2*XLOOKUP(XLOOKUP($Q555,'Threshold Summary'!$Y:$Y,'Threshold Summary'!$K:$K,""),'Pokemon Editor'!$A:$A,'Pokemon Editor'!$F:$F,0)+31+FLOOR(XLOOKUP($Q555,'Threshold Summary'!$Y:$Y,'Threshold Summary'!$P:$P,"")/4))*XLOOKUP($Q555,'Threshold Summary'!$Y:$Y,'Threshold Summary'!$L:$L,""))/100)+5)*XLOOKUP(XLOOKUP($Q555,'Threshold Summary'!$Y:$Y,'Threshold Summary'!$M:$M,""),'Nature Editor'!$A:$A,'Nature Editor'!$B:$B,1)),FLOOR((FLOOR(((2*XLOOKUP(XLOOKUP($Q555,'Threshold Summary'!$Y:$Y,'Threshold Summary'!$K:$K,""),'Pokemon Editor'!$A:$A,'Pokemon Editor'!$H:$H,0)+31+FLOOR(XLOOKUP($Q555,'Threshold Summary'!$Y:$Y,'Threshold Summary'!$R:$R,"")/4))*XLOOKUP($Q555,'Threshold Summary'!$Y:$Y,'Threshold Summary'!$L:$L,""))/100)+5)*XLOOKUP(XLOOKUP($Q555,'Threshold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Editor'!$E:$E,1))),stab,IF(OR(mtype=XLOOKUP(XLOOKUP($Q555,'Threshold Summary'!$Y:$Y,'Threshold Summary'!$K:$K,""),'Pokemon Editor'!$A:$A,'Pokemon Editor'!$C:$C,""),mtype=XLOOKUP(XLOOKUP($Q555,'Threshold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Chart'!$B$1:$S$1,0)))),base,IF(OR(cat="Status",pow=0),0,FLOOR(FLOOR(FLOOR((2*XLOOKUP($Q555,'Threshold Summary'!$Y:$Y,'Threshold Summary'!$L:$L,"")/5+2)*pow*atk/def)/50)+2)),modifier,stab*eff,AVERAGE(ARRAYFORMULA(FLOOR(base*modifier*SEQUENCE(16,1,85,1)/100)))/(FLOOR(((2*XLOOKUP('Boss Editor'!$C$4,'Pokemon Editor'!$A:$A,'Pokemon Editor'!$E:$E,0)+31+FLOOR('Boss Editor'!$G$4/4))*'Boss Editor'!$D$4)/100)+'Boss Editor'!$D$4+10)),0)</f>
        <v/>
      </c>
      <c r="O555" s="3">
        <f>IF(N555&gt;=1,"OHKO",IF(N555&gt;=0.5,"2HKO",IF(N555&gt;=0.333,"3HKO",IF(N555&gt;=0.25,"4HKO","5HKO+"))))</f>
        <v/>
      </c>
      <c r="P555" s="3" t="inlineStr">
        <is>
          <t>Live from editable databases</t>
        </is>
      </c>
      <c r="Q555" s="3" t="inlineStr">
        <is>
          <t>SPECIES_DUCKLETT</t>
        </is>
      </c>
      <c r="R555" s="3" t="n">
        <v>10</v>
      </c>
    </row>
    <row r="556">
      <c r="A556" s="3">
        <f>XLOOKUP($Q556,'Threshold Summary'!$Y:$Y,'Threshold Summary'!$A:$A,"")</f>
        <v/>
      </c>
      <c r="B556" s="3">
        <f>XLOOKUP($Q556,'Threshold Summary'!$Y:$Y,'Threshold Summary'!$M:$M,"")</f>
        <v/>
      </c>
      <c r="C556" s="3">
        <f>XLOOKUP($Q556,'Threshold Summary'!$Y:$Y,'Threshold Summary'!$N:$N,"")</f>
        <v/>
      </c>
      <c r="D556" s="3">
        <f>IFERROR(INDEX(FILTER('Learnset Editor'!$D$2:$D,'Learnset Editor'!$A$2:$A=XLOOKUP($Q556,'Threshold Summary'!$Y:$Y,'Threshold Summary'!$K:$K,""),'Learnset Editor'!$C$2:$C&lt;=XLOOKUP($Q556,'Threshold Summary'!$Y:$Y,'Threshold Summary'!$L:$L,"")),$R556),"")</f>
        <v/>
      </c>
      <c r="E556" s="3">
        <f>XLOOKUP(D556,'Move Editor'!$B:$B,'Move Editor'!$C:$C,"")</f>
        <v/>
      </c>
      <c r="F556" s="3">
        <f>XLOOKUP(D556,'Move Editor'!$B:$B,'Move Editor'!$D:$D,"")</f>
        <v/>
      </c>
      <c r="G556" s="3">
        <f>XLOOKUP(D556,'Move Editor'!$B:$B,'Move Editor'!$E:$E,0)</f>
        <v/>
      </c>
      <c r="H556" s="3">
        <f>XLOOKUP(D556,'Move Editor'!$B:$B,'Move Editor'!$F:$F,0)</f>
        <v/>
      </c>
      <c r="I556" s="3">
        <f>(INDEX('Type Chart'!$B:$S,MATCH(E556,'Type Chart'!$A:$A,0),MATCH(XLOOKUP('Boss Editor'!$C$4,'Pokemon Editor'!$A:$A,'Pokemon Editor'!$C:$C,""),'Type Chart'!$B$1:$S$1,0))*IF(XLOOKUP('Boss Editor'!$C$4,'Pokemon Editor'!$A:$A,'Pokemon Editor'!$D:$D,"")="",1,INDEX('Type Chart'!$B:$S,MATCH(E556,'Type Chart'!$A:$A,0),MATCH(XLOOKUP('Boss Editor'!$C$4,'Pokemon Editor'!$A:$A,'Pokemon Editor'!$D:$D,""),'Type Chart'!$B$1:$S$1,0))))</f>
        <v/>
      </c>
      <c r="J556" s="3">
        <f>IFERROR(LET(mtype,XLOOKUP($D556,'Move Editor'!$B:$B,'Move Editor'!$C:$C,""),cat,XLOOKUP($D556,'Move Editor'!$B:$B,'Move Editor'!$D:$D,""),pow,XLOOKUP($D556,'Move Editor'!$B:$B,'Move Editor'!$E:$E,0),acc,XLOOKUP($D556,'Move Editor'!$B:$B,'Move Editor'!$F:$F,100),atk,IF(cat="Physical",FLOOR((FLOOR(((2*XLOOKUP(XLOOKUP($Q556,'Threshold Summary'!$Y:$Y,'Threshold Summary'!$K:$K,""),'Pokemon Editor'!$A:$A,'Pokemon Editor'!$F:$F,0)+31+FLOOR(XLOOKUP($Q556,'Threshold Summary'!$Y:$Y,'Threshold Summary'!$P:$P,"")/4))*XLOOKUP($Q556,'Threshold Summary'!$Y:$Y,'Threshold Summary'!$L:$L,""))/100)+5)*XLOOKUP(XLOOKUP($Q556,'Threshold Summary'!$Y:$Y,'Threshold Summary'!$M:$M,""),'Nature Editor'!$A:$A,'Nature Editor'!$B:$B,1)),FLOOR((FLOOR(((2*XLOOKUP(XLOOKUP($Q556,'Threshold Summary'!$Y:$Y,'Threshold Summary'!$K:$K,""),'Pokemon Editor'!$A:$A,'Pokemon Editor'!$H:$H,0)+31+FLOOR(XLOOKUP($Q556,'Threshold Summary'!$Y:$Y,'Threshold Summary'!$R:$R,"")/4))*XLOOKUP($Q556,'Threshold Summary'!$Y:$Y,'Threshold Summary'!$L:$L,""))/100)+5)*XLOOKUP(XLOOKUP($Q556,'Threshold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Editor'!$E:$E,1))),stab,IF(OR(mtype=XLOOKUP(XLOOKUP($Q556,'Threshold Summary'!$Y:$Y,'Threshold Summary'!$K:$K,""),'Pokemon Editor'!$A:$A,'Pokemon Editor'!$C:$C,""),mtype=XLOOKUP(XLOOKUP($Q556,'Threshold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Chart'!$B$1:$S$1,0)))),base,IF(OR(cat="Status",pow=0),0,FLOOR(FLOOR(FLOOR((2*XLOOKUP($Q556,'Threshold Summary'!$Y:$Y,'Threshold Summary'!$L:$L,"")/5+2)*pow*atk/def)/50)+2)),modifier,stab*eff,FLOOR(base*modifier*0.85)),0)</f>
        <v/>
      </c>
      <c r="K556" s="3">
        <f>IFERROR(LET(mtype,XLOOKUP($D556,'Move Editor'!$B:$B,'Move Editor'!$C:$C,""),cat,XLOOKUP($D556,'Move Editor'!$B:$B,'Move Editor'!$D:$D,""),pow,XLOOKUP($D556,'Move Editor'!$B:$B,'Move Editor'!$E:$E,0),acc,XLOOKUP($D556,'Move Editor'!$B:$B,'Move Editor'!$F:$F,100),atk,IF(cat="Physical",FLOOR((FLOOR(((2*XLOOKUP(XLOOKUP($Q556,'Threshold Summary'!$Y:$Y,'Threshold Summary'!$K:$K,""),'Pokemon Editor'!$A:$A,'Pokemon Editor'!$F:$F,0)+31+FLOOR(XLOOKUP($Q556,'Threshold Summary'!$Y:$Y,'Threshold Summary'!$P:$P,"")/4))*XLOOKUP($Q556,'Threshold Summary'!$Y:$Y,'Threshold Summary'!$L:$L,""))/100)+5)*XLOOKUP(XLOOKUP($Q556,'Threshold Summary'!$Y:$Y,'Threshold Summary'!$M:$M,""),'Nature Editor'!$A:$A,'Nature Editor'!$B:$B,1)),FLOOR((FLOOR(((2*XLOOKUP(XLOOKUP($Q556,'Threshold Summary'!$Y:$Y,'Threshold Summary'!$K:$K,""),'Pokemon Editor'!$A:$A,'Pokemon Editor'!$H:$H,0)+31+FLOOR(XLOOKUP($Q556,'Threshold Summary'!$Y:$Y,'Threshold Summary'!$R:$R,"")/4))*XLOOKUP($Q556,'Threshold Summary'!$Y:$Y,'Threshold Summary'!$L:$L,""))/100)+5)*XLOOKUP(XLOOKUP($Q556,'Threshold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Editor'!$E:$E,1))),stab,IF(OR(mtype=XLOOKUP(XLOOKUP($Q556,'Threshold Summary'!$Y:$Y,'Threshold Summary'!$K:$K,""),'Pokemon Editor'!$A:$A,'Pokemon Editor'!$C:$C,""),mtype=XLOOKUP(XLOOKUP($Q556,'Threshold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Chart'!$B$1:$S$1,0)))),base,IF(OR(cat="Status",pow=0),0,FLOOR(FLOOR(FLOOR((2*XLOOKUP($Q556,'Threshold Summary'!$Y:$Y,'Threshold Summary'!$L:$L,"")/5+2)*pow*atk/def)/50)+2)),modifier,stab*eff,FLOOR(base*modifier)),0)</f>
        <v/>
      </c>
      <c r="L556" s="3">
        <f>IFERROR(LET(mtype,XLOOKUP($D556,'Move Editor'!$B:$B,'Move Editor'!$C:$C,""),cat,XLOOKUP($D556,'Move Editor'!$B:$B,'Move Editor'!$D:$D,""),pow,XLOOKUP($D556,'Move Editor'!$B:$B,'Move Editor'!$E:$E,0),acc,XLOOKUP($D556,'Move Editor'!$B:$B,'Move Editor'!$F:$F,100),atk,IF(cat="Physical",FLOOR((FLOOR(((2*XLOOKUP(XLOOKUP($Q556,'Threshold Summary'!$Y:$Y,'Threshold Summary'!$K:$K,""),'Pokemon Editor'!$A:$A,'Pokemon Editor'!$F:$F,0)+31+FLOOR(XLOOKUP($Q556,'Threshold Summary'!$Y:$Y,'Threshold Summary'!$P:$P,"")/4))*XLOOKUP($Q556,'Threshold Summary'!$Y:$Y,'Threshold Summary'!$L:$L,""))/100)+5)*XLOOKUP(XLOOKUP($Q556,'Threshold Summary'!$Y:$Y,'Threshold Summary'!$M:$M,""),'Nature Editor'!$A:$A,'Nature Editor'!$B:$B,1)),FLOOR((FLOOR(((2*XLOOKUP(XLOOKUP($Q556,'Threshold Summary'!$Y:$Y,'Threshold Summary'!$K:$K,""),'Pokemon Editor'!$A:$A,'Pokemon Editor'!$H:$H,0)+31+FLOOR(XLOOKUP($Q556,'Threshold Summary'!$Y:$Y,'Threshold Summary'!$R:$R,"")/4))*XLOOKUP($Q556,'Threshold Summary'!$Y:$Y,'Threshold Summary'!$L:$L,""))/100)+5)*XLOOKUP(XLOOKUP($Q556,'Threshold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Editor'!$E:$E,1))),stab,IF(OR(mtype=XLOOKUP(XLOOKUP($Q556,'Threshold Summary'!$Y:$Y,'Threshold Summary'!$K:$K,""),'Pokemon Editor'!$A:$A,'Pokemon Editor'!$C:$C,""),mtype=XLOOKUP(XLOOKUP($Q556,'Threshold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Chart'!$B$1:$S$1,0)))),base,IF(OR(cat="Status",pow=0),0,FLOOR(FLOOR(FLOOR((2*XLOOKUP($Q556,'Threshold Summary'!$Y:$Y,'Threshold Summary'!$L:$L,"")/5+2)*pow*atk/def)/50)+2)),modifier,stab*eff,AVERAGE(ARRAYFORMULA(FLOOR(base*modifier*SEQUENCE(16,1,85,1)/100)))),0)</f>
        <v/>
      </c>
      <c r="M556" s="3">
        <f>IFERROR(LET(mtype,XLOOKUP($D556,'Move Editor'!$B:$B,'Move Editor'!$C:$C,""),cat,XLOOKUP($D556,'Move Editor'!$B:$B,'Move Editor'!$D:$D,""),pow,XLOOKUP($D556,'Move Editor'!$B:$B,'Move Editor'!$E:$E,0),acc,XLOOKUP($D556,'Move Editor'!$B:$B,'Move Editor'!$F:$F,100),atk,IF(cat="Physical",FLOOR((FLOOR(((2*XLOOKUP(XLOOKUP($Q556,'Threshold Summary'!$Y:$Y,'Threshold Summary'!$K:$K,""),'Pokemon Editor'!$A:$A,'Pokemon Editor'!$F:$F,0)+31+FLOOR(XLOOKUP($Q556,'Threshold Summary'!$Y:$Y,'Threshold Summary'!$P:$P,"")/4))*XLOOKUP($Q556,'Threshold Summary'!$Y:$Y,'Threshold Summary'!$L:$L,""))/100)+5)*XLOOKUP(XLOOKUP($Q556,'Threshold Summary'!$Y:$Y,'Threshold Summary'!$M:$M,""),'Nature Editor'!$A:$A,'Nature Editor'!$B:$B,1)),FLOOR((FLOOR(((2*XLOOKUP(XLOOKUP($Q556,'Threshold Summary'!$Y:$Y,'Threshold Summary'!$K:$K,""),'Pokemon Editor'!$A:$A,'Pokemon Editor'!$H:$H,0)+31+FLOOR(XLOOKUP($Q556,'Threshold Summary'!$Y:$Y,'Threshold Summary'!$R:$R,"")/4))*XLOOKUP($Q556,'Threshold Summary'!$Y:$Y,'Threshold Summary'!$L:$L,""))/100)+5)*XLOOKUP(XLOOKUP($Q556,'Threshold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Editor'!$E:$E,1))),stab,IF(OR(mtype=XLOOKUP(XLOOKUP($Q556,'Threshold Summary'!$Y:$Y,'Threshold Summary'!$K:$K,""),'Pokemon Editor'!$A:$A,'Pokemon Editor'!$C:$C,""),mtype=XLOOKUP(XLOOKUP($Q556,'Threshold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Chart'!$B$1:$S$1,0)))),base,IF(OR(cat="Status",pow=0),0,FLOOR(FLOOR(FLOOR((2*XLOOKUP($Q556,'Threshold Summary'!$Y:$Y,'Threshold Summary'!$L:$L,"")/5+2)*pow*atk/def)/50)+2)),modifier,stab*eff,AVERAGE(ARRAYFORMULA(FLOOR(base*modifier*SEQUENCE(16,1,85,1)/100)))*MIN(1,acc/100)),0)</f>
        <v/>
      </c>
      <c r="N556" s="4">
        <f>IFERROR(LET(mtype,XLOOKUP($D556,'Move Editor'!$B:$B,'Move Editor'!$C:$C,""),cat,XLOOKUP($D556,'Move Editor'!$B:$B,'Move Editor'!$D:$D,""),pow,XLOOKUP($D556,'Move Editor'!$B:$B,'Move Editor'!$E:$E,0),acc,XLOOKUP($D556,'Move Editor'!$B:$B,'Move Editor'!$F:$F,100),atk,IF(cat="Physical",FLOOR((FLOOR(((2*XLOOKUP(XLOOKUP($Q556,'Threshold Summary'!$Y:$Y,'Threshold Summary'!$K:$K,""),'Pokemon Editor'!$A:$A,'Pokemon Editor'!$F:$F,0)+31+FLOOR(XLOOKUP($Q556,'Threshold Summary'!$Y:$Y,'Threshold Summary'!$P:$P,"")/4))*XLOOKUP($Q556,'Threshold Summary'!$Y:$Y,'Threshold Summary'!$L:$L,""))/100)+5)*XLOOKUP(XLOOKUP($Q556,'Threshold Summary'!$Y:$Y,'Threshold Summary'!$M:$M,""),'Nature Editor'!$A:$A,'Nature Editor'!$B:$B,1)),FLOOR((FLOOR(((2*XLOOKUP(XLOOKUP($Q556,'Threshold Summary'!$Y:$Y,'Threshold Summary'!$K:$K,""),'Pokemon Editor'!$A:$A,'Pokemon Editor'!$H:$H,0)+31+FLOOR(XLOOKUP($Q556,'Threshold Summary'!$Y:$Y,'Threshold Summary'!$R:$R,"")/4))*XLOOKUP($Q556,'Threshold Summary'!$Y:$Y,'Threshold Summary'!$L:$L,""))/100)+5)*XLOOKUP(XLOOKUP($Q556,'Threshold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Editor'!$E:$E,1))),stab,IF(OR(mtype=XLOOKUP(XLOOKUP($Q556,'Threshold Summary'!$Y:$Y,'Threshold Summary'!$K:$K,""),'Pokemon Editor'!$A:$A,'Pokemon Editor'!$C:$C,""),mtype=XLOOKUP(XLOOKUP($Q556,'Threshold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Chart'!$B$1:$S$1,0)))),base,IF(OR(cat="Status",pow=0),0,FLOOR(FLOOR(FLOOR((2*XLOOKUP($Q556,'Threshold Summary'!$Y:$Y,'Threshold Summary'!$L:$L,"")/5+2)*pow*atk/def)/50)+2)),modifier,stab*eff,AVERAGE(ARRAYFORMULA(FLOOR(base*modifier*SEQUENCE(16,1,85,1)/100)))/(FLOOR(((2*XLOOKUP('Boss Editor'!$C$4,'Pokemon Editor'!$A:$A,'Pokemon Editor'!$E:$E,0)+31+FLOOR('Boss Editor'!$G$4/4))*'Boss Editor'!$D$4)/100)+'Boss Editor'!$D$4+10)),0)</f>
        <v/>
      </c>
      <c r="O556" s="3">
        <f>IF(N556&gt;=1,"OHKO",IF(N556&gt;=0.5,"2HKO",IF(N556&gt;=0.333,"3HKO",IF(N556&gt;=0.25,"4HKO","5HKO+"))))</f>
        <v/>
      </c>
      <c r="P556" s="3" t="inlineStr">
        <is>
          <t>Live from editable databases</t>
        </is>
      </c>
      <c r="Q556" s="3" t="inlineStr">
        <is>
          <t>SPECIES_DUCKLETT</t>
        </is>
      </c>
      <c r="R556" s="3" t="n">
        <v>11</v>
      </c>
    </row>
    <row r="557">
      <c r="A557" s="3">
        <f>XLOOKUP($Q557,'Threshold Summary'!$Y:$Y,'Threshold Summary'!$A:$A,"")</f>
        <v/>
      </c>
      <c r="B557" s="3">
        <f>XLOOKUP($Q557,'Threshold Summary'!$Y:$Y,'Threshold Summary'!$M:$M,"")</f>
        <v/>
      </c>
      <c r="C557" s="3">
        <f>XLOOKUP($Q557,'Threshold Summary'!$Y:$Y,'Threshold Summary'!$N:$N,"")</f>
        <v/>
      </c>
      <c r="D557" s="3">
        <f>IFERROR(INDEX(FILTER('Learnset Editor'!$D$2:$D,'Learnset Editor'!$A$2:$A=XLOOKUP($Q557,'Threshold Summary'!$Y:$Y,'Threshold Summary'!$K:$K,""),'Learnset Editor'!$C$2:$C&lt;=XLOOKUP($Q557,'Threshold Summary'!$Y:$Y,'Threshold Summary'!$L:$L,"")),$R557),"")</f>
        <v/>
      </c>
      <c r="E557" s="3">
        <f>XLOOKUP(D557,'Move Editor'!$B:$B,'Move Editor'!$C:$C,"")</f>
        <v/>
      </c>
      <c r="F557" s="3">
        <f>XLOOKUP(D557,'Move Editor'!$B:$B,'Move Editor'!$D:$D,"")</f>
        <v/>
      </c>
      <c r="G557" s="3">
        <f>XLOOKUP(D557,'Move Editor'!$B:$B,'Move Editor'!$E:$E,0)</f>
        <v/>
      </c>
      <c r="H557" s="3">
        <f>XLOOKUP(D557,'Move Editor'!$B:$B,'Move Editor'!$F:$F,0)</f>
        <v/>
      </c>
      <c r="I557" s="3">
        <f>(INDEX('Type Chart'!$B:$S,MATCH(E557,'Type Chart'!$A:$A,0),MATCH(XLOOKUP('Boss Editor'!$C$4,'Pokemon Editor'!$A:$A,'Pokemon Editor'!$C:$C,""),'Type Chart'!$B$1:$S$1,0))*IF(XLOOKUP('Boss Editor'!$C$4,'Pokemon Editor'!$A:$A,'Pokemon Editor'!$D:$D,"")="",1,INDEX('Type Chart'!$B:$S,MATCH(E557,'Type Chart'!$A:$A,0),MATCH(XLOOKUP('Boss Editor'!$C$4,'Pokemon Editor'!$A:$A,'Pokemon Editor'!$D:$D,""),'Type Chart'!$B$1:$S$1,0))))</f>
        <v/>
      </c>
      <c r="J557" s="3">
        <f>IFERROR(LET(mtype,XLOOKUP($D557,'Move Editor'!$B:$B,'Move Editor'!$C:$C,""),cat,XLOOKUP($D557,'Move Editor'!$B:$B,'Move Editor'!$D:$D,""),pow,XLOOKUP($D557,'Move Editor'!$B:$B,'Move Editor'!$E:$E,0),acc,XLOOKUP($D557,'Move Editor'!$B:$B,'Move Editor'!$F:$F,100),atk,IF(cat="Physical",FLOOR((FLOOR(((2*XLOOKUP(XLOOKUP($Q557,'Threshold Summary'!$Y:$Y,'Threshold Summary'!$K:$K,""),'Pokemon Editor'!$A:$A,'Pokemon Editor'!$F:$F,0)+31+FLOOR(XLOOKUP($Q557,'Threshold Summary'!$Y:$Y,'Threshold Summary'!$P:$P,"")/4))*XLOOKUP($Q557,'Threshold Summary'!$Y:$Y,'Threshold Summary'!$L:$L,""))/100)+5)*XLOOKUP(XLOOKUP($Q557,'Threshold Summary'!$Y:$Y,'Threshold Summary'!$M:$M,""),'Nature Editor'!$A:$A,'Nature Editor'!$B:$B,1)),FLOOR((FLOOR(((2*XLOOKUP(XLOOKUP($Q557,'Threshold Summary'!$Y:$Y,'Threshold Summary'!$K:$K,""),'Pokemon Editor'!$A:$A,'Pokemon Editor'!$H:$H,0)+31+FLOOR(XLOOKUP($Q557,'Threshold Summary'!$Y:$Y,'Threshold Summary'!$R:$R,"")/4))*XLOOKUP($Q557,'Threshold Summary'!$Y:$Y,'Threshold Summary'!$L:$L,""))/100)+5)*XLOOKUP(XLOOKUP($Q557,'Threshold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Editor'!$E:$E,1))),stab,IF(OR(mtype=XLOOKUP(XLOOKUP($Q557,'Threshold Summary'!$Y:$Y,'Threshold Summary'!$K:$K,""),'Pokemon Editor'!$A:$A,'Pokemon Editor'!$C:$C,""),mtype=XLOOKUP(XLOOKUP($Q557,'Threshold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Chart'!$B$1:$S$1,0)))),base,IF(OR(cat="Status",pow=0),0,FLOOR(FLOOR(FLOOR((2*XLOOKUP($Q557,'Threshold Summary'!$Y:$Y,'Threshold Summary'!$L:$L,"")/5+2)*pow*atk/def)/50)+2)),modifier,stab*eff,FLOOR(base*modifier*0.85)),0)</f>
        <v/>
      </c>
      <c r="K557" s="3">
        <f>IFERROR(LET(mtype,XLOOKUP($D557,'Move Editor'!$B:$B,'Move Editor'!$C:$C,""),cat,XLOOKUP($D557,'Move Editor'!$B:$B,'Move Editor'!$D:$D,""),pow,XLOOKUP($D557,'Move Editor'!$B:$B,'Move Editor'!$E:$E,0),acc,XLOOKUP($D557,'Move Editor'!$B:$B,'Move Editor'!$F:$F,100),atk,IF(cat="Physical",FLOOR((FLOOR(((2*XLOOKUP(XLOOKUP($Q557,'Threshold Summary'!$Y:$Y,'Threshold Summary'!$K:$K,""),'Pokemon Editor'!$A:$A,'Pokemon Editor'!$F:$F,0)+31+FLOOR(XLOOKUP($Q557,'Threshold Summary'!$Y:$Y,'Threshold Summary'!$P:$P,"")/4))*XLOOKUP($Q557,'Threshold Summary'!$Y:$Y,'Threshold Summary'!$L:$L,""))/100)+5)*XLOOKUP(XLOOKUP($Q557,'Threshold Summary'!$Y:$Y,'Threshold Summary'!$M:$M,""),'Nature Editor'!$A:$A,'Nature Editor'!$B:$B,1)),FLOOR((FLOOR(((2*XLOOKUP(XLOOKUP($Q557,'Threshold Summary'!$Y:$Y,'Threshold Summary'!$K:$K,""),'Pokemon Editor'!$A:$A,'Pokemon Editor'!$H:$H,0)+31+FLOOR(XLOOKUP($Q557,'Threshold Summary'!$Y:$Y,'Threshold Summary'!$R:$R,"")/4))*XLOOKUP($Q557,'Threshold Summary'!$Y:$Y,'Threshold Summary'!$L:$L,""))/100)+5)*XLOOKUP(XLOOKUP($Q557,'Threshold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Editor'!$E:$E,1))),stab,IF(OR(mtype=XLOOKUP(XLOOKUP($Q557,'Threshold Summary'!$Y:$Y,'Threshold Summary'!$K:$K,""),'Pokemon Editor'!$A:$A,'Pokemon Editor'!$C:$C,""),mtype=XLOOKUP(XLOOKUP($Q557,'Threshold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Chart'!$B$1:$S$1,0)))),base,IF(OR(cat="Status",pow=0),0,FLOOR(FLOOR(FLOOR((2*XLOOKUP($Q557,'Threshold Summary'!$Y:$Y,'Threshold Summary'!$L:$L,"")/5+2)*pow*atk/def)/50)+2)),modifier,stab*eff,FLOOR(base*modifier)),0)</f>
        <v/>
      </c>
      <c r="L557" s="3">
        <f>IFERROR(LET(mtype,XLOOKUP($D557,'Move Editor'!$B:$B,'Move Editor'!$C:$C,""),cat,XLOOKUP($D557,'Move Editor'!$B:$B,'Move Editor'!$D:$D,""),pow,XLOOKUP($D557,'Move Editor'!$B:$B,'Move Editor'!$E:$E,0),acc,XLOOKUP($D557,'Move Editor'!$B:$B,'Move Editor'!$F:$F,100),atk,IF(cat="Physical",FLOOR((FLOOR(((2*XLOOKUP(XLOOKUP($Q557,'Threshold Summary'!$Y:$Y,'Threshold Summary'!$K:$K,""),'Pokemon Editor'!$A:$A,'Pokemon Editor'!$F:$F,0)+31+FLOOR(XLOOKUP($Q557,'Threshold Summary'!$Y:$Y,'Threshold Summary'!$P:$P,"")/4))*XLOOKUP($Q557,'Threshold Summary'!$Y:$Y,'Threshold Summary'!$L:$L,""))/100)+5)*XLOOKUP(XLOOKUP($Q557,'Threshold Summary'!$Y:$Y,'Threshold Summary'!$M:$M,""),'Nature Editor'!$A:$A,'Nature Editor'!$B:$B,1)),FLOOR((FLOOR(((2*XLOOKUP(XLOOKUP($Q557,'Threshold Summary'!$Y:$Y,'Threshold Summary'!$K:$K,""),'Pokemon Editor'!$A:$A,'Pokemon Editor'!$H:$H,0)+31+FLOOR(XLOOKUP($Q557,'Threshold Summary'!$Y:$Y,'Threshold Summary'!$R:$R,"")/4))*XLOOKUP($Q557,'Threshold Summary'!$Y:$Y,'Threshold Summary'!$L:$L,""))/100)+5)*XLOOKUP(XLOOKUP($Q557,'Threshold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Editor'!$E:$E,1))),stab,IF(OR(mtype=XLOOKUP(XLOOKUP($Q557,'Threshold Summary'!$Y:$Y,'Threshold Summary'!$K:$K,""),'Pokemon Editor'!$A:$A,'Pokemon Editor'!$C:$C,""),mtype=XLOOKUP(XLOOKUP($Q557,'Threshold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Chart'!$B$1:$S$1,0)))),base,IF(OR(cat="Status",pow=0),0,FLOOR(FLOOR(FLOOR((2*XLOOKUP($Q557,'Threshold Summary'!$Y:$Y,'Threshold Summary'!$L:$L,"")/5+2)*pow*atk/def)/50)+2)),modifier,stab*eff,AVERAGE(ARRAYFORMULA(FLOOR(base*modifier*SEQUENCE(16,1,85,1)/100)))),0)</f>
        <v/>
      </c>
      <c r="M557" s="3">
        <f>IFERROR(LET(mtype,XLOOKUP($D557,'Move Editor'!$B:$B,'Move Editor'!$C:$C,""),cat,XLOOKUP($D557,'Move Editor'!$B:$B,'Move Editor'!$D:$D,""),pow,XLOOKUP($D557,'Move Editor'!$B:$B,'Move Editor'!$E:$E,0),acc,XLOOKUP($D557,'Move Editor'!$B:$B,'Move Editor'!$F:$F,100),atk,IF(cat="Physical",FLOOR((FLOOR(((2*XLOOKUP(XLOOKUP($Q557,'Threshold Summary'!$Y:$Y,'Threshold Summary'!$K:$K,""),'Pokemon Editor'!$A:$A,'Pokemon Editor'!$F:$F,0)+31+FLOOR(XLOOKUP($Q557,'Threshold Summary'!$Y:$Y,'Threshold Summary'!$P:$P,"")/4))*XLOOKUP($Q557,'Threshold Summary'!$Y:$Y,'Threshold Summary'!$L:$L,""))/100)+5)*XLOOKUP(XLOOKUP($Q557,'Threshold Summary'!$Y:$Y,'Threshold Summary'!$M:$M,""),'Nature Editor'!$A:$A,'Nature Editor'!$B:$B,1)),FLOOR((FLOOR(((2*XLOOKUP(XLOOKUP($Q557,'Threshold Summary'!$Y:$Y,'Threshold Summary'!$K:$K,""),'Pokemon Editor'!$A:$A,'Pokemon Editor'!$H:$H,0)+31+FLOOR(XLOOKUP($Q557,'Threshold Summary'!$Y:$Y,'Threshold Summary'!$R:$R,"")/4))*XLOOKUP($Q557,'Threshold Summary'!$Y:$Y,'Threshold Summary'!$L:$L,""))/100)+5)*XLOOKUP(XLOOKUP($Q557,'Threshold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Editor'!$E:$E,1))),stab,IF(OR(mtype=XLOOKUP(XLOOKUP($Q557,'Threshold Summary'!$Y:$Y,'Threshold Summary'!$K:$K,""),'Pokemon Editor'!$A:$A,'Pokemon Editor'!$C:$C,""),mtype=XLOOKUP(XLOOKUP($Q557,'Threshold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Chart'!$B$1:$S$1,0)))),base,IF(OR(cat="Status",pow=0),0,FLOOR(FLOOR(FLOOR((2*XLOOKUP($Q557,'Threshold Summary'!$Y:$Y,'Threshold Summary'!$L:$L,"")/5+2)*pow*atk/def)/50)+2)),modifier,stab*eff,AVERAGE(ARRAYFORMULA(FLOOR(base*modifier*SEQUENCE(16,1,85,1)/100)))*MIN(1,acc/100)),0)</f>
        <v/>
      </c>
      <c r="N557" s="4">
        <f>IFERROR(LET(mtype,XLOOKUP($D557,'Move Editor'!$B:$B,'Move Editor'!$C:$C,""),cat,XLOOKUP($D557,'Move Editor'!$B:$B,'Move Editor'!$D:$D,""),pow,XLOOKUP($D557,'Move Editor'!$B:$B,'Move Editor'!$E:$E,0),acc,XLOOKUP($D557,'Move Editor'!$B:$B,'Move Editor'!$F:$F,100),atk,IF(cat="Physical",FLOOR((FLOOR(((2*XLOOKUP(XLOOKUP($Q557,'Threshold Summary'!$Y:$Y,'Threshold Summary'!$K:$K,""),'Pokemon Editor'!$A:$A,'Pokemon Editor'!$F:$F,0)+31+FLOOR(XLOOKUP($Q557,'Threshold Summary'!$Y:$Y,'Threshold Summary'!$P:$P,"")/4))*XLOOKUP($Q557,'Threshold Summary'!$Y:$Y,'Threshold Summary'!$L:$L,""))/100)+5)*XLOOKUP(XLOOKUP($Q557,'Threshold Summary'!$Y:$Y,'Threshold Summary'!$M:$M,""),'Nature Editor'!$A:$A,'Nature Editor'!$B:$B,1)),FLOOR((FLOOR(((2*XLOOKUP(XLOOKUP($Q557,'Threshold Summary'!$Y:$Y,'Threshold Summary'!$K:$K,""),'Pokemon Editor'!$A:$A,'Pokemon Editor'!$H:$H,0)+31+FLOOR(XLOOKUP($Q557,'Threshold Summary'!$Y:$Y,'Threshold Summary'!$R:$R,"")/4))*XLOOKUP($Q557,'Threshold Summary'!$Y:$Y,'Threshold Summary'!$L:$L,""))/100)+5)*XLOOKUP(XLOOKUP($Q557,'Threshold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Editor'!$E:$E,1))),stab,IF(OR(mtype=XLOOKUP(XLOOKUP($Q557,'Threshold Summary'!$Y:$Y,'Threshold Summary'!$K:$K,""),'Pokemon Editor'!$A:$A,'Pokemon Editor'!$C:$C,""),mtype=XLOOKUP(XLOOKUP($Q557,'Threshold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Chart'!$B$1:$S$1,0)))),base,IF(OR(cat="Status",pow=0),0,FLOOR(FLOOR(FLOOR((2*XLOOKUP($Q557,'Threshold Summary'!$Y:$Y,'Threshold Summary'!$L:$L,"")/5+2)*pow*atk/def)/50)+2)),modifier,stab*eff,AVERAGE(ARRAYFORMULA(FLOOR(base*modifier*SEQUENCE(16,1,85,1)/100)))/(FLOOR(((2*XLOOKUP('Boss Editor'!$C$4,'Pokemon Editor'!$A:$A,'Pokemon Editor'!$E:$E,0)+31+FLOOR('Boss Editor'!$G$4/4))*'Boss Editor'!$D$4)/100)+'Boss Editor'!$D$4+10)),0)</f>
        <v/>
      </c>
      <c r="O557" s="3">
        <f>IF(N557&gt;=1,"OHKO",IF(N557&gt;=0.5,"2HKO",IF(N557&gt;=0.333,"3HKO",IF(N557&gt;=0.25,"4HKO","5HKO+"))))</f>
        <v/>
      </c>
      <c r="P557" s="3" t="inlineStr">
        <is>
          <t>Live from editable databases</t>
        </is>
      </c>
      <c r="Q557" s="3" t="inlineStr">
        <is>
          <t>SPECIES_DUCKLETT</t>
        </is>
      </c>
      <c r="R557" s="3" t="n">
        <v>12</v>
      </c>
    </row>
    <row r="558">
      <c r="A558" s="3">
        <f>XLOOKUP($Q558,'Threshold Summary'!$Y:$Y,'Threshold Summary'!$A:$A,"")</f>
        <v/>
      </c>
      <c r="B558" s="3">
        <f>XLOOKUP($Q558,'Threshold Summary'!$Y:$Y,'Threshold Summary'!$M:$M,"")</f>
        <v/>
      </c>
      <c r="C558" s="3">
        <f>XLOOKUP($Q558,'Threshold Summary'!$Y:$Y,'Threshold Summary'!$N:$N,"")</f>
        <v/>
      </c>
      <c r="D558" s="3">
        <f>IFERROR(INDEX(FILTER('Learnset Editor'!$D$2:$D,'Learnset Editor'!$A$2:$A=XLOOKUP($Q558,'Threshold Summary'!$Y:$Y,'Threshold Summary'!$K:$K,""),'Learnset Editor'!$C$2:$C&lt;=XLOOKUP($Q558,'Threshold Summary'!$Y:$Y,'Threshold Summary'!$L:$L,"")),$R558),"")</f>
        <v/>
      </c>
      <c r="E558" s="3">
        <f>XLOOKUP(D558,'Move Editor'!$B:$B,'Move Editor'!$C:$C,"")</f>
        <v/>
      </c>
      <c r="F558" s="3">
        <f>XLOOKUP(D558,'Move Editor'!$B:$B,'Move Editor'!$D:$D,"")</f>
        <v/>
      </c>
      <c r="G558" s="3">
        <f>XLOOKUP(D558,'Move Editor'!$B:$B,'Move Editor'!$E:$E,0)</f>
        <v/>
      </c>
      <c r="H558" s="3">
        <f>XLOOKUP(D558,'Move Editor'!$B:$B,'Move Editor'!$F:$F,0)</f>
        <v/>
      </c>
      <c r="I558" s="3">
        <f>(INDEX('Type Chart'!$B:$S,MATCH(E558,'Type Chart'!$A:$A,0),MATCH(XLOOKUP('Boss Editor'!$C$4,'Pokemon Editor'!$A:$A,'Pokemon Editor'!$C:$C,""),'Type Chart'!$B$1:$S$1,0))*IF(XLOOKUP('Boss Editor'!$C$4,'Pokemon Editor'!$A:$A,'Pokemon Editor'!$D:$D,"")="",1,INDEX('Type Chart'!$B:$S,MATCH(E558,'Type Chart'!$A:$A,0),MATCH(XLOOKUP('Boss Editor'!$C$4,'Pokemon Editor'!$A:$A,'Pokemon Editor'!$D:$D,""),'Type Chart'!$B$1:$S$1,0))))</f>
        <v/>
      </c>
      <c r="J558" s="3">
        <f>IFERROR(LET(mtype,XLOOKUP($D558,'Move Editor'!$B:$B,'Move Editor'!$C:$C,""),cat,XLOOKUP($D558,'Move Editor'!$B:$B,'Move Editor'!$D:$D,""),pow,XLOOKUP($D558,'Move Editor'!$B:$B,'Move Editor'!$E:$E,0),acc,XLOOKUP($D558,'Move Editor'!$B:$B,'Move Editor'!$F:$F,100),atk,IF(cat="Physical",FLOOR((FLOOR(((2*XLOOKUP(XLOOKUP($Q558,'Threshold Summary'!$Y:$Y,'Threshold Summary'!$K:$K,""),'Pokemon Editor'!$A:$A,'Pokemon Editor'!$F:$F,0)+31+FLOOR(XLOOKUP($Q558,'Threshold Summary'!$Y:$Y,'Threshold Summary'!$P:$P,"")/4))*XLOOKUP($Q558,'Threshold Summary'!$Y:$Y,'Threshold Summary'!$L:$L,""))/100)+5)*XLOOKUP(XLOOKUP($Q558,'Threshold Summary'!$Y:$Y,'Threshold Summary'!$M:$M,""),'Nature Editor'!$A:$A,'Nature Editor'!$B:$B,1)),FLOOR((FLOOR(((2*XLOOKUP(XLOOKUP($Q558,'Threshold Summary'!$Y:$Y,'Threshold Summary'!$K:$K,""),'Pokemon Editor'!$A:$A,'Pokemon Editor'!$H:$H,0)+31+FLOOR(XLOOKUP($Q558,'Threshold Summary'!$Y:$Y,'Threshold Summary'!$R:$R,"")/4))*XLOOKUP($Q558,'Threshold Summary'!$Y:$Y,'Threshold Summary'!$L:$L,""))/100)+5)*XLOOKUP(XLOOKUP($Q558,'Threshold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Editor'!$E:$E,1))),stab,IF(OR(mtype=XLOOKUP(XLOOKUP($Q558,'Threshold Summary'!$Y:$Y,'Threshold Summary'!$K:$K,""),'Pokemon Editor'!$A:$A,'Pokemon Editor'!$C:$C,""),mtype=XLOOKUP(XLOOKUP($Q558,'Threshold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Chart'!$B$1:$S$1,0)))),base,IF(OR(cat="Status",pow=0),0,FLOOR(FLOOR(FLOOR((2*XLOOKUP($Q558,'Threshold Summary'!$Y:$Y,'Threshold Summary'!$L:$L,"")/5+2)*pow*atk/def)/50)+2)),modifier,stab*eff,FLOOR(base*modifier*0.85)),0)</f>
        <v/>
      </c>
      <c r="K558" s="3">
        <f>IFERROR(LET(mtype,XLOOKUP($D558,'Move Editor'!$B:$B,'Move Editor'!$C:$C,""),cat,XLOOKUP($D558,'Move Editor'!$B:$B,'Move Editor'!$D:$D,""),pow,XLOOKUP($D558,'Move Editor'!$B:$B,'Move Editor'!$E:$E,0),acc,XLOOKUP($D558,'Move Editor'!$B:$B,'Move Editor'!$F:$F,100),atk,IF(cat="Physical",FLOOR((FLOOR(((2*XLOOKUP(XLOOKUP($Q558,'Threshold Summary'!$Y:$Y,'Threshold Summary'!$K:$K,""),'Pokemon Editor'!$A:$A,'Pokemon Editor'!$F:$F,0)+31+FLOOR(XLOOKUP($Q558,'Threshold Summary'!$Y:$Y,'Threshold Summary'!$P:$P,"")/4))*XLOOKUP($Q558,'Threshold Summary'!$Y:$Y,'Threshold Summary'!$L:$L,""))/100)+5)*XLOOKUP(XLOOKUP($Q558,'Threshold Summary'!$Y:$Y,'Threshold Summary'!$M:$M,""),'Nature Editor'!$A:$A,'Nature Editor'!$B:$B,1)),FLOOR((FLOOR(((2*XLOOKUP(XLOOKUP($Q558,'Threshold Summary'!$Y:$Y,'Threshold Summary'!$K:$K,""),'Pokemon Editor'!$A:$A,'Pokemon Editor'!$H:$H,0)+31+FLOOR(XLOOKUP($Q558,'Threshold Summary'!$Y:$Y,'Threshold Summary'!$R:$R,"")/4))*XLOOKUP($Q558,'Threshold Summary'!$Y:$Y,'Threshold Summary'!$L:$L,""))/100)+5)*XLOOKUP(XLOOKUP($Q558,'Threshold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Editor'!$E:$E,1))),stab,IF(OR(mtype=XLOOKUP(XLOOKUP($Q558,'Threshold Summary'!$Y:$Y,'Threshold Summary'!$K:$K,""),'Pokemon Editor'!$A:$A,'Pokemon Editor'!$C:$C,""),mtype=XLOOKUP(XLOOKUP($Q558,'Threshold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Chart'!$B$1:$S$1,0)))),base,IF(OR(cat="Status",pow=0),0,FLOOR(FLOOR(FLOOR((2*XLOOKUP($Q558,'Threshold Summary'!$Y:$Y,'Threshold Summary'!$L:$L,"")/5+2)*pow*atk/def)/50)+2)),modifier,stab*eff,FLOOR(base*modifier)),0)</f>
        <v/>
      </c>
      <c r="L558" s="3">
        <f>IFERROR(LET(mtype,XLOOKUP($D558,'Move Editor'!$B:$B,'Move Editor'!$C:$C,""),cat,XLOOKUP($D558,'Move Editor'!$B:$B,'Move Editor'!$D:$D,""),pow,XLOOKUP($D558,'Move Editor'!$B:$B,'Move Editor'!$E:$E,0),acc,XLOOKUP($D558,'Move Editor'!$B:$B,'Move Editor'!$F:$F,100),atk,IF(cat="Physical",FLOOR((FLOOR(((2*XLOOKUP(XLOOKUP($Q558,'Threshold Summary'!$Y:$Y,'Threshold Summary'!$K:$K,""),'Pokemon Editor'!$A:$A,'Pokemon Editor'!$F:$F,0)+31+FLOOR(XLOOKUP($Q558,'Threshold Summary'!$Y:$Y,'Threshold Summary'!$P:$P,"")/4))*XLOOKUP($Q558,'Threshold Summary'!$Y:$Y,'Threshold Summary'!$L:$L,""))/100)+5)*XLOOKUP(XLOOKUP($Q558,'Threshold Summary'!$Y:$Y,'Threshold Summary'!$M:$M,""),'Nature Editor'!$A:$A,'Nature Editor'!$B:$B,1)),FLOOR((FLOOR(((2*XLOOKUP(XLOOKUP($Q558,'Threshold Summary'!$Y:$Y,'Threshold Summary'!$K:$K,""),'Pokemon Editor'!$A:$A,'Pokemon Editor'!$H:$H,0)+31+FLOOR(XLOOKUP($Q558,'Threshold Summary'!$Y:$Y,'Threshold Summary'!$R:$R,"")/4))*XLOOKUP($Q558,'Threshold Summary'!$Y:$Y,'Threshold Summary'!$L:$L,""))/100)+5)*XLOOKUP(XLOOKUP($Q558,'Threshold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Editor'!$E:$E,1))),stab,IF(OR(mtype=XLOOKUP(XLOOKUP($Q558,'Threshold Summary'!$Y:$Y,'Threshold Summary'!$K:$K,""),'Pokemon Editor'!$A:$A,'Pokemon Editor'!$C:$C,""),mtype=XLOOKUP(XLOOKUP($Q558,'Threshold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Chart'!$B$1:$S$1,0)))),base,IF(OR(cat="Status",pow=0),0,FLOOR(FLOOR(FLOOR((2*XLOOKUP($Q558,'Threshold Summary'!$Y:$Y,'Threshold Summary'!$L:$L,"")/5+2)*pow*atk/def)/50)+2)),modifier,stab*eff,AVERAGE(ARRAYFORMULA(FLOOR(base*modifier*SEQUENCE(16,1,85,1)/100)))),0)</f>
        <v/>
      </c>
      <c r="M558" s="3">
        <f>IFERROR(LET(mtype,XLOOKUP($D558,'Move Editor'!$B:$B,'Move Editor'!$C:$C,""),cat,XLOOKUP($D558,'Move Editor'!$B:$B,'Move Editor'!$D:$D,""),pow,XLOOKUP($D558,'Move Editor'!$B:$B,'Move Editor'!$E:$E,0),acc,XLOOKUP($D558,'Move Editor'!$B:$B,'Move Editor'!$F:$F,100),atk,IF(cat="Physical",FLOOR((FLOOR(((2*XLOOKUP(XLOOKUP($Q558,'Threshold Summary'!$Y:$Y,'Threshold Summary'!$K:$K,""),'Pokemon Editor'!$A:$A,'Pokemon Editor'!$F:$F,0)+31+FLOOR(XLOOKUP($Q558,'Threshold Summary'!$Y:$Y,'Threshold Summary'!$P:$P,"")/4))*XLOOKUP($Q558,'Threshold Summary'!$Y:$Y,'Threshold Summary'!$L:$L,""))/100)+5)*XLOOKUP(XLOOKUP($Q558,'Threshold Summary'!$Y:$Y,'Threshold Summary'!$M:$M,""),'Nature Editor'!$A:$A,'Nature Editor'!$B:$B,1)),FLOOR((FLOOR(((2*XLOOKUP(XLOOKUP($Q558,'Threshold Summary'!$Y:$Y,'Threshold Summary'!$K:$K,""),'Pokemon Editor'!$A:$A,'Pokemon Editor'!$H:$H,0)+31+FLOOR(XLOOKUP($Q558,'Threshold Summary'!$Y:$Y,'Threshold Summary'!$R:$R,"")/4))*XLOOKUP($Q558,'Threshold Summary'!$Y:$Y,'Threshold Summary'!$L:$L,""))/100)+5)*XLOOKUP(XLOOKUP($Q558,'Threshold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Editor'!$E:$E,1))),stab,IF(OR(mtype=XLOOKUP(XLOOKUP($Q558,'Threshold Summary'!$Y:$Y,'Threshold Summary'!$K:$K,""),'Pokemon Editor'!$A:$A,'Pokemon Editor'!$C:$C,""),mtype=XLOOKUP(XLOOKUP($Q558,'Threshold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Chart'!$B$1:$S$1,0)))),base,IF(OR(cat="Status",pow=0),0,FLOOR(FLOOR(FLOOR((2*XLOOKUP($Q558,'Threshold Summary'!$Y:$Y,'Threshold Summary'!$L:$L,"")/5+2)*pow*atk/def)/50)+2)),modifier,stab*eff,AVERAGE(ARRAYFORMULA(FLOOR(base*modifier*SEQUENCE(16,1,85,1)/100)))*MIN(1,acc/100)),0)</f>
        <v/>
      </c>
      <c r="N558" s="4">
        <f>IFERROR(LET(mtype,XLOOKUP($D558,'Move Editor'!$B:$B,'Move Editor'!$C:$C,""),cat,XLOOKUP($D558,'Move Editor'!$B:$B,'Move Editor'!$D:$D,""),pow,XLOOKUP($D558,'Move Editor'!$B:$B,'Move Editor'!$E:$E,0),acc,XLOOKUP($D558,'Move Editor'!$B:$B,'Move Editor'!$F:$F,100),atk,IF(cat="Physical",FLOOR((FLOOR(((2*XLOOKUP(XLOOKUP($Q558,'Threshold Summary'!$Y:$Y,'Threshold Summary'!$K:$K,""),'Pokemon Editor'!$A:$A,'Pokemon Editor'!$F:$F,0)+31+FLOOR(XLOOKUP($Q558,'Threshold Summary'!$Y:$Y,'Threshold Summary'!$P:$P,"")/4))*XLOOKUP($Q558,'Threshold Summary'!$Y:$Y,'Threshold Summary'!$L:$L,""))/100)+5)*XLOOKUP(XLOOKUP($Q558,'Threshold Summary'!$Y:$Y,'Threshold Summary'!$M:$M,""),'Nature Editor'!$A:$A,'Nature Editor'!$B:$B,1)),FLOOR((FLOOR(((2*XLOOKUP(XLOOKUP($Q558,'Threshold Summary'!$Y:$Y,'Threshold Summary'!$K:$K,""),'Pokemon Editor'!$A:$A,'Pokemon Editor'!$H:$H,0)+31+FLOOR(XLOOKUP($Q558,'Threshold Summary'!$Y:$Y,'Threshold Summary'!$R:$R,"")/4))*XLOOKUP($Q558,'Threshold Summary'!$Y:$Y,'Threshold Summary'!$L:$L,""))/100)+5)*XLOOKUP(XLOOKUP($Q558,'Threshold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Editor'!$E:$E,1))),stab,IF(OR(mtype=XLOOKUP(XLOOKUP($Q558,'Threshold Summary'!$Y:$Y,'Threshold Summary'!$K:$K,""),'Pokemon Editor'!$A:$A,'Pokemon Editor'!$C:$C,""),mtype=XLOOKUP(XLOOKUP($Q558,'Threshold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Chart'!$B$1:$S$1,0)))),base,IF(OR(cat="Status",pow=0),0,FLOOR(FLOOR(FLOOR((2*XLOOKUP($Q558,'Threshold Summary'!$Y:$Y,'Threshold Summary'!$L:$L,"")/5+2)*pow*atk/def)/50)+2)),modifier,stab*eff,AVERAGE(ARRAYFORMULA(FLOOR(base*modifier*SEQUENCE(16,1,85,1)/100)))/(FLOOR(((2*XLOOKUP('Boss Editor'!$C$4,'Pokemon Editor'!$A:$A,'Pokemon Editor'!$E:$E,0)+31+FLOOR('Boss Editor'!$G$4/4))*'Boss Editor'!$D$4)/100)+'Boss Editor'!$D$4+10)),0)</f>
        <v/>
      </c>
      <c r="O558" s="3">
        <f>IF(N558&gt;=1,"OHKO",IF(N558&gt;=0.5,"2HKO",IF(N558&gt;=0.333,"3HKO",IF(N558&gt;=0.25,"4HKO","5HKO+"))))</f>
        <v/>
      </c>
      <c r="P558" s="3" t="inlineStr">
        <is>
          <t>Live from editable databases</t>
        </is>
      </c>
      <c r="Q558" s="3" t="inlineStr">
        <is>
          <t>SPECIES_DUCKLETT</t>
        </is>
      </c>
      <c r="R558" s="3" t="n">
        <v>13</v>
      </c>
    </row>
    <row r="559">
      <c r="A559" s="3">
        <f>XLOOKUP($Q559,'Threshold Summary'!$Y:$Y,'Threshold Summary'!$A:$A,"")</f>
        <v/>
      </c>
      <c r="B559" s="3">
        <f>XLOOKUP($Q559,'Threshold Summary'!$Y:$Y,'Threshold Summary'!$M:$M,"")</f>
        <v/>
      </c>
      <c r="C559" s="3">
        <f>XLOOKUP($Q559,'Threshold Summary'!$Y:$Y,'Threshold Summary'!$N:$N,"")</f>
        <v/>
      </c>
      <c r="D559" s="3">
        <f>IFERROR(INDEX(FILTER('Learnset Editor'!$D$2:$D,'Learnset Editor'!$A$2:$A=XLOOKUP($Q559,'Threshold Summary'!$Y:$Y,'Threshold Summary'!$K:$K,""),'Learnset Editor'!$C$2:$C&lt;=XLOOKUP($Q559,'Threshold Summary'!$Y:$Y,'Threshold Summary'!$L:$L,"")),$R559),"")</f>
        <v/>
      </c>
      <c r="E559" s="3">
        <f>XLOOKUP(D559,'Move Editor'!$B:$B,'Move Editor'!$C:$C,"")</f>
        <v/>
      </c>
      <c r="F559" s="3">
        <f>XLOOKUP(D559,'Move Editor'!$B:$B,'Move Editor'!$D:$D,"")</f>
        <v/>
      </c>
      <c r="G559" s="3">
        <f>XLOOKUP(D559,'Move Editor'!$B:$B,'Move Editor'!$E:$E,0)</f>
        <v/>
      </c>
      <c r="H559" s="3">
        <f>XLOOKUP(D559,'Move Editor'!$B:$B,'Move Editor'!$F:$F,0)</f>
        <v/>
      </c>
      <c r="I559" s="3">
        <f>(INDEX('Type Chart'!$B:$S,MATCH(E559,'Type Chart'!$A:$A,0),MATCH(XLOOKUP('Boss Editor'!$C$4,'Pokemon Editor'!$A:$A,'Pokemon Editor'!$C:$C,""),'Type Chart'!$B$1:$S$1,0))*IF(XLOOKUP('Boss Editor'!$C$4,'Pokemon Editor'!$A:$A,'Pokemon Editor'!$D:$D,"")="",1,INDEX('Type Chart'!$B:$S,MATCH(E559,'Type Chart'!$A:$A,0),MATCH(XLOOKUP('Boss Editor'!$C$4,'Pokemon Editor'!$A:$A,'Pokemon Editor'!$D:$D,""),'Type Chart'!$B$1:$S$1,0))))</f>
        <v/>
      </c>
      <c r="J559" s="3">
        <f>IFERROR(LET(mtype,XLOOKUP($D559,'Move Editor'!$B:$B,'Move Editor'!$C:$C,""),cat,XLOOKUP($D559,'Move Editor'!$B:$B,'Move Editor'!$D:$D,""),pow,XLOOKUP($D559,'Move Editor'!$B:$B,'Move Editor'!$E:$E,0),acc,XLOOKUP($D559,'Move Editor'!$B:$B,'Move Editor'!$F:$F,100),atk,IF(cat="Physical",FLOOR((FLOOR(((2*XLOOKUP(XLOOKUP($Q559,'Threshold Summary'!$Y:$Y,'Threshold Summary'!$K:$K,""),'Pokemon Editor'!$A:$A,'Pokemon Editor'!$F:$F,0)+31+FLOOR(XLOOKUP($Q559,'Threshold Summary'!$Y:$Y,'Threshold Summary'!$P:$P,"")/4))*XLOOKUP($Q559,'Threshold Summary'!$Y:$Y,'Threshold Summary'!$L:$L,""))/100)+5)*XLOOKUP(XLOOKUP($Q559,'Threshold Summary'!$Y:$Y,'Threshold Summary'!$M:$M,""),'Nature Editor'!$A:$A,'Nature Editor'!$B:$B,1)),FLOOR((FLOOR(((2*XLOOKUP(XLOOKUP($Q559,'Threshold Summary'!$Y:$Y,'Threshold Summary'!$K:$K,""),'Pokemon Editor'!$A:$A,'Pokemon Editor'!$H:$H,0)+31+FLOOR(XLOOKUP($Q559,'Threshold Summary'!$Y:$Y,'Threshold Summary'!$R:$R,"")/4))*XLOOKUP($Q559,'Threshold Summary'!$Y:$Y,'Threshold Summary'!$L:$L,""))/100)+5)*XLOOKUP(XLOOKUP($Q559,'Threshold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Editor'!$E:$E,1))),stab,IF(OR(mtype=XLOOKUP(XLOOKUP($Q559,'Threshold Summary'!$Y:$Y,'Threshold Summary'!$K:$K,""),'Pokemon Editor'!$A:$A,'Pokemon Editor'!$C:$C,""),mtype=XLOOKUP(XLOOKUP($Q559,'Threshold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Chart'!$B$1:$S$1,0)))),base,IF(OR(cat="Status",pow=0),0,FLOOR(FLOOR(FLOOR((2*XLOOKUP($Q559,'Threshold Summary'!$Y:$Y,'Threshold Summary'!$L:$L,"")/5+2)*pow*atk/def)/50)+2)),modifier,stab*eff,FLOOR(base*modifier*0.85)),0)</f>
        <v/>
      </c>
      <c r="K559" s="3">
        <f>IFERROR(LET(mtype,XLOOKUP($D559,'Move Editor'!$B:$B,'Move Editor'!$C:$C,""),cat,XLOOKUP($D559,'Move Editor'!$B:$B,'Move Editor'!$D:$D,""),pow,XLOOKUP($D559,'Move Editor'!$B:$B,'Move Editor'!$E:$E,0),acc,XLOOKUP($D559,'Move Editor'!$B:$B,'Move Editor'!$F:$F,100),atk,IF(cat="Physical",FLOOR((FLOOR(((2*XLOOKUP(XLOOKUP($Q559,'Threshold Summary'!$Y:$Y,'Threshold Summary'!$K:$K,""),'Pokemon Editor'!$A:$A,'Pokemon Editor'!$F:$F,0)+31+FLOOR(XLOOKUP($Q559,'Threshold Summary'!$Y:$Y,'Threshold Summary'!$P:$P,"")/4))*XLOOKUP($Q559,'Threshold Summary'!$Y:$Y,'Threshold Summary'!$L:$L,""))/100)+5)*XLOOKUP(XLOOKUP($Q559,'Threshold Summary'!$Y:$Y,'Threshold Summary'!$M:$M,""),'Nature Editor'!$A:$A,'Nature Editor'!$B:$B,1)),FLOOR((FLOOR(((2*XLOOKUP(XLOOKUP($Q559,'Threshold Summary'!$Y:$Y,'Threshold Summary'!$K:$K,""),'Pokemon Editor'!$A:$A,'Pokemon Editor'!$H:$H,0)+31+FLOOR(XLOOKUP($Q559,'Threshold Summary'!$Y:$Y,'Threshold Summary'!$R:$R,"")/4))*XLOOKUP($Q559,'Threshold Summary'!$Y:$Y,'Threshold Summary'!$L:$L,""))/100)+5)*XLOOKUP(XLOOKUP($Q559,'Threshold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Editor'!$E:$E,1))),stab,IF(OR(mtype=XLOOKUP(XLOOKUP($Q559,'Threshold Summary'!$Y:$Y,'Threshold Summary'!$K:$K,""),'Pokemon Editor'!$A:$A,'Pokemon Editor'!$C:$C,""),mtype=XLOOKUP(XLOOKUP($Q559,'Threshold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Chart'!$B$1:$S$1,0)))),base,IF(OR(cat="Status",pow=0),0,FLOOR(FLOOR(FLOOR((2*XLOOKUP($Q559,'Threshold Summary'!$Y:$Y,'Threshold Summary'!$L:$L,"")/5+2)*pow*atk/def)/50)+2)),modifier,stab*eff,FLOOR(base*modifier)),0)</f>
        <v/>
      </c>
      <c r="L559" s="3">
        <f>IFERROR(LET(mtype,XLOOKUP($D559,'Move Editor'!$B:$B,'Move Editor'!$C:$C,""),cat,XLOOKUP($D559,'Move Editor'!$B:$B,'Move Editor'!$D:$D,""),pow,XLOOKUP($D559,'Move Editor'!$B:$B,'Move Editor'!$E:$E,0),acc,XLOOKUP($D559,'Move Editor'!$B:$B,'Move Editor'!$F:$F,100),atk,IF(cat="Physical",FLOOR((FLOOR(((2*XLOOKUP(XLOOKUP($Q559,'Threshold Summary'!$Y:$Y,'Threshold Summary'!$K:$K,""),'Pokemon Editor'!$A:$A,'Pokemon Editor'!$F:$F,0)+31+FLOOR(XLOOKUP($Q559,'Threshold Summary'!$Y:$Y,'Threshold Summary'!$P:$P,"")/4))*XLOOKUP($Q559,'Threshold Summary'!$Y:$Y,'Threshold Summary'!$L:$L,""))/100)+5)*XLOOKUP(XLOOKUP($Q559,'Threshold Summary'!$Y:$Y,'Threshold Summary'!$M:$M,""),'Nature Editor'!$A:$A,'Nature Editor'!$B:$B,1)),FLOOR((FLOOR(((2*XLOOKUP(XLOOKUP($Q559,'Threshold Summary'!$Y:$Y,'Threshold Summary'!$K:$K,""),'Pokemon Editor'!$A:$A,'Pokemon Editor'!$H:$H,0)+31+FLOOR(XLOOKUP($Q559,'Threshold Summary'!$Y:$Y,'Threshold Summary'!$R:$R,"")/4))*XLOOKUP($Q559,'Threshold Summary'!$Y:$Y,'Threshold Summary'!$L:$L,""))/100)+5)*XLOOKUP(XLOOKUP($Q559,'Threshold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Editor'!$E:$E,1))),stab,IF(OR(mtype=XLOOKUP(XLOOKUP($Q559,'Threshold Summary'!$Y:$Y,'Threshold Summary'!$K:$K,""),'Pokemon Editor'!$A:$A,'Pokemon Editor'!$C:$C,""),mtype=XLOOKUP(XLOOKUP($Q559,'Threshold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Chart'!$B$1:$S$1,0)))),base,IF(OR(cat="Status",pow=0),0,FLOOR(FLOOR(FLOOR((2*XLOOKUP($Q559,'Threshold Summary'!$Y:$Y,'Threshold Summary'!$L:$L,"")/5+2)*pow*atk/def)/50)+2)),modifier,stab*eff,AVERAGE(ARRAYFORMULA(FLOOR(base*modifier*SEQUENCE(16,1,85,1)/100)))),0)</f>
        <v/>
      </c>
      <c r="M559" s="3">
        <f>IFERROR(LET(mtype,XLOOKUP($D559,'Move Editor'!$B:$B,'Move Editor'!$C:$C,""),cat,XLOOKUP($D559,'Move Editor'!$B:$B,'Move Editor'!$D:$D,""),pow,XLOOKUP($D559,'Move Editor'!$B:$B,'Move Editor'!$E:$E,0),acc,XLOOKUP($D559,'Move Editor'!$B:$B,'Move Editor'!$F:$F,100),atk,IF(cat="Physical",FLOOR((FLOOR(((2*XLOOKUP(XLOOKUP($Q559,'Threshold Summary'!$Y:$Y,'Threshold Summary'!$K:$K,""),'Pokemon Editor'!$A:$A,'Pokemon Editor'!$F:$F,0)+31+FLOOR(XLOOKUP($Q559,'Threshold Summary'!$Y:$Y,'Threshold Summary'!$P:$P,"")/4))*XLOOKUP($Q559,'Threshold Summary'!$Y:$Y,'Threshold Summary'!$L:$L,""))/100)+5)*XLOOKUP(XLOOKUP($Q559,'Threshold Summary'!$Y:$Y,'Threshold Summary'!$M:$M,""),'Nature Editor'!$A:$A,'Nature Editor'!$B:$B,1)),FLOOR((FLOOR(((2*XLOOKUP(XLOOKUP($Q559,'Threshold Summary'!$Y:$Y,'Threshold Summary'!$K:$K,""),'Pokemon Editor'!$A:$A,'Pokemon Editor'!$H:$H,0)+31+FLOOR(XLOOKUP($Q559,'Threshold Summary'!$Y:$Y,'Threshold Summary'!$R:$R,"")/4))*XLOOKUP($Q559,'Threshold Summary'!$Y:$Y,'Threshold Summary'!$L:$L,""))/100)+5)*XLOOKUP(XLOOKUP($Q559,'Threshold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Editor'!$E:$E,1))),stab,IF(OR(mtype=XLOOKUP(XLOOKUP($Q559,'Threshold Summary'!$Y:$Y,'Threshold Summary'!$K:$K,""),'Pokemon Editor'!$A:$A,'Pokemon Editor'!$C:$C,""),mtype=XLOOKUP(XLOOKUP($Q559,'Threshold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Chart'!$B$1:$S$1,0)))),base,IF(OR(cat="Status",pow=0),0,FLOOR(FLOOR(FLOOR((2*XLOOKUP($Q559,'Threshold Summary'!$Y:$Y,'Threshold Summary'!$L:$L,"")/5+2)*pow*atk/def)/50)+2)),modifier,stab*eff,AVERAGE(ARRAYFORMULA(FLOOR(base*modifier*SEQUENCE(16,1,85,1)/100)))*MIN(1,acc/100)),0)</f>
        <v/>
      </c>
      <c r="N559" s="4">
        <f>IFERROR(LET(mtype,XLOOKUP($D559,'Move Editor'!$B:$B,'Move Editor'!$C:$C,""),cat,XLOOKUP($D559,'Move Editor'!$B:$B,'Move Editor'!$D:$D,""),pow,XLOOKUP($D559,'Move Editor'!$B:$B,'Move Editor'!$E:$E,0),acc,XLOOKUP($D559,'Move Editor'!$B:$B,'Move Editor'!$F:$F,100),atk,IF(cat="Physical",FLOOR((FLOOR(((2*XLOOKUP(XLOOKUP($Q559,'Threshold Summary'!$Y:$Y,'Threshold Summary'!$K:$K,""),'Pokemon Editor'!$A:$A,'Pokemon Editor'!$F:$F,0)+31+FLOOR(XLOOKUP($Q559,'Threshold Summary'!$Y:$Y,'Threshold Summary'!$P:$P,"")/4))*XLOOKUP($Q559,'Threshold Summary'!$Y:$Y,'Threshold Summary'!$L:$L,""))/100)+5)*XLOOKUP(XLOOKUP($Q559,'Threshold Summary'!$Y:$Y,'Threshold Summary'!$M:$M,""),'Nature Editor'!$A:$A,'Nature Editor'!$B:$B,1)),FLOOR((FLOOR(((2*XLOOKUP(XLOOKUP($Q559,'Threshold Summary'!$Y:$Y,'Threshold Summary'!$K:$K,""),'Pokemon Editor'!$A:$A,'Pokemon Editor'!$H:$H,0)+31+FLOOR(XLOOKUP($Q559,'Threshold Summary'!$Y:$Y,'Threshold Summary'!$R:$R,"")/4))*XLOOKUP($Q559,'Threshold Summary'!$Y:$Y,'Threshold Summary'!$L:$L,""))/100)+5)*XLOOKUP(XLOOKUP($Q559,'Threshold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Editor'!$E:$E,1))),stab,IF(OR(mtype=XLOOKUP(XLOOKUP($Q559,'Threshold Summary'!$Y:$Y,'Threshold Summary'!$K:$K,""),'Pokemon Editor'!$A:$A,'Pokemon Editor'!$C:$C,""),mtype=XLOOKUP(XLOOKUP($Q559,'Threshold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Chart'!$B$1:$S$1,0)))),base,IF(OR(cat="Status",pow=0),0,FLOOR(FLOOR(FLOOR((2*XLOOKUP($Q559,'Threshold Summary'!$Y:$Y,'Threshold Summary'!$L:$L,"")/5+2)*pow*atk/def)/50)+2)),modifier,stab*eff,AVERAGE(ARRAYFORMULA(FLOOR(base*modifier*SEQUENCE(16,1,85,1)/100)))/(FLOOR(((2*XLOOKUP('Boss Editor'!$C$4,'Pokemon Editor'!$A:$A,'Pokemon Editor'!$E:$E,0)+31+FLOOR('Boss Editor'!$G$4/4))*'Boss Editor'!$D$4)/100)+'Boss Editor'!$D$4+10)),0)</f>
        <v/>
      </c>
      <c r="O559" s="3">
        <f>IF(N559&gt;=1,"OHKO",IF(N559&gt;=0.5,"2HKO",IF(N559&gt;=0.333,"3HKO",IF(N559&gt;=0.25,"4HKO","5HKO+"))))</f>
        <v/>
      </c>
      <c r="P559" s="3" t="inlineStr">
        <is>
          <t>Live from editable databases</t>
        </is>
      </c>
      <c r="Q559" s="3" t="inlineStr">
        <is>
          <t>SPECIES_DUCKLETT</t>
        </is>
      </c>
      <c r="R559" s="3" t="n">
        <v>14</v>
      </c>
    </row>
    <row r="560">
      <c r="A560" s="3">
        <f>XLOOKUP($Q560,'Threshold Summary'!$Y:$Y,'Threshold Summary'!$A:$A,"")</f>
        <v/>
      </c>
      <c r="B560" s="3">
        <f>XLOOKUP($Q560,'Threshold Summary'!$Y:$Y,'Threshold Summary'!$M:$M,"")</f>
        <v/>
      </c>
      <c r="C560" s="3">
        <f>XLOOKUP($Q560,'Threshold Summary'!$Y:$Y,'Threshold Summary'!$N:$N,"")</f>
        <v/>
      </c>
      <c r="D560" s="3">
        <f>IFERROR(INDEX(FILTER('Learnset Editor'!$D$2:$D,'Learnset Editor'!$A$2:$A=XLOOKUP($Q560,'Threshold Summary'!$Y:$Y,'Threshold Summary'!$K:$K,""),'Learnset Editor'!$C$2:$C&lt;=XLOOKUP($Q560,'Threshold Summary'!$Y:$Y,'Threshold Summary'!$L:$L,"")),$R560),"")</f>
        <v/>
      </c>
      <c r="E560" s="3">
        <f>XLOOKUP(D560,'Move Editor'!$B:$B,'Move Editor'!$C:$C,"")</f>
        <v/>
      </c>
      <c r="F560" s="3">
        <f>XLOOKUP(D560,'Move Editor'!$B:$B,'Move Editor'!$D:$D,"")</f>
        <v/>
      </c>
      <c r="G560" s="3">
        <f>XLOOKUP(D560,'Move Editor'!$B:$B,'Move Editor'!$E:$E,0)</f>
        <v/>
      </c>
      <c r="H560" s="3">
        <f>XLOOKUP(D560,'Move Editor'!$B:$B,'Move Editor'!$F:$F,0)</f>
        <v/>
      </c>
      <c r="I560" s="3">
        <f>(INDEX('Type Chart'!$B:$S,MATCH(E560,'Type Chart'!$A:$A,0),MATCH(XLOOKUP('Boss Editor'!$C$4,'Pokemon Editor'!$A:$A,'Pokemon Editor'!$C:$C,""),'Type Chart'!$B$1:$S$1,0))*IF(XLOOKUP('Boss Editor'!$C$4,'Pokemon Editor'!$A:$A,'Pokemon Editor'!$D:$D,"")="",1,INDEX('Type Chart'!$B:$S,MATCH(E560,'Type Chart'!$A:$A,0),MATCH(XLOOKUP('Boss Editor'!$C$4,'Pokemon Editor'!$A:$A,'Pokemon Editor'!$D:$D,""),'Type Chart'!$B$1:$S$1,0))))</f>
        <v/>
      </c>
      <c r="J560" s="3">
        <f>IFERROR(LET(mtype,XLOOKUP($D560,'Move Editor'!$B:$B,'Move Editor'!$C:$C,""),cat,XLOOKUP($D560,'Move Editor'!$B:$B,'Move Editor'!$D:$D,""),pow,XLOOKUP($D560,'Move Editor'!$B:$B,'Move Editor'!$E:$E,0),acc,XLOOKUP($D560,'Move Editor'!$B:$B,'Move Editor'!$F:$F,100),atk,IF(cat="Physical",FLOOR((FLOOR(((2*XLOOKUP(XLOOKUP($Q560,'Threshold Summary'!$Y:$Y,'Threshold Summary'!$K:$K,""),'Pokemon Editor'!$A:$A,'Pokemon Editor'!$F:$F,0)+31+FLOOR(XLOOKUP($Q560,'Threshold Summary'!$Y:$Y,'Threshold Summary'!$P:$P,"")/4))*XLOOKUP($Q560,'Threshold Summary'!$Y:$Y,'Threshold Summary'!$L:$L,""))/100)+5)*XLOOKUP(XLOOKUP($Q560,'Threshold Summary'!$Y:$Y,'Threshold Summary'!$M:$M,""),'Nature Editor'!$A:$A,'Nature Editor'!$B:$B,1)),FLOOR((FLOOR(((2*XLOOKUP(XLOOKUP($Q560,'Threshold Summary'!$Y:$Y,'Threshold Summary'!$K:$K,""),'Pokemon Editor'!$A:$A,'Pokemon Editor'!$H:$H,0)+31+FLOOR(XLOOKUP($Q560,'Threshold Summary'!$Y:$Y,'Threshold Summary'!$R:$R,"")/4))*XLOOKUP($Q560,'Threshold Summary'!$Y:$Y,'Threshold Summary'!$L:$L,""))/100)+5)*XLOOKUP(XLOOKUP($Q560,'Threshold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Editor'!$E:$E,1))),stab,IF(OR(mtype=XLOOKUP(XLOOKUP($Q560,'Threshold Summary'!$Y:$Y,'Threshold Summary'!$K:$K,""),'Pokemon Editor'!$A:$A,'Pokemon Editor'!$C:$C,""),mtype=XLOOKUP(XLOOKUP($Q560,'Threshold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Chart'!$B$1:$S$1,0)))),base,IF(OR(cat="Status",pow=0),0,FLOOR(FLOOR(FLOOR((2*XLOOKUP($Q560,'Threshold Summary'!$Y:$Y,'Threshold Summary'!$L:$L,"")/5+2)*pow*atk/def)/50)+2)),modifier,stab*eff,FLOOR(base*modifier*0.85)),0)</f>
        <v/>
      </c>
      <c r="K560" s="3">
        <f>IFERROR(LET(mtype,XLOOKUP($D560,'Move Editor'!$B:$B,'Move Editor'!$C:$C,""),cat,XLOOKUP($D560,'Move Editor'!$B:$B,'Move Editor'!$D:$D,""),pow,XLOOKUP($D560,'Move Editor'!$B:$B,'Move Editor'!$E:$E,0),acc,XLOOKUP($D560,'Move Editor'!$B:$B,'Move Editor'!$F:$F,100),atk,IF(cat="Physical",FLOOR((FLOOR(((2*XLOOKUP(XLOOKUP($Q560,'Threshold Summary'!$Y:$Y,'Threshold Summary'!$K:$K,""),'Pokemon Editor'!$A:$A,'Pokemon Editor'!$F:$F,0)+31+FLOOR(XLOOKUP($Q560,'Threshold Summary'!$Y:$Y,'Threshold Summary'!$P:$P,"")/4))*XLOOKUP($Q560,'Threshold Summary'!$Y:$Y,'Threshold Summary'!$L:$L,""))/100)+5)*XLOOKUP(XLOOKUP($Q560,'Threshold Summary'!$Y:$Y,'Threshold Summary'!$M:$M,""),'Nature Editor'!$A:$A,'Nature Editor'!$B:$B,1)),FLOOR((FLOOR(((2*XLOOKUP(XLOOKUP($Q560,'Threshold Summary'!$Y:$Y,'Threshold Summary'!$K:$K,""),'Pokemon Editor'!$A:$A,'Pokemon Editor'!$H:$H,0)+31+FLOOR(XLOOKUP($Q560,'Threshold Summary'!$Y:$Y,'Threshold Summary'!$R:$R,"")/4))*XLOOKUP($Q560,'Threshold Summary'!$Y:$Y,'Threshold Summary'!$L:$L,""))/100)+5)*XLOOKUP(XLOOKUP($Q560,'Threshold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Editor'!$E:$E,1))),stab,IF(OR(mtype=XLOOKUP(XLOOKUP($Q560,'Threshold Summary'!$Y:$Y,'Threshold Summary'!$K:$K,""),'Pokemon Editor'!$A:$A,'Pokemon Editor'!$C:$C,""),mtype=XLOOKUP(XLOOKUP($Q560,'Threshold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Chart'!$B$1:$S$1,0)))),base,IF(OR(cat="Status",pow=0),0,FLOOR(FLOOR(FLOOR((2*XLOOKUP($Q560,'Threshold Summary'!$Y:$Y,'Threshold Summary'!$L:$L,"")/5+2)*pow*atk/def)/50)+2)),modifier,stab*eff,FLOOR(base*modifier)),0)</f>
        <v/>
      </c>
      <c r="L560" s="3">
        <f>IFERROR(LET(mtype,XLOOKUP($D560,'Move Editor'!$B:$B,'Move Editor'!$C:$C,""),cat,XLOOKUP($D560,'Move Editor'!$B:$B,'Move Editor'!$D:$D,""),pow,XLOOKUP($D560,'Move Editor'!$B:$B,'Move Editor'!$E:$E,0),acc,XLOOKUP($D560,'Move Editor'!$B:$B,'Move Editor'!$F:$F,100),atk,IF(cat="Physical",FLOOR((FLOOR(((2*XLOOKUP(XLOOKUP($Q560,'Threshold Summary'!$Y:$Y,'Threshold Summary'!$K:$K,""),'Pokemon Editor'!$A:$A,'Pokemon Editor'!$F:$F,0)+31+FLOOR(XLOOKUP($Q560,'Threshold Summary'!$Y:$Y,'Threshold Summary'!$P:$P,"")/4))*XLOOKUP($Q560,'Threshold Summary'!$Y:$Y,'Threshold Summary'!$L:$L,""))/100)+5)*XLOOKUP(XLOOKUP($Q560,'Threshold Summary'!$Y:$Y,'Threshold Summary'!$M:$M,""),'Nature Editor'!$A:$A,'Nature Editor'!$B:$B,1)),FLOOR((FLOOR(((2*XLOOKUP(XLOOKUP($Q560,'Threshold Summary'!$Y:$Y,'Threshold Summary'!$K:$K,""),'Pokemon Editor'!$A:$A,'Pokemon Editor'!$H:$H,0)+31+FLOOR(XLOOKUP($Q560,'Threshold Summary'!$Y:$Y,'Threshold Summary'!$R:$R,"")/4))*XLOOKUP($Q560,'Threshold Summary'!$Y:$Y,'Threshold Summary'!$L:$L,""))/100)+5)*XLOOKUP(XLOOKUP($Q560,'Threshold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Editor'!$E:$E,1))),stab,IF(OR(mtype=XLOOKUP(XLOOKUP($Q560,'Threshold Summary'!$Y:$Y,'Threshold Summary'!$K:$K,""),'Pokemon Editor'!$A:$A,'Pokemon Editor'!$C:$C,""),mtype=XLOOKUP(XLOOKUP($Q560,'Threshold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Chart'!$B$1:$S$1,0)))),base,IF(OR(cat="Status",pow=0),0,FLOOR(FLOOR(FLOOR((2*XLOOKUP($Q560,'Threshold Summary'!$Y:$Y,'Threshold Summary'!$L:$L,"")/5+2)*pow*atk/def)/50)+2)),modifier,stab*eff,AVERAGE(ARRAYFORMULA(FLOOR(base*modifier*SEQUENCE(16,1,85,1)/100)))),0)</f>
        <v/>
      </c>
      <c r="M560" s="3">
        <f>IFERROR(LET(mtype,XLOOKUP($D560,'Move Editor'!$B:$B,'Move Editor'!$C:$C,""),cat,XLOOKUP($D560,'Move Editor'!$B:$B,'Move Editor'!$D:$D,""),pow,XLOOKUP($D560,'Move Editor'!$B:$B,'Move Editor'!$E:$E,0),acc,XLOOKUP($D560,'Move Editor'!$B:$B,'Move Editor'!$F:$F,100),atk,IF(cat="Physical",FLOOR((FLOOR(((2*XLOOKUP(XLOOKUP($Q560,'Threshold Summary'!$Y:$Y,'Threshold Summary'!$K:$K,""),'Pokemon Editor'!$A:$A,'Pokemon Editor'!$F:$F,0)+31+FLOOR(XLOOKUP($Q560,'Threshold Summary'!$Y:$Y,'Threshold Summary'!$P:$P,"")/4))*XLOOKUP($Q560,'Threshold Summary'!$Y:$Y,'Threshold Summary'!$L:$L,""))/100)+5)*XLOOKUP(XLOOKUP($Q560,'Threshold Summary'!$Y:$Y,'Threshold Summary'!$M:$M,""),'Nature Editor'!$A:$A,'Nature Editor'!$B:$B,1)),FLOOR((FLOOR(((2*XLOOKUP(XLOOKUP($Q560,'Threshold Summary'!$Y:$Y,'Threshold Summary'!$K:$K,""),'Pokemon Editor'!$A:$A,'Pokemon Editor'!$H:$H,0)+31+FLOOR(XLOOKUP($Q560,'Threshold Summary'!$Y:$Y,'Threshold Summary'!$R:$R,"")/4))*XLOOKUP($Q560,'Threshold Summary'!$Y:$Y,'Threshold Summary'!$L:$L,""))/100)+5)*XLOOKUP(XLOOKUP($Q560,'Threshold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Editor'!$E:$E,1))),stab,IF(OR(mtype=XLOOKUP(XLOOKUP($Q560,'Threshold Summary'!$Y:$Y,'Threshold Summary'!$K:$K,""),'Pokemon Editor'!$A:$A,'Pokemon Editor'!$C:$C,""),mtype=XLOOKUP(XLOOKUP($Q560,'Threshold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Chart'!$B$1:$S$1,0)))),base,IF(OR(cat="Status",pow=0),0,FLOOR(FLOOR(FLOOR((2*XLOOKUP($Q560,'Threshold Summary'!$Y:$Y,'Threshold Summary'!$L:$L,"")/5+2)*pow*atk/def)/50)+2)),modifier,stab*eff,AVERAGE(ARRAYFORMULA(FLOOR(base*modifier*SEQUENCE(16,1,85,1)/100)))*MIN(1,acc/100)),0)</f>
        <v/>
      </c>
      <c r="N560" s="4">
        <f>IFERROR(LET(mtype,XLOOKUP($D560,'Move Editor'!$B:$B,'Move Editor'!$C:$C,""),cat,XLOOKUP($D560,'Move Editor'!$B:$B,'Move Editor'!$D:$D,""),pow,XLOOKUP($D560,'Move Editor'!$B:$B,'Move Editor'!$E:$E,0),acc,XLOOKUP($D560,'Move Editor'!$B:$B,'Move Editor'!$F:$F,100),atk,IF(cat="Physical",FLOOR((FLOOR(((2*XLOOKUP(XLOOKUP($Q560,'Threshold Summary'!$Y:$Y,'Threshold Summary'!$K:$K,""),'Pokemon Editor'!$A:$A,'Pokemon Editor'!$F:$F,0)+31+FLOOR(XLOOKUP($Q560,'Threshold Summary'!$Y:$Y,'Threshold Summary'!$P:$P,"")/4))*XLOOKUP($Q560,'Threshold Summary'!$Y:$Y,'Threshold Summary'!$L:$L,""))/100)+5)*XLOOKUP(XLOOKUP($Q560,'Threshold Summary'!$Y:$Y,'Threshold Summary'!$M:$M,""),'Nature Editor'!$A:$A,'Nature Editor'!$B:$B,1)),FLOOR((FLOOR(((2*XLOOKUP(XLOOKUP($Q560,'Threshold Summary'!$Y:$Y,'Threshold Summary'!$K:$K,""),'Pokemon Editor'!$A:$A,'Pokemon Editor'!$H:$H,0)+31+FLOOR(XLOOKUP($Q560,'Threshold Summary'!$Y:$Y,'Threshold Summary'!$R:$R,"")/4))*XLOOKUP($Q560,'Threshold Summary'!$Y:$Y,'Threshold Summary'!$L:$L,""))/100)+5)*XLOOKUP(XLOOKUP($Q560,'Threshold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Editor'!$E:$E,1))),stab,IF(OR(mtype=XLOOKUP(XLOOKUP($Q560,'Threshold Summary'!$Y:$Y,'Threshold Summary'!$K:$K,""),'Pokemon Editor'!$A:$A,'Pokemon Editor'!$C:$C,""),mtype=XLOOKUP(XLOOKUP($Q560,'Threshold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Chart'!$B$1:$S$1,0)))),base,IF(OR(cat="Status",pow=0),0,FLOOR(FLOOR(FLOOR((2*XLOOKUP($Q560,'Threshold Summary'!$Y:$Y,'Threshold Summary'!$L:$L,"")/5+2)*pow*atk/def)/50)+2)),modifier,stab*eff,AVERAGE(ARRAYFORMULA(FLOOR(base*modifier*SEQUENCE(16,1,85,1)/100)))/(FLOOR(((2*XLOOKUP('Boss Editor'!$C$4,'Pokemon Editor'!$A:$A,'Pokemon Editor'!$E:$E,0)+31+FLOOR('Boss Editor'!$G$4/4))*'Boss Editor'!$D$4)/100)+'Boss Editor'!$D$4+10)),0)</f>
        <v/>
      </c>
      <c r="O560" s="3">
        <f>IF(N560&gt;=1,"OHKO",IF(N560&gt;=0.5,"2HKO",IF(N560&gt;=0.333,"3HKO",IF(N560&gt;=0.25,"4HKO","5HKO+"))))</f>
        <v/>
      </c>
      <c r="P560" s="3" t="inlineStr">
        <is>
          <t>Live from editable databases</t>
        </is>
      </c>
      <c r="Q560" s="3" t="inlineStr">
        <is>
          <t>SPECIES_DUCKLETT</t>
        </is>
      </c>
      <c r="R560" s="3" t="n">
        <v>15</v>
      </c>
    </row>
    <row r="561">
      <c r="A561" s="3">
        <f>XLOOKUP($Q561,'Threshold Summary'!$Y:$Y,'Threshold Summary'!$A:$A,"")</f>
        <v/>
      </c>
      <c r="B561" s="3">
        <f>XLOOKUP($Q561,'Threshold Summary'!$Y:$Y,'Threshold Summary'!$M:$M,"")</f>
        <v/>
      </c>
      <c r="C561" s="3">
        <f>XLOOKUP($Q561,'Threshold Summary'!$Y:$Y,'Threshold Summary'!$N:$N,"")</f>
        <v/>
      </c>
      <c r="D561" s="3">
        <f>IFERROR(INDEX(FILTER('Learnset Editor'!$D$2:$D,'Learnset Editor'!$A$2:$A=XLOOKUP($Q561,'Threshold Summary'!$Y:$Y,'Threshold Summary'!$K:$K,""),'Learnset Editor'!$C$2:$C&lt;=XLOOKUP($Q561,'Threshold Summary'!$Y:$Y,'Threshold Summary'!$L:$L,"")),$R561),"")</f>
        <v/>
      </c>
      <c r="E561" s="3">
        <f>XLOOKUP(D561,'Move Editor'!$B:$B,'Move Editor'!$C:$C,"")</f>
        <v/>
      </c>
      <c r="F561" s="3">
        <f>XLOOKUP(D561,'Move Editor'!$B:$B,'Move Editor'!$D:$D,"")</f>
        <v/>
      </c>
      <c r="G561" s="3">
        <f>XLOOKUP(D561,'Move Editor'!$B:$B,'Move Editor'!$E:$E,0)</f>
        <v/>
      </c>
      <c r="H561" s="3">
        <f>XLOOKUP(D561,'Move Editor'!$B:$B,'Move Editor'!$F:$F,0)</f>
        <v/>
      </c>
      <c r="I561" s="3">
        <f>(INDEX('Type Chart'!$B:$S,MATCH(E561,'Type Chart'!$A:$A,0),MATCH(XLOOKUP('Boss Editor'!$C$4,'Pokemon Editor'!$A:$A,'Pokemon Editor'!$C:$C,""),'Type Chart'!$B$1:$S$1,0))*IF(XLOOKUP('Boss Editor'!$C$4,'Pokemon Editor'!$A:$A,'Pokemon Editor'!$D:$D,"")="",1,INDEX('Type Chart'!$B:$S,MATCH(E561,'Type Chart'!$A:$A,0),MATCH(XLOOKUP('Boss Editor'!$C$4,'Pokemon Editor'!$A:$A,'Pokemon Editor'!$D:$D,""),'Type Chart'!$B$1:$S$1,0))))</f>
        <v/>
      </c>
      <c r="J561" s="3">
        <f>IFERROR(LET(mtype,XLOOKUP($D561,'Move Editor'!$B:$B,'Move Editor'!$C:$C,""),cat,XLOOKUP($D561,'Move Editor'!$B:$B,'Move Editor'!$D:$D,""),pow,XLOOKUP($D561,'Move Editor'!$B:$B,'Move Editor'!$E:$E,0),acc,XLOOKUP($D561,'Move Editor'!$B:$B,'Move Editor'!$F:$F,100),atk,IF(cat="Physical",FLOOR((FLOOR(((2*XLOOKUP(XLOOKUP($Q561,'Threshold Summary'!$Y:$Y,'Threshold Summary'!$K:$K,""),'Pokemon Editor'!$A:$A,'Pokemon Editor'!$F:$F,0)+31+FLOOR(XLOOKUP($Q561,'Threshold Summary'!$Y:$Y,'Threshold Summary'!$P:$P,"")/4))*XLOOKUP($Q561,'Threshold Summary'!$Y:$Y,'Threshold Summary'!$L:$L,""))/100)+5)*XLOOKUP(XLOOKUP($Q561,'Threshold Summary'!$Y:$Y,'Threshold Summary'!$M:$M,""),'Nature Editor'!$A:$A,'Nature Editor'!$B:$B,1)),FLOOR((FLOOR(((2*XLOOKUP(XLOOKUP($Q561,'Threshold Summary'!$Y:$Y,'Threshold Summary'!$K:$K,""),'Pokemon Editor'!$A:$A,'Pokemon Editor'!$H:$H,0)+31+FLOOR(XLOOKUP($Q561,'Threshold Summary'!$Y:$Y,'Threshold Summary'!$R:$R,"")/4))*XLOOKUP($Q561,'Threshold Summary'!$Y:$Y,'Threshold Summary'!$L:$L,""))/100)+5)*XLOOKUP(XLOOKUP($Q561,'Threshold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Editor'!$E:$E,1))),stab,IF(OR(mtype=XLOOKUP(XLOOKUP($Q561,'Threshold Summary'!$Y:$Y,'Threshold Summary'!$K:$K,""),'Pokemon Editor'!$A:$A,'Pokemon Editor'!$C:$C,""),mtype=XLOOKUP(XLOOKUP($Q561,'Threshold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Chart'!$B$1:$S$1,0)))),base,IF(OR(cat="Status",pow=0),0,FLOOR(FLOOR(FLOOR((2*XLOOKUP($Q561,'Threshold Summary'!$Y:$Y,'Threshold Summary'!$L:$L,"")/5+2)*pow*atk/def)/50)+2)),modifier,stab*eff,FLOOR(base*modifier*0.85)),0)</f>
        <v/>
      </c>
      <c r="K561" s="3">
        <f>IFERROR(LET(mtype,XLOOKUP($D561,'Move Editor'!$B:$B,'Move Editor'!$C:$C,""),cat,XLOOKUP($D561,'Move Editor'!$B:$B,'Move Editor'!$D:$D,""),pow,XLOOKUP($D561,'Move Editor'!$B:$B,'Move Editor'!$E:$E,0),acc,XLOOKUP($D561,'Move Editor'!$B:$B,'Move Editor'!$F:$F,100),atk,IF(cat="Physical",FLOOR((FLOOR(((2*XLOOKUP(XLOOKUP($Q561,'Threshold Summary'!$Y:$Y,'Threshold Summary'!$K:$K,""),'Pokemon Editor'!$A:$A,'Pokemon Editor'!$F:$F,0)+31+FLOOR(XLOOKUP($Q561,'Threshold Summary'!$Y:$Y,'Threshold Summary'!$P:$P,"")/4))*XLOOKUP($Q561,'Threshold Summary'!$Y:$Y,'Threshold Summary'!$L:$L,""))/100)+5)*XLOOKUP(XLOOKUP($Q561,'Threshold Summary'!$Y:$Y,'Threshold Summary'!$M:$M,""),'Nature Editor'!$A:$A,'Nature Editor'!$B:$B,1)),FLOOR((FLOOR(((2*XLOOKUP(XLOOKUP($Q561,'Threshold Summary'!$Y:$Y,'Threshold Summary'!$K:$K,""),'Pokemon Editor'!$A:$A,'Pokemon Editor'!$H:$H,0)+31+FLOOR(XLOOKUP($Q561,'Threshold Summary'!$Y:$Y,'Threshold Summary'!$R:$R,"")/4))*XLOOKUP($Q561,'Threshold Summary'!$Y:$Y,'Threshold Summary'!$L:$L,""))/100)+5)*XLOOKUP(XLOOKUP($Q561,'Threshold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Editor'!$E:$E,1))),stab,IF(OR(mtype=XLOOKUP(XLOOKUP($Q561,'Threshold Summary'!$Y:$Y,'Threshold Summary'!$K:$K,""),'Pokemon Editor'!$A:$A,'Pokemon Editor'!$C:$C,""),mtype=XLOOKUP(XLOOKUP($Q561,'Threshold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Chart'!$B$1:$S$1,0)))),base,IF(OR(cat="Status",pow=0),0,FLOOR(FLOOR(FLOOR((2*XLOOKUP($Q561,'Threshold Summary'!$Y:$Y,'Threshold Summary'!$L:$L,"")/5+2)*pow*atk/def)/50)+2)),modifier,stab*eff,FLOOR(base*modifier)),0)</f>
        <v/>
      </c>
      <c r="L561" s="3">
        <f>IFERROR(LET(mtype,XLOOKUP($D561,'Move Editor'!$B:$B,'Move Editor'!$C:$C,""),cat,XLOOKUP($D561,'Move Editor'!$B:$B,'Move Editor'!$D:$D,""),pow,XLOOKUP($D561,'Move Editor'!$B:$B,'Move Editor'!$E:$E,0),acc,XLOOKUP($D561,'Move Editor'!$B:$B,'Move Editor'!$F:$F,100),atk,IF(cat="Physical",FLOOR((FLOOR(((2*XLOOKUP(XLOOKUP($Q561,'Threshold Summary'!$Y:$Y,'Threshold Summary'!$K:$K,""),'Pokemon Editor'!$A:$A,'Pokemon Editor'!$F:$F,0)+31+FLOOR(XLOOKUP($Q561,'Threshold Summary'!$Y:$Y,'Threshold Summary'!$P:$P,"")/4))*XLOOKUP($Q561,'Threshold Summary'!$Y:$Y,'Threshold Summary'!$L:$L,""))/100)+5)*XLOOKUP(XLOOKUP($Q561,'Threshold Summary'!$Y:$Y,'Threshold Summary'!$M:$M,""),'Nature Editor'!$A:$A,'Nature Editor'!$B:$B,1)),FLOOR((FLOOR(((2*XLOOKUP(XLOOKUP($Q561,'Threshold Summary'!$Y:$Y,'Threshold Summary'!$K:$K,""),'Pokemon Editor'!$A:$A,'Pokemon Editor'!$H:$H,0)+31+FLOOR(XLOOKUP($Q561,'Threshold Summary'!$Y:$Y,'Threshold Summary'!$R:$R,"")/4))*XLOOKUP($Q561,'Threshold Summary'!$Y:$Y,'Threshold Summary'!$L:$L,""))/100)+5)*XLOOKUP(XLOOKUP($Q561,'Threshold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Editor'!$E:$E,1))),stab,IF(OR(mtype=XLOOKUP(XLOOKUP($Q561,'Threshold Summary'!$Y:$Y,'Threshold Summary'!$K:$K,""),'Pokemon Editor'!$A:$A,'Pokemon Editor'!$C:$C,""),mtype=XLOOKUP(XLOOKUP($Q561,'Threshold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Chart'!$B$1:$S$1,0)))),base,IF(OR(cat="Status",pow=0),0,FLOOR(FLOOR(FLOOR((2*XLOOKUP($Q561,'Threshold Summary'!$Y:$Y,'Threshold Summary'!$L:$L,"")/5+2)*pow*atk/def)/50)+2)),modifier,stab*eff,AVERAGE(ARRAYFORMULA(FLOOR(base*modifier*SEQUENCE(16,1,85,1)/100)))),0)</f>
        <v/>
      </c>
      <c r="M561" s="3">
        <f>IFERROR(LET(mtype,XLOOKUP($D561,'Move Editor'!$B:$B,'Move Editor'!$C:$C,""),cat,XLOOKUP($D561,'Move Editor'!$B:$B,'Move Editor'!$D:$D,""),pow,XLOOKUP($D561,'Move Editor'!$B:$B,'Move Editor'!$E:$E,0),acc,XLOOKUP($D561,'Move Editor'!$B:$B,'Move Editor'!$F:$F,100),atk,IF(cat="Physical",FLOOR((FLOOR(((2*XLOOKUP(XLOOKUP($Q561,'Threshold Summary'!$Y:$Y,'Threshold Summary'!$K:$K,""),'Pokemon Editor'!$A:$A,'Pokemon Editor'!$F:$F,0)+31+FLOOR(XLOOKUP($Q561,'Threshold Summary'!$Y:$Y,'Threshold Summary'!$P:$P,"")/4))*XLOOKUP($Q561,'Threshold Summary'!$Y:$Y,'Threshold Summary'!$L:$L,""))/100)+5)*XLOOKUP(XLOOKUP($Q561,'Threshold Summary'!$Y:$Y,'Threshold Summary'!$M:$M,""),'Nature Editor'!$A:$A,'Nature Editor'!$B:$B,1)),FLOOR((FLOOR(((2*XLOOKUP(XLOOKUP($Q561,'Threshold Summary'!$Y:$Y,'Threshold Summary'!$K:$K,""),'Pokemon Editor'!$A:$A,'Pokemon Editor'!$H:$H,0)+31+FLOOR(XLOOKUP($Q561,'Threshold Summary'!$Y:$Y,'Threshold Summary'!$R:$R,"")/4))*XLOOKUP($Q561,'Threshold Summary'!$Y:$Y,'Threshold Summary'!$L:$L,""))/100)+5)*XLOOKUP(XLOOKUP($Q561,'Threshold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Editor'!$E:$E,1))),stab,IF(OR(mtype=XLOOKUP(XLOOKUP($Q561,'Threshold Summary'!$Y:$Y,'Threshold Summary'!$K:$K,""),'Pokemon Editor'!$A:$A,'Pokemon Editor'!$C:$C,""),mtype=XLOOKUP(XLOOKUP($Q561,'Threshold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Chart'!$B$1:$S$1,0)))),base,IF(OR(cat="Status",pow=0),0,FLOOR(FLOOR(FLOOR((2*XLOOKUP($Q561,'Threshold Summary'!$Y:$Y,'Threshold Summary'!$L:$L,"")/5+2)*pow*atk/def)/50)+2)),modifier,stab*eff,AVERAGE(ARRAYFORMULA(FLOOR(base*modifier*SEQUENCE(16,1,85,1)/100)))*MIN(1,acc/100)),0)</f>
        <v/>
      </c>
      <c r="N561" s="4">
        <f>IFERROR(LET(mtype,XLOOKUP($D561,'Move Editor'!$B:$B,'Move Editor'!$C:$C,""),cat,XLOOKUP($D561,'Move Editor'!$B:$B,'Move Editor'!$D:$D,""),pow,XLOOKUP($D561,'Move Editor'!$B:$B,'Move Editor'!$E:$E,0),acc,XLOOKUP($D561,'Move Editor'!$B:$B,'Move Editor'!$F:$F,100),atk,IF(cat="Physical",FLOOR((FLOOR(((2*XLOOKUP(XLOOKUP($Q561,'Threshold Summary'!$Y:$Y,'Threshold Summary'!$K:$K,""),'Pokemon Editor'!$A:$A,'Pokemon Editor'!$F:$F,0)+31+FLOOR(XLOOKUP($Q561,'Threshold Summary'!$Y:$Y,'Threshold Summary'!$P:$P,"")/4))*XLOOKUP($Q561,'Threshold Summary'!$Y:$Y,'Threshold Summary'!$L:$L,""))/100)+5)*XLOOKUP(XLOOKUP($Q561,'Threshold Summary'!$Y:$Y,'Threshold Summary'!$M:$M,""),'Nature Editor'!$A:$A,'Nature Editor'!$B:$B,1)),FLOOR((FLOOR(((2*XLOOKUP(XLOOKUP($Q561,'Threshold Summary'!$Y:$Y,'Threshold Summary'!$K:$K,""),'Pokemon Editor'!$A:$A,'Pokemon Editor'!$H:$H,0)+31+FLOOR(XLOOKUP($Q561,'Threshold Summary'!$Y:$Y,'Threshold Summary'!$R:$R,"")/4))*XLOOKUP($Q561,'Threshold Summary'!$Y:$Y,'Threshold Summary'!$L:$L,""))/100)+5)*XLOOKUP(XLOOKUP($Q561,'Threshold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Editor'!$E:$E,1))),stab,IF(OR(mtype=XLOOKUP(XLOOKUP($Q561,'Threshold Summary'!$Y:$Y,'Threshold Summary'!$K:$K,""),'Pokemon Editor'!$A:$A,'Pokemon Editor'!$C:$C,""),mtype=XLOOKUP(XLOOKUP($Q561,'Threshold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Chart'!$B$1:$S$1,0)))),base,IF(OR(cat="Status",pow=0),0,FLOOR(FLOOR(FLOOR((2*XLOOKUP($Q561,'Threshold Summary'!$Y:$Y,'Threshold Summary'!$L:$L,"")/5+2)*pow*atk/def)/50)+2)),modifier,stab*eff,AVERAGE(ARRAYFORMULA(FLOOR(base*modifier*SEQUENCE(16,1,85,1)/100)))/(FLOOR(((2*XLOOKUP('Boss Editor'!$C$4,'Pokemon Editor'!$A:$A,'Pokemon Editor'!$E:$E,0)+31+FLOOR('Boss Editor'!$G$4/4))*'Boss Editor'!$D$4)/100)+'Boss Editor'!$D$4+10)),0)</f>
        <v/>
      </c>
      <c r="O561" s="3">
        <f>IF(N561&gt;=1,"OHKO",IF(N561&gt;=0.5,"2HKO",IF(N561&gt;=0.333,"3HKO",IF(N561&gt;=0.25,"4HKO","5HKO+"))))</f>
        <v/>
      </c>
      <c r="P561" s="3" t="inlineStr">
        <is>
          <t>Live from editable databases</t>
        </is>
      </c>
      <c r="Q561" s="3" t="inlineStr">
        <is>
          <t>SPECIES_DUCKLETT</t>
        </is>
      </c>
      <c r="R561" s="3" t="n">
        <v>16</v>
      </c>
    </row>
    <row r="562">
      <c r="A562" s="3">
        <f>XLOOKUP($Q562,'Threshold Summary'!$Y:$Y,'Threshold Summary'!$A:$A,"")</f>
        <v/>
      </c>
      <c r="B562" s="3">
        <f>XLOOKUP($Q562,'Threshold Summary'!$Y:$Y,'Threshold Summary'!$M:$M,"")</f>
        <v/>
      </c>
      <c r="C562" s="3">
        <f>XLOOKUP($Q562,'Threshold Summary'!$Y:$Y,'Threshold Summary'!$N:$N,"")</f>
        <v/>
      </c>
      <c r="D562" s="3">
        <f>IFERROR(INDEX(FILTER('Learnset Editor'!$D$2:$D,'Learnset Editor'!$A$2:$A=XLOOKUP($Q562,'Threshold Summary'!$Y:$Y,'Threshold Summary'!$K:$K,""),'Learnset Editor'!$C$2:$C&lt;=XLOOKUP($Q562,'Threshold Summary'!$Y:$Y,'Threshold Summary'!$L:$L,"")),$R562),"")</f>
        <v/>
      </c>
      <c r="E562" s="3">
        <f>XLOOKUP(D562,'Move Editor'!$B:$B,'Move Editor'!$C:$C,"")</f>
        <v/>
      </c>
      <c r="F562" s="3">
        <f>XLOOKUP(D562,'Move Editor'!$B:$B,'Move Editor'!$D:$D,"")</f>
        <v/>
      </c>
      <c r="G562" s="3">
        <f>XLOOKUP(D562,'Move Editor'!$B:$B,'Move Editor'!$E:$E,0)</f>
        <v/>
      </c>
      <c r="H562" s="3">
        <f>XLOOKUP(D562,'Move Editor'!$B:$B,'Move Editor'!$F:$F,0)</f>
        <v/>
      </c>
      <c r="I562" s="3">
        <f>(INDEX('Type Chart'!$B:$S,MATCH(E562,'Type Chart'!$A:$A,0),MATCH(XLOOKUP('Boss Editor'!$C$4,'Pokemon Editor'!$A:$A,'Pokemon Editor'!$C:$C,""),'Type Chart'!$B$1:$S$1,0))*IF(XLOOKUP('Boss Editor'!$C$4,'Pokemon Editor'!$A:$A,'Pokemon Editor'!$D:$D,"")="",1,INDEX('Type Chart'!$B:$S,MATCH(E562,'Type Chart'!$A:$A,0),MATCH(XLOOKUP('Boss Editor'!$C$4,'Pokemon Editor'!$A:$A,'Pokemon Editor'!$D:$D,""),'Type Chart'!$B$1:$S$1,0))))</f>
        <v/>
      </c>
      <c r="J562" s="3">
        <f>IFERROR(LET(mtype,XLOOKUP($D562,'Move Editor'!$B:$B,'Move Editor'!$C:$C,""),cat,XLOOKUP($D562,'Move Editor'!$B:$B,'Move Editor'!$D:$D,""),pow,XLOOKUP($D562,'Move Editor'!$B:$B,'Move Editor'!$E:$E,0),acc,XLOOKUP($D562,'Move Editor'!$B:$B,'Move Editor'!$F:$F,100),atk,IF(cat="Physical",FLOOR((FLOOR(((2*XLOOKUP(XLOOKUP($Q562,'Threshold Summary'!$Y:$Y,'Threshold Summary'!$K:$K,""),'Pokemon Editor'!$A:$A,'Pokemon Editor'!$F:$F,0)+31+FLOOR(XLOOKUP($Q562,'Threshold Summary'!$Y:$Y,'Threshold Summary'!$P:$P,"")/4))*XLOOKUP($Q562,'Threshold Summary'!$Y:$Y,'Threshold Summary'!$L:$L,""))/100)+5)*XLOOKUP(XLOOKUP($Q562,'Threshold Summary'!$Y:$Y,'Threshold Summary'!$M:$M,""),'Nature Editor'!$A:$A,'Nature Editor'!$B:$B,1)),FLOOR((FLOOR(((2*XLOOKUP(XLOOKUP($Q562,'Threshold Summary'!$Y:$Y,'Threshold Summary'!$K:$K,""),'Pokemon Editor'!$A:$A,'Pokemon Editor'!$H:$H,0)+31+FLOOR(XLOOKUP($Q562,'Threshold Summary'!$Y:$Y,'Threshold Summary'!$R:$R,"")/4))*XLOOKUP($Q562,'Threshold Summary'!$Y:$Y,'Threshold Summary'!$L:$L,""))/100)+5)*XLOOKUP(XLOOKUP($Q562,'Threshold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Editor'!$E:$E,1))),stab,IF(OR(mtype=XLOOKUP(XLOOKUP($Q562,'Threshold Summary'!$Y:$Y,'Threshold Summary'!$K:$K,""),'Pokemon Editor'!$A:$A,'Pokemon Editor'!$C:$C,""),mtype=XLOOKUP(XLOOKUP($Q562,'Threshold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Chart'!$B$1:$S$1,0)))),base,IF(OR(cat="Status",pow=0),0,FLOOR(FLOOR(FLOOR((2*XLOOKUP($Q562,'Threshold Summary'!$Y:$Y,'Threshold Summary'!$L:$L,"")/5+2)*pow*atk/def)/50)+2)),modifier,stab*eff,FLOOR(base*modifier*0.85)),0)</f>
        <v/>
      </c>
      <c r="K562" s="3">
        <f>IFERROR(LET(mtype,XLOOKUP($D562,'Move Editor'!$B:$B,'Move Editor'!$C:$C,""),cat,XLOOKUP($D562,'Move Editor'!$B:$B,'Move Editor'!$D:$D,""),pow,XLOOKUP($D562,'Move Editor'!$B:$B,'Move Editor'!$E:$E,0),acc,XLOOKUP($D562,'Move Editor'!$B:$B,'Move Editor'!$F:$F,100),atk,IF(cat="Physical",FLOOR((FLOOR(((2*XLOOKUP(XLOOKUP($Q562,'Threshold Summary'!$Y:$Y,'Threshold Summary'!$K:$K,""),'Pokemon Editor'!$A:$A,'Pokemon Editor'!$F:$F,0)+31+FLOOR(XLOOKUP($Q562,'Threshold Summary'!$Y:$Y,'Threshold Summary'!$P:$P,"")/4))*XLOOKUP($Q562,'Threshold Summary'!$Y:$Y,'Threshold Summary'!$L:$L,""))/100)+5)*XLOOKUP(XLOOKUP($Q562,'Threshold Summary'!$Y:$Y,'Threshold Summary'!$M:$M,""),'Nature Editor'!$A:$A,'Nature Editor'!$B:$B,1)),FLOOR((FLOOR(((2*XLOOKUP(XLOOKUP($Q562,'Threshold Summary'!$Y:$Y,'Threshold Summary'!$K:$K,""),'Pokemon Editor'!$A:$A,'Pokemon Editor'!$H:$H,0)+31+FLOOR(XLOOKUP($Q562,'Threshold Summary'!$Y:$Y,'Threshold Summary'!$R:$R,"")/4))*XLOOKUP($Q562,'Threshold Summary'!$Y:$Y,'Threshold Summary'!$L:$L,""))/100)+5)*XLOOKUP(XLOOKUP($Q562,'Threshold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Editor'!$E:$E,1))),stab,IF(OR(mtype=XLOOKUP(XLOOKUP($Q562,'Threshold Summary'!$Y:$Y,'Threshold Summary'!$K:$K,""),'Pokemon Editor'!$A:$A,'Pokemon Editor'!$C:$C,""),mtype=XLOOKUP(XLOOKUP($Q562,'Threshold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Chart'!$B$1:$S$1,0)))),base,IF(OR(cat="Status",pow=0),0,FLOOR(FLOOR(FLOOR((2*XLOOKUP($Q562,'Threshold Summary'!$Y:$Y,'Threshold Summary'!$L:$L,"")/5+2)*pow*atk/def)/50)+2)),modifier,stab*eff,FLOOR(base*modifier)),0)</f>
        <v/>
      </c>
      <c r="L562" s="3">
        <f>IFERROR(LET(mtype,XLOOKUP($D562,'Move Editor'!$B:$B,'Move Editor'!$C:$C,""),cat,XLOOKUP($D562,'Move Editor'!$B:$B,'Move Editor'!$D:$D,""),pow,XLOOKUP($D562,'Move Editor'!$B:$B,'Move Editor'!$E:$E,0),acc,XLOOKUP($D562,'Move Editor'!$B:$B,'Move Editor'!$F:$F,100),atk,IF(cat="Physical",FLOOR((FLOOR(((2*XLOOKUP(XLOOKUP($Q562,'Threshold Summary'!$Y:$Y,'Threshold Summary'!$K:$K,""),'Pokemon Editor'!$A:$A,'Pokemon Editor'!$F:$F,0)+31+FLOOR(XLOOKUP($Q562,'Threshold Summary'!$Y:$Y,'Threshold Summary'!$P:$P,"")/4))*XLOOKUP($Q562,'Threshold Summary'!$Y:$Y,'Threshold Summary'!$L:$L,""))/100)+5)*XLOOKUP(XLOOKUP($Q562,'Threshold Summary'!$Y:$Y,'Threshold Summary'!$M:$M,""),'Nature Editor'!$A:$A,'Nature Editor'!$B:$B,1)),FLOOR((FLOOR(((2*XLOOKUP(XLOOKUP($Q562,'Threshold Summary'!$Y:$Y,'Threshold Summary'!$K:$K,""),'Pokemon Editor'!$A:$A,'Pokemon Editor'!$H:$H,0)+31+FLOOR(XLOOKUP($Q562,'Threshold Summary'!$Y:$Y,'Threshold Summary'!$R:$R,"")/4))*XLOOKUP($Q562,'Threshold Summary'!$Y:$Y,'Threshold Summary'!$L:$L,""))/100)+5)*XLOOKUP(XLOOKUP($Q562,'Threshold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Editor'!$E:$E,1))),stab,IF(OR(mtype=XLOOKUP(XLOOKUP($Q562,'Threshold Summary'!$Y:$Y,'Threshold Summary'!$K:$K,""),'Pokemon Editor'!$A:$A,'Pokemon Editor'!$C:$C,""),mtype=XLOOKUP(XLOOKUP($Q562,'Threshold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Chart'!$B$1:$S$1,0)))),base,IF(OR(cat="Status",pow=0),0,FLOOR(FLOOR(FLOOR((2*XLOOKUP($Q562,'Threshold Summary'!$Y:$Y,'Threshold Summary'!$L:$L,"")/5+2)*pow*atk/def)/50)+2)),modifier,stab*eff,AVERAGE(ARRAYFORMULA(FLOOR(base*modifier*SEQUENCE(16,1,85,1)/100)))),0)</f>
        <v/>
      </c>
      <c r="M562" s="3">
        <f>IFERROR(LET(mtype,XLOOKUP($D562,'Move Editor'!$B:$B,'Move Editor'!$C:$C,""),cat,XLOOKUP($D562,'Move Editor'!$B:$B,'Move Editor'!$D:$D,""),pow,XLOOKUP($D562,'Move Editor'!$B:$B,'Move Editor'!$E:$E,0),acc,XLOOKUP($D562,'Move Editor'!$B:$B,'Move Editor'!$F:$F,100),atk,IF(cat="Physical",FLOOR((FLOOR(((2*XLOOKUP(XLOOKUP($Q562,'Threshold Summary'!$Y:$Y,'Threshold Summary'!$K:$K,""),'Pokemon Editor'!$A:$A,'Pokemon Editor'!$F:$F,0)+31+FLOOR(XLOOKUP($Q562,'Threshold Summary'!$Y:$Y,'Threshold Summary'!$P:$P,"")/4))*XLOOKUP($Q562,'Threshold Summary'!$Y:$Y,'Threshold Summary'!$L:$L,""))/100)+5)*XLOOKUP(XLOOKUP($Q562,'Threshold Summary'!$Y:$Y,'Threshold Summary'!$M:$M,""),'Nature Editor'!$A:$A,'Nature Editor'!$B:$B,1)),FLOOR((FLOOR(((2*XLOOKUP(XLOOKUP($Q562,'Threshold Summary'!$Y:$Y,'Threshold Summary'!$K:$K,""),'Pokemon Editor'!$A:$A,'Pokemon Editor'!$H:$H,0)+31+FLOOR(XLOOKUP($Q562,'Threshold Summary'!$Y:$Y,'Threshold Summary'!$R:$R,"")/4))*XLOOKUP($Q562,'Threshold Summary'!$Y:$Y,'Threshold Summary'!$L:$L,""))/100)+5)*XLOOKUP(XLOOKUP($Q562,'Threshold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Editor'!$E:$E,1))),stab,IF(OR(mtype=XLOOKUP(XLOOKUP($Q562,'Threshold Summary'!$Y:$Y,'Threshold Summary'!$K:$K,""),'Pokemon Editor'!$A:$A,'Pokemon Editor'!$C:$C,""),mtype=XLOOKUP(XLOOKUP($Q562,'Threshold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Chart'!$B$1:$S$1,0)))),base,IF(OR(cat="Status",pow=0),0,FLOOR(FLOOR(FLOOR((2*XLOOKUP($Q562,'Threshold Summary'!$Y:$Y,'Threshold Summary'!$L:$L,"")/5+2)*pow*atk/def)/50)+2)),modifier,stab*eff,AVERAGE(ARRAYFORMULA(FLOOR(base*modifier*SEQUENCE(16,1,85,1)/100)))*MIN(1,acc/100)),0)</f>
        <v/>
      </c>
      <c r="N562" s="4">
        <f>IFERROR(LET(mtype,XLOOKUP($D562,'Move Editor'!$B:$B,'Move Editor'!$C:$C,""),cat,XLOOKUP($D562,'Move Editor'!$B:$B,'Move Editor'!$D:$D,""),pow,XLOOKUP($D562,'Move Editor'!$B:$B,'Move Editor'!$E:$E,0),acc,XLOOKUP($D562,'Move Editor'!$B:$B,'Move Editor'!$F:$F,100),atk,IF(cat="Physical",FLOOR((FLOOR(((2*XLOOKUP(XLOOKUP($Q562,'Threshold Summary'!$Y:$Y,'Threshold Summary'!$K:$K,""),'Pokemon Editor'!$A:$A,'Pokemon Editor'!$F:$F,0)+31+FLOOR(XLOOKUP($Q562,'Threshold Summary'!$Y:$Y,'Threshold Summary'!$P:$P,"")/4))*XLOOKUP($Q562,'Threshold Summary'!$Y:$Y,'Threshold Summary'!$L:$L,""))/100)+5)*XLOOKUP(XLOOKUP($Q562,'Threshold Summary'!$Y:$Y,'Threshold Summary'!$M:$M,""),'Nature Editor'!$A:$A,'Nature Editor'!$B:$B,1)),FLOOR((FLOOR(((2*XLOOKUP(XLOOKUP($Q562,'Threshold Summary'!$Y:$Y,'Threshold Summary'!$K:$K,""),'Pokemon Editor'!$A:$A,'Pokemon Editor'!$H:$H,0)+31+FLOOR(XLOOKUP($Q562,'Threshold Summary'!$Y:$Y,'Threshold Summary'!$R:$R,"")/4))*XLOOKUP($Q562,'Threshold Summary'!$Y:$Y,'Threshold Summary'!$L:$L,""))/100)+5)*XLOOKUP(XLOOKUP($Q562,'Threshold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Editor'!$E:$E,1))),stab,IF(OR(mtype=XLOOKUP(XLOOKUP($Q562,'Threshold Summary'!$Y:$Y,'Threshold Summary'!$K:$K,""),'Pokemon Editor'!$A:$A,'Pokemon Editor'!$C:$C,""),mtype=XLOOKUP(XLOOKUP($Q562,'Threshold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Chart'!$B$1:$S$1,0)))),base,IF(OR(cat="Status",pow=0),0,FLOOR(FLOOR(FLOOR((2*XLOOKUP($Q562,'Threshold Summary'!$Y:$Y,'Threshold Summary'!$L:$L,"")/5+2)*pow*atk/def)/50)+2)),modifier,stab*eff,AVERAGE(ARRAYFORMULA(FLOOR(base*modifier*SEQUENCE(16,1,85,1)/100)))/(FLOOR(((2*XLOOKUP('Boss Editor'!$C$4,'Pokemon Editor'!$A:$A,'Pokemon Editor'!$E:$E,0)+31+FLOOR('Boss Editor'!$G$4/4))*'Boss Editor'!$D$4)/100)+'Boss Editor'!$D$4+10)),0)</f>
        <v/>
      </c>
      <c r="O562" s="3">
        <f>IF(N562&gt;=1,"OHKO",IF(N562&gt;=0.5,"2HKO",IF(N562&gt;=0.333,"3HKO",IF(N562&gt;=0.25,"4HKO","5HKO+"))))</f>
        <v/>
      </c>
      <c r="P562" s="3" t="inlineStr">
        <is>
          <t>Live from editable databases</t>
        </is>
      </c>
      <c r="Q562" s="3" t="inlineStr">
        <is>
          <t>SPECIES_DUCKLETT</t>
        </is>
      </c>
      <c r="R562" s="3" t="n">
        <v>17</v>
      </c>
    </row>
    <row r="563">
      <c r="A563" s="3">
        <f>XLOOKUP($Q563,'Threshold Summary'!$Y:$Y,'Threshold Summary'!$A:$A,"")</f>
        <v/>
      </c>
      <c r="B563" s="3">
        <f>XLOOKUP($Q563,'Threshold Summary'!$Y:$Y,'Threshold Summary'!$M:$M,"")</f>
        <v/>
      </c>
      <c r="C563" s="3">
        <f>XLOOKUP($Q563,'Threshold Summary'!$Y:$Y,'Threshold Summary'!$N:$N,"")</f>
        <v/>
      </c>
      <c r="D563" s="3">
        <f>IFERROR(INDEX(FILTER('Learnset Editor'!$D$2:$D,'Learnset Editor'!$A$2:$A=XLOOKUP($Q563,'Threshold Summary'!$Y:$Y,'Threshold Summary'!$K:$K,""),'Learnset Editor'!$C$2:$C&lt;=XLOOKUP($Q563,'Threshold Summary'!$Y:$Y,'Threshold Summary'!$L:$L,"")),$R563),"")</f>
        <v/>
      </c>
      <c r="E563" s="3">
        <f>XLOOKUP(D563,'Move Editor'!$B:$B,'Move Editor'!$C:$C,"")</f>
        <v/>
      </c>
      <c r="F563" s="3">
        <f>XLOOKUP(D563,'Move Editor'!$B:$B,'Move Editor'!$D:$D,"")</f>
        <v/>
      </c>
      <c r="G563" s="3">
        <f>XLOOKUP(D563,'Move Editor'!$B:$B,'Move Editor'!$E:$E,0)</f>
        <v/>
      </c>
      <c r="H563" s="3">
        <f>XLOOKUP(D563,'Move Editor'!$B:$B,'Move Editor'!$F:$F,0)</f>
        <v/>
      </c>
      <c r="I563" s="3">
        <f>(INDEX('Type Chart'!$B:$S,MATCH(E563,'Type Chart'!$A:$A,0),MATCH(XLOOKUP('Boss Editor'!$C$4,'Pokemon Editor'!$A:$A,'Pokemon Editor'!$C:$C,""),'Type Chart'!$B$1:$S$1,0))*IF(XLOOKUP('Boss Editor'!$C$4,'Pokemon Editor'!$A:$A,'Pokemon Editor'!$D:$D,"")="",1,INDEX('Type Chart'!$B:$S,MATCH(E563,'Type Chart'!$A:$A,0),MATCH(XLOOKUP('Boss Editor'!$C$4,'Pokemon Editor'!$A:$A,'Pokemon Editor'!$D:$D,""),'Type Chart'!$B$1:$S$1,0))))</f>
        <v/>
      </c>
      <c r="J563" s="3">
        <f>IFERROR(LET(mtype,XLOOKUP($D563,'Move Editor'!$B:$B,'Move Editor'!$C:$C,""),cat,XLOOKUP($D563,'Move Editor'!$B:$B,'Move Editor'!$D:$D,""),pow,XLOOKUP($D563,'Move Editor'!$B:$B,'Move Editor'!$E:$E,0),acc,XLOOKUP($D563,'Move Editor'!$B:$B,'Move Editor'!$F:$F,100),atk,IF(cat="Physical",FLOOR((FLOOR(((2*XLOOKUP(XLOOKUP($Q563,'Threshold Summary'!$Y:$Y,'Threshold Summary'!$K:$K,""),'Pokemon Editor'!$A:$A,'Pokemon Editor'!$F:$F,0)+31+FLOOR(XLOOKUP($Q563,'Threshold Summary'!$Y:$Y,'Threshold Summary'!$P:$P,"")/4))*XLOOKUP($Q563,'Threshold Summary'!$Y:$Y,'Threshold Summary'!$L:$L,""))/100)+5)*XLOOKUP(XLOOKUP($Q563,'Threshold Summary'!$Y:$Y,'Threshold Summary'!$M:$M,""),'Nature Editor'!$A:$A,'Nature Editor'!$B:$B,1)),FLOOR((FLOOR(((2*XLOOKUP(XLOOKUP($Q563,'Threshold Summary'!$Y:$Y,'Threshold Summary'!$K:$K,""),'Pokemon Editor'!$A:$A,'Pokemon Editor'!$H:$H,0)+31+FLOOR(XLOOKUP($Q563,'Threshold Summary'!$Y:$Y,'Threshold Summary'!$R:$R,"")/4))*XLOOKUP($Q563,'Threshold Summary'!$Y:$Y,'Threshold Summary'!$L:$L,""))/100)+5)*XLOOKUP(XLOOKUP($Q563,'Threshold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Editor'!$E:$E,1))),stab,IF(OR(mtype=XLOOKUP(XLOOKUP($Q563,'Threshold Summary'!$Y:$Y,'Threshold Summary'!$K:$K,""),'Pokemon Editor'!$A:$A,'Pokemon Editor'!$C:$C,""),mtype=XLOOKUP(XLOOKUP($Q563,'Threshold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Chart'!$B$1:$S$1,0)))),base,IF(OR(cat="Status",pow=0),0,FLOOR(FLOOR(FLOOR((2*XLOOKUP($Q563,'Threshold Summary'!$Y:$Y,'Threshold Summary'!$L:$L,"")/5+2)*pow*atk/def)/50)+2)),modifier,stab*eff,FLOOR(base*modifier*0.85)),0)</f>
        <v/>
      </c>
      <c r="K563" s="3">
        <f>IFERROR(LET(mtype,XLOOKUP($D563,'Move Editor'!$B:$B,'Move Editor'!$C:$C,""),cat,XLOOKUP($D563,'Move Editor'!$B:$B,'Move Editor'!$D:$D,""),pow,XLOOKUP($D563,'Move Editor'!$B:$B,'Move Editor'!$E:$E,0),acc,XLOOKUP($D563,'Move Editor'!$B:$B,'Move Editor'!$F:$F,100),atk,IF(cat="Physical",FLOOR((FLOOR(((2*XLOOKUP(XLOOKUP($Q563,'Threshold Summary'!$Y:$Y,'Threshold Summary'!$K:$K,""),'Pokemon Editor'!$A:$A,'Pokemon Editor'!$F:$F,0)+31+FLOOR(XLOOKUP($Q563,'Threshold Summary'!$Y:$Y,'Threshold Summary'!$P:$P,"")/4))*XLOOKUP($Q563,'Threshold Summary'!$Y:$Y,'Threshold Summary'!$L:$L,""))/100)+5)*XLOOKUP(XLOOKUP($Q563,'Threshold Summary'!$Y:$Y,'Threshold Summary'!$M:$M,""),'Nature Editor'!$A:$A,'Nature Editor'!$B:$B,1)),FLOOR((FLOOR(((2*XLOOKUP(XLOOKUP($Q563,'Threshold Summary'!$Y:$Y,'Threshold Summary'!$K:$K,""),'Pokemon Editor'!$A:$A,'Pokemon Editor'!$H:$H,0)+31+FLOOR(XLOOKUP($Q563,'Threshold Summary'!$Y:$Y,'Threshold Summary'!$R:$R,"")/4))*XLOOKUP($Q563,'Threshold Summary'!$Y:$Y,'Threshold Summary'!$L:$L,""))/100)+5)*XLOOKUP(XLOOKUP($Q563,'Threshold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Editor'!$E:$E,1))),stab,IF(OR(mtype=XLOOKUP(XLOOKUP($Q563,'Threshold Summary'!$Y:$Y,'Threshold Summary'!$K:$K,""),'Pokemon Editor'!$A:$A,'Pokemon Editor'!$C:$C,""),mtype=XLOOKUP(XLOOKUP($Q563,'Threshold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Chart'!$B$1:$S$1,0)))),base,IF(OR(cat="Status",pow=0),0,FLOOR(FLOOR(FLOOR((2*XLOOKUP($Q563,'Threshold Summary'!$Y:$Y,'Threshold Summary'!$L:$L,"")/5+2)*pow*atk/def)/50)+2)),modifier,stab*eff,FLOOR(base*modifier)),0)</f>
        <v/>
      </c>
      <c r="L563" s="3">
        <f>IFERROR(LET(mtype,XLOOKUP($D563,'Move Editor'!$B:$B,'Move Editor'!$C:$C,""),cat,XLOOKUP($D563,'Move Editor'!$B:$B,'Move Editor'!$D:$D,""),pow,XLOOKUP($D563,'Move Editor'!$B:$B,'Move Editor'!$E:$E,0),acc,XLOOKUP($D563,'Move Editor'!$B:$B,'Move Editor'!$F:$F,100),atk,IF(cat="Physical",FLOOR((FLOOR(((2*XLOOKUP(XLOOKUP($Q563,'Threshold Summary'!$Y:$Y,'Threshold Summary'!$K:$K,""),'Pokemon Editor'!$A:$A,'Pokemon Editor'!$F:$F,0)+31+FLOOR(XLOOKUP($Q563,'Threshold Summary'!$Y:$Y,'Threshold Summary'!$P:$P,"")/4))*XLOOKUP($Q563,'Threshold Summary'!$Y:$Y,'Threshold Summary'!$L:$L,""))/100)+5)*XLOOKUP(XLOOKUP($Q563,'Threshold Summary'!$Y:$Y,'Threshold Summary'!$M:$M,""),'Nature Editor'!$A:$A,'Nature Editor'!$B:$B,1)),FLOOR((FLOOR(((2*XLOOKUP(XLOOKUP($Q563,'Threshold Summary'!$Y:$Y,'Threshold Summary'!$K:$K,""),'Pokemon Editor'!$A:$A,'Pokemon Editor'!$H:$H,0)+31+FLOOR(XLOOKUP($Q563,'Threshold Summary'!$Y:$Y,'Threshold Summary'!$R:$R,"")/4))*XLOOKUP($Q563,'Threshold Summary'!$Y:$Y,'Threshold Summary'!$L:$L,""))/100)+5)*XLOOKUP(XLOOKUP($Q563,'Threshold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Editor'!$E:$E,1))),stab,IF(OR(mtype=XLOOKUP(XLOOKUP($Q563,'Threshold Summary'!$Y:$Y,'Threshold Summary'!$K:$K,""),'Pokemon Editor'!$A:$A,'Pokemon Editor'!$C:$C,""),mtype=XLOOKUP(XLOOKUP($Q563,'Threshold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Chart'!$B$1:$S$1,0)))),base,IF(OR(cat="Status",pow=0),0,FLOOR(FLOOR(FLOOR((2*XLOOKUP($Q563,'Threshold Summary'!$Y:$Y,'Threshold Summary'!$L:$L,"")/5+2)*pow*atk/def)/50)+2)),modifier,stab*eff,AVERAGE(ARRAYFORMULA(FLOOR(base*modifier*SEQUENCE(16,1,85,1)/100)))),0)</f>
        <v/>
      </c>
      <c r="M563" s="3">
        <f>IFERROR(LET(mtype,XLOOKUP($D563,'Move Editor'!$B:$B,'Move Editor'!$C:$C,""),cat,XLOOKUP($D563,'Move Editor'!$B:$B,'Move Editor'!$D:$D,""),pow,XLOOKUP($D563,'Move Editor'!$B:$B,'Move Editor'!$E:$E,0),acc,XLOOKUP($D563,'Move Editor'!$B:$B,'Move Editor'!$F:$F,100),atk,IF(cat="Physical",FLOOR((FLOOR(((2*XLOOKUP(XLOOKUP($Q563,'Threshold Summary'!$Y:$Y,'Threshold Summary'!$K:$K,""),'Pokemon Editor'!$A:$A,'Pokemon Editor'!$F:$F,0)+31+FLOOR(XLOOKUP($Q563,'Threshold Summary'!$Y:$Y,'Threshold Summary'!$P:$P,"")/4))*XLOOKUP($Q563,'Threshold Summary'!$Y:$Y,'Threshold Summary'!$L:$L,""))/100)+5)*XLOOKUP(XLOOKUP($Q563,'Threshold Summary'!$Y:$Y,'Threshold Summary'!$M:$M,""),'Nature Editor'!$A:$A,'Nature Editor'!$B:$B,1)),FLOOR((FLOOR(((2*XLOOKUP(XLOOKUP($Q563,'Threshold Summary'!$Y:$Y,'Threshold Summary'!$K:$K,""),'Pokemon Editor'!$A:$A,'Pokemon Editor'!$H:$H,0)+31+FLOOR(XLOOKUP($Q563,'Threshold Summary'!$Y:$Y,'Threshold Summary'!$R:$R,"")/4))*XLOOKUP($Q563,'Threshold Summary'!$Y:$Y,'Threshold Summary'!$L:$L,""))/100)+5)*XLOOKUP(XLOOKUP($Q563,'Threshold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Editor'!$E:$E,1))),stab,IF(OR(mtype=XLOOKUP(XLOOKUP($Q563,'Threshold Summary'!$Y:$Y,'Threshold Summary'!$K:$K,""),'Pokemon Editor'!$A:$A,'Pokemon Editor'!$C:$C,""),mtype=XLOOKUP(XLOOKUP($Q563,'Threshold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Chart'!$B$1:$S$1,0)))),base,IF(OR(cat="Status",pow=0),0,FLOOR(FLOOR(FLOOR((2*XLOOKUP($Q563,'Threshold Summary'!$Y:$Y,'Threshold Summary'!$L:$L,"")/5+2)*pow*atk/def)/50)+2)),modifier,stab*eff,AVERAGE(ARRAYFORMULA(FLOOR(base*modifier*SEQUENCE(16,1,85,1)/100)))*MIN(1,acc/100)),0)</f>
        <v/>
      </c>
      <c r="N563" s="4">
        <f>IFERROR(LET(mtype,XLOOKUP($D563,'Move Editor'!$B:$B,'Move Editor'!$C:$C,""),cat,XLOOKUP($D563,'Move Editor'!$B:$B,'Move Editor'!$D:$D,""),pow,XLOOKUP($D563,'Move Editor'!$B:$B,'Move Editor'!$E:$E,0),acc,XLOOKUP($D563,'Move Editor'!$B:$B,'Move Editor'!$F:$F,100),atk,IF(cat="Physical",FLOOR((FLOOR(((2*XLOOKUP(XLOOKUP($Q563,'Threshold Summary'!$Y:$Y,'Threshold Summary'!$K:$K,""),'Pokemon Editor'!$A:$A,'Pokemon Editor'!$F:$F,0)+31+FLOOR(XLOOKUP($Q563,'Threshold Summary'!$Y:$Y,'Threshold Summary'!$P:$P,"")/4))*XLOOKUP($Q563,'Threshold Summary'!$Y:$Y,'Threshold Summary'!$L:$L,""))/100)+5)*XLOOKUP(XLOOKUP($Q563,'Threshold Summary'!$Y:$Y,'Threshold Summary'!$M:$M,""),'Nature Editor'!$A:$A,'Nature Editor'!$B:$B,1)),FLOOR((FLOOR(((2*XLOOKUP(XLOOKUP($Q563,'Threshold Summary'!$Y:$Y,'Threshold Summary'!$K:$K,""),'Pokemon Editor'!$A:$A,'Pokemon Editor'!$H:$H,0)+31+FLOOR(XLOOKUP($Q563,'Threshold Summary'!$Y:$Y,'Threshold Summary'!$R:$R,"")/4))*XLOOKUP($Q563,'Threshold Summary'!$Y:$Y,'Threshold Summary'!$L:$L,""))/100)+5)*XLOOKUP(XLOOKUP($Q563,'Threshold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Editor'!$E:$E,1))),stab,IF(OR(mtype=XLOOKUP(XLOOKUP($Q563,'Threshold Summary'!$Y:$Y,'Threshold Summary'!$K:$K,""),'Pokemon Editor'!$A:$A,'Pokemon Editor'!$C:$C,""),mtype=XLOOKUP(XLOOKUP($Q563,'Threshold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Chart'!$B$1:$S$1,0)))),base,IF(OR(cat="Status",pow=0),0,FLOOR(FLOOR(FLOOR((2*XLOOKUP($Q563,'Threshold Summary'!$Y:$Y,'Threshold Summary'!$L:$L,"")/5+2)*pow*atk/def)/50)+2)),modifier,stab*eff,AVERAGE(ARRAYFORMULA(FLOOR(base*modifier*SEQUENCE(16,1,85,1)/100)))/(FLOOR(((2*XLOOKUP('Boss Editor'!$C$4,'Pokemon Editor'!$A:$A,'Pokemon Editor'!$E:$E,0)+31+FLOOR('Boss Editor'!$G$4/4))*'Boss Editor'!$D$4)/100)+'Boss Editor'!$D$4+10)),0)</f>
        <v/>
      </c>
      <c r="O563" s="3">
        <f>IF(N563&gt;=1,"OHKO",IF(N563&gt;=0.5,"2HKO",IF(N563&gt;=0.333,"3HKO",IF(N563&gt;=0.25,"4HKO","5HKO+"))))</f>
        <v/>
      </c>
      <c r="P563" s="3" t="inlineStr">
        <is>
          <t>Live from editable databases</t>
        </is>
      </c>
      <c r="Q563" s="3" t="inlineStr">
        <is>
          <t>SPECIES_DUCKLETT</t>
        </is>
      </c>
      <c r="R563" s="3" t="n">
        <v>18</v>
      </c>
    </row>
    <row r="564">
      <c r="A564" s="3">
        <f>XLOOKUP($Q564,'Threshold Summary'!$Y:$Y,'Threshold Summary'!$A:$A,"")</f>
        <v/>
      </c>
      <c r="B564" s="3">
        <f>XLOOKUP($Q564,'Threshold Summary'!$Y:$Y,'Threshold Summary'!$M:$M,"")</f>
        <v/>
      </c>
      <c r="C564" s="3">
        <f>XLOOKUP($Q564,'Threshold Summary'!$Y:$Y,'Threshold Summary'!$N:$N,"")</f>
        <v/>
      </c>
      <c r="D564" s="3">
        <f>IFERROR(INDEX(FILTER('Learnset Editor'!$D$2:$D,'Learnset Editor'!$A$2:$A=XLOOKUP($Q564,'Threshold Summary'!$Y:$Y,'Threshold Summary'!$K:$K,""),'Learnset Editor'!$C$2:$C&lt;=XLOOKUP($Q564,'Threshold Summary'!$Y:$Y,'Threshold Summary'!$L:$L,"")),$R564),"")</f>
        <v/>
      </c>
      <c r="E564" s="3">
        <f>XLOOKUP(D564,'Move Editor'!$B:$B,'Move Editor'!$C:$C,"")</f>
        <v/>
      </c>
      <c r="F564" s="3">
        <f>XLOOKUP(D564,'Move Editor'!$B:$B,'Move Editor'!$D:$D,"")</f>
        <v/>
      </c>
      <c r="G564" s="3">
        <f>XLOOKUP(D564,'Move Editor'!$B:$B,'Move Editor'!$E:$E,0)</f>
        <v/>
      </c>
      <c r="H564" s="3">
        <f>XLOOKUP(D564,'Move Editor'!$B:$B,'Move Editor'!$F:$F,0)</f>
        <v/>
      </c>
      <c r="I564" s="3">
        <f>(INDEX('Type Chart'!$B:$S,MATCH(E564,'Type Chart'!$A:$A,0),MATCH(XLOOKUP('Boss Editor'!$C$4,'Pokemon Editor'!$A:$A,'Pokemon Editor'!$C:$C,""),'Type Chart'!$B$1:$S$1,0))*IF(XLOOKUP('Boss Editor'!$C$4,'Pokemon Editor'!$A:$A,'Pokemon Editor'!$D:$D,"")="",1,INDEX('Type Chart'!$B:$S,MATCH(E564,'Type Chart'!$A:$A,0),MATCH(XLOOKUP('Boss Editor'!$C$4,'Pokemon Editor'!$A:$A,'Pokemon Editor'!$D:$D,""),'Type Chart'!$B$1:$S$1,0))))</f>
        <v/>
      </c>
      <c r="J564" s="3">
        <f>IFERROR(LET(mtype,XLOOKUP($D564,'Move Editor'!$B:$B,'Move Editor'!$C:$C,""),cat,XLOOKUP($D564,'Move Editor'!$B:$B,'Move Editor'!$D:$D,""),pow,XLOOKUP($D564,'Move Editor'!$B:$B,'Move Editor'!$E:$E,0),acc,XLOOKUP($D564,'Move Editor'!$B:$B,'Move Editor'!$F:$F,100),atk,IF(cat="Physical",FLOOR((FLOOR(((2*XLOOKUP(XLOOKUP($Q564,'Threshold Summary'!$Y:$Y,'Threshold Summary'!$K:$K,""),'Pokemon Editor'!$A:$A,'Pokemon Editor'!$F:$F,0)+31+FLOOR(XLOOKUP($Q564,'Threshold Summary'!$Y:$Y,'Threshold Summary'!$P:$P,"")/4))*XLOOKUP($Q564,'Threshold Summary'!$Y:$Y,'Threshold Summary'!$L:$L,""))/100)+5)*XLOOKUP(XLOOKUP($Q564,'Threshold Summary'!$Y:$Y,'Threshold Summary'!$M:$M,""),'Nature Editor'!$A:$A,'Nature Editor'!$B:$B,1)),FLOOR((FLOOR(((2*XLOOKUP(XLOOKUP($Q564,'Threshold Summary'!$Y:$Y,'Threshold Summary'!$K:$K,""),'Pokemon Editor'!$A:$A,'Pokemon Editor'!$H:$H,0)+31+FLOOR(XLOOKUP($Q564,'Threshold Summary'!$Y:$Y,'Threshold Summary'!$R:$R,"")/4))*XLOOKUP($Q564,'Threshold Summary'!$Y:$Y,'Threshold Summary'!$L:$L,""))/100)+5)*XLOOKUP(XLOOKUP($Q564,'Threshold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Editor'!$E:$E,1))),stab,IF(OR(mtype=XLOOKUP(XLOOKUP($Q564,'Threshold Summary'!$Y:$Y,'Threshold Summary'!$K:$K,""),'Pokemon Editor'!$A:$A,'Pokemon Editor'!$C:$C,""),mtype=XLOOKUP(XLOOKUP($Q564,'Threshold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Chart'!$B$1:$S$1,0)))),base,IF(OR(cat="Status",pow=0),0,FLOOR(FLOOR(FLOOR((2*XLOOKUP($Q564,'Threshold Summary'!$Y:$Y,'Threshold Summary'!$L:$L,"")/5+2)*pow*atk/def)/50)+2)),modifier,stab*eff,FLOOR(base*modifier*0.85)),0)</f>
        <v/>
      </c>
      <c r="K564" s="3">
        <f>IFERROR(LET(mtype,XLOOKUP($D564,'Move Editor'!$B:$B,'Move Editor'!$C:$C,""),cat,XLOOKUP($D564,'Move Editor'!$B:$B,'Move Editor'!$D:$D,""),pow,XLOOKUP($D564,'Move Editor'!$B:$B,'Move Editor'!$E:$E,0),acc,XLOOKUP($D564,'Move Editor'!$B:$B,'Move Editor'!$F:$F,100),atk,IF(cat="Physical",FLOOR((FLOOR(((2*XLOOKUP(XLOOKUP($Q564,'Threshold Summary'!$Y:$Y,'Threshold Summary'!$K:$K,""),'Pokemon Editor'!$A:$A,'Pokemon Editor'!$F:$F,0)+31+FLOOR(XLOOKUP($Q564,'Threshold Summary'!$Y:$Y,'Threshold Summary'!$P:$P,"")/4))*XLOOKUP($Q564,'Threshold Summary'!$Y:$Y,'Threshold Summary'!$L:$L,""))/100)+5)*XLOOKUP(XLOOKUP($Q564,'Threshold Summary'!$Y:$Y,'Threshold Summary'!$M:$M,""),'Nature Editor'!$A:$A,'Nature Editor'!$B:$B,1)),FLOOR((FLOOR(((2*XLOOKUP(XLOOKUP($Q564,'Threshold Summary'!$Y:$Y,'Threshold Summary'!$K:$K,""),'Pokemon Editor'!$A:$A,'Pokemon Editor'!$H:$H,0)+31+FLOOR(XLOOKUP($Q564,'Threshold Summary'!$Y:$Y,'Threshold Summary'!$R:$R,"")/4))*XLOOKUP($Q564,'Threshold Summary'!$Y:$Y,'Threshold Summary'!$L:$L,""))/100)+5)*XLOOKUP(XLOOKUP($Q564,'Threshold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Editor'!$E:$E,1))),stab,IF(OR(mtype=XLOOKUP(XLOOKUP($Q564,'Threshold Summary'!$Y:$Y,'Threshold Summary'!$K:$K,""),'Pokemon Editor'!$A:$A,'Pokemon Editor'!$C:$C,""),mtype=XLOOKUP(XLOOKUP($Q564,'Threshold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Chart'!$B$1:$S$1,0)))),base,IF(OR(cat="Status",pow=0),0,FLOOR(FLOOR(FLOOR((2*XLOOKUP($Q564,'Threshold Summary'!$Y:$Y,'Threshold Summary'!$L:$L,"")/5+2)*pow*atk/def)/50)+2)),modifier,stab*eff,FLOOR(base*modifier)),0)</f>
        <v/>
      </c>
      <c r="L564" s="3">
        <f>IFERROR(LET(mtype,XLOOKUP($D564,'Move Editor'!$B:$B,'Move Editor'!$C:$C,""),cat,XLOOKUP($D564,'Move Editor'!$B:$B,'Move Editor'!$D:$D,""),pow,XLOOKUP($D564,'Move Editor'!$B:$B,'Move Editor'!$E:$E,0),acc,XLOOKUP($D564,'Move Editor'!$B:$B,'Move Editor'!$F:$F,100),atk,IF(cat="Physical",FLOOR((FLOOR(((2*XLOOKUP(XLOOKUP($Q564,'Threshold Summary'!$Y:$Y,'Threshold Summary'!$K:$K,""),'Pokemon Editor'!$A:$A,'Pokemon Editor'!$F:$F,0)+31+FLOOR(XLOOKUP($Q564,'Threshold Summary'!$Y:$Y,'Threshold Summary'!$P:$P,"")/4))*XLOOKUP($Q564,'Threshold Summary'!$Y:$Y,'Threshold Summary'!$L:$L,""))/100)+5)*XLOOKUP(XLOOKUP($Q564,'Threshold Summary'!$Y:$Y,'Threshold Summary'!$M:$M,""),'Nature Editor'!$A:$A,'Nature Editor'!$B:$B,1)),FLOOR((FLOOR(((2*XLOOKUP(XLOOKUP($Q564,'Threshold Summary'!$Y:$Y,'Threshold Summary'!$K:$K,""),'Pokemon Editor'!$A:$A,'Pokemon Editor'!$H:$H,0)+31+FLOOR(XLOOKUP($Q564,'Threshold Summary'!$Y:$Y,'Threshold Summary'!$R:$R,"")/4))*XLOOKUP($Q564,'Threshold Summary'!$Y:$Y,'Threshold Summary'!$L:$L,""))/100)+5)*XLOOKUP(XLOOKUP($Q564,'Threshold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Editor'!$E:$E,1))),stab,IF(OR(mtype=XLOOKUP(XLOOKUP($Q564,'Threshold Summary'!$Y:$Y,'Threshold Summary'!$K:$K,""),'Pokemon Editor'!$A:$A,'Pokemon Editor'!$C:$C,""),mtype=XLOOKUP(XLOOKUP($Q564,'Threshold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Chart'!$B$1:$S$1,0)))),base,IF(OR(cat="Status",pow=0),0,FLOOR(FLOOR(FLOOR((2*XLOOKUP($Q564,'Threshold Summary'!$Y:$Y,'Threshold Summary'!$L:$L,"")/5+2)*pow*atk/def)/50)+2)),modifier,stab*eff,AVERAGE(ARRAYFORMULA(FLOOR(base*modifier*SEQUENCE(16,1,85,1)/100)))),0)</f>
        <v/>
      </c>
      <c r="M564" s="3">
        <f>IFERROR(LET(mtype,XLOOKUP($D564,'Move Editor'!$B:$B,'Move Editor'!$C:$C,""),cat,XLOOKUP($D564,'Move Editor'!$B:$B,'Move Editor'!$D:$D,""),pow,XLOOKUP($D564,'Move Editor'!$B:$B,'Move Editor'!$E:$E,0),acc,XLOOKUP($D564,'Move Editor'!$B:$B,'Move Editor'!$F:$F,100),atk,IF(cat="Physical",FLOOR((FLOOR(((2*XLOOKUP(XLOOKUP($Q564,'Threshold Summary'!$Y:$Y,'Threshold Summary'!$K:$K,""),'Pokemon Editor'!$A:$A,'Pokemon Editor'!$F:$F,0)+31+FLOOR(XLOOKUP($Q564,'Threshold Summary'!$Y:$Y,'Threshold Summary'!$P:$P,"")/4))*XLOOKUP($Q564,'Threshold Summary'!$Y:$Y,'Threshold Summary'!$L:$L,""))/100)+5)*XLOOKUP(XLOOKUP($Q564,'Threshold Summary'!$Y:$Y,'Threshold Summary'!$M:$M,""),'Nature Editor'!$A:$A,'Nature Editor'!$B:$B,1)),FLOOR((FLOOR(((2*XLOOKUP(XLOOKUP($Q564,'Threshold Summary'!$Y:$Y,'Threshold Summary'!$K:$K,""),'Pokemon Editor'!$A:$A,'Pokemon Editor'!$H:$H,0)+31+FLOOR(XLOOKUP($Q564,'Threshold Summary'!$Y:$Y,'Threshold Summary'!$R:$R,"")/4))*XLOOKUP($Q564,'Threshold Summary'!$Y:$Y,'Threshold Summary'!$L:$L,""))/100)+5)*XLOOKUP(XLOOKUP($Q564,'Threshold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Editor'!$E:$E,1))),stab,IF(OR(mtype=XLOOKUP(XLOOKUP($Q564,'Threshold Summary'!$Y:$Y,'Threshold Summary'!$K:$K,""),'Pokemon Editor'!$A:$A,'Pokemon Editor'!$C:$C,""),mtype=XLOOKUP(XLOOKUP($Q564,'Threshold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Chart'!$B$1:$S$1,0)))),base,IF(OR(cat="Status",pow=0),0,FLOOR(FLOOR(FLOOR((2*XLOOKUP($Q564,'Threshold Summary'!$Y:$Y,'Threshold Summary'!$L:$L,"")/5+2)*pow*atk/def)/50)+2)),modifier,stab*eff,AVERAGE(ARRAYFORMULA(FLOOR(base*modifier*SEQUENCE(16,1,85,1)/100)))*MIN(1,acc/100)),0)</f>
        <v/>
      </c>
      <c r="N564" s="4">
        <f>IFERROR(LET(mtype,XLOOKUP($D564,'Move Editor'!$B:$B,'Move Editor'!$C:$C,""),cat,XLOOKUP($D564,'Move Editor'!$B:$B,'Move Editor'!$D:$D,""),pow,XLOOKUP($D564,'Move Editor'!$B:$B,'Move Editor'!$E:$E,0),acc,XLOOKUP($D564,'Move Editor'!$B:$B,'Move Editor'!$F:$F,100),atk,IF(cat="Physical",FLOOR((FLOOR(((2*XLOOKUP(XLOOKUP($Q564,'Threshold Summary'!$Y:$Y,'Threshold Summary'!$K:$K,""),'Pokemon Editor'!$A:$A,'Pokemon Editor'!$F:$F,0)+31+FLOOR(XLOOKUP($Q564,'Threshold Summary'!$Y:$Y,'Threshold Summary'!$P:$P,"")/4))*XLOOKUP($Q564,'Threshold Summary'!$Y:$Y,'Threshold Summary'!$L:$L,""))/100)+5)*XLOOKUP(XLOOKUP($Q564,'Threshold Summary'!$Y:$Y,'Threshold Summary'!$M:$M,""),'Nature Editor'!$A:$A,'Nature Editor'!$B:$B,1)),FLOOR((FLOOR(((2*XLOOKUP(XLOOKUP($Q564,'Threshold Summary'!$Y:$Y,'Threshold Summary'!$K:$K,""),'Pokemon Editor'!$A:$A,'Pokemon Editor'!$H:$H,0)+31+FLOOR(XLOOKUP($Q564,'Threshold Summary'!$Y:$Y,'Threshold Summary'!$R:$R,"")/4))*XLOOKUP($Q564,'Threshold Summary'!$Y:$Y,'Threshold Summary'!$L:$L,""))/100)+5)*XLOOKUP(XLOOKUP($Q564,'Threshold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Editor'!$E:$E,1))),stab,IF(OR(mtype=XLOOKUP(XLOOKUP($Q564,'Threshold Summary'!$Y:$Y,'Threshold Summary'!$K:$K,""),'Pokemon Editor'!$A:$A,'Pokemon Editor'!$C:$C,""),mtype=XLOOKUP(XLOOKUP($Q564,'Threshold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Chart'!$B$1:$S$1,0)))),base,IF(OR(cat="Status",pow=0),0,FLOOR(FLOOR(FLOOR((2*XLOOKUP($Q564,'Threshold Summary'!$Y:$Y,'Threshold Summary'!$L:$L,"")/5+2)*pow*atk/def)/50)+2)),modifier,stab*eff,AVERAGE(ARRAYFORMULA(FLOOR(base*modifier*SEQUENCE(16,1,85,1)/100)))/(FLOOR(((2*XLOOKUP('Boss Editor'!$C$4,'Pokemon Editor'!$A:$A,'Pokemon Editor'!$E:$E,0)+31+FLOOR('Boss Editor'!$G$4/4))*'Boss Editor'!$D$4)/100)+'Boss Editor'!$D$4+10)),0)</f>
        <v/>
      </c>
      <c r="O564" s="3">
        <f>IF(N564&gt;=1,"OHKO",IF(N564&gt;=0.5,"2HKO",IF(N564&gt;=0.333,"3HKO",IF(N564&gt;=0.25,"4HKO","5HKO+"))))</f>
        <v/>
      </c>
      <c r="P564" s="3" t="inlineStr">
        <is>
          <t>Live from editable databases</t>
        </is>
      </c>
      <c r="Q564" s="3" t="inlineStr">
        <is>
          <t>SPECIES_DUCKLETT</t>
        </is>
      </c>
      <c r="R564" s="3" t="n">
        <v>19</v>
      </c>
    </row>
    <row r="565">
      <c r="A565" s="3">
        <f>XLOOKUP($Q565,'Threshold Summary'!$Y:$Y,'Threshold Summary'!$A:$A,"")</f>
        <v/>
      </c>
      <c r="B565" s="3">
        <f>XLOOKUP($Q565,'Threshold Summary'!$Y:$Y,'Threshold Summary'!$M:$M,"")</f>
        <v/>
      </c>
      <c r="C565" s="3">
        <f>XLOOKUP($Q565,'Threshold Summary'!$Y:$Y,'Threshold Summary'!$N:$N,"")</f>
        <v/>
      </c>
      <c r="D565" s="3">
        <f>IFERROR(INDEX(FILTER('Learnset Editor'!$D$2:$D,'Learnset Editor'!$A$2:$A=XLOOKUP($Q565,'Threshold Summary'!$Y:$Y,'Threshold Summary'!$K:$K,""),'Learnset Editor'!$C$2:$C&lt;=XLOOKUP($Q565,'Threshold Summary'!$Y:$Y,'Threshold Summary'!$L:$L,"")),$R565),"")</f>
        <v/>
      </c>
      <c r="E565" s="3">
        <f>XLOOKUP(D565,'Move Editor'!$B:$B,'Move Editor'!$C:$C,"")</f>
        <v/>
      </c>
      <c r="F565" s="3">
        <f>XLOOKUP(D565,'Move Editor'!$B:$B,'Move Editor'!$D:$D,"")</f>
        <v/>
      </c>
      <c r="G565" s="3">
        <f>XLOOKUP(D565,'Move Editor'!$B:$B,'Move Editor'!$E:$E,0)</f>
        <v/>
      </c>
      <c r="H565" s="3">
        <f>XLOOKUP(D565,'Move Editor'!$B:$B,'Move Editor'!$F:$F,0)</f>
        <v/>
      </c>
      <c r="I565" s="3">
        <f>(INDEX('Type Chart'!$B:$S,MATCH(E565,'Type Chart'!$A:$A,0),MATCH(XLOOKUP('Boss Editor'!$C$4,'Pokemon Editor'!$A:$A,'Pokemon Editor'!$C:$C,""),'Type Chart'!$B$1:$S$1,0))*IF(XLOOKUP('Boss Editor'!$C$4,'Pokemon Editor'!$A:$A,'Pokemon Editor'!$D:$D,"")="",1,INDEX('Type Chart'!$B:$S,MATCH(E565,'Type Chart'!$A:$A,0),MATCH(XLOOKUP('Boss Editor'!$C$4,'Pokemon Editor'!$A:$A,'Pokemon Editor'!$D:$D,""),'Type Chart'!$B$1:$S$1,0))))</f>
        <v/>
      </c>
      <c r="J565" s="3">
        <f>IFERROR(LET(mtype,XLOOKUP($D565,'Move Editor'!$B:$B,'Move Editor'!$C:$C,""),cat,XLOOKUP($D565,'Move Editor'!$B:$B,'Move Editor'!$D:$D,""),pow,XLOOKUP($D565,'Move Editor'!$B:$B,'Move Editor'!$E:$E,0),acc,XLOOKUP($D565,'Move Editor'!$B:$B,'Move Editor'!$F:$F,100),atk,IF(cat="Physical",FLOOR((FLOOR(((2*XLOOKUP(XLOOKUP($Q565,'Threshold Summary'!$Y:$Y,'Threshold Summary'!$K:$K,""),'Pokemon Editor'!$A:$A,'Pokemon Editor'!$F:$F,0)+31+FLOOR(XLOOKUP($Q565,'Threshold Summary'!$Y:$Y,'Threshold Summary'!$P:$P,"")/4))*XLOOKUP($Q565,'Threshold Summary'!$Y:$Y,'Threshold Summary'!$L:$L,""))/100)+5)*XLOOKUP(XLOOKUP($Q565,'Threshold Summary'!$Y:$Y,'Threshold Summary'!$M:$M,""),'Nature Editor'!$A:$A,'Nature Editor'!$B:$B,1)),FLOOR((FLOOR(((2*XLOOKUP(XLOOKUP($Q565,'Threshold Summary'!$Y:$Y,'Threshold Summary'!$K:$K,""),'Pokemon Editor'!$A:$A,'Pokemon Editor'!$H:$H,0)+31+FLOOR(XLOOKUP($Q565,'Threshold Summary'!$Y:$Y,'Threshold Summary'!$R:$R,"")/4))*XLOOKUP($Q565,'Threshold Summary'!$Y:$Y,'Threshold Summary'!$L:$L,""))/100)+5)*XLOOKUP(XLOOKUP($Q565,'Threshold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Editor'!$E:$E,1))),stab,IF(OR(mtype=XLOOKUP(XLOOKUP($Q565,'Threshold Summary'!$Y:$Y,'Threshold Summary'!$K:$K,""),'Pokemon Editor'!$A:$A,'Pokemon Editor'!$C:$C,""),mtype=XLOOKUP(XLOOKUP($Q565,'Threshold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Chart'!$B$1:$S$1,0)))),base,IF(OR(cat="Status",pow=0),0,FLOOR(FLOOR(FLOOR((2*XLOOKUP($Q565,'Threshold Summary'!$Y:$Y,'Threshold Summary'!$L:$L,"")/5+2)*pow*atk/def)/50)+2)),modifier,stab*eff,FLOOR(base*modifier*0.85)),0)</f>
        <v/>
      </c>
      <c r="K565" s="3">
        <f>IFERROR(LET(mtype,XLOOKUP($D565,'Move Editor'!$B:$B,'Move Editor'!$C:$C,""),cat,XLOOKUP($D565,'Move Editor'!$B:$B,'Move Editor'!$D:$D,""),pow,XLOOKUP($D565,'Move Editor'!$B:$B,'Move Editor'!$E:$E,0),acc,XLOOKUP($D565,'Move Editor'!$B:$B,'Move Editor'!$F:$F,100),atk,IF(cat="Physical",FLOOR((FLOOR(((2*XLOOKUP(XLOOKUP($Q565,'Threshold Summary'!$Y:$Y,'Threshold Summary'!$K:$K,""),'Pokemon Editor'!$A:$A,'Pokemon Editor'!$F:$F,0)+31+FLOOR(XLOOKUP($Q565,'Threshold Summary'!$Y:$Y,'Threshold Summary'!$P:$P,"")/4))*XLOOKUP($Q565,'Threshold Summary'!$Y:$Y,'Threshold Summary'!$L:$L,""))/100)+5)*XLOOKUP(XLOOKUP($Q565,'Threshold Summary'!$Y:$Y,'Threshold Summary'!$M:$M,""),'Nature Editor'!$A:$A,'Nature Editor'!$B:$B,1)),FLOOR((FLOOR(((2*XLOOKUP(XLOOKUP($Q565,'Threshold Summary'!$Y:$Y,'Threshold Summary'!$K:$K,""),'Pokemon Editor'!$A:$A,'Pokemon Editor'!$H:$H,0)+31+FLOOR(XLOOKUP($Q565,'Threshold Summary'!$Y:$Y,'Threshold Summary'!$R:$R,"")/4))*XLOOKUP($Q565,'Threshold Summary'!$Y:$Y,'Threshold Summary'!$L:$L,""))/100)+5)*XLOOKUP(XLOOKUP($Q565,'Threshold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Editor'!$E:$E,1))),stab,IF(OR(mtype=XLOOKUP(XLOOKUP($Q565,'Threshold Summary'!$Y:$Y,'Threshold Summary'!$K:$K,""),'Pokemon Editor'!$A:$A,'Pokemon Editor'!$C:$C,""),mtype=XLOOKUP(XLOOKUP($Q565,'Threshold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Chart'!$B$1:$S$1,0)))),base,IF(OR(cat="Status",pow=0),0,FLOOR(FLOOR(FLOOR((2*XLOOKUP($Q565,'Threshold Summary'!$Y:$Y,'Threshold Summary'!$L:$L,"")/5+2)*pow*atk/def)/50)+2)),modifier,stab*eff,FLOOR(base*modifier)),0)</f>
        <v/>
      </c>
      <c r="L565" s="3">
        <f>IFERROR(LET(mtype,XLOOKUP($D565,'Move Editor'!$B:$B,'Move Editor'!$C:$C,""),cat,XLOOKUP($D565,'Move Editor'!$B:$B,'Move Editor'!$D:$D,""),pow,XLOOKUP($D565,'Move Editor'!$B:$B,'Move Editor'!$E:$E,0),acc,XLOOKUP($D565,'Move Editor'!$B:$B,'Move Editor'!$F:$F,100),atk,IF(cat="Physical",FLOOR((FLOOR(((2*XLOOKUP(XLOOKUP($Q565,'Threshold Summary'!$Y:$Y,'Threshold Summary'!$K:$K,""),'Pokemon Editor'!$A:$A,'Pokemon Editor'!$F:$F,0)+31+FLOOR(XLOOKUP($Q565,'Threshold Summary'!$Y:$Y,'Threshold Summary'!$P:$P,"")/4))*XLOOKUP($Q565,'Threshold Summary'!$Y:$Y,'Threshold Summary'!$L:$L,""))/100)+5)*XLOOKUP(XLOOKUP($Q565,'Threshold Summary'!$Y:$Y,'Threshold Summary'!$M:$M,""),'Nature Editor'!$A:$A,'Nature Editor'!$B:$B,1)),FLOOR((FLOOR(((2*XLOOKUP(XLOOKUP($Q565,'Threshold Summary'!$Y:$Y,'Threshold Summary'!$K:$K,""),'Pokemon Editor'!$A:$A,'Pokemon Editor'!$H:$H,0)+31+FLOOR(XLOOKUP($Q565,'Threshold Summary'!$Y:$Y,'Threshold Summary'!$R:$R,"")/4))*XLOOKUP($Q565,'Threshold Summary'!$Y:$Y,'Threshold Summary'!$L:$L,""))/100)+5)*XLOOKUP(XLOOKUP($Q565,'Threshold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Editor'!$E:$E,1))),stab,IF(OR(mtype=XLOOKUP(XLOOKUP($Q565,'Threshold Summary'!$Y:$Y,'Threshold Summary'!$K:$K,""),'Pokemon Editor'!$A:$A,'Pokemon Editor'!$C:$C,""),mtype=XLOOKUP(XLOOKUP($Q565,'Threshold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Chart'!$B$1:$S$1,0)))),base,IF(OR(cat="Status",pow=0),0,FLOOR(FLOOR(FLOOR((2*XLOOKUP($Q565,'Threshold Summary'!$Y:$Y,'Threshold Summary'!$L:$L,"")/5+2)*pow*atk/def)/50)+2)),modifier,stab*eff,AVERAGE(ARRAYFORMULA(FLOOR(base*modifier*SEQUENCE(16,1,85,1)/100)))),0)</f>
        <v/>
      </c>
      <c r="M565" s="3">
        <f>IFERROR(LET(mtype,XLOOKUP($D565,'Move Editor'!$B:$B,'Move Editor'!$C:$C,""),cat,XLOOKUP($D565,'Move Editor'!$B:$B,'Move Editor'!$D:$D,""),pow,XLOOKUP($D565,'Move Editor'!$B:$B,'Move Editor'!$E:$E,0),acc,XLOOKUP($D565,'Move Editor'!$B:$B,'Move Editor'!$F:$F,100),atk,IF(cat="Physical",FLOOR((FLOOR(((2*XLOOKUP(XLOOKUP($Q565,'Threshold Summary'!$Y:$Y,'Threshold Summary'!$K:$K,""),'Pokemon Editor'!$A:$A,'Pokemon Editor'!$F:$F,0)+31+FLOOR(XLOOKUP($Q565,'Threshold Summary'!$Y:$Y,'Threshold Summary'!$P:$P,"")/4))*XLOOKUP($Q565,'Threshold Summary'!$Y:$Y,'Threshold Summary'!$L:$L,""))/100)+5)*XLOOKUP(XLOOKUP($Q565,'Threshold Summary'!$Y:$Y,'Threshold Summary'!$M:$M,""),'Nature Editor'!$A:$A,'Nature Editor'!$B:$B,1)),FLOOR((FLOOR(((2*XLOOKUP(XLOOKUP($Q565,'Threshold Summary'!$Y:$Y,'Threshold Summary'!$K:$K,""),'Pokemon Editor'!$A:$A,'Pokemon Editor'!$H:$H,0)+31+FLOOR(XLOOKUP($Q565,'Threshold Summary'!$Y:$Y,'Threshold Summary'!$R:$R,"")/4))*XLOOKUP($Q565,'Threshold Summary'!$Y:$Y,'Threshold Summary'!$L:$L,""))/100)+5)*XLOOKUP(XLOOKUP($Q565,'Threshold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Editor'!$E:$E,1))),stab,IF(OR(mtype=XLOOKUP(XLOOKUP($Q565,'Threshold Summary'!$Y:$Y,'Threshold Summary'!$K:$K,""),'Pokemon Editor'!$A:$A,'Pokemon Editor'!$C:$C,""),mtype=XLOOKUP(XLOOKUP($Q565,'Threshold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Chart'!$B$1:$S$1,0)))),base,IF(OR(cat="Status",pow=0),0,FLOOR(FLOOR(FLOOR((2*XLOOKUP($Q565,'Threshold Summary'!$Y:$Y,'Threshold Summary'!$L:$L,"")/5+2)*pow*atk/def)/50)+2)),modifier,stab*eff,AVERAGE(ARRAYFORMULA(FLOOR(base*modifier*SEQUENCE(16,1,85,1)/100)))*MIN(1,acc/100)),0)</f>
        <v/>
      </c>
      <c r="N565" s="4">
        <f>IFERROR(LET(mtype,XLOOKUP($D565,'Move Editor'!$B:$B,'Move Editor'!$C:$C,""),cat,XLOOKUP($D565,'Move Editor'!$B:$B,'Move Editor'!$D:$D,""),pow,XLOOKUP($D565,'Move Editor'!$B:$B,'Move Editor'!$E:$E,0),acc,XLOOKUP($D565,'Move Editor'!$B:$B,'Move Editor'!$F:$F,100),atk,IF(cat="Physical",FLOOR((FLOOR(((2*XLOOKUP(XLOOKUP($Q565,'Threshold Summary'!$Y:$Y,'Threshold Summary'!$K:$K,""),'Pokemon Editor'!$A:$A,'Pokemon Editor'!$F:$F,0)+31+FLOOR(XLOOKUP($Q565,'Threshold Summary'!$Y:$Y,'Threshold Summary'!$P:$P,"")/4))*XLOOKUP($Q565,'Threshold Summary'!$Y:$Y,'Threshold Summary'!$L:$L,""))/100)+5)*XLOOKUP(XLOOKUP($Q565,'Threshold Summary'!$Y:$Y,'Threshold Summary'!$M:$M,""),'Nature Editor'!$A:$A,'Nature Editor'!$B:$B,1)),FLOOR((FLOOR(((2*XLOOKUP(XLOOKUP($Q565,'Threshold Summary'!$Y:$Y,'Threshold Summary'!$K:$K,""),'Pokemon Editor'!$A:$A,'Pokemon Editor'!$H:$H,0)+31+FLOOR(XLOOKUP($Q565,'Threshold Summary'!$Y:$Y,'Threshold Summary'!$R:$R,"")/4))*XLOOKUP($Q565,'Threshold Summary'!$Y:$Y,'Threshold Summary'!$L:$L,""))/100)+5)*XLOOKUP(XLOOKUP($Q565,'Threshold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Editor'!$E:$E,1))),stab,IF(OR(mtype=XLOOKUP(XLOOKUP($Q565,'Threshold Summary'!$Y:$Y,'Threshold Summary'!$K:$K,""),'Pokemon Editor'!$A:$A,'Pokemon Editor'!$C:$C,""),mtype=XLOOKUP(XLOOKUP($Q565,'Threshold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Chart'!$B$1:$S$1,0)))),base,IF(OR(cat="Status",pow=0),0,FLOOR(FLOOR(FLOOR((2*XLOOKUP($Q565,'Threshold Summary'!$Y:$Y,'Threshold Summary'!$L:$L,"")/5+2)*pow*atk/def)/50)+2)),modifier,stab*eff,AVERAGE(ARRAYFORMULA(FLOOR(base*modifier*SEQUENCE(16,1,85,1)/100)))/(FLOOR(((2*XLOOKUP('Boss Editor'!$C$4,'Pokemon Editor'!$A:$A,'Pokemon Editor'!$E:$E,0)+31+FLOOR('Boss Editor'!$G$4/4))*'Boss Editor'!$D$4)/100)+'Boss Editor'!$D$4+10)),0)</f>
        <v/>
      </c>
      <c r="O565" s="3">
        <f>IF(N565&gt;=1,"OHKO",IF(N565&gt;=0.5,"2HKO",IF(N565&gt;=0.333,"3HKO",IF(N565&gt;=0.25,"4HKO","5HKO+"))))</f>
        <v/>
      </c>
      <c r="P565" s="3" t="inlineStr">
        <is>
          <t>Live from editable databases</t>
        </is>
      </c>
      <c r="Q565" s="3" t="inlineStr">
        <is>
          <t>SPECIES_DUCKLETT</t>
        </is>
      </c>
      <c r="R565" s="3" t="n">
        <v>20</v>
      </c>
    </row>
    <row r="566">
      <c r="A566" s="3">
        <f>XLOOKUP($Q566,'Threshold Summary'!$Y:$Y,'Threshold Summary'!$A:$A,"")</f>
        <v/>
      </c>
      <c r="B566" s="3">
        <f>XLOOKUP($Q566,'Threshold Summary'!$Y:$Y,'Threshold Summary'!$M:$M,"")</f>
        <v/>
      </c>
      <c r="C566" s="3">
        <f>XLOOKUP($Q566,'Threshold Summary'!$Y:$Y,'Threshold Summary'!$N:$N,"")</f>
        <v/>
      </c>
      <c r="D566" s="3">
        <f>IFERROR(INDEX(FILTER('Learnset Editor'!$D$2:$D,'Learnset Editor'!$A$2:$A=XLOOKUP($Q566,'Threshold Summary'!$Y:$Y,'Threshold Summary'!$K:$K,""),'Learnset Editor'!$C$2:$C&lt;=XLOOKUP($Q566,'Threshold Summary'!$Y:$Y,'Threshold Summary'!$L:$L,"")),$R566),"")</f>
        <v/>
      </c>
      <c r="E566" s="3">
        <f>XLOOKUP(D566,'Move Editor'!$B:$B,'Move Editor'!$C:$C,"")</f>
        <v/>
      </c>
      <c r="F566" s="3">
        <f>XLOOKUP(D566,'Move Editor'!$B:$B,'Move Editor'!$D:$D,"")</f>
        <v/>
      </c>
      <c r="G566" s="3">
        <f>XLOOKUP(D566,'Move Editor'!$B:$B,'Move Editor'!$E:$E,0)</f>
        <v/>
      </c>
      <c r="H566" s="3">
        <f>XLOOKUP(D566,'Move Editor'!$B:$B,'Move Editor'!$F:$F,0)</f>
        <v/>
      </c>
      <c r="I566" s="3">
        <f>(INDEX('Type Chart'!$B:$S,MATCH(E566,'Type Chart'!$A:$A,0),MATCH(XLOOKUP('Boss Editor'!$C$4,'Pokemon Editor'!$A:$A,'Pokemon Editor'!$C:$C,""),'Type Chart'!$B$1:$S$1,0))*IF(XLOOKUP('Boss Editor'!$C$4,'Pokemon Editor'!$A:$A,'Pokemon Editor'!$D:$D,"")="",1,INDEX('Type Chart'!$B:$S,MATCH(E566,'Type Chart'!$A:$A,0),MATCH(XLOOKUP('Boss Editor'!$C$4,'Pokemon Editor'!$A:$A,'Pokemon Editor'!$D:$D,""),'Type Chart'!$B$1:$S$1,0))))</f>
        <v/>
      </c>
      <c r="J566" s="3">
        <f>IFERROR(LET(mtype,XLOOKUP($D566,'Move Editor'!$B:$B,'Move Editor'!$C:$C,""),cat,XLOOKUP($D566,'Move Editor'!$B:$B,'Move Editor'!$D:$D,""),pow,XLOOKUP($D566,'Move Editor'!$B:$B,'Move Editor'!$E:$E,0),acc,XLOOKUP($D566,'Move Editor'!$B:$B,'Move Editor'!$F:$F,100),atk,IF(cat="Physical",FLOOR((FLOOR(((2*XLOOKUP(XLOOKUP($Q566,'Threshold Summary'!$Y:$Y,'Threshold Summary'!$K:$K,""),'Pokemon Editor'!$A:$A,'Pokemon Editor'!$F:$F,0)+31+FLOOR(XLOOKUP($Q566,'Threshold Summary'!$Y:$Y,'Threshold Summary'!$P:$P,"")/4))*XLOOKUP($Q566,'Threshold Summary'!$Y:$Y,'Threshold Summary'!$L:$L,""))/100)+5)*XLOOKUP(XLOOKUP($Q566,'Threshold Summary'!$Y:$Y,'Threshold Summary'!$M:$M,""),'Nature Editor'!$A:$A,'Nature Editor'!$B:$B,1)),FLOOR((FLOOR(((2*XLOOKUP(XLOOKUP($Q566,'Threshold Summary'!$Y:$Y,'Threshold Summary'!$K:$K,""),'Pokemon Editor'!$A:$A,'Pokemon Editor'!$H:$H,0)+31+FLOOR(XLOOKUP($Q566,'Threshold Summary'!$Y:$Y,'Threshold Summary'!$R:$R,"")/4))*XLOOKUP($Q566,'Threshold Summary'!$Y:$Y,'Threshold Summary'!$L:$L,""))/100)+5)*XLOOKUP(XLOOKUP($Q566,'Threshold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Editor'!$E:$E,1))),stab,IF(OR(mtype=XLOOKUP(XLOOKUP($Q566,'Threshold Summary'!$Y:$Y,'Threshold Summary'!$K:$K,""),'Pokemon Editor'!$A:$A,'Pokemon Editor'!$C:$C,""),mtype=XLOOKUP(XLOOKUP($Q566,'Threshold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Chart'!$B$1:$S$1,0)))),base,IF(OR(cat="Status",pow=0),0,FLOOR(FLOOR(FLOOR((2*XLOOKUP($Q566,'Threshold Summary'!$Y:$Y,'Threshold Summary'!$L:$L,"")/5+2)*pow*atk/def)/50)+2)),modifier,stab*eff,FLOOR(base*modifier*0.85)),0)</f>
        <v/>
      </c>
      <c r="K566" s="3">
        <f>IFERROR(LET(mtype,XLOOKUP($D566,'Move Editor'!$B:$B,'Move Editor'!$C:$C,""),cat,XLOOKUP($D566,'Move Editor'!$B:$B,'Move Editor'!$D:$D,""),pow,XLOOKUP($D566,'Move Editor'!$B:$B,'Move Editor'!$E:$E,0),acc,XLOOKUP($D566,'Move Editor'!$B:$B,'Move Editor'!$F:$F,100),atk,IF(cat="Physical",FLOOR((FLOOR(((2*XLOOKUP(XLOOKUP($Q566,'Threshold Summary'!$Y:$Y,'Threshold Summary'!$K:$K,""),'Pokemon Editor'!$A:$A,'Pokemon Editor'!$F:$F,0)+31+FLOOR(XLOOKUP($Q566,'Threshold Summary'!$Y:$Y,'Threshold Summary'!$P:$P,"")/4))*XLOOKUP($Q566,'Threshold Summary'!$Y:$Y,'Threshold Summary'!$L:$L,""))/100)+5)*XLOOKUP(XLOOKUP($Q566,'Threshold Summary'!$Y:$Y,'Threshold Summary'!$M:$M,""),'Nature Editor'!$A:$A,'Nature Editor'!$B:$B,1)),FLOOR((FLOOR(((2*XLOOKUP(XLOOKUP($Q566,'Threshold Summary'!$Y:$Y,'Threshold Summary'!$K:$K,""),'Pokemon Editor'!$A:$A,'Pokemon Editor'!$H:$H,0)+31+FLOOR(XLOOKUP($Q566,'Threshold Summary'!$Y:$Y,'Threshold Summary'!$R:$R,"")/4))*XLOOKUP($Q566,'Threshold Summary'!$Y:$Y,'Threshold Summary'!$L:$L,""))/100)+5)*XLOOKUP(XLOOKUP($Q566,'Threshold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Editor'!$E:$E,1))),stab,IF(OR(mtype=XLOOKUP(XLOOKUP($Q566,'Threshold Summary'!$Y:$Y,'Threshold Summary'!$K:$K,""),'Pokemon Editor'!$A:$A,'Pokemon Editor'!$C:$C,""),mtype=XLOOKUP(XLOOKUP($Q566,'Threshold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Chart'!$B$1:$S$1,0)))),base,IF(OR(cat="Status",pow=0),0,FLOOR(FLOOR(FLOOR((2*XLOOKUP($Q566,'Threshold Summary'!$Y:$Y,'Threshold Summary'!$L:$L,"")/5+2)*pow*atk/def)/50)+2)),modifier,stab*eff,FLOOR(base*modifier)),0)</f>
        <v/>
      </c>
      <c r="L566" s="3">
        <f>IFERROR(LET(mtype,XLOOKUP($D566,'Move Editor'!$B:$B,'Move Editor'!$C:$C,""),cat,XLOOKUP($D566,'Move Editor'!$B:$B,'Move Editor'!$D:$D,""),pow,XLOOKUP($D566,'Move Editor'!$B:$B,'Move Editor'!$E:$E,0),acc,XLOOKUP($D566,'Move Editor'!$B:$B,'Move Editor'!$F:$F,100),atk,IF(cat="Physical",FLOOR((FLOOR(((2*XLOOKUP(XLOOKUP($Q566,'Threshold Summary'!$Y:$Y,'Threshold Summary'!$K:$K,""),'Pokemon Editor'!$A:$A,'Pokemon Editor'!$F:$F,0)+31+FLOOR(XLOOKUP($Q566,'Threshold Summary'!$Y:$Y,'Threshold Summary'!$P:$P,"")/4))*XLOOKUP($Q566,'Threshold Summary'!$Y:$Y,'Threshold Summary'!$L:$L,""))/100)+5)*XLOOKUP(XLOOKUP($Q566,'Threshold Summary'!$Y:$Y,'Threshold Summary'!$M:$M,""),'Nature Editor'!$A:$A,'Nature Editor'!$B:$B,1)),FLOOR((FLOOR(((2*XLOOKUP(XLOOKUP($Q566,'Threshold Summary'!$Y:$Y,'Threshold Summary'!$K:$K,""),'Pokemon Editor'!$A:$A,'Pokemon Editor'!$H:$H,0)+31+FLOOR(XLOOKUP($Q566,'Threshold Summary'!$Y:$Y,'Threshold Summary'!$R:$R,"")/4))*XLOOKUP($Q566,'Threshold Summary'!$Y:$Y,'Threshold Summary'!$L:$L,""))/100)+5)*XLOOKUP(XLOOKUP($Q566,'Threshold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Editor'!$E:$E,1))),stab,IF(OR(mtype=XLOOKUP(XLOOKUP($Q566,'Threshold Summary'!$Y:$Y,'Threshold Summary'!$K:$K,""),'Pokemon Editor'!$A:$A,'Pokemon Editor'!$C:$C,""),mtype=XLOOKUP(XLOOKUP($Q566,'Threshold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Chart'!$B$1:$S$1,0)))),base,IF(OR(cat="Status",pow=0),0,FLOOR(FLOOR(FLOOR((2*XLOOKUP($Q566,'Threshold Summary'!$Y:$Y,'Threshold Summary'!$L:$L,"")/5+2)*pow*atk/def)/50)+2)),modifier,stab*eff,AVERAGE(ARRAYFORMULA(FLOOR(base*modifier*SEQUENCE(16,1,85,1)/100)))),0)</f>
        <v/>
      </c>
      <c r="M566" s="3">
        <f>IFERROR(LET(mtype,XLOOKUP($D566,'Move Editor'!$B:$B,'Move Editor'!$C:$C,""),cat,XLOOKUP($D566,'Move Editor'!$B:$B,'Move Editor'!$D:$D,""),pow,XLOOKUP($D566,'Move Editor'!$B:$B,'Move Editor'!$E:$E,0),acc,XLOOKUP($D566,'Move Editor'!$B:$B,'Move Editor'!$F:$F,100),atk,IF(cat="Physical",FLOOR((FLOOR(((2*XLOOKUP(XLOOKUP($Q566,'Threshold Summary'!$Y:$Y,'Threshold Summary'!$K:$K,""),'Pokemon Editor'!$A:$A,'Pokemon Editor'!$F:$F,0)+31+FLOOR(XLOOKUP($Q566,'Threshold Summary'!$Y:$Y,'Threshold Summary'!$P:$P,"")/4))*XLOOKUP($Q566,'Threshold Summary'!$Y:$Y,'Threshold Summary'!$L:$L,""))/100)+5)*XLOOKUP(XLOOKUP($Q566,'Threshold Summary'!$Y:$Y,'Threshold Summary'!$M:$M,""),'Nature Editor'!$A:$A,'Nature Editor'!$B:$B,1)),FLOOR((FLOOR(((2*XLOOKUP(XLOOKUP($Q566,'Threshold Summary'!$Y:$Y,'Threshold Summary'!$K:$K,""),'Pokemon Editor'!$A:$A,'Pokemon Editor'!$H:$H,0)+31+FLOOR(XLOOKUP($Q566,'Threshold Summary'!$Y:$Y,'Threshold Summary'!$R:$R,"")/4))*XLOOKUP($Q566,'Threshold Summary'!$Y:$Y,'Threshold Summary'!$L:$L,""))/100)+5)*XLOOKUP(XLOOKUP($Q566,'Threshold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Editor'!$E:$E,1))),stab,IF(OR(mtype=XLOOKUP(XLOOKUP($Q566,'Threshold Summary'!$Y:$Y,'Threshold Summary'!$K:$K,""),'Pokemon Editor'!$A:$A,'Pokemon Editor'!$C:$C,""),mtype=XLOOKUP(XLOOKUP($Q566,'Threshold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Chart'!$B$1:$S$1,0)))),base,IF(OR(cat="Status",pow=0),0,FLOOR(FLOOR(FLOOR((2*XLOOKUP($Q566,'Threshold Summary'!$Y:$Y,'Threshold Summary'!$L:$L,"")/5+2)*pow*atk/def)/50)+2)),modifier,stab*eff,AVERAGE(ARRAYFORMULA(FLOOR(base*modifier*SEQUENCE(16,1,85,1)/100)))*MIN(1,acc/100)),0)</f>
        <v/>
      </c>
      <c r="N566" s="4">
        <f>IFERROR(LET(mtype,XLOOKUP($D566,'Move Editor'!$B:$B,'Move Editor'!$C:$C,""),cat,XLOOKUP($D566,'Move Editor'!$B:$B,'Move Editor'!$D:$D,""),pow,XLOOKUP($D566,'Move Editor'!$B:$B,'Move Editor'!$E:$E,0),acc,XLOOKUP($D566,'Move Editor'!$B:$B,'Move Editor'!$F:$F,100),atk,IF(cat="Physical",FLOOR((FLOOR(((2*XLOOKUP(XLOOKUP($Q566,'Threshold Summary'!$Y:$Y,'Threshold Summary'!$K:$K,""),'Pokemon Editor'!$A:$A,'Pokemon Editor'!$F:$F,0)+31+FLOOR(XLOOKUP($Q566,'Threshold Summary'!$Y:$Y,'Threshold Summary'!$P:$P,"")/4))*XLOOKUP($Q566,'Threshold Summary'!$Y:$Y,'Threshold Summary'!$L:$L,""))/100)+5)*XLOOKUP(XLOOKUP($Q566,'Threshold Summary'!$Y:$Y,'Threshold Summary'!$M:$M,""),'Nature Editor'!$A:$A,'Nature Editor'!$B:$B,1)),FLOOR((FLOOR(((2*XLOOKUP(XLOOKUP($Q566,'Threshold Summary'!$Y:$Y,'Threshold Summary'!$K:$K,""),'Pokemon Editor'!$A:$A,'Pokemon Editor'!$H:$H,0)+31+FLOOR(XLOOKUP($Q566,'Threshold Summary'!$Y:$Y,'Threshold Summary'!$R:$R,"")/4))*XLOOKUP($Q566,'Threshold Summary'!$Y:$Y,'Threshold Summary'!$L:$L,""))/100)+5)*XLOOKUP(XLOOKUP($Q566,'Threshold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Editor'!$E:$E,1))),stab,IF(OR(mtype=XLOOKUP(XLOOKUP($Q566,'Threshold Summary'!$Y:$Y,'Threshold Summary'!$K:$K,""),'Pokemon Editor'!$A:$A,'Pokemon Editor'!$C:$C,""),mtype=XLOOKUP(XLOOKUP($Q566,'Threshold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Chart'!$B$1:$S$1,0)))),base,IF(OR(cat="Status",pow=0),0,FLOOR(FLOOR(FLOOR((2*XLOOKUP($Q566,'Threshold Summary'!$Y:$Y,'Threshold Summary'!$L:$L,"")/5+2)*pow*atk/def)/50)+2)),modifier,stab*eff,AVERAGE(ARRAYFORMULA(FLOOR(base*modifier*SEQUENCE(16,1,85,1)/100)))/(FLOOR(((2*XLOOKUP('Boss Editor'!$C$4,'Pokemon Editor'!$A:$A,'Pokemon Editor'!$E:$E,0)+31+FLOOR('Boss Editor'!$G$4/4))*'Boss Editor'!$D$4)/100)+'Boss Editor'!$D$4+10)),0)</f>
        <v/>
      </c>
      <c r="O566" s="3">
        <f>IF(N566&gt;=1,"OHKO",IF(N566&gt;=0.5,"2HKO",IF(N566&gt;=0.333,"3HKO",IF(N566&gt;=0.25,"4HKO","5HKO+"))))</f>
        <v/>
      </c>
      <c r="P566" s="3" t="inlineStr">
        <is>
          <t>Live from editable databases</t>
        </is>
      </c>
      <c r="Q566" s="3" t="inlineStr">
        <is>
          <t>SPECIES_DUCKLETT</t>
        </is>
      </c>
      <c r="R566" s="3" t="n">
        <v>21</v>
      </c>
    </row>
    <row r="567">
      <c r="A567" s="3">
        <f>XLOOKUP($Q567,'Threshold Summary'!$Y:$Y,'Threshold Summary'!$A:$A,"")</f>
        <v/>
      </c>
      <c r="B567" s="3">
        <f>XLOOKUP($Q567,'Threshold Summary'!$Y:$Y,'Threshold Summary'!$M:$M,"")</f>
        <v/>
      </c>
      <c r="C567" s="3">
        <f>XLOOKUP($Q567,'Threshold Summary'!$Y:$Y,'Threshold Summary'!$N:$N,"")</f>
        <v/>
      </c>
      <c r="D567" s="3">
        <f>IFERROR(INDEX(FILTER('Learnset Editor'!$D$2:$D,'Learnset Editor'!$A$2:$A=XLOOKUP($Q567,'Threshold Summary'!$Y:$Y,'Threshold Summary'!$K:$K,""),'Learnset Editor'!$C$2:$C&lt;=XLOOKUP($Q567,'Threshold Summary'!$Y:$Y,'Threshold Summary'!$L:$L,"")),$R567),"")</f>
        <v/>
      </c>
      <c r="E567" s="3">
        <f>XLOOKUP(D567,'Move Editor'!$B:$B,'Move Editor'!$C:$C,"")</f>
        <v/>
      </c>
      <c r="F567" s="3">
        <f>XLOOKUP(D567,'Move Editor'!$B:$B,'Move Editor'!$D:$D,"")</f>
        <v/>
      </c>
      <c r="G567" s="3">
        <f>XLOOKUP(D567,'Move Editor'!$B:$B,'Move Editor'!$E:$E,0)</f>
        <v/>
      </c>
      <c r="H567" s="3">
        <f>XLOOKUP(D567,'Move Editor'!$B:$B,'Move Editor'!$F:$F,0)</f>
        <v/>
      </c>
      <c r="I567" s="3">
        <f>(INDEX('Type Chart'!$B:$S,MATCH(E567,'Type Chart'!$A:$A,0),MATCH(XLOOKUP('Boss Editor'!$C$4,'Pokemon Editor'!$A:$A,'Pokemon Editor'!$C:$C,""),'Type Chart'!$B$1:$S$1,0))*IF(XLOOKUP('Boss Editor'!$C$4,'Pokemon Editor'!$A:$A,'Pokemon Editor'!$D:$D,"")="",1,INDEX('Type Chart'!$B:$S,MATCH(E567,'Type Chart'!$A:$A,0),MATCH(XLOOKUP('Boss Editor'!$C$4,'Pokemon Editor'!$A:$A,'Pokemon Editor'!$D:$D,""),'Type Chart'!$B$1:$S$1,0))))</f>
        <v/>
      </c>
      <c r="J567" s="3">
        <f>IFERROR(LET(mtype,XLOOKUP($D567,'Move Editor'!$B:$B,'Move Editor'!$C:$C,""),cat,XLOOKUP($D567,'Move Editor'!$B:$B,'Move Editor'!$D:$D,""),pow,XLOOKUP($D567,'Move Editor'!$B:$B,'Move Editor'!$E:$E,0),acc,XLOOKUP($D567,'Move Editor'!$B:$B,'Move Editor'!$F:$F,100),atk,IF(cat="Physical",FLOOR((FLOOR(((2*XLOOKUP(XLOOKUP($Q567,'Threshold Summary'!$Y:$Y,'Threshold Summary'!$K:$K,""),'Pokemon Editor'!$A:$A,'Pokemon Editor'!$F:$F,0)+31+FLOOR(XLOOKUP($Q567,'Threshold Summary'!$Y:$Y,'Threshold Summary'!$P:$P,"")/4))*XLOOKUP($Q567,'Threshold Summary'!$Y:$Y,'Threshold Summary'!$L:$L,""))/100)+5)*XLOOKUP(XLOOKUP($Q567,'Threshold Summary'!$Y:$Y,'Threshold Summary'!$M:$M,""),'Nature Editor'!$A:$A,'Nature Editor'!$B:$B,1)),FLOOR((FLOOR(((2*XLOOKUP(XLOOKUP($Q567,'Threshold Summary'!$Y:$Y,'Threshold Summary'!$K:$K,""),'Pokemon Editor'!$A:$A,'Pokemon Editor'!$H:$H,0)+31+FLOOR(XLOOKUP($Q567,'Threshold Summary'!$Y:$Y,'Threshold Summary'!$R:$R,"")/4))*XLOOKUP($Q567,'Threshold Summary'!$Y:$Y,'Threshold Summary'!$L:$L,""))/100)+5)*XLOOKUP(XLOOKUP($Q567,'Threshold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Editor'!$E:$E,1))),stab,IF(OR(mtype=XLOOKUP(XLOOKUP($Q567,'Threshold Summary'!$Y:$Y,'Threshold Summary'!$K:$K,""),'Pokemon Editor'!$A:$A,'Pokemon Editor'!$C:$C,""),mtype=XLOOKUP(XLOOKUP($Q567,'Threshold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Chart'!$B$1:$S$1,0)))),base,IF(OR(cat="Status",pow=0),0,FLOOR(FLOOR(FLOOR((2*XLOOKUP($Q567,'Threshold Summary'!$Y:$Y,'Threshold Summary'!$L:$L,"")/5+2)*pow*atk/def)/50)+2)),modifier,stab*eff,FLOOR(base*modifier*0.85)),0)</f>
        <v/>
      </c>
      <c r="K567" s="3">
        <f>IFERROR(LET(mtype,XLOOKUP($D567,'Move Editor'!$B:$B,'Move Editor'!$C:$C,""),cat,XLOOKUP($D567,'Move Editor'!$B:$B,'Move Editor'!$D:$D,""),pow,XLOOKUP($D567,'Move Editor'!$B:$B,'Move Editor'!$E:$E,0),acc,XLOOKUP($D567,'Move Editor'!$B:$B,'Move Editor'!$F:$F,100),atk,IF(cat="Physical",FLOOR((FLOOR(((2*XLOOKUP(XLOOKUP($Q567,'Threshold Summary'!$Y:$Y,'Threshold Summary'!$K:$K,""),'Pokemon Editor'!$A:$A,'Pokemon Editor'!$F:$F,0)+31+FLOOR(XLOOKUP($Q567,'Threshold Summary'!$Y:$Y,'Threshold Summary'!$P:$P,"")/4))*XLOOKUP($Q567,'Threshold Summary'!$Y:$Y,'Threshold Summary'!$L:$L,""))/100)+5)*XLOOKUP(XLOOKUP($Q567,'Threshold Summary'!$Y:$Y,'Threshold Summary'!$M:$M,""),'Nature Editor'!$A:$A,'Nature Editor'!$B:$B,1)),FLOOR((FLOOR(((2*XLOOKUP(XLOOKUP($Q567,'Threshold Summary'!$Y:$Y,'Threshold Summary'!$K:$K,""),'Pokemon Editor'!$A:$A,'Pokemon Editor'!$H:$H,0)+31+FLOOR(XLOOKUP($Q567,'Threshold Summary'!$Y:$Y,'Threshold Summary'!$R:$R,"")/4))*XLOOKUP($Q567,'Threshold Summary'!$Y:$Y,'Threshold Summary'!$L:$L,""))/100)+5)*XLOOKUP(XLOOKUP($Q567,'Threshold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Editor'!$E:$E,1))),stab,IF(OR(mtype=XLOOKUP(XLOOKUP($Q567,'Threshold Summary'!$Y:$Y,'Threshold Summary'!$K:$K,""),'Pokemon Editor'!$A:$A,'Pokemon Editor'!$C:$C,""),mtype=XLOOKUP(XLOOKUP($Q567,'Threshold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Chart'!$B$1:$S$1,0)))),base,IF(OR(cat="Status",pow=0),0,FLOOR(FLOOR(FLOOR((2*XLOOKUP($Q567,'Threshold Summary'!$Y:$Y,'Threshold Summary'!$L:$L,"")/5+2)*pow*atk/def)/50)+2)),modifier,stab*eff,FLOOR(base*modifier)),0)</f>
        <v/>
      </c>
      <c r="L567" s="3">
        <f>IFERROR(LET(mtype,XLOOKUP($D567,'Move Editor'!$B:$B,'Move Editor'!$C:$C,""),cat,XLOOKUP($D567,'Move Editor'!$B:$B,'Move Editor'!$D:$D,""),pow,XLOOKUP($D567,'Move Editor'!$B:$B,'Move Editor'!$E:$E,0),acc,XLOOKUP($D567,'Move Editor'!$B:$B,'Move Editor'!$F:$F,100),atk,IF(cat="Physical",FLOOR((FLOOR(((2*XLOOKUP(XLOOKUP($Q567,'Threshold Summary'!$Y:$Y,'Threshold Summary'!$K:$K,""),'Pokemon Editor'!$A:$A,'Pokemon Editor'!$F:$F,0)+31+FLOOR(XLOOKUP($Q567,'Threshold Summary'!$Y:$Y,'Threshold Summary'!$P:$P,"")/4))*XLOOKUP($Q567,'Threshold Summary'!$Y:$Y,'Threshold Summary'!$L:$L,""))/100)+5)*XLOOKUP(XLOOKUP($Q567,'Threshold Summary'!$Y:$Y,'Threshold Summary'!$M:$M,""),'Nature Editor'!$A:$A,'Nature Editor'!$B:$B,1)),FLOOR((FLOOR(((2*XLOOKUP(XLOOKUP($Q567,'Threshold Summary'!$Y:$Y,'Threshold Summary'!$K:$K,""),'Pokemon Editor'!$A:$A,'Pokemon Editor'!$H:$H,0)+31+FLOOR(XLOOKUP($Q567,'Threshold Summary'!$Y:$Y,'Threshold Summary'!$R:$R,"")/4))*XLOOKUP($Q567,'Threshold Summary'!$Y:$Y,'Threshold Summary'!$L:$L,""))/100)+5)*XLOOKUP(XLOOKUP($Q567,'Threshold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Editor'!$E:$E,1))),stab,IF(OR(mtype=XLOOKUP(XLOOKUP($Q567,'Threshold Summary'!$Y:$Y,'Threshold Summary'!$K:$K,""),'Pokemon Editor'!$A:$A,'Pokemon Editor'!$C:$C,""),mtype=XLOOKUP(XLOOKUP($Q567,'Threshold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Chart'!$B$1:$S$1,0)))),base,IF(OR(cat="Status",pow=0),0,FLOOR(FLOOR(FLOOR((2*XLOOKUP($Q567,'Threshold Summary'!$Y:$Y,'Threshold Summary'!$L:$L,"")/5+2)*pow*atk/def)/50)+2)),modifier,stab*eff,AVERAGE(ARRAYFORMULA(FLOOR(base*modifier*SEQUENCE(16,1,85,1)/100)))),0)</f>
        <v/>
      </c>
      <c r="M567" s="3">
        <f>IFERROR(LET(mtype,XLOOKUP($D567,'Move Editor'!$B:$B,'Move Editor'!$C:$C,""),cat,XLOOKUP($D567,'Move Editor'!$B:$B,'Move Editor'!$D:$D,""),pow,XLOOKUP($D567,'Move Editor'!$B:$B,'Move Editor'!$E:$E,0),acc,XLOOKUP($D567,'Move Editor'!$B:$B,'Move Editor'!$F:$F,100),atk,IF(cat="Physical",FLOOR((FLOOR(((2*XLOOKUP(XLOOKUP($Q567,'Threshold Summary'!$Y:$Y,'Threshold Summary'!$K:$K,""),'Pokemon Editor'!$A:$A,'Pokemon Editor'!$F:$F,0)+31+FLOOR(XLOOKUP($Q567,'Threshold Summary'!$Y:$Y,'Threshold Summary'!$P:$P,"")/4))*XLOOKUP($Q567,'Threshold Summary'!$Y:$Y,'Threshold Summary'!$L:$L,""))/100)+5)*XLOOKUP(XLOOKUP($Q567,'Threshold Summary'!$Y:$Y,'Threshold Summary'!$M:$M,""),'Nature Editor'!$A:$A,'Nature Editor'!$B:$B,1)),FLOOR((FLOOR(((2*XLOOKUP(XLOOKUP($Q567,'Threshold Summary'!$Y:$Y,'Threshold Summary'!$K:$K,""),'Pokemon Editor'!$A:$A,'Pokemon Editor'!$H:$H,0)+31+FLOOR(XLOOKUP($Q567,'Threshold Summary'!$Y:$Y,'Threshold Summary'!$R:$R,"")/4))*XLOOKUP($Q567,'Threshold Summary'!$Y:$Y,'Threshold Summary'!$L:$L,""))/100)+5)*XLOOKUP(XLOOKUP($Q567,'Threshold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Editor'!$E:$E,1))),stab,IF(OR(mtype=XLOOKUP(XLOOKUP($Q567,'Threshold Summary'!$Y:$Y,'Threshold Summary'!$K:$K,""),'Pokemon Editor'!$A:$A,'Pokemon Editor'!$C:$C,""),mtype=XLOOKUP(XLOOKUP($Q567,'Threshold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Chart'!$B$1:$S$1,0)))),base,IF(OR(cat="Status",pow=0),0,FLOOR(FLOOR(FLOOR((2*XLOOKUP($Q567,'Threshold Summary'!$Y:$Y,'Threshold Summary'!$L:$L,"")/5+2)*pow*atk/def)/50)+2)),modifier,stab*eff,AVERAGE(ARRAYFORMULA(FLOOR(base*modifier*SEQUENCE(16,1,85,1)/100)))*MIN(1,acc/100)),0)</f>
        <v/>
      </c>
      <c r="N567" s="4">
        <f>IFERROR(LET(mtype,XLOOKUP($D567,'Move Editor'!$B:$B,'Move Editor'!$C:$C,""),cat,XLOOKUP($D567,'Move Editor'!$B:$B,'Move Editor'!$D:$D,""),pow,XLOOKUP($D567,'Move Editor'!$B:$B,'Move Editor'!$E:$E,0),acc,XLOOKUP($D567,'Move Editor'!$B:$B,'Move Editor'!$F:$F,100),atk,IF(cat="Physical",FLOOR((FLOOR(((2*XLOOKUP(XLOOKUP($Q567,'Threshold Summary'!$Y:$Y,'Threshold Summary'!$K:$K,""),'Pokemon Editor'!$A:$A,'Pokemon Editor'!$F:$F,0)+31+FLOOR(XLOOKUP($Q567,'Threshold Summary'!$Y:$Y,'Threshold Summary'!$P:$P,"")/4))*XLOOKUP($Q567,'Threshold Summary'!$Y:$Y,'Threshold Summary'!$L:$L,""))/100)+5)*XLOOKUP(XLOOKUP($Q567,'Threshold Summary'!$Y:$Y,'Threshold Summary'!$M:$M,""),'Nature Editor'!$A:$A,'Nature Editor'!$B:$B,1)),FLOOR((FLOOR(((2*XLOOKUP(XLOOKUP($Q567,'Threshold Summary'!$Y:$Y,'Threshold Summary'!$K:$K,""),'Pokemon Editor'!$A:$A,'Pokemon Editor'!$H:$H,0)+31+FLOOR(XLOOKUP($Q567,'Threshold Summary'!$Y:$Y,'Threshold Summary'!$R:$R,"")/4))*XLOOKUP($Q567,'Threshold Summary'!$Y:$Y,'Threshold Summary'!$L:$L,""))/100)+5)*XLOOKUP(XLOOKUP($Q567,'Threshold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Editor'!$E:$E,1))),stab,IF(OR(mtype=XLOOKUP(XLOOKUP($Q567,'Threshold Summary'!$Y:$Y,'Threshold Summary'!$K:$K,""),'Pokemon Editor'!$A:$A,'Pokemon Editor'!$C:$C,""),mtype=XLOOKUP(XLOOKUP($Q567,'Threshold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Chart'!$B$1:$S$1,0)))),base,IF(OR(cat="Status",pow=0),0,FLOOR(FLOOR(FLOOR((2*XLOOKUP($Q567,'Threshold Summary'!$Y:$Y,'Threshold Summary'!$L:$L,"")/5+2)*pow*atk/def)/50)+2)),modifier,stab*eff,AVERAGE(ARRAYFORMULA(FLOOR(base*modifier*SEQUENCE(16,1,85,1)/100)))/(FLOOR(((2*XLOOKUP('Boss Editor'!$C$4,'Pokemon Editor'!$A:$A,'Pokemon Editor'!$E:$E,0)+31+FLOOR('Boss Editor'!$G$4/4))*'Boss Editor'!$D$4)/100)+'Boss Editor'!$D$4+10)),0)</f>
        <v/>
      </c>
      <c r="O567" s="3">
        <f>IF(N567&gt;=1,"OHKO",IF(N567&gt;=0.5,"2HKO",IF(N567&gt;=0.333,"3HKO",IF(N567&gt;=0.25,"4HKO","5HKO+"))))</f>
        <v/>
      </c>
      <c r="P567" s="3" t="inlineStr">
        <is>
          <t>Live from editable databases</t>
        </is>
      </c>
      <c r="Q567" s="3" t="inlineStr">
        <is>
          <t>SPECIES_DUCKLETT</t>
        </is>
      </c>
      <c r="R567" s="3" t="n">
        <v>22</v>
      </c>
    </row>
    <row r="568">
      <c r="A568" s="3">
        <f>XLOOKUP($Q568,'Threshold Summary'!$Y:$Y,'Threshold Summary'!$A:$A,"")</f>
        <v/>
      </c>
      <c r="B568" s="3">
        <f>XLOOKUP($Q568,'Threshold Summary'!$Y:$Y,'Threshold Summary'!$M:$M,"")</f>
        <v/>
      </c>
      <c r="C568" s="3">
        <f>XLOOKUP($Q568,'Threshold Summary'!$Y:$Y,'Threshold Summary'!$N:$N,"")</f>
        <v/>
      </c>
      <c r="D568" s="3">
        <f>IFERROR(INDEX(FILTER('Learnset Editor'!$D$2:$D,'Learnset Editor'!$A$2:$A=XLOOKUP($Q568,'Threshold Summary'!$Y:$Y,'Threshold Summary'!$K:$K,""),'Learnset Editor'!$C$2:$C&lt;=XLOOKUP($Q568,'Threshold Summary'!$Y:$Y,'Threshold Summary'!$L:$L,"")),$R568),"")</f>
        <v/>
      </c>
      <c r="E568" s="3">
        <f>XLOOKUP(D568,'Move Editor'!$B:$B,'Move Editor'!$C:$C,"")</f>
        <v/>
      </c>
      <c r="F568" s="3">
        <f>XLOOKUP(D568,'Move Editor'!$B:$B,'Move Editor'!$D:$D,"")</f>
        <v/>
      </c>
      <c r="G568" s="3">
        <f>XLOOKUP(D568,'Move Editor'!$B:$B,'Move Editor'!$E:$E,0)</f>
        <v/>
      </c>
      <c r="H568" s="3">
        <f>XLOOKUP(D568,'Move Editor'!$B:$B,'Move Editor'!$F:$F,0)</f>
        <v/>
      </c>
      <c r="I568" s="3">
        <f>(INDEX('Type Chart'!$B:$S,MATCH(E568,'Type Chart'!$A:$A,0),MATCH(XLOOKUP('Boss Editor'!$C$4,'Pokemon Editor'!$A:$A,'Pokemon Editor'!$C:$C,""),'Type Chart'!$B$1:$S$1,0))*IF(XLOOKUP('Boss Editor'!$C$4,'Pokemon Editor'!$A:$A,'Pokemon Editor'!$D:$D,"")="",1,INDEX('Type Chart'!$B:$S,MATCH(E568,'Type Chart'!$A:$A,0),MATCH(XLOOKUP('Boss Editor'!$C$4,'Pokemon Editor'!$A:$A,'Pokemon Editor'!$D:$D,""),'Type Chart'!$B$1:$S$1,0))))</f>
        <v/>
      </c>
      <c r="J568" s="3">
        <f>IFERROR(LET(mtype,XLOOKUP($D568,'Move Editor'!$B:$B,'Move Editor'!$C:$C,""),cat,XLOOKUP($D568,'Move Editor'!$B:$B,'Move Editor'!$D:$D,""),pow,XLOOKUP($D568,'Move Editor'!$B:$B,'Move Editor'!$E:$E,0),acc,XLOOKUP($D568,'Move Editor'!$B:$B,'Move Editor'!$F:$F,100),atk,IF(cat="Physical",FLOOR((FLOOR(((2*XLOOKUP(XLOOKUP($Q568,'Threshold Summary'!$Y:$Y,'Threshold Summary'!$K:$K,""),'Pokemon Editor'!$A:$A,'Pokemon Editor'!$F:$F,0)+31+FLOOR(XLOOKUP($Q568,'Threshold Summary'!$Y:$Y,'Threshold Summary'!$P:$P,"")/4))*XLOOKUP($Q568,'Threshold Summary'!$Y:$Y,'Threshold Summary'!$L:$L,""))/100)+5)*XLOOKUP(XLOOKUP($Q568,'Threshold Summary'!$Y:$Y,'Threshold Summary'!$M:$M,""),'Nature Editor'!$A:$A,'Nature Editor'!$B:$B,1)),FLOOR((FLOOR(((2*XLOOKUP(XLOOKUP($Q568,'Threshold Summary'!$Y:$Y,'Threshold Summary'!$K:$K,""),'Pokemon Editor'!$A:$A,'Pokemon Editor'!$H:$H,0)+31+FLOOR(XLOOKUP($Q568,'Threshold Summary'!$Y:$Y,'Threshold Summary'!$R:$R,"")/4))*XLOOKUP($Q568,'Threshold Summary'!$Y:$Y,'Threshold Summary'!$L:$L,""))/100)+5)*XLOOKUP(XLOOKUP($Q568,'Threshold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Editor'!$E:$E,1))),stab,IF(OR(mtype=XLOOKUP(XLOOKUP($Q568,'Threshold Summary'!$Y:$Y,'Threshold Summary'!$K:$K,""),'Pokemon Editor'!$A:$A,'Pokemon Editor'!$C:$C,""),mtype=XLOOKUP(XLOOKUP($Q568,'Threshold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Chart'!$B$1:$S$1,0)))),base,IF(OR(cat="Status",pow=0),0,FLOOR(FLOOR(FLOOR((2*XLOOKUP($Q568,'Threshold Summary'!$Y:$Y,'Threshold Summary'!$L:$L,"")/5+2)*pow*atk/def)/50)+2)),modifier,stab*eff,FLOOR(base*modifier*0.85)),0)</f>
        <v/>
      </c>
      <c r="K568" s="3">
        <f>IFERROR(LET(mtype,XLOOKUP($D568,'Move Editor'!$B:$B,'Move Editor'!$C:$C,""),cat,XLOOKUP($D568,'Move Editor'!$B:$B,'Move Editor'!$D:$D,""),pow,XLOOKUP($D568,'Move Editor'!$B:$B,'Move Editor'!$E:$E,0),acc,XLOOKUP($D568,'Move Editor'!$B:$B,'Move Editor'!$F:$F,100),atk,IF(cat="Physical",FLOOR((FLOOR(((2*XLOOKUP(XLOOKUP($Q568,'Threshold Summary'!$Y:$Y,'Threshold Summary'!$K:$K,""),'Pokemon Editor'!$A:$A,'Pokemon Editor'!$F:$F,0)+31+FLOOR(XLOOKUP($Q568,'Threshold Summary'!$Y:$Y,'Threshold Summary'!$P:$P,"")/4))*XLOOKUP($Q568,'Threshold Summary'!$Y:$Y,'Threshold Summary'!$L:$L,""))/100)+5)*XLOOKUP(XLOOKUP($Q568,'Threshold Summary'!$Y:$Y,'Threshold Summary'!$M:$M,""),'Nature Editor'!$A:$A,'Nature Editor'!$B:$B,1)),FLOOR((FLOOR(((2*XLOOKUP(XLOOKUP($Q568,'Threshold Summary'!$Y:$Y,'Threshold Summary'!$K:$K,""),'Pokemon Editor'!$A:$A,'Pokemon Editor'!$H:$H,0)+31+FLOOR(XLOOKUP($Q568,'Threshold Summary'!$Y:$Y,'Threshold Summary'!$R:$R,"")/4))*XLOOKUP($Q568,'Threshold Summary'!$Y:$Y,'Threshold Summary'!$L:$L,""))/100)+5)*XLOOKUP(XLOOKUP($Q568,'Threshold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Editor'!$E:$E,1))),stab,IF(OR(mtype=XLOOKUP(XLOOKUP($Q568,'Threshold Summary'!$Y:$Y,'Threshold Summary'!$K:$K,""),'Pokemon Editor'!$A:$A,'Pokemon Editor'!$C:$C,""),mtype=XLOOKUP(XLOOKUP($Q568,'Threshold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Chart'!$B$1:$S$1,0)))),base,IF(OR(cat="Status",pow=0),0,FLOOR(FLOOR(FLOOR((2*XLOOKUP($Q568,'Threshold Summary'!$Y:$Y,'Threshold Summary'!$L:$L,"")/5+2)*pow*atk/def)/50)+2)),modifier,stab*eff,FLOOR(base*modifier)),0)</f>
        <v/>
      </c>
      <c r="L568" s="3">
        <f>IFERROR(LET(mtype,XLOOKUP($D568,'Move Editor'!$B:$B,'Move Editor'!$C:$C,""),cat,XLOOKUP($D568,'Move Editor'!$B:$B,'Move Editor'!$D:$D,""),pow,XLOOKUP($D568,'Move Editor'!$B:$B,'Move Editor'!$E:$E,0),acc,XLOOKUP($D568,'Move Editor'!$B:$B,'Move Editor'!$F:$F,100),atk,IF(cat="Physical",FLOOR((FLOOR(((2*XLOOKUP(XLOOKUP($Q568,'Threshold Summary'!$Y:$Y,'Threshold Summary'!$K:$K,""),'Pokemon Editor'!$A:$A,'Pokemon Editor'!$F:$F,0)+31+FLOOR(XLOOKUP($Q568,'Threshold Summary'!$Y:$Y,'Threshold Summary'!$P:$P,"")/4))*XLOOKUP($Q568,'Threshold Summary'!$Y:$Y,'Threshold Summary'!$L:$L,""))/100)+5)*XLOOKUP(XLOOKUP($Q568,'Threshold Summary'!$Y:$Y,'Threshold Summary'!$M:$M,""),'Nature Editor'!$A:$A,'Nature Editor'!$B:$B,1)),FLOOR((FLOOR(((2*XLOOKUP(XLOOKUP($Q568,'Threshold Summary'!$Y:$Y,'Threshold Summary'!$K:$K,""),'Pokemon Editor'!$A:$A,'Pokemon Editor'!$H:$H,0)+31+FLOOR(XLOOKUP($Q568,'Threshold Summary'!$Y:$Y,'Threshold Summary'!$R:$R,"")/4))*XLOOKUP($Q568,'Threshold Summary'!$Y:$Y,'Threshold Summary'!$L:$L,""))/100)+5)*XLOOKUP(XLOOKUP($Q568,'Threshold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Editor'!$E:$E,1))),stab,IF(OR(mtype=XLOOKUP(XLOOKUP($Q568,'Threshold Summary'!$Y:$Y,'Threshold Summary'!$K:$K,""),'Pokemon Editor'!$A:$A,'Pokemon Editor'!$C:$C,""),mtype=XLOOKUP(XLOOKUP($Q568,'Threshold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Chart'!$B$1:$S$1,0)))),base,IF(OR(cat="Status",pow=0),0,FLOOR(FLOOR(FLOOR((2*XLOOKUP($Q568,'Threshold Summary'!$Y:$Y,'Threshold Summary'!$L:$L,"")/5+2)*pow*atk/def)/50)+2)),modifier,stab*eff,AVERAGE(ARRAYFORMULA(FLOOR(base*modifier*SEQUENCE(16,1,85,1)/100)))),0)</f>
        <v/>
      </c>
      <c r="M568" s="3">
        <f>IFERROR(LET(mtype,XLOOKUP($D568,'Move Editor'!$B:$B,'Move Editor'!$C:$C,""),cat,XLOOKUP($D568,'Move Editor'!$B:$B,'Move Editor'!$D:$D,""),pow,XLOOKUP($D568,'Move Editor'!$B:$B,'Move Editor'!$E:$E,0),acc,XLOOKUP($D568,'Move Editor'!$B:$B,'Move Editor'!$F:$F,100),atk,IF(cat="Physical",FLOOR((FLOOR(((2*XLOOKUP(XLOOKUP($Q568,'Threshold Summary'!$Y:$Y,'Threshold Summary'!$K:$K,""),'Pokemon Editor'!$A:$A,'Pokemon Editor'!$F:$F,0)+31+FLOOR(XLOOKUP($Q568,'Threshold Summary'!$Y:$Y,'Threshold Summary'!$P:$P,"")/4))*XLOOKUP($Q568,'Threshold Summary'!$Y:$Y,'Threshold Summary'!$L:$L,""))/100)+5)*XLOOKUP(XLOOKUP($Q568,'Threshold Summary'!$Y:$Y,'Threshold Summary'!$M:$M,""),'Nature Editor'!$A:$A,'Nature Editor'!$B:$B,1)),FLOOR((FLOOR(((2*XLOOKUP(XLOOKUP($Q568,'Threshold Summary'!$Y:$Y,'Threshold Summary'!$K:$K,""),'Pokemon Editor'!$A:$A,'Pokemon Editor'!$H:$H,0)+31+FLOOR(XLOOKUP($Q568,'Threshold Summary'!$Y:$Y,'Threshold Summary'!$R:$R,"")/4))*XLOOKUP($Q568,'Threshold Summary'!$Y:$Y,'Threshold Summary'!$L:$L,""))/100)+5)*XLOOKUP(XLOOKUP($Q568,'Threshold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Editor'!$E:$E,1))),stab,IF(OR(mtype=XLOOKUP(XLOOKUP($Q568,'Threshold Summary'!$Y:$Y,'Threshold Summary'!$K:$K,""),'Pokemon Editor'!$A:$A,'Pokemon Editor'!$C:$C,""),mtype=XLOOKUP(XLOOKUP($Q568,'Threshold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Chart'!$B$1:$S$1,0)))),base,IF(OR(cat="Status",pow=0),0,FLOOR(FLOOR(FLOOR((2*XLOOKUP($Q568,'Threshold Summary'!$Y:$Y,'Threshold Summary'!$L:$L,"")/5+2)*pow*atk/def)/50)+2)),modifier,stab*eff,AVERAGE(ARRAYFORMULA(FLOOR(base*modifier*SEQUENCE(16,1,85,1)/100)))*MIN(1,acc/100)),0)</f>
        <v/>
      </c>
      <c r="N568" s="4">
        <f>IFERROR(LET(mtype,XLOOKUP($D568,'Move Editor'!$B:$B,'Move Editor'!$C:$C,""),cat,XLOOKUP($D568,'Move Editor'!$B:$B,'Move Editor'!$D:$D,""),pow,XLOOKUP($D568,'Move Editor'!$B:$B,'Move Editor'!$E:$E,0),acc,XLOOKUP($D568,'Move Editor'!$B:$B,'Move Editor'!$F:$F,100),atk,IF(cat="Physical",FLOOR((FLOOR(((2*XLOOKUP(XLOOKUP($Q568,'Threshold Summary'!$Y:$Y,'Threshold Summary'!$K:$K,""),'Pokemon Editor'!$A:$A,'Pokemon Editor'!$F:$F,0)+31+FLOOR(XLOOKUP($Q568,'Threshold Summary'!$Y:$Y,'Threshold Summary'!$P:$P,"")/4))*XLOOKUP($Q568,'Threshold Summary'!$Y:$Y,'Threshold Summary'!$L:$L,""))/100)+5)*XLOOKUP(XLOOKUP($Q568,'Threshold Summary'!$Y:$Y,'Threshold Summary'!$M:$M,""),'Nature Editor'!$A:$A,'Nature Editor'!$B:$B,1)),FLOOR((FLOOR(((2*XLOOKUP(XLOOKUP($Q568,'Threshold Summary'!$Y:$Y,'Threshold Summary'!$K:$K,""),'Pokemon Editor'!$A:$A,'Pokemon Editor'!$H:$H,0)+31+FLOOR(XLOOKUP($Q568,'Threshold Summary'!$Y:$Y,'Threshold Summary'!$R:$R,"")/4))*XLOOKUP($Q568,'Threshold Summary'!$Y:$Y,'Threshold Summary'!$L:$L,""))/100)+5)*XLOOKUP(XLOOKUP($Q568,'Threshold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Editor'!$E:$E,1))),stab,IF(OR(mtype=XLOOKUP(XLOOKUP($Q568,'Threshold Summary'!$Y:$Y,'Threshold Summary'!$K:$K,""),'Pokemon Editor'!$A:$A,'Pokemon Editor'!$C:$C,""),mtype=XLOOKUP(XLOOKUP($Q568,'Threshold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Chart'!$B$1:$S$1,0)))),base,IF(OR(cat="Status",pow=0),0,FLOOR(FLOOR(FLOOR((2*XLOOKUP($Q568,'Threshold Summary'!$Y:$Y,'Threshold Summary'!$L:$L,"")/5+2)*pow*atk/def)/50)+2)),modifier,stab*eff,AVERAGE(ARRAYFORMULA(FLOOR(base*modifier*SEQUENCE(16,1,85,1)/100)))/(FLOOR(((2*XLOOKUP('Boss Editor'!$C$4,'Pokemon Editor'!$A:$A,'Pokemon Editor'!$E:$E,0)+31+FLOOR('Boss Editor'!$G$4/4))*'Boss Editor'!$D$4)/100)+'Boss Editor'!$D$4+10)),0)</f>
        <v/>
      </c>
      <c r="O568" s="3">
        <f>IF(N568&gt;=1,"OHKO",IF(N568&gt;=0.5,"2HKO",IF(N568&gt;=0.333,"3HKO",IF(N568&gt;=0.25,"4HKO","5HKO+"))))</f>
        <v/>
      </c>
      <c r="P568" s="3" t="inlineStr">
        <is>
          <t>Live from editable databases</t>
        </is>
      </c>
      <c r="Q568" s="3" t="inlineStr">
        <is>
          <t>SPECIES_DUCKLETT</t>
        </is>
      </c>
      <c r="R568" s="3" t="n">
        <v>23</v>
      </c>
    </row>
    <row r="569">
      <c r="A569" s="3">
        <f>XLOOKUP($Q569,'Threshold Summary'!$Y:$Y,'Threshold Summary'!$A:$A,"")</f>
        <v/>
      </c>
      <c r="B569" s="3">
        <f>XLOOKUP($Q569,'Threshold Summary'!$Y:$Y,'Threshold Summary'!$M:$M,"")</f>
        <v/>
      </c>
      <c r="C569" s="3">
        <f>XLOOKUP($Q569,'Threshold Summary'!$Y:$Y,'Threshold Summary'!$N:$N,"")</f>
        <v/>
      </c>
      <c r="D569" s="3">
        <f>IFERROR(INDEX(FILTER('Learnset Editor'!$D$2:$D,'Learnset Editor'!$A$2:$A=XLOOKUP($Q569,'Threshold Summary'!$Y:$Y,'Threshold Summary'!$K:$K,""),'Learnset Editor'!$C$2:$C&lt;=XLOOKUP($Q569,'Threshold Summary'!$Y:$Y,'Threshold Summary'!$L:$L,"")),$R569),"")</f>
        <v/>
      </c>
      <c r="E569" s="3">
        <f>XLOOKUP(D569,'Move Editor'!$B:$B,'Move Editor'!$C:$C,"")</f>
        <v/>
      </c>
      <c r="F569" s="3">
        <f>XLOOKUP(D569,'Move Editor'!$B:$B,'Move Editor'!$D:$D,"")</f>
        <v/>
      </c>
      <c r="G569" s="3">
        <f>XLOOKUP(D569,'Move Editor'!$B:$B,'Move Editor'!$E:$E,0)</f>
        <v/>
      </c>
      <c r="H569" s="3">
        <f>XLOOKUP(D569,'Move Editor'!$B:$B,'Move Editor'!$F:$F,0)</f>
        <v/>
      </c>
      <c r="I569" s="3">
        <f>(INDEX('Type Chart'!$B:$S,MATCH(E569,'Type Chart'!$A:$A,0),MATCH(XLOOKUP('Boss Editor'!$C$4,'Pokemon Editor'!$A:$A,'Pokemon Editor'!$C:$C,""),'Type Chart'!$B$1:$S$1,0))*IF(XLOOKUP('Boss Editor'!$C$4,'Pokemon Editor'!$A:$A,'Pokemon Editor'!$D:$D,"")="",1,INDEX('Type Chart'!$B:$S,MATCH(E569,'Type Chart'!$A:$A,0),MATCH(XLOOKUP('Boss Editor'!$C$4,'Pokemon Editor'!$A:$A,'Pokemon Editor'!$D:$D,""),'Type Chart'!$B$1:$S$1,0))))</f>
        <v/>
      </c>
      <c r="J569" s="3">
        <f>IFERROR(LET(mtype,XLOOKUP($D569,'Move Editor'!$B:$B,'Move Editor'!$C:$C,""),cat,XLOOKUP($D569,'Move Editor'!$B:$B,'Move Editor'!$D:$D,""),pow,XLOOKUP($D569,'Move Editor'!$B:$B,'Move Editor'!$E:$E,0),acc,XLOOKUP($D569,'Move Editor'!$B:$B,'Move Editor'!$F:$F,100),atk,IF(cat="Physical",FLOOR((FLOOR(((2*XLOOKUP(XLOOKUP($Q569,'Threshold Summary'!$Y:$Y,'Threshold Summary'!$K:$K,""),'Pokemon Editor'!$A:$A,'Pokemon Editor'!$F:$F,0)+31+FLOOR(XLOOKUP($Q569,'Threshold Summary'!$Y:$Y,'Threshold Summary'!$P:$P,"")/4))*XLOOKUP($Q569,'Threshold Summary'!$Y:$Y,'Threshold Summary'!$L:$L,""))/100)+5)*XLOOKUP(XLOOKUP($Q569,'Threshold Summary'!$Y:$Y,'Threshold Summary'!$M:$M,""),'Nature Editor'!$A:$A,'Nature Editor'!$B:$B,1)),FLOOR((FLOOR(((2*XLOOKUP(XLOOKUP($Q569,'Threshold Summary'!$Y:$Y,'Threshold Summary'!$K:$K,""),'Pokemon Editor'!$A:$A,'Pokemon Editor'!$H:$H,0)+31+FLOOR(XLOOKUP($Q569,'Threshold Summary'!$Y:$Y,'Threshold Summary'!$R:$R,"")/4))*XLOOKUP($Q569,'Threshold Summary'!$Y:$Y,'Threshold Summary'!$L:$L,""))/100)+5)*XLOOKUP(XLOOKUP($Q569,'Threshold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Editor'!$E:$E,1))),stab,IF(OR(mtype=XLOOKUP(XLOOKUP($Q569,'Threshold Summary'!$Y:$Y,'Threshold Summary'!$K:$K,""),'Pokemon Editor'!$A:$A,'Pokemon Editor'!$C:$C,""),mtype=XLOOKUP(XLOOKUP($Q569,'Threshold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Chart'!$B$1:$S$1,0)))),base,IF(OR(cat="Status",pow=0),0,FLOOR(FLOOR(FLOOR((2*XLOOKUP($Q569,'Threshold Summary'!$Y:$Y,'Threshold Summary'!$L:$L,"")/5+2)*pow*atk/def)/50)+2)),modifier,stab*eff,FLOOR(base*modifier*0.85)),0)</f>
        <v/>
      </c>
      <c r="K569" s="3">
        <f>IFERROR(LET(mtype,XLOOKUP($D569,'Move Editor'!$B:$B,'Move Editor'!$C:$C,""),cat,XLOOKUP($D569,'Move Editor'!$B:$B,'Move Editor'!$D:$D,""),pow,XLOOKUP($D569,'Move Editor'!$B:$B,'Move Editor'!$E:$E,0),acc,XLOOKUP($D569,'Move Editor'!$B:$B,'Move Editor'!$F:$F,100),atk,IF(cat="Physical",FLOOR((FLOOR(((2*XLOOKUP(XLOOKUP($Q569,'Threshold Summary'!$Y:$Y,'Threshold Summary'!$K:$K,""),'Pokemon Editor'!$A:$A,'Pokemon Editor'!$F:$F,0)+31+FLOOR(XLOOKUP($Q569,'Threshold Summary'!$Y:$Y,'Threshold Summary'!$P:$P,"")/4))*XLOOKUP($Q569,'Threshold Summary'!$Y:$Y,'Threshold Summary'!$L:$L,""))/100)+5)*XLOOKUP(XLOOKUP($Q569,'Threshold Summary'!$Y:$Y,'Threshold Summary'!$M:$M,""),'Nature Editor'!$A:$A,'Nature Editor'!$B:$B,1)),FLOOR((FLOOR(((2*XLOOKUP(XLOOKUP($Q569,'Threshold Summary'!$Y:$Y,'Threshold Summary'!$K:$K,""),'Pokemon Editor'!$A:$A,'Pokemon Editor'!$H:$H,0)+31+FLOOR(XLOOKUP($Q569,'Threshold Summary'!$Y:$Y,'Threshold Summary'!$R:$R,"")/4))*XLOOKUP($Q569,'Threshold Summary'!$Y:$Y,'Threshold Summary'!$L:$L,""))/100)+5)*XLOOKUP(XLOOKUP($Q569,'Threshold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Editor'!$E:$E,1))),stab,IF(OR(mtype=XLOOKUP(XLOOKUP($Q569,'Threshold Summary'!$Y:$Y,'Threshold Summary'!$K:$K,""),'Pokemon Editor'!$A:$A,'Pokemon Editor'!$C:$C,""),mtype=XLOOKUP(XLOOKUP($Q569,'Threshold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Chart'!$B$1:$S$1,0)))),base,IF(OR(cat="Status",pow=0),0,FLOOR(FLOOR(FLOOR((2*XLOOKUP($Q569,'Threshold Summary'!$Y:$Y,'Threshold Summary'!$L:$L,"")/5+2)*pow*atk/def)/50)+2)),modifier,stab*eff,FLOOR(base*modifier)),0)</f>
        <v/>
      </c>
      <c r="L569" s="3">
        <f>IFERROR(LET(mtype,XLOOKUP($D569,'Move Editor'!$B:$B,'Move Editor'!$C:$C,""),cat,XLOOKUP($D569,'Move Editor'!$B:$B,'Move Editor'!$D:$D,""),pow,XLOOKUP($D569,'Move Editor'!$B:$B,'Move Editor'!$E:$E,0),acc,XLOOKUP($D569,'Move Editor'!$B:$B,'Move Editor'!$F:$F,100),atk,IF(cat="Physical",FLOOR((FLOOR(((2*XLOOKUP(XLOOKUP($Q569,'Threshold Summary'!$Y:$Y,'Threshold Summary'!$K:$K,""),'Pokemon Editor'!$A:$A,'Pokemon Editor'!$F:$F,0)+31+FLOOR(XLOOKUP($Q569,'Threshold Summary'!$Y:$Y,'Threshold Summary'!$P:$P,"")/4))*XLOOKUP($Q569,'Threshold Summary'!$Y:$Y,'Threshold Summary'!$L:$L,""))/100)+5)*XLOOKUP(XLOOKUP($Q569,'Threshold Summary'!$Y:$Y,'Threshold Summary'!$M:$M,""),'Nature Editor'!$A:$A,'Nature Editor'!$B:$B,1)),FLOOR((FLOOR(((2*XLOOKUP(XLOOKUP($Q569,'Threshold Summary'!$Y:$Y,'Threshold Summary'!$K:$K,""),'Pokemon Editor'!$A:$A,'Pokemon Editor'!$H:$H,0)+31+FLOOR(XLOOKUP($Q569,'Threshold Summary'!$Y:$Y,'Threshold Summary'!$R:$R,"")/4))*XLOOKUP($Q569,'Threshold Summary'!$Y:$Y,'Threshold Summary'!$L:$L,""))/100)+5)*XLOOKUP(XLOOKUP($Q569,'Threshold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Editor'!$E:$E,1))),stab,IF(OR(mtype=XLOOKUP(XLOOKUP($Q569,'Threshold Summary'!$Y:$Y,'Threshold Summary'!$K:$K,""),'Pokemon Editor'!$A:$A,'Pokemon Editor'!$C:$C,""),mtype=XLOOKUP(XLOOKUP($Q569,'Threshold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Chart'!$B$1:$S$1,0)))),base,IF(OR(cat="Status",pow=0),0,FLOOR(FLOOR(FLOOR((2*XLOOKUP($Q569,'Threshold Summary'!$Y:$Y,'Threshold Summary'!$L:$L,"")/5+2)*pow*atk/def)/50)+2)),modifier,stab*eff,AVERAGE(ARRAYFORMULA(FLOOR(base*modifier*SEQUENCE(16,1,85,1)/100)))),0)</f>
        <v/>
      </c>
      <c r="M569" s="3">
        <f>IFERROR(LET(mtype,XLOOKUP($D569,'Move Editor'!$B:$B,'Move Editor'!$C:$C,""),cat,XLOOKUP($D569,'Move Editor'!$B:$B,'Move Editor'!$D:$D,""),pow,XLOOKUP($D569,'Move Editor'!$B:$B,'Move Editor'!$E:$E,0),acc,XLOOKUP($D569,'Move Editor'!$B:$B,'Move Editor'!$F:$F,100),atk,IF(cat="Physical",FLOOR((FLOOR(((2*XLOOKUP(XLOOKUP($Q569,'Threshold Summary'!$Y:$Y,'Threshold Summary'!$K:$K,""),'Pokemon Editor'!$A:$A,'Pokemon Editor'!$F:$F,0)+31+FLOOR(XLOOKUP($Q569,'Threshold Summary'!$Y:$Y,'Threshold Summary'!$P:$P,"")/4))*XLOOKUP($Q569,'Threshold Summary'!$Y:$Y,'Threshold Summary'!$L:$L,""))/100)+5)*XLOOKUP(XLOOKUP($Q569,'Threshold Summary'!$Y:$Y,'Threshold Summary'!$M:$M,""),'Nature Editor'!$A:$A,'Nature Editor'!$B:$B,1)),FLOOR((FLOOR(((2*XLOOKUP(XLOOKUP($Q569,'Threshold Summary'!$Y:$Y,'Threshold Summary'!$K:$K,""),'Pokemon Editor'!$A:$A,'Pokemon Editor'!$H:$H,0)+31+FLOOR(XLOOKUP($Q569,'Threshold Summary'!$Y:$Y,'Threshold Summary'!$R:$R,"")/4))*XLOOKUP($Q569,'Threshold Summary'!$Y:$Y,'Threshold Summary'!$L:$L,""))/100)+5)*XLOOKUP(XLOOKUP($Q569,'Threshold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Editor'!$E:$E,1))),stab,IF(OR(mtype=XLOOKUP(XLOOKUP($Q569,'Threshold Summary'!$Y:$Y,'Threshold Summary'!$K:$K,""),'Pokemon Editor'!$A:$A,'Pokemon Editor'!$C:$C,""),mtype=XLOOKUP(XLOOKUP($Q569,'Threshold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Chart'!$B$1:$S$1,0)))),base,IF(OR(cat="Status",pow=0),0,FLOOR(FLOOR(FLOOR((2*XLOOKUP($Q569,'Threshold Summary'!$Y:$Y,'Threshold Summary'!$L:$L,"")/5+2)*pow*atk/def)/50)+2)),modifier,stab*eff,AVERAGE(ARRAYFORMULA(FLOOR(base*modifier*SEQUENCE(16,1,85,1)/100)))*MIN(1,acc/100)),0)</f>
        <v/>
      </c>
      <c r="N569" s="4">
        <f>IFERROR(LET(mtype,XLOOKUP($D569,'Move Editor'!$B:$B,'Move Editor'!$C:$C,""),cat,XLOOKUP($D569,'Move Editor'!$B:$B,'Move Editor'!$D:$D,""),pow,XLOOKUP($D569,'Move Editor'!$B:$B,'Move Editor'!$E:$E,0),acc,XLOOKUP($D569,'Move Editor'!$B:$B,'Move Editor'!$F:$F,100),atk,IF(cat="Physical",FLOOR((FLOOR(((2*XLOOKUP(XLOOKUP($Q569,'Threshold Summary'!$Y:$Y,'Threshold Summary'!$K:$K,""),'Pokemon Editor'!$A:$A,'Pokemon Editor'!$F:$F,0)+31+FLOOR(XLOOKUP($Q569,'Threshold Summary'!$Y:$Y,'Threshold Summary'!$P:$P,"")/4))*XLOOKUP($Q569,'Threshold Summary'!$Y:$Y,'Threshold Summary'!$L:$L,""))/100)+5)*XLOOKUP(XLOOKUP($Q569,'Threshold Summary'!$Y:$Y,'Threshold Summary'!$M:$M,""),'Nature Editor'!$A:$A,'Nature Editor'!$B:$B,1)),FLOOR((FLOOR(((2*XLOOKUP(XLOOKUP($Q569,'Threshold Summary'!$Y:$Y,'Threshold Summary'!$K:$K,""),'Pokemon Editor'!$A:$A,'Pokemon Editor'!$H:$H,0)+31+FLOOR(XLOOKUP($Q569,'Threshold Summary'!$Y:$Y,'Threshold Summary'!$R:$R,"")/4))*XLOOKUP($Q569,'Threshold Summary'!$Y:$Y,'Threshold Summary'!$L:$L,""))/100)+5)*XLOOKUP(XLOOKUP($Q569,'Threshold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Editor'!$E:$E,1))),stab,IF(OR(mtype=XLOOKUP(XLOOKUP($Q569,'Threshold Summary'!$Y:$Y,'Threshold Summary'!$K:$K,""),'Pokemon Editor'!$A:$A,'Pokemon Editor'!$C:$C,""),mtype=XLOOKUP(XLOOKUP($Q569,'Threshold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Chart'!$B$1:$S$1,0)))),base,IF(OR(cat="Status",pow=0),0,FLOOR(FLOOR(FLOOR((2*XLOOKUP($Q569,'Threshold Summary'!$Y:$Y,'Threshold Summary'!$L:$L,"")/5+2)*pow*atk/def)/50)+2)),modifier,stab*eff,AVERAGE(ARRAYFORMULA(FLOOR(base*modifier*SEQUENCE(16,1,85,1)/100)))/(FLOOR(((2*XLOOKUP('Boss Editor'!$C$4,'Pokemon Editor'!$A:$A,'Pokemon Editor'!$E:$E,0)+31+FLOOR('Boss Editor'!$G$4/4))*'Boss Editor'!$D$4)/100)+'Boss Editor'!$D$4+10)),0)</f>
        <v/>
      </c>
      <c r="O569" s="3">
        <f>IF(N569&gt;=1,"OHKO",IF(N569&gt;=0.5,"2HKO",IF(N569&gt;=0.333,"3HKO",IF(N569&gt;=0.25,"4HKO","5HKO+"))))</f>
        <v/>
      </c>
      <c r="P569" s="3" t="inlineStr">
        <is>
          <t>Live from editable databases</t>
        </is>
      </c>
      <c r="Q569" s="3" t="inlineStr">
        <is>
          <t>SPECIES_DUCKLETT</t>
        </is>
      </c>
      <c r="R569" s="3" t="n">
        <v>24</v>
      </c>
    </row>
    <row r="570">
      <c r="A570" s="3">
        <f>XLOOKUP($Q570,'Threshold Summary'!$Y:$Y,'Threshold Summary'!$A:$A,"")</f>
        <v/>
      </c>
      <c r="B570" s="3">
        <f>XLOOKUP($Q570,'Threshold Summary'!$Y:$Y,'Threshold Summary'!$M:$M,"")</f>
        <v/>
      </c>
      <c r="C570" s="3">
        <f>XLOOKUP($Q570,'Threshold Summary'!$Y:$Y,'Threshold Summary'!$N:$N,"")</f>
        <v/>
      </c>
      <c r="D570" s="3">
        <f>IFERROR(INDEX(FILTER('Learnset Editor'!$D$2:$D,'Learnset Editor'!$A$2:$A=XLOOKUP($Q570,'Threshold Summary'!$Y:$Y,'Threshold Summary'!$K:$K,""),'Learnset Editor'!$C$2:$C&lt;=XLOOKUP($Q570,'Threshold Summary'!$Y:$Y,'Threshold Summary'!$L:$L,"")),$R570),"")</f>
        <v/>
      </c>
      <c r="E570" s="3">
        <f>XLOOKUP(D570,'Move Editor'!$B:$B,'Move Editor'!$C:$C,"")</f>
        <v/>
      </c>
      <c r="F570" s="3">
        <f>XLOOKUP(D570,'Move Editor'!$B:$B,'Move Editor'!$D:$D,"")</f>
        <v/>
      </c>
      <c r="G570" s="3">
        <f>XLOOKUP(D570,'Move Editor'!$B:$B,'Move Editor'!$E:$E,0)</f>
        <v/>
      </c>
      <c r="H570" s="3">
        <f>XLOOKUP(D570,'Move Editor'!$B:$B,'Move Editor'!$F:$F,0)</f>
        <v/>
      </c>
      <c r="I570" s="3">
        <f>(INDEX('Type Chart'!$B:$S,MATCH(E570,'Type Chart'!$A:$A,0),MATCH(XLOOKUP('Boss Editor'!$C$4,'Pokemon Editor'!$A:$A,'Pokemon Editor'!$C:$C,""),'Type Chart'!$B$1:$S$1,0))*IF(XLOOKUP('Boss Editor'!$C$4,'Pokemon Editor'!$A:$A,'Pokemon Editor'!$D:$D,"")="",1,INDEX('Type Chart'!$B:$S,MATCH(E570,'Type Chart'!$A:$A,0),MATCH(XLOOKUP('Boss Editor'!$C$4,'Pokemon Editor'!$A:$A,'Pokemon Editor'!$D:$D,""),'Type Chart'!$B$1:$S$1,0))))</f>
        <v/>
      </c>
      <c r="J570" s="3">
        <f>IFERROR(LET(mtype,XLOOKUP($D570,'Move Editor'!$B:$B,'Move Editor'!$C:$C,""),cat,XLOOKUP($D570,'Move Editor'!$B:$B,'Move Editor'!$D:$D,""),pow,XLOOKUP($D570,'Move Editor'!$B:$B,'Move Editor'!$E:$E,0),acc,XLOOKUP($D570,'Move Editor'!$B:$B,'Move Editor'!$F:$F,100),atk,IF(cat="Physical",FLOOR((FLOOR(((2*XLOOKUP(XLOOKUP($Q570,'Threshold Summary'!$Y:$Y,'Threshold Summary'!$K:$K,""),'Pokemon Editor'!$A:$A,'Pokemon Editor'!$F:$F,0)+31+FLOOR(XLOOKUP($Q570,'Threshold Summary'!$Y:$Y,'Threshold Summary'!$P:$P,"")/4))*XLOOKUP($Q570,'Threshold Summary'!$Y:$Y,'Threshold Summary'!$L:$L,""))/100)+5)*XLOOKUP(XLOOKUP($Q570,'Threshold Summary'!$Y:$Y,'Threshold Summary'!$M:$M,""),'Nature Editor'!$A:$A,'Nature Editor'!$B:$B,1)),FLOOR((FLOOR(((2*XLOOKUP(XLOOKUP($Q570,'Threshold Summary'!$Y:$Y,'Threshold Summary'!$K:$K,""),'Pokemon Editor'!$A:$A,'Pokemon Editor'!$H:$H,0)+31+FLOOR(XLOOKUP($Q570,'Threshold Summary'!$Y:$Y,'Threshold Summary'!$R:$R,"")/4))*XLOOKUP($Q570,'Threshold Summary'!$Y:$Y,'Threshold Summary'!$L:$L,""))/100)+5)*XLOOKUP(XLOOKUP($Q570,'Threshold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Editor'!$E:$E,1))),stab,IF(OR(mtype=XLOOKUP(XLOOKUP($Q570,'Threshold Summary'!$Y:$Y,'Threshold Summary'!$K:$K,""),'Pokemon Editor'!$A:$A,'Pokemon Editor'!$C:$C,""),mtype=XLOOKUP(XLOOKUP($Q570,'Threshold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Chart'!$B$1:$S$1,0)))),base,IF(OR(cat="Status",pow=0),0,FLOOR(FLOOR(FLOOR((2*XLOOKUP($Q570,'Threshold Summary'!$Y:$Y,'Threshold Summary'!$L:$L,"")/5+2)*pow*atk/def)/50)+2)),modifier,stab*eff,FLOOR(base*modifier*0.85)),0)</f>
        <v/>
      </c>
      <c r="K570" s="3">
        <f>IFERROR(LET(mtype,XLOOKUP($D570,'Move Editor'!$B:$B,'Move Editor'!$C:$C,""),cat,XLOOKUP($D570,'Move Editor'!$B:$B,'Move Editor'!$D:$D,""),pow,XLOOKUP($D570,'Move Editor'!$B:$B,'Move Editor'!$E:$E,0),acc,XLOOKUP($D570,'Move Editor'!$B:$B,'Move Editor'!$F:$F,100),atk,IF(cat="Physical",FLOOR((FLOOR(((2*XLOOKUP(XLOOKUP($Q570,'Threshold Summary'!$Y:$Y,'Threshold Summary'!$K:$K,""),'Pokemon Editor'!$A:$A,'Pokemon Editor'!$F:$F,0)+31+FLOOR(XLOOKUP($Q570,'Threshold Summary'!$Y:$Y,'Threshold Summary'!$P:$P,"")/4))*XLOOKUP($Q570,'Threshold Summary'!$Y:$Y,'Threshold Summary'!$L:$L,""))/100)+5)*XLOOKUP(XLOOKUP($Q570,'Threshold Summary'!$Y:$Y,'Threshold Summary'!$M:$M,""),'Nature Editor'!$A:$A,'Nature Editor'!$B:$B,1)),FLOOR((FLOOR(((2*XLOOKUP(XLOOKUP($Q570,'Threshold Summary'!$Y:$Y,'Threshold Summary'!$K:$K,""),'Pokemon Editor'!$A:$A,'Pokemon Editor'!$H:$H,0)+31+FLOOR(XLOOKUP($Q570,'Threshold Summary'!$Y:$Y,'Threshold Summary'!$R:$R,"")/4))*XLOOKUP($Q570,'Threshold Summary'!$Y:$Y,'Threshold Summary'!$L:$L,""))/100)+5)*XLOOKUP(XLOOKUP($Q570,'Threshold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Editor'!$E:$E,1))),stab,IF(OR(mtype=XLOOKUP(XLOOKUP($Q570,'Threshold Summary'!$Y:$Y,'Threshold Summary'!$K:$K,""),'Pokemon Editor'!$A:$A,'Pokemon Editor'!$C:$C,""),mtype=XLOOKUP(XLOOKUP($Q570,'Threshold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Chart'!$B$1:$S$1,0)))),base,IF(OR(cat="Status",pow=0),0,FLOOR(FLOOR(FLOOR((2*XLOOKUP($Q570,'Threshold Summary'!$Y:$Y,'Threshold Summary'!$L:$L,"")/5+2)*pow*atk/def)/50)+2)),modifier,stab*eff,FLOOR(base*modifier)),0)</f>
        <v/>
      </c>
      <c r="L570" s="3">
        <f>IFERROR(LET(mtype,XLOOKUP($D570,'Move Editor'!$B:$B,'Move Editor'!$C:$C,""),cat,XLOOKUP($D570,'Move Editor'!$B:$B,'Move Editor'!$D:$D,""),pow,XLOOKUP($D570,'Move Editor'!$B:$B,'Move Editor'!$E:$E,0),acc,XLOOKUP($D570,'Move Editor'!$B:$B,'Move Editor'!$F:$F,100),atk,IF(cat="Physical",FLOOR((FLOOR(((2*XLOOKUP(XLOOKUP($Q570,'Threshold Summary'!$Y:$Y,'Threshold Summary'!$K:$K,""),'Pokemon Editor'!$A:$A,'Pokemon Editor'!$F:$F,0)+31+FLOOR(XLOOKUP($Q570,'Threshold Summary'!$Y:$Y,'Threshold Summary'!$P:$P,"")/4))*XLOOKUP($Q570,'Threshold Summary'!$Y:$Y,'Threshold Summary'!$L:$L,""))/100)+5)*XLOOKUP(XLOOKUP($Q570,'Threshold Summary'!$Y:$Y,'Threshold Summary'!$M:$M,""),'Nature Editor'!$A:$A,'Nature Editor'!$B:$B,1)),FLOOR((FLOOR(((2*XLOOKUP(XLOOKUP($Q570,'Threshold Summary'!$Y:$Y,'Threshold Summary'!$K:$K,""),'Pokemon Editor'!$A:$A,'Pokemon Editor'!$H:$H,0)+31+FLOOR(XLOOKUP($Q570,'Threshold Summary'!$Y:$Y,'Threshold Summary'!$R:$R,"")/4))*XLOOKUP($Q570,'Threshold Summary'!$Y:$Y,'Threshold Summary'!$L:$L,""))/100)+5)*XLOOKUP(XLOOKUP($Q570,'Threshold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Editor'!$E:$E,1))),stab,IF(OR(mtype=XLOOKUP(XLOOKUP($Q570,'Threshold Summary'!$Y:$Y,'Threshold Summary'!$K:$K,""),'Pokemon Editor'!$A:$A,'Pokemon Editor'!$C:$C,""),mtype=XLOOKUP(XLOOKUP($Q570,'Threshold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Chart'!$B$1:$S$1,0)))),base,IF(OR(cat="Status",pow=0),0,FLOOR(FLOOR(FLOOR((2*XLOOKUP($Q570,'Threshold Summary'!$Y:$Y,'Threshold Summary'!$L:$L,"")/5+2)*pow*atk/def)/50)+2)),modifier,stab*eff,AVERAGE(ARRAYFORMULA(FLOOR(base*modifier*SEQUENCE(16,1,85,1)/100)))),0)</f>
        <v/>
      </c>
      <c r="M570" s="3">
        <f>IFERROR(LET(mtype,XLOOKUP($D570,'Move Editor'!$B:$B,'Move Editor'!$C:$C,""),cat,XLOOKUP($D570,'Move Editor'!$B:$B,'Move Editor'!$D:$D,""),pow,XLOOKUP($D570,'Move Editor'!$B:$B,'Move Editor'!$E:$E,0),acc,XLOOKUP($D570,'Move Editor'!$B:$B,'Move Editor'!$F:$F,100),atk,IF(cat="Physical",FLOOR((FLOOR(((2*XLOOKUP(XLOOKUP($Q570,'Threshold Summary'!$Y:$Y,'Threshold Summary'!$K:$K,""),'Pokemon Editor'!$A:$A,'Pokemon Editor'!$F:$F,0)+31+FLOOR(XLOOKUP($Q570,'Threshold Summary'!$Y:$Y,'Threshold Summary'!$P:$P,"")/4))*XLOOKUP($Q570,'Threshold Summary'!$Y:$Y,'Threshold Summary'!$L:$L,""))/100)+5)*XLOOKUP(XLOOKUP($Q570,'Threshold Summary'!$Y:$Y,'Threshold Summary'!$M:$M,""),'Nature Editor'!$A:$A,'Nature Editor'!$B:$B,1)),FLOOR((FLOOR(((2*XLOOKUP(XLOOKUP($Q570,'Threshold Summary'!$Y:$Y,'Threshold Summary'!$K:$K,""),'Pokemon Editor'!$A:$A,'Pokemon Editor'!$H:$H,0)+31+FLOOR(XLOOKUP($Q570,'Threshold Summary'!$Y:$Y,'Threshold Summary'!$R:$R,"")/4))*XLOOKUP($Q570,'Threshold Summary'!$Y:$Y,'Threshold Summary'!$L:$L,""))/100)+5)*XLOOKUP(XLOOKUP($Q570,'Threshold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Editor'!$E:$E,1))),stab,IF(OR(mtype=XLOOKUP(XLOOKUP($Q570,'Threshold Summary'!$Y:$Y,'Threshold Summary'!$K:$K,""),'Pokemon Editor'!$A:$A,'Pokemon Editor'!$C:$C,""),mtype=XLOOKUP(XLOOKUP($Q570,'Threshold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Chart'!$B$1:$S$1,0)))),base,IF(OR(cat="Status",pow=0),0,FLOOR(FLOOR(FLOOR((2*XLOOKUP($Q570,'Threshold Summary'!$Y:$Y,'Threshold Summary'!$L:$L,"")/5+2)*pow*atk/def)/50)+2)),modifier,stab*eff,AVERAGE(ARRAYFORMULA(FLOOR(base*modifier*SEQUENCE(16,1,85,1)/100)))*MIN(1,acc/100)),0)</f>
        <v/>
      </c>
      <c r="N570" s="4">
        <f>IFERROR(LET(mtype,XLOOKUP($D570,'Move Editor'!$B:$B,'Move Editor'!$C:$C,""),cat,XLOOKUP($D570,'Move Editor'!$B:$B,'Move Editor'!$D:$D,""),pow,XLOOKUP($D570,'Move Editor'!$B:$B,'Move Editor'!$E:$E,0),acc,XLOOKUP($D570,'Move Editor'!$B:$B,'Move Editor'!$F:$F,100),atk,IF(cat="Physical",FLOOR((FLOOR(((2*XLOOKUP(XLOOKUP($Q570,'Threshold Summary'!$Y:$Y,'Threshold Summary'!$K:$K,""),'Pokemon Editor'!$A:$A,'Pokemon Editor'!$F:$F,0)+31+FLOOR(XLOOKUP($Q570,'Threshold Summary'!$Y:$Y,'Threshold Summary'!$P:$P,"")/4))*XLOOKUP($Q570,'Threshold Summary'!$Y:$Y,'Threshold Summary'!$L:$L,""))/100)+5)*XLOOKUP(XLOOKUP($Q570,'Threshold Summary'!$Y:$Y,'Threshold Summary'!$M:$M,""),'Nature Editor'!$A:$A,'Nature Editor'!$B:$B,1)),FLOOR((FLOOR(((2*XLOOKUP(XLOOKUP($Q570,'Threshold Summary'!$Y:$Y,'Threshold Summary'!$K:$K,""),'Pokemon Editor'!$A:$A,'Pokemon Editor'!$H:$H,0)+31+FLOOR(XLOOKUP($Q570,'Threshold Summary'!$Y:$Y,'Threshold Summary'!$R:$R,"")/4))*XLOOKUP($Q570,'Threshold Summary'!$Y:$Y,'Threshold Summary'!$L:$L,""))/100)+5)*XLOOKUP(XLOOKUP($Q570,'Threshold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Editor'!$E:$E,1))),stab,IF(OR(mtype=XLOOKUP(XLOOKUP($Q570,'Threshold Summary'!$Y:$Y,'Threshold Summary'!$K:$K,""),'Pokemon Editor'!$A:$A,'Pokemon Editor'!$C:$C,""),mtype=XLOOKUP(XLOOKUP($Q570,'Threshold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Chart'!$B$1:$S$1,0)))),base,IF(OR(cat="Status",pow=0),0,FLOOR(FLOOR(FLOOR((2*XLOOKUP($Q570,'Threshold Summary'!$Y:$Y,'Threshold Summary'!$L:$L,"")/5+2)*pow*atk/def)/50)+2)),modifier,stab*eff,AVERAGE(ARRAYFORMULA(FLOOR(base*modifier*SEQUENCE(16,1,85,1)/100)))/(FLOOR(((2*XLOOKUP('Boss Editor'!$C$4,'Pokemon Editor'!$A:$A,'Pokemon Editor'!$E:$E,0)+31+FLOOR('Boss Editor'!$G$4/4))*'Boss Editor'!$D$4)/100)+'Boss Editor'!$D$4+10)),0)</f>
        <v/>
      </c>
      <c r="O570" s="3">
        <f>IF(N570&gt;=1,"OHKO",IF(N570&gt;=0.5,"2HKO",IF(N570&gt;=0.333,"3HKO",IF(N570&gt;=0.25,"4HKO","5HKO+"))))</f>
        <v/>
      </c>
      <c r="P570" s="3" t="inlineStr">
        <is>
          <t>Live from editable databases</t>
        </is>
      </c>
      <c r="Q570" s="3" t="inlineStr">
        <is>
          <t>SPECIES_DUCKLETT</t>
        </is>
      </c>
      <c r="R570" s="3" t="n">
        <v>25</v>
      </c>
    </row>
    <row r="571">
      <c r="A571" s="3">
        <f>XLOOKUP($Q571,'Threshold Summary'!$Y:$Y,'Threshold Summary'!$A:$A,"")</f>
        <v/>
      </c>
      <c r="B571" s="3">
        <f>XLOOKUP($Q571,'Threshold Summary'!$Y:$Y,'Threshold Summary'!$M:$M,"")</f>
        <v/>
      </c>
      <c r="C571" s="3">
        <f>XLOOKUP($Q571,'Threshold Summary'!$Y:$Y,'Threshold Summary'!$N:$N,"")</f>
        <v/>
      </c>
      <c r="D571" s="3">
        <f>IFERROR(INDEX(FILTER('Learnset Editor'!$D$2:$D,'Learnset Editor'!$A$2:$A=XLOOKUP($Q571,'Threshold Summary'!$Y:$Y,'Threshold Summary'!$K:$K,""),'Learnset Editor'!$C$2:$C&lt;=XLOOKUP($Q571,'Threshold Summary'!$Y:$Y,'Threshold Summary'!$L:$L,"")),$R571),"")</f>
        <v/>
      </c>
      <c r="E571" s="3">
        <f>XLOOKUP(D571,'Move Editor'!$B:$B,'Move Editor'!$C:$C,"")</f>
        <v/>
      </c>
      <c r="F571" s="3">
        <f>XLOOKUP(D571,'Move Editor'!$B:$B,'Move Editor'!$D:$D,"")</f>
        <v/>
      </c>
      <c r="G571" s="3">
        <f>XLOOKUP(D571,'Move Editor'!$B:$B,'Move Editor'!$E:$E,0)</f>
        <v/>
      </c>
      <c r="H571" s="3">
        <f>XLOOKUP(D571,'Move Editor'!$B:$B,'Move Editor'!$F:$F,0)</f>
        <v/>
      </c>
      <c r="I571" s="3">
        <f>(INDEX('Type Chart'!$B:$S,MATCH(E571,'Type Chart'!$A:$A,0),MATCH(XLOOKUP('Boss Editor'!$C$4,'Pokemon Editor'!$A:$A,'Pokemon Editor'!$C:$C,""),'Type Chart'!$B$1:$S$1,0))*IF(XLOOKUP('Boss Editor'!$C$4,'Pokemon Editor'!$A:$A,'Pokemon Editor'!$D:$D,"")="",1,INDEX('Type Chart'!$B:$S,MATCH(E571,'Type Chart'!$A:$A,0),MATCH(XLOOKUP('Boss Editor'!$C$4,'Pokemon Editor'!$A:$A,'Pokemon Editor'!$D:$D,""),'Type Chart'!$B$1:$S$1,0))))</f>
        <v/>
      </c>
      <c r="J571" s="3">
        <f>IFERROR(LET(mtype,XLOOKUP($D571,'Move Editor'!$B:$B,'Move Editor'!$C:$C,""),cat,XLOOKUP($D571,'Move Editor'!$B:$B,'Move Editor'!$D:$D,""),pow,XLOOKUP($D571,'Move Editor'!$B:$B,'Move Editor'!$E:$E,0),acc,XLOOKUP($D571,'Move Editor'!$B:$B,'Move Editor'!$F:$F,100),atk,IF(cat="Physical",FLOOR((FLOOR(((2*XLOOKUP(XLOOKUP($Q571,'Threshold Summary'!$Y:$Y,'Threshold Summary'!$K:$K,""),'Pokemon Editor'!$A:$A,'Pokemon Editor'!$F:$F,0)+31+FLOOR(XLOOKUP($Q571,'Threshold Summary'!$Y:$Y,'Threshold Summary'!$P:$P,"")/4))*XLOOKUP($Q571,'Threshold Summary'!$Y:$Y,'Threshold Summary'!$L:$L,""))/100)+5)*XLOOKUP(XLOOKUP($Q571,'Threshold Summary'!$Y:$Y,'Threshold Summary'!$M:$M,""),'Nature Editor'!$A:$A,'Nature Editor'!$B:$B,1)),FLOOR((FLOOR(((2*XLOOKUP(XLOOKUP($Q571,'Threshold Summary'!$Y:$Y,'Threshold Summary'!$K:$K,""),'Pokemon Editor'!$A:$A,'Pokemon Editor'!$H:$H,0)+31+FLOOR(XLOOKUP($Q571,'Threshold Summary'!$Y:$Y,'Threshold Summary'!$R:$R,"")/4))*XLOOKUP($Q571,'Threshold Summary'!$Y:$Y,'Threshold Summary'!$L:$L,""))/100)+5)*XLOOKUP(XLOOKUP($Q571,'Threshold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Editor'!$E:$E,1))),stab,IF(OR(mtype=XLOOKUP(XLOOKUP($Q571,'Threshold Summary'!$Y:$Y,'Threshold Summary'!$K:$K,""),'Pokemon Editor'!$A:$A,'Pokemon Editor'!$C:$C,""),mtype=XLOOKUP(XLOOKUP($Q571,'Threshold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Chart'!$B$1:$S$1,0)))),base,IF(OR(cat="Status",pow=0),0,FLOOR(FLOOR(FLOOR((2*XLOOKUP($Q571,'Threshold Summary'!$Y:$Y,'Threshold Summary'!$L:$L,"")/5+2)*pow*atk/def)/50)+2)),modifier,stab*eff,FLOOR(base*modifier*0.85)),0)</f>
        <v/>
      </c>
      <c r="K571" s="3">
        <f>IFERROR(LET(mtype,XLOOKUP($D571,'Move Editor'!$B:$B,'Move Editor'!$C:$C,""),cat,XLOOKUP($D571,'Move Editor'!$B:$B,'Move Editor'!$D:$D,""),pow,XLOOKUP($D571,'Move Editor'!$B:$B,'Move Editor'!$E:$E,0),acc,XLOOKUP($D571,'Move Editor'!$B:$B,'Move Editor'!$F:$F,100),atk,IF(cat="Physical",FLOOR((FLOOR(((2*XLOOKUP(XLOOKUP($Q571,'Threshold Summary'!$Y:$Y,'Threshold Summary'!$K:$K,""),'Pokemon Editor'!$A:$A,'Pokemon Editor'!$F:$F,0)+31+FLOOR(XLOOKUP($Q571,'Threshold Summary'!$Y:$Y,'Threshold Summary'!$P:$P,"")/4))*XLOOKUP($Q571,'Threshold Summary'!$Y:$Y,'Threshold Summary'!$L:$L,""))/100)+5)*XLOOKUP(XLOOKUP($Q571,'Threshold Summary'!$Y:$Y,'Threshold Summary'!$M:$M,""),'Nature Editor'!$A:$A,'Nature Editor'!$B:$B,1)),FLOOR((FLOOR(((2*XLOOKUP(XLOOKUP($Q571,'Threshold Summary'!$Y:$Y,'Threshold Summary'!$K:$K,""),'Pokemon Editor'!$A:$A,'Pokemon Editor'!$H:$H,0)+31+FLOOR(XLOOKUP($Q571,'Threshold Summary'!$Y:$Y,'Threshold Summary'!$R:$R,"")/4))*XLOOKUP($Q571,'Threshold Summary'!$Y:$Y,'Threshold Summary'!$L:$L,""))/100)+5)*XLOOKUP(XLOOKUP($Q571,'Threshold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Editor'!$E:$E,1))),stab,IF(OR(mtype=XLOOKUP(XLOOKUP($Q571,'Threshold Summary'!$Y:$Y,'Threshold Summary'!$K:$K,""),'Pokemon Editor'!$A:$A,'Pokemon Editor'!$C:$C,""),mtype=XLOOKUP(XLOOKUP($Q571,'Threshold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Chart'!$B$1:$S$1,0)))),base,IF(OR(cat="Status",pow=0),0,FLOOR(FLOOR(FLOOR((2*XLOOKUP($Q571,'Threshold Summary'!$Y:$Y,'Threshold Summary'!$L:$L,"")/5+2)*pow*atk/def)/50)+2)),modifier,stab*eff,FLOOR(base*modifier)),0)</f>
        <v/>
      </c>
      <c r="L571" s="3">
        <f>IFERROR(LET(mtype,XLOOKUP($D571,'Move Editor'!$B:$B,'Move Editor'!$C:$C,""),cat,XLOOKUP($D571,'Move Editor'!$B:$B,'Move Editor'!$D:$D,""),pow,XLOOKUP($D571,'Move Editor'!$B:$B,'Move Editor'!$E:$E,0),acc,XLOOKUP($D571,'Move Editor'!$B:$B,'Move Editor'!$F:$F,100),atk,IF(cat="Physical",FLOOR((FLOOR(((2*XLOOKUP(XLOOKUP($Q571,'Threshold Summary'!$Y:$Y,'Threshold Summary'!$K:$K,""),'Pokemon Editor'!$A:$A,'Pokemon Editor'!$F:$F,0)+31+FLOOR(XLOOKUP($Q571,'Threshold Summary'!$Y:$Y,'Threshold Summary'!$P:$P,"")/4))*XLOOKUP($Q571,'Threshold Summary'!$Y:$Y,'Threshold Summary'!$L:$L,""))/100)+5)*XLOOKUP(XLOOKUP($Q571,'Threshold Summary'!$Y:$Y,'Threshold Summary'!$M:$M,""),'Nature Editor'!$A:$A,'Nature Editor'!$B:$B,1)),FLOOR((FLOOR(((2*XLOOKUP(XLOOKUP($Q571,'Threshold Summary'!$Y:$Y,'Threshold Summary'!$K:$K,""),'Pokemon Editor'!$A:$A,'Pokemon Editor'!$H:$H,0)+31+FLOOR(XLOOKUP($Q571,'Threshold Summary'!$Y:$Y,'Threshold Summary'!$R:$R,"")/4))*XLOOKUP($Q571,'Threshold Summary'!$Y:$Y,'Threshold Summary'!$L:$L,""))/100)+5)*XLOOKUP(XLOOKUP($Q571,'Threshold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Editor'!$E:$E,1))),stab,IF(OR(mtype=XLOOKUP(XLOOKUP($Q571,'Threshold Summary'!$Y:$Y,'Threshold Summary'!$K:$K,""),'Pokemon Editor'!$A:$A,'Pokemon Editor'!$C:$C,""),mtype=XLOOKUP(XLOOKUP($Q571,'Threshold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Chart'!$B$1:$S$1,0)))),base,IF(OR(cat="Status",pow=0),0,FLOOR(FLOOR(FLOOR((2*XLOOKUP($Q571,'Threshold Summary'!$Y:$Y,'Threshold Summary'!$L:$L,"")/5+2)*pow*atk/def)/50)+2)),modifier,stab*eff,AVERAGE(ARRAYFORMULA(FLOOR(base*modifier*SEQUENCE(16,1,85,1)/100)))),0)</f>
        <v/>
      </c>
      <c r="M571" s="3">
        <f>IFERROR(LET(mtype,XLOOKUP($D571,'Move Editor'!$B:$B,'Move Editor'!$C:$C,""),cat,XLOOKUP($D571,'Move Editor'!$B:$B,'Move Editor'!$D:$D,""),pow,XLOOKUP($D571,'Move Editor'!$B:$B,'Move Editor'!$E:$E,0),acc,XLOOKUP($D571,'Move Editor'!$B:$B,'Move Editor'!$F:$F,100),atk,IF(cat="Physical",FLOOR((FLOOR(((2*XLOOKUP(XLOOKUP($Q571,'Threshold Summary'!$Y:$Y,'Threshold Summary'!$K:$K,""),'Pokemon Editor'!$A:$A,'Pokemon Editor'!$F:$F,0)+31+FLOOR(XLOOKUP($Q571,'Threshold Summary'!$Y:$Y,'Threshold Summary'!$P:$P,"")/4))*XLOOKUP($Q571,'Threshold Summary'!$Y:$Y,'Threshold Summary'!$L:$L,""))/100)+5)*XLOOKUP(XLOOKUP($Q571,'Threshold Summary'!$Y:$Y,'Threshold Summary'!$M:$M,""),'Nature Editor'!$A:$A,'Nature Editor'!$B:$B,1)),FLOOR((FLOOR(((2*XLOOKUP(XLOOKUP($Q571,'Threshold Summary'!$Y:$Y,'Threshold Summary'!$K:$K,""),'Pokemon Editor'!$A:$A,'Pokemon Editor'!$H:$H,0)+31+FLOOR(XLOOKUP($Q571,'Threshold Summary'!$Y:$Y,'Threshold Summary'!$R:$R,"")/4))*XLOOKUP($Q571,'Threshold Summary'!$Y:$Y,'Threshold Summary'!$L:$L,""))/100)+5)*XLOOKUP(XLOOKUP($Q571,'Threshold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Editor'!$E:$E,1))),stab,IF(OR(mtype=XLOOKUP(XLOOKUP($Q571,'Threshold Summary'!$Y:$Y,'Threshold Summary'!$K:$K,""),'Pokemon Editor'!$A:$A,'Pokemon Editor'!$C:$C,""),mtype=XLOOKUP(XLOOKUP($Q571,'Threshold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Chart'!$B$1:$S$1,0)))),base,IF(OR(cat="Status",pow=0),0,FLOOR(FLOOR(FLOOR((2*XLOOKUP($Q571,'Threshold Summary'!$Y:$Y,'Threshold Summary'!$L:$L,"")/5+2)*pow*atk/def)/50)+2)),modifier,stab*eff,AVERAGE(ARRAYFORMULA(FLOOR(base*modifier*SEQUENCE(16,1,85,1)/100)))*MIN(1,acc/100)),0)</f>
        <v/>
      </c>
      <c r="N571" s="4">
        <f>IFERROR(LET(mtype,XLOOKUP($D571,'Move Editor'!$B:$B,'Move Editor'!$C:$C,""),cat,XLOOKUP($D571,'Move Editor'!$B:$B,'Move Editor'!$D:$D,""),pow,XLOOKUP($D571,'Move Editor'!$B:$B,'Move Editor'!$E:$E,0),acc,XLOOKUP($D571,'Move Editor'!$B:$B,'Move Editor'!$F:$F,100),atk,IF(cat="Physical",FLOOR((FLOOR(((2*XLOOKUP(XLOOKUP($Q571,'Threshold Summary'!$Y:$Y,'Threshold Summary'!$K:$K,""),'Pokemon Editor'!$A:$A,'Pokemon Editor'!$F:$F,0)+31+FLOOR(XLOOKUP($Q571,'Threshold Summary'!$Y:$Y,'Threshold Summary'!$P:$P,"")/4))*XLOOKUP($Q571,'Threshold Summary'!$Y:$Y,'Threshold Summary'!$L:$L,""))/100)+5)*XLOOKUP(XLOOKUP($Q571,'Threshold Summary'!$Y:$Y,'Threshold Summary'!$M:$M,""),'Nature Editor'!$A:$A,'Nature Editor'!$B:$B,1)),FLOOR((FLOOR(((2*XLOOKUP(XLOOKUP($Q571,'Threshold Summary'!$Y:$Y,'Threshold Summary'!$K:$K,""),'Pokemon Editor'!$A:$A,'Pokemon Editor'!$H:$H,0)+31+FLOOR(XLOOKUP($Q571,'Threshold Summary'!$Y:$Y,'Threshold Summary'!$R:$R,"")/4))*XLOOKUP($Q571,'Threshold Summary'!$Y:$Y,'Threshold Summary'!$L:$L,""))/100)+5)*XLOOKUP(XLOOKUP($Q571,'Threshold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Editor'!$E:$E,1))),stab,IF(OR(mtype=XLOOKUP(XLOOKUP($Q571,'Threshold Summary'!$Y:$Y,'Threshold Summary'!$K:$K,""),'Pokemon Editor'!$A:$A,'Pokemon Editor'!$C:$C,""),mtype=XLOOKUP(XLOOKUP($Q571,'Threshold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Chart'!$B$1:$S$1,0)))),base,IF(OR(cat="Status",pow=0),0,FLOOR(FLOOR(FLOOR((2*XLOOKUP($Q571,'Threshold Summary'!$Y:$Y,'Threshold Summary'!$L:$L,"")/5+2)*pow*atk/def)/50)+2)),modifier,stab*eff,AVERAGE(ARRAYFORMULA(FLOOR(base*modifier*SEQUENCE(16,1,85,1)/100)))/(FLOOR(((2*XLOOKUP('Boss Editor'!$C$4,'Pokemon Editor'!$A:$A,'Pokemon Editor'!$E:$E,0)+31+FLOOR('Boss Editor'!$G$4/4))*'Boss Editor'!$D$4)/100)+'Boss Editor'!$D$4+10)),0)</f>
        <v/>
      </c>
      <c r="O571" s="3">
        <f>IF(N571&gt;=1,"OHKO",IF(N571&gt;=0.5,"2HKO",IF(N571&gt;=0.333,"3HKO",IF(N571&gt;=0.25,"4HKO","5HKO+"))))</f>
        <v/>
      </c>
      <c r="P571" s="3" t="inlineStr">
        <is>
          <t>Live from editable databases</t>
        </is>
      </c>
      <c r="Q571" s="3" t="inlineStr">
        <is>
          <t>SPECIES_DUCKLETT</t>
        </is>
      </c>
      <c r="R571" s="3" t="n">
        <v>26</v>
      </c>
    </row>
    <row r="572">
      <c r="A572" s="3">
        <f>XLOOKUP($Q572,'Threshold Summary'!$Y:$Y,'Threshold Summary'!$A:$A,"")</f>
        <v/>
      </c>
      <c r="B572" s="3">
        <f>XLOOKUP($Q572,'Threshold Summary'!$Y:$Y,'Threshold Summary'!$M:$M,"")</f>
        <v/>
      </c>
      <c r="C572" s="3">
        <f>XLOOKUP($Q572,'Threshold Summary'!$Y:$Y,'Threshold Summary'!$N:$N,"")</f>
        <v/>
      </c>
      <c r="D572" s="3">
        <f>IFERROR(INDEX(FILTER('Learnset Editor'!$D$2:$D,'Learnset Editor'!$A$2:$A=XLOOKUP($Q572,'Threshold Summary'!$Y:$Y,'Threshold Summary'!$K:$K,""),'Learnset Editor'!$C$2:$C&lt;=XLOOKUP($Q572,'Threshold Summary'!$Y:$Y,'Threshold Summary'!$L:$L,"")),$R572),"")</f>
        <v/>
      </c>
      <c r="E572" s="3">
        <f>XLOOKUP(D572,'Move Editor'!$B:$B,'Move Editor'!$C:$C,"")</f>
        <v/>
      </c>
      <c r="F572" s="3">
        <f>XLOOKUP(D572,'Move Editor'!$B:$B,'Move Editor'!$D:$D,"")</f>
        <v/>
      </c>
      <c r="G572" s="3">
        <f>XLOOKUP(D572,'Move Editor'!$B:$B,'Move Editor'!$E:$E,0)</f>
        <v/>
      </c>
      <c r="H572" s="3">
        <f>XLOOKUP(D572,'Move Editor'!$B:$B,'Move Editor'!$F:$F,0)</f>
        <v/>
      </c>
      <c r="I572" s="3">
        <f>(INDEX('Type Chart'!$B:$S,MATCH(E572,'Type Chart'!$A:$A,0),MATCH(XLOOKUP('Boss Editor'!$C$4,'Pokemon Editor'!$A:$A,'Pokemon Editor'!$C:$C,""),'Type Chart'!$B$1:$S$1,0))*IF(XLOOKUP('Boss Editor'!$C$4,'Pokemon Editor'!$A:$A,'Pokemon Editor'!$D:$D,"")="",1,INDEX('Type Chart'!$B:$S,MATCH(E572,'Type Chart'!$A:$A,0),MATCH(XLOOKUP('Boss Editor'!$C$4,'Pokemon Editor'!$A:$A,'Pokemon Editor'!$D:$D,""),'Type Chart'!$B$1:$S$1,0))))</f>
        <v/>
      </c>
      <c r="J572" s="3">
        <f>IFERROR(LET(mtype,XLOOKUP($D572,'Move Editor'!$B:$B,'Move Editor'!$C:$C,""),cat,XLOOKUP($D572,'Move Editor'!$B:$B,'Move Editor'!$D:$D,""),pow,XLOOKUP($D572,'Move Editor'!$B:$B,'Move Editor'!$E:$E,0),acc,XLOOKUP($D572,'Move Editor'!$B:$B,'Move Editor'!$F:$F,100),atk,IF(cat="Physical",FLOOR((FLOOR(((2*XLOOKUP(XLOOKUP($Q572,'Threshold Summary'!$Y:$Y,'Threshold Summary'!$K:$K,""),'Pokemon Editor'!$A:$A,'Pokemon Editor'!$F:$F,0)+31+FLOOR(XLOOKUP($Q572,'Threshold Summary'!$Y:$Y,'Threshold Summary'!$P:$P,"")/4))*XLOOKUP($Q572,'Threshold Summary'!$Y:$Y,'Threshold Summary'!$L:$L,""))/100)+5)*XLOOKUP(XLOOKUP($Q572,'Threshold Summary'!$Y:$Y,'Threshold Summary'!$M:$M,""),'Nature Editor'!$A:$A,'Nature Editor'!$B:$B,1)),FLOOR((FLOOR(((2*XLOOKUP(XLOOKUP($Q572,'Threshold Summary'!$Y:$Y,'Threshold Summary'!$K:$K,""),'Pokemon Editor'!$A:$A,'Pokemon Editor'!$H:$H,0)+31+FLOOR(XLOOKUP($Q572,'Threshold Summary'!$Y:$Y,'Threshold Summary'!$R:$R,"")/4))*XLOOKUP($Q572,'Threshold Summary'!$Y:$Y,'Threshold Summary'!$L:$L,""))/100)+5)*XLOOKUP(XLOOKUP($Q572,'Threshold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Editor'!$E:$E,1))),stab,IF(OR(mtype=XLOOKUP(XLOOKUP($Q572,'Threshold Summary'!$Y:$Y,'Threshold Summary'!$K:$K,""),'Pokemon Editor'!$A:$A,'Pokemon Editor'!$C:$C,""),mtype=XLOOKUP(XLOOKUP($Q572,'Threshold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Chart'!$B$1:$S$1,0)))),base,IF(OR(cat="Status",pow=0),0,FLOOR(FLOOR(FLOOR((2*XLOOKUP($Q572,'Threshold Summary'!$Y:$Y,'Threshold Summary'!$L:$L,"")/5+2)*pow*atk/def)/50)+2)),modifier,stab*eff,FLOOR(base*modifier*0.85)),0)</f>
        <v/>
      </c>
      <c r="K572" s="3">
        <f>IFERROR(LET(mtype,XLOOKUP($D572,'Move Editor'!$B:$B,'Move Editor'!$C:$C,""),cat,XLOOKUP($D572,'Move Editor'!$B:$B,'Move Editor'!$D:$D,""),pow,XLOOKUP($D572,'Move Editor'!$B:$B,'Move Editor'!$E:$E,0),acc,XLOOKUP($D572,'Move Editor'!$B:$B,'Move Editor'!$F:$F,100),atk,IF(cat="Physical",FLOOR((FLOOR(((2*XLOOKUP(XLOOKUP($Q572,'Threshold Summary'!$Y:$Y,'Threshold Summary'!$K:$K,""),'Pokemon Editor'!$A:$A,'Pokemon Editor'!$F:$F,0)+31+FLOOR(XLOOKUP($Q572,'Threshold Summary'!$Y:$Y,'Threshold Summary'!$P:$P,"")/4))*XLOOKUP($Q572,'Threshold Summary'!$Y:$Y,'Threshold Summary'!$L:$L,""))/100)+5)*XLOOKUP(XLOOKUP($Q572,'Threshold Summary'!$Y:$Y,'Threshold Summary'!$M:$M,""),'Nature Editor'!$A:$A,'Nature Editor'!$B:$B,1)),FLOOR((FLOOR(((2*XLOOKUP(XLOOKUP($Q572,'Threshold Summary'!$Y:$Y,'Threshold Summary'!$K:$K,""),'Pokemon Editor'!$A:$A,'Pokemon Editor'!$H:$H,0)+31+FLOOR(XLOOKUP($Q572,'Threshold Summary'!$Y:$Y,'Threshold Summary'!$R:$R,"")/4))*XLOOKUP($Q572,'Threshold Summary'!$Y:$Y,'Threshold Summary'!$L:$L,""))/100)+5)*XLOOKUP(XLOOKUP($Q572,'Threshold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Editor'!$E:$E,1))),stab,IF(OR(mtype=XLOOKUP(XLOOKUP($Q572,'Threshold Summary'!$Y:$Y,'Threshold Summary'!$K:$K,""),'Pokemon Editor'!$A:$A,'Pokemon Editor'!$C:$C,""),mtype=XLOOKUP(XLOOKUP($Q572,'Threshold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Chart'!$B$1:$S$1,0)))),base,IF(OR(cat="Status",pow=0),0,FLOOR(FLOOR(FLOOR((2*XLOOKUP($Q572,'Threshold Summary'!$Y:$Y,'Threshold Summary'!$L:$L,"")/5+2)*pow*atk/def)/50)+2)),modifier,stab*eff,FLOOR(base*modifier)),0)</f>
        <v/>
      </c>
      <c r="L572" s="3">
        <f>IFERROR(LET(mtype,XLOOKUP($D572,'Move Editor'!$B:$B,'Move Editor'!$C:$C,""),cat,XLOOKUP($D572,'Move Editor'!$B:$B,'Move Editor'!$D:$D,""),pow,XLOOKUP($D572,'Move Editor'!$B:$B,'Move Editor'!$E:$E,0),acc,XLOOKUP($D572,'Move Editor'!$B:$B,'Move Editor'!$F:$F,100),atk,IF(cat="Physical",FLOOR((FLOOR(((2*XLOOKUP(XLOOKUP($Q572,'Threshold Summary'!$Y:$Y,'Threshold Summary'!$K:$K,""),'Pokemon Editor'!$A:$A,'Pokemon Editor'!$F:$F,0)+31+FLOOR(XLOOKUP($Q572,'Threshold Summary'!$Y:$Y,'Threshold Summary'!$P:$P,"")/4))*XLOOKUP($Q572,'Threshold Summary'!$Y:$Y,'Threshold Summary'!$L:$L,""))/100)+5)*XLOOKUP(XLOOKUP($Q572,'Threshold Summary'!$Y:$Y,'Threshold Summary'!$M:$M,""),'Nature Editor'!$A:$A,'Nature Editor'!$B:$B,1)),FLOOR((FLOOR(((2*XLOOKUP(XLOOKUP($Q572,'Threshold Summary'!$Y:$Y,'Threshold Summary'!$K:$K,""),'Pokemon Editor'!$A:$A,'Pokemon Editor'!$H:$H,0)+31+FLOOR(XLOOKUP($Q572,'Threshold Summary'!$Y:$Y,'Threshold Summary'!$R:$R,"")/4))*XLOOKUP($Q572,'Threshold Summary'!$Y:$Y,'Threshold Summary'!$L:$L,""))/100)+5)*XLOOKUP(XLOOKUP($Q572,'Threshold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Editor'!$E:$E,1))),stab,IF(OR(mtype=XLOOKUP(XLOOKUP($Q572,'Threshold Summary'!$Y:$Y,'Threshold Summary'!$K:$K,""),'Pokemon Editor'!$A:$A,'Pokemon Editor'!$C:$C,""),mtype=XLOOKUP(XLOOKUP($Q572,'Threshold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Chart'!$B$1:$S$1,0)))),base,IF(OR(cat="Status",pow=0),0,FLOOR(FLOOR(FLOOR((2*XLOOKUP($Q572,'Threshold Summary'!$Y:$Y,'Threshold Summary'!$L:$L,"")/5+2)*pow*atk/def)/50)+2)),modifier,stab*eff,AVERAGE(ARRAYFORMULA(FLOOR(base*modifier*SEQUENCE(16,1,85,1)/100)))),0)</f>
        <v/>
      </c>
      <c r="M572" s="3">
        <f>IFERROR(LET(mtype,XLOOKUP($D572,'Move Editor'!$B:$B,'Move Editor'!$C:$C,""),cat,XLOOKUP($D572,'Move Editor'!$B:$B,'Move Editor'!$D:$D,""),pow,XLOOKUP($D572,'Move Editor'!$B:$B,'Move Editor'!$E:$E,0),acc,XLOOKUP($D572,'Move Editor'!$B:$B,'Move Editor'!$F:$F,100),atk,IF(cat="Physical",FLOOR((FLOOR(((2*XLOOKUP(XLOOKUP($Q572,'Threshold Summary'!$Y:$Y,'Threshold Summary'!$K:$K,""),'Pokemon Editor'!$A:$A,'Pokemon Editor'!$F:$F,0)+31+FLOOR(XLOOKUP($Q572,'Threshold Summary'!$Y:$Y,'Threshold Summary'!$P:$P,"")/4))*XLOOKUP($Q572,'Threshold Summary'!$Y:$Y,'Threshold Summary'!$L:$L,""))/100)+5)*XLOOKUP(XLOOKUP($Q572,'Threshold Summary'!$Y:$Y,'Threshold Summary'!$M:$M,""),'Nature Editor'!$A:$A,'Nature Editor'!$B:$B,1)),FLOOR((FLOOR(((2*XLOOKUP(XLOOKUP($Q572,'Threshold Summary'!$Y:$Y,'Threshold Summary'!$K:$K,""),'Pokemon Editor'!$A:$A,'Pokemon Editor'!$H:$H,0)+31+FLOOR(XLOOKUP($Q572,'Threshold Summary'!$Y:$Y,'Threshold Summary'!$R:$R,"")/4))*XLOOKUP($Q572,'Threshold Summary'!$Y:$Y,'Threshold Summary'!$L:$L,""))/100)+5)*XLOOKUP(XLOOKUP($Q572,'Threshold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Editor'!$E:$E,1))),stab,IF(OR(mtype=XLOOKUP(XLOOKUP($Q572,'Threshold Summary'!$Y:$Y,'Threshold Summary'!$K:$K,""),'Pokemon Editor'!$A:$A,'Pokemon Editor'!$C:$C,""),mtype=XLOOKUP(XLOOKUP($Q572,'Threshold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Chart'!$B$1:$S$1,0)))),base,IF(OR(cat="Status",pow=0),0,FLOOR(FLOOR(FLOOR((2*XLOOKUP($Q572,'Threshold Summary'!$Y:$Y,'Threshold Summary'!$L:$L,"")/5+2)*pow*atk/def)/50)+2)),modifier,stab*eff,AVERAGE(ARRAYFORMULA(FLOOR(base*modifier*SEQUENCE(16,1,85,1)/100)))*MIN(1,acc/100)),0)</f>
        <v/>
      </c>
      <c r="N572" s="4">
        <f>IFERROR(LET(mtype,XLOOKUP($D572,'Move Editor'!$B:$B,'Move Editor'!$C:$C,""),cat,XLOOKUP($D572,'Move Editor'!$B:$B,'Move Editor'!$D:$D,""),pow,XLOOKUP($D572,'Move Editor'!$B:$B,'Move Editor'!$E:$E,0),acc,XLOOKUP($D572,'Move Editor'!$B:$B,'Move Editor'!$F:$F,100),atk,IF(cat="Physical",FLOOR((FLOOR(((2*XLOOKUP(XLOOKUP($Q572,'Threshold Summary'!$Y:$Y,'Threshold Summary'!$K:$K,""),'Pokemon Editor'!$A:$A,'Pokemon Editor'!$F:$F,0)+31+FLOOR(XLOOKUP($Q572,'Threshold Summary'!$Y:$Y,'Threshold Summary'!$P:$P,"")/4))*XLOOKUP($Q572,'Threshold Summary'!$Y:$Y,'Threshold Summary'!$L:$L,""))/100)+5)*XLOOKUP(XLOOKUP($Q572,'Threshold Summary'!$Y:$Y,'Threshold Summary'!$M:$M,""),'Nature Editor'!$A:$A,'Nature Editor'!$B:$B,1)),FLOOR((FLOOR(((2*XLOOKUP(XLOOKUP($Q572,'Threshold Summary'!$Y:$Y,'Threshold Summary'!$K:$K,""),'Pokemon Editor'!$A:$A,'Pokemon Editor'!$H:$H,0)+31+FLOOR(XLOOKUP($Q572,'Threshold Summary'!$Y:$Y,'Threshold Summary'!$R:$R,"")/4))*XLOOKUP($Q572,'Threshold Summary'!$Y:$Y,'Threshold Summary'!$L:$L,""))/100)+5)*XLOOKUP(XLOOKUP($Q572,'Threshold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Editor'!$E:$E,1))),stab,IF(OR(mtype=XLOOKUP(XLOOKUP($Q572,'Threshold Summary'!$Y:$Y,'Threshold Summary'!$K:$K,""),'Pokemon Editor'!$A:$A,'Pokemon Editor'!$C:$C,""),mtype=XLOOKUP(XLOOKUP($Q572,'Threshold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Chart'!$B$1:$S$1,0)))),base,IF(OR(cat="Status",pow=0),0,FLOOR(FLOOR(FLOOR((2*XLOOKUP($Q572,'Threshold Summary'!$Y:$Y,'Threshold Summary'!$L:$L,"")/5+2)*pow*atk/def)/50)+2)),modifier,stab*eff,AVERAGE(ARRAYFORMULA(FLOOR(base*modifier*SEQUENCE(16,1,85,1)/100)))/(FLOOR(((2*XLOOKUP('Boss Editor'!$C$4,'Pokemon Editor'!$A:$A,'Pokemon Editor'!$E:$E,0)+31+FLOOR('Boss Editor'!$G$4/4))*'Boss Editor'!$D$4)/100)+'Boss Editor'!$D$4+10)),0)</f>
        <v/>
      </c>
      <c r="O572" s="3">
        <f>IF(N572&gt;=1,"OHKO",IF(N572&gt;=0.5,"2HKO",IF(N572&gt;=0.333,"3HKO",IF(N572&gt;=0.25,"4HKO","5HKO+"))))</f>
        <v/>
      </c>
      <c r="P572" s="3" t="inlineStr">
        <is>
          <t>Live from editable databases</t>
        </is>
      </c>
      <c r="Q572" s="3" t="inlineStr">
        <is>
          <t>SPECIES_DUCKLETT</t>
        </is>
      </c>
      <c r="R572" s="3" t="n">
        <v>27</v>
      </c>
    </row>
    <row r="573">
      <c r="A573" s="3">
        <f>XLOOKUP($Q573,'Threshold Summary'!$Y:$Y,'Threshold Summary'!$A:$A,"")</f>
        <v/>
      </c>
      <c r="B573" s="3">
        <f>XLOOKUP($Q573,'Threshold Summary'!$Y:$Y,'Threshold Summary'!$M:$M,"")</f>
        <v/>
      </c>
      <c r="C573" s="3">
        <f>XLOOKUP($Q573,'Threshold Summary'!$Y:$Y,'Threshold Summary'!$N:$N,"")</f>
        <v/>
      </c>
      <c r="D573" s="3">
        <f>IFERROR(INDEX(FILTER('Learnset Editor'!$D$2:$D,'Learnset Editor'!$A$2:$A=XLOOKUP($Q573,'Threshold Summary'!$Y:$Y,'Threshold Summary'!$K:$K,""),'Learnset Editor'!$C$2:$C&lt;=XLOOKUP($Q573,'Threshold Summary'!$Y:$Y,'Threshold Summary'!$L:$L,"")),$R573),"")</f>
        <v/>
      </c>
      <c r="E573" s="3">
        <f>XLOOKUP(D573,'Move Editor'!$B:$B,'Move Editor'!$C:$C,"")</f>
        <v/>
      </c>
      <c r="F573" s="3">
        <f>XLOOKUP(D573,'Move Editor'!$B:$B,'Move Editor'!$D:$D,"")</f>
        <v/>
      </c>
      <c r="G573" s="3">
        <f>XLOOKUP(D573,'Move Editor'!$B:$B,'Move Editor'!$E:$E,0)</f>
        <v/>
      </c>
      <c r="H573" s="3">
        <f>XLOOKUP(D573,'Move Editor'!$B:$B,'Move Editor'!$F:$F,0)</f>
        <v/>
      </c>
      <c r="I573" s="3">
        <f>(INDEX('Type Chart'!$B:$S,MATCH(E573,'Type Chart'!$A:$A,0),MATCH(XLOOKUP('Boss Editor'!$C$4,'Pokemon Editor'!$A:$A,'Pokemon Editor'!$C:$C,""),'Type Chart'!$B$1:$S$1,0))*IF(XLOOKUP('Boss Editor'!$C$4,'Pokemon Editor'!$A:$A,'Pokemon Editor'!$D:$D,"")="",1,INDEX('Type Chart'!$B:$S,MATCH(E573,'Type Chart'!$A:$A,0),MATCH(XLOOKUP('Boss Editor'!$C$4,'Pokemon Editor'!$A:$A,'Pokemon Editor'!$D:$D,""),'Type Chart'!$B$1:$S$1,0))))</f>
        <v/>
      </c>
      <c r="J573" s="3">
        <f>IFERROR(LET(mtype,XLOOKUP($D573,'Move Editor'!$B:$B,'Move Editor'!$C:$C,""),cat,XLOOKUP($D573,'Move Editor'!$B:$B,'Move Editor'!$D:$D,""),pow,XLOOKUP($D573,'Move Editor'!$B:$B,'Move Editor'!$E:$E,0),acc,XLOOKUP($D573,'Move Editor'!$B:$B,'Move Editor'!$F:$F,100),atk,IF(cat="Physical",FLOOR((FLOOR(((2*XLOOKUP(XLOOKUP($Q573,'Threshold Summary'!$Y:$Y,'Threshold Summary'!$K:$K,""),'Pokemon Editor'!$A:$A,'Pokemon Editor'!$F:$F,0)+31+FLOOR(XLOOKUP($Q573,'Threshold Summary'!$Y:$Y,'Threshold Summary'!$P:$P,"")/4))*XLOOKUP($Q573,'Threshold Summary'!$Y:$Y,'Threshold Summary'!$L:$L,""))/100)+5)*XLOOKUP(XLOOKUP($Q573,'Threshold Summary'!$Y:$Y,'Threshold Summary'!$M:$M,""),'Nature Editor'!$A:$A,'Nature Editor'!$B:$B,1)),FLOOR((FLOOR(((2*XLOOKUP(XLOOKUP($Q573,'Threshold Summary'!$Y:$Y,'Threshold Summary'!$K:$K,""),'Pokemon Editor'!$A:$A,'Pokemon Editor'!$H:$H,0)+31+FLOOR(XLOOKUP($Q573,'Threshold Summary'!$Y:$Y,'Threshold Summary'!$R:$R,"")/4))*XLOOKUP($Q573,'Threshold Summary'!$Y:$Y,'Threshold Summary'!$L:$L,""))/100)+5)*XLOOKUP(XLOOKUP($Q573,'Threshold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Editor'!$E:$E,1))),stab,IF(OR(mtype=XLOOKUP(XLOOKUP($Q573,'Threshold Summary'!$Y:$Y,'Threshold Summary'!$K:$K,""),'Pokemon Editor'!$A:$A,'Pokemon Editor'!$C:$C,""),mtype=XLOOKUP(XLOOKUP($Q573,'Threshold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Chart'!$B$1:$S$1,0)))),base,IF(OR(cat="Status",pow=0),0,FLOOR(FLOOR(FLOOR((2*XLOOKUP($Q573,'Threshold Summary'!$Y:$Y,'Threshold Summary'!$L:$L,"")/5+2)*pow*atk/def)/50)+2)),modifier,stab*eff,FLOOR(base*modifier*0.85)),0)</f>
        <v/>
      </c>
      <c r="K573" s="3">
        <f>IFERROR(LET(mtype,XLOOKUP($D573,'Move Editor'!$B:$B,'Move Editor'!$C:$C,""),cat,XLOOKUP($D573,'Move Editor'!$B:$B,'Move Editor'!$D:$D,""),pow,XLOOKUP($D573,'Move Editor'!$B:$B,'Move Editor'!$E:$E,0),acc,XLOOKUP($D573,'Move Editor'!$B:$B,'Move Editor'!$F:$F,100),atk,IF(cat="Physical",FLOOR((FLOOR(((2*XLOOKUP(XLOOKUP($Q573,'Threshold Summary'!$Y:$Y,'Threshold Summary'!$K:$K,""),'Pokemon Editor'!$A:$A,'Pokemon Editor'!$F:$F,0)+31+FLOOR(XLOOKUP($Q573,'Threshold Summary'!$Y:$Y,'Threshold Summary'!$P:$P,"")/4))*XLOOKUP($Q573,'Threshold Summary'!$Y:$Y,'Threshold Summary'!$L:$L,""))/100)+5)*XLOOKUP(XLOOKUP($Q573,'Threshold Summary'!$Y:$Y,'Threshold Summary'!$M:$M,""),'Nature Editor'!$A:$A,'Nature Editor'!$B:$B,1)),FLOOR((FLOOR(((2*XLOOKUP(XLOOKUP($Q573,'Threshold Summary'!$Y:$Y,'Threshold Summary'!$K:$K,""),'Pokemon Editor'!$A:$A,'Pokemon Editor'!$H:$H,0)+31+FLOOR(XLOOKUP($Q573,'Threshold Summary'!$Y:$Y,'Threshold Summary'!$R:$R,"")/4))*XLOOKUP($Q573,'Threshold Summary'!$Y:$Y,'Threshold Summary'!$L:$L,""))/100)+5)*XLOOKUP(XLOOKUP($Q573,'Threshold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Editor'!$E:$E,1))),stab,IF(OR(mtype=XLOOKUP(XLOOKUP($Q573,'Threshold Summary'!$Y:$Y,'Threshold Summary'!$K:$K,""),'Pokemon Editor'!$A:$A,'Pokemon Editor'!$C:$C,""),mtype=XLOOKUP(XLOOKUP($Q573,'Threshold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Chart'!$B$1:$S$1,0)))),base,IF(OR(cat="Status",pow=0),0,FLOOR(FLOOR(FLOOR((2*XLOOKUP($Q573,'Threshold Summary'!$Y:$Y,'Threshold Summary'!$L:$L,"")/5+2)*pow*atk/def)/50)+2)),modifier,stab*eff,FLOOR(base*modifier)),0)</f>
        <v/>
      </c>
      <c r="L573" s="3">
        <f>IFERROR(LET(mtype,XLOOKUP($D573,'Move Editor'!$B:$B,'Move Editor'!$C:$C,""),cat,XLOOKUP($D573,'Move Editor'!$B:$B,'Move Editor'!$D:$D,""),pow,XLOOKUP($D573,'Move Editor'!$B:$B,'Move Editor'!$E:$E,0),acc,XLOOKUP($D573,'Move Editor'!$B:$B,'Move Editor'!$F:$F,100),atk,IF(cat="Physical",FLOOR((FLOOR(((2*XLOOKUP(XLOOKUP($Q573,'Threshold Summary'!$Y:$Y,'Threshold Summary'!$K:$K,""),'Pokemon Editor'!$A:$A,'Pokemon Editor'!$F:$F,0)+31+FLOOR(XLOOKUP($Q573,'Threshold Summary'!$Y:$Y,'Threshold Summary'!$P:$P,"")/4))*XLOOKUP($Q573,'Threshold Summary'!$Y:$Y,'Threshold Summary'!$L:$L,""))/100)+5)*XLOOKUP(XLOOKUP($Q573,'Threshold Summary'!$Y:$Y,'Threshold Summary'!$M:$M,""),'Nature Editor'!$A:$A,'Nature Editor'!$B:$B,1)),FLOOR((FLOOR(((2*XLOOKUP(XLOOKUP($Q573,'Threshold Summary'!$Y:$Y,'Threshold Summary'!$K:$K,""),'Pokemon Editor'!$A:$A,'Pokemon Editor'!$H:$H,0)+31+FLOOR(XLOOKUP($Q573,'Threshold Summary'!$Y:$Y,'Threshold Summary'!$R:$R,"")/4))*XLOOKUP($Q573,'Threshold Summary'!$Y:$Y,'Threshold Summary'!$L:$L,""))/100)+5)*XLOOKUP(XLOOKUP($Q573,'Threshold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Editor'!$E:$E,1))),stab,IF(OR(mtype=XLOOKUP(XLOOKUP($Q573,'Threshold Summary'!$Y:$Y,'Threshold Summary'!$K:$K,""),'Pokemon Editor'!$A:$A,'Pokemon Editor'!$C:$C,""),mtype=XLOOKUP(XLOOKUP($Q573,'Threshold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Chart'!$B$1:$S$1,0)))),base,IF(OR(cat="Status",pow=0),0,FLOOR(FLOOR(FLOOR((2*XLOOKUP($Q573,'Threshold Summary'!$Y:$Y,'Threshold Summary'!$L:$L,"")/5+2)*pow*atk/def)/50)+2)),modifier,stab*eff,AVERAGE(ARRAYFORMULA(FLOOR(base*modifier*SEQUENCE(16,1,85,1)/100)))),0)</f>
        <v/>
      </c>
      <c r="M573" s="3">
        <f>IFERROR(LET(mtype,XLOOKUP($D573,'Move Editor'!$B:$B,'Move Editor'!$C:$C,""),cat,XLOOKUP($D573,'Move Editor'!$B:$B,'Move Editor'!$D:$D,""),pow,XLOOKUP($D573,'Move Editor'!$B:$B,'Move Editor'!$E:$E,0),acc,XLOOKUP($D573,'Move Editor'!$B:$B,'Move Editor'!$F:$F,100),atk,IF(cat="Physical",FLOOR((FLOOR(((2*XLOOKUP(XLOOKUP($Q573,'Threshold Summary'!$Y:$Y,'Threshold Summary'!$K:$K,""),'Pokemon Editor'!$A:$A,'Pokemon Editor'!$F:$F,0)+31+FLOOR(XLOOKUP($Q573,'Threshold Summary'!$Y:$Y,'Threshold Summary'!$P:$P,"")/4))*XLOOKUP($Q573,'Threshold Summary'!$Y:$Y,'Threshold Summary'!$L:$L,""))/100)+5)*XLOOKUP(XLOOKUP($Q573,'Threshold Summary'!$Y:$Y,'Threshold Summary'!$M:$M,""),'Nature Editor'!$A:$A,'Nature Editor'!$B:$B,1)),FLOOR((FLOOR(((2*XLOOKUP(XLOOKUP($Q573,'Threshold Summary'!$Y:$Y,'Threshold Summary'!$K:$K,""),'Pokemon Editor'!$A:$A,'Pokemon Editor'!$H:$H,0)+31+FLOOR(XLOOKUP($Q573,'Threshold Summary'!$Y:$Y,'Threshold Summary'!$R:$R,"")/4))*XLOOKUP($Q573,'Threshold Summary'!$Y:$Y,'Threshold Summary'!$L:$L,""))/100)+5)*XLOOKUP(XLOOKUP($Q573,'Threshold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Editor'!$E:$E,1))),stab,IF(OR(mtype=XLOOKUP(XLOOKUP($Q573,'Threshold Summary'!$Y:$Y,'Threshold Summary'!$K:$K,""),'Pokemon Editor'!$A:$A,'Pokemon Editor'!$C:$C,""),mtype=XLOOKUP(XLOOKUP($Q573,'Threshold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Chart'!$B$1:$S$1,0)))),base,IF(OR(cat="Status",pow=0),0,FLOOR(FLOOR(FLOOR((2*XLOOKUP($Q573,'Threshold Summary'!$Y:$Y,'Threshold Summary'!$L:$L,"")/5+2)*pow*atk/def)/50)+2)),modifier,stab*eff,AVERAGE(ARRAYFORMULA(FLOOR(base*modifier*SEQUENCE(16,1,85,1)/100)))*MIN(1,acc/100)),0)</f>
        <v/>
      </c>
      <c r="N573" s="4">
        <f>IFERROR(LET(mtype,XLOOKUP($D573,'Move Editor'!$B:$B,'Move Editor'!$C:$C,""),cat,XLOOKUP($D573,'Move Editor'!$B:$B,'Move Editor'!$D:$D,""),pow,XLOOKUP($D573,'Move Editor'!$B:$B,'Move Editor'!$E:$E,0),acc,XLOOKUP($D573,'Move Editor'!$B:$B,'Move Editor'!$F:$F,100),atk,IF(cat="Physical",FLOOR((FLOOR(((2*XLOOKUP(XLOOKUP($Q573,'Threshold Summary'!$Y:$Y,'Threshold Summary'!$K:$K,""),'Pokemon Editor'!$A:$A,'Pokemon Editor'!$F:$F,0)+31+FLOOR(XLOOKUP($Q573,'Threshold Summary'!$Y:$Y,'Threshold Summary'!$P:$P,"")/4))*XLOOKUP($Q573,'Threshold Summary'!$Y:$Y,'Threshold Summary'!$L:$L,""))/100)+5)*XLOOKUP(XLOOKUP($Q573,'Threshold Summary'!$Y:$Y,'Threshold Summary'!$M:$M,""),'Nature Editor'!$A:$A,'Nature Editor'!$B:$B,1)),FLOOR((FLOOR(((2*XLOOKUP(XLOOKUP($Q573,'Threshold Summary'!$Y:$Y,'Threshold Summary'!$K:$K,""),'Pokemon Editor'!$A:$A,'Pokemon Editor'!$H:$H,0)+31+FLOOR(XLOOKUP($Q573,'Threshold Summary'!$Y:$Y,'Threshold Summary'!$R:$R,"")/4))*XLOOKUP($Q573,'Threshold Summary'!$Y:$Y,'Threshold Summary'!$L:$L,""))/100)+5)*XLOOKUP(XLOOKUP($Q573,'Threshold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Editor'!$E:$E,1))),stab,IF(OR(mtype=XLOOKUP(XLOOKUP($Q573,'Threshold Summary'!$Y:$Y,'Threshold Summary'!$K:$K,""),'Pokemon Editor'!$A:$A,'Pokemon Editor'!$C:$C,""),mtype=XLOOKUP(XLOOKUP($Q573,'Threshold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Chart'!$B$1:$S$1,0)))),base,IF(OR(cat="Status",pow=0),0,FLOOR(FLOOR(FLOOR((2*XLOOKUP($Q573,'Threshold Summary'!$Y:$Y,'Threshold Summary'!$L:$L,"")/5+2)*pow*atk/def)/50)+2)),modifier,stab*eff,AVERAGE(ARRAYFORMULA(FLOOR(base*modifier*SEQUENCE(16,1,85,1)/100)))/(FLOOR(((2*XLOOKUP('Boss Editor'!$C$4,'Pokemon Editor'!$A:$A,'Pokemon Editor'!$E:$E,0)+31+FLOOR('Boss Editor'!$G$4/4))*'Boss Editor'!$D$4)/100)+'Boss Editor'!$D$4+10)),0)</f>
        <v/>
      </c>
      <c r="O573" s="3">
        <f>IF(N573&gt;=1,"OHKO",IF(N573&gt;=0.5,"2HKO",IF(N573&gt;=0.333,"3HKO",IF(N573&gt;=0.25,"4HKO","5HKO+"))))</f>
        <v/>
      </c>
      <c r="P573" s="3" t="inlineStr">
        <is>
          <t>Live from editable databases</t>
        </is>
      </c>
      <c r="Q573" s="3" t="inlineStr">
        <is>
          <t>SPECIES_DUCKLETT</t>
        </is>
      </c>
      <c r="R573" s="3" t="n">
        <v>28</v>
      </c>
    </row>
    <row r="574">
      <c r="A574" s="3">
        <f>XLOOKUP($Q574,'Threshold Summary'!$Y:$Y,'Threshold Summary'!$A:$A,"")</f>
        <v/>
      </c>
      <c r="B574" s="3">
        <f>XLOOKUP($Q574,'Threshold Summary'!$Y:$Y,'Threshold Summary'!$M:$M,"")</f>
        <v/>
      </c>
      <c r="C574" s="3">
        <f>XLOOKUP($Q574,'Threshold Summary'!$Y:$Y,'Threshold Summary'!$N:$N,"")</f>
        <v/>
      </c>
      <c r="D574" s="3">
        <f>IFERROR(INDEX(FILTER('Learnset Editor'!$D$2:$D,'Learnset Editor'!$A$2:$A=XLOOKUP($Q574,'Threshold Summary'!$Y:$Y,'Threshold Summary'!$K:$K,""),'Learnset Editor'!$C$2:$C&lt;=XLOOKUP($Q574,'Threshold Summary'!$Y:$Y,'Threshold Summary'!$L:$L,"")),$R574),"")</f>
        <v/>
      </c>
      <c r="E574" s="3">
        <f>XLOOKUP(D574,'Move Editor'!$B:$B,'Move Editor'!$C:$C,"")</f>
        <v/>
      </c>
      <c r="F574" s="3">
        <f>XLOOKUP(D574,'Move Editor'!$B:$B,'Move Editor'!$D:$D,"")</f>
        <v/>
      </c>
      <c r="G574" s="3">
        <f>XLOOKUP(D574,'Move Editor'!$B:$B,'Move Editor'!$E:$E,0)</f>
        <v/>
      </c>
      <c r="H574" s="3">
        <f>XLOOKUP(D574,'Move Editor'!$B:$B,'Move Editor'!$F:$F,0)</f>
        <v/>
      </c>
      <c r="I574" s="3">
        <f>(INDEX('Type Chart'!$B:$S,MATCH(E574,'Type Chart'!$A:$A,0),MATCH(XLOOKUP('Boss Editor'!$C$4,'Pokemon Editor'!$A:$A,'Pokemon Editor'!$C:$C,""),'Type Chart'!$B$1:$S$1,0))*IF(XLOOKUP('Boss Editor'!$C$4,'Pokemon Editor'!$A:$A,'Pokemon Editor'!$D:$D,"")="",1,INDEX('Type Chart'!$B:$S,MATCH(E574,'Type Chart'!$A:$A,0),MATCH(XLOOKUP('Boss Editor'!$C$4,'Pokemon Editor'!$A:$A,'Pokemon Editor'!$D:$D,""),'Type Chart'!$B$1:$S$1,0))))</f>
        <v/>
      </c>
      <c r="J574" s="3">
        <f>IFERROR(LET(mtype,XLOOKUP($D574,'Move Editor'!$B:$B,'Move Editor'!$C:$C,""),cat,XLOOKUP($D574,'Move Editor'!$B:$B,'Move Editor'!$D:$D,""),pow,XLOOKUP($D574,'Move Editor'!$B:$B,'Move Editor'!$E:$E,0),acc,XLOOKUP($D574,'Move Editor'!$B:$B,'Move Editor'!$F:$F,100),atk,IF(cat="Physical",FLOOR((FLOOR(((2*XLOOKUP(XLOOKUP($Q574,'Threshold Summary'!$Y:$Y,'Threshold Summary'!$K:$K,""),'Pokemon Editor'!$A:$A,'Pokemon Editor'!$F:$F,0)+31+FLOOR(XLOOKUP($Q574,'Threshold Summary'!$Y:$Y,'Threshold Summary'!$P:$P,"")/4))*XLOOKUP($Q574,'Threshold Summary'!$Y:$Y,'Threshold Summary'!$L:$L,""))/100)+5)*XLOOKUP(XLOOKUP($Q574,'Threshold Summary'!$Y:$Y,'Threshold Summary'!$M:$M,""),'Nature Editor'!$A:$A,'Nature Editor'!$B:$B,1)),FLOOR((FLOOR(((2*XLOOKUP(XLOOKUP($Q574,'Threshold Summary'!$Y:$Y,'Threshold Summary'!$K:$K,""),'Pokemon Editor'!$A:$A,'Pokemon Editor'!$H:$H,0)+31+FLOOR(XLOOKUP($Q574,'Threshold Summary'!$Y:$Y,'Threshold Summary'!$R:$R,"")/4))*XLOOKUP($Q574,'Threshold Summary'!$Y:$Y,'Threshold Summary'!$L:$L,""))/100)+5)*XLOOKUP(XLOOKUP($Q574,'Threshold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Editor'!$E:$E,1))),stab,IF(OR(mtype=XLOOKUP(XLOOKUP($Q574,'Threshold Summary'!$Y:$Y,'Threshold Summary'!$K:$K,""),'Pokemon Editor'!$A:$A,'Pokemon Editor'!$C:$C,""),mtype=XLOOKUP(XLOOKUP($Q574,'Threshold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Chart'!$B$1:$S$1,0)))),base,IF(OR(cat="Status",pow=0),0,FLOOR(FLOOR(FLOOR((2*XLOOKUP($Q574,'Threshold Summary'!$Y:$Y,'Threshold Summary'!$L:$L,"")/5+2)*pow*atk/def)/50)+2)),modifier,stab*eff,FLOOR(base*modifier*0.85)),0)</f>
        <v/>
      </c>
      <c r="K574" s="3">
        <f>IFERROR(LET(mtype,XLOOKUP($D574,'Move Editor'!$B:$B,'Move Editor'!$C:$C,""),cat,XLOOKUP($D574,'Move Editor'!$B:$B,'Move Editor'!$D:$D,""),pow,XLOOKUP($D574,'Move Editor'!$B:$B,'Move Editor'!$E:$E,0),acc,XLOOKUP($D574,'Move Editor'!$B:$B,'Move Editor'!$F:$F,100),atk,IF(cat="Physical",FLOOR((FLOOR(((2*XLOOKUP(XLOOKUP($Q574,'Threshold Summary'!$Y:$Y,'Threshold Summary'!$K:$K,""),'Pokemon Editor'!$A:$A,'Pokemon Editor'!$F:$F,0)+31+FLOOR(XLOOKUP($Q574,'Threshold Summary'!$Y:$Y,'Threshold Summary'!$P:$P,"")/4))*XLOOKUP($Q574,'Threshold Summary'!$Y:$Y,'Threshold Summary'!$L:$L,""))/100)+5)*XLOOKUP(XLOOKUP($Q574,'Threshold Summary'!$Y:$Y,'Threshold Summary'!$M:$M,""),'Nature Editor'!$A:$A,'Nature Editor'!$B:$B,1)),FLOOR((FLOOR(((2*XLOOKUP(XLOOKUP($Q574,'Threshold Summary'!$Y:$Y,'Threshold Summary'!$K:$K,""),'Pokemon Editor'!$A:$A,'Pokemon Editor'!$H:$H,0)+31+FLOOR(XLOOKUP($Q574,'Threshold Summary'!$Y:$Y,'Threshold Summary'!$R:$R,"")/4))*XLOOKUP($Q574,'Threshold Summary'!$Y:$Y,'Threshold Summary'!$L:$L,""))/100)+5)*XLOOKUP(XLOOKUP($Q574,'Threshold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Editor'!$E:$E,1))),stab,IF(OR(mtype=XLOOKUP(XLOOKUP($Q574,'Threshold Summary'!$Y:$Y,'Threshold Summary'!$K:$K,""),'Pokemon Editor'!$A:$A,'Pokemon Editor'!$C:$C,""),mtype=XLOOKUP(XLOOKUP($Q574,'Threshold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Chart'!$B$1:$S$1,0)))),base,IF(OR(cat="Status",pow=0),0,FLOOR(FLOOR(FLOOR((2*XLOOKUP($Q574,'Threshold Summary'!$Y:$Y,'Threshold Summary'!$L:$L,"")/5+2)*pow*atk/def)/50)+2)),modifier,stab*eff,FLOOR(base*modifier)),0)</f>
        <v/>
      </c>
      <c r="L574" s="3">
        <f>IFERROR(LET(mtype,XLOOKUP($D574,'Move Editor'!$B:$B,'Move Editor'!$C:$C,""),cat,XLOOKUP($D574,'Move Editor'!$B:$B,'Move Editor'!$D:$D,""),pow,XLOOKUP($D574,'Move Editor'!$B:$B,'Move Editor'!$E:$E,0),acc,XLOOKUP($D574,'Move Editor'!$B:$B,'Move Editor'!$F:$F,100),atk,IF(cat="Physical",FLOOR((FLOOR(((2*XLOOKUP(XLOOKUP($Q574,'Threshold Summary'!$Y:$Y,'Threshold Summary'!$K:$K,""),'Pokemon Editor'!$A:$A,'Pokemon Editor'!$F:$F,0)+31+FLOOR(XLOOKUP($Q574,'Threshold Summary'!$Y:$Y,'Threshold Summary'!$P:$P,"")/4))*XLOOKUP($Q574,'Threshold Summary'!$Y:$Y,'Threshold Summary'!$L:$L,""))/100)+5)*XLOOKUP(XLOOKUP($Q574,'Threshold Summary'!$Y:$Y,'Threshold Summary'!$M:$M,""),'Nature Editor'!$A:$A,'Nature Editor'!$B:$B,1)),FLOOR((FLOOR(((2*XLOOKUP(XLOOKUP($Q574,'Threshold Summary'!$Y:$Y,'Threshold Summary'!$K:$K,""),'Pokemon Editor'!$A:$A,'Pokemon Editor'!$H:$H,0)+31+FLOOR(XLOOKUP($Q574,'Threshold Summary'!$Y:$Y,'Threshold Summary'!$R:$R,"")/4))*XLOOKUP($Q574,'Threshold Summary'!$Y:$Y,'Threshold Summary'!$L:$L,""))/100)+5)*XLOOKUP(XLOOKUP($Q574,'Threshold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Editor'!$E:$E,1))),stab,IF(OR(mtype=XLOOKUP(XLOOKUP($Q574,'Threshold Summary'!$Y:$Y,'Threshold Summary'!$K:$K,""),'Pokemon Editor'!$A:$A,'Pokemon Editor'!$C:$C,""),mtype=XLOOKUP(XLOOKUP($Q574,'Threshold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Chart'!$B$1:$S$1,0)))),base,IF(OR(cat="Status",pow=0),0,FLOOR(FLOOR(FLOOR((2*XLOOKUP($Q574,'Threshold Summary'!$Y:$Y,'Threshold Summary'!$L:$L,"")/5+2)*pow*atk/def)/50)+2)),modifier,stab*eff,AVERAGE(ARRAYFORMULA(FLOOR(base*modifier*SEQUENCE(16,1,85,1)/100)))),0)</f>
        <v/>
      </c>
      <c r="M574" s="3">
        <f>IFERROR(LET(mtype,XLOOKUP($D574,'Move Editor'!$B:$B,'Move Editor'!$C:$C,""),cat,XLOOKUP($D574,'Move Editor'!$B:$B,'Move Editor'!$D:$D,""),pow,XLOOKUP($D574,'Move Editor'!$B:$B,'Move Editor'!$E:$E,0),acc,XLOOKUP($D574,'Move Editor'!$B:$B,'Move Editor'!$F:$F,100),atk,IF(cat="Physical",FLOOR((FLOOR(((2*XLOOKUP(XLOOKUP($Q574,'Threshold Summary'!$Y:$Y,'Threshold Summary'!$K:$K,""),'Pokemon Editor'!$A:$A,'Pokemon Editor'!$F:$F,0)+31+FLOOR(XLOOKUP($Q574,'Threshold Summary'!$Y:$Y,'Threshold Summary'!$P:$P,"")/4))*XLOOKUP($Q574,'Threshold Summary'!$Y:$Y,'Threshold Summary'!$L:$L,""))/100)+5)*XLOOKUP(XLOOKUP($Q574,'Threshold Summary'!$Y:$Y,'Threshold Summary'!$M:$M,""),'Nature Editor'!$A:$A,'Nature Editor'!$B:$B,1)),FLOOR((FLOOR(((2*XLOOKUP(XLOOKUP($Q574,'Threshold Summary'!$Y:$Y,'Threshold Summary'!$K:$K,""),'Pokemon Editor'!$A:$A,'Pokemon Editor'!$H:$H,0)+31+FLOOR(XLOOKUP($Q574,'Threshold Summary'!$Y:$Y,'Threshold Summary'!$R:$R,"")/4))*XLOOKUP($Q574,'Threshold Summary'!$Y:$Y,'Threshold Summary'!$L:$L,""))/100)+5)*XLOOKUP(XLOOKUP($Q574,'Threshold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Editor'!$E:$E,1))),stab,IF(OR(mtype=XLOOKUP(XLOOKUP($Q574,'Threshold Summary'!$Y:$Y,'Threshold Summary'!$K:$K,""),'Pokemon Editor'!$A:$A,'Pokemon Editor'!$C:$C,""),mtype=XLOOKUP(XLOOKUP($Q574,'Threshold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Chart'!$B$1:$S$1,0)))),base,IF(OR(cat="Status",pow=0),0,FLOOR(FLOOR(FLOOR((2*XLOOKUP($Q574,'Threshold Summary'!$Y:$Y,'Threshold Summary'!$L:$L,"")/5+2)*pow*atk/def)/50)+2)),modifier,stab*eff,AVERAGE(ARRAYFORMULA(FLOOR(base*modifier*SEQUENCE(16,1,85,1)/100)))*MIN(1,acc/100)),0)</f>
        <v/>
      </c>
      <c r="N574" s="4">
        <f>IFERROR(LET(mtype,XLOOKUP($D574,'Move Editor'!$B:$B,'Move Editor'!$C:$C,""),cat,XLOOKUP($D574,'Move Editor'!$B:$B,'Move Editor'!$D:$D,""),pow,XLOOKUP($D574,'Move Editor'!$B:$B,'Move Editor'!$E:$E,0),acc,XLOOKUP($D574,'Move Editor'!$B:$B,'Move Editor'!$F:$F,100),atk,IF(cat="Physical",FLOOR((FLOOR(((2*XLOOKUP(XLOOKUP($Q574,'Threshold Summary'!$Y:$Y,'Threshold Summary'!$K:$K,""),'Pokemon Editor'!$A:$A,'Pokemon Editor'!$F:$F,0)+31+FLOOR(XLOOKUP($Q574,'Threshold Summary'!$Y:$Y,'Threshold Summary'!$P:$P,"")/4))*XLOOKUP($Q574,'Threshold Summary'!$Y:$Y,'Threshold Summary'!$L:$L,""))/100)+5)*XLOOKUP(XLOOKUP($Q574,'Threshold Summary'!$Y:$Y,'Threshold Summary'!$M:$M,""),'Nature Editor'!$A:$A,'Nature Editor'!$B:$B,1)),FLOOR((FLOOR(((2*XLOOKUP(XLOOKUP($Q574,'Threshold Summary'!$Y:$Y,'Threshold Summary'!$K:$K,""),'Pokemon Editor'!$A:$A,'Pokemon Editor'!$H:$H,0)+31+FLOOR(XLOOKUP($Q574,'Threshold Summary'!$Y:$Y,'Threshold Summary'!$R:$R,"")/4))*XLOOKUP($Q574,'Threshold Summary'!$Y:$Y,'Threshold Summary'!$L:$L,""))/100)+5)*XLOOKUP(XLOOKUP($Q574,'Threshold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Editor'!$E:$E,1))),stab,IF(OR(mtype=XLOOKUP(XLOOKUP($Q574,'Threshold Summary'!$Y:$Y,'Threshold Summary'!$K:$K,""),'Pokemon Editor'!$A:$A,'Pokemon Editor'!$C:$C,""),mtype=XLOOKUP(XLOOKUP($Q574,'Threshold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Chart'!$B$1:$S$1,0)))),base,IF(OR(cat="Status",pow=0),0,FLOOR(FLOOR(FLOOR((2*XLOOKUP($Q574,'Threshold Summary'!$Y:$Y,'Threshold Summary'!$L:$L,"")/5+2)*pow*atk/def)/50)+2)),modifier,stab*eff,AVERAGE(ARRAYFORMULA(FLOOR(base*modifier*SEQUENCE(16,1,85,1)/100)))/(FLOOR(((2*XLOOKUP('Boss Editor'!$C$4,'Pokemon Editor'!$A:$A,'Pokemon Editor'!$E:$E,0)+31+FLOOR('Boss Editor'!$G$4/4))*'Boss Editor'!$D$4)/100)+'Boss Editor'!$D$4+10)),0)</f>
        <v/>
      </c>
      <c r="O574" s="3">
        <f>IF(N574&gt;=1,"OHKO",IF(N574&gt;=0.5,"2HKO",IF(N574&gt;=0.333,"3HKO",IF(N574&gt;=0.25,"4HKO","5HKO+"))))</f>
        <v/>
      </c>
      <c r="P574" s="3" t="inlineStr">
        <is>
          <t>Live from editable databases</t>
        </is>
      </c>
      <c r="Q574" s="3" t="inlineStr">
        <is>
          <t>SPECIES_DUCKLETT</t>
        </is>
      </c>
      <c r="R574" s="3" t="n">
        <v>29</v>
      </c>
    </row>
    <row r="575">
      <c r="A575" s="3">
        <f>XLOOKUP($Q575,'Threshold Summary'!$Y:$Y,'Threshold Summary'!$A:$A,"")</f>
        <v/>
      </c>
      <c r="B575" s="3">
        <f>XLOOKUP($Q575,'Threshold Summary'!$Y:$Y,'Threshold Summary'!$M:$M,"")</f>
        <v/>
      </c>
      <c r="C575" s="3">
        <f>XLOOKUP($Q575,'Threshold Summary'!$Y:$Y,'Threshold Summary'!$N:$N,"")</f>
        <v/>
      </c>
      <c r="D575" s="3">
        <f>IFERROR(INDEX(FILTER('Learnset Editor'!$D$2:$D,'Learnset Editor'!$A$2:$A=XLOOKUP($Q575,'Threshold Summary'!$Y:$Y,'Threshold Summary'!$K:$K,""),'Learnset Editor'!$C$2:$C&lt;=XLOOKUP($Q575,'Threshold Summary'!$Y:$Y,'Threshold Summary'!$L:$L,"")),$R575),"")</f>
        <v/>
      </c>
      <c r="E575" s="3">
        <f>XLOOKUP(D575,'Move Editor'!$B:$B,'Move Editor'!$C:$C,"")</f>
        <v/>
      </c>
      <c r="F575" s="3">
        <f>XLOOKUP(D575,'Move Editor'!$B:$B,'Move Editor'!$D:$D,"")</f>
        <v/>
      </c>
      <c r="G575" s="3">
        <f>XLOOKUP(D575,'Move Editor'!$B:$B,'Move Editor'!$E:$E,0)</f>
        <v/>
      </c>
      <c r="H575" s="3">
        <f>XLOOKUP(D575,'Move Editor'!$B:$B,'Move Editor'!$F:$F,0)</f>
        <v/>
      </c>
      <c r="I575" s="3">
        <f>(INDEX('Type Chart'!$B:$S,MATCH(E575,'Type Chart'!$A:$A,0),MATCH(XLOOKUP('Boss Editor'!$C$4,'Pokemon Editor'!$A:$A,'Pokemon Editor'!$C:$C,""),'Type Chart'!$B$1:$S$1,0))*IF(XLOOKUP('Boss Editor'!$C$4,'Pokemon Editor'!$A:$A,'Pokemon Editor'!$D:$D,"")="",1,INDEX('Type Chart'!$B:$S,MATCH(E575,'Type Chart'!$A:$A,0),MATCH(XLOOKUP('Boss Editor'!$C$4,'Pokemon Editor'!$A:$A,'Pokemon Editor'!$D:$D,""),'Type Chart'!$B$1:$S$1,0))))</f>
        <v/>
      </c>
      <c r="J575" s="3">
        <f>IFERROR(LET(mtype,XLOOKUP($D575,'Move Editor'!$B:$B,'Move Editor'!$C:$C,""),cat,XLOOKUP($D575,'Move Editor'!$B:$B,'Move Editor'!$D:$D,""),pow,XLOOKUP($D575,'Move Editor'!$B:$B,'Move Editor'!$E:$E,0),acc,XLOOKUP($D575,'Move Editor'!$B:$B,'Move Editor'!$F:$F,100),atk,IF(cat="Physical",FLOOR((FLOOR(((2*XLOOKUP(XLOOKUP($Q575,'Threshold Summary'!$Y:$Y,'Threshold Summary'!$K:$K,""),'Pokemon Editor'!$A:$A,'Pokemon Editor'!$F:$F,0)+31+FLOOR(XLOOKUP($Q575,'Threshold Summary'!$Y:$Y,'Threshold Summary'!$P:$P,"")/4))*XLOOKUP($Q575,'Threshold Summary'!$Y:$Y,'Threshold Summary'!$L:$L,""))/100)+5)*XLOOKUP(XLOOKUP($Q575,'Threshold Summary'!$Y:$Y,'Threshold Summary'!$M:$M,""),'Nature Editor'!$A:$A,'Nature Editor'!$B:$B,1)),FLOOR((FLOOR(((2*XLOOKUP(XLOOKUP($Q575,'Threshold Summary'!$Y:$Y,'Threshold Summary'!$K:$K,""),'Pokemon Editor'!$A:$A,'Pokemon Editor'!$H:$H,0)+31+FLOOR(XLOOKUP($Q575,'Threshold Summary'!$Y:$Y,'Threshold Summary'!$R:$R,"")/4))*XLOOKUP($Q575,'Threshold Summary'!$Y:$Y,'Threshold Summary'!$L:$L,""))/100)+5)*XLOOKUP(XLOOKUP($Q575,'Threshold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Editor'!$E:$E,1))),stab,IF(OR(mtype=XLOOKUP(XLOOKUP($Q575,'Threshold Summary'!$Y:$Y,'Threshold Summary'!$K:$K,""),'Pokemon Editor'!$A:$A,'Pokemon Editor'!$C:$C,""),mtype=XLOOKUP(XLOOKUP($Q575,'Threshold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Chart'!$B$1:$S$1,0)))),base,IF(OR(cat="Status",pow=0),0,FLOOR(FLOOR(FLOOR((2*XLOOKUP($Q575,'Threshold Summary'!$Y:$Y,'Threshold Summary'!$L:$L,"")/5+2)*pow*atk/def)/50)+2)),modifier,stab*eff,FLOOR(base*modifier*0.85)),0)</f>
        <v/>
      </c>
      <c r="K575" s="3">
        <f>IFERROR(LET(mtype,XLOOKUP($D575,'Move Editor'!$B:$B,'Move Editor'!$C:$C,""),cat,XLOOKUP($D575,'Move Editor'!$B:$B,'Move Editor'!$D:$D,""),pow,XLOOKUP($D575,'Move Editor'!$B:$B,'Move Editor'!$E:$E,0),acc,XLOOKUP($D575,'Move Editor'!$B:$B,'Move Editor'!$F:$F,100),atk,IF(cat="Physical",FLOOR((FLOOR(((2*XLOOKUP(XLOOKUP($Q575,'Threshold Summary'!$Y:$Y,'Threshold Summary'!$K:$K,""),'Pokemon Editor'!$A:$A,'Pokemon Editor'!$F:$F,0)+31+FLOOR(XLOOKUP($Q575,'Threshold Summary'!$Y:$Y,'Threshold Summary'!$P:$P,"")/4))*XLOOKUP($Q575,'Threshold Summary'!$Y:$Y,'Threshold Summary'!$L:$L,""))/100)+5)*XLOOKUP(XLOOKUP($Q575,'Threshold Summary'!$Y:$Y,'Threshold Summary'!$M:$M,""),'Nature Editor'!$A:$A,'Nature Editor'!$B:$B,1)),FLOOR((FLOOR(((2*XLOOKUP(XLOOKUP($Q575,'Threshold Summary'!$Y:$Y,'Threshold Summary'!$K:$K,""),'Pokemon Editor'!$A:$A,'Pokemon Editor'!$H:$H,0)+31+FLOOR(XLOOKUP($Q575,'Threshold Summary'!$Y:$Y,'Threshold Summary'!$R:$R,"")/4))*XLOOKUP($Q575,'Threshold Summary'!$Y:$Y,'Threshold Summary'!$L:$L,""))/100)+5)*XLOOKUP(XLOOKUP($Q575,'Threshold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Editor'!$E:$E,1))),stab,IF(OR(mtype=XLOOKUP(XLOOKUP($Q575,'Threshold Summary'!$Y:$Y,'Threshold Summary'!$K:$K,""),'Pokemon Editor'!$A:$A,'Pokemon Editor'!$C:$C,""),mtype=XLOOKUP(XLOOKUP($Q575,'Threshold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Chart'!$B$1:$S$1,0)))),base,IF(OR(cat="Status",pow=0),0,FLOOR(FLOOR(FLOOR((2*XLOOKUP($Q575,'Threshold Summary'!$Y:$Y,'Threshold Summary'!$L:$L,"")/5+2)*pow*atk/def)/50)+2)),modifier,stab*eff,FLOOR(base*modifier)),0)</f>
        <v/>
      </c>
      <c r="L575" s="3">
        <f>IFERROR(LET(mtype,XLOOKUP($D575,'Move Editor'!$B:$B,'Move Editor'!$C:$C,""),cat,XLOOKUP($D575,'Move Editor'!$B:$B,'Move Editor'!$D:$D,""),pow,XLOOKUP($D575,'Move Editor'!$B:$B,'Move Editor'!$E:$E,0),acc,XLOOKUP($D575,'Move Editor'!$B:$B,'Move Editor'!$F:$F,100),atk,IF(cat="Physical",FLOOR((FLOOR(((2*XLOOKUP(XLOOKUP($Q575,'Threshold Summary'!$Y:$Y,'Threshold Summary'!$K:$K,""),'Pokemon Editor'!$A:$A,'Pokemon Editor'!$F:$F,0)+31+FLOOR(XLOOKUP($Q575,'Threshold Summary'!$Y:$Y,'Threshold Summary'!$P:$P,"")/4))*XLOOKUP($Q575,'Threshold Summary'!$Y:$Y,'Threshold Summary'!$L:$L,""))/100)+5)*XLOOKUP(XLOOKUP($Q575,'Threshold Summary'!$Y:$Y,'Threshold Summary'!$M:$M,""),'Nature Editor'!$A:$A,'Nature Editor'!$B:$B,1)),FLOOR((FLOOR(((2*XLOOKUP(XLOOKUP($Q575,'Threshold Summary'!$Y:$Y,'Threshold Summary'!$K:$K,""),'Pokemon Editor'!$A:$A,'Pokemon Editor'!$H:$H,0)+31+FLOOR(XLOOKUP($Q575,'Threshold Summary'!$Y:$Y,'Threshold Summary'!$R:$R,"")/4))*XLOOKUP($Q575,'Threshold Summary'!$Y:$Y,'Threshold Summary'!$L:$L,""))/100)+5)*XLOOKUP(XLOOKUP($Q575,'Threshold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Editor'!$E:$E,1))),stab,IF(OR(mtype=XLOOKUP(XLOOKUP($Q575,'Threshold Summary'!$Y:$Y,'Threshold Summary'!$K:$K,""),'Pokemon Editor'!$A:$A,'Pokemon Editor'!$C:$C,""),mtype=XLOOKUP(XLOOKUP($Q575,'Threshold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Chart'!$B$1:$S$1,0)))),base,IF(OR(cat="Status",pow=0),0,FLOOR(FLOOR(FLOOR((2*XLOOKUP($Q575,'Threshold Summary'!$Y:$Y,'Threshold Summary'!$L:$L,"")/5+2)*pow*atk/def)/50)+2)),modifier,stab*eff,AVERAGE(ARRAYFORMULA(FLOOR(base*modifier*SEQUENCE(16,1,85,1)/100)))),0)</f>
        <v/>
      </c>
      <c r="M575" s="3">
        <f>IFERROR(LET(mtype,XLOOKUP($D575,'Move Editor'!$B:$B,'Move Editor'!$C:$C,""),cat,XLOOKUP($D575,'Move Editor'!$B:$B,'Move Editor'!$D:$D,""),pow,XLOOKUP($D575,'Move Editor'!$B:$B,'Move Editor'!$E:$E,0),acc,XLOOKUP($D575,'Move Editor'!$B:$B,'Move Editor'!$F:$F,100),atk,IF(cat="Physical",FLOOR((FLOOR(((2*XLOOKUP(XLOOKUP($Q575,'Threshold Summary'!$Y:$Y,'Threshold Summary'!$K:$K,""),'Pokemon Editor'!$A:$A,'Pokemon Editor'!$F:$F,0)+31+FLOOR(XLOOKUP($Q575,'Threshold Summary'!$Y:$Y,'Threshold Summary'!$P:$P,"")/4))*XLOOKUP($Q575,'Threshold Summary'!$Y:$Y,'Threshold Summary'!$L:$L,""))/100)+5)*XLOOKUP(XLOOKUP($Q575,'Threshold Summary'!$Y:$Y,'Threshold Summary'!$M:$M,""),'Nature Editor'!$A:$A,'Nature Editor'!$B:$B,1)),FLOOR((FLOOR(((2*XLOOKUP(XLOOKUP($Q575,'Threshold Summary'!$Y:$Y,'Threshold Summary'!$K:$K,""),'Pokemon Editor'!$A:$A,'Pokemon Editor'!$H:$H,0)+31+FLOOR(XLOOKUP($Q575,'Threshold Summary'!$Y:$Y,'Threshold Summary'!$R:$R,"")/4))*XLOOKUP($Q575,'Threshold Summary'!$Y:$Y,'Threshold Summary'!$L:$L,""))/100)+5)*XLOOKUP(XLOOKUP($Q575,'Threshold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Editor'!$E:$E,1))),stab,IF(OR(mtype=XLOOKUP(XLOOKUP($Q575,'Threshold Summary'!$Y:$Y,'Threshold Summary'!$K:$K,""),'Pokemon Editor'!$A:$A,'Pokemon Editor'!$C:$C,""),mtype=XLOOKUP(XLOOKUP($Q575,'Threshold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Chart'!$B$1:$S$1,0)))),base,IF(OR(cat="Status",pow=0),0,FLOOR(FLOOR(FLOOR((2*XLOOKUP($Q575,'Threshold Summary'!$Y:$Y,'Threshold Summary'!$L:$L,"")/5+2)*pow*atk/def)/50)+2)),modifier,stab*eff,AVERAGE(ARRAYFORMULA(FLOOR(base*modifier*SEQUENCE(16,1,85,1)/100)))*MIN(1,acc/100)),0)</f>
        <v/>
      </c>
      <c r="N575" s="4">
        <f>IFERROR(LET(mtype,XLOOKUP($D575,'Move Editor'!$B:$B,'Move Editor'!$C:$C,""),cat,XLOOKUP($D575,'Move Editor'!$B:$B,'Move Editor'!$D:$D,""),pow,XLOOKUP($D575,'Move Editor'!$B:$B,'Move Editor'!$E:$E,0),acc,XLOOKUP($D575,'Move Editor'!$B:$B,'Move Editor'!$F:$F,100),atk,IF(cat="Physical",FLOOR((FLOOR(((2*XLOOKUP(XLOOKUP($Q575,'Threshold Summary'!$Y:$Y,'Threshold Summary'!$K:$K,""),'Pokemon Editor'!$A:$A,'Pokemon Editor'!$F:$F,0)+31+FLOOR(XLOOKUP($Q575,'Threshold Summary'!$Y:$Y,'Threshold Summary'!$P:$P,"")/4))*XLOOKUP($Q575,'Threshold Summary'!$Y:$Y,'Threshold Summary'!$L:$L,""))/100)+5)*XLOOKUP(XLOOKUP($Q575,'Threshold Summary'!$Y:$Y,'Threshold Summary'!$M:$M,""),'Nature Editor'!$A:$A,'Nature Editor'!$B:$B,1)),FLOOR((FLOOR(((2*XLOOKUP(XLOOKUP($Q575,'Threshold Summary'!$Y:$Y,'Threshold Summary'!$K:$K,""),'Pokemon Editor'!$A:$A,'Pokemon Editor'!$H:$H,0)+31+FLOOR(XLOOKUP($Q575,'Threshold Summary'!$Y:$Y,'Threshold Summary'!$R:$R,"")/4))*XLOOKUP($Q575,'Threshold Summary'!$Y:$Y,'Threshold Summary'!$L:$L,""))/100)+5)*XLOOKUP(XLOOKUP($Q575,'Threshold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Editor'!$E:$E,1))),stab,IF(OR(mtype=XLOOKUP(XLOOKUP($Q575,'Threshold Summary'!$Y:$Y,'Threshold Summary'!$K:$K,""),'Pokemon Editor'!$A:$A,'Pokemon Editor'!$C:$C,""),mtype=XLOOKUP(XLOOKUP($Q575,'Threshold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Chart'!$B$1:$S$1,0)))),base,IF(OR(cat="Status",pow=0),0,FLOOR(FLOOR(FLOOR((2*XLOOKUP($Q575,'Threshold Summary'!$Y:$Y,'Threshold Summary'!$L:$L,"")/5+2)*pow*atk/def)/50)+2)),modifier,stab*eff,AVERAGE(ARRAYFORMULA(FLOOR(base*modifier*SEQUENCE(16,1,85,1)/100)))/(FLOOR(((2*XLOOKUP('Boss Editor'!$C$4,'Pokemon Editor'!$A:$A,'Pokemon Editor'!$E:$E,0)+31+FLOOR('Boss Editor'!$G$4/4))*'Boss Editor'!$D$4)/100)+'Boss Editor'!$D$4+10)),0)</f>
        <v/>
      </c>
      <c r="O575" s="3">
        <f>IF(N575&gt;=1,"OHKO",IF(N575&gt;=0.5,"2HKO",IF(N575&gt;=0.333,"3HKO",IF(N575&gt;=0.25,"4HKO","5HKO+"))))</f>
        <v/>
      </c>
      <c r="P575" s="3" t="inlineStr">
        <is>
          <t>Live from editable databases</t>
        </is>
      </c>
      <c r="Q575" s="3" t="inlineStr">
        <is>
          <t>SPECIES_DUCKLETT</t>
        </is>
      </c>
      <c r="R575" s="3" t="n">
        <v>30</v>
      </c>
    </row>
    <row r="576">
      <c r="A576" s="3">
        <f>XLOOKUP($Q576,'Threshold Summary'!$Y:$Y,'Threshold Summary'!$A:$A,"")</f>
        <v/>
      </c>
      <c r="B576" s="3">
        <f>XLOOKUP($Q576,'Threshold Summary'!$Y:$Y,'Threshold Summary'!$M:$M,"")</f>
        <v/>
      </c>
      <c r="C576" s="3">
        <f>XLOOKUP($Q576,'Threshold Summary'!$Y:$Y,'Threshold Summary'!$N:$N,"")</f>
        <v/>
      </c>
      <c r="D576" s="3">
        <f>IFERROR(INDEX(FILTER('Learnset Editor'!$D$2:$D,'Learnset Editor'!$A$2:$A=XLOOKUP($Q576,'Threshold Summary'!$Y:$Y,'Threshold Summary'!$K:$K,""),'Learnset Editor'!$C$2:$C&lt;=XLOOKUP($Q576,'Threshold Summary'!$Y:$Y,'Threshold Summary'!$L:$L,"")),$R576),"")</f>
        <v/>
      </c>
      <c r="E576" s="3">
        <f>XLOOKUP(D576,'Move Editor'!$B:$B,'Move Editor'!$C:$C,"")</f>
        <v/>
      </c>
      <c r="F576" s="3">
        <f>XLOOKUP(D576,'Move Editor'!$B:$B,'Move Editor'!$D:$D,"")</f>
        <v/>
      </c>
      <c r="G576" s="3">
        <f>XLOOKUP(D576,'Move Editor'!$B:$B,'Move Editor'!$E:$E,0)</f>
        <v/>
      </c>
      <c r="H576" s="3">
        <f>XLOOKUP(D576,'Move Editor'!$B:$B,'Move Editor'!$F:$F,0)</f>
        <v/>
      </c>
      <c r="I576" s="3">
        <f>(INDEX('Type Chart'!$B:$S,MATCH(E576,'Type Chart'!$A:$A,0),MATCH(XLOOKUP('Boss Editor'!$C$4,'Pokemon Editor'!$A:$A,'Pokemon Editor'!$C:$C,""),'Type Chart'!$B$1:$S$1,0))*IF(XLOOKUP('Boss Editor'!$C$4,'Pokemon Editor'!$A:$A,'Pokemon Editor'!$D:$D,"")="",1,INDEX('Type Chart'!$B:$S,MATCH(E576,'Type Chart'!$A:$A,0),MATCH(XLOOKUP('Boss Editor'!$C$4,'Pokemon Editor'!$A:$A,'Pokemon Editor'!$D:$D,""),'Type Chart'!$B$1:$S$1,0))))</f>
        <v/>
      </c>
      <c r="J576" s="3">
        <f>IFERROR(LET(mtype,XLOOKUP($D576,'Move Editor'!$B:$B,'Move Editor'!$C:$C,""),cat,XLOOKUP($D576,'Move Editor'!$B:$B,'Move Editor'!$D:$D,""),pow,XLOOKUP($D576,'Move Editor'!$B:$B,'Move Editor'!$E:$E,0),acc,XLOOKUP($D576,'Move Editor'!$B:$B,'Move Editor'!$F:$F,100),atk,IF(cat="Physical",FLOOR((FLOOR(((2*XLOOKUP(XLOOKUP($Q576,'Threshold Summary'!$Y:$Y,'Threshold Summary'!$K:$K,""),'Pokemon Editor'!$A:$A,'Pokemon Editor'!$F:$F,0)+31+FLOOR(XLOOKUP($Q576,'Threshold Summary'!$Y:$Y,'Threshold Summary'!$P:$P,"")/4))*XLOOKUP($Q576,'Threshold Summary'!$Y:$Y,'Threshold Summary'!$L:$L,""))/100)+5)*XLOOKUP(XLOOKUP($Q576,'Threshold Summary'!$Y:$Y,'Threshold Summary'!$M:$M,""),'Nature Editor'!$A:$A,'Nature Editor'!$B:$B,1)),FLOOR((FLOOR(((2*XLOOKUP(XLOOKUP($Q576,'Threshold Summary'!$Y:$Y,'Threshold Summary'!$K:$K,""),'Pokemon Editor'!$A:$A,'Pokemon Editor'!$H:$H,0)+31+FLOOR(XLOOKUP($Q576,'Threshold Summary'!$Y:$Y,'Threshold Summary'!$R:$R,"")/4))*XLOOKUP($Q576,'Threshold Summary'!$Y:$Y,'Threshold Summary'!$L:$L,""))/100)+5)*XLOOKUP(XLOOKUP($Q576,'Threshold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Editor'!$E:$E,1))),stab,IF(OR(mtype=XLOOKUP(XLOOKUP($Q576,'Threshold Summary'!$Y:$Y,'Threshold Summary'!$K:$K,""),'Pokemon Editor'!$A:$A,'Pokemon Editor'!$C:$C,""),mtype=XLOOKUP(XLOOKUP($Q576,'Threshold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Chart'!$B$1:$S$1,0)))),base,IF(OR(cat="Status",pow=0),0,FLOOR(FLOOR(FLOOR((2*XLOOKUP($Q576,'Threshold Summary'!$Y:$Y,'Threshold Summary'!$L:$L,"")/5+2)*pow*atk/def)/50)+2)),modifier,stab*eff,FLOOR(base*modifier*0.85)),0)</f>
        <v/>
      </c>
      <c r="K576" s="3">
        <f>IFERROR(LET(mtype,XLOOKUP($D576,'Move Editor'!$B:$B,'Move Editor'!$C:$C,""),cat,XLOOKUP($D576,'Move Editor'!$B:$B,'Move Editor'!$D:$D,""),pow,XLOOKUP($D576,'Move Editor'!$B:$B,'Move Editor'!$E:$E,0),acc,XLOOKUP($D576,'Move Editor'!$B:$B,'Move Editor'!$F:$F,100),atk,IF(cat="Physical",FLOOR((FLOOR(((2*XLOOKUP(XLOOKUP($Q576,'Threshold Summary'!$Y:$Y,'Threshold Summary'!$K:$K,""),'Pokemon Editor'!$A:$A,'Pokemon Editor'!$F:$F,0)+31+FLOOR(XLOOKUP($Q576,'Threshold Summary'!$Y:$Y,'Threshold Summary'!$P:$P,"")/4))*XLOOKUP($Q576,'Threshold Summary'!$Y:$Y,'Threshold Summary'!$L:$L,""))/100)+5)*XLOOKUP(XLOOKUP($Q576,'Threshold Summary'!$Y:$Y,'Threshold Summary'!$M:$M,""),'Nature Editor'!$A:$A,'Nature Editor'!$B:$B,1)),FLOOR((FLOOR(((2*XLOOKUP(XLOOKUP($Q576,'Threshold Summary'!$Y:$Y,'Threshold Summary'!$K:$K,""),'Pokemon Editor'!$A:$A,'Pokemon Editor'!$H:$H,0)+31+FLOOR(XLOOKUP($Q576,'Threshold Summary'!$Y:$Y,'Threshold Summary'!$R:$R,"")/4))*XLOOKUP($Q576,'Threshold Summary'!$Y:$Y,'Threshold Summary'!$L:$L,""))/100)+5)*XLOOKUP(XLOOKUP($Q576,'Threshold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Editor'!$E:$E,1))),stab,IF(OR(mtype=XLOOKUP(XLOOKUP($Q576,'Threshold Summary'!$Y:$Y,'Threshold Summary'!$K:$K,""),'Pokemon Editor'!$A:$A,'Pokemon Editor'!$C:$C,""),mtype=XLOOKUP(XLOOKUP($Q576,'Threshold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Chart'!$B$1:$S$1,0)))),base,IF(OR(cat="Status",pow=0),0,FLOOR(FLOOR(FLOOR((2*XLOOKUP($Q576,'Threshold Summary'!$Y:$Y,'Threshold Summary'!$L:$L,"")/5+2)*pow*atk/def)/50)+2)),modifier,stab*eff,FLOOR(base*modifier)),0)</f>
        <v/>
      </c>
      <c r="L576" s="3">
        <f>IFERROR(LET(mtype,XLOOKUP($D576,'Move Editor'!$B:$B,'Move Editor'!$C:$C,""),cat,XLOOKUP($D576,'Move Editor'!$B:$B,'Move Editor'!$D:$D,""),pow,XLOOKUP($D576,'Move Editor'!$B:$B,'Move Editor'!$E:$E,0),acc,XLOOKUP($D576,'Move Editor'!$B:$B,'Move Editor'!$F:$F,100),atk,IF(cat="Physical",FLOOR((FLOOR(((2*XLOOKUP(XLOOKUP($Q576,'Threshold Summary'!$Y:$Y,'Threshold Summary'!$K:$K,""),'Pokemon Editor'!$A:$A,'Pokemon Editor'!$F:$F,0)+31+FLOOR(XLOOKUP($Q576,'Threshold Summary'!$Y:$Y,'Threshold Summary'!$P:$P,"")/4))*XLOOKUP($Q576,'Threshold Summary'!$Y:$Y,'Threshold Summary'!$L:$L,""))/100)+5)*XLOOKUP(XLOOKUP($Q576,'Threshold Summary'!$Y:$Y,'Threshold Summary'!$M:$M,""),'Nature Editor'!$A:$A,'Nature Editor'!$B:$B,1)),FLOOR((FLOOR(((2*XLOOKUP(XLOOKUP($Q576,'Threshold Summary'!$Y:$Y,'Threshold Summary'!$K:$K,""),'Pokemon Editor'!$A:$A,'Pokemon Editor'!$H:$H,0)+31+FLOOR(XLOOKUP($Q576,'Threshold Summary'!$Y:$Y,'Threshold Summary'!$R:$R,"")/4))*XLOOKUP($Q576,'Threshold Summary'!$Y:$Y,'Threshold Summary'!$L:$L,""))/100)+5)*XLOOKUP(XLOOKUP($Q576,'Threshold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Editor'!$E:$E,1))),stab,IF(OR(mtype=XLOOKUP(XLOOKUP($Q576,'Threshold Summary'!$Y:$Y,'Threshold Summary'!$K:$K,""),'Pokemon Editor'!$A:$A,'Pokemon Editor'!$C:$C,""),mtype=XLOOKUP(XLOOKUP($Q576,'Threshold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Chart'!$B$1:$S$1,0)))),base,IF(OR(cat="Status",pow=0),0,FLOOR(FLOOR(FLOOR((2*XLOOKUP($Q576,'Threshold Summary'!$Y:$Y,'Threshold Summary'!$L:$L,"")/5+2)*pow*atk/def)/50)+2)),modifier,stab*eff,AVERAGE(ARRAYFORMULA(FLOOR(base*modifier*SEQUENCE(16,1,85,1)/100)))),0)</f>
        <v/>
      </c>
      <c r="M576" s="3">
        <f>IFERROR(LET(mtype,XLOOKUP($D576,'Move Editor'!$B:$B,'Move Editor'!$C:$C,""),cat,XLOOKUP($D576,'Move Editor'!$B:$B,'Move Editor'!$D:$D,""),pow,XLOOKUP($D576,'Move Editor'!$B:$B,'Move Editor'!$E:$E,0),acc,XLOOKUP($D576,'Move Editor'!$B:$B,'Move Editor'!$F:$F,100),atk,IF(cat="Physical",FLOOR((FLOOR(((2*XLOOKUP(XLOOKUP($Q576,'Threshold Summary'!$Y:$Y,'Threshold Summary'!$K:$K,""),'Pokemon Editor'!$A:$A,'Pokemon Editor'!$F:$F,0)+31+FLOOR(XLOOKUP($Q576,'Threshold Summary'!$Y:$Y,'Threshold Summary'!$P:$P,"")/4))*XLOOKUP($Q576,'Threshold Summary'!$Y:$Y,'Threshold Summary'!$L:$L,""))/100)+5)*XLOOKUP(XLOOKUP($Q576,'Threshold Summary'!$Y:$Y,'Threshold Summary'!$M:$M,""),'Nature Editor'!$A:$A,'Nature Editor'!$B:$B,1)),FLOOR((FLOOR(((2*XLOOKUP(XLOOKUP($Q576,'Threshold Summary'!$Y:$Y,'Threshold Summary'!$K:$K,""),'Pokemon Editor'!$A:$A,'Pokemon Editor'!$H:$H,0)+31+FLOOR(XLOOKUP($Q576,'Threshold Summary'!$Y:$Y,'Threshold Summary'!$R:$R,"")/4))*XLOOKUP($Q576,'Threshold Summary'!$Y:$Y,'Threshold Summary'!$L:$L,""))/100)+5)*XLOOKUP(XLOOKUP($Q576,'Threshold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Editor'!$E:$E,1))),stab,IF(OR(mtype=XLOOKUP(XLOOKUP($Q576,'Threshold Summary'!$Y:$Y,'Threshold Summary'!$K:$K,""),'Pokemon Editor'!$A:$A,'Pokemon Editor'!$C:$C,""),mtype=XLOOKUP(XLOOKUP($Q576,'Threshold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Chart'!$B$1:$S$1,0)))),base,IF(OR(cat="Status",pow=0),0,FLOOR(FLOOR(FLOOR((2*XLOOKUP($Q576,'Threshold Summary'!$Y:$Y,'Threshold Summary'!$L:$L,"")/5+2)*pow*atk/def)/50)+2)),modifier,stab*eff,AVERAGE(ARRAYFORMULA(FLOOR(base*modifier*SEQUENCE(16,1,85,1)/100)))*MIN(1,acc/100)),0)</f>
        <v/>
      </c>
      <c r="N576" s="4">
        <f>IFERROR(LET(mtype,XLOOKUP($D576,'Move Editor'!$B:$B,'Move Editor'!$C:$C,""),cat,XLOOKUP($D576,'Move Editor'!$B:$B,'Move Editor'!$D:$D,""),pow,XLOOKUP($D576,'Move Editor'!$B:$B,'Move Editor'!$E:$E,0),acc,XLOOKUP($D576,'Move Editor'!$B:$B,'Move Editor'!$F:$F,100),atk,IF(cat="Physical",FLOOR((FLOOR(((2*XLOOKUP(XLOOKUP($Q576,'Threshold Summary'!$Y:$Y,'Threshold Summary'!$K:$K,""),'Pokemon Editor'!$A:$A,'Pokemon Editor'!$F:$F,0)+31+FLOOR(XLOOKUP($Q576,'Threshold Summary'!$Y:$Y,'Threshold Summary'!$P:$P,"")/4))*XLOOKUP($Q576,'Threshold Summary'!$Y:$Y,'Threshold Summary'!$L:$L,""))/100)+5)*XLOOKUP(XLOOKUP($Q576,'Threshold Summary'!$Y:$Y,'Threshold Summary'!$M:$M,""),'Nature Editor'!$A:$A,'Nature Editor'!$B:$B,1)),FLOOR((FLOOR(((2*XLOOKUP(XLOOKUP($Q576,'Threshold Summary'!$Y:$Y,'Threshold Summary'!$K:$K,""),'Pokemon Editor'!$A:$A,'Pokemon Editor'!$H:$H,0)+31+FLOOR(XLOOKUP($Q576,'Threshold Summary'!$Y:$Y,'Threshold Summary'!$R:$R,"")/4))*XLOOKUP($Q576,'Threshold Summary'!$Y:$Y,'Threshold Summary'!$L:$L,""))/100)+5)*XLOOKUP(XLOOKUP($Q576,'Threshold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Editor'!$E:$E,1))),stab,IF(OR(mtype=XLOOKUP(XLOOKUP($Q576,'Threshold Summary'!$Y:$Y,'Threshold Summary'!$K:$K,""),'Pokemon Editor'!$A:$A,'Pokemon Editor'!$C:$C,""),mtype=XLOOKUP(XLOOKUP($Q576,'Threshold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Chart'!$B$1:$S$1,0)))),base,IF(OR(cat="Status",pow=0),0,FLOOR(FLOOR(FLOOR((2*XLOOKUP($Q576,'Threshold Summary'!$Y:$Y,'Threshold Summary'!$L:$L,"")/5+2)*pow*atk/def)/50)+2)),modifier,stab*eff,AVERAGE(ARRAYFORMULA(FLOOR(base*modifier*SEQUENCE(16,1,85,1)/100)))/(FLOOR(((2*XLOOKUP('Boss Editor'!$C$4,'Pokemon Editor'!$A:$A,'Pokemon Editor'!$E:$E,0)+31+FLOOR('Boss Editor'!$G$4/4))*'Boss Editor'!$D$4)/100)+'Boss Editor'!$D$4+10)),0)</f>
        <v/>
      </c>
      <c r="O576" s="3">
        <f>IF(N576&gt;=1,"OHKO",IF(N576&gt;=0.5,"2HKO",IF(N576&gt;=0.333,"3HKO",IF(N576&gt;=0.25,"4HKO","5HKO+"))))</f>
        <v/>
      </c>
      <c r="P576" s="3" t="inlineStr">
        <is>
          <t>Live from editable databases</t>
        </is>
      </c>
      <c r="Q576" s="3" t="inlineStr">
        <is>
          <t>SPECIES_DUCKLETT</t>
        </is>
      </c>
      <c r="R576" s="3" t="n">
        <v>31</v>
      </c>
    </row>
    <row r="577">
      <c r="A577" s="3">
        <f>XLOOKUP($Q577,'Threshold Summary'!$Y:$Y,'Threshold Summary'!$A:$A,"")</f>
        <v/>
      </c>
      <c r="B577" s="3">
        <f>XLOOKUP($Q577,'Threshold Summary'!$Y:$Y,'Threshold Summary'!$M:$M,"")</f>
        <v/>
      </c>
      <c r="C577" s="3">
        <f>XLOOKUP($Q577,'Threshold Summary'!$Y:$Y,'Threshold Summary'!$N:$N,"")</f>
        <v/>
      </c>
      <c r="D577" s="3">
        <f>IFERROR(INDEX(FILTER('Learnset Editor'!$D$2:$D,'Learnset Editor'!$A$2:$A=XLOOKUP($Q577,'Threshold Summary'!$Y:$Y,'Threshold Summary'!$K:$K,""),'Learnset Editor'!$C$2:$C&lt;=XLOOKUP($Q577,'Threshold Summary'!$Y:$Y,'Threshold Summary'!$L:$L,"")),$R577),"")</f>
        <v/>
      </c>
      <c r="E577" s="3">
        <f>XLOOKUP(D577,'Move Editor'!$B:$B,'Move Editor'!$C:$C,"")</f>
        <v/>
      </c>
      <c r="F577" s="3">
        <f>XLOOKUP(D577,'Move Editor'!$B:$B,'Move Editor'!$D:$D,"")</f>
        <v/>
      </c>
      <c r="G577" s="3">
        <f>XLOOKUP(D577,'Move Editor'!$B:$B,'Move Editor'!$E:$E,0)</f>
        <v/>
      </c>
      <c r="H577" s="3">
        <f>XLOOKUP(D577,'Move Editor'!$B:$B,'Move Editor'!$F:$F,0)</f>
        <v/>
      </c>
      <c r="I577" s="3">
        <f>(INDEX('Type Chart'!$B:$S,MATCH(E577,'Type Chart'!$A:$A,0),MATCH(XLOOKUP('Boss Editor'!$C$4,'Pokemon Editor'!$A:$A,'Pokemon Editor'!$C:$C,""),'Type Chart'!$B$1:$S$1,0))*IF(XLOOKUP('Boss Editor'!$C$4,'Pokemon Editor'!$A:$A,'Pokemon Editor'!$D:$D,"")="",1,INDEX('Type Chart'!$B:$S,MATCH(E577,'Type Chart'!$A:$A,0),MATCH(XLOOKUP('Boss Editor'!$C$4,'Pokemon Editor'!$A:$A,'Pokemon Editor'!$D:$D,""),'Type Chart'!$B$1:$S$1,0))))</f>
        <v/>
      </c>
      <c r="J577" s="3">
        <f>IFERROR(LET(mtype,XLOOKUP($D577,'Move Editor'!$B:$B,'Move Editor'!$C:$C,""),cat,XLOOKUP($D577,'Move Editor'!$B:$B,'Move Editor'!$D:$D,""),pow,XLOOKUP($D577,'Move Editor'!$B:$B,'Move Editor'!$E:$E,0),acc,XLOOKUP($D577,'Move Editor'!$B:$B,'Move Editor'!$F:$F,100),atk,IF(cat="Physical",FLOOR((FLOOR(((2*XLOOKUP(XLOOKUP($Q577,'Threshold Summary'!$Y:$Y,'Threshold Summary'!$K:$K,""),'Pokemon Editor'!$A:$A,'Pokemon Editor'!$F:$F,0)+31+FLOOR(XLOOKUP($Q577,'Threshold Summary'!$Y:$Y,'Threshold Summary'!$P:$P,"")/4))*XLOOKUP($Q577,'Threshold Summary'!$Y:$Y,'Threshold Summary'!$L:$L,""))/100)+5)*XLOOKUP(XLOOKUP($Q577,'Threshold Summary'!$Y:$Y,'Threshold Summary'!$M:$M,""),'Nature Editor'!$A:$A,'Nature Editor'!$B:$B,1)),FLOOR((FLOOR(((2*XLOOKUP(XLOOKUP($Q577,'Threshold Summary'!$Y:$Y,'Threshold Summary'!$K:$K,""),'Pokemon Editor'!$A:$A,'Pokemon Editor'!$H:$H,0)+31+FLOOR(XLOOKUP($Q577,'Threshold Summary'!$Y:$Y,'Threshold Summary'!$R:$R,"")/4))*XLOOKUP($Q577,'Threshold Summary'!$Y:$Y,'Threshold Summary'!$L:$L,""))/100)+5)*XLOOKUP(XLOOKUP($Q577,'Threshold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Editor'!$E:$E,1))),stab,IF(OR(mtype=XLOOKUP(XLOOKUP($Q577,'Threshold Summary'!$Y:$Y,'Threshold Summary'!$K:$K,""),'Pokemon Editor'!$A:$A,'Pokemon Editor'!$C:$C,""),mtype=XLOOKUP(XLOOKUP($Q577,'Threshold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Chart'!$B$1:$S$1,0)))),base,IF(OR(cat="Status",pow=0),0,FLOOR(FLOOR(FLOOR((2*XLOOKUP($Q577,'Threshold Summary'!$Y:$Y,'Threshold Summary'!$L:$L,"")/5+2)*pow*atk/def)/50)+2)),modifier,stab*eff,FLOOR(base*modifier*0.85)),0)</f>
        <v/>
      </c>
      <c r="K577" s="3">
        <f>IFERROR(LET(mtype,XLOOKUP($D577,'Move Editor'!$B:$B,'Move Editor'!$C:$C,""),cat,XLOOKUP($D577,'Move Editor'!$B:$B,'Move Editor'!$D:$D,""),pow,XLOOKUP($D577,'Move Editor'!$B:$B,'Move Editor'!$E:$E,0),acc,XLOOKUP($D577,'Move Editor'!$B:$B,'Move Editor'!$F:$F,100),atk,IF(cat="Physical",FLOOR((FLOOR(((2*XLOOKUP(XLOOKUP($Q577,'Threshold Summary'!$Y:$Y,'Threshold Summary'!$K:$K,""),'Pokemon Editor'!$A:$A,'Pokemon Editor'!$F:$F,0)+31+FLOOR(XLOOKUP($Q577,'Threshold Summary'!$Y:$Y,'Threshold Summary'!$P:$P,"")/4))*XLOOKUP($Q577,'Threshold Summary'!$Y:$Y,'Threshold Summary'!$L:$L,""))/100)+5)*XLOOKUP(XLOOKUP($Q577,'Threshold Summary'!$Y:$Y,'Threshold Summary'!$M:$M,""),'Nature Editor'!$A:$A,'Nature Editor'!$B:$B,1)),FLOOR((FLOOR(((2*XLOOKUP(XLOOKUP($Q577,'Threshold Summary'!$Y:$Y,'Threshold Summary'!$K:$K,""),'Pokemon Editor'!$A:$A,'Pokemon Editor'!$H:$H,0)+31+FLOOR(XLOOKUP($Q577,'Threshold Summary'!$Y:$Y,'Threshold Summary'!$R:$R,"")/4))*XLOOKUP($Q577,'Threshold Summary'!$Y:$Y,'Threshold Summary'!$L:$L,""))/100)+5)*XLOOKUP(XLOOKUP($Q577,'Threshold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Editor'!$E:$E,1))),stab,IF(OR(mtype=XLOOKUP(XLOOKUP($Q577,'Threshold Summary'!$Y:$Y,'Threshold Summary'!$K:$K,""),'Pokemon Editor'!$A:$A,'Pokemon Editor'!$C:$C,""),mtype=XLOOKUP(XLOOKUP($Q577,'Threshold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Chart'!$B$1:$S$1,0)))),base,IF(OR(cat="Status",pow=0),0,FLOOR(FLOOR(FLOOR((2*XLOOKUP($Q577,'Threshold Summary'!$Y:$Y,'Threshold Summary'!$L:$L,"")/5+2)*pow*atk/def)/50)+2)),modifier,stab*eff,FLOOR(base*modifier)),0)</f>
        <v/>
      </c>
      <c r="L577" s="3">
        <f>IFERROR(LET(mtype,XLOOKUP($D577,'Move Editor'!$B:$B,'Move Editor'!$C:$C,""),cat,XLOOKUP($D577,'Move Editor'!$B:$B,'Move Editor'!$D:$D,""),pow,XLOOKUP($D577,'Move Editor'!$B:$B,'Move Editor'!$E:$E,0),acc,XLOOKUP($D577,'Move Editor'!$B:$B,'Move Editor'!$F:$F,100),atk,IF(cat="Physical",FLOOR((FLOOR(((2*XLOOKUP(XLOOKUP($Q577,'Threshold Summary'!$Y:$Y,'Threshold Summary'!$K:$K,""),'Pokemon Editor'!$A:$A,'Pokemon Editor'!$F:$F,0)+31+FLOOR(XLOOKUP($Q577,'Threshold Summary'!$Y:$Y,'Threshold Summary'!$P:$P,"")/4))*XLOOKUP($Q577,'Threshold Summary'!$Y:$Y,'Threshold Summary'!$L:$L,""))/100)+5)*XLOOKUP(XLOOKUP($Q577,'Threshold Summary'!$Y:$Y,'Threshold Summary'!$M:$M,""),'Nature Editor'!$A:$A,'Nature Editor'!$B:$B,1)),FLOOR((FLOOR(((2*XLOOKUP(XLOOKUP($Q577,'Threshold Summary'!$Y:$Y,'Threshold Summary'!$K:$K,""),'Pokemon Editor'!$A:$A,'Pokemon Editor'!$H:$H,0)+31+FLOOR(XLOOKUP($Q577,'Threshold Summary'!$Y:$Y,'Threshold Summary'!$R:$R,"")/4))*XLOOKUP($Q577,'Threshold Summary'!$Y:$Y,'Threshold Summary'!$L:$L,""))/100)+5)*XLOOKUP(XLOOKUP($Q577,'Threshold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Editor'!$E:$E,1))),stab,IF(OR(mtype=XLOOKUP(XLOOKUP($Q577,'Threshold Summary'!$Y:$Y,'Threshold Summary'!$K:$K,""),'Pokemon Editor'!$A:$A,'Pokemon Editor'!$C:$C,""),mtype=XLOOKUP(XLOOKUP($Q577,'Threshold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Chart'!$B$1:$S$1,0)))),base,IF(OR(cat="Status",pow=0),0,FLOOR(FLOOR(FLOOR((2*XLOOKUP($Q577,'Threshold Summary'!$Y:$Y,'Threshold Summary'!$L:$L,"")/5+2)*pow*atk/def)/50)+2)),modifier,stab*eff,AVERAGE(ARRAYFORMULA(FLOOR(base*modifier*SEQUENCE(16,1,85,1)/100)))),0)</f>
        <v/>
      </c>
      <c r="M577" s="3">
        <f>IFERROR(LET(mtype,XLOOKUP($D577,'Move Editor'!$B:$B,'Move Editor'!$C:$C,""),cat,XLOOKUP($D577,'Move Editor'!$B:$B,'Move Editor'!$D:$D,""),pow,XLOOKUP($D577,'Move Editor'!$B:$B,'Move Editor'!$E:$E,0),acc,XLOOKUP($D577,'Move Editor'!$B:$B,'Move Editor'!$F:$F,100),atk,IF(cat="Physical",FLOOR((FLOOR(((2*XLOOKUP(XLOOKUP($Q577,'Threshold Summary'!$Y:$Y,'Threshold Summary'!$K:$K,""),'Pokemon Editor'!$A:$A,'Pokemon Editor'!$F:$F,0)+31+FLOOR(XLOOKUP($Q577,'Threshold Summary'!$Y:$Y,'Threshold Summary'!$P:$P,"")/4))*XLOOKUP($Q577,'Threshold Summary'!$Y:$Y,'Threshold Summary'!$L:$L,""))/100)+5)*XLOOKUP(XLOOKUP($Q577,'Threshold Summary'!$Y:$Y,'Threshold Summary'!$M:$M,""),'Nature Editor'!$A:$A,'Nature Editor'!$B:$B,1)),FLOOR((FLOOR(((2*XLOOKUP(XLOOKUP($Q577,'Threshold Summary'!$Y:$Y,'Threshold Summary'!$K:$K,""),'Pokemon Editor'!$A:$A,'Pokemon Editor'!$H:$H,0)+31+FLOOR(XLOOKUP($Q577,'Threshold Summary'!$Y:$Y,'Threshold Summary'!$R:$R,"")/4))*XLOOKUP($Q577,'Threshold Summary'!$Y:$Y,'Threshold Summary'!$L:$L,""))/100)+5)*XLOOKUP(XLOOKUP($Q577,'Threshold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Editor'!$E:$E,1))),stab,IF(OR(mtype=XLOOKUP(XLOOKUP($Q577,'Threshold Summary'!$Y:$Y,'Threshold Summary'!$K:$K,""),'Pokemon Editor'!$A:$A,'Pokemon Editor'!$C:$C,""),mtype=XLOOKUP(XLOOKUP($Q577,'Threshold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Chart'!$B$1:$S$1,0)))),base,IF(OR(cat="Status",pow=0),0,FLOOR(FLOOR(FLOOR((2*XLOOKUP($Q577,'Threshold Summary'!$Y:$Y,'Threshold Summary'!$L:$L,"")/5+2)*pow*atk/def)/50)+2)),modifier,stab*eff,AVERAGE(ARRAYFORMULA(FLOOR(base*modifier*SEQUENCE(16,1,85,1)/100)))*MIN(1,acc/100)),0)</f>
        <v/>
      </c>
      <c r="N577" s="4">
        <f>IFERROR(LET(mtype,XLOOKUP($D577,'Move Editor'!$B:$B,'Move Editor'!$C:$C,""),cat,XLOOKUP($D577,'Move Editor'!$B:$B,'Move Editor'!$D:$D,""),pow,XLOOKUP($D577,'Move Editor'!$B:$B,'Move Editor'!$E:$E,0),acc,XLOOKUP($D577,'Move Editor'!$B:$B,'Move Editor'!$F:$F,100),atk,IF(cat="Physical",FLOOR((FLOOR(((2*XLOOKUP(XLOOKUP($Q577,'Threshold Summary'!$Y:$Y,'Threshold Summary'!$K:$K,""),'Pokemon Editor'!$A:$A,'Pokemon Editor'!$F:$F,0)+31+FLOOR(XLOOKUP($Q577,'Threshold Summary'!$Y:$Y,'Threshold Summary'!$P:$P,"")/4))*XLOOKUP($Q577,'Threshold Summary'!$Y:$Y,'Threshold Summary'!$L:$L,""))/100)+5)*XLOOKUP(XLOOKUP($Q577,'Threshold Summary'!$Y:$Y,'Threshold Summary'!$M:$M,""),'Nature Editor'!$A:$A,'Nature Editor'!$B:$B,1)),FLOOR((FLOOR(((2*XLOOKUP(XLOOKUP($Q577,'Threshold Summary'!$Y:$Y,'Threshold Summary'!$K:$K,""),'Pokemon Editor'!$A:$A,'Pokemon Editor'!$H:$H,0)+31+FLOOR(XLOOKUP($Q577,'Threshold Summary'!$Y:$Y,'Threshold Summary'!$R:$R,"")/4))*XLOOKUP($Q577,'Threshold Summary'!$Y:$Y,'Threshold Summary'!$L:$L,""))/100)+5)*XLOOKUP(XLOOKUP($Q577,'Threshold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Editor'!$E:$E,1))),stab,IF(OR(mtype=XLOOKUP(XLOOKUP($Q577,'Threshold Summary'!$Y:$Y,'Threshold Summary'!$K:$K,""),'Pokemon Editor'!$A:$A,'Pokemon Editor'!$C:$C,""),mtype=XLOOKUP(XLOOKUP($Q577,'Threshold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Chart'!$B$1:$S$1,0)))),base,IF(OR(cat="Status",pow=0),0,FLOOR(FLOOR(FLOOR((2*XLOOKUP($Q577,'Threshold Summary'!$Y:$Y,'Threshold Summary'!$L:$L,"")/5+2)*pow*atk/def)/50)+2)),modifier,stab*eff,AVERAGE(ARRAYFORMULA(FLOOR(base*modifier*SEQUENCE(16,1,85,1)/100)))/(FLOOR(((2*XLOOKUP('Boss Editor'!$C$4,'Pokemon Editor'!$A:$A,'Pokemon Editor'!$E:$E,0)+31+FLOOR('Boss Editor'!$G$4/4))*'Boss Editor'!$D$4)/100)+'Boss Editor'!$D$4+10)),0)</f>
        <v/>
      </c>
      <c r="O577" s="3">
        <f>IF(N577&gt;=1,"OHKO",IF(N577&gt;=0.5,"2HKO",IF(N577&gt;=0.333,"3HKO",IF(N577&gt;=0.25,"4HKO","5HKO+"))))</f>
        <v/>
      </c>
      <c r="P577" s="3" t="inlineStr">
        <is>
          <t>Live from editable databases</t>
        </is>
      </c>
      <c r="Q577" s="3" t="inlineStr">
        <is>
          <t>SPECIES_DUCKLETT</t>
        </is>
      </c>
      <c r="R577" s="3" t="n">
        <v>32</v>
      </c>
    </row>
    <row r="578">
      <c r="A578" s="3">
        <f>XLOOKUP($Q578,'Threshold Summary'!$Y:$Y,'Threshold Summary'!$A:$A,"")</f>
        <v/>
      </c>
      <c r="B578" s="3">
        <f>XLOOKUP($Q578,'Threshold Summary'!$Y:$Y,'Threshold Summary'!$M:$M,"")</f>
        <v/>
      </c>
      <c r="C578" s="3">
        <f>XLOOKUP($Q578,'Threshold Summary'!$Y:$Y,'Threshold Summary'!$N:$N,"")</f>
        <v/>
      </c>
      <c r="D578" s="3">
        <f>IFERROR(INDEX(FILTER('Learnset Editor'!$D$2:$D,'Learnset Editor'!$A$2:$A=XLOOKUP($Q578,'Threshold Summary'!$Y:$Y,'Threshold Summary'!$K:$K,""),'Learnset Editor'!$C$2:$C&lt;=XLOOKUP($Q578,'Threshold Summary'!$Y:$Y,'Threshold Summary'!$L:$L,"")),$R578),"")</f>
        <v/>
      </c>
      <c r="E578" s="3">
        <f>XLOOKUP(D578,'Move Editor'!$B:$B,'Move Editor'!$C:$C,"")</f>
        <v/>
      </c>
      <c r="F578" s="3">
        <f>XLOOKUP(D578,'Move Editor'!$B:$B,'Move Editor'!$D:$D,"")</f>
        <v/>
      </c>
      <c r="G578" s="3">
        <f>XLOOKUP(D578,'Move Editor'!$B:$B,'Move Editor'!$E:$E,0)</f>
        <v/>
      </c>
      <c r="H578" s="3">
        <f>XLOOKUP(D578,'Move Editor'!$B:$B,'Move Editor'!$F:$F,0)</f>
        <v/>
      </c>
      <c r="I578" s="3">
        <f>(INDEX('Type Chart'!$B:$S,MATCH(E578,'Type Chart'!$A:$A,0),MATCH(XLOOKUP('Boss Editor'!$C$4,'Pokemon Editor'!$A:$A,'Pokemon Editor'!$C:$C,""),'Type Chart'!$B$1:$S$1,0))*IF(XLOOKUP('Boss Editor'!$C$4,'Pokemon Editor'!$A:$A,'Pokemon Editor'!$D:$D,"")="",1,INDEX('Type Chart'!$B:$S,MATCH(E578,'Type Chart'!$A:$A,0),MATCH(XLOOKUP('Boss Editor'!$C$4,'Pokemon Editor'!$A:$A,'Pokemon Editor'!$D:$D,""),'Type Chart'!$B$1:$S$1,0))))</f>
        <v/>
      </c>
      <c r="J578" s="3">
        <f>IFERROR(LET(mtype,XLOOKUP($D578,'Move Editor'!$B:$B,'Move Editor'!$C:$C,""),cat,XLOOKUP($D578,'Move Editor'!$B:$B,'Move Editor'!$D:$D,""),pow,XLOOKUP($D578,'Move Editor'!$B:$B,'Move Editor'!$E:$E,0),acc,XLOOKUP($D578,'Move Editor'!$B:$B,'Move Editor'!$F:$F,100),atk,IF(cat="Physical",FLOOR((FLOOR(((2*XLOOKUP(XLOOKUP($Q578,'Threshold Summary'!$Y:$Y,'Threshold Summary'!$K:$K,""),'Pokemon Editor'!$A:$A,'Pokemon Editor'!$F:$F,0)+31+FLOOR(XLOOKUP($Q578,'Threshold Summary'!$Y:$Y,'Threshold Summary'!$P:$P,"")/4))*XLOOKUP($Q578,'Threshold Summary'!$Y:$Y,'Threshold Summary'!$L:$L,""))/100)+5)*XLOOKUP(XLOOKUP($Q578,'Threshold Summary'!$Y:$Y,'Threshold Summary'!$M:$M,""),'Nature Editor'!$A:$A,'Nature Editor'!$B:$B,1)),FLOOR((FLOOR(((2*XLOOKUP(XLOOKUP($Q578,'Threshold Summary'!$Y:$Y,'Threshold Summary'!$K:$K,""),'Pokemon Editor'!$A:$A,'Pokemon Editor'!$H:$H,0)+31+FLOOR(XLOOKUP($Q578,'Threshold Summary'!$Y:$Y,'Threshold Summary'!$R:$R,"")/4))*XLOOKUP($Q578,'Threshold Summary'!$Y:$Y,'Threshold Summary'!$L:$L,""))/100)+5)*XLOOKUP(XLOOKUP($Q578,'Threshold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Editor'!$E:$E,1))),stab,IF(OR(mtype=XLOOKUP(XLOOKUP($Q578,'Threshold Summary'!$Y:$Y,'Threshold Summary'!$K:$K,""),'Pokemon Editor'!$A:$A,'Pokemon Editor'!$C:$C,""),mtype=XLOOKUP(XLOOKUP($Q578,'Threshold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Chart'!$B$1:$S$1,0)))),base,IF(OR(cat="Status",pow=0),0,FLOOR(FLOOR(FLOOR((2*XLOOKUP($Q578,'Threshold Summary'!$Y:$Y,'Threshold Summary'!$L:$L,"")/5+2)*pow*atk/def)/50)+2)),modifier,stab*eff,FLOOR(base*modifier*0.85)),0)</f>
        <v/>
      </c>
      <c r="K578" s="3">
        <f>IFERROR(LET(mtype,XLOOKUP($D578,'Move Editor'!$B:$B,'Move Editor'!$C:$C,""),cat,XLOOKUP($D578,'Move Editor'!$B:$B,'Move Editor'!$D:$D,""),pow,XLOOKUP($D578,'Move Editor'!$B:$B,'Move Editor'!$E:$E,0),acc,XLOOKUP($D578,'Move Editor'!$B:$B,'Move Editor'!$F:$F,100),atk,IF(cat="Physical",FLOOR((FLOOR(((2*XLOOKUP(XLOOKUP($Q578,'Threshold Summary'!$Y:$Y,'Threshold Summary'!$K:$K,""),'Pokemon Editor'!$A:$A,'Pokemon Editor'!$F:$F,0)+31+FLOOR(XLOOKUP($Q578,'Threshold Summary'!$Y:$Y,'Threshold Summary'!$P:$P,"")/4))*XLOOKUP($Q578,'Threshold Summary'!$Y:$Y,'Threshold Summary'!$L:$L,""))/100)+5)*XLOOKUP(XLOOKUP($Q578,'Threshold Summary'!$Y:$Y,'Threshold Summary'!$M:$M,""),'Nature Editor'!$A:$A,'Nature Editor'!$B:$B,1)),FLOOR((FLOOR(((2*XLOOKUP(XLOOKUP($Q578,'Threshold Summary'!$Y:$Y,'Threshold Summary'!$K:$K,""),'Pokemon Editor'!$A:$A,'Pokemon Editor'!$H:$H,0)+31+FLOOR(XLOOKUP($Q578,'Threshold Summary'!$Y:$Y,'Threshold Summary'!$R:$R,"")/4))*XLOOKUP($Q578,'Threshold Summary'!$Y:$Y,'Threshold Summary'!$L:$L,""))/100)+5)*XLOOKUP(XLOOKUP($Q578,'Threshold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Editor'!$E:$E,1))),stab,IF(OR(mtype=XLOOKUP(XLOOKUP($Q578,'Threshold Summary'!$Y:$Y,'Threshold Summary'!$K:$K,""),'Pokemon Editor'!$A:$A,'Pokemon Editor'!$C:$C,""),mtype=XLOOKUP(XLOOKUP($Q578,'Threshold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Chart'!$B$1:$S$1,0)))),base,IF(OR(cat="Status",pow=0),0,FLOOR(FLOOR(FLOOR((2*XLOOKUP($Q578,'Threshold Summary'!$Y:$Y,'Threshold Summary'!$L:$L,"")/5+2)*pow*atk/def)/50)+2)),modifier,stab*eff,FLOOR(base*modifier)),0)</f>
        <v/>
      </c>
      <c r="L578" s="3">
        <f>IFERROR(LET(mtype,XLOOKUP($D578,'Move Editor'!$B:$B,'Move Editor'!$C:$C,""),cat,XLOOKUP($D578,'Move Editor'!$B:$B,'Move Editor'!$D:$D,""),pow,XLOOKUP($D578,'Move Editor'!$B:$B,'Move Editor'!$E:$E,0),acc,XLOOKUP($D578,'Move Editor'!$B:$B,'Move Editor'!$F:$F,100),atk,IF(cat="Physical",FLOOR((FLOOR(((2*XLOOKUP(XLOOKUP($Q578,'Threshold Summary'!$Y:$Y,'Threshold Summary'!$K:$K,""),'Pokemon Editor'!$A:$A,'Pokemon Editor'!$F:$F,0)+31+FLOOR(XLOOKUP($Q578,'Threshold Summary'!$Y:$Y,'Threshold Summary'!$P:$P,"")/4))*XLOOKUP($Q578,'Threshold Summary'!$Y:$Y,'Threshold Summary'!$L:$L,""))/100)+5)*XLOOKUP(XLOOKUP($Q578,'Threshold Summary'!$Y:$Y,'Threshold Summary'!$M:$M,""),'Nature Editor'!$A:$A,'Nature Editor'!$B:$B,1)),FLOOR((FLOOR(((2*XLOOKUP(XLOOKUP($Q578,'Threshold Summary'!$Y:$Y,'Threshold Summary'!$K:$K,""),'Pokemon Editor'!$A:$A,'Pokemon Editor'!$H:$H,0)+31+FLOOR(XLOOKUP($Q578,'Threshold Summary'!$Y:$Y,'Threshold Summary'!$R:$R,"")/4))*XLOOKUP($Q578,'Threshold Summary'!$Y:$Y,'Threshold Summary'!$L:$L,""))/100)+5)*XLOOKUP(XLOOKUP($Q578,'Threshold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Editor'!$E:$E,1))),stab,IF(OR(mtype=XLOOKUP(XLOOKUP($Q578,'Threshold Summary'!$Y:$Y,'Threshold Summary'!$K:$K,""),'Pokemon Editor'!$A:$A,'Pokemon Editor'!$C:$C,""),mtype=XLOOKUP(XLOOKUP($Q578,'Threshold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Chart'!$B$1:$S$1,0)))),base,IF(OR(cat="Status",pow=0),0,FLOOR(FLOOR(FLOOR((2*XLOOKUP($Q578,'Threshold Summary'!$Y:$Y,'Threshold Summary'!$L:$L,"")/5+2)*pow*atk/def)/50)+2)),modifier,stab*eff,AVERAGE(ARRAYFORMULA(FLOOR(base*modifier*SEQUENCE(16,1,85,1)/100)))),0)</f>
        <v/>
      </c>
      <c r="M578" s="3">
        <f>IFERROR(LET(mtype,XLOOKUP($D578,'Move Editor'!$B:$B,'Move Editor'!$C:$C,""),cat,XLOOKUP($D578,'Move Editor'!$B:$B,'Move Editor'!$D:$D,""),pow,XLOOKUP($D578,'Move Editor'!$B:$B,'Move Editor'!$E:$E,0),acc,XLOOKUP($D578,'Move Editor'!$B:$B,'Move Editor'!$F:$F,100),atk,IF(cat="Physical",FLOOR((FLOOR(((2*XLOOKUP(XLOOKUP($Q578,'Threshold Summary'!$Y:$Y,'Threshold Summary'!$K:$K,""),'Pokemon Editor'!$A:$A,'Pokemon Editor'!$F:$F,0)+31+FLOOR(XLOOKUP($Q578,'Threshold Summary'!$Y:$Y,'Threshold Summary'!$P:$P,"")/4))*XLOOKUP($Q578,'Threshold Summary'!$Y:$Y,'Threshold Summary'!$L:$L,""))/100)+5)*XLOOKUP(XLOOKUP($Q578,'Threshold Summary'!$Y:$Y,'Threshold Summary'!$M:$M,""),'Nature Editor'!$A:$A,'Nature Editor'!$B:$B,1)),FLOOR((FLOOR(((2*XLOOKUP(XLOOKUP($Q578,'Threshold Summary'!$Y:$Y,'Threshold Summary'!$K:$K,""),'Pokemon Editor'!$A:$A,'Pokemon Editor'!$H:$H,0)+31+FLOOR(XLOOKUP($Q578,'Threshold Summary'!$Y:$Y,'Threshold Summary'!$R:$R,"")/4))*XLOOKUP($Q578,'Threshold Summary'!$Y:$Y,'Threshold Summary'!$L:$L,""))/100)+5)*XLOOKUP(XLOOKUP($Q578,'Threshold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Editor'!$E:$E,1))),stab,IF(OR(mtype=XLOOKUP(XLOOKUP($Q578,'Threshold Summary'!$Y:$Y,'Threshold Summary'!$K:$K,""),'Pokemon Editor'!$A:$A,'Pokemon Editor'!$C:$C,""),mtype=XLOOKUP(XLOOKUP($Q578,'Threshold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Chart'!$B$1:$S$1,0)))),base,IF(OR(cat="Status",pow=0),0,FLOOR(FLOOR(FLOOR((2*XLOOKUP($Q578,'Threshold Summary'!$Y:$Y,'Threshold Summary'!$L:$L,"")/5+2)*pow*atk/def)/50)+2)),modifier,stab*eff,AVERAGE(ARRAYFORMULA(FLOOR(base*modifier*SEQUENCE(16,1,85,1)/100)))*MIN(1,acc/100)),0)</f>
        <v/>
      </c>
      <c r="N578" s="4">
        <f>IFERROR(LET(mtype,XLOOKUP($D578,'Move Editor'!$B:$B,'Move Editor'!$C:$C,""),cat,XLOOKUP($D578,'Move Editor'!$B:$B,'Move Editor'!$D:$D,""),pow,XLOOKUP($D578,'Move Editor'!$B:$B,'Move Editor'!$E:$E,0),acc,XLOOKUP($D578,'Move Editor'!$B:$B,'Move Editor'!$F:$F,100),atk,IF(cat="Physical",FLOOR((FLOOR(((2*XLOOKUP(XLOOKUP($Q578,'Threshold Summary'!$Y:$Y,'Threshold Summary'!$K:$K,""),'Pokemon Editor'!$A:$A,'Pokemon Editor'!$F:$F,0)+31+FLOOR(XLOOKUP($Q578,'Threshold Summary'!$Y:$Y,'Threshold Summary'!$P:$P,"")/4))*XLOOKUP($Q578,'Threshold Summary'!$Y:$Y,'Threshold Summary'!$L:$L,""))/100)+5)*XLOOKUP(XLOOKUP($Q578,'Threshold Summary'!$Y:$Y,'Threshold Summary'!$M:$M,""),'Nature Editor'!$A:$A,'Nature Editor'!$B:$B,1)),FLOOR((FLOOR(((2*XLOOKUP(XLOOKUP($Q578,'Threshold Summary'!$Y:$Y,'Threshold Summary'!$K:$K,""),'Pokemon Editor'!$A:$A,'Pokemon Editor'!$H:$H,0)+31+FLOOR(XLOOKUP($Q578,'Threshold Summary'!$Y:$Y,'Threshold Summary'!$R:$R,"")/4))*XLOOKUP($Q578,'Threshold Summary'!$Y:$Y,'Threshold Summary'!$L:$L,""))/100)+5)*XLOOKUP(XLOOKUP($Q578,'Threshold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Editor'!$E:$E,1))),stab,IF(OR(mtype=XLOOKUP(XLOOKUP($Q578,'Threshold Summary'!$Y:$Y,'Threshold Summary'!$K:$K,""),'Pokemon Editor'!$A:$A,'Pokemon Editor'!$C:$C,""),mtype=XLOOKUP(XLOOKUP($Q578,'Threshold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Chart'!$B$1:$S$1,0)))),base,IF(OR(cat="Status",pow=0),0,FLOOR(FLOOR(FLOOR((2*XLOOKUP($Q578,'Threshold Summary'!$Y:$Y,'Threshold Summary'!$L:$L,"")/5+2)*pow*atk/def)/50)+2)),modifier,stab*eff,AVERAGE(ARRAYFORMULA(FLOOR(base*modifier*SEQUENCE(16,1,85,1)/100)))/(FLOOR(((2*XLOOKUP('Boss Editor'!$C$4,'Pokemon Editor'!$A:$A,'Pokemon Editor'!$E:$E,0)+31+FLOOR('Boss Editor'!$G$4/4))*'Boss Editor'!$D$4)/100)+'Boss Editor'!$D$4+10)),0)</f>
        <v/>
      </c>
      <c r="O578" s="3">
        <f>IF(N578&gt;=1,"OHKO",IF(N578&gt;=0.5,"2HKO",IF(N578&gt;=0.333,"3HKO",IF(N578&gt;=0.25,"4HKO","5HKO+"))))</f>
        <v/>
      </c>
      <c r="P578" s="3" t="inlineStr">
        <is>
          <t>Live from editable databases</t>
        </is>
      </c>
      <c r="Q578" s="3" t="inlineStr">
        <is>
          <t>SPECIES_FLETCHLING</t>
        </is>
      </c>
      <c r="R578" s="3" t="n">
        <v>1</v>
      </c>
    </row>
    <row r="579">
      <c r="A579" s="3">
        <f>XLOOKUP($Q579,'Threshold Summary'!$Y:$Y,'Threshold Summary'!$A:$A,"")</f>
        <v/>
      </c>
      <c r="B579" s="3">
        <f>XLOOKUP($Q579,'Threshold Summary'!$Y:$Y,'Threshold Summary'!$M:$M,"")</f>
        <v/>
      </c>
      <c r="C579" s="3">
        <f>XLOOKUP($Q579,'Threshold Summary'!$Y:$Y,'Threshold Summary'!$N:$N,"")</f>
        <v/>
      </c>
      <c r="D579" s="3">
        <f>IFERROR(INDEX(FILTER('Learnset Editor'!$D$2:$D,'Learnset Editor'!$A$2:$A=XLOOKUP($Q579,'Threshold Summary'!$Y:$Y,'Threshold Summary'!$K:$K,""),'Learnset Editor'!$C$2:$C&lt;=XLOOKUP($Q579,'Threshold Summary'!$Y:$Y,'Threshold Summary'!$L:$L,"")),$R579),"")</f>
        <v/>
      </c>
      <c r="E579" s="3">
        <f>XLOOKUP(D579,'Move Editor'!$B:$B,'Move Editor'!$C:$C,"")</f>
        <v/>
      </c>
      <c r="F579" s="3">
        <f>XLOOKUP(D579,'Move Editor'!$B:$B,'Move Editor'!$D:$D,"")</f>
        <v/>
      </c>
      <c r="G579" s="3">
        <f>XLOOKUP(D579,'Move Editor'!$B:$B,'Move Editor'!$E:$E,0)</f>
        <v/>
      </c>
      <c r="H579" s="3">
        <f>XLOOKUP(D579,'Move Editor'!$B:$B,'Move Editor'!$F:$F,0)</f>
        <v/>
      </c>
      <c r="I579" s="3">
        <f>(INDEX('Type Chart'!$B:$S,MATCH(E579,'Type Chart'!$A:$A,0),MATCH(XLOOKUP('Boss Editor'!$C$4,'Pokemon Editor'!$A:$A,'Pokemon Editor'!$C:$C,""),'Type Chart'!$B$1:$S$1,0))*IF(XLOOKUP('Boss Editor'!$C$4,'Pokemon Editor'!$A:$A,'Pokemon Editor'!$D:$D,"")="",1,INDEX('Type Chart'!$B:$S,MATCH(E579,'Type Chart'!$A:$A,0),MATCH(XLOOKUP('Boss Editor'!$C$4,'Pokemon Editor'!$A:$A,'Pokemon Editor'!$D:$D,""),'Type Chart'!$B$1:$S$1,0))))</f>
        <v/>
      </c>
      <c r="J579" s="3">
        <f>IFERROR(LET(mtype,XLOOKUP($D579,'Move Editor'!$B:$B,'Move Editor'!$C:$C,""),cat,XLOOKUP($D579,'Move Editor'!$B:$B,'Move Editor'!$D:$D,""),pow,XLOOKUP($D579,'Move Editor'!$B:$B,'Move Editor'!$E:$E,0),acc,XLOOKUP($D579,'Move Editor'!$B:$B,'Move Editor'!$F:$F,100),atk,IF(cat="Physical",FLOOR((FLOOR(((2*XLOOKUP(XLOOKUP($Q579,'Threshold Summary'!$Y:$Y,'Threshold Summary'!$K:$K,""),'Pokemon Editor'!$A:$A,'Pokemon Editor'!$F:$F,0)+31+FLOOR(XLOOKUP($Q579,'Threshold Summary'!$Y:$Y,'Threshold Summary'!$P:$P,"")/4))*XLOOKUP($Q579,'Threshold Summary'!$Y:$Y,'Threshold Summary'!$L:$L,""))/100)+5)*XLOOKUP(XLOOKUP($Q579,'Threshold Summary'!$Y:$Y,'Threshold Summary'!$M:$M,""),'Nature Editor'!$A:$A,'Nature Editor'!$B:$B,1)),FLOOR((FLOOR(((2*XLOOKUP(XLOOKUP($Q579,'Threshold Summary'!$Y:$Y,'Threshold Summary'!$K:$K,""),'Pokemon Editor'!$A:$A,'Pokemon Editor'!$H:$H,0)+31+FLOOR(XLOOKUP($Q579,'Threshold Summary'!$Y:$Y,'Threshold Summary'!$R:$R,"")/4))*XLOOKUP($Q579,'Threshold Summary'!$Y:$Y,'Threshold Summary'!$L:$L,""))/100)+5)*XLOOKUP(XLOOKUP($Q579,'Threshold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Editor'!$E:$E,1))),stab,IF(OR(mtype=XLOOKUP(XLOOKUP($Q579,'Threshold Summary'!$Y:$Y,'Threshold Summary'!$K:$K,""),'Pokemon Editor'!$A:$A,'Pokemon Editor'!$C:$C,""),mtype=XLOOKUP(XLOOKUP($Q579,'Threshold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Chart'!$B$1:$S$1,0)))),base,IF(OR(cat="Status",pow=0),0,FLOOR(FLOOR(FLOOR((2*XLOOKUP($Q579,'Threshold Summary'!$Y:$Y,'Threshold Summary'!$L:$L,"")/5+2)*pow*atk/def)/50)+2)),modifier,stab*eff,FLOOR(base*modifier*0.85)),0)</f>
        <v/>
      </c>
      <c r="K579" s="3">
        <f>IFERROR(LET(mtype,XLOOKUP($D579,'Move Editor'!$B:$B,'Move Editor'!$C:$C,""),cat,XLOOKUP($D579,'Move Editor'!$B:$B,'Move Editor'!$D:$D,""),pow,XLOOKUP($D579,'Move Editor'!$B:$B,'Move Editor'!$E:$E,0),acc,XLOOKUP($D579,'Move Editor'!$B:$B,'Move Editor'!$F:$F,100),atk,IF(cat="Physical",FLOOR((FLOOR(((2*XLOOKUP(XLOOKUP($Q579,'Threshold Summary'!$Y:$Y,'Threshold Summary'!$K:$K,""),'Pokemon Editor'!$A:$A,'Pokemon Editor'!$F:$F,0)+31+FLOOR(XLOOKUP($Q579,'Threshold Summary'!$Y:$Y,'Threshold Summary'!$P:$P,"")/4))*XLOOKUP($Q579,'Threshold Summary'!$Y:$Y,'Threshold Summary'!$L:$L,""))/100)+5)*XLOOKUP(XLOOKUP($Q579,'Threshold Summary'!$Y:$Y,'Threshold Summary'!$M:$M,""),'Nature Editor'!$A:$A,'Nature Editor'!$B:$B,1)),FLOOR((FLOOR(((2*XLOOKUP(XLOOKUP($Q579,'Threshold Summary'!$Y:$Y,'Threshold Summary'!$K:$K,""),'Pokemon Editor'!$A:$A,'Pokemon Editor'!$H:$H,0)+31+FLOOR(XLOOKUP($Q579,'Threshold Summary'!$Y:$Y,'Threshold Summary'!$R:$R,"")/4))*XLOOKUP($Q579,'Threshold Summary'!$Y:$Y,'Threshold Summary'!$L:$L,""))/100)+5)*XLOOKUP(XLOOKUP($Q579,'Threshold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Editor'!$E:$E,1))),stab,IF(OR(mtype=XLOOKUP(XLOOKUP($Q579,'Threshold Summary'!$Y:$Y,'Threshold Summary'!$K:$K,""),'Pokemon Editor'!$A:$A,'Pokemon Editor'!$C:$C,""),mtype=XLOOKUP(XLOOKUP($Q579,'Threshold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Chart'!$B$1:$S$1,0)))),base,IF(OR(cat="Status",pow=0),0,FLOOR(FLOOR(FLOOR((2*XLOOKUP($Q579,'Threshold Summary'!$Y:$Y,'Threshold Summary'!$L:$L,"")/5+2)*pow*atk/def)/50)+2)),modifier,stab*eff,FLOOR(base*modifier)),0)</f>
        <v/>
      </c>
      <c r="L579" s="3">
        <f>IFERROR(LET(mtype,XLOOKUP($D579,'Move Editor'!$B:$B,'Move Editor'!$C:$C,""),cat,XLOOKUP($D579,'Move Editor'!$B:$B,'Move Editor'!$D:$D,""),pow,XLOOKUP($D579,'Move Editor'!$B:$B,'Move Editor'!$E:$E,0),acc,XLOOKUP($D579,'Move Editor'!$B:$B,'Move Editor'!$F:$F,100),atk,IF(cat="Physical",FLOOR((FLOOR(((2*XLOOKUP(XLOOKUP($Q579,'Threshold Summary'!$Y:$Y,'Threshold Summary'!$K:$K,""),'Pokemon Editor'!$A:$A,'Pokemon Editor'!$F:$F,0)+31+FLOOR(XLOOKUP($Q579,'Threshold Summary'!$Y:$Y,'Threshold Summary'!$P:$P,"")/4))*XLOOKUP($Q579,'Threshold Summary'!$Y:$Y,'Threshold Summary'!$L:$L,""))/100)+5)*XLOOKUP(XLOOKUP($Q579,'Threshold Summary'!$Y:$Y,'Threshold Summary'!$M:$M,""),'Nature Editor'!$A:$A,'Nature Editor'!$B:$B,1)),FLOOR((FLOOR(((2*XLOOKUP(XLOOKUP($Q579,'Threshold Summary'!$Y:$Y,'Threshold Summary'!$K:$K,""),'Pokemon Editor'!$A:$A,'Pokemon Editor'!$H:$H,0)+31+FLOOR(XLOOKUP($Q579,'Threshold Summary'!$Y:$Y,'Threshold Summary'!$R:$R,"")/4))*XLOOKUP($Q579,'Threshold Summary'!$Y:$Y,'Threshold Summary'!$L:$L,""))/100)+5)*XLOOKUP(XLOOKUP($Q579,'Threshold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Editor'!$E:$E,1))),stab,IF(OR(mtype=XLOOKUP(XLOOKUP($Q579,'Threshold Summary'!$Y:$Y,'Threshold Summary'!$K:$K,""),'Pokemon Editor'!$A:$A,'Pokemon Editor'!$C:$C,""),mtype=XLOOKUP(XLOOKUP($Q579,'Threshold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Chart'!$B$1:$S$1,0)))),base,IF(OR(cat="Status",pow=0),0,FLOOR(FLOOR(FLOOR((2*XLOOKUP($Q579,'Threshold Summary'!$Y:$Y,'Threshold Summary'!$L:$L,"")/5+2)*pow*atk/def)/50)+2)),modifier,stab*eff,AVERAGE(ARRAYFORMULA(FLOOR(base*modifier*SEQUENCE(16,1,85,1)/100)))),0)</f>
        <v/>
      </c>
      <c r="M579" s="3">
        <f>IFERROR(LET(mtype,XLOOKUP($D579,'Move Editor'!$B:$B,'Move Editor'!$C:$C,""),cat,XLOOKUP($D579,'Move Editor'!$B:$B,'Move Editor'!$D:$D,""),pow,XLOOKUP($D579,'Move Editor'!$B:$B,'Move Editor'!$E:$E,0),acc,XLOOKUP($D579,'Move Editor'!$B:$B,'Move Editor'!$F:$F,100),atk,IF(cat="Physical",FLOOR((FLOOR(((2*XLOOKUP(XLOOKUP($Q579,'Threshold Summary'!$Y:$Y,'Threshold Summary'!$K:$K,""),'Pokemon Editor'!$A:$A,'Pokemon Editor'!$F:$F,0)+31+FLOOR(XLOOKUP($Q579,'Threshold Summary'!$Y:$Y,'Threshold Summary'!$P:$P,"")/4))*XLOOKUP($Q579,'Threshold Summary'!$Y:$Y,'Threshold Summary'!$L:$L,""))/100)+5)*XLOOKUP(XLOOKUP($Q579,'Threshold Summary'!$Y:$Y,'Threshold Summary'!$M:$M,""),'Nature Editor'!$A:$A,'Nature Editor'!$B:$B,1)),FLOOR((FLOOR(((2*XLOOKUP(XLOOKUP($Q579,'Threshold Summary'!$Y:$Y,'Threshold Summary'!$K:$K,""),'Pokemon Editor'!$A:$A,'Pokemon Editor'!$H:$H,0)+31+FLOOR(XLOOKUP($Q579,'Threshold Summary'!$Y:$Y,'Threshold Summary'!$R:$R,"")/4))*XLOOKUP($Q579,'Threshold Summary'!$Y:$Y,'Threshold Summary'!$L:$L,""))/100)+5)*XLOOKUP(XLOOKUP($Q579,'Threshold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Editor'!$E:$E,1))),stab,IF(OR(mtype=XLOOKUP(XLOOKUP($Q579,'Threshold Summary'!$Y:$Y,'Threshold Summary'!$K:$K,""),'Pokemon Editor'!$A:$A,'Pokemon Editor'!$C:$C,""),mtype=XLOOKUP(XLOOKUP($Q579,'Threshold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Chart'!$B$1:$S$1,0)))),base,IF(OR(cat="Status",pow=0),0,FLOOR(FLOOR(FLOOR((2*XLOOKUP($Q579,'Threshold Summary'!$Y:$Y,'Threshold Summary'!$L:$L,"")/5+2)*pow*atk/def)/50)+2)),modifier,stab*eff,AVERAGE(ARRAYFORMULA(FLOOR(base*modifier*SEQUENCE(16,1,85,1)/100)))*MIN(1,acc/100)),0)</f>
        <v/>
      </c>
      <c r="N579" s="4">
        <f>IFERROR(LET(mtype,XLOOKUP($D579,'Move Editor'!$B:$B,'Move Editor'!$C:$C,""),cat,XLOOKUP($D579,'Move Editor'!$B:$B,'Move Editor'!$D:$D,""),pow,XLOOKUP($D579,'Move Editor'!$B:$B,'Move Editor'!$E:$E,0),acc,XLOOKUP($D579,'Move Editor'!$B:$B,'Move Editor'!$F:$F,100),atk,IF(cat="Physical",FLOOR((FLOOR(((2*XLOOKUP(XLOOKUP($Q579,'Threshold Summary'!$Y:$Y,'Threshold Summary'!$K:$K,""),'Pokemon Editor'!$A:$A,'Pokemon Editor'!$F:$F,0)+31+FLOOR(XLOOKUP($Q579,'Threshold Summary'!$Y:$Y,'Threshold Summary'!$P:$P,"")/4))*XLOOKUP($Q579,'Threshold Summary'!$Y:$Y,'Threshold Summary'!$L:$L,""))/100)+5)*XLOOKUP(XLOOKUP($Q579,'Threshold Summary'!$Y:$Y,'Threshold Summary'!$M:$M,""),'Nature Editor'!$A:$A,'Nature Editor'!$B:$B,1)),FLOOR((FLOOR(((2*XLOOKUP(XLOOKUP($Q579,'Threshold Summary'!$Y:$Y,'Threshold Summary'!$K:$K,""),'Pokemon Editor'!$A:$A,'Pokemon Editor'!$H:$H,0)+31+FLOOR(XLOOKUP($Q579,'Threshold Summary'!$Y:$Y,'Threshold Summary'!$R:$R,"")/4))*XLOOKUP($Q579,'Threshold Summary'!$Y:$Y,'Threshold Summary'!$L:$L,""))/100)+5)*XLOOKUP(XLOOKUP($Q579,'Threshold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Editor'!$E:$E,1))),stab,IF(OR(mtype=XLOOKUP(XLOOKUP($Q579,'Threshold Summary'!$Y:$Y,'Threshold Summary'!$K:$K,""),'Pokemon Editor'!$A:$A,'Pokemon Editor'!$C:$C,""),mtype=XLOOKUP(XLOOKUP($Q579,'Threshold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Chart'!$B$1:$S$1,0)))),base,IF(OR(cat="Status",pow=0),0,FLOOR(FLOOR(FLOOR((2*XLOOKUP($Q579,'Threshold Summary'!$Y:$Y,'Threshold Summary'!$L:$L,"")/5+2)*pow*atk/def)/50)+2)),modifier,stab*eff,AVERAGE(ARRAYFORMULA(FLOOR(base*modifier*SEQUENCE(16,1,85,1)/100)))/(FLOOR(((2*XLOOKUP('Boss Editor'!$C$4,'Pokemon Editor'!$A:$A,'Pokemon Editor'!$E:$E,0)+31+FLOOR('Boss Editor'!$G$4/4))*'Boss Editor'!$D$4)/100)+'Boss Editor'!$D$4+10)),0)</f>
        <v/>
      </c>
      <c r="O579" s="3">
        <f>IF(N579&gt;=1,"OHKO",IF(N579&gt;=0.5,"2HKO",IF(N579&gt;=0.333,"3HKO",IF(N579&gt;=0.25,"4HKO","5HKO+"))))</f>
        <v/>
      </c>
      <c r="P579" s="3" t="inlineStr">
        <is>
          <t>Live from editable databases</t>
        </is>
      </c>
      <c r="Q579" s="3" t="inlineStr">
        <is>
          <t>SPECIES_FLETCHLING</t>
        </is>
      </c>
      <c r="R579" s="3" t="n">
        <v>2</v>
      </c>
    </row>
    <row r="580">
      <c r="A580" s="3">
        <f>XLOOKUP($Q580,'Threshold Summary'!$Y:$Y,'Threshold Summary'!$A:$A,"")</f>
        <v/>
      </c>
      <c r="B580" s="3">
        <f>XLOOKUP($Q580,'Threshold Summary'!$Y:$Y,'Threshold Summary'!$M:$M,"")</f>
        <v/>
      </c>
      <c r="C580" s="3">
        <f>XLOOKUP($Q580,'Threshold Summary'!$Y:$Y,'Threshold Summary'!$N:$N,"")</f>
        <v/>
      </c>
      <c r="D580" s="3">
        <f>IFERROR(INDEX(FILTER('Learnset Editor'!$D$2:$D,'Learnset Editor'!$A$2:$A=XLOOKUP($Q580,'Threshold Summary'!$Y:$Y,'Threshold Summary'!$K:$K,""),'Learnset Editor'!$C$2:$C&lt;=XLOOKUP($Q580,'Threshold Summary'!$Y:$Y,'Threshold Summary'!$L:$L,"")),$R580),"")</f>
        <v/>
      </c>
      <c r="E580" s="3">
        <f>XLOOKUP(D580,'Move Editor'!$B:$B,'Move Editor'!$C:$C,"")</f>
        <v/>
      </c>
      <c r="F580" s="3">
        <f>XLOOKUP(D580,'Move Editor'!$B:$B,'Move Editor'!$D:$D,"")</f>
        <v/>
      </c>
      <c r="G580" s="3">
        <f>XLOOKUP(D580,'Move Editor'!$B:$B,'Move Editor'!$E:$E,0)</f>
        <v/>
      </c>
      <c r="H580" s="3">
        <f>XLOOKUP(D580,'Move Editor'!$B:$B,'Move Editor'!$F:$F,0)</f>
        <v/>
      </c>
      <c r="I580" s="3">
        <f>(INDEX('Type Chart'!$B:$S,MATCH(E580,'Type Chart'!$A:$A,0),MATCH(XLOOKUP('Boss Editor'!$C$4,'Pokemon Editor'!$A:$A,'Pokemon Editor'!$C:$C,""),'Type Chart'!$B$1:$S$1,0))*IF(XLOOKUP('Boss Editor'!$C$4,'Pokemon Editor'!$A:$A,'Pokemon Editor'!$D:$D,"")="",1,INDEX('Type Chart'!$B:$S,MATCH(E580,'Type Chart'!$A:$A,0),MATCH(XLOOKUP('Boss Editor'!$C$4,'Pokemon Editor'!$A:$A,'Pokemon Editor'!$D:$D,""),'Type Chart'!$B$1:$S$1,0))))</f>
        <v/>
      </c>
      <c r="J580" s="3">
        <f>IFERROR(LET(mtype,XLOOKUP($D580,'Move Editor'!$B:$B,'Move Editor'!$C:$C,""),cat,XLOOKUP($D580,'Move Editor'!$B:$B,'Move Editor'!$D:$D,""),pow,XLOOKUP($D580,'Move Editor'!$B:$B,'Move Editor'!$E:$E,0),acc,XLOOKUP($D580,'Move Editor'!$B:$B,'Move Editor'!$F:$F,100),atk,IF(cat="Physical",FLOOR((FLOOR(((2*XLOOKUP(XLOOKUP($Q580,'Threshold Summary'!$Y:$Y,'Threshold Summary'!$K:$K,""),'Pokemon Editor'!$A:$A,'Pokemon Editor'!$F:$F,0)+31+FLOOR(XLOOKUP($Q580,'Threshold Summary'!$Y:$Y,'Threshold Summary'!$P:$P,"")/4))*XLOOKUP($Q580,'Threshold Summary'!$Y:$Y,'Threshold Summary'!$L:$L,""))/100)+5)*XLOOKUP(XLOOKUP($Q580,'Threshold Summary'!$Y:$Y,'Threshold Summary'!$M:$M,""),'Nature Editor'!$A:$A,'Nature Editor'!$B:$B,1)),FLOOR((FLOOR(((2*XLOOKUP(XLOOKUP($Q580,'Threshold Summary'!$Y:$Y,'Threshold Summary'!$K:$K,""),'Pokemon Editor'!$A:$A,'Pokemon Editor'!$H:$H,0)+31+FLOOR(XLOOKUP($Q580,'Threshold Summary'!$Y:$Y,'Threshold Summary'!$R:$R,"")/4))*XLOOKUP($Q580,'Threshold Summary'!$Y:$Y,'Threshold Summary'!$L:$L,""))/100)+5)*XLOOKUP(XLOOKUP($Q580,'Threshold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Editor'!$E:$E,1))),stab,IF(OR(mtype=XLOOKUP(XLOOKUP($Q580,'Threshold Summary'!$Y:$Y,'Threshold Summary'!$K:$K,""),'Pokemon Editor'!$A:$A,'Pokemon Editor'!$C:$C,""),mtype=XLOOKUP(XLOOKUP($Q580,'Threshold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Chart'!$B$1:$S$1,0)))),base,IF(OR(cat="Status",pow=0),0,FLOOR(FLOOR(FLOOR((2*XLOOKUP($Q580,'Threshold Summary'!$Y:$Y,'Threshold Summary'!$L:$L,"")/5+2)*pow*atk/def)/50)+2)),modifier,stab*eff,FLOOR(base*modifier*0.85)),0)</f>
        <v/>
      </c>
      <c r="K580" s="3">
        <f>IFERROR(LET(mtype,XLOOKUP($D580,'Move Editor'!$B:$B,'Move Editor'!$C:$C,""),cat,XLOOKUP($D580,'Move Editor'!$B:$B,'Move Editor'!$D:$D,""),pow,XLOOKUP($D580,'Move Editor'!$B:$B,'Move Editor'!$E:$E,0),acc,XLOOKUP($D580,'Move Editor'!$B:$B,'Move Editor'!$F:$F,100),atk,IF(cat="Physical",FLOOR((FLOOR(((2*XLOOKUP(XLOOKUP($Q580,'Threshold Summary'!$Y:$Y,'Threshold Summary'!$K:$K,""),'Pokemon Editor'!$A:$A,'Pokemon Editor'!$F:$F,0)+31+FLOOR(XLOOKUP($Q580,'Threshold Summary'!$Y:$Y,'Threshold Summary'!$P:$P,"")/4))*XLOOKUP($Q580,'Threshold Summary'!$Y:$Y,'Threshold Summary'!$L:$L,""))/100)+5)*XLOOKUP(XLOOKUP($Q580,'Threshold Summary'!$Y:$Y,'Threshold Summary'!$M:$M,""),'Nature Editor'!$A:$A,'Nature Editor'!$B:$B,1)),FLOOR((FLOOR(((2*XLOOKUP(XLOOKUP($Q580,'Threshold Summary'!$Y:$Y,'Threshold Summary'!$K:$K,""),'Pokemon Editor'!$A:$A,'Pokemon Editor'!$H:$H,0)+31+FLOOR(XLOOKUP($Q580,'Threshold Summary'!$Y:$Y,'Threshold Summary'!$R:$R,"")/4))*XLOOKUP($Q580,'Threshold Summary'!$Y:$Y,'Threshold Summary'!$L:$L,""))/100)+5)*XLOOKUP(XLOOKUP($Q580,'Threshold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Editor'!$E:$E,1))),stab,IF(OR(mtype=XLOOKUP(XLOOKUP($Q580,'Threshold Summary'!$Y:$Y,'Threshold Summary'!$K:$K,""),'Pokemon Editor'!$A:$A,'Pokemon Editor'!$C:$C,""),mtype=XLOOKUP(XLOOKUP($Q580,'Threshold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Chart'!$B$1:$S$1,0)))),base,IF(OR(cat="Status",pow=0),0,FLOOR(FLOOR(FLOOR((2*XLOOKUP($Q580,'Threshold Summary'!$Y:$Y,'Threshold Summary'!$L:$L,"")/5+2)*pow*atk/def)/50)+2)),modifier,stab*eff,FLOOR(base*modifier)),0)</f>
        <v/>
      </c>
      <c r="L580" s="3">
        <f>IFERROR(LET(mtype,XLOOKUP($D580,'Move Editor'!$B:$B,'Move Editor'!$C:$C,""),cat,XLOOKUP($D580,'Move Editor'!$B:$B,'Move Editor'!$D:$D,""),pow,XLOOKUP($D580,'Move Editor'!$B:$B,'Move Editor'!$E:$E,0),acc,XLOOKUP($D580,'Move Editor'!$B:$B,'Move Editor'!$F:$F,100),atk,IF(cat="Physical",FLOOR((FLOOR(((2*XLOOKUP(XLOOKUP($Q580,'Threshold Summary'!$Y:$Y,'Threshold Summary'!$K:$K,""),'Pokemon Editor'!$A:$A,'Pokemon Editor'!$F:$F,0)+31+FLOOR(XLOOKUP($Q580,'Threshold Summary'!$Y:$Y,'Threshold Summary'!$P:$P,"")/4))*XLOOKUP($Q580,'Threshold Summary'!$Y:$Y,'Threshold Summary'!$L:$L,""))/100)+5)*XLOOKUP(XLOOKUP($Q580,'Threshold Summary'!$Y:$Y,'Threshold Summary'!$M:$M,""),'Nature Editor'!$A:$A,'Nature Editor'!$B:$B,1)),FLOOR((FLOOR(((2*XLOOKUP(XLOOKUP($Q580,'Threshold Summary'!$Y:$Y,'Threshold Summary'!$K:$K,""),'Pokemon Editor'!$A:$A,'Pokemon Editor'!$H:$H,0)+31+FLOOR(XLOOKUP($Q580,'Threshold Summary'!$Y:$Y,'Threshold Summary'!$R:$R,"")/4))*XLOOKUP($Q580,'Threshold Summary'!$Y:$Y,'Threshold Summary'!$L:$L,""))/100)+5)*XLOOKUP(XLOOKUP($Q580,'Threshold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Editor'!$E:$E,1))),stab,IF(OR(mtype=XLOOKUP(XLOOKUP($Q580,'Threshold Summary'!$Y:$Y,'Threshold Summary'!$K:$K,""),'Pokemon Editor'!$A:$A,'Pokemon Editor'!$C:$C,""),mtype=XLOOKUP(XLOOKUP($Q580,'Threshold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Chart'!$B$1:$S$1,0)))),base,IF(OR(cat="Status",pow=0),0,FLOOR(FLOOR(FLOOR((2*XLOOKUP($Q580,'Threshold Summary'!$Y:$Y,'Threshold Summary'!$L:$L,"")/5+2)*pow*atk/def)/50)+2)),modifier,stab*eff,AVERAGE(ARRAYFORMULA(FLOOR(base*modifier*SEQUENCE(16,1,85,1)/100)))),0)</f>
        <v/>
      </c>
      <c r="M580" s="3">
        <f>IFERROR(LET(mtype,XLOOKUP($D580,'Move Editor'!$B:$B,'Move Editor'!$C:$C,""),cat,XLOOKUP($D580,'Move Editor'!$B:$B,'Move Editor'!$D:$D,""),pow,XLOOKUP($D580,'Move Editor'!$B:$B,'Move Editor'!$E:$E,0),acc,XLOOKUP($D580,'Move Editor'!$B:$B,'Move Editor'!$F:$F,100),atk,IF(cat="Physical",FLOOR((FLOOR(((2*XLOOKUP(XLOOKUP($Q580,'Threshold Summary'!$Y:$Y,'Threshold Summary'!$K:$K,""),'Pokemon Editor'!$A:$A,'Pokemon Editor'!$F:$F,0)+31+FLOOR(XLOOKUP($Q580,'Threshold Summary'!$Y:$Y,'Threshold Summary'!$P:$P,"")/4))*XLOOKUP($Q580,'Threshold Summary'!$Y:$Y,'Threshold Summary'!$L:$L,""))/100)+5)*XLOOKUP(XLOOKUP($Q580,'Threshold Summary'!$Y:$Y,'Threshold Summary'!$M:$M,""),'Nature Editor'!$A:$A,'Nature Editor'!$B:$B,1)),FLOOR((FLOOR(((2*XLOOKUP(XLOOKUP($Q580,'Threshold Summary'!$Y:$Y,'Threshold Summary'!$K:$K,""),'Pokemon Editor'!$A:$A,'Pokemon Editor'!$H:$H,0)+31+FLOOR(XLOOKUP($Q580,'Threshold Summary'!$Y:$Y,'Threshold Summary'!$R:$R,"")/4))*XLOOKUP($Q580,'Threshold Summary'!$Y:$Y,'Threshold Summary'!$L:$L,""))/100)+5)*XLOOKUP(XLOOKUP($Q580,'Threshold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Editor'!$E:$E,1))),stab,IF(OR(mtype=XLOOKUP(XLOOKUP($Q580,'Threshold Summary'!$Y:$Y,'Threshold Summary'!$K:$K,""),'Pokemon Editor'!$A:$A,'Pokemon Editor'!$C:$C,""),mtype=XLOOKUP(XLOOKUP($Q580,'Threshold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Chart'!$B$1:$S$1,0)))),base,IF(OR(cat="Status",pow=0),0,FLOOR(FLOOR(FLOOR((2*XLOOKUP($Q580,'Threshold Summary'!$Y:$Y,'Threshold Summary'!$L:$L,"")/5+2)*pow*atk/def)/50)+2)),modifier,stab*eff,AVERAGE(ARRAYFORMULA(FLOOR(base*modifier*SEQUENCE(16,1,85,1)/100)))*MIN(1,acc/100)),0)</f>
        <v/>
      </c>
      <c r="N580" s="4">
        <f>IFERROR(LET(mtype,XLOOKUP($D580,'Move Editor'!$B:$B,'Move Editor'!$C:$C,""),cat,XLOOKUP($D580,'Move Editor'!$B:$B,'Move Editor'!$D:$D,""),pow,XLOOKUP($D580,'Move Editor'!$B:$B,'Move Editor'!$E:$E,0),acc,XLOOKUP($D580,'Move Editor'!$B:$B,'Move Editor'!$F:$F,100),atk,IF(cat="Physical",FLOOR((FLOOR(((2*XLOOKUP(XLOOKUP($Q580,'Threshold Summary'!$Y:$Y,'Threshold Summary'!$K:$K,""),'Pokemon Editor'!$A:$A,'Pokemon Editor'!$F:$F,0)+31+FLOOR(XLOOKUP($Q580,'Threshold Summary'!$Y:$Y,'Threshold Summary'!$P:$P,"")/4))*XLOOKUP($Q580,'Threshold Summary'!$Y:$Y,'Threshold Summary'!$L:$L,""))/100)+5)*XLOOKUP(XLOOKUP($Q580,'Threshold Summary'!$Y:$Y,'Threshold Summary'!$M:$M,""),'Nature Editor'!$A:$A,'Nature Editor'!$B:$B,1)),FLOOR((FLOOR(((2*XLOOKUP(XLOOKUP($Q580,'Threshold Summary'!$Y:$Y,'Threshold Summary'!$K:$K,""),'Pokemon Editor'!$A:$A,'Pokemon Editor'!$H:$H,0)+31+FLOOR(XLOOKUP($Q580,'Threshold Summary'!$Y:$Y,'Threshold Summary'!$R:$R,"")/4))*XLOOKUP($Q580,'Threshold Summary'!$Y:$Y,'Threshold Summary'!$L:$L,""))/100)+5)*XLOOKUP(XLOOKUP($Q580,'Threshold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Editor'!$E:$E,1))),stab,IF(OR(mtype=XLOOKUP(XLOOKUP($Q580,'Threshold Summary'!$Y:$Y,'Threshold Summary'!$K:$K,""),'Pokemon Editor'!$A:$A,'Pokemon Editor'!$C:$C,""),mtype=XLOOKUP(XLOOKUP($Q580,'Threshold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Chart'!$B$1:$S$1,0)))),base,IF(OR(cat="Status",pow=0),0,FLOOR(FLOOR(FLOOR((2*XLOOKUP($Q580,'Threshold Summary'!$Y:$Y,'Threshold Summary'!$L:$L,"")/5+2)*pow*atk/def)/50)+2)),modifier,stab*eff,AVERAGE(ARRAYFORMULA(FLOOR(base*modifier*SEQUENCE(16,1,85,1)/100)))/(FLOOR(((2*XLOOKUP('Boss Editor'!$C$4,'Pokemon Editor'!$A:$A,'Pokemon Editor'!$E:$E,0)+31+FLOOR('Boss Editor'!$G$4/4))*'Boss Editor'!$D$4)/100)+'Boss Editor'!$D$4+10)),0)</f>
        <v/>
      </c>
      <c r="O580" s="3">
        <f>IF(N580&gt;=1,"OHKO",IF(N580&gt;=0.5,"2HKO",IF(N580&gt;=0.333,"3HKO",IF(N580&gt;=0.25,"4HKO","5HKO+"))))</f>
        <v/>
      </c>
      <c r="P580" s="3" t="inlineStr">
        <is>
          <t>Live from editable databases</t>
        </is>
      </c>
      <c r="Q580" s="3" t="inlineStr">
        <is>
          <t>SPECIES_FLETCHLING</t>
        </is>
      </c>
      <c r="R580" s="3" t="n">
        <v>3</v>
      </c>
    </row>
    <row r="581">
      <c r="A581" s="3">
        <f>XLOOKUP($Q581,'Threshold Summary'!$Y:$Y,'Threshold Summary'!$A:$A,"")</f>
        <v/>
      </c>
      <c r="B581" s="3">
        <f>XLOOKUP($Q581,'Threshold Summary'!$Y:$Y,'Threshold Summary'!$M:$M,"")</f>
        <v/>
      </c>
      <c r="C581" s="3">
        <f>XLOOKUP($Q581,'Threshold Summary'!$Y:$Y,'Threshold Summary'!$N:$N,"")</f>
        <v/>
      </c>
      <c r="D581" s="3">
        <f>IFERROR(INDEX(FILTER('Learnset Editor'!$D$2:$D,'Learnset Editor'!$A$2:$A=XLOOKUP($Q581,'Threshold Summary'!$Y:$Y,'Threshold Summary'!$K:$K,""),'Learnset Editor'!$C$2:$C&lt;=XLOOKUP($Q581,'Threshold Summary'!$Y:$Y,'Threshold Summary'!$L:$L,"")),$R581),"")</f>
        <v/>
      </c>
      <c r="E581" s="3">
        <f>XLOOKUP(D581,'Move Editor'!$B:$B,'Move Editor'!$C:$C,"")</f>
        <v/>
      </c>
      <c r="F581" s="3">
        <f>XLOOKUP(D581,'Move Editor'!$B:$B,'Move Editor'!$D:$D,"")</f>
        <v/>
      </c>
      <c r="G581" s="3">
        <f>XLOOKUP(D581,'Move Editor'!$B:$B,'Move Editor'!$E:$E,0)</f>
        <v/>
      </c>
      <c r="H581" s="3">
        <f>XLOOKUP(D581,'Move Editor'!$B:$B,'Move Editor'!$F:$F,0)</f>
        <v/>
      </c>
      <c r="I581" s="3">
        <f>(INDEX('Type Chart'!$B:$S,MATCH(E581,'Type Chart'!$A:$A,0),MATCH(XLOOKUP('Boss Editor'!$C$4,'Pokemon Editor'!$A:$A,'Pokemon Editor'!$C:$C,""),'Type Chart'!$B$1:$S$1,0))*IF(XLOOKUP('Boss Editor'!$C$4,'Pokemon Editor'!$A:$A,'Pokemon Editor'!$D:$D,"")="",1,INDEX('Type Chart'!$B:$S,MATCH(E581,'Type Chart'!$A:$A,0),MATCH(XLOOKUP('Boss Editor'!$C$4,'Pokemon Editor'!$A:$A,'Pokemon Editor'!$D:$D,""),'Type Chart'!$B$1:$S$1,0))))</f>
        <v/>
      </c>
      <c r="J581" s="3">
        <f>IFERROR(LET(mtype,XLOOKUP($D581,'Move Editor'!$B:$B,'Move Editor'!$C:$C,""),cat,XLOOKUP($D581,'Move Editor'!$B:$B,'Move Editor'!$D:$D,""),pow,XLOOKUP($D581,'Move Editor'!$B:$B,'Move Editor'!$E:$E,0),acc,XLOOKUP($D581,'Move Editor'!$B:$B,'Move Editor'!$F:$F,100),atk,IF(cat="Physical",FLOOR((FLOOR(((2*XLOOKUP(XLOOKUP($Q581,'Threshold Summary'!$Y:$Y,'Threshold Summary'!$K:$K,""),'Pokemon Editor'!$A:$A,'Pokemon Editor'!$F:$F,0)+31+FLOOR(XLOOKUP($Q581,'Threshold Summary'!$Y:$Y,'Threshold Summary'!$P:$P,"")/4))*XLOOKUP($Q581,'Threshold Summary'!$Y:$Y,'Threshold Summary'!$L:$L,""))/100)+5)*XLOOKUP(XLOOKUP($Q581,'Threshold Summary'!$Y:$Y,'Threshold Summary'!$M:$M,""),'Nature Editor'!$A:$A,'Nature Editor'!$B:$B,1)),FLOOR((FLOOR(((2*XLOOKUP(XLOOKUP($Q581,'Threshold Summary'!$Y:$Y,'Threshold Summary'!$K:$K,""),'Pokemon Editor'!$A:$A,'Pokemon Editor'!$H:$H,0)+31+FLOOR(XLOOKUP($Q581,'Threshold Summary'!$Y:$Y,'Threshold Summary'!$R:$R,"")/4))*XLOOKUP($Q581,'Threshold Summary'!$Y:$Y,'Threshold Summary'!$L:$L,""))/100)+5)*XLOOKUP(XLOOKUP($Q581,'Threshold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Editor'!$E:$E,1))),stab,IF(OR(mtype=XLOOKUP(XLOOKUP($Q581,'Threshold Summary'!$Y:$Y,'Threshold Summary'!$K:$K,""),'Pokemon Editor'!$A:$A,'Pokemon Editor'!$C:$C,""),mtype=XLOOKUP(XLOOKUP($Q581,'Threshold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Chart'!$B$1:$S$1,0)))),base,IF(OR(cat="Status",pow=0),0,FLOOR(FLOOR(FLOOR((2*XLOOKUP($Q581,'Threshold Summary'!$Y:$Y,'Threshold Summary'!$L:$L,"")/5+2)*pow*atk/def)/50)+2)),modifier,stab*eff,FLOOR(base*modifier*0.85)),0)</f>
        <v/>
      </c>
      <c r="K581" s="3">
        <f>IFERROR(LET(mtype,XLOOKUP($D581,'Move Editor'!$B:$B,'Move Editor'!$C:$C,""),cat,XLOOKUP($D581,'Move Editor'!$B:$B,'Move Editor'!$D:$D,""),pow,XLOOKUP($D581,'Move Editor'!$B:$B,'Move Editor'!$E:$E,0),acc,XLOOKUP($D581,'Move Editor'!$B:$B,'Move Editor'!$F:$F,100),atk,IF(cat="Physical",FLOOR((FLOOR(((2*XLOOKUP(XLOOKUP($Q581,'Threshold Summary'!$Y:$Y,'Threshold Summary'!$K:$K,""),'Pokemon Editor'!$A:$A,'Pokemon Editor'!$F:$F,0)+31+FLOOR(XLOOKUP($Q581,'Threshold Summary'!$Y:$Y,'Threshold Summary'!$P:$P,"")/4))*XLOOKUP($Q581,'Threshold Summary'!$Y:$Y,'Threshold Summary'!$L:$L,""))/100)+5)*XLOOKUP(XLOOKUP($Q581,'Threshold Summary'!$Y:$Y,'Threshold Summary'!$M:$M,""),'Nature Editor'!$A:$A,'Nature Editor'!$B:$B,1)),FLOOR((FLOOR(((2*XLOOKUP(XLOOKUP($Q581,'Threshold Summary'!$Y:$Y,'Threshold Summary'!$K:$K,""),'Pokemon Editor'!$A:$A,'Pokemon Editor'!$H:$H,0)+31+FLOOR(XLOOKUP($Q581,'Threshold Summary'!$Y:$Y,'Threshold Summary'!$R:$R,"")/4))*XLOOKUP($Q581,'Threshold Summary'!$Y:$Y,'Threshold Summary'!$L:$L,""))/100)+5)*XLOOKUP(XLOOKUP($Q581,'Threshold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Editor'!$E:$E,1))),stab,IF(OR(mtype=XLOOKUP(XLOOKUP($Q581,'Threshold Summary'!$Y:$Y,'Threshold Summary'!$K:$K,""),'Pokemon Editor'!$A:$A,'Pokemon Editor'!$C:$C,""),mtype=XLOOKUP(XLOOKUP($Q581,'Threshold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Chart'!$B$1:$S$1,0)))),base,IF(OR(cat="Status",pow=0),0,FLOOR(FLOOR(FLOOR((2*XLOOKUP($Q581,'Threshold Summary'!$Y:$Y,'Threshold Summary'!$L:$L,"")/5+2)*pow*atk/def)/50)+2)),modifier,stab*eff,FLOOR(base*modifier)),0)</f>
        <v/>
      </c>
      <c r="L581" s="3">
        <f>IFERROR(LET(mtype,XLOOKUP($D581,'Move Editor'!$B:$B,'Move Editor'!$C:$C,""),cat,XLOOKUP($D581,'Move Editor'!$B:$B,'Move Editor'!$D:$D,""),pow,XLOOKUP($D581,'Move Editor'!$B:$B,'Move Editor'!$E:$E,0),acc,XLOOKUP($D581,'Move Editor'!$B:$B,'Move Editor'!$F:$F,100),atk,IF(cat="Physical",FLOOR((FLOOR(((2*XLOOKUP(XLOOKUP($Q581,'Threshold Summary'!$Y:$Y,'Threshold Summary'!$K:$K,""),'Pokemon Editor'!$A:$A,'Pokemon Editor'!$F:$F,0)+31+FLOOR(XLOOKUP($Q581,'Threshold Summary'!$Y:$Y,'Threshold Summary'!$P:$P,"")/4))*XLOOKUP($Q581,'Threshold Summary'!$Y:$Y,'Threshold Summary'!$L:$L,""))/100)+5)*XLOOKUP(XLOOKUP($Q581,'Threshold Summary'!$Y:$Y,'Threshold Summary'!$M:$M,""),'Nature Editor'!$A:$A,'Nature Editor'!$B:$B,1)),FLOOR((FLOOR(((2*XLOOKUP(XLOOKUP($Q581,'Threshold Summary'!$Y:$Y,'Threshold Summary'!$K:$K,""),'Pokemon Editor'!$A:$A,'Pokemon Editor'!$H:$H,0)+31+FLOOR(XLOOKUP($Q581,'Threshold Summary'!$Y:$Y,'Threshold Summary'!$R:$R,"")/4))*XLOOKUP($Q581,'Threshold Summary'!$Y:$Y,'Threshold Summary'!$L:$L,""))/100)+5)*XLOOKUP(XLOOKUP($Q581,'Threshold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Editor'!$E:$E,1))),stab,IF(OR(mtype=XLOOKUP(XLOOKUP($Q581,'Threshold Summary'!$Y:$Y,'Threshold Summary'!$K:$K,""),'Pokemon Editor'!$A:$A,'Pokemon Editor'!$C:$C,""),mtype=XLOOKUP(XLOOKUP($Q581,'Threshold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Chart'!$B$1:$S$1,0)))),base,IF(OR(cat="Status",pow=0),0,FLOOR(FLOOR(FLOOR((2*XLOOKUP($Q581,'Threshold Summary'!$Y:$Y,'Threshold Summary'!$L:$L,"")/5+2)*pow*atk/def)/50)+2)),modifier,stab*eff,AVERAGE(ARRAYFORMULA(FLOOR(base*modifier*SEQUENCE(16,1,85,1)/100)))),0)</f>
        <v/>
      </c>
      <c r="M581" s="3">
        <f>IFERROR(LET(mtype,XLOOKUP($D581,'Move Editor'!$B:$B,'Move Editor'!$C:$C,""),cat,XLOOKUP($D581,'Move Editor'!$B:$B,'Move Editor'!$D:$D,""),pow,XLOOKUP($D581,'Move Editor'!$B:$B,'Move Editor'!$E:$E,0),acc,XLOOKUP($D581,'Move Editor'!$B:$B,'Move Editor'!$F:$F,100),atk,IF(cat="Physical",FLOOR((FLOOR(((2*XLOOKUP(XLOOKUP($Q581,'Threshold Summary'!$Y:$Y,'Threshold Summary'!$K:$K,""),'Pokemon Editor'!$A:$A,'Pokemon Editor'!$F:$F,0)+31+FLOOR(XLOOKUP($Q581,'Threshold Summary'!$Y:$Y,'Threshold Summary'!$P:$P,"")/4))*XLOOKUP($Q581,'Threshold Summary'!$Y:$Y,'Threshold Summary'!$L:$L,""))/100)+5)*XLOOKUP(XLOOKUP($Q581,'Threshold Summary'!$Y:$Y,'Threshold Summary'!$M:$M,""),'Nature Editor'!$A:$A,'Nature Editor'!$B:$B,1)),FLOOR((FLOOR(((2*XLOOKUP(XLOOKUP($Q581,'Threshold Summary'!$Y:$Y,'Threshold Summary'!$K:$K,""),'Pokemon Editor'!$A:$A,'Pokemon Editor'!$H:$H,0)+31+FLOOR(XLOOKUP($Q581,'Threshold Summary'!$Y:$Y,'Threshold Summary'!$R:$R,"")/4))*XLOOKUP($Q581,'Threshold Summary'!$Y:$Y,'Threshold Summary'!$L:$L,""))/100)+5)*XLOOKUP(XLOOKUP($Q581,'Threshold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Editor'!$E:$E,1))),stab,IF(OR(mtype=XLOOKUP(XLOOKUP($Q581,'Threshold Summary'!$Y:$Y,'Threshold Summary'!$K:$K,""),'Pokemon Editor'!$A:$A,'Pokemon Editor'!$C:$C,""),mtype=XLOOKUP(XLOOKUP($Q581,'Threshold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Chart'!$B$1:$S$1,0)))),base,IF(OR(cat="Status",pow=0),0,FLOOR(FLOOR(FLOOR((2*XLOOKUP($Q581,'Threshold Summary'!$Y:$Y,'Threshold Summary'!$L:$L,"")/5+2)*pow*atk/def)/50)+2)),modifier,stab*eff,AVERAGE(ARRAYFORMULA(FLOOR(base*modifier*SEQUENCE(16,1,85,1)/100)))*MIN(1,acc/100)),0)</f>
        <v/>
      </c>
      <c r="N581" s="4">
        <f>IFERROR(LET(mtype,XLOOKUP($D581,'Move Editor'!$B:$B,'Move Editor'!$C:$C,""),cat,XLOOKUP($D581,'Move Editor'!$B:$B,'Move Editor'!$D:$D,""),pow,XLOOKUP($D581,'Move Editor'!$B:$B,'Move Editor'!$E:$E,0),acc,XLOOKUP($D581,'Move Editor'!$B:$B,'Move Editor'!$F:$F,100),atk,IF(cat="Physical",FLOOR((FLOOR(((2*XLOOKUP(XLOOKUP($Q581,'Threshold Summary'!$Y:$Y,'Threshold Summary'!$K:$K,""),'Pokemon Editor'!$A:$A,'Pokemon Editor'!$F:$F,0)+31+FLOOR(XLOOKUP($Q581,'Threshold Summary'!$Y:$Y,'Threshold Summary'!$P:$P,"")/4))*XLOOKUP($Q581,'Threshold Summary'!$Y:$Y,'Threshold Summary'!$L:$L,""))/100)+5)*XLOOKUP(XLOOKUP($Q581,'Threshold Summary'!$Y:$Y,'Threshold Summary'!$M:$M,""),'Nature Editor'!$A:$A,'Nature Editor'!$B:$B,1)),FLOOR((FLOOR(((2*XLOOKUP(XLOOKUP($Q581,'Threshold Summary'!$Y:$Y,'Threshold Summary'!$K:$K,""),'Pokemon Editor'!$A:$A,'Pokemon Editor'!$H:$H,0)+31+FLOOR(XLOOKUP($Q581,'Threshold Summary'!$Y:$Y,'Threshold Summary'!$R:$R,"")/4))*XLOOKUP($Q581,'Threshold Summary'!$Y:$Y,'Threshold Summary'!$L:$L,""))/100)+5)*XLOOKUP(XLOOKUP($Q581,'Threshold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Editor'!$E:$E,1))),stab,IF(OR(mtype=XLOOKUP(XLOOKUP($Q581,'Threshold Summary'!$Y:$Y,'Threshold Summary'!$K:$K,""),'Pokemon Editor'!$A:$A,'Pokemon Editor'!$C:$C,""),mtype=XLOOKUP(XLOOKUP($Q581,'Threshold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Chart'!$B$1:$S$1,0)))),base,IF(OR(cat="Status",pow=0),0,FLOOR(FLOOR(FLOOR((2*XLOOKUP($Q581,'Threshold Summary'!$Y:$Y,'Threshold Summary'!$L:$L,"")/5+2)*pow*atk/def)/50)+2)),modifier,stab*eff,AVERAGE(ARRAYFORMULA(FLOOR(base*modifier*SEQUENCE(16,1,85,1)/100)))/(FLOOR(((2*XLOOKUP('Boss Editor'!$C$4,'Pokemon Editor'!$A:$A,'Pokemon Editor'!$E:$E,0)+31+FLOOR('Boss Editor'!$G$4/4))*'Boss Editor'!$D$4)/100)+'Boss Editor'!$D$4+10)),0)</f>
        <v/>
      </c>
      <c r="O581" s="3">
        <f>IF(N581&gt;=1,"OHKO",IF(N581&gt;=0.5,"2HKO",IF(N581&gt;=0.333,"3HKO",IF(N581&gt;=0.25,"4HKO","5HKO+"))))</f>
        <v/>
      </c>
      <c r="P581" s="3" t="inlineStr">
        <is>
          <t>Live from editable databases</t>
        </is>
      </c>
      <c r="Q581" s="3" t="inlineStr">
        <is>
          <t>SPECIES_FLETCHLING</t>
        </is>
      </c>
      <c r="R581" s="3" t="n">
        <v>4</v>
      </c>
    </row>
    <row r="582">
      <c r="A582" s="3">
        <f>XLOOKUP($Q582,'Threshold Summary'!$Y:$Y,'Threshold Summary'!$A:$A,"")</f>
        <v/>
      </c>
      <c r="B582" s="3">
        <f>XLOOKUP($Q582,'Threshold Summary'!$Y:$Y,'Threshold Summary'!$M:$M,"")</f>
        <v/>
      </c>
      <c r="C582" s="3">
        <f>XLOOKUP($Q582,'Threshold Summary'!$Y:$Y,'Threshold Summary'!$N:$N,"")</f>
        <v/>
      </c>
      <c r="D582" s="3">
        <f>IFERROR(INDEX(FILTER('Learnset Editor'!$D$2:$D,'Learnset Editor'!$A$2:$A=XLOOKUP($Q582,'Threshold Summary'!$Y:$Y,'Threshold Summary'!$K:$K,""),'Learnset Editor'!$C$2:$C&lt;=XLOOKUP($Q582,'Threshold Summary'!$Y:$Y,'Threshold Summary'!$L:$L,"")),$R582),"")</f>
        <v/>
      </c>
      <c r="E582" s="3">
        <f>XLOOKUP(D582,'Move Editor'!$B:$B,'Move Editor'!$C:$C,"")</f>
        <v/>
      </c>
      <c r="F582" s="3">
        <f>XLOOKUP(D582,'Move Editor'!$B:$B,'Move Editor'!$D:$D,"")</f>
        <v/>
      </c>
      <c r="G582" s="3">
        <f>XLOOKUP(D582,'Move Editor'!$B:$B,'Move Editor'!$E:$E,0)</f>
        <v/>
      </c>
      <c r="H582" s="3">
        <f>XLOOKUP(D582,'Move Editor'!$B:$B,'Move Editor'!$F:$F,0)</f>
        <v/>
      </c>
      <c r="I582" s="3">
        <f>(INDEX('Type Chart'!$B:$S,MATCH(E582,'Type Chart'!$A:$A,0),MATCH(XLOOKUP('Boss Editor'!$C$4,'Pokemon Editor'!$A:$A,'Pokemon Editor'!$C:$C,""),'Type Chart'!$B$1:$S$1,0))*IF(XLOOKUP('Boss Editor'!$C$4,'Pokemon Editor'!$A:$A,'Pokemon Editor'!$D:$D,"")="",1,INDEX('Type Chart'!$B:$S,MATCH(E582,'Type Chart'!$A:$A,0),MATCH(XLOOKUP('Boss Editor'!$C$4,'Pokemon Editor'!$A:$A,'Pokemon Editor'!$D:$D,""),'Type Chart'!$B$1:$S$1,0))))</f>
        <v/>
      </c>
      <c r="J582" s="3">
        <f>IFERROR(LET(mtype,XLOOKUP($D582,'Move Editor'!$B:$B,'Move Editor'!$C:$C,""),cat,XLOOKUP($D582,'Move Editor'!$B:$B,'Move Editor'!$D:$D,""),pow,XLOOKUP($D582,'Move Editor'!$B:$B,'Move Editor'!$E:$E,0),acc,XLOOKUP($D582,'Move Editor'!$B:$B,'Move Editor'!$F:$F,100),atk,IF(cat="Physical",FLOOR((FLOOR(((2*XLOOKUP(XLOOKUP($Q582,'Threshold Summary'!$Y:$Y,'Threshold Summary'!$K:$K,""),'Pokemon Editor'!$A:$A,'Pokemon Editor'!$F:$F,0)+31+FLOOR(XLOOKUP($Q582,'Threshold Summary'!$Y:$Y,'Threshold Summary'!$P:$P,"")/4))*XLOOKUP($Q582,'Threshold Summary'!$Y:$Y,'Threshold Summary'!$L:$L,""))/100)+5)*XLOOKUP(XLOOKUP($Q582,'Threshold Summary'!$Y:$Y,'Threshold Summary'!$M:$M,""),'Nature Editor'!$A:$A,'Nature Editor'!$B:$B,1)),FLOOR((FLOOR(((2*XLOOKUP(XLOOKUP($Q582,'Threshold Summary'!$Y:$Y,'Threshold Summary'!$K:$K,""),'Pokemon Editor'!$A:$A,'Pokemon Editor'!$H:$H,0)+31+FLOOR(XLOOKUP($Q582,'Threshold Summary'!$Y:$Y,'Threshold Summary'!$R:$R,"")/4))*XLOOKUP($Q582,'Threshold Summary'!$Y:$Y,'Threshold Summary'!$L:$L,""))/100)+5)*XLOOKUP(XLOOKUP($Q582,'Threshold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Editor'!$E:$E,1))),stab,IF(OR(mtype=XLOOKUP(XLOOKUP($Q582,'Threshold Summary'!$Y:$Y,'Threshold Summary'!$K:$K,""),'Pokemon Editor'!$A:$A,'Pokemon Editor'!$C:$C,""),mtype=XLOOKUP(XLOOKUP($Q582,'Threshold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Chart'!$B$1:$S$1,0)))),base,IF(OR(cat="Status",pow=0),0,FLOOR(FLOOR(FLOOR((2*XLOOKUP($Q582,'Threshold Summary'!$Y:$Y,'Threshold Summary'!$L:$L,"")/5+2)*pow*atk/def)/50)+2)),modifier,stab*eff,FLOOR(base*modifier*0.85)),0)</f>
        <v/>
      </c>
      <c r="K582" s="3">
        <f>IFERROR(LET(mtype,XLOOKUP($D582,'Move Editor'!$B:$B,'Move Editor'!$C:$C,""),cat,XLOOKUP($D582,'Move Editor'!$B:$B,'Move Editor'!$D:$D,""),pow,XLOOKUP($D582,'Move Editor'!$B:$B,'Move Editor'!$E:$E,0),acc,XLOOKUP($D582,'Move Editor'!$B:$B,'Move Editor'!$F:$F,100),atk,IF(cat="Physical",FLOOR((FLOOR(((2*XLOOKUP(XLOOKUP($Q582,'Threshold Summary'!$Y:$Y,'Threshold Summary'!$K:$K,""),'Pokemon Editor'!$A:$A,'Pokemon Editor'!$F:$F,0)+31+FLOOR(XLOOKUP($Q582,'Threshold Summary'!$Y:$Y,'Threshold Summary'!$P:$P,"")/4))*XLOOKUP($Q582,'Threshold Summary'!$Y:$Y,'Threshold Summary'!$L:$L,""))/100)+5)*XLOOKUP(XLOOKUP($Q582,'Threshold Summary'!$Y:$Y,'Threshold Summary'!$M:$M,""),'Nature Editor'!$A:$A,'Nature Editor'!$B:$B,1)),FLOOR((FLOOR(((2*XLOOKUP(XLOOKUP($Q582,'Threshold Summary'!$Y:$Y,'Threshold Summary'!$K:$K,""),'Pokemon Editor'!$A:$A,'Pokemon Editor'!$H:$H,0)+31+FLOOR(XLOOKUP($Q582,'Threshold Summary'!$Y:$Y,'Threshold Summary'!$R:$R,"")/4))*XLOOKUP($Q582,'Threshold Summary'!$Y:$Y,'Threshold Summary'!$L:$L,""))/100)+5)*XLOOKUP(XLOOKUP($Q582,'Threshold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Editor'!$E:$E,1))),stab,IF(OR(mtype=XLOOKUP(XLOOKUP($Q582,'Threshold Summary'!$Y:$Y,'Threshold Summary'!$K:$K,""),'Pokemon Editor'!$A:$A,'Pokemon Editor'!$C:$C,""),mtype=XLOOKUP(XLOOKUP($Q582,'Threshold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Chart'!$B$1:$S$1,0)))),base,IF(OR(cat="Status",pow=0),0,FLOOR(FLOOR(FLOOR((2*XLOOKUP($Q582,'Threshold Summary'!$Y:$Y,'Threshold Summary'!$L:$L,"")/5+2)*pow*atk/def)/50)+2)),modifier,stab*eff,FLOOR(base*modifier)),0)</f>
        <v/>
      </c>
      <c r="L582" s="3">
        <f>IFERROR(LET(mtype,XLOOKUP($D582,'Move Editor'!$B:$B,'Move Editor'!$C:$C,""),cat,XLOOKUP($D582,'Move Editor'!$B:$B,'Move Editor'!$D:$D,""),pow,XLOOKUP($D582,'Move Editor'!$B:$B,'Move Editor'!$E:$E,0),acc,XLOOKUP($D582,'Move Editor'!$B:$B,'Move Editor'!$F:$F,100),atk,IF(cat="Physical",FLOOR((FLOOR(((2*XLOOKUP(XLOOKUP($Q582,'Threshold Summary'!$Y:$Y,'Threshold Summary'!$K:$K,""),'Pokemon Editor'!$A:$A,'Pokemon Editor'!$F:$F,0)+31+FLOOR(XLOOKUP($Q582,'Threshold Summary'!$Y:$Y,'Threshold Summary'!$P:$P,"")/4))*XLOOKUP($Q582,'Threshold Summary'!$Y:$Y,'Threshold Summary'!$L:$L,""))/100)+5)*XLOOKUP(XLOOKUP($Q582,'Threshold Summary'!$Y:$Y,'Threshold Summary'!$M:$M,""),'Nature Editor'!$A:$A,'Nature Editor'!$B:$B,1)),FLOOR((FLOOR(((2*XLOOKUP(XLOOKUP($Q582,'Threshold Summary'!$Y:$Y,'Threshold Summary'!$K:$K,""),'Pokemon Editor'!$A:$A,'Pokemon Editor'!$H:$H,0)+31+FLOOR(XLOOKUP($Q582,'Threshold Summary'!$Y:$Y,'Threshold Summary'!$R:$R,"")/4))*XLOOKUP($Q582,'Threshold Summary'!$Y:$Y,'Threshold Summary'!$L:$L,""))/100)+5)*XLOOKUP(XLOOKUP($Q582,'Threshold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Editor'!$E:$E,1))),stab,IF(OR(mtype=XLOOKUP(XLOOKUP($Q582,'Threshold Summary'!$Y:$Y,'Threshold Summary'!$K:$K,""),'Pokemon Editor'!$A:$A,'Pokemon Editor'!$C:$C,""),mtype=XLOOKUP(XLOOKUP($Q582,'Threshold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Chart'!$B$1:$S$1,0)))),base,IF(OR(cat="Status",pow=0),0,FLOOR(FLOOR(FLOOR((2*XLOOKUP($Q582,'Threshold Summary'!$Y:$Y,'Threshold Summary'!$L:$L,"")/5+2)*pow*atk/def)/50)+2)),modifier,stab*eff,AVERAGE(ARRAYFORMULA(FLOOR(base*modifier*SEQUENCE(16,1,85,1)/100)))),0)</f>
        <v/>
      </c>
      <c r="M582" s="3">
        <f>IFERROR(LET(mtype,XLOOKUP($D582,'Move Editor'!$B:$B,'Move Editor'!$C:$C,""),cat,XLOOKUP($D582,'Move Editor'!$B:$B,'Move Editor'!$D:$D,""),pow,XLOOKUP($D582,'Move Editor'!$B:$B,'Move Editor'!$E:$E,0),acc,XLOOKUP($D582,'Move Editor'!$B:$B,'Move Editor'!$F:$F,100),atk,IF(cat="Physical",FLOOR((FLOOR(((2*XLOOKUP(XLOOKUP($Q582,'Threshold Summary'!$Y:$Y,'Threshold Summary'!$K:$K,""),'Pokemon Editor'!$A:$A,'Pokemon Editor'!$F:$F,0)+31+FLOOR(XLOOKUP($Q582,'Threshold Summary'!$Y:$Y,'Threshold Summary'!$P:$P,"")/4))*XLOOKUP($Q582,'Threshold Summary'!$Y:$Y,'Threshold Summary'!$L:$L,""))/100)+5)*XLOOKUP(XLOOKUP($Q582,'Threshold Summary'!$Y:$Y,'Threshold Summary'!$M:$M,""),'Nature Editor'!$A:$A,'Nature Editor'!$B:$B,1)),FLOOR((FLOOR(((2*XLOOKUP(XLOOKUP($Q582,'Threshold Summary'!$Y:$Y,'Threshold Summary'!$K:$K,""),'Pokemon Editor'!$A:$A,'Pokemon Editor'!$H:$H,0)+31+FLOOR(XLOOKUP($Q582,'Threshold Summary'!$Y:$Y,'Threshold Summary'!$R:$R,"")/4))*XLOOKUP($Q582,'Threshold Summary'!$Y:$Y,'Threshold Summary'!$L:$L,""))/100)+5)*XLOOKUP(XLOOKUP($Q582,'Threshold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Editor'!$E:$E,1))),stab,IF(OR(mtype=XLOOKUP(XLOOKUP($Q582,'Threshold Summary'!$Y:$Y,'Threshold Summary'!$K:$K,""),'Pokemon Editor'!$A:$A,'Pokemon Editor'!$C:$C,""),mtype=XLOOKUP(XLOOKUP($Q582,'Threshold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Chart'!$B$1:$S$1,0)))),base,IF(OR(cat="Status",pow=0),0,FLOOR(FLOOR(FLOOR((2*XLOOKUP($Q582,'Threshold Summary'!$Y:$Y,'Threshold Summary'!$L:$L,"")/5+2)*pow*atk/def)/50)+2)),modifier,stab*eff,AVERAGE(ARRAYFORMULA(FLOOR(base*modifier*SEQUENCE(16,1,85,1)/100)))*MIN(1,acc/100)),0)</f>
        <v/>
      </c>
      <c r="N582" s="4">
        <f>IFERROR(LET(mtype,XLOOKUP($D582,'Move Editor'!$B:$B,'Move Editor'!$C:$C,""),cat,XLOOKUP($D582,'Move Editor'!$B:$B,'Move Editor'!$D:$D,""),pow,XLOOKUP($D582,'Move Editor'!$B:$B,'Move Editor'!$E:$E,0),acc,XLOOKUP($D582,'Move Editor'!$B:$B,'Move Editor'!$F:$F,100),atk,IF(cat="Physical",FLOOR((FLOOR(((2*XLOOKUP(XLOOKUP($Q582,'Threshold Summary'!$Y:$Y,'Threshold Summary'!$K:$K,""),'Pokemon Editor'!$A:$A,'Pokemon Editor'!$F:$F,0)+31+FLOOR(XLOOKUP($Q582,'Threshold Summary'!$Y:$Y,'Threshold Summary'!$P:$P,"")/4))*XLOOKUP($Q582,'Threshold Summary'!$Y:$Y,'Threshold Summary'!$L:$L,""))/100)+5)*XLOOKUP(XLOOKUP($Q582,'Threshold Summary'!$Y:$Y,'Threshold Summary'!$M:$M,""),'Nature Editor'!$A:$A,'Nature Editor'!$B:$B,1)),FLOOR((FLOOR(((2*XLOOKUP(XLOOKUP($Q582,'Threshold Summary'!$Y:$Y,'Threshold Summary'!$K:$K,""),'Pokemon Editor'!$A:$A,'Pokemon Editor'!$H:$H,0)+31+FLOOR(XLOOKUP($Q582,'Threshold Summary'!$Y:$Y,'Threshold Summary'!$R:$R,"")/4))*XLOOKUP($Q582,'Threshold Summary'!$Y:$Y,'Threshold Summary'!$L:$L,""))/100)+5)*XLOOKUP(XLOOKUP($Q582,'Threshold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Editor'!$E:$E,1))),stab,IF(OR(mtype=XLOOKUP(XLOOKUP($Q582,'Threshold Summary'!$Y:$Y,'Threshold Summary'!$K:$K,""),'Pokemon Editor'!$A:$A,'Pokemon Editor'!$C:$C,""),mtype=XLOOKUP(XLOOKUP($Q582,'Threshold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Chart'!$B$1:$S$1,0)))),base,IF(OR(cat="Status",pow=0),0,FLOOR(FLOOR(FLOOR((2*XLOOKUP($Q582,'Threshold Summary'!$Y:$Y,'Threshold Summary'!$L:$L,"")/5+2)*pow*atk/def)/50)+2)),modifier,stab*eff,AVERAGE(ARRAYFORMULA(FLOOR(base*modifier*SEQUENCE(16,1,85,1)/100)))/(FLOOR(((2*XLOOKUP('Boss Editor'!$C$4,'Pokemon Editor'!$A:$A,'Pokemon Editor'!$E:$E,0)+31+FLOOR('Boss Editor'!$G$4/4))*'Boss Editor'!$D$4)/100)+'Boss Editor'!$D$4+10)),0)</f>
        <v/>
      </c>
      <c r="O582" s="3">
        <f>IF(N582&gt;=1,"OHKO",IF(N582&gt;=0.5,"2HKO",IF(N582&gt;=0.333,"3HKO",IF(N582&gt;=0.25,"4HKO","5HKO+"))))</f>
        <v/>
      </c>
      <c r="P582" s="3" t="inlineStr">
        <is>
          <t>Live from editable databases</t>
        </is>
      </c>
      <c r="Q582" s="3" t="inlineStr">
        <is>
          <t>SPECIES_FLETCHLING</t>
        </is>
      </c>
      <c r="R582" s="3" t="n">
        <v>5</v>
      </c>
    </row>
    <row r="583">
      <c r="A583" s="3">
        <f>XLOOKUP($Q583,'Threshold Summary'!$Y:$Y,'Threshold Summary'!$A:$A,"")</f>
        <v/>
      </c>
      <c r="B583" s="3">
        <f>XLOOKUP($Q583,'Threshold Summary'!$Y:$Y,'Threshold Summary'!$M:$M,"")</f>
        <v/>
      </c>
      <c r="C583" s="3">
        <f>XLOOKUP($Q583,'Threshold Summary'!$Y:$Y,'Threshold Summary'!$N:$N,"")</f>
        <v/>
      </c>
      <c r="D583" s="3">
        <f>IFERROR(INDEX(FILTER('Learnset Editor'!$D$2:$D,'Learnset Editor'!$A$2:$A=XLOOKUP($Q583,'Threshold Summary'!$Y:$Y,'Threshold Summary'!$K:$K,""),'Learnset Editor'!$C$2:$C&lt;=XLOOKUP($Q583,'Threshold Summary'!$Y:$Y,'Threshold Summary'!$L:$L,"")),$R583),"")</f>
        <v/>
      </c>
      <c r="E583" s="3">
        <f>XLOOKUP(D583,'Move Editor'!$B:$B,'Move Editor'!$C:$C,"")</f>
        <v/>
      </c>
      <c r="F583" s="3">
        <f>XLOOKUP(D583,'Move Editor'!$B:$B,'Move Editor'!$D:$D,"")</f>
        <v/>
      </c>
      <c r="G583" s="3">
        <f>XLOOKUP(D583,'Move Editor'!$B:$B,'Move Editor'!$E:$E,0)</f>
        <v/>
      </c>
      <c r="H583" s="3">
        <f>XLOOKUP(D583,'Move Editor'!$B:$B,'Move Editor'!$F:$F,0)</f>
        <v/>
      </c>
      <c r="I583" s="3">
        <f>(INDEX('Type Chart'!$B:$S,MATCH(E583,'Type Chart'!$A:$A,0),MATCH(XLOOKUP('Boss Editor'!$C$4,'Pokemon Editor'!$A:$A,'Pokemon Editor'!$C:$C,""),'Type Chart'!$B$1:$S$1,0))*IF(XLOOKUP('Boss Editor'!$C$4,'Pokemon Editor'!$A:$A,'Pokemon Editor'!$D:$D,"")="",1,INDEX('Type Chart'!$B:$S,MATCH(E583,'Type Chart'!$A:$A,0),MATCH(XLOOKUP('Boss Editor'!$C$4,'Pokemon Editor'!$A:$A,'Pokemon Editor'!$D:$D,""),'Type Chart'!$B$1:$S$1,0))))</f>
        <v/>
      </c>
      <c r="J583" s="3">
        <f>IFERROR(LET(mtype,XLOOKUP($D583,'Move Editor'!$B:$B,'Move Editor'!$C:$C,""),cat,XLOOKUP($D583,'Move Editor'!$B:$B,'Move Editor'!$D:$D,""),pow,XLOOKUP($D583,'Move Editor'!$B:$B,'Move Editor'!$E:$E,0),acc,XLOOKUP($D583,'Move Editor'!$B:$B,'Move Editor'!$F:$F,100),atk,IF(cat="Physical",FLOOR((FLOOR(((2*XLOOKUP(XLOOKUP($Q583,'Threshold Summary'!$Y:$Y,'Threshold Summary'!$K:$K,""),'Pokemon Editor'!$A:$A,'Pokemon Editor'!$F:$F,0)+31+FLOOR(XLOOKUP($Q583,'Threshold Summary'!$Y:$Y,'Threshold Summary'!$P:$P,"")/4))*XLOOKUP($Q583,'Threshold Summary'!$Y:$Y,'Threshold Summary'!$L:$L,""))/100)+5)*XLOOKUP(XLOOKUP($Q583,'Threshold Summary'!$Y:$Y,'Threshold Summary'!$M:$M,""),'Nature Editor'!$A:$A,'Nature Editor'!$B:$B,1)),FLOOR((FLOOR(((2*XLOOKUP(XLOOKUP($Q583,'Threshold Summary'!$Y:$Y,'Threshold Summary'!$K:$K,""),'Pokemon Editor'!$A:$A,'Pokemon Editor'!$H:$H,0)+31+FLOOR(XLOOKUP($Q583,'Threshold Summary'!$Y:$Y,'Threshold Summary'!$R:$R,"")/4))*XLOOKUP($Q583,'Threshold Summary'!$Y:$Y,'Threshold Summary'!$L:$L,""))/100)+5)*XLOOKUP(XLOOKUP($Q583,'Threshold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Editor'!$E:$E,1))),stab,IF(OR(mtype=XLOOKUP(XLOOKUP($Q583,'Threshold Summary'!$Y:$Y,'Threshold Summary'!$K:$K,""),'Pokemon Editor'!$A:$A,'Pokemon Editor'!$C:$C,""),mtype=XLOOKUP(XLOOKUP($Q583,'Threshold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Chart'!$B$1:$S$1,0)))),base,IF(OR(cat="Status",pow=0),0,FLOOR(FLOOR(FLOOR((2*XLOOKUP($Q583,'Threshold Summary'!$Y:$Y,'Threshold Summary'!$L:$L,"")/5+2)*pow*atk/def)/50)+2)),modifier,stab*eff,FLOOR(base*modifier*0.85)),0)</f>
        <v/>
      </c>
      <c r="K583" s="3">
        <f>IFERROR(LET(mtype,XLOOKUP($D583,'Move Editor'!$B:$B,'Move Editor'!$C:$C,""),cat,XLOOKUP($D583,'Move Editor'!$B:$B,'Move Editor'!$D:$D,""),pow,XLOOKUP($D583,'Move Editor'!$B:$B,'Move Editor'!$E:$E,0),acc,XLOOKUP($D583,'Move Editor'!$B:$B,'Move Editor'!$F:$F,100),atk,IF(cat="Physical",FLOOR((FLOOR(((2*XLOOKUP(XLOOKUP($Q583,'Threshold Summary'!$Y:$Y,'Threshold Summary'!$K:$K,""),'Pokemon Editor'!$A:$A,'Pokemon Editor'!$F:$F,0)+31+FLOOR(XLOOKUP($Q583,'Threshold Summary'!$Y:$Y,'Threshold Summary'!$P:$P,"")/4))*XLOOKUP($Q583,'Threshold Summary'!$Y:$Y,'Threshold Summary'!$L:$L,""))/100)+5)*XLOOKUP(XLOOKUP($Q583,'Threshold Summary'!$Y:$Y,'Threshold Summary'!$M:$M,""),'Nature Editor'!$A:$A,'Nature Editor'!$B:$B,1)),FLOOR((FLOOR(((2*XLOOKUP(XLOOKUP($Q583,'Threshold Summary'!$Y:$Y,'Threshold Summary'!$K:$K,""),'Pokemon Editor'!$A:$A,'Pokemon Editor'!$H:$H,0)+31+FLOOR(XLOOKUP($Q583,'Threshold Summary'!$Y:$Y,'Threshold Summary'!$R:$R,"")/4))*XLOOKUP($Q583,'Threshold Summary'!$Y:$Y,'Threshold Summary'!$L:$L,""))/100)+5)*XLOOKUP(XLOOKUP($Q583,'Threshold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Editor'!$E:$E,1))),stab,IF(OR(mtype=XLOOKUP(XLOOKUP($Q583,'Threshold Summary'!$Y:$Y,'Threshold Summary'!$K:$K,""),'Pokemon Editor'!$A:$A,'Pokemon Editor'!$C:$C,""),mtype=XLOOKUP(XLOOKUP($Q583,'Threshold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Chart'!$B$1:$S$1,0)))),base,IF(OR(cat="Status",pow=0),0,FLOOR(FLOOR(FLOOR((2*XLOOKUP($Q583,'Threshold Summary'!$Y:$Y,'Threshold Summary'!$L:$L,"")/5+2)*pow*atk/def)/50)+2)),modifier,stab*eff,FLOOR(base*modifier)),0)</f>
        <v/>
      </c>
      <c r="L583" s="3">
        <f>IFERROR(LET(mtype,XLOOKUP($D583,'Move Editor'!$B:$B,'Move Editor'!$C:$C,""),cat,XLOOKUP($D583,'Move Editor'!$B:$B,'Move Editor'!$D:$D,""),pow,XLOOKUP($D583,'Move Editor'!$B:$B,'Move Editor'!$E:$E,0),acc,XLOOKUP($D583,'Move Editor'!$B:$B,'Move Editor'!$F:$F,100),atk,IF(cat="Physical",FLOOR((FLOOR(((2*XLOOKUP(XLOOKUP($Q583,'Threshold Summary'!$Y:$Y,'Threshold Summary'!$K:$K,""),'Pokemon Editor'!$A:$A,'Pokemon Editor'!$F:$F,0)+31+FLOOR(XLOOKUP($Q583,'Threshold Summary'!$Y:$Y,'Threshold Summary'!$P:$P,"")/4))*XLOOKUP($Q583,'Threshold Summary'!$Y:$Y,'Threshold Summary'!$L:$L,""))/100)+5)*XLOOKUP(XLOOKUP($Q583,'Threshold Summary'!$Y:$Y,'Threshold Summary'!$M:$M,""),'Nature Editor'!$A:$A,'Nature Editor'!$B:$B,1)),FLOOR((FLOOR(((2*XLOOKUP(XLOOKUP($Q583,'Threshold Summary'!$Y:$Y,'Threshold Summary'!$K:$K,""),'Pokemon Editor'!$A:$A,'Pokemon Editor'!$H:$H,0)+31+FLOOR(XLOOKUP($Q583,'Threshold Summary'!$Y:$Y,'Threshold Summary'!$R:$R,"")/4))*XLOOKUP($Q583,'Threshold Summary'!$Y:$Y,'Threshold Summary'!$L:$L,""))/100)+5)*XLOOKUP(XLOOKUP($Q583,'Threshold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Editor'!$E:$E,1))),stab,IF(OR(mtype=XLOOKUP(XLOOKUP($Q583,'Threshold Summary'!$Y:$Y,'Threshold Summary'!$K:$K,""),'Pokemon Editor'!$A:$A,'Pokemon Editor'!$C:$C,""),mtype=XLOOKUP(XLOOKUP($Q583,'Threshold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Chart'!$B$1:$S$1,0)))),base,IF(OR(cat="Status",pow=0),0,FLOOR(FLOOR(FLOOR((2*XLOOKUP($Q583,'Threshold Summary'!$Y:$Y,'Threshold Summary'!$L:$L,"")/5+2)*pow*atk/def)/50)+2)),modifier,stab*eff,AVERAGE(ARRAYFORMULA(FLOOR(base*modifier*SEQUENCE(16,1,85,1)/100)))),0)</f>
        <v/>
      </c>
      <c r="M583" s="3">
        <f>IFERROR(LET(mtype,XLOOKUP($D583,'Move Editor'!$B:$B,'Move Editor'!$C:$C,""),cat,XLOOKUP($D583,'Move Editor'!$B:$B,'Move Editor'!$D:$D,""),pow,XLOOKUP($D583,'Move Editor'!$B:$B,'Move Editor'!$E:$E,0),acc,XLOOKUP($D583,'Move Editor'!$B:$B,'Move Editor'!$F:$F,100),atk,IF(cat="Physical",FLOOR((FLOOR(((2*XLOOKUP(XLOOKUP($Q583,'Threshold Summary'!$Y:$Y,'Threshold Summary'!$K:$K,""),'Pokemon Editor'!$A:$A,'Pokemon Editor'!$F:$F,0)+31+FLOOR(XLOOKUP($Q583,'Threshold Summary'!$Y:$Y,'Threshold Summary'!$P:$P,"")/4))*XLOOKUP($Q583,'Threshold Summary'!$Y:$Y,'Threshold Summary'!$L:$L,""))/100)+5)*XLOOKUP(XLOOKUP($Q583,'Threshold Summary'!$Y:$Y,'Threshold Summary'!$M:$M,""),'Nature Editor'!$A:$A,'Nature Editor'!$B:$B,1)),FLOOR((FLOOR(((2*XLOOKUP(XLOOKUP($Q583,'Threshold Summary'!$Y:$Y,'Threshold Summary'!$K:$K,""),'Pokemon Editor'!$A:$A,'Pokemon Editor'!$H:$H,0)+31+FLOOR(XLOOKUP($Q583,'Threshold Summary'!$Y:$Y,'Threshold Summary'!$R:$R,"")/4))*XLOOKUP($Q583,'Threshold Summary'!$Y:$Y,'Threshold Summary'!$L:$L,""))/100)+5)*XLOOKUP(XLOOKUP($Q583,'Threshold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Editor'!$E:$E,1))),stab,IF(OR(mtype=XLOOKUP(XLOOKUP($Q583,'Threshold Summary'!$Y:$Y,'Threshold Summary'!$K:$K,""),'Pokemon Editor'!$A:$A,'Pokemon Editor'!$C:$C,""),mtype=XLOOKUP(XLOOKUP($Q583,'Threshold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Chart'!$B$1:$S$1,0)))),base,IF(OR(cat="Status",pow=0),0,FLOOR(FLOOR(FLOOR((2*XLOOKUP($Q583,'Threshold Summary'!$Y:$Y,'Threshold Summary'!$L:$L,"")/5+2)*pow*atk/def)/50)+2)),modifier,stab*eff,AVERAGE(ARRAYFORMULA(FLOOR(base*modifier*SEQUENCE(16,1,85,1)/100)))*MIN(1,acc/100)),0)</f>
        <v/>
      </c>
      <c r="N583" s="4">
        <f>IFERROR(LET(mtype,XLOOKUP($D583,'Move Editor'!$B:$B,'Move Editor'!$C:$C,""),cat,XLOOKUP($D583,'Move Editor'!$B:$B,'Move Editor'!$D:$D,""),pow,XLOOKUP($D583,'Move Editor'!$B:$B,'Move Editor'!$E:$E,0),acc,XLOOKUP($D583,'Move Editor'!$B:$B,'Move Editor'!$F:$F,100),atk,IF(cat="Physical",FLOOR((FLOOR(((2*XLOOKUP(XLOOKUP($Q583,'Threshold Summary'!$Y:$Y,'Threshold Summary'!$K:$K,""),'Pokemon Editor'!$A:$A,'Pokemon Editor'!$F:$F,0)+31+FLOOR(XLOOKUP($Q583,'Threshold Summary'!$Y:$Y,'Threshold Summary'!$P:$P,"")/4))*XLOOKUP($Q583,'Threshold Summary'!$Y:$Y,'Threshold Summary'!$L:$L,""))/100)+5)*XLOOKUP(XLOOKUP($Q583,'Threshold Summary'!$Y:$Y,'Threshold Summary'!$M:$M,""),'Nature Editor'!$A:$A,'Nature Editor'!$B:$B,1)),FLOOR((FLOOR(((2*XLOOKUP(XLOOKUP($Q583,'Threshold Summary'!$Y:$Y,'Threshold Summary'!$K:$K,""),'Pokemon Editor'!$A:$A,'Pokemon Editor'!$H:$H,0)+31+FLOOR(XLOOKUP($Q583,'Threshold Summary'!$Y:$Y,'Threshold Summary'!$R:$R,"")/4))*XLOOKUP($Q583,'Threshold Summary'!$Y:$Y,'Threshold Summary'!$L:$L,""))/100)+5)*XLOOKUP(XLOOKUP($Q583,'Threshold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Editor'!$E:$E,1))),stab,IF(OR(mtype=XLOOKUP(XLOOKUP($Q583,'Threshold Summary'!$Y:$Y,'Threshold Summary'!$K:$K,""),'Pokemon Editor'!$A:$A,'Pokemon Editor'!$C:$C,""),mtype=XLOOKUP(XLOOKUP($Q583,'Threshold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Chart'!$B$1:$S$1,0)))),base,IF(OR(cat="Status",pow=0),0,FLOOR(FLOOR(FLOOR((2*XLOOKUP($Q583,'Threshold Summary'!$Y:$Y,'Threshold Summary'!$L:$L,"")/5+2)*pow*atk/def)/50)+2)),modifier,stab*eff,AVERAGE(ARRAYFORMULA(FLOOR(base*modifier*SEQUENCE(16,1,85,1)/100)))/(FLOOR(((2*XLOOKUP('Boss Editor'!$C$4,'Pokemon Editor'!$A:$A,'Pokemon Editor'!$E:$E,0)+31+FLOOR('Boss Editor'!$G$4/4))*'Boss Editor'!$D$4)/100)+'Boss Editor'!$D$4+10)),0)</f>
        <v/>
      </c>
      <c r="O583" s="3">
        <f>IF(N583&gt;=1,"OHKO",IF(N583&gt;=0.5,"2HKO",IF(N583&gt;=0.333,"3HKO",IF(N583&gt;=0.25,"4HKO","5HKO+"))))</f>
        <v/>
      </c>
      <c r="P583" s="3" t="inlineStr">
        <is>
          <t>Live from editable databases</t>
        </is>
      </c>
      <c r="Q583" s="3" t="inlineStr">
        <is>
          <t>SPECIES_FLETCHLING</t>
        </is>
      </c>
      <c r="R583" s="3" t="n">
        <v>6</v>
      </c>
    </row>
    <row r="584">
      <c r="A584" s="3">
        <f>XLOOKUP($Q584,'Threshold Summary'!$Y:$Y,'Threshold Summary'!$A:$A,"")</f>
        <v/>
      </c>
      <c r="B584" s="3">
        <f>XLOOKUP($Q584,'Threshold Summary'!$Y:$Y,'Threshold Summary'!$M:$M,"")</f>
        <v/>
      </c>
      <c r="C584" s="3">
        <f>XLOOKUP($Q584,'Threshold Summary'!$Y:$Y,'Threshold Summary'!$N:$N,"")</f>
        <v/>
      </c>
      <c r="D584" s="3">
        <f>IFERROR(INDEX(FILTER('Learnset Editor'!$D$2:$D,'Learnset Editor'!$A$2:$A=XLOOKUP($Q584,'Threshold Summary'!$Y:$Y,'Threshold Summary'!$K:$K,""),'Learnset Editor'!$C$2:$C&lt;=XLOOKUP($Q584,'Threshold Summary'!$Y:$Y,'Threshold Summary'!$L:$L,"")),$R584),"")</f>
        <v/>
      </c>
      <c r="E584" s="3">
        <f>XLOOKUP(D584,'Move Editor'!$B:$B,'Move Editor'!$C:$C,"")</f>
        <v/>
      </c>
      <c r="F584" s="3">
        <f>XLOOKUP(D584,'Move Editor'!$B:$B,'Move Editor'!$D:$D,"")</f>
        <v/>
      </c>
      <c r="G584" s="3">
        <f>XLOOKUP(D584,'Move Editor'!$B:$B,'Move Editor'!$E:$E,0)</f>
        <v/>
      </c>
      <c r="H584" s="3">
        <f>XLOOKUP(D584,'Move Editor'!$B:$B,'Move Editor'!$F:$F,0)</f>
        <v/>
      </c>
      <c r="I584" s="3">
        <f>(INDEX('Type Chart'!$B:$S,MATCH(E584,'Type Chart'!$A:$A,0),MATCH(XLOOKUP('Boss Editor'!$C$4,'Pokemon Editor'!$A:$A,'Pokemon Editor'!$C:$C,""),'Type Chart'!$B$1:$S$1,0))*IF(XLOOKUP('Boss Editor'!$C$4,'Pokemon Editor'!$A:$A,'Pokemon Editor'!$D:$D,"")="",1,INDEX('Type Chart'!$B:$S,MATCH(E584,'Type Chart'!$A:$A,0),MATCH(XLOOKUP('Boss Editor'!$C$4,'Pokemon Editor'!$A:$A,'Pokemon Editor'!$D:$D,""),'Type Chart'!$B$1:$S$1,0))))</f>
        <v/>
      </c>
      <c r="J584" s="3">
        <f>IFERROR(LET(mtype,XLOOKUP($D584,'Move Editor'!$B:$B,'Move Editor'!$C:$C,""),cat,XLOOKUP($D584,'Move Editor'!$B:$B,'Move Editor'!$D:$D,""),pow,XLOOKUP($D584,'Move Editor'!$B:$B,'Move Editor'!$E:$E,0),acc,XLOOKUP($D584,'Move Editor'!$B:$B,'Move Editor'!$F:$F,100),atk,IF(cat="Physical",FLOOR((FLOOR(((2*XLOOKUP(XLOOKUP($Q584,'Threshold Summary'!$Y:$Y,'Threshold Summary'!$K:$K,""),'Pokemon Editor'!$A:$A,'Pokemon Editor'!$F:$F,0)+31+FLOOR(XLOOKUP($Q584,'Threshold Summary'!$Y:$Y,'Threshold Summary'!$P:$P,"")/4))*XLOOKUP($Q584,'Threshold Summary'!$Y:$Y,'Threshold Summary'!$L:$L,""))/100)+5)*XLOOKUP(XLOOKUP($Q584,'Threshold Summary'!$Y:$Y,'Threshold Summary'!$M:$M,""),'Nature Editor'!$A:$A,'Nature Editor'!$B:$B,1)),FLOOR((FLOOR(((2*XLOOKUP(XLOOKUP($Q584,'Threshold Summary'!$Y:$Y,'Threshold Summary'!$K:$K,""),'Pokemon Editor'!$A:$A,'Pokemon Editor'!$H:$H,0)+31+FLOOR(XLOOKUP($Q584,'Threshold Summary'!$Y:$Y,'Threshold Summary'!$R:$R,"")/4))*XLOOKUP($Q584,'Threshold Summary'!$Y:$Y,'Threshold Summary'!$L:$L,""))/100)+5)*XLOOKUP(XLOOKUP($Q584,'Threshold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Editor'!$E:$E,1))),stab,IF(OR(mtype=XLOOKUP(XLOOKUP($Q584,'Threshold Summary'!$Y:$Y,'Threshold Summary'!$K:$K,""),'Pokemon Editor'!$A:$A,'Pokemon Editor'!$C:$C,""),mtype=XLOOKUP(XLOOKUP($Q584,'Threshold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Chart'!$B$1:$S$1,0)))),base,IF(OR(cat="Status",pow=0),0,FLOOR(FLOOR(FLOOR((2*XLOOKUP($Q584,'Threshold Summary'!$Y:$Y,'Threshold Summary'!$L:$L,"")/5+2)*pow*atk/def)/50)+2)),modifier,stab*eff,FLOOR(base*modifier*0.85)),0)</f>
        <v/>
      </c>
      <c r="K584" s="3">
        <f>IFERROR(LET(mtype,XLOOKUP($D584,'Move Editor'!$B:$B,'Move Editor'!$C:$C,""),cat,XLOOKUP($D584,'Move Editor'!$B:$B,'Move Editor'!$D:$D,""),pow,XLOOKUP($D584,'Move Editor'!$B:$B,'Move Editor'!$E:$E,0),acc,XLOOKUP($D584,'Move Editor'!$B:$B,'Move Editor'!$F:$F,100),atk,IF(cat="Physical",FLOOR((FLOOR(((2*XLOOKUP(XLOOKUP($Q584,'Threshold Summary'!$Y:$Y,'Threshold Summary'!$K:$K,""),'Pokemon Editor'!$A:$A,'Pokemon Editor'!$F:$F,0)+31+FLOOR(XLOOKUP($Q584,'Threshold Summary'!$Y:$Y,'Threshold Summary'!$P:$P,"")/4))*XLOOKUP($Q584,'Threshold Summary'!$Y:$Y,'Threshold Summary'!$L:$L,""))/100)+5)*XLOOKUP(XLOOKUP($Q584,'Threshold Summary'!$Y:$Y,'Threshold Summary'!$M:$M,""),'Nature Editor'!$A:$A,'Nature Editor'!$B:$B,1)),FLOOR((FLOOR(((2*XLOOKUP(XLOOKUP($Q584,'Threshold Summary'!$Y:$Y,'Threshold Summary'!$K:$K,""),'Pokemon Editor'!$A:$A,'Pokemon Editor'!$H:$H,0)+31+FLOOR(XLOOKUP($Q584,'Threshold Summary'!$Y:$Y,'Threshold Summary'!$R:$R,"")/4))*XLOOKUP($Q584,'Threshold Summary'!$Y:$Y,'Threshold Summary'!$L:$L,""))/100)+5)*XLOOKUP(XLOOKUP($Q584,'Threshold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Editor'!$E:$E,1))),stab,IF(OR(mtype=XLOOKUP(XLOOKUP($Q584,'Threshold Summary'!$Y:$Y,'Threshold Summary'!$K:$K,""),'Pokemon Editor'!$A:$A,'Pokemon Editor'!$C:$C,""),mtype=XLOOKUP(XLOOKUP($Q584,'Threshold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Chart'!$B$1:$S$1,0)))),base,IF(OR(cat="Status",pow=0),0,FLOOR(FLOOR(FLOOR((2*XLOOKUP($Q584,'Threshold Summary'!$Y:$Y,'Threshold Summary'!$L:$L,"")/5+2)*pow*atk/def)/50)+2)),modifier,stab*eff,FLOOR(base*modifier)),0)</f>
        <v/>
      </c>
      <c r="L584" s="3">
        <f>IFERROR(LET(mtype,XLOOKUP($D584,'Move Editor'!$B:$B,'Move Editor'!$C:$C,""),cat,XLOOKUP($D584,'Move Editor'!$B:$B,'Move Editor'!$D:$D,""),pow,XLOOKUP($D584,'Move Editor'!$B:$B,'Move Editor'!$E:$E,0),acc,XLOOKUP($D584,'Move Editor'!$B:$B,'Move Editor'!$F:$F,100),atk,IF(cat="Physical",FLOOR((FLOOR(((2*XLOOKUP(XLOOKUP($Q584,'Threshold Summary'!$Y:$Y,'Threshold Summary'!$K:$K,""),'Pokemon Editor'!$A:$A,'Pokemon Editor'!$F:$F,0)+31+FLOOR(XLOOKUP($Q584,'Threshold Summary'!$Y:$Y,'Threshold Summary'!$P:$P,"")/4))*XLOOKUP($Q584,'Threshold Summary'!$Y:$Y,'Threshold Summary'!$L:$L,""))/100)+5)*XLOOKUP(XLOOKUP($Q584,'Threshold Summary'!$Y:$Y,'Threshold Summary'!$M:$M,""),'Nature Editor'!$A:$A,'Nature Editor'!$B:$B,1)),FLOOR((FLOOR(((2*XLOOKUP(XLOOKUP($Q584,'Threshold Summary'!$Y:$Y,'Threshold Summary'!$K:$K,""),'Pokemon Editor'!$A:$A,'Pokemon Editor'!$H:$H,0)+31+FLOOR(XLOOKUP($Q584,'Threshold Summary'!$Y:$Y,'Threshold Summary'!$R:$R,"")/4))*XLOOKUP($Q584,'Threshold Summary'!$Y:$Y,'Threshold Summary'!$L:$L,""))/100)+5)*XLOOKUP(XLOOKUP($Q584,'Threshold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Editor'!$E:$E,1))),stab,IF(OR(mtype=XLOOKUP(XLOOKUP($Q584,'Threshold Summary'!$Y:$Y,'Threshold Summary'!$K:$K,""),'Pokemon Editor'!$A:$A,'Pokemon Editor'!$C:$C,""),mtype=XLOOKUP(XLOOKUP($Q584,'Threshold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Chart'!$B$1:$S$1,0)))),base,IF(OR(cat="Status",pow=0),0,FLOOR(FLOOR(FLOOR((2*XLOOKUP($Q584,'Threshold Summary'!$Y:$Y,'Threshold Summary'!$L:$L,"")/5+2)*pow*atk/def)/50)+2)),modifier,stab*eff,AVERAGE(ARRAYFORMULA(FLOOR(base*modifier*SEQUENCE(16,1,85,1)/100)))),0)</f>
        <v/>
      </c>
      <c r="M584" s="3">
        <f>IFERROR(LET(mtype,XLOOKUP($D584,'Move Editor'!$B:$B,'Move Editor'!$C:$C,""),cat,XLOOKUP($D584,'Move Editor'!$B:$B,'Move Editor'!$D:$D,""),pow,XLOOKUP($D584,'Move Editor'!$B:$B,'Move Editor'!$E:$E,0),acc,XLOOKUP($D584,'Move Editor'!$B:$B,'Move Editor'!$F:$F,100),atk,IF(cat="Physical",FLOOR((FLOOR(((2*XLOOKUP(XLOOKUP($Q584,'Threshold Summary'!$Y:$Y,'Threshold Summary'!$K:$K,""),'Pokemon Editor'!$A:$A,'Pokemon Editor'!$F:$F,0)+31+FLOOR(XLOOKUP($Q584,'Threshold Summary'!$Y:$Y,'Threshold Summary'!$P:$P,"")/4))*XLOOKUP($Q584,'Threshold Summary'!$Y:$Y,'Threshold Summary'!$L:$L,""))/100)+5)*XLOOKUP(XLOOKUP($Q584,'Threshold Summary'!$Y:$Y,'Threshold Summary'!$M:$M,""),'Nature Editor'!$A:$A,'Nature Editor'!$B:$B,1)),FLOOR((FLOOR(((2*XLOOKUP(XLOOKUP($Q584,'Threshold Summary'!$Y:$Y,'Threshold Summary'!$K:$K,""),'Pokemon Editor'!$A:$A,'Pokemon Editor'!$H:$H,0)+31+FLOOR(XLOOKUP($Q584,'Threshold Summary'!$Y:$Y,'Threshold Summary'!$R:$R,"")/4))*XLOOKUP($Q584,'Threshold Summary'!$Y:$Y,'Threshold Summary'!$L:$L,""))/100)+5)*XLOOKUP(XLOOKUP($Q584,'Threshold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Editor'!$E:$E,1))),stab,IF(OR(mtype=XLOOKUP(XLOOKUP($Q584,'Threshold Summary'!$Y:$Y,'Threshold Summary'!$K:$K,""),'Pokemon Editor'!$A:$A,'Pokemon Editor'!$C:$C,""),mtype=XLOOKUP(XLOOKUP($Q584,'Threshold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Chart'!$B$1:$S$1,0)))),base,IF(OR(cat="Status",pow=0),0,FLOOR(FLOOR(FLOOR((2*XLOOKUP($Q584,'Threshold Summary'!$Y:$Y,'Threshold Summary'!$L:$L,"")/5+2)*pow*atk/def)/50)+2)),modifier,stab*eff,AVERAGE(ARRAYFORMULA(FLOOR(base*modifier*SEQUENCE(16,1,85,1)/100)))*MIN(1,acc/100)),0)</f>
        <v/>
      </c>
      <c r="N584" s="4">
        <f>IFERROR(LET(mtype,XLOOKUP($D584,'Move Editor'!$B:$B,'Move Editor'!$C:$C,""),cat,XLOOKUP($D584,'Move Editor'!$B:$B,'Move Editor'!$D:$D,""),pow,XLOOKUP($D584,'Move Editor'!$B:$B,'Move Editor'!$E:$E,0),acc,XLOOKUP($D584,'Move Editor'!$B:$B,'Move Editor'!$F:$F,100),atk,IF(cat="Physical",FLOOR((FLOOR(((2*XLOOKUP(XLOOKUP($Q584,'Threshold Summary'!$Y:$Y,'Threshold Summary'!$K:$K,""),'Pokemon Editor'!$A:$A,'Pokemon Editor'!$F:$F,0)+31+FLOOR(XLOOKUP($Q584,'Threshold Summary'!$Y:$Y,'Threshold Summary'!$P:$P,"")/4))*XLOOKUP($Q584,'Threshold Summary'!$Y:$Y,'Threshold Summary'!$L:$L,""))/100)+5)*XLOOKUP(XLOOKUP($Q584,'Threshold Summary'!$Y:$Y,'Threshold Summary'!$M:$M,""),'Nature Editor'!$A:$A,'Nature Editor'!$B:$B,1)),FLOOR((FLOOR(((2*XLOOKUP(XLOOKUP($Q584,'Threshold Summary'!$Y:$Y,'Threshold Summary'!$K:$K,""),'Pokemon Editor'!$A:$A,'Pokemon Editor'!$H:$H,0)+31+FLOOR(XLOOKUP($Q584,'Threshold Summary'!$Y:$Y,'Threshold Summary'!$R:$R,"")/4))*XLOOKUP($Q584,'Threshold Summary'!$Y:$Y,'Threshold Summary'!$L:$L,""))/100)+5)*XLOOKUP(XLOOKUP($Q584,'Threshold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Editor'!$E:$E,1))),stab,IF(OR(mtype=XLOOKUP(XLOOKUP($Q584,'Threshold Summary'!$Y:$Y,'Threshold Summary'!$K:$K,""),'Pokemon Editor'!$A:$A,'Pokemon Editor'!$C:$C,""),mtype=XLOOKUP(XLOOKUP($Q584,'Threshold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Chart'!$B$1:$S$1,0)))),base,IF(OR(cat="Status",pow=0),0,FLOOR(FLOOR(FLOOR((2*XLOOKUP($Q584,'Threshold Summary'!$Y:$Y,'Threshold Summary'!$L:$L,"")/5+2)*pow*atk/def)/50)+2)),modifier,stab*eff,AVERAGE(ARRAYFORMULA(FLOOR(base*modifier*SEQUENCE(16,1,85,1)/100)))/(FLOOR(((2*XLOOKUP('Boss Editor'!$C$4,'Pokemon Editor'!$A:$A,'Pokemon Editor'!$E:$E,0)+31+FLOOR('Boss Editor'!$G$4/4))*'Boss Editor'!$D$4)/100)+'Boss Editor'!$D$4+10)),0)</f>
        <v/>
      </c>
      <c r="O584" s="3">
        <f>IF(N584&gt;=1,"OHKO",IF(N584&gt;=0.5,"2HKO",IF(N584&gt;=0.333,"3HKO",IF(N584&gt;=0.25,"4HKO","5HKO+"))))</f>
        <v/>
      </c>
      <c r="P584" s="3" t="inlineStr">
        <is>
          <t>Live from editable databases</t>
        </is>
      </c>
      <c r="Q584" s="3" t="inlineStr">
        <is>
          <t>SPECIES_FLETCHLING</t>
        </is>
      </c>
      <c r="R584" s="3" t="n">
        <v>7</v>
      </c>
    </row>
    <row r="585">
      <c r="A585" s="3">
        <f>XLOOKUP($Q585,'Threshold Summary'!$Y:$Y,'Threshold Summary'!$A:$A,"")</f>
        <v/>
      </c>
      <c r="B585" s="3">
        <f>XLOOKUP($Q585,'Threshold Summary'!$Y:$Y,'Threshold Summary'!$M:$M,"")</f>
        <v/>
      </c>
      <c r="C585" s="3">
        <f>XLOOKUP($Q585,'Threshold Summary'!$Y:$Y,'Threshold Summary'!$N:$N,"")</f>
        <v/>
      </c>
      <c r="D585" s="3">
        <f>IFERROR(INDEX(FILTER('Learnset Editor'!$D$2:$D,'Learnset Editor'!$A$2:$A=XLOOKUP($Q585,'Threshold Summary'!$Y:$Y,'Threshold Summary'!$K:$K,""),'Learnset Editor'!$C$2:$C&lt;=XLOOKUP($Q585,'Threshold Summary'!$Y:$Y,'Threshold Summary'!$L:$L,"")),$R585),"")</f>
        <v/>
      </c>
      <c r="E585" s="3">
        <f>XLOOKUP(D585,'Move Editor'!$B:$B,'Move Editor'!$C:$C,"")</f>
        <v/>
      </c>
      <c r="F585" s="3">
        <f>XLOOKUP(D585,'Move Editor'!$B:$B,'Move Editor'!$D:$D,"")</f>
        <v/>
      </c>
      <c r="G585" s="3">
        <f>XLOOKUP(D585,'Move Editor'!$B:$B,'Move Editor'!$E:$E,0)</f>
        <v/>
      </c>
      <c r="H585" s="3">
        <f>XLOOKUP(D585,'Move Editor'!$B:$B,'Move Editor'!$F:$F,0)</f>
        <v/>
      </c>
      <c r="I585" s="3">
        <f>(INDEX('Type Chart'!$B:$S,MATCH(E585,'Type Chart'!$A:$A,0),MATCH(XLOOKUP('Boss Editor'!$C$4,'Pokemon Editor'!$A:$A,'Pokemon Editor'!$C:$C,""),'Type Chart'!$B$1:$S$1,0))*IF(XLOOKUP('Boss Editor'!$C$4,'Pokemon Editor'!$A:$A,'Pokemon Editor'!$D:$D,"")="",1,INDEX('Type Chart'!$B:$S,MATCH(E585,'Type Chart'!$A:$A,0),MATCH(XLOOKUP('Boss Editor'!$C$4,'Pokemon Editor'!$A:$A,'Pokemon Editor'!$D:$D,""),'Type Chart'!$B$1:$S$1,0))))</f>
        <v/>
      </c>
      <c r="J585" s="3">
        <f>IFERROR(LET(mtype,XLOOKUP($D585,'Move Editor'!$B:$B,'Move Editor'!$C:$C,""),cat,XLOOKUP($D585,'Move Editor'!$B:$B,'Move Editor'!$D:$D,""),pow,XLOOKUP($D585,'Move Editor'!$B:$B,'Move Editor'!$E:$E,0),acc,XLOOKUP($D585,'Move Editor'!$B:$B,'Move Editor'!$F:$F,100),atk,IF(cat="Physical",FLOOR((FLOOR(((2*XLOOKUP(XLOOKUP($Q585,'Threshold Summary'!$Y:$Y,'Threshold Summary'!$K:$K,""),'Pokemon Editor'!$A:$A,'Pokemon Editor'!$F:$F,0)+31+FLOOR(XLOOKUP($Q585,'Threshold Summary'!$Y:$Y,'Threshold Summary'!$P:$P,"")/4))*XLOOKUP($Q585,'Threshold Summary'!$Y:$Y,'Threshold Summary'!$L:$L,""))/100)+5)*XLOOKUP(XLOOKUP($Q585,'Threshold Summary'!$Y:$Y,'Threshold Summary'!$M:$M,""),'Nature Editor'!$A:$A,'Nature Editor'!$B:$B,1)),FLOOR((FLOOR(((2*XLOOKUP(XLOOKUP($Q585,'Threshold Summary'!$Y:$Y,'Threshold Summary'!$K:$K,""),'Pokemon Editor'!$A:$A,'Pokemon Editor'!$H:$H,0)+31+FLOOR(XLOOKUP($Q585,'Threshold Summary'!$Y:$Y,'Threshold Summary'!$R:$R,"")/4))*XLOOKUP($Q585,'Threshold Summary'!$Y:$Y,'Threshold Summary'!$L:$L,""))/100)+5)*XLOOKUP(XLOOKUP($Q585,'Threshold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Editor'!$E:$E,1))),stab,IF(OR(mtype=XLOOKUP(XLOOKUP($Q585,'Threshold Summary'!$Y:$Y,'Threshold Summary'!$K:$K,""),'Pokemon Editor'!$A:$A,'Pokemon Editor'!$C:$C,""),mtype=XLOOKUP(XLOOKUP($Q585,'Threshold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Chart'!$B$1:$S$1,0)))),base,IF(OR(cat="Status",pow=0),0,FLOOR(FLOOR(FLOOR((2*XLOOKUP($Q585,'Threshold Summary'!$Y:$Y,'Threshold Summary'!$L:$L,"")/5+2)*pow*atk/def)/50)+2)),modifier,stab*eff,FLOOR(base*modifier*0.85)),0)</f>
        <v/>
      </c>
      <c r="K585" s="3">
        <f>IFERROR(LET(mtype,XLOOKUP($D585,'Move Editor'!$B:$B,'Move Editor'!$C:$C,""),cat,XLOOKUP($D585,'Move Editor'!$B:$B,'Move Editor'!$D:$D,""),pow,XLOOKUP($D585,'Move Editor'!$B:$B,'Move Editor'!$E:$E,0),acc,XLOOKUP($D585,'Move Editor'!$B:$B,'Move Editor'!$F:$F,100),atk,IF(cat="Physical",FLOOR((FLOOR(((2*XLOOKUP(XLOOKUP($Q585,'Threshold Summary'!$Y:$Y,'Threshold Summary'!$K:$K,""),'Pokemon Editor'!$A:$A,'Pokemon Editor'!$F:$F,0)+31+FLOOR(XLOOKUP($Q585,'Threshold Summary'!$Y:$Y,'Threshold Summary'!$P:$P,"")/4))*XLOOKUP($Q585,'Threshold Summary'!$Y:$Y,'Threshold Summary'!$L:$L,""))/100)+5)*XLOOKUP(XLOOKUP($Q585,'Threshold Summary'!$Y:$Y,'Threshold Summary'!$M:$M,""),'Nature Editor'!$A:$A,'Nature Editor'!$B:$B,1)),FLOOR((FLOOR(((2*XLOOKUP(XLOOKUP($Q585,'Threshold Summary'!$Y:$Y,'Threshold Summary'!$K:$K,""),'Pokemon Editor'!$A:$A,'Pokemon Editor'!$H:$H,0)+31+FLOOR(XLOOKUP($Q585,'Threshold Summary'!$Y:$Y,'Threshold Summary'!$R:$R,"")/4))*XLOOKUP($Q585,'Threshold Summary'!$Y:$Y,'Threshold Summary'!$L:$L,""))/100)+5)*XLOOKUP(XLOOKUP($Q585,'Threshold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Editor'!$E:$E,1))),stab,IF(OR(mtype=XLOOKUP(XLOOKUP($Q585,'Threshold Summary'!$Y:$Y,'Threshold Summary'!$K:$K,""),'Pokemon Editor'!$A:$A,'Pokemon Editor'!$C:$C,""),mtype=XLOOKUP(XLOOKUP($Q585,'Threshold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Chart'!$B$1:$S$1,0)))),base,IF(OR(cat="Status",pow=0),0,FLOOR(FLOOR(FLOOR((2*XLOOKUP($Q585,'Threshold Summary'!$Y:$Y,'Threshold Summary'!$L:$L,"")/5+2)*pow*atk/def)/50)+2)),modifier,stab*eff,FLOOR(base*modifier)),0)</f>
        <v/>
      </c>
      <c r="L585" s="3">
        <f>IFERROR(LET(mtype,XLOOKUP($D585,'Move Editor'!$B:$B,'Move Editor'!$C:$C,""),cat,XLOOKUP($D585,'Move Editor'!$B:$B,'Move Editor'!$D:$D,""),pow,XLOOKUP($D585,'Move Editor'!$B:$B,'Move Editor'!$E:$E,0),acc,XLOOKUP($D585,'Move Editor'!$B:$B,'Move Editor'!$F:$F,100),atk,IF(cat="Physical",FLOOR((FLOOR(((2*XLOOKUP(XLOOKUP($Q585,'Threshold Summary'!$Y:$Y,'Threshold Summary'!$K:$K,""),'Pokemon Editor'!$A:$A,'Pokemon Editor'!$F:$F,0)+31+FLOOR(XLOOKUP($Q585,'Threshold Summary'!$Y:$Y,'Threshold Summary'!$P:$P,"")/4))*XLOOKUP($Q585,'Threshold Summary'!$Y:$Y,'Threshold Summary'!$L:$L,""))/100)+5)*XLOOKUP(XLOOKUP($Q585,'Threshold Summary'!$Y:$Y,'Threshold Summary'!$M:$M,""),'Nature Editor'!$A:$A,'Nature Editor'!$B:$B,1)),FLOOR((FLOOR(((2*XLOOKUP(XLOOKUP($Q585,'Threshold Summary'!$Y:$Y,'Threshold Summary'!$K:$K,""),'Pokemon Editor'!$A:$A,'Pokemon Editor'!$H:$H,0)+31+FLOOR(XLOOKUP($Q585,'Threshold Summary'!$Y:$Y,'Threshold Summary'!$R:$R,"")/4))*XLOOKUP($Q585,'Threshold Summary'!$Y:$Y,'Threshold Summary'!$L:$L,""))/100)+5)*XLOOKUP(XLOOKUP($Q585,'Threshold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Editor'!$E:$E,1))),stab,IF(OR(mtype=XLOOKUP(XLOOKUP($Q585,'Threshold Summary'!$Y:$Y,'Threshold Summary'!$K:$K,""),'Pokemon Editor'!$A:$A,'Pokemon Editor'!$C:$C,""),mtype=XLOOKUP(XLOOKUP($Q585,'Threshold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Chart'!$B$1:$S$1,0)))),base,IF(OR(cat="Status",pow=0),0,FLOOR(FLOOR(FLOOR((2*XLOOKUP($Q585,'Threshold Summary'!$Y:$Y,'Threshold Summary'!$L:$L,"")/5+2)*pow*atk/def)/50)+2)),modifier,stab*eff,AVERAGE(ARRAYFORMULA(FLOOR(base*modifier*SEQUENCE(16,1,85,1)/100)))),0)</f>
        <v/>
      </c>
      <c r="M585" s="3">
        <f>IFERROR(LET(mtype,XLOOKUP($D585,'Move Editor'!$B:$B,'Move Editor'!$C:$C,""),cat,XLOOKUP($D585,'Move Editor'!$B:$B,'Move Editor'!$D:$D,""),pow,XLOOKUP($D585,'Move Editor'!$B:$B,'Move Editor'!$E:$E,0),acc,XLOOKUP($D585,'Move Editor'!$B:$B,'Move Editor'!$F:$F,100),atk,IF(cat="Physical",FLOOR((FLOOR(((2*XLOOKUP(XLOOKUP($Q585,'Threshold Summary'!$Y:$Y,'Threshold Summary'!$K:$K,""),'Pokemon Editor'!$A:$A,'Pokemon Editor'!$F:$F,0)+31+FLOOR(XLOOKUP($Q585,'Threshold Summary'!$Y:$Y,'Threshold Summary'!$P:$P,"")/4))*XLOOKUP($Q585,'Threshold Summary'!$Y:$Y,'Threshold Summary'!$L:$L,""))/100)+5)*XLOOKUP(XLOOKUP($Q585,'Threshold Summary'!$Y:$Y,'Threshold Summary'!$M:$M,""),'Nature Editor'!$A:$A,'Nature Editor'!$B:$B,1)),FLOOR((FLOOR(((2*XLOOKUP(XLOOKUP($Q585,'Threshold Summary'!$Y:$Y,'Threshold Summary'!$K:$K,""),'Pokemon Editor'!$A:$A,'Pokemon Editor'!$H:$H,0)+31+FLOOR(XLOOKUP($Q585,'Threshold Summary'!$Y:$Y,'Threshold Summary'!$R:$R,"")/4))*XLOOKUP($Q585,'Threshold Summary'!$Y:$Y,'Threshold Summary'!$L:$L,""))/100)+5)*XLOOKUP(XLOOKUP($Q585,'Threshold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Editor'!$E:$E,1))),stab,IF(OR(mtype=XLOOKUP(XLOOKUP($Q585,'Threshold Summary'!$Y:$Y,'Threshold Summary'!$K:$K,""),'Pokemon Editor'!$A:$A,'Pokemon Editor'!$C:$C,""),mtype=XLOOKUP(XLOOKUP($Q585,'Threshold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Chart'!$B$1:$S$1,0)))),base,IF(OR(cat="Status",pow=0),0,FLOOR(FLOOR(FLOOR((2*XLOOKUP($Q585,'Threshold Summary'!$Y:$Y,'Threshold Summary'!$L:$L,"")/5+2)*pow*atk/def)/50)+2)),modifier,stab*eff,AVERAGE(ARRAYFORMULA(FLOOR(base*modifier*SEQUENCE(16,1,85,1)/100)))*MIN(1,acc/100)),0)</f>
        <v/>
      </c>
      <c r="N585" s="4">
        <f>IFERROR(LET(mtype,XLOOKUP($D585,'Move Editor'!$B:$B,'Move Editor'!$C:$C,""),cat,XLOOKUP($D585,'Move Editor'!$B:$B,'Move Editor'!$D:$D,""),pow,XLOOKUP($D585,'Move Editor'!$B:$B,'Move Editor'!$E:$E,0),acc,XLOOKUP($D585,'Move Editor'!$B:$B,'Move Editor'!$F:$F,100),atk,IF(cat="Physical",FLOOR((FLOOR(((2*XLOOKUP(XLOOKUP($Q585,'Threshold Summary'!$Y:$Y,'Threshold Summary'!$K:$K,""),'Pokemon Editor'!$A:$A,'Pokemon Editor'!$F:$F,0)+31+FLOOR(XLOOKUP($Q585,'Threshold Summary'!$Y:$Y,'Threshold Summary'!$P:$P,"")/4))*XLOOKUP($Q585,'Threshold Summary'!$Y:$Y,'Threshold Summary'!$L:$L,""))/100)+5)*XLOOKUP(XLOOKUP($Q585,'Threshold Summary'!$Y:$Y,'Threshold Summary'!$M:$M,""),'Nature Editor'!$A:$A,'Nature Editor'!$B:$B,1)),FLOOR((FLOOR(((2*XLOOKUP(XLOOKUP($Q585,'Threshold Summary'!$Y:$Y,'Threshold Summary'!$K:$K,""),'Pokemon Editor'!$A:$A,'Pokemon Editor'!$H:$H,0)+31+FLOOR(XLOOKUP($Q585,'Threshold Summary'!$Y:$Y,'Threshold Summary'!$R:$R,"")/4))*XLOOKUP($Q585,'Threshold Summary'!$Y:$Y,'Threshold Summary'!$L:$L,""))/100)+5)*XLOOKUP(XLOOKUP($Q585,'Threshold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Editor'!$E:$E,1))),stab,IF(OR(mtype=XLOOKUP(XLOOKUP($Q585,'Threshold Summary'!$Y:$Y,'Threshold Summary'!$K:$K,""),'Pokemon Editor'!$A:$A,'Pokemon Editor'!$C:$C,""),mtype=XLOOKUP(XLOOKUP($Q585,'Threshold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Chart'!$B$1:$S$1,0)))),base,IF(OR(cat="Status",pow=0),0,FLOOR(FLOOR(FLOOR((2*XLOOKUP($Q585,'Threshold Summary'!$Y:$Y,'Threshold Summary'!$L:$L,"")/5+2)*pow*atk/def)/50)+2)),modifier,stab*eff,AVERAGE(ARRAYFORMULA(FLOOR(base*modifier*SEQUENCE(16,1,85,1)/100)))/(FLOOR(((2*XLOOKUP('Boss Editor'!$C$4,'Pokemon Editor'!$A:$A,'Pokemon Editor'!$E:$E,0)+31+FLOOR('Boss Editor'!$G$4/4))*'Boss Editor'!$D$4)/100)+'Boss Editor'!$D$4+10)),0)</f>
        <v/>
      </c>
      <c r="O585" s="3">
        <f>IF(N585&gt;=1,"OHKO",IF(N585&gt;=0.5,"2HKO",IF(N585&gt;=0.333,"3HKO",IF(N585&gt;=0.25,"4HKO","5HKO+"))))</f>
        <v/>
      </c>
      <c r="P585" s="3" t="inlineStr">
        <is>
          <t>Live from editable databases</t>
        </is>
      </c>
      <c r="Q585" s="3" t="inlineStr">
        <is>
          <t>SPECIES_FLETCHLING</t>
        </is>
      </c>
      <c r="R585" s="3" t="n">
        <v>8</v>
      </c>
    </row>
    <row r="586">
      <c r="A586" s="3">
        <f>XLOOKUP($Q586,'Threshold Summary'!$Y:$Y,'Threshold Summary'!$A:$A,"")</f>
        <v/>
      </c>
      <c r="B586" s="3">
        <f>XLOOKUP($Q586,'Threshold Summary'!$Y:$Y,'Threshold Summary'!$M:$M,"")</f>
        <v/>
      </c>
      <c r="C586" s="3">
        <f>XLOOKUP($Q586,'Threshold Summary'!$Y:$Y,'Threshold Summary'!$N:$N,"")</f>
        <v/>
      </c>
      <c r="D586" s="3">
        <f>IFERROR(INDEX(FILTER('Learnset Editor'!$D$2:$D,'Learnset Editor'!$A$2:$A=XLOOKUP($Q586,'Threshold Summary'!$Y:$Y,'Threshold Summary'!$K:$K,""),'Learnset Editor'!$C$2:$C&lt;=XLOOKUP($Q586,'Threshold Summary'!$Y:$Y,'Threshold Summary'!$L:$L,"")),$R586),"")</f>
        <v/>
      </c>
      <c r="E586" s="3">
        <f>XLOOKUP(D586,'Move Editor'!$B:$B,'Move Editor'!$C:$C,"")</f>
        <v/>
      </c>
      <c r="F586" s="3">
        <f>XLOOKUP(D586,'Move Editor'!$B:$B,'Move Editor'!$D:$D,"")</f>
        <v/>
      </c>
      <c r="G586" s="3">
        <f>XLOOKUP(D586,'Move Editor'!$B:$B,'Move Editor'!$E:$E,0)</f>
        <v/>
      </c>
      <c r="H586" s="3">
        <f>XLOOKUP(D586,'Move Editor'!$B:$B,'Move Editor'!$F:$F,0)</f>
        <v/>
      </c>
      <c r="I586" s="3">
        <f>(INDEX('Type Chart'!$B:$S,MATCH(E586,'Type Chart'!$A:$A,0),MATCH(XLOOKUP('Boss Editor'!$C$4,'Pokemon Editor'!$A:$A,'Pokemon Editor'!$C:$C,""),'Type Chart'!$B$1:$S$1,0))*IF(XLOOKUP('Boss Editor'!$C$4,'Pokemon Editor'!$A:$A,'Pokemon Editor'!$D:$D,"")="",1,INDEX('Type Chart'!$B:$S,MATCH(E586,'Type Chart'!$A:$A,0),MATCH(XLOOKUP('Boss Editor'!$C$4,'Pokemon Editor'!$A:$A,'Pokemon Editor'!$D:$D,""),'Type Chart'!$B$1:$S$1,0))))</f>
        <v/>
      </c>
      <c r="J586" s="3">
        <f>IFERROR(LET(mtype,XLOOKUP($D586,'Move Editor'!$B:$B,'Move Editor'!$C:$C,""),cat,XLOOKUP($D586,'Move Editor'!$B:$B,'Move Editor'!$D:$D,""),pow,XLOOKUP($D586,'Move Editor'!$B:$B,'Move Editor'!$E:$E,0),acc,XLOOKUP($D586,'Move Editor'!$B:$B,'Move Editor'!$F:$F,100),atk,IF(cat="Physical",FLOOR((FLOOR(((2*XLOOKUP(XLOOKUP($Q586,'Threshold Summary'!$Y:$Y,'Threshold Summary'!$K:$K,""),'Pokemon Editor'!$A:$A,'Pokemon Editor'!$F:$F,0)+31+FLOOR(XLOOKUP($Q586,'Threshold Summary'!$Y:$Y,'Threshold Summary'!$P:$P,"")/4))*XLOOKUP($Q586,'Threshold Summary'!$Y:$Y,'Threshold Summary'!$L:$L,""))/100)+5)*XLOOKUP(XLOOKUP($Q586,'Threshold Summary'!$Y:$Y,'Threshold Summary'!$M:$M,""),'Nature Editor'!$A:$A,'Nature Editor'!$B:$B,1)),FLOOR((FLOOR(((2*XLOOKUP(XLOOKUP($Q586,'Threshold Summary'!$Y:$Y,'Threshold Summary'!$K:$K,""),'Pokemon Editor'!$A:$A,'Pokemon Editor'!$H:$H,0)+31+FLOOR(XLOOKUP($Q586,'Threshold Summary'!$Y:$Y,'Threshold Summary'!$R:$R,"")/4))*XLOOKUP($Q586,'Threshold Summary'!$Y:$Y,'Threshold Summary'!$L:$L,""))/100)+5)*XLOOKUP(XLOOKUP($Q586,'Threshold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Editor'!$E:$E,1))),stab,IF(OR(mtype=XLOOKUP(XLOOKUP($Q586,'Threshold Summary'!$Y:$Y,'Threshold Summary'!$K:$K,""),'Pokemon Editor'!$A:$A,'Pokemon Editor'!$C:$C,""),mtype=XLOOKUP(XLOOKUP($Q586,'Threshold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Chart'!$B$1:$S$1,0)))),base,IF(OR(cat="Status",pow=0),0,FLOOR(FLOOR(FLOOR((2*XLOOKUP($Q586,'Threshold Summary'!$Y:$Y,'Threshold Summary'!$L:$L,"")/5+2)*pow*atk/def)/50)+2)),modifier,stab*eff,FLOOR(base*modifier*0.85)),0)</f>
        <v/>
      </c>
      <c r="K586" s="3">
        <f>IFERROR(LET(mtype,XLOOKUP($D586,'Move Editor'!$B:$B,'Move Editor'!$C:$C,""),cat,XLOOKUP($D586,'Move Editor'!$B:$B,'Move Editor'!$D:$D,""),pow,XLOOKUP($D586,'Move Editor'!$B:$B,'Move Editor'!$E:$E,0),acc,XLOOKUP($D586,'Move Editor'!$B:$B,'Move Editor'!$F:$F,100),atk,IF(cat="Physical",FLOOR((FLOOR(((2*XLOOKUP(XLOOKUP($Q586,'Threshold Summary'!$Y:$Y,'Threshold Summary'!$K:$K,""),'Pokemon Editor'!$A:$A,'Pokemon Editor'!$F:$F,0)+31+FLOOR(XLOOKUP($Q586,'Threshold Summary'!$Y:$Y,'Threshold Summary'!$P:$P,"")/4))*XLOOKUP($Q586,'Threshold Summary'!$Y:$Y,'Threshold Summary'!$L:$L,""))/100)+5)*XLOOKUP(XLOOKUP($Q586,'Threshold Summary'!$Y:$Y,'Threshold Summary'!$M:$M,""),'Nature Editor'!$A:$A,'Nature Editor'!$B:$B,1)),FLOOR((FLOOR(((2*XLOOKUP(XLOOKUP($Q586,'Threshold Summary'!$Y:$Y,'Threshold Summary'!$K:$K,""),'Pokemon Editor'!$A:$A,'Pokemon Editor'!$H:$H,0)+31+FLOOR(XLOOKUP($Q586,'Threshold Summary'!$Y:$Y,'Threshold Summary'!$R:$R,"")/4))*XLOOKUP($Q586,'Threshold Summary'!$Y:$Y,'Threshold Summary'!$L:$L,""))/100)+5)*XLOOKUP(XLOOKUP($Q586,'Threshold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Editor'!$E:$E,1))),stab,IF(OR(mtype=XLOOKUP(XLOOKUP($Q586,'Threshold Summary'!$Y:$Y,'Threshold Summary'!$K:$K,""),'Pokemon Editor'!$A:$A,'Pokemon Editor'!$C:$C,""),mtype=XLOOKUP(XLOOKUP($Q586,'Threshold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Chart'!$B$1:$S$1,0)))),base,IF(OR(cat="Status",pow=0),0,FLOOR(FLOOR(FLOOR((2*XLOOKUP($Q586,'Threshold Summary'!$Y:$Y,'Threshold Summary'!$L:$L,"")/5+2)*pow*atk/def)/50)+2)),modifier,stab*eff,FLOOR(base*modifier)),0)</f>
        <v/>
      </c>
      <c r="L586" s="3">
        <f>IFERROR(LET(mtype,XLOOKUP($D586,'Move Editor'!$B:$B,'Move Editor'!$C:$C,""),cat,XLOOKUP($D586,'Move Editor'!$B:$B,'Move Editor'!$D:$D,""),pow,XLOOKUP($D586,'Move Editor'!$B:$B,'Move Editor'!$E:$E,0),acc,XLOOKUP($D586,'Move Editor'!$B:$B,'Move Editor'!$F:$F,100),atk,IF(cat="Physical",FLOOR((FLOOR(((2*XLOOKUP(XLOOKUP($Q586,'Threshold Summary'!$Y:$Y,'Threshold Summary'!$K:$K,""),'Pokemon Editor'!$A:$A,'Pokemon Editor'!$F:$F,0)+31+FLOOR(XLOOKUP($Q586,'Threshold Summary'!$Y:$Y,'Threshold Summary'!$P:$P,"")/4))*XLOOKUP($Q586,'Threshold Summary'!$Y:$Y,'Threshold Summary'!$L:$L,""))/100)+5)*XLOOKUP(XLOOKUP($Q586,'Threshold Summary'!$Y:$Y,'Threshold Summary'!$M:$M,""),'Nature Editor'!$A:$A,'Nature Editor'!$B:$B,1)),FLOOR((FLOOR(((2*XLOOKUP(XLOOKUP($Q586,'Threshold Summary'!$Y:$Y,'Threshold Summary'!$K:$K,""),'Pokemon Editor'!$A:$A,'Pokemon Editor'!$H:$H,0)+31+FLOOR(XLOOKUP($Q586,'Threshold Summary'!$Y:$Y,'Threshold Summary'!$R:$R,"")/4))*XLOOKUP($Q586,'Threshold Summary'!$Y:$Y,'Threshold Summary'!$L:$L,""))/100)+5)*XLOOKUP(XLOOKUP($Q586,'Threshold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Editor'!$E:$E,1))),stab,IF(OR(mtype=XLOOKUP(XLOOKUP($Q586,'Threshold Summary'!$Y:$Y,'Threshold Summary'!$K:$K,""),'Pokemon Editor'!$A:$A,'Pokemon Editor'!$C:$C,""),mtype=XLOOKUP(XLOOKUP($Q586,'Threshold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Chart'!$B$1:$S$1,0)))),base,IF(OR(cat="Status",pow=0),0,FLOOR(FLOOR(FLOOR((2*XLOOKUP($Q586,'Threshold Summary'!$Y:$Y,'Threshold Summary'!$L:$L,"")/5+2)*pow*atk/def)/50)+2)),modifier,stab*eff,AVERAGE(ARRAYFORMULA(FLOOR(base*modifier*SEQUENCE(16,1,85,1)/100)))),0)</f>
        <v/>
      </c>
      <c r="M586" s="3">
        <f>IFERROR(LET(mtype,XLOOKUP($D586,'Move Editor'!$B:$B,'Move Editor'!$C:$C,""),cat,XLOOKUP($D586,'Move Editor'!$B:$B,'Move Editor'!$D:$D,""),pow,XLOOKUP($D586,'Move Editor'!$B:$B,'Move Editor'!$E:$E,0),acc,XLOOKUP($D586,'Move Editor'!$B:$B,'Move Editor'!$F:$F,100),atk,IF(cat="Physical",FLOOR((FLOOR(((2*XLOOKUP(XLOOKUP($Q586,'Threshold Summary'!$Y:$Y,'Threshold Summary'!$K:$K,""),'Pokemon Editor'!$A:$A,'Pokemon Editor'!$F:$F,0)+31+FLOOR(XLOOKUP($Q586,'Threshold Summary'!$Y:$Y,'Threshold Summary'!$P:$P,"")/4))*XLOOKUP($Q586,'Threshold Summary'!$Y:$Y,'Threshold Summary'!$L:$L,""))/100)+5)*XLOOKUP(XLOOKUP($Q586,'Threshold Summary'!$Y:$Y,'Threshold Summary'!$M:$M,""),'Nature Editor'!$A:$A,'Nature Editor'!$B:$B,1)),FLOOR((FLOOR(((2*XLOOKUP(XLOOKUP($Q586,'Threshold Summary'!$Y:$Y,'Threshold Summary'!$K:$K,""),'Pokemon Editor'!$A:$A,'Pokemon Editor'!$H:$H,0)+31+FLOOR(XLOOKUP($Q586,'Threshold Summary'!$Y:$Y,'Threshold Summary'!$R:$R,"")/4))*XLOOKUP($Q586,'Threshold Summary'!$Y:$Y,'Threshold Summary'!$L:$L,""))/100)+5)*XLOOKUP(XLOOKUP($Q586,'Threshold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Editor'!$E:$E,1))),stab,IF(OR(mtype=XLOOKUP(XLOOKUP($Q586,'Threshold Summary'!$Y:$Y,'Threshold Summary'!$K:$K,""),'Pokemon Editor'!$A:$A,'Pokemon Editor'!$C:$C,""),mtype=XLOOKUP(XLOOKUP($Q586,'Threshold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Chart'!$B$1:$S$1,0)))),base,IF(OR(cat="Status",pow=0),0,FLOOR(FLOOR(FLOOR((2*XLOOKUP($Q586,'Threshold Summary'!$Y:$Y,'Threshold Summary'!$L:$L,"")/5+2)*pow*atk/def)/50)+2)),modifier,stab*eff,AVERAGE(ARRAYFORMULA(FLOOR(base*modifier*SEQUENCE(16,1,85,1)/100)))*MIN(1,acc/100)),0)</f>
        <v/>
      </c>
      <c r="N586" s="4">
        <f>IFERROR(LET(mtype,XLOOKUP($D586,'Move Editor'!$B:$B,'Move Editor'!$C:$C,""),cat,XLOOKUP($D586,'Move Editor'!$B:$B,'Move Editor'!$D:$D,""),pow,XLOOKUP($D586,'Move Editor'!$B:$B,'Move Editor'!$E:$E,0),acc,XLOOKUP($D586,'Move Editor'!$B:$B,'Move Editor'!$F:$F,100),atk,IF(cat="Physical",FLOOR((FLOOR(((2*XLOOKUP(XLOOKUP($Q586,'Threshold Summary'!$Y:$Y,'Threshold Summary'!$K:$K,""),'Pokemon Editor'!$A:$A,'Pokemon Editor'!$F:$F,0)+31+FLOOR(XLOOKUP($Q586,'Threshold Summary'!$Y:$Y,'Threshold Summary'!$P:$P,"")/4))*XLOOKUP($Q586,'Threshold Summary'!$Y:$Y,'Threshold Summary'!$L:$L,""))/100)+5)*XLOOKUP(XLOOKUP($Q586,'Threshold Summary'!$Y:$Y,'Threshold Summary'!$M:$M,""),'Nature Editor'!$A:$A,'Nature Editor'!$B:$B,1)),FLOOR((FLOOR(((2*XLOOKUP(XLOOKUP($Q586,'Threshold Summary'!$Y:$Y,'Threshold Summary'!$K:$K,""),'Pokemon Editor'!$A:$A,'Pokemon Editor'!$H:$H,0)+31+FLOOR(XLOOKUP($Q586,'Threshold Summary'!$Y:$Y,'Threshold Summary'!$R:$R,"")/4))*XLOOKUP($Q586,'Threshold Summary'!$Y:$Y,'Threshold Summary'!$L:$L,""))/100)+5)*XLOOKUP(XLOOKUP($Q586,'Threshold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Editor'!$E:$E,1))),stab,IF(OR(mtype=XLOOKUP(XLOOKUP($Q586,'Threshold Summary'!$Y:$Y,'Threshold Summary'!$K:$K,""),'Pokemon Editor'!$A:$A,'Pokemon Editor'!$C:$C,""),mtype=XLOOKUP(XLOOKUP($Q586,'Threshold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Chart'!$B$1:$S$1,0)))),base,IF(OR(cat="Status",pow=0),0,FLOOR(FLOOR(FLOOR((2*XLOOKUP($Q586,'Threshold Summary'!$Y:$Y,'Threshold Summary'!$L:$L,"")/5+2)*pow*atk/def)/50)+2)),modifier,stab*eff,AVERAGE(ARRAYFORMULA(FLOOR(base*modifier*SEQUENCE(16,1,85,1)/100)))/(FLOOR(((2*XLOOKUP('Boss Editor'!$C$4,'Pokemon Editor'!$A:$A,'Pokemon Editor'!$E:$E,0)+31+FLOOR('Boss Editor'!$G$4/4))*'Boss Editor'!$D$4)/100)+'Boss Editor'!$D$4+10)),0)</f>
        <v/>
      </c>
      <c r="O586" s="3">
        <f>IF(N586&gt;=1,"OHKO",IF(N586&gt;=0.5,"2HKO",IF(N586&gt;=0.333,"3HKO",IF(N586&gt;=0.25,"4HKO","5HKO+"))))</f>
        <v/>
      </c>
      <c r="P586" s="3" t="inlineStr">
        <is>
          <t>Live from editable databases</t>
        </is>
      </c>
      <c r="Q586" s="3" t="inlineStr">
        <is>
          <t>SPECIES_FLETCHLING</t>
        </is>
      </c>
      <c r="R586" s="3" t="n">
        <v>9</v>
      </c>
    </row>
    <row r="587">
      <c r="A587" s="3">
        <f>XLOOKUP($Q587,'Threshold Summary'!$Y:$Y,'Threshold Summary'!$A:$A,"")</f>
        <v/>
      </c>
      <c r="B587" s="3">
        <f>XLOOKUP($Q587,'Threshold Summary'!$Y:$Y,'Threshold Summary'!$M:$M,"")</f>
        <v/>
      </c>
      <c r="C587" s="3">
        <f>XLOOKUP($Q587,'Threshold Summary'!$Y:$Y,'Threshold Summary'!$N:$N,"")</f>
        <v/>
      </c>
      <c r="D587" s="3">
        <f>IFERROR(INDEX(FILTER('Learnset Editor'!$D$2:$D,'Learnset Editor'!$A$2:$A=XLOOKUP($Q587,'Threshold Summary'!$Y:$Y,'Threshold Summary'!$K:$K,""),'Learnset Editor'!$C$2:$C&lt;=XLOOKUP($Q587,'Threshold Summary'!$Y:$Y,'Threshold Summary'!$L:$L,"")),$R587),"")</f>
        <v/>
      </c>
      <c r="E587" s="3">
        <f>XLOOKUP(D587,'Move Editor'!$B:$B,'Move Editor'!$C:$C,"")</f>
        <v/>
      </c>
      <c r="F587" s="3">
        <f>XLOOKUP(D587,'Move Editor'!$B:$B,'Move Editor'!$D:$D,"")</f>
        <v/>
      </c>
      <c r="G587" s="3">
        <f>XLOOKUP(D587,'Move Editor'!$B:$B,'Move Editor'!$E:$E,0)</f>
        <v/>
      </c>
      <c r="H587" s="3">
        <f>XLOOKUP(D587,'Move Editor'!$B:$B,'Move Editor'!$F:$F,0)</f>
        <v/>
      </c>
      <c r="I587" s="3">
        <f>(INDEX('Type Chart'!$B:$S,MATCH(E587,'Type Chart'!$A:$A,0),MATCH(XLOOKUP('Boss Editor'!$C$4,'Pokemon Editor'!$A:$A,'Pokemon Editor'!$C:$C,""),'Type Chart'!$B$1:$S$1,0))*IF(XLOOKUP('Boss Editor'!$C$4,'Pokemon Editor'!$A:$A,'Pokemon Editor'!$D:$D,"")="",1,INDEX('Type Chart'!$B:$S,MATCH(E587,'Type Chart'!$A:$A,0),MATCH(XLOOKUP('Boss Editor'!$C$4,'Pokemon Editor'!$A:$A,'Pokemon Editor'!$D:$D,""),'Type Chart'!$B$1:$S$1,0))))</f>
        <v/>
      </c>
      <c r="J587" s="3">
        <f>IFERROR(LET(mtype,XLOOKUP($D587,'Move Editor'!$B:$B,'Move Editor'!$C:$C,""),cat,XLOOKUP($D587,'Move Editor'!$B:$B,'Move Editor'!$D:$D,""),pow,XLOOKUP($D587,'Move Editor'!$B:$B,'Move Editor'!$E:$E,0),acc,XLOOKUP($D587,'Move Editor'!$B:$B,'Move Editor'!$F:$F,100),atk,IF(cat="Physical",FLOOR((FLOOR(((2*XLOOKUP(XLOOKUP($Q587,'Threshold Summary'!$Y:$Y,'Threshold Summary'!$K:$K,""),'Pokemon Editor'!$A:$A,'Pokemon Editor'!$F:$F,0)+31+FLOOR(XLOOKUP($Q587,'Threshold Summary'!$Y:$Y,'Threshold Summary'!$P:$P,"")/4))*XLOOKUP($Q587,'Threshold Summary'!$Y:$Y,'Threshold Summary'!$L:$L,""))/100)+5)*XLOOKUP(XLOOKUP($Q587,'Threshold Summary'!$Y:$Y,'Threshold Summary'!$M:$M,""),'Nature Editor'!$A:$A,'Nature Editor'!$B:$B,1)),FLOOR((FLOOR(((2*XLOOKUP(XLOOKUP($Q587,'Threshold Summary'!$Y:$Y,'Threshold Summary'!$K:$K,""),'Pokemon Editor'!$A:$A,'Pokemon Editor'!$H:$H,0)+31+FLOOR(XLOOKUP($Q587,'Threshold Summary'!$Y:$Y,'Threshold Summary'!$R:$R,"")/4))*XLOOKUP($Q587,'Threshold Summary'!$Y:$Y,'Threshold Summary'!$L:$L,""))/100)+5)*XLOOKUP(XLOOKUP($Q587,'Threshold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Editor'!$E:$E,1))),stab,IF(OR(mtype=XLOOKUP(XLOOKUP($Q587,'Threshold Summary'!$Y:$Y,'Threshold Summary'!$K:$K,""),'Pokemon Editor'!$A:$A,'Pokemon Editor'!$C:$C,""),mtype=XLOOKUP(XLOOKUP($Q587,'Threshold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Chart'!$B$1:$S$1,0)))),base,IF(OR(cat="Status",pow=0),0,FLOOR(FLOOR(FLOOR((2*XLOOKUP($Q587,'Threshold Summary'!$Y:$Y,'Threshold Summary'!$L:$L,"")/5+2)*pow*atk/def)/50)+2)),modifier,stab*eff,FLOOR(base*modifier*0.85)),0)</f>
        <v/>
      </c>
      <c r="K587" s="3">
        <f>IFERROR(LET(mtype,XLOOKUP($D587,'Move Editor'!$B:$B,'Move Editor'!$C:$C,""),cat,XLOOKUP($D587,'Move Editor'!$B:$B,'Move Editor'!$D:$D,""),pow,XLOOKUP($D587,'Move Editor'!$B:$B,'Move Editor'!$E:$E,0),acc,XLOOKUP($D587,'Move Editor'!$B:$B,'Move Editor'!$F:$F,100),atk,IF(cat="Physical",FLOOR((FLOOR(((2*XLOOKUP(XLOOKUP($Q587,'Threshold Summary'!$Y:$Y,'Threshold Summary'!$K:$K,""),'Pokemon Editor'!$A:$A,'Pokemon Editor'!$F:$F,0)+31+FLOOR(XLOOKUP($Q587,'Threshold Summary'!$Y:$Y,'Threshold Summary'!$P:$P,"")/4))*XLOOKUP($Q587,'Threshold Summary'!$Y:$Y,'Threshold Summary'!$L:$L,""))/100)+5)*XLOOKUP(XLOOKUP($Q587,'Threshold Summary'!$Y:$Y,'Threshold Summary'!$M:$M,""),'Nature Editor'!$A:$A,'Nature Editor'!$B:$B,1)),FLOOR((FLOOR(((2*XLOOKUP(XLOOKUP($Q587,'Threshold Summary'!$Y:$Y,'Threshold Summary'!$K:$K,""),'Pokemon Editor'!$A:$A,'Pokemon Editor'!$H:$H,0)+31+FLOOR(XLOOKUP($Q587,'Threshold Summary'!$Y:$Y,'Threshold Summary'!$R:$R,"")/4))*XLOOKUP($Q587,'Threshold Summary'!$Y:$Y,'Threshold Summary'!$L:$L,""))/100)+5)*XLOOKUP(XLOOKUP($Q587,'Threshold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Editor'!$E:$E,1))),stab,IF(OR(mtype=XLOOKUP(XLOOKUP($Q587,'Threshold Summary'!$Y:$Y,'Threshold Summary'!$K:$K,""),'Pokemon Editor'!$A:$A,'Pokemon Editor'!$C:$C,""),mtype=XLOOKUP(XLOOKUP($Q587,'Threshold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Chart'!$B$1:$S$1,0)))),base,IF(OR(cat="Status",pow=0),0,FLOOR(FLOOR(FLOOR((2*XLOOKUP($Q587,'Threshold Summary'!$Y:$Y,'Threshold Summary'!$L:$L,"")/5+2)*pow*atk/def)/50)+2)),modifier,stab*eff,FLOOR(base*modifier)),0)</f>
        <v/>
      </c>
      <c r="L587" s="3">
        <f>IFERROR(LET(mtype,XLOOKUP($D587,'Move Editor'!$B:$B,'Move Editor'!$C:$C,""),cat,XLOOKUP($D587,'Move Editor'!$B:$B,'Move Editor'!$D:$D,""),pow,XLOOKUP($D587,'Move Editor'!$B:$B,'Move Editor'!$E:$E,0),acc,XLOOKUP($D587,'Move Editor'!$B:$B,'Move Editor'!$F:$F,100),atk,IF(cat="Physical",FLOOR((FLOOR(((2*XLOOKUP(XLOOKUP($Q587,'Threshold Summary'!$Y:$Y,'Threshold Summary'!$K:$K,""),'Pokemon Editor'!$A:$A,'Pokemon Editor'!$F:$F,0)+31+FLOOR(XLOOKUP($Q587,'Threshold Summary'!$Y:$Y,'Threshold Summary'!$P:$P,"")/4))*XLOOKUP($Q587,'Threshold Summary'!$Y:$Y,'Threshold Summary'!$L:$L,""))/100)+5)*XLOOKUP(XLOOKUP($Q587,'Threshold Summary'!$Y:$Y,'Threshold Summary'!$M:$M,""),'Nature Editor'!$A:$A,'Nature Editor'!$B:$B,1)),FLOOR((FLOOR(((2*XLOOKUP(XLOOKUP($Q587,'Threshold Summary'!$Y:$Y,'Threshold Summary'!$K:$K,""),'Pokemon Editor'!$A:$A,'Pokemon Editor'!$H:$H,0)+31+FLOOR(XLOOKUP($Q587,'Threshold Summary'!$Y:$Y,'Threshold Summary'!$R:$R,"")/4))*XLOOKUP($Q587,'Threshold Summary'!$Y:$Y,'Threshold Summary'!$L:$L,""))/100)+5)*XLOOKUP(XLOOKUP($Q587,'Threshold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Editor'!$E:$E,1))),stab,IF(OR(mtype=XLOOKUP(XLOOKUP($Q587,'Threshold Summary'!$Y:$Y,'Threshold Summary'!$K:$K,""),'Pokemon Editor'!$A:$A,'Pokemon Editor'!$C:$C,""),mtype=XLOOKUP(XLOOKUP($Q587,'Threshold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Chart'!$B$1:$S$1,0)))),base,IF(OR(cat="Status",pow=0),0,FLOOR(FLOOR(FLOOR((2*XLOOKUP($Q587,'Threshold Summary'!$Y:$Y,'Threshold Summary'!$L:$L,"")/5+2)*pow*atk/def)/50)+2)),modifier,stab*eff,AVERAGE(ARRAYFORMULA(FLOOR(base*modifier*SEQUENCE(16,1,85,1)/100)))),0)</f>
        <v/>
      </c>
      <c r="M587" s="3">
        <f>IFERROR(LET(mtype,XLOOKUP($D587,'Move Editor'!$B:$B,'Move Editor'!$C:$C,""),cat,XLOOKUP($D587,'Move Editor'!$B:$B,'Move Editor'!$D:$D,""),pow,XLOOKUP($D587,'Move Editor'!$B:$B,'Move Editor'!$E:$E,0),acc,XLOOKUP($D587,'Move Editor'!$B:$B,'Move Editor'!$F:$F,100),atk,IF(cat="Physical",FLOOR((FLOOR(((2*XLOOKUP(XLOOKUP($Q587,'Threshold Summary'!$Y:$Y,'Threshold Summary'!$K:$K,""),'Pokemon Editor'!$A:$A,'Pokemon Editor'!$F:$F,0)+31+FLOOR(XLOOKUP($Q587,'Threshold Summary'!$Y:$Y,'Threshold Summary'!$P:$P,"")/4))*XLOOKUP($Q587,'Threshold Summary'!$Y:$Y,'Threshold Summary'!$L:$L,""))/100)+5)*XLOOKUP(XLOOKUP($Q587,'Threshold Summary'!$Y:$Y,'Threshold Summary'!$M:$M,""),'Nature Editor'!$A:$A,'Nature Editor'!$B:$B,1)),FLOOR((FLOOR(((2*XLOOKUP(XLOOKUP($Q587,'Threshold Summary'!$Y:$Y,'Threshold Summary'!$K:$K,""),'Pokemon Editor'!$A:$A,'Pokemon Editor'!$H:$H,0)+31+FLOOR(XLOOKUP($Q587,'Threshold Summary'!$Y:$Y,'Threshold Summary'!$R:$R,"")/4))*XLOOKUP($Q587,'Threshold Summary'!$Y:$Y,'Threshold Summary'!$L:$L,""))/100)+5)*XLOOKUP(XLOOKUP($Q587,'Threshold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Editor'!$E:$E,1))),stab,IF(OR(mtype=XLOOKUP(XLOOKUP($Q587,'Threshold Summary'!$Y:$Y,'Threshold Summary'!$K:$K,""),'Pokemon Editor'!$A:$A,'Pokemon Editor'!$C:$C,""),mtype=XLOOKUP(XLOOKUP($Q587,'Threshold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Chart'!$B$1:$S$1,0)))),base,IF(OR(cat="Status",pow=0),0,FLOOR(FLOOR(FLOOR((2*XLOOKUP($Q587,'Threshold Summary'!$Y:$Y,'Threshold Summary'!$L:$L,"")/5+2)*pow*atk/def)/50)+2)),modifier,stab*eff,AVERAGE(ARRAYFORMULA(FLOOR(base*modifier*SEQUENCE(16,1,85,1)/100)))*MIN(1,acc/100)),0)</f>
        <v/>
      </c>
      <c r="N587" s="4">
        <f>IFERROR(LET(mtype,XLOOKUP($D587,'Move Editor'!$B:$B,'Move Editor'!$C:$C,""),cat,XLOOKUP($D587,'Move Editor'!$B:$B,'Move Editor'!$D:$D,""),pow,XLOOKUP($D587,'Move Editor'!$B:$B,'Move Editor'!$E:$E,0),acc,XLOOKUP($D587,'Move Editor'!$B:$B,'Move Editor'!$F:$F,100),atk,IF(cat="Physical",FLOOR((FLOOR(((2*XLOOKUP(XLOOKUP($Q587,'Threshold Summary'!$Y:$Y,'Threshold Summary'!$K:$K,""),'Pokemon Editor'!$A:$A,'Pokemon Editor'!$F:$F,0)+31+FLOOR(XLOOKUP($Q587,'Threshold Summary'!$Y:$Y,'Threshold Summary'!$P:$P,"")/4))*XLOOKUP($Q587,'Threshold Summary'!$Y:$Y,'Threshold Summary'!$L:$L,""))/100)+5)*XLOOKUP(XLOOKUP($Q587,'Threshold Summary'!$Y:$Y,'Threshold Summary'!$M:$M,""),'Nature Editor'!$A:$A,'Nature Editor'!$B:$B,1)),FLOOR((FLOOR(((2*XLOOKUP(XLOOKUP($Q587,'Threshold Summary'!$Y:$Y,'Threshold Summary'!$K:$K,""),'Pokemon Editor'!$A:$A,'Pokemon Editor'!$H:$H,0)+31+FLOOR(XLOOKUP($Q587,'Threshold Summary'!$Y:$Y,'Threshold Summary'!$R:$R,"")/4))*XLOOKUP($Q587,'Threshold Summary'!$Y:$Y,'Threshold Summary'!$L:$L,""))/100)+5)*XLOOKUP(XLOOKUP($Q587,'Threshold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Editor'!$E:$E,1))),stab,IF(OR(mtype=XLOOKUP(XLOOKUP($Q587,'Threshold Summary'!$Y:$Y,'Threshold Summary'!$K:$K,""),'Pokemon Editor'!$A:$A,'Pokemon Editor'!$C:$C,""),mtype=XLOOKUP(XLOOKUP($Q587,'Threshold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Chart'!$B$1:$S$1,0)))),base,IF(OR(cat="Status",pow=0),0,FLOOR(FLOOR(FLOOR((2*XLOOKUP($Q587,'Threshold Summary'!$Y:$Y,'Threshold Summary'!$L:$L,"")/5+2)*pow*atk/def)/50)+2)),modifier,stab*eff,AVERAGE(ARRAYFORMULA(FLOOR(base*modifier*SEQUENCE(16,1,85,1)/100)))/(FLOOR(((2*XLOOKUP('Boss Editor'!$C$4,'Pokemon Editor'!$A:$A,'Pokemon Editor'!$E:$E,0)+31+FLOOR('Boss Editor'!$G$4/4))*'Boss Editor'!$D$4)/100)+'Boss Editor'!$D$4+10)),0)</f>
        <v/>
      </c>
      <c r="O587" s="3">
        <f>IF(N587&gt;=1,"OHKO",IF(N587&gt;=0.5,"2HKO",IF(N587&gt;=0.333,"3HKO",IF(N587&gt;=0.25,"4HKO","5HKO+"))))</f>
        <v/>
      </c>
      <c r="P587" s="3" t="inlineStr">
        <is>
          <t>Live from editable databases</t>
        </is>
      </c>
      <c r="Q587" s="3" t="inlineStr">
        <is>
          <t>SPECIES_FLETCHLING</t>
        </is>
      </c>
      <c r="R587" s="3" t="n">
        <v>10</v>
      </c>
    </row>
    <row r="588">
      <c r="A588" s="3">
        <f>XLOOKUP($Q588,'Threshold Summary'!$Y:$Y,'Threshold Summary'!$A:$A,"")</f>
        <v/>
      </c>
      <c r="B588" s="3">
        <f>XLOOKUP($Q588,'Threshold Summary'!$Y:$Y,'Threshold Summary'!$M:$M,"")</f>
        <v/>
      </c>
      <c r="C588" s="3">
        <f>XLOOKUP($Q588,'Threshold Summary'!$Y:$Y,'Threshold Summary'!$N:$N,"")</f>
        <v/>
      </c>
      <c r="D588" s="3">
        <f>IFERROR(INDEX(FILTER('Learnset Editor'!$D$2:$D,'Learnset Editor'!$A$2:$A=XLOOKUP($Q588,'Threshold Summary'!$Y:$Y,'Threshold Summary'!$K:$K,""),'Learnset Editor'!$C$2:$C&lt;=XLOOKUP($Q588,'Threshold Summary'!$Y:$Y,'Threshold Summary'!$L:$L,"")),$R588),"")</f>
        <v/>
      </c>
      <c r="E588" s="3">
        <f>XLOOKUP(D588,'Move Editor'!$B:$B,'Move Editor'!$C:$C,"")</f>
        <v/>
      </c>
      <c r="F588" s="3">
        <f>XLOOKUP(D588,'Move Editor'!$B:$B,'Move Editor'!$D:$D,"")</f>
        <v/>
      </c>
      <c r="G588" s="3">
        <f>XLOOKUP(D588,'Move Editor'!$B:$B,'Move Editor'!$E:$E,0)</f>
        <v/>
      </c>
      <c r="H588" s="3">
        <f>XLOOKUP(D588,'Move Editor'!$B:$B,'Move Editor'!$F:$F,0)</f>
        <v/>
      </c>
      <c r="I588" s="3">
        <f>(INDEX('Type Chart'!$B:$S,MATCH(E588,'Type Chart'!$A:$A,0),MATCH(XLOOKUP('Boss Editor'!$C$4,'Pokemon Editor'!$A:$A,'Pokemon Editor'!$C:$C,""),'Type Chart'!$B$1:$S$1,0))*IF(XLOOKUP('Boss Editor'!$C$4,'Pokemon Editor'!$A:$A,'Pokemon Editor'!$D:$D,"")="",1,INDEX('Type Chart'!$B:$S,MATCH(E588,'Type Chart'!$A:$A,0),MATCH(XLOOKUP('Boss Editor'!$C$4,'Pokemon Editor'!$A:$A,'Pokemon Editor'!$D:$D,""),'Type Chart'!$B$1:$S$1,0))))</f>
        <v/>
      </c>
      <c r="J588" s="3">
        <f>IFERROR(LET(mtype,XLOOKUP($D588,'Move Editor'!$B:$B,'Move Editor'!$C:$C,""),cat,XLOOKUP($D588,'Move Editor'!$B:$B,'Move Editor'!$D:$D,""),pow,XLOOKUP($D588,'Move Editor'!$B:$B,'Move Editor'!$E:$E,0),acc,XLOOKUP($D588,'Move Editor'!$B:$B,'Move Editor'!$F:$F,100),atk,IF(cat="Physical",FLOOR((FLOOR(((2*XLOOKUP(XLOOKUP($Q588,'Threshold Summary'!$Y:$Y,'Threshold Summary'!$K:$K,""),'Pokemon Editor'!$A:$A,'Pokemon Editor'!$F:$F,0)+31+FLOOR(XLOOKUP($Q588,'Threshold Summary'!$Y:$Y,'Threshold Summary'!$P:$P,"")/4))*XLOOKUP($Q588,'Threshold Summary'!$Y:$Y,'Threshold Summary'!$L:$L,""))/100)+5)*XLOOKUP(XLOOKUP($Q588,'Threshold Summary'!$Y:$Y,'Threshold Summary'!$M:$M,""),'Nature Editor'!$A:$A,'Nature Editor'!$B:$B,1)),FLOOR((FLOOR(((2*XLOOKUP(XLOOKUP($Q588,'Threshold Summary'!$Y:$Y,'Threshold Summary'!$K:$K,""),'Pokemon Editor'!$A:$A,'Pokemon Editor'!$H:$H,0)+31+FLOOR(XLOOKUP($Q588,'Threshold Summary'!$Y:$Y,'Threshold Summary'!$R:$R,"")/4))*XLOOKUP($Q588,'Threshold Summary'!$Y:$Y,'Threshold Summary'!$L:$L,""))/100)+5)*XLOOKUP(XLOOKUP($Q588,'Threshold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Editor'!$E:$E,1))),stab,IF(OR(mtype=XLOOKUP(XLOOKUP($Q588,'Threshold Summary'!$Y:$Y,'Threshold Summary'!$K:$K,""),'Pokemon Editor'!$A:$A,'Pokemon Editor'!$C:$C,""),mtype=XLOOKUP(XLOOKUP($Q588,'Threshold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Chart'!$B$1:$S$1,0)))),base,IF(OR(cat="Status",pow=0),0,FLOOR(FLOOR(FLOOR((2*XLOOKUP($Q588,'Threshold Summary'!$Y:$Y,'Threshold Summary'!$L:$L,"")/5+2)*pow*atk/def)/50)+2)),modifier,stab*eff,FLOOR(base*modifier*0.85)),0)</f>
        <v/>
      </c>
      <c r="K588" s="3">
        <f>IFERROR(LET(mtype,XLOOKUP($D588,'Move Editor'!$B:$B,'Move Editor'!$C:$C,""),cat,XLOOKUP($D588,'Move Editor'!$B:$B,'Move Editor'!$D:$D,""),pow,XLOOKUP($D588,'Move Editor'!$B:$B,'Move Editor'!$E:$E,0),acc,XLOOKUP($D588,'Move Editor'!$B:$B,'Move Editor'!$F:$F,100),atk,IF(cat="Physical",FLOOR((FLOOR(((2*XLOOKUP(XLOOKUP($Q588,'Threshold Summary'!$Y:$Y,'Threshold Summary'!$K:$K,""),'Pokemon Editor'!$A:$A,'Pokemon Editor'!$F:$F,0)+31+FLOOR(XLOOKUP($Q588,'Threshold Summary'!$Y:$Y,'Threshold Summary'!$P:$P,"")/4))*XLOOKUP($Q588,'Threshold Summary'!$Y:$Y,'Threshold Summary'!$L:$L,""))/100)+5)*XLOOKUP(XLOOKUP($Q588,'Threshold Summary'!$Y:$Y,'Threshold Summary'!$M:$M,""),'Nature Editor'!$A:$A,'Nature Editor'!$B:$B,1)),FLOOR((FLOOR(((2*XLOOKUP(XLOOKUP($Q588,'Threshold Summary'!$Y:$Y,'Threshold Summary'!$K:$K,""),'Pokemon Editor'!$A:$A,'Pokemon Editor'!$H:$H,0)+31+FLOOR(XLOOKUP($Q588,'Threshold Summary'!$Y:$Y,'Threshold Summary'!$R:$R,"")/4))*XLOOKUP($Q588,'Threshold Summary'!$Y:$Y,'Threshold Summary'!$L:$L,""))/100)+5)*XLOOKUP(XLOOKUP($Q588,'Threshold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Editor'!$E:$E,1))),stab,IF(OR(mtype=XLOOKUP(XLOOKUP($Q588,'Threshold Summary'!$Y:$Y,'Threshold Summary'!$K:$K,""),'Pokemon Editor'!$A:$A,'Pokemon Editor'!$C:$C,""),mtype=XLOOKUP(XLOOKUP($Q588,'Threshold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Chart'!$B$1:$S$1,0)))),base,IF(OR(cat="Status",pow=0),0,FLOOR(FLOOR(FLOOR((2*XLOOKUP($Q588,'Threshold Summary'!$Y:$Y,'Threshold Summary'!$L:$L,"")/5+2)*pow*atk/def)/50)+2)),modifier,stab*eff,FLOOR(base*modifier)),0)</f>
        <v/>
      </c>
      <c r="L588" s="3">
        <f>IFERROR(LET(mtype,XLOOKUP($D588,'Move Editor'!$B:$B,'Move Editor'!$C:$C,""),cat,XLOOKUP($D588,'Move Editor'!$B:$B,'Move Editor'!$D:$D,""),pow,XLOOKUP($D588,'Move Editor'!$B:$B,'Move Editor'!$E:$E,0),acc,XLOOKUP($D588,'Move Editor'!$B:$B,'Move Editor'!$F:$F,100),atk,IF(cat="Physical",FLOOR((FLOOR(((2*XLOOKUP(XLOOKUP($Q588,'Threshold Summary'!$Y:$Y,'Threshold Summary'!$K:$K,""),'Pokemon Editor'!$A:$A,'Pokemon Editor'!$F:$F,0)+31+FLOOR(XLOOKUP($Q588,'Threshold Summary'!$Y:$Y,'Threshold Summary'!$P:$P,"")/4))*XLOOKUP($Q588,'Threshold Summary'!$Y:$Y,'Threshold Summary'!$L:$L,""))/100)+5)*XLOOKUP(XLOOKUP($Q588,'Threshold Summary'!$Y:$Y,'Threshold Summary'!$M:$M,""),'Nature Editor'!$A:$A,'Nature Editor'!$B:$B,1)),FLOOR((FLOOR(((2*XLOOKUP(XLOOKUP($Q588,'Threshold Summary'!$Y:$Y,'Threshold Summary'!$K:$K,""),'Pokemon Editor'!$A:$A,'Pokemon Editor'!$H:$H,0)+31+FLOOR(XLOOKUP($Q588,'Threshold Summary'!$Y:$Y,'Threshold Summary'!$R:$R,"")/4))*XLOOKUP($Q588,'Threshold Summary'!$Y:$Y,'Threshold Summary'!$L:$L,""))/100)+5)*XLOOKUP(XLOOKUP($Q588,'Threshold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Editor'!$E:$E,1))),stab,IF(OR(mtype=XLOOKUP(XLOOKUP($Q588,'Threshold Summary'!$Y:$Y,'Threshold Summary'!$K:$K,""),'Pokemon Editor'!$A:$A,'Pokemon Editor'!$C:$C,""),mtype=XLOOKUP(XLOOKUP($Q588,'Threshold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Chart'!$B$1:$S$1,0)))),base,IF(OR(cat="Status",pow=0),0,FLOOR(FLOOR(FLOOR((2*XLOOKUP($Q588,'Threshold Summary'!$Y:$Y,'Threshold Summary'!$L:$L,"")/5+2)*pow*atk/def)/50)+2)),modifier,stab*eff,AVERAGE(ARRAYFORMULA(FLOOR(base*modifier*SEQUENCE(16,1,85,1)/100)))),0)</f>
        <v/>
      </c>
      <c r="M588" s="3">
        <f>IFERROR(LET(mtype,XLOOKUP($D588,'Move Editor'!$B:$B,'Move Editor'!$C:$C,""),cat,XLOOKUP($D588,'Move Editor'!$B:$B,'Move Editor'!$D:$D,""),pow,XLOOKUP($D588,'Move Editor'!$B:$B,'Move Editor'!$E:$E,0),acc,XLOOKUP($D588,'Move Editor'!$B:$B,'Move Editor'!$F:$F,100),atk,IF(cat="Physical",FLOOR((FLOOR(((2*XLOOKUP(XLOOKUP($Q588,'Threshold Summary'!$Y:$Y,'Threshold Summary'!$K:$K,""),'Pokemon Editor'!$A:$A,'Pokemon Editor'!$F:$F,0)+31+FLOOR(XLOOKUP($Q588,'Threshold Summary'!$Y:$Y,'Threshold Summary'!$P:$P,"")/4))*XLOOKUP($Q588,'Threshold Summary'!$Y:$Y,'Threshold Summary'!$L:$L,""))/100)+5)*XLOOKUP(XLOOKUP($Q588,'Threshold Summary'!$Y:$Y,'Threshold Summary'!$M:$M,""),'Nature Editor'!$A:$A,'Nature Editor'!$B:$B,1)),FLOOR((FLOOR(((2*XLOOKUP(XLOOKUP($Q588,'Threshold Summary'!$Y:$Y,'Threshold Summary'!$K:$K,""),'Pokemon Editor'!$A:$A,'Pokemon Editor'!$H:$H,0)+31+FLOOR(XLOOKUP($Q588,'Threshold Summary'!$Y:$Y,'Threshold Summary'!$R:$R,"")/4))*XLOOKUP($Q588,'Threshold Summary'!$Y:$Y,'Threshold Summary'!$L:$L,""))/100)+5)*XLOOKUP(XLOOKUP($Q588,'Threshold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Editor'!$E:$E,1))),stab,IF(OR(mtype=XLOOKUP(XLOOKUP($Q588,'Threshold Summary'!$Y:$Y,'Threshold Summary'!$K:$K,""),'Pokemon Editor'!$A:$A,'Pokemon Editor'!$C:$C,""),mtype=XLOOKUP(XLOOKUP($Q588,'Threshold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Chart'!$B$1:$S$1,0)))),base,IF(OR(cat="Status",pow=0),0,FLOOR(FLOOR(FLOOR((2*XLOOKUP($Q588,'Threshold Summary'!$Y:$Y,'Threshold Summary'!$L:$L,"")/5+2)*pow*atk/def)/50)+2)),modifier,stab*eff,AVERAGE(ARRAYFORMULA(FLOOR(base*modifier*SEQUENCE(16,1,85,1)/100)))*MIN(1,acc/100)),0)</f>
        <v/>
      </c>
      <c r="N588" s="4">
        <f>IFERROR(LET(mtype,XLOOKUP($D588,'Move Editor'!$B:$B,'Move Editor'!$C:$C,""),cat,XLOOKUP($D588,'Move Editor'!$B:$B,'Move Editor'!$D:$D,""),pow,XLOOKUP($D588,'Move Editor'!$B:$B,'Move Editor'!$E:$E,0),acc,XLOOKUP($D588,'Move Editor'!$B:$B,'Move Editor'!$F:$F,100),atk,IF(cat="Physical",FLOOR((FLOOR(((2*XLOOKUP(XLOOKUP($Q588,'Threshold Summary'!$Y:$Y,'Threshold Summary'!$K:$K,""),'Pokemon Editor'!$A:$A,'Pokemon Editor'!$F:$F,0)+31+FLOOR(XLOOKUP($Q588,'Threshold Summary'!$Y:$Y,'Threshold Summary'!$P:$P,"")/4))*XLOOKUP($Q588,'Threshold Summary'!$Y:$Y,'Threshold Summary'!$L:$L,""))/100)+5)*XLOOKUP(XLOOKUP($Q588,'Threshold Summary'!$Y:$Y,'Threshold Summary'!$M:$M,""),'Nature Editor'!$A:$A,'Nature Editor'!$B:$B,1)),FLOOR((FLOOR(((2*XLOOKUP(XLOOKUP($Q588,'Threshold Summary'!$Y:$Y,'Threshold Summary'!$K:$K,""),'Pokemon Editor'!$A:$A,'Pokemon Editor'!$H:$H,0)+31+FLOOR(XLOOKUP($Q588,'Threshold Summary'!$Y:$Y,'Threshold Summary'!$R:$R,"")/4))*XLOOKUP($Q588,'Threshold Summary'!$Y:$Y,'Threshold Summary'!$L:$L,""))/100)+5)*XLOOKUP(XLOOKUP($Q588,'Threshold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Editor'!$E:$E,1))),stab,IF(OR(mtype=XLOOKUP(XLOOKUP($Q588,'Threshold Summary'!$Y:$Y,'Threshold Summary'!$K:$K,""),'Pokemon Editor'!$A:$A,'Pokemon Editor'!$C:$C,""),mtype=XLOOKUP(XLOOKUP($Q588,'Threshold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Chart'!$B$1:$S$1,0)))),base,IF(OR(cat="Status",pow=0),0,FLOOR(FLOOR(FLOOR((2*XLOOKUP($Q588,'Threshold Summary'!$Y:$Y,'Threshold Summary'!$L:$L,"")/5+2)*pow*atk/def)/50)+2)),modifier,stab*eff,AVERAGE(ARRAYFORMULA(FLOOR(base*modifier*SEQUENCE(16,1,85,1)/100)))/(FLOOR(((2*XLOOKUP('Boss Editor'!$C$4,'Pokemon Editor'!$A:$A,'Pokemon Editor'!$E:$E,0)+31+FLOOR('Boss Editor'!$G$4/4))*'Boss Editor'!$D$4)/100)+'Boss Editor'!$D$4+10)),0)</f>
        <v/>
      </c>
      <c r="O588" s="3">
        <f>IF(N588&gt;=1,"OHKO",IF(N588&gt;=0.5,"2HKO",IF(N588&gt;=0.333,"3HKO",IF(N588&gt;=0.25,"4HKO","5HKO+"))))</f>
        <v/>
      </c>
      <c r="P588" s="3" t="inlineStr">
        <is>
          <t>Live from editable databases</t>
        </is>
      </c>
      <c r="Q588" s="3" t="inlineStr">
        <is>
          <t>SPECIES_FLETCHLING</t>
        </is>
      </c>
      <c r="R588" s="3" t="n">
        <v>11</v>
      </c>
    </row>
    <row r="589">
      <c r="A589" s="3">
        <f>XLOOKUP($Q589,'Threshold Summary'!$Y:$Y,'Threshold Summary'!$A:$A,"")</f>
        <v/>
      </c>
      <c r="B589" s="3">
        <f>XLOOKUP($Q589,'Threshold Summary'!$Y:$Y,'Threshold Summary'!$M:$M,"")</f>
        <v/>
      </c>
      <c r="C589" s="3">
        <f>XLOOKUP($Q589,'Threshold Summary'!$Y:$Y,'Threshold Summary'!$N:$N,"")</f>
        <v/>
      </c>
      <c r="D589" s="3">
        <f>IFERROR(INDEX(FILTER('Learnset Editor'!$D$2:$D,'Learnset Editor'!$A$2:$A=XLOOKUP($Q589,'Threshold Summary'!$Y:$Y,'Threshold Summary'!$K:$K,""),'Learnset Editor'!$C$2:$C&lt;=XLOOKUP($Q589,'Threshold Summary'!$Y:$Y,'Threshold Summary'!$L:$L,"")),$R589),"")</f>
        <v/>
      </c>
      <c r="E589" s="3">
        <f>XLOOKUP(D589,'Move Editor'!$B:$B,'Move Editor'!$C:$C,"")</f>
        <v/>
      </c>
      <c r="F589" s="3">
        <f>XLOOKUP(D589,'Move Editor'!$B:$B,'Move Editor'!$D:$D,"")</f>
        <v/>
      </c>
      <c r="G589" s="3">
        <f>XLOOKUP(D589,'Move Editor'!$B:$B,'Move Editor'!$E:$E,0)</f>
        <v/>
      </c>
      <c r="H589" s="3">
        <f>XLOOKUP(D589,'Move Editor'!$B:$B,'Move Editor'!$F:$F,0)</f>
        <v/>
      </c>
      <c r="I589" s="3">
        <f>(INDEX('Type Chart'!$B:$S,MATCH(E589,'Type Chart'!$A:$A,0),MATCH(XLOOKUP('Boss Editor'!$C$4,'Pokemon Editor'!$A:$A,'Pokemon Editor'!$C:$C,""),'Type Chart'!$B$1:$S$1,0))*IF(XLOOKUP('Boss Editor'!$C$4,'Pokemon Editor'!$A:$A,'Pokemon Editor'!$D:$D,"")="",1,INDEX('Type Chart'!$B:$S,MATCH(E589,'Type Chart'!$A:$A,0),MATCH(XLOOKUP('Boss Editor'!$C$4,'Pokemon Editor'!$A:$A,'Pokemon Editor'!$D:$D,""),'Type Chart'!$B$1:$S$1,0))))</f>
        <v/>
      </c>
      <c r="J589" s="3">
        <f>IFERROR(LET(mtype,XLOOKUP($D589,'Move Editor'!$B:$B,'Move Editor'!$C:$C,""),cat,XLOOKUP($D589,'Move Editor'!$B:$B,'Move Editor'!$D:$D,""),pow,XLOOKUP($D589,'Move Editor'!$B:$B,'Move Editor'!$E:$E,0),acc,XLOOKUP($D589,'Move Editor'!$B:$B,'Move Editor'!$F:$F,100),atk,IF(cat="Physical",FLOOR((FLOOR(((2*XLOOKUP(XLOOKUP($Q589,'Threshold Summary'!$Y:$Y,'Threshold Summary'!$K:$K,""),'Pokemon Editor'!$A:$A,'Pokemon Editor'!$F:$F,0)+31+FLOOR(XLOOKUP($Q589,'Threshold Summary'!$Y:$Y,'Threshold Summary'!$P:$P,"")/4))*XLOOKUP($Q589,'Threshold Summary'!$Y:$Y,'Threshold Summary'!$L:$L,""))/100)+5)*XLOOKUP(XLOOKUP($Q589,'Threshold Summary'!$Y:$Y,'Threshold Summary'!$M:$M,""),'Nature Editor'!$A:$A,'Nature Editor'!$B:$B,1)),FLOOR((FLOOR(((2*XLOOKUP(XLOOKUP($Q589,'Threshold Summary'!$Y:$Y,'Threshold Summary'!$K:$K,""),'Pokemon Editor'!$A:$A,'Pokemon Editor'!$H:$H,0)+31+FLOOR(XLOOKUP($Q589,'Threshold Summary'!$Y:$Y,'Threshold Summary'!$R:$R,"")/4))*XLOOKUP($Q589,'Threshold Summary'!$Y:$Y,'Threshold Summary'!$L:$L,""))/100)+5)*XLOOKUP(XLOOKUP($Q589,'Threshold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Editor'!$E:$E,1))),stab,IF(OR(mtype=XLOOKUP(XLOOKUP($Q589,'Threshold Summary'!$Y:$Y,'Threshold Summary'!$K:$K,""),'Pokemon Editor'!$A:$A,'Pokemon Editor'!$C:$C,""),mtype=XLOOKUP(XLOOKUP($Q589,'Threshold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Chart'!$B$1:$S$1,0)))),base,IF(OR(cat="Status",pow=0),0,FLOOR(FLOOR(FLOOR((2*XLOOKUP($Q589,'Threshold Summary'!$Y:$Y,'Threshold Summary'!$L:$L,"")/5+2)*pow*atk/def)/50)+2)),modifier,stab*eff,FLOOR(base*modifier*0.85)),0)</f>
        <v/>
      </c>
      <c r="K589" s="3">
        <f>IFERROR(LET(mtype,XLOOKUP($D589,'Move Editor'!$B:$B,'Move Editor'!$C:$C,""),cat,XLOOKUP($D589,'Move Editor'!$B:$B,'Move Editor'!$D:$D,""),pow,XLOOKUP($D589,'Move Editor'!$B:$B,'Move Editor'!$E:$E,0),acc,XLOOKUP($D589,'Move Editor'!$B:$B,'Move Editor'!$F:$F,100),atk,IF(cat="Physical",FLOOR((FLOOR(((2*XLOOKUP(XLOOKUP($Q589,'Threshold Summary'!$Y:$Y,'Threshold Summary'!$K:$K,""),'Pokemon Editor'!$A:$A,'Pokemon Editor'!$F:$F,0)+31+FLOOR(XLOOKUP($Q589,'Threshold Summary'!$Y:$Y,'Threshold Summary'!$P:$P,"")/4))*XLOOKUP($Q589,'Threshold Summary'!$Y:$Y,'Threshold Summary'!$L:$L,""))/100)+5)*XLOOKUP(XLOOKUP($Q589,'Threshold Summary'!$Y:$Y,'Threshold Summary'!$M:$M,""),'Nature Editor'!$A:$A,'Nature Editor'!$B:$B,1)),FLOOR((FLOOR(((2*XLOOKUP(XLOOKUP($Q589,'Threshold Summary'!$Y:$Y,'Threshold Summary'!$K:$K,""),'Pokemon Editor'!$A:$A,'Pokemon Editor'!$H:$H,0)+31+FLOOR(XLOOKUP($Q589,'Threshold Summary'!$Y:$Y,'Threshold Summary'!$R:$R,"")/4))*XLOOKUP($Q589,'Threshold Summary'!$Y:$Y,'Threshold Summary'!$L:$L,""))/100)+5)*XLOOKUP(XLOOKUP($Q589,'Threshold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Editor'!$E:$E,1))),stab,IF(OR(mtype=XLOOKUP(XLOOKUP($Q589,'Threshold Summary'!$Y:$Y,'Threshold Summary'!$K:$K,""),'Pokemon Editor'!$A:$A,'Pokemon Editor'!$C:$C,""),mtype=XLOOKUP(XLOOKUP($Q589,'Threshold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Chart'!$B$1:$S$1,0)))),base,IF(OR(cat="Status",pow=0),0,FLOOR(FLOOR(FLOOR((2*XLOOKUP($Q589,'Threshold Summary'!$Y:$Y,'Threshold Summary'!$L:$L,"")/5+2)*pow*atk/def)/50)+2)),modifier,stab*eff,FLOOR(base*modifier)),0)</f>
        <v/>
      </c>
      <c r="L589" s="3">
        <f>IFERROR(LET(mtype,XLOOKUP($D589,'Move Editor'!$B:$B,'Move Editor'!$C:$C,""),cat,XLOOKUP($D589,'Move Editor'!$B:$B,'Move Editor'!$D:$D,""),pow,XLOOKUP($D589,'Move Editor'!$B:$B,'Move Editor'!$E:$E,0),acc,XLOOKUP($D589,'Move Editor'!$B:$B,'Move Editor'!$F:$F,100),atk,IF(cat="Physical",FLOOR((FLOOR(((2*XLOOKUP(XLOOKUP($Q589,'Threshold Summary'!$Y:$Y,'Threshold Summary'!$K:$K,""),'Pokemon Editor'!$A:$A,'Pokemon Editor'!$F:$F,0)+31+FLOOR(XLOOKUP($Q589,'Threshold Summary'!$Y:$Y,'Threshold Summary'!$P:$P,"")/4))*XLOOKUP($Q589,'Threshold Summary'!$Y:$Y,'Threshold Summary'!$L:$L,""))/100)+5)*XLOOKUP(XLOOKUP($Q589,'Threshold Summary'!$Y:$Y,'Threshold Summary'!$M:$M,""),'Nature Editor'!$A:$A,'Nature Editor'!$B:$B,1)),FLOOR((FLOOR(((2*XLOOKUP(XLOOKUP($Q589,'Threshold Summary'!$Y:$Y,'Threshold Summary'!$K:$K,""),'Pokemon Editor'!$A:$A,'Pokemon Editor'!$H:$H,0)+31+FLOOR(XLOOKUP($Q589,'Threshold Summary'!$Y:$Y,'Threshold Summary'!$R:$R,"")/4))*XLOOKUP($Q589,'Threshold Summary'!$Y:$Y,'Threshold Summary'!$L:$L,""))/100)+5)*XLOOKUP(XLOOKUP($Q589,'Threshold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Editor'!$E:$E,1))),stab,IF(OR(mtype=XLOOKUP(XLOOKUP($Q589,'Threshold Summary'!$Y:$Y,'Threshold Summary'!$K:$K,""),'Pokemon Editor'!$A:$A,'Pokemon Editor'!$C:$C,""),mtype=XLOOKUP(XLOOKUP($Q589,'Threshold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Chart'!$B$1:$S$1,0)))),base,IF(OR(cat="Status",pow=0),0,FLOOR(FLOOR(FLOOR((2*XLOOKUP($Q589,'Threshold Summary'!$Y:$Y,'Threshold Summary'!$L:$L,"")/5+2)*pow*atk/def)/50)+2)),modifier,stab*eff,AVERAGE(ARRAYFORMULA(FLOOR(base*modifier*SEQUENCE(16,1,85,1)/100)))),0)</f>
        <v/>
      </c>
      <c r="M589" s="3">
        <f>IFERROR(LET(mtype,XLOOKUP($D589,'Move Editor'!$B:$B,'Move Editor'!$C:$C,""),cat,XLOOKUP($D589,'Move Editor'!$B:$B,'Move Editor'!$D:$D,""),pow,XLOOKUP($D589,'Move Editor'!$B:$B,'Move Editor'!$E:$E,0),acc,XLOOKUP($D589,'Move Editor'!$B:$B,'Move Editor'!$F:$F,100),atk,IF(cat="Physical",FLOOR((FLOOR(((2*XLOOKUP(XLOOKUP($Q589,'Threshold Summary'!$Y:$Y,'Threshold Summary'!$K:$K,""),'Pokemon Editor'!$A:$A,'Pokemon Editor'!$F:$F,0)+31+FLOOR(XLOOKUP($Q589,'Threshold Summary'!$Y:$Y,'Threshold Summary'!$P:$P,"")/4))*XLOOKUP($Q589,'Threshold Summary'!$Y:$Y,'Threshold Summary'!$L:$L,""))/100)+5)*XLOOKUP(XLOOKUP($Q589,'Threshold Summary'!$Y:$Y,'Threshold Summary'!$M:$M,""),'Nature Editor'!$A:$A,'Nature Editor'!$B:$B,1)),FLOOR((FLOOR(((2*XLOOKUP(XLOOKUP($Q589,'Threshold Summary'!$Y:$Y,'Threshold Summary'!$K:$K,""),'Pokemon Editor'!$A:$A,'Pokemon Editor'!$H:$H,0)+31+FLOOR(XLOOKUP($Q589,'Threshold Summary'!$Y:$Y,'Threshold Summary'!$R:$R,"")/4))*XLOOKUP($Q589,'Threshold Summary'!$Y:$Y,'Threshold Summary'!$L:$L,""))/100)+5)*XLOOKUP(XLOOKUP($Q589,'Threshold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Editor'!$E:$E,1))),stab,IF(OR(mtype=XLOOKUP(XLOOKUP($Q589,'Threshold Summary'!$Y:$Y,'Threshold Summary'!$K:$K,""),'Pokemon Editor'!$A:$A,'Pokemon Editor'!$C:$C,""),mtype=XLOOKUP(XLOOKUP($Q589,'Threshold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Chart'!$B$1:$S$1,0)))),base,IF(OR(cat="Status",pow=0),0,FLOOR(FLOOR(FLOOR((2*XLOOKUP($Q589,'Threshold Summary'!$Y:$Y,'Threshold Summary'!$L:$L,"")/5+2)*pow*atk/def)/50)+2)),modifier,stab*eff,AVERAGE(ARRAYFORMULA(FLOOR(base*modifier*SEQUENCE(16,1,85,1)/100)))*MIN(1,acc/100)),0)</f>
        <v/>
      </c>
      <c r="N589" s="4">
        <f>IFERROR(LET(mtype,XLOOKUP($D589,'Move Editor'!$B:$B,'Move Editor'!$C:$C,""),cat,XLOOKUP($D589,'Move Editor'!$B:$B,'Move Editor'!$D:$D,""),pow,XLOOKUP($D589,'Move Editor'!$B:$B,'Move Editor'!$E:$E,0),acc,XLOOKUP($D589,'Move Editor'!$B:$B,'Move Editor'!$F:$F,100),atk,IF(cat="Physical",FLOOR((FLOOR(((2*XLOOKUP(XLOOKUP($Q589,'Threshold Summary'!$Y:$Y,'Threshold Summary'!$K:$K,""),'Pokemon Editor'!$A:$A,'Pokemon Editor'!$F:$F,0)+31+FLOOR(XLOOKUP($Q589,'Threshold Summary'!$Y:$Y,'Threshold Summary'!$P:$P,"")/4))*XLOOKUP($Q589,'Threshold Summary'!$Y:$Y,'Threshold Summary'!$L:$L,""))/100)+5)*XLOOKUP(XLOOKUP($Q589,'Threshold Summary'!$Y:$Y,'Threshold Summary'!$M:$M,""),'Nature Editor'!$A:$A,'Nature Editor'!$B:$B,1)),FLOOR((FLOOR(((2*XLOOKUP(XLOOKUP($Q589,'Threshold Summary'!$Y:$Y,'Threshold Summary'!$K:$K,""),'Pokemon Editor'!$A:$A,'Pokemon Editor'!$H:$H,0)+31+FLOOR(XLOOKUP($Q589,'Threshold Summary'!$Y:$Y,'Threshold Summary'!$R:$R,"")/4))*XLOOKUP($Q589,'Threshold Summary'!$Y:$Y,'Threshold Summary'!$L:$L,""))/100)+5)*XLOOKUP(XLOOKUP($Q589,'Threshold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Editor'!$E:$E,1))),stab,IF(OR(mtype=XLOOKUP(XLOOKUP($Q589,'Threshold Summary'!$Y:$Y,'Threshold Summary'!$K:$K,""),'Pokemon Editor'!$A:$A,'Pokemon Editor'!$C:$C,""),mtype=XLOOKUP(XLOOKUP($Q589,'Threshold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Chart'!$B$1:$S$1,0)))),base,IF(OR(cat="Status",pow=0),0,FLOOR(FLOOR(FLOOR((2*XLOOKUP($Q589,'Threshold Summary'!$Y:$Y,'Threshold Summary'!$L:$L,"")/5+2)*pow*atk/def)/50)+2)),modifier,stab*eff,AVERAGE(ARRAYFORMULA(FLOOR(base*modifier*SEQUENCE(16,1,85,1)/100)))/(FLOOR(((2*XLOOKUP('Boss Editor'!$C$4,'Pokemon Editor'!$A:$A,'Pokemon Editor'!$E:$E,0)+31+FLOOR('Boss Editor'!$G$4/4))*'Boss Editor'!$D$4)/100)+'Boss Editor'!$D$4+10)),0)</f>
        <v/>
      </c>
      <c r="O589" s="3">
        <f>IF(N589&gt;=1,"OHKO",IF(N589&gt;=0.5,"2HKO",IF(N589&gt;=0.333,"3HKO",IF(N589&gt;=0.25,"4HKO","5HKO+"))))</f>
        <v/>
      </c>
      <c r="P589" s="3" t="inlineStr">
        <is>
          <t>Live from editable databases</t>
        </is>
      </c>
      <c r="Q589" s="3" t="inlineStr">
        <is>
          <t>SPECIES_FLETCHLING</t>
        </is>
      </c>
      <c r="R589" s="3" t="n">
        <v>12</v>
      </c>
    </row>
    <row r="590">
      <c r="A590" s="3">
        <f>XLOOKUP($Q590,'Threshold Summary'!$Y:$Y,'Threshold Summary'!$A:$A,"")</f>
        <v/>
      </c>
      <c r="B590" s="3">
        <f>XLOOKUP($Q590,'Threshold Summary'!$Y:$Y,'Threshold Summary'!$M:$M,"")</f>
        <v/>
      </c>
      <c r="C590" s="3">
        <f>XLOOKUP($Q590,'Threshold Summary'!$Y:$Y,'Threshold Summary'!$N:$N,"")</f>
        <v/>
      </c>
      <c r="D590" s="3">
        <f>IFERROR(INDEX(FILTER('Learnset Editor'!$D$2:$D,'Learnset Editor'!$A$2:$A=XLOOKUP($Q590,'Threshold Summary'!$Y:$Y,'Threshold Summary'!$K:$K,""),'Learnset Editor'!$C$2:$C&lt;=XLOOKUP($Q590,'Threshold Summary'!$Y:$Y,'Threshold Summary'!$L:$L,"")),$R590),"")</f>
        <v/>
      </c>
      <c r="E590" s="3">
        <f>XLOOKUP(D590,'Move Editor'!$B:$B,'Move Editor'!$C:$C,"")</f>
        <v/>
      </c>
      <c r="F590" s="3">
        <f>XLOOKUP(D590,'Move Editor'!$B:$B,'Move Editor'!$D:$D,"")</f>
        <v/>
      </c>
      <c r="G590" s="3">
        <f>XLOOKUP(D590,'Move Editor'!$B:$B,'Move Editor'!$E:$E,0)</f>
        <v/>
      </c>
      <c r="H590" s="3">
        <f>XLOOKUP(D590,'Move Editor'!$B:$B,'Move Editor'!$F:$F,0)</f>
        <v/>
      </c>
      <c r="I590" s="3">
        <f>(INDEX('Type Chart'!$B:$S,MATCH(E590,'Type Chart'!$A:$A,0),MATCH(XLOOKUP('Boss Editor'!$C$4,'Pokemon Editor'!$A:$A,'Pokemon Editor'!$C:$C,""),'Type Chart'!$B$1:$S$1,0))*IF(XLOOKUP('Boss Editor'!$C$4,'Pokemon Editor'!$A:$A,'Pokemon Editor'!$D:$D,"")="",1,INDEX('Type Chart'!$B:$S,MATCH(E590,'Type Chart'!$A:$A,0),MATCH(XLOOKUP('Boss Editor'!$C$4,'Pokemon Editor'!$A:$A,'Pokemon Editor'!$D:$D,""),'Type Chart'!$B$1:$S$1,0))))</f>
        <v/>
      </c>
      <c r="J590" s="3">
        <f>IFERROR(LET(mtype,XLOOKUP($D590,'Move Editor'!$B:$B,'Move Editor'!$C:$C,""),cat,XLOOKUP($D590,'Move Editor'!$B:$B,'Move Editor'!$D:$D,""),pow,XLOOKUP($D590,'Move Editor'!$B:$B,'Move Editor'!$E:$E,0),acc,XLOOKUP($D590,'Move Editor'!$B:$B,'Move Editor'!$F:$F,100),atk,IF(cat="Physical",FLOOR((FLOOR(((2*XLOOKUP(XLOOKUP($Q590,'Threshold Summary'!$Y:$Y,'Threshold Summary'!$K:$K,""),'Pokemon Editor'!$A:$A,'Pokemon Editor'!$F:$F,0)+31+FLOOR(XLOOKUP($Q590,'Threshold Summary'!$Y:$Y,'Threshold Summary'!$P:$P,"")/4))*XLOOKUP($Q590,'Threshold Summary'!$Y:$Y,'Threshold Summary'!$L:$L,""))/100)+5)*XLOOKUP(XLOOKUP($Q590,'Threshold Summary'!$Y:$Y,'Threshold Summary'!$M:$M,""),'Nature Editor'!$A:$A,'Nature Editor'!$B:$B,1)),FLOOR((FLOOR(((2*XLOOKUP(XLOOKUP($Q590,'Threshold Summary'!$Y:$Y,'Threshold Summary'!$K:$K,""),'Pokemon Editor'!$A:$A,'Pokemon Editor'!$H:$H,0)+31+FLOOR(XLOOKUP($Q590,'Threshold Summary'!$Y:$Y,'Threshold Summary'!$R:$R,"")/4))*XLOOKUP($Q590,'Threshold Summary'!$Y:$Y,'Threshold Summary'!$L:$L,""))/100)+5)*XLOOKUP(XLOOKUP($Q590,'Threshold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Editor'!$E:$E,1))),stab,IF(OR(mtype=XLOOKUP(XLOOKUP($Q590,'Threshold Summary'!$Y:$Y,'Threshold Summary'!$K:$K,""),'Pokemon Editor'!$A:$A,'Pokemon Editor'!$C:$C,""),mtype=XLOOKUP(XLOOKUP($Q590,'Threshold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Chart'!$B$1:$S$1,0)))),base,IF(OR(cat="Status",pow=0),0,FLOOR(FLOOR(FLOOR((2*XLOOKUP($Q590,'Threshold Summary'!$Y:$Y,'Threshold Summary'!$L:$L,"")/5+2)*pow*atk/def)/50)+2)),modifier,stab*eff,FLOOR(base*modifier*0.85)),0)</f>
        <v/>
      </c>
      <c r="K590" s="3">
        <f>IFERROR(LET(mtype,XLOOKUP($D590,'Move Editor'!$B:$B,'Move Editor'!$C:$C,""),cat,XLOOKUP($D590,'Move Editor'!$B:$B,'Move Editor'!$D:$D,""),pow,XLOOKUP($D590,'Move Editor'!$B:$B,'Move Editor'!$E:$E,0),acc,XLOOKUP($D590,'Move Editor'!$B:$B,'Move Editor'!$F:$F,100),atk,IF(cat="Physical",FLOOR((FLOOR(((2*XLOOKUP(XLOOKUP($Q590,'Threshold Summary'!$Y:$Y,'Threshold Summary'!$K:$K,""),'Pokemon Editor'!$A:$A,'Pokemon Editor'!$F:$F,0)+31+FLOOR(XLOOKUP($Q590,'Threshold Summary'!$Y:$Y,'Threshold Summary'!$P:$P,"")/4))*XLOOKUP($Q590,'Threshold Summary'!$Y:$Y,'Threshold Summary'!$L:$L,""))/100)+5)*XLOOKUP(XLOOKUP($Q590,'Threshold Summary'!$Y:$Y,'Threshold Summary'!$M:$M,""),'Nature Editor'!$A:$A,'Nature Editor'!$B:$B,1)),FLOOR((FLOOR(((2*XLOOKUP(XLOOKUP($Q590,'Threshold Summary'!$Y:$Y,'Threshold Summary'!$K:$K,""),'Pokemon Editor'!$A:$A,'Pokemon Editor'!$H:$H,0)+31+FLOOR(XLOOKUP($Q590,'Threshold Summary'!$Y:$Y,'Threshold Summary'!$R:$R,"")/4))*XLOOKUP($Q590,'Threshold Summary'!$Y:$Y,'Threshold Summary'!$L:$L,""))/100)+5)*XLOOKUP(XLOOKUP($Q590,'Threshold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Editor'!$E:$E,1))),stab,IF(OR(mtype=XLOOKUP(XLOOKUP($Q590,'Threshold Summary'!$Y:$Y,'Threshold Summary'!$K:$K,""),'Pokemon Editor'!$A:$A,'Pokemon Editor'!$C:$C,""),mtype=XLOOKUP(XLOOKUP($Q590,'Threshold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Chart'!$B$1:$S$1,0)))),base,IF(OR(cat="Status",pow=0),0,FLOOR(FLOOR(FLOOR((2*XLOOKUP($Q590,'Threshold Summary'!$Y:$Y,'Threshold Summary'!$L:$L,"")/5+2)*pow*atk/def)/50)+2)),modifier,stab*eff,FLOOR(base*modifier)),0)</f>
        <v/>
      </c>
      <c r="L590" s="3">
        <f>IFERROR(LET(mtype,XLOOKUP($D590,'Move Editor'!$B:$B,'Move Editor'!$C:$C,""),cat,XLOOKUP($D590,'Move Editor'!$B:$B,'Move Editor'!$D:$D,""),pow,XLOOKUP($D590,'Move Editor'!$B:$B,'Move Editor'!$E:$E,0),acc,XLOOKUP($D590,'Move Editor'!$B:$B,'Move Editor'!$F:$F,100),atk,IF(cat="Physical",FLOOR((FLOOR(((2*XLOOKUP(XLOOKUP($Q590,'Threshold Summary'!$Y:$Y,'Threshold Summary'!$K:$K,""),'Pokemon Editor'!$A:$A,'Pokemon Editor'!$F:$F,0)+31+FLOOR(XLOOKUP($Q590,'Threshold Summary'!$Y:$Y,'Threshold Summary'!$P:$P,"")/4))*XLOOKUP($Q590,'Threshold Summary'!$Y:$Y,'Threshold Summary'!$L:$L,""))/100)+5)*XLOOKUP(XLOOKUP($Q590,'Threshold Summary'!$Y:$Y,'Threshold Summary'!$M:$M,""),'Nature Editor'!$A:$A,'Nature Editor'!$B:$B,1)),FLOOR((FLOOR(((2*XLOOKUP(XLOOKUP($Q590,'Threshold Summary'!$Y:$Y,'Threshold Summary'!$K:$K,""),'Pokemon Editor'!$A:$A,'Pokemon Editor'!$H:$H,0)+31+FLOOR(XLOOKUP($Q590,'Threshold Summary'!$Y:$Y,'Threshold Summary'!$R:$R,"")/4))*XLOOKUP($Q590,'Threshold Summary'!$Y:$Y,'Threshold Summary'!$L:$L,""))/100)+5)*XLOOKUP(XLOOKUP($Q590,'Threshold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Editor'!$E:$E,1))),stab,IF(OR(mtype=XLOOKUP(XLOOKUP($Q590,'Threshold Summary'!$Y:$Y,'Threshold Summary'!$K:$K,""),'Pokemon Editor'!$A:$A,'Pokemon Editor'!$C:$C,""),mtype=XLOOKUP(XLOOKUP($Q590,'Threshold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Chart'!$B$1:$S$1,0)))),base,IF(OR(cat="Status",pow=0),0,FLOOR(FLOOR(FLOOR((2*XLOOKUP($Q590,'Threshold Summary'!$Y:$Y,'Threshold Summary'!$L:$L,"")/5+2)*pow*atk/def)/50)+2)),modifier,stab*eff,AVERAGE(ARRAYFORMULA(FLOOR(base*modifier*SEQUENCE(16,1,85,1)/100)))),0)</f>
        <v/>
      </c>
      <c r="M590" s="3">
        <f>IFERROR(LET(mtype,XLOOKUP($D590,'Move Editor'!$B:$B,'Move Editor'!$C:$C,""),cat,XLOOKUP($D590,'Move Editor'!$B:$B,'Move Editor'!$D:$D,""),pow,XLOOKUP($D590,'Move Editor'!$B:$B,'Move Editor'!$E:$E,0),acc,XLOOKUP($D590,'Move Editor'!$B:$B,'Move Editor'!$F:$F,100),atk,IF(cat="Physical",FLOOR((FLOOR(((2*XLOOKUP(XLOOKUP($Q590,'Threshold Summary'!$Y:$Y,'Threshold Summary'!$K:$K,""),'Pokemon Editor'!$A:$A,'Pokemon Editor'!$F:$F,0)+31+FLOOR(XLOOKUP($Q590,'Threshold Summary'!$Y:$Y,'Threshold Summary'!$P:$P,"")/4))*XLOOKUP($Q590,'Threshold Summary'!$Y:$Y,'Threshold Summary'!$L:$L,""))/100)+5)*XLOOKUP(XLOOKUP($Q590,'Threshold Summary'!$Y:$Y,'Threshold Summary'!$M:$M,""),'Nature Editor'!$A:$A,'Nature Editor'!$B:$B,1)),FLOOR((FLOOR(((2*XLOOKUP(XLOOKUP($Q590,'Threshold Summary'!$Y:$Y,'Threshold Summary'!$K:$K,""),'Pokemon Editor'!$A:$A,'Pokemon Editor'!$H:$H,0)+31+FLOOR(XLOOKUP($Q590,'Threshold Summary'!$Y:$Y,'Threshold Summary'!$R:$R,"")/4))*XLOOKUP($Q590,'Threshold Summary'!$Y:$Y,'Threshold Summary'!$L:$L,""))/100)+5)*XLOOKUP(XLOOKUP($Q590,'Threshold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Editor'!$E:$E,1))),stab,IF(OR(mtype=XLOOKUP(XLOOKUP($Q590,'Threshold Summary'!$Y:$Y,'Threshold Summary'!$K:$K,""),'Pokemon Editor'!$A:$A,'Pokemon Editor'!$C:$C,""),mtype=XLOOKUP(XLOOKUP($Q590,'Threshold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Chart'!$B$1:$S$1,0)))),base,IF(OR(cat="Status",pow=0),0,FLOOR(FLOOR(FLOOR((2*XLOOKUP($Q590,'Threshold Summary'!$Y:$Y,'Threshold Summary'!$L:$L,"")/5+2)*pow*atk/def)/50)+2)),modifier,stab*eff,AVERAGE(ARRAYFORMULA(FLOOR(base*modifier*SEQUENCE(16,1,85,1)/100)))*MIN(1,acc/100)),0)</f>
        <v/>
      </c>
      <c r="N590" s="4">
        <f>IFERROR(LET(mtype,XLOOKUP($D590,'Move Editor'!$B:$B,'Move Editor'!$C:$C,""),cat,XLOOKUP($D590,'Move Editor'!$B:$B,'Move Editor'!$D:$D,""),pow,XLOOKUP($D590,'Move Editor'!$B:$B,'Move Editor'!$E:$E,0),acc,XLOOKUP($D590,'Move Editor'!$B:$B,'Move Editor'!$F:$F,100),atk,IF(cat="Physical",FLOOR((FLOOR(((2*XLOOKUP(XLOOKUP($Q590,'Threshold Summary'!$Y:$Y,'Threshold Summary'!$K:$K,""),'Pokemon Editor'!$A:$A,'Pokemon Editor'!$F:$F,0)+31+FLOOR(XLOOKUP($Q590,'Threshold Summary'!$Y:$Y,'Threshold Summary'!$P:$P,"")/4))*XLOOKUP($Q590,'Threshold Summary'!$Y:$Y,'Threshold Summary'!$L:$L,""))/100)+5)*XLOOKUP(XLOOKUP($Q590,'Threshold Summary'!$Y:$Y,'Threshold Summary'!$M:$M,""),'Nature Editor'!$A:$A,'Nature Editor'!$B:$B,1)),FLOOR((FLOOR(((2*XLOOKUP(XLOOKUP($Q590,'Threshold Summary'!$Y:$Y,'Threshold Summary'!$K:$K,""),'Pokemon Editor'!$A:$A,'Pokemon Editor'!$H:$H,0)+31+FLOOR(XLOOKUP($Q590,'Threshold Summary'!$Y:$Y,'Threshold Summary'!$R:$R,"")/4))*XLOOKUP($Q590,'Threshold Summary'!$Y:$Y,'Threshold Summary'!$L:$L,""))/100)+5)*XLOOKUP(XLOOKUP($Q590,'Threshold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Editor'!$E:$E,1))),stab,IF(OR(mtype=XLOOKUP(XLOOKUP($Q590,'Threshold Summary'!$Y:$Y,'Threshold Summary'!$K:$K,""),'Pokemon Editor'!$A:$A,'Pokemon Editor'!$C:$C,""),mtype=XLOOKUP(XLOOKUP($Q590,'Threshold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Chart'!$B$1:$S$1,0)))),base,IF(OR(cat="Status",pow=0),0,FLOOR(FLOOR(FLOOR((2*XLOOKUP($Q590,'Threshold Summary'!$Y:$Y,'Threshold Summary'!$L:$L,"")/5+2)*pow*atk/def)/50)+2)),modifier,stab*eff,AVERAGE(ARRAYFORMULA(FLOOR(base*modifier*SEQUENCE(16,1,85,1)/100)))/(FLOOR(((2*XLOOKUP('Boss Editor'!$C$4,'Pokemon Editor'!$A:$A,'Pokemon Editor'!$E:$E,0)+31+FLOOR('Boss Editor'!$G$4/4))*'Boss Editor'!$D$4)/100)+'Boss Editor'!$D$4+10)),0)</f>
        <v/>
      </c>
      <c r="O590" s="3">
        <f>IF(N590&gt;=1,"OHKO",IF(N590&gt;=0.5,"2HKO",IF(N590&gt;=0.333,"3HKO",IF(N590&gt;=0.25,"4HKO","5HKO+"))))</f>
        <v/>
      </c>
      <c r="P590" s="3" t="inlineStr">
        <is>
          <t>Live from editable databases</t>
        </is>
      </c>
      <c r="Q590" s="3" t="inlineStr">
        <is>
          <t>SPECIES_FLETCHLING</t>
        </is>
      </c>
      <c r="R590" s="3" t="n">
        <v>13</v>
      </c>
    </row>
    <row r="591">
      <c r="A591" s="3">
        <f>XLOOKUP($Q591,'Threshold Summary'!$Y:$Y,'Threshold Summary'!$A:$A,"")</f>
        <v/>
      </c>
      <c r="B591" s="3">
        <f>XLOOKUP($Q591,'Threshold Summary'!$Y:$Y,'Threshold Summary'!$M:$M,"")</f>
        <v/>
      </c>
      <c r="C591" s="3">
        <f>XLOOKUP($Q591,'Threshold Summary'!$Y:$Y,'Threshold Summary'!$N:$N,"")</f>
        <v/>
      </c>
      <c r="D591" s="3">
        <f>IFERROR(INDEX(FILTER('Learnset Editor'!$D$2:$D,'Learnset Editor'!$A$2:$A=XLOOKUP($Q591,'Threshold Summary'!$Y:$Y,'Threshold Summary'!$K:$K,""),'Learnset Editor'!$C$2:$C&lt;=XLOOKUP($Q591,'Threshold Summary'!$Y:$Y,'Threshold Summary'!$L:$L,"")),$R591),"")</f>
        <v/>
      </c>
      <c r="E591" s="3">
        <f>XLOOKUP(D591,'Move Editor'!$B:$B,'Move Editor'!$C:$C,"")</f>
        <v/>
      </c>
      <c r="F591" s="3">
        <f>XLOOKUP(D591,'Move Editor'!$B:$B,'Move Editor'!$D:$D,"")</f>
        <v/>
      </c>
      <c r="G591" s="3">
        <f>XLOOKUP(D591,'Move Editor'!$B:$B,'Move Editor'!$E:$E,0)</f>
        <v/>
      </c>
      <c r="H591" s="3">
        <f>XLOOKUP(D591,'Move Editor'!$B:$B,'Move Editor'!$F:$F,0)</f>
        <v/>
      </c>
      <c r="I591" s="3">
        <f>(INDEX('Type Chart'!$B:$S,MATCH(E591,'Type Chart'!$A:$A,0),MATCH(XLOOKUP('Boss Editor'!$C$4,'Pokemon Editor'!$A:$A,'Pokemon Editor'!$C:$C,""),'Type Chart'!$B$1:$S$1,0))*IF(XLOOKUP('Boss Editor'!$C$4,'Pokemon Editor'!$A:$A,'Pokemon Editor'!$D:$D,"")="",1,INDEX('Type Chart'!$B:$S,MATCH(E591,'Type Chart'!$A:$A,0),MATCH(XLOOKUP('Boss Editor'!$C$4,'Pokemon Editor'!$A:$A,'Pokemon Editor'!$D:$D,""),'Type Chart'!$B$1:$S$1,0))))</f>
        <v/>
      </c>
      <c r="J591" s="3">
        <f>IFERROR(LET(mtype,XLOOKUP($D591,'Move Editor'!$B:$B,'Move Editor'!$C:$C,""),cat,XLOOKUP($D591,'Move Editor'!$B:$B,'Move Editor'!$D:$D,""),pow,XLOOKUP($D591,'Move Editor'!$B:$B,'Move Editor'!$E:$E,0),acc,XLOOKUP($D591,'Move Editor'!$B:$B,'Move Editor'!$F:$F,100),atk,IF(cat="Physical",FLOOR((FLOOR(((2*XLOOKUP(XLOOKUP($Q591,'Threshold Summary'!$Y:$Y,'Threshold Summary'!$K:$K,""),'Pokemon Editor'!$A:$A,'Pokemon Editor'!$F:$F,0)+31+FLOOR(XLOOKUP($Q591,'Threshold Summary'!$Y:$Y,'Threshold Summary'!$P:$P,"")/4))*XLOOKUP($Q591,'Threshold Summary'!$Y:$Y,'Threshold Summary'!$L:$L,""))/100)+5)*XLOOKUP(XLOOKUP($Q591,'Threshold Summary'!$Y:$Y,'Threshold Summary'!$M:$M,""),'Nature Editor'!$A:$A,'Nature Editor'!$B:$B,1)),FLOOR((FLOOR(((2*XLOOKUP(XLOOKUP($Q591,'Threshold Summary'!$Y:$Y,'Threshold Summary'!$K:$K,""),'Pokemon Editor'!$A:$A,'Pokemon Editor'!$H:$H,0)+31+FLOOR(XLOOKUP($Q591,'Threshold Summary'!$Y:$Y,'Threshold Summary'!$R:$R,"")/4))*XLOOKUP($Q591,'Threshold Summary'!$Y:$Y,'Threshold Summary'!$L:$L,""))/100)+5)*XLOOKUP(XLOOKUP($Q591,'Threshold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Editor'!$E:$E,1))),stab,IF(OR(mtype=XLOOKUP(XLOOKUP($Q591,'Threshold Summary'!$Y:$Y,'Threshold Summary'!$K:$K,""),'Pokemon Editor'!$A:$A,'Pokemon Editor'!$C:$C,""),mtype=XLOOKUP(XLOOKUP($Q591,'Threshold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Chart'!$B$1:$S$1,0)))),base,IF(OR(cat="Status",pow=0),0,FLOOR(FLOOR(FLOOR((2*XLOOKUP($Q591,'Threshold Summary'!$Y:$Y,'Threshold Summary'!$L:$L,"")/5+2)*pow*atk/def)/50)+2)),modifier,stab*eff,FLOOR(base*modifier*0.85)),0)</f>
        <v/>
      </c>
      <c r="K591" s="3">
        <f>IFERROR(LET(mtype,XLOOKUP($D591,'Move Editor'!$B:$B,'Move Editor'!$C:$C,""),cat,XLOOKUP($D591,'Move Editor'!$B:$B,'Move Editor'!$D:$D,""),pow,XLOOKUP($D591,'Move Editor'!$B:$B,'Move Editor'!$E:$E,0),acc,XLOOKUP($D591,'Move Editor'!$B:$B,'Move Editor'!$F:$F,100),atk,IF(cat="Physical",FLOOR((FLOOR(((2*XLOOKUP(XLOOKUP($Q591,'Threshold Summary'!$Y:$Y,'Threshold Summary'!$K:$K,""),'Pokemon Editor'!$A:$A,'Pokemon Editor'!$F:$F,0)+31+FLOOR(XLOOKUP($Q591,'Threshold Summary'!$Y:$Y,'Threshold Summary'!$P:$P,"")/4))*XLOOKUP($Q591,'Threshold Summary'!$Y:$Y,'Threshold Summary'!$L:$L,""))/100)+5)*XLOOKUP(XLOOKUP($Q591,'Threshold Summary'!$Y:$Y,'Threshold Summary'!$M:$M,""),'Nature Editor'!$A:$A,'Nature Editor'!$B:$B,1)),FLOOR((FLOOR(((2*XLOOKUP(XLOOKUP($Q591,'Threshold Summary'!$Y:$Y,'Threshold Summary'!$K:$K,""),'Pokemon Editor'!$A:$A,'Pokemon Editor'!$H:$H,0)+31+FLOOR(XLOOKUP($Q591,'Threshold Summary'!$Y:$Y,'Threshold Summary'!$R:$R,"")/4))*XLOOKUP($Q591,'Threshold Summary'!$Y:$Y,'Threshold Summary'!$L:$L,""))/100)+5)*XLOOKUP(XLOOKUP($Q591,'Threshold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Editor'!$E:$E,1))),stab,IF(OR(mtype=XLOOKUP(XLOOKUP($Q591,'Threshold Summary'!$Y:$Y,'Threshold Summary'!$K:$K,""),'Pokemon Editor'!$A:$A,'Pokemon Editor'!$C:$C,""),mtype=XLOOKUP(XLOOKUP($Q591,'Threshold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Chart'!$B$1:$S$1,0)))),base,IF(OR(cat="Status",pow=0),0,FLOOR(FLOOR(FLOOR((2*XLOOKUP($Q591,'Threshold Summary'!$Y:$Y,'Threshold Summary'!$L:$L,"")/5+2)*pow*atk/def)/50)+2)),modifier,stab*eff,FLOOR(base*modifier)),0)</f>
        <v/>
      </c>
      <c r="L591" s="3">
        <f>IFERROR(LET(mtype,XLOOKUP($D591,'Move Editor'!$B:$B,'Move Editor'!$C:$C,""),cat,XLOOKUP($D591,'Move Editor'!$B:$B,'Move Editor'!$D:$D,""),pow,XLOOKUP($D591,'Move Editor'!$B:$B,'Move Editor'!$E:$E,0),acc,XLOOKUP($D591,'Move Editor'!$B:$B,'Move Editor'!$F:$F,100),atk,IF(cat="Physical",FLOOR((FLOOR(((2*XLOOKUP(XLOOKUP($Q591,'Threshold Summary'!$Y:$Y,'Threshold Summary'!$K:$K,""),'Pokemon Editor'!$A:$A,'Pokemon Editor'!$F:$F,0)+31+FLOOR(XLOOKUP($Q591,'Threshold Summary'!$Y:$Y,'Threshold Summary'!$P:$P,"")/4))*XLOOKUP($Q591,'Threshold Summary'!$Y:$Y,'Threshold Summary'!$L:$L,""))/100)+5)*XLOOKUP(XLOOKUP($Q591,'Threshold Summary'!$Y:$Y,'Threshold Summary'!$M:$M,""),'Nature Editor'!$A:$A,'Nature Editor'!$B:$B,1)),FLOOR((FLOOR(((2*XLOOKUP(XLOOKUP($Q591,'Threshold Summary'!$Y:$Y,'Threshold Summary'!$K:$K,""),'Pokemon Editor'!$A:$A,'Pokemon Editor'!$H:$H,0)+31+FLOOR(XLOOKUP($Q591,'Threshold Summary'!$Y:$Y,'Threshold Summary'!$R:$R,"")/4))*XLOOKUP($Q591,'Threshold Summary'!$Y:$Y,'Threshold Summary'!$L:$L,""))/100)+5)*XLOOKUP(XLOOKUP($Q591,'Threshold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Editor'!$E:$E,1))),stab,IF(OR(mtype=XLOOKUP(XLOOKUP($Q591,'Threshold Summary'!$Y:$Y,'Threshold Summary'!$K:$K,""),'Pokemon Editor'!$A:$A,'Pokemon Editor'!$C:$C,""),mtype=XLOOKUP(XLOOKUP($Q591,'Threshold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Chart'!$B$1:$S$1,0)))),base,IF(OR(cat="Status",pow=0),0,FLOOR(FLOOR(FLOOR((2*XLOOKUP($Q591,'Threshold Summary'!$Y:$Y,'Threshold Summary'!$L:$L,"")/5+2)*pow*atk/def)/50)+2)),modifier,stab*eff,AVERAGE(ARRAYFORMULA(FLOOR(base*modifier*SEQUENCE(16,1,85,1)/100)))),0)</f>
        <v/>
      </c>
      <c r="M591" s="3">
        <f>IFERROR(LET(mtype,XLOOKUP($D591,'Move Editor'!$B:$B,'Move Editor'!$C:$C,""),cat,XLOOKUP($D591,'Move Editor'!$B:$B,'Move Editor'!$D:$D,""),pow,XLOOKUP($D591,'Move Editor'!$B:$B,'Move Editor'!$E:$E,0),acc,XLOOKUP($D591,'Move Editor'!$B:$B,'Move Editor'!$F:$F,100),atk,IF(cat="Physical",FLOOR((FLOOR(((2*XLOOKUP(XLOOKUP($Q591,'Threshold Summary'!$Y:$Y,'Threshold Summary'!$K:$K,""),'Pokemon Editor'!$A:$A,'Pokemon Editor'!$F:$F,0)+31+FLOOR(XLOOKUP($Q591,'Threshold Summary'!$Y:$Y,'Threshold Summary'!$P:$P,"")/4))*XLOOKUP($Q591,'Threshold Summary'!$Y:$Y,'Threshold Summary'!$L:$L,""))/100)+5)*XLOOKUP(XLOOKUP($Q591,'Threshold Summary'!$Y:$Y,'Threshold Summary'!$M:$M,""),'Nature Editor'!$A:$A,'Nature Editor'!$B:$B,1)),FLOOR((FLOOR(((2*XLOOKUP(XLOOKUP($Q591,'Threshold Summary'!$Y:$Y,'Threshold Summary'!$K:$K,""),'Pokemon Editor'!$A:$A,'Pokemon Editor'!$H:$H,0)+31+FLOOR(XLOOKUP($Q591,'Threshold Summary'!$Y:$Y,'Threshold Summary'!$R:$R,"")/4))*XLOOKUP($Q591,'Threshold Summary'!$Y:$Y,'Threshold Summary'!$L:$L,""))/100)+5)*XLOOKUP(XLOOKUP($Q591,'Threshold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Editor'!$E:$E,1))),stab,IF(OR(mtype=XLOOKUP(XLOOKUP($Q591,'Threshold Summary'!$Y:$Y,'Threshold Summary'!$K:$K,""),'Pokemon Editor'!$A:$A,'Pokemon Editor'!$C:$C,""),mtype=XLOOKUP(XLOOKUP($Q591,'Threshold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Chart'!$B$1:$S$1,0)))),base,IF(OR(cat="Status",pow=0),0,FLOOR(FLOOR(FLOOR((2*XLOOKUP($Q591,'Threshold Summary'!$Y:$Y,'Threshold Summary'!$L:$L,"")/5+2)*pow*atk/def)/50)+2)),modifier,stab*eff,AVERAGE(ARRAYFORMULA(FLOOR(base*modifier*SEQUENCE(16,1,85,1)/100)))*MIN(1,acc/100)),0)</f>
        <v/>
      </c>
      <c r="N591" s="4">
        <f>IFERROR(LET(mtype,XLOOKUP($D591,'Move Editor'!$B:$B,'Move Editor'!$C:$C,""),cat,XLOOKUP($D591,'Move Editor'!$B:$B,'Move Editor'!$D:$D,""),pow,XLOOKUP($D591,'Move Editor'!$B:$B,'Move Editor'!$E:$E,0),acc,XLOOKUP($D591,'Move Editor'!$B:$B,'Move Editor'!$F:$F,100),atk,IF(cat="Physical",FLOOR((FLOOR(((2*XLOOKUP(XLOOKUP($Q591,'Threshold Summary'!$Y:$Y,'Threshold Summary'!$K:$K,""),'Pokemon Editor'!$A:$A,'Pokemon Editor'!$F:$F,0)+31+FLOOR(XLOOKUP($Q591,'Threshold Summary'!$Y:$Y,'Threshold Summary'!$P:$P,"")/4))*XLOOKUP($Q591,'Threshold Summary'!$Y:$Y,'Threshold Summary'!$L:$L,""))/100)+5)*XLOOKUP(XLOOKUP($Q591,'Threshold Summary'!$Y:$Y,'Threshold Summary'!$M:$M,""),'Nature Editor'!$A:$A,'Nature Editor'!$B:$B,1)),FLOOR((FLOOR(((2*XLOOKUP(XLOOKUP($Q591,'Threshold Summary'!$Y:$Y,'Threshold Summary'!$K:$K,""),'Pokemon Editor'!$A:$A,'Pokemon Editor'!$H:$H,0)+31+FLOOR(XLOOKUP($Q591,'Threshold Summary'!$Y:$Y,'Threshold Summary'!$R:$R,"")/4))*XLOOKUP($Q591,'Threshold Summary'!$Y:$Y,'Threshold Summary'!$L:$L,""))/100)+5)*XLOOKUP(XLOOKUP($Q591,'Threshold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Editor'!$E:$E,1))),stab,IF(OR(mtype=XLOOKUP(XLOOKUP($Q591,'Threshold Summary'!$Y:$Y,'Threshold Summary'!$K:$K,""),'Pokemon Editor'!$A:$A,'Pokemon Editor'!$C:$C,""),mtype=XLOOKUP(XLOOKUP($Q591,'Threshold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Chart'!$B$1:$S$1,0)))),base,IF(OR(cat="Status",pow=0),0,FLOOR(FLOOR(FLOOR((2*XLOOKUP($Q591,'Threshold Summary'!$Y:$Y,'Threshold Summary'!$L:$L,"")/5+2)*pow*atk/def)/50)+2)),modifier,stab*eff,AVERAGE(ARRAYFORMULA(FLOOR(base*modifier*SEQUENCE(16,1,85,1)/100)))/(FLOOR(((2*XLOOKUP('Boss Editor'!$C$4,'Pokemon Editor'!$A:$A,'Pokemon Editor'!$E:$E,0)+31+FLOOR('Boss Editor'!$G$4/4))*'Boss Editor'!$D$4)/100)+'Boss Editor'!$D$4+10)),0)</f>
        <v/>
      </c>
      <c r="O591" s="3">
        <f>IF(N591&gt;=1,"OHKO",IF(N591&gt;=0.5,"2HKO",IF(N591&gt;=0.333,"3HKO",IF(N591&gt;=0.25,"4HKO","5HKO+"))))</f>
        <v/>
      </c>
      <c r="P591" s="3" t="inlineStr">
        <is>
          <t>Live from editable databases</t>
        </is>
      </c>
      <c r="Q591" s="3" t="inlineStr">
        <is>
          <t>SPECIES_FLETCHLING</t>
        </is>
      </c>
      <c r="R591" s="3" t="n">
        <v>14</v>
      </c>
    </row>
    <row r="592">
      <c r="A592" s="3">
        <f>XLOOKUP($Q592,'Threshold Summary'!$Y:$Y,'Threshold Summary'!$A:$A,"")</f>
        <v/>
      </c>
      <c r="B592" s="3">
        <f>XLOOKUP($Q592,'Threshold Summary'!$Y:$Y,'Threshold Summary'!$M:$M,"")</f>
        <v/>
      </c>
      <c r="C592" s="3">
        <f>XLOOKUP($Q592,'Threshold Summary'!$Y:$Y,'Threshold Summary'!$N:$N,"")</f>
        <v/>
      </c>
      <c r="D592" s="3">
        <f>IFERROR(INDEX(FILTER('Learnset Editor'!$D$2:$D,'Learnset Editor'!$A$2:$A=XLOOKUP($Q592,'Threshold Summary'!$Y:$Y,'Threshold Summary'!$K:$K,""),'Learnset Editor'!$C$2:$C&lt;=XLOOKUP($Q592,'Threshold Summary'!$Y:$Y,'Threshold Summary'!$L:$L,"")),$R592),"")</f>
        <v/>
      </c>
      <c r="E592" s="3">
        <f>XLOOKUP(D592,'Move Editor'!$B:$B,'Move Editor'!$C:$C,"")</f>
        <v/>
      </c>
      <c r="F592" s="3">
        <f>XLOOKUP(D592,'Move Editor'!$B:$B,'Move Editor'!$D:$D,"")</f>
        <v/>
      </c>
      <c r="G592" s="3">
        <f>XLOOKUP(D592,'Move Editor'!$B:$B,'Move Editor'!$E:$E,0)</f>
        <v/>
      </c>
      <c r="H592" s="3">
        <f>XLOOKUP(D592,'Move Editor'!$B:$B,'Move Editor'!$F:$F,0)</f>
        <v/>
      </c>
      <c r="I592" s="3">
        <f>(INDEX('Type Chart'!$B:$S,MATCH(E592,'Type Chart'!$A:$A,0),MATCH(XLOOKUP('Boss Editor'!$C$4,'Pokemon Editor'!$A:$A,'Pokemon Editor'!$C:$C,""),'Type Chart'!$B$1:$S$1,0))*IF(XLOOKUP('Boss Editor'!$C$4,'Pokemon Editor'!$A:$A,'Pokemon Editor'!$D:$D,"")="",1,INDEX('Type Chart'!$B:$S,MATCH(E592,'Type Chart'!$A:$A,0),MATCH(XLOOKUP('Boss Editor'!$C$4,'Pokemon Editor'!$A:$A,'Pokemon Editor'!$D:$D,""),'Type Chart'!$B$1:$S$1,0))))</f>
        <v/>
      </c>
      <c r="J592" s="3">
        <f>IFERROR(LET(mtype,XLOOKUP($D592,'Move Editor'!$B:$B,'Move Editor'!$C:$C,""),cat,XLOOKUP($D592,'Move Editor'!$B:$B,'Move Editor'!$D:$D,""),pow,XLOOKUP($D592,'Move Editor'!$B:$B,'Move Editor'!$E:$E,0),acc,XLOOKUP($D592,'Move Editor'!$B:$B,'Move Editor'!$F:$F,100),atk,IF(cat="Physical",FLOOR((FLOOR(((2*XLOOKUP(XLOOKUP($Q592,'Threshold Summary'!$Y:$Y,'Threshold Summary'!$K:$K,""),'Pokemon Editor'!$A:$A,'Pokemon Editor'!$F:$F,0)+31+FLOOR(XLOOKUP($Q592,'Threshold Summary'!$Y:$Y,'Threshold Summary'!$P:$P,"")/4))*XLOOKUP($Q592,'Threshold Summary'!$Y:$Y,'Threshold Summary'!$L:$L,""))/100)+5)*XLOOKUP(XLOOKUP($Q592,'Threshold Summary'!$Y:$Y,'Threshold Summary'!$M:$M,""),'Nature Editor'!$A:$A,'Nature Editor'!$B:$B,1)),FLOOR((FLOOR(((2*XLOOKUP(XLOOKUP($Q592,'Threshold Summary'!$Y:$Y,'Threshold Summary'!$K:$K,""),'Pokemon Editor'!$A:$A,'Pokemon Editor'!$H:$H,0)+31+FLOOR(XLOOKUP($Q592,'Threshold Summary'!$Y:$Y,'Threshold Summary'!$R:$R,"")/4))*XLOOKUP($Q592,'Threshold Summary'!$Y:$Y,'Threshold Summary'!$L:$L,""))/100)+5)*XLOOKUP(XLOOKUP($Q592,'Threshold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Editor'!$E:$E,1))),stab,IF(OR(mtype=XLOOKUP(XLOOKUP($Q592,'Threshold Summary'!$Y:$Y,'Threshold Summary'!$K:$K,""),'Pokemon Editor'!$A:$A,'Pokemon Editor'!$C:$C,""),mtype=XLOOKUP(XLOOKUP($Q592,'Threshold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Chart'!$B$1:$S$1,0)))),base,IF(OR(cat="Status",pow=0),0,FLOOR(FLOOR(FLOOR((2*XLOOKUP($Q592,'Threshold Summary'!$Y:$Y,'Threshold Summary'!$L:$L,"")/5+2)*pow*atk/def)/50)+2)),modifier,stab*eff,FLOOR(base*modifier*0.85)),0)</f>
        <v/>
      </c>
      <c r="K592" s="3">
        <f>IFERROR(LET(mtype,XLOOKUP($D592,'Move Editor'!$B:$B,'Move Editor'!$C:$C,""),cat,XLOOKUP($D592,'Move Editor'!$B:$B,'Move Editor'!$D:$D,""),pow,XLOOKUP($D592,'Move Editor'!$B:$B,'Move Editor'!$E:$E,0),acc,XLOOKUP($D592,'Move Editor'!$B:$B,'Move Editor'!$F:$F,100),atk,IF(cat="Physical",FLOOR((FLOOR(((2*XLOOKUP(XLOOKUP($Q592,'Threshold Summary'!$Y:$Y,'Threshold Summary'!$K:$K,""),'Pokemon Editor'!$A:$A,'Pokemon Editor'!$F:$F,0)+31+FLOOR(XLOOKUP($Q592,'Threshold Summary'!$Y:$Y,'Threshold Summary'!$P:$P,"")/4))*XLOOKUP($Q592,'Threshold Summary'!$Y:$Y,'Threshold Summary'!$L:$L,""))/100)+5)*XLOOKUP(XLOOKUP($Q592,'Threshold Summary'!$Y:$Y,'Threshold Summary'!$M:$M,""),'Nature Editor'!$A:$A,'Nature Editor'!$B:$B,1)),FLOOR((FLOOR(((2*XLOOKUP(XLOOKUP($Q592,'Threshold Summary'!$Y:$Y,'Threshold Summary'!$K:$K,""),'Pokemon Editor'!$A:$A,'Pokemon Editor'!$H:$H,0)+31+FLOOR(XLOOKUP($Q592,'Threshold Summary'!$Y:$Y,'Threshold Summary'!$R:$R,"")/4))*XLOOKUP($Q592,'Threshold Summary'!$Y:$Y,'Threshold Summary'!$L:$L,""))/100)+5)*XLOOKUP(XLOOKUP($Q592,'Threshold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Editor'!$E:$E,1))),stab,IF(OR(mtype=XLOOKUP(XLOOKUP($Q592,'Threshold Summary'!$Y:$Y,'Threshold Summary'!$K:$K,""),'Pokemon Editor'!$A:$A,'Pokemon Editor'!$C:$C,""),mtype=XLOOKUP(XLOOKUP($Q592,'Threshold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Chart'!$B$1:$S$1,0)))),base,IF(OR(cat="Status",pow=0),0,FLOOR(FLOOR(FLOOR((2*XLOOKUP($Q592,'Threshold Summary'!$Y:$Y,'Threshold Summary'!$L:$L,"")/5+2)*pow*atk/def)/50)+2)),modifier,stab*eff,FLOOR(base*modifier)),0)</f>
        <v/>
      </c>
      <c r="L592" s="3">
        <f>IFERROR(LET(mtype,XLOOKUP($D592,'Move Editor'!$B:$B,'Move Editor'!$C:$C,""),cat,XLOOKUP($D592,'Move Editor'!$B:$B,'Move Editor'!$D:$D,""),pow,XLOOKUP($D592,'Move Editor'!$B:$B,'Move Editor'!$E:$E,0),acc,XLOOKUP($D592,'Move Editor'!$B:$B,'Move Editor'!$F:$F,100),atk,IF(cat="Physical",FLOOR((FLOOR(((2*XLOOKUP(XLOOKUP($Q592,'Threshold Summary'!$Y:$Y,'Threshold Summary'!$K:$K,""),'Pokemon Editor'!$A:$A,'Pokemon Editor'!$F:$F,0)+31+FLOOR(XLOOKUP($Q592,'Threshold Summary'!$Y:$Y,'Threshold Summary'!$P:$P,"")/4))*XLOOKUP($Q592,'Threshold Summary'!$Y:$Y,'Threshold Summary'!$L:$L,""))/100)+5)*XLOOKUP(XLOOKUP($Q592,'Threshold Summary'!$Y:$Y,'Threshold Summary'!$M:$M,""),'Nature Editor'!$A:$A,'Nature Editor'!$B:$B,1)),FLOOR((FLOOR(((2*XLOOKUP(XLOOKUP($Q592,'Threshold Summary'!$Y:$Y,'Threshold Summary'!$K:$K,""),'Pokemon Editor'!$A:$A,'Pokemon Editor'!$H:$H,0)+31+FLOOR(XLOOKUP($Q592,'Threshold Summary'!$Y:$Y,'Threshold Summary'!$R:$R,"")/4))*XLOOKUP($Q592,'Threshold Summary'!$Y:$Y,'Threshold Summary'!$L:$L,""))/100)+5)*XLOOKUP(XLOOKUP($Q592,'Threshold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Editor'!$E:$E,1))),stab,IF(OR(mtype=XLOOKUP(XLOOKUP($Q592,'Threshold Summary'!$Y:$Y,'Threshold Summary'!$K:$K,""),'Pokemon Editor'!$A:$A,'Pokemon Editor'!$C:$C,""),mtype=XLOOKUP(XLOOKUP($Q592,'Threshold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Chart'!$B$1:$S$1,0)))),base,IF(OR(cat="Status",pow=0),0,FLOOR(FLOOR(FLOOR((2*XLOOKUP($Q592,'Threshold Summary'!$Y:$Y,'Threshold Summary'!$L:$L,"")/5+2)*pow*atk/def)/50)+2)),modifier,stab*eff,AVERAGE(ARRAYFORMULA(FLOOR(base*modifier*SEQUENCE(16,1,85,1)/100)))),0)</f>
        <v/>
      </c>
      <c r="M592" s="3">
        <f>IFERROR(LET(mtype,XLOOKUP($D592,'Move Editor'!$B:$B,'Move Editor'!$C:$C,""),cat,XLOOKUP($D592,'Move Editor'!$B:$B,'Move Editor'!$D:$D,""),pow,XLOOKUP($D592,'Move Editor'!$B:$B,'Move Editor'!$E:$E,0),acc,XLOOKUP($D592,'Move Editor'!$B:$B,'Move Editor'!$F:$F,100),atk,IF(cat="Physical",FLOOR((FLOOR(((2*XLOOKUP(XLOOKUP($Q592,'Threshold Summary'!$Y:$Y,'Threshold Summary'!$K:$K,""),'Pokemon Editor'!$A:$A,'Pokemon Editor'!$F:$F,0)+31+FLOOR(XLOOKUP($Q592,'Threshold Summary'!$Y:$Y,'Threshold Summary'!$P:$P,"")/4))*XLOOKUP($Q592,'Threshold Summary'!$Y:$Y,'Threshold Summary'!$L:$L,""))/100)+5)*XLOOKUP(XLOOKUP($Q592,'Threshold Summary'!$Y:$Y,'Threshold Summary'!$M:$M,""),'Nature Editor'!$A:$A,'Nature Editor'!$B:$B,1)),FLOOR((FLOOR(((2*XLOOKUP(XLOOKUP($Q592,'Threshold Summary'!$Y:$Y,'Threshold Summary'!$K:$K,""),'Pokemon Editor'!$A:$A,'Pokemon Editor'!$H:$H,0)+31+FLOOR(XLOOKUP($Q592,'Threshold Summary'!$Y:$Y,'Threshold Summary'!$R:$R,"")/4))*XLOOKUP($Q592,'Threshold Summary'!$Y:$Y,'Threshold Summary'!$L:$L,""))/100)+5)*XLOOKUP(XLOOKUP($Q592,'Threshold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Editor'!$E:$E,1))),stab,IF(OR(mtype=XLOOKUP(XLOOKUP($Q592,'Threshold Summary'!$Y:$Y,'Threshold Summary'!$K:$K,""),'Pokemon Editor'!$A:$A,'Pokemon Editor'!$C:$C,""),mtype=XLOOKUP(XLOOKUP($Q592,'Threshold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Chart'!$B$1:$S$1,0)))),base,IF(OR(cat="Status",pow=0),0,FLOOR(FLOOR(FLOOR((2*XLOOKUP($Q592,'Threshold Summary'!$Y:$Y,'Threshold Summary'!$L:$L,"")/5+2)*pow*atk/def)/50)+2)),modifier,stab*eff,AVERAGE(ARRAYFORMULA(FLOOR(base*modifier*SEQUENCE(16,1,85,1)/100)))*MIN(1,acc/100)),0)</f>
        <v/>
      </c>
      <c r="N592" s="4">
        <f>IFERROR(LET(mtype,XLOOKUP($D592,'Move Editor'!$B:$B,'Move Editor'!$C:$C,""),cat,XLOOKUP($D592,'Move Editor'!$B:$B,'Move Editor'!$D:$D,""),pow,XLOOKUP($D592,'Move Editor'!$B:$B,'Move Editor'!$E:$E,0),acc,XLOOKUP($D592,'Move Editor'!$B:$B,'Move Editor'!$F:$F,100),atk,IF(cat="Physical",FLOOR((FLOOR(((2*XLOOKUP(XLOOKUP($Q592,'Threshold Summary'!$Y:$Y,'Threshold Summary'!$K:$K,""),'Pokemon Editor'!$A:$A,'Pokemon Editor'!$F:$F,0)+31+FLOOR(XLOOKUP($Q592,'Threshold Summary'!$Y:$Y,'Threshold Summary'!$P:$P,"")/4))*XLOOKUP($Q592,'Threshold Summary'!$Y:$Y,'Threshold Summary'!$L:$L,""))/100)+5)*XLOOKUP(XLOOKUP($Q592,'Threshold Summary'!$Y:$Y,'Threshold Summary'!$M:$M,""),'Nature Editor'!$A:$A,'Nature Editor'!$B:$B,1)),FLOOR((FLOOR(((2*XLOOKUP(XLOOKUP($Q592,'Threshold Summary'!$Y:$Y,'Threshold Summary'!$K:$K,""),'Pokemon Editor'!$A:$A,'Pokemon Editor'!$H:$H,0)+31+FLOOR(XLOOKUP($Q592,'Threshold Summary'!$Y:$Y,'Threshold Summary'!$R:$R,"")/4))*XLOOKUP($Q592,'Threshold Summary'!$Y:$Y,'Threshold Summary'!$L:$L,""))/100)+5)*XLOOKUP(XLOOKUP($Q592,'Threshold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Editor'!$E:$E,1))),stab,IF(OR(mtype=XLOOKUP(XLOOKUP($Q592,'Threshold Summary'!$Y:$Y,'Threshold Summary'!$K:$K,""),'Pokemon Editor'!$A:$A,'Pokemon Editor'!$C:$C,""),mtype=XLOOKUP(XLOOKUP($Q592,'Threshold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Chart'!$B$1:$S$1,0)))),base,IF(OR(cat="Status",pow=0),0,FLOOR(FLOOR(FLOOR((2*XLOOKUP($Q592,'Threshold Summary'!$Y:$Y,'Threshold Summary'!$L:$L,"")/5+2)*pow*atk/def)/50)+2)),modifier,stab*eff,AVERAGE(ARRAYFORMULA(FLOOR(base*modifier*SEQUENCE(16,1,85,1)/100)))/(FLOOR(((2*XLOOKUP('Boss Editor'!$C$4,'Pokemon Editor'!$A:$A,'Pokemon Editor'!$E:$E,0)+31+FLOOR('Boss Editor'!$G$4/4))*'Boss Editor'!$D$4)/100)+'Boss Editor'!$D$4+10)),0)</f>
        <v/>
      </c>
      <c r="O592" s="3">
        <f>IF(N592&gt;=1,"OHKO",IF(N592&gt;=0.5,"2HKO",IF(N592&gt;=0.333,"3HKO",IF(N592&gt;=0.25,"4HKO","5HKO+"))))</f>
        <v/>
      </c>
      <c r="P592" s="3" t="inlineStr">
        <is>
          <t>Live from editable databases</t>
        </is>
      </c>
      <c r="Q592" s="3" t="inlineStr">
        <is>
          <t>SPECIES_FLETCHLING</t>
        </is>
      </c>
      <c r="R592" s="3" t="n">
        <v>15</v>
      </c>
    </row>
    <row r="593">
      <c r="A593" s="3">
        <f>XLOOKUP($Q593,'Threshold Summary'!$Y:$Y,'Threshold Summary'!$A:$A,"")</f>
        <v/>
      </c>
      <c r="B593" s="3">
        <f>XLOOKUP($Q593,'Threshold Summary'!$Y:$Y,'Threshold Summary'!$M:$M,"")</f>
        <v/>
      </c>
      <c r="C593" s="3">
        <f>XLOOKUP($Q593,'Threshold Summary'!$Y:$Y,'Threshold Summary'!$N:$N,"")</f>
        <v/>
      </c>
      <c r="D593" s="3">
        <f>IFERROR(INDEX(FILTER('Learnset Editor'!$D$2:$D,'Learnset Editor'!$A$2:$A=XLOOKUP($Q593,'Threshold Summary'!$Y:$Y,'Threshold Summary'!$K:$K,""),'Learnset Editor'!$C$2:$C&lt;=XLOOKUP($Q593,'Threshold Summary'!$Y:$Y,'Threshold Summary'!$L:$L,"")),$R593),"")</f>
        <v/>
      </c>
      <c r="E593" s="3">
        <f>XLOOKUP(D593,'Move Editor'!$B:$B,'Move Editor'!$C:$C,"")</f>
        <v/>
      </c>
      <c r="F593" s="3">
        <f>XLOOKUP(D593,'Move Editor'!$B:$B,'Move Editor'!$D:$D,"")</f>
        <v/>
      </c>
      <c r="G593" s="3">
        <f>XLOOKUP(D593,'Move Editor'!$B:$B,'Move Editor'!$E:$E,0)</f>
        <v/>
      </c>
      <c r="H593" s="3">
        <f>XLOOKUP(D593,'Move Editor'!$B:$B,'Move Editor'!$F:$F,0)</f>
        <v/>
      </c>
      <c r="I593" s="3">
        <f>(INDEX('Type Chart'!$B:$S,MATCH(E593,'Type Chart'!$A:$A,0),MATCH(XLOOKUP('Boss Editor'!$C$4,'Pokemon Editor'!$A:$A,'Pokemon Editor'!$C:$C,""),'Type Chart'!$B$1:$S$1,0))*IF(XLOOKUP('Boss Editor'!$C$4,'Pokemon Editor'!$A:$A,'Pokemon Editor'!$D:$D,"")="",1,INDEX('Type Chart'!$B:$S,MATCH(E593,'Type Chart'!$A:$A,0),MATCH(XLOOKUP('Boss Editor'!$C$4,'Pokemon Editor'!$A:$A,'Pokemon Editor'!$D:$D,""),'Type Chart'!$B$1:$S$1,0))))</f>
        <v/>
      </c>
      <c r="J593" s="3">
        <f>IFERROR(LET(mtype,XLOOKUP($D593,'Move Editor'!$B:$B,'Move Editor'!$C:$C,""),cat,XLOOKUP($D593,'Move Editor'!$B:$B,'Move Editor'!$D:$D,""),pow,XLOOKUP($D593,'Move Editor'!$B:$B,'Move Editor'!$E:$E,0),acc,XLOOKUP($D593,'Move Editor'!$B:$B,'Move Editor'!$F:$F,100),atk,IF(cat="Physical",FLOOR((FLOOR(((2*XLOOKUP(XLOOKUP($Q593,'Threshold Summary'!$Y:$Y,'Threshold Summary'!$K:$K,""),'Pokemon Editor'!$A:$A,'Pokemon Editor'!$F:$F,0)+31+FLOOR(XLOOKUP($Q593,'Threshold Summary'!$Y:$Y,'Threshold Summary'!$P:$P,"")/4))*XLOOKUP($Q593,'Threshold Summary'!$Y:$Y,'Threshold Summary'!$L:$L,""))/100)+5)*XLOOKUP(XLOOKUP($Q593,'Threshold Summary'!$Y:$Y,'Threshold Summary'!$M:$M,""),'Nature Editor'!$A:$A,'Nature Editor'!$B:$B,1)),FLOOR((FLOOR(((2*XLOOKUP(XLOOKUP($Q593,'Threshold Summary'!$Y:$Y,'Threshold Summary'!$K:$K,""),'Pokemon Editor'!$A:$A,'Pokemon Editor'!$H:$H,0)+31+FLOOR(XLOOKUP($Q593,'Threshold Summary'!$Y:$Y,'Threshold Summary'!$R:$R,"")/4))*XLOOKUP($Q593,'Threshold Summary'!$Y:$Y,'Threshold Summary'!$L:$L,""))/100)+5)*XLOOKUP(XLOOKUP($Q593,'Threshold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Editor'!$E:$E,1))),stab,IF(OR(mtype=XLOOKUP(XLOOKUP($Q593,'Threshold Summary'!$Y:$Y,'Threshold Summary'!$K:$K,""),'Pokemon Editor'!$A:$A,'Pokemon Editor'!$C:$C,""),mtype=XLOOKUP(XLOOKUP($Q593,'Threshold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Chart'!$B$1:$S$1,0)))),base,IF(OR(cat="Status",pow=0),0,FLOOR(FLOOR(FLOOR((2*XLOOKUP($Q593,'Threshold Summary'!$Y:$Y,'Threshold Summary'!$L:$L,"")/5+2)*pow*atk/def)/50)+2)),modifier,stab*eff,FLOOR(base*modifier*0.85)),0)</f>
        <v/>
      </c>
      <c r="K593" s="3">
        <f>IFERROR(LET(mtype,XLOOKUP($D593,'Move Editor'!$B:$B,'Move Editor'!$C:$C,""),cat,XLOOKUP($D593,'Move Editor'!$B:$B,'Move Editor'!$D:$D,""),pow,XLOOKUP($D593,'Move Editor'!$B:$B,'Move Editor'!$E:$E,0),acc,XLOOKUP($D593,'Move Editor'!$B:$B,'Move Editor'!$F:$F,100),atk,IF(cat="Physical",FLOOR((FLOOR(((2*XLOOKUP(XLOOKUP($Q593,'Threshold Summary'!$Y:$Y,'Threshold Summary'!$K:$K,""),'Pokemon Editor'!$A:$A,'Pokemon Editor'!$F:$F,0)+31+FLOOR(XLOOKUP($Q593,'Threshold Summary'!$Y:$Y,'Threshold Summary'!$P:$P,"")/4))*XLOOKUP($Q593,'Threshold Summary'!$Y:$Y,'Threshold Summary'!$L:$L,""))/100)+5)*XLOOKUP(XLOOKUP($Q593,'Threshold Summary'!$Y:$Y,'Threshold Summary'!$M:$M,""),'Nature Editor'!$A:$A,'Nature Editor'!$B:$B,1)),FLOOR((FLOOR(((2*XLOOKUP(XLOOKUP($Q593,'Threshold Summary'!$Y:$Y,'Threshold Summary'!$K:$K,""),'Pokemon Editor'!$A:$A,'Pokemon Editor'!$H:$H,0)+31+FLOOR(XLOOKUP($Q593,'Threshold Summary'!$Y:$Y,'Threshold Summary'!$R:$R,"")/4))*XLOOKUP($Q593,'Threshold Summary'!$Y:$Y,'Threshold Summary'!$L:$L,""))/100)+5)*XLOOKUP(XLOOKUP($Q593,'Threshold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Editor'!$E:$E,1))),stab,IF(OR(mtype=XLOOKUP(XLOOKUP($Q593,'Threshold Summary'!$Y:$Y,'Threshold Summary'!$K:$K,""),'Pokemon Editor'!$A:$A,'Pokemon Editor'!$C:$C,""),mtype=XLOOKUP(XLOOKUP($Q593,'Threshold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Chart'!$B$1:$S$1,0)))),base,IF(OR(cat="Status",pow=0),0,FLOOR(FLOOR(FLOOR((2*XLOOKUP($Q593,'Threshold Summary'!$Y:$Y,'Threshold Summary'!$L:$L,"")/5+2)*pow*atk/def)/50)+2)),modifier,stab*eff,FLOOR(base*modifier)),0)</f>
        <v/>
      </c>
      <c r="L593" s="3">
        <f>IFERROR(LET(mtype,XLOOKUP($D593,'Move Editor'!$B:$B,'Move Editor'!$C:$C,""),cat,XLOOKUP($D593,'Move Editor'!$B:$B,'Move Editor'!$D:$D,""),pow,XLOOKUP($D593,'Move Editor'!$B:$B,'Move Editor'!$E:$E,0),acc,XLOOKUP($D593,'Move Editor'!$B:$B,'Move Editor'!$F:$F,100),atk,IF(cat="Physical",FLOOR((FLOOR(((2*XLOOKUP(XLOOKUP($Q593,'Threshold Summary'!$Y:$Y,'Threshold Summary'!$K:$K,""),'Pokemon Editor'!$A:$A,'Pokemon Editor'!$F:$F,0)+31+FLOOR(XLOOKUP($Q593,'Threshold Summary'!$Y:$Y,'Threshold Summary'!$P:$P,"")/4))*XLOOKUP($Q593,'Threshold Summary'!$Y:$Y,'Threshold Summary'!$L:$L,""))/100)+5)*XLOOKUP(XLOOKUP($Q593,'Threshold Summary'!$Y:$Y,'Threshold Summary'!$M:$M,""),'Nature Editor'!$A:$A,'Nature Editor'!$B:$B,1)),FLOOR((FLOOR(((2*XLOOKUP(XLOOKUP($Q593,'Threshold Summary'!$Y:$Y,'Threshold Summary'!$K:$K,""),'Pokemon Editor'!$A:$A,'Pokemon Editor'!$H:$H,0)+31+FLOOR(XLOOKUP($Q593,'Threshold Summary'!$Y:$Y,'Threshold Summary'!$R:$R,"")/4))*XLOOKUP($Q593,'Threshold Summary'!$Y:$Y,'Threshold Summary'!$L:$L,""))/100)+5)*XLOOKUP(XLOOKUP($Q593,'Threshold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Editor'!$E:$E,1))),stab,IF(OR(mtype=XLOOKUP(XLOOKUP($Q593,'Threshold Summary'!$Y:$Y,'Threshold Summary'!$K:$K,""),'Pokemon Editor'!$A:$A,'Pokemon Editor'!$C:$C,""),mtype=XLOOKUP(XLOOKUP($Q593,'Threshold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Chart'!$B$1:$S$1,0)))),base,IF(OR(cat="Status",pow=0),0,FLOOR(FLOOR(FLOOR((2*XLOOKUP($Q593,'Threshold Summary'!$Y:$Y,'Threshold Summary'!$L:$L,"")/5+2)*pow*atk/def)/50)+2)),modifier,stab*eff,AVERAGE(ARRAYFORMULA(FLOOR(base*modifier*SEQUENCE(16,1,85,1)/100)))),0)</f>
        <v/>
      </c>
      <c r="M593" s="3">
        <f>IFERROR(LET(mtype,XLOOKUP($D593,'Move Editor'!$B:$B,'Move Editor'!$C:$C,""),cat,XLOOKUP($D593,'Move Editor'!$B:$B,'Move Editor'!$D:$D,""),pow,XLOOKUP($D593,'Move Editor'!$B:$B,'Move Editor'!$E:$E,0),acc,XLOOKUP($D593,'Move Editor'!$B:$B,'Move Editor'!$F:$F,100),atk,IF(cat="Physical",FLOOR((FLOOR(((2*XLOOKUP(XLOOKUP($Q593,'Threshold Summary'!$Y:$Y,'Threshold Summary'!$K:$K,""),'Pokemon Editor'!$A:$A,'Pokemon Editor'!$F:$F,0)+31+FLOOR(XLOOKUP($Q593,'Threshold Summary'!$Y:$Y,'Threshold Summary'!$P:$P,"")/4))*XLOOKUP($Q593,'Threshold Summary'!$Y:$Y,'Threshold Summary'!$L:$L,""))/100)+5)*XLOOKUP(XLOOKUP($Q593,'Threshold Summary'!$Y:$Y,'Threshold Summary'!$M:$M,""),'Nature Editor'!$A:$A,'Nature Editor'!$B:$B,1)),FLOOR((FLOOR(((2*XLOOKUP(XLOOKUP($Q593,'Threshold Summary'!$Y:$Y,'Threshold Summary'!$K:$K,""),'Pokemon Editor'!$A:$A,'Pokemon Editor'!$H:$H,0)+31+FLOOR(XLOOKUP($Q593,'Threshold Summary'!$Y:$Y,'Threshold Summary'!$R:$R,"")/4))*XLOOKUP($Q593,'Threshold Summary'!$Y:$Y,'Threshold Summary'!$L:$L,""))/100)+5)*XLOOKUP(XLOOKUP($Q593,'Threshold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Editor'!$E:$E,1))),stab,IF(OR(mtype=XLOOKUP(XLOOKUP($Q593,'Threshold Summary'!$Y:$Y,'Threshold Summary'!$K:$K,""),'Pokemon Editor'!$A:$A,'Pokemon Editor'!$C:$C,""),mtype=XLOOKUP(XLOOKUP($Q593,'Threshold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Chart'!$B$1:$S$1,0)))),base,IF(OR(cat="Status",pow=0),0,FLOOR(FLOOR(FLOOR((2*XLOOKUP($Q593,'Threshold Summary'!$Y:$Y,'Threshold Summary'!$L:$L,"")/5+2)*pow*atk/def)/50)+2)),modifier,stab*eff,AVERAGE(ARRAYFORMULA(FLOOR(base*modifier*SEQUENCE(16,1,85,1)/100)))*MIN(1,acc/100)),0)</f>
        <v/>
      </c>
      <c r="N593" s="4">
        <f>IFERROR(LET(mtype,XLOOKUP($D593,'Move Editor'!$B:$B,'Move Editor'!$C:$C,""),cat,XLOOKUP($D593,'Move Editor'!$B:$B,'Move Editor'!$D:$D,""),pow,XLOOKUP($D593,'Move Editor'!$B:$B,'Move Editor'!$E:$E,0),acc,XLOOKUP($D593,'Move Editor'!$B:$B,'Move Editor'!$F:$F,100),atk,IF(cat="Physical",FLOOR((FLOOR(((2*XLOOKUP(XLOOKUP($Q593,'Threshold Summary'!$Y:$Y,'Threshold Summary'!$K:$K,""),'Pokemon Editor'!$A:$A,'Pokemon Editor'!$F:$F,0)+31+FLOOR(XLOOKUP($Q593,'Threshold Summary'!$Y:$Y,'Threshold Summary'!$P:$P,"")/4))*XLOOKUP($Q593,'Threshold Summary'!$Y:$Y,'Threshold Summary'!$L:$L,""))/100)+5)*XLOOKUP(XLOOKUP($Q593,'Threshold Summary'!$Y:$Y,'Threshold Summary'!$M:$M,""),'Nature Editor'!$A:$A,'Nature Editor'!$B:$B,1)),FLOOR((FLOOR(((2*XLOOKUP(XLOOKUP($Q593,'Threshold Summary'!$Y:$Y,'Threshold Summary'!$K:$K,""),'Pokemon Editor'!$A:$A,'Pokemon Editor'!$H:$H,0)+31+FLOOR(XLOOKUP($Q593,'Threshold Summary'!$Y:$Y,'Threshold Summary'!$R:$R,"")/4))*XLOOKUP($Q593,'Threshold Summary'!$Y:$Y,'Threshold Summary'!$L:$L,""))/100)+5)*XLOOKUP(XLOOKUP($Q593,'Threshold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Editor'!$E:$E,1))),stab,IF(OR(mtype=XLOOKUP(XLOOKUP($Q593,'Threshold Summary'!$Y:$Y,'Threshold Summary'!$K:$K,""),'Pokemon Editor'!$A:$A,'Pokemon Editor'!$C:$C,""),mtype=XLOOKUP(XLOOKUP($Q593,'Threshold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Chart'!$B$1:$S$1,0)))),base,IF(OR(cat="Status",pow=0),0,FLOOR(FLOOR(FLOOR((2*XLOOKUP($Q593,'Threshold Summary'!$Y:$Y,'Threshold Summary'!$L:$L,"")/5+2)*pow*atk/def)/50)+2)),modifier,stab*eff,AVERAGE(ARRAYFORMULA(FLOOR(base*modifier*SEQUENCE(16,1,85,1)/100)))/(FLOOR(((2*XLOOKUP('Boss Editor'!$C$4,'Pokemon Editor'!$A:$A,'Pokemon Editor'!$E:$E,0)+31+FLOOR('Boss Editor'!$G$4/4))*'Boss Editor'!$D$4)/100)+'Boss Editor'!$D$4+10)),0)</f>
        <v/>
      </c>
      <c r="O593" s="3">
        <f>IF(N593&gt;=1,"OHKO",IF(N593&gt;=0.5,"2HKO",IF(N593&gt;=0.333,"3HKO",IF(N593&gt;=0.25,"4HKO","5HKO+"))))</f>
        <v/>
      </c>
      <c r="P593" s="3" t="inlineStr">
        <is>
          <t>Live from editable databases</t>
        </is>
      </c>
      <c r="Q593" s="3" t="inlineStr">
        <is>
          <t>SPECIES_FLETCHLING</t>
        </is>
      </c>
      <c r="R593" s="3" t="n">
        <v>16</v>
      </c>
    </row>
    <row r="594">
      <c r="A594" s="3">
        <f>XLOOKUP($Q594,'Threshold Summary'!$Y:$Y,'Threshold Summary'!$A:$A,"")</f>
        <v/>
      </c>
      <c r="B594" s="3">
        <f>XLOOKUP($Q594,'Threshold Summary'!$Y:$Y,'Threshold Summary'!$M:$M,"")</f>
        <v/>
      </c>
      <c r="C594" s="3">
        <f>XLOOKUP($Q594,'Threshold Summary'!$Y:$Y,'Threshold Summary'!$N:$N,"")</f>
        <v/>
      </c>
      <c r="D594" s="3">
        <f>IFERROR(INDEX(FILTER('Learnset Editor'!$D$2:$D,'Learnset Editor'!$A$2:$A=XLOOKUP($Q594,'Threshold Summary'!$Y:$Y,'Threshold Summary'!$K:$K,""),'Learnset Editor'!$C$2:$C&lt;=XLOOKUP($Q594,'Threshold Summary'!$Y:$Y,'Threshold Summary'!$L:$L,"")),$R594),"")</f>
        <v/>
      </c>
      <c r="E594" s="3">
        <f>XLOOKUP(D594,'Move Editor'!$B:$B,'Move Editor'!$C:$C,"")</f>
        <v/>
      </c>
      <c r="F594" s="3">
        <f>XLOOKUP(D594,'Move Editor'!$B:$B,'Move Editor'!$D:$D,"")</f>
        <v/>
      </c>
      <c r="G594" s="3">
        <f>XLOOKUP(D594,'Move Editor'!$B:$B,'Move Editor'!$E:$E,0)</f>
        <v/>
      </c>
      <c r="H594" s="3">
        <f>XLOOKUP(D594,'Move Editor'!$B:$B,'Move Editor'!$F:$F,0)</f>
        <v/>
      </c>
      <c r="I594" s="3">
        <f>(INDEX('Type Chart'!$B:$S,MATCH(E594,'Type Chart'!$A:$A,0),MATCH(XLOOKUP('Boss Editor'!$C$4,'Pokemon Editor'!$A:$A,'Pokemon Editor'!$C:$C,""),'Type Chart'!$B$1:$S$1,0))*IF(XLOOKUP('Boss Editor'!$C$4,'Pokemon Editor'!$A:$A,'Pokemon Editor'!$D:$D,"")="",1,INDEX('Type Chart'!$B:$S,MATCH(E594,'Type Chart'!$A:$A,0),MATCH(XLOOKUP('Boss Editor'!$C$4,'Pokemon Editor'!$A:$A,'Pokemon Editor'!$D:$D,""),'Type Chart'!$B$1:$S$1,0))))</f>
        <v/>
      </c>
      <c r="J594" s="3">
        <f>IFERROR(LET(mtype,XLOOKUP($D594,'Move Editor'!$B:$B,'Move Editor'!$C:$C,""),cat,XLOOKUP($D594,'Move Editor'!$B:$B,'Move Editor'!$D:$D,""),pow,XLOOKUP($D594,'Move Editor'!$B:$B,'Move Editor'!$E:$E,0),acc,XLOOKUP($D594,'Move Editor'!$B:$B,'Move Editor'!$F:$F,100),atk,IF(cat="Physical",FLOOR((FLOOR(((2*XLOOKUP(XLOOKUP($Q594,'Threshold Summary'!$Y:$Y,'Threshold Summary'!$K:$K,""),'Pokemon Editor'!$A:$A,'Pokemon Editor'!$F:$F,0)+31+FLOOR(XLOOKUP($Q594,'Threshold Summary'!$Y:$Y,'Threshold Summary'!$P:$P,"")/4))*XLOOKUP($Q594,'Threshold Summary'!$Y:$Y,'Threshold Summary'!$L:$L,""))/100)+5)*XLOOKUP(XLOOKUP($Q594,'Threshold Summary'!$Y:$Y,'Threshold Summary'!$M:$M,""),'Nature Editor'!$A:$A,'Nature Editor'!$B:$B,1)),FLOOR((FLOOR(((2*XLOOKUP(XLOOKUP($Q594,'Threshold Summary'!$Y:$Y,'Threshold Summary'!$K:$K,""),'Pokemon Editor'!$A:$A,'Pokemon Editor'!$H:$H,0)+31+FLOOR(XLOOKUP($Q594,'Threshold Summary'!$Y:$Y,'Threshold Summary'!$R:$R,"")/4))*XLOOKUP($Q594,'Threshold Summary'!$Y:$Y,'Threshold Summary'!$L:$L,""))/100)+5)*XLOOKUP(XLOOKUP($Q594,'Threshold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Editor'!$E:$E,1))),stab,IF(OR(mtype=XLOOKUP(XLOOKUP($Q594,'Threshold Summary'!$Y:$Y,'Threshold Summary'!$K:$K,""),'Pokemon Editor'!$A:$A,'Pokemon Editor'!$C:$C,""),mtype=XLOOKUP(XLOOKUP($Q594,'Threshold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Chart'!$B$1:$S$1,0)))),base,IF(OR(cat="Status",pow=0),0,FLOOR(FLOOR(FLOOR((2*XLOOKUP($Q594,'Threshold Summary'!$Y:$Y,'Threshold Summary'!$L:$L,"")/5+2)*pow*atk/def)/50)+2)),modifier,stab*eff,FLOOR(base*modifier*0.85)),0)</f>
        <v/>
      </c>
      <c r="K594" s="3">
        <f>IFERROR(LET(mtype,XLOOKUP($D594,'Move Editor'!$B:$B,'Move Editor'!$C:$C,""),cat,XLOOKUP($D594,'Move Editor'!$B:$B,'Move Editor'!$D:$D,""),pow,XLOOKUP($D594,'Move Editor'!$B:$B,'Move Editor'!$E:$E,0),acc,XLOOKUP($D594,'Move Editor'!$B:$B,'Move Editor'!$F:$F,100),atk,IF(cat="Physical",FLOOR((FLOOR(((2*XLOOKUP(XLOOKUP($Q594,'Threshold Summary'!$Y:$Y,'Threshold Summary'!$K:$K,""),'Pokemon Editor'!$A:$A,'Pokemon Editor'!$F:$F,0)+31+FLOOR(XLOOKUP($Q594,'Threshold Summary'!$Y:$Y,'Threshold Summary'!$P:$P,"")/4))*XLOOKUP($Q594,'Threshold Summary'!$Y:$Y,'Threshold Summary'!$L:$L,""))/100)+5)*XLOOKUP(XLOOKUP($Q594,'Threshold Summary'!$Y:$Y,'Threshold Summary'!$M:$M,""),'Nature Editor'!$A:$A,'Nature Editor'!$B:$B,1)),FLOOR((FLOOR(((2*XLOOKUP(XLOOKUP($Q594,'Threshold Summary'!$Y:$Y,'Threshold Summary'!$K:$K,""),'Pokemon Editor'!$A:$A,'Pokemon Editor'!$H:$H,0)+31+FLOOR(XLOOKUP($Q594,'Threshold Summary'!$Y:$Y,'Threshold Summary'!$R:$R,"")/4))*XLOOKUP($Q594,'Threshold Summary'!$Y:$Y,'Threshold Summary'!$L:$L,""))/100)+5)*XLOOKUP(XLOOKUP($Q594,'Threshold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Editor'!$E:$E,1))),stab,IF(OR(mtype=XLOOKUP(XLOOKUP($Q594,'Threshold Summary'!$Y:$Y,'Threshold Summary'!$K:$K,""),'Pokemon Editor'!$A:$A,'Pokemon Editor'!$C:$C,""),mtype=XLOOKUP(XLOOKUP($Q594,'Threshold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Chart'!$B$1:$S$1,0)))),base,IF(OR(cat="Status",pow=0),0,FLOOR(FLOOR(FLOOR((2*XLOOKUP($Q594,'Threshold Summary'!$Y:$Y,'Threshold Summary'!$L:$L,"")/5+2)*pow*atk/def)/50)+2)),modifier,stab*eff,FLOOR(base*modifier)),0)</f>
        <v/>
      </c>
      <c r="L594" s="3">
        <f>IFERROR(LET(mtype,XLOOKUP($D594,'Move Editor'!$B:$B,'Move Editor'!$C:$C,""),cat,XLOOKUP($D594,'Move Editor'!$B:$B,'Move Editor'!$D:$D,""),pow,XLOOKUP($D594,'Move Editor'!$B:$B,'Move Editor'!$E:$E,0),acc,XLOOKUP($D594,'Move Editor'!$B:$B,'Move Editor'!$F:$F,100),atk,IF(cat="Physical",FLOOR((FLOOR(((2*XLOOKUP(XLOOKUP($Q594,'Threshold Summary'!$Y:$Y,'Threshold Summary'!$K:$K,""),'Pokemon Editor'!$A:$A,'Pokemon Editor'!$F:$F,0)+31+FLOOR(XLOOKUP($Q594,'Threshold Summary'!$Y:$Y,'Threshold Summary'!$P:$P,"")/4))*XLOOKUP($Q594,'Threshold Summary'!$Y:$Y,'Threshold Summary'!$L:$L,""))/100)+5)*XLOOKUP(XLOOKUP($Q594,'Threshold Summary'!$Y:$Y,'Threshold Summary'!$M:$M,""),'Nature Editor'!$A:$A,'Nature Editor'!$B:$B,1)),FLOOR((FLOOR(((2*XLOOKUP(XLOOKUP($Q594,'Threshold Summary'!$Y:$Y,'Threshold Summary'!$K:$K,""),'Pokemon Editor'!$A:$A,'Pokemon Editor'!$H:$H,0)+31+FLOOR(XLOOKUP($Q594,'Threshold Summary'!$Y:$Y,'Threshold Summary'!$R:$R,"")/4))*XLOOKUP($Q594,'Threshold Summary'!$Y:$Y,'Threshold Summary'!$L:$L,""))/100)+5)*XLOOKUP(XLOOKUP($Q594,'Threshold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Editor'!$E:$E,1))),stab,IF(OR(mtype=XLOOKUP(XLOOKUP($Q594,'Threshold Summary'!$Y:$Y,'Threshold Summary'!$K:$K,""),'Pokemon Editor'!$A:$A,'Pokemon Editor'!$C:$C,""),mtype=XLOOKUP(XLOOKUP($Q594,'Threshold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Chart'!$B$1:$S$1,0)))),base,IF(OR(cat="Status",pow=0),0,FLOOR(FLOOR(FLOOR((2*XLOOKUP($Q594,'Threshold Summary'!$Y:$Y,'Threshold Summary'!$L:$L,"")/5+2)*pow*atk/def)/50)+2)),modifier,stab*eff,AVERAGE(ARRAYFORMULA(FLOOR(base*modifier*SEQUENCE(16,1,85,1)/100)))),0)</f>
        <v/>
      </c>
      <c r="M594" s="3">
        <f>IFERROR(LET(mtype,XLOOKUP($D594,'Move Editor'!$B:$B,'Move Editor'!$C:$C,""),cat,XLOOKUP($D594,'Move Editor'!$B:$B,'Move Editor'!$D:$D,""),pow,XLOOKUP($D594,'Move Editor'!$B:$B,'Move Editor'!$E:$E,0),acc,XLOOKUP($D594,'Move Editor'!$B:$B,'Move Editor'!$F:$F,100),atk,IF(cat="Physical",FLOOR((FLOOR(((2*XLOOKUP(XLOOKUP($Q594,'Threshold Summary'!$Y:$Y,'Threshold Summary'!$K:$K,""),'Pokemon Editor'!$A:$A,'Pokemon Editor'!$F:$F,0)+31+FLOOR(XLOOKUP($Q594,'Threshold Summary'!$Y:$Y,'Threshold Summary'!$P:$P,"")/4))*XLOOKUP($Q594,'Threshold Summary'!$Y:$Y,'Threshold Summary'!$L:$L,""))/100)+5)*XLOOKUP(XLOOKUP($Q594,'Threshold Summary'!$Y:$Y,'Threshold Summary'!$M:$M,""),'Nature Editor'!$A:$A,'Nature Editor'!$B:$B,1)),FLOOR((FLOOR(((2*XLOOKUP(XLOOKUP($Q594,'Threshold Summary'!$Y:$Y,'Threshold Summary'!$K:$K,""),'Pokemon Editor'!$A:$A,'Pokemon Editor'!$H:$H,0)+31+FLOOR(XLOOKUP($Q594,'Threshold Summary'!$Y:$Y,'Threshold Summary'!$R:$R,"")/4))*XLOOKUP($Q594,'Threshold Summary'!$Y:$Y,'Threshold Summary'!$L:$L,""))/100)+5)*XLOOKUP(XLOOKUP($Q594,'Threshold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Editor'!$E:$E,1))),stab,IF(OR(mtype=XLOOKUP(XLOOKUP($Q594,'Threshold Summary'!$Y:$Y,'Threshold Summary'!$K:$K,""),'Pokemon Editor'!$A:$A,'Pokemon Editor'!$C:$C,""),mtype=XLOOKUP(XLOOKUP($Q594,'Threshold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Chart'!$B$1:$S$1,0)))),base,IF(OR(cat="Status",pow=0),0,FLOOR(FLOOR(FLOOR((2*XLOOKUP($Q594,'Threshold Summary'!$Y:$Y,'Threshold Summary'!$L:$L,"")/5+2)*pow*atk/def)/50)+2)),modifier,stab*eff,AVERAGE(ARRAYFORMULA(FLOOR(base*modifier*SEQUENCE(16,1,85,1)/100)))*MIN(1,acc/100)),0)</f>
        <v/>
      </c>
      <c r="N594" s="4">
        <f>IFERROR(LET(mtype,XLOOKUP($D594,'Move Editor'!$B:$B,'Move Editor'!$C:$C,""),cat,XLOOKUP($D594,'Move Editor'!$B:$B,'Move Editor'!$D:$D,""),pow,XLOOKUP($D594,'Move Editor'!$B:$B,'Move Editor'!$E:$E,0),acc,XLOOKUP($D594,'Move Editor'!$B:$B,'Move Editor'!$F:$F,100),atk,IF(cat="Physical",FLOOR((FLOOR(((2*XLOOKUP(XLOOKUP($Q594,'Threshold Summary'!$Y:$Y,'Threshold Summary'!$K:$K,""),'Pokemon Editor'!$A:$A,'Pokemon Editor'!$F:$F,0)+31+FLOOR(XLOOKUP($Q594,'Threshold Summary'!$Y:$Y,'Threshold Summary'!$P:$P,"")/4))*XLOOKUP($Q594,'Threshold Summary'!$Y:$Y,'Threshold Summary'!$L:$L,""))/100)+5)*XLOOKUP(XLOOKUP($Q594,'Threshold Summary'!$Y:$Y,'Threshold Summary'!$M:$M,""),'Nature Editor'!$A:$A,'Nature Editor'!$B:$B,1)),FLOOR((FLOOR(((2*XLOOKUP(XLOOKUP($Q594,'Threshold Summary'!$Y:$Y,'Threshold Summary'!$K:$K,""),'Pokemon Editor'!$A:$A,'Pokemon Editor'!$H:$H,0)+31+FLOOR(XLOOKUP($Q594,'Threshold Summary'!$Y:$Y,'Threshold Summary'!$R:$R,"")/4))*XLOOKUP($Q594,'Threshold Summary'!$Y:$Y,'Threshold Summary'!$L:$L,""))/100)+5)*XLOOKUP(XLOOKUP($Q594,'Threshold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Editor'!$E:$E,1))),stab,IF(OR(mtype=XLOOKUP(XLOOKUP($Q594,'Threshold Summary'!$Y:$Y,'Threshold Summary'!$K:$K,""),'Pokemon Editor'!$A:$A,'Pokemon Editor'!$C:$C,""),mtype=XLOOKUP(XLOOKUP($Q594,'Threshold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Chart'!$B$1:$S$1,0)))),base,IF(OR(cat="Status",pow=0),0,FLOOR(FLOOR(FLOOR((2*XLOOKUP($Q594,'Threshold Summary'!$Y:$Y,'Threshold Summary'!$L:$L,"")/5+2)*pow*atk/def)/50)+2)),modifier,stab*eff,AVERAGE(ARRAYFORMULA(FLOOR(base*modifier*SEQUENCE(16,1,85,1)/100)))/(FLOOR(((2*XLOOKUP('Boss Editor'!$C$4,'Pokemon Editor'!$A:$A,'Pokemon Editor'!$E:$E,0)+31+FLOOR('Boss Editor'!$G$4/4))*'Boss Editor'!$D$4)/100)+'Boss Editor'!$D$4+10)),0)</f>
        <v/>
      </c>
      <c r="O594" s="3">
        <f>IF(N594&gt;=1,"OHKO",IF(N594&gt;=0.5,"2HKO",IF(N594&gt;=0.333,"3HKO",IF(N594&gt;=0.25,"4HKO","5HKO+"))))</f>
        <v/>
      </c>
      <c r="P594" s="3" t="inlineStr">
        <is>
          <t>Live from editable databases</t>
        </is>
      </c>
      <c r="Q594" s="3" t="inlineStr">
        <is>
          <t>SPECIES_FLETCHLING</t>
        </is>
      </c>
      <c r="R594" s="3" t="n">
        <v>17</v>
      </c>
    </row>
    <row r="595">
      <c r="A595" s="3">
        <f>XLOOKUP($Q595,'Threshold Summary'!$Y:$Y,'Threshold Summary'!$A:$A,"")</f>
        <v/>
      </c>
      <c r="B595" s="3">
        <f>XLOOKUP($Q595,'Threshold Summary'!$Y:$Y,'Threshold Summary'!$M:$M,"")</f>
        <v/>
      </c>
      <c r="C595" s="3">
        <f>XLOOKUP($Q595,'Threshold Summary'!$Y:$Y,'Threshold Summary'!$N:$N,"")</f>
        <v/>
      </c>
      <c r="D595" s="3">
        <f>IFERROR(INDEX(FILTER('Learnset Editor'!$D$2:$D,'Learnset Editor'!$A$2:$A=XLOOKUP($Q595,'Threshold Summary'!$Y:$Y,'Threshold Summary'!$K:$K,""),'Learnset Editor'!$C$2:$C&lt;=XLOOKUP($Q595,'Threshold Summary'!$Y:$Y,'Threshold Summary'!$L:$L,"")),$R595),"")</f>
        <v/>
      </c>
      <c r="E595" s="3">
        <f>XLOOKUP(D595,'Move Editor'!$B:$B,'Move Editor'!$C:$C,"")</f>
        <v/>
      </c>
      <c r="F595" s="3">
        <f>XLOOKUP(D595,'Move Editor'!$B:$B,'Move Editor'!$D:$D,"")</f>
        <v/>
      </c>
      <c r="G595" s="3">
        <f>XLOOKUP(D595,'Move Editor'!$B:$B,'Move Editor'!$E:$E,0)</f>
        <v/>
      </c>
      <c r="H595" s="3">
        <f>XLOOKUP(D595,'Move Editor'!$B:$B,'Move Editor'!$F:$F,0)</f>
        <v/>
      </c>
      <c r="I595" s="3">
        <f>(INDEX('Type Chart'!$B:$S,MATCH(E595,'Type Chart'!$A:$A,0),MATCH(XLOOKUP('Boss Editor'!$C$4,'Pokemon Editor'!$A:$A,'Pokemon Editor'!$C:$C,""),'Type Chart'!$B$1:$S$1,0))*IF(XLOOKUP('Boss Editor'!$C$4,'Pokemon Editor'!$A:$A,'Pokemon Editor'!$D:$D,"")="",1,INDEX('Type Chart'!$B:$S,MATCH(E595,'Type Chart'!$A:$A,0),MATCH(XLOOKUP('Boss Editor'!$C$4,'Pokemon Editor'!$A:$A,'Pokemon Editor'!$D:$D,""),'Type Chart'!$B$1:$S$1,0))))</f>
        <v/>
      </c>
      <c r="J595" s="3">
        <f>IFERROR(LET(mtype,XLOOKUP($D595,'Move Editor'!$B:$B,'Move Editor'!$C:$C,""),cat,XLOOKUP($D595,'Move Editor'!$B:$B,'Move Editor'!$D:$D,""),pow,XLOOKUP($D595,'Move Editor'!$B:$B,'Move Editor'!$E:$E,0),acc,XLOOKUP($D595,'Move Editor'!$B:$B,'Move Editor'!$F:$F,100),atk,IF(cat="Physical",FLOOR((FLOOR(((2*XLOOKUP(XLOOKUP($Q595,'Threshold Summary'!$Y:$Y,'Threshold Summary'!$K:$K,""),'Pokemon Editor'!$A:$A,'Pokemon Editor'!$F:$F,0)+31+FLOOR(XLOOKUP($Q595,'Threshold Summary'!$Y:$Y,'Threshold Summary'!$P:$P,"")/4))*XLOOKUP($Q595,'Threshold Summary'!$Y:$Y,'Threshold Summary'!$L:$L,""))/100)+5)*XLOOKUP(XLOOKUP($Q595,'Threshold Summary'!$Y:$Y,'Threshold Summary'!$M:$M,""),'Nature Editor'!$A:$A,'Nature Editor'!$B:$B,1)),FLOOR((FLOOR(((2*XLOOKUP(XLOOKUP($Q595,'Threshold Summary'!$Y:$Y,'Threshold Summary'!$K:$K,""),'Pokemon Editor'!$A:$A,'Pokemon Editor'!$H:$H,0)+31+FLOOR(XLOOKUP($Q595,'Threshold Summary'!$Y:$Y,'Threshold Summary'!$R:$R,"")/4))*XLOOKUP($Q595,'Threshold Summary'!$Y:$Y,'Threshold Summary'!$L:$L,""))/100)+5)*XLOOKUP(XLOOKUP($Q595,'Threshold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Editor'!$E:$E,1))),stab,IF(OR(mtype=XLOOKUP(XLOOKUP($Q595,'Threshold Summary'!$Y:$Y,'Threshold Summary'!$K:$K,""),'Pokemon Editor'!$A:$A,'Pokemon Editor'!$C:$C,""),mtype=XLOOKUP(XLOOKUP($Q595,'Threshold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Chart'!$B$1:$S$1,0)))),base,IF(OR(cat="Status",pow=0),0,FLOOR(FLOOR(FLOOR((2*XLOOKUP($Q595,'Threshold Summary'!$Y:$Y,'Threshold Summary'!$L:$L,"")/5+2)*pow*atk/def)/50)+2)),modifier,stab*eff,FLOOR(base*modifier*0.85)),0)</f>
        <v/>
      </c>
      <c r="K595" s="3">
        <f>IFERROR(LET(mtype,XLOOKUP($D595,'Move Editor'!$B:$B,'Move Editor'!$C:$C,""),cat,XLOOKUP($D595,'Move Editor'!$B:$B,'Move Editor'!$D:$D,""),pow,XLOOKUP($D595,'Move Editor'!$B:$B,'Move Editor'!$E:$E,0),acc,XLOOKUP($D595,'Move Editor'!$B:$B,'Move Editor'!$F:$F,100),atk,IF(cat="Physical",FLOOR((FLOOR(((2*XLOOKUP(XLOOKUP($Q595,'Threshold Summary'!$Y:$Y,'Threshold Summary'!$K:$K,""),'Pokemon Editor'!$A:$A,'Pokemon Editor'!$F:$F,0)+31+FLOOR(XLOOKUP($Q595,'Threshold Summary'!$Y:$Y,'Threshold Summary'!$P:$P,"")/4))*XLOOKUP($Q595,'Threshold Summary'!$Y:$Y,'Threshold Summary'!$L:$L,""))/100)+5)*XLOOKUP(XLOOKUP($Q595,'Threshold Summary'!$Y:$Y,'Threshold Summary'!$M:$M,""),'Nature Editor'!$A:$A,'Nature Editor'!$B:$B,1)),FLOOR((FLOOR(((2*XLOOKUP(XLOOKUP($Q595,'Threshold Summary'!$Y:$Y,'Threshold Summary'!$K:$K,""),'Pokemon Editor'!$A:$A,'Pokemon Editor'!$H:$H,0)+31+FLOOR(XLOOKUP($Q595,'Threshold Summary'!$Y:$Y,'Threshold Summary'!$R:$R,"")/4))*XLOOKUP($Q595,'Threshold Summary'!$Y:$Y,'Threshold Summary'!$L:$L,""))/100)+5)*XLOOKUP(XLOOKUP($Q595,'Threshold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Editor'!$E:$E,1))),stab,IF(OR(mtype=XLOOKUP(XLOOKUP($Q595,'Threshold Summary'!$Y:$Y,'Threshold Summary'!$K:$K,""),'Pokemon Editor'!$A:$A,'Pokemon Editor'!$C:$C,""),mtype=XLOOKUP(XLOOKUP($Q595,'Threshold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Chart'!$B$1:$S$1,0)))),base,IF(OR(cat="Status",pow=0),0,FLOOR(FLOOR(FLOOR((2*XLOOKUP($Q595,'Threshold Summary'!$Y:$Y,'Threshold Summary'!$L:$L,"")/5+2)*pow*atk/def)/50)+2)),modifier,stab*eff,FLOOR(base*modifier)),0)</f>
        <v/>
      </c>
      <c r="L595" s="3">
        <f>IFERROR(LET(mtype,XLOOKUP($D595,'Move Editor'!$B:$B,'Move Editor'!$C:$C,""),cat,XLOOKUP($D595,'Move Editor'!$B:$B,'Move Editor'!$D:$D,""),pow,XLOOKUP($D595,'Move Editor'!$B:$B,'Move Editor'!$E:$E,0),acc,XLOOKUP($D595,'Move Editor'!$B:$B,'Move Editor'!$F:$F,100),atk,IF(cat="Physical",FLOOR((FLOOR(((2*XLOOKUP(XLOOKUP($Q595,'Threshold Summary'!$Y:$Y,'Threshold Summary'!$K:$K,""),'Pokemon Editor'!$A:$A,'Pokemon Editor'!$F:$F,0)+31+FLOOR(XLOOKUP($Q595,'Threshold Summary'!$Y:$Y,'Threshold Summary'!$P:$P,"")/4))*XLOOKUP($Q595,'Threshold Summary'!$Y:$Y,'Threshold Summary'!$L:$L,""))/100)+5)*XLOOKUP(XLOOKUP($Q595,'Threshold Summary'!$Y:$Y,'Threshold Summary'!$M:$M,""),'Nature Editor'!$A:$A,'Nature Editor'!$B:$B,1)),FLOOR((FLOOR(((2*XLOOKUP(XLOOKUP($Q595,'Threshold Summary'!$Y:$Y,'Threshold Summary'!$K:$K,""),'Pokemon Editor'!$A:$A,'Pokemon Editor'!$H:$H,0)+31+FLOOR(XLOOKUP($Q595,'Threshold Summary'!$Y:$Y,'Threshold Summary'!$R:$R,"")/4))*XLOOKUP($Q595,'Threshold Summary'!$Y:$Y,'Threshold Summary'!$L:$L,""))/100)+5)*XLOOKUP(XLOOKUP($Q595,'Threshold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Editor'!$E:$E,1))),stab,IF(OR(mtype=XLOOKUP(XLOOKUP($Q595,'Threshold Summary'!$Y:$Y,'Threshold Summary'!$K:$K,""),'Pokemon Editor'!$A:$A,'Pokemon Editor'!$C:$C,""),mtype=XLOOKUP(XLOOKUP($Q595,'Threshold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Chart'!$B$1:$S$1,0)))),base,IF(OR(cat="Status",pow=0),0,FLOOR(FLOOR(FLOOR((2*XLOOKUP($Q595,'Threshold Summary'!$Y:$Y,'Threshold Summary'!$L:$L,"")/5+2)*pow*atk/def)/50)+2)),modifier,stab*eff,AVERAGE(ARRAYFORMULA(FLOOR(base*modifier*SEQUENCE(16,1,85,1)/100)))),0)</f>
        <v/>
      </c>
      <c r="M595" s="3">
        <f>IFERROR(LET(mtype,XLOOKUP($D595,'Move Editor'!$B:$B,'Move Editor'!$C:$C,""),cat,XLOOKUP($D595,'Move Editor'!$B:$B,'Move Editor'!$D:$D,""),pow,XLOOKUP($D595,'Move Editor'!$B:$B,'Move Editor'!$E:$E,0),acc,XLOOKUP($D595,'Move Editor'!$B:$B,'Move Editor'!$F:$F,100),atk,IF(cat="Physical",FLOOR((FLOOR(((2*XLOOKUP(XLOOKUP($Q595,'Threshold Summary'!$Y:$Y,'Threshold Summary'!$K:$K,""),'Pokemon Editor'!$A:$A,'Pokemon Editor'!$F:$F,0)+31+FLOOR(XLOOKUP($Q595,'Threshold Summary'!$Y:$Y,'Threshold Summary'!$P:$P,"")/4))*XLOOKUP($Q595,'Threshold Summary'!$Y:$Y,'Threshold Summary'!$L:$L,""))/100)+5)*XLOOKUP(XLOOKUP($Q595,'Threshold Summary'!$Y:$Y,'Threshold Summary'!$M:$M,""),'Nature Editor'!$A:$A,'Nature Editor'!$B:$B,1)),FLOOR((FLOOR(((2*XLOOKUP(XLOOKUP($Q595,'Threshold Summary'!$Y:$Y,'Threshold Summary'!$K:$K,""),'Pokemon Editor'!$A:$A,'Pokemon Editor'!$H:$H,0)+31+FLOOR(XLOOKUP($Q595,'Threshold Summary'!$Y:$Y,'Threshold Summary'!$R:$R,"")/4))*XLOOKUP($Q595,'Threshold Summary'!$Y:$Y,'Threshold Summary'!$L:$L,""))/100)+5)*XLOOKUP(XLOOKUP($Q595,'Threshold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Editor'!$E:$E,1))),stab,IF(OR(mtype=XLOOKUP(XLOOKUP($Q595,'Threshold Summary'!$Y:$Y,'Threshold Summary'!$K:$K,""),'Pokemon Editor'!$A:$A,'Pokemon Editor'!$C:$C,""),mtype=XLOOKUP(XLOOKUP($Q595,'Threshold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Chart'!$B$1:$S$1,0)))),base,IF(OR(cat="Status",pow=0),0,FLOOR(FLOOR(FLOOR((2*XLOOKUP($Q595,'Threshold Summary'!$Y:$Y,'Threshold Summary'!$L:$L,"")/5+2)*pow*atk/def)/50)+2)),modifier,stab*eff,AVERAGE(ARRAYFORMULA(FLOOR(base*modifier*SEQUENCE(16,1,85,1)/100)))*MIN(1,acc/100)),0)</f>
        <v/>
      </c>
      <c r="N595" s="4">
        <f>IFERROR(LET(mtype,XLOOKUP($D595,'Move Editor'!$B:$B,'Move Editor'!$C:$C,""),cat,XLOOKUP($D595,'Move Editor'!$B:$B,'Move Editor'!$D:$D,""),pow,XLOOKUP($D595,'Move Editor'!$B:$B,'Move Editor'!$E:$E,0),acc,XLOOKUP($D595,'Move Editor'!$B:$B,'Move Editor'!$F:$F,100),atk,IF(cat="Physical",FLOOR((FLOOR(((2*XLOOKUP(XLOOKUP($Q595,'Threshold Summary'!$Y:$Y,'Threshold Summary'!$K:$K,""),'Pokemon Editor'!$A:$A,'Pokemon Editor'!$F:$F,0)+31+FLOOR(XLOOKUP($Q595,'Threshold Summary'!$Y:$Y,'Threshold Summary'!$P:$P,"")/4))*XLOOKUP($Q595,'Threshold Summary'!$Y:$Y,'Threshold Summary'!$L:$L,""))/100)+5)*XLOOKUP(XLOOKUP($Q595,'Threshold Summary'!$Y:$Y,'Threshold Summary'!$M:$M,""),'Nature Editor'!$A:$A,'Nature Editor'!$B:$B,1)),FLOOR((FLOOR(((2*XLOOKUP(XLOOKUP($Q595,'Threshold Summary'!$Y:$Y,'Threshold Summary'!$K:$K,""),'Pokemon Editor'!$A:$A,'Pokemon Editor'!$H:$H,0)+31+FLOOR(XLOOKUP($Q595,'Threshold Summary'!$Y:$Y,'Threshold Summary'!$R:$R,"")/4))*XLOOKUP($Q595,'Threshold Summary'!$Y:$Y,'Threshold Summary'!$L:$L,""))/100)+5)*XLOOKUP(XLOOKUP($Q595,'Threshold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Editor'!$E:$E,1))),stab,IF(OR(mtype=XLOOKUP(XLOOKUP($Q595,'Threshold Summary'!$Y:$Y,'Threshold Summary'!$K:$K,""),'Pokemon Editor'!$A:$A,'Pokemon Editor'!$C:$C,""),mtype=XLOOKUP(XLOOKUP($Q595,'Threshold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Chart'!$B$1:$S$1,0)))),base,IF(OR(cat="Status",pow=0),0,FLOOR(FLOOR(FLOOR((2*XLOOKUP($Q595,'Threshold Summary'!$Y:$Y,'Threshold Summary'!$L:$L,"")/5+2)*pow*atk/def)/50)+2)),modifier,stab*eff,AVERAGE(ARRAYFORMULA(FLOOR(base*modifier*SEQUENCE(16,1,85,1)/100)))/(FLOOR(((2*XLOOKUP('Boss Editor'!$C$4,'Pokemon Editor'!$A:$A,'Pokemon Editor'!$E:$E,0)+31+FLOOR('Boss Editor'!$G$4/4))*'Boss Editor'!$D$4)/100)+'Boss Editor'!$D$4+10)),0)</f>
        <v/>
      </c>
      <c r="O595" s="3">
        <f>IF(N595&gt;=1,"OHKO",IF(N595&gt;=0.5,"2HKO",IF(N595&gt;=0.333,"3HKO",IF(N595&gt;=0.25,"4HKO","5HKO+"))))</f>
        <v/>
      </c>
      <c r="P595" s="3" t="inlineStr">
        <is>
          <t>Live from editable databases</t>
        </is>
      </c>
      <c r="Q595" s="3" t="inlineStr">
        <is>
          <t>SPECIES_FLETCHLING</t>
        </is>
      </c>
      <c r="R595" s="3" t="n">
        <v>18</v>
      </c>
    </row>
    <row r="596">
      <c r="A596" s="3">
        <f>XLOOKUP($Q596,'Threshold Summary'!$Y:$Y,'Threshold Summary'!$A:$A,"")</f>
        <v/>
      </c>
      <c r="B596" s="3">
        <f>XLOOKUP($Q596,'Threshold Summary'!$Y:$Y,'Threshold Summary'!$M:$M,"")</f>
        <v/>
      </c>
      <c r="C596" s="3">
        <f>XLOOKUP($Q596,'Threshold Summary'!$Y:$Y,'Threshold Summary'!$N:$N,"")</f>
        <v/>
      </c>
      <c r="D596" s="3">
        <f>IFERROR(INDEX(FILTER('Learnset Editor'!$D$2:$D,'Learnset Editor'!$A$2:$A=XLOOKUP($Q596,'Threshold Summary'!$Y:$Y,'Threshold Summary'!$K:$K,""),'Learnset Editor'!$C$2:$C&lt;=XLOOKUP($Q596,'Threshold Summary'!$Y:$Y,'Threshold Summary'!$L:$L,"")),$R596),"")</f>
        <v/>
      </c>
      <c r="E596" s="3">
        <f>XLOOKUP(D596,'Move Editor'!$B:$B,'Move Editor'!$C:$C,"")</f>
        <v/>
      </c>
      <c r="F596" s="3">
        <f>XLOOKUP(D596,'Move Editor'!$B:$B,'Move Editor'!$D:$D,"")</f>
        <v/>
      </c>
      <c r="G596" s="3">
        <f>XLOOKUP(D596,'Move Editor'!$B:$B,'Move Editor'!$E:$E,0)</f>
        <v/>
      </c>
      <c r="H596" s="3">
        <f>XLOOKUP(D596,'Move Editor'!$B:$B,'Move Editor'!$F:$F,0)</f>
        <v/>
      </c>
      <c r="I596" s="3">
        <f>(INDEX('Type Chart'!$B:$S,MATCH(E596,'Type Chart'!$A:$A,0),MATCH(XLOOKUP('Boss Editor'!$C$4,'Pokemon Editor'!$A:$A,'Pokemon Editor'!$C:$C,""),'Type Chart'!$B$1:$S$1,0))*IF(XLOOKUP('Boss Editor'!$C$4,'Pokemon Editor'!$A:$A,'Pokemon Editor'!$D:$D,"")="",1,INDEX('Type Chart'!$B:$S,MATCH(E596,'Type Chart'!$A:$A,0),MATCH(XLOOKUP('Boss Editor'!$C$4,'Pokemon Editor'!$A:$A,'Pokemon Editor'!$D:$D,""),'Type Chart'!$B$1:$S$1,0))))</f>
        <v/>
      </c>
      <c r="J596" s="3">
        <f>IFERROR(LET(mtype,XLOOKUP($D596,'Move Editor'!$B:$B,'Move Editor'!$C:$C,""),cat,XLOOKUP($D596,'Move Editor'!$B:$B,'Move Editor'!$D:$D,""),pow,XLOOKUP($D596,'Move Editor'!$B:$B,'Move Editor'!$E:$E,0),acc,XLOOKUP($D596,'Move Editor'!$B:$B,'Move Editor'!$F:$F,100),atk,IF(cat="Physical",FLOOR((FLOOR(((2*XLOOKUP(XLOOKUP($Q596,'Threshold Summary'!$Y:$Y,'Threshold Summary'!$K:$K,""),'Pokemon Editor'!$A:$A,'Pokemon Editor'!$F:$F,0)+31+FLOOR(XLOOKUP($Q596,'Threshold Summary'!$Y:$Y,'Threshold Summary'!$P:$P,"")/4))*XLOOKUP($Q596,'Threshold Summary'!$Y:$Y,'Threshold Summary'!$L:$L,""))/100)+5)*XLOOKUP(XLOOKUP($Q596,'Threshold Summary'!$Y:$Y,'Threshold Summary'!$M:$M,""),'Nature Editor'!$A:$A,'Nature Editor'!$B:$B,1)),FLOOR((FLOOR(((2*XLOOKUP(XLOOKUP($Q596,'Threshold Summary'!$Y:$Y,'Threshold Summary'!$K:$K,""),'Pokemon Editor'!$A:$A,'Pokemon Editor'!$H:$H,0)+31+FLOOR(XLOOKUP($Q596,'Threshold Summary'!$Y:$Y,'Threshold Summary'!$R:$R,"")/4))*XLOOKUP($Q596,'Threshold Summary'!$Y:$Y,'Threshold Summary'!$L:$L,""))/100)+5)*XLOOKUP(XLOOKUP($Q596,'Threshold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Editor'!$E:$E,1))),stab,IF(OR(mtype=XLOOKUP(XLOOKUP($Q596,'Threshold Summary'!$Y:$Y,'Threshold Summary'!$K:$K,""),'Pokemon Editor'!$A:$A,'Pokemon Editor'!$C:$C,""),mtype=XLOOKUP(XLOOKUP($Q596,'Threshold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Chart'!$B$1:$S$1,0)))),base,IF(OR(cat="Status",pow=0),0,FLOOR(FLOOR(FLOOR((2*XLOOKUP($Q596,'Threshold Summary'!$Y:$Y,'Threshold Summary'!$L:$L,"")/5+2)*pow*atk/def)/50)+2)),modifier,stab*eff,FLOOR(base*modifier*0.85)),0)</f>
        <v/>
      </c>
      <c r="K596" s="3">
        <f>IFERROR(LET(mtype,XLOOKUP($D596,'Move Editor'!$B:$B,'Move Editor'!$C:$C,""),cat,XLOOKUP($D596,'Move Editor'!$B:$B,'Move Editor'!$D:$D,""),pow,XLOOKUP($D596,'Move Editor'!$B:$B,'Move Editor'!$E:$E,0),acc,XLOOKUP($D596,'Move Editor'!$B:$B,'Move Editor'!$F:$F,100),atk,IF(cat="Physical",FLOOR((FLOOR(((2*XLOOKUP(XLOOKUP($Q596,'Threshold Summary'!$Y:$Y,'Threshold Summary'!$K:$K,""),'Pokemon Editor'!$A:$A,'Pokemon Editor'!$F:$F,0)+31+FLOOR(XLOOKUP($Q596,'Threshold Summary'!$Y:$Y,'Threshold Summary'!$P:$P,"")/4))*XLOOKUP($Q596,'Threshold Summary'!$Y:$Y,'Threshold Summary'!$L:$L,""))/100)+5)*XLOOKUP(XLOOKUP($Q596,'Threshold Summary'!$Y:$Y,'Threshold Summary'!$M:$M,""),'Nature Editor'!$A:$A,'Nature Editor'!$B:$B,1)),FLOOR((FLOOR(((2*XLOOKUP(XLOOKUP($Q596,'Threshold Summary'!$Y:$Y,'Threshold Summary'!$K:$K,""),'Pokemon Editor'!$A:$A,'Pokemon Editor'!$H:$H,0)+31+FLOOR(XLOOKUP($Q596,'Threshold Summary'!$Y:$Y,'Threshold Summary'!$R:$R,"")/4))*XLOOKUP($Q596,'Threshold Summary'!$Y:$Y,'Threshold Summary'!$L:$L,""))/100)+5)*XLOOKUP(XLOOKUP($Q596,'Threshold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Editor'!$E:$E,1))),stab,IF(OR(mtype=XLOOKUP(XLOOKUP($Q596,'Threshold Summary'!$Y:$Y,'Threshold Summary'!$K:$K,""),'Pokemon Editor'!$A:$A,'Pokemon Editor'!$C:$C,""),mtype=XLOOKUP(XLOOKUP($Q596,'Threshold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Chart'!$B$1:$S$1,0)))),base,IF(OR(cat="Status",pow=0),0,FLOOR(FLOOR(FLOOR((2*XLOOKUP($Q596,'Threshold Summary'!$Y:$Y,'Threshold Summary'!$L:$L,"")/5+2)*pow*atk/def)/50)+2)),modifier,stab*eff,FLOOR(base*modifier)),0)</f>
        <v/>
      </c>
      <c r="L596" s="3">
        <f>IFERROR(LET(mtype,XLOOKUP($D596,'Move Editor'!$B:$B,'Move Editor'!$C:$C,""),cat,XLOOKUP($D596,'Move Editor'!$B:$B,'Move Editor'!$D:$D,""),pow,XLOOKUP($D596,'Move Editor'!$B:$B,'Move Editor'!$E:$E,0),acc,XLOOKUP($D596,'Move Editor'!$B:$B,'Move Editor'!$F:$F,100),atk,IF(cat="Physical",FLOOR((FLOOR(((2*XLOOKUP(XLOOKUP($Q596,'Threshold Summary'!$Y:$Y,'Threshold Summary'!$K:$K,""),'Pokemon Editor'!$A:$A,'Pokemon Editor'!$F:$F,0)+31+FLOOR(XLOOKUP($Q596,'Threshold Summary'!$Y:$Y,'Threshold Summary'!$P:$P,"")/4))*XLOOKUP($Q596,'Threshold Summary'!$Y:$Y,'Threshold Summary'!$L:$L,""))/100)+5)*XLOOKUP(XLOOKUP($Q596,'Threshold Summary'!$Y:$Y,'Threshold Summary'!$M:$M,""),'Nature Editor'!$A:$A,'Nature Editor'!$B:$B,1)),FLOOR((FLOOR(((2*XLOOKUP(XLOOKUP($Q596,'Threshold Summary'!$Y:$Y,'Threshold Summary'!$K:$K,""),'Pokemon Editor'!$A:$A,'Pokemon Editor'!$H:$H,0)+31+FLOOR(XLOOKUP($Q596,'Threshold Summary'!$Y:$Y,'Threshold Summary'!$R:$R,"")/4))*XLOOKUP($Q596,'Threshold Summary'!$Y:$Y,'Threshold Summary'!$L:$L,""))/100)+5)*XLOOKUP(XLOOKUP($Q596,'Threshold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Editor'!$E:$E,1))),stab,IF(OR(mtype=XLOOKUP(XLOOKUP($Q596,'Threshold Summary'!$Y:$Y,'Threshold Summary'!$K:$K,""),'Pokemon Editor'!$A:$A,'Pokemon Editor'!$C:$C,""),mtype=XLOOKUP(XLOOKUP($Q596,'Threshold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Chart'!$B$1:$S$1,0)))),base,IF(OR(cat="Status",pow=0),0,FLOOR(FLOOR(FLOOR((2*XLOOKUP($Q596,'Threshold Summary'!$Y:$Y,'Threshold Summary'!$L:$L,"")/5+2)*pow*atk/def)/50)+2)),modifier,stab*eff,AVERAGE(ARRAYFORMULA(FLOOR(base*modifier*SEQUENCE(16,1,85,1)/100)))),0)</f>
        <v/>
      </c>
      <c r="M596" s="3">
        <f>IFERROR(LET(mtype,XLOOKUP($D596,'Move Editor'!$B:$B,'Move Editor'!$C:$C,""),cat,XLOOKUP($D596,'Move Editor'!$B:$B,'Move Editor'!$D:$D,""),pow,XLOOKUP($D596,'Move Editor'!$B:$B,'Move Editor'!$E:$E,0),acc,XLOOKUP($D596,'Move Editor'!$B:$B,'Move Editor'!$F:$F,100),atk,IF(cat="Physical",FLOOR((FLOOR(((2*XLOOKUP(XLOOKUP($Q596,'Threshold Summary'!$Y:$Y,'Threshold Summary'!$K:$K,""),'Pokemon Editor'!$A:$A,'Pokemon Editor'!$F:$F,0)+31+FLOOR(XLOOKUP($Q596,'Threshold Summary'!$Y:$Y,'Threshold Summary'!$P:$P,"")/4))*XLOOKUP($Q596,'Threshold Summary'!$Y:$Y,'Threshold Summary'!$L:$L,""))/100)+5)*XLOOKUP(XLOOKUP($Q596,'Threshold Summary'!$Y:$Y,'Threshold Summary'!$M:$M,""),'Nature Editor'!$A:$A,'Nature Editor'!$B:$B,1)),FLOOR((FLOOR(((2*XLOOKUP(XLOOKUP($Q596,'Threshold Summary'!$Y:$Y,'Threshold Summary'!$K:$K,""),'Pokemon Editor'!$A:$A,'Pokemon Editor'!$H:$H,0)+31+FLOOR(XLOOKUP($Q596,'Threshold Summary'!$Y:$Y,'Threshold Summary'!$R:$R,"")/4))*XLOOKUP($Q596,'Threshold Summary'!$Y:$Y,'Threshold Summary'!$L:$L,""))/100)+5)*XLOOKUP(XLOOKUP($Q596,'Threshold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Editor'!$E:$E,1))),stab,IF(OR(mtype=XLOOKUP(XLOOKUP($Q596,'Threshold Summary'!$Y:$Y,'Threshold Summary'!$K:$K,""),'Pokemon Editor'!$A:$A,'Pokemon Editor'!$C:$C,""),mtype=XLOOKUP(XLOOKUP($Q596,'Threshold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Chart'!$B$1:$S$1,0)))),base,IF(OR(cat="Status",pow=0),0,FLOOR(FLOOR(FLOOR((2*XLOOKUP($Q596,'Threshold Summary'!$Y:$Y,'Threshold Summary'!$L:$L,"")/5+2)*pow*atk/def)/50)+2)),modifier,stab*eff,AVERAGE(ARRAYFORMULA(FLOOR(base*modifier*SEQUENCE(16,1,85,1)/100)))*MIN(1,acc/100)),0)</f>
        <v/>
      </c>
      <c r="N596" s="4">
        <f>IFERROR(LET(mtype,XLOOKUP($D596,'Move Editor'!$B:$B,'Move Editor'!$C:$C,""),cat,XLOOKUP($D596,'Move Editor'!$B:$B,'Move Editor'!$D:$D,""),pow,XLOOKUP($D596,'Move Editor'!$B:$B,'Move Editor'!$E:$E,0),acc,XLOOKUP($D596,'Move Editor'!$B:$B,'Move Editor'!$F:$F,100),atk,IF(cat="Physical",FLOOR((FLOOR(((2*XLOOKUP(XLOOKUP($Q596,'Threshold Summary'!$Y:$Y,'Threshold Summary'!$K:$K,""),'Pokemon Editor'!$A:$A,'Pokemon Editor'!$F:$F,0)+31+FLOOR(XLOOKUP($Q596,'Threshold Summary'!$Y:$Y,'Threshold Summary'!$P:$P,"")/4))*XLOOKUP($Q596,'Threshold Summary'!$Y:$Y,'Threshold Summary'!$L:$L,""))/100)+5)*XLOOKUP(XLOOKUP($Q596,'Threshold Summary'!$Y:$Y,'Threshold Summary'!$M:$M,""),'Nature Editor'!$A:$A,'Nature Editor'!$B:$B,1)),FLOOR((FLOOR(((2*XLOOKUP(XLOOKUP($Q596,'Threshold Summary'!$Y:$Y,'Threshold Summary'!$K:$K,""),'Pokemon Editor'!$A:$A,'Pokemon Editor'!$H:$H,0)+31+FLOOR(XLOOKUP($Q596,'Threshold Summary'!$Y:$Y,'Threshold Summary'!$R:$R,"")/4))*XLOOKUP($Q596,'Threshold Summary'!$Y:$Y,'Threshold Summary'!$L:$L,""))/100)+5)*XLOOKUP(XLOOKUP($Q596,'Threshold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Editor'!$E:$E,1))),stab,IF(OR(mtype=XLOOKUP(XLOOKUP($Q596,'Threshold Summary'!$Y:$Y,'Threshold Summary'!$K:$K,""),'Pokemon Editor'!$A:$A,'Pokemon Editor'!$C:$C,""),mtype=XLOOKUP(XLOOKUP($Q596,'Threshold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Chart'!$B$1:$S$1,0)))),base,IF(OR(cat="Status",pow=0),0,FLOOR(FLOOR(FLOOR((2*XLOOKUP($Q596,'Threshold Summary'!$Y:$Y,'Threshold Summary'!$L:$L,"")/5+2)*pow*atk/def)/50)+2)),modifier,stab*eff,AVERAGE(ARRAYFORMULA(FLOOR(base*modifier*SEQUENCE(16,1,85,1)/100)))/(FLOOR(((2*XLOOKUP('Boss Editor'!$C$4,'Pokemon Editor'!$A:$A,'Pokemon Editor'!$E:$E,0)+31+FLOOR('Boss Editor'!$G$4/4))*'Boss Editor'!$D$4)/100)+'Boss Editor'!$D$4+10)),0)</f>
        <v/>
      </c>
      <c r="O596" s="3">
        <f>IF(N596&gt;=1,"OHKO",IF(N596&gt;=0.5,"2HKO",IF(N596&gt;=0.333,"3HKO",IF(N596&gt;=0.25,"4HKO","5HKO+"))))</f>
        <v/>
      </c>
      <c r="P596" s="3" t="inlineStr">
        <is>
          <t>Live from editable databases</t>
        </is>
      </c>
      <c r="Q596" s="3" t="inlineStr">
        <is>
          <t>SPECIES_FLETCHLING</t>
        </is>
      </c>
      <c r="R596" s="3" t="n">
        <v>19</v>
      </c>
    </row>
    <row r="597">
      <c r="A597" s="3">
        <f>XLOOKUP($Q597,'Threshold Summary'!$Y:$Y,'Threshold Summary'!$A:$A,"")</f>
        <v/>
      </c>
      <c r="B597" s="3">
        <f>XLOOKUP($Q597,'Threshold Summary'!$Y:$Y,'Threshold Summary'!$M:$M,"")</f>
        <v/>
      </c>
      <c r="C597" s="3">
        <f>XLOOKUP($Q597,'Threshold Summary'!$Y:$Y,'Threshold Summary'!$N:$N,"")</f>
        <v/>
      </c>
      <c r="D597" s="3">
        <f>IFERROR(INDEX(FILTER('Learnset Editor'!$D$2:$D,'Learnset Editor'!$A$2:$A=XLOOKUP($Q597,'Threshold Summary'!$Y:$Y,'Threshold Summary'!$K:$K,""),'Learnset Editor'!$C$2:$C&lt;=XLOOKUP($Q597,'Threshold Summary'!$Y:$Y,'Threshold Summary'!$L:$L,"")),$R597),"")</f>
        <v/>
      </c>
      <c r="E597" s="3">
        <f>XLOOKUP(D597,'Move Editor'!$B:$B,'Move Editor'!$C:$C,"")</f>
        <v/>
      </c>
      <c r="F597" s="3">
        <f>XLOOKUP(D597,'Move Editor'!$B:$B,'Move Editor'!$D:$D,"")</f>
        <v/>
      </c>
      <c r="G597" s="3">
        <f>XLOOKUP(D597,'Move Editor'!$B:$B,'Move Editor'!$E:$E,0)</f>
        <v/>
      </c>
      <c r="H597" s="3">
        <f>XLOOKUP(D597,'Move Editor'!$B:$B,'Move Editor'!$F:$F,0)</f>
        <v/>
      </c>
      <c r="I597" s="3">
        <f>(INDEX('Type Chart'!$B:$S,MATCH(E597,'Type Chart'!$A:$A,0),MATCH(XLOOKUP('Boss Editor'!$C$4,'Pokemon Editor'!$A:$A,'Pokemon Editor'!$C:$C,""),'Type Chart'!$B$1:$S$1,0))*IF(XLOOKUP('Boss Editor'!$C$4,'Pokemon Editor'!$A:$A,'Pokemon Editor'!$D:$D,"")="",1,INDEX('Type Chart'!$B:$S,MATCH(E597,'Type Chart'!$A:$A,0),MATCH(XLOOKUP('Boss Editor'!$C$4,'Pokemon Editor'!$A:$A,'Pokemon Editor'!$D:$D,""),'Type Chart'!$B$1:$S$1,0))))</f>
        <v/>
      </c>
      <c r="J597" s="3">
        <f>IFERROR(LET(mtype,XLOOKUP($D597,'Move Editor'!$B:$B,'Move Editor'!$C:$C,""),cat,XLOOKUP($D597,'Move Editor'!$B:$B,'Move Editor'!$D:$D,""),pow,XLOOKUP($D597,'Move Editor'!$B:$B,'Move Editor'!$E:$E,0),acc,XLOOKUP($D597,'Move Editor'!$B:$B,'Move Editor'!$F:$F,100),atk,IF(cat="Physical",FLOOR((FLOOR(((2*XLOOKUP(XLOOKUP($Q597,'Threshold Summary'!$Y:$Y,'Threshold Summary'!$K:$K,""),'Pokemon Editor'!$A:$A,'Pokemon Editor'!$F:$F,0)+31+FLOOR(XLOOKUP($Q597,'Threshold Summary'!$Y:$Y,'Threshold Summary'!$P:$P,"")/4))*XLOOKUP($Q597,'Threshold Summary'!$Y:$Y,'Threshold Summary'!$L:$L,""))/100)+5)*XLOOKUP(XLOOKUP($Q597,'Threshold Summary'!$Y:$Y,'Threshold Summary'!$M:$M,""),'Nature Editor'!$A:$A,'Nature Editor'!$B:$B,1)),FLOOR((FLOOR(((2*XLOOKUP(XLOOKUP($Q597,'Threshold Summary'!$Y:$Y,'Threshold Summary'!$K:$K,""),'Pokemon Editor'!$A:$A,'Pokemon Editor'!$H:$H,0)+31+FLOOR(XLOOKUP($Q597,'Threshold Summary'!$Y:$Y,'Threshold Summary'!$R:$R,"")/4))*XLOOKUP($Q597,'Threshold Summary'!$Y:$Y,'Threshold Summary'!$L:$L,""))/100)+5)*XLOOKUP(XLOOKUP($Q597,'Threshold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Editor'!$E:$E,1))),stab,IF(OR(mtype=XLOOKUP(XLOOKUP($Q597,'Threshold Summary'!$Y:$Y,'Threshold Summary'!$K:$K,""),'Pokemon Editor'!$A:$A,'Pokemon Editor'!$C:$C,""),mtype=XLOOKUP(XLOOKUP($Q597,'Threshold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Chart'!$B$1:$S$1,0)))),base,IF(OR(cat="Status",pow=0),0,FLOOR(FLOOR(FLOOR((2*XLOOKUP($Q597,'Threshold Summary'!$Y:$Y,'Threshold Summary'!$L:$L,"")/5+2)*pow*atk/def)/50)+2)),modifier,stab*eff,FLOOR(base*modifier*0.85)),0)</f>
        <v/>
      </c>
      <c r="K597" s="3">
        <f>IFERROR(LET(mtype,XLOOKUP($D597,'Move Editor'!$B:$B,'Move Editor'!$C:$C,""),cat,XLOOKUP($D597,'Move Editor'!$B:$B,'Move Editor'!$D:$D,""),pow,XLOOKUP($D597,'Move Editor'!$B:$B,'Move Editor'!$E:$E,0),acc,XLOOKUP($D597,'Move Editor'!$B:$B,'Move Editor'!$F:$F,100),atk,IF(cat="Physical",FLOOR((FLOOR(((2*XLOOKUP(XLOOKUP($Q597,'Threshold Summary'!$Y:$Y,'Threshold Summary'!$K:$K,""),'Pokemon Editor'!$A:$A,'Pokemon Editor'!$F:$F,0)+31+FLOOR(XLOOKUP($Q597,'Threshold Summary'!$Y:$Y,'Threshold Summary'!$P:$P,"")/4))*XLOOKUP($Q597,'Threshold Summary'!$Y:$Y,'Threshold Summary'!$L:$L,""))/100)+5)*XLOOKUP(XLOOKUP($Q597,'Threshold Summary'!$Y:$Y,'Threshold Summary'!$M:$M,""),'Nature Editor'!$A:$A,'Nature Editor'!$B:$B,1)),FLOOR((FLOOR(((2*XLOOKUP(XLOOKUP($Q597,'Threshold Summary'!$Y:$Y,'Threshold Summary'!$K:$K,""),'Pokemon Editor'!$A:$A,'Pokemon Editor'!$H:$H,0)+31+FLOOR(XLOOKUP($Q597,'Threshold Summary'!$Y:$Y,'Threshold Summary'!$R:$R,"")/4))*XLOOKUP($Q597,'Threshold Summary'!$Y:$Y,'Threshold Summary'!$L:$L,""))/100)+5)*XLOOKUP(XLOOKUP($Q597,'Threshold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Editor'!$E:$E,1))),stab,IF(OR(mtype=XLOOKUP(XLOOKUP($Q597,'Threshold Summary'!$Y:$Y,'Threshold Summary'!$K:$K,""),'Pokemon Editor'!$A:$A,'Pokemon Editor'!$C:$C,""),mtype=XLOOKUP(XLOOKUP($Q597,'Threshold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Chart'!$B$1:$S$1,0)))),base,IF(OR(cat="Status",pow=0),0,FLOOR(FLOOR(FLOOR((2*XLOOKUP($Q597,'Threshold Summary'!$Y:$Y,'Threshold Summary'!$L:$L,"")/5+2)*pow*atk/def)/50)+2)),modifier,stab*eff,FLOOR(base*modifier)),0)</f>
        <v/>
      </c>
      <c r="L597" s="3">
        <f>IFERROR(LET(mtype,XLOOKUP($D597,'Move Editor'!$B:$B,'Move Editor'!$C:$C,""),cat,XLOOKUP($D597,'Move Editor'!$B:$B,'Move Editor'!$D:$D,""),pow,XLOOKUP($D597,'Move Editor'!$B:$B,'Move Editor'!$E:$E,0),acc,XLOOKUP($D597,'Move Editor'!$B:$B,'Move Editor'!$F:$F,100),atk,IF(cat="Physical",FLOOR((FLOOR(((2*XLOOKUP(XLOOKUP($Q597,'Threshold Summary'!$Y:$Y,'Threshold Summary'!$K:$K,""),'Pokemon Editor'!$A:$A,'Pokemon Editor'!$F:$F,0)+31+FLOOR(XLOOKUP($Q597,'Threshold Summary'!$Y:$Y,'Threshold Summary'!$P:$P,"")/4))*XLOOKUP($Q597,'Threshold Summary'!$Y:$Y,'Threshold Summary'!$L:$L,""))/100)+5)*XLOOKUP(XLOOKUP($Q597,'Threshold Summary'!$Y:$Y,'Threshold Summary'!$M:$M,""),'Nature Editor'!$A:$A,'Nature Editor'!$B:$B,1)),FLOOR((FLOOR(((2*XLOOKUP(XLOOKUP($Q597,'Threshold Summary'!$Y:$Y,'Threshold Summary'!$K:$K,""),'Pokemon Editor'!$A:$A,'Pokemon Editor'!$H:$H,0)+31+FLOOR(XLOOKUP($Q597,'Threshold Summary'!$Y:$Y,'Threshold Summary'!$R:$R,"")/4))*XLOOKUP($Q597,'Threshold Summary'!$Y:$Y,'Threshold Summary'!$L:$L,""))/100)+5)*XLOOKUP(XLOOKUP($Q597,'Threshold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Editor'!$E:$E,1))),stab,IF(OR(mtype=XLOOKUP(XLOOKUP($Q597,'Threshold Summary'!$Y:$Y,'Threshold Summary'!$K:$K,""),'Pokemon Editor'!$A:$A,'Pokemon Editor'!$C:$C,""),mtype=XLOOKUP(XLOOKUP($Q597,'Threshold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Chart'!$B$1:$S$1,0)))),base,IF(OR(cat="Status",pow=0),0,FLOOR(FLOOR(FLOOR((2*XLOOKUP($Q597,'Threshold Summary'!$Y:$Y,'Threshold Summary'!$L:$L,"")/5+2)*pow*atk/def)/50)+2)),modifier,stab*eff,AVERAGE(ARRAYFORMULA(FLOOR(base*modifier*SEQUENCE(16,1,85,1)/100)))),0)</f>
        <v/>
      </c>
      <c r="M597" s="3">
        <f>IFERROR(LET(mtype,XLOOKUP($D597,'Move Editor'!$B:$B,'Move Editor'!$C:$C,""),cat,XLOOKUP($D597,'Move Editor'!$B:$B,'Move Editor'!$D:$D,""),pow,XLOOKUP($D597,'Move Editor'!$B:$B,'Move Editor'!$E:$E,0),acc,XLOOKUP($D597,'Move Editor'!$B:$B,'Move Editor'!$F:$F,100),atk,IF(cat="Physical",FLOOR((FLOOR(((2*XLOOKUP(XLOOKUP($Q597,'Threshold Summary'!$Y:$Y,'Threshold Summary'!$K:$K,""),'Pokemon Editor'!$A:$A,'Pokemon Editor'!$F:$F,0)+31+FLOOR(XLOOKUP($Q597,'Threshold Summary'!$Y:$Y,'Threshold Summary'!$P:$P,"")/4))*XLOOKUP($Q597,'Threshold Summary'!$Y:$Y,'Threshold Summary'!$L:$L,""))/100)+5)*XLOOKUP(XLOOKUP($Q597,'Threshold Summary'!$Y:$Y,'Threshold Summary'!$M:$M,""),'Nature Editor'!$A:$A,'Nature Editor'!$B:$B,1)),FLOOR((FLOOR(((2*XLOOKUP(XLOOKUP($Q597,'Threshold Summary'!$Y:$Y,'Threshold Summary'!$K:$K,""),'Pokemon Editor'!$A:$A,'Pokemon Editor'!$H:$H,0)+31+FLOOR(XLOOKUP($Q597,'Threshold Summary'!$Y:$Y,'Threshold Summary'!$R:$R,"")/4))*XLOOKUP($Q597,'Threshold Summary'!$Y:$Y,'Threshold Summary'!$L:$L,""))/100)+5)*XLOOKUP(XLOOKUP($Q597,'Threshold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Editor'!$E:$E,1))),stab,IF(OR(mtype=XLOOKUP(XLOOKUP($Q597,'Threshold Summary'!$Y:$Y,'Threshold Summary'!$K:$K,""),'Pokemon Editor'!$A:$A,'Pokemon Editor'!$C:$C,""),mtype=XLOOKUP(XLOOKUP($Q597,'Threshold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Chart'!$B$1:$S$1,0)))),base,IF(OR(cat="Status",pow=0),0,FLOOR(FLOOR(FLOOR((2*XLOOKUP($Q597,'Threshold Summary'!$Y:$Y,'Threshold Summary'!$L:$L,"")/5+2)*pow*atk/def)/50)+2)),modifier,stab*eff,AVERAGE(ARRAYFORMULA(FLOOR(base*modifier*SEQUENCE(16,1,85,1)/100)))*MIN(1,acc/100)),0)</f>
        <v/>
      </c>
      <c r="N597" s="4">
        <f>IFERROR(LET(mtype,XLOOKUP($D597,'Move Editor'!$B:$B,'Move Editor'!$C:$C,""),cat,XLOOKUP($D597,'Move Editor'!$B:$B,'Move Editor'!$D:$D,""),pow,XLOOKUP($D597,'Move Editor'!$B:$B,'Move Editor'!$E:$E,0),acc,XLOOKUP($D597,'Move Editor'!$B:$B,'Move Editor'!$F:$F,100),atk,IF(cat="Physical",FLOOR((FLOOR(((2*XLOOKUP(XLOOKUP($Q597,'Threshold Summary'!$Y:$Y,'Threshold Summary'!$K:$K,""),'Pokemon Editor'!$A:$A,'Pokemon Editor'!$F:$F,0)+31+FLOOR(XLOOKUP($Q597,'Threshold Summary'!$Y:$Y,'Threshold Summary'!$P:$P,"")/4))*XLOOKUP($Q597,'Threshold Summary'!$Y:$Y,'Threshold Summary'!$L:$L,""))/100)+5)*XLOOKUP(XLOOKUP($Q597,'Threshold Summary'!$Y:$Y,'Threshold Summary'!$M:$M,""),'Nature Editor'!$A:$A,'Nature Editor'!$B:$B,1)),FLOOR((FLOOR(((2*XLOOKUP(XLOOKUP($Q597,'Threshold Summary'!$Y:$Y,'Threshold Summary'!$K:$K,""),'Pokemon Editor'!$A:$A,'Pokemon Editor'!$H:$H,0)+31+FLOOR(XLOOKUP($Q597,'Threshold Summary'!$Y:$Y,'Threshold Summary'!$R:$R,"")/4))*XLOOKUP($Q597,'Threshold Summary'!$Y:$Y,'Threshold Summary'!$L:$L,""))/100)+5)*XLOOKUP(XLOOKUP($Q597,'Threshold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Editor'!$E:$E,1))),stab,IF(OR(mtype=XLOOKUP(XLOOKUP($Q597,'Threshold Summary'!$Y:$Y,'Threshold Summary'!$K:$K,""),'Pokemon Editor'!$A:$A,'Pokemon Editor'!$C:$C,""),mtype=XLOOKUP(XLOOKUP($Q597,'Threshold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Chart'!$B$1:$S$1,0)))),base,IF(OR(cat="Status",pow=0),0,FLOOR(FLOOR(FLOOR((2*XLOOKUP($Q597,'Threshold Summary'!$Y:$Y,'Threshold Summary'!$L:$L,"")/5+2)*pow*atk/def)/50)+2)),modifier,stab*eff,AVERAGE(ARRAYFORMULA(FLOOR(base*modifier*SEQUENCE(16,1,85,1)/100)))/(FLOOR(((2*XLOOKUP('Boss Editor'!$C$4,'Pokemon Editor'!$A:$A,'Pokemon Editor'!$E:$E,0)+31+FLOOR('Boss Editor'!$G$4/4))*'Boss Editor'!$D$4)/100)+'Boss Editor'!$D$4+10)),0)</f>
        <v/>
      </c>
      <c r="O597" s="3">
        <f>IF(N597&gt;=1,"OHKO",IF(N597&gt;=0.5,"2HKO",IF(N597&gt;=0.333,"3HKO",IF(N597&gt;=0.25,"4HKO","5HKO+"))))</f>
        <v/>
      </c>
      <c r="P597" s="3" t="inlineStr">
        <is>
          <t>Live from editable databases</t>
        </is>
      </c>
      <c r="Q597" s="3" t="inlineStr">
        <is>
          <t>SPECIES_FLETCHLING</t>
        </is>
      </c>
      <c r="R597" s="3" t="n">
        <v>20</v>
      </c>
    </row>
    <row r="598">
      <c r="A598" s="3">
        <f>XLOOKUP($Q598,'Threshold Summary'!$Y:$Y,'Threshold Summary'!$A:$A,"")</f>
        <v/>
      </c>
      <c r="B598" s="3">
        <f>XLOOKUP($Q598,'Threshold Summary'!$Y:$Y,'Threshold Summary'!$M:$M,"")</f>
        <v/>
      </c>
      <c r="C598" s="3">
        <f>XLOOKUP($Q598,'Threshold Summary'!$Y:$Y,'Threshold Summary'!$N:$N,"")</f>
        <v/>
      </c>
      <c r="D598" s="3">
        <f>IFERROR(INDEX(FILTER('Learnset Editor'!$D$2:$D,'Learnset Editor'!$A$2:$A=XLOOKUP($Q598,'Threshold Summary'!$Y:$Y,'Threshold Summary'!$K:$K,""),'Learnset Editor'!$C$2:$C&lt;=XLOOKUP($Q598,'Threshold Summary'!$Y:$Y,'Threshold Summary'!$L:$L,"")),$R598),"")</f>
        <v/>
      </c>
      <c r="E598" s="3">
        <f>XLOOKUP(D598,'Move Editor'!$B:$B,'Move Editor'!$C:$C,"")</f>
        <v/>
      </c>
      <c r="F598" s="3">
        <f>XLOOKUP(D598,'Move Editor'!$B:$B,'Move Editor'!$D:$D,"")</f>
        <v/>
      </c>
      <c r="G598" s="3">
        <f>XLOOKUP(D598,'Move Editor'!$B:$B,'Move Editor'!$E:$E,0)</f>
        <v/>
      </c>
      <c r="H598" s="3">
        <f>XLOOKUP(D598,'Move Editor'!$B:$B,'Move Editor'!$F:$F,0)</f>
        <v/>
      </c>
      <c r="I598" s="3">
        <f>(INDEX('Type Chart'!$B:$S,MATCH(E598,'Type Chart'!$A:$A,0),MATCH(XLOOKUP('Boss Editor'!$C$4,'Pokemon Editor'!$A:$A,'Pokemon Editor'!$C:$C,""),'Type Chart'!$B$1:$S$1,0))*IF(XLOOKUP('Boss Editor'!$C$4,'Pokemon Editor'!$A:$A,'Pokemon Editor'!$D:$D,"")="",1,INDEX('Type Chart'!$B:$S,MATCH(E598,'Type Chart'!$A:$A,0),MATCH(XLOOKUP('Boss Editor'!$C$4,'Pokemon Editor'!$A:$A,'Pokemon Editor'!$D:$D,""),'Type Chart'!$B$1:$S$1,0))))</f>
        <v/>
      </c>
      <c r="J598" s="3">
        <f>IFERROR(LET(mtype,XLOOKUP($D598,'Move Editor'!$B:$B,'Move Editor'!$C:$C,""),cat,XLOOKUP($D598,'Move Editor'!$B:$B,'Move Editor'!$D:$D,""),pow,XLOOKUP($D598,'Move Editor'!$B:$B,'Move Editor'!$E:$E,0),acc,XLOOKUP($D598,'Move Editor'!$B:$B,'Move Editor'!$F:$F,100),atk,IF(cat="Physical",FLOOR((FLOOR(((2*XLOOKUP(XLOOKUP($Q598,'Threshold Summary'!$Y:$Y,'Threshold Summary'!$K:$K,""),'Pokemon Editor'!$A:$A,'Pokemon Editor'!$F:$F,0)+31+FLOOR(XLOOKUP($Q598,'Threshold Summary'!$Y:$Y,'Threshold Summary'!$P:$P,"")/4))*XLOOKUP($Q598,'Threshold Summary'!$Y:$Y,'Threshold Summary'!$L:$L,""))/100)+5)*XLOOKUP(XLOOKUP($Q598,'Threshold Summary'!$Y:$Y,'Threshold Summary'!$M:$M,""),'Nature Editor'!$A:$A,'Nature Editor'!$B:$B,1)),FLOOR((FLOOR(((2*XLOOKUP(XLOOKUP($Q598,'Threshold Summary'!$Y:$Y,'Threshold Summary'!$K:$K,""),'Pokemon Editor'!$A:$A,'Pokemon Editor'!$H:$H,0)+31+FLOOR(XLOOKUP($Q598,'Threshold Summary'!$Y:$Y,'Threshold Summary'!$R:$R,"")/4))*XLOOKUP($Q598,'Threshold Summary'!$Y:$Y,'Threshold Summary'!$L:$L,""))/100)+5)*XLOOKUP(XLOOKUP($Q598,'Threshold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Editor'!$E:$E,1))),stab,IF(OR(mtype=XLOOKUP(XLOOKUP($Q598,'Threshold Summary'!$Y:$Y,'Threshold Summary'!$K:$K,""),'Pokemon Editor'!$A:$A,'Pokemon Editor'!$C:$C,""),mtype=XLOOKUP(XLOOKUP($Q598,'Threshold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Chart'!$B$1:$S$1,0)))),base,IF(OR(cat="Status",pow=0),0,FLOOR(FLOOR(FLOOR((2*XLOOKUP($Q598,'Threshold Summary'!$Y:$Y,'Threshold Summary'!$L:$L,"")/5+2)*pow*atk/def)/50)+2)),modifier,stab*eff,FLOOR(base*modifier*0.85)),0)</f>
        <v/>
      </c>
      <c r="K598" s="3">
        <f>IFERROR(LET(mtype,XLOOKUP($D598,'Move Editor'!$B:$B,'Move Editor'!$C:$C,""),cat,XLOOKUP($D598,'Move Editor'!$B:$B,'Move Editor'!$D:$D,""),pow,XLOOKUP($D598,'Move Editor'!$B:$B,'Move Editor'!$E:$E,0),acc,XLOOKUP($D598,'Move Editor'!$B:$B,'Move Editor'!$F:$F,100),atk,IF(cat="Physical",FLOOR((FLOOR(((2*XLOOKUP(XLOOKUP($Q598,'Threshold Summary'!$Y:$Y,'Threshold Summary'!$K:$K,""),'Pokemon Editor'!$A:$A,'Pokemon Editor'!$F:$F,0)+31+FLOOR(XLOOKUP($Q598,'Threshold Summary'!$Y:$Y,'Threshold Summary'!$P:$P,"")/4))*XLOOKUP($Q598,'Threshold Summary'!$Y:$Y,'Threshold Summary'!$L:$L,""))/100)+5)*XLOOKUP(XLOOKUP($Q598,'Threshold Summary'!$Y:$Y,'Threshold Summary'!$M:$M,""),'Nature Editor'!$A:$A,'Nature Editor'!$B:$B,1)),FLOOR((FLOOR(((2*XLOOKUP(XLOOKUP($Q598,'Threshold Summary'!$Y:$Y,'Threshold Summary'!$K:$K,""),'Pokemon Editor'!$A:$A,'Pokemon Editor'!$H:$H,0)+31+FLOOR(XLOOKUP($Q598,'Threshold Summary'!$Y:$Y,'Threshold Summary'!$R:$R,"")/4))*XLOOKUP($Q598,'Threshold Summary'!$Y:$Y,'Threshold Summary'!$L:$L,""))/100)+5)*XLOOKUP(XLOOKUP($Q598,'Threshold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Editor'!$E:$E,1))),stab,IF(OR(mtype=XLOOKUP(XLOOKUP($Q598,'Threshold Summary'!$Y:$Y,'Threshold Summary'!$K:$K,""),'Pokemon Editor'!$A:$A,'Pokemon Editor'!$C:$C,""),mtype=XLOOKUP(XLOOKUP($Q598,'Threshold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Chart'!$B$1:$S$1,0)))),base,IF(OR(cat="Status",pow=0),0,FLOOR(FLOOR(FLOOR((2*XLOOKUP($Q598,'Threshold Summary'!$Y:$Y,'Threshold Summary'!$L:$L,"")/5+2)*pow*atk/def)/50)+2)),modifier,stab*eff,FLOOR(base*modifier)),0)</f>
        <v/>
      </c>
      <c r="L598" s="3">
        <f>IFERROR(LET(mtype,XLOOKUP($D598,'Move Editor'!$B:$B,'Move Editor'!$C:$C,""),cat,XLOOKUP($D598,'Move Editor'!$B:$B,'Move Editor'!$D:$D,""),pow,XLOOKUP($D598,'Move Editor'!$B:$B,'Move Editor'!$E:$E,0),acc,XLOOKUP($D598,'Move Editor'!$B:$B,'Move Editor'!$F:$F,100),atk,IF(cat="Physical",FLOOR((FLOOR(((2*XLOOKUP(XLOOKUP($Q598,'Threshold Summary'!$Y:$Y,'Threshold Summary'!$K:$K,""),'Pokemon Editor'!$A:$A,'Pokemon Editor'!$F:$F,0)+31+FLOOR(XLOOKUP($Q598,'Threshold Summary'!$Y:$Y,'Threshold Summary'!$P:$P,"")/4))*XLOOKUP($Q598,'Threshold Summary'!$Y:$Y,'Threshold Summary'!$L:$L,""))/100)+5)*XLOOKUP(XLOOKUP($Q598,'Threshold Summary'!$Y:$Y,'Threshold Summary'!$M:$M,""),'Nature Editor'!$A:$A,'Nature Editor'!$B:$B,1)),FLOOR((FLOOR(((2*XLOOKUP(XLOOKUP($Q598,'Threshold Summary'!$Y:$Y,'Threshold Summary'!$K:$K,""),'Pokemon Editor'!$A:$A,'Pokemon Editor'!$H:$H,0)+31+FLOOR(XLOOKUP($Q598,'Threshold Summary'!$Y:$Y,'Threshold Summary'!$R:$R,"")/4))*XLOOKUP($Q598,'Threshold Summary'!$Y:$Y,'Threshold Summary'!$L:$L,""))/100)+5)*XLOOKUP(XLOOKUP($Q598,'Threshold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Editor'!$E:$E,1))),stab,IF(OR(mtype=XLOOKUP(XLOOKUP($Q598,'Threshold Summary'!$Y:$Y,'Threshold Summary'!$K:$K,""),'Pokemon Editor'!$A:$A,'Pokemon Editor'!$C:$C,""),mtype=XLOOKUP(XLOOKUP($Q598,'Threshold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Chart'!$B$1:$S$1,0)))),base,IF(OR(cat="Status",pow=0),0,FLOOR(FLOOR(FLOOR((2*XLOOKUP($Q598,'Threshold Summary'!$Y:$Y,'Threshold Summary'!$L:$L,"")/5+2)*pow*atk/def)/50)+2)),modifier,stab*eff,AVERAGE(ARRAYFORMULA(FLOOR(base*modifier*SEQUENCE(16,1,85,1)/100)))),0)</f>
        <v/>
      </c>
      <c r="M598" s="3">
        <f>IFERROR(LET(mtype,XLOOKUP($D598,'Move Editor'!$B:$B,'Move Editor'!$C:$C,""),cat,XLOOKUP($D598,'Move Editor'!$B:$B,'Move Editor'!$D:$D,""),pow,XLOOKUP($D598,'Move Editor'!$B:$B,'Move Editor'!$E:$E,0),acc,XLOOKUP($D598,'Move Editor'!$B:$B,'Move Editor'!$F:$F,100),atk,IF(cat="Physical",FLOOR((FLOOR(((2*XLOOKUP(XLOOKUP($Q598,'Threshold Summary'!$Y:$Y,'Threshold Summary'!$K:$K,""),'Pokemon Editor'!$A:$A,'Pokemon Editor'!$F:$F,0)+31+FLOOR(XLOOKUP($Q598,'Threshold Summary'!$Y:$Y,'Threshold Summary'!$P:$P,"")/4))*XLOOKUP($Q598,'Threshold Summary'!$Y:$Y,'Threshold Summary'!$L:$L,""))/100)+5)*XLOOKUP(XLOOKUP($Q598,'Threshold Summary'!$Y:$Y,'Threshold Summary'!$M:$M,""),'Nature Editor'!$A:$A,'Nature Editor'!$B:$B,1)),FLOOR((FLOOR(((2*XLOOKUP(XLOOKUP($Q598,'Threshold Summary'!$Y:$Y,'Threshold Summary'!$K:$K,""),'Pokemon Editor'!$A:$A,'Pokemon Editor'!$H:$H,0)+31+FLOOR(XLOOKUP($Q598,'Threshold Summary'!$Y:$Y,'Threshold Summary'!$R:$R,"")/4))*XLOOKUP($Q598,'Threshold Summary'!$Y:$Y,'Threshold Summary'!$L:$L,""))/100)+5)*XLOOKUP(XLOOKUP($Q598,'Threshold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Editor'!$E:$E,1))),stab,IF(OR(mtype=XLOOKUP(XLOOKUP($Q598,'Threshold Summary'!$Y:$Y,'Threshold Summary'!$K:$K,""),'Pokemon Editor'!$A:$A,'Pokemon Editor'!$C:$C,""),mtype=XLOOKUP(XLOOKUP($Q598,'Threshold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Chart'!$B$1:$S$1,0)))),base,IF(OR(cat="Status",pow=0),0,FLOOR(FLOOR(FLOOR((2*XLOOKUP($Q598,'Threshold Summary'!$Y:$Y,'Threshold Summary'!$L:$L,"")/5+2)*pow*atk/def)/50)+2)),modifier,stab*eff,AVERAGE(ARRAYFORMULA(FLOOR(base*modifier*SEQUENCE(16,1,85,1)/100)))*MIN(1,acc/100)),0)</f>
        <v/>
      </c>
      <c r="N598" s="4">
        <f>IFERROR(LET(mtype,XLOOKUP($D598,'Move Editor'!$B:$B,'Move Editor'!$C:$C,""),cat,XLOOKUP($D598,'Move Editor'!$B:$B,'Move Editor'!$D:$D,""),pow,XLOOKUP($D598,'Move Editor'!$B:$B,'Move Editor'!$E:$E,0),acc,XLOOKUP($D598,'Move Editor'!$B:$B,'Move Editor'!$F:$F,100),atk,IF(cat="Physical",FLOOR((FLOOR(((2*XLOOKUP(XLOOKUP($Q598,'Threshold Summary'!$Y:$Y,'Threshold Summary'!$K:$K,""),'Pokemon Editor'!$A:$A,'Pokemon Editor'!$F:$F,0)+31+FLOOR(XLOOKUP($Q598,'Threshold Summary'!$Y:$Y,'Threshold Summary'!$P:$P,"")/4))*XLOOKUP($Q598,'Threshold Summary'!$Y:$Y,'Threshold Summary'!$L:$L,""))/100)+5)*XLOOKUP(XLOOKUP($Q598,'Threshold Summary'!$Y:$Y,'Threshold Summary'!$M:$M,""),'Nature Editor'!$A:$A,'Nature Editor'!$B:$B,1)),FLOOR((FLOOR(((2*XLOOKUP(XLOOKUP($Q598,'Threshold Summary'!$Y:$Y,'Threshold Summary'!$K:$K,""),'Pokemon Editor'!$A:$A,'Pokemon Editor'!$H:$H,0)+31+FLOOR(XLOOKUP($Q598,'Threshold Summary'!$Y:$Y,'Threshold Summary'!$R:$R,"")/4))*XLOOKUP($Q598,'Threshold Summary'!$Y:$Y,'Threshold Summary'!$L:$L,""))/100)+5)*XLOOKUP(XLOOKUP($Q598,'Threshold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Editor'!$E:$E,1))),stab,IF(OR(mtype=XLOOKUP(XLOOKUP($Q598,'Threshold Summary'!$Y:$Y,'Threshold Summary'!$K:$K,""),'Pokemon Editor'!$A:$A,'Pokemon Editor'!$C:$C,""),mtype=XLOOKUP(XLOOKUP($Q598,'Threshold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Chart'!$B$1:$S$1,0)))),base,IF(OR(cat="Status",pow=0),0,FLOOR(FLOOR(FLOOR((2*XLOOKUP($Q598,'Threshold Summary'!$Y:$Y,'Threshold Summary'!$L:$L,"")/5+2)*pow*atk/def)/50)+2)),modifier,stab*eff,AVERAGE(ARRAYFORMULA(FLOOR(base*modifier*SEQUENCE(16,1,85,1)/100)))/(FLOOR(((2*XLOOKUP('Boss Editor'!$C$4,'Pokemon Editor'!$A:$A,'Pokemon Editor'!$E:$E,0)+31+FLOOR('Boss Editor'!$G$4/4))*'Boss Editor'!$D$4)/100)+'Boss Editor'!$D$4+10)),0)</f>
        <v/>
      </c>
      <c r="O598" s="3">
        <f>IF(N598&gt;=1,"OHKO",IF(N598&gt;=0.5,"2HKO",IF(N598&gt;=0.333,"3HKO",IF(N598&gt;=0.25,"4HKO","5HKO+"))))</f>
        <v/>
      </c>
      <c r="P598" s="3" t="inlineStr">
        <is>
          <t>Live from editable databases</t>
        </is>
      </c>
      <c r="Q598" s="3" t="inlineStr">
        <is>
          <t>SPECIES_FLETCHLING</t>
        </is>
      </c>
      <c r="R598" s="3" t="n">
        <v>21</v>
      </c>
    </row>
    <row r="599">
      <c r="A599" s="3">
        <f>XLOOKUP($Q599,'Threshold Summary'!$Y:$Y,'Threshold Summary'!$A:$A,"")</f>
        <v/>
      </c>
      <c r="B599" s="3">
        <f>XLOOKUP($Q599,'Threshold Summary'!$Y:$Y,'Threshold Summary'!$M:$M,"")</f>
        <v/>
      </c>
      <c r="C599" s="3">
        <f>XLOOKUP($Q599,'Threshold Summary'!$Y:$Y,'Threshold Summary'!$N:$N,"")</f>
        <v/>
      </c>
      <c r="D599" s="3">
        <f>IFERROR(INDEX(FILTER('Learnset Editor'!$D$2:$D,'Learnset Editor'!$A$2:$A=XLOOKUP($Q599,'Threshold Summary'!$Y:$Y,'Threshold Summary'!$K:$K,""),'Learnset Editor'!$C$2:$C&lt;=XLOOKUP($Q599,'Threshold Summary'!$Y:$Y,'Threshold Summary'!$L:$L,"")),$R599),"")</f>
        <v/>
      </c>
      <c r="E599" s="3">
        <f>XLOOKUP(D599,'Move Editor'!$B:$B,'Move Editor'!$C:$C,"")</f>
        <v/>
      </c>
      <c r="F599" s="3">
        <f>XLOOKUP(D599,'Move Editor'!$B:$B,'Move Editor'!$D:$D,"")</f>
        <v/>
      </c>
      <c r="G599" s="3">
        <f>XLOOKUP(D599,'Move Editor'!$B:$B,'Move Editor'!$E:$E,0)</f>
        <v/>
      </c>
      <c r="H599" s="3">
        <f>XLOOKUP(D599,'Move Editor'!$B:$B,'Move Editor'!$F:$F,0)</f>
        <v/>
      </c>
      <c r="I599" s="3">
        <f>(INDEX('Type Chart'!$B:$S,MATCH(E599,'Type Chart'!$A:$A,0),MATCH(XLOOKUP('Boss Editor'!$C$4,'Pokemon Editor'!$A:$A,'Pokemon Editor'!$C:$C,""),'Type Chart'!$B$1:$S$1,0))*IF(XLOOKUP('Boss Editor'!$C$4,'Pokemon Editor'!$A:$A,'Pokemon Editor'!$D:$D,"")="",1,INDEX('Type Chart'!$B:$S,MATCH(E599,'Type Chart'!$A:$A,0),MATCH(XLOOKUP('Boss Editor'!$C$4,'Pokemon Editor'!$A:$A,'Pokemon Editor'!$D:$D,""),'Type Chart'!$B$1:$S$1,0))))</f>
        <v/>
      </c>
      <c r="J599" s="3">
        <f>IFERROR(LET(mtype,XLOOKUP($D599,'Move Editor'!$B:$B,'Move Editor'!$C:$C,""),cat,XLOOKUP($D599,'Move Editor'!$B:$B,'Move Editor'!$D:$D,""),pow,XLOOKUP($D599,'Move Editor'!$B:$B,'Move Editor'!$E:$E,0),acc,XLOOKUP($D599,'Move Editor'!$B:$B,'Move Editor'!$F:$F,100),atk,IF(cat="Physical",FLOOR((FLOOR(((2*XLOOKUP(XLOOKUP($Q599,'Threshold Summary'!$Y:$Y,'Threshold Summary'!$K:$K,""),'Pokemon Editor'!$A:$A,'Pokemon Editor'!$F:$F,0)+31+FLOOR(XLOOKUP($Q599,'Threshold Summary'!$Y:$Y,'Threshold Summary'!$P:$P,"")/4))*XLOOKUP($Q599,'Threshold Summary'!$Y:$Y,'Threshold Summary'!$L:$L,""))/100)+5)*XLOOKUP(XLOOKUP($Q599,'Threshold Summary'!$Y:$Y,'Threshold Summary'!$M:$M,""),'Nature Editor'!$A:$A,'Nature Editor'!$B:$B,1)),FLOOR((FLOOR(((2*XLOOKUP(XLOOKUP($Q599,'Threshold Summary'!$Y:$Y,'Threshold Summary'!$K:$K,""),'Pokemon Editor'!$A:$A,'Pokemon Editor'!$H:$H,0)+31+FLOOR(XLOOKUP($Q599,'Threshold Summary'!$Y:$Y,'Threshold Summary'!$R:$R,"")/4))*XLOOKUP($Q599,'Threshold Summary'!$Y:$Y,'Threshold Summary'!$L:$L,""))/100)+5)*XLOOKUP(XLOOKUP($Q599,'Threshold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Editor'!$E:$E,1))),stab,IF(OR(mtype=XLOOKUP(XLOOKUP($Q599,'Threshold Summary'!$Y:$Y,'Threshold Summary'!$K:$K,""),'Pokemon Editor'!$A:$A,'Pokemon Editor'!$C:$C,""),mtype=XLOOKUP(XLOOKUP($Q599,'Threshold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Chart'!$B$1:$S$1,0)))),base,IF(OR(cat="Status",pow=0),0,FLOOR(FLOOR(FLOOR((2*XLOOKUP($Q599,'Threshold Summary'!$Y:$Y,'Threshold Summary'!$L:$L,"")/5+2)*pow*atk/def)/50)+2)),modifier,stab*eff,FLOOR(base*modifier*0.85)),0)</f>
        <v/>
      </c>
      <c r="K599" s="3">
        <f>IFERROR(LET(mtype,XLOOKUP($D599,'Move Editor'!$B:$B,'Move Editor'!$C:$C,""),cat,XLOOKUP($D599,'Move Editor'!$B:$B,'Move Editor'!$D:$D,""),pow,XLOOKUP($D599,'Move Editor'!$B:$B,'Move Editor'!$E:$E,0),acc,XLOOKUP($D599,'Move Editor'!$B:$B,'Move Editor'!$F:$F,100),atk,IF(cat="Physical",FLOOR((FLOOR(((2*XLOOKUP(XLOOKUP($Q599,'Threshold Summary'!$Y:$Y,'Threshold Summary'!$K:$K,""),'Pokemon Editor'!$A:$A,'Pokemon Editor'!$F:$F,0)+31+FLOOR(XLOOKUP($Q599,'Threshold Summary'!$Y:$Y,'Threshold Summary'!$P:$P,"")/4))*XLOOKUP($Q599,'Threshold Summary'!$Y:$Y,'Threshold Summary'!$L:$L,""))/100)+5)*XLOOKUP(XLOOKUP($Q599,'Threshold Summary'!$Y:$Y,'Threshold Summary'!$M:$M,""),'Nature Editor'!$A:$A,'Nature Editor'!$B:$B,1)),FLOOR((FLOOR(((2*XLOOKUP(XLOOKUP($Q599,'Threshold Summary'!$Y:$Y,'Threshold Summary'!$K:$K,""),'Pokemon Editor'!$A:$A,'Pokemon Editor'!$H:$H,0)+31+FLOOR(XLOOKUP($Q599,'Threshold Summary'!$Y:$Y,'Threshold Summary'!$R:$R,"")/4))*XLOOKUP($Q599,'Threshold Summary'!$Y:$Y,'Threshold Summary'!$L:$L,""))/100)+5)*XLOOKUP(XLOOKUP($Q599,'Threshold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Editor'!$E:$E,1))),stab,IF(OR(mtype=XLOOKUP(XLOOKUP($Q599,'Threshold Summary'!$Y:$Y,'Threshold Summary'!$K:$K,""),'Pokemon Editor'!$A:$A,'Pokemon Editor'!$C:$C,""),mtype=XLOOKUP(XLOOKUP($Q599,'Threshold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Chart'!$B$1:$S$1,0)))),base,IF(OR(cat="Status",pow=0),0,FLOOR(FLOOR(FLOOR((2*XLOOKUP($Q599,'Threshold Summary'!$Y:$Y,'Threshold Summary'!$L:$L,"")/5+2)*pow*atk/def)/50)+2)),modifier,stab*eff,FLOOR(base*modifier)),0)</f>
        <v/>
      </c>
      <c r="L599" s="3">
        <f>IFERROR(LET(mtype,XLOOKUP($D599,'Move Editor'!$B:$B,'Move Editor'!$C:$C,""),cat,XLOOKUP($D599,'Move Editor'!$B:$B,'Move Editor'!$D:$D,""),pow,XLOOKUP($D599,'Move Editor'!$B:$B,'Move Editor'!$E:$E,0),acc,XLOOKUP($D599,'Move Editor'!$B:$B,'Move Editor'!$F:$F,100),atk,IF(cat="Physical",FLOOR((FLOOR(((2*XLOOKUP(XLOOKUP($Q599,'Threshold Summary'!$Y:$Y,'Threshold Summary'!$K:$K,""),'Pokemon Editor'!$A:$A,'Pokemon Editor'!$F:$F,0)+31+FLOOR(XLOOKUP($Q599,'Threshold Summary'!$Y:$Y,'Threshold Summary'!$P:$P,"")/4))*XLOOKUP($Q599,'Threshold Summary'!$Y:$Y,'Threshold Summary'!$L:$L,""))/100)+5)*XLOOKUP(XLOOKUP($Q599,'Threshold Summary'!$Y:$Y,'Threshold Summary'!$M:$M,""),'Nature Editor'!$A:$A,'Nature Editor'!$B:$B,1)),FLOOR((FLOOR(((2*XLOOKUP(XLOOKUP($Q599,'Threshold Summary'!$Y:$Y,'Threshold Summary'!$K:$K,""),'Pokemon Editor'!$A:$A,'Pokemon Editor'!$H:$H,0)+31+FLOOR(XLOOKUP($Q599,'Threshold Summary'!$Y:$Y,'Threshold Summary'!$R:$R,"")/4))*XLOOKUP($Q599,'Threshold Summary'!$Y:$Y,'Threshold Summary'!$L:$L,""))/100)+5)*XLOOKUP(XLOOKUP($Q599,'Threshold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Editor'!$E:$E,1))),stab,IF(OR(mtype=XLOOKUP(XLOOKUP($Q599,'Threshold Summary'!$Y:$Y,'Threshold Summary'!$K:$K,""),'Pokemon Editor'!$A:$A,'Pokemon Editor'!$C:$C,""),mtype=XLOOKUP(XLOOKUP($Q599,'Threshold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Chart'!$B$1:$S$1,0)))),base,IF(OR(cat="Status",pow=0),0,FLOOR(FLOOR(FLOOR((2*XLOOKUP($Q599,'Threshold Summary'!$Y:$Y,'Threshold Summary'!$L:$L,"")/5+2)*pow*atk/def)/50)+2)),modifier,stab*eff,AVERAGE(ARRAYFORMULA(FLOOR(base*modifier*SEQUENCE(16,1,85,1)/100)))),0)</f>
        <v/>
      </c>
      <c r="M599" s="3">
        <f>IFERROR(LET(mtype,XLOOKUP($D599,'Move Editor'!$B:$B,'Move Editor'!$C:$C,""),cat,XLOOKUP($D599,'Move Editor'!$B:$B,'Move Editor'!$D:$D,""),pow,XLOOKUP($D599,'Move Editor'!$B:$B,'Move Editor'!$E:$E,0),acc,XLOOKUP($D599,'Move Editor'!$B:$B,'Move Editor'!$F:$F,100),atk,IF(cat="Physical",FLOOR((FLOOR(((2*XLOOKUP(XLOOKUP($Q599,'Threshold Summary'!$Y:$Y,'Threshold Summary'!$K:$K,""),'Pokemon Editor'!$A:$A,'Pokemon Editor'!$F:$F,0)+31+FLOOR(XLOOKUP($Q599,'Threshold Summary'!$Y:$Y,'Threshold Summary'!$P:$P,"")/4))*XLOOKUP($Q599,'Threshold Summary'!$Y:$Y,'Threshold Summary'!$L:$L,""))/100)+5)*XLOOKUP(XLOOKUP($Q599,'Threshold Summary'!$Y:$Y,'Threshold Summary'!$M:$M,""),'Nature Editor'!$A:$A,'Nature Editor'!$B:$B,1)),FLOOR((FLOOR(((2*XLOOKUP(XLOOKUP($Q599,'Threshold Summary'!$Y:$Y,'Threshold Summary'!$K:$K,""),'Pokemon Editor'!$A:$A,'Pokemon Editor'!$H:$H,0)+31+FLOOR(XLOOKUP($Q599,'Threshold Summary'!$Y:$Y,'Threshold Summary'!$R:$R,"")/4))*XLOOKUP($Q599,'Threshold Summary'!$Y:$Y,'Threshold Summary'!$L:$L,""))/100)+5)*XLOOKUP(XLOOKUP($Q599,'Threshold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Editor'!$E:$E,1))),stab,IF(OR(mtype=XLOOKUP(XLOOKUP($Q599,'Threshold Summary'!$Y:$Y,'Threshold Summary'!$K:$K,""),'Pokemon Editor'!$A:$A,'Pokemon Editor'!$C:$C,""),mtype=XLOOKUP(XLOOKUP($Q599,'Threshold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Chart'!$B$1:$S$1,0)))),base,IF(OR(cat="Status",pow=0),0,FLOOR(FLOOR(FLOOR((2*XLOOKUP($Q599,'Threshold Summary'!$Y:$Y,'Threshold Summary'!$L:$L,"")/5+2)*pow*atk/def)/50)+2)),modifier,stab*eff,AVERAGE(ARRAYFORMULA(FLOOR(base*modifier*SEQUENCE(16,1,85,1)/100)))*MIN(1,acc/100)),0)</f>
        <v/>
      </c>
      <c r="N599" s="4">
        <f>IFERROR(LET(mtype,XLOOKUP($D599,'Move Editor'!$B:$B,'Move Editor'!$C:$C,""),cat,XLOOKUP($D599,'Move Editor'!$B:$B,'Move Editor'!$D:$D,""),pow,XLOOKUP($D599,'Move Editor'!$B:$B,'Move Editor'!$E:$E,0),acc,XLOOKUP($D599,'Move Editor'!$B:$B,'Move Editor'!$F:$F,100),atk,IF(cat="Physical",FLOOR((FLOOR(((2*XLOOKUP(XLOOKUP($Q599,'Threshold Summary'!$Y:$Y,'Threshold Summary'!$K:$K,""),'Pokemon Editor'!$A:$A,'Pokemon Editor'!$F:$F,0)+31+FLOOR(XLOOKUP($Q599,'Threshold Summary'!$Y:$Y,'Threshold Summary'!$P:$P,"")/4))*XLOOKUP($Q599,'Threshold Summary'!$Y:$Y,'Threshold Summary'!$L:$L,""))/100)+5)*XLOOKUP(XLOOKUP($Q599,'Threshold Summary'!$Y:$Y,'Threshold Summary'!$M:$M,""),'Nature Editor'!$A:$A,'Nature Editor'!$B:$B,1)),FLOOR((FLOOR(((2*XLOOKUP(XLOOKUP($Q599,'Threshold Summary'!$Y:$Y,'Threshold Summary'!$K:$K,""),'Pokemon Editor'!$A:$A,'Pokemon Editor'!$H:$H,0)+31+FLOOR(XLOOKUP($Q599,'Threshold Summary'!$Y:$Y,'Threshold Summary'!$R:$R,"")/4))*XLOOKUP($Q599,'Threshold Summary'!$Y:$Y,'Threshold Summary'!$L:$L,""))/100)+5)*XLOOKUP(XLOOKUP($Q599,'Threshold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Editor'!$E:$E,1))),stab,IF(OR(mtype=XLOOKUP(XLOOKUP($Q599,'Threshold Summary'!$Y:$Y,'Threshold Summary'!$K:$K,""),'Pokemon Editor'!$A:$A,'Pokemon Editor'!$C:$C,""),mtype=XLOOKUP(XLOOKUP($Q599,'Threshold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Chart'!$B$1:$S$1,0)))),base,IF(OR(cat="Status",pow=0),0,FLOOR(FLOOR(FLOOR((2*XLOOKUP($Q599,'Threshold Summary'!$Y:$Y,'Threshold Summary'!$L:$L,"")/5+2)*pow*atk/def)/50)+2)),modifier,stab*eff,AVERAGE(ARRAYFORMULA(FLOOR(base*modifier*SEQUENCE(16,1,85,1)/100)))/(FLOOR(((2*XLOOKUP('Boss Editor'!$C$4,'Pokemon Editor'!$A:$A,'Pokemon Editor'!$E:$E,0)+31+FLOOR('Boss Editor'!$G$4/4))*'Boss Editor'!$D$4)/100)+'Boss Editor'!$D$4+10)),0)</f>
        <v/>
      </c>
      <c r="O599" s="3">
        <f>IF(N599&gt;=1,"OHKO",IF(N599&gt;=0.5,"2HKO",IF(N599&gt;=0.333,"3HKO",IF(N599&gt;=0.25,"4HKO","5HKO+"))))</f>
        <v/>
      </c>
      <c r="P599" s="3" t="inlineStr">
        <is>
          <t>Live from editable databases</t>
        </is>
      </c>
      <c r="Q599" s="3" t="inlineStr">
        <is>
          <t>SPECIES_FLETCHLING</t>
        </is>
      </c>
      <c r="R599" s="3" t="n">
        <v>22</v>
      </c>
    </row>
    <row r="600">
      <c r="A600" s="3">
        <f>XLOOKUP($Q600,'Threshold Summary'!$Y:$Y,'Threshold Summary'!$A:$A,"")</f>
        <v/>
      </c>
      <c r="B600" s="3">
        <f>XLOOKUP($Q600,'Threshold Summary'!$Y:$Y,'Threshold Summary'!$M:$M,"")</f>
        <v/>
      </c>
      <c r="C600" s="3">
        <f>XLOOKUP($Q600,'Threshold Summary'!$Y:$Y,'Threshold Summary'!$N:$N,"")</f>
        <v/>
      </c>
      <c r="D600" s="3">
        <f>IFERROR(INDEX(FILTER('Learnset Editor'!$D$2:$D,'Learnset Editor'!$A$2:$A=XLOOKUP($Q600,'Threshold Summary'!$Y:$Y,'Threshold Summary'!$K:$K,""),'Learnset Editor'!$C$2:$C&lt;=XLOOKUP($Q600,'Threshold Summary'!$Y:$Y,'Threshold Summary'!$L:$L,"")),$R600),"")</f>
        <v/>
      </c>
      <c r="E600" s="3">
        <f>XLOOKUP(D600,'Move Editor'!$B:$B,'Move Editor'!$C:$C,"")</f>
        <v/>
      </c>
      <c r="F600" s="3">
        <f>XLOOKUP(D600,'Move Editor'!$B:$B,'Move Editor'!$D:$D,"")</f>
        <v/>
      </c>
      <c r="G600" s="3">
        <f>XLOOKUP(D600,'Move Editor'!$B:$B,'Move Editor'!$E:$E,0)</f>
        <v/>
      </c>
      <c r="H600" s="3">
        <f>XLOOKUP(D600,'Move Editor'!$B:$B,'Move Editor'!$F:$F,0)</f>
        <v/>
      </c>
      <c r="I600" s="3">
        <f>(INDEX('Type Chart'!$B:$S,MATCH(E600,'Type Chart'!$A:$A,0),MATCH(XLOOKUP('Boss Editor'!$C$4,'Pokemon Editor'!$A:$A,'Pokemon Editor'!$C:$C,""),'Type Chart'!$B$1:$S$1,0))*IF(XLOOKUP('Boss Editor'!$C$4,'Pokemon Editor'!$A:$A,'Pokemon Editor'!$D:$D,"")="",1,INDEX('Type Chart'!$B:$S,MATCH(E600,'Type Chart'!$A:$A,0),MATCH(XLOOKUP('Boss Editor'!$C$4,'Pokemon Editor'!$A:$A,'Pokemon Editor'!$D:$D,""),'Type Chart'!$B$1:$S$1,0))))</f>
        <v/>
      </c>
      <c r="J600" s="3">
        <f>IFERROR(LET(mtype,XLOOKUP($D600,'Move Editor'!$B:$B,'Move Editor'!$C:$C,""),cat,XLOOKUP($D600,'Move Editor'!$B:$B,'Move Editor'!$D:$D,""),pow,XLOOKUP($D600,'Move Editor'!$B:$B,'Move Editor'!$E:$E,0),acc,XLOOKUP($D600,'Move Editor'!$B:$B,'Move Editor'!$F:$F,100),atk,IF(cat="Physical",FLOOR((FLOOR(((2*XLOOKUP(XLOOKUP($Q600,'Threshold Summary'!$Y:$Y,'Threshold Summary'!$K:$K,""),'Pokemon Editor'!$A:$A,'Pokemon Editor'!$F:$F,0)+31+FLOOR(XLOOKUP($Q600,'Threshold Summary'!$Y:$Y,'Threshold Summary'!$P:$P,"")/4))*XLOOKUP($Q600,'Threshold Summary'!$Y:$Y,'Threshold Summary'!$L:$L,""))/100)+5)*XLOOKUP(XLOOKUP($Q600,'Threshold Summary'!$Y:$Y,'Threshold Summary'!$M:$M,""),'Nature Editor'!$A:$A,'Nature Editor'!$B:$B,1)),FLOOR((FLOOR(((2*XLOOKUP(XLOOKUP($Q600,'Threshold Summary'!$Y:$Y,'Threshold Summary'!$K:$K,""),'Pokemon Editor'!$A:$A,'Pokemon Editor'!$H:$H,0)+31+FLOOR(XLOOKUP($Q600,'Threshold Summary'!$Y:$Y,'Threshold Summary'!$R:$R,"")/4))*XLOOKUP($Q600,'Threshold Summary'!$Y:$Y,'Threshold Summary'!$L:$L,""))/100)+5)*XLOOKUP(XLOOKUP($Q600,'Threshold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Editor'!$E:$E,1))),stab,IF(OR(mtype=XLOOKUP(XLOOKUP($Q600,'Threshold Summary'!$Y:$Y,'Threshold Summary'!$K:$K,""),'Pokemon Editor'!$A:$A,'Pokemon Editor'!$C:$C,""),mtype=XLOOKUP(XLOOKUP($Q600,'Threshold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Chart'!$B$1:$S$1,0)))),base,IF(OR(cat="Status",pow=0),0,FLOOR(FLOOR(FLOOR((2*XLOOKUP($Q600,'Threshold Summary'!$Y:$Y,'Threshold Summary'!$L:$L,"")/5+2)*pow*atk/def)/50)+2)),modifier,stab*eff,FLOOR(base*modifier*0.85)),0)</f>
        <v/>
      </c>
      <c r="K600" s="3">
        <f>IFERROR(LET(mtype,XLOOKUP($D600,'Move Editor'!$B:$B,'Move Editor'!$C:$C,""),cat,XLOOKUP($D600,'Move Editor'!$B:$B,'Move Editor'!$D:$D,""),pow,XLOOKUP($D600,'Move Editor'!$B:$B,'Move Editor'!$E:$E,0),acc,XLOOKUP($D600,'Move Editor'!$B:$B,'Move Editor'!$F:$F,100),atk,IF(cat="Physical",FLOOR((FLOOR(((2*XLOOKUP(XLOOKUP($Q600,'Threshold Summary'!$Y:$Y,'Threshold Summary'!$K:$K,""),'Pokemon Editor'!$A:$A,'Pokemon Editor'!$F:$F,0)+31+FLOOR(XLOOKUP($Q600,'Threshold Summary'!$Y:$Y,'Threshold Summary'!$P:$P,"")/4))*XLOOKUP($Q600,'Threshold Summary'!$Y:$Y,'Threshold Summary'!$L:$L,""))/100)+5)*XLOOKUP(XLOOKUP($Q600,'Threshold Summary'!$Y:$Y,'Threshold Summary'!$M:$M,""),'Nature Editor'!$A:$A,'Nature Editor'!$B:$B,1)),FLOOR((FLOOR(((2*XLOOKUP(XLOOKUP($Q600,'Threshold Summary'!$Y:$Y,'Threshold Summary'!$K:$K,""),'Pokemon Editor'!$A:$A,'Pokemon Editor'!$H:$H,0)+31+FLOOR(XLOOKUP($Q600,'Threshold Summary'!$Y:$Y,'Threshold Summary'!$R:$R,"")/4))*XLOOKUP($Q600,'Threshold Summary'!$Y:$Y,'Threshold Summary'!$L:$L,""))/100)+5)*XLOOKUP(XLOOKUP($Q600,'Threshold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Editor'!$E:$E,1))),stab,IF(OR(mtype=XLOOKUP(XLOOKUP($Q600,'Threshold Summary'!$Y:$Y,'Threshold Summary'!$K:$K,""),'Pokemon Editor'!$A:$A,'Pokemon Editor'!$C:$C,""),mtype=XLOOKUP(XLOOKUP($Q600,'Threshold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Chart'!$B$1:$S$1,0)))),base,IF(OR(cat="Status",pow=0),0,FLOOR(FLOOR(FLOOR((2*XLOOKUP($Q600,'Threshold Summary'!$Y:$Y,'Threshold Summary'!$L:$L,"")/5+2)*pow*atk/def)/50)+2)),modifier,stab*eff,FLOOR(base*modifier)),0)</f>
        <v/>
      </c>
      <c r="L600" s="3">
        <f>IFERROR(LET(mtype,XLOOKUP($D600,'Move Editor'!$B:$B,'Move Editor'!$C:$C,""),cat,XLOOKUP($D600,'Move Editor'!$B:$B,'Move Editor'!$D:$D,""),pow,XLOOKUP($D600,'Move Editor'!$B:$B,'Move Editor'!$E:$E,0),acc,XLOOKUP($D600,'Move Editor'!$B:$B,'Move Editor'!$F:$F,100),atk,IF(cat="Physical",FLOOR((FLOOR(((2*XLOOKUP(XLOOKUP($Q600,'Threshold Summary'!$Y:$Y,'Threshold Summary'!$K:$K,""),'Pokemon Editor'!$A:$A,'Pokemon Editor'!$F:$F,0)+31+FLOOR(XLOOKUP($Q600,'Threshold Summary'!$Y:$Y,'Threshold Summary'!$P:$P,"")/4))*XLOOKUP($Q600,'Threshold Summary'!$Y:$Y,'Threshold Summary'!$L:$L,""))/100)+5)*XLOOKUP(XLOOKUP($Q600,'Threshold Summary'!$Y:$Y,'Threshold Summary'!$M:$M,""),'Nature Editor'!$A:$A,'Nature Editor'!$B:$B,1)),FLOOR((FLOOR(((2*XLOOKUP(XLOOKUP($Q600,'Threshold Summary'!$Y:$Y,'Threshold Summary'!$K:$K,""),'Pokemon Editor'!$A:$A,'Pokemon Editor'!$H:$H,0)+31+FLOOR(XLOOKUP($Q600,'Threshold Summary'!$Y:$Y,'Threshold Summary'!$R:$R,"")/4))*XLOOKUP($Q600,'Threshold Summary'!$Y:$Y,'Threshold Summary'!$L:$L,""))/100)+5)*XLOOKUP(XLOOKUP($Q600,'Threshold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Editor'!$E:$E,1))),stab,IF(OR(mtype=XLOOKUP(XLOOKUP($Q600,'Threshold Summary'!$Y:$Y,'Threshold Summary'!$K:$K,""),'Pokemon Editor'!$A:$A,'Pokemon Editor'!$C:$C,""),mtype=XLOOKUP(XLOOKUP($Q600,'Threshold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Chart'!$B$1:$S$1,0)))),base,IF(OR(cat="Status",pow=0),0,FLOOR(FLOOR(FLOOR((2*XLOOKUP($Q600,'Threshold Summary'!$Y:$Y,'Threshold Summary'!$L:$L,"")/5+2)*pow*atk/def)/50)+2)),modifier,stab*eff,AVERAGE(ARRAYFORMULA(FLOOR(base*modifier*SEQUENCE(16,1,85,1)/100)))),0)</f>
        <v/>
      </c>
      <c r="M600" s="3">
        <f>IFERROR(LET(mtype,XLOOKUP($D600,'Move Editor'!$B:$B,'Move Editor'!$C:$C,""),cat,XLOOKUP($D600,'Move Editor'!$B:$B,'Move Editor'!$D:$D,""),pow,XLOOKUP($D600,'Move Editor'!$B:$B,'Move Editor'!$E:$E,0),acc,XLOOKUP($D600,'Move Editor'!$B:$B,'Move Editor'!$F:$F,100),atk,IF(cat="Physical",FLOOR((FLOOR(((2*XLOOKUP(XLOOKUP($Q600,'Threshold Summary'!$Y:$Y,'Threshold Summary'!$K:$K,""),'Pokemon Editor'!$A:$A,'Pokemon Editor'!$F:$F,0)+31+FLOOR(XLOOKUP($Q600,'Threshold Summary'!$Y:$Y,'Threshold Summary'!$P:$P,"")/4))*XLOOKUP($Q600,'Threshold Summary'!$Y:$Y,'Threshold Summary'!$L:$L,""))/100)+5)*XLOOKUP(XLOOKUP($Q600,'Threshold Summary'!$Y:$Y,'Threshold Summary'!$M:$M,""),'Nature Editor'!$A:$A,'Nature Editor'!$B:$B,1)),FLOOR((FLOOR(((2*XLOOKUP(XLOOKUP($Q600,'Threshold Summary'!$Y:$Y,'Threshold Summary'!$K:$K,""),'Pokemon Editor'!$A:$A,'Pokemon Editor'!$H:$H,0)+31+FLOOR(XLOOKUP($Q600,'Threshold Summary'!$Y:$Y,'Threshold Summary'!$R:$R,"")/4))*XLOOKUP($Q600,'Threshold Summary'!$Y:$Y,'Threshold Summary'!$L:$L,""))/100)+5)*XLOOKUP(XLOOKUP($Q600,'Threshold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Editor'!$E:$E,1))),stab,IF(OR(mtype=XLOOKUP(XLOOKUP($Q600,'Threshold Summary'!$Y:$Y,'Threshold Summary'!$K:$K,""),'Pokemon Editor'!$A:$A,'Pokemon Editor'!$C:$C,""),mtype=XLOOKUP(XLOOKUP($Q600,'Threshold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Chart'!$B$1:$S$1,0)))),base,IF(OR(cat="Status",pow=0),0,FLOOR(FLOOR(FLOOR((2*XLOOKUP($Q600,'Threshold Summary'!$Y:$Y,'Threshold Summary'!$L:$L,"")/5+2)*pow*atk/def)/50)+2)),modifier,stab*eff,AVERAGE(ARRAYFORMULA(FLOOR(base*modifier*SEQUENCE(16,1,85,1)/100)))*MIN(1,acc/100)),0)</f>
        <v/>
      </c>
      <c r="N600" s="4">
        <f>IFERROR(LET(mtype,XLOOKUP($D600,'Move Editor'!$B:$B,'Move Editor'!$C:$C,""),cat,XLOOKUP($D600,'Move Editor'!$B:$B,'Move Editor'!$D:$D,""),pow,XLOOKUP($D600,'Move Editor'!$B:$B,'Move Editor'!$E:$E,0),acc,XLOOKUP($D600,'Move Editor'!$B:$B,'Move Editor'!$F:$F,100),atk,IF(cat="Physical",FLOOR((FLOOR(((2*XLOOKUP(XLOOKUP($Q600,'Threshold Summary'!$Y:$Y,'Threshold Summary'!$K:$K,""),'Pokemon Editor'!$A:$A,'Pokemon Editor'!$F:$F,0)+31+FLOOR(XLOOKUP($Q600,'Threshold Summary'!$Y:$Y,'Threshold Summary'!$P:$P,"")/4))*XLOOKUP($Q600,'Threshold Summary'!$Y:$Y,'Threshold Summary'!$L:$L,""))/100)+5)*XLOOKUP(XLOOKUP($Q600,'Threshold Summary'!$Y:$Y,'Threshold Summary'!$M:$M,""),'Nature Editor'!$A:$A,'Nature Editor'!$B:$B,1)),FLOOR((FLOOR(((2*XLOOKUP(XLOOKUP($Q600,'Threshold Summary'!$Y:$Y,'Threshold Summary'!$K:$K,""),'Pokemon Editor'!$A:$A,'Pokemon Editor'!$H:$H,0)+31+FLOOR(XLOOKUP($Q600,'Threshold Summary'!$Y:$Y,'Threshold Summary'!$R:$R,"")/4))*XLOOKUP($Q600,'Threshold Summary'!$Y:$Y,'Threshold Summary'!$L:$L,""))/100)+5)*XLOOKUP(XLOOKUP($Q600,'Threshold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Editor'!$E:$E,1))),stab,IF(OR(mtype=XLOOKUP(XLOOKUP($Q600,'Threshold Summary'!$Y:$Y,'Threshold Summary'!$K:$K,""),'Pokemon Editor'!$A:$A,'Pokemon Editor'!$C:$C,""),mtype=XLOOKUP(XLOOKUP($Q600,'Threshold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Chart'!$B$1:$S$1,0)))),base,IF(OR(cat="Status",pow=0),0,FLOOR(FLOOR(FLOOR((2*XLOOKUP($Q600,'Threshold Summary'!$Y:$Y,'Threshold Summary'!$L:$L,"")/5+2)*pow*atk/def)/50)+2)),modifier,stab*eff,AVERAGE(ARRAYFORMULA(FLOOR(base*modifier*SEQUENCE(16,1,85,1)/100)))/(FLOOR(((2*XLOOKUP('Boss Editor'!$C$4,'Pokemon Editor'!$A:$A,'Pokemon Editor'!$E:$E,0)+31+FLOOR('Boss Editor'!$G$4/4))*'Boss Editor'!$D$4)/100)+'Boss Editor'!$D$4+10)),0)</f>
        <v/>
      </c>
      <c r="O600" s="3">
        <f>IF(N600&gt;=1,"OHKO",IF(N600&gt;=0.5,"2HKO",IF(N600&gt;=0.333,"3HKO",IF(N600&gt;=0.25,"4HKO","5HKO+"))))</f>
        <v/>
      </c>
      <c r="P600" s="3" t="inlineStr">
        <is>
          <t>Live from editable databases</t>
        </is>
      </c>
      <c r="Q600" s="3" t="inlineStr">
        <is>
          <t>SPECIES_FLETCHLING</t>
        </is>
      </c>
      <c r="R600" s="3" t="n">
        <v>23</v>
      </c>
    </row>
    <row r="601">
      <c r="A601" s="3">
        <f>XLOOKUP($Q601,'Threshold Summary'!$Y:$Y,'Threshold Summary'!$A:$A,"")</f>
        <v/>
      </c>
      <c r="B601" s="3">
        <f>XLOOKUP($Q601,'Threshold Summary'!$Y:$Y,'Threshold Summary'!$M:$M,"")</f>
        <v/>
      </c>
      <c r="C601" s="3">
        <f>XLOOKUP($Q601,'Threshold Summary'!$Y:$Y,'Threshold Summary'!$N:$N,"")</f>
        <v/>
      </c>
      <c r="D601" s="3">
        <f>IFERROR(INDEX(FILTER('Learnset Editor'!$D$2:$D,'Learnset Editor'!$A$2:$A=XLOOKUP($Q601,'Threshold Summary'!$Y:$Y,'Threshold Summary'!$K:$K,""),'Learnset Editor'!$C$2:$C&lt;=XLOOKUP($Q601,'Threshold Summary'!$Y:$Y,'Threshold Summary'!$L:$L,"")),$R601),"")</f>
        <v/>
      </c>
      <c r="E601" s="3">
        <f>XLOOKUP(D601,'Move Editor'!$B:$B,'Move Editor'!$C:$C,"")</f>
        <v/>
      </c>
      <c r="F601" s="3">
        <f>XLOOKUP(D601,'Move Editor'!$B:$B,'Move Editor'!$D:$D,"")</f>
        <v/>
      </c>
      <c r="G601" s="3">
        <f>XLOOKUP(D601,'Move Editor'!$B:$B,'Move Editor'!$E:$E,0)</f>
        <v/>
      </c>
      <c r="H601" s="3">
        <f>XLOOKUP(D601,'Move Editor'!$B:$B,'Move Editor'!$F:$F,0)</f>
        <v/>
      </c>
      <c r="I601" s="3">
        <f>(INDEX('Type Chart'!$B:$S,MATCH(E601,'Type Chart'!$A:$A,0),MATCH(XLOOKUP('Boss Editor'!$C$4,'Pokemon Editor'!$A:$A,'Pokemon Editor'!$C:$C,""),'Type Chart'!$B$1:$S$1,0))*IF(XLOOKUP('Boss Editor'!$C$4,'Pokemon Editor'!$A:$A,'Pokemon Editor'!$D:$D,"")="",1,INDEX('Type Chart'!$B:$S,MATCH(E601,'Type Chart'!$A:$A,0),MATCH(XLOOKUP('Boss Editor'!$C$4,'Pokemon Editor'!$A:$A,'Pokemon Editor'!$D:$D,""),'Type Chart'!$B$1:$S$1,0))))</f>
        <v/>
      </c>
      <c r="J601" s="3">
        <f>IFERROR(LET(mtype,XLOOKUP($D601,'Move Editor'!$B:$B,'Move Editor'!$C:$C,""),cat,XLOOKUP($D601,'Move Editor'!$B:$B,'Move Editor'!$D:$D,""),pow,XLOOKUP($D601,'Move Editor'!$B:$B,'Move Editor'!$E:$E,0),acc,XLOOKUP($D601,'Move Editor'!$B:$B,'Move Editor'!$F:$F,100),atk,IF(cat="Physical",FLOOR((FLOOR(((2*XLOOKUP(XLOOKUP($Q601,'Threshold Summary'!$Y:$Y,'Threshold Summary'!$K:$K,""),'Pokemon Editor'!$A:$A,'Pokemon Editor'!$F:$F,0)+31+FLOOR(XLOOKUP($Q601,'Threshold Summary'!$Y:$Y,'Threshold Summary'!$P:$P,"")/4))*XLOOKUP($Q601,'Threshold Summary'!$Y:$Y,'Threshold Summary'!$L:$L,""))/100)+5)*XLOOKUP(XLOOKUP($Q601,'Threshold Summary'!$Y:$Y,'Threshold Summary'!$M:$M,""),'Nature Editor'!$A:$A,'Nature Editor'!$B:$B,1)),FLOOR((FLOOR(((2*XLOOKUP(XLOOKUP($Q601,'Threshold Summary'!$Y:$Y,'Threshold Summary'!$K:$K,""),'Pokemon Editor'!$A:$A,'Pokemon Editor'!$H:$H,0)+31+FLOOR(XLOOKUP($Q601,'Threshold Summary'!$Y:$Y,'Threshold Summary'!$R:$R,"")/4))*XLOOKUP($Q601,'Threshold Summary'!$Y:$Y,'Threshold Summary'!$L:$L,""))/100)+5)*XLOOKUP(XLOOKUP($Q601,'Threshold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Editor'!$E:$E,1))),stab,IF(OR(mtype=XLOOKUP(XLOOKUP($Q601,'Threshold Summary'!$Y:$Y,'Threshold Summary'!$K:$K,""),'Pokemon Editor'!$A:$A,'Pokemon Editor'!$C:$C,""),mtype=XLOOKUP(XLOOKUP($Q601,'Threshold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Chart'!$B$1:$S$1,0)))),base,IF(OR(cat="Status",pow=0),0,FLOOR(FLOOR(FLOOR((2*XLOOKUP($Q601,'Threshold Summary'!$Y:$Y,'Threshold Summary'!$L:$L,"")/5+2)*pow*atk/def)/50)+2)),modifier,stab*eff,FLOOR(base*modifier*0.85)),0)</f>
        <v/>
      </c>
      <c r="K601" s="3">
        <f>IFERROR(LET(mtype,XLOOKUP($D601,'Move Editor'!$B:$B,'Move Editor'!$C:$C,""),cat,XLOOKUP($D601,'Move Editor'!$B:$B,'Move Editor'!$D:$D,""),pow,XLOOKUP($D601,'Move Editor'!$B:$B,'Move Editor'!$E:$E,0),acc,XLOOKUP($D601,'Move Editor'!$B:$B,'Move Editor'!$F:$F,100),atk,IF(cat="Physical",FLOOR((FLOOR(((2*XLOOKUP(XLOOKUP($Q601,'Threshold Summary'!$Y:$Y,'Threshold Summary'!$K:$K,""),'Pokemon Editor'!$A:$A,'Pokemon Editor'!$F:$F,0)+31+FLOOR(XLOOKUP($Q601,'Threshold Summary'!$Y:$Y,'Threshold Summary'!$P:$P,"")/4))*XLOOKUP($Q601,'Threshold Summary'!$Y:$Y,'Threshold Summary'!$L:$L,""))/100)+5)*XLOOKUP(XLOOKUP($Q601,'Threshold Summary'!$Y:$Y,'Threshold Summary'!$M:$M,""),'Nature Editor'!$A:$A,'Nature Editor'!$B:$B,1)),FLOOR((FLOOR(((2*XLOOKUP(XLOOKUP($Q601,'Threshold Summary'!$Y:$Y,'Threshold Summary'!$K:$K,""),'Pokemon Editor'!$A:$A,'Pokemon Editor'!$H:$H,0)+31+FLOOR(XLOOKUP($Q601,'Threshold Summary'!$Y:$Y,'Threshold Summary'!$R:$R,"")/4))*XLOOKUP($Q601,'Threshold Summary'!$Y:$Y,'Threshold Summary'!$L:$L,""))/100)+5)*XLOOKUP(XLOOKUP($Q601,'Threshold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Editor'!$E:$E,1))),stab,IF(OR(mtype=XLOOKUP(XLOOKUP($Q601,'Threshold Summary'!$Y:$Y,'Threshold Summary'!$K:$K,""),'Pokemon Editor'!$A:$A,'Pokemon Editor'!$C:$C,""),mtype=XLOOKUP(XLOOKUP($Q601,'Threshold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Chart'!$B$1:$S$1,0)))),base,IF(OR(cat="Status",pow=0),0,FLOOR(FLOOR(FLOOR((2*XLOOKUP($Q601,'Threshold Summary'!$Y:$Y,'Threshold Summary'!$L:$L,"")/5+2)*pow*atk/def)/50)+2)),modifier,stab*eff,FLOOR(base*modifier)),0)</f>
        <v/>
      </c>
      <c r="L601" s="3">
        <f>IFERROR(LET(mtype,XLOOKUP($D601,'Move Editor'!$B:$B,'Move Editor'!$C:$C,""),cat,XLOOKUP($D601,'Move Editor'!$B:$B,'Move Editor'!$D:$D,""),pow,XLOOKUP($D601,'Move Editor'!$B:$B,'Move Editor'!$E:$E,0),acc,XLOOKUP($D601,'Move Editor'!$B:$B,'Move Editor'!$F:$F,100),atk,IF(cat="Physical",FLOOR((FLOOR(((2*XLOOKUP(XLOOKUP($Q601,'Threshold Summary'!$Y:$Y,'Threshold Summary'!$K:$K,""),'Pokemon Editor'!$A:$A,'Pokemon Editor'!$F:$F,0)+31+FLOOR(XLOOKUP($Q601,'Threshold Summary'!$Y:$Y,'Threshold Summary'!$P:$P,"")/4))*XLOOKUP($Q601,'Threshold Summary'!$Y:$Y,'Threshold Summary'!$L:$L,""))/100)+5)*XLOOKUP(XLOOKUP($Q601,'Threshold Summary'!$Y:$Y,'Threshold Summary'!$M:$M,""),'Nature Editor'!$A:$A,'Nature Editor'!$B:$B,1)),FLOOR((FLOOR(((2*XLOOKUP(XLOOKUP($Q601,'Threshold Summary'!$Y:$Y,'Threshold Summary'!$K:$K,""),'Pokemon Editor'!$A:$A,'Pokemon Editor'!$H:$H,0)+31+FLOOR(XLOOKUP($Q601,'Threshold Summary'!$Y:$Y,'Threshold Summary'!$R:$R,"")/4))*XLOOKUP($Q601,'Threshold Summary'!$Y:$Y,'Threshold Summary'!$L:$L,""))/100)+5)*XLOOKUP(XLOOKUP($Q601,'Threshold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Editor'!$E:$E,1))),stab,IF(OR(mtype=XLOOKUP(XLOOKUP($Q601,'Threshold Summary'!$Y:$Y,'Threshold Summary'!$K:$K,""),'Pokemon Editor'!$A:$A,'Pokemon Editor'!$C:$C,""),mtype=XLOOKUP(XLOOKUP($Q601,'Threshold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Chart'!$B$1:$S$1,0)))),base,IF(OR(cat="Status",pow=0),0,FLOOR(FLOOR(FLOOR((2*XLOOKUP($Q601,'Threshold Summary'!$Y:$Y,'Threshold Summary'!$L:$L,"")/5+2)*pow*atk/def)/50)+2)),modifier,stab*eff,AVERAGE(ARRAYFORMULA(FLOOR(base*modifier*SEQUENCE(16,1,85,1)/100)))),0)</f>
        <v/>
      </c>
      <c r="M601" s="3">
        <f>IFERROR(LET(mtype,XLOOKUP($D601,'Move Editor'!$B:$B,'Move Editor'!$C:$C,""),cat,XLOOKUP($D601,'Move Editor'!$B:$B,'Move Editor'!$D:$D,""),pow,XLOOKUP($D601,'Move Editor'!$B:$B,'Move Editor'!$E:$E,0),acc,XLOOKUP($D601,'Move Editor'!$B:$B,'Move Editor'!$F:$F,100),atk,IF(cat="Physical",FLOOR((FLOOR(((2*XLOOKUP(XLOOKUP($Q601,'Threshold Summary'!$Y:$Y,'Threshold Summary'!$K:$K,""),'Pokemon Editor'!$A:$A,'Pokemon Editor'!$F:$F,0)+31+FLOOR(XLOOKUP($Q601,'Threshold Summary'!$Y:$Y,'Threshold Summary'!$P:$P,"")/4))*XLOOKUP($Q601,'Threshold Summary'!$Y:$Y,'Threshold Summary'!$L:$L,""))/100)+5)*XLOOKUP(XLOOKUP($Q601,'Threshold Summary'!$Y:$Y,'Threshold Summary'!$M:$M,""),'Nature Editor'!$A:$A,'Nature Editor'!$B:$B,1)),FLOOR((FLOOR(((2*XLOOKUP(XLOOKUP($Q601,'Threshold Summary'!$Y:$Y,'Threshold Summary'!$K:$K,""),'Pokemon Editor'!$A:$A,'Pokemon Editor'!$H:$H,0)+31+FLOOR(XLOOKUP($Q601,'Threshold Summary'!$Y:$Y,'Threshold Summary'!$R:$R,"")/4))*XLOOKUP($Q601,'Threshold Summary'!$Y:$Y,'Threshold Summary'!$L:$L,""))/100)+5)*XLOOKUP(XLOOKUP($Q601,'Threshold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Editor'!$E:$E,1))),stab,IF(OR(mtype=XLOOKUP(XLOOKUP($Q601,'Threshold Summary'!$Y:$Y,'Threshold Summary'!$K:$K,""),'Pokemon Editor'!$A:$A,'Pokemon Editor'!$C:$C,""),mtype=XLOOKUP(XLOOKUP($Q601,'Threshold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Chart'!$B$1:$S$1,0)))),base,IF(OR(cat="Status",pow=0),0,FLOOR(FLOOR(FLOOR((2*XLOOKUP($Q601,'Threshold Summary'!$Y:$Y,'Threshold Summary'!$L:$L,"")/5+2)*pow*atk/def)/50)+2)),modifier,stab*eff,AVERAGE(ARRAYFORMULA(FLOOR(base*modifier*SEQUENCE(16,1,85,1)/100)))*MIN(1,acc/100)),0)</f>
        <v/>
      </c>
      <c r="N601" s="4">
        <f>IFERROR(LET(mtype,XLOOKUP($D601,'Move Editor'!$B:$B,'Move Editor'!$C:$C,""),cat,XLOOKUP($D601,'Move Editor'!$B:$B,'Move Editor'!$D:$D,""),pow,XLOOKUP($D601,'Move Editor'!$B:$B,'Move Editor'!$E:$E,0),acc,XLOOKUP($D601,'Move Editor'!$B:$B,'Move Editor'!$F:$F,100),atk,IF(cat="Physical",FLOOR((FLOOR(((2*XLOOKUP(XLOOKUP($Q601,'Threshold Summary'!$Y:$Y,'Threshold Summary'!$K:$K,""),'Pokemon Editor'!$A:$A,'Pokemon Editor'!$F:$F,0)+31+FLOOR(XLOOKUP($Q601,'Threshold Summary'!$Y:$Y,'Threshold Summary'!$P:$P,"")/4))*XLOOKUP($Q601,'Threshold Summary'!$Y:$Y,'Threshold Summary'!$L:$L,""))/100)+5)*XLOOKUP(XLOOKUP($Q601,'Threshold Summary'!$Y:$Y,'Threshold Summary'!$M:$M,""),'Nature Editor'!$A:$A,'Nature Editor'!$B:$B,1)),FLOOR((FLOOR(((2*XLOOKUP(XLOOKUP($Q601,'Threshold Summary'!$Y:$Y,'Threshold Summary'!$K:$K,""),'Pokemon Editor'!$A:$A,'Pokemon Editor'!$H:$H,0)+31+FLOOR(XLOOKUP($Q601,'Threshold Summary'!$Y:$Y,'Threshold Summary'!$R:$R,"")/4))*XLOOKUP($Q601,'Threshold Summary'!$Y:$Y,'Threshold Summary'!$L:$L,""))/100)+5)*XLOOKUP(XLOOKUP($Q601,'Threshold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Editor'!$E:$E,1))),stab,IF(OR(mtype=XLOOKUP(XLOOKUP($Q601,'Threshold Summary'!$Y:$Y,'Threshold Summary'!$K:$K,""),'Pokemon Editor'!$A:$A,'Pokemon Editor'!$C:$C,""),mtype=XLOOKUP(XLOOKUP($Q601,'Threshold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Chart'!$B$1:$S$1,0)))),base,IF(OR(cat="Status",pow=0),0,FLOOR(FLOOR(FLOOR((2*XLOOKUP($Q601,'Threshold Summary'!$Y:$Y,'Threshold Summary'!$L:$L,"")/5+2)*pow*atk/def)/50)+2)),modifier,stab*eff,AVERAGE(ARRAYFORMULA(FLOOR(base*modifier*SEQUENCE(16,1,85,1)/100)))/(FLOOR(((2*XLOOKUP('Boss Editor'!$C$4,'Pokemon Editor'!$A:$A,'Pokemon Editor'!$E:$E,0)+31+FLOOR('Boss Editor'!$G$4/4))*'Boss Editor'!$D$4)/100)+'Boss Editor'!$D$4+10)),0)</f>
        <v/>
      </c>
      <c r="O601" s="3">
        <f>IF(N601&gt;=1,"OHKO",IF(N601&gt;=0.5,"2HKO",IF(N601&gt;=0.333,"3HKO",IF(N601&gt;=0.25,"4HKO","5HKO+"))))</f>
        <v/>
      </c>
      <c r="P601" s="3" t="inlineStr">
        <is>
          <t>Live from editable databases</t>
        </is>
      </c>
      <c r="Q601" s="3" t="inlineStr">
        <is>
          <t>SPECIES_FLETCHLING</t>
        </is>
      </c>
      <c r="R601" s="3" t="n">
        <v>24</v>
      </c>
    </row>
    <row r="602">
      <c r="A602" s="3">
        <f>XLOOKUP($Q602,'Threshold Summary'!$Y:$Y,'Threshold Summary'!$A:$A,"")</f>
        <v/>
      </c>
      <c r="B602" s="3">
        <f>XLOOKUP($Q602,'Threshold Summary'!$Y:$Y,'Threshold Summary'!$M:$M,"")</f>
        <v/>
      </c>
      <c r="C602" s="3">
        <f>XLOOKUP($Q602,'Threshold Summary'!$Y:$Y,'Threshold Summary'!$N:$N,"")</f>
        <v/>
      </c>
      <c r="D602" s="3">
        <f>IFERROR(INDEX(FILTER('Learnset Editor'!$D$2:$D,'Learnset Editor'!$A$2:$A=XLOOKUP($Q602,'Threshold Summary'!$Y:$Y,'Threshold Summary'!$K:$K,""),'Learnset Editor'!$C$2:$C&lt;=XLOOKUP($Q602,'Threshold Summary'!$Y:$Y,'Threshold Summary'!$L:$L,"")),$R602),"")</f>
        <v/>
      </c>
      <c r="E602" s="3">
        <f>XLOOKUP(D602,'Move Editor'!$B:$B,'Move Editor'!$C:$C,"")</f>
        <v/>
      </c>
      <c r="F602" s="3">
        <f>XLOOKUP(D602,'Move Editor'!$B:$B,'Move Editor'!$D:$D,"")</f>
        <v/>
      </c>
      <c r="G602" s="3">
        <f>XLOOKUP(D602,'Move Editor'!$B:$B,'Move Editor'!$E:$E,0)</f>
        <v/>
      </c>
      <c r="H602" s="3">
        <f>XLOOKUP(D602,'Move Editor'!$B:$B,'Move Editor'!$F:$F,0)</f>
        <v/>
      </c>
      <c r="I602" s="3">
        <f>(INDEX('Type Chart'!$B:$S,MATCH(E602,'Type Chart'!$A:$A,0),MATCH(XLOOKUP('Boss Editor'!$C$4,'Pokemon Editor'!$A:$A,'Pokemon Editor'!$C:$C,""),'Type Chart'!$B$1:$S$1,0))*IF(XLOOKUP('Boss Editor'!$C$4,'Pokemon Editor'!$A:$A,'Pokemon Editor'!$D:$D,"")="",1,INDEX('Type Chart'!$B:$S,MATCH(E602,'Type Chart'!$A:$A,0),MATCH(XLOOKUP('Boss Editor'!$C$4,'Pokemon Editor'!$A:$A,'Pokemon Editor'!$D:$D,""),'Type Chart'!$B$1:$S$1,0))))</f>
        <v/>
      </c>
      <c r="J602" s="3">
        <f>IFERROR(LET(mtype,XLOOKUP($D602,'Move Editor'!$B:$B,'Move Editor'!$C:$C,""),cat,XLOOKUP($D602,'Move Editor'!$B:$B,'Move Editor'!$D:$D,""),pow,XLOOKUP($D602,'Move Editor'!$B:$B,'Move Editor'!$E:$E,0),acc,XLOOKUP($D602,'Move Editor'!$B:$B,'Move Editor'!$F:$F,100),atk,IF(cat="Physical",FLOOR((FLOOR(((2*XLOOKUP(XLOOKUP($Q602,'Threshold Summary'!$Y:$Y,'Threshold Summary'!$K:$K,""),'Pokemon Editor'!$A:$A,'Pokemon Editor'!$F:$F,0)+31+FLOOR(XLOOKUP($Q602,'Threshold Summary'!$Y:$Y,'Threshold Summary'!$P:$P,"")/4))*XLOOKUP($Q602,'Threshold Summary'!$Y:$Y,'Threshold Summary'!$L:$L,""))/100)+5)*XLOOKUP(XLOOKUP($Q602,'Threshold Summary'!$Y:$Y,'Threshold Summary'!$M:$M,""),'Nature Editor'!$A:$A,'Nature Editor'!$B:$B,1)),FLOOR((FLOOR(((2*XLOOKUP(XLOOKUP($Q602,'Threshold Summary'!$Y:$Y,'Threshold Summary'!$K:$K,""),'Pokemon Editor'!$A:$A,'Pokemon Editor'!$H:$H,0)+31+FLOOR(XLOOKUP($Q602,'Threshold Summary'!$Y:$Y,'Threshold Summary'!$R:$R,"")/4))*XLOOKUP($Q602,'Threshold Summary'!$Y:$Y,'Threshold Summary'!$L:$L,""))/100)+5)*XLOOKUP(XLOOKUP($Q602,'Threshold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Editor'!$E:$E,1))),stab,IF(OR(mtype=XLOOKUP(XLOOKUP($Q602,'Threshold Summary'!$Y:$Y,'Threshold Summary'!$K:$K,""),'Pokemon Editor'!$A:$A,'Pokemon Editor'!$C:$C,""),mtype=XLOOKUP(XLOOKUP($Q602,'Threshold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Chart'!$B$1:$S$1,0)))),base,IF(OR(cat="Status",pow=0),0,FLOOR(FLOOR(FLOOR((2*XLOOKUP($Q602,'Threshold Summary'!$Y:$Y,'Threshold Summary'!$L:$L,"")/5+2)*pow*atk/def)/50)+2)),modifier,stab*eff,FLOOR(base*modifier*0.85)),0)</f>
        <v/>
      </c>
      <c r="K602" s="3">
        <f>IFERROR(LET(mtype,XLOOKUP($D602,'Move Editor'!$B:$B,'Move Editor'!$C:$C,""),cat,XLOOKUP($D602,'Move Editor'!$B:$B,'Move Editor'!$D:$D,""),pow,XLOOKUP($D602,'Move Editor'!$B:$B,'Move Editor'!$E:$E,0),acc,XLOOKUP($D602,'Move Editor'!$B:$B,'Move Editor'!$F:$F,100),atk,IF(cat="Physical",FLOOR((FLOOR(((2*XLOOKUP(XLOOKUP($Q602,'Threshold Summary'!$Y:$Y,'Threshold Summary'!$K:$K,""),'Pokemon Editor'!$A:$A,'Pokemon Editor'!$F:$F,0)+31+FLOOR(XLOOKUP($Q602,'Threshold Summary'!$Y:$Y,'Threshold Summary'!$P:$P,"")/4))*XLOOKUP($Q602,'Threshold Summary'!$Y:$Y,'Threshold Summary'!$L:$L,""))/100)+5)*XLOOKUP(XLOOKUP($Q602,'Threshold Summary'!$Y:$Y,'Threshold Summary'!$M:$M,""),'Nature Editor'!$A:$A,'Nature Editor'!$B:$B,1)),FLOOR((FLOOR(((2*XLOOKUP(XLOOKUP($Q602,'Threshold Summary'!$Y:$Y,'Threshold Summary'!$K:$K,""),'Pokemon Editor'!$A:$A,'Pokemon Editor'!$H:$H,0)+31+FLOOR(XLOOKUP($Q602,'Threshold Summary'!$Y:$Y,'Threshold Summary'!$R:$R,"")/4))*XLOOKUP($Q602,'Threshold Summary'!$Y:$Y,'Threshold Summary'!$L:$L,""))/100)+5)*XLOOKUP(XLOOKUP($Q602,'Threshold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Editor'!$E:$E,1))),stab,IF(OR(mtype=XLOOKUP(XLOOKUP($Q602,'Threshold Summary'!$Y:$Y,'Threshold Summary'!$K:$K,""),'Pokemon Editor'!$A:$A,'Pokemon Editor'!$C:$C,""),mtype=XLOOKUP(XLOOKUP($Q602,'Threshold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Chart'!$B$1:$S$1,0)))),base,IF(OR(cat="Status",pow=0),0,FLOOR(FLOOR(FLOOR((2*XLOOKUP($Q602,'Threshold Summary'!$Y:$Y,'Threshold Summary'!$L:$L,"")/5+2)*pow*atk/def)/50)+2)),modifier,stab*eff,FLOOR(base*modifier)),0)</f>
        <v/>
      </c>
      <c r="L602" s="3">
        <f>IFERROR(LET(mtype,XLOOKUP($D602,'Move Editor'!$B:$B,'Move Editor'!$C:$C,""),cat,XLOOKUP($D602,'Move Editor'!$B:$B,'Move Editor'!$D:$D,""),pow,XLOOKUP($D602,'Move Editor'!$B:$B,'Move Editor'!$E:$E,0),acc,XLOOKUP($D602,'Move Editor'!$B:$B,'Move Editor'!$F:$F,100),atk,IF(cat="Physical",FLOOR((FLOOR(((2*XLOOKUP(XLOOKUP($Q602,'Threshold Summary'!$Y:$Y,'Threshold Summary'!$K:$K,""),'Pokemon Editor'!$A:$A,'Pokemon Editor'!$F:$F,0)+31+FLOOR(XLOOKUP($Q602,'Threshold Summary'!$Y:$Y,'Threshold Summary'!$P:$P,"")/4))*XLOOKUP($Q602,'Threshold Summary'!$Y:$Y,'Threshold Summary'!$L:$L,""))/100)+5)*XLOOKUP(XLOOKUP($Q602,'Threshold Summary'!$Y:$Y,'Threshold Summary'!$M:$M,""),'Nature Editor'!$A:$A,'Nature Editor'!$B:$B,1)),FLOOR((FLOOR(((2*XLOOKUP(XLOOKUP($Q602,'Threshold Summary'!$Y:$Y,'Threshold Summary'!$K:$K,""),'Pokemon Editor'!$A:$A,'Pokemon Editor'!$H:$H,0)+31+FLOOR(XLOOKUP($Q602,'Threshold Summary'!$Y:$Y,'Threshold Summary'!$R:$R,"")/4))*XLOOKUP($Q602,'Threshold Summary'!$Y:$Y,'Threshold Summary'!$L:$L,""))/100)+5)*XLOOKUP(XLOOKUP($Q602,'Threshold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Editor'!$E:$E,1))),stab,IF(OR(mtype=XLOOKUP(XLOOKUP($Q602,'Threshold Summary'!$Y:$Y,'Threshold Summary'!$K:$K,""),'Pokemon Editor'!$A:$A,'Pokemon Editor'!$C:$C,""),mtype=XLOOKUP(XLOOKUP($Q602,'Threshold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Chart'!$B$1:$S$1,0)))),base,IF(OR(cat="Status",pow=0),0,FLOOR(FLOOR(FLOOR((2*XLOOKUP($Q602,'Threshold Summary'!$Y:$Y,'Threshold Summary'!$L:$L,"")/5+2)*pow*atk/def)/50)+2)),modifier,stab*eff,AVERAGE(ARRAYFORMULA(FLOOR(base*modifier*SEQUENCE(16,1,85,1)/100)))),0)</f>
        <v/>
      </c>
      <c r="M602" s="3">
        <f>IFERROR(LET(mtype,XLOOKUP($D602,'Move Editor'!$B:$B,'Move Editor'!$C:$C,""),cat,XLOOKUP($D602,'Move Editor'!$B:$B,'Move Editor'!$D:$D,""),pow,XLOOKUP($D602,'Move Editor'!$B:$B,'Move Editor'!$E:$E,0),acc,XLOOKUP($D602,'Move Editor'!$B:$B,'Move Editor'!$F:$F,100),atk,IF(cat="Physical",FLOOR((FLOOR(((2*XLOOKUP(XLOOKUP($Q602,'Threshold Summary'!$Y:$Y,'Threshold Summary'!$K:$K,""),'Pokemon Editor'!$A:$A,'Pokemon Editor'!$F:$F,0)+31+FLOOR(XLOOKUP($Q602,'Threshold Summary'!$Y:$Y,'Threshold Summary'!$P:$P,"")/4))*XLOOKUP($Q602,'Threshold Summary'!$Y:$Y,'Threshold Summary'!$L:$L,""))/100)+5)*XLOOKUP(XLOOKUP($Q602,'Threshold Summary'!$Y:$Y,'Threshold Summary'!$M:$M,""),'Nature Editor'!$A:$A,'Nature Editor'!$B:$B,1)),FLOOR((FLOOR(((2*XLOOKUP(XLOOKUP($Q602,'Threshold Summary'!$Y:$Y,'Threshold Summary'!$K:$K,""),'Pokemon Editor'!$A:$A,'Pokemon Editor'!$H:$H,0)+31+FLOOR(XLOOKUP($Q602,'Threshold Summary'!$Y:$Y,'Threshold Summary'!$R:$R,"")/4))*XLOOKUP($Q602,'Threshold Summary'!$Y:$Y,'Threshold Summary'!$L:$L,""))/100)+5)*XLOOKUP(XLOOKUP($Q602,'Threshold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Editor'!$E:$E,1))),stab,IF(OR(mtype=XLOOKUP(XLOOKUP($Q602,'Threshold Summary'!$Y:$Y,'Threshold Summary'!$K:$K,""),'Pokemon Editor'!$A:$A,'Pokemon Editor'!$C:$C,""),mtype=XLOOKUP(XLOOKUP($Q602,'Threshold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Chart'!$B$1:$S$1,0)))),base,IF(OR(cat="Status",pow=0),0,FLOOR(FLOOR(FLOOR((2*XLOOKUP($Q602,'Threshold Summary'!$Y:$Y,'Threshold Summary'!$L:$L,"")/5+2)*pow*atk/def)/50)+2)),modifier,stab*eff,AVERAGE(ARRAYFORMULA(FLOOR(base*modifier*SEQUENCE(16,1,85,1)/100)))*MIN(1,acc/100)),0)</f>
        <v/>
      </c>
      <c r="N602" s="4">
        <f>IFERROR(LET(mtype,XLOOKUP($D602,'Move Editor'!$B:$B,'Move Editor'!$C:$C,""),cat,XLOOKUP($D602,'Move Editor'!$B:$B,'Move Editor'!$D:$D,""),pow,XLOOKUP($D602,'Move Editor'!$B:$B,'Move Editor'!$E:$E,0),acc,XLOOKUP($D602,'Move Editor'!$B:$B,'Move Editor'!$F:$F,100),atk,IF(cat="Physical",FLOOR((FLOOR(((2*XLOOKUP(XLOOKUP($Q602,'Threshold Summary'!$Y:$Y,'Threshold Summary'!$K:$K,""),'Pokemon Editor'!$A:$A,'Pokemon Editor'!$F:$F,0)+31+FLOOR(XLOOKUP($Q602,'Threshold Summary'!$Y:$Y,'Threshold Summary'!$P:$P,"")/4))*XLOOKUP($Q602,'Threshold Summary'!$Y:$Y,'Threshold Summary'!$L:$L,""))/100)+5)*XLOOKUP(XLOOKUP($Q602,'Threshold Summary'!$Y:$Y,'Threshold Summary'!$M:$M,""),'Nature Editor'!$A:$A,'Nature Editor'!$B:$B,1)),FLOOR((FLOOR(((2*XLOOKUP(XLOOKUP($Q602,'Threshold Summary'!$Y:$Y,'Threshold Summary'!$K:$K,""),'Pokemon Editor'!$A:$A,'Pokemon Editor'!$H:$H,0)+31+FLOOR(XLOOKUP($Q602,'Threshold Summary'!$Y:$Y,'Threshold Summary'!$R:$R,"")/4))*XLOOKUP($Q602,'Threshold Summary'!$Y:$Y,'Threshold Summary'!$L:$L,""))/100)+5)*XLOOKUP(XLOOKUP($Q602,'Threshold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Editor'!$E:$E,1))),stab,IF(OR(mtype=XLOOKUP(XLOOKUP($Q602,'Threshold Summary'!$Y:$Y,'Threshold Summary'!$K:$K,""),'Pokemon Editor'!$A:$A,'Pokemon Editor'!$C:$C,""),mtype=XLOOKUP(XLOOKUP($Q602,'Threshold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Chart'!$B$1:$S$1,0)))),base,IF(OR(cat="Status",pow=0),0,FLOOR(FLOOR(FLOOR((2*XLOOKUP($Q602,'Threshold Summary'!$Y:$Y,'Threshold Summary'!$L:$L,"")/5+2)*pow*atk/def)/50)+2)),modifier,stab*eff,AVERAGE(ARRAYFORMULA(FLOOR(base*modifier*SEQUENCE(16,1,85,1)/100)))/(FLOOR(((2*XLOOKUP('Boss Editor'!$C$4,'Pokemon Editor'!$A:$A,'Pokemon Editor'!$E:$E,0)+31+FLOOR('Boss Editor'!$G$4/4))*'Boss Editor'!$D$4)/100)+'Boss Editor'!$D$4+10)),0)</f>
        <v/>
      </c>
      <c r="O602" s="3">
        <f>IF(N602&gt;=1,"OHKO",IF(N602&gt;=0.5,"2HKO",IF(N602&gt;=0.333,"3HKO",IF(N602&gt;=0.25,"4HKO","5HKO+"))))</f>
        <v/>
      </c>
      <c r="P602" s="3" t="inlineStr">
        <is>
          <t>Live from editable databases</t>
        </is>
      </c>
      <c r="Q602" s="3" t="inlineStr">
        <is>
          <t>SPECIES_FLETCHLING</t>
        </is>
      </c>
      <c r="R602" s="3" t="n">
        <v>25</v>
      </c>
    </row>
    <row r="603">
      <c r="A603" s="3">
        <f>XLOOKUP($Q603,'Threshold Summary'!$Y:$Y,'Threshold Summary'!$A:$A,"")</f>
        <v/>
      </c>
      <c r="B603" s="3">
        <f>XLOOKUP($Q603,'Threshold Summary'!$Y:$Y,'Threshold Summary'!$M:$M,"")</f>
        <v/>
      </c>
      <c r="C603" s="3">
        <f>XLOOKUP($Q603,'Threshold Summary'!$Y:$Y,'Threshold Summary'!$N:$N,"")</f>
        <v/>
      </c>
      <c r="D603" s="3">
        <f>IFERROR(INDEX(FILTER('Learnset Editor'!$D$2:$D,'Learnset Editor'!$A$2:$A=XLOOKUP($Q603,'Threshold Summary'!$Y:$Y,'Threshold Summary'!$K:$K,""),'Learnset Editor'!$C$2:$C&lt;=XLOOKUP($Q603,'Threshold Summary'!$Y:$Y,'Threshold Summary'!$L:$L,"")),$R603),"")</f>
        <v/>
      </c>
      <c r="E603" s="3">
        <f>XLOOKUP(D603,'Move Editor'!$B:$B,'Move Editor'!$C:$C,"")</f>
        <v/>
      </c>
      <c r="F603" s="3">
        <f>XLOOKUP(D603,'Move Editor'!$B:$B,'Move Editor'!$D:$D,"")</f>
        <v/>
      </c>
      <c r="G603" s="3">
        <f>XLOOKUP(D603,'Move Editor'!$B:$B,'Move Editor'!$E:$E,0)</f>
        <v/>
      </c>
      <c r="H603" s="3">
        <f>XLOOKUP(D603,'Move Editor'!$B:$B,'Move Editor'!$F:$F,0)</f>
        <v/>
      </c>
      <c r="I603" s="3">
        <f>(INDEX('Type Chart'!$B:$S,MATCH(E603,'Type Chart'!$A:$A,0),MATCH(XLOOKUP('Boss Editor'!$C$4,'Pokemon Editor'!$A:$A,'Pokemon Editor'!$C:$C,""),'Type Chart'!$B$1:$S$1,0))*IF(XLOOKUP('Boss Editor'!$C$4,'Pokemon Editor'!$A:$A,'Pokemon Editor'!$D:$D,"")="",1,INDEX('Type Chart'!$B:$S,MATCH(E603,'Type Chart'!$A:$A,0),MATCH(XLOOKUP('Boss Editor'!$C$4,'Pokemon Editor'!$A:$A,'Pokemon Editor'!$D:$D,""),'Type Chart'!$B$1:$S$1,0))))</f>
        <v/>
      </c>
      <c r="J603" s="3">
        <f>IFERROR(LET(mtype,XLOOKUP($D603,'Move Editor'!$B:$B,'Move Editor'!$C:$C,""),cat,XLOOKUP($D603,'Move Editor'!$B:$B,'Move Editor'!$D:$D,""),pow,XLOOKUP($D603,'Move Editor'!$B:$B,'Move Editor'!$E:$E,0),acc,XLOOKUP($D603,'Move Editor'!$B:$B,'Move Editor'!$F:$F,100),atk,IF(cat="Physical",FLOOR((FLOOR(((2*XLOOKUP(XLOOKUP($Q603,'Threshold Summary'!$Y:$Y,'Threshold Summary'!$K:$K,""),'Pokemon Editor'!$A:$A,'Pokemon Editor'!$F:$F,0)+31+FLOOR(XLOOKUP($Q603,'Threshold Summary'!$Y:$Y,'Threshold Summary'!$P:$P,"")/4))*XLOOKUP($Q603,'Threshold Summary'!$Y:$Y,'Threshold Summary'!$L:$L,""))/100)+5)*XLOOKUP(XLOOKUP($Q603,'Threshold Summary'!$Y:$Y,'Threshold Summary'!$M:$M,""),'Nature Editor'!$A:$A,'Nature Editor'!$B:$B,1)),FLOOR((FLOOR(((2*XLOOKUP(XLOOKUP($Q603,'Threshold Summary'!$Y:$Y,'Threshold Summary'!$K:$K,""),'Pokemon Editor'!$A:$A,'Pokemon Editor'!$H:$H,0)+31+FLOOR(XLOOKUP($Q603,'Threshold Summary'!$Y:$Y,'Threshold Summary'!$R:$R,"")/4))*XLOOKUP($Q603,'Threshold Summary'!$Y:$Y,'Threshold Summary'!$L:$L,""))/100)+5)*XLOOKUP(XLOOKUP($Q603,'Threshold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Editor'!$E:$E,1))),stab,IF(OR(mtype=XLOOKUP(XLOOKUP($Q603,'Threshold Summary'!$Y:$Y,'Threshold Summary'!$K:$K,""),'Pokemon Editor'!$A:$A,'Pokemon Editor'!$C:$C,""),mtype=XLOOKUP(XLOOKUP($Q603,'Threshold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Chart'!$B$1:$S$1,0)))),base,IF(OR(cat="Status",pow=0),0,FLOOR(FLOOR(FLOOR((2*XLOOKUP($Q603,'Threshold Summary'!$Y:$Y,'Threshold Summary'!$L:$L,"")/5+2)*pow*atk/def)/50)+2)),modifier,stab*eff,FLOOR(base*modifier*0.85)),0)</f>
        <v/>
      </c>
      <c r="K603" s="3">
        <f>IFERROR(LET(mtype,XLOOKUP($D603,'Move Editor'!$B:$B,'Move Editor'!$C:$C,""),cat,XLOOKUP($D603,'Move Editor'!$B:$B,'Move Editor'!$D:$D,""),pow,XLOOKUP($D603,'Move Editor'!$B:$B,'Move Editor'!$E:$E,0),acc,XLOOKUP($D603,'Move Editor'!$B:$B,'Move Editor'!$F:$F,100),atk,IF(cat="Physical",FLOOR((FLOOR(((2*XLOOKUP(XLOOKUP($Q603,'Threshold Summary'!$Y:$Y,'Threshold Summary'!$K:$K,""),'Pokemon Editor'!$A:$A,'Pokemon Editor'!$F:$F,0)+31+FLOOR(XLOOKUP($Q603,'Threshold Summary'!$Y:$Y,'Threshold Summary'!$P:$P,"")/4))*XLOOKUP($Q603,'Threshold Summary'!$Y:$Y,'Threshold Summary'!$L:$L,""))/100)+5)*XLOOKUP(XLOOKUP($Q603,'Threshold Summary'!$Y:$Y,'Threshold Summary'!$M:$M,""),'Nature Editor'!$A:$A,'Nature Editor'!$B:$B,1)),FLOOR((FLOOR(((2*XLOOKUP(XLOOKUP($Q603,'Threshold Summary'!$Y:$Y,'Threshold Summary'!$K:$K,""),'Pokemon Editor'!$A:$A,'Pokemon Editor'!$H:$H,0)+31+FLOOR(XLOOKUP($Q603,'Threshold Summary'!$Y:$Y,'Threshold Summary'!$R:$R,"")/4))*XLOOKUP($Q603,'Threshold Summary'!$Y:$Y,'Threshold Summary'!$L:$L,""))/100)+5)*XLOOKUP(XLOOKUP($Q603,'Threshold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Editor'!$E:$E,1))),stab,IF(OR(mtype=XLOOKUP(XLOOKUP($Q603,'Threshold Summary'!$Y:$Y,'Threshold Summary'!$K:$K,""),'Pokemon Editor'!$A:$A,'Pokemon Editor'!$C:$C,""),mtype=XLOOKUP(XLOOKUP($Q603,'Threshold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Chart'!$B$1:$S$1,0)))),base,IF(OR(cat="Status",pow=0),0,FLOOR(FLOOR(FLOOR((2*XLOOKUP($Q603,'Threshold Summary'!$Y:$Y,'Threshold Summary'!$L:$L,"")/5+2)*pow*atk/def)/50)+2)),modifier,stab*eff,FLOOR(base*modifier)),0)</f>
        <v/>
      </c>
      <c r="L603" s="3">
        <f>IFERROR(LET(mtype,XLOOKUP($D603,'Move Editor'!$B:$B,'Move Editor'!$C:$C,""),cat,XLOOKUP($D603,'Move Editor'!$B:$B,'Move Editor'!$D:$D,""),pow,XLOOKUP($D603,'Move Editor'!$B:$B,'Move Editor'!$E:$E,0),acc,XLOOKUP($D603,'Move Editor'!$B:$B,'Move Editor'!$F:$F,100),atk,IF(cat="Physical",FLOOR((FLOOR(((2*XLOOKUP(XLOOKUP($Q603,'Threshold Summary'!$Y:$Y,'Threshold Summary'!$K:$K,""),'Pokemon Editor'!$A:$A,'Pokemon Editor'!$F:$F,0)+31+FLOOR(XLOOKUP($Q603,'Threshold Summary'!$Y:$Y,'Threshold Summary'!$P:$P,"")/4))*XLOOKUP($Q603,'Threshold Summary'!$Y:$Y,'Threshold Summary'!$L:$L,""))/100)+5)*XLOOKUP(XLOOKUP($Q603,'Threshold Summary'!$Y:$Y,'Threshold Summary'!$M:$M,""),'Nature Editor'!$A:$A,'Nature Editor'!$B:$B,1)),FLOOR((FLOOR(((2*XLOOKUP(XLOOKUP($Q603,'Threshold Summary'!$Y:$Y,'Threshold Summary'!$K:$K,""),'Pokemon Editor'!$A:$A,'Pokemon Editor'!$H:$H,0)+31+FLOOR(XLOOKUP($Q603,'Threshold Summary'!$Y:$Y,'Threshold Summary'!$R:$R,"")/4))*XLOOKUP($Q603,'Threshold Summary'!$Y:$Y,'Threshold Summary'!$L:$L,""))/100)+5)*XLOOKUP(XLOOKUP($Q603,'Threshold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Editor'!$E:$E,1))),stab,IF(OR(mtype=XLOOKUP(XLOOKUP($Q603,'Threshold Summary'!$Y:$Y,'Threshold Summary'!$K:$K,""),'Pokemon Editor'!$A:$A,'Pokemon Editor'!$C:$C,""),mtype=XLOOKUP(XLOOKUP($Q603,'Threshold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Chart'!$B$1:$S$1,0)))),base,IF(OR(cat="Status",pow=0),0,FLOOR(FLOOR(FLOOR((2*XLOOKUP($Q603,'Threshold Summary'!$Y:$Y,'Threshold Summary'!$L:$L,"")/5+2)*pow*atk/def)/50)+2)),modifier,stab*eff,AVERAGE(ARRAYFORMULA(FLOOR(base*modifier*SEQUENCE(16,1,85,1)/100)))),0)</f>
        <v/>
      </c>
      <c r="M603" s="3">
        <f>IFERROR(LET(mtype,XLOOKUP($D603,'Move Editor'!$B:$B,'Move Editor'!$C:$C,""),cat,XLOOKUP($D603,'Move Editor'!$B:$B,'Move Editor'!$D:$D,""),pow,XLOOKUP($D603,'Move Editor'!$B:$B,'Move Editor'!$E:$E,0),acc,XLOOKUP($D603,'Move Editor'!$B:$B,'Move Editor'!$F:$F,100),atk,IF(cat="Physical",FLOOR((FLOOR(((2*XLOOKUP(XLOOKUP($Q603,'Threshold Summary'!$Y:$Y,'Threshold Summary'!$K:$K,""),'Pokemon Editor'!$A:$A,'Pokemon Editor'!$F:$F,0)+31+FLOOR(XLOOKUP($Q603,'Threshold Summary'!$Y:$Y,'Threshold Summary'!$P:$P,"")/4))*XLOOKUP($Q603,'Threshold Summary'!$Y:$Y,'Threshold Summary'!$L:$L,""))/100)+5)*XLOOKUP(XLOOKUP($Q603,'Threshold Summary'!$Y:$Y,'Threshold Summary'!$M:$M,""),'Nature Editor'!$A:$A,'Nature Editor'!$B:$B,1)),FLOOR((FLOOR(((2*XLOOKUP(XLOOKUP($Q603,'Threshold Summary'!$Y:$Y,'Threshold Summary'!$K:$K,""),'Pokemon Editor'!$A:$A,'Pokemon Editor'!$H:$H,0)+31+FLOOR(XLOOKUP($Q603,'Threshold Summary'!$Y:$Y,'Threshold Summary'!$R:$R,"")/4))*XLOOKUP($Q603,'Threshold Summary'!$Y:$Y,'Threshold Summary'!$L:$L,""))/100)+5)*XLOOKUP(XLOOKUP($Q603,'Threshold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Editor'!$E:$E,1))),stab,IF(OR(mtype=XLOOKUP(XLOOKUP($Q603,'Threshold Summary'!$Y:$Y,'Threshold Summary'!$K:$K,""),'Pokemon Editor'!$A:$A,'Pokemon Editor'!$C:$C,""),mtype=XLOOKUP(XLOOKUP($Q603,'Threshold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Chart'!$B$1:$S$1,0)))),base,IF(OR(cat="Status",pow=0),0,FLOOR(FLOOR(FLOOR((2*XLOOKUP($Q603,'Threshold Summary'!$Y:$Y,'Threshold Summary'!$L:$L,"")/5+2)*pow*atk/def)/50)+2)),modifier,stab*eff,AVERAGE(ARRAYFORMULA(FLOOR(base*modifier*SEQUENCE(16,1,85,1)/100)))*MIN(1,acc/100)),0)</f>
        <v/>
      </c>
      <c r="N603" s="4">
        <f>IFERROR(LET(mtype,XLOOKUP($D603,'Move Editor'!$B:$B,'Move Editor'!$C:$C,""),cat,XLOOKUP($D603,'Move Editor'!$B:$B,'Move Editor'!$D:$D,""),pow,XLOOKUP($D603,'Move Editor'!$B:$B,'Move Editor'!$E:$E,0),acc,XLOOKUP($D603,'Move Editor'!$B:$B,'Move Editor'!$F:$F,100),atk,IF(cat="Physical",FLOOR((FLOOR(((2*XLOOKUP(XLOOKUP($Q603,'Threshold Summary'!$Y:$Y,'Threshold Summary'!$K:$K,""),'Pokemon Editor'!$A:$A,'Pokemon Editor'!$F:$F,0)+31+FLOOR(XLOOKUP($Q603,'Threshold Summary'!$Y:$Y,'Threshold Summary'!$P:$P,"")/4))*XLOOKUP($Q603,'Threshold Summary'!$Y:$Y,'Threshold Summary'!$L:$L,""))/100)+5)*XLOOKUP(XLOOKUP($Q603,'Threshold Summary'!$Y:$Y,'Threshold Summary'!$M:$M,""),'Nature Editor'!$A:$A,'Nature Editor'!$B:$B,1)),FLOOR((FLOOR(((2*XLOOKUP(XLOOKUP($Q603,'Threshold Summary'!$Y:$Y,'Threshold Summary'!$K:$K,""),'Pokemon Editor'!$A:$A,'Pokemon Editor'!$H:$H,0)+31+FLOOR(XLOOKUP($Q603,'Threshold Summary'!$Y:$Y,'Threshold Summary'!$R:$R,"")/4))*XLOOKUP($Q603,'Threshold Summary'!$Y:$Y,'Threshold Summary'!$L:$L,""))/100)+5)*XLOOKUP(XLOOKUP($Q603,'Threshold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Editor'!$E:$E,1))),stab,IF(OR(mtype=XLOOKUP(XLOOKUP($Q603,'Threshold Summary'!$Y:$Y,'Threshold Summary'!$K:$K,""),'Pokemon Editor'!$A:$A,'Pokemon Editor'!$C:$C,""),mtype=XLOOKUP(XLOOKUP($Q603,'Threshold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Chart'!$B$1:$S$1,0)))),base,IF(OR(cat="Status",pow=0),0,FLOOR(FLOOR(FLOOR((2*XLOOKUP($Q603,'Threshold Summary'!$Y:$Y,'Threshold Summary'!$L:$L,"")/5+2)*pow*atk/def)/50)+2)),modifier,stab*eff,AVERAGE(ARRAYFORMULA(FLOOR(base*modifier*SEQUENCE(16,1,85,1)/100)))/(FLOOR(((2*XLOOKUP('Boss Editor'!$C$4,'Pokemon Editor'!$A:$A,'Pokemon Editor'!$E:$E,0)+31+FLOOR('Boss Editor'!$G$4/4))*'Boss Editor'!$D$4)/100)+'Boss Editor'!$D$4+10)),0)</f>
        <v/>
      </c>
      <c r="O603" s="3">
        <f>IF(N603&gt;=1,"OHKO",IF(N603&gt;=0.5,"2HKO",IF(N603&gt;=0.333,"3HKO",IF(N603&gt;=0.25,"4HKO","5HKO+"))))</f>
        <v/>
      </c>
      <c r="P603" s="3" t="inlineStr">
        <is>
          <t>Live from editable databases</t>
        </is>
      </c>
      <c r="Q603" s="3" t="inlineStr">
        <is>
          <t>SPECIES_FLETCHLING</t>
        </is>
      </c>
      <c r="R603" s="3" t="n">
        <v>26</v>
      </c>
    </row>
    <row r="604">
      <c r="A604" s="3">
        <f>XLOOKUP($Q604,'Threshold Summary'!$Y:$Y,'Threshold Summary'!$A:$A,"")</f>
        <v/>
      </c>
      <c r="B604" s="3">
        <f>XLOOKUP($Q604,'Threshold Summary'!$Y:$Y,'Threshold Summary'!$M:$M,"")</f>
        <v/>
      </c>
      <c r="C604" s="3">
        <f>XLOOKUP($Q604,'Threshold Summary'!$Y:$Y,'Threshold Summary'!$N:$N,"")</f>
        <v/>
      </c>
      <c r="D604" s="3">
        <f>IFERROR(INDEX(FILTER('Learnset Editor'!$D$2:$D,'Learnset Editor'!$A$2:$A=XLOOKUP($Q604,'Threshold Summary'!$Y:$Y,'Threshold Summary'!$K:$K,""),'Learnset Editor'!$C$2:$C&lt;=XLOOKUP($Q604,'Threshold Summary'!$Y:$Y,'Threshold Summary'!$L:$L,"")),$R604),"")</f>
        <v/>
      </c>
      <c r="E604" s="3">
        <f>XLOOKUP(D604,'Move Editor'!$B:$B,'Move Editor'!$C:$C,"")</f>
        <v/>
      </c>
      <c r="F604" s="3">
        <f>XLOOKUP(D604,'Move Editor'!$B:$B,'Move Editor'!$D:$D,"")</f>
        <v/>
      </c>
      <c r="G604" s="3">
        <f>XLOOKUP(D604,'Move Editor'!$B:$B,'Move Editor'!$E:$E,0)</f>
        <v/>
      </c>
      <c r="H604" s="3">
        <f>XLOOKUP(D604,'Move Editor'!$B:$B,'Move Editor'!$F:$F,0)</f>
        <v/>
      </c>
      <c r="I604" s="3">
        <f>(INDEX('Type Chart'!$B:$S,MATCH(E604,'Type Chart'!$A:$A,0),MATCH(XLOOKUP('Boss Editor'!$C$4,'Pokemon Editor'!$A:$A,'Pokemon Editor'!$C:$C,""),'Type Chart'!$B$1:$S$1,0))*IF(XLOOKUP('Boss Editor'!$C$4,'Pokemon Editor'!$A:$A,'Pokemon Editor'!$D:$D,"")="",1,INDEX('Type Chart'!$B:$S,MATCH(E604,'Type Chart'!$A:$A,0),MATCH(XLOOKUP('Boss Editor'!$C$4,'Pokemon Editor'!$A:$A,'Pokemon Editor'!$D:$D,""),'Type Chart'!$B$1:$S$1,0))))</f>
        <v/>
      </c>
      <c r="J604" s="3">
        <f>IFERROR(LET(mtype,XLOOKUP($D604,'Move Editor'!$B:$B,'Move Editor'!$C:$C,""),cat,XLOOKUP($D604,'Move Editor'!$B:$B,'Move Editor'!$D:$D,""),pow,XLOOKUP($D604,'Move Editor'!$B:$B,'Move Editor'!$E:$E,0),acc,XLOOKUP($D604,'Move Editor'!$B:$B,'Move Editor'!$F:$F,100),atk,IF(cat="Physical",FLOOR((FLOOR(((2*XLOOKUP(XLOOKUP($Q604,'Threshold Summary'!$Y:$Y,'Threshold Summary'!$K:$K,""),'Pokemon Editor'!$A:$A,'Pokemon Editor'!$F:$F,0)+31+FLOOR(XLOOKUP($Q604,'Threshold Summary'!$Y:$Y,'Threshold Summary'!$P:$P,"")/4))*XLOOKUP($Q604,'Threshold Summary'!$Y:$Y,'Threshold Summary'!$L:$L,""))/100)+5)*XLOOKUP(XLOOKUP($Q604,'Threshold Summary'!$Y:$Y,'Threshold Summary'!$M:$M,""),'Nature Editor'!$A:$A,'Nature Editor'!$B:$B,1)),FLOOR((FLOOR(((2*XLOOKUP(XLOOKUP($Q604,'Threshold Summary'!$Y:$Y,'Threshold Summary'!$K:$K,""),'Pokemon Editor'!$A:$A,'Pokemon Editor'!$H:$H,0)+31+FLOOR(XLOOKUP($Q604,'Threshold Summary'!$Y:$Y,'Threshold Summary'!$R:$R,"")/4))*XLOOKUP($Q604,'Threshold Summary'!$Y:$Y,'Threshold Summary'!$L:$L,""))/100)+5)*XLOOKUP(XLOOKUP($Q604,'Threshold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Editor'!$E:$E,1))),stab,IF(OR(mtype=XLOOKUP(XLOOKUP($Q604,'Threshold Summary'!$Y:$Y,'Threshold Summary'!$K:$K,""),'Pokemon Editor'!$A:$A,'Pokemon Editor'!$C:$C,""),mtype=XLOOKUP(XLOOKUP($Q604,'Threshold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Chart'!$B$1:$S$1,0)))),base,IF(OR(cat="Status",pow=0),0,FLOOR(FLOOR(FLOOR((2*XLOOKUP($Q604,'Threshold Summary'!$Y:$Y,'Threshold Summary'!$L:$L,"")/5+2)*pow*atk/def)/50)+2)),modifier,stab*eff,FLOOR(base*modifier*0.85)),0)</f>
        <v/>
      </c>
      <c r="K604" s="3">
        <f>IFERROR(LET(mtype,XLOOKUP($D604,'Move Editor'!$B:$B,'Move Editor'!$C:$C,""),cat,XLOOKUP($D604,'Move Editor'!$B:$B,'Move Editor'!$D:$D,""),pow,XLOOKUP($D604,'Move Editor'!$B:$B,'Move Editor'!$E:$E,0),acc,XLOOKUP($D604,'Move Editor'!$B:$B,'Move Editor'!$F:$F,100),atk,IF(cat="Physical",FLOOR((FLOOR(((2*XLOOKUP(XLOOKUP($Q604,'Threshold Summary'!$Y:$Y,'Threshold Summary'!$K:$K,""),'Pokemon Editor'!$A:$A,'Pokemon Editor'!$F:$F,0)+31+FLOOR(XLOOKUP($Q604,'Threshold Summary'!$Y:$Y,'Threshold Summary'!$P:$P,"")/4))*XLOOKUP($Q604,'Threshold Summary'!$Y:$Y,'Threshold Summary'!$L:$L,""))/100)+5)*XLOOKUP(XLOOKUP($Q604,'Threshold Summary'!$Y:$Y,'Threshold Summary'!$M:$M,""),'Nature Editor'!$A:$A,'Nature Editor'!$B:$B,1)),FLOOR((FLOOR(((2*XLOOKUP(XLOOKUP($Q604,'Threshold Summary'!$Y:$Y,'Threshold Summary'!$K:$K,""),'Pokemon Editor'!$A:$A,'Pokemon Editor'!$H:$H,0)+31+FLOOR(XLOOKUP($Q604,'Threshold Summary'!$Y:$Y,'Threshold Summary'!$R:$R,"")/4))*XLOOKUP($Q604,'Threshold Summary'!$Y:$Y,'Threshold Summary'!$L:$L,""))/100)+5)*XLOOKUP(XLOOKUP($Q604,'Threshold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Editor'!$E:$E,1))),stab,IF(OR(mtype=XLOOKUP(XLOOKUP($Q604,'Threshold Summary'!$Y:$Y,'Threshold Summary'!$K:$K,""),'Pokemon Editor'!$A:$A,'Pokemon Editor'!$C:$C,""),mtype=XLOOKUP(XLOOKUP($Q604,'Threshold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Chart'!$B$1:$S$1,0)))),base,IF(OR(cat="Status",pow=0),0,FLOOR(FLOOR(FLOOR((2*XLOOKUP($Q604,'Threshold Summary'!$Y:$Y,'Threshold Summary'!$L:$L,"")/5+2)*pow*atk/def)/50)+2)),modifier,stab*eff,FLOOR(base*modifier)),0)</f>
        <v/>
      </c>
      <c r="L604" s="3">
        <f>IFERROR(LET(mtype,XLOOKUP($D604,'Move Editor'!$B:$B,'Move Editor'!$C:$C,""),cat,XLOOKUP($D604,'Move Editor'!$B:$B,'Move Editor'!$D:$D,""),pow,XLOOKUP($D604,'Move Editor'!$B:$B,'Move Editor'!$E:$E,0),acc,XLOOKUP($D604,'Move Editor'!$B:$B,'Move Editor'!$F:$F,100),atk,IF(cat="Physical",FLOOR((FLOOR(((2*XLOOKUP(XLOOKUP($Q604,'Threshold Summary'!$Y:$Y,'Threshold Summary'!$K:$K,""),'Pokemon Editor'!$A:$A,'Pokemon Editor'!$F:$F,0)+31+FLOOR(XLOOKUP($Q604,'Threshold Summary'!$Y:$Y,'Threshold Summary'!$P:$P,"")/4))*XLOOKUP($Q604,'Threshold Summary'!$Y:$Y,'Threshold Summary'!$L:$L,""))/100)+5)*XLOOKUP(XLOOKUP($Q604,'Threshold Summary'!$Y:$Y,'Threshold Summary'!$M:$M,""),'Nature Editor'!$A:$A,'Nature Editor'!$B:$B,1)),FLOOR((FLOOR(((2*XLOOKUP(XLOOKUP($Q604,'Threshold Summary'!$Y:$Y,'Threshold Summary'!$K:$K,""),'Pokemon Editor'!$A:$A,'Pokemon Editor'!$H:$H,0)+31+FLOOR(XLOOKUP($Q604,'Threshold Summary'!$Y:$Y,'Threshold Summary'!$R:$R,"")/4))*XLOOKUP($Q604,'Threshold Summary'!$Y:$Y,'Threshold Summary'!$L:$L,""))/100)+5)*XLOOKUP(XLOOKUP($Q604,'Threshold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Editor'!$E:$E,1))),stab,IF(OR(mtype=XLOOKUP(XLOOKUP($Q604,'Threshold Summary'!$Y:$Y,'Threshold Summary'!$K:$K,""),'Pokemon Editor'!$A:$A,'Pokemon Editor'!$C:$C,""),mtype=XLOOKUP(XLOOKUP($Q604,'Threshold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Chart'!$B$1:$S$1,0)))),base,IF(OR(cat="Status",pow=0),0,FLOOR(FLOOR(FLOOR((2*XLOOKUP($Q604,'Threshold Summary'!$Y:$Y,'Threshold Summary'!$L:$L,"")/5+2)*pow*atk/def)/50)+2)),modifier,stab*eff,AVERAGE(ARRAYFORMULA(FLOOR(base*modifier*SEQUENCE(16,1,85,1)/100)))),0)</f>
        <v/>
      </c>
      <c r="M604" s="3">
        <f>IFERROR(LET(mtype,XLOOKUP($D604,'Move Editor'!$B:$B,'Move Editor'!$C:$C,""),cat,XLOOKUP($D604,'Move Editor'!$B:$B,'Move Editor'!$D:$D,""),pow,XLOOKUP($D604,'Move Editor'!$B:$B,'Move Editor'!$E:$E,0),acc,XLOOKUP($D604,'Move Editor'!$B:$B,'Move Editor'!$F:$F,100),atk,IF(cat="Physical",FLOOR((FLOOR(((2*XLOOKUP(XLOOKUP($Q604,'Threshold Summary'!$Y:$Y,'Threshold Summary'!$K:$K,""),'Pokemon Editor'!$A:$A,'Pokemon Editor'!$F:$F,0)+31+FLOOR(XLOOKUP($Q604,'Threshold Summary'!$Y:$Y,'Threshold Summary'!$P:$P,"")/4))*XLOOKUP($Q604,'Threshold Summary'!$Y:$Y,'Threshold Summary'!$L:$L,""))/100)+5)*XLOOKUP(XLOOKUP($Q604,'Threshold Summary'!$Y:$Y,'Threshold Summary'!$M:$M,""),'Nature Editor'!$A:$A,'Nature Editor'!$B:$B,1)),FLOOR((FLOOR(((2*XLOOKUP(XLOOKUP($Q604,'Threshold Summary'!$Y:$Y,'Threshold Summary'!$K:$K,""),'Pokemon Editor'!$A:$A,'Pokemon Editor'!$H:$H,0)+31+FLOOR(XLOOKUP($Q604,'Threshold Summary'!$Y:$Y,'Threshold Summary'!$R:$R,"")/4))*XLOOKUP($Q604,'Threshold Summary'!$Y:$Y,'Threshold Summary'!$L:$L,""))/100)+5)*XLOOKUP(XLOOKUP($Q604,'Threshold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Editor'!$E:$E,1))),stab,IF(OR(mtype=XLOOKUP(XLOOKUP($Q604,'Threshold Summary'!$Y:$Y,'Threshold Summary'!$K:$K,""),'Pokemon Editor'!$A:$A,'Pokemon Editor'!$C:$C,""),mtype=XLOOKUP(XLOOKUP($Q604,'Threshold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Chart'!$B$1:$S$1,0)))),base,IF(OR(cat="Status",pow=0),0,FLOOR(FLOOR(FLOOR((2*XLOOKUP($Q604,'Threshold Summary'!$Y:$Y,'Threshold Summary'!$L:$L,"")/5+2)*pow*atk/def)/50)+2)),modifier,stab*eff,AVERAGE(ARRAYFORMULA(FLOOR(base*modifier*SEQUENCE(16,1,85,1)/100)))*MIN(1,acc/100)),0)</f>
        <v/>
      </c>
      <c r="N604" s="4">
        <f>IFERROR(LET(mtype,XLOOKUP($D604,'Move Editor'!$B:$B,'Move Editor'!$C:$C,""),cat,XLOOKUP($D604,'Move Editor'!$B:$B,'Move Editor'!$D:$D,""),pow,XLOOKUP($D604,'Move Editor'!$B:$B,'Move Editor'!$E:$E,0),acc,XLOOKUP($D604,'Move Editor'!$B:$B,'Move Editor'!$F:$F,100),atk,IF(cat="Physical",FLOOR((FLOOR(((2*XLOOKUP(XLOOKUP($Q604,'Threshold Summary'!$Y:$Y,'Threshold Summary'!$K:$K,""),'Pokemon Editor'!$A:$A,'Pokemon Editor'!$F:$F,0)+31+FLOOR(XLOOKUP($Q604,'Threshold Summary'!$Y:$Y,'Threshold Summary'!$P:$P,"")/4))*XLOOKUP($Q604,'Threshold Summary'!$Y:$Y,'Threshold Summary'!$L:$L,""))/100)+5)*XLOOKUP(XLOOKUP($Q604,'Threshold Summary'!$Y:$Y,'Threshold Summary'!$M:$M,""),'Nature Editor'!$A:$A,'Nature Editor'!$B:$B,1)),FLOOR((FLOOR(((2*XLOOKUP(XLOOKUP($Q604,'Threshold Summary'!$Y:$Y,'Threshold Summary'!$K:$K,""),'Pokemon Editor'!$A:$A,'Pokemon Editor'!$H:$H,0)+31+FLOOR(XLOOKUP($Q604,'Threshold Summary'!$Y:$Y,'Threshold Summary'!$R:$R,"")/4))*XLOOKUP($Q604,'Threshold Summary'!$Y:$Y,'Threshold Summary'!$L:$L,""))/100)+5)*XLOOKUP(XLOOKUP($Q604,'Threshold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Editor'!$E:$E,1))),stab,IF(OR(mtype=XLOOKUP(XLOOKUP($Q604,'Threshold Summary'!$Y:$Y,'Threshold Summary'!$K:$K,""),'Pokemon Editor'!$A:$A,'Pokemon Editor'!$C:$C,""),mtype=XLOOKUP(XLOOKUP($Q604,'Threshold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Chart'!$B$1:$S$1,0)))),base,IF(OR(cat="Status",pow=0),0,FLOOR(FLOOR(FLOOR((2*XLOOKUP($Q604,'Threshold Summary'!$Y:$Y,'Threshold Summary'!$L:$L,"")/5+2)*pow*atk/def)/50)+2)),modifier,stab*eff,AVERAGE(ARRAYFORMULA(FLOOR(base*modifier*SEQUENCE(16,1,85,1)/100)))/(FLOOR(((2*XLOOKUP('Boss Editor'!$C$4,'Pokemon Editor'!$A:$A,'Pokemon Editor'!$E:$E,0)+31+FLOOR('Boss Editor'!$G$4/4))*'Boss Editor'!$D$4)/100)+'Boss Editor'!$D$4+10)),0)</f>
        <v/>
      </c>
      <c r="O604" s="3">
        <f>IF(N604&gt;=1,"OHKO",IF(N604&gt;=0.5,"2HKO",IF(N604&gt;=0.333,"3HKO",IF(N604&gt;=0.25,"4HKO","5HKO+"))))</f>
        <v/>
      </c>
      <c r="P604" s="3" t="inlineStr">
        <is>
          <t>Live from editable databases</t>
        </is>
      </c>
      <c r="Q604" s="3" t="inlineStr">
        <is>
          <t>SPECIES_FLETCHLING</t>
        </is>
      </c>
      <c r="R604" s="3" t="n">
        <v>27</v>
      </c>
    </row>
    <row r="605">
      <c r="A605" s="3">
        <f>XLOOKUP($Q605,'Threshold Summary'!$Y:$Y,'Threshold Summary'!$A:$A,"")</f>
        <v/>
      </c>
      <c r="B605" s="3">
        <f>XLOOKUP($Q605,'Threshold Summary'!$Y:$Y,'Threshold Summary'!$M:$M,"")</f>
        <v/>
      </c>
      <c r="C605" s="3">
        <f>XLOOKUP($Q605,'Threshold Summary'!$Y:$Y,'Threshold Summary'!$N:$N,"")</f>
        <v/>
      </c>
      <c r="D605" s="3">
        <f>IFERROR(INDEX(FILTER('Learnset Editor'!$D$2:$D,'Learnset Editor'!$A$2:$A=XLOOKUP($Q605,'Threshold Summary'!$Y:$Y,'Threshold Summary'!$K:$K,""),'Learnset Editor'!$C$2:$C&lt;=XLOOKUP($Q605,'Threshold Summary'!$Y:$Y,'Threshold Summary'!$L:$L,"")),$R605),"")</f>
        <v/>
      </c>
      <c r="E605" s="3">
        <f>XLOOKUP(D605,'Move Editor'!$B:$B,'Move Editor'!$C:$C,"")</f>
        <v/>
      </c>
      <c r="F605" s="3">
        <f>XLOOKUP(D605,'Move Editor'!$B:$B,'Move Editor'!$D:$D,"")</f>
        <v/>
      </c>
      <c r="G605" s="3">
        <f>XLOOKUP(D605,'Move Editor'!$B:$B,'Move Editor'!$E:$E,0)</f>
        <v/>
      </c>
      <c r="H605" s="3">
        <f>XLOOKUP(D605,'Move Editor'!$B:$B,'Move Editor'!$F:$F,0)</f>
        <v/>
      </c>
      <c r="I605" s="3">
        <f>(INDEX('Type Chart'!$B:$S,MATCH(E605,'Type Chart'!$A:$A,0),MATCH(XLOOKUP('Boss Editor'!$C$4,'Pokemon Editor'!$A:$A,'Pokemon Editor'!$C:$C,""),'Type Chart'!$B$1:$S$1,0))*IF(XLOOKUP('Boss Editor'!$C$4,'Pokemon Editor'!$A:$A,'Pokemon Editor'!$D:$D,"")="",1,INDEX('Type Chart'!$B:$S,MATCH(E605,'Type Chart'!$A:$A,0),MATCH(XLOOKUP('Boss Editor'!$C$4,'Pokemon Editor'!$A:$A,'Pokemon Editor'!$D:$D,""),'Type Chart'!$B$1:$S$1,0))))</f>
        <v/>
      </c>
      <c r="J605" s="3">
        <f>IFERROR(LET(mtype,XLOOKUP($D605,'Move Editor'!$B:$B,'Move Editor'!$C:$C,""),cat,XLOOKUP($D605,'Move Editor'!$B:$B,'Move Editor'!$D:$D,""),pow,XLOOKUP($D605,'Move Editor'!$B:$B,'Move Editor'!$E:$E,0),acc,XLOOKUP($D605,'Move Editor'!$B:$B,'Move Editor'!$F:$F,100),atk,IF(cat="Physical",FLOOR((FLOOR(((2*XLOOKUP(XLOOKUP($Q605,'Threshold Summary'!$Y:$Y,'Threshold Summary'!$K:$K,""),'Pokemon Editor'!$A:$A,'Pokemon Editor'!$F:$F,0)+31+FLOOR(XLOOKUP($Q605,'Threshold Summary'!$Y:$Y,'Threshold Summary'!$P:$P,"")/4))*XLOOKUP($Q605,'Threshold Summary'!$Y:$Y,'Threshold Summary'!$L:$L,""))/100)+5)*XLOOKUP(XLOOKUP($Q605,'Threshold Summary'!$Y:$Y,'Threshold Summary'!$M:$M,""),'Nature Editor'!$A:$A,'Nature Editor'!$B:$B,1)),FLOOR((FLOOR(((2*XLOOKUP(XLOOKUP($Q605,'Threshold Summary'!$Y:$Y,'Threshold Summary'!$K:$K,""),'Pokemon Editor'!$A:$A,'Pokemon Editor'!$H:$H,0)+31+FLOOR(XLOOKUP($Q605,'Threshold Summary'!$Y:$Y,'Threshold Summary'!$R:$R,"")/4))*XLOOKUP($Q605,'Threshold Summary'!$Y:$Y,'Threshold Summary'!$L:$L,""))/100)+5)*XLOOKUP(XLOOKUP($Q605,'Threshold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Editor'!$E:$E,1))),stab,IF(OR(mtype=XLOOKUP(XLOOKUP($Q605,'Threshold Summary'!$Y:$Y,'Threshold Summary'!$K:$K,""),'Pokemon Editor'!$A:$A,'Pokemon Editor'!$C:$C,""),mtype=XLOOKUP(XLOOKUP($Q605,'Threshold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Chart'!$B$1:$S$1,0)))),base,IF(OR(cat="Status",pow=0),0,FLOOR(FLOOR(FLOOR((2*XLOOKUP($Q605,'Threshold Summary'!$Y:$Y,'Threshold Summary'!$L:$L,"")/5+2)*pow*atk/def)/50)+2)),modifier,stab*eff,FLOOR(base*modifier*0.85)),0)</f>
        <v/>
      </c>
      <c r="K605" s="3">
        <f>IFERROR(LET(mtype,XLOOKUP($D605,'Move Editor'!$B:$B,'Move Editor'!$C:$C,""),cat,XLOOKUP($D605,'Move Editor'!$B:$B,'Move Editor'!$D:$D,""),pow,XLOOKUP($D605,'Move Editor'!$B:$B,'Move Editor'!$E:$E,0),acc,XLOOKUP($D605,'Move Editor'!$B:$B,'Move Editor'!$F:$F,100),atk,IF(cat="Physical",FLOOR((FLOOR(((2*XLOOKUP(XLOOKUP($Q605,'Threshold Summary'!$Y:$Y,'Threshold Summary'!$K:$K,""),'Pokemon Editor'!$A:$A,'Pokemon Editor'!$F:$F,0)+31+FLOOR(XLOOKUP($Q605,'Threshold Summary'!$Y:$Y,'Threshold Summary'!$P:$P,"")/4))*XLOOKUP($Q605,'Threshold Summary'!$Y:$Y,'Threshold Summary'!$L:$L,""))/100)+5)*XLOOKUP(XLOOKUP($Q605,'Threshold Summary'!$Y:$Y,'Threshold Summary'!$M:$M,""),'Nature Editor'!$A:$A,'Nature Editor'!$B:$B,1)),FLOOR((FLOOR(((2*XLOOKUP(XLOOKUP($Q605,'Threshold Summary'!$Y:$Y,'Threshold Summary'!$K:$K,""),'Pokemon Editor'!$A:$A,'Pokemon Editor'!$H:$H,0)+31+FLOOR(XLOOKUP($Q605,'Threshold Summary'!$Y:$Y,'Threshold Summary'!$R:$R,"")/4))*XLOOKUP($Q605,'Threshold Summary'!$Y:$Y,'Threshold Summary'!$L:$L,""))/100)+5)*XLOOKUP(XLOOKUP($Q605,'Threshold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Editor'!$E:$E,1))),stab,IF(OR(mtype=XLOOKUP(XLOOKUP($Q605,'Threshold Summary'!$Y:$Y,'Threshold Summary'!$K:$K,""),'Pokemon Editor'!$A:$A,'Pokemon Editor'!$C:$C,""),mtype=XLOOKUP(XLOOKUP($Q605,'Threshold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Chart'!$B$1:$S$1,0)))),base,IF(OR(cat="Status",pow=0),0,FLOOR(FLOOR(FLOOR((2*XLOOKUP($Q605,'Threshold Summary'!$Y:$Y,'Threshold Summary'!$L:$L,"")/5+2)*pow*atk/def)/50)+2)),modifier,stab*eff,FLOOR(base*modifier)),0)</f>
        <v/>
      </c>
      <c r="L605" s="3">
        <f>IFERROR(LET(mtype,XLOOKUP($D605,'Move Editor'!$B:$B,'Move Editor'!$C:$C,""),cat,XLOOKUP($D605,'Move Editor'!$B:$B,'Move Editor'!$D:$D,""),pow,XLOOKUP($D605,'Move Editor'!$B:$B,'Move Editor'!$E:$E,0),acc,XLOOKUP($D605,'Move Editor'!$B:$B,'Move Editor'!$F:$F,100),atk,IF(cat="Physical",FLOOR((FLOOR(((2*XLOOKUP(XLOOKUP($Q605,'Threshold Summary'!$Y:$Y,'Threshold Summary'!$K:$K,""),'Pokemon Editor'!$A:$A,'Pokemon Editor'!$F:$F,0)+31+FLOOR(XLOOKUP($Q605,'Threshold Summary'!$Y:$Y,'Threshold Summary'!$P:$P,"")/4))*XLOOKUP($Q605,'Threshold Summary'!$Y:$Y,'Threshold Summary'!$L:$L,""))/100)+5)*XLOOKUP(XLOOKUP($Q605,'Threshold Summary'!$Y:$Y,'Threshold Summary'!$M:$M,""),'Nature Editor'!$A:$A,'Nature Editor'!$B:$B,1)),FLOOR((FLOOR(((2*XLOOKUP(XLOOKUP($Q605,'Threshold Summary'!$Y:$Y,'Threshold Summary'!$K:$K,""),'Pokemon Editor'!$A:$A,'Pokemon Editor'!$H:$H,0)+31+FLOOR(XLOOKUP($Q605,'Threshold Summary'!$Y:$Y,'Threshold Summary'!$R:$R,"")/4))*XLOOKUP($Q605,'Threshold Summary'!$Y:$Y,'Threshold Summary'!$L:$L,""))/100)+5)*XLOOKUP(XLOOKUP($Q605,'Threshold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Editor'!$E:$E,1))),stab,IF(OR(mtype=XLOOKUP(XLOOKUP($Q605,'Threshold Summary'!$Y:$Y,'Threshold Summary'!$K:$K,""),'Pokemon Editor'!$A:$A,'Pokemon Editor'!$C:$C,""),mtype=XLOOKUP(XLOOKUP($Q605,'Threshold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Chart'!$B$1:$S$1,0)))),base,IF(OR(cat="Status",pow=0),0,FLOOR(FLOOR(FLOOR((2*XLOOKUP($Q605,'Threshold Summary'!$Y:$Y,'Threshold Summary'!$L:$L,"")/5+2)*pow*atk/def)/50)+2)),modifier,stab*eff,AVERAGE(ARRAYFORMULA(FLOOR(base*modifier*SEQUENCE(16,1,85,1)/100)))),0)</f>
        <v/>
      </c>
      <c r="M605" s="3">
        <f>IFERROR(LET(mtype,XLOOKUP($D605,'Move Editor'!$B:$B,'Move Editor'!$C:$C,""),cat,XLOOKUP($D605,'Move Editor'!$B:$B,'Move Editor'!$D:$D,""),pow,XLOOKUP($D605,'Move Editor'!$B:$B,'Move Editor'!$E:$E,0),acc,XLOOKUP($D605,'Move Editor'!$B:$B,'Move Editor'!$F:$F,100),atk,IF(cat="Physical",FLOOR((FLOOR(((2*XLOOKUP(XLOOKUP($Q605,'Threshold Summary'!$Y:$Y,'Threshold Summary'!$K:$K,""),'Pokemon Editor'!$A:$A,'Pokemon Editor'!$F:$F,0)+31+FLOOR(XLOOKUP($Q605,'Threshold Summary'!$Y:$Y,'Threshold Summary'!$P:$P,"")/4))*XLOOKUP($Q605,'Threshold Summary'!$Y:$Y,'Threshold Summary'!$L:$L,""))/100)+5)*XLOOKUP(XLOOKUP($Q605,'Threshold Summary'!$Y:$Y,'Threshold Summary'!$M:$M,""),'Nature Editor'!$A:$A,'Nature Editor'!$B:$B,1)),FLOOR((FLOOR(((2*XLOOKUP(XLOOKUP($Q605,'Threshold Summary'!$Y:$Y,'Threshold Summary'!$K:$K,""),'Pokemon Editor'!$A:$A,'Pokemon Editor'!$H:$H,0)+31+FLOOR(XLOOKUP($Q605,'Threshold Summary'!$Y:$Y,'Threshold Summary'!$R:$R,"")/4))*XLOOKUP($Q605,'Threshold Summary'!$Y:$Y,'Threshold Summary'!$L:$L,""))/100)+5)*XLOOKUP(XLOOKUP($Q605,'Threshold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Editor'!$E:$E,1))),stab,IF(OR(mtype=XLOOKUP(XLOOKUP($Q605,'Threshold Summary'!$Y:$Y,'Threshold Summary'!$K:$K,""),'Pokemon Editor'!$A:$A,'Pokemon Editor'!$C:$C,""),mtype=XLOOKUP(XLOOKUP($Q605,'Threshold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Chart'!$B$1:$S$1,0)))),base,IF(OR(cat="Status",pow=0),0,FLOOR(FLOOR(FLOOR((2*XLOOKUP($Q605,'Threshold Summary'!$Y:$Y,'Threshold Summary'!$L:$L,"")/5+2)*pow*atk/def)/50)+2)),modifier,stab*eff,AVERAGE(ARRAYFORMULA(FLOOR(base*modifier*SEQUENCE(16,1,85,1)/100)))*MIN(1,acc/100)),0)</f>
        <v/>
      </c>
      <c r="N605" s="4">
        <f>IFERROR(LET(mtype,XLOOKUP($D605,'Move Editor'!$B:$B,'Move Editor'!$C:$C,""),cat,XLOOKUP($D605,'Move Editor'!$B:$B,'Move Editor'!$D:$D,""),pow,XLOOKUP($D605,'Move Editor'!$B:$B,'Move Editor'!$E:$E,0),acc,XLOOKUP($D605,'Move Editor'!$B:$B,'Move Editor'!$F:$F,100),atk,IF(cat="Physical",FLOOR((FLOOR(((2*XLOOKUP(XLOOKUP($Q605,'Threshold Summary'!$Y:$Y,'Threshold Summary'!$K:$K,""),'Pokemon Editor'!$A:$A,'Pokemon Editor'!$F:$F,0)+31+FLOOR(XLOOKUP($Q605,'Threshold Summary'!$Y:$Y,'Threshold Summary'!$P:$P,"")/4))*XLOOKUP($Q605,'Threshold Summary'!$Y:$Y,'Threshold Summary'!$L:$L,""))/100)+5)*XLOOKUP(XLOOKUP($Q605,'Threshold Summary'!$Y:$Y,'Threshold Summary'!$M:$M,""),'Nature Editor'!$A:$A,'Nature Editor'!$B:$B,1)),FLOOR((FLOOR(((2*XLOOKUP(XLOOKUP($Q605,'Threshold Summary'!$Y:$Y,'Threshold Summary'!$K:$K,""),'Pokemon Editor'!$A:$A,'Pokemon Editor'!$H:$H,0)+31+FLOOR(XLOOKUP($Q605,'Threshold Summary'!$Y:$Y,'Threshold Summary'!$R:$R,"")/4))*XLOOKUP($Q605,'Threshold Summary'!$Y:$Y,'Threshold Summary'!$L:$L,""))/100)+5)*XLOOKUP(XLOOKUP($Q605,'Threshold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Editor'!$E:$E,1))),stab,IF(OR(mtype=XLOOKUP(XLOOKUP($Q605,'Threshold Summary'!$Y:$Y,'Threshold Summary'!$K:$K,""),'Pokemon Editor'!$A:$A,'Pokemon Editor'!$C:$C,""),mtype=XLOOKUP(XLOOKUP($Q605,'Threshold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Chart'!$B$1:$S$1,0)))),base,IF(OR(cat="Status",pow=0),0,FLOOR(FLOOR(FLOOR((2*XLOOKUP($Q605,'Threshold Summary'!$Y:$Y,'Threshold Summary'!$L:$L,"")/5+2)*pow*atk/def)/50)+2)),modifier,stab*eff,AVERAGE(ARRAYFORMULA(FLOOR(base*modifier*SEQUENCE(16,1,85,1)/100)))/(FLOOR(((2*XLOOKUP('Boss Editor'!$C$4,'Pokemon Editor'!$A:$A,'Pokemon Editor'!$E:$E,0)+31+FLOOR('Boss Editor'!$G$4/4))*'Boss Editor'!$D$4)/100)+'Boss Editor'!$D$4+10)),0)</f>
        <v/>
      </c>
      <c r="O605" s="3">
        <f>IF(N605&gt;=1,"OHKO",IF(N605&gt;=0.5,"2HKO",IF(N605&gt;=0.333,"3HKO",IF(N605&gt;=0.25,"4HKO","5HKO+"))))</f>
        <v/>
      </c>
      <c r="P605" s="3" t="inlineStr">
        <is>
          <t>Live from editable databases</t>
        </is>
      </c>
      <c r="Q605" s="3" t="inlineStr">
        <is>
          <t>SPECIES_FLETCHLING</t>
        </is>
      </c>
      <c r="R605" s="3" t="n">
        <v>28</v>
      </c>
    </row>
    <row r="606">
      <c r="A606" s="3">
        <f>XLOOKUP($Q606,'Threshold Summary'!$Y:$Y,'Threshold Summary'!$A:$A,"")</f>
        <v/>
      </c>
      <c r="B606" s="3">
        <f>XLOOKUP($Q606,'Threshold Summary'!$Y:$Y,'Threshold Summary'!$M:$M,"")</f>
        <v/>
      </c>
      <c r="C606" s="3">
        <f>XLOOKUP($Q606,'Threshold Summary'!$Y:$Y,'Threshold Summary'!$N:$N,"")</f>
        <v/>
      </c>
      <c r="D606" s="3">
        <f>IFERROR(INDEX(FILTER('Learnset Editor'!$D$2:$D,'Learnset Editor'!$A$2:$A=XLOOKUP($Q606,'Threshold Summary'!$Y:$Y,'Threshold Summary'!$K:$K,""),'Learnset Editor'!$C$2:$C&lt;=XLOOKUP($Q606,'Threshold Summary'!$Y:$Y,'Threshold Summary'!$L:$L,"")),$R606),"")</f>
        <v/>
      </c>
      <c r="E606" s="3">
        <f>XLOOKUP(D606,'Move Editor'!$B:$B,'Move Editor'!$C:$C,"")</f>
        <v/>
      </c>
      <c r="F606" s="3">
        <f>XLOOKUP(D606,'Move Editor'!$B:$B,'Move Editor'!$D:$D,"")</f>
        <v/>
      </c>
      <c r="G606" s="3">
        <f>XLOOKUP(D606,'Move Editor'!$B:$B,'Move Editor'!$E:$E,0)</f>
        <v/>
      </c>
      <c r="H606" s="3">
        <f>XLOOKUP(D606,'Move Editor'!$B:$B,'Move Editor'!$F:$F,0)</f>
        <v/>
      </c>
      <c r="I606" s="3">
        <f>(INDEX('Type Chart'!$B:$S,MATCH(E606,'Type Chart'!$A:$A,0),MATCH(XLOOKUP('Boss Editor'!$C$4,'Pokemon Editor'!$A:$A,'Pokemon Editor'!$C:$C,""),'Type Chart'!$B$1:$S$1,0))*IF(XLOOKUP('Boss Editor'!$C$4,'Pokemon Editor'!$A:$A,'Pokemon Editor'!$D:$D,"")="",1,INDEX('Type Chart'!$B:$S,MATCH(E606,'Type Chart'!$A:$A,0),MATCH(XLOOKUP('Boss Editor'!$C$4,'Pokemon Editor'!$A:$A,'Pokemon Editor'!$D:$D,""),'Type Chart'!$B$1:$S$1,0))))</f>
        <v/>
      </c>
      <c r="J606" s="3">
        <f>IFERROR(LET(mtype,XLOOKUP($D606,'Move Editor'!$B:$B,'Move Editor'!$C:$C,""),cat,XLOOKUP($D606,'Move Editor'!$B:$B,'Move Editor'!$D:$D,""),pow,XLOOKUP($D606,'Move Editor'!$B:$B,'Move Editor'!$E:$E,0),acc,XLOOKUP($D606,'Move Editor'!$B:$B,'Move Editor'!$F:$F,100),atk,IF(cat="Physical",FLOOR((FLOOR(((2*XLOOKUP(XLOOKUP($Q606,'Threshold Summary'!$Y:$Y,'Threshold Summary'!$K:$K,""),'Pokemon Editor'!$A:$A,'Pokemon Editor'!$F:$F,0)+31+FLOOR(XLOOKUP($Q606,'Threshold Summary'!$Y:$Y,'Threshold Summary'!$P:$P,"")/4))*XLOOKUP($Q606,'Threshold Summary'!$Y:$Y,'Threshold Summary'!$L:$L,""))/100)+5)*XLOOKUP(XLOOKUP($Q606,'Threshold Summary'!$Y:$Y,'Threshold Summary'!$M:$M,""),'Nature Editor'!$A:$A,'Nature Editor'!$B:$B,1)),FLOOR((FLOOR(((2*XLOOKUP(XLOOKUP($Q606,'Threshold Summary'!$Y:$Y,'Threshold Summary'!$K:$K,""),'Pokemon Editor'!$A:$A,'Pokemon Editor'!$H:$H,0)+31+FLOOR(XLOOKUP($Q606,'Threshold Summary'!$Y:$Y,'Threshold Summary'!$R:$R,"")/4))*XLOOKUP($Q606,'Threshold Summary'!$Y:$Y,'Threshold Summary'!$L:$L,""))/100)+5)*XLOOKUP(XLOOKUP($Q606,'Threshold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Editor'!$E:$E,1))),stab,IF(OR(mtype=XLOOKUP(XLOOKUP($Q606,'Threshold Summary'!$Y:$Y,'Threshold Summary'!$K:$K,""),'Pokemon Editor'!$A:$A,'Pokemon Editor'!$C:$C,""),mtype=XLOOKUP(XLOOKUP($Q606,'Threshold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Chart'!$B$1:$S$1,0)))),base,IF(OR(cat="Status",pow=0),0,FLOOR(FLOOR(FLOOR((2*XLOOKUP($Q606,'Threshold Summary'!$Y:$Y,'Threshold Summary'!$L:$L,"")/5+2)*pow*atk/def)/50)+2)),modifier,stab*eff,FLOOR(base*modifier*0.85)),0)</f>
        <v/>
      </c>
      <c r="K606" s="3">
        <f>IFERROR(LET(mtype,XLOOKUP($D606,'Move Editor'!$B:$B,'Move Editor'!$C:$C,""),cat,XLOOKUP($D606,'Move Editor'!$B:$B,'Move Editor'!$D:$D,""),pow,XLOOKUP($D606,'Move Editor'!$B:$B,'Move Editor'!$E:$E,0),acc,XLOOKUP($D606,'Move Editor'!$B:$B,'Move Editor'!$F:$F,100),atk,IF(cat="Physical",FLOOR((FLOOR(((2*XLOOKUP(XLOOKUP($Q606,'Threshold Summary'!$Y:$Y,'Threshold Summary'!$K:$K,""),'Pokemon Editor'!$A:$A,'Pokemon Editor'!$F:$F,0)+31+FLOOR(XLOOKUP($Q606,'Threshold Summary'!$Y:$Y,'Threshold Summary'!$P:$P,"")/4))*XLOOKUP($Q606,'Threshold Summary'!$Y:$Y,'Threshold Summary'!$L:$L,""))/100)+5)*XLOOKUP(XLOOKUP($Q606,'Threshold Summary'!$Y:$Y,'Threshold Summary'!$M:$M,""),'Nature Editor'!$A:$A,'Nature Editor'!$B:$B,1)),FLOOR((FLOOR(((2*XLOOKUP(XLOOKUP($Q606,'Threshold Summary'!$Y:$Y,'Threshold Summary'!$K:$K,""),'Pokemon Editor'!$A:$A,'Pokemon Editor'!$H:$H,0)+31+FLOOR(XLOOKUP($Q606,'Threshold Summary'!$Y:$Y,'Threshold Summary'!$R:$R,"")/4))*XLOOKUP($Q606,'Threshold Summary'!$Y:$Y,'Threshold Summary'!$L:$L,""))/100)+5)*XLOOKUP(XLOOKUP($Q606,'Threshold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Editor'!$E:$E,1))),stab,IF(OR(mtype=XLOOKUP(XLOOKUP($Q606,'Threshold Summary'!$Y:$Y,'Threshold Summary'!$K:$K,""),'Pokemon Editor'!$A:$A,'Pokemon Editor'!$C:$C,""),mtype=XLOOKUP(XLOOKUP($Q606,'Threshold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Chart'!$B$1:$S$1,0)))),base,IF(OR(cat="Status",pow=0),0,FLOOR(FLOOR(FLOOR((2*XLOOKUP($Q606,'Threshold Summary'!$Y:$Y,'Threshold Summary'!$L:$L,"")/5+2)*pow*atk/def)/50)+2)),modifier,stab*eff,FLOOR(base*modifier)),0)</f>
        <v/>
      </c>
      <c r="L606" s="3">
        <f>IFERROR(LET(mtype,XLOOKUP($D606,'Move Editor'!$B:$B,'Move Editor'!$C:$C,""),cat,XLOOKUP($D606,'Move Editor'!$B:$B,'Move Editor'!$D:$D,""),pow,XLOOKUP($D606,'Move Editor'!$B:$B,'Move Editor'!$E:$E,0),acc,XLOOKUP($D606,'Move Editor'!$B:$B,'Move Editor'!$F:$F,100),atk,IF(cat="Physical",FLOOR((FLOOR(((2*XLOOKUP(XLOOKUP($Q606,'Threshold Summary'!$Y:$Y,'Threshold Summary'!$K:$K,""),'Pokemon Editor'!$A:$A,'Pokemon Editor'!$F:$F,0)+31+FLOOR(XLOOKUP($Q606,'Threshold Summary'!$Y:$Y,'Threshold Summary'!$P:$P,"")/4))*XLOOKUP($Q606,'Threshold Summary'!$Y:$Y,'Threshold Summary'!$L:$L,""))/100)+5)*XLOOKUP(XLOOKUP($Q606,'Threshold Summary'!$Y:$Y,'Threshold Summary'!$M:$M,""),'Nature Editor'!$A:$A,'Nature Editor'!$B:$B,1)),FLOOR((FLOOR(((2*XLOOKUP(XLOOKUP($Q606,'Threshold Summary'!$Y:$Y,'Threshold Summary'!$K:$K,""),'Pokemon Editor'!$A:$A,'Pokemon Editor'!$H:$H,0)+31+FLOOR(XLOOKUP($Q606,'Threshold Summary'!$Y:$Y,'Threshold Summary'!$R:$R,"")/4))*XLOOKUP($Q606,'Threshold Summary'!$Y:$Y,'Threshold Summary'!$L:$L,""))/100)+5)*XLOOKUP(XLOOKUP($Q606,'Threshold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Editor'!$E:$E,1))),stab,IF(OR(mtype=XLOOKUP(XLOOKUP($Q606,'Threshold Summary'!$Y:$Y,'Threshold Summary'!$K:$K,""),'Pokemon Editor'!$A:$A,'Pokemon Editor'!$C:$C,""),mtype=XLOOKUP(XLOOKUP($Q606,'Threshold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Chart'!$B$1:$S$1,0)))),base,IF(OR(cat="Status",pow=0),0,FLOOR(FLOOR(FLOOR((2*XLOOKUP($Q606,'Threshold Summary'!$Y:$Y,'Threshold Summary'!$L:$L,"")/5+2)*pow*atk/def)/50)+2)),modifier,stab*eff,AVERAGE(ARRAYFORMULA(FLOOR(base*modifier*SEQUENCE(16,1,85,1)/100)))),0)</f>
        <v/>
      </c>
      <c r="M606" s="3">
        <f>IFERROR(LET(mtype,XLOOKUP($D606,'Move Editor'!$B:$B,'Move Editor'!$C:$C,""),cat,XLOOKUP($D606,'Move Editor'!$B:$B,'Move Editor'!$D:$D,""),pow,XLOOKUP($D606,'Move Editor'!$B:$B,'Move Editor'!$E:$E,0),acc,XLOOKUP($D606,'Move Editor'!$B:$B,'Move Editor'!$F:$F,100),atk,IF(cat="Physical",FLOOR((FLOOR(((2*XLOOKUP(XLOOKUP($Q606,'Threshold Summary'!$Y:$Y,'Threshold Summary'!$K:$K,""),'Pokemon Editor'!$A:$A,'Pokemon Editor'!$F:$F,0)+31+FLOOR(XLOOKUP($Q606,'Threshold Summary'!$Y:$Y,'Threshold Summary'!$P:$P,"")/4))*XLOOKUP($Q606,'Threshold Summary'!$Y:$Y,'Threshold Summary'!$L:$L,""))/100)+5)*XLOOKUP(XLOOKUP($Q606,'Threshold Summary'!$Y:$Y,'Threshold Summary'!$M:$M,""),'Nature Editor'!$A:$A,'Nature Editor'!$B:$B,1)),FLOOR((FLOOR(((2*XLOOKUP(XLOOKUP($Q606,'Threshold Summary'!$Y:$Y,'Threshold Summary'!$K:$K,""),'Pokemon Editor'!$A:$A,'Pokemon Editor'!$H:$H,0)+31+FLOOR(XLOOKUP($Q606,'Threshold Summary'!$Y:$Y,'Threshold Summary'!$R:$R,"")/4))*XLOOKUP($Q606,'Threshold Summary'!$Y:$Y,'Threshold Summary'!$L:$L,""))/100)+5)*XLOOKUP(XLOOKUP($Q606,'Threshold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Editor'!$E:$E,1))),stab,IF(OR(mtype=XLOOKUP(XLOOKUP($Q606,'Threshold Summary'!$Y:$Y,'Threshold Summary'!$K:$K,""),'Pokemon Editor'!$A:$A,'Pokemon Editor'!$C:$C,""),mtype=XLOOKUP(XLOOKUP($Q606,'Threshold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Chart'!$B$1:$S$1,0)))),base,IF(OR(cat="Status",pow=0),0,FLOOR(FLOOR(FLOOR((2*XLOOKUP($Q606,'Threshold Summary'!$Y:$Y,'Threshold Summary'!$L:$L,"")/5+2)*pow*atk/def)/50)+2)),modifier,stab*eff,AVERAGE(ARRAYFORMULA(FLOOR(base*modifier*SEQUENCE(16,1,85,1)/100)))*MIN(1,acc/100)),0)</f>
        <v/>
      </c>
      <c r="N606" s="4">
        <f>IFERROR(LET(mtype,XLOOKUP($D606,'Move Editor'!$B:$B,'Move Editor'!$C:$C,""),cat,XLOOKUP($D606,'Move Editor'!$B:$B,'Move Editor'!$D:$D,""),pow,XLOOKUP($D606,'Move Editor'!$B:$B,'Move Editor'!$E:$E,0),acc,XLOOKUP($D606,'Move Editor'!$B:$B,'Move Editor'!$F:$F,100),atk,IF(cat="Physical",FLOOR((FLOOR(((2*XLOOKUP(XLOOKUP($Q606,'Threshold Summary'!$Y:$Y,'Threshold Summary'!$K:$K,""),'Pokemon Editor'!$A:$A,'Pokemon Editor'!$F:$F,0)+31+FLOOR(XLOOKUP($Q606,'Threshold Summary'!$Y:$Y,'Threshold Summary'!$P:$P,"")/4))*XLOOKUP($Q606,'Threshold Summary'!$Y:$Y,'Threshold Summary'!$L:$L,""))/100)+5)*XLOOKUP(XLOOKUP($Q606,'Threshold Summary'!$Y:$Y,'Threshold Summary'!$M:$M,""),'Nature Editor'!$A:$A,'Nature Editor'!$B:$B,1)),FLOOR((FLOOR(((2*XLOOKUP(XLOOKUP($Q606,'Threshold Summary'!$Y:$Y,'Threshold Summary'!$K:$K,""),'Pokemon Editor'!$A:$A,'Pokemon Editor'!$H:$H,0)+31+FLOOR(XLOOKUP($Q606,'Threshold Summary'!$Y:$Y,'Threshold Summary'!$R:$R,"")/4))*XLOOKUP($Q606,'Threshold Summary'!$Y:$Y,'Threshold Summary'!$L:$L,""))/100)+5)*XLOOKUP(XLOOKUP($Q606,'Threshold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Editor'!$E:$E,1))),stab,IF(OR(mtype=XLOOKUP(XLOOKUP($Q606,'Threshold Summary'!$Y:$Y,'Threshold Summary'!$K:$K,""),'Pokemon Editor'!$A:$A,'Pokemon Editor'!$C:$C,""),mtype=XLOOKUP(XLOOKUP($Q606,'Threshold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Chart'!$B$1:$S$1,0)))),base,IF(OR(cat="Status",pow=0),0,FLOOR(FLOOR(FLOOR((2*XLOOKUP($Q606,'Threshold Summary'!$Y:$Y,'Threshold Summary'!$L:$L,"")/5+2)*pow*atk/def)/50)+2)),modifier,stab*eff,AVERAGE(ARRAYFORMULA(FLOOR(base*modifier*SEQUENCE(16,1,85,1)/100)))/(FLOOR(((2*XLOOKUP('Boss Editor'!$C$4,'Pokemon Editor'!$A:$A,'Pokemon Editor'!$E:$E,0)+31+FLOOR('Boss Editor'!$G$4/4))*'Boss Editor'!$D$4)/100)+'Boss Editor'!$D$4+10)),0)</f>
        <v/>
      </c>
      <c r="O606" s="3">
        <f>IF(N606&gt;=1,"OHKO",IF(N606&gt;=0.5,"2HKO",IF(N606&gt;=0.333,"3HKO",IF(N606&gt;=0.25,"4HKO","5HKO+"))))</f>
        <v/>
      </c>
      <c r="P606" s="3" t="inlineStr">
        <is>
          <t>Live from editable databases</t>
        </is>
      </c>
      <c r="Q606" s="3" t="inlineStr">
        <is>
          <t>SPECIES_FLETCHLING</t>
        </is>
      </c>
      <c r="R606" s="3" t="n">
        <v>29</v>
      </c>
    </row>
    <row r="607">
      <c r="A607" s="3">
        <f>XLOOKUP($Q607,'Threshold Summary'!$Y:$Y,'Threshold Summary'!$A:$A,"")</f>
        <v/>
      </c>
      <c r="B607" s="3">
        <f>XLOOKUP($Q607,'Threshold Summary'!$Y:$Y,'Threshold Summary'!$M:$M,"")</f>
        <v/>
      </c>
      <c r="C607" s="3">
        <f>XLOOKUP($Q607,'Threshold Summary'!$Y:$Y,'Threshold Summary'!$N:$N,"")</f>
        <v/>
      </c>
      <c r="D607" s="3">
        <f>IFERROR(INDEX(FILTER('Learnset Editor'!$D$2:$D,'Learnset Editor'!$A$2:$A=XLOOKUP($Q607,'Threshold Summary'!$Y:$Y,'Threshold Summary'!$K:$K,""),'Learnset Editor'!$C$2:$C&lt;=XLOOKUP($Q607,'Threshold Summary'!$Y:$Y,'Threshold Summary'!$L:$L,"")),$R607),"")</f>
        <v/>
      </c>
      <c r="E607" s="3">
        <f>XLOOKUP(D607,'Move Editor'!$B:$B,'Move Editor'!$C:$C,"")</f>
        <v/>
      </c>
      <c r="F607" s="3">
        <f>XLOOKUP(D607,'Move Editor'!$B:$B,'Move Editor'!$D:$D,"")</f>
        <v/>
      </c>
      <c r="G607" s="3">
        <f>XLOOKUP(D607,'Move Editor'!$B:$B,'Move Editor'!$E:$E,0)</f>
        <v/>
      </c>
      <c r="H607" s="3">
        <f>XLOOKUP(D607,'Move Editor'!$B:$B,'Move Editor'!$F:$F,0)</f>
        <v/>
      </c>
      <c r="I607" s="3">
        <f>(INDEX('Type Chart'!$B:$S,MATCH(E607,'Type Chart'!$A:$A,0),MATCH(XLOOKUP('Boss Editor'!$C$4,'Pokemon Editor'!$A:$A,'Pokemon Editor'!$C:$C,""),'Type Chart'!$B$1:$S$1,0))*IF(XLOOKUP('Boss Editor'!$C$4,'Pokemon Editor'!$A:$A,'Pokemon Editor'!$D:$D,"")="",1,INDEX('Type Chart'!$B:$S,MATCH(E607,'Type Chart'!$A:$A,0),MATCH(XLOOKUP('Boss Editor'!$C$4,'Pokemon Editor'!$A:$A,'Pokemon Editor'!$D:$D,""),'Type Chart'!$B$1:$S$1,0))))</f>
        <v/>
      </c>
      <c r="J607" s="3">
        <f>IFERROR(LET(mtype,XLOOKUP($D607,'Move Editor'!$B:$B,'Move Editor'!$C:$C,""),cat,XLOOKUP($D607,'Move Editor'!$B:$B,'Move Editor'!$D:$D,""),pow,XLOOKUP($D607,'Move Editor'!$B:$B,'Move Editor'!$E:$E,0),acc,XLOOKUP($D607,'Move Editor'!$B:$B,'Move Editor'!$F:$F,100),atk,IF(cat="Physical",FLOOR((FLOOR(((2*XLOOKUP(XLOOKUP($Q607,'Threshold Summary'!$Y:$Y,'Threshold Summary'!$K:$K,""),'Pokemon Editor'!$A:$A,'Pokemon Editor'!$F:$F,0)+31+FLOOR(XLOOKUP($Q607,'Threshold Summary'!$Y:$Y,'Threshold Summary'!$P:$P,"")/4))*XLOOKUP($Q607,'Threshold Summary'!$Y:$Y,'Threshold Summary'!$L:$L,""))/100)+5)*XLOOKUP(XLOOKUP($Q607,'Threshold Summary'!$Y:$Y,'Threshold Summary'!$M:$M,""),'Nature Editor'!$A:$A,'Nature Editor'!$B:$B,1)),FLOOR((FLOOR(((2*XLOOKUP(XLOOKUP($Q607,'Threshold Summary'!$Y:$Y,'Threshold Summary'!$K:$K,""),'Pokemon Editor'!$A:$A,'Pokemon Editor'!$H:$H,0)+31+FLOOR(XLOOKUP($Q607,'Threshold Summary'!$Y:$Y,'Threshold Summary'!$R:$R,"")/4))*XLOOKUP($Q607,'Threshold Summary'!$Y:$Y,'Threshold Summary'!$L:$L,""))/100)+5)*XLOOKUP(XLOOKUP($Q607,'Threshold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Editor'!$E:$E,1))),stab,IF(OR(mtype=XLOOKUP(XLOOKUP($Q607,'Threshold Summary'!$Y:$Y,'Threshold Summary'!$K:$K,""),'Pokemon Editor'!$A:$A,'Pokemon Editor'!$C:$C,""),mtype=XLOOKUP(XLOOKUP($Q607,'Threshold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Chart'!$B$1:$S$1,0)))),base,IF(OR(cat="Status",pow=0),0,FLOOR(FLOOR(FLOOR((2*XLOOKUP($Q607,'Threshold Summary'!$Y:$Y,'Threshold Summary'!$L:$L,"")/5+2)*pow*atk/def)/50)+2)),modifier,stab*eff,FLOOR(base*modifier*0.85)),0)</f>
        <v/>
      </c>
      <c r="K607" s="3">
        <f>IFERROR(LET(mtype,XLOOKUP($D607,'Move Editor'!$B:$B,'Move Editor'!$C:$C,""),cat,XLOOKUP($D607,'Move Editor'!$B:$B,'Move Editor'!$D:$D,""),pow,XLOOKUP($D607,'Move Editor'!$B:$B,'Move Editor'!$E:$E,0),acc,XLOOKUP($D607,'Move Editor'!$B:$B,'Move Editor'!$F:$F,100),atk,IF(cat="Physical",FLOOR((FLOOR(((2*XLOOKUP(XLOOKUP($Q607,'Threshold Summary'!$Y:$Y,'Threshold Summary'!$K:$K,""),'Pokemon Editor'!$A:$A,'Pokemon Editor'!$F:$F,0)+31+FLOOR(XLOOKUP($Q607,'Threshold Summary'!$Y:$Y,'Threshold Summary'!$P:$P,"")/4))*XLOOKUP($Q607,'Threshold Summary'!$Y:$Y,'Threshold Summary'!$L:$L,""))/100)+5)*XLOOKUP(XLOOKUP($Q607,'Threshold Summary'!$Y:$Y,'Threshold Summary'!$M:$M,""),'Nature Editor'!$A:$A,'Nature Editor'!$B:$B,1)),FLOOR((FLOOR(((2*XLOOKUP(XLOOKUP($Q607,'Threshold Summary'!$Y:$Y,'Threshold Summary'!$K:$K,""),'Pokemon Editor'!$A:$A,'Pokemon Editor'!$H:$H,0)+31+FLOOR(XLOOKUP($Q607,'Threshold Summary'!$Y:$Y,'Threshold Summary'!$R:$R,"")/4))*XLOOKUP($Q607,'Threshold Summary'!$Y:$Y,'Threshold Summary'!$L:$L,""))/100)+5)*XLOOKUP(XLOOKUP($Q607,'Threshold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Editor'!$E:$E,1))),stab,IF(OR(mtype=XLOOKUP(XLOOKUP($Q607,'Threshold Summary'!$Y:$Y,'Threshold Summary'!$K:$K,""),'Pokemon Editor'!$A:$A,'Pokemon Editor'!$C:$C,""),mtype=XLOOKUP(XLOOKUP($Q607,'Threshold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Chart'!$B$1:$S$1,0)))),base,IF(OR(cat="Status",pow=0),0,FLOOR(FLOOR(FLOOR((2*XLOOKUP($Q607,'Threshold Summary'!$Y:$Y,'Threshold Summary'!$L:$L,"")/5+2)*pow*atk/def)/50)+2)),modifier,stab*eff,FLOOR(base*modifier)),0)</f>
        <v/>
      </c>
      <c r="L607" s="3">
        <f>IFERROR(LET(mtype,XLOOKUP($D607,'Move Editor'!$B:$B,'Move Editor'!$C:$C,""),cat,XLOOKUP($D607,'Move Editor'!$B:$B,'Move Editor'!$D:$D,""),pow,XLOOKUP($D607,'Move Editor'!$B:$B,'Move Editor'!$E:$E,0),acc,XLOOKUP($D607,'Move Editor'!$B:$B,'Move Editor'!$F:$F,100),atk,IF(cat="Physical",FLOOR((FLOOR(((2*XLOOKUP(XLOOKUP($Q607,'Threshold Summary'!$Y:$Y,'Threshold Summary'!$K:$K,""),'Pokemon Editor'!$A:$A,'Pokemon Editor'!$F:$F,0)+31+FLOOR(XLOOKUP($Q607,'Threshold Summary'!$Y:$Y,'Threshold Summary'!$P:$P,"")/4))*XLOOKUP($Q607,'Threshold Summary'!$Y:$Y,'Threshold Summary'!$L:$L,""))/100)+5)*XLOOKUP(XLOOKUP($Q607,'Threshold Summary'!$Y:$Y,'Threshold Summary'!$M:$M,""),'Nature Editor'!$A:$A,'Nature Editor'!$B:$B,1)),FLOOR((FLOOR(((2*XLOOKUP(XLOOKUP($Q607,'Threshold Summary'!$Y:$Y,'Threshold Summary'!$K:$K,""),'Pokemon Editor'!$A:$A,'Pokemon Editor'!$H:$H,0)+31+FLOOR(XLOOKUP($Q607,'Threshold Summary'!$Y:$Y,'Threshold Summary'!$R:$R,"")/4))*XLOOKUP($Q607,'Threshold Summary'!$Y:$Y,'Threshold Summary'!$L:$L,""))/100)+5)*XLOOKUP(XLOOKUP($Q607,'Threshold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Editor'!$E:$E,1))),stab,IF(OR(mtype=XLOOKUP(XLOOKUP($Q607,'Threshold Summary'!$Y:$Y,'Threshold Summary'!$K:$K,""),'Pokemon Editor'!$A:$A,'Pokemon Editor'!$C:$C,""),mtype=XLOOKUP(XLOOKUP($Q607,'Threshold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Chart'!$B$1:$S$1,0)))),base,IF(OR(cat="Status",pow=0),0,FLOOR(FLOOR(FLOOR((2*XLOOKUP($Q607,'Threshold Summary'!$Y:$Y,'Threshold Summary'!$L:$L,"")/5+2)*pow*atk/def)/50)+2)),modifier,stab*eff,AVERAGE(ARRAYFORMULA(FLOOR(base*modifier*SEQUENCE(16,1,85,1)/100)))),0)</f>
        <v/>
      </c>
      <c r="M607" s="3">
        <f>IFERROR(LET(mtype,XLOOKUP($D607,'Move Editor'!$B:$B,'Move Editor'!$C:$C,""),cat,XLOOKUP($D607,'Move Editor'!$B:$B,'Move Editor'!$D:$D,""),pow,XLOOKUP($D607,'Move Editor'!$B:$B,'Move Editor'!$E:$E,0),acc,XLOOKUP($D607,'Move Editor'!$B:$B,'Move Editor'!$F:$F,100),atk,IF(cat="Physical",FLOOR((FLOOR(((2*XLOOKUP(XLOOKUP($Q607,'Threshold Summary'!$Y:$Y,'Threshold Summary'!$K:$K,""),'Pokemon Editor'!$A:$A,'Pokemon Editor'!$F:$F,0)+31+FLOOR(XLOOKUP($Q607,'Threshold Summary'!$Y:$Y,'Threshold Summary'!$P:$P,"")/4))*XLOOKUP($Q607,'Threshold Summary'!$Y:$Y,'Threshold Summary'!$L:$L,""))/100)+5)*XLOOKUP(XLOOKUP($Q607,'Threshold Summary'!$Y:$Y,'Threshold Summary'!$M:$M,""),'Nature Editor'!$A:$A,'Nature Editor'!$B:$B,1)),FLOOR((FLOOR(((2*XLOOKUP(XLOOKUP($Q607,'Threshold Summary'!$Y:$Y,'Threshold Summary'!$K:$K,""),'Pokemon Editor'!$A:$A,'Pokemon Editor'!$H:$H,0)+31+FLOOR(XLOOKUP($Q607,'Threshold Summary'!$Y:$Y,'Threshold Summary'!$R:$R,"")/4))*XLOOKUP($Q607,'Threshold Summary'!$Y:$Y,'Threshold Summary'!$L:$L,""))/100)+5)*XLOOKUP(XLOOKUP($Q607,'Threshold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Editor'!$E:$E,1))),stab,IF(OR(mtype=XLOOKUP(XLOOKUP($Q607,'Threshold Summary'!$Y:$Y,'Threshold Summary'!$K:$K,""),'Pokemon Editor'!$A:$A,'Pokemon Editor'!$C:$C,""),mtype=XLOOKUP(XLOOKUP($Q607,'Threshold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Chart'!$B$1:$S$1,0)))),base,IF(OR(cat="Status",pow=0),0,FLOOR(FLOOR(FLOOR((2*XLOOKUP($Q607,'Threshold Summary'!$Y:$Y,'Threshold Summary'!$L:$L,"")/5+2)*pow*atk/def)/50)+2)),modifier,stab*eff,AVERAGE(ARRAYFORMULA(FLOOR(base*modifier*SEQUENCE(16,1,85,1)/100)))*MIN(1,acc/100)),0)</f>
        <v/>
      </c>
      <c r="N607" s="4">
        <f>IFERROR(LET(mtype,XLOOKUP($D607,'Move Editor'!$B:$B,'Move Editor'!$C:$C,""),cat,XLOOKUP($D607,'Move Editor'!$B:$B,'Move Editor'!$D:$D,""),pow,XLOOKUP($D607,'Move Editor'!$B:$B,'Move Editor'!$E:$E,0),acc,XLOOKUP($D607,'Move Editor'!$B:$B,'Move Editor'!$F:$F,100),atk,IF(cat="Physical",FLOOR((FLOOR(((2*XLOOKUP(XLOOKUP($Q607,'Threshold Summary'!$Y:$Y,'Threshold Summary'!$K:$K,""),'Pokemon Editor'!$A:$A,'Pokemon Editor'!$F:$F,0)+31+FLOOR(XLOOKUP($Q607,'Threshold Summary'!$Y:$Y,'Threshold Summary'!$P:$P,"")/4))*XLOOKUP($Q607,'Threshold Summary'!$Y:$Y,'Threshold Summary'!$L:$L,""))/100)+5)*XLOOKUP(XLOOKUP($Q607,'Threshold Summary'!$Y:$Y,'Threshold Summary'!$M:$M,""),'Nature Editor'!$A:$A,'Nature Editor'!$B:$B,1)),FLOOR((FLOOR(((2*XLOOKUP(XLOOKUP($Q607,'Threshold Summary'!$Y:$Y,'Threshold Summary'!$K:$K,""),'Pokemon Editor'!$A:$A,'Pokemon Editor'!$H:$H,0)+31+FLOOR(XLOOKUP($Q607,'Threshold Summary'!$Y:$Y,'Threshold Summary'!$R:$R,"")/4))*XLOOKUP($Q607,'Threshold Summary'!$Y:$Y,'Threshold Summary'!$L:$L,""))/100)+5)*XLOOKUP(XLOOKUP($Q607,'Threshold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Editor'!$E:$E,1))),stab,IF(OR(mtype=XLOOKUP(XLOOKUP($Q607,'Threshold Summary'!$Y:$Y,'Threshold Summary'!$K:$K,""),'Pokemon Editor'!$A:$A,'Pokemon Editor'!$C:$C,""),mtype=XLOOKUP(XLOOKUP($Q607,'Threshold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Chart'!$B$1:$S$1,0)))),base,IF(OR(cat="Status",pow=0),0,FLOOR(FLOOR(FLOOR((2*XLOOKUP($Q607,'Threshold Summary'!$Y:$Y,'Threshold Summary'!$L:$L,"")/5+2)*pow*atk/def)/50)+2)),modifier,stab*eff,AVERAGE(ARRAYFORMULA(FLOOR(base*modifier*SEQUENCE(16,1,85,1)/100)))/(FLOOR(((2*XLOOKUP('Boss Editor'!$C$4,'Pokemon Editor'!$A:$A,'Pokemon Editor'!$E:$E,0)+31+FLOOR('Boss Editor'!$G$4/4))*'Boss Editor'!$D$4)/100)+'Boss Editor'!$D$4+10)),0)</f>
        <v/>
      </c>
      <c r="O607" s="3">
        <f>IF(N607&gt;=1,"OHKO",IF(N607&gt;=0.5,"2HKO",IF(N607&gt;=0.333,"3HKO",IF(N607&gt;=0.25,"4HKO","5HKO+"))))</f>
        <v/>
      </c>
      <c r="P607" s="3" t="inlineStr">
        <is>
          <t>Live from editable databases</t>
        </is>
      </c>
      <c r="Q607" s="3" t="inlineStr">
        <is>
          <t>SPECIES_FLETCHLING</t>
        </is>
      </c>
      <c r="R607" s="3" t="n">
        <v>30</v>
      </c>
    </row>
    <row r="608">
      <c r="A608" s="3">
        <f>XLOOKUP($Q608,'Threshold Summary'!$Y:$Y,'Threshold Summary'!$A:$A,"")</f>
        <v/>
      </c>
      <c r="B608" s="3">
        <f>XLOOKUP($Q608,'Threshold Summary'!$Y:$Y,'Threshold Summary'!$M:$M,"")</f>
        <v/>
      </c>
      <c r="C608" s="3">
        <f>XLOOKUP($Q608,'Threshold Summary'!$Y:$Y,'Threshold Summary'!$N:$N,"")</f>
        <v/>
      </c>
      <c r="D608" s="3">
        <f>IFERROR(INDEX(FILTER('Learnset Editor'!$D$2:$D,'Learnset Editor'!$A$2:$A=XLOOKUP($Q608,'Threshold Summary'!$Y:$Y,'Threshold Summary'!$K:$K,""),'Learnset Editor'!$C$2:$C&lt;=XLOOKUP($Q608,'Threshold Summary'!$Y:$Y,'Threshold Summary'!$L:$L,"")),$R608),"")</f>
        <v/>
      </c>
      <c r="E608" s="3">
        <f>XLOOKUP(D608,'Move Editor'!$B:$B,'Move Editor'!$C:$C,"")</f>
        <v/>
      </c>
      <c r="F608" s="3">
        <f>XLOOKUP(D608,'Move Editor'!$B:$B,'Move Editor'!$D:$D,"")</f>
        <v/>
      </c>
      <c r="G608" s="3">
        <f>XLOOKUP(D608,'Move Editor'!$B:$B,'Move Editor'!$E:$E,0)</f>
        <v/>
      </c>
      <c r="H608" s="3">
        <f>XLOOKUP(D608,'Move Editor'!$B:$B,'Move Editor'!$F:$F,0)</f>
        <v/>
      </c>
      <c r="I608" s="3">
        <f>(INDEX('Type Chart'!$B:$S,MATCH(E608,'Type Chart'!$A:$A,0),MATCH(XLOOKUP('Boss Editor'!$C$4,'Pokemon Editor'!$A:$A,'Pokemon Editor'!$C:$C,""),'Type Chart'!$B$1:$S$1,0))*IF(XLOOKUP('Boss Editor'!$C$4,'Pokemon Editor'!$A:$A,'Pokemon Editor'!$D:$D,"")="",1,INDEX('Type Chart'!$B:$S,MATCH(E608,'Type Chart'!$A:$A,0),MATCH(XLOOKUP('Boss Editor'!$C$4,'Pokemon Editor'!$A:$A,'Pokemon Editor'!$D:$D,""),'Type Chart'!$B$1:$S$1,0))))</f>
        <v/>
      </c>
      <c r="J608" s="3">
        <f>IFERROR(LET(mtype,XLOOKUP($D608,'Move Editor'!$B:$B,'Move Editor'!$C:$C,""),cat,XLOOKUP($D608,'Move Editor'!$B:$B,'Move Editor'!$D:$D,""),pow,XLOOKUP($D608,'Move Editor'!$B:$B,'Move Editor'!$E:$E,0),acc,XLOOKUP($D608,'Move Editor'!$B:$B,'Move Editor'!$F:$F,100),atk,IF(cat="Physical",FLOOR((FLOOR(((2*XLOOKUP(XLOOKUP($Q608,'Threshold Summary'!$Y:$Y,'Threshold Summary'!$K:$K,""),'Pokemon Editor'!$A:$A,'Pokemon Editor'!$F:$F,0)+31+FLOOR(XLOOKUP($Q608,'Threshold Summary'!$Y:$Y,'Threshold Summary'!$P:$P,"")/4))*XLOOKUP($Q608,'Threshold Summary'!$Y:$Y,'Threshold Summary'!$L:$L,""))/100)+5)*XLOOKUP(XLOOKUP($Q608,'Threshold Summary'!$Y:$Y,'Threshold Summary'!$M:$M,""),'Nature Editor'!$A:$A,'Nature Editor'!$B:$B,1)),FLOOR((FLOOR(((2*XLOOKUP(XLOOKUP($Q608,'Threshold Summary'!$Y:$Y,'Threshold Summary'!$K:$K,""),'Pokemon Editor'!$A:$A,'Pokemon Editor'!$H:$H,0)+31+FLOOR(XLOOKUP($Q608,'Threshold Summary'!$Y:$Y,'Threshold Summary'!$R:$R,"")/4))*XLOOKUP($Q608,'Threshold Summary'!$Y:$Y,'Threshold Summary'!$L:$L,""))/100)+5)*XLOOKUP(XLOOKUP($Q608,'Threshold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Editor'!$E:$E,1))),stab,IF(OR(mtype=XLOOKUP(XLOOKUP($Q608,'Threshold Summary'!$Y:$Y,'Threshold Summary'!$K:$K,""),'Pokemon Editor'!$A:$A,'Pokemon Editor'!$C:$C,""),mtype=XLOOKUP(XLOOKUP($Q608,'Threshold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Chart'!$B$1:$S$1,0)))),base,IF(OR(cat="Status",pow=0),0,FLOOR(FLOOR(FLOOR((2*XLOOKUP($Q608,'Threshold Summary'!$Y:$Y,'Threshold Summary'!$L:$L,"")/5+2)*pow*atk/def)/50)+2)),modifier,stab*eff,FLOOR(base*modifier*0.85)),0)</f>
        <v/>
      </c>
      <c r="K608" s="3">
        <f>IFERROR(LET(mtype,XLOOKUP($D608,'Move Editor'!$B:$B,'Move Editor'!$C:$C,""),cat,XLOOKUP($D608,'Move Editor'!$B:$B,'Move Editor'!$D:$D,""),pow,XLOOKUP($D608,'Move Editor'!$B:$B,'Move Editor'!$E:$E,0),acc,XLOOKUP($D608,'Move Editor'!$B:$B,'Move Editor'!$F:$F,100),atk,IF(cat="Physical",FLOOR((FLOOR(((2*XLOOKUP(XLOOKUP($Q608,'Threshold Summary'!$Y:$Y,'Threshold Summary'!$K:$K,""),'Pokemon Editor'!$A:$A,'Pokemon Editor'!$F:$F,0)+31+FLOOR(XLOOKUP($Q608,'Threshold Summary'!$Y:$Y,'Threshold Summary'!$P:$P,"")/4))*XLOOKUP($Q608,'Threshold Summary'!$Y:$Y,'Threshold Summary'!$L:$L,""))/100)+5)*XLOOKUP(XLOOKUP($Q608,'Threshold Summary'!$Y:$Y,'Threshold Summary'!$M:$M,""),'Nature Editor'!$A:$A,'Nature Editor'!$B:$B,1)),FLOOR((FLOOR(((2*XLOOKUP(XLOOKUP($Q608,'Threshold Summary'!$Y:$Y,'Threshold Summary'!$K:$K,""),'Pokemon Editor'!$A:$A,'Pokemon Editor'!$H:$H,0)+31+FLOOR(XLOOKUP($Q608,'Threshold Summary'!$Y:$Y,'Threshold Summary'!$R:$R,"")/4))*XLOOKUP($Q608,'Threshold Summary'!$Y:$Y,'Threshold Summary'!$L:$L,""))/100)+5)*XLOOKUP(XLOOKUP($Q608,'Threshold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Editor'!$E:$E,1))),stab,IF(OR(mtype=XLOOKUP(XLOOKUP($Q608,'Threshold Summary'!$Y:$Y,'Threshold Summary'!$K:$K,""),'Pokemon Editor'!$A:$A,'Pokemon Editor'!$C:$C,""),mtype=XLOOKUP(XLOOKUP($Q608,'Threshold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Chart'!$B$1:$S$1,0)))),base,IF(OR(cat="Status",pow=0),0,FLOOR(FLOOR(FLOOR((2*XLOOKUP($Q608,'Threshold Summary'!$Y:$Y,'Threshold Summary'!$L:$L,"")/5+2)*pow*atk/def)/50)+2)),modifier,stab*eff,FLOOR(base*modifier)),0)</f>
        <v/>
      </c>
      <c r="L608" s="3">
        <f>IFERROR(LET(mtype,XLOOKUP($D608,'Move Editor'!$B:$B,'Move Editor'!$C:$C,""),cat,XLOOKUP($D608,'Move Editor'!$B:$B,'Move Editor'!$D:$D,""),pow,XLOOKUP($D608,'Move Editor'!$B:$B,'Move Editor'!$E:$E,0),acc,XLOOKUP($D608,'Move Editor'!$B:$B,'Move Editor'!$F:$F,100),atk,IF(cat="Physical",FLOOR((FLOOR(((2*XLOOKUP(XLOOKUP($Q608,'Threshold Summary'!$Y:$Y,'Threshold Summary'!$K:$K,""),'Pokemon Editor'!$A:$A,'Pokemon Editor'!$F:$F,0)+31+FLOOR(XLOOKUP($Q608,'Threshold Summary'!$Y:$Y,'Threshold Summary'!$P:$P,"")/4))*XLOOKUP($Q608,'Threshold Summary'!$Y:$Y,'Threshold Summary'!$L:$L,""))/100)+5)*XLOOKUP(XLOOKUP($Q608,'Threshold Summary'!$Y:$Y,'Threshold Summary'!$M:$M,""),'Nature Editor'!$A:$A,'Nature Editor'!$B:$B,1)),FLOOR((FLOOR(((2*XLOOKUP(XLOOKUP($Q608,'Threshold Summary'!$Y:$Y,'Threshold Summary'!$K:$K,""),'Pokemon Editor'!$A:$A,'Pokemon Editor'!$H:$H,0)+31+FLOOR(XLOOKUP($Q608,'Threshold Summary'!$Y:$Y,'Threshold Summary'!$R:$R,"")/4))*XLOOKUP($Q608,'Threshold Summary'!$Y:$Y,'Threshold Summary'!$L:$L,""))/100)+5)*XLOOKUP(XLOOKUP($Q608,'Threshold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Editor'!$E:$E,1))),stab,IF(OR(mtype=XLOOKUP(XLOOKUP($Q608,'Threshold Summary'!$Y:$Y,'Threshold Summary'!$K:$K,""),'Pokemon Editor'!$A:$A,'Pokemon Editor'!$C:$C,""),mtype=XLOOKUP(XLOOKUP($Q608,'Threshold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Chart'!$B$1:$S$1,0)))),base,IF(OR(cat="Status",pow=0),0,FLOOR(FLOOR(FLOOR((2*XLOOKUP($Q608,'Threshold Summary'!$Y:$Y,'Threshold Summary'!$L:$L,"")/5+2)*pow*atk/def)/50)+2)),modifier,stab*eff,AVERAGE(ARRAYFORMULA(FLOOR(base*modifier*SEQUENCE(16,1,85,1)/100)))),0)</f>
        <v/>
      </c>
      <c r="M608" s="3">
        <f>IFERROR(LET(mtype,XLOOKUP($D608,'Move Editor'!$B:$B,'Move Editor'!$C:$C,""),cat,XLOOKUP($D608,'Move Editor'!$B:$B,'Move Editor'!$D:$D,""),pow,XLOOKUP($D608,'Move Editor'!$B:$B,'Move Editor'!$E:$E,0),acc,XLOOKUP($D608,'Move Editor'!$B:$B,'Move Editor'!$F:$F,100),atk,IF(cat="Physical",FLOOR((FLOOR(((2*XLOOKUP(XLOOKUP($Q608,'Threshold Summary'!$Y:$Y,'Threshold Summary'!$K:$K,""),'Pokemon Editor'!$A:$A,'Pokemon Editor'!$F:$F,0)+31+FLOOR(XLOOKUP($Q608,'Threshold Summary'!$Y:$Y,'Threshold Summary'!$P:$P,"")/4))*XLOOKUP($Q608,'Threshold Summary'!$Y:$Y,'Threshold Summary'!$L:$L,""))/100)+5)*XLOOKUP(XLOOKUP($Q608,'Threshold Summary'!$Y:$Y,'Threshold Summary'!$M:$M,""),'Nature Editor'!$A:$A,'Nature Editor'!$B:$B,1)),FLOOR((FLOOR(((2*XLOOKUP(XLOOKUP($Q608,'Threshold Summary'!$Y:$Y,'Threshold Summary'!$K:$K,""),'Pokemon Editor'!$A:$A,'Pokemon Editor'!$H:$H,0)+31+FLOOR(XLOOKUP($Q608,'Threshold Summary'!$Y:$Y,'Threshold Summary'!$R:$R,"")/4))*XLOOKUP($Q608,'Threshold Summary'!$Y:$Y,'Threshold Summary'!$L:$L,""))/100)+5)*XLOOKUP(XLOOKUP($Q608,'Threshold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Editor'!$E:$E,1))),stab,IF(OR(mtype=XLOOKUP(XLOOKUP($Q608,'Threshold Summary'!$Y:$Y,'Threshold Summary'!$K:$K,""),'Pokemon Editor'!$A:$A,'Pokemon Editor'!$C:$C,""),mtype=XLOOKUP(XLOOKUP($Q608,'Threshold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Chart'!$B$1:$S$1,0)))),base,IF(OR(cat="Status",pow=0),0,FLOOR(FLOOR(FLOOR((2*XLOOKUP($Q608,'Threshold Summary'!$Y:$Y,'Threshold Summary'!$L:$L,"")/5+2)*pow*atk/def)/50)+2)),modifier,stab*eff,AVERAGE(ARRAYFORMULA(FLOOR(base*modifier*SEQUENCE(16,1,85,1)/100)))*MIN(1,acc/100)),0)</f>
        <v/>
      </c>
      <c r="N608" s="4">
        <f>IFERROR(LET(mtype,XLOOKUP($D608,'Move Editor'!$B:$B,'Move Editor'!$C:$C,""),cat,XLOOKUP($D608,'Move Editor'!$B:$B,'Move Editor'!$D:$D,""),pow,XLOOKUP($D608,'Move Editor'!$B:$B,'Move Editor'!$E:$E,0),acc,XLOOKUP($D608,'Move Editor'!$B:$B,'Move Editor'!$F:$F,100),atk,IF(cat="Physical",FLOOR((FLOOR(((2*XLOOKUP(XLOOKUP($Q608,'Threshold Summary'!$Y:$Y,'Threshold Summary'!$K:$K,""),'Pokemon Editor'!$A:$A,'Pokemon Editor'!$F:$F,0)+31+FLOOR(XLOOKUP($Q608,'Threshold Summary'!$Y:$Y,'Threshold Summary'!$P:$P,"")/4))*XLOOKUP($Q608,'Threshold Summary'!$Y:$Y,'Threshold Summary'!$L:$L,""))/100)+5)*XLOOKUP(XLOOKUP($Q608,'Threshold Summary'!$Y:$Y,'Threshold Summary'!$M:$M,""),'Nature Editor'!$A:$A,'Nature Editor'!$B:$B,1)),FLOOR((FLOOR(((2*XLOOKUP(XLOOKUP($Q608,'Threshold Summary'!$Y:$Y,'Threshold Summary'!$K:$K,""),'Pokemon Editor'!$A:$A,'Pokemon Editor'!$H:$H,0)+31+FLOOR(XLOOKUP($Q608,'Threshold Summary'!$Y:$Y,'Threshold Summary'!$R:$R,"")/4))*XLOOKUP($Q608,'Threshold Summary'!$Y:$Y,'Threshold Summary'!$L:$L,""))/100)+5)*XLOOKUP(XLOOKUP($Q608,'Threshold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Editor'!$E:$E,1))),stab,IF(OR(mtype=XLOOKUP(XLOOKUP($Q608,'Threshold Summary'!$Y:$Y,'Threshold Summary'!$K:$K,""),'Pokemon Editor'!$A:$A,'Pokemon Editor'!$C:$C,""),mtype=XLOOKUP(XLOOKUP($Q608,'Threshold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Chart'!$B$1:$S$1,0)))),base,IF(OR(cat="Status",pow=0),0,FLOOR(FLOOR(FLOOR((2*XLOOKUP($Q608,'Threshold Summary'!$Y:$Y,'Threshold Summary'!$L:$L,"")/5+2)*pow*atk/def)/50)+2)),modifier,stab*eff,AVERAGE(ARRAYFORMULA(FLOOR(base*modifier*SEQUENCE(16,1,85,1)/100)))/(FLOOR(((2*XLOOKUP('Boss Editor'!$C$4,'Pokemon Editor'!$A:$A,'Pokemon Editor'!$E:$E,0)+31+FLOOR('Boss Editor'!$G$4/4))*'Boss Editor'!$D$4)/100)+'Boss Editor'!$D$4+10)),0)</f>
        <v/>
      </c>
      <c r="O608" s="3">
        <f>IF(N608&gt;=1,"OHKO",IF(N608&gt;=0.5,"2HKO",IF(N608&gt;=0.333,"3HKO",IF(N608&gt;=0.25,"4HKO","5HKO+"))))</f>
        <v/>
      </c>
      <c r="P608" s="3" t="inlineStr">
        <is>
          <t>Live from editable databases</t>
        </is>
      </c>
      <c r="Q608" s="3" t="inlineStr">
        <is>
          <t>SPECIES_FLETCHLING</t>
        </is>
      </c>
      <c r="R608" s="3" t="n">
        <v>31</v>
      </c>
    </row>
    <row r="609">
      <c r="A609" s="3">
        <f>XLOOKUP($Q609,'Threshold Summary'!$Y:$Y,'Threshold Summary'!$A:$A,"")</f>
        <v/>
      </c>
      <c r="B609" s="3">
        <f>XLOOKUP($Q609,'Threshold Summary'!$Y:$Y,'Threshold Summary'!$M:$M,"")</f>
        <v/>
      </c>
      <c r="C609" s="3">
        <f>XLOOKUP($Q609,'Threshold Summary'!$Y:$Y,'Threshold Summary'!$N:$N,"")</f>
        <v/>
      </c>
      <c r="D609" s="3">
        <f>IFERROR(INDEX(FILTER('Learnset Editor'!$D$2:$D,'Learnset Editor'!$A$2:$A=XLOOKUP($Q609,'Threshold Summary'!$Y:$Y,'Threshold Summary'!$K:$K,""),'Learnset Editor'!$C$2:$C&lt;=XLOOKUP($Q609,'Threshold Summary'!$Y:$Y,'Threshold Summary'!$L:$L,"")),$R609),"")</f>
        <v/>
      </c>
      <c r="E609" s="3">
        <f>XLOOKUP(D609,'Move Editor'!$B:$B,'Move Editor'!$C:$C,"")</f>
        <v/>
      </c>
      <c r="F609" s="3">
        <f>XLOOKUP(D609,'Move Editor'!$B:$B,'Move Editor'!$D:$D,"")</f>
        <v/>
      </c>
      <c r="G609" s="3">
        <f>XLOOKUP(D609,'Move Editor'!$B:$B,'Move Editor'!$E:$E,0)</f>
        <v/>
      </c>
      <c r="H609" s="3">
        <f>XLOOKUP(D609,'Move Editor'!$B:$B,'Move Editor'!$F:$F,0)</f>
        <v/>
      </c>
      <c r="I609" s="3">
        <f>(INDEX('Type Chart'!$B:$S,MATCH(E609,'Type Chart'!$A:$A,0),MATCH(XLOOKUP('Boss Editor'!$C$4,'Pokemon Editor'!$A:$A,'Pokemon Editor'!$C:$C,""),'Type Chart'!$B$1:$S$1,0))*IF(XLOOKUP('Boss Editor'!$C$4,'Pokemon Editor'!$A:$A,'Pokemon Editor'!$D:$D,"")="",1,INDEX('Type Chart'!$B:$S,MATCH(E609,'Type Chart'!$A:$A,0),MATCH(XLOOKUP('Boss Editor'!$C$4,'Pokemon Editor'!$A:$A,'Pokemon Editor'!$D:$D,""),'Type Chart'!$B$1:$S$1,0))))</f>
        <v/>
      </c>
      <c r="J609" s="3">
        <f>IFERROR(LET(mtype,XLOOKUP($D609,'Move Editor'!$B:$B,'Move Editor'!$C:$C,""),cat,XLOOKUP($D609,'Move Editor'!$B:$B,'Move Editor'!$D:$D,""),pow,XLOOKUP($D609,'Move Editor'!$B:$B,'Move Editor'!$E:$E,0),acc,XLOOKUP($D609,'Move Editor'!$B:$B,'Move Editor'!$F:$F,100),atk,IF(cat="Physical",FLOOR((FLOOR(((2*XLOOKUP(XLOOKUP($Q609,'Threshold Summary'!$Y:$Y,'Threshold Summary'!$K:$K,""),'Pokemon Editor'!$A:$A,'Pokemon Editor'!$F:$F,0)+31+FLOOR(XLOOKUP($Q609,'Threshold Summary'!$Y:$Y,'Threshold Summary'!$P:$P,"")/4))*XLOOKUP($Q609,'Threshold Summary'!$Y:$Y,'Threshold Summary'!$L:$L,""))/100)+5)*XLOOKUP(XLOOKUP($Q609,'Threshold Summary'!$Y:$Y,'Threshold Summary'!$M:$M,""),'Nature Editor'!$A:$A,'Nature Editor'!$B:$B,1)),FLOOR((FLOOR(((2*XLOOKUP(XLOOKUP($Q609,'Threshold Summary'!$Y:$Y,'Threshold Summary'!$K:$K,""),'Pokemon Editor'!$A:$A,'Pokemon Editor'!$H:$H,0)+31+FLOOR(XLOOKUP($Q609,'Threshold Summary'!$Y:$Y,'Threshold Summary'!$R:$R,"")/4))*XLOOKUP($Q609,'Threshold Summary'!$Y:$Y,'Threshold Summary'!$L:$L,""))/100)+5)*XLOOKUP(XLOOKUP($Q609,'Threshold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Editor'!$E:$E,1))),stab,IF(OR(mtype=XLOOKUP(XLOOKUP($Q609,'Threshold Summary'!$Y:$Y,'Threshold Summary'!$K:$K,""),'Pokemon Editor'!$A:$A,'Pokemon Editor'!$C:$C,""),mtype=XLOOKUP(XLOOKUP($Q609,'Threshold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Chart'!$B$1:$S$1,0)))),base,IF(OR(cat="Status",pow=0),0,FLOOR(FLOOR(FLOOR((2*XLOOKUP($Q609,'Threshold Summary'!$Y:$Y,'Threshold Summary'!$L:$L,"")/5+2)*pow*atk/def)/50)+2)),modifier,stab*eff,FLOOR(base*modifier*0.85)),0)</f>
        <v/>
      </c>
      <c r="K609" s="3">
        <f>IFERROR(LET(mtype,XLOOKUP($D609,'Move Editor'!$B:$B,'Move Editor'!$C:$C,""),cat,XLOOKUP($D609,'Move Editor'!$B:$B,'Move Editor'!$D:$D,""),pow,XLOOKUP($D609,'Move Editor'!$B:$B,'Move Editor'!$E:$E,0),acc,XLOOKUP($D609,'Move Editor'!$B:$B,'Move Editor'!$F:$F,100),atk,IF(cat="Physical",FLOOR((FLOOR(((2*XLOOKUP(XLOOKUP($Q609,'Threshold Summary'!$Y:$Y,'Threshold Summary'!$K:$K,""),'Pokemon Editor'!$A:$A,'Pokemon Editor'!$F:$F,0)+31+FLOOR(XLOOKUP($Q609,'Threshold Summary'!$Y:$Y,'Threshold Summary'!$P:$P,"")/4))*XLOOKUP($Q609,'Threshold Summary'!$Y:$Y,'Threshold Summary'!$L:$L,""))/100)+5)*XLOOKUP(XLOOKUP($Q609,'Threshold Summary'!$Y:$Y,'Threshold Summary'!$M:$M,""),'Nature Editor'!$A:$A,'Nature Editor'!$B:$B,1)),FLOOR((FLOOR(((2*XLOOKUP(XLOOKUP($Q609,'Threshold Summary'!$Y:$Y,'Threshold Summary'!$K:$K,""),'Pokemon Editor'!$A:$A,'Pokemon Editor'!$H:$H,0)+31+FLOOR(XLOOKUP($Q609,'Threshold Summary'!$Y:$Y,'Threshold Summary'!$R:$R,"")/4))*XLOOKUP($Q609,'Threshold Summary'!$Y:$Y,'Threshold Summary'!$L:$L,""))/100)+5)*XLOOKUP(XLOOKUP($Q609,'Threshold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Editor'!$E:$E,1))),stab,IF(OR(mtype=XLOOKUP(XLOOKUP($Q609,'Threshold Summary'!$Y:$Y,'Threshold Summary'!$K:$K,""),'Pokemon Editor'!$A:$A,'Pokemon Editor'!$C:$C,""),mtype=XLOOKUP(XLOOKUP($Q609,'Threshold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Chart'!$B$1:$S$1,0)))),base,IF(OR(cat="Status",pow=0),0,FLOOR(FLOOR(FLOOR((2*XLOOKUP($Q609,'Threshold Summary'!$Y:$Y,'Threshold Summary'!$L:$L,"")/5+2)*pow*atk/def)/50)+2)),modifier,stab*eff,FLOOR(base*modifier)),0)</f>
        <v/>
      </c>
      <c r="L609" s="3">
        <f>IFERROR(LET(mtype,XLOOKUP($D609,'Move Editor'!$B:$B,'Move Editor'!$C:$C,""),cat,XLOOKUP($D609,'Move Editor'!$B:$B,'Move Editor'!$D:$D,""),pow,XLOOKUP($D609,'Move Editor'!$B:$B,'Move Editor'!$E:$E,0),acc,XLOOKUP($D609,'Move Editor'!$B:$B,'Move Editor'!$F:$F,100),atk,IF(cat="Physical",FLOOR((FLOOR(((2*XLOOKUP(XLOOKUP($Q609,'Threshold Summary'!$Y:$Y,'Threshold Summary'!$K:$K,""),'Pokemon Editor'!$A:$A,'Pokemon Editor'!$F:$F,0)+31+FLOOR(XLOOKUP($Q609,'Threshold Summary'!$Y:$Y,'Threshold Summary'!$P:$P,"")/4))*XLOOKUP($Q609,'Threshold Summary'!$Y:$Y,'Threshold Summary'!$L:$L,""))/100)+5)*XLOOKUP(XLOOKUP($Q609,'Threshold Summary'!$Y:$Y,'Threshold Summary'!$M:$M,""),'Nature Editor'!$A:$A,'Nature Editor'!$B:$B,1)),FLOOR((FLOOR(((2*XLOOKUP(XLOOKUP($Q609,'Threshold Summary'!$Y:$Y,'Threshold Summary'!$K:$K,""),'Pokemon Editor'!$A:$A,'Pokemon Editor'!$H:$H,0)+31+FLOOR(XLOOKUP($Q609,'Threshold Summary'!$Y:$Y,'Threshold Summary'!$R:$R,"")/4))*XLOOKUP($Q609,'Threshold Summary'!$Y:$Y,'Threshold Summary'!$L:$L,""))/100)+5)*XLOOKUP(XLOOKUP($Q609,'Threshold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Editor'!$E:$E,1))),stab,IF(OR(mtype=XLOOKUP(XLOOKUP($Q609,'Threshold Summary'!$Y:$Y,'Threshold Summary'!$K:$K,""),'Pokemon Editor'!$A:$A,'Pokemon Editor'!$C:$C,""),mtype=XLOOKUP(XLOOKUP($Q609,'Threshold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Chart'!$B$1:$S$1,0)))),base,IF(OR(cat="Status",pow=0),0,FLOOR(FLOOR(FLOOR((2*XLOOKUP($Q609,'Threshold Summary'!$Y:$Y,'Threshold Summary'!$L:$L,"")/5+2)*pow*atk/def)/50)+2)),modifier,stab*eff,AVERAGE(ARRAYFORMULA(FLOOR(base*modifier*SEQUENCE(16,1,85,1)/100)))),0)</f>
        <v/>
      </c>
      <c r="M609" s="3">
        <f>IFERROR(LET(mtype,XLOOKUP($D609,'Move Editor'!$B:$B,'Move Editor'!$C:$C,""),cat,XLOOKUP($D609,'Move Editor'!$B:$B,'Move Editor'!$D:$D,""),pow,XLOOKUP($D609,'Move Editor'!$B:$B,'Move Editor'!$E:$E,0),acc,XLOOKUP($D609,'Move Editor'!$B:$B,'Move Editor'!$F:$F,100),atk,IF(cat="Physical",FLOOR((FLOOR(((2*XLOOKUP(XLOOKUP($Q609,'Threshold Summary'!$Y:$Y,'Threshold Summary'!$K:$K,""),'Pokemon Editor'!$A:$A,'Pokemon Editor'!$F:$F,0)+31+FLOOR(XLOOKUP($Q609,'Threshold Summary'!$Y:$Y,'Threshold Summary'!$P:$P,"")/4))*XLOOKUP($Q609,'Threshold Summary'!$Y:$Y,'Threshold Summary'!$L:$L,""))/100)+5)*XLOOKUP(XLOOKUP($Q609,'Threshold Summary'!$Y:$Y,'Threshold Summary'!$M:$M,""),'Nature Editor'!$A:$A,'Nature Editor'!$B:$B,1)),FLOOR((FLOOR(((2*XLOOKUP(XLOOKUP($Q609,'Threshold Summary'!$Y:$Y,'Threshold Summary'!$K:$K,""),'Pokemon Editor'!$A:$A,'Pokemon Editor'!$H:$H,0)+31+FLOOR(XLOOKUP($Q609,'Threshold Summary'!$Y:$Y,'Threshold Summary'!$R:$R,"")/4))*XLOOKUP($Q609,'Threshold Summary'!$Y:$Y,'Threshold Summary'!$L:$L,""))/100)+5)*XLOOKUP(XLOOKUP($Q609,'Threshold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Editor'!$E:$E,1))),stab,IF(OR(mtype=XLOOKUP(XLOOKUP($Q609,'Threshold Summary'!$Y:$Y,'Threshold Summary'!$K:$K,""),'Pokemon Editor'!$A:$A,'Pokemon Editor'!$C:$C,""),mtype=XLOOKUP(XLOOKUP($Q609,'Threshold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Chart'!$B$1:$S$1,0)))),base,IF(OR(cat="Status",pow=0),0,FLOOR(FLOOR(FLOOR((2*XLOOKUP($Q609,'Threshold Summary'!$Y:$Y,'Threshold Summary'!$L:$L,"")/5+2)*pow*atk/def)/50)+2)),modifier,stab*eff,AVERAGE(ARRAYFORMULA(FLOOR(base*modifier*SEQUENCE(16,1,85,1)/100)))*MIN(1,acc/100)),0)</f>
        <v/>
      </c>
      <c r="N609" s="4">
        <f>IFERROR(LET(mtype,XLOOKUP($D609,'Move Editor'!$B:$B,'Move Editor'!$C:$C,""),cat,XLOOKUP($D609,'Move Editor'!$B:$B,'Move Editor'!$D:$D,""),pow,XLOOKUP($D609,'Move Editor'!$B:$B,'Move Editor'!$E:$E,0),acc,XLOOKUP($D609,'Move Editor'!$B:$B,'Move Editor'!$F:$F,100),atk,IF(cat="Physical",FLOOR((FLOOR(((2*XLOOKUP(XLOOKUP($Q609,'Threshold Summary'!$Y:$Y,'Threshold Summary'!$K:$K,""),'Pokemon Editor'!$A:$A,'Pokemon Editor'!$F:$F,0)+31+FLOOR(XLOOKUP($Q609,'Threshold Summary'!$Y:$Y,'Threshold Summary'!$P:$P,"")/4))*XLOOKUP($Q609,'Threshold Summary'!$Y:$Y,'Threshold Summary'!$L:$L,""))/100)+5)*XLOOKUP(XLOOKUP($Q609,'Threshold Summary'!$Y:$Y,'Threshold Summary'!$M:$M,""),'Nature Editor'!$A:$A,'Nature Editor'!$B:$B,1)),FLOOR((FLOOR(((2*XLOOKUP(XLOOKUP($Q609,'Threshold Summary'!$Y:$Y,'Threshold Summary'!$K:$K,""),'Pokemon Editor'!$A:$A,'Pokemon Editor'!$H:$H,0)+31+FLOOR(XLOOKUP($Q609,'Threshold Summary'!$Y:$Y,'Threshold Summary'!$R:$R,"")/4))*XLOOKUP($Q609,'Threshold Summary'!$Y:$Y,'Threshold Summary'!$L:$L,""))/100)+5)*XLOOKUP(XLOOKUP($Q609,'Threshold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Editor'!$E:$E,1))),stab,IF(OR(mtype=XLOOKUP(XLOOKUP($Q609,'Threshold Summary'!$Y:$Y,'Threshold Summary'!$K:$K,""),'Pokemon Editor'!$A:$A,'Pokemon Editor'!$C:$C,""),mtype=XLOOKUP(XLOOKUP($Q609,'Threshold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Chart'!$B$1:$S$1,0)))),base,IF(OR(cat="Status",pow=0),0,FLOOR(FLOOR(FLOOR((2*XLOOKUP($Q609,'Threshold Summary'!$Y:$Y,'Threshold Summary'!$L:$L,"")/5+2)*pow*atk/def)/50)+2)),modifier,stab*eff,AVERAGE(ARRAYFORMULA(FLOOR(base*modifier*SEQUENCE(16,1,85,1)/100)))/(FLOOR(((2*XLOOKUP('Boss Editor'!$C$4,'Pokemon Editor'!$A:$A,'Pokemon Editor'!$E:$E,0)+31+FLOOR('Boss Editor'!$G$4/4))*'Boss Editor'!$D$4)/100)+'Boss Editor'!$D$4+10)),0)</f>
        <v/>
      </c>
      <c r="O609" s="3">
        <f>IF(N609&gt;=1,"OHKO",IF(N609&gt;=0.5,"2HKO",IF(N609&gt;=0.333,"3HKO",IF(N609&gt;=0.25,"4HKO","5HKO+"))))</f>
        <v/>
      </c>
      <c r="P609" s="3" t="inlineStr">
        <is>
          <t>Live from editable databases</t>
        </is>
      </c>
      <c r="Q609" s="3" t="inlineStr">
        <is>
          <t>SPECIES_FLETCHLING</t>
        </is>
      </c>
      <c r="R609" s="3" t="n">
        <v>32</v>
      </c>
    </row>
    <row r="610">
      <c r="A610" s="3">
        <f>XLOOKUP($Q610,'Threshold Summary'!$Y:$Y,'Threshold Summary'!$A:$A,"")</f>
        <v/>
      </c>
      <c r="B610" s="3">
        <f>XLOOKUP($Q610,'Threshold Summary'!$Y:$Y,'Threshold Summary'!$M:$M,"")</f>
        <v/>
      </c>
      <c r="C610" s="3">
        <f>XLOOKUP($Q610,'Threshold Summary'!$Y:$Y,'Threshold Summary'!$N:$N,"")</f>
        <v/>
      </c>
      <c r="D610" s="3">
        <f>IFERROR(INDEX(FILTER('Learnset Editor'!$D$2:$D,'Learnset Editor'!$A$2:$A=XLOOKUP($Q610,'Threshold Summary'!$Y:$Y,'Threshold Summary'!$K:$K,""),'Learnset Editor'!$C$2:$C&lt;=XLOOKUP($Q610,'Threshold Summary'!$Y:$Y,'Threshold Summary'!$L:$L,"")),$R610),"")</f>
        <v/>
      </c>
      <c r="E610" s="3">
        <f>XLOOKUP(D610,'Move Editor'!$B:$B,'Move Editor'!$C:$C,"")</f>
        <v/>
      </c>
      <c r="F610" s="3">
        <f>XLOOKUP(D610,'Move Editor'!$B:$B,'Move Editor'!$D:$D,"")</f>
        <v/>
      </c>
      <c r="G610" s="3">
        <f>XLOOKUP(D610,'Move Editor'!$B:$B,'Move Editor'!$E:$E,0)</f>
        <v/>
      </c>
      <c r="H610" s="3">
        <f>XLOOKUP(D610,'Move Editor'!$B:$B,'Move Editor'!$F:$F,0)</f>
        <v/>
      </c>
      <c r="I610" s="3">
        <f>(INDEX('Type Chart'!$B:$S,MATCH(E610,'Type Chart'!$A:$A,0),MATCH(XLOOKUP('Boss Editor'!$C$4,'Pokemon Editor'!$A:$A,'Pokemon Editor'!$C:$C,""),'Type Chart'!$B$1:$S$1,0))*IF(XLOOKUP('Boss Editor'!$C$4,'Pokemon Editor'!$A:$A,'Pokemon Editor'!$D:$D,"")="",1,INDEX('Type Chart'!$B:$S,MATCH(E610,'Type Chart'!$A:$A,0),MATCH(XLOOKUP('Boss Editor'!$C$4,'Pokemon Editor'!$A:$A,'Pokemon Editor'!$D:$D,""),'Type Chart'!$B$1:$S$1,0))))</f>
        <v/>
      </c>
      <c r="J610" s="3">
        <f>IFERROR(LET(mtype,XLOOKUP($D610,'Move Editor'!$B:$B,'Move Editor'!$C:$C,""),cat,XLOOKUP($D610,'Move Editor'!$B:$B,'Move Editor'!$D:$D,""),pow,XLOOKUP($D610,'Move Editor'!$B:$B,'Move Editor'!$E:$E,0),acc,XLOOKUP($D610,'Move Editor'!$B:$B,'Move Editor'!$F:$F,100),atk,IF(cat="Physical",FLOOR((FLOOR(((2*XLOOKUP(XLOOKUP($Q610,'Threshold Summary'!$Y:$Y,'Threshold Summary'!$K:$K,""),'Pokemon Editor'!$A:$A,'Pokemon Editor'!$F:$F,0)+31+FLOOR(XLOOKUP($Q610,'Threshold Summary'!$Y:$Y,'Threshold Summary'!$P:$P,"")/4))*XLOOKUP($Q610,'Threshold Summary'!$Y:$Y,'Threshold Summary'!$L:$L,""))/100)+5)*XLOOKUP(XLOOKUP($Q610,'Threshold Summary'!$Y:$Y,'Threshold Summary'!$M:$M,""),'Nature Editor'!$A:$A,'Nature Editor'!$B:$B,1)),FLOOR((FLOOR(((2*XLOOKUP(XLOOKUP($Q610,'Threshold Summary'!$Y:$Y,'Threshold Summary'!$K:$K,""),'Pokemon Editor'!$A:$A,'Pokemon Editor'!$H:$H,0)+31+FLOOR(XLOOKUP($Q610,'Threshold Summary'!$Y:$Y,'Threshold Summary'!$R:$R,"")/4))*XLOOKUP($Q610,'Threshold Summary'!$Y:$Y,'Threshold Summary'!$L:$L,""))/100)+5)*XLOOKUP(XLOOKUP($Q610,'Threshold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Editor'!$E:$E,1))),stab,IF(OR(mtype=XLOOKUP(XLOOKUP($Q610,'Threshold Summary'!$Y:$Y,'Threshold Summary'!$K:$K,""),'Pokemon Editor'!$A:$A,'Pokemon Editor'!$C:$C,""),mtype=XLOOKUP(XLOOKUP($Q610,'Threshold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Chart'!$B$1:$S$1,0)))),base,IF(OR(cat="Status",pow=0),0,FLOOR(FLOOR(FLOOR((2*XLOOKUP($Q610,'Threshold Summary'!$Y:$Y,'Threshold Summary'!$L:$L,"")/5+2)*pow*atk/def)/50)+2)),modifier,stab*eff,FLOOR(base*modifier*0.85)),0)</f>
        <v/>
      </c>
      <c r="K610" s="3">
        <f>IFERROR(LET(mtype,XLOOKUP($D610,'Move Editor'!$B:$B,'Move Editor'!$C:$C,""),cat,XLOOKUP($D610,'Move Editor'!$B:$B,'Move Editor'!$D:$D,""),pow,XLOOKUP($D610,'Move Editor'!$B:$B,'Move Editor'!$E:$E,0),acc,XLOOKUP($D610,'Move Editor'!$B:$B,'Move Editor'!$F:$F,100),atk,IF(cat="Physical",FLOOR((FLOOR(((2*XLOOKUP(XLOOKUP($Q610,'Threshold Summary'!$Y:$Y,'Threshold Summary'!$K:$K,""),'Pokemon Editor'!$A:$A,'Pokemon Editor'!$F:$F,0)+31+FLOOR(XLOOKUP($Q610,'Threshold Summary'!$Y:$Y,'Threshold Summary'!$P:$P,"")/4))*XLOOKUP($Q610,'Threshold Summary'!$Y:$Y,'Threshold Summary'!$L:$L,""))/100)+5)*XLOOKUP(XLOOKUP($Q610,'Threshold Summary'!$Y:$Y,'Threshold Summary'!$M:$M,""),'Nature Editor'!$A:$A,'Nature Editor'!$B:$B,1)),FLOOR((FLOOR(((2*XLOOKUP(XLOOKUP($Q610,'Threshold Summary'!$Y:$Y,'Threshold Summary'!$K:$K,""),'Pokemon Editor'!$A:$A,'Pokemon Editor'!$H:$H,0)+31+FLOOR(XLOOKUP($Q610,'Threshold Summary'!$Y:$Y,'Threshold Summary'!$R:$R,"")/4))*XLOOKUP($Q610,'Threshold Summary'!$Y:$Y,'Threshold Summary'!$L:$L,""))/100)+5)*XLOOKUP(XLOOKUP($Q610,'Threshold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Editor'!$E:$E,1))),stab,IF(OR(mtype=XLOOKUP(XLOOKUP($Q610,'Threshold Summary'!$Y:$Y,'Threshold Summary'!$K:$K,""),'Pokemon Editor'!$A:$A,'Pokemon Editor'!$C:$C,""),mtype=XLOOKUP(XLOOKUP($Q610,'Threshold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Chart'!$B$1:$S$1,0)))),base,IF(OR(cat="Status",pow=0),0,FLOOR(FLOOR(FLOOR((2*XLOOKUP($Q610,'Threshold Summary'!$Y:$Y,'Threshold Summary'!$L:$L,"")/5+2)*pow*atk/def)/50)+2)),modifier,stab*eff,FLOOR(base*modifier)),0)</f>
        <v/>
      </c>
      <c r="L610" s="3">
        <f>IFERROR(LET(mtype,XLOOKUP($D610,'Move Editor'!$B:$B,'Move Editor'!$C:$C,""),cat,XLOOKUP($D610,'Move Editor'!$B:$B,'Move Editor'!$D:$D,""),pow,XLOOKUP($D610,'Move Editor'!$B:$B,'Move Editor'!$E:$E,0),acc,XLOOKUP($D610,'Move Editor'!$B:$B,'Move Editor'!$F:$F,100),atk,IF(cat="Physical",FLOOR((FLOOR(((2*XLOOKUP(XLOOKUP($Q610,'Threshold Summary'!$Y:$Y,'Threshold Summary'!$K:$K,""),'Pokemon Editor'!$A:$A,'Pokemon Editor'!$F:$F,0)+31+FLOOR(XLOOKUP($Q610,'Threshold Summary'!$Y:$Y,'Threshold Summary'!$P:$P,"")/4))*XLOOKUP($Q610,'Threshold Summary'!$Y:$Y,'Threshold Summary'!$L:$L,""))/100)+5)*XLOOKUP(XLOOKUP($Q610,'Threshold Summary'!$Y:$Y,'Threshold Summary'!$M:$M,""),'Nature Editor'!$A:$A,'Nature Editor'!$B:$B,1)),FLOOR((FLOOR(((2*XLOOKUP(XLOOKUP($Q610,'Threshold Summary'!$Y:$Y,'Threshold Summary'!$K:$K,""),'Pokemon Editor'!$A:$A,'Pokemon Editor'!$H:$H,0)+31+FLOOR(XLOOKUP($Q610,'Threshold Summary'!$Y:$Y,'Threshold Summary'!$R:$R,"")/4))*XLOOKUP($Q610,'Threshold Summary'!$Y:$Y,'Threshold Summary'!$L:$L,""))/100)+5)*XLOOKUP(XLOOKUP($Q610,'Threshold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Editor'!$E:$E,1))),stab,IF(OR(mtype=XLOOKUP(XLOOKUP($Q610,'Threshold Summary'!$Y:$Y,'Threshold Summary'!$K:$K,""),'Pokemon Editor'!$A:$A,'Pokemon Editor'!$C:$C,""),mtype=XLOOKUP(XLOOKUP($Q610,'Threshold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Chart'!$B$1:$S$1,0)))),base,IF(OR(cat="Status",pow=0),0,FLOOR(FLOOR(FLOOR((2*XLOOKUP($Q610,'Threshold Summary'!$Y:$Y,'Threshold Summary'!$L:$L,"")/5+2)*pow*atk/def)/50)+2)),modifier,stab*eff,AVERAGE(ARRAYFORMULA(FLOOR(base*modifier*SEQUENCE(16,1,85,1)/100)))),0)</f>
        <v/>
      </c>
      <c r="M610" s="3">
        <f>IFERROR(LET(mtype,XLOOKUP($D610,'Move Editor'!$B:$B,'Move Editor'!$C:$C,""),cat,XLOOKUP($D610,'Move Editor'!$B:$B,'Move Editor'!$D:$D,""),pow,XLOOKUP($D610,'Move Editor'!$B:$B,'Move Editor'!$E:$E,0),acc,XLOOKUP($D610,'Move Editor'!$B:$B,'Move Editor'!$F:$F,100),atk,IF(cat="Physical",FLOOR((FLOOR(((2*XLOOKUP(XLOOKUP($Q610,'Threshold Summary'!$Y:$Y,'Threshold Summary'!$K:$K,""),'Pokemon Editor'!$A:$A,'Pokemon Editor'!$F:$F,0)+31+FLOOR(XLOOKUP($Q610,'Threshold Summary'!$Y:$Y,'Threshold Summary'!$P:$P,"")/4))*XLOOKUP($Q610,'Threshold Summary'!$Y:$Y,'Threshold Summary'!$L:$L,""))/100)+5)*XLOOKUP(XLOOKUP($Q610,'Threshold Summary'!$Y:$Y,'Threshold Summary'!$M:$M,""),'Nature Editor'!$A:$A,'Nature Editor'!$B:$B,1)),FLOOR((FLOOR(((2*XLOOKUP(XLOOKUP($Q610,'Threshold Summary'!$Y:$Y,'Threshold Summary'!$K:$K,""),'Pokemon Editor'!$A:$A,'Pokemon Editor'!$H:$H,0)+31+FLOOR(XLOOKUP($Q610,'Threshold Summary'!$Y:$Y,'Threshold Summary'!$R:$R,"")/4))*XLOOKUP($Q610,'Threshold Summary'!$Y:$Y,'Threshold Summary'!$L:$L,""))/100)+5)*XLOOKUP(XLOOKUP($Q610,'Threshold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Editor'!$E:$E,1))),stab,IF(OR(mtype=XLOOKUP(XLOOKUP($Q610,'Threshold Summary'!$Y:$Y,'Threshold Summary'!$K:$K,""),'Pokemon Editor'!$A:$A,'Pokemon Editor'!$C:$C,""),mtype=XLOOKUP(XLOOKUP($Q610,'Threshold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Chart'!$B$1:$S$1,0)))),base,IF(OR(cat="Status",pow=0),0,FLOOR(FLOOR(FLOOR((2*XLOOKUP($Q610,'Threshold Summary'!$Y:$Y,'Threshold Summary'!$L:$L,"")/5+2)*pow*atk/def)/50)+2)),modifier,stab*eff,AVERAGE(ARRAYFORMULA(FLOOR(base*modifier*SEQUENCE(16,1,85,1)/100)))*MIN(1,acc/100)),0)</f>
        <v/>
      </c>
      <c r="N610" s="4">
        <f>IFERROR(LET(mtype,XLOOKUP($D610,'Move Editor'!$B:$B,'Move Editor'!$C:$C,""),cat,XLOOKUP($D610,'Move Editor'!$B:$B,'Move Editor'!$D:$D,""),pow,XLOOKUP($D610,'Move Editor'!$B:$B,'Move Editor'!$E:$E,0),acc,XLOOKUP($D610,'Move Editor'!$B:$B,'Move Editor'!$F:$F,100),atk,IF(cat="Physical",FLOOR((FLOOR(((2*XLOOKUP(XLOOKUP($Q610,'Threshold Summary'!$Y:$Y,'Threshold Summary'!$K:$K,""),'Pokemon Editor'!$A:$A,'Pokemon Editor'!$F:$F,0)+31+FLOOR(XLOOKUP($Q610,'Threshold Summary'!$Y:$Y,'Threshold Summary'!$P:$P,"")/4))*XLOOKUP($Q610,'Threshold Summary'!$Y:$Y,'Threshold Summary'!$L:$L,""))/100)+5)*XLOOKUP(XLOOKUP($Q610,'Threshold Summary'!$Y:$Y,'Threshold Summary'!$M:$M,""),'Nature Editor'!$A:$A,'Nature Editor'!$B:$B,1)),FLOOR((FLOOR(((2*XLOOKUP(XLOOKUP($Q610,'Threshold Summary'!$Y:$Y,'Threshold Summary'!$K:$K,""),'Pokemon Editor'!$A:$A,'Pokemon Editor'!$H:$H,0)+31+FLOOR(XLOOKUP($Q610,'Threshold Summary'!$Y:$Y,'Threshold Summary'!$R:$R,"")/4))*XLOOKUP($Q610,'Threshold Summary'!$Y:$Y,'Threshold Summary'!$L:$L,""))/100)+5)*XLOOKUP(XLOOKUP($Q610,'Threshold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Editor'!$E:$E,1))),stab,IF(OR(mtype=XLOOKUP(XLOOKUP($Q610,'Threshold Summary'!$Y:$Y,'Threshold Summary'!$K:$K,""),'Pokemon Editor'!$A:$A,'Pokemon Editor'!$C:$C,""),mtype=XLOOKUP(XLOOKUP($Q610,'Threshold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Chart'!$B$1:$S$1,0)))),base,IF(OR(cat="Status",pow=0),0,FLOOR(FLOOR(FLOOR((2*XLOOKUP($Q610,'Threshold Summary'!$Y:$Y,'Threshold Summary'!$L:$L,"")/5+2)*pow*atk/def)/50)+2)),modifier,stab*eff,AVERAGE(ARRAYFORMULA(FLOOR(base*modifier*SEQUENCE(16,1,85,1)/100)))/(FLOOR(((2*XLOOKUP('Boss Editor'!$C$4,'Pokemon Editor'!$A:$A,'Pokemon Editor'!$E:$E,0)+31+FLOOR('Boss Editor'!$G$4/4))*'Boss Editor'!$D$4)/100)+'Boss Editor'!$D$4+10)),0)</f>
        <v/>
      </c>
      <c r="O610" s="3">
        <f>IF(N610&gt;=1,"OHKO",IF(N610&gt;=0.5,"2HKO",IF(N610&gt;=0.333,"3HKO",IF(N610&gt;=0.25,"4HKO","5HKO+"))))</f>
        <v/>
      </c>
      <c r="P610" s="3" t="inlineStr">
        <is>
          <t>Live from editable databases</t>
        </is>
      </c>
      <c r="Q610" s="3" t="inlineStr">
        <is>
          <t>SPECIES_LITLEO</t>
        </is>
      </c>
      <c r="R610" s="3" t="n">
        <v>1</v>
      </c>
    </row>
    <row r="611">
      <c r="A611" s="3">
        <f>XLOOKUP($Q611,'Threshold Summary'!$Y:$Y,'Threshold Summary'!$A:$A,"")</f>
        <v/>
      </c>
      <c r="B611" s="3">
        <f>XLOOKUP($Q611,'Threshold Summary'!$Y:$Y,'Threshold Summary'!$M:$M,"")</f>
        <v/>
      </c>
      <c r="C611" s="3">
        <f>XLOOKUP($Q611,'Threshold Summary'!$Y:$Y,'Threshold Summary'!$N:$N,"")</f>
        <v/>
      </c>
      <c r="D611" s="3">
        <f>IFERROR(INDEX(FILTER('Learnset Editor'!$D$2:$D,'Learnset Editor'!$A$2:$A=XLOOKUP($Q611,'Threshold Summary'!$Y:$Y,'Threshold Summary'!$K:$K,""),'Learnset Editor'!$C$2:$C&lt;=XLOOKUP($Q611,'Threshold Summary'!$Y:$Y,'Threshold Summary'!$L:$L,"")),$R611),"")</f>
        <v/>
      </c>
      <c r="E611" s="3">
        <f>XLOOKUP(D611,'Move Editor'!$B:$B,'Move Editor'!$C:$C,"")</f>
        <v/>
      </c>
      <c r="F611" s="3">
        <f>XLOOKUP(D611,'Move Editor'!$B:$B,'Move Editor'!$D:$D,"")</f>
        <v/>
      </c>
      <c r="G611" s="3">
        <f>XLOOKUP(D611,'Move Editor'!$B:$B,'Move Editor'!$E:$E,0)</f>
        <v/>
      </c>
      <c r="H611" s="3">
        <f>XLOOKUP(D611,'Move Editor'!$B:$B,'Move Editor'!$F:$F,0)</f>
        <v/>
      </c>
      <c r="I611" s="3">
        <f>(INDEX('Type Chart'!$B:$S,MATCH(E611,'Type Chart'!$A:$A,0),MATCH(XLOOKUP('Boss Editor'!$C$4,'Pokemon Editor'!$A:$A,'Pokemon Editor'!$C:$C,""),'Type Chart'!$B$1:$S$1,0))*IF(XLOOKUP('Boss Editor'!$C$4,'Pokemon Editor'!$A:$A,'Pokemon Editor'!$D:$D,"")="",1,INDEX('Type Chart'!$B:$S,MATCH(E611,'Type Chart'!$A:$A,0),MATCH(XLOOKUP('Boss Editor'!$C$4,'Pokemon Editor'!$A:$A,'Pokemon Editor'!$D:$D,""),'Type Chart'!$B$1:$S$1,0))))</f>
        <v/>
      </c>
      <c r="J611" s="3">
        <f>IFERROR(LET(mtype,XLOOKUP($D611,'Move Editor'!$B:$B,'Move Editor'!$C:$C,""),cat,XLOOKUP($D611,'Move Editor'!$B:$B,'Move Editor'!$D:$D,""),pow,XLOOKUP($D611,'Move Editor'!$B:$B,'Move Editor'!$E:$E,0),acc,XLOOKUP($D611,'Move Editor'!$B:$B,'Move Editor'!$F:$F,100),atk,IF(cat="Physical",FLOOR((FLOOR(((2*XLOOKUP(XLOOKUP($Q611,'Threshold Summary'!$Y:$Y,'Threshold Summary'!$K:$K,""),'Pokemon Editor'!$A:$A,'Pokemon Editor'!$F:$F,0)+31+FLOOR(XLOOKUP($Q611,'Threshold Summary'!$Y:$Y,'Threshold Summary'!$P:$P,"")/4))*XLOOKUP($Q611,'Threshold Summary'!$Y:$Y,'Threshold Summary'!$L:$L,""))/100)+5)*XLOOKUP(XLOOKUP($Q611,'Threshold Summary'!$Y:$Y,'Threshold Summary'!$M:$M,""),'Nature Editor'!$A:$A,'Nature Editor'!$B:$B,1)),FLOOR((FLOOR(((2*XLOOKUP(XLOOKUP($Q611,'Threshold Summary'!$Y:$Y,'Threshold Summary'!$K:$K,""),'Pokemon Editor'!$A:$A,'Pokemon Editor'!$H:$H,0)+31+FLOOR(XLOOKUP($Q611,'Threshold Summary'!$Y:$Y,'Threshold Summary'!$R:$R,"")/4))*XLOOKUP($Q611,'Threshold Summary'!$Y:$Y,'Threshold Summary'!$L:$L,""))/100)+5)*XLOOKUP(XLOOKUP($Q611,'Threshold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Editor'!$E:$E,1))),stab,IF(OR(mtype=XLOOKUP(XLOOKUP($Q611,'Threshold Summary'!$Y:$Y,'Threshold Summary'!$K:$K,""),'Pokemon Editor'!$A:$A,'Pokemon Editor'!$C:$C,""),mtype=XLOOKUP(XLOOKUP($Q611,'Threshold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Chart'!$B$1:$S$1,0)))),base,IF(OR(cat="Status",pow=0),0,FLOOR(FLOOR(FLOOR((2*XLOOKUP($Q611,'Threshold Summary'!$Y:$Y,'Threshold Summary'!$L:$L,"")/5+2)*pow*atk/def)/50)+2)),modifier,stab*eff,FLOOR(base*modifier*0.85)),0)</f>
        <v/>
      </c>
      <c r="K611" s="3">
        <f>IFERROR(LET(mtype,XLOOKUP($D611,'Move Editor'!$B:$B,'Move Editor'!$C:$C,""),cat,XLOOKUP($D611,'Move Editor'!$B:$B,'Move Editor'!$D:$D,""),pow,XLOOKUP($D611,'Move Editor'!$B:$B,'Move Editor'!$E:$E,0),acc,XLOOKUP($D611,'Move Editor'!$B:$B,'Move Editor'!$F:$F,100),atk,IF(cat="Physical",FLOOR((FLOOR(((2*XLOOKUP(XLOOKUP($Q611,'Threshold Summary'!$Y:$Y,'Threshold Summary'!$K:$K,""),'Pokemon Editor'!$A:$A,'Pokemon Editor'!$F:$F,0)+31+FLOOR(XLOOKUP($Q611,'Threshold Summary'!$Y:$Y,'Threshold Summary'!$P:$P,"")/4))*XLOOKUP($Q611,'Threshold Summary'!$Y:$Y,'Threshold Summary'!$L:$L,""))/100)+5)*XLOOKUP(XLOOKUP($Q611,'Threshold Summary'!$Y:$Y,'Threshold Summary'!$M:$M,""),'Nature Editor'!$A:$A,'Nature Editor'!$B:$B,1)),FLOOR((FLOOR(((2*XLOOKUP(XLOOKUP($Q611,'Threshold Summary'!$Y:$Y,'Threshold Summary'!$K:$K,""),'Pokemon Editor'!$A:$A,'Pokemon Editor'!$H:$H,0)+31+FLOOR(XLOOKUP($Q611,'Threshold Summary'!$Y:$Y,'Threshold Summary'!$R:$R,"")/4))*XLOOKUP($Q611,'Threshold Summary'!$Y:$Y,'Threshold Summary'!$L:$L,""))/100)+5)*XLOOKUP(XLOOKUP($Q611,'Threshold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Editor'!$E:$E,1))),stab,IF(OR(mtype=XLOOKUP(XLOOKUP($Q611,'Threshold Summary'!$Y:$Y,'Threshold Summary'!$K:$K,""),'Pokemon Editor'!$A:$A,'Pokemon Editor'!$C:$C,""),mtype=XLOOKUP(XLOOKUP($Q611,'Threshold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Chart'!$B$1:$S$1,0)))),base,IF(OR(cat="Status",pow=0),0,FLOOR(FLOOR(FLOOR((2*XLOOKUP($Q611,'Threshold Summary'!$Y:$Y,'Threshold Summary'!$L:$L,"")/5+2)*pow*atk/def)/50)+2)),modifier,stab*eff,FLOOR(base*modifier)),0)</f>
        <v/>
      </c>
      <c r="L611" s="3">
        <f>IFERROR(LET(mtype,XLOOKUP($D611,'Move Editor'!$B:$B,'Move Editor'!$C:$C,""),cat,XLOOKUP($D611,'Move Editor'!$B:$B,'Move Editor'!$D:$D,""),pow,XLOOKUP($D611,'Move Editor'!$B:$B,'Move Editor'!$E:$E,0),acc,XLOOKUP($D611,'Move Editor'!$B:$B,'Move Editor'!$F:$F,100),atk,IF(cat="Physical",FLOOR((FLOOR(((2*XLOOKUP(XLOOKUP($Q611,'Threshold Summary'!$Y:$Y,'Threshold Summary'!$K:$K,""),'Pokemon Editor'!$A:$A,'Pokemon Editor'!$F:$F,0)+31+FLOOR(XLOOKUP($Q611,'Threshold Summary'!$Y:$Y,'Threshold Summary'!$P:$P,"")/4))*XLOOKUP($Q611,'Threshold Summary'!$Y:$Y,'Threshold Summary'!$L:$L,""))/100)+5)*XLOOKUP(XLOOKUP($Q611,'Threshold Summary'!$Y:$Y,'Threshold Summary'!$M:$M,""),'Nature Editor'!$A:$A,'Nature Editor'!$B:$B,1)),FLOOR((FLOOR(((2*XLOOKUP(XLOOKUP($Q611,'Threshold Summary'!$Y:$Y,'Threshold Summary'!$K:$K,""),'Pokemon Editor'!$A:$A,'Pokemon Editor'!$H:$H,0)+31+FLOOR(XLOOKUP($Q611,'Threshold Summary'!$Y:$Y,'Threshold Summary'!$R:$R,"")/4))*XLOOKUP($Q611,'Threshold Summary'!$Y:$Y,'Threshold Summary'!$L:$L,""))/100)+5)*XLOOKUP(XLOOKUP($Q611,'Threshold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Editor'!$E:$E,1))),stab,IF(OR(mtype=XLOOKUP(XLOOKUP($Q611,'Threshold Summary'!$Y:$Y,'Threshold Summary'!$K:$K,""),'Pokemon Editor'!$A:$A,'Pokemon Editor'!$C:$C,""),mtype=XLOOKUP(XLOOKUP($Q611,'Threshold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Chart'!$B$1:$S$1,0)))),base,IF(OR(cat="Status",pow=0),0,FLOOR(FLOOR(FLOOR((2*XLOOKUP($Q611,'Threshold Summary'!$Y:$Y,'Threshold Summary'!$L:$L,"")/5+2)*pow*atk/def)/50)+2)),modifier,stab*eff,AVERAGE(ARRAYFORMULA(FLOOR(base*modifier*SEQUENCE(16,1,85,1)/100)))),0)</f>
        <v/>
      </c>
      <c r="M611" s="3">
        <f>IFERROR(LET(mtype,XLOOKUP($D611,'Move Editor'!$B:$B,'Move Editor'!$C:$C,""),cat,XLOOKUP($D611,'Move Editor'!$B:$B,'Move Editor'!$D:$D,""),pow,XLOOKUP($D611,'Move Editor'!$B:$B,'Move Editor'!$E:$E,0),acc,XLOOKUP($D611,'Move Editor'!$B:$B,'Move Editor'!$F:$F,100),atk,IF(cat="Physical",FLOOR((FLOOR(((2*XLOOKUP(XLOOKUP($Q611,'Threshold Summary'!$Y:$Y,'Threshold Summary'!$K:$K,""),'Pokemon Editor'!$A:$A,'Pokemon Editor'!$F:$F,0)+31+FLOOR(XLOOKUP($Q611,'Threshold Summary'!$Y:$Y,'Threshold Summary'!$P:$P,"")/4))*XLOOKUP($Q611,'Threshold Summary'!$Y:$Y,'Threshold Summary'!$L:$L,""))/100)+5)*XLOOKUP(XLOOKUP($Q611,'Threshold Summary'!$Y:$Y,'Threshold Summary'!$M:$M,""),'Nature Editor'!$A:$A,'Nature Editor'!$B:$B,1)),FLOOR((FLOOR(((2*XLOOKUP(XLOOKUP($Q611,'Threshold Summary'!$Y:$Y,'Threshold Summary'!$K:$K,""),'Pokemon Editor'!$A:$A,'Pokemon Editor'!$H:$H,0)+31+FLOOR(XLOOKUP($Q611,'Threshold Summary'!$Y:$Y,'Threshold Summary'!$R:$R,"")/4))*XLOOKUP($Q611,'Threshold Summary'!$Y:$Y,'Threshold Summary'!$L:$L,""))/100)+5)*XLOOKUP(XLOOKUP($Q611,'Threshold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Editor'!$E:$E,1))),stab,IF(OR(mtype=XLOOKUP(XLOOKUP($Q611,'Threshold Summary'!$Y:$Y,'Threshold Summary'!$K:$K,""),'Pokemon Editor'!$A:$A,'Pokemon Editor'!$C:$C,""),mtype=XLOOKUP(XLOOKUP($Q611,'Threshold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Chart'!$B$1:$S$1,0)))),base,IF(OR(cat="Status",pow=0),0,FLOOR(FLOOR(FLOOR((2*XLOOKUP($Q611,'Threshold Summary'!$Y:$Y,'Threshold Summary'!$L:$L,"")/5+2)*pow*atk/def)/50)+2)),modifier,stab*eff,AVERAGE(ARRAYFORMULA(FLOOR(base*modifier*SEQUENCE(16,1,85,1)/100)))*MIN(1,acc/100)),0)</f>
        <v/>
      </c>
      <c r="N611" s="4">
        <f>IFERROR(LET(mtype,XLOOKUP($D611,'Move Editor'!$B:$B,'Move Editor'!$C:$C,""),cat,XLOOKUP($D611,'Move Editor'!$B:$B,'Move Editor'!$D:$D,""),pow,XLOOKUP($D611,'Move Editor'!$B:$B,'Move Editor'!$E:$E,0),acc,XLOOKUP($D611,'Move Editor'!$B:$B,'Move Editor'!$F:$F,100),atk,IF(cat="Physical",FLOOR((FLOOR(((2*XLOOKUP(XLOOKUP($Q611,'Threshold Summary'!$Y:$Y,'Threshold Summary'!$K:$K,""),'Pokemon Editor'!$A:$A,'Pokemon Editor'!$F:$F,0)+31+FLOOR(XLOOKUP($Q611,'Threshold Summary'!$Y:$Y,'Threshold Summary'!$P:$P,"")/4))*XLOOKUP($Q611,'Threshold Summary'!$Y:$Y,'Threshold Summary'!$L:$L,""))/100)+5)*XLOOKUP(XLOOKUP($Q611,'Threshold Summary'!$Y:$Y,'Threshold Summary'!$M:$M,""),'Nature Editor'!$A:$A,'Nature Editor'!$B:$B,1)),FLOOR((FLOOR(((2*XLOOKUP(XLOOKUP($Q611,'Threshold Summary'!$Y:$Y,'Threshold Summary'!$K:$K,""),'Pokemon Editor'!$A:$A,'Pokemon Editor'!$H:$H,0)+31+FLOOR(XLOOKUP($Q611,'Threshold Summary'!$Y:$Y,'Threshold Summary'!$R:$R,"")/4))*XLOOKUP($Q611,'Threshold Summary'!$Y:$Y,'Threshold Summary'!$L:$L,""))/100)+5)*XLOOKUP(XLOOKUP($Q611,'Threshold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Editor'!$E:$E,1))),stab,IF(OR(mtype=XLOOKUP(XLOOKUP($Q611,'Threshold Summary'!$Y:$Y,'Threshold Summary'!$K:$K,""),'Pokemon Editor'!$A:$A,'Pokemon Editor'!$C:$C,""),mtype=XLOOKUP(XLOOKUP($Q611,'Threshold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Chart'!$B$1:$S$1,0)))),base,IF(OR(cat="Status",pow=0),0,FLOOR(FLOOR(FLOOR((2*XLOOKUP($Q611,'Threshold Summary'!$Y:$Y,'Threshold Summary'!$L:$L,"")/5+2)*pow*atk/def)/50)+2)),modifier,stab*eff,AVERAGE(ARRAYFORMULA(FLOOR(base*modifier*SEQUENCE(16,1,85,1)/100)))/(FLOOR(((2*XLOOKUP('Boss Editor'!$C$4,'Pokemon Editor'!$A:$A,'Pokemon Editor'!$E:$E,0)+31+FLOOR('Boss Editor'!$G$4/4))*'Boss Editor'!$D$4)/100)+'Boss Editor'!$D$4+10)),0)</f>
        <v/>
      </c>
      <c r="O611" s="3">
        <f>IF(N611&gt;=1,"OHKO",IF(N611&gt;=0.5,"2HKO",IF(N611&gt;=0.333,"3HKO",IF(N611&gt;=0.25,"4HKO","5HKO+"))))</f>
        <v/>
      </c>
      <c r="P611" s="3" t="inlineStr">
        <is>
          <t>Live from editable databases</t>
        </is>
      </c>
      <c r="Q611" s="3" t="inlineStr">
        <is>
          <t>SPECIES_LITLEO</t>
        </is>
      </c>
      <c r="R611" s="3" t="n">
        <v>2</v>
      </c>
    </row>
    <row r="612">
      <c r="A612" s="3">
        <f>XLOOKUP($Q612,'Threshold Summary'!$Y:$Y,'Threshold Summary'!$A:$A,"")</f>
        <v/>
      </c>
      <c r="B612" s="3">
        <f>XLOOKUP($Q612,'Threshold Summary'!$Y:$Y,'Threshold Summary'!$M:$M,"")</f>
        <v/>
      </c>
      <c r="C612" s="3">
        <f>XLOOKUP($Q612,'Threshold Summary'!$Y:$Y,'Threshold Summary'!$N:$N,"")</f>
        <v/>
      </c>
      <c r="D612" s="3">
        <f>IFERROR(INDEX(FILTER('Learnset Editor'!$D$2:$D,'Learnset Editor'!$A$2:$A=XLOOKUP($Q612,'Threshold Summary'!$Y:$Y,'Threshold Summary'!$K:$K,""),'Learnset Editor'!$C$2:$C&lt;=XLOOKUP($Q612,'Threshold Summary'!$Y:$Y,'Threshold Summary'!$L:$L,"")),$R612),"")</f>
        <v/>
      </c>
      <c r="E612" s="3">
        <f>XLOOKUP(D612,'Move Editor'!$B:$B,'Move Editor'!$C:$C,"")</f>
        <v/>
      </c>
      <c r="F612" s="3">
        <f>XLOOKUP(D612,'Move Editor'!$B:$B,'Move Editor'!$D:$D,"")</f>
        <v/>
      </c>
      <c r="G612" s="3">
        <f>XLOOKUP(D612,'Move Editor'!$B:$B,'Move Editor'!$E:$E,0)</f>
        <v/>
      </c>
      <c r="H612" s="3">
        <f>XLOOKUP(D612,'Move Editor'!$B:$B,'Move Editor'!$F:$F,0)</f>
        <v/>
      </c>
      <c r="I612" s="3">
        <f>(INDEX('Type Chart'!$B:$S,MATCH(E612,'Type Chart'!$A:$A,0),MATCH(XLOOKUP('Boss Editor'!$C$4,'Pokemon Editor'!$A:$A,'Pokemon Editor'!$C:$C,""),'Type Chart'!$B$1:$S$1,0))*IF(XLOOKUP('Boss Editor'!$C$4,'Pokemon Editor'!$A:$A,'Pokemon Editor'!$D:$D,"")="",1,INDEX('Type Chart'!$B:$S,MATCH(E612,'Type Chart'!$A:$A,0),MATCH(XLOOKUP('Boss Editor'!$C$4,'Pokemon Editor'!$A:$A,'Pokemon Editor'!$D:$D,""),'Type Chart'!$B$1:$S$1,0))))</f>
        <v/>
      </c>
      <c r="J612" s="3">
        <f>IFERROR(LET(mtype,XLOOKUP($D612,'Move Editor'!$B:$B,'Move Editor'!$C:$C,""),cat,XLOOKUP($D612,'Move Editor'!$B:$B,'Move Editor'!$D:$D,""),pow,XLOOKUP($D612,'Move Editor'!$B:$B,'Move Editor'!$E:$E,0),acc,XLOOKUP($D612,'Move Editor'!$B:$B,'Move Editor'!$F:$F,100),atk,IF(cat="Physical",FLOOR((FLOOR(((2*XLOOKUP(XLOOKUP($Q612,'Threshold Summary'!$Y:$Y,'Threshold Summary'!$K:$K,""),'Pokemon Editor'!$A:$A,'Pokemon Editor'!$F:$F,0)+31+FLOOR(XLOOKUP($Q612,'Threshold Summary'!$Y:$Y,'Threshold Summary'!$P:$P,"")/4))*XLOOKUP($Q612,'Threshold Summary'!$Y:$Y,'Threshold Summary'!$L:$L,""))/100)+5)*XLOOKUP(XLOOKUP($Q612,'Threshold Summary'!$Y:$Y,'Threshold Summary'!$M:$M,""),'Nature Editor'!$A:$A,'Nature Editor'!$B:$B,1)),FLOOR((FLOOR(((2*XLOOKUP(XLOOKUP($Q612,'Threshold Summary'!$Y:$Y,'Threshold Summary'!$K:$K,""),'Pokemon Editor'!$A:$A,'Pokemon Editor'!$H:$H,0)+31+FLOOR(XLOOKUP($Q612,'Threshold Summary'!$Y:$Y,'Threshold Summary'!$R:$R,"")/4))*XLOOKUP($Q612,'Threshold Summary'!$Y:$Y,'Threshold Summary'!$L:$L,""))/100)+5)*XLOOKUP(XLOOKUP($Q612,'Threshold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Editor'!$E:$E,1))),stab,IF(OR(mtype=XLOOKUP(XLOOKUP($Q612,'Threshold Summary'!$Y:$Y,'Threshold Summary'!$K:$K,""),'Pokemon Editor'!$A:$A,'Pokemon Editor'!$C:$C,""),mtype=XLOOKUP(XLOOKUP($Q612,'Threshold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Chart'!$B$1:$S$1,0)))),base,IF(OR(cat="Status",pow=0),0,FLOOR(FLOOR(FLOOR((2*XLOOKUP($Q612,'Threshold Summary'!$Y:$Y,'Threshold Summary'!$L:$L,"")/5+2)*pow*atk/def)/50)+2)),modifier,stab*eff,FLOOR(base*modifier*0.85)),0)</f>
        <v/>
      </c>
      <c r="K612" s="3">
        <f>IFERROR(LET(mtype,XLOOKUP($D612,'Move Editor'!$B:$B,'Move Editor'!$C:$C,""),cat,XLOOKUP($D612,'Move Editor'!$B:$B,'Move Editor'!$D:$D,""),pow,XLOOKUP($D612,'Move Editor'!$B:$B,'Move Editor'!$E:$E,0),acc,XLOOKUP($D612,'Move Editor'!$B:$B,'Move Editor'!$F:$F,100),atk,IF(cat="Physical",FLOOR((FLOOR(((2*XLOOKUP(XLOOKUP($Q612,'Threshold Summary'!$Y:$Y,'Threshold Summary'!$K:$K,""),'Pokemon Editor'!$A:$A,'Pokemon Editor'!$F:$F,0)+31+FLOOR(XLOOKUP($Q612,'Threshold Summary'!$Y:$Y,'Threshold Summary'!$P:$P,"")/4))*XLOOKUP($Q612,'Threshold Summary'!$Y:$Y,'Threshold Summary'!$L:$L,""))/100)+5)*XLOOKUP(XLOOKUP($Q612,'Threshold Summary'!$Y:$Y,'Threshold Summary'!$M:$M,""),'Nature Editor'!$A:$A,'Nature Editor'!$B:$B,1)),FLOOR((FLOOR(((2*XLOOKUP(XLOOKUP($Q612,'Threshold Summary'!$Y:$Y,'Threshold Summary'!$K:$K,""),'Pokemon Editor'!$A:$A,'Pokemon Editor'!$H:$H,0)+31+FLOOR(XLOOKUP($Q612,'Threshold Summary'!$Y:$Y,'Threshold Summary'!$R:$R,"")/4))*XLOOKUP($Q612,'Threshold Summary'!$Y:$Y,'Threshold Summary'!$L:$L,""))/100)+5)*XLOOKUP(XLOOKUP($Q612,'Threshold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Editor'!$E:$E,1))),stab,IF(OR(mtype=XLOOKUP(XLOOKUP($Q612,'Threshold Summary'!$Y:$Y,'Threshold Summary'!$K:$K,""),'Pokemon Editor'!$A:$A,'Pokemon Editor'!$C:$C,""),mtype=XLOOKUP(XLOOKUP($Q612,'Threshold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Chart'!$B$1:$S$1,0)))),base,IF(OR(cat="Status",pow=0),0,FLOOR(FLOOR(FLOOR((2*XLOOKUP($Q612,'Threshold Summary'!$Y:$Y,'Threshold Summary'!$L:$L,"")/5+2)*pow*atk/def)/50)+2)),modifier,stab*eff,FLOOR(base*modifier)),0)</f>
        <v/>
      </c>
      <c r="L612" s="3">
        <f>IFERROR(LET(mtype,XLOOKUP($D612,'Move Editor'!$B:$B,'Move Editor'!$C:$C,""),cat,XLOOKUP($D612,'Move Editor'!$B:$B,'Move Editor'!$D:$D,""),pow,XLOOKUP($D612,'Move Editor'!$B:$B,'Move Editor'!$E:$E,0),acc,XLOOKUP($D612,'Move Editor'!$B:$B,'Move Editor'!$F:$F,100),atk,IF(cat="Physical",FLOOR((FLOOR(((2*XLOOKUP(XLOOKUP($Q612,'Threshold Summary'!$Y:$Y,'Threshold Summary'!$K:$K,""),'Pokemon Editor'!$A:$A,'Pokemon Editor'!$F:$F,0)+31+FLOOR(XLOOKUP($Q612,'Threshold Summary'!$Y:$Y,'Threshold Summary'!$P:$P,"")/4))*XLOOKUP($Q612,'Threshold Summary'!$Y:$Y,'Threshold Summary'!$L:$L,""))/100)+5)*XLOOKUP(XLOOKUP($Q612,'Threshold Summary'!$Y:$Y,'Threshold Summary'!$M:$M,""),'Nature Editor'!$A:$A,'Nature Editor'!$B:$B,1)),FLOOR((FLOOR(((2*XLOOKUP(XLOOKUP($Q612,'Threshold Summary'!$Y:$Y,'Threshold Summary'!$K:$K,""),'Pokemon Editor'!$A:$A,'Pokemon Editor'!$H:$H,0)+31+FLOOR(XLOOKUP($Q612,'Threshold Summary'!$Y:$Y,'Threshold Summary'!$R:$R,"")/4))*XLOOKUP($Q612,'Threshold Summary'!$Y:$Y,'Threshold Summary'!$L:$L,""))/100)+5)*XLOOKUP(XLOOKUP($Q612,'Threshold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Editor'!$E:$E,1))),stab,IF(OR(mtype=XLOOKUP(XLOOKUP($Q612,'Threshold Summary'!$Y:$Y,'Threshold Summary'!$K:$K,""),'Pokemon Editor'!$A:$A,'Pokemon Editor'!$C:$C,""),mtype=XLOOKUP(XLOOKUP($Q612,'Threshold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Chart'!$B$1:$S$1,0)))),base,IF(OR(cat="Status",pow=0),0,FLOOR(FLOOR(FLOOR((2*XLOOKUP($Q612,'Threshold Summary'!$Y:$Y,'Threshold Summary'!$L:$L,"")/5+2)*pow*atk/def)/50)+2)),modifier,stab*eff,AVERAGE(ARRAYFORMULA(FLOOR(base*modifier*SEQUENCE(16,1,85,1)/100)))),0)</f>
        <v/>
      </c>
      <c r="M612" s="3">
        <f>IFERROR(LET(mtype,XLOOKUP($D612,'Move Editor'!$B:$B,'Move Editor'!$C:$C,""),cat,XLOOKUP($D612,'Move Editor'!$B:$B,'Move Editor'!$D:$D,""),pow,XLOOKUP($D612,'Move Editor'!$B:$B,'Move Editor'!$E:$E,0),acc,XLOOKUP($D612,'Move Editor'!$B:$B,'Move Editor'!$F:$F,100),atk,IF(cat="Physical",FLOOR((FLOOR(((2*XLOOKUP(XLOOKUP($Q612,'Threshold Summary'!$Y:$Y,'Threshold Summary'!$K:$K,""),'Pokemon Editor'!$A:$A,'Pokemon Editor'!$F:$F,0)+31+FLOOR(XLOOKUP($Q612,'Threshold Summary'!$Y:$Y,'Threshold Summary'!$P:$P,"")/4))*XLOOKUP($Q612,'Threshold Summary'!$Y:$Y,'Threshold Summary'!$L:$L,""))/100)+5)*XLOOKUP(XLOOKUP($Q612,'Threshold Summary'!$Y:$Y,'Threshold Summary'!$M:$M,""),'Nature Editor'!$A:$A,'Nature Editor'!$B:$B,1)),FLOOR((FLOOR(((2*XLOOKUP(XLOOKUP($Q612,'Threshold Summary'!$Y:$Y,'Threshold Summary'!$K:$K,""),'Pokemon Editor'!$A:$A,'Pokemon Editor'!$H:$H,0)+31+FLOOR(XLOOKUP($Q612,'Threshold Summary'!$Y:$Y,'Threshold Summary'!$R:$R,"")/4))*XLOOKUP($Q612,'Threshold Summary'!$Y:$Y,'Threshold Summary'!$L:$L,""))/100)+5)*XLOOKUP(XLOOKUP($Q612,'Threshold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Editor'!$E:$E,1))),stab,IF(OR(mtype=XLOOKUP(XLOOKUP($Q612,'Threshold Summary'!$Y:$Y,'Threshold Summary'!$K:$K,""),'Pokemon Editor'!$A:$A,'Pokemon Editor'!$C:$C,""),mtype=XLOOKUP(XLOOKUP($Q612,'Threshold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Chart'!$B$1:$S$1,0)))),base,IF(OR(cat="Status",pow=0),0,FLOOR(FLOOR(FLOOR((2*XLOOKUP($Q612,'Threshold Summary'!$Y:$Y,'Threshold Summary'!$L:$L,"")/5+2)*pow*atk/def)/50)+2)),modifier,stab*eff,AVERAGE(ARRAYFORMULA(FLOOR(base*modifier*SEQUENCE(16,1,85,1)/100)))*MIN(1,acc/100)),0)</f>
        <v/>
      </c>
      <c r="N612" s="4">
        <f>IFERROR(LET(mtype,XLOOKUP($D612,'Move Editor'!$B:$B,'Move Editor'!$C:$C,""),cat,XLOOKUP($D612,'Move Editor'!$B:$B,'Move Editor'!$D:$D,""),pow,XLOOKUP($D612,'Move Editor'!$B:$B,'Move Editor'!$E:$E,0),acc,XLOOKUP($D612,'Move Editor'!$B:$B,'Move Editor'!$F:$F,100),atk,IF(cat="Physical",FLOOR((FLOOR(((2*XLOOKUP(XLOOKUP($Q612,'Threshold Summary'!$Y:$Y,'Threshold Summary'!$K:$K,""),'Pokemon Editor'!$A:$A,'Pokemon Editor'!$F:$F,0)+31+FLOOR(XLOOKUP($Q612,'Threshold Summary'!$Y:$Y,'Threshold Summary'!$P:$P,"")/4))*XLOOKUP($Q612,'Threshold Summary'!$Y:$Y,'Threshold Summary'!$L:$L,""))/100)+5)*XLOOKUP(XLOOKUP($Q612,'Threshold Summary'!$Y:$Y,'Threshold Summary'!$M:$M,""),'Nature Editor'!$A:$A,'Nature Editor'!$B:$B,1)),FLOOR((FLOOR(((2*XLOOKUP(XLOOKUP($Q612,'Threshold Summary'!$Y:$Y,'Threshold Summary'!$K:$K,""),'Pokemon Editor'!$A:$A,'Pokemon Editor'!$H:$H,0)+31+FLOOR(XLOOKUP($Q612,'Threshold Summary'!$Y:$Y,'Threshold Summary'!$R:$R,"")/4))*XLOOKUP($Q612,'Threshold Summary'!$Y:$Y,'Threshold Summary'!$L:$L,""))/100)+5)*XLOOKUP(XLOOKUP($Q612,'Threshold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Editor'!$E:$E,1))),stab,IF(OR(mtype=XLOOKUP(XLOOKUP($Q612,'Threshold Summary'!$Y:$Y,'Threshold Summary'!$K:$K,""),'Pokemon Editor'!$A:$A,'Pokemon Editor'!$C:$C,""),mtype=XLOOKUP(XLOOKUP($Q612,'Threshold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Chart'!$B$1:$S$1,0)))),base,IF(OR(cat="Status",pow=0),0,FLOOR(FLOOR(FLOOR((2*XLOOKUP($Q612,'Threshold Summary'!$Y:$Y,'Threshold Summary'!$L:$L,"")/5+2)*pow*atk/def)/50)+2)),modifier,stab*eff,AVERAGE(ARRAYFORMULA(FLOOR(base*modifier*SEQUENCE(16,1,85,1)/100)))/(FLOOR(((2*XLOOKUP('Boss Editor'!$C$4,'Pokemon Editor'!$A:$A,'Pokemon Editor'!$E:$E,0)+31+FLOOR('Boss Editor'!$G$4/4))*'Boss Editor'!$D$4)/100)+'Boss Editor'!$D$4+10)),0)</f>
        <v/>
      </c>
      <c r="O612" s="3">
        <f>IF(N612&gt;=1,"OHKO",IF(N612&gt;=0.5,"2HKO",IF(N612&gt;=0.333,"3HKO",IF(N612&gt;=0.25,"4HKO","5HKO+"))))</f>
        <v/>
      </c>
      <c r="P612" s="3" t="inlineStr">
        <is>
          <t>Live from editable databases</t>
        </is>
      </c>
      <c r="Q612" s="3" t="inlineStr">
        <is>
          <t>SPECIES_LITLEO</t>
        </is>
      </c>
      <c r="R612" s="3" t="n">
        <v>3</v>
      </c>
    </row>
    <row r="613">
      <c r="A613" s="3">
        <f>XLOOKUP($Q613,'Threshold Summary'!$Y:$Y,'Threshold Summary'!$A:$A,"")</f>
        <v/>
      </c>
      <c r="B613" s="3">
        <f>XLOOKUP($Q613,'Threshold Summary'!$Y:$Y,'Threshold Summary'!$M:$M,"")</f>
        <v/>
      </c>
      <c r="C613" s="3">
        <f>XLOOKUP($Q613,'Threshold Summary'!$Y:$Y,'Threshold Summary'!$N:$N,"")</f>
        <v/>
      </c>
      <c r="D613" s="3">
        <f>IFERROR(INDEX(FILTER('Learnset Editor'!$D$2:$D,'Learnset Editor'!$A$2:$A=XLOOKUP($Q613,'Threshold Summary'!$Y:$Y,'Threshold Summary'!$K:$K,""),'Learnset Editor'!$C$2:$C&lt;=XLOOKUP($Q613,'Threshold Summary'!$Y:$Y,'Threshold Summary'!$L:$L,"")),$R613),"")</f>
        <v/>
      </c>
      <c r="E613" s="3">
        <f>XLOOKUP(D613,'Move Editor'!$B:$B,'Move Editor'!$C:$C,"")</f>
        <v/>
      </c>
      <c r="F613" s="3">
        <f>XLOOKUP(D613,'Move Editor'!$B:$B,'Move Editor'!$D:$D,"")</f>
        <v/>
      </c>
      <c r="G613" s="3">
        <f>XLOOKUP(D613,'Move Editor'!$B:$B,'Move Editor'!$E:$E,0)</f>
        <v/>
      </c>
      <c r="H613" s="3">
        <f>XLOOKUP(D613,'Move Editor'!$B:$B,'Move Editor'!$F:$F,0)</f>
        <v/>
      </c>
      <c r="I613" s="3">
        <f>(INDEX('Type Chart'!$B:$S,MATCH(E613,'Type Chart'!$A:$A,0),MATCH(XLOOKUP('Boss Editor'!$C$4,'Pokemon Editor'!$A:$A,'Pokemon Editor'!$C:$C,""),'Type Chart'!$B$1:$S$1,0))*IF(XLOOKUP('Boss Editor'!$C$4,'Pokemon Editor'!$A:$A,'Pokemon Editor'!$D:$D,"")="",1,INDEX('Type Chart'!$B:$S,MATCH(E613,'Type Chart'!$A:$A,0),MATCH(XLOOKUP('Boss Editor'!$C$4,'Pokemon Editor'!$A:$A,'Pokemon Editor'!$D:$D,""),'Type Chart'!$B$1:$S$1,0))))</f>
        <v/>
      </c>
      <c r="J613" s="3">
        <f>IFERROR(LET(mtype,XLOOKUP($D613,'Move Editor'!$B:$B,'Move Editor'!$C:$C,""),cat,XLOOKUP($D613,'Move Editor'!$B:$B,'Move Editor'!$D:$D,""),pow,XLOOKUP($D613,'Move Editor'!$B:$B,'Move Editor'!$E:$E,0),acc,XLOOKUP($D613,'Move Editor'!$B:$B,'Move Editor'!$F:$F,100),atk,IF(cat="Physical",FLOOR((FLOOR(((2*XLOOKUP(XLOOKUP($Q613,'Threshold Summary'!$Y:$Y,'Threshold Summary'!$K:$K,""),'Pokemon Editor'!$A:$A,'Pokemon Editor'!$F:$F,0)+31+FLOOR(XLOOKUP($Q613,'Threshold Summary'!$Y:$Y,'Threshold Summary'!$P:$P,"")/4))*XLOOKUP($Q613,'Threshold Summary'!$Y:$Y,'Threshold Summary'!$L:$L,""))/100)+5)*XLOOKUP(XLOOKUP($Q613,'Threshold Summary'!$Y:$Y,'Threshold Summary'!$M:$M,""),'Nature Editor'!$A:$A,'Nature Editor'!$B:$B,1)),FLOOR((FLOOR(((2*XLOOKUP(XLOOKUP($Q613,'Threshold Summary'!$Y:$Y,'Threshold Summary'!$K:$K,""),'Pokemon Editor'!$A:$A,'Pokemon Editor'!$H:$H,0)+31+FLOOR(XLOOKUP($Q613,'Threshold Summary'!$Y:$Y,'Threshold Summary'!$R:$R,"")/4))*XLOOKUP($Q613,'Threshold Summary'!$Y:$Y,'Threshold Summary'!$L:$L,""))/100)+5)*XLOOKUP(XLOOKUP($Q613,'Threshold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Editor'!$E:$E,1))),stab,IF(OR(mtype=XLOOKUP(XLOOKUP($Q613,'Threshold Summary'!$Y:$Y,'Threshold Summary'!$K:$K,""),'Pokemon Editor'!$A:$A,'Pokemon Editor'!$C:$C,""),mtype=XLOOKUP(XLOOKUP($Q613,'Threshold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Chart'!$B$1:$S$1,0)))),base,IF(OR(cat="Status",pow=0),0,FLOOR(FLOOR(FLOOR((2*XLOOKUP($Q613,'Threshold Summary'!$Y:$Y,'Threshold Summary'!$L:$L,"")/5+2)*pow*atk/def)/50)+2)),modifier,stab*eff,FLOOR(base*modifier*0.85)),0)</f>
        <v/>
      </c>
      <c r="K613" s="3">
        <f>IFERROR(LET(mtype,XLOOKUP($D613,'Move Editor'!$B:$B,'Move Editor'!$C:$C,""),cat,XLOOKUP($D613,'Move Editor'!$B:$B,'Move Editor'!$D:$D,""),pow,XLOOKUP($D613,'Move Editor'!$B:$B,'Move Editor'!$E:$E,0),acc,XLOOKUP($D613,'Move Editor'!$B:$B,'Move Editor'!$F:$F,100),atk,IF(cat="Physical",FLOOR((FLOOR(((2*XLOOKUP(XLOOKUP($Q613,'Threshold Summary'!$Y:$Y,'Threshold Summary'!$K:$K,""),'Pokemon Editor'!$A:$A,'Pokemon Editor'!$F:$F,0)+31+FLOOR(XLOOKUP($Q613,'Threshold Summary'!$Y:$Y,'Threshold Summary'!$P:$P,"")/4))*XLOOKUP($Q613,'Threshold Summary'!$Y:$Y,'Threshold Summary'!$L:$L,""))/100)+5)*XLOOKUP(XLOOKUP($Q613,'Threshold Summary'!$Y:$Y,'Threshold Summary'!$M:$M,""),'Nature Editor'!$A:$A,'Nature Editor'!$B:$B,1)),FLOOR((FLOOR(((2*XLOOKUP(XLOOKUP($Q613,'Threshold Summary'!$Y:$Y,'Threshold Summary'!$K:$K,""),'Pokemon Editor'!$A:$A,'Pokemon Editor'!$H:$H,0)+31+FLOOR(XLOOKUP($Q613,'Threshold Summary'!$Y:$Y,'Threshold Summary'!$R:$R,"")/4))*XLOOKUP($Q613,'Threshold Summary'!$Y:$Y,'Threshold Summary'!$L:$L,""))/100)+5)*XLOOKUP(XLOOKUP($Q613,'Threshold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Editor'!$E:$E,1))),stab,IF(OR(mtype=XLOOKUP(XLOOKUP($Q613,'Threshold Summary'!$Y:$Y,'Threshold Summary'!$K:$K,""),'Pokemon Editor'!$A:$A,'Pokemon Editor'!$C:$C,""),mtype=XLOOKUP(XLOOKUP($Q613,'Threshold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Chart'!$B$1:$S$1,0)))),base,IF(OR(cat="Status",pow=0),0,FLOOR(FLOOR(FLOOR((2*XLOOKUP($Q613,'Threshold Summary'!$Y:$Y,'Threshold Summary'!$L:$L,"")/5+2)*pow*atk/def)/50)+2)),modifier,stab*eff,FLOOR(base*modifier)),0)</f>
        <v/>
      </c>
      <c r="L613" s="3">
        <f>IFERROR(LET(mtype,XLOOKUP($D613,'Move Editor'!$B:$B,'Move Editor'!$C:$C,""),cat,XLOOKUP($D613,'Move Editor'!$B:$B,'Move Editor'!$D:$D,""),pow,XLOOKUP($D613,'Move Editor'!$B:$B,'Move Editor'!$E:$E,0),acc,XLOOKUP($D613,'Move Editor'!$B:$B,'Move Editor'!$F:$F,100),atk,IF(cat="Physical",FLOOR((FLOOR(((2*XLOOKUP(XLOOKUP($Q613,'Threshold Summary'!$Y:$Y,'Threshold Summary'!$K:$K,""),'Pokemon Editor'!$A:$A,'Pokemon Editor'!$F:$F,0)+31+FLOOR(XLOOKUP($Q613,'Threshold Summary'!$Y:$Y,'Threshold Summary'!$P:$P,"")/4))*XLOOKUP($Q613,'Threshold Summary'!$Y:$Y,'Threshold Summary'!$L:$L,""))/100)+5)*XLOOKUP(XLOOKUP($Q613,'Threshold Summary'!$Y:$Y,'Threshold Summary'!$M:$M,""),'Nature Editor'!$A:$A,'Nature Editor'!$B:$B,1)),FLOOR((FLOOR(((2*XLOOKUP(XLOOKUP($Q613,'Threshold Summary'!$Y:$Y,'Threshold Summary'!$K:$K,""),'Pokemon Editor'!$A:$A,'Pokemon Editor'!$H:$H,0)+31+FLOOR(XLOOKUP($Q613,'Threshold Summary'!$Y:$Y,'Threshold Summary'!$R:$R,"")/4))*XLOOKUP($Q613,'Threshold Summary'!$Y:$Y,'Threshold Summary'!$L:$L,""))/100)+5)*XLOOKUP(XLOOKUP($Q613,'Threshold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Editor'!$E:$E,1))),stab,IF(OR(mtype=XLOOKUP(XLOOKUP($Q613,'Threshold Summary'!$Y:$Y,'Threshold Summary'!$K:$K,""),'Pokemon Editor'!$A:$A,'Pokemon Editor'!$C:$C,""),mtype=XLOOKUP(XLOOKUP($Q613,'Threshold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Chart'!$B$1:$S$1,0)))),base,IF(OR(cat="Status",pow=0),0,FLOOR(FLOOR(FLOOR((2*XLOOKUP($Q613,'Threshold Summary'!$Y:$Y,'Threshold Summary'!$L:$L,"")/5+2)*pow*atk/def)/50)+2)),modifier,stab*eff,AVERAGE(ARRAYFORMULA(FLOOR(base*modifier*SEQUENCE(16,1,85,1)/100)))),0)</f>
        <v/>
      </c>
      <c r="M613" s="3">
        <f>IFERROR(LET(mtype,XLOOKUP($D613,'Move Editor'!$B:$B,'Move Editor'!$C:$C,""),cat,XLOOKUP($D613,'Move Editor'!$B:$B,'Move Editor'!$D:$D,""),pow,XLOOKUP($D613,'Move Editor'!$B:$B,'Move Editor'!$E:$E,0),acc,XLOOKUP($D613,'Move Editor'!$B:$B,'Move Editor'!$F:$F,100),atk,IF(cat="Physical",FLOOR((FLOOR(((2*XLOOKUP(XLOOKUP($Q613,'Threshold Summary'!$Y:$Y,'Threshold Summary'!$K:$K,""),'Pokemon Editor'!$A:$A,'Pokemon Editor'!$F:$F,0)+31+FLOOR(XLOOKUP($Q613,'Threshold Summary'!$Y:$Y,'Threshold Summary'!$P:$P,"")/4))*XLOOKUP($Q613,'Threshold Summary'!$Y:$Y,'Threshold Summary'!$L:$L,""))/100)+5)*XLOOKUP(XLOOKUP($Q613,'Threshold Summary'!$Y:$Y,'Threshold Summary'!$M:$M,""),'Nature Editor'!$A:$A,'Nature Editor'!$B:$B,1)),FLOOR((FLOOR(((2*XLOOKUP(XLOOKUP($Q613,'Threshold Summary'!$Y:$Y,'Threshold Summary'!$K:$K,""),'Pokemon Editor'!$A:$A,'Pokemon Editor'!$H:$H,0)+31+FLOOR(XLOOKUP($Q613,'Threshold Summary'!$Y:$Y,'Threshold Summary'!$R:$R,"")/4))*XLOOKUP($Q613,'Threshold Summary'!$Y:$Y,'Threshold Summary'!$L:$L,""))/100)+5)*XLOOKUP(XLOOKUP($Q613,'Threshold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Editor'!$E:$E,1))),stab,IF(OR(mtype=XLOOKUP(XLOOKUP($Q613,'Threshold Summary'!$Y:$Y,'Threshold Summary'!$K:$K,""),'Pokemon Editor'!$A:$A,'Pokemon Editor'!$C:$C,""),mtype=XLOOKUP(XLOOKUP($Q613,'Threshold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Chart'!$B$1:$S$1,0)))),base,IF(OR(cat="Status",pow=0),0,FLOOR(FLOOR(FLOOR((2*XLOOKUP($Q613,'Threshold Summary'!$Y:$Y,'Threshold Summary'!$L:$L,"")/5+2)*pow*atk/def)/50)+2)),modifier,stab*eff,AVERAGE(ARRAYFORMULA(FLOOR(base*modifier*SEQUENCE(16,1,85,1)/100)))*MIN(1,acc/100)),0)</f>
        <v/>
      </c>
      <c r="N613" s="4">
        <f>IFERROR(LET(mtype,XLOOKUP($D613,'Move Editor'!$B:$B,'Move Editor'!$C:$C,""),cat,XLOOKUP($D613,'Move Editor'!$B:$B,'Move Editor'!$D:$D,""),pow,XLOOKUP($D613,'Move Editor'!$B:$B,'Move Editor'!$E:$E,0),acc,XLOOKUP($D613,'Move Editor'!$B:$B,'Move Editor'!$F:$F,100),atk,IF(cat="Physical",FLOOR((FLOOR(((2*XLOOKUP(XLOOKUP($Q613,'Threshold Summary'!$Y:$Y,'Threshold Summary'!$K:$K,""),'Pokemon Editor'!$A:$A,'Pokemon Editor'!$F:$F,0)+31+FLOOR(XLOOKUP($Q613,'Threshold Summary'!$Y:$Y,'Threshold Summary'!$P:$P,"")/4))*XLOOKUP($Q613,'Threshold Summary'!$Y:$Y,'Threshold Summary'!$L:$L,""))/100)+5)*XLOOKUP(XLOOKUP($Q613,'Threshold Summary'!$Y:$Y,'Threshold Summary'!$M:$M,""),'Nature Editor'!$A:$A,'Nature Editor'!$B:$B,1)),FLOOR((FLOOR(((2*XLOOKUP(XLOOKUP($Q613,'Threshold Summary'!$Y:$Y,'Threshold Summary'!$K:$K,""),'Pokemon Editor'!$A:$A,'Pokemon Editor'!$H:$H,0)+31+FLOOR(XLOOKUP($Q613,'Threshold Summary'!$Y:$Y,'Threshold Summary'!$R:$R,"")/4))*XLOOKUP($Q613,'Threshold Summary'!$Y:$Y,'Threshold Summary'!$L:$L,""))/100)+5)*XLOOKUP(XLOOKUP($Q613,'Threshold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Editor'!$E:$E,1))),stab,IF(OR(mtype=XLOOKUP(XLOOKUP($Q613,'Threshold Summary'!$Y:$Y,'Threshold Summary'!$K:$K,""),'Pokemon Editor'!$A:$A,'Pokemon Editor'!$C:$C,""),mtype=XLOOKUP(XLOOKUP($Q613,'Threshold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Chart'!$B$1:$S$1,0)))),base,IF(OR(cat="Status",pow=0),0,FLOOR(FLOOR(FLOOR((2*XLOOKUP($Q613,'Threshold Summary'!$Y:$Y,'Threshold Summary'!$L:$L,"")/5+2)*pow*atk/def)/50)+2)),modifier,stab*eff,AVERAGE(ARRAYFORMULA(FLOOR(base*modifier*SEQUENCE(16,1,85,1)/100)))/(FLOOR(((2*XLOOKUP('Boss Editor'!$C$4,'Pokemon Editor'!$A:$A,'Pokemon Editor'!$E:$E,0)+31+FLOOR('Boss Editor'!$G$4/4))*'Boss Editor'!$D$4)/100)+'Boss Editor'!$D$4+10)),0)</f>
        <v/>
      </c>
      <c r="O613" s="3">
        <f>IF(N613&gt;=1,"OHKO",IF(N613&gt;=0.5,"2HKO",IF(N613&gt;=0.333,"3HKO",IF(N613&gt;=0.25,"4HKO","5HKO+"))))</f>
        <v/>
      </c>
      <c r="P613" s="3" t="inlineStr">
        <is>
          <t>Live from editable databases</t>
        </is>
      </c>
      <c r="Q613" s="3" t="inlineStr">
        <is>
          <t>SPECIES_LITLEO</t>
        </is>
      </c>
      <c r="R613" s="3" t="n">
        <v>4</v>
      </c>
    </row>
    <row r="614">
      <c r="A614" s="3">
        <f>XLOOKUP($Q614,'Threshold Summary'!$Y:$Y,'Threshold Summary'!$A:$A,"")</f>
        <v/>
      </c>
      <c r="B614" s="3">
        <f>XLOOKUP($Q614,'Threshold Summary'!$Y:$Y,'Threshold Summary'!$M:$M,"")</f>
        <v/>
      </c>
      <c r="C614" s="3">
        <f>XLOOKUP($Q614,'Threshold Summary'!$Y:$Y,'Threshold Summary'!$N:$N,"")</f>
        <v/>
      </c>
      <c r="D614" s="3">
        <f>IFERROR(INDEX(FILTER('Learnset Editor'!$D$2:$D,'Learnset Editor'!$A$2:$A=XLOOKUP($Q614,'Threshold Summary'!$Y:$Y,'Threshold Summary'!$K:$K,""),'Learnset Editor'!$C$2:$C&lt;=XLOOKUP($Q614,'Threshold Summary'!$Y:$Y,'Threshold Summary'!$L:$L,"")),$R614),"")</f>
        <v/>
      </c>
      <c r="E614" s="3">
        <f>XLOOKUP(D614,'Move Editor'!$B:$B,'Move Editor'!$C:$C,"")</f>
        <v/>
      </c>
      <c r="F614" s="3">
        <f>XLOOKUP(D614,'Move Editor'!$B:$B,'Move Editor'!$D:$D,"")</f>
        <v/>
      </c>
      <c r="G614" s="3">
        <f>XLOOKUP(D614,'Move Editor'!$B:$B,'Move Editor'!$E:$E,0)</f>
        <v/>
      </c>
      <c r="H614" s="3">
        <f>XLOOKUP(D614,'Move Editor'!$B:$B,'Move Editor'!$F:$F,0)</f>
        <v/>
      </c>
      <c r="I614" s="3">
        <f>(INDEX('Type Chart'!$B:$S,MATCH(E614,'Type Chart'!$A:$A,0),MATCH(XLOOKUP('Boss Editor'!$C$4,'Pokemon Editor'!$A:$A,'Pokemon Editor'!$C:$C,""),'Type Chart'!$B$1:$S$1,0))*IF(XLOOKUP('Boss Editor'!$C$4,'Pokemon Editor'!$A:$A,'Pokemon Editor'!$D:$D,"")="",1,INDEX('Type Chart'!$B:$S,MATCH(E614,'Type Chart'!$A:$A,0),MATCH(XLOOKUP('Boss Editor'!$C$4,'Pokemon Editor'!$A:$A,'Pokemon Editor'!$D:$D,""),'Type Chart'!$B$1:$S$1,0))))</f>
        <v/>
      </c>
      <c r="J614" s="3">
        <f>IFERROR(LET(mtype,XLOOKUP($D614,'Move Editor'!$B:$B,'Move Editor'!$C:$C,""),cat,XLOOKUP($D614,'Move Editor'!$B:$B,'Move Editor'!$D:$D,""),pow,XLOOKUP($D614,'Move Editor'!$B:$B,'Move Editor'!$E:$E,0),acc,XLOOKUP($D614,'Move Editor'!$B:$B,'Move Editor'!$F:$F,100),atk,IF(cat="Physical",FLOOR((FLOOR(((2*XLOOKUP(XLOOKUP($Q614,'Threshold Summary'!$Y:$Y,'Threshold Summary'!$K:$K,""),'Pokemon Editor'!$A:$A,'Pokemon Editor'!$F:$F,0)+31+FLOOR(XLOOKUP($Q614,'Threshold Summary'!$Y:$Y,'Threshold Summary'!$P:$P,"")/4))*XLOOKUP($Q614,'Threshold Summary'!$Y:$Y,'Threshold Summary'!$L:$L,""))/100)+5)*XLOOKUP(XLOOKUP($Q614,'Threshold Summary'!$Y:$Y,'Threshold Summary'!$M:$M,""),'Nature Editor'!$A:$A,'Nature Editor'!$B:$B,1)),FLOOR((FLOOR(((2*XLOOKUP(XLOOKUP($Q614,'Threshold Summary'!$Y:$Y,'Threshold Summary'!$K:$K,""),'Pokemon Editor'!$A:$A,'Pokemon Editor'!$H:$H,0)+31+FLOOR(XLOOKUP($Q614,'Threshold Summary'!$Y:$Y,'Threshold Summary'!$R:$R,"")/4))*XLOOKUP($Q614,'Threshold Summary'!$Y:$Y,'Threshold Summary'!$L:$L,""))/100)+5)*XLOOKUP(XLOOKUP($Q614,'Threshold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Editor'!$E:$E,1))),stab,IF(OR(mtype=XLOOKUP(XLOOKUP($Q614,'Threshold Summary'!$Y:$Y,'Threshold Summary'!$K:$K,""),'Pokemon Editor'!$A:$A,'Pokemon Editor'!$C:$C,""),mtype=XLOOKUP(XLOOKUP($Q614,'Threshold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Chart'!$B$1:$S$1,0)))),base,IF(OR(cat="Status",pow=0),0,FLOOR(FLOOR(FLOOR((2*XLOOKUP($Q614,'Threshold Summary'!$Y:$Y,'Threshold Summary'!$L:$L,"")/5+2)*pow*atk/def)/50)+2)),modifier,stab*eff,FLOOR(base*modifier*0.85)),0)</f>
        <v/>
      </c>
      <c r="K614" s="3">
        <f>IFERROR(LET(mtype,XLOOKUP($D614,'Move Editor'!$B:$B,'Move Editor'!$C:$C,""),cat,XLOOKUP($D614,'Move Editor'!$B:$B,'Move Editor'!$D:$D,""),pow,XLOOKUP($D614,'Move Editor'!$B:$B,'Move Editor'!$E:$E,0),acc,XLOOKUP($D614,'Move Editor'!$B:$B,'Move Editor'!$F:$F,100),atk,IF(cat="Physical",FLOOR((FLOOR(((2*XLOOKUP(XLOOKUP($Q614,'Threshold Summary'!$Y:$Y,'Threshold Summary'!$K:$K,""),'Pokemon Editor'!$A:$A,'Pokemon Editor'!$F:$F,0)+31+FLOOR(XLOOKUP($Q614,'Threshold Summary'!$Y:$Y,'Threshold Summary'!$P:$P,"")/4))*XLOOKUP($Q614,'Threshold Summary'!$Y:$Y,'Threshold Summary'!$L:$L,""))/100)+5)*XLOOKUP(XLOOKUP($Q614,'Threshold Summary'!$Y:$Y,'Threshold Summary'!$M:$M,""),'Nature Editor'!$A:$A,'Nature Editor'!$B:$B,1)),FLOOR((FLOOR(((2*XLOOKUP(XLOOKUP($Q614,'Threshold Summary'!$Y:$Y,'Threshold Summary'!$K:$K,""),'Pokemon Editor'!$A:$A,'Pokemon Editor'!$H:$H,0)+31+FLOOR(XLOOKUP($Q614,'Threshold Summary'!$Y:$Y,'Threshold Summary'!$R:$R,"")/4))*XLOOKUP($Q614,'Threshold Summary'!$Y:$Y,'Threshold Summary'!$L:$L,""))/100)+5)*XLOOKUP(XLOOKUP($Q614,'Threshold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Editor'!$E:$E,1))),stab,IF(OR(mtype=XLOOKUP(XLOOKUP($Q614,'Threshold Summary'!$Y:$Y,'Threshold Summary'!$K:$K,""),'Pokemon Editor'!$A:$A,'Pokemon Editor'!$C:$C,""),mtype=XLOOKUP(XLOOKUP($Q614,'Threshold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Chart'!$B$1:$S$1,0)))),base,IF(OR(cat="Status",pow=0),0,FLOOR(FLOOR(FLOOR((2*XLOOKUP($Q614,'Threshold Summary'!$Y:$Y,'Threshold Summary'!$L:$L,"")/5+2)*pow*atk/def)/50)+2)),modifier,stab*eff,FLOOR(base*modifier)),0)</f>
        <v/>
      </c>
      <c r="L614" s="3">
        <f>IFERROR(LET(mtype,XLOOKUP($D614,'Move Editor'!$B:$B,'Move Editor'!$C:$C,""),cat,XLOOKUP($D614,'Move Editor'!$B:$B,'Move Editor'!$D:$D,""),pow,XLOOKUP($D614,'Move Editor'!$B:$B,'Move Editor'!$E:$E,0),acc,XLOOKUP($D614,'Move Editor'!$B:$B,'Move Editor'!$F:$F,100),atk,IF(cat="Physical",FLOOR((FLOOR(((2*XLOOKUP(XLOOKUP($Q614,'Threshold Summary'!$Y:$Y,'Threshold Summary'!$K:$K,""),'Pokemon Editor'!$A:$A,'Pokemon Editor'!$F:$F,0)+31+FLOOR(XLOOKUP($Q614,'Threshold Summary'!$Y:$Y,'Threshold Summary'!$P:$P,"")/4))*XLOOKUP($Q614,'Threshold Summary'!$Y:$Y,'Threshold Summary'!$L:$L,""))/100)+5)*XLOOKUP(XLOOKUP($Q614,'Threshold Summary'!$Y:$Y,'Threshold Summary'!$M:$M,""),'Nature Editor'!$A:$A,'Nature Editor'!$B:$B,1)),FLOOR((FLOOR(((2*XLOOKUP(XLOOKUP($Q614,'Threshold Summary'!$Y:$Y,'Threshold Summary'!$K:$K,""),'Pokemon Editor'!$A:$A,'Pokemon Editor'!$H:$H,0)+31+FLOOR(XLOOKUP($Q614,'Threshold Summary'!$Y:$Y,'Threshold Summary'!$R:$R,"")/4))*XLOOKUP($Q614,'Threshold Summary'!$Y:$Y,'Threshold Summary'!$L:$L,""))/100)+5)*XLOOKUP(XLOOKUP($Q614,'Threshold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Editor'!$E:$E,1))),stab,IF(OR(mtype=XLOOKUP(XLOOKUP($Q614,'Threshold Summary'!$Y:$Y,'Threshold Summary'!$K:$K,""),'Pokemon Editor'!$A:$A,'Pokemon Editor'!$C:$C,""),mtype=XLOOKUP(XLOOKUP($Q614,'Threshold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Chart'!$B$1:$S$1,0)))),base,IF(OR(cat="Status",pow=0),0,FLOOR(FLOOR(FLOOR((2*XLOOKUP($Q614,'Threshold Summary'!$Y:$Y,'Threshold Summary'!$L:$L,"")/5+2)*pow*atk/def)/50)+2)),modifier,stab*eff,AVERAGE(ARRAYFORMULA(FLOOR(base*modifier*SEQUENCE(16,1,85,1)/100)))),0)</f>
        <v/>
      </c>
      <c r="M614" s="3">
        <f>IFERROR(LET(mtype,XLOOKUP($D614,'Move Editor'!$B:$B,'Move Editor'!$C:$C,""),cat,XLOOKUP($D614,'Move Editor'!$B:$B,'Move Editor'!$D:$D,""),pow,XLOOKUP($D614,'Move Editor'!$B:$B,'Move Editor'!$E:$E,0),acc,XLOOKUP($D614,'Move Editor'!$B:$B,'Move Editor'!$F:$F,100),atk,IF(cat="Physical",FLOOR((FLOOR(((2*XLOOKUP(XLOOKUP($Q614,'Threshold Summary'!$Y:$Y,'Threshold Summary'!$K:$K,""),'Pokemon Editor'!$A:$A,'Pokemon Editor'!$F:$F,0)+31+FLOOR(XLOOKUP($Q614,'Threshold Summary'!$Y:$Y,'Threshold Summary'!$P:$P,"")/4))*XLOOKUP($Q614,'Threshold Summary'!$Y:$Y,'Threshold Summary'!$L:$L,""))/100)+5)*XLOOKUP(XLOOKUP($Q614,'Threshold Summary'!$Y:$Y,'Threshold Summary'!$M:$M,""),'Nature Editor'!$A:$A,'Nature Editor'!$B:$B,1)),FLOOR((FLOOR(((2*XLOOKUP(XLOOKUP($Q614,'Threshold Summary'!$Y:$Y,'Threshold Summary'!$K:$K,""),'Pokemon Editor'!$A:$A,'Pokemon Editor'!$H:$H,0)+31+FLOOR(XLOOKUP($Q614,'Threshold Summary'!$Y:$Y,'Threshold Summary'!$R:$R,"")/4))*XLOOKUP($Q614,'Threshold Summary'!$Y:$Y,'Threshold Summary'!$L:$L,""))/100)+5)*XLOOKUP(XLOOKUP($Q614,'Threshold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Editor'!$E:$E,1))),stab,IF(OR(mtype=XLOOKUP(XLOOKUP($Q614,'Threshold Summary'!$Y:$Y,'Threshold Summary'!$K:$K,""),'Pokemon Editor'!$A:$A,'Pokemon Editor'!$C:$C,""),mtype=XLOOKUP(XLOOKUP($Q614,'Threshold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Chart'!$B$1:$S$1,0)))),base,IF(OR(cat="Status",pow=0),0,FLOOR(FLOOR(FLOOR((2*XLOOKUP($Q614,'Threshold Summary'!$Y:$Y,'Threshold Summary'!$L:$L,"")/5+2)*pow*atk/def)/50)+2)),modifier,stab*eff,AVERAGE(ARRAYFORMULA(FLOOR(base*modifier*SEQUENCE(16,1,85,1)/100)))*MIN(1,acc/100)),0)</f>
        <v/>
      </c>
      <c r="N614" s="4">
        <f>IFERROR(LET(mtype,XLOOKUP($D614,'Move Editor'!$B:$B,'Move Editor'!$C:$C,""),cat,XLOOKUP($D614,'Move Editor'!$B:$B,'Move Editor'!$D:$D,""),pow,XLOOKUP($D614,'Move Editor'!$B:$B,'Move Editor'!$E:$E,0),acc,XLOOKUP($D614,'Move Editor'!$B:$B,'Move Editor'!$F:$F,100),atk,IF(cat="Physical",FLOOR((FLOOR(((2*XLOOKUP(XLOOKUP($Q614,'Threshold Summary'!$Y:$Y,'Threshold Summary'!$K:$K,""),'Pokemon Editor'!$A:$A,'Pokemon Editor'!$F:$F,0)+31+FLOOR(XLOOKUP($Q614,'Threshold Summary'!$Y:$Y,'Threshold Summary'!$P:$P,"")/4))*XLOOKUP($Q614,'Threshold Summary'!$Y:$Y,'Threshold Summary'!$L:$L,""))/100)+5)*XLOOKUP(XLOOKUP($Q614,'Threshold Summary'!$Y:$Y,'Threshold Summary'!$M:$M,""),'Nature Editor'!$A:$A,'Nature Editor'!$B:$B,1)),FLOOR((FLOOR(((2*XLOOKUP(XLOOKUP($Q614,'Threshold Summary'!$Y:$Y,'Threshold Summary'!$K:$K,""),'Pokemon Editor'!$A:$A,'Pokemon Editor'!$H:$H,0)+31+FLOOR(XLOOKUP($Q614,'Threshold Summary'!$Y:$Y,'Threshold Summary'!$R:$R,"")/4))*XLOOKUP($Q614,'Threshold Summary'!$Y:$Y,'Threshold Summary'!$L:$L,""))/100)+5)*XLOOKUP(XLOOKUP($Q614,'Threshold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Editor'!$E:$E,1))),stab,IF(OR(mtype=XLOOKUP(XLOOKUP($Q614,'Threshold Summary'!$Y:$Y,'Threshold Summary'!$K:$K,""),'Pokemon Editor'!$A:$A,'Pokemon Editor'!$C:$C,""),mtype=XLOOKUP(XLOOKUP($Q614,'Threshold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Chart'!$B$1:$S$1,0)))),base,IF(OR(cat="Status",pow=0),0,FLOOR(FLOOR(FLOOR((2*XLOOKUP($Q614,'Threshold Summary'!$Y:$Y,'Threshold Summary'!$L:$L,"")/5+2)*pow*atk/def)/50)+2)),modifier,stab*eff,AVERAGE(ARRAYFORMULA(FLOOR(base*modifier*SEQUENCE(16,1,85,1)/100)))/(FLOOR(((2*XLOOKUP('Boss Editor'!$C$4,'Pokemon Editor'!$A:$A,'Pokemon Editor'!$E:$E,0)+31+FLOOR('Boss Editor'!$G$4/4))*'Boss Editor'!$D$4)/100)+'Boss Editor'!$D$4+10)),0)</f>
        <v/>
      </c>
      <c r="O614" s="3">
        <f>IF(N614&gt;=1,"OHKO",IF(N614&gt;=0.5,"2HKO",IF(N614&gt;=0.333,"3HKO",IF(N614&gt;=0.25,"4HKO","5HKO+"))))</f>
        <v/>
      </c>
      <c r="P614" s="3" t="inlineStr">
        <is>
          <t>Live from editable databases</t>
        </is>
      </c>
      <c r="Q614" s="3" t="inlineStr">
        <is>
          <t>SPECIES_LITLEO</t>
        </is>
      </c>
      <c r="R614" s="3" t="n">
        <v>5</v>
      </c>
    </row>
    <row r="615">
      <c r="A615" s="3">
        <f>XLOOKUP($Q615,'Threshold Summary'!$Y:$Y,'Threshold Summary'!$A:$A,"")</f>
        <v/>
      </c>
      <c r="B615" s="3">
        <f>XLOOKUP($Q615,'Threshold Summary'!$Y:$Y,'Threshold Summary'!$M:$M,"")</f>
        <v/>
      </c>
      <c r="C615" s="3">
        <f>XLOOKUP($Q615,'Threshold Summary'!$Y:$Y,'Threshold Summary'!$N:$N,"")</f>
        <v/>
      </c>
      <c r="D615" s="3">
        <f>IFERROR(INDEX(FILTER('Learnset Editor'!$D$2:$D,'Learnset Editor'!$A$2:$A=XLOOKUP($Q615,'Threshold Summary'!$Y:$Y,'Threshold Summary'!$K:$K,""),'Learnset Editor'!$C$2:$C&lt;=XLOOKUP($Q615,'Threshold Summary'!$Y:$Y,'Threshold Summary'!$L:$L,"")),$R615),"")</f>
        <v/>
      </c>
      <c r="E615" s="3">
        <f>XLOOKUP(D615,'Move Editor'!$B:$B,'Move Editor'!$C:$C,"")</f>
        <v/>
      </c>
      <c r="F615" s="3">
        <f>XLOOKUP(D615,'Move Editor'!$B:$B,'Move Editor'!$D:$D,"")</f>
        <v/>
      </c>
      <c r="G615" s="3">
        <f>XLOOKUP(D615,'Move Editor'!$B:$B,'Move Editor'!$E:$E,0)</f>
        <v/>
      </c>
      <c r="H615" s="3">
        <f>XLOOKUP(D615,'Move Editor'!$B:$B,'Move Editor'!$F:$F,0)</f>
        <v/>
      </c>
      <c r="I615" s="3">
        <f>(INDEX('Type Chart'!$B:$S,MATCH(E615,'Type Chart'!$A:$A,0),MATCH(XLOOKUP('Boss Editor'!$C$4,'Pokemon Editor'!$A:$A,'Pokemon Editor'!$C:$C,""),'Type Chart'!$B$1:$S$1,0))*IF(XLOOKUP('Boss Editor'!$C$4,'Pokemon Editor'!$A:$A,'Pokemon Editor'!$D:$D,"")="",1,INDEX('Type Chart'!$B:$S,MATCH(E615,'Type Chart'!$A:$A,0),MATCH(XLOOKUP('Boss Editor'!$C$4,'Pokemon Editor'!$A:$A,'Pokemon Editor'!$D:$D,""),'Type Chart'!$B$1:$S$1,0))))</f>
        <v/>
      </c>
      <c r="J615" s="3">
        <f>IFERROR(LET(mtype,XLOOKUP($D615,'Move Editor'!$B:$B,'Move Editor'!$C:$C,""),cat,XLOOKUP($D615,'Move Editor'!$B:$B,'Move Editor'!$D:$D,""),pow,XLOOKUP($D615,'Move Editor'!$B:$B,'Move Editor'!$E:$E,0),acc,XLOOKUP($D615,'Move Editor'!$B:$B,'Move Editor'!$F:$F,100),atk,IF(cat="Physical",FLOOR((FLOOR(((2*XLOOKUP(XLOOKUP($Q615,'Threshold Summary'!$Y:$Y,'Threshold Summary'!$K:$K,""),'Pokemon Editor'!$A:$A,'Pokemon Editor'!$F:$F,0)+31+FLOOR(XLOOKUP($Q615,'Threshold Summary'!$Y:$Y,'Threshold Summary'!$P:$P,"")/4))*XLOOKUP($Q615,'Threshold Summary'!$Y:$Y,'Threshold Summary'!$L:$L,""))/100)+5)*XLOOKUP(XLOOKUP($Q615,'Threshold Summary'!$Y:$Y,'Threshold Summary'!$M:$M,""),'Nature Editor'!$A:$A,'Nature Editor'!$B:$B,1)),FLOOR((FLOOR(((2*XLOOKUP(XLOOKUP($Q615,'Threshold Summary'!$Y:$Y,'Threshold Summary'!$K:$K,""),'Pokemon Editor'!$A:$A,'Pokemon Editor'!$H:$H,0)+31+FLOOR(XLOOKUP($Q615,'Threshold Summary'!$Y:$Y,'Threshold Summary'!$R:$R,"")/4))*XLOOKUP($Q615,'Threshold Summary'!$Y:$Y,'Threshold Summary'!$L:$L,""))/100)+5)*XLOOKUP(XLOOKUP($Q615,'Threshold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Editor'!$E:$E,1))),stab,IF(OR(mtype=XLOOKUP(XLOOKUP($Q615,'Threshold Summary'!$Y:$Y,'Threshold Summary'!$K:$K,""),'Pokemon Editor'!$A:$A,'Pokemon Editor'!$C:$C,""),mtype=XLOOKUP(XLOOKUP($Q615,'Threshold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Chart'!$B$1:$S$1,0)))),base,IF(OR(cat="Status",pow=0),0,FLOOR(FLOOR(FLOOR((2*XLOOKUP($Q615,'Threshold Summary'!$Y:$Y,'Threshold Summary'!$L:$L,"")/5+2)*pow*atk/def)/50)+2)),modifier,stab*eff,FLOOR(base*modifier*0.85)),0)</f>
        <v/>
      </c>
      <c r="K615" s="3">
        <f>IFERROR(LET(mtype,XLOOKUP($D615,'Move Editor'!$B:$B,'Move Editor'!$C:$C,""),cat,XLOOKUP($D615,'Move Editor'!$B:$B,'Move Editor'!$D:$D,""),pow,XLOOKUP($D615,'Move Editor'!$B:$B,'Move Editor'!$E:$E,0),acc,XLOOKUP($D615,'Move Editor'!$B:$B,'Move Editor'!$F:$F,100),atk,IF(cat="Physical",FLOOR((FLOOR(((2*XLOOKUP(XLOOKUP($Q615,'Threshold Summary'!$Y:$Y,'Threshold Summary'!$K:$K,""),'Pokemon Editor'!$A:$A,'Pokemon Editor'!$F:$F,0)+31+FLOOR(XLOOKUP($Q615,'Threshold Summary'!$Y:$Y,'Threshold Summary'!$P:$P,"")/4))*XLOOKUP($Q615,'Threshold Summary'!$Y:$Y,'Threshold Summary'!$L:$L,""))/100)+5)*XLOOKUP(XLOOKUP($Q615,'Threshold Summary'!$Y:$Y,'Threshold Summary'!$M:$M,""),'Nature Editor'!$A:$A,'Nature Editor'!$B:$B,1)),FLOOR((FLOOR(((2*XLOOKUP(XLOOKUP($Q615,'Threshold Summary'!$Y:$Y,'Threshold Summary'!$K:$K,""),'Pokemon Editor'!$A:$A,'Pokemon Editor'!$H:$H,0)+31+FLOOR(XLOOKUP($Q615,'Threshold Summary'!$Y:$Y,'Threshold Summary'!$R:$R,"")/4))*XLOOKUP($Q615,'Threshold Summary'!$Y:$Y,'Threshold Summary'!$L:$L,""))/100)+5)*XLOOKUP(XLOOKUP($Q615,'Threshold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Editor'!$E:$E,1))),stab,IF(OR(mtype=XLOOKUP(XLOOKUP($Q615,'Threshold Summary'!$Y:$Y,'Threshold Summary'!$K:$K,""),'Pokemon Editor'!$A:$A,'Pokemon Editor'!$C:$C,""),mtype=XLOOKUP(XLOOKUP($Q615,'Threshold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Chart'!$B$1:$S$1,0)))),base,IF(OR(cat="Status",pow=0),0,FLOOR(FLOOR(FLOOR((2*XLOOKUP($Q615,'Threshold Summary'!$Y:$Y,'Threshold Summary'!$L:$L,"")/5+2)*pow*atk/def)/50)+2)),modifier,stab*eff,FLOOR(base*modifier)),0)</f>
        <v/>
      </c>
      <c r="L615" s="3">
        <f>IFERROR(LET(mtype,XLOOKUP($D615,'Move Editor'!$B:$B,'Move Editor'!$C:$C,""),cat,XLOOKUP($D615,'Move Editor'!$B:$B,'Move Editor'!$D:$D,""),pow,XLOOKUP($D615,'Move Editor'!$B:$B,'Move Editor'!$E:$E,0),acc,XLOOKUP($D615,'Move Editor'!$B:$B,'Move Editor'!$F:$F,100),atk,IF(cat="Physical",FLOOR((FLOOR(((2*XLOOKUP(XLOOKUP($Q615,'Threshold Summary'!$Y:$Y,'Threshold Summary'!$K:$K,""),'Pokemon Editor'!$A:$A,'Pokemon Editor'!$F:$F,0)+31+FLOOR(XLOOKUP($Q615,'Threshold Summary'!$Y:$Y,'Threshold Summary'!$P:$P,"")/4))*XLOOKUP($Q615,'Threshold Summary'!$Y:$Y,'Threshold Summary'!$L:$L,""))/100)+5)*XLOOKUP(XLOOKUP($Q615,'Threshold Summary'!$Y:$Y,'Threshold Summary'!$M:$M,""),'Nature Editor'!$A:$A,'Nature Editor'!$B:$B,1)),FLOOR((FLOOR(((2*XLOOKUP(XLOOKUP($Q615,'Threshold Summary'!$Y:$Y,'Threshold Summary'!$K:$K,""),'Pokemon Editor'!$A:$A,'Pokemon Editor'!$H:$H,0)+31+FLOOR(XLOOKUP($Q615,'Threshold Summary'!$Y:$Y,'Threshold Summary'!$R:$R,"")/4))*XLOOKUP($Q615,'Threshold Summary'!$Y:$Y,'Threshold Summary'!$L:$L,""))/100)+5)*XLOOKUP(XLOOKUP($Q615,'Threshold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Editor'!$E:$E,1))),stab,IF(OR(mtype=XLOOKUP(XLOOKUP($Q615,'Threshold Summary'!$Y:$Y,'Threshold Summary'!$K:$K,""),'Pokemon Editor'!$A:$A,'Pokemon Editor'!$C:$C,""),mtype=XLOOKUP(XLOOKUP($Q615,'Threshold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Chart'!$B$1:$S$1,0)))),base,IF(OR(cat="Status",pow=0),0,FLOOR(FLOOR(FLOOR((2*XLOOKUP($Q615,'Threshold Summary'!$Y:$Y,'Threshold Summary'!$L:$L,"")/5+2)*pow*atk/def)/50)+2)),modifier,stab*eff,AVERAGE(ARRAYFORMULA(FLOOR(base*modifier*SEQUENCE(16,1,85,1)/100)))),0)</f>
        <v/>
      </c>
      <c r="M615" s="3">
        <f>IFERROR(LET(mtype,XLOOKUP($D615,'Move Editor'!$B:$B,'Move Editor'!$C:$C,""),cat,XLOOKUP($D615,'Move Editor'!$B:$B,'Move Editor'!$D:$D,""),pow,XLOOKUP($D615,'Move Editor'!$B:$B,'Move Editor'!$E:$E,0),acc,XLOOKUP($D615,'Move Editor'!$B:$B,'Move Editor'!$F:$F,100),atk,IF(cat="Physical",FLOOR((FLOOR(((2*XLOOKUP(XLOOKUP($Q615,'Threshold Summary'!$Y:$Y,'Threshold Summary'!$K:$K,""),'Pokemon Editor'!$A:$A,'Pokemon Editor'!$F:$F,0)+31+FLOOR(XLOOKUP($Q615,'Threshold Summary'!$Y:$Y,'Threshold Summary'!$P:$P,"")/4))*XLOOKUP($Q615,'Threshold Summary'!$Y:$Y,'Threshold Summary'!$L:$L,""))/100)+5)*XLOOKUP(XLOOKUP($Q615,'Threshold Summary'!$Y:$Y,'Threshold Summary'!$M:$M,""),'Nature Editor'!$A:$A,'Nature Editor'!$B:$B,1)),FLOOR((FLOOR(((2*XLOOKUP(XLOOKUP($Q615,'Threshold Summary'!$Y:$Y,'Threshold Summary'!$K:$K,""),'Pokemon Editor'!$A:$A,'Pokemon Editor'!$H:$H,0)+31+FLOOR(XLOOKUP($Q615,'Threshold Summary'!$Y:$Y,'Threshold Summary'!$R:$R,"")/4))*XLOOKUP($Q615,'Threshold Summary'!$Y:$Y,'Threshold Summary'!$L:$L,""))/100)+5)*XLOOKUP(XLOOKUP($Q615,'Threshold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Editor'!$E:$E,1))),stab,IF(OR(mtype=XLOOKUP(XLOOKUP($Q615,'Threshold Summary'!$Y:$Y,'Threshold Summary'!$K:$K,""),'Pokemon Editor'!$A:$A,'Pokemon Editor'!$C:$C,""),mtype=XLOOKUP(XLOOKUP($Q615,'Threshold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Chart'!$B$1:$S$1,0)))),base,IF(OR(cat="Status",pow=0),0,FLOOR(FLOOR(FLOOR((2*XLOOKUP($Q615,'Threshold Summary'!$Y:$Y,'Threshold Summary'!$L:$L,"")/5+2)*pow*atk/def)/50)+2)),modifier,stab*eff,AVERAGE(ARRAYFORMULA(FLOOR(base*modifier*SEQUENCE(16,1,85,1)/100)))*MIN(1,acc/100)),0)</f>
        <v/>
      </c>
      <c r="N615" s="4">
        <f>IFERROR(LET(mtype,XLOOKUP($D615,'Move Editor'!$B:$B,'Move Editor'!$C:$C,""),cat,XLOOKUP($D615,'Move Editor'!$B:$B,'Move Editor'!$D:$D,""),pow,XLOOKUP($D615,'Move Editor'!$B:$B,'Move Editor'!$E:$E,0),acc,XLOOKUP($D615,'Move Editor'!$B:$B,'Move Editor'!$F:$F,100),atk,IF(cat="Physical",FLOOR((FLOOR(((2*XLOOKUP(XLOOKUP($Q615,'Threshold Summary'!$Y:$Y,'Threshold Summary'!$K:$K,""),'Pokemon Editor'!$A:$A,'Pokemon Editor'!$F:$F,0)+31+FLOOR(XLOOKUP($Q615,'Threshold Summary'!$Y:$Y,'Threshold Summary'!$P:$P,"")/4))*XLOOKUP($Q615,'Threshold Summary'!$Y:$Y,'Threshold Summary'!$L:$L,""))/100)+5)*XLOOKUP(XLOOKUP($Q615,'Threshold Summary'!$Y:$Y,'Threshold Summary'!$M:$M,""),'Nature Editor'!$A:$A,'Nature Editor'!$B:$B,1)),FLOOR((FLOOR(((2*XLOOKUP(XLOOKUP($Q615,'Threshold Summary'!$Y:$Y,'Threshold Summary'!$K:$K,""),'Pokemon Editor'!$A:$A,'Pokemon Editor'!$H:$H,0)+31+FLOOR(XLOOKUP($Q615,'Threshold Summary'!$Y:$Y,'Threshold Summary'!$R:$R,"")/4))*XLOOKUP($Q615,'Threshold Summary'!$Y:$Y,'Threshold Summary'!$L:$L,""))/100)+5)*XLOOKUP(XLOOKUP($Q615,'Threshold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Editor'!$E:$E,1))),stab,IF(OR(mtype=XLOOKUP(XLOOKUP($Q615,'Threshold Summary'!$Y:$Y,'Threshold Summary'!$K:$K,""),'Pokemon Editor'!$A:$A,'Pokemon Editor'!$C:$C,""),mtype=XLOOKUP(XLOOKUP($Q615,'Threshold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Chart'!$B$1:$S$1,0)))),base,IF(OR(cat="Status",pow=0),0,FLOOR(FLOOR(FLOOR((2*XLOOKUP($Q615,'Threshold Summary'!$Y:$Y,'Threshold Summary'!$L:$L,"")/5+2)*pow*atk/def)/50)+2)),modifier,stab*eff,AVERAGE(ARRAYFORMULA(FLOOR(base*modifier*SEQUENCE(16,1,85,1)/100)))/(FLOOR(((2*XLOOKUP('Boss Editor'!$C$4,'Pokemon Editor'!$A:$A,'Pokemon Editor'!$E:$E,0)+31+FLOOR('Boss Editor'!$G$4/4))*'Boss Editor'!$D$4)/100)+'Boss Editor'!$D$4+10)),0)</f>
        <v/>
      </c>
      <c r="O615" s="3">
        <f>IF(N615&gt;=1,"OHKO",IF(N615&gt;=0.5,"2HKO",IF(N615&gt;=0.333,"3HKO",IF(N615&gt;=0.25,"4HKO","5HKO+"))))</f>
        <v/>
      </c>
      <c r="P615" s="3" t="inlineStr">
        <is>
          <t>Live from editable databases</t>
        </is>
      </c>
      <c r="Q615" s="3" t="inlineStr">
        <is>
          <t>SPECIES_LITLEO</t>
        </is>
      </c>
      <c r="R615" s="3" t="n">
        <v>6</v>
      </c>
    </row>
    <row r="616">
      <c r="A616" s="3">
        <f>XLOOKUP($Q616,'Threshold Summary'!$Y:$Y,'Threshold Summary'!$A:$A,"")</f>
        <v/>
      </c>
      <c r="B616" s="3">
        <f>XLOOKUP($Q616,'Threshold Summary'!$Y:$Y,'Threshold Summary'!$M:$M,"")</f>
        <v/>
      </c>
      <c r="C616" s="3">
        <f>XLOOKUP($Q616,'Threshold Summary'!$Y:$Y,'Threshold Summary'!$N:$N,"")</f>
        <v/>
      </c>
      <c r="D616" s="3">
        <f>IFERROR(INDEX(FILTER('Learnset Editor'!$D$2:$D,'Learnset Editor'!$A$2:$A=XLOOKUP($Q616,'Threshold Summary'!$Y:$Y,'Threshold Summary'!$K:$K,""),'Learnset Editor'!$C$2:$C&lt;=XLOOKUP($Q616,'Threshold Summary'!$Y:$Y,'Threshold Summary'!$L:$L,"")),$R616),"")</f>
        <v/>
      </c>
      <c r="E616" s="3">
        <f>XLOOKUP(D616,'Move Editor'!$B:$B,'Move Editor'!$C:$C,"")</f>
        <v/>
      </c>
      <c r="F616" s="3">
        <f>XLOOKUP(D616,'Move Editor'!$B:$B,'Move Editor'!$D:$D,"")</f>
        <v/>
      </c>
      <c r="G616" s="3">
        <f>XLOOKUP(D616,'Move Editor'!$B:$B,'Move Editor'!$E:$E,0)</f>
        <v/>
      </c>
      <c r="H616" s="3">
        <f>XLOOKUP(D616,'Move Editor'!$B:$B,'Move Editor'!$F:$F,0)</f>
        <v/>
      </c>
      <c r="I616" s="3">
        <f>(INDEX('Type Chart'!$B:$S,MATCH(E616,'Type Chart'!$A:$A,0),MATCH(XLOOKUP('Boss Editor'!$C$4,'Pokemon Editor'!$A:$A,'Pokemon Editor'!$C:$C,""),'Type Chart'!$B$1:$S$1,0))*IF(XLOOKUP('Boss Editor'!$C$4,'Pokemon Editor'!$A:$A,'Pokemon Editor'!$D:$D,"")="",1,INDEX('Type Chart'!$B:$S,MATCH(E616,'Type Chart'!$A:$A,0),MATCH(XLOOKUP('Boss Editor'!$C$4,'Pokemon Editor'!$A:$A,'Pokemon Editor'!$D:$D,""),'Type Chart'!$B$1:$S$1,0))))</f>
        <v/>
      </c>
      <c r="J616" s="3">
        <f>IFERROR(LET(mtype,XLOOKUP($D616,'Move Editor'!$B:$B,'Move Editor'!$C:$C,""),cat,XLOOKUP($D616,'Move Editor'!$B:$B,'Move Editor'!$D:$D,""),pow,XLOOKUP($D616,'Move Editor'!$B:$B,'Move Editor'!$E:$E,0),acc,XLOOKUP($D616,'Move Editor'!$B:$B,'Move Editor'!$F:$F,100),atk,IF(cat="Physical",FLOOR((FLOOR(((2*XLOOKUP(XLOOKUP($Q616,'Threshold Summary'!$Y:$Y,'Threshold Summary'!$K:$K,""),'Pokemon Editor'!$A:$A,'Pokemon Editor'!$F:$F,0)+31+FLOOR(XLOOKUP($Q616,'Threshold Summary'!$Y:$Y,'Threshold Summary'!$P:$P,"")/4))*XLOOKUP($Q616,'Threshold Summary'!$Y:$Y,'Threshold Summary'!$L:$L,""))/100)+5)*XLOOKUP(XLOOKUP($Q616,'Threshold Summary'!$Y:$Y,'Threshold Summary'!$M:$M,""),'Nature Editor'!$A:$A,'Nature Editor'!$B:$B,1)),FLOOR((FLOOR(((2*XLOOKUP(XLOOKUP($Q616,'Threshold Summary'!$Y:$Y,'Threshold Summary'!$K:$K,""),'Pokemon Editor'!$A:$A,'Pokemon Editor'!$H:$H,0)+31+FLOOR(XLOOKUP($Q616,'Threshold Summary'!$Y:$Y,'Threshold Summary'!$R:$R,"")/4))*XLOOKUP($Q616,'Threshold Summary'!$Y:$Y,'Threshold Summary'!$L:$L,""))/100)+5)*XLOOKUP(XLOOKUP($Q616,'Threshold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Editor'!$E:$E,1))),stab,IF(OR(mtype=XLOOKUP(XLOOKUP($Q616,'Threshold Summary'!$Y:$Y,'Threshold Summary'!$K:$K,""),'Pokemon Editor'!$A:$A,'Pokemon Editor'!$C:$C,""),mtype=XLOOKUP(XLOOKUP($Q616,'Threshold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Chart'!$B$1:$S$1,0)))),base,IF(OR(cat="Status",pow=0),0,FLOOR(FLOOR(FLOOR((2*XLOOKUP($Q616,'Threshold Summary'!$Y:$Y,'Threshold Summary'!$L:$L,"")/5+2)*pow*atk/def)/50)+2)),modifier,stab*eff,FLOOR(base*modifier*0.85)),0)</f>
        <v/>
      </c>
      <c r="K616" s="3">
        <f>IFERROR(LET(mtype,XLOOKUP($D616,'Move Editor'!$B:$B,'Move Editor'!$C:$C,""),cat,XLOOKUP($D616,'Move Editor'!$B:$B,'Move Editor'!$D:$D,""),pow,XLOOKUP($D616,'Move Editor'!$B:$B,'Move Editor'!$E:$E,0),acc,XLOOKUP($D616,'Move Editor'!$B:$B,'Move Editor'!$F:$F,100),atk,IF(cat="Physical",FLOOR((FLOOR(((2*XLOOKUP(XLOOKUP($Q616,'Threshold Summary'!$Y:$Y,'Threshold Summary'!$K:$K,""),'Pokemon Editor'!$A:$A,'Pokemon Editor'!$F:$F,0)+31+FLOOR(XLOOKUP($Q616,'Threshold Summary'!$Y:$Y,'Threshold Summary'!$P:$P,"")/4))*XLOOKUP($Q616,'Threshold Summary'!$Y:$Y,'Threshold Summary'!$L:$L,""))/100)+5)*XLOOKUP(XLOOKUP($Q616,'Threshold Summary'!$Y:$Y,'Threshold Summary'!$M:$M,""),'Nature Editor'!$A:$A,'Nature Editor'!$B:$B,1)),FLOOR((FLOOR(((2*XLOOKUP(XLOOKUP($Q616,'Threshold Summary'!$Y:$Y,'Threshold Summary'!$K:$K,""),'Pokemon Editor'!$A:$A,'Pokemon Editor'!$H:$H,0)+31+FLOOR(XLOOKUP($Q616,'Threshold Summary'!$Y:$Y,'Threshold Summary'!$R:$R,"")/4))*XLOOKUP($Q616,'Threshold Summary'!$Y:$Y,'Threshold Summary'!$L:$L,""))/100)+5)*XLOOKUP(XLOOKUP($Q616,'Threshold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Editor'!$E:$E,1))),stab,IF(OR(mtype=XLOOKUP(XLOOKUP($Q616,'Threshold Summary'!$Y:$Y,'Threshold Summary'!$K:$K,""),'Pokemon Editor'!$A:$A,'Pokemon Editor'!$C:$C,""),mtype=XLOOKUP(XLOOKUP($Q616,'Threshold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Chart'!$B$1:$S$1,0)))),base,IF(OR(cat="Status",pow=0),0,FLOOR(FLOOR(FLOOR((2*XLOOKUP($Q616,'Threshold Summary'!$Y:$Y,'Threshold Summary'!$L:$L,"")/5+2)*pow*atk/def)/50)+2)),modifier,stab*eff,FLOOR(base*modifier)),0)</f>
        <v/>
      </c>
      <c r="L616" s="3">
        <f>IFERROR(LET(mtype,XLOOKUP($D616,'Move Editor'!$B:$B,'Move Editor'!$C:$C,""),cat,XLOOKUP($D616,'Move Editor'!$B:$B,'Move Editor'!$D:$D,""),pow,XLOOKUP($D616,'Move Editor'!$B:$B,'Move Editor'!$E:$E,0),acc,XLOOKUP($D616,'Move Editor'!$B:$B,'Move Editor'!$F:$F,100),atk,IF(cat="Physical",FLOOR((FLOOR(((2*XLOOKUP(XLOOKUP($Q616,'Threshold Summary'!$Y:$Y,'Threshold Summary'!$K:$K,""),'Pokemon Editor'!$A:$A,'Pokemon Editor'!$F:$F,0)+31+FLOOR(XLOOKUP($Q616,'Threshold Summary'!$Y:$Y,'Threshold Summary'!$P:$P,"")/4))*XLOOKUP($Q616,'Threshold Summary'!$Y:$Y,'Threshold Summary'!$L:$L,""))/100)+5)*XLOOKUP(XLOOKUP($Q616,'Threshold Summary'!$Y:$Y,'Threshold Summary'!$M:$M,""),'Nature Editor'!$A:$A,'Nature Editor'!$B:$B,1)),FLOOR((FLOOR(((2*XLOOKUP(XLOOKUP($Q616,'Threshold Summary'!$Y:$Y,'Threshold Summary'!$K:$K,""),'Pokemon Editor'!$A:$A,'Pokemon Editor'!$H:$H,0)+31+FLOOR(XLOOKUP($Q616,'Threshold Summary'!$Y:$Y,'Threshold Summary'!$R:$R,"")/4))*XLOOKUP($Q616,'Threshold Summary'!$Y:$Y,'Threshold Summary'!$L:$L,""))/100)+5)*XLOOKUP(XLOOKUP($Q616,'Threshold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Editor'!$E:$E,1))),stab,IF(OR(mtype=XLOOKUP(XLOOKUP($Q616,'Threshold Summary'!$Y:$Y,'Threshold Summary'!$K:$K,""),'Pokemon Editor'!$A:$A,'Pokemon Editor'!$C:$C,""),mtype=XLOOKUP(XLOOKUP($Q616,'Threshold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Chart'!$B$1:$S$1,0)))),base,IF(OR(cat="Status",pow=0),0,FLOOR(FLOOR(FLOOR((2*XLOOKUP($Q616,'Threshold Summary'!$Y:$Y,'Threshold Summary'!$L:$L,"")/5+2)*pow*atk/def)/50)+2)),modifier,stab*eff,AVERAGE(ARRAYFORMULA(FLOOR(base*modifier*SEQUENCE(16,1,85,1)/100)))),0)</f>
        <v/>
      </c>
      <c r="M616" s="3">
        <f>IFERROR(LET(mtype,XLOOKUP($D616,'Move Editor'!$B:$B,'Move Editor'!$C:$C,""),cat,XLOOKUP($D616,'Move Editor'!$B:$B,'Move Editor'!$D:$D,""),pow,XLOOKUP($D616,'Move Editor'!$B:$B,'Move Editor'!$E:$E,0),acc,XLOOKUP($D616,'Move Editor'!$B:$B,'Move Editor'!$F:$F,100),atk,IF(cat="Physical",FLOOR((FLOOR(((2*XLOOKUP(XLOOKUP($Q616,'Threshold Summary'!$Y:$Y,'Threshold Summary'!$K:$K,""),'Pokemon Editor'!$A:$A,'Pokemon Editor'!$F:$F,0)+31+FLOOR(XLOOKUP($Q616,'Threshold Summary'!$Y:$Y,'Threshold Summary'!$P:$P,"")/4))*XLOOKUP($Q616,'Threshold Summary'!$Y:$Y,'Threshold Summary'!$L:$L,""))/100)+5)*XLOOKUP(XLOOKUP($Q616,'Threshold Summary'!$Y:$Y,'Threshold Summary'!$M:$M,""),'Nature Editor'!$A:$A,'Nature Editor'!$B:$B,1)),FLOOR((FLOOR(((2*XLOOKUP(XLOOKUP($Q616,'Threshold Summary'!$Y:$Y,'Threshold Summary'!$K:$K,""),'Pokemon Editor'!$A:$A,'Pokemon Editor'!$H:$H,0)+31+FLOOR(XLOOKUP($Q616,'Threshold Summary'!$Y:$Y,'Threshold Summary'!$R:$R,"")/4))*XLOOKUP($Q616,'Threshold Summary'!$Y:$Y,'Threshold Summary'!$L:$L,""))/100)+5)*XLOOKUP(XLOOKUP($Q616,'Threshold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Editor'!$E:$E,1))),stab,IF(OR(mtype=XLOOKUP(XLOOKUP($Q616,'Threshold Summary'!$Y:$Y,'Threshold Summary'!$K:$K,""),'Pokemon Editor'!$A:$A,'Pokemon Editor'!$C:$C,""),mtype=XLOOKUP(XLOOKUP($Q616,'Threshold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Chart'!$B$1:$S$1,0)))),base,IF(OR(cat="Status",pow=0),0,FLOOR(FLOOR(FLOOR((2*XLOOKUP($Q616,'Threshold Summary'!$Y:$Y,'Threshold Summary'!$L:$L,"")/5+2)*pow*atk/def)/50)+2)),modifier,stab*eff,AVERAGE(ARRAYFORMULA(FLOOR(base*modifier*SEQUENCE(16,1,85,1)/100)))*MIN(1,acc/100)),0)</f>
        <v/>
      </c>
      <c r="N616" s="4">
        <f>IFERROR(LET(mtype,XLOOKUP($D616,'Move Editor'!$B:$B,'Move Editor'!$C:$C,""),cat,XLOOKUP($D616,'Move Editor'!$B:$B,'Move Editor'!$D:$D,""),pow,XLOOKUP($D616,'Move Editor'!$B:$B,'Move Editor'!$E:$E,0),acc,XLOOKUP($D616,'Move Editor'!$B:$B,'Move Editor'!$F:$F,100),atk,IF(cat="Physical",FLOOR((FLOOR(((2*XLOOKUP(XLOOKUP($Q616,'Threshold Summary'!$Y:$Y,'Threshold Summary'!$K:$K,""),'Pokemon Editor'!$A:$A,'Pokemon Editor'!$F:$F,0)+31+FLOOR(XLOOKUP($Q616,'Threshold Summary'!$Y:$Y,'Threshold Summary'!$P:$P,"")/4))*XLOOKUP($Q616,'Threshold Summary'!$Y:$Y,'Threshold Summary'!$L:$L,""))/100)+5)*XLOOKUP(XLOOKUP($Q616,'Threshold Summary'!$Y:$Y,'Threshold Summary'!$M:$M,""),'Nature Editor'!$A:$A,'Nature Editor'!$B:$B,1)),FLOOR((FLOOR(((2*XLOOKUP(XLOOKUP($Q616,'Threshold Summary'!$Y:$Y,'Threshold Summary'!$K:$K,""),'Pokemon Editor'!$A:$A,'Pokemon Editor'!$H:$H,0)+31+FLOOR(XLOOKUP($Q616,'Threshold Summary'!$Y:$Y,'Threshold Summary'!$R:$R,"")/4))*XLOOKUP($Q616,'Threshold Summary'!$Y:$Y,'Threshold Summary'!$L:$L,""))/100)+5)*XLOOKUP(XLOOKUP($Q616,'Threshold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Editor'!$E:$E,1))),stab,IF(OR(mtype=XLOOKUP(XLOOKUP($Q616,'Threshold Summary'!$Y:$Y,'Threshold Summary'!$K:$K,""),'Pokemon Editor'!$A:$A,'Pokemon Editor'!$C:$C,""),mtype=XLOOKUP(XLOOKUP($Q616,'Threshold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Chart'!$B$1:$S$1,0)))),base,IF(OR(cat="Status",pow=0),0,FLOOR(FLOOR(FLOOR((2*XLOOKUP($Q616,'Threshold Summary'!$Y:$Y,'Threshold Summary'!$L:$L,"")/5+2)*pow*atk/def)/50)+2)),modifier,stab*eff,AVERAGE(ARRAYFORMULA(FLOOR(base*modifier*SEQUENCE(16,1,85,1)/100)))/(FLOOR(((2*XLOOKUP('Boss Editor'!$C$4,'Pokemon Editor'!$A:$A,'Pokemon Editor'!$E:$E,0)+31+FLOOR('Boss Editor'!$G$4/4))*'Boss Editor'!$D$4)/100)+'Boss Editor'!$D$4+10)),0)</f>
        <v/>
      </c>
      <c r="O616" s="3">
        <f>IF(N616&gt;=1,"OHKO",IF(N616&gt;=0.5,"2HKO",IF(N616&gt;=0.333,"3HKO",IF(N616&gt;=0.25,"4HKO","5HKO+"))))</f>
        <v/>
      </c>
      <c r="P616" s="3" t="inlineStr">
        <is>
          <t>Live from editable databases</t>
        </is>
      </c>
      <c r="Q616" s="3" t="inlineStr">
        <is>
          <t>SPECIES_LITLEO</t>
        </is>
      </c>
      <c r="R616" s="3" t="n">
        <v>7</v>
      </c>
    </row>
    <row r="617">
      <c r="A617" s="3">
        <f>XLOOKUP($Q617,'Threshold Summary'!$Y:$Y,'Threshold Summary'!$A:$A,"")</f>
        <v/>
      </c>
      <c r="B617" s="3">
        <f>XLOOKUP($Q617,'Threshold Summary'!$Y:$Y,'Threshold Summary'!$M:$M,"")</f>
        <v/>
      </c>
      <c r="C617" s="3">
        <f>XLOOKUP($Q617,'Threshold Summary'!$Y:$Y,'Threshold Summary'!$N:$N,"")</f>
        <v/>
      </c>
      <c r="D617" s="3">
        <f>IFERROR(INDEX(FILTER('Learnset Editor'!$D$2:$D,'Learnset Editor'!$A$2:$A=XLOOKUP($Q617,'Threshold Summary'!$Y:$Y,'Threshold Summary'!$K:$K,""),'Learnset Editor'!$C$2:$C&lt;=XLOOKUP($Q617,'Threshold Summary'!$Y:$Y,'Threshold Summary'!$L:$L,"")),$R617),"")</f>
        <v/>
      </c>
      <c r="E617" s="3">
        <f>XLOOKUP(D617,'Move Editor'!$B:$B,'Move Editor'!$C:$C,"")</f>
        <v/>
      </c>
      <c r="F617" s="3">
        <f>XLOOKUP(D617,'Move Editor'!$B:$B,'Move Editor'!$D:$D,"")</f>
        <v/>
      </c>
      <c r="G617" s="3">
        <f>XLOOKUP(D617,'Move Editor'!$B:$B,'Move Editor'!$E:$E,0)</f>
        <v/>
      </c>
      <c r="H617" s="3">
        <f>XLOOKUP(D617,'Move Editor'!$B:$B,'Move Editor'!$F:$F,0)</f>
        <v/>
      </c>
      <c r="I617" s="3">
        <f>(INDEX('Type Chart'!$B:$S,MATCH(E617,'Type Chart'!$A:$A,0),MATCH(XLOOKUP('Boss Editor'!$C$4,'Pokemon Editor'!$A:$A,'Pokemon Editor'!$C:$C,""),'Type Chart'!$B$1:$S$1,0))*IF(XLOOKUP('Boss Editor'!$C$4,'Pokemon Editor'!$A:$A,'Pokemon Editor'!$D:$D,"")="",1,INDEX('Type Chart'!$B:$S,MATCH(E617,'Type Chart'!$A:$A,0),MATCH(XLOOKUP('Boss Editor'!$C$4,'Pokemon Editor'!$A:$A,'Pokemon Editor'!$D:$D,""),'Type Chart'!$B$1:$S$1,0))))</f>
        <v/>
      </c>
      <c r="J617" s="3">
        <f>IFERROR(LET(mtype,XLOOKUP($D617,'Move Editor'!$B:$B,'Move Editor'!$C:$C,""),cat,XLOOKUP($D617,'Move Editor'!$B:$B,'Move Editor'!$D:$D,""),pow,XLOOKUP($D617,'Move Editor'!$B:$B,'Move Editor'!$E:$E,0),acc,XLOOKUP($D617,'Move Editor'!$B:$B,'Move Editor'!$F:$F,100),atk,IF(cat="Physical",FLOOR((FLOOR(((2*XLOOKUP(XLOOKUP($Q617,'Threshold Summary'!$Y:$Y,'Threshold Summary'!$K:$K,""),'Pokemon Editor'!$A:$A,'Pokemon Editor'!$F:$F,0)+31+FLOOR(XLOOKUP($Q617,'Threshold Summary'!$Y:$Y,'Threshold Summary'!$P:$P,"")/4))*XLOOKUP($Q617,'Threshold Summary'!$Y:$Y,'Threshold Summary'!$L:$L,""))/100)+5)*XLOOKUP(XLOOKUP($Q617,'Threshold Summary'!$Y:$Y,'Threshold Summary'!$M:$M,""),'Nature Editor'!$A:$A,'Nature Editor'!$B:$B,1)),FLOOR((FLOOR(((2*XLOOKUP(XLOOKUP($Q617,'Threshold Summary'!$Y:$Y,'Threshold Summary'!$K:$K,""),'Pokemon Editor'!$A:$A,'Pokemon Editor'!$H:$H,0)+31+FLOOR(XLOOKUP($Q617,'Threshold Summary'!$Y:$Y,'Threshold Summary'!$R:$R,"")/4))*XLOOKUP($Q617,'Threshold Summary'!$Y:$Y,'Threshold Summary'!$L:$L,""))/100)+5)*XLOOKUP(XLOOKUP($Q617,'Threshold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Editor'!$E:$E,1))),stab,IF(OR(mtype=XLOOKUP(XLOOKUP($Q617,'Threshold Summary'!$Y:$Y,'Threshold Summary'!$K:$K,""),'Pokemon Editor'!$A:$A,'Pokemon Editor'!$C:$C,""),mtype=XLOOKUP(XLOOKUP($Q617,'Threshold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Chart'!$B$1:$S$1,0)))),base,IF(OR(cat="Status",pow=0),0,FLOOR(FLOOR(FLOOR((2*XLOOKUP($Q617,'Threshold Summary'!$Y:$Y,'Threshold Summary'!$L:$L,"")/5+2)*pow*atk/def)/50)+2)),modifier,stab*eff,FLOOR(base*modifier*0.85)),0)</f>
        <v/>
      </c>
      <c r="K617" s="3">
        <f>IFERROR(LET(mtype,XLOOKUP($D617,'Move Editor'!$B:$B,'Move Editor'!$C:$C,""),cat,XLOOKUP($D617,'Move Editor'!$B:$B,'Move Editor'!$D:$D,""),pow,XLOOKUP($D617,'Move Editor'!$B:$B,'Move Editor'!$E:$E,0),acc,XLOOKUP($D617,'Move Editor'!$B:$B,'Move Editor'!$F:$F,100),atk,IF(cat="Physical",FLOOR((FLOOR(((2*XLOOKUP(XLOOKUP($Q617,'Threshold Summary'!$Y:$Y,'Threshold Summary'!$K:$K,""),'Pokemon Editor'!$A:$A,'Pokemon Editor'!$F:$F,0)+31+FLOOR(XLOOKUP($Q617,'Threshold Summary'!$Y:$Y,'Threshold Summary'!$P:$P,"")/4))*XLOOKUP($Q617,'Threshold Summary'!$Y:$Y,'Threshold Summary'!$L:$L,""))/100)+5)*XLOOKUP(XLOOKUP($Q617,'Threshold Summary'!$Y:$Y,'Threshold Summary'!$M:$M,""),'Nature Editor'!$A:$A,'Nature Editor'!$B:$B,1)),FLOOR((FLOOR(((2*XLOOKUP(XLOOKUP($Q617,'Threshold Summary'!$Y:$Y,'Threshold Summary'!$K:$K,""),'Pokemon Editor'!$A:$A,'Pokemon Editor'!$H:$H,0)+31+FLOOR(XLOOKUP($Q617,'Threshold Summary'!$Y:$Y,'Threshold Summary'!$R:$R,"")/4))*XLOOKUP($Q617,'Threshold Summary'!$Y:$Y,'Threshold Summary'!$L:$L,""))/100)+5)*XLOOKUP(XLOOKUP($Q617,'Threshold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Editor'!$E:$E,1))),stab,IF(OR(mtype=XLOOKUP(XLOOKUP($Q617,'Threshold Summary'!$Y:$Y,'Threshold Summary'!$K:$K,""),'Pokemon Editor'!$A:$A,'Pokemon Editor'!$C:$C,""),mtype=XLOOKUP(XLOOKUP($Q617,'Threshold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Chart'!$B$1:$S$1,0)))),base,IF(OR(cat="Status",pow=0),0,FLOOR(FLOOR(FLOOR((2*XLOOKUP($Q617,'Threshold Summary'!$Y:$Y,'Threshold Summary'!$L:$L,"")/5+2)*pow*atk/def)/50)+2)),modifier,stab*eff,FLOOR(base*modifier)),0)</f>
        <v/>
      </c>
      <c r="L617" s="3">
        <f>IFERROR(LET(mtype,XLOOKUP($D617,'Move Editor'!$B:$B,'Move Editor'!$C:$C,""),cat,XLOOKUP($D617,'Move Editor'!$B:$B,'Move Editor'!$D:$D,""),pow,XLOOKUP($D617,'Move Editor'!$B:$B,'Move Editor'!$E:$E,0),acc,XLOOKUP($D617,'Move Editor'!$B:$B,'Move Editor'!$F:$F,100),atk,IF(cat="Physical",FLOOR((FLOOR(((2*XLOOKUP(XLOOKUP($Q617,'Threshold Summary'!$Y:$Y,'Threshold Summary'!$K:$K,""),'Pokemon Editor'!$A:$A,'Pokemon Editor'!$F:$F,0)+31+FLOOR(XLOOKUP($Q617,'Threshold Summary'!$Y:$Y,'Threshold Summary'!$P:$P,"")/4))*XLOOKUP($Q617,'Threshold Summary'!$Y:$Y,'Threshold Summary'!$L:$L,""))/100)+5)*XLOOKUP(XLOOKUP($Q617,'Threshold Summary'!$Y:$Y,'Threshold Summary'!$M:$M,""),'Nature Editor'!$A:$A,'Nature Editor'!$B:$B,1)),FLOOR((FLOOR(((2*XLOOKUP(XLOOKUP($Q617,'Threshold Summary'!$Y:$Y,'Threshold Summary'!$K:$K,""),'Pokemon Editor'!$A:$A,'Pokemon Editor'!$H:$H,0)+31+FLOOR(XLOOKUP($Q617,'Threshold Summary'!$Y:$Y,'Threshold Summary'!$R:$R,"")/4))*XLOOKUP($Q617,'Threshold Summary'!$Y:$Y,'Threshold Summary'!$L:$L,""))/100)+5)*XLOOKUP(XLOOKUP($Q617,'Threshold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Editor'!$E:$E,1))),stab,IF(OR(mtype=XLOOKUP(XLOOKUP($Q617,'Threshold Summary'!$Y:$Y,'Threshold Summary'!$K:$K,""),'Pokemon Editor'!$A:$A,'Pokemon Editor'!$C:$C,""),mtype=XLOOKUP(XLOOKUP($Q617,'Threshold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Chart'!$B$1:$S$1,0)))),base,IF(OR(cat="Status",pow=0),0,FLOOR(FLOOR(FLOOR((2*XLOOKUP($Q617,'Threshold Summary'!$Y:$Y,'Threshold Summary'!$L:$L,"")/5+2)*pow*atk/def)/50)+2)),modifier,stab*eff,AVERAGE(ARRAYFORMULA(FLOOR(base*modifier*SEQUENCE(16,1,85,1)/100)))),0)</f>
        <v/>
      </c>
      <c r="M617" s="3">
        <f>IFERROR(LET(mtype,XLOOKUP($D617,'Move Editor'!$B:$B,'Move Editor'!$C:$C,""),cat,XLOOKUP($D617,'Move Editor'!$B:$B,'Move Editor'!$D:$D,""),pow,XLOOKUP($D617,'Move Editor'!$B:$B,'Move Editor'!$E:$E,0),acc,XLOOKUP($D617,'Move Editor'!$B:$B,'Move Editor'!$F:$F,100),atk,IF(cat="Physical",FLOOR((FLOOR(((2*XLOOKUP(XLOOKUP($Q617,'Threshold Summary'!$Y:$Y,'Threshold Summary'!$K:$K,""),'Pokemon Editor'!$A:$A,'Pokemon Editor'!$F:$F,0)+31+FLOOR(XLOOKUP($Q617,'Threshold Summary'!$Y:$Y,'Threshold Summary'!$P:$P,"")/4))*XLOOKUP($Q617,'Threshold Summary'!$Y:$Y,'Threshold Summary'!$L:$L,""))/100)+5)*XLOOKUP(XLOOKUP($Q617,'Threshold Summary'!$Y:$Y,'Threshold Summary'!$M:$M,""),'Nature Editor'!$A:$A,'Nature Editor'!$B:$B,1)),FLOOR((FLOOR(((2*XLOOKUP(XLOOKUP($Q617,'Threshold Summary'!$Y:$Y,'Threshold Summary'!$K:$K,""),'Pokemon Editor'!$A:$A,'Pokemon Editor'!$H:$H,0)+31+FLOOR(XLOOKUP($Q617,'Threshold Summary'!$Y:$Y,'Threshold Summary'!$R:$R,"")/4))*XLOOKUP($Q617,'Threshold Summary'!$Y:$Y,'Threshold Summary'!$L:$L,""))/100)+5)*XLOOKUP(XLOOKUP($Q617,'Threshold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Editor'!$E:$E,1))),stab,IF(OR(mtype=XLOOKUP(XLOOKUP($Q617,'Threshold Summary'!$Y:$Y,'Threshold Summary'!$K:$K,""),'Pokemon Editor'!$A:$A,'Pokemon Editor'!$C:$C,""),mtype=XLOOKUP(XLOOKUP($Q617,'Threshold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Chart'!$B$1:$S$1,0)))),base,IF(OR(cat="Status",pow=0),0,FLOOR(FLOOR(FLOOR((2*XLOOKUP($Q617,'Threshold Summary'!$Y:$Y,'Threshold Summary'!$L:$L,"")/5+2)*pow*atk/def)/50)+2)),modifier,stab*eff,AVERAGE(ARRAYFORMULA(FLOOR(base*modifier*SEQUENCE(16,1,85,1)/100)))*MIN(1,acc/100)),0)</f>
        <v/>
      </c>
      <c r="N617" s="4">
        <f>IFERROR(LET(mtype,XLOOKUP($D617,'Move Editor'!$B:$B,'Move Editor'!$C:$C,""),cat,XLOOKUP($D617,'Move Editor'!$B:$B,'Move Editor'!$D:$D,""),pow,XLOOKUP($D617,'Move Editor'!$B:$B,'Move Editor'!$E:$E,0),acc,XLOOKUP($D617,'Move Editor'!$B:$B,'Move Editor'!$F:$F,100),atk,IF(cat="Physical",FLOOR((FLOOR(((2*XLOOKUP(XLOOKUP($Q617,'Threshold Summary'!$Y:$Y,'Threshold Summary'!$K:$K,""),'Pokemon Editor'!$A:$A,'Pokemon Editor'!$F:$F,0)+31+FLOOR(XLOOKUP($Q617,'Threshold Summary'!$Y:$Y,'Threshold Summary'!$P:$P,"")/4))*XLOOKUP($Q617,'Threshold Summary'!$Y:$Y,'Threshold Summary'!$L:$L,""))/100)+5)*XLOOKUP(XLOOKUP($Q617,'Threshold Summary'!$Y:$Y,'Threshold Summary'!$M:$M,""),'Nature Editor'!$A:$A,'Nature Editor'!$B:$B,1)),FLOOR((FLOOR(((2*XLOOKUP(XLOOKUP($Q617,'Threshold Summary'!$Y:$Y,'Threshold Summary'!$K:$K,""),'Pokemon Editor'!$A:$A,'Pokemon Editor'!$H:$H,0)+31+FLOOR(XLOOKUP($Q617,'Threshold Summary'!$Y:$Y,'Threshold Summary'!$R:$R,"")/4))*XLOOKUP($Q617,'Threshold Summary'!$Y:$Y,'Threshold Summary'!$L:$L,""))/100)+5)*XLOOKUP(XLOOKUP($Q617,'Threshold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Editor'!$E:$E,1))),stab,IF(OR(mtype=XLOOKUP(XLOOKUP($Q617,'Threshold Summary'!$Y:$Y,'Threshold Summary'!$K:$K,""),'Pokemon Editor'!$A:$A,'Pokemon Editor'!$C:$C,""),mtype=XLOOKUP(XLOOKUP($Q617,'Threshold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Chart'!$B$1:$S$1,0)))),base,IF(OR(cat="Status",pow=0),0,FLOOR(FLOOR(FLOOR((2*XLOOKUP($Q617,'Threshold Summary'!$Y:$Y,'Threshold Summary'!$L:$L,"")/5+2)*pow*atk/def)/50)+2)),modifier,stab*eff,AVERAGE(ARRAYFORMULA(FLOOR(base*modifier*SEQUENCE(16,1,85,1)/100)))/(FLOOR(((2*XLOOKUP('Boss Editor'!$C$4,'Pokemon Editor'!$A:$A,'Pokemon Editor'!$E:$E,0)+31+FLOOR('Boss Editor'!$G$4/4))*'Boss Editor'!$D$4)/100)+'Boss Editor'!$D$4+10)),0)</f>
        <v/>
      </c>
      <c r="O617" s="3">
        <f>IF(N617&gt;=1,"OHKO",IF(N617&gt;=0.5,"2HKO",IF(N617&gt;=0.333,"3HKO",IF(N617&gt;=0.25,"4HKO","5HKO+"))))</f>
        <v/>
      </c>
      <c r="P617" s="3" t="inlineStr">
        <is>
          <t>Live from editable databases</t>
        </is>
      </c>
      <c r="Q617" s="3" t="inlineStr">
        <is>
          <t>SPECIES_LITLEO</t>
        </is>
      </c>
      <c r="R617" s="3" t="n">
        <v>8</v>
      </c>
    </row>
    <row r="618">
      <c r="A618" s="3">
        <f>XLOOKUP($Q618,'Threshold Summary'!$Y:$Y,'Threshold Summary'!$A:$A,"")</f>
        <v/>
      </c>
      <c r="B618" s="3">
        <f>XLOOKUP($Q618,'Threshold Summary'!$Y:$Y,'Threshold Summary'!$M:$M,"")</f>
        <v/>
      </c>
      <c r="C618" s="3">
        <f>XLOOKUP($Q618,'Threshold Summary'!$Y:$Y,'Threshold Summary'!$N:$N,"")</f>
        <v/>
      </c>
      <c r="D618" s="3">
        <f>IFERROR(INDEX(FILTER('Learnset Editor'!$D$2:$D,'Learnset Editor'!$A$2:$A=XLOOKUP($Q618,'Threshold Summary'!$Y:$Y,'Threshold Summary'!$K:$K,""),'Learnset Editor'!$C$2:$C&lt;=XLOOKUP($Q618,'Threshold Summary'!$Y:$Y,'Threshold Summary'!$L:$L,"")),$R618),"")</f>
        <v/>
      </c>
      <c r="E618" s="3">
        <f>XLOOKUP(D618,'Move Editor'!$B:$B,'Move Editor'!$C:$C,"")</f>
        <v/>
      </c>
      <c r="F618" s="3">
        <f>XLOOKUP(D618,'Move Editor'!$B:$B,'Move Editor'!$D:$D,"")</f>
        <v/>
      </c>
      <c r="G618" s="3">
        <f>XLOOKUP(D618,'Move Editor'!$B:$B,'Move Editor'!$E:$E,0)</f>
        <v/>
      </c>
      <c r="H618" s="3">
        <f>XLOOKUP(D618,'Move Editor'!$B:$B,'Move Editor'!$F:$F,0)</f>
        <v/>
      </c>
      <c r="I618" s="3">
        <f>(INDEX('Type Chart'!$B:$S,MATCH(E618,'Type Chart'!$A:$A,0),MATCH(XLOOKUP('Boss Editor'!$C$4,'Pokemon Editor'!$A:$A,'Pokemon Editor'!$C:$C,""),'Type Chart'!$B$1:$S$1,0))*IF(XLOOKUP('Boss Editor'!$C$4,'Pokemon Editor'!$A:$A,'Pokemon Editor'!$D:$D,"")="",1,INDEX('Type Chart'!$B:$S,MATCH(E618,'Type Chart'!$A:$A,0),MATCH(XLOOKUP('Boss Editor'!$C$4,'Pokemon Editor'!$A:$A,'Pokemon Editor'!$D:$D,""),'Type Chart'!$B$1:$S$1,0))))</f>
        <v/>
      </c>
      <c r="J618" s="3">
        <f>IFERROR(LET(mtype,XLOOKUP($D618,'Move Editor'!$B:$B,'Move Editor'!$C:$C,""),cat,XLOOKUP($D618,'Move Editor'!$B:$B,'Move Editor'!$D:$D,""),pow,XLOOKUP($D618,'Move Editor'!$B:$B,'Move Editor'!$E:$E,0),acc,XLOOKUP($D618,'Move Editor'!$B:$B,'Move Editor'!$F:$F,100),atk,IF(cat="Physical",FLOOR((FLOOR(((2*XLOOKUP(XLOOKUP($Q618,'Threshold Summary'!$Y:$Y,'Threshold Summary'!$K:$K,""),'Pokemon Editor'!$A:$A,'Pokemon Editor'!$F:$F,0)+31+FLOOR(XLOOKUP($Q618,'Threshold Summary'!$Y:$Y,'Threshold Summary'!$P:$P,"")/4))*XLOOKUP($Q618,'Threshold Summary'!$Y:$Y,'Threshold Summary'!$L:$L,""))/100)+5)*XLOOKUP(XLOOKUP($Q618,'Threshold Summary'!$Y:$Y,'Threshold Summary'!$M:$M,""),'Nature Editor'!$A:$A,'Nature Editor'!$B:$B,1)),FLOOR((FLOOR(((2*XLOOKUP(XLOOKUP($Q618,'Threshold Summary'!$Y:$Y,'Threshold Summary'!$K:$K,""),'Pokemon Editor'!$A:$A,'Pokemon Editor'!$H:$H,0)+31+FLOOR(XLOOKUP($Q618,'Threshold Summary'!$Y:$Y,'Threshold Summary'!$R:$R,"")/4))*XLOOKUP($Q618,'Threshold Summary'!$Y:$Y,'Threshold Summary'!$L:$L,""))/100)+5)*XLOOKUP(XLOOKUP($Q618,'Threshold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Editor'!$E:$E,1))),stab,IF(OR(mtype=XLOOKUP(XLOOKUP($Q618,'Threshold Summary'!$Y:$Y,'Threshold Summary'!$K:$K,""),'Pokemon Editor'!$A:$A,'Pokemon Editor'!$C:$C,""),mtype=XLOOKUP(XLOOKUP($Q618,'Threshold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Chart'!$B$1:$S$1,0)))),base,IF(OR(cat="Status",pow=0),0,FLOOR(FLOOR(FLOOR((2*XLOOKUP($Q618,'Threshold Summary'!$Y:$Y,'Threshold Summary'!$L:$L,"")/5+2)*pow*atk/def)/50)+2)),modifier,stab*eff,FLOOR(base*modifier*0.85)),0)</f>
        <v/>
      </c>
      <c r="K618" s="3">
        <f>IFERROR(LET(mtype,XLOOKUP($D618,'Move Editor'!$B:$B,'Move Editor'!$C:$C,""),cat,XLOOKUP($D618,'Move Editor'!$B:$B,'Move Editor'!$D:$D,""),pow,XLOOKUP($D618,'Move Editor'!$B:$B,'Move Editor'!$E:$E,0),acc,XLOOKUP($D618,'Move Editor'!$B:$B,'Move Editor'!$F:$F,100),atk,IF(cat="Physical",FLOOR((FLOOR(((2*XLOOKUP(XLOOKUP($Q618,'Threshold Summary'!$Y:$Y,'Threshold Summary'!$K:$K,""),'Pokemon Editor'!$A:$A,'Pokemon Editor'!$F:$F,0)+31+FLOOR(XLOOKUP($Q618,'Threshold Summary'!$Y:$Y,'Threshold Summary'!$P:$P,"")/4))*XLOOKUP($Q618,'Threshold Summary'!$Y:$Y,'Threshold Summary'!$L:$L,""))/100)+5)*XLOOKUP(XLOOKUP($Q618,'Threshold Summary'!$Y:$Y,'Threshold Summary'!$M:$M,""),'Nature Editor'!$A:$A,'Nature Editor'!$B:$B,1)),FLOOR((FLOOR(((2*XLOOKUP(XLOOKUP($Q618,'Threshold Summary'!$Y:$Y,'Threshold Summary'!$K:$K,""),'Pokemon Editor'!$A:$A,'Pokemon Editor'!$H:$H,0)+31+FLOOR(XLOOKUP($Q618,'Threshold Summary'!$Y:$Y,'Threshold Summary'!$R:$R,"")/4))*XLOOKUP($Q618,'Threshold Summary'!$Y:$Y,'Threshold Summary'!$L:$L,""))/100)+5)*XLOOKUP(XLOOKUP($Q618,'Threshold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Editor'!$E:$E,1))),stab,IF(OR(mtype=XLOOKUP(XLOOKUP($Q618,'Threshold Summary'!$Y:$Y,'Threshold Summary'!$K:$K,""),'Pokemon Editor'!$A:$A,'Pokemon Editor'!$C:$C,""),mtype=XLOOKUP(XLOOKUP($Q618,'Threshold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Chart'!$B$1:$S$1,0)))),base,IF(OR(cat="Status",pow=0),0,FLOOR(FLOOR(FLOOR((2*XLOOKUP($Q618,'Threshold Summary'!$Y:$Y,'Threshold Summary'!$L:$L,"")/5+2)*pow*atk/def)/50)+2)),modifier,stab*eff,FLOOR(base*modifier)),0)</f>
        <v/>
      </c>
      <c r="L618" s="3">
        <f>IFERROR(LET(mtype,XLOOKUP($D618,'Move Editor'!$B:$B,'Move Editor'!$C:$C,""),cat,XLOOKUP($D618,'Move Editor'!$B:$B,'Move Editor'!$D:$D,""),pow,XLOOKUP($D618,'Move Editor'!$B:$B,'Move Editor'!$E:$E,0),acc,XLOOKUP($D618,'Move Editor'!$B:$B,'Move Editor'!$F:$F,100),atk,IF(cat="Physical",FLOOR((FLOOR(((2*XLOOKUP(XLOOKUP($Q618,'Threshold Summary'!$Y:$Y,'Threshold Summary'!$K:$K,""),'Pokemon Editor'!$A:$A,'Pokemon Editor'!$F:$F,0)+31+FLOOR(XLOOKUP($Q618,'Threshold Summary'!$Y:$Y,'Threshold Summary'!$P:$P,"")/4))*XLOOKUP($Q618,'Threshold Summary'!$Y:$Y,'Threshold Summary'!$L:$L,""))/100)+5)*XLOOKUP(XLOOKUP($Q618,'Threshold Summary'!$Y:$Y,'Threshold Summary'!$M:$M,""),'Nature Editor'!$A:$A,'Nature Editor'!$B:$B,1)),FLOOR((FLOOR(((2*XLOOKUP(XLOOKUP($Q618,'Threshold Summary'!$Y:$Y,'Threshold Summary'!$K:$K,""),'Pokemon Editor'!$A:$A,'Pokemon Editor'!$H:$H,0)+31+FLOOR(XLOOKUP($Q618,'Threshold Summary'!$Y:$Y,'Threshold Summary'!$R:$R,"")/4))*XLOOKUP($Q618,'Threshold Summary'!$Y:$Y,'Threshold Summary'!$L:$L,""))/100)+5)*XLOOKUP(XLOOKUP($Q618,'Threshold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Editor'!$E:$E,1))),stab,IF(OR(mtype=XLOOKUP(XLOOKUP($Q618,'Threshold Summary'!$Y:$Y,'Threshold Summary'!$K:$K,""),'Pokemon Editor'!$A:$A,'Pokemon Editor'!$C:$C,""),mtype=XLOOKUP(XLOOKUP($Q618,'Threshold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Chart'!$B$1:$S$1,0)))),base,IF(OR(cat="Status",pow=0),0,FLOOR(FLOOR(FLOOR((2*XLOOKUP($Q618,'Threshold Summary'!$Y:$Y,'Threshold Summary'!$L:$L,"")/5+2)*pow*atk/def)/50)+2)),modifier,stab*eff,AVERAGE(ARRAYFORMULA(FLOOR(base*modifier*SEQUENCE(16,1,85,1)/100)))),0)</f>
        <v/>
      </c>
      <c r="M618" s="3">
        <f>IFERROR(LET(mtype,XLOOKUP($D618,'Move Editor'!$B:$B,'Move Editor'!$C:$C,""),cat,XLOOKUP($D618,'Move Editor'!$B:$B,'Move Editor'!$D:$D,""),pow,XLOOKUP($D618,'Move Editor'!$B:$B,'Move Editor'!$E:$E,0),acc,XLOOKUP($D618,'Move Editor'!$B:$B,'Move Editor'!$F:$F,100),atk,IF(cat="Physical",FLOOR((FLOOR(((2*XLOOKUP(XLOOKUP($Q618,'Threshold Summary'!$Y:$Y,'Threshold Summary'!$K:$K,""),'Pokemon Editor'!$A:$A,'Pokemon Editor'!$F:$F,0)+31+FLOOR(XLOOKUP($Q618,'Threshold Summary'!$Y:$Y,'Threshold Summary'!$P:$P,"")/4))*XLOOKUP($Q618,'Threshold Summary'!$Y:$Y,'Threshold Summary'!$L:$L,""))/100)+5)*XLOOKUP(XLOOKUP($Q618,'Threshold Summary'!$Y:$Y,'Threshold Summary'!$M:$M,""),'Nature Editor'!$A:$A,'Nature Editor'!$B:$B,1)),FLOOR((FLOOR(((2*XLOOKUP(XLOOKUP($Q618,'Threshold Summary'!$Y:$Y,'Threshold Summary'!$K:$K,""),'Pokemon Editor'!$A:$A,'Pokemon Editor'!$H:$H,0)+31+FLOOR(XLOOKUP($Q618,'Threshold Summary'!$Y:$Y,'Threshold Summary'!$R:$R,"")/4))*XLOOKUP($Q618,'Threshold Summary'!$Y:$Y,'Threshold Summary'!$L:$L,""))/100)+5)*XLOOKUP(XLOOKUP($Q618,'Threshold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Editor'!$E:$E,1))),stab,IF(OR(mtype=XLOOKUP(XLOOKUP($Q618,'Threshold Summary'!$Y:$Y,'Threshold Summary'!$K:$K,""),'Pokemon Editor'!$A:$A,'Pokemon Editor'!$C:$C,""),mtype=XLOOKUP(XLOOKUP($Q618,'Threshold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Chart'!$B$1:$S$1,0)))),base,IF(OR(cat="Status",pow=0),0,FLOOR(FLOOR(FLOOR((2*XLOOKUP($Q618,'Threshold Summary'!$Y:$Y,'Threshold Summary'!$L:$L,"")/5+2)*pow*atk/def)/50)+2)),modifier,stab*eff,AVERAGE(ARRAYFORMULA(FLOOR(base*modifier*SEQUENCE(16,1,85,1)/100)))*MIN(1,acc/100)),0)</f>
        <v/>
      </c>
      <c r="N618" s="4">
        <f>IFERROR(LET(mtype,XLOOKUP($D618,'Move Editor'!$B:$B,'Move Editor'!$C:$C,""),cat,XLOOKUP($D618,'Move Editor'!$B:$B,'Move Editor'!$D:$D,""),pow,XLOOKUP($D618,'Move Editor'!$B:$B,'Move Editor'!$E:$E,0),acc,XLOOKUP($D618,'Move Editor'!$B:$B,'Move Editor'!$F:$F,100),atk,IF(cat="Physical",FLOOR((FLOOR(((2*XLOOKUP(XLOOKUP($Q618,'Threshold Summary'!$Y:$Y,'Threshold Summary'!$K:$K,""),'Pokemon Editor'!$A:$A,'Pokemon Editor'!$F:$F,0)+31+FLOOR(XLOOKUP($Q618,'Threshold Summary'!$Y:$Y,'Threshold Summary'!$P:$P,"")/4))*XLOOKUP($Q618,'Threshold Summary'!$Y:$Y,'Threshold Summary'!$L:$L,""))/100)+5)*XLOOKUP(XLOOKUP($Q618,'Threshold Summary'!$Y:$Y,'Threshold Summary'!$M:$M,""),'Nature Editor'!$A:$A,'Nature Editor'!$B:$B,1)),FLOOR((FLOOR(((2*XLOOKUP(XLOOKUP($Q618,'Threshold Summary'!$Y:$Y,'Threshold Summary'!$K:$K,""),'Pokemon Editor'!$A:$A,'Pokemon Editor'!$H:$H,0)+31+FLOOR(XLOOKUP($Q618,'Threshold Summary'!$Y:$Y,'Threshold Summary'!$R:$R,"")/4))*XLOOKUP($Q618,'Threshold Summary'!$Y:$Y,'Threshold Summary'!$L:$L,""))/100)+5)*XLOOKUP(XLOOKUP($Q618,'Threshold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Editor'!$E:$E,1))),stab,IF(OR(mtype=XLOOKUP(XLOOKUP($Q618,'Threshold Summary'!$Y:$Y,'Threshold Summary'!$K:$K,""),'Pokemon Editor'!$A:$A,'Pokemon Editor'!$C:$C,""),mtype=XLOOKUP(XLOOKUP($Q618,'Threshold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Chart'!$B$1:$S$1,0)))),base,IF(OR(cat="Status",pow=0),0,FLOOR(FLOOR(FLOOR((2*XLOOKUP($Q618,'Threshold Summary'!$Y:$Y,'Threshold Summary'!$L:$L,"")/5+2)*pow*atk/def)/50)+2)),modifier,stab*eff,AVERAGE(ARRAYFORMULA(FLOOR(base*modifier*SEQUENCE(16,1,85,1)/100)))/(FLOOR(((2*XLOOKUP('Boss Editor'!$C$4,'Pokemon Editor'!$A:$A,'Pokemon Editor'!$E:$E,0)+31+FLOOR('Boss Editor'!$G$4/4))*'Boss Editor'!$D$4)/100)+'Boss Editor'!$D$4+10)),0)</f>
        <v/>
      </c>
      <c r="O618" s="3">
        <f>IF(N618&gt;=1,"OHKO",IF(N618&gt;=0.5,"2HKO",IF(N618&gt;=0.333,"3HKO",IF(N618&gt;=0.25,"4HKO","5HKO+"))))</f>
        <v/>
      </c>
      <c r="P618" s="3" t="inlineStr">
        <is>
          <t>Live from editable databases</t>
        </is>
      </c>
      <c r="Q618" s="3" t="inlineStr">
        <is>
          <t>SPECIES_LITLEO</t>
        </is>
      </c>
      <c r="R618" s="3" t="n">
        <v>9</v>
      </c>
    </row>
    <row r="619">
      <c r="A619" s="3">
        <f>XLOOKUP($Q619,'Threshold Summary'!$Y:$Y,'Threshold Summary'!$A:$A,"")</f>
        <v/>
      </c>
      <c r="B619" s="3">
        <f>XLOOKUP($Q619,'Threshold Summary'!$Y:$Y,'Threshold Summary'!$M:$M,"")</f>
        <v/>
      </c>
      <c r="C619" s="3">
        <f>XLOOKUP($Q619,'Threshold Summary'!$Y:$Y,'Threshold Summary'!$N:$N,"")</f>
        <v/>
      </c>
      <c r="D619" s="3">
        <f>IFERROR(INDEX(FILTER('Learnset Editor'!$D$2:$D,'Learnset Editor'!$A$2:$A=XLOOKUP($Q619,'Threshold Summary'!$Y:$Y,'Threshold Summary'!$K:$K,""),'Learnset Editor'!$C$2:$C&lt;=XLOOKUP($Q619,'Threshold Summary'!$Y:$Y,'Threshold Summary'!$L:$L,"")),$R619),"")</f>
        <v/>
      </c>
      <c r="E619" s="3">
        <f>XLOOKUP(D619,'Move Editor'!$B:$B,'Move Editor'!$C:$C,"")</f>
        <v/>
      </c>
      <c r="F619" s="3">
        <f>XLOOKUP(D619,'Move Editor'!$B:$B,'Move Editor'!$D:$D,"")</f>
        <v/>
      </c>
      <c r="G619" s="3">
        <f>XLOOKUP(D619,'Move Editor'!$B:$B,'Move Editor'!$E:$E,0)</f>
        <v/>
      </c>
      <c r="H619" s="3">
        <f>XLOOKUP(D619,'Move Editor'!$B:$B,'Move Editor'!$F:$F,0)</f>
        <v/>
      </c>
      <c r="I619" s="3">
        <f>(INDEX('Type Chart'!$B:$S,MATCH(E619,'Type Chart'!$A:$A,0),MATCH(XLOOKUP('Boss Editor'!$C$4,'Pokemon Editor'!$A:$A,'Pokemon Editor'!$C:$C,""),'Type Chart'!$B$1:$S$1,0))*IF(XLOOKUP('Boss Editor'!$C$4,'Pokemon Editor'!$A:$A,'Pokemon Editor'!$D:$D,"")="",1,INDEX('Type Chart'!$B:$S,MATCH(E619,'Type Chart'!$A:$A,0),MATCH(XLOOKUP('Boss Editor'!$C$4,'Pokemon Editor'!$A:$A,'Pokemon Editor'!$D:$D,""),'Type Chart'!$B$1:$S$1,0))))</f>
        <v/>
      </c>
      <c r="J619" s="3">
        <f>IFERROR(LET(mtype,XLOOKUP($D619,'Move Editor'!$B:$B,'Move Editor'!$C:$C,""),cat,XLOOKUP($D619,'Move Editor'!$B:$B,'Move Editor'!$D:$D,""),pow,XLOOKUP($D619,'Move Editor'!$B:$B,'Move Editor'!$E:$E,0),acc,XLOOKUP($D619,'Move Editor'!$B:$B,'Move Editor'!$F:$F,100),atk,IF(cat="Physical",FLOOR((FLOOR(((2*XLOOKUP(XLOOKUP($Q619,'Threshold Summary'!$Y:$Y,'Threshold Summary'!$K:$K,""),'Pokemon Editor'!$A:$A,'Pokemon Editor'!$F:$F,0)+31+FLOOR(XLOOKUP($Q619,'Threshold Summary'!$Y:$Y,'Threshold Summary'!$P:$P,"")/4))*XLOOKUP($Q619,'Threshold Summary'!$Y:$Y,'Threshold Summary'!$L:$L,""))/100)+5)*XLOOKUP(XLOOKUP($Q619,'Threshold Summary'!$Y:$Y,'Threshold Summary'!$M:$M,""),'Nature Editor'!$A:$A,'Nature Editor'!$B:$B,1)),FLOOR((FLOOR(((2*XLOOKUP(XLOOKUP($Q619,'Threshold Summary'!$Y:$Y,'Threshold Summary'!$K:$K,""),'Pokemon Editor'!$A:$A,'Pokemon Editor'!$H:$H,0)+31+FLOOR(XLOOKUP($Q619,'Threshold Summary'!$Y:$Y,'Threshold Summary'!$R:$R,"")/4))*XLOOKUP($Q619,'Threshold Summary'!$Y:$Y,'Threshold Summary'!$L:$L,""))/100)+5)*XLOOKUP(XLOOKUP($Q619,'Threshold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Editor'!$E:$E,1))),stab,IF(OR(mtype=XLOOKUP(XLOOKUP($Q619,'Threshold Summary'!$Y:$Y,'Threshold Summary'!$K:$K,""),'Pokemon Editor'!$A:$A,'Pokemon Editor'!$C:$C,""),mtype=XLOOKUP(XLOOKUP($Q619,'Threshold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Chart'!$B$1:$S$1,0)))),base,IF(OR(cat="Status",pow=0),0,FLOOR(FLOOR(FLOOR((2*XLOOKUP($Q619,'Threshold Summary'!$Y:$Y,'Threshold Summary'!$L:$L,"")/5+2)*pow*atk/def)/50)+2)),modifier,stab*eff,FLOOR(base*modifier*0.85)),0)</f>
        <v/>
      </c>
      <c r="K619" s="3">
        <f>IFERROR(LET(mtype,XLOOKUP($D619,'Move Editor'!$B:$B,'Move Editor'!$C:$C,""),cat,XLOOKUP($D619,'Move Editor'!$B:$B,'Move Editor'!$D:$D,""),pow,XLOOKUP($D619,'Move Editor'!$B:$B,'Move Editor'!$E:$E,0),acc,XLOOKUP($D619,'Move Editor'!$B:$B,'Move Editor'!$F:$F,100),atk,IF(cat="Physical",FLOOR((FLOOR(((2*XLOOKUP(XLOOKUP($Q619,'Threshold Summary'!$Y:$Y,'Threshold Summary'!$K:$K,""),'Pokemon Editor'!$A:$A,'Pokemon Editor'!$F:$F,0)+31+FLOOR(XLOOKUP($Q619,'Threshold Summary'!$Y:$Y,'Threshold Summary'!$P:$P,"")/4))*XLOOKUP($Q619,'Threshold Summary'!$Y:$Y,'Threshold Summary'!$L:$L,""))/100)+5)*XLOOKUP(XLOOKUP($Q619,'Threshold Summary'!$Y:$Y,'Threshold Summary'!$M:$M,""),'Nature Editor'!$A:$A,'Nature Editor'!$B:$B,1)),FLOOR((FLOOR(((2*XLOOKUP(XLOOKUP($Q619,'Threshold Summary'!$Y:$Y,'Threshold Summary'!$K:$K,""),'Pokemon Editor'!$A:$A,'Pokemon Editor'!$H:$H,0)+31+FLOOR(XLOOKUP($Q619,'Threshold Summary'!$Y:$Y,'Threshold Summary'!$R:$R,"")/4))*XLOOKUP($Q619,'Threshold Summary'!$Y:$Y,'Threshold Summary'!$L:$L,""))/100)+5)*XLOOKUP(XLOOKUP($Q619,'Threshold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Editor'!$E:$E,1))),stab,IF(OR(mtype=XLOOKUP(XLOOKUP($Q619,'Threshold Summary'!$Y:$Y,'Threshold Summary'!$K:$K,""),'Pokemon Editor'!$A:$A,'Pokemon Editor'!$C:$C,""),mtype=XLOOKUP(XLOOKUP($Q619,'Threshold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Chart'!$B$1:$S$1,0)))),base,IF(OR(cat="Status",pow=0),0,FLOOR(FLOOR(FLOOR((2*XLOOKUP($Q619,'Threshold Summary'!$Y:$Y,'Threshold Summary'!$L:$L,"")/5+2)*pow*atk/def)/50)+2)),modifier,stab*eff,FLOOR(base*modifier)),0)</f>
        <v/>
      </c>
      <c r="L619" s="3">
        <f>IFERROR(LET(mtype,XLOOKUP($D619,'Move Editor'!$B:$B,'Move Editor'!$C:$C,""),cat,XLOOKUP($D619,'Move Editor'!$B:$B,'Move Editor'!$D:$D,""),pow,XLOOKUP($D619,'Move Editor'!$B:$B,'Move Editor'!$E:$E,0),acc,XLOOKUP($D619,'Move Editor'!$B:$B,'Move Editor'!$F:$F,100),atk,IF(cat="Physical",FLOOR((FLOOR(((2*XLOOKUP(XLOOKUP($Q619,'Threshold Summary'!$Y:$Y,'Threshold Summary'!$K:$K,""),'Pokemon Editor'!$A:$A,'Pokemon Editor'!$F:$F,0)+31+FLOOR(XLOOKUP($Q619,'Threshold Summary'!$Y:$Y,'Threshold Summary'!$P:$P,"")/4))*XLOOKUP($Q619,'Threshold Summary'!$Y:$Y,'Threshold Summary'!$L:$L,""))/100)+5)*XLOOKUP(XLOOKUP($Q619,'Threshold Summary'!$Y:$Y,'Threshold Summary'!$M:$M,""),'Nature Editor'!$A:$A,'Nature Editor'!$B:$B,1)),FLOOR((FLOOR(((2*XLOOKUP(XLOOKUP($Q619,'Threshold Summary'!$Y:$Y,'Threshold Summary'!$K:$K,""),'Pokemon Editor'!$A:$A,'Pokemon Editor'!$H:$H,0)+31+FLOOR(XLOOKUP($Q619,'Threshold Summary'!$Y:$Y,'Threshold Summary'!$R:$R,"")/4))*XLOOKUP($Q619,'Threshold Summary'!$Y:$Y,'Threshold Summary'!$L:$L,""))/100)+5)*XLOOKUP(XLOOKUP($Q619,'Threshold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Editor'!$E:$E,1))),stab,IF(OR(mtype=XLOOKUP(XLOOKUP($Q619,'Threshold Summary'!$Y:$Y,'Threshold Summary'!$K:$K,""),'Pokemon Editor'!$A:$A,'Pokemon Editor'!$C:$C,""),mtype=XLOOKUP(XLOOKUP($Q619,'Threshold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Chart'!$B$1:$S$1,0)))),base,IF(OR(cat="Status",pow=0),0,FLOOR(FLOOR(FLOOR((2*XLOOKUP($Q619,'Threshold Summary'!$Y:$Y,'Threshold Summary'!$L:$L,"")/5+2)*pow*atk/def)/50)+2)),modifier,stab*eff,AVERAGE(ARRAYFORMULA(FLOOR(base*modifier*SEQUENCE(16,1,85,1)/100)))),0)</f>
        <v/>
      </c>
      <c r="M619" s="3">
        <f>IFERROR(LET(mtype,XLOOKUP($D619,'Move Editor'!$B:$B,'Move Editor'!$C:$C,""),cat,XLOOKUP($D619,'Move Editor'!$B:$B,'Move Editor'!$D:$D,""),pow,XLOOKUP($D619,'Move Editor'!$B:$B,'Move Editor'!$E:$E,0),acc,XLOOKUP($D619,'Move Editor'!$B:$B,'Move Editor'!$F:$F,100),atk,IF(cat="Physical",FLOOR((FLOOR(((2*XLOOKUP(XLOOKUP($Q619,'Threshold Summary'!$Y:$Y,'Threshold Summary'!$K:$K,""),'Pokemon Editor'!$A:$A,'Pokemon Editor'!$F:$F,0)+31+FLOOR(XLOOKUP($Q619,'Threshold Summary'!$Y:$Y,'Threshold Summary'!$P:$P,"")/4))*XLOOKUP($Q619,'Threshold Summary'!$Y:$Y,'Threshold Summary'!$L:$L,""))/100)+5)*XLOOKUP(XLOOKUP($Q619,'Threshold Summary'!$Y:$Y,'Threshold Summary'!$M:$M,""),'Nature Editor'!$A:$A,'Nature Editor'!$B:$B,1)),FLOOR((FLOOR(((2*XLOOKUP(XLOOKUP($Q619,'Threshold Summary'!$Y:$Y,'Threshold Summary'!$K:$K,""),'Pokemon Editor'!$A:$A,'Pokemon Editor'!$H:$H,0)+31+FLOOR(XLOOKUP($Q619,'Threshold Summary'!$Y:$Y,'Threshold Summary'!$R:$R,"")/4))*XLOOKUP($Q619,'Threshold Summary'!$Y:$Y,'Threshold Summary'!$L:$L,""))/100)+5)*XLOOKUP(XLOOKUP($Q619,'Threshold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Editor'!$E:$E,1))),stab,IF(OR(mtype=XLOOKUP(XLOOKUP($Q619,'Threshold Summary'!$Y:$Y,'Threshold Summary'!$K:$K,""),'Pokemon Editor'!$A:$A,'Pokemon Editor'!$C:$C,""),mtype=XLOOKUP(XLOOKUP($Q619,'Threshold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Chart'!$B$1:$S$1,0)))),base,IF(OR(cat="Status",pow=0),0,FLOOR(FLOOR(FLOOR((2*XLOOKUP($Q619,'Threshold Summary'!$Y:$Y,'Threshold Summary'!$L:$L,"")/5+2)*pow*atk/def)/50)+2)),modifier,stab*eff,AVERAGE(ARRAYFORMULA(FLOOR(base*modifier*SEQUENCE(16,1,85,1)/100)))*MIN(1,acc/100)),0)</f>
        <v/>
      </c>
      <c r="N619" s="4">
        <f>IFERROR(LET(mtype,XLOOKUP($D619,'Move Editor'!$B:$B,'Move Editor'!$C:$C,""),cat,XLOOKUP($D619,'Move Editor'!$B:$B,'Move Editor'!$D:$D,""),pow,XLOOKUP($D619,'Move Editor'!$B:$B,'Move Editor'!$E:$E,0),acc,XLOOKUP($D619,'Move Editor'!$B:$B,'Move Editor'!$F:$F,100),atk,IF(cat="Physical",FLOOR((FLOOR(((2*XLOOKUP(XLOOKUP($Q619,'Threshold Summary'!$Y:$Y,'Threshold Summary'!$K:$K,""),'Pokemon Editor'!$A:$A,'Pokemon Editor'!$F:$F,0)+31+FLOOR(XLOOKUP($Q619,'Threshold Summary'!$Y:$Y,'Threshold Summary'!$P:$P,"")/4))*XLOOKUP($Q619,'Threshold Summary'!$Y:$Y,'Threshold Summary'!$L:$L,""))/100)+5)*XLOOKUP(XLOOKUP($Q619,'Threshold Summary'!$Y:$Y,'Threshold Summary'!$M:$M,""),'Nature Editor'!$A:$A,'Nature Editor'!$B:$B,1)),FLOOR((FLOOR(((2*XLOOKUP(XLOOKUP($Q619,'Threshold Summary'!$Y:$Y,'Threshold Summary'!$K:$K,""),'Pokemon Editor'!$A:$A,'Pokemon Editor'!$H:$H,0)+31+FLOOR(XLOOKUP($Q619,'Threshold Summary'!$Y:$Y,'Threshold Summary'!$R:$R,"")/4))*XLOOKUP($Q619,'Threshold Summary'!$Y:$Y,'Threshold Summary'!$L:$L,""))/100)+5)*XLOOKUP(XLOOKUP($Q619,'Threshold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Editor'!$E:$E,1))),stab,IF(OR(mtype=XLOOKUP(XLOOKUP($Q619,'Threshold Summary'!$Y:$Y,'Threshold Summary'!$K:$K,""),'Pokemon Editor'!$A:$A,'Pokemon Editor'!$C:$C,""),mtype=XLOOKUP(XLOOKUP($Q619,'Threshold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Chart'!$B$1:$S$1,0)))),base,IF(OR(cat="Status",pow=0),0,FLOOR(FLOOR(FLOOR((2*XLOOKUP($Q619,'Threshold Summary'!$Y:$Y,'Threshold Summary'!$L:$L,"")/5+2)*pow*atk/def)/50)+2)),modifier,stab*eff,AVERAGE(ARRAYFORMULA(FLOOR(base*modifier*SEQUENCE(16,1,85,1)/100)))/(FLOOR(((2*XLOOKUP('Boss Editor'!$C$4,'Pokemon Editor'!$A:$A,'Pokemon Editor'!$E:$E,0)+31+FLOOR('Boss Editor'!$G$4/4))*'Boss Editor'!$D$4)/100)+'Boss Editor'!$D$4+10)),0)</f>
        <v/>
      </c>
      <c r="O619" s="3">
        <f>IF(N619&gt;=1,"OHKO",IF(N619&gt;=0.5,"2HKO",IF(N619&gt;=0.333,"3HKO",IF(N619&gt;=0.25,"4HKO","5HKO+"))))</f>
        <v/>
      </c>
      <c r="P619" s="3" t="inlineStr">
        <is>
          <t>Live from editable databases</t>
        </is>
      </c>
      <c r="Q619" s="3" t="inlineStr">
        <is>
          <t>SPECIES_LITLEO</t>
        </is>
      </c>
      <c r="R619" s="3" t="n">
        <v>10</v>
      </c>
    </row>
    <row r="620">
      <c r="A620" s="3">
        <f>XLOOKUP($Q620,'Threshold Summary'!$Y:$Y,'Threshold Summary'!$A:$A,"")</f>
        <v/>
      </c>
      <c r="B620" s="3">
        <f>XLOOKUP($Q620,'Threshold Summary'!$Y:$Y,'Threshold Summary'!$M:$M,"")</f>
        <v/>
      </c>
      <c r="C620" s="3">
        <f>XLOOKUP($Q620,'Threshold Summary'!$Y:$Y,'Threshold Summary'!$N:$N,"")</f>
        <v/>
      </c>
      <c r="D620" s="3">
        <f>IFERROR(INDEX(FILTER('Learnset Editor'!$D$2:$D,'Learnset Editor'!$A$2:$A=XLOOKUP($Q620,'Threshold Summary'!$Y:$Y,'Threshold Summary'!$K:$K,""),'Learnset Editor'!$C$2:$C&lt;=XLOOKUP($Q620,'Threshold Summary'!$Y:$Y,'Threshold Summary'!$L:$L,"")),$R620),"")</f>
        <v/>
      </c>
      <c r="E620" s="3">
        <f>XLOOKUP(D620,'Move Editor'!$B:$B,'Move Editor'!$C:$C,"")</f>
        <v/>
      </c>
      <c r="F620" s="3">
        <f>XLOOKUP(D620,'Move Editor'!$B:$B,'Move Editor'!$D:$D,"")</f>
        <v/>
      </c>
      <c r="G620" s="3">
        <f>XLOOKUP(D620,'Move Editor'!$B:$B,'Move Editor'!$E:$E,0)</f>
        <v/>
      </c>
      <c r="H620" s="3">
        <f>XLOOKUP(D620,'Move Editor'!$B:$B,'Move Editor'!$F:$F,0)</f>
        <v/>
      </c>
      <c r="I620" s="3">
        <f>(INDEX('Type Chart'!$B:$S,MATCH(E620,'Type Chart'!$A:$A,0),MATCH(XLOOKUP('Boss Editor'!$C$4,'Pokemon Editor'!$A:$A,'Pokemon Editor'!$C:$C,""),'Type Chart'!$B$1:$S$1,0))*IF(XLOOKUP('Boss Editor'!$C$4,'Pokemon Editor'!$A:$A,'Pokemon Editor'!$D:$D,"")="",1,INDEX('Type Chart'!$B:$S,MATCH(E620,'Type Chart'!$A:$A,0),MATCH(XLOOKUP('Boss Editor'!$C$4,'Pokemon Editor'!$A:$A,'Pokemon Editor'!$D:$D,""),'Type Chart'!$B$1:$S$1,0))))</f>
        <v/>
      </c>
      <c r="J620" s="3">
        <f>IFERROR(LET(mtype,XLOOKUP($D620,'Move Editor'!$B:$B,'Move Editor'!$C:$C,""),cat,XLOOKUP($D620,'Move Editor'!$B:$B,'Move Editor'!$D:$D,""),pow,XLOOKUP($D620,'Move Editor'!$B:$B,'Move Editor'!$E:$E,0),acc,XLOOKUP($D620,'Move Editor'!$B:$B,'Move Editor'!$F:$F,100),atk,IF(cat="Physical",FLOOR((FLOOR(((2*XLOOKUP(XLOOKUP($Q620,'Threshold Summary'!$Y:$Y,'Threshold Summary'!$K:$K,""),'Pokemon Editor'!$A:$A,'Pokemon Editor'!$F:$F,0)+31+FLOOR(XLOOKUP($Q620,'Threshold Summary'!$Y:$Y,'Threshold Summary'!$P:$P,"")/4))*XLOOKUP($Q620,'Threshold Summary'!$Y:$Y,'Threshold Summary'!$L:$L,""))/100)+5)*XLOOKUP(XLOOKUP($Q620,'Threshold Summary'!$Y:$Y,'Threshold Summary'!$M:$M,""),'Nature Editor'!$A:$A,'Nature Editor'!$B:$B,1)),FLOOR((FLOOR(((2*XLOOKUP(XLOOKUP($Q620,'Threshold Summary'!$Y:$Y,'Threshold Summary'!$K:$K,""),'Pokemon Editor'!$A:$A,'Pokemon Editor'!$H:$H,0)+31+FLOOR(XLOOKUP($Q620,'Threshold Summary'!$Y:$Y,'Threshold Summary'!$R:$R,"")/4))*XLOOKUP($Q620,'Threshold Summary'!$Y:$Y,'Threshold Summary'!$L:$L,""))/100)+5)*XLOOKUP(XLOOKUP($Q620,'Threshold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Editor'!$E:$E,1))),stab,IF(OR(mtype=XLOOKUP(XLOOKUP($Q620,'Threshold Summary'!$Y:$Y,'Threshold Summary'!$K:$K,""),'Pokemon Editor'!$A:$A,'Pokemon Editor'!$C:$C,""),mtype=XLOOKUP(XLOOKUP($Q620,'Threshold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Chart'!$B$1:$S$1,0)))),base,IF(OR(cat="Status",pow=0),0,FLOOR(FLOOR(FLOOR((2*XLOOKUP($Q620,'Threshold Summary'!$Y:$Y,'Threshold Summary'!$L:$L,"")/5+2)*pow*atk/def)/50)+2)),modifier,stab*eff,FLOOR(base*modifier*0.85)),0)</f>
        <v/>
      </c>
      <c r="K620" s="3">
        <f>IFERROR(LET(mtype,XLOOKUP($D620,'Move Editor'!$B:$B,'Move Editor'!$C:$C,""),cat,XLOOKUP($D620,'Move Editor'!$B:$B,'Move Editor'!$D:$D,""),pow,XLOOKUP($D620,'Move Editor'!$B:$B,'Move Editor'!$E:$E,0),acc,XLOOKUP($D620,'Move Editor'!$B:$B,'Move Editor'!$F:$F,100),atk,IF(cat="Physical",FLOOR((FLOOR(((2*XLOOKUP(XLOOKUP($Q620,'Threshold Summary'!$Y:$Y,'Threshold Summary'!$K:$K,""),'Pokemon Editor'!$A:$A,'Pokemon Editor'!$F:$F,0)+31+FLOOR(XLOOKUP($Q620,'Threshold Summary'!$Y:$Y,'Threshold Summary'!$P:$P,"")/4))*XLOOKUP($Q620,'Threshold Summary'!$Y:$Y,'Threshold Summary'!$L:$L,""))/100)+5)*XLOOKUP(XLOOKUP($Q620,'Threshold Summary'!$Y:$Y,'Threshold Summary'!$M:$M,""),'Nature Editor'!$A:$A,'Nature Editor'!$B:$B,1)),FLOOR((FLOOR(((2*XLOOKUP(XLOOKUP($Q620,'Threshold Summary'!$Y:$Y,'Threshold Summary'!$K:$K,""),'Pokemon Editor'!$A:$A,'Pokemon Editor'!$H:$H,0)+31+FLOOR(XLOOKUP($Q620,'Threshold Summary'!$Y:$Y,'Threshold Summary'!$R:$R,"")/4))*XLOOKUP($Q620,'Threshold Summary'!$Y:$Y,'Threshold Summary'!$L:$L,""))/100)+5)*XLOOKUP(XLOOKUP($Q620,'Threshold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Editor'!$E:$E,1))),stab,IF(OR(mtype=XLOOKUP(XLOOKUP($Q620,'Threshold Summary'!$Y:$Y,'Threshold Summary'!$K:$K,""),'Pokemon Editor'!$A:$A,'Pokemon Editor'!$C:$C,""),mtype=XLOOKUP(XLOOKUP($Q620,'Threshold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Chart'!$B$1:$S$1,0)))),base,IF(OR(cat="Status",pow=0),0,FLOOR(FLOOR(FLOOR((2*XLOOKUP($Q620,'Threshold Summary'!$Y:$Y,'Threshold Summary'!$L:$L,"")/5+2)*pow*atk/def)/50)+2)),modifier,stab*eff,FLOOR(base*modifier)),0)</f>
        <v/>
      </c>
      <c r="L620" s="3">
        <f>IFERROR(LET(mtype,XLOOKUP($D620,'Move Editor'!$B:$B,'Move Editor'!$C:$C,""),cat,XLOOKUP($D620,'Move Editor'!$B:$B,'Move Editor'!$D:$D,""),pow,XLOOKUP($D620,'Move Editor'!$B:$B,'Move Editor'!$E:$E,0),acc,XLOOKUP($D620,'Move Editor'!$B:$B,'Move Editor'!$F:$F,100),atk,IF(cat="Physical",FLOOR((FLOOR(((2*XLOOKUP(XLOOKUP($Q620,'Threshold Summary'!$Y:$Y,'Threshold Summary'!$K:$K,""),'Pokemon Editor'!$A:$A,'Pokemon Editor'!$F:$F,0)+31+FLOOR(XLOOKUP($Q620,'Threshold Summary'!$Y:$Y,'Threshold Summary'!$P:$P,"")/4))*XLOOKUP($Q620,'Threshold Summary'!$Y:$Y,'Threshold Summary'!$L:$L,""))/100)+5)*XLOOKUP(XLOOKUP($Q620,'Threshold Summary'!$Y:$Y,'Threshold Summary'!$M:$M,""),'Nature Editor'!$A:$A,'Nature Editor'!$B:$B,1)),FLOOR((FLOOR(((2*XLOOKUP(XLOOKUP($Q620,'Threshold Summary'!$Y:$Y,'Threshold Summary'!$K:$K,""),'Pokemon Editor'!$A:$A,'Pokemon Editor'!$H:$H,0)+31+FLOOR(XLOOKUP($Q620,'Threshold Summary'!$Y:$Y,'Threshold Summary'!$R:$R,"")/4))*XLOOKUP($Q620,'Threshold Summary'!$Y:$Y,'Threshold Summary'!$L:$L,""))/100)+5)*XLOOKUP(XLOOKUP($Q620,'Threshold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Editor'!$E:$E,1))),stab,IF(OR(mtype=XLOOKUP(XLOOKUP($Q620,'Threshold Summary'!$Y:$Y,'Threshold Summary'!$K:$K,""),'Pokemon Editor'!$A:$A,'Pokemon Editor'!$C:$C,""),mtype=XLOOKUP(XLOOKUP($Q620,'Threshold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Chart'!$B$1:$S$1,0)))),base,IF(OR(cat="Status",pow=0),0,FLOOR(FLOOR(FLOOR((2*XLOOKUP($Q620,'Threshold Summary'!$Y:$Y,'Threshold Summary'!$L:$L,"")/5+2)*pow*atk/def)/50)+2)),modifier,stab*eff,AVERAGE(ARRAYFORMULA(FLOOR(base*modifier*SEQUENCE(16,1,85,1)/100)))),0)</f>
        <v/>
      </c>
      <c r="M620" s="3">
        <f>IFERROR(LET(mtype,XLOOKUP($D620,'Move Editor'!$B:$B,'Move Editor'!$C:$C,""),cat,XLOOKUP($D620,'Move Editor'!$B:$B,'Move Editor'!$D:$D,""),pow,XLOOKUP($D620,'Move Editor'!$B:$B,'Move Editor'!$E:$E,0),acc,XLOOKUP($D620,'Move Editor'!$B:$B,'Move Editor'!$F:$F,100),atk,IF(cat="Physical",FLOOR((FLOOR(((2*XLOOKUP(XLOOKUP($Q620,'Threshold Summary'!$Y:$Y,'Threshold Summary'!$K:$K,""),'Pokemon Editor'!$A:$A,'Pokemon Editor'!$F:$F,0)+31+FLOOR(XLOOKUP($Q620,'Threshold Summary'!$Y:$Y,'Threshold Summary'!$P:$P,"")/4))*XLOOKUP($Q620,'Threshold Summary'!$Y:$Y,'Threshold Summary'!$L:$L,""))/100)+5)*XLOOKUP(XLOOKUP($Q620,'Threshold Summary'!$Y:$Y,'Threshold Summary'!$M:$M,""),'Nature Editor'!$A:$A,'Nature Editor'!$B:$B,1)),FLOOR((FLOOR(((2*XLOOKUP(XLOOKUP($Q620,'Threshold Summary'!$Y:$Y,'Threshold Summary'!$K:$K,""),'Pokemon Editor'!$A:$A,'Pokemon Editor'!$H:$H,0)+31+FLOOR(XLOOKUP($Q620,'Threshold Summary'!$Y:$Y,'Threshold Summary'!$R:$R,"")/4))*XLOOKUP($Q620,'Threshold Summary'!$Y:$Y,'Threshold Summary'!$L:$L,""))/100)+5)*XLOOKUP(XLOOKUP($Q620,'Threshold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Editor'!$E:$E,1))),stab,IF(OR(mtype=XLOOKUP(XLOOKUP($Q620,'Threshold Summary'!$Y:$Y,'Threshold Summary'!$K:$K,""),'Pokemon Editor'!$A:$A,'Pokemon Editor'!$C:$C,""),mtype=XLOOKUP(XLOOKUP($Q620,'Threshold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Chart'!$B$1:$S$1,0)))),base,IF(OR(cat="Status",pow=0),0,FLOOR(FLOOR(FLOOR((2*XLOOKUP($Q620,'Threshold Summary'!$Y:$Y,'Threshold Summary'!$L:$L,"")/5+2)*pow*atk/def)/50)+2)),modifier,stab*eff,AVERAGE(ARRAYFORMULA(FLOOR(base*modifier*SEQUENCE(16,1,85,1)/100)))*MIN(1,acc/100)),0)</f>
        <v/>
      </c>
      <c r="N620" s="4">
        <f>IFERROR(LET(mtype,XLOOKUP($D620,'Move Editor'!$B:$B,'Move Editor'!$C:$C,""),cat,XLOOKUP($D620,'Move Editor'!$B:$B,'Move Editor'!$D:$D,""),pow,XLOOKUP($D620,'Move Editor'!$B:$B,'Move Editor'!$E:$E,0),acc,XLOOKUP($D620,'Move Editor'!$B:$B,'Move Editor'!$F:$F,100),atk,IF(cat="Physical",FLOOR((FLOOR(((2*XLOOKUP(XLOOKUP($Q620,'Threshold Summary'!$Y:$Y,'Threshold Summary'!$K:$K,""),'Pokemon Editor'!$A:$A,'Pokemon Editor'!$F:$F,0)+31+FLOOR(XLOOKUP($Q620,'Threshold Summary'!$Y:$Y,'Threshold Summary'!$P:$P,"")/4))*XLOOKUP($Q620,'Threshold Summary'!$Y:$Y,'Threshold Summary'!$L:$L,""))/100)+5)*XLOOKUP(XLOOKUP($Q620,'Threshold Summary'!$Y:$Y,'Threshold Summary'!$M:$M,""),'Nature Editor'!$A:$A,'Nature Editor'!$B:$B,1)),FLOOR((FLOOR(((2*XLOOKUP(XLOOKUP($Q620,'Threshold Summary'!$Y:$Y,'Threshold Summary'!$K:$K,""),'Pokemon Editor'!$A:$A,'Pokemon Editor'!$H:$H,0)+31+FLOOR(XLOOKUP($Q620,'Threshold Summary'!$Y:$Y,'Threshold Summary'!$R:$R,"")/4))*XLOOKUP($Q620,'Threshold Summary'!$Y:$Y,'Threshold Summary'!$L:$L,""))/100)+5)*XLOOKUP(XLOOKUP($Q620,'Threshold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Editor'!$E:$E,1))),stab,IF(OR(mtype=XLOOKUP(XLOOKUP($Q620,'Threshold Summary'!$Y:$Y,'Threshold Summary'!$K:$K,""),'Pokemon Editor'!$A:$A,'Pokemon Editor'!$C:$C,""),mtype=XLOOKUP(XLOOKUP($Q620,'Threshold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Chart'!$B$1:$S$1,0)))),base,IF(OR(cat="Status",pow=0),0,FLOOR(FLOOR(FLOOR((2*XLOOKUP($Q620,'Threshold Summary'!$Y:$Y,'Threshold Summary'!$L:$L,"")/5+2)*pow*atk/def)/50)+2)),modifier,stab*eff,AVERAGE(ARRAYFORMULA(FLOOR(base*modifier*SEQUENCE(16,1,85,1)/100)))/(FLOOR(((2*XLOOKUP('Boss Editor'!$C$4,'Pokemon Editor'!$A:$A,'Pokemon Editor'!$E:$E,0)+31+FLOOR('Boss Editor'!$G$4/4))*'Boss Editor'!$D$4)/100)+'Boss Editor'!$D$4+10)),0)</f>
        <v/>
      </c>
      <c r="O620" s="3">
        <f>IF(N620&gt;=1,"OHKO",IF(N620&gt;=0.5,"2HKO",IF(N620&gt;=0.333,"3HKO",IF(N620&gt;=0.25,"4HKO","5HKO+"))))</f>
        <v/>
      </c>
      <c r="P620" s="3" t="inlineStr">
        <is>
          <t>Live from editable databases</t>
        </is>
      </c>
      <c r="Q620" s="3" t="inlineStr">
        <is>
          <t>SPECIES_LITLEO</t>
        </is>
      </c>
      <c r="R620" s="3" t="n">
        <v>11</v>
      </c>
    </row>
    <row r="621">
      <c r="A621" s="3">
        <f>XLOOKUP($Q621,'Threshold Summary'!$Y:$Y,'Threshold Summary'!$A:$A,"")</f>
        <v/>
      </c>
      <c r="B621" s="3">
        <f>XLOOKUP($Q621,'Threshold Summary'!$Y:$Y,'Threshold Summary'!$M:$M,"")</f>
        <v/>
      </c>
      <c r="C621" s="3">
        <f>XLOOKUP($Q621,'Threshold Summary'!$Y:$Y,'Threshold Summary'!$N:$N,"")</f>
        <v/>
      </c>
      <c r="D621" s="3">
        <f>IFERROR(INDEX(FILTER('Learnset Editor'!$D$2:$D,'Learnset Editor'!$A$2:$A=XLOOKUP($Q621,'Threshold Summary'!$Y:$Y,'Threshold Summary'!$K:$K,""),'Learnset Editor'!$C$2:$C&lt;=XLOOKUP($Q621,'Threshold Summary'!$Y:$Y,'Threshold Summary'!$L:$L,"")),$R621),"")</f>
        <v/>
      </c>
      <c r="E621" s="3">
        <f>XLOOKUP(D621,'Move Editor'!$B:$B,'Move Editor'!$C:$C,"")</f>
        <v/>
      </c>
      <c r="F621" s="3">
        <f>XLOOKUP(D621,'Move Editor'!$B:$B,'Move Editor'!$D:$D,"")</f>
        <v/>
      </c>
      <c r="G621" s="3">
        <f>XLOOKUP(D621,'Move Editor'!$B:$B,'Move Editor'!$E:$E,0)</f>
        <v/>
      </c>
      <c r="H621" s="3">
        <f>XLOOKUP(D621,'Move Editor'!$B:$B,'Move Editor'!$F:$F,0)</f>
        <v/>
      </c>
      <c r="I621" s="3">
        <f>(INDEX('Type Chart'!$B:$S,MATCH(E621,'Type Chart'!$A:$A,0),MATCH(XLOOKUP('Boss Editor'!$C$4,'Pokemon Editor'!$A:$A,'Pokemon Editor'!$C:$C,""),'Type Chart'!$B$1:$S$1,0))*IF(XLOOKUP('Boss Editor'!$C$4,'Pokemon Editor'!$A:$A,'Pokemon Editor'!$D:$D,"")="",1,INDEX('Type Chart'!$B:$S,MATCH(E621,'Type Chart'!$A:$A,0),MATCH(XLOOKUP('Boss Editor'!$C$4,'Pokemon Editor'!$A:$A,'Pokemon Editor'!$D:$D,""),'Type Chart'!$B$1:$S$1,0))))</f>
        <v/>
      </c>
      <c r="J621" s="3">
        <f>IFERROR(LET(mtype,XLOOKUP($D621,'Move Editor'!$B:$B,'Move Editor'!$C:$C,""),cat,XLOOKUP($D621,'Move Editor'!$B:$B,'Move Editor'!$D:$D,""),pow,XLOOKUP($D621,'Move Editor'!$B:$B,'Move Editor'!$E:$E,0),acc,XLOOKUP($D621,'Move Editor'!$B:$B,'Move Editor'!$F:$F,100),atk,IF(cat="Physical",FLOOR((FLOOR(((2*XLOOKUP(XLOOKUP($Q621,'Threshold Summary'!$Y:$Y,'Threshold Summary'!$K:$K,""),'Pokemon Editor'!$A:$A,'Pokemon Editor'!$F:$F,0)+31+FLOOR(XLOOKUP($Q621,'Threshold Summary'!$Y:$Y,'Threshold Summary'!$P:$P,"")/4))*XLOOKUP($Q621,'Threshold Summary'!$Y:$Y,'Threshold Summary'!$L:$L,""))/100)+5)*XLOOKUP(XLOOKUP($Q621,'Threshold Summary'!$Y:$Y,'Threshold Summary'!$M:$M,""),'Nature Editor'!$A:$A,'Nature Editor'!$B:$B,1)),FLOOR((FLOOR(((2*XLOOKUP(XLOOKUP($Q621,'Threshold Summary'!$Y:$Y,'Threshold Summary'!$K:$K,""),'Pokemon Editor'!$A:$A,'Pokemon Editor'!$H:$H,0)+31+FLOOR(XLOOKUP($Q621,'Threshold Summary'!$Y:$Y,'Threshold Summary'!$R:$R,"")/4))*XLOOKUP($Q621,'Threshold Summary'!$Y:$Y,'Threshold Summary'!$L:$L,""))/100)+5)*XLOOKUP(XLOOKUP($Q621,'Threshold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Editor'!$E:$E,1))),stab,IF(OR(mtype=XLOOKUP(XLOOKUP($Q621,'Threshold Summary'!$Y:$Y,'Threshold Summary'!$K:$K,""),'Pokemon Editor'!$A:$A,'Pokemon Editor'!$C:$C,""),mtype=XLOOKUP(XLOOKUP($Q621,'Threshold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Chart'!$B$1:$S$1,0)))),base,IF(OR(cat="Status",pow=0),0,FLOOR(FLOOR(FLOOR((2*XLOOKUP($Q621,'Threshold Summary'!$Y:$Y,'Threshold Summary'!$L:$L,"")/5+2)*pow*atk/def)/50)+2)),modifier,stab*eff,FLOOR(base*modifier*0.85)),0)</f>
        <v/>
      </c>
      <c r="K621" s="3">
        <f>IFERROR(LET(mtype,XLOOKUP($D621,'Move Editor'!$B:$B,'Move Editor'!$C:$C,""),cat,XLOOKUP($D621,'Move Editor'!$B:$B,'Move Editor'!$D:$D,""),pow,XLOOKUP($D621,'Move Editor'!$B:$B,'Move Editor'!$E:$E,0),acc,XLOOKUP($D621,'Move Editor'!$B:$B,'Move Editor'!$F:$F,100),atk,IF(cat="Physical",FLOOR((FLOOR(((2*XLOOKUP(XLOOKUP($Q621,'Threshold Summary'!$Y:$Y,'Threshold Summary'!$K:$K,""),'Pokemon Editor'!$A:$A,'Pokemon Editor'!$F:$F,0)+31+FLOOR(XLOOKUP($Q621,'Threshold Summary'!$Y:$Y,'Threshold Summary'!$P:$P,"")/4))*XLOOKUP($Q621,'Threshold Summary'!$Y:$Y,'Threshold Summary'!$L:$L,""))/100)+5)*XLOOKUP(XLOOKUP($Q621,'Threshold Summary'!$Y:$Y,'Threshold Summary'!$M:$M,""),'Nature Editor'!$A:$A,'Nature Editor'!$B:$B,1)),FLOOR((FLOOR(((2*XLOOKUP(XLOOKUP($Q621,'Threshold Summary'!$Y:$Y,'Threshold Summary'!$K:$K,""),'Pokemon Editor'!$A:$A,'Pokemon Editor'!$H:$H,0)+31+FLOOR(XLOOKUP($Q621,'Threshold Summary'!$Y:$Y,'Threshold Summary'!$R:$R,"")/4))*XLOOKUP($Q621,'Threshold Summary'!$Y:$Y,'Threshold Summary'!$L:$L,""))/100)+5)*XLOOKUP(XLOOKUP($Q621,'Threshold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Editor'!$E:$E,1))),stab,IF(OR(mtype=XLOOKUP(XLOOKUP($Q621,'Threshold Summary'!$Y:$Y,'Threshold Summary'!$K:$K,""),'Pokemon Editor'!$A:$A,'Pokemon Editor'!$C:$C,""),mtype=XLOOKUP(XLOOKUP($Q621,'Threshold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Chart'!$B$1:$S$1,0)))),base,IF(OR(cat="Status",pow=0),0,FLOOR(FLOOR(FLOOR((2*XLOOKUP($Q621,'Threshold Summary'!$Y:$Y,'Threshold Summary'!$L:$L,"")/5+2)*pow*atk/def)/50)+2)),modifier,stab*eff,FLOOR(base*modifier)),0)</f>
        <v/>
      </c>
      <c r="L621" s="3">
        <f>IFERROR(LET(mtype,XLOOKUP($D621,'Move Editor'!$B:$B,'Move Editor'!$C:$C,""),cat,XLOOKUP($D621,'Move Editor'!$B:$B,'Move Editor'!$D:$D,""),pow,XLOOKUP($D621,'Move Editor'!$B:$B,'Move Editor'!$E:$E,0),acc,XLOOKUP($D621,'Move Editor'!$B:$B,'Move Editor'!$F:$F,100),atk,IF(cat="Physical",FLOOR((FLOOR(((2*XLOOKUP(XLOOKUP($Q621,'Threshold Summary'!$Y:$Y,'Threshold Summary'!$K:$K,""),'Pokemon Editor'!$A:$A,'Pokemon Editor'!$F:$F,0)+31+FLOOR(XLOOKUP($Q621,'Threshold Summary'!$Y:$Y,'Threshold Summary'!$P:$P,"")/4))*XLOOKUP($Q621,'Threshold Summary'!$Y:$Y,'Threshold Summary'!$L:$L,""))/100)+5)*XLOOKUP(XLOOKUP($Q621,'Threshold Summary'!$Y:$Y,'Threshold Summary'!$M:$M,""),'Nature Editor'!$A:$A,'Nature Editor'!$B:$B,1)),FLOOR((FLOOR(((2*XLOOKUP(XLOOKUP($Q621,'Threshold Summary'!$Y:$Y,'Threshold Summary'!$K:$K,""),'Pokemon Editor'!$A:$A,'Pokemon Editor'!$H:$H,0)+31+FLOOR(XLOOKUP($Q621,'Threshold Summary'!$Y:$Y,'Threshold Summary'!$R:$R,"")/4))*XLOOKUP($Q621,'Threshold Summary'!$Y:$Y,'Threshold Summary'!$L:$L,""))/100)+5)*XLOOKUP(XLOOKUP($Q621,'Threshold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Editor'!$E:$E,1))),stab,IF(OR(mtype=XLOOKUP(XLOOKUP($Q621,'Threshold Summary'!$Y:$Y,'Threshold Summary'!$K:$K,""),'Pokemon Editor'!$A:$A,'Pokemon Editor'!$C:$C,""),mtype=XLOOKUP(XLOOKUP($Q621,'Threshold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Chart'!$B$1:$S$1,0)))),base,IF(OR(cat="Status",pow=0),0,FLOOR(FLOOR(FLOOR((2*XLOOKUP($Q621,'Threshold Summary'!$Y:$Y,'Threshold Summary'!$L:$L,"")/5+2)*pow*atk/def)/50)+2)),modifier,stab*eff,AVERAGE(ARRAYFORMULA(FLOOR(base*modifier*SEQUENCE(16,1,85,1)/100)))),0)</f>
        <v/>
      </c>
      <c r="M621" s="3">
        <f>IFERROR(LET(mtype,XLOOKUP($D621,'Move Editor'!$B:$B,'Move Editor'!$C:$C,""),cat,XLOOKUP($D621,'Move Editor'!$B:$B,'Move Editor'!$D:$D,""),pow,XLOOKUP($D621,'Move Editor'!$B:$B,'Move Editor'!$E:$E,0),acc,XLOOKUP($D621,'Move Editor'!$B:$B,'Move Editor'!$F:$F,100),atk,IF(cat="Physical",FLOOR((FLOOR(((2*XLOOKUP(XLOOKUP($Q621,'Threshold Summary'!$Y:$Y,'Threshold Summary'!$K:$K,""),'Pokemon Editor'!$A:$A,'Pokemon Editor'!$F:$F,0)+31+FLOOR(XLOOKUP($Q621,'Threshold Summary'!$Y:$Y,'Threshold Summary'!$P:$P,"")/4))*XLOOKUP($Q621,'Threshold Summary'!$Y:$Y,'Threshold Summary'!$L:$L,""))/100)+5)*XLOOKUP(XLOOKUP($Q621,'Threshold Summary'!$Y:$Y,'Threshold Summary'!$M:$M,""),'Nature Editor'!$A:$A,'Nature Editor'!$B:$B,1)),FLOOR((FLOOR(((2*XLOOKUP(XLOOKUP($Q621,'Threshold Summary'!$Y:$Y,'Threshold Summary'!$K:$K,""),'Pokemon Editor'!$A:$A,'Pokemon Editor'!$H:$H,0)+31+FLOOR(XLOOKUP($Q621,'Threshold Summary'!$Y:$Y,'Threshold Summary'!$R:$R,"")/4))*XLOOKUP($Q621,'Threshold Summary'!$Y:$Y,'Threshold Summary'!$L:$L,""))/100)+5)*XLOOKUP(XLOOKUP($Q621,'Threshold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Editor'!$E:$E,1))),stab,IF(OR(mtype=XLOOKUP(XLOOKUP($Q621,'Threshold Summary'!$Y:$Y,'Threshold Summary'!$K:$K,""),'Pokemon Editor'!$A:$A,'Pokemon Editor'!$C:$C,""),mtype=XLOOKUP(XLOOKUP($Q621,'Threshold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Chart'!$B$1:$S$1,0)))),base,IF(OR(cat="Status",pow=0),0,FLOOR(FLOOR(FLOOR((2*XLOOKUP($Q621,'Threshold Summary'!$Y:$Y,'Threshold Summary'!$L:$L,"")/5+2)*pow*atk/def)/50)+2)),modifier,stab*eff,AVERAGE(ARRAYFORMULA(FLOOR(base*modifier*SEQUENCE(16,1,85,1)/100)))*MIN(1,acc/100)),0)</f>
        <v/>
      </c>
      <c r="N621" s="4">
        <f>IFERROR(LET(mtype,XLOOKUP($D621,'Move Editor'!$B:$B,'Move Editor'!$C:$C,""),cat,XLOOKUP($D621,'Move Editor'!$B:$B,'Move Editor'!$D:$D,""),pow,XLOOKUP($D621,'Move Editor'!$B:$B,'Move Editor'!$E:$E,0),acc,XLOOKUP($D621,'Move Editor'!$B:$B,'Move Editor'!$F:$F,100),atk,IF(cat="Physical",FLOOR((FLOOR(((2*XLOOKUP(XLOOKUP($Q621,'Threshold Summary'!$Y:$Y,'Threshold Summary'!$K:$K,""),'Pokemon Editor'!$A:$A,'Pokemon Editor'!$F:$F,0)+31+FLOOR(XLOOKUP($Q621,'Threshold Summary'!$Y:$Y,'Threshold Summary'!$P:$P,"")/4))*XLOOKUP($Q621,'Threshold Summary'!$Y:$Y,'Threshold Summary'!$L:$L,""))/100)+5)*XLOOKUP(XLOOKUP($Q621,'Threshold Summary'!$Y:$Y,'Threshold Summary'!$M:$M,""),'Nature Editor'!$A:$A,'Nature Editor'!$B:$B,1)),FLOOR((FLOOR(((2*XLOOKUP(XLOOKUP($Q621,'Threshold Summary'!$Y:$Y,'Threshold Summary'!$K:$K,""),'Pokemon Editor'!$A:$A,'Pokemon Editor'!$H:$H,0)+31+FLOOR(XLOOKUP($Q621,'Threshold Summary'!$Y:$Y,'Threshold Summary'!$R:$R,"")/4))*XLOOKUP($Q621,'Threshold Summary'!$Y:$Y,'Threshold Summary'!$L:$L,""))/100)+5)*XLOOKUP(XLOOKUP($Q621,'Threshold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Editor'!$E:$E,1))),stab,IF(OR(mtype=XLOOKUP(XLOOKUP($Q621,'Threshold Summary'!$Y:$Y,'Threshold Summary'!$K:$K,""),'Pokemon Editor'!$A:$A,'Pokemon Editor'!$C:$C,""),mtype=XLOOKUP(XLOOKUP($Q621,'Threshold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Chart'!$B$1:$S$1,0)))),base,IF(OR(cat="Status",pow=0),0,FLOOR(FLOOR(FLOOR((2*XLOOKUP($Q621,'Threshold Summary'!$Y:$Y,'Threshold Summary'!$L:$L,"")/5+2)*pow*atk/def)/50)+2)),modifier,stab*eff,AVERAGE(ARRAYFORMULA(FLOOR(base*modifier*SEQUENCE(16,1,85,1)/100)))/(FLOOR(((2*XLOOKUP('Boss Editor'!$C$4,'Pokemon Editor'!$A:$A,'Pokemon Editor'!$E:$E,0)+31+FLOOR('Boss Editor'!$G$4/4))*'Boss Editor'!$D$4)/100)+'Boss Editor'!$D$4+10)),0)</f>
        <v/>
      </c>
      <c r="O621" s="3">
        <f>IF(N621&gt;=1,"OHKO",IF(N621&gt;=0.5,"2HKO",IF(N621&gt;=0.333,"3HKO",IF(N621&gt;=0.25,"4HKO","5HKO+"))))</f>
        <v/>
      </c>
      <c r="P621" s="3" t="inlineStr">
        <is>
          <t>Live from editable databases</t>
        </is>
      </c>
      <c r="Q621" s="3" t="inlineStr">
        <is>
          <t>SPECIES_LITLEO</t>
        </is>
      </c>
      <c r="R621" s="3" t="n">
        <v>12</v>
      </c>
    </row>
    <row r="622">
      <c r="A622" s="3">
        <f>XLOOKUP($Q622,'Threshold Summary'!$Y:$Y,'Threshold Summary'!$A:$A,"")</f>
        <v/>
      </c>
      <c r="B622" s="3">
        <f>XLOOKUP($Q622,'Threshold Summary'!$Y:$Y,'Threshold Summary'!$M:$M,"")</f>
        <v/>
      </c>
      <c r="C622" s="3">
        <f>XLOOKUP($Q622,'Threshold Summary'!$Y:$Y,'Threshold Summary'!$N:$N,"")</f>
        <v/>
      </c>
      <c r="D622" s="3">
        <f>IFERROR(INDEX(FILTER('Learnset Editor'!$D$2:$D,'Learnset Editor'!$A$2:$A=XLOOKUP($Q622,'Threshold Summary'!$Y:$Y,'Threshold Summary'!$K:$K,""),'Learnset Editor'!$C$2:$C&lt;=XLOOKUP($Q622,'Threshold Summary'!$Y:$Y,'Threshold Summary'!$L:$L,"")),$R622),"")</f>
        <v/>
      </c>
      <c r="E622" s="3">
        <f>XLOOKUP(D622,'Move Editor'!$B:$B,'Move Editor'!$C:$C,"")</f>
        <v/>
      </c>
      <c r="F622" s="3">
        <f>XLOOKUP(D622,'Move Editor'!$B:$B,'Move Editor'!$D:$D,"")</f>
        <v/>
      </c>
      <c r="G622" s="3">
        <f>XLOOKUP(D622,'Move Editor'!$B:$B,'Move Editor'!$E:$E,0)</f>
        <v/>
      </c>
      <c r="H622" s="3">
        <f>XLOOKUP(D622,'Move Editor'!$B:$B,'Move Editor'!$F:$F,0)</f>
        <v/>
      </c>
      <c r="I622" s="3">
        <f>(INDEX('Type Chart'!$B:$S,MATCH(E622,'Type Chart'!$A:$A,0),MATCH(XLOOKUP('Boss Editor'!$C$4,'Pokemon Editor'!$A:$A,'Pokemon Editor'!$C:$C,""),'Type Chart'!$B$1:$S$1,0))*IF(XLOOKUP('Boss Editor'!$C$4,'Pokemon Editor'!$A:$A,'Pokemon Editor'!$D:$D,"")="",1,INDEX('Type Chart'!$B:$S,MATCH(E622,'Type Chart'!$A:$A,0),MATCH(XLOOKUP('Boss Editor'!$C$4,'Pokemon Editor'!$A:$A,'Pokemon Editor'!$D:$D,""),'Type Chart'!$B$1:$S$1,0))))</f>
        <v/>
      </c>
      <c r="J622" s="3">
        <f>IFERROR(LET(mtype,XLOOKUP($D622,'Move Editor'!$B:$B,'Move Editor'!$C:$C,""),cat,XLOOKUP($D622,'Move Editor'!$B:$B,'Move Editor'!$D:$D,""),pow,XLOOKUP($D622,'Move Editor'!$B:$B,'Move Editor'!$E:$E,0),acc,XLOOKUP($D622,'Move Editor'!$B:$B,'Move Editor'!$F:$F,100),atk,IF(cat="Physical",FLOOR((FLOOR(((2*XLOOKUP(XLOOKUP($Q622,'Threshold Summary'!$Y:$Y,'Threshold Summary'!$K:$K,""),'Pokemon Editor'!$A:$A,'Pokemon Editor'!$F:$F,0)+31+FLOOR(XLOOKUP($Q622,'Threshold Summary'!$Y:$Y,'Threshold Summary'!$P:$P,"")/4))*XLOOKUP($Q622,'Threshold Summary'!$Y:$Y,'Threshold Summary'!$L:$L,""))/100)+5)*XLOOKUP(XLOOKUP($Q622,'Threshold Summary'!$Y:$Y,'Threshold Summary'!$M:$M,""),'Nature Editor'!$A:$A,'Nature Editor'!$B:$B,1)),FLOOR((FLOOR(((2*XLOOKUP(XLOOKUP($Q622,'Threshold Summary'!$Y:$Y,'Threshold Summary'!$K:$K,""),'Pokemon Editor'!$A:$A,'Pokemon Editor'!$H:$H,0)+31+FLOOR(XLOOKUP($Q622,'Threshold Summary'!$Y:$Y,'Threshold Summary'!$R:$R,"")/4))*XLOOKUP($Q622,'Threshold Summary'!$Y:$Y,'Threshold Summary'!$L:$L,""))/100)+5)*XLOOKUP(XLOOKUP($Q622,'Threshold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Editor'!$E:$E,1))),stab,IF(OR(mtype=XLOOKUP(XLOOKUP($Q622,'Threshold Summary'!$Y:$Y,'Threshold Summary'!$K:$K,""),'Pokemon Editor'!$A:$A,'Pokemon Editor'!$C:$C,""),mtype=XLOOKUP(XLOOKUP($Q622,'Threshold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Chart'!$B$1:$S$1,0)))),base,IF(OR(cat="Status",pow=0),0,FLOOR(FLOOR(FLOOR((2*XLOOKUP($Q622,'Threshold Summary'!$Y:$Y,'Threshold Summary'!$L:$L,"")/5+2)*pow*atk/def)/50)+2)),modifier,stab*eff,FLOOR(base*modifier*0.85)),0)</f>
        <v/>
      </c>
      <c r="K622" s="3">
        <f>IFERROR(LET(mtype,XLOOKUP($D622,'Move Editor'!$B:$B,'Move Editor'!$C:$C,""),cat,XLOOKUP($D622,'Move Editor'!$B:$B,'Move Editor'!$D:$D,""),pow,XLOOKUP($D622,'Move Editor'!$B:$B,'Move Editor'!$E:$E,0),acc,XLOOKUP($D622,'Move Editor'!$B:$B,'Move Editor'!$F:$F,100),atk,IF(cat="Physical",FLOOR((FLOOR(((2*XLOOKUP(XLOOKUP($Q622,'Threshold Summary'!$Y:$Y,'Threshold Summary'!$K:$K,""),'Pokemon Editor'!$A:$A,'Pokemon Editor'!$F:$F,0)+31+FLOOR(XLOOKUP($Q622,'Threshold Summary'!$Y:$Y,'Threshold Summary'!$P:$P,"")/4))*XLOOKUP($Q622,'Threshold Summary'!$Y:$Y,'Threshold Summary'!$L:$L,""))/100)+5)*XLOOKUP(XLOOKUP($Q622,'Threshold Summary'!$Y:$Y,'Threshold Summary'!$M:$M,""),'Nature Editor'!$A:$A,'Nature Editor'!$B:$B,1)),FLOOR((FLOOR(((2*XLOOKUP(XLOOKUP($Q622,'Threshold Summary'!$Y:$Y,'Threshold Summary'!$K:$K,""),'Pokemon Editor'!$A:$A,'Pokemon Editor'!$H:$H,0)+31+FLOOR(XLOOKUP($Q622,'Threshold Summary'!$Y:$Y,'Threshold Summary'!$R:$R,"")/4))*XLOOKUP($Q622,'Threshold Summary'!$Y:$Y,'Threshold Summary'!$L:$L,""))/100)+5)*XLOOKUP(XLOOKUP($Q622,'Threshold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Editor'!$E:$E,1))),stab,IF(OR(mtype=XLOOKUP(XLOOKUP($Q622,'Threshold Summary'!$Y:$Y,'Threshold Summary'!$K:$K,""),'Pokemon Editor'!$A:$A,'Pokemon Editor'!$C:$C,""),mtype=XLOOKUP(XLOOKUP($Q622,'Threshold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Chart'!$B$1:$S$1,0)))),base,IF(OR(cat="Status",pow=0),0,FLOOR(FLOOR(FLOOR((2*XLOOKUP($Q622,'Threshold Summary'!$Y:$Y,'Threshold Summary'!$L:$L,"")/5+2)*pow*atk/def)/50)+2)),modifier,stab*eff,FLOOR(base*modifier)),0)</f>
        <v/>
      </c>
      <c r="L622" s="3">
        <f>IFERROR(LET(mtype,XLOOKUP($D622,'Move Editor'!$B:$B,'Move Editor'!$C:$C,""),cat,XLOOKUP($D622,'Move Editor'!$B:$B,'Move Editor'!$D:$D,""),pow,XLOOKUP($D622,'Move Editor'!$B:$B,'Move Editor'!$E:$E,0),acc,XLOOKUP($D622,'Move Editor'!$B:$B,'Move Editor'!$F:$F,100),atk,IF(cat="Physical",FLOOR((FLOOR(((2*XLOOKUP(XLOOKUP($Q622,'Threshold Summary'!$Y:$Y,'Threshold Summary'!$K:$K,""),'Pokemon Editor'!$A:$A,'Pokemon Editor'!$F:$F,0)+31+FLOOR(XLOOKUP($Q622,'Threshold Summary'!$Y:$Y,'Threshold Summary'!$P:$P,"")/4))*XLOOKUP($Q622,'Threshold Summary'!$Y:$Y,'Threshold Summary'!$L:$L,""))/100)+5)*XLOOKUP(XLOOKUP($Q622,'Threshold Summary'!$Y:$Y,'Threshold Summary'!$M:$M,""),'Nature Editor'!$A:$A,'Nature Editor'!$B:$B,1)),FLOOR((FLOOR(((2*XLOOKUP(XLOOKUP($Q622,'Threshold Summary'!$Y:$Y,'Threshold Summary'!$K:$K,""),'Pokemon Editor'!$A:$A,'Pokemon Editor'!$H:$H,0)+31+FLOOR(XLOOKUP($Q622,'Threshold Summary'!$Y:$Y,'Threshold Summary'!$R:$R,"")/4))*XLOOKUP($Q622,'Threshold Summary'!$Y:$Y,'Threshold Summary'!$L:$L,""))/100)+5)*XLOOKUP(XLOOKUP($Q622,'Threshold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Editor'!$E:$E,1))),stab,IF(OR(mtype=XLOOKUP(XLOOKUP($Q622,'Threshold Summary'!$Y:$Y,'Threshold Summary'!$K:$K,""),'Pokemon Editor'!$A:$A,'Pokemon Editor'!$C:$C,""),mtype=XLOOKUP(XLOOKUP($Q622,'Threshold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Chart'!$B$1:$S$1,0)))),base,IF(OR(cat="Status",pow=0),0,FLOOR(FLOOR(FLOOR((2*XLOOKUP($Q622,'Threshold Summary'!$Y:$Y,'Threshold Summary'!$L:$L,"")/5+2)*pow*atk/def)/50)+2)),modifier,stab*eff,AVERAGE(ARRAYFORMULA(FLOOR(base*modifier*SEQUENCE(16,1,85,1)/100)))),0)</f>
        <v/>
      </c>
      <c r="M622" s="3">
        <f>IFERROR(LET(mtype,XLOOKUP($D622,'Move Editor'!$B:$B,'Move Editor'!$C:$C,""),cat,XLOOKUP($D622,'Move Editor'!$B:$B,'Move Editor'!$D:$D,""),pow,XLOOKUP($D622,'Move Editor'!$B:$B,'Move Editor'!$E:$E,0),acc,XLOOKUP($D622,'Move Editor'!$B:$B,'Move Editor'!$F:$F,100),atk,IF(cat="Physical",FLOOR((FLOOR(((2*XLOOKUP(XLOOKUP($Q622,'Threshold Summary'!$Y:$Y,'Threshold Summary'!$K:$K,""),'Pokemon Editor'!$A:$A,'Pokemon Editor'!$F:$F,0)+31+FLOOR(XLOOKUP($Q622,'Threshold Summary'!$Y:$Y,'Threshold Summary'!$P:$P,"")/4))*XLOOKUP($Q622,'Threshold Summary'!$Y:$Y,'Threshold Summary'!$L:$L,""))/100)+5)*XLOOKUP(XLOOKUP($Q622,'Threshold Summary'!$Y:$Y,'Threshold Summary'!$M:$M,""),'Nature Editor'!$A:$A,'Nature Editor'!$B:$B,1)),FLOOR((FLOOR(((2*XLOOKUP(XLOOKUP($Q622,'Threshold Summary'!$Y:$Y,'Threshold Summary'!$K:$K,""),'Pokemon Editor'!$A:$A,'Pokemon Editor'!$H:$H,0)+31+FLOOR(XLOOKUP($Q622,'Threshold Summary'!$Y:$Y,'Threshold Summary'!$R:$R,"")/4))*XLOOKUP($Q622,'Threshold Summary'!$Y:$Y,'Threshold Summary'!$L:$L,""))/100)+5)*XLOOKUP(XLOOKUP($Q622,'Threshold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Editor'!$E:$E,1))),stab,IF(OR(mtype=XLOOKUP(XLOOKUP($Q622,'Threshold Summary'!$Y:$Y,'Threshold Summary'!$K:$K,""),'Pokemon Editor'!$A:$A,'Pokemon Editor'!$C:$C,""),mtype=XLOOKUP(XLOOKUP($Q622,'Threshold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Chart'!$B$1:$S$1,0)))),base,IF(OR(cat="Status",pow=0),0,FLOOR(FLOOR(FLOOR((2*XLOOKUP($Q622,'Threshold Summary'!$Y:$Y,'Threshold Summary'!$L:$L,"")/5+2)*pow*atk/def)/50)+2)),modifier,stab*eff,AVERAGE(ARRAYFORMULA(FLOOR(base*modifier*SEQUENCE(16,1,85,1)/100)))*MIN(1,acc/100)),0)</f>
        <v/>
      </c>
      <c r="N622" s="4">
        <f>IFERROR(LET(mtype,XLOOKUP($D622,'Move Editor'!$B:$B,'Move Editor'!$C:$C,""),cat,XLOOKUP($D622,'Move Editor'!$B:$B,'Move Editor'!$D:$D,""),pow,XLOOKUP($D622,'Move Editor'!$B:$B,'Move Editor'!$E:$E,0),acc,XLOOKUP($D622,'Move Editor'!$B:$B,'Move Editor'!$F:$F,100),atk,IF(cat="Physical",FLOOR((FLOOR(((2*XLOOKUP(XLOOKUP($Q622,'Threshold Summary'!$Y:$Y,'Threshold Summary'!$K:$K,""),'Pokemon Editor'!$A:$A,'Pokemon Editor'!$F:$F,0)+31+FLOOR(XLOOKUP($Q622,'Threshold Summary'!$Y:$Y,'Threshold Summary'!$P:$P,"")/4))*XLOOKUP($Q622,'Threshold Summary'!$Y:$Y,'Threshold Summary'!$L:$L,""))/100)+5)*XLOOKUP(XLOOKUP($Q622,'Threshold Summary'!$Y:$Y,'Threshold Summary'!$M:$M,""),'Nature Editor'!$A:$A,'Nature Editor'!$B:$B,1)),FLOOR((FLOOR(((2*XLOOKUP(XLOOKUP($Q622,'Threshold Summary'!$Y:$Y,'Threshold Summary'!$K:$K,""),'Pokemon Editor'!$A:$A,'Pokemon Editor'!$H:$H,0)+31+FLOOR(XLOOKUP($Q622,'Threshold Summary'!$Y:$Y,'Threshold Summary'!$R:$R,"")/4))*XLOOKUP($Q622,'Threshold Summary'!$Y:$Y,'Threshold Summary'!$L:$L,""))/100)+5)*XLOOKUP(XLOOKUP($Q622,'Threshold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Editor'!$E:$E,1))),stab,IF(OR(mtype=XLOOKUP(XLOOKUP($Q622,'Threshold Summary'!$Y:$Y,'Threshold Summary'!$K:$K,""),'Pokemon Editor'!$A:$A,'Pokemon Editor'!$C:$C,""),mtype=XLOOKUP(XLOOKUP($Q622,'Threshold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Chart'!$B$1:$S$1,0)))),base,IF(OR(cat="Status",pow=0),0,FLOOR(FLOOR(FLOOR((2*XLOOKUP($Q622,'Threshold Summary'!$Y:$Y,'Threshold Summary'!$L:$L,"")/5+2)*pow*atk/def)/50)+2)),modifier,stab*eff,AVERAGE(ARRAYFORMULA(FLOOR(base*modifier*SEQUENCE(16,1,85,1)/100)))/(FLOOR(((2*XLOOKUP('Boss Editor'!$C$4,'Pokemon Editor'!$A:$A,'Pokemon Editor'!$E:$E,0)+31+FLOOR('Boss Editor'!$G$4/4))*'Boss Editor'!$D$4)/100)+'Boss Editor'!$D$4+10)),0)</f>
        <v/>
      </c>
      <c r="O622" s="3">
        <f>IF(N622&gt;=1,"OHKO",IF(N622&gt;=0.5,"2HKO",IF(N622&gt;=0.333,"3HKO",IF(N622&gt;=0.25,"4HKO","5HKO+"))))</f>
        <v/>
      </c>
      <c r="P622" s="3" t="inlineStr">
        <is>
          <t>Live from editable databases</t>
        </is>
      </c>
      <c r="Q622" s="3" t="inlineStr">
        <is>
          <t>SPECIES_LITLEO</t>
        </is>
      </c>
      <c r="R622" s="3" t="n">
        <v>13</v>
      </c>
    </row>
    <row r="623">
      <c r="A623" s="3">
        <f>XLOOKUP($Q623,'Threshold Summary'!$Y:$Y,'Threshold Summary'!$A:$A,"")</f>
        <v/>
      </c>
      <c r="B623" s="3">
        <f>XLOOKUP($Q623,'Threshold Summary'!$Y:$Y,'Threshold Summary'!$M:$M,"")</f>
        <v/>
      </c>
      <c r="C623" s="3">
        <f>XLOOKUP($Q623,'Threshold Summary'!$Y:$Y,'Threshold Summary'!$N:$N,"")</f>
        <v/>
      </c>
      <c r="D623" s="3">
        <f>IFERROR(INDEX(FILTER('Learnset Editor'!$D$2:$D,'Learnset Editor'!$A$2:$A=XLOOKUP($Q623,'Threshold Summary'!$Y:$Y,'Threshold Summary'!$K:$K,""),'Learnset Editor'!$C$2:$C&lt;=XLOOKUP($Q623,'Threshold Summary'!$Y:$Y,'Threshold Summary'!$L:$L,"")),$R623),"")</f>
        <v/>
      </c>
      <c r="E623" s="3">
        <f>XLOOKUP(D623,'Move Editor'!$B:$B,'Move Editor'!$C:$C,"")</f>
        <v/>
      </c>
      <c r="F623" s="3">
        <f>XLOOKUP(D623,'Move Editor'!$B:$B,'Move Editor'!$D:$D,"")</f>
        <v/>
      </c>
      <c r="G623" s="3">
        <f>XLOOKUP(D623,'Move Editor'!$B:$B,'Move Editor'!$E:$E,0)</f>
        <v/>
      </c>
      <c r="H623" s="3">
        <f>XLOOKUP(D623,'Move Editor'!$B:$B,'Move Editor'!$F:$F,0)</f>
        <v/>
      </c>
      <c r="I623" s="3">
        <f>(INDEX('Type Chart'!$B:$S,MATCH(E623,'Type Chart'!$A:$A,0),MATCH(XLOOKUP('Boss Editor'!$C$4,'Pokemon Editor'!$A:$A,'Pokemon Editor'!$C:$C,""),'Type Chart'!$B$1:$S$1,0))*IF(XLOOKUP('Boss Editor'!$C$4,'Pokemon Editor'!$A:$A,'Pokemon Editor'!$D:$D,"")="",1,INDEX('Type Chart'!$B:$S,MATCH(E623,'Type Chart'!$A:$A,0),MATCH(XLOOKUP('Boss Editor'!$C$4,'Pokemon Editor'!$A:$A,'Pokemon Editor'!$D:$D,""),'Type Chart'!$B$1:$S$1,0))))</f>
        <v/>
      </c>
      <c r="J623" s="3">
        <f>IFERROR(LET(mtype,XLOOKUP($D623,'Move Editor'!$B:$B,'Move Editor'!$C:$C,""),cat,XLOOKUP($D623,'Move Editor'!$B:$B,'Move Editor'!$D:$D,""),pow,XLOOKUP($D623,'Move Editor'!$B:$B,'Move Editor'!$E:$E,0),acc,XLOOKUP($D623,'Move Editor'!$B:$B,'Move Editor'!$F:$F,100),atk,IF(cat="Physical",FLOOR((FLOOR(((2*XLOOKUP(XLOOKUP($Q623,'Threshold Summary'!$Y:$Y,'Threshold Summary'!$K:$K,""),'Pokemon Editor'!$A:$A,'Pokemon Editor'!$F:$F,0)+31+FLOOR(XLOOKUP($Q623,'Threshold Summary'!$Y:$Y,'Threshold Summary'!$P:$P,"")/4))*XLOOKUP($Q623,'Threshold Summary'!$Y:$Y,'Threshold Summary'!$L:$L,""))/100)+5)*XLOOKUP(XLOOKUP($Q623,'Threshold Summary'!$Y:$Y,'Threshold Summary'!$M:$M,""),'Nature Editor'!$A:$A,'Nature Editor'!$B:$B,1)),FLOOR((FLOOR(((2*XLOOKUP(XLOOKUP($Q623,'Threshold Summary'!$Y:$Y,'Threshold Summary'!$K:$K,""),'Pokemon Editor'!$A:$A,'Pokemon Editor'!$H:$H,0)+31+FLOOR(XLOOKUP($Q623,'Threshold Summary'!$Y:$Y,'Threshold Summary'!$R:$R,"")/4))*XLOOKUP($Q623,'Threshold Summary'!$Y:$Y,'Threshold Summary'!$L:$L,""))/100)+5)*XLOOKUP(XLOOKUP($Q623,'Threshold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Editor'!$E:$E,1))),stab,IF(OR(mtype=XLOOKUP(XLOOKUP($Q623,'Threshold Summary'!$Y:$Y,'Threshold Summary'!$K:$K,""),'Pokemon Editor'!$A:$A,'Pokemon Editor'!$C:$C,""),mtype=XLOOKUP(XLOOKUP($Q623,'Threshold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Chart'!$B$1:$S$1,0)))),base,IF(OR(cat="Status",pow=0),0,FLOOR(FLOOR(FLOOR((2*XLOOKUP($Q623,'Threshold Summary'!$Y:$Y,'Threshold Summary'!$L:$L,"")/5+2)*pow*atk/def)/50)+2)),modifier,stab*eff,FLOOR(base*modifier*0.85)),0)</f>
        <v/>
      </c>
      <c r="K623" s="3">
        <f>IFERROR(LET(mtype,XLOOKUP($D623,'Move Editor'!$B:$B,'Move Editor'!$C:$C,""),cat,XLOOKUP($D623,'Move Editor'!$B:$B,'Move Editor'!$D:$D,""),pow,XLOOKUP($D623,'Move Editor'!$B:$B,'Move Editor'!$E:$E,0),acc,XLOOKUP($D623,'Move Editor'!$B:$B,'Move Editor'!$F:$F,100),atk,IF(cat="Physical",FLOOR((FLOOR(((2*XLOOKUP(XLOOKUP($Q623,'Threshold Summary'!$Y:$Y,'Threshold Summary'!$K:$K,""),'Pokemon Editor'!$A:$A,'Pokemon Editor'!$F:$F,0)+31+FLOOR(XLOOKUP($Q623,'Threshold Summary'!$Y:$Y,'Threshold Summary'!$P:$P,"")/4))*XLOOKUP($Q623,'Threshold Summary'!$Y:$Y,'Threshold Summary'!$L:$L,""))/100)+5)*XLOOKUP(XLOOKUP($Q623,'Threshold Summary'!$Y:$Y,'Threshold Summary'!$M:$M,""),'Nature Editor'!$A:$A,'Nature Editor'!$B:$B,1)),FLOOR((FLOOR(((2*XLOOKUP(XLOOKUP($Q623,'Threshold Summary'!$Y:$Y,'Threshold Summary'!$K:$K,""),'Pokemon Editor'!$A:$A,'Pokemon Editor'!$H:$H,0)+31+FLOOR(XLOOKUP($Q623,'Threshold Summary'!$Y:$Y,'Threshold Summary'!$R:$R,"")/4))*XLOOKUP($Q623,'Threshold Summary'!$Y:$Y,'Threshold Summary'!$L:$L,""))/100)+5)*XLOOKUP(XLOOKUP($Q623,'Threshold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Editor'!$E:$E,1))),stab,IF(OR(mtype=XLOOKUP(XLOOKUP($Q623,'Threshold Summary'!$Y:$Y,'Threshold Summary'!$K:$K,""),'Pokemon Editor'!$A:$A,'Pokemon Editor'!$C:$C,""),mtype=XLOOKUP(XLOOKUP($Q623,'Threshold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Chart'!$B$1:$S$1,0)))),base,IF(OR(cat="Status",pow=0),0,FLOOR(FLOOR(FLOOR((2*XLOOKUP($Q623,'Threshold Summary'!$Y:$Y,'Threshold Summary'!$L:$L,"")/5+2)*pow*atk/def)/50)+2)),modifier,stab*eff,FLOOR(base*modifier)),0)</f>
        <v/>
      </c>
      <c r="L623" s="3">
        <f>IFERROR(LET(mtype,XLOOKUP($D623,'Move Editor'!$B:$B,'Move Editor'!$C:$C,""),cat,XLOOKUP($D623,'Move Editor'!$B:$B,'Move Editor'!$D:$D,""),pow,XLOOKUP($D623,'Move Editor'!$B:$B,'Move Editor'!$E:$E,0),acc,XLOOKUP($D623,'Move Editor'!$B:$B,'Move Editor'!$F:$F,100),atk,IF(cat="Physical",FLOOR((FLOOR(((2*XLOOKUP(XLOOKUP($Q623,'Threshold Summary'!$Y:$Y,'Threshold Summary'!$K:$K,""),'Pokemon Editor'!$A:$A,'Pokemon Editor'!$F:$F,0)+31+FLOOR(XLOOKUP($Q623,'Threshold Summary'!$Y:$Y,'Threshold Summary'!$P:$P,"")/4))*XLOOKUP($Q623,'Threshold Summary'!$Y:$Y,'Threshold Summary'!$L:$L,""))/100)+5)*XLOOKUP(XLOOKUP($Q623,'Threshold Summary'!$Y:$Y,'Threshold Summary'!$M:$M,""),'Nature Editor'!$A:$A,'Nature Editor'!$B:$B,1)),FLOOR((FLOOR(((2*XLOOKUP(XLOOKUP($Q623,'Threshold Summary'!$Y:$Y,'Threshold Summary'!$K:$K,""),'Pokemon Editor'!$A:$A,'Pokemon Editor'!$H:$H,0)+31+FLOOR(XLOOKUP($Q623,'Threshold Summary'!$Y:$Y,'Threshold Summary'!$R:$R,"")/4))*XLOOKUP($Q623,'Threshold Summary'!$Y:$Y,'Threshold Summary'!$L:$L,""))/100)+5)*XLOOKUP(XLOOKUP($Q623,'Threshold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Editor'!$E:$E,1))),stab,IF(OR(mtype=XLOOKUP(XLOOKUP($Q623,'Threshold Summary'!$Y:$Y,'Threshold Summary'!$K:$K,""),'Pokemon Editor'!$A:$A,'Pokemon Editor'!$C:$C,""),mtype=XLOOKUP(XLOOKUP($Q623,'Threshold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Chart'!$B$1:$S$1,0)))),base,IF(OR(cat="Status",pow=0),0,FLOOR(FLOOR(FLOOR((2*XLOOKUP($Q623,'Threshold Summary'!$Y:$Y,'Threshold Summary'!$L:$L,"")/5+2)*pow*atk/def)/50)+2)),modifier,stab*eff,AVERAGE(ARRAYFORMULA(FLOOR(base*modifier*SEQUENCE(16,1,85,1)/100)))),0)</f>
        <v/>
      </c>
      <c r="M623" s="3">
        <f>IFERROR(LET(mtype,XLOOKUP($D623,'Move Editor'!$B:$B,'Move Editor'!$C:$C,""),cat,XLOOKUP($D623,'Move Editor'!$B:$B,'Move Editor'!$D:$D,""),pow,XLOOKUP($D623,'Move Editor'!$B:$B,'Move Editor'!$E:$E,0),acc,XLOOKUP($D623,'Move Editor'!$B:$B,'Move Editor'!$F:$F,100),atk,IF(cat="Physical",FLOOR((FLOOR(((2*XLOOKUP(XLOOKUP($Q623,'Threshold Summary'!$Y:$Y,'Threshold Summary'!$K:$K,""),'Pokemon Editor'!$A:$A,'Pokemon Editor'!$F:$F,0)+31+FLOOR(XLOOKUP($Q623,'Threshold Summary'!$Y:$Y,'Threshold Summary'!$P:$P,"")/4))*XLOOKUP($Q623,'Threshold Summary'!$Y:$Y,'Threshold Summary'!$L:$L,""))/100)+5)*XLOOKUP(XLOOKUP($Q623,'Threshold Summary'!$Y:$Y,'Threshold Summary'!$M:$M,""),'Nature Editor'!$A:$A,'Nature Editor'!$B:$B,1)),FLOOR((FLOOR(((2*XLOOKUP(XLOOKUP($Q623,'Threshold Summary'!$Y:$Y,'Threshold Summary'!$K:$K,""),'Pokemon Editor'!$A:$A,'Pokemon Editor'!$H:$H,0)+31+FLOOR(XLOOKUP($Q623,'Threshold Summary'!$Y:$Y,'Threshold Summary'!$R:$R,"")/4))*XLOOKUP($Q623,'Threshold Summary'!$Y:$Y,'Threshold Summary'!$L:$L,""))/100)+5)*XLOOKUP(XLOOKUP($Q623,'Threshold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Editor'!$E:$E,1))),stab,IF(OR(mtype=XLOOKUP(XLOOKUP($Q623,'Threshold Summary'!$Y:$Y,'Threshold Summary'!$K:$K,""),'Pokemon Editor'!$A:$A,'Pokemon Editor'!$C:$C,""),mtype=XLOOKUP(XLOOKUP($Q623,'Threshold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Chart'!$B$1:$S$1,0)))),base,IF(OR(cat="Status",pow=0),0,FLOOR(FLOOR(FLOOR((2*XLOOKUP($Q623,'Threshold Summary'!$Y:$Y,'Threshold Summary'!$L:$L,"")/5+2)*pow*atk/def)/50)+2)),modifier,stab*eff,AVERAGE(ARRAYFORMULA(FLOOR(base*modifier*SEQUENCE(16,1,85,1)/100)))*MIN(1,acc/100)),0)</f>
        <v/>
      </c>
      <c r="N623" s="4">
        <f>IFERROR(LET(mtype,XLOOKUP($D623,'Move Editor'!$B:$B,'Move Editor'!$C:$C,""),cat,XLOOKUP($D623,'Move Editor'!$B:$B,'Move Editor'!$D:$D,""),pow,XLOOKUP($D623,'Move Editor'!$B:$B,'Move Editor'!$E:$E,0),acc,XLOOKUP($D623,'Move Editor'!$B:$B,'Move Editor'!$F:$F,100),atk,IF(cat="Physical",FLOOR((FLOOR(((2*XLOOKUP(XLOOKUP($Q623,'Threshold Summary'!$Y:$Y,'Threshold Summary'!$K:$K,""),'Pokemon Editor'!$A:$A,'Pokemon Editor'!$F:$F,0)+31+FLOOR(XLOOKUP($Q623,'Threshold Summary'!$Y:$Y,'Threshold Summary'!$P:$P,"")/4))*XLOOKUP($Q623,'Threshold Summary'!$Y:$Y,'Threshold Summary'!$L:$L,""))/100)+5)*XLOOKUP(XLOOKUP($Q623,'Threshold Summary'!$Y:$Y,'Threshold Summary'!$M:$M,""),'Nature Editor'!$A:$A,'Nature Editor'!$B:$B,1)),FLOOR((FLOOR(((2*XLOOKUP(XLOOKUP($Q623,'Threshold Summary'!$Y:$Y,'Threshold Summary'!$K:$K,""),'Pokemon Editor'!$A:$A,'Pokemon Editor'!$H:$H,0)+31+FLOOR(XLOOKUP($Q623,'Threshold Summary'!$Y:$Y,'Threshold Summary'!$R:$R,"")/4))*XLOOKUP($Q623,'Threshold Summary'!$Y:$Y,'Threshold Summary'!$L:$L,""))/100)+5)*XLOOKUP(XLOOKUP($Q623,'Threshold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Editor'!$E:$E,1))),stab,IF(OR(mtype=XLOOKUP(XLOOKUP($Q623,'Threshold Summary'!$Y:$Y,'Threshold Summary'!$K:$K,""),'Pokemon Editor'!$A:$A,'Pokemon Editor'!$C:$C,""),mtype=XLOOKUP(XLOOKUP($Q623,'Threshold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Chart'!$B$1:$S$1,0)))),base,IF(OR(cat="Status",pow=0),0,FLOOR(FLOOR(FLOOR((2*XLOOKUP($Q623,'Threshold Summary'!$Y:$Y,'Threshold Summary'!$L:$L,"")/5+2)*pow*atk/def)/50)+2)),modifier,stab*eff,AVERAGE(ARRAYFORMULA(FLOOR(base*modifier*SEQUENCE(16,1,85,1)/100)))/(FLOOR(((2*XLOOKUP('Boss Editor'!$C$4,'Pokemon Editor'!$A:$A,'Pokemon Editor'!$E:$E,0)+31+FLOOR('Boss Editor'!$G$4/4))*'Boss Editor'!$D$4)/100)+'Boss Editor'!$D$4+10)),0)</f>
        <v/>
      </c>
      <c r="O623" s="3">
        <f>IF(N623&gt;=1,"OHKO",IF(N623&gt;=0.5,"2HKO",IF(N623&gt;=0.333,"3HKO",IF(N623&gt;=0.25,"4HKO","5HKO+"))))</f>
        <v/>
      </c>
      <c r="P623" s="3" t="inlineStr">
        <is>
          <t>Live from editable databases</t>
        </is>
      </c>
      <c r="Q623" s="3" t="inlineStr">
        <is>
          <t>SPECIES_LITLEO</t>
        </is>
      </c>
      <c r="R623" s="3" t="n">
        <v>14</v>
      </c>
    </row>
    <row r="624">
      <c r="A624" s="3">
        <f>XLOOKUP($Q624,'Threshold Summary'!$Y:$Y,'Threshold Summary'!$A:$A,"")</f>
        <v/>
      </c>
      <c r="B624" s="3">
        <f>XLOOKUP($Q624,'Threshold Summary'!$Y:$Y,'Threshold Summary'!$M:$M,"")</f>
        <v/>
      </c>
      <c r="C624" s="3">
        <f>XLOOKUP($Q624,'Threshold Summary'!$Y:$Y,'Threshold Summary'!$N:$N,"")</f>
        <v/>
      </c>
      <c r="D624" s="3">
        <f>IFERROR(INDEX(FILTER('Learnset Editor'!$D$2:$D,'Learnset Editor'!$A$2:$A=XLOOKUP($Q624,'Threshold Summary'!$Y:$Y,'Threshold Summary'!$K:$K,""),'Learnset Editor'!$C$2:$C&lt;=XLOOKUP($Q624,'Threshold Summary'!$Y:$Y,'Threshold Summary'!$L:$L,"")),$R624),"")</f>
        <v/>
      </c>
      <c r="E624" s="3">
        <f>XLOOKUP(D624,'Move Editor'!$B:$B,'Move Editor'!$C:$C,"")</f>
        <v/>
      </c>
      <c r="F624" s="3">
        <f>XLOOKUP(D624,'Move Editor'!$B:$B,'Move Editor'!$D:$D,"")</f>
        <v/>
      </c>
      <c r="G624" s="3">
        <f>XLOOKUP(D624,'Move Editor'!$B:$B,'Move Editor'!$E:$E,0)</f>
        <v/>
      </c>
      <c r="H624" s="3">
        <f>XLOOKUP(D624,'Move Editor'!$B:$B,'Move Editor'!$F:$F,0)</f>
        <v/>
      </c>
      <c r="I624" s="3">
        <f>(INDEX('Type Chart'!$B:$S,MATCH(E624,'Type Chart'!$A:$A,0),MATCH(XLOOKUP('Boss Editor'!$C$4,'Pokemon Editor'!$A:$A,'Pokemon Editor'!$C:$C,""),'Type Chart'!$B$1:$S$1,0))*IF(XLOOKUP('Boss Editor'!$C$4,'Pokemon Editor'!$A:$A,'Pokemon Editor'!$D:$D,"")="",1,INDEX('Type Chart'!$B:$S,MATCH(E624,'Type Chart'!$A:$A,0),MATCH(XLOOKUP('Boss Editor'!$C$4,'Pokemon Editor'!$A:$A,'Pokemon Editor'!$D:$D,""),'Type Chart'!$B$1:$S$1,0))))</f>
        <v/>
      </c>
      <c r="J624" s="3">
        <f>IFERROR(LET(mtype,XLOOKUP($D624,'Move Editor'!$B:$B,'Move Editor'!$C:$C,""),cat,XLOOKUP($D624,'Move Editor'!$B:$B,'Move Editor'!$D:$D,""),pow,XLOOKUP($D624,'Move Editor'!$B:$B,'Move Editor'!$E:$E,0),acc,XLOOKUP($D624,'Move Editor'!$B:$B,'Move Editor'!$F:$F,100),atk,IF(cat="Physical",FLOOR((FLOOR(((2*XLOOKUP(XLOOKUP($Q624,'Threshold Summary'!$Y:$Y,'Threshold Summary'!$K:$K,""),'Pokemon Editor'!$A:$A,'Pokemon Editor'!$F:$F,0)+31+FLOOR(XLOOKUP($Q624,'Threshold Summary'!$Y:$Y,'Threshold Summary'!$P:$P,"")/4))*XLOOKUP($Q624,'Threshold Summary'!$Y:$Y,'Threshold Summary'!$L:$L,""))/100)+5)*XLOOKUP(XLOOKUP($Q624,'Threshold Summary'!$Y:$Y,'Threshold Summary'!$M:$M,""),'Nature Editor'!$A:$A,'Nature Editor'!$B:$B,1)),FLOOR((FLOOR(((2*XLOOKUP(XLOOKUP($Q624,'Threshold Summary'!$Y:$Y,'Threshold Summary'!$K:$K,""),'Pokemon Editor'!$A:$A,'Pokemon Editor'!$H:$H,0)+31+FLOOR(XLOOKUP($Q624,'Threshold Summary'!$Y:$Y,'Threshold Summary'!$R:$R,"")/4))*XLOOKUP($Q624,'Threshold Summary'!$Y:$Y,'Threshold Summary'!$L:$L,""))/100)+5)*XLOOKUP(XLOOKUP($Q624,'Threshold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Editor'!$E:$E,1))),stab,IF(OR(mtype=XLOOKUP(XLOOKUP($Q624,'Threshold Summary'!$Y:$Y,'Threshold Summary'!$K:$K,""),'Pokemon Editor'!$A:$A,'Pokemon Editor'!$C:$C,""),mtype=XLOOKUP(XLOOKUP($Q624,'Threshold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Chart'!$B$1:$S$1,0)))),base,IF(OR(cat="Status",pow=0),0,FLOOR(FLOOR(FLOOR((2*XLOOKUP($Q624,'Threshold Summary'!$Y:$Y,'Threshold Summary'!$L:$L,"")/5+2)*pow*atk/def)/50)+2)),modifier,stab*eff,FLOOR(base*modifier*0.85)),0)</f>
        <v/>
      </c>
      <c r="K624" s="3">
        <f>IFERROR(LET(mtype,XLOOKUP($D624,'Move Editor'!$B:$B,'Move Editor'!$C:$C,""),cat,XLOOKUP($D624,'Move Editor'!$B:$B,'Move Editor'!$D:$D,""),pow,XLOOKUP($D624,'Move Editor'!$B:$B,'Move Editor'!$E:$E,0),acc,XLOOKUP($D624,'Move Editor'!$B:$B,'Move Editor'!$F:$F,100),atk,IF(cat="Physical",FLOOR((FLOOR(((2*XLOOKUP(XLOOKUP($Q624,'Threshold Summary'!$Y:$Y,'Threshold Summary'!$K:$K,""),'Pokemon Editor'!$A:$A,'Pokemon Editor'!$F:$F,0)+31+FLOOR(XLOOKUP($Q624,'Threshold Summary'!$Y:$Y,'Threshold Summary'!$P:$P,"")/4))*XLOOKUP($Q624,'Threshold Summary'!$Y:$Y,'Threshold Summary'!$L:$L,""))/100)+5)*XLOOKUP(XLOOKUP($Q624,'Threshold Summary'!$Y:$Y,'Threshold Summary'!$M:$M,""),'Nature Editor'!$A:$A,'Nature Editor'!$B:$B,1)),FLOOR((FLOOR(((2*XLOOKUP(XLOOKUP($Q624,'Threshold Summary'!$Y:$Y,'Threshold Summary'!$K:$K,""),'Pokemon Editor'!$A:$A,'Pokemon Editor'!$H:$H,0)+31+FLOOR(XLOOKUP($Q624,'Threshold Summary'!$Y:$Y,'Threshold Summary'!$R:$R,"")/4))*XLOOKUP($Q624,'Threshold Summary'!$Y:$Y,'Threshold Summary'!$L:$L,""))/100)+5)*XLOOKUP(XLOOKUP($Q624,'Threshold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Editor'!$E:$E,1))),stab,IF(OR(mtype=XLOOKUP(XLOOKUP($Q624,'Threshold Summary'!$Y:$Y,'Threshold Summary'!$K:$K,""),'Pokemon Editor'!$A:$A,'Pokemon Editor'!$C:$C,""),mtype=XLOOKUP(XLOOKUP($Q624,'Threshold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Chart'!$B$1:$S$1,0)))),base,IF(OR(cat="Status",pow=0),0,FLOOR(FLOOR(FLOOR((2*XLOOKUP($Q624,'Threshold Summary'!$Y:$Y,'Threshold Summary'!$L:$L,"")/5+2)*pow*atk/def)/50)+2)),modifier,stab*eff,FLOOR(base*modifier)),0)</f>
        <v/>
      </c>
      <c r="L624" s="3">
        <f>IFERROR(LET(mtype,XLOOKUP($D624,'Move Editor'!$B:$B,'Move Editor'!$C:$C,""),cat,XLOOKUP($D624,'Move Editor'!$B:$B,'Move Editor'!$D:$D,""),pow,XLOOKUP($D624,'Move Editor'!$B:$B,'Move Editor'!$E:$E,0),acc,XLOOKUP($D624,'Move Editor'!$B:$B,'Move Editor'!$F:$F,100),atk,IF(cat="Physical",FLOOR((FLOOR(((2*XLOOKUP(XLOOKUP($Q624,'Threshold Summary'!$Y:$Y,'Threshold Summary'!$K:$K,""),'Pokemon Editor'!$A:$A,'Pokemon Editor'!$F:$F,0)+31+FLOOR(XLOOKUP($Q624,'Threshold Summary'!$Y:$Y,'Threshold Summary'!$P:$P,"")/4))*XLOOKUP($Q624,'Threshold Summary'!$Y:$Y,'Threshold Summary'!$L:$L,""))/100)+5)*XLOOKUP(XLOOKUP($Q624,'Threshold Summary'!$Y:$Y,'Threshold Summary'!$M:$M,""),'Nature Editor'!$A:$A,'Nature Editor'!$B:$B,1)),FLOOR((FLOOR(((2*XLOOKUP(XLOOKUP($Q624,'Threshold Summary'!$Y:$Y,'Threshold Summary'!$K:$K,""),'Pokemon Editor'!$A:$A,'Pokemon Editor'!$H:$H,0)+31+FLOOR(XLOOKUP($Q624,'Threshold Summary'!$Y:$Y,'Threshold Summary'!$R:$R,"")/4))*XLOOKUP($Q624,'Threshold Summary'!$Y:$Y,'Threshold Summary'!$L:$L,""))/100)+5)*XLOOKUP(XLOOKUP($Q624,'Threshold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Editor'!$E:$E,1))),stab,IF(OR(mtype=XLOOKUP(XLOOKUP($Q624,'Threshold Summary'!$Y:$Y,'Threshold Summary'!$K:$K,""),'Pokemon Editor'!$A:$A,'Pokemon Editor'!$C:$C,""),mtype=XLOOKUP(XLOOKUP($Q624,'Threshold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Chart'!$B$1:$S$1,0)))),base,IF(OR(cat="Status",pow=0),0,FLOOR(FLOOR(FLOOR((2*XLOOKUP($Q624,'Threshold Summary'!$Y:$Y,'Threshold Summary'!$L:$L,"")/5+2)*pow*atk/def)/50)+2)),modifier,stab*eff,AVERAGE(ARRAYFORMULA(FLOOR(base*modifier*SEQUENCE(16,1,85,1)/100)))),0)</f>
        <v/>
      </c>
      <c r="M624" s="3">
        <f>IFERROR(LET(mtype,XLOOKUP($D624,'Move Editor'!$B:$B,'Move Editor'!$C:$C,""),cat,XLOOKUP($D624,'Move Editor'!$B:$B,'Move Editor'!$D:$D,""),pow,XLOOKUP($D624,'Move Editor'!$B:$B,'Move Editor'!$E:$E,0),acc,XLOOKUP($D624,'Move Editor'!$B:$B,'Move Editor'!$F:$F,100),atk,IF(cat="Physical",FLOOR((FLOOR(((2*XLOOKUP(XLOOKUP($Q624,'Threshold Summary'!$Y:$Y,'Threshold Summary'!$K:$K,""),'Pokemon Editor'!$A:$A,'Pokemon Editor'!$F:$F,0)+31+FLOOR(XLOOKUP($Q624,'Threshold Summary'!$Y:$Y,'Threshold Summary'!$P:$P,"")/4))*XLOOKUP($Q624,'Threshold Summary'!$Y:$Y,'Threshold Summary'!$L:$L,""))/100)+5)*XLOOKUP(XLOOKUP($Q624,'Threshold Summary'!$Y:$Y,'Threshold Summary'!$M:$M,""),'Nature Editor'!$A:$A,'Nature Editor'!$B:$B,1)),FLOOR((FLOOR(((2*XLOOKUP(XLOOKUP($Q624,'Threshold Summary'!$Y:$Y,'Threshold Summary'!$K:$K,""),'Pokemon Editor'!$A:$A,'Pokemon Editor'!$H:$H,0)+31+FLOOR(XLOOKUP($Q624,'Threshold Summary'!$Y:$Y,'Threshold Summary'!$R:$R,"")/4))*XLOOKUP($Q624,'Threshold Summary'!$Y:$Y,'Threshold Summary'!$L:$L,""))/100)+5)*XLOOKUP(XLOOKUP($Q624,'Threshold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Editor'!$E:$E,1))),stab,IF(OR(mtype=XLOOKUP(XLOOKUP($Q624,'Threshold Summary'!$Y:$Y,'Threshold Summary'!$K:$K,""),'Pokemon Editor'!$A:$A,'Pokemon Editor'!$C:$C,""),mtype=XLOOKUP(XLOOKUP($Q624,'Threshold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Chart'!$B$1:$S$1,0)))),base,IF(OR(cat="Status",pow=0),0,FLOOR(FLOOR(FLOOR((2*XLOOKUP($Q624,'Threshold Summary'!$Y:$Y,'Threshold Summary'!$L:$L,"")/5+2)*pow*atk/def)/50)+2)),modifier,stab*eff,AVERAGE(ARRAYFORMULA(FLOOR(base*modifier*SEQUENCE(16,1,85,1)/100)))*MIN(1,acc/100)),0)</f>
        <v/>
      </c>
      <c r="N624" s="4">
        <f>IFERROR(LET(mtype,XLOOKUP($D624,'Move Editor'!$B:$B,'Move Editor'!$C:$C,""),cat,XLOOKUP($D624,'Move Editor'!$B:$B,'Move Editor'!$D:$D,""),pow,XLOOKUP($D624,'Move Editor'!$B:$B,'Move Editor'!$E:$E,0),acc,XLOOKUP($D624,'Move Editor'!$B:$B,'Move Editor'!$F:$F,100),atk,IF(cat="Physical",FLOOR((FLOOR(((2*XLOOKUP(XLOOKUP($Q624,'Threshold Summary'!$Y:$Y,'Threshold Summary'!$K:$K,""),'Pokemon Editor'!$A:$A,'Pokemon Editor'!$F:$F,0)+31+FLOOR(XLOOKUP($Q624,'Threshold Summary'!$Y:$Y,'Threshold Summary'!$P:$P,"")/4))*XLOOKUP($Q624,'Threshold Summary'!$Y:$Y,'Threshold Summary'!$L:$L,""))/100)+5)*XLOOKUP(XLOOKUP($Q624,'Threshold Summary'!$Y:$Y,'Threshold Summary'!$M:$M,""),'Nature Editor'!$A:$A,'Nature Editor'!$B:$B,1)),FLOOR((FLOOR(((2*XLOOKUP(XLOOKUP($Q624,'Threshold Summary'!$Y:$Y,'Threshold Summary'!$K:$K,""),'Pokemon Editor'!$A:$A,'Pokemon Editor'!$H:$H,0)+31+FLOOR(XLOOKUP($Q624,'Threshold Summary'!$Y:$Y,'Threshold Summary'!$R:$R,"")/4))*XLOOKUP($Q624,'Threshold Summary'!$Y:$Y,'Threshold Summary'!$L:$L,""))/100)+5)*XLOOKUP(XLOOKUP($Q624,'Threshold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Editor'!$E:$E,1))),stab,IF(OR(mtype=XLOOKUP(XLOOKUP($Q624,'Threshold Summary'!$Y:$Y,'Threshold Summary'!$K:$K,""),'Pokemon Editor'!$A:$A,'Pokemon Editor'!$C:$C,""),mtype=XLOOKUP(XLOOKUP($Q624,'Threshold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Chart'!$B$1:$S$1,0)))),base,IF(OR(cat="Status",pow=0),0,FLOOR(FLOOR(FLOOR((2*XLOOKUP($Q624,'Threshold Summary'!$Y:$Y,'Threshold Summary'!$L:$L,"")/5+2)*pow*atk/def)/50)+2)),modifier,stab*eff,AVERAGE(ARRAYFORMULA(FLOOR(base*modifier*SEQUENCE(16,1,85,1)/100)))/(FLOOR(((2*XLOOKUP('Boss Editor'!$C$4,'Pokemon Editor'!$A:$A,'Pokemon Editor'!$E:$E,0)+31+FLOOR('Boss Editor'!$G$4/4))*'Boss Editor'!$D$4)/100)+'Boss Editor'!$D$4+10)),0)</f>
        <v/>
      </c>
      <c r="O624" s="3">
        <f>IF(N624&gt;=1,"OHKO",IF(N624&gt;=0.5,"2HKO",IF(N624&gt;=0.333,"3HKO",IF(N624&gt;=0.25,"4HKO","5HKO+"))))</f>
        <v/>
      </c>
      <c r="P624" s="3" t="inlineStr">
        <is>
          <t>Live from editable databases</t>
        </is>
      </c>
      <c r="Q624" s="3" t="inlineStr">
        <is>
          <t>SPECIES_LITLEO</t>
        </is>
      </c>
      <c r="R624" s="3" t="n">
        <v>15</v>
      </c>
    </row>
    <row r="625">
      <c r="A625" s="3">
        <f>XLOOKUP($Q625,'Threshold Summary'!$Y:$Y,'Threshold Summary'!$A:$A,"")</f>
        <v/>
      </c>
      <c r="B625" s="3">
        <f>XLOOKUP($Q625,'Threshold Summary'!$Y:$Y,'Threshold Summary'!$M:$M,"")</f>
        <v/>
      </c>
      <c r="C625" s="3">
        <f>XLOOKUP($Q625,'Threshold Summary'!$Y:$Y,'Threshold Summary'!$N:$N,"")</f>
        <v/>
      </c>
      <c r="D625" s="3">
        <f>IFERROR(INDEX(FILTER('Learnset Editor'!$D$2:$D,'Learnset Editor'!$A$2:$A=XLOOKUP($Q625,'Threshold Summary'!$Y:$Y,'Threshold Summary'!$K:$K,""),'Learnset Editor'!$C$2:$C&lt;=XLOOKUP($Q625,'Threshold Summary'!$Y:$Y,'Threshold Summary'!$L:$L,"")),$R625),"")</f>
        <v/>
      </c>
      <c r="E625" s="3">
        <f>XLOOKUP(D625,'Move Editor'!$B:$B,'Move Editor'!$C:$C,"")</f>
        <v/>
      </c>
      <c r="F625" s="3">
        <f>XLOOKUP(D625,'Move Editor'!$B:$B,'Move Editor'!$D:$D,"")</f>
        <v/>
      </c>
      <c r="G625" s="3">
        <f>XLOOKUP(D625,'Move Editor'!$B:$B,'Move Editor'!$E:$E,0)</f>
        <v/>
      </c>
      <c r="H625" s="3">
        <f>XLOOKUP(D625,'Move Editor'!$B:$B,'Move Editor'!$F:$F,0)</f>
        <v/>
      </c>
      <c r="I625" s="3">
        <f>(INDEX('Type Chart'!$B:$S,MATCH(E625,'Type Chart'!$A:$A,0),MATCH(XLOOKUP('Boss Editor'!$C$4,'Pokemon Editor'!$A:$A,'Pokemon Editor'!$C:$C,""),'Type Chart'!$B$1:$S$1,0))*IF(XLOOKUP('Boss Editor'!$C$4,'Pokemon Editor'!$A:$A,'Pokemon Editor'!$D:$D,"")="",1,INDEX('Type Chart'!$B:$S,MATCH(E625,'Type Chart'!$A:$A,0),MATCH(XLOOKUP('Boss Editor'!$C$4,'Pokemon Editor'!$A:$A,'Pokemon Editor'!$D:$D,""),'Type Chart'!$B$1:$S$1,0))))</f>
        <v/>
      </c>
      <c r="J625" s="3">
        <f>IFERROR(LET(mtype,XLOOKUP($D625,'Move Editor'!$B:$B,'Move Editor'!$C:$C,""),cat,XLOOKUP($D625,'Move Editor'!$B:$B,'Move Editor'!$D:$D,""),pow,XLOOKUP($D625,'Move Editor'!$B:$B,'Move Editor'!$E:$E,0),acc,XLOOKUP($D625,'Move Editor'!$B:$B,'Move Editor'!$F:$F,100),atk,IF(cat="Physical",FLOOR((FLOOR(((2*XLOOKUP(XLOOKUP($Q625,'Threshold Summary'!$Y:$Y,'Threshold Summary'!$K:$K,""),'Pokemon Editor'!$A:$A,'Pokemon Editor'!$F:$F,0)+31+FLOOR(XLOOKUP($Q625,'Threshold Summary'!$Y:$Y,'Threshold Summary'!$P:$P,"")/4))*XLOOKUP($Q625,'Threshold Summary'!$Y:$Y,'Threshold Summary'!$L:$L,""))/100)+5)*XLOOKUP(XLOOKUP($Q625,'Threshold Summary'!$Y:$Y,'Threshold Summary'!$M:$M,""),'Nature Editor'!$A:$A,'Nature Editor'!$B:$B,1)),FLOOR((FLOOR(((2*XLOOKUP(XLOOKUP($Q625,'Threshold Summary'!$Y:$Y,'Threshold Summary'!$K:$K,""),'Pokemon Editor'!$A:$A,'Pokemon Editor'!$H:$H,0)+31+FLOOR(XLOOKUP($Q625,'Threshold Summary'!$Y:$Y,'Threshold Summary'!$R:$R,"")/4))*XLOOKUP($Q625,'Threshold Summary'!$Y:$Y,'Threshold Summary'!$L:$L,""))/100)+5)*XLOOKUP(XLOOKUP($Q625,'Threshold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Editor'!$E:$E,1))),stab,IF(OR(mtype=XLOOKUP(XLOOKUP($Q625,'Threshold Summary'!$Y:$Y,'Threshold Summary'!$K:$K,""),'Pokemon Editor'!$A:$A,'Pokemon Editor'!$C:$C,""),mtype=XLOOKUP(XLOOKUP($Q625,'Threshold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Chart'!$B$1:$S$1,0)))),base,IF(OR(cat="Status",pow=0),0,FLOOR(FLOOR(FLOOR((2*XLOOKUP($Q625,'Threshold Summary'!$Y:$Y,'Threshold Summary'!$L:$L,"")/5+2)*pow*atk/def)/50)+2)),modifier,stab*eff,FLOOR(base*modifier*0.85)),0)</f>
        <v/>
      </c>
      <c r="K625" s="3">
        <f>IFERROR(LET(mtype,XLOOKUP($D625,'Move Editor'!$B:$B,'Move Editor'!$C:$C,""),cat,XLOOKUP($D625,'Move Editor'!$B:$B,'Move Editor'!$D:$D,""),pow,XLOOKUP($D625,'Move Editor'!$B:$B,'Move Editor'!$E:$E,0),acc,XLOOKUP($D625,'Move Editor'!$B:$B,'Move Editor'!$F:$F,100),atk,IF(cat="Physical",FLOOR((FLOOR(((2*XLOOKUP(XLOOKUP($Q625,'Threshold Summary'!$Y:$Y,'Threshold Summary'!$K:$K,""),'Pokemon Editor'!$A:$A,'Pokemon Editor'!$F:$F,0)+31+FLOOR(XLOOKUP($Q625,'Threshold Summary'!$Y:$Y,'Threshold Summary'!$P:$P,"")/4))*XLOOKUP($Q625,'Threshold Summary'!$Y:$Y,'Threshold Summary'!$L:$L,""))/100)+5)*XLOOKUP(XLOOKUP($Q625,'Threshold Summary'!$Y:$Y,'Threshold Summary'!$M:$M,""),'Nature Editor'!$A:$A,'Nature Editor'!$B:$B,1)),FLOOR((FLOOR(((2*XLOOKUP(XLOOKUP($Q625,'Threshold Summary'!$Y:$Y,'Threshold Summary'!$K:$K,""),'Pokemon Editor'!$A:$A,'Pokemon Editor'!$H:$H,0)+31+FLOOR(XLOOKUP($Q625,'Threshold Summary'!$Y:$Y,'Threshold Summary'!$R:$R,"")/4))*XLOOKUP($Q625,'Threshold Summary'!$Y:$Y,'Threshold Summary'!$L:$L,""))/100)+5)*XLOOKUP(XLOOKUP($Q625,'Threshold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Editor'!$E:$E,1))),stab,IF(OR(mtype=XLOOKUP(XLOOKUP($Q625,'Threshold Summary'!$Y:$Y,'Threshold Summary'!$K:$K,""),'Pokemon Editor'!$A:$A,'Pokemon Editor'!$C:$C,""),mtype=XLOOKUP(XLOOKUP($Q625,'Threshold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Chart'!$B$1:$S$1,0)))),base,IF(OR(cat="Status",pow=0),0,FLOOR(FLOOR(FLOOR((2*XLOOKUP($Q625,'Threshold Summary'!$Y:$Y,'Threshold Summary'!$L:$L,"")/5+2)*pow*atk/def)/50)+2)),modifier,stab*eff,FLOOR(base*modifier)),0)</f>
        <v/>
      </c>
      <c r="L625" s="3">
        <f>IFERROR(LET(mtype,XLOOKUP($D625,'Move Editor'!$B:$B,'Move Editor'!$C:$C,""),cat,XLOOKUP($D625,'Move Editor'!$B:$B,'Move Editor'!$D:$D,""),pow,XLOOKUP($D625,'Move Editor'!$B:$B,'Move Editor'!$E:$E,0),acc,XLOOKUP($D625,'Move Editor'!$B:$B,'Move Editor'!$F:$F,100),atk,IF(cat="Physical",FLOOR((FLOOR(((2*XLOOKUP(XLOOKUP($Q625,'Threshold Summary'!$Y:$Y,'Threshold Summary'!$K:$K,""),'Pokemon Editor'!$A:$A,'Pokemon Editor'!$F:$F,0)+31+FLOOR(XLOOKUP($Q625,'Threshold Summary'!$Y:$Y,'Threshold Summary'!$P:$P,"")/4))*XLOOKUP($Q625,'Threshold Summary'!$Y:$Y,'Threshold Summary'!$L:$L,""))/100)+5)*XLOOKUP(XLOOKUP($Q625,'Threshold Summary'!$Y:$Y,'Threshold Summary'!$M:$M,""),'Nature Editor'!$A:$A,'Nature Editor'!$B:$B,1)),FLOOR((FLOOR(((2*XLOOKUP(XLOOKUP($Q625,'Threshold Summary'!$Y:$Y,'Threshold Summary'!$K:$K,""),'Pokemon Editor'!$A:$A,'Pokemon Editor'!$H:$H,0)+31+FLOOR(XLOOKUP($Q625,'Threshold Summary'!$Y:$Y,'Threshold Summary'!$R:$R,"")/4))*XLOOKUP($Q625,'Threshold Summary'!$Y:$Y,'Threshold Summary'!$L:$L,""))/100)+5)*XLOOKUP(XLOOKUP($Q625,'Threshold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Editor'!$E:$E,1))),stab,IF(OR(mtype=XLOOKUP(XLOOKUP($Q625,'Threshold Summary'!$Y:$Y,'Threshold Summary'!$K:$K,""),'Pokemon Editor'!$A:$A,'Pokemon Editor'!$C:$C,""),mtype=XLOOKUP(XLOOKUP($Q625,'Threshold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Chart'!$B$1:$S$1,0)))),base,IF(OR(cat="Status",pow=0),0,FLOOR(FLOOR(FLOOR((2*XLOOKUP($Q625,'Threshold Summary'!$Y:$Y,'Threshold Summary'!$L:$L,"")/5+2)*pow*atk/def)/50)+2)),modifier,stab*eff,AVERAGE(ARRAYFORMULA(FLOOR(base*modifier*SEQUENCE(16,1,85,1)/100)))),0)</f>
        <v/>
      </c>
      <c r="M625" s="3">
        <f>IFERROR(LET(mtype,XLOOKUP($D625,'Move Editor'!$B:$B,'Move Editor'!$C:$C,""),cat,XLOOKUP($D625,'Move Editor'!$B:$B,'Move Editor'!$D:$D,""),pow,XLOOKUP($D625,'Move Editor'!$B:$B,'Move Editor'!$E:$E,0),acc,XLOOKUP($D625,'Move Editor'!$B:$B,'Move Editor'!$F:$F,100),atk,IF(cat="Physical",FLOOR((FLOOR(((2*XLOOKUP(XLOOKUP($Q625,'Threshold Summary'!$Y:$Y,'Threshold Summary'!$K:$K,""),'Pokemon Editor'!$A:$A,'Pokemon Editor'!$F:$F,0)+31+FLOOR(XLOOKUP($Q625,'Threshold Summary'!$Y:$Y,'Threshold Summary'!$P:$P,"")/4))*XLOOKUP($Q625,'Threshold Summary'!$Y:$Y,'Threshold Summary'!$L:$L,""))/100)+5)*XLOOKUP(XLOOKUP($Q625,'Threshold Summary'!$Y:$Y,'Threshold Summary'!$M:$M,""),'Nature Editor'!$A:$A,'Nature Editor'!$B:$B,1)),FLOOR((FLOOR(((2*XLOOKUP(XLOOKUP($Q625,'Threshold Summary'!$Y:$Y,'Threshold Summary'!$K:$K,""),'Pokemon Editor'!$A:$A,'Pokemon Editor'!$H:$H,0)+31+FLOOR(XLOOKUP($Q625,'Threshold Summary'!$Y:$Y,'Threshold Summary'!$R:$R,"")/4))*XLOOKUP($Q625,'Threshold Summary'!$Y:$Y,'Threshold Summary'!$L:$L,""))/100)+5)*XLOOKUP(XLOOKUP($Q625,'Threshold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Editor'!$E:$E,1))),stab,IF(OR(mtype=XLOOKUP(XLOOKUP($Q625,'Threshold Summary'!$Y:$Y,'Threshold Summary'!$K:$K,""),'Pokemon Editor'!$A:$A,'Pokemon Editor'!$C:$C,""),mtype=XLOOKUP(XLOOKUP($Q625,'Threshold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Chart'!$B$1:$S$1,0)))),base,IF(OR(cat="Status",pow=0),0,FLOOR(FLOOR(FLOOR((2*XLOOKUP($Q625,'Threshold Summary'!$Y:$Y,'Threshold Summary'!$L:$L,"")/5+2)*pow*atk/def)/50)+2)),modifier,stab*eff,AVERAGE(ARRAYFORMULA(FLOOR(base*modifier*SEQUENCE(16,1,85,1)/100)))*MIN(1,acc/100)),0)</f>
        <v/>
      </c>
      <c r="N625" s="4">
        <f>IFERROR(LET(mtype,XLOOKUP($D625,'Move Editor'!$B:$B,'Move Editor'!$C:$C,""),cat,XLOOKUP($D625,'Move Editor'!$B:$B,'Move Editor'!$D:$D,""),pow,XLOOKUP($D625,'Move Editor'!$B:$B,'Move Editor'!$E:$E,0),acc,XLOOKUP($D625,'Move Editor'!$B:$B,'Move Editor'!$F:$F,100),atk,IF(cat="Physical",FLOOR((FLOOR(((2*XLOOKUP(XLOOKUP($Q625,'Threshold Summary'!$Y:$Y,'Threshold Summary'!$K:$K,""),'Pokemon Editor'!$A:$A,'Pokemon Editor'!$F:$F,0)+31+FLOOR(XLOOKUP($Q625,'Threshold Summary'!$Y:$Y,'Threshold Summary'!$P:$P,"")/4))*XLOOKUP($Q625,'Threshold Summary'!$Y:$Y,'Threshold Summary'!$L:$L,""))/100)+5)*XLOOKUP(XLOOKUP($Q625,'Threshold Summary'!$Y:$Y,'Threshold Summary'!$M:$M,""),'Nature Editor'!$A:$A,'Nature Editor'!$B:$B,1)),FLOOR((FLOOR(((2*XLOOKUP(XLOOKUP($Q625,'Threshold Summary'!$Y:$Y,'Threshold Summary'!$K:$K,""),'Pokemon Editor'!$A:$A,'Pokemon Editor'!$H:$H,0)+31+FLOOR(XLOOKUP($Q625,'Threshold Summary'!$Y:$Y,'Threshold Summary'!$R:$R,"")/4))*XLOOKUP($Q625,'Threshold Summary'!$Y:$Y,'Threshold Summary'!$L:$L,""))/100)+5)*XLOOKUP(XLOOKUP($Q625,'Threshold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Editor'!$E:$E,1))),stab,IF(OR(mtype=XLOOKUP(XLOOKUP($Q625,'Threshold Summary'!$Y:$Y,'Threshold Summary'!$K:$K,""),'Pokemon Editor'!$A:$A,'Pokemon Editor'!$C:$C,""),mtype=XLOOKUP(XLOOKUP($Q625,'Threshold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Chart'!$B$1:$S$1,0)))),base,IF(OR(cat="Status",pow=0),0,FLOOR(FLOOR(FLOOR((2*XLOOKUP($Q625,'Threshold Summary'!$Y:$Y,'Threshold Summary'!$L:$L,"")/5+2)*pow*atk/def)/50)+2)),modifier,stab*eff,AVERAGE(ARRAYFORMULA(FLOOR(base*modifier*SEQUENCE(16,1,85,1)/100)))/(FLOOR(((2*XLOOKUP('Boss Editor'!$C$4,'Pokemon Editor'!$A:$A,'Pokemon Editor'!$E:$E,0)+31+FLOOR('Boss Editor'!$G$4/4))*'Boss Editor'!$D$4)/100)+'Boss Editor'!$D$4+10)),0)</f>
        <v/>
      </c>
      <c r="O625" s="3">
        <f>IF(N625&gt;=1,"OHKO",IF(N625&gt;=0.5,"2HKO",IF(N625&gt;=0.333,"3HKO",IF(N625&gt;=0.25,"4HKO","5HKO+"))))</f>
        <v/>
      </c>
      <c r="P625" s="3" t="inlineStr">
        <is>
          <t>Live from editable databases</t>
        </is>
      </c>
      <c r="Q625" s="3" t="inlineStr">
        <is>
          <t>SPECIES_LITLEO</t>
        </is>
      </c>
      <c r="R625" s="3" t="n">
        <v>16</v>
      </c>
    </row>
    <row r="626">
      <c r="A626" s="3">
        <f>XLOOKUP($Q626,'Threshold Summary'!$Y:$Y,'Threshold Summary'!$A:$A,"")</f>
        <v/>
      </c>
      <c r="B626" s="3">
        <f>XLOOKUP($Q626,'Threshold Summary'!$Y:$Y,'Threshold Summary'!$M:$M,"")</f>
        <v/>
      </c>
      <c r="C626" s="3">
        <f>XLOOKUP($Q626,'Threshold Summary'!$Y:$Y,'Threshold Summary'!$N:$N,"")</f>
        <v/>
      </c>
      <c r="D626" s="3">
        <f>IFERROR(INDEX(FILTER('Learnset Editor'!$D$2:$D,'Learnset Editor'!$A$2:$A=XLOOKUP($Q626,'Threshold Summary'!$Y:$Y,'Threshold Summary'!$K:$K,""),'Learnset Editor'!$C$2:$C&lt;=XLOOKUP($Q626,'Threshold Summary'!$Y:$Y,'Threshold Summary'!$L:$L,"")),$R626),"")</f>
        <v/>
      </c>
      <c r="E626" s="3">
        <f>XLOOKUP(D626,'Move Editor'!$B:$B,'Move Editor'!$C:$C,"")</f>
        <v/>
      </c>
      <c r="F626" s="3">
        <f>XLOOKUP(D626,'Move Editor'!$B:$B,'Move Editor'!$D:$D,"")</f>
        <v/>
      </c>
      <c r="G626" s="3">
        <f>XLOOKUP(D626,'Move Editor'!$B:$B,'Move Editor'!$E:$E,0)</f>
        <v/>
      </c>
      <c r="H626" s="3">
        <f>XLOOKUP(D626,'Move Editor'!$B:$B,'Move Editor'!$F:$F,0)</f>
        <v/>
      </c>
      <c r="I626" s="3">
        <f>(INDEX('Type Chart'!$B:$S,MATCH(E626,'Type Chart'!$A:$A,0),MATCH(XLOOKUP('Boss Editor'!$C$4,'Pokemon Editor'!$A:$A,'Pokemon Editor'!$C:$C,""),'Type Chart'!$B$1:$S$1,0))*IF(XLOOKUP('Boss Editor'!$C$4,'Pokemon Editor'!$A:$A,'Pokemon Editor'!$D:$D,"")="",1,INDEX('Type Chart'!$B:$S,MATCH(E626,'Type Chart'!$A:$A,0),MATCH(XLOOKUP('Boss Editor'!$C$4,'Pokemon Editor'!$A:$A,'Pokemon Editor'!$D:$D,""),'Type Chart'!$B$1:$S$1,0))))</f>
        <v/>
      </c>
      <c r="J626" s="3">
        <f>IFERROR(LET(mtype,XLOOKUP($D626,'Move Editor'!$B:$B,'Move Editor'!$C:$C,""),cat,XLOOKUP($D626,'Move Editor'!$B:$B,'Move Editor'!$D:$D,""),pow,XLOOKUP($D626,'Move Editor'!$B:$B,'Move Editor'!$E:$E,0),acc,XLOOKUP($D626,'Move Editor'!$B:$B,'Move Editor'!$F:$F,100),atk,IF(cat="Physical",FLOOR((FLOOR(((2*XLOOKUP(XLOOKUP($Q626,'Threshold Summary'!$Y:$Y,'Threshold Summary'!$K:$K,""),'Pokemon Editor'!$A:$A,'Pokemon Editor'!$F:$F,0)+31+FLOOR(XLOOKUP($Q626,'Threshold Summary'!$Y:$Y,'Threshold Summary'!$P:$P,"")/4))*XLOOKUP($Q626,'Threshold Summary'!$Y:$Y,'Threshold Summary'!$L:$L,""))/100)+5)*XLOOKUP(XLOOKUP($Q626,'Threshold Summary'!$Y:$Y,'Threshold Summary'!$M:$M,""),'Nature Editor'!$A:$A,'Nature Editor'!$B:$B,1)),FLOOR((FLOOR(((2*XLOOKUP(XLOOKUP($Q626,'Threshold Summary'!$Y:$Y,'Threshold Summary'!$K:$K,""),'Pokemon Editor'!$A:$A,'Pokemon Editor'!$H:$H,0)+31+FLOOR(XLOOKUP($Q626,'Threshold Summary'!$Y:$Y,'Threshold Summary'!$R:$R,"")/4))*XLOOKUP($Q626,'Threshold Summary'!$Y:$Y,'Threshold Summary'!$L:$L,""))/100)+5)*XLOOKUP(XLOOKUP($Q626,'Threshold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Editor'!$E:$E,1))),stab,IF(OR(mtype=XLOOKUP(XLOOKUP($Q626,'Threshold Summary'!$Y:$Y,'Threshold Summary'!$K:$K,""),'Pokemon Editor'!$A:$A,'Pokemon Editor'!$C:$C,""),mtype=XLOOKUP(XLOOKUP($Q626,'Threshold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Chart'!$B$1:$S$1,0)))),base,IF(OR(cat="Status",pow=0),0,FLOOR(FLOOR(FLOOR((2*XLOOKUP($Q626,'Threshold Summary'!$Y:$Y,'Threshold Summary'!$L:$L,"")/5+2)*pow*atk/def)/50)+2)),modifier,stab*eff,FLOOR(base*modifier*0.85)),0)</f>
        <v/>
      </c>
      <c r="K626" s="3">
        <f>IFERROR(LET(mtype,XLOOKUP($D626,'Move Editor'!$B:$B,'Move Editor'!$C:$C,""),cat,XLOOKUP($D626,'Move Editor'!$B:$B,'Move Editor'!$D:$D,""),pow,XLOOKUP($D626,'Move Editor'!$B:$B,'Move Editor'!$E:$E,0),acc,XLOOKUP($D626,'Move Editor'!$B:$B,'Move Editor'!$F:$F,100),atk,IF(cat="Physical",FLOOR((FLOOR(((2*XLOOKUP(XLOOKUP($Q626,'Threshold Summary'!$Y:$Y,'Threshold Summary'!$K:$K,""),'Pokemon Editor'!$A:$A,'Pokemon Editor'!$F:$F,0)+31+FLOOR(XLOOKUP($Q626,'Threshold Summary'!$Y:$Y,'Threshold Summary'!$P:$P,"")/4))*XLOOKUP($Q626,'Threshold Summary'!$Y:$Y,'Threshold Summary'!$L:$L,""))/100)+5)*XLOOKUP(XLOOKUP($Q626,'Threshold Summary'!$Y:$Y,'Threshold Summary'!$M:$M,""),'Nature Editor'!$A:$A,'Nature Editor'!$B:$B,1)),FLOOR((FLOOR(((2*XLOOKUP(XLOOKUP($Q626,'Threshold Summary'!$Y:$Y,'Threshold Summary'!$K:$K,""),'Pokemon Editor'!$A:$A,'Pokemon Editor'!$H:$H,0)+31+FLOOR(XLOOKUP($Q626,'Threshold Summary'!$Y:$Y,'Threshold Summary'!$R:$R,"")/4))*XLOOKUP($Q626,'Threshold Summary'!$Y:$Y,'Threshold Summary'!$L:$L,""))/100)+5)*XLOOKUP(XLOOKUP($Q626,'Threshold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Editor'!$E:$E,1))),stab,IF(OR(mtype=XLOOKUP(XLOOKUP($Q626,'Threshold Summary'!$Y:$Y,'Threshold Summary'!$K:$K,""),'Pokemon Editor'!$A:$A,'Pokemon Editor'!$C:$C,""),mtype=XLOOKUP(XLOOKUP($Q626,'Threshold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Chart'!$B$1:$S$1,0)))),base,IF(OR(cat="Status",pow=0),0,FLOOR(FLOOR(FLOOR((2*XLOOKUP($Q626,'Threshold Summary'!$Y:$Y,'Threshold Summary'!$L:$L,"")/5+2)*pow*atk/def)/50)+2)),modifier,stab*eff,FLOOR(base*modifier)),0)</f>
        <v/>
      </c>
      <c r="L626" s="3">
        <f>IFERROR(LET(mtype,XLOOKUP($D626,'Move Editor'!$B:$B,'Move Editor'!$C:$C,""),cat,XLOOKUP($D626,'Move Editor'!$B:$B,'Move Editor'!$D:$D,""),pow,XLOOKUP($D626,'Move Editor'!$B:$B,'Move Editor'!$E:$E,0),acc,XLOOKUP($D626,'Move Editor'!$B:$B,'Move Editor'!$F:$F,100),atk,IF(cat="Physical",FLOOR((FLOOR(((2*XLOOKUP(XLOOKUP($Q626,'Threshold Summary'!$Y:$Y,'Threshold Summary'!$K:$K,""),'Pokemon Editor'!$A:$A,'Pokemon Editor'!$F:$F,0)+31+FLOOR(XLOOKUP($Q626,'Threshold Summary'!$Y:$Y,'Threshold Summary'!$P:$P,"")/4))*XLOOKUP($Q626,'Threshold Summary'!$Y:$Y,'Threshold Summary'!$L:$L,""))/100)+5)*XLOOKUP(XLOOKUP($Q626,'Threshold Summary'!$Y:$Y,'Threshold Summary'!$M:$M,""),'Nature Editor'!$A:$A,'Nature Editor'!$B:$B,1)),FLOOR((FLOOR(((2*XLOOKUP(XLOOKUP($Q626,'Threshold Summary'!$Y:$Y,'Threshold Summary'!$K:$K,""),'Pokemon Editor'!$A:$A,'Pokemon Editor'!$H:$H,0)+31+FLOOR(XLOOKUP($Q626,'Threshold Summary'!$Y:$Y,'Threshold Summary'!$R:$R,"")/4))*XLOOKUP($Q626,'Threshold Summary'!$Y:$Y,'Threshold Summary'!$L:$L,""))/100)+5)*XLOOKUP(XLOOKUP($Q626,'Threshold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Editor'!$E:$E,1))),stab,IF(OR(mtype=XLOOKUP(XLOOKUP($Q626,'Threshold Summary'!$Y:$Y,'Threshold Summary'!$K:$K,""),'Pokemon Editor'!$A:$A,'Pokemon Editor'!$C:$C,""),mtype=XLOOKUP(XLOOKUP($Q626,'Threshold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Chart'!$B$1:$S$1,0)))),base,IF(OR(cat="Status",pow=0),0,FLOOR(FLOOR(FLOOR((2*XLOOKUP($Q626,'Threshold Summary'!$Y:$Y,'Threshold Summary'!$L:$L,"")/5+2)*pow*atk/def)/50)+2)),modifier,stab*eff,AVERAGE(ARRAYFORMULA(FLOOR(base*modifier*SEQUENCE(16,1,85,1)/100)))),0)</f>
        <v/>
      </c>
      <c r="M626" s="3">
        <f>IFERROR(LET(mtype,XLOOKUP($D626,'Move Editor'!$B:$B,'Move Editor'!$C:$C,""),cat,XLOOKUP($D626,'Move Editor'!$B:$B,'Move Editor'!$D:$D,""),pow,XLOOKUP($D626,'Move Editor'!$B:$B,'Move Editor'!$E:$E,0),acc,XLOOKUP($D626,'Move Editor'!$B:$B,'Move Editor'!$F:$F,100),atk,IF(cat="Physical",FLOOR((FLOOR(((2*XLOOKUP(XLOOKUP($Q626,'Threshold Summary'!$Y:$Y,'Threshold Summary'!$K:$K,""),'Pokemon Editor'!$A:$A,'Pokemon Editor'!$F:$F,0)+31+FLOOR(XLOOKUP($Q626,'Threshold Summary'!$Y:$Y,'Threshold Summary'!$P:$P,"")/4))*XLOOKUP($Q626,'Threshold Summary'!$Y:$Y,'Threshold Summary'!$L:$L,""))/100)+5)*XLOOKUP(XLOOKUP($Q626,'Threshold Summary'!$Y:$Y,'Threshold Summary'!$M:$M,""),'Nature Editor'!$A:$A,'Nature Editor'!$B:$B,1)),FLOOR((FLOOR(((2*XLOOKUP(XLOOKUP($Q626,'Threshold Summary'!$Y:$Y,'Threshold Summary'!$K:$K,""),'Pokemon Editor'!$A:$A,'Pokemon Editor'!$H:$H,0)+31+FLOOR(XLOOKUP($Q626,'Threshold Summary'!$Y:$Y,'Threshold Summary'!$R:$R,"")/4))*XLOOKUP($Q626,'Threshold Summary'!$Y:$Y,'Threshold Summary'!$L:$L,""))/100)+5)*XLOOKUP(XLOOKUP($Q626,'Threshold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Editor'!$E:$E,1))),stab,IF(OR(mtype=XLOOKUP(XLOOKUP($Q626,'Threshold Summary'!$Y:$Y,'Threshold Summary'!$K:$K,""),'Pokemon Editor'!$A:$A,'Pokemon Editor'!$C:$C,""),mtype=XLOOKUP(XLOOKUP($Q626,'Threshold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Chart'!$B$1:$S$1,0)))),base,IF(OR(cat="Status",pow=0),0,FLOOR(FLOOR(FLOOR((2*XLOOKUP($Q626,'Threshold Summary'!$Y:$Y,'Threshold Summary'!$L:$L,"")/5+2)*pow*atk/def)/50)+2)),modifier,stab*eff,AVERAGE(ARRAYFORMULA(FLOOR(base*modifier*SEQUENCE(16,1,85,1)/100)))*MIN(1,acc/100)),0)</f>
        <v/>
      </c>
      <c r="N626" s="4">
        <f>IFERROR(LET(mtype,XLOOKUP($D626,'Move Editor'!$B:$B,'Move Editor'!$C:$C,""),cat,XLOOKUP($D626,'Move Editor'!$B:$B,'Move Editor'!$D:$D,""),pow,XLOOKUP($D626,'Move Editor'!$B:$B,'Move Editor'!$E:$E,0),acc,XLOOKUP($D626,'Move Editor'!$B:$B,'Move Editor'!$F:$F,100),atk,IF(cat="Physical",FLOOR((FLOOR(((2*XLOOKUP(XLOOKUP($Q626,'Threshold Summary'!$Y:$Y,'Threshold Summary'!$K:$K,""),'Pokemon Editor'!$A:$A,'Pokemon Editor'!$F:$F,0)+31+FLOOR(XLOOKUP($Q626,'Threshold Summary'!$Y:$Y,'Threshold Summary'!$P:$P,"")/4))*XLOOKUP($Q626,'Threshold Summary'!$Y:$Y,'Threshold Summary'!$L:$L,""))/100)+5)*XLOOKUP(XLOOKUP($Q626,'Threshold Summary'!$Y:$Y,'Threshold Summary'!$M:$M,""),'Nature Editor'!$A:$A,'Nature Editor'!$B:$B,1)),FLOOR((FLOOR(((2*XLOOKUP(XLOOKUP($Q626,'Threshold Summary'!$Y:$Y,'Threshold Summary'!$K:$K,""),'Pokemon Editor'!$A:$A,'Pokemon Editor'!$H:$H,0)+31+FLOOR(XLOOKUP($Q626,'Threshold Summary'!$Y:$Y,'Threshold Summary'!$R:$R,"")/4))*XLOOKUP($Q626,'Threshold Summary'!$Y:$Y,'Threshold Summary'!$L:$L,""))/100)+5)*XLOOKUP(XLOOKUP($Q626,'Threshold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Editor'!$E:$E,1))),stab,IF(OR(mtype=XLOOKUP(XLOOKUP($Q626,'Threshold Summary'!$Y:$Y,'Threshold Summary'!$K:$K,""),'Pokemon Editor'!$A:$A,'Pokemon Editor'!$C:$C,""),mtype=XLOOKUP(XLOOKUP($Q626,'Threshold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Chart'!$B$1:$S$1,0)))),base,IF(OR(cat="Status",pow=0),0,FLOOR(FLOOR(FLOOR((2*XLOOKUP($Q626,'Threshold Summary'!$Y:$Y,'Threshold Summary'!$L:$L,"")/5+2)*pow*atk/def)/50)+2)),modifier,stab*eff,AVERAGE(ARRAYFORMULA(FLOOR(base*modifier*SEQUENCE(16,1,85,1)/100)))/(FLOOR(((2*XLOOKUP('Boss Editor'!$C$4,'Pokemon Editor'!$A:$A,'Pokemon Editor'!$E:$E,0)+31+FLOOR('Boss Editor'!$G$4/4))*'Boss Editor'!$D$4)/100)+'Boss Editor'!$D$4+10)),0)</f>
        <v/>
      </c>
      <c r="O626" s="3">
        <f>IF(N626&gt;=1,"OHKO",IF(N626&gt;=0.5,"2HKO",IF(N626&gt;=0.333,"3HKO",IF(N626&gt;=0.25,"4HKO","5HKO+"))))</f>
        <v/>
      </c>
      <c r="P626" s="3" t="inlineStr">
        <is>
          <t>Live from editable databases</t>
        </is>
      </c>
      <c r="Q626" s="3" t="inlineStr">
        <is>
          <t>SPECIES_LITLEO</t>
        </is>
      </c>
      <c r="R626" s="3" t="n">
        <v>17</v>
      </c>
    </row>
    <row r="627">
      <c r="A627" s="3">
        <f>XLOOKUP($Q627,'Threshold Summary'!$Y:$Y,'Threshold Summary'!$A:$A,"")</f>
        <v/>
      </c>
      <c r="B627" s="3">
        <f>XLOOKUP($Q627,'Threshold Summary'!$Y:$Y,'Threshold Summary'!$M:$M,"")</f>
        <v/>
      </c>
      <c r="C627" s="3">
        <f>XLOOKUP($Q627,'Threshold Summary'!$Y:$Y,'Threshold Summary'!$N:$N,"")</f>
        <v/>
      </c>
      <c r="D627" s="3">
        <f>IFERROR(INDEX(FILTER('Learnset Editor'!$D$2:$D,'Learnset Editor'!$A$2:$A=XLOOKUP($Q627,'Threshold Summary'!$Y:$Y,'Threshold Summary'!$K:$K,""),'Learnset Editor'!$C$2:$C&lt;=XLOOKUP($Q627,'Threshold Summary'!$Y:$Y,'Threshold Summary'!$L:$L,"")),$R627),"")</f>
        <v/>
      </c>
      <c r="E627" s="3">
        <f>XLOOKUP(D627,'Move Editor'!$B:$B,'Move Editor'!$C:$C,"")</f>
        <v/>
      </c>
      <c r="F627" s="3">
        <f>XLOOKUP(D627,'Move Editor'!$B:$B,'Move Editor'!$D:$D,"")</f>
        <v/>
      </c>
      <c r="G627" s="3">
        <f>XLOOKUP(D627,'Move Editor'!$B:$B,'Move Editor'!$E:$E,0)</f>
        <v/>
      </c>
      <c r="H627" s="3">
        <f>XLOOKUP(D627,'Move Editor'!$B:$B,'Move Editor'!$F:$F,0)</f>
        <v/>
      </c>
      <c r="I627" s="3">
        <f>(INDEX('Type Chart'!$B:$S,MATCH(E627,'Type Chart'!$A:$A,0),MATCH(XLOOKUP('Boss Editor'!$C$4,'Pokemon Editor'!$A:$A,'Pokemon Editor'!$C:$C,""),'Type Chart'!$B$1:$S$1,0))*IF(XLOOKUP('Boss Editor'!$C$4,'Pokemon Editor'!$A:$A,'Pokemon Editor'!$D:$D,"")="",1,INDEX('Type Chart'!$B:$S,MATCH(E627,'Type Chart'!$A:$A,0),MATCH(XLOOKUP('Boss Editor'!$C$4,'Pokemon Editor'!$A:$A,'Pokemon Editor'!$D:$D,""),'Type Chart'!$B$1:$S$1,0))))</f>
        <v/>
      </c>
      <c r="J627" s="3">
        <f>IFERROR(LET(mtype,XLOOKUP($D627,'Move Editor'!$B:$B,'Move Editor'!$C:$C,""),cat,XLOOKUP($D627,'Move Editor'!$B:$B,'Move Editor'!$D:$D,""),pow,XLOOKUP($D627,'Move Editor'!$B:$B,'Move Editor'!$E:$E,0),acc,XLOOKUP($D627,'Move Editor'!$B:$B,'Move Editor'!$F:$F,100),atk,IF(cat="Physical",FLOOR((FLOOR(((2*XLOOKUP(XLOOKUP($Q627,'Threshold Summary'!$Y:$Y,'Threshold Summary'!$K:$K,""),'Pokemon Editor'!$A:$A,'Pokemon Editor'!$F:$F,0)+31+FLOOR(XLOOKUP($Q627,'Threshold Summary'!$Y:$Y,'Threshold Summary'!$P:$P,"")/4))*XLOOKUP($Q627,'Threshold Summary'!$Y:$Y,'Threshold Summary'!$L:$L,""))/100)+5)*XLOOKUP(XLOOKUP($Q627,'Threshold Summary'!$Y:$Y,'Threshold Summary'!$M:$M,""),'Nature Editor'!$A:$A,'Nature Editor'!$B:$B,1)),FLOOR((FLOOR(((2*XLOOKUP(XLOOKUP($Q627,'Threshold Summary'!$Y:$Y,'Threshold Summary'!$K:$K,""),'Pokemon Editor'!$A:$A,'Pokemon Editor'!$H:$H,0)+31+FLOOR(XLOOKUP($Q627,'Threshold Summary'!$Y:$Y,'Threshold Summary'!$R:$R,"")/4))*XLOOKUP($Q627,'Threshold Summary'!$Y:$Y,'Threshold Summary'!$L:$L,""))/100)+5)*XLOOKUP(XLOOKUP($Q627,'Threshold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Editor'!$E:$E,1))),stab,IF(OR(mtype=XLOOKUP(XLOOKUP($Q627,'Threshold Summary'!$Y:$Y,'Threshold Summary'!$K:$K,""),'Pokemon Editor'!$A:$A,'Pokemon Editor'!$C:$C,""),mtype=XLOOKUP(XLOOKUP($Q627,'Threshold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Chart'!$B$1:$S$1,0)))),base,IF(OR(cat="Status",pow=0),0,FLOOR(FLOOR(FLOOR((2*XLOOKUP($Q627,'Threshold Summary'!$Y:$Y,'Threshold Summary'!$L:$L,"")/5+2)*pow*atk/def)/50)+2)),modifier,stab*eff,FLOOR(base*modifier*0.85)),0)</f>
        <v/>
      </c>
      <c r="K627" s="3">
        <f>IFERROR(LET(mtype,XLOOKUP($D627,'Move Editor'!$B:$B,'Move Editor'!$C:$C,""),cat,XLOOKUP($D627,'Move Editor'!$B:$B,'Move Editor'!$D:$D,""),pow,XLOOKUP($D627,'Move Editor'!$B:$B,'Move Editor'!$E:$E,0),acc,XLOOKUP($D627,'Move Editor'!$B:$B,'Move Editor'!$F:$F,100),atk,IF(cat="Physical",FLOOR((FLOOR(((2*XLOOKUP(XLOOKUP($Q627,'Threshold Summary'!$Y:$Y,'Threshold Summary'!$K:$K,""),'Pokemon Editor'!$A:$A,'Pokemon Editor'!$F:$F,0)+31+FLOOR(XLOOKUP($Q627,'Threshold Summary'!$Y:$Y,'Threshold Summary'!$P:$P,"")/4))*XLOOKUP($Q627,'Threshold Summary'!$Y:$Y,'Threshold Summary'!$L:$L,""))/100)+5)*XLOOKUP(XLOOKUP($Q627,'Threshold Summary'!$Y:$Y,'Threshold Summary'!$M:$M,""),'Nature Editor'!$A:$A,'Nature Editor'!$B:$B,1)),FLOOR((FLOOR(((2*XLOOKUP(XLOOKUP($Q627,'Threshold Summary'!$Y:$Y,'Threshold Summary'!$K:$K,""),'Pokemon Editor'!$A:$A,'Pokemon Editor'!$H:$H,0)+31+FLOOR(XLOOKUP($Q627,'Threshold Summary'!$Y:$Y,'Threshold Summary'!$R:$R,"")/4))*XLOOKUP($Q627,'Threshold Summary'!$Y:$Y,'Threshold Summary'!$L:$L,""))/100)+5)*XLOOKUP(XLOOKUP($Q627,'Threshold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Editor'!$E:$E,1))),stab,IF(OR(mtype=XLOOKUP(XLOOKUP($Q627,'Threshold Summary'!$Y:$Y,'Threshold Summary'!$K:$K,""),'Pokemon Editor'!$A:$A,'Pokemon Editor'!$C:$C,""),mtype=XLOOKUP(XLOOKUP($Q627,'Threshold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Chart'!$B$1:$S$1,0)))),base,IF(OR(cat="Status",pow=0),0,FLOOR(FLOOR(FLOOR((2*XLOOKUP($Q627,'Threshold Summary'!$Y:$Y,'Threshold Summary'!$L:$L,"")/5+2)*pow*atk/def)/50)+2)),modifier,stab*eff,FLOOR(base*modifier)),0)</f>
        <v/>
      </c>
      <c r="L627" s="3">
        <f>IFERROR(LET(mtype,XLOOKUP($D627,'Move Editor'!$B:$B,'Move Editor'!$C:$C,""),cat,XLOOKUP($D627,'Move Editor'!$B:$B,'Move Editor'!$D:$D,""),pow,XLOOKUP($D627,'Move Editor'!$B:$B,'Move Editor'!$E:$E,0),acc,XLOOKUP($D627,'Move Editor'!$B:$B,'Move Editor'!$F:$F,100),atk,IF(cat="Physical",FLOOR((FLOOR(((2*XLOOKUP(XLOOKUP($Q627,'Threshold Summary'!$Y:$Y,'Threshold Summary'!$K:$K,""),'Pokemon Editor'!$A:$A,'Pokemon Editor'!$F:$F,0)+31+FLOOR(XLOOKUP($Q627,'Threshold Summary'!$Y:$Y,'Threshold Summary'!$P:$P,"")/4))*XLOOKUP($Q627,'Threshold Summary'!$Y:$Y,'Threshold Summary'!$L:$L,""))/100)+5)*XLOOKUP(XLOOKUP($Q627,'Threshold Summary'!$Y:$Y,'Threshold Summary'!$M:$M,""),'Nature Editor'!$A:$A,'Nature Editor'!$B:$B,1)),FLOOR((FLOOR(((2*XLOOKUP(XLOOKUP($Q627,'Threshold Summary'!$Y:$Y,'Threshold Summary'!$K:$K,""),'Pokemon Editor'!$A:$A,'Pokemon Editor'!$H:$H,0)+31+FLOOR(XLOOKUP($Q627,'Threshold Summary'!$Y:$Y,'Threshold Summary'!$R:$R,"")/4))*XLOOKUP($Q627,'Threshold Summary'!$Y:$Y,'Threshold Summary'!$L:$L,""))/100)+5)*XLOOKUP(XLOOKUP($Q627,'Threshold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Editor'!$E:$E,1))),stab,IF(OR(mtype=XLOOKUP(XLOOKUP($Q627,'Threshold Summary'!$Y:$Y,'Threshold Summary'!$K:$K,""),'Pokemon Editor'!$A:$A,'Pokemon Editor'!$C:$C,""),mtype=XLOOKUP(XLOOKUP($Q627,'Threshold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Chart'!$B$1:$S$1,0)))),base,IF(OR(cat="Status",pow=0),0,FLOOR(FLOOR(FLOOR((2*XLOOKUP($Q627,'Threshold Summary'!$Y:$Y,'Threshold Summary'!$L:$L,"")/5+2)*pow*atk/def)/50)+2)),modifier,stab*eff,AVERAGE(ARRAYFORMULA(FLOOR(base*modifier*SEQUENCE(16,1,85,1)/100)))),0)</f>
        <v/>
      </c>
      <c r="M627" s="3">
        <f>IFERROR(LET(mtype,XLOOKUP($D627,'Move Editor'!$B:$B,'Move Editor'!$C:$C,""),cat,XLOOKUP($D627,'Move Editor'!$B:$B,'Move Editor'!$D:$D,""),pow,XLOOKUP($D627,'Move Editor'!$B:$B,'Move Editor'!$E:$E,0),acc,XLOOKUP($D627,'Move Editor'!$B:$B,'Move Editor'!$F:$F,100),atk,IF(cat="Physical",FLOOR((FLOOR(((2*XLOOKUP(XLOOKUP($Q627,'Threshold Summary'!$Y:$Y,'Threshold Summary'!$K:$K,""),'Pokemon Editor'!$A:$A,'Pokemon Editor'!$F:$F,0)+31+FLOOR(XLOOKUP($Q627,'Threshold Summary'!$Y:$Y,'Threshold Summary'!$P:$P,"")/4))*XLOOKUP($Q627,'Threshold Summary'!$Y:$Y,'Threshold Summary'!$L:$L,""))/100)+5)*XLOOKUP(XLOOKUP($Q627,'Threshold Summary'!$Y:$Y,'Threshold Summary'!$M:$M,""),'Nature Editor'!$A:$A,'Nature Editor'!$B:$B,1)),FLOOR((FLOOR(((2*XLOOKUP(XLOOKUP($Q627,'Threshold Summary'!$Y:$Y,'Threshold Summary'!$K:$K,""),'Pokemon Editor'!$A:$A,'Pokemon Editor'!$H:$H,0)+31+FLOOR(XLOOKUP($Q627,'Threshold Summary'!$Y:$Y,'Threshold Summary'!$R:$R,"")/4))*XLOOKUP($Q627,'Threshold Summary'!$Y:$Y,'Threshold Summary'!$L:$L,""))/100)+5)*XLOOKUP(XLOOKUP($Q627,'Threshold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Editor'!$E:$E,1))),stab,IF(OR(mtype=XLOOKUP(XLOOKUP($Q627,'Threshold Summary'!$Y:$Y,'Threshold Summary'!$K:$K,""),'Pokemon Editor'!$A:$A,'Pokemon Editor'!$C:$C,""),mtype=XLOOKUP(XLOOKUP($Q627,'Threshold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Chart'!$B$1:$S$1,0)))),base,IF(OR(cat="Status",pow=0),0,FLOOR(FLOOR(FLOOR((2*XLOOKUP($Q627,'Threshold Summary'!$Y:$Y,'Threshold Summary'!$L:$L,"")/5+2)*pow*atk/def)/50)+2)),modifier,stab*eff,AVERAGE(ARRAYFORMULA(FLOOR(base*modifier*SEQUENCE(16,1,85,1)/100)))*MIN(1,acc/100)),0)</f>
        <v/>
      </c>
      <c r="N627" s="4">
        <f>IFERROR(LET(mtype,XLOOKUP($D627,'Move Editor'!$B:$B,'Move Editor'!$C:$C,""),cat,XLOOKUP($D627,'Move Editor'!$B:$B,'Move Editor'!$D:$D,""),pow,XLOOKUP($D627,'Move Editor'!$B:$B,'Move Editor'!$E:$E,0),acc,XLOOKUP($D627,'Move Editor'!$B:$B,'Move Editor'!$F:$F,100),atk,IF(cat="Physical",FLOOR((FLOOR(((2*XLOOKUP(XLOOKUP($Q627,'Threshold Summary'!$Y:$Y,'Threshold Summary'!$K:$K,""),'Pokemon Editor'!$A:$A,'Pokemon Editor'!$F:$F,0)+31+FLOOR(XLOOKUP($Q627,'Threshold Summary'!$Y:$Y,'Threshold Summary'!$P:$P,"")/4))*XLOOKUP($Q627,'Threshold Summary'!$Y:$Y,'Threshold Summary'!$L:$L,""))/100)+5)*XLOOKUP(XLOOKUP($Q627,'Threshold Summary'!$Y:$Y,'Threshold Summary'!$M:$M,""),'Nature Editor'!$A:$A,'Nature Editor'!$B:$B,1)),FLOOR((FLOOR(((2*XLOOKUP(XLOOKUP($Q627,'Threshold Summary'!$Y:$Y,'Threshold Summary'!$K:$K,""),'Pokemon Editor'!$A:$A,'Pokemon Editor'!$H:$H,0)+31+FLOOR(XLOOKUP($Q627,'Threshold Summary'!$Y:$Y,'Threshold Summary'!$R:$R,"")/4))*XLOOKUP($Q627,'Threshold Summary'!$Y:$Y,'Threshold Summary'!$L:$L,""))/100)+5)*XLOOKUP(XLOOKUP($Q627,'Threshold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Editor'!$E:$E,1))),stab,IF(OR(mtype=XLOOKUP(XLOOKUP($Q627,'Threshold Summary'!$Y:$Y,'Threshold Summary'!$K:$K,""),'Pokemon Editor'!$A:$A,'Pokemon Editor'!$C:$C,""),mtype=XLOOKUP(XLOOKUP($Q627,'Threshold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Chart'!$B$1:$S$1,0)))),base,IF(OR(cat="Status",pow=0),0,FLOOR(FLOOR(FLOOR((2*XLOOKUP($Q627,'Threshold Summary'!$Y:$Y,'Threshold Summary'!$L:$L,"")/5+2)*pow*atk/def)/50)+2)),modifier,stab*eff,AVERAGE(ARRAYFORMULA(FLOOR(base*modifier*SEQUENCE(16,1,85,1)/100)))/(FLOOR(((2*XLOOKUP('Boss Editor'!$C$4,'Pokemon Editor'!$A:$A,'Pokemon Editor'!$E:$E,0)+31+FLOOR('Boss Editor'!$G$4/4))*'Boss Editor'!$D$4)/100)+'Boss Editor'!$D$4+10)),0)</f>
        <v/>
      </c>
      <c r="O627" s="3">
        <f>IF(N627&gt;=1,"OHKO",IF(N627&gt;=0.5,"2HKO",IF(N627&gt;=0.333,"3HKO",IF(N627&gt;=0.25,"4HKO","5HKO+"))))</f>
        <v/>
      </c>
      <c r="P627" s="3" t="inlineStr">
        <is>
          <t>Live from editable databases</t>
        </is>
      </c>
      <c r="Q627" s="3" t="inlineStr">
        <is>
          <t>SPECIES_LITLEO</t>
        </is>
      </c>
      <c r="R627" s="3" t="n">
        <v>18</v>
      </c>
    </row>
    <row r="628">
      <c r="A628" s="3">
        <f>XLOOKUP($Q628,'Threshold Summary'!$Y:$Y,'Threshold Summary'!$A:$A,"")</f>
        <v/>
      </c>
      <c r="B628" s="3">
        <f>XLOOKUP($Q628,'Threshold Summary'!$Y:$Y,'Threshold Summary'!$M:$M,"")</f>
        <v/>
      </c>
      <c r="C628" s="3">
        <f>XLOOKUP($Q628,'Threshold Summary'!$Y:$Y,'Threshold Summary'!$N:$N,"")</f>
        <v/>
      </c>
      <c r="D628" s="3">
        <f>IFERROR(INDEX(FILTER('Learnset Editor'!$D$2:$D,'Learnset Editor'!$A$2:$A=XLOOKUP($Q628,'Threshold Summary'!$Y:$Y,'Threshold Summary'!$K:$K,""),'Learnset Editor'!$C$2:$C&lt;=XLOOKUP($Q628,'Threshold Summary'!$Y:$Y,'Threshold Summary'!$L:$L,"")),$R628),"")</f>
        <v/>
      </c>
      <c r="E628" s="3">
        <f>XLOOKUP(D628,'Move Editor'!$B:$B,'Move Editor'!$C:$C,"")</f>
        <v/>
      </c>
      <c r="F628" s="3">
        <f>XLOOKUP(D628,'Move Editor'!$B:$B,'Move Editor'!$D:$D,"")</f>
        <v/>
      </c>
      <c r="G628" s="3">
        <f>XLOOKUP(D628,'Move Editor'!$B:$B,'Move Editor'!$E:$E,0)</f>
        <v/>
      </c>
      <c r="H628" s="3">
        <f>XLOOKUP(D628,'Move Editor'!$B:$B,'Move Editor'!$F:$F,0)</f>
        <v/>
      </c>
      <c r="I628" s="3">
        <f>(INDEX('Type Chart'!$B:$S,MATCH(E628,'Type Chart'!$A:$A,0),MATCH(XLOOKUP('Boss Editor'!$C$4,'Pokemon Editor'!$A:$A,'Pokemon Editor'!$C:$C,""),'Type Chart'!$B$1:$S$1,0))*IF(XLOOKUP('Boss Editor'!$C$4,'Pokemon Editor'!$A:$A,'Pokemon Editor'!$D:$D,"")="",1,INDEX('Type Chart'!$B:$S,MATCH(E628,'Type Chart'!$A:$A,0),MATCH(XLOOKUP('Boss Editor'!$C$4,'Pokemon Editor'!$A:$A,'Pokemon Editor'!$D:$D,""),'Type Chart'!$B$1:$S$1,0))))</f>
        <v/>
      </c>
      <c r="J628" s="3">
        <f>IFERROR(LET(mtype,XLOOKUP($D628,'Move Editor'!$B:$B,'Move Editor'!$C:$C,""),cat,XLOOKUP($D628,'Move Editor'!$B:$B,'Move Editor'!$D:$D,""),pow,XLOOKUP($D628,'Move Editor'!$B:$B,'Move Editor'!$E:$E,0),acc,XLOOKUP($D628,'Move Editor'!$B:$B,'Move Editor'!$F:$F,100),atk,IF(cat="Physical",FLOOR((FLOOR(((2*XLOOKUP(XLOOKUP($Q628,'Threshold Summary'!$Y:$Y,'Threshold Summary'!$K:$K,""),'Pokemon Editor'!$A:$A,'Pokemon Editor'!$F:$F,0)+31+FLOOR(XLOOKUP($Q628,'Threshold Summary'!$Y:$Y,'Threshold Summary'!$P:$P,"")/4))*XLOOKUP($Q628,'Threshold Summary'!$Y:$Y,'Threshold Summary'!$L:$L,""))/100)+5)*XLOOKUP(XLOOKUP($Q628,'Threshold Summary'!$Y:$Y,'Threshold Summary'!$M:$M,""),'Nature Editor'!$A:$A,'Nature Editor'!$B:$B,1)),FLOOR((FLOOR(((2*XLOOKUP(XLOOKUP($Q628,'Threshold Summary'!$Y:$Y,'Threshold Summary'!$K:$K,""),'Pokemon Editor'!$A:$A,'Pokemon Editor'!$H:$H,0)+31+FLOOR(XLOOKUP($Q628,'Threshold Summary'!$Y:$Y,'Threshold Summary'!$R:$R,"")/4))*XLOOKUP($Q628,'Threshold Summary'!$Y:$Y,'Threshold Summary'!$L:$L,""))/100)+5)*XLOOKUP(XLOOKUP($Q628,'Threshold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Editor'!$E:$E,1))),stab,IF(OR(mtype=XLOOKUP(XLOOKUP($Q628,'Threshold Summary'!$Y:$Y,'Threshold Summary'!$K:$K,""),'Pokemon Editor'!$A:$A,'Pokemon Editor'!$C:$C,""),mtype=XLOOKUP(XLOOKUP($Q628,'Threshold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Chart'!$B$1:$S$1,0)))),base,IF(OR(cat="Status",pow=0),0,FLOOR(FLOOR(FLOOR((2*XLOOKUP($Q628,'Threshold Summary'!$Y:$Y,'Threshold Summary'!$L:$L,"")/5+2)*pow*atk/def)/50)+2)),modifier,stab*eff,FLOOR(base*modifier*0.85)),0)</f>
        <v/>
      </c>
      <c r="K628" s="3">
        <f>IFERROR(LET(mtype,XLOOKUP($D628,'Move Editor'!$B:$B,'Move Editor'!$C:$C,""),cat,XLOOKUP($D628,'Move Editor'!$B:$B,'Move Editor'!$D:$D,""),pow,XLOOKUP($D628,'Move Editor'!$B:$B,'Move Editor'!$E:$E,0),acc,XLOOKUP($D628,'Move Editor'!$B:$B,'Move Editor'!$F:$F,100),atk,IF(cat="Physical",FLOOR((FLOOR(((2*XLOOKUP(XLOOKUP($Q628,'Threshold Summary'!$Y:$Y,'Threshold Summary'!$K:$K,""),'Pokemon Editor'!$A:$A,'Pokemon Editor'!$F:$F,0)+31+FLOOR(XLOOKUP($Q628,'Threshold Summary'!$Y:$Y,'Threshold Summary'!$P:$P,"")/4))*XLOOKUP($Q628,'Threshold Summary'!$Y:$Y,'Threshold Summary'!$L:$L,""))/100)+5)*XLOOKUP(XLOOKUP($Q628,'Threshold Summary'!$Y:$Y,'Threshold Summary'!$M:$M,""),'Nature Editor'!$A:$A,'Nature Editor'!$B:$B,1)),FLOOR((FLOOR(((2*XLOOKUP(XLOOKUP($Q628,'Threshold Summary'!$Y:$Y,'Threshold Summary'!$K:$K,""),'Pokemon Editor'!$A:$A,'Pokemon Editor'!$H:$H,0)+31+FLOOR(XLOOKUP($Q628,'Threshold Summary'!$Y:$Y,'Threshold Summary'!$R:$R,"")/4))*XLOOKUP($Q628,'Threshold Summary'!$Y:$Y,'Threshold Summary'!$L:$L,""))/100)+5)*XLOOKUP(XLOOKUP($Q628,'Threshold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Editor'!$E:$E,1))),stab,IF(OR(mtype=XLOOKUP(XLOOKUP($Q628,'Threshold Summary'!$Y:$Y,'Threshold Summary'!$K:$K,""),'Pokemon Editor'!$A:$A,'Pokemon Editor'!$C:$C,""),mtype=XLOOKUP(XLOOKUP($Q628,'Threshold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Chart'!$B$1:$S$1,0)))),base,IF(OR(cat="Status",pow=0),0,FLOOR(FLOOR(FLOOR((2*XLOOKUP($Q628,'Threshold Summary'!$Y:$Y,'Threshold Summary'!$L:$L,"")/5+2)*pow*atk/def)/50)+2)),modifier,stab*eff,FLOOR(base*modifier)),0)</f>
        <v/>
      </c>
      <c r="L628" s="3">
        <f>IFERROR(LET(mtype,XLOOKUP($D628,'Move Editor'!$B:$B,'Move Editor'!$C:$C,""),cat,XLOOKUP($D628,'Move Editor'!$B:$B,'Move Editor'!$D:$D,""),pow,XLOOKUP($D628,'Move Editor'!$B:$B,'Move Editor'!$E:$E,0),acc,XLOOKUP($D628,'Move Editor'!$B:$B,'Move Editor'!$F:$F,100),atk,IF(cat="Physical",FLOOR((FLOOR(((2*XLOOKUP(XLOOKUP($Q628,'Threshold Summary'!$Y:$Y,'Threshold Summary'!$K:$K,""),'Pokemon Editor'!$A:$A,'Pokemon Editor'!$F:$F,0)+31+FLOOR(XLOOKUP($Q628,'Threshold Summary'!$Y:$Y,'Threshold Summary'!$P:$P,"")/4))*XLOOKUP($Q628,'Threshold Summary'!$Y:$Y,'Threshold Summary'!$L:$L,""))/100)+5)*XLOOKUP(XLOOKUP($Q628,'Threshold Summary'!$Y:$Y,'Threshold Summary'!$M:$M,""),'Nature Editor'!$A:$A,'Nature Editor'!$B:$B,1)),FLOOR((FLOOR(((2*XLOOKUP(XLOOKUP($Q628,'Threshold Summary'!$Y:$Y,'Threshold Summary'!$K:$K,""),'Pokemon Editor'!$A:$A,'Pokemon Editor'!$H:$H,0)+31+FLOOR(XLOOKUP($Q628,'Threshold Summary'!$Y:$Y,'Threshold Summary'!$R:$R,"")/4))*XLOOKUP($Q628,'Threshold Summary'!$Y:$Y,'Threshold Summary'!$L:$L,""))/100)+5)*XLOOKUP(XLOOKUP($Q628,'Threshold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Editor'!$E:$E,1))),stab,IF(OR(mtype=XLOOKUP(XLOOKUP($Q628,'Threshold Summary'!$Y:$Y,'Threshold Summary'!$K:$K,""),'Pokemon Editor'!$A:$A,'Pokemon Editor'!$C:$C,""),mtype=XLOOKUP(XLOOKUP($Q628,'Threshold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Chart'!$B$1:$S$1,0)))),base,IF(OR(cat="Status",pow=0),0,FLOOR(FLOOR(FLOOR((2*XLOOKUP($Q628,'Threshold Summary'!$Y:$Y,'Threshold Summary'!$L:$L,"")/5+2)*pow*atk/def)/50)+2)),modifier,stab*eff,AVERAGE(ARRAYFORMULA(FLOOR(base*modifier*SEQUENCE(16,1,85,1)/100)))),0)</f>
        <v/>
      </c>
      <c r="M628" s="3">
        <f>IFERROR(LET(mtype,XLOOKUP($D628,'Move Editor'!$B:$B,'Move Editor'!$C:$C,""),cat,XLOOKUP($D628,'Move Editor'!$B:$B,'Move Editor'!$D:$D,""),pow,XLOOKUP($D628,'Move Editor'!$B:$B,'Move Editor'!$E:$E,0),acc,XLOOKUP($D628,'Move Editor'!$B:$B,'Move Editor'!$F:$F,100),atk,IF(cat="Physical",FLOOR((FLOOR(((2*XLOOKUP(XLOOKUP($Q628,'Threshold Summary'!$Y:$Y,'Threshold Summary'!$K:$K,""),'Pokemon Editor'!$A:$A,'Pokemon Editor'!$F:$F,0)+31+FLOOR(XLOOKUP($Q628,'Threshold Summary'!$Y:$Y,'Threshold Summary'!$P:$P,"")/4))*XLOOKUP($Q628,'Threshold Summary'!$Y:$Y,'Threshold Summary'!$L:$L,""))/100)+5)*XLOOKUP(XLOOKUP($Q628,'Threshold Summary'!$Y:$Y,'Threshold Summary'!$M:$M,""),'Nature Editor'!$A:$A,'Nature Editor'!$B:$B,1)),FLOOR((FLOOR(((2*XLOOKUP(XLOOKUP($Q628,'Threshold Summary'!$Y:$Y,'Threshold Summary'!$K:$K,""),'Pokemon Editor'!$A:$A,'Pokemon Editor'!$H:$H,0)+31+FLOOR(XLOOKUP($Q628,'Threshold Summary'!$Y:$Y,'Threshold Summary'!$R:$R,"")/4))*XLOOKUP($Q628,'Threshold Summary'!$Y:$Y,'Threshold Summary'!$L:$L,""))/100)+5)*XLOOKUP(XLOOKUP($Q628,'Threshold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Editor'!$E:$E,1))),stab,IF(OR(mtype=XLOOKUP(XLOOKUP($Q628,'Threshold Summary'!$Y:$Y,'Threshold Summary'!$K:$K,""),'Pokemon Editor'!$A:$A,'Pokemon Editor'!$C:$C,""),mtype=XLOOKUP(XLOOKUP($Q628,'Threshold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Chart'!$B$1:$S$1,0)))),base,IF(OR(cat="Status",pow=0),0,FLOOR(FLOOR(FLOOR((2*XLOOKUP($Q628,'Threshold Summary'!$Y:$Y,'Threshold Summary'!$L:$L,"")/5+2)*pow*atk/def)/50)+2)),modifier,stab*eff,AVERAGE(ARRAYFORMULA(FLOOR(base*modifier*SEQUENCE(16,1,85,1)/100)))*MIN(1,acc/100)),0)</f>
        <v/>
      </c>
      <c r="N628" s="4">
        <f>IFERROR(LET(mtype,XLOOKUP($D628,'Move Editor'!$B:$B,'Move Editor'!$C:$C,""),cat,XLOOKUP($D628,'Move Editor'!$B:$B,'Move Editor'!$D:$D,""),pow,XLOOKUP($D628,'Move Editor'!$B:$B,'Move Editor'!$E:$E,0),acc,XLOOKUP($D628,'Move Editor'!$B:$B,'Move Editor'!$F:$F,100),atk,IF(cat="Physical",FLOOR((FLOOR(((2*XLOOKUP(XLOOKUP($Q628,'Threshold Summary'!$Y:$Y,'Threshold Summary'!$K:$K,""),'Pokemon Editor'!$A:$A,'Pokemon Editor'!$F:$F,0)+31+FLOOR(XLOOKUP($Q628,'Threshold Summary'!$Y:$Y,'Threshold Summary'!$P:$P,"")/4))*XLOOKUP($Q628,'Threshold Summary'!$Y:$Y,'Threshold Summary'!$L:$L,""))/100)+5)*XLOOKUP(XLOOKUP($Q628,'Threshold Summary'!$Y:$Y,'Threshold Summary'!$M:$M,""),'Nature Editor'!$A:$A,'Nature Editor'!$B:$B,1)),FLOOR((FLOOR(((2*XLOOKUP(XLOOKUP($Q628,'Threshold Summary'!$Y:$Y,'Threshold Summary'!$K:$K,""),'Pokemon Editor'!$A:$A,'Pokemon Editor'!$H:$H,0)+31+FLOOR(XLOOKUP($Q628,'Threshold Summary'!$Y:$Y,'Threshold Summary'!$R:$R,"")/4))*XLOOKUP($Q628,'Threshold Summary'!$Y:$Y,'Threshold Summary'!$L:$L,""))/100)+5)*XLOOKUP(XLOOKUP($Q628,'Threshold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Editor'!$E:$E,1))),stab,IF(OR(mtype=XLOOKUP(XLOOKUP($Q628,'Threshold Summary'!$Y:$Y,'Threshold Summary'!$K:$K,""),'Pokemon Editor'!$A:$A,'Pokemon Editor'!$C:$C,""),mtype=XLOOKUP(XLOOKUP($Q628,'Threshold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Chart'!$B$1:$S$1,0)))),base,IF(OR(cat="Status",pow=0),0,FLOOR(FLOOR(FLOOR((2*XLOOKUP($Q628,'Threshold Summary'!$Y:$Y,'Threshold Summary'!$L:$L,"")/5+2)*pow*atk/def)/50)+2)),modifier,stab*eff,AVERAGE(ARRAYFORMULA(FLOOR(base*modifier*SEQUENCE(16,1,85,1)/100)))/(FLOOR(((2*XLOOKUP('Boss Editor'!$C$4,'Pokemon Editor'!$A:$A,'Pokemon Editor'!$E:$E,0)+31+FLOOR('Boss Editor'!$G$4/4))*'Boss Editor'!$D$4)/100)+'Boss Editor'!$D$4+10)),0)</f>
        <v/>
      </c>
      <c r="O628" s="3">
        <f>IF(N628&gt;=1,"OHKO",IF(N628&gt;=0.5,"2HKO",IF(N628&gt;=0.333,"3HKO",IF(N628&gt;=0.25,"4HKO","5HKO+"))))</f>
        <v/>
      </c>
      <c r="P628" s="3" t="inlineStr">
        <is>
          <t>Live from editable databases</t>
        </is>
      </c>
      <c r="Q628" s="3" t="inlineStr">
        <is>
          <t>SPECIES_LITLEO</t>
        </is>
      </c>
      <c r="R628" s="3" t="n">
        <v>19</v>
      </c>
    </row>
    <row r="629">
      <c r="A629" s="3">
        <f>XLOOKUP($Q629,'Threshold Summary'!$Y:$Y,'Threshold Summary'!$A:$A,"")</f>
        <v/>
      </c>
      <c r="B629" s="3">
        <f>XLOOKUP($Q629,'Threshold Summary'!$Y:$Y,'Threshold Summary'!$M:$M,"")</f>
        <v/>
      </c>
      <c r="C629" s="3">
        <f>XLOOKUP($Q629,'Threshold Summary'!$Y:$Y,'Threshold Summary'!$N:$N,"")</f>
        <v/>
      </c>
      <c r="D629" s="3">
        <f>IFERROR(INDEX(FILTER('Learnset Editor'!$D$2:$D,'Learnset Editor'!$A$2:$A=XLOOKUP($Q629,'Threshold Summary'!$Y:$Y,'Threshold Summary'!$K:$K,""),'Learnset Editor'!$C$2:$C&lt;=XLOOKUP($Q629,'Threshold Summary'!$Y:$Y,'Threshold Summary'!$L:$L,"")),$R629),"")</f>
        <v/>
      </c>
      <c r="E629" s="3">
        <f>XLOOKUP(D629,'Move Editor'!$B:$B,'Move Editor'!$C:$C,"")</f>
        <v/>
      </c>
      <c r="F629" s="3">
        <f>XLOOKUP(D629,'Move Editor'!$B:$B,'Move Editor'!$D:$D,"")</f>
        <v/>
      </c>
      <c r="G629" s="3">
        <f>XLOOKUP(D629,'Move Editor'!$B:$B,'Move Editor'!$E:$E,0)</f>
        <v/>
      </c>
      <c r="H629" s="3">
        <f>XLOOKUP(D629,'Move Editor'!$B:$B,'Move Editor'!$F:$F,0)</f>
        <v/>
      </c>
      <c r="I629" s="3">
        <f>(INDEX('Type Chart'!$B:$S,MATCH(E629,'Type Chart'!$A:$A,0),MATCH(XLOOKUP('Boss Editor'!$C$4,'Pokemon Editor'!$A:$A,'Pokemon Editor'!$C:$C,""),'Type Chart'!$B$1:$S$1,0))*IF(XLOOKUP('Boss Editor'!$C$4,'Pokemon Editor'!$A:$A,'Pokemon Editor'!$D:$D,"")="",1,INDEX('Type Chart'!$B:$S,MATCH(E629,'Type Chart'!$A:$A,0),MATCH(XLOOKUP('Boss Editor'!$C$4,'Pokemon Editor'!$A:$A,'Pokemon Editor'!$D:$D,""),'Type Chart'!$B$1:$S$1,0))))</f>
        <v/>
      </c>
      <c r="J629" s="3">
        <f>IFERROR(LET(mtype,XLOOKUP($D629,'Move Editor'!$B:$B,'Move Editor'!$C:$C,""),cat,XLOOKUP($D629,'Move Editor'!$B:$B,'Move Editor'!$D:$D,""),pow,XLOOKUP($D629,'Move Editor'!$B:$B,'Move Editor'!$E:$E,0),acc,XLOOKUP($D629,'Move Editor'!$B:$B,'Move Editor'!$F:$F,100),atk,IF(cat="Physical",FLOOR((FLOOR(((2*XLOOKUP(XLOOKUP($Q629,'Threshold Summary'!$Y:$Y,'Threshold Summary'!$K:$K,""),'Pokemon Editor'!$A:$A,'Pokemon Editor'!$F:$F,0)+31+FLOOR(XLOOKUP($Q629,'Threshold Summary'!$Y:$Y,'Threshold Summary'!$P:$P,"")/4))*XLOOKUP($Q629,'Threshold Summary'!$Y:$Y,'Threshold Summary'!$L:$L,""))/100)+5)*XLOOKUP(XLOOKUP($Q629,'Threshold Summary'!$Y:$Y,'Threshold Summary'!$M:$M,""),'Nature Editor'!$A:$A,'Nature Editor'!$B:$B,1)),FLOOR((FLOOR(((2*XLOOKUP(XLOOKUP($Q629,'Threshold Summary'!$Y:$Y,'Threshold Summary'!$K:$K,""),'Pokemon Editor'!$A:$A,'Pokemon Editor'!$H:$H,0)+31+FLOOR(XLOOKUP($Q629,'Threshold Summary'!$Y:$Y,'Threshold Summary'!$R:$R,"")/4))*XLOOKUP($Q629,'Threshold Summary'!$Y:$Y,'Threshold Summary'!$L:$L,""))/100)+5)*XLOOKUP(XLOOKUP($Q629,'Threshold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Editor'!$E:$E,1))),stab,IF(OR(mtype=XLOOKUP(XLOOKUP($Q629,'Threshold Summary'!$Y:$Y,'Threshold Summary'!$K:$K,""),'Pokemon Editor'!$A:$A,'Pokemon Editor'!$C:$C,""),mtype=XLOOKUP(XLOOKUP($Q629,'Threshold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Chart'!$B$1:$S$1,0)))),base,IF(OR(cat="Status",pow=0),0,FLOOR(FLOOR(FLOOR((2*XLOOKUP($Q629,'Threshold Summary'!$Y:$Y,'Threshold Summary'!$L:$L,"")/5+2)*pow*atk/def)/50)+2)),modifier,stab*eff,FLOOR(base*modifier*0.85)),0)</f>
        <v/>
      </c>
      <c r="K629" s="3">
        <f>IFERROR(LET(mtype,XLOOKUP($D629,'Move Editor'!$B:$B,'Move Editor'!$C:$C,""),cat,XLOOKUP($D629,'Move Editor'!$B:$B,'Move Editor'!$D:$D,""),pow,XLOOKUP($D629,'Move Editor'!$B:$B,'Move Editor'!$E:$E,0),acc,XLOOKUP($D629,'Move Editor'!$B:$B,'Move Editor'!$F:$F,100),atk,IF(cat="Physical",FLOOR((FLOOR(((2*XLOOKUP(XLOOKUP($Q629,'Threshold Summary'!$Y:$Y,'Threshold Summary'!$K:$K,""),'Pokemon Editor'!$A:$A,'Pokemon Editor'!$F:$F,0)+31+FLOOR(XLOOKUP($Q629,'Threshold Summary'!$Y:$Y,'Threshold Summary'!$P:$P,"")/4))*XLOOKUP($Q629,'Threshold Summary'!$Y:$Y,'Threshold Summary'!$L:$L,""))/100)+5)*XLOOKUP(XLOOKUP($Q629,'Threshold Summary'!$Y:$Y,'Threshold Summary'!$M:$M,""),'Nature Editor'!$A:$A,'Nature Editor'!$B:$B,1)),FLOOR((FLOOR(((2*XLOOKUP(XLOOKUP($Q629,'Threshold Summary'!$Y:$Y,'Threshold Summary'!$K:$K,""),'Pokemon Editor'!$A:$A,'Pokemon Editor'!$H:$H,0)+31+FLOOR(XLOOKUP($Q629,'Threshold Summary'!$Y:$Y,'Threshold Summary'!$R:$R,"")/4))*XLOOKUP($Q629,'Threshold Summary'!$Y:$Y,'Threshold Summary'!$L:$L,""))/100)+5)*XLOOKUP(XLOOKUP($Q629,'Threshold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Editor'!$E:$E,1))),stab,IF(OR(mtype=XLOOKUP(XLOOKUP($Q629,'Threshold Summary'!$Y:$Y,'Threshold Summary'!$K:$K,""),'Pokemon Editor'!$A:$A,'Pokemon Editor'!$C:$C,""),mtype=XLOOKUP(XLOOKUP($Q629,'Threshold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Chart'!$B$1:$S$1,0)))),base,IF(OR(cat="Status",pow=0),0,FLOOR(FLOOR(FLOOR((2*XLOOKUP($Q629,'Threshold Summary'!$Y:$Y,'Threshold Summary'!$L:$L,"")/5+2)*pow*atk/def)/50)+2)),modifier,stab*eff,FLOOR(base*modifier)),0)</f>
        <v/>
      </c>
      <c r="L629" s="3">
        <f>IFERROR(LET(mtype,XLOOKUP($D629,'Move Editor'!$B:$B,'Move Editor'!$C:$C,""),cat,XLOOKUP($D629,'Move Editor'!$B:$B,'Move Editor'!$D:$D,""),pow,XLOOKUP($D629,'Move Editor'!$B:$B,'Move Editor'!$E:$E,0),acc,XLOOKUP($D629,'Move Editor'!$B:$B,'Move Editor'!$F:$F,100),atk,IF(cat="Physical",FLOOR((FLOOR(((2*XLOOKUP(XLOOKUP($Q629,'Threshold Summary'!$Y:$Y,'Threshold Summary'!$K:$K,""),'Pokemon Editor'!$A:$A,'Pokemon Editor'!$F:$F,0)+31+FLOOR(XLOOKUP($Q629,'Threshold Summary'!$Y:$Y,'Threshold Summary'!$P:$P,"")/4))*XLOOKUP($Q629,'Threshold Summary'!$Y:$Y,'Threshold Summary'!$L:$L,""))/100)+5)*XLOOKUP(XLOOKUP($Q629,'Threshold Summary'!$Y:$Y,'Threshold Summary'!$M:$M,""),'Nature Editor'!$A:$A,'Nature Editor'!$B:$B,1)),FLOOR((FLOOR(((2*XLOOKUP(XLOOKUP($Q629,'Threshold Summary'!$Y:$Y,'Threshold Summary'!$K:$K,""),'Pokemon Editor'!$A:$A,'Pokemon Editor'!$H:$H,0)+31+FLOOR(XLOOKUP($Q629,'Threshold Summary'!$Y:$Y,'Threshold Summary'!$R:$R,"")/4))*XLOOKUP($Q629,'Threshold Summary'!$Y:$Y,'Threshold Summary'!$L:$L,""))/100)+5)*XLOOKUP(XLOOKUP($Q629,'Threshold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Editor'!$E:$E,1))),stab,IF(OR(mtype=XLOOKUP(XLOOKUP($Q629,'Threshold Summary'!$Y:$Y,'Threshold Summary'!$K:$K,""),'Pokemon Editor'!$A:$A,'Pokemon Editor'!$C:$C,""),mtype=XLOOKUP(XLOOKUP($Q629,'Threshold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Chart'!$B$1:$S$1,0)))),base,IF(OR(cat="Status",pow=0),0,FLOOR(FLOOR(FLOOR((2*XLOOKUP($Q629,'Threshold Summary'!$Y:$Y,'Threshold Summary'!$L:$L,"")/5+2)*pow*atk/def)/50)+2)),modifier,stab*eff,AVERAGE(ARRAYFORMULA(FLOOR(base*modifier*SEQUENCE(16,1,85,1)/100)))),0)</f>
        <v/>
      </c>
      <c r="M629" s="3">
        <f>IFERROR(LET(mtype,XLOOKUP($D629,'Move Editor'!$B:$B,'Move Editor'!$C:$C,""),cat,XLOOKUP($D629,'Move Editor'!$B:$B,'Move Editor'!$D:$D,""),pow,XLOOKUP($D629,'Move Editor'!$B:$B,'Move Editor'!$E:$E,0),acc,XLOOKUP($D629,'Move Editor'!$B:$B,'Move Editor'!$F:$F,100),atk,IF(cat="Physical",FLOOR((FLOOR(((2*XLOOKUP(XLOOKUP($Q629,'Threshold Summary'!$Y:$Y,'Threshold Summary'!$K:$K,""),'Pokemon Editor'!$A:$A,'Pokemon Editor'!$F:$F,0)+31+FLOOR(XLOOKUP($Q629,'Threshold Summary'!$Y:$Y,'Threshold Summary'!$P:$P,"")/4))*XLOOKUP($Q629,'Threshold Summary'!$Y:$Y,'Threshold Summary'!$L:$L,""))/100)+5)*XLOOKUP(XLOOKUP($Q629,'Threshold Summary'!$Y:$Y,'Threshold Summary'!$M:$M,""),'Nature Editor'!$A:$A,'Nature Editor'!$B:$B,1)),FLOOR((FLOOR(((2*XLOOKUP(XLOOKUP($Q629,'Threshold Summary'!$Y:$Y,'Threshold Summary'!$K:$K,""),'Pokemon Editor'!$A:$A,'Pokemon Editor'!$H:$H,0)+31+FLOOR(XLOOKUP($Q629,'Threshold Summary'!$Y:$Y,'Threshold Summary'!$R:$R,"")/4))*XLOOKUP($Q629,'Threshold Summary'!$Y:$Y,'Threshold Summary'!$L:$L,""))/100)+5)*XLOOKUP(XLOOKUP($Q629,'Threshold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Editor'!$E:$E,1))),stab,IF(OR(mtype=XLOOKUP(XLOOKUP($Q629,'Threshold Summary'!$Y:$Y,'Threshold Summary'!$K:$K,""),'Pokemon Editor'!$A:$A,'Pokemon Editor'!$C:$C,""),mtype=XLOOKUP(XLOOKUP($Q629,'Threshold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Chart'!$B$1:$S$1,0)))),base,IF(OR(cat="Status",pow=0),0,FLOOR(FLOOR(FLOOR((2*XLOOKUP($Q629,'Threshold Summary'!$Y:$Y,'Threshold Summary'!$L:$L,"")/5+2)*pow*atk/def)/50)+2)),modifier,stab*eff,AVERAGE(ARRAYFORMULA(FLOOR(base*modifier*SEQUENCE(16,1,85,1)/100)))*MIN(1,acc/100)),0)</f>
        <v/>
      </c>
      <c r="N629" s="4">
        <f>IFERROR(LET(mtype,XLOOKUP($D629,'Move Editor'!$B:$B,'Move Editor'!$C:$C,""),cat,XLOOKUP($D629,'Move Editor'!$B:$B,'Move Editor'!$D:$D,""),pow,XLOOKUP($D629,'Move Editor'!$B:$B,'Move Editor'!$E:$E,0),acc,XLOOKUP($D629,'Move Editor'!$B:$B,'Move Editor'!$F:$F,100),atk,IF(cat="Physical",FLOOR((FLOOR(((2*XLOOKUP(XLOOKUP($Q629,'Threshold Summary'!$Y:$Y,'Threshold Summary'!$K:$K,""),'Pokemon Editor'!$A:$A,'Pokemon Editor'!$F:$F,0)+31+FLOOR(XLOOKUP($Q629,'Threshold Summary'!$Y:$Y,'Threshold Summary'!$P:$P,"")/4))*XLOOKUP($Q629,'Threshold Summary'!$Y:$Y,'Threshold Summary'!$L:$L,""))/100)+5)*XLOOKUP(XLOOKUP($Q629,'Threshold Summary'!$Y:$Y,'Threshold Summary'!$M:$M,""),'Nature Editor'!$A:$A,'Nature Editor'!$B:$B,1)),FLOOR((FLOOR(((2*XLOOKUP(XLOOKUP($Q629,'Threshold Summary'!$Y:$Y,'Threshold Summary'!$K:$K,""),'Pokemon Editor'!$A:$A,'Pokemon Editor'!$H:$H,0)+31+FLOOR(XLOOKUP($Q629,'Threshold Summary'!$Y:$Y,'Threshold Summary'!$R:$R,"")/4))*XLOOKUP($Q629,'Threshold Summary'!$Y:$Y,'Threshold Summary'!$L:$L,""))/100)+5)*XLOOKUP(XLOOKUP($Q629,'Threshold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Editor'!$E:$E,1))),stab,IF(OR(mtype=XLOOKUP(XLOOKUP($Q629,'Threshold Summary'!$Y:$Y,'Threshold Summary'!$K:$K,""),'Pokemon Editor'!$A:$A,'Pokemon Editor'!$C:$C,""),mtype=XLOOKUP(XLOOKUP($Q629,'Threshold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Chart'!$B$1:$S$1,0)))),base,IF(OR(cat="Status",pow=0),0,FLOOR(FLOOR(FLOOR((2*XLOOKUP($Q629,'Threshold Summary'!$Y:$Y,'Threshold Summary'!$L:$L,"")/5+2)*pow*atk/def)/50)+2)),modifier,stab*eff,AVERAGE(ARRAYFORMULA(FLOOR(base*modifier*SEQUENCE(16,1,85,1)/100)))/(FLOOR(((2*XLOOKUP('Boss Editor'!$C$4,'Pokemon Editor'!$A:$A,'Pokemon Editor'!$E:$E,0)+31+FLOOR('Boss Editor'!$G$4/4))*'Boss Editor'!$D$4)/100)+'Boss Editor'!$D$4+10)),0)</f>
        <v/>
      </c>
      <c r="O629" s="3">
        <f>IF(N629&gt;=1,"OHKO",IF(N629&gt;=0.5,"2HKO",IF(N629&gt;=0.333,"3HKO",IF(N629&gt;=0.25,"4HKO","5HKO+"))))</f>
        <v/>
      </c>
      <c r="P629" s="3" t="inlineStr">
        <is>
          <t>Live from editable databases</t>
        </is>
      </c>
      <c r="Q629" s="3" t="inlineStr">
        <is>
          <t>SPECIES_LITLEO</t>
        </is>
      </c>
      <c r="R629" s="3" t="n">
        <v>20</v>
      </c>
    </row>
    <row r="630">
      <c r="A630" s="3">
        <f>XLOOKUP($Q630,'Threshold Summary'!$Y:$Y,'Threshold Summary'!$A:$A,"")</f>
        <v/>
      </c>
      <c r="B630" s="3">
        <f>XLOOKUP($Q630,'Threshold Summary'!$Y:$Y,'Threshold Summary'!$M:$M,"")</f>
        <v/>
      </c>
      <c r="C630" s="3">
        <f>XLOOKUP($Q630,'Threshold Summary'!$Y:$Y,'Threshold Summary'!$N:$N,"")</f>
        <v/>
      </c>
      <c r="D630" s="3">
        <f>IFERROR(INDEX(FILTER('Learnset Editor'!$D$2:$D,'Learnset Editor'!$A$2:$A=XLOOKUP($Q630,'Threshold Summary'!$Y:$Y,'Threshold Summary'!$K:$K,""),'Learnset Editor'!$C$2:$C&lt;=XLOOKUP($Q630,'Threshold Summary'!$Y:$Y,'Threshold Summary'!$L:$L,"")),$R630),"")</f>
        <v/>
      </c>
      <c r="E630" s="3">
        <f>XLOOKUP(D630,'Move Editor'!$B:$B,'Move Editor'!$C:$C,"")</f>
        <v/>
      </c>
      <c r="F630" s="3">
        <f>XLOOKUP(D630,'Move Editor'!$B:$B,'Move Editor'!$D:$D,"")</f>
        <v/>
      </c>
      <c r="G630" s="3">
        <f>XLOOKUP(D630,'Move Editor'!$B:$B,'Move Editor'!$E:$E,0)</f>
        <v/>
      </c>
      <c r="H630" s="3">
        <f>XLOOKUP(D630,'Move Editor'!$B:$B,'Move Editor'!$F:$F,0)</f>
        <v/>
      </c>
      <c r="I630" s="3">
        <f>(INDEX('Type Chart'!$B:$S,MATCH(E630,'Type Chart'!$A:$A,0),MATCH(XLOOKUP('Boss Editor'!$C$4,'Pokemon Editor'!$A:$A,'Pokemon Editor'!$C:$C,""),'Type Chart'!$B$1:$S$1,0))*IF(XLOOKUP('Boss Editor'!$C$4,'Pokemon Editor'!$A:$A,'Pokemon Editor'!$D:$D,"")="",1,INDEX('Type Chart'!$B:$S,MATCH(E630,'Type Chart'!$A:$A,0),MATCH(XLOOKUP('Boss Editor'!$C$4,'Pokemon Editor'!$A:$A,'Pokemon Editor'!$D:$D,""),'Type Chart'!$B$1:$S$1,0))))</f>
        <v/>
      </c>
      <c r="J630" s="3">
        <f>IFERROR(LET(mtype,XLOOKUP($D630,'Move Editor'!$B:$B,'Move Editor'!$C:$C,""),cat,XLOOKUP($D630,'Move Editor'!$B:$B,'Move Editor'!$D:$D,""),pow,XLOOKUP($D630,'Move Editor'!$B:$B,'Move Editor'!$E:$E,0),acc,XLOOKUP($D630,'Move Editor'!$B:$B,'Move Editor'!$F:$F,100),atk,IF(cat="Physical",FLOOR((FLOOR(((2*XLOOKUP(XLOOKUP($Q630,'Threshold Summary'!$Y:$Y,'Threshold Summary'!$K:$K,""),'Pokemon Editor'!$A:$A,'Pokemon Editor'!$F:$F,0)+31+FLOOR(XLOOKUP($Q630,'Threshold Summary'!$Y:$Y,'Threshold Summary'!$P:$P,"")/4))*XLOOKUP($Q630,'Threshold Summary'!$Y:$Y,'Threshold Summary'!$L:$L,""))/100)+5)*XLOOKUP(XLOOKUP($Q630,'Threshold Summary'!$Y:$Y,'Threshold Summary'!$M:$M,""),'Nature Editor'!$A:$A,'Nature Editor'!$B:$B,1)),FLOOR((FLOOR(((2*XLOOKUP(XLOOKUP($Q630,'Threshold Summary'!$Y:$Y,'Threshold Summary'!$K:$K,""),'Pokemon Editor'!$A:$A,'Pokemon Editor'!$H:$H,0)+31+FLOOR(XLOOKUP($Q630,'Threshold Summary'!$Y:$Y,'Threshold Summary'!$R:$R,"")/4))*XLOOKUP($Q630,'Threshold Summary'!$Y:$Y,'Threshold Summary'!$L:$L,""))/100)+5)*XLOOKUP(XLOOKUP($Q630,'Threshold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Editor'!$E:$E,1))),stab,IF(OR(mtype=XLOOKUP(XLOOKUP($Q630,'Threshold Summary'!$Y:$Y,'Threshold Summary'!$K:$K,""),'Pokemon Editor'!$A:$A,'Pokemon Editor'!$C:$C,""),mtype=XLOOKUP(XLOOKUP($Q630,'Threshold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Chart'!$B$1:$S$1,0)))),base,IF(OR(cat="Status",pow=0),0,FLOOR(FLOOR(FLOOR((2*XLOOKUP($Q630,'Threshold Summary'!$Y:$Y,'Threshold Summary'!$L:$L,"")/5+2)*pow*atk/def)/50)+2)),modifier,stab*eff,FLOOR(base*modifier*0.85)),0)</f>
        <v/>
      </c>
      <c r="K630" s="3">
        <f>IFERROR(LET(mtype,XLOOKUP($D630,'Move Editor'!$B:$B,'Move Editor'!$C:$C,""),cat,XLOOKUP($D630,'Move Editor'!$B:$B,'Move Editor'!$D:$D,""),pow,XLOOKUP($D630,'Move Editor'!$B:$B,'Move Editor'!$E:$E,0),acc,XLOOKUP($D630,'Move Editor'!$B:$B,'Move Editor'!$F:$F,100),atk,IF(cat="Physical",FLOOR((FLOOR(((2*XLOOKUP(XLOOKUP($Q630,'Threshold Summary'!$Y:$Y,'Threshold Summary'!$K:$K,""),'Pokemon Editor'!$A:$A,'Pokemon Editor'!$F:$F,0)+31+FLOOR(XLOOKUP($Q630,'Threshold Summary'!$Y:$Y,'Threshold Summary'!$P:$P,"")/4))*XLOOKUP($Q630,'Threshold Summary'!$Y:$Y,'Threshold Summary'!$L:$L,""))/100)+5)*XLOOKUP(XLOOKUP($Q630,'Threshold Summary'!$Y:$Y,'Threshold Summary'!$M:$M,""),'Nature Editor'!$A:$A,'Nature Editor'!$B:$B,1)),FLOOR((FLOOR(((2*XLOOKUP(XLOOKUP($Q630,'Threshold Summary'!$Y:$Y,'Threshold Summary'!$K:$K,""),'Pokemon Editor'!$A:$A,'Pokemon Editor'!$H:$H,0)+31+FLOOR(XLOOKUP($Q630,'Threshold Summary'!$Y:$Y,'Threshold Summary'!$R:$R,"")/4))*XLOOKUP($Q630,'Threshold Summary'!$Y:$Y,'Threshold Summary'!$L:$L,""))/100)+5)*XLOOKUP(XLOOKUP($Q630,'Threshold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Editor'!$E:$E,1))),stab,IF(OR(mtype=XLOOKUP(XLOOKUP($Q630,'Threshold Summary'!$Y:$Y,'Threshold Summary'!$K:$K,""),'Pokemon Editor'!$A:$A,'Pokemon Editor'!$C:$C,""),mtype=XLOOKUP(XLOOKUP($Q630,'Threshold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Chart'!$B$1:$S$1,0)))),base,IF(OR(cat="Status",pow=0),0,FLOOR(FLOOR(FLOOR((2*XLOOKUP($Q630,'Threshold Summary'!$Y:$Y,'Threshold Summary'!$L:$L,"")/5+2)*pow*atk/def)/50)+2)),modifier,stab*eff,FLOOR(base*modifier)),0)</f>
        <v/>
      </c>
      <c r="L630" s="3">
        <f>IFERROR(LET(mtype,XLOOKUP($D630,'Move Editor'!$B:$B,'Move Editor'!$C:$C,""),cat,XLOOKUP($D630,'Move Editor'!$B:$B,'Move Editor'!$D:$D,""),pow,XLOOKUP($D630,'Move Editor'!$B:$B,'Move Editor'!$E:$E,0),acc,XLOOKUP($D630,'Move Editor'!$B:$B,'Move Editor'!$F:$F,100),atk,IF(cat="Physical",FLOOR((FLOOR(((2*XLOOKUP(XLOOKUP($Q630,'Threshold Summary'!$Y:$Y,'Threshold Summary'!$K:$K,""),'Pokemon Editor'!$A:$A,'Pokemon Editor'!$F:$F,0)+31+FLOOR(XLOOKUP($Q630,'Threshold Summary'!$Y:$Y,'Threshold Summary'!$P:$P,"")/4))*XLOOKUP($Q630,'Threshold Summary'!$Y:$Y,'Threshold Summary'!$L:$L,""))/100)+5)*XLOOKUP(XLOOKUP($Q630,'Threshold Summary'!$Y:$Y,'Threshold Summary'!$M:$M,""),'Nature Editor'!$A:$A,'Nature Editor'!$B:$B,1)),FLOOR((FLOOR(((2*XLOOKUP(XLOOKUP($Q630,'Threshold Summary'!$Y:$Y,'Threshold Summary'!$K:$K,""),'Pokemon Editor'!$A:$A,'Pokemon Editor'!$H:$H,0)+31+FLOOR(XLOOKUP($Q630,'Threshold Summary'!$Y:$Y,'Threshold Summary'!$R:$R,"")/4))*XLOOKUP($Q630,'Threshold Summary'!$Y:$Y,'Threshold Summary'!$L:$L,""))/100)+5)*XLOOKUP(XLOOKUP($Q630,'Threshold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Editor'!$E:$E,1))),stab,IF(OR(mtype=XLOOKUP(XLOOKUP($Q630,'Threshold Summary'!$Y:$Y,'Threshold Summary'!$K:$K,""),'Pokemon Editor'!$A:$A,'Pokemon Editor'!$C:$C,""),mtype=XLOOKUP(XLOOKUP($Q630,'Threshold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Chart'!$B$1:$S$1,0)))),base,IF(OR(cat="Status",pow=0),0,FLOOR(FLOOR(FLOOR((2*XLOOKUP($Q630,'Threshold Summary'!$Y:$Y,'Threshold Summary'!$L:$L,"")/5+2)*pow*atk/def)/50)+2)),modifier,stab*eff,AVERAGE(ARRAYFORMULA(FLOOR(base*modifier*SEQUENCE(16,1,85,1)/100)))),0)</f>
        <v/>
      </c>
      <c r="M630" s="3">
        <f>IFERROR(LET(mtype,XLOOKUP($D630,'Move Editor'!$B:$B,'Move Editor'!$C:$C,""),cat,XLOOKUP($D630,'Move Editor'!$B:$B,'Move Editor'!$D:$D,""),pow,XLOOKUP($D630,'Move Editor'!$B:$B,'Move Editor'!$E:$E,0),acc,XLOOKUP($D630,'Move Editor'!$B:$B,'Move Editor'!$F:$F,100),atk,IF(cat="Physical",FLOOR((FLOOR(((2*XLOOKUP(XLOOKUP($Q630,'Threshold Summary'!$Y:$Y,'Threshold Summary'!$K:$K,""),'Pokemon Editor'!$A:$A,'Pokemon Editor'!$F:$F,0)+31+FLOOR(XLOOKUP($Q630,'Threshold Summary'!$Y:$Y,'Threshold Summary'!$P:$P,"")/4))*XLOOKUP($Q630,'Threshold Summary'!$Y:$Y,'Threshold Summary'!$L:$L,""))/100)+5)*XLOOKUP(XLOOKUP($Q630,'Threshold Summary'!$Y:$Y,'Threshold Summary'!$M:$M,""),'Nature Editor'!$A:$A,'Nature Editor'!$B:$B,1)),FLOOR((FLOOR(((2*XLOOKUP(XLOOKUP($Q630,'Threshold Summary'!$Y:$Y,'Threshold Summary'!$K:$K,""),'Pokemon Editor'!$A:$A,'Pokemon Editor'!$H:$H,0)+31+FLOOR(XLOOKUP($Q630,'Threshold Summary'!$Y:$Y,'Threshold Summary'!$R:$R,"")/4))*XLOOKUP($Q630,'Threshold Summary'!$Y:$Y,'Threshold Summary'!$L:$L,""))/100)+5)*XLOOKUP(XLOOKUP($Q630,'Threshold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Editor'!$E:$E,1))),stab,IF(OR(mtype=XLOOKUP(XLOOKUP($Q630,'Threshold Summary'!$Y:$Y,'Threshold Summary'!$K:$K,""),'Pokemon Editor'!$A:$A,'Pokemon Editor'!$C:$C,""),mtype=XLOOKUP(XLOOKUP($Q630,'Threshold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Chart'!$B$1:$S$1,0)))),base,IF(OR(cat="Status",pow=0),0,FLOOR(FLOOR(FLOOR((2*XLOOKUP($Q630,'Threshold Summary'!$Y:$Y,'Threshold Summary'!$L:$L,"")/5+2)*pow*atk/def)/50)+2)),modifier,stab*eff,AVERAGE(ARRAYFORMULA(FLOOR(base*modifier*SEQUENCE(16,1,85,1)/100)))*MIN(1,acc/100)),0)</f>
        <v/>
      </c>
      <c r="N630" s="4">
        <f>IFERROR(LET(mtype,XLOOKUP($D630,'Move Editor'!$B:$B,'Move Editor'!$C:$C,""),cat,XLOOKUP($D630,'Move Editor'!$B:$B,'Move Editor'!$D:$D,""),pow,XLOOKUP($D630,'Move Editor'!$B:$B,'Move Editor'!$E:$E,0),acc,XLOOKUP($D630,'Move Editor'!$B:$B,'Move Editor'!$F:$F,100),atk,IF(cat="Physical",FLOOR((FLOOR(((2*XLOOKUP(XLOOKUP($Q630,'Threshold Summary'!$Y:$Y,'Threshold Summary'!$K:$K,""),'Pokemon Editor'!$A:$A,'Pokemon Editor'!$F:$F,0)+31+FLOOR(XLOOKUP($Q630,'Threshold Summary'!$Y:$Y,'Threshold Summary'!$P:$P,"")/4))*XLOOKUP($Q630,'Threshold Summary'!$Y:$Y,'Threshold Summary'!$L:$L,""))/100)+5)*XLOOKUP(XLOOKUP($Q630,'Threshold Summary'!$Y:$Y,'Threshold Summary'!$M:$M,""),'Nature Editor'!$A:$A,'Nature Editor'!$B:$B,1)),FLOOR((FLOOR(((2*XLOOKUP(XLOOKUP($Q630,'Threshold Summary'!$Y:$Y,'Threshold Summary'!$K:$K,""),'Pokemon Editor'!$A:$A,'Pokemon Editor'!$H:$H,0)+31+FLOOR(XLOOKUP($Q630,'Threshold Summary'!$Y:$Y,'Threshold Summary'!$R:$R,"")/4))*XLOOKUP($Q630,'Threshold Summary'!$Y:$Y,'Threshold Summary'!$L:$L,""))/100)+5)*XLOOKUP(XLOOKUP($Q630,'Threshold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Editor'!$E:$E,1))),stab,IF(OR(mtype=XLOOKUP(XLOOKUP($Q630,'Threshold Summary'!$Y:$Y,'Threshold Summary'!$K:$K,""),'Pokemon Editor'!$A:$A,'Pokemon Editor'!$C:$C,""),mtype=XLOOKUP(XLOOKUP($Q630,'Threshold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Chart'!$B$1:$S$1,0)))),base,IF(OR(cat="Status",pow=0),0,FLOOR(FLOOR(FLOOR((2*XLOOKUP($Q630,'Threshold Summary'!$Y:$Y,'Threshold Summary'!$L:$L,"")/5+2)*pow*atk/def)/50)+2)),modifier,stab*eff,AVERAGE(ARRAYFORMULA(FLOOR(base*modifier*SEQUENCE(16,1,85,1)/100)))/(FLOOR(((2*XLOOKUP('Boss Editor'!$C$4,'Pokemon Editor'!$A:$A,'Pokemon Editor'!$E:$E,0)+31+FLOOR('Boss Editor'!$G$4/4))*'Boss Editor'!$D$4)/100)+'Boss Editor'!$D$4+10)),0)</f>
        <v/>
      </c>
      <c r="O630" s="3">
        <f>IF(N630&gt;=1,"OHKO",IF(N630&gt;=0.5,"2HKO",IF(N630&gt;=0.333,"3HKO",IF(N630&gt;=0.25,"4HKO","5HKO+"))))</f>
        <v/>
      </c>
      <c r="P630" s="3" t="inlineStr">
        <is>
          <t>Live from editable databases</t>
        </is>
      </c>
      <c r="Q630" s="3" t="inlineStr">
        <is>
          <t>SPECIES_LITLEO</t>
        </is>
      </c>
      <c r="R630" s="3" t="n">
        <v>21</v>
      </c>
    </row>
    <row r="631">
      <c r="A631" s="3">
        <f>XLOOKUP($Q631,'Threshold Summary'!$Y:$Y,'Threshold Summary'!$A:$A,"")</f>
        <v/>
      </c>
      <c r="B631" s="3">
        <f>XLOOKUP($Q631,'Threshold Summary'!$Y:$Y,'Threshold Summary'!$M:$M,"")</f>
        <v/>
      </c>
      <c r="C631" s="3">
        <f>XLOOKUP($Q631,'Threshold Summary'!$Y:$Y,'Threshold Summary'!$N:$N,"")</f>
        <v/>
      </c>
      <c r="D631" s="3">
        <f>IFERROR(INDEX(FILTER('Learnset Editor'!$D$2:$D,'Learnset Editor'!$A$2:$A=XLOOKUP($Q631,'Threshold Summary'!$Y:$Y,'Threshold Summary'!$K:$K,""),'Learnset Editor'!$C$2:$C&lt;=XLOOKUP($Q631,'Threshold Summary'!$Y:$Y,'Threshold Summary'!$L:$L,"")),$R631),"")</f>
        <v/>
      </c>
      <c r="E631" s="3">
        <f>XLOOKUP(D631,'Move Editor'!$B:$B,'Move Editor'!$C:$C,"")</f>
        <v/>
      </c>
      <c r="F631" s="3">
        <f>XLOOKUP(D631,'Move Editor'!$B:$B,'Move Editor'!$D:$D,"")</f>
        <v/>
      </c>
      <c r="G631" s="3">
        <f>XLOOKUP(D631,'Move Editor'!$B:$B,'Move Editor'!$E:$E,0)</f>
        <v/>
      </c>
      <c r="H631" s="3">
        <f>XLOOKUP(D631,'Move Editor'!$B:$B,'Move Editor'!$F:$F,0)</f>
        <v/>
      </c>
      <c r="I631" s="3">
        <f>(INDEX('Type Chart'!$B:$S,MATCH(E631,'Type Chart'!$A:$A,0),MATCH(XLOOKUP('Boss Editor'!$C$4,'Pokemon Editor'!$A:$A,'Pokemon Editor'!$C:$C,""),'Type Chart'!$B$1:$S$1,0))*IF(XLOOKUP('Boss Editor'!$C$4,'Pokemon Editor'!$A:$A,'Pokemon Editor'!$D:$D,"")="",1,INDEX('Type Chart'!$B:$S,MATCH(E631,'Type Chart'!$A:$A,0),MATCH(XLOOKUP('Boss Editor'!$C$4,'Pokemon Editor'!$A:$A,'Pokemon Editor'!$D:$D,""),'Type Chart'!$B$1:$S$1,0))))</f>
        <v/>
      </c>
      <c r="J631" s="3">
        <f>IFERROR(LET(mtype,XLOOKUP($D631,'Move Editor'!$B:$B,'Move Editor'!$C:$C,""),cat,XLOOKUP($D631,'Move Editor'!$B:$B,'Move Editor'!$D:$D,""),pow,XLOOKUP($D631,'Move Editor'!$B:$B,'Move Editor'!$E:$E,0),acc,XLOOKUP($D631,'Move Editor'!$B:$B,'Move Editor'!$F:$F,100),atk,IF(cat="Physical",FLOOR((FLOOR(((2*XLOOKUP(XLOOKUP($Q631,'Threshold Summary'!$Y:$Y,'Threshold Summary'!$K:$K,""),'Pokemon Editor'!$A:$A,'Pokemon Editor'!$F:$F,0)+31+FLOOR(XLOOKUP($Q631,'Threshold Summary'!$Y:$Y,'Threshold Summary'!$P:$P,"")/4))*XLOOKUP($Q631,'Threshold Summary'!$Y:$Y,'Threshold Summary'!$L:$L,""))/100)+5)*XLOOKUP(XLOOKUP($Q631,'Threshold Summary'!$Y:$Y,'Threshold Summary'!$M:$M,""),'Nature Editor'!$A:$A,'Nature Editor'!$B:$B,1)),FLOOR((FLOOR(((2*XLOOKUP(XLOOKUP($Q631,'Threshold Summary'!$Y:$Y,'Threshold Summary'!$K:$K,""),'Pokemon Editor'!$A:$A,'Pokemon Editor'!$H:$H,0)+31+FLOOR(XLOOKUP($Q631,'Threshold Summary'!$Y:$Y,'Threshold Summary'!$R:$R,"")/4))*XLOOKUP($Q631,'Threshold Summary'!$Y:$Y,'Threshold Summary'!$L:$L,""))/100)+5)*XLOOKUP(XLOOKUP($Q631,'Threshold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Editor'!$E:$E,1))),stab,IF(OR(mtype=XLOOKUP(XLOOKUP($Q631,'Threshold Summary'!$Y:$Y,'Threshold Summary'!$K:$K,""),'Pokemon Editor'!$A:$A,'Pokemon Editor'!$C:$C,""),mtype=XLOOKUP(XLOOKUP($Q631,'Threshold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Chart'!$B$1:$S$1,0)))),base,IF(OR(cat="Status",pow=0),0,FLOOR(FLOOR(FLOOR((2*XLOOKUP($Q631,'Threshold Summary'!$Y:$Y,'Threshold Summary'!$L:$L,"")/5+2)*pow*atk/def)/50)+2)),modifier,stab*eff,FLOOR(base*modifier*0.85)),0)</f>
        <v/>
      </c>
      <c r="K631" s="3">
        <f>IFERROR(LET(mtype,XLOOKUP($D631,'Move Editor'!$B:$B,'Move Editor'!$C:$C,""),cat,XLOOKUP($D631,'Move Editor'!$B:$B,'Move Editor'!$D:$D,""),pow,XLOOKUP($D631,'Move Editor'!$B:$B,'Move Editor'!$E:$E,0),acc,XLOOKUP($D631,'Move Editor'!$B:$B,'Move Editor'!$F:$F,100),atk,IF(cat="Physical",FLOOR((FLOOR(((2*XLOOKUP(XLOOKUP($Q631,'Threshold Summary'!$Y:$Y,'Threshold Summary'!$K:$K,""),'Pokemon Editor'!$A:$A,'Pokemon Editor'!$F:$F,0)+31+FLOOR(XLOOKUP($Q631,'Threshold Summary'!$Y:$Y,'Threshold Summary'!$P:$P,"")/4))*XLOOKUP($Q631,'Threshold Summary'!$Y:$Y,'Threshold Summary'!$L:$L,""))/100)+5)*XLOOKUP(XLOOKUP($Q631,'Threshold Summary'!$Y:$Y,'Threshold Summary'!$M:$M,""),'Nature Editor'!$A:$A,'Nature Editor'!$B:$B,1)),FLOOR((FLOOR(((2*XLOOKUP(XLOOKUP($Q631,'Threshold Summary'!$Y:$Y,'Threshold Summary'!$K:$K,""),'Pokemon Editor'!$A:$A,'Pokemon Editor'!$H:$H,0)+31+FLOOR(XLOOKUP($Q631,'Threshold Summary'!$Y:$Y,'Threshold Summary'!$R:$R,"")/4))*XLOOKUP($Q631,'Threshold Summary'!$Y:$Y,'Threshold Summary'!$L:$L,""))/100)+5)*XLOOKUP(XLOOKUP($Q631,'Threshold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Editor'!$E:$E,1))),stab,IF(OR(mtype=XLOOKUP(XLOOKUP($Q631,'Threshold Summary'!$Y:$Y,'Threshold Summary'!$K:$K,""),'Pokemon Editor'!$A:$A,'Pokemon Editor'!$C:$C,""),mtype=XLOOKUP(XLOOKUP($Q631,'Threshold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Chart'!$B$1:$S$1,0)))),base,IF(OR(cat="Status",pow=0),0,FLOOR(FLOOR(FLOOR((2*XLOOKUP($Q631,'Threshold Summary'!$Y:$Y,'Threshold Summary'!$L:$L,"")/5+2)*pow*atk/def)/50)+2)),modifier,stab*eff,FLOOR(base*modifier)),0)</f>
        <v/>
      </c>
      <c r="L631" s="3">
        <f>IFERROR(LET(mtype,XLOOKUP($D631,'Move Editor'!$B:$B,'Move Editor'!$C:$C,""),cat,XLOOKUP($D631,'Move Editor'!$B:$B,'Move Editor'!$D:$D,""),pow,XLOOKUP($D631,'Move Editor'!$B:$B,'Move Editor'!$E:$E,0),acc,XLOOKUP($D631,'Move Editor'!$B:$B,'Move Editor'!$F:$F,100),atk,IF(cat="Physical",FLOOR((FLOOR(((2*XLOOKUP(XLOOKUP($Q631,'Threshold Summary'!$Y:$Y,'Threshold Summary'!$K:$K,""),'Pokemon Editor'!$A:$A,'Pokemon Editor'!$F:$F,0)+31+FLOOR(XLOOKUP($Q631,'Threshold Summary'!$Y:$Y,'Threshold Summary'!$P:$P,"")/4))*XLOOKUP($Q631,'Threshold Summary'!$Y:$Y,'Threshold Summary'!$L:$L,""))/100)+5)*XLOOKUP(XLOOKUP($Q631,'Threshold Summary'!$Y:$Y,'Threshold Summary'!$M:$M,""),'Nature Editor'!$A:$A,'Nature Editor'!$B:$B,1)),FLOOR((FLOOR(((2*XLOOKUP(XLOOKUP($Q631,'Threshold Summary'!$Y:$Y,'Threshold Summary'!$K:$K,""),'Pokemon Editor'!$A:$A,'Pokemon Editor'!$H:$H,0)+31+FLOOR(XLOOKUP($Q631,'Threshold Summary'!$Y:$Y,'Threshold Summary'!$R:$R,"")/4))*XLOOKUP($Q631,'Threshold Summary'!$Y:$Y,'Threshold Summary'!$L:$L,""))/100)+5)*XLOOKUP(XLOOKUP($Q631,'Threshold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Editor'!$E:$E,1))),stab,IF(OR(mtype=XLOOKUP(XLOOKUP($Q631,'Threshold Summary'!$Y:$Y,'Threshold Summary'!$K:$K,""),'Pokemon Editor'!$A:$A,'Pokemon Editor'!$C:$C,""),mtype=XLOOKUP(XLOOKUP($Q631,'Threshold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Chart'!$B$1:$S$1,0)))),base,IF(OR(cat="Status",pow=0),0,FLOOR(FLOOR(FLOOR((2*XLOOKUP($Q631,'Threshold Summary'!$Y:$Y,'Threshold Summary'!$L:$L,"")/5+2)*pow*atk/def)/50)+2)),modifier,stab*eff,AVERAGE(ARRAYFORMULA(FLOOR(base*modifier*SEQUENCE(16,1,85,1)/100)))),0)</f>
        <v/>
      </c>
      <c r="M631" s="3">
        <f>IFERROR(LET(mtype,XLOOKUP($D631,'Move Editor'!$B:$B,'Move Editor'!$C:$C,""),cat,XLOOKUP($D631,'Move Editor'!$B:$B,'Move Editor'!$D:$D,""),pow,XLOOKUP($D631,'Move Editor'!$B:$B,'Move Editor'!$E:$E,0),acc,XLOOKUP($D631,'Move Editor'!$B:$B,'Move Editor'!$F:$F,100),atk,IF(cat="Physical",FLOOR((FLOOR(((2*XLOOKUP(XLOOKUP($Q631,'Threshold Summary'!$Y:$Y,'Threshold Summary'!$K:$K,""),'Pokemon Editor'!$A:$A,'Pokemon Editor'!$F:$F,0)+31+FLOOR(XLOOKUP($Q631,'Threshold Summary'!$Y:$Y,'Threshold Summary'!$P:$P,"")/4))*XLOOKUP($Q631,'Threshold Summary'!$Y:$Y,'Threshold Summary'!$L:$L,""))/100)+5)*XLOOKUP(XLOOKUP($Q631,'Threshold Summary'!$Y:$Y,'Threshold Summary'!$M:$M,""),'Nature Editor'!$A:$A,'Nature Editor'!$B:$B,1)),FLOOR((FLOOR(((2*XLOOKUP(XLOOKUP($Q631,'Threshold Summary'!$Y:$Y,'Threshold Summary'!$K:$K,""),'Pokemon Editor'!$A:$A,'Pokemon Editor'!$H:$H,0)+31+FLOOR(XLOOKUP($Q631,'Threshold Summary'!$Y:$Y,'Threshold Summary'!$R:$R,"")/4))*XLOOKUP($Q631,'Threshold Summary'!$Y:$Y,'Threshold Summary'!$L:$L,""))/100)+5)*XLOOKUP(XLOOKUP($Q631,'Threshold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Editor'!$E:$E,1))),stab,IF(OR(mtype=XLOOKUP(XLOOKUP($Q631,'Threshold Summary'!$Y:$Y,'Threshold Summary'!$K:$K,""),'Pokemon Editor'!$A:$A,'Pokemon Editor'!$C:$C,""),mtype=XLOOKUP(XLOOKUP($Q631,'Threshold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Chart'!$B$1:$S$1,0)))),base,IF(OR(cat="Status",pow=0),0,FLOOR(FLOOR(FLOOR((2*XLOOKUP($Q631,'Threshold Summary'!$Y:$Y,'Threshold Summary'!$L:$L,"")/5+2)*pow*atk/def)/50)+2)),modifier,stab*eff,AVERAGE(ARRAYFORMULA(FLOOR(base*modifier*SEQUENCE(16,1,85,1)/100)))*MIN(1,acc/100)),0)</f>
        <v/>
      </c>
      <c r="N631" s="4">
        <f>IFERROR(LET(mtype,XLOOKUP($D631,'Move Editor'!$B:$B,'Move Editor'!$C:$C,""),cat,XLOOKUP($D631,'Move Editor'!$B:$B,'Move Editor'!$D:$D,""),pow,XLOOKUP($D631,'Move Editor'!$B:$B,'Move Editor'!$E:$E,0),acc,XLOOKUP($D631,'Move Editor'!$B:$B,'Move Editor'!$F:$F,100),atk,IF(cat="Physical",FLOOR((FLOOR(((2*XLOOKUP(XLOOKUP($Q631,'Threshold Summary'!$Y:$Y,'Threshold Summary'!$K:$K,""),'Pokemon Editor'!$A:$A,'Pokemon Editor'!$F:$F,0)+31+FLOOR(XLOOKUP($Q631,'Threshold Summary'!$Y:$Y,'Threshold Summary'!$P:$P,"")/4))*XLOOKUP($Q631,'Threshold Summary'!$Y:$Y,'Threshold Summary'!$L:$L,""))/100)+5)*XLOOKUP(XLOOKUP($Q631,'Threshold Summary'!$Y:$Y,'Threshold Summary'!$M:$M,""),'Nature Editor'!$A:$A,'Nature Editor'!$B:$B,1)),FLOOR((FLOOR(((2*XLOOKUP(XLOOKUP($Q631,'Threshold Summary'!$Y:$Y,'Threshold Summary'!$K:$K,""),'Pokemon Editor'!$A:$A,'Pokemon Editor'!$H:$H,0)+31+FLOOR(XLOOKUP($Q631,'Threshold Summary'!$Y:$Y,'Threshold Summary'!$R:$R,"")/4))*XLOOKUP($Q631,'Threshold Summary'!$Y:$Y,'Threshold Summary'!$L:$L,""))/100)+5)*XLOOKUP(XLOOKUP($Q631,'Threshold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Editor'!$E:$E,1))),stab,IF(OR(mtype=XLOOKUP(XLOOKUP($Q631,'Threshold Summary'!$Y:$Y,'Threshold Summary'!$K:$K,""),'Pokemon Editor'!$A:$A,'Pokemon Editor'!$C:$C,""),mtype=XLOOKUP(XLOOKUP($Q631,'Threshold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Chart'!$B$1:$S$1,0)))),base,IF(OR(cat="Status",pow=0),0,FLOOR(FLOOR(FLOOR((2*XLOOKUP($Q631,'Threshold Summary'!$Y:$Y,'Threshold Summary'!$L:$L,"")/5+2)*pow*atk/def)/50)+2)),modifier,stab*eff,AVERAGE(ARRAYFORMULA(FLOOR(base*modifier*SEQUENCE(16,1,85,1)/100)))/(FLOOR(((2*XLOOKUP('Boss Editor'!$C$4,'Pokemon Editor'!$A:$A,'Pokemon Editor'!$E:$E,0)+31+FLOOR('Boss Editor'!$G$4/4))*'Boss Editor'!$D$4)/100)+'Boss Editor'!$D$4+10)),0)</f>
        <v/>
      </c>
      <c r="O631" s="3">
        <f>IF(N631&gt;=1,"OHKO",IF(N631&gt;=0.5,"2HKO",IF(N631&gt;=0.333,"3HKO",IF(N631&gt;=0.25,"4HKO","5HKO+"))))</f>
        <v/>
      </c>
      <c r="P631" s="3" t="inlineStr">
        <is>
          <t>Live from editable databases</t>
        </is>
      </c>
      <c r="Q631" s="3" t="inlineStr">
        <is>
          <t>SPECIES_LITLEO</t>
        </is>
      </c>
      <c r="R631" s="3" t="n">
        <v>22</v>
      </c>
    </row>
    <row r="632">
      <c r="A632" s="3">
        <f>XLOOKUP($Q632,'Threshold Summary'!$Y:$Y,'Threshold Summary'!$A:$A,"")</f>
        <v/>
      </c>
      <c r="B632" s="3">
        <f>XLOOKUP($Q632,'Threshold Summary'!$Y:$Y,'Threshold Summary'!$M:$M,"")</f>
        <v/>
      </c>
      <c r="C632" s="3">
        <f>XLOOKUP($Q632,'Threshold Summary'!$Y:$Y,'Threshold Summary'!$N:$N,"")</f>
        <v/>
      </c>
      <c r="D632" s="3">
        <f>IFERROR(INDEX(FILTER('Learnset Editor'!$D$2:$D,'Learnset Editor'!$A$2:$A=XLOOKUP($Q632,'Threshold Summary'!$Y:$Y,'Threshold Summary'!$K:$K,""),'Learnset Editor'!$C$2:$C&lt;=XLOOKUP($Q632,'Threshold Summary'!$Y:$Y,'Threshold Summary'!$L:$L,"")),$R632),"")</f>
        <v/>
      </c>
      <c r="E632" s="3">
        <f>XLOOKUP(D632,'Move Editor'!$B:$B,'Move Editor'!$C:$C,"")</f>
        <v/>
      </c>
      <c r="F632" s="3">
        <f>XLOOKUP(D632,'Move Editor'!$B:$B,'Move Editor'!$D:$D,"")</f>
        <v/>
      </c>
      <c r="G632" s="3">
        <f>XLOOKUP(D632,'Move Editor'!$B:$B,'Move Editor'!$E:$E,0)</f>
        <v/>
      </c>
      <c r="H632" s="3">
        <f>XLOOKUP(D632,'Move Editor'!$B:$B,'Move Editor'!$F:$F,0)</f>
        <v/>
      </c>
      <c r="I632" s="3">
        <f>(INDEX('Type Chart'!$B:$S,MATCH(E632,'Type Chart'!$A:$A,0),MATCH(XLOOKUP('Boss Editor'!$C$4,'Pokemon Editor'!$A:$A,'Pokemon Editor'!$C:$C,""),'Type Chart'!$B$1:$S$1,0))*IF(XLOOKUP('Boss Editor'!$C$4,'Pokemon Editor'!$A:$A,'Pokemon Editor'!$D:$D,"")="",1,INDEX('Type Chart'!$B:$S,MATCH(E632,'Type Chart'!$A:$A,0),MATCH(XLOOKUP('Boss Editor'!$C$4,'Pokemon Editor'!$A:$A,'Pokemon Editor'!$D:$D,""),'Type Chart'!$B$1:$S$1,0))))</f>
        <v/>
      </c>
      <c r="J632" s="3">
        <f>IFERROR(LET(mtype,XLOOKUP($D632,'Move Editor'!$B:$B,'Move Editor'!$C:$C,""),cat,XLOOKUP($D632,'Move Editor'!$B:$B,'Move Editor'!$D:$D,""),pow,XLOOKUP($D632,'Move Editor'!$B:$B,'Move Editor'!$E:$E,0),acc,XLOOKUP($D632,'Move Editor'!$B:$B,'Move Editor'!$F:$F,100),atk,IF(cat="Physical",FLOOR((FLOOR(((2*XLOOKUP(XLOOKUP($Q632,'Threshold Summary'!$Y:$Y,'Threshold Summary'!$K:$K,""),'Pokemon Editor'!$A:$A,'Pokemon Editor'!$F:$F,0)+31+FLOOR(XLOOKUP($Q632,'Threshold Summary'!$Y:$Y,'Threshold Summary'!$P:$P,"")/4))*XLOOKUP($Q632,'Threshold Summary'!$Y:$Y,'Threshold Summary'!$L:$L,""))/100)+5)*XLOOKUP(XLOOKUP($Q632,'Threshold Summary'!$Y:$Y,'Threshold Summary'!$M:$M,""),'Nature Editor'!$A:$A,'Nature Editor'!$B:$B,1)),FLOOR((FLOOR(((2*XLOOKUP(XLOOKUP($Q632,'Threshold Summary'!$Y:$Y,'Threshold Summary'!$K:$K,""),'Pokemon Editor'!$A:$A,'Pokemon Editor'!$H:$H,0)+31+FLOOR(XLOOKUP($Q632,'Threshold Summary'!$Y:$Y,'Threshold Summary'!$R:$R,"")/4))*XLOOKUP($Q632,'Threshold Summary'!$Y:$Y,'Threshold Summary'!$L:$L,""))/100)+5)*XLOOKUP(XLOOKUP($Q632,'Threshold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Editor'!$E:$E,1))),stab,IF(OR(mtype=XLOOKUP(XLOOKUP($Q632,'Threshold Summary'!$Y:$Y,'Threshold Summary'!$K:$K,""),'Pokemon Editor'!$A:$A,'Pokemon Editor'!$C:$C,""),mtype=XLOOKUP(XLOOKUP($Q632,'Threshold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Chart'!$B$1:$S$1,0)))),base,IF(OR(cat="Status",pow=0),0,FLOOR(FLOOR(FLOOR((2*XLOOKUP($Q632,'Threshold Summary'!$Y:$Y,'Threshold Summary'!$L:$L,"")/5+2)*pow*atk/def)/50)+2)),modifier,stab*eff,FLOOR(base*modifier*0.85)),0)</f>
        <v/>
      </c>
      <c r="K632" s="3">
        <f>IFERROR(LET(mtype,XLOOKUP($D632,'Move Editor'!$B:$B,'Move Editor'!$C:$C,""),cat,XLOOKUP($D632,'Move Editor'!$B:$B,'Move Editor'!$D:$D,""),pow,XLOOKUP($D632,'Move Editor'!$B:$B,'Move Editor'!$E:$E,0),acc,XLOOKUP($D632,'Move Editor'!$B:$B,'Move Editor'!$F:$F,100),atk,IF(cat="Physical",FLOOR((FLOOR(((2*XLOOKUP(XLOOKUP($Q632,'Threshold Summary'!$Y:$Y,'Threshold Summary'!$K:$K,""),'Pokemon Editor'!$A:$A,'Pokemon Editor'!$F:$F,0)+31+FLOOR(XLOOKUP($Q632,'Threshold Summary'!$Y:$Y,'Threshold Summary'!$P:$P,"")/4))*XLOOKUP($Q632,'Threshold Summary'!$Y:$Y,'Threshold Summary'!$L:$L,""))/100)+5)*XLOOKUP(XLOOKUP($Q632,'Threshold Summary'!$Y:$Y,'Threshold Summary'!$M:$M,""),'Nature Editor'!$A:$A,'Nature Editor'!$B:$B,1)),FLOOR((FLOOR(((2*XLOOKUP(XLOOKUP($Q632,'Threshold Summary'!$Y:$Y,'Threshold Summary'!$K:$K,""),'Pokemon Editor'!$A:$A,'Pokemon Editor'!$H:$H,0)+31+FLOOR(XLOOKUP($Q632,'Threshold Summary'!$Y:$Y,'Threshold Summary'!$R:$R,"")/4))*XLOOKUP($Q632,'Threshold Summary'!$Y:$Y,'Threshold Summary'!$L:$L,""))/100)+5)*XLOOKUP(XLOOKUP($Q632,'Threshold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Editor'!$E:$E,1))),stab,IF(OR(mtype=XLOOKUP(XLOOKUP($Q632,'Threshold Summary'!$Y:$Y,'Threshold Summary'!$K:$K,""),'Pokemon Editor'!$A:$A,'Pokemon Editor'!$C:$C,""),mtype=XLOOKUP(XLOOKUP($Q632,'Threshold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Chart'!$B$1:$S$1,0)))),base,IF(OR(cat="Status",pow=0),0,FLOOR(FLOOR(FLOOR((2*XLOOKUP($Q632,'Threshold Summary'!$Y:$Y,'Threshold Summary'!$L:$L,"")/5+2)*pow*atk/def)/50)+2)),modifier,stab*eff,FLOOR(base*modifier)),0)</f>
        <v/>
      </c>
      <c r="L632" s="3">
        <f>IFERROR(LET(mtype,XLOOKUP($D632,'Move Editor'!$B:$B,'Move Editor'!$C:$C,""),cat,XLOOKUP($D632,'Move Editor'!$B:$B,'Move Editor'!$D:$D,""),pow,XLOOKUP($D632,'Move Editor'!$B:$B,'Move Editor'!$E:$E,0),acc,XLOOKUP($D632,'Move Editor'!$B:$B,'Move Editor'!$F:$F,100),atk,IF(cat="Physical",FLOOR((FLOOR(((2*XLOOKUP(XLOOKUP($Q632,'Threshold Summary'!$Y:$Y,'Threshold Summary'!$K:$K,""),'Pokemon Editor'!$A:$A,'Pokemon Editor'!$F:$F,0)+31+FLOOR(XLOOKUP($Q632,'Threshold Summary'!$Y:$Y,'Threshold Summary'!$P:$P,"")/4))*XLOOKUP($Q632,'Threshold Summary'!$Y:$Y,'Threshold Summary'!$L:$L,""))/100)+5)*XLOOKUP(XLOOKUP($Q632,'Threshold Summary'!$Y:$Y,'Threshold Summary'!$M:$M,""),'Nature Editor'!$A:$A,'Nature Editor'!$B:$B,1)),FLOOR((FLOOR(((2*XLOOKUP(XLOOKUP($Q632,'Threshold Summary'!$Y:$Y,'Threshold Summary'!$K:$K,""),'Pokemon Editor'!$A:$A,'Pokemon Editor'!$H:$H,0)+31+FLOOR(XLOOKUP($Q632,'Threshold Summary'!$Y:$Y,'Threshold Summary'!$R:$R,"")/4))*XLOOKUP($Q632,'Threshold Summary'!$Y:$Y,'Threshold Summary'!$L:$L,""))/100)+5)*XLOOKUP(XLOOKUP($Q632,'Threshold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Editor'!$E:$E,1))),stab,IF(OR(mtype=XLOOKUP(XLOOKUP($Q632,'Threshold Summary'!$Y:$Y,'Threshold Summary'!$K:$K,""),'Pokemon Editor'!$A:$A,'Pokemon Editor'!$C:$C,""),mtype=XLOOKUP(XLOOKUP($Q632,'Threshold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Chart'!$B$1:$S$1,0)))),base,IF(OR(cat="Status",pow=0),0,FLOOR(FLOOR(FLOOR((2*XLOOKUP($Q632,'Threshold Summary'!$Y:$Y,'Threshold Summary'!$L:$L,"")/5+2)*pow*atk/def)/50)+2)),modifier,stab*eff,AVERAGE(ARRAYFORMULA(FLOOR(base*modifier*SEQUENCE(16,1,85,1)/100)))),0)</f>
        <v/>
      </c>
      <c r="M632" s="3">
        <f>IFERROR(LET(mtype,XLOOKUP($D632,'Move Editor'!$B:$B,'Move Editor'!$C:$C,""),cat,XLOOKUP($D632,'Move Editor'!$B:$B,'Move Editor'!$D:$D,""),pow,XLOOKUP($D632,'Move Editor'!$B:$B,'Move Editor'!$E:$E,0),acc,XLOOKUP($D632,'Move Editor'!$B:$B,'Move Editor'!$F:$F,100),atk,IF(cat="Physical",FLOOR((FLOOR(((2*XLOOKUP(XLOOKUP($Q632,'Threshold Summary'!$Y:$Y,'Threshold Summary'!$K:$K,""),'Pokemon Editor'!$A:$A,'Pokemon Editor'!$F:$F,0)+31+FLOOR(XLOOKUP($Q632,'Threshold Summary'!$Y:$Y,'Threshold Summary'!$P:$P,"")/4))*XLOOKUP($Q632,'Threshold Summary'!$Y:$Y,'Threshold Summary'!$L:$L,""))/100)+5)*XLOOKUP(XLOOKUP($Q632,'Threshold Summary'!$Y:$Y,'Threshold Summary'!$M:$M,""),'Nature Editor'!$A:$A,'Nature Editor'!$B:$B,1)),FLOOR((FLOOR(((2*XLOOKUP(XLOOKUP($Q632,'Threshold Summary'!$Y:$Y,'Threshold Summary'!$K:$K,""),'Pokemon Editor'!$A:$A,'Pokemon Editor'!$H:$H,0)+31+FLOOR(XLOOKUP($Q632,'Threshold Summary'!$Y:$Y,'Threshold Summary'!$R:$R,"")/4))*XLOOKUP($Q632,'Threshold Summary'!$Y:$Y,'Threshold Summary'!$L:$L,""))/100)+5)*XLOOKUP(XLOOKUP($Q632,'Threshold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Editor'!$E:$E,1))),stab,IF(OR(mtype=XLOOKUP(XLOOKUP($Q632,'Threshold Summary'!$Y:$Y,'Threshold Summary'!$K:$K,""),'Pokemon Editor'!$A:$A,'Pokemon Editor'!$C:$C,""),mtype=XLOOKUP(XLOOKUP($Q632,'Threshold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Chart'!$B$1:$S$1,0)))),base,IF(OR(cat="Status",pow=0),0,FLOOR(FLOOR(FLOOR((2*XLOOKUP($Q632,'Threshold Summary'!$Y:$Y,'Threshold Summary'!$L:$L,"")/5+2)*pow*atk/def)/50)+2)),modifier,stab*eff,AVERAGE(ARRAYFORMULA(FLOOR(base*modifier*SEQUENCE(16,1,85,1)/100)))*MIN(1,acc/100)),0)</f>
        <v/>
      </c>
      <c r="N632" s="4">
        <f>IFERROR(LET(mtype,XLOOKUP($D632,'Move Editor'!$B:$B,'Move Editor'!$C:$C,""),cat,XLOOKUP($D632,'Move Editor'!$B:$B,'Move Editor'!$D:$D,""),pow,XLOOKUP($D632,'Move Editor'!$B:$B,'Move Editor'!$E:$E,0),acc,XLOOKUP($D632,'Move Editor'!$B:$B,'Move Editor'!$F:$F,100),atk,IF(cat="Physical",FLOOR((FLOOR(((2*XLOOKUP(XLOOKUP($Q632,'Threshold Summary'!$Y:$Y,'Threshold Summary'!$K:$K,""),'Pokemon Editor'!$A:$A,'Pokemon Editor'!$F:$F,0)+31+FLOOR(XLOOKUP($Q632,'Threshold Summary'!$Y:$Y,'Threshold Summary'!$P:$P,"")/4))*XLOOKUP($Q632,'Threshold Summary'!$Y:$Y,'Threshold Summary'!$L:$L,""))/100)+5)*XLOOKUP(XLOOKUP($Q632,'Threshold Summary'!$Y:$Y,'Threshold Summary'!$M:$M,""),'Nature Editor'!$A:$A,'Nature Editor'!$B:$B,1)),FLOOR((FLOOR(((2*XLOOKUP(XLOOKUP($Q632,'Threshold Summary'!$Y:$Y,'Threshold Summary'!$K:$K,""),'Pokemon Editor'!$A:$A,'Pokemon Editor'!$H:$H,0)+31+FLOOR(XLOOKUP($Q632,'Threshold Summary'!$Y:$Y,'Threshold Summary'!$R:$R,"")/4))*XLOOKUP($Q632,'Threshold Summary'!$Y:$Y,'Threshold Summary'!$L:$L,""))/100)+5)*XLOOKUP(XLOOKUP($Q632,'Threshold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Editor'!$E:$E,1))),stab,IF(OR(mtype=XLOOKUP(XLOOKUP($Q632,'Threshold Summary'!$Y:$Y,'Threshold Summary'!$K:$K,""),'Pokemon Editor'!$A:$A,'Pokemon Editor'!$C:$C,""),mtype=XLOOKUP(XLOOKUP($Q632,'Threshold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Chart'!$B$1:$S$1,0)))),base,IF(OR(cat="Status",pow=0),0,FLOOR(FLOOR(FLOOR((2*XLOOKUP($Q632,'Threshold Summary'!$Y:$Y,'Threshold Summary'!$L:$L,"")/5+2)*pow*atk/def)/50)+2)),modifier,stab*eff,AVERAGE(ARRAYFORMULA(FLOOR(base*modifier*SEQUENCE(16,1,85,1)/100)))/(FLOOR(((2*XLOOKUP('Boss Editor'!$C$4,'Pokemon Editor'!$A:$A,'Pokemon Editor'!$E:$E,0)+31+FLOOR('Boss Editor'!$G$4/4))*'Boss Editor'!$D$4)/100)+'Boss Editor'!$D$4+10)),0)</f>
        <v/>
      </c>
      <c r="O632" s="3">
        <f>IF(N632&gt;=1,"OHKO",IF(N632&gt;=0.5,"2HKO",IF(N632&gt;=0.333,"3HKO",IF(N632&gt;=0.25,"4HKO","5HKO+"))))</f>
        <v/>
      </c>
      <c r="P632" s="3" t="inlineStr">
        <is>
          <t>Live from editable databases</t>
        </is>
      </c>
      <c r="Q632" s="3" t="inlineStr">
        <is>
          <t>SPECIES_LITLEO</t>
        </is>
      </c>
      <c r="R632" s="3" t="n">
        <v>23</v>
      </c>
    </row>
    <row r="633">
      <c r="A633" s="3">
        <f>XLOOKUP($Q633,'Threshold Summary'!$Y:$Y,'Threshold Summary'!$A:$A,"")</f>
        <v/>
      </c>
      <c r="B633" s="3">
        <f>XLOOKUP($Q633,'Threshold Summary'!$Y:$Y,'Threshold Summary'!$M:$M,"")</f>
        <v/>
      </c>
      <c r="C633" s="3">
        <f>XLOOKUP($Q633,'Threshold Summary'!$Y:$Y,'Threshold Summary'!$N:$N,"")</f>
        <v/>
      </c>
      <c r="D633" s="3">
        <f>IFERROR(INDEX(FILTER('Learnset Editor'!$D$2:$D,'Learnset Editor'!$A$2:$A=XLOOKUP($Q633,'Threshold Summary'!$Y:$Y,'Threshold Summary'!$K:$K,""),'Learnset Editor'!$C$2:$C&lt;=XLOOKUP($Q633,'Threshold Summary'!$Y:$Y,'Threshold Summary'!$L:$L,"")),$R633),"")</f>
        <v/>
      </c>
      <c r="E633" s="3">
        <f>XLOOKUP(D633,'Move Editor'!$B:$B,'Move Editor'!$C:$C,"")</f>
        <v/>
      </c>
      <c r="F633" s="3">
        <f>XLOOKUP(D633,'Move Editor'!$B:$B,'Move Editor'!$D:$D,"")</f>
        <v/>
      </c>
      <c r="G633" s="3">
        <f>XLOOKUP(D633,'Move Editor'!$B:$B,'Move Editor'!$E:$E,0)</f>
        <v/>
      </c>
      <c r="H633" s="3">
        <f>XLOOKUP(D633,'Move Editor'!$B:$B,'Move Editor'!$F:$F,0)</f>
        <v/>
      </c>
      <c r="I633" s="3">
        <f>(INDEX('Type Chart'!$B:$S,MATCH(E633,'Type Chart'!$A:$A,0),MATCH(XLOOKUP('Boss Editor'!$C$4,'Pokemon Editor'!$A:$A,'Pokemon Editor'!$C:$C,""),'Type Chart'!$B$1:$S$1,0))*IF(XLOOKUP('Boss Editor'!$C$4,'Pokemon Editor'!$A:$A,'Pokemon Editor'!$D:$D,"")="",1,INDEX('Type Chart'!$B:$S,MATCH(E633,'Type Chart'!$A:$A,0),MATCH(XLOOKUP('Boss Editor'!$C$4,'Pokemon Editor'!$A:$A,'Pokemon Editor'!$D:$D,""),'Type Chart'!$B$1:$S$1,0))))</f>
        <v/>
      </c>
      <c r="J633" s="3">
        <f>IFERROR(LET(mtype,XLOOKUP($D633,'Move Editor'!$B:$B,'Move Editor'!$C:$C,""),cat,XLOOKUP($D633,'Move Editor'!$B:$B,'Move Editor'!$D:$D,""),pow,XLOOKUP($D633,'Move Editor'!$B:$B,'Move Editor'!$E:$E,0),acc,XLOOKUP($D633,'Move Editor'!$B:$B,'Move Editor'!$F:$F,100),atk,IF(cat="Physical",FLOOR((FLOOR(((2*XLOOKUP(XLOOKUP($Q633,'Threshold Summary'!$Y:$Y,'Threshold Summary'!$K:$K,""),'Pokemon Editor'!$A:$A,'Pokemon Editor'!$F:$F,0)+31+FLOOR(XLOOKUP($Q633,'Threshold Summary'!$Y:$Y,'Threshold Summary'!$P:$P,"")/4))*XLOOKUP($Q633,'Threshold Summary'!$Y:$Y,'Threshold Summary'!$L:$L,""))/100)+5)*XLOOKUP(XLOOKUP($Q633,'Threshold Summary'!$Y:$Y,'Threshold Summary'!$M:$M,""),'Nature Editor'!$A:$A,'Nature Editor'!$B:$B,1)),FLOOR((FLOOR(((2*XLOOKUP(XLOOKUP($Q633,'Threshold Summary'!$Y:$Y,'Threshold Summary'!$K:$K,""),'Pokemon Editor'!$A:$A,'Pokemon Editor'!$H:$H,0)+31+FLOOR(XLOOKUP($Q633,'Threshold Summary'!$Y:$Y,'Threshold Summary'!$R:$R,"")/4))*XLOOKUP($Q633,'Threshold Summary'!$Y:$Y,'Threshold Summary'!$L:$L,""))/100)+5)*XLOOKUP(XLOOKUP($Q633,'Threshold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Editor'!$E:$E,1))),stab,IF(OR(mtype=XLOOKUP(XLOOKUP($Q633,'Threshold Summary'!$Y:$Y,'Threshold Summary'!$K:$K,""),'Pokemon Editor'!$A:$A,'Pokemon Editor'!$C:$C,""),mtype=XLOOKUP(XLOOKUP($Q633,'Threshold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Chart'!$B$1:$S$1,0)))),base,IF(OR(cat="Status",pow=0),0,FLOOR(FLOOR(FLOOR((2*XLOOKUP($Q633,'Threshold Summary'!$Y:$Y,'Threshold Summary'!$L:$L,"")/5+2)*pow*atk/def)/50)+2)),modifier,stab*eff,FLOOR(base*modifier*0.85)),0)</f>
        <v/>
      </c>
      <c r="K633" s="3">
        <f>IFERROR(LET(mtype,XLOOKUP($D633,'Move Editor'!$B:$B,'Move Editor'!$C:$C,""),cat,XLOOKUP($D633,'Move Editor'!$B:$B,'Move Editor'!$D:$D,""),pow,XLOOKUP($D633,'Move Editor'!$B:$B,'Move Editor'!$E:$E,0),acc,XLOOKUP($D633,'Move Editor'!$B:$B,'Move Editor'!$F:$F,100),atk,IF(cat="Physical",FLOOR((FLOOR(((2*XLOOKUP(XLOOKUP($Q633,'Threshold Summary'!$Y:$Y,'Threshold Summary'!$K:$K,""),'Pokemon Editor'!$A:$A,'Pokemon Editor'!$F:$F,0)+31+FLOOR(XLOOKUP($Q633,'Threshold Summary'!$Y:$Y,'Threshold Summary'!$P:$P,"")/4))*XLOOKUP($Q633,'Threshold Summary'!$Y:$Y,'Threshold Summary'!$L:$L,""))/100)+5)*XLOOKUP(XLOOKUP($Q633,'Threshold Summary'!$Y:$Y,'Threshold Summary'!$M:$M,""),'Nature Editor'!$A:$A,'Nature Editor'!$B:$B,1)),FLOOR((FLOOR(((2*XLOOKUP(XLOOKUP($Q633,'Threshold Summary'!$Y:$Y,'Threshold Summary'!$K:$K,""),'Pokemon Editor'!$A:$A,'Pokemon Editor'!$H:$H,0)+31+FLOOR(XLOOKUP($Q633,'Threshold Summary'!$Y:$Y,'Threshold Summary'!$R:$R,"")/4))*XLOOKUP($Q633,'Threshold Summary'!$Y:$Y,'Threshold Summary'!$L:$L,""))/100)+5)*XLOOKUP(XLOOKUP($Q633,'Threshold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Editor'!$E:$E,1))),stab,IF(OR(mtype=XLOOKUP(XLOOKUP($Q633,'Threshold Summary'!$Y:$Y,'Threshold Summary'!$K:$K,""),'Pokemon Editor'!$A:$A,'Pokemon Editor'!$C:$C,""),mtype=XLOOKUP(XLOOKUP($Q633,'Threshold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Chart'!$B$1:$S$1,0)))),base,IF(OR(cat="Status",pow=0),0,FLOOR(FLOOR(FLOOR((2*XLOOKUP($Q633,'Threshold Summary'!$Y:$Y,'Threshold Summary'!$L:$L,"")/5+2)*pow*atk/def)/50)+2)),modifier,stab*eff,FLOOR(base*modifier)),0)</f>
        <v/>
      </c>
      <c r="L633" s="3">
        <f>IFERROR(LET(mtype,XLOOKUP($D633,'Move Editor'!$B:$B,'Move Editor'!$C:$C,""),cat,XLOOKUP($D633,'Move Editor'!$B:$B,'Move Editor'!$D:$D,""),pow,XLOOKUP($D633,'Move Editor'!$B:$B,'Move Editor'!$E:$E,0),acc,XLOOKUP($D633,'Move Editor'!$B:$B,'Move Editor'!$F:$F,100),atk,IF(cat="Physical",FLOOR((FLOOR(((2*XLOOKUP(XLOOKUP($Q633,'Threshold Summary'!$Y:$Y,'Threshold Summary'!$K:$K,""),'Pokemon Editor'!$A:$A,'Pokemon Editor'!$F:$F,0)+31+FLOOR(XLOOKUP($Q633,'Threshold Summary'!$Y:$Y,'Threshold Summary'!$P:$P,"")/4))*XLOOKUP($Q633,'Threshold Summary'!$Y:$Y,'Threshold Summary'!$L:$L,""))/100)+5)*XLOOKUP(XLOOKUP($Q633,'Threshold Summary'!$Y:$Y,'Threshold Summary'!$M:$M,""),'Nature Editor'!$A:$A,'Nature Editor'!$B:$B,1)),FLOOR((FLOOR(((2*XLOOKUP(XLOOKUP($Q633,'Threshold Summary'!$Y:$Y,'Threshold Summary'!$K:$K,""),'Pokemon Editor'!$A:$A,'Pokemon Editor'!$H:$H,0)+31+FLOOR(XLOOKUP($Q633,'Threshold Summary'!$Y:$Y,'Threshold Summary'!$R:$R,"")/4))*XLOOKUP($Q633,'Threshold Summary'!$Y:$Y,'Threshold Summary'!$L:$L,""))/100)+5)*XLOOKUP(XLOOKUP($Q633,'Threshold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Editor'!$E:$E,1))),stab,IF(OR(mtype=XLOOKUP(XLOOKUP($Q633,'Threshold Summary'!$Y:$Y,'Threshold Summary'!$K:$K,""),'Pokemon Editor'!$A:$A,'Pokemon Editor'!$C:$C,""),mtype=XLOOKUP(XLOOKUP($Q633,'Threshold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Chart'!$B$1:$S$1,0)))),base,IF(OR(cat="Status",pow=0),0,FLOOR(FLOOR(FLOOR((2*XLOOKUP($Q633,'Threshold Summary'!$Y:$Y,'Threshold Summary'!$L:$L,"")/5+2)*pow*atk/def)/50)+2)),modifier,stab*eff,AVERAGE(ARRAYFORMULA(FLOOR(base*modifier*SEQUENCE(16,1,85,1)/100)))),0)</f>
        <v/>
      </c>
      <c r="M633" s="3">
        <f>IFERROR(LET(mtype,XLOOKUP($D633,'Move Editor'!$B:$B,'Move Editor'!$C:$C,""),cat,XLOOKUP($D633,'Move Editor'!$B:$B,'Move Editor'!$D:$D,""),pow,XLOOKUP($D633,'Move Editor'!$B:$B,'Move Editor'!$E:$E,0),acc,XLOOKUP($D633,'Move Editor'!$B:$B,'Move Editor'!$F:$F,100),atk,IF(cat="Physical",FLOOR((FLOOR(((2*XLOOKUP(XLOOKUP($Q633,'Threshold Summary'!$Y:$Y,'Threshold Summary'!$K:$K,""),'Pokemon Editor'!$A:$A,'Pokemon Editor'!$F:$F,0)+31+FLOOR(XLOOKUP($Q633,'Threshold Summary'!$Y:$Y,'Threshold Summary'!$P:$P,"")/4))*XLOOKUP($Q633,'Threshold Summary'!$Y:$Y,'Threshold Summary'!$L:$L,""))/100)+5)*XLOOKUP(XLOOKUP($Q633,'Threshold Summary'!$Y:$Y,'Threshold Summary'!$M:$M,""),'Nature Editor'!$A:$A,'Nature Editor'!$B:$B,1)),FLOOR((FLOOR(((2*XLOOKUP(XLOOKUP($Q633,'Threshold Summary'!$Y:$Y,'Threshold Summary'!$K:$K,""),'Pokemon Editor'!$A:$A,'Pokemon Editor'!$H:$H,0)+31+FLOOR(XLOOKUP($Q633,'Threshold Summary'!$Y:$Y,'Threshold Summary'!$R:$R,"")/4))*XLOOKUP($Q633,'Threshold Summary'!$Y:$Y,'Threshold Summary'!$L:$L,""))/100)+5)*XLOOKUP(XLOOKUP($Q633,'Threshold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Editor'!$E:$E,1))),stab,IF(OR(mtype=XLOOKUP(XLOOKUP($Q633,'Threshold Summary'!$Y:$Y,'Threshold Summary'!$K:$K,""),'Pokemon Editor'!$A:$A,'Pokemon Editor'!$C:$C,""),mtype=XLOOKUP(XLOOKUP($Q633,'Threshold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Chart'!$B$1:$S$1,0)))),base,IF(OR(cat="Status",pow=0),0,FLOOR(FLOOR(FLOOR((2*XLOOKUP($Q633,'Threshold Summary'!$Y:$Y,'Threshold Summary'!$L:$L,"")/5+2)*pow*atk/def)/50)+2)),modifier,stab*eff,AVERAGE(ARRAYFORMULA(FLOOR(base*modifier*SEQUENCE(16,1,85,1)/100)))*MIN(1,acc/100)),0)</f>
        <v/>
      </c>
      <c r="N633" s="4">
        <f>IFERROR(LET(mtype,XLOOKUP($D633,'Move Editor'!$B:$B,'Move Editor'!$C:$C,""),cat,XLOOKUP($D633,'Move Editor'!$B:$B,'Move Editor'!$D:$D,""),pow,XLOOKUP($D633,'Move Editor'!$B:$B,'Move Editor'!$E:$E,0),acc,XLOOKUP($D633,'Move Editor'!$B:$B,'Move Editor'!$F:$F,100),atk,IF(cat="Physical",FLOOR((FLOOR(((2*XLOOKUP(XLOOKUP($Q633,'Threshold Summary'!$Y:$Y,'Threshold Summary'!$K:$K,""),'Pokemon Editor'!$A:$A,'Pokemon Editor'!$F:$F,0)+31+FLOOR(XLOOKUP($Q633,'Threshold Summary'!$Y:$Y,'Threshold Summary'!$P:$P,"")/4))*XLOOKUP($Q633,'Threshold Summary'!$Y:$Y,'Threshold Summary'!$L:$L,""))/100)+5)*XLOOKUP(XLOOKUP($Q633,'Threshold Summary'!$Y:$Y,'Threshold Summary'!$M:$M,""),'Nature Editor'!$A:$A,'Nature Editor'!$B:$B,1)),FLOOR((FLOOR(((2*XLOOKUP(XLOOKUP($Q633,'Threshold Summary'!$Y:$Y,'Threshold Summary'!$K:$K,""),'Pokemon Editor'!$A:$A,'Pokemon Editor'!$H:$H,0)+31+FLOOR(XLOOKUP($Q633,'Threshold Summary'!$Y:$Y,'Threshold Summary'!$R:$R,"")/4))*XLOOKUP($Q633,'Threshold Summary'!$Y:$Y,'Threshold Summary'!$L:$L,""))/100)+5)*XLOOKUP(XLOOKUP($Q633,'Threshold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Editor'!$E:$E,1))),stab,IF(OR(mtype=XLOOKUP(XLOOKUP($Q633,'Threshold Summary'!$Y:$Y,'Threshold Summary'!$K:$K,""),'Pokemon Editor'!$A:$A,'Pokemon Editor'!$C:$C,""),mtype=XLOOKUP(XLOOKUP($Q633,'Threshold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Chart'!$B$1:$S$1,0)))),base,IF(OR(cat="Status",pow=0),0,FLOOR(FLOOR(FLOOR((2*XLOOKUP($Q633,'Threshold Summary'!$Y:$Y,'Threshold Summary'!$L:$L,"")/5+2)*pow*atk/def)/50)+2)),modifier,stab*eff,AVERAGE(ARRAYFORMULA(FLOOR(base*modifier*SEQUENCE(16,1,85,1)/100)))/(FLOOR(((2*XLOOKUP('Boss Editor'!$C$4,'Pokemon Editor'!$A:$A,'Pokemon Editor'!$E:$E,0)+31+FLOOR('Boss Editor'!$G$4/4))*'Boss Editor'!$D$4)/100)+'Boss Editor'!$D$4+10)),0)</f>
        <v/>
      </c>
      <c r="O633" s="3">
        <f>IF(N633&gt;=1,"OHKO",IF(N633&gt;=0.5,"2HKO",IF(N633&gt;=0.333,"3HKO",IF(N633&gt;=0.25,"4HKO","5HKO+"))))</f>
        <v/>
      </c>
      <c r="P633" s="3" t="inlineStr">
        <is>
          <t>Live from editable databases</t>
        </is>
      </c>
      <c r="Q633" s="3" t="inlineStr">
        <is>
          <t>SPECIES_LITLEO</t>
        </is>
      </c>
      <c r="R633" s="3" t="n">
        <v>24</v>
      </c>
    </row>
    <row r="634">
      <c r="A634" s="3">
        <f>XLOOKUP($Q634,'Threshold Summary'!$Y:$Y,'Threshold Summary'!$A:$A,"")</f>
        <v/>
      </c>
      <c r="B634" s="3">
        <f>XLOOKUP($Q634,'Threshold Summary'!$Y:$Y,'Threshold Summary'!$M:$M,"")</f>
        <v/>
      </c>
      <c r="C634" s="3">
        <f>XLOOKUP($Q634,'Threshold Summary'!$Y:$Y,'Threshold Summary'!$N:$N,"")</f>
        <v/>
      </c>
      <c r="D634" s="3">
        <f>IFERROR(INDEX(FILTER('Learnset Editor'!$D$2:$D,'Learnset Editor'!$A$2:$A=XLOOKUP($Q634,'Threshold Summary'!$Y:$Y,'Threshold Summary'!$K:$K,""),'Learnset Editor'!$C$2:$C&lt;=XLOOKUP($Q634,'Threshold Summary'!$Y:$Y,'Threshold Summary'!$L:$L,"")),$R634),"")</f>
        <v/>
      </c>
      <c r="E634" s="3">
        <f>XLOOKUP(D634,'Move Editor'!$B:$B,'Move Editor'!$C:$C,"")</f>
        <v/>
      </c>
      <c r="F634" s="3">
        <f>XLOOKUP(D634,'Move Editor'!$B:$B,'Move Editor'!$D:$D,"")</f>
        <v/>
      </c>
      <c r="G634" s="3">
        <f>XLOOKUP(D634,'Move Editor'!$B:$B,'Move Editor'!$E:$E,0)</f>
        <v/>
      </c>
      <c r="H634" s="3">
        <f>XLOOKUP(D634,'Move Editor'!$B:$B,'Move Editor'!$F:$F,0)</f>
        <v/>
      </c>
      <c r="I634" s="3">
        <f>(INDEX('Type Chart'!$B:$S,MATCH(E634,'Type Chart'!$A:$A,0),MATCH(XLOOKUP('Boss Editor'!$C$4,'Pokemon Editor'!$A:$A,'Pokemon Editor'!$C:$C,""),'Type Chart'!$B$1:$S$1,0))*IF(XLOOKUP('Boss Editor'!$C$4,'Pokemon Editor'!$A:$A,'Pokemon Editor'!$D:$D,"")="",1,INDEX('Type Chart'!$B:$S,MATCH(E634,'Type Chart'!$A:$A,0),MATCH(XLOOKUP('Boss Editor'!$C$4,'Pokemon Editor'!$A:$A,'Pokemon Editor'!$D:$D,""),'Type Chart'!$B$1:$S$1,0))))</f>
        <v/>
      </c>
      <c r="J634" s="3">
        <f>IFERROR(LET(mtype,XLOOKUP($D634,'Move Editor'!$B:$B,'Move Editor'!$C:$C,""),cat,XLOOKUP($D634,'Move Editor'!$B:$B,'Move Editor'!$D:$D,""),pow,XLOOKUP($D634,'Move Editor'!$B:$B,'Move Editor'!$E:$E,0),acc,XLOOKUP($D634,'Move Editor'!$B:$B,'Move Editor'!$F:$F,100),atk,IF(cat="Physical",FLOOR((FLOOR(((2*XLOOKUP(XLOOKUP($Q634,'Threshold Summary'!$Y:$Y,'Threshold Summary'!$K:$K,""),'Pokemon Editor'!$A:$A,'Pokemon Editor'!$F:$F,0)+31+FLOOR(XLOOKUP($Q634,'Threshold Summary'!$Y:$Y,'Threshold Summary'!$P:$P,"")/4))*XLOOKUP($Q634,'Threshold Summary'!$Y:$Y,'Threshold Summary'!$L:$L,""))/100)+5)*XLOOKUP(XLOOKUP($Q634,'Threshold Summary'!$Y:$Y,'Threshold Summary'!$M:$M,""),'Nature Editor'!$A:$A,'Nature Editor'!$B:$B,1)),FLOOR((FLOOR(((2*XLOOKUP(XLOOKUP($Q634,'Threshold Summary'!$Y:$Y,'Threshold Summary'!$K:$K,""),'Pokemon Editor'!$A:$A,'Pokemon Editor'!$H:$H,0)+31+FLOOR(XLOOKUP($Q634,'Threshold Summary'!$Y:$Y,'Threshold Summary'!$R:$R,"")/4))*XLOOKUP($Q634,'Threshold Summary'!$Y:$Y,'Threshold Summary'!$L:$L,""))/100)+5)*XLOOKUP(XLOOKUP($Q634,'Threshold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Editor'!$E:$E,1))),stab,IF(OR(mtype=XLOOKUP(XLOOKUP($Q634,'Threshold Summary'!$Y:$Y,'Threshold Summary'!$K:$K,""),'Pokemon Editor'!$A:$A,'Pokemon Editor'!$C:$C,""),mtype=XLOOKUP(XLOOKUP($Q634,'Threshold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Chart'!$B$1:$S$1,0)))),base,IF(OR(cat="Status",pow=0),0,FLOOR(FLOOR(FLOOR((2*XLOOKUP($Q634,'Threshold Summary'!$Y:$Y,'Threshold Summary'!$L:$L,"")/5+2)*pow*atk/def)/50)+2)),modifier,stab*eff,FLOOR(base*modifier*0.85)),0)</f>
        <v/>
      </c>
      <c r="K634" s="3">
        <f>IFERROR(LET(mtype,XLOOKUP($D634,'Move Editor'!$B:$B,'Move Editor'!$C:$C,""),cat,XLOOKUP($D634,'Move Editor'!$B:$B,'Move Editor'!$D:$D,""),pow,XLOOKUP($D634,'Move Editor'!$B:$B,'Move Editor'!$E:$E,0),acc,XLOOKUP($D634,'Move Editor'!$B:$B,'Move Editor'!$F:$F,100),atk,IF(cat="Physical",FLOOR((FLOOR(((2*XLOOKUP(XLOOKUP($Q634,'Threshold Summary'!$Y:$Y,'Threshold Summary'!$K:$K,""),'Pokemon Editor'!$A:$A,'Pokemon Editor'!$F:$F,0)+31+FLOOR(XLOOKUP($Q634,'Threshold Summary'!$Y:$Y,'Threshold Summary'!$P:$P,"")/4))*XLOOKUP($Q634,'Threshold Summary'!$Y:$Y,'Threshold Summary'!$L:$L,""))/100)+5)*XLOOKUP(XLOOKUP($Q634,'Threshold Summary'!$Y:$Y,'Threshold Summary'!$M:$M,""),'Nature Editor'!$A:$A,'Nature Editor'!$B:$B,1)),FLOOR((FLOOR(((2*XLOOKUP(XLOOKUP($Q634,'Threshold Summary'!$Y:$Y,'Threshold Summary'!$K:$K,""),'Pokemon Editor'!$A:$A,'Pokemon Editor'!$H:$H,0)+31+FLOOR(XLOOKUP($Q634,'Threshold Summary'!$Y:$Y,'Threshold Summary'!$R:$R,"")/4))*XLOOKUP($Q634,'Threshold Summary'!$Y:$Y,'Threshold Summary'!$L:$L,""))/100)+5)*XLOOKUP(XLOOKUP($Q634,'Threshold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Editor'!$E:$E,1))),stab,IF(OR(mtype=XLOOKUP(XLOOKUP($Q634,'Threshold Summary'!$Y:$Y,'Threshold Summary'!$K:$K,""),'Pokemon Editor'!$A:$A,'Pokemon Editor'!$C:$C,""),mtype=XLOOKUP(XLOOKUP($Q634,'Threshold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Chart'!$B$1:$S$1,0)))),base,IF(OR(cat="Status",pow=0),0,FLOOR(FLOOR(FLOOR((2*XLOOKUP($Q634,'Threshold Summary'!$Y:$Y,'Threshold Summary'!$L:$L,"")/5+2)*pow*atk/def)/50)+2)),modifier,stab*eff,FLOOR(base*modifier)),0)</f>
        <v/>
      </c>
      <c r="L634" s="3">
        <f>IFERROR(LET(mtype,XLOOKUP($D634,'Move Editor'!$B:$B,'Move Editor'!$C:$C,""),cat,XLOOKUP($D634,'Move Editor'!$B:$B,'Move Editor'!$D:$D,""),pow,XLOOKUP($D634,'Move Editor'!$B:$B,'Move Editor'!$E:$E,0),acc,XLOOKUP($D634,'Move Editor'!$B:$B,'Move Editor'!$F:$F,100),atk,IF(cat="Physical",FLOOR((FLOOR(((2*XLOOKUP(XLOOKUP($Q634,'Threshold Summary'!$Y:$Y,'Threshold Summary'!$K:$K,""),'Pokemon Editor'!$A:$A,'Pokemon Editor'!$F:$F,0)+31+FLOOR(XLOOKUP($Q634,'Threshold Summary'!$Y:$Y,'Threshold Summary'!$P:$P,"")/4))*XLOOKUP($Q634,'Threshold Summary'!$Y:$Y,'Threshold Summary'!$L:$L,""))/100)+5)*XLOOKUP(XLOOKUP($Q634,'Threshold Summary'!$Y:$Y,'Threshold Summary'!$M:$M,""),'Nature Editor'!$A:$A,'Nature Editor'!$B:$B,1)),FLOOR((FLOOR(((2*XLOOKUP(XLOOKUP($Q634,'Threshold Summary'!$Y:$Y,'Threshold Summary'!$K:$K,""),'Pokemon Editor'!$A:$A,'Pokemon Editor'!$H:$H,0)+31+FLOOR(XLOOKUP($Q634,'Threshold Summary'!$Y:$Y,'Threshold Summary'!$R:$R,"")/4))*XLOOKUP($Q634,'Threshold Summary'!$Y:$Y,'Threshold Summary'!$L:$L,""))/100)+5)*XLOOKUP(XLOOKUP($Q634,'Threshold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Editor'!$E:$E,1))),stab,IF(OR(mtype=XLOOKUP(XLOOKUP($Q634,'Threshold Summary'!$Y:$Y,'Threshold Summary'!$K:$K,""),'Pokemon Editor'!$A:$A,'Pokemon Editor'!$C:$C,""),mtype=XLOOKUP(XLOOKUP($Q634,'Threshold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Chart'!$B$1:$S$1,0)))),base,IF(OR(cat="Status",pow=0),0,FLOOR(FLOOR(FLOOR((2*XLOOKUP($Q634,'Threshold Summary'!$Y:$Y,'Threshold Summary'!$L:$L,"")/5+2)*pow*atk/def)/50)+2)),modifier,stab*eff,AVERAGE(ARRAYFORMULA(FLOOR(base*modifier*SEQUENCE(16,1,85,1)/100)))),0)</f>
        <v/>
      </c>
      <c r="M634" s="3">
        <f>IFERROR(LET(mtype,XLOOKUP($D634,'Move Editor'!$B:$B,'Move Editor'!$C:$C,""),cat,XLOOKUP($D634,'Move Editor'!$B:$B,'Move Editor'!$D:$D,""),pow,XLOOKUP($D634,'Move Editor'!$B:$B,'Move Editor'!$E:$E,0),acc,XLOOKUP($D634,'Move Editor'!$B:$B,'Move Editor'!$F:$F,100),atk,IF(cat="Physical",FLOOR((FLOOR(((2*XLOOKUP(XLOOKUP($Q634,'Threshold Summary'!$Y:$Y,'Threshold Summary'!$K:$K,""),'Pokemon Editor'!$A:$A,'Pokemon Editor'!$F:$F,0)+31+FLOOR(XLOOKUP($Q634,'Threshold Summary'!$Y:$Y,'Threshold Summary'!$P:$P,"")/4))*XLOOKUP($Q634,'Threshold Summary'!$Y:$Y,'Threshold Summary'!$L:$L,""))/100)+5)*XLOOKUP(XLOOKUP($Q634,'Threshold Summary'!$Y:$Y,'Threshold Summary'!$M:$M,""),'Nature Editor'!$A:$A,'Nature Editor'!$B:$B,1)),FLOOR((FLOOR(((2*XLOOKUP(XLOOKUP($Q634,'Threshold Summary'!$Y:$Y,'Threshold Summary'!$K:$K,""),'Pokemon Editor'!$A:$A,'Pokemon Editor'!$H:$H,0)+31+FLOOR(XLOOKUP($Q634,'Threshold Summary'!$Y:$Y,'Threshold Summary'!$R:$R,"")/4))*XLOOKUP($Q634,'Threshold Summary'!$Y:$Y,'Threshold Summary'!$L:$L,""))/100)+5)*XLOOKUP(XLOOKUP($Q634,'Threshold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Editor'!$E:$E,1))),stab,IF(OR(mtype=XLOOKUP(XLOOKUP($Q634,'Threshold Summary'!$Y:$Y,'Threshold Summary'!$K:$K,""),'Pokemon Editor'!$A:$A,'Pokemon Editor'!$C:$C,""),mtype=XLOOKUP(XLOOKUP($Q634,'Threshold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Chart'!$B$1:$S$1,0)))),base,IF(OR(cat="Status",pow=0),0,FLOOR(FLOOR(FLOOR((2*XLOOKUP($Q634,'Threshold Summary'!$Y:$Y,'Threshold Summary'!$L:$L,"")/5+2)*pow*atk/def)/50)+2)),modifier,stab*eff,AVERAGE(ARRAYFORMULA(FLOOR(base*modifier*SEQUENCE(16,1,85,1)/100)))*MIN(1,acc/100)),0)</f>
        <v/>
      </c>
      <c r="N634" s="4">
        <f>IFERROR(LET(mtype,XLOOKUP($D634,'Move Editor'!$B:$B,'Move Editor'!$C:$C,""),cat,XLOOKUP($D634,'Move Editor'!$B:$B,'Move Editor'!$D:$D,""),pow,XLOOKUP($D634,'Move Editor'!$B:$B,'Move Editor'!$E:$E,0),acc,XLOOKUP($D634,'Move Editor'!$B:$B,'Move Editor'!$F:$F,100),atk,IF(cat="Physical",FLOOR((FLOOR(((2*XLOOKUP(XLOOKUP($Q634,'Threshold Summary'!$Y:$Y,'Threshold Summary'!$K:$K,""),'Pokemon Editor'!$A:$A,'Pokemon Editor'!$F:$F,0)+31+FLOOR(XLOOKUP($Q634,'Threshold Summary'!$Y:$Y,'Threshold Summary'!$P:$P,"")/4))*XLOOKUP($Q634,'Threshold Summary'!$Y:$Y,'Threshold Summary'!$L:$L,""))/100)+5)*XLOOKUP(XLOOKUP($Q634,'Threshold Summary'!$Y:$Y,'Threshold Summary'!$M:$M,""),'Nature Editor'!$A:$A,'Nature Editor'!$B:$B,1)),FLOOR((FLOOR(((2*XLOOKUP(XLOOKUP($Q634,'Threshold Summary'!$Y:$Y,'Threshold Summary'!$K:$K,""),'Pokemon Editor'!$A:$A,'Pokemon Editor'!$H:$H,0)+31+FLOOR(XLOOKUP($Q634,'Threshold Summary'!$Y:$Y,'Threshold Summary'!$R:$R,"")/4))*XLOOKUP($Q634,'Threshold Summary'!$Y:$Y,'Threshold Summary'!$L:$L,""))/100)+5)*XLOOKUP(XLOOKUP($Q634,'Threshold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Editor'!$E:$E,1))),stab,IF(OR(mtype=XLOOKUP(XLOOKUP($Q634,'Threshold Summary'!$Y:$Y,'Threshold Summary'!$K:$K,""),'Pokemon Editor'!$A:$A,'Pokemon Editor'!$C:$C,""),mtype=XLOOKUP(XLOOKUP($Q634,'Threshold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Chart'!$B$1:$S$1,0)))),base,IF(OR(cat="Status",pow=0),0,FLOOR(FLOOR(FLOOR((2*XLOOKUP($Q634,'Threshold Summary'!$Y:$Y,'Threshold Summary'!$L:$L,"")/5+2)*pow*atk/def)/50)+2)),modifier,stab*eff,AVERAGE(ARRAYFORMULA(FLOOR(base*modifier*SEQUENCE(16,1,85,1)/100)))/(FLOOR(((2*XLOOKUP('Boss Editor'!$C$4,'Pokemon Editor'!$A:$A,'Pokemon Editor'!$E:$E,0)+31+FLOOR('Boss Editor'!$G$4/4))*'Boss Editor'!$D$4)/100)+'Boss Editor'!$D$4+10)),0)</f>
        <v/>
      </c>
      <c r="O634" s="3">
        <f>IF(N634&gt;=1,"OHKO",IF(N634&gt;=0.5,"2HKO",IF(N634&gt;=0.333,"3HKO",IF(N634&gt;=0.25,"4HKO","5HKO+"))))</f>
        <v/>
      </c>
      <c r="P634" s="3" t="inlineStr">
        <is>
          <t>Live from editable databases</t>
        </is>
      </c>
      <c r="Q634" s="3" t="inlineStr">
        <is>
          <t>SPECIES_LITLEO</t>
        </is>
      </c>
      <c r="R634" s="3" t="n">
        <v>25</v>
      </c>
    </row>
    <row r="635">
      <c r="A635" s="3">
        <f>XLOOKUP($Q635,'Threshold Summary'!$Y:$Y,'Threshold Summary'!$A:$A,"")</f>
        <v/>
      </c>
      <c r="B635" s="3">
        <f>XLOOKUP($Q635,'Threshold Summary'!$Y:$Y,'Threshold Summary'!$M:$M,"")</f>
        <v/>
      </c>
      <c r="C635" s="3">
        <f>XLOOKUP($Q635,'Threshold Summary'!$Y:$Y,'Threshold Summary'!$N:$N,"")</f>
        <v/>
      </c>
      <c r="D635" s="3">
        <f>IFERROR(INDEX(FILTER('Learnset Editor'!$D$2:$D,'Learnset Editor'!$A$2:$A=XLOOKUP($Q635,'Threshold Summary'!$Y:$Y,'Threshold Summary'!$K:$K,""),'Learnset Editor'!$C$2:$C&lt;=XLOOKUP($Q635,'Threshold Summary'!$Y:$Y,'Threshold Summary'!$L:$L,"")),$R635),"")</f>
        <v/>
      </c>
      <c r="E635" s="3">
        <f>XLOOKUP(D635,'Move Editor'!$B:$B,'Move Editor'!$C:$C,"")</f>
        <v/>
      </c>
      <c r="F635" s="3">
        <f>XLOOKUP(D635,'Move Editor'!$B:$B,'Move Editor'!$D:$D,"")</f>
        <v/>
      </c>
      <c r="G635" s="3">
        <f>XLOOKUP(D635,'Move Editor'!$B:$B,'Move Editor'!$E:$E,0)</f>
        <v/>
      </c>
      <c r="H635" s="3">
        <f>XLOOKUP(D635,'Move Editor'!$B:$B,'Move Editor'!$F:$F,0)</f>
        <v/>
      </c>
      <c r="I635" s="3">
        <f>(INDEX('Type Chart'!$B:$S,MATCH(E635,'Type Chart'!$A:$A,0),MATCH(XLOOKUP('Boss Editor'!$C$4,'Pokemon Editor'!$A:$A,'Pokemon Editor'!$C:$C,""),'Type Chart'!$B$1:$S$1,0))*IF(XLOOKUP('Boss Editor'!$C$4,'Pokemon Editor'!$A:$A,'Pokemon Editor'!$D:$D,"")="",1,INDEX('Type Chart'!$B:$S,MATCH(E635,'Type Chart'!$A:$A,0),MATCH(XLOOKUP('Boss Editor'!$C$4,'Pokemon Editor'!$A:$A,'Pokemon Editor'!$D:$D,""),'Type Chart'!$B$1:$S$1,0))))</f>
        <v/>
      </c>
      <c r="J635" s="3">
        <f>IFERROR(LET(mtype,XLOOKUP($D635,'Move Editor'!$B:$B,'Move Editor'!$C:$C,""),cat,XLOOKUP($D635,'Move Editor'!$B:$B,'Move Editor'!$D:$D,""),pow,XLOOKUP($D635,'Move Editor'!$B:$B,'Move Editor'!$E:$E,0),acc,XLOOKUP($D635,'Move Editor'!$B:$B,'Move Editor'!$F:$F,100),atk,IF(cat="Physical",FLOOR((FLOOR(((2*XLOOKUP(XLOOKUP($Q635,'Threshold Summary'!$Y:$Y,'Threshold Summary'!$K:$K,""),'Pokemon Editor'!$A:$A,'Pokemon Editor'!$F:$F,0)+31+FLOOR(XLOOKUP($Q635,'Threshold Summary'!$Y:$Y,'Threshold Summary'!$P:$P,"")/4))*XLOOKUP($Q635,'Threshold Summary'!$Y:$Y,'Threshold Summary'!$L:$L,""))/100)+5)*XLOOKUP(XLOOKUP($Q635,'Threshold Summary'!$Y:$Y,'Threshold Summary'!$M:$M,""),'Nature Editor'!$A:$A,'Nature Editor'!$B:$B,1)),FLOOR((FLOOR(((2*XLOOKUP(XLOOKUP($Q635,'Threshold Summary'!$Y:$Y,'Threshold Summary'!$K:$K,""),'Pokemon Editor'!$A:$A,'Pokemon Editor'!$H:$H,0)+31+FLOOR(XLOOKUP($Q635,'Threshold Summary'!$Y:$Y,'Threshold Summary'!$R:$R,"")/4))*XLOOKUP($Q635,'Threshold Summary'!$Y:$Y,'Threshold Summary'!$L:$L,""))/100)+5)*XLOOKUP(XLOOKUP($Q635,'Threshold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Editor'!$E:$E,1))),stab,IF(OR(mtype=XLOOKUP(XLOOKUP($Q635,'Threshold Summary'!$Y:$Y,'Threshold Summary'!$K:$K,""),'Pokemon Editor'!$A:$A,'Pokemon Editor'!$C:$C,""),mtype=XLOOKUP(XLOOKUP($Q635,'Threshold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Chart'!$B$1:$S$1,0)))),base,IF(OR(cat="Status",pow=0),0,FLOOR(FLOOR(FLOOR((2*XLOOKUP($Q635,'Threshold Summary'!$Y:$Y,'Threshold Summary'!$L:$L,"")/5+2)*pow*atk/def)/50)+2)),modifier,stab*eff,FLOOR(base*modifier*0.85)),0)</f>
        <v/>
      </c>
      <c r="K635" s="3">
        <f>IFERROR(LET(mtype,XLOOKUP($D635,'Move Editor'!$B:$B,'Move Editor'!$C:$C,""),cat,XLOOKUP($D635,'Move Editor'!$B:$B,'Move Editor'!$D:$D,""),pow,XLOOKUP($D635,'Move Editor'!$B:$B,'Move Editor'!$E:$E,0),acc,XLOOKUP($D635,'Move Editor'!$B:$B,'Move Editor'!$F:$F,100),atk,IF(cat="Physical",FLOOR((FLOOR(((2*XLOOKUP(XLOOKUP($Q635,'Threshold Summary'!$Y:$Y,'Threshold Summary'!$K:$K,""),'Pokemon Editor'!$A:$A,'Pokemon Editor'!$F:$F,0)+31+FLOOR(XLOOKUP($Q635,'Threshold Summary'!$Y:$Y,'Threshold Summary'!$P:$P,"")/4))*XLOOKUP($Q635,'Threshold Summary'!$Y:$Y,'Threshold Summary'!$L:$L,""))/100)+5)*XLOOKUP(XLOOKUP($Q635,'Threshold Summary'!$Y:$Y,'Threshold Summary'!$M:$M,""),'Nature Editor'!$A:$A,'Nature Editor'!$B:$B,1)),FLOOR((FLOOR(((2*XLOOKUP(XLOOKUP($Q635,'Threshold Summary'!$Y:$Y,'Threshold Summary'!$K:$K,""),'Pokemon Editor'!$A:$A,'Pokemon Editor'!$H:$H,0)+31+FLOOR(XLOOKUP($Q635,'Threshold Summary'!$Y:$Y,'Threshold Summary'!$R:$R,"")/4))*XLOOKUP($Q635,'Threshold Summary'!$Y:$Y,'Threshold Summary'!$L:$L,""))/100)+5)*XLOOKUP(XLOOKUP($Q635,'Threshold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Editor'!$E:$E,1))),stab,IF(OR(mtype=XLOOKUP(XLOOKUP($Q635,'Threshold Summary'!$Y:$Y,'Threshold Summary'!$K:$K,""),'Pokemon Editor'!$A:$A,'Pokemon Editor'!$C:$C,""),mtype=XLOOKUP(XLOOKUP($Q635,'Threshold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Chart'!$B$1:$S$1,0)))),base,IF(OR(cat="Status",pow=0),0,FLOOR(FLOOR(FLOOR((2*XLOOKUP($Q635,'Threshold Summary'!$Y:$Y,'Threshold Summary'!$L:$L,"")/5+2)*pow*atk/def)/50)+2)),modifier,stab*eff,FLOOR(base*modifier)),0)</f>
        <v/>
      </c>
      <c r="L635" s="3">
        <f>IFERROR(LET(mtype,XLOOKUP($D635,'Move Editor'!$B:$B,'Move Editor'!$C:$C,""),cat,XLOOKUP($D635,'Move Editor'!$B:$B,'Move Editor'!$D:$D,""),pow,XLOOKUP($D635,'Move Editor'!$B:$B,'Move Editor'!$E:$E,0),acc,XLOOKUP($D635,'Move Editor'!$B:$B,'Move Editor'!$F:$F,100),atk,IF(cat="Physical",FLOOR((FLOOR(((2*XLOOKUP(XLOOKUP($Q635,'Threshold Summary'!$Y:$Y,'Threshold Summary'!$K:$K,""),'Pokemon Editor'!$A:$A,'Pokemon Editor'!$F:$F,0)+31+FLOOR(XLOOKUP($Q635,'Threshold Summary'!$Y:$Y,'Threshold Summary'!$P:$P,"")/4))*XLOOKUP($Q635,'Threshold Summary'!$Y:$Y,'Threshold Summary'!$L:$L,""))/100)+5)*XLOOKUP(XLOOKUP($Q635,'Threshold Summary'!$Y:$Y,'Threshold Summary'!$M:$M,""),'Nature Editor'!$A:$A,'Nature Editor'!$B:$B,1)),FLOOR((FLOOR(((2*XLOOKUP(XLOOKUP($Q635,'Threshold Summary'!$Y:$Y,'Threshold Summary'!$K:$K,""),'Pokemon Editor'!$A:$A,'Pokemon Editor'!$H:$H,0)+31+FLOOR(XLOOKUP($Q635,'Threshold Summary'!$Y:$Y,'Threshold Summary'!$R:$R,"")/4))*XLOOKUP($Q635,'Threshold Summary'!$Y:$Y,'Threshold Summary'!$L:$L,""))/100)+5)*XLOOKUP(XLOOKUP($Q635,'Threshold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Editor'!$E:$E,1))),stab,IF(OR(mtype=XLOOKUP(XLOOKUP($Q635,'Threshold Summary'!$Y:$Y,'Threshold Summary'!$K:$K,""),'Pokemon Editor'!$A:$A,'Pokemon Editor'!$C:$C,""),mtype=XLOOKUP(XLOOKUP($Q635,'Threshold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Chart'!$B$1:$S$1,0)))),base,IF(OR(cat="Status",pow=0),0,FLOOR(FLOOR(FLOOR((2*XLOOKUP($Q635,'Threshold Summary'!$Y:$Y,'Threshold Summary'!$L:$L,"")/5+2)*pow*atk/def)/50)+2)),modifier,stab*eff,AVERAGE(ARRAYFORMULA(FLOOR(base*modifier*SEQUENCE(16,1,85,1)/100)))),0)</f>
        <v/>
      </c>
      <c r="M635" s="3">
        <f>IFERROR(LET(mtype,XLOOKUP($D635,'Move Editor'!$B:$B,'Move Editor'!$C:$C,""),cat,XLOOKUP($D635,'Move Editor'!$B:$B,'Move Editor'!$D:$D,""),pow,XLOOKUP($D635,'Move Editor'!$B:$B,'Move Editor'!$E:$E,0),acc,XLOOKUP($D635,'Move Editor'!$B:$B,'Move Editor'!$F:$F,100),atk,IF(cat="Physical",FLOOR((FLOOR(((2*XLOOKUP(XLOOKUP($Q635,'Threshold Summary'!$Y:$Y,'Threshold Summary'!$K:$K,""),'Pokemon Editor'!$A:$A,'Pokemon Editor'!$F:$F,0)+31+FLOOR(XLOOKUP($Q635,'Threshold Summary'!$Y:$Y,'Threshold Summary'!$P:$P,"")/4))*XLOOKUP($Q635,'Threshold Summary'!$Y:$Y,'Threshold Summary'!$L:$L,""))/100)+5)*XLOOKUP(XLOOKUP($Q635,'Threshold Summary'!$Y:$Y,'Threshold Summary'!$M:$M,""),'Nature Editor'!$A:$A,'Nature Editor'!$B:$B,1)),FLOOR((FLOOR(((2*XLOOKUP(XLOOKUP($Q635,'Threshold Summary'!$Y:$Y,'Threshold Summary'!$K:$K,""),'Pokemon Editor'!$A:$A,'Pokemon Editor'!$H:$H,0)+31+FLOOR(XLOOKUP($Q635,'Threshold Summary'!$Y:$Y,'Threshold Summary'!$R:$R,"")/4))*XLOOKUP($Q635,'Threshold Summary'!$Y:$Y,'Threshold Summary'!$L:$L,""))/100)+5)*XLOOKUP(XLOOKUP($Q635,'Threshold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Editor'!$E:$E,1))),stab,IF(OR(mtype=XLOOKUP(XLOOKUP($Q635,'Threshold Summary'!$Y:$Y,'Threshold Summary'!$K:$K,""),'Pokemon Editor'!$A:$A,'Pokemon Editor'!$C:$C,""),mtype=XLOOKUP(XLOOKUP($Q635,'Threshold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Chart'!$B$1:$S$1,0)))),base,IF(OR(cat="Status",pow=0),0,FLOOR(FLOOR(FLOOR((2*XLOOKUP($Q635,'Threshold Summary'!$Y:$Y,'Threshold Summary'!$L:$L,"")/5+2)*pow*atk/def)/50)+2)),modifier,stab*eff,AVERAGE(ARRAYFORMULA(FLOOR(base*modifier*SEQUENCE(16,1,85,1)/100)))*MIN(1,acc/100)),0)</f>
        <v/>
      </c>
      <c r="N635" s="4">
        <f>IFERROR(LET(mtype,XLOOKUP($D635,'Move Editor'!$B:$B,'Move Editor'!$C:$C,""),cat,XLOOKUP($D635,'Move Editor'!$B:$B,'Move Editor'!$D:$D,""),pow,XLOOKUP($D635,'Move Editor'!$B:$B,'Move Editor'!$E:$E,0),acc,XLOOKUP($D635,'Move Editor'!$B:$B,'Move Editor'!$F:$F,100),atk,IF(cat="Physical",FLOOR((FLOOR(((2*XLOOKUP(XLOOKUP($Q635,'Threshold Summary'!$Y:$Y,'Threshold Summary'!$K:$K,""),'Pokemon Editor'!$A:$A,'Pokemon Editor'!$F:$F,0)+31+FLOOR(XLOOKUP($Q635,'Threshold Summary'!$Y:$Y,'Threshold Summary'!$P:$P,"")/4))*XLOOKUP($Q635,'Threshold Summary'!$Y:$Y,'Threshold Summary'!$L:$L,""))/100)+5)*XLOOKUP(XLOOKUP($Q635,'Threshold Summary'!$Y:$Y,'Threshold Summary'!$M:$M,""),'Nature Editor'!$A:$A,'Nature Editor'!$B:$B,1)),FLOOR((FLOOR(((2*XLOOKUP(XLOOKUP($Q635,'Threshold Summary'!$Y:$Y,'Threshold Summary'!$K:$K,""),'Pokemon Editor'!$A:$A,'Pokemon Editor'!$H:$H,0)+31+FLOOR(XLOOKUP($Q635,'Threshold Summary'!$Y:$Y,'Threshold Summary'!$R:$R,"")/4))*XLOOKUP($Q635,'Threshold Summary'!$Y:$Y,'Threshold Summary'!$L:$L,""))/100)+5)*XLOOKUP(XLOOKUP($Q635,'Threshold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Editor'!$E:$E,1))),stab,IF(OR(mtype=XLOOKUP(XLOOKUP($Q635,'Threshold Summary'!$Y:$Y,'Threshold Summary'!$K:$K,""),'Pokemon Editor'!$A:$A,'Pokemon Editor'!$C:$C,""),mtype=XLOOKUP(XLOOKUP($Q635,'Threshold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Chart'!$B$1:$S$1,0)))),base,IF(OR(cat="Status",pow=0),0,FLOOR(FLOOR(FLOOR((2*XLOOKUP($Q635,'Threshold Summary'!$Y:$Y,'Threshold Summary'!$L:$L,"")/5+2)*pow*atk/def)/50)+2)),modifier,stab*eff,AVERAGE(ARRAYFORMULA(FLOOR(base*modifier*SEQUENCE(16,1,85,1)/100)))/(FLOOR(((2*XLOOKUP('Boss Editor'!$C$4,'Pokemon Editor'!$A:$A,'Pokemon Editor'!$E:$E,0)+31+FLOOR('Boss Editor'!$G$4/4))*'Boss Editor'!$D$4)/100)+'Boss Editor'!$D$4+10)),0)</f>
        <v/>
      </c>
      <c r="O635" s="3">
        <f>IF(N635&gt;=1,"OHKO",IF(N635&gt;=0.5,"2HKO",IF(N635&gt;=0.333,"3HKO",IF(N635&gt;=0.25,"4HKO","5HKO+"))))</f>
        <v/>
      </c>
      <c r="P635" s="3" t="inlineStr">
        <is>
          <t>Live from editable databases</t>
        </is>
      </c>
      <c r="Q635" s="3" t="inlineStr">
        <is>
          <t>SPECIES_LITLEO</t>
        </is>
      </c>
      <c r="R635" s="3" t="n">
        <v>26</v>
      </c>
    </row>
    <row r="636">
      <c r="A636" s="3">
        <f>XLOOKUP($Q636,'Threshold Summary'!$Y:$Y,'Threshold Summary'!$A:$A,"")</f>
        <v/>
      </c>
      <c r="B636" s="3">
        <f>XLOOKUP($Q636,'Threshold Summary'!$Y:$Y,'Threshold Summary'!$M:$M,"")</f>
        <v/>
      </c>
      <c r="C636" s="3">
        <f>XLOOKUP($Q636,'Threshold Summary'!$Y:$Y,'Threshold Summary'!$N:$N,"")</f>
        <v/>
      </c>
      <c r="D636" s="3">
        <f>IFERROR(INDEX(FILTER('Learnset Editor'!$D$2:$D,'Learnset Editor'!$A$2:$A=XLOOKUP($Q636,'Threshold Summary'!$Y:$Y,'Threshold Summary'!$K:$K,""),'Learnset Editor'!$C$2:$C&lt;=XLOOKUP($Q636,'Threshold Summary'!$Y:$Y,'Threshold Summary'!$L:$L,"")),$R636),"")</f>
        <v/>
      </c>
      <c r="E636" s="3">
        <f>XLOOKUP(D636,'Move Editor'!$B:$B,'Move Editor'!$C:$C,"")</f>
        <v/>
      </c>
      <c r="F636" s="3">
        <f>XLOOKUP(D636,'Move Editor'!$B:$B,'Move Editor'!$D:$D,"")</f>
        <v/>
      </c>
      <c r="G636" s="3">
        <f>XLOOKUP(D636,'Move Editor'!$B:$B,'Move Editor'!$E:$E,0)</f>
        <v/>
      </c>
      <c r="H636" s="3">
        <f>XLOOKUP(D636,'Move Editor'!$B:$B,'Move Editor'!$F:$F,0)</f>
        <v/>
      </c>
      <c r="I636" s="3">
        <f>(INDEX('Type Chart'!$B:$S,MATCH(E636,'Type Chart'!$A:$A,0),MATCH(XLOOKUP('Boss Editor'!$C$4,'Pokemon Editor'!$A:$A,'Pokemon Editor'!$C:$C,""),'Type Chart'!$B$1:$S$1,0))*IF(XLOOKUP('Boss Editor'!$C$4,'Pokemon Editor'!$A:$A,'Pokemon Editor'!$D:$D,"")="",1,INDEX('Type Chart'!$B:$S,MATCH(E636,'Type Chart'!$A:$A,0),MATCH(XLOOKUP('Boss Editor'!$C$4,'Pokemon Editor'!$A:$A,'Pokemon Editor'!$D:$D,""),'Type Chart'!$B$1:$S$1,0))))</f>
        <v/>
      </c>
      <c r="J636" s="3">
        <f>IFERROR(LET(mtype,XLOOKUP($D636,'Move Editor'!$B:$B,'Move Editor'!$C:$C,""),cat,XLOOKUP($D636,'Move Editor'!$B:$B,'Move Editor'!$D:$D,""),pow,XLOOKUP($D636,'Move Editor'!$B:$B,'Move Editor'!$E:$E,0),acc,XLOOKUP($D636,'Move Editor'!$B:$B,'Move Editor'!$F:$F,100),atk,IF(cat="Physical",FLOOR((FLOOR(((2*XLOOKUP(XLOOKUP($Q636,'Threshold Summary'!$Y:$Y,'Threshold Summary'!$K:$K,""),'Pokemon Editor'!$A:$A,'Pokemon Editor'!$F:$F,0)+31+FLOOR(XLOOKUP($Q636,'Threshold Summary'!$Y:$Y,'Threshold Summary'!$P:$P,"")/4))*XLOOKUP($Q636,'Threshold Summary'!$Y:$Y,'Threshold Summary'!$L:$L,""))/100)+5)*XLOOKUP(XLOOKUP($Q636,'Threshold Summary'!$Y:$Y,'Threshold Summary'!$M:$M,""),'Nature Editor'!$A:$A,'Nature Editor'!$B:$B,1)),FLOOR((FLOOR(((2*XLOOKUP(XLOOKUP($Q636,'Threshold Summary'!$Y:$Y,'Threshold Summary'!$K:$K,""),'Pokemon Editor'!$A:$A,'Pokemon Editor'!$H:$H,0)+31+FLOOR(XLOOKUP($Q636,'Threshold Summary'!$Y:$Y,'Threshold Summary'!$R:$R,"")/4))*XLOOKUP($Q636,'Threshold Summary'!$Y:$Y,'Threshold Summary'!$L:$L,""))/100)+5)*XLOOKUP(XLOOKUP($Q636,'Threshold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Editor'!$E:$E,1))),stab,IF(OR(mtype=XLOOKUP(XLOOKUP($Q636,'Threshold Summary'!$Y:$Y,'Threshold Summary'!$K:$K,""),'Pokemon Editor'!$A:$A,'Pokemon Editor'!$C:$C,""),mtype=XLOOKUP(XLOOKUP($Q636,'Threshold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Chart'!$B$1:$S$1,0)))),base,IF(OR(cat="Status",pow=0),0,FLOOR(FLOOR(FLOOR((2*XLOOKUP($Q636,'Threshold Summary'!$Y:$Y,'Threshold Summary'!$L:$L,"")/5+2)*pow*atk/def)/50)+2)),modifier,stab*eff,FLOOR(base*modifier*0.85)),0)</f>
        <v/>
      </c>
      <c r="K636" s="3">
        <f>IFERROR(LET(mtype,XLOOKUP($D636,'Move Editor'!$B:$B,'Move Editor'!$C:$C,""),cat,XLOOKUP($D636,'Move Editor'!$B:$B,'Move Editor'!$D:$D,""),pow,XLOOKUP($D636,'Move Editor'!$B:$B,'Move Editor'!$E:$E,0),acc,XLOOKUP($D636,'Move Editor'!$B:$B,'Move Editor'!$F:$F,100),atk,IF(cat="Physical",FLOOR((FLOOR(((2*XLOOKUP(XLOOKUP($Q636,'Threshold Summary'!$Y:$Y,'Threshold Summary'!$K:$K,""),'Pokemon Editor'!$A:$A,'Pokemon Editor'!$F:$F,0)+31+FLOOR(XLOOKUP($Q636,'Threshold Summary'!$Y:$Y,'Threshold Summary'!$P:$P,"")/4))*XLOOKUP($Q636,'Threshold Summary'!$Y:$Y,'Threshold Summary'!$L:$L,""))/100)+5)*XLOOKUP(XLOOKUP($Q636,'Threshold Summary'!$Y:$Y,'Threshold Summary'!$M:$M,""),'Nature Editor'!$A:$A,'Nature Editor'!$B:$B,1)),FLOOR((FLOOR(((2*XLOOKUP(XLOOKUP($Q636,'Threshold Summary'!$Y:$Y,'Threshold Summary'!$K:$K,""),'Pokemon Editor'!$A:$A,'Pokemon Editor'!$H:$H,0)+31+FLOOR(XLOOKUP($Q636,'Threshold Summary'!$Y:$Y,'Threshold Summary'!$R:$R,"")/4))*XLOOKUP($Q636,'Threshold Summary'!$Y:$Y,'Threshold Summary'!$L:$L,""))/100)+5)*XLOOKUP(XLOOKUP($Q636,'Threshold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Editor'!$E:$E,1))),stab,IF(OR(mtype=XLOOKUP(XLOOKUP($Q636,'Threshold Summary'!$Y:$Y,'Threshold Summary'!$K:$K,""),'Pokemon Editor'!$A:$A,'Pokemon Editor'!$C:$C,""),mtype=XLOOKUP(XLOOKUP($Q636,'Threshold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Chart'!$B$1:$S$1,0)))),base,IF(OR(cat="Status",pow=0),0,FLOOR(FLOOR(FLOOR((2*XLOOKUP($Q636,'Threshold Summary'!$Y:$Y,'Threshold Summary'!$L:$L,"")/5+2)*pow*atk/def)/50)+2)),modifier,stab*eff,FLOOR(base*modifier)),0)</f>
        <v/>
      </c>
      <c r="L636" s="3">
        <f>IFERROR(LET(mtype,XLOOKUP($D636,'Move Editor'!$B:$B,'Move Editor'!$C:$C,""),cat,XLOOKUP($D636,'Move Editor'!$B:$B,'Move Editor'!$D:$D,""),pow,XLOOKUP($D636,'Move Editor'!$B:$B,'Move Editor'!$E:$E,0),acc,XLOOKUP($D636,'Move Editor'!$B:$B,'Move Editor'!$F:$F,100),atk,IF(cat="Physical",FLOOR((FLOOR(((2*XLOOKUP(XLOOKUP($Q636,'Threshold Summary'!$Y:$Y,'Threshold Summary'!$K:$K,""),'Pokemon Editor'!$A:$A,'Pokemon Editor'!$F:$F,0)+31+FLOOR(XLOOKUP($Q636,'Threshold Summary'!$Y:$Y,'Threshold Summary'!$P:$P,"")/4))*XLOOKUP($Q636,'Threshold Summary'!$Y:$Y,'Threshold Summary'!$L:$L,""))/100)+5)*XLOOKUP(XLOOKUP($Q636,'Threshold Summary'!$Y:$Y,'Threshold Summary'!$M:$M,""),'Nature Editor'!$A:$A,'Nature Editor'!$B:$B,1)),FLOOR((FLOOR(((2*XLOOKUP(XLOOKUP($Q636,'Threshold Summary'!$Y:$Y,'Threshold Summary'!$K:$K,""),'Pokemon Editor'!$A:$A,'Pokemon Editor'!$H:$H,0)+31+FLOOR(XLOOKUP($Q636,'Threshold Summary'!$Y:$Y,'Threshold Summary'!$R:$R,"")/4))*XLOOKUP($Q636,'Threshold Summary'!$Y:$Y,'Threshold Summary'!$L:$L,""))/100)+5)*XLOOKUP(XLOOKUP($Q636,'Threshold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Editor'!$E:$E,1))),stab,IF(OR(mtype=XLOOKUP(XLOOKUP($Q636,'Threshold Summary'!$Y:$Y,'Threshold Summary'!$K:$K,""),'Pokemon Editor'!$A:$A,'Pokemon Editor'!$C:$C,""),mtype=XLOOKUP(XLOOKUP($Q636,'Threshold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Chart'!$B$1:$S$1,0)))),base,IF(OR(cat="Status",pow=0),0,FLOOR(FLOOR(FLOOR((2*XLOOKUP($Q636,'Threshold Summary'!$Y:$Y,'Threshold Summary'!$L:$L,"")/5+2)*pow*atk/def)/50)+2)),modifier,stab*eff,AVERAGE(ARRAYFORMULA(FLOOR(base*modifier*SEQUENCE(16,1,85,1)/100)))),0)</f>
        <v/>
      </c>
      <c r="M636" s="3">
        <f>IFERROR(LET(mtype,XLOOKUP($D636,'Move Editor'!$B:$B,'Move Editor'!$C:$C,""),cat,XLOOKUP($D636,'Move Editor'!$B:$B,'Move Editor'!$D:$D,""),pow,XLOOKUP($D636,'Move Editor'!$B:$B,'Move Editor'!$E:$E,0),acc,XLOOKUP($D636,'Move Editor'!$B:$B,'Move Editor'!$F:$F,100),atk,IF(cat="Physical",FLOOR((FLOOR(((2*XLOOKUP(XLOOKUP($Q636,'Threshold Summary'!$Y:$Y,'Threshold Summary'!$K:$K,""),'Pokemon Editor'!$A:$A,'Pokemon Editor'!$F:$F,0)+31+FLOOR(XLOOKUP($Q636,'Threshold Summary'!$Y:$Y,'Threshold Summary'!$P:$P,"")/4))*XLOOKUP($Q636,'Threshold Summary'!$Y:$Y,'Threshold Summary'!$L:$L,""))/100)+5)*XLOOKUP(XLOOKUP($Q636,'Threshold Summary'!$Y:$Y,'Threshold Summary'!$M:$M,""),'Nature Editor'!$A:$A,'Nature Editor'!$B:$B,1)),FLOOR((FLOOR(((2*XLOOKUP(XLOOKUP($Q636,'Threshold Summary'!$Y:$Y,'Threshold Summary'!$K:$K,""),'Pokemon Editor'!$A:$A,'Pokemon Editor'!$H:$H,0)+31+FLOOR(XLOOKUP($Q636,'Threshold Summary'!$Y:$Y,'Threshold Summary'!$R:$R,"")/4))*XLOOKUP($Q636,'Threshold Summary'!$Y:$Y,'Threshold Summary'!$L:$L,""))/100)+5)*XLOOKUP(XLOOKUP($Q636,'Threshold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Editor'!$E:$E,1))),stab,IF(OR(mtype=XLOOKUP(XLOOKUP($Q636,'Threshold Summary'!$Y:$Y,'Threshold Summary'!$K:$K,""),'Pokemon Editor'!$A:$A,'Pokemon Editor'!$C:$C,""),mtype=XLOOKUP(XLOOKUP($Q636,'Threshold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Chart'!$B$1:$S$1,0)))),base,IF(OR(cat="Status",pow=0),0,FLOOR(FLOOR(FLOOR((2*XLOOKUP($Q636,'Threshold Summary'!$Y:$Y,'Threshold Summary'!$L:$L,"")/5+2)*pow*atk/def)/50)+2)),modifier,stab*eff,AVERAGE(ARRAYFORMULA(FLOOR(base*modifier*SEQUENCE(16,1,85,1)/100)))*MIN(1,acc/100)),0)</f>
        <v/>
      </c>
      <c r="N636" s="4">
        <f>IFERROR(LET(mtype,XLOOKUP($D636,'Move Editor'!$B:$B,'Move Editor'!$C:$C,""),cat,XLOOKUP($D636,'Move Editor'!$B:$B,'Move Editor'!$D:$D,""),pow,XLOOKUP($D636,'Move Editor'!$B:$B,'Move Editor'!$E:$E,0),acc,XLOOKUP($D636,'Move Editor'!$B:$B,'Move Editor'!$F:$F,100),atk,IF(cat="Physical",FLOOR((FLOOR(((2*XLOOKUP(XLOOKUP($Q636,'Threshold Summary'!$Y:$Y,'Threshold Summary'!$K:$K,""),'Pokemon Editor'!$A:$A,'Pokemon Editor'!$F:$F,0)+31+FLOOR(XLOOKUP($Q636,'Threshold Summary'!$Y:$Y,'Threshold Summary'!$P:$P,"")/4))*XLOOKUP($Q636,'Threshold Summary'!$Y:$Y,'Threshold Summary'!$L:$L,""))/100)+5)*XLOOKUP(XLOOKUP($Q636,'Threshold Summary'!$Y:$Y,'Threshold Summary'!$M:$M,""),'Nature Editor'!$A:$A,'Nature Editor'!$B:$B,1)),FLOOR((FLOOR(((2*XLOOKUP(XLOOKUP($Q636,'Threshold Summary'!$Y:$Y,'Threshold Summary'!$K:$K,""),'Pokemon Editor'!$A:$A,'Pokemon Editor'!$H:$H,0)+31+FLOOR(XLOOKUP($Q636,'Threshold Summary'!$Y:$Y,'Threshold Summary'!$R:$R,"")/4))*XLOOKUP($Q636,'Threshold Summary'!$Y:$Y,'Threshold Summary'!$L:$L,""))/100)+5)*XLOOKUP(XLOOKUP($Q636,'Threshold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Editor'!$E:$E,1))),stab,IF(OR(mtype=XLOOKUP(XLOOKUP($Q636,'Threshold Summary'!$Y:$Y,'Threshold Summary'!$K:$K,""),'Pokemon Editor'!$A:$A,'Pokemon Editor'!$C:$C,""),mtype=XLOOKUP(XLOOKUP($Q636,'Threshold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Chart'!$B$1:$S$1,0)))),base,IF(OR(cat="Status",pow=0),0,FLOOR(FLOOR(FLOOR((2*XLOOKUP($Q636,'Threshold Summary'!$Y:$Y,'Threshold Summary'!$L:$L,"")/5+2)*pow*atk/def)/50)+2)),modifier,stab*eff,AVERAGE(ARRAYFORMULA(FLOOR(base*modifier*SEQUENCE(16,1,85,1)/100)))/(FLOOR(((2*XLOOKUP('Boss Editor'!$C$4,'Pokemon Editor'!$A:$A,'Pokemon Editor'!$E:$E,0)+31+FLOOR('Boss Editor'!$G$4/4))*'Boss Editor'!$D$4)/100)+'Boss Editor'!$D$4+10)),0)</f>
        <v/>
      </c>
      <c r="O636" s="3">
        <f>IF(N636&gt;=1,"OHKO",IF(N636&gt;=0.5,"2HKO",IF(N636&gt;=0.333,"3HKO",IF(N636&gt;=0.25,"4HKO","5HKO+"))))</f>
        <v/>
      </c>
      <c r="P636" s="3" t="inlineStr">
        <is>
          <t>Live from editable databases</t>
        </is>
      </c>
      <c r="Q636" s="3" t="inlineStr">
        <is>
          <t>SPECIES_LITLEO</t>
        </is>
      </c>
      <c r="R636" s="3" t="n">
        <v>27</v>
      </c>
    </row>
    <row r="637">
      <c r="A637" s="3">
        <f>XLOOKUP($Q637,'Threshold Summary'!$Y:$Y,'Threshold Summary'!$A:$A,"")</f>
        <v/>
      </c>
      <c r="B637" s="3">
        <f>XLOOKUP($Q637,'Threshold Summary'!$Y:$Y,'Threshold Summary'!$M:$M,"")</f>
        <v/>
      </c>
      <c r="C637" s="3">
        <f>XLOOKUP($Q637,'Threshold Summary'!$Y:$Y,'Threshold Summary'!$N:$N,"")</f>
        <v/>
      </c>
      <c r="D637" s="3">
        <f>IFERROR(INDEX(FILTER('Learnset Editor'!$D$2:$D,'Learnset Editor'!$A$2:$A=XLOOKUP($Q637,'Threshold Summary'!$Y:$Y,'Threshold Summary'!$K:$K,""),'Learnset Editor'!$C$2:$C&lt;=XLOOKUP($Q637,'Threshold Summary'!$Y:$Y,'Threshold Summary'!$L:$L,"")),$R637),"")</f>
        <v/>
      </c>
      <c r="E637" s="3">
        <f>XLOOKUP(D637,'Move Editor'!$B:$B,'Move Editor'!$C:$C,"")</f>
        <v/>
      </c>
      <c r="F637" s="3">
        <f>XLOOKUP(D637,'Move Editor'!$B:$B,'Move Editor'!$D:$D,"")</f>
        <v/>
      </c>
      <c r="G637" s="3">
        <f>XLOOKUP(D637,'Move Editor'!$B:$B,'Move Editor'!$E:$E,0)</f>
        <v/>
      </c>
      <c r="H637" s="3">
        <f>XLOOKUP(D637,'Move Editor'!$B:$B,'Move Editor'!$F:$F,0)</f>
        <v/>
      </c>
      <c r="I637" s="3">
        <f>(INDEX('Type Chart'!$B:$S,MATCH(E637,'Type Chart'!$A:$A,0),MATCH(XLOOKUP('Boss Editor'!$C$4,'Pokemon Editor'!$A:$A,'Pokemon Editor'!$C:$C,""),'Type Chart'!$B$1:$S$1,0))*IF(XLOOKUP('Boss Editor'!$C$4,'Pokemon Editor'!$A:$A,'Pokemon Editor'!$D:$D,"")="",1,INDEX('Type Chart'!$B:$S,MATCH(E637,'Type Chart'!$A:$A,0),MATCH(XLOOKUP('Boss Editor'!$C$4,'Pokemon Editor'!$A:$A,'Pokemon Editor'!$D:$D,""),'Type Chart'!$B$1:$S$1,0))))</f>
        <v/>
      </c>
      <c r="J637" s="3">
        <f>IFERROR(LET(mtype,XLOOKUP($D637,'Move Editor'!$B:$B,'Move Editor'!$C:$C,""),cat,XLOOKUP($D637,'Move Editor'!$B:$B,'Move Editor'!$D:$D,""),pow,XLOOKUP($D637,'Move Editor'!$B:$B,'Move Editor'!$E:$E,0),acc,XLOOKUP($D637,'Move Editor'!$B:$B,'Move Editor'!$F:$F,100),atk,IF(cat="Physical",FLOOR((FLOOR(((2*XLOOKUP(XLOOKUP($Q637,'Threshold Summary'!$Y:$Y,'Threshold Summary'!$K:$K,""),'Pokemon Editor'!$A:$A,'Pokemon Editor'!$F:$F,0)+31+FLOOR(XLOOKUP($Q637,'Threshold Summary'!$Y:$Y,'Threshold Summary'!$P:$P,"")/4))*XLOOKUP($Q637,'Threshold Summary'!$Y:$Y,'Threshold Summary'!$L:$L,""))/100)+5)*XLOOKUP(XLOOKUP($Q637,'Threshold Summary'!$Y:$Y,'Threshold Summary'!$M:$M,""),'Nature Editor'!$A:$A,'Nature Editor'!$B:$B,1)),FLOOR((FLOOR(((2*XLOOKUP(XLOOKUP($Q637,'Threshold Summary'!$Y:$Y,'Threshold Summary'!$K:$K,""),'Pokemon Editor'!$A:$A,'Pokemon Editor'!$H:$H,0)+31+FLOOR(XLOOKUP($Q637,'Threshold Summary'!$Y:$Y,'Threshold Summary'!$R:$R,"")/4))*XLOOKUP($Q637,'Threshold Summary'!$Y:$Y,'Threshold Summary'!$L:$L,""))/100)+5)*XLOOKUP(XLOOKUP($Q637,'Threshold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Editor'!$E:$E,1))),stab,IF(OR(mtype=XLOOKUP(XLOOKUP($Q637,'Threshold Summary'!$Y:$Y,'Threshold Summary'!$K:$K,""),'Pokemon Editor'!$A:$A,'Pokemon Editor'!$C:$C,""),mtype=XLOOKUP(XLOOKUP($Q637,'Threshold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Chart'!$B$1:$S$1,0)))),base,IF(OR(cat="Status",pow=0),0,FLOOR(FLOOR(FLOOR((2*XLOOKUP($Q637,'Threshold Summary'!$Y:$Y,'Threshold Summary'!$L:$L,"")/5+2)*pow*atk/def)/50)+2)),modifier,stab*eff,FLOOR(base*modifier*0.85)),0)</f>
        <v/>
      </c>
      <c r="K637" s="3">
        <f>IFERROR(LET(mtype,XLOOKUP($D637,'Move Editor'!$B:$B,'Move Editor'!$C:$C,""),cat,XLOOKUP($D637,'Move Editor'!$B:$B,'Move Editor'!$D:$D,""),pow,XLOOKUP($D637,'Move Editor'!$B:$B,'Move Editor'!$E:$E,0),acc,XLOOKUP($D637,'Move Editor'!$B:$B,'Move Editor'!$F:$F,100),atk,IF(cat="Physical",FLOOR((FLOOR(((2*XLOOKUP(XLOOKUP($Q637,'Threshold Summary'!$Y:$Y,'Threshold Summary'!$K:$K,""),'Pokemon Editor'!$A:$A,'Pokemon Editor'!$F:$F,0)+31+FLOOR(XLOOKUP($Q637,'Threshold Summary'!$Y:$Y,'Threshold Summary'!$P:$P,"")/4))*XLOOKUP($Q637,'Threshold Summary'!$Y:$Y,'Threshold Summary'!$L:$L,""))/100)+5)*XLOOKUP(XLOOKUP($Q637,'Threshold Summary'!$Y:$Y,'Threshold Summary'!$M:$M,""),'Nature Editor'!$A:$A,'Nature Editor'!$B:$B,1)),FLOOR((FLOOR(((2*XLOOKUP(XLOOKUP($Q637,'Threshold Summary'!$Y:$Y,'Threshold Summary'!$K:$K,""),'Pokemon Editor'!$A:$A,'Pokemon Editor'!$H:$H,0)+31+FLOOR(XLOOKUP($Q637,'Threshold Summary'!$Y:$Y,'Threshold Summary'!$R:$R,"")/4))*XLOOKUP($Q637,'Threshold Summary'!$Y:$Y,'Threshold Summary'!$L:$L,""))/100)+5)*XLOOKUP(XLOOKUP($Q637,'Threshold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Editor'!$E:$E,1))),stab,IF(OR(mtype=XLOOKUP(XLOOKUP($Q637,'Threshold Summary'!$Y:$Y,'Threshold Summary'!$K:$K,""),'Pokemon Editor'!$A:$A,'Pokemon Editor'!$C:$C,""),mtype=XLOOKUP(XLOOKUP($Q637,'Threshold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Chart'!$B$1:$S$1,0)))),base,IF(OR(cat="Status",pow=0),0,FLOOR(FLOOR(FLOOR((2*XLOOKUP($Q637,'Threshold Summary'!$Y:$Y,'Threshold Summary'!$L:$L,"")/5+2)*pow*atk/def)/50)+2)),modifier,stab*eff,FLOOR(base*modifier)),0)</f>
        <v/>
      </c>
      <c r="L637" s="3">
        <f>IFERROR(LET(mtype,XLOOKUP($D637,'Move Editor'!$B:$B,'Move Editor'!$C:$C,""),cat,XLOOKUP($D637,'Move Editor'!$B:$B,'Move Editor'!$D:$D,""),pow,XLOOKUP($D637,'Move Editor'!$B:$B,'Move Editor'!$E:$E,0),acc,XLOOKUP($D637,'Move Editor'!$B:$B,'Move Editor'!$F:$F,100),atk,IF(cat="Physical",FLOOR((FLOOR(((2*XLOOKUP(XLOOKUP($Q637,'Threshold Summary'!$Y:$Y,'Threshold Summary'!$K:$K,""),'Pokemon Editor'!$A:$A,'Pokemon Editor'!$F:$F,0)+31+FLOOR(XLOOKUP($Q637,'Threshold Summary'!$Y:$Y,'Threshold Summary'!$P:$P,"")/4))*XLOOKUP($Q637,'Threshold Summary'!$Y:$Y,'Threshold Summary'!$L:$L,""))/100)+5)*XLOOKUP(XLOOKUP($Q637,'Threshold Summary'!$Y:$Y,'Threshold Summary'!$M:$M,""),'Nature Editor'!$A:$A,'Nature Editor'!$B:$B,1)),FLOOR((FLOOR(((2*XLOOKUP(XLOOKUP($Q637,'Threshold Summary'!$Y:$Y,'Threshold Summary'!$K:$K,""),'Pokemon Editor'!$A:$A,'Pokemon Editor'!$H:$H,0)+31+FLOOR(XLOOKUP($Q637,'Threshold Summary'!$Y:$Y,'Threshold Summary'!$R:$R,"")/4))*XLOOKUP($Q637,'Threshold Summary'!$Y:$Y,'Threshold Summary'!$L:$L,""))/100)+5)*XLOOKUP(XLOOKUP($Q637,'Threshold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Editor'!$E:$E,1))),stab,IF(OR(mtype=XLOOKUP(XLOOKUP($Q637,'Threshold Summary'!$Y:$Y,'Threshold Summary'!$K:$K,""),'Pokemon Editor'!$A:$A,'Pokemon Editor'!$C:$C,""),mtype=XLOOKUP(XLOOKUP($Q637,'Threshold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Chart'!$B$1:$S$1,0)))),base,IF(OR(cat="Status",pow=0),0,FLOOR(FLOOR(FLOOR((2*XLOOKUP($Q637,'Threshold Summary'!$Y:$Y,'Threshold Summary'!$L:$L,"")/5+2)*pow*atk/def)/50)+2)),modifier,stab*eff,AVERAGE(ARRAYFORMULA(FLOOR(base*modifier*SEQUENCE(16,1,85,1)/100)))),0)</f>
        <v/>
      </c>
      <c r="M637" s="3">
        <f>IFERROR(LET(mtype,XLOOKUP($D637,'Move Editor'!$B:$B,'Move Editor'!$C:$C,""),cat,XLOOKUP($D637,'Move Editor'!$B:$B,'Move Editor'!$D:$D,""),pow,XLOOKUP($D637,'Move Editor'!$B:$B,'Move Editor'!$E:$E,0),acc,XLOOKUP($D637,'Move Editor'!$B:$B,'Move Editor'!$F:$F,100),atk,IF(cat="Physical",FLOOR((FLOOR(((2*XLOOKUP(XLOOKUP($Q637,'Threshold Summary'!$Y:$Y,'Threshold Summary'!$K:$K,""),'Pokemon Editor'!$A:$A,'Pokemon Editor'!$F:$F,0)+31+FLOOR(XLOOKUP($Q637,'Threshold Summary'!$Y:$Y,'Threshold Summary'!$P:$P,"")/4))*XLOOKUP($Q637,'Threshold Summary'!$Y:$Y,'Threshold Summary'!$L:$L,""))/100)+5)*XLOOKUP(XLOOKUP($Q637,'Threshold Summary'!$Y:$Y,'Threshold Summary'!$M:$M,""),'Nature Editor'!$A:$A,'Nature Editor'!$B:$B,1)),FLOOR((FLOOR(((2*XLOOKUP(XLOOKUP($Q637,'Threshold Summary'!$Y:$Y,'Threshold Summary'!$K:$K,""),'Pokemon Editor'!$A:$A,'Pokemon Editor'!$H:$H,0)+31+FLOOR(XLOOKUP($Q637,'Threshold Summary'!$Y:$Y,'Threshold Summary'!$R:$R,"")/4))*XLOOKUP($Q637,'Threshold Summary'!$Y:$Y,'Threshold Summary'!$L:$L,""))/100)+5)*XLOOKUP(XLOOKUP($Q637,'Threshold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Editor'!$E:$E,1))),stab,IF(OR(mtype=XLOOKUP(XLOOKUP($Q637,'Threshold Summary'!$Y:$Y,'Threshold Summary'!$K:$K,""),'Pokemon Editor'!$A:$A,'Pokemon Editor'!$C:$C,""),mtype=XLOOKUP(XLOOKUP($Q637,'Threshold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Chart'!$B$1:$S$1,0)))),base,IF(OR(cat="Status",pow=0),0,FLOOR(FLOOR(FLOOR((2*XLOOKUP($Q637,'Threshold Summary'!$Y:$Y,'Threshold Summary'!$L:$L,"")/5+2)*pow*atk/def)/50)+2)),modifier,stab*eff,AVERAGE(ARRAYFORMULA(FLOOR(base*modifier*SEQUENCE(16,1,85,1)/100)))*MIN(1,acc/100)),0)</f>
        <v/>
      </c>
      <c r="N637" s="4">
        <f>IFERROR(LET(mtype,XLOOKUP($D637,'Move Editor'!$B:$B,'Move Editor'!$C:$C,""),cat,XLOOKUP($D637,'Move Editor'!$B:$B,'Move Editor'!$D:$D,""),pow,XLOOKUP($D637,'Move Editor'!$B:$B,'Move Editor'!$E:$E,0),acc,XLOOKUP($D637,'Move Editor'!$B:$B,'Move Editor'!$F:$F,100),atk,IF(cat="Physical",FLOOR((FLOOR(((2*XLOOKUP(XLOOKUP($Q637,'Threshold Summary'!$Y:$Y,'Threshold Summary'!$K:$K,""),'Pokemon Editor'!$A:$A,'Pokemon Editor'!$F:$F,0)+31+FLOOR(XLOOKUP($Q637,'Threshold Summary'!$Y:$Y,'Threshold Summary'!$P:$P,"")/4))*XLOOKUP($Q637,'Threshold Summary'!$Y:$Y,'Threshold Summary'!$L:$L,""))/100)+5)*XLOOKUP(XLOOKUP($Q637,'Threshold Summary'!$Y:$Y,'Threshold Summary'!$M:$M,""),'Nature Editor'!$A:$A,'Nature Editor'!$B:$B,1)),FLOOR((FLOOR(((2*XLOOKUP(XLOOKUP($Q637,'Threshold Summary'!$Y:$Y,'Threshold Summary'!$K:$K,""),'Pokemon Editor'!$A:$A,'Pokemon Editor'!$H:$H,0)+31+FLOOR(XLOOKUP($Q637,'Threshold Summary'!$Y:$Y,'Threshold Summary'!$R:$R,"")/4))*XLOOKUP($Q637,'Threshold Summary'!$Y:$Y,'Threshold Summary'!$L:$L,""))/100)+5)*XLOOKUP(XLOOKUP($Q637,'Threshold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Editor'!$E:$E,1))),stab,IF(OR(mtype=XLOOKUP(XLOOKUP($Q637,'Threshold Summary'!$Y:$Y,'Threshold Summary'!$K:$K,""),'Pokemon Editor'!$A:$A,'Pokemon Editor'!$C:$C,""),mtype=XLOOKUP(XLOOKUP($Q637,'Threshold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Chart'!$B$1:$S$1,0)))),base,IF(OR(cat="Status",pow=0),0,FLOOR(FLOOR(FLOOR((2*XLOOKUP($Q637,'Threshold Summary'!$Y:$Y,'Threshold Summary'!$L:$L,"")/5+2)*pow*atk/def)/50)+2)),modifier,stab*eff,AVERAGE(ARRAYFORMULA(FLOOR(base*modifier*SEQUENCE(16,1,85,1)/100)))/(FLOOR(((2*XLOOKUP('Boss Editor'!$C$4,'Pokemon Editor'!$A:$A,'Pokemon Editor'!$E:$E,0)+31+FLOOR('Boss Editor'!$G$4/4))*'Boss Editor'!$D$4)/100)+'Boss Editor'!$D$4+10)),0)</f>
        <v/>
      </c>
      <c r="O637" s="3">
        <f>IF(N637&gt;=1,"OHKO",IF(N637&gt;=0.5,"2HKO",IF(N637&gt;=0.333,"3HKO",IF(N637&gt;=0.25,"4HKO","5HKO+"))))</f>
        <v/>
      </c>
      <c r="P637" s="3" t="inlineStr">
        <is>
          <t>Live from editable databases</t>
        </is>
      </c>
      <c r="Q637" s="3" t="inlineStr">
        <is>
          <t>SPECIES_LITLEO</t>
        </is>
      </c>
      <c r="R637" s="3" t="n">
        <v>28</v>
      </c>
    </row>
    <row r="638">
      <c r="A638" s="3">
        <f>XLOOKUP($Q638,'Threshold Summary'!$Y:$Y,'Threshold Summary'!$A:$A,"")</f>
        <v/>
      </c>
      <c r="B638" s="3">
        <f>XLOOKUP($Q638,'Threshold Summary'!$Y:$Y,'Threshold Summary'!$M:$M,"")</f>
        <v/>
      </c>
      <c r="C638" s="3">
        <f>XLOOKUP($Q638,'Threshold Summary'!$Y:$Y,'Threshold Summary'!$N:$N,"")</f>
        <v/>
      </c>
      <c r="D638" s="3">
        <f>IFERROR(INDEX(FILTER('Learnset Editor'!$D$2:$D,'Learnset Editor'!$A$2:$A=XLOOKUP($Q638,'Threshold Summary'!$Y:$Y,'Threshold Summary'!$K:$K,""),'Learnset Editor'!$C$2:$C&lt;=XLOOKUP($Q638,'Threshold Summary'!$Y:$Y,'Threshold Summary'!$L:$L,"")),$R638),"")</f>
        <v/>
      </c>
      <c r="E638" s="3">
        <f>XLOOKUP(D638,'Move Editor'!$B:$B,'Move Editor'!$C:$C,"")</f>
        <v/>
      </c>
      <c r="F638" s="3">
        <f>XLOOKUP(D638,'Move Editor'!$B:$B,'Move Editor'!$D:$D,"")</f>
        <v/>
      </c>
      <c r="G638" s="3">
        <f>XLOOKUP(D638,'Move Editor'!$B:$B,'Move Editor'!$E:$E,0)</f>
        <v/>
      </c>
      <c r="H638" s="3">
        <f>XLOOKUP(D638,'Move Editor'!$B:$B,'Move Editor'!$F:$F,0)</f>
        <v/>
      </c>
      <c r="I638" s="3">
        <f>(INDEX('Type Chart'!$B:$S,MATCH(E638,'Type Chart'!$A:$A,0),MATCH(XLOOKUP('Boss Editor'!$C$4,'Pokemon Editor'!$A:$A,'Pokemon Editor'!$C:$C,""),'Type Chart'!$B$1:$S$1,0))*IF(XLOOKUP('Boss Editor'!$C$4,'Pokemon Editor'!$A:$A,'Pokemon Editor'!$D:$D,"")="",1,INDEX('Type Chart'!$B:$S,MATCH(E638,'Type Chart'!$A:$A,0),MATCH(XLOOKUP('Boss Editor'!$C$4,'Pokemon Editor'!$A:$A,'Pokemon Editor'!$D:$D,""),'Type Chart'!$B$1:$S$1,0))))</f>
        <v/>
      </c>
      <c r="J638" s="3">
        <f>IFERROR(LET(mtype,XLOOKUP($D638,'Move Editor'!$B:$B,'Move Editor'!$C:$C,""),cat,XLOOKUP($D638,'Move Editor'!$B:$B,'Move Editor'!$D:$D,""),pow,XLOOKUP($D638,'Move Editor'!$B:$B,'Move Editor'!$E:$E,0),acc,XLOOKUP($D638,'Move Editor'!$B:$B,'Move Editor'!$F:$F,100),atk,IF(cat="Physical",FLOOR((FLOOR(((2*XLOOKUP(XLOOKUP($Q638,'Threshold Summary'!$Y:$Y,'Threshold Summary'!$K:$K,""),'Pokemon Editor'!$A:$A,'Pokemon Editor'!$F:$F,0)+31+FLOOR(XLOOKUP($Q638,'Threshold Summary'!$Y:$Y,'Threshold Summary'!$P:$P,"")/4))*XLOOKUP($Q638,'Threshold Summary'!$Y:$Y,'Threshold Summary'!$L:$L,""))/100)+5)*XLOOKUP(XLOOKUP($Q638,'Threshold Summary'!$Y:$Y,'Threshold Summary'!$M:$M,""),'Nature Editor'!$A:$A,'Nature Editor'!$B:$B,1)),FLOOR((FLOOR(((2*XLOOKUP(XLOOKUP($Q638,'Threshold Summary'!$Y:$Y,'Threshold Summary'!$K:$K,""),'Pokemon Editor'!$A:$A,'Pokemon Editor'!$H:$H,0)+31+FLOOR(XLOOKUP($Q638,'Threshold Summary'!$Y:$Y,'Threshold Summary'!$R:$R,"")/4))*XLOOKUP($Q638,'Threshold Summary'!$Y:$Y,'Threshold Summary'!$L:$L,""))/100)+5)*XLOOKUP(XLOOKUP($Q638,'Threshold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Editor'!$E:$E,1))),stab,IF(OR(mtype=XLOOKUP(XLOOKUP($Q638,'Threshold Summary'!$Y:$Y,'Threshold Summary'!$K:$K,""),'Pokemon Editor'!$A:$A,'Pokemon Editor'!$C:$C,""),mtype=XLOOKUP(XLOOKUP($Q638,'Threshold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Chart'!$B$1:$S$1,0)))),base,IF(OR(cat="Status",pow=0),0,FLOOR(FLOOR(FLOOR((2*XLOOKUP($Q638,'Threshold Summary'!$Y:$Y,'Threshold Summary'!$L:$L,"")/5+2)*pow*atk/def)/50)+2)),modifier,stab*eff,FLOOR(base*modifier*0.85)),0)</f>
        <v/>
      </c>
      <c r="K638" s="3">
        <f>IFERROR(LET(mtype,XLOOKUP($D638,'Move Editor'!$B:$B,'Move Editor'!$C:$C,""),cat,XLOOKUP($D638,'Move Editor'!$B:$B,'Move Editor'!$D:$D,""),pow,XLOOKUP($D638,'Move Editor'!$B:$B,'Move Editor'!$E:$E,0),acc,XLOOKUP($D638,'Move Editor'!$B:$B,'Move Editor'!$F:$F,100),atk,IF(cat="Physical",FLOOR((FLOOR(((2*XLOOKUP(XLOOKUP($Q638,'Threshold Summary'!$Y:$Y,'Threshold Summary'!$K:$K,""),'Pokemon Editor'!$A:$A,'Pokemon Editor'!$F:$F,0)+31+FLOOR(XLOOKUP($Q638,'Threshold Summary'!$Y:$Y,'Threshold Summary'!$P:$P,"")/4))*XLOOKUP($Q638,'Threshold Summary'!$Y:$Y,'Threshold Summary'!$L:$L,""))/100)+5)*XLOOKUP(XLOOKUP($Q638,'Threshold Summary'!$Y:$Y,'Threshold Summary'!$M:$M,""),'Nature Editor'!$A:$A,'Nature Editor'!$B:$B,1)),FLOOR((FLOOR(((2*XLOOKUP(XLOOKUP($Q638,'Threshold Summary'!$Y:$Y,'Threshold Summary'!$K:$K,""),'Pokemon Editor'!$A:$A,'Pokemon Editor'!$H:$H,0)+31+FLOOR(XLOOKUP($Q638,'Threshold Summary'!$Y:$Y,'Threshold Summary'!$R:$R,"")/4))*XLOOKUP($Q638,'Threshold Summary'!$Y:$Y,'Threshold Summary'!$L:$L,""))/100)+5)*XLOOKUP(XLOOKUP($Q638,'Threshold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Editor'!$E:$E,1))),stab,IF(OR(mtype=XLOOKUP(XLOOKUP($Q638,'Threshold Summary'!$Y:$Y,'Threshold Summary'!$K:$K,""),'Pokemon Editor'!$A:$A,'Pokemon Editor'!$C:$C,""),mtype=XLOOKUP(XLOOKUP($Q638,'Threshold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Chart'!$B$1:$S$1,0)))),base,IF(OR(cat="Status",pow=0),0,FLOOR(FLOOR(FLOOR((2*XLOOKUP($Q638,'Threshold Summary'!$Y:$Y,'Threshold Summary'!$L:$L,"")/5+2)*pow*atk/def)/50)+2)),modifier,stab*eff,FLOOR(base*modifier)),0)</f>
        <v/>
      </c>
      <c r="L638" s="3">
        <f>IFERROR(LET(mtype,XLOOKUP($D638,'Move Editor'!$B:$B,'Move Editor'!$C:$C,""),cat,XLOOKUP($D638,'Move Editor'!$B:$B,'Move Editor'!$D:$D,""),pow,XLOOKUP($D638,'Move Editor'!$B:$B,'Move Editor'!$E:$E,0),acc,XLOOKUP($D638,'Move Editor'!$B:$B,'Move Editor'!$F:$F,100),atk,IF(cat="Physical",FLOOR((FLOOR(((2*XLOOKUP(XLOOKUP($Q638,'Threshold Summary'!$Y:$Y,'Threshold Summary'!$K:$K,""),'Pokemon Editor'!$A:$A,'Pokemon Editor'!$F:$F,0)+31+FLOOR(XLOOKUP($Q638,'Threshold Summary'!$Y:$Y,'Threshold Summary'!$P:$P,"")/4))*XLOOKUP($Q638,'Threshold Summary'!$Y:$Y,'Threshold Summary'!$L:$L,""))/100)+5)*XLOOKUP(XLOOKUP($Q638,'Threshold Summary'!$Y:$Y,'Threshold Summary'!$M:$M,""),'Nature Editor'!$A:$A,'Nature Editor'!$B:$B,1)),FLOOR((FLOOR(((2*XLOOKUP(XLOOKUP($Q638,'Threshold Summary'!$Y:$Y,'Threshold Summary'!$K:$K,""),'Pokemon Editor'!$A:$A,'Pokemon Editor'!$H:$H,0)+31+FLOOR(XLOOKUP($Q638,'Threshold Summary'!$Y:$Y,'Threshold Summary'!$R:$R,"")/4))*XLOOKUP($Q638,'Threshold Summary'!$Y:$Y,'Threshold Summary'!$L:$L,""))/100)+5)*XLOOKUP(XLOOKUP($Q638,'Threshold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Editor'!$E:$E,1))),stab,IF(OR(mtype=XLOOKUP(XLOOKUP($Q638,'Threshold Summary'!$Y:$Y,'Threshold Summary'!$K:$K,""),'Pokemon Editor'!$A:$A,'Pokemon Editor'!$C:$C,""),mtype=XLOOKUP(XLOOKUP($Q638,'Threshold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Chart'!$B$1:$S$1,0)))),base,IF(OR(cat="Status",pow=0),0,FLOOR(FLOOR(FLOOR((2*XLOOKUP($Q638,'Threshold Summary'!$Y:$Y,'Threshold Summary'!$L:$L,"")/5+2)*pow*atk/def)/50)+2)),modifier,stab*eff,AVERAGE(ARRAYFORMULA(FLOOR(base*modifier*SEQUENCE(16,1,85,1)/100)))),0)</f>
        <v/>
      </c>
      <c r="M638" s="3">
        <f>IFERROR(LET(mtype,XLOOKUP($D638,'Move Editor'!$B:$B,'Move Editor'!$C:$C,""),cat,XLOOKUP($D638,'Move Editor'!$B:$B,'Move Editor'!$D:$D,""),pow,XLOOKUP($D638,'Move Editor'!$B:$B,'Move Editor'!$E:$E,0),acc,XLOOKUP($D638,'Move Editor'!$B:$B,'Move Editor'!$F:$F,100),atk,IF(cat="Physical",FLOOR((FLOOR(((2*XLOOKUP(XLOOKUP($Q638,'Threshold Summary'!$Y:$Y,'Threshold Summary'!$K:$K,""),'Pokemon Editor'!$A:$A,'Pokemon Editor'!$F:$F,0)+31+FLOOR(XLOOKUP($Q638,'Threshold Summary'!$Y:$Y,'Threshold Summary'!$P:$P,"")/4))*XLOOKUP($Q638,'Threshold Summary'!$Y:$Y,'Threshold Summary'!$L:$L,""))/100)+5)*XLOOKUP(XLOOKUP($Q638,'Threshold Summary'!$Y:$Y,'Threshold Summary'!$M:$M,""),'Nature Editor'!$A:$A,'Nature Editor'!$B:$B,1)),FLOOR((FLOOR(((2*XLOOKUP(XLOOKUP($Q638,'Threshold Summary'!$Y:$Y,'Threshold Summary'!$K:$K,""),'Pokemon Editor'!$A:$A,'Pokemon Editor'!$H:$H,0)+31+FLOOR(XLOOKUP($Q638,'Threshold Summary'!$Y:$Y,'Threshold Summary'!$R:$R,"")/4))*XLOOKUP($Q638,'Threshold Summary'!$Y:$Y,'Threshold Summary'!$L:$L,""))/100)+5)*XLOOKUP(XLOOKUP($Q638,'Threshold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Editor'!$E:$E,1))),stab,IF(OR(mtype=XLOOKUP(XLOOKUP($Q638,'Threshold Summary'!$Y:$Y,'Threshold Summary'!$K:$K,""),'Pokemon Editor'!$A:$A,'Pokemon Editor'!$C:$C,""),mtype=XLOOKUP(XLOOKUP($Q638,'Threshold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Chart'!$B$1:$S$1,0)))),base,IF(OR(cat="Status",pow=0),0,FLOOR(FLOOR(FLOOR((2*XLOOKUP($Q638,'Threshold Summary'!$Y:$Y,'Threshold Summary'!$L:$L,"")/5+2)*pow*atk/def)/50)+2)),modifier,stab*eff,AVERAGE(ARRAYFORMULA(FLOOR(base*modifier*SEQUENCE(16,1,85,1)/100)))*MIN(1,acc/100)),0)</f>
        <v/>
      </c>
      <c r="N638" s="4">
        <f>IFERROR(LET(mtype,XLOOKUP($D638,'Move Editor'!$B:$B,'Move Editor'!$C:$C,""),cat,XLOOKUP($D638,'Move Editor'!$B:$B,'Move Editor'!$D:$D,""),pow,XLOOKUP($D638,'Move Editor'!$B:$B,'Move Editor'!$E:$E,0),acc,XLOOKUP($D638,'Move Editor'!$B:$B,'Move Editor'!$F:$F,100),atk,IF(cat="Physical",FLOOR((FLOOR(((2*XLOOKUP(XLOOKUP($Q638,'Threshold Summary'!$Y:$Y,'Threshold Summary'!$K:$K,""),'Pokemon Editor'!$A:$A,'Pokemon Editor'!$F:$F,0)+31+FLOOR(XLOOKUP($Q638,'Threshold Summary'!$Y:$Y,'Threshold Summary'!$P:$P,"")/4))*XLOOKUP($Q638,'Threshold Summary'!$Y:$Y,'Threshold Summary'!$L:$L,""))/100)+5)*XLOOKUP(XLOOKUP($Q638,'Threshold Summary'!$Y:$Y,'Threshold Summary'!$M:$M,""),'Nature Editor'!$A:$A,'Nature Editor'!$B:$B,1)),FLOOR((FLOOR(((2*XLOOKUP(XLOOKUP($Q638,'Threshold Summary'!$Y:$Y,'Threshold Summary'!$K:$K,""),'Pokemon Editor'!$A:$A,'Pokemon Editor'!$H:$H,0)+31+FLOOR(XLOOKUP($Q638,'Threshold Summary'!$Y:$Y,'Threshold Summary'!$R:$R,"")/4))*XLOOKUP($Q638,'Threshold Summary'!$Y:$Y,'Threshold Summary'!$L:$L,""))/100)+5)*XLOOKUP(XLOOKUP($Q638,'Threshold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Editor'!$E:$E,1))),stab,IF(OR(mtype=XLOOKUP(XLOOKUP($Q638,'Threshold Summary'!$Y:$Y,'Threshold Summary'!$K:$K,""),'Pokemon Editor'!$A:$A,'Pokemon Editor'!$C:$C,""),mtype=XLOOKUP(XLOOKUP($Q638,'Threshold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Chart'!$B$1:$S$1,0)))),base,IF(OR(cat="Status",pow=0),0,FLOOR(FLOOR(FLOOR((2*XLOOKUP($Q638,'Threshold Summary'!$Y:$Y,'Threshold Summary'!$L:$L,"")/5+2)*pow*atk/def)/50)+2)),modifier,stab*eff,AVERAGE(ARRAYFORMULA(FLOOR(base*modifier*SEQUENCE(16,1,85,1)/100)))/(FLOOR(((2*XLOOKUP('Boss Editor'!$C$4,'Pokemon Editor'!$A:$A,'Pokemon Editor'!$E:$E,0)+31+FLOOR('Boss Editor'!$G$4/4))*'Boss Editor'!$D$4)/100)+'Boss Editor'!$D$4+10)),0)</f>
        <v/>
      </c>
      <c r="O638" s="3">
        <f>IF(N638&gt;=1,"OHKO",IF(N638&gt;=0.5,"2HKO",IF(N638&gt;=0.333,"3HKO",IF(N638&gt;=0.25,"4HKO","5HKO+"))))</f>
        <v/>
      </c>
      <c r="P638" s="3" t="inlineStr">
        <is>
          <t>Live from editable databases</t>
        </is>
      </c>
      <c r="Q638" s="3" t="inlineStr">
        <is>
          <t>SPECIES_LITLEO</t>
        </is>
      </c>
      <c r="R638" s="3" t="n">
        <v>29</v>
      </c>
    </row>
    <row r="639">
      <c r="A639" s="3">
        <f>XLOOKUP($Q639,'Threshold Summary'!$Y:$Y,'Threshold Summary'!$A:$A,"")</f>
        <v/>
      </c>
      <c r="B639" s="3">
        <f>XLOOKUP($Q639,'Threshold Summary'!$Y:$Y,'Threshold Summary'!$M:$M,"")</f>
        <v/>
      </c>
      <c r="C639" s="3">
        <f>XLOOKUP($Q639,'Threshold Summary'!$Y:$Y,'Threshold Summary'!$N:$N,"")</f>
        <v/>
      </c>
      <c r="D639" s="3">
        <f>IFERROR(INDEX(FILTER('Learnset Editor'!$D$2:$D,'Learnset Editor'!$A$2:$A=XLOOKUP($Q639,'Threshold Summary'!$Y:$Y,'Threshold Summary'!$K:$K,""),'Learnset Editor'!$C$2:$C&lt;=XLOOKUP($Q639,'Threshold Summary'!$Y:$Y,'Threshold Summary'!$L:$L,"")),$R639),"")</f>
        <v/>
      </c>
      <c r="E639" s="3">
        <f>XLOOKUP(D639,'Move Editor'!$B:$B,'Move Editor'!$C:$C,"")</f>
        <v/>
      </c>
      <c r="F639" s="3">
        <f>XLOOKUP(D639,'Move Editor'!$B:$B,'Move Editor'!$D:$D,"")</f>
        <v/>
      </c>
      <c r="G639" s="3">
        <f>XLOOKUP(D639,'Move Editor'!$B:$B,'Move Editor'!$E:$E,0)</f>
        <v/>
      </c>
      <c r="H639" s="3">
        <f>XLOOKUP(D639,'Move Editor'!$B:$B,'Move Editor'!$F:$F,0)</f>
        <v/>
      </c>
      <c r="I639" s="3">
        <f>(INDEX('Type Chart'!$B:$S,MATCH(E639,'Type Chart'!$A:$A,0),MATCH(XLOOKUP('Boss Editor'!$C$4,'Pokemon Editor'!$A:$A,'Pokemon Editor'!$C:$C,""),'Type Chart'!$B$1:$S$1,0))*IF(XLOOKUP('Boss Editor'!$C$4,'Pokemon Editor'!$A:$A,'Pokemon Editor'!$D:$D,"")="",1,INDEX('Type Chart'!$B:$S,MATCH(E639,'Type Chart'!$A:$A,0),MATCH(XLOOKUP('Boss Editor'!$C$4,'Pokemon Editor'!$A:$A,'Pokemon Editor'!$D:$D,""),'Type Chart'!$B$1:$S$1,0))))</f>
        <v/>
      </c>
      <c r="J639" s="3">
        <f>IFERROR(LET(mtype,XLOOKUP($D639,'Move Editor'!$B:$B,'Move Editor'!$C:$C,""),cat,XLOOKUP($D639,'Move Editor'!$B:$B,'Move Editor'!$D:$D,""),pow,XLOOKUP($D639,'Move Editor'!$B:$B,'Move Editor'!$E:$E,0),acc,XLOOKUP($D639,'Move Editor'!$B:$B,'Move Editor'!$F:$F,100),atk,IF(cat="Physical",FLOOR((FLOOR(((2*XLOOKUP(XLOOKUP($Q639,'Threshold Summary'!$Y:$Y,'Threshold Summary'!$K:$K,""),'Pokemon Editor'!$A:$A,'Pokemon Editor'!$F:$F,0)+31+FLOOR(XLOOKUP($Q639,'Threshold Summary'!$Y:$Y,'Threshold Summary'!$P:$P,"")/4))*XLOOKUP($Q639,'Threshold Summary'!$Y:$Y,'Threshold Summary'!$L:$L,""))/100)+5)*XLOOKUP(XLOOKUP($Q639,'Threshold Summary'!$Y:$Y,'Threshold Summary'!$M:$M,""),'Nature Editor'!$A:$A,'Nature Editor'!$B:$B,1)),FLOOR((FLOOR(((2*XLOOKUP(XLOOKUP($Q639,'Threshold Summary'!$Y:$Y,'Threshold Summary'!$K:$K,""),'Pokemon Editor'!$A:$A,'Pokemon Editor'!$H:$H,0)+31+FLOOR(XLOOKUP($Q639,'Threshold Summary'!$Y:$Y,'Threshold Summary'!$R:$R,"")/4))*XLOOKUP($Q639,'Threshold Summary'!$Y:$Y,'Threshold Summary'!$L:$L,""))/100)+5)*XLOOKUP(XLOOKUP($Q639,'Threshold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Editor'!$E:$E,1))),stab,IF(OR(mtype=XLOOKUP(XLOOKUP($Q639,'Threshold Summary'!$Y:$Y,'Threshold Summary'!$K:$K,""),'Pokemon Editor'!$A:$A,'Pokemon Editor'!$C:$C,""),mtype=XLOOKUP(XLOOKUP($Q639,'Threshold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Chart'!$B$1:$S$1,0)))),base,IF(OR(cat="Status",pow=0),0,FLOOR(FLOOR(FLOOR((2*XLOOKUP($Q639,'Threshold Summary'!$Y:$Y,'Threshold Summary'!$L:$L,"")/5+2)*pow*atk/def)/50)+2)),modifier,stab*eff,FLOOR(base*modifier*0.85)),0)</f>
        <v/>
      </c>
      <c r="K639" s="3">
        <f>IFERROR(LET(mtype,XLOOKUP($D639,'Move Editor'!$B:$B,'Move Editor'!$C:$C,""),cat,XLOOKUP($D639,'Move Editor'!$B:$B,'Move Editor'!$D:$D,""),pow,XLOOKUP($D639,'Move Editor'!$B:$B,'Move Editor'!$E:$E,0),acc,XLOOKUP($D639,'Move Editor'!$B:$B,'Move Editor'!$F:$F,100),atk,IF(cat="Physical",FLOOR((FLOOR(((2*XLOOKUP(XLOOKUP($Q639,'Threshold Summary'!$Y:$Y,'Threshold Summary'!$K:$K,""),'Pokemon Editor'!$A:$A,'Pokemon Editor'!$F:$F,0)+31+FLOOR(XLOOKUP($Q639,'Threshold Summary'!$Y:$Y,'Threshold Summary'!$P:$P,"")/4))*XLOOKUP($Q639,'Threshold Summary'!$Y:$Y,'Threshold Summary'!$L:$L,""))/100)+5)*XLOOKUP(XLOOKUP($Q639,'Threshold Summary'!$Y:$Y,'Threshold Summary'!$M:$M,""),'Nature Editor'!$A:$A,'Nature Editor'!$B:$B,1)),FLOOR((FLOOR(((2*XLOOKUP(XLOOKUP($Q639,'Threshold Summary'!$Y:$Y,'Threshold Summary'!$K:$K,""),'Pokemon Editor'!$A:$A,'Pokemon Editor'!$H:$H,0)+31+FLOOR(XLOOKUP($Q639,'Threshold Summary'!$Y:$Y,'Threshold Summary'!$R:$R,"")/4))*XLOOKUP($Q639,'Threshold Summary'!$Y:$Y,'Threshold Summary'!$L:$L,""))/100)+5)*XLOOKUP(XLOOKUP($Q639,'Threshold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Editor'!$E:$E,1))),stab,IF(OR(mtype=XLOOKUP(XLOOKUP($Q639,'Threshold Summary'!$Y:$Y,'Threshold Summary'!$K:$K,""),'Pokemon Editor'!$A:$A,'Pokemon Editor'!$C:$C,""),mtype=XLOOKUP(XLOOKUP($Q639,'Threshold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Chart'!$B$1:$S$1,0)))),base,IF(OR(cat="Status",pow=0),0,FLOOR(FLOOR(FLOOR((2*XLOOKUP($Q639,'Threshold Summary'!$Y:$Y,'Threshold Summary'!$L:$L,"")/5+2)*pow*atk/def)/50)+2)),modifier,stab*eff,FLOOR(base*modifier)),0)</f>
        <v/>
      </c>
      <c r="L639" s="3">
        <f>IFERROR(LET(mtype,XLOOKUP($D639,'Move Editor'!$B:$B,'Move Editor'!$C:$C,""),cat,XLOOKUP($D639,'Move Editor'!$B:$B,'Move Editor'!$D:$D,""),pow,XLOOKUP($D639,'Move Editor'!$B:$B,'Move Editor'!$E:$E,0),acc,XLOOKUP($D639,'Move Editor'!$B:$B,'Move Editor'!$F:$F,100),atk,IF(cat="Physical",FLOOR((FLOOR(((2*XLOOKUP(XLOOKUP($Q639,'Threshold Summary'!$Y:$Y,'Threshold Summary'!$K:$K,""),'Pokemon Editor'!$A:$A,'Pokemon Editor'!$F:$F,0)+31+FLOOR(XLOOKUP($Q639,'Threshold Summary'!$Y:$Y,'Threshold Summary'!$P:$P,"")/4))*XLOOKUP($Q639,'Threshold Summary'!$Y:$Y,'Threshold Summary'!$L:$L,""))/100)+5)*XLOOKUP(XLOOKUP($Q639,'Threshold Summary'!$Y:$Y,'Threshold Summary'!$M:$M,""),'Nature Editor'!$A:$A,'Nature Editor'!$B:$B,1)),FLOOR((FLOOR(((2*XLOOKUP(XLOOKUP($Q639,'Threshold Summary'!$Y:$Y,'Threshold Summary'!$K:$K,""),'Pokemon Editor'!$A:$A,'Pokemon Editor'!$H:$H,0)+31+FLOOR(XLOOKUP($Q639,'Threshold Summary'!$Y:$Y,'Threshold Summary'!$R:$R,"")/4))*XLOOKUP($Q639,'Threshold Summary'!$Y:$Y,'Threshold Summary'!$L:$L,""))/100)+5)*XLOOKUP(XLOOKUP($Q639,'Threshold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Editor'!$E:$E,1))),stab,IF(OR(mtype=XLOOKUP(XLOOKUP($Q639,'Threshold Summary'!$Y:$Y,'Threshold Summary'!$K:$K,""),'Pokemon Editor'!$A:$A,'Pokemon Editor'!$C:$C,""),mtype=XLOOKUP(XLOOKUP($Q639,'Threshold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Chart'!$B$1:$S$1,0)))),base,IF(OR(cat="Status",pow=0),0,FLOOR(FLOOR(FLOOR((2*XLOOKUP($Q639,'Threshold Summary'!$Y:$Y,'Threshold Summary'!$L:$L,"")/5+2)*pow*atk/def)/50)+2)),modifier,stab*eff,AVERAGE(ARRAYFORMULA(FLOOR(base*modifier*SEQUENCE(16,1,85,1)/100)))),0)</f>
        <v/>
      </c>
      <c r="M639" s="3">
        <f>IFERROR(LET(mtype,XLOOKUP($D639,'Move Editor'!$B:$B,'Move Editor'!$C:$C,""),cat,XLOOKUP($D639,'Move Editor'!$B:$B,'Move Editor'!$D:$D,""),pow,XLOOKUP($D639,'Move Editor'!$B:$B,'Move Editor'!$E:$E,0),acc,XLOOKUP($D639,'Move Editor'!$B:$B,'Move Editor'!$F:$F,100),atk,IF(cat="Physical",FLOOR((FLOOR(((2*XLOOKUP(XLOOKUP($Q639,'Threshold Summary'!$Y:$Y,'Threshold Summary'!$K:$K,""),'Pokemon Editor'!$A:$A,'Pokemon Editor'!$F:$F,0)+31+FLOOR(XLOOKUP($Q639,'Threshold Summary'!$Y:$Y,'Threshold Summary'!$P:$P,"")/4))*XLOOKUP($Q639,'Threshold Summary'!$Y:$Y,'Threshold Summary'!$L:$L,""))/100)+5)*XLOOKUP(XLOOKUP($Q639,'Threshold Summary'!$Y:$Y,'Threshold Summary'!$M:$M,""),'Nature Editor'!$A:$A,'Nature Editor'!$B:$B,1)),FLOOR((FLOOR(((2*XLOOKUP(XLOOKUP($Q639,'Threshold Summary'!$Y:$Y,'Threshold Summary'!$K:$K,""),'Pokemon Editor'!$A:$A,'Pokemon Editor'!$H:$H,0)+31+FLOOR(XLOOKUP($Q639,'Threshold Summary'!$Y:$Y,'Threshold Summary'!$R:$R,"")/4))*XLOOKUP($Q639,'Threshold Summary'!$Y:$Y,'Threshold Summary'!$L:$L,""))/100)+5)*XLOOKUP(XLOOKUP($Q639,'Threshold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Editor'!$E:$E,1))),stab,IF(OR(mtype=XLOOKUP(XLOOKUP($Q639,'Threshold Summary'!$Y:$Y,'Threshold Summary'!$K:$K,""),'Pokemon Editor'!$A:$A,'Pokemon Editor'!$C:$C,""),mtype=XLOOKUP(XLOOKUP($Q639,'Threshold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Chart'!$B$1:$S$1,0)))),base,IF(OR(cat="Status",pow=0),0,FLOOR(FLOOR(FLOOR((2*XLOOKUP($Q639,'Threshold Summary'!$Y:$Y,'Threshold Summary'!$L:$L,"")/5+2)*pow*atk/def)/50)+2)),modifier,stab*eff,AVERAGE(ARRAYFORMULA(FLOOR(base*modifier*SEQUENCE(16,1,85,1)/100)))*MIN(1,acc/100)),0)</f>
        <v/>
      </c>
      <c r="N639" s="4">
        <f>IFERROR(LET(mtype,XLOOKUP($D639,'Move Editor'!$B:$B,'Move Editor'!$C:$C,""),cat,XLOOKUP($D639,'Move Editor'!$B:$B,'Move Editor'!$D:$D,""),pow,XLOOKUP($D639,'Move Editor'!$B:$B,'Move Editor'!$E:$E,0),acc,XLOOKUP($D639,'Move Editor'!$B:$B,'Move Editor'!$F:$F,100),atk,IF(cat="Physical",FLOOR((FLOOR(((2*XLOOKUP(XLOOKUP($Q639,'Threshold Summary'!$Y:$Y,'Threshold Summary'!$K:$K,""),'Pokemon Editor'!$A:$A,'Pokemon Editor'!$F:$F,0)+31+FLOOR(XLOOKUP($Q639,'Threshold Summary'!$Y:$Y,'Threshold Summary'!$P:$P,"")/4))*XLOOKUP($Q639,'Threshold Summary'!$Y:$Y,'Threshold Summary'!$L:$L,""))/100)+5)*XLOOKUP(XLOOKUP($Q639,'Threshold Summary'!$Y:$Y,'Threshold Summary'!$M:$M,""),'Nature Editor'!$A:$A,'Nature Editor'!$B:$B,1)),FLOOR((FLOOR(((2*XLOOKUP(XLOOKUP($Q639,'Threshold Summary'!$Y:$Y,'Threshold Summary'!$K:$K,""),'Pokemon Editor'!$A:$A,'Pokemon Editor'!$H:$H,0)+31+FLOOR(XLOOKUP($Q639,'Threshold Summary'!$Y:$Y,'Threshold Summary'!$R:$R,"")/4))*XLOOKUP($Q639,'Threshold Summary'!$Y:$Y,'Threshold Summary'!$L:$L,""))/100)+5)*XLOOKUP(XLOOKUP($Q639,'Threshold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Editor'!$E:$E,1))),stab,IF(OR(mtype=XLOOKUP(XLOOKUP($Q639,'Threshold Summary'!$Y:$Y,'Threshold Summary'!$K:$K,""),'Pokemon Editor'!$A:$A,'Pokemon Editor'!$C:$C,""),mtype=XLOOKUP(XLOOKUP($Q639,'Threshold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Chart'!$B$1:$S$1,0)))),base,IF(OR(cat="Status",pow=0),0,FLOOR(FLOOR(FLOOR((2*XLOOKUP($Q639,'Threshold Summary'!$Y:$Y,'Threshold Summary'!$L:$L,"")/5+2)*pow*atk/def)/50)+2)),modifier,stab*eff,AVERAGE(ARRAYFORMULA(FLOOR(base*modifier*SEQUENCE(16,1,85,1)/100)))/(FLOOR(((2*XLOOKUP('Boss Editor'!$C$4,'Pokemon Editor'!$A:$A,'Pokemon Editor'!$E:$E,0)+31+FLOOR('Boss Editor'!$G$4/4))*'Boss Editor'!$D$4)/100)+'Boss Editor'!$D$4+10)),0)</f>
        <v/>
      </c>
      <c r="O639" s="3">
        <f>IF(N639&gt;=1,"OHKO",IF(N639&gt;=0.5,"2HKO",IF(N639&gt;=0.333,"3HKO",IF(N639&gt;=0.25,"4HKO","5HKO+"))))</f>
        <v/>
      </c>
      <c r="P639" s="3" t="inlineStr">
        <is>
          <t>Live from editable databases</t>
        </is>
      </c>
      <c r="Q639" s="3" t="inlineStr">
        <is>
          <t>SPECIES_LITLEO</t>
        </is>
      </c>
      <c r="R639" s="3" t="n">
        <v>30</v>
      </c>
    </row>
    <row r="640">
      <c r="A640" s="3">
        <f>XLOOKUP($Q640,'Threshold Summary'!$Y:$Y,'Threshold Summary'!$A:$A,"")</f>
        <v/>
      </c>
      <c r="B640" s="3">
        <f>XLOOKUP($Q640,'Threshold Summary'!$Y:$Y,'Threshold Summary'!$M:$M,"")</f>
        <v/>
      </c>
      <c r="C640" s="3">
        <f>XLOOKUP($Q640,'Threshold Summary'!$Y:$Y,'Threshold Summary'!$N:$N,"")</f>
        <v/>
      </c>
      <c r="D640" s="3">
        <f>IFERROR(INDEX(FILTER('Learnset Editor'!$D$2:$D,'Learnset Editor'!$A$2:$A=XLOOKUP($Q640,'Threshold Summary'!$Y:$Y,'Threshold Summary'!$K:$K,""),'Learnset Editor'!$C$2:$C&lt;=XLOOKUP($Q640,'Threshold Summary'!$Y:$Y,'Threshold Summary'!$L:$L,"")),$R640),"")</f>
        <v/>
      </c>
      <c r="E640" s="3">
        <f>XLOOKUP(D640,'Move Editor'!$B:$B,'Move Editor'!$C:$C,"")</f>
        <v/>
      </c>
      <c r="F640" s="3">
        <f>XLOOKUP(D640,'Move Editor'!$B:$B,'Move Editor'!$D:$D,"")</f>
        <v/>
      </c>
      <c r="G640" s="3">
        <f>XLOOKUP(D640,'Move Editor'!$B:$B,'Move Editor'!$E:$E,0)</f>
        <v/>
      </c>
      <c r="H640" s="3">
        <f>XLOOKUP(D640,'Move Editor'!$B:$B,'Move Editor'!$F:$F,0)</f>
        <v/>
      </c>
      <c r="I640" s="3">
        <f>(INDEX('Type Chart'!$B:$S,MATCH(E640,'Type Chart'!$A:$A,0),MATCH(XLOOKUP('Boss Editor'!$C$4,'Pokemon Editor'!$A:$A,'Pokemon Editor'!$C:$C,""),'Type Chart'!$B$1:$S$1,0))*IF(XLOOKUP('Boss Editor'!$C$4,'Pokemon Editor'!$A:$A,'Pokemon Editor'!$D:$D,"")="",1,INDEX('Type Chart'!$B:$S,MATCH(E640,'Type Chart'!$A:$A,0),MATCH(XLOOKUP('Boss Editor'!$C$4,'Pokemon Editor'!$A:$A,'Pokemon Editor'!$D:$D,""),'Type Chart'!$B$1:$S$1,0))))</f>
        <v/>
      </c>
      <c r="J640" s="3">
        <f>IFERROR(LET(mtype,XLOOKUP($D640,'Move Editor'!$B:$B,'Move Editor'!$C:$C,""),cat,XLOOKUP($D640,'Move Editor'!$B:$B,'Move Editor'!$D:$D,""),pow,XLOOKUP($D640,'Move Editor'!$B:$B,'Move Editor'!$E:$E,0),acc,XLOOKUP($D640,'Move Editor'!$B:$B,'Move Editor'!$F:$F,100),atk,IF(cat="Physical",FLOOR((FLOOR(((2*XLOOKUP(XLOOKUP($Q640,'Threshold Summary'!$Y:$Y,'Threshold Summary'!$K:$K,""),'Pokemon Editor'!$A:$A,'Pokemon Editor'!$F:$F,0)+31+FLOOR(XLOOKUP($Q640,'Threshold Summary'!$Y:$Y,'Threshold Summary'!$P:$P,"")/4))*XLOOKUP($Q640,'Threshold Summary'!$Y:$Y,'Threshold Summary'!$L:$L,""))/100)+5)*XLOOKUP(XLOOKUP($Q640,'Threshold Summary'!$Y:$Y,'Threshold Summary'!$M:$M,""),'Nature Editor'!$A:$A,'Nature Editor'!$B:$B,1)),FLOOR((FLOOR(((2*XLOOKUP(XLOOKUP($Q640,'Threshold Summary'!$Y:$Y,'Threshold Summary'!$K:$K,""),'Pokemon Editor'!$A:$A,'Pokemon Editor'!$H:$H,0)+31+FLOOR(XLOOKUP($Q640,'Threshold Summary'!$Y:$Y,'Threshold Summary'!$R:$R,"")/4))*XLOOKUP($Q640,'Threshold Summary'!$Y:$Y,'Threshold Summary'!$L:$L,""))/100)+5)*XLOOKUP(XLOOKUP($Q640,'Threshold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Editor'!$E:$E,1))),stab,IF(OR(mtype=XLOOKUP(XLOOKUP($Q640,'Threshold Summary'!$Y:$Y,'Threshold Summary'!$K:$K,""),'Pokemon Editor'!$A:$A,'Pokemon Editor'!$C:$C,""),mtype=XLOOKUP(XLOOKUP($Q640,'Threshold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Chart'!$B$1:$S$1,0)))),base,IF(OR(cat="Status",pow=0),0,FLOOR(FLOOR(FLOOR((2*XLOOKUP($Q640,'Threshold Summary'!$Y:$Y,'Threshold Summary'!$L:$L,"")/5+2)*pow*atk/def)/50)+2)),modifier,stab*eff,FLOOR(base*modifier*0.85)),0)</f>
        <v/>
      </c>
      <c r="K640" s="3">
        <f>IFERROR(LET(mtype,XLOOKUP($D640,'Move Editor'!$B:$B,'Move Editor'!$C:$C,""),cat,XLOOKUP($D640,'Move Editor'!$B:$B,'Move Editor'!$D:$D,""),pow,XLOOKUP($D640,'Move Editor'!$B:$B,'Move Editor'!$E:$E,0),acc,XLOOKUP($D640,'Move Editor'!$B:$B,'Move Editor'!$F:$F,100),atk,IF(cat="Physical",FLOOR((FLOOR(((2*XLOOKUP(XLOOKUP($Q640,'Threshold Summary'!$Y:$Y,'Threshold Summary'!$K:$K,""),'Pokemon Editor'!$A:$A,'Pokemon Editor'!$F:$F,0)+31+FLOOR(XLOOKUP($Q640,'Threshold Summary'!$Y:$Y,'Threshold Summary'!$P:$P,"")/4))*XLOOKUP($Q640,'Threshold Summary'!$Y:$Y,'Threshold Summary'!$L:$L,""))/100)+5)*XLOOKUP(XLOOKUP($Q640,'Threshold Summary'!$Y:$Y,'Threshold Summary'!$M:$M,""),'Nature Editor'!$A:$A,'Nature Editor'!$B:$B,1)),FLOOR((FLOOR(((2*XLOOKUP(XLOOKUP($Q640,'Threshold Summary'!$Y:$Y,'Threshold Summary'!$K:$K,""),'Pokemon Editor'!$A:$A,'Pokemon Editor'!$H:$H,0)+31+FLOOR(XLOOKUP($Q640,'Threshold Summary'!$Y:$Y,'Threshold Summary'!$R:$R,"")/4))*XLOOKUP($Q640,'Threshold Summary'!$Y:$Y,'Threshold Summary'!$L:$L,""))/100)+5)*XLOOKUP(XLOOKUP($Q640,'Threshold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Editor'!$E:$E,1))),stab,IF(OR(mtype=XLOOKUP(XLOOKUP($Q640,'Threshold Summary'!$Y:$Y,'Threshold Summary'!$K:$K,""),'Pokemon Editor'!$A:$A,'Pokemon Editor'!$C:$C,""),mtype=XLOOKUP(XLOOKUP($Q640,'Threshold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Chart'!$B$1:$S$1,0)))),base,IF(OR(cat="Status",pow=0),0,FLOOR(FLOOR(FLOOR((2*XLOOKUP($Q640,'Threshold Summary'!$Y:$Y,'Threshold Summary'!$L:$L,"")/5+2)*pow*atk/def)/50)+2)),modifier,stab*eff,FLOOR(base*modifier)),0)</f>
        <v/>
      </c>
      <c r="L640" s="3">
        <f>IFERROR(LET(mtype,XLOOKUP($D640,'Move Editor'!$B:$B,'Move Editor'!$C:$C,""),cat,XLOOKUP($D640,'Move Editor'!$B:$B,'Move Editor'!$D:$D,""),pow,XLOOKUP($D640,'Move Editor'!$B:$B,'Move Editor'!$E:$E,0),acc,XLOOKUP($D640,'Move Editor'!$B:$B,'Move Editor'!$F:$F,100),atk,IF(cat="Physical",FLOOR((FLOOR(((2*XLOOKUP(XLOOKUP($Q640,'Threshold Summary'!$Y:$Y,'Threshold Summary'!$K:$K,""),'Pokemon Editor'!$A:$A,'Pokemon Editor'!$F:$F,0)+31+FLOOR(XLOOKUP($Q640,'Threshold Summary'!$Y:$Y,'Threshold Summary'!$P:$P,"")/4))*XLOOKUP($Q640,'Threshold Summary'!$Y:$Y,'Threshold Summary'!$L:$L,""))/100)+5)*XLOOKUP(XLOOKUP($Q640,'Threshold Summary'!$Y:$Y,'Threshold Summary'!$M:$M,""),'Nature Editor'!$A:$A,'Nature Editor'!$B:$B,1)),FLOOR((FLOOR(((2*XLOOKUP(XLOOKUP($Q640,'Threshold Summary'!$Y:$Y,'Threshold Summary'!$K:$K,""),'Pokemon Editor'!$A:$A,'Pokemon Editor'!$H:$H,0)+31+FLOOR(XLOOKUP($Q640,'Threshold Summary'!$Y:$Y,'Threshold Summary'!$R:$R,"")/4))*XLOOKUP($Q640,'Threshold Summary'!$Y:$Y,'Threshold Summary'!$L:$L,""))/100)+5)*XLOOKUP(XLOOKUP($Q640,'Threshold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Editor'!$E:$E,1))),stab,IF(OR(mtype=XLOOKUP(XLOOKUP($Q640,'Threshold Summary'!$Y:$Y,'Threshold Summary'!$K:$K,""),'Pokemon Editor'!$A:$A,'Pokemon Editor'!$C:$C,""),mtype=XLOOKUP(XLOOKUP($Q640,'Threshold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Chart'!$B$1:$S$1,0)))),base,IF(OR(cat="Status",pow=0),0,FLOOR(FLOOR(FLOOR((2*XLOOKUP($Q640,'Threshold Summary'!$Y:$Y,'Threshold Summary'!$L:$L,"")/5+2)*pow*atk/def)/50)+2)),modifier,stab*eff,AVERAGE(ARRAYFORMULA(FLOOR(base*modifier*SEQUENCE(16,1,85,1)/100)))),0)</f>
        <v/>
      </c>
      <c r="M640" s="3">
        <f>IFERROR(LET(mtype,XLOOKUP($D640,'Move Editor'!$B:$B,'Move Editor'!$C:$C,""),cat,XLOOKUP($D640,'Move Editor'!$B:$B,'Move Editor'!$D:$D,""),pow,XLOOKUP($D640,'Move Editor'!$B:$B,'Move Editor'!$E:$E,0),acc,XLOOKUP($D640,'Move Editor'!$B:$B,'Move Editor'!$F:$F,100),atk,IF(cat="Physical",FLOOR((FLOOR(((2*XLOOKUP(XLOOKUP($Q640,'Threshold Summary'!$Y:$Y,'Threshold Summary'!$K:$K,""),'Pokemon Editor'!$A:$A,'Pokemon Editor'!$F:$F,0)+31+FLOOR(XLOOKUP($Q640,'Threshold Summary'!$Y:$Y,'Threshold Summary'!$P:$P,"")/4))*XLOOKUP($Q640,'Threshold Summary'!$Y:$Y,'Threshold Summary'!$L:$L,""))/100)+5)*XLOOKUP(XLOOKUP($Q640,'Threshold Summary'!$Y:$Y,'Threshold Summary'!$M:$M,""),'Nature Editor'!$A:$A,'Nature Editor'!$B:$B,1)),FLOOR((FLOOR(((2*XLOOKUP(XLOOKUP($Q640,'Threshold Summary'!$Y:$Y,'Threshold Summary'!$K:$K,""),'Pokemon Editor'!$A:$A,'Pokemon Editor'!$H:$H,0)+31+FLOOR(XLOOKUP($Q640,'Threshold Summary'!$Y:$Y,'Threshold Summary'!$R:$R,"")/4))*XLOOKUP($Q640,'Threshold Summary'!$Y:$Y,'Threshold Summary'!$L:$L,""))/100)+5)*XLOOKUP(XLOOKUP($Q640,'Threshold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Editor'!$E:$E,1))),stab,IF(OR(mtype=XLOOKUP(XLOOKUP($Q640,'Threshold Summary'!$Y:$Y,'Threshold Summary'!$K:$K,""),'Pokemon Editor'!$A:$A,'Pokemon Editor'!$C:$C,""),mtype=XLOOKUP(XLOOKUP($Q640,'Threshold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Chart'!$B$1:$S$1,0)))),base,IF(OR(cat="Status",pow=0),0,FLOOR(FLOOR(FLOOR((2*XLOOKUP($Q640,'Threshold Summary'!$Y:$Y,'Threshold Summary'!$L:$L,"")/5+2)*pow*atk/def)/50)+2)),modifier,stab*eff,AVERAGE(ARRAYFORMULA(FLOOR(base*modifier*SEQUENCE(16,1,85,1)/100)))*MIN(1,acc/100)),0)</f>
        <v/>
      </c>
      <c r="N640" s="4">
        <f>IFERROR(LET(mtype,XLOOKUP($D640,'Move Editor'!$B:$B,'Move Editor'!$C:$C,""),cat,XLOOKUP($D640,'Move Editor'!$B:$B,'Move Editor'!$D:$D,""),pow,XLOOKUP($D640,'Move Editor'!$B:$B,'Move Editor'!$E:$E,0),acc,XLOOKUP($D640,'Move Editor'!$B:$B,'Move Editor'!$F:$F,100),atk,IF(cat="Physical",FLOOR((FLOOR(((2*XLOOKUP(XLOOKUP($Q640,'Threshold Summary'!$Y:$Y,'Threshold Summary'!$K:$K,""),'Pokemon Editor'!$A:$A,'Pokemon Editor'!$F:$F,0)+31+FLOOR(XLOOKUP($Q640,'Threshold Summary'!$Y:$Y,'Threshold Summary'!$P:$P,"")/4))*XLOOKUP($Q640,'Threshold Summary'!$Y:$Y,'Threshold Summary'!$L:$L,""))/100)+5)*XLOOKUP(XLOOKUP($Q640,'Threshold Summary'!$Y:$Y,'Threshold Summary'!$M:$M,""),'Nature Editor'!$A:$A,'Nature Editor'!$B:$B,1)),FLOOR((FLOOR(((2*XLOOKUP(XLOOKUP($Q640,'Threshold Summary'!$Y:$Y,'Threshold Summary'!$K:$K,""),'Pokemon Editor'!$A:$A,'Pokemon Editor'!$H:$H,0)+31+FLOOR(XLOOKUP($Q640,'Threshold Summary'!$Y:$Y,'Threshold Summary'!$R:$R,"")/4))*XLOOKUP($Q640,'Threshold Summary'!$Y:$Y,'Threshold Summary'!$L:$L,""))/100)+5)*XLOOKUP(XLOOKUP($Q640,'Threshold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Editor'!$E:$E,1))),stab,IF(OR(mtype=XLOOKUP(XLOOKUP($Q640,'Threshold Summary'!$Y:$Y,'Threshold Summary'!$K:$K,""),'Pokemon Editor'!$A:$A,'Pokemon Editor'!$C:$C,""),mtype=XLOOKUP(XLOOKUP($Q640,'Threshold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Chart'!$B$1:$S$1,0)))),base,IF(OR(cat="Status",pow=0),0,FLOOR(FLOOR(FLOOR((2*XLOOKUP($Q640,'Threshold Summary'!$Y:$Y,'Threshold Summary'!$L:$L,"")/5+2)*pow*atk/def)/50)+2)),modifier,stab*eff,AVERAGE(ARRAYFORMULA(FLOOR(base*modifier*SEQUENCE(16,1,85,1)/100)))/(FLOOR(((2*XLOOKUP('Boss Editor'!$C$4,'Pokemon Editor'!$A:$A,'Pokemon Editor'!$E:$E,0)+31+FLOOR('Boss Editor'!$G$4/4))*'Boss Editor'!$D$4)/100)+'Boss Editor'!$D$4+10)),0)</f>
        <v/>
      </c>
      <c r="O640" s="3">
        <f>IF(N640&gt;=1,"OHKO",IF(N640&gt;=0.5,"2HKO",IF(N640&gt;=0.333,"3HKO",IF(N640&gt;=0.25,"4HKO","5HKO+"))))</f>
        <v/>
      </c>
      <c r="P640" s="3" t="inlineStr">
        <is>
          <t>Live from editable databases</t>
        </is>
      </c>
      <c r="Q640" s="3" t="inlineStr">
        <is>
          <t>SPECIES_LITLEO</t>
        </is>
      </c>
      <c r="R640" s="3" t="n">
        <v>31</v>
      </c>
    </row>
    <row r="641">
      <c r="A641" s="3">
        <f>XLOOKUP($Q641,'Threshold Summary'!$Y:$Y,'Threshold Summary'!$A:$A,"")</f>
        <v/>
      </c>
      <c r="B641" s="3">
        <f>XLOOKUP($Q641,'Threshold Summary'!$Y:$Y,'Threshold Summary'!$M:$M,"")</f>
        <v/>
      </c>
      <c r="C641" s="3">
        <f>XLOOKUP($Q641,'Threshold Summary'!$Y:$Y,'Threshold Summary'!$N:$N,"")</f>
        <v/>
      </c>
      <c r="D641" s="3">
        <f>IFERROR(INDEX(FILTER('Learnset Editor'!$D$2:$D,'Learnset Editor'!$A$2:$A=XLOOKUP($Q641,'Threshold Summary'!$Y:$Y,'Threshold Summary'!$K:$K,""),'Learnset Editor'!$C$2:$C&lt;=XLOOKUP($Q641,'Threshold Summary'!$Y:$Y,'Threshold Summary'!$L:$L,"")),$R641),"")</f>
        <v/>
      </c>
      <c r="E641" s="3">
        <f>XLOOKUP(D641,'Move Editor'!$B:$B,'Move Editor'!$C:$C,"")</f>
        <v/>
      </c>
      <c r="F641" s="3">
        <f>XLOOKUP(D641,'Move Editor'!$B:$B,'Move Editor'!$D:$D,"")</f>
        <v/>
      </c>
      <c r="G641" s="3">
        <f>XLOOKUP(D641,'Move Editor'!$B:$B,'Move Editor'!$E:$E,0)</f>
        <v/>
      </c>
      <c r="H641" s="3">
        <f>XLOOKUP(D641,'Move Editor'!$B:$B,'Move Editor'!$F:$F,0)</f>
        <v/>
      </c>
      <c r="I641" s="3">
        <f>(INDEX('Type Chart'!$B:$S,MATCH(E641,'Type Chart'!$A:$A,0),MATCH(XLOOKUP('Boss Editor'!$C$4,'Pokemon Editor'!$A:$A,'Pokemon Editor'!$C:$C,""),'Type Chart'!$B$1:$S$1,0))*IF(XLOOKUP('Boss Editor'!$C$4,'Pokemon Editor'!$A:$A,'Pokemon Editor'!$D:$D,"")="",1,INDEX('Type Chart'!$B:$S,MATCH(E641,'Type Chart'!$A:$A,0),MATCH(XLOOKUP('Boss Editor'!$C$4,'Pokemon Editor'!$A:$A,'Pokemon Editor'!$D:$D,""),'Type Chart'!$B$1:$S$1,0))))</f>
        <v/>
      </c>
      <c r="J641" s="3">
        <f>IFERROR(LET(mtype,XLOOKUP($D641,'Move Editor'!$B:$B,'Move Editor'!$C:$C,""),cat,XLOOKUP($D641,'Move Editor'!$B:$B,'Move Editor'!$D:$D,""),pow,XLOOKUP($D641,'Move Editor'!$B:$B,'Move Editor'!$E:$E,0),acc,XLOOKUP($D641,'Move Editor'!$B:$B,'Move Editor'!$F:$F,100),atk,IF(cat="Physical",FLOOR((FLOOR(((2*XLOOKUP(XLOOKUP($Q641,'Threshold Summary'!$Y:$Y,'Threshold Summary'!$K:$K,""),'Pokemon Editor'!$A:$A,'Pokemon Editor'!$F:$F,0)+31+FLOOR(XLOOKUP($Q641,'Threshold Summary'!$Y:$Y,'Threshold Summary'!$P:$P,"")/4))*XLOOKUP($Q641,'Threshold Summary'!$Y:$Y,'Threshold Summary'!$L:$L,""))/100)+5)*XLOOKUP(XLOOKUP($Q641,'Threshold Summary'!$Y:$Y,'Threshold Summary'!$M:$M,""),'Nature Editor'!$A:$A,'Nature Editor'!$B:$B,1)),FLOOR((FLOOR(((2*XLOOKUP(XLOOKUP($Q641,'Threshold Summary'!$Y:$Y,'Threshold Summary'!$K:$K,""),'Pokemon Editor'!$A:$A,'Pokemon Editor'!$H:$H,0)+31+FLOOR(XLOOKUP($Q641,'Threshold Summary'!$Y:$Y,'Threshold Summary'!$R:$R,"")/4))*XLOOKUP($Q641,'Threshold Summary'!$Y:$Y,'Threshold Summary'!$L:$L,""))/100)+5)*XLOOKUP(XLOOKUP($Q641,'Threshold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Editor'!$E:$E,1))),stab,IF(OR(mtype=XLOOKUP(XLOOKUP($Q641,'Threshold Summary'!$Y:$Y,'Threshold Summary'!$K:$K,""),'Pokemon Editor'!$A:$A,'Pokemon Editor'!$C:$C,""),mtype=XLOOKUP(XLOOKUP($Q641,'Threshold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Chart'!$B$1:$S$1,0)))),base,IF(OR(cat="Status",pow=0),0,FLOOR(FLOOR(FLOOR((2*XLOOKUP($Q641,'Threshold Summary'!$Y:$Y,'Threshold Summary'!$L:$L,"")/5+2)*pow*atk/def)/50)+2)),modifier,stab*eff,FLOOR(base*modifier*0.85)),0)</f>
        <v/>
      </c>
      <c r="K641" s="3">
        <f>IFERROR(LET(mtype,XLOOKUP($D641,'Move Editor'!$B:$B,'Move Editor'!$C:$C,""),cat,XLOOKUP($D641,'Move Editor'!$B:$B,'Move Editor'!$D:$D,""),pow,XLOOKUP($D641,'Move Editor'!$B:$B,'Move Editor'!$E:$E,0),acc,XLOOKUP($D641,'Move Editor'!$B:$B,'Move Editor'!$F:$F,100),atk,IF(cat="Physical",FLOOR((FLOOR(((2*XLOOKUP(XLOOKUP($Q641,'Threshold Summary'!$Y:$Y,'Threshold Summary'!$K:$K,""),'Pokemon Editor'!$A:$A,'Pokemon Editor'!$F:$F,0)+31+FLOOR(XLOOKUP($Q641,'Threshold Summary'!$Y:$Y,'Threshold Summary'!$P:$P,"")/4))*XLOOKUP($Q641,'Threshold Summary'!$Y:$Y,'Threshold Summary'!$L:$L,""))/100)+5)*XLOOKUP(XLOOKUP($Q641,'Threshold Summary'!$Y:$Y,'Threshold Summary'!$M:$M,""),'Nature Editor'!$A:$A,'Nature Editor'!$B:$B,1)),FLOOR((FLOOR(((2*XLOOKUP(XLOOKUP($Q641,'Threshold Summary'!$Y:$Y,'Threshold Summary'!$K:$K,""),'Pokemon Editor'!$A:$A,'Pokemon Editor'!$H:$H,0)+31+FLOOR(XLOOKUP($Q641,'Threshold Summary'!$Y:$Y,'Threshold Summary'!$R:$R,"")/4))*XLOOKUP($Q641,'Threshold Summary'!$Y:$Y,'Threshold Summary'!$L:$L,""))/100)+5)*XLOOKUP(XLOOKUP($Q641,'Threshold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Editor'!$E:$E,1))),stab,IF(OR(mtype=XLOOKUP(XLOOKUP($Q641,'Threshold Summary'!$Y:$Y,'Threshold Summary'!$K:$K,""),'Pokemon Editor'!$A:$A,'Pokemon Editor'!$C:$C,""),mtype=XLOOKUP(XLOOKUP($Q641,'Threshold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Chart'!$B$1:$S$1,0)))),base,IF(OR(cat="Status",pow=0),0,FLOOR(FLOOR(FLOOR((2*XLOOKUP($Q641,'Threshold Summary'!$Y:$Y,'Threshold Summary'!$L:$L,"")/5+2)*pow*atk/def)/50)+2)),modifier,stab*eff,FLOOR(base*modifier)),0)</f>
        <v/>
      </c>
      <c r="L641" s="3">
        <f>IFERROR(LET(mtype,XLOOKUP($D641,'Move Editor'!$B:$B,'Move Editor'!$C:$C,""),cat,XLOOKUP($D641,'Move Editor'!$B:$B,'Move Editor'!$D:$D,""),pow,XLOOKUP($D641,'Move Editor'!$B:$B,'Move Editor'!$E:$E,0),acc,XLOOKUP($D641,'Move Editor'!$B:$B,'Move Editor'!$F:$F,100),atk,IF(cat="Physical",FLOOR((FLOOR(((2*XLOOKUP(XLOOKUP($Q641,'Threshold Summary'!$Y:$Y,'Threshold Summary'!$K:$K,""),'Pokemon Editor'!$A:$A,'Pokemon Editor'!$F:$F,0)+31+FLOOR(XLOOKUP($Q641,'Threshold Summary'!$Y:$Y,'Threshold Summary'!$P:$P,"")/4))*XLOOKUP($Q641,'Threshold Summary'!$Y:$Y,'Threshold Summary'!$L:$L,""))/100)+5)*XLOOKUP(XLOOKUP($Q641,'Threshold Summary'!$Y:$Y,'Threshold Summary'!$M:$M,""),'Nature Editor'!$A:$A,'Nature Editor'!$B:$B,1)),FLOOR((FLOOR(((2*XLOOKUP(XLOOKUP($Q641,'Threshold Summary'!$Y:$Y,'Threshold Summary'!$K:$K,""),'Pokemon Editor'!$A:$A,'Pokemon Editor'!$H:$H,0)+31+FLOOR(XLOOKUP($Q641,'Threshold Summary'!$Y:$Y,'Threshold Summary'!$R:$R,"")/4))*XLOOKUP($Q641,'Threshold Summary'!$Y:$Y,'Threshold Summary'!$L:$L,""))/100)+5)*XLOOKUP(XLOOKUP($Q641,'Threshold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Editor'!$E:$E,1))),stab,IF(OR(mtype=XLOOKUP(XLOOKUP($Q641,'Threshold Summary'!$Y:$Y,'Threshold Summary'!$K:$K,""),'Pokemon Editor'!$A:$A,'Pokemon Editor'!$C:$C,""),mtype=XLOOKUP(XLOOKUP($Q641,'Threshold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Chart'!$B$1:$S$1,0)))),base,IF(OR(cat="Status",pow=0),0,FLOOR(FLOOR(FLOOR((2*XLOOKUP($Q641,'Threshold Summary'!$Y:$Y,'Threshold Summary'!$L:$L,"")/5+2)*pow*atk/def)/50)+2)),modifier,stab*eff,AVERAGE(ARRAYFORMULA(FLOOR(base*modifier*SEQUENCE(16,1,85,1)/100)))),0)</f>
        <v/>
      </c>
      <c r="M641" s="3">
        <f>IFERROR(LET(mtype,XLOOKUP($D641,'Move Editor'!$B:$B,'Move Editor'!$C:$C,""),cat,XLOOKUP($D641,'Move Editor'!$B:$B,'Move Editor'!$D:$D,""),pow,XLOOKUP($D641,'Move Editor'!$B:$B,'Move Editor'!$E:$E,0),acc,XLOOKUP($D641,'Move Editor'!$B:$B,'Move Editor'!$F:$F,100),atk,IF(cat="Physical",FLOOR((FLOOR(((2*XLOOKUP(XLOOKUP($Q641,'Threshold Summary'!$Y:$Y,'Threshold Summary'!$K:$K,""),'Pokemon Editor'!$A:$A,'Pokemon Editor'!$F:$F,0)+31+FLOOR(XLOOKUP($Q641,'Threshold Summary'!$Y:$Y,'Threshold Summary'!$P:$P,"")/4))*XLOOKUP($Q641,'Threshold Summary'!$Y:$Y,'Threshold Summary'!$L:$L,""))/100)+5)*XLOOKUP(XLOOKUP($Q641,'Threshold Summary'!$Y:$Y,'Threshold Summary'!$M:$M,""),'Nature Editor'!$A:$A,'Nature Editor'!$B:$B,1)),FLOOR((FLOOR(((2*XLOOKUP(XLOOKUP($Q641,'Threshold Summary'!$Y:$Y,'Threshold Summary'!$K:$K,""),'Pokemon Editor'!$A:$A,'Pokemon Editor'!$H:$H,0)+31+FLOOR(XLOOKUP($Q641,'Threshold Summary'!$Y:$Y,'Threshold Summary'!$R:$R,"")/4))*XLOOKUP($Q641,'Threshold Summary'!$Y:$Y,'Threshold Summary'!$L:$L,""))/100)+5)*XLOOKUP(XLOOKUP($Q641,'Threshold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Editor'!$E:$E,1))),stab,IF(OR(mtype=XLOOKUP(XLOOKUP($Q641,'Threshold Summary'!$Y:$Y,'Threshold Summary'!$K:$K,""),'Pokemon Editor'!$A:$A,'Pokemon Editor'!$C:$C,""),mtype=XLOOKUP(XLOOKUP($Q641,'Threshold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Chart'!$B$1:$S$1,0)))),base,IF(OR(cat="Status",pow=0),0,FLOOR(FLOOR(FLOOR((2*XLOOKUP($Q641,'Threshold Summary'!$Y:$Y,'Threshold Summary'!$L:$L,"")/5+2)*pow*atk/def)/50)+2)),modifier,stab*eff,AVERAGE(ARRAYFORMULA(FLOOR(base*modifier*SEQUENCE(16,1,85,1)/100)))*MIN(1,acc/100)),0)</f>
        <v/>
      </c>
      <c r="N641" s="4">
        <f>IFERROR(LET(mtype,XLOOKUP($D641,'Move Editor'!$B:$B,'Move Editor'!$C:$C,""),cat,XLOOKUP($D641,'Move Editor'!$B:$B,'Move Editor'!$D:$D,""),pow,XLOOKUP($D641,'Move Editor'!$B:$B,'Move Editor'!$E:$E,0),acc,XLOOKUP($D641,'Move Editor'!$B:$B,'Move Editor'!$F:$F,100),atk,IF(cat="Physical",FLOOR((FLOOR(((2*XLOOKUP(XLOOKUP($Q641,'Threshold Summary'!$Y:$Y,'Threshold Summary'!$K:$K,""),'Pokemon Editor'!$A:$A,'Pokemon Editor'!$F:$F,0)+31+FLOOR(XLOOKUP($Q641,'Threshold Summary'!$Y:$Y,'Threshold Summary'!$P:$P,"")/4))*XLOOKUP($Q641,'Threshold Summary'!$Y:$Y,'Threshold Summary'!$L:$L,""))/100)+5)*XLOOKUP(XLOOKUP($Q641,'Threshold Summary'!$Y:$Y,'Threshold Summary'!$M:$M,""),'Nature Editor'!$A:$A,'Nature Editor'!$B:$B,1)),FLOOR((FLOOR(((2*XLOOKUP(XLOOKUP($Q641,'Threshold Summary'!$Y:$Y,'Threshold Summary'!$K:$K,""),'Pokemon Editor'!$A:$A,'Pokemon Editor'!$H:$H,0)+31+FLOOR(XLOOKUP($Q641,'Threshold Summary'!$Y:$Y,'Threshold Summary'!$R:$R,"")/4))*XLOOKUP($Q641,'Threshold Summary'!$Y:$Y,'Threshold Summary'!$L:$L,""))/100)+5)*XLOOKUP(XLOOKUP($Q641,'Threshold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Editor'!$E:$E,1))),stab,IF(OR(mtype=XLOOKUP(XLOOKUP($Q641,'Threshold Summary'!$Y:$Y,'Threshold Summary'!$K:$K,""),'Pokemon Editor'!$A:$A,'Pokemon Editor'!$C:$C,""),mtype=XLOOKUP(XLOOKUP($Q641,'Threshold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Chart'!$B$1:$S$1,0)))),base,IF(OR(cat="Status",pow=0),0,FLOOR(FLOOR(FLOOR((2*XLOOKUP($Q641,'Threshold Summary'!$Y:$Y,'Threshold Summary'!$L:$L,"")/5+2)*pow*atk/def)/50)+2)),modifier,stab*eff,AVERAGE(ARRAYFORMULA(FLOOR(base*modifier*SEQUENCE(16,1,85,1)/100)))/(FLOOR(((2*XLOOKUP('Boss Editor'!$C$4,'Pokemon Editor'!$A:$A,'Pokemon Editor'!$E:$E,0)+31+FLOOR('Boss Editor'!$G$4/4))*'Boss Editor'!$D$4)/100)+'Boss Editor'!$D$4+10)),0)</f>
        <v/>
      </c>
      <c r="O641" s="3">
        <f>IF(N641&gt;=1,"OHKO",IF(N641&gt;=0.5,"2HKO",IF(N641&gt;=0.333,"3HKO",IF(N641&gt;=0.25,"4HKO","5HKO+"))))</f>
        <v/>
      </c>
      <c r="P641" s="3" t="inlineStr">
        <is>
          <t>Live from editable databases</t>
        </is>
      </c>
      <c r="Q641" s="3" t="inlineStr">
        <is>
          <t>SPECIES_LITLEO</t>
        </is>
      </c>
      <c r="R641" s="3" t="n">
        <v>32</v>
      </c>
    </row>
    <row r="642">
      <c r="A642" s="3">
        <f>XLOOKUP($Q642,'Threshold Summary'!$Y:$Y,'Threshold Summary'!$A:$A,"")</f>
        <v/>
      </c>
      <c r="B642" s="3">
        <f>XLOOKUP($Q642,'Threshold Summary'!$Y:$Y,'Threshold Summary'!$M:$M,"")</f>
        <v/>
      </c>
      <c r="C642" s="3">
        <f>XLOOKUP($Q642,'Threshold Summary'!$Y:$Y,'Threshold Summary'!$N:$N,"")</f>
        <v/>
      </c>
      <c r="D642" s="3">
        <f>IFERROR(INDEX(FILTER('Learnset Editor'!$D$2:$D,'Learnset Editor'!$A$2:$A=XLOOKUP($Q642,'Threshold Summary'!$Y:$Y,'Threshold Summary'!$K:$K,""),'Learnset Editor'!$C$2:$C&lt;=XLOOKUP($Q642,'Threshold Summary'!$Y:$Y,'Threshold Summary'!$L:$L,"")),$R642),"")</f>
        <v/>
      </c>
      <c r="E642" s="3">
        <f>XLOOKUP(D642,'Move Editor'!$B:$B,'Move Editor'!$C:$C,"")</f>
        <v/>
      </c>
      <c r="F642" s="3">
        <f>XLOOKUP(D642,'Move Editor'!$B:$B,'Move Editor'!$D:$D,"")</f>
        <v/>
      </c>
      <c r="G642" s="3">
        <f>XLOOKUP(D642,'Move Editor'!$B:$B,'Move Editor'!$E:$E,0)</f>
        <v/>
      </c>
      <c r="H642" s="3">
        <f>XLOOKUP(D642,'Move Editor'!$B:$B,'Move Editor'!$F:$F,0)</f>
        <v/>
      </c>
      <c r="I642" s="3">
        <f>(INDEX('Type Chart'!$B:$S,MATCH(E642,'Type Chart'!$A:$A,0),MATCH(XLOOKUP('Boss Editor'!$C$4,'Pokemon Editor'!$A:$A,'Pokemon Editor'!$C:$C,""),'Type Chart'!$B$1:$S$1,0))*IF(XLOOKUP('Boss Editor'!$C$4,'Pokemon Editor'!$A:$A,'Pokemon Editor'!$D:$D,"")="",1,INDEX('Type Chart'!$B:$S,MATCH(E642,'Type Chart'!$A:$A,0),MATCH(XLOOKUP('Boss Editor'!$C$4,'Pokemon Editor'!$A:$A,'Pokemon Editor'!$D:$D,""),'Type Chart'!$B$1:$S$1,0))))</f>
        <v/>
      </c>
      <c r="J642" s="3">
        <f>IFERROR(LET(mtype,XLOOKUP($D642,'Move Editor'!$B:$B,'Move Editor'!$C:$C,""),cat,XLOOKUP($D642,'Move Editor'!$B:$B,'Move Editor'!$D:$D,""),pow,XLOOKUP($D642,'Move Editor'!$B:$B,'Move Editor'!$E:$E,0),acc,XLOOKUP($D642,'Move Editor'!$B:$B,'Move Editor'!$F:$F,100),atk,IF(cat="Physical",FLOOR((FLOOR(((2*XLOOKUP(XLOOKUP($Q642,'Threshold Summary'!$Y:$Y,'Threshold Summary'!$K:$K,""),'Pokemon Editor'!$A:$A,'Pokemon Editor'!$F:$F,0)+31+FLOOR(XLOOKUP($Q642,'Threshold Summary'!$Y:$Y,'Threshold Summary'!$P:$P,"")/4))*XLOOKUP($Q642,'Threshold Summary'!$Y:$Y,'Threshold Summary'!$L:$L,""))/100)+5)*XLOOKUP(XLOOKUP($Q642,'Threshold Summary'!$Y:$Y,'Threshold Summary'!$M:$M,""),'Nature Editor'!$A:$A,'Nature Editor'!$B:$B,1)),FLOOR((FLOOR(((2*XLOOKUP(XLOOKUP($Q642,'Threshold Summary'!$Y:$Y,'Threshold Summary'!$K:$K,""),'Pokemon Editor'!$A:$A,'Pokemon Editor'!$H:$H,0)+31+FLOOR(XLOOKUP($Q642,'Threshold Summary'!$Y:$Y,'Threshold Summary'!$R:$R,"")/4))*XLOOKUP($Q642,'Threshold Summary'!$Y:$Y,'Threshold Summary'!$L:$L,""))/100)+5)*XLOOKUP(XLOOKUP($Q642,'Threshold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Editor'!$E:$E,1))),stab,IF(OR(mtype=XLOOKUP(XLOOKUP($Q642,'Threshold Summary'!$Y:$Y,'Threshold Summary'!$K:$K,""),'Pokemon Editor'!$A:$A,'Pokemon Editor'!$C:$C,""),mtype=XLOOKUP(XLOOKUP($Q642,'Threshold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Chart'!$B$1:$S$1,0)))),base,IF(OR(cat="Status",pow=0),0,FLOOR(FLOOR(FLOOR((2*XLOOKUP($Q642,'Threshold Summary'!$Y:$Y,'Threshold Summary'!$L:$L,"")/5+2)*pow*atk/def)/50)+2)),modifier,stab*eff,FLOOR(base*modifier*0.85)),0)</f>
        <v/>
      </c>
      <c r="K642" s="3">
        <f>IFERROR(LET(mtype,XLOOKUP($D642,'Move Editor'!$B:$B,'Move Editor'!$C:$C,""),cat,XLOOKUP($D642,'Move Editor'!$B:$B,'Move Editor'!$D:$D,""),pow,XLOOKUP($D642,'Move Editor'!$B:$B,'Move Editor'!$E:$E,0),acc,XLOOKUP($D642,'Move Editor'!$B:$B,'Move Editor'!$F:$F,100),atk,IF(cat="Physical",FLOOR((FLOOR(((2*XLOOKUP(XLOOKUP($Q642,'Threshold Summary'!$Y:$Y,'Threshold Summary'!$K:$K,""),'Pokemon Editor'!$A:$A,'Pokemon Editor'!$F:$F,0)+31+FLOOR(XLOOKUP($Q642,'Threshold Summary'!$Y:$Y,'Threshold Summary'!$P:$P,"")/4))*XLOOKUP($Q642,'Threshold Summary'!$Y:$Y,'Threshold Summary'!$L:$L,""))/100)+5)*XLOOKUP(XLOOKUP($Q642,'Threshold Summary'!$Y:$Y,'Threshold Summary'!$M:$M,""),'Nature Editor'!$A:$A,'Nature Editor'!$B:$B,1)),FLOOR((FLOOR(((2*XLOOKUP(XLOOKUP($Q642,'Threshold Summary'!$Y:$Y,'Threshold Summary'!$K:$K,""),'Pokemon Editor'!$A:$A,'Pokemon Editor'!$H:$H,0)+31+FLOOR(XLOOKUP($Q642,'Threshold Summary'!$Y:$Y,'Threshold Summary'!$R:$R,"")/4))*XLOOKUP($Q642,'Threshold Summary'!$Y:$Y,'Threshold Summary'!$L:$L,""))/100)+5)*XLOOKUP(XLOOKUP($Q642,'Threshold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Editor'!$E:$E,1))),stab,IF(OR(mtype=XLOOKUP(XLOOKUP($Q642,'Threshold Summary'!$Y:$Y,'Threshold Summary'!$K:$K,""),'Pokemon Editor'!$A:$A,'Pokemon Editor'!$C:$C,""),mtype=XLOOKUP(XLOOKUP($Q642,'Threshold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Chart'!$B$1:$S$1,0)))),base,IF(OR(cat="Status",pow=0),0,FLOOR(FLOOR(FLOOR((2*XLOOKUP($Q642,'Threshold Summary'!$Y:$Y,'Threshold Summary'!$L:$L,"")/5+2)*pow*atk/def)/50)+2)),modifier,stab*eff,FLOOR(base*modifier)),0)</f>
        <v/>
      </c>
      <c r="L642" s="3">
        <f>IFERROR(LET(mtype,XLOOKUP($D642,'Move Editor'!$B:$B,'Move Editor'!$C:$C,""),cat,XLOOKUP($D642,'Move Editor'!$B:$B,'Move Editor'!$D:$D,""),pow,XLOOKUP($D642,'Move Editor'!$B:$B,'Move Editor'!$E:$E,0),acc,XLOOKUP($D642,'Move Editor'!$B:$B,'Move Editor'!$F:$F,100),atk,IF(cat="Physical",FLOOR((FLOOR(((2*XLOOKUP(XLOOKUP($Q642,'Threshold Summary'!$Y:$Y,'Threshold Summary'!$K:$K,""),'Pokemon Editor'!$A:$A,'Pokemon Editor'!$F:$F,0)+31+FLOOR(XLOOKUP($Q642,'Threshold Summary'!$Y:$Y,'Threshold Summary'!$P:$P,"")/4))*XLOOKUP($Q642,'Threshold Summary'!$Y:$Y,'Threshold Summary'!$L:$L,""))/100)+5)*XLOOKUP(XLOOKUP($Q642,'Threshold Summary'!$Y:$Y,'Threshold Summary'!$M:$M,""),'Nature Editor'!$A:$A,'Nature Editor'!$B:$B,1)),FLOOR((FLOOR(((2*XLOOKUP(XLOOKUP($Q642,'Threshold Summary'!$Y:$Y,'Threshold Summary'!$K:$K,""),'Pokemon Editor'!$A:$A,'Pokemon Editor'!$H:$H,0)+31+FLOOR(XLOOKUP($Q642,'Threshold Summary'!$Y:$Y,'Threshold Summary'!$R:$R,"")/4))*XLOOKUP($Q642,'Threshold Summary'!$Y:$Y,'Threshold Summary'!$L:$L,""))/100)+5)*XLOOKUP(XLOOKUP($Q642,'Threshold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Editor'!$E:$E,1))),stab,IF(OR(mtype=XLOOKUP(XLOOKUP($Q642,'Threshold Summary'!$Y:$Y,'Threshold Summary'!$K:$K,""),'Pokemon Editor'!$A:$A,'Pokemon Editor'!$C:$C,""),mtype=XLOOKUP(XLOOKUP($Q642,'Threshold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Chart'!$B$1:$S$1,0)))),base,IF(OR(cat="Status",pow=0),0,FLOOR(FLOOR(FLOOR((2*XLOOKUP($Q642,'Threshold Summary'!$Y:$Y,'Threshold Summary'!$L:$L,"")/5+2)*pow*atk/def)/50)+2)),modifier,stab*eff,AVERAGE(ARRAYFORMULA(FLOOR(base*modifier*SEQUENCE(16,1,85,1)/100)))),0)</f>
        <v/>
      </c>
      <c r="M642" s="3">
        <f>IFERROR(LET(mtype,XLOOKUP($D642,'Move Editor'!$B:$B,'Move Editor'!$C:$C,""),cat,XLOOKUP($D642,'Move Editor'!$B:$B,'Move Editor'!$D:$D,""),pow,XLOOKUP($D642,'Move Editor'!$B:$B,'Move Editor'!$E:$E,0),acc,XLOOKUP($D642,'Move Editor'!$B:$B,'Move Editor'!$F:$F,100),atk,IF(cat="Physical",FLOOR((FLOOR(((2*XLOOKUP(XLOOKUP($Q642,'Threshold Summary'!$Y:$Y,'Threshold Summary'!$K:$K,""),'Pokemon Editor'!$A:$A,'Pokemon Editor'!$F:$F,0)+31+FLOOR(XLOOKUP($Q642,'Threshold Summary'!$Y:$Y,'Threshold Summary'!$P:$P,"")/4))*XLOOKUP($Q642,'Threshold Summary'!$Y:$Y,'Threshold Summary'!$L:$L,""))/100)+5)*XLOOKUP(XLOOKUP($Q642,'Threshold Summary'!$Y:$Y,'Threshold Summary'!$M:$M,""),'Nature Editor'!$A:$A,'Nature Editor'!$B:$B,1)),FLOOR((FLOOR(((2*XLOOKUP(XLOOKUP($Q642,'Threshold Summary'!$Y:$Y,'Threshold Summary'!$K:$K,""),'Pokemon Editor'!$A:$A,'Pokemon Editor'!$H:$H,0)+31+FLOOR(XLOOKUP($Q642,'Threshold Summary'!$Y:$Y,'Threshold Summary'!$R:$R,"")/4))*XLOOKUP($Q642,'Threshold Summary'!$Y:$Y,'Threshold Summary'!$L:$L,""))/100)+5)*XLOOKUP(XLOOKUP($Q642,'Threshold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Editor'!$E:$E,1))),stab,IF(OR(mtype=XLOOKUP(XLOOKUP($Q642,'Threshold Summary'!$Y:$Y,'Threshold Summary'!$K:$K,""),'Pokemon Editor'!$A:$A,'Pokemon Editor'!$C:$C,""),mtype=XLOOKUP(XLOOKUP($Q642,'Threshold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Chart'!$B$1:$S$1,0)))),base,IF(OR(cat="Status",pow=0),0,FLOOR(FLOOR(FLOOR((2*XLOOKUP($Q642,'Threshold Summary'!$Y:$Y,'Threshold Summary'!$L:$L,"")/5+2)*pow*atk/def)/50)+2)),modifier,stab*eff,AVERAGE(ARRAYFORMULA(FLOOR(base*modifier*SEQUENCE(16,1,85,1)/100)))*MIN(1,acc/100)),0)</f>
        <v/>
      </c>
      <c r="N642" s="4">
        <f>IFERROR(LET(mtype,XLOOKUP($D642,'Move Editor'!$B:$B,'Move Editor'!$C:$C,""),cat,XLOOKUP($D642,'Move Editor'!$B:$B,'Move Editor'!$D:$D,""),pow,XLOOKUP($D642,'Move Editor'!$B:$B,'Move Editor'!$E:$E,0),acc,XLOOKUP($D642,'Move Editor'!$B:$B,'Move Editor'!$F:$F,100),atk,IF(cat="Physical",FLOOR((FLOOR(((2*XLOOKUP(XLOOKUP($Q642,'Threshold Summary'!$Y:$Y,'Threshold Summary'!$K:$K,""),'Pokemon Editor'!$A:$A,'Pokemon Editor'!$F:$F,0)+31+FLOOR(XLOOKUP($Q642,'Threshold Summary'!$Y:$Y,'Threshold Summary'!$P:$P,"")/4))*XLOOKUP($Q642,'Threshold Summary'!$Y:$Y,'Threshold Summary'!$L:$L,""))/100)+5)*XLOOKUP(XLOOKUP($Q642,'Threshold Summary'!$Y:$Y,'Threshold Summary'!$M:$M,""),'Nature Editor'!$A:$A,'Nature Editor'!$B:$B,1)),FLOOR((FLOOR(((2*XLOOKUP(XLOOKUP($Q642,'Threshold Summary'!$Y:$Y,'Threshold Summary'!$K:$K,""),'Pokemon Editor'!$A:$A,'Pokemon Editor'!$H:$H,0)+31+FLOOR(XLOOKUP($Q642,'Threshold Summary'!$Y:$Y,'Threshold Summary'!$R:$R,"")/4))*XLOOKUP($Q642,'Threshold Summary'!$Y:$Y,'Threshold Summary'!$L:$L,""))/100)+5)*XLOOKUP(XLOOKUP($Q642,'Threshold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Editor'!$E:$E,1))),stab,IF(OR(mtype=XLOOKUP(XLOOKUP($Q642,'Threshold Summary'!$Y:$Y,'Threshold Summary'!$K:$K,""),'Pokemon Editor'!$A:$A,'Pokemon Editor'!$C:$C,""),mtype=XLOOKUP(XLOOKUP($Q642,'Threshold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Chart'!$B$1:$S$1,0)))),base,IF(OR(cat="Status",pow=0),0,FLOOR(FLOOR(FLOOR((2*XLOOKUP($Q642,'Threshold Summary'!$Y:$Y,'Threshold Summary'!$L:$L,"")/5+2)*pow*atk/def)/50)+2)),modifier,stab*eff,AVERAGE(ARRAYFORMULA(FLOOR(base*modifier*SEQUENCE(16,1,85,1)/100)))/(FLOOR(((2*XLOOKUP('Boss Editor'!$C$4,'Pokemon Editor'!$A:$A,'Pokemon Editor'!$E:$E,0)+31+FLOOR('Boss Editor'!$G$4/4))*'Boss Editor'!$D$4)/100)+'Boss Editor'!$D$4+10)),0)</f>
        <v/>
      </c>
      <c r="O642" s="3">
        <f>IF(N642&gt;=1,"OHKO",IF(N642&gt;=0.5,"2HKO",IF(N642&gt;=0.333,"3HKO",IF(N642&gt;=0.25,"4HKO","5HKO+"))))</f>
        <v/>
      </c>
      <c r="P642" s="3" t="inlineStr">
        <is>
          <t>Live from editable databases</t>
        </is>
      </c>
      <c r="Q642" s="3" t="inlineStr">
        <is>
          <t>SPECIES_PANCHAM</t>
        </is>
      </c>
      <c r="R642" s="3" t="n">
        <v>1</v>
      </c>
    </row>
    <row r="643">
      <c r="A643" s="3">
        <f>XLOOKUP($Q643,'Threshold Summary'!$Y:$Y,'Threshold Summary'!$A:$A,"")</f>
        <v/>
      </c>
      <c r="B643" s="3">
        <f>XLOOKUP($Q643,'Threshold Summary'!$Y:$Y,'Threshold Summary'!$M:$M,"")</f>
        <v/>
      </c>
      <c r="C643" s="3">
        <f>XLOOKUP($Q643,'Threshold Summary'!$Y:$Y,'Threshold Summary'!$N:$N,"")</f>
        <v/>
      </c>
      <c r="D643" s="3">
        <f>IFERROR(INDEX(FILTER('Learnset Editor'!$D$2:$D,'Learnset Editor'!$A$2:$A=XLOOKUP($Q643,'Threshold Summary'!$Y:$Y,'Threshold Summary'!$K:$K,""),'Learnset Editor'!$C$2:$C&lt;=XLOOKUP($Q643,'Threshold Summary'!$Y:$Y,'Threshold Summary'!$L:$L,"")),$R643),"")</f>
        <v/>
      </c>
      <c r="E643" s="3">
        <f>XLOOKUP(D643,'Move Editor'!$B:$B,'Move Editor'!$C:$C,"")</f>
        <v/>
      </c>
      <c r="F643" s="3">
        <f>XLOOKUP(D643,'Move Editor'!$B:$B,'Move Editor'!$D:$D,"")</f>
        <v/>
      </c>
      <c r="G643" s="3">
        <f>XLOOKUP(D643,'Move Editor'!$B:$B,'Move Editor'!$E:$E,0)</f>
        <v/>
      </c>
      <c r="H643" s="3">
        <f>XLOOKUP(D643,'Move Editor'!$B:$B,'Move Editor'!$F:$F,0)</f>
        <v/>
      </c>
      <c r="I643" s="3">
        <f>(INDEX('Type Chart'!$B:$S,MATCH(E643,'Type Chart'!$A:$A,0),MATCH(XLOOKUP('Boss Editor'!$C$4,'Pokemon Editor'!$A:$A,'Pokemon Editor'!$C:$C,""),'Type Chart'!$B$1:$S$1,0))*IF(XLOOKUP('Boss Editor'!$C$4,'Pokemon Editor'!$A:$A,'Pokemon Editor'!$D:$D,"")="",1,INDEX('Type Chart'!$B:$S,MATCH(E643,'Type Chart'!$A:$A,0),MATCH(XLOOKUP('Boss Editor'!$C$4,'Pokemon Editor'!$A:$A,'Pokemon Editor'!$D:$D,""),'Type Chart'!$B$1:$S$1,0))))</f>
        <v/>
      </c>
      <c r="J643" s="3">
        <f>IFERROR(LET(mtype,XLOOKUP($D643,'Move Editor'!$B:$B,'Move Editor'!$C:$C,""),cat,XLOOKUP($D643,'Move Editor'!$B:$B,'Move Editor'!$D:$D,""),pow,XLOOKUP($D643,'Move Editor'!$B:$B,'Move Editor'!$E:$E,0),acc,XLOOKUP($D643,'Move Editor'!$B:$B,'Move Editor'!$F:$F,100),atk,IF(cat="Physical",FLOOR((FLOOR(((2*XLOOKUP(XLOOKUP($Q643,'Threshold Summary'!$Y:$Y,'Threshold Summary'!$K:$K,""),'Pokemon Editor'!$A:$A,'Pokemon Editor'!$F:$F,0)+31+FLOOR(XLOOKUP($Q643,'Threshold Summary'!$Y:$Y,'Threshold Summary'!$P:$P,"")/4))*XLOOKUP($Q643,'Threshold Summary'!$Y:$Y,'Threshold Summary'!$L:$L,""))/100)+5)*XLOOKUP(XLOOKUP($Q643,'Threshold Summary'!$Y:$Y,'Threshold Summary'!$M:$M,""),'Nature Editor'!$A:$A,'Nature Editor'!$B:$B,1)),FLOOR((FLOOR(((2*XLOOKUP(XLOOKUP($Q643,'Threshold Summary'!$Y:$Y,'Threshold Summary'!$K:$K,""),'Pokemon Editor'!$A:$A,'Pokemon Editor'!$H:$H,0)+31+FLOOR(XLOOKUP($Q643,'Threshold Summary'!$Y:$Y,'Threshold Summary'!$R:$R,"")/4))*XLOOKUP($Q643,'Threshold Summary'!$Y:$Y,'Threshold Summary'!$L:$L,""))/100)+5)*XLOOKUP(XLOOKUP($Q643,'Threshold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Editor'!$E:$E,1))),stab,IF(OR(mtype=XLOOKUP(XLOOKUP($Q643,'Threshold Summary'!$Y:$Y,'Threshold Summary'!$K:$K,""),'Pokemon Editor'!$A:$A,'Pokemon Editor'!$C:$C,""),mtype=XLOOKUP(XLOOKUP($Q643,'Threshold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Chart'!$B$1:$S$1,0)))),base,IF(OR(cat="Status",pow=0),0,FLOOR(FLOOR(FLOOR((2*XLOOKUP($Q643,'Threshold Summary'!$Y:$Y,'Threshold Summary'!$L:$L,"")/5+2)*pow*atk/def)/50)+2)),modifier,stab*eff,FLOOR(base*modifier*0.85)),0)</f>
        <v/>
      </c>
      <c r="K643" s="3">
        <f>IFERROR(LET(mtype,XLOOKUP($D643,'Move Editor'!$B:$B,'Move Editor'!$C:$C,""),cat,XLOOKUP($D643,'Move Editor'!$B:$B,'Move Editor'!$D:$D,""),pow,XLOOKUP($D643,'Move Editor'!$B:$B,'Move Editor'!$E:$E,0),acc,XLOOKUP($D643,'Move Editor'!$B:$B,'Move Editor'!$F:$F,100),atk,IF(cat="Physical",FLOOR((FLOOR(((2*XLOOKUP(XLOOKUP($Q643,'Threshold Summary'!$Y:$Y,'Threshold Summary'!$K:$K,""),'Pokemon Editor'!$A:$A,'Pokemon Editor'!$F:$F,0)+31+FLOOR(XLOOKUP($Q643,'Threshold Summary'!$Y:$Y,'Threshold Summary'!$P:$P,"")/4))*XLOOKUP($Q643,'Threshold Summary'!$Y:$Y,'Threshold Summary'!$L:$L,""))/100)+5)*XLOOKUP(XLOOKUP($Q643,'Threshold Summary'!$Y:$Y,'Threshold Summary'!$M:$M,""),'Nature Editor'!$A:$A,'Nature Editor'!$B:$B,1)),FLOOR((FLOOR(((2*XLOOKUP(XLOOKUP($Q643,'Threshold Summary'!$Y:$Y,'Threshold Summary'!$K:$K,""),'Pokemon Editor'!$A:$A,'Pokemon Editor'!$H:$H,0)+31+FLOOR(XLOOKUP($Q643,'Threshold Summary'!$Y:$Y,'Threshold Summary'!$R:$R,"")/4))*XLOOKUP($Q643,'Threshold Summary'!$Y:$Y,'Threshold Summary'!$L:$L,""))/100)+5)*XLOOKUP(XLOOKUP($Q643,'Threshold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Editor'!$E:$E,1))),stab,IF(OR(mtype=XLOOKUP(XLOOKUP($Q643,'Threshold Summary'!$Y:$Y,'Threshold Summary'!$K:$K,""),'Pokemon Editor'!$A:$A,'Pokemon Editor'!$C:$C,""),mtype=XLOOKUP(XLOOKUP($Q643,'Threshold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Chart'!$B$1:$S$1,0)))),base,IF(OR(cat="Status",pow=0),0,FLOOR(FLOOR(FLOOR((2*XLOOKUP($Q643,'Threshold Summary'!$Y:$Y,'Threshold Summary'!$L:$L,"")/5+2)*pow*atk/def)/50)+2)),modifier,stab*eff,FLOOR(base*modifier)),0)</f>
        <v/>
      </c>
      <c r="L643" s="3">
        <f>IFERROR(LET(mtype,XLOOKUP($D643,'Move Editor'!$B:$B,'Move Editor'!$C:$C,""),cat,XLOOKUP($D643,'Move Editor'!$B:$B,'Move Editor'!$D:$D,""),pow,XLOOKUP($D643,'Move Editor'!$B:$B,'Move Editor'!$E:$E,0),acc,XLOOKUP($D643,'Move Editor'!$B:$B,'Move Editor'!$F:$F,100),atk,IF(cat="Physical",FLOOR((FLOOR(((2*XLOOKUP(XLOOKUP($Q643,'Threshold Summary'!$Y:$Y,'Threshold Summary'!$K:$K,""),'Pokemon Editor'!$A:$A,'Pokemon Editor'!$F:$F,0)+31+FLOOR(XLOOKUP($Q643,'Threshold Summary'!$Y:$Y,'Threshold Summary'!$P:$P,"")/4))*XLOOKUP($Q643,'Threshold Summary'!$Y:$Y,'Threshold Summary'!$L:$L,""))/100)+5)*XLOOKUP(XLOOKUP($Q643,'Threshold Summary'!$Y:$Y,'Threshold Summary'!$M:$M,""),'Nature Editor'!$A:$A,'Nature Editor'!$B:$B,1)),FLOOR((FLOOR(((2*XLOOKUP(XLOOKUP($Q643,'Threshold Summary'!$Y:$Y,'Threshold Summary'!$K:$K,""),'Pokemon Editor'!$A:$A,'Pokemon Editor'!$H:$H,0)+31+FLOOR(XLOOKUP($Q643,'Threshold Summary'!$Y:$Y,'Threshold Summary'!$R:$R,"")/4))*XLOOKUP($Q643,'Threshold Summary'!$Y:$Y,'Threshold Summary'!$L:$L,""))/100)+5)*XLOOKUP(XLOOKUP($Q643,'Threshold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Editor'!$E:$E,1))),stab,IF(OR(mtype=XLOOKUP(XLOOKUP($Q643,'Threshold Summary'!$Y:$Y,'Threshold Summary'!$K:$K,""),'Pokemon Editor'!$A:$A,'Pokemon Editor'!$C:$C,""),mtype=XLOOKUP(XLOOKUP($Q643,'Threshold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Chart'!$B$1:$S$1,0)))),base,IF(OR(cat="Status",pow=0),0,FLOOR(FLOOR(FLOOR((2*XLOOKUP($Q643,'Threshold Summary'!$Y:$Y,'Threshold Summary'!$L:$L,"")/5+2)*pow*atk/def)/50)+2)),modifier,stab*eff,AVERAGE(ARRAYFORMULA(FLOOR(base*modifier*SEQUENCE(16,1,85,1)/100)))),0)</f>
        <v/>
      </c>
      <c r="M643" s="3">
        <f>IFERROR(LET(mtype,XLOOKUP($D643,'Move Editor'!$B:$B,'Move Editor'!$C:$C,""),cat,XLOOKUP($D643,'Move Editor'!$B:$B,'Move Editor'!$D:$D,""),pow,XLOOKUP($D643,'Move Editor'!$B:$B,'Move Editor'!$E:$E,0),acc,XLOOKUP($D643,'Move Editor'!$B:$B,'Move Editor'!$F:$F,100),atk,IF(cat="Physical",FLOOR((FLOOR(((2*XLOOKUP(XLOOKUP($Q643,'Threshold Summary'!$Y:$Y,'Threshold Summary'!$K:$K,""),'Pokemon Editor'!$A:$A,'Pokemon Editor'!$F:$F,0)+31+FLOOR(XLOOKUP($Q643,'Threshold Summary'!$Y:$Y,'Threshold Summary'!$P:$P,"")/4))*XLOOKUP($Q643,'Threshold Summary'!$Y:$Y,'Threshold Summary'!$L:$L,""))/100)+5)*XLOOKUP(XLOOKUP($Q643,'Threshold Summary'!$Y:$Y,'Threshold Summary'!$M:$M,""),'Nature Editor'!$A:$A,'Nature Editor'!$B:$B,1)),FLOOR((FLOOR(((2*XLOOKUP(XLOOKUP($Q643,'Threshold Summary'!$Y:$Y,'Threshold Summary'!$K:$K,""),'Pokemon Editor'!$A:$A,'Pokemon Editor'!$H:$H,0)+31+FLOOR(XLOOKUP($Q643,'Threshold Summary'!$Y:$Y,'Threshold Summary'!$R:$R,"")/4))*XLOOKUP($Q643,'Threshold Summary'!$Y:$Y,'Threshold Summary'!$L:$L,""))/100)+5)*XLOOKUP(XLOOKUP($Q643,'Threshold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Editor'!$E:$E,1))),stab,IF(OR(mtype=XLOOKUP(XLOOKUP($Q643,'Threshold Summary'!$Y:$Y,'Threshold Summary'!$K:$K,""),'Pokemon Editor'!$A:$A,'Pokemon Editor'!$C:$C,""),mtype=XLOOKUP(XLOOKUP($Q643,'Threshold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Chart'!$B$1:$S$1,0)))),base,IF(OR(cat="Status",pow=0),0,FLOOR(FLOOR(FLOOR((2*XLOOKUP($Q643,'Threshold Summary'!$Y:$Y,'Threshold Summary'!$L:$L,"")/5+2)*pow*atk/def)/50)+2)),modifier,stab*eff,AVERAGE(ARRAYFORMULA(FLOOR(base*modifier*SEQUENCE(16,1,85,1)/100)))*MIN(1,acc/100)),0)</f>
        <v/>
      </c>
      <c r="N643" s="4">
        <f>IFERROR(LET(mtype,XLOOKUP($D643,'Move Editor'!$B:$B,'Move Editor'!$C:$C,""),cat,XLOOKUP($D643,'Move Editor'!$B:$B,'Move Editor'!$D:$D,""),pow,XLOOKUP($D643,'Move Editor'!$B:$B,'Move Editor'!$E:$E,0),acc,XLOOKUP($D643,'Move Editor'!$B:$B,'Move Editor'!$F:$F,100),atk,IF(cat="Physical",FLOOR((FLOOR(((2*XLOOKUP(XLOOKUP($Q643,'Threshold Summary'!$Y:$Y,'Threshold Summary'!$K:$K,""),'Pokemon Editor'!$A:$A,'Pokemon Editor'!$F:$F,0)+31+FLOOR(XLOOKUP($Q643,'Threshold Summary'!$Y:$Y,'Threshold Summary'!$P:$P,"")/4))*XLOOKUP($Q643,'Threshold Summary'!$Y:$Y,'Threshold Summary'!$L:$L,""))/100)+5)*XLOOKUP(XLOOKUP($Q643,'Threshold Summary'!$Y:$Y,'Threshold Summary'!$M:$M,""),'Nature Editor'!$A:$A,'Nature Editor'!$B:$B,1)),FLOOR((FLOOR(((2*XLOOKUP(XLOOKUP($Q643,'Threshold Summary'!$Y:$Y,'Threshold Summary'!$K:$K,""),'Pokemon Editor'!$A:$A,'Pokemon Editor'!$H:$H,0)+31+FLOOR(XLOOKUP($Q643,'Threshold Summary'!$Y:$Y,'Threshold Summary'!$R:$R,"")/4))*XLOOKUP($Q643,'Threshold Summary'!$Y:$Y,'Threshold Summary'!$L:$L,""))/100)+5)*XLOOKUP(XLOOKUP($Q643,'Threshold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Editor'!$E:$E,1))),stab,IF(OR(mtype=XLOOKUP(XLOOKUP($Q643,'Threshold Summary'!$Y:$Y,'Threshold Summary'!$K:$K,""),'Pokemon Editor'!$A:$A,'Pokemon Editor'!$C:$C,""),mtype=XLOOKUP(XLOOKUP($Q643,'Threshold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Chart'!$B$1:$S$1,0)))),base,IF(OR(cat="Status",pow=0),0,FLOOR(FLOOR(FLOOR((2*XLOOKUP($Q643,'Threshold Summary'!$Y:$Y,'Threshold Summary'!$L:$L,"")/5+2)*pow*atk/def)/50)+2)),modifier,stab*eff,AVERAGE(ARRAYFORMULA(FLOOR(base*modifier*SEQUENCE(16,1,85,1)/100)))/(FLOOR(((2*XLOOKUP('Boss Editor'!$C$4,'Pokemon Editor'!$A:$A,'Pokemon Editor'!$E:$E,0)+31+FLOOR('Boss Editor'!$G$4/4))*'Boss Editor'!$D$4)/100)+'Boss Editor'!$D$4+10)),0)</f>
        <v/>
      </c>
      <c r="O643" s="3">
        <f>IF(N643&gt;=1,"OHKO",IF(N643&gt;=0.5,"2HKO",IF(N643&gt;=0.333,"3HKO",IF(N643&gt;=0.25,"4HKO","5HKO+"))))</f>
        <v/>
      </c>
      <c r="P643" s="3" t="inlineStr">
        <is>
          <t>Live from editable databases</t>
        </is>
      </c>
      <c r="Q643" s="3" t="inlineStr">
        <is>
          <t>SPECIES_PANCHAM</t>
        </is>
      </c>
      <c r="R643" s="3" t="n">
        <v>2</v>
      </c>
    </row>
    <row r="644">
      <c r="A644" s="3">
        <f>XLOOKUP($Q644,'Threshold Summary'!$Y:$Y,'Threshold Summary'!$A:$A,"")</f>
        <v/>
      </c>
      <c r="B644" s="3">
        <f>XLOOKUP($Q644,'Threshold Summary'!$Y:$Y,'Threshold Summary'!$M:$M,"")</f>
        <v/>
      </c>
      <c r="C644" s="3">
        <f>XLOOKUP($Q644,'Threshold Summary'!$Y:$Y,'Threshold Summary'!$N:$N,"")</f>
        <v/>
      </c>
      <c r="D644" s="3">
        <f>IFERROR(INDEX(FILTER('Learnset Editor'!$D$2:$D,'Learnset Editor'!$A$2:$A=XLOOKUP($Q644,'Threshold Summary'!$Y:$Y,'Threshold Summary'!$K:$K,""),'Learnset Editor'!$C$2:$C&lt;=XLOOKUP($Q644,'Threshold Summary'!$Y:$Y,'Threshold Summary'!$L:$L,"")),$R644),"")</f>
        <v/>
      </c>
      <c r="E644" s="3">
        <f>XLOOKUP(D644,'Move Editor'!$B:$B,'Move Editor'!$C:$C,"")</f>
        <v/>
      </c>
      <c r="F644" s="3">
        <f>XLOOKUP(D644,'Move Editor'!$B:$B,'Move Editor'!$D:$D,"")</f>
        <v/>
      </c>
      <c r="G644" s="3">
        <f>XLOOKUP(D644,'Move Editor'!$B:$B,'Move Editor'!$E:$E,0)</f>
        <v/>
      </c>
      <c r="H644" s="3">
        <f>XLOOKUP(D644,'Move Editor'!$B:$B,'Move Editor'!$F:$F,0)</f>
        <v/>
      </c>
      <c r="I644" s="3">
        <f>(INDEX('Type Chart'!$B:$S,MATCH(E644,'Type Chart'!$A:$A,0),MATCH(XLOOKUP('Boss Editor'!$C$4,'Pokemon Editor'!$A:$A,'Pokemon Editor'!$C:$C,""),'Type Chart'!$B$1:$S$1,0))*IF(XLOOKUP('Boss Editor'!$C$4,'Pokemon Editor'!$A:$A,'Pokemon Editor'!$D:$D,"")="",1,INDEX('Type Chart'!$B:$S,MATCH(E644,'Type Chart'!$A:$A,0),MATCH(XLOOKUP('Boss Editor'!$C$4,'Pokemon Editor'!$A:$A,'Pokemon Editor'!$D:$D,""),'Type Chart'!$B$1:$S$1,0))))</f>
        <v/>
      </c>
      <c r="J644" s="3">
        <f>IFERROR(LET(mtype,XLOOKUP($D644,'Move Editor'!$B:$B,'Move Editor'!$C:$C,""),cat,XLOOKUP($D644,'Move Editor'!$B:$B,'Move Editor'!$D:$D,""),pow,XLOOKUP($D644,'Move Editor'!$B:$B,'Move Editor'!$E:$E,0),acc,XLOOKUP($D644,'Move Editor'!$B:$B,'Move Editor'!$F:$F,100),atk,IF(cat="Physical",FLOOR((FLOOR(((2*XLOOKUP(XLOOKUP($Q644,'Threshold Summary'!$Y:$Y,'Threshold Summary'!$K:$K,""),'Pokemon Editor'!$A:$A,'Pokemon Editor'!$F:$F,0)+31+FLOOR(XLOOKUP($Q644,'Threshold Summary'!$Y:$Y,'Threshold Summary'!$P:$P,"")/4))*XLOOKUP($Q644,'Threshold Summary'!$Y:$Y,'Threshold Summary'!$L:$L,""))/100)+5)*XLOOKUP(XLOOKUP($Q644,'Threshold Summary'!$Y:$Y,'Threshold Summary'!$M:$M,""),'Nature Editor'!$A:$A,'Nature Editor'!$B:$B,1)),FLOOR((FLOOR(((2*XLOOKUP(XLOOKUP($Q644,'Threshold Summary'!$Y:$Y,'Threshold Summary'!$K:$K,""),'Pokemon Editor'!$A:$A,'Pokemon Editor'!$H:$H,0)+31+FLOOR(XLOOKUP($Q644,'Threshold Summary'!$Y:$Y,'Threshold Summary'!$R:$R,"")/4))*XLOOKUP($Q644,'Threshold Summary'!$Y:$Y,'Threshold Summary'!$L:$L,""))/100)+5)*XLOOKUP(XLOOKUP($Q644,'Threshold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Editor'!$E:$E,1))),stab,IF(OR(mtype=XLOOKUP(XLOOKUP($Q644,'Threshold Summary'!$Y:$Y,'Threshold Summary'!$K:$K,""),'Pokemon Editor'!$A:$A,'Pokemon Editor'!$C:$C,""),mtype=XLOOKUP(XLOOKUP($Q644,'Threshold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Chart'!$B$1:$S$1,0)))),base,IF(OR(cat="Status",pow=0),0,FLOOR(FLOOR(FLOOR((2*XLOOKUP($Q644,'Threshold Summary'!$Y:$Y,'Threshold Summary'!$L:$L,"")/5+2)*pow*atk/def)/50)+2)),modifier,stab*eff,FLOOR(base*modifier*0.85)),0)</f>
        <v/>
      </c>
      <c r="K644" s="3">
        <f>IFERROR(LET(mtype,XLOOKUP($D644,'Move Editor'!$B:$B,'Move Editor'!$C:$C,""),cat,XLOOKUP($D644,'Move Editor'!$B:$B,'Move Editor'!$D:$D,""),pow,XLOOKUP($D644,'Move Editor'!$B:$B,'Move Editor'!$E:$E,0),acc,XLOOKUP($D644,'Move Editor'!$B:$B,'Move Editor'!$F:$F,100),atk,IF(cat="Physical",FLOOR((FLOOR(((2*XLOOKUP(XLOOKUP($Q644,'Threshold Summary'!$Y:$Y,'Threshold Summary'!$K:$K,""),'Pokemon Editor'!$A:$A,'Pokemon Editor'!$F:$F,0)+31+FLOOR(XLOOKUP($Q644,'Threshold Summary'!$Y:$Y,'Threshold Summary'!$P:$P,"")/4))*XLOOKUP($Q644,'Threshold Summary'!$Y:$Y,'Threshold Summary'!$L:$L,""))/100)+5)*XLOOKUP(XLOOKUP($Q644,'Threshold Summary'!$Y:$Y,'Threshold Summary'!$M:$M,""),'Nature Editor'!$A:$A,'Nature Editor'!$B:$B,1)),FLOOR((FLOOR(((2*XLOOKUP(XLOOKUP($Q644,'Threshold Summary'!$Y:$Y,'Threshold Summary'!$K:$K,""),'Pokemon Editor'!$A:$A,'Pokemon Editor'!$H:$H,0)+31+FLOOR(XLOOKUP($Q644,'Threshold Summary'!$Y:$Y,'Threshold Summary'!$R:$R,"")/4))*XLOOKUP($Q644,'Threshold Summary'!$Y:$Y,'Threshold Summary'!$L:$L,""))/100)+5)*XLOOKUP(XLOOKUP($Q644,'Threshold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Editor'!$E:$E,1))),stab,IF(OR(mtype=XLOOKUP(XLOOKUP($Q644,'Threshold Summary'!$Y:$Y,'Threshold Summary'!$K:$K,""),'Pokemon Editor'!$A:$A,'Pokemon Editor'!$C:$C,""),mtype=XLOOKUP(XLOOKUP($Q644,'Threshold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Chart'!$B$1:$S$1,0)))),base,IF(OR(cat="Status",pow=0),0,FLOOR(FLOOR(FLOOR((2*XLOOKUP($Q644,'Threshold Summary'!$Y:$Y,'Threshold Summary'!$L:$L,"")/5+2)*pow*atk/def)/50)+2)),modifier,stab*eff,FLOOR(base*modifier)),0)</f>
        <v/>
      </c>
      <c r="L644" s="3">
        <f>IFERROR(LET(mtype,XLOOKUP($D644,'Move Editor'!$B:$B,'Move Editor'!$C:$C,""),cat,XLOOKUP($D644,'Move Editor'!$B:$B,'Move Editor'!$D:$D,""),pow,XLOOKUP($D644,'Move Editor'!$B:$B,'Move Editor'!$E:$E,0),acc,XLOOKUP($D644,'Move Editor'!$B:$B,'Move Editor'!$F:$F,100),atk,IF(cat="Physical",FLOOR((FLOOR(((2*XLOOKUP(XLOOKUP($Q644,'Threshold Summary'!$Y:$Y,'Threshold Summary'!$K:$K,""),'Pokemon Editor'!$A:$A,'Pokemon Editor'!$F:$F,0)+31+FLOOR(XLOOKUP($Q644,'Threshold Summary'!$Y:$Y,'Threshold Summary'!$P:$P,"")/4))*XLOOKUP($Q644,'Threshold Summary'!$Y:$Y,'Threshold Summary'!$L:$L,""))/100)+5)*XLOOKUP(XLOOKUP($Q644,'Threshold Summary'!$Y:$Y,'Threshold Summary'!$M:$M,""),'Nature Editor'!$A:$A,'Nature Editor'!$B:$B,1)),FLOOR((FLOOR(((2*XLOOKUP(XLOOKUP($Q644,'Threshold Summary'!$Y:$Y,'Threshold Summary'!$K:$K,""),'Pokemon Editor'!$A:$A,'Pokemon Editor'!$H:$H,0)+31+FLOOR(XLOOKUP($Q644,'Threshold Summary'!$Y:$Y,'Threshold Summary'!$R:$R,"")/4))*XLOOKUP($Q644,'Threshold Summary'!$Y:$Y,'Threshold Summary'!$L:$L,""))/100)+5)*XLOOKUP(XLOOKUP($Q644,'Threshold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Editor'!$E:$E,1))),stab,IF(OR(mtype=XLOOKUP(XLOOKUP($Q644,'Threshold Summary'!$Y:$Y,'Threshold Summary'!$K:$K,""),'Pokemon Editor'!$A:$A,'Pokemon Editor'!$C:$C,""),mtype=XLOOKUP(XLOOKUP($Q644,'Threshold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Chart'!$B$1:$S$1,0)))),base,IF(OR(cat="Status",pow=0),0,FLOOR(FLOOR(FLOOR((2*XLOOKUP($Q644,'Threshold Summary'!$Y:$Y,'Threshold Summary'!$L:$L,"")/5+2)*pow*atk/def)/50)+2)),modifier,stab*eff,AVERAGE(ARRAYFORMULA(FLOOR(base*modifier*SEQUENCE(16,1,85,1)/100)))),0)</f>
        <v/>
      </c>
      <c r="M644" s="3">
        <f>IFERROR(LET(mtype,XLOOKUP($D644,'Move Editor'!$B:$B,'Move Editor'!$C:$C,""),cat,XLOOKUP($D644,'Move Editor'!$B:$B,'Move Editor'!$D:$D,""),pow,XLOOKUP($D644,'Move Editor'!$B:$B,'Move Editor'!$E:$E,0),acc,XLOOKUP($D644,'Move Editor'!$B:$B,'Move Editor'!$F:$F,100),atk,IF(cat="Physical",FLOOR((FLOOR(((2*XLOOKUP(XLOOKUP($Q644,'Threshold Summary'!$Y:$Y,'Threshold Summary'!$K:$K,""),'Pokemon Editor'!$A:$A,'Pokemon Editor'!$F:$F,0)+31+FLOOR(XLOOKUP($Q644,'Threshold Summary'!$Y:$Y,'Threshold Summary'!$P:$P,"")/4))*XLOOKUP($Q644,'Threshold Summary'!$Y:$Y,'Threshold Summary'!$L:$L,""))/100)+5)*XLOOKUP(XLOOKUP($Q644,'Threshold Summary'!$Y:$Y,'Threshold Summary'!$M:$M,""),'Nature Editor'!$A:$A,'Nature Editor'!$B:$B,1)),FLOOR((FLOOR(((2*XLOOKUP(XLOOKUP($Q644,'Threshold Summary'!$Y:$Y,'Threshold Summary'!$K:$K,""),'Pokemon Editor'!$A:$A,'Pokemon Editor'!$H:$H,0)+31+FLOOR(XLOOKUP($Q644,'Threshold Summary'!$Y:$Y,'Threshold Summary'!$R:$R,"")/4))*XLOOKUP($Q644,'Threshold Summary'!$Y:$Y,'Threshold Summary'!$L:$L,""))/100)+5)*XLOOKUP(XLOOKUP($Q644,'Threshold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Editor'!$E:$E,1))),stab,IF(OR(mtype=XLOOKUP(XLOOKUP($Q644,'Threshold Summary'!$Y:$Y,'Threshold Summary'!$K:$K,""),'Pokemon Editor'!$A:$A,'Pokemon Editor'!$C:$C,""),mtype=XLOOKUP(XLOOKUP($Q644,'Threshold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Chart'!$B$1:$S$1,0)))),base,IF(OR(cat="Status",pow=0),0,FLOOR(FLOOR(FLOOR((2*XLOOKUP($Q644,'Threshold Summary'!$Y:$Y,'Threshold Summary'!$L:$L,"")/5+2)*pow*atk/def)/50)+2)),modifier,stab*eff,AVERAGE(ARRAYFORMULA(FLOOR(base*modifier*SEQUENCE(16,1,85,1)/100)))*MIN(1,acc/100)),0)</f>
        <v/>
      </c>
      <c r="N644" s="4">
        <f>IFERROR(LET(mtype,XLOOKUP($D644,'Move Editor'!$B:$B,'Move Editor'!$C:$C,""),cat,XLOOKUP($D644,'Move Editor'!$B:$B,'Move Editor'!$D:$D,""),pow,XLOOKUP($D644,'Move Editor'!$B:$B,'Move Editor'!$E:$E,0),acc,XLOOKUP($D644,'Move Editor'!$B:$B,'Move Editor'!$F:$F,100),atk,IF(cat="Physical",FLOOR((FLOOR(((2*XLOOKUP(XLOOKUP($Q644,'Threshold Summary'!$Y:$Y,'Threshold Summary'!$K:$K,""),'Pokemon Editor'!$A:$A,'Pokemon Editor'!$F:$F,0)+31+FLOOR(XLOOKUP($Q644,'Threshold Summary'!$Y:$Y,'Threshold Summary'!$P:$P,"")/4))*XLOOKUP($Q644,'Threshold Summary'!$Y:$Y,'Threshold Summary'!$L:$L,""))/100)+5)*XLOOKUP(XLOOKUP($Q644,'Threshold Summary'!$Y:$Y,'Threshold Summary'!$M:$M,""),'Nature Editor'!$A:$A,'Nature Editor'!$B:$B,1)),FLOOR((FLOOR(((2*XLOOKUP(XLOOKUP($Q644,'Threshold Summary'!$Y:$Y,'Threshold Summary'!$K:$K,""),'Pokemon Editor'!$A:$A,'Pokemon Editor'!$H:$H,0)+31+FLOOR(XLOOKUP($Q644,'Threshold Summary'!$Y:$Y,'Threshold Summary'!$R:$R,"")/4))*XLOOKUP($Q644,'Threshold Summary'!$Y:$Y,'Threshold Summary'!$L:$L,""))/100)+5)*XLOOKUP(XLOOKUP($Q644,'Threshold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Editor'!$E:$E,1))),stab,IF(OR(mtype=XLOOKUP(XLOOKUP($Q644,'Threshold Summary'!$Y:$Y,'Threshold Summary'!$K:$K,""),'Pokemon Editor'!$A:$A,'Pokemon Editor'!$C:$C,""),mtype=XLOOKUP(XLOOKUP($Q644,'Threshold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Chart'!$B$1:$S$1,0)))),base,IF(OR(cat="Status",pow=0),0,FLOOR(FLOOR(FLOOR((2*XLOOKUP($Q644,'Threshold Summary'!$Y:$Y,'Threshold Summary'!$L:$L,"")/5+2)*pow*atk/def)/50)+2)),modifier,stab*eff,AVERAGE(ARRAYFORMULA(FLOOR(base*modifier*SEQUENCE(16,1,85,1)/100)))/(FLOOR(((2*XLOOKUP('Boss Editor'!$C$4,'Pokemon Editor'!$A:$A,'Pokemon Editor'!$E:$E,0)+31+FLOOR('Boss Editor'!$G$4/4))*'Boss Editor'!$D$4)/100)+'Boss Editor'!$D$4+10)),0)</f>
        <v/>
      </c>
      <c r="O644" s="3">
        <f>IF(N644&gt;=1,"OHKO",IF(N644&gt;=0.5,"2HKO",IF(N644&gt;=0.333,"3HKO",IF(N644&gt;=0.25,"4HKO","5HKO+"))))</f>
        <v/>
      </c>
      <c r="P644" s="3" t="inlineStr">
        <is>
          <t>Live from editable databases</t>
        </is>
      </c>
      <c r="Q644" s="3" t="inlineStr">
        <is>
          <t>SPECIES_PANCHAM</t>
        </is>
      </c>
      <c r="R644" s="3" t="n">
        <v>3</v>
      </c>
    </row>
    <row r="645">
      <c r="A645" s="3">
        <f>XLOOKUP($Q645,'Threshold Summary'!$Y:$Y,'Threshold Summary'!$A:$A,"")</f>
        <v/>
      </c>
      <c r="B645" s="3">
        <f>XLOOKUP($Q645,'Threshold Summary'!$Y:$Y,'Threshold Summary'!$M:$M,"")</f>
        <v/>
      </c>
      <c r="C645" s="3">
        <f>XLOOKUP($Q645,'Threshold Summary'!$Y:$Y,'Threshold Summary'!$N:$N,"")</f>
        <v/>
      </c>
      <c r="D645" s="3">
        <f>IFERROR(INDEX(FILTER('Learnset Editor'!$D$2:$D,'Learnset Editor'!$A$2:$A=XLOOKUP($Q645,'Threshold Summary'!$Y:$Y,'Threshold Summary'!$K:$K,""),'Learnset Editor'!$C$2:$C&lt;=XLOOKUP($Q645,'Threshold Summary'!$Y:$Y,'Threshold Summary'!$L:$L,"")),$R645),"")</f>
        <v/>
      </c>
      <c r="E645" s="3">
        <f>XLOOKUP(D645,'Move Editor'!$B:$B,'Move Editor'!$C:$C,"")</f>
        <v/>
      </c>
      <c r="F645" s="3">
        <f>XLOOKUP(D645,'Move Editor'!$B:$B,'Move Editor'!$D:$D,"")</f>
        <v/>
      </c>
      <c r="G645" s="3">
        <f>XLOOKUP(D645,'Move Editor'!$B:$B,'Move Editor'!$E:$E,0)</f>
        <v/>
      </c>
      <c r="H645" s="3">
        <f>XLOOKUP(D645,'Move Editor'!$B:$B,'Move Editor'!$F:$F,0)</f>
        <v/>
      </c>
      <c r="I645" s="3">
        <f>(INDEX('Type Chart'!$B:$S,MATCH(E645,'Type Chart'!$A:$A,0),MATCH(XLOOKUP('Boss Editor'!$C$4,'Pokemon Editor'!$A:$A,'Pokemon Editor'!$C:$C,""),'Type Chart'!$B$1:$S$1,0))*IF(XLOOKUP('Boss Editor'!$C$4,'Pokemon Editor'!$A:$A,'Pokemon Editor'!$D:$D,"")="",1,INDEX('Type Chart'!$B:$S,MATCH(E645,'Type Chart'!$A:$A,0),MATCH(XLOOKUP('Boss Editor'!$C$4,'Pokemon Editor'!$A:$A,'Pokemon Editor'!$D:$D,""),'Type Chart'!$B$1:$S$1,0))))</f>
        <v/>
      </c>
      <c r="J645" s="3">
        <f>IFERROR(LET(mtype,XLOOKUP($D645,'Move Editor'!$B:$B,'Move Editor'!$C:$C,""),cat,XLOOKUP($D645,'Move Editor'!$B:$B,'Move Editor'!$D:$D,""),pow,XLOOKUP($D645,'Move Editor'!$B:$B,'Move Editor'!$E:$E,0),acc,XLOOKUP($D645,'Move Editor'!$B:$B,'Move Editor'!$F:$F,100),atk,IF(cat="Physical",FLOOR((FLOOR(((2*XLOOKUP(XLOOKUP($Q645,'Threshold Summary'!$Y:$Y,'Threshold Summary'!$K:$K,""),'Pokemon Editor'!$A:$A,'Pokemon Editor'!$F:$F,0)+31+FLOOR(XLOOKUP($Q645,'Threshold Summary'!$Y:$Y,'Threshold Summary'!$P:$P,"")/4))*XLOOKUP($Q645,'Threshold Summary'!$Y:$Y,'Threshold Summary'!$L:$L,""))/100)+5)*XLOOKUP(XLOOKUP($Q645,'Threshold Summary'!$Y:$Y,'Threshold Summary'!$M:$M,""),'Nature Editor'!$A:$A,'Nature Editor'!$B:$B,1)),FLOOR((FLOOR(((2*XLOOKUP(XLOOKUP($Q645,'Threshold Summary'!$Y:$Y,'Threshold Summary'!$K:$K,""),'Pokemon Editor'!$A:$A,'Pokemon Editor'!$H:$H,0)+31+FLOOR(XLOOKUP($Q645,'Threshold Summary'!$Y:$Y,'Threshold Summary'!$R:$R,"")/4))*XLOOKUP($Q645,'Threshold Summary'!$Y:$Y,'Threshold Summary'!$L:$L,""))/100)+5)*XLOOKUP(XLOOKUP($Q645,'Threshold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Editor'!$E:$E,1))),stab,IF(OR(mtype=XLOOKUP(XLOOKUP($Q645,'Threshold Summary'!$Y:$Y,'Threshold Summary'!$K:$K,""),'Pokemon Editor'!$A:$A,'Pokemon Editor'!$C:$C,""),mtype=XLOOKUP(XLOOKUP($Q645,'Threshold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Chart'!$B$1:$S$1,0)))),base,IF(OR(cat="Status",pow=0),0,FLOOR(FLOOR(FLOOR((2*XLOOKUP($Q645,'Threshold Summary'!$Y:$Y,'Threshold Summary'!$L:$L,"")/5+2)*pow*atk/def)/50)+2)),modifier,stab*eff,FLOOR(base*modifier*0.85)),0)</f>
        <v/>
      </c>
      <c r="K645" s="3">
        <f>IFERROR(LET(mtype,XLOOKUP($D645,'Move Editor'!$B:$B,'Move Editor'!$C:$C,""),cat,XLOOKUP($D645,'Move Editor'!$B:$B,'Move Editor'!$D:$D,""),pow,XLOOKUP($D645,'Move Editor'!$B:$B,'Move Editor'!$E:$E,0),acc,XLOOKUP($D645,'Move Editor'!$B:$B,'Move Editor'!$F:$F,100),atk,IF(cat="Physical",FLOOR((FLOOR(((2*XLOOKUP(XLOOKUP($Q645,'Threshold Summary'!$Y:$Y,'Threshold Summary'!$K:$K,""),'Pokemon Editor'!$A:$A,'Pokemon Editor'!$F:$F,0)+31+FLOOR(XLOOKUP($Q645,'Threshold Summary'!$Y:$Y,'Threshold Summary'!$P:$P,"")/4))*XLOOKUP($Q645,'Threshold Summary'!$Y:$Y,'Threshold Summary'!$L:$L,""))/100)+5)*XLOOKUP(XLOOKUP($Q645,'Threshold Summary'!$Y:$Y,'Threshold Summary'!$M:$M,""),'Nature Editor'!$A:$A,'Nature Editor'!$B:$B,1)),FLOOR((FLOOR(((2*XLOOKUP(XLOOKUP($Q645,'Threshold Summary'!$Y:$Y,'Threshold Summary'!$K:$K,""),'Pokemon Editor'!$A:$A,'Pokemon Editor'!$H:$H,0)+31+FLOOR(XLOOKUP($Q645,'Threshold Summary'!$Y:$Y,'Threshold Summary'!$R:$R,"")/4))*XLOOKUP($Q645,'Threshold Summary'!$Y:$Y,'Threshold Summary'!$L:$L,""))/100)+5)*XLOOKUP(XLOOKUP($Q645,'Threshold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Editor'!$E:$E,1))),stab,IF(OR(mtype=XLOOKUP(XLOOKUP($Q645,'Threshold Summary'!$Y:$Y,'Threshold Summary'!$K:$K,""),'Pokemon Editor'!$A:$A,'Pokemon Editor'!$C:$C,""),mtype=XLOOKUP(XLOOKUP($Q645,'Threshold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Chart'!$B$1:$S$1,0)))),base,IF(OR(cat="Status",pow=0),0,FLOOR(FLOOR(FLOOR((2*XLOOKUP($Q645,'Threshold Summary'!$Y:$Y,'Threshold Summary'!$L:$L,"")/5+2)*pow*atk/def)/50)+2)),modifier,stab*eff,FLOOR(base*modifier)),0)</f>
        <v/>
      </c>
      <c r="L645" s="3">
        <f>IFERROR(LET(mtype,XLOOKUP($D645,'Move Editor'!$B:$B,'Move Editor'!$C:$C,""),cat,XLOOKUP($D645,'Move Editor'!$B:$B,'Move Editor'!$D:$D,""),pow,XLOOKUP($D645,'Move Editor'!$B:$B,'Move Editor'!$E:$E,0),acc,XLOOKUP($D645,'Move Editor'!$B:$B,'Move Editor'!$F:$F,100),atk,IF(cat="Physical",FLOOR((FLOOR(((2*XLOOKUP(XLOOKUP($Q645,'Threshold Summary'!$Y:$Y,'Threshold Summary'!$K:$K,""),'Pokemon Editor'!$A:$A,'Pokemon Editor'!$F:$F,0)+31+FLOOR(XLOOKUP($Q645,'Threshold Summary'!$Y:$Y,'Threshold Summary'!$P:$P,"")/4))*XLOOKUP($Q645,'Threshold Summary'!$Y:$Y,'Threshold Summary'!$L:$L,""))/100)+5)*XLOOKUP(XLOOKUP($Q645,'Threshold Summary'!$Y:$Y,'Threshold Summary'!$M:$M,""),'Nature Editor'!$A:$A,'Nature Editor'!$B:$B,1)),FLOOR((FLOOR(((2*XLOOKUP(XLOOKUP($Q645,'Threshold Summary'!$Y:$Y,'Threshold Summary'!$K:$K,""),'Pokemon Editor'!$A:$A,'Pokemon Editor'!$H:$H,0)+31+FLOOR(XLOOKUP($Q645,'Threshold Summary'!$Y:$Y,'Threshold Summary'!$R:$R,"")/4))*XLOOKUP($Q645,'Threshold Summary'!$Y:$Y,'Threshold Summary'!$L:$L,""))/100)+5)*XLOOKUP(XLOOKUP($Q645,'Threshold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Editor'!$E:$E,1))),stab,IF(OR(mtype=XLOOKUP(XLOOKUP($Q645,'Threshold Summary'!$Y:$Y,'Threshold Summary'!$K:$K,""),'Pokemon Editor'!$A:$A,'Pokemon Editor'!$C:$C,""),mtype=XLOOKUP(XLOOKUP($Q645,'Threshold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Chart'!$B$1:$S$1,0)))),base,IF(OR(cat="Status",pow=0),0,FLOOR(FLOOR(FLOOR((2*XLOOKUP($Q645,'Threshold Summary'!$Y:$Y,'Threshold Summary'!$L:$L,"")/5+2)*pow*atk/def)/50)+2)),modifier,stab*eff,AVERAGE(ARRAYFORMULA(FLOOR(base*modifier*SEQUENCE(16,1,85,1)/100)))),0)</f>
        <v/>
      </c>
      <c r="M645" s="3">
        <f>IFERROR(LET(mtype,XLOOKUP($D645,'Move Editor'!$B:$B,'Move Editor'!$C:$C,""),cat,XLOOKUP($D645,'Move Editor'!$B:$B,'Move Editor'!$D:$D,""),pow,XLOOKUP($D645,'Move Editor'!$B:$B,'Move Editor'!$E:$E,0),acc,XLOOKUP($D645,'Move Editor'!$B:$B,'Move Editor'!$F:$F,100),atk,IF(cat="Physical",FLOOR((FLOOR(((2*XLOOKUP(XLOOKUP($Q645,'Threshold Summary'!$Y:$Y,'Threshold Summary'!$K:$K,""),'Pokemon Editor'!$A:$A,'Pokemon Editor'!$F:$F,0)+31+FLOOR(XLOOKUP($Q645,'Threshold Summary'!$Y:$Y,'Threshold Summary'!$P:$P,"")/4))*XLOOKUP($Q645,'Threshold Summary'!$Y:$Y,'Threshold Summary'!$L:$L,""))/100)+5)*XLOOKUP(XLOOKUP($Q645,'Threshold Summary'!$Y:$Y,'Threshold Summary'!$M:$M,""),'Nature Editor'!$A:$A,'Nature Editor'!$B:$B,1)),FLOOR((FLOOR(((2*XLOOKUP(XLOOKUP($Q645,'Threshold Summary'!$Y:$Y,'Threshold Summary'!$K:$K,""),'Pokemon Editor'!$A:$A,'Pokemon Editor'!$H:$H,0)+31+FLOOR(XLOOKUP($Q645,'Threshold Summary'!$Y:$Y,'Threshold Summary'!$R:$R,"")/4))*XLOOKUP($Q645,'Threshold Summary'!$Y:$Y,'Threshold Summary'!$L:$L,""))/100)+5)*XLOOKUP(XLOOKUP($Q645,'Threshold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Editor'!$E:$E,1))),stab,IF(OR(mtype=XLOOKUP(XLOOKUP($Q645,'Threshold Summary'!$Y:$Y,'Threshold Summary'!$K:$K,""),'Pokemon Editor'!$A:$A,'Pokemon Editor'!$C:$C,""),mtype=XLOOKUP(XLOOKUP($Q645,'Threshold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Chart'!$B$1:$S$1,0)))),base,IF(OR(cat="Status",pow=0),0,FLOOR(FLOOR(FLOOR((2*XLOOKUP($Q645,'Threshold Summary'!$Y:$Y,'Threshold Summary'!$L:$L,"")/5+2)*pow*atk/def)/50)+2)),modifier,stab*eff,AVERAGE(ARRAYFORMULA(FLOOR(base*modifier*SEQUENCE(16,1,85,1)/100)))*MIN(1,acc/100)),0)</f>
        <v/>
      </c>
      <c r="N645" s="4">
        <f>IFERROR(LET(mtype,XLOOKUP($D645,'Move Editor'!$B:$B,'Move Editor'!$C:$C,""),cat,XLOOKUP($D645,'Move Editor'!$B:$B,'Move Editor'!$D:$D,""),pow,XLOOKUP($D645,'Move Editor'!$B:$B,'Move Editor'!$E:$E,0),acc,XLOOKUP($D645,'Move Editor'!$B:$B,'Move Editor'!$F:$F,100),atk,IF(cat="Physical",FLOOR((FLOOR(((2*XLOOKUP(XLOOKUP($Q645,'Threshold Summary'!$Y:$Y,'Threshold Summary'!$K:$K,""),'Pokemon Editor'!$A:$A,'Pokemon Editor'!$F:$F,0)+31+FLOOR(XLOOKUP($Q645,'Threshold Summary'!$Y:$Y,'Threshold Summary'!$P:$P,"")/4))*XLOOKUP($Q645,'Threshold Summary'!$Y:$Y,'Threshold Summary'!$L:$L,""))/100)+5)*XLOOKUP(XLOOKUP($Q645,'Threshold Summary'!$Y:$Y,'Threshold Summary'!$M:$M,""),'Nature Editor'!$A:$A,'Nature Editor'!$B:$B,1)),FLOOR((FLOOR(((2*XLOOKUP(XLOOKUP($Q645,'Threshold Summary'!$Y:$Y,'Threshold Summary'!$K:$K,""),'Pokemon Editor'!$A:$A,'Pokemon Editor'!$H:$H,0)+31+FLOOR(XLOOKUP($Q645,'Threshold Summary'!$Y:$Y,'Threshold Summary'!$R:$R,"")/4))*XLOOKUP($Q645,'Threshold Summary'!$Y:$Y,'Threshold Summary'!$L:$L,""))/100)+5)*XLOOKUP(XLOOKUP($Q645,'Threshold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Editor'!$E:$E,1))),stab,IF(OR(mtype=XLOOKUP(XLOOKUP($Q645,'Threshold Summary'!$Y:$Y,'Threshold Summary'!$K:$K,""),'Pokemon Editor'!$A:$A,'Pokemon Editor'!$C:$C,""),mtype=XLOOKUP(XLOOKUP($Q645,'Threshold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Chart'!$B$1:$S$1,0)))),base,IF(OR(cat="Status",pow=0),0,FLOOR(FLOOR(FLOOR((2*XLOOKUP($Q645,'Threshold Summary'!$Y:$Y,'Threshold Summary'!$L:$L,"")/5+2)*pow*atk/def)/50)+2)),modifier,stab*eff,AVERAGE(ARRAYFORMULA(FLOOR(base*modifier*SEQUENCE(16,1,85,1)/100)))/(FLOOR(((2*XLOOKUP('Boss Editor'!$C$4,'Pokemon Editor'!$A:$A,'Pokemon Editor'!$E:$E,0)+31+FLOOR('Boss Editor'!$G$4/4))*'Boss Editor'!$D$4)/100)+'Boss Editor'!$D$4+10)),0)</f>
        <v/>
      </c>
      <c r="O645" s="3">
        <f>IF(N645&gt;=1,"OHKO",IF(N645&gt;=0.5,"2HKO",IF(N645&gt;=0.333,"3HKO",IF(N645&gt;=0.25,"4HKO","5HKO+"))))</f>
        <v/>
      </c>
      <c r="P645" s="3" t="inlineStr">
        <is>
          <t>Live from editable databases</t>
        </is>
      </c>
      <c r="Q645" s="3" t="inlineStr">
        <is>
          <t>SPECIES_PANCHAM</t>
        </is>
      </c>
      <c r="R645" s="3" t="n">
        <v>4</v>
      </c>
    </row>
    <row r="646">
      <c r="A646" s="3">
        <f>XLOOKUP($Q646,'Threshold Summary'!$Y:$Y,'Threshold Summary'!$A:$A,"")</f>
        <v/>
      </c>
      <c r="B646" s="3">
        <f>XLOOKUP($Q646,'Threshold Summary'!$Y:$Y,'Threshold Summary'!$M:$M,"")</f>
        <v/>
      </c>
      <c r="C646" s="3">
        <f>XLOOKUP($Q646,'Threshold Summary'!$Y:$Y,'Threshold Summary'!$N:$N,"")</f>
        <v/>
      </c>
      <c r="D646" s="3">
        <f>IFERROR(INDEX(FILTER('Learnset Editor'!$D$2:$D,'Learnset Editor'!$A$2:$A=XLOOKUP($Q646,'Threshold Summary'!$Y:$Y,'Threshold Summary'!$K:$K,""),'Learnset Editor'!$C$2:$C&lt;=XLOOKUP($Q646,'Threshold Summary'!$Y:$Y,'Threshold Summary'!$L:$L,"")),$R646),"")</f>
        <v/>
      </c>
      <c r="E646" s="3">
        <f>XLOOKUP(D646,'Move Editor'!$B:$B,'Move Editor'!$C:$C,"")</f>
        <v/>
      </c>
      <c r="F646" s="3">
        <f>XLOOKUP(D646,'Move Editor'!$B:$B,'Move Editor'!$D:$D,"")</f>
        <v/>
      </c>
      <c r="G646" s="3">
        <f>XLOOKUP(D646,'Move Editor'!$B:$B,'Move Editor'!$E:$E,0)</f>
        <v/>
      </c>
      <c r="H646" s="3">
        <f>XLOOKUP(D646,'Move Editor'!$B:$B,'Move Editor'!$F:$F,0)</f>
        <v/>
      </c>
      <c r="I646" s="3">
        <f>(INDEX('Type Chart'!$B:$S,MATCH(E646,'Type Chart'!$A:$A,0),MATCH(XLOOKUP('Boss Editor'!$C$4,'Pokemon Editor'!$A:$A,'Pokemon Editor'!$C:$C,""),'Type Chart'!$B$1:$S$1,0))*IF(XLOOKUP('Boss Editor'!$C$4,'Pokemon Editor'!$A:$A,'Pokemon Editor'!$D:$D,"")="",1,INDEX('Type Chart'!$B:$S,MATCH(E646,'Type Chart'!$A:$A,0),MATCH(XLOOKUP('Boss Editor'!$C$4,'Pokemon Editor'!$A:$A,'Pokemon Editor'!$D:$D,""),'Type Chart'!$B$1:$S$1,0))))</f>
        <v/>
      </c>
      <c r="J646" s="3">
        <f>IFERROR(LET(mtype,XLOOKUP($D646,'Move Editor'!$B:$B,'Move Editor'!$C:$C,""),cat,XLOOKUP($D646,'Move Editor'!$B:$B,'Move Editor'!$D:$D,""),pow,XLOOKUP($D646,'Move Editor'!$B:$B,'Move Editor'!$E:$E,0),acc,XLOOKUP($D646,'Move Editor'!$B:$B,'Move Editor'!$F:$F,100),atk,IF(cat="Physical",FLOOR((FLOOR(((2*XLOOKUP(XLOOKUP($Q646,'Threshold Summary'!$Y:$Y,'Threshold Summary'!$K:$K,""),'Pokemon Editor'!$A:$A,'Pokemon Editor'!$F:$F,0)+31+FLOOR(XLOOKUP($Q646,'Threshold Summary'!$Y:$Y,'Threshold Summary'!$P:$P,"")/4))*XLOOKUP($Q646,'Threshold Summary'!$Y:$Y,'Threshold Summary'!$L:$L,""))/100)+5)*XLOOKUP(XLOOKUP($Q646,'Threshold Summary'!$Y:$Y,'Threshold Summary'!$M:$M,""),'Nature Editor'!$A:$A,'Nature Editor'!$B:$B,1)),FLOOR((FLOOR(((2*XLOOKUP(XLOOKUP($Q646,'Threshold Summary'!$Y:$Y,'Threshold Summary'!$K:$K,""),'Pokemon Editor'!$A:$A,'Pokemon Editor'!$H:$H,0)+31+FLOOR(XLOOKUP($Q646,'Threshold Summary'!$Y:$Y,'Threshold Summary'!$R:$R,"")/4))*XLOOKUP($Q646,'Threshold Summary'!$Y:$Y,'Threshold Summary'!$L:$L,""))/100)+5)*XLOOKUP(XLOOKUP($Q646,'Threshold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Editor'!$E:$E,1))),stab,IF(OR(mtype=XLOOKUP(XLOOKUP($Q646,'Threshold Summary'!$Y:$Y,'Threshold Summary'!$K:$K,""),'Pokemon Editor'!$A:$A,'Pokemon Editor'!$C:$C,""),mtype=XLOOKUP(XLOOKUP($Q646,'Threshold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Chart'!$B$1:$S$1,0)))),base,IF(OR(cat="Status",pow=0),0,FLOOR(FLOOR(FLOOR((2*XLOOKUP($Q646,'Threshold Summary'!$Y:$Y,'Threshold Summary'!$L:$L,"")/5+2)*pow*atk/def)/50)+2)),modifier,stab*eff,FLOOR(base*modifier*0.85)),0)</f>
        <v/>
      </c>
      <c r="K646" s="3">
        <f>IFERROR(LET(mtype,XLOOKUP($D646,'Move Editor'!$B:$B,'Move Editor'!$C:$C,""),cat,XLOOKUP($D646,'Move Editor'!$B:$B,'Move Editor'!$D:$D,""),pow,XLOOKUP($D646,'Move Editor'!$B:$B,'Move Editor'!$E:$E,0),acc,XLOOKUP($D646,'Move Editor'!$B:$B,'Move Editor'!$F:$F,100),atk,IF(cat="Physical",FLOOR((FLOOR(((2*XLOOKUP(XLOOKUP($Q646,'Threshold Summary'!$Y:$Y,'Threshold Summary'!$K:$K,""),'Pokemon Editor'!$A:$A,'Pokemon Editor'!$F:$F,0)+31+FLOOR(XLOOKUP($Q646,'Threshold Summary'!$Y:$Y,'Threshold Summary'!$P:$P,"")/4))*XLOOKUP($Q646,'Threshold Summary'!$Y:$Y,'Threshold Summary'!$L:$L,""))/100)+5)*XLOOKUP(XLOOKUP($Q646,'Threshold Summary'!$Y:$Y,'Threshold Summary'!$M:$M,""),'Nature Editor'!$A:$A,'Nature Editor'!$B:$B,1)),FLOOR((FLOOR(((2*XLOOKUP(XLOOKUP($Q646,'Threshold Summary'!$Y:$Y,'Threshold Summary'!$K:$K,""),'Pokemon Editor'!$A:$A,'Pokemon Editor'!$H:$H,0)+31+FLOOR(XLOOKUP($Q646,'Threshold Summary'!$Y:$Y,'Threshold Summary'!$R:$R,"")/4))*XLOOKUP($Q646,'Threshold Summary'!$Y:$Y,'Threshold Summary'!$L:$L,""))/100)+5)*XLOOKUP(XLOOKUP($Q646,'Threshold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Editor'!$E:$E,1))),stab,IF(OR(mtype=XLOOKUP(XLOOKUP($Q646,'Threshold Summary'!$Y:$Y,'Threshold Summary'!$K:$K,""),'Pokemon Editor'!$A:$A,'Pokemon Editor'!$C:$C,""),mtype=XLOOKUP(XLOOKUP($Q646,'Threshold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Chart'!$B$1:$S$1,0)))),base,IF(OR(cat="Status",pow=0),0,FLOOR(FLOOR(FLOOR((2*XLOOKUP($Q646,'Threshold Summary'!$Y:$Y,'Threshold Summary'!$L:$L,"")/5+2)*pow*atk/def)/50)+2)),modifier,stab*eff,FLOOR(base*modifier)),0)</f>
        <v/>
      </c>
      <c r="L646" s="3">
        <f>IFERROR(LET(mtype,XLOOKUP($D646,'Move Editor'!$B:$B,'Move Editor'!$C:$C,""),cat,XLOOKUP($D646,'Move Editor'!$B:$B,'Move Editor'!$D:$D,""),pow,XLOOKUP($D646,'Move Editor'!$B:$B,'Move Editor'!$E:$E,0),acc,XLOOKUP($D646,'Move Editor'!$B:$B,'Move Editor'!$F:$F,100),atk,IF(cat="Physical",FLOOR((FLOOR(((2*XLOOKUP(XLOOKUP($Q646,'Threshold Summary'!$Y:$Y,'Threshold Summary'!$K:$K,""),'Pokemon Editor'!$A:$A,'Pokemon Editor'!$F:$F,0)+31+FLOOR(XLOOKUP($Q646,'Threshold Summary'!$Y:$Y,'Threshold Summary'!$P:$P,"")/4))*XLOOKUP($Q646,'Threshold Summary'!$Y:$Y,'Threshold Summary'!$L:$L,""))/100)+5)*XLOOKUP(XLOOKUP($Q646,'Threshold Summary'!$Y:$Y,'Threshold Summary'!$M:$M,""),'Nature Editor'!$A:$A,'Nature Editor'!$B:$B,1)),FLOOR((FLOOR(((2*XLOOKUP(XLOOKUP($Q646,'Threshold Summary'!$Y:$Y,'Threshold Summary'!$K:$K,""),'Pokemon Editor'!$A:$A,'Pokemon Editor'!$H:$H,0)+31+FLOOR(XLOOKUP($Q646,'Threshold Summary'!$Y:$Y,'Threshold Summary'!$R:$R,"")/4))*XLOOKUP($Q646,'Threshold Summary'!$Y:$Y,'Threshold Summary'!$L:$L,""))/100)+5)*XLOOKUP(XLOOKUP($Q646,'Threshold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Editor'!$E:$E,1))),stab,IF(OR(mtype=XLOOKUP(XLOOKUP($Q646,'Threshold Summary'!$Y:$Y,'Threshold Summary'!$K:$K,""),'Pokemon Editor'!$A:$A,'Pokemon Editor'!$C:$C,""),mtype=XLOOKUP(XLOOKUP($Q646,'Threshold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Chart'!$B$1:$S$1,0)))),base,IF(OR(cat="Status",pow=0),0,FLOOR(FLOOR(FLOOR((2*XLOOKUP($Q646,'Threshold Summary'!$Y:$Y,'Threshold Summary'!$L:$L,"")/5+2)*pow*atk/def)/50)+2)),modifier,stab*eff,AVERAGE(ARRAYFORMULA(FLOOR(base*modifier*SEQUENCE(16,1,85,1)/100)))),0)</f>
        <v/>
      </c>
      <c r="M646" s="3">
        <f>IFERROR(LET(mtype,XLOOKUP($D646,'Move Editor'!$B:$B,'Move Editor'!$C:$C,""),cat,XLOOKUP($D646,'Move Editor'!$B:$B,'Move Editor'!$D:$D,""),pow,XLOOKUP($D646,'Move Editor'!$B:$B,'Move Editor'!$E:$E,0),acc,XLOOKUP($D646,'Move Editor'!$B:$B,'Move Editor'!$F:$F,100),atk,IF(cat="Physical",FLOOR((FLOOR(((2*XLOOKUP(XLOOKUP($Q646,'Threshold Summary'!$Y:$Y,'Threshold Summary'!$K:$K,""),'Pokemon Editor'!$A:$A,'Pokemon Editor'!$F:$F,0)+31+FLOOR(XLOOKUP($Q646,'Threshold Summary'!$Y:$Y,'Threshold Summary'!$P:$P,"")/4))*XLOOKUP($Q646,'Threshold Summary'!$Y:$Y,'Threshold Summary'!$L:$L,""))/100)+5)*XLOOKUP(XLOOKUP($Q646,'Threshold Summary'!$Y:$Y,'Threshold Summary'!$M:$M,""),'Nature Editor'!$A:$A,'Nature Editor'!$B:$B,1)),FLOOR((FLOOR(((2*XLOOKUP(XLOOKUP($Q646,'Threshold Summary'!$Y:$Y,'Threshold Summary'!$K:$K,""),'Pokemon Editor'!$A:$A,'Pokemon Editor'!$H:$H,0)+31+FLOOR(XLOOKUP($Q646,'Threshold Summary'!$Y:$Y,'Threshold Summary'!$R:$R,"")/4))*XLOOKUP($Q646,'Threshold Summary'!$Y:$Y,'Threshold Summary'!$L:$L,""))/100)+5)*XLOOKUP(XLOOKUP($Q646,'Threshold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Editor'!$E:$E,1))),stab,IF(OR(mtype=XLOOKUP(XLOOKUP($Q646,'Threshold Summary'!$Y:$Y,'Threshold Summary'!$K:$K,""),'Pokemon Editor'!$A:$A,'Pokemon Editor'!$C:$C,""),mtype=XLOOKUP(XLOOKUP($Q646,'Threshold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Chart'!$B$1:$S$1,0)))),base,IF(OR(cat="Status",pow=0),0,FLOOR(FLOOR(FLOOR((2*XLOOKUP($Q646,'Threshold Summary'!$Y:$Y,'Threshold Summary'!$L:$L,"")/5+2)*pow*atk/def)/50)+2)),modifier,stab*eff,AVERAGE(ARRAYFORMULA(FLOOR(base*modifier*SEQUENCE(16,1,85,1)/100)))*MIN(1,acc/100)),0)</f>
        <v/>
      </c>
      <c r="N646" s="4">
        <f>IFERROR(LET(mtype,XLOOKUP($D646,'Move Editor'!$B:$B,'Move Editor'!$C:$C,""),cat,XLOOKUP($D646,'Move Editor'!$B:$B,'Move Editor'!$D:$D,""),pow,XLOOKUP($D646,'Move Editor'!$B:$B,'Move Editor'!$E:$E,0),acc,XLOOKUP($D646,'Move Editor'!$B:$B,'Move Editor'!$F:$F,100),atk,IF(cat="Physical",FLOOR((FLOOR(((2*XLOOKUP(XLOOKUP($Q646,'Threshold Summary'!$Y:$Y,'Threshold Summary'!$K:$K,""),'Pokemon Editor'!$A:$A,'Pokemon Editor'!$F:$F,0)+31+FLOOR(XLOOKUP($Q646,'Threshold Summary'!$Y:$Y,'Threshold Summary'!$P:$P,"")/4))*XLOOKUP($Q646,'Threshold Summary'!$Y:$Y,'Threshold Summary'!$L:$L,""))/100)+5)*XLOOKUP(XLOOKUP($Q646,'Threshold Summary'!$Y:$Y,'Threshold Summary'!$M:$M,""),'Nature Editor'!$A:$A,'Nature Editor'!$B:$B,1)),FLOOR((FLOOR(((2*XLOOKUP(XLOOKUP($Q646,'Threshold Summary'!$Y:$Y,'Threshold Summary'!$K:$K,""),'Pokemon Editor'!$A:$A,'Pokemon Editor'!$H:$H,0)+31+FLOOR(XLOOKUP($Q646,'Threshold Summary'!$Y:$Y,'Threshold Summary'!$R:$R,"")/4))*XLOOKUP($Q646,'Threshold Summary'!$Y:$Y,'Threshold Summary'!$L:$L,""))/100)+5)*XLOOKUP(XLOOKUP($Q646,'Threshold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Editor'!$E:$E,1))),stab,IF(OR(mtype=XLOOKUP(XLOOKUP($Q646,'Threshold Summary'!$Y:$Y,'Threshold Summary'!$K:$K,""),'Pokemon Editor'!$A:$A,'Pokemon Editor'!$C:$C,""),mtype=XLOOKUP(XLOOKUP($Q646,'Threshold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Chart'!$B$1:$S$1,0)))),base,IF(OR(cat="Status",pow=0),0,FLOOR(FLOOR(FLOOR((2*XLOOKUP($Q646,'Threshold Summary'!$Y:$Y,'Threshold Summary'!$L:$L,"")/5+2)*pow*atk/def)/50)+2)),modifier,stab*eff,AVERAGE(ARRAYFORMULA(FLOOR(base*modifier*SEQUENCE(16,1,85,1)/100)))/(FLOOR(((2*XLOOKUP('Boss Editor'!$C$4,'Pokemon Editor'!$A:$A,'Pokemon Editor'!$E:$E,0)+31+FLOOR('Boss Editor'!$G$4/4))*'Boss Editor'!$D$4)/100)+'Boss Editor'!$D$4+10)),0)</f>
        <v/>
      </c>
      <c r="O646" s="3">
        <f>IF(N646&gt;=1,"OHKO",IF(N646&gt;=0.5,"2HKO",IF(N646&gt;=0.333,"3HKO",IF(N646&gt;=0.25,"4HKO","5HKO+"))))</f>
        <v/>
      </c>
      <c r="P646" s="3" t="inlineStr">
        <is>
          <t>Live from editable databases</t>
        </is>
      </c>
      <c r="Q646" s="3" t="inlineStr">
        <is>
          <t>SPECIES_PANCHAM</t>
        </is>
      </c>
      <c r="R646" s="3" t="n">
        <v>5</v>
      </c>
    </row>
    <row r="647">
      <c r="A647" s="3">
        <f>XLOOKUP($Q647,'Threshold Summary'!$Y:$Y,'Threshold Summary'!$A:$A,"")</f>
        <v/>
      </c>
      <c r="B647" s="3">
        <f>XLOOKUP($Q647,'Threshold Summary'!$Y:$Y,'Threshold Summary'!$M:$M,"")</f>
        <v/>
      </c>
      <c r="C647" s="3">
        <f>XLOOKUP($Q647,'Threshold Summary'!$Y:$Y,'Threshold Summary'!$N:$N,"")</f>
        <v/>
      </c>
      <c r="D647" s="3">
        <f>IFERROR(INDEX(FILTER('Learnset Editor'!$D$2:$D,'Learnset Editor'!$A$2:$A=XLOOKUP($Q647,'Threshold Summary'!$Y:$Y,'Threshold Summary'!$K:$K,""),'Learnset Editor'!$C$2:$C&lt;=XLOOKUP($Q647,'Threshold Summary'!$Y:$Y,'Threshold Summary'!$L:$L,"")),$R647),"")</f>
        <v/>
      </c>
      <c r="E647" s="3">
        <f>XLOOKUP(D647,'Move Editor'!$B:$B,'Move Editor'!$C:$C,"")</f>
        <v/>
      </c>
      <c r="F647" s="3">
        <f>XLOOKUP(D647,'Move Editor'!$B:$B,'Move Editor'!$D:$D,"")</f>
        <v/>
      </c>
      <c r="G647" s="3">
        <f>XLOOKUP(D647,'Move Editor'!$B:$B,'Move Editor'!$E:$E,0)</f>
        <v/>
      </c>
      <c r="H647" s="3">
        <f>XLOOKUP(D647,'Move Editor'!$B:$B,'Move Editor'!$F:$F,0)</f>
        <v/>
      </c>
      <c r="I647" s="3">
        <f>(INDEX('Type Chart'!$B:$S,MATCH(E647,'Type Chart'!$A:$A,0),MATCH(XLOOKUP('Boss Editor'!$C$4,'Pokemon Editor'!$A:$A,'Pokemon Editor'!$C:$C,""),'Type Chart'!$B$1:$S$1,0))*IF(XLOOKUP('Boss Editor'!$C$4,'Pokemon Editor'!$A:$A,'Pokemon Editor'!$D:$D,"")="",1,INDEX('Type Chart'!$B:$S,MATCH(E647,'Type Chart'!$A:$A,0),MATCH(XLOOKUP('Boss Editor'!$C$4,'Pokemon Editor'!$A:$A,'Pokemon Editor'!$D:$D,""),'Type Chart'!$B$1:$S$1,0))))</f>
        <v/>
      </c>
      <c r="J647" s="3">
        <f>IFERROR(LET(mtype,XLOOKUP($D647,'Move Editor'!$B:$B,'Move Editor'!$C:$C,""),cat,XLOOKUP($D647,'Move Editor'!$B:$B,'Move Editor'!$D:$D,""),pow,XLOOKUP($D647,'Move Editor'!$B:$B,'Move Editor'!$E:$E,0),acc,XLOOKUP($D647,'Move Editor'!$B:$B,'Move Editor'!$F:$F,100),atk,IF(cat="Physical",FLOOR((FLOOR(((2*XLOOKUP(XLOOKUP($Q647,'Threshold Summary'!$Y:$Y,'Threshold Summary'!$K:$K,""),'Pokemon Editor'!$A:$A,'Pokemon Editor'!$F:$F,0)+31+FLOOR(XLOOKUP($Q647,'Threshold Summary'!$Y:$Y,'Threshold Summary'!$P:$P,"")/4))*XLOOKUP($Q647,'Threshold Summary'!$Y:$Y,'Threshold Summary'!$L:$L,""))/100)+5)*XLOOKUP(XLOOKUP($Q647,'Threshold Summary'!$Y:$Y,'Threshold Summary'!$M:$M,""),'Nature Editor'!$A:$A,'Nature Editor'!$B:$B,1)),FLOOR((FLOOR(((2*XLOOKUP(XLOOKUP($Q647,'Threshold Summary'!$Y:$Y,'Threshold Summary'!$K:$K,""),'Pokemon Editor'!$A:$A,'Pokemon Editor'!$H:$H,0)+31+FLOOR(XLOOKUP($Q647,'Threshold Summary'!$Y:$Y,'Threshold Summary'!$R:$R,"")/4))*XLOOKUP($Q647,'Threshold Summary'!$Y:$Y,'Threshold Summary'!$L:$L,""))/100)+5)*XLOOKUP(XLOOKUP($Q647,'Threshold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Editor'!$E:$E,1))),stab,IF(OR(mtype=XLOOKUP(XLOOKUP($Q647,'Threshold Summary'!$Y:$Y,'Threshold Summary'!$K:$K,""),'Pokemon Editor'!$A:$A,'Pokemon Editor'!$C:$C,""),mtype=XLOOKUP(XLOOKUP($Q647,'Threshold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Chart'!$B$1:$S$1,0)))),base,IF(OR(cat="Status",pow=0),0,FLOOR(FLOOR(FLOOR((2*XLOOKUP($Q647,'Threshold Summary'!$Y:$Y,'Threshold Summary'!$L:$L,"")/5+2)*pow*atk/def)/50)+2)),modifier,stab*eff,FLOOR(base*modifier*0.85)),0)</f>
        <v/>
      </c>
      <c r="K647" s="3">
        <f>IFERROR(LET(mtype,XLOOKUP($D647,'Move Editor'!$B:$B,'Move Editor'!$C:$C,""),cat,XLOOKUP($D647,'Move Editor'!$B:$B,'Move Editor'!$D:$D,""),pow,XLOOKUP($D647,'Move Editor'!$B:$B,'Move Editor'!$E:$E,0),acc,XLOOKUP($D647,'Move Editor'!$B:$B,'Move Editor'!$F:$F,100),atk,IF(cat="Physical",FLOOR((FLOOR(((2*XLOOKUP(XLOOKUP($Q647,'Threshold Summary'!$Y:$Y,'Threshold Summary'!$K:$K,""),'Pokemon Editor'!$A:$A,'Pokemon Editor'!$F:$F,0)+31+FLOOR(XLOOKUP($Q647,'Threshold Summary'!$Y:$Y,'Threshold Summary'!$P:$P,"")/4))*XLOOKUP($Q647,'Threshold Summary'!$Y:$Y,'Threshold Summary'!$L:$L,""))/100)+5)*XLOOKUP(XLOOKUP($Q647,'Threshold Summary'!$Y:$Y,'Threshold Summary'!$M:$M,""),'Nature Editor'!$A:$A,'Nature Editor'!$B:$B,1)),FLOOR((FLOOR(((2*XLOOKUP(XLOOKUP($Q647,'Threshold Summary'!$Y:$Y,'Threshold Summary'!$K:$K,""),'Pokemon Editor'!$A:$A,'Pokemon Editor'!$H:$H,0)+31+FLOOR(XLOOKUP($Q647,'Threshold Summary'!$Y:$Y,'Threshold Summary'!$R:$R,"")/4))*XLOOKUP($Q647,'Threshold Summary'!$Y:$Y,'Threshold Summary'!$L:$L,""))/100)+5)*XLOOKUP(XLOOKUP($Q647,'Threshold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Editor'!$E:$E,1))),stab,IF(OR(mtype=XLOOKUP(XLOOKUP($Q647,'Threshold Summary'!$Y:$Y,'Threshold Summary'!$K:$K,""),'Pokemon Editor'!$A:$A,'Pokemon Editor'!$C:$C,""),mtype=XLOOKUP(XLOOKUP($Q647,'Threshold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Chart'!$B$1:$S$1,0)))),base,IF(OR(cat="Status",pow=0),0,FLOOR(FLOOR(FLOOR((2*XLOOKUP($Q647,'Threshold Summary'!$Y:$Y,'Threshold Summary'!$L:$L,"")/5+2)*pow*atk/def)/50)+2)),modifier,stab*eff,FLOOR(base*modifier)),0)</f>
        <v/>
      </c>
      <c r="L647" s="3">
        <f>IFERROR(LET(mtype,XLOOKUP($D647,'Move Editor'!$B:$B,'Move Editor'!$C:$C,""),cat,XLOOKUP($D647,'Move Editor'!$B:$B,'Move Editor'!$D:$D,""),pow,XLOOKUP($D647,'Move Editor'!$B:$B,'Move Editor'!$E:$E,0),acc,XLOOKUP($D647,'Move Editor'!$B:$B,'Move Editor'!$F:$F,100),atk,IF(cat="Physical",FLOOR((FLOOR(((2*XLOOKUP(XLOOKUP($Q647,'Threshold Summary'!$Y:$Y,'Threshold Summary'!$K:$K,""),'Pokemon Editor'!$A:$A,'Pokemon Editor'!$F:$F,0)+31+FLOOR(XLOOKUP($Q647,'Threshold Summary'!$Y:$Y,'Threshold Summary'!$P:$P,"")/4))*XLOOKUP($Q647,'Threshold Summary'!$Y:$Y,'Threshold Summary'!$L:$L,""))/100)+5)*XLOOKUP(XLOOKUP($Q647,'Threshold Summary'!$Y:$Y,'Threshold Summary'!$M:$M,""),'Nature Editor'!$A:$A,'Nature Editor'!$B:$B,1)),FLOOR((FLOOR(((2*XLOOKUP(XLOOKUP($Q647,'Threshold Summary'!$Y:$Y,'Threshold Summary'!$K:$K,""),'Pokemon Editor'!$A:$A,'Pokemon Editor'!$H:$H,0)+31+FLOOR(XLOOKUP($Q647,'Threshold Summary'!$Y:$Y,'Threshold Summary'!$R:$R,"")/4))*XLOOKUP($Q647,'Threshold Summary'!$Y:$Y,'Threshold Summary'!$L:$L,""))/100)+5)*XLOOKUP(XLOOKUP($Q647,'Threshold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Editor'!$E:$E,1))),stab,IF(OR(mtype=XLOOKUP(XLOOKUP($Q647,'Threshold Summary'!$Y:$Y,'Threshold Summary'!$K:$K,""),'Pokemon Editor'!$A:$A,'Pokemon Editor'!$C:$C,""),mtype=XLOOKUP(XLOOKUP($Q647,'Threshold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Chart'!$B$1:$S$1,0)))),base,IF(OR(cat="Status",pow=0),0,FLOOR(FLOOR(FLOOR((2*XLOOKUP($Q647,'Threshold Summary'!$Y:$Y,'Threshold Summary'!$L:$L,"")/5+2)*pow*atk/def)/50)+2)),modifier,stab*eff,AVERAGE(ARRAYFORMULA(FLOOR(base*modifier*SEQUENCE(16,1,85,1)/100)))),0)</f>
        <v/>
      </c>
      <c r="M647" s="3">
        <f>IFERROR(LET(mtype,XLOOKUP($D647,'Move Editor'!$B:$B,'Move Editor'!$C:$C,""),cat,XLOOKUP($D647,'Move Editor'!$B:$B,'Move Editor'!$D:$D,""),pow,XLOOKUP($D647,'Move Editor'!$B:$B,'Move Editor'!$E:$E,0),acc,XLOOKUP($D647,'Move Editor'!$B:$B,'Move Editor'!$F:$F,100),atk,IF(cat="Physical",FLOOR((FLOOR(((2*XLOOKUP(XLOOKUP($Q647,'Threshold Summary'!$Y:$Y,'Threshold Summary'!$K:$K,""),'Pokemon Editor'!$A:$A,'Pokemon Editor'!$F:$F,0)+31+FLOOR(XLOOKUP($Q647,'Threshold Summary'!$Y:$Y,'Threshold Summary'!$P:$P,"")/4))*XLOOKUP($Q647,'Threshold Summary'!$Y:$Y,'Threshold Summary'!$L:$L,""))/100)+5)*XLOOKUP(XLOOKUP($Q647,'Threshold Summary'!$Y:$Y,'Threshold Summary'!$M:$M,""),'Nature Editor'!$A:$A,'Nature Editor'!$B:$B,1)),FLOOR((FLOOR(((2*XLOOKUP(XLOOKUP($Q647,'Threshold Summary'!$Y:$Y,'Threshold Summary'!$K:$K,""),'Pokemon Editor'!$A:$A,'Pokemon Editor'!$H:$H,0)+31+FLOOR(XLOOKUP($Q647,'Threshold Summary'!$Y:$Y,'Threshold Summary'!$R:$R,"")/4))*XLOOKUP($Q647,'Threshold Summary'!$Y:$Y,'Threshold Summary'!$L:$L,""))/100)+5)*XLOOKUP(XLOOKUP($Q647,'Threshold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Editor'!$E:$E,1))),stab,IF(OR(mtype=XLOOKUP(XLOOKUP($Q647,'Threshold Summary'!$Y:$Y,'Threshold Summary'!$K:$K,""),'Pokemon Editor'!$A:$A,'Pokemon Editor'!$C:$C,""),mtype=XLOOKUP(XLOOKUP($Q647,'Threshold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Chart'!$B$1:$S$1,0)))),base,IF(OR(cat="Status",pow=0),0,FLOOR(FLOOR(FLOOR((2*XLOOKUP($Q647,'Threshold Summary'!$Y:$Y,'Threshold Summary'!$L:$L,"")/5+2)*pow*atk/def)/50)+2)),modifier,stab*eff,AVERAGE(ARRAYFORMULA(FLOOR(base*modifier*SEQUENCE(16,1,85,1)/100)))*MIN(1,acc/100)),0)</f>
        <v/>
      </c>
      <c r="N647" s="4">
        <f>IFERROR(LET(mtype,XLOOKUP($D647,'Move Editor'!$B:$B,'Move Editor'!$C:$C,""),cat,XLOOKUP($D647,'Move Editor'!$B:$B,'Move Editor'!$D:$D,""),pow,XLOOKUP($D647,'Move Editor'!$B:$B,'Move Editor'!$E:$E,0),acc,XLOOKUP($D647,'Move Editor'!$B:$B,'Move Editor'!$F:$F,100),atk,IF(cat="Physical",FLOOR((FLOOR(((2*XLOOKUP(XLOOKUP($Q647,'Threshold Summary'!$Y:$Y,'Threshold Summary'!$K:$K,""),'Pokemon Editor'!$A:$A,'Pokemon Editor'!$F:$F,0)+31+FLOOR(XLOOKUP($Q647,'Threshold Summary'!$Y:$Y,'Threshold Summary'!$P:$P,"")/4))*XLOOKUP($Q647,'Threshold Summary'!$Y:$Y,'Threshold Summary'!$L:$L,""))/100)+5)*XLOOKUP(XLOOKUP($Q647,'Threshold Summary'!$Y:$Y,'Threshold Summary'!$M:$M,""),'Nature Editor'!$A:$A,'Nature Editor'!$B:$B,1)),FLOOR((FLOOR(((2*XLOOKUP(XLOOKUP($Q647,'Threshold Summary'!$Y:$Y,'Threshold Summary'!$K:$K,""),'Pokemon Editor'!$A:$A,'Pokemon Editor'!$H:$H,0)+31+FLOOR(XLOOKUP($Q647,'Threshold Summary'!$Y:$Y,'Threshold Summary'!$R:$R,"")/4))*XLOOKUP($Q647,'Threshold Summary'!$Y:$Y,'Threshold Summary'!$L:$L,""))/100)+5)*XLOOKUP(XLOOKUP($Q647,'Threshold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Editor'!$E:$E,1))),stab,IF(OR(mtype=XLOOKUP(XLOOKUP($Q647,'Threshold Summary'!$Y:$Y,'Threshold Summary'!$K:$K,""),'Pokemon Editor'!$A:$A,'Pokemon Editor'!$C:$C,""),mtype=XLOOKUP(XLOOKUP($Q647,'Threshold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Chart'!$B$1:$S$1,0)))),base,IF(OR(cat="Status",pow=0),0,FLOOR(FLOOR(FLOOR((2*XLOOKUP($Q647,'Threshold Summary'!$Y:$Y,'Threshold Summary'!$L:$L,"")/5+2)*pow*atk/def)/50)+2)),modifier,stab*eff,AVERAGE(ARRAYFORMULA(FLOOR(base*modifier*SEQUENCE(16,1,85,1)/100)))/(FLOOR(((2*XLOOKUP('Boss Editor'!$C$4,'Pokemon Editor'!$A:$A,'Pokemon Editor'!$E:$E,0)+31+FLOOR('Boss Editor'!$G$4/4))*'Boss Editor'!$D$4)/100)+'Boss Editor'!$D$4+10)),0)</f>
        <v/>
      </c>
      <c r="O647" s="3">
        <f>IF(N647&gt;=1,"OHKO",IF(N647&gt;=0.5,"2HKO",IF(N647&gt;=0.333,"3HKO",IF(N647&gt;=0.25,"4HKO","5HKO+"))))</f>
        <v/>
      </c>
      <c r="P647" s="3" t="inlineStr">
        <is>
          <t>Live from editable databases</t>
        </is>
      </c>
      <c r="Q647" s="3" t="inlineStr">
        <is>
          <t>SPECIES_PANCHAM</t>
        </is>
      </c>
      <c r="R647" s="3" t="n">
        <v>6</v>
      </c>
    </row>
    <row r="648">
      <c r="A648" s="3">
        <f>XLOOKUP($Q648,'Threshold Summary'!$Y:$Y,'Threshold Summary'!$A:$A,"")</f>
        <v/>
      </c>
      <c r="B648" s="3">
        <f>XLOOKUP($Q648,'Threshold Summary'!$Y:$Y,'Threshold Summary'!$M:$M,"")</f>
        <v/>
      </c>
      <c r="C648" s="3">
        <f>XLOOKUP($Q648,'Threshold Summary'!$Y:$Y,'Threshold Summary'!$N:$N,"")</f>
        <v/>
      </c>
      <c r="D648" s="3">
        <f>IFERROR(INDEX(FILTER('Learnset Editor'!$D$2:$D,'Learnset Editor'!$A$2:$A=XLOOKUP($Q648,'Threshold Summary'!$Y:$Y,'Threshold Summary'!$K:$K,""),'Learnset Editor'!$C$2:$C&lt;=XLOOKUP($Q648,'Threshold Summary'!$Y:$Y,'Threshold Summary'!$L:$L,"")),$R648),"")</f>
        <v/>
      </c>
      <c r="E648" s="3">
        <f>XLOOKUP(D648,'Move Editor'!$B:$B,'Move Editor'!$C:$C,"")</f>
        <v/>
      </c>
      <c r="F648" s="3">
        <f>XLOOKUP(D648,'Move Editor'!$B:$B,'Move Editor'!$D:$D,"")</f>
        <v/>
      </c>
      <c r="G648" s="3">
        <f>XLOOKUP(D648,'Move Editor'!$B:$B,'Move Editor'!$E:$E,0)</f>
        <v/>
      </c>
      <c r="H648" s="3">
        <f>XLOOKUP(D648,'Move Editor'!$B:$B,'Move Editor'!$F:$F,0)</f>
        <v/>
      </c>
      <c r="I648" s="3">
        <f>(INDEX('Type Chart'!$B:$S,MATCH(E648,'Type Chart'!$A:$A,0),MATCH(XLOOKUP('Boss Editor'!$C$4,'Pokemon Editor'!$A:$A,'Pokemon Editor'!$C:$C,""),'Type Chart'!$B$1:$S$1,0))*IF(XLOOKUP('Boss Editor'!$C$4,'Pokemon Editor'!$A:$A,'Pokemon Editor'!$D:$D,"")="",1,INDEX('Type Chart'!$B:$S,MATCH(E648,'Type Chart'!$A:$A,0),MATCH(XLOOKUP('Boss Editor'!$C$4,'Pokemon Editor'!$A:$A,'Pokemon Editor'!$D:$D,""),'Type Chart'!$B$1:$S$1,0))))</f>
        <v/>
      </c>
      <c r="J648" s="3">
        <f>IFERROR(LET(mtype,XLOOKUP($D648,'Move Editor'!$B:$B,'Move Editor'!$C:$C,""),cat,XLOOKUP($D648,'Move Editor'!$B:$B,'Move Editor'!$D:$D,""),pow,XLOOKUP($D648,'Move Editor'!$B:$B,'Move Editor'!$E:$E,0),acc,XLOOKUP($D648,'Move Editor'!$B:$B,'Move Editor'!$F:$F,100),atk,IF(cat="Physical",FLOOR((FLOOR(((2*XLOOKUP(XLOOKUP($Q648,'Threshold Summary'!$Y:$Y,'Threshold Summary'!$K:$K,""),'Pokemon Editor'!$A:$A,'Pokemon Editor'!$F:$F,0)+31+FLOOR(XLOOKUP($Q648,'Threshold Summary'!$Y:$Y,'Threshold Summary'!$P:$P,"")/4))*XLOOKUP($Q648,'Threshold Summary'!$Y:$Y,'Threshold Summary'!$L:$L,""))/100)+5)*XLOOKUP(XLOOKUP($Q648,'Threshold Summary'!$Y:$Y,'Threshold Summary'!$M:$M,""),'Nature Editor'!$A:$A,'Nature Editor'!$B:$B,1)),FLOOR((FLOOR(((2*XLOOKUP(XLOOKUP($Q648,'Threshold Summary'!$Y:$Y,'Threshold Summary'!$K:$K,""),'Pokemon Editor'!$A:$A,'Pokemon Editor'!$H:$H,0)+31+FLOOR(XLOOKUP($Q648,'Threshold Summary'!$Y:$Y,'Threshold Summary'!$R:$R,"")/4))*XLOOKUP($Q648,'Threshold Summary'!$Y:$Y,'Threshold Summary'!$L:$L,""))/100)+5)*XLOOKUP(XLOOKUP($Q648,'Threshold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Editor'!$E:$E,1))),stab,IF(OR(mtype=XLOOKUP(XLOOKUP($Q648,'Threshold Summary'!$Y:$Y,'Threshold Summary'!$K:$K,""),'Pokemon Editor'!$A:$A,'Pokemon Editor'!$C:$C,""),mtype=XLOOKUP(XLOOKUP($Q648,'Threshold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Chart'!$B$1:$S$1,0)))),base,IF(OR(cat="Status",pow=0),0,FLOOR(FLOOR(FLOOR((2*XLOOKUP($Q648,'Threshold Summary'!$Y:$Y,'Threshold Summary'!$L:$L,"")/5+2)*pow*atk/def)/50)+2)),modifier,stab*eff,FLOOR(base*modifier*0.85)),0)</f>
        <v/>
      </c>
      <c r="K648" s="3">
        <f>IFERROR(LET(mtype,XLOOKUP($D648,'Move Editor'!$B:$B,'Move Editor'!$C:$C,""),cat,XLOOKUP($D648,'Move Editor'!$B:$B,'Move Editor'!$D:$D,""),pow,XLOOKUP($D648,'Move Editor'!$B:$B,'Move Editor'!$E:$E,0),acc,XLOOKUP($D648,'Move Editor'!$B:$B,'Move Editor'!$F:$F,100),atk,IF(cat="Physical",FLOOR((FLOOR(((2*XLOOKUP(XLOOKUP($Q648,'Threshold Summary'!$Y:$Y,'Threshold Summary'!$K:$K,""),'Pokemon Editor'!$A:$A,'Pokemon Editor'!$F:$F,0)+31+FLOOR(XLOOKUP($Q648,'Threshold Summary'!$Y:$Y,'Threshold Summary'!$P:$P,"")/4))*XLOOKUP($Q648,'Threshold Summary'!$Y:$Y,'Threshold Summary'!$L:$L,""))/100)+5)*XLOOKUP(XLOOKUP($Q648,'Threshold Summary'!$Y:$Y,'Threshold Summary'!$M:$M,""),'Nature Editor'!$A:$A,'Nature Editor'!$B:$B,1)),FLOOR((FLOOR(((2*XLOOKUP(XLOOKUP($Q648,'Threshold Summary'!$Y:$Y,'Threshold Summary'!$K:$K,""),'Pokemon Editor'!$A:$A,'Pokemon Editor'!$H:$H,0)+31+FLOOR(XLOOKUP($Q648,'Threshold Summary'!$Y:$Y,'Threshold Summary'!$R:$R,"")/4))*XLOOKUP($Q648,'Threshold Summary'!$Y:$Y,'Threshold Summary'!$L:$L,""))/100)+5)*XLOOKUP(XLOOKUP($Q648,'Threshold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Editor'!$E:$E,1))),stab,IF(OR(mtype=XLOOKUP(XLOOKUP($Q648,'Threshold Summary'!$Y:$Y,'Threshold Summary'!$K:$K,""),'Pokemon Editor'!$A:$A,'Pokemon Editor'!$C:$C,""),mtype=XLOOKUP(XLOOKUP($Q648,'Threshold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Chart'!$B$1:$S$1,0)))),base,IF(OR(cat="Status",pow=0),0,FLOOR(FLOOR(FLOOR((2*XLOOKUP($Q648,'Threshold Summary'!$Y:$Y,'Threshold Summary'!$L:$L,"")/5+2)*pow*atk/def)/50)+2)),modifier,stab*eff,FLOOR(base*modifier)),0)</f>
        <v/>
      </c>
      <c r="L648" s="3">
        <f>IFERROR(LET(mtype,XLOOKUP($D648,'Move Editor'!$B:$B,'Move Editor'!$C:$C,""),cat,XLOOKUP($D648,'Move Editor'!$B:$B,'Move Editor'!$D:$D,""),pow,XLOOKUP($D648,'Move Editor'!$B:$B,'Move Editor'!$E:$E,0),acc,XLOOKUP($D648,'Move Editor'!$B:$B,'Move Editor'!$F:$F,100),atk,IF(cat="Physical",FLOOR((FLOOR(((2*XLOOKUP(XLOOKUP($Q648,'Threshold Summary'!$Y:$Y,'Threshold Summary'!$K:$K,""),'Pokemon Editor'!$A:$A,'Pokemon Editor'!$F:$F,0)+31+FLOOR(XLOOKUP($Q648,'Threshold Summary'!$Y:$Y,'Threshold Summary'!$P:$P,"")/4))*XLOOKUP($Q648,'Threshold Summary'!$Y:$Y,'Threshold Summary'!$L:$L,""))/100)+5)*XLOOKUP(XLOOKUP($Q648,'Threshold Summary'!$Y:$Y,'Threshold Summary'!$M:$M,""),'Nature Editor'!$A:$A,'Nature Editor'!$B:$B,1)),FLOOR((FLOOR(((2*XLOOKUP(XLOOKUP($Q648,'Threshold Summary'!$Y:$Y,'Threshold Summary'!$K:$K,""),'Pokemon Editor'!$A:$A,'Pokemon Editor'!$H:$H,0)+31+FLOOR(XLOOKUP($Q648,'Threshold Summary'!$Y:$Y,'Threshold Summary'!$R:$R,"")/4))*XLOOKUP($Q648,'Threshold Summary'!$Y:$Y,'Threshold Summary'!$L:$L,""))/100)+5)*XLOOKUP(XLOOKUP($Q648,'Threshold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Editor'!$E:$E,1))),stab,IF(OR(mtype=XLOOKUP(XLOOKUP($Q648,'Threshold Summary'!$Y:$Y,'Threshold Summary'!$K:$K,""),'Pokemon Editor'!$A:$A,'Pokemon Editor'!$C:$C,""),mtype=XLOOKUP(XLOOKUP($Q648,'Threshold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Chart'!$B$1:$S$1,0)))),base,IF(OR(cat="Status",pow=0),0,FLOOR(FLOOR(FLOOR((2*XLOOKUP($Q648,'Threshold Summary'!$Y:$Y,'Threshold Summary'!$L:$L,"")/5+2)*pow*atk/def)/50)+2)),modifier,stab*eff,AVERAGE(ARRAYFORMULA(FLOOR(base*modifier*SEQUENCE(16,1,85,1)/100)))),0)</f>
        <v/>
      </c>
      <c r="M648" s="3">
        <f>IFERROR(LET(mtype,XLOOKUP($D648,'Move Editor'!$B:$B,'Move Editor'!$C:$C,""),cat,XLOOKUP($D648,'Move Editor'!$B:$B,'Move Editor'!$D:$D,""),pow,XLOOKUP($D648,'Move Editor'!$B:$B,'Move Editor'!$E:$E,0),acc,XLOOKUP($D648,'Move Editor'!$B:$B,'Move Editor'!$F:$F,100),atk,IF(cat="Physical",FLOOR((FLOOR(((2*XLOOKUP(XLOOKUP($Q648,'Threshold Summary'!$Y:$Y,'Threshold Summary'!$K:$K,""),'Pokemon Editor'!$A:$A,'Pokemon Editor'!$F:$F,0)+31+FLOOR(XLOOKUP($Q648,'Threshold Summary'!$Y:$Y,'Threshold Summary'!$P:$P,"")/4))*XLOOKUP($Q648,'Threshold Summary'!$Y:$Y,'Threshold Summary'!$L:$L,""))/100)+5)*XLOOKUP(XLOOKUP($Q648,'Threshold Summary'!$Y:$Y,'Threshold Summary'!$M:$M,""),'Nature Editor'!$A:$A,'Nature Editor'!$B:$B,1)),FLOOR((FLOOR(((2*XLOOKUP(XLOOKUP($Q648,'Threshold Summary'!$Y:$Y,'Threshold Summary'!$K:$K,""),'Pokemon Editor'!$A:$A,'Pokemon Editor'!$H:$H,0)+31+FLOOR(XLOOKUP($Q648,'Threshold Summary'!$Y:$Y,'Threshold Summary'!$R:$R,"")/4))*XLOOKUP($Q648,'Threshold Summary'!$Y:$Y,'Threshold Summary'!$L:$L,""))/100)+5)*XLOOKUP(XLOOKUP($Q648,'Threshold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Editor'!$E:$E,1))),stab,IF(OR(mtype=XLOOKUP(XLOOKUP($Q648,'Threshold Summary'!$Y:$Y,'Threshold Summary'!$K:$K,""),'Pokemon Editor'!$A:$A,'Pokemon Editor'!$C:$C,""),mtype=XLOOKUP(XLOOKUP($Q648,'Threshold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Chart'!$B$1:$S$1,0)))),base,IF(OR(cat="Status",pow=0),0,FLOOR(FLOOR(FLOOR((2*XLOOKUP($Q648,'Threshold Summary'!$Y:$Y,'Threshold Summary'!$L:$L,"")/5+2)*pow*atk/def)/50)+2)),modifier,stab*eff,AVERAGE(ARRAYFORMULA(FLOOR(base*modifier*SEQUENCE(16,1,85,1)/100)))*MIN(1,acc/100)),0)</f>
        <v/>
      </c>
      <c r="N648" s="4">
        <f>IFERROR(LET(mtype,XLOOKUP($D648,'Move Editor'!$B:$B,'Move Editor'!$C:$C,""),cat,XLOOKUP($D648,'Move Editor'!$B:$B,'Move Editor'!$D:$D,""),pow,XLOOKUP($D648,'Move Editor'!$B:$B,'Move Editor'!$E:$E,0),acc,XLOOKUP($D648,'Move Editor'!$B:$B,'Move Editor'!$F:$F,100),atk,IF(cat="Physical",FLOOR((FLOOR(((2*XLOOKUP(XLOOKUP($Q648,'Threshold Summary'!$Y:$Y,'Threshold Summary'!$K:$K,""),'Pokemon Editor'!$A:$A,'Pokemon Editor'!$F:$F,0)+31+FLOOR(XLOOKUP($Q648,'Threshold Summary'!$Y:$Y,'Threshold Summary'!$P:$P,"")/4))*XLOOKUP($Q648,'Threshold Summary'!$Y:$Y,'Threshold Summary'!$L:$L,""))/100)+5)*XLOOKUP(XLOOKUP($Q648,'Threshold Summary'!$Y:$Y,'Threshold Summary'!$M:$M,""),'Nature Editor'!$A:$A,'Nature Editor'!$B:$B,1)),FLOOR((FLOOR(((2*XLOOKUP(XLOOKUP($Q648,'Threshold Summary'!$Y:$Y,'Threshold Summary'!$K:$K,""),'Pokemon Editor'!$A:$A,'Pokemon Editor'!$H:$H,0)+31+FLOOR(XLOOKUP($Q648,'Threshold Summary'!$Y:$Y,'Threshold Summary'!$R:$R,"")/4))*XLOOKUP($Q648,'Threshold Summary'!$Y:$Y,'Threshold Summary'!$L:$L,""))/100)+5)*XLOOKUP(XLOOKUP($Q648,'Threshold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Editor'!$E:$E,1))),stab,IF(OR(mtype=XLOOKUP(XLOOKUP($Q648,'Threshold Summary'!$Y:$Y,'Threshold Summary'!$K:$K,""),'Pokemon Editor'!$A:$A,'Pokemon Editor'!$C:$C,""),mtype=XLOOKUP(XLOOKUP($Q648,'Threshold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Chart'!$B$1:$S$1,0)))),base,IF(OR(cat="Status",pow=0),0,FLOOR(FLOOR(FLOOR((2*XLOOKUP($Q648,'Threshold Summary'!$Y:$Y,'Threshold Summary'!$L:$L,"")/5+2)*pow*atk/def)/50)+2)),modifier,stab*eff,AVERAGE(ARRAYFORMULA(FLOOR(base*modifier*SEQUENCE(16,1,85,1)/100)))/(FLOOR(((2*XLOOKUP('Boss Editor'!$C$4,'Pokemon Editor'!$A:$A,'Pokemon Editor'!$E:$E,0)+31+FLOOR('Boss Editor'!$G$4/4))*'Boss Editor'!$D$4)/100)+'Boss Editor'!$D$4+10)),0)</f>
        <v/>
      </c>
      <c r="O648" s="3">
        <f>IF(N648&gt;=1,"OHKO",IF(N648&gt;=0.5,"2HKO",IF(N648&gt;=0.333,"3HKO",IF(N648&gt;=0.25,"4HKO","5HKO+"))))</f>
        <v/>
      </c>
      <c r="P648" s="3" t="inlineStr">
        <is>
          <t>Live from editable databases</t>
        </is>
      </c>
      <c r="Q648" s="3" t="inlineStr">
        <is>
          <t>SPECIES_PANCHAM</t>
        </is>
      </c>
      <c r="R648" s="3" t="n">
        <v>7</v>
      </c>
    </row>
    <row r="649">
      <c r="A649" s="3">
        <f>XLOOKUP($Q649,'Threshold Summary'!$Y:$Y,'Threshold Summary'!$A:$A,"")</f>
        <v/>
      </c>
      <c r="B649" s="3">
        <f>XLOOKUP($Q649,'Threshold Summary'!$Y:$Y,'Threshold Summary'!$M:$M,"")</f>
        <v/>
      </c>
      <c r="C649" s="3">
        <f>XLOOKUP($Q649,'Threshold Summary'!$Y:$Y,'Threshold Summary'!$N:$N,"")</f>
        <v/>
      </c>
      <c r="D649" s="3">
        <f>IFERROR(INDEX(FILTER('Learnset Editor'!$D$2:$D,'Learnset Editor'!$A$2:$A=XLOOKUP($Q649,'Threshold Summary'!$Y:$Y,'Threshold Summary'!$K:$K,""),'Learnset Editor'!$C$2:$C&lt;=XLOOKUP($Q649,'Threshold Summary'!$Y:$Y,'Threshold Summary'!$L:$L,"")),$R649),"")</f>
        <v/>
      </c>
      <c r="E649" s="3">
        <f>XLOOKUP(D649,'Move Editor'!$B:$B,'Move Editor'!$C:$C,"")</f>
        <v/>
      </c>
      <c r="F649" s="3">
        <f>XLOOKUP(D649,'Move Editor'!$B:$B,'Move Editor'!$D:$D,"")</f>
        <v/>
      </c>
      <c r="G649" s="3">
        <f>XLOOKUP(D649,'Move Editor'!$B:$B,'Move Editor'!$E:$E,0)</f>
        <v/>
      </c>
      <c r="H649" s="3">
        <f>XLOOKUP(D649,'Move Editor'!$B:$B,'Move Editor'!$F:$F,0)</f>
        <v/>
      </c>
      <c r="I649" s="3">
        <f>(INDEX('Type Chart'!$B:$S,MATCH(E649,'Type Chart'!$A:$A,0),MATCH(XLOOKUP('Boss Editor'!$C$4,'Pokemon Editor'!$A:$A,'Pokemon Editor'!$C:$C,""),'Type Chart'!$B$1:$S$1,0))*IF(XLOOKUP('Boss Editor'!$C$4,'Pokemon Editor'!$A:$A,'Pokemon Editor'!$D:$D,"")="",1,INDEX('Type Chart'!$B:$S,MATCH(E649,'Type Chart'!$A:$A,0),MATCH(XLOOKUP('Boss Editor'!$C$4,'Pokemon Editor'!$A:$A,'Pokemon Editor'!$D:$D,""),'Type Chart'!$B$1:$S$1,0))))</f>
        <v/>
      </c>
      <c r="J649" s="3">
        <f>IFERROR(LET(mtype,XLOOKUP($D649,'Move Editor'!$B:$B,'Move Editor'!$C:$C,""),cat,XLOOKUP($D649,'Move Editor'!$B:$B,'Move Editor'!$D:$D,""),pow,XLOOKUP($D649,'Move Editor'!$B:$B,'Move Editor'!$E:$E,0),acc,XLOOKUP($D649,'Move Editor'!$B:$B,'Move Editor'!$F:$F,100),atk,IF(cat="Physical",FLOOR((FLOOR(((2*XLOOKUP(XLOOKUP($Q649,'Threshold Summary'!$Y:$Y,'Threshold Summary'!$K:$K,""),'Pokemon Editor'!$A:$A,'Pokemon Editor'!$F:$F,0)+31+FLOOR(XLOOKUP($Q649,'Threshold Summary'!$Y:$Y,'Threshold Summary'!$P:$P,"")/4))*XLOOKUP($Q649,'Threshold Summary'!$Y:$Y,'Threshold Summary'!$L:$L,""))/100)+5)*XLOOKUP(XLOOKUP($Q649,'Threshold Summary'!$Y:$Y,'Threshold Summary'!$M:$M,""),'Nature Editor'!$A:$A,'Nature Editor'!$B:$B,1)),FLOOR((FLOOR(((2*XLOOKUP(XLOOKUP($Q649,'Threshold Summary'!$Y:$Y,'Threshold Summary'!$K:$K,""),'Pokemon Editor'!$A:$A,'Pokemon Editor'!$H:$H,0)+31+FLOOR(XLOOKUP($Q649,'Threshold Summary'!$Y:$Y,'Threshold Summary'!$R:$R,"")/4))*XLOOKUP($Q649,'Threshold Summary'!$Y:$Y,'Threshold Summary'!$L:$L,""))/100)+5)*XLOOKUP(XLOOKUP($Q649,'Threshold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Editor'!$E:$E,1))),stab,IF(OR(mtype=XLOOKUP(XLOOKUP($Q649,'Threshold Summary'!$Y:$Y,'Threshold Summary'!$K:$K,""),'Pokemon Editor'!$A:$A,'Pokemon Editor'!$C:$C,""),mtype=XLOOKUP(XLOOKUP($Q649,'Threshold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Chart'!$B$1:$S$1,0)))),base,IF(OR(cat="Status",pow=0),0,FLOOR(FLOOR(FLOOR((2*XLOOKUP($Q649,'Threshold Summary'!$Y:$Y,'Threshold Summary'!$L:$L,"")/5+2)*pow*atk/def)/50)+2)),modifier,stab*eff,FLOOR(base*modifier*0.85)),0)</f>
        <v/>
      </c>
      <c r="K649" s="3">
        <f>IFERROR(LET(mtype,XLOOKUP($D649,'Move Editor'!$B:$B,'Move Editor'!$C:$C,""),cat,XLOOKUP($D649,'Move Editor'!$B:$B,'Move Editor'!$D:$D,""),pow,XLOOKUP($D649,'Move Editor'!$B:$B,'Move Editor'!$E:$E,0),acc,XLOOKUP($D649,'Move Editor'!$B:$B,'Move Editor'!$F:$F,100),atk,IF(cat="Physical",FLOOR((FLOOR(((2*XLOOKUP(XLOOKUP($Q649,'Threshold Summary'!$Y:$Y,'Threshold Summary'!$K:$K,""),'Pokemon Editor'!$A:$A,'Pokemon Editor'!$F:$F,0)+31+FLOOR(XLOOKUP($Q649,'Threshold Summary'!$Y:$Y,'Threshold Summary'!$P:$P,"")/4))*XLOOKUP($Q649,'Threshold Summary'!$Y:$Y,'Threshold Summary'!$L:$L,""))/100)+5)*XLOOKUP(XLOOKUP($Q649,'Threshold Summary'!$Y:$Y,'Threshold Summary'!$M:$M,""),'Nature Editor'!$A:$A,'Nature Editor'!$B:$B,1)),FLOOR((FLOOR(((2*XLOOKUP(XLOOKUP($Q649,'Threshold Summary'!$Y:$Y,'Threshold Summary'!$K:$K,""),'Pokemon Editor'!$A:$A,'Pokemon Editor'!$H:$H,0)+31+FLOOR(XLOOKUP($Q649,'Threshold Summary'!$Y:$Y,'Threshold Summary'!$R:$R,"")/4))*XLOOKUP($Q649,'Threshold Summary'!$Y:$Y,'Threshold Summary'!$L:$L,""))/100)+5)*XLOOKUP(XLOOKUP($Q649,'Threshold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Editor'!$E:$E,1))),stab,IF(OR(mtype=XLOOKUP(XLOOKUP($Q649,'Threshold Summary'!$Y:$Y,'Threshold Summary'!$K:$K,""),'Pokemon Editor'!$A:$A,'Pokemon Editor'!$C:$C,""),mtype=XLOOKUP(XLOOKUP($Q649,'Threshold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Chart'!$B$1:$S$1,0)))),base,IF(OR(cat="Status",pow=0),0,FLOOR(FLOOR(FLOOR((2*XLOOKUP($Q649,'Threshold Summary'!$Y:$Y,'Threshold Summary'!$L:$L,"")/5+2)*pow*atk/def)/50)+2)),modifier,stab*eff,FLOOR(base*modifier)),0)</f>
        <v/>
      </c>
      <c r="L649" s="3">
        <f>IFERROR(LET(mtype,XLOOKUP($D649,'Move Editor'!$B:$B,'Move Editor'!$C:$C,""),cat,XLOOKUP($D649,'Move Editor'!$B:$B,'Move Editor'!$D:$D,""),pow,XLOOKUP($D649,'Move Editor'!$B:$B,'Move Editor'!$E:$E,0),acc,XLOOKUP($D649,'Move Editor'!$B:$B,'Move Editor'!$F:$F,100),atk,IF(cat="Physical",FLOOR((FLOOR(((2*XLOOKUP(XLOOKUP($Q649,'Threshold Summary'!$Y:$Y,'Threshold Summary'!$K:$K,""),'Pokemon Editor'!$A:$A,'Pokemon Editor'!$F:$F,0)+31+FLOOR(XLOOKUP($Q649,'Threshold Summary'!$Y:$Y,'Threshold Summary'!$P:$P,"")/4))*XLOOKUP($Q649,'Threshold Summary'!$Y:$Y,'Threshold Summary'!$L:$L,""))/100)+5)*XLOOKUP(XLOOKUP($Q649,'Threshold Summary'!$Y:$Y,'Threshold Summary'!$M:$M,""),'Nature Editor'!$A:$A,'Nature Editor'!$B:$B,1)),FLOOR((FLOOR(((2*XLOOKUP(XLOOKUP($Q649,'Threshold Summary'!$Y:$Y,'Threshold Summary'!$K:$K,""),'Pokemon Editor'!$A:$A,'Pokemon Editor'!$H:$H,0)+31+FLOOR(XLOOKUP($Q649,'Threshold Summary'!$Y:$Y,'Threshold Summary'!$R:$R,"")/4))*XLOOKUP($Q649,'Threshold Summary'!$Y:$Y,'Threshold Summary'!$L:$L,""))/100)+5)*XLOOKUP(XLOOKUP($Q649,'Threshold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Editor'!$E:$E,1))),stab,IF(OR(mtype=XLOOKUP(XLOOKUP($Q649,'Threshold Summary'!$Y:$Y,'Threshold Summary'!$K:$K,""),'Pokemon Editor'!$A:$A,'Pokemon Editor'!$C:$C,""),mtype=XLOOKUP(XLOOKUP($Q649,'Threshold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Chart'!$B$1:$S$1,0)))),base,IF(OR(cat="Status",pow=0),0,FLOOR(FLOOR(FLOOR((2*XLOOKUP($Q649,'Threshold Summary'!$Y:$Y,'Threshold Summary'!$L:$L,"")/5+2)*pow*atk/def)/50)+2)),modifier,stab*eff,AVERAGE(ARRAYFORMULA(FLOOR(base*modifier*SEQUENCE(16,1,85,1)/100)))),0)</f>
        <v/>
      </c>
      <c r="M649" s="3">
        <f>IFERROR(LET(mtype,XLOOKUP($D649,'Move Editor'!$B:$B,'Move Editor'!$C:$C,""),cat,XLOOKUP($D649,'Move Editor'!$B:$B,'Move Editor'!$D:$D,""),pow,XLOOKUP($D649,'Move Editor'!$B:$B,'Move Editor'!$E:$E,0),acc,XLOOKUP($D649,'Move Editor'!$B:$B,'Move Editor'!$F:$F,100),atk,IF(cat="Physical",FLOOR((FLOOR(((2*XLOOKUP(XLOOKUP($Q649,'Threshold Summary'!$Y:$Y,'Threshold Summary'!$K:$K,""),'Pokemon Editor'!$A:$A,'Pokemon Editor'!$F:$F,0)+31+FLOOR(XLOOKUP($Q649,'Threshold Summary'!$Y:$Y,'Threshold Summary'!$P:$P,"")/4))*XLOOKUP($Q649,'Threshold Summary'!$Y:$Y,'Threshold Summary'!$L:$L,""))/100)+5)*XLOOKUP(XLOOKUP($Q649,'Threshold Summary'!$Y:$Y,'Threshold Summary'!$M:$M,""),'Nature Editor'!$A:$A,'Nature Editor'!$B:$B,1)),FLOOR((FLOOR(((2*XLOOKUP(XLOOKUP($Q649,'Threshold Summary'!$Y:$Y,'Threshold Summary'!$K:$K,""),'Pokemon Editor'!$A:$A,'Pokemon Editor'!$H:$H,0)+31+FLOOR(XLOOKUP($Q649,'Threshold Summary'!$Y:$Y,'Threshold Summary'!$R:$R,"")/4))*XLOOKUP($Q649,'Threshold Summary'!$Y:$Y,'Threshold Summary'!$L:$L,""))/100)+5)*XLOOKUP(XLOOKUP($Q649,'Threshold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Editor'!$E:$E,1))),stab,IF(OR(mtype=XLOOKUP(XLOOKUP($Q649,'Threshold Summary'!$Y:$Y,'Threshold Summary'!$K:$K,""),'Pokemon Editor'!$A:$A,'Pokemon Editor'!$C:$C,""),mtype=XLOOKUP(XLOOKUP($Q649,'Threshold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Chart'!$B$1:$S$1,0)))),base,IF(OR(cat="Status",pow=0),0,FLOOR(FLOOR(FLOOR((2*XLOOKUP($Q649,'Threshold Summary'!$Y:$Y,'Threshold Summary'!$L:$L,"")/5+2)*pow*atk/def)/50)+2)),modifier,stab*eff,AVERAGE(ARRAYFORMULA(FLOOR(base*modifier*SEQUENCE(16,1,85,1)/100)))*MIN(1,acc/100)),0)</f>
        <v/>
      </c>
      <c r="N649" s="4">
        <f>IFERROR(LET(mtype,XLOOKUP($D649,'Move Editor'!$B:$B,'Move Editor'!$C:$C,""),cat,XLOOKUP($D649,'Move Editor'!$B:$B,'Move Editor'!$D:$D,""),pow,XLOOKUP($D649,'Move Editor'!$B:$B,'Move Editor'!$E:$E,0),acc,XLOOKUP($D649,'Move Editor'!$B:$B,'Move Editor'!$F:$F,100),atk,IF(cat="Physical",FLOOR((FLOOR(((2*XLOOKUP(XLOOKUP($Q649,'Threshold Summary'!$Y:$Y,'Threshold Summary'!$K:$K,""),'Pokemon Editor'!$A:$A,'Pokemon Editor'!$F:$F,0)+31+FLOOR(XLOOKUP($Q649,'Threshold Summary'!$Y:$Y,'Threshold Summary'!$P:$P,"")/4))*XLOOKUP($Q649,'Threshold Summary'!$Y:$Y,'Threshold Summary'!$L:$L,""))/100)+5)*XLOOKUP(XLOOKUP($Q649,'Threshold Summary'!$Y:$Y,'Threshold Summary'!$M:$M,""),'Nature Editor'!$A:$A,'Nature Editor'!$B:$B,1)),FLOOR((FLOOR(((2*XLOOKUP(XLOOKUP($Q649,'Threshold Summary'!$Y:$Y,'Threshold Summary'!$K:$K,""),'Pokemon Editor'!$A:$A,'Pokemon Editor'!$H:$H,0)+31+FLOOR(XLOOKUP($Q649,'Threshold Summary'!$Y:$Y,'Threshold Summary'!$R:$R,"")/4))*XLOOKUP($Q649,'Threshold Summary'!$Y:$Y,'Threshold Summary'!$L:$L,""))/100)+5)*XLOOKUP(XLOOKUP($Q649,'Threshold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Editor'!$E:$E,1))),stab,IF(OR(mtype=XLOOKUP(XLOOKUP($Q649,'Threshold Summary'!$Y:$Y,'Threshold Summary'!$K:$K,""),'Pokemon Editor'!$A:$A,'Pokemon Editor'!$C:$C,""),mtype=XLOOKUP(XLOOKUP($Q649,'Threshold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Chart'!$B$1:$S$1,0)))),base,IF(OR(cat="Status",pow=0),0,FLOOR(FLOOR(FLOOR((2*XLOOKUP($Q649,'Threshold Summary'!$Y:$Y,'Threshold Summary'!$L:$L,"")/5+2)*pow*atk/def)/50)+2)),modifier,stab*eff,AVERAGE(ARRAYFORMULA(FLOOR(base*modifier*SEQUENCE(16,1,85,1)/100)))/(FLOOR(((2*XLOOKUP('Boss Editor'!$C$4,'Pokemon Editor'!$A:$A,'Pokemon Editor'!$E:$E,0)+31+FLOOR('Boss Editor'!$G$4/4))*'Boss Editor'!$D$4)/100)+'Boss Editor'!$D$4+10)),0)</f>
        <v/>
      </c>
      <c r="O649" s="3">
        <f>IF(N649&gt;=1,"OHKO",IF(N649&gt;=0.5,"2HKO",IF(N649&gt;=0.333,"3HKO",IF(N649&gt;=0.25,"4HKO","5HKO+"))))</f>
        <v/>
      </c>
      <c r="P649" s="3" t="inlineStr">
        <is>
          <t>Live from editable databases</t>
        </is>
      </c>
      <c r="Q649" s="3" t="inlineStr">
        <is>
          <t>SPECIES_PANCHAM</t>
        </is>
      </c>
      <c r="R649" s="3" t="n">
        <v>8</v>
      </c>
    </row>
    <row r="650">
      <c r="A650" s="3">
        <f>XLOOKUP($Q650,'Threshold Summary'!$Y:$Y,'Threshold Summary'!$A:$A,"")</f>
        <v/>
      </c>
      <c r="B650" s="3">
        <f>XLOOKUP($Q650,'Threshold Summary'!$Y:$Y,'Threshold Summary'!$M:$M,"")</f>
        <v/>
      </c>
      <c r="C650" s="3">
        <f>XLOOKUP($Q650,'Threshold Summary'!$Y:$Y,'Threshold Summary'!$N:$N,"")</f>
        <v/>
      </c>
      <c r="D650" s="3">
        <f>IFERROR(INDEX(FILTER('Learnset Editor'!$D$2:$D,'Learnset Editor'!$A$2:$A=XLOOKUP($Q650,'Threshold Summary'!$Y:$Y,'Threshold Summary'!$K:$K,""),'Learnset Editor'!$C$2:$C&lt;=XLOOKUP($Q650,'Threshold Summary'!$Y:$Y,'Threshold Summary'!$L:$L,"")),$R650),"")</f>
        <v/>
      </c>
      <c r="E650" s="3">
        <f>XLOOKUP(D650,'Move Editor'!$B:$B,'Move Editor'!$C:$C,"")</f>
        <v/>
      </c>
      <c r="F650" s="3">
        <f>XLOOKUP(D650,'Move Editor'!$B:$B,'Move Editor'!$D:$D,"")</f>
        <v/>
      </c>
      <c r="G650" s="3">
        <f>XLOOKUP(D650,'Move Editor'!$B:$B,'Move Editor'!$E:$E,0)</f>
        <v/>
      </c>
      <c r="H650" s="3">
        <f>XLOOKUP(D650,'Move Editor'!$B:$B,'Move Editor'!$F:$F,0)</f>
        <v/>
      </c>
      <c r="I650" s="3">
        <f>(INDEX('Type Chart'!$B:$S,MATCH(E650,'Type Chart'!$A:$A,0),MATCH(XLOOKUP('Boss Editor'!$C$4,'Pokemon Editor'!$A:$A,'Pokemon Editor'!$C:$C,""),'Type Chart'!$B$1:$S$1,0))*IF(XLOOKUP('Boss Editor'!$C$4,'Pokemon Editor'!$A:$A,'Pokemon Editor'!$D:$D,"")="",1,INDEX('Type Chart'!$B:$S,MATCH(E650,'Type Chart'!$A:$A,0),MATCH(XLOOKUP('Boss Editor'!$C$4,'Pokemon Editor'!$A:$A,'Pokemon Editor'!$D:$D,""),'Type Chart'!$B$1:$S$1,0))))</f>
        <v/>
      </c>
      <c r="J650" s="3">
        <f>IFERROR(LET(mtype,XLOOKUP($D650,'Move Editor'!$B:$B,'Move Editor'!$C:$C,""),cat,XLOOKUP($D650,'Move Editor'!$B:$B,'Move Editor'!$D:$D,""),pow,XLOOKUP($D650,'Move Editor'!$B:$B,'Move Editor'!$E:$E,0),acc,XLOOKUP($D650,'Move Editor'!$B:$B,'Move Editor'!$F:$F,100),atk,IF(cat="Physical",FLOOR((FLOOR(((2*XLOOKUP(XLOOKUP($Q650,'Threshold Summary'!$Y:$Y,'Threshold Summary'!$K:$K,""),'Pokemon Editor'!$A:$A,'Pokemon Editor'!$F:$F,0)+31+FLOOR(XLOOKUP($Q650,'Threshold Summary'!$Y:$Y,'Threshold Summary'!$P:$P,"")/4))*XLOOKUP($Q650,'Threshold Summary'!$Y:$Y,'Threshold Summary'!$L:$L,""))/100)+5)*XLOOKUP(XLOOKUP($Q650,'Threshold Summary'!$Y:$Y,'Threshold Summary'!$M:$M,""),'Nature Editor'!$A:$A,'Nature Editor'!$B:$B,1)),FLOOR((FLOOR(((2*XLOOKUP(XLOOKUP($Q650,'Threshold Summary'!$Y:$Y,'Threshold Summary'!$K:$K,""),'Pokemon Editor'!$A:$A,'Pokemon Editor'!$H:$H,0)+31+FLOOR(XLOOKUP($Q650,'Threshold Summary'!$Y:$Y,'Threshold Summary'!$R:$R,"")/4))*XLOOKUP($Q650,'Threshold Summary'!$Y:$Y,'Threshold Summary'!$L:$L,""))/100)+5)*XLOOKUP(XLOOKUP($Q650,'Threshold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Editor'!$E:$E,1))),stab,IF(OR(mtype=XLOOKUP(XLOOKUP($Q650,'Threshold Summary'!$Y:$Y,'Threshold Summary'!$K:$K,""),'Pokemon Editor'!$A:$A,'Pokemon Editor'!$C:$C,""),mtype=XLOOKUP(XLOOKUP($Q650,'Threshold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Chart'!$B$1:$S$1,0)))),base,IF(OR(cat="Status",pow=0),0,FLOOR(FLOOR(FLOOR((2*XLOOKUP($Q650,'Threshold Summary'!$Y:$Y,'Threshold Summary'!$L:$L,"")/5+2)*pow*atk/def)/50)+2)),modifier,stab*eff,FLOOR(base*modifier*0.85)),0)</f>
        <v/>
      </c>
      <c r="K650" s="3">
        <f>IFERROR(LET(mtype,XLOOKUP($D650,'Move Editor'!$B:$B,'Move Editor'!$C:$C,""),cat,XLOOKUP($D650,'Move Editor'!$B:$B,'Move Editor'!$D:$D,""),pow,XLOOKUP($D650,'Move Editor'!$B:$B,'Move Editor'!$E:$E,0),acc,XLOOKUP($D650,'Move Editor'!$B:$B,'Move Editor'!$F:$F,100),atk,IF(cat="Physical",FLOOR((FLOOR(((2*XLOOKUP(XLOOKUP($Q650,'Threshold Summary'!$Y:$Y,'Threshold Summary'!$K:$K,""),'Pokemon Editor'!$A:$A,'Pokemon Editor'!$F:$F,0)+31+FLOOR(XLOOKUP($Q650,'Threshold Summary'!$Y:$Y,'Threshold Summary'!$P:$P,"")/4))*XLOOKUP($Q650,'Threshold Summary'!$Y:$Y,'Threshold Summary'!$L:$L,""))/100)+5)*XLOOKUP(XLOOKUP($Q650,'Threshold Summary'!$Y:$Y,'Threshold Summary'!$M:$M,""),'Nature Editor'!$A:$A,'Nature Editor'!$B:$B,1)),FLOOR((FLOOR(((2*XLOOKUP(XLOOKUP($Q650,'Threshold Summary'!$Y:$Y,'Threshold Summary'!$K:$K,""),'Pokemon Editor'!$A:$A,'Pokemon Editor'!$H:$H,0)+31+FLOOR(XLOOKUP($Q650,'Threshold Summary'!$Y:$Y,'Threshold Summary'!$R:$R,"")/4))*XLOOKUP($Q650,'Threshold Summary'!$Y:$Y,'Threshold Summary'!$L:$L,""))/100)+5)*XLOOKUP(XLOOKUP($Q650,'Threshold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Editor'!$E:$E,1))),stab,IF(OR(mtype=XLOOKUP(XLOOKUP($Q650,'Threshold Summary'!$Y:$Y,'Threshold Summary'!$K:$K,""),'Pokemon Editor'!$A:$A,'Pokemon Editor'!$C:$C,""),mtype=XLOOKUP(XLOOKUP($Q650,'Threshold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Chart'!$B$1:$S$1,0)))),base,IF(OR(cat="Status",pow=0),0,FLOOR(FLOOR(FLOOR((2*XLOOKUP($Q650,'Threshold Summary'!$Y:$Y,'Threshold Summary'!$L:$L,"")/5+2)*pow*atk/def)/50)+2)),modifier,stab*eff,FLOOR(base*modifier)),0)</f>
        <v/>
      </c>
      <c r="L650" s="3">
        <f>IFERROR(LET(mtype,XLOOKUP($D650,'Move Editor'!$B:$B,'Move Editor'!$C:$C,""),cat,XLOOKUP($D650,'Move Editor'!$B:$B,'Move Editor'!$D:$D,""),pow,XLOOKUP($D650,'Move Editor'!$B:$B,'Move Editor'!$E:$E,0),acc,XLOOKUP($D650,'Move Editor'!$B:$B,'Move Editor'!$F:$F,100),atk,IF(cat="Physical",FLOOR((FLOOR(((2*XLOOKUP(XLOOKUP($Q650,'Threshold Summary'!$Y:$Y,'Threshold Summary'!$K:$K,""),'Pokemon Editor'!$A:$A,'Pokemon Editor'!$F:$F,0)+31+FLOOR(XLOOKUP($Q650,'Threshold Summary'!$Y:$Y,'Threshold Summary'!$P:$P,"")/4))*XLOOKUP($Q650,'Threshold Summary'!$Y:$Y,'Threshold Summary'!$L:$L,""))/100)+5)*XLOOKUP(XLOOKUP($Q650,'Threshold Summary'!$Y:$Y,'Threshold Summary'!$M:$M,""),'Nature Editor'!$A:$A,'Nature Editor'!$B:$B,1)),FLOOR((FLOOR(((2*XLOOKUP(XLOOKUP($Q650,'Threshold Summary'!$Y:$Y,'Threshold Summary'!$K:$K,""),'Pokemon Editor'!$A:$A,'Pokemon Editor'!$H:$H,0)+31+FLOOR(XLOOKUP($Q650,'Threshold Summary'!$Y:$Y,'Threshold Summary'!$R:$R,"")/4))*XLOOKUP($Q650,'Threshold Summary'!$Y:$Y,'Threshold Summary'!$L:$L,""))/100)+5)*XLOOKUP(XLOOKUP($Q650,'Threshold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Editor'!$E:$E,1))),stab,IF(OR(mtype=XLOOKUP(XLOOKUP($Q650,'Threshold Summary'!$Y:$Y,'Threshold Summary'!$K:$K,""),'Pokemon Editor'!$A:$A,'Pokemon Editor'!$C:$C,""),mtype=XLOOKUP(XLOOKUP($Q650,'Threshold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Chart'!$B$1:$S$1,0)))),base,IF(OR(cat="Status",pow=0),0,FLOOR(FLOOR(FLOOR((2*XLOOKUP($Q650,'Threshold Summary'!$Y:$Y,'Threshold Summary'!$L:$L,"")/5+2)*pow*atk/def)/50)+2)),modifier,stab*eff,AVERAGE(ARRAYFORMULA(FLOOR(base*modifier*SEQUENCE(16,1,85,1)/100)))),0)</f>
        <v/>
      </c>
      <c r="M650" s="3">
        <f>IFERROR(LET(mtype,XLOOKUP($D650,'Move Editor'!$B:$B,'Move Editor'!$C:$C,""),cat,XLOOKUP($D650,'Move Editor'!$B:$B,'Move Editor'!$D:$D,""),pow,XLOOKUP($D650,'Move Editor'!$B:$B,'Move Editor'!$E:$E,0),acc,XLOOKUP($D650,'Move Editor'!$B:$B,'Move Editor'!$F:$F,100),atk,IF(cat="Physical",FLOOR((FLOOR(((2*XLOOKUP(XLOOKUP($Q650,'Threshold Summary'!$Y:$Y,'Threshold Summary'!$K:$K,""),'Pokemon Editor'!$A:$A,'Pokemon Editor'!$F:$F,0)+31+FLOOR(XLOOKUP($Q650,'Threshold Summary'!$Y:$Y,'Threshold Summary'!$P:$P,"")/4))*XLOOKUP($Q650,'Threshold Summary'!$Y:$Y,'Threshold Summary'!$L:$L,""))/100)+5)*XLOOKUP(XLOOKUP($Q650,'Threshold Summary'!$Y:$Y,'Threshold Summary'!$M:$M,""),'Nature Editor'!$A:$A,'Nature Editor'!$B:$B,1)),FLOOR((FLOOR(((2*XLOOKUP(XLOOKUP($Q650,'Threshold Summary'!$Y:$Y,'Threshold Summary'!$K:$K,""),'Pokemon Editor'!$A:$A,'Pokemon Editor'!$H:$H,0)+31+FLOOR(XLOOKUP($Q650,'Threshold Summary'!$Y:$Y,'Threshold Summary'!$R:$R,"")/4))*XLOOKUP($Q650,'Threshold Summary'!$Y:$Y,'Threshold Summary'!$L:$L,""))/100)+5)*XLOOKUP(XLOOKUP($Q650,'Threshold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Editor'!$E:$E,1))),stab,IF(OR(mtype=XLOOKUP(XLOOKUP($Q650,'Threshold Summary'!$Y:$Y,'Threshold Summary'!$K:$K,""),'Pokemon Editor'!$A:$A,'Pokemon Editor'!$C:$C,""),mtype=XLOOKUP(XLOOKUP($Q650,'Threshold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Chart'!$B$1:$S$1,0)))),base,IF(OR(cat="Status",pow=0),0,FLOOR(FLOOR(FLOOR((2*XLOOKUP($Q650,'Threshold Summary'!$Y:$Y,'Threshold Summary'!$L:$L,"")/5+2)*pow*atk/def)/50)+2)),modifier,stab*eff,AVERAGE(ARRAYFORMULA(FLOOR(base*modifier*SEQUENCE(16,1,85,1)/100)))*MIN(1,acc/100)),0)</f>
        <v/>
      </c>
      <c r="N650" s="4">
        <f>IFERROR(LET(mtype,XLOOKUP($D650,'Move Editor'!$B:$B,'Move Editor'!$C:$C,""),cat,XLOOKUP($D650,'Move Editor'!$B:$B,'Move Editor'!$D:$D,""),pow,XLOOKUP($D650,'Move Editor'!$B:$B,'Move Editor'!$E:$E,0),acc,XLOOKUP($D650,'Move Editor'!$B:$B,'Move Editor'!$F:$F,100),atk,IF(cat="Physical",FLOOR((FLOOR(((2*XLOOKUP(XLOOKUP($Q650,'Threshold Summary'!$Y:$Y,'Threshold Summary'!$K:$K,""),'Pokemon Editor'!$A:$A,'Pokemon Editor'!$F:$F,0)+31+FLOOR(XLOOKUP($Q650,'Threshold Summary'!$Y:$Y,'Threshold Summary'!$P:$P,"")/4))*XLOOKUP($Q650,'Threshold Summary'!$Y:$Y,'Threshold Summary'!$L:$L,""))/100)+5)*XLOOKUP(XLOOKUP($Q650,'Threshold Summary'!$Y:$Y,'Threshold Summary'!$M:$M,""),'Nature Editor'!$A:$A,'Nature Editor'!$B:$B,1)),FLOOR((FLOOR(((2*XLOOKUP(XLOOKUP($Q650,'Threshold Summary'!$Y:$Y,'Threshold Summary'!$K:$K,""),'Pokemon Editor'!$A:$A,'Pokemon Editor'!$H:$H,0)+31+FLOOR(XLOOKUP($Q650,'Threshold Summary'!$Y:$Y,'Threshold Summary'!$R:$R,"")/4))*XLOOKUP($Q650,'Threshold Summary'!$Y:$Y,'Threshold Summary'!$L:$L,""))/100)+5)*XLOOKUP(XLOOKUP($Q650,'Threshold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Editor'!$E:$E,1))),stab,IF(OR(mtype=XLOOKUP(XLOOKUP($Q650,'Threshold Summary'!$Y:$Y,'Threshold Summary'!$K:$K,""),'Pokemon Editor'!$A:$A,'Pokemon Editor'!$C:$C,""),mtype=XLOOKUP(XLOOKUP($Q650,'Threshold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Chart'!$B$1:$S$1,0)))),base,IF(OR(cat="Status",pow=0),0,FLOOR(FLOOR(FLOOR((2*XLOOKUP($Q650,'Threshold Summary'!$Y:$Y,'Threshold Summary'!$L:$L,"")/5+2)*pow*atk/def)/50)+2)),modifier,stab*eff,AVERAGE(ARRAYFORMULA(FLOOR(base*modifier*SEQUENCE(16,1,85,1)/100)))/(FLOOR(((2*XLOOKUP('Boss Editor'!$C$4,'Pokemon Editor'!$A:$A,'Pokemon Editor'!$E:$E,0)+31+FLOOR('Boss Editor'!$G$4/4))*'Boss Editor'!$D$4)/100)+'Boss Editor'!$D$4+10)),0)</f>
        <v/>
      </c>
      <c r="O650" s="3">
        <f>IF(N650&gt;=1,"OHKO",IF(N650&gt;=0.5,"2HKO",IF(N650&gt;=0.333,"3HKO",IF(N650&gt;=0.25,"4HKO","5HKO+"))))</f>
        <v/>
      </c>
      <c r="P650" s="3" t="inlineStr">
        <is>
          <t>Live from editable databases</t>
        </is>
      </c>
      <c r="Q650" s="3" t="inlineStr">
        <is>
          <t>SPECIES_PANCHAM</t>
        </is>
      </c>
      <c r="R650" s="3" t="n">
        <v>9</v>
      </c>
    </row>
    <row r="651">
      <c r="A651" s="3">
        <f>XLOOKUP($Q651,'Threshold Summary'!$Y:$Y,'Threshold Summary'!$A:$A,"")</f>
        <v/>
      </c>
      <c r="B651" s="3">
        <f>XLOOKUP($Q651,'Threshold Summary'!$Y:$Y,'Threshold Summary'!$M:$M,"")</f>
        <v/>
      </c>
      <c r="C651" s="3">
        <f>XLOOKUP($Q651,'Threshold Summary'!$Y:$Y,'Threshold Summary'!$N:$N,"")</f>
        <v/>
      </c>
      <c r="D651" s="3">
        <f>IFERROR(INDEX(FILTER('Learnset Editor'!$D$2:$D,'Learnset Editor'!$A$2:$A=XLOOKUP($Q651,'Threshold Summary'!$Y:$Y,'Threshold Summary'!$K:$K,""),'Learnset Editor'!$C$2:$C&lt;=XLOOKUP($Q651,'Threshold Summary'!$Y:$Y,'Threshold Summary'!$L:$L,"")),$R651),"")</f>
        <v/>
      </c>
      <c r="E651" s="3">
        <f>XLOOKUP(D651,'Move Editor'!$B:$B,'Move Editor'!$C:$C,"")</f>
        <v/>
      </c>
      <c r="F651" s="3">
        <f>XLOOKUP(D651,'Move Editor'!$B:$B,'Move Editor'!$D:$D,"")</f>
        <v/>
      </c>
      <c r="G651" s="3">
        <f>XLOOKUP(D651,'Move Editor'!$B:$B,'Move Editor'!$E:$E,0)</f>
        <v/>
      </c>
      <c r="H651" s="3">
        <f>XLOOKUP(D651,'Move Editor'!$B:$B,'Move Editor'!$F:$F,0)</f>
        <v/>
      </c>
      <c r="I651" s="3">
        <f>(INDEX('Type Chart'!$B:$S,MATCH(E651,'Type Chart'!$A:$A,0),MATCH(XLOOKUP('Boss Editor'!$C$4,'Pokemon Editor'!$A:$A,'Pokemon Editor'!$C:$C,""),'Type Chart'!$B$1:$S$1,0))*IF(XLOOKUP('Boss Editor'!$C$4,'Pokemon Editor'!$A:$A,'Pokemon Editor'!$D:$D,"")="",1,INDEX('Type Chart'!$B:$S,MATCH(E651,'Type Chart'!$A:$A,0),MATCH(XLOOKUP('Boss Editor'!$C$4,'Pokemon Editor'!$A:$A,'Pokemon Editor'!$D:$D,""),'Type Chart'!$B$1:$S$1,0))))</f>
        <v/>
      </c>
      <c r="J651" s="3">
        <f>IFERROR(LET(mtype,XLOOKUP($D651,'Move Editor'!$B:$B,'Move Editor'!$C:$C,""),cat,XLOOKUP($D651,'Move Editor'!$B:$B,'Move Editor'!$D:$D,""),pow,XLOOKUP($D651,'Move Editor'!$B:$B,'Move Editor'!$E:$E,0),acc,XLOOKUP($D651,'Move Editor'!$B:$B,'Move Editor'!$F:$F,100),atk,IF(cat="Physical",FLOOR((FLOOR(((2*XLOOKUP(XLOOKUP($Q651,'Threshold Summary'!$Y:$Y,'Threshold Summary'!$K:$K,""),'Pokemon Editor'!$A:$A,'Pokemon Editor'!$F:$F,0)+31+FLOOR(XLOOKUP($Q651,'Threshold Summary'!$Y:$Y,'Threshold Summary'!$P:$P,"")/4))*XLOOKUP($Q651,'Threshold Summary'!$Y:$Y,'Threshold Summary'!$L:$L,""))/100)+5)*XLOOKUP(XLOOKUP($Q651,'Threshold Summary'!$Y:$Y,'Threshold Summary'!$M:$M,""),'Nature Editor'!$A:$A,'Nature Editor'!$B:$B,1)),FLOOR((FLOOR(((2*XLOOKUP(XLOOKUP($Q651,'Threshold Summary'!$Y:$Y,'Threshold Summary'!$K:$K,""),'Pokemon Editor'!$A:$A,'Pokemon Editor'!$H:$H,0)+31+FLOOR(XLOOKUP($Q651,'Threshold Summary'!$Y:$Y,'Threshold Summary'!$R:$R,"")/4))*XLOOKUP($Q651,'Threshold Summary'!$Y:$Y,'Threshold Summary'!$L:$L,""))/100)+5)*XLOOKUP(XLOOKUP($Q651,'Threshold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Editor'!$E:$E,1))),stab,IF(OR(mtype=XLOOKUP(XLOOKUP($Q651,'Threshold Summary'!$Y:$Y,'Threshold Summary'!$K:$K,""),'Pokemon Editor'!$A:$A,'Pokemon Editor'!$C:$C,""),mtype=XLOOKUP(XLOOKUP($Q651,'Threshold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Chart'!$B$1:$S$1,0)))),base,IF(OR(cat="Status",pow=0),0,FLOOR(FLOOR(FLOOR((2*XLOOKUP($Q651,'Threshold Summary'!$Y:$Y,'Threshold Summary'!$L:$L,"")/5+2)*pow*atk/def)/50)+2)),modifier,stab*eff,FLOOR(base*modifier*0.85)),0)</f>
        <v/>
      </c>
      <c r="K651" s="3">
        <f>IFERROR(LET(mtype,XLOOKUP($D651,'Move Editor'!$B:$B,'Move Editor'!$C:$C,""),cat,XLOOKUP($D651,'Move Editor'!$B:$B,'Move Editor'!$D:$D,""),pow,XLOOKUP($D651,'Move Editor'!$B:$B,'Move Editor'!$E:$E,0),acc,XLOOKUP($D651,'Move Editor'!$B:$B,'Move Editor'!$F:$F,100),atk,IF(cat="Physical",FLOOR((FLOOR(((2*XLOOKUP(XLOOKUP($Q651,'Threshold Summary'!$Y:$Y,'Threshold Summary'!$K:$K,""),'Pokemon Editor'!$A:$A,'Pokemon Editor'!$F:$F,0)+31+FLOOR(XLOOKUP($Q651,'Threshold Summary'!$Y:$Y,'Threshold Summary'!$P:$P,"")/4))*XLOOKUP($Q651,'Threshold Summary'!$Y:$Y,'Threshold Summary'!$L:$L,""))/100)+5)*XLOOKUP(XLOOKUP($Q651,'Threshold Summary'!$Y:$Y,'Threshold Summary'!$M:$M,""),'Nature Editor'!$A:$A,'Nature Editor'!$B:$B,1)),FLOOR((FLOOR(((2*XLOOKUP(XLOOKUP($Q651,'Threshold Summary'!$Y:$Y,'Threshold Summary'!$K:$K,""),'Pokemon Editor'!$A:$A,'Pokemon Editor'!$H:$H,0)+31+FLOOR(XLOOKUP($Q651,'Threshold Summary'!$Y:$Y,'Threshold Summary'!$R:$R,"")/4))*XLOOKUP($Q651,'Threshold Summary'!$Y:$Y,'Threshold Summary'!$L:$L,""))/100)+5)*XLOOKUP(XLOOKUP($Q651,'Threshold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Editor'!$E:$E,1))),stab,IF(OR(mtype=XLOOKUP(XLOOKUP($Q651,'Threshold Summary'!$Y:$Y,'Threshold Summary'!$K:$K,""),'Pokemon Editor'!$A:$A,'Pokemon Editor'!$C:$C,""),mtype=XLOOKUP(XLOOKUP($Q651,'Threshold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Chart'!$B$1:$S$1,0)))),base,IF(OR(cat="Status",pow=0),0,FLOOR(FLOOR(FLOOR((2*XLOOKUP($Q651,'Threshold Summary'!$Y:$Y,'Threshold Summary'!$L:$L,"")/5+2)*pow*atk/def)/50)+2)),modifier,stab*eff,FLOOR(base*modifier)),0)</f>
        <v/>
      </c>
      <c r="L651" s="3">
        <f>IFERROR(LET(mtype,XLOOKUP($D651,'Move Editor'!$B:$B,'Move Editor'!$C:$C,""),cat,XLOOKUP($D651,'Move Editor'!$B:$B,'Move Editor'!$D:$D,""),pow,XLOOKUP($D651,'Move Editor'!$B:$B,'Move Editor'!$E:$E,0),acc,XLOOKUP($D651,'Move Editor'!$B:$B,'Move Editor'!$F:$F,100),atk,IF(cat="Physical",FLOOR((FLOOR(((2*XLOOKUP(XLOOKUP($Q651,'Threshold Summary'!$Y:$Y,'Threshold Summary'!$K:$K,""),'Pokemon Editor'!$A:$A,'Pokemon Editor'!$F:$F,0)+31+FLOOR(XLOOKUP($Q651,'Threshold Summary'!$Y:$Y,'Threshold Summary'!$P:$P,"")/4))*XLOOKUP($Q651,'Threshold Summary'!$Y:$Y,'Threshold Summary'!$L:$L,""))/100)+5)*XLOOKUP(XLOOKUP($Q651,'Threshold Summary'!$Y:$Y,'Threshold Summary'!$M:$M,""),'Nature Editor'!$A:$A,'Nature Editor'!$B:$B,1)),FLOOR((FLOOR(((2*XLOOKUP(XLOOKUP($Q651,'Threshold Summary'!$Y:$Y,'Threshold Summary'!$K:$K,""),'Pokemon Editor'!$A:$A,'Pokemon Editor'!$H:$H,0)+31+FLOOR(XLOOKUP($Q651,'Threshold Summary'!$Y:$Y,'Threshold Summary'!$R:$R,"")/4))*XLOOKUP($Q651,'Threshold Summary'!$Y:$Y,'Threshold Summary'!$L:$L,""))/100)+5)*XLOOKUP(XLOOKUP($Q651,'Threshold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Editor'!$E:$E,1))),stab,IF(OR(mtype=XLOOKUP(XLOOKUP($Q651,'Threshold Summary'!$Y:$Y,'Threshold Summary'!$K:$K,""),'Pokemon Editor'!$A:$A,'Pokemon Editor'!$C:$C,""),mtype=XLOOKUP(XLOOKUP($Q651,'Threshold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Chart'!$B$1:$S$1,0)))),base,IF(OR(cat="Status",pow=0),0,FLOOR(FLOOR(FLOOR((2*XLOOKUP($Q651,'Threshold Summary'!$Y:$Y,'Threshold Summary'!$L:$L,"")/5+2)*pow*atk/def)/50)+2)),modifier,stab*eff,AVERAGE(ARRAYFORMULA(FLOOR(base*modifier*SEQUENCE(16,1,85,1)/100)))),0)</f>
        <v/>
      </c>
      <c r="M651" s="3">
        <f>IFERROR(LET(mtype,XLOOKUP($D651,'Move Editor'!$B:$B,'Move Editor'!$C:$C,""),cat,XLOOKUP($D651,'Move Editor'!$B:$B,'Move Editor'!$D:$D,""),pow,XLOOKUP($D651,'Move Editor'!$B:$B,'Move Editor'!$E:$E,0),acc,XLOOKUP($D651,'Move Editor'!$B:$B,'Move Editor'!$F:$F,100),atk,IF(cat="Physical",FLOOR((FLOOR(((2*XLOOKUP(XLOOKUP($Q651,'Threshold Summary'!$Y:$Y,'Threshold Summary'!$K:$K,""),'Pokemon Editor'!$A:$A,'Pokemon Editor'!$F:$F,0)+31+FLOOR(XLOOKUP($Q651,'Threshold Summary'!$Y:$Y,'Threshold Summary'!$P:$P,"")/4))*XLOOKUP($Q651,'Threshold Summary'!$Y:$Y,'Threshold Summary'!$L:$L,""))/100)+5)*XLOOKUP(XLOOKUP($Q651,'Threshold Summary'!$Y:$Y,'Threshold Summary'!$M:$M,""),'Nature Editor'!$A:$A,'Nature Editor'!$B:$B,1)),FLOOR((FLOOR(((2*XLOOKUP(XLOOKUP($Q651,'Threshold Summary'!$Y:$Y,'Threshold Summary'!$K:$K,""),'Pokemon Editor'!$A:$A,'Pokemon Editor'!$H:$H,0)+31+FLOOR(XLOOKUP($Q651,'Threshold Summary'!$Y:$Y,'Threshold Summary'!$R:$R,"")/4))*XLOOKUP($Q651,'Threshold Summary'!$Y:$Y,'Threshold Summary'!$L:$L,""))/100)+5)*XLOOKUP(XLOOKUP($Q651,'Threshold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Editor'!$E:$E,1))),stab,IF(OR(mtype=XLOOKUP(XLOOKUP($Q651,'Threshold Summary'!$Y:$Y,'Threshold Summary'!$K:$K,""),'Pokemon Editor'!$A:$A,'Pokemon Editor'!$C:$C,""),mtype=XLOOKUP(XLOOKUP($Q651,'Threshold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Chart'!$B$1:$S$1,0)))),base,IF(OR(cat="Status",pow=0),0,FLOOR(FLOOR(FLOOR((2*XLOOKUP($Q651,'Threshold Summary'!$Y:$Y,'Threshold Summary'!$L:$L,"")/5+2)*pow*atk/def)/50)+2)),modifier,stab*eff,AVERAGE(ARRAYFORMULA(FLOOR(base*modifier*SEQUENCE(16,1,85,1)/100)))*MIN(1,acc/100)),0)</f>
        <v/>
      </c>
      <c r="N651" s="4">
        <f>IFERROR(LET(mtype,XLOOKUP($D651,'Move Editor'!$B:$B,'Move Editor'!$C:$C,""),cat,XLOOKUP($D651,'Move Editor'!$B:$B,'Move Editor'!$D:$D,""),pow,XLOOKUP($D651,'Move Editor'!$B:$B,'Move Editor'!$E:$E,0),acc,XLOOKUP($D651,'Move Editor'!$B:$B,'Move Editor'!$F:$F,100),atk,IF(cat="Physical",FLOOR((FLOOR(((2*XLOOKUP(XLOOKUP($Q651,'Threshold Summary'!$Y:$Y,'Threshold Summary'!$K:$K,""),'Pokemon Editor'!$A:$A,'Pokemon Editor'!$F:$F,0)+31+FLOOR(XLOOKUP($Q651,'Threshold Summary'!$Y:$Y,'Threshold Summary'!$P:$P,"")/4))*XLOOKUP($Q651,'Threshold Summary'!$Y:$Y,'Threshold Summary'!$L:$L,""))/100)+5)*XLOOKUP(XLOOKUP($Q651,'Threshold Summary'!$Y:$Y,'Threshold Summary'!$M:$M,""),'Nature Editor'!$A:$A,'Nature Editor'!$B:$B,1)),FLOOR((FLOOR(((2*XLOOKUP(XLOOKUP($Q651,'Threshold Summary'!$Y:$Y,'Threshold Summary'!$K:$K,""),'Pokemon Editor'!$A:$A,'Pokemon Editor'!$H:$H,0)+31+FLOOR(XLOOKUP($Q651,'Threshold Summary'!$Y:$Y,'Threshold Summary'!$R:$R,"")/4))*XLOOKUP($Q651,'Threshold Summary'!$Y:$Y,'Threshold Summary'!$L:$L,""))/100)+5)*XLOOKUP(XLOOKUP($Q651,'Threshold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Editor'!$E:$E,1))),stab,IF(OR(mtype=XLOOKUP(XLOOKUP($Q651,'Threshold Summary'!$Y:$Y,'Threshold Summary'!$K:$K,""),'Pokemon Editor'!$A:$A,'Pokemon Editor'!$C:$C,""),mtype=XLOOKUP(XLOOKUP($Q651,'Threshold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Chart'!$B$1:$S$1,0)))),base,IF(OR(cat="Status",pow=0),0,FLOOR(FLOOR(FLOOR((2*XLOOKUP($Q651,'Threshold Summary'!$Y:$Y,'Threshold Summary'!$L:$L,"")/5+2)*pow*atk/def)/50)+2)),modifier,stab*eff,AVERAGE(ARRAYFORMULA(FLOOR(base*modifier*SEQUENCE(16,1,85,1)/100)))/(FLOOR(((2*XLOOKUP('Boss Editor'!$C$4,'Pokemon Editor'!$A:$A,'Pokemon Editor'!$E:$E,0)+31+FLOOR('Boss Editor'!$G$4/4))*'Boss Editor'!$D$4)/100)+'Boss Editor'!$D$4+10)),0)</f>
        <v/>
      </c>
      <c r="O651" s="3">
        <f>IF(N651&gt;=1,"OHKO",IF(N651&gt;=0.5,"2HKO",IF(N651&gt;=0.333,"3HKO",IF(N651&gt;=0.25,"4HKO","5HKO+"))))</f>
        <v/>
      </c>
      <c r="P651" s="3" t="inlineStr">
        <is>
          <t>Live from editable databases</t>
        </is>
      </c>
      <c r="Q651" s="3" t="inlineStr">
        <is>
          <t>SPECIES_PANCHAM</t>
        </is>
      </c>
      <c r="R651" s="3" t="n">
        <v>10</v>
      </c>
    </row>
    <row r="652">
      <c r="A652" s="3">
        <f>XLOOKUP($Q652,'Threshold Summary'!$Y:$Y,'Threshold Summary'!$A:$A,"")</f>
        <v/>
      </c>
      <c r="B652" s="3">
        <f>XLOOKUP($Q652,'Threshold Summary'!$Y:$Y,'Threshold Summary'!$M:$M,"")</f>
        <v/>
      </c>
      <c r="C652" s="3">
        <f>XLOOKUP($Q652,'Threshold Summary'!$Y:$Y,'Threshold Summary'!$N:$N,"")</f>
        <v/>
      </c>
      <c r="D652" s="3">
        <f>IFERROR(INDEX(FILTER('Learnset Editor'!$D$2:$D,'Learnset Editor'!$A$2:$A=XLOOKUP($Q652,'Threshold Summary'!$Y:$Y,'Threshold Summary'!$K:$K,""),'Learnset Editor'!$C$2:$C&lt;=XLOOKUP($Q652,'Threshold Summary'!$Y:$Y,'Threshold Summary'!$L:$L,"")),$R652),"")</f>
        <v/>
      </c>
      <c r="E652" s="3">
        <f>XLOOKUP(D652,'Move Editor'!$B:$B,'Move Editor'!$C:$C,"")</f>
        <v/>
      </c>
      <c r="F652" s="3">
        <f>XLOOKUP(D652,'Move Editor'!$B:$B,'Move Editor'!$D:$D,"")</f>
        <v/>
      </c>
      <c r="G652" s="3">
        <f>XLOOKUP(D652,'Move Editor'!$B:$B,'Move Editor'!$E:$E,0)</f>
        <v/>
      </c>
      <c r="H652" s="3">
        <f>XLOOKUP(D652,'Move Editor'!$B:$B,'Move Editor'!$F:$F,0)</f>
        <v/>
      </c>
      <c r="I652" s="3">
        <f>(INDEX('Type Chart'!$B:$S,MATCH(E652,'Type Chart'!$A:$A,0),MATCH(XLOOKUP('Boss Editor'!$C$4,'Pokemon Editor'!$A:$A,'Pokemon Editor'!$C:$C,""),'Type Chart'!$B$1:$S$1,0))*IF(XLOOKUP('Boss Editor'!$C$4,'Pokemon Editor'!$A:$A,'Pokemon Editor'!$D:$D,"")="",1,INDEX('Type Chart'!$B:$S,MATCH(E652,'Type Chart'!$A:$A,0),MATCH(XLOOKUP('Boss Editor'!$C$4,'Pokemon Editor'!$A:$A,'Pokemon Editor'!$D:$D,""),'Type Chart'!$B$1:$S$1,0))))</f>
        <v/>
      </c>
      <c r="J652" s="3">
        <f>IFERROR(LET(mtype,XLOOKUP($D652,'Move Editor'!$B:$B,'Move Editor'!$C:$C,""),cat,XLOOKUP($D652,'Move Editor'!$B:$B,'Move Editor'!$D:$D,""),pow,XLOOKUP($D652,'Move Editor'!$B:$B,'Move Editor'!$E:$E,0),acc,XLOOKUP($D652,'Move Editor'!$B:$B,'Move Editor'!$F:$F,100),atk,IF(cat="Physical",FLOOR((FLOOR(((2*XLOOKUP(XLOOKUP($Q652,'Threshold Summary'!$Y:$Y,'Threshold Summary'!$K:$K,""),'Pokemon Editor'!$A:$A,'Pokemon Editor'!$F:$F,0)+31+FLOOR(XLOOKUP($Q652,'Threshold Summary'!$Y:$Y,'Threshold Summary'!$P:$P,"")/4))*XLOOKUP($Q652,'Threshold Summary'!$Y:$Y,'Threshold Summary'!$L:$L,""))/100)+5)*XLOOKUP(XLOOKUP($Q652,'Threshold Summary'!$Y:$Y,'Threshold Summary'!$M:$M,""),'Nature Editor'!$A:$A,'Nature Editor'!$B:$B,1)),FLOOR((FLOOR(((2*XLOOKUP(XLOOKUP($Q652,'Threshold Summary'!$Y:$Y,'Threshold Summary'!$K:$K,""),'Pokemon Editor'!$A:$A,'Pokemon Editor'!$H:$H,0)+31+FLOOR(XLOOKUP($Q652,'Threshold Summary'!$Y:$Y,'Threshold Summary'!$R:$R,"")/4))*XLOOKUP($Q652,'Threshold Summary'!$Y:$Y,'Threshold Summary'!$L:$L,""))/100)+5)*XLOOKUP(XLOOKUP($Q652,'Threshold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Editor'!$E:$E,1))),stab,IF(OR(mtype=XLOOKUP(XLOOKUP($Q652,'Threshold Summary'!$Y:$Y,'Threshold Summary'!$K:$K,""),'Pokemon Editor'!$A:$A,'Pokemon Editor'!$C:$C,""),mtype=XLOOKUP(XLOOKUP($Q652,'Threshold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Chart'!$B$1:$S$1,0)))),base,IF(OR(cat="Status",pow=0),0,FLOOR(FLOOR(FLOOR((2*XLOOKUP($Q652,'Threshold Summary'!$Y:$Y,'Threshold Summary'!$L:$L,"")/5+2)*pow*atk/def)/50)+2)),modifier,stab*eff,FLOOR(base*modifier*0.85)),0)</f>
        <v/>
      </c>
      <c r="K652" s="3">
        <f>IFERROR(LET(mtype,XLOOKUP($D652,'Move Editor'!$B:$B,'Move Editor'!$C:$C,""),cat,XLOOKUP($D652,'Move Editor'!$B:$B,'Move Editor'!$D:$D,""),pow,XLOOKUP($D652,'Move Editor'!$B:$B,'Move Editor'!$E:$E,0),acc,XLOOKUP($D652,'Move Editor'!$B:$B,'Move Editor'!$F:$F,100),atk,IF(cat="Physical",FLOOR((FLOOR(((2*XLOOKUP(XLOOKUP($Q652,'Threshold Summary'!$Y:$Y,'Threshold Summary'!$K:$K,""),'Pokemon Editor'!$A:$A,'Pokemon Editor'!$F:$F,0)+31+FLOOR(XLOOKUP($Q652,'Threshold Summary'!$Y:$Y,'Threshold Summary'!$P:$P,"")/4))*XLOOKUP($Q652,'Threshold Summary'!$Y:$Y,'Threshold Summary'!$L:$L,""))/100)+5)*XLOOKUP(XLOOKUP($Q652,'Threshold Summary'!$Y:$Y,'Threshold Summary'!$M:$M,""),'Nature Editor'!$A:$A,'Nature Editor'!$B:$B,1)),FLOOR((FLOOR(((2*XLOOKUP(XLOOKUP($Q652,'Threshold Summary'!$Y:$Y,'Threshold Summary'!$K:$K,""),'Pokemon Editor'!$A:$A,'Pokemon Editor'!$H:$H,0)+31+FLOOR(XLOOKUP($Q652,'Threshold Summary'!$Y:$Y,'Threshold Summary'!$R:$R,"")/4))*XLOOKUP($Q652,'Threshold Summary'!$Y:$Y,'Threshold Summary'!$L:$L,""))/100)+5)*XLOOKUP(XLOOKUP($Q652,'Threshold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Editor'!$E:$E,1))),stab,IF(OR(mtype=XLOOKUP(XLOOKUP($Q652,'Threshold Summary'!$Y:$Y,'Threshold Summary'!$K:$K,""),'Pokemon Editor'!$A:$A,'Pokemon Editor'!$C:$C,""),mtype=XLOOKUP(XLOOKUP($Q652,'Threshold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Chart'!$B$1:$S$1,0)))),base,IF(OR(cat="Status",pow=0),0,FLOOR(FLOOR(FLOOR((2*XLOOKUP($Q652,'Threshold Summary'!$Y:$Y,'Threshold Summary'!$L:$L,"")/5+2)*pow*atk/def)/50)+2)),modifier,stab*eff,FLOOR(base*modifier)),0)</f>
        <v/>
      </c>
      <c r="L652" s="3">
        <f>IFERROR(LET(mtype,XLOOKUP($D652,'Move Editor'!$B:$B,'Move Editor'!$C:$C,""),cat,XLOOKUP($D652,'Move Editor'!$B:$B,'Move Editor'!$D:$D,""),pow,XLOOKUP($D652,'Move Editor'!$B:$B,'Move Editor'!$E:$E,0),acc,XLOOKUP($D652,'Move Editor'!$B:$B,'Move Editor'!$F:$F,100),atk,IF(cat="Physical",FLOOR((FLOOR(((2*XLOOKUP(XLOOKUP($Q652,'Threshold Summary'!$Y:$Y,'Threshold Summary'!$K:$K,""),'Pokemon Editor'!$A:$A,'Pokemon Editor'!$F:$F,0)+31+FLOOR(XLOOKUP($Q652,'Threshold Summary'!$Y:$Y,'Threshold Summary'!$P:$P,"")/4))*XLOOKUP($Q652,'Threshold Summary'!$Y:$Y,'Threshold Summary'!$L:$L,""))/100)+5)*XLOOKUP(XLOOKUP($Q652,'Threshold Summary'!$Y:$Y,'Threshold Summary'!$M:$M,""),'Nature Editor'!$A:$A,'Nature Editor'!$B:$B,1)),FLOOR((FLOOR(((2*XLOOKUP(XLOOKUP($Q652,'Threshold Summary'!$Y:$Y,'Threshold Summary'!$K:$K,""),'Pokemon Editor'!$A:$A,'Pokemon Editor'!$H:$H,0)+31+FLOOR(XLOOKUP($Q652,'Threshold Summary'!$Y:$Y,'Threshold Summary'!$R:$R,"")/4))*XLOOKUP($Q652,'Threshold Summary'!$Y:$Y,'Threshold Summary'!$L:$L,""))/100)+5)*XLOOKUP(XLOOKUP($Q652,'Threshold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Editor'!$E:$E,1))),stab,IF(OR(mtype=XLOOKUP(XLOOKUP($Q652,'Threshold Summary'!$Y:$Y,'Threshold Summary'!$K:$K,""),'Pokemon Editor'!$A:$A,'Pokemon Editor'!$C:$C,""),mtype=XLOOKUP(XLOOKUP($Q652,'Threshold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Chart'!$B$1:$S$1,0)))),base,IF(OR(cat="Status",pow=0),0,FLOOR(FLOOR(FLOOR((2*XLOOKUP($Q652,'Threshold Summary'!$Y:$Y,'Threshold Summary'!$L:$L,"")/5+2)*pow*atk/def)/50)+2)),modifier,stab*eff,AVERAGE(ARRAYFORMULA(FLOOR(base*modifier*SEQUENCE(16,1,85,1)/100)))),0)</f>
        <v/>
      </c>
      <c r="M652" s="3">
        <f>IFERROR(LET(mtype,XLOOKUP($D652,'Move Editor'!$B:$B,'Move Editor'!$C:$C,""),cat,XLOOKUP($D652,'Move Editor'!$B:$B,'Move Editor'!$D:$D,""),pow,XLOOKUP($D652,'Move Editor'!$B:$B,'Move Editor'!$E:$E,0),acc,XLOOKUP($D652,'Move Editor'!$B:$B,'Move Editor'!$F:$F,100),atk,IF(cat="Physical",FLOOR((FLOOR(((2*XLOOKUP(XLOOKUP($Q652,'Threshold Summary'!$Y:$Y,'Threshold Summary'!$K:$K,""),'Pokemon Editor'!$A:$A,'Pokemon Editor'!$F:$F,0)+31+FLOOR(XLOOKUP($Q652,'Threshold Summary'!$Y:$Y,'Threshold Summary'!$P:$P,"")/4))*XLOOKUP($Q652,'Threshold Summary'!$Y:$Y,'Threshold Summary'!$L:$L,""))/100)+5)*XLOOKUP(XLOOKUP($Q652,'Threshold Summary'!$Y:$Y,'Threshold Summary'!$M:$M,""),'Nature Editor'!$A:$A,'Nature Editor'!$B:$B,1)),FLOOR((FLOOR(((2*XLOOKUP(XLOOKUP($Q652,'Threshold Summary'!$Y:$Y,'Threshold Summary'!$K:$K,""),'Pokemon Editor'!$A:$A,'Pokemon Editor'!$H:$H,0)+31+FLOOR(XLOOKUP($Q652,'Threshold Summary'!$Y:$Y,'Threshold Summary'!$R:$R,"")/4))*XLOOKUP($Q652,'Threshold Summary'!$Y:$Y,'Threshold Summary'!$L:$L,""))/100)+5)*XLOOKUP(XLOOKUP($Q652,'Threshold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Editor'!$E:$E,1))),stab,IF(OR(mtype=XLOOKUP(XLOOKUP($Q652,'Threshold Summary'!$Y:$Y,'Threshold Summary'!$K:$K,""),'Pokemon Editor'!$A:$A,'Pokemon Editor'!$C:$C,""),mtype=XLOOKUP(XLOOKUP($Q652,'Threshold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Chart'!$B$1:$S$1,0)))),base,IF(OR(cat="Status",pow=0),0,FLOOR(FLOOR(FLOOR((2*XLOOKUP($Q652,'Threshold Summary'!$Y:$Y,'Threshold Summary'!$L:$L,"")/5+2)*pow*atk/def)/50)+2)),modifier,stab*eff,AVERAGE(ARRAYFORMULA(FLOOR(base*modifier*SEQUENCE(16,1,85,1)/100)))*MIN(1,acc/100)),0)</f>
        <v/>
      </c>
      <c r="N652" s="4">
        <f>IFERROR(LET(mtype,XLOOKUP($D652,'Move Editor'!$B:$B,'Move Editor'!$C:$C,""),cat,XLOOKUP($D652,'Move Editor'!$B:$B,'Move Editor'!$D:$D,""),pow,XLOOKUP($D652,'Move Editor'!$B:$B,'Move Editor'!$E:$E,0),acc,XLOOKUP($D652,'Move Editor'!$B:$B,'Move Editor'!$F:$F,100),atk,IF(cat="Physical",FLOOR((FLOOR(((2*XLOOKUP(XLOOKUP($Q652,'Threshold Summary'!$Y:$Y,'Threshold Summary'!$K:$K,""),'Pokemon Editor'!$A:$A,'Pokemon Editor'!$F:$F,0)+31+FLOOR(XLOOKUP($Q652,'Threshold Summary'!$Y:$Y,'Threshold Summary'!$P:$P,"")/4))*XLOOKUP($Q652,'Threshold Summary'!$Y:$Y,'Threshold Summary'!$L:$L,""))/100)+5)*XLOOKUP(XLOOKUP($Q652,'Threshold Summary'!$Y:$Y,'Threshold Summary'!$M:$M,""),'Nature Editor'!$A:$A,'Nature Editor'!$B:$B,1)),FLOOR((FLOOR(((2*XLOOKUP(XLOOKUP($Q652,'Threshold Summary'!$Y:$Y,'Threshold Summary'!$K:$K,""),'Pokemon Editor'!$A:$A,'Pokemon Editor'!$H:$H,0)+31+FLOOR(XLOOKUP($Q652,'Threshold Summary'!$Y:$Y,'Threshold Summary'!$R:$R,"")/4))*XLOOKUP($Q652,'Threshold Summary'!$Y:$Y,'Threshold Summary'!$L:$L,""))/100)+5)*XLOOKUP(XLOOKUP($Q652,'Threshold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Editor'!$E:$E,1))),stab,IF(OR(mtype=XLOOKUP(XLOOKUP($Q652,'Threshold Summary'!$Y:$Y,'Threshold Summary'!$K:$K,""),'Pokemon Editor'!$A:$A,'Pokemon Editor'!$C:$C,""),mtype=XLOOKUP(XLOOKUP($Q652,'Threshold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Chart'!$B$1:$S$1,0)))),base,IF(OR(cat="Status",pow=0),0,FLOOR(FLOOR(FLOOR((2*XLOOKUP($Q652,'Threshold Summary'!$Y:$Y,'Threshold Summary'!$L:$L,"")/5+2)*pow*atk/def)/50)+2)),modifier,stab*eff,AVERAGE(ARRAYFORMULA(FLOOR(base*modifier*SEQUENCE(16,1,85,1)/100)))/(FLOOR(((2*XLOOKUP('Boss Editor'!$C$4,'Pokemon Editor'!$A:$A,'Pokemon Editor'!$E:$E,0)+31+FLOOR('Boss Editor'!$G$4/4))*'Boss Editor'!$D$4)/100)+'Boss Editor'!$D$4+10)),0)</f>
        <v/>
      </c>
      <c r="O652" s="3">
        <f>IF(N652&gt;=1,"OHKO",IF(N652&gt;=0.5,"2HKO",IF(N652&gt;=0.333,"3HKO",IF(N652&gt;=0.25,"4HKO","5HKO+"))))</f>
        <v/>
      </c>
      <c r="P652" s="3" t="inlineStr">
        <is>
          <t>Live from editable databases</t>
        </is>
      </c>
      <c r="Q652" s="3" t="inlineStr">
        <is>
          <t>SPECIES_PANCHAM</t>
        </is>
      </c>
      <c r="R652" s="3" t="n">
        <v>11</v>
      </c>
    </row>
    <row r="653">
      <c r="A653" s="3">
        <f>XLOOKUP($Q653,'Threshold Summary'!$Y:$Y,'Threshold Summary'!$A:$A,"")</f>
        <v/>
      </c>
      <c r="B653" s="3">
        <f>XLOOKUP($Q653,'Threshold Summary'!$Y:$Y,'Threshold Summary'!$M:$M,"")</f>
        <v/>
      </c>
      <c r="C653" s="3">
        <f>XLOOKUP($Q653,'Threshold Summary'!$Y:$Y,'Threshold Summary'!$N:$N,"")</f>
        <v/>
      </c>
      <c r="D653" s="3">
        <f>IFERROR(INDEX(FILTER('Learnset Editor'!$D$2:$D,'Learnset Editor'!$A$2:$A=XLOOKUP($Q653,'Threshold Summary'!$Y:$Y,'Threshold Summary'!$K:$K,""),'Learnset Editor'!$C$2:$C&lt;=XLOOKUP($Q653,'Threshold Summary'!$Y:$Y,'Threshold Summary'!$L:$L,"")),$R653),"")</f>
        <v/>
      </c>
      <c r="E653" s="3">
        <f>XLOOKUP(D653,'Move Editor'!$B:$B,'Move Editor'!$C:$C,"")</f>
        <v/>
      </c>
      <c r="F653" s="3">
        <f>XLOOKUP(D653,'Move Editor'!$B:$B,'Move Editor'!$D:$D,"")</f>
        <v/>
      </c>
      <c r="G653" s="3">
        <f>XLOOKUP(D653,'Move Editor'!$B:$B,'Move Editor'!$E:$E,0)</f>
        <v/>
      </c>
      <c r="H653" s="3">
        <f>XLOOKUP(D653,'Move Editor'!$B:$B,'Move Editor'!$F:$F,0)</f>
        <v/>
      </c>
      <c r="I653" s="3">
        <f>(INDEX('Type Chart'!$B:$S,MATCH(E653,'Type Chart'!$A:$A,0),MATCH(XLOOKUP('Boss Editor'!$C$4,'Pokemon Editor'!$A:$A,'Pokemon Editor'!$C:$C,""),'Type Chart'!$B$1:$S$1,0))*IF(XLOOKUP('Boss Editor'!$C$4,'Pokemon Editor'!$A:$A,'Pokemon Editor'!$D:$D,"")="",1,INDEX('Type Chart'!$B:$S,MATCH(E653,'Type Chart'!$A:$A,0),MATCH(XLOOKUP('Boss Editor'!$C$4,'Pokemon Editor'!$A:$A,'Pokemon Editor'!$D:$D,""),'Type Chart'!$B$1:$S$1,0))))</f>
        <v/>
      </c>
      <c r="J653" s="3">
        <f>IFERROR(LET(mtype,XLOOKUP($D653,'Move Editor'!$B:$B,'Move Editor'!$C:$C,""),cat,XLOOKUP($D653,'Move Editor'!$B:$B,'Move Editor'!$D:$D,""),pow,XLOOKUP($D653,'Move Editor'!$B:$B,'Move Editor'!$E:$E,0),acc,XLOOKUP($D653,'Move Editor'!$B:$B,'Move Editor'!$F:$F,100),atk,IF(cat="Physical",FLOOR((FLOOR(((2*XLOOKUP(XLOOKUP($Q653,'Threshold Summary'!$Y:$Y,'Threshold Summary'!$K:$K,""),'Pokemon Editor'!$A:$A,'Pokemon Editor'!$F:$F,0)+31+FLOOR(XLOOKUP($Q653,'Threshold Summary'!$Y:$Y,'Threshold Summary'!$P:$P,"")/4))*XLOOKUP($Q653,'Threshold Summary'!$Y:$Y,'Threshold Summary'!$L:$L,""))/100)+5)*XLOOKUP(XLOOKUP($Q653,'Threshold Summary'!$Y:$Y,'Threshold Summary'!$M:$M,""),'Nature Editor'!$A:$A,'Nature Editor'!$B:$B,1)),FLOOR((FLOOR(((2*XLOOKUP(XLOOKUP($Q653,'Threshold Summary'!$Y:$Y,'Threshold Summary'!$K:$K,""),'Pokemon Editor'!$A:$A,'Pokemon Editor'!$H:$H,0)+31+FLOOR(XLOOKUP($Q653,'Threshold Summary'!$Y:$Y,'Threshold Summary'!$R:$R,"")/4))*XLOOKUP($Q653,'Threshold Summary'!$Y:$Y,'Threshold Summary'!$L:$L,""))/100)+5)*XLOOKUP(XLOOKUP($Q653,'Threshold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Editor'!$E:$E,1))),stab,IF(OR(mtype=XLOOKUP(XLOOKUP($Q653,'Threshold Summary'!$Y:$Y,'Threshold Summary'!$K:$K,""),'Pokemon Editor'!$A:$A,'Pokemon Editor'!$C:$C,""),mtype=XLOOKUP(XLOOKUP($Q653,'Threshold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Chart'!$B$1:$S$1,0)))),base,IF(OR(cat="Status",pow=0),0,FLOOR(FLOOR(FLOOR((2*XLOOKUP($Q653,'Threshold Summary'!$Y:$Y,'Threshold Summary'!$L:$L,"")/5+2)*pow*atk/def)/50)+2)),modifier,stab*eff,FLOOR(base*modifier*0.85)),0)</f>
        <v/>
      </c>
      <c r="K653" s="3">
        <f>IFERROR(LET(mtype,XLOOKUP($D653,'Move Editor'!$B:$B,'Move Editor'!$C:$C,""),cat,XLOOKUP($D653,'Move Editor'!$B:$B,'Move Editor'!$D:$D,""),pow,XLOOKUP($D653,'Move Editor'!$B:$B,'Move Editor'!$E:$E,0),acc,XLOOKUP($D653,'Move Editor'!$B:$B,'Move Editor'!$F:$F,100),atk,IF(cat="Physical",FLOOR((FLOOR(((2*XLOOKUP(XLOOKUP($Q653,'Threshold Summary'!$Y:$Y,'Threshold Summary'!$K:$K,""),'Pokemon Editor'!$A:$A,'Pokemon Editor'!$F:$F,0)+31+FLOOR(XLOOKUP($Q653,'Threshold Summary'!$Y:$Y,'Threshold Summary'!$P:$P,"")/4))*XLOOKUP($Q653,'Threshold Summary'!$Y:$Y,'Threshold Summary'!$L:$L,""))/100)+5)*XLOOKUP(XLOOKUP($Q653,'Threshold Summary'!$Y:$Y,'Threshold Summary'!$M:$M,""),'Nature Editor'!$A:$A,'Nature Editor'!$B:$B,1)),FLOOR((FLOOR(((2*XLOOKUP(XLOOKUP($Q653,'Threshold Summary'!$Y:$Y,'Threshold Summary'!$K:$K,""),'Pokemon Editor'!$A:$A,'Pokemon Editor'!$H:$H,0)+31+FLOOR(XLOOKUP($Q653,'Threshold Summary'!$Y:$Y,'Threshold Summary'!$R:$R,"")/4))*XLOOKUP($Q653,'Threshold Summary'!$Y:$Y,'Threshold Summary'!$L:$L,""))/100)+5)*XLOOKUP(XLOOKUP($Q653,'Threshold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Editor'!$E:$E,1))),stab,IF(OR(mtype=XLOOKUP(XLOOKUP($Q653,'Threshold Summary'!$Y:$Y,'Threshold Summary'!$K:$K,""),'Pokemon Editor'!$A:$A,'Pokemon Editor'!$C:$C,""),mtype=XLOOKUP(XLOOKUP($Q653,'Threshold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Chart'!$B$1:$S$1,0)))),base,IF(OR(cat="Status",pow=0),0,FLOOR(FLOOR(FLOOR((2*XLOOKUP($Q653,'Threshold Summary'!$Y:$Y,'Threshold Summary'!$L:$L,"")/5+2)*pow*atk/def)/50)+2)),modifier,stab*eff,FLOOR(base*modifier)),0)</f>
        <v/>
      </c>
      <c r="L653" s="3">
        <f>IFERROR(LET(mtype,XLOOKUP($D653,'Move Editor'!$B:$B,'Move Editor'!$C:$C,""),cat,XLOOKUP($D653,'Move Editor'!$B:$B,'Move Editor'!$D:$D,""),pow,XLOOKUP($D653,'Move Editor'!$B:$B,'Move Editor'!$E:$E,0),acc,XLOOKUP($D653,'Move Editor'!$B:$B,'Move Editor'!$F:$F,100),atk,IF(cat="Physical",FLOOR((FLOOR(((2*XLOOKUP(XLOOKUP($Q653,'Threshold Summary'!$Y:$Y,'Threshold Summary'!$K:$K,""),'Pokemon Editor'!$A:$A,'Pokemon Editor'!$F:$F,0)+31+FLOOR(XLOOKUP($Q653,'Threshold Summary'!$Y:$Y,'Threshold Summary'!$P:$P,"")/4))*XLOOKUP($Q653,'Threshold Summary'!$Y:$Y,'Threshold Summary'!$L:$L,""))/100)+5)*XLOOKUP(XLOOKUP($Q653,'Threshold Summary'!$Y:$Y,'Threshold Summary'!$M:$M,""),'Nature Editor'!$A:$A,'Nature Editor'!$B:$B,1)),FLOOR((FLOOR(((2*XLOOKUP(XLOOKUP($Q653,'Threshold Summary'!$Y:$Y,'Threshold Summary'!$K:$K,""),'Pokemon Editor'!$A:$A,'Pokemon Editor'!$H:$H,0)+31+FLOOR(XLOOKUP($Q653,'Threshold Summary'!$Y:$Y,'Threshold Summary'!$R:$R,"")/4))*XLOOKUP($Q653,'Threshold Summary'!$Y:$Y,'Threshold Summary'!$L:$L,""))/100)+5)*XLOOKUP(XLOOKUP($Q653,'Threshold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Editor'!$E:$E,1))),stab,IF(OR(mtype=XLOOKUP(XLOOKUP($Q653,'Threshold Summary'!$Y:$Y,'Threshold Summary'!$K:$K,""),'Pokemon Editor'!$A:$A,'Pokemon Editor'!$C:$C,""),mtype=XLOOKUP(XLOOKUP($Q653,'Threshold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Chart'!$B$1:$S$1,0)))),base,IF(OR(cat="Status",pow=0),0,FLOOR(FLOOR(FLOOR((2*XLOOKUP($Q653,'Threshold Summary'!$Y:$Y,'Threshold Summary'!$L:$L,"")/5+2)*pow*atk/def)/50)+2)),modifier,stab*eff,AVERAGE(ARRAYFORMULA(FLOOR(base*modifier*SEQUENCE(16,1,85,1)/100)))),0)</f>
        <v/>
      </c>
      <c r="M653" s="3">
        <f>IFERROR(LET(mtype,XLOOKUP($D653,'Move Editor'!$B:$B,'Move Editor'!$C:$C,""),cat,XLOOKUP($D653,'Move Editor'!$B:$B,'Move Editor'!$D:$D,""),pow,XLOOKUP($D653,'Move Editor'!$B:$B,'Move Editor'!$E:$E,0),acc,XLOOKUP($D653,'Move Editor'!$B:$B,'Move Editor'!$F:$F,100),atk,IF(cat="Physical",FLOOR((FLOOR(((2*XLOOKUP(XLOOKUP($Q653,'Threshold Summary'!$Y:$Y,'Threshold Summary'!$K:$K,""),'Pokemon Editor'!$A:$A,'Pokemon Editor'!$F:$F,0)+31+FLOOR(XLOOKUP($Q653,'Threshold Summary'!$Y:$Y,'Threshold Summary'!$P:$P,"")/4))*XLOOKUP($Q653,'Threshold Summary'!$Y:$Y,'Threshold Summary'!$L:$L,""))/100)+5)*XLOOKUP(XLOOKUP($Q653,'Threshold Summary'!$Y:$Y,'Threshold Summary'!$M:$M,""),'Nature Editor'!$A:$A,'Nature Editor'!$B:$B,1)),FLOOR((FLOOR(((2*XLOOKUP(XLOOKUP($Q653,'Threshold Summary'!$Y:$Y,'Threshold Summary'!$K:$K,""),'Pokemon Editor'!$A:$A,'Pokemon Editor'!$H:$H,0)+31+FLOOR(XLOOKUP($Q653,'Threshold Summary'!$Y:$Y,'Threshold Summary'!$R:$R,"")/4))*XLOOKUP($Q653,'Threshold Summary'!$Y:$Y,'Threshold Summary'!$L:$L,""))/100)+5)*XLOOKUP(XLOOKUP($Q653,'Threshold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Editor'!$E:$E,1))),stab,IF(OR(mtype=XLOOKUP(XLOOKUP($Q653,'Threshold Summary'!$Y:$Y,'Threshold Summary'!$K:$K,""),'Pokemon Editor'!$A:$A,'Pokemon Editor'!$C:$C,""),mtype=XLOOKUP(XLOOKUP($Q653,'Threshold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Chart'!$B$1:$S$1,0)))),base,IF(OR(cat="Status",pow=0),0,FLOOR(FLOOR(FLOOR((2*XLOOKUP($Q653,'Threshold Summary'!$Y:$Y,'Threshold Summary'!$L:$L,"")/5+2)*pow*atk/def)/50)+2)),modifier,stab*eff,AVERAGE(ARRAYFORMULA(FLOOR(base*modifier*SEQUENCE(16,1,85,1)/100)))*MIN(1,acc/100)),0)</f>
        <v/>
      </c>
      <c r="N653" s="4">
        <f>IFERROR(LET(mtype,XLOOKUP($D653,'Move Editor'!$B:$B,'Move Editor'!$C:$C,""),cat,XLOOKUP($D653,'Move Editor'!$B:$B,'Move Editor'!$D:$D,""),pow,XLOOKUP($D653,'Move Editor'!$B:$B,'Move Editor'!$E:$E,0),acc,XLOOKUP($D653,'Move Editor'!$B:$B,'Move Editor'!$F:$F,100),atk,IF(cat="Physical",FLOOR((FLOOR(((2*XLOOKUP(XLOOKUP($Q653,'Threshold Summary'!$Y:$Y,'Threshold Summary'!$K:$K,""),'Pokemon Editor'!$A:$A,'Pokemon Editor'!$F:$F,0)+31+FLOOR(XLOOKUP($Q653,'Threshold Summary'!$Y:$Y,'Threshold Summary'!$P:$P,"")/4))*XLOOKUP($Q653,'Threshold Summary'!$Y:$Y,'Threshold Summary'!$L:$L,""))/100)+5)*XLOOKUP(XLOOKUP($Q653,'Threshold Summary'!$Y:$Y,'Threshold Summary'!$M:$M,""),'Nature Editor'!$A:$A,'Nature Editor'!$B:$B,1)),FLOOR((FLOOR(((2*XLOOKUP(XLOOKUP($Q653,'Threshold Summary'!$Y:$Y,'Threshold Summary'!$K:$K,""),'Pokemon Editor'!$A:$A,'Pokemon Editor'!$H:$H,0)+31+FLOOR(XLOOKUP($Q653,'Threshold Summary'!$Y:$Y,'Threshold Summary'!$R:$R,"")/4))*XLOOKUP($Q653,'Threshold Summary'!$Y:$Y,'Threshold Summary'!$L:$L,""))/100)+5)*XLOOKUP(XLOOKUP($Q653,'Threshold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Editor'!$E:$E,1))),stab,IF(OR(mtype=XLOOKUP(XLOOKUP($Q653,'Threshold Summary'!$Y:$Y,'Threshold Summary'!$K:$K,""),'Pokemon Editor'!$A:$A,'Pokemon Editor'!$C:$C,""),mtype=XLOOKUP(XLOOKUP($Q653,'Threshold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Chart'!$B$1:$S$1,0)))),base,IF(OR(cat="Status",pow=0),0,FLOOR(FLOOR(FLOOR((2*XLOOKUP($Q653,'Threshold Summary'!$Y:$Y,'Threshold Summary'!$L:$L,"")/5+2)*pow*atk/def)/50)+2)),modifier,stab*eff,AVERAGE(ARRAYFORMULA(FLOOR(base*modifier*SEQUENCE(16,1,85,1)/100)))/(FLOOR(((2*XLOOKUP('Boss Editor'!$C$4,'Pokemon Editor'!$A:$A,'Pokemon Editor'!$E:$E,0)+31+FLOOR('Boss Editor'!$G$4/4))*'Boss Editor'!$D$4)/100)+'Boss Editor'!$D$4+10)),0)</f>
        <v/>
      </c>
      <c r="O653" s="3">
        <f>IF(N653&gt;=1,"OHKO",IF(N653&gt;=0.5,"2HKO",IF(N653&gt;=0.333,"3HKO",IF(N653&gt;=0.25,"4HKO","5HKO+"))))</f>
        <v/>
      </c>
      <c r="P653" s="3" t="inlineStr">
        <is>
          <t>Live from editable databases</t>
        </is>
      </c>
      <c r="Q653" s="3" t="inlineStr">
        <is>
          <t>SPECIES_PANCHAM</t>
        </is>
      </c>
      <c r="R653" s="3" t="n">
        <v>12</v>
      </c>
    </row>
    <row r="654">
      <c r="A654" s="3">
        <f>XLOOKUP($Q654,'Threshold Summary'!$Y:$Y,'Threshold Summary'!$A:$A,"")</f>
        <v/>
      </c>
      <c r="B654" s="3">
        <f>XLOOKUP($Q654,'Threshold Summary'!$Y:$Y,'Threshold Summary'!$M:$M,"")</f>
        <v/>
      </c>
      <c r="C654" s="3">
        <f>XLOOKUP($Q654,'Threshold Summary'!$Y:$Y,'Threshold Summary'!$N:$N,"")</f>
        <v/>
      </c>
      <c r="D654" s="3">
        <f>IFERROR(INDEX(FILTER('Learnset Editor'!$D$2:$D,'Learnset Editor'!$A$2:$A=XLOOKUP($Q654,'Threshold Summary'!$Y:$Y,'Threshold Summary'!$K:$K,""),'Learnset Editor'!$C$2:$C&lt;=XLOOKUP($Q654,'Threshold Summary'!$Y:$Y,'Threshold Summary'!$L:$L,"")),$R654),"")</f>
        <v/>
      </c>
      <c r="E654" s="3">
        <f>XLOOKUP(D654,'Move Editor'!$B:$B,'Move Editor'!$C:$C,"")</f>
        <v/>
      </c>
      <c r="F654" s="3">
        <f>XLOOKUP(D654,'Move Editor'!$B:$B,'Move Editor'!$D:$D,"")</f>
        <v/>
      </c>
      <c r="G654" s="3">
        <f>XLOOKUP(D654,'Move Editor'!$B:$B,'Move Editor'!$E:$E,0)</f>
        <v/>
      </c>
      <c r="H654" s="3">
        <f>XLOOKUP(D654,'Move Editor'!$B:$B,'Move Editor'!$F:$F,0)</f>
        <v/>
      </c>
      <c r="I654" s="3">
        <f>(INDEX('Type Chart'!$B:$S,MATCH(E654,'Type Chart'!$A:$A,0),MATCH(XLOOKUP('Boss Editor'!$C$4,'Pokemon Editor'!$A:$A,'Pokemon Editor'!$C:$C,""),'Type Chart'!$B$1:$S$1,0))*IF(XLOOKUP('Boss Editor'!$C$4,'Pokemon Editor'!$A:$A,'Pokemon Editor'!$D:$D,"")="",1,INDEX('Type Chart'!$B:$S,MATCH(E654,'Type Chart'!$A:$A,0),MATCH(XLOOKUP('Boss Editor'!$C$4,'Pokemon Editor'!$A:$A,'Pokemon Editor'!$D:$D,""),'Type Chart'!$B$1:$S$1,0))))</f>
        <v/>
      </c>
      <c r="J654" s="3">
        <f>IFERROR(LET(mtype,XLOOKUP($D654,'Move Editor'!$B:$B,'Move Editor'!$C:$C,""),cat,XLOOKUP($D654,'Move Editor'!$B:$B,'Move Editor'!$D:$D,""),pow,XLOOKUP($D654,'Move Editor'!$B:$B,'Move Editor'!$E:$E,0),acc,XLOOKUP($D654,'Move Editor'!$B:$B,'Move Editor'!$F:$F,100),atk,IF(cat="Physical",FLOOR((FLOOR(((2*XLOOKUP(XLOOKUP($Q654,'Threshold Summary'!$Y:$Y,'Threshold Summary'!$K:$K,""),'Pokemon Editor'!$A:$A,'Pokemon Editor'!$F:$F,0)+31+FLOOR(XLOOKUP($Q654,'Threshold Summary'!$Y:$Y,'Threshold Summary'!$P:$P,"")/4))*XLOOKUP($Q654,'Threshold Summary'!$Y:$Y,'Threshold Summary'!$L:$L,""))/100)+5)*XLOOKUP(XLOOKUP($Q654,'Threshold Summary'!$Y:$Y,'Threshold Summary'!$M:$M,""),'Nature Editor'!$A:$A,'Nature Editor'!$B:$B,1)),FLOOR((FLOOR(((2*XLOOKUP(XLOOKUP($Q654,'Threshold Summary'!$Y:$Y,'Threshold Summary'!$K:$K,""),'Pokemon Editor'!$A:$A,'Pokemon Editor'!$H:$H,0)+31+FLOOR(XLOOKUP($Q654,'Threshold Summary'!$Y:$Y,'Threshold Summary'!$R:$R,"")/4))*XLOOKUP($Q654,'Threshold Summary'!$Y:$Y,'Threshold Summary'!$L:$L,""))/100)+5)*XLOOKUP(XLOOKUP($Q654,'Threshold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Editor'!$E:$E,1))),stab,IF(OR(mtype=XLOOKUP(XLOOKUP($Q654,'Threshold Summary'!$Y:$Y,'Threshold Summary'!$K:$K,""),'Pokemon Editor'!$A:$A,'Pokemon Editor'!$C:$C,""),mtype=XLOOKUP(XLOOKUP($Q654,'Threshold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Chart'!$B$1:$S$1,0)))),base,IF(OR(cat="Status",pow=0),0,FLOOR(FLOOR(FLOOR((2*XLOOKUP($Q654,'Threshold Summary'!$Y:$Y,'Threshold Summary'!$L:$L,"")/5+2)*pow*atk/def)/50)+2)),modifier,stab*eff,FLOOR(base*modifier*0.85)),0)</f>
        <v/>
      </c>
      <c r="K654" s="3">
        <f>IFERROR(LET(mtype,XLOOKUP($D654,'Move Editor'!$B:$B,'Move Editor'!$C:$C,""),cat,XLOOKUP($D654,'Move Editor'!$B:$B,'Move Editor'!$D:$D,""),pow,XLOOKUP($D654,'Move Editor'!$B:$B,'Move Editor'!$E:$E,0),acc,XLOOKUP($D654,'Move Editor'!$B:$B,'Move Editor'!$F:$F,100),atk,IF(cat="Physical",FLOOR((FLOOR(((2*XLOOKUP(XLOOKUP($Q654,'Threshold Summary'!$Y:$Y,'Threshold Summary'!$K:$K,""),'Pokemon Editor'!$A:$A,'Pokemon Editor'!$F:$F,0)+31+FLOOR(XLOOKUP($Q654,'Threshold Summary'!$Y:$Y,'Threshold Summary'!$P:$P,"")/4))*XLOOKUP($Q654,'Threshold Summary'!$Y:$Y,'Threshold Summary'!$L:$L,""))/100)+5)*XLOOKUP(XLOOKUP($Q654,'Threshold Summary'!$Y:$Y,'Threshold Summary'!$M:$M,""),'Nature Editor'!$A:$A,'Nature Editor'!$B:$B,1)),FLOOR((FLOOR(((2*XLOOKUP(XLOOKUP($Q654,'Threshold Summary'!$Y:$Y,'Threshold Summary'!$K:$K,""),'Pokemon Editor'!$A:$A,'Pokemon Editor'!$H:$H,0)+31+FLOOR(XLOOKUP($Q654,'Threshold Summary'!$Y:$Y,'Threshold Summary'!$R:$R,"")/4))*XLOOKUP($Q654,'Threshold Summary'!$Y:$Y,'Threshold Summary'!$L:$L,""))/100)+5)*XLOOKUP(XLOOKUP($Q654,'Threshold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Editor'!$E:$E,1))),stab,IF(OR(mtype=XLOOKUP(XLOOKUP($Q654,'Threshold Summary'!$Y:$Y,'Threshold Summary'!$K:$K,""),'Pokemon Editor'!$A:$A,'Pokemon Editor'!$C:$C,""),mtype=XLOOKUP(XLOOKUP($Q654,'Threshold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Chart'!$B$1:$S$1,0)))),base,IF(OR(cat="Status",pow=0),0,FLOOR(FLOOR(FLOOR((2*XLOOKUP($Q654,'Threshold Summary'!$Y:$Y,'Threshold Summary'!$L:$L,"")/5+2)*pow*atk/def)/50)+2)),modifier,stab*eff,FLOOR(base*modifier)),0)</f>
        <v/>
      </c>
      <c r="L654" s="3">
        <f>IFERROR(LET(mtype,XLOOKUP($D654,'Move Editor'!$B:$B,'Move Editor'!$C:$C,""),cat,XLOOKUP($D654,'Move Editor'!$B:$B,'Move Editor'!$D:$D,""),pow,XLOOKUP($D654,'Move Editor'!$B:$B,'Move Editor'!$E:$E,0),acc,XLOOKUP($D654,'Move Editor'!$B:$B,'Move Editor'!$F:$F,100),atk,IF(cat="Physical",FLOOR((FLOOR(((2*XLOOKUP(XLOOKUP($Q654,'Threshold Summary'!$Y:$Y,'Threshold Summary'!$K:$K,""),'Pokemon Editor'!$A:$A,'Pokemon Editor'!$F:$F,0)+31+FLOOR(XLOOKUP($Q654,'Threshold Summary'!$Y:$Y,'Threshold Summary'!$P:$P,"")/4))*XLOOKUP($Q654,'Threshold Summary'!$Y:$Y,'Threshold Summary'!$L:$L,""))/100)+5)*XLOOKUP(XLOOKUP($Q654,'Threshold Summary'!$Y:$Y,'Threshold Summary'!$M:$M,""),'Nature Editor'!$A:$A,'Nature Editor'!$B:$B,1)),FLOOR((FLOOR(((2*XLOOKUP(XLOOKUP($Q654,'Threshold Summary'!$Y:$Y,'Threshold Summary'!$K:$K,""),'Pokemon Editor'!$A:$A,'Pokemon Editor'!$H:$H,0)+31+FLOOR(XLOOKUP($Q654,'Threshold Summary'!$Y:$Y,'Threshold Summary'!$R:$R,"")/4))*XLOOKUP($Q654,'Threshold Summary'!$Y:$Y,'Threshold Summary'!$L:$L,""))/100)+5)*XLOOKUP(XLOOKUP($Q654,'Threshold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Editor'!$E:$E,1))),stab,IF(OR(mtype=XLOOKUP(XLOOKUP($Q654,'Threshold Summary'!$Y:$Y,'Threshold Summary'!$K:$K,""),'Pokemon Editor'!$A:$A,'Pokemon Editor'!$C:$C,""),mtype=XLOOKUP(XLOOKUP($Q654,'Threshold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Chart'!$B$1:$S$1,0)))),base,IF(OR(cat="Status",pow=0),0,FLOOR(FLOOR(FLOOR((2*XLOOKUP($Q654,'Threshold Summary'!$Y:$Y,'Threshold Summary'!$L:$L,"")/5+2)*pow*atk/def)/50)+2)),modifier,stab*eff,AVERAGE(ARRAYFORMULA(FLOOR(base*modifier*SEQUENCE(16,1,85,1)/100)))),0)</f>
        <v/>
      </c>
      <c r="M654" s="3">
        <f>IFERROR(LET(mtype,XLOOKUP($D654,'Move Editor'!$B:$B,'Move Editor'!$C:$C,""),cat,XLOOKUP($D654,'Move Editor'!$B:$B,'Move Editor'!$D:$D,""),pow,XLOOKUP($D654,'Move Editor'!$B:$B,'Move Editor'!$E:$E,0),acc,XLOOKUP($D654,'Move Editor'!$B:$B,'Move Editor'!$F:$F,100),atk,IF(cat="Physical",FLOOR((FLOOR(((2*XLOOKUP(XLOOKUP($Q654,'Threshold Summary'!$Y:$Y,'Threshold Summary'!$K:$K,""),'Pokemon Editor'!$A:$A,'Pokemon Editor'!$F:$F,0)+31+FLOOR(XLOOKUP($Q654,'Threshold Summary'!$Y:$Y,'Threshold Summary'!$P:$P,"")/4))*XLOOKUP($Q654,'Threshold Summary'!$Y:$Y,'Threshold Summary'!$L:$L,""))/100)+5)*XLOOKUP(XLOOKUP($Q654,'Threshold Summary'!$Y:$Y,'Threshold Summary'!$M:$M,""),'Nature Editor'!$A:$A,'Nature Editor'!$B:$B,1)),FLOOR((FLOOR(((2*XLOOKUP(XLOOKUP($Q654,'Threshold Summary'!$Y:$Y,'Threshold Summary'!$K:$K,""),'Pokemon Editor'!$A:$A,'Pokemon Editor'!$H:$H,0)+31+FLOOR(XLOOKUP($Q654,'Threshold Summary'!$Y:$Y,'Threshold Summary'!$R:$R,"")/4))*XLOOKUP($Q654,'Threshold Summary'!$Y:$Y,'Threshold Summary'!$L:$L,""))/100)+5)*XLOOKUP(XLOOKUP($Q654,'Threshold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Editor'!$E:$E,1))),stab,IF(OR(mtype=XLOOKUP(XLOOKUP($Q654,'Threshold Summary'!$Y:$Y,'Threshold Summary'!$K:$K,""),'Pokemon Editor'!$A:$A,'Pokemon Editor'!$C:$C,""),mtype=XLOOKUP(XLOOKUP($Q654,'Threshold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Chart'!$B$1:$S$1,0)))),base,IF(OR(cat="Status",pow=0),0,FLOOR(FLOOR(FLOOR((2*XLOOKUP($Q654,'Threshold Summary'!$Y:$Y,'Threshold Summary'!$L:$L,"")/5+2)*pow*atk/def)/50)+2)),modifier,stab*eff,AVERAGE(ARRAYFORMULA(FLOOR(base*modifier*SEQUENCE(16,1,85,1)/100)))*MIN(1,acc/100)),0)</f>
        <v/>
      </c>
      <c r="N654" s="4">
        <f>IFERROR(LET(mtype,XLOOKUP($D654,'Move Editor'!$B:$B,'Move Editor'!$C:$C,""),cat,XLOOKUP($D654,'Move Editor'!$B:$B,'Move Editor'!$D:$D,""),pow,XLOOKUP($D654,'Move Editor'!$B:$B,'Move Editor'!$E:$E,0),acc,XLOOKUP($D654,'Move Editor'!$B:$B,'Move Editor'!$F:$F,100),atk,IF(cat="Physical",FLOOR((FLOOR(((2*XLOOKUP(XLOOKUP($Q654,'Threshold Summary'!$Y:$Y,'Threshold Summary'!$K:$K,""),'Pokemon Editor'!$A:$A,'Pokemon Editor'!$F:$F,0)+31+FLOOR(XLOOKUP($Q654,'Threshold Summary'!$Y:$Y,'Threshold Summary'!$P:$P,"")/4))*XLOOKUP($Q654,'Threshold Summary'!$Y:$Y,'Threshold Summary'!$L:$L,""))/100)+5)*XLOOKUP(XLOOKUP($Q654,'Threshold Summary'!$Y:$Y,'Threshold Summary'!$M:$M,""),'Nature Editor'!$A:$A,'Nature Editor'!$B:$B,1)),FLOOR((FLOOR(((2*XLOOKUP(XLOOKUP($Q654,'Threshold Summary'!$Y:$Y,'Threshold Summary'!$K:$K,""),'Pokemon Editor'!$A:$A,'Pokemon Editor'!$H:$H,0)+31+FLOOR(XLOOKUP($Q654,'Threshold Summary'!$Y:$Y,'Threshold Summary'!$R:$R,"")/4))*XLOOKUP($Q654,'Threshold Summary'!$Y:$Y,'Threshold Summary'!$L:$L,""))/100)+5)*XLOOKUP(XLOOKUP($Q654,'Threshold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Editor'!$E:$E,1))),stab,IF(OR(mtype=XLOOKUP(XLOOKUP($Q654,'Threshold Summary'!$Y:$Y,'Threshold Summary'!$K:$K,""),'Pokemon Editor'!$A:$A,'Pokemon Editor'!$C:$C,""),mtype=XLOOKUP(XLOOKUP($Q654,'Threshold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Chart'!$B$1:$S$1,0)))),base,IF(OR(cat="Status",pow=0),0,FLOOR(FLOOR(FLOOR((2*XLOOKUP($Q654,'Threshold Summary'!$Y:$Y,'Threshold Summary'!$L:$L,"")/5+2)*pow*atk/def)/50)+2)),modifier,stab*eff,AVERAGE(ARRAYFORMULA(FLOOR(base*modifier*SEQUENCE(16,1,85,1)/100)))/(FLOOR(((2*XLOOKUP('Boss Editor'!$C$4,'Pokemon Editor'!$A:$A,'Pokemon Editor'!$E:$E,0)+31+FLOOR('Boss Editor'!$G$4/4))*'Boss Editor'!$D$4)/100)+'Boss Editor'!$D$4+10)),0)</f>
        <v/>
      </c>
      <c r="O654" s="3">
        <f>IF(N654&gt;=1,"OHKO",IF(N654&gt;=0.5,"2HKO",IF(N654&gt;=0.333,"3HKO",IF(N654&gt;=0.25,"4HKO","5HKO+"))))</f>
        <v/>
      </c>
      <c r="P654" s="3" t="inlineStr">
        <is>
          <t>Live from editable databases</t>
        </is>
      </c>
      <c r="Q654" s="3" t="inlineStr">
        <is>
          <t>SPECIES_PANCHAM</t>
        </is>
      </c>
      <c r="R654" s="3" t="n">
        <v>13</v>
      </c>
    </row>
    <row r="655">
      <c r="A655" s="3">
        <f>XLOOKUP($Q655,'Threshold Summary'!$Y:$Y,'Threshold Summary'!$A:$A,"")</f>
        <v/>
      </c>
      <c r="B655" s="3">
        <f>XLOOKUP($Q655,'Threshold Summary'!$Y:$Y,'Threshold Summary'!$M:$M,"")</f>
        <v/>
      </c>
      <c r="C655" s="3">
        <f>XLOOKUP($Q655,'Threshold Summary'!$Y:$Y,'Threshold Summary'!$N:$N,"")</f>
        <v/>
      </c>
      <c r="D655" s="3">
        <f>IFERROR(INDEX(FILTER('Learnset Editor'!$D$2:$D,'Learnset Editor'!$A$2:$A=XLOOKUP($Q655,'Threshold Summary'!$Y:$Y,'Threshold Summary'!$K:$K,""),'Learnset Editor'!$C$2:$C&lt;=XLOOKUP($Q655,'Threshold Summary'!$Y:$Y,'Threshold Summary'!$L:$L,"")),$R655),"")</f>
        <v/>
      </c>
      <c r="E655" s="3">
        <f>XLOOKUP(D655,'Move Editor'!$B:$B,'Move Editor'!$C:$C,"")</f>
        <v/>
      </c>
      <c r="F655" s="3">
        <f>XLOOKUP(D655,'Move Editor'!$B:$B,'Move Editor'!$D:$D,"")</f>
        <v/>
      </c>
      <c r="G655" s="3">
        <f>XLOOKUP(D655,'Move Editor'!$B:$B,'Move Editor'!$E:$E,0)</f>
        <v/>
      </c>
      <c r="H655" s="3">
        <f>XLOOKUP(D655,'Move Editor'!$B:$B,'Move Editor'!$F:$F,0)</f>
        <v/>
      </c>
      <c r="I655" s="3">
        <f>(INDEX('Type Chart'!$B:$S,MATCH(E655,'Type Chart'!$A:$A,0),MATCH(XLOOKUP('Boss Editor'!$C$4,'Pokemon Editor'!$A:$A,'Pokemon Editor'!$C:$C,""),'Type Chart'!$B$1:$S$1,0))*IF(XLOOKUP('Boss Editor'!$C$4,'Pokemon Editor'!$A:$A,'Pokemon Editor'!$D:$D,"")="",1,INDEX('Type Chart'!$B:$S,MATCH(E655,'Type Chart'!$A:$A,0),MATCH(XLOOKUP('Boss Editor'!$C$4,'Pokemon Editor'!$A:$A,'Pokemon Editor'!$D:$D,""),'Type Chart'!$B$1:$S$1,0))))</f>
        <v/>
      </c>
      <c r="J655" s="3">
        <f>IFERROR(LET(mtype,XLOOKUP($D655,'Move Editor'!$B:$B,'Move Editor'!$C:$C,""),cat,XLOOKUP($D655,'Move Editor'!$B:$B,'Move Editor'!$D:$D,""),pow,XLOOKUP($D655,'Move Editor'!$B:$B,'Move Editor'!$E:$E,0),acc,XLOOKUP($D655,'Move Editor'!$B:$B,'Move Editor'!$F:$F,100),atk,IF(cat="Physical",FLOOR((FLOOR(((2*XLOOKUP(XLOOKUP($Q655,'Threshold Summary'!$Y:$Y,'Threshold Summary'!$K:$K,""),'Pokemon Editor'!$A:$A,'Pokemon Editor'!$F:$F,0)+31+FLOOR(XLOOKUP($Q655,'Threshold Summary'!$Y:$Y,'Threshold Summary'!$P:$P,"")/4))*XLOOKUP($Q655,'Threshold Summary'!$Y:$Y,'Threshold Summary'!$L:$L,""))/100)+5)*XLOOKUP(XLOOKUP($Q655,'Threshold Summary'!$Y:$Y,'Threshold Summary'!$M:$M,""),'Nature Editor'!$A:$A,'Nature Editor'!$B:$B,1)),FLOOR((FLOOR(((2*XLOOKUP(XLOOKUP($Q655,'Threshold Summary'!$Y:$Y,'Threshold Summary'!$K:$K,""),'Pokemon Editor'!$A:$A,'Pokemon Editor'!$H:$H,0)+31+FLOOR(XLOOKUP($Q655,'Threshold Summary'!$Y:$Y,'Threshold Summary'!$R:$R,"")/4))*XLOOKUP($Q655,'Threshold Summary'!$Y:$Y,'Threshold Summary'!$L:$L,""))/100)+5)*XLOOKUP(XLOOKUP($Q655,'Threshold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Editor'!$E:$E,1))),stab,IF(OR(mtype=XLOOKUP(XLOOKUP($Q655,'Threshold Summary'!$Y:$Y,'Threshold Summary'!$K:$K,""),'Pokemon Editor'!$A:$A,'Pokemon Editor'!$C:$C,""),mtype=XLOOKUP(XLOOKUP($Q655,'Threshold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Chart'!$B$1:$S$1,0)))),base,IF(OR(cat="Status",pow=0),0,FLOOR(FLOOR(FLOOR((2*XLOOKUP($Q655,'Threshold Summary'!$Y:$Y,'Threshold Summary'!$L:$L,"")/5+2)*pow*atk/def)/50)+2)),modifier,stab*eff,FLOOR(base*modifier*0.85)),0)</f>
        <v/>
      </c>
      <c r="K655" s="3">
        <f>IFERROR(LET(mtype,XLOOKUP($D655,'Move Editor'!$B:$B,'Move Editor'!$C:$C,""),cat,XLOOKUP($D655,'Move Editor'!$B:$B,'Move Editor'!$D:$D,""),pow,XLOOKUP($D655,'Move Editor'!$B:$B,'Move Editor'!$E:$E,0),acc,XLOOKUP($D655,'Move Editor'!$B:$B,'Move Editor'!$F:$F,100),atk,IF(cat="Physical",FLOOR((FLOOR(((2*XLOOKUP(XLOOKUP($Q655,'Threshold Summary'!$Y:$Y,'Threshold Summary'!$K:$K,""),'Pokemon Editor'!$A:$A,'Pokemon Editor'!$F:$F,0)+31+FLOOR(XLOOKUP($Q655,'Threshold Summary'!$Y:$Y,'Threshold Summary'!$P:$P,"")/4))*XLOOKUP($Q655,'Threshold Summary'!$Y:$Y,'Threshold Summary'!$L:$L,""))/100)+5)*XLOOKUP(XLOOKUP($Q655,'Threshold Summary'!$Y:$Y,'Threshold Summary'!$M:$M,""),'Nature Editor'!$A:$A,'Nature Editor'!$B:$B,1)),FLOOR((FLOOR(((2*XLOOKUP(XLOOKUP($Q655,'Threshold Summary'!$Y:$Y,'Threshold Summary'!$K:$K,""),'Pokemon Editor'!$A:$A,'Pokemon Editor'!$H:$H,0)+31+FLOOR(XLOOKUP($Q655,'Threshold Summary'!$Y:$Y,'Threshold Summary'!$R:$R,"")/4))*XLOOKUP($Q655,'Threshold Summary'!$Y:$Y,'Threshold Summary'!$L:$L,""))/100)+5)*XLOOKUP(XLOOKUP($Q655,'Threshold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Editor'!$E:$E,1))),stab,IF(OR(mtype=XLOOKUP(XLOOKUP($Q655,'Threshold Summary'!$Y:$Y,'Threshold Summary'!$K:$K,""),'Pokemon Editor'!$A:$A,'Pokemon Editor'!$C:$C,""),mtype=XLOOKUP(XLOOKUP($Q655,'Threshold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Chart'!$B$1:$S$1,0)))),base,IF(OR(cat="Status",pow=0),0,FLOOR(FLOOR(FLOOR((2*XLOOKUP($Q655,'Threshold Summary'!$Y:$Y,'Threshold Summary'!$L:$L,"")/5+2)*pow*atk/def)/50)+2)),modifier,stab*eff,FLOOR(base*modifier)),0)</f>
        <v/>
      </c>
      <c r="L655" s="3">
        <f>IFERROR(LET(mtype,XLOOKUP($D655,'Move Editor'!$B:$B,'Move Editor'!$C:$C,""),cat,XLOOKUP($D655,'Move Editor'!$B:$B,'Move Editor'!$D:$D,""),pow,XLOOKUP($D655,'Move Editor'!$B:$B,'Move Editor'!$E:$E,0),acc,XLOOKUP($D655,'Move Editor'!$B:$B,'Move Editor'!$F:$F,100),atk,IF(cat="Physical",FLOOR((FLOOR(((2*XLOOKUP(XLOOKUP($Q655,'Threshold Summary'!$Y:$Y,'Threshold Summary'!$K:$K,""),'Pokemon Editor'!$A:$A,'Pokemon Editor'!$F:$F,0)+31+FLOOR(XLOOKUP($Q655,'Threshold Summary'!$Y:$Y,'Threshold Summary'!$P:$P,"")/4))*XLOOKUP($Q655,'Threshold Summary'!$Y:$Y,'Threshold Summary'!$L:$L,""))/100)+5)*XLOOKUP(XLOOKUP($Q655,'Threshold Summary'!$Y:$Y,'Threshold Summary'!$M:$M,""),'Nature Editor'!$A:$A,'Nature Editor'!$B:$B,1)),FLOOR((FLOOR(((2*XLOOKUP(XLOOKUP($Q655,'Threshold Summary'!$Y:$Y,'Threshold Summary'!$K:$K,""),'Pokemon Editor'!$A:$A,'Pokemon Editor'!$H:$H,0)+31+FLOOR(XLOOKUP($Q655,'Threshold Summary'!$Y:$Y,'Threshold Summary'!$R:$R,"")/4))*XLOOKUP($Q655,'Threshold Summary'!$Y:$Y,'Threshold Summary'!$L:$L,""))/100)+5)*XLOOKUP(XLOOKUP($Q655,'Threshold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Editor'!$E:$E,1))),stab,IF(OR(mtype=XLOOKUP(XLOOKUP($Q655,'Threshold Summary'!$Y:$Y,'Threshold Summary'!$K:$K,""),'Pokemon Editor'!$A:$A,'Pokemon Editor'!$C:$C,""),mtype=XLOOKUP(XLOOKUP($Q655,'Threshold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Chart'!$B$1:$S$1,0)))),base,IF(OR(cat="Status",pow=0),0,FLOOR(FLOOR(FLOOR((2*XLOOKUP($Q655,'Threshold Summary'!$Y:$Y,'Threshold Summary'!$L:$L,"")/5+2)*pow*atk/def)/50)+2)),modifier,stab*eff,AVERAGE(ARRAYFORMULA(FLOOR(base*modifier*SEQUENCE(16,1,85,1)/100)))),0)</f>
        <v/>
      </c>
      <c r="M655" s="3">
        <f>IFERROR(LET(mtype,XLOOKUP($D655,'Move Editor'!$B:$B,'Move Editor'!$C:$C,""),cat,XLOOKUP($D655,'Move Editor'!$B:$B,'Move Editor'!$D:$D,""),pow,XLOOKUP($D655,'Move Editor'!$B:$B,'Move Editor'!$E:$E,0),acc,XLOOKUP($D655,'Move Editor'!$B:$B,'Move Editor'!$F:$F,100),atk,IF(cat="Physical",FLOOR((FLOOR(((2*XLOOKUP(XLOOKUP($Q655,'Threshold Summary'!$Y:$Y,'Threshold Summary'!$K:$K,""),'Pokemon Editor'!$A:$A,'Pokemon Editor'!$F:$F,0)+31+FLOOR(XLOOKUP($Q655,'Threshold Summary'!$Y:$Y,'Threshold Summary'!$P:$P,"")/4))*XLOOKUP($Q655,'Threshold Summary'!$Y:$Y,'Threshold Summary'!$L:$L,""))/100)+5)*XLOOKUP(XLOOKUP($Q655,'Threshold Summary'!$Y:$Y,'Threshold Summary'!$M:$M,""),'Nature Editor'!$A:$A,'Nature Editor'!$B:$B,1)),FLOOR((FLOOR(((2*XLOOKUP(XLOOKUP($Q655,'Threshold Summary'!$Y:$Y,'Threshold Summary'!$K:$K,""),'Pokemon Editor'!$A:$A,'Pokemon Editor'!$H:$H,0)+31+FLOOR(XLOOKUP($Q655,'Threshold Summary'!$Y:$Y,'Threshold Summary'!$R:$R,"")/4))*XLOOKUP($Q655,'Threshold Summary'!$Y:$Y,'Threshold Summary'!$L:$L,""))/100)+5)*XLOOKUP(XLOOKUP($Q655,'Threshold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Editor'!$E:$E,1))),stab,IF(OR(mtype=XLOOKUP(XLOOKUP($Q655,'Threshold Summary'!$Y:$Y,'Threshold Summary'!$K:$K,""),'Pokemon Editor'!$A:$A,'Pokemon Editor'!$C:$C,""),mtype=XLOOKUP(XLOOKUP($Q655,'Threshold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Chart'!$B$1:$S$1,0)))),base,IF(OR(cat="Status",pow=0),0,FLOOR(FLOOR(FLOOR((2*XLOOKUP($Q655,'Threshold Summary'!$Y:$Y,'Threshold Summary'!$L:$L,"")/5+2)*pow*atk/def)/50)+2)),modifier,stab*eff,AVERAGE(ARRAYFORMULA(FLOOR(base*modifier*SEQUENCE(16,1,85,1)/100)))*MIN(1,acc/100)),0)</f>
        <v/>
      </c>
      <c r="N655" s="4">
        <f>IFERROR(LET(mtype,XLOOKUP($D655,'Move Editor'!$B:$B,'Move Editor'!$C:$C,""),cat,XLOOKUP($D655,'Move Editor'!$B:$B,'Move Editor'!$D:$D,""),pow,XLOOKUP($D655,'Move Editor'!$B:$B,'Move Editor'!$E:$E,0),acc,XLOOKUP($D655,'Move Editor'!$B:$B,'Move Editor'!$F:$F,100),atk,IF(cat="Physical",FLOOR((FLOOR(((2*XLOOKUP(XLOOKUP($Q655,'Threshold Summary'!$Y:$Y,'Threshold Summary'!$K:$K,""),'Pokemon Editor'!$A:$A,'Pokemon Editor'!$F:$F,0)+31+FLOOR(XLOOKUP($Q655,'Threshold Summary'!$Y:$Y,'Threshold Summary'!$P:$P,"")/4))*XLOOKUP($Q655,'Threshold Summary'!$Y:$Y,'Threshold Summary'!$L:$L,""))/100)+5)*XLOOKUP(XLOOKUP($Q655,'Threshold Summary'!$Y:$Y,'Threshold Summary'!$M:$M,""),'Nature Editor'!$A:$A,'Nature Editor'!$B:$B,1)),FLOOR((FLOOR(((2*XLOOKUP(XLOOKUP($Q655,'Threshold Summary'!$Y:$Y,'Threshold Summary'!$K:$K,""),'Pokemon Editor'!$A:$A,'Pokemon Editor'!$H:$H,0)+31+FLOOR(XLOOKUP($Q655,'Threshold Summary'!$Y:$Y,'Threshold Summary'!$R:$R,"")/4))*XLOOKUP($Q655,'Threshold Summary'!$Y:$Y,'Threshold Summary'!$L:$L,""))/100)+5)*XLOOKUP(XLOOKUP($Q655,'Threshold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Editor'!$E:$E,1))),stab,IF(OR(mtype=XLOOKUP(XLOOKUP($Q655,'Threshold Summary'!$Y:$Y,'Threshold Summary'!$K:$K,""),'Pokemon Editor'!$A:$A,'Pokemon Editor'!$C:$C,""),mtype=XLOOKUP(XLOOKUP($Q655,'Threshold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Chart'!$B$1:$S$1,0)))),base,IF(OR(cat="Status",pow=0),0,FLOOR(FLOOR(FLOOR((2*XLOOKUP($Q655,'Threshold Summary'!$Y:$Y,'Threshold Summary'!$L:$L,"")/5+2)*pow*atk/def)/50)+2)),modifier,stab*eff,AVERAGE(ARRAYFORMULA(FLOOR(base*modifier*SEQUENCE(16,1,85,1)/100)))/(FLOOR(((2*XLOOKUP('Boss Editor'!$C$4,'Pokemon Editor'!$A:$A,'Pokemon Editor'!$E:$E,0)+31+FLOOR('Boss Editor'!$G$4/4))*'Boss Editor'!$D$4)/100)+'Boss Editor'!$D$4+10)),0)</f>
        <v/>
      </c>
      <c r="O655" s="3">
        <f>IF(N655&gt;=1,"OHKO",IF(N655&gt;=0.5,"2HKO",IF(N655&gt;=0.333,"3HKO",IF(N655&gt;=0.25,"4HKO","5HKO+"))))</f>
        <v/>
      </c>
      <c r="P655" s="3" t="inlineStr">
        <is>
          <t>Live from editable databases</t>
        </is>
      </c>
      <c r="Q655" s="3" t="inlineStr">
        <is>
          <t>SPECIES_PANCHAM</t>
        </is>
      </c>
      <c r="R655" s="3" t="n">
        <v>14</v>
      </c>
    </row>
    <row r="656">
      <c r="A656" s="3">
        <f>XLOOKUP($Q656,'Threshold Summary'!$Y:$Y,'Threshold Summary'!$A:$A,"")</f>
        <v/>
      </c>
      <c r="B656" s="3">
        <f>XLOOKUP($Q656,'Threshold Summary'!$Y:$Y,'Threshold Summary'!$M:$M,"")</f>
        <v/>
      </c>
      <c r="C656" s="3">
        <f>XLOOKUP($Q656,'Threshold Summary'!$Y:$Y,'Threshold Summary'!$N:$N,"")</f>
        <v/>
      </c>
      <c r="D656" s="3">
        <f>IFERROR(INDEX(FILTER('Learnset Editor'!$D$2:$D,'Learnset Editor'!$A$2:$A=XLOOKUP($Q656,'Threshold Summary'!$Y:$Y,'Threshold Summary'!$K:$K,""),'Learnset Editor'!$C$2:$C&lt;=XLOOKUP($Q656,'Threshold Summary'!$Y:$Y,'Threshold Summary'!$L:$L,"")),$R656),"")</f>
        <v/>
      </c>
      <c r="E656" s="3">
        <f>XLOOKUP(D656,'Move Editor'!$B:$B,'Move Editor'!$C:$C,"")</f>
        <v/>
      </c>
      <c r="F656" s="3">
        <f>XLOOKUP(D656,'Move Editor'!$B:$B,'Move Editor'!$D:$D,"")</f>
        <v/>
      </c>
      <c r="G656" s="3">
        <f>XLOOKUP(D656,'Move Editor'!$B:$B,'Move Editor'!$E:$E,0)</f>
        <v/>
      </c>
      <c r="H656" s="3">
        <f>XLOOKUP(D656,'Move Editor'!$B:$B,'Move Editor'!$F:$F,0)</f>
        <v/>
      </c>
      <c r="I656" s="3">
        <f>(INDEX('Type Chart'!$B:$S,MATCH(E656,'Type Chart'!$A:$A,0),MATCH(XLOOKUP('Boss Editor'!$C$4,'Pokemon Editor'!$A:$A,'Pokemon Editor'!$C:$C,""),'Type Chart'!$B$1:$S$1,0))*IF(XLOOKUP('Boss Editor'!$C$4,'Pokemon Editor'!$A:$A,'Pokemon Editor'!$D:$D,"")="",1,INDEX('Type Chart'!$B:$S,MATCH(E656,'Type Chart'!$A:$A,0),MATCH(XLOOKUP('Boss Editor'!$C$4,'Pokemon Editor'!$A:$A,'Pokemon Editor'!$D:$D,""),'Type Chart'!$B$1:$S$1,0))))</f>
        <v/>
      </c>
      <c r="J656" s="3">
        <f>IFERROR(LET(mtype,XLOOKUP($D656,'Move Editor'!$B:$B,'Move Editor'!$C:$C,""),cat,XLOOKUP($D656,'Move Editor'!$B:$B,'Move Editor'!$D:$D,""),pow,XLOOKUP($D656,'Move Editor'!$B:$B,'Move Editor'!$E:$E,0),acc,XLOOKUP($D656,'Move Editor'!$B:$B,'Move Editor'!$F:$F,100),atk,IF(cat="Physical",FLOOR((FLOOR(((2*XLOOKUP(XLOOKUP($Q656,'Threshold Summary'!$Y:$Y,'Threshold Summary'!$K:$K,""),'Pokemon Editor'!$A:$A,'Pokemon Editor'!$F:$F,0)+31+FLOOR(XLOOKUP($Q656,'Threshold Summary'!$Y:$Y,'Threshold Summary'!$P:$P,"")/4))*XLOOKUP($Q656,'Threshold Summary'!$Y:$Y,'Threshold Summary'!$L:$L,""))/100)+5)*XLOOKUP(XLOOKUP($Q656,'Threshold Summary'!$Y:$Y,'Threshold Summary'!$M:$M,""),'Nature Editor'!$A:$A,'Nature Editor'!$B:$B,1)),FLOOR((FLOOR(((2*XLOOKUP(XLOOKUP($Q656,'Threshold Summary'!$Y:$Y,'Threshold Summary'!$K:$K,""),'Pokemon Editor'!$A:$A,'Pokemon Editor'!$H:$H,0)+31+FLOOR(XLOOKUP($Q656,'Threshold Summary'!$Y:$Y,'Threshold Summary'!$R:$R,"")/4))*XLOOKUP($Q656,'Threshold Summary'!$Y:$Y,'Threshold Summary'!$L:$L,""))/100)+5)*XLOOKUP(XLOOKUP($Q656,'Threshold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Editor'!$E:$E,1))),stab,IF(OR(mtype=XLOOKUP(XLOOKUP($Q656,'Threshold Summary'!$Y:$Y,'Threshold Summary'!$K:$K,""),'Pokemon Editor'!$A:$A,'Pokemon Editor'!$C:$C,""),mtype=XLOOKUP(XLOOKUP($Q656,'Threshold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Chart'!$B$1:$S$1,0)))),base,IF(OR(cat="Status",pow=0),0,FLOOR(FLOOR(FLOOR((2*XLOOKUP($Q656,'Threshold Summary'!$Y:$Y,'Threshold Summary'!$L:$L,"")/5+2)*pow*atk/def)/50)+2)),modifier,stab*eff,FLOOR(base*modifier*0.85)),0)</f>
        <v/>
      </c>
      <c r="K656" s="3">
        <f>IFERROR(LET(mtype,XLOOKUP($D656,'Move Editor'!$B:$B,'Move Editor'!$C:$C,""),cat,XLOOKUP($D656,'Move Editor'!$B:$B,'Move Editor'!$D:$D,""),pow,XLOOKUP($D656,'Move Editor'!$B:$B,'Move Editor'!$E:$E,0),acc,XLOOKUP($D656,'Move Editor'!$B:$B,'Move Editor'!$F:$F,100),atk,IF(cat="Physical",FLOOR((FLOOR(((2*XLOOKUP(XLOOKUP($Q656,'Threshold Summary'!$Y:$Y,'Threshold Summary'!$K:$K,""),'Pokemon Editor'!$A:$A,'Pokemon Editor'!$F:$F,0)+31+FLOOR(XLOOKUP($Q656,'Threshold Summary'!$Y:$Y,'Threshold Summary'!$P:$P,"")/4))*XLOOKUP($Q656,'Threshold Summary'!$Y:$Y,'Threshold Summary'!$L:$L,""))/100)+5)*XLOOKUP(XLOOKUP($Q656,'Threshold Summary'!$Y:$Y,'Threshold Summary'!$M:$M,""),'Nature Editor'!$A:$A,'Nature Editor'!$B:$B,1)),FLOOR((FLOOR(((2*XLOOKUP(XLOOKUP($Q656,'Threshold Summary'!$Y:$Y,'Threshold Summary'!$K:$K,""),'Pokemon Editor'!$A:$A,'Pokemon Editor'!$H:$H,0)+31+FLOOR(XLOOKUP($Q656,'Threshold Summary'!$Y:$Y,'Threshold Summary'!$R:$R,"")/4))*XLOOKUP($Q656,'Threshold Summary'!$Y:$Y,'Threshold Summary'!$L:$L,""))/100)+5)*XLOOKUP(XLOOKUP($Q656,'Threshold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Editor'!$E:$E,1))),stab,IF(OR(mtype=XLOOKUP(XLOOKUP($Q656,'Threshold Summary'!$Y:$Y,'Threshold Summary'!$K:$K,""),'Pokemon Editor'!$A:$A,'Pokemon Editor'!$C:$C,""),mtype=XLOOKUP(XLOOKUP($Q656,'Threshold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Chart'!$B$1:$S$1,0)))),base,IF(OR(cat="Status",pow=0),0,FLOOR(FLOOR(FLOOR((2*XLOOKUP($Q656,'Threshold Summary'!$Y:$Y,'Threshold Summary'!$L:$L,"")/5+2)*pow*atk/def)/50)+2)),modifier,stab*eff,FLOOR(base*modifier)),0)</f>
        <v/>
      </c>
      <c r="L656" s="3">
        <f>IFERROR(LET(mtype,XLOOKUP($D656,'Move Editor'!$B:$B,'Move Editor'!$C:$C,""),cat,XLOOKUP($D656,'Move Editor'!$B:$B,'Move Editor'!$D:$D,""),pow,XLOOKUP($D656,'Move Editor'!$B:$B,'Move Editor'!$E:$E,0),acc,XLOOKUP($D656,'Move Editor'!$B:$B,'Move Editor'!$F:$F,100),atk,IF(cat="Physical",FLOOR((FLOOR(((2*XLOOKUP(XLOOKUP($Q656,'Threshold Summary'!$Y:$Y,'Threshold Summary'!$K:$K,""),'Pokemon Editor'!$A:$A,'Pokemon Editor'!$F:$F,0)+31+FLOOR(XLOOKUP($Q656,'Threshold Summary'!$Y:$Y,'Threshold Summary'!$P:$P,"")/4))*XLOOKUP($Q656,'Threshold Summary'!$Y:$Y,'Threshold Summary'!$L:$L,""))/100)+5)*XLOOKUP(XLOOKUP($Q656,'Threshold Summary'!$Y:$Y,'Threshold Summary'!$M:$M,""),'Nature Editor'!$A:$A,'Nature Editor'!$B:$B,1)),FLOOR((FLOOR(((2*XLOOKUP(XLOOKUP($Q656,'Threshold Summary'!$Y:$Y,'Threshold Summary'!$K:$K,""),'Pokemon Editor'!$A:$A,'Pokemon Editor'!$H:$H,0)+31+FLOOR(XLOOKUP($Q656,'Threshold Summary'!$Y:$Y,'Threshold Summary'!$R:$R,"")/4))*XLOOKUP($Q656,'Threshold Summary'!$Y:$Y,'Threshold Summary'!$L:$L,""))/100)+5)*XLOOKUP(XLOOKUP($Q656,'Threshold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Editor'!$E:$E,1))),stab,IF(OR(mtype=XLOOKUP(XLOOKUP($Q656,'Threshold Summary'!$Y:$Y,'Threshold Summary'!$K:$K,""),'Pokemon Editor'!$A:$A,'Pokemon Editor'!$C:$C,""),mtype=XLOOKUP(XLOOKUP($Q656,'Threshold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Chart'!$B$1:$S$1,0)))),base,IF(OR(cat="Status",pow=0),0,FLOOR(FLOOR(FLOOR((2*XLOOKUP($Q656,'Threshold Summary'!$Y:$Y,'Threshold Summary'!$L:$L,"")/5+2)*pow*atk/def)/50)+2)),modifier,stab*eff,AVERAGE(ARRAYFORMULA(FLOOR(base*modifier*SEQUENCE(16,1,85,1)/100)))),0)</f>
        <v/>
      </c>
      <c r="M656" s="3">
        <f>IFERROR(LET(mtype,XLOOKUP($D656,'Move Editor'!$B:$B,'Move Editor'!$C:$C,""),cat,XLOOKUP($D656,'Move Editor'!$B:$B,'Move Editor'!$D:$D,""),pow,XLOOKUP($D656,'Move Editor'!$B:$B,'Move Editor'!$E:$E,0),acc,XLOOKUP($D656,'Move Editor'!$B:$B,'Move Editor'!$F:$F,100),atk,IF(cat="Physical",FLOOR((FLOOR(((2*XLOOKUP(XLOOKUP($Q656,'Threshold Summary'!$Y:$Y,'Threshold Summary'!$K:$K,""),'Pokemon Editor'!$A:$A,'Pokemon Editor'!$F:$F,0)+31+FLOOR(XLOOKUP($Q656,'Threshold Summary'!$Y:$Y,'Threshold Summary'!$P:$P,"")/4))*XLOOKUP($Q656,'Threshold Summary'!$Y:$Y,'Threshold Summary'!$L:$L,""))/100)+5)*XLOOKUP(XLOOKUP($Q656,'Threshold Summary'!$Y:$Y,'Threshold Summary'!$M:$M,""),'Nature Editor'!$A:$A,'Nature Editor'!$B:$B,1)),FLOOR((FLOOR(((2*XLOOKUP(XLOOKUP($Q656,'Threshold Summary'!$Y:$Y,'Threshold Summary'!$K:$K,""),'Pokemon Editor'!$A:$A,'Pokemon Editor'!$H:$H,0)+31+FLOOR(XLOOKUP($Q656,'Threshold Summary'!$Y:$Y,'Threshold Summary'!$R:$R,"")/4))*XLOOKUP($Q656,'Threshold Summary'!$Y:$Y,'Threshold Summary'!$L:$L,""))/100)+5)*XLOOKUP(XLOOKUP($Q656,'Threshold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Editor'!$E:$E,1))),stab,IF(OR(mtype=XLOOKUP(XLOOKUP($Q656,'Threshold Summary'!$Y:$Y,'Threshold Summary'!$K:$K,""),'Pokemon Editor'!$A:$A,'Pokemon Editor'!$C:$C,""),mtype=XLOOKUP(XLOOKUP($Q656,'Threshold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Chart'!$B$1:$S$1,0)))),base,IF(OR(cat="Status",pow=0),0,FLOOR(FLOOR(FLOOR((2*XLOOKUP($Q656,'Threshold Summary'!$Y:$Y,'Threshold Summary'!$L:$L,"")/5+2)*pow*atk/def)/50)+2)),modifier,stab*eff,AVERAGE(ARRAYFORMULA(FLOOR(base*modifier*SEQUENCE(16,1,85,1)/100)))*MIN(1,acc/100)),0)</f>
        <v/>
      </c>
      <c r="N656" s="4">
        <f>IFERROR(LET(mtype,XLOOKUP($D656,'Move Editor'!$B:$B,'Move Editor'!$C:$C,""),cat,XLOOKUP($D656,'Move Editor'!$B:$B,'Move Editor'!$D:$D,""),pow,XLOOKUP($D656,'Move Editor'!$B:$B,'Move Editor'!$E:$E,0),acc,XLOOKUP($D656,'Move Editor'!$B:$B,'Move Editor'!$F:$F,100),atk,IF(cat="Physical",FLOOR((FLOOR(((2*XLOOKUP(XLOOKUP($Q656,'Threshold Summary'!$Y:$Y,'Threshold Summary'!$K:$K,""),'Pokemon Editor'!$A:$A,'Pokemon Editor'!$F:$F,0)+31+FLOOR(XLOOKUP($Q656,'Threshold Summary'!$Y:$Y,'Threshold Summary'!$P:$P,"")/4))*XLOOKUP($Q656,'Threshold Summary'!$Y:$Y,'Threshold Summary'!$L:$L,""))/100)+5)*XLOOKUP(XLOOKUP($Q656,'Threshold Summary'!$Y:$Y,'Threshold Summary'!$M:$M,""),'Nature Editor'!$A:$A,'Nature Editor'!$B:$B,1)),FLOOR((FLOOR(((2*XLOOKUP(XLOOKUP($Q656,'Threshold Summary'!$Y:$Y,'Threshold Summary'!$K:$K,""),'Pokemon Editor'!$A:$A,'Pokemon Editor'!$H:$H,0)+31+FLOOR(XLOOKUP($Q656,'Threshold Summary'!$Y:$Y,'Threshold Summary'!$R:$R,"")/4))*XLOOKUP($Q656,'Threshold Summary'!$Y:$Y,'Threshold Summary'!$L:$L,""))/100)+5)*XLOOKUP(XLOOKUP($Q656,'Threshold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Editor'!$E:$E,1))),stab,IF(OR(mtype=XLOOKUP(XLOOKUP($Q656,'Threshold Summary'!$Y:$Y,'Threshold Summary'!$K:$K,""),'Pokemon Editor'!$A:$A,'Pokemon Editor'!$C:$C,""),mtype=XLOOKUP(XLOOKUP($Q656,'Threshold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Chart'!$B$1:$S$1,0)))),base,IF(OR(cat="Status",pow=0),0,FLOOR(FLOOR(FLOOR((2*XLOOKUP($Q656,'Threshold Summary'!$Y:$Y,'Threshold Summary'!$L:$L,"")/5+2)*pow*atk/def)/50)+2)),modifier,stab*eff,AVERAGE(ARRAYFORMULA(FLOOR(base*modifier*SEQUENCE(16,1,85,1)/100)))/(FLOOR(((2*XLOOKUP('Boss Editor'!$C$4,'Pokemon Editor'!$A:$A,'Pokemon Editor'!$E:$E,0)+31+FLOOR('Boss Editor'!$G$4/4))*'Boss Editor'!$D$4)/100)+'Boss Editor'!$D$4+10)),0)</f>
        <v/>
      </c>
      <c r="O656" s="3">
        <f>IF(N656&gt;=1,"OHKO",IF(N656&gt;=0.5,"2HKO",IF(N656&gt;=0.333,"3HKO",IF(N656&gt;=0.25,"4HKO","5HKO+"))))</f>
        <v/>
      </c>
      <c r="P656" s="3" t="inlineStr">
        <is>
          <t>Live from editable databases</t>
        </is>
      </c>
      <c r="Q656" s="3" t="inlineStr">
        <is>
          <t>SPECIES_PANCHAM</t>
        </is>
      </c>
      <c r="R656" s="3" t="n">
        <v>15</v>
      </c>
    </row>
    <row r="657">
      <c r="A657" s="3">
        <f>XLOOKUP($Q657,'Threshold Summary'!$Y:$Y,'Threshold Summary'!$A:$A,"")</f>
        <v/>
      </c>
      <c r="B657" s="3">
        <f>XLOOKUP($Q657,'Threshold Summary'!$Y:$Y,'Threshold Summary'!$M:$M,"")</f>
        <v/>
      </c>
      <c r="C657" s="3">
        <f>XLOOKUP($Q657,'Threshold Summary'!$Y:$Y,'Threshold Summary'!$N:$N,"")</f>
        <v/>
      </c>
      <c r="D657" s="3">
        <f>IFERROR(INDEX(FILTER('Learnset Editor'!$D$2:$D,'Learnset Editor'!$A$2:$A=XLOOKUP($Q657,'Threshold Summary'!$Y:$Y,'Threshold Summary'!$K:$K,""),'Learnset Editor'!$C$2:$C&lt;=XLOOKUP($Q657,'Threshold Summary'!$Y:$Y,'Threshold Summary'!$L:$L,"")),$R657),"")</f>
        <v/>
      </c>
      <c r="E657" s="3">
        <f>XLOOKUP(D657,'Move Editor'!$B:$B,'Move Editor'!$C:$C,"")</f>
        <v/>
      </c>
      <c r="F657" s="3">
        <f>XLOOKUP(D657,'Move Editor'!$B:$B,'Move Editor'!$D:$D,"")</f>
        <v/>
      </c>
      <c r="G657" s="3">
        <f>XLOOKUP(D657,'Move Editor'!$B:$B,'Move Editor'!$E:$E,0)</f>
        <v/>
      </c>
      <c r="H657" s="3">
        <f>XLOOKUP(D657,'Move Editor'!$B:$B,'Move Editor'!$F:$F,0)</f>
        <v/>
      </c>
      <c r="I657" s="3">
        <f>(INDEX('Type Chart'!$B:$S,MATCH(E657,'Type Chart'!$A:$A,0),MATCH(XLOOKUP('Boss Editor'!$C$4,'Pokemon Editor'!$A:$A,'Pokemon Editor'!$C:$C,""),'Type Chart'!$B$1:$S$1,0))*IF(XLOOKUP('Boss Editor'!$C$4,'Pokemon Editor'!$A:$A,'Pokemon Editor'!$D:$D,"")="",1,INDEX('Type Chart'!$B:$S,MATCH(E657,'Type Chart'!$A:$A,0),MATCH(XLOOKUP('Boss Editor'!$C$4,'Pokemon Editor'!$A:$A,'Pokemon Editor'!$D:$D,""),'Type Chart'!$B$1:$S$1,0))))</f>
        <v/>
      </c>
      <c r="J657" s="3">
        <f>IFERROR(LET(mtype,XLOOKUP($D657,'Move Editor'!$B:$B,'Move Editor'!$C:$C,""),cat,XLOOKUP($D657,'Move Editor'!$B:$B,'Move Editor'!$D:$D,""),pow,XLOOKUP($D657,'Move Editor'!$B:$B,'Move Editor'!$E:$E,0),acc,XLOOKUP($D657,'Move Editor'!$B:$B,'Move Editor'!$F:$F,100),atk,IF(cat="Physical",FLOOR((FLOOR(((2*XLOOKUP(XLOOKUP($Q657,'Threshold Summary'!$Y:$Y,'Threshold Summary'!$K:$K,""),'Pokemon Editor'!$A:$A,'Pokemon Editor'!$F:$F,0)+31+FLOOR(XLOOKUP($Q657,'Threshold Summary'!$Y:$Y,'Threshold Summary'!$P:$P,"")/4))*XLOOKUP($Q657,'Threshold Summary'!$Y:$Y,'Threshold Summary'!$L:$L,""))/100)+5)*XLOOKUP(XLOOKUP($Q657,'Threshold Summary'!$Y:$Y,'Threshold Summary'!$M:$M,""),'Nature Editor'!$A:$A,'Nature Editor'!$B:$B,1)),FLOOR((FLOOR(((2*XLOOKUP(XLOOKUP($Q657,'Threshold Summary'!$Y:$Y,'Threshold Summary'!$K:$K,""),'Pokemon Editor'!$A:$A,'Pokemon Editor'!$H:$H,0)+31+FLOOR(XLOOKUP($Q657,'Threshold Summary'!$Y:$Y,'Threshold Summary'!$R:$R,"")/4))*XLOOKUP($Q657,'Threshold Summary'!$Y:$Y,'Threshold Summary'!$L:$L,""))/100)+5)*XLOOKUP(XLOOKUP($Q657,'Threshold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Editor'!$E:$E,1))),stab,IF(OR(mtype=XLOOKUP(XLOOKUP($Q657,'Threshold Summary'!$Y:$Y,'Threshold Summary'!$K:$K,""),'Pokemon Editor'!$A:$A,'Pokemon Editor'!$C:$C,""),mtype=XLOOKUP(XLOOKUP($Q657,'Threshold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Chart'!$B$1:$S$1,0)))),base,IF(OR(cat="Status",pow=0),0,FLOOR(FLOOR(FLOOR((2*XLOOKUP($Q657,'Threshold Summary'!$Y:$Y,'Threshold Summary'!$L:$L,"")/5+2)*pow*atk/def)/50)+2)),modifier,stab*eff,FLOOR(base*modifier*0.85)),0)</f>
        <v/>
      </c>
      <c r="K657" s="3">
        <f>IFERROR(LET(mtype,XLOOKUP($D657,'Move Editor'!$B:$B,'Move Editor'!$C:$C,""),cat,XLOOKUP($D657,'Move Editor'!$B:$B,'Move Editor'!$D:$D,""),pow,XLOOKUP($D657,'Move Editor'!$B:$B,'Move Editor'!$E:$E,0),acc,XLOOKUP($D657,'Move Editor'!$B:$B,'Move Editor'!$F:$F,100),atk,IF(cat="Physical",FLOOR((FLOOR(((2*XLOOKUP(XLOOKUP($Q657,'Threshold Summary'!$Y:$Y,'Threshold Summary'!$K:$K,""),'Pokemon Editor'!$A:$A,'Pokemon Editor'!$F:$F,0)+31+FLOOR(XLOOKUP($Q657,'Threshold Summary'!$Y:$Y,'Threshold Summary'!$P:$P,"")/4))*XLOOKUP($Q657,'Threshold Summary'!$Y:$Y,'Threshold Summary'!$L:$L,""))/100)+5)*XLOOKUP(XLOOKUP($Q657,'Threshold Summary'!$Y:$Y,'Threshold Summary'!$M:$M,""),'Nature Editor'!$A:$A,'Nature Editor'!$B:$B,1)),FLOOR((FLOOR(((2*XLOOKUP(XLOOKUP($Q657,'Threshold Summary'!$Y:$Y,'Threshold Summary'!$K:$K,""),'Pokemon Editor'!$A:$A,'Pokemon Editor'!$H:$H,0)+31+FLOOR(XLOOKUP($Q657,'Threshold Summary'!$Y:$Y,'Threshold Summary'!$R:$R,"")/4))*XLOOKUP($Q657,'Threshold Summary'!$Y:$Y,'Threshold Summary'!$L:$L,""))/100)+5)*XLOOKUP(XLOOKUP($Q657,'Threshold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Editor'!$E:$E,1))),stab,IF(OR(mtype=XLOOKUP(XLOOKUP($Q657,'Threshold Summary'!$Y:$Y,'Threshold Summary'!$K:$K,""),'Pokemon Editor'!$A:$A,'Pokemon Editor'!$C:$C,""),mtype=XLOOKUP(XLOOKUP($Q657,'Threshold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Chart'!$B$1:$S$1,0)))),base,IF(OR(cat="Status",pow=0),0,FLOOR(FLOOR(FLOOR((2*XLOOKUP($Q657,'Threshold Summary'!$Y:$Y,'Threshold Summary'!$L:$L,"")/5+2)*pow*atk/def)/50)+2)),modifier,stab*eff,FLOOR(base*modifier)),0)</f>
        <v/>
      </c>
      <c r="L657" s="3">
        <f>IFERROR(LET(mtype,XLOOKUP($D657,'Move Editor'!$B:$B,'Move Editor'!$C:$C,""),cat,XLOOKUP($D657,'Move Editor'!$B:$B,'Move Editor'!$D:$D,""),pow,XLOOKUP($D657,'Move Editor'!$B:$B,'Move Editor'!$E:$E,0),acc,XLOOKUP($D657,'Move Editor'!$B:$B,'Move Editor'!$F:$F,100),atk,IF(cat="Physical",FLOOR((FLOOR(((2*XLOOKUP(XLOOKUP($Q657,'Threshold Summary'!$Y:$Y,'Threshold Summary'!$K:$K,""),'Pokemon Editor'!$A:$A,'Pokemon Editor'!$F:$F,0)+31+FLOOR(XLOOKUP($Q657,'Threshold Summary'!$Y:$Y,'Threshold Summary'!$P:$P,"")/4))*XLOOKUP($Q657,'Threshold Summary'!$Y:$Y,'Threshold Summary'!$L:$L,""))/100)+5)*XLOOKUP(XLOOKUP($Q657,'Threshold Summary'!$Y:$Y,'Threshold Summary'!$M:$M,""),'Nature Editor'!$A:$A,'Nature Editor'!$B:$B,1)),FLOOR((FLOOR(((2*XLOOKUP(XLOOKUP($Q657,'Threshold Summary'!$Y:$Y,'Threshold Summary'!$K:$K,""),'Pokemon Editor'!$A:$A,'Pokemon Editor'!$H:$H,0)+31+FLOOR(XLOOKUP($Q657,'Threshold Summary'!$Y:$Y,'Threshold Summary'!$R:$R,"")/4))*XLOOKUP($Q657,'Threshold Summary'!$Y:$Y,'Threshold Summary'!$L:$L,""))/100)+5)*XLOOKUP(XLOOKUP($Q657,'Threshold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Editor'!$E:$E,1))),stab,IF(OR(mtype=XLOOKUP(XLOOKUP($Q657,'Threshold Summary'!$Y:$Y,'Threshold Summary'!$K:$K,""),'Pokemon Editor'!$A:$A,'Pokemon Editor'!$C:$C,""),mtype=XLOOKUP(XLOOKUP($Q657,'Threshold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Chart'!$B$1:$S$1,0)))),base,IF(OR(cat="Status",pow=0),0,FLOOR(FLOOR(FLOOR((2*XLOOKUP($Q657,'Threshold Summary'!$Y:$Y,'Threshold Summary'!$L:$L,"")/5+2)*pow*atk/def)/50)+2)),modifier,stab*eff,AVERAGE(ARRAYFORMULA(FLOOR(base*modifier*SEQUENCE(16,1,85,1)/100)))),0)</f>
        <v/>
      </c>
      <c r="M657" s="3">
        <f>IFERROR(LET(mtype,XLOOKUP($D657,'Move Editor'!$B:$B,'Move Editor'!$C:$C,""),cat,XLOOKUP($D657,'Move Editor'!$B:$B,'Move Editor'!$D:$D,""),pow,XLOOKUP($D657,'Move Editor'!$B:$B,'Move Editor'!$E:$E,0),acc,XLOOKUP($D657,'Move Editor'!$B:$B,'Move Editor'!$F:$F,100),atk,IF(cat="Physical",FLOOR((FLOOR(((2*XLOOKUP(XLOOKUP($Q657,'Threshold Summary'!$Y:$Y,'Threshold Summary'!$K:$K,""),'Pokemon Editor'!$A:$A,'Pokemon Editor'!$F:$F,0)+31+FLOOR(XLOOKUP($Q657,'Threshold Summary'!$Y:$Y,'Threshold Summary'!$P:$P,"")/4))*XLOOKUP($Q657,'Threshold Summary'!$Y:$Y,'Threshold Summary'!$L:$L,""))/100)+5)*XLOOKUP(XLOOKUP($Q657,'Threshold Summary'!$Y:$Y,'Threshold Summary'!$M:$M,""),'Nature Editor'!$A:$A,'Nature Editor'!$B:$B,1)),FLOOR((FLOOR(((2*XLOOKUP(XLOOKUP($Q657,'Threshold Summary'!$Y:$Y,'Threshold Summary'!$K:$K,""),'Pokemon Editor'!$A:$A,'Pokemon Editor'!$H:$H,0)+31+FLOOR(XLOOKUP($Q657,'Threshold Summary'!$Y:$Y,'Threshold Summary'!$R:$R,"")/4))*XLOOKUP($Q657,'Threshold Summary'!$Y:$Y,'Threshold Summary'!$L:$L,""))/100)+5)*XLOOKUP(XLOOKUP($Q657,'Threshold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Editor'!$E:$E,1))),stab,IF(OR(mtype=XLOOKUP(XLOOKUP($Q657,'Threshold Summary'!$Y:$Y,'Threshold Summary'!$K:$K,""),'Pokemon Editor'!$A:$A,'Pokemon Editor'!$C:$C,""),mtype=XLOOKUP(XLOOKUP($Q657,'Threshold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Chart'!$B$1:$S$1,0)))),base,IF(OR(cat="Status",pow=0),0,FLOOR(FLOOR(FLOOR((2*XLOOKUP($Q657,'Threshold Summary'!$Y:$Y,'Threshold Summary'!$L:$L,"")/5+2)*pow*atk/def)/50)+2)),modifier,stab*eff,AVERAGE(ARRAYFORMULA(FLOOR(base*modifier*SEQUENCE(16,1,85,1)/100)))*MIN(1,acc/100)),0)</f>
        <v/>
      </c>
      <c r="N657" s="4">
        <f>IFERROR(LET(mtype,XLOOKUP($D657,'Move Editor'!$B:$B,'Move Editor'!$C:$C,""),cat,XLOOKUP($D657,'Move Editor'!$B:$B,'Move Editor'!$D:$D,""),pow,XLOOKUP($D657,'Move Editor'!$B:$B,'Move Editor'!$E:$E,0),acc,XLOOKUP($D657,'Move Editor'!$B:$B,'Move Editor'!$F:$F,100),atk,IF(cat="Physical",FLOOR((FLOOR(((2*XLOOKUP(XLOOKUP($Q657,'Threshold Summary'!$Y:$Y,'Threshold Summary'!$K:$K,""),'Pokemon Editor'!$A:$A,'Pokemon Editor'!$F:$F,0)+31+FLOOR(XLOOKUP($Q657,'Threshold Summary'!$Y:$Y,'Threshold Summary'!$P:$P,"")/4))*XLOOKUP($Q657,'Threshold Summary'!$Y:$Y,'Threshold Summary'!$L:$L,""))/100)+5)*XLOOKUP(XLOOKUP($Q657,'Threshold Summary'!$Y:$Y,'Threshold Summary'!$M:$M,""),'Nature Editor'!$A:$A,'Nature Editor'!$B:$B,1)),FLOOR((FLOOR(((2*XLOOKUP(XLOOKUP($Q657,'Threshold Summary'!$Y:$Y,'Threshold Summary'!$K:$K,""),'Pokemon Editor'!$A:$A,'Pokemon Editor'!$H:$H,0)+31+FLOOR(XLOOKUP($Q657,'Threshold Summary'!$Y:$Y,'Threshold Summary'!$R:$R,"")/4))*XLOOKUP($Q657,'Threshold Summary'!$Y:$Y,'Threshold Summary'!$L:$L,""))/100)+5)*XLOOKUP(XLOOKUP($Q657,'Threshold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Editor'!$E:$E,1))),stab,IF(OR(mtype=XLOOKUP(XLOOKUP($Q657,'Threshold Summary'!$Y:$Y,'Threshold Summary'!$K:$K,""),'Pokemon Editor'!$A:$A,'Pokemon Editor'!$C:$C,""),mtype=XLOOKUP(XLOOKUP($Q657,'Threshold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Chart'!$B$1:$S$1,0)))),base,IF(OR(cat="Status",pow=0),0,FLOOR(FLOOR(FLOOR((2*XLOOKUP($Q657,'Threshold Summary'!$Y:$Y,'Threshold Summary'!$L:$L,"")/5+2)*pow*atk/def)/50)+2)),modifier,stab*eff,AVERAGE(ARRAYFORMULA(FLOOR(base*modifier*SEQUENCE(16,1,85,1)/100)))/(FLOOR(((2*XLOOKUP('Boss Editor'!$C$4,'Pokemon Editor'!$A:$A,'Pokemon Editor'!$E:$E,0)+31+FLOOR('Boss Editor'!$G$4/4))*'Boss Editor'!$D$4)/100)+'Boss Editor'!$D$4+10)),0)</f>
        <v/>
      </c>
      <c r="O657" s="3">
        <f>IF(N657&gt;=1,"OHKO",IF(N657&gt;=0.5,"2HKO",IF(N657&gt;=0.333,"3HKO",IF(N657&gt;=0.25,"4HKO","5HKO+"))))</f>
        <v/>
      </c>
      <c r="P657" s="3" t="inlineStr">
        <is>
          <t>Live from editable databases</t>
        </is>
      </c>
      <c r="Q657" s="3" t="inlineStr">
        <is>
          <t>SPECIES_PANCHAM</t>
        </is>
      </c>
      <c r="R657" s="3" t="n">
        <v>16</v>
      </c>
    </row>
    <row r="658">
      <c r="A658" s="3">
        <f>XLOOKUP($Q658,'Threshold Summary'!$Y:$Y,'Threshold Summary'!$A:$A,"")</f>
        <v/>
      </c>
      <c r="B658" s="3">
        <f>XLOOKUP($Q658,'Threshold Summary'!$Y:$Y,'Threshold Summary'!$M:$M,"")</f>
        <v/>
      </c>
      <c r="C658" s="3">
        <f>XLOOKUP($Q658,'Threshold Summary'!$Y:$Y,'Threshold Summary'!$N:$N,"")</f>
        <v/>
      </c>
      <c r="D658" s="3">
        <f>IFERROR(INDEX(FILTER('Learnset Editor'!$D$2:$D,'Learnset Editor'!$A$2:$A=XLOOKUP($Q658,'Threshold Summary'!$Y:$Y,'Threshold Summary'!$K:$K,""),'Learnset Editor'!$C$2:$C&lt;=XLOOKUP($Q658,'Threshold Summary'!$Y:$Y,'Threshold Summary'!$L:$L,"")),$R658),"")</f>
        <v/>
      </c>
      <c r="E658" s="3">
        <f>XLOOKUP(D658,'Move Editor'!$B:$B,'Move Editor'!$C:$C,"")</f>
        <v/>
      </c>
      <c r="F658" s="3">
        <f>XLOOKUP(D658,'Move Editor'!$B:$B,'Move Editor'!$D:$D,"")</f>
        <v/>
      </c>
      <c r="G658" s="3">
        <f>XLOOKUP(D658,'Move Editor'!$B:$B,'Move Editor'!$E:$E,0)</f>
        <v/>
      </c>
      <c r="H658" s="3">
        <f>XLOOKUP(D658,'Move Editor'!$B:$B,'Move Editor'!$F:$F,0)</f>
        <v/>
      </c>
      <c r="I658" s="3">
        <f>(INDEX('Type Chart'!$B:$S,MATCH(E658,'Type Chart'!$A:$A,0),MATCH(XLOOKUP('Boss Editor'!$C$4,'Pokemon Editor'!$A:$A,'Pokemon Editor'!$C:$C,""),'Type Chart'!$B$1:$S$1,0))*IF(XLOOKUP('Boss Editor'!$C$4,'Pokemon Editor'!$A:$A,'Pokemon Editor'!$D:$D,"")="",1,INDEX('Type Chart'!$B:$S,MATCH(E658,'Type Chart'!$A:$A,0),MATCH(XLOOKUP('Boss Editor'!$C$4,'Pokemon Editor'!$A:$A,'Pokemon Editor'!$D:$D,""),'Type Chart'!$B$1:$S$1,0))))</f>
        <v/>
      </c>
      <c r="J658" s="3">
        <f>IFERROR(LET(mtype,XLOOKUP($D658,'Move Editor'!$B:$B,'Move Editor'!$C:$C,""),cat,XLOOKUP($D658,'Move Editor'!$B:$B,'Move Editor'!$D:$D,""),pow,XLOOKUP($D658,'Move Editor'!$B:$B,'Move Editor'!$E:$E,0),acc,XLOOKUP($D658,'Move Editor'!$B:$B,'Move Editor'!$F:$F,100),atk,IF(cat="Physical",FLOOR((FLOOR(((2*XLOOKUP(XLOOKUP($Q658,'Threshold Summary'!$Y:$Y,'Threshold Summary'!$K:$K,""),'Pokemon Editor'!$A:$A,'Pokemon Editor'!$F:$F,0)+31+FLOOR(XLOOKUP($Q658,'Threshold Summary'!$Y:$Y,'Threshold Summary'!$P:$P,"")/4))*XLOOKUP($Q658,'Threshold Summary'!$Y:$Y,'Threshold Summary'!$L:$L,""))/100)+5)*XLOOKUP(XLOOKUP($Q658,'Threshold Summary'!$Y:$Y,'Threshold Summary'!$M:$M,""),'Nature Editor'!$A:$A,'Nature Editor'!$B:$B,1)),FLOOR((FLOOR(((2*XLOOKUP(XLOOKUP($Q658,'Threshold Summary'!$Y:$Y,'Threshold Summary'!$K:$K,""),'Pokemon Editor'!$A:$A,'Pokemon Editor'!$H:$H,0)+31+FLOOR(XLOOKUP($Q658,'Threshold Summary'!$Y:$Y,'Threshold Summary'!$R:$R,"")/4))*XLOOKUP($Q658,'Threshold Summary'!$Y:$Y,'Threshold Summary'!$L:$L,""))/100)+5)*XLOOKUP(XLOOKUP($Q658,'Threshold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Editor'!$E:$E,1))),stab,IF(OR(mtype=XLOOKUP(XLOOKUP($Q658,'Threshold Summary'!$Y:$Y,'Threshold Summary'!$K:$K,""),'Pokemon Editor'!$A:$A,'Pokemon Editor'!$C:$C,""),mtype=XLOOKUP(XLOOKUP($Q658,'Threshold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Chart'!$B$1:$S$1,0)))),base,IF(OR(cat="Status",pow=0),0,FLOOR(FLOOR(FLOOR((2*XLOOKUP($Q658,'Threshold Summary'!$Y:$Y,'Threshold Summary'!$L:$L,"")/5+2)*pow*atk/def)/50)+2)),modifier,stab*eff,FLOOR(base*modifier*0.85)),0)</f>
        <v/>
      </c>
      <c r="K658" s="3">
        <f>IFERROR(LET(mtype,XLOOKUP($D658,'Move Editor'!$B:$B,'Move Editor'!$C:$C,""),cat,XLOOKUP($D658,'Move Editor'!$B:$B,'Move Editor'!$D:$D,""),pow,XLOOKUP($D658,'Move Editor'!$B:$B,'Move Editor'!$E:$E,0),acc,XLOOKUP($D658,'Move Editor'!$B:$B,'Move Editor'!$F:$F,100),atk,IF(cat="Physical",FLOOR((FLOOR(((2*XLOOKUP(XLOOKUP($Q658,'Threshold Summary'!$Y:$Y,'Threshold Summary'!$K:$K,""),'Pokemon Editor'!$A:$A,'Pokemon Editor'!$F:$F,0)+31+FLOOR(XLOOKUP($Q658,'Threshold Summary'!$Y:$Y,'Threshold Summary'!$P:$P,"")/4))*XLOOKUP($Q658,'Threshold Summary'!$Y:$Y,'Threshold Summary'!$L:$L,""))/100)+5)*XLOOKUP(XLOOKUP($Q658,'Threshold Summary'!$Y:$Y,'Threshold Summary'!$M:$M,""),'Nature Editor'!$A:$A,'Nature Editor'!$B:$B,1)),FLOOR((FLOOR(((2*XLOOKUP(XLOOKUP($Q658,'Threshold Summary'!$Y:$Y,'Threshold Summary'!$K:$K,""),'Pokemon Editor'!$A:$A,'Pokemon Editor'!$H:$H,0)+31+FLOOR(XLOOKUP($Q658,'Threshold Summary'!$Y:$Y,'Threshold Summary'!$R:$R,"")/4))*XLOOKUP($Q658,'Threshold Summary'!$Y:$Y,'Threshold Summary'!$L:$L,""))/100)+5)*XLOOKUP(XLOOKUP($Q658,'Threshold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Editor'!$E:$E,1))),stab,IF(OR(mtype=XLOOKUP(XLOOKUP($Q658,'Threshold Summary'!$Y:$Y,'Threshold Summary'!$K:$K,""),'Pokemon Editor'!$A:$A,'Pokemon Editor'!$C:$C,""),mtype=XLOOKUP(XLOOKUP($Q658,'Threshold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Chart'!$B$1:$S$1,0)))),base,IF(OR(cat="Status",pow=0),0,FLOOR(FLOOR(FLOOR((2*XLOOKUP($Q658,'Threshold Summary'!$Y:$Y,'Threshold Summary'!$L:$L,"")/5+2)*pow*atk/def)/50)+2)),modifier,stab*eff,FLOOR(base*modifier)),0)</f>
        <v/>
      </c>
      <c r="L658" s="3">
        <f>IFERROR(LET(mtype,XLOOKUP($D658,'Move Editor'!$B:$B,'Move Editor'!$C:$C,""),cat,XLOOKUP($D658,'Move Editor'!$B:$B,'Move Editor'!$D:$D,""),pow,XLOOKUP($D658,'Move Editor'!$B:$B,'Move Editor'!$E:$E,0),acc,XLOOKUP($D658,'Move Editor'!$B:$B,'Move Editor'!$F:$F,100),atk,IF(cat="Physical",FLOOR((FLOOR(((2*XLOOKUP(XLOOKUP($Q658,'Threshold Summary'!$Y:$Y,'Threshold Summary'!$K:$K,""),'Pokemon Editor'!$A:$A,'Pokemon Editor'!$F:$F,0)+31+FLOOR(XLOOKUP($Q658,'Threshold Summary'!$Y:$Y,'Threshold Summary'!$P:$P,"")/4))*XLOOKUP($Q658,'Threshold Summary'!$Y:$Y,'Threshold Summary'!$L:$L,""))/100)+5)*XLOOKUP(XLOOKUP($Q658,'Threshold Summary'!$Y:$Y,'Threshold Summary'!$M:$M,""),'Nature Editor'!$A:$A,'Nature Editor'!$B:$B,1)),FLOOR((FLOOR(((2*XLOOKUP(XLOOKUP($Q658,'Threshold Summary'!$Y:$Y,'Threshold Summary'!$K:$K,""),'Pokemon Editor'!$A:$A,'Pokemon Editor'!$H:$H,0)+31+FLOOR(XLOOKUP($Q658,'Threshold Summary'!$Y:$Y,'Threshold Summary'!$R:$R,"")/4))*XLOOKUP($Q658,'Threshold Summary'!$Y:$Y,'Threshold Summary'!$L:$L,""))/100)+5)*XLOOKUP(XLOOKUP($Q658,'Threshold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Editor'!$E:$E,1))),stab,IF(OR(mtype=XLOOKUP(XLOOKUP($Q658,'Threshold Summary'!$Y:$Y,'Threshold Summary'!$K:$K,""),'Pokemon Editor'!$A:$A,'Pokemon Editor'!$C:$C,""),mtype=XLOOKUP(XLOOKUP($Q658,'Threshold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Chart'!$B$1:$S$1,0)))),base,IF(OR(cat="Status",pow=0),0,FLOOR(FLOOR(FLOOR((2*XLOOKUP($Q658,'Threshold Summary'!$Y:$Y,'Threshold Summary'!$L:$L,"")/5+2)*pow*atk/def)/50)+2)),modifier,stab*eff,AVERAGE(ARRAYFORMULA(FLOOR(base*modifier*SEQUENCE(16,1,85,1)/100)))),0)</f>
        <v/>
      </c>
      <c r="M658" s="3">
        <f>IFERROR(LET(mtype,XLOOKUP($D658,'Move Editor'!$B:$B,'Move Editor'!$C:$C,""),cat,XLOOKUP($D658,'Move Editor'!$B:$B,'Move Editor'!$D:$D,""),pow,XLOOKUP($D658,'Move Editor'!$B:$B,'Move Editor'!$E:$E,0),acc,XLOOKUP($D658,'Move Editor'!$B:$B,'Move Editor'!$F:$F,100),atk,IF(cat="Physical",FLOOR((FLOOR(((2*XLOOKUP(XLOOKUP($Q658,'Threshold Summary'!$Y:$Y,'Threshold Summary'!$K:$K,""),'Pokemon Editor'!$A:$A,'Pokemon Editor'!$F:$F,0)+31+FLOOR(XLOOKUP($Q658,'Threshold Summary'!$Y:$Y,'Threshold Summary'!$P:$P,"")/4))*XLOOKUP($Q658,'Threshold Summary'!$Y:$Y,'Threshold Summary'!$L:$L,""))/100)+5)*XLOOKUP(XLOOKUP($Q658,'Threshold Summary'!$Y:$Y,'Threshold Summary'!$M:$M,""),'Nature Editor'!$A:$A,'Nature Editor'!$B:$B,1)),FLOOR((FLOOR(((2*XLOOKUP(XLOOKUP($Q658,'Threshold Summary'!$Y:$Y,'Threshold Summary'!$K:$K,""),'Pokemon Editor'!$A:$A,'Pokemon Editor'!$H:$H,0)+31+FLOOR(XLOOKUP($Q658,'Threshold Summary'!$Y:$Y,'Threshold Summary'!$R:$R,"")/4))*XLOOKUP($Q658,'Threshold Summary'!$Y:$Y,'Threshold Summary'!$L:$L,""))/100)+5)*XLOOKUP(XLOOKUP($Q658,'Threshold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Editor'!$E:$E,1))),stab,IF(OR(mtype=XLOOKUP(XLOOKUP($Q658,'Threshold Summary'!$Y:$Y,'Threshold Summary'!$K:$K,""),'Pokemon Editor'!$A:$A,'Pokemon Editor'!$C:$C,""),mtype=XLOOKUP(XLOOKUP($Q658,'Threshold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Chart'!$B$1:$S$1,0)))),base,IF(OR(cat="Status",pow=0),0,FLOOR(FLOOR(FLOOR((2*XLOOKUP($Q658,'Threshold Summary'!$Y:$Y,'Threshold Summary'!$L:$L,"")/5+2)*pow*atk/def)/50)+2)),modifier,stab*eff,AVERAGE(ARRAYFORMULA(FLOOR(base*modifier*SEQUENCE(16,1,85,1)/100)))*MIN(1,acc/100)),0)</f>
        <v/>
      </c>
      <c r="N658" s="4">
        <f>IFERROR(LET(mtype,XLOOKUP($D658,'Move Editor'!$B:$B,'Move Editor'!$C:$C,""),cat,XLOOKUP($D658,'Move Editor'!$B:$B,'Move Editor'!$D:$D,""),pow,XLOOKUP($D658,'Move Editor'!$B:$B,'Move Editor'!$E:$E,0),acc,XLOOKUP($D658,'Move Editor'!$B:$B,'Move Editor'!$F:$F,100),atk,IF(cat="Physical",FLOOR((FLOOR(((2*XLOOKUP(XLOOKUP($Q658,'Threshold Summary'!$Y:$Y,'Threshold Summary'!$K:$K,""),'Pokemon Editor'!$A:$A,'Pokemon Editor'!$F:$F,0)+31+FLOOR(XLOOKUP($Q658,'Threshold Summary'!$Y:$Y,'Threshold Summary'!$P:$P,"")/4))*XLOOKUP($Q658,'Threshold Summary'!$Y:$Y,'Threshold Summary'!$L:$L,""))/100)+5)*XLOOKUP(XLOOKUP($Q658,'Threshold Summary'!$Y:$Y,'Threshold Summary'!$M:$M,""),'Nature Editor'!$A:$A,'Nature Editor'!$B:$B,1)),FLOOR((FLOOR(((2*XLOOKUP(XLOOKUP($Q658,'Threshold Summary'!$Y:$Y,'Threshold Summary'!$K:$K,""),'Pokemon Editor'!$A:$A,'Pokemon Editor'!$H:$H,0)+31+FLOOR(XLOOKUP($Q658,'Threshold Summary'!$Y:$Y,'Threshold Summary'!$R:$R,"")/4))*XLOOKUP($Q658,'Threshold Summary'!$Y:$Y,'Threshold Summary'!$L:$L,""))/100)+5)*XLOOKUP(XLOOKUP($Q658,'Threshold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Editor'!$E:$E,1))),stab,IF(OR(mtype=XLOOKUP(XLOOKUP($Q658,'Threshold Summary'!$Y:$Y,'Threshold Summary'!$K:$K,""),'Pokemon Editor'!$A:$A,'Pokemon Editor'!$C:$C,""),mtype=XLOOKUP(XLOOKUP($Q658,'Threshold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Chart'!$B$1:$S$1,0)))),base,IF(OR(cat="Status",pow=0),0,FLOOR(FLOOR(FLOOR((2*XLOOKUP($Q658,'Threshold Summary'!$Y:$Y,'Threshold Summary'!$L:$L,"")/5+2)*pow*atk/def)/50)+2)),modifier,stab*eff,AVERAGE(ARRAYFORMULA(FLOOR(base*modifier*SEQUENCE(16,1,85,1)/100)))/(FLOOR(((2*XLOOKUP('Boss Editor'!$C$4,'Pokemon Editor'!$A:$A,'Pokemon Editor'!$E:$E,0)+31+FLOOR('Boss Editor'!$G$4/4))*'Boss Editor'!$D$4)/100)+'Boss Editor'!$D$4+10)),0)</f>
        <v/>
      </c>
      <c r="O658" s="3">
        <f>IF(N658&gt;=1,"OHKO",IF(N658&gt;=0.5,"2HKO",IF(N658&gt;=0.333,"3HKO",IF(N658&gt;=0.25,"4HKO","5HKO+"))))</f>
        <v/>
      </c>
      <c r="P658" s="3" t="inlineStr">
        <is>
          <t>Live from editable databases</t>
        </is>
      </c>
      <c r="Q658" s="3" t="inlineStr">
        <is>
          <t>SPECIES_PANCHAM</t>
        </is>
      </c>
      <c r="R658" s="3" t="n">
        <v>17</v>
      </c>
    </row>
    <row r="659">
      <c r="A659" s="3">
        <f>XLOOKUP($Q659,'Threshold Summary'!$Y:$Y,'Threshold Summary'!$A:$A,"")</f>
        <v/>
      </c>
      <c r="B659" s="3">
        <f>XLOOKUP($Q659,'Threshold Summary'!$Y:$Y,'Threshold Summary'!$M:$M,"")</f>
        <v/>
      </c>
      <c r="C659" s="3">
        <f>XLOOKUP($Q659,'Threshold Summary'!$Y:$Y,'Threshold Summary'!$N:$N,"")</f>
        <v/>
      </c>
      <c r="D659" s="3">
        <f>IFERROR(INDEX(FILTER('Learnset Editor'!$D$2:$D,'Learnset Editor'!$A$2:$A=XLOOKUP($Q659,'Threshold Summary'!$Y:$Y,'Threshold Summary'!$K:$K,""),'Learnset Editor'!$C$2:$C&lt;=XLOOKUP($Q659,'Threshold Summary'!$Y:$Y,'Threshold Summary'!$L:$L,"")),$R659),"")</f>
        <v/>
      </c>
      <c r="E659" s="3">
        <f>XLOOKUP(D659,'Move Editor'!$B:$B,'Move Editor'!$C:$C,"")</f>
        <v/>
      </c>
      <c r="F659" s="3">
        <f>XLOOKUP(D659,'Move Editor'!$B:$B,'Move Editor'!$D:$D,"")</f>
        <v/>
      </c>
      <c r="G659" s="3">
        <f>XLOOKUP(D659,'Move Editor'!$B:$B,'Move Editor'!$E:$E,0)</f>
        <v/>
      </c>
      <c r="H659" s="3">
        <f>XLOOKUP(D659,'Move Editor'!$B:$B,'Move Editor'!$F:$F,0)</f>
        <v/>
      </c>
      <c r="I659" s="3">
        <f>(INDEX('Type Chart'!$B:$S,MATCH(E659,'Type Chart'!$A:$A,0),MATCH(XLOOKUP('Boss Editor'!$C$4,'Pokemon Editor'!$A:$A,'Pokemon Editor'!$C:$C,""),'Type Chart'!$B$1:$S$1,0))*IF(XLOOKUP('Boss Editor'!$C$4,'Pokemon Editor'!$A:$A,'Pokemon Editor'!$D:$D,"")="",1,INDEX('Type Chart'!$B:$S,MATCH(E659,'Type Chart'!$A:$A,0),MATCH(XLOOKUP('Boss Editor'!$C$4,'Pokemon Editor'!$A:$A,'Pokemon Editor'!$D:$D,""),'Type Chart'!$B$1:$S$1,0))))</f>
        <v/>
      </c>
      <c r="J659" s="3">
        <f>IFERROR(LET(mtype,XLOOKUP($D659,'Move Editor'!$B:$B,'Move Editor'!$C:$C,""),cat,XLOOKUP($D659,'Move Editor'!$B:$B,'Move Editor'!$D:$D,""),pow,XLOOKUP($D659,'Move Editor'!$B:$B,'Move Editor'!$E:$E,0),acc,XLOOKUP($D659,'Move Editor'!$B:$B,'Move Editor'!$F:$F,100),atk,IF(cat="Physical",FLOOR((FLOOR(((2*XLOOKUP(XLOOKUP($Q659,'Threshold Summary'!$Y:$Y,'Threshold Summary'!$K:$K,""),'Pokemon Editor'!$A:$A,'Pokemon Editor'!$F:$F,0)+31+FLOOR(XLOOKUP($Q659,'Threshold Summary'!$Y:$Y,'Threshold Summary'!$P:$P,"")/4))*XLOOKUP($Q659,'Threshold Summary'!$Y:$Y,'Threshold Summary'!$L:$L,""))/100)+5)*XLOOKUP(XLOOKUP($Q659,'Threshold Summary'!$Y:$Y,'Threshold Summary'!$M:$M,""),'Nature Editor'!$A:$A,'Nature Editor'!$B:$B,1)),FLOOR((FLOOR(((2*XLOOKUP(XLOOKUP($Q659,'Threshold Summary'!$Y:$Y,'Threshold Summary'!$K:$K,""),'Pokemon Editor'!$A:$A,'Pokemon Editor'!$H:$H,0)+31+FLOOR(XLOOKUP($Q659,'Threshold Summary'!$Y:$Y,'Threshold Summary'!$R:$R,"")/4))*XLOOKUP($Q659,'Threshold Summary'!$Y:$Y,'Threshold Summary'!$L:$L,""))/100)+5)*XLOOKUP(XLOOKUP($Q659,'Threshold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Editor'!$E:$E,1))),stab,IF(OR(mtype=XLOOKUP(XLOOKUP($Q659,'Threshold Summary'!$Y:$Y,'Threshold Summary'!$K:$K,""),'Pokemon Editor'!$A:$A,'Pokemon Editor'!$C:$C,""),mtype=XLOOKUP(XLOOKUP($Q659,'Threshold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Chart'!$B$1:$S$1,0)))),base,IF(OR(cat="Status",pow=0),0,FLOOR(FLOOR(FLOOR((2*XLOOKUP($Q659,'Threshold Summary'!$Y:$Y,'Threshold Summary'!$L:$L,"")/5+2)*pow*atk/def)/50)+2)),modifier,stab*eff,FLOOR(base*modifier*0.85)),0)</f>
        <v/>
      </c>
      <c r="K659" s="3">
        <f>IFERROR(LET(mtype,XLOOKUP($D659,'Move Editor'!$B:$B,'Move Editor'!$C:$C,""),cat,XLOOKUP($D659,'Move Editor'!$B:$B,'Move Editor'!$D:$D,""),pow,XLOOKUP($D659,'Move Editor'!$B:$B,'Move Editor'!$E:$E,0),acc,XLOOKUP($D659,'Move Editor'!$B:$B,'Move Editor'!$F:$F,100),atk,IF(cat="Physical",FLOOR((FLOOR(((2*XLOOKUP(XLOOKUP($Q659,'Threshold Summary'!$Y:$Y,'Threshold Summary'!$K:$K,""),'Pokemon Editor'!$A:$A,'Pokemon Editor'!$F:$F,0)+31+FLOOR(XLOOKUP($Q659,'Threshold Summary'!$Y:$Y,'Threshold Summary'!$P:$P,"")/4))*XLOOKUP($Q659,'Threshold Summary'!$Y:$Y,'Threshold Summary'!$L:$L,""))/100)+5)*XLOOKUP(XLOOKUP($Q659,'Threshold Summary'!$Y:$Y,'Threshold Summary'!$M:$M,""),'Nature Editor'!$A:$A,'Nature Editor'!$B:$B,1)),FLOOR((FLOOR(((2*XLOOKUP(XLOOKUP($Q659,'Threshold Summary'!$Y:$Y,'Threshold Summary'!$K:$K,""),'Pokemon Editor'!$A:$A,'Pokemon Editor'!$H:$H,0)+31+FLOOR(XLOOKUP($Q659,'Threshold Summary'!$Y:$Y,'Threshold Summary'!$R:$R,"")/4))*XLOOKUP($Q659,'Threshold Summary'!$Y:$Y,'Threshold Summary'!$L:$L,""))/100)+5)*XLOOKUP(XLOOKUP($Q659,'Threshold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Editor'!$E:$E,1))),stab,IF(OR(mtype=XLOOKUP(XLOOKUP($Q659,'Threshold Summary'!$Y:$Y,'Threshold Summary'!$K:$K,""),'Pokemon Editor'!$A:$A,'Pokemon Editor'!$C:$C,""),mtype=XLOOKUP(XLOOKUP($Q659,'Threshold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Chart'!$B$1:$S$1,0)))),base,IF(OR(cat="Status",pow=0),0,FLOOR(FLOOR(FLOOR((2*XLOOKUP($Q659,'Threshold Summary'!$Y:$Y,'Threshold Summary'!$L:$L,"")/5+2)*pow*atk/def)/50)+2)),modifier,stab*eff,FLOOR(base*modifier)),0)</f>
        <v/>
      </c>
      <c r="L659" s="3">
        <f>IFERROR(LET(mtype,XLOOKUP($D659,'Move Editor'!$B:$B,'Move Editor'!$C:$C,""),cat,XLOOKUP($D659,'Move Editor'!$B:$B,'Move Editor'!$D:$D,""),pow,XLOOKUP($D659,'Move Editor'!$B:$B,'Move Editor'!$E:$E,0),acc,XLOOKUP($D659,'Move Editor'!$B:$B,'Move Editor'!$F:$F,100),atk,IF(cat="Physical",FLOOR((FLOOR(((2*XLOOKUP(XLOOKUP($Q659,'Threshold Summary'!$Y:$Y,'Threshold Summary'!$K:$K,""),'Pokemon Editor'!$A:$A,'Pokemon Editor'!$F:$F,0)+31+FLOOR(XLOOKUP($Q659,'Threshold Summary'!$Y:$Y,'Threshold Summary'!$P:$P,"")/4))*XLOOKUP($Q659,'Threshold Summary'!$Y:$Y,'Threshold Summary'!$L:$L,""))/100)+5)*XLOOKUP(XLOOKUP($Q659,'Threshold Summary'!$Y:$Y,'Threshold Summary'!$M:$M,""),'Nature Editor'!$A:$A,'Nature Editor'!$B:$B,1)),FLOOR((FLOOR(((2*XLOOKUP(XLOOKUP($Q659,'Threshold Summary'!$Y:$Y,'Threshold Summary'!$K:$K,""),'Pokemon Editor'!$A:$A,'Pokemon Editor'!$H:$H,0)+31+FLOOR(XLOOKUP($Q659,'Threshold Summary'!$Y:$Y,'Threshold Summary'!$R:$R,"")/4))*XLOOKUP($Q659,'Threshold Summary'!$Y:$Y,'Threshold Summary'!$L:$L,""))/100)+5)*XLOOKUP(XLOOKUP($Q659,'Threshold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Editor'!$E:$E,1))),stab,IF(OR(mtype=XLOOKUP(XLOOKUP($Q659,'Threshold Summary'!$Y:$Y,'Threshold Summary'!$K:$K,""),'Pokemon Editor'!$A:$A,'Pokemon Editor'!$C:$C,""),mtype=XLOOKUP(XLOOKUP($Q659,'Threshold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Chart'!$B$1:$S$1,0)))),base,IF(OR(cat="Status",pow=0),0,FLOOR(FLOOR(FLOOR((2*XLOOKUP($Q659,'Threshold Summary'!$Y:$Y,'Threshold Summary'!$L:$L,"")/5+2)*pow*atk/def)/50)+2)),modifier,stab*eff,AVERAGE(ARRAYFORMULA(FLOOR(base*modifier*SEQUENCE(16,1,85,1)/100)))),0)</f>
        <v/>
      </c>
      <c r="M659" s="3">
        <f>IFERROR(LET(mtype,XLOOKUP($D659,'Move Editor'!$B:$B,'Move Editor'!$C:$C,""),cat,XLOOKUP($D659,'Move Editor'!$B:$B,'Move Editor'!$D:$D,""),pow,XLOOKUP($D659,'Move Editor'!$B:$B,'Move Editor'!$E:$E,0),acc,XLOOKUP($D659,'Move Editor'!$B:$B,'Move Editor'!$F:$F,100),atk,IF(cat="Physical",FLOOR((FLOOR(((2*XLOOKUP(XLOOKUP($Q659,'Threshold Summary'!$Y:$Y,'Threshold Summary'!$K:$K,""),'Pokemon Editor'!$A:$A,'Pokemon Editor'!$F:$F,0)+31+FLOOR(XLOOKUP($Q659,'Threshold Summary'!$Y:$Y,'Threshold Summary'!$P:$P,"")/4))*XLOOKUP($Q659,'Threshold Summary'!$Y:$Y,'Threshold Summary'!$L:$L,""))/100)+5)*XLOOKUP(XLOOKUP($Q659,'Threshold Summary'!$Y:$Y,'Threshold Summary'!$M:$M,""),'Nature Editor'!$A:$A,'Nature Editor'!$B:$B,1)),FLOOR((FLOOR(((2*XLOOKUP(XLOOKUP($Q659,'Threshold Summary'!$Y:$Y,'Threshold Summary'!$K:$K,""),'Pokemon Editor'!$A:$A,'Pokemon Editor'!$H:$H,0)+31+FLOOR(XLOOKUP($Q659,'Threshold Summary'!$Y:$Y,'Threshold Summary'!$R:$R,"")/4))*XLOOKUP($Q659,'Threshold Summary'!$Y:$Y,'Threshold Summary'!$L:$L,""))/100)+5)*XLOOKUP(XLOOKUP($Q659,'Threshold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Editor'!$E:$E,1))),stab,IF(OR(mtype=XLOOKUP(XLOOKUP($Q659,'Threshold Summary'!$Y:$Y,'Threshold Summary'!$K:$K,""),'Pokemon Editor'!$A:$A,'Pokemon Editor'!$C:$C,""),mtype=XLOOKUP(XLOOKUP($Q659,'Threshold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Chart'!$B$1:$S$1,0)))),base,IF(OR(cat="Status",pow=0),0,FLOOR(FLOOR(FLOOR((2*XLOOKUP($Q659,'Threshold Summary'!$Y:$Y,'Threshold Summary'!$L:$L,"")/5+2)*pow*atk/def)/50)+2)),modifier,stab*eff,AVERAGE(ARRAYFORMULA(FLOOR(base*modifier*SEQUENCE(16,1,85,1)/100)))*MIN(1,acc/100)),0)</f>
        <v/>
      </c>
      <c r="N659" s="4">
        <f>IFERROR(LET(mtype,XLOOKUP($D659,'Move Editor'!$B:$B,'Move Editor'!$C:$C,""),cat,XLOOKUP($D659,'Move Editor'!$B:$B,'Move Editor'!$D:$D,""),pow,XLOOKUP($D659,'Move Editor'!$B:$B,'Move Editor'!$E:$E,0),acc,XLOOKUP($D659,'Move Editor'!$B:$B,'Move Editor'!$F:$F,100),atk,IF(cat="Physical",FLOOR((FLOOR(((2*XLOOKUP(XLOOKUP($Q659,'Threshold Summary'!$Y:$Y,'Threshold Summary'!$K:$K,""),'Pokemon Editor'!$A:$A,'Pokemon Editor'!$F:$F,0)+31+FLOOR(XLOOKUP($Q659,'Threshold Summary'!$Y:$Y,'Threshold Summary'!$P:$P,"")/4))*XLOOKUP($Q659,'Threshold Summary'!$Y:$Y,'Threshold Summary'!$L:$L,""))/100)+5)*XLOOKUP(XLOOKUP($Q659,'Threshold Summary'!$Y:$Y,'Threshold Summary'!$M:$M,""),'Nature Editor'!$A:$A,'Nature Editor'!$B:$B,1)),FLOOR((FLOOR(((2*XLOOKUP(XLOOKUP($Q659,'Threshold Summary'!$Y:$Y,'Threshold Summary'!$K:$K,""),'Pokemon Editor'!$A:$A,'Pokemon Editor'!$H:$H,0)+31+FLOOR(XLOOKUP($Q659,'Threshold Summary'!$Y:$Y,'Threshold Summary'!$R:$R,"")/4))*XLOOKUP($Q659,'Threshold Summary'!$Y:$Y,'Threshold Summary'!$L:$L,""))/100)+5)*XLOOKUP(XLOOKUP($Q659,'Threshold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Editor'!$E:$E,1))),stab,IF(OR(mtype=XLOOKUP(XLOOKUP($Q659,'Threshold Summary'!$Y:$Y,'Threshold Summary'!$K:$K,""),'Pokemon Editor'!$A:$A,'Pokemon Editor'!$C:$C,""),mtype=XLOOKUP(XLOOKUP($Q659,'Threshold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Chart'!$B$1:$S$1,0)))),base,IF(OR(cat="Status",pow=0),0,FLOOR(FLOOR(FLOOR((2*XLOOKUP($Q659,'Threshold Summary'!$Y:$Y,'Threshold Summary'!$L:$L,"")/5+2)*pow*atk/def)/50)+2)),modifier,stab*eff,AVERAGE(ARRAYFORMULA(FLOOR(base*modifier*SEQUENCE(16,1,85,1)/100)))/(FLOOR(((2*XLOOKUP('Boss Editor'!$C$4,'Pokemon Editor'!$A:$A,'Pokemon Editor'!$E:$E,0)+31+FLOOR('Boss Editor'!$G$4/4))*'Boss Editor'!$D$4)/100)+'Boss Editor'!$D$4+10)),0)</f>
        <v/>
      </c>
      <c r="O659" s="3">
        <f>IF(N659&gt;=1,"OHKO",IF(N659&gt;=0.5,"2HKO",IF(N659&gt;=0.333,"3HKO",IF(N659&gt;=0.25,"4HKO","5HKO+"))))</f>
        <v/>
      </c>
      <c r="P659" s="3" t="inlineStr">
        <is>
          <t>Live from editable databases</t>
        </is>
      </c>
      <c r="Q659" s="3" t="inlineStr">
        <is>
          <t>SPECIES_PANCHAM</t>
        </is>
      </c>
      <c r="R659" s="3" t="n">
        <v>18</v>
      </c>
    </row>
    <row r="660">
      <c r="A660" s="3">
        <f>XLOOKUP($Q660,'Threshold Summary'!$Y:$Y,'Threshold Summary'!$A:$A,"")</f>
        <v/>
      </c>
      <c r="B660" s="3">
        <f>XLOOKUP($Q660,'Threshold Summary'!$Y:$Y,'Threshold Summary'!$M:$M,"")</f>
        <v/>
      </c>
      <c r="C660" s="3">
        <f>XLOOKUP($Q660,'Threshold Summary'!$Y:$Y,'Threshold Summary'!$N:$N,"")</f>
        <v/>
      </c>
      <c r="D660" s="3">
        <f>IFERROR(INDEX(FILTER('Learnset Editor'!$D$2:$D,'Learnset Editor'!$A$2:$A=XLOOKUP($Q660,'Threshold Summary'!$Y:$Y,'Threshold Summary'!$K:$K,""),'Learnset Editor'!$C$2:$C&lt;=XLOOKUP($Q660,'Threshold Summary'!$Y:$Y,'Threshold Summary'!$L:$L,"")),$R660),"")</f>
        <v/>
      </c>
      <c r="E660" s="3">
        <f>XLOOKUP(D660,'Move Editor'!$B:$B,'Move Editor'!$C:$C,"")</f>
        <v/>
      </c>
      <c r="F660" s="3">
        <f>XLOOKUP(D660,'Move Editor'!$B:$B,'Move Editor'!$D:$D,"")</f>
        <v/>
      </c>
      <c r="G660" s="3">
        <f>XLOOKUP(D660,'Move Editor'!$B:$B,'Move Editor'!$E:$E,0)</f>
        <v/>
      </c>
      <c r="H660" s="3">
        <f>XLOOKUP(D660,'Move Editor'!$B:$B,'Move Editor'!$F:$F,0)</f>
        <v/>
      </c>
      <c r="I660" s="3">
        <f>(INDEX('Type Chart'!$B:$S,MATCH(E660,'Type Chart'!$A:$A,0),MATCH(XLOOKUP('Boss Editor'!$C$4,'Pokemon Editor'!$A:$A,'Pokemon Editor'!$C:$C,""),'Type Chart'!$B$1:$S$1,0))*IF(XLOOKUP('Boss Editor'!$C$4,'Pokemon Editor'!$A:$A,'Pokemon Editor'!$D:$D,"")="",1,INDEX('Type Chart'!$B:$S,MATCH(E660,'Type Chart'!$A:$A,0),MATCH(XLOOKUP('Boss Editor'!$C$4,'Pokemon Editor'!$A:$A,'Pokemon Editor'!$D:$D,""),'Type Chart'!$B$1:$S$1,0))))</f>
        <v/>
      </c>
      <c r="J660" s="3">
        <f>IFERROR(LET(mtype,XLOOKUP($D660,'Move Editor'!$B:$B,'Move Editor'!$C:$C,""),cat,XLOOKUP($D660,'Move Editor'!$B:$B,'Move Editor'!$D:$D,""),pow,XLOOKUP($D660,'Move Editor'!$B:$B,'Move Editor'!$E:$E,0),acc,XLOOKUP($D660,'Move Editor'!$B:$B,'Move Editor'!$F:$F,100),atk,IF(cat="Physical",FLOOR((FLOOR(((2*XLOOKUP(XLOOKUP($Q660,'Threshold Summary'!$Y:$Y,'Threshold Summary'!$K:$K,""),'Pokemon Editor'!$A:$A,'Pokemon Editor'!$F:$F,0)+31+FLOOR(XLOOKUP($Q660,'Threshold Summary'!$Y:$Y,'Threshold Summary'!$P:$P,"")/4))*XLOOKUP($Q660,'Threshold Summary'!$Y:$Y,'Threshold Summary'!$L:$L,""))/100)+5)*XLOOKUP(XLOOKUP($Q660,'Threshold Summary'!$Y:$Y,'Threshold Summary'!$M:$M,""),'Nature Editor'!$A:$A,'Nature Editor'!$B:$B,1)),FLOOR((FLOOR(((2*XLOOKUP(XLOOKUP($Q660,'Threshold Summary'!$Y:$Y,'Threshold Summary'!$K:$K,""),'Pokemon Editor'!$A:$A,'Pokemon Editor'!$H:$H,0)+31+FLOOR(XLOOKUP($Q660,'Threshold Summary'!$Y:$Y,'Threshold Summary'!$R:$R,"")/4))*XLOOKUP($Q660,'Threshold Summary'!$Y:$Y,'Threshold Summary'!$L:$L,""))/100)+5)*XLOOKUP(XLOOKUP($Q660,'Threshold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Editor'!$E:$E,1))),stab,IF(OR(mtype=XLOOKUP(XLOOKUP($Q660,'Threshold Summary'!$Y:$Y,'Threshold Summary'!$K:$K,""),'Pokemon Editor'!$A:$A,'Pokemon Editor'!$C:$C,""),mtype=XLOOKUP(XLOOKUP($Q660,'Threshold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Chart'!$B$1:$S$1,0)))),base,IF(OR(cat="Status",pow=0),0,FLOOR(FLOOR(FLOOR((2*XLOOKUP($Q660,'Threshold Summary'!$Y:$Y,'Threshold Summary'!$L:$L,"")/5+2)*pow*atk/def)/50)+2)),modifier,stab*eff,FLOOR(base*modifier*0.85)),0)</f>
        <v/>
      </c>
      <c r="K660" s="3">
        <f>IFERROR(LET(mtype,XLOOKUP($D660,'Move Editor'!$B:$B,'Move Editor'!$C:$C,""),cat,XLOOKUP($D660,'Move Editor'!$B:$B,'Move Editor'!$D:$D,""),pow,XLOOKUP($D660,'Move Editor'!$B:$B,'Move Editor'!$E:$E,0),acc,XLOOKUP($D660,'Move Editor'!$B:$B,'Move Editor'!$F:$F,100),atk,IF(cat="Physical",FLOOR((FLOOR(((2*XLOOKUP(XLOOKUP($Q660,'Threshold Summary'!$Y:$Y,'Threshold Summary'!$K:$K,""),'Pokemon Editor'!$A:$A,'Pokemon Editor'!$F:$F,0)+31+FLOOR(XLOOKUP($Q660,'Threshold Summary'!$Y:$Y,'Threshold Summary'!$P:$P,"")/4))*XLOOKUP($Q660,'Threshold Summary'!$Y:$Y,'Threshold Summary'!$L:$L,""))/100)+5)*XLOOKUP(XLOOKUP($Q660,'Threshold Summary'!$Y:$Y,'Threshold Summary'!$M:$M,""),'Nature Editor'!$A:$A,'Nature Editor'!$B:$B,1)),FLOOR((FLOOR(((2*XLOOKUP(XLOOKUP($Q660,'Threshold Summary'!$Y:$Y,'Threshold Summary'!$K:$K,""),'Pokemon Editor'!$A:$A,'Pokemon Editor'!$H:$H,0)+31+FLOOR(XLOOKUP($Q660,'Threshold Summary'!$Y:$Y,'Threshold Summary'!$R:$R,"")/4))*XLOOKUP($Q660,'Threshold Summary'!$Y:$Y,'Threshold Summary'!$L:$L,""))/100)+5)*XLOOKUP(XLOOKUP($Q660,'Threshold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Editor'!$E:$E,1))),stab,IF(OR(mtype=XLOOKUP(XLOOKUP($Q660,'Threshold Summary'!$Y:$Y,'Threshold Summary'!$K:$K,""),'Pokemon Editor'!$A:$A,'Pokemon Editor'!$C:$C,""),mtype=XLOOKUP(XLOOKUP($Q660,'Threshold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Chart'!$B$1:$S$1,0)))),base,IF(OR(cat="Status",pow=0),0,FLOOR(FLOOR(FLOOR((2*XLOOKUP($Q660,'Threshold Summary'!$Y:$Y,'Threshold Summary'!$L:$L,"")/5+2)*pow*atk/def)/50)+2)),modifier,stab*eff,FLOOR(base*modifier)),0)</f>
        <v/>
      </c>
      <c r="L660" s="3">
        <f>IFERROR(LET(mtype,XLOOKUP($D660,'Move Editor'!$B:$B,'Move Editor'!$C:$C,""),cat,XLOOKUP($D660,'Move Editor'!$B:$B,'Move Editor'!$D:$D,""),pow,XLOOKUP($D660,'Move Editor'!$B:$B,'Move Editor'!$E:$E,0),acc,XLOOKUP($D660,'Move Editor'!$B:$B,'Move Editor'!$F:$F,100),atk,IF(cat="Physical",FLOOR((FLOOR(((2*XLOOKUP(XLOOKUP($Q660,'Threshold Summary'!$Y:$Y,'Threshold Summary'!$K:$K,""),'Pokemon Editor'!$A:$A,'Pokemon Editor'!$F:$F,0)+31+FLOOR(XLOOKUP($Q660,'Threshold Summary'!$Y:$Y,'Threshold Summary'!$P:$P,"")/4))*XLOOKUP($Q660,'Threshold Summary'!$Y:$Y,'Threshold Summary'!$L:$L,""))/100)+5)*XLOOKUP(XLOOKUP($Q660,'Threshold Summary'!$Y:$Y,'Threshold Summary'!$M:$M,""),'Nature Editor'!$A:$A,'Nature Editor'!$B:$B,1)),FLOOR((FLOOR(((2*XLOOKUP(XLOOKUP($Q660,'Threshold Summary'!$Y:$Y,'Threshold Summary'!$K:$K,""),'Pokemon Editor'!$A:$A,'Pokemon Editor'!$H:$H,0)+31+FLOOR(XLOOKUP($Q660,'Threshold Summary'!$Y:$Y,'Threshold Summary'!$R:$R,"")/4))*XLOOKUP($Q660,'Threshold Summary'!$Y:$Y,'Threshold Summary'!$L:$L,""))/100)+5)*XLOOKUP(XLOOKUP($Q660,'Threshold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Editor'!$E:$E,1))),stab,IF(OR(mtype=XLOOKUP(XLOOKUP($Q660,'Threshold Summary'!$Y:$Y,'Threshold Summary'!$K:$K,""),'Pokemon Editor'!$A:$A,'Pokemon Editor'!$C:$C,""),mtype=XLOOKUP(XLOOKUP($Q660,'Threshold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Chart'!$B$1:$S$1,0)))),base,IF(OR(cat="Status",pow=0),0,FLOOR(FLOOR(FLOOR((2*XLOOKUP($Q660,'Threshold Summary'!$Y:$Y,'Threshold Summary'!$L:$L,"")/5+2)*pow*atk/def)/50)+2)),modifier,stab*eff,AVERAGE(ARRAYFORMULA(FLOOR(base*modifier*SEQUENCE(16,1,85,1)/100)))),0)</f>
        <v/>
      </c>
      <c r="M660" s="3">
        <f>IFERROR(LET(mtype,XLOOKUP($D660,'Move Editor'!$B:$B,'Move Editor'!$C:$C,""),cat,XLOOKUP($D660,'Move Editor'!$B:$B,'Move Editor'!$D:$D,""),pow,XLOOKUP($D660,'Move Editor'!$B:$B,'Move Editor'!$E:$E,0),acc,XLOOKUP($D660,'Move Editor'!$B:$B,'Move Editor'!$F:$F,100),atk,IF(cat="Physical",FLOOR((FLOOR(((2*XLOOKUP(XLOOKUP($Q660,'Threshold Summary'!$Y:$Y,'Threshold Summary'!$K:$K,""),'Pokemon Editor'!$A:$A,'Pokemon Editor'!$F:$F,0)+31+FLOOR(XLOOKUP($Q660,'Threshold Summary'!$Y:$Y,'Threshold Summary'!$P:$P,"")/4))*XLOOKUP($Q660,'Threshold Summary'!$Y:$Y,'Threshold Summary'!$L:$L,""))/100)+5)*XLOOKUP(XLOOKUP($Q660,'Threshold Summary'!$Y:$Y,'Threshold Summary'!$M:$M,""),'Nature Editor'!$A:$A,'Nature Editor'!$B:$B,1)),FLOOR((FLOOR(((2*XLOOKUP(XLOOKUP($Q660,'Threshold Summary'!$Y:$Y,'Threshold Summary'!$K:$K,""),'Pokemon Editor'!$A:$A,'Pokemon Editor'!$H:$H,0)+31+FLOOR(XLOOKUP($Q660,'Threshold Summary'!$Y:$Y,'Threshold Summary'!$R:$R,"")/4))*XLOOKUP($Q660,'Threshold Summary'!$Y:$Y,'Threshold Summary'!$L:$L,""))/100)+5)*XLOOKUP(XLOOKUP($Q660,'Threshold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Editor'!$E:$E,1))),stab,IF(OR(mtype=XLOOKUP(XLOOKUP($Q660,'Threshold Summary'!$Y:$Y,'Threshold Summary'!$K:$K,""),'Pokemon Editor'!$A:$A,'Pokemon Editor'!$C:$C,""),mtype=XLOOKUP(XLOOKUP($Q660,'Threshold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Chart'!$B$1:$S$1,0)))),base,IF(OR(cat="Status",pow=0),0,FLOOR(FLOOR(FLOOR((2*XLOOKUP($Q660,'Threshold Summary'!$Y:$Y,'Threshold Summary'!$L:$L,"")/5+2)*pow*atk/def)/50)+2)),modifier,stab*eff,AVERAGE(ARRAYFORMULA(FLOOR(base*modifier*SEQUENCE(16,1,85,1)/100)))*MIN(1,acc/100)),0)</f>
        <v/>
      </c>
      <c r="N660" s="4">
        <f>IFERROR(LET(mtype,XLOOKUP($D660,'Move Editor'!$B:$B,'Move Editor'!$C:$C,""),cat,XLOOKUP($D660,'Move Editor'!$B:$B,'Move Editor'!$D:$D,""),pow,XLOOKUP($D660,'Move Editor'!$B:$B,'Move Editor'!$E:$E,0),acc,XLOOKUP($D660,'Move Editor'!$B:$B,'Move Editor'!$F:$F,100),atk,IF(cat="Physical",FLOOR((FLOOR(((2*XLOOKUP(XLOOKUP($Q660,'Threshold Summary'!$Y:$Y,'Threshold Summary'!$K:$K,""),'Pokemon Editor'!$A:$A,'Pokemon Editor'!$F:$F,0)+31+FLOOR(XLOOKUP($Q660,'Threshold Summary'!$Y:$Y,'Threshold Summary'!$P:$P,"")/4))*XLOOKUP($Q660,'Threshold Summary'!$Y:$Y,'Threshold Summary'!$L:$L,""))/100)+5)*XLOOKUP(XLOOKUP($Q660,'Threshold Summary'!$Y:$Y,'Threshold Summary'!$M:$M,""),'Nature Editor'!$A:$A,'Nature Editor'!$B:$B,1)),FLOOR((FLOOR(((2*XLOOKUP(XLOOKUP($Q660,'Threshold Summary'!$Y:$Y,'Threshold Summary'!$K:$K,""),'Pokemon Editor'!$A:$A,'Pokemon Editor'!$H:$H,0)+31+FLOOR(XLOOKUP($Q660,'Threshold Summary'!$Y:$Y,'Threshold Summary'!$R:$R,"")/4))*XLOOKUP($Q660,'Threshold Summary'!$Y:$Y,'Threshold Summary'!$L:$L,""))/100)+5)*XLOOKUP(XLOOKUP($Q660,'Threshold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Editor'!$E:$E,1))),stab,IF(OR(mtype=XLOOKUP(XLOOKUP($Q660,'Threshold Summary'!$Y:$Y,'Threshold Summary'!$K:$K,""),'Pokemon Editor'!$A:$A,'Pokemon Editor'!$C:$C,""),mtype=XLOOKUP(XLOOKUP($Q660,'Threshold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Chart'!$B$1:$S$1,0)))),base,IF(OR(cat="Status",pow=0),0,FLOOR(FLOOR(FLOOR((2*XLOOKUP($Q660,'Threshold Summary'!$Y:$Y,'Threshold Summary'!$L:$L,"")/5+2)*pow*atk/def)/50)+2)),modifier,stab*eff,AVERAGE(ARRAYFORMULA(FLOOR(base*modifier*SEQUENCE(16,1,85,1)/100)))/(FLOOR(((2*XLOOKUP('Boss Editor'!$C$4,'Pokemon Editor'!$A:$A,'Pokemon Editor'!$E:$E,0)+31+FLOOR('Boss Editor'!$G$4/4))*'Boss Editor'!$D$4)/100)+'Boss Editor'!$D$4+10)),0)</f>
        <v/>
      </c>
      <c r="O660" s="3">
        <f>IF(N660&gt;=1,"OHKO",IF(N660&gt;=0.5,"2HKO",IF(N660&gt;=0.333,"3HKO",IF(N660&gt;=0.25,"4HKO","5HKO+"))))</f>
        <v/>
      </c>
      <c r="P660" s="3" t="inlineStr">
        <is>
          <t>Live from editable databases</t>
        </is>
      </c>
      <c r="Q660" s="3" t="inlineStr">
        <is>
          <t>SPECIES_PANCHAM</t>
        </is>
      </c>
      <c r="R660" s="3" t="n">
        <v>19</v>
      </c>
    </row>
    <row r="661">
      <c r="A661" s="3">
        <f>XLOOKUP($Q661,'Threshold Summary'!$Y:$Y,'Threshold Summary'!$A:$A,"")</f>
        <v/>
      </c>
      <c r="B661" s="3">
        <f>XLOOKUP($Q661,'Threshold Summary'!$Y:$Y,'Threshold Summary'!$M:$M,"")</f>
        <v/>
      </c>
      <c r="C661" s="3">
        <f>XLOOKUP($Q661,'Threshold Summary'!$Y:$Y,'Threshold Summary'!$N:$N,"")</f>
        <v/>
      </c>
      <c r="D661" s="3">
        <f>IFERROR(INDEX(FILTER('Learnset Editor'!$D$2:$D,'Learnset Editor'!$A$2:$A=XLOOKUP($Q661,'Threshold Summary'!$Y:$Y,'Threshold Summary'!$K:$K,""),'Learnset Editor'!$C$2:$C&lt;=XLOOKUP($Q661,'Threshold Summary'!$Y:$Y,'Threshold Summary'!$L:$L,"")),$R661),"")</f>
        <v/>
      </c>
      <c r="E661" s="3">
        <f>XLOOKUP(D661,'Move Editor'!$B:$B,'Move Editor'!$C:$C,"")</f>
        <v/>
      </c>
      <c r="F661" s="3">
        <f>XLOOKUP(D661,'Move Editor'!$B:$B,'Move Editor'!$D:$D,"")</f>
        <v/>
      </c>
      <c r="G661" s="3">
        <f>XLOOKUP(D661,'Move Editor'!$B:$B,'Move Editor'!$E:$E,0)</f>
        <v/>
      </c>
      <c r="H661" s="3">
        <f>XLOOKUP(D661,'Move Editor'!$B:$B,'Move Editor'!$F:$F,0)</f>
        <v/>
      </c>
      <c r="I661" s="3">
        <f>(INDEX('Type Chart'!$B:$S,MATCH(E661,'Type Chart'!$A:$A,0),MATCH(XLOOKUP('Boss Editor'!$C$4,'Pokemon Editor'!$A:$A,'Pokemon Editor'!$C:$C,""),'Type Chart'!$B$1:$S$1,0))*IF(XLOOKUP('Boss Editor'!$C$4,'Pokemon Editor'!$A:$A,'Pokemon Editor'!$D:$D,"")="",1,INDEX('Type Chart'!$B:$S,MATCH(E661,'Type Chart'!$A:$A,0),MATCH(XLOOKUP('Boss Editor'!$C$4,'Pokemon Editor'!$A:$A,'Pokemon Editor'!$D:$D,""),'Type Chart'!$B$1:$S$1,0))))</f>
        <v/>
      </c>
      <c r="J661" s="3">
        <f>IFERROR(LET(mtype,XLOOKUP($D661,'Move Editor'!$B:$B,'Move Editor'!$C:$C,""),cat,XLOOKUP($D661,'Move Editor'!$B:$B,'Move Editor'!$D:$D,""),pow,XLOOKUP($D661,'Move Editor'!$B:$B,'Move Editor'!$E:$E,0),acc,XLOOKUP($D661,'Move Editor'!$B:$B,'Move Editor'!$F:$F,100),atk,IF(cat="Physical",FLOOR((FLOOR(((2*XLOOKUP(XLOOKUP($Q661,'Threshold Summary'!$Y:$Y,'Threshold Summary'!$K:$K,""),'Pokemon Editor'!$A:$A,'Pokemon Editor'!$F:$F,0)+31+FLOOR(XLOOKUP($Q661,'Threshold Summary'!$Y:$Y,'Threshold Summary'!$P:$P,"")/4))*XLOOKUP($Q661,'Threshold Summary'!$Y:$Y,'Threshold Summary'!$L:$L,""))/100)+5)*XLOOKUP(XLOOKUP($Q661,'Threshold Summary'!$Y:$Y,'Threshold Summary'!$M:$M,""),'Nature Editor'!$A:$A,'Nature Editor'!$B:$B,1)),FLOOR((FLOOR(((2*XLOOKUP(XLOOKUP($Q661,'Threshold Summary'!$Y:$Y,'Threshold Summary'!$K:$K,""),'Pokemon Editor'!$A:$A,'Pokemon Editor'!$H:$H,0)+31+FLOOR(XLOOKUP($Q661,'Threshold Summary'!$Y:$Y,'Threshold Summary'!$R:$R,"")/4))*XLOOKUP($Q661,'Threshold Summary'!$Y:$Y,'Threshold Summary'!$L:$L,""))/100)+5)*XLOOKUP(XLOOKUP($Q661,'Threshold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Editor'!$E:$E,1))),stab,IF(OR(mtype=XLOOKUP(XLOOKUP($Q661,'Threshold Summary'!$Y:$Y,'Threshold Summary'!$K:$K,""),'Pokemon Editor'!$A:$A,'Pokemon Editor'!$C:$C,""),mtype=XLOOKUP(XLOOKUP($Q661,'Threshold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Chart'!$B$1:$S$1,0)))),base,IF(OR(cat="Status",pow=0),0,FLOOR(FLOOR(FLOOR((2*XLOOKUP($Q661,'Threshold Summary'!$Y:$Y,'Threshold Summary'!$L:$L,"")/5+2)*pow*atk/def)/50)+2)),modifier,stab*eff,FLOOR(base*modifier*0.85)),0)</f>
        <v/>
      </c>
      <c r="K661" s="3">
        <f>IFERROR(LET(mtype,XLOOKUP($D661,'Move Editor'!$B:$B,'Move Editor'!$C:$C,""),cat,XLOOKUP($D661,'Move Editor'!$B:$B,'Move Editor'!$D:$D,""),pow,XLOOKUP($D661,'Move Editor'!$B:$B,'Move Editor'!$E:$E,0),acc,XLOOKUP($D661,'Move Editor'!$B:$B,'Move Editor'!$F:$F,100),atk,IF(cat="Physical",FLOOR((FLOOR(((2*XLOOKUP(XLOOKUP($Q661,'Threshold Summary'!$Y:$Y,'Threshold Summary'!$K:$K,""),'Pokemon Editor'!$A:$A,'Pokemon Editor'!$F:$F,0)+31+FLOOR(XLOOKUP($Q661,'Threshold Summary'!$Y:$Y,'Threshold Summary'!$P:$P,"")/4))*XLOOKUP($Q661,'Threshold Summary'!$Y:$Y,'Threshold Summary'!$L:$L,""))/100)+5)*XLOOKUP(XLOOKUP($Q661,'Threshold Summary'!$Y:$Y,'Threshold Summary'!$M:$M,""),'Nature Editor'!$A:$A,'Nature Editor'!$B:$B,1)),FLOOR((FLOOR(((2*XLOOKUP(XLOOKUP($Q661,'Threshold Summary'!$Y:$Y,'Threshold Summary'!$K:$K,""),'Pokemon Editor'!$A:$A,'Pokemon Editor'!$H:$H,0)+31+FLOOR(XLOOKUP($Q661,'Threshold Summary'!$Y:$Y,'Threshold Summary'!$R:$R,"")/4))*XLOOKUP($Q661,'Threshold Summary'!$Y:$Y,'Threshold Summary'!$L:$L,""))/100)+5)*XLOOKUP(XLOOKUP($Q661,'Threshold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Editor'!$E:$E,1))),stab,IF(OR(mtype=XLOOKUP(XLOOKUP($Q661,'Threshold Summary'!$Y:$Y,'Threshold Summary'!$K:$K,""),'Pokemon Editor'!$A:$A,'Pokemon Editor'!$C:$C,""),mtype=XLOOKUP(XLOOKUP($Q661,'Threshold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Chart'!$B$1:$S$1,0)))),base,IF(OR(cat="Status",pow=0),0,FLOOR(FLOOR(FLOOR((2*XLOOKUP($Q661,'Threshold Summary'!$Y:$Y,'Threshold Summary'!$L:$L,"")/5+2)*pow*atk/def)/50)+2)),modifier,stab*eff,FLOOR(base*modifier)),0)</f>
        <v/>
      </c>
      <c r="L661" s="3">
        <f>IFERROR(LET(mtype,XLOOKUP($D661,'Move Editor'!$B:$B,'Move Editor'!$C:$C,""),cat,XLOOKUP($D661,'Move Editor'!$B:$B,'Move Editor'!$D:$D,""),pow,XLOOKUP($D661,'Move Editor'!$B:$B,'Move Editor'!$E:$E,0),acc,XLOOKUP($D661,'Move Editor'!$B:$B,'Move Editor'!$F:$F,100),atk,IF(cat="Physical",FLOOR((FLOOR(((2*XLOOKUP(XLOOKUP($Q661,'Threshold Summary'!$Y:$Y,'Threshold Summary'!$K:$K,""),'Pokemon Editor'!$A:$A,'Pokemon Editor'!$F:$F,0)+31+FLOOR(XLOOKUP($Q661,'Threshold Summary'!$Y:$Y,'Threshold Summary'!$P:$P,"")/4))*XLOOKUP($Q661,'Threshold Summary'!$Y:$Y,'Threshold Summary'!$L:$L,""))/100)+5)*XLOOKUP(XLOOKUP($Q661,'Threshold Summary'!$Y:$Y,'Threshold Summary'!$M:$M,""),'Nature Editor'!$A:$A,'Nature Editor'!$B:$B,1)),FLOOR((FLOOR(((2*XLOOKUP(XLOOKUP($Q661,'Threshold Summary'!$Y:$Y,'Threshold Summary'!$K:$K,""),'Pokemon Editor'!$A:$A,'Pokemon Editor'!$H:$H,0)+31+FLOOR(XLOOKUP($Q661,'Threshold Summary'!$Y:$Y,'Threshold Summary'!$R:$R,"")/4))*XLOOKUP($Q661,'Threshold Summary'!$Y:$Y,'Threshold Summary'!$L:$L,""))/100)+5)*XLOOKUP(XLOOKUP($Q661,'Threshold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Editor'!$E:$E,1))),stab,IF(OR(mtype=XLOOKUP(XLOOKUP($Q661,'Threshold Summary'!$Y:$Y,'Threshold Summary'!$K:$K,""),'Pokemon Editor'!$A:$A,'Pokemon Editor'!$C:$C,""),mtype=XLOOKUP(XLOOKUP($Q661,'Threshold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Chart'!$B$1:$S$1,0)))),base,IF(OR(cat="Status",pow=0),0,FLOOR(FLOOR(FLOOR((2*XLOOKUP($Q661,'Threshold Summary'!$Y:$Y,'Threshold Summary'!$L:$L,"")/5+2)*pow*atk/def)/50)+2)),modifier,stab*eff,AVERAGE(ARRAYFORMULA(FLOOR(base*modifier*SEQUENCE(16,1,85,1)/100)))),0)</f>
        <v/>
      </c>
      <c r="M661" s="3">
        <f>IFERROR(LET(mtype,XLOOKUP($D661,'Move Editor'!$B:$B,'Move Editor'!$C:$C,""),cat,XLOOKUP($D661,'Move Editor'!$B:$B,'Move Editor'!$D:$D,""),pow,XLOOKUP($D661,'Move Editor'!$B:$B,'Move Editor'!$E:$E,0),acc,XLOOKUP($D661,'Move Editor'!$B:$B,'Move Editor'!$F:$F,100),atk,IF(cat="Physical",FLOOR((FLOOR(((2*XLOOKUP(XLOOKUP($Q661,'Threshold Summary'!$Y:$Y,'Threshold Summary'!$K:$K,""),'Pokemon Editor'!$A:$A,'Pokemon Editor'!$F:$F,0)+31+FLOOR(XLOOKUP($Q661,'Threshold Summary'!$Y:$Y,'Threshold Summary'!$P:$P,"")/4))*XLOOKUP($Q661,'Threshold Summary'!$Y:$Y,'Threshold Summary'!$L:$L,""))/100)+5)*XLOOKUP(XLOOKUP($Q661,'Threshold Summary'!$Y:$Y,'Threshold Summary'!$M:$M,""),'Nature Editor'!$A:$A,'Nature Editor'!$B:$B,1)),FLOOR((FLOOR(((2*XLOOKUP(XLOOKUP($Q661,'Threshold Summary'!$Y:$Y,'Threshold Summary'!$K:$K,""),'Pokemon Editor'!$A:$A,'Pokemon Editor'!$H:$H,0)+31+FLOOR(XLOOKUP($Q661,'Threshold Summary'!$Y:$Y,'Threshold Summary'!$R:$R,"")/4))*XLOOKUP($Q661,'Threshold Summary'!$Y:$Y,'Threshold Summary'!$L:$L,""))/100)+5)*XLOOKUP(XLOOKUP($Q661,'Threshold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Editor'!$E:$E,1))),stab,IF(OR(mtype=XLOOKUP(XLOOKUP($Q661,'Threshold Summary'!$Y:$Y,'Threshold Summary'!$K:$K,""),'Pokemon Editor'!$A:$A,'Pokemon Editor'!$C:$C,""),mtype=XLOOKUP(XLOOKUP($Q661,'Threshold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Chart'!$B$1:$S$1,0)))),base,IF(OR(cat="Status",pow=0),0,FLOOR(FLOOR(FLOOR((2*XLOOKUP($Q661,'Threshold Summary'!$Y:$Y,'Threshold Summary'!$L:$L,"")/5+2)*pow*atk/def)/50)+2)),modifier,stab*eff,AVERAGE(ARRAYFORMULA(FLOOR(base*modifier*SEQUENCE(16,1,85,1)/100)))*MIN(1,acc/100)),0)</f>
        <v/>
      </c>
      <c r="N661" s="4">
        <f>IFERROR(LET(mtype,XLOOKUP($D661,'Move Editor'!$B:$B,'Move Editor'!$C:$C,""),cat,XLOOKUP($D661,'Move Editor'!$B:$B,'Move Editor'!$D:$D,""),pow,XLOOKUP($D661,'Move Editor'!$B:$B,'Move Editor'!$E:$E,0),acc,XLOOKUP($D661,'Move Editor'!$B:$B,'Move Editor'!$F:$F,100),atk,IF(cat="Physical",FLOOR((FLOOR(((2*XLOOKUP(XLOOKUP($Q661,'Threshold Summary'!$Y:$Y,'Threshold Summary'!$K:$K,""),'Pokemon Editor'!$A:$A,'Pokemon Editor'!$F:$F,0)+31+FLOOR(XLOOKUP($Q661,'Threshold Summary'!$Y:$Y,'Threshold Summary'!$P:$P,"")/4))*XLOOKUP($Q661,'Threshold Summary'!$Y:$Y,'Threshold Summary'!$L:$L,""))/100)+5)*XLOOKUP(XLOOKUP($Q661,'Threshold Summary'!$Y:$Y,'Threshold Summary'!$M:$M,""),'Nature Editor'!$A:$A,'Nature Editor'!$B:$B,1)),FLOOR((FLOOR(((2*XLOOKUP(XLOOKUP($Q661,'Threshold Summary'!$Y:$Y,'Threshold Summary'!$K:$K,""),'Pokemon Editor'!$A:$A,'Pokemon Editor'!$H:$H,0)+31+FLOOR(XLOOKUP($Q661,'Threshold Summary'!$Y:$Y,'Threshold Summary'!$R:$R,"")/4))*XLOOKUP($Q661,'Threshold Summary'!$Y:$Y,'Threshold Summary'!$L:$L,""))/100)+5)*XLOOKUP(XLOOKUP($Q661,'Threshold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Editor'!$E:$E,1))),stab,IF(OR(mtype=XLOOKUP(XLOOKUP($Q661,'Threshold Summary'!$Y:$Y,'Threshold Summary'!$K:$K,""),'Pokemon Editor'!$A:$A,'Pokemon Editor'!$C:$C,""),mtype=XLOOKUP(XLOOKUP($Q661,'Threshold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Chart'!$B$1:$S$1,0)))),base,IF(OR(cat="Status",pow=0),0,FLOOR(FLOOR(FLOOR((2*XLOOKUP($Q661,'Threshold Summary'!$Y:$Y,'Threshold Summary'!$L:$L,"")/5+2)*pow*atk/def)/50)+2)),modifier,stab*eff,AVERAGE(ARRAYFORMULA(FLOOR(base*modifier*SEQUENCE(16,1,85,1)/100)))/(FLOOR(((2*XLOOKUP('Boss Editor'!$C$4,'Pokemon Editor'!$A:$A,'Pokemon Editor'!$E:$E,0)+31+FLOOR('Boss Editor'!$G$4/4))*'Boss Editor'!$D$4)/100)+'Boss Editor'!$D$4+10)),0)</f>
        <v/>
      </c>
      <c r="O661" s="3">
        <f>IF(N661&gt;=1,"OHKO",IF(N661&gt;=0.5,"2HKO",IF(N661&gt;=0.333,"3HKO",IF(N661&gt;=0.25,"4HKO","5HKO+"))))</f>
        <v/>
      </c>
      <c r="P661" s="3" t="inlineStr">
        <is>
          <t>Live from editable databases</t>
        </is>
      </c>
      <c r="Q661" s="3" t="inlineStr">
        <is>
          <t>SPECIES_PANCHAM</t>
        </is>
      </c>
      <c r="R661" s="3" t="n">
        <v>20</v>
      </c>
    </row>
    <row r="662">
      <c r="A662" s="3">
        <f>XLOOKUP($Q662,'Threshold Summary'!$Y:$Y,'Threshold Summary'!$A:$A,"")</f>
        <v/>
      </c>
      <c r="B662" s="3">
        <f>XLOOKUP($Q662,'Threshold Summary'!$Y:$Y,'Threshold Summary'!$M:$M,"")</f>
        <v/>
      </c>
      <c r="C662" s="3">
        <f>XLOOKUP($Q662,'Threshold Summary'!$Y:$Y,'Threshold Summary'!$N:$N,"")</f>
        <v/>
      </c>
      <c r="D662" s="3">
        <f>IFERROR(INDEX(FILTER('Learnset Editor'!$D$2:$D,'Learnset Editor'!$A$2:$A=XLOOKUP($Q662,'Threshold Summary'!$Y:$Y,'Threshold Summary'!$K:$K,""),'Learnset Editor'!$C$2:$C&lt;=XLOOKUP($Q662,'Threshold Summary'!$Y:$Y,'Threshold Summary'!$L:$L,"")),$R662),"")</f>
        <v/>
      </c>
      <c r="E662" s="3">
        <f>XLOOKUP(D662,'Move Editor'!$B:$B,'Move Editor'!$C:$C,"")</f>
        <v/>
      </c>
      <c r="F662" s="3">
        <f>XLOOKUP(D662,'Move Editor'!$B:$B,'Move Editor'!$D:$D,"")</f>
        <v/>
      </c>
      <c r="G662" s="3">
        <f>XLOOKUP(D662,'Move Editor'!$B:$B,'Move Editor'!$E:$E,0)</f>
        <v/>
      </c>
      <c r="H662" s="3">
        <f>XLOOKUP(D662,'Move Editor'!$B:$B,'Move Editor'!$F:$F,0)</f>
        <v/>
      </c>
      <c r="I662" s="3">
        <f>(INDEX('Type Chart'!$B:$S,MATCH(E662,'Type Chart'!$A:$A,0),MATCH(XLOOKUP('Boss Editor'!$C$4,'Pokemon Editor'!$A:$A,'Pokemon Editor'!$C:$C,""),'Type Chart'!$B$1:$S$1,0))*IF(XLOOKUP('Boss Editor'!$C$4,'Pokemon Editor'!$A:$A,'Pokemon Editor'!$D:$D,"")="",1,INDEX('Type Chart'!$B:$S,MATCH(E662,'Type Chart'!$A:$A,0),MATCH(XLOOKUP('Boss Editor'!$C$4,'Pokemon Editor'!$A:$A,'Pokemon Editor'!$D:$D,""),'Type Chart'!$B$1:$S$1,0))))</f>
        <v/>
      </c>
      <c r="J662" s="3">
        <f>IFERROR(LET(mtype,XLOOKUP($D662,'Move Editor'!$B:$B,'Move Editor'!$C:$C,""),cat,XLOOKUP($D662,'Move Editor'!$B:$B,'Move Editor'!$D:$D,""),pow,XLOOKUP($D662,'Move Editor'!$B:$B,'Move Editor'!$E:$E,0),acc,XLOOKUP($D662,'Move Editor'!$B:$B,'Move Editor'!$F:$F,100),atk,IF(cat="Physical",FLOOR((FLOOR(((2*XLOOKUP(XLOOKUP($Q662,'Threshold Summary'!$Y:$Y,'Threshold Summary'!$K:$K,""),'Pokemon Editor'!$A:$A,'Pokemon Editor'!$F:$F,0)+31+FLOOR(XLOOKUP($Q662,'Threshold Summary'!$Y:$Y,'Threshold Summary'!$P:$P,"")/4))*XLOOKUP($Q662,'Threshold Summary'!$Y:$Y,'Threshold Summary'!$L:$L,""))/100)+5)*XLOOKUP(XLOOKUP($Q662,'Threshold Summary'!$Y:$Y,'Threshold Summary'!$M:$M,""),'Nature Editor'!$A:$A,'Nature Editor'!$B:$B,1)),FLOOR((FLOOR(((2*XLOOKUP(XLOOKUP($Q662,'Threshold Summary'!$Y:$Y,'Threshold Summary'!$K:$K,""),'Pokemon Editor'!$A:$A,'Pokemon Editor'!$H:$H,0)+31+FLOOR(XLOOKUP($Q662,'Threshold Summary'!$Y:$Y,'Threshold Summary'!$R:$R,"")/4))*XLOOKUP($Q662,'Threshold Summary'!$Y:$Y,'Threshold Summary'!$L:$L,""))/100)+5)*XLOOKUP(XLOOKUP($Q662,'Threshold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Editor'!$E:$E,1))),stab,IF(OR(mtype=XLOOKUP(XLOOKUP($Q662,'Threshold Summary'!$Y:$Y,'Threshold Summary'!$K:$K,""),'Pokemon Editor'!$A:$A,'Pokemon Editor'!$C:$C,""),mtype=XLOOKUP(XLOOKUP($Q662,'Threshold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Chart'!$B$1:$S$1,0)))),base,IF(OR(cat="Status",pow=0),0,FLOOR(FLOOR(FLOOR((2*XLOOKUP($Q662,'Threshold Summary'!$Y:$Y,'Threshold Summary'!$L:$L,"")/5+2)*pow*atk/def)/50)+2)),modifier,stab*eff,FLOOR(base*modifier*0.85)),0)</f>
        <v/>
      </c>
      <c r="K662" s="3">
        <f>IFERROR(LET(mtype,XLOOKUP($D662,'Move Editor'!$B:$B,'Move Editor'!$C:$C,""),cat,XLOOKUP($D662,'Move Editor'!$B:$B,'Move Editor'!$D:$D,""),pow,XLOOKUP($D662,'Move Editor'!$B:$B,'Move Editor'!$E:$E,0),acc,XLOOKUP($D662,'Move Editor'!$B:$B,'Move Editor'!$F:$F,100),atk,IF(cat="Physical",FLOOR((FLOOR(((2*XLOOKUP(XLOOKUP($Q662,'Threshold Summary'!$Y:$Y,'Threshold Summary'!$K:$K,""),'Pokemon Editor'!$A:$A,'Pokemon Editor'!$F:$F,0)+31+FLOOR(XLOOKUP($Q662,'Threshold Summary'!$Y:$Y,'Threshold Summary'!$P:$P,"")/4))*XLOOKUP($Q662,'Threshold Summary'!$Y:$Y,'Threshold Summary'!$L:$L,""))/100)+5)*XLOOKUP(XLOOKUP($Q662,'Threshold Summary'!$Y:$Y,'Threshold Summary'!$M:$M,""),'Nature Editor'!$A:$A,'Nature Editor'!$B:$B,1)),FLOOR((FLOOR(((2*XLOOKUP(XLOOKUP($Q662,'Threshold Summary'!$Y:$Y,'Threshold Summary'!$K:$K,""),'Pokemon Editor'!$A:$A,'Pokemon Editor'!$H:$H,0)+31+FLOOR(XLOOKUP($Q662,'Threshold Summary'!$Y:$Y,'Threshold Summary'!$R:$R,"")/4))*XLOOKUP($Q662,'Threshold Summary'!$Y:$Y,'Threshold Summary'!$L:$L,""))/100)+5)*XLOOKUP(XLOOKUP($Q662,'Threshold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Editor'!$E:$E,1))),stab,IF(OR(mtype=XLOOKUP(XLOOKUP($Q662,'Threshold Summary'!$Y:$Y,'Threshold Summary'!$K:$K,""),'Pokemon Editor'!$A:$A,'Pokemon Editor'!$C:$C,""),mtype=XLOOKUP(XLOOKUP($Q662,'Threshold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Chart'!$B$1:$S$1,0)))),base,IF(OR(cat="Status",pow=0),0,FLOOR(FLOOR(FLOOR((2*XLOOKUP($Q662,'Threshold Summary'!$Y:$Y,'Threshold Summary'!$L:$L,"")/5+2)*pow*atk/def)/50)+2)),modifier,stab*eff,FLOOR(base*modifier)),0)</f>
        <v/>
      </c>
      <c r="L662" s="3">
        <f>IFERROR(LET(mtype,XLOOKUP($D662,'Move Editor'!$B:$B,'Move Editor'!$C:$C,""),cat,XLOOKUP($D662,'Move Editor'!$B:$B,'Move Editor'!$D:$D,""),pow,XLOOKUP($D662,'Move Editor'!$B:$B,'Move Editor'!$E:$E,0),acc,XLOOKUP($D662,'Move Editor'!$B:$B,'Move Editor'!$F:$F,100),atk,IF(cat="Physical",FLOOR((FLOOR(((2*XLOOKUP(XLOOKUP($Q662,'Threshold Summary'!$Y:$Y,'Threshold Summary'!$K:$K,""),'Pokemon Editor'!$A:$A,'Pokemon Editor'!$F:$F,0)+31+FLOOR(XLOOKUP($Q662,'Threshold Summary'!$Y:$Y,'Threshold Summary'!$P:$P,"")/4))*XLOOKUP($Q662,'Threshold Summary'!$Y:$Y,'Threshold Summary'!$L:$L,""))/100)+5)*XLOOKUP(XLOOKUP($Q662,'Threshold Summary'!$Y:$Y,'Threshold Summary'!$M:$M,""),'Nature Editor'!$A:$A,'Nature Editor'!$B:$B,1)),FLOOR((FLOOR(((2*XLOOKUP(XLOOKUP($Q662,'Threshold Summary'!$Y:$Y,'Threshold Summary'!$K:$K,""),'Pokemon Editor'!$A:$A,'Pokemon Editor'!$H:$H,0)+31+FLOOR(XLOOKUP($Q662,'Threshold Summary'!$Y:$Y,'Threshold Summary'!$R:$R,"")/4))*XLOOKUP($Q662,'Threshold Summary'!$Y:$Y,'Threshold Summary'!$L:$L,""))/100)+5)*XLOOKUP(XLOOKUP($Q662,'Threshold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Editor'!$E:$E,1))),stab,IF(OR(mtype=XLOOKUP(XLOOKUP($Q662,'Threshold Summary'!$Y:$Y,'Threshold Summary'!$K:$K,""),'Pokemon Editor'!$A:$A,'Pokemon Editor'!$C:$C,""),mtype=XLOOKUP(XLOOKUP($Q662,'Threshold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Chart'!$B$1:$S$1,0)))),base,IF(OR(cat="Status",pow=0),0,FLOOR(FLOOR(FLOOR((2*XLOOKUP($Q662,'Threshold Summary'!$Y:$Y,'Threshold Summary'!$L:$L,"")/5+2)*pow*atk/def)/50)+2)),modifier,stab*eff,AVERAGE(ARRAYFORMULA(FLOOR(base*modifier*SEQUENCE(16,1,85,1)/100)))),0)</f>
        <v/>
      </c>
      <c r="M662" s="3">
        <f>IFERROR(LET(mtype,XLOOKUP($D662,'Move Editor'!$B:$B,'Move Editor'!$C:$C,""),cat,XLOOKUP($D662,'Move Editor'!$B:$B,'Move Editor'!$D:$D,""),pow,XLOOKUP($D662,'Move Editor'!$B:$B,'Move Editor'!$E:$E,0),acc,XLOOKUP($D662,'Move Editor'!$B:$B,'Move Editor'!$F:$F,100),atk,IF(cat="Physical",FLOOR((FLOOR(((2*XLOOKUP(XLOOKUP($Q662,'Threshold Summary'!$Y:$Y,'Threshold Summary'!$K:$K,""),'Pokemon Editor'!$A:$A,'Pokemon Editor'!$F:$F,0)+31+FLOOR(XLOOKUP($Q662,'Threshold Summary'!$Y:$Y,'Threshold Summary'!$P:$P,"")/4))*XLOOKUP($Q662,'Threshold Summary'!$Y:$Y,'Threshold Summary'!$L:$L,""))/100)+5)*XLOOKUP(XLOOKUP($Q662,'Threshold Summary'!$Y:$Y,'Threshold Summary'!$M:$M,""),'Nature Editor'!$A:$A,'Nature Editor'!$B:$B,1)),FLOOR((FLOOR(((2*XLOOKUP(XLOOKUP($Q662,'Threshold Summary'!$Y:$Y,'Threshold Summary'!$K:$K,""),'Pokemon Editor'!$A:$A,'Pokemon Editor'!$H:$H,0)+31+FLOOR(XLOOKUP($Q662,'Threshold Summary'!$Y:$Y,'Threshold Summary'!$R:$R,"")/4))*XLOOKUP($Q662,'Threshold Summary'!$Y:$Y,'Threshold Summary'!$L:$L,""))/100)+5)*XLOOKUP(XLOOKUP($Q662,'Threshold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Editor'!$E:$E,1))),stab,IF(OR(mtype=XLOOKUP(XLOOKUP($Q662,'Threshold Summary'!$Y:$Y,'Threshold Summary'!$K:$K,""),'Pokemon Editor'!$A:$A,'Pokemon Editor'!$C:$C,""),mtype=XLOOKUP(XLOOKUP($Q662,'Threshold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Chart'!$B$1:$S$1,0)))),base,IF(OR(cat="Status",pow=0),0,FLOOR(FLOOR(FLOOR((2*XLOOKUP($Q662,'Threshold Summary'!$Y:$Y,'Threshold Summary'!$L:$L,"")/5+2)*pow*atk/def)/50)+2)),modifier,stab*eff,AVERAGE(ARRAYFORMULA(FLOOR(base*modifier*SEQUENCE(16,1,85,1)/100)))*MIN(1,acc/100)),0)</f>
        <v/>
      </c>
      <c r="N662" s="4">
        <f>IFERROR(LET(mtype,XLOOKUP($D662,'Move Editor'!$B:$B,'Move Editor'!$C:$C,""),cat,XLOOKUP($D662,'Move Editor'!$B:$B,'Move Editor'!$D:$D,""),pow,XLOOKUP($D662,'Move Editor'!$B:$B,'Move Editor'!$E:$E,0),acc,XLOOKUP($D662,'Move Editor'!$B:$B,'Move Editor'!$F:$F,100),atk,IF(cat="Physical",FLOOR((FLOOR(((2*XLOOKUP(XLOOKUP($Q662,'Threshold Summary'!$Y:$Y,'Threshold Summary'!$K:$K,""),'Pokemon Editor'!$A:$A,'Pokemon Editor'!$F:$F,0)+31+FLOOR(XLOOKUP($Q662,'Threshold Summary'!$Y:$Y,'Threshold Summary'!$P:$P,"")/4))*XLOOKUP($Q662,'Threshold Summary'!$Y:$Y,'Threshold Summary'!$L:$L,""))/100)+5)*XLOOKUP(XLOOKUP($Q662,'Threshold Summary'!$Y:$Y,'Threshold Summary'!$M:$M,""),'Nature Editor'!$A:$A,'Nature Editor'!$B:$B,1)),FLOOR((FLOOR(((2*XLOOKUP(XLOOKUP($Q662,'Threshold Summary'!$Y:$Y,'Threshold Summary'!$K:$K,""),'Pokemon Editor'!$A:$A,'Pokemon Editor'!$H:$H,0)+31+FLOOR(XLOOKUP($Q662,'Threshold Summary'!$Y:$Y,'Threshold Summary'!$R:$R,"")/4))*XLOOKUP($Q662,'Threshold Summary'!$Y:$Y,'Threshold Summary'!$L:$L,""))/100)+5)*XLOOKUP(XLOOKUP($Q662,'Threshold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Editor'!$E:$E,1))),stab,IF(OR(mtype=XLOOKUP(XLOOKUP($Q662,'Threshold Summary'!$Y:$Y,'Threshold Summary'!$K:$K,""),'Pokemon Editor'!$A:$A,'Pokemon Editor'!$C:$C,""),mtype=XLOOKUP(XLOOKUP($Q662,'Threshold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Chart'!$B$1:$S$1,0)))),base,IF(OR(cat="Status",pow=0),0,FLOOR(FLOOR(FLOOR((2*XLOOKUP($Q662,'Threshold Summary'!$Y:$Y,'Threshold Summary'!$L:$L,"")/5+2)*pow*atk/def)/50)+2)),modifier,stab*eff,AVERAGE(ARRAYFORMULA(FLOOR(base*modifier*SEQUENCE(16,1,85,1)/100)))/(FLOOR(((2*XLOOKUP('Boss Editor'!$C$4,'Pokemon Editor'!$A:$A,'Pokemon Editor'!$E:$E,0)+31+FLOOR('Boss Editor'!$G$4/4))*'Boss Editor'!$D$4)/100)+'Boss Editor'!$D$4+10)),0)</f>
        <v/>
      </c>
      <c r="O662" s="3">
        <f>IF(N662&gt;=1,"OHKO",IF(N662&gt;=0.5,"2HKO",IF(N662&gt;=0.333,"3HKO",IF(N662&gt;=0.25,"4HKO","5HKO+"))))</f>
        <v/>
      </c>
      <c r="P662" s="3" t="inlineStr">
        <is>
          <t>Live from editable databases</t>
        </is>
      </c>
      <c r="Q662" s="3" t="inlineStr">
        <is>
          <t>SPECIES_PANCHAM</t>
        </is>
      </c>
      <c r="R662" s="3" t="n">
        <v>21</v>
      </c>
    </row>
    <row r="663">
      <c r="A663" s="3">
        <f>XLOOKUP($Q663,'Threshold Summary'!$Y:$Y,'Threshold Summary'!$A:$A,"")</f>
        <v/>
      </c>
      <c r="B663" s="3">
        <f>XLOOKUP($Q663,'Threshold Summary'!$Y:$Y,'Threshold Summary'!$M:$M,"")</f>
        <v/>
      </c>
      <c r="C663" s="3">
        <f>XLOOKUP($Q663,'Threshold Summary'!$Y:$Y,'Threshold Summary'!$N:$N,"")</f>
        <v/>
      </c>
      <c r="D663" s="3">
        <f>IFERROR(INDEX(FILTER('Learnset Editor'!$D$2:$D,'Learnset Editor'!$A$2:$A=XLOOKUP($Q663,'Threshold Summary'!$Y:$Y,'Threshold Summary'!$K:$K,""),'Learnset Editor'!$C$2:$C&lt;=XLOOKUP($Q663,'Threshold Summary'!$Y:$Y,'Threshold Summary'!$L:$L,"")),$R663),"")</f>
        <v/>
      </c>
      <c r="E663" s="3">
        <f>XLOOKUP(D663,'Move Editor'!$B:$B,'Move Editor'!$C:$C,"")</f>
        <v/>
      </c>
      <c r="F663" s="3">
        <f>XLOOKUP(D663,'Move Editor'!$B:$B,'Move Editor'!$D:$D,"")</f>
        <v/>
      </c>
      <c r="G663" s="3">
        <f>XLOOKUP(D663,'Move Editor'!$B:$B,'Move Editor'!$E:$E,0)</f>
        <v/>
      </c>
      <c r="H663" s="3">
        <f>XLOOKUP(D663,'Move Editor'!$B:$B,'Move Editor'!$F:$F,0)</f>
        <v/>
      </c>
      <c r="I663" s="3">
        <f>(INDEX('Type Chart'!$B:$S,MATCH(E663,'Type Chart'!$A:$A,0),MATCH(XLOOKUP('Boss Editor'!$C$4,'Pokemon Editor'!$A:$A,'Pokemon Editor'!$C:$C,""),'Type Chart'!$B$1:$S$1,0))*IF(XLOOKUP('Boss Editor'!$C$4,'Pokemon Editor'!$A:$A,'Pokemon Editor'!$D:$D,"")="",1,INDEX('Type Chart'!$B:$S,MATCH(E663,'Type Chart'!$A:$A,0),MATCH(XLOOKUP('Boss Editor'!$C$4,'Pokemon Editor'!$A:$A,'Pokemon Editor'!$D:$D,""),'Type Chart'!$B$1:$S$1,0))))</f>
        <v/>
      </c>
      <c r="J663" s="3">
        <f>IFERROR(LET(mtype,XLOOKUP($D663,'Move Editor'!$B:$B,'Move Editor'!$C:$C,""),cat,XLOOKUP($D663,'Move Editor'!$B:$B,'Move Editor'!$D:$D,""),pow,XLOOKUP($D663,'Move Editor'!$B:$B,'Move Editor'!$E:$E,0),acc,XLOOKUP($D663,'Move Editor'!$B:$B,'Move Editor'!$F:$F,100),atk,IF(cat="Physical",FLOOR((FLOOR(((2*XLOOKUP(XLOOKUP($Q663,'Threshold Summary'!$Y:$Y,'Threshold Summary'!$K:$K,""),'Pokemon Editor'!$A:$A,'Pokemon Editor'!$F:$F,0)+31+FLOOR(XLOOKUP($Q663,'Threshold Summary'!$Y:$Y,'Threshold Summary'!$P:$P,"")/4))*XLOOKUP($Q663,'Threshold Summary'!$Y:$Y,'Threshold Summary'!$L:$L,""))/100)+5)*XLOOKUP(XLOOKUP($Q663,'Threshold Summary'!$Y:$Y,'Threshold Summary'!$M:$M,""),'Nature Editor'!$A:$A,'Nature Editor'!$B:$B,1)),FLOOR((FLOOR(((2*XLOOKUP(XLOOKUP($Q663,'Threshold Summary'!$Y:$Y,'Threshold Summary'!$K:$K,""),'Pokemon Editor'!$A:$A,'Pokemon Editor'!$H:$H,0)+31+FLOOR(XLOOKUP($Q663,'Threshold Summary'!$Y:$Y,'Threshold Summary'!$R:$R,"")/4))*XLOOKUP($Q663,'Threshold Summary'!$Y:$Y,'Threshold Summary'!$L:$L,""))/100)+5)*XLOOKUP(XLOOKUP($Q663,'Threshold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Editor'!$E:$E,1))),stab,IF(OR(mtype=XLOOKUP(XLOOKUP($Q663,'Threshold Summary'!$Y:$Y,'Threshold Summary'!$K:$K,""),'Pokemon Editor'!$A:$A,'Pokemon Editor'!$C:$C,""),mtype=XLOOKUP(XLOOKUP($Q663,'Threshold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Chart'!$B$1:$S$1,0)))),base,IF(OR(cat="Status",pow=0),0,FLOOR(FLOOR(FLOOR((2*XLOOKUP($Q663,'Threshold Summary'!$Y:$Y,'Threshold Summary'!$L:$L,"")/5+2)*pow*atk/def)/50)+2)),modifier,stab*eff,FLOOR(base*modifier*0.85)),0)</f>
        <v/>
      </c>
      <c r="K663" s="3">
        <f>IFERROR(LET(mtype,XLOOKUP($D663,'Move Editor'!$B:$B,'Move Editor'!$C:$C,""),cat,XLOOKUP($D663,'Move Editor'!$B:$B,'Move Editor'!$D:$D,""),pow,XLOOKUP($D663,'Move Editor'!$B:$B,'Move Editor'!$E:$E,0),acc,XLOOKUP($D663,'Move Editor'!$B:$B,'Move Editor'!$F:$F,100),atk,IF(cat="Physical",FLOOR((FLOOR(((2*XLOOKUP(XLOOKUP($Q663,'Threshold Summary'!$Y:$Y,'Threshold Summary'!$K:$K,""),'Pokemon Editor'!$A:$A,'Pokemon Editor'!$F:$F,0)+31+FLOOR(XLOOKUP($Q663,'Threshold Summary'!$Y:$Y,'Threshold Summary'!$P:$P,"")/4))*XLOOKUP($Q663,'Threshold Summary'!$Y:$Y,'Threshold Summary'!$L:$L,""))/100)+5)*XLOOKUP(XLOOKUP($Q663,'Threshold Summary'!$Y:$Y,'Threshold Summary'!$M:$M,""),'Nature Editor'!$A:$A,'Nature Editor'!$B:$B,1)),FLOOR((FLOOR(((2*XLOOKUP(XLOOKUP($Q663,'Threshold Summary'!$Y:$Y,'Threshold Summary'!$K:$K,""),'Pokemon Editor'!$A:$A,'Pokemon Editor'!$H:$H,0)+31+FLOOR(XLOOKUP($Q663,'Threshold Summary'!$Y:$Y,'Threshold Summary'!$R:$R,"")/4))*XLOOKUP($Q663,'Threshold Summary'!$Y:$Y,'Threshold Summary'!$L:$L,""))/100)+5)*XLOOKUP(XLOOKUP($Q663,'Threshold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Editor'!$E:$E,1))),stab,IF(OR(mtype=XLOOKUP(XLOOKUP($Q663,'Threshold Summary'!$Y:$Y,'Threshold Summary'!$K:$K,""),'Pokemon Editor'!$A:$A,'Pokemon Editor'!$C:$C,""),mtype=XLOOKUP(XLOOKUP($Q663,'Threshold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Chart'!$B$1:$S$1,0)))),base,IF(OR(cat="Status",pow=0),0,FLOOR(FLOOR(FLOOR((2*XLOOKUP($Q663,'Threshold Summary'!$Y:$Y,'Threshold Summary'!$L:$L,"")/5+2)*pow*atk/def)/50)+2)),modifier,stab*eff,FLOOR(base*modifier)),0)</f>
        <v/>
      </c>
      <c r="L663" s="3">
        <f>IFERROR(LET(mtype,XLOOKUP($D663,'Move Editor'!$B:$B,'Move Editor'!$C:$C,""),cat,XLOOKUP($D663,'Move Editor'!$B:$B,'Move Editor'!$D:$D,""),pow,XLOOKUP($D663,'Move Editor'!$B:$B,'Move Editor'!$E:$E,0),acc,XLOOKUP($D663,'Move Editor'!$B:$B,'Move Editor'!$F:$F,100),atk,IF(cat="Physical",FLOOR((FLOOR(((2*XLOOKUP(XLOOKUP($Q663,'Threshold Summary'!$Y:$Y,'Threshold Summary'!$K:$K,""),'Pokemon Editor'!$A:$A,'Pokemon Editor'!$F:$F,0)+31+FLOOR(XLOOKUP($Q663,'Threshold Summary'!$Y:$Y,'Threshold Summary'!$P:$P,"")/4))*XLOOKUP($Q663,'Threshold Summary'!$Y:$Y,'Threshold Summary'!$L:$L,""))/100)+5)*XLOOKUP(XLOOKUP($Q663,'Threshold Summary'!$Y:$Y,'Threshold Summary'!$M:$M,""),'Nature Editor'!$A:$A,'Nature Editor'!$B:$B,1)),FLOOR((FLOOR(((2*XLOOKUP(XLOOKUP($Q663,'Threshold Summary'!$Y:$Y,'Threshold Summary'!$K:$K,""),'Pokemon Editor'!$A:$A,'Pokemon Editor'!$H:$H,0)+31+FLOOR(XLOOKUP($Q663,'Threshold Summary'!$Y:$Y,'Threshold Summary'!$R:$R,"")/4))*XLOOKUP($Q663,'Threshold Summary'!$Y:$Y,'Threshold Summary'!$L:$L,""))/100)+5)*XLOOKUP(XLOOKUP($Q663,'Threshold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Editor'!$E:$E,1))),stab,IF(OR(mtype=XLOOKUP(XLOOKUP($Q663,'Threshold Summary'!$Y:$Y,'Threshold Summary'!$K:$K,""),'Pokemon Editor'!$A:$A,'Pokemon Editor'!$C:$C,""),mtype=XLOOKUP(XLOOKUP($Q663,'Threshold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Chart'!$B$1:$S$1,0)))),base,IF(OR(cat="Status",pow=0),0,FLOOR(FLOOR(FLOOR((2*XLOOKUP($Q663,'Threshold Summary'!$Y:$Y,'Threshold Summary'!$L:$L,"")/5+2)*pow*atk/def)/50)+2)),modifier,stab*eff,AVERAGE(ARRAYFORMULA(FLOOR(base*modifier*SEQUENCE(16,1,85,1)/100)))),0)</f>
        <v/>
      </c>
      <c r="M663" s="3">
        <f>IFERROR(LET(mtype,XLOOKUP($D663,'Move Editor'!$B:$B,'Move Editor'!$C:$C,""),cat,XLOOKUP($D663,'Move Editor'!$B:$B,'Move Editor'!$D:$D,""),pow,XLOOKUP($D663,'Move Editor'!$B:$B,'Move Editor'!$E:$E,0),acc,XLOOKUP($D663,'Move Editor'!$B:$B,'Move Editor'!$F:$F,100),atk,IF(cat="Physical",FLOOR((FLOOR(((2*XLOOKUP(XLOOKUP($Q663,'Threshold Summary'!$Y:$Y,'Threshold Summary'!$K:$K,""),'Pokemon Editor'!$A:$A,'Pokemon Editor'!$F:$F,0)+31+FLOOR(XLOOKUP($Q663,'Threshold Summary'!$Y:$Y,'Threshold Summary'!$P:$P,"")/4))*XLOOKUP($Q663,'Threshold Summary'!$Y:$Y,'Threshold Summary'!$L:$L,""))/100)+5)*XLOOKUP(XLOOKUP($Q663,'Threshold Summary'!$Y:$Y,'Threshold Summary'!$M:$M,""),'Nature Editor'!$A:$A,'Nature Editor'!$B:$B,1)),FLOOR((FLOOR(((2*XLOOKUP(XLOOKUP($Q663,'Threshold Summary'!$Y:$Y,'Threshold Summary'!$K:$K,""),'Pokemon Editor'!$A:$A,'Pokemon Editor'!$H:$H,0)+31+FLOOR(XLOOKUP($Q663,'Threshold Summary'!$Y:$Y,'Threshold Summary'!$R:$R,"")/4))*XLOOKUP($Q663,'Threshold Summary'!$Y:$Y,'Threshold Summary'!$L:$L,""))/100)+5)*XLOOKUP(XLOOKUP($Q663,'Threshold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Editor'!$E:$E,1))),stab,IF(OR(mtype=XLOOKUP(XLOOKUP($Q663,'Threshold Summary'!$Y:$Y,'Threshold Summary'!$K:$K,""),'Pokemon Editor'!$A:$A,'Pokemon Editor'!$C:$C,""),mtype=XLOOKUP(XLOOKUP($Q663,'Threshold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Chart'!$B$1:$S$1,0)))),base,IF(OR(cat="Status",pow=0),0,FLOOR(FLOOR(FLOOR((2*XLOOKUP($Q663,'Threshold Summary'!$Y:$Y,'Threshold Summary'!$L:$L,"")/5+2)*pow*atk/def)/50)+2)),modifier,stab*eff,AVERAGE(ARRAYFORMULA(FLOOR(base*modifier*SEQUENCE(16,1,85,1)/100)))*MIN(1,acc/100)),0)</f>
        <v/>
      </c>
      <c r="N663" s="4">
        <f>IFERROR(LET(mtype,XLOOKUP($D663,'Move Editor'!$B:$B,'Move Editor'!$C:$C,""),cat,XLOOKUP($D663,'Move Editor'!$B:$B,'Move Editor'!$D:$D,""),pow,XLOOKUP($D663,'Move Editor'!$B:$B,'Move Editor'!$E:$E,0),acc,XLOOKUP($D663,'Move Editor'!$B:$B,'Move Editor'!$F:$F,100),atk,IF(cat="Physical",FLOOR((FLOOR(((2*XLOOKUP(XLOOKUP($Q663,'Threshold Summary'!$Y:$Y,'Threshold Summary'!$K:$K,""),'Pokemon Editor'!$A:$A,'Pokemon Editor'!$F:$F,0)+31+FLOOR(XLOOKUP($Q663,'Threshold Summary'!$Y:$Y,'Threshold Summary'!$P:$P,"")/4))*XLOOKUP($Q663,'Threshold Summary'!$Y:$Y,'Threshold Summary'!$L:$L,""))/100)+5)*XLOOKUP(XLOOKUP($Q663,'Threshold Summary'!$Y:$Y,'Threshold Summary'!$M:$M,""),'Nature Editor'!$A:$A,'Nature Editor'!$B:$B,1)),FLOOR((FLOOR(((2*XLOOKUP(XLOOKUP($Q663,'Threshold Summary'!$Y:$Y,'Threshold Summary'!$K:$K,""),'Pokemon Editor'!$A:$A,'Pokemon Editor'!$H:$H,0)+31+FLOOR(XLOOKUP($Q663,'Threshold Summary'!$Y:$Y,'Threshold Summary'!$R:$R,"")/4))*XLOOKUP($Q663,'Threshold Summary'!$Y:$Y,'Threshold Summary'!$L:$L,""))/100)+5)*XLOOKUP(XLOOKUP($Q663,'Threshold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Editor'!$E:$E,1))),stab,IF(OR(mtype=XLOOKUP(XLOOKUP($Q663,'Threshold Summary'!$Y:$Y,'Threshold Summary'!$K:$K,""),'Pokemon Editor'!$A:$A,'Pokemon Editor'!$C:$C,""),mtype=XLOOKUP(XLOOKUP($Q663,'Threshold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Chart'!$B$1:$S$1,0)))),base,IF(OR(cat="Status",pow=0),0,FLOOR(FLOOR(FLOOR((2*XLOOKUP($Q663,'Threshold Summary'!$Y:$Y,'Threshold Summary'!$L:$L,"")/5+2)*pow*atk/def)/50)+2)),modifier,stab*eff,AVERAGE(ARRAYFORMULA(FLOOR(base*modifier*SEQUENCE(16,1,85,1)/100)))/(FLOOR(((2*XLOOKUP('Boss Editor'!$C$4,'Pokemon Editor'!$A:$A,'Pokemon Editor'!$E:$E,0)+31+FLOOR('Boss Editor'!$G$4/4))*'Boss Editor'!$D$4)/100)+'Boss Editor'!$D$4+10)),0)</f>
        <v/>
      </c>
      <c r="O663" s="3">
        <f>IF(N663&gt;=1,"OHKO",IF(N663&gt;=0.5,"2HKO",IF(N663&gt;=0.333,"3HKO",IF(N663&gt;=0.25,"4HKO","5HKO+"))))</f>
        <v/>
      </c>
      <c r="P663" s="3" t="inlineStr">
        <is>
          <t>Live from editable databases</t>
        </is>
      </c>
      <c r="Q663" s="3" t="inlineStr">
        <is>
          <t>SPECIES_PANCHAM</t>
        </is>
      </c>
      <c r="R663" s="3" t="n">
        <v>22</v>
      </c>
    </row>
    <row r="664">
      <c r="A664" s="3">
        <f>XLOOKUP($Q664,'Threshold Summary'!$Y:$Y,'Threshold Summary'!$A:$A,"")</f>
        <v/>
      </c>
      <c r="B664" s="3">
        <f>XLOOKUP($Q664,'Threshold Summary'!$Y:$Y,'Threshold Summary'!$M:$M,"")</f>
        <v/>
      </c>
      <c r="C664" s="3">
        <f>XLOOKUP($Q664,'Threshold Summary'!$Y:$Y,'Threshold Summary'!$N:$N,"")</f>
        <v/>
      </c>
      <c r="D664" s="3">
        <f>IFERROR(INDEX(FILTER('Learnset Editor'!$D$2:$D,'Learnset Editor'!$A$2:$A=XLOOKUP($Q664,'Threshold Summary'!$Y:$Y,'Threshold Summary'!$K:$K,""),'Learnset Editor'!$C$2:$C&lt;=XLOOKUP($Q664,'Threshold Summary'!$Y:$Y,'Threshold Summary'!$L:$L,"")),$R664),"")</f>
        <v/>
      </c>
      <c r="E664" s="3">
        <f>XLOOKUP(D664,'Move Editor'!$B:$B,'Move Editor'!$C:$C,"")</f>
        <v/>
      </c>
      <c r="F664" s="3">
        <f>XLOOKUP(D664,'Move Editor'!$B:$B,'Move Editor'!$D:$D,"")</f>
        <v/>
      </c>
      <c r="G664" s="3">
        <f>XLOOKUP(D664,'Move Editor'!$B:$B,'Move Editor'!$E:$E,0)</f>
        <v/>
      </c>
      <c r="H664" s="3">
        <f>XLOOKUP(D664,'Move Editor'!$B:$B,'Move Editor'!$F:$F,0)</f>
        <v/>
      </c>
      <c r="I664" s="3">
        <f>(INDEX('Type Chart'!$B:$S,MATCH(E664,'Type Chart'!$A:$A,0),MATCH(XLOOKUP('Boss Editor'!$C$4,'Pokemon Editor'!$A:$A,'Pokemon Editor'!$C:$C,""),'Type Chart'!$B$1:$S$1,0))*IF(XLOOKUP('Boss Editor'!$C$4,'Pokemon Editor'!$A:$A,'Pokemon Editor'!$D:$D,"")="",1,INDEX('Type Chart'!$B:$S,MATCH(E664,'Type Chart'!$A:$A,0),MATCH(XLOOKUP('Boss Editor'!$C$4,'Pokemon Editor'!$A:$A,'Pokemon Editor'!$D:$D,""),'Type Chart'!$B$1:$S$1,0))))</f>
        <v/>
      </c>
      <c r="J664" s="3">
        <f>IFERROR(LET(mtype,XLOOKUP($D664,'Move Editor'!$B:$B,'Move Editor'!$C:$C,""),cat,XLOOKUP($D664,'Move Editor'!$B:$B,'Move Editor'!$D:$D,""),pow,XLOOKUP($D664,'Move Editor'!$B:$B,'Move Editor'!$E:$E,0),acc,XLOOKUP($D664,'Move Editor'!$B:$B,'Move Editor'!$F:$F,100),atk,IF(cat="Physical",FLOOR((FLOOR(((2*XLOOKUP(XLOOKUP($Q664,'Threshold Summary'!$Y:$Y,'Threshold Summary'!$K:$K,""),'Pokemon Editor'!$A:$A,'Pokemon Editor'!$F:$F,0)+31+FLOOR(XLOOKUP($Q664,'Threshold Summary'!$Y:$Y,'Threshold Summary'!$P:$P,"")/4))*XLOOKUP($Q664,'Threshold Summary'!$Y:$Y,'Threshold Summary'!$L:$L,""))/100)+5)*XLOOKUP(XLOOKUP($Q664,'Threshold Summary'!$Y:$Y,'Threshold Summary'!$M:$M,""),'Nature Editor'!$A:$A,'Nature Editor'!$B:$B,1)),FLOOR((FLOOR(((2*XLOOKUP(XLOOKUP($Q664,'Threshold Summary'!$Y:$Y,'Threshold Summary'!$K:$K,""),'Pokemon Editor'!$A:$A,'Pokemon Editor'!$H:$H,0)+31+FLOOR(XLOOKUP($Q664,'Threshold Summary'!$Y:$Y,'Threshold Summary'!$R:$R,"")/4))*XLOOKUP($Q664,'Threshold Summary'!$Y:$Y,'Threshold Summary'!$L:$L,""))/100)+5)*XLOOKUP(XLOOKUP($Q664,'Threshold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Editor'!$E:$E,1))),stab,IF(OR(mtype=XLOOKUP(XLOOKUP($Q664,'Threshold Summary'!$Y:$Y,'Threshold Summary'!$K:$K,""),'Pokemon Editor'!$A:$A,'Pokemon Editor'!$C:$C,""),mtype=XLOOKUP(XLOOKUP($Q664,'Threshold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Chart'!$B$1:$S$1,0)))),base,IF(OR(cat="Status",pow=0),0,FLOOR(FLOOR(FLOOR((2*XLOOKUP($Q664,'Threshold Summary'!$Y:$Y,'Threshold Summary'!$L:$L,"")/5+2)*pow*atk/def)/50)+2)),modifier,stab*eff,FLOOR(base*modifier*0.85)),0)</f>
        <v/>
      </c>
      <c r="K664" s="3">
        <f>IFERROR(LET(mtype,XLOOKUP($D664,'Move Editor'!$B:$B,'Move Editor'!$C:$C,""),cat,XLOOKUP($D664,'Move Editor'!$B:$B,'Move Editor'!$D:$D,""),pow,XLOOKUP($D664,'Move Editor'!$B:$B,'Move Editor'!$E:$E,0),acc,XLOOKUP($D664,'Move Editor'!$B:$B,'Move Editor'!$F:$F,100),atk,IF(cat="Physical",FLOOR((FLOOR(((2*XLOOKUP(XLOOKUP($Q664,'Threshold Summary'!$Y:$Y,'Threshold Summary'!$K:$K,""),'Pokemon Editor'!$A:$A,'Pokemon Editor'!$F:$F,0)+31+FLOOR(XLOOKUP($Q664,'Threshold Summary'!$Y:$Y,'Threshold Summary'!$P:$P,"")/4))*XLOOKUP($Q664,'Threshold Summary'!$Y:$Y,'Threshold Summary'!$L:$L,""))/100)+5)*XLOOKUP(XLOOKUP($Q664,'Threshold Summary'!$Y:$Y,'Threshold Summary'!$M:$M,""),'Nature Editor'!$A:$A,'Nature Editor'!$B:$B,1)),FLOOR((FLOOR(((2*XLOOKUP(XLOOKUP($Q664,'Threshold Summary'!$Y:$Y,'Threshold Summary'!$K:$K,""),'Pokemon Editor'!$A:$A,'Pokemon Editor'!$H:$H,0)+31+FLOOR(XLOOKUP($Q664,'Threshold Summary'!$Y:$Y,'Threshold Summary'!$R:$R,"")/4))*XLOOKUP($Q664,'Threshold Summary'!$Y:$Y,'Threshold Summary'!$L:$L,""))/100)+5)*XLOOKUP(XLOOKUP($Q664,'Threshold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Editor'!$E:$E,1))),stab,IF(OR(mtype=XLOOKUP(XLOOKUP($Q664,'Threshold Summary'!$Y:$Y,'Threshold Summary'!$K:$K,""),'Pokemon Editor'!$A:$A,'Pokemon Editor'!$C:$C,""),mtype=XLOOKUP(XLOOKUP($Q664,'Threshold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Chart'!$B$1:$S$1,0)))),base,IF(OR(cat="Status",pow=0),0,FLOOR(FLOOR(FLOOR((2*XLOOKUP($Q664,'Threshold Summary'!$Y:$Y,'Threshold Summary'!$L:$L,"")/5+2)*pow*atk/def)/50)+2)),modifier,stab*eff,FLOOR(base*modifier)),0)</f>
        <v/>
      </c>
      <c r="L664" s="3">
        <f>IFERROR(LET(mtype,XLOOKUP($D664,'Move Editor'!$B:$B,'Move Editor'!$C:$C,""),cat,XLOOKUP($D664,'Move Editor'!$B:$B,'Move Editor'!$D:$D,""),pow,XLOOKUP($D664,'Move Editor'!$B:$B,'Move Editor'!$E:$E,0),acc,XLOOKUP($D664,'Move Editor'!$B:$B,'Move Editor'!$F:$F,100),atk,IF(cat="Physical",FLOOR((FLOOR(((2*XLOOKUP(XLOOKUP($Q664,'Threshold Summary'!$Y:$Y,'Threshold Summary'!$K:$K,""),'Pokemon Editor'!$A:$A,'Pokemon Editor'!$F:$F,0)+31+FLOOR(XLOOKUP($Q664,'Threshold Summary'!$Y:$Y,'Threshold Summary'!$P:$P,"")/4))*XLOOKUP($Q664,'Threshold Summary'!$Y:$Y,'Threshold Summary'!$L:$L,""))/100)+5)*XLOOKUP(XLOOKUP($Q664,'Threshold Summary'!$Y:$Y,'Threshold Summary'!$M:$M,""),'Nature Editor'!$A:$A,'Nature Editor'!$B:$B,1)),FLOOR((FLOOR(((2*XLOOKUP(XLOOKUP($Q664,'Threshold Summary'!$Y:$Y,'Threshold Summary'!$K:$K,""),'Pokemon Editor'!$A:$A,'Pokemon Editor'!$H:$H,0)+31+FLOOR(XLOOKUP($Q664,'Threshold Summary'!$Y:$Y,'Threshold Summary'!$R:$R,"")/4))*XLOOKUP($Q664,'Threshold Summary'!$Y:$Y,'Threshold Summary'!$L:$L,""))/100)+5)*XLOOKUP(XLOOKUP($Q664,'Threshold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Editor'!$E:$E,1))),stab,IF(OR(mtype=XLOOKUP(XLOOKUP($Q664,'Threshold Summary'!$Y:$Y,'Threshold Summary'!$K:$K,""),'Pokemon Editor'!$A:$A,'Pokemon Editor'!$C:$C,""),mtype=XLOOKUP(XLOOKUP($Q664,'Threshold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Chart'!$B$1:$S$1,0)))),base,IF(OR(cat="Status",pow=0),0,FLOOR(FLOOR(FLOOR((2*XLOOKUP($Q664,'Threshold Summary'!$Y:$Y,'Threshold Summary'!$L:$L,"")/5+2)*pow*atk/def)/50)+2)),modifier,stab*eff,AVERAGE(ARRAYFORMULA(FLOOR(base*modifier*SEQUENCE(16,1,85,1)/100)))),0)</f>
        <v/>
      </c>
      <c r="M664" s="3">
        <f>IFERROR(LET(mtype,XLOOKUP($D664,'Move Editor'!$B:$B,'Move Editor'!$C:$C,""),cat,XLOOKUP($D664,'Move Editor'!$B:$B,'Move Editor'!$D:$D,""),pow,XLOOKUP($D664,'Move Editor'!$B:$B,'Move Editor'!$E:$E,0),acc,XLOOKUP($D664,'Move Editor'!$B:$B,'Move Editor'!$F:$F,100),atk,IF(cat="Physical",FLOOR((FLOOR(((2*XLOOKUP(XLOOKUP($Q664,'Threshold Summary'!$Y:$Y,'Threshold Summary'!$K:$K,""),'Pokemon Editor'!$A:$A,'Pokemon Editor'!$F:$F,0)+31+FLOOR(XLOOKUP($Q664,'Threshold Summary'!$Y:$Y,'Threshold Summary'!$P:$P,"")/4))*XLOOKUP($Q664,'Threshold Summary'!$Y:$Y,'Threshold Summary'!$L:$L,""))/100)+5)*XLOOKUP(XLOOKUP($Q664,'Threshold Summary'!$Y:$Y,'Threshold Summary'!$M:$M,""),'Nature Editor'!$A:$A,'Nature Editor'!$B:$B,1)),FLOOR((FLOOR(((2*XLOOKUP(XLOOKUP($Q664,'Threshold Summary'!$Y:$Y,'Threshold Summary'!$K:$K,""),'Pokemon Editor'!$A:$A,'Pokemon Editor'!$H:$H,0)+31+FLOOR(XLOOKUP($Q664,'Threshold Summary'!$Y:$Y,'Threshold Summary'!$R:$R,"")/4))*XLOOKUP($Q664,'Threshold Summary'!$Y:$Y,'Threshold Summary'!$L:$L,""))/100)+5)*XLOOKUP(XLOOKUP($Q664,'Threshold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Editor'!$E:$E,1))),stab,IF(OR(mtype=XLOOKUP(XLOOKUP($Q664,'Threshold Summary'!$Y:$Y,'Threshold Summary'!$K:$K,""),'Pokemon Editor'!$A:$A,'Pokemon Editor'!$C:$C,""),mtype=XLOOKUP(XLOOKUP($Q664,'Threshold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Chart'!$B$1:$S$1,0)))),base,IF(OR(cat="Status",pow=0),0,FLOOR(FLOOR(FLOOR((2*XLOOKUP($Q664,'Threshold Summary'!$Y:$Y,'Threshold Summary'!$L:$L,"")/5+2)*pow*atk/def)/50)+2)),modifier,stab*eff,AVERAGE(ARRAYFORMULA(FLOOR(base*modifier*SEQUENCE(16,1,85,1)/100)))*MIN(1,acc/100)),0)</f>
        <v/>
      </c>
      <c r="N664" s="4">
        <f>IFERROR(LET(mtype,XLOOKUP($D664,'Move Editor'!$B:$B,'Move Editor'!$C:$C,""),cat,XLOOKUP($D664,'Move Editor'!$B:$B,'Move Editor'!$D:$D,""),pow,XLOOKUP($D664,'Move Editor'!$B:$B,'Move Editor'!$E:$E,0),acc,XLOOKUP($D664,'Move Editor'!$B:$B,'Move Editor'!$F:$F,100),atk,IF(cat="Physical",FLOOR((FLOOR(((2*XLOOKUP(XLOOKUP($Q664,'Threshold Summary'!$Y:$Y,'Threshold Summary'!$K:$K,""),'Pokemon Editor'!$A:$A,'Pokemon Editor'!$F:$F,0)+31+FLOOR(XLOOKUP($Q664,'Threshold Summary'!$Y:$Y,'Threshold Summary'!$P:$P,"")/4))*XLOOKUP($Q664,'Threshold Summary'!$Y:$Y,'Threshold Summary'!$L:$L,""))/100)+5)*XLOOKUP(XLOOKUP($Q664,'Threshold Summary'!$Y:$Y,'Threshold Summary'!$M:$M,""),'Nature Editor'!$A:$A,'Nature Editor'!$B:$B,1)),FLOOR((FLOOR(((2*XLOOKUP(XLOOKUP($Q664,'Threshold Summary'!$Y:$Y,'Threshold Summary'!$K:$K,""),'Pokemon Editor'!$A:$A,'Pokemon Editor'!$H:$H,0)+31+FLOOR(XLOOKUP($Q664,'Threshold Summary'!$Y:$Y,'Threshold Summary'!$R:$R,"")/4))*XLOOKUP($Q664,'Threshold Summary'!$Y:$Y,'Threshold Summary'!$L:$L,""))/100)+5)*XLOOKUP(XLOOKUP($Q664,'Threshold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Editor'!$E:$E,1))),stab,IF(OR(mtype=XLOOKUP(XLOOKUP($Q664,'Threshold Summary'!$Y:$Y,'Threshold Summary'!$K:$K,""),'Pokemon Editor'!$A:$A,'Pokemon Editor'!$C:$C,""),mtype=XLOOKUP(XLOOKUP($Q664,'Threshold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Chart'!$B$1:$S$1,0)))),base,IF(OR(cat="Status",pow=0),0,FLOOR(FLOOR(FLOOR((2*XLOOKUP($Q664,'Threshold Summary'!$Y:$Y,'Threshold Summary'!$L:$L,"")/5+2)*pow*atk/def)/50)+2)),modifier,stab*eff,AVERAGE(ARRAYFORMULA(FLOOR(base*modifier*SEQUENCE(16,1,85,1)/100)))/(FLOOR(((2*XLOOKUP('Boss Editor'!$C$4,'Pokemon Editor'!$A:$A,'Pokemon Editor'!$E:$E,0)+31+FLOOR('Boss Editor'!$G$4/4))*'Boss Editor'!$D$4)/100)+'Boss Editor'!$D$4+10)),0)</f>
        <v/>
      </c>
      <c r="O664" s="3">
        <f>IF(N664&gt;=1,"OHKO",IF(N664&gt;=0.5,"2HKO",IF(N664&gt;=0.333,"3HKO",IF(N664&gt;=0.25,"4HKO","5HKO+"))))</f>
        <v/>
      </c>
      <c r="P664" s="3" t="inlineStr">
        <is>
          <t>Live from editable databases</t>
        </is>
      </c>
      <c r="Q664" s="3" t="inlineStr">
        <is>
          <t>SPECIES_PANCHAM</t>
        </is>
      </c>
      <c r="R664" s="3" t="n">
        <v>23</v>
      </c>
    </row>
    <row r="665">
      <c r="A665" s="3">
        <f>XLOOKUP($Q665,'Threshold Summary'!$Y:$Y,'Threshold Summary'!$A:$A,"")</f>
        <v/>
      </c>
      <c r="B665" s="3">
        <f>XLOOKUP($Q665,'Threshold Summary'!$Y:$Y,'Threshold Summary'!$M:$M,"")</f>
        <v/>
      </c>
      <c r="C665" s="3">
        <f>XLOOKUP($Q665,'Threshold Summary'!$Y:$Y,'Threshold Summary'!$N:$N,"")</f>
        <v/>
      </c>
      <c r="D665" s="3">
        <f>IFERROR(INDEX(FILTER('Learnset Editor'!$D$2:$D,'Learnset Editor'!$A$2:$A=XLOOKUP($Q665,'Threshold Summary'!$Y:$Y,'Threshold Summary'!$K:$K,""),'Learnset Editor'!$C$2:$C&lt;=XLOOKUP($Q665,'Threshold Summary'!$Y:$Y,'Threshold Summary'!$L:$L,"")),$R665),"")</f>
        <v/>
      </c>
      <c r="E665" s="3">
        <f>XLOOKUP(D665,'Move Editor'!$B:$B,'Move Editor'!$C:$C,"")</f>
        <v/>
      </c>
      <c r="F665" s="3">
        <f>XLOOKUP(D665,'Move Editor'!$B:$B,'Move Editor'!$D:$D,"")</f>
        <v/>
      </c>
      <c r="G665" s="3">
        <f>XLOOKUP(D665,'Move Editor'!$B:$B,'Move Editor'!$E:$E,0)</f>
        <v/>
      </c>
      <c r="H665" s="3">
        <f>XLOOKUP(D665,'Move Editor'!$B:$B,'Move Editor'!$F:$F,0)</f>
        <v/>
      </c>
      <c r="I665" s="3">
        <f>(INDEX('Type Chart'!$B:$S,MATCH(E665,'Type Chart'!$A:$A,0),MATCH(XLOOKUP('Boss Editor'!$C$4,'Pokemon Editor'!$A:$A,'Pokemon Editor'!$C:$C,""),'Type Chart'!$B$1:$S$1,0))*IF(XLOOKUP('Boss Editor'!$C$4,'Pokemon Editor'!$A:$A,'Pokemon Editor'!$D:$D,"")="",1,INDEX('Type Chart'!$B:$S,MATCH(E665,'Type Chart'!$A:$A,0),MATCH(XLOOKUP('Boss Editor'!$C$4,'Pokemon Editor'!$A:$A,'Pokemon Editor'!$D:$D,""),'Type Chart'!$B$1:$S$1,0))))</f>
        <v/>
      </c>
      <c r="J665" s="3">
        <f>IFERROR(LET(mtype,XLOOKUP($D665,'Move Editor'!$B:$B,'Move Editor'!$C:$C,""),cat,XLOOKUP($D665,'Move Editor'!$B:$B,'Move Editor'!$D:$D,""),pow,XLOOKUP($D665,'Move Editor'!$B:$B,'Move Editor'!$E:$E,0),acc,XLOOKUP($D665,'Move Editor'!$B:$B,'Move Editor'!$F:$F,100),atk,IF(cat="Physical",FLOOR((FLOOR(((2*XLOOKUP(XLOOKUP($Q665,'Threshold Summary'!$Y:$Y,'Threshold Summary'!$K:$K,""),'Pokemon Editor'!$A:$A,'Pokemon Editor'!$F:$F,0)+31+FLOOR(XLOOKUP($Q665,'Threshold Summary'!$Y:$Y,'Threshold Summary'!$P:$P,"")/4))*XLOOKUP($Q665,'Threshold Summary'!$Y:$Y,'Threshold Summary'!$L:$L,""))/100)+5)*XLOOKUP(XLOOKUP($Q665,'Threshold Summary'!$Y:$Y,'Threshold Summary'!$M:$M,""),'Nature Editor'!$A:$A,'Nature Editor'!$B:$B,1)),FLOOR((FLOOR(((2*XLOOKUP(XLOOKUP($Q665,'Threshold Summary'!$Y:$Y,'Threshold Summary'!$K:$K,""),'Pokemon Editor'!$A:$A,'Pokemon Editor'!$H:$H,0)+31+FLOOR(XLOOKUP($Q665,'Threshold Summary'!$Y:$Y,'Threshold Summary'!$R:$R,"")/4))*XLOOKUP($Q665,'Threshold Summary'!$Y:$Y,'Threshold Summary'!$L:$L,""))/100)+5)*XLOOKUP(XLOOKUP($Q665,'Threshold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Editor'!$E:$E,1))),stab,IF(OR(mtype=XLOOKUP(XLOOKUP($Q665,'Threshold Summary'!$Y:$Y,'Threshold Summary'!$K:$K,""),'Pokemon Editor'!$A:$A,'Pokemon Editor'!$C:$C,""),mtype=XLOOKUP(XLOOKUP($Q665,'Threshold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Chart'!$B$1:$S$1,0)))),base,IF(OR(cat="Status",pow=0),0,FLOOR(FLOOR(FLOOR((2*XLOOKUP($Q665,'Threshold Summary'!$Y:$Y,'Threshold Summary'!$L:$L,"")/5+2)*pow*atk/def)/50)+2)),modifier,stab*eff,FLOOR(base*modifier*0.85)),0)</f>
        <v/>
      </c>
      <c r="K665" s="3">
        <f>IFERROR(LET(mtype,XLOOKUP($D665,'Move Editor'!$B:$B,'Move Editor'!$C:$C,""),cat,XLOOKUP($D665,'Move Editor'!$B:$B,'Move Editor'!$D:$D,""),pow,XLOOKUP($D665,'Move Editor'!$B:$B,'Move Editor'!$E:$E,0),acc,XLOOKUP($D665,'Move Editor'!$B:$B,'Move Editor'!$F:$F,100),atk,IF(cat="Physical",FLOOR((FLOOR(((2*XLOOKUP(XLOOKUP($Q665,'Threshold Summary'!$Y:$Y,'Threshold Summary'!$K:$K,""),'Pokemon Editor'!$A:$A,'Pokemon Editor'!$F:$F,0)+31+FLOOR(XLOOKUP($Q665,'Threshold Summary'!$Y:$Y,'Threshold Summary'!$P:$P,"")/4))*XLOOKUP($Q665,'Threshold Summary'!$Y:$Y,'Threshold Summary'!$L:$L,""))/100)+5)*XLOOKUP(XLOOKUP($Q665,'Threshold Summary'!$Y:$Y,'Threshold Summary'!$M:$M,""),'Nature Editor'!$A:$A,'Nature Editor'!$B:$B,1)),FLOOR((FLOOR(((2*XLOOKUP(XLOOKUP($Q665,'Threshold Summary'!$Y:$Y,'Threshold Summary'!$K:$K,""),'Pokemon Editor'!$A:$A,'Pokemon Editor'!$H:$H,0)+31+FLOOR(XLOOKUP($Q665,'Threshold Summary'!$Y:$Y,'Threshold Summary'!$R:$R,"")/4))*XLOOKUP($Q665,'Threshold Summary'!$Y:$Y,'Threshold Summary'!$L:$L,""))/100)+5)*XLOOKUP(XLOOKUP($Q665,'Threshold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Editor'!$E:$E,1))),stab,IF(OR(mtype=XLOOKUP(XLOOKUP($Q665,'Threshold Summary'!$Y:$Y,'Threshold Summary'!$K:$K,""),'Pokemon Editor'!$A:$A,'Pokemon Editor'!$C:$C,""),mtype=XLOOKUP(XLOOKUP($Q665,'Threshold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Chart'!$B$1:$S$1,0)))),base,IF(OR(cat="Status",pow=0),0,FLOOR(FLOOR(FLOOR((2*XLOOKUP($Q665,'Threshold Summary'!$Y:$Y,'Threshold Summary'!$L:$L,"")/5+2)*pow*atk/def)/50)+2)),modifier,stab*eff,FLOOR(base*modifier)),0)</f>
        <v/>
      </c>
      <c r="L665" s="3">
        <f>IFERROR(LET(mtype,XLOOKUP($D665,'Move Editor'!$B:$B,'Move Editor'!$C:$C,""),cat,XLOOKUP($D665,'Move Editor'!$B:$B,'Move Editor'!$D:$D,""),pow,XLOOKUP($D665,'Move Editor'!$B:$B,'Move Editor'!$E:$E,0),acc,XLOOKUP($D665,'Move Editor'!$B:$B,'Move Editor'!$F:$F,100),atk,IF(cat="Physical",FLOOR((FLOOR(((2*XLOOKUP(XLOOKUP($Q665,'Threshold Summary'!$Y:$Y,'Threshold Summary'!$K:$K,""),'Pokemon Editor'!$A:$A,'Pokemon Editor'!$F:$F,0)+31+FLOOR(XLOOKUP($Q665,'Threshold Summary'!$Y:$Y,'Threshold Summary'!$P:$P,"")/4))*XLOOKUP($Q665,'Threshold Summary'!$Y:$Y,'Threshold Summary'!$L:$L,""))/100)+5)*XLOOKUP(XLOOKUP($Q665,'Threshold Summary'!$Y:$Y,'Threshold Summary'!$M:$M,""),'Nature Editor'!$A:$A,'Nature Editor'!$B:$B,1)),FLOOR((FLOOR(((2*XLOOKUP(XLOOKUP($Q665,'Threshold Summary'!$Y:$Y,'Threshold Summary'!$K:$K,""),'Pokemon Editor'!$A:$A,'Pokemon Editor'!$H:$H,0)+31+FLOOR(XLOOKUP($Q665,'Threshold Summary'!$Y:$Y,'Threshold Summary'!$R:$R,"")/4))*XLOOKUP($Q665,'Threshold Summary'!$Y:$Y,'Threshold Summary'!$L:$L,""))/100)+5)*XLOOKUP(XLOOKUP($Q665,'Threshold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Editor'!$E:$E,1))),stab,IF(OR(mtype=XLOOKUP(XLOOKUP($Q665,'Threshold Summary'!$Y:$Y,'Threshold Summary'!$K:$K,""),'Pokemon Editor'!$A:$A,'Pokemon Editor'!$C:$C,""),mtype=XLOOKUP(XLOOKUP($Q665,'Threshold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Chart'!$B$1:$S$1,0)))),base,IF(OR(cat="Status",pow=0),0,FLOOR(FLOOR(FLOOR((2*XLOOKUP($Q665,'Threshold Summary'!$Y:$Y,'Threshold Summary'!$L:$L,"")/5+2)*pow*atk/def)/50)+2)),modifier,stab*eff,AVERAGE(ARRAYFORMULA(FLOOR(base*modifier*SEQUENCE(16,1,85,1)/100)))),0)</f>
        <v/>
      </c>
      <c r="M665" s="3">
        <f>IFERROR(LET(mtype,XLOOKUP($D665,'Move Editor'!$B:$B,'Move Editor'!$C:$C,""),cat,XLOOKUP($D665,'Move Editor'!$B:$B,'Move Editor'!$D:$D,""),pow,XLOOKUP($D665,'Move Editor'!$B:$B,'Move Editor'!$E:$E,0),acc,XLOOKUP($D665,'Move Editor'!$B:$B,'Move Editor'!$F:$F,100),atk,IF(cat="Physical",FLOOR((FLOOR(((2*XLOOKUP(XLOOKUP($Q665,'Threshold Summary'!$Y:$Y,'Threshold Summary'!$K:$K,""),'Pokemon Editor'!$A:$A,'Pokemon Editor'!$F:$F,0)+31+FLOOR(XLOOKUP($Q665,'Threshold Summary'!$Y:$Y,'Threshold Summary'!$P:$P,"")/4))*XLOOKUP($Q665,'Threshold Summary'!$Y:$Y,'Threshold Summary'!$L:$L,""))/100)+5)*XLOOKUP(XLOOKUP($Q665,'Threshold Summary'!$Y:$Y,'Threshold Summary'!$M:$M,""),'Nature Editor'!$A:$A,'Nature Editor'!$B:$B,1)),FLOOR((FLOOR(((2*XLOOKUP(XLOOKUP($Q665,'Threshold Summary'!$Y:$Y,'Threshold Summary'!$K:$K,""),'Pokemon Editor'!$A:$A,'Pokemon Editor'!$H:$H,0)+31+FLOOR(XLOOKUP($Q665,'Threshold Summary'!$Y:$Y,'Threshold Summary'!$R:$R,"")/4))*XLOOKUP($Q665,'Threshold Summary'!$Y:$Y,'Threshold Summary'!$L:$L,""))/100)+5)*XLOOKUP(XLOOKUP($Q665,'Threshold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Editor'!$E:$E,1))),stab,IF(OR(mtype=XLOOKUP(XLOOKUP($Q665,'Threshold Summary'!$Y:$Y,'Threshold Summary'!$K:$K,""),'Pokemon Editor'!$A:$A,'Pokemon Editor'!$C:$C,""),mtype=XLOOKUP(XLOOKUP($Q665,'Threshold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Chart'!$B$1:$S$1,0)))),base,IF(OR(cat="Status",pow=0),0,FLOOR(FLOOR(FLOOR((2*XLOOKUP($Q665,'Threshold Summary'!$Y:$Y,'Threshold Summary'!$L:$L,"")/5+2)*pow*atk/def)/50)+2)),modifier,stab*eff,AVERAGE(ARRAYFORMULA(FLOOR(base*modifier*SEQUENCE(16,1,85,1)/100)))*MIN(1,acc/100)),0)</f>
        <v/>
      </c>
      <c r="N665" s="4">
        <f>IFERROR(LET(mtype,XLOOKUP($D665,'Move Editor'!$B:$B,'Move Editor'!$C:$C,""),cat,XLOOKUP($D665,'Move Editor'!$B:$B,'Move Editor'!$D:$D,""),pow,XLOOKUP($D665,'Move Editor'!$B:$B,'Move Editor'!$E:$E,0),acc,XLOOKUP($D665,'Move Editor'!$B:$B,'Move Editor'!$F:$F,100),atk,IF(cat="Physical",FLOOR((FLOOR(((2*XLOOKUP(XLOOKUP($Q665,'Threshold Summary'!$Y:$Y,'Threshold Summary'!$K:$K,""),'Pokemon Editor'!$A:$A,'Pokemon Editor'!$F:$F,0)+31+FLOOR(XLOOKUP($Q665,'Threshold Summary'!$Y:$Y,'Threshold Summary'!$P:$P,"")/4))*XLOOKUP($Q665,'Threshold Summary'!$Y:$Y,'Threshold Summary'!$L:$L,""))/100)+5)*XLOOKUP(XLOOKUP($Q665,'Threshold Summary'!$Y:$Y,'Threshold Summary'!$M:$M,""),'Nature Editor'!$A:$A,'Nature Editor'!$B:$B,1)),FLOOR((FLOOR(((2*XLOOKUP(XLOOKUP($Q665,'Threshold Summary'!$Y:$Y,'Threshold Summary'!$K:$K,""),'Pokemon Editor'!$A:$A,'Pokemon Editor'!$H:$H,0)+31+FLOOR(XLOOKUP($Q665,'Threshold Summary'!$Y:$Y,'Threshold Summary'!$R:$R,"")/4))*XLOOKUP($Q665,'Threshold Summary'!$Y:$Y,'Threshold Summary'!$L:$L,""))/100)+5)*XLOOKUP(XLOOKUP($Q665,'Threshold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Editor'!$E:$E,1))),stab,IF(OR(mtype=XLOOKUP(XLOOKUP($Q665,'Threshold Summary'!$Y:$Y,'Threshold Summary'!$K:$K,""),'Pokemon Editor'!$A:$A,'Pokemon Editor'!$C:$C,""),mtype=XLOOKUP(XLOOKUP($Q665,'Threshold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Chart'!$B$1:$S$1,0)))),base,IF(OR(cat="Status",pow=0),0,FLOOR(FLOOR(FLOOR((2*XLOOKUP($Q665,'Threshold Summary'!$Y:$Y,'Threshold Summary'!$L:$L,"")/5+2)*pow*atk/def)/50)+2)),modifier,stab*eff,AVERAGE(ARRAYFORMULA(FLOOR(base*modifier*SEQUENCE(16,1,85,1)/100)))/(FLOOR(((2*XLOOKUP('Boss Editor'!$C$4,'Pokemon Editor'!$A:$A,'Pokemon Editor'!$E:$E,0)+31+FLOOR('Boss Editor'!$G$4/4))*'Boss Editor'!$D$4)/100)+'Boss Editor'!$D$4+10)),0)</f>
        <v/>
      </c>
      <c r="O665" s="3">
        <f>IF(N665&gt;=1,"OHKO",IF(N665&gt;=0.5,"2HKO",IF(N665&gt;=0.333,"3HKO",IF(N665&gt;=0.25,"4HKO","5HKO+"))))</f>
        <v/>
      </c>
      <c r="P665" s="3" t="inlineStr">
        <is>
          <t>Live from editable databases</t>
        </is>
      </c>
      <c r="Q665" s="3" t="inlineStr">
        <is>
          <t>SPECIES_PANCHAM</t>
        </is>
      </c>
      <c r="R665" s="3" t="n">
        <v>24</v>
      </c>
    </row>
    <row r="666">
      <c r="A666" s="3">
        <f>XLOOKUP($Q666,'Threshold Summary'!$Y:$Y,'Threshold Summary'!$A:$A,"")</f>
        <v/>
      </c>
      <c r="B666" s="3">
        <f>XLOOKUP($Q666,'Threshold Summary'!$Y:$Y,'Threshold Summary'!$M:$M,"")</f>
        <v/>
      </c>
      <c r="C666" s="3">
        <f>XLOOKUP($Q666,'Threshold Summary'!$Y:$Y,'Threshold Summary'!$N:$N,"")</f>
        <v/>
      </c>
      <c r="D666" s="3">
        <f>IFERROR(INDEX(FILTER('Learnset Editor'!$D$2:$D,'Learnset Editor'!$A$2:$A=XLOOKUP($Q666,'Threshold Summary'!$Y:$Y,'Threshold Summary'!$K:$K,""),'Learnset Editor'!$C$2:$C&lt;=XLOOKUP($Q666,'Threshold Summary'!$Y:$Y,'Threshold Summary'!$L:$L,"")),$R666),"")</f>
        <v/>
      </c>
      <c r="E666" s="3">
        <f>XLOOKUP(D666,'Move Editor'!$B:$B,'Move Editor'!$C:$C,"")</f>
        <v/>
      </c>
      <c r="F666" s="3">
        <f>XLOOKUP(D666,'Move Editor'!$B:$B,'Move Editor'!$D:$D,"")</f>
        <v/>
      </c>
      <c r="G666" s="3">
        <f>XLOOKUP(D666,'Move Editor'!$B:$B,'Move Editor'!$E:$E,0)</f>
        <v/>
      </c>
      <c r="H666" s="3">
        <f>XLOOKUP(D666,'Move Editor'!$B:$B,'Move Editor'!$F:$F,0)</f>
        <v/>
      </c>
      <c r="I666" s="3">
        <f>(INDEX('Type Chart'!$B:$S,MATCH(E666,'Type Chart'!$A:$A,0),MATCH(XLOOKUP('Boss Editor'!$C$4,'Pokemon Editor'!$A:$A,'Pokemon Editor'!$C:$C,""),'Type Chart'!$B$1:$S$1,0))*IF(XLOOKUP('Boss Editor'!$C$4,'Pokemon Editor'!$A:$A,'Pokemon Editor'!$D:$D,"")="",1,INDEX('Type Chart'!$B:$S,MATCH(E666,'Type Chart'!$A:$A,0),MATCH(XLOOKUP('Boss Editor'!$C$4,'Pokemon Editor'!$A:$A,'Pokemon Editor'!$D:$D,""),'Type Chart'!$B$1:$S$1,0))))</f>
        <v/>
      </c>
      <c r="J666" s="3">
        <f>IFERROR(LET(mtype,XLOOKUP($D666,'Move Editor'!$B:$B,'Move Editor'!$C:$C,""),cat,XLOOKUP($D666,'Move Editor'!$B:$B,'Move Editor'!$D:$D,""),pow,XLOOKUP($D666,'Move Editor'!$B:$B,'Move Editor'!$E:$E,0),acc,XLOOKUP($D666,'Move Editor'!$B:$B,'Move Editor'!$F:$F,100),atk,IF(cat="Physical",FLOOR((FLOOR(((2*XLOOKUP(XLOOKUP($Q666,'Threshold Summary'!$Y:$Y,'Threshold Summary'!$K:$K,""),'Pokemon Editor'!$A:$A,'Pokemon Editor'!$F:$F,0)+31+FLOOR(XLOOKUP($Q666,'Threshold Summary'!$Y:$Y,'Threshold Summary'!$P:$P,"")/4))*XLOOKUP($Q666,'Threshold Summary'!$Y:$Y,'Threshold Summary'!$L:$L,""))/100)+5)*XLOOKUP(XLOOKUP($Q666,'Threshold Summary'!$Y:$Y,'Threshold Summary'!$M:$M,""),'Nature Editor'!$A:$A,'Nature Editor'!$B:$B,1)),FLOOR((FLOOR(((2*XLOOKUP(XLOOKUP($Q666,'Threshold Summary'!$Y:$Y,'Threshold Summary'!$K:$K,""),'Pokemon Editor'!$A:$A,'Pokemon Editor'!$H:$H,0)+31+FLOOR(XLOOKUP($Q666,'Threshold Summary'!$Y:$Y,'Threshold Summary'!$R:$R,"")/4))*XLOOKUP($Q666,'Threshold Summary'!$Y:$Y,'Threshold Summary'!$L:$L,""))/100)+5)*XLOOKUP(XLOOKUP($Q666,'Threshold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Editor'!$E:$E,1))),stab,IF(OR(mtype=XLOOKUP(XLOOKUP($Q666,'Threshold Summary'!$Y:$Y,'Threshold Summary'!$K:$K,""),'Pokemon Editor'!$A:$A,'Pokemon Editor'!$C:$C,""),mtype=XLOOKUP(XLOOKUP($Q666,'Threshold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Chart'!$B$1:$S$1,0)))),base,IF(OR(cat="Status",pow=0),0,FLOOR(FLOOR(FLOOR((2*XLOOKUP($Q666,'Threshold Summary'!$Y:$Y,'Threshold Summary'!$L:$L,"")/5+2)*pow*atk/def)/50)+2)),modifier,stab*eff,FLOOR(base*modifier*0.85)),0)</f>
        <v/>
      </c>
      <c r="K666" s="3">
        <f>IFERROR(LET(mtype,XLOOKUP($D666,'Move Editor'!$B:$B,'Move Editor'!$C:$C,""),cat,XLOOKUP($D666,'Move Editor'!$B:$B,'Move Editor'!$D:$D,""),pow,XLOOKUP($D666,'Move Editor'!$B:$B,'Move Editor'!$E:$E,0),acc,XLOOKUP($D666,'Move Editor'!$B:$B,'Move Editor'!$F:$F,100),atk,IF(cat="Physical",FLOOR((FLOOR(((2*XLOOKUP(XLOOKUP($Q666,'Threshold Summary'!$Y:$Y,'Threshold Summary'!$K:$K,""),'Pokemon Editor'!$A:$A,'Pokemon Editor'!$F:$F,0)+31+FLOOR(XLOOKUP($Q666,'Threshold Summary'!$Y:$Y,'Threshold Summary'!$P:$P,"")/4))*XLOOKUP($Q666,'Threshold Summary'!$Y:$Y,'Threshold Summary'!$L:$L,""))/100)+5)*XLOOKUP(XLOOKUP($Q666,'Threshold Summary'!$Y:$Y,'Threshold Summary'!$M:$M,""),'Nature Editor'!$A:$A,'Nature Editor'!$B:$B,1)),FLOOR((FLOOR(((2*XLOOKUP(XLOOKUP($Q666,'Threshold Summary'!$Y:$Y,'Threshold Summary'!$K:$K,""),'Pokemon Editor'!$A:$A,'Pokemon Editor'!$H:$H,0)+31+FLOOR(XLOOKUP($Q666,'Threshold Summary'!$Y:$Y,'Threshold Summary'!$R:$R,"")/4))*XLOOKUP($Q666,'Threshold Summary'!$Y:$Y,'Threshold Summary'!$L:$L,""))/100)+5)*XLOOKUP(XLOOKUP($Q666,'Threshold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Editor'!$E:$E,1))),stab,IF(OR(mtype=XLOOKUP(XLOOKUP($Q666,'Threshold Summary'!$Y:$Y,'Threshold Summary'!$K:$K,""),'Pokemon Editor'!$A:$A,'Pokemon Editor'!$C:$C,""),mtype=XLOOKUP(XLOOKUP($Q666,'Threshold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Chart'!$B$1:$S$1,0)))),base,IF(OR(cat="Status",pow=0),0,FLOOR(FLOOR(FLOOR((2*XLOOKUP($Q666,'Threshold Summary'!$Y:$Y,'Threshold Summary'!$L:$L,"")/5+2)*pow*atk/def)/50)+2)),modifier,stab*eff,FLOOR(base*modifier)),0)</f>
        <v/>
      </c>
      <c r="L666" s="3">
        <f>IFERROR(LET(mtype,XLOOKUP($D666,'Move Editor'!$B:$B,'Move Editor'!$C:$C,""),cat,XLOOKUP($D666,'Move Editor'!$B:$B,'Move Editor'!$D:$D,""),pow,XLOOKUP($D666,'Move Editor'!$B:$B,'Move Editor'!$E:$E,0),acc,XLOOKUP($D666,'Move Editor'!$B:$B,'Move Editor'!$F:$F,100),atk,IF(cat="Physical",FLOOR((FLOOR(((2*XLOOKUP(XLOOKUP($Q666,'Threshold Summary'!$Y:$Y,'Threshold Summary'!$K:$K,""),'Pokemon Editor'!$A:$A,'Pokemon Editor'!$F:$F,0)+31+FLOOR(XLOOKUP($Q666,'Threshold Summary'!$Y:$Y,'Threshold Summary'!$P:$P,"")/4))*XLOOKUP($Q666,'Threshold Summary'!$Y:$Y,'Threshold Summary'!$L:$L,""))/100)+5)*XLOOKUP(XLOOKUP($Q666,'Threshold Summary'!$Y:$Y,'Threshold Summary'!$M:$M,""),'Nature Editor'!$A:$A,'Nature Editor'!$B:$B,1)),FLOOR((FLOOR(((2*XLOOKUP(XLOOKUP($Q666,'Threshold Summary'!$Y:$Y,'Threshold Summary'!$K:$K,""),'Pokemon Editor'!$A:$A,'Pokemon Editor'!$H:$H,0)+31+FLOOR(XLOOKUP($Q666,'Threshold Summary'!$Y:$Y,'Threshold Summary'!$R:$R,"")/4))*XLOOKUP($Q666,'Threshold Summary'!$Y:$Y,'Threshold Summary'!$L:$L,""))/100)+5)*XLOOKUP(XLOOKUP($Q666,'Threshold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Editor'!$E:$E,1))),stab,IF(OR(mtype=XLOOKUP(XLOOKUP($Q666,'Threshold Summary'!$Y:$Y,'Threshold Summary'!$K:$K,""),'Pokemon Editor'!$A:$A,'Pokemon Editor'!$C:$C,""),mtype=XLOOKUP(XLOOKUP($Q666,'Threshold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Chart'!$B$1:$S$1,0)))),base,IF(OR(cat="Status",pow=0),0,FLOOR(FLOOR(FLOOR((2*XLOOKUP($Q666,'Threshold Summary'!$Y:$Y,'Threshold Summary'!$L:$L,"")/5+2)*pow*atk/def)/50)+2)),modifier,stab*eff,AVERAGE(ARRAYFORMULA(FLOOR(base*modifier*SEQUENCE(16,1,85,1)/100)))),0)</f>
        <v/>
      </c>
      <c r="M666" s="3">
        <f>IFERROR(LET(mtype,XLOOKUP($D666,'Move Editor'!$B:$B,'Move Editor'!$C:$C,""),cat,XLOOKUP($D666,'Move Editor'!$B:$B,'Move Editor'!$D:$D,""),pow,XLOOKUP($D666,'Move Editor'!$B:$B,'Move Editor'!$E:$E,0),acc,XLOOKUP($D666,'Move Editor'!$B:$B,'Move Editor'!$F:$F,100),atk,IF(cat="Physical",FLOOR((FLOOR(((2*XLOOKUP(XLOOKUP($Q666,'Threshold Summary'!$Y:$Y,'Threshold Summary'!$K:$K,""),'Pokemon Editor'!$A:$A,'Pokemon Editor'!$F:$F,0)+31+FLOOR(XLOOKUP($Q666,'Threshold Summary'!$Y:$Y,'Threshold Summary'!$P:$P,"")/4))*XLOOKUP($Q666,'Threshold Summary'!$Y:$Y,'Threshold Summary'!$L:$L,""))/100)+5)*XLOOKUP(XLOOKUP($Q666,'Threshold Summary'!$Y:$Y,'Threshold Summary'!$M:$M,""),'Nature Editor'!$A:$A,'Nature Editor'!$B:$B,1)),FLOOR((FLOOR(((2*XLOOKUP(XLOOKUP($Q666,'Threshold Summary'!$Y:$Y,'Threshold Summary'!$K:$K,""),'Pokemon Editor'!$A:$A,'Pokemon Editor'!$H:$H,0)+31+FLOOR(XLOOKUP($Q666,'Threshold Summary'!$Y:$Y,'Threshold Summary'!$R:$R,"")/4))*XLOOKUP($Q666,'Threshold Summary'!$Y:$Y,'Threshold Summary'!$L:$L,""))/100)+5)*XLOOKUP(XLOOKUP($Q666,'Threshold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Editor'!$E:$E,1))),stab,IF(OR(mtype=XLOOKUP(XLOOKUP($Q666,'Threshold Summary'!$Y:$Y,'Threshold Summary'!$K:$K,""),'Pokemon Editor'!$A:$A,'Pokemon Editor'!$C:$C,""),mtype=XLOOKUP(XLOOKUP($Q666,'Threshold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Chart'!$B$1:$S$1,0)))),base,IF(OR(cat="Status",pow=0),0,FLOOR(FLOOR(FLOOR((2*XLOOKUP($Q666,'Threshold Summary'!$Y:$Y,'Threshold Summary'!$L:$L,"")/5+2)*pow*atk/def)/50)+2)),modifier,stab*eff,AVERAGE(ARRAYFORMULA(FLOOR(base*modifier*SEQUENCE(16,1,85,1)/100)))*MIN(1,acc/100)),0)</f>
        <v/>
      </c>
      <c r="N666" s="4">
        <f>IFERROR(LET(mtype,XLOOKUP($D666,'Move Editor'!$B:$B,'Move Editor'!$C:$C,""),cat,XLOOKUP($D666,'Move Editor'!$B:$B,'Move Editor'!$D:$D,""),pow,XLOOKUP($D666,'Move Editor'!$B:$B,'Move Editor'!$E:$E,0),acc,XLOOKUP($D666,'Move Editor'!$B:$B,'Move Editor'!$F:$F,100),atk,IF(cat="Physical",FLOOR((FLOOR(((2*XLOOKUP(XLOOKUP($Q666,'Threshold Summary'!$Y:$Y,'Threshold Summary'!$K:$K,""),'Pokemon Editor'!$A:$A,'Pokemon Editor'!$F:$F,0)+31+FLOOR(XLOOKUP($Q666,'Threshold Summary'!$Y:$Y,'Threshold Summary'!$P:$P,"")/4))*XLOOKUP($Q666,'Threshold Summary'!$Y:$Y,'Threshold Summary'!$L:$L,""))/100)+5)*XLOOKUP(XLOOKUP($Q666,'Threshold Summary'!$Y:$Y,'Threshold Summary'!$M:$M,""),'Nature Editor'!$A:$A,'Nature Editor'!$B:$B,1)),FLOOR((FLOOR(((2*XLOOKUP(XLOOKUP($Q666,'Threshold Summary'!$Y:$Y,'Threshold Summary'!$K:$K,""),'Pokemon Editor'!$A:$A,'Pokemon Editor'!$H:$H,0)+31+FLOOR(XLOOKUP($Q666,'Threshold Summary'!$Y:$Y,'Threshold Summary'!$R:$R,"")/4))*XLOOKUP($Q666,'Threshold Summary'!$Y:$Y,'Threshold Summary'!$L:$L,""))/100)+5)*XLOOKUP(XLOOKUP($Q666,'Threshold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Editor'!$E:$E,1))),stab,IF(OR(mtype=XLOOKUP(XLOOKUP($Q666,'Threshold Summary'!$Y:$Y,'Threshold Summary'!$K:$K,""),'Pokemon Editor'!$A:$A,'Pokemon Editor'!$C:$C,""),mtype=XLOOKUP(XLOOKUP($Q666,'Threshold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Chart'!$B$1:$S$1,0)))),base,IF(OR(cat="Status",pow=0),0,FLOOR(FLOOR(FLOOR((2*XLOOKUP($Q666,'Threshold Summary'!$Y:$Y,'Threshold Summary'!$L:$L,"")/5+2)*pow*atk/def)/50)+2)),modifier,stab*eff,AVERAGE(ARRAYFORMULA(FLOOR(base*modifier*SEQUENCE(16,1,85,1)/100)))/(FLOOR(((2*XLOOKUP('Boss Editor'!$C$4,'Pokemon Editor'!$A:$A,'Pokemon Editor'!$E:$E,0)+31+FLOOR('Boss Editor'!$G$4/4))*'Boss Editor'!$D$4)/100)+'Boss Editor'!$D$4+10)),0)</f>
        <v/>
      </c>
      <c r="O666" s="3">
        <f>IF(N666&gt;=1,"OHKO",IF(N666&gt;=0.5,"2HKO",IF(N666&gt;=0.333,"3HKO",IF(N666&gt;=0.25,"4HKO","5HKO+"))))</f>
        <v/>
      </c>
      <c r="P666" s="3" t="inlineStr">
        <is>
          <t>Live from editable databases</t>
        </is>
      </c>
      <c r="Q666" s="3" t="inlineStr">
        <is>
          <t>SPECIES_PANCHAM</t>
        </is>
      </c>
      <c r="R666" s="3" t="n">
        <v>25</v>
      </c>
    </row>
    <row r="667">
      <c r="A667" s="3">
        <f>XLOOKUP($Q667,'Threshold Summary'!$Y:$Y,'Threshold Summary'!$A:$A,"")</f>
        <v/>
      </c>
      <c r="B667" s="3">
        <f>XLOOKUP($Q667,'Threshold Summary'!$Y:$Y,'Threshold Summary'!$M:$M,"")</f>
        <v/>
      </c>
      <c r="C667" s="3">
        <f>XLOOKUP($Q667,'Threshold Summary'!$Y:$Y,'Threshold Summary'!$N:$N,"")</f>
        <v/>
      </c>
      <c r="D667" s="3">
        <f>IFERROR(INDEX(FILTER('Learnset Editor'!$D$2:$D,'Learnset Editor'!$A$2:$A=XLOOKUP($Q667,'Threshold Summary'!$Y:$Y,'Threshold Summary'!$K:$K,""),'Learnset Editor'!$C$2:$C&lt;=XLOOKUP($Q667,'Threshold Summary'!$Y:$Y,'Threshold Summary'!$L:$L,"")),$R667),"")</f>
        <v/>
      </c>
      <c r="E667" s="3">
        <f>XLOOKUP(D667,'Move Editor'!$B:$B,'Move Editor'!$C:$C,"")</f>
        <v/>
      </c>
      <c r="F667" s="3">
        <f>XLOOKUP(D667,'Move Editor'!$B:$B,'Move Editor'!$D:$D,"")</f>
        <v/>
      </c>
      <c r="G667" s="3">
        <f>XLOOKUP(D667,'Move Editor'!$B:$B,'Move Editor'!$E:$E,0)</f>
        <v/>
      </c>
      <c r="H667" s="3">
        <f>XLOOKUP(D667,'Move Editor'!$B:$B,'Move Editor'!$F:$F,0)</f>
        <v/>
      </c>
      <c r="I667" s="3">
        <f>(INDEX('Type Chart'!$B:$S,MATCH(E667,'Type Chart'!$A:$A,0),MATCH(XLOOKUP('Boss Editor'!$C$4,'Pokemon Editor'!$A:$A,'Pokemon Editor'!$C:$C,""),'Type Chart'!$B$1:$S$1,0))*IF(XLOOKUP('Boss Editor'!$C$4,'Pokemon Editor'!$A:$A,'Pokemon Editor'!$D:$D,"")="",1,INDEX('Type Chart'!$B:$S,MATCH(E667,'Type Chart'!$A:$A,0),MATCH(XLOOKUP('Boss Editor'!$C$4,'Pokemon Editor'!$A:$A,'Pokemon Editor'!$D:$D,""),'Type Chart'!$B$1:$S$1,0))))</f>
        <v/>
      </c>
      <c r="J667" s="3">
        <f>IFERROR(LET(mtype,XLOOKUP($D667,'Move Editor'!$B:$B,'Move Editor'!$C:$C,""),cat,XLOOKUP($D667,'Move Editor'!$B:$B,'Move Editor'!$D:$D,""),pow,XLOOKUP($D667,'Move Editor'!$B:$B,'Move Editor'!$E:$E,0),acc,XLOOKUP($D667,'Move Editor'!$B:$B,'Move Editor'!$F:$F,100),atk,IF(cat="Physical",FLOOR((FLOOR(((2*XLOOKUP(XLOOKUP($Q667,'Threshold Summary'!$Y:$Y,'Threshold Summary'!$K:$K,""),'Pokemon Editor'!$A:$A,'Pokemon Editor'!$F:$F,0)+31+FLOOR(XLOOKUP($Q667,'Threshold Summary'!$Y:$Y,'Threshold Summary'!$P:$P,"")/4))*XLOOKUP($Q667,'Threshold Summary'!$Y:$Y,'Threshold Summary'!$L:$L,""))/100)+5)*XLOOKUP(XLOOKUP($Q667,'Threshold Summary'!$Y:$Y,'Threshold Summary'!$M:$M,""),'Nature Editor'!$A:$A,'Nature Editor'!$B:$B,1)),FLOOR((FLOOR(((2*XLOOKUP(XLOOKUP($Q667,'Threshold Summary'!$Y:$Y,'Threshold Summary'!$K:$K,""),'Pokemon Editor'!$A:$A,'Pokemon Editor'!$H:$H,0)+31+FLOOR(XLOOKUP($Q667,'Threshold Summary'!$Y:$Y,'Threshold Summary'!$R:$R,"")/4))*XLOOKUP($Q667,'Threshold Summary'!$Y:$Y,'Threshold Summary'!$L:$L,""))/100)+5)*XLOOKUP(XLOOKUP($Q667,'Threshold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Editor'!$E:$E,1))),stab,IF(OR(mtype=XLOOKUP(XLOOKUP($Q667,'Threshold Summary'!$Y:$Y,'Threshold Summary'!$K:$K,""),'Pokemon Editor'!$A:$A,'Pokemon Editor'!$C:$C,""),mtype=XLOOKUP(XLOOKUP($Q667,'Threshold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Chart'!$B$1:$S$1,0)))),base,IF(OR(cat="Status",pow=0),0,FLOOR(FLOOR(FLOOR((2*XLOOKUP($Q667,'Threshold Summary'!$Y:$Y,'Threshold Summary'!$L:$L,"")/5+2)*pow*atk/def)/50)+2)),modifier,stab*eff,FLOOR(base*modifier*0.85)),0)</f>
        <v/>
      </c>
      <c r="K667" s="3">
        <f>IFERROR(LET(mtype,XLOOKUP($D667,'Move Editor'!$B:$B,'Move Editor'!$C:$C,""),cat,XLOOKUP($D667,'Move Editor'!$B:$B,'Move Editor'!$D:$D,""),pow,XLOOKUP($D667,'Move Editor'!$B:$B,'Move Editor'!$E:$E,0),acc,XLOOKUP($D667,'Move Editor'!$B:$B,'Move Editor'!$F:$F,100),atk,IF(cat="Physical",FLOOR((FLOOR(((2*XLOOKUP(XLOOKUP($Q667,'Threshold Summary'!$Y:$Y,'Threshold Summary'!$K:$K,""),'Pokemon Editor'!$A:$A,'Pokemon Editor'!$F:$F,0)+31+FLOOR(XLOOKUP($Q667,'Threshold Summary'!$Y:$Y,'Threshold Summary'!$P:$P,"")/4))*XLOOKUP($Q667,'Threshold Summary'!$Y:$Y,'Threshold Summary'!$L:$L,""))/100)+5)*XLOOKUP(XLOOKUP($Q667,'Threshold Summary'!$Y:$Y,'Threshold Summary'!$M:$M,""),'Nature Editor'!$A:$A,'Nature Editor'!$B:$B,1)),FLOOR((FLOOR(((2*XLOOKUP(XLOOKUP($Q667,'Threshold Summary'!$Y:$Y,'Threshold Summary'!$K:$K,""),'Pokemon Editor'!$A:$A,'Pokemon Editor'!$H:$H,0)+31+FLOOR(XLOOKUP($Q667,'Threshold Summary'!$Y:$Y,'Threshold Summary'!$R:$R,"")/4))*XLOOKUP($Q667,'Threshold Summary'!$Y:$Y,'Threshold Summary'!$L:$L,""))/100)+5)*XLOOKUP(XLOOKUP($Q667,'Threshold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Editor'!$E:$E,1))),stab,IF(OR(mtype=XLOOKUP(XLOOKUP($Q667,'Threshold Summary'!$Y:$Y,'Threshold Summary'!$K:$K,""),'Pokemon Editor'!$A:$A,'Pokemon Editor'!$C:$C,""),mtype=XLOOKUP(XLOOKUP($Q667,'Threshold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Chart'!$B$1:$S$1,0)))),base,IF(OR(cat="Status",pow=0),0,FLOOR(FLOOR(FLOOR((2*XLOOKUP($Q667,'Threshold Summary'!$Y:$Y,'Threshold Summary'!$L:$L,"")/5+2)*pow*atk/def)/50)+2)),modifier,stab*eff,FLOOR(base*modifier)),0)</f>
        <v/>
      </c>
      <c r="L667" s="3">
        <f>IFERROR(LET(mtype,XLOOKUP($D667,'Move Editor'!$B:$B,'Move Editor'!$C:$C,""),cat,XLOOKUP($D667,'Move Editor'!$B:$B,'Move Editor'!$D:$D,""),pow,XLOOKUP($D667,'Move Editor'!$B:$B,'Move Editor'!$E:$E,0),acc,XLOOKUP($D667,'Move Editor'!$B:$B,'Move Editor'!$F:$F,100),atk,IF(cat="Physical",FLOOR((FLOOR(((2*XLOOKUP(XLOOKUP($Q667,'Threshold Summary'!$Y:$Y,'Threshold Summary'!$K:$K,""),'Pokemon Editor'!$A:$A,'Pokemon Editor'!$F:$F,0)+31+FLOOR(XLOOKUP($Q667,'Threshold Summary'!$Y:$Y,'Threshold Summary'!$P:$P,"")/4))*XLOOKUP($Q667,'Threshold Summary'!$Y:$Y,'Threshold Summary'!$L:$L,""))/100)+5)*XLOOKUP(XLOOKUP($Q667,'Threshold Summary'!$Y:$Y,'Threshold Summary'!$M:$M,""),'Nature Editor'!$A:$A,'Nature Editor'!$B:$B,1)),FLOOR((FLOOR(((2*XLOOKUP(XLOOKUP($Q667,'Threshold Summary'!$Y:$Y,'Threshold Summary'!$K:$K,""),'Pokemon Editor'!$A:$A,'Pokemon Editor'!$H:$H,0)+31+FLOOR(XLOOKUP($Q667,'Threshold Summary'!$Y:$Y,'Threshold Summary'!$R:$R,"")/4))*XLOOKUP($Q667,'Threshold Summary'!$Y:$Y,'Threshold Summary'!$L:$L,""))/100)+5)*XLOOKUP(XLOOKUP($Q667,'Threshold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Editor'!$E:$E,1))),stab,IF(OR(mtype=XLOOKUP(XLOOKUP($Q667,'Threshold Summary'!$Y:$Y,'Threshold Summary'!$K:$K,""),'Pokemon Editor'!$A:$A,'Pokemon Editor'!$C:$C,""),mtype=XLOOKUP(XLOOKUP($Q667,'Threshold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Chart'!$B$1:$S$1,0)))),base,IF(OR(cat="Status",pow=0),0,FLOOR(FLOOR(FLOOR((2*XLOOKUP($Q667,'Threshold Summary'!$Y:$Y,'Threshold Summary'!$L:$L,"")/5+2)*pow*atk/def)/50)+2)),modifier,stab*eff,AVERAGE(ARRAYFORMULA(FLOOR(base*modifier*SEQUENCE(16,1,85,1)/100)))),0)</f>
        <v/>
      </c>
      <c r="M667" s="3">
        <f>IFERROR(LET(mtype,XLOOKUP($D667,'Move Editor'!$B:$B,'Move Editor'!$C:$C,""),cat,XLOOKUP($D667,'Move Editor'!$B:$B,'Move Editor'!$D:$D,""),pow,XLOOKUP($D667,'Move Editor'!$B:$B,'Move Editor'!$E:$E,0),acc,XLOOKUP($D667,'Move Editor'!$B:$B,'Move Editor'!$F:$F,100),atk,IF(cat="Physical",FLOOR((FLOOR(((2*XLOOKUP(XLOOKUP($Q667,'Threshold Summary'!$Y:$Y,'Threshold Summary'!$K:$K,""),'Pokemon Editor'!$A:$A,'Pokemon Editor'!$F:$F,0)+31+FLOOR(XLOOKUP($Q667,'Threshold Summary'!$Y:$Y,'Threshold Summary'!$P:$P,"")/4))*XLOOKUP($Q667,'Threshold Summary'!$Y:$Y,'Threshold Summary'!$L:$L,""))/100)+5)*XLOOKUP(XLOOKUP($Q667,'Threshold Summary'!$Y:$Y,'Threshold Summary'!$M:$M,""),'Nature Editor'!$A:$A,'Nature Editor'!$B:$B,1)),FLOOR((FLOOR(((2*XLOOKUP(XLOOKUP($Q667,'Threshold Summary'!$Y:$Y,'Threshold Summary'!$K:$K,""),'Pokemon Editor'!$A:$A,'Pokemon Editor'!$H:$H,0)+31+FLOOR(XLOOKUP($Q667,'Threshold Summary'!$Y:$Y,'Threshold Summary'!$R:$R,"")/4))*XLOOKUP($Q667,'Threshold Summary'!$Y:$Y,'Threshold Summary'!$L:$L,""))/100)+5)*XLOOKUP(XLOOKUP($Q667,'Threshold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Editor'!$E:$E,1))),stab,IF(OR(mtype=XLOOKUP(XLOOKUP($Q667,'Threshold Summary'!$Y:$Y,'Threshold Summary'!$K:$K,""),'Pokemon Editor'!$A:$A,'Pokemon Editor'!$C:$C,""),mtype=XLOOKUP(XLOOKUP($Q667,'Threshold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Chart'!$B$1:$S$1,0)))),base,IF(OR(cat="Status",pow=0),0,FLOOR(FLOOR(FLOOR((2*XLOOKUP($Q667,'Threshold Summary'!$Y:$Y,'Threshold Summary'!$L:$L,"")/5+2)*pow*atk/def)/50)+2)),modifier,stab*eff,AVERAGE(ARRAYFORMULA(FLOOR(base*modifier*SEQUENCE(16,1,85,1)/100)))*MIN(1,acc/100)),0)</f>
        <v/>
      </c>
      <c r="N667" s="4">
        <f>IFERROR(LET(mtype,XLOOKUP($D667,'Move Editor'!$B:$B,'Move Editor'!$C:$C,""),cat,XLOOKUP($D667,'Move Editor'!$B:$B,'Move Editor'!$D:$D,""),pow,XLOOKUP($D667,'Move Editor'!$B:$B,'Move Editor'!$E:$E,0),acc,XLOOKUP($D667,'Move Editor'!$B:$B,'Move Editor'!$F:$F,100),atk,IF(cat="Physical",FLOOR((FLOOR(((2*XLOOKUP(XLOOKUP($Q667,'Threshold Summary'!$Y:$Y,'Threshold Summary'!$K:$K,""),'Pokemon Editor'!$A:$A,'Pokemon Editor'!$F:$F,0)+31+FLOOR(XLOOKUP($Q667,'Threshold Summary'!$Y:$Y,'Threshold Summary'!$P:$P,"")/4))*XLOOKUP($Q667,'Threshold Summary'!$Y:$Y,'Threshold Summary'!$L:$L,""))/100)+5)*XLOOKUP(XLOOKUP($Q667,'Threshold Summary'!$Y:$Y,'Threshold Summary'!$M:$M,""),'Nature Editor'!$A:$A,'Nature Editor'!$B:$B,1)),FLOOR((FLOOR(((2*XLOOKUP(XLOOKUP($Q667,'Threshold Summary'!$Y:$Y,'Threshold Summary'!$K:$K,""),'Pokemon Editor'!$A:$A,'Pokemon Editor'!$H:$H,0)+31+FLOOR(XLOOKUP($Q667,'Threshold Summary'!$Y:$Y,'Threshold Summary'!$R:$R,"")/4))*XLOOKUP($Q667,'Threshold Summary'!$Y:$Y,'Threshold Summary'!$L:$L,""))/100)+5)*XLOOKUP(XLOOKUP($Q667,'Threshold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Editor'!$E:$E,1))),stab,IF(OR(mtype=XLOOKUP(XLOOKUP($Q667,'Threshold Summary'!$Y:$Y,'Threshold Summary'!$K:$K,""),'Pokemon Editor'!$A:$A,'Pokemon Editor'!$C:$C,""),mtype=XLOOKUP(XLOOKUP($Q667,'Threshold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Chart'!$B$1:$S$1,0)))),base,IF(OR(cat="Status",pow=0),0,FLOOR(FLOOR(FLOOR((2*XLOOKUP($Q667,'Threshold Summary'!$Y:$Y,'Threshold Summary'!$L:$L,"")/5+2)*pow*atk/def)/50)+2)),modifier,stab*eff,AVERAGE(ARRAYFORMULA(FLOOR(base*modifier*SEQUENCE(16,1,85,1)/100)))/(FLOOR(((2*XLOOKUP('Boss Editor'!$C$4,'Pokemon Editor'!$A:$A,'Pokemon Editor'!$E:$E,0)+31+FLOOR('Boss Editor'!$G$4/4))*'Boss Editor'!$D$4)/100)+'Boss Editor'!$D$4+10)),0)</f>
        <v/>
      </c>
      <c r="O667" s="3">
        <f>IF(N667&gt;=1,"OHKO",IF(N667&gt;=0.5,"2HKO",IF(N667&gt;=0.333,"3HKO",IF(N667&gt;=0.25,"4HKO","5HKO+"))))</f>
        <v/>
      </c>
      <c r="P667" s="3" t="inlineStr">
        <is>
          <t>Live from editable databases</t>
        </is>
      </c>
      <c r="Q667" s="3" t="inlineStr">
        <is>
          <t>SPECIES_PANCHAM</t>
        </is>
      </c>
      <c r="R667" s="3" t="n">
        <v>26</v>
      </c>
    </row>
    <row r="668">
      <c r="A668" s="3">
        <f>XLOOKUP($Q668,'Threshold Summary'!$Y:$Y,'Threshold Summary'!$A:$A,"")</f>
        <v/>
      </c>
      <c r="B668" s="3">
        <f>XLOOKUP($Q668,'Threshold Summary'!$Y:$Y,'Threshold Summary'!$M:$M,"")</f>
        <v/>
      </c>
      <c r="C668" s="3">
        <f>XLOOKUP($Q668,'Threshold Summary'!$Y:$Y,'Threshold Summary'!$N:$N,"")</f>
        <v/>
      </c>
      <c r="D668" s="3">
        <f>IFERROR(INDEX(FILTER('Learnset Editor'!$D$2:$D,'Learnset Editor'!$A$2:$A=XLOOKUP($Q668,'Threshold Summary'!$Y:$Y,'Threshold Summary'!$K:$K,""),'Learnset Editor'!$C$2:$C&lt;=XLOOKUP($Q668,'Threshold Summary'!$Y:$Y,'Threshold Summary'!$L:$L,"")),$R668),"")</f>
        <v/>
      </c>
      <c r="E668" s="3">
        <f>XLOOKUP(D668,'Move Editor'!$B:$B,'Move Editor'!$C:$C,"")</f>
        <v/>
      </c>
      <c r="F668" s="3">
        <f>XLOOKUP(D668,'Move Editor'!$B:$B,'Move Editor'!$D:$D,"")</f>
        <v/>
      </c>
      <c r="G668" s="3">
        <f>XLOOKUP(D668,'Move Editor'!$B:$B,'Move Editor'!$E:$E,0)</f>
        <v/>
      </c>
      <c r="H668" s="3">
        <f>XLOOKUP(D668,'Move Editor'!$B:$B,'Move Editor'!$F:$F,0)</f>
        <v/>
      </c>
      <c r="I668" s="3">
        <f>(INDEX('Type Chart'!$B:$S,MATCH(E668,'Type Chart'!$A:$A,0),MATCH(XLOOKUP('Boss Editor'!$C$4,'Pokemon Editor'!$A:$A,'Pokemon Editor'!$C:$C,""),'Type Chart'!$B$1:$S$1,0))*IF(XLOOKUP('Boss Editor'!$C$4,'Pokemon Editor'!$A:$A,'Pokemon Editor'!$D:$D,"")="",1,INDEX('Type Chart'!$B:$S,MATCH(E668,'Type Chart'!$A:$A,0),MATCH(XLOOKUP('Boss Editor'!$C$4,'Pokemon Editor'!$A:$A,'Pokemon Editor'!$D:$D,""),'Type Chart'!$B$1:$S$1,0))))</f>
        <v/>
      </c>
      <c r="J668" s="3">
        <f>IFERROR(LET(mtype,XLOOKUP($D668,'Move Editor'!$B:$B,'Move Editor'!$C:$C,""),cat,XLOOKUP($D668,'Move Editor'!$B:$B,'Move Editor'!$D:$D,""),pow,XLOOKUP($D668,'Move Editor'!$B:$B,'Move Editor'!$E:$E,0),acc,XLOOKUP($D668,'Move Editor'!$B:$B,'Move Editor'!$F:$F,100),atk,IF(cat="Physical",FLOOR((FLOOR(((2*XLOOKUP(XLOOKUP($Q668,'Threshold Summary'!$Y:$Y,'Threshold Summary'!$K:$K,""),'Pokemon Editor'!$A:$A,'Pokemon Editor'!$F:$F,0)+31+FLOOR(XLOOKUP($Q668,'Threshold Summary'!$Y:$Y,'Threshold Summary'!$P:$P,"")/4))*XLOOKUP($Q668,'Threshold Summary'!$Y:$Y,'Threshold Summary'!$L:$L,""))/100)+5)*XLOOKUP(XLOOKUP($Q668,'Threshold Summary'!$Y:$Y,'Threshold Summary'!$M:$M,""),'Nature Editor'!$A:$A,'Nature Editor'!$B:$B,1)),FLOOR((FLOOR(((2*XLOOKUP(XLOOKUP($Q668,'Threshold Summary'!$Y:$Y,'Threshold Summary'!$K:$K,""),'Pokemon Editor'!$A:$A,'Pokemon Editor'!$H:$H,0)+31+FLOOR(XLOOKUP($Q668,'Threshold Summary'!$Y:$Y,'Threshold Summary'!$R:$R,"")/4))*XLOOKUP($Q668,'Threshold Summary'!$Y:$Y,'Threshold Summary'!$L:$L,""))/100)+5)*XLOOKUP(XLOOKUP($Q668,'Threshold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Editor'!$E:$E,1))),stab,IF(OR(mtype=XLOOKUP(XLOOKUP($Q668,'Threshold Summary'!$Y:$Y,'Threshold Summary'!$K:$K,""),'Pokemon Editor'!$A:$A,'Pokemon Editor'!$C:$C,""),mtype=XLOOKUP(XLOOKUP($Q668,'Threshold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Chart'!$B$1:$S$1,0)))),base,IF(OR(cat="Status",pow=0),0,FLOOR(FLOOR(FLOOR((2*XLOOKUP($Q668,'Threshold Summary'!$Y:$Y,'Threshold Summary'!$L:$L,"")/5+2)*pow*atk/def)/50)+2)),modifier,stab*eff,FLOOR(base*modifier*0.85)),0)</f>
        <v/>
      </c>
      <c r="K668" s="3">
        <f>IFERROR(LET(mtype,XLOOKUP($D668,'Move Editor'!$B:$B,'Move Editor'!$C:$C,""),cat,XLOOKUP($D668,'Move Editor'!$B:$B,'Move Editor'!$D:$D,""),pow,XLOOKUP($D668,'Move Editor'!$B:$B,'Move Editor'!$E:$E,0),acc,XLOOKUP($D668,'Move Editor'!$B:$B,'Move Editor'!$F:$F,100),atk,IF(cat="Physical",FLOOR((FLOOR(((2*XLOOKUP(XLOOKUP($Q668,'Threshold Summary'!$Y:$Y,'Threshold Summary'!$K:$K,""),'Pokemon Editor'!$A:$A,'Pokemon Editor'!$F:$F,0)+31+FLOOR(XLOOKUP($Q668,'Threshold Summary'!$Y:$Y,'Threshold Summary'!$P:$P,"")/4))*XLOOKUP($Q668,'Threshold Summary'!$Y:$Y,'Threshold Summary'!$L:$L,""))/100)+5)*XLOOKUP(XLOOKUP($Q668,'Threshold Summary'!$Y:$Y,'Threshold Summary'!$M:$M,""),'Nature Editor'!$A:$A,'Nature Editor'!$B:$B,1)),FLOOR((FLOOR(((2*XLOOKUP(XLOOKUP($Q668,'Threshold Summary'!$Y:$Y,'Threshold Summary'!$K:$K,""),'Pokemon Editor'!$A:$A,'Pokemon Editor'!$H:$H,0)+31+FLOOR(XLOOKUP($Q668,'Threshold Summary'!$Y:$Y,'Threshold Summary'!$R:$R,"")/4))*XLOOKUP($Q668,'Threshold Summary'!$Y:$Y,'Threshold Summary'!$L:$L,""))/100)+5)*XLOOKUP(XLOOKUP($Q668,'Threshold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Editor'!$E:$E,1))),stab,IF(OR(mtype=XLOOKUP(XLOOKUP($Q668,'Threshold Summary'!$Y:$Y,'Threshold Summary'!$K:$K,""),'Pokemon Editor'!$A:$A,'Pokemon Editor'!$C:$C,""),mtype=XLOOKUP(XLOOKUP($Q668,'Threshold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Chart'!$B$1:$S$1,0)))),base,IF(OR(cat="Status",pow=0),0,FLOOR(FLOOR(FLOOR((2*XLOOKUP($Q668,'Threshold Summary'!$Y:$Y,'Threshold Summary'!$L:$L,"")/5+2)*pow*atk/def)/50)+2)),modifier,stab*eff,FLOOR(base*modifier)),0)</f>
        <v/>
      </c>
      <c r="L668" s="3">
        <f>IFERROR(LET(mtype,XLOOKUP($D668,'Move Editor'!$B:$B,'Move Editor'!$C:$C,""),cat,XLOOKUP($D668,'Move Editor'!$B:$B,'Move Editor'!$D:$D,""),pow,XLOOKUP($D668,'Move Editor'!$B:$B,'Move Editor'!$E:$E,0),acc,XLOOKUP($D668,'Move Editor'!$B:$B,'Move Editor'!$F:$F,100),atk,IF(cat="Physical",FLOOR((FLOOR(((2*XLOOKUP(XLOOKUP($Q668,'Threshold Summary'!$Y:$Y,'Threshold Summary'!$K:$K,""),'Pokemon Editor'!$A:$A,'Pokemon Editor'!$F:$F,0)+31+FLOOR(XLOOKUP($Q668,'Threshold Summary'!$Y:$Y,'Threshold Summary'!$P:$P,"")/4))*XLOOKUP($Q668,'Threshold Summary'!$Y:$Y,'Threshold Summary'!$L:$L,""))/100)+5)*XLOOKUP(XLOOKUP($Q668,'Threshold Summary'!$Y:$Y,'Threshold Summary'!$M:$M,""),'Nature Editor'!$A:$A,'Nature Editor'!$B:$B,1)),FLOOR((FLOOR(((2*XLOOKUP(XLOOKUP($Q668,'Threshold Summary'!$Y:$Y,'Threshold Summary'!$K:$K,""),'Pokemon Editor'!$A:$A,'Pokemon Editor'!$H:$H,0)+31+FLOOR(XLOOKUP($Q668,'Threshold Summary'!$Y:$Y,'Threshold Summary'!$R:$R,"")/4))*XLOOKUP($Q668,'Threshold Summary'!$Y:$Y,'Threshold Summary'!$L:$L,""))/100)+5)*XLOOKUP(XLOOKUP($Q668,'Threshold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Editor'!$E:$E,1))),stab,IF(OR(mtype=XLOOKUP(XLOOKUP($Q668,'Threshold Summary'!$Y:$Y,'Threshold Summary'!$K:$K,""),'Pokemon Editor'!$A:$A,'Pokemon Editor'!$C:$C,""),mtype=XLOOKUP(XLOOKUP($Q668,'Threshold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Chart'!$B$1:$S$1,0)))),base,IF(OR(cat="Status",pow=0),0,FLOOR(FLOOR(FLOOR((2*XLOOKUP($Q668,'Threshold Summary'!$Y:$Y,'Threshold Summary'!$L:$L,"")/5+2)*pow*atk/def)/50)+2)),modifier,stab*eff,AVERAGE(ARRAYFORMULA(FLOOR(base*modifier*SEQUENCE(16,1,85,1)/100)))),0)</f>
        <v/>
      </c>
      <c r="M668" s="3">
        <f>IFERROR(LET(mtype,XLOOKUP($D668,'Move Editor'!$B:$B,'Move Editor'!$C:$C,""),cat,XLOOKUP($D668,'Move Editor'!$B:$B,'Move Editor'!$D:$D,""),pow,XLOOKUP($D668,'Move Editor'!$B:$B,'Move Editor'!$E:$E,0),acc,XLOOKUP($D668,'Move Editor'!$B:$B,'Move Editor'!$F:$F,100),atk,IF(cat="Physical",FLOOR((FLOOR(((2*XLOOKUP(XLOOKUP($Q668,'Threshold Summary'!$Y:$Y,'Threshold Summary'!$K:$K,""),'Pokemon Editor'!$A:$A,'Pokemon Editor'!$F:$F,0)+31+FLOOR(XLOOKUP($Q668,'Threshold Summary'!$Y:$Y,'Threshold Summary'!$P:$P,"")/4))*XLOOKUP($Q668,'Threshold Summary'!$Y:$Y,'Threshold Summary'!$L:$L,""))/100)+5)*XLOOKUP(XLOOKUP($Q668,'Threshold Summary'!$Y:$Y,'Threshold Summary'!$M:$M,""),'Nature Editor'!$A:$A,'Nature Editor'!$B:$B,1)),FLOOR((FLOOR(((2*XLOOKUP(XLOOKUP($Q668,'Threshold Summary'!$Y:$Y,'Threshold Summary'!$K:$K,""),'Pokemon Editor'!$A:$A,'Pokemon Editor'!$H:$H,0)+31+FLOOR(XLOOKUP($Q668,'Threshold Summary'!$Y:$Y,'Threshold Summary'!$R:$R,"")/4))*XLOOKUP($Q668,'Threshold Summary'!$Y:$Y,'Threshold Summary'!$L:$L,""))/100)+5)*XLOOKUP(XLOOKUP($Q668,'Threshold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Editor'!$E:$E,1))),stab,IF(OR(mtype=XLOOKUP(XLOOKUP($Q668,'Threshold Summary'!$Y:$Y,'Threshold Summary'!$K:$K,""),'Pokemon Editor'!$A:$A,'Pokemon Editor'!$C:$C,""),mtype=XLOOKUP(XLOOKUP($Q668,'Threshold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Chart'!$B$1:$S$1,0)))),base,IF(OR(cat="Status",pow=0),0,FLOOR(FLOOR(FLOOR((2*XLOOKUP($Q668,'Threshold Summary'!$Y:$Y,'Threshold Summary'!$L:$L,"")/5+2)*pow*atk/def)/50)+2)),modifier,stab*eff,AVERAGE(ARRAYFORMULA(FLOOR(base*modifier*SEQUENCE(16,1,85,1)/100)))*MIN(1,acc/100)),0)</f>
        <v/>
      </c>
      <c r="N668" s="4">
        <f>IFERROR(LET(mtype,XLOOKUP($D668,'Move Editor'!$B:$B,'Move Editor'!$C:$C,""),cat,XLOOKUP($D668,'Move Editor'!$B:$B,'Move Editor'!$D:$D,""),pow,XLOOKUP($D668,'Move Editor'!$B:$B,'Move Editor'!$E:$E,0),acc,XLOOKUP($D668,'Move Editor'!$B:$B,'Move Editor'!$F:$F,100),atk,IF(cat="Physical",FLOOR((FLOOR(((2*XLOOKUP(XLOOKUP($Q668,'Threshold Summary'!$Y:$Y,'Threshold Summary'!$K:$K,""),'Pokemon Editor'!$A:$A,'Pokemon Editor'!$F:$F,0)+31+FLOOR(XLOOKUP($Q668,'Threshold Summary'!$Y:$Y,'Threshold Summary'!$P:$P,"")/4))*XLOOKUP($Q668,'Threshold Summary'!$Y:$Y,'Threshold Summary'!$L:$L,""))/100)+5)*XLOOKUP(XLOOKUP($Q668,'Threshold Summary'!$Y:$Y,'Threshold Summary'!$M:$M,""),'Nature Editor'!$A:$A,'Nature Editor'!$B:$B,1)),FLOOR((FLOOR(((2*XLOOKUP(XLOOKUP($Q668,'Threshold Summary'!$Y:$Y,'Threshold Summary'!$K:$K,""),'Pokemon Editor'!$A:$A,'Pokemon Editor'!$H:$H,0)+31+FLOOR(XLOOKUP($Q668,'Threshold Summary'!$Y:$Y,'Threshold Summary'!$R:$R,"")/4))*XLOOKUP($Q668,'Threshold Summary'!$Y:$Y,'Threshold Summary'!$L:$L,""))/100)+5)*XLOOKUP(XLOOKUP($Q668,'Threshold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Editor'!$E:$E,1))),stab,IF(OR(mtype=XLOOKUP(XLOOKUP($Q668,'Threshold Summary'!$Y:$Y,'Threshold Summary'!$K:$K,""),'Pokemon Editor'!$A:$A,'Pokemon Editor'!$C:$C,""),mtype=XLOOKUP(XLOOKUP($Q668,'Threshold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Chart'!$B$1:$S$1,0)))),base,IF(OR(cat="Status",pow=0),0,FLOOR(FLOOR(FLOOR((2*XLOOKUP($Q668,'Threshold Summary'!$Y:$Y,'Threshold Summary'!$L:$L,"")/5+2)*pow*atk/def)/50)+2)),modifier,stab*eff,AVERAGE(ARRAYFORMULA(FLOOR(base*modifier*SEQUENCE(16,1,85,1)/100)))/(FLOOR(((2*XLOOKUP('Boss Editor'!$C$4,'Pokemon Editor'!$A:$A,'Pokemon Editor'!$E:$E,0)+31+FLOOR('Boss Editor'!$G$4/4))*'Boss Editor'!$D$4)/100)+'Boss Editor'!$D$4+10)),0)</f>
        <v/>
      </c>
      <c r="O668" s="3">
        <f>IF(N668&gt;=1,"OHKO",IF(N668&gt;=0.5,"2HKO",IF(N668&gt;=0.333,"3HKO",IF(N668&gt;=0.25,"4HKO","5HKO+"))))</f>
        <v/>
      </c>
      <c r="P668" s="3" t="inlineStr">
        <is>
          <t>Live from editable databases</t>
        </is>
      </c>
      <c r="Q668" s="3" t="inlineStr">
        <is>
          <t>SPECIES_PANCHAM</t>
        </is>
      </c>
      <c r="R668" s="3" t="n">
        <v>27</v>
      </c>
    </row>
    <row r="669">
      <c r="A669" s="3">
        <f>XLOOKUP($Q669,'Threshold Summary'!$Y:$Y,'Threshold Summary'!$A:$A,"")</f>
        <v/>
      </c>
      <c r="B669" s="3">
        <f>XLOOKUP($Q669,'Threshold Summary'!$Y:$Y,'Threshold Summary'!$M:$M,"")</f>
        <v/>
      </c>
      <c r="C669" s="3">
        <f>XLOOKUP($Q669,'Threshold Summary'!$Y:$Y,'Threshold Summary'!$N:$N,"")</f>
        <v/>
      </c>
      <c r="D669" s="3">
        <f>IFERROR(INDEX(FILTER('Learnset Editor'!$D$2:$D,'Learnset Editor'!$A$2:$A=XLOOKUP($Q669,'Threshold Summary'!$Y:$Y,'Threshold Summary'!$K:$K,""),'Learnset Editor'!$C$2:$C&lt;=XLOOKUP($Q669,'Threshold Summary'!$Y:$Y,'Threshold Summary'!$L:$L,"")),$R669),"")</f>
        <v/>
      </c>
      <c r="E669" s="3">
        <f>XLOOKUP(D669,'Move Editor'!$B:$B,'Move Editor'!$C:$C,"")</f>
        <v/>
      </c>
      <c r="F669" s="3">
        <f>XLOOKUP(D669,'Move Editor'!$B:$B,'Move Editor'!$D:$D,"")</f>
        <v/>
      </c>
      <c r="G669" s="3">
        <f>XLOOKUP(D669,'Move Editor'!$B:$B,'Move Editor'!$E:$E,0)</f>
        <v/>
      </c>
      <c r="H669" s="3">
        <f>XLOOKUP(D669,'Move Editor'!$B:$B,'Move Editor'!$F:$F,0)</f>
        <v/>
      </c>
      <c r="I669" s="3">
        <f>(INDEX('Type Chart'!$B:$S,MATCH(E669,'Type Chart'!$A:$A,0),MATCH(XLOOKUP('Boss Editor'!$C$4,'Pokemon Editor'!$A:$A,'Pokemon Editor'!$C:$C,""),'Type Chart'!$B$1:$S$1,0))*IF(XLOOKUP('Boss Editor'!$C$4,'Pokemon Editor'!$A:$A,'Pokemon Editor'!$D:$D,"")="",1,INDEX('Type Chart'!$B:$S,MATCH(E669,'Type Chart'!$A:$A,0),MATCH(XLOOKUP('Boss Editor'!$C$4,'Pokemon Editor'!$A:$A,'Pokemon Editor'!$D:$D,""),'Type Chart'!$B$1:$S$1,0))))</f>
        <v/>
      </c>
      <c r="J669" s="3">
        <f>IFERROR(LET(mtype,XLOOKUP($D669,'Move Editor'!$B:$B,'Move Editor'!$C:$C,""),cat,XLOOKUP($D669,'Move Editor'!$B:$B,'Move Editor'!$D:$D,""),pow,XLOOKUP($D669,'Move Editor'!$B:$B,'Move Editor'!$E:$E,0),acc,XLOOKUP($D669,'Move Editor'!$B:$B,'Move Editor'!$F:$F,100),atk,IF(cat="Physical",FLOOR((FLOOR(((2*XLOOKUP(XLOOKUP($Q669,'Threshold Summary'!$Y:$Y,'Threshold Summary'!$K:$K,""),'Pokemon Editor'!$A:$A,'Pokemon Editor'!$F:$F,0)+31+FLOOR(XLOOKUP($Q669,'Threshold Summary'!$Y:$Y,'Threshold Summary'!$P:$P,"")/4))*XLOOKUP($Q669,'Threshold Summary'!$Y:$Y,'Threshold Summary'!$L:$L,""))/100)+5)*XLOOKUP(XLOOKUP($Q669,'Threshold Summary'!$Y:$Y,'Threshold Summary'!$M:$M,""),'Nature Editor'!$A:$A,'Nature Editor'!$B:$B,1)),FLOOR((FLOOR(((2*XLOOKUP(XLOOKUP($Q669,'Threshold Summary'!$Y:$Y,'Threshold Summary'!$K:$K,""),'Pokemon Editor'!$A:$A,'Pokemon Editor'!$H:$H,0)+31+FLOOR(XLOOKUP($Q669,'Threshold Summary'!$Y:$Y,'Threshold Summary'!$R:$R,"")/4))*XLOOKUP($Q669,'Threshold Summary'!$Y:$Y,'Threshold Summary'!$L:$L,""))/100)+5)*XLOOKUP(XLOOKUP($Q669,'Threshold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Editor'!$E:$E,1))),stab,IF(OR(mtype=XLOOKUP(XLOOKUP($Q669,'Threshold Summary'!$Y:$Y,'Threshold Summary'!$K:$K,""),'Pokemon Editor'!$A:$A,'Pokemon Editor'!$C:$C,""),mtype=XLOOKUP(XLOOKUP($Q669,'Threshold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Chart'!$B$1:$S$1,0)))),base,IF(OR(cat="Status",pow=0),0,FLOOR(FLOOR(FLOOR((2*XLOOKUP($Q669,'Threshold Summary'!$Y:$Y,'Threshold Summary'!$L:$L,"")/5+2)*pow*atk/def)/50)+2)),modifier,stab*eff,FLOOR(base*modifier*0.85)),0)</f>
        <v/>
      </c>
      <c r="K669" s="3">
        <f>IFERROR(LET(mtype,XLOOKUP($D669,'Move Editor'!$B:$B,'Move Editor'!$C:$C,""),cat,XLOOKUP($D669,'Move Editor'!$B:$B,'Move Editor'!$D:$D,""),pow,XLOOKUP($D669,'Move Editor'!$B:$B,'Move Editor'!$E:$E,0),acc,XLOOKUP($D669,'Move Editor'!$B:$B,'Move Editor'!$F:$F,100),atk,IF(cat="Physical",FLOOR((FLOOR(((2*XLOOKUP(XLOOKUP($Q669,'Threshold Summary'!$Y:$Y,'Threshold Summary'!$K:$K,""),'Pokemon Editor'!$A:$A,'Pokemon Editor'!$F:$F,0)+31+FLOOR(XLOOKUP($Q669,'Threshold Summary'!$Y:$Y,'Threshold Summary'!$P:$P,"")/4))*XLOOKUP($Q669,'Threshold Summary'!$Y:$Y,'Threshold Summary'!$L:$L,""))/100)+5)*XLOOKUP(XLOOKUP($Q669,'Threshold Summary'!$Y:$Y,'Threshold Summary'!$M:$M,""),'Nature Editor'!$A:$A,'Nature Editor'!$B:$B,1)),FLOOR((FLOOR(((2*XLOOKUP(XLOOKUP($Q669,'Threshold Summary'!$Y:$Y,'Threshold Summary'!$K:$K,""),'Pokemon Editor'!$A:$A,'Pokemon Editor'!$H:$H,0)+31+FLOOR(XLOOKUP($Q669,'Threshold Summary'!$Y:$Y,'Threshold Summary'!$R:$R,"")/4))*XLOOKUP($Q669,'Threshold Summary'!$Y:$Y,'Threshold Summary'!$L:$L,""))/100)+5)*XLOOKUP(XLOOKUP($Q669,'Threshold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Editor'!$E:$E,1))),stab,IF(OR(mtype=XLOOKUP(XLOOKUP($Q669,'Threshold Summary'!$Y:$Y,'Threshold Summary'!$K:$K,""),'Pokemon Editor'!$A:$A,'Pokemon Editor'!$C:$C,""),mtype=XLOOKUP(XLOOKUP($Q669,'Threshold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Chart'!$B$1:$S$1,0)))),base,IF(OR(cat="Status",pow=0),0,FLOOR(FLOOR(FLOOR((2*XLOOKUP($Q669,'Threshold Summary'!$Y:$Y,'Threshold Summary'!$L:$L,"")/5+2)*pow*atk/def)/50)+2)),modifier,stab*eff,FLOOR(base*modifier)),0)</f>
        <v/>
      </c>
      <c r="L669" s="3">
        <f>IFERROR(LET(mtype,XLOOKUP($D669,'Move Editor'!$B:$B,'Move Editor'!$C:$C,""),cat,XLOOKUP($D669,'Move Editor'!$B:$B,'Move Editor'!$D:$D,""),pow,XLOOKUP($D669,'Move Editor'!$B:$B,'Move Editor'!$E:$E,0),acc,XLOOKUP($D669,'Move Editor'!$B:$B,'Move Editor'!$F:$F,100),atk,IF(cat="Physical",FLOOR((FLOOR(((2*XLOOKUP(XLOOKUP($Q669,'Threshold Summary'!$Y:$Y,'Threshold Summary'!$K:$K,""),'Pokemon Editor'!$A:$A,'Pokemon Editor'!$F:$F,0)+31+FLOOR(XLOOKUP($Q669,'Threshold Summary'!$Y:$Y,'Threshold Summary'!$P:$P,"")/4))*XLOOKUP($Q669,'Threshold Summary'!$Y:$Y,'Threshold Summary'!$L:$L,""))/100)+5)*XLOOKUP(XLOOKUP($Q669,'Threshold Summary'!$Y:$Y,'Threshold Summary'!$M:$M,""),'Nature Editor'!$A:$A,'Nature Editor'!$B:$B,1)),FLOOR((FLOOR(((2*XLOOKUP(XLOOKUP($Q669,'Threshold Summary'!$Y:$Y,'Threshold Summary'!$K:$K,""),'Pokemon Editor'!$A:$A,'Pokemon Editor'!$H:$H,0)+31+FLOOR(XLOOKUP($Q669,'Threshold Summary'!$Y:$Y,'Threshold Summary'!$R:$R,"")/4))*XLOOKUP($Q669,'Threshold Summary'!$Y:$Y,'Threshold Summary'!$L:$L,""))/100)+5)*XLOOKUP(XLOOKUP($Q669,'Threshold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Editor'!$E:$E,1))),stab,IF(OR(mtype=XLOOKUP(XLOOKUP($Q669,'Threshold Summary'!$Y:$Y,'Threshold Summary'!$K:$K,""),'Pokemon Editor'!$A:$A,'Pokemon Editor'!$C:$C,""),mtype=XLOOKUP(XLOOKUP($Q669,'Threshold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Chart'!$B$1:$S$1,0)))),base,IF(OR(cat="Status",pow=0),0,FLOOR(FLOOR(FLOOR((2*XLOOKUP($Q669,'Threshold Summary'!$Y:$Y,'Threshold Summary'!$L:$L,"")/5+2)*pow*atk/def)/50)+2)),modifier,stab*eff,AVERAGE(ARRAYFORMULA(FLOOR(base*modifier*SEQUENCE(16,1,85,1)/100)))),0)</f>
        <v/>
      </c>
      <c r="M669" s="3">
        <f>IFERROR(LET(mtype,XLOOKUP($D669,'Move Editor'!$B:$B,'Move Editor'!$C:$C,""),cat,XLOOKUP($D669,'Move Editor'!$B:$B,'Move Editor'!$D:$D,""),pow,XLOOKUP($D669,'Move Editor'!$B:$B,'Move Editor'!$E:$E,0),acc,XLOOKUP($D669,'Move Editor'!$B:$B,'Move Editor'!$F:$F,100),atk,IF(cat="Physical",FLOOR((FLOOR(((2*XLOOKUP(XLOOKUP($Q669,'Threshold Summary'!$Y:$Y,'Threshold Summary'!$K:$K,""),'Pokemon Editor'!$A:$A,'Pokemon Editor'!$F:$F,0)+31+FLOOR(XLOOKUP($Q669,'Threshold Summary'!$Y:$Y,'Threshold Summary'!$P:$P,"")/4))*XLOOKUP($Q669,'Threshold Summary'!$Y:$Y,'Threshold Summary'!$L:$L,""))/100)+5)*XLOOKUP(XLOOKUP($Q669,'Threshold Summary'!$Y:$Y,'Threshold Summary'!$M:$M,""),'Nature Editor'!$A:$A,'Nature Editor'!$B:$B,1)),FLOOR((FLOOR(((2*XLOOKUP(XLOOKUP($Q669,'Threshold Summary'!$Y:$Y,'Threshold Summary'!$K:$K,""),'Pokemon Editor'!$A:$A,'Pokemon Editor'!$H:$H,0)+31+FLOOR(XLOOKUP($Q669,'Threshold Summary'!$Y:$Y,'Threshold Summary'!$R:$R,"")/4))*XLOOKUP($Q669,'Threshold Summary'!$Y:$Y,'Threshold Summary'!$L:$L,""))/100)+5)*XLOOKUP(XLOOKUP($Q669,'Threshold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Editor'!$E:$E,1))),stab,IF(OR(mtype=XLOOKUP(XLOOKUP($Q669,'Threshold Summary'!$Y:$Y,'Threshold Summary'!$K:$K,""),'Pokemon Editor'!$A:$A,'Pokemon Editor'!$C:$C,""),mtype=XLOOKUP(XLOOKUP($Q669,'Threshold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Chart'!$B$1:$S$1,0)))),base,IF(OR(cat="Status",pow=0),0,FLOOR(FLOOR(FLOOR((2*XLOOKUP($Q669,'Threshold Summary'!$Y:$Y,'Threshold Summary'!$L:$L,"")/5+2)*pow*atk/def)/50)+2)),modifier,stab*eff,AVERAGE(ARRAYFORMULA(FLOOR(base*modifier*SEQUENCE(16,1,85,1)/100)))*MIN(1,acc/100)),0)</f>
        <v/>
      </c>
      <c r="N669" s="4">
        <f>IFERROR(LET(mtype,XLOOKUP($D669,'Move Editor'!$B:$B,'Move Editor'!$C:$C,""),cat,XLOOKUP($D669,'Move Editor'!$B:$B,'Move Editor'!$D:$D,""),pow,XLOOKUP($D669,'Move Editor'!$B:$B,'Move Editor'!$E:$E,0),acc,XLOOKUP($D669,'Move Editor'!$B:$B,'Move Editor'!$F:$F,100),atk,IF(cat="Physical",FLOOR((FLOOR(((2*XLOOKUP(XLOOKUP($Q669,'Threshold Summary'!$Y:$Y,'Threshold Summary'!$K:$K,""),'Pokemon Editor'!$A:$A,'Pokemon Editor'!$F:$F,0)+31+FLOOR(XLOOKUP($Q669,'Threshold Summary'!$Y:$Y,'Threshold Summary'!$P:$P,"")/4))*XLOOKUP($Q669,'Threshold Summary'!$Y:$Y,'Threshold Summary'!$L:$L,""))/100)+5)*XLOOKUP(XLOOKUP($Q669,'Threshold Summary'!$Y:$Y,'Threshold Summary'!$M:$M,""),'Nature Editor'!$A:$A,'Nature Editor'!$B:$B,1)),FLOOR((FLOOR(((2*XLOOKUP(XLOOKUP($Q669,'Threshold Summary'!$Y:$Y,'Threshold Summary'!$K:$K,""),'Pokemon Editor'!$A:$A,'Pokemon Editor'!$H:$H,0)+31+FLOOR(XLOOKUP($Q669,'Threshold Summary'!$Y:$Y,'Threshold Summary'!$R:$R,"")/4))*XLOOKUP($Q669,'Threshold Summary'!$Y:$Y,'Threshold Summary'!$L:$L,""))/100)+5)*XLOOKUP(XLOOKUP($Q669,'Threshold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Editor'!$E:$E,1))),stab,IF(OR(mtype=XLOOKUP(XLOOKUP($Q669,'Threshold Summary'!$Y:$Y,'Threshold Summary'!$K:$K,""),'Pokemon Editor'!$A:$A,'Pokemon Editor'!$C:$C,""),mtype=XLOOKUP(XLOOKUP($Q669,'Threshold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Chart'!$B$1:$S$1,0)))),base,IF(OR(cat="Status",pow=0),0,FLOOR(FLOOR(FLOOR((2*XLOOKUP($Q669,'Threshold Summary'!$Y:$Y,'Threshold Summary'!$L:$L,"")/5+2)*pow*atk/def)/50)+2)),modifier,stab*eff,AVERAGE(ARRAYFORMULA(FLOOR(base*modifier*SEQUENCE(16,1,85,1)/100)))/(FLOOR(((2*XLOOKUP('Boss Editor'!$C$4,'Pokemon Editor'!$A:$A,'Pokemon Editor'!$E:$E,0)+31+FLOOR('Boss Editor'!$G$4/4))*'Boss Editor'!$D$4)/100)+'Boss Editor'!$D$4+10)),0)</f>
        <v/>
      </c>
      <c r="O669" s="3">
        <f>IF(N669&gt;=1,"OHKO",IF(N669&gt;=0.5,"2HKO",IF(N669&gt;=0.333,"3HKO",IF(N669&gt;=0.25,"4HKO","5HKO+"))))</f>
        <v/>
      </c>
      <c r="P669" s="3" t="inlineStr">
        <is>
          <t>Live from editable databases</t>
        </is>
      </c>
      <c r="Q669" s="3" t="inlineStr">
        <is>
          <t>SPECIES_PANCHAM</t>
        </is>
      </c>
      <c r="R669" s="3" t="n">
        <v>28</v>
      </c>
    </row>
    <row r="670">
      <c r="A670" s="3">
        <f>XLOOKUP($Q670,'Threshold Summary'!$Y:$Y,'Threshold Summary'!$A:$A,"")</f>
        <v/>
      </c>
      <c r="B670" s="3">
        <f>XLOOKUP($Q670,'Threshold Summary'!$Y:$Y,'Threshold Summary'!$M:$M,"")</f>
        <v/>
      </c>
      <c r="C670" s="3">
        <f>XLOOKUP($Q670,'Threshold Summary'!$Y:$Y,'Threshold Summary'!$N:$N,"")</f>
        <v/>
      </c>
      <c r="D670" s="3">
        <f>IFERROR(INDEX(FILTER('Learnset Editor'!$D$2:$D,'Learnset Editor'!$A$2:$A=XLOOKUP($Q670,'Threshold Summary'!$Y:$Y,'Threshold Summary'!$K:$K,""),'Learnset Editor'!$C$2:$C&lt;=XLOOKUP($Q670,'Threshold Summary'!$Y:$Y,'Threshold Summary'!$L:$L,"")),$R670),"")</f>
        <v/>
      </c>
      <c r="E670" s="3">
        <f>XLOOKUP(D670,'Move Editor'!$B:$B,'Move Editor'!$C:$C,"")</f>
        <v/>
      </c>
      <c r="F670" s="3">
        <f>XLOOKUP(D670,'Move Editor'!$B:$B,'Move Editor'!$D:$D,"")</f>
        <v/>
      </c>
      <c r="G670" s="3">
        <f>XLOOKUP(D670,'Move Editor'!$B:$B,'Move Editor'!$E:$E,0)</f>
        <v/>
      </c>
      <c r="H670" s="3">
        <f>XLOOKUP(D670,'Move Editor'!$B:$B,'Move Editor'!$F:$F,0)</f>
        <v/>
      </c>
      <c r="I670" s="3">
        <f>(INDEX('Type Chart'!$B:$S,MATCH(E670,'Type Chart'!$A:$A,0),MATCH(XLOOKUP('Boss Editor'!$C$4,'Pokemon Editor'!$A:$A,'Pokemon Editor'!$C:$C,""),'Type Chart'!$B$1:$S$1,0))*IF(XLOOKUP('Boss Editor'!$C$4,'Pokemon Editor'!$A:$A,'Pokemon Editor'!$D:$D,"")="",1,INDEX('Type Chart'!$B:$S,MATCH(E670,'Type Chart'!$A:$A,0),MATCH(XLOOKUP('Boss Editor'!$C$4,'Pokemon Editor'!$A:$A,'Pokemon Editor'!$D:$D,""),'Type Chart'!$B$1:$S$1,0))))</f>
        <v/>
      </c>
      <c r="J670" s="3">
        <f>IFERROR(LET(mtype,XLOOKUP($D670,'Move Editor'!$B:$B,'Move Editor'!$C:$C,""),cat,XLOOKUP($D670,'Move Editor'!$B:$B,'Move Editor'!$D:$D,""),pow,XLOOKUP($D670,'Move Editor'!$B:$B,'Move Editor'!$E:$E,0),acc,XLOOKUP($D670,'Move Editor'!$B:$B,'Move Editor'!$F:$F,100),atk,IF(cat="Physical",FLOOR((FLOOR(((2*XLOOKUP(XLOOKUP($Q670,'Threshold Summary'!$Y:$Y,'Threshold Summary'!$K:$K,""),'Pokemon Editor'!$A:$A,'Pokemon Editor'!$F:$F,0)+31+FLOOR(XLOOKUP($Q670,'Threshold Summary'!$Y:$Y,'Threshold Summary'!$P:$P,"")/4))*XLOOKUP($Q670,'Threshold Summary'!$Y:$Y,'Threshold Summary'!$L:$L,""))/100)+5)*XLOOKUP(XLOOKUP($Q670,'Threshold Summary'!$Y:$Y,'Threshold Summary'!$M:$M,""),'Nature Editor'!$A:$A,'Nature Editor'!$B:$B,1)),FLOOR((FLOOR(((2*XLOOKUP(XLOOKUP($Q670,'Threshold Summary'!$Y:$Y,'Threshold Summary'!$K:$K,""),'Pokemon Editor'!$A:$A,'Pokemon Editor'!$H:$H,0)+31+FLOOR(XLOOKUP($Q670,'Threshold Summary'!$Y:$Y,'Threshold Summary'!$R:$R,"")/4))*XLOOKUP($Q670,'Threshold Summary'!$Y:$Y,'Threshold Summary'!$L:$L,""))/100)+5)*XLOOKUP(XLOOKUP($Q670,'Threshold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Editor'!$E:$E,1))),stab,IF(OR(mtype=XLOOKUP(XLOOKUP($Q670,'Threshold Summary'!$Y:$Y,'Threshold Summary'!$K:$K,""),'Pokemon Editor'!$A:$A,'Pokemon Editor'!$C:$C,""),mtype=XLOOKUP(XLOOKUP($Q670,'Threshold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Chart'!$B$1:$S$1,0)))),base,IF(OR(cat="Status",pow=0),0,FLOOR(FLOOR(FLOOR((2*XLOOKUP($Q670,'Threshold Summary'!$Y:$Y,'Threshold Summary'!$L:$L,"")/5+2)*pow*atk/def)/50)+2)),modifier,stab*eff,FLOOR(base*modifier*0.85)),0)</f>
        <v/>
      </c>
      <c r="K670" s="3">
        <f>IFERROR(LET(mtype,XLOOKUP($D670,'Move Editor'!$B:$B,'Move Editor'!$C:$C,""),cat,XLOOKUP($D670,'Move Editor'!$B:$B,'Move Editor'!$D:$D,""),pow,XLOOKUP($D670,'Move Editor'!$B:$B,'Move Editor'!$E:$E,0),acc,XLOOKUP($D670,'Move Editor'!$B:$B,'Move Editor'!$F:$F,100),atk,IF(cat="Physical",FLOOR((FLOOR(((2*XLOOKUP(XLOOKUP($Q670,'Threshold Summary'!$Y:$Y,'Threshold Summary'!$K:$K,""),'Pokemon Editor'!$A:$A,'Pokemon Editor'!$F:$F,0)+31+FLOOR(XLOOKUP($Q670,'Threshold Summary'!$Y:$Y,'Threshold Summary'!$P:$P,"")/4))*XLOOKUP($Q670,'Threshold Summary'!$Y:$Y,'Threshold Summary'!$L:$L,""))/100)+5)*XLOOKUP(XLOOKUP($Q670,'Threshold Summary'!$Y:$Y,'Threshold Summary'!$M:$M,""),'Nature Editor'!$A:$A,'Nature Editor'!$B:$B,1)),FLOOR((FLOOR(((2*XLOOKUP(XLOOKUP($Q670,'Threshold Summary'!$Y:$Y,'Threshold Summary'!$K:$K,""),'Pokemon Editor'!$A:$A,'Pokemon Editor'!$H:$H,0)+31+FLOOR(XLOOKUP($Q670,'Threshold Summary'!$Y:$Y,'Threshold Summary'!$R:$R,"")/4))*XLOOKUP($Q670,'Threshold Summary'!$Y:$Y,'Threshold Summary'!$L:$L,""))/100)+5)*XLOOKUP(XLOOKUP($Q670,'Threshold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Editor'!$E:$E,1))),stab,IF(OR(mtype=XLOOKUP(XLOOKUP($Q670,'Threshold Summary'!$Y:$Y,'Threshold Summary'!$K:$K,""),'Pokemon Editor'!$A:$A,'Pokemon Editor'!$C:$C,""),mtype=XLOOKUP(XLOOKUP($Q670,'Threshold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Chart'!$B$1:$S$1,0)))),base,IF(OR(cat="Status",pow=0),0,FLOOR(FLOOR(FLOOR((2*XLOOKUP($Q670,'Threshold Summary'!$Y:$Y,'Threshold Summary'!$L:$L,"")/5+2)*pow*atk/def)/50)+2)),modifier,stab*eff,FLOOR(base*modifier)),0)</f>
        <v/>
      </c>
      <c r="L670" s="3">
        <f>IFERROR(LET(mtype,XLOOKUP($D670,'Move Editor'!$B:$B,'Move Editor'!$C:$C,""),cat,XLOOKUP($D670,'Move Editor'!$B:$B,'Move Editor'!$D:$D,""),pow,XLOOKUP($D670,'Move Editor'!$B:$B,'Move Editor'!$E:$E,0),acc,XLOOKUP($D670,'Move Editor'!$B:$B,'Move Editor'!$F:$F,100),atk,IF(cat="Physical",FLOOR((FLOOR(((2*XLOOKUP(XLOOKUP($Q670,'Threshold Summary'!$Y:$Y,'Threshold Summary'!$K:$K,""),'Pokemon Editor'!$A:$A,'Pokemon Editor'!$F:$F,0)+31+FLOOR(XLOOKUP($Q670,'Threshold Summary'!$Y:$Y,'Threshold Summary'!$P:$P,"")/4))*XLOOKUP($Q670,'Threshold Summary'!$Y:$Y,'Threshold Summary'!$L:$L,""))/100)+5)*XLOOKUP(XLOOKUP($Q670,'Threshold Summary'!$Y:$Y,'Threshold Summary'!$M:$M,""),'Nature Editor'!$A:$A,'Nature Editor'!$B:$B,1)),FLOOR((FLOOR(((2*XLOOKUP(XLOOKUP($Q670,'Threshold Summary'!$Y:$Y,'Threshold Summary'!$K:$K,""),'Pokemon Editor'!$A:$A,'Pokemon Editor'!$H:$H,0)+31+FLOOR(XLOOKUP($Q670,'Threshold Summary'!$Y:$Y,'Threshold Summary'!$R:$R,"")/4))*XLOOKUP($Q670,'Threshold Summary'!$Y:$Y,'Threshold Summary'!$L:$L,""))/100)+5)*XLOOKUP(XLOOKUP($Q670,'Threshold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Editor'!$E:$E,1))),stab,IF(OR(mtype=XLOOKUP(XLOOKUP($Q670,'Threshold Summary'!$Y:$Y,'Threshold Summary'!$K:$K,""),'Pokemon Editor'!$A:$A,'Pokemon Editor'!$C:$C,""),mtype=XLOOKUP(XLOOKUP($Q670,'Threshold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Chart'!$B$1:$S$1,0)))),base,IF(OR(cat="Status",pow=0),0,FLOOR(FLOOR(FLOOR((2*XLOOKUP($Q670,'Threshold Summary'!$Y:$Y,'Threshold Summary'!$L:$L,"")/5+2)*pow*atk/def)/50)+2)),modifier,stab*eff,AVERAGE(ARRAYFORMULA(FLOOR(base*modifier*SEQUENCE(16,1,85,1)/100)))),0)</f>
        <v/>
      </c>
      <c r="M670" s="3">
        <f>IFERROR(LET(mtype,XLOOKUP($D670,'Move Editor'!$B:$B,'Move Editor'!$C:$C,""),cat,XLOOKUP($D670,'Move Editor'!$B:$B,'Move Editor'!$D:$D,""),pow,XLOOKUP($D670,'Move Editor'!$B:$B,'Move Editor'!$E:$E,0),acc,XLOOKUP($D670,'Move Editor'!$B:$B,'Move Editor'!$F:$F,100),atk,IF(cat="Physical",FLOOR((FLOOR(((2*XLOOKUP(XLOOKUP($Q670,'Threshold Summary'!$Y:$Y,'Threshold Summary'!$K:$K,""),'Pokemon Editor'!$A:$A,'Pokemon Editor'!$F:$F,0)+31+FLOOR(XLOOKUP($Q670,'Threshold Summary'!$Y:$Y,'Threshold Summary'!$P:$P,"")/4))*XLOOKUP($Q670,'Threshold Summary'!$Y:$Y,'Threshold Summary'!$L:$L,""))/100)+5)*XLOOKUP(XLOOKUP($Q670,'Threshold Summary'!$Y:$Y,'Threshold Summary'!$M:$M,""),'Nature Editor'!$A:$A,'Nature Editor'!$B:$B,1)),FLOOR((FLOOR(((2*XLOOKUP(XLOOKUP($Q670,'Threshold Summary'!$Y:$Y,'Threshold Summary'!$K:$K,""),'Pokemon Editor'!$A:$A,'Pokemon Editor'!$H:$H,0)+31+FLOOR(XLOOKUP($Q670,'Threshold Summary'!$Y:$Y,'Threshold Summary'!$R:$R,"")/4))*XLOOKUP($Q670,'Threshold Summary'!$Y:$Y,'Threshold Summary'!$L:$L,""))/100)+5)*XLOOKUP(XLOOKUP($Q670,'Threshold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Editor'!$E:$E,1))),stab,IF(OR(mtype=XLOOKUP(XLOOKUP($Q670,'Threshold Summary'!$Y:$Y,'Threshold Summary'!$K:$K,""),'Pokemon Editor'!$A:$A,'Pokemon Editor'!$C:$C,""),mtype=XLOOKUP(XLOOKUP($Q670,'Threshold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Chart'!$B$1:$S$1,0)))),base,IF(OR(cat="Status",pow=0),0,FLOOR(FLOOR(FLOOR((2*XLOOKUP($Q670,'Threshold Summary'!$Y:$Y,'Threshold Summary'!$L:$L,"")/5+2)*pow*atk/def)/50)+2)),modifier,stab*eff,AVERAGE(ARRAYFORMULA(FLOOR(base*modifier*SEQUENCE(16,1,85,1)/100)))*MIN(1,acc/100)),0)</f>
        <v/>
      </c>
      <c r="N670" s="4">
        <f>IFERROR(LET(mtype,XLOOKUP($D670,'Move Editor'!$B:$B,'Move Editor'!$C:$C,""),cat,XLOOKUP($D670,'Move Editor'!$B:$B,'Move Editor'!$D:$D,""),pow,XLOOKUP($D670,'Move Editor'!$B:$B,'Move Editor'!$E:$E,0),acc,XLOOKUP($D670,'Move Editor'!$B:$B,'Move Editor'!$F:$F,100),atk,IF(cat="Physical",FLOOR((FLOOR(((2*XLOOKUP(XLOOKUP($Q670,'Threshold Summary'!$Y:$Y,'Threshold Summary'!$K:$K,""),'Pokemon Editor'!$A:$A,'Pokemon Editor'!$F:$F,0)+31+FLOOR(XLOOKUP($Q670,'Threshold Summary'!$Y:$Y,'Threshold Summary'!$P:$P,"")/4))*XLOOKUP($Q670,'Threshold Summary'!$Y:$Y,'Threshold Summary'!$L:$L,""))/100)+5)*XLOOKUP(XLOOKUP($Q670,'Threshold Summary'!$Y:$Y,'Threshold Summary'!$M:$M,""),'Nature Editor'!$A:$A,'Nature Editor'!$B:$B,1)),FLOOR((FLOOR(((2*XLOOKUP(XLOOKUP($Q670,'Threshold Summary'!$Y:$Y,'Threshold Summary'!$K:$K,""),'Pokemon Editor'!$A:$A,'Pokemon Editor'!$H:$H,0)+31+FLOOR(XLOOKUP($Q670,'Threshold Summary'!$Y:$Y,'Threshold Summary'!$R:$R,"")/4))*XLOOKUP($Q670,'Threshold Summary'!$Y:$Y,'Threshold Summary'!$L:$L,""))/100)+5)*XLOOKUP(XLOOKUP($Q670,'Threshold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Editor'!$E:$E,1))),stab,IF(OR(mtype=XLOOKUP(XLOOKUP($Q670,'Threshold Summary'!$Y:$Y,'Threshold Summary'!$K:$K,""),'Pokemon Editor'!$A:$A,'Pokemon Editor'!$C:$C,""),mtype=XLOOKUP(XLOOKUP($Q670,'Threshold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Chart'!$B$1:$S$1,0)))),base,IF(OR(cat="Status",pow=0),0,FLOOR(FLOOR(FLOOR((2*XLOOKUP($Q670,'Threshold Summary'!$Y:$Y,'Threshold Summary'!$L:$L,"")/5+2)*pow*atk/def)/50)+2)),modifier,stab*eff,AVERAGE(ARRAYFORMULA(FLOOR(base*modifier*SEQUENCE(16,1,85,1)/100)))/(FLOOR(((2*XLOOKUP('Boss Editor'!$C$4,'Pokemon Editor'!$A:$A,'Pokemon Editor'!$E:$E,0)+31+FLOOR('Boss Editor'!$G$4/4))*'Boss Editor'!$D$4)/100)+'Boss Editor'!$D$4+10)),0)</f>
        <v/>
      </c>
      <c r="O670" s="3">
        <f>IF(N670&gt;=1,"OHKO",IF(N670&gt;=0.5,"2HKO",IF(N670&gt;=0.333,"3HKO",IF(N670&gt;=0.25,"4HKO","5HKO+"))))</f>
        <v/>
      </c>
      <c r="P670" s="3" t="inlineStr">
        <is>
          <t>Live from editable databases</t>
        </is>
      </c>
      <c r="Q670" s="3" t="inlineStr">
        <is>
          <t>SPECIES_PANCHAM</t>
        </is>
      </c>
      <c r="R670" s="3" t="n">
        <v>29</v>
      </c>
    </row>
    <row r="671">
      <c r="A671" s="3">
        <f>XLOOKUP($Q671,'Threshold Summary'!$Y:$Y,'Threshold Summary'!$A:$A,"")</f>
        <v/>
      </c>
      <c r="B671" s="3">
        <f>XLOOKUP($Q671,'Threshold Summary'!$Y:$Y,'Threshold Summary'!$M:$M,"")</f>
        <v/>
      </c>
      <c r="C671" s="3">
        <f>XLOOKUP($Q671,'Threshold Summary'!$Y:$Y,'Threshold Summary'!$N:$N,"")</f>
        <v/>
      </c>
      <c r="D671" s="3">
        <f>IFERROR(INDEX(FILTER('Learnset Editor'!$D$2:$D,'Learnset Editor'!$A$2:$A=XLOOKUP($Q671,'Threshold Summary'!$Y:$Y,'Threshold Summary'!$K:$K,""),'Learnset Editor'!$C$2:$C&lt;=XLOOKUP($Q671,'Threshold Summary'!$Y:$Y,'Threshold Summary'!$L:$L,"")),$R671),"")</f>
        <v/>
      </c>
      <c r="E671" s="3">
        <f>XLOOKUP(D671,'Move Editor'!$B:$B,'Move Editor'!$C:$C,"")</f>
        <v/>
      </c>
      <c r="F671" s="3">
        <f>XLOOKUP(D671,'Move Editor'!$B:$B,'Move Editor'!$D:$D,"")</f>
        <v/>
      </c>
      <c r="G671" s="3">
        <f>XLOOKUP(D671,'Move Editor'!$B:$B,'Move Editor'!$E:$E,0)</f>
        <v/>
      </c>
      <c r="H671" s="3">
        <f>XLOOKUP(D671,'Move Editor'!$B:$B,'Move Editor'!$F:$F,0)</f>
        <v/>
      </c>
      <c r="I671" s="3">
        <f>(INDEX('Type Chart'!$B:$S,MATCH(E671,'Type Chart'!$A:$A,0),MATCH(XLOOKUP('Boss Editor'!$C$4,'Pokemon Editor'!$A:$A,'Pokemon Editor'!$C:$C,""),'Type Chart'!$B$1:$S$1,0))*IF(XLOOKUP('Boss Editor'!$C$4,'Pokemon Editor'!$A:$A,'Pokemon Editor'!$D:$D,"")="",1,INDEX('Type Chart'!$B:$S,MATCH(E671,'Type Chart'!$A:$A,0),MATCH(XLOOKUP('Boss Editor'!$C$4,'Pokemon Editor'!$A:$A,'Pokemon Editor'!$D:$D,""),'Type Chart'!$B$1:$S$1,0))))</f>
        <v/>
      </c>
      <c r="J671" s="3">
        <f>IFERROR(LET(mtype,XLOOKUP($D671,'Move Editor'!$B:$B,'Move Editor'!$C:$C,""),cat,XLOOKUP($D671,'Move Editor'!$B:$B,'Move Editor'!$D:$D,""),pow,XLOOKUP($D671,'Move Editor'!$B:$B,'Move Editor'!$E:$E,0),acc,XLOOKUP($D671,'Move Editor'!$B:$B,'Move Editor'!$F:$F,100),atk,IF(cat="Physical",FLOOR((FLOOR(((2*XLOOKUP(XLOOKUP($Q671,'Threshold Summary'!$Y:$Y,'Threshold Summary'!$K:$K,""),'Pokemon Editor'!$A:$A,'Pokemon Editor'!$F:$F,0)+31+FLOOR(XLOOKUP($Q671,'Threshold Summary'!$Y:$Y,'Threshold Summary'!$P:$P,"")/4))*XLOOKUP($Q671,'Threshold Summary'!$Y:$Y,'Threshold Summary'!$L:$L,""))/100)+5)*XLOOKUP(XLOOKUP($Q671,'Threshold Summary'!$Y:$Y,'Threshold Summary'!$M:$M,""),'Nature Editor'!$A:$A,'Nature Editor'!$B:$B,1)),FLOOR((FLOOR(((2*XLOOKUP(XLOOKUP($Q671,'Threshold Summary'!$Y:$Y,'Threshold Summary'!$K:$K,""),'Pokemon Editor'!$A:$A,'Pokemon Editor'!$H:$H,0)+31+FLOOR(XLOOKUP($Q671,'Threshold Summary'!$Y:$Y,'Threshold Summary'!$R:$R,"")/4))*XLOOKUP($Q671,'Threshold Summary'!$Y:$Y,'Threshold Summary'!$L:$L,""))/100)+5)*XLOOKUP(XLOOKUP($Q671,'Threshold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Editor'!$E:$E,1))),stab,IF(OR(mtype=XLOOKUP(XLOOKUP($Q671,'Threshold Summary'!$Y:$Y,'Threshold Summary'!$K:$K,""),'Pokemon Editor'!$A:$A,'Pokemon Editor'!$C:$C,""),mtype=XLOOKUP(XLOOKUP($Q671,'Threshold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Chart'!$B$1:$S$1,0)))),base,IF(OR(cat="Status",pow=0),0,FLOOR(FLOOR(FLOOR((2*XLOOKUP($Q671,'Threshold Summary'!$Y:$Y,'Threshold Summary'!$L:$L,"")/5+2)*pow*atk/def)/50)+2)),modifier,stab*eff,FLOOR(base*modifier*0.85)),0)</f>
        <v/>
      </c>
      <c r="K671" s="3">
        <f>IFERROR(LET(mtype,XLOOKUP($D671,'Move Editor'!$B:$B,'Move Editor'!$C:$C,""),cat,XLOOKUP($D671,'Move Editor'!$B:$B,'Move Editor'!$D:$D,""),pow,XLOOKUP($D671,'Move Editor'!$B:$B,'Move Editor'!$E:$E,0),acc,XLOOKUP($D671,'Move Editor'!$B:$B,'Move Editor'!$F:$F,100),atk,IF(cat="Physical",FLOOR((FLOOR(((2*XLOOKUP(XLOOKUP($Q671,'Threshold Summary'!$Y:$Y,'Threshold Summary'!$K:$K,""),'Pokemon Editor'!$A:$A,'Pokemon Editor'!$F:$F,0)+31+FLOOR(XLOOKUP($Q671,'Threshold Summary'!$Y:$Y,'Threshold Summary'!$P:$P,"")/4))*XLOOKUP($Q671,'Threshold Summary'!$Y:$Y,'Threshold Summary'!$L:$L,""))/100)+5)*XLOOKUP(XLOOKUP($Q671,'Threshold Summary'!$Y:$Y,'Threshold Summary'!$M:$M,""),'Nature Editor'!$A:$A,'Nature Editor'!$B:$B,1)),FLOOR((FLOOR(((2*XLOOKUP(XLOOKUP($Q671,'Threshold Summary'!$Y:$Y,'Threshold Summary'!$K:$K,""),'Pokemon Editor'!$A:$A,'Pokemon Editor'!$H:$H,0)+31+FLOOR(XLOOKUP($Q671,'Threshold Summary'!$Y:$Y,'Threshold Summary'!$R:$R,"")/4))*XLOOKUP($Q671,'Threshold Summary'!$Y:$Y,'Threshold Summary'!$L:$L,""))/100)+5)*XLOOKUP(XLOOKUP($Q671,'Threshold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Editor'!$E:$E,1))),stab,IF(OR(mtype=XLOOKUP(XLOOKUP($Q671,'Threshold Summary'!$Y:$Y,'Threshold Summary'!$K:$K,""),'Pokemon Editor'!$A:$A,'Pokemon Editor'!$C:$C,""),mtype=XLOOKUP(XLOOKUP($Q671,'Threshold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Chart'!$B$1:$S$1,0)))),base,IF(OR(cat="Status",pow=0),0,FLOOR(FLOOR(FLOOR((2*XLOOKUP($Q671,'Threshold Summary'!$Y:$Y,'Threshold Summary'!$L:$L,"")/5+2)*pow*atk/def)/50)+2)),modifier,stab*eff,FLOOR(base*modifier)),0)</f>
        <v/>
      </c>
      <c r="L671" s="3">
        <f>IFERROR(LET(mtype,XLOOKUP($D671,'Move Editor'!$B:$B,'Move Editor'!$C:$C,""),cat,XLOOKUP($D671,'Move Editor'!$B:$B,'Move Editor'!$D:$D,""),pow,XLOOKUP($D671,'Move Editor'!$B:$B,'Move Editor'!$E:$E,0),acc,XLOOKUP($D671,'Move Editor'!$B:$B,'Move Editor'!$F:$F,100),atk,IF(cat="Physical",FLOOR((FLOOR(((2*XLOOKUP(XLOOKUP($Q671,'Threshold Summary'!$Y:$Y,'Threshold Summary'!$K:$K,""),'Pokemon Editor'!$A:$A,'Pokemon Editor'!$F:$F,0)+31+FLOOR(XLOOKUP($Q671,'Threshold Summary'!$Y:$Y,'Threshold Summary'!$P:$P,"")/4))*XLOOKUP($Q671,'Threshold Summary'!$Y:$Y,'Threshold Summary'!$L:$L,""))/100)+5)*XLOOKUP(XLOOKUP($Q671,'Threshold Summary'!$Y:$Y,'Threshold Summary'!$M:$M,""),'Nature Editor'!$A:$A,'Nature Editor'!$B:$B,1)),FLOOR((FLOOR(((2*XLOOKUP(XLOOKUP($Q671,'Threshold Summary'!$Y:$Y,'Threshold Summary'!$K:$K,""),'Pokemon Editor'!$A:$A,'Pokemon Editor'!$H:$H,0)+31+FLOOR(XLOOKUP($Q671,'Threshold Summary'!$Y:$Y,'Threshold Summary'!$R:$R,"")/4))*XLOOKUP($Q671,'Threshold Summary'!$Y:$Y,'Threshold Summary'!$L:$L,""))/100)+5)*XLOOKUP(XLOOKUP($Q671,'Threshold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Editor'!$E:$E,1))),stab,IF(OR(mtype=XLOOKUP(XLOOKUP($Q671,'Threshold Summary'!$Y:$Y,'Threshold Summary'!$K:$K,""),'Pokemon Editor'!$A:$A,'Pokemon Editor'!$C:$C,""),mtype=XLOOKUP(XLOOKUP($Q671,'Threshold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Chart'!$B$1:$S$1,0)))),base,IF(OR(cat="Status",pow=0),0,FLOOR(FLOOR(FLOOR((2*XLOOKUP($Q671,'Threshold Summary'!$Y:$Y,'Threshold Summary'!$L:$L,"")/5+2)*pow*atk/def)/50)+2)),modifier,stab*eff,AVERAGE(ARRAYFORMULA(FLOOR(base*modifier*SEQUENCE(16,1,85,1)/100)))),0)</f>
        <v/>
      </c>
      <c r="M671" s="3">
        <f>IFERROR(LET(mtype,XLOOKUP($D671,'Move Editor'!$B:$B,'Move Editor'!$C:$C,""),cat,XLOOKUP($D671,'Move Editor'!$B:$B,'Move Editor'!$D:$D,""),pow,XLOOKUP($D671,'Move Editor'!$B:$B,'Move Editor'!$E:$E,0),acc,XLOOKUP($D671,'Move Editor'!$B:$B,'Move Editor'!$F:$F,100),atk,IF(cat="Physical",FLOOR((FLOOR(((2*XLOOKUP(XLOOKUP($Q671,'Threshold Summary'!$Y:$Y,'Threshold Summary'!$K:$K,""),'Pokemon Editor'!$A:$A,'Pokemon Editor'!$F:$F,0)+31+FLOOR(XLOOKUP($Q671,'Threshold Summary'!$Y:$Y,'Threshold Summary'!$P:$P,"")/4))*XLOOKUP($Q671,'Threshold Summary'!$Y:$Y,'Threshold Summary'!$L:$L,""))/100)+5)*XLOOKUP(XLOOKUP($Q671,'Threshold Summary'!$Y:$Y,'Threshold Summary'!$M:$M,""),'Nature Editor'!$A:$A,'Nature Editor'!$B:$B,1)),FLOOR((FLOOR(((2*XLOOKUP(XLOOKUP($Q671,'Threshold Summary'!$Y:$Y,'Threshold Summary'!$K:$K,""),'Pokemon Editor'!$A:$A,'Pokemon Editor'!$H:$H,0)+31+FLOOR(XLOOKUP($Q671,'Threshold Summary'!$Y:$Y,'Threshold Summary'!$R:$R,"")/4))*XLOOKUP($Q671,'Threshold Summary'!$Y:$Y,'Threshold Summary'!$L:$L,""))/100)+5)*XLOOKUP(XLOOKUP($Q671,'Threshold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Editor'!$E:$E,1))),stab,IF(OR(mtype=XLOOKUP(XLOOKUP($Q671,'Threshold Summary'!$Y:$Y,'Threshold Summary'!$K:$K,""),'Pokemon Editor'!$A:$A,'Pokemon Editor'!$C:$C,""),mtype=XLOOKUP(XLOOKUP($Q671,'Threshold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Chart'!$B$1:$S$1,0)))),base,IF(OR(cat="Status",pow=0),0,FLOOR(FLOOR(FLOOR((2*XLOOKUP($Q671,'Threshold Summary'!$Y:$Y,'Threshold Summary'!$L:$L,"")/5+2)*pow*atk/def)/50)+2)),modifier,stab*eff,AVERAGE(ARRAYFORMULA(FLOOR(base*modifier*SEQUENCE(16,1,85,1)/100)))*MIN(1,acc/100)),0)</f>
        <v/>
      </c>
      <c r="N671" s="4">
        <f>IFERROR(LET(mtype,XLOOKUP($D671,'Move Editor'!$B:$B,'Move Editor'!$C:$C,""),cat,XLOOKUP($D671,'Move Editor'!$B:$B,'Move Editor'!$D:$D,""),pow,XLOOKUP($D671,'Move Editor'!$B:$B,'Move Editor'!$E:$E,0),acc,XLOOKUP($D671,'Move Editor'!$B:$B,'Move Editor'!$F:$F,100),atk,IF(cat="Physical",FLOOR((FLOOR(((2*XLOOKUP(XLOOKUP($Q671,'Threshold Summary'!$Y:$Y,'Threshold Summary'!$K:$K,""),'Pokemon Editor'!$A:$A,'Pokemon Editor'!$F:$F,0)+31+FLOOR(XLOOKUP($Q671,'Threshold Summary'!$Y:$Y,'Threshold Summary'!$P:$P,"")/4))*XLOOKUP($Q671,'Threshold Summary'!$Y:$Y,'Threshold Summary'!$L:$L,""))/100)+5)*XLOOKUP(XLOOKUP($Q671,'Threshold Summary'!$Y:$Y,'Threshold Summary'!$M:$M,""),'Nature Editor'!$A:$A,'Nature Editor'!$B:$B,1)),FLOOR((FLOOR(((2*XLOOKUP(XLOOKUP($Q671,'Threshold Summary'!$Y:$Y,'Threshold Summary'!$K:$K,""),'Pokemon Editor'!$A:$A,'Pokemon Editor'!$H:$H,0)+31+FLOOR(XLOOKUP($Q671,'Threshold Summary'!$Y:$Y,'Threshold Summary'!$R:$R,"")/4))*XLOOKUP($Q671,'Threshold Summary'!$Y:$Y,'Threshold Summary'!$L:$L,""))/100)+5)*XLOOKUP(XLOOKUP($Q671,'Threshold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Editor'!$E:$E,1))),stab,IF(OR(mtype=XLOOKUP(XLOOKUP($Q671,'Threshold Summary'!$Y:$Y,'Threshold Summary'!$K:$K,""),'Pokemon Editor'!$A:$A,'Pokemon Editor'!$C:$C,""),mtype=XLOOKUP(XLOOKUP($Q671,'Threshold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Chart'!$B$1:$S$1,0)))),base,IF(OR(cat="Status",pow=0),0,FLOOR(FLOOR(FLOOR((2*XLOOKUP($Q671,'Threshold Summary'!$Y:$Y,'Threshold Summary'!$L:$L,"")/5+2)*pow*atk/def)/50)+2)),modifier,stab*eff,AVERAGE(ARRAYFORMULA(FLOOR(base*modifier*SEQUENCE(16,1,85,1)/100)))/(FLOOR(((2*XLOOKUP('Boss Editor'!$C$4,'Pokemon Editor'!$A:$A,'Pokemon Editor'!$E:$E,0)+31+FLOOR('Boss Editor'!$G$4/4))*'Boss Editor'!$D$4)/100)+'Boss Editor'!$D$4+10)),0)</f>
        <v/>
      </c>
      <c r="O671" s="3">
        <f>IF(N671&gt;=1,"OHKO",IF(N671&gt;=0.5,"2HKO",IF(N671&gt;=0.333,"3HKO",IF(N671&gt;=0.25,"4HKO","5HKO+"))))</f>
        <v/>
      </c>
      <c r="P671" s="3" t="inlineStr">
        <is>
          <t>Live from editable databases</t>
        </is>
      </c>
      <c r="Q671" s="3" t="inlineStr">
        <is>
          <t>SPECIES_PANCHAM</t>
        </is>
      </c>
      <c r="R671" s="3" t="n">
        <v>30</v>
      </c>
    </row>
    <row r="672">
      <c r="A672" s="3">
        <f>XLOOKUP($Q672,'Threshold Summary'!$Y:$Y,'Threshold Summary'!$A:$A,"")</f>
        <v/>
      </c>
      <c r="B672" s="3">
        <f>XLOOKUP($Q672,'Threshold Summary'!$Y:$Y,'Threshold Summary'!$M:$M,"")</f>
        <v/>
      </c>
      <c r="C672" s="3">
        <f>XLOOKUP($Q672,'Threshold Summary'!$Y:$Y,'Threshold Summary'!$N:$N,"")</f>
        <v/>
      </c>
      <c r="D672" s="3">
        <f>IFERROR(INDEX(FILTER('Learnset Editor'!$D$2:$D,'Learnset Editor'!$A$2:$A=XLOOKUP($Q672,'Threshold Summary'!$Y:$Y,'Threshold Summary'!$K:$K,""),'Learnset Editor'!$C$2:$C&lt;=XLOOKUP($Q672,'Threshold Summary'!$Y:$Y,'Threshold Summary'!$L:$L,"")),$R672),"")</f>
        <v/>
      </c>
      <c r="E672" s="3">
        <f>XLOOKUP(D672,'Move Editor'!$B:$B,'Move Editor'!$C:$C,"")</f>
        <v/>
      </c>
      <c r="F672" s="3">
        <f>XLOOKUP(D672,'Move Editor'!$B:$B,'Move Editor'!$D:$D,"")</f>
        <v/>
      </c>
      <c r="G672" s="3">
        <f>XLOOKUP(D672,'Move Editor'!$B:$B,'Move Editor'!$E:$E,0)</f>
        <v/>
      </c>
      <c r="H672" s="3">
        <f>XLOOKUP(D672,'Move Editor'!$B:$B,'Move Editor'!$F:$F,0)</f>
        <v/>
      </c>
      <c r="I672" s="3">
        <f>(INDEX('Type Chart'!$B:$S,MATCH(E672,'Type Chart'!$A:$A,0),MATCH(XLOOKUP('Boss Editor'!$C$4,'Pokemon Editor'!$A:$A,'Pokemon Editor'!$C:$C,""),'Type Chart'!$B$1:$S$1,0))*IF(XLOOKUP('Boss Editor'!$C$4,'Pokemon Editor'!$A:$A,'Pokemon Editor'!$D:$D,"")="",1,INDEX('Type Chart'!$B:$S,MATCH(E672,'Type Chart'!$A:$A,0),MATCH(XLOOKUP('Boss Editor'!$C$4,'Pokemon Editor'!$A:$A,'Pokemon Editor'!$D:$D,""),'Type Chart'!$B$1:$S$1,0))))</f>
        <v/>
      </c>
      <c r="J672" s="3">
        <f>IFERROR(LET(mtype,XLOOKUP($D672,'Move Editor'!$B:$B,'Move Editor'!$C:$C,""),cat,XLOOKUP($D672,'Move Editor'!$B:$B,'Move Editor'!$D:$D,""),pow,XLOOKUP($D672,'Move Editor'!$B:$B,'Move Editor'!$E:$E,0),acc,XLOOKUP($D672,'Move Editor'!$B:$B,'Move Editor'!$F:$F,100),atk,IF(cat="Physical",FLOOR((FLOOR(((2*XLOOKUP(XLOOKUP($Q672,'Threshold Summary'!$Y:$Y,'Threshold Summary'!$K:$K,""),'Pokemon Editor'!$A:$A,'Pokemon Editor'!$F:$F,0)+31+FLOOR(XLOOKUP($Q672,'Threshold Summary'!$Y:$Y,'Threshold Summary'!$P:$P,"")/4))*XLOOKUP($Q672,'Threshold Summary'!$Y:$Y,'Threshold Summary'!$L:$L,""))/100)+5)*XLOOKUP(XLOOKUP($Q672,'Threshold Summary'!$Y:$Y,'Threshold Summary'!$M:$M,""),'Nature Editor'!$A:$A,'Nature Editor'!$B:$B,1)),FLOOR((FLOOR(((2*XLOOKUP(XLOOKUP($Q672,'Threshold Summary'!$Y:$Y,'Threshold Summary'!$K:$K,""),'Pokemon Editor'!$A:$A,'Pokemon Editor'!$H:$H,0)+31+FLOOR(XLOOKUP($Q672,'Threshold Summary'!$Y:$Y,'Threshold Summary'!$R:$R,"")/4))*XLOOKUP($Q672,'Threshold Summary'!$Y:$Y,'Threshold Summary'!$L:$L,""))/100)+5)*XLOOKUP(XLOOKUP($Q672,'Threshold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Editor'!$E:$E,1))),stab,IF(OR(mtype=XLOOKUP(XLOOKUP($Q672,'Threshold Summary'!$Y:$Y,'Threshold Summary'!$K:$K,""),'Pokemon Editor'!$A:$A,'Pokemon Editor'!$C:$C,""),mtype=XLOOKUP(XLOOKUP($Q672,'Threshold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Chart'!$B$1:$S$1,0)))),base,IF(OR(cat="Status",pow=0),0,FLOOR(FLOOR(FLOOR((2*XLOOKUP($Q672,'Threshold Summary'!$Y:$Y,'Threshold Summary'!$L:$L,"")/5+2)*pow*atk/def)/50)+2)),modifier,stab*eff,FLOOR(base*modifier*0.85)),0)</f>
        <v/>
      </c>
      <c r="K672" s="3">
        <f>IFERROR(LET(mtype,XLOOKUP($D672,'Move Editor'!$B:$B,'Move Editor'!$C:$C,""),cat,XLOOKUP($D672,'Move Editor'!$B:$B,'Move Editor'!$D:$D,""),pow,XLOOKUP($D672,'Move Editor'!$B:$B,'Move Editor'!$E:$E,0),acc,XLOOKUP($D672,'Move Editor'!$B:$B,'Move Editor'!$F:$F,100),atk,IF(cat="Physical",FLOOR((FLOOR(((2*XLOOKUP(XLOOKUP($Q672,'Threshold Summary'!$Y:$Y,'Threshold Summary'!$K:$K,""),'Pokemon Editor'!$A:$A,'Pokemon Editor'!$F:$F,0)+31+FLOOR(XLOOKUP($Q672,'Threshold Summary'!$Y:$Y,'Threshold Summary'!$P:$P,"")/4))*XLOOKUP($Q672,'Threshold Summary'!$Y:$Y,'Threshold Summary'!$L:$L,""))/100)+5)*XLOOKUP(XLOOKUP($Q672,'Threshold Summary'!$Y:$Y,'Threshold Summary'!$M:$M,""),'Nature Editor'!$A:$A,'Nature Editor'!$B:$B,1)),FLOOR((FLOOR(((2*XLOOKUP(XLOOKUP($Q672,'Threshold Summary'!$Y:$Y,'Threshold Summary'!$K:$K,""),'Pokemon Editor'!$A:$A,'Pokemon Editor'!$H:$H,0)+31+FLOOR(XLOOKUP($Q672,'Threshold Summary'!$Y:$Y,'Threshold Summary'!$R:$R,"")/4))*XLOOKUP($Q672,'Threshold Summary'!$Y:$Y,'Threshold Summary'!$L:$L,""))/100)+5)*XLOOKUP(XLOOKUP($Q672,'Threshold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Editor'!$E:$E,1))),stab,IF(OR(mtype=XLOOKUP(XLOOKUP($Q672,'Threshold Summary'!$Y:$Y,'Threshold Summary'!$K:$K,""),'Pokemon Editor'!$A:$A,'Pokemon Editor'!$C:$C,""),mtype=XLOOKUP(XLOOKUP($Q672,'Threshold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Chart'!$B$1:$S$1,0)))),base,IF(OR(cat="Status",pow=0),0,FLOOR(FLOOR(FLOOR((2*XLOOKUP($Q672,'Threshold Summary'!$Y:$Y,'Threshold Summary'!$L:$L,"")/5+2)*pow*atk/def)/50)+2)),modifier,stab*eff,FLOOR(base*modifier)),0)</f>
        <v/>
      </c>
      <c r="L672" s="3">
        <f>IFERROR(LET(mtype,XLOOKUP($D672,'Move Editor'!$B:$B,'Move Editor'!$C:$C,""),cat,XLOOKUP($D672,'Move Editor'!$B:$B,'Move Editor'!$D:$D,""),pow,XLOOKUP($D672,'Move Editor'!$B:$B,'Move Editor'!$E:$E,0),acc,XLOOKUP($D672,'Move Editor'!$B:$B,'Move Editor'!$F:$F,100),atk,IF(cat="Physical",FLOOR((FLOOR(((2*XLOOKUP(XLOOKUP($Q672,'Threshold Summary'!$Y:$Y,'Threshold Summary'!$K:$K,""),'Pokemon Editor'!$A:$A,'Pokemon Editor'!$F:$F,0)+31+FLOOR(XLOOKUP($Q672,'Threshold Summary'!$Y:$Y,'Threshold Summary'!$P:$P,"")/4))*XLOOKUP($Q672,'Threshold Summary'!$Y:$Y,'Threshold Summary'!$L:$L,""))/100)+5)*XLOOKUP(XLOOKUP($Q672,'Threshold Summary'!$Y:$Y,'Threshold Summary'!$M:$M,""),'Nature Editor'!$A:$A,'Nature Editor'!$B:$B,1)),FLOOR((FLOOR(((2*XLOOKUP(XLOOKUP($Q672,'Threshold Summary'!$Y:$Y,'Threshold Summary'!$K:$K,""),'Pokemon Editor'!$A:$A,'Pokemon Editor'!$H:$H,0)+31+FLOOR(XLOOKUP($Q672,'Threshold Summary'!$Y:$Y,'Threshold Summary'!$R:$R,"")/4))*XLOOKUP($Q672,'Threshold Summary'!$Y:$Y,'Threshold Summary'!$L:$L,""))/100)+5)*XLOOKUP(XLOOKUP($Q672,'Threshold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Editor'!$E:$E,1))),stab,IF(OR(mtype=XLOOKUP(XLOOKUP($Q672,'Threshold Summary'!$Y:$Y,'Threshold Summary'!$K:$K,""),'Pokemon Editor'!$A:$A,'Pokemon Editor'!$C:$C,""),mtype=XLOOKUP(XLOOKUP($Q672,'Threshold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Chart'!$B$1:$S$1,0)))),base,IF(OR(cat="Status",pow=0),0,FLOOR(FLOOR(FLOOR((2*XLOOKUP($Q672,'Threshold Summary'!$Y:$Y,'Threshold Summary'!$L:$L,"")/5+2)*pow*atk/def)/50)+2)),modifier,stab*eff,AVERAGE(ARRAYFORMULA(FLOOR(base*modifier*SEQUENCE(16,1,85,1)/100)))),0)</f>
        <v/>
      </c>
      <c r="M672" s="3">
        <f>IFERROR(LET(mtype,XLOOKUP($D672,'Move Editor'!$B:$B,'Move Editor'!$C:$C,""),cat,XLOOKUP($D672,'Move Editor'!$B:$B,'Move Editor'!$D:$D,""),pow,XLOOKUP($D672,'Move Editor'!$B:$B,'Move Editor'!$E:$E,0),acc,XLOOKUP($D672,'Move Editor'!$B:$B,'Move Editor'!$F:$F,100),atk,IF(cat="Physical",FLOOR((FLOOR(((2*XLOOKUP(XLOOKUP($Q672,'Threshold Summary'!$Y:$Y,'Threshold Summary'!$K:$K,""),'Pokemon Editor'!$A:$A,'Pokemon Editor'!$F:$F,0)+31+FLOOR(XLOOKUP($Q672,'Threshold Summary'!$Y:$Y,'Threshold Summary'!$P:$P,"")/4))*XLOOKUP($Q672,'Threshold Summary'!$Y:$Y,'Threshold Summary'!$L:$L,""))/100)+5)*XLOOKUP(XLOOKUP($Q672,'Threshold Summary'!$Y:$Y,'Threshold Summary'!$M:$M,""),'Nature Editor'!$A:$A,'Nature Editor'!$B:$B,1)),FLOOR((FLOOR(((2*XLOOKUP(XLOOKUP($Q672,'Threshold Summary'!$Y:$Y,'Threshold Summary'!$K:$K,""),'Pokemon Editor'!$A:$A,'Pokemon Editor'!$H:$H,0)+31+FLOOR(XLOOKUP($Q672,'Threshold Summary'!$Y:$Y,'Threshold Summary'!$R:$R,"")/4))*XLOOKUP($Q672,'Threshold Summary'!$Y:$Y,'Threshold Summary'!$L:$L,""))/100)+5)*XLOOKUP(XLOOKUP($Q672,'Threshold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Editor'!$E:$E,1))),stab,IF(OR(mtype=XLOOKUP(XLOOKUP($Q672,'Threshold Summary'!$Y:$Y,'Threshold Summary'!$K:$K,""),'Pokemon Editor'!$A:$A,'Pokemon Editor'!$C:$C,""),mtype=XLOOKUP(XLOOKUP($Q672,'Threshold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Chart'!$B$1:$S$1,0)))),base,IF(OR(cat="Status",pow=0),0,FLOOR(FLOOR(FLOOR((2*XLOOKUP($Q672,'Threshold Summary'!$Y:$Y,'Threshold Summary'!$L:$L,"")/5+2)*pow*atk/def)/50)+2)),modifier,stab*eff,AVERAGE(ARRAYFORMULA(FLOOR(base*modifier*SEQUENCE(16,1,85,1)/100)))*MIN(1,acc/100)),0)</f>
        <v/>
      </c>
      <c r="N672" s="4">
        <f>IFERROR(LET(mtype,XLOOKUP($D672,'Move Editor'!$B:$B,'Move Editor'!$C:$C,""),cat,XLOOKUP($D672,'Move Editor'!$B:$B,'Move Editor'!$D:$D,""),pow,XLOOKUP($D672,'Move Editor'!$B:$B,'Move Editor'!$E:$E,0),acc,XLOOKUP($D672,'Move Editor'!$B:$B,'Move Editor'!$F:$F,100),atk,IF(cat="Physical",FLOOR((FLOOR(((2*XLOOKUP(XLOOKUP($Q672,'Threshold Summary'!$Y:$Y,'Threshold Summary'!$K:$K,""),'Pokemon Editor'!$A:$A,'Pokemon Editor'!$F:$F,0)+31+FLOOR(XLOOKUP($Q672,'Threshold Summary'!$Y:$Y,'Threshold Summary'!$P:$P,"")/4))*XLOOKUP($Q672,'Threshold Summary'!$Y:$Y,'Threshold Summary'!$L:$L,""))/100)+5)*XLOOKUP(XLOOKUP($Q672,'Threshold Summary'!$Y:$Y,'Threshold Summary'!$M:$M,""),'Nature Editor'!$A:$A,'Nature Editor'!$B:$B,1)),FLOOR((FLOOR(((2*XLOOKUP(XLOOKUP($Q672,'Threshold Summary'!$Y:$Y,'Threshold Summary'!$K:$K,""),'Pokemon Editor'!$A:$A,'Pokemon Editor'!$H:$H,0)+31+FLOOR(XLOOKUP($Q672,'Threshold Summary'!$Y:$Y,'Threshold Summary'!$R:$R,"")/4))*XLOOKUP($Q672,'Threshold Summary'!$Y:$Y,'Threshold Summary'!$L:$L,""))/100)+5)*XLOOKUP(XLOOKUP($Q672,'Threshold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Editor'!$E:$E,1))),stab,IF(OR(mtype=XLOOKUP(XLOOKUP($Q672,'Threshold Summary'!$Y:$Y,'Threshold Summary'!$K:$K,""),'Pokemon Editor'!$A:$A,'Pokemon Editor'!$C:$C,""),mtype=XLOOKUP(XLOOKUP($Q672,'Threshold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Chart'!$B$1:$S$1,0)))),base,IF(OR(cat="Status",pow=0),0,FLOOR(FLOOR(FLOOR((2*XLOOKUP($Q672,'Threshold Summary'!$Y:$Y,'Threshold Summary'!$L:$L,"")/5+2)*pow*atk/def)/50)+2)),modifier,stab*eff,AVERAGE(ARRAYFORMULA(FLOOR(base*modifier*SEQUENCE(16,1,85,1)/100)))/(FLOOR(((2*XLOOKUP('Boss Editor'!$C$4,'Pokemon Editor'!$A:$A,'Pokemon Editor'!$E:$E,0)+31+FLOOR('Boss Editor'!$G$4/4))*'Boss Editor'!$D$4)/100)+'Boss Editor'!$D$4+10)),0)</f>
        <v/>
      </c>
      <c r="O672" s="3">
        <f>IF(N672&gt;=1,"OHKO",IF(N672&gt;=0.5,"2HKO",IF(N672&gt;=0.333,"3HKO",IF(N672&gt;=0.25,"4HKO","5HKO+"))))</f>
        <v/>
      </c>
      <c r="P672" s="3" t="inlineStr">
        <is>
          <t>Live from editable databases</t>
        </is>
      </c>
      <c r="Q672" s="3" t="inlineStr">
        <is>
          <t>SPECIES_PANCHAM</t>
        </is>
      </c>
      <c r="R672" s="3" t="n">
        <v>31</v>
      </c>
    </row>
    <row r="673">
      <c r="A673" s="3">
        <f>XLOOKUP($Q673,'Threshold Summary'!$Y:$Y,'Threshold Summary'!$A:$A,"")</f>
        <v/>
      </c>
      <c r="B673" s="3">
        <f>XLOOKUP($Q673,'Threshold Summary'!$Y:$Y,'Threshold Summary'!$M:$M,"")</f>
        <v/>
      </c>
      <c r="C673" s="3">
        <f>XLOOKUP($Q673,'Threshold Summary'!$Y:$Y,'Threshold Summary'!$N:$N,"")</f>
        <v/>
      </c>
      <c r="D673" s="3">
        <f>IFERROR(INDEX(FILTER('Learnset Editor'!$D$2:$D,'Learnset Editor'!$A$2:$A=XLOOKUP($Q673,'Threshold Summary'!$Y:$Y,'Threshold Summary'!$K:$K,""),'Learnset Editor'!$C$2:$C&lt;=XLOOKUP($Q673,'Threshold Summary'!$Y:$Y,'Threshold Summary'!$L:$L,"")),$R673),"")</f>
        <v/>
      </c>
      <c r="E673" s="3">
        <f>XLOOKUP(D673,'Move Editor'!$B:$B,'Move Editor'!$C:$C,"")</f>
        <v/>
      </c>
      <c r="F673" s="3">
        <f>XLOOKUP(D673,'Move Editor'!$B:$B,'Move Editor'!$D:$D,"")</f>
        <v/>
      </c>
      <c r="G673" s="3">
        <f>XLOOKUP(D673,'Move Editor'!$B:$B,'Move Editor'!$E:$E,0)</f>
        <v/>
      </c>
      <c r="H673" s="3">
        <f>XLOOKUP(D673,'Move Editor'!$B:$B,'Move Editor'!$F:$F,0)</f>
        <v/>
      </c>
      <c r="I673" s="3">
        <f>(INDEX('Type Chart'!$B:$S,MATCH(E673,'Type Chart'!$A:$A,0),MATCH(XLOOKUP('Boss Editor'!$C$4,'Pokemon Editor'!$A:$A,'Pokemon Editor'!$C:$C,""),'Type Chart'!$B$1:$S$1,0))*IF(XLOOKUP('Boss Editor'!$C$4,'Pokemon Editor'!$A:$A,'Pokemon Editor'!$D:$D,"")="",1,INDEX('Type Chart'!$B:$S,MATCH(E673,'Type Chart'!$A:$A,0),MATCH(XLOOKUP('Boss Editor'!$C$4,'Pokemon Editor'!$A:$A,'Pokemon Editor'!$D:$D,""),'Type Chart'!$B$1:$S$1,0))))</f>
        <v/>
      </c>
      <c r="J673" s="3">
        <f>IFERROR(LET(mtype,XLOOKUP($D673,'Move Editor'!$B:$B,'Move Editor'!$C:$C,""),cat,XLOOKUP($D673,'Move Editor'!$B:$B,'Move Editor'!$D:$D,""),pow,XLOOKUP($D673,'Move Editor'!$B:$B,'Move Editor'!$E:$E,0),acc,XLOOKUP($D673,'Move Editor'!$B:$B,'Move Editor'!$F:$F,100),atk,IF(cat="Physical",FLOOR((FLOOR(((2*XLOOKUP(XLOOKUP($Q673,'Threshold Summary'!$Y:$Y,'Threshold Summary'!$K:$K,""),'Pokemon Editor'!$A:$A,'Pokemon Editor'!$F:$F,0)+31+FLOOR(XLOOKUP($Q673,'Threshold Summary'!$Y:$Y,'Threshold Summary'!$P:$P,"")/4))*XLOOKUP($Q673,'Threshold Summary'!$Y:$Y,'Threshold Summary'!$L:$L,""))/100)+5)*XLOOKUP(XLOOKUP($Q673,'Threshold Summary'!$Y:$Y,'Threshold Summary'!$M:$M,""),'Nature Editor'!$A:$A,'Nature Editor'!$B:$B,1)),FLOOR((FLOOR(((2*XLOOKUP(XLOOKUP($Q673,'Threshold Summary'!$Y:$Y,'Threshold Summary'!$K:$K,""),'Pokemon Editor'!$A:$A,'Pokemon Editor'!$H:$H,0)+31+FLOOR(XLOOKUP($Q673,'Threshold Summary'!$Y:$Y,'Threshold Summary'!$R:$R,"")/4))*XLOOKUP($Q673,'Threshold Summary'!$Y:$Y,'Threshold Summary'!$L:$L,""))/100)+5)*XLOOKUP(XLOOKUP($Q673,'Threshold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Editor'!$E:$E,1))),stab,IF(OR(mtype=XLOOKUP(XLOOKUP($Q673,'Threshold Summary'!$Y:$Y,'Threshold Summary'!$K:$K,""),'Pokemon Editor'!$A:$A,'Pokemon Editor'!$C:$C,""),mtype=XLOOKUP(XLOOKUP($Q673,'Threshold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Chart'!$B$1:$S$1,0)))),base,IF(OR(cat="Status",pow=0),0,FLOOR(FLOOR(FLOOR((2*XLOOKUP($Q673,'Threshold Summary'!$Y:$Y,'Threshold Summary'!$L:$L,"")/5+2)*pow*atk/def)/50)+2)),modifier,stab*eff,FLOOR(base*modifier*0.85)),0)</f>
        <v/>
      </c>
      <c r="K673" s="3">
        <f>IFERROR(LET(mtype,XLOOKUP($D673,'Move Editor'!$B:$B,'Move Editor'!$C:$C,""),cat,XLOOKUP($D673,'Move Editor'!$B:$B,'Move Editor'!$D:$D,""),pow,XLOOKUP($D673,'Move Editor'!$B:$B,'Move Editor'!$E:$E,0),acc,XLOOKUP($D673,'Move Editor'!$B:$B,'Move Editor'!$F:$F,100),atk,IF(cat="Physical",FLOOR((FLOOR(((2*XLOOKUP(XLOOKUP($Q673,'Threshold Summary'!$Y:$Y,'Threshold Summary'!$K:$K,""),'Pokemon Editor'!$A:$A,'Pokemon Editor'!$F:$F,0)+31+FLOOR(XLOOKUP($Q673,'Threshold Summary'!$Y:$Y,'Threshold Summary'!$P:$P,"")/4))*XLOOKUP($Q673,'Threshold Summary'!$Y:$Y,'Threshold Summary'!$L:$L,""))/100)+5)*XLOOKUP(XLOOKUP($Q673,'Threshold Summary'!$Y:$Y,'Threshold Summary'!$M:$M,""),'Nature Editor'!$A:$A,'Nature Editor'!$B:$B,1)),FLOOR((FLOOR(((2*XLOOKUP(XLOOKUP($Q673,'Threshold Summary'!$Y:$Y,'Threshold Summary'!$K:$K,""),'Pokemon Editor'!$A:$A,'Pokemon Editor'!$H:$H,0)+31+FLOOR(XLOOKUP($Q673,'Threshold Summary'!$Y:$Y,'Threshold Summary'!$R:$R,"")/4))*XLOOKUP($Q673,'Threshold Summary'!$Y:$Y,'Threshold Summary'!$L:$L,""))/100)+5)*XLOOKUP(XLOOKUP($Q673,'Threshold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Editor'!$E:$E,1))),stab,IF(OR(mtype=XLOOKUP(XLOOKUP($Q673,'Threshold Summary'!$Y:$Y,'Threshold Summary'!$K:$K,""),'Pokemon Editor'!$A:$A,'Pokemon Editor'!$C:$C,""),mtype=XLOOKUP(XLOOKUP($Q673,'Threshold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Chart'!$B$1:$S$1,0)))),base,IF(OR(cat="Status",pow=0),0,FLOOR(FLOOR(FLOOR((2*XLOOKUP($Q673,'Threshold Summary'!$Y:$Y,'Threshold Summary'!$L:$L,"")/5+2)*pow*atk/def)/50)+2)),modifier,stab*eff,FLOOR(base*modifier)),0)</f>
        <v/>
      </c>
      <c r="L673" s="3">
        <f>IFERROR(LET(mtype,XLOOKUP($D673,'Move Editor'!$B:$B,'Move Editor'!$C:$C,""),cat,XLOOKUP($D673,'Move Editor'!$B:$B,'Move Editor'!$D:$D,""),pow,XLOOKUP($D673,'Move Editor'!$B:$B,'Move Editor'!$E:$E,0),acc,XLOOKUP($D673,'Move Editor'!$B:$B,'Move Editor'!$F:$F,100),atk,IF(cat="Physical",FLOOR((FLOOR(((2*XLOOKUP(XLOOKUP($Q673,'Threshold Summary'!$Y:$Y,'Threshold Summary'!$K:$K,""),'Pokemon Editor'!$A:$A,'Pokemon Editor'!$F:$F,0)+31+FLOOR(XLOOKUP($Q673,'Threshold Summary'!$Y:$Y,'Threshold Summary'!$P:$P,"")/4))*XLOOKUP($Q673,'Threshold Summary'!$Y:$Y,'Threshold Summary'!$L:$L,""))/100)+5)*XLOOKUP(XLOOKUP($Q673,'Threshold Summary'!$Y:$Y,'Threshold Summary'!$M:$M,""),'Nature Editor'!$A:$A,'Nature Editor'!$B:$B,1)),FLOOR((FLOOR(((2*XLOOKUP(XLOOKUP($Q673,'Threshold Summary'!$Y:$Y,'Threshold Summary'!$K:$K,""),'Pokemon Editor'!$A:$A,'Pokemon Editor'!$H:$H,0)+31+FLOOR(XLOOKUP($Q673,'Threshold Summary'!$Y:$Y,'Threshold Summary'!$R:$R,"")/4))*XLOOKUP($Q673,'Threshold Summary'!$Y:$Y,'Threshold Summary'!$L:$L,""))/100)+5)*XLOOKUP(XLOOKUP($Q673,'Threshold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Editor'!$E:$E,1))),stab,IF(OR(mtype=XLOOKUP(XLOOKUP($Q673,'Threshold Summary'!$Y:$Y,'Threshold Summary'!$K:$K,""),'Pokemon Editor'!$A:$A,'Pokemon Editor'!$C:$C,""),mtype=XLOOKUP(XLOOKUP($Q673,'Threshold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Chart'!$B$1:$S$1,0)))),base,IF(OR(cat="Status",pow=0),0,FLOOR(FLOOR(FLOOR((2*XLOOKUP($Q673,'Threshold Summary'!$Y:$Y,'Threshold Summary'!$L:$L,"")/5+2)*pow*atk/def)/50)+2)),modifier,stab*eff,AVERAGE(ARRAYFORMULA(FLOOR(base*modifier*SEQUENCE(16,1,85,1)/100)))),0)</f>
        <v/>
      </c>
      <c r="M673" s="3">
        <f>IFERROR(LET(mtype,XLOOKUP($D673,'Move Editor'!$B:$B,'Move Editor'!$C:$C,""),cat,XLOOKUP($D673,'Move Editor'!$B:$B,'Move Editor'!$D:$D,""),pow,XLOOKUP($D673,'Move Editor'!$B:$B,'Move Editor'!$E:$E,0),acc,XLOOKUP($D673,'Move Editor'!$B:$B,'Move Editor'!$F:$F,100),atk,IF(cat="Physical",FLOOR((FLOOR(((2*XLOOKUP(XLOOKUP($Q673,'Threshold Summary'!$Y:$Y,'Threshold Summary'!$K:$K,""),'Pokemon Editor'!$A:$A,'Pokemon Editor'!$F:$F,0)+31+FLOOR(XLOOKUP($Q673,'Threshold Summary'!$Y:$Y,'Threshold Summary'!$P:$P,"")/4))*XLOOKUP($Q673,'Threshold Summary'!$Y:$Y,'Threshold Summary'!$L:$L,""))/100)+5)*XLOOKUP(XLOOKUP($Q673,'Threshold Summary'!$Y:$Y,'Threshold Summary'!$M:$M,""),'Nature Editor'!$A:$A,'Nature Editor'!$B:$B,1)),FLOOR((FLOOR(((2*XLOOKUP(XLOOKUP($Q673,'Threshold Summary'!$Y:$Y,'Threshold Summary'!$K:$K,""),'Pokemon Editor'!$A:$A,'Pokemon Editor'!$H:$H,0)+31+FLOOR(XLOOKUP($Q673,'Threshold Summary'!$Y:$Y,'Threshold Summary'!$R:$R,"")/4))*XLOOKUP($Q673,'Threshold Summary'!$Y:$Y,'Threshold Summary'!$L:$L,""))/100)+5)*XLOOKUP(XLOOKUP($Q673,'Threshold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Editor'!$E:$E,1))),stab,IF(OR(mtype=XLOOKUP(XLOOKUP($Q673,'Threshold Summary'!$Y:$Y,'Threshold Summary'!$K:$K,""),'Pokemon Editor'!$A:$A,'Pokemon Editor'!$C:$C,""),mtype=XLOOKUP(XLOOKUP($Q673,'Threshold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Chart'!$B$1:$S$1,0)))),base,IF(OR(cat="Status",pow=0),0,FLOOR(FLOOR(FLOOR((2*XLOOKUP($Q673,'Threshold Summary'!$Y:$Y,'Threshold Summary'!$L:$L,"")/5+2)*pow*atk/def)/50)+2)),modifier,stab*eff,AVERAGE(ARRAYFORMULA(FLOOR(base*modifier*SEQUENCE(16,1,85,1)/100)))*MIN(1,acc/100)),0)</f>
        <v/>
      </c>
      <c r="N673" s="4">
        <f>IFERROR(LET(mtype,XLOOKUP($D673,'Move Editor'!$B:$B,'Move Editor'!$C:$C,""),cat,XLOOKUP($D673,'Move Editor'!$B:$B,'Move Editor'!$D:$D,""),pow,XLOOKUP($D673,'Move Editor'!$B:$B,'Move Editor'!$E:$E,0),acc,XLOOKUP($D673,'Move Editor'!$B:$B,'Move Editor'!$F:$F,100),atk,IF(cat="Physical",FLOOR((FLOOR(((2*XLOOKUP(XLOOKUP($Q673,'Threshold Summary'!$Y:$Y,'Threshold Summary'!$K:$K,""),'Pokemon Editor'!$A:$A,'Pokemon Editor'!$F:$F,0)+31+FLOOR(XLOOKUP($Q673,'Threshold Summary'!$Y:$Y,'Threshold Summary'!$P:$P,"")/4))*XLOOKUP($Q673,'Threshold Summary'!$Y:$Y,'Threshold Summary'!$L:$L,""))/100)+5)*XLOOKUP(XLOOKUP($Q673,'Threshold Summary'!$Y:$Y,'Threshold Summary'!$M:$M,""),'Nature Editor'!$A:$A,'Nature Editor'!$B:$B,1)),FLOOR((FLOOR(((2*XLOOKUP(XLOOKUP($Q673,'Threshold Summary'!$Y:$Y,'Threshold Summary'!$K:$K,""),'Pokemon Editor'!$A:$A,'Pokemon Editor'!$H:$H,0)+31+FLOOR(XLOOKUP($Q673,'Threshold Summary'!$Y:$Y,'Threshold Summary'!$R:$R,"")/4))*XLOOKUP($Q673,'Threshold Summary'!$Y:$Y,'Threshold Summary'!$L:$L,""))/100)+5)*XLOOKUP(XLOOKUP($Q673,'Threshold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Editor'!$E:$E,1))),stab,IF(OR(mtype=XLOOKUP(XLOOKUP($Q673,'Threshold Summary'!$Y:$Y,'Threshold Summary'!$K:$K,""),'Pokemon Editor'!$A:$A,'Pokemon Editor'!$C:$C,""),mtype=XLOOKUP(XLOOKUP($Q673,'Threshold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Chart'!$B$1:$S$1,0)))),base,IF(OR(cat="Status",pow=0),0,FLOOR(FLOOR(FLOOR((2*XLOOKUP($Q673,'Threshold Summary'!$Y:$Y,'Threshold Summary'!$L:$L,"")/5+2)*pow*atk/def)/50)+2)),modifier,stab*eff,AVERAGE(ARRAYFORMULA(FLOOR(base*modifier*SEQUENCE(16,1,85,1)/100)))/(FLOOR(((2*XLOOKUP('Boss Editor'!$C$4,'Pokemon Editor'!$A:$A,'Pokemon Editor'!$E:$E,0)+31+FLOOR('Boss Editor'!$G$4/4))*'Boss Editor'!$D$4)/100)+'Boss Editor'!$D$4+10)),0)</f>
        <v/>
      </c>
      <c r="O673" s="3">
        <f>IF(N673&gt;=1,"OHKO",IF(N673&gt;=0.5,"2HKO",IF(N673&gt;=0.333,"3HKO",IF(N673&gt;=0.25,"4HKO","5HKO+"))))</f>
        <v/>
      </c>
      <c r="P673" s="3" t="inlineStr">
        <is>
          <t>Live from editable databases</t>
        </is>
      </c>
      <c r="Q673" s="3" t="inlineStr">
        <is>
          <t>SPECIES_PANCHAM</t>
        </is>
      </c>
      <c r="R673" s="3" t="n">
        <v>32</v>
      </c>
    </row>
    <row r="674">
      <c r="A674" s="3">
        <f>XLOOKUP($Q674,'Threshold Summary'!$Y:$Y,'Threshold Summary'!$A:$A,"")</f>
        <v/>
      </c>
      <c r="B674" s="3">
        <f>XLOOKUP($Q674,'Threshold Summary'!$Y:$Y,'Threshold Summary'!$M:$M,"")</f>
        <v/>
      </c>
      <c r="C674" s="3">
        <f>XLOOKUP($Q674,'Threshold Summary'!$Y:$Y,'Threshold Summary'!$N:$N,"")</f>
        <v/>
      </c>
      <c r="D674" s="3">
        <f>IFERROR(INDEX(FILTER('Learnset Editor'!$D$2:$D,'Learnset Editor'!$A$2:$A=XLOOKUP($Q674,'Threshold Summary'!$Y:$Y,'Threshold Summary'!$K:$K,""),'Learnset Editor'!$C$2:$C&lt;=XLOOKUP($Q674,'Threshold Summary'!$Y:$Y,'Threshold Summary'!$L:$L,"")),$R674),"")</f>
        <v/>
      </c>
      <c r="E674" s="3">
        <f>XLOOKUP(D674,'Move Editor'!$B:$B,'Move Editor'!$C:$C,"")</f>
        <v/>
      </c>
      <c r="F674" s="3">
        <f>XLOOKUP(D674,'Move Editor'!$B:$B,'Move Editor'!$D:$D,"")</f>
        <v/>
      </c>
      <c r="G674" s="3">
        <f>XLOOKUP(D674,'Move Editor'!$B:$B,'Move Editor'!$E:$E,0)</f>
        <v/>
      </c>
      <c r="H674" s="3">
        <f>XLOOKUP(D674,'Move Editor'!$B:$B,'Move Editor'!$F:$F,0)</f>
        <v/>
      </c>
      <c r="I674" s="3">
        <f>(INDEX('Type Chart'!$B:$S,MATCH(E674,'Type Chart'!$A:$A,0),MATCH(XLOOKUP('Boss Editor'!$C$4,'Pokemon Editor'!$A:$A,'Pokemon Editor'!$C:$C,""),'Type Chart'!$B$1:$S$1,0))*IF(XLOOKUP('Boss Editor'!$C$4,'Pokemon Editor'!$A:$A,'Pokemon Editor'!$D:$D,"")="",1,INDEX('Type Chart'!$B:$S,MATCH(E674,'Type Chart'!$A:$A,0),MATCH(XLOOKUP('Boss Editor'!$C$4,'Pokemon Editor'!$A:$A,'Pokemon Editor'!$D:$D,""),'Type Chart'!$B$1:$S$1,0))))</f>
        <v/>
      </c>
      <c r="J674" s="3">
        <f>IFERROR(LET(mtype,XLOOKUP($D674,'Move Editor'!$B:$B,'Move Editor'!$C:$C,""),cat,XLOOKUP($D674,'Move Editor'!$B:$B,'Move Editor'!$D:$D,""),pow,XLOOKUP($D674,'Move Editor'!$B:$B,'Move Editor'!$E:$E,0),acc,XLOOKUP($D674,'Move Editor'!$B:$B,'Move Editor'!$F:$F,100),atk,IF(cat="Physical",FLOOR((FLOOR(((2*XLOOKUP(XLOOKUP($Q674,'Threshold Summary'!$Y:$Y,'Threshold Summary'!$K:$K,""),'Pokemon Editor'!$A:$A,'Pokemon Editor'!$F:$F,0)+31+FLOOR(XLOOKUP($Q674,'Threshold Summary'!$Y:$Y,'Threshold Summary'!$P:$P,"")/4))*XLOOKUP($Q674,'Threshold Summary'!$Y:$Y,'Threshold Summary'!$L:$L,""))/100)+5)*XLOOKUP(XLOOKUP($Q674,'Threshold Summary'!$Y:$Y,'Threshold Summary'!$M:$M,""),'Nature Editor'!$A:$A,'Nature Editor'!$B:$B,1)),FLOOR((FLOOR(((2*XLOOKUP(XLOOKUP($Q674,'Threshold Summary'!$Y:$Y,'Threshold Summary'!$K:$K,""),'Pokemon Editor'!$A:$A,'Pokemon Editor'!$H:$H,0)+31+FLOOR(XLOOKUP($Q674,'Threshold Summary'!$Y:$Y,'Threshold Summary'!$R:$R,"")/4))*XLOOKUP($Q674,'Threshold Summary'!$Y:$Y,'Threshold Summary'!$L:$L,""))/100)+5)*XLOOKUP(XLOOKUP($Q674,'Threshold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Editor'!$E:$E,1))),stab,IF(OR(mtype=XLOOKUP(XLOOKUP($Q674,'Threshold Summary'!$Y:$Y,'Threshold Summary'!$K:$K,""),'Pokemon Editor'!$A:$A,'Pokemon Editor'!$C:$C,""),mtype=XLOOKUP(XLOOKUP($Q674,'Threshold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Chart'!$B$1:$S$1,0)))),base,IF(OR(cat="Status",pow=0),0,FLOOR(FLOOR(FLOOR((2*XLOOKUP($Q674,'Threshold Summary'!$Y:$Y,'Threshold Summary'!$L:$L,"")/5+2)*pow*atk/def)/50)+2)),modifier,stab*eff,FLOOR(base*modifier*0.85)),0)</f>
        <v/>
      </c>
      <c r="K674" s="3">
        <f>IFERROR(LET(mtype,XLOOKUP($D674,'Move Editor'!$B:$B,'Move Editor'!$C:$C,""),cat,XLOOKUP($D674,'Move Editor'!$B:$B,'Move Editor'!$D:$D,""),pow,XLOOKUP($D674,'Move Editor'!$B:$B,'Move Editor'!$E:$E,0),acc,XLOOKUP($D674,'Move Editor'!$B:$B,'Move Editor'!$F:$F,100),atk,IF(cat="Physical",FLOOR((FLOOR(((2*XLOOKUP(XLOOKUP($Q674,'Threshold Summary'!$Y:$Y,'Threshold Summary'!$K:$K,""),'Pokemon Editor'!$A:$A,'Pokemon Editor'!$F:$F,0)+31+FLOOR(XLOOKUP($Q674,'Threshold Summary'!$Y:$Y,'Threshold Summary'!$P:$P,"")/4))*XLOOKUP($Q674,'Threshold Summary'!$Y:$Y,'Threshold Summary'!$L:$L,""))/100)+5)*XLOOKUP(XLOOKUP($Q674,'Threshold Summary'!$Y:$Y,'Threshold Summary'!$M:$M,""),'Nature Editor'!$A:$A,'Nature Editor'!$B:$B,1)),FLOOR((FLOOR(((2*XLOOKUP(XLOOKUP($Q674,'Threshold Summary'!$Y:$Y,'Threshold Summary'!$K:$K,""),'Pokemon Editor'!$A:$A,'Pokemon Editor'!$H:$H,0)+31+FLOOR(XLOOKUP($Q674,'Threshold Summary'!$Y:$Y,'Threshold Summary'!$R:$R,"")/4))*XLOOKUP($Q674,'Threshold Summary'!$Y:$Y,'Threshold Summary'!$L:$L,""))/100)+5)*XLOOKUP(XLOOKUP($Q674,'Threshold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Editor'!$E:$E,1))),stab,IF(OR(mtype=XLOOKUP(XLOOKUP($Q674,'Threshold Summary'!$Y:$Y,'Threshold Summary'!$K:$K,""),'Pokemon Editor'!$A:$A,'Pokemon Editor'!$C:$C,""),mtype=XLOOKUP(XLOOKUP($Q674,'Threshold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Chart'!$B$1:$S$1,0)))),base,IF(OR(cat="Status",pow=0),0,FLOOR(FLOOR(FLOOR((2*XLOOKUP($Q674,'Threshold Summary'!$Y:$Y,'Threshold Summary'!$L:$L,"")/5+2)*pow*atk/def)/50)+2)),modifier,stab*eff,FLOOR(base*modifier)),0)</f>
        <v/>
      </c>
      <c r="L674" s="3">
        <f>IFERROR(LET(mtype,XLOOKUP($D674,'Move Editor'!$B:$B,'Move Editor'!$C:$C,""),cat,XLOOKUP($D674,'Move Editor'!$B:$B,'Move Editor'!$D:$D,""),pow,XLOOKUP($D674,'Move Editor'!$B:$B,'Move Editor'!$E:$E,0),acc,XLOOKUP($D674,'Move Editor'!$B:$B,'Move Editor'!$F:$F,100),atk,IF(cat="Physical",FLOOR((FLOOR(((2*XLOOKUP(XLOOKUP($Q674,'Threshold Summary'!$Y:$Y,'Threshold Summary'!$K:$K,""),'Pokemon Editor'!$A:$A,'Pokemon Editor'!$F:$F,0)+31+FLOOR(XLOOKUP($Q674,'Threshold Summary'!$Y:$Y,'Threshold Summary'!$P:$P,"")/4))*XLOOKUP($Q674,'Threshold Summary'!$Y:$Y,'Threshold Summary'!$L:$L,""))/100)+5)*XLOOKUP(XLOOKUP($Q674,'Threshold Summary'!$Y:$Y,'Threshold Summary'!$M:$M,""),'Nature Editor'!$A:$A,'Nature Editor'!$B:$B,1)),FLOOR((FLOOR(((2*XLOOKUP(XLOOKUP($Q674,'Threshold Summary'!$Y:$Y,'Threshold Summary'!$K:$K,""),'Pokemon Editor'!$A:$A,'Pokemon Editor'!$H:$H,0)+31+FLOOR(XLOOKUP($Q674,'Threshold Summary'!$Y:$Y,'Threshold Summary'!$R:$R,"")/4))*XLOOKUP($Q674,'Threshold Summary'!$Y:$Y,'Threshold Summary'!$L:$L,""))/100)+5)*XLOOKUP(XLOOKUP($Q674,'Threshold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Editor'!$E:$E,1))),stab,IF(OR(mtype=XLOOKUP(XLOOKUP($Q674,'Threshold Summary'!$Y:$Y,'Threshold Summary'!$K:$K,""),'Pokemon Editor'!$A:$A,'Pokemon Editor'!$C:$C,""),mtype=XLOOKUP(XLOOKUP($Q674,'Threshold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Chart'!$B$1:$S$1,0)))),base,IF(OR(cat="Status",pow=0),0,FLOOR(FLOOR(FLOOR((2*XLOOKUP($Q674,'Threshold Summary'!$Y:$Y,'Threshold Summary'!$L:$L,"")/5+2)*pow*atk/def)/50)+2)),modifier,stab*eff,AVERAGE(ARRAYFORMULA(FLOOR(base*modifier*SEQUENCE(16,1,85,1)/100)))),0)</f>
        <v/>
      </c>
      <c r="M674" s="3">
        <f>IFERROR(LET(mtype,XLOOKUP($D674,'Move Editor'!$B:$B,'Move Editor'!$C:$C,""),cat,XLOOKUP($D674,'Move Editor'!$B:$B,'Move Editor'!$D:$D,""),pow,XLOOKUP($D674,'Move Editor'!$B:$B,'Move Editor'!$E:$E,0),acc,XLOOKUP($D674,'Move Editor'!$B:$B,'Move Editor'!$F:$F,100),atk,IF(cat="Physical",FLOOR((FLOOR(((2*XLOOKUP(XLOOKUP($Q674,'Threshold Summary'!$Y:$Y,'Threshold Summary'!$K:$K,""),'Pokemon Editor'!$A:$A,'Pokemon Editor'!$F:$F,0)+31+FLOOR(XLOOKUP($Q674,'Threshold Summary'!$Y:$Y,'Threshold Summary'!$P:$P,"")/4))*XLOOKUP($Q674,'Threshold Summary'!$Y:$Y,'Threshold Summary'!$L:$L,""))/100)+5)*XLOOKUP(XLOOKUP($Q674,'Threshold Summary'!$Y:$Y,'Threshold Summary'!$M:$M,""),'Nature Editor'!$A:$A,'Nature Editor'!$B:$B,1)),FLOOR((FLOOR(((2*XLOOKUP(XLOOKUP($Q674,'Threshold Summary'!$Y:$Y,'Threshold Summary'!$K:$K,""),'Pokemon Editor'!$A:$A,'Pokemon Editor'!$H:$H,0)+31+FLOOR(XLOOKUP($Q674,'Threshold Summary'!$Y:$Y,'Threshold Summary'!$R:$R,"")/4))*XLOOKUP($Q674,'Threshold Summary'!$Y:$Y,'Threshold Summary'!$L:$L,""))/100)+5)*XLOOKUP(XLOOKUP($Q674,'Threshold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Editor'!$E:$E,1))),stab,IF(OR(mtype=XLOOKUP(XLOOKUP($Q674,'Threshold Summary'!$Y:$Y,'Threshold Summary'!$K:$K,""),'Pokemon Editor'!$A:$A,'Pokemon Editor'!$C:$C,""),mtype=XLOOKUP(XLOOKUP($Q674,'Threshold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Chart'!$B$1:$S$1,0)))),base,IF(OR(cat="Status",pow=0),0,FLOOR(FLOOR(FLOOR((2*XLOOKUP($Q674,'Threshold Summary'!$Y:$Y,'Threshold Summary'!$L:$L,"")/5+2)*pow*atk/def)/50)+2)),modifier,stab*eff,AVERAGE(ARRAYFORMULA(FLOOR(base*modifier*SEQUENCE(16,1,85,1)/100)))*MIN(1,acc/100)),0)</f>
        <v/>
      </c>
      <c r="N674" s="4">
        <f>IFERROR(LET(mtype,XLOOKUP($D674,'Move Editor'!$B:$B,'Move Editor'!$C:$C,""),cat,XLOOKUP($D674,'Move Editor'!$B:$B,'Move Editor'!$D:$D,""),pow,XLOOKUP($D674,'Move Editor'!$B:$B,'Move Editor'!$E:$E,0),acc,XLOOKUP($D674,'Move Editor'!$B:$B,'Move Editor'!$F:$F,100),atk,IF(cat="Physical",FLOOR((FLOOR(((2*XLOOKUP(XLOOKUP($Q674,'Threshold Summary'!$Y:$Y,'Threshold Summary'!$K:$K,""),'Pokemon Editor'!$A:$A,'Pokemon Editor'!$F:$F,0)+31+FLOOR(XLOOKUP($Q674,'Threshold Summary'!$Y:$Y,'Threshold Summary'!$P:$P,"")/4))*XLOOKUP($Q674,'Threshold Summary'!$Y:$Y,'Threshold Summary'!$L:$L,""))/100)+5)*XLOOKUP(XLOOKUP($Q674,'Threshold Summary'!$Y:$Y,'Threshold Summary'!$M:$M,""),'Nature Editor'!$A:$A,'Nature Editor'!$B:$B,1)),FLOOR((FLOOR(((2*XLOOKUP(XLOOKUP($Q674,'Threshold Summary'!$Y:$Y,'Threshold Summary'!$K:$K,""),'Pokemon Editor'!$A:$A,'Pokemon Editor'!$H:$H,0)+31+FLOOR(XLOOKUP($Q674,'Threshold Summary'!$Y:$Y,'Threshold Summary'!$R:$R,"")/4))*XLOOKUP($Q674,'Threshold Summary'!$Y:$Y,'Threshold Summary'!$L:$L,""))/100)+5)*XLOOKUP(XLOOKUP($Q674,'Threshold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Editor'!$E:$E,1))),stab,IF(OR(mtype=XLOOKUP(XLOOKUP($Q674,'Threshold Summary'!$Y:$Y,'Threshold Summary'!$K:$K,""),'Pokemon Editor'!$A:$A,'Pokemon Editor'!$C:$C,""),mtype=XLOOKUP(XLOOKUP($Q674,'Threshold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Chart'!$B$1:$S$1,0)))),base,IF(OR(cat="Status",pow=0),0,FLOOR(FLOOR(FLOOR((2*XLOOKUP($Q674,'Threshold Summary'!$Y:$Y,'Threshold Summary'!$L:$L,"")/5+2)*pow*atk/def)/50)+2)),modifier,stab*eff,AVERAGE(ARRAYFORMULA(FLOOR(base*modifier*SEQUENCE(16,1,85,1)/100)))/(FLOOR(((2*XLOOKUP('Boss Editor'!$C$4,'Pokemon Editor'!$A:$A,'Pokemon Editor'!$E:$E,0)+31+FLOOR('Boss Editor'!$G$4/4))*'Boss Editor'!$D$4)/100)+'Boss Editor'!$D$4+10)),0)</f>
        <v/>
      </c>
      <c r="O674" s="3">
        <f>IF(N674&gt;=1,"OHKO",IF(N674&gt;=0.5,"2HKO",IF(N674&gt;=0.333,"3HKO",IF(N674&gt;=0.25,"4HKO","5HKO+"))))</f>
        <v/>
      </c>
      <c r="P674" s="3" t="inlineStr">
        <is>
          <t>Live from editable databases</t>
        </is>
      </c>
      <c r="Q674" s="3" t="inlineStr">
        <is>
          <t>SPECIES_PHANTUMP</t>
        </is>
      </c>
      <c r="R674" s="3" t="n">
        <v>1</v>
      </c>
    </row>
    <row r="675">
      <c r="A675" s="3">
        <f>XLOOKUP($Q675,'Threshold Summary'!$Y:$Y,'Threshold Summary'!$A:$A,"")</f>
        <v/>
      </c>
      <c r="B675" s="3">
        <f>XLOOKUP($Q675,'Threshold Summary'!$Y:$Y,'Threshold Summary'!$M:$M,"")</f>
        <v/>
      </c>
      <c r="C675" s="3">
        <f>XLOOKUP($Q675,'Threshold Summary'!$Y:$Y,'Threshold Summary'!$N:$N,"")</f>
        <v/>
      </c>
      <c r="D675" s="3">
        <f>IFERROR(INDEX(FILTER('Learnset Editor'!$D$2:$D,'Learnset Editor'!$A$2:$A=XLOOKUP($Q675,'Threshold Summary'!$Y:$Y,'Threshold Summary'!$K:$K,""),'Learnset Editor'!$C$2:$C&lt;=XLOOKUP($Q675,'Threshold Summary'!$Y:$Y,'Threshold Summary'!$L:$L,"")),$R675),"")</f>
        <v/>
      </c>
      <c r="E675" s="3">
        <f>XLOOKUP(D675,'Move Editor'!$B:$B,'Move Editor'!$C:$C,"")</f>
        <v/>
      </c>
      <c r="F675" s="3">
        <f>XLOOKUP(D675,'Move Editor'!$B:$B,'Move Editor'!$D:$D,"")</f>
        <v/>
      </c>
      <c r="G675" s="3">
        <f>XLOOKUP(D675,'Move Editor'!$B:$B,'Move Editor'!$E:$E,0)</f>
        <v/>
      </c>
      <c r="H675" s="3">
        <f>XLOOKUP(D675,'Move Editor'!$B:$B,'Move Editor'!$F:$F,0)</f>
        <v/>
      </c>
      <c r="I675" s="3">
        <f>(INDEX('Type Chart'!$B:$S,MATCH(E675,'Type Chart'!$A:$A,0),MATCH(XLOOKUP('Boss Editor'!$C$4,'Pokemon Editor'!$A:$A,'Pokemon Editor'!$C:$C,""),'Type Chart'!$B$1:$S$1,0))*IF(XLOOKUP('Boss Editor'!$C$4,'Pokemon Editor'!$A:$A,'Pokemon Editor'!$D:$D,"")="",1,INDEX('Type Chart'!$B:$S,MATCH(E675,'Type Chart'!$A:$A,0),MATCH(XLOOKUP('Boss Editor'!$C$4,'Pokemon Editor'!$A:$A,'Pokemon Editor'!$D:$D,""),'Type Chart'!$B$1:$S$1,0))))</f>
        <v/>
      </c>
      <c r="J675" s="3">
        <f>IFERROR(LET(mtype,XLOOKUP($D675,'Move Editor'!$B:$B,'Move Editor'!$C:$C,""),cat,XLOOKUP($D675,'Move Editor'!$B:$B,'Move Editor'!$D:$D,""),pow,XLOOKUP($D675,'Move Editor'!$B:$B,'Move Editor'!$E:$E,0),acc,XLOOKUP($D675,'Move Editor'!$B:$B,'Move Editor'!$F:$F,100),atk,IF(cat="Physical",FLOOR((FLOOR(((2*XLOOKUP(XLOOKUP($Q675,'Threshold Summary'!$Y:$Y,'Threshold Summary'!$K:$K,""),'Pokemon Editor'!$A:$A,'Pokemon Editor'!$F:$F,0)+31+FLOOR(XLOOKUP($Q675,'Threshold Summary'!$Y:$Y,'Threshold Summary'!$P:$P,"")/4))*XLOOKUP($Q675,'Threshold Summary'!$Y:$Y,'Threshold Summary'!$L:$L,""))/100)+5)*XLOOKUP(XLOOKUP($Q675,'Threshold Summary'!$Y:$Y,'Threshold Summary'!$M:$M,""),'Nature Editor'!$A:$A,'Nature Editor'!$B:$B,1)),FLOOR((FLOOR(((2*XLOOKUP(XLOOKUP($Q675,'Threshold Summary'!$Y:$Y,'Threshold Summary'!$K:$K,""),'Pokemon Editor'!$A:$A,'Pokemon Editor'!$H:$H,0)+31+FLOOR(XLOOKUP($Q675,'Threshold Summary'!$Y:$Y,'Threshold Summary'!$R:$R,"")/4))*XLOOKUP($Q675,'Threshold Summary'!$Y:$Y,'Threshold Summary'!$L:$L,""))/100)+5)*XLOOKUP(XLOOKUP($Q675,'Threshold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Editor'!$E:$E,1))),stab,IF(OR(mtype=XLOOKUP(XLOOKUP($Q675,'Threshold Summary'!$Y:$Y,'Threshold Summary'!$K:$K,""),'Pokemon Editor'!$A:$A,'Pokemon Editor'!$C:$C,""),mtype=XLOOKUP(XLOOKUP($Q675,'Threshold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Chart'!$B$1:$S$1,0)))),base,IF(OR(cat="Status",pow=0),0,FLOOR(FLOOR(FLOOR((2*XLOOKUP($Q675,'Threshold Summary'!$Y:$Y,'Threshold Summary'!$L:$L,"")/5+2)*pow*atk/def)/50)+2)),modifier,stab*eff,FLOOR(base*modifier*0.85)),0)</f>
        <v/>
      </c>
      <c r="K675" s="3">
        <f>IFERROR(LET(mtype,XLOOKUP($D675,'Move Editor'!$B:$B,'Move Editor'!$C:$C,""),cat,XLOOKUP($D675,'Move Editor'!$B:$B,'Move Editor'!$D:$D,""),pow,XLOOKUP($D675,'Move Editor'!$B:$B,'Move Editor'!$E:$E,0),acc,XLOOKUP($D675,'Move Editor'!$B:$B,'Move Editor'!$F:$F,100),atk,IF(cat="Physical",FLOOR((FLOOR(((2*XLOOKUP(XLOOKUP($Q675,'Threshold Summary'!$Y:$Y,'Threshold Summary'!$K:$K,""),'Pokemon Editor'!$A:$A,'Pokemon Editor'!$F:$F,0)+31+FLOOR(XLOOKUP($Q675,'Threshold Summary'!$Y:$Y,'Threshold Summary'!$P:$P,"")/4))*XLOOKUP($Q675,'Threshold Summary'!$Y:$Y,'Threshold Summary'!$L:$L,""))/100)+5)*XLOOKUP(XLOOKUP($Q675,'Threshold Summary'!$Y:$Y,'Threshold Summary'!$M:$M,""),'Nature Editor'!$A:$A,'Nature Editor'!$B:$B,1)),FLOOR((FLOOR(((2*XLOOKUP(XLOOKUP($Q675,'Threshold Summary'!$Y:$Y,'Threshold Summary'!$K:$K,""),'Pokemon Editor'!$A:$A,'Pokemon Editor'!$H:$H,0)+31+FLOOR(XLOOKUP($Q675,'Threshold Summary'!$Y:$Y,'Threshold Summary'!$R:$R,"")/4))*XLOOKUP($Q675,'Threshold Summary'!$Y:$Y,'Threshold Summary'!$L:$L,""))/100)+5)*XLOOKUP(XLOOKUP($Q675,'Threshold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Editor'!$E:$E,1))),stab,IF(OR(mtype=XLOOKUP(XLOOKUP($Q675,'Threshold Summary'!$Y:$Y,'Threshold Summary'!$K:$K,""),'Pokemon Editor'!$A:$A,'Pokemon Editor'!$C:$C,""),mtype=XLOOKUP(XLOOKUP($Q675,'Threshold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Chart'!$B$1:$S$1,0)))),base,IF(OR(cat="Status",pow=0),0,FLOOR(FLOOR(FLOOR((2*XLOOKUP($Q675,'Threshold Summary'!$Y:$Y,'Threshold Summary'!$L:$L,"")/5+2)*pow*atk/def)/50)+2)),modifier,stab*eff,FLOOR(base*modifier)),0)</f>
        <v/>
      </c>
      <c r="L675" s="3">
        <f>IFERROR(LET(mtype,XLOOKUP($D675,'Move Editor'!$B:$B,'Move Editor'!$C:$C,""),cat,XLOOKUP($D675,'Move Editor'!$B:$B,'Move Editor'!$D:$D,""),pow,XLOOKUP($D675,'Move Editor'!$B:$B,'Move Editor'!$E:$E,0),acc,XLOOKUP($D675,'Move Editor'!$B:$B,'Move Editor'!$F:$F,100),atk,IF(cat="Physical",FLOOR((FLOOR(((2*XLOOKUP(XLOOKUP($Q675,'Threshold Summary'!$Y:$Y,'Threshold Summary'!$K:$K,""),'Pokemon Editor'!$A:$A,'Pokemon Editor'!$F:$F,0)+31+FLOOR(XLOOKUP($Q675,'Threshold Summary'!$Y:$Y,'Threshold Summary'!$P:$P,"")/4))*XLOOKUP($Q675,'Threshold Summary'!$Y:$Y,'Threshold Summary'!$L:$L,""))/100)+5)*XLOOKUP(XLOOKUP($Q675,'Threshold Summary'!$Y:$Y,'Threshold Summary'!$M:$M,""),'Nature Editor'!$A:$A,'Nature Editor'!$B:$B,1)),FLOOR((FLOOR(((2*XLOOKUP(XLOOKUP($Q675,'Threshold Summary'!$Y:$Y,'Threshold Summary'!$K:$K,""),'Pokemon Editor'!$A:$A,'Pokemon Editor'!$H:$H,0)+31+FLOOR(XLOOKUP($Q675,'Threshold Summary'!$Y:$Y,'Threshold Summary'!$R:$R,"")/4))*XLOOKUP($Q675,'Threshold Summary'!$Y:$Y,'Threshold Summary'!$L:$L,""))/100)+5)*XLOOKUP(XLOOKUP($Q675,'Threshold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Editor'!$E:$E,1))),stab,IF(OR(mtype=XLOOKUP(XLOOKUP($Q675,'Threshold Summary'!$Y:$Y,'Threshold Summary'!$K:$K,""),'Pokemon Editor'!$A:$A,'Pokemon Editor'!$C:$C,""),mtype=XLOOKUP(XLOOKUP($Q675,'Threshold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Chart'!$B$1:$S$1,0)))),base,IF(OR(cat="Status",pow=0),0,FLOOR(FLOOR(FLOOR((2*XLOOKUP($Q675,'Threshold Summary'!$Y:$Y,'Threshold Summary'!$L:$L,"")/5+2)*pow*atk/def)/50)+2)),modifier,stab*eff,AVERAGE(ARRAYFORMULA(FLOOR(base*modifier*SEQUENCE(16,1,85,1)/100)))),0)</f>
        <v/>
      </c>
      <c r="M675" s="3">
        <f>IFERROR(LET(mtype,XLOOKUP($D675,'Move Editor'!$B:$B,'Move Editor'!$C:$C,""),cat,XLOOKUP($D675,'Move Editor'!$B:$B,'Move Editor'!$D:$D,""),pow,XLOOKUP($D675,'Move Editor'!$B:$B,'Move Editor'!$E:$E,0),acc,XLOOKUP($D675,'Move Editor'!$B:$B,'Move Editor'!$F:$F,100),atk,IF(cat="Physical",FLOOR((FLOOR(((2*XLOOKUP(XLOOKUP($Q675,'Threshold Summary'!$Y:$Y,'Threshold Summary'!$K:$K,""),'Pokemon Editor'!$A:$A,'Pokemon Editor'!$F:$F,0)+31+FLOOR(XLOOKUP($Q675,'Threshold Summary'!$Y:$Y,'Threshold Summary'!$P:$P,"")/4))*XLOOKUP($Q675,'Threshold Summary'!$Y:$Y,'Threshold Summary'!$L:$L,""))/100)+5)*XLOOKUP(XLOOKUP($Q675,'Threshold Summary'!$Y:$Y,'Threshold Summary'!$M:$M,""),'Nature Editor'!$A:$A,'Nature Editor'!$B:$B,1)),FLOOR((FLOOR(((2*XLOOKUP(XLOOKUP($Q675,'Threshold Summary'!$Y:$Y,'Threshold Summary'!$K:$K,""),'Pokemon Editor'!$A:$A,'Pokemon Editor'!$H:$H,0)+31+FLOOR(XLOOKUP($Q675,'Threshold Summary'!$Y:$Y,'Threshold Summary'!$R:$R,"")/4))*XLOOKUP($Q675,'Threshold Summary'!$Y:$Y,'Threshold Summary'!$L:$L,""))/100)+5)*XLOOKUP(XLOOKUP($Q675,'Threshold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Editor'!$E:$E,1))),stab,IF(OR(mtype=XLOOKUP(XLOOKUP($Q675,'Threshold Summary'!$Y:$Y,'Threshold Summary'!$K:$K,""),'Pokemon Editor'!$A:$A,'Pokemon Editor'!$C:$C,""),mtype=XLOOKUP(XLOOKUP($Q675,'Threshold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Chart'!$B$1:$S$1,0)))),base,IF(OR(cat="Status",pow=0),0,FLOOR(FLOOR(FLOOR((2*XLOOKUP($Q675,'Threshold Summary'!$Y:$Y,'Threshold Summary'!$L:$L,"")/5+2)*pow*atk/def)/50)+2)),modifier,stab*eff,AVERAGE(ARRAYFORMULA(FLOOR(base*modifier*SEQUENCE(16,1,85,1)/100)))*MIN(1,acc/100)),0)</f>
        <v/>
      </c>
      <c r="N675" s="4">
        <f>IFERROR(LET(mtype,XLOOKUP($D675,'Move Editor'!$B:$B,'Move Editor'!$C:$C,""),cat,XLOOKUP($D675,'Move Editor'!$B:$B,'Move Editor'!$D:$D,""),pow,XLOOKUP($D675,'Move Editor'!$B:$B,'Move Editor'!$E:$E,0),acc,XLOOKUP($D675,'Move Editor'!$B:$B,'Move Editor'!$F:$F,100),atk,IF(cat="Physical",FLOOR((FLOOR(((2*XLOOKUP(XLOOKUP($Q675,'Threshold Summary'!$Y:$Y,'Threshold Summary'!$K:$K,""),'Pokemon Editor'!$A:$A,'Pokemon Editor'!$F:$F,0)+31+FLOOR(XLOOKUP($Q675,'Threshold Summary'!$Y:$Y,'Threshold Summary'!$P:$P,"")/4))*XLOOKUP($Q675,'Threshold Summary'!$Y:$Y,'Threshold Summary'!$L:$L,""))/100)+5)*XLOOKUP(XLOOKUP($Q675,'Threshold Summary'!$Y:$Y,'Threshold Summary'!$M:$M,""),'Nature Editor'!$A:$A,'Nature Editor'!$B:$B,1)),FLOOR((FLOOR(((2*XLOOKUP(XLOOKUP($Q675,'Threshold Summary'!$Y:$Y,'Threshold Summary'!$K:$K,""),'Pokemon Editor'!$A:$A,'Pokemon Editor'!$H:$H,0)+31+FLOOR(XLOOKUP($Q675,'Threshold Summary'!$Y:$Y,'Threshold Summary'!$R:$R,"")/4))*XLOOKUP($Q675,'Threshold Summary'!$Y:$Y,'Threshold Summary'!$L:$L,""))/100)+5)*XLOOKUP(XLOOKUP($Q675,'Threshold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Editor'!$E:$E,1))),stab,IF(OR(mtype=XLOOKUP(XLOOKUP($Q675,'Threshold Summary'!$Y:$Y,'Threshold Summary'!$K:$K,""),'Pokemon Editor'!$A:$A,'Pokemon Editor'!$C:$C,""),mtype=XLOOKUP(XLOOKUP($Q675,'Threshold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Chart'!$B$1:$S$1,0)))),base,IF(OR(cat="Status",pow=0),0,FLOOR(FLOOR(FLOOR((2*XLOOKUP($Q675,'Threshold Summary'!$Y:$Y,'Threshold Summary'!$L:$L,"")/5+2)*pow*atk/def)/50)+2)),modifier,stab*eff,AVERAGE(ARRAYFORMULA(FLOOR(base*modifier*SEQUENCE(16,1,85,1)/100)))/(FLOOR(((2*XLOOKUP('Boss Editor'!$C$4,'Pokemon Editor'!$A:$A,'Pokemon Editor'!$E:$E,0)+31+FLOOR('Boss Editor'!$G$4/4))*'Boss Editor'!$D$4)/100)+'Boss Editor'!$D$4+10)),0)</f>
        <v/>
      </c>
      <c r="O675" s="3">
        <f>IF(N675&gt;=1,"OHKO",IF(N675&gt;=0.5,"2HKO",IF(N675&gt;=0.333,"3HKO",IF(N675&gt;=0.25,"4HKO","5HKO+"))))</f>
        <v/>
      </c>
      <c r="P675" s="3" t="inlineStr">
        <is>
          <t>Live from editable databases</t>
        </is>
      </c>
      <c r="Q675" s="3" t="inlineStr">
        <is>
          <t>SPECIES_PHANTUMP</t>
        </is>
      </c>
      <c r="R675" s="3" t="n">
        <v>2</v>
      </c>
    </row>
    <row r="676">
      <c r="A676" s="3">
        <f>XLOOKUP($Q676,'Threshold Summary'!$Y:$Y,'Threshold Summary'!$A:$A,"")</f>
        <v/>
      </c>
      <c r="B676" s="3">
        <f>XLOOKUP($Q676,'Threshold Summary'!$Y:$Y,'Threshold Summary'!$M:$M,"")</f>
        <v/>
      </c>
      <c r="C676" s="3">
        <f>XLOOKUP($Q676,'Threshold Summary'!$Y:$Y,'Threshold Summary'!$N:$N,"")</f>
        <v/>
      </c>
      <c r="D676" s="3">
        <f>IFERROR(INDEX(FILTER('Learnset Editor'!$D$2:$D,'Learnset Editor'!$A$2:$A=XLOOKUP($Q676,'Threshold Summary'!$Y:$Y,'Threshold Summary'!$K:$K,""),'Learnset Editor'!$C$2:$C&lt;=XLOOKUP($Q676,'Threshold Summary'!$Y:$Y,'Threshold Summary'!$L:$L,"")),$R676),"")</f>
        <v/>
      </c>
      <c r="E676" s="3">
        <f>XLOOKUP(D676,'Move Editor'!$B:$B,'Move Editor'!$C:$C,"")</f>
        <v/>
      </c>
      <c r="F676" s="3">
        <f>XLOOKUP(D676,'Move Editor'!$B:$B,'Move Editor'!$D:$D,"")</f>
        <v/>
      </c>
      <c r="G676" s="3">
        <f>XLOOKUP(D676,'Move Editor'!$B:$B,'Move Editor'!$E:$E,0)</f>
        <v/>
      </c>
      <c r="H676" s="3">
        <f>XLOOKUP(D676,'Move Editor'!$B:$B,'Move Editor'!$F:$F,0)</f>
        <v/>
      </c>
      <c r="I676" s="3">
        <f>(INDEX('Type Chart'!$B:$S,MATCH(E676,'Type Chart'!$A:$A,0),MATCH(XLOOKUP('Boss Editor'!$C$4,'Pokemon Editor'!$A:$A,'Pokemon Editor'!$C:$C,""),'Type Chart'!$B$1:$S$1,0))*IF(XLOOKUP('Boss Editor'!$C$4,'Pokemon Editor'!$A:$A,'Pokemon Editor'!$D:$D,"")="",1,INDEX('Type Chart'!$B:$S,MATCH(E676,'Type Chart'!$A:$A,0),MATCH(XLOOKUP('Boss Editor'!$C$4,'Pokemon Editor'!$A:$A,'Pokemon Editor'!$D:$D,""),'Type Chart'!$B$1:$S$1,0))))</f>
        <v/>
      </c>
      <c r="J676" s="3">
        <f>IFERROR(LET(mtype,XLOOKUP($D676,'Move Editor'!$B:$B,'Move Editor'!$C:$C,""),cat,XLOOKUP($D676,'Move Editor'!$B:$B,'Move Editor'!$D:$D,""),pow,XLOOKUP($D676,'Move Editor'!$B:$B,'Move Editor'!$E:$E,0),acc,XLOOKUP($D676,'Move Editor'!$B:$B,'Move Editor'!$F:$F,100),atk,IF(cat="Physical",FLOOR((FLOOR(((2*XLOOKUP(XLOOKUP($Q676,'Threshold Summary'!$Y:$Y,'Threshold Summary'!$K:$K,""),'Pokemon Editor'!$A:$A,'Pokemon Editor'!$F:$F,0)+31+FLOOR(XLOOKUP($Q676,'Threshold Summary'!$Y:$Y,'Threshold Summary'!$P:$P,"")/4))*XLOOKUP($Q676,'Threshold Summary'!$Y:$Y,'Threshold Summary'!$L:$L,""))/100)+5)*XLOOKUP(XLOOKUP($Q676,'Threshold Summary'!$Y:$Y,'Threshold Summary'!$M:$M,""),'Nature Editor'!$A:$A,'Nature Editor'!$B:$B,1)),FLOOR((FLOOR(((2*XLOOKUP(XLOOKUP($Q676,'Threshold Summary'!$Y:$Y,'Threshold Summary'!$K:$K,""),'Pokemon Editor'!$A:$A,'Pokemon Editor'!$H:$H,0)+31+FLOOR(XLOOKUP($Q676,'Threshold Summary'!$Y:$Y,'Threshold Summary'!$R:$R,"")/4))*XLOOKUP($Q676,'Threshold Summary'!$Y:$Y,'Threshold Summary'!$L:$L,""))/100)+5)*XLOOKUP(XLOOKUP($Q676,'Threshold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Editor'!$E:$E,1))),stab,IF(OR(mtype=XLOOKUP(XLOOKUP($Q676,'Threshold Summary'!$Y:$Y,'Threshold Summary'!$K:$K,""),'Pokemon Editor'!$A:$A,'Pokemon Editor'!$C:$C,""),mtype=XLOOKUP(XLOOKUP($Q676,'Threshold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Chart'!$B$1:$S$1,0)))),base,IF(OR(cat="Status",pow=0),0,FLOOR(FLOOR(FLOOR((2*XLOOKUP($Q676,'Threshold Summary'!$Y:$Y,'Threshold Summary'!$L:$L,"")/5+2)*pow*atk/def)/50)+2)),modifier,stab*eff,FLOOR(base*modifier*0.85)),0)</f>
        <v/>
      </c>
      <c r="K676" s="3">
        <f>IFERROR(LET(mtype,XLOOKUP($D676,'Move Editor'!$B:$B,'Move Editor'!$C:$C,""),cat,XLOOKUP($D676,'Move Editor'!$B:$B,'Move Editor'!$D:$D,""),pow,XLOOKUP($D676,'Move Editor'!$B:$B,'Move Editor'!$E:$E,0),acc,XLOOKUP($D676,'Move Editor'!$B:$B,'Move Editor'!$F:$F,100),atk,IF(cat="Physical",FLOOR((FLOOR(((2*XLOOKUP(XLOOKUP($Q676,'Threshold Summary'!$Y:$Y,'Threshold Summary'!$K:$K,""),'Pokemon Editor'!$A:$A,'Pokemon Editor'!$F:$F,0)+31+FLOOR(XLOOKUP($Q676,'Threshold Summary'!$Y:$Y,'Threshold Summary'!$P:$P,"")/4))*XLOOKUP($Q676,'Threshold Summary'!$Y:$Y,'Threshold Summary'!$L:$L,""))/100)+5)*XLOOKUP(XLOOKUP($Q676,'Threshold Summary'!$Y:$Y,'Threshold Summary'!$M:$M,""),'Nature Editor'!$A:$A,'Nature Editor'!$B:$B,1)),FLOOR((FLOOR(((2*XLOOKUP(XLOOKUP($Q676,'Threshold Summary'!$Y:$Y,'Threshold Summary'!$K:$K,""),'Pokemon Editor'!$A:$A,'Pokemon Editor'!$H:$H,0)+31+FLOOR(XLOOKUP($Q676,'Threshold Summary'!$Y:$Y,'Threshold Summary'!$R:$R,"")/4))*XLOOKUP($Q676,'Threshold Summary'!$Y:$Y,'Threshold Summary'!$L:$L,""))/100)+5)*XLOOKUP(XLOOKUP($Q676,'Threshold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Editor'!$E:$E,1))),stab,IF(OR(mtype=XLOOKUP(XLOOKUP($Q676,'Threshold Summary'!$Y:$Y,'Threshold Summary'!$K:$K,""),'Pokemon Editor'!$A:$A,'Pokemon Editor'!$C:$C,""),mtype=XLOOKUP(XLOOKUP($Q676,'Threshold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Chart'!$B$1:$S$1,0)))),base,IF(OR(cat="Status",pow=0),0,FLOOR(FLOOR(FLOOR((2*XLOOKUP($Q676,'Threshold Summary'!$Y:$Y,'Threshold Summary'!$L:$L,"")/5+2)*pow*atk/def)/50)+2)),modifier,stab*eff,FLOOR(base*modifier)),0)</f>
        <v/>
      </c>
      <c r="L676" s="3">
        <f>IFERROR(LET(mtype,XLOOKUP($D676,'Move Editor'!$B:$B,'Move Editor'!$C:$C,""),cat,XLOOKUP($D676,'Move Editor'!$B:$B,'Move Editor'!$D:$D,""),pow,XLOOKUP($D676,'Move Editor'!$B:$B,'Move Editor'!$E:$E,0),acc,XLOOKUP($D676,'Move Editor'!$B:$B,'Move Editor'!$F:$F,100),atk,IF(cat="Physical",FLOOR((FLOOR(((2*XLOOKUP(XLOOKUP($Q676,'Threshold Summary'!$Y:$Y,'Threshold Summary'!$K:$K,""),'Pokemon Editor'!$A:$A,'Pokemon Editor'!$F:$F,0)+31+FLOOR(XLOOKUP($Q676,'Threshold Summary'!$Y:$Y,'Threshold Summary'!$P:$P,"")/4))*XLOOKUP($Q676,'Threshold Summary'!$Y:$Y,'Threshold Summary'!$L:$L,""))/100)+5)*XLOOKUP(XLOOKUP($Q676,'Threshold Summary'!$Y:$Y,'Threshold Summary'!$M:$M,""),'Nature Editor'!$A:$A,'Nature Editor'!$B:$B,1)),FLOOR((FLOOR(((2*XLOOKUP(XLOOKUP($Q676,'Threshold Summary'!$Y:$Y,'Threshold Summary'!$K:$K,""),'Pokemon Editor'!$A:$A,'Pokemon Editor'!$H:$H,0)+31+FLOOR(XLOOKUP($Q676,'Threshold Summary'!$Y:$Y,'Threshold Summary'!$R:$R,"")/4))*XLOOKUP($Q676,'Threshold Summary'!$Y:$Y,'Threshold Summary'!$L:$L,""))/100)+5)*XLOOKUP(XLOOKUP($Q676,'Threshold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Editor'!$E:$E,1))),stab,IF(OR(mtype=XLOOKUP(XLOOKUP($Q676,'Threshold Summary'!$Y:$Y,'Threshold Summary'!$K:$K,""),'Pokemon Editor'!$A:$A,'Pokemon Editor'!$C:$C,""),mtype=XLOOKUP(XLOOKUP($Q676,'Threshold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Chart'!$B$1:$S$1,0)))),base,IF(OR(cat="Status",pow=0),0,FLOOR(FLOOR(FLOOR((2*XLOOKUP($Q676,'Threshold Summary'!$Y:$Y,'Threshold Summary'!$L:$L,"")/5+2)*pow*atk/def)/50)+2)),modifier,stab*eff,AVERAGE(ARRAYFORMULA(FLOOR(base*modifier*SEQUENCE(16,1,85,1)/100)))),0)</f>
        <v/>
      </c>
      <c r="M676" s="3">
        <f>IFERROR(LET(mtype,XLOOKUP($D676,'Move Editor'!$B:$B,'Move Editor'!$C:$C,""),cat,XLOOKUP($D676,'Move Editor'!$B:$B,'Move Editor'!$D:$D,""),pow,XLOOKUP($D676,'Move Editor'!$B:$B,'Move Editor'!$E:$E,0),acc,XLOOKUP($D676,'Move Editor'!$B:$B,'Move Editor'!$F:$F,100),atk,IF(cat="Physical",FLOOR((FLOOR(((2*XLOOKUP(XLOOKUP($Q676,'Threshold Summary'!$Y:$Y,'Threshold Summary'!$K:$K,""),'Pokemon Editor'!$A:$A,'Pokemon Editor'!$F:$F,0)+31+FLOOR(XLOOKUP($Q676,'Threshold Summary'!$Y:$Y,'Threshold Summary'!$P:$P,"")/4))*XLOOKUP($Q676,'Threshold Summary'!$Y:$Y,'Threshold Summary'!$L:$L,""))/100)+5)*XLOOKUP(XLOOKUP($Q676,'Threshold Summary'!$Y:$Y,'Threshold Summary'!$M:$M,""),'Nature Editor'!$A:$A,'Nature Editor'!$B:$B,1)),FLOOR((FLOOR(((2*XLOOKUP(XLOOKUP($Q676,'Threshold Summary'!$Y:$Y,'Threshold Summary'!$K:$K,""),'Pokemon Editor'!$A:$A,'Pokemon Editor'!$H:$H,0)+31+FLOOR(XLOOKUP($Q676,'Threshold Summary'!$Y:$Y,'Threshold Summary'!$R:$R,"")/4))*XLOOKUP($Q676,'Threshold Summary'!$Y:$Y,'Threshold Summary'!$L:$L,""))/100)+5)*XLOOKUP(XLOOKUP($Q676,'Threshold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Editor'!$E:$E,1))),stab,IF(OR(mtype=XLOOKUP(XLOOKUP($Q676,'Threshold Summary'!$Y:$Y,'Threshold Summary'!$K:$K,""),'Pokemon Editor'!$A:$A,'Pokemon Editor'!$C:$C,""),mtype=XLOOKUP(XLOOKUP($Q676,'Threshold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Chart'!$B$1:$S$1,0)))),base,IF(OR(cat="Status",pow=0),0,FLOOR(FLOOR(FLOOR((2*XLOOKUP($Q676,'Threshold Summary'!$Y:$Y,'Threshold Summary'!$L:$L,"")/5+2)*pow*atk/def)/50)+2)),modifier,stab*eff,AVERAGE(ARRAYFORMULA(FLOOR(base*modifier*SEQUENCE(16,1,85,1)/100)))*MIN(1,acc/100)),0)</f>
        <v/>
      </c>
      <c r="N676" s="4">
        <f>IFERROR(LET(mtype,XLOOKUP($D676,'Move Editor'!$B:$B,'Move Editor'!$C:$C,""),cat,XLOOKUP($D676,'Move Editor'!$B:$B,'Move Editor'!$D:$D,""),pow,XLOOKUP($D676,'Move Editor'!$B:$B,'Move Editor'!$E:$E,0),acc,XLOOKUP($D676,'Move Editor'!$B:$B,'Move Editor'!$F:$F,100),atk,IF(cat="Physical",FLOOR((FLOOR(((2*XLOOKUP(XLOOKUP($Q676,'Threshold Summary'!$Y:$Y,'Threshold Summary'!$K:$K,""),'Pokemon Editor'!$A:$A,'Pokemon Editor'!$F:$F,0)+31+FLOOR(XLOOKUP($Q676,'Threshold Summary'!$Y:$Y,'Threshold Summary'!$P:$P,"")/4))*XLOOKUP($Q676,'Threshold Summary'!$Y:$Y,'Threshold Summary'!$L:$L,""))/100)+5)*XLOOKUP(XLOOKUP($Q676,'Threshold Summary'!$Y:$Y,'Threshold Summary'!$M:$M,""),'Nature Editor'!$A:$A,'Nature Editor'!$B:$B,1)),FLOOR((FLOOR(((2*XLOOKUP(XLOOKUP($Q676,'Threshold Summary'!$Y:$Y,'Threshold Summary'!$K:$K,""),'Pokemon Editor'!$A:$A,'Pokemon Editor'!$H:$H,0)+31+FLOOR(XLOOKUP($Q676,'Threshold Summary'!$Y:$Y,'Threshold Summary'!$R:$R,"")/4))*XLOOKUP($Q676,'Threshold Summary'!$Y:$Y,'Threshold Summary'!$L:$L,""))/100)+5)*XLOOKUP(XLOOKUP($Q676,'Threshold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Editor'!$E:$E,1))),stab,IF(OR(mtype=XLOOKUP(XLOOKUP($Q676,'Threshold Summary'!$Y:$Y,'Threshold Summary'!$K:$K,""),'Pokemon Editor'!$A:$A,'Pokemon Editor'!$C:$C,""),mtype=XLOOKUP(XLOOKUP($Q676,'Threshold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Chart'!$B$1:$S$1,0)))),base,IF(OR(cat="Status",pow=0),0,FLOOR(FLOOR(FLOOR((2*XLOOKUP($Q676,'Threshold Summary'!$Y:$Y,'Threshold Summary'!$L:$L,"")/5+2)*pow*atk/def)/50)+2)),modifier,stab*eff,AVERAGE(ARRAYFORMULA(FLOOR(base*modifier*SEQUENCE(16,1,85,1)/100)))/(FLOOR(((2*XLOOKUP('Boss Editor'!$C$4,'Pokemon Editor'!$A:$A,'Pokemon Editor'!$E:$E,0)+31+FLOOR('Boss Editor'!$G$4/4))*'Boss Editor'!$D$4)/100)+'Boss Editor'!$D$4+10)),0)</f>
        <v/>
      </c>
      <c r="O676" s="3">
        <f>IF(N676&gt;=1,"OHKO",IF(N676&gt;=0.5,"2HKO",IF(N676&gt;=0.333,"3HKO",IF(N676&gt;=0.25,"4HKO","5HKO+"))))</f>
        <v/>
      </c>
      <c r="P676" s="3" t="inlineStr">
        <is>
          <t>Live from editable databases</t>
        </is>
      </c>
      <c r="Q676" s="3" t="inlineStr">
        <is>
          <t>SPECIES_PHANTUMP</t>
        </is>
      </c>
      <c r="R676" s="3" t="n">
        <v>3</v>
      </c>
    </row>
    <row r="677">
      <c r="A677" s="3">
        <f>XLOOKUP($Q677,'Threshold Summary'!$Y:$Y,'Threshold Summary'!$A:$A,"")</f>
        <v/>
      </c>
      <c r="B677" s="3">
        <f>XLOOKUP($Q677,'Threshold Summary'!$Y:$Y,'Threshold Summary'!$M:$M,"")</f>
        <v/>
      </c>
      <c r="C677" s="3">
        <f>XLOOKUP($Q677,'Threshold Summary'!$Y:$Y,'Threshold Summary'!$N:$N,"")</f>
        <v/>
      </c>
      <c r="D677" s="3">
        <f>IFERROR(INDEX(FILTER('Learnset Editor'!$D$2:$D,'Learnset Editor'!$A$2:$A=XLOOKUP($Q677,'Threshold Summary'!$Y:$Y,'Threshold Summary'!$K:$K,""),'Learnset Editor'!$C$2:$C&lt;=XLOOKUP($Q677,'Threshold Summary'!$Y:$Y,'Threshold Summary'!$L:$L,"")),$R677),"")</f>
        <v/>
      </c>
      <c r="E677" s="3">
        <f>XLOOKUP(D677,'Move Editor'!$B:$B,'Move Editor'!$C:$C,"")</f>
        <v/>
      </c>
      <c r="F677" s="3">
        <f>XLOOKUP(D677,'Move Editor'!$B:$B,'Move Editor'!$D:$D,"")</f>
        <v/>
      </c>
      <c r="G677" s="3">
        <f>XLOOKUP(D677,'Move Editor'!$B:$B,'Move Editor'!$E:$E,0)</f>
        <v/>
      </c>
      <c r="H677" s="3">
        <f>XLOOKUP(D677,'Move Editor'!$B:$B,'Move Editor'!$F:$F,0)</f>
        <v/>
      </c>
      <c r="I677" s="3">
        <f>(INDEX('Type Chart'!$B:$S,MATCH(E677,'Type Chart'!$A:$A,0),MATCH(XLOOKUP('Boss Editor'!$C$4,'Pokemon Editor'!$A:$A,'Pokemon Editor'!$C:$C,""),'Type Chart'!$B$1:$S$1,0))*IF(XLOOKUP('Boss Editor'!$C$4,'Pokemon Editor'!$A:$A,'Pokemon Editor'!$D:$D,"")="",1,INDEX('Type Chart'!$B:$S,MATCH(E677,'Type Chart'!$A:$A,0),MATCH(XLOOKUP('Boss Editor'!$C$4,'Pokemon Editor'!$A:$A,'Pokemon Editor'!$D:$D,""),'Type Chart'!$B$1:$S$1,0))))</f>
        <v/>
      </c>
      <c r="J677" s="3">
        <f>IFERROR(LET(mtype,XLOOKUP($D677,'Move Editor'!$B:$B,'Move Editor'!$C:$C,""),cat,XLOOKUP($D677,'Move Editor'!$B:$B,'Move Editor'!$D:$D,""),pow,XLOOKUP($D677,'Move Editor'!$B:$B,'Move Editor'!$E:$E,0),acc,XLOOKUP($D677,'Move Editor'!$B:$B,'Move Editor'!$F:$F,100),atk,IF(cat="Physical",FLOOR((FLOOR(((2*XLOOKUP(XLOOKUP($Q677,'Threshold Summary'!$Y:$Y,'Threshold Summary'!$K:$K,""),'Pokemon Editor'!$A:$A,'Pokemon Editor'!$F:$F,0)+31+FLOOR(XLOOKUP($Q677,'Threshold Summary'!$Y:$Y,'Threshold Summary'!$P:$P,"")/4))*XLOOKUP($Q677,'Threshold Summary'!$Y:$Y,'Threshold Summary'!$L:$L,""))/100)+5)*XLOOKUP(XLOOKUP($Q677,'Threshold Summary'!$Y:$Y,'Threshold Summary'!$M:$M,""),'Nature Editor'!$A:$A,'Nature Editor'!$B:$B,1)),FLOOR((FLOOR(((2*XLOOKUP(XLOOKUP($Q677,'Threshold Summary'!$Y:$Y,'Threshold Summary'!$K:$K,""),'Pokemon Editor'!$A:$A,'Pokemon Editor'!$H:$H,0)+31+FLOOR(XLOOKUP($Q677,'Threshold Summary'!$Y:$Y,'Threshold Summary'!$R:$R,"")/4))*XLOOKUP($Q677,'Threshold Summary'!$Y:$Y,'Threshold Summary'!$L:$L,""))/100)+5)*XLOOKUP(XLOOKUP($Q677,'Threshold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Editor'!$E:$E,1))),stab,IF(OR(mtype=XLOOKUP(XLOOKUP($Q677,'Threshold Summary'!$Y:$Y,'Threshold Summary'!$K:$K,""),'Pokemon Editor'!$A:$A,'Pokemon Editor'!$C:$C,""),mtype=XLOOKUP(XLOOKUP($Q677,'Threshold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Chart'!$B$1:$S$1,0)))),base,IF(OR(cat="Status",pow=0),0,FLOOR(FLOOR(FLOOR((2*XLOOKUP($Q677,'Threshold Summary'!$Y:$Y,'Threshold Summary'!$L:$L,"")/5+2)*pow*atk/def)/50)+2)),modifier,stab*eff,FLOOR(base*modifier*0.85)),0)</f>
        <v/>
      </c>
      <c r="K677" s="3">
        <f>IFERROR(LET(mtype,XLOOKUP($D677,'Move Editor'!$B:$B,'Move Editor'!$C:$C,""),cat,XLOOKUP($D677,'Move Editor'!$B:$B,'Move Editor'!$D:$D,""),pow,XLOOKUP($D677,'Move Editor'!$B:$B,'Move Editor'!$E:$E,0),acc,XLOOKUP($D677,'Move Editor'!$B:$B,'Move Editor'!$F:$F,100),atk,IF(cat="Physical",FLOOR((FLOOR(((2*XLOOKUP(XLOOKUP($Q677,'Threshold Summary'!$Y:$Y,'Threshold Summary'!$K:$K,""),'Pokemon Editor'!$A:$A,'Pokemon Editor'!$F:$F,0)+31+FLOOR(XLOOKUP($Q677,'Threshold Summary'!$Y:$Y,'Threshold Summary'!$P:$P,"")/4))*XLOOKUP($Q677,'Threshold Summary'!$Y:$Y,'Threshold Summary'!$L:$L,""))/100)+5)*XLOOKUP(XLOOKUP($Q677,'Threshold Summary'!$Y:$Y,'Threshold Summary'!$M:$M,""),'Nature Editor'!$A:$A,'Nature Editor'!$B:$B,1)),FLOOR((FLOOR(((2*XLOOKUP(XLOOKUP($Q677,'Threshold Summary'!$Y:$Y,'Threshold Summary'!$K:$K,""),'Pokemon Editor'!$A:$A,'Pokemon Editor'!$H:$H,0)+31+FLOOR(XLOOKUP($Q677,'Threshold Summary'!$Y:$Y,'Threshold Summary'!$R:$R,"")/4))*XLOOKUP($Q677,'Threshold Summary'!$Y:$Y,'Threshold Summary'!$L:$L,""))/100)+5)*XLOOKUP(XLOOKUP($Q677,'Threshold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Editor'!$E:$E,1))),stab,IF(OR(mtype=XLOOKUP(XLOOKUP($Q677,'Threshold Summary'!$Y:$Y,'Threshold Summary'!$K:$K,""),'Pokemon Editor'!$A:$A,'Pokemon Editor'!$C:$C,""),mtype=XLOOKUP(XLOOKUP($Q677,'Threshold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Chart'!$B$1:$S$1,0)))),base,IF(OR(cat="Status",pow=0),0,FLOOR(FLOOR(FLOOR((2*XLOOKUP($Q677,'Threshold Summary'!$Y:$Y,'Threshold Summary'!$L:$L,"")/5+2)*pow*atk/def)/50)+2)),modifier,stab*eff,FLOOR(base*modifier)),0)</f>
        <v/>
      </c>
      <c r="L677" s="3">
        <f>IFERROR(LET(mtype,XLOOKUP($D677,'Move Editor'!$B:$B,'Move Editor'!$C:$C,""),cat,XLOOKUP($D677,'Move Editor'!$B:$B,'Move Editor'!$D:$D,""),pow,XLOOKUP($D677,'Move Editor'!$B:$B,'Move Editor'!$E:$E,0),acc,XLOOKUP($D677,'Move Editor'!$B:$B,'Move Editor'!$F:$F,100),atk,IF(cat="Physical",FLOOR((FLOOR(((2*XLOOKUP(XLOOKUP($Q677,'Threshold Summary'!$Y:$Y,'Threshold Summary'!$K:$K,""),'Pokemon Editor'!$A:$A,'Pokemon Editor'!$F:$F,0)+31+FLOOR(XLOOKUP($Q677,'Threshold Summary'!$Y:$Y,'Threshold Summary'!$P:$P,"")/4))*XLOOKUP($Q677,'Threshold Summary'!$Y:$Y,'Threshold Summary'!$L:$L,""))/100)+5)*XLOOKUP(XLOOKUP($Q677,'Threshold Summary'!$Y:$Y,'Threshold Summary'!$M:$M,""),'Nature Editor'!$A:$A,'Nature Editor'!$B:$B,1)),FLOOR((FLOOR(((2*XLOOKUP(XLOOKUP($Q677,'Threshold Summary'!$Y:$Y,'Threshold Summary'!$K:$K,""),'Pokemon Editor'!$A:$A,'Pokemon Editor'!$H:$H,0)+31+FLOOR(XLOOKUP($Q677,'Threshold Summary'!$Y:$Y,'Threshold Summary'!$R:$R,"")/4))*XLOOKUP($Q677,'Threshold Summary'!$Y:$Y,'Threshold Summary'!$L:$L,""))/100)+5)*XLOOKUP(XLOOKUP($Q677,'Threshold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Editor'!$E:$E,1))),stab,IF(OR(mtype=XLOOKUP(XLOOKUP($Q677,'Threshold Summary'!$Y:$Y,'Threshold Summary'!$K:$K,""),'Pokemon Editor'!$A:$A,'Pokemon Editor'!$C:$C,""),mtype=XLOOKUP(XLOOKUP($Q677,'Threshold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Chart'!$B$1:$S$1,0)))),base,IF(OR(cat="Status",pow=0),0,FLOOR(FLOOR(FLOOR((2*XLOOKUP($Q677,'Threshold Summary'!$Y:$Y,'Threshold Summary'!$L:$L,"")/5+2)*pow*atk/def)/50)+2)),modifier,stab*eff,AVERAGE(ARRAYFORMULA(FLOOR(base*modifier*SEQUENCE(16,1,85,1)/100)))),0)</f>
        <v/>
      </c>
      <c r="M677" s="3">
        <f>IFERROR(LET(mtype,XLOOKUP($D677,'Move Editor'!$B:$B,'Move Editor'!$C:$C,""),cat,XLOOKUP($D677,'Move Editor'!$B:$B,'Move Editor'!$D:$D,""),pow,XLOOKUP($D677,'Move Editor'!$B:$B,'Move Editor'!$E:$E,0),acc,XLOOKUP($D677,'Move Editor'!$B:$B,'Move Editor'!$F:$F,100),atk,IF(cat="Physical",FLOOR((FLOOR(((2*XLOOKUP(XLOOKUP($Q677,'Threshold Summary'!$Y:$Y,'Threshold Summary'!$K:$K,""),'Pokemon Editor'!$A:$A,'Pokemon Editor'!$F:$F,0)+31+FLOOR(XLOOKUP($Q677,'Threshold Summary'!$Y:$Y,'Threshold Summary'!$P:$P,"")/4))*XLOOKUP($Q677,'Threshold Summary'!$Y:$Y,'Threshold Summary'!$L:$L,""))/100)+5)*XLOOKUP(XLOOKUP($Q677,'Threshold Summary'!$Y:$Y,'Threshold Summary'!$M:$M,""),'Nature Editor'!$A:$A,'Nature Editor'!$B:$B,1)),FLOOR((FLOOR(((2*XLOOKUP(XLOOKUP($Q677,'Threshold Summary'!$Y:$Y,'Threshold Summary'!$K:$K,""),'Pokemon Editor'!$A:$A,'Pokemon Editor'!$H:$H,0)+31+FLOOR(XLOOKUP($Q677,'Threshold Summary'!$Y:$Y,'Threshold Summary'!$R:$R,"")/4))*XLOOKUP($Q677,'Threshold Summary'!$Y:$Y,'Threshold Summary'!$L:$L,""))/100)+5)*XLOOKUP(XLOOKUP($Q677,'Threshold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Editor'!$E:$E,1))),stab,IF(OR(mtype=XLOOKUP(XLOOKUP($Q677,'Threshold Summary'!$Y:$Y,'Threshold Summary'!$K:$K,""),'Pokemon Editor'!$A:$A,'Pokemon Editor'!$C:$C,""),mtype=XLOOKUP(XLOOKUP($Q677,'Threshold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Chart'!$B$1:$S$1,0)))),base,IF(OR(cat="Status",pow=0),0,FLOOR(FLOOR(FLOOR((2*XLOOKUP($Q677,'Threshold Summary'!$Y:$Y,'Threshold Summary'!$L:$L,"")/5+2)*pow*atk/def)/50)+2)),modifier,stab*eff,AVERAGE(ARRAYFORMULA(FLOOR(base*modifier*SEQUENCE(16,1,85,1)/100)))*MIN(1,acc/100)),0)</f>
        <v/>
      </c>
      <c r="N677" s="4">
        <f>IFERROR(LET(mtype,XLOOKUP($D677,'Move Editor'!$B:$B,'Move Editor'!$C:$C,""),cat,XLOOKUP($D677,'Move Editor'!$B:$B,'Move Editor'!$D:$D,""),pow,XLOOKUP($D677,'Move Editor'!$B:$B,'Move Editor'!$E:$E,0),acc,XLOOKUP($D677,'Move Editor'!$B:$B,'Move Editor'!$F:$F,100),atk,IF(cat="Physical",FLOOR((FLOOR(((2*XLOOKUP(XLOOKUP($Q677,'Threshold Summary'!$Y:$Y,'Threshold Summary'!$K:$K,""),'Pokemon Editor'!$A:$A,'Pokemon Editor'!$F:$F,0)+31+FLOOR(XLOOKUP($Q677,'Threshold Summary'!$Y:$Y,'Threshold Summary'!$P:$P,"")/4))*XLOOKUP($Q677,'Threshold Summary'!$Y:$Y,'Threshold Summary'!$L:$L,""))/100)+5)*XLOOKUP(XLOOKUP($Q677,'Threshold Summary'!$Y:$Y,'Threshold Summary'!$M:$M,""),'Nature Editor'!$A:$A,'Nature Editor'!$B:$B,1)),FLOOR((FLOOR(((2*XLOOKUP(XLOOKUP($Q677,'Threshold Summary'!$Y:$Y,'Threshold Summary'!$K:$K,""),'Pokemon Editor'!$A:$A,'Pokemon Editor'!$H:$H,0)+31+FLOOR(XLOOKUP($Q677,'Threshold Summary'!$Y:$Y,'Threshold Summary'!$R:$R,"")/4))*XLOOKUP($Q677,'Threshold Summary'!$Y:$Y,'Threshold Summary'!$L:$L,""))/100)+5)*XLOOKUP(XLOOKUP($Q677,'Threshold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Editor'!$E:$E,1))),stab,IF(OR(mtype=XLOOKUP(XLOOKUP($Q677,'Threshold Summary'!$Y:$Y,'Threshold Summary'!$K:$K,""),'Pokemon Editor'!$A:$A,'Pokemon Editor'!$C:$C,""),mtype=XLOOKUP(XLOOKUP($Q677,'Threshold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Chart'!$B$1:$S$1,0)))),base,IF(OR(cat="Status",pow=0),0,FLOOR(FLOOR(FLOOR((2*XLOOKUP($Q677,'Threshold Summary'!$Y:$Y,'Threshold Summary'!$L:$L,"")/5+2)*pow*atk/def)/50)+2)),modifier,stab*eff,AVERAGE(ARRAYFORMULA(FLOOR(base*modifier*SEQUENCE(16,1,85,1)/100)))/(FLOOR(((2*XLOOKUP('Boss Editor'!$C$4,'Pokemon Editor'!$A:$A,'Pokemon Editor'!$E:$E,0)+31+FLOOR('Boss Editor'!$G$4/4))*'Boss Editor'!$D$4)/100)+'Boss Editor'!$D$4+10)),0)</f>
        <v/>
      </c>
      <c r="O677" s="3">
        <f>IF(N677&gt;=1,"OHKO",IF(N677&gt;=0.5,"2HKO",IF(N677&gt;=0.333,"3HKO",IF(N677&gt;=0.25,"4HKO","5HKO+"))))</f>
        <v/>
      </c>
      <c r="P677" s="3" t="inlineStr">
        <is>
          <t>Live from editable databases</t>
        </is>
      </c>
      <c r="Q677" s="3" t="inlineStr">
        <is>
          <t>SPECIES_PHANTUMP</t>
        </is>
      </c>
      <c r="R677" s="3" t="n">
        <v>4</v>
      </c>
    </row>
    <row r="678">
      <c r="A678" s="3">
        <f>XLOOKUP($Q678,'Threshold Summary'!$Y:$Y,'Threshold Summary'!$A:$A,"")</f>
        <v/>
      </c>
      <c r="B678" s="3">
        <f>XLOOKUP($Q678,'Threshold Summary'!$Y:$Y,'Threshold Summary'!$M:$M,"")</f>
        <v/>
      </c>
      <c r="C678" s="3">
        <f>XLOOKUP($Q678,'Threshold Summary'!$Y:$Y,'Threshold Summary'!$N:$N,"")</f>
        <v/>
      </c>
      <c r="D678" s="3">
        <f>IFERROR(INDEX(FILTER('Learnset Editor'!$D$2:$D,'Learnset Editor'!$A$2:$A=XLOOKUP($Q678,'Threshold Summary'!$Y:$Y,'Threshold Summary'!$K:$K,""),'Learnset Editor'!$C$2:$C&lt;=XLOOKUP($Q678,'Threshold Summary'!$Y:$Y,'Threshold Summary'!$L:$L,"")),$R678),"")</f>
        <v/>
      </c>
      <c r="E678" s="3">
        <f>XLOOKUP(D678,'Move Editor'!$B:$B,'Move Editor'!$C:$C,"")</f>
        <v/>
      </c>
      <c r="F678" s="3">
        <f>XLOOKUP(D678,'Move Editor'!$B:$B,'Move Editor'!$D:$D,"")</f>
        <v/>
      </c>
      <c r="G678" s="3">
        <f>XLOOKUP(D678,'Move Editor'!$B:$B,'Move Editor'!$E:$E,0)</f>
        <v/>
      </c>
      <c r="H678" s="3">
        <f>XLOOKUP(D678,'Move Editor'!$B:$B,'Move Editor'!$F:$F,0)</f>
        <v/>
      </c>
      <c r="I678" s="3">
        <f>(INDEX('Type Chart'!$B:$S,MATCH(E678,'Type Chart'!$A:$A,0),MATCH(XLOOKUP('Boss Editor'!$C$4,'Pokemon Editor'!$A:$A,'Pokemon Editor'!$C:$C,""),'Type Chart'!$B$1:$S$1,0))*IF(XLOOKUP('Boss Editor'!$C$4,'Pokemon Editor'!$A:$A,'Pokemon Editor'!$D:$D,"")="",1,INDEX('Type Chart'!$B:$S,MATCH(E678,'Type Chart'!$A:$A,0),MATCH(XLOOKUP('Boss Editor'!$C$4,'Pokemon Editor'!$A:$A,'Pokemon Editor'!$D:$D,""),'Type Chart'!$B$1:$S$1,0))))</f>
        <v/>
      </c>
      <c r="J678" s="3">
        <f>IFERROR(LET(mtype,XLOOKUP($D678,'Move Editor'!$B:$B,'Move Editor'!$C:$C,""),cat,XLOOKUP($D678,'Move Editor'!$B:$B,'Move Editor'!$D:$D,""),pow,XLOOKUP($D678,'Move Editor'!$B:$B,'Move Editor'!$E:$E,0),acc,XLOOKUP($D678,'Move Editor'!$B:$B,'Move Editor'!$F:$F,100),atk,IF(cat="Physical",FLOOR((FLOOR(((2*XLOOKUP(XLOOKUP($Q678,'Threshold Summary'!$Y:$Y,'Threshold Summary'!$K:$K,""),'Pokemon Editor'!$A:$A,'Pokemon Editor'!$F:$F,0)+31+FLOOR(XLOOKUP($Q678,'Threshold Summary'!$Y:$Y,'Threshold Summary'!$P:$P,"")/4))*XLOOKUP($Q678,'Threshold Summary'!$Y:$Y,'Threshold Summary'!$L:$L,""))/100)+5)*XLOOKUP(XLOOKUP($Q678,'Threshold Summary'!$Y:$Y,'Threshold Summary'!$M:$M,""),'Nature Editor'!$A:$A,'Nature Editor'!$B:$B,1)),FLOOR((FLOOR(((2*XLOOKUP(XLOOKUP($Q678,'Threshold Summary'!$Y:$Y,'Threshold Summary'!$K:$K,""),'Pokemon Editor'!$A:$A,'Pokemon Editor'!$H:$H,0)+31+FLOOR(XLOOKUP($Q678,'Threshold Summary'!$Y:$Y,'Threshold Summary'!$R:$R,"")/4))*XLOOKUP($Q678,'Threshold Summary'!$Y:$Y,'Threshold Summary'!$L:$L,""))/100)+5)*XLOOKUP(XLOOKUP($Q678,'Threshold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Editor'!$E:$E,1))),stab,IF(OR(mtype=XLOOKUP(XLOOKUP($Q678,'Threshold Summary'!$Y:$Y,'Threshold Summary'!$K:$K,""),'Pokemon Editor'!$A:$A,'Pokemon Editor'!$C:$C,""),mtype=XLOOKUP(XLOOKUP($Q678,'Threshold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Chart'!$B$1:$S$1,0)))),base,IF(OR(cat="Status",pow=0),0,FLOOR(FLOOR(FLOOR((2*XLOOKUP($Q678,'Threshold Summary'!$Y:$Y,'Threshold Summary'!$L:$L,"")/5+2)*pow*atk/def)/50)+2)),modifier,stab*eff,FLOOR(base*modifier*0.85)),0)</f>
        <v/>
      </c>
      <c r="K678" s="3">
        <f>IFERROR(LET(mtype,XLOOKUP($D678,'Move Editor'!$B:$B,'Move Editor'!$C:$C,""),cat,XLOOKUP($D678,'Move Editor'!$B:$B,'Move Editor'!$D:$D,""),pow,XLOOKUP($D678,'Move Editor'!$B:$B,'Move Editor'!$E:$E,0),acc,XLOOKUP($D678,'Move Editor'!$B:$B,'Move Editor'!$F:$F,100),atk,IF(cat="Physical",FLOOR((FLOOR(((2*XLOOKUP(XLOOKUP($Q678,'Threshold Summary'!$Y:$Y,'Threshold Summary'!$K:$K,""),'Pokemon Editor'!$A:$A,'Pokemon Editor'!$F:$F,0)+31+FLOOR(XLOOKUP($Q678,'Threshold Summary'!$Y:$Y,'Threshold Summary'!$P:$P,"")/4))*XLOOKUP($Q678,'Threshold Summary'!$Y:$Y,'Threshold Summary'!$L:$L,""))/100)+5)*XLOOKUP(XLOOKUP($Q678,'Threshold Summary'!$Y:$Y,'Threshold Summary'!$M:$M,""),'Nature Editor'!$A:$A,'Nature Editor'!$B:$B,1)),FLOOR((FLOOR(((2*XLOOKUP(XLOOKUP($Q678,'Threshold Summary'!$Y:$Y,'Threshold Summary'!$K:$K,""),'Pokemon Editor'!$A:$A,'Pokemon Editor'!$H:$H,0)+31+FLOOR(XLOOKUP($Q678,'Threshold Summary'!$Y:$Y,'Threshold Summary'!$R:$R,"")/4))*XLOOKUP($Q678,'Threshold Summary'!$Y:$Y,'Threshold Summary'!$L:$L,""))/100)+5)*XLOOKUP(XLOOKUP($Q678,'Threshold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Editor'!$E:$E,1))),stab,IF(OR(mtype=XLOOKUP(XLOOKUP($Q678,'Threshold Summary'!$Y:$Y,'Threshold Summary'!$K:$K,""),'Pokemon Editor'!$A:$A,'Pokemon Editor'!$C:$C,""),mtype=XLOOKUP(XLOOKUP($Q678,'Threshold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Chart'!$B$1:$S$1,0)))),base,IF(OR(cat="Status",pow=0),0,FLOOR(FLOOR(FLOOR((2*XLOOKUP($Q678,'Threshold Summary'!$Y:$Y,'Threshold Summary'!$L:$L,"")/5+2)*pow*atk/def)/50)+2)),modifier,stab*eff,FLOOR(base*modifier)),0)</f>
        <v/>
      </c>
      <c r="L678" s="3">
        <f>IFERROR(LET(mtype,XLOOKUP($D678,'Move Editor'!$B:$B,'Move Editor'!$C:$C,""),cat,XLOOKUP($D678,'Move Editor'!$B:$B,'Move Editor'!$D:$D,""),pow,XLOOKUP($D678,'Move Editor'!$B:$B,'Move Editor'!$E:$E,0),acc,XLOOKUP($D678,'Move Editor'!$B:$B,'Move Editor'!$F:$F,100),atk,IF(cat="Physical",FLOOR((FLOOR(((2*XLOOKUP(XLOOKUP($Q678,'Threshold Summary'!$Y:$Y,'Threshold Summary'!$K:$K,""),'Pokemon Editor'!$A:$A,'Pokemon Editor'!$F:$F,0)+31+FLOOR(XLOOKUP($Q678,'Threshold Summary'!$Y:$Y,'Threshold Summary'!$P:$P,"")/4))*XLOOKUP($Q678,'Threshold Summary'!$Y:$Y,'Threshold Summary'!$L:$L,""))/100)+5)*XLOOKUP(XLOOKUP($Q678,'Threshold Summary'!$Y:$Y,'Threshold Summary'!$M:$M,""),'Nature Editor'!$A:$A,'Nature Editor'!$B:$B,1)),FLOOR((FLOOR(((2*XLOOKUP(XLOOKUP($Q678,'Threshold Summary'!$Y:$Y,'Threshold Summary'!$K:$K,""),'Pokemon Editor'!$A:$A,'Pokemon Editor'!$H:$H,0)+31+FLOOR(XLOOKUP($Q678,'Threshold Summary'!$Y:$Y,'Threshold Summary'!$R:$R,"")/4))*XLOOKUP($Q678,'Threshold Summary'!$Y:$Y,'Threshold Summary'!$L:$L,""))/100)+5)*XLOOKUP(XLOOKUP($Q678,'Threshold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Editor'!$E:$E,1))),stab,IF(OR(mtype=XLOOKUP(XLOOKUP($Q678,'Threshold Summary'!$Y:$Y,'Threshold Summary'!$K:$K,""),'Pokemon Editor'!$A:$A,'Pokemon Editor'!$C:$C,""),mtype=XLOOKUP(XLOOKUP($Q678,'Threshold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Chart'!$B$1:$S$1,0)))),base,IF(OR(cat="Status",pow=0),0,FLOOR(FLOOR(FLOOR((2*XLOOKUP($Q678,'Threshold Summary'!$Y:$Y,'Threshold Summary'!$L:$L,"")/5+2)*pow*atk/def)/50)+2)),modifier,stab*eff,AVERAGE(ARRAYFORMULA(FLOOR(base*modifier*SEQUENCE(16,1,85,1)/100)))),0)</f>
        <v/>
      </c>
      <c r="M678" s="3">
        <f>IFERROR(LET(mtype,XLOOKUP($D678,'Move Editor'!$B:$B,'Move Editor'!$C:$C,""),cat,XLOOKUP($D678,'Move Editor'!$B:$B,'Move Editor'!$D:$D,""),pow,XLOOKUP($D678,'Move Editor'!$B:$B,'Move Editor'!$E:$E,0),acc,XLOOKUP($D678,'Move Editor'!$B:$B,'Move Editor'!$F:$F,100),atk,IF(cat="Physical",FLOOR((FLOOR(((2*XLOOKUP(XLOOKUP($Q678,'Threshold Summary'!$Y:$Y,'Threshold Summary'!$K:$K,""),'Pokemon Editor'!$A:$A,'Pokemon Editor'!$F:$F,0)+31+FLOOR(XLOOKUP($Q678,'Threshold Summary'!$Y:$Y,'Threshold Summary'!$P:$P,"")/4))*XLOOKUP($Q678,'Threshold Summary'!$Y:$Y,'Threshold Summary'!$L:$L,""))/100)+5)*XLOOKUP(XLOOKUP($Q678,'Threshold Summary'!$Y:$Y,'Threshold Summary'!$M:$M,""),'Nature Editor'!$A:$A,'Nature Editor'!$B:$B,1)),FLOOR((FLOOR(((2*XLOOKUP(XLOOKUP($Q678,'Threshold Summary'!$Y:$Y,'Threshold Summary'!$K:$K,""),'Pokemon Editor'!$A:$A,'Pokemon Editor'!$H:$H,0)+31+FLOOR(XLOOKUP($Q678,'Threshold Summary'!$Y:$Y,'Threshold Summary'!$R:$R,"")/4))*XLOOKUP($Q678,'Threshold Summary'!$Y:$Y,'Threshold Summary'!$L:$L,""))/100)+5)*XLOOKUP(XLOOKUP($Q678,'Threshold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Editor'!$E:$E,1))),stab,IF(OR(mtype=XLOOKUP(XLOOKUP($Q678,'Threshold Summary'!$Y:$Y,'Threshold Summary'!$K:$K,""),'Pokemon Editor'!$A:$A,'Pokemon Editor'!$C:$C,""),mtype=XLOOKUP(XLOOKUP($Q678,'Threshold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Chart'!$B$1:$S$1,0)))),base,IF(OR(cat="Status",pow=0),0,FLOOR(FLOOR(FLOOR((2*XLOOKUP($Q678,'Threshold Summary'!$Y:$Y,'Threshold Summary'!$L:$L,"")/5+2)*pow*atk/def)/50)+2)),modifier,stab*eff,AVERAGE(ARRAYFORMULA(FLOOR(base*modifier*SEQUENCE(16,1,85,1)/100)))*MIN(1,acc/100)),0)</f>
        <v/>
      </c>
      <c r="N678" s="4">
        <f>IFERROR(LET(mtype,XLOOKUP($D678,'Move Editor'!$B:$B,'Move Editor'!$C:$C,""),cat,XLOOKUP($D678,'Move Editor'!$B:$B,'Move Editor'!$D:$D,""),pow,XLOOKUP($D678,'Move Editor'!$B:$B,'Move Editor'!$E:$E,0),acc,XLOOKUP($D678,'Move Editor'!$B:$B,'Move Editor'!$F:$F,100),atk,IF(cat="Physical",FLOOR((FLOOR(((2*XLOOKUP(XLOOKUP($Q678,'Threshold Summary'!$Y:$Y,'Threshold Summary'!$K:$K,""),'Pokemon Editor'!$A:$A,'Pokemon Editor'!$F:$F,0)+31+FLOOR(XLOOKUP($Q678,'Threshold Summary'!$Y:$Y,'Threshold Summary'!$P:$P,"")/4))*XLOOKUP($Q678,'Threshold Summary'!$Y:$Y,'Threshold Summary'!$L:$L,""))/100)+5)*XLOOKUP(XLOOKUP($Q678,'Threshold Summary'!$Y:$Y,'Threshold Summary'!$M:$M,""),'Nature Editor'!$A:$A,'Nature Editor'!$B:$B,1)),FLOOR((FLOOR(((2*XLOOKUP(XLOOKUP($Q678,'Threshold Summary'!$Y:$Y,'Threshold Summary'!$K:$K,""),'Pokemon Editor'!$A:$A,'Pokemon Editor'!$H:$H,0)+31+FLOOR(XLOOKUP($Q678,'Threshold Summary'!$Y:$Y,'Threshold Summary'!$R:$R,"")/4))*XLOOKUP($Q678,'Threshold Summary'!$Y:$Y,'Threshold Summary'!$L:$L,""))/100)+5)*XLOOKUP(XLOOKUP($Q678,'Threshold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Editor'!$E:$E,1))),stab,IF(OR(mtype=XLOOKUP(XLOOKUP($Q678,'Threshold Summary'!$Y:$Y,'Threshold Summary'!$K:$K,""),'Pokemon Editor'!$A:$A,'Pokemon Editor'!$C:$C,""),mtype=XLOOKUP(XLOOKUP($Q678,'Threshold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Chart'!$B$1:$S$1,0)))),base,IF(OR(cat="Status",pow=0),0,FLOOR(FLOOR(FLOOR((2*XLOOKUP($Q678,'Threshold Summary'!$Y:$Y,'Threshold Summary'!$L:$L,"")/5+2)*pow*atk/def)/50)+2)),modifier,stab*eff,AVERAGE(ARRAYFORMULA(FLOOR(base*modifier*SEQUENCE(16,1,85,1)/100)))/(FLOOR(((2*XLOOKUP('Boss Editor'!$C$4,'Pokemon Editor'!$A:$A,'Pokemon Editor'!$E:$E,0)+31+FLOOR('Boss Editor'!$G$4/4))*'Boss Editor'!$D$4)/100)+'Boss Editor'!$D$4+10)),0)</f>
        <v/>
      </c>
      <c r="O678" s="3">
        <f>IF(N678&gt;=1,"OHKO",IF(N678&gt;=0.5,"2HKO",IF(N678&gt;=0.333,"3HKO",IF(N678&gt;=0.25,"4HKO","5HKO+"))))</f>
        <v/>
      </c>
      <c r="P678" s="3" t="inlineStr">
        <is>
          <t>Live from editable databases</t>
        </is>
      </c>
      <c r="Q678" s="3" t="inlineStr">
        <is>
          <t>SPECIES_PHANTUMP</t>
        </is>
      </c>
      <c r="R678" s="3" t="n">
        <v>5</v>
      </c>
    </row>
    <row r="679">
      <c r="A679" s="3">
        <f>XLOOKUP($Q679,'Threshold Summary'!$Y:$Y,'Threshold Summary'!$A:$A,"")</f>
        <v/>
      </c>
      <c r="B679" s="3">
        <f>XLOOKUP($Q679,'Threshold Summary'!$Y:$Y,'Threshold Summary'!$M:$M,"")</f>
        <v/>
      </c>
      <c r="C679" s="3">
        <f>XLOOKUP($Q679,'Threshold Summary'!$Y:$Y,'Threshold Summary'!$N:$N,"")</f>
        <v/>
      </c>
      <c r="D679" s="3">
        <f>IFERROR(INDEX(FILTER('Learnset Editor'!$D$2:$D,'Learnset Editor'!$A$2:$A=XLOOKUP($Q679,'Threshold Summary'!$Y:$Y,'Threshold Summary'!$K:$K,""),'Learnset Editor'!$C$2:$C&lt;=XLOOKUP($Q679,'Threshold Summary'!$Y:$Y,'Threshold Summary'!$L:$L,"")),$R679),"")</f>
        <v/>
      </c>
      <c r="E679" s="3">
        <f>XLOOKUP(D679,'Move Editor'!$B:$B,'Move Editor'!$C:$C,"")</f>
        <v/>
      </c>
      <c r="F679" s="3">
        <f>XLOOKUP(D679,'Move Editor'!$B:$B,'Move Editor'!$D:$D,"")</f>
        <v/>
      </c>
      <c r="G679" s="3">
        <f>XLOOKUP(D679,'Move Editor'!$B:$B,'Move Editor'!$E:$E,0)</f>
        <v/>
      </c>
      <c r="H679" s="3">
        <f>XLOOKUP(D679,'Move Editor'!$B:$B,'Move Editor'!$F:$F,0)</f>
        <v/>
      </c>
      <c r="I679" s="3">
        <f>(INDEX('Type Chart'!$B:$S,MATCH(E679,'Type Chart'!$A:$A,0),MATCH(XLOOKUP('Boss Editor'!$C$4,'Pokemon Editor'!$A:$A,'Pokemon Editor'!$C:$C,""),'Type Chart'!$B$1:$S$1,0))*IF(XLOOKUP('Boss Editor'!$C$4,'Pokemon Editor'!$A:$A,'Pokemon Editor'!$D:$D,"")="",1,INDEX('Type Chart'!$B:$S,MATCH(E679,'Type Chart'!$A:$A,0),MATCH(XLOOKUP('Boss Editor'!$C$4,'Pokemon Editor'!$A:$A,'Pokemon Editor'!$D:$D,""),'Type Chart'!$B$1:$S$1,0))))</f>
        <v/>
      </c>
      <c r="J679" s="3">
        <f>IFERROR(LET(mtype,XLOOKUP($D679,'Move Editor'!$B:$B,'Move Editor'!$C:$C,""),cat,XLOOKUP($D679,'Move Editor'!$B:$B,'Move Editor'!$D:$D,""),pow,XLOOKUP($D679,'Move Editor'!$B:$B,'Move Editor'!$E:$E,0),acc,XLOOKUP($D679,'Move Editor'!$B:$B,'Move Editor'!$F:$F,100),atk,IF(cat="Physical",FLOOR((FLOOR(((2*XLOOKUP(XLOOKUP($Q679,'Threshold Summary'!$Y:$Y,'Threshold Summary'!$K:$K,""),'Pokemon Editor'!$A:$A,'Pokemon Editor'!$F:$F,0)+31+FLOOR(XLOOKUP($Q679,'Threshold Summary'!$Y:$Y,'Threshold Summary'!$P:$P,"")/4))*XLOOKUP($Q679,'Threshold Summary'!$Y:$Y,'Threshold Summary'!$L:$L,""))/100)+5)*XLOOKUP(XLOOKUP($Q679,'Threshold Summary'!$Y:$Y,'Threshold Summary'!$M:$M,""),'Nature Editor'!$A:$A,'Nature Editor'!$B:$B,1)),FLOOR((FLOOR(((2*XLOOKUP(XLOOKUP($Q679,'Threshold Summary'!$Y:$Y,'Threshold Summary'!$K:$K,""),'Pokemon Editor'!$A:$A,'Pokemon Editor'!$H:$H,0)+31+FLOOR(XLOOKUP($Q679,'Threshold Summary'!$Y:$Y,'Threshold Summary'!$R:$R,"")/4))*XLOOKUP($Q679,'Threshold Summary'!$Y:$Y,'Threshold Summary'!$L:$L,""))/100)+5)*XLOOKUP(XLOOKUP($Q679,'Threshold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Editor'!$E:$E,1))),stab,IF(OR(mtype=XLOOKUP(XLOOKUP($Q679,'Threshold Summary'!$Y:$Y,'Threshold Summary'!$K:$K,""),'Pokemon Editor'!$A:$A,'Pokemon Editor'!$C:$C,""),mtype=XLOOKUP(XLOOKUP($Q679,'Threshold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Chart'!$B$1:$S$1,0)))),base,IF(OR(cat="Status",pow=0),0,FLOOR(FLOOR(FLOOR((2*XLOOKUP($Q679,'Threshold Summary'!$Y:$Y,'Threshold Summary'!$L:$L,"")/5+2)*pow*atk/def)/50)+2)),modifier,stab*eff,FLOOR(base*modifier*0.85)),0)</f>
        <v/>
      </c>
      <c r="K679" s="3">
        <f>IFERROR(LET(mtype,XLOOKUP($D679,'Move Editor'!$B:$B,'Move Editor'!$C:$C,""),cat,XLOOKUP($D679,'Move Editor'!$B:$B,'Move Editor'!$D:$D,""),pow,XLOOKUP($D679,'Move Editor'!$B:$B,'Move Editor'!$E:$E,0),acc,XLOOKUP($D679,'Move Editor'!$B:$B,'Move Editor'!$F:$F,100),atk,IF(cat="Physical",FLOOR((FLOOR(((2*XLOOKUP(XLOOKUP($Q679,'Threshold Summary'!$Y:$Y,'Threshold Summary'!$K:$K,""),'Pokemon Editor'!$A:$A,'Pokemon Editor'!$F:$F,0)+31+FLOOR(XLOOKUP($Q679,'Threshold Summary'!$Y:$Y,'Threshold Summary'!$P:$P,"")/4))*XLOOKUP($Q679,'Threshold Summary'!$Y:$Y,'Threshold Summary'!$L:$L,""))/100)+5)*XLOOKUP(XLOOKUP($Q679,'Threshold Summary'!$Y:$Y,'Threshold Summary'!$M:$M,""),'Nature Editor'!$A:$A,'Nature Editor'!$B:$B,1)),FLOOR((FLOOR(((2*XLOOKUP(XLOOKUP($Q679,'Threshold Summary'!$Y:$Y,'Threshold Summary'!$K:$K,""),'Pokemon Editor'!$A:$A,'Pokemon Editor'!$H:$H,0)+31+FLOOR(XLOOKUP($Q679,'Threshold Summary'!$Y:$Y,'Threshold Summary'!$R:$R,"")/4))*XLOOKUP($Q679,'Threshold Summary'!$Y:$Y,'Threshold Summary'!$L:$L,""))/100)+5)*XLOOKUP(XLOOKUP($Q679,'Threshold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Editor'!$E:$E,1))),stab,IF(OR(mtype=XLOOKUP(XLOOKUP($Q679,'Threshold Summary'!$Y:$Y,'Threshold Summary'!$K:$K,""),'Pokemon Editor'!$A:$A,'Pokemon Editor'!$C:$C,""),mtype=XLOOKUP(XLOOKUP($Q679,'Threshold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Chart'!$B$1:$S$1,0)))),base,IF(OR(cat="Status",pow=0),0,FLOOR(FLOOR(FLOOR((2*XLOOKUP($Q679,'Threshold Summary'!$Y:$Y,'Threshold Summary'!$L:$L,"")/5+2)*pow*atk/def)/50)+2)),modifier,stab*eff,FLOOR(base*modifier)),0)</f>
        <v/>
      </c>
      <c r="L679" s="3">
        <f>IFERROR(LET(mtype,XLOOKUP($D679,'Move Editor'!$B:$B,'Move Editor'!$C:$C,""),cat,XLOOKUP($D679,'Move Editor'!$B:$B,'Move Editor'!$D:$D,""),pow,XLOOKUP($D679,'Move Editor'!$B:$B,'Move Editor'!$E:$E,0),acc,XLOOKUP($D679,'Move Editor'!$B:$B,'Move Editor'!$F:$F,100),atk,IF(cat="Physical",FLOOR((FLOOR(((2*XLOOKUP(XLOOKUP($Q679,'Threshold Summary'!$Y:$Y,'Threshold Summary'!$K:$K,""),'Pokemon Editor'!$A:$A,'Pokemon Editor'!$F:$F,0)+31+FLOOR(XLOOKUP($Q679,'Threshold Summary'!$Y:$Y,'Threshold Summary'!$P:$P,"")/4))*XLOOKUP($Q679,'Threshold Summary'!$Y:$Y,'Threshold Summary'!$L:$L,""))/100)+5)*XLOOKUP(XLOOKUP($Q679,'Threshold Summary'!$Y:$Y,'Threshold Summary'!$M:$M,""),'Nature Editor'!$A:$A,'Nature Editor'!$B:$B,1)),FLOOR((FLOOR(((2*XLOOKUP(XLOOKUP($Q679,'Threshold Summary'!$Y:$Y,'Threshold Summary'!$K:$K,""),'Pokemon Editor'!$A:$A,'Pokemon Editor'!$H:$H,0)+31+FLOOR(XLOOKUP($Q679,'Threshold Summary'!$Y:$Y,'Threshold Summary'!$R:$R,"")/4))*XLOOKUP($Q679,'Threshold Summary'!$Y:$Y,'Threshold Summary'!$L:$L,""))/100)+5)*XLOOKUP(XLOOKUP($Q679,'Threshold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Editor'!$E:$E,1))),stab,IF(OR(mtype=XLOOKUP(XLOOKUP($Q679,'Threshold Summary'!$Y:$Y,'Threshold Summary'!$K:$K,""),'Pokemon Editor'!$A:$A,'Pokemon Editor'!$C:$C,""),mtype=XLOOKUP(XLOOKUP($Q679,'Threshold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Chart'!$B$1:$S$1,0)))),base,IF(OR(cat="Status",pow=0),0,FLOOR(FLOOR(FLOOR((2*XLOOKUP($Q679,'Threshold Summary'!$Y:$Y,'Threshold Summary'!$L:$L,"")/5+2)*pow*atk/def)/50)+2)),modifier,stab*eff,AVERAGE(ARRAYFORMULA(FLOOR(base*modifier*SEQUENCE(16,1,85,1)/100)))),0)</f>
        <v/>
      </c>
      <c r="M679" s="3">
        <f>IFERROR(LET(mtype,XLOOKUP($D679,'Move Editor'!$B:$B,'Move Editor'!$C:$C,""),cat,XLOOKUP($D679,'Move Editor'!$B:$B,'Move Editor'!$D:$D,""),pow,XLOOKUP($D679,'Move Editor'!$B:$B,'Move Editor'!$E:$E,0),acc,XLOOKUP($D679,'Move Editor'!$B:$B,'Move Editor'!$F:$F,100),atk,IF(cat="Physical",FLOOR((FLOOR(((2*XLOOKUP(XLOOKUP($Q679,'Threshold Summary'!$Y:$Y,'Threshold Summary'!$K:$K,""),'Pokemon Editor'!$A:$A,'Pokemon Editor'!$F:$F,0)+31+FLOOR(XLOOKUP($Q679,'Threshold Summary'!$Y:$Y,'Threshold Summary'!$P:$P,"")/4))*XLOOKUP($Q679,'Threshold Summary'!$Y:$Y,'Threshold Summary'!$L:$L,""))/100)+5)*XLOOKUP(XLOOKUP($Q679,'Threshold Summary'!$Y:$Y,'Threshold Summary'!$M:$M,""),'Nature Editor'!$A:$A,'Nature Editor'!$B:$B,1)),FLOOR((FLOOR(((2*XLOOKUP(XLOOKUP($Q679,'Threshold Summary'!$Y:$Y,'Threshold Summary'!$K:$K,""),'Pokemon Editor'!$A:$A,'Pokemon Editor'!$H:$H,0)+31+FLOOR(XLOOKUP($Q679,'Threshold Summary'!$Y:$Y,'Threshold Summary'!$R:$R,"")/4))*XLOOKUP($Q679,'Threshold Summary'!$Y:$Y,'Threshold Summary'!$L:$L,""))/100)+5)*XLOOKUP(XLOOKUP($Q679,'Threshold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Editor'!$E:$E,1))),stab,IF(OR(mtype=XLOOKUP(XLOOKUP($Q679,'Threshold Summary'!$Y:$Y,'Threshold Summary'!$K:$K,""),'Pokemon Editor'!$A:$A,'Pokemon Editor'!$C:$C,""),mtype=XLOOKUP(XLOOKUP($Q679,'Threshold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Chart'!$B$1:$S$1,0)))),base,IF(OR(cat="Status",pow=0),0,FLOOR(FLOOR(FLOOR((2*XLOOKUP($Q679,'Threshold Summary'!$Y:$Y,'Threshold Summary'!$L:$L,"")/5+2)*pow*atk/def)/50)+2)),modifier,stab*eff,AVERAGE(ARRAYFORMULA(FLOOR(base*modifier*SEQUENCE(16,1,85,1)/100)))*MIN(1,acc/100)),0)</f>
        <v/>
      </c>
      <c r="N679" s="4">
        <f>IFERROR(LET(mtype,XLOOKUP($D679,'Move Editor'!$B:$B,'Move Editor'!$C:$C,""),cat,XLOOKUP($D679,'Move Editor'!$B:$B,'Move Editor'!$D:$D,""),pow,XLOOKUP($D679,'Move Editor'!$B:$B,'Move Editor'!$E:$E,0),acc,XLOOKUP($D679,'Move Editor'!$B:$B,'Move Editor'!$F:$F,100),atk,IF(cat="Physical",FLOOR((FLOOR(((2*XLOOKUP(XLOOKUP($Q679,'Threshold Summary'!$Y:$Y,'Threshold Summary'!$K:$K,""),'Pokemon Editor'!$A:$A,'Pokemon Editor'!$F:$F,0)+31+FLOOR(XLOOKUP($Q679,'Threshold Summary'!$Y:$Y,'Threshold Summary'!$P:$P,"")/4))*XLOOKUP($Q679,'Threshold Summary'!$Y:$Y,'Threshold Summary'!$L:$L,""))/100)+5)*XLOOKUP(XLOOKUP($Q679,'Threshold Summary'!$Y:$Y,'Threshold Summary'!$M:$M,""),'Nature Editor'!$A:$A,'Nature Editor'!$B:$B,1)),FLOOR((FLOOR(((2*XLOOKUP(XLOOKUP($Q679,'Threshold Summary'!$Y:$Y,'Threshold Summary'!$K:$K,""),'Pokemon Editor'!$A:$A,'Pokemon Editor'!$H:$H,0)+31+FLOOR(XLOOKUP($Q679,'Threshold Summary'!$Y:$Y,'Threshold Summary'!$R:$R,"")/4))*XLOOKUP($Q679,'Threshold Summary'!$Y:$Y,'Threshold Summary'!$L:$L,""))/100)+5)*XLOOKUP(XLOOKUP($Q679,'Threshold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Editor'!$E:$E,1))),stab,IF(OR(mtype=XLOOKUP(XLOOKUP($Q679,'Threshold Summary'!$Y:$Y,'Threshold Summary'!$K:$K,""),'Pokemon Editor'!$A:$A,'Pokemon Editor'!$C:$C,""),mtype=XLOOKUP(XLOOKUP($Q679,'Threshold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Chart'!$B$1:$S$1,0)))),base,IF(OR(cat="Status",pow=0),0,FLOOR(FLOOR(FLOOR((2*XLOOKUP($Q679,'Threshold Summary'!$Y:$Y,'Threshold Summary'!$L:$L,"")/5+2)*pow*atk/def)/50)+2)),modifier,stab*eff,AVERAGE(ARRAYFORMULA(FLOOR(base*modifier*SEQUENCE(16,1,85,1)/100)))/(FLOOR(((2*XLOOKUP('Boss Editor'!$C$4,'Pokemon Editor'!$A:$A,'Pokemon Editor'!$E:$E,0)+31+FLOOR('Boss Editor'!$G$4/4))*'Boss Editor'!$D$4)/100)+'Boss Editor'!$D$4+10)),0)</f>
        <v/>
      </c>
      <c r="O679" s="3">
        <f>IF(N679&gt;=1,"OHKO",IF(N679&gt;=0.5,"2HKO",IF(N679&gt;=0.333,"3HKO",IF(N679&gt;=0.25,"4HKO","5HKO+"))))</f>
        <v/>
      </c>
      <c r="P679" s="3" t="inlineStr">
        <is>
          <t>Live from editable databases</t>
        </is>
      </c>
      <c r="Q679" s="3" t="inlineStr">
        <is>
          <t>SPECIES_PHANTUMP</t>
        </is>
      </c>
      <c r="R679" s="3" t="n">
        <v>6</v>
      </c>
    </row>
    <row r="680">
      <c r="A680" s="3">
        <f>XLOOKUP($Q680,'Threshold Summary'!$Y:$Y,'Threshold Summary'!$A:$A,"")</f>
        <v/>
      </c>
      <c r="B680" s="3">
        <f>XLOOKUP($Q680,'Threshold Summary'!$Y:$Y,'Threshold Summary'!$M:$M,"")</f>
        <v/>
      </c>
      <c r="C680" s="3">
        <f>XLOOKUP($Q680,'Threshold Summary'!$Y:$Y,'Threshold Summary'!$N:$N,"")</f>
        <v/>
      </c>
      <c r="D680" s="3">
        <f>IFERROR(INDEX(FILTER('Learnset Editor'!$D$2:$D,'Learnset Editor'!$A$2:$A=XLOOKUP($Q680,'Threshold Summary'!$Y:$Y,'Threshold Summary'!$K:$K,""),'Learnset Editor'!$C$2:$C&lt;=XLOOKUP($Q680,'Threshold Summary'!$Y:$Y,'Threshold Summary'!$L:$L,"")),$R680),"")</f>
        <v/>
      </c>
      <c r="E680" s="3">
        <f>XLOOKUP(D680,'Move Editor'!$B:$B,'Move Editor'!$C:$C,"")</f>
        <v/>
      </c>
      <c r="F680" s="3">
        <f>XLOOKUP(D680,'Move Editor'!$B:$B,'Move Editor'!$D:$D,"")</f>
        <v/>
      </c>
      <c r="G680" s="3">
        <f>XLOOKUP(D680,'Move Editor'!$B:$B,'Move Editor'!$E:$E,0)</f>
        <v/>
      </c>
      <c r="H680" s="3">
        <f>XLOOKUP(D680,'Move Editor'!$B:$B,'Move Editor'!$F:$F,0)</f>
        <v/>
      </c>
      <c r="I680" s="3">
        <f>(INDEX('Type Chart'!$B:$S,MATCH(E680,'Type Chart'!$A:$A,0),MATCH(XLOOKUP('Boss Editor'!$C$4,'Pokemon Editor'!$A:$A,'Pokemon Editor'!$C:$C,""),'Type Chart'!$B$1:$S$1,0))*IF(XLOOKUP('Boss Editor'!$C$4,'Pokemon Editor'!$A:$A,'Pokemon Editor'!$D:$D,"")="",1,INDEX('Type Chart'!$B:$S,MATCH(E680,'Type Chart'!$A:$A,0),MATCH(XLOOKUP('Boss Editor'!$C$4,'Pokemon Editor'!$A:$A,'Pokemon Editor'!$D:$D,""),'Type Chart'!$B$1:$S$1,0))))</f>
        <v/>
      </c>
      <c r="J680" s="3">
        <f>IFERROR(LET(mtype,XLOOKUP($D680,'Move Editor'!$B:$B,'Move Editor'!$C:$C,""),cat,XLOOKUP($D680,'Move Editor'!$B:$B,'Move Editor'!$D:$D,""),pow,XLOOKUP($D680,'Move Editor'!$B:$B,'Move Editor'!$E:$E,0),acc,XLOOKUP($D680,'Move Editor'!$B:$B,'Move Editor'!$F:$F,100),atk,IF(cat="Physical",FLOOR((FLOOR(((2*XLOOKUP(XLOOKUP($Q680,'Threshold Summary'!$Y:$Y,'Threshold Summary'!$K:$K,""),'Pokemon Editor'!$A:$A,'Pokemon Editor'!$F:$F,0)+31+FLOOR(XLOOKUP($Q680,'Threshold Summary'!$Y:$Y,'Threshold Summary'!$P:$P,"")/4))*XLOOKUP($Q680,'Threshold Summary'!$Y:$Y,'Threshold Summary'!$L:$L,""))/100)+5)*XLOOKUP(XLOOKUP($Q680,'Threshold Summary'!$Y:$Y,'Threshold Summary'!$M:$M,""),'Nature Editor'!$A:$A,'Nature Editor'!$B:$B,1)),FLOOR((FLOOR(((2*XLOOKUP(XLOOKUP($Q680,'Threshold Summary'!$Y:$Y,'Threshold Summary'!$K:$K,""),'Pokemon Editor'!$A:$A,'Pokemon Editor'!$H:$H,0)+31+FLOOR(XLOOKUP($Q680,'Threshold Summary'!$Y:$Y,'Threshold Summary'!$R:$R,"")/4))*XLOOKUP($Q680,'Threshold Summary'!$Y:$Y,'Threshold Summary'!$L:$L,""))/100)+5)*XLOOKUP(XLOOKUP($Q680,'Threshold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Editor'!$E:$E,1))),stab,IF(OR(mtype=XLOOKUP(XLOOKUP($Q680,'Threshold Summary'!$Y:$Y,'Threshold Summary'!$K:$K,""),'Pokemon Editor'!$A:$A,'Pokemon Editor'!$C:$C,""),mtype=XLOOKUP(XLOOKUP($Q680,'Threshold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Chart'!$B$1:$S$1,0)))),base,IF(OR(cat="Status",pow=0),0,FLOOR(FLOOR(FLOOR((2*XLOOKUP($Q680,'Threshold Summary'!$Y:$Y,'Threshold Summary'!$L:$L,"")/5+2)*pow*atk/def)/50)+2)),modifier,stab*eff,FLOOR(base*modifier*0.85)),0)</f>
        <v/>
      </c>
      <c r="K680" s="3">
        <f>IFERROR(LET(mtype,XLOOKUP($D680,'Move Editor'!$B:$B,'Move Editor'!$C:$C,""),cat,XLOOKUP($D680,'Move Editor'!$B:$B,'Move Editor'!$D:$D,""),pow,XLOOKUP($D680,'Move Editor'!$B:$B,'Move Editor'!$E:$E,0),acc,XLOOKUP($D680,'Move Editor'!$B:$B,'Move Editor'!$F:$F,100),atk,IF(cat="Physical",FLOOR((FLOOR(((2*XLOOKUP(XLOOKUP($Q680,'Threshold Summary'!$Y:$Y,'Threshold Summary'!$K:$K,""),'Pokemon Editor'!$A:$A,'Pokemon Editor'!$F:$F,0)+31+FLOOR(XLOOKUP($Q680,'Threshold Summary'!$Y:$Y,'Threshold Summary'!$P:$P,"")/4))*XLOOKUP($Q680,'Threshold Summary'!$Y:$Y,'Threshold Summary'!$L:$L,""))/100)+5)*XLOOKUP(XLOOKUP($Q680,'Threshold Summary'!$Y:$Y,'Threshold Summary'!$M:$M,""),'Nature Editor'!$A:$A,'Nature Editor'!$B:$B,1)),FLOOR((FLOOR(((2*XLOOKUP(XLOOKUP($Q680,'Threshold Summary'!$Y:$Y,'Threshold Summary'!$K:$K,""),'Pokemon Editor'!$A:$A,'Pokemon Editor'!$H:$H,0)+31+FLOOR(XLOOKUP($Q680,'Threshold Summary'!$Y:$Y,'Threshold Summary'!$R:$R,"")/4))*XLOOKUP($Q680,'Threshold Summary'!$Y:$Y,'Threshold Summary'!$L:$L,""))/100)+5)*XLOOKUP(XLOOKUP($Q680,'Threshold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Editor'!$E:$E,1))),stab,IF(OR(mtype=XLOOKUP(XLOOKUP($Q680,'Threshold Summary'!$Y:$Y,'Threshold Summary'!$K:$K,""),'Pokemon Editor'!$A:$A,'Pokemon Editor'!$C:$C,""),mtype=XLOOKUP(XLOOKUP($Q680,'Threshold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Chart'!$B$1:$S$1,0)))),base,IF(OR(cat="Status",pow=0),0,FLOOR(FLOOR(FLOOR((2*XLOOKUP($Q680,'Threshold Summary'!$Y:$Y,'Threshold Summary'!$L:$L,"")/5+2)*pow*atk/def)/50)+2)),modifier,stab*eff,FLOOR(base*modifier)),0)</f>
        <v/>
      </c>
      <c r="L680" s="3">
        <f>IFERROR(LET(mtype,XLOOKUP($D680,'Move Editor'!$B:$B,'Move Editor'!$C:$C,""),cat,XLOOKUP($D680,'Move Editor'!$B:$B,'Move Editor'!$D:$D,""),pow,XLOOKUP($D680,'Move Editor'!$B:$B,'Move Editor'!$E:$E,0),acc,XLOOKUP($D680,'Move Editor'!$B:$B,'Move Editor'!$F:$F,100),atk,IF(cat="Physical",FLOOR((FLOOR(((2*XLOOKUP(XLOOKUP($Q680,'Threshold Summary'!$Y:$Y,'Threshold Summary'!$K:$K,""),'Pokemon Editor'!$A:$A,'Pokemon Editor'!$F:$F,0)+31+FLOOR(XLOOKUP($Q680,'Threshold Summary'!$Y:$Y,'Threshold Summary'!$P:$P,"")/4))*XLOOKUP($Q680,'Threshold Summary'!$Y:$Y,'Threshold Summary'!$L:$L,""))/100)+5)*XLOOKUP(XLOOKUP($Q680,'Threshold Summary'!$Y:$Y,'Threshold Summary'!$M:$M,""),'Nature Editor'!$A:$A,'Nature Editor'!$B:$B,1)),FLOOR((FLOOR(((2*XLOOKUP(XLOOKUP($Q680,'Threshold Summary'!$Y:$Y,'Threshold Summary'!$K:$K,""),'Pokemon Editor'!$A:$A,'Pokemon Editor'!$H:$H,0)+31+FLOOR(XLOOKUP($Q680,'Threshold Summary'!$Y:$Y,'Threshold Summary'!$R:$R,"")/4))*XLOOKUP($Q680,'Threshold Summary'!$Y:$Y,'Threshold Summary'!$L:$L,""))/100)+5)*XLOOKUP(XLOOKUP($Q680,'Threshold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Editor'!$E:$E,1))),stab,IF(OR(mtype=XLOOKUP(XLOOKUP($Q680,'Threshold Summary'!$Y:$Y,'Threshold Summary'!$K:$K,""),'Pokemon Editor'!$A:$A,'Pokemon Editor'!$C:$C,""),mtype=XLOOKUP(XLOOKUP($Q680,'Threshold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Chart'!$B$1:$S$1,0)))),base,IF(OR(cat="Status",pow=0),0,FLOOR(FLOOR(FLOOR((2*XLOOKUP($Q680,'Threshold Summary'!$Y:$Y,'Threshold Summary'!$L:$L,"")/5+2)*pow*atk/def)/50)+2)),modifier,stab*eff,AVERAGE(ARRAYFORMULA(FLOOR(base*modifier*SEQUENCE(16,1,85,1)/100)))),0)</f>
        <v/>
      </c>
      <c r="M680" s="3">
        <f>IFERROR(LET(mtype,XLOOKUP($D680,'Move Editor'!$B:$B,'Move Editor'!$C:$C,""),cat,XLOOKUP($D680,'Move Editor'!$B:$B,'Move Editor'!$D:$D,""),pow,XLOOKUP($D680,'Move Editor'!$B:$B,'Move Editor'!$E:$E,0),acc,XLOOKUP($D680,'Move Editor'!$B:$B,'Move Editor'!$F:$F,100),atk,IF(cat="Physical",FLOOR((FLOOR(((2*XLOOKUP(XLOOKUP($Q680,'Threshold Summary'!$Y:$Y,'Threshold Summary'!$K:$K,""),'Pokemon Editor'!$A:$A,'Pokemon Editor'!$F:$F,0)+31+FLOOR(XLOOKUP($Q680,'Threshold Summary'!$Y:$Y,'Threshold Summary'!$P:$P,"")/4))*XLOOKUP($Q680,'Threshold Summary'!$Y:$Y,'Threshold Summary'!$L:$L,""))/100)+5)*XLOOKUP(XLOOKUP($Q680,'Threshold Summary'!$Y:$Y,'Threshold Summary'!$M:$M,""),'Nature Editor'!$A:$A,'Nature Editor'!$B:$B,1)),FLOOR((FLOOR(((2*XLOOKUP(XLOOKUP($Q680,'Threshold Summary'!$Y:$Y,'Threshold Summary'!$K:$K,""),'Pokemon Editor'!$A:$A,'Pokemon Editor'!$H:$H,0)+31+FLOOR(XLOOKUP($Q680,'Threshold Summary'!$Y:$Y,'Threshold Summary'!$R:$R,"")/4))*XLOOKUP($Q680,'Threshold Summary'!$Y:$Y,'Threshold Summary'!$L:$L,""))/100)+5)*XLOOKUP(XLOOKUP($Q680,'Threshold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Editor'!$E:$E,1))),stab,IF(OR(mtype=XLOOKUP(XLOOKUP($Q680,'Threshold Summary'!$Y:$Y,'Threshold Summary'!$K:$K,""),'Pokemon Editor'!$A:$A,'Pokemon Editor'!$C:$C,""),mtype=XLOOKUP(XLOOKUP($Q680,'Threshold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Chart'!$B$1:$S$1,0)))),base,IF(OR(cat="Status",pow=0),0,FLOOR(FLOOR(FLOOR((2*XLOOKUP($Q680,'Threshold Summary'!$Y:$Y,'Threshold Summary'!$L:$L,"")/5+2)*pow*atk/def)/50)+2)),modifier,stab*eff,AVERAGE(ARRAYFORMULA(FLOOR(base*modifier*SEQUENCE(16,1,85,1)/100)))*MIN(1,acc/100)),0)</f>
        <v/>
      </c>
      <c r="N680" s="4">
        <f>IFERROR(LET(mtype,XLOOKUP($D680,'Move Editor'!$B:$B,'Move Editor'!$C:$C,""),cat,XLOOKUP($D680,'Move Editor'!$B:$B,'Move Editor'!$D:$D,""),pow,XLOOKUP($D680,'Move Editor'!$B:$B,'Move Editor'!$E:$E,0),acc,XLOOKUP($D680,'Move Editor'!$B:$B,'Move Editor'!$F:$F,100),atk,IF(cat="Physical",FLOOR((FLOOR(((2*XLOOKUP(XLOOKUP($Q680,'Threshold Summary'!$Y:$Y,'Threshold Summary'!$K:$K,""),'Pokemon Editor'!$A:$A,'Pokemon Editor'!$F:$F,0)+31+FLOOR(XLOOKUP($Q680,'Threshold Summary'!$Y:$Y,'Threshold Summary'!$P:$P,"")/4))*XLOOKUP($Q680,'Threshold Summary'!$Y:$Y,'Threshold Summary'!$L:$L,""))/100)+5)*XLOOKUP(XLOOKUP($Q680,'Threshold Summary'!$Y:$Y,'Threshold Summary'!$M:$M,""),'Nature Editor'!$A:$A,'Nature Editor'!$B:$B,1)),FLOOR((FLOOR(((2*XLOOKUP(XLOOKUP($Q680,'Threshold Summary'!$Y:$Y,'Threshold Summary'!$K:$K,""),'Pokemon Editor'!$A:$A,'Pokemon Editor'!$H:$H,0)+31+FLOOR(XLOOKUP($Q680,'Threshold Summary'!$Y:$Y,'Threshold Summary'!$R:$R,"")/4))*XLOOKUP($Q680,'Threshold Summary'!$Y:$Y,'Threshold Summary'!$L:$L,""))/100)+5)*XLOOKUP(XLOOKUP($Q680,'Threshold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Editor'!$E:$E,1))),stab,IF(OR(mtype=XLOOKUP(XLOOKUP($Q680,'Threshold Summary'!$Y:$Y,'Threshold Summary'!$K:$K,""),'Pokemon Editor'!$A:$A,'Pokemon Editor'!$C:$C,""),mtype=XLOOKUP(XLOOKUP($Q680,'Threshold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Chart'!$B$1:$S$1,0)))),base,IF(OR(cat="Status",pow=0),0,FLOOR(FLOOR(FLOOR((2*XLOOKUP($Q680,'Threshold Summary'!$Y:$Y,'Threshold Summary'!$L:$L,"")/5+2)*pow*atk/def)/50)+2)),modifier,stab*eff,AVERAGE(ARRAYFORMULA(FLOOR(base*modifier*SEQUENCE(16,1,85,1)/100)))/(FLOOR(((2*XLOOKUP('Boss Editor'!$C$4,'Pokemon Editor'!$A:$A,'Pokemon Editor'!$E:$E,0)+31+FLOOR('Boss Editor'!$G$4/4))*'Boss Editor'!$D$4)/100)+'Boss Editor'!$D$4+10)),0)</f>
        <v/>
      </c>
      <c r="O680" s="3">
        <f>IF(N680&gt;=1,"OHKO",IF(N680&gt;=0.5,"2HKO",IF(N680&gt;=0.333,"3HKO",IF(N680&gt;=0.25,"4HKO","5HKO+"))))</f>
        <v/>
      </c>
      <c r="P680" s="3" t="inlineStr">
        <is>
          <t>Live from editable databases</t>
        </is>
      </c>
      <c r="Q680" s="3" t="inlineStr">
        <is>
          <t>SPECIES_PHANTUMP</t>
        </is>
      </c>
      <c r="R680" s="3" t="n">
        <v>7</v>
      </c>
    </row>
    <row r="681">
      <c r="A681" s="3">
        <f>XLOOKUP($Q681,'Threshold Summary'!$Y:$Y,'Threshold Summary'!$A:$A,"")</f>
        <v/>
      </c>
      <c r="B681" s="3">
        <f>XLOOKUP($Q681,'Threshold Summary'!$Y:$Y,'Threshold Summary'!$M:$M,"")</f>
        <v/>
      </c>
      <c r="C681" s="3">
        <f>XLOOKUP($Q681,'Threshold Summary'!$Y:$Y,'Threshold Summary'!$N:$N,"")</f>
        <v/>
      </c>
      <c r="D681" s="3">
        <f>IFERROR(INDEX(FILTER('Learnset Editor'!$D$2:$D,'Learnset Editor'!$A$2:$A=XLOOKUP($Q681,'Threshold Summary'!$Y:$Y,'Threshold Summary'!$K:$K,""),'Learnset Editor'!$C$2:$C&lt;=XLOOKUP($Q681,'Threshold Summary'!$Y:$Y,'Threshold Summary'!$L:$L,"")),$R681),"")</f>
        <v/>
      </c>
      <c r="E681" s="3">
        <f>XLOOKUP(D681,'Move Editor'!$B:$B,'Move Editor'!$C:$C,"")</f>
        <v/>
      </c>
      <c r="F681" s="3">
        <f>XLOOKUP(D681,'Move Editor'!$B:$B,'Move Editor'!$D:$D,"")</f>
        <v/>
      </c>
      <c r="G681" s="3">
        <f>XLOOKUP(D681,'Move Editor'!$B:$B,'Move Editor'!$E:$E,0)</f>
        <v/>
      </c>
      <c r="H681" s="3">
        <f>XLOOKUP(D681,'Move Editor'!$B:$B,'Move Editor'!$F:$F,0)</f>
        <v/>
      </c>
      <c r="I681" s="3">
        <f>(INDEX('Type Chart'!$B:$S,MATCH(E681,'Type Chart'!$A:$A,0),MATCH(XLOOKUP('Boss Editor'!$C$4,'Pokemon Editor'!$A:$A,'Pokemon Editor'!$C:$C,""),'Type Chart'!$B$1:$S$1,0))*IF(XLOOKUP('Boss Editor'!$C$4,'Pokemon Editor'!$A:$A,'Pokemon Editor'!$D:$D,"")="",1,INDEX('Type Chart'!$B:$S,MATCH(E681,'Type Chart'!$A:$A,0),MATCH(XLOOKUP('Boss Editor'!$C$4,'Pokemon Editor'!$A:$A,'Pokemon Editor'!$D:$D,""),'Type Chart'!$B$1:$S$1,0))))</f>
        <v/>
      </c>
      <c r="J681" s="3">
        <f>IFERROR(LET(mtype,XLOOKUP($D681,'Move Editor'!$B:$B,'Move Editor'!$C:$C,""),cat,XLOOKUP($D681,'Move Editor'!$B:$B,'Move Editor'!$D:$D,""),pow,XLOOKUP($D681,'Move Editor'!$B:$B,'Move Editor'!$E:$E,0),acc,XLOOKUP($D681,'Move Editor'!$B:$B,'Move Editor'!$F:$F,100),atk,IF(cat="Physical",FLOOR((FLOOR(((2*XLOOKUP(XLOOKUP($Q681,'Threshold Summary'!$Y:$Y,'Threshold Summary'!$K:$K,""),'Pokemon Editor'!$A:$A,'Pokemon Editor'!$F:$F,0)+31+FLOOR(XLOOKUP($Q681,'Threshold Summary'!$Y:$Y,'Threshold Summary'!$P:$P,"")/4))*XLOOKUP($Q681,'Threshold Summary'!$Y:$Y,'Threshold Summary'!$L:$L,""))/100)+5)*XLOOKUP(XLOOKUP($Q681,'Threshold Summary'!$Y:$Y,'Threshold Summary'!$M:$M,""),'Nature Editor'!$A:$A,'Nature Editor'!$B:$B,1)),FLOOR((FLOOR(((2*XLOOKUP(XLOOKUP($Q681,'Threshold Summary'!$Y:$Y,'Threshold Summary'!$K:$K,""),'Pokemon Editor'!$A:$A,'Pokemon Editor'!$H:$H,0)+31+FLOOR(XLOOKUP($Q681,'Threshold Summary'!$Y:$Y,'Threshold Summary'!$R:$R,"")/4))*XLOOKUP($Q681,'Threshold Summary'!$Y:$Y,'Threshold Summary'!$L:$L,""))/100)+5)*XLOOKUP(XLOOKUP($Q681,'Threshold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Editor'!$E:$E,1))),stab,IF(OR(mtype=XLOOKUP(XLOOKUP($Q681,'Threshold Summary'!$Y:$Y,'Threshold Summary'!$K:$K,""),'Pokemon Editor'!$A:$A,'Pokemon Editor'!$C:$C,""),mtype=XLOOKUP(XLOOKUP($Q681,'Threshold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Chart'!$B$1:$S$1,0)))),base,IF(OR(cat="Status",pow=0),0,FLOOR(FLOOR(FLOOR((2*XLOOKUP($Q681,'Threshold Summary'!$Y:$Y,'Threshold Summary'!$L:$L,"")/5+2)*pow*atk/def)/50)+2)),modifier,stab*eff,FLOOR(base*modifier*0.85)),0)</f>
        <v/>
      </c>
      <c r="K681" s="3">
        <f>IFERROR(LET(mtype,XLOOKUP($D681,'Move Editor'!$B:$B,'Move Editor'!$C:$C,""),cat,XLOOKUP($D681,'Move Editor'!$B:$B,'Move Editor'!$D:$D,""),pow,XLOOKUP($D681,'Move Editor'!$B:$B,'Move Editor'!$E:$E,0),acc,XLOOKUP($D681,'Move Editor'!$B:$B,'Move Editor'!$F:$F,100),atk,IF(cat="Physical",FLOOR((FLOOR(((2*XLOOKUP(XLOOKUP($Q681,'Threshold Summary'!$Y:$Y,'Threshold Summary'!$K:$K,""),'Pokemon Editor'!$A:$A,'Pokemon Editor'!$F:$F,0)+31+FLOOR(XLOOKUP($Q681,'Threshold Summary'!$Y:$Y,'Threshold Summary'!$P:$P,"")/4))*XLOOKUP($Q681,'Threshold Summary'!$Y:$Y,'Threshold Summary'!$L:$L,""))/100)+5)*XLOOKUP(XLOOKUP($Q681,'Threshold Summary'!$Y:$Y,'Threshold Summary'!$M:$M,""),'Nature Editor'!$A:$A,'Nature Editor'!$B:$B,1)),FLOOR((FLOOR(((2*XLOOKUP(XLOOKUP($Q681,'Threshold Summary'!$Y:$Y,'Threshold Summary'!$K:$K,""),'Pokemon Editor'!$A:$A,'Pokemon Editor'!$H:$H,0)+31+FLOOR(XLOOKUP($Q681,'Threshold Summary'!$Y:$Y,'Threshold Summary'!$R:$R,"")/4))*XLOOKUP($Q681,'Threshold Summary'!$Y:$Y,'Threshold Summary'!$L:$L,""))/100)+5)*XLOOKUP(XLOOKUP($Q681,'Threshold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Editor'!$E:$E,1))),stab,IF(OR(mtype=XLOOKUP(XLOOKUP($Q681,'Threshold Summary'!$Y:$Y,'Threshold Summary'!$K:$K,""),'Pokemon Editor'!$A:$A,'Pokemon Editor'!$C:$C,""),mtype=XLOOKUP(XLOOKUP($Q681,'Threshold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Chart'!$B$1:$S$1,0)))),base,IF(OR(cat="Status",pow=0),0,FLOOR(FLOOR(FLOOR((2*XLOOKUP($Q681,'Threshold Summary'!$Y:$Y,'Threshold Summary'!$L:$L,"")/5+2)*pow*atk/def)/50)+2)),modifier,stab*eff,FLOOR(base*modifier)),0)</f>
        <v/>
      </c>
      <c r="L681" s="3">
        <f>IFERROR(LET(mtype,XLOOKUP($D681,'Move Editor'!$B:$B,'Move Editor'!$C:$C,""),cat,XLOOKUP($D681,'Move Editor'!$B:$B,'Move Editor'!$D:$D,""),pow,XLOOKUP($D681,'Move Editor'!$B:$B,'Move Editor'!$E:$E,0),acc,XLOOKUP($D681,'Move Editor'!$B:$B,'Move Editor'!$F:$F,100),atk,IF(cat="Physical",FLOOR((FLOOR(((2*XLOOKUP(XLOOKUP($Q681,'Threshold Summary'!$Y:$Y,'Threshold Summary'!$K:$K,""),'Pokemon Editor'!$A:$A,'Pokemon Editor'!$F:$F,0)+31+FLOOR(XLOOKUP($Q681,'Threshold Summary'!$Y:$Y,'Threshold Summary'!$P:$P,"")/4))*XLOOKUP($Q681,'Threshold Summary'!$Y:$Y,'Threshold Summary'!$L:$L,""))/100)+5)*XLOOKUP(XLOOKUP($Q681,'Threshold Summary'!$Y:$Y,'Threshold Summary'!$M:$M,""),'Nature Editor'!$A:$A,'Nature Editor'!$B:$B,1)),FLOOR((FLOOR(((2*XLOOKUP(XLOOKUP($Q681,'Threshold Summary'!$Y:$Y,'Threshold Summary'!$K:$K,""),'Pokemon Editor'!$A:$A,'Pokemon Editor'!$H:$H,0)+31+FLOOR(XLOOKUP($Q681,'Threshold Summary'!$Y:$Y,'Threshold Summary'!$R:$R,"")/4))*XLOOKUP($Q681,'Threshold Summary'!$Y:$Y,'Threshold Summary'!$L:$L,""))/100)+5)*XLOOKUP(XLOOKUP($Q681,'Threshold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Editor'!$E:$E,1))),stab,IF(OR(mtype=XLOOKUP(XLOOKUP($Q681,'Threshold Summary'!$Y:$Y,'Threshold Summary'!$K:$K,""),'Pokemon Editor'!$A:$A,'Pokemon Editor'!$C:$C,""),mtype=XLOOKUP(XLOOKUP($Q681,'Threshold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Chart'!$B$1:$S$1,0)))),base,IF(OR(cat="Status",pow=0),0,FLOOR(FLOOR(FLOOR((2*XLOOKUP($Q681,'Threshold Summary'!$Y:$Y,'Threshold Summary'!$L:$L,"")/5+2)*pow*atk/def)/50)+2)),modifier,stab*eff,AVERAGE(ARRAYFORMULA(FLOOR(base*modifier*SEQUENCE(16,1,85,1)/100)))),0)</f>
        <v/>
      </c>
      <c r="M681" s="3">
        <f>IFERROR(LET(mtype,XLOOKUP($D681,'Move Editor'!$B:$B,'Move Editor'!$C:$C,""),cat,XLOOKUP($D681,'Move Editor'!$B:$B,'Move Editor'!$D:$D,""),pow,XLOOKUP($D681,'Move Editor'!$B:$B,'Move Editor'!$E:$E,0),acc,XLOOKUP($D681,'Move Editor'!$B:$B,'Move Editor'!$F:$F,100),atk,IF(cat="Physical",FLOOR((FLOOR(((2*XLOOKUP(XLOOKUP($Q681,'Threshold Summary'!$Y:$Y,'Threshold Summary'!$K:$K,""),'Pokemon Editor'!$A:$A,'Pokemon Editor'!$F:$F,0)+31+FLOOR(XLOOKUP($Q681,'Threshold Summary'!$Y:$Y,'Threshold Summary'!$P:$P,"")/4))*XLOOKUP($Q681,'Threshold Summary'!$Y:$Y,'Threshold Summary'!$L:$L,""))/100)+5)*XLOOKUP(XLOOKUP($Q681,'Threshold Summary'!$Y:$Y,'Threshold Summary'!$M:$M,""),'Nature Editor'!$A:$A,'Nature Editor'!$B:$B,1)),FLOOR((FLOOR(((2*XLOOKUP(XLOOKUP($Q681,'Threshold Summary'!$Y:$Y,'Threshold Summary'!$K:$K,""),'Pokemon Editor'!$A:$A,'Pokemon Editor'!$H:$H,0)+31+FLOOR(XLOOKUP($Q681,'Threshold Summary'!$Y:$Y,'Threshold Summary'!$R:$R,"")/4))*XLOOKUP($Q681,'Threshold Summary'!$Y:$Y,'Threshold Summary'!$L:$L,""))/100)+5)*XLOOKUP(XLOOKUP($Q681,'Threshold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Editor'!$E:$E,1))),stab,IF(OR(mtype=XLOOKUP(XLOOKUP($Q681,'Threshold Summary'!$Y:$Y,'Threshold Summary'!$K:$K,""),'Pokemon Editor'!$A:$A,'Pokemon Editor'!$C:$C,""),mtype=XLOOKUP(XLOOKUP($Q681,'Threshold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Chart'!$B$1:$S$1,0)))),base,IF(OR(cat="Status",pow=0),0,FLOOR(FLOOR(FLOOR((2*XLOOKUP($Q681,'Threshold Summary'!$Y:$Y,'Threshold Summary'!$L:$L,"")/5+2)*pow*atk/def)/50)+2)),modifier,stab*eff,AVERAGE(ARRAYFORMULA(FLOOR(base*modifier*SEQUENCE(16,1,85,1)/100)))*MIN(1,acc/100)),0)</f>
        <v/>
      </c>
      <c r="N681" s="4">
        <f>IFERROR(LET(mtype,XLOOKUP($D681,'Move Editor'!$B:$B,'Move Editor'!$C:$C,""),cat,XLOOKUP($D681,'Move Editor'!$B:$B,'Move Editor'!$D:$D,""),pow,XLOOKUP($D681,'Move Editor'!$B:$B,'Move Editor'!$E:$E,0),acc,XLOOKUP($D681,'Move Editor'!$B:$B,'Move Editor'!$F:$F,100),atk,IF(cat="Physical",FLOOR((FLOOR(((2*XLOOKUP(XLOOKUP($Q681,'Threshold Summary'!$Y:$Y,'Threshold Summary'!$K:$K,""),'Pokemon Editor'!$A:$A,'Pokemon Editor'!$F:$F,0)+31+FLOOR(XLOOKUP($Q681,'Threshold Summary'!$Y:$Y,'Threshold Summary'!$P:$P,"")/4))*XLOOKUP($Q681,'Threshold Summary'!$Y:$Y,'Threshold Summary'!$L:$L,""))/100)+5)*XLOOKUP(XLOOKUP($Q681,'Threshold Summary'!$Y:$Y,'Threshold Summary'!$M:$M,""),'Nature Editor'!$A:$A,'Nature Editor'!$B:$B,1)),FLOOR((FLOOR(((2*XLOOKUP(XLOOKUP($Q681,'Threshold Summary'!$Y:$Y,'Threshold Summary'!$K:$K,""),'Pokemon Editor'!$A:$A,'Pokemon Editor'!$H:$H,0)+31+FLOOR(XLOOKUP($Q681,'Threshold Summary'!$Y:$Y,'Threshold Summary'!$R:$R,"")/4))*XLOOKUP($Q681,'Threshold Summary'!$Y:$Y,'Threshold Summary'!$L:$L,""))/100)+5)*XLOOKUP(XLOOKUP($Q681,'Threshold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Editor'!$E:$E,1))),stab,IF(OR(mtype=XLOOKUP(XLOOKUP($Q681,'Threshold Summary'!$Y:$Y,'Threshold Summary'!$K:$K,""),'Pokemon Editor'!$A:$A,'Pokemon Editor'!$C:$C,""),mtype=XLOOKUP(XLOOKUP($Q681,'Threshold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Chart'!$B$1:$S$1,0)))),base,IF(OR(cat="Status",pow=0),0,FLOOR(FLOOR(FLOOR((2*XLOOKUP($Q681,'Threshold Summary'!$Y:$Y,'Threshold Summary'!$L:$L,"")/5+2)*pow*atk/def)/50)+2)),modifier,stab*eff,AVERAGE(ARRAYFORMULA(FLOOR(base*modifier*SEQUENCE(16,1,85,1)/100)))/(FLOOR(((2*XLOOKUP('Boss Editor'!$C$4,'Pokemon Editor'!$A:$A,'Pokemon Editor'!$E:$E,0)+31+FLOOR('Boss Editor'!$G$4/4))*'Boss Editor'!$D$4)/100)+'Boss Editor'!$D$4+10)),0)</f>
        <v/>
      </c>
      <c r="O681" s="3">
        <f>IF(N681&gt;=1,"OHKO",IF(N681&gt;=0.5,"2HKO",IF(N681&gt;=0.333,"3HKO",IF(N681&gt;=0.25,"4HKO","5HKO+"))))</f>
        <v/>
      </c>
      <c r="P681" s="3" t="inlineStr">
        <is>
          <t>Live from editable databases</t>
        </is>
      </c>
      <c r="Q681" s="3" t="inlineStr">
        <is>
          <t>SPECIES_PHANTUMP</t>
        </is>
      </c>
      <c r="R681" s="3" t="n">
        <v>8</v>
      </c>
    </row>
    <row r="682">
      <c r="A682" s="3">
        <f>XLOOKUP($Q682,'Threshold Summary'!$Y:$Y,'Threshold Summary'!$A:$A,"")</f>
        <v/>
      </c>
      <c r="B682" s="3">
        <f>XLOOKUP($Q682,'Threshold Summary'!$Y:$Y,'Threshold Summary'!$M:$M,"")</f>
        <v/>
      </c>
      <c r="C682" s="3">
        <f>XLOOKUP($Q682,'Threshold Summary'!$Y:$Y,'Threshold Summary'!$N:$N,"")</f>
        <v/>
      </c>
      <c r="D682" s="3">
        <f>IFERROR(INDEX(FILTER('Learnset Editor'!$D$2:$D,'Learnset Editor'!$A$2:$A=XLOOKUP($Q682,'Threshold Summary'!$Y:$Y,'Threshold Summary'!$K:$K,""),'Learnset Editor'!$C$2:$C&lt;=XLOOKUP($Q682,'Threshold Summary'!$Y:$Y,'Threshold Summary'!$L:$L,"")),$R682),"")</f>
        <v/>
      </c>
      <c r="E682" s="3">
        <f>XLOOKUP(D682,'Move Editor'!$B:$B,'Move Editor'!$C:$C,"")</f>
        <v/>
      </c>
      <c r="F682" s="3">
        <f>XLOOKUP(D682,'Move Editor'!$B:$B,'Move Editor'!$D:$D,"")</f>
        <v/>
      </c>
      <c r="G682" s="3">
        <f>XLOOKUP(D682,'Move Editor'!$B:$B,'Move Editor'!$E:$E,0)</f>
        <v/>
      </c>
      <c r="H682" s="3">
        <f>XLOOKUP(D682,'Move Editor'!$B:$B,'Move Editor'!$F:$F,0)</f>
        <v/>
      </c>
      <c r="I682" s="3">
        <f>(INDEX('Type Chart'!$B:$S,MATCH(E682,'Type Chart'!$A:$A,0),MATCH(XLOOKUP('Boss Editor'!$C$4,'Pokemon Editor'!$A:$A,'Pokemon Editor'!$C:$C,""),'Type Chart'!$B$1:$S$1,0))*IF(XLOOKUP('Boss Editor'!$C$4,'Pokemon Editor'!$A:$A,'Pokemon Editor'!$D:$D,"")="",1,INDEX('Type Chart'!$B:$S,MATCH(E682,'Type Chart'!$A:$A,0),MATCH(XLOOKUP('Boss Editor'!$C$4,'Pokemon Editor'!$A:$A,'Pokemon Editor'!$D:$D,""),'Type Chart'!$B$1:$S$1,0))))</f>
        <v/>
      </c>
      <c r="J682" s="3">
        <f>IFERROR(LET(mtype,XLOOKUP($D682,'Move Editor'!$B:$B,'Move Editor'!$C:$C,""),cat,XLOOKUP($D682,'Move Editor'!$B:$B,'Move Editor'!$D:$D,""),pow,XLOOKUP($D682,'Move Editor'!$B:$B,'Move Editor'!$E:$E,0),acc,XLOOKUP($D682,'Move Editor'!$B:$B,'Move Editor'!$F:$F,100),atk,IF(cat="Physical",FLOOR((FLOOR(((2*XLOOKUP(XLOOKUP($Q682,'Threshold Summary'!$Y:$Y,'Threshold Summary'!$K:$K,""),'Pokemon Editor'!$A:$A,'Pokemon Editor'!$F:$F,0)+31+FLOOR(XLOOKUP($Q682,'Threshold Summary'!$Y:$Y,'Threshold Summary'!$P:$P,"")/4))*XLOOKUP($Q682,'Threshold Summary'!$Y:$Y,'Threshold Summary'!$L:$L,""))/100)+5)*XLOOKUP(XLOOKUP($Q682,'Threshold Summary'!$Y:$Y,'Threshold Summary'!$M:$M,""),'Nature Editor'!$A:$A,'Nature Editor'!$B:$B,1)),FLOOR((FLOOR(((2*XLOOKUP(XLOOKUP($Q682,'Threshold Summary'!$Y:$Y,'Threshold Summary'!$K:$K,""),'Pokemon Editor'!$A:$A,'Pokemon Editor'!$H:$H,0)+31+FLOOR(XLOOKUP($Q682,'Threshold Summary'!$Y:$Y,'Threshold Summary'!$R:$R,"")/4))*XLOOKUP($Q682,'Threshold Summary'!$Y:$Y,'Threshold Summary'!$L:$L,""))/100)+5)*XLOOKUP(XLOOKUP($Q682,'Threshold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Editor'!$E:$E,1))),stab,IF(OR(mtype=XLOOKUP(XLOOKUP($Q682,'Threshold Summary'!$Y:$Y,'Threshold Summary'!$K:$K,""),'Pokemon Editor'!$A:$A,'Pokemon Editor'!$C:$C,""),mtype=XLOOKUP(XLOOKUP($Q682,'Threshold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Chart'!$B$1:$S$1,0)))),base,IF(OR(cat="Status",pow=0),0,FLOOR(FLOOR(FLOOR((2*XLOOKUP($Q682,'Threshold Summary'!$Y:$Y,'Threshold Summary'!$L:$L,"")/5+2)*pow*atk/def)/50)+2)),modifier,stab*eff,FLOOR(base*modifier*0.85)),0)</f>
        <v/>
      </c>
      <c r="K682" s="3">
        <f>IFERROR(LET(mtype,XLOOKUP($D682,'Move Editor'!$B:$B,'Move Editor'!$C:$C,""),cat,XLOOKUP($D682,'Move Editor'!$B:$B,'Move Editor'!$D:$D,""),pow,XLOOKUP($D682,'Move Editor'!$B:$B,'Move Editor'!$E:$E,0),acc,XLOOKUP($D682,'Move Editor'!$B:$B,'Move Editor'!$F:$F,100),atk,IF(cat="Physical",FLOOR((FLOOR(((2*XLOOKUP(XLOOKUP($Q682,'Threshold Summary'!$Y:$Y,'Threshold Summary'!$K:$K,""),'Pokemon Editor'!$A:$A,'Pokemon Editor'!$F:$F,0)+31+FLOOR(XLOOKUP($Q682,'Threshold Summary'!$Y:$Y,'Threshold Summary'!$P:$P,"")/4))*XLOOKUP($Q682,'Threshold Summary'!$Y:$Y,'Threshold Summary'!$L:$L,""))/100)+5)*XLOOKUP(XLOOKUP($Q682,'Threshold Summary'!$Y:$Y,'Threshold Summary'!$M:$M,""),'Nature Editor'!$A:$A,'Nature Editor'!$B:$B,1)),FLOOR((FLOOR(((2*XLOOKUP(XLOOKUP($Q682,'Threshold Summary'!$Y:$Y,'Threshold Summary'!$K:$K,""),'Pokemon Editor'!$A:$A,'Pokemon Editor'!$H:$H,0)+31+FLOOR(XLOOKUP($Q682,'Threshold Summary'!$Y:$Y,'Threshold Summary'!$R:$R,"")/4))*XLOOKUP($Q682,'Threshold Summary'!$Y:$Y,'Threshold Summary'!$L:$L,""))/100)+5)*XLOOKUP(XLOOKUP($Q682,'Threshold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Editor'!$E:$E,1))),stab,IF(OR(mtype=XLOOKUP(XLOOKUP($Q682,'Threshold Summary'!$Y:$Y,'Threshold Summary'!$K:$K,""),'Pokemon Editor'!$A:$A,'Pokemon Editor'!$C:$C,""),mtype=XLOOKUP(XLOOKUP($Q682,'Threshold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Chart'!$B$1:$S$1,0)))),base,IF(OR(cat="Status",pow=0),0,FLOOR(FLOOR(FLOOR((2*XLOOKUP($Q682,'Threshold Summary'!$Y:$Y,'Threshold Summary'!$L:$L,"")/5+2)*pow*atk/def)/50)+2)),modifier,stab*eff,FLOOR(base*modifier)),0)</f>
        <v/>
      </c>
      <c r="L682" s="3">
        <f>IFERROR(LET(mtype,XLOOKUP($D682,'Move Editor'!$B:$B,'Move Editor'!$C:$C,""),cat,XLOOKUP($D682,'Move Editor'!$B:$B,'Move Editor'!$D:$D,""),pow,XLOOKUP($D682,'Move Editor'!$B:$B,'Move Editor'!$E:$E,0),acc,XLOOKUP($D682,'Move Editor'!$B:$B,'Move Editor'!$F:$F,100),atk,IF(cat="Physical",FLOOR((FLOOR(((2*XLOOKUP(XLOOKUP($Q682,'Threshold Summary'!$Y:$Y,'Threshold Summary'!$K:$K,""),'Pokemon Editor'!$A:$A,'Pokemon Editor'!$F:$F,0)+31+FLOOR(XLOOKUP($Q682,'Threshold Summary'!$Y:$Y,'Threshold Summary'!$P:$P,"")/4))*XLOOKUP($Q682,'Threshold Summary'!$Y:$Y,'Threshold Summary'!$L:$L,""))/100)+5)*XLOOKUP(XLOOKUP($Q682,'Threshold Summary'!$Y:$Y,'Threshold Summary'!$M:$M,""),'Nature Editor'!$A:$A,'Nature Editor'!$B:$B,1)),FLOOR((FLOOR(((2*XLOOKUP(XLOOKUP($Q682,'Threshold Summary'!$Y:$Y,'Threshold Summary'!$K:$K,""),'Pokemon Editor'!$A:$A,'Pokemon Editor'!$H:$H,0)+31+FLOOR(XLOOKUP($Q682,'Threshold Summary'!$Y:$Y,'Threshold Summary'!$R:$R,"")/4))*XLOOKUP($Q682,'Threshold Summary'!$Y:$Y,'Threshold Summary'!$L:$L,""))/100)+5)*XLOOKUP(XLOOKUP($Q682,'Threshold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Editor'!$E:$E,1))),stab,IF(OR(mtype=XLOOKUP(XLOOKUP($Q682,'Threshold Summary'!$Y:$Y,'Threshold Summary'!$K:$K,""),'Pokemon Editor'!$A:$A,'Pokemon Editor'!$C:$C,""),mtype=XLOOKUP(XLOOKUP($Q682,'Threshold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Chart'!$B$1:$S$1,0)))),base,IF(OR(cat="Status",pow=0),0,FLOOR(FLOOR(FLOOR((2*XLOOKUP($Q682,'Threshold Summary'!$Y:$Y,'Threshold Summary'!$L:$L,"")/5+2)*pow*atk/def)/50)+2)),modifier,stab*eff,AVERAGE(ARRAYFORMULA(FLOOR(base*modifier*SEQUENCE(16,1,85,1)/100)))),0)</f>
        <v/>
      </c>
      <c r="M682" s="3">
        <f>IFERROR(LET(mtype,XLOOKUP($D682,'Move Editor'!$B:$B,'Move Editor'!$C:$C,""),cat,XLOOKUP($D682,'Move Editor'!$B:$B,'Move Editor'!$D:$D,""),pow,XLOOKUP($D682,'Move Editor'!$B:$B,'Move Editor'!$E:$E,0),acc,XLOOKUP($D682,'Move Editor'!$B:$B,'Move Editor'!$F:$F,100),atk,IF(cat="Physical",FLOOR((FLOOR(((2*XLOOKUP(XLOOKUP($Q682,'Threshold Summary'!$Y:$Y,'Threshold Summary'!$K:$K,""),'Pokemon Editor'!$A:$A,'Pokemon Editor'!$F:$F,0)+31+FLOOR(XLOOKUP($Q682,'Threshold Summary'!$Y:$Y,'Threshold Summary'!$P:$P,"")/4))*XLOOKUP($Q682,'Threshold Summary'!$Y:$Y,'Threshold Summary'!$L:$L,""))/100)+5)*XLOOKUP(XLOOKUP($Q682,'Threshold Summary'!$Y:$Y,'Threshold Summary'!$M:$M,""),'Nature Editor'!$A:$A,'Nature Editor'!$B:$B,1)),FLOOR((FLOOR(((2*XLOOKUP(XLOOKUP($Q682,'Threshold Summary'!$Y:$Y,'Threshold Summary'!$K:$K,""),'Pokemon Editor'!$A:$A,'Pokemon Editor'!$H:$H,0)+31+FLOOR(XLOOKUP($Q682,'Threshold Summary'!$Y:$Y,'Threshold Summary'!$R:$R,"")/4))*XLOOKUP($Q682,'Threshold Summary'!$Y:$Y,'Threshold Summary'!$L:$L,""))/100)+5)*XLOOKUP(XLOOKUP($Q682,'Threshold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Editor'!$E:$E,1))),stab,IF(OR(mtype=XLOOKUP(XLOOKUP($Q682,'Threshold Summary'!$Y:$Y,'Threshold Summary'!$K:$K,""),'Pokemon Editor'!$A:$A,'Pokemon Editor'!$C:$C,""),mtype=XLOOKUP(XLOOKUP($Q682,'Threshold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Chart'!$B$1:$S$1,0)))),base,IF(OR(cat="Status",pow=0),0,FLOOR(FLOOR(FLOOR((2*XLOOKUP($Q682,'Threshold Summary'!$Y:$Y,'Threshold Summary'!$L:$L,"")/5+2)*pow*atk/def)/50)+2)),modifier,stab*eff,AVERAGE(ARRAYFORMULA(FLOOR(base*modifier*SEQUENCE(16,1,85,1)/100)))*MIN(1,acc/100)),0)</f>
        <v/>
      </c>
      <c r="N682" s="4">
        <f>IFERROR(LET(mtype,XLOOKUP($D682,'Move Editor'!$B:$B,'Move Editor'!$C:$C,""),cat,XLOOKUP($D682,'Move Editor'!$B:$B,'Move Editor'!$D:$D,""),pow,XLOOKUP($D682,'Move Editor'!$B:$B,'Move Editor'!$E:$E,0),acc,XLOOKUP($D682,'Move Editor'!$B:$B,'Move Editor'!$F:$F,100),atk,IF(cat="Physical",FLOOR((FLOOR(((2*XLOOKUP(XLOOKUP($Q682,'Threshold Summary'!$Y:$Y,'Threshold Summary'!$K:$K,""),'Pokemon Editor'!$A:$A,'Pokemon Editor'!$F:$F,0)+31+FLOOR(XLOOKUP($Q682,'Threshold Summary'!$Y:$Y,'Threshold Summary'!$P:$P,"")/4))*XLOOKUP($Q682,'Threshold Summary'!$Y:$Y,'Threshold Summary'!$L:$L,""))/100)+5)*XLOOKUP(XLOOKUP($Q682,'Threshold Summary'!$Y:$Y,'Threshold Summary'!$M:$M,""),'Nature Editor'!$A:$A,'Nature Editor'!$B:$B,1)),FLOOR((FLOOR(((2*XLOOKUP(XLOOKUP($Q682,'Threshold Summary'!$Y:$Y,'Threshold Summary'!$K:$K,""),'Pokemon Editor'!$A:$A,'Pokemon Editor'!$H:$H,0)+31+FLOOR(XLOOKUP($Q682,'Threshold Summary'!$Y:$Y,'Threshold Summary'!$R:$R,"")/4))*XLOOKUP($Q682,'Threshold Summary'!$Y:$Y,'Threshold Summary'!$L:$L,""))/100)+5)*XLOOKUP(XLOOKUP($Q682,'Threshold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Editor'!$E:$E,1))),stab,IF(OR(mtype=XLOOKUP(XLOOKUP($Q682,'Threshold Summary'!$Y:$Y,'Threshold Summary'!$K:$K,""),'Pokemon Editor'!$A:$A,'Pokemon Editor'!$C:$C,""),mtype=XLOOKUP(XLOOKUP($Q682,'Threshold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Chart'!$B$1:$S$1,0)))),base,IF(OR(cat="Status",pow=0),0,FLOOR(FLOOR(FLOOR((2*XLOOKUP($Q682,'Threshold Summary'!$Y:$Y,'Threshold Summary'!$L:$L,"")/5+2)*pow*atk/def)/50)+2)),modifier,stab*eff,AVERAGE(ARRAYFORMULA(FLOOR(base*modifier*SEQUENCE(16,1,85,1)/100)))/(FLOOR(((2*XLOOKUP('Boss Editor'!$C$4,'Pokemon Editor'!$A:$A,'Pokemon Editor'!$E:$E,0)+31+FLOOR('Boss Editor'!$G$4/4))*'Boss Editor'!$D$4)/100)+'Boss Editor'!$D$4+10)),0)</f>
        <v/>
      </c>
      <c r="O682" s="3">
        <f>IF(N682&gt;=1,"OHKO",IF(N682&gt;=0.5,"2HKO",IF(N682&gt;=0.333,"3HKO",IF(N682&gt;=0.25,"4HKO","5HKO+"))))</f>
        <v/>
      </c>
      <c r="P682" s="3" t="inlineStr">
        <is>
          <t>Live from editable databases</t>
        </is>
      </c>
      <c r="Q682" s="3" t="inlineStr">
        <is>
          <t>SPECIES_PHANTUMP</t>
        </is>
      </c>
      <c r="R682" s="3" t="n">
        <v>9</v>
      </c>
    </row>
    <row r="683">
      <c r="A683" s="3">
        <f>XLOOKUP($Q683,'Threshold Summary'!$Y:$Y,'Threshold Summary'!$A:$A,"")</f>
        <v/>
      </c>
      <c r="B683" s="3">
        <f>XLOOKUP($Q683,'Threshold Summary'!$Y:$Y,'Threshold Summary'!$M:$M,"")</f>
        <v/>
      </c>
      <c r="C683" s="3">
        <f>XLOOKUP($Q683,'Threshold Summary'!$Y:$Y,'Threshold Summary'!$N:$N,"")</f>
        <v/>
      </c>
      <c r="D683" s="3">
        <f>IFERROR(INDEX(FILTER('Learnset Editor'!$D$2:$D,'Learnset Editor'!$A$2:$A=XLOOKUP($Q683,'Threshold Summary'!$Y:$Y,'Threshold Summary'!$K:$K,""),'Learnset Editor'!$C$2:$C&lt;=XLOOKUP($Q683,'Threshold Summary'!$Y:$Y,'Threshold Summary'!$L:$L,"")),$R683),"")</f>
        <v/>
      </c>
      <c r="E683" s="3">
        <f>XLOOKUP(D683,'Move Editor'!$B:$B,'Move Editor'!$C:$C,"")</f>
        <v/>
      </c>
      <c r="F683" s="3">
        <f>XLOOKUP(D683,'Move Editor'!$B:$B,'Move Editor'!$D:$D,"")</f>
        <v/>
      </c>
      <c r="G683" s="3">
        <f>XLOOKUP(D683,'Move Editor'!$B:$B,'Move Editor'!$E:$E,0)</f>
        <v/>
      </c>
      <c r="H683" s="3">
        <f>XLOOKUP(D683,'Move Editor'!$B:$B,'Move Editor'!$F:$F,0)</f>
        <v/>
      </c>
      <c r="I683" s="3">
        <f>(INDEX('Type Chart'!$B:$S,MATCH(E683,'Type Chart'!$A:$A,0),MATCH(XLOOKUP('Boss Editor'!$C$4,'Pokemon Editor'!$A:$A,'Pokemon Editor'!$C:$C,""),'Type Chart'!$B$1:$S$1,0))*IF(XLOOKUP('Boss Editor'!$C$4,'Pokemon Editor'!$A:$A,'Pokemon Editor'!$D:$D,"")="",1,INDEX('Type Chart'!$B:$S,MATCH(E683,'Type Chart'!$A:$A,0),MATCH(XLOOKUP('Boss Editor'!$C$4,'Pokemon Editor'!$A:$A,'Pokemon Editor'!$D:$D,""),'Type Chart'!$B$1:$S$1,0))))</f>
        <v/>
      </c>
      <c r="J683" s="3">
        <f>IFERROR(LET(mtype,XLOOKUP($D683,'Move Editor'!$B:$B,'Move Editor'!$C:$C,""),cat,XLOOKUP($D683,'Move Editor'!$B:$B,'Move Editor'!$D:$D,""),pow,XLOOKUP($D683,'Move Editor'!$B:$B,'Move Editor'!$E:$E,0),acc,XLOOKUP($D683,'Move Editor'!$B:$B,'Move Editor'!$F:$F,100),atk,IF(cat="Physical",FLOOR((FLOOR(((2*XLOOKUP(XLOOKUP($Q683,'Threshold Summary'!$Y:$Y,'Threshold Summary'!$K:$K,""),'Pokemon Editor'!$A:$A,'Pokemon Editor'!$F:$F,0)+31+FLOOR(XLOOKUP($Q683,'Threshold Summary'!$Y:$Y,'Threshold Summary'!$P:$P,"")/4))*XLOOKUP($Q683,'Threshold Summary'!$Y:$Y,'Threshold Summary'!$L:$L,""))/100)+5)*XLOOKUP(XLOOKUP($Q683,'Threshold Summary'!$Y:$Y,'Threshold Summary'!$M:$M,""),'Nature Editor'!$A:$A,'Nature Editor'!$B:$B,1)),FLOOR((FLOOR(((2*XLOOKUP(XLOOKUP($Q683,'Threshold Summary'!$Y:$Y,'Threshold Summary'!$K:$K,""),'Pokemon Editor'!$A:$A,'Pokemon Editor'!$H:$H,0)+31+FLOOR(XLOOKUP($Q683,'Threshold Summary'!$Y:$Y,'Threshold Summary'!$R:$R,"")/4))*XLOOKUP($Q683,'Threshold Summary'!$Y:$Y,'Threshold Summary'!$L:$L,""))/100)+5)*XLOOKUP(XLOOKUP($Q683,'Threshold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Editor'!$E:$E,1))),stab,IF(OR(mtype=XLOOKUP(XLOOKUP($Q683,'Threshold Summary'!$Y:$Y,'Threshold Summary'!$K:$K,""),'Pokemon Editor'!$A:$A,'Pokemon Editor'!$C:$C,""),mtype=XLOOKUP(XLOOKUP($Q683,'Threshold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Chart'!$B$1:$S$1,0)))),base,IF(OR(cat="Status",pow=0),0,FLOOR(FLOOR(FLOOR((2*XLOOKUP($Q683,'Threshold Summary'!$Y:$Y,'Threshold Summary'!$L:$L,"")/5+2)*pow*atk/def)/50)+2)),modifier,stab*eff,FLOOR(base*modifier*0.85)),0)</f>
        <v/>
      </c>
      <c r="K683" s="3">
        <f>IFERROR(LET(mtype,XLOOKUP($D683,'Move Editor'!$B:$B,'Move Editor'!$C:$C,""),cat,XLOOKUP($D683,'Move Editor'!$B:$B,'Move Editor'!$D:$D,""),pow,XLOOKUP($D683,'Move Editor'!$B:$B,'Move Editor'!$E:$E,0),acc,XLOOKUP($D683,'Move Editor'!$B:$B,'Move Editor'!$F:$F,100),atk,IF(cat="Physical",FLOOR((FLOOR(((2*XLOOKUP(XLOOKUP($Q683,'Threshold Summary'!$Y:$Y,'Threshold Summary'!$K:$K,""),'Pokemon Editor'!$A:$A,'Pokemon Editor'!$F:$F,0)+31+FLOOR(XLOOKUP($Q683,'Threshold Summary'!$Y:$Y,'Threshold Summary'!$P:$P,"")/4))*XLOOKUP($Q683,'Threshold Summary'!$Y:$Y,'Threshold Summary'!$L:$L,""))/100)+5)*XLOOKUP(XLOOKUP($Q683,'Threshold Summary'!$Y:$Y,'Threshold Summary'!$M:$M,""),'Nature Editor'!$A:$A,'Nature Editor'!$B:$B,1)),FLOOR((FLOOR(((2*XLOOKUP(XLOOKUP($Q683,'Threshold Summary'!$Y:$Y,'Threshold Summary'!$K:$K,""),'Pokemon Editor'!$A:$A,'Pokemon Editor'!$H:$H,0)+31+FLOOR(XLOOKUP($Q683,'Threshold Summary'!$Y:$Y,'Threshold Summary'!$R:$R,"")/4))*XLOOKUP($Q683,'Threshold Summary'!$Y:$Y,'Threshold Summary'!$L:$L,""))/100)+5)*XLOOKUP(XLOOKUP($Q683,'Threshold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Editor'!$E:$E,1))),stab,IF(OR(mtype=XLOOKUP(XLOOKUP($Q683,'Threshold Summary'!$Y:$Y,'Threshold Summary'!$K:$K,""),'Pokemon Editor'!$A:$A,'Pokemon Editor'!$C:$C,""),mtype=XLOOKUP(XLOOKUP($Q683,'Threshold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Chart'!$B$1:$S$1,0)))),base,IF(OR(cat="Status",pow=0),0,FLOOR(FLOOR(FLOOR((2*XLOOKUP($Q683,'Threshold Summary'!$Y:$Y,'Threshold Summary'!$L:$L,"")/5+2)*pow*atk/def)/50)+2)),modifier,stab*eff,FLOOR(base*modifier)),0)</f>
        <v/>
      </c>
      <c r="L683" s="3">
        <f>IFERROR(LET(mtype,XLOOKUP($D683,'Move Editor'!$B:$B,'Move Editor'!$C:$C,""),cat,XLOOKUP($D683,'Move Editor'!$B:$B,'Move Editor'!$D:$D,""),pow,XLOOKUP($D683,'Move Editor'!$B:$B,'Move Editor'!$E:$E,0),acc,XLOOKUP($D683,'Move Editor'!$B:$B,'Move Editor'!$F:$F,100),atk,IF(cat="Physical",FLOOR((FLOOR(((2*XLOOKUP(XLOOKUP($Q683,'Threshold Summary'!$Y:$Y,'Threshold Summary'!$K:$K,""),'Pokemon Editor'!$A:$A,'Pokemon Editor'!$F:$F,0)+31+FLOOR(XLOOKUP($Q683,'Threshold Summary'!$Y:$Y,'Threshold Summary'!$P:$P,"")/4))*XLOOKUP($Q683,'Threshold Summary'!$Y:$Y,'Threshold Summary'!$L:$L,""))/100)+5)*XLOOKUP(XLOOKUP($Q683,'Threshold Summary'!$Y:$Y,'Threshold Summary'!$M:$M,""),'Nature Editor'!$A:$A,'Nature Editor'!$B:$B,1)),FLOOR((FLOOR(((2*XLOOKUP(XLOOKUP($Q683,'Threshold Summary'!$Y:$Y,'Threshold Summary'!$K:$K,""),'Pokemon Editor'!$A:$A,'Pokemon Editor'!$H:$H,0)+31+FLOOR(XLOOKUP($Q683,'Threshold Summary'!$Y:$Y,'Threshold Summary'!$R:$R,"")/4))*XLOOKUP($Q683,'Threshold Summary'!$Y:$Y,'Threshold Summary'!$L:$L,""))/100)+5)*XLOOKUP(XLOOKUP($Q683,'Threshold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Editor'!$E:$E,1))),stab,IF(OR(mtype=XLOOKUP(XLOOKUP($Q683,'Threshold Summary'!$Y:$Y,'Threshold Summary'!$K:$K,""),'Pokemon Editor'!$A:$A,'Pokemon Editor'!$C:$C,""),mtype=XLOOKUP(XLOOKUP($Q683,'Threshold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Chart'!$B$1:$S$1,0)))),base,IF(OR(cat="Status",pow=0),0,FLOOR(FLOOR(FLOOR((2*XLOOKUP($Q683,'Threshold Summary'!$Y:$Y,'Threshold Summary'!$L:$L,"")/5+2)*pow*atk/def)/50)+2)),modifier,stab*eff,AVERAGE(ARRAYFORMULA(FLOOR(base*modifier*SEQUENCE(16,1,85,1)/100)))),0)</f>
        <v/>
      </c>
      <c r="M683" s="3">
        <f>IFERROR(LET(mtype,XLOOKUP($D683,'Move Editor'!$B:$B,'Move Editor'!$C:$C,""),cat,XLOOKUP($D683,'Move Editor'!$B:$B,'Move Editor'!$D:$D,""),pow,XLOOKUP($D683,'Move Editor'!$B:$B,'Move Editor'!$E:$E,0),acc,XLOOKUP($D683,'Move Editor'!$B:$B,'Move Editor'!$F:$F,100),atk,IF(cat="Physical",FLOOR((FLOOR(((2*XLOOKUP(XLOOKUP($Q683,'Threshold Summary'!$Y:$Y,'Threshold Summary'!$K:$K,""),'Pokemon Editor'!$A:$A,'Pokemon Editor'!$F:$F,0)+31+FLOOR(XLOOKUP($Q683,'Threshold Summary'!$Y:$Y,'Threshold Summary'!$P:$P,"")/4))*XLOOKUP($Q683,'Threshold Summary'!$Y:$Y,'Threshold Summary'!$L:$L,""))/100)+5)*XLOOKUP(XLOOKUP($Q683,'Threshold Summary'!$Y:$Y,'Threshold Summary'!$M:$M,""),'Nature Editor'!$A:$A,'Nature Editor'!$B:$B,1)),FLOOR((FLOOR(((2*XLOOKUP(XLOOKUP($Q683,'Threshold Summary'!$Y:$Y,'Threshold Summary'!$K:$K,""),'Pokemon Editor'!$A:$A,'Pokemon Editor'!$H:$H,0)+31+FLOOR(XLOOKUP($Q683,'Threshold Summary'!$Y:$Y,'Threshold Summary'!$R:$R,"")/4))*XLOOKUP($Q683,'Threshold Summary'!$Y:$Y,'Threshold Summary'!$L:$L,""))/100)+5)*XLOOKUP(XLOOKUP($Q683,'Threshold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Editor'!$E:$E,1))),stab,IF(OR(mtype=XLOOKUP(XLOOKUP($Q683,'Threshold Summary'!$Y:$Y,'Threshold Summary'!$K:$K,""),'Pokemon Editor'!$A:$A,'Pokemon Editor'!$C:$C,""),mtype=XLOOKUP(XLOOKUP($Q683,'Threshold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Chart'!$B$1:$S$1,0)))),base,IF(OR(cat="Status",pow=0),0,FLOOR(FLOOR(FLOOR((2*XLOOKUP($Q683,'Threshold Summary'!$Y:$Y,'Threshold Summary'!$L:$L,"")/5+2)*pow*atk/def)/50)+2)),modifier,stab*eff,AVERAGE(ARRAYFORMULA(FLOOR(base*modifier*SEQUENCE(16,1,85,1)/100)))*MIN(1,acc/100)),0)</f>
        <v/>
      </c>
      <c r="N683" s="4">
        <f>IFERROR(LET(mtype,XLOOKUP($D683,'Move Editor'!$B:$B,'Move Editor'!$C:$C,""),cat,XLOOKUP($D683,'Move Editor'!$B:$B,'Move Editor'!$D:$D,""),pow,XLOOKUP($D683,'Move Editor'!$B:$B,'Move Editor'!$E:$E,0),acc,XLOOKUP($D683,'Move Editor'!$B:$B,'Move Editor'!$F:$F,100),atk,IF(cat="Physical",FLOOR((FLOOR(((2*XLOOKUP(XLOOKUP($Q683,'Threshold Summary'!$Y:$Y,'Threshold Summary'!$K:$K,""),'Pokemon Editor'!$A:$A,'Pokemon Editor'!$F:$F,0)+31+FLOOR(XLOOKUP($Q683,'Threshold Summary'!$Y:$Y,'Threshold Summary'!$P:$P,"")/4))*XLOOKUP($Q683,'Threshold Summary'!$Y:$Y,'Threshold Summary'!$L:$L,""))/100)+5)*XLOOKUP(XLOOKUP($Q683,'Threshold Summary'!$Y:$Y,'Threshold Summary'!$M:$M,""),'Nature Editor'!$A:$A,'Nature Editor'!$B:$B,1)),FLOOR((FLOOR(((2*XLOOKUP(XLOOKUP($Q683,'Threshold Summary'!$Y:$Y,'Threshold Summary'!$K:$K,""),'Pokemon Editor'!$A:$A,'Pokemon Editor'!$H:$H,0)+31+FLOOR(XLOOKUP($Q683,'Threshold Summary'!$Y:$Y,'Threshold Summary'!$R:$R,"")/4))*XLOOKUP($Q683,'Threshold Summary'!$Y:$Y,'Threshold Summary'!$L:$L,""))/100)+5)*XLOOKUP(XLOOKUP($Q683,'Threshold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Editor'!$E:$E,1))),stab,IF(OR(mtype=XLOOKUP(XLOOKUP($Q683,'Threshold Summary'!$Y:$Y,'Threshold Summary'!$K:$K,""),'Pokemon Editor'!$A:$A,'Pokemon Editor'!$C:$C,""),mtype=XLOOKUP(XLOOKUP($Q683,'Threshold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Chart'!$B$1:$S$1,0)))),base,IF(OR(cat="Status",pow=0),0,FLOOR(FLOOR(FLOOR((2*XLOOKUP($Q683,'Threshold Summary'!$Y:$Y,'Threshold Summary'!$L:$L,"")/5+2)*pow*atk/def)/50)+2)),modifier,stab*eff,AVERAGE(ARRAYFORMULA(FLOOR(base*modifier*SEQUENCE(16,1,85,1)/100)))/(FLOOR(((2*XLOOKUP('Boss Editor'!$C$4,'Pokemon Editor'!$A:$A,'Pokemon Editor'!$E:$E,0)+31+FLOOR('Boss Editor'!$G$4/4))*'Boss Editor'!$D$4)/100)+'Boss Editor'!$D$4+10)),0)</f>
        <v/>
      </c>
      <c r="O683" s="3">
        <f>IF(N683&gt;=1,"OHKO",IF(N683&gt;=0.5,"2HKO",IF(N683&gt;=0.333,"3HKO",IF(N683&gt;=0.25,"4HKO","5HKO+"))))</f>
        <v/>
      </c>
      <c r="P683" s="3" t="inlineStr">
        <is>
          <t>Live from editable databases</t>
        </is>
      </c>
      <c r="Q683" s="3" t="inlineStr">
        <is>
          <t>SPECIES_PHANTUMP</t>
        </is>
      </c>
      <c r="R683" s="3" t="n">
        <v>10</v>
      </c>
    </row>
    <row r="684">
      <c r="A684" s="3">
        <f>XLOOKUP($Q684,'Threshold Summary'!$Y:$Y,'Threshold Summary'!$A:$A,"")</f>
        <v/>
      </c>
      <c r="B684" s="3">
        <f>XLOOKUP($Q684,'Threshold Summary'!$Y:$Y,'Threshold Summary'!$M:$M,"")</f>
        <v/>
      </c>
      <c r="C684" s="3">
        <f>XLOOKUP($Q684,'Threshold Summary'!$Y:$Y,'Threshold Summary'!$N:$N,"")</f>
        <v/>
      </c>
      <c r="D684" s="3">
        <f>IFERROR(INDEX(FILTER('Learnset Editor'!$D$2:$D,'Learnset Editor'!$A$2:$A=XLOOKUP($Q684,'Threshold Summary'!$Y:$Y,'Threshold Summary'!$K:$K,""),'Learnset Editor'!$C$2:$C&lt;=XLOOKUP($Q684,'Threshold Summary'!$Y:$Y,'Threshold Summary'!$L:$L,"")),$R684),"")</f>
        <v/>
      </c>
      <c r="E684" s="3">
        <f>XLOOKUP(D684,'Move Editor'!$B:$B,'Move Editor'!$C:$C,"")</f>
        <v/>
      </c>
      <c r="F684" s="3">
        <f>XLOOKUP(D684,'Move Editor'!$B:$B,'Move Editor'!$D:$D,"")</f>
        <v/>
      </c>
      <c r="G684" s="3">
        <f>XLOOKUP(D684,'Move Editor'!$B:$B,'Move Editor'!$E:$E,0)</f>
        <v/>
      </c>
      <c r="H684" s="3">
        <f>XLOOKUP(D684,'Move Editor'!$B:$B,'Move Editor'!$F:$F,0)</f>
        <v/>
      </c>
      <c r="I684" s="3">
        <f>(INDEX('Type Chart'!$B:$S,MATCH(E684,'Type Chart'!$A:$A,0),MATCH(XLOOKUP('Boss Editor'!$C$4,'Pokemon Editor'!$A:$A,'Pokemon Editor'!$C:$C,""),'Type Chart'!$B$1:$S$1,0))*IF(XLOOKUP('Boss Editor'!$C$4,'Pokemon Editor'!$A:$A,'Pokemon Editor'!$D:$D,"")="",1,INDEX('Type Chart'!$B:$S,MATCH(E684,'Type Chart'!$A:$A,0),MATCH(XLOOKUP('Boss Editor'!$C$4,'Pokemon Editor'!$A:$A,'Pokemon Editor'!$D:$D,""),'Type Chart'!$B$1:$S$1,0))))</f>
        <v/>
      </c>
      <c r="J684" s="3">
        <f>IFERROR(LET(mtype,XLOOKUP($D684,'Move Editor'!$B:$B,'Move Editor'!$C:$C,""),cat,XLOOKUP($D684,'Move Editor'!$B:$B,'Move Editor'!$D:$D,""),pow,XLOOKUP($D684,'Move Editor'!$B:$B,'Move Editor'!$E:$E,0),acc,XLOOKUP($D684,'Move Editor'!$B:$B,'Move Editor'!$F:$F,100),atk,IF(cat="Physical",FLOOR((FLOOR(((2*XLOOKUP(XLOOKUP($Q684,'Threshold Summary'!$Y:$Y,'Threshold Summary'!$K:$K,""),'Pokemon Editor'!$A:$A,'Pokemon Editor'!$F:$F,0)+31+FLOOR(XLOOKUP($Q684,'Threshold Summary'!$Y:$Y,'Threshold Summary'!$P:$P,"")/4))*XLOOKUP($Q684,'Threshold Summary'!$Y:$Y,'Threshold Summary'!$L:$L,""))/100)+5)*XLOOKUP(XLOOKUP($Q684,'Threshold Summary'!$Y:$Y,'Threshold Summary'!$M:$M,""),'Nature Editor'!$A:$A,'Nature Editor'!$B:$B,1)),FLOOR((FLOOR(((2*XLOOKUP(XLOOKUP($Q684,'Threshold Summary'!$Y:$Y,'Threshold Summary'!$K:$K,""),'Pokemon Editor'!$A:$A,'Pokemon Editor'!$H:$H,0)+31+FLOOR(XLOOKUP($Q684,'Threshold Summary'!$Y:$Y,'Threshold Summary'!$R:$R,"")/4))*XLOOKUP($Q684,'Threshold Summary'!$Y:$Y,'Threshold Summary'!$L:$L,""))/100)+5)*XLOOKUP(XLOOKUP($Q684,'Threshold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Editor'!$E:$E,1))),stab,IF(OR(mtype=XLOOKUP(XLOOKUP($Q684,'Threshold Summary'!$Y:$Y,'Threshold Summary'!$K:$K,""),'Pokemon Editor'!$A:$A,'Pokemon Editor'!$C:$C,""),mtype=XLOOKUP(XLOOKUP($Q684,'Threshold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Chart'!$B$1:$S$1,0)))),base,IF(OR(cat="Status",pow=0),0,FLOOR(FLOOR(FLOOR((2*XLOOKUP($Q684,'Threshold Summary'!$Y:$Y,'Threshold Summary'!$L:$L,"")/5+2)*pow*atk/def)/50)+2)),modifier,stab*eff,FLOOR(base*modifier*0.85)),0)</f>
        <v/>
      </c>
      <c r="K684" s="3">
        <f>IFERROR(LET(mtype,XLOOKUP($D684,'Move Editor'!$B:$B,'Move Editor'!$C:$C,""),cat,XLOOKUP($D684,'Move Editor'!$B:$B,'Move Editor'!$D:$D,""),pow,XLOOKUP($D684,'Move Editor'!$B:$B,'Move Editor'!$E:$E,0),acc,XLOOKUP($D684,'Move Editor'!$B:$B,'Move Editor'!$F:$F,100),atk,IF(cat="Physical",FLOOR((FLOOR(((2*XLOOKUP(XLOOKUP($Q684,'Threshold Summary'!$Y:$Y,'Threshold Summary'!$K:$K,""),'Pokemon Editor'!$A:$A,'Pokemon Editor'!$F:$F,0)+31+FLOOR(XLOOKUP($Q684,'Threshold Summary'!$Y:$Y,'Threshold Summary'!$P:$P,"")/4))*XLOOKUP($Q684,'Threshold Summary'!$Y:$Y,'Threshold Summary'!$L:$L,""))/100)+5)*XLOOKUP(XLOOKUP($Q684,'Threshold Summary'!$Y:$Y,'Threshold Summary'!$M:$M,""),'Nature Editor'!$A:$A,'Nature Editor'!$B:$B,1)),FLOOR((FLOOR(((2*XLOOKUP(XLOOKUP($Q684,'Threshold Summary'!$Y:$Y,'Threshold Summary'!$K:$K,""),'Pokemon Editor'!$A:$A,'Pokemon Editor'!$H:$H,0)+31+FLOOR(XLOOKUP($Q684,'Threshold Summary'!$Y:$Y,'Threshold Summary'!$R:$R,"")/4))*XLOOKUP($Q684,'Threshold Summary'!$Y:$Y,'Threshold Summary'!$L:$L,""))/100)+5)*XLOOKUP(XLOOKUP($Q684,'Threshold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Editor'!$E:$E,1))),stab,IF(OR(mtype=XLOOKUP(XLOOKUP($Q684,'Threshold Summary'!$Y:$Y,'Threshold Summary'!$K:$K,""),'Pokemon Editor'!$A:$A,'Pokemon Editor'!$C:$C,""),mtype=XLOOKUP(XLOOKUP($Q684,'Threshold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Chart'!$B$1:$S$1,0)))),base,IF(OR(cat="Status",pow=0),0,FLOOR(FLOOR(FLOOR((2*XLOOKUP($Q684,'Threshold Summary'!$Y:$Y,'Threshold Summary'!$L:$L,"")/5+2)*pow*atk/def)/50)+2)),modifier,stab*eff,FLOOR(base*modifier)),0)</f>
        <v/>
      </c>
      <c r="L684" s="3">
        <f>IFERROR(LET(mtype,XLOOKUP($D684,'Move Editor'!$B:$B,'Move Editor'!$C:$C,""),cat,XLOOKUP($D684,'Move Editor'!$B:$B,'Move Editor'!$D:$D,""),pow,XLOOKUP($D684,'Move Editor'!$B:$B,'Move Editor'!$E:$E,0),acc,XLOOKUP($D684,'Move Editor'!$B:$B,'Move Editor'!$F:$F,100),atk,IF(cat="Physical",FLOOR((FLOOR(((2*XLOOKUP(XLOOKUP($Q684,'Threshold Summary'!$Y:$Y,'Threshold Summary'!$K:$K,""),'Pokemon Editor'!$A:$A,'Pokemon Editor'!$F:$F,0)+31+FLOOR(XLOOKUP($Q684,'Threshold Summary'!$Y:$Y,'Threshold Summary'!$P:$P,"")/4))*XLOOKUP($Q684,'Threshold Summary'!$Y:$Y,'Threshold Summary'!$L:$L,""))/100)+5)*XLOOKUP(XLOOKUP($Q684,'Threshold Summary'!$Y:$Y,'Threshold Summary'!$M:$M,""),'Nature Editor'!$A:$A,'Nature Editor'!$B:$B,1)),FLOOR((FLOOR(((2*XLOOKUP(XLOOKUP($Q684,'Threshold Summary'!$Y:$Y,'Threshold Summary'!$K:$K,""),'Pokemon Editor'!$A:$A,'Pokemon Editor'!$H:$H,0)+31+FLOOR(XLOOKUP($Q684,'Threshold Summary'!$Y:$Y,'Threshold Summary'!$R:$R,"")/4))*XLOOKUP($Q684,'Threshold Summary'!$Y:$Y,'Threshold Summary'!$L:$L,""))/100)+5)*XLOOKUP(XLOOKUP($Q684,'Threshold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Editor'!$E:$E,1))),stab,IF(OR(mtype=XLOOKUP(XLOOKUP($Q684,'Threshold Summary'!$Y:$Y,'Threshold Summary'!$K:$K,""),'Pokemon Editor'!$A:$A,'Pokemon Editor'!$C:$C,""),mtype=XLOOKUP(XLOOKUP($Q684,'Threshold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Chart'!$B$1:$S$1,0)))),base,IF(OR(cat="Status",pow=0),0,FLOOR(FLOOR(FLOOR((2*XLOOKUP($Q684,'Threshold Summary'!$Y:$Y,'Threshold Summary'!$L:$L,"")/5+2)*pow*atk/def)/50)+2)),modifier,stab*eff,AVERAGE(ARRAYFORMULA(FLOOR(base*modifier*SEQUENCE(16,1,85,1)/100)))),0)</f>
        <v/>
      </c>
      <c r="M684" s="3">
        <f>IFERROR(LET(mtype,XLOOKUP($D684,'Move Editor'!$B:$B,'Move Editor'!$C:$C,""),cat,XLOOKUP($D684,'Move Editor'!$B:$B,'Move Editor'!$D:$D,""),pow,XLOOKUP($D684,'Move Editor'!$B:$B,'Move Editor'!$E:$E,0),acc,XLOOKUP($D684,'Move Editor'!$B:$B,'Move Editor'!$F:$F,100),atk,IF(cat="Physical",FLOOR((FLOOR(((2*XLOOKUP(XLOOKUP($Q684,'Threshold Summary'!$Y:$Y,'Threshold Summary'!$K:$K,""),'Pokemon Editor'!$A:$A,'Pokemon Editor'!$F:$F,0)+31+FLOOR(XLOOKUP($Q684,'Threshold Summary'!$Y:$Y,'Threshold Summary'!$P:$P,"")/4))*XLOOKUP($Q684,'Threshold Summary'!$Y:$Y,'Threshold Summary'!$L:$L,""))/100)+5)*XLOOKUP(XLOOKUP($Q684,'Threshold Summary'!$Y:$Y,'Threshold Summary'!$M:$M,""),'Nature Editor'!$A:$A,'Nature Editor'!$B:$B,1)),FLOOR((FLOOR(((2*XLOOKUP(XLOOKUP($Q684,'Threshold Summary'!$Y:$Y,'Threshold Summary'!$K:$K,""),'Pokemon Editor'!$A:$A,'Pokemon Editor'!$H:$H,0)+31+FLOOR(XLOOKUP($Q684,'Threshold Summary'!$Y:$Y,'Threshold Summary'!$R:$R,"")/4))*XLOOKUP($Q684,'Threshold Summary'!$Y:$Y,'Threshold Summary'!$L:$L,""))/100)+5)*XLOOKUP(XLOOKUP($Q684,'Threshold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Editor'!$E:$E,1))),stab,IF(OR(mtype=XLOOKUP(XLOOKUP($Q684,'Threshold Summary'!$Y:$Y,'Threshold Summary'!$K:$K,""),'Pokemon Editor'!$A:$A,'Pokemon Editor'!$C:$C,""),mtype=XLOOKUP(XLOOKUP($Q684,'Threshold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Chart'!$B$1:$S$1,0)))),base,IF(OR(cat="Status",pow=0),0,FLOOR(FLOOR(FLOOR((2*XLOOKUP($Q684,'Threshold Summary'!$Y:$Y,'Threshold Summary'!$L:$L,"")/5+2)*pow*atk/def)/50)+2)),modifier,stab*eff,AVERAGE(ARRAYFORMULA(FLOOR(base*modifier*SEQUENCE(16,1,85,1)/100)))*MIN(1,acc/100)),0)</f>
        <v/>
      </c>
      <c r="N684" s="4">
        <f>IFERROR(LET(mtype,XLOOKUP($D684,'Move Editor'!$B:$B,'Move Editor'!$C:$C,""),cat,XLOOKUP($D684,'Move Editor'!$B:$B,'Move Editor'!$D:$D,""),pow,XLOOKUP($D684,'Move Editor'!$B:$B,'Move Editor'!$E:$E,0),acc,XLOOKUP($D684,'Move Editor'!$B:$B,'Move Editor'!$F:$F,100),atk,IF(cat="Physical",FLOOR((FLOOR(((2*XLOOKUP(XLOOKUP($Q684,'Threshold Summary'!$Y:$Y,'Threshold Summary'!$K:$K,""),'Pokemon Editor'!$A:$A,'Pokemon Editor'!$F:$F,0)+31+FLOOR(XLOOKUP($Q684,'Threshold Summary'!$Y:$Y,'Threshold Summary'!$P:$P,"")/4))*XLOOKUP($Q684,'Threshold Summary'!$Y:$Y,'Threshold Summary'!$L:$L,""))/100)+5)*XLOOKUP(XLOOKUP($Q684,'Threshold Summary'!$Y:$Y,'Threshold Summary'!$M:$M,""),'Nature Editor'!$A:$A,'Nature Editor'!$B:$B,1)),FLOOR((FLOOR(((2*XLOOKUP(XLOOKUP($Q684,'Threshold Summary'!$Y:$Y,'Threshold Summary'!$K:$K,""),'Pokemon Editor'!$A:$A,'Pokemon Editor'!$H:$H,0)+31+FLOOR(XLOOKUP($Q684,'Threshold Summary'!$Y:$Y,'Threshold Summary'!$R:$R,"")/4))*XLOOKUP($Q684,'Threshold Summary'!$Y:$Y,'Threshold Summary'!$L:$L,""))/100)+5)*XLOOKUP(XLOOKUP($Q684,'Threshold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Editor'!$E:$E,1))),stab,IF(OR(mtype=XLOOKUP(XLOOKUP($Q684,'Threshold Summary'!$Y:$Y,'Threshold Summary'!$K:$K,""),'Pokemon Editor'!$A:$A,'Pokemon Editor'!$C:$C,""),mtype=XLOOKUP(XLOOKUP($Q684,'Threshold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Chart'!$B$1:$S$1,0)))),base,IF(OR(cat="Status",pow=0),0,FLOOR(FLOOR(FLOOR((2*XLOOKUP($Q684,'Threshold Summary'!$Y:$Y,'Threshold Summary'!$L:$L,"")/5+2)*pow*atk/def)/50)+2)),modifier,stab*eff,AVERAGE(ARRAYFORMULA(FLOOR(base*modifier*SEQUENCE(16,1,85,1)/100)))/(FLOOR(((2*XLOOKUP('Boss Editor'!$C$4,'Pokemon Editor'!$A:$A,'Pokemon Editor'!$E:$E,0)+31+FLOOR('Boss Editor'!$G$4/4))*'Boss Editor'!$D$4)/100)+'Boss Editor'!$D$4+10)),0)</f>
        <v/>
      </c>
      <c r="O684" s="3">
        <f>IF(N684&gt;=1,"OHKO",IF(N684&gt;=0.5,"2HKO",IF(N684&gt;=0.333,"3HKO",IF(N684&gt;=0.25,"4HKO","5HKO+"))))</f>
        <v/>
      </c>
      <c r="P684" s="3" t="inlineStr">
        <is>
          <t>Live from editable databases</t>
        </is>
      </c>
      <c r="Q684" s="3" t="inlineStr">
        <is>
          <t>SPECIES_PHANTUMP</t>
        </is>
      </c>
      <c r="R684" s="3" t="n">
        <v>11</v>
      </c>
    </row>
    <row r="685">
      <c r="A685" s="3">
        <f>XLOOKUP($Q685,'Threshold Summary'!$Y:$Y,'Threshold Summary'!$A:$A,"")</f>
        <v/>
      </c>
      <c r="B685" s="3">
        <f>XLOOKUP($Q685,'Threshold Summary'!$Y:$Y,'Threshold Summary'!$M:$M,"")</f>
        <v/>
      </c>
      <c r="C685" s="3">
        <f>XLOOKUP($Q685,'Threshold Summary'!$Y:$Y,'Threshold Summary'!$N:$N,"")</f>
        <v/>
      </c>
      <c r="D685" s="3">
        <f>IFERROR(INDEX(FILTER('Learnset Editor'!$D$2:$D,'Learnset Editor'!$A$2:$A=XLOOKUP($Q685,'Threshold Summary'!$Y:$Y,'Threshold Summary'!$K:$K,""),'Learnset Editor'!$C$2:$C&lt;=XLOOKUP($Q685,'Threshold Summary'!$Y:$Y,'Threshold Summary'!$L:$L,"")),$R685),"")</f>
        <v/>
      </c>
      <c r="E685" s="3">
        <f>XLOOKUP(D685,'Move Editor'!$B:$B,'Move Editor'!$C:$C,"")</f>
        <v/>
      </c>
      <c r="F685" s="3">
        <f>XLOOKUP(D685,'Move Editor'!$B:$B,'Move Editor'!$D:$D,"")</f>
        <v/>
      </c>
      <c r="G685" s="3">
        <f>XLOOKUP(D685,'Move Editor'!$B:$B,'Move Editor'!$E:$E,0)</f>
        <v/>
      </c>
      <c r="H685" s="3">
        <f>XLOOKUP(D685,'Move Editor'!$B:$B,'Move Editor'!$F:$F,0)</f>
        <v/>
      </c>
      <c r="I685" s="3">
        <f>(INDEX('Type Chart'!$B:$S,MATCH(E685,'Type Chart'!$A:$A,0),MATCH(XLOOKUP('Boss Editor'!$C$4,'Pokemon Editor'!$A:$A,'Pokemon Editor'!$C:$C,""),'Type Chart'!$B$1:$S$1,0))*IF(XLOOKUP('Boss Editor'!$C$4,'Pokemon Editor'!$A:$A,'Pokemon Editor'!$D:$D,"")="",1,INDEX('Type Chart'!$B:$S,MATCH(E685,'Type Chart'!$A:$A,0),MATCH(XLOOKUP('Boss Editor'!$C$4,'Pokemon Editor'!$A:$A,'Pokemon Editor'!$D:$D,""),'Type Chart'!$B$1:$S$1,0))))</f>
        <v/>
      </c>
      <c r="J685" s="3">
        <f>IFERROR(LET(mtype,XLOOKUP($D685,'Move Editor'!$B:$B,'Move Editor'!$C:$C,""),cat,XLOOKUP($D685,'Move Editor'!$B:$B,'Move Editor'!$D:$D,""),pow,XLOOKUP($D685,'Move Editor'!$B:$B,'Move Editor'!$E:$E,0),acc,XLOOKUP($D685,'Move Editor'!$B:$B,'Move Editor'!$F:$F,100),atk,IF(cat="Physical",FLOOR((FLOOR(((2*XLOOKUP(XLOOKUP($Q685,'Threshold Summary'!$Y:$Y,'Threshold Summary'!$K:$K,""),'Pokemon Editor'!$A:$A,'Pokemon Editor'!$F:$F,0)+31+FLOOR(XLOOKUP($Q685,'Threshold Summary'!$Y:$Y,'Threshold Summary'!$P:$P,"")/4))*XLOOKUP($Q685,'Threshold Summary'!$Y:$Y,'Threshold Summary'!$L:$L,""))/100)+5)*XLOOKUP(XLOOKUP($Q685,'Threshold Summary'!$Y:$Y,'Threshold Summary'!$M:$M,""),'Nature Editor'!$A:$A,'Nature Editor'!$B:$B,1)),FLOOR((FLOOR(((2*XLOOKUP(XLOOKUP($Q685,'Threshold Summary'!$Y:$Y,'Threshold Summary'!$K:$K,""),'Pokemon Editor'!$A:$A,'Pokemon Editor'!$H:$H,0)+31+FLOOR(XLOOKUP($Q685,'Threshold Summary'!$Y:$Y,'Threshold Summary'!$R:$R,"")/4))*XLOOKUP($Q685,'Threshold Summary'!$Y:$Y,'Threshold Summary'!$L:$L,""))/100)+5)*XLOOKUP(XLOOKUP($Q685,'Threshold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Editor'!$E:$E,1))),stab,IF(OR(mtype=XLOOKUP(XLOOKUP($Q685,'Threshold Summary'!$Y:$Y,'Threshold Summary'!$K:$K,""),'Pokemon Editor'!$A:$A,'Pokemon Editor'!$C:$C,""),mtype=XLOOKUP(XLOOKUP($Q685,'Threshold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Chart'!$B$1:$S$1,0)))),base,IF(OR(cat="Status",pow=0),0,FLOOR(FLOOR(FLOOR((2*XLOOKUP($Q685,'Threshold Summary'!$Y:$Y,'Threshold Summary'!$L:$L,"")/5+2)*pow*atk/def)/50)+2)),modifier,stab*eff,FLOOR(base*modifier*0.85)),0)</f>
        <v/>
      </c>
      <c r="K685" s="3">
        <f>IFERROR(LET(mtype,XLOOKUP($D685,'Move Editor'!$B:$B,'Move Editor'!$C:$C,""),cat,XLOOKUP($D685,'Move Editor'!$B:$B,'Move Editor'!$D:$D,""),pow,XLOOKUP($D685,'Move Editor'!$B:$B,'Move Editor'!$E:$E,0),acc,XLOOKUP($D685,'Move Editor'!$B:$B,'Move Editor'!$F:$F,100),atk,IF(cat="Physical",FLOOR((FLOOR(((2*XLOOKUP(XLOOKUP($Q685,'Threshold Summary'!$Y:$Y,'Threshold Summary'!$K:$K,""),'Pokemon Editor'!$A:$A,'Pokemon Editor'!$F:$F,0)+31+FLOOR(XLOOKUP($Q685,'Threshold Summary'!$Y:$Y,'Threshold Summary'!$P:$P,"")/4))*XLOOKUP($Q685,'Threshold Summary'!$Y:$Y,'Threshold Summary'!$L:$L,""))/100)+5)*XLOOKUP(XLOOKUP($Q685,'Threshold Summary'!$Y:$Y,'Threshold Summary'!$M:$M,""),'Nature Editor'!$A:$A,'Nature Editor'!$B:$B,1)),FLOOR((FLOOR(((2*XLOOKUP(XLOOKUP($Q685,'Threshold Summary'!$Y:$Y,'Threshold Summary'!$K:$K,""),'Pokemon Editor'!$A:$A,'Pokemon Editor'!$H:$H,0)+31+FLOOR(XLOOKUP($Q685,'Threshold Summary'!$Y:$Y,'Threshold Summary'!$R:$R,"")/4))*XLOOKUP($Q685,'Threshold Summary'!$Y:$Y,'Threshold Summary'!$L:$L,""))/100)+5)*XLOOKUP(XLOOKUP($Q685,'Threshold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Editor'!$E:$E,1))),stab,IF(OR(mtype=XLOOKUP(XLOOKUP($Q685,'Threshold Summary'!$Y:$Y,'Threshold Summary'!$K:$K,""),'Pokemon Editor'!$A:$A,'Pokemon Editor'!$C:$C,""),mtype=XLOOKUP(XLOOKUP($Q685,'Threshold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Chart'!$B$1:$S$1,0)))),base,IF(OR(cat="Status",pow=0),0,FLOOR(FLOOR(FLOOR((2*XLOOKUP($Q685,'Threshold Summary'!$Y:$Y,'Threshold Summary'!$L:$L,"")/5+2)*pow*atk/def)/50)+2)),modifier,stab*eff,FLOOR(base*modifier)),0)</f>
        <v/>
      </c>
      <c r="L685" s="3">
        <f>IFERROR(LET(mtype,XLOOKUP($D685,'Move Editor'!$B:$B,'Move Editor'!$C:$C,""),cat,XLOOKUP($D685,'Move Editor'!$B:$B,'Move Editor'!$D:$D,""),pow,XLOOKUP($D685,'Move Editor'!$B:$B,'Move Editor'!$E:$E,0),acc,XLOOKUP($D685,'Move Editor'!$B:$B,'Move Editor'!$F:$F,100),atk,IF(cat="Physical",FLOOR((FLOOR(((2*XLOOKUP(XLOOKUP($Q685,'Threshold Summary'!$Y:$Y,'Threshold Summary'!$K:$K,""),'Pokemon Editor'!$A:$A,'Pokemon Editor'!$F:$F,0)+31+FLOOR(XLOOKUP($Q685,'Threshold Summary'!$Y:$Y,'Threshold Summary'!$P:$P,"")/4))*XLOOKUP($Q685,'Threshold Summary'!$Y:$Y,'Threshold Summary'!$L:$L,""))/100)+5)*XLOOKUP(XLOOKUP($Q685,'Threshold Summary'!$Y:$Y,'Threshold Summary'!$M:$M,""),'Nature Editor'!$A:$A,'Nature Editor'!$B:$B,1)),FLOOR((FLOOR(((2*XLOOKUP(XLOOKUP($Q685,'Threshold Summary'!$Y:$Y,'Threshold Summary'!$K:$K,""),'Pokemon Editor'!$A:$A,'Pokemon Editor'!$H:$H,0)+31+FLOOR(XLOOKUP($Q685,'Threshold Summary'!$Y:$Y,'Threshold Summary'!$R:$R,"")/4))*XLOOKUP($Q685,'Threshold Summary'!$Y:$Y,'Threshold Summary'!$L:$L,""))/100)+5)*XLOOKUP(XLOOKUP($Q685,'Threshold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Editor'!$E:$E,1))),stab,IF(OR(mtype=XLOOKUP(XLOOKUP($Q685,'Threshold Summary'!$Y:$Y,'Threshold Summary'!$K:$K,""),'Pokemon Editor'!$A:$A,'Pokemon Editor'!$C:$C,""),mtype=XLOOKUP(XLOOKUP($Q685,'Threshold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Chart'!$B$1:$S$1,0)))),base,IF(OR(cat="Status",pow=0),0,FLOOR(FLOOR(FLOOR((2*XLOOKUP($Q685,'Threshold Summary'!$Y:$Y,'Threshold Summary'!$L:$L,"")/5+2)*pow*atk/def)/50)+2)),modifier,stab*eff,AVERAGE(ARRAYFORMULA(FLOOR(base*modifier*SEQUENCE(16,1,85,1)/100)))),0)</f>
        <v/>
      </c>
      <c r="M685" s="3">
        <f>IFERROR(LET(mtype,XLOOKUP($D685,'Move Editor'!$B:$B,'Move Editor'!$C:$C,""),cat,XLOOKUP($D685,'Move Editor'!$B:$B,'Move Editor'!$D:$D,""),pow,XLOOKUP($D685,'Move Editor'!$B:$B,'Move Editor'!$E:$E,0),acc,XLOOKUP($D685,'Move Editor'!$B:$B,'Move Editor'!$F:$F,100),atk,IF(cat="Physical",FLOOR((FLOOR(((2*XLOOKUP(XLOOKUP($Q685,'Threshold Summary'!$Y:$Y,'Threshold Summary'!$K:$K,""),'Pokemon Editor'!$A:$A,'Pokemon Editor'!$F:$F,0)+31+FLOOR(XLOOKUP($Q685,'Threshold Summary'!$Y:$Y,'Threshold Summary'!$P:$P,"")/4))*XLOOKUP($Q685,'Threshold Summary'!$Y:$Y,'Threshold Summary'!$L:$L,""))/100)+5)*XLOOKUP(XLOOKUP($Q685,'Threshold Summary'!$Y:$Y,'Threshold Summary'!$M:$M,""),'Nature Editor'!$A:$A,'Nature Editor'!$B:$B,1)),FLOOR((FLOOR(((2*XLOOKUP(XLOOKUP($Q685,'Threshold Summary'!$Y:$Y,'Threshold Summary'!$K:$K,""),'Pokemon Editor'!$A:$A,'Pokemon Editor'!$H:$H,0)+31+FLOOR(XLOOKUP($Q685,'Threshold Summary'!$Y:$Y,'Threshold Summary'!$R:$R,"")/4))*XLOOKUP($Q685,'Threshold Summary'!$Y:$Y,'Threshold Summary'!$L:$L,""))/100)+5)*XLOOKUP(XLOOKUP($Q685,'Threshold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Editor'!$E:$E,1))),stab,IF(OR(mtype=XLOOKUP(XLOOKUP($Q685,'Threshold Summary'!$Y:$Y,'Threshold Summary'!$K:$K,""),'Pokemon Editor'!$A:$A,'Pokemon Editor'!$C:$C,""),mtype=XLOOKUP(XLOOKUP($Q685,'Threshold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Chart'!$B$1:$S$1,0)))),base,IF(OR(cat="Status",pow=0),0,FLOOR(FLOOR(FLOOR((2*XLOOKUP($Q685,'Threshold Summary'!$Y:$Y,'Threshold Summary'!$L:$L,"")/5+2)*pow*atk/def)/50)+2)),modifier,stab*eff,AVERAGE(ARRAYFORMULA(FLOOR(base*modifier*SEQUENCE(16,1,85,1)/100)))*MIN(1,acc/100)),0)</f>
        <v/>
      </c>
      <c r="N685" s="4">
        <f>IFERROR(LET(mtype,XLOOKUP($D685,'Move Editor'!$B:$B,'Move Editor'!$C:$C,""),cat,XLOOKUP($D685,'Move Editor'!$B:$B,'Move Editor'!$D:$D,""),pow,XLOOKUP($D685,'Move Editor'!$B:$B,'Move Editor'!$E:$E,0),acc,XLOOKUP($D685,'Move Editor'!$B:$B,'Move Editor'!$F:$F,100),atk,IF(cat="Physical",FLOOR((FLOOR(((2*XLOOKUP(XLOOKUP($Q685,'Threshold Summary'!$Y:$Y,'Threshold Summary'!$K:$K,""),'Pokemon Editor'!$A:$A,'Pokemon Editor'!$F:$F,0)+31+FLOOR(XLOOKUP($Q685,'Threshold Summary'!$Y:$Y,'Threshold Summary'!$P:$P,"")/4))*XLOOKUP($Q685,'Threshold Summary'!$Y:$Y,'Threshold Summary'!$L:$L,""))/100)+5)*XLOOKUP(XLOOKUP($Q685,'Threshold Summary'!$Y:$Y,'Threshold Summary'!$M:$M,""),'Nature Editor'!$A:$A,'Nature Editor'!$B:$B,1)),FLOOR((FLOOR(((2*XLOOKUP(XLOOKUP($Q685,'Threshold Summary'!$Y:$Y,'Threshold Summary'!$K:$K,""),'Pokemon Editor'!$A:$A,'Pokemon Editor'!$H:$H,0)+31+FLOOR(XLOOKUP($Q685,'Threshold Summary'!$Y:$Y,'Threshold Summary'!$R:$R,"")/4))*XLOOKUP($Q685,'Threshold Summary'!$Y:$Y,'Threshold Summary'!$L:$L,""))/100)+5)*XLOOKUP(XLOOKUP($Q685,'Threshold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Editor'!$E:$E,1))),stab,IF(OR(mtype=XLOOKUP(XLOOKUP($Q685,'Threshold Summary'!$Y:$Y,'Threshold Summary'!$K:$K,""),'Pokemon Editor'!$A:$A,'Pokemon Editor'!$C:$C,""),mtype=XLOOKUP(XLOOKUP($Q685,'Threshold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Chart'!$B$1:$S$1,0)))),base,IF(OR(cat="Status",pow=0),0,FLOOR(FLOOR(FLOOR((2*XLOOKUP($Q685,'Threshold Summary'!$Y:$Y,'Threshold Summary'!$L:$L,"")/5+2)*pow*atk/def)/50)+2)),modifier,stab*eff,AVERAGE(ARRAYFORMULA(FLOOR(base*modifier*SEQUENCE(16,1,85,1)/100)))/(FLOOR(((2*XLOOKUP('Boss Editor'!$C$4,'Pokemon Editor'!$A:$A,'Pokemon Editor'!$E:$E,0)+31+FLOOR('Boss Editor'!$G$4/4))*'Boss Editor'!$D$4)/100)+'Boss Editor'!$D$4+10)),0)</f>
        <v/>
      </c>
      <c r="O685" s="3">
        <f>IF(N685&gt;=1,"OHKO",IF(N685&gt;=0.5,"2HKO",IF(N685&gt;=0.333,"3HKO",IF(N685&gt;=0.25,"4HKO","5HKO+"))))</f>
        <v/>
      </c>
      <c r="P685" s="3" t="inlineStr">
        <is>
          <t>Live from editable databases</t>
        </is>
      </c>
      <c r="Q685" s="3" t="inlineStr">
        <is>
          <t>SPECIES_PHANTUMP</t>
        </is>
      </c>
      <c r="R685" s="3" t="n">
        <v>12</v>
      </c>
    </row>
    <row r="686">
      <c r="A686" s="3">
        <f>XLOOKUP($Q686,'Threshold Summary'!$Y:$Y,'Threshold Summary'!$A:$A,"")</f>
        <v/>
      </c>
      <c r="B686" s="3">
        <f>XLOOKUP($Q686,'Threshold Summary'!$Y:$Y,'Threshold Summary'!$M:$M,"")</f>
        <v/>
      </c>
      <c r="C686" s="3">
        <f>XLOOKUP($Q686,'Threshold Summary'!$Y:$Y,'Threshold Summary'!$N:$N,"")</f>
        <v/>
      </c>
      <c r="D686" s="3">
        <f>IFERROR(INDEX(FILTER('Learnset Editor'!$D$2:$D,'Learnset Editor'!$A$2:$A=XLOOKUP($Q686,'Threshold Summary'!$Y:$Y,'Threshold Summary'!$K:$K,""),'Learnset Editor'!$C$2:$C&lt;=XLOOKUP($Q686,'Threshold Summary'!$Y:$Y,'Threshold Summary'!$L:$L,"")),$R686),"")</f>
        <v/>
      </c>
      <c r="E686" s="3">
        <f>XLOOKUP(D686,'Move Editor'!$B:$B,'Move Editor'!$C:$C,"")</f>
        <v/>
      </c>
      <c r="F686" s="3">
        <f>XLOOKUP(D686,'Move Editor'!$B:$B,'Move Editor'!$D:$D,"")</f>
        <v/>
      </c>
      <c r="G686" s="3">
        <f>XLOOKUP(D686,'Move Editor'!$B:$B,'Move Editor'!$E:$E,0)</f>
        <v/>
      </c>
      <c r="H686" s="3">
        <f>XLOOKUP(D686,'Move Editor'!$B:$B,'Move Editor'!$F:$F,0)</f>
        <v/>
      </c>
      <c r="I686" s="3">
        <f>(INDEX('Type Chart'!$B:$S,MATCH(E686,'Type Chart'!$A:$A,0),MATCH(XLOOKUP('Boss Editor'!$C$4,'Pokemon Editor'!$A:$A,'Pokemon Editor'!$C:$C,""),'Type Chart'!$B$1:$S$1,0))*IF(XLOOKUP('Boss Editor'!$C$4,'Pokemon Editor'!$A:$A,'Pokemon Editor'!$D:$D,"")="",1,INDEX('Type Chart'!$B:$S,MATCH(E686,'Type Chart'!$A:$A,0),MATCH(XLOOKUP('Boss Editor'!$C$4,'Pokemon Editor'!$A:$A,'Pokemon Editor'!$D:$D,""),'Type Chart'!$B$1:$S$1,0))))</f>
        <v/>
      </c>
      <c r="J686" s="3">
        <f>IFERROR(LET(mtype,XLOOKUP($D686,'Move Editor'!$B:$B,'Move Editor'!$C:$C,""),cat,XLOOKUP($D686,'Move Editor'!$B:$B,'Move Editor'!$D:$D,""),pow,XLOOKUP($D686,'Move Editor'!$B:$B,'Move Editor'!$E:$E,0),acc,XLOOKUP($D686,'Move Editor'!$B:$B,'Move Editor'!$F:$F,100),atk,IF(cat="Physical",FLOOR((FLOOR(((2*XLOOKUP(XLOOKUP($Q686,'Threshold Summary'!$Y:$Y,'Threshold Summary'!$K:$K,""),'Pokemon Editor'!$A:$A,'Pokemon Editor'!$F:$F,0)+31+FLOOR(XLOOKUP($Q686,'Threshold Summary'!$Y:$Y,'Threshold Summary'!$P:$P,"")/4))*XLOOKUP($Q686,'Threshold Summary'!$Y:$Y,'Threshold Summary'!$L:$L,""))/100)+5)*XLOOKUP(XLOOKUP($Q686,'Threshold Summary'!$Y:$Y,'Threshold Summary'!$M:$M,""),'Nature Editor'!$A:$A,'Nature Editor'!$B:$B,1)),FLOOR((FLOOR(((2*XLOOKUP(XLOOKUP($Q686,'Threshold Summary'!$Y:$Y,'Threshold Summary'!$K:$K,""),'Pokemon Editor'!$A:$A,'Pokemon Editor'!$H:$H,0)+31+FLOOR(XLOOKUP($Q686,'Threshold Summary'!$Y:$Y,'Threshold Summary'!$R:$R,"")/4))*XLOOKUP($Q686,'Threshold Summary'!$Y:$Y,'Threshold Summary'!$L:$L,""))/100)+5)*XLOOKUP(XLOOKUP($Q686,'Threshold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Editor'!$E:$E,1))),stab,IF(OR(mtype=XLOOKUP(XLOOKUP($Q686,'Threshold Summary'!$Y:$Y,'Threshold Summary'!$K:$K,""),'Pokemon Editor'!$A:$A,'Pokemon Editor'!$C:$C,""),mtype=XLOOKUP(XLOOKUP($Q686,'Threshold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Chart'!$B$1:$S$1,0)))),base,IF(OR(cat="Status",pow=0),0,FLOOR(FLOOR(FLOOR((2*XLOOKUP($Q686,'Threshold Summary'!$Y:$Y,'Threshold Summary'!$L:$L,"")/5+2)*pow*atk/def)/50)+2)),modifier,stab*eff,FLOOR(base*modifier*0.85)),0)</f>
        <v/>
      </c>
      <c r="K686" s="3">
        <f>IFERROR(LET(mtype,XLOOKUP($D686,'Move Editor'!$B:$B,'Move Editor'!$C:$C,""),cat,XLOOKUP($D686,'Move Editor'!$B:$B,'Move Editor'!$D:$D,""),pow,XLOOKUP($D686,'Move Editor'!$B:$B,'Move Editor'!$E:$E,0),acc,XLOOKUP($D686,'Move Editor'!$B:$B,'Move Editor'!$F:$F,100),atk,IF(cat="Physical",FLOOR((FLOOR(((2*XLOOKUP(XLOOKUP($Q686,'Threshold Summary'!$Y:$Y,'Threshold Summary'!$K:$K,""),'Pokemon Editor'!$A:$A,'Pokemon Editor'!$F:$F,0)+31+FLOOR(XLOOKUP($Q686,'Threshold Summary'!$Y:$Y,'Threshold Summary'!$P:$P,"")/4))*XLOOKUP($Q686,'Threshold Summary'!$Y:$Y,'Threshold Summary'!$L:$L,""))/100)+5)*XLOOKUP(XLOOKUP($Q686,'Threshold Summary'!$Y:$Y,'Threshold Summary'!$M:$M,""),'Nature Editor'!$A:$A,'Nature Editor'!$B:$B,1)),FLOOR((FLOOR(((2*XLOOKUP(XLOOKUP($Q686,'Threshold Summary'!$Y:$Y,'Threshold Summary'!$K:$K,""),'Pokemon Editor'!$A:$A,'Pokemon Editor'!$H:$H,0)+31+FLOOR(XLOOKUP($Q686,'Threshold Summary'!$Y:$Y,'Threshold Summary'!$R:$R,"")/4))*XLOOKUP($Q686,'Threshold Summary'!$Y:$Y,'Threshold Summary'!$L:$L,""))/100)+5)*XLOOKUP(XLOOKUP($Q686,'Threshold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Editor'!$E:$E,1))),stab,IF(OR(mtype=XLOOKUP(XLOOKUP($Q686,'Threshold Summary'!$Y:$Y,'Threshold Summary'!$K:$K,""),'Pokemon Editor'!$A:$A,'Pokemon Editor'!$C:$C,""),mtype=XLOOKUP(XLOOKUP($Q686,'Threshold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Chart'!$B$1:$S$1,0)))),base,IF(OR(cat="Status",pow=0),0,FLOOR(FLOOR(FLOOR((2*XLOOKUP($Q686,'Threshold Summary'!$Y:$Y,'Threshold Summary'!$L:$L,"")/5+2)*pow*atk/def)/50)+2)),modifier,stab*eff,FLOOR(base*modifier)),0)</f>
        <v/>
      </c>
      <c r="L686" s="3">
        <f>IFERROR(LET(mtype,XLOOKUP($D686,'Move Editor'!$B:$B,'Move Editor'!$C:$C,""),cat,XLOOKUP($D686,'Move Editor'!$B:$B,'Move Editor'!$D:$D,""),pow,XLOOKUP($D686,'Move Editor'!$B:$B,'Move Editor'!$E:$E,0),acc,XLOOKUP($D686,'Move Editor'!$B:$B,'Move Editor'!$F:$F,100),atk,IF(cat="Physical",FLOOR((FLOOR(((2*XLOOKUP(XLOOKUP($Q686,'Threshold Summary'!$Y:$Y,'Threshold Summary'!$K:$K,""),'Pokemon Editor'!$A:$A,'Pokemon Editor'!$F:$F,0)+31+FLOOR(XLOOKUP($Q686,'Threshold Summary'!$Y:$Y,'Threshold Summary'!$P:$P,"")/4))*XLOOKUP($Q686,'Threshold Summary'!$Y:$Y,'Threshold Summary'!$L:$L,""))/100)+5)*XLOOKUP(XLOOKUP($Q686,'Threshold Summary'!$Y:$Y,'Threshold Summary'!$M:$M,""),'Nature Editor'!$A:$A,'Nature Editor'!$B:$B,1)),FLOOR((FLOOR(((2*XLOOKUP(XLOOKUP($Q686,'Threshold Summary'!$Y:$Y,'Threshold Summary'!$K:$K,""),'Pokemon Editor'!$A:$A,'Pokemon Editor'!$H:$H,0)+31+FLOOR(XLOOKUP($Q686,'Threshold Summary'!$Y:$Y,'Threshold Summary'!$R:$R,"")/4))*XLOOKUP($Q686,'Threshold Summary'!$Y:$Y,'Threshold Summary'!$L:$L,""))/100)+5)*XLOOKUP(XLOOKUP($Q686,'Threshold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Editor'!$E:$E,1))),stab,IF(OR(mtype=XLOOKUP(XLOOKUP($Q686,'Threshold Summary'!$Y:$Y,'Threshold Summary'!$K:$K,""),'Pokemon Editor'!$A:$A,'Pokemon Editor'!$C:$C,""),mtype=XLOOKUP(XLOOKUP($Q686,'Threshold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Chart'!$B$1:$S$1,0)))),base,IF(OR(cat="Status",pow=0),0,FLOOR(FLOOR(FLOOR((2*XLOOKUP($Q686,'Threshold Summary'!$Y:$Y,'Threshold Summary'!$L:$L,"")/5+2)*pow*atk/def)/50)+2)),modifier,stab*eff,AVERAGE(ARRAYFORMULA(FLOOR(base*modifier*SEQUENCE(16,1,85,1)/100)))),0)</f>
        <v/>
      </c>
      <c r="M686" s="3">
        <f>IFERROR(LET(mtype,XLOOKUP($D686,'Move Editor'!$B:$B,'Move Editor'!$C:$C,""),cat,XLOOKUP($D686,'Move Editor'!$B:$B,'Move Editor'!$D:$D,""),pow,XLOOKUP($D686,'Move Editor'!$B:$B,'Move Editor'!$E:$E,0),acc,XLOOKUP($D686,'Move Editor'!$B:$B,'Move Editor'!$F:$F,100),atk,IF(cat="Physical",FLOOR((FLOOR(((2*XLOOKUP(XLOOKUP($Q686,'Threshold Summary'!$Y:$Y,'Threshold Summary'!$K:$K,""),'Pokemon Editor'!$A:$A,'Pokemon Editor'!$F:$F,0)+31+FLOOR(XLOOKUP($Q686,'Threshold Summary'!$Y:$Y,'Threshold Summary'!$P:$P,"")/4))*XLOOKUP($Q686,'Threshold Summary'!$Y:$Y,'Threshold Summary'!$L:$L,""))/100)+5)*XLOOKUP(XLOOKUP($Q686,'Threshold Summary'!$Y:$Y,'Threshold Summary'!$M:$M,""),'Nature Editor'!$A:$A,'Nature Editor'!$B:$B,1)),FLOOR((FLOOR(((2*XLOOKUP(XLOOKUP($Q686,'Threshold Summary'!$Y:$Y,'Threshold Summary'!$K:$K,""),'Pokemon Editor'!$A:$A,'Pokemon Editor'!$H:$H,0)+31+FLOOR(XLOOKUP($Q686,'Threshold Summary'!$Y:$Y,'Threshold Summary'!$R:$R,"")/4))*XLOOKUP($Q686,'Threshold Summary'!$Y:$Y,'Threshold Summary'!$L:$L,""))/100)+5)*XLOOKUP(XLOOKUP($Q686,'Threshold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Editor'!$E:$E,1))),stab,IF(OR(mtype=XLOOKUP(XLOOKUP($Q686,'Threshold Summary'!$Y:$Y,'Threshold Summary'!$K:$K,""),'Pokemon Editor'!$A:$A,'Pokemon Editor'!$C:$C,""),mtype=XLOOKUP(XLOOKUP($Q686,'Threshold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Chart'!$B$1:$S$1,0)))),base,IF(OR(cat="Status",pow=0),0,FLOOR(FLOOR(FLOOR((2*XLOOKUP($Q686,'Threshold Summary'!$Y:$Y,'Threshold Summary'!$L:$L,"")/5+2)*pow*atk/def)/50)+2)),modifier,stab*eff,AVERAGE(ARRAYFORMULA(FLOOR(base*modifier*SEQUENCE(16,1,85,1)/100)))*MIN(1,acc/100)),0)</f>
        <v/>
      </c>
      <c r="N686" s="4">
        <f>IFERROR(LET(mtype,XLOOKUP($D686,'Move Editor'!$B:$B,'Move Editor'!$C:$C,""),cat,XLOOKUP($D686,'Move Editor'!$B:$B,'Move Editor'!$D:$D,""),pow,XLOOKUP($D686,'Move Editor'!$B:$B,'Move Editor'!$E:$E,0),acc,XLOOKUP($D686,'Move Editor'!$B:$B,'Move Editor'!$F:$F,100),atk,IF(cat="Physical",FLOOR((FLOOR(((2*XLOOKUP(XLOOKUP($Q686,'Threshold Summary'!$Y:$Y,'Threshold Summary'!$K:$K,""),'Pokemon Editor'!$A:$A,'Pokemon Editor'!$F:$F,0)+31+FLOOR(XLOOKUP($Q686,'Threshold Summary'!$Y:$Y,'Threshold Summary'!$P:$P,"")/4))*XLOOKUP($Q686,'Threshold Summary'!$Y:$Y,'Threshold Summary'!$L:$L,""))/100)+5)*XLOOKUP(XLOOKUP($Q686,'Threshold Summary'!$Y:$Y,'Threshold Summary'!$M:$M,""),'Nature Editor'!$A:$A,'Nature Editor'!$B:$B,1)),FLOOR((FLOOR(((2*XLOOKUP(XLOOKUP($Q686,'Threshold Summary'!$Y:$Y,'Threshold Summary'!$K:$K,""),'Pokemon Editor'!$A:$A,'Pokemon Editor'!$H:$H,0)+31+FLOOR(XLOOKUP($Q686,'Threshold Summary'!$Y:$Y,'Threshold Summary'!$R:$R,"")/4))*XLOOKUP($Q686,'Threshold Summary'!$Y:$Y,'Threshold Summary'!$L:$L,""))/100)+5)*XLOOKUP(XLOOKUP($Q686,'Threshold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Editor'!$E:$E,1))),stab,IF(OR(mtype=XLOOKUP(XLOOKUP($Q686,'Threshold Summary'!$Y:$Y,'Threshold Summary'!$K:$K,""),'Pokemon Editor'!$A:$A,'Pokemon Editor'!$C:$C,""),mtype=XLOOKUP(XLOOKUP($Q686,'Threshold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Chart'!$B$1:$S$1,0)))),base,IF(OR(cat="Status",pow=0),0,FLOOR(FLOOR(FLOOR((2*XLOOKUP($Q686,'Threshold Summary'!$Y:$Y,'Threshold Summary'!$L:$L,"")/5+2)*pow*atk/def)/50)+2)),modifier,stab*eff,AVERAGE(ARRAYFORMULA(FLOOR(base*modifier*SEQUENCE(16,1,85,1)/100)))/(FLOOR(((2*XLOOKUP('Boss Editor'!$C$4,'Pokemon Editor'!$A:$A,'Pokemon Editor'!$E:$E,0)+31+FLOOR('Boss Editor'!$G$4/4))*'Boss Editor'!$D$4)/100)+'Boss Editor'!$D$4+10)),0)</f>
        <v/>
      </c>
      <c r="O686" s="3">
        <f>IF(N686&gt;=1,"OHKO",IF(N686&gt;=0.5,"2HKO",IF(N686&gt;=0.333,"3HKO",IF(N686&gt;=0.25,"4HKO","5HKO+"))))</f>
        <v/>
      </c>
      <c r="P686" s="3" t="inlineStr">
        <is>
          <t>Live from editable databases</t>
        </is>
      </c>
      <c r="Q686" s="3" t="inlineStr">
        <is>
          <t>SPECIES_PHANTUMP</t>
        </is>
      </c>
      <c r="R686" s="3" t="n">
        <v>13</v>
      </c>
    </row>
    <row r="687">
      <c r="A687" s="3">
        <f>XLOOKUP($Q687,'Threshold Summary'!$Y:$Y,'Threshold Summary'!$A:$A,"")</f>
        <v/>
      </c>
      <c r="B687" s="3">
        <f>XLOOKUP($Q687,'Threshold Summary'!$Y:$Y,'Threshold Summary'!$M:$M,"")</f>
        <v/>
      </c>
      <c r="C687" s="3">
        <f>XLOOKUP($Q687,'Threshold Summary'!$Y:$Y,'Threshold Summary'!$N:$N,"")</f>
        <v/>
      </c>
      <c r="D687" s="3">
        <f>IFERROR(INDEX(FILTER('Learnset Editor'!$D$2:$D,'Learnset Editor'!$A$2:$A=XLOOKUP($Q687,'Threshold Summary'!$Y:$Y,'Threshold Summary'!$K:$K,""),'Learnset Editor'!$C$2:$C&lt;=XLOOKUP($Q687,'Threshold Summary'!$Y:$Y,'Threshold Summary'!$L:$L,"")),$R687),"")</f>
        <v/>
      </c>
      <c r="E687" s="3">
        <f>XLOOKUP(D687,'Move Editor'!$B:$B,'Move Editor'!$C:$C,"")</f>
        <v/>
      </c>
      <c r="F687" s="3">
        <f>XLOOKUP(D687,'Move Editor'!$B:$B,'Move Editor'!$D:$D,"")</f>
        <v/>
      </c>
      <c r="G687" s="3">
        <f>XLOOKUP(D687,'Move Editor'!$B:$B,'Move Editor'!$E:$E,0)</f>
        <v/>
      </c>
      <c r="H687" s="3">
        <f>XLOOKUP(D687,'Move Editor'!$B:$B,'Move Editor'!$F:$F,0)</f>
        <v/>
      </c>
      <c r="I687" s="3">
        <f>(INDEX('Type Chart'!$B:$S,MATCH(E687,'Type Chart'!$A:$A,0),MATCH(XLOOKUP('Boss Editor'!$C$4,'Pokemon Editor'!$A:$A,'Pokemon Editor'!$C:$C,""),'Type Chart'!$B$1:$S$1,0))*IF(XLOOKUP('Boss Editor'!$C$4,'Pokemon Editor'!$A:$A,'Pokemon Editor'!$D:$D,"")="",1,INDEX('Type Chart'!$B:$S,MATCH(E687,'Type Chart'!$A:$A,0),MATCH(XLOOKUP('Boss Editor'!$C$4,'Pokemon Editor'!$A:$A,'Pokemon Editor'!$D:$D,""),'Type Chart'!$B$1:$S$1,0))))</f>
        <v/>
      </c>
      <c r="J687" s="3">
        <f>IFERROR(LET(mtype,XLOOKUP($D687,'Move Editor'!$B:$B,'Move Editor'!$C:$C,""),cat,XLOOKUP($D687,'Move Editor'!$B:$B,'Move Editor'!$D:$D,""),pow,XLOOKUP($D687,'Move Editor'!$B:$B,'Move Editor'!$E:$E,0),acc,XLOOKUP($D687,'Move Editor'!$B:$B,'Move Editor'!$F:$F,100),atk,IF(cat="Physical",FLOOR((FLOOR(((2*XLOOKUP(XLOOKUP($Q687,'Threshold Summary'!$Y:$Y,'Threshold Summary'!$K:$K,""),'Pokemon Editor'!$A:$A,'Pokemon Editor'!$F:$F,0)+31+FLOOR(XLOOKUP($Q687,'Threshold Summary'!$Y:$Y,'Threshold Summary'!$P:$P,"")/4))*XLOOKUP($Q687,'Threshold Summary'!$Y:$Y,'Threshold Summary'!$L:$L,""))/100)+5)*XLOOKUP(XLOOKUP($Q687,'Threshold Summary'!$Y:$Y,'Threshold Summary'!$M:$M,""),'Nature Editor'!$A:$A,'Nature Editor'!$B:$B,1)),FLOOR((FLOOR(((2*XLOOKUP(XLOOKUP($Q687,'Threshold Summary'!$Y:$Y,'Threshold Summary'!$K:$K,""),'Pokemon Editor'!$A:$A,'Pokemon Editor'!$H:$H,0)+31+FLOOR(XLOOKUP($Q687,'Threshold Summary'!$Y:$Y,'Threshold Summary'!$R:$R,"")/4))*XLOOKUP($Q687,'Threshold Summary'!$Y:$Y,'Threshold Summary'!$L:$L,""))/100)+5)*XLOOKUP(XLOOKUP($Q687,'Threshold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Editor'!$E:$E,1))),stab,IF(OR(mtype=XLOOKUP(XLOOKUP($Q687,'Threshold Summary'!$Y:$Y,'Threshold Summary'!$K:$K,""),'Pokemon Editor'!$A:$A,'Pokemon Editor'!$C:$C,""),mtype=XLOOKUP(XLOOKUP($Q687,'Threshold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Chart'!$B$1:$S$1,0)))),base,IF(OR(cat="Status",pow=0),0,FLOOR(FLOOR(FLOOR((2*XLOOKUP($Q687,'Threshold Summary'!$Y:$Y,'Threshold Summary'!$L:$L,"")/5+2)*pow*atk/def)/50)+2)),modifier,stab*eff,FLOOR(base*modifier*0.85)),0)</f>
        <v/>
      </c>
      <c r="K687" s="3">
        <f>IFERROR(LET(mtype,XLOOKUP($D687,'Move Editor'!$B:$B,'Move Editor'!$C:$C,""),cat,XLOOKUP($D687,'Move Editor'!$B:$B,'Move Editor'!$D:$D,""),pow,XLOOKUP($D687,'Move Editor'!$B:$B,'Move Editor'!$E:$E,0),acc,XLOOKUP($D687,'Move Editor'!$B:$B,'Move Editor'!$F:$F,100),atk,IF(cat="Physical",FLOOR((FLOOR(((2*XLOOKUP(XLOOKUP($Q687,'Threshold Summary'!$Y:$Y,'Threshold Summary'!$K:$K,""),'Pokemon Editor'!$A:$A,'Pokemon Editor'!$F:$F,0)+31+FLOOR(XLOOKUP($Q687,'Threshold Summary'!$Y:$Y,'Threshold Summary'!$P:$P,"")/4))*XLOOKUP($Q687,'Threshold Summary'!$Y:$Y,'Threshold Summary'!$L:$L,""))/100)+5)*XLOOKUP(XLOOKUP($Q687,'Threshold Summary'!$Y:$Y,'Threshold Summary'!$M:$M,""),'Nature Editor'!$A:$A,'Nature Editor'!$B:$B,1)),FLOOR((FLOOR(((2*XLOOKUP(XLOOKUP($Q687,'Threshold Summary'!$Y:$Y,'Threshold Summary'!$K:$K,""),'Pokemon Editor'!$A:$A,'Pokemon Editor'!$H:$H,0)+31+FLOOR(XLOOKUP($Q687,'Threshold Summary'!$Y:$Y,'Threshold Summary'!$R:$R,"")/4))*XLOOKUP($Q687,'Threshold Summary'!$Y:$Y,'Threshold Summary'!$L:$L,""))/100)+5)*XLOOKUP(XLOOKUP($Q687,'Threshold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Editor'!$E:$E,1))),stab,IF(OR(mtype=XLOOKUP(XLOOKUP($Q687,'Threshold Summary'!$Y:$Y,'Threshold Summary'!$K:$K,""),'Pokemon Editor'!$A:$A,'Pokemon Editor'!$C:$C,""),mtype=XLOOKUP(XLOOKUP($Q687,'Threshold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Chart'!$B$1:$S$1,0)))),base,IF(OR(cat="Status",pow=0),0,FLOOR(FLOOR(FLOOR((2*XLOOKUP($Q687,'Threshold Summary'!$Y:$Y,'Threshold Summary'!$L:$L,"")/5+2)*pow*atk/def)/50)+2)),modifier,stab*eff,FLOOR(base*modifier)),0)</f>
        <v/>
      </c>
      <c r="L687" s="3">
        <f>IFERROR(LET(mtype,XLOOKUP($D687,'Move Editor'!$B:$B,'Move Editor'!$C:$C,""),cat,XLOOKUP($D687,'Move Editor'!$B:$B,'Move Editor'!$D:$D,""),pow,XLOOKUP($D687,'Move Editor'!$B:$B,'Move Editor'!$E:$E,0),acc,XLOOKUP($D687,'Move Editor'!$B:$B,'Move Editor'!$F:$F,100),atk,IF(cat="Physical",FLOOR((FLOOR(((2*XLOOKUP(XLOOKUP($Q687,'Threshold Summary'!$Y:$Y,'Threshold Summary'!$K:$K,""),'Pokemon Editor'!$A:$A,'Pokemon Editor'!$F:$F,0)+31+FLOOR(XLOOKUP($Q687,'Threshold Summary'!$Y:$Y,'Threshold Summary'!$P:$P,"")/4))*XLOOKUP($Q687,'Threshold Summary'!$Y:$Y,'Threshold Summary'!$L:$L,""))/100)+5)*XLOOKUP(XLOOKUP($Q687,'Threshold Summary'!$Y:$Y,'Threshold Summary'!$M:$M,""),'Nature Editor'!$A:$A,'Nature Editor'!$B:$B,1)),FLOOR((FLOOR(((2*XLOOKUP(XLOOKUP($Q687,'Threshold Summary'!$Y:$Y,'Threshold Summary'!$K:$K,""),'Pokemon Editor'!$A:$A,'Pokemon Editor'!$H:$H,0)+31+FLOOR(XLOOKUP($Q687,'Threshold Summary'!$Y:$Y,'Threshold Summary'!$R:$R,"")/4))*XLOOKUP($Q687,'Threshold Summary'!$Y:$Y,'Threshold Summary'!$L:$L,""))/100)+5)*XLOOKUP(XLOOKUP($Q687,'Threshold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Editor'!$E:$E,1))),stab,IF(OR(mtype=XLOOKUP(XLOOKUP($Q687,'Threshold Summary'!$Y:$Y,'Threshold Summary'!$K:$K,""),'Pokemon Editor'!$A:$A,'Pokemon Editor'!$C:$C,""),mtype=XLOOKUP(XLOOKUP($Q687,'Threshold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Chart'!$B$1:$S$1,0)))),base,IF(OR(cat="Status",pow=0),0,FLOOR(FLOOR(FLOOR((2*XLOOKUP($Q687,'Threshold Summary'!$Y:$Y,'Threshold Summary'!$L:$L,"")/5+2)*pow*atk/def)/50)+2)),modifier,stab*eff,AVERAGE(ARRAYFORMULA(FLOOR(base*modifier*SEQUENCE(16,1,85,1)/100)))),0)</f>
        <v/>
      </c>
      <c r="M687" s="3">
        <f>IFERROR(LET(mtype,XLOOKUP($D687,'Move Editor'!$B:$B,'Move Editor'!$C:$C,""),cat,XLOOKUP($D687,'Move Editor'!$B:$B,'Move Editor'!$D:$D,""),pow,XLOOKUP($D687,'Move Editor'!$B:$B,'Move Editor'!$E:$E,0),acc,XLOOKUP($D687,'Move Editor'!$B:$B,'Move Editor'!$F:$F,100),atk,IF(cat="Physical",FLOOR((FLOOR(((2*XLOOKUP(XLOOKUP($Q687,'Threshold Summary'!$Y:$Y,'Threshold Summary'!$K:$K,""),'Pokemon Editor'!$A:$A,'Pokemon Editor'!$F:$F,0)+31+FLOOR(XLOOKUP($Q687,'Threshold Summary'!$Y:$Y,'Threshold Summary'!$P:$P,"")/4))*XLOOKUP($Q687,'Threshold Summary'!$Y:$Y,'Threshold Summary'!$L:$L,""))/100)+5)*XLOOKUP(XLOOKUP($Q687,'Threshold Summary'!$Y:$Y,'Threshold Summary'!$M:$M,""),'Nature Editor'!$A:$A,'Nature Editor'!$B:$B,1)),FLOOR((FLOOR(((2*XLOOKUP(XLOOKUP($Q687,'Threshold Summary'!$Y:$Y,'Threshold Summary'!$K:$K,""),'Pokemon Editor'!$A:$A,'Pokemon Editor'!$H:$H,0)+31+FLOOR(XLOOKUP($Q687,'Threshold Summary'!$Y:$Y,'Threshold Summary'!$R:$R,"")/4))*XLOOKUP($Q687,'Threshold Summary'!$Y:$Y,'Threshold Summary'!$L:$L,""))/100)+5)*XLOOKUP(XLOOKUP($Q687,'Threshold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Editor'!$E:$E,1))),stab,IF(OR(mtype=XLOOKUP(XLOOKUP($Q687,'Threshold Summary'!$Y:$Y,'Threshold Summary'!$K:$K,""),'Pokemon Editor'!$A:$A,'Pokemon Editor'!$C:$C,""),mtype=XLOOKUP(XLOOKUP($Q687,'Threshold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Chart'!$B$1:$S$1,0)))),base,IF(OR(cat="Status",pow=0),0,FLOOR(FLOOR(FLOOR((2*XLOOKUP($Q687,'Threshold Summary'!$Y:$Y,'Threshold Summary'!$L:$L,"")/5+2)*pow*atk/def)/50)+2)),modifier,stab*eff,AVERAGE(ARRAYFORMULA(FLOOR(base*modifier*SEQUENCE(16,1,85,1)/100)))*MIN(1,acc/100)),0)</f>
        <v/>
      </c>
      <c r="N687" s="4">
        <f>IFERROR(LET(mtype,XLOOKUP($D687,'Move Editor'!$B:$B,'Move Editor'!$C:$C,""),cat,XLOOKUP($D687,'Move Editor'!$B:$B,'Move Editor'!$D:$D,""),pow,XLOOKUP($D687,'Move Editor'!$B:$B,'Move Editor'!$E:$E,0),acc,XLOOKUP($D687,'Move Editor'!$B:$B,'Move Editor'!$F:$F,100),atk,IF(cat="Physical",FLOOR((FLOOR(((2*XLOOKUP(XLOOKUP($Q687,'Threshold Summary'!$Y:$Y,'Threshold Summary'!$K:$K,""),'Pokemon Editor'!$A:$A,'Pokemon Editor'!$F:$F,0)+31+FLOOR(XLOOKUP($Q687,'Threshold Summary'!$Y:$Y,'Threshold Summary'!$P:$P,"")/4))*XLOOKUP($Q687,'Threshold Summary'!$Y:$Y,'Threshold Summary'!$L:$L,""))/100)+5)*XLOOKUP(XLOOKUP($Q687,'Threshold Summary'!$Y:$Y,'Threshold Summary'!$M:$M,""),'Nature Editor'!$A:$A,'Nature Editor'!$B:$B,1)),FLOOR((FLOOR(((2*XLOOKUP(XLOOKUP($Q687,'Threshold Summary'!$Y:$Y,'Threshold Summary'!$K:$K,""),'Pokemon Editor'!$A:$A,'Pokemon Editor'!$H:$H,0)+31+FLOOR(XLOOKUP($Q687,'Threshold Summary'!$Y:$Y,'Threshold Summary'!$R:$R,"")/4))*XLOOKUP($Q687,'Threshold Summary'!$Y:$Y,'Threshold Summary'!$L:$L,""))/100)+5)*XLOOKUP(XLOOKUP($Q687,'Threshold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Editor'!$E:$E,1))),stab,IF(OR(mtype=XLOOKUP(XLOOKUP($Q687,'Threshold Summary'!$Y:$Y,'Threshold Summary'!$K:$K,""),'Pokemon Editor'!$A:$A,'Pokemon Editor'!$C:$C,""),mtype=XLOOKUP(XLOOKUP($Q687,'Threshold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Chart'!$B$1:$S$1,0)))),base,IF(OR(cat="Status",pow=0),0,FLOOR(FLOOR(FLOOR((2*XLOOKUP($Q687,'Threshold Summary'!$Y:$Y,'Threshold Summary'!$L:$L,"")/5+2)*pow*atk/def)/50)+2)),modifier,stab*eff,AVERAGE(ARRAYFORMULA(FLOOR(base*modifier*SEQUENCE(16,1,85,1)/100)))/(FLOOR(((2*XLOOKUP('Boss Editor'!$C$4,'Pokemon Editor'!$A:$A,'Pokemon Editor'!$E:$E,0)+31+FLOOR('Boss Editor'!$G$4/4))*'Boss Editor'!$D$4)/100)+'Boss Editor'!$D$4+10)),0)</f>
        <v/>
      </c>
      <c r="O687" s="3">
        <f>IF(N687&gt;=1,"OHKO",IF(N687&gt;=0.5,"2HKO",IF(N687&gt;=0.333,"3HKO",IF(N687&gt;=0.25,"4HKO","5HKO+"))))</f>
        <v/>
      </c>
      <c r="P687" s="3" t="inlineStr">
        <is>
          <t>Live from editable databases</t>
        </is>
      </c>
      <c r="Q687" s="3" t="inlineStr">
        <is>
          <t>SPECIES_PHANTUMP</t>
        </is>
      </c>
      <c r="R687" s="3" t="n">
        <v>14</v>
      </c>
    </row>
    <row r="688">
      <c r="A688" s="3">
        <f>XLOOKUP($Q688,'Threshold Summary'!$Y:$Y,'Threshold Summary'!$A:$A,"")</f>
        <v/>
      </c>
      <c r="B688" s="3">
        <f>XLOOKUP($Q688,'Threshold Summary'!$Y:$Y,'Threshold Summary'!$M:$M,"")</f>
        <v/>
      </c>
      <c r="C688" s="3">
        <f>XLOOKUP($Q688,'Threshold Summary'!$Y:$Y,'Threshold Summary'!$N:$N,"")</f>
        <v/>
      </c>
      <c r="D688" s="3">
        <f>IFERROR(INDEX(FILTER('Learnset Editor'!$D$2:$D,'Learnset Editor'!$A$2:$A=XLOOKUP($Q688,'Threshold Summary'!$Y:$Y,'Threshold Summary'!$K:$K,""),'Learnset Editor'!$C$2:$C&lt;=XLOOKUP($Q688,'Threshold Summary'!$Y:$Y,'Threshold Summary'!$L:$L,"")),$R688),"")</f>
        <v/>
      </c>
      <c r="E688" s="3">
        <f>XLOOKUP(D688,'Move Editor'!$B:$B,'Move Editor'!$C:$C,"")</f>
        <v/>
      </c>
      <c r="F688" s="3">
        <f>XLOOKUP(D688,'Move Editor'!$B:$B,'Move Editor'!$D:$D,"")</f>
        <v/>
      </c>
      <c r="G688" s="3">
        <f>XLOOKUP(D688,'Move Editor'!$B:$B,'Move Editor'!$E:$E,0)</f>
        <v/>
      </c>
      <c r="H688" s="3">
        <f>XLOOKUP(D688,'Move Editor'!$B:$B,'Move Editor'!$F:$F,0)</f>
        <v/>
      </c>
      <c r="I688" s="3">
        <f>(INDEX('Type Chart'!$B:$S,MATCH(E688,'Type Chart'!$A:$A,0),MATCH(XLOOKUP('Boss Editor'!$C$4,'Pokemon Editor'!$A:$A,'Pokemon Editor'!$C:$C,""),'Type Chart'!$B$1:$S$1,0))*IF(XLOOKUP('Boss Editor'!$C$4,'Pokemon Editor'!$A:$A,'Pokemon Editor'!$D:$D,"")="",1,INDEX('Type Chart'!$B:$S,MATCH(E688,'Type Chart'!$A:$A,0),MATCH(XLOOKUP('Boss Editor'!$C$4,'Pokemon Editor'!$A:$A,'Pokemon Editor'!$D:$D,""),'Type Chart'!$B$1:$S$1,0))))</f>
        <v/>
      </c>
      <c r="J688" s="3">
        <f>IFERROR(LET(mtype,XLOOKUP($D688,'Move Editor'!$B:$B,'Move Editor'!$C:$C,""),cat,XLOOKUP($D688,'Move Editor'!$B:$B,'Move Editor'!$D:$D,""),pow,XLOOKUP($D688,'Move Editor'!$B:$B,'Move Editor'!$E:$E,0),acc,XLOOKUP($D688,'Move Editor'!$B:$B,'Move Editor'!$F:$F,100),atk,IF(cat="Physical",FLOOR((FLOOR(((2*XLOOKUP(XLOOKUP($Q688,'Threshold Summary'!$Y:$Y,'Threshold Summary'!$K:$K,""),'Pokemon Editor'!$A:$A,'Pokemon Editor'!$F:$F,0)+31+FLOOR(XLOOKUP($Q688,'Threshold Summary'!$Y:$Y,'Threshold Summary'!$P:$P,"")/4))*XLOOKUP($Q688,'Threshold Summary'!$Y:$Y,'Threshold Summary'!$L:$L,""))/100)+5)*XLOOKUP(XLOOKUP($Q688,'Threshold Summary'!$Y:$Y,'Threshold Summary'!$M:$M,""),'Nature Editor'!$A:$A,'Nature Editor'!$B:$B,1)),FLOOR((FLOOR(((2*XLOOKUP(XLOOKUP($Q688,'Threshold Summary'!$Y:$Y,'Threshold Summary'!$K:$K,""),'Pokemon Editor'!$A:$A,'Pokemon Editor'!$H:$H,0)+31+FLOOR(XLOOKUP($Q688,'Threshold Summary'!$Y:$Y,'Threshold Summary'!$R:$R,"")/4))*XLOOKUP($Q688,'Threshold Summary'!$Y:$Y,'Threshold Summary'!$L:$L,""))/100)+5)*XLOOKUP(XLOOKUP($Q688,'Threshold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Editor'!$E:$E,1))),stab,IF(OR(mtype=XLOOKUP(XLOOKUP($Q688,'Threshold Summary'!$Y:$Y,'Threshold Summary'!$K:$K,""),'Pokemon Editor'!$A:$A,'Pokemon Editor'!$C:$C,""),mtype=XLOOKUP(XLOOKUP($Q688,'Threshold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Chart'!$B$1:$S$1,0)))),base,IF(OR(cat="Status",pow=0),0,FLOOR(FLOOR(FLOOR((2*XLOOKUP($Q688,'Threshold Summary'!$Y:$Y,'Threshold Summary'!$L:$L,"")/5+2)*pow*atk/def)/50)+2)),modifier,stab*eff,FLOOR(base*modifier*0.85)),0)</f>
        <v/>
      </c>
      <c r="K688" s="3">
        <f>IFERROR(LET(mtype,XLOOKUP($D688,'Move Editor'!$B:$B,'Move Editor'!$C:$C,""),cat,XLOOKUP($D688,'Move Editor'!$B:$B,'Move Editor'!$D:$D,""),pow,XLOOKUP($D688,'Move Editor'!$B:$B,'Move Editor'!$E:$E,0),acc,XLOOKUP($D688,'Move Editor'!$B:$B,'Move Editor'!$F:$F,100),atk,IF(cat="Physical",FLOOR((FLOOR(((2*XLOOKUP(XLOOKUP($Q688,'Threshold Summary'!$Y:$Y,'Threshold Summary'!$K:$K,""),'Pokemon Editor'!$A:$A,'Pokemon Editor'!$F:$F,0)+31+FLOOR(XLOOKUP($Q688,'Threshold Summary'!$Y:$Y,'Threshold Summary'!$P:$P,"")/4))*XLOOKUP($Q688,'Threshold Summary'!$Y:$Y,'Threshold Summary'!$L:$L,""))/100)+5)*XLOOKUP(XLOOKUP($Q688,'Threshold Summary'!$Y:$Y,'Threshold Summary'!$M:$M,""),'Nature Editor'!$A:$A,'Nature Editor'!$B:$B,1)),FLOOR((FLOOR(((2*XLOOKUP(XLOOKUP($Q688,'Threshold Summary'!$Y:$Y,'Threshold Summary'!$K:$K,""),'Pokemon Editor'!$A:$A,'Pokemon Editor'!$H:$H,0)+31+FLOOR(XLOOKUP($Q688,'Threshold Summary'!$Y:$Y,'Threshold Summary'!$R:$R,"")/4))*XLOOKUP($Q688,'Threshold Summary'!$Y:$Y,'Threshold Summary'!$L:$L,""))/100)+5)*XLOOKUP(XLOOKUP($Q688,'Threshold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Editor'!$E:$E,1))),stab,IF(OR(mtype=XLOOKUP(XLOOKUP($Q688,'Threshold Summary'!$Y:$Y,'Threshold Summary'!$K:$K,""),'Pokemon Editor'!$A:$A,'Pokemon Editor'!$C:$C,""),mtype=XLOOKUP(XLOOKUP($Q688,'Threshold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Chart'!$B$1:$S$1,0)))),base,IF(OR(cat="Status",pow=0),0,FLOOR(FLOOR(FLOOR((2*XLOOKUP($Q688,'Threshold Summary'!$Y:$Y,'Threshold Summary'!$L:$L,"")/5+2)*pow*atk/def)/50)+2)),modifier,stab*eff,FLOOR(base*modifier)),0)</f>
        <v/>
      </c>
      <c r="L688" s="3">
        <f>IFERROR(LET(mtype,XLOOKUP($D688,'Move Editor'!$B:$B,'Move Editor'!$C:$C,""),cat,XLOOKUP($D688,'Move Editor'!$B:$B,'Move Editor'!$D:$D,""),pow,XLOOKUP($D688,'Move Editor'!$B:$B,'Move Editor'!$E:$E,0),acc,XLOOKUP($D688,'Move Editor'!$B:$B,'Move Editor'!$F:$F,100),atk,IF(cat="Physical",FLOOR((FLOOR(((2*XLOOKUP(XLOOKUP($Q688,'Threshold Summary'!$Y:$Y,'Threshold Summary'!$K:$K,""),'Pokemon Editor'!$A:$A,'Pokemon Editor'!$F:$F,0)+31+FLOOR(XLOOKUP($Q688,'Threshold Summary'!$Y:$Y,'Threshold Summary'!$P:$P,"")/4))*XLOOKUP($Q688,'Threshold Summary'!$Y:$Y,'Threshold Summary'!$L:$L,""))/100)+5)*XLOOKUP(XLOOKUP($Q688,'Threshold Summary'!$Y:$Y,'Threshold Summary'!$M:$M,""),'Nature Editor'!$A:$A,'Nature Editor'!$B:$B,1)),FLOOR((FLOOR(((2*XLOOKUP(XLOOKUP($Q688,'Threshold Summary'!$Y:$Y,'Threshold Summary'!$K:$K,""),'Pokemon Editor'!$A:$A,'Pokemon Editor'!$H:$H,0)+31+FLOOR(XLOOKUP($Q688,'Threshold Summary'!$Y:$Y,'Threshold Summary'!$R:$R,"")/4))*XLOOKUP($Q688,'Threshold Summary'!$Y:$Y,'Threshold Summary'!$L:$L,""))/100)+5)*XLOOKUP(XLOOKUP($Q688,'Threshold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Editor'!$E:$E,1))),stab,IF(OR(mtype=XLOOKUP(XLOOKUP($Q688,'Threshold Summary'!$Y:$Y,'Threshold Summary'!$K:$K,""),'Pokemon Editor'!$A:$A,'Pokemon Editor'!$C:$C,""),mtype=XLOOKUP(XLOOKUP($Q688,'Threshold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Chart'!$B$1:$S$1,0)))),base,IF(OR(cat="Status",pow=0),0,FLOOR(FLOOR(FLOOR((2*XLOOKUP($Q688,'Threshold Summary'!$Y:$Y,'Threshold Summary'!$L:$L,"")/5+2)*pow*atk/def)/50)+2)),modifier,stab*eff,AVERAGE(ARRAYFORMULA(FLOOR(base*modifier*SEQUENCE(16,1,85,1)/100)))),0)</f>
        <v/>
      </c>
      <c r="M688" s="3">
        <f>IFERROR(LET(mtype,XLOOKUP($D688,'Move Editor'!$B:$B,'Move Editor'!$C:$C,""),cat,XLOOKUP($D688,'Move Editor'!$B:$B,'Move Editor'!$D:$D,""),pow,XLOOKUP($D688,'Move Editor'!$B:$B,'Move Editor'!$E:$E,0),acc,XLOOKUP($D688,'Move Editor'!$B:$B,'Move Editor'!$F:$F,100),atk,IF(cat="Physical",FLOOR((FLOOR(((2*XLOOKUP(XLOOKUP($Q688,'Threshold Summary'!$Y:$Y,'Threshold Summary'!$K:$K,""),'Pokemon Editor'!$A:$A,'Pokemon Editor'!$F:$F,0)+31+FLOOR(XLOOKUP($Q688,'Threshold Summary'!$Y:$Y,'Threshold Summary'!$P:$P,"")/4))*XLOOKUP($Q688,'Threshold Summary'!$Y:$Y,'Threshold Summary'!$L:$L,""))/100)+5)*XLOOKUP(XLOOKUP($Q688,'Threshold Summary'!$Y:$Y,'Threshold Summary'!$M:$M,""),'Nature Editor'!$A:$A,'Nature Editor'!$B:$B,1)),FLOOR((FLOOR(((2*XLOOKUP(XLOOKUP($Q688,'Threshold Summary'!$Y:$Y,'Threshold Summary'!$K:$K,""),'Pokemon Editor'!$A:$A,'Pokemon Editor'!$H:$H,0)+31+FLOOR(XLOOKUP($Q688,'Threshold Summary'!$Y:$Y,'Threshold Summary'!$R:$R,"")/4))*XLOOKUP($Q688,'Threshold Summary'!$Y:$Y,'Threshold Summary'!$L:$L,""))/100)+5)*XLOOKUP(XLOOKUP($Q688,'Threshold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Editor'!$E:$E,1))),stab,IF(OR(mtype=XLOOKUP(XLOOKUP($Q688,'Threshold Summary'!$Y:$Y,'Threshold Summary'!$K:$K,""),'Pokemon Editor'!$A:$A,'Pokemon Editor'!$C:$C,""),mtype=XLOOKUP(XLOOKUP($Q688,'Threshold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Chart'!$B$1:$S$1,0)))),base,IF(OR(cat="Status",pow=0),0,FLOOR(FLOOR(FLOOR((2*XLOOKUP($Q688,'Threshold Summary'!$Y:$Y,'Threshold Summary'!$L:$L,"")/5+2)*pow*atk/def)/50)+2)),modifier,stab*eff,AVERAGE(ARRAYFORMULA(FLOOR(base*modifier*SEQUENCE(16,1,85,1)/100)))*MIN(1,acc/100)),0)</f>
        <v/>
      </c>
      <c r="N688" s="4">
        <f>IFERROR(LET(mtype,XLOOKUP($D688,'Move Editor'!$B:$B,'Move Editor'!$C:$C,""),cat,XLOOKUP($D688,'Move Editor'!$B:$B,'Move Editor'!$D:$D,""),pow,XLOOKUP($D688,'Move Editor'!$B:$B,'Move Editor'!$E:$E,0),acc,XLOOKUP($D688,'Move Editor'!$B:$B,'Move Editor'!$F:$F,100),atk,IF(cat="Physical",FLOOR((FLOOR(((2*XLOOKUP(XLOOKUP($Q688,'Threshold Summary'!$Y:$Y,'Threshold Summary'!$K:$K,""),'Pokemon Editor'!$A:$A,'Pokemon Editor'!$F:$F,0)+31+FLOOR(XLOOKUP($Q688,'Threshold Summary'!$Y:$Y,'Threshold Summary'!$P:$P,"")/4))*XLOOKUP($Q688,'Threshold Summary'!$Y:$Y,'Threshold Summary'!$L:$L,""))/100)+5)*XLOOKUP(XLOOKUP($Q688,'Threshold Summary'!$Y:$Y,'Threshold Summary'!$M:$M,""),'Nature Editor'!$A:$A,'Nature Editor'!$B:$B,1)),FLOOR((FLOOR(((2*XLOOKUP(XLOOKUP($Q688,'Threshold Summary'!$Y:$Y,'Threshold Summary'!$K:$K,""),'Pokemon Editor'!$A:$A,'Pokemon Editor'!$H:$H,0)+31+FLOOR(XLOOKUP($Q688,'Threshold Summary'!$Y:$Y,'Threshold Summary'!$R:$R,"")/4))*XLOOKUP($Q688,'Threshold Summary'!$Y:$Y,'Threshold Summary'!$L:$L,""))/100)+5)*XLOOKUP(XLOOKUP($Q688,'Threshold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Editor'!$E:$E,1))),stab,IF(OR(mtype=XLOOKUP(XLOOKUP($Q688,'Threshold Summary'!$Y:$Y,'Threshold Summary'!$K:$K,""),'Pokemon Editor'!$A:$A,'Pokemon Editor'!$C:$C,""),mtype=XLOOKUP(XLOOKUP($Q688,'Threshold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Chart'!$B$1:$S$1,0)))),base,IF(OR(cat="Status",pow=0),0,FLOOR(FLOOR(FLOOR((2*XLOOKUP($Q688,'Threshold Summary'!$Y:$Y,'Threshold Summary'!$L:$L,"")/5+2)*pow*atk/def)/50)+2)),modifier,stab*eff,AVERAGE(ARRAYFORMULA(FLOOR(base*modifier*SEQUENCE(16,1,85,1)/100)))/(FLOOR(((2*XLOOKUP('Boss Editor'!$C$4,'Pokemon Editor'!$A:$A,'Pokemon Editor'!$E:$E,0)+31+FLOOR('Boss Editor'!$G$4/4))*'Boss Editor'!$D$4)/100)+'Boss Editor'!$D$4+10)),0)</f>
        <v/>
      </c>
      <c r="O688" s="3">
        <f>IF(N688&gt;=1,"OHKO",IF(N688&gt;=0.5,"2HKO",IF(N688&gt;=0.333,"3HKO",IF(N688&gt;=0.25,"4HKO","5HKO+"))))</f>
        <v/>
      </c>
      <c r="P688" s="3" t="inlineStr">
        <is>
          <t>Live from editable databases</t>
        </is>
      </c>
      <c r="Q688" s="3" t="inlineStr">
        <is>
          <t>SPECIES_PHANTUMP</t>
        </is>
      </c>
      <c r="R688" s="3" t="n">
        <v>15</v>
      </c>
    </row>
    <row r="689">
      <c r="A689" s="3">
        <f>XLOOKUP($Q689,'Threshold Summary'!$Y:$Y,'Threshold Summary'!$A:$A,"")</f>
        <v/>
      </c>
      <c r="B689" s="3">
        <f>XLOOKUP($Q689,'Threshold Summary'!$Y:$Y,'Threshold Summary'!$M:$M,"")</f>
        <v/>
      </c>
      <c r="C689" s="3">
        <f>XLOOKUP($Q689,'Threshold Summary'!$Y:$Y,'Threshold Summary'!$N:$N,"")</f>
        <v/>
      </c>
      <c r="D689" s="3">
        <f>IFERROR(INDEX(FILTER('Learnset Editor'!$D$2:$D,'Learnset Editor'!$A$2:$A=XLOOKUP($Q689,'Threshold Summary'!$Y:$Y,'Threshold Summary'!$K:$K,""),'Learnset Editor'!$C$2:$C&lt;=XLOOKUP($Q689,'Threshold Summary'!$Y:$Y,'Threshold Summary'!$L:$L,"")),$R689),"")</f>
        <v/>
      </c>
      <c r="E689" s="3">
        <f>XLOOKUP(D689,'Move Editor'!$B:$B,'Move Editor'!$C:$C,"")</f>
        <v/>
      </c>
      <c r="F689" s="3">
        <f>XLOOKUP(D689,'Move Editor'!$B:$B,'Move Editor'!$D:$D,"")</f>
        <v/>
      </c>
      <c r="G689" s="3">
        <f>XLOOKUP(D689,'Move Editor'!$B:$B,'Move Editor'!$E:$E,0)</f>
        <v/>
      </c>
      <c r="H689" s="3">
        <f>XLOOKUP(D689,'Move Editor'!$B:$B,'Move Editor'!$F:$F,0)</f>
        <v/>
      </c>
      <c r="I689" s="3">
        <f>(INDEX('Type Chart'!$B:$S,MATCH(E689,'Type Chart'!$A:$A,0),MATCH(XLOOKUP('Boss Editor'!$C$4,'Pokemon Editor'!$A:$A,'Pokemon Editor'!$C:$C,""),'Type Chart'!$B$1:$S$1,0))*IF(XLOOKUP('Boss Editor'!$C$4,'Pokemon Editor'!$A:$A,'Pokemon Editor'!$D:$D,"")="",1,INDEX('Type Chart'!$B:$S,MATCH(E689,'Type Chart'!$A:$A,0),MATCH(XLOOKUP('Boss Editor'!$C$4,'Pokemon Editor'!$A:$A,'Pokemon Editor'!$D:$D,""),'Type Chart'!$B$1:$S$1,0))))</f>
        <v/>
      </c>
      <c r="J689" s="3">
        <f>IFERROR(LET(mtype,XLOOKUP($D689,'Move Editor'!$B:$B,'Move Editor'!$C:$C,""),cat,XLOOKUP($D689,'Move Editor'!$B:$B,'Move Editor'!$D:$D,""),pow,XLOOKUP($D689,'Move Editor'!$B:$B,'Move Editor'!$E:$E,0),acc,XLOOKUP($D689,'Move Editor'!$B:$B,'Move Editor'!$F:$F,100),atk,IF(cat="Physical",FLOOR((FLOOR(((2*XLOOKUP(XLOOKUP($Q689,'Threshold Summary'!$Y:$Y,'Threshold Summary'!$K:$K,""),'Pokemon Editor'!$A:$A,'Pokemon Editor'!$F:$F,0)+31+FLOOR(XLOOKUP($Q689,'Threshold Summary'!$Y:$Y,'Threshold Summary'!$P:$P,"")/4))*XLOOKUP($Q689,'Threshold Summary'!$Y:$Y,'Threshold Summary'!$L:$L,""))/100)+5)*XLOOKUP(XLOOKUP($Q689,'Threshold Summary'!$Y:$Y,'Threshold Summary'!$M:$M,""),'Nature Editor'!$A:$A,'Nature Editor'!$B:$B,1)),FLOOR((FLOOR(((2*XLOOKUP(XLOOKUP($Q689,'Threshold Summary'!$Y:$Y,'Threshold Summary'!$K:$K,""),'Pokemon Editor'!$A:$A,'Pokemon Editor'!$H:$H,0)+31+FLOOR(XLOOKUP($Q689,'Threshold Summary'!$Y:$Y,'Threshold Summary'!$R:$R,"")/4))*XLOOKUP($Q689,'Threshold Summary'!$Y:$Y,'Threshold Summary'!$L:$L,""))/100)+5)*XLOOKUP(XLOOKUP($Q689,'Threshold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Editor'!$E:$E,1))),stab,IF(OR(mtype=XLOOKUP(XLOOKUP($Q689,'Threshold Summary'!$Y:$Y,'Threshold Summary'!$K:$K,""),'Pokemon Editor'!$A:$A,'Pokemon Editor'!$C:$C,""),mtype=XLOOKUP(XLOOKUP($Q689,'Threshold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Chart'!$B$1:$S$1,0)))),base,IF(OR(cat="Status",pow=0),0,FLOOR(FLOOR(FLOOR((2*XLOOKUP($Q689,'Threshold Summary'!$Y:$Y,'Threshold Summary'!$L:$L,"")/5+2)*pow*atk/def)/50)+2)),modifier,stab*eff,FLOOR(base*modifier*0.85)),0)</f>
        <v/>
      </c>
      <c r="K689" s="3">
        <f>IFERROR(LET(mtype,XLOOKUP($D689,'Move Editor'!$B:$B,'Move Editor'!$C:$C,""),cat,XLOOKUP($D689,'Move Editor'!$B:$B,'Move Editor'!$D:$D,""),pow,XLOOKUP($D689,'Move Editor'!$B:$B,'Move Editor'!$E:$E,0),acc,XLOOKUP($D689,'Move Editor'!$B:$B,'Move Editor'!$F:$F,100),atk,IF(cat="Physical",FLOOR((FLOOR(((2*XLOOKUP(XLOOKUP($Q689,'Threshold Summary'!$Y:$Y,'Threshold Summary'!$K:$K,""),'Pokemon Editor'!$A:$A,'Pokemon Editor'!$F:$F,0)+31+FLOOR(XLOOKUP($Q689,'Threshold Summary'!$Y:$Y,'Threshold Summary'!$P:$P,"")/4))*XLOOKUP($Q689,'Threshold Summary'!$Y:$Y,'Threshold Summary'!$L:$L,""))/100)+5)*XLOOKUP(XLOOKUP($Q689,'Threshold Summary'!$Y:$Y,'Threshold Summary'!$M:$M,""),'Nature Editor'!$A:$A,'Nature Editor'!$B:$B,1)),FLOOR((FLOOR(((2*XLOOKUP(XLOOKUP($Q689,'Threshold Summary'!$Y:$Y,'Threshold Summary'!$K:$K,""),'Pokemon Editor'!$A:$A,'Pokemon Editor'!$H:$H,0)+31+FLOOR(XLOOKUP($Q689,'Threshold Summary'!$Y:$Y,'Threshold Summary'!$R:$R,"")/4))*XLOOKUP($Q689,'Threshold Summary'!$Y:$Y,'Threshold Summary'!$L:$L,""))/100)+5)*XLOOKUP(XLOOKUP($Q689,'Threshold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Editor'!$E:$E,1))),stab,IF(OR(mtype=XLOOKUP(XLOOKUP($Q689,'Threshold Summary'!$Y:$Y,'Threshold Summary'!$K:$K,""),'Pokemon Editor'!$A:$A,'Pokemon Editor'!$C:$C,""),mtype=XLOOKUP(XLOOKUP($Q689,'Threshold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Chart'!$B$1:$S$1,0)))),base,IF(OR(cat="Status",pow=0),0,FLOOR(FLOOR(FLOOR((2*XLOOKUP($Q689,'Threshold Summary'!$Y:$Y,'Threshold Summary'!$L:$L,"")/5+2)*pow*atk/def)/50)+2)),modifier,stab*eff,FLOOR(base*modifier)),0)</f>
        <v/>
      </c>
      <c r="L689" s="3">
        <f>IFERROR(LET(mtype,XLOOKUP($D689,'Move Editor'!$B:$B,'Move Editor'!$C:$C,""),cat,XLOOKUP($D689,'Move Editor'!$B:$B,'Move Editor'!$D:$D,""),pow,XLOOKUP($D689,'Move Editor'!$B:$B,'Move Editor'!$E:$E,0),acc,XLOOKUP($D689,'Move Editor'!$B:$B,'Move Editor'!$F:$F,100),atk,IF(cat="Physical",FLOOR((FLOOR(((2*XLOOKUP(XLOOKUP($Q689,'Threshold Summary'!$Y:$Y,'Threshold Summary'!$K:$K,""),'Pokemon Editor'!$A:$A,'Pokemon Editor'!$F:$F,0)+31+FLOOR(XLOOKUP($Q689,'Threshold Summary'!$Y:$Y,'Threshold Summary'!$P:$P,"")/4))*XLOOKUP($Q689,'Threshold Summary'!$Y:$Y,'Threshold Summary'!$L:$L,""))/100)+5)*XLOOKUP(XLOOKUP($Q689,'Threshold Summary'!$Y:$Y,'Threshold Summary'!$M:$M,""),'Nature Editor'!$A:$A,'Nature Editor'!$B:$B,1)),FLOOR((FLOOR(((2*XLOOKUP(XLOOKUP($Q689,'Threshold Summary'!$Y:$Y,'Threshold Summary'!$K:$K,""),'Pokemon Editor'!$A:$A,'Pokemon Editor'!$H:$H,0)+31+FLOOR(XLOOKUP($Q689,'Threshold Summary'!$Y:$Y,'Threshold Summary'!$R:$R,"")/4))*XLOOKUP($Q689,'Threshold Summary'!$Y:$Y,'Threshold Summary'!$L:$L,""))/100)+5)*XLOOKUP(XLOOKUP($Q689,'Threshold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Editor'!$E:$E,1))),stab,IF(OR(mtype=XLOOKUP(XLOOKUP($Q689,'Threshold Summary'!$Y:$Y,'Threshold Summary'!$K:$K,""),'Pokemon Editor'!$A:$A,'Pokemon Editor'!$C:$C,""),mtype=XLOOKUP(XLOOKUP($Q689,'Threshold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Chart'!$B$1:$S$1,0)))),base,IF(OR(cat="Status",pow=0),0,FLOOR(FLOOR(FLOOR((2*XLOOKUP($Q689,'Threshold Summary'!$Y:$Y,'Threshold Summary'!$L:$L,"")/5+2)*pow*atk/def)/50)+2)),modifier,stab*eff,AVERAGE(ARRAYFORMULA(FLOOR(base*modifier*SEQUENCE(16,1,85,1)/100)))),0)</f>
        <v/>
      </c>
      <c r="M689" s="3">
        <f>IFERROR(LET(mtype,XLOOKUP($D689,'Move Editor'!$B:$B,'Move Editor'!$C:$C,""),cat,XLOOKUP($D689,'Move Editor'!$B:$B,'Move Editor'!$D:$D,""),pow,XLOOKUP($D689,'Move Editor'!$B:$B,'Move Editor'!$E:$E,0),acc,XLOOKUP($D689,'Move Editor'!$B:$B,'Move Editor'!$F:$F,100),atk,IF(cat="Physical",FLOOR((FLOOR(((2*XLOOKUP(XLOOKUP($Q689,'Threshold Summary'!$Y:$Y,'Threshold Summary'!$K:$K,""),'Pokemon Editor'!$A:$A,'Pokemon Editor'!$F:$F,0)+31+FLOOR(XLOOKUP($Q689,'Threshold Summary'!$Y:$Y,'Threshold Summary'!$P:$P,"")/4))*XLOOKUP($Q689,'Threshold Summary'!$Y:$Y,'Threshold Summary'!$L:$L,""))/100)+5)*XLOOKUP(XLOOKUP($Q689,'Threshold Summary'!$Y:$Y,'Threshold Summary'!$M:$M,""),'Nature Editor'!$A:$A,'Nature Editor'!$B:$B,1)),FLOOR((FLOOR(((2*XLOOKUP(XLOOKUP($Q689,'Threshold Summary'!$Y:$Y,'Threshold Summary'!$K:$K,""),'Pokemon Editor'!$A:$A,'Pokemon Editor'!$H:$H,0)+31+FLOOR(XLOOKUP($Q689,'Threshold Summary'!$Y:$Y,'Threshold Summary'!$R:$R,"")/4))*XLOOKUP($Q689,'Threshold Summary'!$Y:$Y,'Threshold Summary'!$L:$L,""))/100)+5)*XLOOKUP(XLOOKUP($Q689,'Threshold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Editor'!$E:$E,1))),stab,IF(OR(mtype=XLOOKUP(XLOOKUP($Q689,'Threshold Summary'!$Y:$Y,'Threshold Summary'!$K:$K,""),'Pokemon Editor'!$A:$A,'Pokemon Editor'!$C:$C,""),mtype=XLOOKUP(XLOOKUP($Q689,'Threshold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Chart'!$B$1:$S$1,0)))),base,IF(OR(cat="Status",pow=0),0,FLOOR(FLOOR(FLOOR((2*XLOOKUP($Q689,'Threshold Summary'!$Y:$Y,'Threshold Summary'!$L:$L,"")/5+2)*pow*atk/def)/50)+2)),modifier,stab*eff,AVERAGE(ARRAYFORMULA(FLOOR(base*modifier*SEQUENCE(16,1,85,1)/100)))*MIN(1,acc/100)),0)</f>
        <v/>
      </c>
      <c r="N689" s="4">
        <f>IFERROR(LET(mtype,XLOOKUP($D689,'Move Editor'!$B:$B,'Move Editor'!$C:$C,""),cat,XLOOKUP($D689,'Move Editor'!$B:$B,'Move Editor'!$D:$D,""),pow,XLOOKUP($D689,'Move Editor'!$B:$B,'Move Editor'!$E:$E,0),acc,XLOOKUP($D689,'Move Editor'!$B:$B,'Move Editor'!$F:$F,100),atk,IF(cat="Physical",FLOOR((FLOOR(((2*XLOOKUP(XLOOKUP($Q689,'Threshold Summary'!$Y:$Y,'Threshold Summary'!$K:$K,""),'Pokemon Editor'!$A:$A,'Pokemon Editor'!$F:$F,0)+31+FLOOR(XLOOKUP($Q689,'Threshold Summary'!$Y:$Y,'Threshold Summary'!$P:$P,"")/4))*XLOOKUP($Q689,'Threshold Summary'!$Y:$Y,'Threshold Summary'!$L:$L,""))/100)+5)*XLOOKUP(XLOOKUP($Q689,'Threshold Summary'!$Y:$Y,'Threshold Summary'!$M:$M,""),'Nature Editor'!$A:$A,'Nature Editor'!$B:$B,1)),FLOOR((FLOOR(((2*XLOOKUP(XLOOKUP($Q689,'Threshold Summary'!$Y:$Y,'Threshold Summary'!$K:$K,""),'Pokemon Editor'!$A:$A,'Pokemon Editor'!$H:$H,0)+31+FLOOR(XLOOKUP($Q689,'Threshold Summary'!$Y:$Y,'Threshold Summary'!$R:$R,"")/4))*XLOOKUP($Q689,'Threshold Summary'!$Y:$Y,'Threshold Summary'!$L:$L,""))/100)+5)*XLOOKUP(XLOOKUP($Q689,'Threshold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Editor'!$E:$E,1))),stab,IF(OR(mtype=XLOOKUP(XLOOKUP($Q689,'Threshold Summary'!$Y:$Y,'Threshold Summary'!$K:$K,""),'Pokemon Editor'!$A:$A,'Pokemon Editor'!$C:$C,""),mtype=XLOOKUP(XLOOKUP($Q689,'Threshold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Chart'!$B$1:$S$1,0)))),base,IF(OR(cat="Status",pow=0),0,FLOOR(FLOOR(FLOOR((2*XLOOKUP($Q689,'Threshold Summary'!$Y:$Y,'Threshold Summary'!$L:$L,"")/5+2)*pow*atk/def)/50)+2)),modifier,stab*eff,AVERAGE(ARRAYFORMULA(FLOOR(base*modifier*SEQUENCE(16,1,85,1)/100)))/(FLOOR(((2*XLOOKUP('Boss Editor'!$C$4,'Pokemon Editor'!$A:$A,'Pokemon Editor'!$E:$E,0)+31+FLOOR('Boss Editor'!$G$4/4))*'Boss Editor'!$D$4)/100)+'Boss Editor'!$D$4+10)),0)</f>
        <v/>
      </c>
      <c r="O689" s="3">
        <f>IF(N689&gt;=1,"OHKO",IF(N689&gt;=0.5,"2HKO",IF(N689&gt;=0.333,"3HKO",IF(N689&gt;=0.25,"4HKO","5HKO+"))))</f>
        <v/>
      </c>
      <c r="P689" s="3" t="inlineStr">
        <is>
          <t>Live from editable databases</t>
        </is>
      </c>
      <c r="Q689" s="3" t="inlineStr">
        <is>
          <t>SPECIES_PHANTUMP</t>
        </is>
      </c>
      <c r="R689" s="3" t="n">
        <v>16</v>
      </c>
    </row>
    <row r="690">
      <c r="A690" s="3">
        <f>XLOOKUP($Q690,'Threshold Summary'!$Y:$Y,'Threshold Summary'!$A:$A,"")</f>
        <v/>
      </c>
      <c r="B690" s="3">
        <f>XLOOKUP($Q690,'Threshold Summary'!$Y:$Y,'Threshold Summary'!$M:$M,"")</f>
        <v/>
      </c>
      <c r="C690" s="3">
        <f>XLOOKUP($Q690,'Threshold Summary'!$Y:$Y,'Threshold Summary'!$N:$N,"")</f>
        <v/>
      </c>
      <c r="D690" s="3">
        <f>IFERROR(INDEX(FILTER('Learnset Editor'!$D$2:$D,'Learnset Editor'!$A$2:$A=XLOOKUP($Q690,'Threshold Summary'!$Y:$Y,'Threshold Summary'!$K:$K,""),'Learnset Editor'!$C$2:$C&lt;=XLOOKUP($Q690,'Threshold Summary'!$Y:$Y,'Threshold Summary'!$L:$L,"")),$R690),"")</f>
        <v/>
      </c>
      <c r="E690" s="3">
        <f>XLOOKUP(D690,'Move Editor'!$B:$B,'Move Editor'!$C:$C,"")</f>
        <v/>
      </c>
      <c r="F690" s="3">
        <f>XLOOKUP(D690,'Move Editor'!$B:$B,'Move Editor'!$D:$D,"")</f>
        <v/>
      </c>
      <c r="G690" s="3">
        <f>XLOOKUP(D690,'Move Editor'!$B:$B,'Move Editor'!$E:$E,0)</f>
        <v/>
      </c>
      <c r="H690" s="3">
        <f>XLOOKUP(D690,'Move Editor'!$B:$B,'Move Editor'!$F:$F,0)</f>
        <v/>
      </c>
      <c r="I690" s="3">
        <f>(INDEX('Type Chart'!$B:$S,MATCH(E690,'Type Chart'!$A:$A,0),MATCH(XLOOKUP('Boss Editor'!$C$4,'Pokemon Editor'!$A:$A,'Pokemon Editor'!$C:$C,""),'Type Chart'!$B$1:$S$1,0))*IF(XLOOKUP('Boss Editor'!$C$4,'Pokemon Editor'!$A:$A,'Pokemon Editor'!$D:$D,"")="",1,INDEX('Type Chart'!$B:$S,MATCH(E690,'Type Chart'!$A:$A,0),MATCH(XLOOKUP('Boss Editor'!$C$4,'Pokemon Editor'!$A:$A,'Pokemon Editor'!$D:$D,""),'Type Chart'!$B$1:$S$1,0))))</f>
        <v/>
      </c>
      <c r="J690" s="3">
        <f>IFERROR(LET(mtype,XLOOKUP($D690,'Move Editor'!$B:$B,'Move Editor'!$C:$C,""),cat,XLOOKUP($D690,'Move Editor'!$B:$B,'Move Editor'!$D:$D,""),pow,XLOOKUP($D690,'Move Editor'!$B:$B,'Move Editor'!$E:$E,0),acc,XLOOKUP($D690,'Move Editor'!$B:$B,'Move Editor'!$F:$F,100),atk,IF(cat="Physical",FLOOR((FLOOR(((2*XLOOKUP(XLOOKUP($Q690,'Threshold Summary'!$Y:$Y,'Threshold Summary'!$K:$K,""),'Pokemon Editor'!$A:$A,'Pokemon Editor'!$F:$F,0)+31+FLOOR(XLOOKUP($Q690,'Threshold Summary'!$Y:$Y,'Threshold Summary'!$P:$P,"")/4))*XLOOKUP($Q690,'Threshold Summary'!$Y:$Y,'Threshold Summary'!$L:$L,""))/100)+5)*XLOOKUP(XLOOKUP($Q690,'Threshold Summary'!$Y:$Y,'Threshold Summary'!$M:$M,""),'Nature Editor'!$A:$A,'Nature Editor'!$B:$B,1)),FLOOR((FLOOR(((2*XLOOKUP(XLOOKUP($Q690,'Threshold Summary'!$Y:$Y,'Threshold Summary'!$K:$K,""),'Pokemon Editor'!$A:$A,'Pokemon Editor'!$H:$H,0)+31+FLOOR(XLOOKUP($Q690,'Threshold Summary'!$Y:$Y,'Threshold Summary'!$R:$R,"")/4))*XLOOKUP($Q690,'Threshold Summary'!$Y:$Y,'Threshold Summary'!$L:$L,""))/100)+5)*XLOOKUP(XLOOKUP($Q690,'Threshold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Editor'!$E:$E,1))),stab,IF(OR(mtype=XLOOKUP(XLOOKUP($Q690,'Threshold Summary'!$Y:$Y,'Threshold Summary'!$K:$K,""),'Pokemon Editor'!$A:$A,'Pokemon Editor'!$C:$C,""),mtype=XLOOKUP(XLOOKUP($Q690,'Threshold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Chart'!$B$1:$S$1,0)))),base,IF(OR(cat="Status",pow=0),0,FLOOR(FLOOR(FLOOR((2*XLOOKUP($Q690,'Threshold Summary'!$Y:$Y,'Threshold Summary'!$L:$L,"")/5+2)*pow*atk/def)/50)+2)),modifier,stab*eff,FLOOR(base*modifier*0.85)),0)</f>
        <v/>
      </c>
      <c r="K690" s="3">
        <f>IFERROR(LET(mtype,XLOOKUP($D690,'Move Editor'!$B:$B,'Move Editor'!$C:$C,""),cat,XLOOKUP($D690,'Move Editor'!$B:$B,'Move Editor'!$D:$D,""),pow,XLOOKUP($D690,'Move Editor'!$B:$B,'Move Editor'!$E:$E,0),acc,XLOOKUP($D690,'Move Editor'!$B:$B,'Move Editor'!$F:$F,100),atk,IF(cat="Physical",FLOOR((FLOOR(((2*XLOOKUP(XLOOKUP($Q690,'Threshold Summary'!$Y:$Y,'Threshold Summary'!$K:$K,""),'Pokemon Editor'!$A:$A,'Pokemon Editor'!$F:$F,0)+31+FLOOR(XLOOKUP($Q690,'Threshold Summary'!$Y:$Y,'Threshold Summary'!$P:$P,"")/4))*XLOOKUP($Q690,'Threshold Summary'!$Y:$Y,'Threshold Summary'!$L:$L,""))/100)+5)*XLOOKUP(XLOOKUP($Q690,'Threshold Summary'!$Y:$Y,'Threshold Summary'!$M:$M,""),'Nature Editor'!$A:$A,'Nature Editor'!$B:$B,1)),FLOOR((FLOOR(((2*XLOOKUP(XLOOKUP($Q690,'Threshold Summary'!$Y:$Y,'Threshold Summary'!$K:$K,""),'Pokemon Editor'!$A:$A,'Pokemon Editor'!$H:$H,0)+31+FLOOR(XLOOKUP($Q690,'Threshold Summary'!$Y:$Y,'Threshold Summary'!$R:$R,"")/4))*XLOOKUP($Q690,'Threshold Summary'!$Y:$Y,'Threshold Summary'!$L:$L,""))/100)+5)*XLOOKUP(XLOOKUP($Q690,'Threshold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Editor'!$E:$E,1))),stab,IF(OR(mtype=XLOOKUP(XLOOKUP($Q690,'Threshold Summary'!$Y:$Y,'Threshold Summary'!$K:$K,""),'Pokemon Editor'!$A:$A,'Pokemon Editor'!$C:$C,""),mtype=XLOOKUP(XLOOKUP($Q690,'Threshold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Chart'!$B$1:$S$1,0)))),base,IF(OR(cat="Status",pow=0),0,FLOOR(FLOOR(FLOOR((2*XLOOKUP($Q690,'Threshold Summary'!$Y:$Y,'Threshold Summary'!$L:$L,"")/5+2)*pow*atk/def)/50)+2)),modifier,stab*eff,FLOOR(base*modifier)),0)</f>
        <v/>
      </c>
      <c r="L690" s="3">
        <f>IFERROR(LET(mtype,XLOOKUP($D690,'Move Editor'!$B:$B,'Move Editor'!$C:$C,""),cat,XLOOKUP($D690,'Move Editor'!$B:$B,'Move Editor'!$D:$D,""),pow,XLOOKUP($D690,'Move Editor'!$B:$B,'Move Editor'!$E:$E,0),acc,XLOOKUP($D690,'Move Editor'!$B:$B,'Move Editor'!$F:$F,100),atk,IF(cat="Physical",FLOOR((FLOOR(((2*XLOOKUP(XLOOKUP($Q690,'Threshold Summary'!$Y:$Y,'Threshold Summary'!$K:$K,""),'Pokemon Editor'!$A:$A,'Pokemon Editor'!$F:$F,0)+31+FLOOR(XLOOKUP($Q690,'Threshold Summary'!$Y:$Y,'Threshold Summary'!$P:$P,"")/4))*XLOOKUP($Q690,'Threshold Summary'!$Y:$Y,'Threshold Summary'!$L:$L,""))/100)+5)*XLOOKUP(XLOOKUP($Q690,'Threshold Summary'!$Y:$Y,'Threshold Summary'!$M:$M,""),'Nature Editor'!$A:$A,'Nature Editor'!$B:$B,1)),FLOOR((FLOOR(((2*XLOOKUP(XLOOKUP($Q690,'Threshold Summary'!$Y:$Y,'Threshold Summary'!$K:$K,""),'Pokemon Editor'!$A:$A,'Pokemon Editor'!$H:$H,0)+31+FLOOR(XLOOKUP($Q690,'Threshold Summary'!$Y:$Y,'Threshold Summary'!$R:$R,"")/4))*XLOOKUP($Q690,'Threshold Summary'!$Y:$Y,'Threshold Summary'!$L:$L,""))/100)+5)*XLOOKUP(XLOOKUP($Q690,'Threshold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Editor'!$E:$E,1))),stab,IF(OR(mtype=XLOOKUP(XLOOKUP($Q690,'Threshold Summary'!$Y:$Y,'Threshold Summary'!$K:$K,""),'Pokemon Editor'!$A:$A,'Pokemon Editor'!$C:$C,""),mtype=XLOOKUP(XLOOKUP($Q690,'Threshold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Chart'!$B$1:$S$1,0)))),base,IF(OR(cat="Status",pow=0),0,FLOOR(FLOOR(FLOOR((2*XLOOKUP($Q690,'Threshold Summary'!$Y:$Y,'Threshold Summary'!$L:$L,"")/5+2)*pow*atk/def)/50)+2)),modifier,stab*eff,AVERAGE(ARRAYFORMULA(FLOOR(base*modifier*SEQUENCE(16,1,85,1)/100)))),0)</f>
        <v/>
      </c>
      <c r="M690" s="3">
        <f>IFERROR(LET(mtype,XLOOKUP($D690,'Move Editor'!$B:$B,'Move Editor'!$C:$C,""),cat,XLOOKUP($D690,'Move Editor'!$B:$B,'Move Editor'!$D:$D,""),pow,XLOOKUP($D690,'Move Editor'!$B:$B,'Move Editor'!$E:$E,0),acc,XLOOKUP($D690,'Move Editor'!$B:$B,'Move Editor'!$F:$F,100),atk,IF(cat="Physical",FLOOR((FLOOR(((2*XLOOKUP(XLOOKUP($Q690,'Threshold Summary'!$Y:$Y,'Threshold Summary'!$K:$K,""),'Pokemon Editor'!$A:$A,'Pokemon Editor'!$F:$F,0)+31+FLOOR(XLOOKUP($Q690,'Threshold Summary'!$Y:$Y,'Threshold Summary'!$P:$P,"")/4))*XLOOKUP($Q690,'Threshold Summary'!$Y:$Y,'Threshold Summary'!$L:$L,""))/100)+5)*XLOOKUP(XLOOKUP($Q690,'Threshold Summary'!$Y:$Y,'Threshold Summary'!$M:$M,""),'Nature Editor'!$A:$A,'Nature Editor'!$B:$B,1)),FLOOR((FLOOR(((2*XLOOKUP(XLOOKUP($Q690,'Threshold Summary'!$Y:$Y,'Threshold Summary'!$K:$K,""),'Pokemon Editor'!$A:$A,'Pokemon Editor'!$H:$H,0)+31+FLOOR(XLOOKUP($Q690,'Threshold Summary'!$Y:$Y,'Threshold Summary'!$R:$R,"")/4))*XLOOKUP($Q690,'Threshold Summary'!$Y:$Y,'Threshold Summary'!$L:$L,""))/100)+5)*XLOOKUP(XLOOKUP($Q690,'Threshold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Editor'!$E:$E,1))),stab,IF(OR(mtype=XLOOKUP(XLOOKUP($Q690,'Threshold Summary'!$Y:$Y,'Threshold Summary'!$K:$K,""),'Pokemon Editor'!$A:$A,'Pokemon Editor'!$C:$C,""),mtype=XLOOKUP(XLOOKUP($Q690,'Threshold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Chart'!$B$1:$S$1,0)))),base,IF(OR(cat="Status",pow=0),0,FLOOR(FLOOR(FLOOR((2*XLOOKUP($Q690,'Threshold Summary'!$Y:$Y,'Threshold Summary'!$L:$L,"")/5+2)*pow*atk/def)/50)+2)),modifier,stab*eff,AVERAGE(ARRAYFORMULA(FLOOR(base*modifier*SEQUENCE(16,1,85,1)/100)))*MIN(1,acc/100)),0)</f>
        <v/>
      </c>
      <c r="N690" s="4">
        <f>IFERROR(LET(mtype,XLOOKUP($D690,'Move Editor'!$B:$B,'Move Editor'!$C:$C,""),cat,XLOOKUP($D690,'Move Editor'!$B:$B,'Move Editor'!$D:$D,""),pow,XLOOKUP($D690,'Move Editor'!$B:$B,'Move Editor'!$E:$E,0),acc,XLOOKUP($D690,'Move Editor'!$B:$B,'Move Editor'!$F:$F,100),atk,IF(cat="Physical",FLOOR((FLOOR(((2*XLOOKUP(XLOOKUP($Q690,'Threshold Summary'!$Y:$Y,'Threshold Summary'!$K:$K,""),'Pokemon Editor'!$A:$A,'Pokemon Editor'!$F:$F,0)+31+FLOOR(XLOOKUP($Q690,'Threshold Summary'!$Y:$Y,'Threshold Summary'!$P:$P,"")/4))*XLOOKUP($Q690,'Threshold Summary'!$Y:$Y,'Threshold Summary'!$L:$L,""))/100)+5)*XLOOKUP(XLOOKUP($Q690,'Threshold Summary'!$Y:$Y,'Threshold Summary'!$M:$M,""),'Nature Editor'!$A:$A,'Nature Editor'!$B:$B,1)),FLOOR((FLOOR(((2*XLOOKUP(XLOOKUP($Q690,'Threshold Summary'!$Y:$Y,'Threshold Summary'!$K:$K,""),'Pokemon Editor'!$A:$A,'Pokemon Editor'!$H:$H,0)+31+FLOOR(XLOOKUP($Q690,'Threshold Summary'!$Y:$Y,'Threshold Summary'!$R:$R,"")/4))*XLOOKUP($Q690,'Threshold Summary'!$Y:$Y,'Threshold Summary'!$L:$L,""))/100)+5)*XLOOKUP(XLOOKUP($Q690,'Threshold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Editor'!$E:$E,1))),stab,IF(OR(mtype=XLOOKUP(XLOOKUP($Q690,'Threshold Summary'!$Y:$Y,'Threshold Summary'!$K:$K,""),'Pokemon Editor'!$A:$A,'Pokemon Editor'!$C:$C,""),mtype=XLOOKUP(XLOOKUP($Q690,'Threshold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Chart'!$B$1:$S$1,0)))),base,IF(OR(cat="Status",pow=0),0,FLOOR(FLOOR(FLOOR((2*XLOOKUP($Q690,'Threshold Summary'!$Y:$Y,'Threshold Summary'!$L:$L,"")/5+2)*pow*atk/def)/50)+2)),modifier,stab*eff,AVERAGE(ARRAYFORMULA(FLOOR(base*modifier*SEQUENCE(16,1,85,1)/100)))/(FLOOR(((2*XLOOKUP('Boss Editor'!$C$4,'Pokemon Editor'!$A:$A,'Pokemon Editor'!$E:$E,0)+31+FLOOR('Boss Editor'!$G$4/4))*'Boss Editor'!$D$4)/100)+'Boss Editor'!$D$4+10)),0)</f>
        <v/>
      </c>
      <c r="O690" s="3">
        <f>IF(N690&gt;=1,"OHKO",IF(N690&gt;=0.5,"2HKO",IF(N690&gt;=0.333,"3HKO",IF(N690&gt;=0.25,"4HKO","5HKO+"))))</f>
        <v/>
      </c>
      <c r="P690" s="3" t="inlineStr">
        <is>
          <t>Live from editable databases</t>
        </is>
      </c>
      <c r="Q690" s="3" t="inlineStr">
        <is>
          <t>SPECIES_PHANTUMP</t>
        </is>
      </c>
      <c r="R690" s="3" t="n">
        <v>17</v>
      </c>
    </row>
    <row r="691">
      <c r="A691" s="3">
        <f>XLOOKUP($Q691,'Threshold Summary'!$Y:$Y,'Threshold Summary'!$A:$A,"")</f>
        <v/>
      </c>
      <c r="B691" s="3">
        <f>XLOOKUP($Q691,'Threshold Summary'!$Y:$Y,'Threshold Summary'!$M:$M,"")</f>
        <v/>
      </c>
      <c r="C691" s="3">
        <f>XLOOKUP($Q691,'Threshold Summary'!$Y:$Y,'Threshold Summary'!$N:$N,"")</f>
        <v/>
      </c>
      <c r="D691" s="3">
        <f>IFERROR(INDEX(FILTER('Learnset Editor'!$D$2:$D,'Learnset Editor'!$A$2:$A=XLOOKUP($Q691,'Threshold Summary'!$Y:$Y,'Threshold Summary'!$K:$K,""),'Learnset Editor'!$C$2:$C&lt;=XLOOKUP($Q691,'Threshold Summary'!$Y:$Y,'Threshold Summary'!$L:$L,"")),$R691),"")</f>
        <v/>
      </c>
      <c r="E691" s="3">
        <f>XLOOKUP(D691,'Move Editor'!$B:$B,'Move Editor'!$C:$C,"")</f>
        <v/>
      </c>
      <c r="F691" s="3">
        <f>XLOOKUP(D691,'Move Editor'!$B:$B,'Move Editor'!$D:$D,"")</f>
        <v/>
      </c>
      <c r="G691" s="3">
        <f>XLOOKUP(D691,'Move Editor'!$B:$B,'Move Editor'!$E:$E,0)</f>
        <v/>
      </c>
      <c r="H691" s="3">
        <f>XLOOKUP(D691,'Move Editor'!$B:$B,'Move Editor'!$F:$F,0)</f>
        <v/>
      </c>
      <c r="I691" s="3">
        <f>(INDEX('Type Chart'!$B:$S,MATCH(E691,'Type Chart'!$A:$A,0),MATCH(XLOOKUP('Boss Editor'!$C$4,'Pokemon Editor'!$A:$A,'Pokemon Editor'!$C:$C,""),'Type Chart'!$B$1:$S$1,0))*IF(XLOOKUP('Boss Editor'!$C$4,'Pokemon Editor'!$A:$A,'Pokemon Editor'!$D:$D,"")="",1,INDEX('Type Chart'!$B:$S,MATCH(E691,'Type Chart'!$A:$A,0),MATCH(XLOOKUP('Boss Editor'!$C$4,'Pokemon Editor'!$A:$A,'Pokemon Editor'!$D:$D,""),'Type Chart'!$B$1:$S$1,0))))</f>
        <v/>
      </c>
      <c r="J691" s="3">
        <f>IFERROR(LET(mtype,XLOOKUP($D691,'Move Editor'!$B:$B,'Move Editor'!$C:$C,""),cat,XLOOKUP($D691,'Move Editor'!$B:$B,'Move Editor'!$D:$D,""),pow,XLOOKUP($D691,'Move Editor'!$B:$B,'Move Editor'!$E:$E,0),acc,XLOOKUP($D691,'Move Editor'!$B:$B,'Move Editor'!$F:$F,100),atk,IF(cat="Physical",FLOOR((FLOOR(((2*XLOOKUP(XLOOKUP($Q691,'Threshold Summary'!$Y:$Y,'Threshold Summary'!$K:$K,""),'Pokemon Editor'!$A:$A,'Pokemon Editor'!$F:$F,0)+31+FLOOR(XLOOKUP($Q691,'Threshold Summary'!$Y:$Y,'Threshold Summary'!$P:$P,"")/4))*XLOOKUP($Q691,'Threshold Summary'!$Y:$Y,'Threshold Summary'!$L:$L,""))/100)+5)*XLOOKUP(XLOOKUP($Q691,'Threshold Summary'!$Y:$Y,'Threshold Summary'!$M:$M,""),'Nature Editor'!$A:$A,'Nature Editor'!$B:$B,1)),FLOOR((FLOOR(((2*XLOOKUP(XLOOKUP($Q691,'Threshold Summary'!$Y:$Y,'Threshold Summary'!$K:$K,""),'Pokemon Editor'!$A:$A,'Pokemon Editor'!$H:$H,0)+31+FLOOR(XLOOKUP($Q691,'Threshold Summary'!$Y:$Y,'Threshold Summary'!$R:$R,"")/4))*XLOOKUP($Q691,'Threshold Summary'!$Y:$Y,'Threshold Summary'!$L:$L,""))/100)+5)*XLOOKUP(XLOOKUP($Q691,'Threshold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Editor'!$E:$E,1))),stab,IF(OR(mtype=XLOOKUP(XLOOKUP($Q691,'Threshold Summary'!$Y:$Y,'Threshold Summary'!$K:$K,""),'Pokemon Editor'!$A:$A,'Pokemon Editor'!$C:$C,""),mtype=XLOOKUP(XLOOKUP($Q691,'Threshold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Chart'!$B$1:$S$1,0)))),base,IF(OR(cat="Status",pow=0),0,FLOOR(FLOOR(FLOOR((2*XLOOKUP($Q691,'Threshold Summary'!$Y:$Y,'Threshold Summary'!$L:$L,"")/5+2)*pow*atk/def)/50)+2)),modifier,stab*eff,FLOOR(base*modifier*0.85)),0)</f>
        <v/>
      </c>
      <c r="K691" s="3">
        <f>IFERROR(LET(mtype,XLOOKUP($D691,'Move Editor'!$B:$B,'Move Editor'!$C:$C,""),cat,XLOOKUP($D691,'Move Editor'!$B:$B,'Move Editor'!$D:$D,""),pow,XLOOKUP($D691,'Move Editor'!$B:$B,'Move Editor'!$E:$E,0),acc,XLOOKUP($D691,'Move Editor'!$B:$B,'Move Editor'!$F:$F,100),atk,IF(cat="Physical",FLOOR((FLOOR(((2*XLOOKUP(XLOOKUP($Q691,'Threshold Summary'!$Y:$Y,'Threshold Summary'!$K:$K,""),'Pokemon Editor'!$A:$A,'Pokemon Editor'!$F:$F,0)+31+FLOOR(XLOOKUP($Q691,'Threshold Summary'!$Y:$Y,'Threshold Summary'!$P:$P,"")/4))*XLOOKUP($Q691,'Threshold Summary'!$Y:$Y,'Threshold Summary'!$L:$L,""))/100)+5)*XLOOKUP(XLOOKUP($Q691,'Threshold Summary'!$Y:$Y,'Threshold Summary'!$M:$M,""),'Nature Editor'!$A:$A,'Nature Editor'!$B:$B,1)),FLOOR((FLOOR(((2*XLOOKUP(XLOOKUP($Q691,'Threshold Summary'!$Y:$Y,'Threshold Summary'!$K:$K,""),'Pokemon Editor'!$A:$A,'Pokemon Editor'!$H:$H,0)+31+FLOOR(XLOOKUP($Q691,'Threshold Summary'!$Y:$Y,'Threshold Summary'!$R:$R,"")/4))*XLOOKUP($Q691,'Threshold Summary'!$Y:$Y,'Threshold Summary'!$L:$L,""))/100)+5)*XLOOKUP(XLOOKUP($Q691,'Threshold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Editor'!$E:$E,1))),stab,IF(OR(mtype=XLOOKUP(XLOOKUP($Q691,'Threshold Summary'!$Y:$Y,'Threshold Summary'!$K:$K,""),'Pokemon Editor'!$A:$A,'Pokemon Editor'!$C:$C,""),mtype=XLOOKUP(XLOOKUP($Q691,'Threshold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Chart'!$B$1:$S$1,0)))),base,IF(OR(cat="Status",pow=0),0,FLOOR(FLOOR(FLOOR((2*XLOOKUP($Q691,'Threshold Summary'!$Y:$Y,'Threshold Summary'!$L:$L,"")/5+2)*pow*atk/def)/50)+2)),modifier,stab*eff,FLOOR(base*modifier)),0)</f>
        <v/>
      </c>
      <c r="L691" s="3">
        <f>IFERROR(LET(mtype,XLOOKUP($D691,'Move Editor'!$B:$B,'Move Editor'!$C:$C,""),cat,XLOOKUP($D691,'Move Editor'!$B:$B,'Move Editor'!$D:$D,""),pow,XLOOKUP($D691,'Move Editor'!$B:$B,'Move Editor'!$E:$E,0),acc,XLOOKUP($D691,'Move Editor'!$B:$B,'Move Editor'!$F:$F,100),atk,IF(cat="Physical",FLOOR((FLOOR(((2*XLOOKUP(XLOOKUP($Q691,'Threshold Summary'!$Y:$Y,'Threshold Summary'!$K:$K,""),'Pokemon Editor'!$A:$A,'Pokemon Editor'!$F:$F,0)+31+FLOOR(XLOOKUP($Q691,'Threshold Summary'!$Y:$Y,'Threshold Summary'!$P:$P,"")/4))*XLOOKUP($Q691,'Threshold Summary'!$Y:$Y,'Threshold Summary'!$L:$L,""))/100)+5)*XLOOKUP(XLOOKUP($Q691,'Threshold Summary'!$Y:$Y,'Threshold Summary'!$M:$M,""),'Nature Editor'!$A:$A,'Nature Editor'!$B:$B,1)),FLOOR((FLOOR(((2*XLOOKUP(XLOOKUP($Q691,'Threshold Summary'!$Y:$Y,'Threshold Summary'!$K:$K,""),'Pokemon Editor'!$A:$A,'Pokemon Editor'!$H:$H,0)+31+FLOOR(XLOOKUP($Q691,'Threshold Summary'!$Y:$Y,'Threshold Summary'!$R:$R,"")/4))*XLOOKUP($Q691,'Threshold Summary'!$Y:$Y,'Threshold Summary'!$L:$L,""))/100)+5)*XLOOKUP(XLOOKUP($Q691,'Threshold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Editor'!$E:$E,1))),stab,IF(OR(mtype=XLOOKUP(XLOOKUP($Q691,'Threshold Summary'!$Y:$Y,'Threshold Summary'!$K:$K,""),'Pokemon Editor'!$A:$A,'Pokemon Editor'!$C:$C,""),mtype=XLOOKUP(XLOOKUP($Q691,'Threshold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Chart'!$B$1:$S$1,0)))),base,IF(OR(cat="Status",pow=0),0,FLOOR(FLOOR(FLOOR((2*XLOOKUP($Q691,'Threshold Summary'!$Y:$Y,'Threshold Summary'!$L:$L,"")/5+2)*pow*atk/def)/50)+2)),modifier,stab*eff,AVERAGE(ARRAYFORMULA(FLOOR(base*modifier*SEQUENCE(16,1,85,1)/100)))),0)</f>
        <v/>
      </c>
      <c r="M691" s="3">
        <f>IFERROR(LET(mtype,XLOOKUP($D691,'Move Editor'!$B:$B,'Move Editor'!$C:$C,""),cat,XLOOKUP($D691,'Move Editor'!$B:$B,'Move Editor'!$D:$D,""),pow,XLOOKUP($D691,'Move Editor'!$B:$B,'Move Editor'!$E:$E,0),acc,XLOOKUP($D691,'Move Editor'!$B:$B,'Move Editor'!$F:$F,100),atk,IF(cat="Physical",FLOOR((FLOOR(((2*XLOOKUP(XLOOKUP($Q691,'Threshold Summary'!$Y:$Y,'Threshold Summary'!$K:$K,""),'Pokemon Editor'!$A:$A,'Pokemon Editor'!$F:$F,0)+31+FLOOR(XLOOKUP($Q691,'Threshold Summary'!$Y:$Y,'Threshold Summary'!$P:$P,"")/4))*XLOOKUP($Q691,'Threshold Summary'!$Y:$Y,'Threshold Summary'!$L:$L,""))/100)+5)*XLOOKUP(XLOOKUP($Q691,'Threshold Summary'!$Y:$Y,'Threshold Summary'!$M:$M,""),'Nature Editor'!$A:$A,'Nature Editor'!$B:$B,1)),FLOOR((FLOOR(((2*XLOOKUP(XLOOKUP($Q691,'Threshold Summary'!$Y:$Y,'Threshold Summary'!$K:$K,""),'Pokemon Editor'!$A:$A,'Pokemon Editor'!$H:$H,0)+31+FLOOR(XLOOKUP($Q691,'Threshold Summary'!$Y:$Y,'Threshold Summary'!$R:$R,"")/4))*XLOOKUP($Q691,'Threshold Summary'!$Y:$Y,'Threshold Summary'!$L:$L,""))/100)+5)*XLOOKUP(XLOOKUP($Q691,'Threshold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Editor'!$E:$E,1))),stab,IF(OR(mtype=XLOOKUP(XLOOKUP($Q691,'Threshold Summary'!$Y:$Y,'Threshold Summary'!$K:$K,""),'Pokemon Editor'!$A:$A,'Pokemon Editor'!$C:$C,""),mtype=XLOOKUP(XLOOKUP($Q691,'Threshold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Chart'!$B$1:$S$1,0)))),base,IF(OR(cat="Status",pow=0),0,FLOOR(FLOOR(FLOOR((2*XLOOKUP($Q691,'Threshold Summary'!$Y:$Y,'Threshold Summary'!$L:$L,"")/5+2)*pow*atk/def)/50)+2)),modifier,stab*eff,AVERAGE(ARRAYFORMULA(FLOOR(base*modifier*SEQUENCE(16,1,85,1)/100)))*MIN(1,acc/100)),0)</f>
        <v/>
      </c>
      <c r="N691" s="4">
        <f>IFERROR(LET(mtype,XLOOKUP($D691,'Move Editor'!$B:$B,'Move Editor'!$C:$C,""),cat,XLOOKUP($D691,'Move Editor'!$B:$B,'Move Editor'!$D:$D,""),pow,XLOOKUP($D691,'Move Editor'!$B:$B,'Move Editor'!$E:$E,0),acc,XLOOKUP($D691,'Move Editor'!$B:$B,'Move Editor'!$F:$F,100),atk,IF(cat="Physical",FLOOR((FLOOR(((2*XLOOKUP(XLOOKUP($Q691,'Threshold Summary'!$Y:$Y,'Threshold Summary'!$K:$K,""),'Pokemon Editor'!$A:$A,'Pokemon Editor'!$F:$F,0)+31+FLOOR(XLOOKUP($Q691,'Threshold Summary'!$Y:$Y,'Threshold Summary'!$P:$P,"")/4))*XLOOKUP($Q691,'Threshold Summary'!$Y:$Y,'Threshold Summary'!$L:$L,""))/100)+5)*XLOOKUP(XLOOKUP($Q691,'Threshold Summary'!$Y:$Y,'Threshold Summary'!$M:$M,""),'Nature Editor'!$A:$A,'Nature Editor'!$B:$B,1)),FLOOR((FLOOR(((2*XLOOKUP(XLOOKUP($Q691,'Threshold Summary'!$Y:$Y,'Threshold Summary'!$K:$K,""),'Pokemon Editor'!$A:$A,'Pokemon Editor'!$H:$H,0)+31+FLOOR(XLOOKUP($Q691,'Threshold Summary'!$Y:$Y,'Threshold Summary'!$R:$R,"")/4))*XLOOKUP($Q691,'Threshold Summary'!$Y:$Y,'Threshold Summary'!$L:$L,""))/100)+5)*XLOOKUP(XLOOKUP($Q691,'Threshold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Editor'!$E:$E,1))),stab,IF(OR(mtype=XLOOKUP(XLOOKUP($Q691,'Threshold Summary'!$Y:$Y,'Threshold Summary'!$K:$K,""),'Pokemon Editor'!$A:$A,'Pokemon Editor'!$C:$C,""),mtype=XLOOKUP(XLOOKUP($Q691,'Threshold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Chart'!$B$1:$S$1,0)))),base,IF(OR(cat="Status",pow=0),0,FLOOR(FLOOR(FLOOR((2*XLOOKUP($Q691,'Threshold Summary'!$Y:$Y,'Threshold Summary'!$L:$L,"")/5+2)*pow*atk/def)/50)+2)),modifier,stab*eff,AVERAGE(ARRAYFORMULA(FLOOR(base*modifier*SEQUENCE(16,1,85,1)/100)))/(FLOOR(((2*XLOOKUP('Boss Editor'!$C$4,'Pokemon Editor'!$A:$A,'Pokemon Editor'!$E:$E,0)+31+FLOOR('Boss Editor'!$G$4/4))*'Boss Editor'!$D$4)/100)+'Boss Editor'!$D$4+10)),0)</f>
        <v/>
      </c>
      <c r="O691" s="3">
        <f>IF(N691&gt;=1,"OHKO",IF(N691&gt;=0.5,"2HKO",IF(N691&gt;=0.333,"3HKO",IF(N691&gt;=0.25,"4HKO","5HKO+"))))</f>
        <v/>
      </c>
      <c r="P691" s="3" t="inlineStr">
        <is>
          <t>Live from editable databases</t>
        </is>
      </c>
      <c r="Q691" s="3" t="inlineStr">
        <is>
          <t>SPECIES_PHANTUMP</t>
        </is>
      </c>
      <c r="R691" s="3" t="n">
        <v>18</v>
      </c>
    </row>
    <row r="692">
      <c r="A692" s="3">
        <f>XLOOKUP($Q692,'Threshold Summary'!$Y:$Y,'Threshold Summary'!$A:$A,"")</f>
        <v/>
      </c>
      <c r="B692" s="3">
        <f>XLOOKUP($Q692,'Threshold Summary'!$Y:$Y,'Threshold Summary'!$M:$M,"")</f>
        <v/>
      </c>
      <c r="C692" s="3">
        <f>XLOOKUP($Q692,'Threshold Summary'!$Y:$Y,'Threshold Summary'!$N:$N,"")</f>
        <v/>
      </c>
      <c r="D692" s="3">
        <f>IFERROR(INDEX(FILTER('Learnset Editor'!$D$2:$D,'Learnset Editor'!$A$2:$A=XLOOKUP($Q692,'Threshold Summary'!$Y:$Y,'Threshold Summary'!$K:$K,""),'Learnset Editor'!$C$2:$C&lt;=XLOOKUP($Q692,'Threshold Summary'!$Y:$Y,'Threshold Summary'!$L:$L,"")),$R692),"")</f>
        <v/>
      </c>
      <c r="E692" s="3">
        <f>XLOOKUP(D692,'Move Editor'!$B:$B,'Move Editor'!$C:$C,"")</f>
        <v/>
      </c>
      <c r="F692" s="3">
        <f>XLOOKUP(D692,'Move Editor'!$B:$B,'Move Editor'!$D:$D,"")</f>
        <v/>
      </c>
      <c r="G692" s="3">
        <f>XLOOKUP(D692,'Move Editor'!$B:$B,'Move Editor'!$E:$E,0)</f>
        <v/>
      </c>
      <c r="H692" s="3">
        <f>XLOOKUP(D692,'Move Editor'!$B:$B,'Move Editor'!$F:$F,0)</f>
        <v/>
      </c>
      <c r="I692" s="3">
        <f>(INDEX('Type Chart'!$B:$S,MATCH(E692,'Type Chart'!$A:$A,0),MATCH(XLOOKUP('Boss Editor'!$C$4,'Pokemon Editor'!$A:$A,'Pokemon Editor'!$C:$C,""),'Type Chart'!$B$1:$S$1,0))*IF(XLOOKUP('Boss Editor'!$C$4,'Pokemon Editor'!$A:$A,'Pokemon Editor'!$D:$D,"")="",1,INDEX('Type Chart'!$B:$S,MATCH(E692,'Type Chart'!$A:$A,0),MATCH(XLOOKUP('Boss Editor'!$C$4,'Pokemon Editor'!$A:$A,'Pokemon Editor'!$D:$D,""),'Type Chart'!$B$1:$S$1,0))))</f>
        <v/>
      </c>
      <c r="J692" s="3">
        <f>IFERROR(LET(mtype,XLOOKUP($D692,'Move Editor'!$B:$B,'Move Editor'!$C:$C,""),cat,XLOOKUP($D692,'Move Editor'!$B:$B,'Move Editor'!$D:$D,""),pow,XLOOKUP($D692,'Move Editor'!$B:$B,'Move Editor'!$E:$E,0),acc,XLOOKUP($D692,'Move Editor'!$B:$B,'Move Editor'!$F:$F,100),atk,IF(cat="Physical",FLOOR((FLOOR(((2*XLOOKUP(XLOOKUP($Q692,'Threshold Summary'!$Y:$Y,'Threshold Summary'!$K:$K,""),'Pokemon Editor'!$A:$A,'Pokemon Editor'!$F:$F,0)+31+FLOOR(XLOOKUP($Q692,'Threshold Summary'!$Y:$Y,'Threshold Summary'!$P:$P,"")/4))*XLOOKUP($Q692,'Threshold Summary'!$Y:$Y,'Threshold Summary'!$L:$L,""))/100)+5)*XLOOKUP(XLOOKUP($Q692,'Threshold Summary'!$Y:$Y,'Threshold Summary'!$M:$M,""),'Nature Editor'!$A:$A,'Nature Editor'!$B:$B,1)),FLOOR((FLOOR(((2*XLOOKUP(XLOOKUP($Q692,'Threshold Summary'!$Y:$Y,'Threshold Summary'!$K:$K,""),'Pokemon Editor'!$A:$A,'Pokemon Editor'!$H:$H,0)+31+FLOOR(XLOOKUP($Q692,'Threshold Summary'!$Y:$Y,'Threshold Summary'!$R:$R,"")/4))*XLOOKUP($Q692,'Threshold Summary'!$Y:$Y,'Threshold Summary'!$L:$L,""))/100)+5)*XLOOKUP(XLOOKUP($Q692,'Threshold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Editor'!$E:$E,1))),stab,IF(OR(mtype=XLOOKUP(XLOOKUP($Q692,'Threshold Summary'!$Y:$Y,'Threshold Summary'!$K:$K,""),'Pokemon Editor'!$A:$A,'Pokemon Editor'!$C:$C,""),mtype=XLOOKUP(XLOOKUP($Q692,'Threshold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Chart'!$B$1:$S$1,0)))),base,IF(OR(cat="Status",pow=0),0,FLOOR(FLOOR(FLOOR((2*XLOOKUP($Q692,'Threshold Summary'!$Y:$Y,'Threshold Summary'!$L:$L,"")/5+2)*pow*atk/def)/50)+2)),modifier,stab*eff,FLOOR(base*modifier*0.85)),0)</f>
        <v/>
      </c>
      <c r="K692" s="3">
        <f>IFERROR(LET(mtype,XLOOKUP($D692,'Move Editor'!$B:$B,'Move Editor'!$C:$C,""),cat,XLOOKUP($D692,'Move Editor'!$B:$B,'Move Editor'!$D:$D,""),pow,XLOOKUP($D692,'Move Editor'!$B:$B,'Move Editor'!$E:$E,0),acc,XLOOKUP($D692,'Move Editor'!$B:$B,'Move Editor'!$F:$F,100),atk,IF(cat="Physical",FLOOR((FLOOR(((2*XLOOKUP(XLOOKUP($Q692,'Threshold Summary'!$Y:$Y,'Threshold Summary'!$K:$K,""),'Pokemon Editor'!$A:$A,'Pokemon Editor'!$F:$F,0)+31+FLOOR(XLOOKUP($Q692,'Threshold Summary'!$Y:$Y,'Threshold Summary'!$P:$P,"")/4))*XLOOKUP($Q692,'Threshold Summary'!$Y:$Y,'Threshold Summary'!$L:$L,""))/100)+5)*XLOOKUP(XLOOKUP($Q692,'Threshold Summary'!$Y:$Y,'Threshold Summary'!$M:$M,""),'Nature Editor'!$A:$A,'Nature Editor'!$B:$B,1)),FLOOR((FLOOR(((2*XLOOKUP(XLOOKUP($Q692,'Threshold Summary'!$Y:$Y,'Threshold Summary'!$K:$K,""),'Pokemon Editor'!$A:$A,'Pokemon Editor'!$H:$H,0)+31+FLOOR(XLOOKUP($Q692,'Threshold Summary'!$Y:$Y,'Threshold Summary'!$R:$R,"")/4))*XLOOKUP($Q692,'Threshold Summary'!$Y:$Y,'Threshold Summary'!$L:$L,""))/100)+5)*XLOOKUP(XLOOKUP($Q692,'Threshold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Editor'!$E:$E,1))),stab,IF(OR(mtype=XLOOKUP(XLOOKUP($Q692,'Threshold Summary'!$Y:$Y,'Threshold Summary'!$K:$K,""),'Pokemon Editor'!$A:$A,'Pokemon Editor'!$C:$C,""),mtype=XLOOKUP(XLOOKUP($Q692,'Threshold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Chart'!$B$1:$S$1,0)))),base,IF(OR(cat="Status",pow=0),0,FLOOR(FLOOR(FLOOR((2*XLOOKUP($Q692,'Threshold Summary'!$Y:$Y,'Threshold Summary'!$L:$L,"")/5+2)*pow*atk/def)/50)+2)),modifier,stab*eff,FLOOR(base*modifier)),0)</f>
        <v/>
      </c>
      <c r="L692" s="3">
        <f>IFERROR(LET(mtype,XLOOKUP($D692,'Move Editor'!$B:$B,'Move Editor'!$C:$C,""),cat,XLOOKUP($D692,'Move Editor'!$B:$B,'Move Editor'!$D:$D,""),pow,XLOOKUP($D692,'Move Editor'!$B:$B,'Move Editor'!$E:$E,0),acc,XLOOKUP($D692,'Move Editor'!$B:$B,'Move Editor'!$F:$F,100),atk,IF(cat="Physical",FLOOR((FLOOR(((2*XLOOKUP(XLOOKUP($Q692,'Threshold Summary'!$Y:$Y,'Threshold Summary'!$K:$K,""),'Pokemon Editor'!$A:$A,'Pokemon Editor'!$F:$F,0)+31+FLOOR(XLOOKUP($Q692,'Threshold Summary'!$Y:$Y,'Threshold Summary'!$P:$P,"")/4))*XLOOKUP($Q692,'Threshold Summary'!$Y:$Y,'Threshold Summary'!$L:$L,""))/100)+5)*XLOOKUP(XLOOKUP($Q692,'Threshold Summary'!$Y:$Y,'Threshold Summary'!$M:$M,""),'Nature Editor'!$A:$A,'Nature Editor'!$B:$B,1)),FLOOR((FLOOR(((2*XLOOKUP(XLOOKUP($Q692,'Threshold Summary'!$Y:$Y,'Threshold Summary'!$K:$K,""),'Pokemon Editor'!$A:$A,'Pokemon Editor'!$H:$H,0)+31+FLOOR(XLOOKUP($Q692,'Threshold Summary'!$Y:$Y,'Threshold Summary'!$R:$R,"")/4))*XLOOKUP($Q692,'Threshold Summary'!$Y:$Y,'Threshold Summary'!$L:$L,""))/100)+5)*XLOOKUP(XLOOKUP($Q692,'Threshold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Editor'!$E:$E,1))),stab,IF(OR(mtype=XLOOKUP(XLOOKUP($Q692,'Threshold Summary'!$Y:$Y,'Threshold Summary'!$K:$K,""),'Pokemon Editor'!$A:$A,'Pokemon Editor'!$C:$C,""),mtype=XLOOKUP(XLOOKUP($Q692,'Threshold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Chart'!$B$1:$S$1,0)))),base,IF(OR(cat="Status",pow=0),0,FLOOR(FLOOR(FLOOR((2*XLOOKUP($Q692,'Threshold Summary'!$Y:$Y,'Threshold Summary'!$L:$L,"")/5+2)*pow*atk/def)/50)+2)),modifier,stab*eff,AVERAGE(ARRAYFORMULA(FLOOR(base*modifier*SEQUENCE(16,1,85,1)/100)))),0)</f>
        <v/>
      </c>
      <c r="M692" s="3">
        <f>IFERROR(LET(mtype,XLOOKUP($D692,'Move Editor'!$B:$B,'Move Editor'!$C:$C,""),cat,XLOOKUP($D692,'Move Editor'!$B:$B,'Move Editor'!$D:$D,""),pow,XLOOKUP($D692,'Move Editor'!$B:$B,'Move Editor'!$E:$E,0),acc,XLOOKUP($D692,'Move Editor'!$B:$B,'Move Editor'!$F:$F,100),atk,IF(cat="Physical",FLOOR((FLOOR(((2*XLOOKUP(XLOOKUP($Q692,'Threshold Summary'!$Y:$Y,'Threshold Summary'!$K:$K,""),'Pokemon Editor'!$A:$A,'Pokemon Editor'!$F:$F,0)+31+FLOOR(XLOOKUP($Q692,'Threshold Summary'!$Y:$Y,'Threshold Summary'!$P:$P,"")/4))*XLOOKUP($Q692,'Threshold Summary'!$Y:$Y,'Threshold Summary'!$L:$L,""))/100)+5)*XLOOKUP(XLOOKUP($Q692,'Threshold Summary'!$Y:$Y,'Threshold Summary'!$M:$M,""),'Nature Editor'!$A:$A,'Nature Editor'!$B:$B,1)),FLOOR((FLOOR(((2*XLOOKUP(XLOOKUP($Q692,'Threshold Summary'!$Y:$Y,'Threshold Summary'!$K:$K,""),'Pokemon Editor'!$A:$A,'Pokemon Editor'!$H:$H,0)+31+FLOOR(XLOOKUP($Q692,'Threshold Summary'!$Y:$Y,'Threshold Summary'!$R:$R,"")/4))*XLOOKUP($Q692,'Threshold Summary'!$Y:$Y,'Threshold Summary'!$L:$L,""))/100)+5)*XLOOKUP(XLOOKUP($Q692,'Threshold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Editor'!$E:$E,1))),stab,IF(OR(mtype=XLOOKUP(XLOOKUP($Q692,'Threshold Summary'!$Y:$Y,'Threshold Summary'!$K:$K,""),'Pokemon Editor'!$A:$A,'Pokemon Editor'!$C:$C,""),mtype=XLOOKUP(XLOOKUP($Q692,'Threshold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Chart'!$B$1:$S$1,0)))),base,IF(OR(cat="Status",pow=0),0,FLOOR(FLOOR(FLOOR((2*XLOOKUP($Q692,'Threshold Summary'!$Y:$Y,'Threshold Summary'!$L:$L,"")/5+2)*pow*atk/def)/50)+2)),modifier,stab*eff,AVERAGE(ARRAYFORMULA(FLOOR(base*modifier*SEQUENCE(16,1,85,1)/100)))*MIN(1,acc/100)),0)</f>
        <v/>
      </c>
      <c r="N692" s="4">
        <f>IFERROR(LET(mtype,XLOOKUP($D692,'Move Editor'!$B:$B,'Move Editor'!$C:$C,""),cat,XLOOKUP($D692,'Move Editor'!$B:$B,'Move Editor'!$D:$D,""),pow,XLOOKUP($D692,'Move Editor'!$B:$B,'Move Editor'!$E:$E,0),acc,XLOOKUP($D692,'Move Editor'!$B:$B,'Move Editor'!$F:$F,100),atk,IF(cat="Physical",FLOOR((FLOOR(((2*XLOOKUP(XLOOKUP($Q692,'Threshold Summary'!$Y:$Y,'Threshold Summary'!$K:$K,""),'Pokemon Editor'!$A:$A,'Pokemon Editor'!$F:$F,0)+31+FLOOR(XLOOKUP($Q692,'Threshold Summary'!$Y:$Y,'Threshold Summary'!$P:$P,"")/4))*XLOOKUP($Q692,'Threshold Summary'!$Y:$Y,'Threshold Summary'!$L:$L,""))/100)+5)*XLOOKUP(XLOOKUP($Q692,'Threshold Summary'!$Y:$Y,'Threshold Summary'!$M:$M,""),'Nature Editor'!$A:$A,'Nature Editor'!$B:$B,1)),FLOOR((FLOOR(((2*XLOOKUP(XLOOKUP($Q692,'Threshold Summary'!$Y:$Y,'Threshold Summary'!$K:$K,""),'Pokemon Editor'!$A:$A,'Pokemon Editor'!$H:$H,0)+31+FLOOR(XLOOKUP($Q692,'Threshold Summary'!$Y:$Y,'Threshold Summary'!$R:$R,"")/4))*XLOOKUP($Q692,'Threshold Summary'!$Y:$Y,'Threshold Summary'!$L:$L,""))/100)+5)*XLOOKUP(XLOOKUP($Q692,'Threshold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Editor'!$E:$E,1))),stab,IF(OR(mtype=XLOOKUP(XLOOKUP($Q692,'Threshold Summary'!$Y:$Y,'Threshold Summary'!$K:$K,""),'Pokemon Editor'!$A:$A,'Pokemon Editor'!$C:$C,""),mtype=XLOOKUP(XLOOKUP($Q692,'Threshold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Chart'!$B$1:$S$1,0)))),base,IF(OR(cat="Status",pow=0),0,FLOOR(FLOOR(FLOOR((2*XLOOKUP($Q692,'Threshold Summary'!$Y:$Y,'Threshold Summary'!$L:$L,"")/5+2)*pow*atk/def)/50)+2)),modifier,stab*eff,AVERAGE(ARRAYFORMULA(FLOOR(base*modifier*SEQUENCE(16,1,85,1)/100)))/(FLOOR(((2*XLOOKUP('Boss Editor'!$C$4,'Pokemon Editor'!$A:$A,'Pokemon Editor'!$E:$E,0)+31+FLOOR('Boss Editor'!$G$4/4))*'Boss Editor'!$D$4)/100)+'Boss Editor'!$D$4+10)),0)</f>
        <v/>
      </c>
      <c r="O692" s="3">
        <f>IF(N692&gt;=1,"OHKO",IF(N692&gt;=0.5,"2HKO",IF(N692&gt;=0.333,"3HKO",IF(N692&gt;=0.25,"4HKO","5HKO+"))))</f>
        <v/>
      </c>
      <c r="P692" s="3" t="inlineStr">
        <is>
          <t>Live from editable databases</t>
        </is>
      </c>
      <c r="Q692" s="3" t="inlineStr">
        <is>
          <t>SPECIES_PHANTUMP</t>
        </is>
      </c>
      <c r="R692" s="3" t="n">
        <v>19</v>
      </c>
    </row>
    <row r="693">
      <c r="A693" s="3">
        <f>XLOOKUP($Q693,'Threshold Summary'!$Y:$Y,'Threshold Summary'!$A:$A,"")</f>
        <v/>
      </c>
      <c r="B693" s="3">
        <f>XLOOKUP($Q693,'Threshold Summary'!$Y:$Y,'Threshold Summary'!$M:$M,"")</f>
        <v/>
      </c>
      <c r="C693" s="3">
        <f>XLOOKUP($Q693,'Threshold Summary'!$Y:$Y,'Threshold Summary'!$N:$N,"")</f>
        <v/>
      </c>
      <c r="D693" s="3">
        <f>IFERROR(INDEX(FILTER('Learnset Editor'!$D$2:$D,'Learnset Editor'!$A$2:$A=XLOOKUP($Q693,'Threshold Summary'!$Y:$Y,'Threshold Summary'!$K:$K,""),'Learnset Editor'!$C$2:$C&lt;=XLOOKUP($Q693,'Threshold Summary'!$Y:$Y,'Threshold Summary'!$L:$L,"")),$R693),"")</f>
        <v/>
      </c>
      <c r="E693" s="3">
        <f>XLOOKUP(D693,'Move Editor'!$B:$B,'Move Editor'!$C:$C,"")</f>
        <v/>
      </c>
      <c r="F693" s="3">
        <f>XLOOKUP(D693,'Move Editor'!$B:$B,'Move Editor'!$D:$D,"")</f>
        <v/>
      </c>
      <c r="G693" s="3">
        <f>XLOOKUP(D693,'Move Editor'!$B:$B,'Move Editor'!$E:$E,0)</f>
        <v/>
      </c>
      <c r="H693" s="3">
        <f>XLOOKUP(D693,'Move Editor'!$B:$B,'Move Editor'!$F:$F,0)</f>
        <v/>
      </c>
      <c r="I693" s="3">
        <f>(INDEX('Type Chart'!$B:$S,MATCH(E693,'Type Chart'!$A:$A,0),MATCH(XLOOKUP('Boss Editor'!$C$4,'Pokemon Editor'!$A:$A,'Pokemon Editor'!$C:$C,""),'Type Chart'!$B$1:$S$1,0))*IF(XLOOKUP('Boss Editor'!$C$4,'Pokemon Editor'!$A:$A,'Pokemon Editor'!$D:$D,"")="",1,INDEX('Type Chart'!$B:$S,MATCH(E693,'Type Chart'!$A:$A,0),MATCH(XLOOKUP('Boss Editor'!$C$4,'Pokemon Editor'!$A:$A,'Pokemon Editor'!$D:$D,""),'Type Chart'!$B$1:$S$1,0))))</f>
        <v/>
      </c>
      <c r="J693" s="3">
        <f>IFERROR(LET(mtype,XLOOKUP($D693,'Move Editor'!$B:$B,'Move Editor'!$C:$C,""),cat,XLOOKUP($D693,'Move Editor'!$B:$B,'Move Editor'!$D:$D,""),pow,XLOOKUP($D693,'Move Editor'!$B:$B,'Move Editor'!$E:$E,0),acc,XLOOKUP($D693,'Move Editor'!$B:$B,'Move Editor'!$F:$F,100),atk,IF(cat="Physical",FLOOR((FLOOR(((2*XLOOKUP(XLOOKUP($Q693,'Threshold Summary'!$Y:$Y,'Threshold Summary'!$K:$K,""),'Pokemon Editor'!$A:$A,'Pokemon Editor'!$F:$F,0)+31+FLOOR(XLOOKUP($Q693,'Threshold Summary'!$Y:$Y,'Threshold Summary'!$P:$P,"")/4))*XLOOKUP($Q693,'Threshold Summary'!$Y:$Y,'Threshold Summary'!$L:$L,""))/100)+5)*XLOOKUP(XLOOKUP($Q693,'Threshold Summary'!$Y:$Y,'Threshold Summary'!$M:$M,""),'Nature Editor'!$A:$A,'Nature Editor'!$B:$B,1)),FLOOR((FLOOR(((2*XLOOKUP(XLOOKUP($Q693,'Threshold Summary'!$Y:$Y,'Threshold Summary'!$K:$K,""),'Pokemon Editor'!$A:$A,'Pokemon Editor'!$H:$H,0)+31+FLOOR(XLOOKUP($Q693,'Threshold Summary'!$Y:$Y,'Threshold Summary'!$R:$R,"")/4))*XLOOKUP($Q693,'Threshold Summary'!$Y:$Y,'Threshold Summary'!$L:$L,""))/100)+5)*XLOOKUP(XLOOKUP($Q693,'Threshold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Editor'!$E:$E,1))),stab,IF(OR(mtype=XLOOKUP(XLOOKUP($Q693,'Threshold Summary'!$Y:$Y,'Threshold Summary'!$K:$K,""),'Pokemon Editor'!$A:$A,'Pokemon Editor'!$C:$C,""),mtype=XLOOKUP(XLOOKUP($Q693,'Threshold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Chart'!$B$1:$S$1,0)))),base,IF(OR(cat="Status",pow=0),0,FLOOR(FLOOR(FLOOR((2*XLOOKUP($Q693,'Threshold Summary'!$Y:$Y,'Threshold Summary'!$L:$L,"")/5+2)*pow*atk/def)/50)+2)),modifier,stab*eff,FLOOR(base*modifier*0.85)),0)</f>
        <v/>
      </c>
      <c r="K693" s="3">
        <f>IFERROR(LET(mtype,XLOOKUP($D693,'Move Editor'!$B:$B,'Move Editor'!$C:$C,""),cat,XLOOKUP($D693,'Move Editor'!$B:$B,'Move Editor'!$D:$D,""),pow,XLOOKUP($D693,'Move Editor'!$B:$B,'Move Editor'!$E:$E,0),acc,XLOOKUP($D693,'Move Editor'!$B:$B,'Move Editor'!$F:$F,100),atk,IF(cat="Physical",FLOOR((FLOOR(((2*XLOOKUP(XLOOKUP($Q693,'Threshold Summary'!$Y:$Y,'Threshold Summary'!$K:$K,""),'Pokemon Editor'!$A:$A,'Pokemon Editor'!$F:$F,0)+31+FLOOR(XLOOKUP($Q693,'Threshold Summary'!$Y:$Y,'Threshold Summary'!$P:$P,"")/4))*XLOOKUP($Q693,'Threshold Summary'!$Y:$Y,'Threshold Summary'!$L:$L,""))/100)+5)*XLOOKUP(XLOOKUP($Q693,'Threshold Summary'!$Y:$Y,'Threshold Summary'!$M:$M,""),'Nature Editor'!$A:$A,'Nature Editor'!$B:$B,1)),FLOOR((FLOOR(((2*XLOOKUP(XLOOKUP($Q693,'Threshold Summary'!$Y:$Y,'Threshold Summary'!$K:$K,""),'Pokemon Editor'!$A:$A,'Pokemon Editor'!$H:$H,0)+31+FLOOR(XLOOKUP($Q693,'Threshold Summary'!$Y:$Y,'Threshold Summary'!$R:$R,"")/4))*XLOOKUP($Q693,'Threshold Summary'!$Y:$Y,'Threshold Summary'!$L:$L,""))/100)+5)*XLOOKUP(XLOOKUP($Q693,'Threshold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Editor'!$E:$E,1))),stab,IF(OR(mtype=XLOOKUP(XLOOKUP($Q693,'Threshold Summary'!$Y:$Y,'Threshold Summary'!$K:$K,""),'Pokemon Editor'!$A:$A,'Pokemon Editor'!$C:$C,""),mtype=XLOOKUP(XLOOKUP($Q693,'Threshold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Chart'!$B$1:$S$1,0)))),base,IF(OR(cat="Status",pow=0),0,FLOOR(FLOOR(FLOOR((2*XLOOKUP($Q693,'Threshold Summary'!$Y:$Y,'Threshold Summary'!$L:$L,"")/5+2)*pow*atk/def)/50)+2)),modifier,stab*eff,FLOOR(base*modifier)),0)</f>
        <v/>
      </c>
      <c r="L693" s="3">
        <f>IFERROR(LET(mtype,XLOOKUP($D693,'Move Editor'!$B:$B,'Move Editor'!$C:$C,""),cat,XLOOKUP($D693,'Move Editor'!$B:$B,'Move Editor'!$D:$D,""),pow,XLOOKUP($D693,'Move Editor'!$B:$B,'Move Editor'!$E:$E,0),acc,XLOOKUP($D693,'Move Editor'!$B:$B,'Move Editor'!$F:$F,100),atk,IF(cat="Physical",FLOOR((FLOOR(((2*XLOOKUP(XLOOKUP($Q693,'Threshold Summary'!$Y:$Y,'Threshold Summary'!$K:$K,""),'Pokemon Editor'!$A:$A,'Pokemon Editor'!$F:$F,0)+31+FLOOR(XLOOKUP($Q693,'Threshold Summary'!$Y:$Y,'Threshold Summary'!$P:$P,"")/4))*XLOOKUP($Q693,'Threshold Summary'!$Y:$Y,'Threshold Summary'!$L:$L,""))/100)+5)*XLOOKUP(XLOOKUP($Q693,'Threshold Summary'!$Y:$Y,'Threshold Summary'!$M:$M,""),'Nature Editor'!$A:$A,'Nature Editor'!$B:$B,1)),FLOOR((FLOOR(((2*XLOOKUP(XLOOKUP($Q693,'Threshold Summary'!$Y:$Y,'Threshold Summary'!$K:$K,""),'Pokemon Editor'!$A:$A,'Pokemon Editor'!$H:$H,0)+31+FLOOR(XLOOKUP($Q693,'Threshold Summary'!$Y:$Y,'Threshold Summary'!$R:$R,"")/4))*XLOOKUP($Q693,'Threshold Summary'!$Y:$Y,'Threshold Summary'!$L:$L,""))/100)+5)*XLOOKUP(XLOOKUP($Q693,'Threshold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Editor'!$E:$E,1))),stab,IF(OR(mtype=XLOOKUP(XLOOKUP($Q693,'Threshold Summary'!$Y:$Y,'Threshold Summary'!$K:$K,""),'Pokemon Editor'!$A:$A,'Pokemon Editor'!$C:$C,""),mtype=XLOOKUP(XLOOKUP($Q693,'Threshold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Chart'!$B$1:$S$1,0)))),base,IF(OR(cat="Status",pow=0),0,FLOOR(FLOOR(FLOOR((2*XLOOKUP($Q693,'Threshold Summary'!$Y:$Y,'Threshold Summary'!$L:$L,"")/5+2)*pow*atk/def)/50)+2)),modifier,stab*eff,AVERAGE(ARRAYFORMULA(FLOOR(base*modifier*SEQUENCE(16,1,85,1)/100)))),0)</f>
        <v/>
      </c>
      <c r="M693" s="3">
        <f>IFERROR(LET(mtype,XLOOKUP($D693,'Move Editor'!$B:$B,'Move Editor'!$C:$C,""),cat,XLOOKUP($D693,'Move Editor'!$B:$B,'Move Editor'!$D:$D,""),pow,XLOOKUP($D693,'Move Editor'!$B:$B,'Move Editor'!$E:$E,0),acc,XLOOKUP($D693,'Move Editor'!$B:$B,'Move Editor'!$F:$F,100),atk,IF(cat="Physical",FLOOR((FLOOR(((2*XLOOKUP(XLOOKUP($Q693,'Threshold Summary'!$Y:$Y,'Threshold Summary'!$K:$K,""),'Pokemon Editor'!$A:$A,'Pokemon Editor'!$F:$F,0)+31+FLOOR(XLOOKUP($Q693,'Threshold Summary'!$Y:$Y,'Threshold Summary'!$P:$P,"")/4))*XLOOKUP($Q693,'Threshold Summary'!$Y:$Y,'Threshold Summary'!$L:$L,""))/100)+5)*XLOOKUP(XLOOKUP($Q693,'Threshold Summary'!$Y:$Y,'Threshold Summary'!$M:$M,""),'Nature Editor'!$A:$A,'Nature Editor'!$B:$B,1)),FLOOR((FLOOR(((2*XLOOKUP(XLOOKUP($Q693,'Threshold Summary'!$Y:$Y,'Threshold Summary'!$K:$K,""),'Pokemon Editor'!$A:$A,'Pokemon Editor'!$H:$H,0)+31+FLOOR(XLOOKUP($Q693,'Threshold Summary'!$Y:$Y,'Threshold Summary'!$R:$R,"")/4))*XLOOKUP($Q693,'Threshold Summary'!$Y:$Y,'Threshold Summary'!$L:$L,""))/100)+5)*XLOOKUP(XLOOKUP($Q693,'Threshold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Editor'!$E:$E,1))),stab,IF(OR(mtype=XLOOKUP(XLOOKUP($Q693,'Threshold Summary'!$Y:$Y,'Threshold Summary'!$K:$K,""),'Pokemon Editor'!$A:$A,'Pokemon Editor'!$C:$C,""),mtype=XLOOKUP(XLOOKUP($Q693,'Threshold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Chart'!$B$1:$S$1,0)))),base,IF(OR(cat="Status",pow=0),0,FLOOR(FLOOR(FLOOR((2*XLOOKUP($Q693,'Threshold Summary'!$Y:$Y,'Threshold Summary'!$L:$L,"")/5+2)*pow*atk/def)/50)+2)),modifier,stab*eff,AVERAGE(ARRAYFORMULA(FLOOR(base*modifier*SEQUENCE(16,1,85,1)/100)))*MIN(1,acc/100)),0)</f>
        <v/>
      </c>
      <c r="N693" s="4">
        <f>IFERROR(LET(mtype,XLOOKUP($D693,'Move Editor'!$B:$B,'Move Editor'!$C:$C,""),cat,XLOOKUP($D693,'Move Editor'!$B:$B,'Move Editor'!$D:$D,""),pow,XLOOKUP($D693,'Move Editor'!$B:$B,'Move Editor'!$E:$E,0),acc,XLOOKUP($D693,'Move Editor'!$B:$B,'Move Editor'!$F:$F,100),atk,IF(cat="Physical",FLOOR((FLOOR(((2*XLOOKUP(XLOOKUP($Q693,'Threshold Summary'!$Y:$Y,'Threshold Summary'!$K:$K,""),'Pokemon Editor'!$A:$A,'Pokemon Editor'!$F:$F,0)+31+FLOOR(XLOOKUP($Q693,'Threshold Summary'!$Y:$Y,'Threshold Summary'!$P:$P,"")/4))*XLOOKUP($Q693,'Threshold Summary'!$Y:$Y,'Threshold Summary'!$L:$L,""))/100)+5)*XLOOKUP(XLOOKUP($Q693,'Threshold Summary'!$Y:$Y,'Threshold Summary'!$M:$M,""),'Nature Editor'!$A:$A,'Nature Editor'!$B:$B,1)),FLOOR((FLOOR(((2*XLOOKUP(XLOOKUP($Q693,'Threshold Summary'!$Y:$Y,'Threshold Summary'!$K:$K,""),'Pokemon Editor'!$A:$A,'Pokemon Editor'!$H:$H,0)+31+FLOOR(XLOOKUP($Q693,'Threshold Summary'!$Y:$Y,'Threshold Summary'!$R:$R,"")/4))*XLOOKUP($Q693,'Threshold Summary'!$Y:$Y,'Threshold Summary'!$L:$L,""))/100)+5)*XLOOKUP(XLOOKUP($Q693,'Threshold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Editor'!$E:$E,1))),stab,IF(OR(mtype=XLOOKUP(XLOOKUP($Q693,'Threshold Summary'!$Y:$Y,'Threshold Summary'!$K:$K,""),'Pokemon Editor'!$A:$A,'Pokemon Editor'!$C:$C,""),mtype=XLOOKUP(XLOOKUP($Q693,'Threshold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Chart'!$B$1:$S$1,0)))),base,IF(OR(cat="Status",pow=0),0,FLOOR(FLOOR(FLOOR((2*XLOOKUP($Q693,'Threshold Summary'!$Y:$Y,'Threshold Summary'!$L:$L,"")/5+2)*pow*atk/def)/50)+2)),modifier,stab*eff,AVERAGE(ARRAYFORMULA(FLOOR(base*modifier*SEQUENCE(16,1,85,1)/100)))/(FLOOR(((2*XLOOKUP('Boss Editor'!$C$4,'Pokemon Editor'!$A:$A,'Pokemon Editor'!$E:$E,0)+31+FLOOR('Boss Editor'!$G$4/4))*'Boss Editor'!$D$4)/100)+'Boss Editor'!$D$4+10)),0)</f>
        <v/>
      </c>
      <c r="O693" s="3">
        <f>IF(N693&gt;=1,"OHKO",IF(N693&gt;=0.5,"2HKO",IF(N693&gt;=0.333,"3HKO",IF(N693&gt;=0.25,"4HKO","5HKO+"))))</f>
        <v/>
      </c>
      <c r="P693" s="3" t="inlineStr">
        <is>
          <t>Live from editable databases</t>
        </is>
      </c>
      <c r="Q693" s="3" t="inlineStr">
        <is>
          <t>SPECIES_PHANTUMP</t>
        </is>
      </c>
      <c r="R693" s="3" t="n">
        <v>20</v>
      </c>
    </row>
    <row r="694">
      <c r="A694" s="3">
        <f>XLOOKUP($Q694,'Threshold Summary'!$Y:$Y,'Threshold Summary'!$A:$A,"")</f>
        <v/>
      </c>
      <c r="B694" s="3">
        <f>XLOOKUP($Q694,'Threshold Summary'!$Y:$Y,'Threshold Summary'!$M:$M,"")</f>
        <v/>
      </c>
      <c r="C694" s="3">
        <f>XLOOKUP($Q694,'Threshold Summary'!$Y:$Y,'Threshold Summary'!$N:$N,"")</f>
        <v/>
      </c>
      <c r="D694" s="3">
        <f>IFERROR(INDEX(FILTER('Learnset Editor'!$D$2:$D,'Learnset Editor'!$A$2:$A=XLOOKUP($Q694,'Threshold Summary'!$Y:$Y,'Threshold Summary'!$K:$K,""),'Learnset Editor'!$C$2:$C&lt;=XLOOKUP($Q694,'Threshold Summary'!$Y:$Y,'Threshold Summary'!$L:$L,"")),$R694),"")</f>
        <v/>
      </c>
      <c r="E694" s="3">
        <f>XLOOKUP(D694,'Move Editor'!$B:$B,'Move Editor'!$C:$C,"")</f>
        <v/>
      </c>
      <c r="F694" s="3">
        <f>XLOOKUP(D694,'Move Editor'!$B:$B,'Move Editor'!$D:$D,"")</f>
        <v/>
      </c>
      <c r="G694" s="3">
        <f>XLOOKUP(D694,'Move Editor'!$B:$B,'Move Editor'!$E:$E,0)</f>
        <v/>
      </c>
      <c r="H694" s="3">
        <f>XLOOKUP(D694,'Move Editor'!$B:$B,'Move Editor'!$F:$F,0)</f>
        <v/>
      </c>
      <c r="I694" s="3">
        <f>(INDEX('Type Chart'!$B:$S,MATCH(E694,'Type Chart'!$A:$A,0),MATCH(XLOOKUP('Boss Editor'!$C$4,'Pokemon Editor'!$A:$A,'Pokemon Editor'!$C:$C,""),'Type Chart'!$B$1:$S$1,0))*IF(XLOOKUP('Boss Editor'!$C$4,'Pokemon Editor'!$A:$A,'Pokemon Editor'!$D:$D,"")="",1,INDEX('Type Chart'!$B:$S,MATCH(E694,'Type Chart'!$A:$A,0),MATCH(XLOOKUP('Boss Editor'!$C$4,'Pokemon Editor'!$A:$A,'Pokemon Editor'!$D:$D,""),'Type Chart'!$B$1:$S$1,0))))</f>
        <v/>
      </c>
      <c r="J694" s="3">
        <f>IFERROR(LET(mtype,XLOOKUP($D694,'Move Editor'!$B:$B,'Move Editor'!$C:$C,""),cat,XLOOKUP($D694,'Move Editor'!$B:$B,'Move Editor'!$D:$D,""),pow,XLOOKUP($D694,'Move Editor'!$B:$B,'Move Editor'!$E:$E,0),acc,XLOOKUP($D694,'Move Editor'!$B:$B,'Move Editor'!$F:$F,100),atk,IF(cat="Physical",FLOOR((FLOOR(((2*XLOOKUP(XLOOKUP($Q694,'Threshold Summary'!$Y:$Y,'Threshold Summary'!$K:$K,""),'Pokemon Editor'!$A:$A,'Pokemon Editor'!$F:$F,0)+31+FLOOR(XLOOKUP($Q694,'Threshold Summary'!$Y:$Y,'Threshold Summary'!$P:$P,"")/4))*XLOOKUP($Q694,'Threshold Summary'!$Y:$Y,'Threshold Summary'!$L:$L,""))/100)+5)*XLOOKUP(XLOOKUP($Q694,'Threshold Summary'!$Y:$Y,'Threshold Summary'!$M:$M,""),'Nature Editor'!$A:$A,'Nature Editor'!$B:$B,1)),FLOOR((FLOOR(((2*XLOOKUP(XLOOKUP($Q694,'Threshold Summary'!$Y:$Y,'Threshold Summary'!$K:$K,""),'Pokemon Editor'!$A:$A,'Pokemon Editor'!$H:$H,0)+31+FLOOR(XLOOKUP($Q694,'Threshold Summary'!$Y:$Y,'Threshold Summary'!$R:$R,"")/4))*XLOOKUP($Q694,'Threshold Summary'!$Y:$Y,'Threshold Summary'!$L:$L,""))/100)+5)*XLOOKUP(XLOOKUP($Q694,'Threshold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Editor'!$E:$E,1))),stab,IF(OR(mtype=XLOOKUP(XLOOKUP($Q694,'Threshold Summary'!$Y:$Y,'Threshold Summary'!$K:$K,""),'Pokemon Editor'!$A:$A,'Pokemon Editor'!$C:$C,""),mtype=XLOOKUP(XLOOKUP($Q694,'Threshold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Chart'!$B$1:$S$1,0)))),base,IF(OR(cat="Status",pow=0),0,FLOOR(FLOOR(FLOOR((2*XLOOKUP($Q694,'Threshold Summary'!$Y:$Y,'Threshold Summary'!$L:$L,"")/5+2)*pow*atk/def)/50)+2)),modifier,stab*eff,FLOOR(base*modifier*0.85)),0)</f>
        <v/>
      </c>
      <c r="K694" s="3">
        <f>IFERROR(LET(mtype,XLOOKUP($D694,'Move Editor'!$B:$B,'Move Editor'!$C:$C,""),cat,XLOOKUP($D694,'Move Editor'!$B:$B,'Move Editor'!$D:$D,""),pow,XLOOKUP($D694,'Move Editor'!$B:$B,'Move Editor'!$E:$E,0),acc,XLOOKUP($D694,'Move Editor'!$B:$B,'Move Editor'!$F:$F,100),atk,IF(cat="Physical",FLOOR((FLOOR(((2*XLOOKUP(XLOOKUP($Q694,'Threshold Summary'!$Y:$Y,'Threshold Summary'!$K:$K,""),'Pokemon Editor'!$A:$A,'Pokemon Editor'!$F:$F,0)+31+FLOOR(XLOOKUP($Q694,'Threshold Summary'!$Y:$Y,'Threshold Summary'!$P:$P,"")/4))*XLOOKUP($Q694,'Threshold Summary'!$Y:$Y,'Threshold Summary'!$L:$L,""))/100)+5)*XLOOKUP(XLOOKUP($Q694,'Threshold Summary'!$Y:$Y,'Threshold Summary'!$M:$M,""),'Nature Editor'!$A:$A,'Nature Editor'!$B:$B,1)),FLOOR((FLOOR(((2*XLOOKUP(XLOOKUP($Q694,'Threshold Summary'!$Y:$Y,'Threshold Summary'!$K:$K,""),'Pokemon Editor'!$A:$A,'Pokemon Editor'!$H:$H,0)+31+FLOOR(XLOOKUP($Q694,'Threshold Summary'!$Y:$Y,'Threshold Summary'!$R:$R,"")/4))*XLOOKUP($Q694,'Threshold Summary'!$Y:$Y,'Threshold Summary'!$L:$L,""))/100)+5)*XLOOKUP(XLOOKUP($Q694,'Threshold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Editor'!$E:$E,1))),stab,IF(OR(mtype=XLOOKUP(XLOOKUP($Q694,'Threshold Summary'!$Y:$Y,'Threshold Summary'!$K:$K,""),'Pokemon Editor'!$A:$A,'Pokemon Editor'!$C:$C,""),mtype=XLOOKUP(XLOOKUP($Q694,'Threshold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Chart'!$B$1:$S$1,0)))),base,IF(OR(cat="Status",pow=0),0,FLOOR(FLOOR(FLOOR((2*XLOOKUP($Q694,'Threshold Summary'!$Y:$Y,'Threshold Summary'!$L:$L,"")/5+2)*pow*atk/def)/50)+2)),modifier,stab*eff,FLOOR(base*modifier)),0)</f>
        <v/>
      </c>
      <c r="L694" s="3">
        <f>IFERROR(LET(mtype,XLOOKUP($D694,'Move Editor'!$B:$B,'Move Editor'!$C:$C,""),cat,XLOOKUP($D694,'Move Editor'!$B:$B,'Move Editor'!$D:$D,""),pow,XLOOKUP($D694,'Move Editor'!$B:$B,'Move Editor'!$E:$E,0),acc,XLOOKUP($D694,'Move Editor'!$B:$B,'Move Editor'!$F:$F,100),atk,IF(cat="Physical",FLOOR((FLOOR(((2*XLOOKUP(XLOOKUP($Q694,'Threshold Summary'!$Y:$Y,'Threshold Summary'!$K:$K,""),'Pokemon Editor'!$A:$A,'Pokemon Editor'!$F:$F,0)+31+FLOOR(XLOOKUP($Q694,'Threshold Summary'!$Y:$Y,'Threshold Summary'!$P:$P,"")/4))*XLOOKUP($Q694,'Threshold Summary'!$Y:$Y,'Threshold Summary'!$L:$L,""))/100)+5)*XLOOKUP(XLOOKUP($Q694,'Threshold Summary'!$Y:$Y,'Threshold Summary'!$M:$M,""),'Nature Editor'!$A:$A,'Nature Editor'!$B:$B,1)),FLOOR((FLOOR(((2*XLOOKUP(XLOOKUP($Q694,'Threshold Summary'!$Y:$Y,'Threshold Summary'!$K:$K,""),'Pokemon Editor'!$A:$A,'Pokemon Editor'!$H:$H,0)+31+FLOOR(XLOOKUP($Q694,'Threshold Summary'!$Y:$Y,'Threshold Summary'!$R:$R,"")/4))*XLOOKUP($Q694,'Threshold Summary'!$Y:$Y,'Threshold Summary'!$L:$L,""))/100)+5)*XLOOKUP(XLOOKUP($Q694,'Threshold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Editor'!$E:$E,1))),stab,IF(OR(mtype=XLOOKUP(XLOOKUP($Q694,'Threshold Summary'!$Y:$Y,'Threshold Summary'!$K:$K,""),'Pokemon Editor'!$A:$A,'Pokemon Editor'!$C:$C,""),mtype=XLOOKUP(XLOOKUP($Q694,'Threshold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Chart'!$B$1:$S$1,0)))),base,IF(OR(cat="Status",pow=0),0,FLOOR(FLOOR(FLOOR((2*XLOOKUP($Q694,'Threshold Summary'!$Y:$Y,'Threshold Summary'!$L:$L,"")/5+2)*pow*atk/def)/50)+2)),modifier,stab*eff,AVERAGE(ARRAYFORMULA(FLOOR(base*modifier*SEQUENCE(16,1,85,1)/100)))),0)</f>
        <v/>
      </c>
      <c r="M694" s="3">
        <f>IFERROR(LET(mtype,XLOOKUP($D694,'Move Editor'!$B:$B,'Move Editor'!$C:$C,""),cat,XLOOKUP($D694,'Move Editor'!$B:$B,'Move Editor'!$D:$D,""),pow,XLOOKUP($D694,'Move Editor'!$B:$B,'Move Editor'!$E:$E,0),acc,XLOOKUP($D694,'Move Editor'!$B:$B,'Move Editor'!$F:$F,100),atk,IF(cat="Physical",FLOOR((FLOOR(((2*XLOOKUP(XLOOKUP($Q694,'Threshold Summary'!$Y:$Y,'Threshold Summary'!$K:$K,""),'Pokemon Editor'!$A:$A,'Pokemon Editor'!$F:$F,0)+31+FLOOR(XLOOKUP($Q694,'Threshold Summary'!$Y:$Y,'Threshold Summary'!$P:$P,"")/4))*XLOOKUP($Q694,'Threshold Summary'!$Y:$Y,'Threshold Summary'!$L:$L,""))/100)+5)*XLOOKUP(XLOOKUP($Q694,'Threshold Summary'!$Y:$Y,'Threshold Summary'!$M:$M,""),'Nature Editor'!$A:$A,'Nature Editor'!$B:$B,1)),FLOOR((FLOOR(((2*XLOOKUP(XLOOKUP($Q694,'Threshold Summary'!$Y:$Y,'Threshold Summary'!$K:$K,""),'Pokemon Editor'!$A:$A,'Pokemon Editor'!$H:$H,0)+31+FLOOR(XLOOKUP($Q694,'Threshold Summary'!$Y:$Y,'Threshold Summary'!$R:$R,"")/4))*XLOOKUP($Q694,'Threshold Summary'!$Y:$Y,'Threshold Summary'!$L:$L,""))/100)+5)*XLOOKUP(XLOOKUP($Q694,'Threshold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Editor'!$E:$E,1))),stab,IF(OR(mtype=XLOOKUP(XLOOKUP($Q694,'Threshold Summary'!$Y:$Y,'Threshold Summary'!$K:$K,""),'Pokemon Editor'!$A:$A,'Pokemon Editor'!$C:$C,""),mtype=XLOOKUP(XLOOKUP($Q694,'Threshold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Chart'!$B$1:$S$1,0)))),base,IF(OR(cat="Status",pow=0),0,FLOOR(FLOOR(FLOOR((2*XLOOKUP($Q694,'Threshold Summary'!$Y:$Y,'Threshold Summary'!$L:$L,"")/5+2)*pow*atk/def)/50)+2)),modifier,stab*eff,AVERAGE(ARRAYFORMULA(FLOOR(base*modifier*SEQUENCE(16,1,85,1)/100)))*MIN(1,acc/100)),0)</f>
        <v/>
      </c>
      <c r="N694" s="4">
        <f>IFERROR(LET(mtype,XLOOKUP($D694,'Move Editor'!$B:$B,'Move Editor'!$C:$C,""),cat,XLOOKUP($D694,'Move Editor'!$B:$B,'Move Editor'!$D:$D,""),pow,XLOOKUP($D694,'Move Editor'!$B:$B,'Move Editor'!$E:$E,0),acc,XLOOKUP($D694,'Move Editor'!$B:$B,'Move Editor'!$F:$F,100),atk,IF(cat="Physical",FLOOR((FLOOR(((2*XLOOKUP(XLOOKUP($Q694,'Threshold Summary'!$Y:$Y,'Threshold Summary'!$K:$K,""),'Pokemon Editor'!$A:$A,'Pokemon Editor'!$F:$F,0)+31+FLOOR(XLOOKUP($Q694,'Threshold Summary'!$Y:$Y,'Threshold Summary'!$P:$P,"")/4))*XLOOKUP($Q694,'Threshold Summary'!$Y:$Y,'Threshold Summary'!$L:$L,""))/100)+5)*XLOOKUP(XLOOKUP($Q694,'Threshold Summary'!$Y:$Y,'Threshold Summary'!$M:$M,""),'Nature Editor'!$A:$A,'Nature Editor'!$B:$B,1)),FLOOR((FLOOR(((2*XLOOKUP(XLOOKUP($Q694,'Threshold Summary'!$Y:$Y,'Threshold Summary'!$K:$K,""),'Pokemon Editor'!$A:$A,'Pokemon Editor'!$H:$H,0)+31+FLOOR(XLOOKUP($Q694,'Threshold Summary'!$Y:$Y,'Threshold Summary'!$R:$R,"")/4))*XLOOKUP($Q694,'Threshold Summary'!$Y:$Y,'Threshold Summary'!$L:$L,""))/100)+5)*XLOOKUP(XLOOKUP($Q694,'Threshold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Editor'!$E:$E,1))),stab,IF(OR(mtype=XLOOKUP(XLOOKUP($Q694,'Threshold Summary'!$Y:$Y,'Threshold Summary'!$K:$K,""),'Pokemon Editor'!$A:$A,'Pokemon Editor'!$C:$C,""),mtype=XLOOKUP(XLOOKUP($Q694,'Threshold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Chart'!$B$1:$S$1,0)))),base,IF(OR(cat="Status",pow=0),0,FLOOR(FLOOR(FLOOR((2*XLOOKUP($Q694,'Threshold Summary'!$Y:$Y,'Threshold Summary'!$L:$L,"")/5+2)*pow*atk/def)/50)+2)),modifier,stab*eff,AVERAGE(ARRAYFORMULA(FLOOR(base*modifier*SEQUENCE(16,1,85,1)/100)))/(FLOOR(((2*XLOOKUP('Boss Editor'!$C$4,'Pokemon Editor'!$A:$A,'Pokemon Editor'!$E:$E,0)+31+FLOOR('Boss Editor'!$G$4/4))*'Boss Editor'!$D$4)/100)+'Boss Editor'!$D$4+10)),0)</f>
        <v/>
      </c>
      <c r="O694" s="3">
        <f>IF(N694&gt;=1,"OHKO",IF(N694&gt;=0.5,"2HKO",IF(N694&gt;=0.333,"3HKO",IF(N694&gt;=0.25,"4HKO","5HKO+"))))</f>
        <v/>
      </c>
      <c r="P694" s="3" t="inlineStr">
        <is>
          <t>Live from editable databases</t>
        </is>
      </c>
      <c r="Q694" s="3" t="inlineStr">
        <is>
          <t>SPECIES_PHANTUMP</t>
        </is>
      </c>
      <c r="R694" s="3" t="n">
        <v>21</v>
      </c>
    </row>
    <row r="695">
      <c r="A695" s="3">
        <f>XLOOKUP($Q695,'Threshold Summary'!$Y:$Y,'Threshold Summary'!$A:$A,"")</f>
        <v/>
      </c>
      <c r="B695" s="3">
        <f>XLOOKUP($Q695,'Threshold Summary'!$Y:$Y,'Threshold Summary'!$M:$M,"")</f>
        <v/>
      </c>
      <c r="C695" s="3">
        <f>XLOOKUP($Q695,'Threshold Summary'!$Y:$Y,'Threshold Summary'!$N:$N,"")</f>
        <v/>
      </c>
      <c r="D695" s="3">
        <f>IFERROR(INDEX(FILTER('Learnset Editor'!$D$2:$D,'Learnset Editor'!$A$2:$A=XLOOKUP($Q695,'Threshold Summary'!$Y:$Y,'Threshold Summary'!$K:$K,""),'Learnset Editor'!$C$2:$C&lt;=XLOOKUP($Q695,'Threshold Summary'!$Y:$Y,'Threshold Summary'!$L:$L,"")),$R695),"")</f>
        <v/>
      </c>
      <c r="E695" s="3">
        <f>XLOOKUP(D695,'Move Editor'!$B:$B,'Move Editor'!$C:$C,"")</f>
        <v/>
      </c>
      <c r="F695" s="3">
        <f>XLOOKUP(D695,'Move Editor'!$B:$B,'Move Editor'!$D:$D,"")</f>
        <v/>
      </c>
      <c r="G695" s="3">
        <f>XLOOKUP(D695,'Move Editor'!$B:$B,'Move Editor'!$E:$E,0)</f>
        <v/>
      </c>
      <c r="H695" s="3">
        <f>XLOOKUP(D695,'Move Editor'!$B:$B,'Move Editor'!$F:$F,0)</f>
        <v/>
      </c>
      <c r="I695" s="3">
        <f>(INDEX('Type Chart'!$B:$S,MATCH(E695,'Type Chart'!$A:$A,0),MATCH(XLOOKUP('Boss Editor'!$C$4,'Pokemon Editor'!$A:$A,'Pokemon Editor'!$C:$C,""),'Type Chart'!$B$1:$S$1,0))*IF(XLOOKUP('Boss Editor'!$C$4,'Pokemon Editor'!$A:$A,'Pokemon Editor'!$D:$D,"")="",1,INDEX('Type Chart'!$B:$S,MATCH(E695,'Type Chart'!$A:$A,0),MATCH(XLOOKUP('Boss Editor'!$C$4,'Pokemon Editor'!$A:$A,'Pokemon Editor'!$D:$D,""),'Type Chart'!$B$1:$S$1,0))))</f>
        <v/>
      </c>
      <c r="J695" s="3">
        <f>IFERROR(LET(mtype,XLOOKUP($D695,'Move Editor'!$B:$B,'Move Editor'!$C:$C,""),cat,XLOOKUP($D695,'Move Editor'!$B:$B,'Move Editor'!$D:$D,""),pow,XLOOKUP($D695,'Move Editor'!$B:$B,'Move Editor'!$E:$E,0),acc,XLOOKUP($D695,'Move Editor'!$B:$B,'Move Editor'!$F:$F,100),atk,IF(cat="Physical",FLOOR((FLOOR(((2*XLOOKUP(XLOOKUP($Q695,'Threshold Summary'!$Y:$Y,'Threshold Summary'!$K:$K,""),'Pokemon Editor'!$A:$A,'Pokemon Editor'!$F:$F,0)+31+FLOOR(XLOOKUP($Q695,'Threshold Summary'!$Y:$Y,'Threshold Summary'!$P:$P,"")/4))*XLOOKUP($Q695,'Threshold Summary'!$Y:$Y,'Threshold Summary'!$L:$L,""))/100)+5)*XLOOKUP(XLOOKUP($Q695,'Threshold Summary'!$Y:$Y,'Threshold Summary'!$M:$M,""),'Nature Editor'!$A:$A,'Nature Editor'!$B:$B,1)),FLOOR((FLOOR(((2*XLOOKUP(XLOOKUP($Q695,'Threshold Summary'!$Y:$Y,'Threshold Summary'!$K:$K,""),'Pokemon Editor'!$A:$A,'Pokemon Editor'!$H:$H,0)+31+FLOOR(XLOOKUP($Q695,'Threshold Summary'!$Y:$Y,'Threshold Summary'!$R:$R,"")/4))*XLOOKUP($Q695,'Threshold Summary'!$Y:$Y,'Threshold Summary'!$L:$L,""))/100)+5)*XLOOKUP(XLOOKUP($Q695,'Threshold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Editor'!$E:$E,1))),stab,IF(OR(mtype=XLOOKUP(XLOOKUP($Q695,'Threshold Summary'!$Y:$Y,'Threshold Summary'!$K:$K,""),'Pokemon Editor'!$A:$A,'Pokemon Editor'!$C:$C,""),mtype=XLOOKUP(XLOOKUP($Q695,'Threshold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Chart'!$B$1:$S$1,0)))),base,IF(OR(cat="Status",pow=0),0,FLOOR(FLOOR(FLOOR((2*XLOOKUP($Q695,'Threshold Summary'!$Y:$Y,'Threshold Summary'!$L:$L,"")/5+2)*pow*atk/def)/50)+2)),modifier,stab*eff,FLOOR(base*modifier*0.85)),0)</f>
        <v/>
      </c>
      <c r="K695" s="3">
        <f>IFERROR(LET(mtype,XLOOKUP($D695,'Move Editor'!$B:$B,'Move Editor'!$C:$C,""),cat,XLOOKUP($D695,'Move Editor'!$B:$B,'Move Editor'!$D:$D,""),pow,XLOOKUP($D695,'Move Editor'!$B:$B,'Move Editor'!$E:$E,0),acc,XLOOKUP($D695,'Move Editor'!$B:$B,'Move Editor'!$F:$F,100),atk,IF(cat="Physical",FLOOR((FLOOR(((2*XLOOKUP(XLOOKUP($Q695,'Threshold Summary'!$Y:$Y,'Threshold Summary'!$K:$K,""),'Pokemon Editor'!$A:$A,'Pokemon Editor'!$F:$F,0)+31+FLOOR(XLOOKUP($Q695,'Threshold Summary'!$Y:$Y,'Threshold Summary'!$P:$P,"")/4))*XLOOKUP($Q695,'Threshold Summary'!$Y:$Y,'Threshold Summary'!$L:$L,""))/100)+5)*XLOOKUP(XLOOKUP($Q695,'Threshold Summary'!$Y:$Y,'Threshold Summary'!$M:$M,""),'Nature Editor'!$A:$A,'Nature Editor'!$B:$B,1)),FLOOR((FLOOR(((2*XLOOKUP(XLOOKUP($Q695,'Threshold Summary'!$Y:$Y,'Threshold Summary'!$K:$K,""),'Pokemon Editor'!$A:$A,'Pokemon Editor'!$H:$H,0)+31+FLOOR(XLOOKUP($Q695,'Threshold Summary'!$Y:$Y,'Threshold Summary'!$R:$R,"")/4))*XLOOKUP($Q695,'Threshold Summary'!$Y:$Y,'Threshold Summary'!$L:$L,""))/100)+5)*XLOOKUP(XLOOKUP($Q695,'Threshold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Editor'!$E:$E,1))),stab,IF(OR(mtype=XLOOKUP(XLOOKUP($Q695,'Threshold Summary'!$Y:$Y,'Threshold Summary'!$K:$K,""),'Pokemon Editor'!$A:$A,'Pokemon Editor'!$C:$C,""),mtype=XLOOKUP(XLOOKUP($Q695,'Threshold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Chart'!$B$1:$S$1,0)))),base,IF(OR(cat="Status",pow=0),0,FLOOR(FLOOR(FLOOR((2*XLOOKUP($Q695,'Threshold Summary'!$Y:$Y,'Threshold Summary'!$L:$L,"")/5+2)*pow*atk/def)/50)+2)),modifier,stab*eff,FLOOR(base*modifier)),0)</f>
        <v/>
      </c>
      <c r="L695" s="3">
        <f>IFERROR(LET(mtype,XLOOKUP($D695,'Move Editor'!$B:$B,'Move Editor'!$C:$C,""),cat,XLOOKUP($D695,'Move Editor'!$B:$B,'Move Editor'!$D:$D,""),pow,XLOOKUP($D695,'Move Editor'!$B:$B,'Move Editor'!$E:$E,0),acc,XLOOKUP($D695,'Move Editor'!$B:$B,'Move Editor'!$F:$F,100),atk,IF(cat="Physical",FLOOR((FLOOR(((2*XLOOKUP(XLOOKUP($Q695,'Threshold Summary'!$Y:$Y,'Threshold Summary'!$K:$K,""),'Pokemon Editor'!$A:$A,'Pokemon Editor'!$F:$F,0)+31+FLOOR(XLOOKUP($Q695,'Threshold Summary'!$Y:$Y,'Threshold Summary'!$P:$P,"")/4))*XLOOKUP($Q695,'Threshold Summary'!$Y:$Y,'Threshold Summary'!$L:$L,""))/100)+5)*XLOOKUP(XLOOKUP($Q695,'Threshold Summary'!$Y:$Y,'Threshold Summary'!$M:$M,""),'Nature Editor'!$A:$A,'Nature Editor'!$B:$B,1)),FLOOR((FLOOR(((2*XLOOKUP(XLOOKUP($Q695,'Threshold Summary'!$Y:$Y,'Threshold Summary'!$K:$K,""),'Pokemon Editor'!$A:$A,'Pokemon Editor'!$H:$H,0)+31+FLOOR(XLOOKUP($Q695,'Threshold Summary'!$Y:$Y,'Threshold Summary'!$R:$R,"")/4))*XLOOKUP($Q695,'Threshold Summary'!$Y:$Y,'Threshold Summary'!$L:$L,""))/100)+5)*XLOOKUP(XLOOKUP($Q695,'Threshold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Editor'!$E:$E,1))),stab,IF(OR(mtype=XLOOKUP(XLOOKUP($Q695,'Threshold Summary'!$Y:$Y,'Threshold Summary'!$K:$K,""),'Pokemon Editor'!$A:$A,'Pokemon Editor'!$C:$C,""),mtype=XLOOKUP(XLOOKUP($Q695,'Threshold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Chart'!$B$1:$S$1,0)))),base,IF(OR(cat="Status",pow=0),0,FLOOR(FLOOR(FLOOR((2*XLOOKUP($Q695,'Threshold Summary'!$Y:$Y,'Threshold Summary'!$L:$L,"")/5+2)*pow*atk/def)/50)+2)),modifier,stab*eff,AVERAGE(ARRAYFORMULA(FLOOR(base*modifier*SEQUENCE(16,1,85,1)/100)))),0)</f>
        <v/>
      </c>
      <c r="M695" s="3">
        <f>IFERROR(LET(mtype,XLOOKUP($D695,'Move Editor'!$B:$B,'Move Editor'!$C:$C,""),cat,XLOOKUP($D695,'Move Editor'!$B:$B,'Move Editor'!$D:$D,""),pow,XLOOKUP($D695,'Move Editor'!$B:$B,'Move Editor'!$E:$E,0),acc,XLOOKUP($D695,'Move Editor'!$B:$B,'Move Editor'!$F:$F,100),atk,IF(cat="Physical",FLOOR((FLOOR(((2*XLOOKUP(XLOOKUP($Q695,'Threshold Summary'!$Y:$Y,'Threshold Summary'!$K:$K,""),'Pokemon Editor'!$A:$A,'Pokemon Editor'!$F:$F,0)+31+FLOOR(XLOOKUP($Q695,'Threshold Summary'!$Y:$Y,'Threshold Summary'!$P:$P,"")/4))*XLOOKUP($Q695,'Threshold Summary'!$Y:$Y,'Threshold Summary'!$L:$L,""))/100)+5)*XLOOKUP(XLOOKUP($Q695,'Threshold Summary'!$Y:$Y,'Threshold Summary'!$M:$M,""),'Nature Editor'!$A:$A,'Nature Editor'!$B:$B,1)),FLOOR((FLOOR(((2*XLOOKUP(XLOOKUP($Q695,'Threshold Summary'!$Y:$Y,'Threshold Summary'!$K:$K,""),'Pokemon Editor'!$A:$A,'Pokemon Editor'!$H:$H,0)+31+FLOOR(XLOOKUP($Q695,'Threshold Summary'!$Y:$Y,'Threshold Summary'!$R:$R,"")/4))*XLOOKUP($Q695,'Threshold Summary'!$Y:$Y,'Threshold Summary'!$L:$L,""))/100)+5)*XLOOKUP(XLOOKUP($Q695,'Threshold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Editor'!$E:$E,1))),stab,IF(OR(mtype=XLOOKUP(XLOOKUP($Q695,'Threshold Summary'!$Y:$Y,'Threshold Summary'!$K:$K,""),'Pokemon Editor'!$A:$A,'Pokemon Editor'!$C:$C,""),mtype=XLOOKUP(XLOOKUP($Q695,'Threshold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Chart'!$B$1:$S$1,0)))),base,IF(OR(cat="Status",pow=0),0,FLOOR(FLOOR(FLOOR((2*XLOOKUP($Q695,'Threshold Summary'!$Y:$Y,'Threshold Summary'!$L:$L,"")/5+2)*pow*atk/def)/50)+2)),modifier,stab*eff,AVERAGE(ARRAYFORMULA(FLOOR(base*modifier*SEQUENCE(16,1,85,1)/100)))*MIN(1,acc/100)),0)</f>
        <v/>
      </c>
      <c r="N695" s="4">
        <f>IFERROR(LET(mtype,XLOOKUP($D695,'Move Editor'!$B:$B,'Move Editor'!$C:$C,""),cat,XLOOKUP($D695,'Move Editor'!$B:$B,'Move Editor'!$D:$D,""),pow,XLOOKUP($D695,'Move Editor'!$B:$B,'Move Editor'!$E:$E,0),acc,XLOOKUP($D695,'Move Editor'!$B:$B,'Move Editor'!$F:$F,100),atk,IF(cat="Physical",FLOOR((FLOOR(((2*XLOOKUP(XLOOKUP($Q695,'Threshold Summary'!$Y:$Y,'Threshold Summary'!$K:$K,""),'Pokemon Editor'!$A:$A,'Pokemon Editor'!$F:$F,0)+31+FLOOR(XLOOKUP($Q695,'Threshold Summary'!$Y:$Y,'Threshold Summary'!$P:$P,"")/4))*XLOOKUP($Q695,'Threshold Summary'!$Y:$Y,'Threshold Summary'!$L:$L,""))/100)+5)*XLOOKUP(XLOOKUP($Q695,'Threshold Summary'!$Y:$Y,'Threshold Summary'!$M:$M,""),'Nature Editor'!$A:$A,'Nature Editor'!$B:$B,1)),FLOOR((FLOOR(((2*XLOOKUP(XLOOKUP($Q695,'Threshold Summary'!$Y:$Y,'Threshold Summary'!$K:$K,""),'Pokemon Editor'!$A:$A,'Pokemon Editor'!$H:$H,0)+31+FLOOR(XLOOKUP($Q695,'Threshold Summary'!$Y:$Y,'Threshold Summary'!$R:$R,"")/4))*XLOOKUP($Q695,'Threshold Summary'!$Y:$Y,'Threshold Summary'!$L:$L,""))/100)+5)*XLOOKUP(XLOOKUP($Q695,'Threshold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Editor'!$E:$E,1))),stab,IF(OR(mtype=XLOOKUP(XLOOKUP($Q695,'Threshold Summary'!$Y:$Y,'Threshold Summary'!$K:$K,""),'Pokemon Editor'!$A:$A,'Pokemon Editor'!$C:$C,""),mtype=XLOOKUP(XLOOKUP($Q695,'Threshold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Chart'!$B$1:$S$1,0)))),base,IF(OR(cat="Status",pow=0),0,FLOOR(FLOOR(FLOOR((2*XLOOKUP($Q695,'Threshold Summary'!$Y:$Y,'Threshold Summary'!$L:$L,"")/5+2)*pow*atk/def)/50)+2)),modifier,stab*eff,AVERAGE(ARRAYFORMULA(FLOOR(base*modifier*SEQUENCE(16,1,85,1)/100)))/(FLOOR(((2*XLOOKUP('Boss Editor'!$C$4,'Pokemon Editor'!$A:$A,'Pokemon Editor'!$E:$E,0)+31+FLOOR('Boss Editor'!$G$4/4))*'Boss Editor'!$D$4)/100)+'Boss Editor'!$D$4+10)),0)</f>
        <v/>
      </c>
      <c r="O695" s="3">
        <f>IF(N695&gt;=1,"OHKO",IF(N695&gt;=0.5,"2HKO",IF(N695&gt;=0.333,"3HKO",IF(N695&gt;=0.25,"4HKO","5HKO+"))))</f>
        <v/>
      </c>
      <c r="P695" s="3" t="inlineStr">
        <is>
          <t>Live from editable databases</t>
        </is>
      </c>
      <c r="Q695" s="3" t="inlineStr">
        <is>
          <t>SPECIES_PHANTUMP</t>
        </is>
      </c>
      <c r="R695" s="3" t="n">
        <v>22</v>
      </c>
    </row>
    <row r="696">
      <c r="A696" s="3">
        <f>XLOOKUP($Q696,'Threshold Summary'!$Y:$Y,'Threshold Summary'!$A:$A,"")</f>
        <v/>
      </c>
      <c r="B696" s="3">
        <f>XLOOKUP($Q696,'Threshold Summary'!$Y:$Y,'Threshold Summary'!$M:$M,"")</f>
        <v/>
      </c>
      <c r="C696" s="3">
        <f>XLOOKUP($Q696,'Threshold Summary'!$Y:$Y,'Threshold Summary'!$N:$N,"")</f>
        <v/>
      </c>
      <c r="D696" s="3">
        <f>IFERROR(INDEX(FILTER('Learnset Editor'!$D$2:$D,'Learnset Editor'!$A$2:$A=XLOOKUP($Q696,'Threshold Summary'!$Y:$Y,'Threshold Summary'!$K:$K,""),'Learnset Editor'!$C$2:$C&lt;=XLOOKUP($Q696,'Threshold Summary'!$Y:$Y,'Threshold Summary'!$L:$L,"")),$R696),"")</f>
        <v/>
      </c>
      <c r="E696" s="3">
        <f>XLOOKUP(D696,'Move Editor'!$B:$B,'Move Editor'!$C:$C,"")</f>
        <v/>
      </c>
      <c r="F696" s="3">
        <f>XLOOKUP(D696,'Move Editor'!$B:$B,'Move Editor'!$D:$D,"")</f>
        <v/>
      </c>
      <c r="G696" s="3">
        <f>XLOOKUP(D696,'Move Editor'!$B:$B,'Move Editor'!$E:$E,0)</f>
        <v/>
      </c>
      <c r="H696" s="3">
        <f>XLOOKUP(D696,'Move Editor'!$B:$B,'Move Editor'!$F:$F,0)</f>
        <v/>
      </c>
      <c r="I696" s="3">
        <f>(INDEX('Type Chart'!$B:$S,MATCH(E696,'Type Chart'!$A:$A,0),MATCH(XLOOKUP('Boss Editor'!$C$4,'Pokemon Editor'!$A:$A,'Pokemon Editor'!$C:$C,""),'Type Chart'!$B$1:$S$1,0))*IF(XLOOKUP('Boss Editor'!$C$4,'Pokemon Editor'!$A:$A,'Pokemon Editor'!$D:$D,"")="",1,INDEX('Type Chart'!$B:$S,MATCH(E696,'Type Chart'!$A:$A,0),MATCH(XLOOKUP('Boss Editor'!$C$4,'Pokemon Editor'!$A:$A,'Pokemon Editor'!$D:$D,""),'Type Chart'!$B$1:$S$1,0))))</f>
        <v/>
      </c>
      <c r="J696" s="3">
        <f>IFERROR(LET(mtype,XLOOKUP($D696,'Move Editor'!$B:$B,'Move Editor'!$C:$C,""),cat,XLOOKUP($D696,'Move Editor'!$B:$B,'Move Editor'!$D:$D,""),pow,XLOOKUP($D696,'Move Editor'!$B:$B,'Move Editor'!$E:$E,0),acc,XLOOKUP($D696,'Move Editor'!$B:$B,'Move Editor'!$F:$F,100),atk,IF(cat="Physical",FLOOR((FLOOR(((2*XLOOKUP(XLOOKUP($Q696,'Threshold Summary'!$Y:$Y,'Threshold Summary'!$K:$K,""),'Pokemon Editor'!$A:$A,'Pokemon Editor'!$F:$F,0)+31+FLOOR(XLOOKUP($Q696,'Threshold Summary'!$Y:$Y,'Threshold Summary'!$P:$P,"")/4))*XLOOKUP($Q696,'Threshold Summary'!$Y:$Y,'Threshold Summary'!$L:$L,""))/100)+5)*XLOOKUP(XLOOKUP($Q696,'Threshold Summary'!$Y:$Y,'Threshold Summary'!$M:$M,""),'Nature Editor'!$A:$A,'Nature Editor'!$B:$B,1)),FLOOR((FLOOR(((2*XLOOKUP(XLOOKUP($Q696,'Threshold Summary'!$Y:$Y,'Threshold Summary'!$K:$K,""),'Pokemon Editor'!$A:$A,'Pokemon Editor'!$H:$H,0)+31+FLOOR(XLOOKUP($Q696,'Threshold Summary'!$Y:$Y,'Threshold Summary'!$R:$R,"")/4))*XLOOKUP($Q696,'Threshold Summary'!$Y:$Y,'Threshold Summary'!$L:$L,""))/100)+5)*XLOOKUP(XLOOKUP($Q696,'Threshold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Editor'!$E:$E,1))),stab,IF(OR(mtype=XLOOKUP(XLOOKUP($Q696,'Threshold Summary'!$Y:$Y,'Threshold Summary'!$K:$K,""),'Pokemon Editor'!$A:$A,'Pokemon Editor'!$C:$C,""),mtype=XLOOKUP(XLOOKUP($Q696,'Threshold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Chart'!$B$1:$S$1,0)))),base,IF(OR(cat="Status",pow=0),0,FLOOR(FLOOR(FLOOR((2*XLOOKUP($Q696,'Threshold Summary'!$Y:$Y,'Threshold Summary'!$L:$L,"")/5+2)*pow*atk/def)/50)+2)),modifier,stab*eff,FLOOR(base*modifier*0.85)),0)</f>
        <v/>
      </c>
      <c r="K696" s="3">
        <f>IFERROR(LET(mtype,XLOOKUP($D696,'Move Editor'!$B:$B,'Move Editor'!$C:$C,""),cat,XLOOKUP($D696,'Move Editor'!$B:$B,'Move Editor'!$D:$D,""),pow,XLOOKUP($D696,'Move Editor'!$B:$B,'Move Editor'!$E:$E,0),acc,XLOOKUP($D696,'Move Editor'!$B:$B,'Move Editor'!$F:$F,100),atk,IF(cat="Physical",FLOOR((FLOOR(((2*XLOOKUP(XLOOKUP($Q696,'Threshold Summary'!$Y:$Y,'Threshold Summary'!$K:$K,""),'Pokemon Editor'!$A:$A,'Pokemon Editor'!$F:$F,0)+31+FLOOR(XLOOKUP($Q696,'Threshold Summary'!$Y:$Y,'Threshold Summary'!$P:$P,"")/4))*XLOOKUP($Q696,'Threshold Summary'!$Y:$Y,'Threshold Summary'!$L:$L,""))/100)+5)*XLOOKUP(XLOOKUP($Q696,'Threshold Summary'!$Y:$Y,'Threshold Summary'!$M:$M,""),'Nature Editor'!$A:$A,'Nature Editor'!$B:$B,1)),FLOOR((FLOOR(((2*XLOOKUP(XLOOKUP($Q696,'Threshold Summary'!$Y:$Y,'Threshold Summary'!$K:$K,""),'Pokemon Editor'!$A:$A,'Pokemon Editor'!$H:$H,0)+31+FLOOR(XLOOKUP($Q696,'Threshold Summary'!$Y:$Y,'Threshold Summary'!$R:$R,"")/4))*XLOOKUP($Q696,'Threshold Summary'!$Y:$Y,'Threshold Summary'!$L:$L,""))/100)+5)*XLOOKUP(XLOOKUP($Q696,'Threshold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Editor'!$E:$E,1))),stab,IF(OR(mtype=XLOOKUP(XLOOKUP($Q696,'Threshold Summary'!$Y:$Y,'Threshold Summary'!$K:$K,""),'Pokemon Editor'!$A:$A,'Pokemon Editor'!$C:$C,""),mtype=XLOOKUP(XLOOKUP($Q696,'Threshold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Chart'!$B$1:$S$1,0)))),base,IF(OR(cat="Status",pow=0),0,FLOOR(FLOOR(FLOOR((2*XLOOKUP($Q696,'Threshold Summary'!$Y:$Y,'Threshold Summary'!$L:$L,"")/5+2)*pow*atk/def)/50)+2)),modifier,stab*eff,FLOOR(base*modifier)),0)</f>
        <v/>
      </c>
      <c r="L696" s="3">
        <f>IFERROR(LET(mtype,XLOOKUP($D696,'Move Editor'!$B:$B,'Move Editor'!$C:$C,""),cat,XLOOKUP($D696,'Move Editor'!$B:$B,'Move Editor'!$D:$D,""),pow,XLOOKUP($D696,'Move Editor'!$B:$B,'Move Editor'!$E:$E,0),acc,XLOOKUP($D696,'Move Editor'!$B:$B,'Move Editor'!$F:$F,100),atk,IF(cat="Physical",FLOOR((FLOOR(((2*XLOOKUP(XLOOKUP($Q696,'Threshold Summary'!$Y:$Y,'Threshold Summary'!$K:$K,""),'Pokemon Editor'!$A:$A,'Pokemon Editor'!$F:$F,0)+31+FLOOR(XLOOKUP($Q696,'Threshold Summary'!$Y:$Y,'Threshold Summary'!$P:$P,"")/4))*XLOOKUP($Q696,'Threshold Summary'!$Y:$Y,'Threshold Summary'!$L:$L,""))/100)+5)*XLOOKUP(XLOOKUP($Q696,'Threshold Summary'!$Y:$Y,'Threshold Summary'!$M:$M,""),'Nature Editor'!$A:$A,'Nature Editor'!$B:$B,1)),FLOOR((FLOOR(((2*XLOOKUP(XLOOKUP($Q696,'Threshold Summary'!$Y:$Y,'Threshold Summary'!$K:$K,""),'Pokemon Editor'!$A:$A,'Pokemon Editor'!$H:$H,0)+31+FLOOR(XLOOKUP($Q696,'Threshold Summary'!$Y:$Y,'Threshold Summary'!$R:$R,"")/4))*XLOOKUP($Q696,'Threshold Summary'!$Y:$Y,'Threshold Summary'!$L:$L,""))/100)+5)*XLOOKUP(XLOOKUP($Q696,'Threshold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Editor'!$E:$E,1))),stab,IF(OR(mtype=XLOOKUP(XLOOKUP($Q696,'Threshold Summary'!$Y:$Y,'Threshold Summary'!$K:$K,""),'Pokemon Editor'!$A:$A,'Pokemon Editor'!$C:$C,""),mtype=XLOOKUP(XLOOKUP($Q696,'Threshold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Chart'!$B$1:$S$1,0)))),base,IF(OR(cat="Status",pow=0),0,FLOOR(FLOOR(FLOOR((2*XLOOKUP($Q696,'Threshold Summary'!$Y:$Y,'Threshold Summary'!$L:$L,"")/5+2)*pow*atk/def)/50)+2)),modifier,stab*eff,AVERAGE(ARRAYFORMULA(FLOOR(base*modifier*SEQUENCE(16,1,85,1)/100)))),0)</f>
        <v/>
      </c>
      <c r="M696" s="3">
        <f>IFERROR(LET(mtype,XLOOKUP($D696,'Move Editor'!$B:$B,'Move Editor'!$C:$C,""),cat,XLOOKUP($D696,'Move Editor'!$B:$B,'Move Editor'!$D:$D,""),pow,XLOOKUP($D696,'Move Editor'!$B:$B,'Move Editor'!$E:$E,0),acc,XLOOKUP($D696,'Move Editor'!$B:$B,'Move Editor'!$F:$F,100),atk,IF(cat="Physical",FLOOR((FLOOR(((2*XLOOKUP(XLOOKUP($Q696,'Threshold Summary'!$Y:$Y,'Threshold Summary'!$K:$K,""),'Pokemon Editor'!$A:$A,'Pokemon Editor'!$F:$F,0)+31+FLOOR(XLOOKUP($Q696,'Threshold Summary'!$Y:$Y,'Threshold Summary'!$P:$P,"")/4))*XLOOKUP($Q696,'Threshold Summary'!$Y:$Y,'Threshold Summary'!$L:$L,""))/100)+5)*XLOOKUP(XLOOKUP($Q696,'Threshold Summary'!$Y:$Y,'Threshold Summary'!$M:$M,""),'Nature Editor'!$A:$A,'Nature Editor'!$B:$B,1)),FLOOR((FLOOR(((2*XLOOKUP(XLOOKUP($Q696,'Threshold Summary'!$Y:$Y,'Threshold Summary'!$K:$K,""),'Pokemon Editor'!$A:$A,'Pokemon Editor'!$H:$H,0)+31+FLOOR(XLOOKUP($Q696,'Threshold Summary'!$Y:$Y,'Threshold Summary'!$R:$R,"")/4))*XLOOKUP($Q696,'Threshold Summary'!$Y:$Y,'Threshold Summary'!$L:$L,""))/100)+5)*XLOOKUP(XLOOKUP($Q696,'Threshold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Editor'!$E:$E,1))),stab,IF(OR(mtype=XLOOKUP(XLOOKUP($Q696,'Threshold Summary'!$Y:$Y,'Threshold Summary'!$K:$K,""),'Pokemon Editor'!$A:$A,'Pokemon Editor'!$C:$C,""),mtype=XLOOKUP(XLOOKUP($Q696,'Threshold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Chart'!$B$1:$S$1,0)))),base,IF(OR(cat="Status",pow=0),0,FLOOR(FLOOR(FLOOR((2*XLOOKUP($Q696,'Threshold Summary'!$Y:$Y,'Threshold Summary'!$L:$L,"")/5+2)*pow*atk/def)/50)+2)),modifier,stab*eff,AVERAGE(ARRAYFORMULA(FLOOR(base*modifier*SEQUENCE(16,1,85,1)/100)))*MIN(1,acc/100)),0)</f>
        <v/>
      </c>
      <c r="N696" s="4">
        <f>IFERROR(LET(mtype,XLOOKUP($D696,'Move Editor'!$B:$B,'Move Editor'!$C:$C,""),cat,XLOOKUP($D696,'Move Editor'!$B:$B,'Move Editor'!$D:$D,""),pow,XLOOKUP($D696,'Move Editor'!$B:$B,'Move Editor'!$E:$E,0),acc,XLOOKUP($D696,'Move Editor'!$B:$B,'Move Editor'!$F:$F,100),atk,IF(cat="Physical",FLOOR((FLOOR(((2*XLOOKUP(XLOOKUP($Q696,'Threshold Summary'!$Y:$Y,'Threshold Summary'!$K:$K,""),'Pokemon Editor'!$A:$A,'Pokemon Editor'!$F:$F,0)+31+FLOOR(XLOOKUP($Q696,'Threshold Summary'!$Y:$Y,'Threshold Summary'!$P:$P,"")/4))*XLOOKUP($Q696,'Threshold Summary'!$Y:$Y,'Threshold Summary'!$L:$L,""))/100)+5)*XLOOKUP(XLOOKUP($Q696,'Threshold Summary'!$Y:$Y,'Threshold Summary'!$M:$M,""),'Nature Editor'!$A:$A,'Nature Editor'!$B:$B,1)),FLOOR((FLOOR(((2*XLOOKUP(XLOOKUP($Q696,'Threshold Summary'!$Y:$Y,'Threshold Summary'!$K:$K,""),'Pokemon Editor'!$A:$A,'Pokemon Editor'!$H:$H,0)+31+FLOOR(XLOOKUP($Q696,'Threshold Summary'!$Y:$Y,'Threshold Summary'!$R:$R,"")/4))*XLOOKUP($Q696,'Threshold Summary'!$Y:$Y,'Threshold Summary'!$L:$L,""))/100)+5)*XLOOKUP(XLOOKUP($Q696,'Threshold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Editor'!$E:$E,1))),stab,IF(OR(mtype=XLOOKUP(XLOOKUP($Q696,'Threshold Summary'!$Y:$Y,'Threshold Summary'!$K:$K,""),'Pokemon Editor'!$A:$A,'Pokemon Editor'!$C:$C,""),mtype=XLOOKUP(XLOOKUP($Q696,'Threshold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Chart'!$B$1:$S$1,0)))),base,IF(OR(cat="Status",pow=0),0,FLOOR(FLOOR(FLOOR((2*XLOOKUP($Q696,'Threshold Summary'!$Y:$Y,'Threshold Summary'!$L:$L,"")/5+2)*pow*atk/def)/50)+2)),modifier,stab*eff,AVERAGE(ARRAYFORMULA(FLOOR(base*modifier*SEQUENCE(16,1,85,1)/100)))/(FLOOR(((2*XLOOKUP('Boss Editor'!$C$4,'Pokemon Editor'!$A:$A,'Pokemon Editor'!$E:$E,0)+31+FLOOR('Boss Editor'!$G$4/4))*'Boss Editor'!$D$4)/100)+'Boss Editor'!$D$4+10)),0)</f>
        <v/>
      </c>
      <c r="O696" s="3">
        <f>IF(N696&gt;=1,"OHKO",IF(N696&gt;=0.5,"2HKO",IF(N696&gt;=0.333,"3HKO",IF(N696&gt;=0.25,"4HKO","5HKO+"))))</f>
        <v/>
      </c>
      <c r="P696" s="3" t="inlineStr">
        <is>
          <t>Live from editable databases</t>
        </is>
      </c>
      <c r="Q696" s="3" t="inlineStr">
        <is>
          <t>SPECIES_PHANTUMP</t>
        </is>
      </c>
      <c r="R696" s="3" t="n">
        <v>23</v>
      </c>
    </row>
    <row r="697">
      <c r="A697" s="3">
        <f>XLOOKUP($Q697,'Threshold Summary'!$Y:$Y,'Threshold Summary'!$A:$A,"")</f>
        <v/>
      </c>
      <c r="B697" s="3">
        <f>XLOOKUP($Q697,'Threshold Summary'!$Y:$Y,'Threshold Summary'!$M:$M,"")</f>
        <v/>
      </c>
      <c r="C697" s="3">
        <f>XLOOKUP($Q697,'Threshold Summary'!$Y:$Y,'Threshold Summary'!$N:$N,"")</f>
        <v/>
      </c>
      <c r="D697" s="3">
        <f>IFERROR(INDEX(FILTER('Learnset Editor'!$D$2:$D,'Learnset Editor'!$A$2:$A=XLOOKUP($Q697,'Threshold Summary'!$Y:$Y,'Threshold Summary'!$K:$K,""),'Learnset Editor'!$C$2:$C&lt;=XLOOKUP($Q697,'Threshold Summary'!$Y:$Y,'Threshold Summary'!$L:$L,"")),$R697),"")</f>
        <v/>
      </c>
      <c r="E697" s="3">
        <f>XLOOKUP(D697,'Move Editor'!$B:$B,'Move Editor'!$C:$C,"")</f>
        <v/>
      </c>
      <c r="F697" s="3">
        <f>XLOOKUP(D697,'Move Editor'!$B:$B,'Move Editor'!$D:$D,"")</f>
        <v/>
      </c>
      <c r="G697" s="3">
        <f>XLOOKUP(D697,'Move Editor'!$B:$B,'Move Editor'!$E:$E,0)</f>
        <v/>
      </c>
      <c r="H697" s="3">
        <f>XLOOKUP(D697,'Move Editor'!$B:$B,'Move Editor'!$F:$F,0)</f>
        <v/>
      </c>
      <c r="I697" s="3">
        <f>(INDEX('Type Chart'!$B:$S,MATCH(E697,'Type Chart'!$A:$A,0),MATCH(XLOOKUP('Boss Editor'!$C$4,'Pokemon Editor'!$A:$A,'Pokemon Editor'!$C:$C,""),'Type Chart'!$B$1:$S$1,0))*IF(XLOOKUP('Boss Editor'!$C$4,'Pokemon Editor'!$A:$A,'Pokemon Editor'!$D:$D,"")="",1,INDEX('Type Chart'!$B:$S,MATCH(E697,'Type Chart'!$A:$A,0),MATCH(XLOOKUP('Boss Editor'!$C$4,'Pokemon Editor'!$A:$A,'Pokemon Editor'!$D:$D,""),'Type Chart'!$B$1:$S$1,0))))</f>
        <v/>
      </c>
      <c r="J697" s="3">
        <f>IFERROR(LET(mtype,XLOOKUP($D697,'Move Editor'!$B:$B,'Move Editor'!$C:$C,""),cat,XLOOKUP($D697,'Move Editor'!$B:$B,'Move Editor'!$D:$D,""),pow,XLOOKUP($D697,'Move Editor'!$B:$B,'Move Editor'!$E:$E,0),acc,XLOOKUP($D697,'Move Editor'!$B:$B,'Move Editor'!$F:$F,100),atk,IF(cat="Physical",FLOOR((FLOOR(((2*XLOOKUP(XLOOKUP($Q697,'Threshold Summary'!$Y:$Y,'Threshold Summary'!$K:$K,""),'Pokemon Editor'!$A:$A,'Pokemon Editor'!$F:$F,0)+31+FLOOR(XLOOKUP($Q697,'Threshold Summary'!$Y:$Y,'Threshold Summary'!$P:$P,"")/4))*XLOOKUP($Q697,'Threshold Summary'!$Y:$Y,'Threshold Summary'!$L:$L,""))/100)+5)*XLOOKUP(XLOOKUP($Q697,'Threshold Summary'!$Y:$Y,'Threshold Summary'!$M:$M,""),'Nature Editor'!$A:$A,'Nature Editor'!$B:$B,1)),FLOOR((FLOOR(((2*XLOOKUP(XLOOKUP($Q697,'Threshold Summary'!$Y:$Y,'Threshold Summary'!$K:$K,""),'Pokemon Editor'!$A:$A,'Pokemon Editor'!$H:$H,0)+31+FLOOR(XLOOKUP($Q697,'Threshold Summary'!$Y:$Y,'Threshold Summary'!$R:$R,"")/4))*XLOOKUP($Q697,'Threshold Summary'!$Y:$Y,'Threshold Summary'!$L:$L,""))/100)+5)*XLOOKUP(XLOOKUP($Q697,'Threshold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Editor'!$E:$E,1))),stab,IF(OR(mtype=XLOOKUP(XLOOKUP($Q697,'Threshold Summary'!$Y:$Y,'Threshold Summary'!$K:$K,""),'Pokemon Editor'!$A:$A,'Pokemon Editor'!$C:$C,""),mtype=XLOOKUP(XLOOKUP($Q697,'Threshold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Chart'!$B$1:$S$1,0)))),base,IF(OR(cat="Status",pow=0),0,FLOOR(FLOOR(FLOOR((2*XLOOKUP($Q697,'Threshold Summary'!$Y:$Y,'Threshold Summary'!$L:$L,"")/5+2)*pow*atk/def)/50)+2)),modifier,stab*eff,FLOOR(base*modifier*0.85)),0)</f>
        <v/>
      </c>
      <c r="K697" s="3">
        <f>IFERROR(LET(mtype,XLOOKUP($D697,'Move Editor'!$B:$B,'Move Editor'!$C:$C,""),cat,XLOOKUP($D697,'Move Editor'!$B:$B,'Move Editor'!$D:$D,""),pow,XLOOKUP($D697,'Move Editor'!$B:$B,'Move Editor'!$E:$E,0),acc,XLOOKUP($D697,'Move Editor'!$B:$B,'Move Editor'!$F:$F,100),atk,IF(cat="Physical",FLOOR((FLOOR(((2*XLOOKUP(XLOOKUP($Q697,'Threshold Summary'!$Y:$Y,'Threshold Summary'!$K:$K,""),'Pokemon Editor'!$A:$A,'Pokemon Editor'!$F:$F,0)+31+FLOOR(XLOOKUP($Q697,'Threshold Summary'!$Y:$Y,'Threshold Summary'!$P:$P,"")/4))*XLOOKUP($Q697,'Threshold Summary'!$Y:$Y,'Threshold Summary'!$L:$L,""))/100)+5)*XLOOKUP(XLOOKUP($Q697,'Threshold Summary'!$Y:$Y,'Threshold Summary'!$M:$M,""),'Nature Editor'!$A:$A,'Nature Editor'!$B:$B,1)),FLOOR((FLOOR(((2*XLOOKUP(XLOOKUP($Q697,'Threshold Summary'!$Y:$Y,'Threshold Summary'!$K:$K,""),'Pokemon Editor'!$A:$A,'Pokemon Editor'!$H:$H,0)+31+FLOOR(XLOOKUP($Q697,'Threshold Summary'!$Y:$Y,'Threshold Summary'!$R:$R,"")/4))*XLOOKUP($Q697,'Threshold Summary'!$Y:$Y,'Threshold Summary'!$L:$L,""))/100)+5)*XLOOKUP(XLOOKUP($Q697,'Threshold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Editor'!$E:$E,1))),stab,IF(OR(mtype=XLOOKUP(XLOOKUP($Q697,'Threshold Summary'!$Y:$Y,'Threshold Summary'!$K:$K,""),'Pokemon Editor'!$A:$A,'Pokemon Editor'!$C:$C,""),mtype=XLOOKUP(XLOOKUP($Q697,'Threshold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Chart'!$B$1:$S$1,0)))),base,IF(OR(cat="Status",pow=0),0,FLOOR(FLOOR(FLOOR((2*XLOOKUP($Q697,'Threshold Summary'!$Y:$Y,'Threshold Summary'!$L:$L,"")/5+2)*pow*atk/def)/50)+2)),modifier,stab*eff,FLOOR(base*modifier)),0)</f>
        <v/>
      </c>
      <c r="L697" s="3">
        <f>IFERROR(LET(mtype,XLOOKUP($D697,'Move Editor'!$B:$B,'Move Editor'!$C:$C,""),cat,XLOOKUP($D697,'Move Editor'!$B:$B,'Move Editor'!$D:$D,""),pow,XLOOKUP($D697,'Move Editor'!$B:$B,'Move Editor'!$E:$E,0),acc,XLOOKUP($D697,'Move Editor'!$B:$B,'Move Editor'!$F:$F,100),atk,IF(cat="Physical",FLOOR((FLOOR(((2*XLOOKUP(XLOOKUP($Q697,'Threshold Summary'!$Y:$Y,'Threshold Summary'!$K:$K,""),'Pokemon Editor'!$A:$A,'Pokemon Editor'!$F:$F,0)+31+FLOOR(XLOOKUP($Q697,'Threshold Summary'!$Y:$Y,'Threshold Summary'!$P:$P,"")/4))*XLOOKUP($Q697,'Threshold Summary'!$Y:$Y,'Threshold Summary'!$L:$L,""))/100)+5)*XLOOKUP(XLOOKUP($Q697,'Threshold Summary'!$Y:$Y,'Threshold Summary'!$M:$M,""),'Nature Editor'!$A:$A,'Nature Editor'!$B:$B,1)),FLOOR((FLOOR(((2*XLOOKUP(XLOOKUP($Q697,'Threshold Summary'!$Y:$Y,'Threshold Summary'!$K:$K,""),'Pokemon Editor'!$A:$A,'Pokemon Editor'!$H:$H,0)+31+FLOOR(XLOOKUP($Q697,'Threshold Summary'!$Y:$Y,'Threshold Summary'!$R:$R,"")/4))*XLOOKUP($Q697,'Threshold Summary'!$Y:$Y,'Threshold Summary'!$L:$L,""))/100)+5)*XLOOKUP(XLOOKUP($Q697,'Threshold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Editor'!$E:$E,1))),stab,IF(OR(mtype=XLOOKUP(XLOOKUP($Q697,'Threshold Summary'!$Y:$Y,'Threshold Summary'!$K:$K,""),'Pokemon Editor'!$A:$A,'Pokemon Editor'!$C:$C,""),mtype=XLOOKUP(XLOOKUP($Q697,'Threshold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Chart'!$B$1:$S$1,0)))),base,IF(OR(cat="Status",pow=0),0,FLOOR(FLOOR(FLOOR((2*XLOOKUP($Q697,'Threshold Summary'!$Y:$Y,'Threshold Summary'!$L:$L,"")/5+2)*pow*atk/def)/50)+2)),modifier,stab*eff,AVERAGE(ARRAYFORMULA(FLOOR(base*modifier*SEQUENCE(16,1,85,1)/100)))),0)</f>
        <v/>
      </c>
      <c r="M697" s="3">
        <f>IFERROR(LET(mtype,XLOOKUP($D697,'Move Editor'!$B:$B,'Move Editor'!$C:$C,""),cat,XLOOKUP($D697,'Move Editor'!$B:$B,'Move Editor'!$D:$D,""),pow,XLOOKUP($D697,'Move Editor'!$B:$B,'Move Editor'!$E:$E,0),acc,XLOOKUP($D697,'Move Editor'!$B:$B,'Move Editor'!$F:$F,100),atk,IF(cat="Physical",FLOOR((FLOOR(((2*XLOOKUP(XLOOKUP($Q697,'Threshold Summary'!$Y:$Y,'Threshold Summary'!$K:$K,""),'Pokemon Editor'!$A:$A,'Pokemon Editor'!$F:$F,0)+31+FLOOR(XLOOKUP($Q697,'Threshold Summary'!$Y:$Y,'Threshold Summary'!$P:$P,"")/4))*XLOOKUP($Q697,'Threshold Summary'!$Y:$Y,'Threshold Summary'!$L:$L,""))/100)+5)*XLOOKUP(XLOOKUP($Q697,'Threshold Summary'!$Y:$Y,'Threshold Summary'!$M:$M,""),'Nature Editor'!$A:$A,'Nature Editor'!$B:$B,1)),FLOOR((FLOOR(((2*XLOOKUP(XLOOKUP($Q697,'Threshold Summary'!$Y:$Y,'Threshold Summary'!$K:$K,""),'Pokemon Editor'!$A:$A,'Pokemon Editor'!$H:$H,0)+31+FLOOR(XLOOKUP($Q697,'Threshold Summary'!$Y:$Y,'Threshold Summary'!$R:$R,"")/4))*XLOOKUP($Q697,'Threshold Summary'!$Y:$Y,'Threshold Summary'!$L:$L,""))/100)+5)*XLOOKUP(XLOOKUP($Q697,'Threshold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Editor'!$E:$E,1))),stab,IF(OR(mtype=XLOOKUP(XLOOKUP($Q697,'Threshold Summary'!$Y:$Y,'Threshold Summary'!$K:$K,""),'Pokemon Editor'!$A:$A,'Pokemon Editor'!$C:$C,""),mtype=XLOOKUP(XLOOKUP($Q697,'Threshold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Chart'!$B$1:$S$1,0)))),base,IF(OR(cat="Status",pow=0),0,FLOOR(FLOOR(FLOOR((2*XLOOKUP($Q697,'Threshold Summary'!$Y:$Y,'Threshold Summary'!$L:$L,"")/5+2)*pow*atk/def)/50)+2)),modifier,stab*eff,AVERAGE(ARRAYFORMULA(FLOOR(base*modifier*SEQUENCE(16,1,85,1)/100)))*MIN(1,acc/100)),0)</f>
        <v/>
      </c>
      <c r="N697" s="4">
        <f>IFERROR(LET(mtype,XLOOKUP($D697,'Move Editor'!$B:$B,'Move Editor'!$C:$C,""),cat,XLOOKUP($D697,'Move Editor'!$B:$B,'Move Editor'!$D:$D,""),pow,XLOOKUP($D697,'Move Editor'!$B:$B,'Move Editor'!$E:$E,0),acc,XLOOKUP($D697,'Move Editor'!$B:$B,'Move Editor'!$F:$F,100),atk,IF(cat="Physical",FLOOR((FLOOR(((2*XLOOKUP(XLOOKUP($Q697,'Threshold Summary'!$Y:$Y,'Threshold Summary'!$K:$K,""),'Pokemon Editor'!$A:$A,'Pokemon Editor'!$F:$F,0)+31+FLOOR(XLOOKUP($Q697,'Threshold Summary'!$Y:$Y,'Threshold Summary'!$P:$P,"")/4))*XLOOKUP($Q697,'Threshold Summary'!$Y:$Y,'Threshold Summary'!$L:$L,""))/100)+5)*XLOOKUP(XLOOKUP($Q697,'Threshold Summary'!$Y:$Y,'Threshold Summary'!$M:$M,""),'Nature Editor'!$A:$A,'Nature Editor'!$B:$B,1)),FLOOR((FLOOR(((2*XLOOKUP(XLOOKUP($Q697,'Threshold Summary'!$Y:$Y,'Threshold Summary'!$K:$K,""),'Pokemon Editor'!$A:$A,'Pokemon Editor'!$H:$H,0)+31+FLOOR(XLOOKUP($Q697,'Threshold Summary'!$Y:$Y,'Threshold Summary'!$R:$R,"")/4))*XLOOKUP($Q697,'Threshold Summary'!$Y:$Y,'Threshold Summary'!$L:$L,""))/100)+5)*XLOOKUP(XLOOKUP($Q697,'Threshold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Editor'!$E:$E,1))),stab,IF(OR(mtype=XLOOKUP(XLOOKUP($Q697,'Threshold Summary'!$Y:$Y,'Threshold Summary'!$K:$K,""),'Pokemon Editor'!$A:$A,'Pokemon Editor'!$C:$C,""),mtype=XLOOKUP(XLOOKUP($Q697,'Threshold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Chart'!$B$1:$S$1,0)))),base,IF(OR(cat="Status",pow=0),0,FLOOR(FLOOR(FLOOR((2*XLOOKUP($Q697,'Threshold Summary'!$Y:$Y,'Threshold Summary'!$L:$L,"")/5+2)*pow*atk/def)/50)+2)),modifier,stab*eff,AVERAGE(ARRAYFORMULA(FLOOR(base*modifier*SEQUENCE(16,1,85,1)/100)))/(FLOOR(((2*XLOOKUP('Boss Editor'!$C$4,'Pokemon Editor'!$A:$A,'Pokemon Editor'!$E:$E,0)+31+FLOOR('Boss Editor'!$G$4/4))*'Boss Editor'!$D$4)/100)+'Boss Editor'!$D$4+10)),0)</f>
        <v/>
      </c>
      <c r="O697" s="3">
        <f>IF(N697&gt;=1,"OHKO",IF(N697&gt;=0.5,"2HKO",IF(N697&gt;=0.333,"3HKO",IF(N697&gt;=0.25,"4HKO","5HKO+"))))</f>
        <v/>
      </c>
      <c r="P697" s="3" t="inlineStr">
        <is>
          <t>Live from editable databases</t>
        </is>
      </c>
      <c r="Q697" s="3" t="inlineStr">
        <is>
          <t>SPECIES_PHANTUMP</t>
        </is>
      </c>
      <c r="R697" s="3" t="n">
        <v>24</v>
      </c>
    </row>
    <row r="698">
      <c r="A698" s="3">
        <f>XLOOKUP($Q698,'Threshold Summary'!$Y:$Y,'Threshold Summary'!$A:$A,"")</f>
        <v/>
      </c>
      <c r="B698" s="3">
        <f>XLOOKUP($Q698,'Threshold Summary'!$Y:$Y,'Threshold Summary'!$M:$M,"")</f>
        <v/>
      </c>
      <c r="C698" s="3">
        <f>XLOOKUP($Q698,'Threshold Summary'!$Y:$Y,'Threshold Summary'!$N:$N,"")</f>
        <v/>
      </c>
      <c r="D698" s="3">
        <f>IFERROR(INDEX(FILTER('Learnset Editor'!$D$2:$D,'Learnset Editor'!$A$2:$A=XLOOKUP($Q698,'Threshold Summary'!$Y:$Y,'Threshold Summary'!$K:$K,""),'Learnset Editor'!$C$2:$C&lt;=XLOOKUP($Q698,'Threshold Summary'!$Y:$Y,'Threshold Summary'!$L:$L,"")),$R698),"")</f>
        <v/>
      </c>
      <c r="E698" s="3">
        <f>XLOOKUP(D698,'Move Editor'!$B:$B,'Move Editor'!$C:$C,"")</f>
        <v/>
      </c>
      <c r="F698" s="3">
        <f>XLOOKUP(D698,'Move Editor'!$B:$B,'Move Editor'!$D:$D,"")</f>
        <v/>
      </c>
      <c r="G698" s="3">
        <f>XLOOKUP(D698,'Move Editor'!$B:$B,'Move Editor'!$E:$E,0)</f>
        <v/>
      </c>
      <c r="H698" s="3">
        <f>XLOOKUP(D698,'Move Editor'!$B:$B,'Move Editor'!$F:$F,0)</f>
        <v/>
      </c>
      <c r="I698" s="3">
        <f>(INDEX('Type Chart'!$B:$S,MATCH(E698,'Type Chart'!$A:$A,0),MATCH(XLOOKUP('Boss Editor'!$C$4,'Pokemon Editor'!$A:$A,'Pokemon Editor'!$C:$C,""),'Type Chart'!$B$1:$S$1,0))*IF(XLOOKUP('Boss Editor'!$C$4,'Pokemon Editor'!$A:$A,'Pokemon Editor'!$D:$D,"")="",1,INDEX('Type Chart'!$B:$S,MATCH(E698,'Type Chart'!$A:$A,0),MATCH(XLOOKUP('Boss Editor'!$C$4,'Pokemon Editor'!$A:$A,'Pokemon Editor'!$D:$D,""),'Type Chart'!$B$1:$S$1,0))))</f>
        <v/>
      </c>
      <c r="J698" s="3">
        <f>IFERROR(LET(mtype,XLOOKUP($D698,'Move Editor'!$B:$B,'Move Editor'!$C:$C,""),cat,XLOOKUP($D698,'Move Editor'!$B:$B,'Move Editor'!$D:$D,""),pow,XLOOKUP($D698,'Move Editor'!$B:$B,'Move Editor'!$E:$E,0),acc,XLOOKUP($D698,'Move Editor'!$B:$B,'Move Editor'!$F:$F,100),atk,IF(cat="Physical",FLOOR((FLOOR(((2*XLOOKUP(XLOOKUP($Q698,'Threshold Summary'!$Y:$Y,'Threshold Summary'!$K:$K,""),'Pokemon Editor'!$A:$A,'Pokemon Editor'!$F:$F,0)+31+FLOOR(XLOOKUP($Q698,'Threshold Summary'!$Y:$Y,'Threshold Summary'!$P:$P,"")/4))*XLOOKUP($Q698,'Threshold Summary'!$Y:$Y,'Threshold Summary'!$L:$L,""))/100)+5)*XLOOKUP(XLOOKUP($Q698,'Threshold Summary'!$Y:$Y,'Threshold Summary'!$M:$M,""),'Nature Editor'!$A:$A,'Nature Editor'!$B:$B,1)),FLOOR((FLOOR(((2*XLOOKUP(XLOOKUP($Q698,'Threshold Summary'!$Y:$Y,'Threshold Summary'!$K:$K,""),'Pokemon Editor'!$A:$A,'Pokemon Editor'!$H:$H,0)+31+FLOOR(XLOOKUP($Q698,'Threshold Summary'!$Y:$Y,'Threshold Summary'!$R:$R,"")/4))*XLOOKUP($Q698,'Threshold Summary'!$Y:$Y,'Threshold Summary'!$L:$L,""))/100)+5)*XLOOKUP(XLOOKUP($Q698,'Threshold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Editor'!$E:$E,1))),stab,IF(OR(mtype=XLOOKUP(XLOOKUP($Q698,'Threshold Summary'!$Y:$Y,'Threshold Summary'!$K:$K,""),'Pokemon Editor'!$A:$A,'Pokemon Editor'!$C:$C,""),mtype=XLOOKUP(XLOOKUP($Q698,'Threshold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Chart'!$B$1:$S$1,0)))),base,IF(OR(cat="Status",pow=0),0,FLOOR(FLOOR(FLOOR((2*XLOOKUP($Q698,'Threshold Summary'!$Y:$Y,'Threshold Summary'!$L:$L,"")/5+2)*pow*atk/def)/50)+2)),modifier,stab*eff,FLOOR(base*modifier*0.85)),0)</f>
        <v/>
      </c>
      <c r="K698" s="3">
        <f>IFERROR(LET(mtype,XLOOKUP($D698,'Move Editor'!$B:$B,'Move Editor'!$C:$C,""),cat,XLOOKUP($D698,'Move Editor'!$B:$B,'Move Editor'!$D:$D,""),pow,XLOOKUP($D698,'Move Editor'!$B:$B,'Move Editor'!$E:$E,0),acc,XLOOKUP($D698,'Move Editor'!$B:$B,'Move Editor'!$F:$F,100),atk,IF(cat="Physical",FLOOR((FLOOR(((2*XLOOKUP(XLOOKUP($Q698,'Threshold Summary'!$Y:$Y,'Threshold Summary'!$K:$K,""),'Pokemon Editor'!$A:$A,'Pokemon Editor'!$F:$F,0)+31+FLOOR(XLOOKUP($Q698,'Threshold Summary'!$Y:$Y,'Threshold Summary'!$P:$P,"")/4))*XLOOKUP($Q698,'Threshold Summary'!$Y:$Y,'Threshold Summary'!$L:$L,""))/100)+5)*XLOOKUP(XLOOKUP($Q698,'Threshold Summary'!$Y:$Y,'Threshold Summary'!$M:$M,""),'Nature Editor'!$A:$A,'Nature Editor'!$B:$B,1)),FLOOR((FLOOR(((2*XLOOKUP(XLOOKUP($Q698,'Threshold Summary'!$Y:$Y,'Threshold Summary'!$K:$K,""),'Pokemon Editor'!$A:$A,'Pokemon Editor'!$H:$H,0)+31+FLOOR(XLOOKUP($Q698,'Threshold Summary'!$Y:$Y,'Threshold Summary'!$R:$R,"")/4))*XLOOKUP($Q698,'Threshold Summary'!$Y:$Y,'Threshold Summary'!$L:$L,""))/100)+5)*XLOOKUP(XLOOKUP($Q698,'Threshold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Editor'!$E:$E,1))),stab,IF(OR(mtype=XLOOKUP(XLOOKUP($Q698,'Threshold Summary'!$Y:$Y,'Threshold Summary'!$K:$K,""),'Pokemon Editor'!$A:$A,'Pokemon Editor'!$C:$C,""),mtype=XLOOKUP(XLOOKUP($Q698,'Threshold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Chart'!$B$1:$S$1,0)))),base,IF(OR(cat="Status",pow=0),0,FLOOR(FLOOR(FLOOR((2*XLOOKUP($Q698,'Threshold Summary'!$Y:$Y,'Threshold Summary'!$L:$L,"")/5+2)*pow*atk/def)/50)+2)),modifier,stab*eff,FLOOR(base*modifier)),0)</f>
        <v/>
      </c>
      <c r="L698" s="3">
        <f>IFERROR(LET(mtype,XLOOKUP($D698,'Move Editor'!$B:$B,'Move Editor'!$C:$C,""),cat,XLOOKUP($D698,'Move Editor'!$B:$B,'Move Editor'!$D:$D,""),pow,XLOOKUP($D698,'Move Editor'!$B:$B,'Move Editor'!$E:$E,0),acc,XLOOKUP($D698,'Move Editor'!$B:$B,'Move Editor'!$F:$F,100),atk,IF(cat="Physical",FLOOR((FLOOR(((2*XLOOKUP(XLOOKUP($Q698,'Threshold Summary'!$Y:$Y,'Threshold Summary'!$K:$K,""),'Pokemon Editor'!$A:$A,'Pokemon Editor'!$F:$F,0)+31+FLOOR(XLOOKUP($Q698,'Threshold Summary'!$Y:$Y,'Threshold Summary'!$P:$P,"")/4))*XLOOKUP($Q698,'Threshold Summary'!$Y:$Y,'Threshold Summary'!$L:$L,""))/100)+5)*XLOOKUP(XLOOKUP($Q698,'Threshold Summary'!$Y:$Y,'Threshold Summary'!$M:$M,""),'Nature Editor'!$A:$A,'Nature Editor'!$B:$B,1)),FLOOR((FLOOR(((2*XLOOKUP(XLOOKUP($Q698,'Threshold Summary'!$Y:$Y,'Threshold Summary'!$K:$K,""),'Pokemon Editor'!$A:$A,'Pokemon Editor'!$H:$H,0)+31+FLOOR(XLOOKUP($Q698,'Threshold Summary'!$Y:$Y,'Threshold Summary'!$R:$R,"")/4))*XLOOKUP($Q698,'Threshold Summary'!$Y:$Y,'Threshold Summary'!$L:$L,""))/100)+5)*XLOOKUP(XLOOKUP($Q698,'Threshold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Editor'!$E:$E,1))),stab,IF(OR(mtype=XLOOKUP(XLOOKUP($Q698,'Threshold Summary'!$Y:$Y,'Threshold Summary'!$K:$K,""),'Pokemon Editor'!$A:$A,'Pokemon Editor'!$C:$C,""),mtype=XLOOKUP(XLOOKUP($Q698,'Threshold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Chart'!$B$1:$S$1,0)))),base,IF(OR(cat="Status",pow=0),0,FLOOR(FLOOR(FLOOR((2*XLOOKUP($Q698,'Threshold Summary'!$Y:$Y,'Threshold Summary'!$L:$L,"")/5+2)*pow*atk/def)/50)+2)),modifier,stab*eff,AVERAGE(ARRAYFORMULA(FLOOR(base*modifier*SEQUENCE(16,1,85,1)/100)))),0)</f>
        <v/>
      </c>
      <c r="M698" s="3">
        <f>IFERROR(LET(mtype,XLOOKUP($D698,'Move Editor'!$B:$B,'Move Editor'!$C:$C,""),cat,XLOOKUP($D698,'Move Editor'!$B:$B,'Move Editor'!$D:$D,""),pow,XLOOKUP($D698,'Move Editor'!$B:$B,'Move Editor'!$E:$E,0),acc,XLOOKUP($D698,'Move Editor'!$B:$B,'Move Editor'!$F:$F,100),atk,IF(cat="Physical",FLOOR((FLOOR(((2*XLOOKUP(XLOOKUP($Q698,'Threshold Summary'!$Y:$Y,'Threshold Summary'!$K:$K,""),'Pokemon Editor'!$A:$A,'Pokemon Editor'!$F:$F,0)+31+FLOOR(XLOOKUP($Q698,'Threshold Summary'!$Y:$Y,'Threshold Summary'!$P:$P,"")/4))*XLOOKUP($Q698,'Threshold Summary'!$Y:$Y,'Threshold Summary'!$L:$L,""))/100)+5)*XLOOKUP(XLOOKUP($Q698,'Threshold Summary'!$Y:$Y,'Threshold Summary'!$M:$M,""),'Nature Editor'!$A:$A,'Nature Editor'!$B:$B,1)),FLOOR((FLOOR(((2*XLOOKUP(XLOOKUP($Q698,'Threshold Summary'!$Y:$Y,'Threshold Summary'!$K:$K,""),'Pokemon Editor'!$A:$A,'Pokemon Editor'!$H:$H,0)+31+FLOOR(XLOOKUP($Q698,'Threshold Summary'!$Y:$Y,'Threshold Summary'!$R:$R,"")/4))*XLOOKUP($Q698,'Threshold Summary'!$Y:$Y,'Threshold Summary'!$L:$L,""))/100)+5)*XLOOKUP(XLOOKUP($Q698,'Threshold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Editor'!$E:$E,1))),stab,IF(OR(mtype=XLOOKUP(XLOOKUP($Q698,'Threshold Summary'!$Y:$Y,'Threshold Summary'!$K:$K,""),'Pokemon Editor'!$A:$A,'Pokemon Editor'!$C:$C,""),mtype=XLOOKUP(XLOOKUP($Q698,'Threshold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Chart'!$B$1:$S$1,0)))),base,IF(OR(cat="Status",pow=0),0,FLOOR(FLOOR(FLOOR((2*XLOOKUP($Q698,'Threshold Summary'!$Y:$Y,'Threshold Summary'!$L:$L,"")/5+2)*pow*atk/def)/50)+2)),modifier,stab*eff,AVERAGE(ARRAYFORMULA(FLOOR(base*modifier*SEQUENCE(16,1,85,1)/100)))*MIN(1,acc/100)),0)</f>
        <v/>
      </c>
      <c r="N698" s="4">
        <f>IFERROR(LET(mtype,XLOOKUP($D698,'Move Editor'!$B:$B,'Move Editor'!$C:$C,""),cat,XLOOKUP($D698,'Move Editor'!$B:$B,'Move Editor'!$D:$D,""),pow,XLOOKUP($D698,'Move Editor'!$B:$B,'Move Editor'!$E:$E,0),acc,XLOOKUP($D698,'Move Editor'!$B:$B,'Move Editor'!$F:$F,100),atk,IF(cat="Physical",FLOOR((FLOOR(((2*XLOOKUP(XLOOKUP($Q698,'Threshold Summary'!$Y:$Y,'Threshold Summary'!$K:$K,""),'Pokemon Editor'!$A:$A,'Pokemon Editor'!$F:$F,0)+31+FLOOR(XLOOKUP($Q698,'Threshold Summary'!$Y:$Y,'Threshold Summary'!$P:$P,"")/4))*XLOOKUP($Q698,'Threshold Summary'!$Y:$Y,'Threshold Summary'!$L:$L,""))/100)+5)*XLOOKUP(XLOOKUP($Q698,'Threshold Summary'!$Y:$Y,'Threshold Summary'!$M:$M,""),'Nature Editor'!$A:$A,'Nature Editor'!$B:$B,1)),FLOOR((FLOOR(((2*XLOOKUP(XLOOKUP($Q698,'Threshold Summary'!$Y:$Y,'Threshold Summary'!$K:$K,""),'Pokemon Editor'!$A:$A,'Pokemon Editor'!$H:$H,0)+31+FLOOR(XLOOKUP($Q698,'Threshold Summary'!$Y:$Y,'Threshold Summary'!$R:$R,"")/4))*XLOOKUP($Q698,'Threshold Summary'!$Y:$Y,'Threshold Summary'!$L:$L,""))/100)+5)*XLOOKUP(XLOOKUP($Q698,'Threshold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Editor'!$E:$E,1))),stab,IF(OR(mtype=XLOOKUP(XLOOKUP($Q698,'Threshold Summary'!$Y:$Y,'Threshold Summary'!$K:$K,""),'Pokemon Editor'!$A:$A,'Pokemon Editor'!$C:$C,""),mtype=XLOOKUP(XLOOKUP($Q698,'Threshold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Chart'!$B$1:$S$1,0)))),base,IF(OR(cat="Status",pow=0),0,FLOOR(FLOOR(FLOOR((2*XLOOKUP($Q698,'Threshold Summary'!$Y:$Y,'Threshold Summary'!$L:$L,"")/5+2)*pow*atk/def)/50)+2)),modifier,stab*eff,AVERAGE(ARRAYFORMULA(FLOOR(base*modifier*SEQUENCE(16,1,85,1)/100)))/(FLOOR(((2*XLOOKUP('Boss Editor'!$C$4,'Pokemon Editor'!$A:$A,'Pokemon Editor'!$E:$E,0)+31+FLOOR('Boss Editor'!$G$4/4))*'Boss Editor'!$D$4)/100)+'Boss Editor'!$D$4+10)),0)</f>
        <v/>
      </c>
      <c r="O698" s="3">
        <f>IF(N698&gt;=1,"OHKO",IF(N698&gt;=0.5,"2HKO",IF(N698&gt;=0.333,"3HKO",IF(N698&gt;=0.25,"4HKO","5HKO+"))))</f>
        <v/>
      </c>
      <c r="P698" s="3" t="inlineStr">
        <is>
          <t>Live from editable databases</t>
        </is>
      </c>
      <c r="Q698" s="3" t="inlineStr">
        <is>
          <t>SPECIES_PHANTUMP</t>
        </is>
      </c>
      <c r="R698" s="3" t="n">
        <v>25</v>
      </c>
    </row>
    <row r="699">
      <c r="A699" s="3">
        <f>XLOOKUP($Q699,'Threshold Summary'!$Y:$Y,'Threshold Summary'!$A:$A,"")</f>
        <v/>
      </c>
      <c r="B699" s="3">
        <f>XLOOKUP($Q699,'Threshold Summary'!$Y:$Y,'Threshold Summary'!$M:$M,"")</f>
        <v/>
      </c>
      <c r="C699" s="3">
        <f>XLOOKUP($Q699,'Threshold Summary'!$Y:$Y,'Threshold Summary'!$N:$N,"")</f>
        <v/>
      </c>
      <c r="D699" s="3">
        <f>IFERROR(INDEX(FILTER('Learnset Editor'!$D$2:$D,'Learnset Editor'!$A$2:$A=XLOOKUP($Q699,'Threshold Summary'!$Y:$Y,'Threshold Summary'!$K:$K,""),'Learnset Editor'!$C$2:$C&lt;=XLOOKUP($Q699,'Threshold Summary'!$Y:$Y,'Threshold Summary'!$L:$L,"")),$R699),"")</f>
        <v/>
      </c>
      <c r="E699" s="3">
        <f>XLOOKUP(D699,'Move Editor'!$B:$B,'Move Editor'!$C:$C,"")</f>
        <v/>
      </c>
      <c r="F699" s="3">
        <f>XLOOKUP(D699,'Move Editor'!$B:$B,'Move Editor'!$D:$D,"")</f>
        <v/>
      </c>
      <c r="G699" s="3">
        <f>XLOOKUP(D699,'Move Editor'!$B:$B,'Move Editor'!$E:$E,0)</f>
        <v/>
      </c>
      <c r="H699" s="3">
        <f>XLOOKUP(D699,'Move Editor'!$B:$B,'Move Editor'!$F:$F,0)</f>
        <v/>
      </c>
      <c r="I699" s="3">
        <f>(INDEX('Type Chart'!$B:$S,MATCH(E699,'Type Chart'!$A:$A,0),MATCH(XLOOKUP('Boss Editor'!$C$4,'Pokemon Editor'!$A:$A,'Pokemon Editor'!$C:$C,""),'Type Chart'!$B$1:$S$1,0))*IF(XLOOKUP('Boss Editor'!$C$4,'Pokemon Editor'!$A:$A,'Pokemon Editor'!$D:$D,"")="",1,INDEX('Type Chart'!$B:$S,MATCH(E699,'Type Chart'!$A:$A,0),MATCH(XLOOKUP('Boss Editor'!$C$4,'Pokemon Editor'!$A:$A,'Pokemon Editor'!$D:$D,""),'Type Chart'!$B$1:$S$1,0))))</f>
        <v/>
      </c>
      <c r="J699" s="3">
        <f>IFERROR(LET(mtype,XLOOKUP($D699,'Move Editor'!$B:$B,'Move Editor'!$C:$C,""),cat,XLOOKUP($D699,'Move Editor'!$B:$B,'Move Editor'!$D:$D,""),pow,XLOOKUP($D699,'Move Editor'!$B:$B,'Move Editor'!$E:$E,0),acc,XLOOKUP($D699,'Move Editor'!$B:$B,'Move Editor'!$F:$F,100),atk,IF(cat="Physical",FLOOR((FLOOR(((2*XLOOKUP(XLOOKUP($Q699,'Threshold Summary'!$Y:$Y,'Threshold Summary'!$K:$K,""),'Pokemon Editor'!$A:$A,'Pokemon Editor'!$F:$F,0)+31+FLOOR(XLOOKUP($Q699,'Threshold Summary'!$Y:$Y,'Threshold Summary'!$P:$P,"")/4))*XLOOKUP($Q699,'Threshold Summary'!$Y:$Y,'Threshold Summary'!$L:$L,""))/100)+5)*XLOOKUP(XLOOKUP($Q699,'Threshold Summary'!$Y:$Y,'Threshold Summary'!$M:$M,""),'Nature Editor'!$A:$A,'Nature Editor'!$B:$B,1)),FLOOR((FLOOR(((2*XLOOKUP(XLOOKUP($Q699,'Threshold Summary'!$Y:$Y,'Threshold Summary'!$K:$K,""),'Pokemon Editor'!$A:$A,'Pokemon Editor'!$H:$H,0)+31+FLOOR(XLOOKUP($Q699,'Threshold Summary'!$Y:$Y,'Threshold Summary'!$R:$R,"")/4))*XLOOKUP($Q699,'Threshold Summary'!$Y:$Y,'Threshold Summary'!$L:$L,""))/100)+5)*XLOOKUP(XLOOKUP($Q699,'Threshold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Editor'!$E:$E,1))),stab,IF(OR(mtype=XLOOKUP(XLOOKUP($Q699,'Threshold Summary'!$Y:$Y,'Threshold Summary'!$K:$K,""),'Pokemon Editor'!$A:$A,'Pokemon Editor'!$C:$C,""),mtype=XLOOKUP(XLOOKUP($Q699,'Threshold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Chart'!$B$1:$S$1,0)))),base,IF(OR(cat="Status",pow=0),0,FLOOR(FLOOR(FLOOR((2*XLOOKUP($Q699,'Threshold Summary'!$Y:$Y,'Threshold Summary'!$L:$L,"")/5+2)*pow*atk/def)/50)+2)),modifier,stab*eff,FLOOR(base*modifier*0.85)),0)</f>
        <v/>
      </c>
      <c r="K699" s="3">
        <f>IFERROR(LET(mtype,XLOOKUP($D699,'Move Editor'!$B:$B,'Move Editor'!$C:$C,""),cat,XLOOKUP($D699,'Move Editor'!$B:$B,'Move Editor'!$D:$D,""),pow,XLOOKUP($D699,'Move Editor'!$B:$B,'Move Editor'!$E:$E,0),acc,XLOOKUP($D699,'Move Editor'!$B:$B,'Move Editor'!$F:$F,100),atk,IF(cat="Physical",FLOOR((FLOOR(((2*XLOOKUP(XLOOKUP($Q699,'Threshold Summary'!$Y:$Y,'Threshold Summary'!$K:$K,""),'Pokemon Editor'!$A:$A,'Pokemon Editor'!$F:$F,0)+31+FLOOR(XLOOKUP($Q699,'Threshold Summary'!$Y:$Y,'Threshold Summary'!$P:$P,"")/4))*XLOOKUP($Q699,'Threshold Summary'!$Y:$Y,'Threshold Summary'!$L:$L,""))/100)+5)*XLOOKUP(XLOOKUP($Q699,'Threshold Summary'!$Y:$Y,'Threshold Summary'!$M:$M,""),'Nature Editor'!$A:$A,'Nature Editor'!$B:$B,1)),FLOOR((FLOOR(((2*XLOOKUP(XLOOKUP($Q699,'Threshold Summary'!$Y:$Y,'Threshold Summary'!$K:$K,""),'Pokemon Editor'!$A:$A,'Pokemon Editor'!$H:$H,0)+31+FLOOR(XLOOKUP($Q699,'Threshold Summary'!$Y:$Y,'Threshold Summary'!$R:$R,"")/4))*XLOOKUP($Q699,'Threshold Summary'!$Y:$Y,'Threshold Summary'!$L:$L,""))/100)+5)*XLOOKUP(XLOOKUP($Q699,'Threshold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Editor'!$E:$E,1))),stab,IF(OR(mtype=XLOOKUP(XLOOKUP($Q699,'Threshold Summary'!$Y:$Y,'Threshold Summary'!$K:$K,""),'Pokemon Editor'!$A:$A,'Pokemon Editor'!$C:$C,""),mtype=XLOOKUP(XLOOKUP($Q699,'Threshold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Chart'!$B$1:$S$1,0)))),base,IF(OR(cat="Status",pow=0),0,FLOOR(FLOOR(FLOOR((2*XLOOKUP($Q699,'Threshold Summary'!$Y:$Y,'Threshold Summary'!$L:$L,"")/5+2)*pow*atk/def)/50)+2)),modifier,stab*eff,FLOOR(base*modifier)),0)</f>
        <v/>
      </c>
      <c r="L699" s="3">
        <f>IFERROR(LET(mtype,XLOOKUP($D699,'Move Editor'!$B:$B,'Move Editor'!$C:$C,""),cat,XLOOKUP($D699,'Move Editor'!$B:$B,'Move Editor'!$D:$D,""),pow,XLOOKUP($D699,'Move Editor'!$B:$B,'Move Editor'!$E:$E,0),acc,XLOOKUP($D699,'Move Editor'!$B:$B,'Move Editor'!$F:$F,100),atk,IF(cat="Physical",FLOOR((FLOOR(((2*XLOOKUP(XLOOKUP($Q699,'Threshold Summary'!$Y:$Y,'Threshold Summary'!$K:$K,""),'Pokemon Editor'!$A:$A,'Pokemon Editor'!$F:$F,0)+31+FLOOR(XLOOKUP($Q699,'Threshold Summary'!$Y:$Y,'Threshold Summary'!$P:$P,"")/4))*XLOOKUP($Q699,'Threshold Summary'!$Y:$Y,'Threshold Summary'!$L:$L,""))/100)+5)*XLOOKUP(XLOOKUP($Q699,'Threshold Summary'!$Y:$Y,'Threshold Summary'!$M:$M,""),'Nature Editor'!$A:$A,'Nature Editor'!$B:$B,1)),FLOOR((FLOOR(((2*XLOOKUP(XLOOKUP($Q699,'Threshold Summary'!$Y:$Y,'Threshold Summary'!$K:$K,""),'Pokemon Editor'!$A:$A,'Pokemon Editor'!$H:$H,0)+31+FLOOR(XLOOKUP($Q699,'Threshold Summary'!$Y:$Y,'Threshold Summary'!$R:$R,"")/4))*XLOOKUP($Q699,'Threshold Summary'!$Y:$Y,'Threshold Summary'!$L:$L,""))/100)+5)*XLOOKUP(XLOOKUP($Q699,'Threshold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Editor'!$E:$E,1))),stab,IF(OR(mtype=XLOOKUP(XLOOKUP($Q699,'Threshold Summary'!$Y:$Y,'Threshold Summary'!$K:$K,""),'Pokemon Editor'!$A:$A,'Pokemon Editor'!$C:$C,""),mtype=XLOOKUP(XLOOKUP($Q699,'Threshold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Chart'!$B$1:$S$1,0)))),base,IF(OR(cat="Status",pow=0),0,FLOOR(FLOOR(FLOOR((2*XLOOKUP($Q699,'Threshold Summary'!$Y:$Y,'Threshold Summary'!$L:$L,"")/5+2)*pow*atk/def)/50)+2)),modifier,stab*eff,AVERAGE(ARRAYFORMULA(FLOOR(base*modifier*SEQUENCE(16,1,85,1)/100)))),0)</f>
        <v/>
      </c>
      <c r="M699" s="3">
        <f>IFERROR(LET(mtype,XLOOKUP($D699,'Move Editor'!$B:$B,'Move Editor'!$C:$C,""),cat,XLOOKUP($D699,'Move Editor'!$B:$B,'Move Editor'!$D:$D,""),pow,XLOOKUP($D699,'Move Editor'!$B:$B,'Move Editor'!$E:$E,0),acc,XLOOKUP($D699,'Move Editor'!$B:$B,'Move Editor'!$F:$F,100),atk,IF(cat="Physical",FLOOR((FLOOR(((2*XLOOKUP(XLOOKUP($Q699,'Threshold Summary'!$Y:$Y,'Threshold Summary'!$K:$K,""),'Pokemon Editor'!$A:$A,'Pokemon Editor'!$F:$F,0)+31+FLOOR(XLOOKUP($Q699,'Threshold Summary'!$Y:$Y,'Threshold Summary'!$P:$P,"")/4))*XLOOKUP($Q699,'Threshold Summary'!$Y:$Y,'Threshold Summary'!$L:$L,""))/100)+5)*XLOOKUP(XLOOKUP($Q699,'Threshold Summary'!$Y:$Y,'Threshold Summary'!$M:$M,""),'Nature Editor'!$A:$A,'Nature Editor'!$B:$B,1)),FLOOR((FLOOR(((2*XLOOKUP(XLOOKUP($Q699,'Threshold Summary'!$Y:$Y,'Threshold Summary'!$K:$K,""),'Pokemon Editor'!$A:$A,'Pokemon Editor'!$H:$H,0)+31+FLOOR(XLOOKUP($Q699,'Threshold Summary'!$Y:$Y,'Threshold Summary'!$R:$R,"")/4))*XLOOKUP($Q699,'Threshold Summary'!$Y:$Y,'Threshold Summary'!$L:$L,""))/100)+5)*XLOOKUP(XLOOKUP($Q699,'Threshold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Editor'!$E:$E,1))),stab,IF(OR(mtype=XLOOKUP(XLOOKUP($Q699,'Threshold Summary'!$Y:$Y,'Threshold Summary'!$K:$K,""),'Pokemon Editor'!$A:$A,'Pokemon Editor'!$C:$C,""),mtype=XLOOKUP(XLOOKUP($Q699,'Threshold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Chart'!$B$1:$S$1,0)))),base,IF(OR(cat="Status",pow=0),0,FLOOR(FLOOR(FLOOR((2*XLOOKUP($Q699,'Threshold Summary'!$Y:$Y,'Threshold Summary'!$L:$L,"")/5+2)*pow*atk/def)/50)+2)),modifier,stab*eff,AVERAGE(ARRAYFORMULA(FLOOR(base*modifier*SEQUENCE(16,1,85,1)/100)))*MIN(1,acc/100)),0)</f>
        <v/>
      </c>
      <c r="N699" s="4">
        <f>IFERROR(LET(mtype,XLOOKUP($D699,'Move Editor'!$B:$B,'Move Editor'!$C:$C,""),cat,XLOOKUP($D699,'Move Editor'!$B:$B,'Move Editor'!$D:$D,""),pow,XLOOKUP($D699,'Move Editor'!$B:$B,'Move Editor'!$E:$E,0),acc,XLOOKUP($D699,'Move Editor'!$B:$B,'Move Editor'!$F:$F,100),atk,IF(cat="Physical",FLOOR((FLOOR(((2*XLOOKUP(XLOOKUP($Q699,'Threshold Summary'!$Y:$Y,'Threshold Summary'!$K:$K,""),'Pokemon Editor'!$A:$A,'Pokemon Editor'!$F:$F,0)+31+FLOOR(XLOOKUP($Q699,'Threshold Summary'!$Y:$Y,'Threshold Summary'!$P:$P,"")/4))*XLOOKUP($Q699,'Threshold Summary'!$Y:$Y,'Threshold Summary'!$L:$L,""))/100)+5)*XLOOKUP(XLOOKUP($Q699,'Threshold Summary'!$Y:$Y,'Threshold Summary'!$M:$M,""),'Nature Editor'!$A:$A,'Nature Editor'!$B:$B,1)),FLOOR((FLOOR(((2*XLOOKUP(XLOOKUP($Q699,'Threshold Summary'!$Y:$Y,'Threshold Summary'!$K:$K,""),'Pokemon Editor'!$A:$A,'Pokemon Editor'!$H:$H,0)+31+FLOOR(XLOOKUP($Q699,'Threshold Summary'!$Y:$Y,'Threshold Summary'!$R:$R,"")/4))*XLOOKUP($Q699,'Threshold Summary'!$Y:$Y,'Threshold Summary'!$L:$L,""))/100)+5)*XLOOKUP(XLOOKUP($Q699,'Threshold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Editor'!$E:$E,1))),stab,IF(OR(mtype=XLOOKUP(XLOOKUP($Q699,'Threshold Summary'!$Y:$Y,'Threshold Summary'!$K:$K,""),'Pokemon Editor'!$A:$A,'Pokemon Editor'!$C:$C,""),mtype=XLOOKUP(XLOOKUP($Q699,'Threshold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Chart'!$B$1:$S$1,0)))),base,IF(OR(cat="Status",pow=0),0,FLOOR(FLOOR(FLOOR((2*XLOOKUP($Q699,'Threshold Summary'!$Y:$Y,'Threshold Summary'!$L:$L,"")/5+2)*pow*atk/def)/50)+2)),modifier,stab*eff,AVERAGE(ARRAYFORMULA(FLOOR(base*modifier*SEQUENCE(16,1,85,1)/100)))/(FLOOR(((2*XLOOKUP('Boss Editor'!$C$4,'Pokemon Editor'!$A:$A,'Pokemon Editor'!$E:$E,0)+31+FLOOR('Boss Editor'!$G$4/4))*'Boss Editor'!$D$4)/100)+'Boss Editor'!$D$4+10)),0)</f>
        <v/>
      </c>
      <c r="O699" s="3">
        <f>IF(N699&gt;=1,"OHKO",IF(N699&gt;=0.5,"2HKO",IF(N699&gt;=0.333,"3HKO",IF(N699&gt;=0.25,"4HKO","5HKO+"))))</f>
        <v/>
      </c>
      <c r="P699" s="3" t="inlineStr">
        <is>
          <t>Live from editable databases</t>
        </is>
      </c>
      <c r="Q699" s="3" t="inlineStr">
        <is>
          <t>SPECIES_PHANTUMP</t>
        </is>
      </c>
      <c r="R699" s="3" t="n">
        <v>26</v>
      </c>
    </row>
    <row r="700">
      <c r="A700" s="3">
        <f>XLOOKUP($Q700,'Threshold Summary'!$Y:$Y,'Threshold Summary'!$A:$A,"")</f>
        <v/>
      </c>
      <c r="B700" s="3">
        <f>XLOOKUP($Q700,'Threshold Summary'!$Y:$Y,'Threshold Summary'!$M:$M,"")</f>
        <v/>
      </c>
      <c r="C700" s="3">
        <f>XLOOKUP($Q700,'Threshold Summary'!$Y:$Y,'Threshold Summary'!$N:$N,"")</f>
        <v/>
      </c>
      <c r="D700" s="3">
        <f>IFERROR(INDEX(FILTER('Learnset Editor'!$D$2:$D,'Learnset Editor'!$A$2:$A=XLOOKUP($Q700,'Threshold Summary'!$Y:$Y,'Threshold Summary'!$K:$K,""),'Learnset Editor'!$C$2:$C&lt;=XLOOKUP($Q700,'Threshold Summary'!$Y:$Y,'Threshold Summary'!$L:$L,"")),$R700),"")</f>
        <v/>
      </c>
      <c r="E700" s="3">
        <f>XLOOKUP(D700,'Move Editor'!$B:$B,'Move Editor'!$C:$C,"")</f>
        <v/>
      </c>
      <c r="F700" s="3">
        <f>XLOOKUP(D700,'Move Editor'!$B:$B,'Move Editor'!$D:$D,"")</f>
        <v/>
      </c>
      <c r="G700" s="3">
        <f>XLOOKUP(D700,'Move Editor'!$B:$B,'Move Editor'!$E:$E,0)</f>
        <v/>
      </c>
      <c r="H700" s="3">
        <f>XLOOKUP(D700,'Move Editor'!$B:$B,'Move Editor'!$F:$F,0)</f>
        <v/>
      </c>
      <c r="I700" s="3">
        <f>(INDEX('Type Chart'!$B:$S,MATCH(E700,'Type Chart'!$A:$A,0),MATCH(XLOOKUP('Boss Editor'!$C$4,'Pokemon Editor'!$A:$A,'Pokemon Editor'!$C:$C,""),'Type Chart'!$B$1:$S$1,0))*IF(XLOOKUP('Boss Editor'!$C$4,'Pokemon Editor'!$A:$A,'Pokemon Editor'!$D:$D,"")="",1,INDEX('Type Chart'!$B:$S,MATCH(E700,'Type Chart'!$A:$A,0),MATCH(XLOOKUP('Boss Editor'!$C$4,'Pokemon Editor'!$A:$A,'Pokemon Editor'!$D:$D,""),'Type Chart'!$B$1:$S$1,0))))</f>
        <v/>
      </c>
      <c r="J700" s="3">
        <f>IFERROR(LET(mtype,XLOOKUP($D700,'Move Editor'!$B:$B,'Move Editor'!$C:$C,""),cat,XLOOKUP($D700,'Move Editor'!$B:$B,'Move Editor'!$D:$D,""),pow,XLOOKUP($D700,'Move Editor'!$B:$B,'Move Editor'!$E:$E,0),acc,XLOOKUP($D700,'Move Editor'!$B:$B,'Move Editor'!$F:$F,100),atk,IF(cat="Physical",FLOOR((FLOOR(((2*XLOOKUP(XLOOKUP($Q700,'Threshold Summary'!$Y:$Y,'Threshold Summary'!$K:$K,""),'Pokemon Editor'!$A:$A,'Pokemon Editor'!$F:$F,0)+31+FLOOR(XLOOKUP($Q700,'Threshold Summary'!$Y:$Y,'Threshold Summary'!$P:$P,"")/4))*XLOOKUP($Q700,'Threshold Summary'!$Y:$Y,'Threshold Summary'!$L:$L,""))/100)+5)*XLOOKUP(XLOOKUP($Q700,'Threshold Summary'!$Y:$Y,'Threshold Summary'!$M:$M,""),'Nature Editor'!$A:$A,'Nature Editor'!$B:$B,1)),FLOOR((FLOOR(((2*XLOOKUP(XLOOKUP($Q700,'Threshold Summary'!$Y:$Y,'Threshold Summary'!$K:$K,""),'Pokemon Editor'!$A:$A,'Pokemon Editor'!$H:$H,0)+31+FLOOR(XLOOKUP($Q700,'Threshold Summary'!$Y:$Y,'Threshold Summary'!$R:$R,"")/4))*XLOOKUP($Q700,'Threshold Summary'!$Y:$Y,'Threshold Summary'!$L:$L,""))/100)+5)*XLOOKUP(XLOOKUP($Q700,'Threshold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Editor'!$E:$E,1))),stab,IF(OR(mtype=XLOOKUP(XLOOKUP($Q700,'Threshold Summary'!$Y:$Y,'Threshold Summary'!$K:$K,""),'Pokemon Editor'!$A:$A,'Pokemon Editor'!$C:$C,""),mtype=XLOOKUP(XLOOKUP($Q700,'Threshold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Chart'!$B$1:$S$1,0)))),base,IF(OR(cat="Status",pow=0),0,FLOOR(FLOOR(FLOOR((2*XLOOKUP($Q700,'Threshold Summary'!$Y:$Y,'Threshold Summary'!$L:$L,"")/5+2)*pow*atk/def)/50)+2)),modifier,stab*eff,FLOOR(base*modifier*0.85)),0)</f>
        <v/>
      </c>
      <c r="K700" s="3">
        <f>IFERROR(LET(mtype,XLOOKUP($D700,'Move Editor'!$B:$B,'Move Editor'!$C:$C,""),cat,XLOOKUP($D700,'Move Editor'!$B:$B,'Move Editor'!$D:$D,""),pow,XLOOKUP($D700,'Move Editor'!$B:$B,'Move Editor'!$E:$E,0),acc,XLOOKUP($D700,'Move Editor'!$B:$B,'Move Editor'!$F:$F,100),atk,IF(cat="Physical",FLOOR((FLOOR(((2*XLOOKUP(XLOOKUP($Q700,'Threshold Summary'!$Y:$Y,'Threshold Summary'!$K:$K,""),'Pokemon Editor'!$A:$A,'Pokemon Editor'!$F:$F,0)+31+FLOOR(XLOOKUP($Q700,'Threshold Summary'!$Y:$Y,'Threshold Summary'!$P:$P,"")/4))*XLOOKUP($Q700,'Threshold Summary'!$Y:$Y,'Threshold Summary'!$L:$L,""))/100)+5)*XLOOKUP(XLOOKUP($Q700,'Threshold Summary'!$Y:$Y,'Threshold Summary'!$M:$M,""),'Nature Editor'!$A:$A,'Nature Editor'!$B:$B,1)),FLOOR((FLOOR(((2*XLOOKUP(XLOOKUP($Q700,'Threshold Summary'!$Y:$Y,'Threshold Summary'!$K:$K,""),'Pokemon Editor'!$A:$A,'Pokemon Editor'!$H:$H,0)+31+FLOOR(XLOOKUP($Q700,'Threshold Summary'!$Y:$Y,'Threshold Summary'!$R:$R,"")/4))*XLOOKUP($Q700,'Threshold Summary'!$Y:$Y,'Threshold Summary'!$L:$L,""))/100)+5)*XLOOKUP(XLOOKUP($Q700,'Threshold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Editor'!$E:$E,1))),stab,IF(OR(mtype=XLOOKUP(XLOOKUP($Q700,'Threshold Summary'!$Y:$Y,'Threshold Summary'!$K:$K,""),'Pokemon Editor'!$A:$A,'Pokemon Editor'!$C:$C,""),mtype=XLOOKUP(XLOOKUP($Q700,'Threshold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Chart'!$B$1:$S$1,0)))),base,IF(OR(cat="Status",pow=0),0,FLOOR(FLOOR(FLOOR((2*XLOOKUP($Q700,'Threshold Summary'!$Y:$Y,'Threshold Summary'!$L:$L,"")/5+2)*pow*atk/def)/50)+2)),modifier,stab*eff,FLOOR(base*modifier)),0)</f>
        <v/>
      </c>
      <c r="L700" s="3">
        <f>IFERROR(LET(mtype,XLOOKUP($D700,'Move Editor'!$B:$B,'Move Editor'!$C:$C,""),cat,XLOOKUP($D700,'Move Editor'!$B:$B,'Move Editor'!$D:$D,""),pow,XLOOKUP($D700,'Move Editor'!$B:$B,'Move Editor'!$E:$E,0),acc,XLOOKUP($D700,'Move Editor'!$B:$B,'Move Editor'!$F:$F,100),atk,IF(cat="Physical",FLOOR((FLOOR(((2*XLOOKUP(XLOOKUP($Q700,'Threshold Summary'!$Y:$Y,'Threshold Summary'!$K:$K,""),'Pokemon Editor'!$A:$A,'Pokemon Editor'!$F:$F,0)+31+FLOOR(XLOOKUP($Q700,'Threshold Summary'!$Y:$Y,'Threshold Summary'!$P:$P,"")/4))*XLOOKUP($Q700,'Threshold Summary'!$Y:$Y,'Threshold Summary'!$L:$L,""))/100)+5)*XLOOKUP(XLOOKUP($Q700,'Threshold Summary'!$Y:$Y,'Threshold Summary'!$M:$M,""),'Nature Editor'!$A:$A,'Nature Editor'!$B:$B,1)),FLOOR((FLOOR(((2*XLOOKUP(XLOOKUP($Q700,'Threshold Summary'!$Y:$Y,'Threshold Summary'!$K:$K,""),'Pokemon Editor'!$A:$A,'Pokemon Editor'!$H:$H,0)+31+FLOOR(XLOOKUP($Q700,'Threshold Summary'!$Y:$Y,'Threshold Summary'!$R:$R,"")/4))*XLOOKUP($Q700,'Threshold Summary'!$Y:$Y,'Threshold Summary'!$L:$L,""))/100)+5)*XLOOKUP(XLOOKUP($Q700,'Threshold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Editor'!$E:$E,1))),stab,IF(OR(mtype=XLOOKUP(XLOOKUP($Q700,'Threshold Summary'!$Y:$Y,'Threshold Summary'!$K:$K,""),'Pokemon Editor'!$A:$A,'Pokemon Editor'!$C:$C,""),mtype=XLOOKUP(XLOOKUP($Q700,'Threshold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Chart'!$B$1:$S$1,0)))),base,IF(OR(cat="Status",pow=0),0,FLOOR(FLOOR(FLOOR((2*XLOOKUP($Q700,'Threshold Summary'!$Y:$Y,'Threshold Summary'!$L:$L,"")/5+2)*pow*atk/def)/50)+2)),modifier,stab*eff,AVERAGE(ARRAYFORMULA(FLOOR(base*modifier*SEQUENCE(16,1,85,1)/100)))),0)</f>
        <v/>
      </c>
      <c r="M700" s="3">
        <f>IFERROR(LET(mtype,XLOOKUP($D700,'Move Editor'!$B:$B,'Move Editor'!$C:$C,""),cat,XLOOKUP($D700,'Move Editor'!$B:$B,'Move Editor'!$D:$D,""),pow,XLOOKUP($D700,'Move Editor'!$B:$B,'Move Editor'!$E:$E,0),acc,XLOOKUP($D700,'Move Editor'!$B:$B,'Move Editor'!$F:$F,100),atk,IF(cat="Physical",FLOOR((FLOOR(((2*XLOOKUP(XLOOKUP($Q700,'Threshold Summary'!$Y:$Y,'Threshold Summary'!$K:$K,""),'Pokemon Editor'!$A:$A,'Pokemon Editor'!$F:$F,0)+31+FLOOR(XLOOKUP($Q700,'Threshold Summary'!$Y:$Y,'Threshold Summary'!$P:$P,"")/4))*XLOOKUP($Q700,'Threshold Summary'!$Y:$Y,'Threshold Summary'!$L:$L,""))/100)+5)*XLOOKUP(XLOOKUP($Q700,'Threshold Summary'!$Y:$Y,'Threshold Summary'!$M:$M,""),'Nature Editor'!$A:$A,'Nature Editor'!$B:$B,1)),FLOOR((FLOOR(((2*XLOOKUP(XLOOKUP($Q700,'Threshold Summary'!$Y:$Y,'Threshold Summary'!$K:$K,""),'Pokemon Editor'!$A:$A,'Pokemon Editor'!$H:$H,0)+31+FLOOR(XLOOKUP($Q700,'Threshold Summary'!$Y:$Y,'Threshold Summary'!$R:$R,"")/4))*XLOOKUP($Q700,'Threshold Summary'!$Y:$Y,'Threshold Summary'!$L:$L,""))/100)+5)*XLOOKUP(XLOOKUP($Q700,'Threshold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Editor'!$E:$E,1))),stab,IF(OR(mtype=XLOOKUP(XLOOKUP($Q700,'Threshold Summary'!$Y:$Y,'Threshold Summary'!$K:$K,""),'Pokemon Editor'!$A:$A,'Pokemon Editor'!$C:$C,""),mtype=XLOOKUP(XLOOKUP($Q700,'Threshold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Chart'!$B$1:$S$1,0)))),base,IF(OR(cat="Status",pow=0),0,FLOOR(FLOOR(FLOOR((2*XLOOKUP($Q700,'Threshold Summary'!$Y:$Y,'Threshold Summary'!$L:$L,"")/5+2)*pow*atk/def)/50)+2)),modifier,stab*eff,AVERAGE(ARRAYFORMULA(FLOOR(base*modifier*SEQUENCE(16,1,85,1)/100)))*MIN(1,acc/100)),0)</f>
        <v/>
      </c>
      <c r="N700" s="4">
        <f>IFERROR(LET(mtype,XLOOKUP($D700,'Move Editor'!$B:$B,'Move Editor'!$C:$C,""),cat,XLOOKUP($D700,'Move Editor'!$B:$B,'Move Editor'!$D:$D,""),pow,XLOOKUP($D700,'Move Editor'!$B:$B,'Move Editor'!$E:$E,0),acc,XLOOKUP($D700,'Move Editor'!$B:$B,'Move Editor'!$F:$F,100),atk,IF(cat="Physical",FLOOR((FLOOR(((2*XLOOKUP(XLOOKUP($Q700,'Threshold Summary'!$Y:$Y,'Threshold Summary'!$K:$K,""),'Pokemon Editor'!$A:$A,'Pokemon Editor'!$F:$F,0)+31+FLOOR(XLOOKUP($Q700,'Threshold Summary'!$Y:$Y,'Threshold Summary'!$P:$P,"")/4))*XLOOKUP($Q700,'Threshold Summary'!$Y:$Y,'Threshold Summary'!$L:$L,""))/100)+5)*XLOOKUP(XLOOKUP($Q700,'Threshold Summary'!$Y:$Y,'Threshold Summary'!$M:$M,""),'Nature Editor'!$A:$A,'Nature Editor'!$B:$B,1)),FLOOR((FLOOR(((2*XLOOKUP(XLOOKUP($Q700,'Threshold Summary'!$Y:$Y,'Threshold Summary'!$K:$K,""),'Pokemon Editor'!$A:$A,'Pokemon Editor'!$H:$H,0)+31+FLOOR(XLOOKUP($Q700,'Threshold Summary'!$Y:$Y,'Threshold Summary'!$R:$R,"")/4))*XLOOKUP($Q700,'Threshold Summary'!$Y:$Y,'Threshold Summary'!$L:$L,""))/100)+5)*XLOOKUP(XLOOKUP($Q700,'Threshold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Editor'!$E:$E,1))),stab,IF(OR(mtype=XLOOKUP(XLOOKUP($Q700,'Threshold Summary'!$Y:$Y,'Threshold Summary'!$K:$K,""),'Pokemon Editor'!$A:$A,'Pokemon Editor'!$C:$C,""),mtype=XLOOKUP(XLOOKUP($Q700,'Threshold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Chart'!$B$1:$S$1,0)))),base,IF(OR(cat="Status",pow=0),0,FLOOR(FLOOR(FLOOR((2*XLOOKUP($Q700,'Threshold Summary'!$Y:$Y,'Threshold Summary'!$L:$L,"")/5+2)*pow*atk/def)/50)+2)),modifier,stab*eff,AVERAGE(ARRAYFORMULA(FLOOR(base*modifier*SEQUENCE(16,1,85,1)/100)))/(FLOOR(((2*XLOOKUP('Boss Editor'!$C$4,'Pokemon Editor'!$A:$A,'Pokemon Editor'!$E:$E,0)+31+FLOOR('Boss Editor'!$G$4/4))*'Boss Editor'!$D$4)/100)+'Boss Editor'!$D$4+10)),0)</f>
        <v/>
      </c>
      <c r="O700" s="3">
        <f>IF(N700&gt;=1,"OHKO",IF(N700&gt;=0.5,"2HKO",IF(N700&gt;=0.333,"3HKO",IF(N700&gt;=0.25,"4HKO","5HKO+"))))</f>
        <v/>
      </c>
      <c r="P700" s="3" t="inlineStr">
        <is>
          <t>Live from editable databases</t>
        </is>
      </c>
      <c r="Q700" s="3" t="inlineStr">
        <is>
          <t>SPECIES_PHANTUMP</t>
        </is>
      </c>
      <c r="R700" s="3" t="n">
        <v>27</v>
      </c>
    </row>
    <row r="701">
      <c r="A701" s="3">
        <f>XLOOKUP($Q701,'Threshold Summary'!$Y:$Y,'Threshold Summary'!$A:$A,"")</f>
        <v/>
      </c>
      <c r="B701" s="3">
        <f>XLOOKUP($Q701,'Threshold Summary'!$Y:$Y,'Threshold Summary'!$M:$M,"")</f>
        <v/>
      </c>
      <c r="C701" s="3">
        <f>XLOOKUP($Q701,'Threshold Summary'!$Y:$Y,'Threshold Summary'!$N:$N,"")</f>
        <v/>
      </c>
      <c r="D701" s="3">
        <f>IFERROR(INDEX(FILTER('Learnset Editor'!$D$2:$D,'Learnset Editor'!$A$2:$A=XLOOKUP($Q701,'Threshold Summary'!$Y:$Y,'Threshold Summary'!$K:$K,""),'Learnset Editor'!$C$2:$C&lt;=XLOOKUP($Q701,'Threshold Summary'!$Y:$Y,'Threshold Summary'!$L:$L,"")),$R701),"")</f>
        <v/>
      </c>
      <c r="E701" s="3">
        <f>XLOOKUP(D701,'Move Editor'!$B:$B,'Move Editor'!$C:$C,"")</f>
        <v/>
      </c>
      <c r="F701" s="3">
        <f>XLOOKUP(D701,'Move Editor'!$B:$B,'Move Editor'!$D:$D,"")</f>
        <v/>
      </c>
      <c r="G701" s="3">
        <f>XLOOKUP(D701,'Move Editor'!$B:$B,'Move Editor'!$E:$E,0)</f>
        <v/>
      </c>
      <c r="H701" s="3">
        <f>XLOOKUP(D701,'Move Editor'!$B:$B,'Move Editor'!$F:$F,0)</f>
        <v/>
      </c>
      <c r="I701" s="3">
        <f>(INDEX('Type Chart'!$B:$S,MATCH(E701,'Type Chart'!$A:$A,0),MATCH(XLOOKUP('Boss Editor'!$C$4,'Pokemon Editor'!$A:$A,'Pokemon Editor'!$C:$C,""),'Type Chart'!$B$1:$S$1,0))*IF(XLOOKUP('Boss Editor'!$C$4,'Pokemon Editor'!$A:$A,'Pokemon Editor'!$D:$D,"")="",1,INDEX('Type Chart'!$B:$S,MATCH(E701,'Type Chart'!$A:$A,0),MATCH(XLOOKUP('Boss Editor'!$C$4,'Pokemon Editor'!$A:$A,'Pokemon Editor'!$D:$D,""),'Type Chart'!$B$1:$S$1,0))))</f>
        <v/>
      </c>
      <c r="J701" s="3">
        <f>IFERROR(LET(mtype,XLOOKUP($D701,'Move Editor'!$B:$B,'Move Editor'!$C:$C,""),cat,XLOOKUP($D701,'Move Editor'!$B:$B,'Move Editor'!$D:$D,""),pow,XLOOKUP($D701,'Move Editor'!$B:$B,'Move Editor'!$E:$E,0),acc,XLOOKUP($D701,'Move Editor'!$B:$B,'Move Editor'!$F:$F,100),atk,IF(cat="Physical",FLOOR((FLOOR(((2*XLOOKUP(XLOOKUP($Q701,'Threshold Summary'!$Y:$Y,'Threshold Summary'!$K:$K,""),'Pokemon Editor'!$A:$A,'Pokemon Editor'!$F:$F,0)+31+FLOOR(XLOOKUP($Q701,'Threshold Summary'!$Y:$Y,'Threshold Summary'!$P:$P,"")/4))*XLOOKUP($Q701,'Threshold Summary'!$Y:$Y,'Threshold Summary'!$L:$L,""))/100)+5)*XLOOKUP(XLOOKUP($Q701,'Threshold Summary'!$Y:$Y,'Threshold Summary'!$M:$M,""),'Nature Editor'!$A:$A,'Nature Editor'!$B:$B,1)),FLOOR((FLOOR(((2*XLOOKUP(XLOOKUP($Q701,'Threshold Summary'!$Y:$Y,'Threshold Summary'!$K:$K,""),'Pokemon Editor'!$A:$A,'Pokemon Editor'!$H:$H,0)+31+FLOOR(XLOOKUP($Q701,'Threshold Summary'!$Y:$Y,'Threshold Summary'!$R:$R,"")/4))*XLOOKUP($Q701,'Threshold Summary'!$Y:$Y,'Threshold Summary'!$L:$L,""))/100)+5)*XLOOKUP(XLOOKUP($Q701,'Threshold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Editor'!$E:$E,1))),stab,IF(OR(mtype=XLOOKUP(XLOOKUP($Q701,'Threshold Summary'!$Y:$Y,'Threshold Summary'!$K:$K,""),'Pokemon Editor'!$A:$A,'Pokemon Editor'!$C:$C,""),mtype=XLOOKUP(XLOOKUP($Q701,'Threshold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Chart'!$B$1:$S$1,0)))),base,IF(OR(cat="Status",pow=0),0,FLOOR(FLOOR(FLOOR((2*XLOOKUP($Q701,'Threshold Summary'!$Y:$Y,'Threshold Summary'!$L:$L,"")/5+2)*pow*atk/def)/50)+2)),modifier,stab*eff,FLOOR(base*modifier*0.85)),0)</f>
        <v/>
      </c>
      <c r="K701" s="3">
        <f>IFERROR(LET(mtype,XLOOKUP($D701,'Move Editor'!$B:$B,'Move Editor'!$C:$C,""),cat,XLOOKUP($D701,'Move Editor'!$B:$B,'Move Editor'!$D:$D,""),pow,XLOOKUP($D701,'Move Editor'!$B:$B,'Move Editor'!$E:$E,0),acc,XLOOKUP($D701,'Move Editor'!$B:$B,'Move Editor'!$F:$F,100),atk,IF(cat="Physical",FLOOR((FLOOR(((2*XLOOKUP(XLOOKUP($Q701,'Threshold Summary'!$Y:$Y,'Threshold Summary'!$K:$K,""),'Pokemon Editor'!$A:$A,'Pokemon Editor'!$F:$F,0)+31+FLOOR(XLOOKUP($Q701,'Threshold Summary'!$Y:$Y,'Threshold Summary'!$P:$P,"")/4))*XLOOKUP($Q701,'Threshold Summary'!$Y:$Y,'Threshold Summary'!$L:$L,""))/100)+5)*XLOOKUP(XLOOKUP($Q701,'Threshold Summary'!$Y:$Y,'Threshold Summary'!$M:$M,""),'Nature Editor'!$A:$A,'Nature Editor'!$B:$B,1)),FLOOR((FLOOR(((2*XLOOKUP(XLOOKUP($Q701,'Threshold Summary'!$Y:$Y,'Threshold Summary'!$K:$K,""),'Pokemon Editor'!$A:$A,'Pokemon Editor'!$H:$H,0)+31+FLOOR(XLOOKUP($Q701,'Threshold Summary'!$Y:$Y,'Threshold Summary'!$R:$R,"")/4))*XLOOKUP($Q701,'Threshold Summary'!$Y:$Y,'Threshold Summary'!$L:$L,""))/100)+5)*XLOOKUP(XLOOKUP($Q701,'Threshold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Editor'!$E:$E,1))),stab,IF(OR(mtype=XLOOKUP(XLOOKUP($Q701,'Threshold Summary'!$Y:$Y,'Threshold Summary'!$K:$K,""),'Pokemon Editor'!$A:$A,'Pokemon Editor'!$C:$C,""),mtype=XLOOKUP(XLOOKUP($Q701,'Threshold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Chart'!$B$1:$S$1,0)))),base,IF(OR(cat="Status",pow=0),0,FLOOR(FLOOR(FLOOR((2*XLOOKUP($Q701,'Threshold Summary'!$Y:$Y,'Threshold Summary'!$L:$L,"")/5+2)*pow*atk/def)/50)+2)),modifier,stab*eff,FLOOR(base*modifier)),0)</f>
        <v/>
      </c>
      <c r="L701" s="3">
        <f>IFERROR(LET(mtype,XLOOKUP($D701,'Move Editor'!$B:$B,'Move Editor'!$C:$C,""),cat,XLOOKUP($D701,'Move Editor'!$B:$B,'Move Editor'!$D:$D,""),pow,XLOOKUP($D701,'Move Editor'!$B:$B,'Move Editor'!$E:$E,0),acc,XLOOKUP($D701,'Move Editor'!$B:$B,'Move Editor'!$F:$F,100),atk,IF(cat="Physical",FLOOR((FLOOR(((2*XLOOKUP(XLOOKUP($Q701,'Threshold Summary'!$Y:$Y,'Threshold Summary'!$K:$K,""),'Pokemon Editor'!$A:$A,'Pokemon Editor'!$F:$F,0)+31+FLOOR(XLOOKUP($Q701,'Threshold Summary'!$Y:$Y,'Threshold Summary'!$P:$P,"")/4))*XLOOKUP($Q701,'Threshold Summary'!$Y:$Y,'Threshold Summary'!$L:$L,""))/100)+5)*XLOOKUP(XLOOKUP($Q701,'Threshold Summary'!$Y:$Y,'Threshold Summary'!$M:$M,""),'Nature Editor'!$A:$A,'Nature Editor'!$B:$B,1)),FLOOR((FLOOR(((2*XLOOKUP(XLOOKUP($Q701,'Threshold Summary'!$Y:$Y,'Threshold Summary'!$K:$K,""),'Pokemon Editor'!$A:$A,'Pokemon Editor'!$H:$H,0)+31+FLOOR(XLOOKUP($Q701,'Threshold Summary'!$Y:$Y,'Threshold Summary'!$R:$R,"")/4))*XLOOKUP($Q701,'Threshold Summary'!$Y:$Y,'Threshold Summary'!$L:$L,""))/100)+5)*XLOOKUP(XLOOKUP($Q701,'Threshold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Editor'!$E:$E,1))),stab,IF(OR(mtype=XLOOKUP(XLOOKUP($Q701,'Threshold Summary'!$Y:$Y,'Threshold Summary'!$K:$K,""),'Pokemon Editor'!$A:$A,'Pokemon Editor'!$C:$C,""),mtype=XLOOKUP(XLOOKUP($Q701,'Threshold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Chart'!$B$1:$S$1,0)))),base,IF(OR(cat="Status",pow=0),0,FLOOR(FLOOR(FLOOR((2*XLOOKUP($Q701,'Threshold Summary'!$Y:$Y,'Threshold Summary'!$L:$L,"")/5+2)*pow*atk/def)/50)+2)),modifier,stab*eff,AVERAGE(ARRAYFORMULA(FLOOR(base*modifier*SEQUENCE(16,1,85,1)/100)))),0)</f>
        <v/>
      </c>
      <c r="M701" s="3">
        <f>IFERROR(LET(mtype,XLOOKUP($D701,'Move Editor'!$B:$B,'Move Editor'!$C:$C,""),cat,XLOOKUP($D701,'Move Editor'!$B:$B,'Move Editor'!$D:$D,""),pow,XLOOKUP($D701,'Move Editor'!$B:$B,'Move Editor'!$E:$E,0),acc,XLOOKUP($D701,'Move Editor'!$B:$B,'Move Editor'!$F:$F,100),atk,IF(cat="Physical",FLOOR((FLOOR(((2*XLOOKUP(XLOOKUP($Q701,'Threshold Summary'!$Y:$Y,'Threshold Summary'!$K:$K,""),'Pokemon Editor'!$A:$A,'Pokemon Editor'!$F:$F,0)+31+FLOOR(XLOOKUP($Q701,'Threshold Summary'!$Y:$Y,'Threshold Summary'!$P:$P,"")/4))*XLOOKUP($Q701,'Threshold Summary'!$Y:$Y,'Threshold Summary'!$L:$L,""))/100)+5)*XLOOKUP(XLOOKUP($Q701,'Threshold Summary'!$Y:$Y,'Threshold Summary'!$M:$M,""),'Nature Editor'!$A:$A,'Nature Editor'!$B:$B,1)),FLOOR((FLOOR(((2*XLOOKUP(XLOOKUP($Q701,'Threshold Summary'!$Y:$Y,'Threshold Summary'!$K:$K,""),'Pokemon Editor'!$A:$A,'Pokemon Editor'!$H:$H,0)+31+FLOOR(XLOOKUP($Q701,'Threshold Summary'!$Y:$Y,'Threshold Summary'!$R:$R,"")/4))*XLOOKUP($Q701,'Threshold Summary'!$Y:$Y,'Threshold Summary'!$L:$L,""))/100)+5)*XLOOKUP(XLOOKUP($Q701,'Threshold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Editor'!$E:$E,1))),stab,IF(OR(mtype=XLOOKUP(XLOOKUP($Q701,'Threshold Summary'!$Y:$Y,'Threshold Summary'!$K:$K,""),'Pokemon Editor'!$A:$A,'Pokemon Editor'!$C:$C,""),mtype=XLOOKUP(XLOOKUP($Q701,'Threshold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Chart'!$B$1:$S$1,0)))),base,IF(OR(cat="Status",pow=0),0,FLOOR(FLOOR(FLOOR((2*XLOOKUP($Q701,'Threshold Summary'!$Y:$Y,'Threshold Summary'!$L:$L,"")/5+2)*pow*atk/def)/50)+2)),modifier,stab*eff,AVERAGE(ARRAYFORMULA(FLOOR(base*modifier*SEQUENCE(16,1,85,1)/100)))*MIN(1,acc/100)),0)</f>
        <v/>
      </c>
      <c r="N701" s="4">
        <f>IFERROR(LET(mtype,XLOOKUP($D701,'Move Editor'!$B:$B,'Move Editor'!$C:$C,""),cat,XLOOKUP($D701,'Move Editor'!$B:$B,'Move Editor'!$D:$D,""),pow,XLOOKUP($D701,'Move Editor'!$B:$B,'Move Editor'!$E:$E,0),acc,XLOOKUP($D701,'Move Editor'!$B:$B,'Move Editor'!$F:$F,100),atk,IF(cat="Physical",FLOOR((FLOOR(((2*XLOOKUP(XLOOKUP($Q701,'Threshold Summary'!$Y:$Y,'Threshold Summary'!$K:$K,""),'Pokemon Editor'!$A:$A,'Pokemon Editor'!$F:$F,0)+31+FLOOR(XLOOKUP($Q701,'Threshold Summary'!$Y:$Y,'Threshold Summary'!$P:$P,"")/4))*XLOOKUP($Q701,'Threshold Summary'!$Y:$Y,'Threshold Summary'!$L:$L,""))/100)+5)*XLOOKUP(XLOOKUP($Q701,'Threshold Summary'!$Y:$Y,'Threshold Summary'!$M:$M,""),'Nature Editor'!$A:$A,'Nature Editor'!$B:$B,1)),FLOOR((FLOOR(((2*XLOOKUP(XLOOKUP($Q701,'Threshold Summary'!$Y:$Y,'Threshold Summary'!$K:$K,""),'Pokemon Editor'!$A:$A,'Pokemon Editor'!$H:$H,0)+31+FLOOR(XLOOKUP($Q701,'Threshold Summary'!$Y:$Y,'Threshold Summary'!$R:$R,"")/4))*XLOOKUP($Q701,'Threshold Summary'!$Y:$Y,'Threshold Summary'!$L:$L,""))/100)+5)*XLOOKUP(XLOOKUP($Q701,'Threshold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Editor'!$E:$E,1))),stab,IF(OR(mtype=XLOOKUP(XLOOKUP($Q701,'Threshold Summary'!$Y:$Y,'Threshold Summary'!$K:$K,""),'Pokemon Editor'!$A:$A,'Pokemon Editor'!$C:$C,""),mtype=XLOOKUP(XLOOKUP($Q701,'Threshold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Chart'!$B$1:$S$1,0)))),base,IF(OR(cat="Status",pow=0),0,FLOOR(FLOOR(FLOOR((2*XLOOKUP($Q701,'Threshold Summary'!$Y:$Y,'Threshold Summary'!$L:$L,"")/5+2)*pow*atk/def)/50)+2)),modifier,stab*eff,AVERAGE(ARRAYFORMULA(FLOOR(base*modifier*SEQUENCE(16,1,85,1)/100)))/(FLOOR(((2*XLOOKUP('Boss Editor'!$C$4,'Pokemon Editor'!$A:$A,'Pokemon Editor'!$E:$E,0)+31+FLOOR('Boss Editor'!$G$4/4))*'Boss Editor'!$D$4)/100)+'Boss Editor'!$D$4+10)),0)</f>
        <v/>
      </c>
      <c r="O701" s="3">
        <f>IF(N701&gt;=1,"OHKO",IF(N701&gt;=0.5,"2HKO",IF(N701&gt;=0.333,"3HKO",IF(N701&gt;=0.25,"4HKO","5HKO+"))))</f>
        <v/>
      </c>
      <c r="P701" s="3" t="inlineStr">
        <is>
          <t>Live from editable databases</t>
        </is>
      </c>
      <c r="Q701" s="3" t="inlineStr">
        <is>
          <t>SPECIES_PHANTUMP</t>
        </is>
      </c>
      <c r="R701" s="3" t="n">
        <v>28</v>
      </c>
    </row>
    <row r="702">
      <c r="A702" s="3">
        <f>XLOOKUP($Q702,'Threshold Summary'!$Y:$Y,'Threshold Summary'!$A:$A,"")</f>
        <v/>
      </c>
      <c r="B702" s="3">
        <f>XLOOKUP($Q702,'Threshold Summary'!$Y:$Y,'Threshold Summary'!$M:$M,"")</f>
        <v/>
      </c>
      <c r="C702" s="3">
        <f>XLOOKUP($Q702,'Threshold Summary'!$Y:$Y,'Threshold Summary'!$N:$N,"")</f>
        <v/>
      </c>
      <c r="D702" s="3">
        <f>IFERROR(INDEX(FILTER('Learnset Editor'!$D$2:$D,'Learnset Editor'!$A$2:$A=XLOOKUP($Q702,'Threshold Summary'!$Y:$Y,'Threshold Summary'!$K:$K,""),'Learnset Editor'!$C$2:$C&lt;=XLOOKUP($Q702,'Threshold Summary'!$Y:$Y,'Threshold Summary'!$L:$L,"")),$R702),"")</f>
        <v/>
      </c>
      <c r="E702" s="3">
        <f>XLOOKUP(D702,'Move Editor'!$B:$B,'Move Editor'!$C:$C,"")</f>
        <v/>
      </c>
      <c r="F702" s="3">
        <f>XLOOKUP(D702,'Move Editor'!$B:$B,'Move Editor'!$D:$D,"")</f>
        <v/>
      </c>
      <c r="G702" s="3">
        <f>XLOOKUP(D702,'Move Editor'!$B:$B,'Move Editor'!$E:$E,0)</f>
        <v/>
      </c>
      <c r="H702" s="3">
        <f>XLOOKUP(D702,'Move Editor'!$B:$B,'Move Editor'!$F:$F,0)</f>
        <v/>
      </c>
      <c r="I702" s="3">
        <f>(INDEX('Type Chart'!$B:$S,MATCH(E702,'Type Chart'!$A:$A,0),MATCH(XLOOKUP('Boss Editor'!$C$4,'Pokemon Editor'!$A:$A,'Pokemon Editor'!$C:$C,""),'Type Chart'!$B$1:$S$1,0))*IF(XLOOKUP('Boss Editor'!$C$4,'Pokemon Editor'!$A:$A,'Pokemon Editor'!$D:$D,"")="",1,INDEX('Type Chart'!$B:$S,MATCH(E702,'Type Chart'!$A:$A,0),MATCH(XLOOKUP('Boss Editor'!$C$4,'Pokemon Editor'!$A:$A,'Pokemon Editor'!$D:$D,""),'Type Chart'!$B$1:$S$1,0))))</f>
        <v/>
      </c>
      <c r="J702" s="3">
        <f>IFERROR(LET(mtype,XLOOKUP($D702,'Move Editor'!$B:$B,'Move Editor'!$C:$C,""),cat,XLOOKUP($D702,'Move Editor'!$B:$B,'Move Editor'!$D:$D,""),pow,XLOOKUP($D702,'Move Editor'!$B:$B,'Move Editor'!$E:$E,0),acc,XLOOKUP($D702,'Move Editor'!$B:$B,'Move Editor'!$F:$F,100),atk,IF(cat="Physical",FLOOR((FLOOR(((2*XLOOKUP(XLOOKUP($Q702,'Threshold Summary'!$Y:$Y,'Threshold Summary'!$K:$K,""),'Pokemon Editor'!$A:$A,'Pokemon Editor'!$F:$F,0)+31+FLOOR(XLOOKUP($Q702,'Threshold Summary'!$Y:$Y,'Threshold Summary'!$P:$P,"")/4))*XLOOKUP($Q702,'Threshold Summary'!$Y:$Y,'Threshold Summary'!$L:$L,""))/100)+5)*XLOOKUP(XLOOKUP($Q702,'Threshold Summary'!$Y:$Y,'Threshold Summary'!$M:$M,""),'Nature Editor'!$A:$A,'Nature Editor'!$B:$B,1)),FLOOR((FLOOR(((2*XLOOKUP(XLOOKUP($Q702,'Threshold Summary'!$Y:$Y,'Threshold Summary'!$K:$K,""),'Pokemon Editor'!$A:$A,'Pokemon Editor'!$H:$H,0)+31+FLOOR(XLOOKUP($Q702,'Threshold Summary'!$Y:$Y,'Threshold Summary'!$R:$R,"")/4))*XLOOKUP($Q702,'Threshold Summary'!$Y:$Y,'Threshold Summary'!$L:$L,""))/100)+5)*XLOOKUP(XLOOKUP($Q702,'Threshold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Editor'!$E:$E,1))),stab,IF(OR(mtype=XLOOKUP(XLOOKUP($Q702,'Threshold Summary'!$Y:$Y,'Threshold Summary'!$K:$K,""),'Pokemon Editor'!$A:$A,'Pokemon Editor'!$C:$C,""),mtype=XLOOKUP(XLOOKUP($Q702,'Threshold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Chart'!$B$1:$S$1,0)))),base,IF(OR(cat="Status",pow=0),0,FLOOR(FLOOR(FLOOR((2*XLOOKUP($Q702,'Threshold Summary'!$Y:$Y,'Threshold Summary'!$L:$L,"")/5+2)*pow*atk/def)/50)+2)),modifier,stab*eff,FLOOR(base*modifier*0.85)),0)</f>
        <v/>
      </c>
      <c r="K702" s="3">
        <f>IFERROR(LET(mtype,XLOOKUP($D702,'Move Editor'!$B:$B,'Move Editor'!$C:$C,""),cat,XLOOKUP($D702,'Move Editor'!$B:$B,'Move Editor'!$D:$D,""),pow,XLOOKUP($D702,'Move Editor'!$B:$B,'Move Editor'!$E:$E,0),acc,XLOOKUP($D702,'Move Editor'!$B:$B,'Move Editor'!$F:$F,100),atk,IF(cat="Physical",FLOOR((FLOOR(((2*XLOOKUP(XLOOKUP($Q702,'Threshold Summary'!$Y:$Y,'Threshold Summary'!$K:$K,""),'Pokemon Editor'!$A:$A,'Pokemon Editor'!$F:$F,0)+31+FLOOR(XLOOKUP($Q702,'Threshold Summary'!$Y:$Y,'Threshold Summary'!$P:$P,"")/4))*XLOOKUP($Q702,'Threshold Summary'!$Y:$Y,'Threshold Summary'!$L:$L,""))/100)+5)*XLOOKUP(XLOOKUP($Q702,'Threshold Summary'!$Y:$Y,'Threshold Summary'!$M:$M,""),'Nature Editor'!$A:$A,'Nature Editor'!$B:$B,1)),FLOOR((FLOOR(((2*XLOOKUP(XLOOKUP($Q702,'Threshold Summary'!$Y:$Y,'Threshold Summary'!$K:$K,""),'Pokemon Editor'!$A:$A,'Pokemon Editor'!$H:$H,0)+31+FLOOR(XLOOKUP($Q702,'Threshold Summary'!$Y:$Y,'Threshold Summary'!$R:$R,"")/4))*XLOOKUP($Q702,'Threshold Summary'!$Y:$Y,'Threshold Summary'!$L:$L,""))/100)+5)*XLOOKUP(XLOOKUP($Q702,'Threshold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Editor'!$E:$E,1))),stab,IF(OR(mtype=XLOOKUP(XLOOKUP($Q702,'Threshold Summary'!$Y:$Y,'Threshold Summary'!$K:$K,""),'Pokemon Editor'!$A:$A,'Pokemon Editor'!$C:$C,""),mtype=XLOOKUP(XLOOKUP($Q702,'Threshold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Chart'!$B$1:$S$1,0)))),base,IF(OR(cat="Status",pow=0),0,FLOOR(FLOOR(FLOOR((2*XLOOKUP($Q702,'Threshold Summary'!$Y:$Y,'Threshold Summary'!$L:$L,"")/5+2)*pow*atk/def)/50)+2)),modifier,stab*eff,FLOOR(base*modifier)),0)</f>
        <v/>
      </c>
      <c r="L702" s="3">
        <f>IFERROR(LET(mtype,XLOOKUP($D702,'Move Editor'!$B:$B,'Move Editor'!$C:$C,""),cat,XLOOKUP($D702,'Move Editor'!$B:$B,'Move Editor'!$D:$D,""),pow,XLOOKUP($D702,'Move Editor'!$B:$B,'Move Editor'!$E:$E,0),acc,XLOOKUP($D702,'Move Editor'!$B:$B,'Move Editor'!$F:$F,100),atk,IF(cat="Physical",FLOOR((FLOOR(((2*XLOOKUP(XLOOKUP($Q702,'Threshold Summary'!$Y:$Y,'Threshold Summary'!$K:$K,""),'Pokemon Editor'!$A:$A,'Pokemon Editor'!$F:$F,0)+31+FLOOR(XLOOKUP($Q702,'Threshold Summary'!$Y:$Y,'Threshold Summary'!$P:$P,"")/4))*XLOOKUP($Q702,'Threshold Summary'!$Y:$Y,'Threshold Summary'!$L:$L,""))/100)+5)*XLOOKUP(XLOOKUP($Q702,'Threshold Summary'!$Y:$Y,'Threshold Summary'!$M:$M,""),'Nature Editor'!$A:$A,'Nature Editor'!$B:$B,1)),FLOOR((FLOOR(((2*XLOOKUP(XLOOKUP($Q702,'Threshold Summary'!$Y:$Y,'Threshold Summary'!$K:$K,""),'Pokemon Editor'!$A:$A,'Pokemon Editor'!$H:$H,0)+31+FLOOR(XLOOKUP($Q702,'Threshold Summary'!$Y:$Y,'Threshold Summary'!$R:$R,"")/4))*XLOOKUP($Q702,'Threshold Summary'!$Y:$Y,'Threshold Summary'!$L:$L,""))/100)+5)*XLOOKUP(XLOOKUP($Q702,'Threshold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Editor'!$E:$E,1))),stab,IF(OR(mtype=XLOOKUP(XLOOKUP($Q702,'Threshold Summary'!$Y:$Y,'Threshold Summary'!$K:$K,""),'Pokemon Editor'!$A:$A,'Pokemon Editor'!$C:$C,""),mtype=XLOOKUP(XLOOKUP($Q702,'Threshold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Chart'!$B$1:$S$1,0)))),base,IF(OR(cat="Status",pow=0),0,FLOOR(FLOOR(FLOOR((2*XLOOKUP($Q702,'Threshold Summary'!$Y:$Y,'Threshold Summary'!$L:$L,"")/5+2)*pow*atk/def)/50)+2)),modifier,stab*eff,AVERAGE(ARRAYFORMULA(FLOOR(base*modifier*SEQUENCE(16,1,85,1)/100)))),0)</f>
        <v/>
      </c>
      <c r="M702" s="3">
        <f>IFERROR(LET(mtype,XLOOKUP($D702,'Move Editor'!$B:$B,'Move Editor'!$C:$C,""),cat,XLOOKUP($D702,'Move Editor'!$B:$B,'Move Editor'!$D:$D,""),pow,XLOOKUP($D702,'Move Editor'!$B:$B,'Move Editor'!$E:$E,0),acc,XLOOKUP($D702,'Move Editor'!$B:$B,'Move Editor'!$F:$F,100),atk,IF(cat="Physical",FLOOR((FLOOR(((2*XLOOKUP(XLOOKUP($Q702,'Threshold Summary'!$Y:$Y,'Threshold Summary'!$K:$K,""),'Pokemon Editor'!$A:$A,'Pokemon Editor'!$F:$F,0)+31+FLOOR(XLOOKUP($Q702,'Threshold Summary'!$Y:$Y,'Threshold Summary'!$P:$P,"")/4))*XLOOKUP($Q702,'Threshold Summary'!$Y:$Y,'Threshold Summary'!$L:$L,""))/100)+5)*XLOOKUP(XLOOKUP($Q702,'Threshold Summary'!$Y:$Y,'Threshold Summary'!$M:$M,""),'Nature Editor'!$A:$A,'Nature Editor'!$B:$B,1)),FLOOR((FLOOR(((2*XLOOKUP(XLOOKUP($Q702,'Threshold Summary'!$Y:$Y,'Threshold Summary'!$K:$K,""),'Pokemon Editor'!$A:$A,'Pokemon Editor'!$H:$H,0)+31+FLOOR(XLOOKUP($Q702,'Threshold Summary'!$Y:$Y,'Threshold Summary'!$R:$R,"")/4))*XLOOKUP($Q702,'Threshold Summary'!$Y:$Y,'Threshold Summary'!$L:$L,""))/100)+5)*XLOOKUP(XLOOKUP($Q702,'Threshold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Editor'!$E:$E,1))),stab,IF(OR(mtype=XLOOKUP(XLOOKUP($Q702,'Threshold Summary'!$Y:$Y,'Threshold Summary'!$K:$K,""),'Pokemon Editor'!$A:$A,'Pokemon Editor'!$C:$C,""),mtype=XLOOKUP(XLOOKUP($Q702,'Threshold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Chart'!$B$1:$S$1,0)))),base,IF(OR(cat="Status",pow=0),0,FLOOR(FLOOR(FLOOR((2*XLOOKUP($Q702,'Threshold Summary'!$Y:$Y,'Threshold Summary'!$L:$L,"")/5+2)*pow*atk/def)/50)+2)),modifier,stab*eff,AVERAGE(ARRAYFORMULA(FLOOR(base*modifier*SEQUENCE(16,1,85,1)/100)))*MIN(1,acc/100)),0)</f>
        <v/>
      </c>
      <c r="N702" s="4">
        <f>IFERROR(LET(mtype,XLOOKUP($D702,'Move Editor'!$B:$B,'Move Editor'!$C:$C,""),cat,XLOOKUP($D702,'Move Editor'!$B:$B,'Move Editor'!$D:$D,""),pow,XLOOKUP($D702,'Move Editor'!$B:$B,'Move Editor'!$E:$E,0),acc,XLOOKUP($D702,'Move Editor'!$B:$B,'Move Editor'!$F:$F,100),atk,IF(cat="Physical",FLOOR((FLOOR(((2*XLOOKUP(XLOOKUP($Q702,'Threshold Summary'!$Y:$Y,'Threshold Summary'!$K:$K,""),'Pokemon Editor'!$A:$A,'Pokemon Editor'!$F:$F,0)+31+FLOOR(XLOOKUP($Q702,'Threshold Summary'!$Y:$Y,'Threshold Summary'!$P:$P,"")/4))*XLOOKUP($Q702,'Threshold Summary'!$Y:$Y,'Threshold Summary'!$L:$L,""))/100)+5)*XLOOKUP(XLOOKUP($Q702,'Threshold Summary'!$Y:$Y,'Threshold Summary'!$M:$M,""),'Nature Editor'!$A:$A,'Nature Editor'!$B:$B,1)),FLOOR((FLOOR(((2*XLOOKUP(XLOOKUP($Q702,'Threshold Summary'!$Y:$Y,'Threshold Summary'!$K:$K,""),'Pokemon Editor'!$A:$A,'Pokemon Editor'!$H:$H,0)+31+FLOOR(XLOOKUP($Q702,'Threshold Summary'!$Y:$Y,'Threshold Summary'!$R:$R,"")/4))*XLOOKUP($Q702,'Threshold Summary'!$Y:$Y,'Threshold Summary'!$L:$L,""))/100)+5)*XLOOKUP(XLOOKUP($Q702,'Threshold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Editor'!$E:$E,1))),stab,IF(OR(mtype=XLOOKUP(XLOOKUP($Q702,'Threshold Summary'!$Y:$Y,'Threshold Summary'!$K:$K,""),'Pokemon Editor'!$A:$A,'Pokemon Editor'!$C:$C,""),mtype=XLOOKUP(XLOOKUP($Q702,'Threshold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Chart'!$B$1:$S$1,0)))),base,IF(OR(cat="Status",pow=0),0,FLOOR(FLOOR(FLOOR((2*XLOOKUP($Q702,'Threshold Summary'!$Y:$Y,'Threshold Summary'!$L:$L,"")/5+2)*pow*atk/def)/50)+2)),modifier,stab*eff,AVERAGE(ARRAYFORMULA(FLOOR(base*modifier*SEQUENCE(16,1,85,1)/100)))/(FLOOR(((2*XLOOKUP('Boss Editor'!$C$4,'Pokemon Editor'!$A:$A,'Pokemon Editor'!$E:$E,0)+31+FLOOR('Boss Editor'!$G$4/4))*'Boss Editor'!$D$4)/100)+'Boss Editor'!$D$4+10)),0)</f>
        <v/>
      </c>
      <c r="O702" s="3">
        <f>IF(N702&gt;=1,"OHKO",IF(N702&gt;=0.5,"2HKO",IF(N702&gt;=0.333,"3HKO",IF(N702&gt;=0.25,"4HKO","5HKO+"))))</f>
        <v/>
      </c>
      <c r="P702" s="3" t="inlineStr">
        <is>
          <t>Live from editable databases</t>
        </is>
      </c>
      <c r="Q702" s="3" t="inlineStr">
        <is>
          <t>SPECIES_PHANTUMP</t>
        </is>
      </c>
      <c r="R702" s="3" t="n">
        <v>29</v>
      </c>
    </row>
    <row r="703">
      <c r="A703" s="3">
        <f>XLOOKUP($Q703,'Threshold Summary'!$Y:$Y,'Threshold Summary'!$A:$A,"")</f>
        <v/>
      </c>
      <c r="B703" s="3">
        <f>XLOOKUP($Q703,'Threshold Summary'!$Y:$Y,'Threshold Summary'!$M:$M,"")</f>
        <v/>
      </c>
      <c r="C703" s="3">
        <f>XLOOKUP($Q703,'Threshold Summary'!$Y:$Y,'Threshold Summary'!$N:$N,"")</f>
        <v/>
      </c>
      <c r="D703" s="3">
        <f>IFERROR(INDEX(FILTER('Learnset Editor'!$D$2:$D,'Learnset Editor'!$A$2:$A=XLOOKUP($Q703,'Threshold Summary'!$Y:$Y,'Threshold Summary'!$K:$K,""),'Learnset Editor'!$C$2:$C&lt;=XLOOKUP($Q703,'Threshold Summary'!$Y:$Y,'Threshold Summary'!$L:$L,"")),$R703),"")</f>
        <v/>
      </c>
      <c r="E703" s="3">
        <f>XLOOKUP(D703,'Move Editor'!$B:$B,'Move Editor'!$C:$C,"")</f>
        <v/>
      </c>
      <c r="F703" s="3">
        <f>XLOOKUP(D703,'Move Editor'!$B:$B,'Move Editor'!$D:$D,"")</f>
        <v/>
      </c>
      <c r="G703" s="3">
        <f>XLOOKUP(D703,'Move Editor'!$B:$B,'Move Editor'!$E:$E,0)</f>
        <v/>
      </c>
      <c r="H703" s="3">
        <f>XLOOKUP(D703,'Move Editor'!$B:$B,'Move Editor'!$F:$F,0)</f>
        <v/>
      </c>
      <c r="I703" s="3">
        <f>(INDEX('Type Chart'!$B:$S,MATCH(E703,'Type Chart'!$A:$A,0),MATCH(XLOOKUP('Boss Editor'!$C$4,'Pokemon Editor'!$A:$A,'Pokemon Editor'!$C:$C,""),'Type Chart'!$B$1:$S$1,0))*IF(XLOOKUP('Boss Editor'!$C$4,'Pokemon Editor'!$A:$A,'Pokemon Editor'!$D:$D,"")="",1,INDEX('Type Chart'!$B:$S,MATCH(E703,'Type Chart'!$A:$A,0),MATCH(XLOOKUP('Boss Editor'!$C$4,'Pokemon Editor'!$A:$A,'Pokemon Editor'!$D:$D,""),'Type Chart'!$B$1:$S$1,0))))</f>
        <v/>
      </c>
      <c r="J703" s="3">
        <f>IFERROR(LET(mtype,XLOOKUP($D703,'Move Editor'!$B:$B,'Move Editor'!$C:$C,""),cat,XLOOKUP($D703,'Move Editor'!$B:$B,'Move Editor'!$D:$D,""),pow,XLOOKUP($D703,'Move Editor'!$B:$B,'Move Editor'!$E:$E,0),acc,XLOOKUP($D703,'Move Editor'!$B:$B,'Move Editor'!$F:$F,100),atk,IF(cat="Physical",FLOOR((FLOOR(((2*XLOOKUP(XLOOKUP($Q703,'Threshold Summary'!$Y:$Y,'Threshold Summary'!$K:$K,""),'Pokemon Editor'!$A:$A,'Pokemon Editor'!$F:$F,0)+31+FLOOR(XLOOKUP($Q703,'Threshold Summary'!$Y:$Y,'Threshold Summary'!$P:$P,"")/4))*XLOOKUP($Q703,'Threshold Summary'!$Y:$Y,'Threshold Summary'!$L:$L,""))/100)+5)*XLOOKUP(XLOOKUP($Q703,'Threshold Summary'!$Y:$Y,'Threshold Summary'!$M:$M,""),'Nature Editor'!$A:$A,'Nature Editor'!$B:$B,1)),FLOOR((FLOOR(((2*XLOOKUP(XLOOKUP($Q703,'Threshold Summary'!$Y:$Y,'Threshold Summary'!$K:$K,""),'Pokemon Editor'!$A:$A,'Pokemon Editor'!$H:$H,0)+31+FLOOR(XLOOKUP($Q703,'Threshold Summary'!$Y:$Y,'Threshold Summary'!$R:$R,"")/4))*XLOOKUP($Q703,'Threshold Summary'!$Y:$Y,'Threshold Summary'!$L:$L,""))/100)+5)*XLOOKUP(XLOOKUP($Q703,'Threshold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Editor'!$E:$E,1))),stab,IF(OR(mtype=XLOOKUP(XLOOKUP($Q703,'Threshold Summary'!$Y:$Y,'Threshold Summary'!$K:$K,""),'Pokemon Editor'!$A:$A,'Pokemon Editor'!$C:$C,""),mtype=XLOOKUP(XLOOKUP($Q703,'Threshold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Chart'!$B$1:$S$1,0)))),base,IF(OR(cat="Status",pow=0),0,FLOOR(FLOOR(FLOOR((2*XLOOKUP($Q703,'Threshold Summary'!$Y:$Y,'Threshold Summary'!$L:$L,"")/5+2)*pow*atk/def)/50)+2)),modifier,stab*eff,FLOOR(base*modifier*0.85)),0)</f>
        <v/>
      </c>
      <c r="K703" s="3">
        <f>IFERROR(LET(mtype,XLOOKUP($D703,'Move Editor'!$B:$B,'Move Editor'!$C:$C,""),cat,XLOOKUP($D703,'Move Editor'!$B:$B,'Move Editor'!$D:$D,""),pow,XLOOKUP($D703,'Move Editor'!$B:$B,'Move Editor'!$E:$E,0),acc,XLOOKUP($D703,'Move Editor'!$B:$B,'Move Editor'!$F:$F,100),atk,IF(cat="Physical",FLOOR((FLOOR(((2*XLOOKUP(XLOOKUP($Q703,'Threshold Summary'!$Y:$Y,'Threshold Summary'!$K:$K,""),'Pokemon Editor'!$A:$A,'Pokemon Editor'!$F:$F,0)+31+FLOOR(XLOOKUP($Q703,'Threshold Summary'!$Y:$Y,'Threshold Summary'!$P:$P,"")/4))*XLOOKUP($Q703,'Threshold Summary'!$Y:$Y,'Threshold Summary'!$L:$L,""))/100)+5)*XLOOKUP(XLOOKUP($Q703,'Threshold Summary'!$Y:$Y,'Threshold Summary'!$M:$M,""),'Nature Editor'!$A:$A,'Nature Editor'!$B:$B,1)),FLOOR((FLOOR(((2*XLOOKUP(XLOOKUP($Q703,'Threshold Summary'!$Y:$Y,'Threshold Summary'!$K:$K,""),'Pokemon Editor'!$A:$A,'Pokemon Editor'!$H:$H,0)+31+FLOOR(XLOOKUP($Q703,'Threshold Summary'!$Y:$Y,'Threshold Summary'!$R:$R,"")/4))*XLOOKUP($Q703,'Threshold Summary'!$Y:$Y,'Threshold Summary'!$L:$L,""))/100)+5)*XLOOKUP(XLOOKUP($Q703,'Threshold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Editor'!$E:$E,1))),stab,IF(OR(mtype=XLOOKUP(XLOOKUP($Q703,'Threshold Summary'!$Y:$Y,'Threshold Summary'!$K:$K,""),'Pokemon Editor'!$A:$A,'Pokemon Editor'!$C:$C,""),mtype=XLOOKUP(XLOOKUP($Q703,'Threshold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Chart'!$B$1:$S$1,0)))),base,IF(OR(cat="Status",pow=0),0,FLOOR(FLOOR(FLOOR((2*XLOOKUP($Q703,'Threshold Summary'!$Y:$Y,'Threshold Summary'!$L:$L,"")/5+2)*pow*atk/def)/50)+2)),modifier,stab*eff,FLOOR(base*modifier)),0)</f>
        <v/>
      </c>
      <c r="L703" s="3">
        <f>IFERROR(LET(mtype,XLOOKUP($D703,'Move Editor'!$B:$B,'Move Editor'!$C:$C,""),cat,XLOOKUP($D703,'Move Editor'!$B:$B,'Move Editor'!$D:$D,""),pow,XLOOKUP($D703,'Move Editor'!$B:$B,'Move Editor'!$E:$E,0),acc,XLOOKUP($D703,'Move Editor'!$B:$B,'Move Editor'!$F:$F,100),atk,IF(cat="Physical",FLOOR((FLOOR(((2*XLOOKUP(XLOOKUP($Q703,'Threshold Summary'!$Y:$Y,'Threshold Summary'!$K:$K,""),'Pokemon Editor'!$A:$A,'Pokemon Editor'!$F:$F,0)+31+FLOOR(XLOOKUP($Q703,'Threshold Summary'!$Y:$Y,'Threshold Summary'!$P:$P,"")/4))*XLOOKUP($Q703,'Threshold Summary'!$Y:$Y,'Threshold Summary'!$L:$L,""))/100)+5)*XLOOKUP(XLOOKUP($Q703,'Threshold Summary'!$Y:$Y,'Threshold Summary'!$M:$M,""),'Nature Editor'!$A:$A,'Nature Editor'!$B:$B,1)),FLOOR((FLOOR(((2*XLOOKUP(XLOOKUP($Q703,'Threshold Summary'!$Y:$Y,'Threshold Summary'!$K:$K,""),'Pokemon Editor'!$A:$A,'Pokemon Editor'!$H:$H,0)+31+FLOOR(XLOOKUP($Q703,'Threshold Summary'!$Y:$Y,'Threshold Summary'!$R:$R,"")/4))*XLOOKUP($Q703,'Threshold Summary'!$Y:$Y,'Threshold Summary'!$L:$L,""))/100)+5)*XLOOKUP(XLOOKUP($Q703,'Threshold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Editor'!$E:$E,1))),stab,IF(OR(mtype=XLOOKUP(XLOOKUP($Q703,'Threshold Summary'!$Y:$Y,'Threshold Summary'!$K:$K,""),'Pokemon Editor'!$A:$A,'Pokemon Editor'!$C:$C,""),mtype=XLOOKUP(XLOOKUP($Q703,'Threshold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Chart'!$B$1:$S$1,0)))),base,IF(OR(cat="Status",pow=0),0,FLOOR(FLOOR(FLOOR((2*XLOOKUP($Q703,'Threshold Summary'!$Y:$Y,'Threshold Summary'!$L:$L,"")/5+2)*pow*atk/def)/50)+2)),modifier,stab*eff,AVERAGE(ARRAYFORMULA(FLOOR(base*modifier*SEQUENCE(16,1,85,1)/100)))),0)</f>
        <v/>
      </c>
      <c r="M703" s="3">
        <f>IFERROR(LET(mtype,XLOOKUP($D703,'Move Editor'!$B:$B,'Move Editor'!$C:$C,""),cat,XLOOKUP($D703,'Move Editor'!$B:$B,'Move Editor'!$D:$D,""),pow,XLOOKUP($D703,'Move Editor'!$B:$B,'Move Editor'!$E:$E,0),acc,XLOOKUP($D703,'Move Editor'!$B:$B,'Move Editor'!$F:$F,100),atk,IF(cat="Physical",FLOOR((FLOOR(((2*XLOOKUP(XLOOKUP($Q703,'Threshold Summary'!$Y:$Y,'Threshold Summary'!$K:$K,""),'Pokemon Editor'!$A:$A,'Pokemon Editor'!$F:$F,0)+31+FLOOR(XLOOKUP($Q703,'Threshold Summary'!$Y:$Y,'Threshold Summary'!$P:$P,"")/4))*XLOOKUP($Q703,'Threshold Summary'!$Y:$Y,'Threshold Summary'!$L:$L,""))/100)+5)*XLOOKUP(XLOOKUP($Q703,'Threshold Summary'!$Y:$Y,'Threshold Summary'!$M:$M,""),'Nature Editor'!$A:$A,'Nature Editor'!$B:$B,1)),FLOOR((FLOOR(((2*XLOOKUP(XLOOKUP($Q703,'Threshold Summary'!$Y:$Y,'Threshold Summary'!$K:$K,""),'Pokemon Editor'!$A:$A,'Pokemon Editor'!$H:$H,0)+31+FLOOR(XLOOKUP($Q703,'Threshold Summary'!$Y:$Y,'Threshold Summary'!$R:$R,"")/4))*XLOOKUP($Q703,'Threshold Summary'!$Y:$Y,'Threshold Summary'!$L:$L,""))/100)+5)*XLOOKUP(XLOOKUP($Q703,'Threshold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Editor'!$E:$E,1))),stab,IF(OR(mtype=XLOOKUP(XLOOKUP($Q703,'Threshold Summary'!$Y:$Y,'Threshold Summary'!$K:$K,""),'Pokemon Editor'!$A:$A,'Pokemon Editor'!$C:$C,""),mtype=XLOOKUP(XLOOKUP($Q703,'Threshold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Chart'!$B$1:$S$1,0)))),base,IF(OR(cat="Status",pow=0),0,FLOOR(FLOOR(FLOOR((2*XLOOKUP($Q703,'Threshold Summary'!$Y:$Y,'Threshold Summary'!$L:$L,"")/5+2)*pow*atk/def)/50)+2)),modifier,stab*eff,AVERAGE(ARRAYFORMULA(FLOOR(base*modifier*SEQUENCE(16,1,85,1)/100)))*MIN(1,acc/100)),0)</f>
        <v/>
      </c>
      <c r="N703" s="4">
        <f>IFERROR(LET(mtype,XLOOKUP($D703,'Move Editor'!$B:$B,'Move Editor'!$C:$C,""),cat,XLOOKUP($D703,'Move Editor'!$B:$B,'Move Editor'!$D:$D,""),pow,XLOOKUP($D703,'Move Editor'!$B:$B,'Move Editor'!$E:$E,0),acc,XLOOKUP($D703,'Move Editor'!$B:$B,'Move Editor'!$F:$F,100),atk,IF(cat="Physical",FLOOR((FLOOR(((2*XLOOKUP(XLOOKUP($Q703,'Threshold Summary'!$Y:$Y,'Threshold Summary'!$K:$K,""),'Pokemon Editor'!$A:$A,'Pokemon Editor'!$F:$F,0)+31+FLOOR(XLOOKUP($Q703,'Threshold Summary'!$Y:$Y,'Threshold Summary'!$P:$P,"")/4))*XLOOKUP($Q703,'Threshold Summary'!$Y:$Y,'Threshold Summary'!$L:$L,""))/100)+5)*XLOOKUP(XLOOKUP($Q703,'Threshold Summary'!$Y:$Y,'Threshold Summary'!$M:$M,""),'Nature Editor'!$A:$A,'Nature Editor'!$B:$B,1)),FLOOR((FLOOR(((2*XLOOKUP(XLOOKUP($Q703,'Threshold Summary'!$Y:$Y,'Threshold Summary'!$K:$K,""),'Pokemon Editor'!$A:$A,'Pokemon Editor'!$H:$H,0)+31+FLOOR(XLOOKUP($Q703,'Threshold Summary'!$Y:$Y,'Threshold Summary'!$R:$R,"")/4))*XLOOKUP($Q703,'Threshold Summary'!$Y:$Y,'Threshold Summary'!$L:$L,""))/100)+5)*XLOOKUP(XLOOKUP($Q703,'Threshold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Editor'!$E:$E,1))),stab,IF(OR(mtype=XLOOKUP(XLOOKUP($Q703,'Threshold Summary'!$Y:$Y,'Threshold Summary'!$K:$K,""),'Pokemon Editor'!$A:$A,'Pokemon Editor'!$C:$C,""),mtype=XLOOKUP(XLOOKUP($Q703,'Threshold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Chart'!$B$1:$S$1,0)))),base,IF(OR(cat="Status",pow=0),0,FLOOR(FLOOR(FLOOR((2*XLOOKUP($Q703,'Threshold Summary'!$Y:$Y,'Threshold Summary'!$L:$L,"")/5+2)*pow*atk/def)/50)+2)),modifier,stab*eff,AVERAGE(ARRAYFORMULA(FLOOR(base*modifier*SEQUENCE(16,1,85,1)/100)))/(FLOOR(((2*XLOOKUP('Boss Editor'!$C$4,'Pokemon Editor'!$A:$A,'Pokemon Editor'!$E:$E,0)+31+FLOOR('Boss Editor'!$G$4/4))*'Boss Editor'!$D$4)/100)+'Boss Editor'!$D$4+10)),0)</f>
        <v/>
      </c>
      <c r="O703" s="3">
        <f>IF(N703&gt;=1,"OHKO",IF(N703&gt;=0.5,"2HKO",IF(N703&gt;=0.333,"3HKO",IF(N703&gt;=0.25,"4HKO","5HKO+"))))</f>
        <v/>
      </c>
      <c r="P703" s="3" t="inlineStr">
        <is>
          <t>Live from editable databases</t>
        </is>
      </c>
      <c r="Q703" s="3" t="inlineStr">
        <is>
          <t>SPECIES_PHANTUMP</t>
        </is>
      </c>
      <c r="R703" s="3" t="n">
        <v>30</v>
      </c>
    </row>
    <row r="704">
      <c r="A704" s="3">
        <f>XLOOKUP($Q704,'Threshold Summary'!$Y:$Y,'Threshold Summary'!$A:$A,"")</f>
        <v/>
      </c>
      <c r="B704" s="3">
        <f>XLOOKUP($Q704,'Threshold Summary'!$Y:$Y,'Threshold Summary'!$M:$M,"")</f>
        <v/>
      </c>
      <c r="C704" s="3">
        <f>XLOOKUP($Q704,'Threshold Summary'!$Y:$Y,'Threshold Summary'!$N:$N,"")</f>
        <v/>
      </c>
      <c r="D704" s="3">
        <f>IFERROR(INDEX(FILTER('Learnset Editor'!$D$2:$D,'Learnset Editor'!$A$2:$A=XLOOKUP($Q704,'Threshold Summary'!$Y:$Y,'Threshold Summary'!$K:$K,""),'Learnset Editor'!$C$2:$C&lt;=XLOOKUP($Q704,'Threshold Summary'!$Y:$Y,'Threshold Summary'!$L:$L,"")),$R704),"")</f>
        <v/>
      </c>
      <c r="E704" s="3">
        <f>XLOOKUP(D704,'Move Editor'!$B:$B,'Move Editor'!$C:$C,"")</f>
        <v/>
      </c>
      <c r="F704" s="3">
        <f>XLOOKUP(D704,'Move Editor'!$B:$B,'Move Editor'!$D:$D,"")</f>
        <v/>
      </c>
      <c r="G704" s="3">
        <f>XLOOKUP(D704,'Move Editor'!$B:$B,'Move Editor'!$E:$E,0)</f>
        <v/>
      </c>
      <c r="H704" s="3">
        <f>XLOOKUP(D704,'Move Editor'!$B:$B,'Move Editor'!$F:$F,0)</f>
        <v/>
      </c>
      <c r="I704" s="3">
        <f>(INDEX('Type Chart'!$B:$S,MATCH(E704,'Type Chart'!$A:$A,0),MATCH(XLOOKUP('Boss Editor'!$C$4,'Pokemon Editor'!$A:$A,'Pokemon Editor'!$C:$C,""),'Type Chart'!$B$1:$S$1,0))*IF(XLOOKUP('Boss Editor'!$C$4,'Pokemon Editor'!$A:$A,'Pokemon Editor'!$D:$D,"")="",1,INDEX('Type Chart'!$B:$S,MATCH(E704,'Type Chart'!$A:$A,0),MATCH(XLOOKUP('Boss Editor'!$C$4,'Pokemon Editor'!$A:$A,'Pokemon Editor'!$D:$D,""),'Type Chart'!$B$1:$S$1,0))))</f>
        <v/>
      </c>
      <c r="J704" s="3">
        <f>IFERROR(LET(mtype,XLOOKUP($D704,'Move Editor'!$B:$B,'Move Editor'!$C:$C,""),cat,XLOOKUP($D704,'Move Editor'!$B:$B,'Move Editor'!$D:$D,""),pow,XLOOKUP($D704,'Move Editor'!$B:$B,'Move Editor'!$E:$E,0),acc,XLOOKUP($D704,'Move Editor'!$B:$B,'Move Editor'!$F:$F,100),atk,IF(cat="Physical",FLOOR((FLOOR(((2*XLOOKUP(XLOOKUP($Q704,'Threshold Summary'!$Y:$Y,'Threshold Summary'!$K:$K,""),'Pokemon Editor'!$A:$A,'Pokemon Editor'!$F:$F,0)+31+FLOOR(XLOOKUP($Q704,'Threshold Summary'!$Y:$Y,'Threshold Summary'!$P:$P,"")/4))*XLOOKUP($Q704,'Threshold Summary'!$Y:$Y,'Threshold Summary'!$L:$L,""))/100)+5)*XLOOKUP(XLOOKUP($Q704,'Threshold Summary'!$Y:$Y,'Threshold Summary'!$M:$M,""),'Nature Editor'!$A:$A,'Nature Editor'!$B:$B,1)),FLOOR((FLOOR(((2*XLOOKUP(XLOOKUP($Q704,'Threshold Summary'!$Y:$Y,'Threshold Summary'!$K:$K,""),'Pokemon Editor'!$A:$A,'Pokemon Editor'!$H:$H,0)+31+FLOOR(XLOOKUP($Q704,'Threshold Summary'!$Y:$Y,'Threshold Summary'!$R:$R,"")/4))*XLOOKUP($Q704,'Threshold Summary'!$Y:$Y,'Threshold Summary'!$L:$L,""))/100)+5)*XLOOKUP(XLOOKUP($Q704,'Threshold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Editor'!$E:$E,1))),stab,IF(OR(mtype=XLOOKUP(XLOOKUP($Q704,'Threshold Summary'!$Y:$Y,'Threshold Summary'!$K:$K,""),'Pokemon Editor'!$A:$A,'Pokemon Editor'!$C:$C,""),mtype=XLOOKUP(XLOOKUP($Q704,'Threshold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Chart'!$B$1:$S$1,0)))),base,IF(OR(cat="Status",pow=0),0,FLOOR(FLOOR(FLOOR((2*XLOOKUP($Q704,'Threshold Summary'!$Y:$Y,'Threshold Summary'!$L:$L,"")/5+2)*pow*atk/def)/50)+2)),modifier,stab*eff,FLOOR(base*modifier*0.85)),0)</f>
        <v/>
      </c>
      <c r="K704" s="3">
        <f>IFERROR(LET(mtype,XLOOKUP($D704,'Move Editor'!$B:$B,'Move Editor'!$C:$C,""),cat,XLOOKUP($D704,'Move Editor'!$B:$B,'Move Editor'!$D:$D,""),pow,XLOOKUP($D704,'Move Editor'!$B:$B,'Move Editor'!$E:$E,0),acc,XLOOKUP($D704,'Move Editor'!$B:$B,'Move Editor'!$F:$F,100),atk,IF(cat="Physical",FLOOR((FLOOR(((2*XLOOKUP(XLOOKUP($Q704,'Threshold Summary'!$Y:$Y,'Threshold Summary'!$K:$K,""),'Pokemon Editor'!$A:$A,'Pokemon Editor'!$F:$F,0)+31+FLOOR(XLOOKUP($Q704,'Threshold Summary'!$Y:$Y,'Threshold Summary'!$P:$P,"")/4))*XLOOKUP($Q704,'Threshold Summary'!$Y:$Y,'Threshold Summary'!$L:$L,""))/100)+5)*XLOOKUP(XLOOKUP($Q704,'Threshold Summary'!$Y:$Y,'Threshold Summary'!$M:$M,""),'Nature Editor'!$A:$A,'Nature Editor'!$B:$B,1)),FLOOR((FLOOR(((2*XLOOKUP(XLOOKUP($Q704,'Threshold Summary'!$Y:$Y,'Threshold Summary'!$K:$K,""),'Pokemon Editor'!$A:$A,'Pokemon Editor'!$H:$H,0)+31+FLOOR(XLOOKUP($Q704,'Threshold Summary'!$Y:$Y,'Threshold Summary'!$R:$R,"")/4))*XLOOKUP($Q704,'Threshold Summary'!$Y:$Y,'Threshold Summary'!$L:$L,""))/100)+5)*XLOOKUP(XLOOKUP($Q704,'Threshold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Editor'!$E:$E,1))),stab,IF(OR(mtype=XLOOKUP(XLOOKUP($Q704,'Threshold Summary'!$Y:$Y,'Threshold Summary'!$K:$K,""),'Pokemon Editor'!$A:$A,'Pokemon Editor'!$C:$C,""),mtype=XLOOKUP(XLOOKUP($Q704,'Threshold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Chart'!$B$1:$S$1,0)))),base,IF(OR(cat="Status",pow=0),0,FLOOR(FLOOR(FLOOR((2*XLOOKUP($Q704,'Threshold Summary'!$Y:$Y,'Threshold Summary'!$L:$L,"")/5+2)*pow*atk/def)/50)+2)),modifier,stab*eff,FLOOR(base*modifier)),0)</f>
        <v/>
      </c>
      <c r="L704" s="3">
        <f>IFERROR(LET(mtype,XLOOKUP($D704,'Move Editor'!$B:$B,'Move Editor'!$C:$C,""),cat,XLOOKUP($D704,'Move Editor'!$B:$B,'Move Editor'!$D:$D,""),pow,XLOOKUP($D704,'Move Editor'!$B:$B,'Move Editor'!$E:$E,0),acc,XLOOKUP($D704,'Move Editor'!$B:$B,'Move Editor'!$F:$F,100),atk,IF(cat="Physical",FLOOR((FLOOR(((2*XLOOKUP(XLOOKUP($Q704,'Threshold Summary'!$Y:$Y,'Threshold Summary'!$K:$K,""),'Pokemon Editor'!$A:$A,'Pokemon Editor'!$F:$F,0)+31+FLOOR(XLOOKUP($Q704,'Threshold Summary'!$Y:$Y,'Threshold Summary'!$P:$P,"")/4))*XLOOKUP($Q704,'Threshold Summary'!$Y:$Y,'Threshold Summary'!$L:$L,""))/100)+5)*XLOOKUP(XLOOKUP($Q704,'Threshold Summary'!$Y:$Y,'Threshold Summary'!$M:$M,""),'Nature Editor'!$A:$A,'Nature Editor'!$B:$B,1)),FLOOR((FLOOR(((2*XLOOKUP(XLOOKUP($Q704,'Threshold Summary'!$Y:$Y,'Threshold Summary'!$K:$K,""),'Pokemon Editor'!$A:$A,'Pokemon Editor'!$H:$H,0)+31+FLOOR(XLOOKUP($Q704,'Threshold Summary'!$Y:$Y,'Threshold Summary'!$R:$R,"")/4))*XLOOKUP($Q704,'Threshold Summary'!$Y:$Y,'Threshold Summary'!$L:$L,""))/100)+5)*XLOOKUP(XLOOKUP($Q704,'Threshold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Editor'!$E:$E,1))),stab,IF(OR(mtype=XLOOKUP(XLOOKUP($Q704,'Threshold Summary'!$Y:$Y,'Threshold Summary'!$K:$K,""),'Pokemon Editor'!$A:$A,'Pokemon Editor'!$C:$C,""),mtype=XLOOKUP(XLOOKUP($Q704,'Threshold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Chart'!$B$1:$S$1,0)))),base,IF(OR(cat="Status",pow=0),0,FLOOR(FLOOR(FLOOR((2*XLOOKUP($Q704,'Threshold Summary'!$Y:$Y,'Threshold Summary'!$L:$L,"")/5+2)*pow*atk/def)/50)+2)),modifier,stab*eff,AVERAGE(ARRAYFORMULA(FLOOR(base*modifier*SEQUENCE(16,1,85,1)/100)))),0)</f>
        <v/>
      </c>
      <c r="M704" s="3">
        <f>IFERROR(LET(mtype,XLOOKUP($D704,'Move Editor'!$B:$B,'Move Editor'!$C:$C,""),cat,XLOOKUP($D704,'Move Editor'!$B:$B,'Move Editor'!$D:$D,""),pow,XLOOKUP($D704,'Move Editor'!$B:$B,'Move Editor'!$E:$E,0),acc,XLOOKUP($D704,'Move Editor'!$B:$B,'Move Editor'!$F:$F,100),atk,IF(cat="Physical",FLOOR((FLOOR(((2*XLOOKUP(XLOOKUP($Q704,'Threshold Summary'!$Y:$Y,'Threshold Summary'!$K:$K,""),'Pokemon Editor'!$A:$A,'Pokemon Editor'!$F:$F,0)+31+FLOOR(XLOOKUP($Q704,'Threshold Summary'!$Y:$Y,'Threshold Summary'!$P:$P,"")/4))*XLOOKUP($Q704,'Threshold Summary'!$Y:$Y,'Threshold Summary'!$L:$L,""))/100)+5)*XLOOKUP(XLOOKUP($Q704,'Threshold Summary'!$Y:$Y,'Threshold Summary'!$M:$M,""),'Nature Editor'!$A:$A,'Nature Editor'!$B:$B,1)),FLOOR((FLOOR(((2*XLOOKUP(XLOOKUP($Q704,'Threshold Summary'!$Y:$Y,'Threshold Summary'!$K:$K,""),'Pokemon Editor'!$A:$A,'Pokemon Editor'!$H:$H,0)+31+FLOOR(XLOOKUP($Q704,'Threshold Summary'!$Y:$Y,'Threshold Summary'!$R:$R,"")/4))*XLOOKUP($Q704,'Threshold Summary'!$Y:$Y,'Threshold Summary'!$L:$L,""))/100)+5)*XLOOKUP(XLOOKUP($Q704,'Threshold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Editor'!$E:$E,1))),stab,IF(OR(mtype=XLOOKUP(XLOOKUP($Q704,'Threshold Summary'!$Y:$Y,'Threshold Summary'!$K:$K,""),'Pokemon Editor'!$A:$A,'Pokemon Editor'!$C:$C,""),mtype=XLOOKUP(XLOOKUP($Q704,'Threshold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Chart'!$B$1:$S$1,0)))),base,IF(OR(cat="Status",pow=0),0,FLOOR(FLOOR(FLOOR((2*XLOOKUP($Q704,'Threshold Summary'!$Y:$Y,'Threshold Summary'!$L:$L,"")/5+2)*pow*atk/def)/50)+2)),modifier,stab*eff,AVERAGE(ARRAYFORMULA(FLOOR(base*modifier*SEQUENCE(16,1,85,1)/100)))*MIN(1,acc/100)),0)</f>
        <v/>
      </c>
      <c r="N704" s="4">
        <f>IFERROR(LET(mtype,XLOOKUP($D704,'Move Editor'!$B:$B,'Move Editor'!$C:$C,""),cat,XLOOKUP($D704,'Move Editor'!$B:$B,'Move Editor'!$D:$D,""),pow,XLOOKUP($D704,'Move Editor'!$B:$B,'Move Editor'!$E:$E,0),acc,XLOOKUP($D704,'Move Editor'!$B:$B,'Move Editor'!$F:$F,100),atk,IF(cat="Physical",FLOOR((FLOOR(((2*XLOOKUP(XLOOKUP($Q704,'Threshold Summary'!$Y:$Y,'Threshold Summary'!$K:$K,""),'Pokemon Editor'!$A:$A,'Pokemon Editor'!$F:$F,0)+31+FLOOR(XLOOKUP($Q704,'Threshold Summary'!$Y:$Y,'Threshold Summary'!$P:$P,"")/4))*XLOOKUP($Q704,'Threshold Summary'!$Y:$Y,'Threshold Summary'!$L:$L,""))/100)+5)*XLOOKUP(XLOOKUP($Q704,'Threshold Summary'!$Y:$Y,'Threshold Summary'!$M:$M,""),'Nature Editor'!$A:$A,'Nature Editor'!$B:$B,1)),FLOOR((FLOOR(((2*XLOOKUP(XLOOKUP($Q704,'Threshold Summary'!$Y:$Y,'Threshold Summary'!$K:$K,""),'Pokemon Editor'!$A:$A,'Pokemon Editor'!$H:$H,0)+31+FLOOR(XLOOKUP($Q704,'Threshold Summary'!$Y:$Y,'Threshold Summary'!$R:$R,"")/4))*XLOOKUP($Q704,'Threshold Summary'!$Y:$Y,'Threshold Summary'!$L:$L,""))/100)+5)*XLOOKUP(XLOOKUP($Q704,'Threshold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Editor'!$E:$E,1))),stab,IF(OR(mtype=XLOOKUP(XLOOKUP($Q704,'Threshold Summary'!$Y:$Y,'Threshold Summary'!$K:$K,""),'Pokemon Editor'!$A:$A,'Pokemon Editor'!$C:$C,""),mtype=XLOOKUP(XLOOKUP($Q704,'Threshold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Chart'!$B$1:$S$1,0)))),base,IF(OR(cat="Status",pow=0),0,FLOOR(FLOOR(FLOOR((2*XLOOKUP($Q704,'Threshold Summary'!$Y:$Y,'Threshold Summary'!$L:$L,"")/5+2)*pow*atk/def)/50)+2)),modifier,stab*eff,AVERAGE(ARRAYFORMULA(FLOOR(base*modifier*SEQUENCE(16,1,85,1)/100)))/(FLOOR(((2*XLOOKUP('Boss Editor'!$C$4,'Pokemon Editor'!$A:$A,'Pokemon Editor'!$E:$E,0)+31+FLOOR('Boss Editor'!$G$4/4))*'Boss Editor'!$D$4)/100)+'Boss Editor'!$D$4+10)),0)</f>
        <v/>
      </c>
      <c r="O704" s="3">
        <f>IF(N704&gt;=1,"OHKO",IF(N704&gt;=0.5,"2HKO",IF(N704&gt;=0.333,"3HKO",IF(N704&gt;=0.25,"4HKO","5HKO+"))))</f>
        <v/>
      </c>
      <c r="P704" s="3" t="inlineStr">
        <is>
          <t>Live from editable databases</t>
        </is>
      </c>
      <c r="Q704" s="3" t="inlineStr">
        <is>
          <t>SPECIES_PHANTUMP</t>
        </is>
      </c>
      <c r="R704" s="3" t="n">
        <v>31</v>
      </c>
    </row>
    <row r="705">
      <c r="A705" s="3">
        <f>XLOOKUP($Q705,'Threshold Summary'!$Y:$Y,'Threshold Summary'!$A:$A,"")</f>
        <v/>
      </c>
      <c r="B705" s="3">
        <f>XLOOKUP($Q705,'Threshold Summary'!$Y:$Y,'Threshold Summary'!$M:$M,"")</f>
        <v/>
      </c>
      <c r="C705" s="3">
        <f>XLOOKUP($Q705,'Threshold Summary'!$Y:$Y,'Threshold Summary'!$N:$N,"")</f>
        <v/>
      </c>
      <c r="D705" s="3">
        <f>IFERROR(INDEX(FILTER('Learnset Editor'!$D$2:$D,'Learnset Editor'!$A$2:$A=XLOOKUP($Q705,'Threshold Summary'!$Y:$Y,'Threshold Summary'!$K:$K,""),'Learnset Editor'!$C$2:$C&lt;=XLOOKUP($Q705,'Threshold Summary'!$Y:$Y,'Threshold Summary'!$L:$L,"")),$R705),"")</f>
        <v/>
      </c>
      <c r="E705" s="3">
        <f>XLOOKUP(D705,'Move Editor'!$B:$B,'Move Editor'!$C:$C,"")</f>
        <v/>
      </c>
      <c r="F705" s="3">
        <f>XLOOKUP(D705,'Move Editor'!$B:$B,'Move Editor'!$D:$D,"")</f>
        <v/>
      </c>
      <c r="G705" s="3">
        <f>XLOOKUP(D705,'Move Editor'!$B:$B,'Move Editor'!$E:$E,0)</f>
        <v/>
      </c>
      <c r="H705" s="3">
        <f>XLOOKUP(D705,'Move Editor'!$B:$B,'Move Editor'!$F:$F,0)</f>
        <v/>
      </c>
      <c r="I705" s="3">
        <f>(INDEX('Type Chart'!$B:$S,MATCH(E705,'Type Chart'!$A:$A,0),MATCH(XLOOKUP('Boss Editor'!$C$4,'Pokemon Editor'!$A:$A,'Pokemon Editor'!$C:$C,""),'Type Chart'!$B$1:$S$1,0))*IF(XLOOKUP('Boss Editor'!$C$4,'Pokemon Editor'!$A:$A,'Pokemon Editor'!$D:$D,"")="",1,INDEX('Type Chart'!$B:$S,MATCH(E705,'Type Chart'!$A:$A,0),MATCH(XLOOKUP('Boss Editor'!$C$4,'Pokemon Editor'!$A:$A,'Pokemon Editor'!$D:$D,""),'Type Chart'!$B$1:$S$1,0))))</f>
        <v/>
      </c>
      <c r="J705" s="3">
        <f>IFERROR(LET(mtype,XLOOKUP($D705,'Move Editor'!$B:$B,'Move Editor'!$C:$C,""),cat,XLOOKUP($D705,'Move Editor'!$B:$B,'Move Editor'!$D:$D,""),pow,XLOOKUP($D705,'Move Editor'!$B:$B,'Move Editor'!$E:$E,0),acc,XLOOKUP($D705,'Move Editor'!$B:$B,'Move Editor'!$F:$F,100),atk,IF(cat="Physical",FLOOR((FLOOR(((2*XLOOKUP(XLOOKUP($Q705,'Threshold Summary'!$Y:$Y,'Threshold Summary'!$K:$K,""),'Pokemon Editor'!$A:$A,'Pokemon Editor'!$F:$F,0)+31+FLOOR(XLOOKUP($Q705,'Threshold Summary'!$Y:$Y,'Threshold Summary'!$P:$P,"")/4))*XLOOKUP($Q705,'Threshold Summary'!$Y:$Y,'Threshold Summary'!$L:$L,""))/100)+5)*XLOOKUP(XLOOKUP($Q705,'Threshold Summary'!$Y:$Y,'Threshold Summary'!$M:$M,""),'Nature Editor'!$A:$A,'Nature Editor'!$B:$B,1)),FLOOR((FLOOR(((2*XLOOKUP(XLOOKUP($Q705,'Threshold Summary'!$Y:$Y,'Threshold Summary'!$K:$K,""),'Pokemon Editor'!$A:$A,'Pokemon Editor'!$H:$H,0)+31+FLOOR(XLOOKUP($Q705,'Threshold Summary'!$Y:$Y,'Threshold Summary'!$R:$R,"")/4))*XLOOKUP($Q705,'Threshold Summary'!$Y:$Y,'Threshold Summary'!$L:$L,""))/100)+5)*XLOOKUP(XLOOKUP($Q705,'Threshold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Editor'!$E:$E,1))),stab,IF(OR(mtype=XLOOKUP(XLOOKUP($Q705,'Threshold Summary'!$Y:$Y,'Threshold Summary'!$K:$K,""),'Pokemon Editor'!$A:$A,'Pokemon Editor'!$C:$C,""),mtype=XLOOKUP(XLOOKUP($Q705,'Threshold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Chart'!$B$1:$S$1,0)))),base,IF(OR(cat="Status",pow=0),0,FLOOR(FLOOR(FLOOR((2*XLOOKUP($Q705,'Threshold Summary'!$Y:$Y,'Threshold Summary'!$L:$L,"")/5+2)*pow*atk/def)/50)+2)),modifier,stab*eff,FLOOR(base*modifier*0.85)),0)</f>
        <v/>
      </c>
      <c r="K705" s="3">
        <f>IFERROR(LET(mtype,XLOOKUP($D705,'Move Editor'!$B:$B,'Move Editor'!$C:$C,""),cat,XLOOKUP($D705,'Move Editor'!$B:$B,'Move Editor'!$D:$D,""),pow,XLOOKUP($D705,'Move Editor'!$B:$B,'Move Editor'!$E:$E,0),acc,XLOOKUP($D705,'Move Editor'!$B:$B,'Move Editor'!$F:$F,100),atk,IF(cat="Physical",FLOOR((FLOOR(((2*XLOOKUP(XLOOKUP($Q705,'Threshold Summary'!$Y:$Y,'Threshold Summary'!$K:$K,""),'Pokemon Editor'!$A:$A,'Pokemon Editor'!$F:$F,0)+31+FLOOR(XLOOKUP($Q705,'Threshold Summary'!$Y:$Y,'Threshold Summary'!$P:$P,"")/4))*XLOOKUP($Q705,'Threshold Summary'!$Y:$Y,'Threshold Summary'!$L:$L,""))/100)+5)*XLOOKUP(XLOOKUP($Q705,'Threshold Summary'!$Y:$Y,'Threshold Summary'!$M:$M,""),'Nature Editor'!$A:$A,'Nature Editor'!$B:$B,1)),FLOOR((FLOOR(((2*XLOOKUP(XLOOKUP($Q705,'Threshold Summary'!$Y:$Y,'Threshold Summary'!$K:$K,""),'Pokemon Editor'!$A:$A,'Pokemon Editor'!$H:$H,0)+31+FLOOR(XLOOKUP($Q705,'Threshold Summary'!$Y:$Y,'Threshold Summary'!$R:$R,"")/4))*XLOOKUP($Q705,'Threshold Summary'!$Y:$Y,'Threshold Summary'!$L:$L,""))/100)+5)*XLOOKUP(XLOOKUP($Q705,'Threshold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Editor'!$E:$E,1))),stab,IF(OR(mtype=XLOOKUP(XLOOKUP($Q705,'Threshold Summary'!$Y:$Y,'Threshold Summary'!$K:$K,""),'Pokemon Editor'!$A:$A,'Pokemon Editor'!$C:$C,""),mtype=XLOOKUP(XLOOKUP($Q705,'Threshold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Chart'!$B$1:$S$1,0)))),base,IF(OR(cat="Status",pow=0),0,FLOOR(FLOOR(FLOOR((2*XLOOKUP($Q705,'Threshold Summary'!$Y:$Y,'Threshold Summary'!$L:$L,"")/5+2)*pow*atk/def)/50)+2)),modifier,stab*eff,FLOOR(base*modifier)),0)</f>
        <v/>
      </c>
      <c r="L705" s="3">
        <f>IFERROR(LET(mtype,XLOOKUP($D705,'Move Editor'!$B:$B,'Move Editor'!$C:$C,""),cat,XLOOKUP($D705,'Move Editor'!$B:$B,'Move Editor'!$D:$D,""),pow,XLOOKUP($D705,'Move Editor'!$B:$B,'Move Editor'!$E:$E,0),acc,XLOOKUP($D705,'Move Editor'!$B:$B,'Move Editor'!$F:$F,100),atk,IF(cat="Physical",FLOOR((FLOOR(((2*XLOOKUP(XLOOKUP($Q705,'Threshold Summary'!$Y:$Y,'Threshold Summary'!$K:$K,""),'Pokemon Editor'!$A:$A,'Pokemon Editor'!$F:$F,0)+31+FLOOR(XLOOKUP($Q705,'Threshold Summary'!$Y:$Y,'Threshold Summary'!$P:$P,"")/4))*XLOOKUP($Q705,'Threshold Summary'!$Y:$Y,'Threshold Summary'!$L:$L,""))/100)+5)*XLOOKUP(XLOOKUP($Q705,'Threshold Summary'!$Y:$Y,'Threshold Summary'!$M:$M,""),'Nature Editor'!$A:$A,'Nature Editor'!$B:$B,1)),FLOOR((FLOOR(((2*XLOOKUP(XLOOKUP($Q705,'Threshold Summary'!$Y:$Y,'Threshold Summary'!$K:$K,""),'Pokemon Editor'!$A:$A,'Pokemon Editor'!$H:$H,0)+31+FLOOR(XLOOKUP($Q705,'Threshold Summary'!$Y:$Y,'Threshold Summary'!$R:$R,"")/4))*XLOOKUP($Q705,'Threshold Summary'!$Y:$Y,'Threshold Summary'!$L:$L,""))/100)+5)*XLOOKUP(XLOOKUP($Q705,'Threshold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Editor'!$E:$E,1))),stab,IF(OR(mtype=XLOOKUP(XLOOKUP($Q705,'Threshold Summary'!$Y:$Y,'Threshold Summary'!$K:$K,""),'Pokemon Editor'!$A:$A,'Pokemon Editor'!$C:$C,""),mtype=XLOOKUP(XLOOKUP($Q705,'Threshold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Chart'!$B$1:$S$1,0)))),base,IF(OR(cat="Status",pow=0),0,FLOOR(FLOOR(FLOOR((2*XLOOKUP($Q705,'Threshold Summary'!$Y:$Y,'Threshold Summary'!$L:$L,"")/5+2)*pow*atk/def)/50)+2)),modifier,stab*eff,AVERAGE(ARRAYFORMULA(FLOOR(base*modifier*SEQUENCE(16,1,85,1)/100)))),0)</f>
        <v/>
      </c>
      <c r="M705" s="3">
        <f>IFERROR(LET(mtype,XLOOKUP($D705,'Move Editor'!$B:$B,'Move Editor'!$C:$C,""),cat,XLOOKUP($D705,'Move Editor'!$B:$B,'Move Editor'!$D:$D,""),pow,XLOOKUP($D705,'Move Editor'!$B:$B,'Move Editor'!$E:$E,0),acc,XLOOKUP($D705,'Move Editor'!$B:$B,'Move Editor'!$F:$F,100),atk,IF(cat="Physical",FLOOR((FLOOR(((2*XLOOKUP(XLOOKUP($Q705,'Threshold Summary'!$Y:$Y,'Threshold Summary'!$K:$K,""),'Pokemon Editor'!$A:$A,'Pokemon Editor'!$F:$F,0)+31+FLOOR(XLOOKUP($Q705,'Threshold Summary'!$Y:$Y,'Threshold Summary'!$P:$P,"")/4))*XLOOKUP($Q705,'Threshold Summary'!$Y:$Y,'Threshold Summary'!$L:$L,""))/100)+5)*XLOOKUP(XLOOKUP($Q705,'Threshold Summary'!$Y:$Y,'Threshold Summary'!$M:$M,""),'Nature Editor'!$A:$A,'Nature Editor'!$B:$B,1)),FLOOR((FLOOR(((2*XLOOKUP(XLOOKUP($Q705,'Threshold Summary'!$Y:$Y,'Threshold Summary'!$K:$K,""),'Pokemon Editor'!$A:$A,'Pokemon Editor'!$H:$H,0)+31+FLOOR(XLOOKUP($Q705,'Threshold Summary'!$Y:$Y,'Threshold Summary'!$R:$R,"")/4))*XLOOKUP($Q705,'Threshold Summary'!$Y:$Y,'Threshold Summary'!$L:$L,""))/100)+5)*XLOOKUP(XLOOKUP($Q705,'Threshold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Editor'!$E:$E,1))),stab,IF(OR(mtype=XLOOKUP(XLOOKUP($Q705,'Threshold Summary'!$Y:$Y,'Threshold Summary'!$K:$K,""),'Pokemon Editor'!$A:$A,'Pokemon Editor'!$C:$C,""),mtype=XLOOKUP(XLOOKUP($Q705,'Threshold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Chart'!$B$1:$S$1,0)))),base,IF(OR(cat="Status",pow=0),0,FLOOR(FLOOR(FLOOR((2*XLOOKUP($Q705,'Threshold Summary'!$Y:$Y,'Threshold Summary'!$L:$L,"")/5+2)*pow*atk/def)/50)+2)),modifier,stab*eff,AVERAGE(ARRAYFORMULA(FLOOR(base*modifier*SEQUENCE(16,1,85,1)/100)))*MIN(1,acc/100)),0)</f>
        <v/>
      </c>
      <c r="N705" s="4">
        <f>IFERROR(LET(mtype,XLOOKUP($D705,'Move Editor'!$B:$B,'Move Editor'!$C:$C,""),cat,XLOOKUP($D705,'Move Editor'!$B:$B,'Move Editor'!$D:$D,""),pow,XLOOKUP($D705,'Move Editor'!$B:$B,'Move Editor'!$E:$E,0),acc,XLOOKUP($D705,'Move Editor'!$B:$B,'Move Editor'!$F:$F,100),atk,IF(cat="Physical",FLOOR((FLOOR(((2*XLOOKUP(XLOOKUP($Q705,'Threshold Summary'!$Y:$Y,'Threshold Summary'!$K:$K,""),'Pokemon Editor'!$A:$A,'Pokemon Editor'!$F:$F,0)+31+FLOOR(XLOOKUP($Q705,'Threshold Summary'!$Y:$Y,'Threshold Summary'!$P:$P,"")/4))*XLOOKUP($Q705,'Threshold Summary'!$Y:$Y,'Threshold Summary'!$L:$L,""))/100)+5)*XLOOKUP(XLOOKUP($Q705,'Threshold Summary'!$Y:$Y,'Threshold Summary'!$M:$M,""),'Nature Editor'!$A:$A,'Nature Editor'!$B:$B,1)),FLOOR((FLOOR(((2*XLOOKUP(XLOOKUP($Q705,'Threshold Summary'!$Y:$Y,'Threshold Summary'!$K:$K,""),'Pokemon Editor'!$A:$A,'Pokemon Editor'!$H:$H,0)+31+FLOOR(XLOOKUP($Q705,'Threshold Summary'!$Y:$Y,'Threshold Summary'!$R:$R,"")/4))*XLOOKUP($Q705,'Threshold Summary'!$Y:$Y,'Threshold Summary'!$L:$L,""))/100)+5)*XLOOKUP(XLOOKUP($Q705,'Threshold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Editor'!$E:$E,1))),stab,IF(OR(mtype=XLOOKUP(XLOOKUP($Q705,'Threshold Summary'!$Y:$Y,'Threshold Summary'!$K:$K,""),'Pokemon Editor'!$A:$A,'Pokemon Editor'!$C:$C,""),mtype=XLOOKUP(XLOOKUP($Q705,'Threshold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Chart'!$B$1:$S$1,0)))),base,IF(OR(cat="Status",pow=0),0,FLOOR(FLOOR(FLOOR((2*XLOOKUP($Q705,'Threshold Summary'!$Y:$Y,'Threshold Summary'!$L:$L,"")/5+2)*pow*atk/def)/50)+2)),modifier,stab*eff,AVERAGE(ARRAYFORMULA(FLOOR(base*modifier*SEQUENCE(16,1,85,1)/100)))/(FLOOR(((2*XLOOKUP('Boss Editor'!$C$4,'Pokemon Editor'!$A:$A,'Pokemon Editor'!$E:$E,0)+31+FLOOR('Boss Editor'!$G$4/4))*'Boss Editor'!$D$4)/100)+'Boss Editor'!$D$4+10)),0)</f>
        <v/>
      </c>
      <c r="O705" s="3">
        <f>IF(N705&gt;=1,"OHKO",IF(N705&gt;=0.5,"2HKO",IF(N705&gt;=0.333,"3HKO",IF(N705&gt;=0.25,"4HKO","5HKO+"))))</f>
        <v/>
      </c>
      <c r="P705" s="3" t="inlineStr">
        <is>
          <t>Live from editable databases</t>
        </is>
      </c>
      <c r="Q705" s="3" t="inlineStr">
        <is>
          <t>SPECIES_PHANTUMP</t>
        </is>
      </c>
      <c r="R705" s="3" t="n">
        <v>32</v>
      </c>
    </row>
    <row r="706">
      <c r="A706" s="3">
        <f>XLOOKUP($Q706,'Threshold Summary'!$Y:$Y,'Threshold Summary'!$A:$A,"")</f>
        <v/>
      </c>
      <c r="B706" s="3">
        <f>XLOOKUP($Q706,'Threshold Summary'!$Y:$Y,'Threshold Summary'!$M:$M,"")</f>
        <v/>
      </c>
      <c r="C706" s="3">
        <f>XLOOKUP($Q706,'Threshold Summary'!$Y:$Y,'Threshold Summary'!$N:$N,"")</f>
        <v/>
      </c>
      <c r="D706" s="3">
        <f>IFERROR(INDEX(FILTER('Learnset Editor'!$D$2:$D,'Learnset Editor'!$A$2:$A=XLOOKUP($Q706,'Threshold Summary'!$Y:$Y,'Threshold Summary'!$K:$K,""),'Learnset Editor'!$C$2:$C&lt;=XLOOKUP($Q706,'Threshold Summary'!$Y:$Y,'Threshold Summary'!$L:$L,"")),$R706),"")</f>
        <v/>
      </c>
      <c r="E706" s="3">
        <f>XLOOKUP(D706,'Move Editor'!$B:$B,'Move Editor'!$C:$C,"")</f>
        <v/>
      </c>
      <c r="F706" s="3">
        <f>XLOOKUP(D706,'Move Editor'!$B:$B,'Move Editor'!$D:$D,"")</f>
        <v/>
      </c>
      <c r="G706" s="3">
        <f>XLOOKUP(D706,'Move Editor'!$B:$B,'Move Editor'!$E:$E,0)</f>
        <v/>
      </c>
      <c r="H706" s="3">
        <f>XLOOKUP(D706,'Move Editor'!$B:$B,'Move Editor'!$F:$F,0)</f>
        <v/>
      </c>
      <c r="I706" s="3">
        <f>(INDEX('Type Chart'!$B:$S,MATCH(E706,'Type Chart'!$A:$A,0),MATCH(XLOOKUP('Boss Editor'!$C$4,'Pokemon Editor'!$A:$A,'Pokemon Editor'!$C:$C,""),'Type Chart'!$B$1:$S$1,0))*IF(XLOOKUP('Boss Editor'!$C$4,'Pokemon Editor'!$A:$A,'Pokemon Editor'!$D:$D,"")="",1,INDEX('Type Chart'!$B:$S,MATCH(E706,'Type Chart'!$A:$A,0),MATCH(XLOOKUP('Boss Editor'!$C$4,'Pokemon Editor'!$A:$A,'Pokemon Editor'!$D:$D,""),'Type Chart'!$B$1:$S$1,0))))</f>
        <v/>
      </c>
      <c r="J706" s="3">
        <f>IFERROR(LET(mtype,XLOOKUP($D706,'Move Editor'!$B:$B,'Move Editor'!$C:$C,""),cat,XLOOKUP($D706,'Move Editor'!$B:$B,'Move Editor'!$D:$D,""),pow,XLOOKUP($D706,'Move Editor'!$B:$B,'Move Editor'!$E:$E,0),acc,XLOOKUP($D706,'Move Editor'!$B:$B,'Move Editor'!$F:$F,100),atk,IF(cat="Physical",FLOOR((FLOOR(((2*XLOOKUP(XLOOKUP($Q706,'Threshold Summary'!$Y:$Y,'Threshold Summary'!$K:$K,""),'Pokemon Editor'!$A:$A,'Pokemon Editor'!$F:$F,0)+31+FLOOR(XLOOKUP($Q706,'Threshold Summary'!$Y:$Y,'Threshold Summary'!$P:$P,"")/4))*XLOOKUP($Q706,'Threshold Summary'!$Y:$Y,'Threshold Summary'!$L:$L,""))/100)+5)*XLOOKUP(XLOOKUP($Q706,'Threshold Summary'!$Y:$Y,'Threshold Summary'!$M:$M,""),'Nature Editor'!$A:$A,'Nature Editor'!$B:$B,1)),FLOOR((FLOOR(((2*XLOOKUP(XLOOKUP($Q706,'Threshold Summary'!$Y:$Y,'Threshold Summary'!$K:$K,""),'Pokemon Editor'!$A:$A,'Pokemon Editor'!$H:$H,0)+31+FLOOR(XLOOKUP($Q706,'Threshold Summary'!$Y:$Y,'Threshold Summary'!$R:$R,"")/4))*XLOOKUP($Q706,'Threshold Summary'!$Y:$Y,'Threshold Summary'!$L:$L,""))/100)+5)*XLOOKUP(XLOOKUP($Q706,'Threshold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Editor'!$E:$E,1))),stab,IF(OR(mtype=XLOOKUP(XLOOKUP($Q706,'Threshold Summary'!$Y:$Y,'Threshold Summary'!$K:$K,""),'Pokemon Editor'!$A:$A,'Pokemon Editor'!$C:$C,""),mtype=XLOOKUP(XLOOKUP($Q706,'Threshold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Chart'!$B$1:$S$1,0)))),base,IF(OR(cat="Status",pow=0),0,FLOOR(FLOOR(FLOOR((2*XLOOKUP($Q706,'Threshold Summary'!$Y:$Y,'Threshold Summary'!$L:$L,"")/5+2)*pow*atk/def)/50)+2)),modifier,stab*eff,FLOOR(base*modifier*0.85)),0)</f>
        <v/>
      </c>
      <c r="K706" s="3">
        <f>IFERROR(LET(mtype,XLOOKUP($D706,'Move Editor'!$B:$B,'Move Editor'!$C:$C,""),cat,XLOOKUP($D706,'Move Editor'!$B:$B,'Move Editor'!$D:$D,""),pow,XLOOKUP($D706,'Move Editor'!$B:$B,'Move Editor'!$E:$E,0),acc,XLOOKUP($D706,'Move Editor'!$B:$B,'Move Editor'!$F:$F,100),atk,IF(cat="Physical",FLOOR((FLOOR(((2*XLOOKUP(XLOOKUP($Q706,'Threshold Summary'!$Y:$Y,'Threshold Summary'!$K:$K,""),'Pokemon Editor'!$A:$A,'Pokemon Editor'!$F:$F,0)+31+FLOOR(XLOOKUP($Q706,'Threshold Summary'!$Y:$Y,'Threshold Summary'!$P:$P,"")/4))*XLOOKUP($Q706,'Threshold Summary'!$Y:$Y,'Threshold Summary'!$L:$L,""))/100)+5)*XLOOKUP(XLOOKUP($Q706,'Threshold Summary'!$Y:$Y,'Threshold Summary'!$M:$M,""),'Nature Editor'!$A:$A,'Nature Editor'!$B:$B,1)),FLOOR((FLOOR(((2*XLOOKUP(XLOOKUP($Q706,'Threshold Summary'!$Y:$Y,'Threshold Summary'!$K:$K,""),'Pokemon Editor'!$A:$A,'Pokemon Editor'!$H:$H,0)+31+FLOOR(XLOOKUP($Q706,'Threshold Summary'!$Y:$Y,'Threshold Summary'!$R:$R,"")/4))*XLOOKUP($Q706,'Threshold Summary'!$Y:$Y,'Threshold Summary'!$L:$L,""))/100)+5)*XLOOKUP(XLOOKUP($Q706,'Threshold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Editor'!$E:$E,1))),stab,IF(OR(mtype=XLOOKUP(XLOOKUP($Q706,'Threshold Summary'!$Y:$Y,'Threshold Summary'!$K:$K,""),'Pokemon Editor'!$A:$A,'Pokemon Editor'!$C:$C,""),mtype=XLOOKUP(XLOOKUP($Q706,'Threshold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Chart'!$B$1:$S$1,0)))),base,IF(OR(cat="Status",pow=0),0,FLOOR(FLOOR(FLOOR((2*XLOOKUP($Q706,'Threshold Summary'!$Y:$Y,'Threshold Summary'!$L:$L,"")/5+2)*pow*atk/def)/50)+2)),modifier,stab*eff,FLOOR(base*modifier)),0)</f>
        <v/>
      </c>
      <c r="L706" s="3">
        <f>IFERROR(LET(mtype,XLOOKUP($D706,'Move Editor'!$B:$B,'Move Editor'!$C:$C,""),cat,XLOOKUP($D706,'Move Editor'!$B:$B,'Move Editor'!$D:$D,""),pow,XLOOKUP($D706,'Move Editor'!$B:$B,'Move Editor'!$E:$E,0),acc,XLOOKUP($D706,'Move Editor'!$B:$B,'Move Editor'!$F:$F,100),atk,IF(cat="Physical",FLOOR((FLOOR(((2*XLOOKUP(XLOOKUP($Q706,'Threshold Summary'!$Y:$Y,'Threshold Summary'!$K:$K,""),'Pokemon Editor'!$A:$A,'Pokemon Editor'!$F:$F,0)+31+FLOOR(XLOOKUP($Q706,'Threshold Summary'!$Y:$Y,'Threshold Summary'!$P:$P,"")/4))*XLOOKUP($Q706,'Threshold Summary'!$Y:$Y,'Threshold Summary'!$L:$L,""))/100)+5)*XLOOKUP(XLOOKUP($Q706,'Threshold Summary'!$Y:$Y,'Threshold Summary'!$M:$M,""),'Nature Editor'!$A:$A,'Nature Editor'!$B:$B,1)),FLOOR((FLOOR(((2*XLOOKUP(XLOOKUP($Q706,'Threshold Summary'!$Y:$Y,'Threshold Summary'!$K:$K,""),'Pokemon Editor'!$A:$A,'Pokemon Editor'!$H:$H,0)+31+FLOOR(XLOOKUP($Q706,'Threshold Summary'!$Y:$Y,'Threshold Summary'!$R:$R,"")/4))*XLOOKUP($Q706,'Threshold Summary'!$Y:$Y,'Threshold Summary'!$L:$L,""))/100)+5)*XLOOKUP(XLOOKUP($Q706,'Threshold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Editor'!$E:$E,1))),stab,IF(OR(mtype=XLOOKUP(XLOOKUP($Q706,'Threshold Summary'!$Y:$Y,'Threshold Summary'!$K:$K,""),'Pokemon Editor'!$A:$A,'Pokemon Editor'!$C:$C,""),mtype=XLOOKUP(XLOOKUP($Q706,'Threshold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Chart'!$B$1:$S$1,0)))),base,IF(OR(cat="Status",pow=0),0,FLOOR(FLOOR(FLOOR((2*XLOOKUP($Q706,'Threshold Summary'!$Y:$Y,'Threshold Summary'!$L:$L,"")/5+2)*pow*atk/def)/50)+2)),modifier,stab*eff,AVERAGE(ARRAYFORMULA(FLOOR(base*modifier*SEQUENCE(16,1,85,1)/100)))),0)</f>
        <v/>
      </c>
      <c r="M706" s="3">
        <f>IFERROR(LET(mtype,XLOOKUP($D706,'Move Editor'!$B:$B,'Move Editor'!$C:$C,""),cat,XLOOKUP($D706,'Move Editor'!$B:$B,'Move Editor'!$D:$D,""),pow,XLOOKUP($D706,'Move Editor'!$B:$B,'Move Editor'!$E:$E,0),acc,XLOOKUP($D706,'Move Editor'!$B:$B,'Move Editor'!$F:$F,100),atk,IF(cat="Physical",FLOOR((FLOOR(((2*XLOOKUP(XLOOKUP($Q706,'Threshold Summary'!$Y:$Y,'Threshold Summary'!$K:$K,""),'Pokemon Editor'!$A:$A,'Pokemon Editor'!$F:$F,0)+31+FLOOR(XLOOKUP($Q706,'Threshold Summary'!$Y:$Y,'Threshold Summary'!$P:$P,"")/4))*XLOOKUP($Q706,'Threshold Summary'!$Y:$Y,'Threshold Summary'!$L:$L,""))/100)+5)*XLOOKUP(XLOOKUP($Q706,'Threshold Summary'!$Y:$Y,'Threshold Summary'!$M:$M,""),'Nature Editor'!$A:$A,'Nature Editor'!$B:$B,1)),FLOOR((FLOOR(((2*XLOOKUP(XLOOKUP($Q706,'Threshold Summary'!$Y:$Y,'Threshold Summary'!$K:$K,""),'Pokemon Editor'!$A:$A,'Pokemon Editor'!$H:$H,0)+31+FLOOR(XLOOKUP($Q706,'Threshold Summary'!$Y:$Y,'Threshold Summary'!$R:$R,"")/4))*XLOOKUP($Q706,'Threshold Summary'!$Y:$Y,'Threshold Summary'!$L:$L,""))/100)+5)*XLOOKUP(XLOOKUP($Q706,'Threshold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Editor'!$E:$E,1))),stab,IF(OR(mtype=XLOOKUP(XLOOKUP($Q706,'Threshold Summary'!$Y:$Y,'Threshold Summary'!$K:$K,""),'Pokemon Editor'!$A:$A,'Pokemon Editor'!$C:$C,""),mtype=XLOOKUP(XLOOKUP($Q706,'Threshold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Chart'!$B$1:$S$1,0)))),base,IF(OR(cat="Status",pow=0),0,FLOOR(FLOOR(FLOOR((2*XLOOKUP($Q706,'Threshold Summary'!$Y:$Y,'Threshold Summary'!$L:$L,"")/5+2)*pow*atk/def)/50)+2)),modifier,stab*eff,AVERAGE(ARRAYFORMULA(FLOOR(base*modifier*SEQUENCE(16,1,85,1)/100)))*MIN(1,acc/100)),0)</f>
        <v/>
      </c>
      <c r="N706" s="4">
        <f>IFERROR(LET(mtype,XLOOKUP($D706,'Move Editor'!$B:$B,'Move Editor'!$C:$C,""),cat,XLOOKUP($D706,'Move Editor'!$B:$B,'Move Editor'!$D:$D,""),pow,XLOOKUP($D706,'Move Editor'!$B:$B,'Move Editor'!$E:$E,0),acc,XLOOKUP($D706,'Move Editor'!$B:$B,'Move Editor'!$F:$F,100),atk,IF(cat="Physical",FLOOR((FLOOR(((2*XLOOKUP(XLOOKUP($Q706,'Threshold Summary'!$Y:$Y,'Threshold Summary'!$K:$K,""),'Pokemon Editor'!$A:$A,'Pokemon Editor'!$F:$F,0)+31+FLOOR(XLOOKUP($Q706,'Threshold Summary'!$Y:$Y,'Threshold Summary'!$P:$P,"")/4))*XLOOKUP($Q706,'Threshold Summary'!$Y:$Y,'Threshold Summary'!$L:$L,""))/100)+5)*XLOOKUP(XLOOKUP($Q706,'Threshold Summary'!$Y:$Y,'Threshold Summary'!$M:$M,""),'Nature Editor'!$A:$A,'Nature Editor'!$B:$B,1)),FLOOR((FLOOR(((2*XLOOKUP(XLOOKUP($Q706,'Threshold Summary'!$Y:$Y,'Threshold Summary'!$K:$K,""),'Pokemon Editor'!$A:$A,'Pokemon Editor'!$H:$H,0)+31+FLOOR(XLOOKUP($Q706,'Threshold Summary'!$Y:$Y,'Threshold Summary'!$R:$R,"")/4))*XLOOKUP($Q706,'Threshold Summary'!$Y:$Y,'Threshold Summary'!$L:$L,""))/100)+5)*XLOOKUP(XLOOKUP($Q706,'Threshold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Editor'!$E:$E,1))),stab,IF(OR(mtype=XLOOKUP(XLOOKUP($Q706,'Threshold Summary'!$Y:$Y,'Threshold Summary'!$K:$K,""),'Pokemon Editor'!$A:$A,'Pokemon Editor'!$C:$C,""),mtype=XLOOKUP(XLOOKUP($Q706,'Threshold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Chart'!$B$1:$S$1,0)))),base,IF(OR(cat="Status",pow=0),0,FLOOR(FLOOR(FLOOR((2*XLOOKUP($Q706,'Threshold Summary'!$Y:$Y,'Threshold Summary'!$L:$L,"")/5+2)*pow*atk/def)/50)+2)),modifier,stab*eff,AVERAGE(ARRAYFORMULA(FLOOR(base*modifier*SEQUENCE(16,1,85,1)/100)))/(FLOOR(((2*XLOOKUP('Boss Editor'!$C$4,'Pokemon Editor'!$A:$A,'Pokemon Editor'!$E:$E,0)+31+FLOOR('Boss Editor'!$G$4/4))*'Boss Editor'!$D$4)/100)+'Boss Editor'!$D$4+10)),0)</f>
        <v/>
      </c>
      <c r="O706" s="3">
        <f>IF(N706&gt;=1,"OHKO",IF(N706&gt;=0.5,"2HKO",IF(N706&gt;=0.333,"3HKO",IF(N706&gt;=0.25,"4HKO","5HKO+"))))</f>
        <v/>
      </c>
      <c r="P706" s="3" t="inlineStr">
        <is>
          <t>Live from editable databases</t>
        </is>
      </c>
      <c r="Q706" s="3" t="inlineStr">
        <is>
          <t>SPECIES_CUTIEFLY</t>
        </is>
      </c>
      <c r="R706" s="3" t="n">
        <v>1</v>
      </c>
    </row>
    <row r="707">
      <c r="A707" s="3">
        <f>XLOOKUP($Q707,'Threshold Summary'!$Y:$Y,'Threshold Summary'!$A:$A,"")</f>
        <v/>
      </c>
      <c r="B707" s="3">
        <f>XLOOKUP($Q707,'Threshold Summary'!$Y:$Y,'Threshold Summary'!$M:$M,"")</f>
        <v/>
      </c>
      <c r="C707" s="3">
        <f>XLOOKUP($Q707,'Threshold Summary'!$Y:$Y,'Threshold Summary'!$N:$N,"")</f>
        <v/>
      </c>
      <c r="D707" s="3">
        <f>IFERROR(INDEX(FILTER('Learnset Editor'!$D$2:$D,'Learnset Editor'!$A$2:$A=XLOOKUP($Q707,'Threshold Summary'!$Y:$Y,'Threshold Summary'!$K:$K,""),'Learnset Editor'!$C$2:$C&lt;=XLOOKUP($Q707,'Threshold Summary'!$Y:$Y,'Threshold Summary'!$L:$L,"")),$R707),"")</f>
        <v/>
      </c>
      <c r="E707" s="3">
        <f>XLOOKUP(D707,'Move Editor'!$B:$B,'Move Editor'!$C:$C,"")</f>
        <v/>
      </c>
      <c r="F707" s="3">
        <f>XLOOKUP(D707,'Move Editor'!$B:$B,'Move Editor'!$D:$D,"")</f>
        <v/>
      </c>
      <c r="G707" s="3">
        <f>XLOOKUP(D707,'Move Editor'!$B:$B,'Move Editor'!$E:$E,0)</f>
        <v/>
      </c>
      <c r="H707" s="3">
        <f>XLOOKUP(D707,'Move Editor'!$B:$B,'Move Editor'!$F:$F,0)</f>
        <v/>
      </c>
      <c r="I707" s="3">
        <f>(INDEX('Type Chart'!$B:$S,MATCH(E707,'Type Chart'!$A:$A,0),MATCH(XLOOKUP('Boss Editor'!$C$4,'Pokemon Editor'!$A:$A,'Pokemon Editor'!$C:$C,""),'Type Chart'!$B$1:$S$1,0))*IF(XLOOKUP('Boss Editor'!$C$4,'Pokemon Editor'!$A:$A,'Pokemon Editor'!$D:$D,"")="",1,INDEX('Type Chart'!$B:$S,MATCH(E707,'Type Chart'!$A:$A,0),MATCH(XLOOKUP('Boss Editor'!$C$4,'Pokemon Editor'!$A:$A,'Pokemon Editor'!$D:$D,""),'Type Chart'!$B$1:$S$1,0))))</f>
        <v/>
      </c>
      <c r="J707" s="3">
        <f>IFERROR(LET(mtype,XLOOKUP($D707,'Move Editor'!$B:$B,'Move Editor'!$C:$C,""),cat,XLOOKUP($D707,'Move Editor'!$B:$B,'Move Editor'!$D:$D,""),pow,XLOOKUP($D707,'Move Editor'!$B:$B,'Move Editor'!$E:$E,0),acc,XLOOKUP($D707,'Move Editor'!$B:$B,'Move Editor'!$F:$F,100),atk,IF(cat="Physical",FLOOR((FLOOR(((2*XLOOKUP(XLOOKUP($Q707,'Threshold Summary'!$Y:$Y,'Threshold Summary'!$K:$K,""),'Pokemon Editor'!$A:$A,'Pokemon Editor'!$F:$F,0)+31+FLOOR(XLOOKUP($Q707,'Threshold Summary'!$Y:$Y,'Threshold Summary'!$P:$P,"")/4))*XLOOKUP($Q707,'Threshold Summary'!$Y:$Y,'Threshold Summary'!$L:$L,""))/100)+5)*XLOOKUP(XLOOKUP($Q707,'Threshold Summary'!$Y:$Y,'Threshold Summary'!$M:$M,""),'Nature Editor'!$A:$A,'Nature Editor'!$B:$B,1)),FLOOR((FLOOR(((2*XLOOKUP(XLOOKUP($Q707,'Threshold Summary'!$Y:$Y,'Threshold Summary'!$K:$K,""),'Pokemon Editor'!$A:$A,'Pokemon Editor'!$H:$H,0)+31+FLOOR(XLOOKUP($Q707,'Threshold Summary'!$Y:$Y,'Threshold Summary'!$R:$R,"")/4))*XLOOKUP($Q707,'Threshold Summary'!$Y:$Y,'Threshold Summary'!$L:$L,""))/100)+5)*XLOOKUP(XLOOKUP($Q707,'Threshold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Editor'!$E:$E,1))),stab,IF(OR(mtype=XLOOKUP(XLOOKUP($Q707,'Threshold Summary'!$Y:$Y,'Threshold Summary'!$K:$K,""),'Pokemon Editor'!$A:$A,'Pokemon Editor'!$C:$C,""),mtype=XLOOKUP(XLOOKUP($Q707,'Threshold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Chart'!$B$1:$S$1,0)))),base,IF(OR(cat="Status",pow=0),0,FLOOR(FLOOR(FLOOR((2*XLOOKUP($Q707,'Threshold Summary'!$Y:$Y,'Threshold Summary'!$L:$L,"")/5+2)*pow*atk/def)/50)+2)),modifier,stab*eff,FLOOR(base*modifier*0.85)),0)</f>
        <v/>
      </c>
      <c r="K707" s="3">
        <f>IFERROR(LET(mtype,XLOOKUP($D707,'Move Editor'!$B:$B,'Move Editor'!$C:$C,""),cat,XLOOKUP($D707,'Move Editor'!$B:$B,'Move Editor'!$D:$D,""),pow,XLOOKUP($D707,'Move Editor'!$B:$B,'Move Editor'!$E:$E,0),acc,XLOOKUP($D707,'Move Editor'!$B:$B,'Move Editor'!$F:$F,100),atk,IF(cat="Physical",FLOOR((FLOOR(((2*XLOOKUP(XLOOKUP($Q707,'Threshold Summary'!$Y:$Y,'Threshold Summary'!$K:$K,""),'Pokemon Editor'!$A:$A,'Pokemon Editor'!$F:$F,0)+31+FLOOR(XLOOKUP($Q707,'Threshold Summary'!$Y:$Y,'Threshold Summary'!$P:$P,"")/4))*XLOOKUP($Q707,'Threshold Summary'!$Y:$Y,'Threshold Summary'!$L:$L,""))/100)+5)*XLOOKUP(XLOOKUP($Q707,'Threshold Summary'!$Y:$Y,'Threshold Summary'!$M:$M,""),'Nature Editor'!$A:$A,'Nature Editor'!$B:$B,1)),FLOOR((FLOOR(((2*XLOOKUP(XLOOKUP($Q707,'Threshold Summary'!$Y:$Y,'Threshold Summary'!$K:$K,""),'Pokemon Editor'!$A:$A,'Pokemon Editor'!$H:$H,0)+31+FLOOR(XLOOKUP($Q707,'Threshold Summary'!$Y:$Y,'Threshold Summary'!$R:$R,"")/4))*XLOOKUP($Q707,'Threshold Summary'!$Y:$Y,'Threshold Summary'!$L:$L,""))/100)+5)*XLOOKUP(XLOOKUP($Q707,'Threshold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Editor'!$E:$E,1))),stab,IF(OR(mtype=XLOOKUP(XLOOKUP($Q707,'Threshold Summary'!$Y:$Y,'Threshold Summary'!$K:$K,""),'Pokemon Editor'!$A:$A,'Pokemon Editor'!$C:$C,""),mtype=XLOOKUP(XLOOKUP($Q707,'Threshold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Chart'!$B$1:$S$1,0)))),base,IF(OR(cat="Status",pow=0),0,FLOOR(FLOOR(FLOOR((2*XLOOKUP($Q707,'Threshold Summary'!$Y:$Y,'Threshold Summary'!$L:$L,"")/5+2)*pow*atk/def)/50)+2)),modifier,stab*eff,FLOOR(base*modifier)),0)</f>
        <v/>
      </c>
      <c r="L707" s="3">
        <f>IFERROR(LET(mtype,XLOOKUP($D707,'Move Editor'!$B:$B,'Move Editor'!$C:$C,""),cat,XLOOKUP($D707,'Move Editor'!$B:$B,'Move Editor'!$D:$D,""),pow,XLOOKUP($D707,'Move Editor'!$B:$B,'Move Editor'!$E:$E,0),acc,XLOOKUP($D707,'Move Editor'!$B:$B,'Move Editor'!$F:$F,100),atk,IF(cat="Physical",FLOOR((FLOOR(((2*XLOOKUP(XLOOKUP($Q707,'Threshold Summary'!$Y:$Y,'Threshold Summary'!$K:$K,""),'Pokemon Editor'!$A:$A,'Pokemon Editor'!$F:$F,0)+31+FLOOR(XLOOKUP($Q707,'Threshold Summary'!$Y:$Y,'Threshold Summary'!$P:$P,"")/4))*XLOOKUP($Q707,'Threshold Summary'!$Y:$Y,'Threshold Summary'!$L:$L,""))/100)+5)*XLOOKUP(XLOOKUP($Q707,'Threshold Summary'!$Y:$Y,'Threshold Summary'!$M:$M,""),'Nature Editor'!$A:$A,'Nature Editor'!$B:$B,1)),FLOOR((FLOOR(((2*XLOOKUP(XLOOKUP($Q707,'Threshold Summary'!$Y:$Y,'Threshold Summary'!$K:$K,""),'Pokemon Editor'!$A:$A,'Pokemon Editor'!$H:$H,0)+31+FLOOR(XLOOKUP($Q707,'Threshold Summary'!$Y:$Y,'Threshold Summary'!$R:$R,"")/4))*XLOOKUP($Q707,'Threshold Summary'!$Y:$Y,'Threshold Summary'!$L:$L,""))/100)+5)*XLOOKUP(XLOOKUP($Q707,'Threshold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Editor'!$E:$E,1))),stab,IF(OR(mtype=XLOOKUP(XLOOKUP($Q707,'Threshold Summary'!$Y:$Y,'Threshold Summary'!$K:$K,""),'Pokemon Editor'!$A:$A,'Pokemon Editor'!$C:$C,""),mtype=XLOOKUP(XLOOKUP($Q707,'Threshold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Chart'!$B$1:$S$1,0)))),base,IF(OR(cat="Status",pow=0),0,FLOOR(FLOOR(FLOOR((2*XLOOKUP($Q707,'Threshold Summary'!$Y:$Y,'Threshold Summary'!$L:$L,"")/5+2)*pow*atk/def)/50)+2)),modifier,stab*eff,AVERAGE(ARRAYFORMULA(FLOOR(base*modifier*SEQUENCE(16,1,85,1)/100)))),0)</f>
        <v/>
      </c>
      <c r="M707" s="3">
        <f>IFERROR(LET(mtype,XLOOKUP($D707,'Move Editor'!$B:$B,'Move Editor'!$C:$C,""),cat,XLOOKUP($D707,'Move Editor'!$B:$B,'Move Editor'!$D:$D,""),pow,XLOOKUP($D707,'Move Editor'!$B:$B,'Move Editor'!$E:$E,0),acc,XLOOKUP($D707,'Move Editor'!$B:$B,'Move Editor'!$F:$F,100),atk,IF(cat="Physical",FLOOR((FLOOR(((2*XLOOKUP(XLOOKUP($Q707,'Threshold Summary'!$Y:$Y,'Threshold Summary'!$K:$K,""),'Pokemon Editor'!$A:$A,'Pokemon Editor'!$F:$F,0)+31+FLOOR(XLOOKUP($Q707,'Threshold Summary'!$Y:$Y,'Threshold Summary'!$P:$P,"")/4))*XLOOKUP($Q707,'Threshold Summary'!$Y:$Y,'Threshold Summary'!$L:$L,""))/100)+5)*XLOOKUP(XLOOKUP($Q707,'Threshold Summary'!$Y:$Y,'Threshold Summary'!$M:$M,""),'Nature Editor'!$A:$A,'Nature Editor'!$B:$B,1)),FLOOR((FLOOR(((2*XLOOKUP(XLOOKUP($Q707,'Threshold Summary'!$Y:$Y,'Threshold Summary'!$K:$K,""),'Pokemon Editor'!$A:$A,'Pokemon Editor'!$H:$H,0)+31+FLOOR(XLOOKUP($Q707,'Threshold Summary'!$Y:$Y,'Threshold Summary'!$R:$R,"")/4))*XLOOKUP($Q707,'Threshold Summary'!$Y:$Y,'Threshold Summary'!$L:$L,""))/100)+5)*XLOOKUP(XLOOKUP($Q707,'Threshold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Editor'!$E:$E,1))),stab,IF(OR(mtype=XLOOKUP(XLOOKUP($Q707,'Threshold Summary'!$Y:$Y,'Threshold Summary'!$K:$K,""),'Pokemon Editor'!$A:$A,'Pokemon Editor'!$C:$C,""),mtype=XLOOKUP(XLOOKUP($Q707,'Threshold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Chart'!$B$1:$S$1,0)))),base,IF(OR(cat="Status",pow=0),0,FLOOR(FLOOR(FLOOR((2*XLOOKUP($Q707,'Threshold Summary'!$Y:$Y,'Threshold Summary'!$L:$L,"")/5+2)*pow*atk/def)/50)+2)),modifier,stab*eff,AVERAGE(ARRAYFORMULA(FLOOR(base*modifier*SEQUENCE(16,1,85,1)/100)))*MIN(1,acc/100)),0)</f>
        <v/>
      </c>
      <c r="N707" s="4">
        <f>IFERROR(LET(mtype,XLOOKUP($D707,'Move Editor'!$B:$B,'Move Editor'!$C:$C,""),cat,XLOOKUP($D707,'Move Editor'!$B:$B,'Move Editor'!$D:$D,""),pow,XLOOKUP($D707,'Move Editor'!$B:$B,'Move Editor'!$E:$E,0),acc,XLOOKUP($D707,'Move Editor'!$B:$B,'Move Editor'!$F:$F,100),atk,IF(cat="Physical",FLOOR((FLOOR(((2*XLOOKUP(XLOOKUP($Q707,'Threshold Summary'!$Y:$Y,'Threshold Summary'!$K:$K,""),'Pokemon Editor'!$A:$A,'Pokemon Editor'!$F:$F,0)+31+FLOOR(XLOOKUP($Q707,'Threshold Summary'!$Y:$Y,'Threshold Summary'!$P:$P,"")/4))*XLOOKUP($Q707,'Threshold Summary'!$Y:$Y,'Threshold Summary'!$L:$L,""))/100)+5)*XLOOKUP(XLOOKUP($Q707,'Threshold Summary'!$Y:$Y,'Threshold Summary'!$M:$M,""),'Nature Editor'!$A:$A,'Nature Editor'!$B:$B,1)),FLOOR((FLOOR(((2*XLOOKUP(XLOOKUP($Q707,'Threshold Summary'!$Y:$Y,'Threshold Summary'!$K:$K,""),'Pokemon Editor'!$A:$A,'Pokemon Editor'!$H:$H,0)+31+FLOOR(XLOOKUP($Q707,'Threshold Summary'!$Y:$Y,'Threshold Summary'!$R:$R,"")/4))*XLOOKUP($Q707,'Threshold Summary'!$Y:$Y,'Threshold Summary'!$L:$L,""))/100)+5)*XLOOKUP(XLOOKUP($Q707,'Threshold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Editor'!$E:$E,1))),stab,IF(OR(mtype=XLOOKUP(XLOOKUP($Q707,'Threshold Summary'!$Y:$Y,'Threshold Summary'!$K:$K,""),'Pokemon Editor'!$A:$A,'Pokemon Editor'!$C:$C,""),mtype=XLOOKUP(XLOOKUP($Q707,'Threshold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Chart'!$B$1:$S$1,0)))),base,IF(OR(cat="Status",pow=0),0,FLOOR(FLOOR(FLOOR((2*XLOOKUP($Q707,'Threshold Summary'!$Y:$Y,'Threshold Summary'!$L:$L,"")/5+2)*pow*atk/def)/50)+2)),modifier,stab*eff,AVERAGE(ARRAYFORMULA(FLOOR(base*modifier*SEQUENCE(16,1,85,1)/100)))/(FLOOR(((2*XLOOKUP('Boss Editor'!$C$4,'Pokemon Editor'!$A:$A,'Pokemon Editor'!$E:$E,0)+31+FLOOR('Boss Editor'!$G$4/4))*'Boss Editor'!$D$4)/100)+'Boss Editor'!$D$4+10)),0)</f>
        <v/>
      </c>
      <c r="O707" s="3">
        <f>IF(N707&gt;=1,"OHKO",IF(N707&gt;=0.5,"2HKO",IF(N707&gt;=0.333,"3HKO",IF(N707&gt;=0.25,"4HKO","5HKO+"))))</f>
        <v/>
      </c>
      <c r="P707" s="3" t="inlineStr">
        <is>
          <t>Live from editable databases</t>
        </is>
      </c>
      <c r="Q707" s="3" t="inlineStr">
        <is>
          <t>SPECIES_CUTIEFLY</t>
        </is>
      </c>
      <c r="R707" s="3" t="n">
        <v>2</v>
      </c>
    </row>
    <row r="708">
      <c r="A708" s="3">
        <f>XLOOKUP($Q708,'Threshold Summary'!$Y:$Y,'Threshold Summary'!$A:$A,"")</f>
        <v/>
      </c>
      <c r="B708" s="3">
        <f>XLOOKUP($Q708,'Threshold Summary'!$Y:$Y,'Threshold Summary'!$M:$M,"")</f>
        <v/>
      </c>
      <c r="C708" s="3">
        <f>XLOOKUP($Q708,'Threshold Summary'!$Y:$Y,'Threshold Summary'!$N:$N,"")</f>
        <v/>
      </c>
      <c r="D708" s="3">
        <f>IFERROR(INDEX(FILTER('Learnset Editor'!$D$2:$D,'Learnset Editor'!$A$2:$A=XLOOKUP($Q708,'Threshold Summary'!$Y:$Y,'Threshold Summary'!$K:$K,""),'Learnset Editor'!$C$2:$C&lt;=XLOOKUP($Q708,'Threshold Summary'!$Y:$Y,'Threshold Summary'!$L:$L,"")),$R708),"")</f>
        <v/>
      </c>
      <c r="E708" s="3">
        <f>XLOOKUP(D708,'Move Editor'!$B:$B,'Move Editor'!$C:$C,"")</f>
        <v/>
      </c>
      <c r="F708" s="3">
        <f>XLOOKUP(D708,'Move Editor'!$B:$B,'Move Editor'!$D:$D,"")</f>
        <v/>
      </c>
      <c r="G708" s="3">
        <f>XLOOKUP(D708,'Move Editor'!$B:$B,'Move Editor'!$E:$E,0)</f>
        <v/>
      </c>
      <c r="H708" s="3">
        <f>XLOOKUP(D708,'Move Editor'!$B:$B,'Move Editor'!$F:$F,0)</f>
        <v/>
      </c>
      <c r="I708" s="3">
        <f>(INDEX('Type Chart'!$B:$S,MATCH(E708,'Type Chart'!$A:$A,0),MATCH(XLOOKUP('Boss Editor'!$C$4,'Pokemon Editor'!$A:$A,'Pokemon Editor'!$C:$C,""),'Type Chart'!$B$1:$S$1,0))*IF(XLOOKUP('Boss Editor'!$C$4,'Pokemon Editor'!$A:$A,'Pokemon Editor'!$D:$D,"")="",1,INDEX('Type Chart'!$B:$S,MATCH(E708,'Type Chart'!$A:$A,0),MATCH(XLOOKUP('Boss Editor'!$C$4,'Pokemon Editor'!$A:$A,'Pokemon Editor'!$D:$D,""),'Type Chart'!$B$1:$S$1,0))))</f>
        <v/>
      </c>
      <c r="J708" s="3">
        <f>IFERROR(LET(mtype,XLOOKUP($D708,'Move Editor'!$B:$B,'Move Editor'!$C:$C,""),cat,XLOOKUP($D708,'Move Editor'!$B:$B,'Move Editor'!$D:$D,""),pow,XLOOKUP($D708,'Move Editor'!$B:$B,'Move Editor'!$E:$E,0),acc,XLOOKUP($D708,'Move Editor'!$B:$B,'Move Editor'!$F:$F,100),atk,IF(cat="Physical",FLOOR((FLOOR(((2*XLOOKUP(XLOOKUP($Q708,'Threshold Summary'!$Y:$Y,'Threshold Summary'!$K:$K,""),'Pokemon Editor'!$A:$A,'Pokemon Editor'!$F:$F,0)+31+FLOOR(XLOOKUP($Q708,'Threshold Summary'!$Y:$Y,'Threshold Summary'!$P:$P,"")/4))*XLOOKUP($Q708,'Threshold Summary'!$Y:$Y,'Threshold Summary'!$L:$L,""))/100)+5)*XLOOKUP(XLOOKUP($Q708,'Threshold Summary'!$Y:$Y,'Threshold Summary'!$M:$M,""),'Nature Editor'!$A:$A,'Nature Editor'!$B:$B,1)),FLOOR((FLOOR(((2*XLOOKUP(XLOOKUP($Q708,'Threshold Summary'!$Y:$Y,'Threshold Summary'!$K:$K,""),'Pokemon Editor'!$A:$A,'Pokemon Editor'!$H:$H,0)+31+FLOOR(XLOOKUP($Q708,'Threshold Summary'!$Y:$Y,'Threshold Summary'!$R:$R,"")/4))*XLOOKUP($Q708,'Threshold Summary'!$Y:$Y,'Threshold Summary'!$L:$L,""))/100)+5)*XLOOKUP(XLOOKUP($Q708,'Threshold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Editor'!$E:$E,1))),stab,IF(OR(mtype=XLOOKUP(XLOOKUP($Q708,'Threshold Summary'!$Y:$Y,'Threshold Summary'!$K:$K,""),'Pokemon Editor'!$A:$A,'Pokemon Editor'!$C:$C,""),mtype=XLOOKUP(XLOOKUP($Q708,'Threshold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Chart'!$B$1:$S$1,0)))),base,IF(OR(cat="Status",pow=0),0,FLOOR(FLOOR(FLOOR((2*XLOOKUP($Q708,'Threshold Summary'!$Y:$Y,'Threshold Summary'!$L:$L,"")/5+2)*pow*atk/def)/50)+2)),modifier,stab*eff,FLOOR(base*modifier*0.85)),0)</f>
        <v/>
      </c>
      <c r="K708" s="3">
        <f>IFERROR(LET(mtype,XLOOKUP($D708,'Move Editor'!$B:$B,'Move Editor'!$C:$C,""),cat,XLOOKUP($D708,'Move Editor'!$B:$B,'Move Editor'!$D:$D,""),pow,XLOOKUP($D708,'Move Editor'!$B:$B,'Move Editor'!$E:$E,0),acc,XLOOKUP($D708,'Move Editor'!$B:$B,'Move Editor'!$F:$F,100),atk,IF(cat="Physical",FLOOR((FLOOR(((2*XLOOKUP(XLOOKUP($Q708,'Threshold Summary'!$Y:$Y,'Threshold Summary'!$K:$K,""),'Pokemon Editor'!$A:$A,'Pokemon Editor'!$F:$F,0)+31+FLOOR(XLOOKUP($Q708,'Threshold Summary'!$Y:$Y,'Threshold Summary'!$P:$P,"")/4))*XLOOKUP($Q708,'Threshold Summary'!$Y:$Y,'Threshold Summary'!$L:$L,""))/100)+5)*XLOOKUP(XLOOKUP($Q708,'Threshold Summary'!$Y:$Y,'Threshold Summary'!$M:$M,""),'Nature Editor'!$A:$A,'Nature Editor'!$B:$B,1)),FLOOR((FLOOR(((2*XLOOKUP(XLOOKUP($Q708,'Threshold Summary'!$Y:$Y,'Threshold Summary'!$K:$K,""),'Pokemon Editor'!$A:$A,'Pokemon Editor'!$H:$H,0)+31+FLOOR(XLOOKUP($Q708,'Threshold Summary'!$Y:$Y,'Threshold Summary'!$R:$R,"")/4))*XLOOKUP($Q708,'Threshold Summary'!$Y:$Y,'Threshold Summary'!$L:$L,""))/100)+5)*XLOOKUP(XLOOKUP($Q708,'Threshold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Editor'!$E:$E,1))),stab,IF(OR(mtype=XLOOKUP(XLOOKUP($Q708,'Threshold Summary'!$Y:$Y,'Threshold Summary'!$K:$K,""),'Pokemon Editor'!$A:$A,'Pokemon Editor'!$C:$C,""),mtype=XLOOKUP(XLOOKUP($Q708,'Threshold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Chart'!$B$1:$S$1,0)))),base,IF(OR(cat="Status",pow=0),0,FLOOR(FLOOR(FLOOR((2*XLOOKUP($Q708,'Threshold Summary'!$Y:$Y,'Threshold Summary'!$L:$L,"")/5+2)*pow*atk/def)/50)+2)),modifier,stab*eff,FLOOR(base*modifier)),0)</f>
        <v/>
      </c>
      <c r="L708" s="3">
        <f>IFERROR(LET(mtype,XLOOKUP($D708,'Move Editor'!$B:$B,'Move Editor'!$C:$C,""),cat,XLOOKUP($D708,'Move Editor'!$B:$B,'Move Editor'!$D:$D,""),pow,XLOOKUP($D708,'Move Editor'!$B:$B,'Move Editor'!$E:$E,0),acc,XLOOKUP($D708,'Move Editor'!$B:$B,'Move Editor'!$F:$F,100),atk,IF(cat="Physical",FLOOR((FLOOR(((2*XLOOKUP(XLOOKUP($Q708,'Threshold Summary'!$Y:$Y,'Threshold Summary'!$K:$K,""),'Pokemon Editor'!$A:$A,'Pokemon Editor'!$F:$F,0)+31+FLOOR(XLOOKUP($Q708,'Threshold Summary'!$Y:$Y,'Threshold Summary'!$P:$P,"")/4))*XLOOKUP($Q708,'Threshold Summary'!$Y:$Y,'Threshold Summary'!$L:$L,""))/100)+5)*XLOOKUP(XLOOKUP($Q708,'Threshold Summary'!$Y:$Y,'Threshold Summary'!$M:$M,""),'Nature Editor'!$A:$A,'Nature Editor'!$B:$B,1)),FLOOR((FLOOR(((2*XLOOKUP(XLOOKUP($Q708,'Threshold Summary'!$Y:$Y,'Threshold Summary'!$K:$K,""),'Pokemon Editor'!$A:$A,'Pokemon Editor'!$H:$H,0)+31+FLOOR(XLOOKUP($Q708,'Threshold Summary'!$Y:$Y,'Threshold Summary'!$R:$R,"")/4))*XLOOKUP($Q708,'Threshold Summary'!$Y:$Y,'Threshold Summary'!$L:$L,""))/100)+5)*XLOOKUP(XLOOKUP($Q708,'Threshold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Editor'!$E:$E,1))),stab,IF(OR(mtype=XLOOKUP(XLOOKUP($Q708,'Threshold Summary'!$Y:$Y,'Threshold Summary'!$K:$K,""),'Pokemon Editor'!$A:$A,'Pokemon Editor'!$C:$C,""),mtype=XLOOKUP(XLOOKUP($Q708,'Threshold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Chart'!$B$1:$S$1,0)))),base,IF(OR(cat="Status",pow=0),0,FLOOR(FLOOR(FLOOR((2*XLOOKUP($Q708,'Threshold Summary'!$Y:$Y,'Threshold Summary'!$L:$L,"")/5+2)*pow*atk/def)/50)+2)),modifier,stab*eff,AVERAGE(ARRAYFORMULA(FLOOR(base*modifier*SEQUENCE(16,1,85,1)/100)))),0)</f>
        <v/>
      </c>
      <c r="M708" s="3">
        <f>IFERROR(LET(mtype,XLOOKUP($D708,'Move Editor'!$B:$B,'Move Editor'!$C:$C,""),cat,XLOOKUP($D708,'Move Editor'!$B:$B,'Move Editor'!$D:$D,""),pow,XLOOKUP($D708,'Move Editor'!$B:$B,'Move Editor'!$E:$E,0),acc,XLOOKUP($D708,'Move Editor'!$B:$B,'Move Editor'!$F:$F,100),atk,IF(cat="Physical",FLOOR((FLOOR(((2*XLOOKUP(XLOOKUP($Q708,'Threshold Summary'!$Y:$Y,'Threshold Summary'!$K:$K,""),'Pokemon Editor'!$A:$A,'Pokemon Editor'!$F:$F,0)+31+FLOOR(XLOOKUP($Q708,'Threshold Summary'!$Y:$Y,'Threshold Summary'!$P:$P,"")/4))*XLOOKUP($Q708,'Threshold Summary'!$Y:$Y,'Threshold Summary'!$L:$L,""))/100)+5)*XLOOKUP(XLOOKUP($Q708,'Threshold Summary'!$Y:$Y,'Threshold Summary'!$M:$M,""),'Nature Editor'!$A:$A,'Nature Editor'!$B:$B,1)),FLOOR((FLOOR(((2*XLOOKUP(XLOOKUP($Q708,'Threshold Summary'!$Y:$Y,'Threshold Summary'!$K:$K,""),'Pokemon Editor'!$A:$A,'Pokemon Editor'!$H:$H,0)+31+FLOOR(XLOOKUP($Q708,'Threshold Summary'!$Y:$Y,'Threshold Summary'!$R:$R,"")/4))*XLOOKUP($Q708,'Threshold Summary'!$Y:$Y,'Threshold Summary'!$L:$L,""))/100)+5)*XLOOKUP(XLOOKUP($Q708,'Threshold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Editor'!$E:$E,1))),stab,IF(OR(mtype=XLOOKUP(XLOOKUP($Q708,'Threshold Summary'!$Y:$Y,'Threshold Summary'!$K:$K,""),'Pokemon Editor'!$A:$A,'Pokemon Editor'!$C:$C,""),mtype=XLOOKUP(XLOOKUP($Q708,'Threshold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Chart'!$B$1:$S$1,0)))),base,IF(OR(cat="Status",pow=0),0,FLOOR(FLOOR(FLOOR((2*XLOOKUP($Q708,'Threshold Summary'!$Y:$Y,'Threshold Summary'!$L:$L,"")/5+2)*pow*atk/def)/50)+2)),modifier,stab*eff,AVERAGE(ARRAYFORMULA(FLOOR(base*modifier*SEQUENCE(16,1,85,1)/100)))*MIN(1,acc/100)),0)</f>
        <v/>
      </c>
      <c r="N708" s="4">
        <f>IFERROR(LET(mtype,XLOOKUP($D708,'Move Editor'!$B:$B,'Move Editor'!$C:$C,""),cat,XLOOKUP($D708,'Move Editor'!$B:$B,'Move Editor'!$D:$D,""),pow,XLOOKUP($D708,'Move Editor'!$B:$B,'Move Editor'!$E:$E,0),acc,XLOOKUP($D708,'Move Editor'!$B:$B,'Move Editor'!$F:$F,100),atk,IF(cat="Physical",FLOOR((FLOOR(((2*XLOOKUP(XLOOKUP($Q708,'Threshold Summary'!$Y:$Y,'Threshold Summary'!$K:$K,""),'Pokemon Editor'!$A:$A,'Pokemon Editor'!$F:$F,0)+31+FLOOR(XLOOKUP($Q708,'Threshold Summary'!$Y:$Y,'Threshold Summary'!$P:$P,"")/4))*XLOOKUP($Q708,'Threshold Summary'!$Y:$Y,'Threshold Summary'!$L:$L,""))/100)+5)*XLOOKUP(XLOOKUP($Q708,'Threshold Summary'!$Y:$Y,'Threshold Summary'!$M:$M,""),'Nature Editor'!$A:$A,'Nature Editor'!$B:$B,1)),FLOOR((FLOOR(((2*XLOOKUP(XLOOKUP($Q708,'Threshold Summary'!$Y:$Y,'Threshold Summary'!$K:$K,""),'Pokemon Editor'!$A:$A,'Pokemon Editor'!$H:$H,0)+31+FLOOR(XLOOKUP($Q708,'Threshold Summary'!$Y:$Y,'Threshold Summary'!$R:$R,"")/4))*XLOOKUP($Q708,'Threshold Summary'!$Y:$Y,'Threshold Summary'!$L:$L,""))/100)+5)*XLOOKUP(XLOOKUP($Q708,'Threshold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Editor'!$E:$E,1))),stab,IF(OR(mtype=XLOOKUP(XLOOKUP($Q708,'Threshold Summary'!$Y:$Y,'Threshold Summary'!$K:$K,""),'Pokemon Editor'!$A:$A,'Pokemon Editor'!$C:$C,""),mtype=XLOOKUP(XLOOKUP($Q708,'Threshold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Chart'!$B$1:$S$1,0)))),base,IF(OR(cat="Status",pow=0),0,FLOOR(FLOOR(FLOOR((2*XLOOKUP($Q708,'Threshold Summary'!$Y:$Y,'Threshold Summary'!$L:$L,"")/5+2)*pow*atk/def)/50)+2)),modifier,stab*eff,AVERAGE(ARRAYFORMULA(FLOOR(base*modifier*SEQUENCE(16,1,85,1)/100)))/(FLOOR(((2*XLOOKUP('Boss Editor'!$C$4,'Pokemon Editor'!$A:$A,'Pokemon Editor'!$E:$E,0)+31+FLOOR('Boss Editor'!$G$4/4))*'Boss Editor'!$D$4)/100)+'Boss Editor'!$D$4+10)),0)</f>
        <v/>
      </c>
      <c r="O708" s="3">
        <f>IF(N708&gt;=1,"OHKO",IF(N708&gt;=0.5,"2HKO",IF(N708&gt;=0.333,"3HKO",IF(N708&gt;=0.25,"4HKO","5HKO+"))))</f>
        <v/>
      </c>
      <c r="P708" s="3" t="inlineStr">
        <is>
          <t>Live from editable databases</t>
        </is>
      </c>
      <c r="Q708" s="3" t="inlineStr">
        <is>
          <t>SPECIES_CUTIEFLY</t>
        </is>
      </c>
      <c r="R708" s="3" t="n">
        <v>3</v>
      </c>
    </row>
    <row r="709">
      <c r="A709" s="3">
        <f>XLOOKUP($Q709,'Threshold Summary'!$Y:$Y,'Threshold Summary'!$A:$A,"")</f>
        <v/>
      </c>
      <c r="B709" s="3">
        <f>XLOOKUP($Q709,'Threshold Summary'!$Y:$Y,'Threshold Summary'!$M:$M,"")</f>
        <v/>
      </c>
      <c r="C709" s="3">
        <f>XLOOKUP($Q709,'Threshold Summary'!$Y:$Y,'Threshold Summary'!$N:$N,"")</f>
        <v/>
      </c>
      <c r="D709" s="3">
        <f>IFERROR(INDEX(FILTER('Learnset Editor'!$D$2:$D,'Learnset Editor'!$A$2:$A=XLOOKUP($Q709,'Threshold Summary'!$Y:$Y,'Threshold Summary'!$K:$K,""),'Learnset Editor'!$C$2:$C&lt;=XLOOKUP($Q709,'Threshold Summary'!$Y:$Y,'Threshold Summary'!$L:$L,"")),$R709),"")</f>
        <v/>
      </c>
      <c r="E709" s="3">
        <f>XLOOKUP(D709,'Move Editor'!$B:$B,'Move Editor'!$C:$C,"")</f>
        <v/>
      </c>
      <c r="F709" s="3">
        <f>XLOOKUP(D709,'Move Editor'!$B:$B,'Move Editor'!$D:$D,"")</f>
        <v/>
      </c>
      <c r="G709" s="3">
        <f>XLOOKUP(D709,'Move Editor'!$B:$B,'Move Editor'!$E:$E,0)</f>
        <v/>
      </c>
      <c r="H709" s="3">
        <f>XLOOKUP(D709,'Move Editor'!$B:$B,'Move Editor'!$F:$F,0)</f>
        <v/>
      </c>
      <c r="I709" s="3">
        <f>(INDEX('Type Chart'!$B:$S,MATCH(E709,'Type Chart'!$A:$A,0),MATCH(XLOOKUP('Boss Editor'!$C$4,'Pokemon Editor'!$A:$A,'Pokemon Editor'!$C:$C,""),'Type Chart'!$B$1:$S$1,0))*IF(XLOOKUP('Boss Editor'!$C$4,'Pokemon Editor'!$A:$A,'Pokemon Editor'!$D:$D,"")="",1,INDEX('Type Chart'!$B:$S,MATCH(E709,'Type Chart'!$A:$A,0),MATCH(XLOOKUP('Boss Editor'!$C$4,'Pokemon Editor'!$A:$A,'Pokemon Editor'!$D:$D,""),'Type Chart'!$B$1:$S$1,0))))</f>
        <v/>
      </c>
      <c r="J709" s="3">
        <f>IFERROR(LET(mtype,XLOOKUP($D709,'Move Editor'!$B:$B,'Move Editor'!$C:$C,""),cat,XLOOKUP($D709,'Move Editor'!$B:$B,'Move Editor'!$D:$D,""),pow,XLOOKUP($D709,'Move Editor'!$B:$B,'Move Editor'!$E:$E,0),acc,XLOOKUP($D709,'Move Editor'!$B:$B,'Move Editor'!$F:$F,100),atk,IF(cat="Physical",FLOOR((FLOOR(((2*XLOOKUP(XLOOKUP($Q709,'Threshold Summary'!$Y:$Y,'Threshold Summary'!$K:$K,""),'Pokemon Editor'!$A:$A,'Pokemon Editor'!$F:$F,0)+31+FLOOR(XLOOKUP($Q709,'Threshold Summary'!$Y:$Y,'Threshold Summary'!$P:$P,"")/4))*XLOOKUP($Q709,'Threshold Summary'!$Y:$Y,'Threshold Summary'!$L:$L,""))/100)+5)*XLOOKUP(XLOOKUP($Q709,'Threshold Summary'!$Y:$Y,'Threshold Summary'!$M:$M,""),'Nature Editor'!$A:$A,'Nature Editor'!$B:$B,1)),FLOOR((FLOOR(((2*XLOOKUP(XLOOKUP($Q709,'Threshold Summary'!$Y:$Y,'Threshold Summary'!$K:$K,""),'Pokemon Editor'!$A:$A,'Pokemon Editor'!$H:$H,0)+31+FLOOR(XLOOKUP($Q709,'Threshold Summary'!$Y:$Y,'Threshold Summary'!$R:$R,"")/4))*XLOOKUP($Q709,'Threshold Summary'!$Y:$Y,'Threshold Summary'!$L:$L,""))/100)+5)*XLOOKUP(XLOOKUP($Q709,'Threshold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Editor'!$E:$E,1))),stab,IF(OR(mtype=XLOOKUP(XLOOKUP($Q709,'Threshold Summary'!$Y:$Y,'Threshold Summary'!$K:$K,""),'Pokemon Editor'!$A:$A,'Pokemon Editor'!$C:$C,""),mtype=XLOOKUP(XLOOKUP($Q709,'Threshold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Chart'!$B$1:$S$1,0)))),base,IF(OR(cat="Status",pow=0),0,FLOOR(FLOOR(FLOOR((2*XLOOKUP($Q709,'Threshold Summary'!$Y:$Y,'Threshold Summary'!$L:$L,"")/5+2)*pow*atk/def)/50)+2)),modifier,stab*eff,FLOOR(base*modifier*0.85)),0)</f>
        <v/>
      </c>
      <c r="K709" s="3">
        <f>IFERROR(LET(mtype,XLOOKUP($D709,'Move Editor'!$B:$B,'Move Editor'!$C:$C,""),cat,XLOOKUP($D709,'Move Editor'!$B:$B,'Move Editor'!$D:$D,""),pow,XLOOKUP($D709,'Move Editor'!$B:$B,'Move Editor'!$E:$E,0),acc,XLOOKUP($D709,'Move Editor'!$B:$B,'Move Editor'!$F:$F,100),atk,IF(cat="Physical",FLOOR((FLOOR(((2*XLOOKUP(XLOOKUP($Q709,'Threshold Summary'!$Y:$Y,'Threshold Summary'!$K:$K,""),'Pokemon Editor'!$A:$A,'Pokemon Editor'!$F:$F,0)+31+FLOOR(XLOOKUP($Q709,'Threshold Summary'!$Y:$Y,'Threshold Summary'!$P:$P,"")/4))*XLOOKUP($Q709,'Threshold Summary'!$Y:$Y,'Threshold Summary'!$L:$L,""))/100)+5)*XLOOKUP(XLOOKUP($Q709,'Threshold Summary'!$Y:$Y,'Threshold Summary'!$M:$M,""),'Nature Editor'!$A:$A,'Nature Editor'!$B:$B,1)),FLOOR((FLOOR(((2*XLOOKUP(XLOOKUP($Q709,'Threshold Summary'!$Y:$Y,'Threshold Summary'!$K:$K,""),'Pokemon Editor'!$A:$A,'Pokemon Editor'!$H:$H,0)+31+FLOOR(XLOOKUP($Q709,'Threshold Summary'!$Y:$Y,'Threshold Summary'!$R:$R,"")/4))*XLOOKUP($Q709,'Threshold Summary'!$Y:$Y,'Threshold Summary'!$L:$L,""))/100)+5)*XLOOKUP(XLOOKUP($Q709,'Threshold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Editor'!$E:$E,1))),stab,IF(OR(mtype=XLOOKUP(XLOOKUP($Q709,'Threshold Summary'!$Y:$Y,'Threshold Summary'!$K:$K,""),'Pokemon Editor'!$A:$A,'Pokemon Editor'!$C:$C,""),mtype=XLOOKUP(XLOOKUP($Q709,'Threshold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Chart'!$B$1:$S$1,0)))),base,IF(OR(cat="Status",pow=0),0,FLOOR(FLOOR(FLOOR((2*XLOOKUP($Q709,'Threshold Summary'!$Y:$Y,'Threshold Summary'!$L:$L,"")/5+2)*pow*atk/def)/50)+2)),modifier,stab*eff,FLOOR(base*modifier)),0)</f>
        <v/>
      </c>
      <c r="L709" s="3">
        <f>IFERROR(LET(mtype,XLOOKUP($D709,'Move Editor'!$B:$B,'Move Editor'!$C:$C,""),cat,XLOOKUP($D709,'Move Editor'!$B:$B,'Move Editor'!$D:$D,""),pow,XLOOKUP($D709,'Move Editor'!$B:$B,'Move Editor'!$E:$E,0),acc,XLOOKUP($D709,'Move Editor'!$B:$B,'Move Editor'!$F:$F,100),atk,IF(cat="Physical",FLOOR((FLOOR(((2*XLOOKUP(XLOOKUP($Q709,'Threshold Summary'!$Y:$Y,'Threshold Summary'!$K:$K,""),'Pokemon Editor'!$A:$A,'Pokemon Editor'!$F:$F,0)+31+FLOOR(XLOOKUP($Q709,'Threshold Summary'!$Y:$Y,'Threshold Summary'!$P:$P,"")/4))*XLOOKUP($Q709,'Threshold Summary'!$Y:$Y,'Threshold Summary'!$L:$L,""))/100)+5)*XLOOKUP(XLOOKUP($Q709,'Threshold Summary'!$Y:$Y,'Threshold Summary'!$M:$M,""),'Nature Editor'!$A:$A,'Nature Editor'!$B:$B,1)),FLOOR((FLOOR(((2*XLOOKUP(XLOOKUP($Q709,'Threshold Summary'!$Y:$Y,'Threshold Summary'!$K:$K,""),'Pokemon Editor'!$A:$A,'Pokemon Editor'!$H:$H,0)+31+FLOOR(XLOOKUP($Q709,'Threshold Summary'!$Y:$Y,'Threshold Summary'!$R:$R,"")/4))*XLOOKUP($Q709,'Threshold Summary'!$Y:$Y,'Threshold Summary'!$L:$L,""))/100)+5)*XLOOKUP(XLOOKUP($Q709,'Threshold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Editor'!$E:$E,1))),stab,IF(OR(mtype=XLOOKUP(XLOOKUP($Q709,'Threshold Summary'!$Y:$Y,'Threshold Summary'!$K:$K,""),'Pokemon Editor'!$A:$A,'Pokemon Editor'!$C:$C,""),mtype=XLOOKUP(XLOOKUP($Q709,'Threshold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Chart'!$B$1:$S$1,0)))),base,IF(OR(cat="Status",pow=0),0,FLOOR(FLOOR(FLOOR((2*XLOOKUP($Q709,'Threshold Summary'!$Y:$Y,'Threshold Summary'!$L:$L,"")/5+2)*pow*atk/def)/50)+2)),modifier,stab*eff,AVERAGE(ARRAYFORMULA(FLOOR(base*modifier*SEQUENCE(16,1,85,1)/100)))),0)</f>
        <v/>
      </c>
      <c r="M709" s="3">
        <f>IFERROR(LET(mtype,XLOOKUP($D709,'Move Editor'!$B:$B,'Move Editor'!$C:$C,""),cat,XLOOKUP($D709,'Move Editor'!$B:$B,'Move Editor'!$D:$D,""),pow,XLOOKUP($D709,'Move Editor'!$B:$B,'Move Editor'!$E:$E,0),acc,XLOOKUP($D709,'Move Editor'!$B:$B,'Move Editor'!$F:$F,100),atk,IF(cat="Physical",FLOOR((FLOOR(((2*XLOOKUP(XLOOKUP($Q709,'Threshold Summary'!$Y:$Y,'Threshold Summary'!$K:$K,""),'Pokemon Editor'!$A:$A,'Pokemon Editor'!$F:$F,0)+31+FLOOR(XLOOKUP($Q709,'Threshold Summary'!$Y:$Y,'Threshold Summary'!$P:$P,"")/4))*XLOOKUP($Q709,'Threshold Summary'!$Y:$Y,'Threshold Summary'!$L:$L,""))/100)+5)*XLOOKUP(XLOOKUP($Q709,'Threshold Summary'!$Y:$Y,'Threshold Summary'!$M:$M,""),'Nature Editor'!$A:$A,'Nature Editor'!$B:$B,1)),FLOOR((FLOOR(((2*XLOOKUP(XLOOKUP($Q709,'Threshold Summary'!$Y:$Y,'Threshold Summary'!$K:$K,""),'Pokemon Editor'!$A:$A,'Pokemon Editor'!$H:$H,0)+31+FLOOR(XLOOKUP($Q709,'Threshold Summary'!$Y:$Y,'Threshold Summary'!$R:$R,"")/4))*XLOOKUP($Q709,'Threshold Summary'!$Y:$Y,'Threshold Summary'!$L:$L,""))/100)+5)*XLOOKUP(XLOOKUP($Q709,'Threshold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Editor'!$E:$E,1))),stab,IF(OR(mtype=XLOOKUP(XLOOKUP($Q709,'Threshold Summary'!$Y:$Y,'Threshold Summary'!$K:$K,""),'Pokemon Editor'!$A:$A,'Pokemon Editor'!$C:$C,""),mtype=XLOOKUP(XLOOKUP($Q709,'Threshold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Chart'!$B$1:$S$1,0)))),base,IF(OR(cat="Status",pow=0),0,FLOOR(FLOOR(FLOOR((2*XLOOKUP($Q709,'Threshold Summary'!$Y:$Y,'Threshold Summary'!$L:$L,"")/5+2)*pow*atk/def)/50)+2)),modifier,stab*eff,AVERAGE(ARRAYFORMULA(FLOOR(base*modifier*SEQUENCE(16,1,85,1)/100)))*MIN(1,acc/100)),0)</f>
        <v/>
      </c>
      <c r="N709" s="4">
        <f>IFERROR(LET(mtype,XLOOKUP($D709,'Move Editor'!$B:$B,'Move Editor'!$C:$C,""),cat,XLOOKUP($D709,'Move Editor'!$B:$B,'Move Editor'!$D:$D,""),pow,XLOOKUP($D709,'Move Editor'!$B:$B,'Move Editor'!$E:$E,0),acc,XLOOKUP($D709,'Move Editor'!$B:$B,'Move Editor'!$F:$F,100),atk,IF(cat="Physical",FLOOR((FLOOR(((2*XLOOKUP(XLOOKUP($Q709,'Threshold Summary'!$Y:$Y,'Threshold Summary'!$K:$K,""),'Pokemon Editor'!$A:$A,'Pokemon Editor'!$F:$F,0)+31+FLOOR(XLOOKUP($Q709,'Threshold Summary'!$Y:$Y,'Threshold Summary'!$P:$P,"")/4))*XLOOKUP($Q709,'Threshold Summary'!$Y:$Y,'Threshold Summary'!$L:$L,""))/100)+5)*XLOOKUP(XLOOKUP($Q709,'Threshold Summary'!$Y:$Y,'Threshold Summary'!$M:$M,""),'Nature Editor'!$A:$A,'Nature Editor'!$B:$B,1)),FLOOR((FLOOR(((2*XLOOKUP(XLOOKUP($Q709,'Threshold Summary'!$Y:$Y,'Threshold Summary'!$K:$K,""),'Pokemon Editor'!$A:$A,'Pokemon Editor'!$H:$H,0)+31+FLOOR(XLOOKUP($Q709,'Threshold Summary'!$Y:$Y,'Threshold Summary'!$R:$R,"")/4))*XLOOKUP($Q709,'Threshold Summary'!$Y:$Y,'Threshold Summary'!$L:$L,""))/100)+5)*XLOOKUP(XLOOKUP($Q709,'Threshold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Editor'!$E:$E,1))),stab,IF(OR(mtype=XLOOKUP(XLOOKUP($Q709,'Threshold Summary'!$Y:$Y,'Threshold Summary'!$K:$K,""),'Pokemon Editor'!$A:$A,'Pokemon Editor'!$C:$C,""),mtype=XLOOKUP(XLOOKUP($Q709,'Threshold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Chart'!$B$1:$S$1,0)))),base,IF(OR(cat="Status",pow=0),0,FLOOR(FLOOR(FLOOR((2*XLOOKUP($Q709,'Threshold Summary'!$Y:$Y,'Threshold Summary'!$L:$L,"")/5+2)*pow*atk/def)/50)+2)),modifier,stab*eff,AVERAGE(ARRAYFORMULA(FLOOR(base*modifier*SEQUENCE(16,1,85,1)/100)))/(FLOOR(((2*XLOOKUP('Boss Editor'!$C$4,'Pokemon Editor'!$A:$A,'Pokemon Editor'!$E:$E,0)+31+FLOOR('Boss Editor'!$G$4/4))*'Boss Editor'!$D$4)/100)+'Boss Editor'!$D$4+10)),0)</f>
        <v/>
      </c>
      <c r="O709" s="3">
        <f>IF(N709&gt;=1,"OHKO",IF(N709&gt;=0.5,"2HKO",IF(N709&gt;=0.333,"3HKO",IF(N709&gt;=0.25,"4HKO","5HKO+"))))</f>
        <v/>
      </c>
      <c r="P709" s="3" t="inlineStr">
        <is>
          <t>Live from editable databases</t>
        </is>
      </c>
      <c r="Q709" s="3" t="inlineStr">
        <is>
          <t>SPECIES_CUTIEFLY</t>
        </is>
      </c>
      <c r="R709" s="3" t="n">
        <v>4</v>
      </c>
    </row>
    <row r="710">
      <c r="A710" s="3">
        <f>XLOOKUP($Q710,'Threshold Summary'!$Y:$Y,'Threshold Summary'!$A:$A,"")</f>
        <v/>
      </c>
      <c r="B710" s="3">
        <f>XLOOKUP($Q710,'Threshold Summary'!$Y:$Y,'Threshold Summary'!$M:$M,"")</f>
        <v/>
      </c>
      <c r="C710" s="3">
        <f>XLOOKUP($Q710,'Threshold Summary'!$Y:$Y,'Threshold Summary'!$N:$N,"")</f>
        <v/>
      </c>
      <c r="D710" s="3">
        <f>IFERROR(INDEX(FILTER('Learnset Editor'!$D$2:$D,'Learnset Editor'!$A$2:$A=XLOOKUP($Q710,'Threshold Summary'!$Y:$Y,'Threshold Summary'!$K:$K,""),'Learnset Editor'!$C$2:$C&lt;=XLOOKUP($Q710,'Threshold Summary'!$Y:$Y,'Threshold Summary'!$L:$L,"")),$R710),"")</f>
        <v/>
      </c>
      <c r="E710" s="3">
        <f>XLOOKUP(D710,'Move Editor'!$B:$B,'Move Editor'!$C:$C,"")</f>
        <v/>
      </c>
      <c r="F710" s="3">
        <f>XLOOKUP(D710,'Move Editor'!$B:$B,'Move Editor'!$D:$D,"")</f>
        <v/>
      </c>
      <c r="G710" s="3">
        <f>XLOOKUP(D710,'Move Editor'!$B:$B,'Move Editor'!$E:$E,0)</f>
        <v/>
      </c>
      <c r="H710" s="3">
        <f>XLOOKUP(D710,'Move Editor'!$B:$B,'Move Editor'!$F:$F,0)</f>
        <v/>
      </c>
      <c r="I710" s="3">
        <f>(INDEX('Type Chart'!$B:$S,MATCH(E710,'Type Chart'!$A:$A,0),MATCH(XLOOKUP('Boss Editor'!$C$4,'Pokemon Editor'!$A:$A,'Pokemon Editor'!$C:$C,""),'Type Chart'!$B$1:$S$1,0))*IF(XLOOKUP('Boss Editor'!$C$4,'Pokemon Editor'!$A:$A,'Pokemon Editor'!$D:$D,"")="",1,INDEX('Type Chart'!$B:$S,MATCH(E710,'Type Chart'!$A:$A,0),MATCH(XLOOKUP('Boss Editor'!$C$4,'Pokemon Editor'!$A:$A,'Pokemon Editor'!$D:$D,""),'Type Chart'!$B$1:$S$1,0))))</f>
        <v/>
      </c>
      <c r="J710" s="3">
        <f>IFERROR(LET(mtype,XLOOKUP($D710,'Move Editor'!$B:$B,'Move Editor'!$C:$C,""),cat,XLOOKUP($D710,'Move Editor'!$B:$B,'Move Editor'!$D:$D,""),pow,XLOOKUP($D710,'Move Editor'!$B:$B,'Move Editor'!$E:$E,0),acc,XLOOKUP($D710,'Move Editor'!$B:$B,'Move Editor'!$F:$F,100),atk,IF(cat="Physical",FLOOR((FLOOR(((2*XLOOKUP(XLOOKUP($Q710,'Threshold Summary'!$Y:$Y,'Threshold Summary'!$K:$K,""),'Pokemon Editor'!$A:$A,'Pokemon Editor'!$F:$F,0)+31+FLOOR(XLOOKUP($Q710,'Threshold Summary'!$Y:$Y,'Threshold Summary'!$P:$P,"")/4))*XLOOKUP($Q710,'Threshold Summary'!$Y:$Y,'Threshold Summary'!$L:$L,""))/100)+5)*XLOOKUP(XLOOKUP($Q710,'Threshold Summary'!$Y:$Y,'Threshold Summary'!$M:$M,""),'Nature Editor'!$A:$A,'Nature Editor'!$B:$B,1)),FLOOR((FLOOR(((2*XLOOKUP(XLOOKUP($Q710,'Threshold Summary'!$Y:$Y,'Threshold Summary'!$K:$K,""),'Pokemon Editor'!$A:$A,'Pokemon Editor'!$H:$H,0)+31+FLOOR(XLOOKUP($Q710,'Threshold Summary'!$Y:$Y,'Threshold Summary'!$R:$R,"")/4))*XLOOKUP($Q710,'Threshold Summary'!$Y:$Y,'Threshold Summary'!$L:$L,""))/100)+5)*XLOOKUP(XLOOKUP($Q710,'Threshold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Editor'!$E:$E,1))),stab,IF(OR(mtype=XLOOKUP(XLOOKUP($Q710,'Threshold Summary'!$Y:$Y,'Threshold Summary'!$K:$K,""),'Pokemon Editor'!$A:$A,'Pokemon Editor'!$C:$C,""),mtype=XLOOKUP(XLOOKUP($Q710,'Threshold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Chart'!$B$1:$S$1,0)))),base,IF(OR(cat="Status",pow=0),0,FLOOR(FLOOR(FLOOR((2*XLOOKUP($Q710,'Threshold Summary'!$Y:$Y,'Threshold Summary'!$L:$L,"")/5+2)*pow*atk/def)/50)+2)),modifier,stab*eff,FLOOR(base*modifier*0.85)),0)</f>
        <v/>
      </c>
      <c r="K710" s="3">
        <f>IFERROR(LET(mtype,XLOOKUP($D710,'Move Editor'!$B:$B,'Move Editor'!$C:$C,""),cat,XLOOKUP($D710,'Move Editor'!$B:$B,'Move Editor'!$D:$D,""),pow,XLOOKUP($D710,'Move Editor'!$B:$B,'Move Editor'!$E:$E,0),acc,XLOOKUP($D710,'Move Editor'!$B:$B,'Move Editor'!$F:$F,100),atk,IF(cat="Physical",FLOOR((FLOOR(((2*XLOOKUP(XLOOKUP($Q710,'Threshold Summary'!$Y:$Y,'Threshold Summary'!$K:$K,""),'Pokemon Editor'!$A:$A,'Pokemon Editor'!$F:$F,0)+31+FLOOR(XLOOKUP($Q710,'Threshold Summary'!$Y:$Y,'Threshold Summary'!$P:$P,"")/4))*XLOOKUP($Q710,'Threshold Summary'!$Y:$Y,'Threshold Summary'!$L:$L,""))/100)+5)*XLOOKUP(XLOOKUP($Q710,'Threshold Summary'!$Y:$Y,'Threshold Summary'!$M:$M,""),'Nature Editor'!$A:$A,'Nature Editor'!$B:$B,1)),FLOOR((FLOOR(((2*XLOOKUP(XLOOKUP($Q710,'Threshold Summary'!$Y:$Y,'Threshold Summary'!$K:$K,""),'Pokemon Editor'!$A:$A,'Pokemon Editor'!$H:$H,0)+31+FLOOR(XLOOKUP($Q710,'Threshold Summary'!$Y:$Y,'Threshold Summary'!$R:$R,"")/4))*XLOOKUP($Q710,'Threshold Summary'!$Y:$Y,'Threshold Summary'!$L:$L,""))/100)+5)*XLOOKUP(XLOOKUP($Q710,'Threshold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Editor'!$E:$E,1))),stab,IF(OR(mtype=XLOOKUP(XLOOKUP($Q710,'Threshold Summary'!$Y:$Y,'Threshold Summary'!$K:$K,""),'Pokemon Editor'!$A:$A,'Pokemon Editor'!$C:$C,""),mtype=XLOOKUP(XLOOKUP($Q710,'Threshold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Chart'!$B$1:$S$1,0)))),base,IF(OR(cat="Status",pow=0),0,FLOOR(FLOOR(FLOOR((2*XLOOKUP($Q710,'Threshold Summary'!$Y:$Y,'Threshold Summary'!$L:$L,"")/5+2)*pow*atk/def)/50)+2)),modifier,stab*eff,FLOOR(base*modifier)),0)</f>
        <v/>
      </c>
      <c r="L710" s="3">
        <f>IFERROR(LET(mtype,XLOOKUP($D710,'Move Editor'!$B:$B,'Move Editor'!$C:$C,""),cat,XLOOKUP($D710,'Move Editor'!$B:$B,'Move Editor'!$D:$D,""),pow,XLOOKUP($D710,'Move Editor'!$B:$B,'Move Editor'!$E:$E,0),acc,XLOOKUP($D710,'Move Editor'!$B:$B,'Move Editor'!$F:$F,100),atk,IF(cat="Physical",FLOOR((FLOOR(((2*XLOOKUP(XLOOKUP($Q710,'Threshold Summary'!$Y:$Y,'Threshold Summary'!$K:$K,""),'Pokemon Editor'!$A:$A,'Pokemon Editor'!$F:$F,0)+31+FLOOR(XLOOKUP($Q710,'Threshold Summary'!$Y:$Y,'Threshold Summary'!$P:$P,"")/4))*XLOOKUP($Q710,'Threshold Summary'!$Y:$Y,'Threshold Summary'!$L:$L,""))/100)+5)*XLOOKUP(XLOOKUP($Q710,'Threshold Summary'!$Y:$Y,'Threshold Summary'!$M:$M,""),'Nature Editor'!$A:$A,'Nature Editor'!$B:$B,1)),FLOOR((FLOOR(((2*XLOOKUP(XLOOKUP($Q710,'Threshold Summary'!$Y:$Y,'Threshold Summary'!$K:$K,""),'Pokemon Editor'!$A:$A,'Pokemon Editor'!$H:$H,0)+31+FLOOR(XLOOKUP($Q710,'Threshold Summary'!$Y:$Y,'Threshold Summary'!$R:$R,"")/4))*XLOOKUP($Q710,'Threshold Summary'!$Y:$Y,'Threshold Summary'!$L:$L,""))/100)+5)*XLOOKUP(XLOOKUP($Q710,'Threshold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Editor'!$E:$E,1))),stab,IF(OR(mtype=XLOOKUP(XLOOKUP($Q710,'Threshold Summary'!$Y:$Y,'Threshold Summary'!$K:$K,""),'Pokemon Editor'!$A:$A,'Pokemon Editor'!$C:$C,""),mtype=XLOOKUP(XLOOKUP($Q710,'Threshold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Chart'!$B$1:$S$1,0)))),base,IF(OR(cat="Status",pow=0),0,FLOOR(FLOOR(FLOOR((2*XLOOKUP($Q710,'Threshold Summary'!$Y:$Y,'Threshold Summary'!$L:$L,"")/5+2)*pow*atk/def)/50)+2)),modifier,stab*eff,AVERAGE(ARRAYFORMULA(FLOOR(base*modifier*SEQUENCE(16,1,85,1)/100)))),0)</f>
        <v/>
      </c>
      <c r="M710" s="3">
        <f>IFERROR(LET(mtype,XLOOKUP($D710,'Move Editor'!$B:$B,'Move Editor'!$C:$C,""),cat,XLOOKUP($D710,'Move Editor'!$B:$B,'Move Editor'!$D:$D,""),pow,XLOOKUP($D710,'Move Editor'!$B:$B,'Move Editor'!$E:$E,0),acc,XLOOKUP($D710,'Move Editor'!$B:$B,'Move Editor'!$F:$F,100),atk,IF(cat="Physical",FLOOR((FLOOR(((2*XLOOKUP(XLOOKUP($Q710,'Threshold Summary'!$Y:$Y,'Threshold Summary'!$K:$K,""),'Pokemon Editor'!$A:$A,'Pokemon Editor'!$F:$F,0)+31+FLOOR(XLOOKUP($Q710,'Threshold Summary'!$Y:$Y,'Threshold Summary'!$P:$P,"")/4))*XLOOKUP($Q710,'Threshold Summary'!$Y:$Y,'Threshold Summary'!$L:$L,""))/100)+5)*XLOOKUP(XLOOKUP($Q710,'Threshold Summary'!$Y:$Y,'Threshold Summary'!$M:$M,""),'Nature Editor'!$A:$A,'Nature Editor'!$B:$B,1)),FLOOR((FLOOR(((2*XLOOKUP(XLOOKUP($Q710,'Threshold Summary'!$Y:$Y,'Threshold Summary'!$K:$K,""),'Pokemon Editor'!$A:$A,'Pokemon Editor'!$H:$H,0)+31+FLOOR(XLOOKUP($Q710,'Threshold Summary'!$Y:$Y,'Threshold Summary'!$R:$R,"")/4))*XLOOKUP($Q710,'Threshold Summary'!$Y:$Y,'Threshold Summary'!$L:$L,""))/100)+5)*XLOOKUP(XLOOKUP($Q710,'Threshold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Editor'!$E:$E,1))),stab,IF(OR(mtype=XLOOKUP(XLOOKUP($Q710,'Threshold Summary'!$Y:$Y,'Threshold Summary'!$K:$K,""),'Pokemon Editor'!$A:$A,'Pokemon Editor'!$C:$C,""),mtype=XLOOKUP(XLOOKUP($Q710,'Threshold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Chart'!$B$1:$S$1,0)))),base,IF(OR(cat="Status",pow=0),0,FLOOR(FLOOR(FLOOR((2*XLOOKUP($Q710,'Threshold Summary'!$Y:$Y,'Threshold Summary'!$L:$L,"")/5+2)*pow*atk/def)/50)+2)),modifier,stab*eff,AVERAGE(ARRAYFORMULA(FLOOR(base*modifier*SEQUENCE(16,1,85,1)/100)))*MIN(1,acc/100)),0)</f>
        <v/>
      </c>
      <c r="N710" s="4">
        <f>IFERROR(LET(mtype,XLOOKUP($D710,'Move Editor'!$B:$B,'Move Editor'!$C:$C,""),cat,XLOOKUP($D710,'Move Editor'!$B:$B,'Move Editor'!$D:$D,""),pow,XLOOKUP($D710,'Move Editor'!$B:$B,'Move Editor'!$E:$E,0),acc,XLOOKUP($D710,'Move Editor'!$B:$B,'Move Editor'!$F:$F,100),atk,IF(cat="Physical",FLOOR((FLOOR(((2*XLOOKUP(XLOOKUP($Q710,'Threshold Summary'!$Y:$Y,'Threshold Summary'!$K:$K,""),'Pokemon Editor'!$A:$A,'Pokemon Editor'!$F:$F,0)+31+FLOOR(XLOOKUP($Q710,'Threshold Summary'!$Y:$Y,'Threshold Summary'!$P:$P,"")/4))*XLOOKUP($Q710,'Threshold Summary'!$Y:$Y,'Threshold Summary'!$L:$L,""))/100)+5)*XLOOKUP(XLOOKUP($Q710,'Threshold Summary'!$Y:$Y,'Threshold Summary'!$M:$M,""),'Nature Editor'!$A:$A,'Nature Editor'!$B:$B,1)),FLOOR((FLOOR(((2*XLOOKUP(XLOOKUP($Q710,'Threshold Summary'!$Y:$Y,'Threshold Summary'!$K:$K,""),'Pokemon Editor'!$A:$A,'Pokemon Editor'!$H:$H,0)+31+FLOOR(XLOOKUP($Q710,'Threshold Summary'!$Y:$Y,'Threshold Summary'!$R:$R,"")/4))*XLOOKUP($Q710,'Threshold Summary'!$Y:$Y,'Threshold Summary'!$L:$L,""))/100)+5)*XLOOKUP(XLOOKUP($Q710,'Threshold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Editor'!$E:$E,1))),stab,IF(OR(mtype=XLOOKUP(XLOOKUP($Q710,'Threshold Summary'!$Y:$Y,'Threshold Summary'!$K:$K,""),'Pokemon Editor'!$A:$A,'Pokemon Editor'!$C:$C,""),mtype=XLOOKUP(XLOOKUP($Q710,'Threshold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Chart'!$B$1:$S$1,0)))),base,IF(OR(cat="Status",pow=0),0,FLOOR(FLOOR(FLOOR((2*XLOOKUP($Q710,'Threshold Summary'!$Y:$Y,'Threshold Summary'!$L:$L,"")/5+2)*pow*atk/def)/50)+2)),modifier,stab*eff,AVERAGE(ARRAYFORMULA(FLOOR(base*modifier*SEQUENCE(16,1,85,1)/100)))/(FLOOR(((2*XLOOKUP('Boss Editor'!$C$4,'Pokemon Editor'!$A:$A,'Pokemon Editor'!$E:$E,0)+31+FLOOR('Boss Editor'!$G$4/4))*'Boss Editor'!$D$4)/100)+'Boss Editor'!$D$4+10)),0)</f>
        <v/>
      </c>
      <c r="O710" s="3">
        <f>IF(N710&gt;=1,"OHKO",IF(N710&gt;=0.5,"2HKO",IF(N710&gt;=0.333,"3HKO",IF(N710&gt;=0.25,"4HKO","5HKO+"))))</f>
        <v/>
      </c>
      <c r="P710" s="3" t="inlineStr">
        <is>
          <t>Live from editable databases</t>
        </is>
      </c>
      <c r="Q710" s="3" t="inlineStr">
        <is>
          <t>SPECIES_CUTIEFLY</t>
        </is>
      </c>
      <c r="R710" s="3" t="n">
        <v>5</v>
      </c>
    </row>
    <row r="711">
      <c r="A711" s="3">
        <f>XLOOKUP($Q711,'Threshold Summary'!$Y:$Y,'Threshold Summary'!$A:$A,"")</f>
        <v/>
      </c>
      <c r="B711" s="3">
        <f>XLOOKUP($Q711,'Threshold Summary'!$Y:$Y,'Threshold Summary'!$M:$M,"")</f>
        <v/>
      </c>
      <c r="C711" s="3">
        <f>XLOOKUP($Q711,'Threshold Summary'!$Y:$Y,'Threshold Summary'!$N:$N,"")</f>
        <v/>
      </c>
      <c r="D711" s="3">
        <f>IFERROR(INDEX(FILTER('Learnset Editor'!$D$2:$D,'Learnset Editor'!$A$2:$A=XLOOKUP($Q711,'Threshold Summary'!$Y:$Y,'Threshold Summary'!$K:$K,""),'Learnset Editor'!$C$2:$C&lt;=XLOOKUP($Q711,'Threshold Summary'!$Y:$Y,'Threshold Summary'!$L:$L,"")),$R711),"")</f>
        <v/>
      </c>
      <c r="E711" s="3">
        <f>XLOOKUP(D711,'Move Editor'!$B:$B,'Move Editor'!$C:$C,"")</f>
        <v/>
      </c>
      <c r="F711" s="3">
        <f>XLOOKUP(D711,'Move Editor'!$B:$B,'Move Editor'!$D:$D,"")</f>
        <v/>
      </c>
      <c r="G711" s="3">
        <f>XLOOKUP(D711,'Move Editor'!$B:$B,'Move Editor'!$E:$E,0)</f>
        <v/>
      </c>
      <c r="H711" s="3">
        <f>XLOOKUP(D711,'Move Editor'!$B:$B,'Move Editor'!$F:$F,0)</f>
        <v/>
      </c>
      <c r="I711" s="3">
        <f>(INDEX('Type Chart'!$B:$S,MATCH(E711,'Type Chart'!$A:$A,0),MATCH(XLOOKUP('Boss Editor'!$C$4,'Pokemon Editor'!$A:$A,'Pokemon Editor'!$C:$C,""),'Type Chart'!$B$1:$S$1,0))*IF(XLOOKUP('Boss Editor'!$C$4,'Pokemon Editor'!$A:$A,'Pokemon Editor'!$D:$D,"")="",1,INDEX('Type Chart'!$B:$S,MATCH(E711,'Type Chart'!$A:$A,0),MATCH(XLOOKUP('Boss Editor'!$C$4,'Pokemon Editor'!$A:$A,'Pokemon Editor'!$D:$D,""),'Type Chart'!$B$1:$S$1,0))))</f>
        <v/>
      </c>
      <c r="J711" s="3">
        <f>IFERROR(LET(mtype,XLOOKUP($D711,'Move Editor'!$B:$B,'Move Editor'!$C:$C,""),cat,XLOOKUP($D711,'Move Editor'!$B:$B,'Move Editor'!$D:$D,""),pow,XLOOKUP($D711,'Move Editor'!$B:$B,'Move Editor'!$E:$E,0),acc,XLOOKUP($D711,'Move Editor'!$B:$B,'Move Editor'!$F:$F,100),atk,IF(cat="Physical",FLOOR((FLOOR(((2*XLOOKUP(XLOOKUP($Q711,'Threshold Summary'!$Y:$Y,'Threshold Summary'!$K:$K,""),'Pokemon Editor'!$A:$A,'Pokemon Editor'!$F:$F,0)+31+FLOOR(XLOOKUP($Q711,'Threshold Summary'!$Y:$Y,'Threshold Summary'!$P:$P,"")/4))*XLOOKUP($Q711,'Threshold Summary'!$Y:$Y,'Threshold Summary'!$L:$L,""))/100)+5)*XLOOKUP(XLOOKUP($Q711,'Threshold Summary'!$Y:$Y,'Threshold Summary'!$M:$M,""),'Nature Editor'!$A:$A,'Nature Editor'!$B:$B,1)),FLOOR((FLOOR(((2*XLOOKUP(XLOOKUP($Q711,'Threshold Summary'!$Y:$Y,'Threshold Summary'!$K:$K,""),'Pokemon Editor'!$A:$A,'Pokemon Editor'!$H:$H,0)+31+FLOOR(XLOOKUP($Q711,'Threshold Summary'!$Y:$Y,'Threshold Summary'!$R:$R,"")/4))*XLOOKUP($Q711,'Threshold Summary'!$Y:$Y,'Threshold Summary'!$L:$L,""))/100)+5)*XLOOKUP(XLOOKUP($Q711,'Threshold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Editor'!$E:$E,1))),stab,IF(OR(mtype=XLOOKUP(XLOOKUP($Q711,'Threshold Summary'!$Y:$Y,'Threshold Summary'!$K:$K,""),'Pokemon Editor'!$A:$A,'Pokemon Editor'!$C:$C,""),mtype=XLOOKUP(XLOOKUP($Q711,'Threshold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Chart'!$B$1:$S$1,0)))),base,IF(OR(cat="Status",pow=0),0,FLOOR(FLOOR(FLOOR((2*XLOOKUP($Q711,'Threshold Summary'!$Y:$Y,'Threshold Summary'!$L:$L,"")/5+2)*pow*atk/def)/50)+2)),modifier,stab*eff,FLOOR(base*modifier*0.85)),0)</f>
        <v/>
      </c>
      <c r="K711" s="3">
        <f>IFERROR(LET(mtype,XLOOKUP($D711,'Move Editor'!$B:$B,'Move Editor'!$C:$C,""),cat,XLOOKUP($D711,'Move Editor'!$B:$B,'Move Editor'!$D:$D,""),pow,XLOOKUP($D711,'Move Editor'!$B:$B,'Move Editor'!$E:$E,0),acc,XLOOKUP($D711,'Move Editor'!$B:$B,'Move Editor'!$F:$F,100),atk,IF(cat="Physical",FLOOR((FLOOR(((2*XLOOKUP(XLOOKUP($Q711,'Threshold Summary'!$Y:$Y,'Threshold Summary'!$K:$K,""),'Pokemon Editor'!$A:$A,'Pokemon Editor'!$F:$F,0)+31+FLOOR(XLOOKUP($Q711,'Threshold Summary'!$Y:$Y,'Threshold Summary'!$P:$P,"")/4))*XLOOKUP($Q711,'Threshold Summary'!$Y:$Y,'Threshold Summary'!$L:$L,""))/100)+5)*XLOOKUP(XLOOKUP($Q711,'Threshold Summary'!$Y:$Y,'Threshold Summary'!$M:$M,""),'Nature Editor'!$A:$A,'Nature Editor'!$B:$B,1)),FLOOR((FLOOR(((2*XLOOKUP(XLOOKUP($Q711,'Threshold Summary'!$Y:$Y,'Threshold Summary'!$K:$K,""),'Pokemon Editor'!$A:$A,'Pokemon Editor'!$H:$H,0)+31+FLOOR(XLOOKUP($Q711,'Threshold Summary'!$Y:$Y,'Threshold Summary'!$R:$R,"")/4))*XLOOKUP($Q711,'Threshold Summary'!$Y:$Y,'Threshold Summary'!$L:$L,""))/100)+5)*XLOOKUP(XLOOKUP($Q711,'Threshold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Editor'!$E:$E,1))),stab,IF(OR(mtype=XLOOKUP(XLOOKUP($Q711,'Threshold Summary'!$Y:$Y,'Threshold Summary'!$K:$K,""),'Pokemon Editor'!$A:$A,'Pokemon Editor'!$C:$C,""),mtype=XLOOKUP(XLOOKUP($Q711,'Threshold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Chart'!$B$1:$S$1,0)))),base,IF(OR(cat="Status",pow=0),0,FLOOR(FLOOR(FLOOR((2*XLOOKUP($Q711,'Threshold Summary'!$Y:$Y,'Threshold Summary'!$L:$L,"")/5+2)*pow*atk/def)/50)+2)),modifier,stab*eff,FLOOR(base*modifier)),0)</f>
        <v/>
      </c>
      <c r="L711" s="3">
        <f>IFERROR(LET(mtype,XLOOKUP($D711,'Move Editor'!$B:$B,'Move Editor'!$C:$C,""),cat,XLOOKUP($D711,'Move Editor'!$B:$B,'Move Editor'!$D:$D,""),pow,XLOOKUP($D711,'Move Editor'!$B:$B,'Move Editor'!$E:$E,0),acc,XLOOKUP($D711,'Move Editor'!$B:$B,'Move Editor'!$F:$F,100),atk,IF(cat="Physical",FLOOR((FLOOR(((2*XLOOKUP(XLOOKUP($Q711,'Threshold Summary'!$Y:$Y,'Threshold Summary'!$K:$K,""),'Pokemon Editor'!$A:$A,'Pokemon Editor'!$F:$F,0)+31+FLOOR(XLOOKUP($Q711,'Threshold Summary'!$Y:$Y,'Threshold Summary'!$P:$P,"")/4))*XLOOKUP($Q711,'Threshold Summary'!$Y:$Y,'Threshold Summary'!$L:$L,""))/100)+5)*XLOOKUP(XLOOKUP($Q711,'Threshold Summary'!$Y:$Y,'Threshold Summary'!$M:$M,""),'Nature Editor'!$A:$A,'Nature Editor'!$B:$B,1)),FLOOR((FLOOR(((2*XLOOKUP(XLOOKUP($Q711,'Threshold Summary'!$Y:$Y,'Threshold Summary'!$K:$K,""),'Pokemon Editor'!$A:$A,'Pokemon Editor'!$H:$H,0)+31+FLOOR(XLOOKUP($Q711,'Threshold Summary'!$Y:$Y,'Threshold Summary'!$R:$R,"")/4))*XLOOKUP($Q711,'Threshold Summary'!$Y:$Y,'Threshold Summary'!$L:$L,""))/100)+5)*XLOOKUP(XLOOKUP($Q711,'Threshold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Editor'!$E:$E,1))),stab,IF(OR(mtype=XLOOKUP(XLOOKUP($Q711,'Threshold Summary'!$Y:$Y,'Threshold Summary'!$K:$K,""),'Pokemon Editor'!$A:$A,'Pokemon Editor'!$C:$C,""),mtype=XLOOKUP(XLOOKUP($Q711,'Threshold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Chart'!$B$1:$S$1,0)))),base,IF(OR(cat="Status",pow=0),0,FLOOR(FLOOR(FLOOR((2*XLOOKUP($Q711,'Threshold Summary'!$Y:$Y,'Threshold Summary'!$L:$L,"")/5+2)*pow*atk/def)/50)+2)),modifier,stab*eff,AVERAGE(ARRAYFORMULA(FLOOR(base*modifier*SEQUENCE(16,1,85,1)/100)))),0)</f>
        <v/>
      </c>
      <c r="M711" s="3">
        <f>IFERROR(LET(mtype,XLOOKUP($D711,'Move Editor'!$B:$B,'Move Editor'!$C:$C,""),cat,XLOOKUP($D711,'Move Editor'!$B:$B,'Move Editor'!$D:$D,""),pow,XLOOKUP($D711,'Move Editor'!$B:$B,'Move Editor'!$E:$E,0),acc,XLOOKUP($D711,'Move Editor'!$B:$B,'Move Editor'!$F:$F,100),atk,IF(cat="Physical",FLOOR((FLOOR(((2*XLOOKUP(XLOOKUP($Q711,'Threshold Summary'!$Y:$Y,'Threshold Summary'!$K:$K,""),'Pokemon Editor'!$A:$A,'Pokemon Editor'!$F:$F,0)+31+FLOOR(XLOOKUP($Q711,'Threshold Summary'!$Y:$Y,'Threshold Summary'!$P:$P,"")/4))*XLOOKUP($Q711,'Threshold Summary'!$Y:$Y,'Threshold Summary'!$L:$L,""))/100)+5)*XLOOKUP(XLOOKUP($Q711,'Threshold Summary'!$Y:$Y,'Threshold Summary'!$M:$M,""),'Nature Editor'!$A:$A,'Nature Editor'!$B:$B,1)),FLOOR((FLOOR(((2*XLOOKUP(XLOOKUP($Q711,'Threshold Summary'!$Y:$Y,'Threshold Summary'!$K:$K,""),'Pokemon Editor'!$A:$A,'Pokemon Editor'!$H:$H,0)+31+FLOOR(XLOOKUP($Q711,'Threshold Summary'!$Y:$Y,'Threshold Summary'!$R:$R,"")/4))*XLOOKUP($Q711,'Threshold Summary'!$Y:$Y,'Threshold Summary'!$L:$L,""))/100)+5)*XLOOKUP(XLOOKUP($Q711,'Threshold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Editor'!$E:$E,1))),stab,IF(OR(mtype=XLOOKUP(XLOOKUP($Q711,'Threshold Summary'!$Y:$Y,'Threshold Summary'!$K:$K,""),'Pokemon Editor'!$A:$A,'Pokemon Editor'!$C:$C,""),mtype=XLOOKUP(XLOOKUP($Q711,'Threshold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Chart'!$B$1:$S$1,0)))),base,IF(OR(cat="Status",pow=0),0,FLOOR(FLOOR(FLOOR((2*XLOOKUP($Q711,'Threshold Summary'!$Y:$Y,'Threshold Summary'!$L:$L,"")/5+2)*pow*atk/def)/50)+2)),modifier,stab*eff,AVERAGE(ARRAYFORMULA(FLOOR(base*modifier*SEQUENCE(16,1,85,1)/100)))*MIN(1,acc/100)),0)</f>
        <v/>
      </c>
      <c r="N711" s="4">
        <f>IFERROR(LET(mtype,XLOOKUP($D711,'Move Editor'!$B:$B,'Move Editor'!$C:$C,""),cat,XLOOKUP($D711,'Move Editor'!$B:$B,'Move Editor'!$D:$D,""),pow,XLOOKUP($D711,'Move Editor'!$B:$B,'Move Editor'!$E:$E,0),acc,XLOOKUP($D711,'Move Editor'!$B:$B,'Move Editor'!$F:$F,100),atk,IF(cat="Physical",FLOOR((FLOOR(((2*XLOOKUP(XLOOKUP($Q711,'Threshold Summary'!$Y:$Y,'Threshold Summary'!$K:$K,""),'Pokemon Editor'!$A:$A,'Pokemon Editor'!$F:$F,0)+31+FLOOR(XLOOKUP($Q711,'Threshold Summary'!$Y:$Y,'Threshold Summary'!$P:$P,"")/4))*XLOOKUP($Q711,'Threshold Summary'!$Y:$Y,'Threshold Summary'!$L:$L,""))/100)+5)*XLOOKUP(XLOOKUP($Q711,'Threshold Summary'!$Y:$Y,'Threshold Summary'!$M:$M,""),'Nature Editor'!$A:$A,'Nature Editor'!$B:$B,1)),FLOOR((FLOOR(((2*XLOOKUP(XLOOKUP($Q711,'Threshold Summary'!$Y:$Y,'Threshold Summary'!$K:$K,""),'Pokemon Editor'!$A:$A,'Pokemon Editor'!$H:$H,0)+31+FLOOR(XLOOKUP($Q711,'Threshold Summary'!$Y:$Y,'Threshold Summary'!$R:$R,"")/4))*XLOOKUP($Q711,'Threshold Summary'!$Y:$Y,'Threshold Summary'!$L:$L,""))/100)+5)*XLOOKUP(XLOOKUP($Q711,'Threshold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Editor'!$E:$E,1))),stab,IF(OR(mtype=XLOOKUP(XLOOKUP($Q711,'Threshold Summary'!$Y:$Y,'Threshold Summary'!$K:$K,""),'Pokemon Editor'!$A:$A,'Pokemon Editor'!$C:$C,""),mtype=XLOOKUP(XLOOKUP($Q711,'Threshold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Chart'!$B$1:$S$1,0)))),base,IF(OR(cat="Status",pow=0),0,FLOOR(FLOOR(FLOOR((2*XLOOKUP($Q711,'Threshold Summary'!$Y:$Y,'Threshold Summary'!$L:$L,"")/5+2)*pow*atk/def)/50)+2)),modifier,stab*eff,AVERAGE(ARRAYFORMULA(FLOOR(base*modifier*SEQUENCE(16,1,85,1)/100)))/(FLOOR(((2*XLOOKUP('Boss Editor'!$C$4,'Pokemon Editor'!$A:$A,'Pokemon Editor'!$E:$E,0)+31+FLOOR('Boss Editor'!$G$4/4))*'Boss Editor'!$D$4)/100)+'Boss Editor'!$D$4+10)),0)</f>
        <v/>
      </c>
      <c r="O711" s="3">
        <f>IF(N711&gt;=1,"OHKO",IF(N711&gt;=0.5,"2HKO",IF(N711&gt;=0.333,"3HKO",IF(N711&gt;=0.25,"4HKO","5HKO+"))))</f>
        <v/>
      </c>
      <c r="P711" s="3" t="inlineStr">
        <is>
          <t>Live from editable databases</t>
        </is>
      </c>
      <c r="Q711" s="3" t="inlineStr">
        <is>
          <t>SPECIES_CUTIEFLY</t>
        </is>
      </c>
      <c r="R711" s="3" t="n">
        <v>6</v>
      </c>
    </row>
    <row r="712">
      <c r="A712" s="3">
        <f>XLOOKUP($Q712,'Threshold Summary'!$Y:$Y,'Threshold Summary'!$A:$A,"")</f>
        <v/>
      </c>
      <c r="B712" s="3">
        <f>XLOOKUP($Q712,'Threshold Summary'!$Y:$Y,'Threshold Summary'!$M:$M,"")</f>
        <v/>
      </c>
      <c r="C712" s="3">
        <f>XLOOKUP($Q712,'Threshold Summary'!$Y:$Y,'Threshold Summary'!$N:$N,"")</f>
        <v/>
      </c>
      <c r="D712" s="3">
        <f>IFERROR(INDEX(FILTER('Learnset Editor'!$D$2:$D,'Learnset Editor'!$A$2:$A=XLOOKUP($Q712,'Threshold Summary'!$Y:$Y,'Threshold Summary'!$K:$K,""),'Learnset Editor'!$C$2:$C&lt;=XLOOKUP($Q712,'Threshold Summary'!$Y:$Y,'Threshold Summary'!$L:$L,"")),$R712),"")</f>
        <v/>
      </c>
      <c r="E712" s="3">
        <f>XLOOKUP(D712,'Move Editor'!$B:$B,'Move Editor'!$C:$C,"")</f>
        <v/>
      </c>
      <c r="F712" s="3">
        <f>XLOOKUP(D712,'Move Editor'!$B:$B,'Move Editor'!$D:$D,"")</f>
        <v/>
      </c>
      <c r="G712" s="3">
        <f>XLOOKUP(D712,'Move Editor'!$B:$B,'Move Editor'!$E:$E,0)</f>
        <v/>
      </c>
      <c r="H712" s="3">
        <f>XLOOKUP(D712,'Move Editor'!$B:$B,'Move Editor'!$F:$F,0)</f>
        <v/>
      </c>
      <c r="I712" s="3">
        <f>(INDEX('Type Chart'!$B:$S,MATCH(E712,'Type Chart'!$A:$A,0),MATCH(XLOOKUP('Boss Editor'!$C$4,'Pokemon Editor'!$A:$A,'Pokemon Editor'!$C:$C,""),'Type Chart'!$B$1:$S$1,0))*IF(XLOOKUP('Boss Editor'!$C$4,'Pokemon Editor'!$A:$A,'Pokemon Editor'!$D:$D,"")="",1,INDEX('Type Chart'!$B:$S,MATCH(E712,'Type Chart'!$A:$A,0),MATCH(XLOOKUP('Boss Editor'!$C$4,'Pokemon Editor'!$A:$A,'Pokemon Editor'!$D:$D,""),'Type Chart'!$B$1:$S$1,0))))</f>
        <v/>
      </c>
      <c r="J712" s="3">
        <f>IFERROR(LET(mtype,XLOOKUP($D712,'Move Editor'!$B:$B,'Move Editor'!$C:$C,""),cat,XLOOKUP($D712,'Move Editor'!$B:$B,'Move Editor'!$D:$D,""),pow,XLOOKUP($D712,'Move Editor'!$B:$B,'Move Editor'!$E:$E,0),acc,XLOOKUP($D712,'Move Editor'!$B:$B,'Move Editor'!$F:$F,100),atk,IF(cat="Physical",FLOOR((FLOOR(((2*XLOOKUP(XLOOKUP($Q712,'Threshold Summary'!$Y:$Y,'Threshold Summary'!$K:$K,""),'Pokemon Editor'!$A:$A,'Pokemon Editor'!$F:$F,0)+31+FLOOR(XLOOKUP($Q712,'Threshold Summary'!$Y:$Y,'Threshold Summary'!$P:$P,"")/4))*XLOOKUP($Q712,'Threshold Summary'!$Y:$Y,'Threshold Summary'!$L:$L,""))/100)+5)*XLOOKUP(XLOOKUP($Q712,'Threshold Summary'!$Y:$Y,'Threshold Summary'!$M:$M,""),'Nature Editor'!$A:$A,'Nature Editor'!$B:$B,1)),FLOOR((FLOOR(((2*XLOOKUP(XLOOKUP($Q712,'Threshold Summary'!$Y:$Y,'Threshold Summary'!$K:$K,""),'Pokemon Editor'!$A:$A,'Pokemon Editor'!$H:$H,0)+31+FLOOR(XLOOKUP($Q712,'Threshold Summary'!$Y:$Y,'Threshold Summary'!$R:$R,"")/4))*XLOOKUP($Q712,'Threshold Summary'!$Y:$Y,'Threshold Summary'!$L:$L,""))/100)+5)*XLOOKUP(XLOOKUP($Q712,'Threshold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Editor'!$E:$E,1))),stab,IF(OR(mtype=XLOOKUP(XLOOKUP($Q712,'Threshold Summary'!$Y:$Y,'Threshold Summary'!$K:$K,""),'Pokemon Editor'!$A:$A,'Pokemon Editor'!$C:$C,""),mtype=XLOOKUP(XLOOKUP($Q712,'Threshold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Chart'!$B$1:$S$1,0)))),base,IF(OR(cat="Status",pow=0),0,FLOOR(FLOOR(FLOOR((2*XLOOKUP($Q712,'Threshold Summary'!$Y:$Y,'Threshold Summary'!$L:$L,"")/5+2)*pow*atk/def)/50)+2)),modifier,stab*eff,FLOOR(base*modifier*0.85)),0)</f>
        <v/>
      </c>
      <c r="K712" s="3">
        <f>IFERROR(LET(mtype,XLOOKUP($D712,'Move Editor'!$B:$B,'Move Editor'!$C:$C,""),cat,XLOOKUP($D712,'Move Editor'!$B:$B,'Move Editor'!$D:$D,""),pow,XLOOKUP($D712,'Move Editor'!$B:$B,'Move Editor'!$E:$E,0),acc,XLOOKUP($D712,'Move Editor'!$B:$B,'Move Editor'!$F:$F,100),atk,IF(cat="Physical",FLOOR((FLOOR(((2*XLOOKUP(XLOOKUP($Q712,'Threshold Summary'!$Y:$Y,'Threshold Summary'!$K:$K,""),'Pokemon Editor'!$A:$A,'Pokemon Editor'!$F:$F,0)+31+FLOOR(XLOOKUP($Q712,'Threshold Summary'!$Y:$Y,'Threshold Summary'!$P:$P,"")/4))*XLOOKUP($Q712,'Threshold Summary'!$Y:$Y,'Threshold Summary'!$L:$L,""))/100)+5)*XLOOKUP(XLOOKUP($Q712,'Threshold Summary'!$Y:$Y,'Threshold Summary'!$M:$M,""),'Nature Editor'!$A:$A,'Nature Editor'!$B:$B,1)),FLOOR((FLOOR(((2*XLOOKUP(XLOOKUP($Q712,'Threshold Summary'!$Y:$Y,'Threshold Summary'!$K:$K,""),'Pokemon Editor'!$A:$A,'Pokemon Editor'!$H:$H,0)+31+FLOOR(XLOOKUP($Q712,'Threshold Summary'!$Y:$Y,'Threshold Summary'!$R:$R,"")/4))*XLOOKUP($Q712,'Threshold Summary'!$Y:$Y,'Threshold Summary'!$L:$L,""))/100)+5)*XLOOKUP(XLOOKUP($Q712,'Threshold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Editor'!$E:$E,1))),stab,IF(OR(mtype=XLOOKUP(XLOOKUP($Q712,'Threshold Summary'!$Y:$Y,'Threshold Summary'!$K:$K,""),'Pokemon Editor'!$A:$A,'Pokemon Editor'!$C:$C,""),mtype=XLOOKUP(XLOOKUP($Q712,'Threshold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Chart'!$B$1:$S$1,0)))),base,IF(OR(cat="Status",pow=0),0,FLOOR(FLOOR(FLOOR((2*XLOOKUP($Q712,'Threshold Summary'!$Y:$Y,'Threshold Summary'!$L:$L,"")/5+2)*pow*atk/def)/50)+2)),modifier,stab*eff,FLOOR(base*modifier)),0)</f>
        <v/>
      </c>
      <c r="L712" s="3">
        <f>IFERROR(LET(mtype,XLOOKUP($D712,'Move Editor'!$B:$B,'Move Editor'!$C:$C,""),cat,XLOOKUP($D712,'Move Editor'!$B:$B,'Move Editor'!$D:$D,""),pow,XLOOKUP($D712,'Move Editor'!$B:$B,'Move Editor'!$E:$E,0),acc,XLOOKUP($D712,'Move Editor'!$B:$B,'Move Editor'!$F:$F,100),atk,IF(cat="Physical",FLOOR((FLOOR(((2*XLOOKUP(XLOOKUP($Q712,'Threshold Summary'!$Y:$Y,'Threshold Summary'!$K:$K,""),'Pokemon Editor'!$A:$A,'Pokemon Editor'!$F:$F,0)+31+FLOOR(XLOOKUP($Q712,'Threshold Summary'!$Y:$Y,'Threshold Summary'!$P:$P,"")/4))*XLOOKUP($Q712,'Threshold Summary'!$Y:$Y,'Threshold Summary'!$L:$L,""))/100)+5)*XLOOKUP(XLOOKUP($Q712,'Threshold Summary'!$Y:$Y,'Threshold Summary'!$M:$M,""),'Nature Editor'!$A:$A,'Nature Editor'!$B:$B,1)),FLOOR((FLOOR(((2*XLOOKUP(XLOOKUP($Q712,'Threshold Summary'!$Y:$Y,'Threshold Summary'!$K:$K,""),'Pokemon Editor'!$A:$A,'Pokemon Editor'!$H:$H,0)+31+FLOOR(XLOOKUP($Q712,'Threshold Summary'!$Y:$Y,'Threshold Summary'!$R:$R,"")/4))*XLOOKUP($Q712,'Threshold Summary'!$Y:$Y,'Threshold Summary'!$L:$L,""))/100)+5)*XLOOKUP(XLOOKUP($Q712,'Threshold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Editor'!$E:$E,1))),stab,IF(OR(mtype=XLOOKUP(XLOOKUP($Q712,'Threshold Summary'!$Y:$Y,'Threshold Summary'!$K:$K,""),'Pokemon Editor'!$A:$A,'Pokemon Editor'!$C:$C,""),mtype=XLOOKUP(XLOOKUP($Q712,'Threshold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Chart'!$B$1:$S$1,0)))),base,IF(OR(cat="Status",pow=0),0,FLOOR(FLOOR(FLOOR((2*XLOOKUP($Q712,'Threshold Summary'!$Y:$Y,'Threshold Summary'!$L:$L,"")/5+2)*pow*atk/def)/50)+2)),modifier,stab*eff,AVERAGE(ARRAYFORMULA(FLOOR(base*modifier*SEQUENCE(16,1,85,1)/100)))),0)</f>
        <v/>
      </c>
      <c r="M712" s="3">
        <f>IFERROR(LET(mtype,XLOOKUP($D712,'Move Editor'!$B:$B,'Move Editor'!$C:$C,""),cat,XLOOKUP($D712,'Move Editor'!$B:$B,'Move Editor'!$D:$D,""),pow,XLOOKUP($D712,'Move Editor'!$B:$B,'Move Editor'!$E:$E,0),acc,XLOOKUP($D712,'Move Editor'!$B:$B,'Move Editor'!$F:$F,100),atk,IF(cat="Physical",FLOOR((FLOOR(((2*XLOOKUP(XLOOKUP($Q712,'Threshold Summary'!$Y:$Y,'Threshold Summary'!$K:$K,""),'Pokemon Editor'!$A:$A,'Pokemon Editor'!$F:$F,0)+31+FLOOR(XLOOKUP($Q712,'Threshold Summary'!$Y:$Y,'Threshold Summary'!$P:$P,"")/4))*XLOOKUP($Q712,'Threshold Summary'!$Y:$Y,'Threshold Summary'!$L:$L,""))/100)+5)*XLOOKUP(XLOOKUP($Q712,'Threshold Summary'!$Y:$Y,'Threshold Summary'!$M:$M,""),'Nature Editor'!$A:$A,'Nature Editor'!$B:$B,1)),FLOOR((FLOOR(((2*XLOOKUP(XLOOKUP($Q712,'Threshold Summary'!$Y:$Y,'Threshold Summary'!$K:$K,""),'Pokemon Editor'!$A:$A,'Pokemon Editor'!$H:$H,0)+31+FLOOR(XLOOKUP($Q712,'Threshold Summary'!$Y:$Y,'Threshold Summary'!$R:$R,"")/4))*XLOOKUP($Q712,'Threshold Summary'!$Y:$Y,'Threshold Summary'!$L:$L,""))/100)+5)*XLOOKUP(XLOOKUP($Q712,'Threshold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Editor'!$E:$E,1))),stab,IF(OR(mtype=XLOOKUP(XLOOKUP($Q712,'Threshold Summary'!$Y:$Y,'Threshold Summary'!$K:$K,""),'Pokemon Editor'!$A:$A,'Pokemon Editor'!$C:$C,""),mtype=XLOOKUP(XLOOKUP($Q712,'Threshold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Chart'!$B$1:$S$1,0)))),base,IF(OR(cat="Status",pow=0),0,FLOOR(FLOOR(FLOOR((2*XLOOKUP($Q712,'Threshold Summary'!$Y:$Y,'Threshold Summary'!$L:$L,"")/5+2)*pow*atk/def)/50)+2)),modifier,stab*eff,AVERAGE(ARRAYFORMULA(FLOOR(base*modifier*SEQUENCE(16,1,85,1)/100)))*MIN(1,acc/100)),0)</f>
        <v/>
      </c>
      <c r="N712" s="4">
        <f>IFERROR(LET(mtype,XLOOKUP($D712,'Move Editor'!$B:$B,'Move Editor'!$C:$C,""),cat,XLOOKUP($D712,'Move Editor'!$B:$B,'Move Editor'!$D:$D,""),pow,XLOOKUP($D712,'Move Editor'!$B:$B,'Move Editor'!$E:$E,0),acc,XLOOKUP($D712,'Move Editor'!$B:$B,'Move Editor'!$F:$F,100),atk,IF(cat="Physical",FLOOR((FLOOR(((2*XLOOKUP(XLOOKUP($Q712,'Threshold Summary'!$Y:$Y,'Threshold Summary'!$K:$K,""),'Pokemon Editor'!$A:$A,'Pokemon Editor'!$F:$F,0)+31+FLOOR(XLOOKUP($Q712,'Threshold Summary'!$Y:$Y,'Threshold Summary'!$P:$P,"")/4))*XLOOKUP($Q712,'Threshold Summary'!$Y:$Y,'Threshold Summary'!$L:$L,""))/100)+5)*XLOOKUP(XLOOKUP($Q712,'Threshold Summary'!$Y:$Y,'Threshold Summary'!$M:$M,""),'Nature Editor'!$A:$A,'Nature Editor'!$B:$B,1)),FLOOR((FLOOR(((2*XLOOKUP(XLOOKUP($Q712,'Threshold Summary'!$Y:$Y,'Threshold Summary'!$K:$K,""),'Pokemon Editor'!$A:$A,'Pokemon Editor'!$H:$H,0)+31+FLOOR(XLOOKUP($Q712,'Threshold Summary'!$Y:$Y,'Threshold Summary'!$R:$R,"")/4))*XLOOKUP($Q712,'Threshold Summary'!$Y:$Y,'Threshold Summary'!$L:$L,""))/100)+5)*XLOOKUP(XLOOKUP($Q712,'Threshold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Editor'!$E:$E,1))),stab,IF(OR(mtype=XLOOKUP(XLOOKUP($Q712,'Threshold Summary'!$Y:$Y,'Threshold Summary'!$K:$K,""),'Pokemon Editor'!$A:$A,'Pokemon Editor'!$C:$C,""),mtype=XLOOKUP(XLOOKUP($Q712,'Threshold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Chart'!$B$1:$S$1,0)))),base,IF(OR(cat="Status",pow=0),0,FLOOR(FLOOR(FLOOR((2*XLOOKUP($Q712,'Threshold Summary'!$Y:$Y,'Threshold Summary'!$L:$L,"")/5+2)*pow*atk/def)/50)+2)),modifier,stab*eff,AVERAGE(ARRAYFORMULA(FLOOR(base*modifier*SEQUENCE(16,1,85,1)/100)))/(FLOOR(((2*XLOOKUP('Boss Editor'!$C$4,'Pokemon Editor'!$A:$A,'Pokemon Editor'!$E:$E,0)+31+FLOOR('Boss Editor'!$G$4/4))*'Boss Editor'!$D$4)/100)+'Boss Editor'!$D$4+10)),0)</f>
        <v/>
      </c>
      <c r="O712" s="3">
        <f>IF(N712&gt;=1,"OHKO",IF(N712&gt;=0.5,"2HKO",IF(N712&gt;=0.333,"3HKO",IF(N712&gt;=0.25,"4HKO","5HKO+"))))</f>
        <v/>
      </c>
      <c r="P712" s="3" t="inlineStr">
        <is>
          <t>Live from editable databases</t>
        </is>
      </c>
      <c r="Q712" s="3" t="inlineStr">
        <is>
          <t>SPECIES_CUTIEFLY</t>
        </is>
      </c>
      <c r="R712" s="3" t="n">
        <v>7</v>
      </c>
    </row>
    <row r="713">
      <c r="A713" s="3">
        <f>XLOOKUP($Q713,'Threshold Summary'!$Y:$Y,'Threshold Summary'!$A:$A,"")</f>
        <v/>
      </c>
      <c r="B713" s="3">
        <f>XLOOKUP($Q713,'Threshold Summary'!$Y:$Y,'Threshold Summary'!$M:$M,"")</f>
        <v/>
      </c>
      <c r="C713" s="3">
        <f>XLOOKUP($Q713,'Threshold Summary'!$Y:$Y,'Threshold Summary'!$N:$N,"")</f>
        <v/>
      </c>
      <c r="D713" s="3">
        <f>IFERROR(INDEX(FILTER('Learnset Editor'!$D$2:$D,'Learnset Editor'!$A$2:$A=XLOOKUP($Q713,'Threshold Summary'!$Y:$Y,'Threshold Summary'!$K:$K,""),'Learnset Editor'!$C$2:$C&lt;=XLOOKUP($Q713,'Threshold Summary'!$Y:$Y,'Threshold Summary'!$L:$L,"")),$R713),"")</f>
        <v/>
      </c>
      <c r="E713" s="3">
        <f>XLOOKUP(D713,'Move Editor'!$B:$B,'Move Editor'!$C:$C,"")</f>
        <v/>
      </c>
      <c r="F713" s="3">
        <f>XLOOKUP(D713,'Move Editor'!$B:$B,'Move Editor'!$D:$D,"")</f>
        <v/>
      </c>
      <c r="G713" s="3">
        <f>XLOOKUP(D713,'Move Editor'!$B:$B,'Move Editor'!$E:$E,0)</f>
        <v/>
      </c>
      <c r="H713" s="3">
        <f>XLOOKUP(D713,'Move Editor'!$B:$B,'Move Editor'!$F:$F,0)</f>
        <v/>
      </c>
      <c r="I713" s="3">
        <f>(INDEX('Type Chart'!$B:$S,MATCH(E713,'Type Chart'!$A:$A,0),MATCH(XLOOKUP('Boss Editor'!$C$4,'Pokemon Editor'!$A:$A,'Pokemon Editor'!$C:$C,""),'Type Chart'!$B$1:$S$1,0))*IF(XLOOKUP('Boss Editor'!$C$4,'Pokemon Editor'!$A:$A,'Pokemon Editor'!$D:$D,"")="",1,INDEX('Type Chart'!$B:$S,MATCH(E713,'Type Chart'!$A:$A,0),MATCH(XLOOKUP('Boss Editor'!$C$4,'Pokemon Editor'!$A:$A,'Pokemon Editor'!$D:$D,""),'Type Chart'!$B$1:$S$1,0))))</f>
        <v/>
      </c>
      <c r="J713" s="3">
        <f>IFERROR(LET(mtype,XLOOKUP($D713,'Move Editor'!$B:$B,'Move Editor'!$C:$C,""),cat,XLOOKUP($D713,'Move Editor'!$B:$B,'Move Editor'!$D:$D,""),pow,XLOOKUP($D713,'Move Editor'!$B:$B,'Move Editor'!$E:$E,0),acc,XLOOKUP($D713,'Move Editor'!$B:$B,'Move Editor'!$F:$F,100),atk,IF(cat="Physical",FLOOR((FLOOR(((2*XLOOKUP(XLOOKUP($Q713,'Threshold Summary'!$Y:$Y,'Threshold Summary'!$K:$K,""),'Pokemon Editor'!$A:$A,'Pokemon Editor'!$F:$F,0)+31+FLOOR(XLOOKUP($Q713,'Threshold Summary'!$Y:$Y,'Threshold Summary'!$P:$P,"")/4))*XLOOKUP($Q713,'Threshold Summary'!$Y:$Y,'Threshold Summary'!$L:$L,""))/100)+5)*XLOOKUP(XLOOKUP($Q713,'Threshold Summary'!$Y:$Y,'Threshold Summary'!$M:$M,""),'Nature Editor'!$A:$A,'Nature Editor'!$B:$B,1)),FLOOR((FLOOR(((2*XLOOKUP(XLOOKUP($Q713,'Threshold Summary'!$Y:$Y,'Threshold Summary'!$K:$K,""),'Pokemon Editor'!$A:$A,'Pokemon Editor'!$H:$H,0)+31+FLOOR(XLOOKUP($Q713,'Threshold Summary'!$Y:$Y,'Threshold Summary'!$R:$R,"")/4))*XLOOKUP($Q713,'Threshold Summary'!$Y:$Y,'Threshold Summary'!$L:$L,""))/100)+5)*XLOOKUP(XLOOKUP($Q713,'Threshold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Editor'!$E:$E,1))),stab,IF(OR(mtype=XLOOKUP(XLOOKUP($Q713,'Threshold Summary'!$Y:$Y,'Threshold Summary'!$K:$K,""),'Pokemon Editor'!$A:$A,'Pokemon Editor'!$C:$C,""),mtype=XLOOKUP(XLOOKUP($Q713,'Threshold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Chart'!$B$1:$S$1,0)))),base,IF(OR(cat="Status",pow=0),0,FLOOR(FLOOR(FLOOR((2*XLOOKUP($Q713,'Threshold Summary'!$Y:$Y,'Threshold Summary'!$L:$L,"")/5+2)*pow*atk/def)/50)+2)),modifier,stab*eff,FLOOR(base*modifier*0.85)),0)</f>
        <v/>
      </c>
      <c r="K713" s="3">
        <f>IFERROR(LET(mtype,XLOOKUP($D713,'Move Editor'!$B:$B,'Move Editor'!$C:$C,""),cat,XLOOKUP($D713,'Move Editor'!$B:$B,'Move Editor'!$D:$D,""),pow,XLOOKUP($D713,'Move Editor'!$B:$B,'Move Editor'!$E:$E,0),acc,XLOOKUP($D713,'Move Editor'!$B:$B,'Move Editor'!$F:$F,100),atk,IF(cat="Physical",FLOOR((FLOOR(((2*XLOOKUP(XLOOKUP($Q713,'Threshold Summary'!$Y:$Y,'Threshold Summary'!$K:$K,""),'Pokemon Editor'!$A:$A,'Pokemon Editor'!$F:$F,0)+31+FLOOR(XLOOKUP($Q713,'Threshold Summary'!$Y:$Y,'Threshold Summary'!$P:$P,"")/4))*XLOOKUP($Q713,'Threshold Summary'!$Y:$Y,'Threshold Summary'!$L:$L,""))/100)+5)*XLOOKUP(XLOOKUP($Q713,'Threshold Summary'!$Y:$Y,'Threshold Summary'!$M:$M,""),'Nature Editor'!$A:$A,'Nature Editor'!$B:$B,1)),FLOOR((FLOOR(((2*XLOOKUP(XLOOKUP($Q713,'Threshold Summary'!$Y:$Y,'Threshold Summary'!$K:$K,""),'Pokemon Editor'!$A:$A,'Pokemon Editor'!$H:$H,0)+31+FLOOR(XLOOKUP($Q713,'Threshold Summary'!$Y:$Y,'Threshold Summary'!$R:$R,"")/4))*XLOOKUP($Q713,'Threshold Summary'!$Y:$Y,'Threshold Summary'!$L:$L,""))/100)+5)*XLOOKUP(XLOOKUP($Q713,'Threshold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Editor'!$E:$E,1))),stab,IF(OR(mtype=XLOOKUP(XLOOKUP($Q713,'Threshold Summary'!$Y:$Y,'Threshold Summary'!$K:$K,""),'Pokemon Editor'!$A:$A,'Pokemon Editor'!$C:$C,""),mtype=XLOOKUP(XLOOKUP($Q713,'Threshold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Chart'!$B$1:$S$1,0)))),base,IF(OR(cat="Status",pow=0),0,FLOOR(FLOOR(FLOOR((2*XLOOKUP($Q713,'Threshold Summary'!$Y:$Y,'Threshold Summary'!$L:$L,"")/5+2)*pow*atk/def)/50)+2)),modifier,stab*eff,FLOOR(base*modifier)),0)</f>
        <v/>
      </c>
      <c r="L713" s="3">
        <f>IFERROR(LET(mtype,XLOOKUP($D713,'Move Editor'!$B:$B,'Move Editor'!$C:$C,""),cat,XLOOKUP($D713,'Move Editor'!$B:$B,'Move Editor'!$D:$D,""),pow,XLOOKUP($D713,'Move Editor'!$B:$B,'Move Editor'!$E:$E,0),acc,XLOOKUP($D713,'Move Editor'!$B:$B,'Move Editor'!$F:$F,100),atk,IF(cat="Physical",FLOOR((FLOOR(((2*XLOOKUP(XLOOKUP($Q713,'Threshold Summary'!$Y:$Y,'Threshold Summary'!$K:$K,""),'Pokemon Editor'!$A:$A,'Pokemon Editor'!$F:$F,0)+31+FLOOR(XLOOKUP($Q713,'Threshold Summary'!$Y:$Y,'Threshold Summary'!$P:$P,"")/4))*XLOOKUP($Q713,'Threshold Summary'!$Y:$Y,'Threshold Summary'!$L:$L,""))/100)+5)*XLOOKUP(XLOOKUP($Q713,'Threshold Summary'!$Y:$Y,'Threshold Summary'!$M:$M,""),'Nature Editor'!$A:$A,'Nature Editor'!$B:$B,1)),FLOOR((FLOOR(((2*XLOOKUP(XLOOKUP($Q713,'Threshold Summary'!$Y:$Y,'Threshold Summary'!$K:$K,""),'Pokemon Editor'!$A:$A,'Pokemon Editor'!$H:$H,0)+31+FLOOR(XLOOKUP($Q713,'Threshold Summary'!$Y:$Y,'Threshold Summary'!$R:$R,"")/4))*XLOOKUP($Q713,'Threshold Summary'!$Y:$Y,'Threshold Summary'!$L:$L,""))/100)+5)*XLOOKUP(XLOOKUP($Q713,'Threshold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Editor'!$E:$E,1))),stab,IF(OR(mtype=XLOOKUP(XLOOKUP($Q713,'Threshold Summary'!$Y:$Y,'Threshold Summary'!$K:$K,""),'Pokemon Editor'!$A:$A,'Pokemon Editor'!$C:$C,""),mtype=XLOOKUP(XLOOKUP($Q713,'Threshold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Chart'!$B$1:$S$1,0)))),base,IF(OR(cat="Status",pow=0),0,FLOOR(FLOOR(FLOOR((2*XLOOKUP($Q713,'Threshold Summary'!$Y:$Y,'Threshold Summary'!$L:$L,"")/5+2)*pow*atk/def)/50)+2)),modifier,stab*eff,AVERAGE(ARRAYFORMULA(FLOOR(base*modifier*SEQUENCE(16,1,85,1)/100)))),0)</f>
        <v/>
      </c>
      <c r="M713" s="3">
        <f>IFERROR(LET(mtype,XLOOKUP($D713,'Move Editor'!$B:$B,'Move Editor'!$C:$C,""),cat,XLOOKUP($D713,'Move Editor'!$B:$B,'Move Editor'!$D:$D,""),pow,XLOOKUP($D713,'Move Editor'!$B:$B,'Move Editor'!$E:$E,0),acc,XLOOKUP($D713,'Move Editor'!$B:$B,'Move Editor'!$F:$F,100),atk,IF(cat="Physical",FLOOR((FLOOR(((2*XLOOKUP(XLOOKUP($Q713,'Threshold Summary'!$Y:$Y,'Threshold Summary'!$K:$K,""),'Pokemon Editor'!$A:$A,'Pokemon Editor'!$F:$F,0)+31+FLOOR(XLOOKUP($Q713,'Threshold Summary'!$Y:$Y,'Threshold Summary'!$P:$P,"")/4))*XLOOKUP($Q713,'Threshold Summary'!$Y:$Y,'Threshold Summary'!$L:$L,""))/100)+5)*XLOOKUP(XLOOKUP($Q713,'Threshold Summary'!$Y:$Y,'Threshold Summary'!$M:$M,""),'Nature Editor'!$A:$A,'Nature Editor'!$B:$B,1)),FLOOR((FLOOR(((2*XLOOKUP(XLOOKUP($Q713,'Threshold Summary'!$Y:$Y,'Threshold Summary'!$K:$K,""),'Pokemon Editor'!$A:$A,'Pokemon Editor'!$H:$H,0)+31+FLOOR(XLOOKUP($Q713,'Threshold Summary'!$Y:$Y,'Threshold Summary'!$R:$R,"")/4))*XLOOKUP($Q713,'Threshold Summary'!$Y:$Y,'Threshold Summary'!$L:$L,""))/100)+5)*XLOOKUP(XLOOKUP($Q713,'Threshold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Editor'!$E:$E,1))),stab,IF(OR(mtype=XLOOKUP(XLOOKUP($Q713,'Threshold Summary'!$Y:$Y,'Threshold Summary'!$K:$K,""),'Pokemon Editor'!$A:$A,'Pokemon Editor'!$C:$C,""),mtype=XLOOKUP(XLOOKUP($Q713,'Threshold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Chart'!$B$1:$S$1,0)))),base,IF(OR(cat="Status",pow=0),0,FLOOR(FLOOR(FLOOR((2*XLOOKUP($Q713,'Threshold Summary'!$Y:$Y,'Threshold Summary'!$L:$L,"")/5+2)*pow*atk/def)/50)+2)),modifier,stab*eff,AVERAGE(ARRAYFORMULA(FLOOR(base*modifier*SEQUENCE(16,1,85,1)/100)))*MIN(1,acc/100)),0)</f>
        <v/>
      </c>
      <c r="N713" s="4">
        <f>IFERROR(LET(mtype,XLOOKUP($D713,'Move Editor'!$B:$B,'Move Editor'!$C:$C,""),cat,XLOOKUP($D713,'Move Editor'!$B:$B,'Move Editor'!$D:$D,""),pow,XLOOKUP($D713,'Move Editor'!$B:$B,'Move Editor'!$E:$E,0),acc,XLOOKUP($D713,'Move Editor'!$B:$B,'Move Editor'!$F:$F,100),atk,IF(cat="Physical",FLOOR((FLOOR(((2*XLOOKUP(XLOOKUP($Q713,'Threshold Summary'!$Y:$Y,'Threshold Summary'!$K:$K,""),'Pokemon Editor'!$A:$A,'Pokemon Editor'!$F:$F,0)+31+FLOOR(XLOOKUP($Q713,'Threshold Summary'!$Y:$Y,'Threshold Summary'!$P:$P,"")/4))*XLOOKUP($Q713,'Threshold Summary'!$Y:$Y,'Threshold Summary'!$L:$L,""))/100)+5)*XLOOKUP(XLOOKUP($Q713,'Threshold Summary'!$Y:$Y,'Threshold Summary'!$M:$M,""),'Nature Editor'!$A:$A,'Nature Editor'!$B:$B,1)),FLOOR((FLOOR(((2*XLOOKUP(XLOOKUP($Q713,'Threshold Summary'!$Y:$Y,'Threshold Summary'!$K:$K,""),'Pokemon Editor'!$A:$A,'Pokemon Editor'!$H:$H,0)+31+FLOOR(XLOOKUP($Q713,'Threshold Summary'!$Y:$Y,'Threshold Summary'!$R:$R,"")/4))*XLOOKUP($Q713,'Threshold Summary'!$Y:$Y,'Threshold Summary'!$L:$L,""))/100)+5)*XLOOKUP(XLOOKUP($Q713,'Threshold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Editor'!$E:$E,1))),stab,IF(OR(mtype=XLOOKUP(XLOOKUP($Q713,'Threshold Summary'!$Y:$Y,'Threshold Summary'!$K:$K,""),'Pokemon Editor'!$A:$A,'Pokemon Editor'!$C:$C,""),mtype=XLOOKUP(XLOOKUP($Q713,'Threshold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Chart'!$B$1:$S$1,0)))),base,IF(OR(cat="Status",pow=0),0,FLOOR(FLOOR(FLOOR((2*XLOOKUP($Q713,'Threshold Summary'!$Y:$Y,'Threshold Summary'!$L:$L,"")/5+2)*pow*atk/def)/50)+2)),modifier,stab*eff,AVERAGE(ARRAYFORMULA(FLOOR(base*modifier*SEQUENCE(16,1,85,1)/100)))/(FLOOR(((2*XLOOKUP('Boss Editor'!$C$4,'Pokemon Editor'!$A:$A,'Pokemon Editor'!$E:$E,0)+31+FLOOR('Boss Editor'!$G$4/4))*'Boss Editor'!$D$4)/100)+'Boss Editor'!$D$4+10)),0)</f>
        <v/>
      </c>
      <c r="O713" s="3">
        <f>IF(N713&gt;=1,"OHKO",IF(N713&gt;=0.5,"2HKO",IF(N713&gt;=0.333,"3HKO",IF(N713&gt;=0.25,"4HKO","5HKO+"))))</f>
        <v/>
      </c>
      <c r="P713" s="3" t="inlineStr">
        <is>
          <t>Live from editable databases</t>
        </is>
      </c>
      <c r="Q713" s="3" t="inlineStr">
        <is>
          <t>SPECIES_CUTIEFLY</t>
        </is>
      </c>
      <c r="R713" s="3" t="n">
        <v>8</v>
      </c>
    </row>
    <row r="714">
      <c r="A714" s="3">
        <f>XLOOKUP($Q714,'Threshold Summary'!$Y:$Y,'Threshold Summary'!$A:$A,"")</f>
        <v/>
      </c>
      <c r="B714" s="3">
        <f>XLOOKUP($Q714,'Threshold Summary'!$Y:$Y,'Threshold Summary'!$M:$M,"")</f>
        <v/>
      </c>
      <c r="C714" s="3">
        <f>XLOOKUP($Q714,'Threshold Summary'!$Y:$Y,'Threshold Summary'!$N:$N,"")</f>
        <v/>
      </c>
      <c r="D714" s="3">
        <f>IFERROR(INDEX(FILTER('Learnset Editor'!$D$2:$D,'Learnset Editor'!$A$2:$A=XLOOKUP($Q714,'Threshold Summary'!$Y:$Y,'Threshold Summary'!$K:$K,""),'Learnset Editor'!$C$2:$C&lt;=XLOOKUP($Q714,'Threshold Summary'!$Y:$Y,'Threshold Summary'!$L:$L,"")),$R714),"")</f>
        <v/>
      </c>
      <c r="E714" s="3">
        <f>XLOOKUP(D714,'Move Editor'!$B:$B,'Move Editor'!$C:$C,"")</f>
        <v/>
      </c>
      <c r="F714" s="3">
        <f>XLOOKUP(D714,'Move Editor'!$B:$B,'Move Editor'!$D:$D,"")</f>
        <v/>
      </c>
      <c r="G714" s="3">
        <f>XLOOKUP(D714,'Move Editor'!$B:$B,'Move Editor'!$E:$E,0)</f>
        <v/>
      </c>
      <c r="H714" s="3">
        <f>XLOOKUP(D714,'Move Editor'!$B:$B,'Move Editor'!$F:$F,0)</f>
        <v/>
      </c>
      <c r="I714" s="3">
        <f>(INDEX('Type Chart'!$B:$S,MATCH(E714,'Type Chart'!$A:$A,0),MATCH(XLOOKUP('Boss Editor'!$C$4,'Pokemon Editor'!$A:$A,'Pokemon Editor'!$C:$C,""),'Type Chart'!$B$1:$S$1,0))*IF(XLOOKUP('Boss Editor'!$C$4,'Pokemon Editor'!$A:$A,'Pokemon Editor'!$D:$D,"")="",1,INDEX('Type Chart'!$B:$S,MATCH(E714,'Type Chart'!$A:$A,0),MATCH(XLOOKUP('Boss Editor'!$C$4,'Pokemon Editor'!$A:$A,'Pokemon Editor'!$D:$D,""),'Type Chart'!$B$1:$S$1,0))))</f>
        <v/>
      </c>
      <c r="J714" s="3">
        <f>IFERROR(LET(mtype,XLOOKUP($D714,'Move Editor'!$B:$B,'Move Editor'!$C:$C,""),cat,XLOOKUP($D714,'Move Editor'!$B:$B,'Move Editor'!$D:$D,""),pow,XLOOKUP($D714,'Move Editor'!$B:$B,'Move Editor'!$E:$E,0),acc,XLOOKUP($D714,'Move Editor'!$B:$B,'Move Editor'!$F:$F,100),atk,IF(cat="Physical",FLOOR((FLOOR(((2*XLOOKUP(XLOOKUP($Q714,'Threshold Summary'!$Y:$Y,'Threshold Summary'!$K:$K,""),'Pokemon Editor'!$A:$A,'Pokemon Editor'!$F:$F,0)+31+FLOOR(XLOOKUP($Q714,'Threshold Summary'!$Y:$Y,'Threshold Summary'!$P:$P,"")/4))*XLOOKUP($Q714,'Threshold Summary'!$Y:$Y,'Threshold Summary'!$L:$L,""))/100)+5)*XLOOKUP(XLOOKUP($Q714,'Threshold Summary'!$Y:$Y,'Threshold Summary'!$M:$M,""),'Nature Editor'!$A:$A,'Nature Editor'!$B:$B,1)),FLOOR((FLOOR(((2*XLOOKUP(XLOOKUP($Q714,'Threshold Summary'!$Y:$Y,'Threshold Summary'!$K:$K,""),'Pokemon Editor'!$A:$A,'Pokemon Editor'!$H:$H,0)+31+FLOOR(XLOOKUP($Q714,'Threshold Summary'!$Y:$Y,'Threshold Summary'!$R:$R,"")/4))*XLOOKUP($Q714,'Threshold Summary'!$Y:$Y,'Threshold Summary'!$L:$L,""))/100)+5)*XLOOKUP(XLOOKUP($Q714,'Threshold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Editor'!$E:$E,1))),stab,IF(OR(mtype=XLOOKUP(XLOOKUP($Q714,'Threshold Summary'!$Y:$Y,'Threshold Summary'!$K:$K,""),'Pokemon Editor'!$A:$A,'Pokemon Editor'!$C:$C,""),mtype=XLOOKUP(XLOOKUP($Q714,'Threshold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Chart'!$B$1:$S$1,0)))),base,IF(OR(cat="Status",pow=0),0,FLOOR(FLOOR(FLOOR((2*XLOOKUP($Q714,'Threshold Summary'!$Y:$Y,'Threshold Summary'!$L:$L,"")/5+2)*pow*atk/def)/50)+2)),modifier,stab*eff,FLOOR(base*modifier*0.85)),0)</f>
        <v/>
      </c>
      <c r="K714" s="3">
        <f>IFERROR(LET(mtype,XLOOKUP($D714,'Move Editor'!$B:$B,'Move Editor'!$C:$C,""),cat,XLOOKUP($D714,'Move Editor'!$B:$B,'Move Editor'!$D:$D,""),pow,XLOOKUP($D714,'Move Editor'!$B:$B,'Move Editor'!$E:$E,0),acc,XLOOKUP($D714,'Move Editor'!$B:$B,'Move Editor'!$F:$F,100),atk,IF(cat="Physical",FLOOR((FLOOR(((2*XLOOKUP(XLOOKUP($Q714,'Threshold Summary'!$Y:$Y,'Threshold Summary'!$K:$K,""),'Pokemon Editor'!$A:$A,'Pokemon Editor'!$F:$F,0)+31+FLOOR(XLOOKUP($Q714,'Threshold Summary'!$Y:$Y,'Threshold Summary'!$P:$P,"")/4))*XLOOKUP($Q714,'Threshold Summary'!$Y:$Y,'Threshold Summary'!$L:$L,""))/100)+5)*XLOOKUP(XLOOKUP($Q714,'Threshold Summary'!$Y:$Y,'Threshold Summary'!$M:$M,""),'Nature Editor'!$A:$A,'Nature Editor'!$B:$B,1)),FLOOR((FLOOR(((2*XLOOKUP(XLOOKUP($Q714,'Threshold Summary'!$Y:$Y,'Threshold Summary'!$K:$K,""),'Pokemon Editor'!$A:$A,'Pokemon Editor'!$H:$H,0)+31+FLOOR(XLOOKUP($Q714,'Threshold Summary'!$Y:$Y,'Threshold Summary'!$R:$R,"")/4))*XLOOKUP($Q714,'Threshold Summary'!$Y:$Y,'Threshold Summary'!$L:$L,""))/100)+5)*XLOOKUP(XLOOKUP($Q714,'Threshold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Editor'!$E:$E,1))),stab,IF(OR(mtype=XLOOKUP(XLOOKUP($Q714,'Threshold Summary'!$Y:$Y,'Threshold Summary'!$K:$K,""),'Pokemon Editor'!$A:$A,'Pokemon Editor'!$C:$C,""),mtype=XLOOKUP(XLOOKUP($Q714,'Threshold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Chart'!$B$1:$S$1,0)))),base,IF(OR(cat="Status",pow=0),0,FLOOR(FLOOR(FLOOR((2*XLOOKUP($Q714,'Threshold Summary'!$Y:$Y,'Threshold Summary'!$L:$L,"")/5+2)*pow*atk/def)/50)+2)),modifier,stab*eff,FLOOR(base*modifier)),0)</f>
        <v/>
      </c>
      <c r="L714" s="3">
        <f>IFERROR(LET(mtype,XLOOKUP($D714,'Move Editor'!$B:$B,'Move Editor'!$C:$C,""),cat,XLOOKUP($D714,'Move Editor'!$B:$B,'Move Editor'!$D:$D,""),pow,XLOOKUP($D714,'Move Editor'!$B:$B,'Move Editor'!$E:$E,0),acc,XLOOKUP($D714,'Move Editor'!$B:$B,'Move Editor'!$F:$F,100),atk,IF(cat="Physical",FLOOR((FLOOR(((2*XLOOKUP(XLOOKUP($Q714,'Threshold Summary'!$Y:$Y,'Threshold Summary'!$K:$K,""),'Pokemon Editor'!$A:$A,'Pokemon Editor'!$F:$F,0)+31+FLOOR(XLOOKUP($Q714,'Threshold Summary'!$Y:$Y,'Threshold Summary'!$P:$P,"")/4))*XLOOKUP($Q714,'Threshold Summary'!$Y:$Y,'Threshold Summary'!$L:$L,""))/100)+5)*XLOOKUP(XLOOKUP($Q714,'Threshold Summary'!$Y:$Y,'Threshold Summary'!$M:$M,""),'Nature Editor'!$A:$A,'Nature Editor'!$B:$B,1)),FLOOR((FLOOR(((2*XLOOKUP(XLOOKUP($Q714,'Threshold Summary'!$Y:$Y,'Threshold Summary'!$K:$K,""),'Pokemon Editor'!$A:$A,'Pokemon Editor'!$H:$H,0)+31+FLOOR(XLOOKUP($Q714,'Threshold Summary'!$Y:$Y,'Threshold Summary'!$R:$R,"")/4))*XLOOKUP($Q714,'Threshold Summary'!$Y:$Y,'Threshold Summary'!$L:$L,""))/100)+5)*XLOOKUP(XLOOKUP($Q714,'Threshold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Editor'!$E:$E,1))),stab,IF(OR(mtype=XLOOKUP(XLOOKUP($Q714,'Threshold Summary'!$Y:$Y,'Threshold Summary'!$K:$K,""),'Pokemon Editor'!$A:$A,'Pokemon Editor'!$C:$C,""),mtype=XLOOKUP(XLOOKUP($Q714,'Threshold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Chart'!$B$1:$S$1,0)))),base,IF(OR(cat="Status",pow=0),0,FLOOR(FLOOR(FLOOR((2*XLOOKUP($Q714,'Threshold Summary'!$Y:$Y,'Threshold Summary'!$L:$L,"")/5+2)*pow*atk/def)/50)+2)),modifier,stab*eff,AVERAGE(ARRAYFORMULA(FLOOR(base*modifier*SEQUENCE(16,1,85,1)/100)))),0)</f>
        <v/>
      </c>
      <c r="M714" s="3">
        <f>IFERROR(LET(mtype,XLOOKUP($D714,'Move Editor'!$B:$B,'Move Editor'!$C:$C,""),cat,XLOOKUP($D714,'Move Editor'!$B:$B,'Move Editor'!$D:$D,""),pow,XLOOKUP($D714,'Move Editor'!$B:$B,'Move Editor'!$E:$E,0),acc,XLOOKUP($D714,'Move Editor'!$B:$B,'Move Editor'!$F:$F,100),atk,IF(cat="Physical",FLOOR((FLOOR(((2*XLOOKUP(XLOOKUP($Q714,'Threshold Summary'!$Y:$Y,'Threshold Summary'!$K:$K,""),'Pokemon Editor'!$A:$A,'Pokemon Editor'!$F:$F,0)+31+FLOOR(XLOOKUP($Q714,'Threshold Summary'!$Y:$Y,'Threshold Summary'!$P:$P,"")/4))*XLOOKUP($Q714,'Threshold Summary'!$Y:$Y,'Threshold Summary'!$L:$L,""))/100)+5)*XLOOKUP(XLOOKUP($Q714,'Threshold Summary'!$Y:$Y,'Threshold Summary'!$M:$M,""),'Nature Editor'!$A:$A,'Nature Editor'!$B:$B,1)),FLOOR((FLOOR(((2*XLOOKUP(XLOOKUP($Q714,'Threshold Summary'!$Y:$Y,'Threshold Summary'!$K:$K,""),'Pokemon Editor'!$A:$A,'Pokemon Editor'!$H:$H,0)+31+FLOOR(XLOOKUP($Q714,'Threshold Summary'!$Y:$Y,'Threshold Summary'!$R:$R,"")/4))*XLOOKUP($Q714,'Threshold Summary'!$Y:$Y,'Threshold Summary'!$L:$L,""))/100)+5)*XLOOKUP(XLOOKUP($Q714,'Threshold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Editor'!$E:$E,1))),stab,IF(OR(mtype=XLOOKUP(XLOOKUP($Q714,'Threshold Summary'!$Y:$Y,'Threshold Summary'!$K:$K,""),'Pokemon Editor'!$A:$A,'Pokemon Editor'!$C:$C,""),mtype=XLOOKUP(XLOOKUP($Q714,'Threshold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Chart'!$B$1:$S$1,0)))),base,IF(OR(cat="Status",pow=0),0,FLOOR(FLOOR(FLOOR((2*XLOOKUP($Q714,'Threshold Summary'!$Y:$Y,'Threshold Summary'!$L:$L,"")/5+2)*pow*atk/def)/50)+2)),modifier,stab*eff,AVERAGE(ARRAYFORMULA(FLOOR(base*modifier*SEQUENCE(16,1,85,1)/100)))*MIN(1,acc/100)),0)</f>
        <v/>
      </c>
      <c r="N714" s="4">
        <f>IFERROR(LET(mtype,XLOOKUP($D714,'Move Editor'!$B:$B,'Move Editor'!$C:$C,""),cat,XLOOKUP($D714,'Move Editor'!$B:$B,'Move Editor'!$D:$D,""),pow,XLOOKUP($D714,'Move Editor'!$B:$B,'Move Editor'!$E:$E,0),acc,XLOOKUP($D714,'Move Editor'!$B:$B,'Move Editor'!$F:$F,100),atk,IF(cat="Physical",FLOOR((FLOOR(((2*XLOOKUP(XLOOKUP($Q714,'Threshold Summary'!$Y:$Y,'Threshold Summary'!$K:$K,""),'Pokemon Editor'!$A:$A,'Pokemon Editor'!$F:$F,0)+31+FLOOR(XLOOKUP($Q714,'Threshold Summary'!$Y:$Y,'Threshold Summary'!$P:$P,"")/4))*XLOOKUP($Q714,'Threshold Summary'!$Y:$Y,'Threshold Summary'!$L:$L,""))/100)+5)*XLOOKUP(XLOOKUP($Q714,'Threshold Summary'!$Y:$Y,'Threshold Summary'!$M:$M,""),'Nature Editor'!$A:$A,'Nature Editor'!$B:$B,1)),FLOOR((FLOOR(((2*XLOOKUP(XLOOKUP($Q714,'Threshold Summary'!$Y:$Y,'Threshold Summary'!$K:$K,""),'Pokemon Editor'!$A:$A,'Pokemon Editor'!$H:$H,0)+31+FLOOR(XLOOKUP($Q714,'Threshold Summary'!$Y:$Y,'Threshold Summary'!$R:$R,"")/4))*XLOOKUP($Q714,'Threshold Summary'!$Y:$Y,'Threshold Summary'!$L:$L,""))/100)+5)*XLOOKUP(XLOOKUP($Q714,'Threshold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Editor'!$E:$E,1))),stab,IF(OR(mtype=XLOOKUP(XLOOKUP($Q714,'Threshold Summary'!$Y:$Y,'Threshold Summary'!$K:$K,""),'Pokemon Editor'!$A:$A,'Pokemon Editor'!$C:$C,""),mtype=XLOOKUP(XLOOKUP($Q714,'Threshold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Chart'!$B$1:$S$1,0)))),base,IF(OR(cat="Status",pow=0),0,FLOOR(FLOOR(FLOOR((2*XLOOKUP($Q714,'Threshold Summary'!$Y:$Y,'Threshold Summary'!$L:$L,"")/5+2)*pow*atk/def)/50)+2)),modifier,stab*eff,AVERAGE(ARRAYFORMULA(FLOOR(base*modifier*SEQUENCE(16,1,85,1)/100)))/(FLOOR(((2*XLOOKUP('Boss Editor'!$C$4,'Pokemon Editor'!$A:$A,'Pokemon Editor'!$E:$E,0)+31+FLOOR('Boss Editor'!$G$4/4))*'Boss Editor'!$D$4)/100)+'Boss Editor'!$D$4+10)),0)</f>
        <v/>
      </c>
      <c r="O714" s="3">
        <f>IF(N714&gt;=1,"OHKO",IF(N714&gt;=0.5,"2HKO",IF(N714&gt;=0.333,"3HKO",IF(N714&gt;=0.25,"4HKO","5HKO+"))))</f>
        <v/>
      </c>
      <c r="P714" s="3" t="inlineStr">
        <is>
          <t>Live from editable databases</t>
        </is>
      </c>
      <c r="Q714" s="3" t="inlineStr">
        <is>
          <t>SPECIES_CUTIEFLY</t>
        </is>
      </c>
      <c r="R714" s="3" t="n">
        <v>9</v>
      </c>
    </row>
    <row r="715">
      <c r="A715" s="3">
        <f>XLOOKUP($Q715,'Threshold Summary'!$Y:$Y,'Threshold Summary'!$A:$A,"")</f>
        <v/>
      </c>
      <c r="B715" s="3">
        <f>XLOOKUP($Q715,'Threshold Summary'!$Y:$Y,'Threshold Summary'!$M:$M,"")</f>
        <v/>
      </c>
      <c r="C715" s="3">
        <f>XLOOKUP($Q715,'Threshold Summary'!$Y:$Y,'Threshold Summary'!$N:$N,"")</f>
        <v/>
      </c>
      <c r="D715" s="3">
        <f>IFERROR(INDEX(FILTER('Learnset Editor'!$D$2:$D,'Learnset Editor'!$A$2:$A=XLOOKUP($Q715,'Threshold Summary'!$Y:$Y,'Threshold Summary'!$K:$K,""),'Learnset Editor'!$C$2:$C&lt;=XLOOKUP($Q715,'Threshold Summary'!$Y:$Y,'Threshold Summary'!$L:$L,"")),$R715),"")</f>
        <v/>
      </c>
      <c r="E715" s="3">
        <f>XLOOKUP(D715,'Move Editor'!$B:$B,'Move Editor'!$C:$C,"")</f>
        <v/>
      </c>
      <c r="F715" s="3">
        <f>XLOOKUP(D715,'Move Editor'!$B:$B,'Move Editor'!$D:$D,"")</f>
        <v/>
      </c>
      <c r="G715" s="3">
        <f>XLOOKUP(D715,'Move Editor'!$B:$B,'Move Editor'!$E:$E,0)</f>
        <v/>
      </c>
      <c r="H715" s="3">
        <f>XLOOKUP(D715,'Move Editor'!$B:$B,'Move Editor'!$F:$F,0)</f>
        <v/>
      </c>
      <c r="I715" s="3">
        <f>(INDEX('Type Chart'!$B:$S,MATCH(E715,'Type Chart'!$A:$A,0),MATCH(XLOOKUP('Boss Editor'!$C$4,'Pokemon Editor'!$A:$A,'Pokemon Editor'!$C:$C,""),'Type Chart'!$B$1:$S$1,0))*IF(XLOOKUP('Boss Editor'!$C$4,'Pokemon Editor'!$A:$A,'Pokemon Editor'!$D:$D,"")="",1,INDEX('Type Chart'!$B:$S,MATCH(E715,'Type Chart'!$A:$A,0),MATCH(XLOOKUP('Boss Editor'!$C$4,'Pokemon Editor'!$A:$A,'Pokemon Editor'!$D:$D,""),'Type Chart'!$B$1:$S$1,0))))</f>
        <v/>
      </c>
      <c r="J715" s="3">
        <f>IFERROR(LET(mtype,XLOOKUP($D715,'Move Editor'!$B:$B,'Move Editor'!$C:$C,""),cat,XLOOKUP($D715,'Move Editor'!$B:$B,'Move Editor'!$D:$D,""),pow,XLOOKUP($D715,'Move Editor'!$B:$B,'Move Editor'!$E:$E,0),acc,XLOOKUP($D715,'Move Editor'!$B:$B,'Move Editor'!$F:$F,100),atk,IF(cat="Physical",FLOOR((FLOOR(((2*XLOOKUP(XLOOKUP($Q715,'Threshold Summary'!$Y:$Y,'Threshold Summary'!$K:$K,""),'Pokemon Editor'!$A:$A,'Pokemon Editor'!$F:$F,0)+31+FLOOR(XLOOKUP($Q715,'Threshold Summary'!$Y:$Y,'Threshold Summary'!$P:$P,"")/4))*XLOOKUP($Q715,'Threshold Summary'!$Y:$Y,'Threshold Summary'!$L:$L,""))/100)+5)*XLOOKUP(XLOOKUP($Q715,'Threshold Summary'!$Y:$Y,'Threshold Summary'!$M:$M,""),'Nature Editor'!$A:$A,'Nature Editor'!$B:$B,1)),FLOOR((FLOOR(((2*XLOOKUP(XLOOKUP($Q715,'Threshold Summary'!$Y:$Y,'Threshold Summary'!$K:$K,""),'Pokemon Editor'!$A:$A,'Pokemon Editor'!$H:$H,0)+31+FLOOR(XLOOKUP($Q715,'Threshold Summary'!$Y:$Y,'Threshold Summary'!$R:$R,"")/4))*XLOOKUP($Q715,'Threshold Summary'!$Y:$Y,'Threshold Summary'!$L:$L,""))/100)+5)*XLOOKUP(XLOOKUP($Q715,'Threshold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Editor'!$E:$E,1))),stab,IF(OR(mtype=XLOOKUP(XLOOKUP($Q715,'Threshold Summary'!$Y:$Y,'Threshold Summary'!$K:$K,""),'Pokemon Editor'!$A:$A,'Pokemon Editor'!$C:$C,""),mtype=XLOOKUP(XLOOKUP($Q715,'Threshold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Chart'!$B$1:$S$1,0)))),base,IF(OR(cat="Status",pow=0),0,FLOOR(FLOOR(FLOOR((2*XLOOKUP($Q715,'Threshold Summary'!$Y:$Y,'Threshold Summary'!$L:$L,"")/5+2)*pow*atk/def)/50)+2)),modifier,stab*eff,FLOOR(base*modifier*0.85)),0)</f>
        <v/>
      </c>
      <c r="K715" s="3">
        <f>IFERROR(LET(mtype,XLOOKUP($D715,'Move Editor'!$B:$B,'Move Editor'!$C:$C,""),cat,XLOOKUP($D715,'Move Editor'!$B:$B,'Move Editor'!$D:$D,""),pow,XLOOKUP($D715,'Move Editor'!$B:$B,'Move Editor'!$E:$E,0),acc,XLOOKUP($D715,'Move Editor'!$B:$B,'Move Editor'!$F:$F,100),atk,IF(cat="Physical",FLOOR((FLOOR(((2*XLOOKUP(XLOOKUP($Q715,'Threshold Summary'!$Y:$Y,'Threshold Summary'!$K:$K,""),'Pokemon Editor'!$A:$A,'Pokemon Editor'!$F:$F,0)+31+FLOOR(XLOOKUP($Q715,'Threshold Summary'!$Y:$Y,'Threshold Summary'!$P:$P,"")/4))*XLOOKUP($Q715,'Threshold Summary'!$Y:$Y,'Threshold Summary'!$L:$L,""))/100)+5)*XLOOKUP(XLOOKUP($Q715,'Threshold Summary'!$Y:$Y,'Threshold Summary'!$M:$M,""),'Nature Editor'!$A:$A,'Nature Editor'!$B:$B,1)),FLOOR((FLOOR(((2*XLOOKUP(XLOOKUP($Q715,'Threshold Summary'!$Y:$Y,'Threshold Summary'!$K:$K,""),'Pokemon Editor'!$A:$A,'Pokemon Editor'!$H:$H,0)+31+FLOOR(XLOOKUP($Q715,'Threshold Summary'!$Y:$Y,'Threshold Summary'!$R:$R,"")/4))*XLOOKUP($Q715,'Threshold Summary'!$Y:$Y,'Threshold Summary'!$L:$L,""))/100)+5)*XLOOKUP(XLOOKUP($Q715,'Threshold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Editor'!$E:$E,1))),stab,IF(OR(mtype=XLOOKUP(XLOOKUP($Q715,'Threshold Summary'!$Y:$Y,'Threshold Summary'!$K:$K,""),'Pokemon Editor'!$A:$A,'Pokemon Editor'!$C:$C,""),mtype=XLOOKUP(XLOOKUP($Q715,'Threshold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Chart'!$B$1:$S$1,0)))),base,IF(OR(cat="Status",pow=0),0,FLOOR(FLOOR(FLOOR((2*XLOOKUP($Q715,'Threshold Summary'!$Y:$Y,'Threshold Summary'!$L:$L,"")/5+2)*pow*atk/def)/50)+2)),modifier,stab*eff,FLOOR(base*modifier)),0)</f>
        <v/>
      </c>
      <c r="L715" s="3">
        <f>IFERROR(LET(mtype,XLOOKUP($D715,'Move Editor'!$B:$B,'Move Editor'!$C:$C,""),cat,XLOOKUP($D715,'Move Editor'!$B:$B,'Move Editor'!$D:$D,""),pow,XLOOKUP($D715,'Move Editor'!$B:$B,'Move Editor'!$E:$E,0),acc,XLOOKUP($D715,'Move Editor'!$B:$B,'Move Editor'!$F:$F,100),atk,IF(cat="Physical",FLOOR((FLOOR(((2*XLOOKUP(XLOOKUP($Q715,'Threshold Summary'!$Y:$Y,'Threshold Summary'!$K:$K,""),'Pokemon Editor'!$A:$A,'Pokemon Editor'!$F:$F,0)+31+FLOOR(XLOOKUP($Q715,'Threshold Summary'!$Y:$Y,'Threshold Summary'!$P:$P,"")/4))*XLOOKUP($Q715,'Threshold Summary'!$Y:$Y,'Threshold Summary'!$L:$L,""))/100)+5)*XLOOKUP(XLOOKUP($Q715,'Threshold Summary'!$Y:$Y,'Threshold Summary'!$M:$M,""),'Nature Editor'!$A:$A,'Nature Editor'!$B:$B,1)),FLOOR((FLOOR(((2*XLOOKUP(XLOOKUP($Q715,'Threshold Summary'!$Y:$Y,'Threshold Summary'!$K:$K,""),'Pokemon Editor'!$A:$A,'Pokemon Editor'!$H:$H,0)+31+FLOOR(XLOOKUP($Q715,'Threshold Summary'!$Y:$Y,'Threshold Summary'!$R:$R,"")/4))*XLOOKUP($Q715,'Threshold Summary'!$Y:$Y,'Threshold Summary'!$L:$L,""))/100)+5)*XLOOKUP(XLOOKUP($Q715,'Threshold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Editor'!$E:$E,1))),stab,IF(OR(mtype=XLOOKUP(XLOOKUP($Q715,'Threshold Summary'!$Y:$Y,'Threshold Summary'!$K:$K,""),'Pokemon Editor'!$A:$A,'Pokemon Editor'!$C:$C,""),mtype=XLOOKUP(XLOOKUP($Q715,'Threshold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Chart'!$B$1:$S$1,0)))),base,IF(OR(cat="Status",pow=0),0,FLOOR(FLOOR(FLOOR((2*XLOOKUP($Q715,'Threshold Summary'!$Y:$Y,'Threshold Summary'!$L:$L,"")/5+2)*pow*atk/def)/50)+2)),modifier,stab*eff,AVERAGE(ARRAYFORMULA(FLOOR(base*modifier*SEQUENCE(16,1,85,1)/100)))),0)</f>
        <v/>
      </c>
      <c r="M715" s="3">
        <f>IFERROR(LET(mtype,XLOOKUP($D715,'Move Editor'!$B:$B,'Move Editor'!$C:$C,""),cat,XLOOKUP($D715,'Move Editor'!$B:$B,'Move Editor'!$D:$D,""),pow,XLOOKUP($D715,'Move Editor'!$B:$B,'Move Editor'!$E:$E,0),acc,XLOOKUP($D715,'Move Editor'!$B:$B,'Move Editor'!$F:$F,100),atk,IF(cat="Physical",FLOOR((FLOOR(((2*XLOOKUP(XLOOKUP($Q715,'Threshold Summary'!$Y:$Y,'Threshold Summary'!$K:$K,""),'Pokemon Editor'!$A:$A,'Pokemon Editor'!$F:$F,0)+31+FLOOR(XLOOKUP($Q715,'Threshold Summary'!$Y:$Y,'Threshold Summary'!$P:$P,"")/4))*XLOOKUP($Q715,'Threshold Summary'!$Y:$Y,'Threshold Summary'!$L:$L,""))/100)+5)*XLOOKUP(XLOOKUP($Q715,'Threshold Summary'!$Y:$Y,'Threshold Summary'!$M:$M,""),'Nature Editor'!$A:$A,'Nature Editor'!$B:$B,1)),FLOOR((FLOOR(((2*XLOOKUP(XLOOKUP($Q715,'Threshold Summary'!$Y:$Y,'Threshold Summary'!$K:$K,""),'Pokemon Editor'!$A:$A,'Pokemon Editor'!$H:$H,0)+31+FLOOR(XLOOKUP($Q715,'Threshold Summary'!$Y:$Y,'Threshold Summary'!$R:$R,"")/4))*XLOOKUP($Q715,'Threshold Summary'!$Y:$Y,'Threshold Summary'!$L:$L,""))/100)+5)*XLOOKUP(XLOOKUP($Q715,'Threshold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Editor'!$E:$E,1))),stab,IF(OR(mtype=XLOOKUP(XLOOKUP($Q715,'Threshold Summary'!$Y:$Y,'Threshold Summary'!$K:$K,""),'Pokemon Editor'!$A:$A,'Pokemon Editor'!$C:$C,""),mtype=XLOOKUP(XLOOKUP($Q715,'Threshold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Chart'!$B$1:$S$1,0)))),base,IF(OR(cat="Status",pow=0),0,FLOOR(FLOOR(FLOOR((2*XLOOKUP($Q715,'Threshold Summary'!$Y:$Y,'Threshold Summary'!$L:$L,"")/5+2)*pow*atk/def)/50)+2)),modifier,stab*eff,AVERAGE(ARRAYFORMULA(FLOOR(base*modifier*SEQUENCE(16,1,85,1)/100)))*MIN(1,acc/100)),0)</f>
        <v/>
      </c>
      <c r="N715" s="4">
        <f>IFERROR(LET(mtype,XLOOKUP($D715,'Move Editor'!$B:$B,'Move Editor'!$C:$C,""),cat,XLOOKUP($D715,'Move Editor'!$B:$B,'Move Editor'!$D:$D,""),pow,XLOOKUP($D715,'Move Editor'!$B:$B,'Move Editor'!$E:$E,0),acc,XLOOKUP($D715,'Move Editor'!$B:$B,'Move Editor'!$F:$F,100),atk,IF(cat="Physical",FLOOR((FLOOR(((2*XLOOKUP(XLOOKUP($Q715,'Threshold Summary'!$Y:$Y,'Threshold Summary'!$K:$K,""),'Pokemon Editor'!$A:$A,'Pokemon Editor'!$F:$F,0)+31+FLOOR(XLOOKUP($Q715,'Threshold Summary'!$Y:$Y,'Threshold Summary'!$P:$P,"")/4))*XLOOKUP($Q715,'Threshold Summary'!$Y:$Y,'Threshold Summary'!$L:$L,""))/100)+5)*XLOOKUP(XLOOKUP($Q715,'Threshold Summary'!$Y:$Y,'Threshold Summary'!$M:$M,""),'Nature Editor'!$A:$A,'Nature Editor'!$B:$B,1)),FLOOR((FLOOR(((2*XLOOKUP(XLOOKUP($Q715,'Threshold Summary'!$Y:$Y,'Threshold Summary'!$K:$K,""),'Pokemon Editor'!$A:$A,'Pokemon Editor'!$H:$H,0)+31+FLOOR(XLOOKUP($Q715,'Threshold Summary'!$Y:$Y,'Threshold Summary'!$R:$R,"")/4))*XLOOKUP($Q715,'Threshold Summary'!$Y:$Y,'Threshold Summary'!$L:$L,""))/100)+5)*XLOOKUP(XLOOKUP($Q715,'Threshold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Editor'!$E:$E,1))),stab,IF(OR(mtype=XLOOKUP(XLOOKUP($Q715,'Threshold Summary'!$Y:$Y,'Threshold Summary'!$K:$K,""),'Pokemon Editor'!$A:$A,'Pokemon Editor'!$C:$C,""),mtype=XLOOKUP(XLOOKUP($Q715,'Threshold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Chart'!$B$1:$S$1,0)))),base,IF(OR(cat="Status",pow=0),0,FLOOR(FLOOR(FLOOR((2*XLOOKUP($Q715,'Threshold Summary'!$Y:$Y,'Threshold Summary'!$L:$L,"")/5+2)*pow*atk/def)/50)+2)),modifier,stab*eff,AVERAGE(ARRAYFORMULA(FLOOR(base*modifier*SEQUENCE(16,1,85,1)/100)))/(FLOOR(((2*XLOOKUP('Boss Editor'!$C$4,'Pokemon Editor'!$A:$A,'Pokemon Editor'!$E:$E,0)+31+FLOOR('Boss Editor'!$G$4/4))*'Boss Editor'!$D$4)/100)+'Boss Editor'!$D$4+10)),0)</f>
        <v/>
      </c>
      <c r="O715" s="3">
        <f>IF(N715&gt;=1,"OHKO",IF(N715&gt;=0.5,"2HKO",IF(N715&gt;=0.333,"3HKO",IF(N715&gt;=0.25,"4HKO","5HKO+"))))</f>
        <v/>
      </c>
      <c r="P715" s="3" t="inlineStr">
        <is>
          <t>Live from editable databases</t>
        </is>
      </c>
      <c r="Q715" s="3" t="inlineStr">
        <is>
          <t>SPECIES_CUTIEFLY</t>
        </is>
      </c>
      <c r="R715" s="3" t="n">
        <v>10</v>
      </c>
    </row>
    <row r="716">
      <c r="A716" s="3">
        <f>XLOOKUP($Q716,'Threshold Summary'!$Y:$Y,'Threshold Summary'!$A:$A,"")</f>
        <v/>
      </c>
      <c r="B716" s="3">
        <f>XLOOKUP($Q716,'Threshold Summary'!$Y:$Y,'Threshold Summary'!$M:$M,"")</f>
        <v/>
      </c>
      <c r="C716" s="3">
        <f>XLOOKUP($Q716,'Threshold Summary'!$Y:$Y,'Threshold Summary'!$N:$N,"")</f>
        <v/>
      </c>
      <c r="D716" s="3">
        <f>IFERROR(INDEX(FILTER('Learnset Editor'!$D$2:$D,'Learnset Editor'!$A$2:$A=XLOOKUP($Q716,'Threshold Summary'!$Y:$Y,'Threshold Summary'!$K:$K,""),'Learnset Editor'!$C$2:$C&lt;=XLOOKUP($Q716,'Threshold Summary'!$Y:$Y,'Threshold Summary'!$L:$L,"")),$R716),"")</f>
        <v/>
      </c>
      <c r="E716" s="3">
        <f>XLOOKUP(D716,'Move Editor'!$B:$B,'Move Editor'!$C:$C,"")</f>
        <v/>
      </c>
      <c r="F716" s="3">
        <f>XLOOKUP(D716,'Move Editor'!$B:$B,'Move Editor'!$D:$D,"")</f>
        <v/>
      </c>
      <c r="G716" s="3">
        <f>XLOOKUP(D716,'Move Editor'!$B:$B,'Move Editor'!$E:$E,0)</f>
        <v/>
      </c>
      <c r="H716" s="3">
        <f>XLOOKUP(D716,'Move Editor'!$B:$B,'Move Editor'!$F:$F,0)</f>
        <v/>
      </c>
      <c r="I716" s="3">
        <f>(INDEX('Type Chart'!$B:$S,MATCH(E716,'Type Chart'!$A:$A,0),MATCH(XLOOKUP('Boss Editor'!$C$4,'Pokemon Editor'!$A:$A,'Pokemon Editor'!$C:$C,""),'Type Chart'!$B$1:$S$1,0))*IF(XLOOKUP('Boss Editor'!$C$4,'Pokemon Editor'!$A:$A,'Pokemon Editor'!$D:$D,"")="",1,INDEX('Type Chart'!$B:$S,MATCH(E716,'Type Chart'!$A:$A,0),MATCH(XLOOKUP('Boss Editor'!$C$4,'Pokemon Editor'!$A:$A,'Pokemon Editor'!$D:$D,""),'Type Chart'!$B$1:$S$1,0))))</f>
        <v/>
      </c>
      <c r="J716" s="3">
        <f>IFERROR(LET(mtype,XLOOKUP($D716,'Move Editor'!$B:$B,'Move Editor'!$C:$C,""),cat,XLOOKUP($D716,'Move Editor'!$B:$B,'Move Editor'!$D:$D,""),pow,XLOOKUP($D716,'Move Editor'!$B:$B,'Move Editor'!$E:$E,0),acc,XLOOKUP($D716,'Move Editor'!$B:$B,'Move Editor'!$F:$F,100),atk,IF(cat="Physical",FLOOR((FLOOR(((2*XLOOKUP(XLOOKUP($Q716,'Threshold Summary'!$Y:$Y,'Threshold Summary'!$K:$K,""),'Pokemon Editor'!$A:$A,'Pokemon Editor'!$F:$F,0)+31+FLOOR(XLOOKUP($Q716,'Threshold Summary'!$Y:$Y,'Threshold Summary'!$P:$P,"")/4))*XLOOKUP($Q716,'Threshold Summary'!$Y:$Y,'Threshold Summary'!$L:$L,""))/100)+5)*XLOOKUP(XLOOKUP($Q716,'Threshold Summary'!$Y:$Y,'Threshold Summary'!$M:$M,""),'Nature Editor'!$A:$A,'Nature Editor'!$B:$B,1)),FLOOR((FLOOR(((2*XLOOKUP(XLOOKUP($Q716,'Threshold Summary'!$Y:$Y,'Threshold Summary'!$K:$K,""),'Pokemon Editor'!$A:$A,'Pokemon Editor'!$H:$H,0)+31+FLOOR(XLOOKUP($Q716,'Threshold Summary'!$Y:$Y,'Threshold Summary'!$R:$R,"")/4))*XLOOKUP($Q716,'Threshold Summary'!$Y:$Y,'Threshold Summary'!$L:$L,""))/100)+5)*XLOOKUP(XLOOKUP($Q716,'Threshold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Editor'!$E:$E,1))),stab,IF(OR(mtype=XLOOKUP(XLOOKUP($Q716,'Threshold Summary'!$Y:$Y,'Threshold Summary'!$K:$K,""),'Pokemon Editor'!$A:$A,'Pokemon Editor'!$C:$C,""),mtype=XLOOKUP(XLOOKUP($Q716,'Threshold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Chart'!$B$1:$S$1,0)))),base,IF(OR(cat="Status",pow=0),0,FLOOR(FLOOR(FLOOR((2*XLOOKUP($Q716,'Threshold Summary'!$Y:$Y,'Threshold Summary'!$L:$L,"")/5+2)*pow*atk/def)/50)+2)),modifier,stab*eff,FLOOR(base*modifier*0.85)),0)</f>
        <v/>
      </c>
      <c r="K716" s="3">
        <f>IFERROR(LET(mtype,XLOOKUP($D716,'Move Editor'!$B:$B,'Move Editor'!$C:$C,""),cat,XLOOKUP($D716,'Move Editor'!$B:$B,'Move Editor'!$D:$D,""),pow,XLOOKUP($D716,'Move Editor'!$B:$B,'Move Editor'!$E:$E,0),acc,XLOOKUP($D716,'Move Editor'!$B:$B,'Move Editor'!$F:$F,100),atk,IF(cat="Physical",FLOOR((FLOOR(((2*XLOOKUP(XLOOKUP($Q716,'Threshold Summary'!$Y:$Y,'Threshold Summary'!$K:$K,""),'Pokemon Editor'!$A:$A,'Pokemon Editor'!$F:$F,0)+31+FLOOR(XLOOKUP($Q716,'Threshold Summary'!$Y:$Y,'Threshold Summary'!$P:$P,"")/4))*XLOOKUP($Q716,'Threshold Summary'!$Y:$Y,'Threshold Summary'!$L:$L,""))/100)+5)*XLOOKUP(XLOOKUP($Q716,'Threshold Summary'!$Y:$Y,'Threshold Summary'!$M:$M,""),'Nature Editor'!$A:$A,'Nature Editor'!$B:$B,1)),FLOOR((FLOOR(((2*XLOOKUP(XLOOKUP($Q716,'Threshold Summary'!$Y:$Y,'Threshold Summary'!$K:$K,""),'Pokemon Editor'!$A:$A,'Pokemon Editor'!$H:$H,0)+31+FLOOR(XLOOKUP($Q716,'Threshold Summary'!$Y:$Y,'Threshold Summary'!$R:$R,"")/4))*XLOOKUP($Q716,'Threshold Summary'!$Y:$Y,'Threshold Summary'!$L:$L,""))/100)+5)*XLOOKUP(XLOOKUP($Q716,'Threshold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Editor'!$E:$E,1))),stab,IF(OR(mtype=XLOOKUP(XLOOKUP($Q716,'Threshold Summary'!$Y:$Y,'Threshold Summary'!$K:$K,""),'Pokemon Editor'!$A:$A,'Pokemon Editor'!$C:$C,""),mtype=XLOOKUP(XLOOKUP($Q716,'Threshold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Chart'!$B$1:$S$1,0)))),base,IF(OR(cat="Status",pow=0),0,FLOOR(FLOOR(FLOOR((2*XLOOKUP($Q716,'Threshold Summary'!$Y:$Y,'Threshold Summary'!$L:$L,"")/5+2)*pow*atk/def)/50)+2)),modifier,stab*eff,FLOOR(base*modifier)),0)</f>
        <v/>
      </c>
      <c r="L716" s="3">
        <f>IFERROR(LET(mtype,XLOOKUP($D716,'Move Editor'!$B:$B,'Move Editor'!$C:$C,""),cat,XLOOKUP($D716,'Move Editor'!$B:$B,'Move Editor'!$D:$D,""),pow,XLOOKUP($D716,'Move Editor'!$B:$B,'Move Editor'!$E:$E,0),acc,XLOOKUP($D716,'Move Editor'!$B:$B,'Move Editor'!$F:$F,100),atk,IF(cat="Physical",FLOOR((FLOOR(((2*XLOOKUP(XLOOKUP($Q716,'Threshold Summary'!$Y:$Y,'Threshold Summary'!$K:$K,""),'Pokemon Editor'!$A:$A,'Pokemon Editor'!$F:$F,0)+31+FLOOR(XLOOKUP($Q716,'Threshold Summary'!$Y:$Y,'Threshold Summary'!$P:$P,"")/4))*XLOOKUP($Q716,'Threshold Summary'!$Y:$Y,'Threshold Summary'!$L:$L,""))/100)+5)*XLOOKUP(XLOOKUP($Q716,'Threshold Summary'!$Y:$Y,'Threshold Summary'!$M:$M,""),'Nature Editor'!$A:$A,'Nature Editor'!$B:$B,1)),FLOOR((FLOOR(((2*XLOOKUP(XLOOKUP($Q716,'Threshold Summary'!$Y:$Y,'Threshold Summary'!$K:$K,""),'Pokemon Editor'!$A:$A,'Pokemon Editor'!$H:$H,0)+31+FLOOR(XLOOKUP($Q716,'Threshold Summary'!$Y:$Y,'Threshold Summary'!$R:$R,"")/4))*XLOOKUP($Q716,'Threshold Summary'!$Y:$Y,'Threshold Summary'!$L:$L,""))/100)+5)*XLOOKUP(XLOOKUP($Q716,'Threshold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Editor'!$E:$E,1))),stab,IF(OR(mtype=XLOOKUP(XLOOKUP($Q716,'Threshold Summary'!$Y:$Y,'Threshold Summary'!$K:$K,""),'Pokemon Editor'!$A:$A,'Pokemon Editor'!$C:$C,""),mtype=XLOOKUP(XLOOKUP($Q716,'Threshold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Chart'!$B$1:$S$1,0)))),base,IF(OR(cat="Status",pow=0),0,FLOOR(FLOOR(FLOOR((2*XLOOKUP($Q716,'Threshold Summary'!$Y:$Y,'Threshold Summary'!$L:$L,"")/5+2)*pow*atk/def)/50)+2)),modifier,stab*eff,AVERAGE(ARRAYFORMULA(FLOOR(base*modifier*SEQUENCE(16,1,85,1)/100)))),0)</f>
        <v/>
      </c>
      <c r="M716" s="3">
        <f>IFERROR(LET(mtype,XLOOKUP($D716,'Move Editor'!$B:$B,'Move Editor'!$C:$C,""),cat,XLOOKUP($D716,'Move Editor'!$B:$B,'Move Editor'!$D:$D,""),pow,XLOOKUP($D716,'Move Editor'!$B:$B,'Move Editor'!$E:$E,0),acc,XLOOKUP($D716,'Move Editor'!$B:$B,'Move Editor'!$F:$F,100),atk,IF(cat="Physical",FLOOR((FLOOR(((2*XLOOKUP(XLOOKUP($Q716,'Threshold Summary'!$Y:$Y,'Threshold Summary'!$K:$K,""),'Pokemon Editor'!$A:$A,'Pokemon Editor'!$F:$F,0)+31+FLOOR(XLOOKUP($Q716,'Threshold Summary'!$Y:$Y,'Threshold Summary'!$P:$P,"")/4))*XLOOKUP($Q716,'Threshold Summary'!$Y:$Y,'Threshold Summary'!$L:$L,""))/100)+5)*XLOOKUP(XLOOKUP($Q716,'Threshold Summary'!$Y:$Y,'Threshold Summary'!$M:$M,""),'Nature Editor'!$A:$A,'Nature Editor'!$B:$B,1)),FLOOR((FLOOR(((2*XLOOKUP(XLOOKUP($Q716,'Threshold Summary'!$Y:$Y,'Threshold Summary'!$K:$K,""),'Pokemon Editor'!$A:$A,'Pokemon Editor'!$H:$H,0)+31+FLOOR(XLOOKUP($Q716,'Threshold Summary'!$Y:$Y,'Threshold Summary'!$R:$R,"")/4))*XLOOKUP($Q716,'Threshold Summary'!$Y:$Y,'Threshold Summary'!$L:$L,""))/100)+5)*XLOOKUP(XLOOKUP($Q716,'Threshold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Editor'!$E:$E,1))),stab,IF(OR(mtype=XLOOKUP(XLOOKUP($Q716,'Threshold Summary'!$Y:$Y,'Threshold Summary'!$K:$K,""),'Pokemon Editor'!$A:$A,'Pokemon Editor'!$C:$C,""),mtype=XLOOKUP(XLOOKUP($Q716,'Threshold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Chart'!$B$1:$S$1,0)))),base,IF(OR(cat="Status",pow=0),0,FLOOR(FLOOR(FLOOR((2*XLOOKUP($Q716,'Threshold Summary'!$Y:$Y,'Threshold Summary'!$L:$L,"")/5+2)*pow*atk/def)/50)+2)),modifier,stab*eff,AVERAGE(ARRAYFORMULA(FLOOR(base*modifier*SEQUENCE(16,1,85,1)/100)))*MIN(1,acc/100)),0)</f>
        <v/>
      </c>
      <c r="N716" s="4">
        <f>IFERROR(LET(mtype,XLOOKUP($D716,'Move Editor'!$B:$B,'Move Editor'!$C:$C,""),cat,XLOOKUP($D716,'Move Editor'!$B:$B,'Move Editor'!$D:$D,""),pow,XLOOKUP($D716,'Move Editor'!$B:$B,'Move Editor'!$E:$E,0),acc,XLOOKUP($D716,'Move Editor'!$B:$B,'Move Editor'!$F:$F,100),atk,IF(cat="Physical",FLOOR((FLOOR(((2*XLOOKUP(XLOOKUP($Q716,'Threshold Summary'!$Y:$Y,'Threshold Summary'!$K:$K,""),'Pokemon Editor'!$A:$A,'Pokemon Editor'!$F:$F,0)+31+FLOOR(XLOOKUP($Q716,'Threshold Summary'!$Y:$Y,'Threshold Summary'!$P:$P,"")/4))*XLOOKUP($Q716,'Threshold Summary'!$Y:$Y,'Threshold Summary'!$L:$L,""))/100)+5)*XLOOKUP(XLOOKUP($Q716,'Threshold Summary'!$Y:$Y,'Threshold Summary'!$M:$M,""),'Nature Editor'!$A:$A,'Nature Editor'!$B:$B,1)),FLOOR((FLOOR(((2*XLOOKUP(XLOOKUP($Q716,'Threshold Summary'!$Y:$Y,'Threshold Summary'!$K:$K,""),'Pokemon Editor'!$A:$A,'Pokemon Editor'!$H:$H,0)+31+FLOOR(XLOOKUP($Q716,'Threshold Summary'!$Y:$Y,'Threshold Summary'!$R:$R,"")/4))*XLOOKUP($Q716,'Threshold Summary'!$Y:$Y,'Threshold Summary'!$L:$L,""))/100)+5)*XLOOKUP(XLOOKUP($Q716,'Threshold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Editor'!$E:$E,1))),stab,IF(OR(mtype=XLOOKUP(XLOOKUP($Q716,'Threshold Summary'!$Y:$Y,'Threshold Summary'!$K:$K,""),'Pokemon Editor'!$A:$A,'Pokemon Editor'!$C:$C,""),mtype=XLOOKUP(XLOOKUP($Q716,'Threshold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Chart'!$B$1:$S$1,0)))),base,IF(OR(cat="Status",pow=0),0,FLOOR(FLOOR(FLOOR((2*XLOOKUP($Q716,'Threshold Summary'!$Y:$Y,'Threshold Summary'!$L:$L,"")/5+2)*pow*atk/def)/50)+2)),modifier,stab*eff,AVERAGE(ARRAYFORMULA(FLOOR(base*modifier*SEQUENCE(16,1,85,1)/100)))/(FLOOR(((2*XLOOKUP('Boss Editor'!$C$4,'Pokemon Editor'!$A:$A,'Pokemon Editor'!$E:$E,0)+31+FLOOR('Boss Editor'!$G$4/4))*'Boss Editor'!$D$4)/100)+'Boss Editor'!$D$4+10)),0)</f>
        <v/>
      </c>
      <c r="O716" s="3">
        <f>IF(N716&gt;=1,"OHKO",IF(N716&gt;=0.5,"2HKO",IF(N716&gt;=0.333,"3HKO",IF(N716&gt;=0.25,"4HKO","5HKO+"))))</f>
        <v/>
      </c>
      <c r="P716" s="3" t="inlineStr">
        <is>
          <t>Live from editable databases</t>
        </is>
      </c>
      <c r="Q716" s="3" t="inlineStr">
        <is>
          <t>SPECIES_CUTIEFLY</t>
        </is>
      </c>
      <c r="R716" s="3" t="n">
        <v>11</v>
      </c>
    </row>
    <row r="717">
      <c r="A717" s="3">
        <f>XLOOKUP($Q717,'Threshold Summary'!$Y:$Y,'Threshold Summary'!$A:$A,"")</f>
        <v/>
      </c>
      <c r="B717" s="3">
        <f>XLOOKUP($Q717,'Threshold Summary'!$Y:$Y,'Threshold Summary'!$M:$M,"")</f>
        <v/>
      </c>
      <c r="C717" s="3">
        <f>XLOOKUP($Q717,'Threshold Summary'!$Y:$Y,'Threshold Summary'!$N:$N,"")</f>
        <v/>
      </c>
      <c r="D717" s="3">
        <f>IFERROR(INDEX(FILTER('Learnset Editor'!$D$2:$D,'Learnset Editor'!$A$2:$A=XLOOKUP($Q717,'Threshold Summary'!$Y:$Y,'Threshold Summary'!$K:$K,""),'Learnset Editor'!$C$2:$C&lt;=XLOOKUP($Q717,'Threshold Summary'!$Y:$Y,'Threshold Summary'!$L:$L,"")),$R717),"")</f>
        <v/>
      </c>
      <c r="E717" s="3">
        <f>XLOOKUP(D717,'Move Editor'!$B:$B,'Move Editor'!$C:$C,"")</f>
        <v/>
      </c>
      <c r="F717" s="3">
        <f>XLOOKUP(D717,'Move Editor'!$B:$B,'Move Editor'!$D:$D,"")</f>
        <v/>
      </c>
      <c r="G717" s="3">
        <f>XLOOKUP(D717,'Move Editor'!$B:$B,'Move Editor'!$E:$E,0)</f>
        <v/>
      </c>
      <c r="H717" s="3">
        <f>XLOOKUP(D717,'Move Editor'!$B:$B,'Move Editor'!$F:$F,0)</f>
        <v/>
      </c>
      <c r="I717" s="3">
        <f>(INDEX('Type Chart'!$B:$S,MATCH(E717,'Type Chart'!$A:$A,0),MATCH(XLOOKUP('Boss Editor'!$C$4,'Pokemon Editor'!$A:$A,'Pokemon Editor'!$C:$C,""),'Type Chart'!$B$1:$S$1,0))*IF(XLOOKUP('Boss Editor'!$C$4,'Pokemon Editor'!$A:$A,'Pokemon Editor'!$D:$D,"")="",1,INDEX('Type Chart'!$B:$S,MATCH(E717,'Type Chart'!$A:$A,0),MATCH(XLOOKUP('Boss Editor'!$C$4,'Pokemon Editor'!$A:$A,'Pokemon Editor'!$D:$D,""),'Type Chart'!$B$1:$S$1,0))))</f>
        <v/>
      </c>
      <c r="J717" s="3">
        <f>IFERROR(LET(mtype,XLOOKUP($D717,'Move Editor'!$B:$B,'Move Editor'!$C:$C,""),cat,XLOOKUP($D717,'Move Editor'!$B:$B,'Move Editor'!$D:$D,""),pow,XLOOKUP($D717,'Move Editor'!$B:$B,'Move Editor'!$E:$E,0),acc,XLOOKUP($D717,'Move Editor'!$B:$B,'Move Editor'!$F:$F,100),atk,IF(cat="Physical",FLOOR((FLOOR(((2*XLOOKUP(XLOOKUP($Q717,'Threshold Summary'!$Y:$Y,'Threshold Summary'!$K:$K,""),'Pokemon Editor'!$A:$A,'Pokemon Editor'!$F:$F,0)+31+FLOOR(XLOOKUP($Q717,'Threshold Summary'!$Y:$Y,'Threshold Summary'!$P:$P,"")/4))*XLOOKUP($Q717,'Threshold Summary'!$Y:$Y,'Threshold Summary'!$L:$L,""))/100)+5)*XLOOKUP(XLOOKUP($Q717,'Threshold Summary'!$Y:$Y,'Threshold Summary'!$M:$M,""),'Nature Editor'!$A:$A,'Nature Editor'!$B:$B,1)),FLOOR((FLOOR(((2*XLOOKUP(XLOOKUP($Q717,'Threshold Summary'!$Y:$Y,'Threshold Summary'!$K:$K,""),'Pokemon Editor'!$A:$A,'Pokemon Editor'!$H:$H,0)+31+FLOOR(XLOOKUP($Q717,'Threshold Summary'!$Y:$Y,'Threshold Summary'!$R:$R,"")/4))*XLOOKUP($Q717,'Threshold Summary'!$Y:$Y,'Threshold Summary'!$L:$L,""))/100)+5)*XLOOKUP(XLOOKUP($Q717,'Threshold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Editor'!$E:$E,1))),stab,IF(OR(mtype=XLOOKUP(XLOOKUP($Q717,'Threshold Summary'!$Y:$Y,'Threshold Summary'!$K:$K,""),'Pokemon Editor'!$A:$A,'Pokemon Editor'!$C:$C,""),mtype=XLOOKUP(XLOOKUP($Q717,'Threshold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Chart'!$B$1:$S$1,0)))),base,IF(OR(cat="Status",pow=0),0,FLOOR(FLOOR(FLOOR((2*XLOOKUP($Q717,'Threshold Summary'!$Y:$Y,'Threshold Summary'!$L:$L,"")/5+2)*pow*atk/def)/50)+2)),modifier,stab*eff,FLOOR(base*modifier*0.85)),0)</f>
        <v/>
      </c>
      <c r="K717" s="3">
        <f>IFERROR(LET(mtype,XLOOKUP($D717,'Move Editor'!$B:$B,'Move Editor'!$C:$C,""),cat,XLOOKUP($D717,'Move Editor'!$B:$B,'Move Editor'!$D:$D,""),pow,XLOOKUP($D717,'Move Editor'!$B:$B,'Move Editor'!$E:$E,0),acc,XLOOKUP($D717,'Move Editor'!$B:$B,'Move Editor'!$F:$F,100),atk,IF(cat="Physical",FLOOR((FLOOR(((2*XLOOKUP(XLOOKUP($Q717,'Threshold Summary'!$Y:$Y,'Threshold Summary'!$K:$K,""),'Pokemon Editor'!$A:$A,'Pokemon Editor'!$F:$F,0)+31+FLOOR(XLOOKUP($Q717,'Threshold Summary'!$Y:$Y,'Threshold Summary'!$P:$P,"")/4))*XLOOKUP($Q717,'Threshold Summary'!$Y:$Y,'Threshold Summary'!$L:$L,""))/100)+5)*XLOOKUP(XLOOKUP($Q717,'Threshold Summary'!$Y:$Y,'Threshold Summary'!$M:$M,""),'Nature Editor'!$A:$A,'Nature Editor'!$B:$B,1)),FLOOR((FLOOR(((2*XLOOKUP(XLOOKUP($Q717,'Threshold Summary'!$Y:$Y,'Threshold Summary'!$K:$K,""),'Pokemon Editor'!$A:$A,'Pokemon Editor'!$H:$H,0)+31+FLOOR(XLOOKUP($Q717,'Threshold Summary'!$Y:$Y,'Threshold Summary'!$R:$R,"")/4))*XLOOKUP($Q717,'Threshold Summary'!$Y:$Y,'Threshold Summary'!$L:$L,""))/100)+5)*XLOOKUP(XLOOKUP($Q717,'Threshold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Editor'!$E:$E,1))),stab,IF(OR(mtype=XLOOKUP(XLOOKUP($Q717,'Threshold Summary'!$Y:$Y,'Threshold Summary'!$K:$K,""),'Pokemon Editor'!$A:$A,'Pokemon Editor'!$C:$C,""),mtype=XLOOKUP(XLOOKUP($Q717,'Threshold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Chart'!$B$1:$S$1,0)))),base,IF(OR(cat="Status",pow=0),0,FLOOR(FLOOR(FLOOR((2*XLOOKUP($Q717,'Threshold Summary'!$Y:$Y,'Threshold Summary'!$L:$L,"")/5+2)*pow*atk/def)/50)+2)),modifier,stab*eff,FLOOR(base*modifier)),0)</f>
        <v/>
      </c>
      <c r="L717" s="3">
        <f>IFERROR(LET(mtype,XLOOKUP($D717,'Move Editor'!$B:$B,'Move Editor'!$C:$C,""),cat,XLOOKUP($D717,'Move Editor'!$B:$B,'Move Editor'!$D:$D,""),pow,XLOOKUP($D717,'Move Editor'!$B:$B,'Move Editor'!$E:$E,0),acc,XLOOKUP($D717,'Move Editor'!$B:$B,'Move Editor'!$F:$F,100),atk,IF(cat="Physical",FLOOR((FLOOR(((2*XLOOKUP(XLOOKUP($Q717,'Threshold Summary'!$Y:$Y,'Threshold Summary'!$K:$K,""),'Pokemon Editor'!$A:$A,'Pokemon Editor'!$F:$F,0)+31+FLOOR(XLOOKUP($Q717,'Threshold Summary'!$Y:$Y,'Threshold Summary'!$P:$P,"")/4))*XLOOKUP($Q717,'Threshold Summary'!$Y:$Y,'Threshold Summary'!$L:$L,""))/100)+5)*XLOOKUP(XLOOKUP($Q717,'Threshold Summary'!$Y:$Y,'Threshold Summary'!$M:$M,""),'Nature Editor'!$A:$A,'Nature Editor'!$B:$B,1)),FLOOR((FLOOR(((2*XLOOKUP(XLOOKUP($Q717,'Threshold Summary'!$Y:$Y,'Threshold Summary'!$K:$K,""),'Pokemon Editor'!$A:$A,'Pokemon Editor'!$H:$H,0)+31+FLOOR(XLOOKUP($Q717,'Threshold Summary'!$Y:$Y,'Threshold Summary'!$R:$R,"")/4))*XLOOKUP($Q717,'Threshold Summary'!$Y:$Y,'Threshold Summary'!$L:$L,""))/100)+5)*XLOOKUP(XLOOKUP($Q717,'Threshold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Editor'!$E:$E,1))),stab,IF(OR(mtype=XLOOKUP(XLOOKUP($Q717,'Threshold Summary'!$Y:$Y,'Threshold Summary'!$K:$K,""),'Pokemon Editor'!$A:$A,'Pokemon Editor'!$C:$C,""),mtype=XLOOKUP(XLOOKUP($Q717,'Threshold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Chart'!$B$1:$S$1,0)))),base,IF(OR(cat="Status",pow=0),0,FLOOR(FLOOR(FLOOR((2*XLOOKUP($Q717,'Threshold Summary'!$Y:$Y,'Threshold Summary'!$L:$L,"")/5+2)*pow*atk/def)/50)+2)),modifier,stab*eff,AVERAGE(ARRAYFORMULA(FLOOR(base*modifier*SEQUENCE(16,1,85,1)/100)))),0)</f>
        <v/>
      </c>
      <c r="M717" s="3">
        <f>IFERROR(LET(mtype,XLOOKUP($D717,'Move Editor'!$B:$B,'Move Editor'!$C:$C,""),cat,XLOOKUP($D717,'Move Editor'!$B:$B,'Move Editor'!$D:$D,""),pow,XLOOKUP($D717,'Move Editor'!$B:$B,'Move Editor'!$E:$E,0),acc,XLOOKUP($D717,'Move Editor'!$B:$B,'Move Editor'!$F:$F,100),atk,IF(cat="Physical",FLOOR((FLOOR(((2*XLOOKUP(XLOOKUP($Q717,'Threshold Summary'!$Y:$Y,'Threshold Summary'!$K:$K,""),'Pokemon Editor'!$A:$A,'Pokemon Editor'!$F:$F,0)+31+FLOOR(XLOOKUP($Q717,'Threshold Summary'!$Y:$Y,'Threshold Summary'!$P:$P,"")/4))*XLOOKUP($Q717,'Threshold Summary'!$Y:$Y,'Threshold Summary'!$L:$L,""))/100)+5)*XLOOKUP(XLOOKUP($Q717,'Threshold Summary'!$Y:$Y,'Threshold Summary'!$M:$M,""),'Nature Editor'!$A:$A,'Nature Editor'!$B:$B,1)),FLOOR((FLOOR(((2*XLOOKUP(XLOOKUP($Q717,'Threshold Summary'!$Y:$Y,'Threshold Summary'!$K:$K,""),'Pokemon Editor'!$A:$A,'Pokemon Editor'!$H:$H,0)+31+FLOOR(XLOOKUP($Q717,'Threshold Summary'!$Y:$Y,'Threshold Summary'!$R:$R,"")/4))*XLOOKUP($Q717,'Threshold Summary'!$Y:$Y,'Threshold Summary'!$L:$L,""))/100)+5)*XLOOKUP(XLOOKUP($Q717,'Threshold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Editor'!$E:$E,1))),stab,IF(OR(mtype=XLOOKUP(XLOOKUP($Q717,'Threshold Summary'!$Y:$Y,'Threshold Summary'!$K:$K,""),'Pokemon Editor'!$A:$A,'Pokemon Editor'!$C:$C,""),mtype=XLOOKUP(XLOOKUP($Q717,'Threshold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Chart'!$B$1:$S$1,0)))),base,IF(OR(cat="Status",pow=0),0,FLOOR(FLOOR(FLOOR((2*XLOOKUP($Q717,'Threshold Summary'!$Y:$Y,'Threshold Summary'!$L:$L,"")/5+2)*pow*atk/def)/50)+2)),modifier,stab*eff,AVERAGE(ARRAYFORMULA(FLOOR(base*modifier*SEQUENCE(16,1,85,1)/100)))*MIN(1,acc/100)),0)</f>
        <v/>
      </c>
      <c r="N717" s="4">
        <f>IFERROR(LET(mtype,XLOOKUP($D717,'Move Editor'!$B:$B,'Move Editor'!$C:$C,""),cat,XLOOKUP($D717,'Move Editor'!$B:$B,'Move Editor'!$D:$D,""),pow,XLOOKUP($D717,'Move Editor'!$B:$B,'Move Editor'!$E:$E,0),acc,XLOOKUP($D717,'Move Editor'!$B:$B,'Move Editor'!$F:$F,100),atk,IF(cat="Physical",FLOOR((FLOOR(((2*XLOOKUP(XLOOKUP($Q717,'Threshold Summary'!$Y:$Y,'Threshold Summary'!$K:$K,""),'Pokemon Editor'!$A:$A,'Pokemon Editor'!$F:$F,0)+31+FLOOR(XLOOKUP($Q717,'Threshold Summary'!$Y:$Y,'Threshold Summary'!$P:$P,"")/4))*XLOOKUP($Q717,'Threshold Summary'!$Y:$Y,'Threshold Summary'!$L:$L,""))/100)+5)*XLOOKUP(XLOOKUP($Q717,'Threshold Summary'!$Y:$Y,'Threshold Summary'!$M:$M,""),'Nature Editor'!$A:$A,'Nature Editor'!$B:$B,1)),FLOOR((FLOOR(((2*XLOOKUP(XLOOKUP($Q717,'Threshold Summary'!$Y:$Y,'Threshold Summary'!$K:$K,""),'Pokemon Editor'!$A:$A,'Pokemon Editor'!$H:$H,0)+31+FLOOR(XLOOKUP($Q717,'Threshold Summary'!$Y:$Y,'Threshold Summary'!$R:$R,"")/4))*XLOOKUP($Q717,'Threshold Summary'!$Y:$Y,'Threshold Summary'!$L:$L,""))/100)+5)*XLOOKUP(XLOOKUP($Q717,'Threshold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Editor'!$E:$E,1))),stab,IF(OR(mtype=XLOOKUP(XLOOKUP($Q717,'Threshold Summary'!$Y:$Y,'Threshold Summary'!$K:$K,""),'Pokemon Editor'!$A:$A,'Pokemon Editor'!$C:$C,""),mtype=XLOOKUP(XLOOKUP($Q717,'Threshold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Chart'!$B$1:$S$1,0)))),base,IF(OR(cat="Status",pow=0),0,FLOOR(FLOOR(FLOOR((2*XLOOKUP($Q717,'Threshold Summary'!$Y:$Y,'Threshold Summary'!$L:$L,"")/5+2)*pow*atk/def)/50)+2)),modifier,stab*eff,AVERAGE(ARRAYFORMULA(FLOOR(base*modifier*SEQUENCE(16,1,85,1)/100)))/(FLOOR(((2*XLOOKUP('Boss Editor'!$C$4,'Pokemon Editor'!$A:$A,'Pokemon Editor'!$E:$E,0)+31+FLOOR('Boss Editor'!$G$4/4))*'Boss Editor'!$D$4)/100)+'Boss Editor'!$D$4+10)),0)</f>
        <v/>
      </c>
      <c r="O717" s="3">
        <f>IF(N717&gt;=1,"OHKO",IF(N717&gt;=0.5,"2HKO",IF(N717&gt;=0.333,"3HKO",IF(N717&gt;=0.25,"4HKO","5HKO+"))))</f>
        <v/>
      </c>
      <c r="P717" s="3" t="inlineStr">
        <is>
          <t>Live from editable databases</t>
        </is>
      </c>
      <c r="Q717" s="3" t="inlineStr">
        <is>
          <t>SPECIES_CUTIEFLY</t>
        </is>
      </c>
      <c r="R717" s="3" t="n">
        <v>12</v>
      </c>
    </row>
    <row r="718">
      <c r="A718" s="3">
        <f>XLOOKUP($Q718,'Threshold Summary'!$Y:$Y,'Threshold Summary'!$A:$A,"")</f>
        <v/>
      </c>
      <c r="B718" s="3">
        <f>XLOOKUP($Q718,'Threshold Summary'!$Y:$Y,'Threshold Summary'!$M:$M,"")</f>
        <v/>
      </c>
      <c r="C718" s="3">
        <f>XLOOKUP($Q718,'Threshold Summary'!$Y:$Y,'Threshold Summary'!$N:$N,"")</f>
        <v/>
      </c>
      <c r="D718" s="3">
        <f>IFERROR(INDEX(FILTER('Learnset Editor'!$D$2:$D,'Learnset Editor'!$A$2:$A=XLOOKUP($Q718,'Threshold Summary'!$Y:$Y,'Threshold Summary'!$K:$K,""),'Learnset Editor'!$C$2:$C&lt;=XLOOKUP($Q718,'Threshold Summary'!$Y:$Y,'Threshold Summary'!$L:$L,"")),$R718),"")</f>
        <v/>
      </c>
      <c r="E718" s="3">
        <f>XLOOKUP(D718,'Move Editor'!$B:$B,'Move Editor'!$C:$C,"")</f>
        <v/>
      </c>
      <c r="F718" s="3">
        <f>XLOOKUP(D718,'Move Editor'!$B:$B,'Move Editor'!$D:$D,"")</f>
        <v/>
      </c>
      <c r="G718" s="3">
        <f>XLOOKUP(D718,'Move Editor'!$B:$B,'Move Editor'!$E:$E,0)</f>
        <v/>
      </c>
      <c r="H718" s="3">
        <f>XLOOKUP(D718,'Move Editor'!$B:$B,'Move Editor'!$F:$F,0)</f>
        <v/>
      </c>
      <c r="I718" s="3">
        <f>(INDEX('Type Chart'!$B:$S,MATCH(E718,'Type Chart'!$A:$A,0),MATCH(XLOOKUP('Boss Editor'!$C$4,'Pokemon Editor'!$A:$A,'Pokemon Editor'!$C:$C,""),'Type Chart'!$B$1:$S$1,0))*IF(XLOOKUP('Boss Editor'!$C$4,'Pokemon Editor'!$A:$A,'Pokemon Editor'!$D:$D,"")="",1,INDEX('Type Chart'!$B:$S,MATCH(E718,'Type Chart'!$A:$A,0),MATCH(XLOOKUP('Boss Editor'!$C$4,'Pokemon Editor'!$A:$A,'Pokemon Editor'!$D:$D,""),'Type Chart'!$B$1:$S$1,0))))</f>
        <v/>
      </c>
      <c r="J718" s="3">
        <f>IFERROR(LET(mtype,XLOOKUP($D718,'Move Editor'!$B:$B,'Move Editor'!$C:$C,""),cat,XLOOKUP($D718,'Move Editor'!$B:$B,'Move Editor'!$D:$D,""),pow,XLOOKUP($D718,'Move Editor'!$B:$B,'Move Editor'!$E:$E,0),acc,XLOOKUP($D718,'Move Editor'!$B:$B,'Move Editor'!$F:$F,100),atk,IF(cat="Physical",FLOOR((FLOOR(((2*XLOOKUP(XLOOKUP($Q718,'Threshold Summary'!$Y:$Y,'Threshold Summary'!$K:$K,""),'Pokemon Editor'!$A:$A,'Pokemon Editor'!$F:$F,0)+31+FLOOR(XLOOKUP($Q718,'Threshold Summary'!$Y:$Y,'Threshold Summary'!$P:$P,"")/4))*XLOOKUP($Q718,'Threshold Summary'!$Y:$Y,'Threshold Summary'!$L:$L,""))/100)+5)*XLOOKUP(XLOOKUP($Q718,'Threshold Summary'!$Y:$Y,'Threshold Summary'!$M:$M,""),'Nature Editor'!$A:$A,'Nature Editor'!$B:$B,1)),FLOOR((FLOOR(((2*XLOOKUP(XLOOKUP($Q718,'Threshold Summary'!$Y:$Y,'Threshold Summary'!$K:$K,""),'Pokemon Editor'!$A:$A,'Pokemon Editor'!$H:$H,0)+31+FLOOR(XLOOKUP($Q718,'Threshold Summary'!$Y:$Y,'Threshold Summary'!$R:$R,"")/4))*XLOOKUP($Q718,'Threshold Summary'!$Y:$Y,'Threshold Summary'!$L:$L,""))/100)+5)*XLOOKUP(XLOOKUP($Q718,'Threshold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Editor'!$E:$E,1))),stab,IF(OR(mtype=XLOOKUP(XLOOKUP($Q718,'Threshold Summary'!$Y:$Y,'Threshold Summary'!$K:$K,""),'Pokemon Editor'!$A:$A,'Pokemon Editor'!$C:$C,""),mtype=XLOOKUP(XLOOKUP($Q718,'Threshold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Chart'!$B$1:$S$1,0)))),base,IF(OR(cat="Status",pow=0),0,FLOOR(FLOOR(FLOOR((2*XLOOKUP($Q718,'Threshold Summary'!$Y:$Y,'Threshold Summary'!$L:$L,"")/5+2)*pow*atk/def)/50)+2)),modifier,stab*eff,FLOOR(base*modifier*0.85)),0)</f>
        <v/>
      </c>
      <c r="K718" s="3">
        <f>IFERROR(LET(mtype,XLOOKUP($D718,'Move Editor'!$B:$B,'Move Editor'!$C:$C,""),cat,XLOOKUP($D718,'Move Editor'!$B:$B,'Move Editor'!$D:$D,""),pow,XLOOKUP($D718,'Move Editor'!$B:$B,'Move Editor'!$E:$E,0),acc,XLOOKUP($D718,'Move Editor'!$B:$B,'Move Editor'!$F:$F,100),atk,IF(cat="Physical",FLOOR((FLOOR(((2*XLOOKUP(XLOOKUP($Q718,'Threshold Summary'!$Y:$Y,'Threshold Summary'!$K:$K,""),'Pokemon Editor'!$A:$A,'Pokemon Editor'!$F:$F,0)+31+FLOOR(XLOOKUP($Q718,'Threshold Summary'!$Y:$Y,'Threshold Summary'!$P:$P,"")/4))*XLOOKUP($Q718,'Threshold Summary'!$Y:$Y,'Threshold Summary'!$L:$L,""))/100)+5)*XLOOKUP(XLOOKUP($Q718,'Threshold Summary'!$Y:$Y,'Threshold Summary'!$M:$M,""),'Nature Editor'!$A:$A,'Nature Editor'!$B:$B,1)),FLOOR((FLOOR(((2*XLOOKUP(XLOOKUP($Q718,'Threshold Summary'!$Y:$Y,'Threshold Summary'!$K:$K,""),'Pokemon Editor'!$A:$A,'Pokemon Editor'!$H:$H,0)+31+FLOOR(XLOOKUP($Q718,'Threshold Summary'!$Y:$Y,'Threshold Summary'!$R:$R,"")/4))*XLOOKUP($Q718,'Threshold Summary'!$Y:$Y,'Threshold Summary'!$L:$L,""))/100)+5)*XLOOKUP(XLOOKUP($Q718,'Threshold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Editor'!$E:$E,1))),stab,IF(OR(mtype=XLOOKUP(XLOOKUP($Q718,'Threshold Summary'!$Y:$Y,'Threshold Summary'!$K:$K,""),'Pokemon Editor'!$A:$A,'Pokemon Editor'!$C:$C,""),mtype=XLOOKUP(XLOOKUP($Q718,'Threshold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Chart'!$B$1:$S$1,0)))),base,IF(OR(cat="Status",pow=0),0,FLOOR(FLOOR(FLOOR((2*XLOOKUP($Q718,'Threshold Summary'!$Y:$Y,'Threshold Summary'!$L:$L,"")/5+2)*pow*atk/def)/50)+2)),modifier,stab*eff,FLOOR(base*modifier)),0)</f>
        <v/>
      </c>
      <c r="L718" s="3">
        <f>IFERROR(LET(mtype,XLOOKUP($D718,'Move Editor'!$B:$B,'Move Editor'!$C:$C,""),cat,XLOOKUP($D718,'Move Editor'!$B:$B,'Move Editor'!$D:$D,""),pow,XLOOKUP($D718,'Move Editor'!$B:$B,'Move Editor'!$E:$E,0),acc,XLOOKUP($D718,'Move Editor'!$B:$B,'Move Editor'!$F:$F,100),atk,IF(cat="Physical",FLOOR((FLOOR(((2*XLOOKUP(XLOOKUP($Q718,'Threshold Summary'!$Y:$Y,'Threshold Summary'!$K:$K,""),'Pokemon Editor'!$A:$A,'Pokemon Editor'!$F:$F,0)+31+FLOOR(XLOOKUP($Q718,'Threshold Summary'!$Y:$Y,'Threshold Summary'!$P:$P,"")/4))*XLOOKUP($Q718,'Threshold Summary'!$Y:$Y,'Threshold Summary'!$L:$L,""))/100)+5)*XLOOKUP(XLOOKUP($Q718,'Threshold Summary'!$Y:$Y,'Threshold Summary'!$M:$M,""),'Nature Editor'!$A:$A,'Nature Editor'!$B:$B,1)),FLOOR((FLOOR(((2*XLOOKUP(XLOOKUP($Q718,'Threshold Summary'!$Y:$Y,'Threshold Summary'!$K:$K,""),'Pokemon Editor'!$A:$A,'Pokemon Editor'!$H:$H,0)+31+FLOOR(XLOOKUP($Q718,'Threshold Summary'!$Y:$Y,'Threshold Summary'!$R:$R,"")/4))*XLOOKUP($Q718,'Threshold Summary'!$Y:$Y,'Threshold Summary'!$L:$L,""))/100)+5)*XLOOKUP(XLOOKUP($Q718,'Threshold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Editor'!$E:$E,1))),stab,IF(OR(mtype=XLOOKUP(XLOOKUP($Q718,'Threshold Summary'!$Y:$Y,'Threshold Summary'!$K:$K,""),'Pokemon Editor'!$A:$A,'Pokemon Editor'!$C:$C,""),mtype=XLOOKUP(XLOOKUP($Q718,'Threshold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Chart'!$B$1:$S$1,0)))),base,IF(OR(cat="Status",pow=0),0,FLOOR(FLOOR(FLOOR((2*XLOOKUP($Q718,'Threshold Summary'!$Y:$Y,'Threshold Summary'!$L:$L,"")/5+2)*pow*atk/def)/50)+2)),modifier,stab*eff,AVERAGE(ARRAYFORMULA(FLOOR(base*modifier*SEQUENCE(16,1,85,1)/100)))),0)</f>
        <v/>
      </c>
      <c r="M718" s="3">
        <f>IFERROR(LET(mtype,XLOOKUP($D718,'Move Editor'!$B:$B,'Move Editor'!$C:$C,""),cat,XLOOKUP($D718,'Move Editor'!$B:$B,'Move Editor'!$D:$D,""),pow,XLOOKUP($D718,'Move Editor'!$B:$B,'Move Editor'!$E:$E,0),acc,XLOOKUP($D718,'Move Editor'!$B:$B,'Move Editor'!$F:$F,100),atk,IF(cat="Physical",FLOOR((FLOOR(((2*XLOOKUP(XLOOKUP($Q718,'Threshold Summary'!$Y:$Y,'Threshold Summary'!$K:$K,""),'Pokemon Editor'!$A:$A,'Pokemon Editor'!$F:$F,0)+31+FLOOR(XLOOKUP($Q718,'Threshold Summary'!$Y:$Y,'Threshold Summary'!$P:$P,"")/4))*XLOOKUP($Q718,'Threshold Summary'!$Y:$Y,'Threshold Summary'!$L:$L,""))/100)+5)*XLOOKUP(XLOOKUP($Q718,'Threshold Summary'!$Y:$Y,'Threshold Summary'!$M:$M,""),'Nature Editor'!$A:$A,'Nature Editor'!$B:$B,1)),FLOOR((FLOOR(((2*XLOOKUP(XLOOKUP($Q718,'Threshold Summary'!$Y:$Y,'Threshold Summary'!$K:$K,""),'Pokemon Editor'!$A:$A,'Pokemon Editor'!$H:$H,0)+31+FLOOR(XLOOKUP($Q718,'Threshold Summary'!$Y:$Y,'Threshold Summary'!$R:$R,"")/4))*XLOOKUP($Q718,'Threshold Summary'!$Y:$Y,'Threshold Summary'!$L:$L,""))/100)+5)*XLOOKUP(XLOOKUP($Q718,'Threshold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Editor'!$E:$E,1))),stab,IF(OR(mtype=XLOOKUP(XLOOKUP($Q718,'Threshold Summary'!$Y:$Y,'Threshold Summary'!$K:$K,""),'Pokemon Editor'!$A:$A,'Pokemon Editor'!$C:$C,""),mtype=XLOOKUP(XLOOKUP($Q718,'Threshold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Chart'!$B$1:$S$1,0)))),base,IF(OR(cat="Status",pow=0),0,FLOOR(FLOOR(FLOOR((2*XLOOKUP($Q718,'Threshold Summary'!$Y:$Y,'Threshold Summary'!$L:$L,"")/5+2)*pow*atk/def)/50)+2)),modifier,stab*eff,AVERAGE(ARRAYFORMULA(FLOOR(base*modifier*SEQUENCE(16,1,85,1)/100)))*MIN(1,acc/100)),0)</f>
        <v/>
      </c>
      <c r="N718" s="4">
        <f>IFERROR(LET(mtype,XLOOKUP($D718,'Move Editor'!$B:$B,'Move Editor'!$C:$C,""),cat,XLOOKUP($D718,'Move Editor'!$B:$B,'Move Editor'!$D:$D,""),pow,XLOOKUP($D718,'Move Editor'!$B:$B,'Move Editor'!$E:$E,0),acc,XLOOKUP($D718,'Move Editor'!$B:$B,'Move Editor'!$F:$F,100),atk,IF(cat="Physical",FLOOR((FLOOR(((2*XLOOKUP(XLOOKUP($Q718,'Threshold Summary'!$Y:$Y,'Threshold Summary'!$K:$K,""),'Pokemon Editor'!$A:$A,'Pokemon Editor'!$F:$F,0)+31+FLOOR(XLOOKUP($Q718,'Threshold Summary'!$Y:$Y,'Threshold Summary'!$P:$P,"")/4))*XLOOKUP($Q718,'Threshold Summary'!$Y:$Y,'Threshold Summary'!$L:$L,""))/100)+5)*XLOOKUP(XLOOKUP($Q718,'Threshold Summary'!$Y:$Y,'Threshold Summary'!$M:$M,""),'Nature Editor'!$A:$A,'Nature Editor'!$B:$B,1)),FLOOR((FLOOR(((2*XLOOKUP(XLOOKUP($Q718,'Threshold Summary'!$Y:$Y,'Threshold Summary'!$K:$K,""),'Pokemon Editor'!$A:$A,'Pokemon Editor'!$H:$H,0)+31+FLOOR(XLOOKUP($Q718,'Threshold Summary'!$Y:$Y,'Threshold Summary'!$R:$R,"")/4))*XLOOKUP($Q718,'Threshold Summary'!$Y:$Y,'Threshold Summary'!$L:$L,""))/100)+5)*XLOOKUP(XLOOKUP($Q718,'Threshold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Editor'!$E:$E,1))),stab,IF(OR(mtype=XLOOKUP(XLOOKUP($Q718,'Threshold Summary'!$Y:$Y,'Threshold Summary'!$K:$K,""),'Pokemon Editor'!$A:$A,'Pokemon Editor'!$C:$C,""),mtype=XLOOKUP(XLOOKUP($Q718,'Threshold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Chart'!$B$1:$S$1,0)))),base,IF(OR(cat="Status",pow=0),0,FLOOR(FLOOR(FLOOR((2*XLOOKUP($Q718,'Threshold Summary'!$Y:$Y,'Threshold Summary'!$L:$L,"")/5+2)*pow*atk/def)/50)+2)),modifier,stab*eff,AVERAGE(ARRAYFORMULA(FLOOR(base*modifier*SEQUENCE(16,1,85,1)/100)))/(FLOOR(((2*XLOOKUP('Boss Editor'!$C$4,'Pokemon Editor'!$A:$A,'Pokemon Editor'!$E:$E,0)+31+FLOOR('Boss Editor'!$G$4/4))*'Boss Editor'!$D$4)/100)+'Boss Editor'!$D$4+10)),0)</f>
        <v/>
      </c>
      <c r="O718" s="3">
        <f>IF(N718&gt;=1,"OHKO",IF(N718&gt;=0.5,"2HKO",IF(N718&gt;=0.333,"3HKO",IF(N718&gt;=0.25,"4HKO","5HKO+"))))</f>
        <v/>
      </c>
      <c r="P718" s="3" t="inlineStr">
        <is>
          <t>Live from editable databases</t>
        </is>
      </c>
      <c r="Q718" s="3" t="inlineStr">
        <is>
          <t>SPECIES_CUTIEFLY</t>
        </is>
      </c>
      <c r="R718" s="3" t="n">
        <v>13</v>
      </c>
    </row>
    <row r="719">
      <c r="A719" s="3">
        <f>XLOOKUP($Q719,'Threshold Summary'!$Y:$Y,'Threshold Summary'!$A:$A,"")</f>
        <v/>
      </c>
      <c r="B719" s="3">
        <f>XLOOKUP($Q719,'Threshold Summary'!$Y:$Y,'Threshold Summary'!$M:$M,"")</f>
        <v/>
      </c>
      <c r="C719" s="3">
        <f>XLOOKUP($Q719,'Threshold Summary'!$Y:$Y,'Threshold Summary'!$N:$N,"")</f>
        <v/>
      </c>
      <c r="D719" s="3">
        <f>IFERROR(INDEX(FILTER('Learnset Editor'!$D$2:$D,'Learnset Editor'!$A$2:$A=XLOOKUP($Q719,'Threshold Summary'!$Y:$Y,'Threshold Summary'!$K:$K,""),'Learnset Editor'!$C$2:$C&lt;=XLOOKUP($Q719,'Threshold Summary'!$Y:$Y,'Threshold Summary'!$L:$L,"")),$R719),"")</f>
        <v/>
      </c>
      <c r="E719" s="3">
        <f>XLOOKUP(D719,'Move Editor'!$B:$B,'Move Editor'!$C:$C,"")</f>
        <v/>
      </c>
      <c r="F719" s="3">
        <f>XLOOKUP(D719,'Move Editor'!$B:$B,'Move Editor'!$D:$D,"")</f>
        <v/>
      </c>
      <c r="G719" s="3">
        <f>XLOOKUP(D719,'Move Editor'!$B:$B,'Move Editor'!$E:$E,0)</f>
        <v/>
      </c>
      <c r="H719" s="3">
        <f>XLOOKUP(D719,'Move Editor'!$B:$B,'Move Editor'!$F:$F,0)</f>
        <v/>
      </c>
      <c r="I719" s="3">
        <f>(INDEX('Type Chart'!$B:$S,MATCH(E719,'Type Chart'!$A:$A,0),MATCH(XLOOKUP('Boss Editor'!$C$4,'Pokemon Editor'!$A:$A,'Pokemon Editor'!$C:$C,""),'Type Chart'!$B$1:$S$1,0))*IF(XLOOKUP('Boss Editor'!$C$4,'Pokemon Editor'!$A:$A,'Pokemon Editor'!$D:$D,"")="",1,INDEX('Type Chart'!$B:$S,MATCH(E719,'Type Chart'!$A:$A,0),MATCH(XLOOKUP('Boss Editor'!$C$4,'Pokemon Editor'!$A:$A,'Pokemon Editor'!$D:$D,""),'Type Chart'!$B$1:$S$1,0))))</f>
        <v/>
      </c>
      <c r="J719" s="3">
        <f>IFERROR(LET(mtype,XLOOKUP($D719,'Move Editor'!$B:$B,'Move Editor'!$C:$C,""),cat,XLOOKUP($D719,'Move Editor'!$B:$B,'Move Editor'!$D:$D,""),pow,XLOOKUP($D719,'Move Editor'!$B:$B,'Move Editor'!$E:$E,0),acc,XLOOKUP($D719,'Move Editor'!$B:$B,'Move Editor'!$F:$F,100),atk,IF(cat="Physical",FLOOR((FLOOR(((2*XLOOKUP(XLOOKUP($Q719,'Threshold Summary'!$Y:$Y,'Threshold Summary'!$K:$K,""),'Pokemon Editor'!$A:$A,'Pokemon Editor'!$F:$F,0)+31+FLOOR(XLOOKUP($Q719,'Threshold Summary'!$Y:$Y,'Threshold Summary'!$P:$P,"")/4))*XLOOKUP($Q719,'Threshold Summary'!$Y:$Y,'Threshold Summary'!$L:$L,""))/100)+5)*XLOOKUP(XLOOKUP($Q719,'Threshold Summary'!$Y:$Y,'Threshold Summary'!$M:$M,""),'Nature Editor'!$A:$A,'Nature Editor'!$B:$B,1)),FLOOR((FLOOR(((2*XLOOKUP(XLOOKUP($Q719,'Threshold Summary'!$Y:$Y,'Threshold Summary'!$K:$K,""),'Pokemon Editor'!$A:$A,'Pokemon Editor'!$H:$H,0)+31+FLOOR(XLOOKUP($Q719,'Threshold Summary'!$Y:$Y,'Threshold Summary'!$R:$R,"")/4))*XLOOKUP($Q719,'Threshold Summary'!$Y:$Y,'Threshold Summary'!$L:$L,""))/100)+5)*XLOOKUP(XLOOKUP($Q719,'Threshold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Editor'!$E:$E,1))),stab,IF(OR(mtype=XLOOKUP(XLOOKUP($Q719,'Threshold Summary'!$Y:$Y,'Threshold Summary'!$K:$K,""),'Pokemon Editor'!$A:$A,'Pokemon Editor'!$C:$C,""),mtype=XLOOKUP(XLOOKUP($Q719,'Threshold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Chart'!$B$1:$S$1,0)))),base,IF(OR(cat="Status",pow=0),0,FLOOR(FLOOR(FLOOR((2*XLOOKUP($Q719,'Threshold Summary'!$Y:$Y,'Threshold Summary'!$L:$L,"")/5+2)*pow*atk/def)/50)+2)),modifier,stab*eff,FLOOR(base*modifier*0.85)),0)</f>
        <v/>
      </c>
      <c r="K719" s="3">
        <f>IFERROR(LET(mtype,XLOOKUP($D719,'Move Editor'!$B:$B,'Move Editor'!$C:$C,""),cat,XLOOKUP($D719,'Move Editor'!$B:$B,'Move Editor'!$D:$D,""),pow,XLOOKUP($D719,'Move Editor'!$B:$B,'Move Editor'!$E:$E,0),acc,XLOOKUP($D719,'Move Editor'!$B:$B,'Move Editor'!$F:$F,100),atk,IF(cat="Physical",FLOOR((FLOOR(((2*XLOOKUP(XLOOKUP($Q719,'Threshold Summary'!$Y:$Y,'Threshold Summary'!$K:$K,""),'Pokemon Editor'!$A:$A,'Pokemon Editor'!$F:$F,0)+31+FLOOR(XLOOKUP($Q719,'Threshold Summary'!$Y:$Y,'Threshold Summary'!$P:$P,"")/4))*XLOOKUP($Q719,'Threshold Summary'!$Y:$Y,'Threshold Summary'!$L:$L,""))/100)+5)*XLOOKUP(XLOOKUP($Q719,'Threshold Summary'!$Y:$Y,'Threshold Summary'!$M:$M,""),'Nature Editor'!$A:$A,'Nature Editor'!$B:$B,1)),FLOOR((FLOOR(((2*XLOOKUP(XLOOKUP($Q719,'Threshold Summary'!$Y:$Y,'Threshold Summary'!$K:$K,""),'Pokemon Editor'!$A:$A,'Pokemon Editor'!$H:$H,0)+31+FLOOR(XLOOKUP($Q719,'Threshold Summary'!$Y:$Y,'Threshold Summary'!$R:$R,"")/4))*XLOOKUP($Q719,'Threshold Summary'!$Y:$Y,'Threshold Summary'!$L:$L,""))/100)+5)*XLOOKUP(XLOOKUP($Q719,'Threshold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Editor'!$E:$E,1))),stab,IF(OR(mtype=XLOOKUP(XLOOKUP($Q719,'Threshold Summary'!$Y:$Y,'Threshold Summary'!$K:$K,""),'Pokemon Editor'!$A:$A,'Pokemon Editor'!$C:$C,""),mtype=XLOOKUP(XLOOKUP($Q719,'Threshold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Chart'!$B$1:$S$1,0)))),base,IF(OR(cat="Status",pow=0),0,FLOOR(FLOOR(FLOOR((2*XLOOKUP($Q719,'Threshold Summary'!$Y:$Y,'Threshold Summary'!$L:$L,"")/5+2)*pow*atk/def)/50)+2)),modifier,stab*eff,FLOOR(base*modifier)),0)</f>
        <v/>
      </c>
      <c r="L719" s="3">
        <f>IFERROR(LET(mtype,XLOOKUP($D719,'Move Editor'!$B:$B,'Move Editor'!$C:$C,""),cat,XLOOKUP($D719,'Move Editor'!$B:$B,'Move Editor'!$D:$D,""),pow,XLOOKUP($D719,'Move Editor'!$B:$B,'Move Editor'!$E:$E,0),acc,XLOOKUP($D719,'Move Editor'!$B:$B,'Move Editor'!$F:$F,100),atk,IF(cat="Physical",FLOOR((FLOOR(((2*XLOOKUP(XLOOKUP($Q719,'Threshold Summary'!$Y:$Y,'Threshold Summary'!$K:$K,""),'Pokemon Editor'!$A:$A,'Pokemon Editor'!$F:$F,0)+31+FLOOR(XLOOKUP($Q719,'Threshold Summary'!$Y:$Y,'Threshold Summary'!$P:$P,"")/4))*XLOOKUP($Q719,'Threshold Summary'!$Y:$Y,'Threshold Summary'!$L:$L,""))/100)+5)*XLOOKUP(XLOOKUP($Q719,'Threshold Summary'!$Y:$Y,'Threshold Summary'!$M:$M,""),'Nature Editor'!$A:$A,'Nature Editor'!$B:$B,1)),FLOOR((FLOOR(((2*XLOOKUP(XLOOKUP($Q719,'Threshold Summary'!$Y:$Y,'Threshold Summary'!$K:$K,""),'Pokemon Editor'!$A:$A,'Pokemon Editor'!$H:$H,0)+31+FLOOR(XLOOKUP($Q719,'Threshold Summary'!$Y:$Y,'Threshold Summary'!$R:$R,"")/4))*XLOOKUP($Q719,'Threshold Summary'!$Y:$Y,'Threshold Summary'!$L:$L,""))/100)+5)*XLOOKUP(XLOOKUP($Q719,'Threshold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Editor'!$E:$E,1))),stab,IF(OR(mtype=XLOOKUP(XLOOKUP($Q719,'Threshold Summary'!$Y:$Y,'Threshold Summary'!$K:$K,""),'Pokemon Editor'!$A:$A,'Pokemon Editor'!$C:$C,""),mtype=XLOOKUP(XLOOKUP($Q719,'Threshold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Chart'!$B$1:$S$1,0)))),base,IF(OR(cat="Status",pow=0),0,FLOOR(FLOOR(FLOOR((2*XLOOKUP($Q719,'Threshold Summary'!$Y:$Y,'Threshold Summary'!$L:$L,"")/5+2)*pow*atk/def)/50)+2)),modifier,stab*eff,AVERAGE(ARRAYFORMULA(FLOOR(base*modifier*SEQUENCE(16,1,85,1)/100)))),0)</f>
        <v/>
      </c>
      <c r="M719" s="3">
        <f>IFERROR(LET(mtype,XLOOKUP($D719,'Move Editor'!$B:$B,'Move Editor'!$C:$C,""),cat,XLOOKUP($D719,'Move Editor'!$B:$B,'Move Editor'!$D:$D,""),pow,XLOOKUP($D719,'Move Editor'!$B:$B,'Move Editor'!$E:$E,0),acc,XLOOKUP($D719,'Move Editor'!$B:$B,'Move Editor'!$F:$F,100),atk,IF(cat="Physical",FLOOR((FLOOR(((2*XLOOKUP(XLOOKUP($Q719,'Threshold Summary'!$Y:$Y,'Threshold Summary'!$K:$K,""),'Pokemon Editor'!$A:$A,'Pokemon Editor'!$F:$F,0)+31+FLOOR(XLOOKUP($Q719,'Threshold Summary'!$Y:$Y,'Threshold Summary'!$P:$P,"")/4))*XLOOKUP($Q719,'Threshold Summary'!$Y:$Y,'Threshold Summary'!$L:$L,""))/100)+5)*XLOOKUP(XLOOKUP($Q719,'Threshold Summary'!$Y:$Y,'Threshold Summary'!$M:$M,""),'Nature Editor'!$A:$A,'Nature Editor'!$B:$B,1)),FLOOR((FLOOR(((2*XLOOKUP(XLOOKUP($Q719,'Threshold Summary'!$Y:$Y,'Threshold Summary'!$K:$K,""),'Pokemon Editor'!$A:$A,'Pokemon Editor'!$H:$H,0)+31+FLOOR(XLOOKUP($Q719,'Threshold Summary'!$Y:$Y,'Threshold Summary'!$R:$R,"")/4))*XLOOKUP($Q719,'Threshold Summary'!$Y:$Y,'Threshold Summary'!$L:$L,""))/100)+5)*XLOOKUP(XLOOKUP($Q719,'Threshold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Editor'!$E:$E,1))),stab,IF(OR(mtype=XLOOKUP(XLOOKUP($Q719,'Threshold Summary'!$Y:$Y,'Threshold Summary'!$K:$K,""),'Pokemon Editor'!$A:$A,'Pokemon Editor'!$C:$C,""),mtype=XLOOKUP(XLOOKUP($Q719,'Threshold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Chart'!$B$1:$S$1,0)))),base,IF(OR(cat="Status",pow=0),0,FLOOR(FLOOR(FLOOR((2*XLOOKUP($Q719,'Threshold Summary'!$Y:$Y,'Threshold Summary'!$L:$L,"")/5+2)*pow*atk/def)/50)+2)),modifier,stab*eff,AVERAGE(ARRAYFORMULA(FLOOR(base*modifier*SEQUENCE(16,1,85,1)/100)))*MIN(1,acc/100)),0)</f>
        <v/>
      </c>
      <c r="N719" s="4">
        <f>IFERROR(LET(mtype,XLOOKUP($D719,'Move Editor'!$B:$B,'Move Editor'!$C:$C,""),cat,XLOOKUP($D719,'Move Editor'!$B:$B,'Move Editor'!$D:$D,""),pow,XLOOKUP($D719,'Move Editor'!$B:$B,'Move Editor'!$E:$E,0),acc,XLOOKUP($D719,'Move Editor'!$B:$B,'Move Editor'!$F:$F,100),atk,IF(cat="Physical",FLOOR((FLOOR(((2*XLOOKUP(XLOOKUP($Q719,'Threshold Summary'!$Y:$Y,'Threshold Summary'!$K:$K,""),'Pokemon Editor'!$A:$A,'Pokemon Editor'!$F:$F,0)+31+FLOOR(XLOOKUP($Q719,'Threshold Summary'!$Y:$Y,'Threshold Summary'!$P:$P,"")/4))*XLOOKUP($Q719,'Threshold Summary'!$Y:$Y,'Threshold Summary'!$L:$L,""))/100)+5)*XLOOKUP(XLOOKUP($Q719,'Threshold Summary'!$Y:$Y,'Threshold Summary'!$M:$M,""),'Nature Editor'!$A:$A,'Nature Editor'!$B:$B,1)),FLOOR((FLOOR(((2*XLOOKUP(XLOOKUP($Q719,'Threshold Summary'!$Y:$Y,'Threshold Summary'!$K:$K,""),'Pokemon Editor'!$A:$A,'Pokemon Editor'!$H:$H,0)+31+FLOOR(XLOOKUP($Q719,'Threshold Summary'!$Y:$Y,'Threshold Summary'!$R:$R,"")/4))*XLOOKUP($Q719,'Threshold Summary'!$Y:$Y,'Threshold Summary'!$L:$L,""))/100)+5)*XLOOKUP(XLOOKUP($Q719,'Threshold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Editor'!$E:$E,1))),stab,IF(OR(mtype=XLOOKUP(XLOOKUP($Q719,'Threshold Summary'!$Y:$Y,'Threshold Summary'!$K:$K,""),'Pokemon Editor'!$A:$A,'Pokemon Editor'!$C:$C,""),mtype=XLOOKUP(XLOOKUP($Q719,'Threshold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Chart'!$B$1:$S$1,0)))),base,IF(OR(cat="Status",pow=0),0,FLOOR(FLOOR(FLOOR((2*XLOOKUP($Q719,'Threshold Summary'!$Y:$Y,'Threshold Summary'!$L:$L,"")/5+2)*pow*atk/def)/50)+2)),modifier,stab*eff,AVERAGE(ARRAYFORMULA(FLOOR(base*modifier*SEQUENCE(16,1,85,1)/100)))/(FLOOR(((2*XLOOKUP('Boss Editor'!$C$4,'Pokemon Editor'!$A:$A,'Pokemon Editor'!$E:$E,0)+31+FLOOR('Boss Editor'!$G$4/4))*'Boss Editor'!$D$4)/100)+'Boss Editor'!$D$4+10)),0)</f>
        <v/>
      </c>
      <c r="O719" s="3">
        <f>IF(N719&gt;=1,"OHKO",IF(N719&gt;=0.5,"2HKO",IF(N719&gt;=0.333,"3HKO",IF(N719&gt;=0.25,"4HKO","5HKO+"))))</f>
        <v/>
      </c>
      <c r="P719" s="3" t="inlineStr">
        <is>
          <t>Live from editable databases</t>
        </is>
      </c>
      <c r="Q719" s="3" t="inlineStr">
        <is>
          <t>SPECIES_CUTIEFLY</t>
        </is>
      </c>
      <c r="R719" s="3" t="n">
        <v>14</v>
      </c>
    </row>
    <row r="720">
      <c r="A720" s="3">
        <f>XLOOKUP($Q720,'Threshold Summary'!$Y:$Y,'Threshold Summary'!$A:$A,"")</f>
        <v/>
      </c>
      <c r="B720" s="3">
        <f>XLOOKUP($Q720,'Threshold Summary'!$Y:$Y,'Threshold Summary'!$M:$M,"")</f>
        <v/>
      </c>
      <c r="C720" s="3">
        <f>XLOOKUP($Q720,'Threshold Summary'!$Y:$Y,'Threshold Summary'!$N:$N,"")</f>
        <v/>
      </c>
      <c r="D720" s="3">
        <f>IFERROR(INDEX(FILTER('Learnset Editor'!$D$2:$D,'Learnset Editor'!$A$2:$A=XLOOKUP($Q720,'Threshold Summary'!$Y:$Y,'Threshold Summary'!$K:$K,""),'Learnset Editor'!$C$2:$C&lt;=XLOOKUP($Q720,'Threshold Summary'!$Y:$Y,'Threshold Summary'!$L:$L,"")),$R720),"")</f>
        <v/>
      </c>
      <c r="E720" s="3">
        <f>XLOOKUP(D720,'Move Editor'!$B:$B,'Move Editor'!$C:$C,"")</f>
        <v/>
      </c>
      <c r="F720" s="3">
        <f>XLOOKUP(D720,'Move Editor'!$B:$B,'Move Editor'!$D:$D,"")</f>
        <v/>
      </c>
      <c r="G720" s="3">
        <f>XLOOKUP(D720,'Move Editor'!$B:$B,'Move Editor'!$E:$E,0)</f>
        <v/>
      </c>
      <c r="H720" s="3">
        <f>XLOOKUP(D720,'Move Editor'!$B:$B,'Move Editor'!$F:$F,0)</f>
        <v/>
      </c>
      <c r="I720" s="3">
        <f>(INDEX('Type Chart'!$B:$S,MATCH(E720,'Type Chart'!$A:$A,0),MATCH(XLOOKUP('Boss Editor'!$C$4,'Pokemon Editor'!$A:$A,'Pokemon Editor'!$C:$C,""),'Type Chart'!$B$1:$S$1,0))*IF(XLOOKUP('Boss Editor'!$C$4,'Pokemon Editor'!$A:$A,'Pokemon Editor'!$D:$D,"")="",1,INDEX('Type Chart'!$B:$S,MATCH(E720,'Type Chart'!$A:$A,0),MATCH(XLOOKUP('Boss Editor'!$C$4,'Pokemon Editor'!$A:$A,'Pokemon Editor'!$D:$D,""),'Type Chart'!$B$1:$S$1,0))))</f>
        <v/>
      </c>
      <c r="J720" s="3">
        <f>IFERROR(LET(mtype,XLOOKUP($D720,'Move Editor'!$B:$B,'Move Editor'!$C:$C,""),cat,XLOOKUP($D720,'Move Editor'!$B:$B,'Move Editor'!$D:$D,""),pow,XLOOKUP($D720,'Move Editor'!$B:$B,'Move Editor'!$E:$E,0),acc,XLOOKUP($D720,'Move Editor'!$B:$B,'Move Editor'!$F:$F,100),atk,IF(cat="Physical",FLOOR((FLOOR(((2*XLOOKUP(XLOOKUP($Q720,'Threshold Summary'!$Y:$Y,'Threshold Summary'!$K:$K,""),'Pokemon Editor'!$A:$A,'Pokemon Editor'!$F:$F,0)+31+FLOOR(XLOOKUP($Q720,'Threshold Summary'!$Y:$Y,'Threshold Summary'!$P:$P,"")/4))*XLOOKUP($Q720,'Threshold Summary'!$Y:$Y,'Threshold Summary'!$L:$L,""))/100)+5)*XLOOKUP(XLOOKUP($Q720,'Threshold Summary'!$Y:$Y,'Threshold Summary'!$M:$M,""),'Nature Editor'!$A:$A,'Nature Editor'!$B:$B,1)),FLOOR((FLOOR(((2*XLOOKUP(XLOOKUP($Q720,'Threshold Summary'!$Y:$Y,'Threshold Summary'!$K:$K,""),'Pokemon Editor'!$A:$A,'Pokemon Editor'!$H:$H,0)+31+FLOOR(XLOOKUP($Q720,'Threshold Summary'!$Y:$Y,'Threshold Summary'!$R:$R,"")/4))*XLOOKUP($Q720,'Threshold Summary'!$Y:$Y,'Threshold Summary'!$L:$L,""))/100)+5)*XLOOKUP(XLOOKUP($Q720,'Threshold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Editor'!$E:$E,1))),stab,IF(OR(mtype=XLOOKUP(XLOOKUP($Q720,'Threshold Summary'!$Y:$Y,'Threshold Summary'!$K:$K,""),'Pokemon Editor'!$A:$A,'Pokemon Editor'!$C:$C,""),mtype=XLOOKUP(XLOOKUP($Q720,'Threshold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Chart'!$B$1:$S$1,0)))),base,IF(OR(cat="Status",pow=0),0,FLOOR(FLOOR(FLOOR((2*XLOOKUP($Q720,'Threshold Summary'!$Y:$Y,'Threshold Summary'!$L:$L,"")/5+2)*pow*atk/def)/50)+2)),modifier,stab*eff,FLOOR(base*modifier*0.85)),0)</f>
        <v/>
      </c>
      <c r="K720" s="3">
        <f>IFERROR(LET(mtype,XLOOKUP($D720,'Move Editor'!$B:$B,'Move Editor'!$C:$C,""),cat,XLOOKUP($D720,'Move Editor'!$B:$B,'Move Editor'!$D:$D,""),pow,XLOOKUP($D720,'Move Editor'!$B:$B,'Move Editor'!$E:$E,0),acc,XLOOKUP($D720,'Move Editor'!$B:$B,'Move Editor'!$F:$F,100),atk,IF(cat="Physical",FLOOR((FLOOR(((2*XLOOKUP(XLOOKUP($Q720,'Threshold Summary'!$Y:$Y,'Threshold Summary'!$K:$K,""),'Pokemon Editor'!$A:$A,'Pokemon Editor'!$F:$F,0)+31+FLOOR(XLOOKUP($Q720,'Threshold Summary'!$Y:$Y,'Threshold Summary'!$P:$P,"")/4))*XLOOKUP($Q720,'Threshold Summary'!$Y:$Y,'Threshold Summary'!$L:$L,""))/100)+5)*XLOOKUP(XLOOKUP($Q720,'Threshold Summary'!$Y:$Y,'Threshold Summary'!$M:$M,""),'Nature Editor'!$A:$A,'Nature Editor'!$B:$B,1)),FLOOR((FLOOR(((2*XLOOKUP(XLOOKUP($Q720,'Threshold Summary'!$Y:$Y,'Threshold Summary'!$K:$K,""),'Pokemon Editor'!$A:$A,'Pokemon Editor'!$H:$H,0)+31+FLOOR(XLOOKUP($Q720,'Threshold Summary'!$Y:$Y,'Threshold Summary'!$R:$R,"")/4))*XLOOKUP($Q720,'Threshold Summary'!$Y:$Y,'Threshold Summary'!$L:$L,""))/100)+5)*XLOOKUP(XLOOKUP($Q720,'Threshold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Editor'!$E:$E,1))),stab,IF(OR(mtype=XLOOKUP(XLOOKUP($Q720,'Threshold Summary'!$Y:$Y,'Threshold Summary'!$K:$K,""),'Pokemon Editor'!$A:$A,'Pokemon Editor'!$C:$C,""),mtype=XLOOKUP(XLOOKUP($Q720,'Threshold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Chart'!$B$1:$S$1,0)))),base,IF(OR(cat="Status",pow=0),0,FLOOR(FLOOR(FLOOR((2*XLOOKUP($Q720,'Threshold Summary'!$Y:$Y,'Threshold Summary'!$L:$L,"")/5+2)*pow*atk/def)/50)+2)),modifier,stab*eff,FLOOR(base*modifier)),0)</f>
        <v/>
      </c>
      <c r="L720" s="3">
        <f>IFERROR(LET(mtype,XLOOKUP($D720,'Move Editor'!$B:$B,'Move Editor'!$C:$C,""),cat,XLOOKUP($D720,'Move Editor'!$B:$B,'Move Editor'!$D:$D,""),pow,XLOOKUP($D720,'Move Editor'!$B:$B,'Move Editor'!$E:$E,0),acc,XLOOKUP($D720,'Move Editor'!$B:$B,'Move Editor'!$F:$F,100),atk,IF(cat="Physical",FLOOR((FLOOR(((2*XLOOKUP(XLOOKUP($Q720,'Threshold Summary'!$Y:$Y,'Threshold Summary'!$K:$K,""),'Pokemon Editor'!$A:$A,'Pokemon Editor'!$F:$F,0)+31+FLOOR(XLOOKUP($Q720,'Threshold Summary'!$Y:$Y,'Threshold Summary'!$P:$P,"")/4))*XLOOKUP($Q720,'Threshold Summary'!$Y:$Y,'Threshold Summary'!$L:$L,""))/100)+5)*XLOOKUP(XLOOKUP($Q720,'Threshold Summary'!$Y:$Y,'Threshold Summary'!$M:$M,""),'Nature Editor'!$A:$A,'Nature Editor'!$B:$B,1)),FLOOR((FLOOR(((2*XLOOKUP(XLOOKUP($Q720,'Threshold Summary'!$Y:$Y,'Threshold Summary'!$K:$K,""),'Pokemon Editor'!$A:$A,'Pokemon Editor'!$H:$H,0)+31+FLOOR(XLOOKUP($Q720,'Threshold Summary'!$Y:$Y,'Threshold Summary'!$R:$R,"")/4))*XLOOKUP($Q720,'Threshold Summary'!$Y:$Y,'Threshold Summary'!$L:$L,""))/100)+5)*XLOOKUP(XLOOKUP($Q720,'Threshold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Editor'!$E:$E,1))),stab,IF(OR(mtype=XLOOKUP(XLOOKUP($Q720,'Threshold Summary'!$Y:$Y,'Threshold Summary'!$K:$K,""),'Pokemon Editor'!$A:$A,'Pokemon Editor'!$C:$C,""),mtype=XLOOKUP(XLOOKUP($Q720,'Threshold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Chart'!$B$1:$S$1,0)))),base,IF(OR(cat="Status",pow=0),0,FLOOR(FLOOR(FLOOR((2*XLOOKUP($Q720,'Threshold Summary'!$Y:$Y,'Threshold Summary'!$L:$L,"")/5+2)*pow*atk/def)/50)+2)),modifier,stab*eff,AVERAGE(ARRAYFORMULA(FLOOR(base*modifier*SEQUENCE(16,1,85,1)/100)))),0)</f>
        <v/>
      </c>
      <c r="M720" s="3">
        <f>IFERROR(LET(mtype,XLOOKUP($D720,'Move Editor'!$B:$B,'Move Editor'!$C:$C,""),cat,XLOOKUP($D720,'Move Editor'!$B:$B,'Move Editor'!$D:$D,""),pow,XLOOKUP($D720,'Move Editor'!$B:$B,'Move Editor'!$E:$E,0),acc,XLOOKUP($D720,'Move Editor'!$B:$B,'Move Editor'!$F:$F,100),atk,IF(cat="Physical",FLOOR((FLOOR(((2*XLOOKUP(XLOOKUP($Q720,'Threshold Summary'!$Y:$Y,'Threshold Summary'!$K:$K,""),'Pokemon Editor'!$A:$A,'Pokemon Editor'!$F:$F,0)+31+FLOOR(XLOOKUP($Q720,'Threshold Summary'!$Y:$Y,'Threshold Summary'!$P:$P,"")/4))*XLOOKUP($Q720,'Threshold Summary'!$Y:$Y,'Threshold Summary'!$L:$L,""))/100)+5)*XLOOKUP(XLOOKUP($Q720,'Threshold Summary'!$Y:$Y,'Threshold Summary'!$M:$M,""),'Nature Editor'!$A:$A,'Nature Editor'!$B:$B,1)),FLOOR((FLOOR(((2*XLOOKUP(XLOOKUP($Q720,'Threshold Summary'!$Y:$Y,'Threshold Summary'!$K:$K,""),'Pokemon Editor'!$A:$A,'Pokemon Editor'!$H:$H,0)+31+FLOOR(XLOOKUP($Q720,'Threshold Summary'!$Y:$Y,'Threshold Summary'!$R:$R,"")/4))*XLOOKUP($Q720,'Threshold Summary'!$Y:$Y,'Threshold Summary'!$L:$L,""))/100)+5)*XLOOKUP(XLOOKUP($Q720,'Threshold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Editor'!$E:$E,1))),stab,IF(OR(mtype=XLOOKUP(XLOOKUP($Q720,'Threshold Summary'!$Y:$Y,'Threshold Summary'!$K:$K,""),'Pokemon Editor'!$A:$A,'Pokemon Editor'!$C:$C,""),mtype=XLOOKUP(XLOOKUP($Q720,'Threshold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Chart'!$B$1:$S$1,0)))),base,IF(OR(cat="Status",pow=0),0,FLOOR(FLOOR(FLOOR((2*XLOOKUP($Q720,'Threshold Summary'!$Y:$Y,'Threshold Summary'!$L:$L,"")/5+2)*pow*atk/def)/50)+2)),modifier,stab*eff,AVERAGE(ARRAYFORMULA(FLOOR(base*modifier*SEQUENCE(16,1,85,1)/100)))*MIN(1,acc/100)),0)</f>
        <v/>
      </c>
      <c r="N720" s="4">
        <f>IFERROR(LET(mtype,XLOOKUP($D720,'Move Editor'!$B:$B,'Move Editor'!$C:$C,""),cat,XLOOKUP($D720,'Move Editor'!$B:$B,'Move Editor'!$D:$D,""),pow,XLOOKUP($D720,'Move Editor'!$B:$B,'Move Editor'!$E:$E,0),acc,XLOOKUP($D720,'Move Editor'!$B:$B,'Move Editor'!$F:$F,100),atk,IF(cat="Physical",FLOOR((FLOOR(((2*XLOOKUP(XLOOKUP($Q720,'Threshold Summary'!$Y:$Y,'Threshold Summary'!$K:$K,""),'Pokemon Editor'!$A:$A,'Pokemon Editor'!$F:$F,0)+31+FLOOR(XLOOKUP($Q720,'Threshold Summary'!$Y:$Y,'Threshold Summary'!$P:$P,"")/4))*XLOOKUP($Q720,'Threshold Summary'!$Y:$Y,'Threshold Summary'!$L:$L,""))/100)+5)*XLOOKUP(XLOOKUP($Q720,'Threshold Summary'!$Y:$Y,'Threshold Summary'!$M:$M,""),'Nature Editor'!$A:$A,'Nature Editor'!$B:$B,1)),FLOOR((FLOOR(((2*XLOOKUP(XLOOKUP($Q720,'Threshold Summary'!$Y:$Y,'Threshold Summary'!$K:$K,""),'Pokemon Editor'!$A:$A,'Pokemon Editor'!$H:$H,0)+31+FLOOR(XLOOKUP($Q720,'Threshold Summary'!$Y:$Y,'Threshold Summary'!$R:$R,"")/4))*XLOOKUP($Q720,'Threshold Summary'!$Y:$Y,'Threshold Summary'!$L:$L,""))/100)+5)*XLOOKUP(XLOOKUP($Q720,'Threshold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Editor'!$E:$E,1))),stab,IF(OR(mtype=XLOOKUP(XLOOKUP($Q720,'Threshold Summary'!$Y:$Y,'Threshold Summary'!$K:$K,""),'Pokemon Editor'!$A:$A,'Pokemon Editor'!$C:$C,""),mtype=XLOOKUP(XLOOKUP($Q720,'Threshold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Chart'!$B$1:$S$1,0)))),base,IF(OR(cat="Status",pow=0),0,FLOOR(FLOOR(FLOOR((2*XLOOKUP($Q720,'Threshold Summary'!$Y:$Y,'Threshold Summary'!$L:$L,"")/5+2)*pow*atk/def)/50)+2)),modifier,stab*eff,AVERAGE(ARRAYFORMULA(FLOOR(base*modifier*SEQUENCE(16,1,85,1)/100)))/(FLOOR(((2*XLOOKUP('Boss Editor'!$C$4,'Pokemon Editor'!$A:$A,'Pokemon Editor'!$E:$E,0)+31+FLOOR('Boss Editor'!$G$4/4))*'Boss Editor'!$D$4)/100)+'Boss Editor'!$D$4+10)),0)</f>
        <v/>
      </c>
      <c r="O720" s="3">
        <f>IF(N720&gt;=1,"OHKO",IF(N720&gt;=0.5,"2HKO",IF(N720&gt;=0.333,"3HKO",IF(N720&gt;=0.25,"4HKO","5HKO+"))))</f>
        <v/>
      </c>
      <c r="P720" s="3" t="inlineStr">
        <is>
          <t>Live from editable databases</t>
        </is>
      </c>
      <c r="Q720" s="3" t="inlineStr">
        <is>
          <t>SPECIES_CUTIEFLY</t>
        </is>
      </c>
      <c r="R720" s="3" t="n">
        <v>15</v>
      </c>
    </row>
    <row r="721">
      <c r="A721" s="3">
        <f>XLOOKUP($Q721,'Threshold Summary'!$Y:$Y,'Threshold Summary'!$A:$A,"")</f>
        <v/>
      </c>
      <c r="B721" s="3">
        <f>XLOOKUP($Q721,'Threshold Summary'!$Y:$Y,'Threshold Summary'!$M:$M,"")</f>
        <v/>
      </c>
      <c r="C721" s="3">
        <f>XLOOKUP($Q721,'Threshold Summary'!$Y:$Y,'Threshold Summary'!$N:$N,"")</f>
        <v/>
      </c>
      <c r="D721" s="3">
        <f>IFERROR(INDEX(FILTER('Learnset Editor'!$D$2:$D,'Learnset Editor'!$A$2:$A=XLOOKUP($Q721,'Threshold Summary'!$Y:$Y,'Threshold Summary'!$K:$K,""),'Learnset Editor'!$C$2:$C&lt;=XLOOKUP($Q721,'Threshold Summary'!$Y:$Y,'Threshold Summary'!$L:$L,"")),$R721),"")</f>
        <v/>
      </c>
      <c r="E721" s="3">
        <f>XLOOKUP(D721,'Move Editor'!$B:$B,'Move Editor'!$C:$C,"")</f>
        <v/>
      </c>
      <c r="F721" s="3">
        <f>XLOOKUP(D721,'Move Editor'!$B:$B,'Move Editor'!$D:$D,"")</f>
        <v/>
      </c>
      <c r="G721" s="3">
        <f>XLOOKUP(D721,'Move Editor'!$B:$B,'Move Editor'!$E:$E,0)</f>
        <v/>
      </c>
      <c r="H721" s="3">
        <f>XLOOKUP(D721,'Move Editor'!$B:$B,'Move Editor'!$F:$F,0)</f>
        <v/>
      </c>
      <c r="I721" s="3">
        <f>(INDEX('Type Chart'!$B:$S,MATCH(E721,'Type Chart'!$A:$A,0),MATCH(XLOOKUP('Boss Editor'!$C$4,'Pokemon Editor'!$A:$A,'Pokemon Editor'!$C:$C,""),'Type Chart'!$B$1:$S$1,0))*IF(XLOOKUP('Boss Editor'!$C$4,'Pokemon Editor'!$A:$A,'Pokemon Editor'!$D:$D,"")="",1,INDEX('Type Chart'!$B:$S,MATCH(E721,'Type Chart'!$A:$A,0),MATCH(XLOOKUP('Boss Editor'!$C$4,'Pokemon Editor'!$A:$A,'Pokemon Editor'!$D:$D,""),'Type Chart'!$B$1:$S$1,0))))</f>
        <v/>
      </c>
      <c r="J721" s="3">
        <f>IFERROR(LET(mtype,XLOOKUP($D721,'Move Editor'!$B:$B,'Move Editor'!$C:$C,""),cat,XLOOKUP($D721,'Move Editor'!$B:$B,'Move Editor'!$D:$D,""),pow,XLOOKUP($D721,'Move Editor'!$B:$B,'Move Editor'!$E:$E,0),acc,XLOOKUP($D721,'Move Editor'!$B:$B,'Move Editor'!$F:$F,100),atk,IF(cat="Physical",FLOOR((FLOOR(((2*XLOOKUP(XLOOKUP($Q721,'Threshold Summary'!$Y:$Y,'Threshold Summary'!$K:$K,""),'Pokemon Editor'!$A:$A,'Pokemon Editor'!$F:$F,0)+31+FLOOR(XLOOKUP($Q721,'Threshold Summary'!$Y:$Y,'Threshold Summary'!$P:$P,"")/4))*XLOOKUP($Q721,'Threshold Summary'!$Y:$Y,'Threshold Summary'!$L:$L,""))/100)+5)*XLOOKUP(XLOOKUP($Q721,'Threshold Summary'!$Y:$Y,'Threshold Summary'!$M:$M,""),'Nature Editor'!$A:$A,'Nature Editor'!$B:$B,1)),FLOOR((FLOOR(((2*XLOOKUP(XLOOKUP($Q721,'Threshold Summary'!$Y:$Y,'Threshold Summary'!$K:$K,""),'Pokemon Editor'!$A:$A,'Pokemon Editor'!$H:$H,0)+31+FLOOR(XLOOKUP($Q721,'Threshold Summary'!$Y:$Y,'Threshold Summary'!$R:$R,"")/4))*XLOOKUP($Q721,'Threshold Summary'!$Y:$Y,'Threshold Summary'!$L:$L,""))/100)+5)*XLOOKUP(XLOOKUP($Q721,'Threshold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Editor'!$E:$E,1))),stab,IF(OR(mtype=XLOOKUP(XLOOKUP($Q721,'Threshold Summary'!$Y:$Y,'Threshold Summary'!$K:$K,""),'Pokemon Editor'!$A:$A,'Pokemon Editor'!$C:$C,""),mtype=XLOOKUP(XLOOKUP($Q721,'Threshold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Chart'!$B$1:$S$1,0)))),base,IF(OR(cat="Status",pow=0),0,FLOOR(FLOOR(FLOOR((2*XLOOKUP($Q721,'Threshold Summary'!$Y:$Y,'Threshold Summary'!$L:$L,"")/5+2)*pow*atk/def)/50)+2)),modifier,stab*eff,FLOOR(base*modifier*0.85)),0)</f>
        <v/>
      </c>
      <c r="K721" s="3">
        <f>IFERROR(LET(mtype,XLOOKUP($D721,'Move Editor'!$B:$B,'Move Editor'!$C:$C,""),cat,XLOOKUP($D721,'Move Editor'!$B:$B,'Move Editor'!$D:$D,""),pow,XLOOKUP($D721,'Move Editor'!$B:$B,'Move Editor'!$E:$E,0),acc,XLOOKUP($D721,'Move Editor'!$B:$B,'Move Editor'!$F:$F,100),atk,IF(cat="Physical",FLOOR((FLOOR(((2*XLOOKUP(XLOOKUP($Q721,'Threshold Summary'!$Y:$Y,'Threshold Summary'!$K:$K,""),'Pokemon Editor'!$A:$A,'Pokemon Editor'!$F:$F,0)+31+FLOOR(XLOOKUP($Q721,'Threshold Summary'!$Y:$Y,'Threshold Summary'!$P:$P,"")/4))*XLOOKUP($Q721,'Threshold Summary'!$Y:$Y,'Threshold Summary'!$L:$L,""))/100)+5)*XLOOKUP(XLOOKUP($Q721,'Threshold Summary'!$Y:$Y,'Threshold Summary'!$M:$M,""),'Nature Editor'!$A:$A,'Nature Editor'!$B:$B,1)),FLOOR((FLOOR(((2*XLOOKUP(XLOOKUP($Q721,'Threshold Summary'!$Y:$Y,'Threshold Summary'!$K:$K,""),'Pokemon Editor'!$A:$A,'Pokemon Editor'!$H:$H,0)+31+FLOOR(XLOOKUP($Q721,'Threshold Summary'!$Y:$Y,'Threshold Summary'!$R:$R,"")/4))*XLOOKUP($Q721,'Threshold Summary'!$Y:$Y,'Threshold Summary'!$L:$L,""))/100)+5)*XLOOKUP(XLOOKUP($Q721,'Threshold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Editor'!$E:$E,1))),stab,IF(OR(mtype=XLOOKUP(XLOOKUP($Q721,'Threshold Summary'!$Y:$Y,'Threshold Summary'!$K:$K,""),'Pokemon Editor'!$A:$A,'Pokemon Editor'!$C:$C,""),mtype=XLOOKUP(XLOOKUP($Q721,'Threshold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Chart'!$B$1:$S$1,0)))),base,IF(OR(cat="Status",pow=0),0,FLOOR(FLOOR(FLOOR((2*XLOOKUP($Q721,'Threshold Summary'!$Y:$Y,'Threshold Summary'!$L:$L,"")/5+2)*pow*atk/def)/50)+2)),modifier,stab*eff,FLOOR(base*modifier)),0)</f>
        <v/>
      </c>
      <c r="L721" s="3">
        <f>IFERROR(LET(mtype,XLOOKUP($D721,'Move Editor'!$B:$B,'Move Editor'!$C:$C,""),cat,XLOOKUP($D721,'Move Editor'!$B:$B,'Move Editor'!$D:$D,""),pow,XLOOKUP($D721,'Move Editor'!$B:$B,'Move Editor'!$E:$E,0),acc,XLOOKUP($D721,'Move Editor'!$B:$B,'Move Editor'!$F:$F,100),atk,IF(cat="Physical",FLOOR((FLOOR(((2*XLOOKUP(XLOOKUP($Q721,'Threshold Summary'!$Y:$Y,'Threshold Summary'!$K:$K,""),'Pokemon Editor'!$A:$A,'Pokemon Editor'!$F:$F,0)+31+FLOOR(XLOOKUP($Q721,'Threshold Summary'!$Y:$Y,'Threshold Summary'!$P:$P,"")/4))*XLOOKUP($Q721,'Threshold Summary'!$Y:$Y,'Threshold Summary'!$L:$L,""))/100)+5)*XLOOKUP(XLOOKUP($Q721,'Threshold Summary'!$Y:$Y,'Threshold Summary'!$M:$M,""),'Nature Editor'!$A:$A,'Nature Editor'!$B:$B,1)),FLOOR((FLOOR(((2*XLOOKUP(XLOOKUP($Q721,'Threshold Summary'!$Y:$Y,'Threshold Summary'!$K:$K,""),'Pokemon Editor'!$A:$A,'Pokemon Editor'!$H:$H,0)+31+FLOOR(XLOOKUP($Q721,'Threshold Summary'!$Y:$Y,'Threshold Summary'!$R:$R,"")/4))*XLOOKUP($Q721,'Threshold Summary'!$Y:$Y,'Threshold Summary'!$L:$L,""))/100)+5)*XLOOKUP(XLOOKUP($Q721,'Threshold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Editor'!$E:$E,1))),stab,IF(OR(mtype=XLOOKUP(XLOOKUP($Q721,'Threshold Summary'!$Y:$Y,'Threshold Summary'!$K:$K,""),'Pokemon Editor'!$A:$A,'Pokemon Editor'!$C:$C,""),mtype=XLOOKUP(XLOOKUP($Q721,'Threshold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Chart'!$B$1:$S$1,0)))),base,IF(OR(cat="Status",pow=0),0,FLOOR(FLOOR(FLOOR((2*XLOOKUP($Q721,'Threshold Summary'!$Y:$Y,'Threshold Summary'!$L:$L,"")/5+2)*pow*atk/def)/50)+2)),modifier,stab*eff,AVERAGE(ARRAYFORMULA(FLOOR(base*modifier*SEQUENCE(16,1,85,1)/100)))),0)</f>
        <v/>
      </c>
      <c r="M721" s="3">
        <f>IFERROR(LET(mtype,XLOOKUP($D721,'Move Editor'!$B:$B,'Move Editor'!$C:$C,""),cat,XLOOKUP($D721,'Move Editor'!$B:$B,'Move Editor'!$D:$D,""),pow,XLOOKUP($D721,'Move Editor'!$B:$B,'Move Editor'!$E:$E,0),acc,XLOOKUP($D721,'Move Editor'!$B:$B,'Move Editor'!$F:$F,100),atk,IF(cat="Physical",FLOOR((FLOOR(((2*XLOOKUP(XLOOKUP($Q721,'Threshold Summary'!$Y:$Y,'Threshold Summary'!$K:$K,""),'Pokemon Editor'!$A:$A,'Pokemon Editor'!$F:$F,0)+31+FLOOR(XLOOKUP($Q721,'Threshold Summary'!$Y:$Y,'Threshold Summary'!$P:$P,"")/4))*XLOOKUP($Q721,'Threshold Summary'!$Y:$Y,'Threshold Summary'!$L:$L,""))/100)+5)*XLOOKUP(XLOOKUP($Q721,'Threshold Summary'!$Y:$Y,'Threshold Summary'!$M:$M,""),'Nature Editor'!$A:$A,'Nature Editor'!$B:$B,1)),FLOOR((FLOOR(((2*XLOOKUP(XLOOKUP($Q721,'Threshold Summary'!$Y:$Y,'Threshold Summary'!$K:$K,""),'Pokemon Editor'!$A:$A,'Pokemon Editor'!$H:$H,0)+31+FLOOR(XLOOKUP($Q721,'Threshold Summary'!$Y:$Y,'Threshold Summary'!$R:$R,"")/4))*XLOOKUP($Q721,'Threshold Summary'!$Y:$Y,'Threshold Summary'!$L:$L,""))/100)+5)*XLOOKUP(XLOOKUP($Q721,'Threshold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Editor'!$E:$E,1))),stab,IF(OR(mtype=XLOOKUP(XLOOKUP($Q721,'Threshold Summary'!$Y:$Y,'Threshold Summary'!$K:$K,""),'Pokemon Editor'!$A:$A,'Pokemon Editor'!$C:$C,""),mtype=XLOOKUP(XLOOKUP($Q721,'Threshold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Chart'!$B$1:$S$1,0)))),base,IF(OR(cat="Status",pow=0),0,FLOOR(FLOOR(FLOOR((2*XLOOKUP($Q721,'Threshold Summary'!$Y:$Y,'Threshold Summary'!$L:$L,"")/5+2)*pow*atk/def)/50)+2)),modifier,stab*eff,AVERAGE(ARRAYFORMULA(FLOOR(base*modifier*SEQUENCE(16,1,85,1)/100)))*MIN(1,acc/100)),0)</f>
        <v/>
      </c>
      <c r="N721" s="4">
        <f>IFERROR(LET(mtype,XLOOKUP($D721,'Move Editor'!$B:$B,'Move Editor'!$C:$C,""),cat,XLOOKUP($D721,'Move Editor'!$B:$B,'Move Editor'!$D:$D,""),pow,XLOOKUP($D721,'Move Editor'!$B:$B,'Move Editor'!$E:$E,0),acc,XLOOKUP($D721,'Move Editor'!$B:$B,'Move Editor'!$F:$F,100),atk,IF(cat="Physical",FLOOR((FLOOR(((2*XLOOKUP(XLOOKUP($Q721,'Threshold Summary'!$Y:$Y,'Threshold Summary'!$K:$K,""),'Pokemon Editor'!$A:$A,'Pokemon Editor'!$F:$F,0)+31+FLOOR(XLOOKUP($Q721,'Threshold Summary'!$Y:$Y,'Threshold Summary'!$P:$P,"")/4))*XLOOKUP($Q721,'Threshold Summary'!$Y:$Y,'Threshold Summary'!$L:$L,""))/100)+5)*XLOOKUP(XLOOKUP($Q721,'Threshold Summary'!$Y:$Y,'Threshold Summary'!$M:$M,""),'Nature Editor'!$A:$A,'Nature Editor'!$B:$B,1)),FLOOR((FLOOR(((2*XLOOKUP(XLOOKUP($Q721,'Threshold Summary'!$Y:$Y,'Threshold Summary'!$K:$K,""),'Pokemon Editor'!$A:$A,'Pokemon Editor'!$H:$H,0)+31+FLOOR(XLOOKUP($Q721,'Threshold Summary'!$Y:$Y,'Threshold Summary'!$R:$R,"")/4))*XLOOKUP($Q721,'Threshold Summary'!$Y:$Y,'Threshold Summary'!$L:$L,""))/100)+5)*XLOOKUP(XLOOKUP($Q721,'Threshold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Editor'!$E:$E,1))),stab,IF(OR(mtype=XLOOKUP(XLOOKUP($Q721,'Threshold Summary'!$Y:$Y,'Threshold Summary'!$K:$K,""),'Pokemon Editor'!$A:$A,'Pokemon Editor'!$C:$C,""),mtype=XLOOKUP(XLOOKUP($Q721,'Threshold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Chart'!$B$1:$S$1,0)))),base,IF(OR(cat="Status",pow=0),0,FLOOR(FLOOR(FLOOR((2*XLOOKUP($Q721,'Threshold Summary'!$Y:$Y,'Threshold Summary'!$L:$L,"")/5+2)*pow*atk/def)/50)+2)),modifier,stab*eff,AVERAGE(ARRAYFORMULA(FLOOR(base*modifier*SEQUENCE(16,1,85,1)/100)))/(FLOOR(((2*XLOOKUP('Boss Editor'!$C$4,'Pokemon Editor'!$A:$A,'Pokemon Editor'!$E:$E,0)+31+FLOOR('Boss Editor'!$G$4/4))*'Boss Editor'!$D$4)/100)+'Boss Editor'!$D$4+10)),0)</f>
        <v/>
      </c>
      <c r="O721" s="3">
        <f>IF(N721&gt;=1,"OHKO",IF(N721&gt;=0.5,"2HKO",IF(N721&gt;=0.333,"3HKO",IF(N721&gt;=0.25,"4HKO","5HKO+"))))</f>
        <v/>
      </c>
      <c r="P721" s="3" t="inlineStr">
        <is>
          <t>Live from editable databases</t>
        </is>
      </c>
      <c r="Q721" s="3" t="inlineStr">
        <is>
          <t>SPECIES_CUTIEFLY</t>
        </is>
      </c>
      <c r="R721" s="3" t="n">
        <v>16</v>
      </c>
    </row>
    <row r="722">
      <c r="A722" s="3">
        <f>XLOOKUP($Q722,'Threshold Summary'!$Y:$Y,'Threshold Summary'!$A:$A,"")</f>
        <v/>
      </c>
      <c r="B722" s="3">
        <f>XLOOKUP($Q722,'Threshold Summary'!$Y:$Y,'Threshold Summary'!$M:$M,"")</f>
        <v/>
      </c>
      <c r="C722" s="3">
        <f>XLOOKUP($Q722,'Threshold Summary'!$Y:$Y,'Threshold Summary'!$N:$N,"")</f>
        <v/>
      </c>
      <c r="D722" s="3">
        <f>IFERROR(INDEX(FILTER('Learnset Editor'!$D$2:$D,'Learnset Editor'!$A$2:$A=XLOOKUP($Q722,'Threshold Summary'!$Y:$Y,'Threshold Summary'!$K:$K,""),'Learnset Editor'!$C$2:$C&lt;=XLOOKUP($Q722,'Threshold Summary'!$Y:$Y,'Threshold Summary'!$L:$L,"")),$R722),"")</f>
        <v/>
      </c>
      <c r="E722" s="3">
        <f>XLOOKUP(D722,'Move Editor'!$B:$B,'Move Editor'!$C:$C,"")</f>
        <v/>
      </c>
      <c r="F722" s="3">
        <f>XLOOKUP(D722,'Move Editor'!$B:$B,'Move Editor'!$D:$D,"")</f>
        <v/>
      </c>
      <c r="G722" s="3">
        <f>XLOOKUP(D722,'Move Editor'!$B:$B,'Move Editor'!$E:$E,0)</f>
        <v/>
      </c>
      <c r="H722" s="3">
        <f>XLOOKUP(D722,'Move Editor'!$B:$B,'Move Editor'!$F:$F,0)</f>
        <v/>
      </c>
      <c r="I722" s="3">
        <f>(INDEX('Type Chart'!$B:$S,MATCH(E722,'Type Chart'!$A:$A,0),MATCH(XLOOKUP('Boss Editor'!$C$4,'Pokemon Editor'!$A:$A,'Pokemon Editor'!$C:$C,""),'Type Chart'!$B$1:$S$1,0))*IF(XLOOKUP('Boss Editor'!$C$4,'Pokemon Editor'!$A:$A,'Pokemon Editor'!$D:$D,"")="",1,INDEX('Type Chart'!$B:$S,MATCH(E722,'Type Chart'!$A:$A,0),MATCH(XLOOKUP('Boss Editor'!$C$4,'Pokemon Editor'!$A:$A,'Pokemon Editor'!$D:$D,""),'Type Chart'!$B$1:$S$1,0))))</f>
        <v/>
      </c>
      <c r="J722" s="3">
        <f>IFERROR(LET(mtype,XLOOKUP($D722,'Move Editor'!$B:$B,'Move Editor'!$C:$C,""),cat,XLOOKUP($D722,'Move Editor'!$B:$B,'Move Editor'!$D:$D,""),pow,XLOOKUP($D722,'Move Editor'!$B:$B,'Move Editor'!$E:$E,0),acc,XLOOKUP($D722,'Move Editor'!$B:$B,'Move Editor'!$F:$F,100),atk,IF(cat="Physical",FLOOR((FLOOR(((2*XLOOKUP(XLOOKUP($Q722,'Threshold Summary'!$Y:$Y,'Threshold Summary'!$K:$K,""),'Pokemon Editor'!$A:$A,'Pokemon Editor'!$F:$F,0)+31+FLOOR(XLOOKUP($Q722,'Threshold Summary'!$Y:$Y,'Threshold Summary'!$P:$P,"")/4))*XLOOKUP($Q722,'Threshold Summary'!$Y:$Y,'Threshold Summary'!$L:$L,""))/100)+5)*XLOOKUP(XLOOKUP($Q722,'Threshold Summary'!$Y:$Y,'Threshold Summary'!$M:$M,""),'Nature Editor'!$A:$A,'Nature Editor'!$B:$B,1)),FLOOR((FLOOR(((2*XLOOKUP(XLOOKUP($Q722,'Threshold Summary'!$Y:$Y,'Threshold Summary'!$K:$K,""),'Pokemon Editor'!$A:$A,'Pokemon Editor'!$H:$H,0)+31+FLOOR(XLOOKUP($Q722,'Threshold Summary'!$Y:$Y,'Threshold Summary'!$R:$R,"")/4))*XLOOKUP($Q722,'Threshold Summary'!$Y:$Y,'Threshold Summary'!$L:$L,""))/100)+5)*XLOOKUP(XLOOKUP($Q722,'Threshold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Editor'!$E:$E,1))),stab,IF(OR(mtype=XLOOKUP(XLOOKUP($Q722,'Threshold Summary'!$Y:$Y,'Threshold Summary'!$K:$K,""),'Pokemon Editor'!$A:$A,'Pokemon Editor'!$C:$C,""),mtype=XLOOKUP(XLOOKUP($Q722,'Threshold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Chart'!$B$1:$S$1,0)))),base,IF(OR(cat="Status",pow=0),0,FLOOR(FLOOR(FLOOR((2*XLOOKUP($Q722,'Threshold Summary'!$Y:$Y,'Threshold Summary'!$L:$L,"")/5+2)*pow*atk/def)/50)+2)),modifier,stab*eff,FLOOR(base*modifier*0.85)),0)</f>
        <v/>
      </c>
      <c r="K722" s="3">
        <f>IFERROR(LET(mtype,XLOOKUP($D722,'Move Editor'!$B:$B,'Move Editor'!$C:$C,""),cat,XLOOKUP($D722,'Move Editor'!$B:$B,'Move Editor'!$D:$D,""),pow,XLOOKUP($D722,'Move Editor'!$B:$B,'Move Editor'!$E:$E,0),acc,XLOOKUP($D722,'Move Editor'!$B:$B,'Move Editor'!$F:$F,100),atk,IF(cat="Physical",FLOOR((FLOOR(((2*XLOOKUP(XLOOKUP($Q722,'Threshold Summary'!$Y:$Y,'Threshold Summary'!$K:$K,""),'Pokemon Editor'!$A:$A,'Pokemon Editor'!$F:$F,0)+31+FLOOR(XLOOKUP($Q722,'Threshold Summary'!$Y:$Y,'Threshold Summary'!$P:$P,"")/4))*XLOOKUP($Q722,'Threshold Summary'!$Y:$Y,'Threshold Summary'!$L:$L,""))/100)+5)*XLOOKUP(XLOOKUP($Q722,'Threshold Summary'!$Y:$Y,'Threshold Summary'!$M:$M,""),'Nature Editor'!$A:$A,'Nature Editor'!$B:$B,1)),FLOOR((FLOOR(((2*XLOOKUP(XLOOKUP($Q722,'Threshold Summary'!$Y:$Y,'Threshold Summary'!$K:$K,""),'Pokemon Editor'!$A:$A,'Pokemon Editor'!$H:$H,0)+31+FLOOR(XLOOKUP($Q722,'Threshold Summary'!$Y:$Y,'Threshold Summary'!$R:$R,"")/4))*XLOOKUP($Q722,'Threshold Summary'!$Y:$Y,'Threshold Summary'!$L:$L,""))/100)+5)*XLOOKUP(XLOOKUP($Q722,'Threshold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Editor'!$E:$E,1))),stab,IF(OR(mtype=XLOOKUP(XLOOKUP($Q722,'Threshold Summary'!$Y:$Y,'Threshold Summary'!$K:$K,""),'Pokemon Editor'!$A:$A,'Pokemon Editor'!$C:$C,""),mtype=XLOOKUP(XLOOKUP($Q722,'Threshold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Chart'!$B$1:$S$1,0)))),base,IF(OR(cat="Status",pow=0),0,FLOOR(FLOOR(FLOOR((2*XLOOKUP($Q722,'Threshold Summary'!$Y:$Y,'Threshold Summary'!$L:$L,"")/5+2)*pow*atk/def)/50)+2)),modifier,stab*eff,FLOOR(base*modifier)),0)</f>
        <v/>
      </c>
      <c r="L722" s="3">
        <f>IFERROR(LET(mtype,XLOOKUP($D722,'Move Editor'!$B:$B,'Move Editor'!$C:$C,""),cat,XLOOKUP($D722,'Move Editor'!$B:$B,'Move Editor'!$D:$D,""),pow,XLOOKUP($D722,'Move Editor'!$B:$B,'Move Editor'!$E:$E,0),acc,XLOOKUP($D722,'Move Editor'!$B:$B,'Move Editor'!$F:$F,100),atk,IF(cat="Physical",FLOOR((FLOOR(((2*XLOOKUP(XLOOKUP($Q722,'Threshold Summary'!$Y:$Y,'Threshold Summary'!$K:$K,""),'Pokemon Editor'!$A:$A,'Pokemon Editor'!$F:$F,0)+31+FLOOR(XLOOKUP($Q722,'Threshold Summary'!$Y:$Y,'Threshold Summary'!$P:$P,"")/4))*XLOOKUP($Q722,'Threshold Summary'!$Y:$Y,'Threshold Summary'!$L:$L,""))/100)+5)*XLOOKUP(XLOOKUP($Q722,'Threshold Summary'!$Y:$Y,'Threshold Summary'!$M:$M,""),'Nature Editor'!$A:$A,'Nature Editor'!$B:$B,1)),FLOOR((FLOOR(((2*XLOOKUP(XLOOKUP($Q722,'Threshold Summary'!$Y:$Y,'Threshold Summary'!$K:$K,""),'Pokemon Editor'!$A:$A,'Pokemon Editor'!$H:$H,0)+31+FLOOR(XLOOKUP($Q722,'Threshold Summary'!$Y:$Y,'Threshold Summary'!$R:$R,"")/4))*XLOOKUP($Q722,'Threshold Summary'!$Y:$Y,'Threshold Summary'!$L:$L,""))/100)+5)*XLOOKUP(XLOOKUP($Q722,'Threshold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Editor'!$E:$E,1))),stab,IF(OR(mtype=XLOOKUP(XLOOKUP($Q722,'Threshold Summary'!$Y:$Y,'Threshold Summary'!$K:$K,""),'Pokemon Editor'!$A:$A,'Pokemon Editor'!$C:$C,""),mtype=XLOOKUP(XLOOKUP($Q722,'Threshold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Chart'!$B$1:$S$1,0)))),base,IF(OR(cat="Status",pow=0),0,FLOOR(FLOOR(FLOOR((2*XLOOKUP($Q722,'Threshold Summary'!$Y:$Y,'Threshold Summary'!$L:$L,"")/5+2)*pow*atk/def)/50)+2)),modifier,stab*eff,AVERAGE(ARRAYFORMULA(FLOOR(base*modifier*SEQUENCE(16,1,85,1)/100)))),0)</f>
        <v/>
      </c>
      <c r="M722" s="3">
        <f>IFERROR(LET(mtype,XLOOKUP($D722,'Move Editor'!$B:$B,'Move Editor'!$C:$C,""),cat,XLOOKUP($D722,'Move Editor'!$B:$B,'Move Editor'!$D:$D,""),pow,XLOOKUP($D722,'Move Editor'!$B:$B,'Move Editor'!$E:$E,0),acc,XLOOKUP($D722,'Move Editor'!$B:$B,'Move Editor'!$F:$F,100),atk,IF(cat="Physical",FLOOR((FLOOR(((2*XLOOKUP(XLOOKUP($Q722,'Threshold Summary'!$Y:$Y,'Threshold Summary'!$K:$K,""),'Pokemon Editor'!$A:$A,'Pokemon Editor'!$F:$F,0)+31+FLOOR(XLOOKUP($Q722,'Threshold Summary'!$Y:$Y,'Threshold Summary'!$P:$P,"")/4))*XLOOKUP($Q722,'Threshold Summary'!$Y:$Y,'Threshold Summary'!$L:$L,""))/100)+5)*XLOOKUP(XLOOKUP($Q722,'Threshold Summary'!$Y:$Y,'Threshold Summary'!$M:$M,""),'Nature Editor'!$A:$A,'Nature Editor'!$B:$B,1)),FLOOR((FLOOR(((2*XLOOKUP(XLOOKUP($Q722,'Threshold Summary'!$Y:$Y,'Threshold Summary'!$K:$K,""),'Pokemon Editor'!$A:$A,'Pokemon Editor'!$H:$H,0)+31+FLOOR(XLOOKUP($Q722,'Threshold Summary'!$Y:$Y,'Threshold Summary'!$R:$R,"")/4))*XLOOKUP($Q722,'Threshold Summary'!$Y:$Y,'Threshold Summary'!$L:$L,""))/100)+5)*XLOOKUP(XLOOKUP($Q722,'Threshold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Editor'!$E:$E,1))),stab,IF(OR(mtype=XLOOKUP(XLOOKUP($Q722,'Threshold Summary'!$Y:$Y,'Threshold Summary'!$K:$K,""),'Pokemon Editor'!$A:$A,'Pokemon Editor'!$C:$C,""),mtype=XLOOKUP(XLOOKUP($Q722,'Threshold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Chart'!$B$1:$S$1,0)))),base,IF(OR(cat="Status",pow=0),0,FLOOR(FLOOR(FLOOR((2*XLOOKUP($Q722,'Threshold Summary'!$Y:$Y,'Threshold Summary'!$L:$L,"")/5+2)*pow*atk/def)/50)+2)),modifier,stab*eff,AVERAGE(ARRAYFORMULA(FLOOR(base*modifier*SEQUENCE(16,1,85,1)/100)))*MIN(1,acc/100)),0)</f>
        <v/>
      </c>
      <c r="N722" s="4">
        <f>IFERROR(LET(mtype,XLOOKUP($D722,'Move Editor'!$B:$B,'Move Editor'!$C:$C,""),cat,XLOOKUP($D722,'Move Editor'!$B:$B,'Move Editor'!$D:$D,""),pow,XLOOKUP($D722,'Move Editor'!$B:$B,'Move Editor'!$E:$E,0),acc,XLOOKUP($D722,'Move Editor'!$B:$B,'Move Editor'!$F:$F,100),atk,IF(cat="Physical",FLOOR((FLOOR(((2*XLOOKUP(XLOOKUP($Q722,'Threshold Summary'!$Y:$Y,'Threshold Summary'!$K:$K,""),'Pokemon Editor'!$A:$A,'Pokemon Editor'!$F:$F,0)+31+FLOOR(XLOOKUP($Q722,'Threshold Summary'!$Y:$Y,'Threshold Summary'!$P:$P,"")/4))*XLOOKUP($Q722,'Threshold Summary'!$Y:$Y,'Threshold Summary'!$L:$L,""))/100)+5)*XLOOKUP(XLOOKUP($Q722,'Threshold Summary'!$Y:$Y,'Threshold Summary'!$M:$M,""),'Nature Editor'!$A:$A,'Nature Editor'!$B:$B,1)),FLOOR((FLOOR(((2*XLOOKUP(XLOOKUP($Q722,'Threshold Summary'!$Y:$Y,'Threshold Summary'!$K:$K,""),'Pokemon Editor'!$A:$A,'Pokemon Editor'!$H:$H,0)+31+FLOOR(XLOOKUP($Q722,'Threshold Summary'!$Y:$Y,'Threshold Summary'!$R:$R,"")/4))*XLOOKUP($Q722,'Threshold Summary'!$Y:$Y,'Threshold Summary'!$L:$L,""))/100)+5)*XLOOKUP(XLOOKUP($Q722,'Threshold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Editor'!$E:$E,1))),stab,IF(OR(mtype=XLOOKUP(XLOOKUP($Q722,'Threshold Summary'!$Y:$Y,'Threshold Summary'!$K:$K,""),'Pokemon Editor'!$A:$A,'Pokemon Editor'!$C:$C,""),mtype=XLOOKUP(XLOOKUP($Q722,'Threshold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Chart'!$B$1:$S$1,0)))),base,IF(OR(cat="Status",pow=0),0,FLOOR(FLOOR(FLOOR((2*XLOOKUP($Q722,'Threshold Summary'!$Y:$Y,'Threshold Summary'!$L:$L,"")/5+2)*pow*atk/def)/50)+2)),modifier,stab*eff,AVERAGE(ARRAYFORMULA(FLOOR(base*modifier*SEQUENCE(16,1,85,1)/100)))/(FLOOR(((2*XLOOKUP('Boss Editor'!$C$4,'Pokemon Editor'!$A:$A,'Pokemon Editor'!$E:$E,0)+31+FLOOR('Boss Editor'!$G$4/4))*'Boss Editor'!$D$4)/100)+'Boss Editor'!$D$4+10)),0)</f>
        <v/>
      </c>
      <c r="O722" s="3">
        <f>IF(N722&gt;=1,"OHKO",IF(N722&gt;=0.5,"2HKO",IF(N722&gt;=0.333,"3HKO",IF(N722&gt;=0.25,"4HKO","5HKO+"))))</f>
        <v/>
      </c>
      <c r="P722" s="3" t="inlineStr">
        <is>
          <t>Live from editable databases</t>
        </is>
      </c>
      <c r="Q722" s="3" t="inlineStr">
        <is>
          <t>SPECIES_CUTIEFLY</t>
        </is>
      </c>
      <c r="R722" s="3" t="n">
        <v>17</v>
      </c>
    </row>
    <row r="723">
      <c r="A723" s="3">
        <f>XLOOKUP($Q723,'Threshold Summary'!$Y:$Y,'Threshold Summary'!$A:$A,"")</f>
        <v/>
      </c>
      <c r="B723" s="3">
        <f>XLOOKUP($Q723,'Threshold Summary'!$Y:$Y,'Threshold Summary'!$M:$M,"")</f>
        <v/>
      </c>
      <c r="C723" s="3">
        <f>XLOOKUP($Q723,'Threshold Summary'!$Y:$Y,'Threshold Summary'!$N:$N,"")</f>
        <v/>
      </c>
      <c r="D723" s="3">
        <f>IFERROR(INDEX(FILTER('Learnset Editor'!$D$2:$D,'Learnset Editor'!$A$2:$A=XLOOKUP($Q723,'Threshold Summary'!$Y:$Y,'Threshold Summary'!$K:$K,""),'Learnset Editor'!$C$2:$C&lt;=XLOOKUP($Q723,'Threshold Summary'!$Y:$Y,'Threshold Summary'!$L:$L,"")),$R723),"")</f>
        <v/>
      </c>
      <c r="E723" s="3">
        <f>XLOOKUP(D723,'Move Editor'!$B:$B,'Move Editor'!$C:$C,"")</f>
        <v/>
      </c>
      <c r="F723" s="3">
        <f>XLOOKUP(D723,'Move Editor'!$B:$B,'Move Editor'!$D:$D,"")</f>
        <v/>
      </c>
      <c r="G723" s="3">
        <f>XLOOKUP(D723,'Move Editor'!$B:$B,'Move Editor'!$E:$E,0)</f>
        <v/>
      </c>
      <c r="H723" s="3">
        <f>XLOOKUP(D723,'Move Editor'!$B:$B,'Move Editor'!$F:$F,0)</f>
        <v/>
      </c>
      <c r="I723" s="3">
        <f>(INDEX('Type Chart'!$B:$S,MATCH(E723,'Type Chart'!$A:$A,0),MATCH(XLOOKUP('Boss Editor'!$C$4,'Pokemon Editor'!$A:$A,'Pokemon Editor'!$C:$C,""),'Type Chart'!$B$1:$S$1,0))*IF(XLOOKUP('Boss Editor'!$C$4,'Pokemon Editor'!$A:$A,'Pokemon Editor'!$D:$D,"")="",1,INDEX('Type Chart'!$B:$S,MATCH(E723,'Type Chart'!$A:$A,0),MATCH(XLOOKUP('Boss Editor'!$C$4,'Pokemon Editor'!$A:$A,'Pokemon Editor'!$D:$D,""),'Type Chart'!$B$1:$S$1,0))))</f>
        <v/>
      </c>
      <c r="J723" s="3">
        <f>IFERROR(LET(mtype,XLOOKUP($D723,'Move Editor'!$B:$B,'Move Editor'!$C:$C,""),cat,XLOOKUP($D723,'Move Editor'!$B:$B,'Move Editor'!$D:$D,""),pow,XLOOKUP($D723,'Move Editor'!$B:$B,'Move Editor'!$E:$E,0),acc,XLOOKUP($D723,'Move Editor'!$B:$B,'Move Editor'!$F:$F,100),atk,IF(cat="Physical",FLOOR((FLOOR(((2*XLOOKUP(XLOOKUP($Q723,'Threshold Summary'!$Y:$Y,'Threshold Summary'!$K:$K,""),'Pokemon Editor'!$A:$A,'Pokemon Editor'!$F:$F,0)+31+FLOOR(XLOOKUP($Q723,'Threshold Summary'!$Y:$Y,'Threshold Summary'!$P:$P,"")/4))*XLOOKUP($Q723,'Threshold Summary'!$Y:$Y,'Threshold Summary'!$L:$L,""))/100)+5)*XLOOKUP(XLOOKUP($Q723,'Threshold Summary'!$Y:$Y,'Threshold Summary'!$M:$M,""),'Nature Editor'!$A:$A,'Nature Editor'!$B:$B,1)),FLOOR((FLOOR(((2*XLOOKUP(XLOOKUP($Q723,'Threshold Summary'!$Y:$Y,'Threshold Summary'!$K:$K,""),'Pokemon Editor'!$A:$A,'Pokemon Editor'!$H:$H,0)+31+FLOOR(XLOOKUP($Q723,'Threshold Summary'!$Y:$Y,'Threshold Summary'!$R:$R,"")/4))*XLOOKUP($Q723,'Threshold Summary'!$Y:$Y,'Threshold Summary'!$L:$L,""))/100)+5)*XLOOKUP(XLOOKUP($Q723,'Threshold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Editor'!$E:$E,1))),stab,IF(OR(mtype=XLOOKUP(XLOOKUP($Q723,'Threshold Summary'!$Y:$Y,'Threshold Summary'!$K:$K,""),'Pokemon Editor'!$A:$A,'Pokemon Editor'!$C:$C,""),mtype=XLOOKUP(XLOOKUP($Q723,'Threshold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Chart'!$B$1:$S$1,0)))),base,IF(OR(cat="Status",pow=0),0,FLOOR(FLOOR(FLOOR((2*XLOOKUP($Q723,'Threshold Summary'!$Y:$Y,'Threshold Summary'!$L:$L,"")/5+2)*pow*atk/def)/50)+2)),modifier,stab*eff,FLOOR(base*modifier*0.85)),0)</f>
        <v/>
      </c>
      <c r="K723" s="3">
        <f>IFERROR(LET(mtype,XLOOKUP($D723,'Move Editor'!$B:$B,'Move Editor'!$C:$C,""),cat,XLOOKUP($D723,'Move Editor'!$B:$B,'Move Editor'!$D:$D,""),pow,XLOOKUP($D723,'Move Editor'!$B:$B,'Move Editor'!$E:$E,0),acc,XLOOKUP($D723,'Move Editor'!$B:$B,'Move Editor'!$F:$F,100),atk,IF(cat="Physical",FLOOR((FLOOR(((2*XLOOKUP(XLOOKUP($Q723,'Threshold Summary'!$Y:$Y,'Threshold Summary'!$K:$K,""),'Pokemon Editor'!$A:$A,'Pokemon Editor'!$F:$F,0)+31+FLOOR(XLOOKUP($Q723,'Threshold Summary'!$Y:$Y,'Threshold Summary'!$P:$P,"")/4))*XLOOKUP($Q723,'Threshold Summary'!$Y:$Y,'Threshold Summary'!$L:$L,""))/100)+5)*XLOOKUP(XLOOKUP($Q723,'Threshold Summary'!$Y:$Y,'Threshold Summary'!$M:$M,""),'Nature Editor'!$A:$A,'Nature Editor'!$B:$B,1)),FLOOR((FLOOR(((2*XLOOKUP(XLOOKUP($Q723,'Threshold Summary'!$Y:$Y,'Threshold Summary'!$K:$K,""),'Pokemon Editor'!$A:$A,'Pokemon Editor'!$H:$H,0)+31+FLOOR(XLOOKUP($Q723,'Threshold Summary'!$Y:$Y,'Threshold Summary'!$R:$R,"")/4))*XLOOKUP($Q723,'Threshold Summary'!$Y:$Y,'Threshold Summary'!$L:$L,""))/100)+5)*XLOOKUP(XLOOKUP($Q723,'Threshold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Editor'!$E:$E,1))),stab,IF(OR(mtype=XLOOKUP(XLOOKUP($Q723,'Threshold Summary'!$Y:$Y,'Threshold Summary'!$K:$K,""),'Pokemon Editor'!$A:$A,'Pokemon Editor'!$C:$C,""),mtype=XLOOKUP(XLOOKUP($Q723,'Threshold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Chart'!$B$1:$S$1,0)))),base,IF(OR(cat="Status",pow=0),0,FLOOR(FLOOR(FLOOR((2*XLOOKUP($Q723,'Threshold Summary'!$Y:$Y,'Threshold Summary'!$L:$L,"")/5+2)*pow*atk/def)/50)+2)),modifier,stab*eff,FLOOR(base*modifier)),0)</f>
        <v/>
      </c>
      <c r="L723" s="3">
        <f>IFERROR(LET(mtype,XLOOKUP($D723,'Move Editor'!$B:$B,'Move Editor'!$C:$C,""),cat,XLOOKUP($D723,'Move Editor'!$B:$B,'Move Editor'!$D:$D,""),pow,XLOOKUP($D723,'Move Editor'!$B:$B,'Move Editor'!$E:$E,0),acc,XLOOKUP($D723,'Move Editor'!$B:$B,'Move Editor'!$F:$F,100),atk,IF(cat="Physical",FLOOR((FLOOR(((2*XLOOKUP(XLOOKUP($Q723,'Threshold Summary'!$Y:$Y,'Threshold Summary'!$K:$K,""),'Pokemon Editor'!$A:$A,'Pokemon Editor'!$F:$F,0)+31+FLOOR(XLOOKUP($Q723,'Threshold Summary'!$Y:$Y,'Threshold Summary'!$P:$P,"")/4))*XLOOKUP($Q723,'Threshold Summary'!$Y:$Y,'Threshold Summary'!$L:$L,""))/100)+5)*XLOOKUP(XLOOKUP($Q723,'Threshold Summary'!$Y:$Y,'Threshold Summary'!$M:$M,""),'Nature Editor'!$A:$A,'Nature Editor'!$B:$B,1)),FLOOR((FLOOR(((2*XLOOKUP(XLOOKUP($Q723,'Threshold Summary'!$Y:$Y,'Threshold Summary'!$K:$K,""),'Pokemon Editor'!$A:$A,'Pokemon Editor'!$H:$H,0)+31+FLOOR(XLOOKUP($Q723,'Threshold Summary'!$Y:$Y,'Threshold Summary'!$R:$R,"")/4))*XLOOKUP($Q723,'Threshold Summary'!$Y:$Y,'Threshold Summary'!$L:$L,""))/100)+5)*XLOOKUP(XLOOKUP($Q723,'Threshold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Editor'!$E:$E,1))),stab,IF(OR(mtype=XLOOKUP(XLOOKUP($Q723,'Threshold Summary'!$Y:$Y,'Threshold Summary'!$K:$K,""),'Pokemon Editor'!$A:$A,'Pokemon Editor'!$C:$C,""),mtype=XLOOKUP(XLOOKUP($Q723,'Threshold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Chart'!$B$1:$S$1,0)))),base,IF(OR(cat="Status",pow=0),0,FLOOR(FLOOR(FLOOR((2*XLOOKUP($Q723,'Threshold Summary'!$Y:$Y,'Threshold Summary'!$L:$L,"")/5+2)*pow*atk/def)/50)+2)),modifier,stab*eff,AVERAGE(ARRAYFORMULA(FLOOR(base*modifier*SEQUENCE(16,1,85,1)/100)))),0)</f>
        <v/>
      </c>
      <c r="M723" s="3">
        <f>IFERROR(LET(mtype,XLOOKUP($D723,'Move Editor'!$B:$B,'Move Editor'!$C:$C,""),cat,XLOOKUP($D723,'Move Editor'!$B:$B,'Move Editor'!$D:$D,""),pow,XLOOKUP($D723,'Move Editor'!$B:$B,'Move Editor'!$E:$E,0),acc,XLOOKUP($D723,'Move Editor'!$B:$B,'Move Editor'!$F:$F,100),atk,IF(cat="Physical",FLOOR((FLOOR(((2*XLOOKUP(XLOOKUP($Q723,'Threshold Summary'!$Y:$Y,'Threshold Summary'!$K:$K,""),'Pokemon Editor'!$A:$A,'Pokemon Editor'!$F:$F,0)+31+FLOOR(XLOOKUP($Q723,'Threshold Summary'!$Y:$Y,'Threshold Summary'!$P:$P,"")/4))*XLOOKUP($Q723,'Threshold Summary'!$Y:$Y,'Threshold Summary'!$L:$L,""))/100)+5)*XLOOKUP(XLOOKUP($Q723,'Threshold Summary'!$Y:$Y,'Threshold Summary'!$M:$M,""),'Nature Editor'!$A:$A,'Nature Editor'!$B:$B,1)),FLOOR((FLOOR(((2*XLOOKUP(XLOOKUP($Q723,'Threshold Summary'!$Y:$Y,'Threshold Summary'!$K:$K,""),'Pokemon Editor'!$A:$A,'Pokemon Editor'!$H:$H,0)+31+FLOOR(XLOOKUP($Q723,'Threshold Summary'!$Y:$Y,'Threshold Summary'!$R:$R,"")/4))*XLOOKUP($Q723,'Threshold Summary'!$Y:$Y,'Threshold Summary'!$L:$L,""))/100)+5)*XLOOKUP(XLOOKUP($Q723,'Threshold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Editor'!$E:$E,1))),stab,IF(OR(mtype=XLOOKUP(XLOOKUP($Q723,'Threshold Summary'!$Y:$Y,'Threshold Summary'!$K:$K,""),'Pokemon Editor'!$A:$A,'Pokemon Editor'!$C:$C,""),mtype=XLOOKUP(XLOOKUP($Q723,'Threshold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Chart'!$B$1:$S$1,0)))),base,IF(OR(cat="Status",pow=0),0,FLOOR(FLOOR(FLOOR((2*XLOOKUP($Q723,'Threshold Summary'!$Y:$Y,'Threshold Summary'!$L:$L,"")/5+2)*pow*atk/def)/50)+2)),modifier,stab*eff,AVERAGE(ARRAYFORMULA(FLOOR(base*modifier*SEQUENCE(16,1,85,1)/100)))*MIN(1,acc/100)),0)</f>
        <v/>
      </c>
      <c r="N723" s="4">
        <f>IFERROR(LET(mtype,XLOOKUP($D723,'Move Editor'!$B:$B,'Move Editor'!$C:$C,""),cat,XLOOKUP($D723,'Move Editor'!$B:$B,'Move Editor'!$D:$D,""),pow,XLOOKUP($D723,'Move Editor'!$B:$B,'Move Editor'!$E:$E,0),acc,XLOOKUP($D723,'Move Editor'!$B:$B,'Move Editor'!$F:$F,100),atk,IF(cat="Physical",FLOOR((FLOOR(((2*XLOOKUP(XLOOKUP($Q723,'Threshold Summary'!$Y:$Y,'Threshold Summary'!$K:$K,""),'Pokemon Editor'!$A:$A,'Pokemon Editor'!$F:$F,0)+31+FLOOR(XLOOKUP($Q723,'Threshold Summary'!$Y:$Y,'Threshold Summary'!$P:$P,"")/4))*XLOOKUP($Q723,'Threshold Summary'!$Y:$Y,'Threshold Summary'!$L:$L,""))/100)+5)*XLOOKUP(XLOOKUP($Q723,'Threshold Summary'!$Y:$Y,'Threshold Summary'!$M:$M,""),'Nature Editor'!$A:$A,'Nature Editor'!$B:$B,1)),FLOOR((FLOOR(((2*XLOOKUP(XLOOKUP($Q723,'Threshold Summary'!$Y:$Y,'Threshold Summary'!$K:$K,""),'Pokemon Editor'!$A:$A,'Pokemon Editor'!$H:$H,0)+31+FLOOR(XLOOKUP($Q723,'Threshold Summary'!$Y:$Y,'Threshold Summary'!$R:$R,"")/4))*XLOOKUP($Q723,'Threshold Summary'!$Y:$Y,'Threshold Summary'!$L:$L,""))/100)+5)*XLOOKUP(XLOOKUP($Q723,'Threshold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Editor'!$E:$E,1))),stab,IF(OR(mtype=XLOOKUP(XLOOKUP($Q723,'Threshold Summary'!$Y:$Y,'Threshold Summary'!$K:$K,""),'Pokemon Editor'!$A:$A,'Pokemon Editor'!$C:$C,""),mtype=XLOOKUP(XLOOKUP($Q723,'Threshold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Chart'!$B$1:$S$1,0)))),base,IF(OR(cat="Status",pow=0),0,FLOOR(FLOOR(FLOOR((2*XLOOKUP($Q723,'Threshold Summary'!$Y:$Y,'Threshold Summary'!$L:$L,"")/5+2)*pow*atk/def)/50)+2)),modifier,stab*eff,AVERAGE(ARRAYFORMULA(FLOOR(base*modifier*SEQUENCE(16,1,85,1)/100)))/(FLOOR(((2*XLOOKUP('Boss Editor'!$C$4,'Pokemon Editor'!$A:$A,'Pokemon Editor'!$E:$E,0)+31+FLOOR('Boss Editor'!$G$4/4))*'Boss Editor'!$D$4)/100)+'Boss Editor'!$D$4+10)),0)</f>
        <v/>
      </c>
      <c r="O723" s="3">
        <f>IF(N723&gt;=1,"OHKO",IF(N723&gt;=0.5,"2HKO",IF(N723&gt;=0.333,"3HKO",IF(N723&gt;=0.25,"4HKO","5HKO+"))))</f>
        <v/>
      </c>
      <c r="P723" s="3" t="inlineStr">
        <is>
          <t>Live from editable databases</t>
        </is>
      </c>
      <c r="Q723" s="3" t="inlineStr">
        <is>
          <t>SPECIES_CUTIEFLY</t>
        </is>
      </c>
      <c r="R723" s="3" t="n">
        <v>18</v>
      </c>
    </row>
    <row r="724">
      <c r="A724" s="3">
        <f>XLOOKUP($Q724,'Threshold Summary'!$Y:$Y,'Threshold Summary'!$A:$A,"")</f>
        <v/>
      </c>
      <c r="B724" s="3">
        <f>XLOOKUP($Q724,'Threshold Summary'!$Y:$Y,'Threshold Summary'!$M:$M,"")</f>
        <v/>
      </c>
      <c r="C724" s="3">
        <f>XLOOKUP($Q724,'Threshold Summary'!$Y:$Y,'Threshold Summary'!$N:$N,"")</f>
        <v/>
      </c>
      <c r="D724" s="3">
        <f>IFERROR(INDEX(FILTER('Learnset Editor'!$D$2:$D,'Learnset Editor'!$A$2:$A=XLOOKUP($Q724,'Threshold Summary'!$Y:$Y,'Threshold Summary'!$K:$K,""),'Learnset Editor'!$C$2:$C&lt;=XLOOKUP($Q724,'Threshold Summary'!$Y:$Y,'Threshold Summary'!$L:$L,"")),$R724),"")</f>
        <v/>
      </c>
      <c r="E724" s="3">
        <f>XLOOKUP(D724,'Move Editor'!$B:$B,'Move Editor'!$C:$C,"")</f>
        <v/>
      </c>
      <c r="F724" s="3">
        <f>XLOOKUP(D724,'Move Editor'!$B:$B,'Move Editor'!$D:$D,"")</f>
        <v/>
      </c>
      <c r="G724" s="3">
        <f>XLOOKUP(D724,'Move Editor'!$B:$B,'Move Editor'!$E:$E,0)</f>
        <v/>
      </c>
      <c r="H724" s="3">
        <f>XLOOKUP(D724,'Move Editor'!$B:$B,'Move Editor'!$F:$F,0)</f>
        <v/>
      </c>
      <c r="I724" s="3">
        <f>(INDEX('Type Chart'!$B:$S,MATCH(E724,'Type Chart'!$A:$A,0),MATCH(XLOOKUP('Boss Editor'!$C$4,'Pokemon Editor'!$A:$A,'Pokemon Editor'!$C:$C,""),'Type Chart'!$B$1:$S$1,0))*IF(XLOOKUP('Boss Editor'!$C$4,'Pokemon Editor'!$A:$A,'Pokemon Editor'!$D:$D,"")="",1,INDEX('Type Chart'!$B:$S,MATCH(E724,'Type Chart'!$A:$A,0),MATCH(XLOOKUP('Boss Editor'!$C$4,'Pokemon Editor'!$A:$A,'Pokemon Editor'!$D:$D,""),'Type Chart'!$B$1:$S$1,0))))</f>
        <v/>
      </c>
      <c r="J724" s="3">
        <f>IFERROR(LET(mtype,XLOOKUP($D724,'Move Editor'!$B:$B,'Move Editor'!$C:$C,""),cat,XLOOKUP($D724,'Move Editor'!$B:$B,'Move Editor'!$D:$D,""),pow,XLOOKUP($D724,'Move Editor'!$B:$B,'Move Editor'!$E:$E,0),acc,XLOOKUP($D724,'Move Editor'!$B:$B,'Move Editor'!$F:$F,100),atk,IF(cat="Physical",FLOOR((FLOOR(((2*XLOOKUP(XLOOKUP($Q724,'Threshold Summary'!$Y:$Y,'Threshold Summary'!$K:$K,""),'Pokemon Editor'!$A:$A,'Pokemon Editor'!$F:$F,0)+31+FLOOR(XLOOKUP($Q724,'Threshold Summary'!$Y:$Y,'Threshold Summary'!$P:$P,"")/4))*XLOOKUP($Q724,'Threshold Summary'!$Y:$Y,'Threshold Summary'!$L:$L,""))/100)+5)*XLOOKUP(XLOOKUP($Q724,'Threshold Summary'!$Y:$Y,'Threshold Summary'!$M:$M,""),'Nature Editor'!$A:$A,'Nature Editor'!$B:$B,1)),FLOOR((FLOOR(((2*XLOOKUP(XLOOKUP($Q724,'Threshold Summary'!$Y:$Y,'Threshold Summary'!$K:$K,""),'Pokemon Editor'!$A:$A,'Pokemon Editor'!$H:$H,0)+31+FLOOR(XLOOKUP($Q724,'Threshold Summary'!$Y:$Y,'Threshold Summary'!$R:$R,"")/4))*XLOOKUP($Q724,'Threshold Summary'!$Y:$Y,'Threshold Summary'!$L:$L,""))/100)+5)*XLOOKUP(XLOOKUP($Q724,'Threshold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Editor'!$E:$E,1))),stab,IF(OR(mtype=XLOOKUP(XLOOKUP($Q724,'Threshold Summary'!$Y:$Y,'Threshold Summary'!$K:$K,""),'Pokemon Editor'!$A:$A,'Pokemon Editor'!$C:$C,""),mtype=XLOOKUP(XLOOKUP($Q724,'Threshold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Chart'!$B$1:$S$1,0)))),base,IF(OR(cat="Status",pow=0),0,FLOOR(FLOOR(FLOOR((2*XLOOKUP($Q724,'Threshold Summary'!$Y:$Y,'Threshold Summary'!$L:$L,"")/5+2)*pow*atk/def)/50)+2)),modifier,stab*eff,FLOOR(base*modifier*0.85)),0)</f>
        <v/>
      </c>
      <c r="K724" s="3">
        <f>IFERROR(LET(mtype,XLOOKUP($D724,'Move Editor'!$B:$B,'Move Editor'!$C:$C,""),cat,XLOOKUP($D724,'Move Editor'!$B:$B,'Move Editor'!$D:$D,""),pow,XLOOKUP($D724,'Move Editor'!$B:$B,'Move Editor'!$E:$E,0),acc,XLOOKUP($D724,'Move Editor'!$B:$B,'Move Editor'!$F:$F,100),atk,IF(cat="Physical",FLOOR((FLOOR(((2*XLOOKUP(XLOOKUP($Q724,'Threshold Summary'!$Y:$Y,'Threshold Summary'!$K:$K,""),'Pokemon Editor'!$A:$A,'Pokemon Editor'!$F:$F,0)+31+FLOOR(XLOOKUP($Q724,'Threshold Summary'!$Y:$Y,'Threshold Summary'!$P:$P,"")/4))*XLOOKUP($Q724,'Threshold Summary'!$Y:$Y,'Threshold Summary'!$L:$L,""))/100)+5)*XLOOKUP(XLOOKUP($Q724,'Threshold Summary'!$Y:$Y,'Threshold Summary'!$M:$M,""),'Nature Editor'!$A:$A,'Nature Editor'!$B:$B,1)),FLOOR((FLOOR(((2*XLOOKUP(XLOOKUP($Q724,'Threshold Summary'!$Y:$Y,'Threshold Summary'!$K:$K,""),'Pokemon Editor'!$A:$A,'Pokemon Editor'!$H:$H,0)+31+FLOOR(XLOOKUP($Q724,'Threshold Summary'!$Y:$Y,'Threshold Summary'!$R:$R,"")/4))*XLOOKUP($Q724,'Threshold Summary'!$Y:$Y,'Threshold Summary'!$L:$L,""))/100)+5)*XLOOKUP(XLOOKUP($Q724,'Threshold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Editor'!$E:$E,1))),stab,IF(OR(mtype=XLOOKUP(XLOOKUP($Q724,'Threshold Summary'!$Y:$Y,'Threshold Summary'!$K:$K,""),'Pokemon Editor'!$A:$A,'Pokemon Editor'!$C:$C,""),mtype=XLOOKUP(XLOOKUP($Q724,'Threshold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Chart'!$B$1:$S$1,0)))),base,IF(OR(cat="Status",pow=0),0,FLOOR(FLOOR(FLOOR((2*XLOOKUP($Q724,'Threshold Summary'!$Y:$Y,'Threshold Summary'!$L:$L,"")/5+2)*pow*atk/def)/50)+2)),modifier,stab*eff,FLOOR(base*modifier)),0)</f>
        <v/>
      </c>
      <c r="L724" s="3">
        <f>IFERROR(LET(mtype,XLOOKUP($D724,'Move Editor'!$B:$B,'Move Editor'!$C:$C,""),cat,XLOOKUP($D724,'Move Editor'!$B:$B,'Move Editor'!$D:$D,""),pow,XLOOKUP($D724,'Move Editor'!$B:$B,'Move Editor'!$E:$E,0),acc,XLOOKUP($D724,'Move Editor'!$B:$B,'Move Editor'!$F:$F,100),atk,IF(cat="Physical",FLOOR((FLOOR(((2*XLOOKUP(XLOOKUP($Q724,'Threshold Summary'!$Y:$Y,'Threshold Summary'!$K:$K,""),'Pokemon Editor'!$A:$A,'Pokemon Editor'!$F:$F,0)+31+FLOOR(XLOOKUP($Q724,'Threshold Summary'!$Y:$Y,'Threshold Summary'!$P:$P,"")/4))*XLOOKUP($Q724,'Threshold Summary'!$Y:$Y,'Threshold Summary'!$L:$L,""))/100)+5)*XLOOKUP(XLOOKUP($Q724,'Threshold Summary'!$Y:$Y,'Threshold Summary'!$M:$M,""),'Nature Editor'!$A:$A,'Nature Editor'!$B:$B,1)),FLOOR((FLOOR(((2*XLOOKUP(XLOOKUP($Q724,'Threshold Summary'!$Y:$Y,'Threshold Summary'!$K:$K,""),'Pokemon Editor'!$A:$A,'Pokemon Editor'!$H:$H,0)+31+FLOOR(XLOOKUP($Q724,'Threshold Summary'!$Y:$Y,'Threshold Summary'!$R:$R,"")/4))*XLOOKUP($Q724,'Threshold Summary'!$Y:$Y,'Threshold Summary'!$L:$L,""))/100)+5)*XLOOKUP(XLOOKUP($Q724,'Threshold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Editor'!$E:$E,1))),stab,IF(OR(mtype=XLOOKUP(XLOOKUP($Q724,'Threshold Summary'!$Y:$Y,'Threshold Summary'!$K:$K,""),'Pokemon Editor'!$A:$A,'Pokemon Editor'!$C:$C,""),mtype=XLOOKUP(XLOOKUP($Q724,'Threshold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Chart'!$B$1:$S$1,0)))),base,IF(OR(cat="Status",pow=0),0,FLOOR(FLOOR(FLOOR((2*XLOOKUP($Q724,'Threshold Summary'!$Y:$Y,'Threshold Summary'!$L:$L,"")/5+2)*pow*atk/def)/50)+2)),modifier,stab*eff,AVERAGE(ARRAYFORMULA(FLOOR(base*modifier*SEQUENCE(16,1,85,1)/100)))),0)</f>
        <v/>
      </c>
      <c r="M724" s="3">
        <f>IFERROR(LET(mtype,XLOOKUP($D724,'Move Editor'!$B:$B,'Move Editor'!$C:$C,""),cat,XLOOKUP($D724,'Move Editor'!$B:$B,'Move Editor'!$D:$D,""),pow,XLOOKUP($D724,'Move Editor'!$B:$B,'Move Editor'!$E:$E,0),acc,XLOOKUP($D724,'Move Editor'!$B:$B,'Move Editor'!$F:$F,100),atk,IF(cat="Physical",FLOOR((FLOOR(((2*XLOOKUP(XLOOKUP($Q724,'Threshold Summary'!$Y:$Y,'Threshold Summary'!$K:$K,""),'Pokemon Editor'!$A:$A,'Pokemon Editor'!$F:$F,0)+31+FLOOR(XLOOKUP($Q724,'Threshold Summary'!$Y:$Y,'Threshold Summary'!$P:$P,"")/4))*XLOOKUP($Q724,'Threshold Summary'!$Y:$Y,'Threshold Summary'!$L:$L,""))/100)+5)*XLOOKUP(XLOOKUP($Q724,'Threshold Summary'!$Y:$Y,'Threshold Summary'!$M:$M,""),'Nature Editor'!$A:$A,'Nature Editor'!$B:$B,1)),FLOOR((FLOOR(((2*XLOOKUP(XLOOKUP($Q724,'Threshold Summary'!$Y:$Y,'Threshold Summary'!$K:$K,""),'Pokemon Editor'!$A:$A,'Pokemon Editor'!$H:$H,0)+31+FLOOR(XLOOKUP($Q724,'Threshold Summary'!$Y:$Y,'Threshold Summary'!$R:$R,"")/4))*XLOOKUP($Q724,'Threshold Summary'!$Y:$Y,'Threshold Summary'!$L:$L,""))/100)+5)*XLOOKUP(XLOOKUP($Q724,'Threshold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Editor'!$E:$E,1))),stab,IF(OR(mtype=XLOOKUP(XLOOKUP($Q724,'Threshold Summary'!$Y:$Y,'Threshold Summary'!$K:$K,""),'Pokemon Editor'!$A:$A,'Pokemon Editor'!$C:$C,""),mtype=XLOOKUP(XLOOKUP($Q724,'Threshold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Chart'!$B$1:$S$1,0)))),base,IF(OR(cat="Status",pow=0),0,FLOOR(FLOOR(FLOOR((2*XLOOKUP($Q724,'Threshold Summary'!$Y:$Y,'Threshold Summary'!$L:$L,"")/5+2)*pow*atk/def)/50)+2)),modifier,stab*eff,AVERAGE(ARRAYFORMULA(FLOOR(base*modifier*SEQUENCE(16,1,85,1)/100)))*MIN(1,acc/100)),0)</f>
        <v/>
      </c>
      <c r="N724" s="4">
        <f>IFERROR(LET(mtype,XLOOKUP($D724,'Move Editor'!$B:$B,'Move Editor'!$C:$C,""),cat,XLOOKUP($D724,'Move Editor'!$B:$B,'Move Editor'!$D:$D,""),pow,XLOOKUP($D724,'Move Editor'!$B:$B,'Move Editor'!$E:$E,0),acc,XLOOKUP($D724,'Move Editor'!$B:$B,'Move Editor'!$F:$F,100),atk,IF(cat="Physical",FLOOR((FLOOR(((2*XLOOKUP(XLOOKUP($Q724,'Threshold Summary'!$Y:$Y,'Threshold Summary'!$K:$K,""),'Pokemon Editor'!$A:$A,'Pokemon Editor'!$F:$F,0)+31+FLOOR(XLOOKUP($Q724,'Threshold Summary'!$Y:$Y,'Threshold Summary'!$P:$P,"")/4))*XLOOKUP($Q724,'Threshold Summary'!$Y:$Y,'Threshold Summary'!$L:$L,""))/100)+5)*XLOOKUP(XLOOKUP($Q724,'Threshold Summary'!$Y:$Y,'Threshold Summary'!$M:$M,""),'Nature Editor'!$A:$A,'Nature Editor'!$B:$B,1)),FLOOR((FLOOR(((2*XLOOKUP(XLOOKUP($Q724,'Threshold Summary'!$Y:$Y,'Threshold Summary'!$K:$K,""),'Pokemon Editor'!$A:$A,'Pokemon Editor'!$H:$H,0)+31+FLOOR(XLOOKUP($Q724,'Threshold Summary'!$Y:$Y,'Threshold Summary'!$R:$R,"")/4))*XLOOKUP($Q724,'Threshold Summary'!$Y:$Y,'Threshold Summary'!$L:$L,""))/100)+5)*XLOOKUP(XLOOKUP($Q724,'Threshold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Editor'!$E:$E,1))),stab,IF(OR(mtype=XLOOKUP(XLOOKUP($Q724,'Threshold Summary'!$Y:$Y,'Threshold Summary'!$K:$K,""),'Pokemon Editor'!$A:$A,'Pokemon Editor'!$C:$C,""),mtype=XLOOKUP(XLOOKUP($Q724,'Threshold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Chart'!$B$1:$S$1,0)))),base,IF(OR(cat="Status",pow=0),0,FLOOR(FLOOR(FLOOR((2*XLOOKUP($Q724,'Threshold Summary'!$Y:$Y,'Threshold Summary'!$L:$L,"")/5+2)*pow*atk/def)/50)+2)),modifier,stab*eff,AVERAGE(ARRAYFORMULA(FLOOR(base*modifier*SEQUENCE(16,1,85,1)/100)))/(FLOOR(((2*XLOOKUP('Boss Editor'!$C$4,'Pokemon Editor'!$A:$A,'Pokemon Editor'!$E:$E,0)+31+FLOOR('Boss Editor'!$G$4/4))*'Boss Editor'!$D$4)/100)+'Boss Editor'!$D$4+10)),0)</f>
        <v/>
      </c>
      <c r="O724" s="3">
        <f>IF(N724&gt;=1,"OHKO",IF(N724&gt;=0.5,"2HKO",IF(N724&gt;=0.333,"3HKO",IF(N724&gt;=0.25,"4HKO","5HKO+"))))</f>
        <v/>
      </c>
      <c r="P724" s="3" t="inlineStr">
        <is>
          <t>Live from editable databases</t>
        </is>
      </c>
      <c r="Q724" s="3" t="inlineStr">
        <is>
          <t>SPECIES_CUTIEFLY</t>
        </is>
      </c>
      <c r="R724" s="3" t="n">
        <v>19</v>
      </c>
    </row>
    <row r="725">
      <c r="A725" s="3">
        <f>XLOOKUP($Q725,'Threshold Summary'!$Y:$Y,'Threshold Summary'!$A:$A,"")</f>
        <v/>
      </c>
      <c r="B725" s="3">
        <f>XLOOKUP($Q725,'Threshold Summary'!$Y:$Y,'Threshold Summary'!$M:$M,"")</f>
        <v/>
      </c>
      <c r="C725" s="3">
        <f>XLOOKUP($Q725,'Threshold Summary'!$Y:$Y,'Threshold Summary'!$N:$N,"")</f>
        <v/>
      </c>
      <c r="D725" s="3">
        <f>IFERROR(INDEX(FILTER('Learnset Editor'!$D$2:$D,'Learnset Editor'!$A$2:$A=XLOOKUP($Q725,'Threshold Summary'!$Y:$Y,'Threshold Summary'!$K:$K,""),'Learnset Editor'!$C$2:$C&lt;=XLOOKUP($Q725,'Threshold Summary'!$Y:$Y,'Threshold Summary'!$L:$L,"")),$R725),"")</f>
        <v/>
      </c>
      <c r="E725" s="3">
        <f>XLOOKUP(D725,'Move Editor'!$B:$B,'Move Editor'!$C:$C,"")</f>
        <v/>
      </c>
      <c r="F725" s="3">
        <f>XLOOKUP(D725,'Move Editor'!$B:$B,'Move Editor'!$D:$D,"")</f>
        <v/>
      </c>
      <c r="G725" s="3">
        <f>XLOOKUP(D725,'Move Editor'!$B:$B,'Move Editor'!$E:$E,0)</f>
        <v/>
      </c>
      <c r="H725" s="3">
        <f>XLOOKUP(D725,'Move Editor'!$B:$B,'Move Editor'!$F:$F,0)</f>
        <v/>
      </c>
      <c r="I725" s="3">
        <f>(INDEX('Type Chart'!$B:$S,MATCH(E725,'Type Chart'!$A:$A,0),MATCH(XLOOKUP('Boss Editor'!$C$4,'Pokemon Editor'!$A:$A,'Pokemon Editor'!$C:$C,""),'Type Chart'!$B$1:$S$1,0))*IF(XLOOKUP('Boss Editor'!$C$4,'Pokemon Editor'!$A:$A,'Pokemon Editor'!$D:$D,"")="",1,INDEX('Type Chart'!$B:$S,MATCH(E725,'Type Chart'!$A:$A,0),MATCH(XLOOKUP('Boss Editor'!$C$4,'Pokemon Editor'!$A:$A,'Pokemon Editor'!$D:$D,""),'Type Chart'!$B$1:$S$1,0))))</f>
        <v/>
      </c>
      <c r="J725" s="3">
        <f>IFERROR(LET(mtype,XLOOKUP($D725,'Move Editor'!$B:$B,'Move Editor'!$C:$C,""),cat,XLOOKUP($D725,'Move Editor'!$B:$B,'Move Editor'!$D:$D,""),pow,XLOOKUP($D725,'Move Editor'!$B:$B,'Move Editor'!$E:$E,0),acc,XLOOKUP($D725,'Move Editor'!$B:$B,'Move Editor'!$F:$F,100),atk,IF(cat="Physical",FLOOR((FLOOR(((2*XLOOKUP(XLOOKUP($Q725,'Threshold Summary'!$Y:$Y,'Threshold Summary'!$K:$K,""),'Pokemon Editor'!$A:$A,'Pokemon Editor'!$F:$F,0)+31+FLOOR(XLOOKUP($Q725,'Threshold Summary'!$Y:$Y,'Threshold Summary'!$P:$P,"")/4))*XLOOKUP($Q725,'Threshold Summary'!$Y:$Y,'Threshold Summary'!$L:$L,""))/100)+5)*XLOOKUP(XLOOKUP($Q725,'Threshold Summary'!$Y:$Y,'Threshold Summary'!$M:$M,""),'Nature Editor'!$A:$A,'Nature Editor'!$B:$B,1)),FLOOR((FLOOR(((2*XLOOKUP(XLOOKUP($Q725,'Threshold Summary'!$Y:$Y,'Threshold Summary'!$K:$K,""),'Pokemon Editor'!$A:$A,'Pokemon Editor'!$H:$H,0)+31+FLOOR(XLOOKUP($Q725,'Threshold Summary'!$Y:$Y,'Threshold Summary'!$R:$R,"")/4))*XLOOKUP($Q725,'Threshold Summary'!$Y:$Y,'Threshold Summary'!$L:$L,""))/100)+5)*XLOOKUP(XLOOKUP($Q725,'Threshold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Editor'!$E:$E,1))),stab,IF(OR(mtype=XLOOKUP(XLOOKUP($Q725,'Threshold Summary'!$Y:$Y,'Threshold Summary'!$K:$K,""),'Pokemon Editor'!$A:$A,'Pokemon Editor'!$C:$C,""),mtype=XLOOKUP(XLOOKUP($Q725,'Threshold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Chart'!$B$1:$S$1,0)))),base,IF(OR(cat="Status",pow=0),0,FLOOR(FLOOR(FLOOR((2*XLOOKUP($Q725,'Threshold Summary'!$Y:$Y,'Threshold Summary'!$L:$L,"")/5+2)*pow*atk/def)/50)+2)),modifier,stab*eff,FLOOR(base*modifier*0.85)),0)</f>
        <v/>
      </c>
      <c r="K725" s="3">
        <f>IFERROR(LET(mtype,XLOOKUP($D725,'Move Editor'!$B:$B,'Move Editor'!$C:$C,""),cat,XLOOKUP($D725,'Move Editor'!$B:$B,'Move Editor'!$D:$D,""),pow,XLOOKUP($D725,'Move Editor'!$B:$B,'Move Editor'!$E:$E,0),acc,XLOOKUP($D725,'Move Editor'!$B:$B,'Move Editor'!$F:$F,100),atk,IF(cat="Physical",FLOOR((FLOOR(((2*XLOOKUP(XLOOKUP($Q725,'Threshold Summary'!$Y:$Y,'Threshold Summary'!$K:$K,""),'Pokemon Editor'!$A:$A,'Pokemon Editor'!$F:$F,0)+31+FLOOR(XLOOKUP($Q725,'Threshold Summary'!$Y:$Y,'Threshold Summary'!$P:$P,"")/4))*XLOOKUP($Q725,'Threshold Summary'!$Y:$Y,'Threshold Summary'!$L:$L,""))/100)+5)*XLOOKUP(XLOOKUP($Q725,'Threshold Summary'!$Y:$Y,'Threshold Summary'!$M:$M,""),'Nature Editor'!$A:$A,'Nature Editor'!$B:$B,1)),FLOOR((FLOOR(((2*XLOOKUP(XLOOKUP($Q725,'Threshold Summary'!$Y:$Y,'Threshold Summary'!$K:$K,""),'Pokemon Editor'!$A:$A,'Pokemon Editor'!$H:$H,0)+31+FLOOR(XLOOKUP($Q725,'Threshold Summary'!$Y:$Y,'Threshold Summary'!$R:$R,"")/4))*XLOOKUP($Q725,'Threshold Summary'!$Y:$Y,'Threshold Summary'!$L:$L,""))/100)+5)*XLOOKUP(XLOOKUP($Q725,'Threshold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Editor'!$E:$E,1))),stab,IF(OR(mtype=XLOOKUP(XLOOKUP($Q725,'Threshold Summary'!$Y:$Y,'Threshold Summary'!$K:$K,""),'Pokemon Editor'!$A:$A,'Pokemon Editor'!$C:$C,""),mtype=XLOOKUP(XLOOKUP($Q725,'Threshold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Chart'!$B$1:$S$1,0)))),base,IF(OR(cat="Status",pow=0),0,FLOOR(FLOOR(FLOOR((2*XLOOKUP($Q725,'Threshold Summary'!$Y:$Y,'Threshold Summary'!$L:$L,"")/5+2)*pow*atk/def)/50)+2)),modifier,stab*eff,FLOOR(base*modifier)),0)</f>
        <v/>
      </c>
      <c r="L725" s="3">
        <f>IFERROR(LET(mtype,XLOOKUP($D725,'Move Editor'!$B:$B,'Move Editor'!$C:$C,""),cat,XLOOKUP($D725,'Move Editor'!$B:$B,'Move Editor'!$D:$D,""),pow,XLOOKUP($D725,'Move Editor'!$B:$B,'Move Editor'!$E:$E,0),acc,XLOOKUP($D725,'Move Editor'!$B:$B,'Move Editor'!$F:$F,100),atk,IF(cat="Physical",FLOOR((FLOOR(((2*XLOOKUP(XLOOKUP($Q725,'Threshold Summary'!$Y:$Y,'Threshold Summary'!$K:$K,""),'Pokemon Editor'!$A:$A,'Pokemon Editor'!$F:$F,0)+31+FLOOR(XLOOKUP($Q725,'Threshold Summary'!$Y:$Y,'Threshold Summary'!$P:$P,"")/4))*XLOOKUP($Q725,'Threshold Summary'!$Y:$Y,'Threshold Summary'!$L:$L,""))/100)+5)*XLOOKUP(XLOOKUP($Q725,'Threshold Summary'!$Y:$Y,'Threshold Summary'!$M:$M,""),'Nature Editor'!$A:$A,'Nature Editor'!$B:$B,1)),FLOOR((FLOOR(((2*XLOOKUP(XLOOKUP($Q725,'Threshold Summary'!$Y:$Y,'Threshold Summary'!$K:$K,""),'Pokemon Editor'!$A:$A,'Pokemon Editor'!$H:$H,0)+31+FLOOR(XLOOKUP($Q725,'Threshold Summary'!$Y:$Y,'Threshold Summary'!$R:$R,"")/4))*XLOOKUP($Q725,'Threshold Summary'!$Y:$Y,'Threshold Summary'!$L:$L,""))/100)+5)*XLOOKUP(XLOOKUP($Q725,'Threshold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Editor'!$E:$E,1))),stab,IF(OR(mtype=XLOOKUP(XLOOKUP($Q725,'Threshold Summary'!$Y:$Y,'Threshold Summary'!$K:$K,""),'Pokemon Editor'!$A:$A,'Pokemon Editor'!$C:$C,""),mtype=XLOOKUP(XLOOKUP($Q725,'Threshold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Chart'!$B$1:$S$1,0)))),base,IF(OR(cat="Status",pow=0),0,FLOOR(FLOOR(FLOOR((2*XLOOKUP($Q725,'Threshold Summary'!$Y:$Y,'Threshold Summary'!$L:$L,"")/5+2)*pow*atk/def)/50)+2)),modifier,stab*eff,AVERAGE(ARRAYFORMULA(FLOOR(base*modifier*SEQUENCE(16,1,85,1)/100)))),0)</f>
        <v/>
      </c>
      <c r="M725" s="3">
        <f>IFERROR(LET(mtype,XLOOKUP($D725,'Move Editor'!$B:$B,'Move Editor'!$C:$C,""),cat,XLOOKUP($D725,'Move Editor'!$B:$B,'Move Editor'!$D:$D,""),pow,XLOOKUP($D725,'Move Editor'!$B:$B,'Move Editor'!$E:$E,0),acc,XLOOKUP($D725,'Move Editor'!$B:$B,'Move Editor'!$F:$F,100),atk,IF(cat="Physical",FLOOR((FLOOR(((2*XLOOKUP(XLOOKUP($Q725,'Threshold Summary'!$Y:$Y,'Threshold Summary'!$K:$K,""),'Pokemon Editor'!$A:$A,'Pokemon Editor'!$F:$F,0)+31+FLOOR(XLOOKUP($Q725,'Threshold Summary'!$Y:$Y,'Threshold Summary'!$P:$P,"")/4))*XLOOKUP($Q725,'Threshold Summary'!$Y:$Y,'Threshold Summary'!$L:$L,""))/100)+5)*XLOOKUP(XLOOKUP($Q725,'Threshold Summary'!$Y:$Y,'Threshold Summary'!$M:$M,""),'Nature Editor'!$A:$A,'Nature Editor'!$B:$B,1)),FLOOR((FLOOR(((2*XLOOKUP(XLOOKUP($Q725,'Threshold Summary'!$Y:$Y,'Threshold Summary'!$K:$K,""),'Pokemon Editor'!$A:$A,'Pokemon Editor'!$H:$H,0)+31+FLOOR(XLOOKUP($Q725,'Threshold Summary'!$Y:$Y,'Threshold Summary'!$R:$R,"")/4))*XLOOKUP($Q725,'Threshold Summary'!$Y:$Y,'Threshold Summary'!$L:$L,""))/100)+5)*XLOOKUP(XLOOKUP($Q725,'Threshold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Editor'!$E:$E,1))),stab,IF(OR(mtype=XLOOKUP(XLOOKUP($Q725,'Threshold Summary'!$Y:$Y,'Threshold Summary'!$K:$K,""),'Pokemon Editor'!$A:$A,'Pokemon Editor'!$C:$C,""),mtype=XLOOKUP(XLOOKUP($Q725,'Threshold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Chart'!$B$1:$S$1,0)))),base,IF(OR(cat="Status",pow=0),0,FLOOR(FLOOR(FLOOR((2*XLOOKUP($Q725,'Threshold Summary'!$Y:$Y,'Threshold Summary'!$L:$L,"")/5+2)*pow*atk/def)/50)+2)),modifier,stab*eff,AVERAGE(ARRAYFORMULA(FLOOR(base*modifier*SEQUENCE(16,1,85,1)/100)))*MIN(1,acc/100)),0)</f>
        <v/>
      </c>
      <c r="N725" s="4">
        <f>IFERROR(LET(mtype,XLOOKUP($D725,'Move Editor'!$B:$B,'Move Editor'!$C:$C,""),cat,XLOOKUP($D725,'Move Editor'!$B:$B,'Move Editor'!$D:$D,""),pow,XLOOKUP($D725,'Move Editor'!$B:$B,'Move Editor'!$E:$E,0),acc,XLOOKUP($D725,'Move Editor'!$B:$B,'Move Editor'!$F:$F,100),atk,IF(cat="Physical",FLOOR((FLOOR(((2*XLOOKUP(XLOOKUP($Q725,'Threshold Summary'!$Y:$Y,'Threshold Summary'!$K:$K,""),'Pokemon Editor'!$A:$A,'Pokemon Editor'!$F:$F,0)+31+FLOOR(XLOOKUP($Q725,'Threshold Summary'!$Y:$Y,'Threshold Summary'!$P:$P,"")/4))*XLOOKUP($Q725,'Threshold Summary'!$Y:$Y,'Threshold Summary'!$L:$L,""))/100)+5)*XLOOKUP(XLOOKUP($Q725,'Threshold Summary'!$Y:$Y,'Threshold Summary'!$M:$M,""),'Nature Editor'!$A:$A,'Nature Editor'!$B:$B,1)),FLOOR((FLOOR(((2*XLOOKUP(XLOOKUP($Q725,'Threshold Summary'!$Y:$Y,'Threshold Summary'!$K:$K,""),'Pokemon Editor'!$A:$A,'Pokemon Editor'!$H:$H,0)+31+FLOOR(XLOOKUP($Q725,'Threshold Summary'!$Y:$Y,'Threshold Summary'!$R:$R,"")/4))*XLOOKUP($Q725,'Threshold Summary'!$Y:$Y,'Threshold Summary'!$L:$L,""))/100)+5)*XLOOKUP(XLOOKUP($Q725,'Threshold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Editor'!$E:$E,1))),stab,IF(OR(mtype=XLOOKUP(XLOOKUP($Q725,'Threshold Summary'!$Y:$Y,'Threshold Summary'!$K:$K,""),'Pokemon Editor'!$A:$A,'Pokemon Editor'!$C:$C,""),mtype=XLOOKUP(XLOOKUP($Q725,'Threshold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Chart'!$B$1:$S$1,0)))),base,IF(OR(cat="Status",pow=0),0,FLOOR(FLOOR(FLOOR((2*XLOOKUP($Q725,'Threshold Summary'!$Y:$Y,'Threshold Summary'!$L:$L,"")/5+2)*pow*atk/def)/50)+2)),modifier,stab*eff,AVERAGE(ARRAYFORMULA(FLOOR(base*modifier*SEQUENCE(16,1,85,1)/100)))/(FLOOR(((2*XLOOKUP('Boss Editor'!$C$4,'Pokemon Editor'!$A:$A,'Pokemon Editor'!$E:$E,0)+31+FLOOR('Boss Editor'!$G$4/4))*'Boss Editor'!$D$4)/100)+'Boss Editor'!$D$4+10)),0)</f>
        <v/>
      </c>
      <c r="O725" s="3">
        <f>IF(N725&gt;=1,"OHKO",IF(N725&gt;=0.5,"2HKO",IF(N725&gt;=0.333,"3HKO",IF(N725&gt;=0.25,"4HKO","5HKO+"))))</f>
        <v/>
      </c>
      <c r="P725" s="3" t="inlineStr">
        <is>
          <t>Live from editable databases</t>
        </is>
      </c>
      <c r="Q725" s="3" t="inlineStr">
        <is>
          <t>SPECIES_CUTIEFLY</t>
        </is>
      </c>
      <c r="R725" s="3" t="n">
        <v>20</v>
      </c>
    </row>
    <row r="726">
      <c r="A726" s="3">
        <f>XLOOKUP($Q726,'Threshold Summary'!$Y:$Y,'Threshold Summary'!$A:$A,"")</f>
        <v/>
      </c>
      <c r="B726" s="3">
        <f>XLOOKUP($Q726,'Threshold Summary'!$Y:$Y,'Threshold Summary'!$M:$M,"")</f>
        <v/>
      </c>
      <c r="C726" s="3">
        <f>XLOOKUP($Q726,'Threshold Summary'!$Y:$Y,'Threshold Summary'!$N:$N,"")</f>
        <v/>
      </c>
      <c r="D726" s="3">
        <f>IFERROR(INDEX(FILTER('Learnset Editor'!$D$2:$D,'Learnset Editor'!$A$2:$A=XLOOKUP($Q726,'Threshold Summary'!$Y:$Y,'Threshold Summary'!$K:$K,""),'Learnset Editor'!$C$2:$C&lt;=XLOOKUP($Q726,'Threshold Summary'!$Y:$Y,'Threshold Summary'!$L:$L,"")),$R726),"")</f>
        <v/>
      </c>
      <c r="E726" s="3">
        <f>XLOOKUP(D726,'Move Editor'!$B:$B,'Move Editor'!$C:$C,"")</f>
        <v/>
      </c>
      <c r="F726" s="3">
        <f>XLOOKUP(D726,'Move Editor'!$B:$B,'Move Editor'!$D:$D,"")</f>
        <v/>
      </c>
      <c r="G726" s="3">
        <f>XLOOKUP(D726,'Move Editor'!$B:$B,'Move Editor'!$E:$E,0)</f>
        <v/>
      </c>
      <c r="H726" s="3">
        <f>XLOOKUP(D726,'Move Editor'!$B:$B,'Move Editor'!$F:$F,0)</f>
        <v/>
      </c>
      <c r="I726" s="3">
        <f>(INDEX('Type Chart'!$B:$S,MATCH(E726,'Type Chart'!$A:$A,0),MATCH(XLOOKUP('Boss Editor'!$C$4,'Pokemon Editor'!$A:$A,'Pokemon Editor'!$C:$C,""),'Type Chart'!$B$1:$S$1,0))*IF(XLOOKUP('Boss Editor'!$C$4,'Pokemon Editor'!$A:$A,'Pokemon Editor'!$D:$D,"")="",1,INDEX('Type Chart'!$B:$S,MATCH(E726,'Type Chart'!$A:$A,0),MATCH(XLOOKUP('Boss Editor'!$C$4,'Pokemon Editor'!$A:$A,'Pokemon Editor'!$D:$D,""),'Type Chart'!$B$1:$S$1,0))))</f>
        <v/>
      </c>
      <c r="J726" s="3">
        <f>IFERROR(LET(mtype,XLOOKUP($D726,'Move Editor'!$B:$B,'Move Editor'!$C:$C,""),cat,XLOOKUP($D726,'Move Editor'!$B:$B,'Move Editor'!$D:$D,""),pow,XLOOKUP($D726,'Move Editor'!$B:$B,'Move Editor'!$E:$E,0),acc,XLOOKUP($D726,'Move Editor'!$B:$B,'Move Editor'!$F:$F,100),atk,IF(cat="Physical",FLOOR((FLOOR(((2*XLOOKUP(XLOOKUP($Q726,'Threshold Summary'!$Y:$Y,'Threshold Summary'!$K:$K,""),'Pokemon Editor'!$A:$A,'Pokemon Editor'!$F:$F,0)+31+FLOOR(XLOOKUP($Q726,'Threshold Summary'!$Y:$Y,'Threshold Summary'!$P:$P,"")/4))*XLOOKUP($Q726,'Threshold Summary'!$Y:$Y,'Threshold Summary'!$L:$L,""))/100)+5)*XLOOKUP(XLOOKUP($Q726,'Threshold Summary'!$Y:$Y,'Threshold Summary'!$M:$M,""),'Nature Editor'!$A:$A,'Nature Editor'!$B:$B,1)),FLOOR((FLOOR(((2*XLOOKUP(XLOOKUP($Q726,'Threshold Summary'!$Y:$Y,'Threshold Summary'!$K:$K,""),'Pokemon Editor'!$A:$A,'Pokemon Editor'!$H:$H,0)+31+FLOOR(XLOOKUP($Q726,'Threshold Summary'!$Y:$Y,'Threshold Summary'!$R:$R,"")/4))*XLOOKUP($Q726,'Threshold Summary'!$Y:$Y,'Threshold Summary'!$L:$L,""))/100)+5)*XLOOKUP(XLOOKUP($Q726,'Threshold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Editor'!$E:$E,1))),stab,IF(OR(mtype=XLOOKUP(XLOOKUP($Q726,'Threshold Summary'!$Y:$Y,'Threshold Summary'!$K:$K,""),'Pokemon Editor'!$A:$A,'Pokemon Editor'!$C:$C,""),mtype=XLOOKUP(XLOOKUP($Q726,'Threshold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Chart'!$B$1:$S$1,0)))),base,IF(OR(cat="Status",pow=0),0,FLOOR(FLOOR(FLOOR((2*XLOOKUP($Q726,'Threshold Summary'!$Y:$Y,'Threshold Summary'!$L:$L,"")/5+2)*pow*atk/def)/50)+2)),modifier,stab*eff,FLOOR(base*modifier*0.85)),0)</f>
        <v/>
      </c>
      <c r="K726" s="3">
        <f>IFERROR(LET(mtype,XLOOKUP($D726,'Move Editor'!$B:$B,'Move Editor'!$C:$C,""),cat,XLOOKUP($D726,'Move Editor'!$B:$B,'Move Editor'!$D:$D,""),pow,XLOOKUP($D726,'Move Editor'!$B:$B,'Move Editor'!$E:$E,0),acc,XLOOKUP($D726,'Move Editor'!$B:$B,'Move Editor'!$F:$F,100),atk,IF(cat="Physical",FLOOR((FLOOR(((2*XLOOKUP(XLOOKUP($Q726,'Threshold Summary'!$Y:$Y,'Threshold Summary'!$K:$K,""),'Pokemon Editor'!$A:$A,'Pokemon Editor'!$F:$F,0)+31+FLOOR(XLOOKUP($Q726,'Threshold Summary'!$Y:$Y,'Threshold Summary'!$P:$P,"")/4))*XLOOKUP($Q726,'Threshold Summary'!$Y:$Y,'Threshold Summary'!$L:$L,""))/100)+5)*XLOOKUP(XLOOKUP($Q726,'Threshold Summary'!$Y:$Y,'Threshold Summary'!$M:$M,""),'Nature Editor'!$A:$A,'Nature Editor'!$B:$B,1)),FLOOR((FLOOR(((2*XLOOKUP(XLOOKUP($Q726,'Threshold Summary'!$Y:$Y,'Threshold Summary'!$K:$K,""),'Pokemon Editor'!$A:$A,'Pokemon Editor'!$H:$H,0)+31+FLOOR(XLOOKUP($Q726,'Threshold Summary'!$Y:$Y,'Threshold Summary'!$R:$R,"")/4))*XLOOKUP($Q726,'Threshold Summary'!$Y:$Y,'Threshold Summary'!$L:$L,""))/100)+5)*XLOOKUP(XLOOKUP($Q726,'Threshold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Editor'!$E:$E,1))),stab,IF(OR(mtype=XLOOKUP(XLOOKUP($Q726,'Threshold Summary'!$Y:$Y,'Threshold Summary'!$K:$K,""),'Pokemon Editor'!$A:$A,'Pokemon Editor'!$C:$C,""),mtype=XLOOKUP(XLOOKUP($Q726,'Threshold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Chart'!$B$1:$S$1,0)))),base,IF(OR(cat="Status",pow=0),0,FLOOR(FLOOR(FLOOR((2*XLOOKUP($Q726,'Threshold Summary'!$Y:$Y,'Threshold Summary'!$L:$L,"")/5+2)*pow*atk/def)/50)+2)),modifier,stab*eff,FLOOR(base*modifier)),0)</f>
        <v/>
      </c>
      <c r="L726" s="3">
        <f>IFERROR(LET(mtype,XLOOKUP($D726,'Move Editor'!$B:$B,'Move Editor'!$C:$C,""),cat,XLOOKUP($D726,'Move Editor'!$B:$B,'Move Editor'!$D:$D,""),pow,XLOOKUP($D726,'Move Editor'!$B:$B,'Move Editor'!$E:$E,0),acc,XLOOKUP($D726,'Move Editor'!$B:$B,'Move Editor'!$F:$F,100),atk,IF(cat="Physical",FLOOR((FLOOR(((2*XLOOKUP(XLOOKUP($Q726,'Threshold Summary'!$Y:$Y,'Threshold Summary'!$K:$K,""),'Pokemon Editor'!$A:$A,'Pokemon Editor'!$F:$F,0)+31+FLOOR(XLOOKUP($Q726,'Threshold Summary'!$Y:$Y,'Threshold Summary'!$P:$P,"")/4))*XLOOKUP($Q726,'Threshold Summary'!$Y:$Y,'Threshold Summary'!$L:$L,""))/100)+5)*XLOOKUP(XLOOKUP($Q726,'Threshold Summary'!$Y:$Y,'Threshold Summary'!$M:$M,""),'Nature Editor'!$A:$A,'Nature Editor'!$B:$B,1)),FLOOR((FLOOR(((2*XLOOKUP(XLOOKUP($Q726,'Threshold Summary'!$Y:$Y,'Threshold Summary'!$K:$K,""),'Pokemon Editor'!$A:$A,'Pokemon Editor'!$H:$H,0)+31+FLOOR(XLOOKUP($Q726,'Threshold Summary'!$Y:$Y,'Threshold Summary'!$R:$R,"")/4))*XLOOKUP($Q726,'Threshold Summary'!$Y:$Y,'Threshold Summary'!$L:$L,""))/100)+5)*XLOOKUP(XLOOKUP($Q726,'Threshold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Editor'!$E:$E,1))),stab,IF(OR(mtype=XLOOKUP(XLOOKUP($Q726,'Threshold Summary'!$Y:$Y,'Threshold Summary'!$K:$K,""),'Pokemon Editor'!$A:$A,'Pokemon Editor'!$C:$C,""),mtype=XLOOKUP(XLOOKUP($Q726,'Threshold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Chart'!$B$1:$S$1,0)))),base,IF(OR(cat="Status",pow=0),0,FLOOR(FLOOR(FLOOR((2*XLOOKUP($Q726,'Threshold Summary'!$Y:$Y,'Threshold Summary'!$L:$L,"")/5+2)*pow*atk/def)/50)+2)),modifier,stab*eff,AVERAGE(ARRAYFORMULA(FLOOR(base*modifier*SEQUENCE(16,1,85,1)/100)))),0)</f>
        <v/>
      </c>
      <c r="M726" s="3">
        <f>IFERROR(LET(mtype,XLOOKUP($D726,'Move Editor'!$B:$B,'Move Editor'!$C:$C,""),cat,XLOOKUP($D726,'Move Editor'!$B:$B,'Move Editor'!$D:$D,""),pow,XLOOKUP($D726,'Move Editor'!$B:$B,'Move Editor'!$E:$E,0),acc,XLOOKUP($D726,'Move Editor'!$B:$B,'Move Editor'!$F:$F,100),atk,IF(cat="Physical",FLOOR((FLOOR(((2*XLOOKUP(XLOOKUP($Q726,'Threshold Summary'!$Y:$Y,'Threshold Summary'!$K:$K,""),'Pokemon Editor'!$A:$A,'Pokemon Editor'!$F:$F,0)+31+FLOOR(XLOOKUP($Q726,'Threshold Summary'!$Y:$Y,'Threshold Summary'!$P:$P,"")/4))*XLOOKUP($Q726,'Threshold Summary'!$Y:$Y,'Threshold Summary'!$L:$L,""))/100)+5)*XLOOKUP(XLOOKUP($Q726,'Threshold Summary'!$Y:$Y,'Threshold Summary'!$M:$M,""),'Nature Editor'!$A:$A,'Nature Editor'!$B:$B,1)),FLOOR((FLOOR(((2*XLOOKUP(XLOOKUP($Q726,'Threshold Summary'!$Y:$Y,'Threshold Summary'!$K:$K,""),'Pokemon Editor'!$A:$A,'Pokemon Editor'!$H:$H,0)+31+FLOOR(XLOOKUP($Q726,'Threshold Summary'!$Y:$Y,'Threshold Summary'!$R:$R,"")/4))*XLOOKUP($Q726,'Threshold Summary'!$Y:$Y,'Threshold Summary'!$L:$L,""))/100)+5)*XLOOKUP(XLOOKUP($Q726,'Threshold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Editor'!$E:$E,1))),stab,IF(OR(mtype=XLOOKUP(XLOOKUP($Q726,'Threshold Summary'!$Y:$Y,'Threshold Summary'!$K:$K,""),'Pokemon Editor'!$A:$A,'Pokemon Editor'!$C:$C,""),mtype=XLOOKUP(XLOOKUP($Q726,'Threshold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Chart'!$B$1:$S$1,0)))),base,IF(OR(cat="Status",pow=0),0,FLOOR(FLOOR(FLOOR((2*XLOOKUP($Q726,'Threshold Summary'!$Y:$Y,'Threshold Summary'!$L:$L,"")/5+2)*pow*atk/def)/50)+2)),modifier,stab*eff,AVERAGE(ARRAYFORMULA(FLOOR(base*modifier*SEQUENCE(16,1,85,1)/100)))*MIN(1,acc/100)),0)</f>
        <v/>
      </c>
      <c r="N726" s="4">
        <f>IFERROR(LET(mtype,XLOOKUP($D726,'Move Editor'!$B:$B,'Move Editor'!$C:$C,""),cat,XLOOKUP($D726,'Move Editor'!$B:$B,'Move Editor'!$D:$D,""),pow,XLOOKUP($D726,'Move Editor'!$B:$B,'Move Editor'!$E:$E,0),acc,XLOOKUP($D726,'Move Editor'!$B:$B,'Move Editor'!$F:$F,100),atk,IF(cat="Physical",FLOOR((FLOOR(((2*XLOOKUP(XLOOKUP($Q726,'Threshold Summary'!$Y:$Y,'Threshold Summary'!$K:$K,""),'Pokemon Editor'!$A:$A,'Pokemon Editor'!$F:$F,0)+31+FLOOR(XLOOKUP($Q726,'Threshold Summary'!$Y:$Y,'Threshold Summary'!$P:$P,"")/4))*XLOOKUP($Q726,'Threshold Summary'!$Y:$Y,'Threshold Summary'!$L:$L,""))/100)+5)*XLOOKUP(XLOOKUP($Q726,'Threshold Summary'!$Y:$Y,'Threshold Summary'!$M:$M,""),'Nature Editor'!$A:$A,'Nature Editor'!$B:$B,1)),FLOOR((FLOOR(((2*XLOOKUP(XLOOKUP($Q726,'Threshold Summary'!$Y:$Y,'Threshold Summary'!$K:$K,""),'Pokemon Editor'!$A:$A,'Pokemon Editor'!$H:$H,0)+31+FLOOR(XLOOKUP($Q726,'Threshold Summary'!$Y:$Y,'Threshold Summary'!$R:$R,"")/4))*XLOOKUP($Q726,'Threshold Summary'!$Y:$Y,'Threshold Summary'!$L:$L,""))/100)+5)*XLOOKUP(XLOOKUP($Q726,'Threshold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Editor'!$E:$E,1))),stab,IF(OR(mtype=XLOOKUP(XLOOKUP($Q726,'Threshold Summary'!$Y:$Y,'Threshold Summary'!$K:$K,""),'Pokemon Editor'!$A:$A,'Pokemon Editor'!$C:$C,""),mtype=XLOOKUP(XLOOKUP($Q726,'Threshold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Chart'!$B$1:$S$1,0)))),base,IF(OR(cat="Status",pow=0),0,FLOOR(FLOOR(FLOOR((2*XLOOKUP($Q726,'Threshold Summary'!$Y:$Y,'Threshold Summary'!$L:$L,"")/5+2)*pow*atk/def)/50)+2)),modifier,stab*eff,AVERAGE(ARRAYFORMULA(FLOOR(base*modifier*SEQUENCE(16,1,85,1)/100)))/(FLOOR(((2*XLOOKUP('Boss Editor'!$C$4,'Pokemon Editor'!$A:$A,'Pokemon Editor'!$E:$E,0)+31+FLOOR('Boss Editor'!$G$4/4))*'Boss Editor'!$D$4)/100)+'Boss Editor'!$D$4+10)),0)</f>
        <v/>
      </c>
      <c r="O726" s="3">
        <f>IF(N726&gt;=1,"OHKO",IF(N726&gt;=0.5,"2HKO",IF(N726&gt;=0.333,"3HKO",IF(N726&gt;=0.25,"4HKO","5HKO+"))))</f>
        <v/>
      </c>
      <c r="P726" s="3" t="inlineStr">
        <is>
          <t>Live from editable databases</t>
        </is>
      </c>
      <c r="Q726" s="3" t="inlineStr">
        <is>
          <t>SPECIES_CUTIEFLY</t>
        </is>
      </c>
      <c r="R726" s="3" t="n">
        <v>21</v>
      </c>
    </row>
    <row r="727">
      <c r="A727" s="3">
        <f>XLOOKUP($Q727,'Threshold Summary'!$Y:$Y,'Threshold Summary'!$A:$A,"")</f>
        <v/>
      </c>
      <c r="B727" s="3">
        <f>XLOOKUP($Q727,'Threshold Summary'!$Y:$Y,'Threshold Summary'!$M:$M,"")</f>
        <v/>
      </c>
      <c r="C727" s="3">
        <f>XLOOKUP($Q727,'Threshold Summary'!$Y:$Y,'Threshold Summary'!$N:$N,"")</f>
        <v/>
      </c>
      <c r="D727" s="3">
        <f>IFERROR(INDEX(FILTER('Learnset Editor'!$D$2:$D,'Learnset Editor'!$A$2:$A=XLOOKUP($Q727,'Threshold Summary'!$Y:$Y,'Threshold Summary'!$K:$K,""),'Learnset Editor'!$C$2:$C&lt;=XLOOKUP($Q727,'Threshold Summary'!$Y:$Y,'Threshold Summary'!$L:$L,"")),$R727),"")</f>
        <v/>
      </c>
      <c r="E727" s="3">
        <f>XLOOKUP(D727,'Move Editor'!$B:$B,'Move Editor'!$C:$C,"")</f>
        <v/>
      </c>
      <c r="F727" s="3">
        <f>XLOOKUP(D727,'Move Editor'!$B:$B,'Move Editor'!$D:$D,"")</f>
        <v/>
      </c>
      <c r="G727" s="3">
        <f>XLOOKUP(D727,'Move Editor'!$B:$B,'Move Editor'!$E:$E,0)</f>
        <v/>
      </c>
      <c r="H727" s="3">
        <f>XLOOKUP(D727,'Move Editor'!$B:$B,'Move Editor'!$F:$F,0)</f>
        <v/>
      </c>
      <c r="I727" s="3">
        <f>(INDEX('Type Chart'!$B:$S,MATCH(E727,'Type Chart'!$A:$A,0),MATCH(XLOOKUP('Boss Editor'!$C$4,'Pokemon Editor'!$A:$A,'Pokemon Editor'!$C:$C,""),'Type Chart'!$B$1:$S$1,0))*IF(XLOOKUP('Boss Editor'!$C$4,'Pokemon Editor'!$A:$A,'Pokemon Editor'!$D:$D,"")="",1,INDEX('Type Chart'!$B:$S,MATCH(E727,'Type Chart'!$A:$A,0),MATCH(XLOOKUP('Boss Editor'!$C$4,'Pokemon Editor'!$A:$A,'Pokemon Editor'!$D:$D,""),'Type Chart'!$B$1:$S$1,0))))</f>
        <v/>
      </c>
      <c r="J727" s="3">
        <f>IFERROR(LET(mtype,XLOOKUP($D727,'Move Editor'!$B:$B,'Move Editor'!$C:$C,""),cat,XLOOKUP($D727,'Move Editor'!$B:$B,'Move Editor'!$D:$D,""),pow,XLOOKUP($D727,'Move Editor'!$B:$B,'Move Editor'!$E:$E,0),acc,XLOOKUP($D727,'Move Editor'!$B:$B,'Move Editor'!$F:$F,100),atk,IF(cat="Physical",FLOOR((FLOOR(((2*XLOOKUP(XLOOKUP($Q727,'Threshold Summary'!$Y:$Y,'Threshold Summary'!$K:$K,""),'Pokemon Editor'!$A:$A,'Pokemon Editor'!$F:$F,0)+31+FLOOR(XLOOKUP($Q727,'Threshold Summary'!$Y:$Y,'Threshold Summary'!$P:$P,"")/4))*XLOOKUP($Q727,'Threshold Summary'!$Y:$Y,'Threshold Summary'!$L:$L,""))/100)+5)*XLOOKUP(XLOOKUP($Q727,'Threshold Summary'!$Y:$Y,'Threshold Summary'!$M:$M,""),'Nature Editor'!$A:$A,'Nature Editor'!$B:$B,1)),FLOOR((FLOOR(((2*XLOOKUP(XLOOKUP($Q727,'Threshold Summary'!$Y:$Y,'Threshold Summary'!$K:$K,""),'Pokemon Editor'!$A:$A,'Pokemon Editor'!$H:$H,0)+31+FLOOR(XLOOKUP($Q727,'Threshold Summary'!$Y:$Y,'Threshold Summary'!$R:$R,"")/4))*XLOOKUP($Q727,'Threshold Summary'!$Y:$Y,'Threshold Summary'!$L:$L,""))/100)+5)*XLOOKUP(XLOOKUP($Q727,'Threshold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Editor'!$E:$E,1))),stab,IF(OR(mtype=XLOOKUP(XLOOKUP($Q727,'Threshold Summary'!$Y:$Y,'Threshold Summary'!$K:$K,""),'Pokemon Editor'!$A:$A,'Pokemon Editor'!$C:$C,""),mtype=XLOOKUP(XLOOKUP($Q727,'Threshold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Chart'!$B$1:$S$1,0)))),base,IF(OR(cat="Status",pow=0),0,FLOOR(FLOOR(FLOOR((2*XLOOKUP($Q727,'Threshold Summary'!$Y:$Y,'Threshold Summary'!$L:$L,"")/5+2)*pow*atk/def)/50)+2)),modifier,stab*eff,FLOOR(base*modifier*0.85)),0)</f>
        <v/>
      </c>
      <c r="K727" s="3">
        <f>IFERROR(LET(mtype,XLOOKUP($D727,'Move Editor'!$B:$B,'Move Editor'!$C:$C,""),cat,XLOOKUP($D727,'Move Editor'!$B:$B,'Move Editor'!$D:$D,""),pow,XLOOKUP($D727,'Move Editor'!$B:$B,'Move Editor'!$E:$E,0),acc,XLOOKUP($D727,'Move Editor'!$B:$B,'Move Editor'!$F:$F,100),atk,IF(cat="Physical",FLOOR((FLOOR(((2*XLOOKUP(XLOOKUP($Q727,'Threshold Summary'!$Y:$Y,'Threshold Summary'!$K:$K,""),'Pokemon Editor'!$A:$A,'Pokemon Editor'!$F:$F,0)+31+FLOOR(XLOOKUP($Q727,'Threshold Summary'!$Y:$Y,'Threshold Summary'!$P:$P,"")/4))*XLOOKUP($Q727,'Threshold Summary'!$Y:$Y,'Threshold Summary'!$L:$L,""))/100)+5)*XLOOKUP(XLOOKUP($Q727,'Threshold Summary'!$Y:$Y,'Threshold Summary'!$M:$M,""),'Nature Editor'!$A:$A,'Nature Editor'!$B:$B,1)),FLOOR((FLOOR(((2*XLOOKUP(XLOOKUP($Q727,'Threshold Summary'!$Y:$Y,'Threshold Summary'!$K:$K,""),'Pokemon Editor'!$A:$A,'Pokemon Editor'!$H:$H,0)+31+FLOOR(XLOOKUP($Q727,'Threshold Summary'!$Y:$Y,'Threshold Summary'!$R:$R,"")/4))*XLOOKUP($Q727,'Threshold Summary'!$Y:$Y,'Threshold Summary'!$L:$L,""))/100)+5)*XLOOKUP(XLOOKUP($Q727,'Threshold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Editor'!$E:$E,1))),stab,IF(OR(mtype=XLOOKUP(XLOOKUP($Q727,'Threshold Summary'!$Y:$Y,'Threshold Summary'!$K:$K,""),'Pokemon Editor'!$A:$A,'Pokemon Editor'!$C:$C,""),mtype=XLOOKUP(XLOOKUP($Q727,'Threshold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Chart'!$B$1:$S$1,0)))),base,IF(OR(cat="Status",pow=0),0,FLOOR(FLOOR(FLOOR((2*XLOOKUP($Q727,'Threshold Summary'!$Y:$Y,'Threshold Summary'!$L:$L,"")/5+2)*pow*atk/def)/50)+2)),modifier,stab*eff,FLOOR(base*modifier)),0)</f>
        <v/>
      </c>
      <c r="L727" s="3">
        <f>IFERROR(LET(mtype,XLOOKUP($D727,'Move Editor'!$B:$B,'Move Editor'!$C:$C,""),cat,XLOOKUP($D727,'Move Editor'!$B:$B,'Move Editor'!$D:$D,""),pow,XLOOKUP($D727,'Move Editor'!$B:$B,'Move Editor'!$E:$E,0),acc,XLOOKUP($D727,'Move Editor'!$B:$B,'Move Editor'!$F:$F,100),atk,IF(cat="Physical",FLOOR((FLOOR(((2*XLOOKUP(XLOOKUP($Q727,'Threshold Summary'!$Y:$Y,'Threshold Summary'!$K:$K,""),'Pokemon Editor'!$A:$A,'Pokemon Editor'!$F:$F,0)+31+FLOOR(XLOOKUP($Q727,'Threshold Summary'!$Y:$Y,'Threshold Summary'!$P:$P,"")/4))*XLOOKUP($Q727,'Threshold Summary'!$Y:$Y,'Threshold Summary'!$L:$L,""))/100)+5)*XLOOKUP(XLOOKUP($Q727,'Threshold Summary'!$Y:$Y,'Threshold Summary'!$M:$M,""),'Nature Editor'!$A:$A,'Nature Editor'!$B:$B,1)),FLOOR((FLOOR(((2*XLOOKUP(XLOOKUP($Q727,'Threshold Summary'!$Y:$Y,'Threshold Summary'!$K:$K,""),'Pokemon Editor'!$A:$A,'Pokemon Editor'!$H:$H,0)+31+FLOOR(XLOOKUP($Q727,'Threshold Summary'!$Y:$Y,'Threshold Summary'!$R:$R,"")/4))*XLOOKUP($Q727,'Threshold Summary'!$Y:$Y,'Threshold Summary'!$L:$L,""))/100)+5)*XLOOKUP(XLOOKUP($Q727,'Threshold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Editor'!$E:$E,1))),stab,IF(OR(mtype=XLOOKUP(XLOOKUP($Q727,'Threshold Summary'!$Y:$Y,'Threshold Summary'!$K:$K,""),'Pokemon Editor'!$A:$A,'Pokemon Editor'!$C:$C,""),mtype=XLOOKUP(XLOOKUP($Q727,'Threshold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Chart'!$B$1:$S$1,0)))),base,IF(OR(cat="Status",pow=0),0,FLOOR(FLOOR(FLOOR((2*XLOOKUP($Q727,'Threshold Summary'!$Y:$Y,'Threshold Summary'!$L:$L,"")/5+2)*pow*atk/def)/50)+2)),modifier,stab*eff,AVERAGE(ARRAYFORMULA(FLOOR(base*modifier*SEQUENCE(16,1,85,1)/100)))),0)</f>
        <v/>
      </c>
      <c r="M727" s="3">
        <f>IFERROR(LET(mtype,XLOOKUP($D727,'Move Editor'!$B:$B,'Move Editor'!$C:$C,""),cat,XLOOKUP($D727,'Move Editor'!$B:$B,'Move Editor'!$D:$D,""),pow,XLOOKUP($D727,'Move Editor'!$B:$B,'Move Editor'!$E:$E,0),acc,XLOOKUP($D727,'Move Editor'!$B:$B,'Move Editor'!$F:$F,100),atk,IF(cat="Physical",FLOOR((FLOOR(((2*XLOOKUP(XLOOKUP($Q727,'Threshold Summary'!$Y:$Y,'Threshold Summary'!$K:$K,""),'Pokemon Editor'!$A:$A,'Pokemon Editor'!$F:$F,0)+31+FLOOR(XLOOKUP($Q727,'Threshold Summary'!$Y:$Y,'Threshold Summary'!$P:$P,"")/4))*XLOOKUP($Q727,'Threshold Summary'!$Y:$Y,'Threshold Summary'!$L:$L,""))/100)+5)*XLOOKUP(XLOOKUP($Q727,'Threshold Summary'!$Y:$Y,'Threshold Summary'!$M:$M,""),'Nature Editor'!$A:$A,'Nature Editor'!$B:$B,1)),FLOOR((FLOOR(((2*XLOOKUP(XLOOKUP($Q727,'Threshold Summary'!$Y:$Y,'Threshold Summary'!$K:$K,""),'Pokemon Editor'!$A:$A,'Pokemon Editor'!$H:$H,0)+31+FLOOR(XLOOKUP($Q727,'Threshold Summary'!$Y:$Y,'Threshold Summary'!$R:$R,"")/4))*XLOOKUP($Q727,'Threshold Summary'!$Y:$Y,'Threshold Summary'!$L:$L,""))/100)+5)*XLOOKUP(XLOOKUP($Q727,'Threshold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Editor'!$E:$E,1))),stab,IF(OR(mtype=XLOOKUP(XLOOKUP($Q727,'Threshold Summary'!$Y:$Y,'Threshold Summary'!$K:$K,""),'Pokemon Editor'!$A:$A,'Pokemon Editor'!$C:$C,""),mtype=XLOOKUP(XLOOKUP($Q727,'Threshold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Chart'!$B$1:$S$1,0)))),base,IF(OR(cat="Status",pow=0),0,FLOOR(FLOOR(FLOOR((2*XLOOKUP($Q727,'Threshold Summary'!$Y:$Y,'Threshold Summary'!$L:$L,"")/5+2)*pow*atk/def)/50)+2)),modifier,stab*eff,AVERAGE(ARRAYFORMULA(FLOOR(base*modifier*SEQUENCE(16,1,85,1)/100)))*MIN(1,acc/100)),0)</f>
        <v/>
      </c>
      <c r="N727" s="4">
        <f>IFERROR(LET(mtype,XLOOKUP($D727,'Move Editor'!$B:$B,'Move Editor'!$C:$C,""),cat,XLOOKUP($D727,'Move Editor'!$B:$B,'Move Editor'!$D:$D,""),pow,XLOOKUP($D727,'Move Editor'!$B:$B,'Move Editor'!$E:$E,0),acc,XLOOKUP($D727,'Move Editor'!$B:$B,'Move Editor'!$F:$F,100),atk,IF(cat="Physical",FLOOR((FLOOR(((2*XLOOKUP(XLOOKUP($Q727,'Threshold Summary'!$Y:$Y,'Threshold Summary'!$K:$K,""),'Pokemon Editor'!$A:$A,'Pokemon Editor'!$F:$F,0)+31+FLOOR(XLOOKUP($Q727,'Threshold Summary'!$Y:$Y,'Threshold Summary'!$P:$P,"")/4))*XLOOKUP($Q727,'Threshold Summary'!$Y:$Y,'Threshold Summary'!$L:$L,""))/100)+5)*XLOOKUP(XLOOKUP($Q727,'Threshold Summary'!$Y:$Y,'Threshold Summary'!$M:$M,""),'Nature Editor'!$A:$A,'Nature Editor'!$B:$B,1)),FLOOR((FLOOR(((2*XLOOKUP(XLOOKUP($Q727,'Threshold Summary'!$Y:$Y,'Threshold Summary'!$K:$K,""),'Pokemon Editor'!$A:$A,'Pokemon Editor'!$H:$H,0)+31+FLOOR(XLOOKUP($Q727,'Threshold Summary'!$Y:$Y,'Threshold Summary'!$R:$R,"")/4))*XLOOKUP($Q727,'Threshold Summary'!$Y:$Y,'Threshold Summary'!$L:$L,""))/100)+5)*XLOOKUP(XLOOKUP($Q727,'Threshold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Editor'!$E:$E,1))),stab,IF(OR(mtype=XLOOKUP(XLOOKUP($Q727,'Threshold Summary'!$Y:$Y,'Threshold Summary'!$K:$K,""),'Pokemon Editor'!$A:$A,'Pokemon Editor'!$C:$C,""),mtype=XLOOKUP(XLOOKUP($Q727,'Threshold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Chart'!$B$1:$S$1,0)))),base,IF(OR(cat="Status",pow=0),0,FLOOR(FLOOR(FLOOR((2*XLOOKUP($Q727,'Threshold Summary'!$Y:$Y,'Threshold Summary'!$L:$L,"")/5+2)*pow*atk/def)/50)+2)),modifier,stab*eff,AVERAGE(ARRAYFORMULA(FLOOR(base*modifier*SEQUENCE(16,1,85,1)/100)))/(FLOOR(((2*XLOOKUP('Boss Editor'!$C$4,'Pokemon Editor'!$A:$A,'Pokemon Editor'!$E:$E,0)+31+FLOOR('Boss Editor'!$G$4/4))*'Boss Editor'!$D$4)/100)+'Boss Editor'!$D$4+10)),0)</f>
        <v/>
      </c>
      <c r="O727" s="3">
        <f>IF(N727&gt;=1,"OHKO",IF(N727&gt;=0.5,"2HKO",IF(N727&gt;=0.333,"3HKO",IF(N727&gt;=0.25,"4HKO","5HKO+"))))</f>
        <v/>
      </c>
      <c r="P727" s="3" t="inlineStr">
        <is>
          <t>Live from editable databases</t>
        </is>
      </c>
      <c r="Q727" s="3" t="inlineStr">
        <is>
          <t>SPECIES_CUTIEFLY</t>
        </is>
      </c>
      <c r="R727" s="3" t="n">
        <v>22</v>
      </c>
    </row>
    <row r="728">
      <c r="A728" s="3">
        <f>XLOOKUP($Q728,'Threshold Summary'!$Y:$Y,'Threshold Summary'!$A:$A,"")</f>
        <v/>
      </c>
      <c r="B728" s="3">
        <f>XLOOKUP($Q728,'Threshold Summary'!$Y:$Y,'Threshold Summary'!$M:$M,"")</f>
        <v/>
      </c>
      <c r="C728" s="3">
        <f>XLOOKUP($Q728,'Threshold Summary'!$Y:$Y,'Threshold Summary'!$N:$N,"")</f>
        <v/>
      </c>
      <c r="D728" s="3">
        <f>IFERROR(INDEX(FILTER('Learnset Editor'!$D$2:$D,'Learnset Editor'!$A$2:$A=XLOOKUP($Q728,'Threshold Summary'!$Y:$Y,'Threshold Summary'!$K:$K,""),'Learnset Editor'!$C$2:$C&lt;=XLOOKUP($Q728,'Threshold Summary'!$Y:$Y,'Threshold Summary'!$L:$L,"")),$R728),"")</f>
        <v/>
      </c>
      <c r="E728" s="3">
        <f>XLOOKUP(D728,'Move Editor'!$B:$B,'Move Editor'!$C:$C,"")</f>
        <v/>
      </c>
      <c r="F728" s="3">
        <f>XLOOKUP(D728,'Move Editor'!$B:$B,'Move Editor'!$D:$D,"")</f>
        <v/>
      </c>
      <c r="G728" s="3">
        <f>XLOOKUP(D728,'Move Editor'!$B:$B,'Move Editor'!$E:$E,0)</f>
        <v/>
      </c>
      <c r="H728" s="3">
        <f>XLOOKUP(D728,'Move Editor'!$B:$B,'Move Editor'!$F:$F,0)</f>
        <v/>
      </c>
      <c r="I728" s="3">
        <f>(INDEX('Type Chart'!$B:$S,MATCH(E728,'Type Chart'!$A:$A,0),MATCH(XLOOKUP('Boss Editor'!$C$4,'Pokemon Editor'!$A:$A,'Pokemon Editor'!$C:$C,""),'Type Chart'!$B$1:$S$1,0))*IF(XLOOKUP('Boss Editor'!$C$4,'Pokemon Editor'!$A:$A,'Pokemon Editor'!$D:$D,"")="",1,INDEX('Type Chart'!$B:$S,MATCH(E728,'Type Chart'!$A:$A,0),MATCH(XLOOKUP('Boss Editor'!$C$4,'Pokemon Editor'!$A:$A,'Pokemon Editor'!$D:$D,""),'Type Chart'!$B$1:$S$1,0))))</f>
        <v/>
      </c>
      <c r="J728" s="3">
        <f>IFERROR(LET(mtype,XLOOKUP($D728,'Move Editor'!$B:$B,'Move Editor'!$C:$C,""),cat,XLOOKUP($D728,'Move Editor'!$B:$B,'Move Editor'!$D:$D,""),pow,XLOOKUP($D728,'Move Editor'!$B:$B,'Move Editor'!$E:$E,0),acc,XLOOKUP($D728,'Move Editor'!$B:$B,'Move Editor'!$F:$F,100),atk,IF(cat="Physical",FLOOR((FLOOR(((2*XLOOKUP(XLOOKUP($Q728,'Threshold Summary'!$Y:$Y,'Threshold Summary'!$K:$K,""),'Pokemon Editor'!$A:$A,'Pokemon Editor'!$F:$F,0)+31+FLOOR(XLOOKUP($Q728,'Threshold Summary'!$Y:$Y,'Threshold Summary'!$P:$P,"")/4))*XLOOKUP($Q728,'Threshold Summary'!$Y:$Y,'Threshold Summary'!$L:$L,""))/100)+5)*XLOOKUP(XLOOKUP($Q728,'Threshold Summary'!$Y:$Y,'Threshold Summary'!$M:$M,""),'Nature Editor'!$A:$A,'Nature Editor'!$B:$B,1)),FLOOR((FLOOR(((2*XLOOKUP(XLOOKUP($Q728,'Threshold Summary'!$Y:$Y,'Threshold Summary'!$K:$K,""),'Pokemon Editor'!$A:$A,'Pokemon Editor'!$H:$H,0)+31+FLOOR(XLOOKUP($Q728,'Threshold Summary'!$Y:$Y,'Threshold Summary'!$R:$R,"")/4))*XLOOKUP($Q728,'Threshold Summary'!$Y:$Y,'Threshold Summary'!$L:$L,""))/100)+5)*XLOOKUP(XLOOKUP($Q728,'Threshold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Editor'!$E:$E,1))),stab,IF(OR(mtype=XLOOKUP(XLOOKUP($Q728,'Threshold Summary'!$Y:$Y,'Threshold Summary'!$K:$K,""),'Pokemon Editor'!$A:$A,'Pokemon Editor'!$C:$C,""),mtype=XLOOKUP(XLOOKUP($Q728,'Threshold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Chart'!$B$1:$S$1,0)))),base,IF(OR(cat="Status",pow=0),0,FLOOR(FLOOR(FLOOR((2*XLOOKUP($Q728,'Threshold Summary'!$Y:$Y,'Threshold Summary'!$L:$L,"")/5+2)*pow*atk/def)/50)+2)),modifier,stab*eff,FLOOR(base*modifier*0.85)),0)</f>
        <v/>
      </c>
      <c r="K728" s="3">
        <f>IFERROR(LET(mtype,XLOOKUP($D728,'Move Editor'!$B:$B,'Move Editor'!$C:$C,""),cat,XLOOKUP($D728,'Move Editor'!$B:$B,'Move Editor'!$D:$D,""),pow,XLOOKUP($D728,'Move Editor'!$B:$B,'Move Editor'!$E:$E,0),acc,XLOOKUP($D728,'Move Editor'!$B:$B,'Move Editor'!$F:$F,100),atk,IF(cat="Physical",FLOOR((FLOOR(((2*XLOOKUP(XLOOKUP($Q728,'Threshold Summary'!$Y:$Y,'Threshold Summary'!$K:$K,""),'Pokemon Editor'!$A:$A,'Pokemon Editor'!$F:$F,0)+31+FLOOR(XLOOKUP($Q728,'Threshold Summary'!$Y:$Y,'Threshold Summary'!$P:$P,"")/4))*XLOOKUP($Q728,'Threshold Summary'!$Y:$Y,'Threshold Summary'!$L:$L,""))/100)+5)*XLOOKUP(XLOOKUP($Q728,'Threshold Summary'!$Y:$Y,'Threshold Summary'!$M:$M,""),'Nature Editor'!$A:$A,'Nature Editor'!$B:$B,1)),FLOOR((FLOOR(((2*XLOOKUP(XLOOKUP($Q728,'Threshold Summary'!$Y:$Y,'Threshold Summary'!$K:$K,""),'Pokemon Editor'!$A:$A,'Pokemon Editor'!$H:$H,0)+31+FLOOR(XLOOKUP($Q728,'Threshold Summary'!$Y:$Y,'Threshold Summary'!$R:$R,"")/4))*XLOOKUP($Q728,'Threshold Summary'!$Y:$Y,'Threshold Summary'!$L:$L,""))/100)+5)*XLOOKUP(XLOOKUP($Q728,'Threshold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Editor'!$E:$E,1))),stab,IF(OR(mtype=XLOOKUP(XLOOKUP($Q728,'Threshold Summary'!$Y:$Y,'Threshold Summary'!$K:$K,""),'Pokemon Editor'!$A:$A,'Pokemon Editor'!$C:$C,""),mtype=XLOOKUP(XLOOKUP($Q728,'Threshold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Chart'!$B$1:$S$1,0)))),base,IF(OR(cat="Status",pow=0),0,FLOOR(FLOOR(FLOOR((2*XLOOKUP($Q728,'Threshold Summary'!$Y:$Y,'Threshold Summary'!$L:$L,"")/5+2)*pow*atk/def)/50)+2)),modifier,stab*eff,FLOOR(base*modifier)),0)</f>
        <v/>
      </c>
      <c r="L728" s="3">
        <f>IFERROR(LET(mtype,XLOOKUP($D728,'Move Editor'!$B:$B,'Move Editor'!$C:$C,""),cat,XLOOKUP($D728,'Move Editor'!$B:$B,'Move Editor'!$D:$D,""),pow,XLOOKUP($D728,'Move Editor'!$B:$B,'Move Editor'!$E:$E,0),acc,XLOOKUP($D728,'Move Editor'!$B:$B,'Move Editor'!$F:$F,100),atk,IF(cat="Physical",FLOOR((FLOOR(((2*XLOOKUP(XLOOKUP($Q728,'Threshold Summary'!$Y:$Y,'Threshold Summary'!$K:$K,""),'Pokemon Editor'!$A:$A,'Pokemon Editor'!$F:$F,0)+31+FLOOR(XLOOKUP($Q728,'Threshold Summary'!$Y:$Y,'Threshold Summary'!$P:$P,"")/4))*XLOOKUP($Q728,'Threshold Summary'!$Y:$Y,'Threshold Summary'!$L:$L,""))/100)+5)*XLOOKUP(XLOOKUP($Q728,'Threshold Summary'!$Y:$Y,'Threshold Summary'!$M:$M,""),'Nature Editor'!$A:$A,'Nature Editor'!$B:$B,1)),FLOOR((FLOOR(((2*XLOOKUP(XLOOKUP($Q728,'Threshold Summary'!$Y:$Y,'Threshold Summary'!$K:$K,""),'Pokemon Editor'!$A:$A,'Pokemon Editor'!$H:$H,0)+31+FLOOR(XLOOKUP($Q728,'Threshold Summary'!$Y:$Y,'Threshold Summary'!$R:$R,"")/4))*XLOOKUP($Q728,'Threshold Summary'!$Y:$Y,'Threshold Summary'!$L:$L,""))/100)+5)*XLOOKUP(XLOOKUP($Q728,'Threshold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Editor'!$E:$E,1))),stab,IF(OR(mtype=XLOOKUP(XLOOKUP($Q728,'Threshold Summary'!$Y:$Y,'Threshold Summary'!$K:$K,""),'Pokemon Editor'!$A:$A,'Pokemon Editor'!$C:$C,""),mtype=XLOOKUP(XLOOKUP($Q728,'Threshold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Chart'!$B$1:$S$1,0)))),base,IF(OR(cat="Status",pow=0),0,FLOOR(FLOOR(FLOOR((2*XLOOKUP($Q728,'Threshold Summary'!$Y:$Y,'Threshold Summary'!$L:$L,"")/5+2)*pow*atk/def)/50)+2)),modifier,stab*eff,AVERAGE(ARRAYFORMULA(FLOOR(base*modifier*SEQUENCE(16,1,85,1)/100)))),0)</f>
        <v/>
      </c>
      <c r="M728" s="3">
        <f>IFERROR(LET(mtype,XLOOKUP($D728,'Move Editor'!$B:$B,'Move Editor'!$C:$C,""),cat,XLOOKUP($D728,'Move Editor'!$B:$B,'Move Editor'!$D:$D,""),pow,XLOOKUP($D728,'Move Editor'!$B:$B,'Move Editor'!$E:$E,0),acc,XLOOKUP($D728,'Move Editor'!$B:$B,'Move Editor'!$F:$F,100),atk,IF(cat="Physical",FLOOR((FLOOR(((2*XLOOKUP(XLOOKUP($Q728,'Threshold Summary'!$Y:$Y,'Threshold Summary'!$K:$K,""),'Pokemon Editor'!$A:$A,'Pokemon Editor'!$F:$F,0)+31+FLOOR(XLOOKUP($Q728,'Threshold Summary'!$Y:$Y,'Threshold Summary'!$P:$P,"")/4))*XLOOKUP($Q728,'Threshold Summary'!$Y:$Y,'Threshold Summary'!$L:$L,""))/100)+5)*XLOOKUP(XLOOKUP($Q728,'Threshold Summary'!$Y:$Y,'Threshold Summary'!$M:$M,""),'Nature Editor'!$A:$A,'Nature Editor'!$B:$B,1)),FLOOR((FLOOR(((2*XLOOKUP(XLOOKUP($Q728,'Threshold Summary'!$Y:$Y,'Threshold Summary'!$K:$K,""),'Pokemon Editor'!$A:$A,'Pokemon Editor'!$H:$H,0)+31+FLOOR(XLOOKUP($Q728,'Threshold Summary'!$Y:$Y,'Threshold Summary'!$R:$R,"")/4))*XLOOKUP($Q728,'Threshold Summary'!$Y:$Y,'Threshold Summary'!$L:$L,""))/100)+5)*XLOOKUP(XLOOKUP($Q728,'Threshold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Editor'!$E:$E,1))),stab,IF(OR(mtype=XLOOKUP(XLOOKUP($Q728,'Threshold Summary'!$Y:$Y,'Threshold Summary'!$K:$K,""),'Pokemon Editor'!$A:$A,'Pokemon Editor'!$C:$C,""),mtype=XLOOKUP(XLOOKUP($Q728,'Threshold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Chart'!$B$1:$S$1,0)))),base,IF(OR(cat="Status",pow=0),0,FLOOR(FLOOR(FLOOR((2*XLOOKUP($Q728,'Threshold Summary'!$Y:$Y,'Threshold Summary'!$L:$L,"")/5+2)*pow*atk/def)/50)+2)),modifier,stab*eff,AVERAGE(ARRAYFORMULA(FLOOR(base*modifier*SEQUENCE(16,1,85,1)/100)))*MIN(1,acc/100)),0)</f>
        <v/>
      </c>
      <c r="N728" s="4">
        <f>IFERROR(LET(mtype,XLOOKUP($D728,'Move Editor'!$B:$B,'Move Editor'!$C:$C,""),cat,XLOOKUP($D728,'Move Editor'!$B:$B,'Move Editor'!$D:$D,""),pow,XLOOKUP($D728,'Move Editor'!$B:$B,'Move Editor'!$E:$E,0),acc,XLOOKUP($D728,'Move Editor'!$B:$B,'Move Editor'!$F:$F,100),atk,IF(cat="Physical",FLOOR((FLOOR(((2*XLOOKUP(XLOOKUP($Q728,'Threshold Summary'!$Y:$Y,'Threshold Summary'!$K:$K,""),'Pokemon Editor'!$A:$A,'Pokemon Editor'!$F:$F,0)+31+FLOOR(XLOOKUP($Q728,'Threshold Summary'!$Y:$Y,'Threshold Summary'!$P:$P,"")/4))*XLOOKUP($Q728,'Threshold Summary'!$Y:$Y,'Threshold Summary'!$L:$L,""))/100)+5)*XLOOKUP(XLOOKUP($Q728,'Threshold Summary'!$Y:$Y,'Threshold Summary'!$M:$M,""),'Nature Editor'!$A:$A,'Nature Editor'!$B:$B,1)),FLOOR((FLOOR(((2*XLOOKUP(XLOOKUP($Q728,'Threshold Summary'!$Y:$Y,'Threshold Summary'!$K:$K,""),'Pokemon Editor'!$A:$A,'Pokemon Editor'!$H:$H,0)+31+FLOOR(XLOOKUP($Q728,'Threshold Summary'!$Y:$Y,'Threshold Summary'!$R:$R,"")/4))*XLOOKUP($Q728,'Threshold Summary'!$Y:$Y,'Threshold Summary'!$L:$L,""))/100)+5)*XLOOKUP(XLOOKUP($Q728,'Threshold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Editor'!$E:$E,1))),stab,IF(OR(mtype=XLOOKUP(XLOOKUP($Q728,'Threshold Summary'!$Y:$Y,'Threshold Summary'!$K:$K,""),'Pokemon Editor'!$A:$A,'Pokemon Editor'!$C:$C,""),mtype=XLOOKUP(XLOOKUP($Q728,'Threshold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Chart'!$B$1:$S$1,0)))),base,IF(OR(cat="Status",pow=0),0,FLOOR(FLOOR(FLOOR((2*XLOOKUP($Q728,'Threshold Summary'!$Y:$Y,'Threshold Summary'!$L:$L,"")/5+2)*pow*atk/def)/50)+2)),modifier,stab*eff,AVERAGE(ARRAYFORMULA(FLOOR(base*modifier*SEQUENCE(16,1,85,1)/100)))/(FLOOR(((2*XLOOKUP('Boss Editor'!$C$4,'Pokemon Editor'!$A:$A,'Pokemon Editor'!$E:$E,0)+31+FLOOR('Boss Editor'!$G$4/4))*'Boss Editor'!$D$4)/100)+'Boss Editor'!$D$4+10)),0)</f>
        <v/>
      </c>
      <c r="O728" s="3">
        <f>IF(N728&gt;=1,"OHKO",IF(N728&gt;=0.5,"2HKO",IF(N728&gt;=0.333,"3HKO",IF(N728&gt;=0.25,"4HKO","5HKO+"))))</f>
        <v/>
      </c>
      <c r="P728" s="3" t="inlineStr">
        <is>
          <t>Live from editable databases</t>
        </is>
      </c>
      <c r="Q728" s="3" t="inlineStr">
        <is>
          <t>SPECIES_CUTIEFLY</t>
        </is>
      </c>
      <c r="R728" s="3" t="n">
        <v>23</v>
      </c>
    </row>
    <row r="729">
      <c r="A729" s="3">
        <f>XLOOKUP($Q729,'Threshold Summary'!$Y:$Y,'Threshold Summary'!$A:$A,"")</f>
        <v/>
      </c>
      <c r="B729" s="3">
        <f>XLOOKUP($Q729,'Threshold Summary'!$Y:$Y,'Threshold Summary'!$M:$M,"")</f>
        <v/>
      </c>
      <c r="C729" s="3">
        <f>XLOOKUP($Q729,'Threshold Summary'!$Y:$Y,'Threshold Summary'!$N:$N,"")</f>
        <v/>
      </c>
      <c r="D729" s="3">
        <f>IFERROR(INDEX(FILTER('Learnset Editor'!$D$2:$D,'Learnset Editor'!$A$2:$A=XLOOKUP($Q729,'Threshold Summary'!$Y:$Y,'Threshold Summary'!$K:$K,""),'Learnset Editor'!$C$2:$C&lt;=XLOOKUP($Q729,'Threshold Summary'!$Y:$Y,'Threshold Summary'!$L:$L,"")),$R729),"")</f>
        <v/>
      </c>
      <c r="E729" s="3">
        <f>XLOOKUP(D729,'Move Editor'!$B:$B,'Move Editor'!$C:$C,"")</f>
        <v/>
      </c>
      <c r="F729" s="3">
        <f>XLOOKUP(D729,'Move Editor'!$B:$B,'Move Editor'!$D:$D,"")</f>
        <v/>
      </c>
      <c r="G729" s="3">
        <f>XLOOKUP(D729,'Move Editor'!$B:$B,'Move Editor'!$E:$E,0)</f>
        <v/>
      </c>
      <c r="H729" s="3">
        <f>XLOOKUP(D729,'Move Editor'!$B:$B,'Move Editor'!$F:$F,0)</f>
        <v/>
      </c>
      <c r="I729" s="3">
        <f>(INDEX('Type Chart'!$B:$S,MATCH(E729,'Type Chart'!$A:$A,0),MATCH(XLOOKUP('Boss Editor'!$C$4,'Pokemon Editor'!$A:$A,'Pokemon Editor'!$C:$C,""),'Type Chart'!$B$1:$S$1,0))*IF(XLOOKUP('Boss Editor'!$C$4,'Pokemon Editor'!$A:$A,'Pokemon Editor'!$D:$D,"")="",1,INDEX('Type Chart'!$B:$S,MATCH(E729,'Type Chart'!$A:$A,0),MATCH(XLOOKUP('Boss Editor'!$C$4,'Pokemon Editor'!$A:$A,'Pokemon Editor'!$D:$D,""),'Type Chart'!$B$1:$S$1,0))))</f>
        <v/>
      </c>
      <c r="J729" s="3">
        <f>IFERROR(LET(mtype,XLOOKUP($D729,'Move Editor'!$B:$B,'Move Editor'!$C:$C,""),cat,XLOOKUP($D729,'Move Editor'!$B:$B,'Move Editor'!$D:$D,""),pow,XLOOKUP($D729,'Move Editor'!$B:$B,'Move Editor'!$E:$E,0),acc,XLOOKUP($D729,'Move Editor'!$B:$B,'Move Editor'!$F:$F,100),atk,IF(cat="Physical",FLOOR((FLOOR(((2*XLOOKUP(XLOOKUP($Q729,'Threshold Summary'!$Y:$Y,'Threshold Summary'!$K:$K,""),'Pokemon Editor'!$A:$A,'Pokemon Editor'!$F:$F,0)+31+FLOOR(XLOOKUP($Q729,'Threshold Summary'!$Y:$Y,'Threshold Summary'!$P:$P,"")/4))*XLOOKUP($Q729,'Threshold Summary'!$Y:$Y,'Threshold Summary'!$L:$L,""))/100)+5)*XLOOKUP(XLOOKUP($Q729,'Threshold Summary'!$Y:$Y,'Threshold Summary'!$M:$M,""),'Nature Editor'!$A:$A,'Nature Editor'!$B:$B,1)),FLOOR((FLOOR(((2*XLOOKUP(XLOOKUP($Q729,'Threshold Summary'!$Y:$Y,'Threshold Summary'!$K:$K,""),'Pokemon Editor'!$A:$A,'Pokemon Editor'!$H:$H,0)+31+FLOOR(XLOOKUP($Q729,'Threshold Summary'!$Y:$Y,'Threshold Summary'!$R:$R,"")/4))*XLOOKUP($Q729,'Threshold Summary'!$Y:$Y,'Threshold Summary'!$L:$L,""))/100)+5)*XLOOKUP(XLOOKUP($Q729,'Threshold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Editor'!$E:$E,1))),stab,IF(OR(mtype=XLOOKUP(XLOOKUP($Q729,'Threshold Summary'!$Y:$Y,'Threshold Summary'!$K:$K,""),'Pokemon Editor'!$A:$A,'Pokemon Editor'!$C:$C,""),mtype=XLOOKUP(XLOOKUP($Q729,'Threshold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Chart'!$B$1:$S$1,0)))),base,IF(OR(cat="Status",pow=0),0,FLOOR(FLOOR(FLOOR((2*XLOOKUP($Q729,'Threshold Summary'!$Y:$Y,'Threshold Summary'!$L:$L,"")/5+2)*pow*atk/def)/50)+2)),modifier,stab*eff,FLOOR(base*modifier*0.85)),0)</f>
        <v/>
      </c>
      <c r="K729" s="3">
        <f>IFERROR(LET(mtype,XLOOKUP($D729,'Move Editor'!$B:$B,'Move Editor'!$C:$C,""),cat,XLOOKUP($D729,'Move Editor'!$B:$B,'Move Editor'!$D:$D,""),pow,XLOOKUP($D729,'Move Editor'!$B:$B,'Move Editor'!$E:$E,0),acc,XLOOKUP($D729,'Move Editor'!$B:$B,'Move Editor'!$F:$F,100),atk,IF(cat="Physical",FLOOR((FLOOR(((2*XLOOKUP(XLOOKUP($Q729,'Threshold Summary'!$Y:$Y,'Threshold Summary'!$K:$K,""),'Pokemon Editor'!$A:$A,'Pokemon Editor'!$F:$F,0)+31+FLOOR(XLOOKUP($Q729,'Threshold Summary'!$Y:$Y,'Threshold Summary'!$P:$P,"")/4))*XLOOKUP($Q729,'Threshold Summary'!$Y:$Y,'Threshold Summary'!$L:$L,""))/100)+5)*XLOOKUP(XLOOKUP($Q729,'Threshold Summary'!$Y:$Y,'Threshold Summary'!$M:$M,""),'Nature Editor'!$A:$A,'Nature Editor'!$B:$B,1)),FLOOR((FLOOR(((2*XLOOKUP(XLOOKUP($Q729,'Threshold Summary'!$Y:$Y,'Threshold Summary'!$K:$K,""),'Pokemon Editor'!$A:$A,'Pokemon Editor'!$H:$H,0)+31+FLOOR(XLOOKUP($Q729,'Threshold Summary'!$Y:$Y,'Threshold Summary'!$R:$R,"")/4))*XLOOKUP($Q729,'Threshold Summary'!$Y:$Y,'Threshold Summary'!$L:$L,""))/100)+5)*XLOOKUP(XLOOKUP($Q729,'Threshold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Editor'!$E:$E,1))),stab,IF(OR(mtype=XLOOKUP(XLOOKUP($Q729,'Threshold Summary'!$Y:$Y,'Threshold Summary'!$K:$K,""),'Pokemon Editor'!$A:$A,'Pokemon Editor'!$C:$C,""),mtype=XLOOKUP(XLOOKUP($Q729,'Threshold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Chart'!$B$1:$S$1,0)))),base,IF(OR(cat="Status",pow=0),0,FLOOR(FLOOR(FLOOR((2*XLOOKUP($Q729,'Threshold Summary'!$Y:$Y,'Threshold Summary'!$L:$L,"")/5+2)*pow*atk/def)/50)+2)),modifier,stab*eff,FLOOR(base*modifier)),0)</f>
        <v/>
      </c>
      <c r="L729" s="3">
        <f>IFERROR(LET(mtype,XLOOKUP($D729,'Move Editor'!$B:$B,'Move Editor'!$C:$C,""),cat,XLOOKUP($D729,'Move Editor'!$B:$B,'Move Editor'!$D:$D,""),pow,XLOOKUP($D729,'Move Editor'!$B:$B,'Move Editor'!$E:$E,0),acc,XLOOKUP($D729,'Move Editor'!$B:$B,'Move Editor'!$F:$F,100),atk,IF(cat="Physical",FLOOR((FLOOR(((2*XLOOKUP(XLOOKUP($Q729,'Threshold Summary'!$Y:$Y,'Threshold Summary'!$K:$K,""),'Pokemon Editor'!$A:$A,'Pokemon Editor'!$F:$F,0)+31+FLOOR(XLOOKUP($Q729,'Threshold Summary'!$Y:$Y,'Threshold Summary'!$P:$P,"")/4))*XLOOKUP($Q729,'Threshold Summary'!$Y:$Y,'Threshold Summary'!$L:$L,""))/100)+5)*XLOOKUP(XLOOKUP($Q729,'Threshold Summary'!$Y:$Y,'Threshold Summary'!$M:$M,""),'Nature Editor'!$A:$A,'Nature Editor'!$B:$B,1)),FLOOR((FLOOR(((2*XLOOKUP(XLOOKUP($Q729,'Threshold Summary'!$Y:$Y,'Threshold Summary'!$K:$K,""),'Pokemon Editor'!$A:$A,'Pokemon Editor'!$H:$H,0)+31+FLOOR(XLOOKUP($Q729,'Threshold Summary'!$Y:$Y,'Threshold Summary'!$R:$R,"")/4))*XLOOKUP($Q729,'Threshold Summary'!$Y:$Y,'Threshold Summary'!$L:$L,""))/100)+5)*XLOOKUP(XLOOKUP($Q729,'Threshold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Editor'!$E:$E,1))),stab,IF(OR(mtype=XLOOKUP(XLOOKUP($Q729,'Threshold Summary'!$Y:$Y,'Threshold Summary'!$K:$K,""),'Pokemon Editor'!$A:$A,'Pokemon Editor'!$C:$C,""),mtype=XLOOKUP(XLOOKUP($Q729,'Threshold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Chart'!$B$1:$S$1,0)))),base,IF(OR(cat="Status",pow=0),0,FLOOR(FLOOR(FLOOR((2*XLOOKUP($Q729,'Threshold Summary'!$Y:$Y,'Threshold Summary'!$L:$L,"")/5+2)*pow*atk/def)/50)+2)),modifier,stab*eff,AVERAGE(ARRAYFORMULA(FLOOR(base*modifier*SEQUENCE(16,1,85,1)/100)))),0)</f>
        <v/>
      </c>
      <c r="M729" s="3">
        <f>IFERROR(LET(mtype,XLOOKUP($D729,'Move Editor'!$B:$B,'Move Editor'!$C:$C,""),cat,XLOOKUP($D729,'Move Editor'!$B:$B,'Move Editor'!$D:$D,""),pow,XLOOKUP($D729,'Move Editor'!$B:$B,'Move Editor'!$E:$E,0),acc,XLOOKUP($D729,'Move Editor'!$B:$B,'Move Editor'!$F:$F,100),atk,IF(cat="Physical",FLOOR((FLOOR(((2*XLOOKUP(XLOOKUP($Q729,'Threshold Summary'!$Y:$Y,'Threshold Summary'!$K:$K,""),'Pokemon Editor'!$A:$A,'Pokemon Editor'!$F:$F,0)+31+FLOOR(XLOOKUP($Q729,'Threshold Summary'!$Y:$Y,'Threshold Summary'!$P:$P,"")/4))*XLOOKUP($Q729,'Threshold Summary'!$Y:$Y,'Threshold Summary'!$L:$L,""))/100)+5)*XLOOKUP(XLOOKUP($Q729,'Threshold Summary'!$Y:$Y,'Threshold Summary'!$M:$M,""),'Nature Editor'!$A:$A,'Nature Editor'!$B:$B,1)),FLOOR((FLOOR(((2*XLOOKUP(XLOOKUP($Q729,'Threshold Summary'!$Y:$Y,'Threshold Summary'!$K:$K,""),'Pokemon Editor'!$A:$A,'Pokemon Editor'!$H:$H,0)+31+FLOOR(XLOOKUP($Q729,'Threshold Summary'!$Y:$Y,'Threshold Summary'!$R:$R,"")/4))*XLOOKUP($Q729,'Threshold Summary'!$Y:$Y,'Threshold Summary'!$L:$L,""))/100)+5)*XLOOKUP(XLOOKUP($Q729,'Threshold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Editor'!$E:$E,1))),stab,IF(OR(mtype=XLOOKUP(XLOOKUP($Q729,'Threshold Summary'!$Y:$Y,'Threshold Summary'!$K:$K,""),'Pokemon Editor'!$A:$A,'Pokemon Editor'!$C:$C,""),mtype=XLOOKUP(XLOOKUP($Q729,'Threshold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Chart'!$B$1:$S$1,0)))),base,IF(OR(cat="Status",pow=0),0,FLOOR(FLOOR(FLOOR((2*XLOOKUP($Q729,'Threshold Summary'!$Y:$Y,'Threshold Summary'!$L:$L,"")/5+2)*pow*atk/def)/50)+2)),modifier,stab*eff,AVERAGE(ARRAYFORMULA(FLOOR(base*modifier*SEQUENCE(16,1,85,1)/100)))*MIN(1,acc/100)),0)</f>
        <v/>
      </c>
      <c r="N729" s="4">
        <f>IFERROR(LET(mtype,XLOOKUP($D729,'Move Editor'!$B:$B,'Move Editor'!$C:$C,""),cat,XLOOKUP($D729,'Move Editor'!$B:$B,'Move Editor'!$D:$D,""),pow,XLOOKUP($D729,'Move Editor'!$B:$B,'Move Editor'!$E:$E,0),acc,XLOOKUP($D729,'Move Editor'!$B:$B,'Move Editor'!$F:$F,100),atk,IF(cat="Physical",FLOOR((FLOOR(((2*XLOOKUP(XLOOKUP($Q729,'Threshold Summary'!$Y:$Y,'Threshold Summary'!$K:$K,""),'Pokemon Editor'!$A:$A,'Pokemon Editor'!$F:$F,0)+31+FLOOR(XLOOKUP($Q729,'Threshold Summary'!$Y:$Y,'Threshold Summary'!$P:$P,"")/4))*XLOOKUP($Q729,'Threshold Summary'!$Y:$Y,'Threshold Summary'!$L:$L,""))/100)+5)*XLOOKUP(XLOOKUP($Q729,'Threshold Summary'!$Y:$Y,'Threshold Summary'!$M:$M,""),'Nature Editor'!$A:$A,'Nature Editor'!$B:$B,1)),FLOOR((FLOOR(((2*XLOOKUP(XLOOKUP($Q729,'Threshold Summary'!$Y:$Y,'Threshold Summary'!$K:$K,""),'Pokemon Editor'!$A:$A,'Pokemon Editor'!$H:$H,0)+31+FLOOR(XLOOKUP($Q729,'Threshold Summary'!$Y:$Y,'Threshold Summary'!$R:$R,"")/4))*XLOOKUP($Q729,'Threshold Summary'!$Y:$Y,'Threshold Summary'!$L:$L,""))/100)+5)*XLOOKUP(XLOOKUP($Q729,'Threshold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Editor'!$E:$E,1))),stab,IF(OR(mtype=XLOOKUP(XLOOKUP($Q729,'Threshold Summary'!$Y:$Y,'Threshold Summary'!$K:$K,""),'Pokemon Editor'!$A:$A,'Pokemon Editor'!$C:$C,""),mtype=XLOOKUP(XLOOKUP($Q729,'Threshold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Chart'!$B$1:$S$1,0)))),base,IF(OR(cat="Status",pow=0),0,FLOOR(FLOOR(FLOOR((2*XLOOKUP($Q729,'Threshold Summary'!$Y:$Y,'Threshold Summary'!$L:$L,"")/5+2)*pow*atk/def)/50)+2)),modifier,stab*eff,AVERAGE(ARRAYFORMULA(FLOOR(base*modifier*SEQUENCE(16,1,85,1)/100)))/(FLOOR(((2*XLOOKUP('Boss Editor'!$C$4,'Pokemon Editor'!$A:$A,'Pokemon Editor'!$E:$E,0)+31+FLOOR('Boss Editor'!$G$4/4))*'Boss Editor'!$D$4)/100)+'Boss Editor'!$D$4+10)),0)</f>
        <v/>
      </c>
      <c r="O729" s="3">
        <f>IF(N729&gt;=1,"OHKO",IF(N729&gt;=0.5,"2HKO",IF(N729&gt;=0.333,"3HKO",IF(N729&gt;=0.25,"4HKO","5HKO+"))))</f>
        <v/>
      </c>
      <c r="P729" s="3" t="inlineStr">
        <is>
          <t>Live from editable databases</t>
        </is>
      </c>
      <c r="Q729" s="3" t="inlineStr">
        <is>
          <t>SPECIES_CUTIEFLY</t>
        </is>
      </c>
      <c r="R729" s="3" t="n">
        <v>24</v>
      </c>
    </row>
    <row r="730">
      <c r="A730" s="3">
        <f>XLOOKUP($Q730,'Threshold Summary'!$Y:$Y,'Threshold Summary'!$A:$A,"")</f>
        <v/>
      </c>
      <c r="B730" s="3">
        <f>XLOOKUP($Q730,'Threshold Summary'!$Y:$Y,'Threshold Summary'!$M:$M,"")</f>
        <v/>
      </c>
      <c r="C730" s="3">
        <f>XLOOKUP($Q730,'Threshold Summary'!$Y:$Y,'Threshold Summary'!$N:$N,"")</f>
        <v/>
      </c>
      <c r="D730" s="3">
        <f>IFERROR(INDEX(FILTER('Learnset Editor'!$D$2:$D,'Learnset Editor'!$A$2:$A=XLOOKUP($Q730,'Threshold Summary'!$Y:$Y,'Threshold Summary'!$K:$K,""),'Learnset Editor'!$C$2:$C&lt;=XLOOKUP($Q730,'Threshold Summary'!$Y:$Y,'Threshold Summary'!$L:$L,"")),$R730),"")</f>
        <v/>
      </c>
      <c r="E730" s="3">
        <f>XLOOKUP(D730,'Move Editor'!$B:$B,'Move Editor'!$C:$C,"")</f>
        <v/>
      </c>
      <c r="F730" s="3">
        <f>XLOOKUP(D730,'Move Editor'!$B:$B,'Move Editor'!$D:$D,"")</f>
        <v/>
      </c>
      <c r="G730" s="3">
        <f>XLOOKUP(D730,'Move Editor'!$B:$B,'Move Editor'!$E:$E,0)</f>
        <v/>
      </c>
      <c r="H730" s="3">
        <f>XLOOKUP(D730,'Move Editor'!$B:$B,'Move Editor'!$F:$F,0)</f>
        <v/>
      </c>
      <c r="I730" s="3">
        <f>(INDEX('Type Chart'!$B:$S,MATCH(E730,'Type Chart'!$A:$A,0),MATCH(XLOOKUP('Boss Editor'!$C$4,'Pokemon Editor'!$A:$A,'Pokemon Editor'!$C:$C,""),'Type Chart'!$B$1:$S$1,0))*IF(XLOOKUP('Boss Editor'!$C$4,'Pokemon Editor'!$A:$A,'Pokemon Editor'!$D:$D,"")="",1,INDEX('Type Chart'!$B:$S,MATCH(E730,'Type Chart'!$A:$A,0),MATCH(XLOOKUP('Boss Editor'!$C$4,'Pokemon Editor'!$A:$A,'Pokemon Editor'!$D:$D,""),'Type Chart'!$B$1:$S$1,0))))</f>
        <v/>
      </c>
      <c r="J730" s="3">
        <f>IFERROR(LET(mtype,XLOOKUP($D730,'Move Editor'!$B:$B,'Move Editor'!$C:$C,""),cat,XLOOKUP($D730,'Move Editor'!$B:$B,'Move Editor'!$D:$D,""),pow,XLOOKUP($D730,'Move Editor'!$B:$B,'Move Editor'!$E:$E,0),acc,XLOOKUP($D730,'Move Editor'!$B:$B,'Move Editor'!$F:$F,100),atk,IF(cat="Physical",FLOOR((FLOOR(((2*XLOOKUP(XLOOKUP($Q730,'Threshold Summary'!$Y:$Y,'Threshold Summary'!$K:$K,""),'Pokemon Editor'!$A:$A,'Pokemon Editor'!$F:$F,0)+31+FLOOR(XLOOKUP($Q730,'Threshold Summary'!$Y:$Y,'Threshold Summary'!$P:$P,"")/4))*XLOOKUP($Q730,'Threshold Summary'!$Y:$Y,'Threshold Summary'!$L:$L,""))/100)+5)*XLOOKUP(XLOOKUP($Q730,'Threshold Summary'!$Y:$Y,'Threshold Summary'!$M:$M,""),'Nature Editor'!$A:$A,'Nature Editor'!$B:$B,1)),FLOOR((FLOOR(((2*XLOOKUP(XLOOKUP($Q730,'Threshold Summary'!$Y:$Y,'Threshold Summary'!$K:$K,""),'Pokemon Editor'!$A:$A,'Pokemon Editor'!$H:$H,0)+31+FLOOR(XLOOKUP($Q730,'Threshold Summary'!$Y:$Y,'Threshold Summary'!$R:$R,"")/4))*XLOOKUP($Q730,'Threshold Summary'!$Y:$Y,'Threshold Summary'!$L:$L,""))/100)+5)*XLOOKUP(XLOOKUP($Q730,'Threshold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Editor'!$E:$E,1))),stab,IF(OR(mtype=XLOOKUP(XLOOKUP($Q730,'Threshold Summary'!$Y:$Y,'Threshold Summary'!$K:$K,""),'Pokemon Editor'!$A:$A,'Pokemon Editor'!$C:$C,""),mtype=XLOOKUP(XLOOKUP($Q730,'Threshold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Chart'!$B$1:$S$1,0)))),base,IF(OR(cat="Status",pow=0),0,FLOOR(FLOOR(FLOOR((2*XLOOKUP($Q730,'Threshold Summary'!$Y:$Y,'Threshold Summary'!$L:$L,"")/5+2)*pow*atk/def)/50)+2)),modifier,stab*eff,FLOOR(base*modifier*0.85)),0)</f>
        <v/>
      </c>
      <c r="K730" s="3">
        <f>IFERROR(LET(mtype,XLOOKUP($D730,'Move Editor'!$B:$B,'Move Editor'!$C:$C,""),cat,XLOOKUP($D730,'Move Editor'!$B:$B,'Move Editor'!$D:$D,""),pow,XLOOKUP($D730,'Move Editor'!$B:$B,'Move Editor'!$E:$E,0),acc,XLOOKUP($D730,'Move Editor'!$B:$B,'Move Editor'!$F:$F,100),atk,IF(cat="Physical",FLOOR((FLOOR(((2*XLOOKUP(XLOOKUP($Q730,'Threshold Summary'!$Y:$Y,'Threshold Summary'!$K:$K,""),'Pokemon Editor'!$A:$A,'Pokemon Editor'!$F:$F,0)+31+FLOOR(XLOOKUP($Q730,'Threshold Summary'!$Y:$Y,'Threshold Summary'!$P:$P,"")/4))*XLOOKUP($Q730,'Threshold Summary'!$Y:$Y,'Threshold Summary'!$L:$L,""))/100)+5)*XLOOKUP(XLOOKUP($Q730,'Threshold Summary'!$Y:$Y,'Threshold Summary'!$M:$M,""),'Nature Editor'!$A:$A,'Nature Editor'!$B:$B,1)),FLOOR((FLOOR(((2*XLOOKUP(XLOOKUP($Q730,'Threshold Summary'!$Y:$Y,'Threshold Summary'!$K:$K,""),'Pokemon Editor'!$A:$A,'Pokemon Editor'!$H:$H,0)+31+FLOOR(XLOOKUP($Q730,'Threshold Summary'!$Y:$Y,'Threshold Summary'!$R:$R,"")/4))*XLOOKUP($Q730,'Threshold Summary'!$Y:$Y,'Threshold Summary'!$L:$L,""))/100)+5)*XLOOKUP(XLOOKUP($Q730,'Threshold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Editor'!$E:$E,1))),stab,IF(OR(mtype=XLOOKUP(XLOOKUP($Q730,'Threshold Summary'!$Y:$Y,'Threshold Summary'!$K:$K,""),'Pokemon Editor'!$A:$A,'Pokemon Editor'!$C:$C,""),mtype=XLOOKUP(XLOOKUP($Q730,'Threshold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Chart'!$B$1:$S$1,0)))),base,IF(OR(cat="Status",pow=0),0,FLOOR(FLOOR(FLOOR((2*XLOOKUP($Q730,'Threshold Summary'!$Y:$Y,'Threshold Summary'!$L:$L,"")/5+2)*pow*atk/def)/50)+2)),modifier,stab*eff,FLOOR(base*modifier)),0)</f>
        <v/>
      </c>
      <c r="L730" s="3">
        <f>IFERROR(LET(mtype,XLOOKUP($D730,'Move Editor'!$B:$B,'Move Editor'!$C:$C,""),cat,XLOOKUP($D730,'Move Editor'!$B:$B,'Move Editor'!$D:$D,""),pow,XLOOKUP($D730,'Move Editor'!$B:$B,'Move Editor'!$E:$E,0),acc,XLOOKUP($D730,'Move Editor'!$B:$B,'Move Editor'!$F:$F,100),atk,IF(cat="Physical",FLOOR((FLOOR(((2*XLOOKUP(XLOOKUP($Q730,'Threshold Summary'!$Y:$Y,'Threshold Summary'!$K:$K,""),'Pokemon Editor'!$A:$A,'Pokemon Editor'!$F:$F,0)+31+FLOOR(XLOOKUP($Q730,'Threshold Summary'!$Y:$Y,'Threshold Summary'!$P:$P,"")/4))*XLOOKUP($Q730,'Threshold Summary'!$Y:$Y,'Threshold Summary'!$L:$L,""))/100)+5)*XLOOKUP(XLOOKUP($Q730,'Threshold Summary'!$Y:$Y,'Threshold Summary'!$M:$M,""),'Nature Editor'!$A:$A,'Nature Editor'!$B:$B,1)),FLOOR((FLOOR(((2*XLOOKUP(XLOOKUP($Q730,'Threshold Summary'!$Y:$Y,'Threshold Summary'!$K:$K,""),'Pokemon Editor'!$A:$A,'Pokemon Editor'!$H:$H,0)+31+FLOOR(XLOOKUP($Q730,'Threshold Summary'!$Y:$Y,'Threshold Summary'!$R:$R,"")/4))*XLOOKUP($Q730,'Threshold Summary'!$Y:$Y,'Threshold Summary'!$L:$L,""))/100)+5)*XLOOKUP(XLOOKUP($Q730,'Threshold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Editor'!$E:$E,1))),stab,IF(OR(mtype=XLOOKUP(XLOOKUP($Q730,'Threshold Summary'!$Y:$Y,'Threshold Summary'!$K:$K,""),'Pokemon Editor'!$A:$A,'Pokemon Editor'!$C:$C,""),mtype=XLOOKUP(XLOOKUP($Q730,'Threshold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Chart'!$B$1:$S$1,0)))),base,IF(OR(cat="Status",pow=0),0,FLOOR(FLOOR(FLOOR((2*XLOOKUP($Q730,'Threshold Summary'!$Y:$Y,'Threshold Summary'!$L:$L,"")/5+2)*pow*atk/def)/50)+2)),modifier,stab*eff,AVERAGE(ARRAYFORMULA(FLOOR(base*modifier*SEQUENCE(16,1,85,1)/100)))),0)</f>
        <v/>
      </c>
      <c r="M730" s="3">
        <f>IFERROR(LET(mtype,XLOOKUP($D730,'Move Editor'!$B:$B,'Move Editor'!$C:$C,""),cat,XLOOKUP($D730,'Move Editor'!$B:$B,'Move Editor'!$D:$D,""),pow,XLOOKUP($D730,'Move Editor'!$B:$B,'Move Editor'!$E:$E,0),acc,XLOOKUP($D730,'Move Editor'!$B:$B,'Move Editor'!$F:$F,100),atk,IF(cat="Physical",FLOOR((FLOOR(((2*XLOOKUP(XLOOKUP($Q730,'Threshold Summary'!$Y:$Y,'Threshold Summary'!$K:$K,""),'Pokemon Editor'!$A:$A,'Pokemon Editor'!$F:$F,0)+31+FLOOR(XLOOKUP($Q730,'Threshold Summary'!$Y:$Y,'Threshold Summary'!$P:$P,"")/4))*XLOOKUP($Q730,'Threshold Summary'!$Y:$Y,'Threshold Summary'!$L:$L,""))/100)+5)*XLOOKUP(XLOOKUP($Q730,'Threshold Summary'!$Y:$Y,'Threshold Summary'!$M:$M,""),'Nature Editor'!$A:$A,'Nature Editor'!$B:$B,1)),FLOOR((FLOOR(((2*XLOOKUP(XLOOKUP($Q730,'Threshold Summary'!$Y:$Y,'Threshold Summary'!$K:$K,""),'Pokemon Editor'!$A:$A,'Pokemon Editor'!$H:$H,0)+31+FLOOR(XLOOKUP($Q730,'Threshold Summary'!$Y:$Y,'Threshold Summary'!$R:$R,"")/4))*XLOOKUP($Q730,'Threshold Summary'!$Y:$Y,'Threshold Summary'!$L:$L,""))/100)+5)*XLOOKUP(XLOOKUP($Q730,'Threshold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Editor'!$E:$E,1))),stab,IF(OR(mtype=XLOOKUP(XLOOKUP($Q730,'Threshold Summary'!$Y:$Y,'Threshold Summary'!$K:$K,""),'Pokemon Editor'!$A:$A,'Pokemon Editor'!$C:$C,""),mtype=XLOOKUP(XLOOKUP($Q730,'Threshold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Chart'!$B$1:$S$1,0)))),base,IF(OR(cat="Status",pow=0),0,FLOOR(FLOOR(FLOOR((2*XLOOKUP($Q730,'Threshold Summary'!$Y:$Y,'Threshold Summary'!$L:$L,"")/5+2)*pow*atk/def)/50)+2)),modifier,stab*eff,AVERAGE(ARRAYFORMULA(FLOOR(base*modifier*SEQUENCE(16,1,85,1)/100)))*MIN(1,acc/100)),0)</f>
        <v/>
      </c>
      <c r="N730" s="4">
        <f>IFERROR(LET(mtype,XLOOKUP($D730,'Move Editor'!$B:$B,'Move Editor'!$C:$C,""),cat,XLOOKUP($D730,'Move Editor'!$B:$B,'Move Editor'!$D:$D,""),pow,XLOOKUP($D730,'Move Editor'!$B:$B,'Move Editor'!$E:$E,0),acc,XLOOKUP($D730,'Move Editor'!$B:$B,'Move Editor'!$F:$F,100),atk,IF(cat="Physical",FLOOR((FLOOR(((2*XLOOKUP(XLOOKUP($Q730,'Threshold Summary'!$Y:$Y,'Threshold Summary'!$K:$K,""),'Pokemon Editor'!$A:$A,'Pokemon Editor'!$F:$F,0)+31+FLOOR(XLOOKUP($Q730,'Threshold Summary'!$Y:$Y,'Threshold Summary'!$P:$P,"")/4))*XLOOKUP($Q730,'Threshold Summary'!$Y:$Y,'Threshold Summary'!$L:$L,""))/100)+5)*XLOOKUP(XLOOKUP($Q730,'Threshold Summary'!$Y:$Y,'Threshold Summary'!$M:$M,""),'Nature Editor'!$A:$A,'Nature Editor'!$B:$B,1)),FLOOR((FLOOR(((2*XLOOKUP(XLOOKUP($Q730,'Threshold Summary'!$Y:$Y,'Threshold Summary'!$K:$K,""),'Pokemon Editor'!$A:$A,'Pokemon Editor'!$H:$H,0)+31+FLOOR(XLOOKUP($Q730,'Threshold Summary'!$Y:$Y,'Threshold Summary'!$R:$R,"")/4))*XLOOKUP($Q730,'Threshold Summary'!$Y:$Y,'Threshold Summary'!$L:$L,""))/100)+5)*XLOOKUP(XLOOKUP($Q730,'Threshold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Editor'!$E:$E,1))),stab,IF(OR(mtype=XLOOKUP(XLOOKUP($Q730,'Threshold Summary'!$Y:$Y,'Threshold Summary'!$K:$K,""),'Pokemon Editor'!$A:$A,'Pokemon Editor'!$C:$C,""),mtype=XLOOKUP(XLOOKUP($Q730,'Threshold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Chart'!$B$1:$S$1,0)))),base,IF(OR(cat="Status",pow=0),0,FLOOR(FLOOR(FLOOR((2*XLOOKUP($Q730,'Threshold Summary'!$Y:$Y,'Threshold Summary'!$L:$L,"")/5+2)*pow*atk/def)/50)+2)),modifier,stab*eff,AVERAGE(ARRAYFORMULA(FLOOR(base*modifier*SEQUENCE(16,1,85,1)/100)))/(FLOOR(((2*XLOOKUP('Boss Editor'!$C$4,'Pokemon Editor'!$A:$A,'Pokemon Editor'!$E:$E,0)+31+FLOOR('Boss Editor'!$G$4/4))*'Boss Editor'!$D$4)/100)+'Boss Editor'!$D$4+10)),0)</f>
        <v/>
      </c>
      <c r="O730" s="3">
        <f>IF(N730&gt;=1,"OHKO",IF(N730&gt;=0.5,"2HKO",IF(N730&gt;=0.333,"3HKO",IF(N730&gt;=0.25,"4HKO","5HKO+"))))</f>
        <v/>
      </c>
      <c r="P730" s="3" t="inlineStr">
        <is>
          <t>Live from editable databases</t>
        </is>
      </c>
      <c r="Q730" s="3" t="inlineStr">
        <is>
          <t>SPECIES_CUTIEFLY</t>
        </is>
      </c>
      <c r="R730" s="3" t="n">
        <v>25</v>
      </c>
    </row>
    <row r="731">
      <c r="A731" s="3">
        <f>XLOOKUP($Q731,'Threshold Summary'!$Y:$Y,'Threshold Summary'!$A:$A,"")</f>
        <v/>
      </c>
      <c r="B731" s="3">
        <f>XLOOKUP($Q731,'Threshold Summary'!$Y:$Y,'Threshold Summary'!$M:$M,"")</f>
        <v/>
      </c>
      <c r="C731" s="3">
        <f>XLOOKUP($Q731,'Threshold Summary'!$Y:$Y,'Threshold Summary'!$N:$N,"")</f>
        <v/>
      </c>
      <c r="D731" s="3">
        <f>IFERROR(INDEX(FILTER('Learnset Editor'!$D$2:$D,'Learnset Editor'!$A$2:$A=XLOOKUP($Q731,'Threshold Summary'!$Y:$Y,'Threshold Summary'!$K:$K,""),'Learnset Editor'!$C$2:$C&lt;=XLOOKUP($Q731,'Threshold Summary'!$Y:$Y,'Threshold Summary'!$L:$L,"")),$R731),"")</f>
        <v/>
      </c>
      <c r="E731" s="3">
        <f>XLOOKUP(D731,'Move Editor'!$B:$B,'Move Editor'!$C:$C,"")</f>
        <v/>
      </c>
      <c r="F731" s="3">
        <f>XLOOKUP(D731,'Move Editor'!$B:$B,'Move Editor'!$D:$D,"")</f>
        <v/>
      </c>
      <c r="G731" s="3">
        <f>XLOOKUP(D731,'Move Editor'!$B:$B,'Move Editor'!$E:$E,0)</f>
        <v/>
      </c>
      <c r="H731" s="3">
        <f>XLOOKUP(D731,'Move Editor'!$B:$B,'Move Editor'!$F:$F,0)</f>
        <v/>
      </c>
      <c r="I731" s="3">
        <f>(INDEX('Type Chart'!$B:$S,MATCH(E731,'Type Chart'!$A:$A,0),MATCH(XLOOKUP('Boss Editor'!$C$4,'Pokemon Editor'!$A:$A,'Pokemon Editor'!$C:$C,""),'Type Chart'!$B$1:$S$1,0))*IF(XLOOKUP('Boss Editor'!$C$4,'Pokemon Editor'!$A:$A,'Pokemon Editor'!$D:$D,"")="",1,INDEX('Type Chart'!$B:$S,MATCH(E731,'Type Chart'!$A:$A,0),MATCH(XLOOKUP('Boss Editor'!$C$4,'Pokemon Editor'!$A:$A,'Pokemon Editor'!$D:$D,""),'Type Chart'!$B$1:$S$1,0))))</f>
        <v/>
      </c>
      <c r="J731" s="3">
        <f>IFERROR(LET(mtype,XLOOKUP($D731,'Move Editor'!$B:$B,'Move Editor'!$C:$C,""),cat,XLOOKUP($D731,'Move Editor'!$B:$B,'Move Editor'!$D:$D,""),pow,XLOOKUP($D731,'Move Editor'!$B:$B,'Move Editor'!$E:$E,0),acc,XLOOKUP($D731,'Move Editor'!$B:$B,'Move Editor'!$F:$F,100),atk,IF(cat="Physical",FLOOR((FLOOR(((2*XLOOKUP(XLOOKUP($Q731,'Threshold Summary'!$Y:$Y,'Threshold Summary'!$K:$K,""),'Pokemon Editor'!$A:$A,'Pokemon Editor'!$F:$F,0)+31+FLOOR(XLOOKUP($Q731,'Threshold Summary'!$Y:$Y,'Threshold Summary'!$P:$P,"")/4))*XLOOKUP($Q731,'Threshold Summary'!$Y:$Y,'Threshold Summary'!$L:$L,""))/100)+5)*XLOOKUP(XLOOKUP($Q731,'Threshold Summary'!$Y:$Y,'Threshold Summary'!$M:$M,""),'Nature Editor'!$A:$A,'Nature Editor'!$B:$B,1)),FLOOR((FLOOR(((2*XLOOKUP(XLOOKUP($Q731,'Threshold Summary'!$Y:$Y,'Threshold Summary'!$K:$K,""),'Pokemon Editor'!$A:$A,'Pokemon Editor'!$H:$H,0)+31+FLOOR(XLOOKUP($Q731,'Threshold Summary'!$Y:$Y,'Threshold Summary'!$R:$R,"")/4))*XLOOKUP($Q731,'Threshold Summary'!$Y:$Y,'Threshold Summary'!$L:$L,""))/100)+5)*XLOOKUP(XLOOKUP($Q731,'Threshold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Editor'!$E:$E,1))),stab,IF(OR(mtype=XLOOKUP(XLOOKUP($Q731,'Threshold Summary'!$Y:$Y,'Threshold Summary'!$K:$K,""),'Pokemon Editor'!$A:$A,'Pokemon Editor'!$C:$C,""),mtype=XLOOKUP(XLOOKUP($Q731,'Threshold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Chart'!$B$1:$S$1,0)))),base,IF(OR(cat="Status",pow=0),0,FLOOR(FLOOR(FLOOR((2*XLOOKUP($Q731,'Threshold Summary'!$Y:$Y,'Threshold Summary'!$L:$L,"")/5+2)*pow*atk/def)/50)+2)),modifier,stab*eff,FLOOR(base*modifier*0.85)),0)</f>
        <v/>
      </c>
      <c r="K731" s="3">
        <f>IFERROR(LET(mtype,XLOOKUP($D731,'Move Editor'!$B:$B,'Move Editor'!$C:$C,""),cat,XLOOKUP($D731,'Move Editor'!$B:$B,'Move Editor'!$D:$D,""),pow,XLOOKUP($D731,'Move Editor'!$B:$B,'Move Editor'!$E:$E,0),acc,XLOOKUP($D731,'Move Editor'!$B:$B,'Move Editor'!$F:$F,100),atk,IF(cat="Physical",FLOOR((FLOOR(((2*XLOOKUP(XLOOKUP($Q731,'Threshold Summary'!$Y:$Y,'Threshold Summary'!$K:$K,""),'Pokemon Editor'!$A:$A,'Pokemon Editor'!$F:$F,0)+31+FLOOR(XLOOKUP($Q731,'Threshold Summary'!$Y:$Y,'Threshold Summary'!$P:$P,"")/4))*XLOOKUP($Q731,'Threshold Summary'!$Y:$Y,'Threshold Summary'!$L:$L,""))/100)+5)*XLOOKUP(XLOOKUP($Q731,'Threshold Summary'!$Y:$Y,'Threshold Summary'!$M:$M,""),'Nature Editor'!$A:$A,'Nature Editor'!$B:$B,1)),FLOOR((FLOOR(((2*XLOOKUP(XLOOKUP($Q731,'Threshold Summary'!$Y:$Y,'Threshold Summary'!$K:$K,""),'Pokemon Editor'!$A:$A,'Pokemon Editor'!$H:$H,0)+31+FLOOR(XLOOKUP($Q731,'Threshold Summary'!$Y:$Y,'Threshold Summary'!$R:$R,"")/4))*XLOOKUP($Q731,'Threshold Summary'!$Y:$Y,'Threshold Summary'!$L:$L,""))/100)+5)*XLOOKUP(XLOOKUP($Q731,'Threshold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Editor'!$E:$E,1))),stab,IF(OR(mtype=XLOOKUP(XLOOKUP($Q731,'Threshold Summary'!$Y:$Y,'Threshold Summary'!$K:$K,""),'Pokemon Editor'!$A:$A,'Pokemon Editor'!$C:$C,""),mtype=XLOOKUP(XLOOKUP($Q731,'Threshold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Chart'!$B$1:$S$1,0)))),base,IF(OR(cat="Status",pow=0),0,FLOOR(FLOOR(FLOOR((2*XLOOKUP($Q731,'Threshold Summary'!$Y:$Y,'Threshold Summary'!$L:$L,"")/5+2)*pow*atk/def)/50)+2)),modifier,stab*eff,FLOOR(base*modifier)),0)</f>
        <v/>
      </c>
      <c r="L731" s="3">
        <f>IFERROR(LET(mtype,XLOOKUP($D731,'Move Editor'!$B:$B,'Move Editor'!$C:$C,""),cat,XLOOKUP($D731,'Move Editor'!$B:$B,'Move Editor'!$D:$D,""),pow,XLOOKUP($D731,'Move Editor'!$B:$B,'Move Editor'!$E:$E,0),acc,XLOOKUP($D731,'Move Editor'!$B:$B,'Move Editor'!$F:$F,100),atk,IF(cat="Physical",FLOOR((FLOOR(((2*XLOOKUP(XLOOKUP($Q731,'Threshold Summary'!$Y:$Y,'Threshold Summary'!$K:$K,""),'Pokemon Editor'!$A:$A,'Pokemon Editor'!$F:$F,0)+31+FLOOR(XLOOKUP($Q731,'Threshold Summary'!$Y:$Y,'Threshold Summary'!$P:$P,"")/4))*XLOOKUP($Q731,'Threshold Summary'!$Y:$Y,'Threshold Summary'!$L:$L,""))/100)+5)*XLOOKUP(XLOOKUP($Q731,'Threshold Summary'!$Y:$Y,'Threshold Summary'!$M:$M,""),'Nature Editor'!$A:$A,'Nature Editor'!$B:$B,1)),FLOOR((FLOOR(((2*XLOOKUP(XLOOKUP($Q731,'Threshold Summary'!$Y:$Y,'Threshold Summary'!$K:$K,""),'Pokemon Editor'!$A:$A,'Pokemon Editor'!$H:$H,0)+31+FLOOR(XLOOKUP($Q731,'Threshold Summary'!$Y:$Y,'Threshold Summary'!$R:$R,"")/4))*XLOOKUP($Q731,'Threshold Summary'!$Y:$Y,'Threshold Summary'!$L:$L,""))/100)+5)*XLOOKUP(XLOOKUP($Q731,'Threshold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Editor'!$E:$E,1))),stab,IF(OR(mtype=XLOOKUP(XLOOKUP($Q731,'Threshold Summary'!$Y:$Y,'Threshold Summary'!$K:$K,""),'Pokemon Editor'!$A:$A,'Pokemon Editor'!$C:$C,""),mtype=XLOOKUP(XLOOKUP($Q731,'Threshold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Chart'!$B$1:$S$1,0)))),base,IF(OR(cat="Status",pow=0),0,FLOOR(FLOOR(FLOOR((2*XLOOKUP($Q731,'Threshold Summary'!$Y:$Y,'Threshold Summary'!$L:$L,"")/5+2)*pow*atk/def)/50)+2)),modifier,stab*eff,AVERAGE(ARRAYFORMULA(FLOOR(base*modifier*SEQUENCE(16,1,85,1)/100)))),0)</f>
        <v/>
      </c>
      <c r="M731" s="3">
        <f>IFERROR(LET(mtype,XLOOKUP($D731,'Move Editor'!$B:$B,'Move Editor'!$C:$C,""),cat,XLOOKUP($D731,'Move Editor'!$B:$B,'Move Editor'!$D:$D,""),pow,XLOOKUP($D731,'Move Editor'!$B:$B,'Move Editor'!$E:$E,0),acc,XLOOKUP($D731,'Move Editor'!$B:$B,'Move Editor'!$F:$F,100),atk,IF(cat="Physical",FLOOR((FLOOR(((2*XLOOKUP(XLOOKUP($Q731,'Threshold Summary'!$Y:$Y,'Threshold Summary'!$K:$K,""),'Pokemon Editor'!$A:$A,'Pokemon Editor'!$F:$F,0)+31+FLOOR(XLOOKUP($Q731,'Threshold Summary'!$Y:$Y,'Threshold Summary'!$P:$P,"")/4))*XLOOKUP($Q731,'Threshold Summary'!$Y:$Y,'Threshold Summary'!$L:$L,""))/100)+5)*XLOOKUP(XLOOKUP($Q731,'Threshold Summary'!$Y:$Y,'Threshold Summary'!$M:$M,""),'Nature Editor'!$A:$A,'Nature Editor'!$B:$B,1)),FLOOR((FLOOR(((2*XLOOKUP(XLOOKUP($Q731,'Threshold Summary'!$Y:$Y,'Threshold Summary'!$K:$K,""),'Pokemon Editor'!$A:$A,'Pokemon Editor'!$H:$H,0)+31+FLOOR(XLOOKUP($Q731,'Threshold Summary'!$Y:$Y,'Threshold Summary'!$R:$R,"")/4))*XLOOKUP($Q731,'Threshold Summary'!$Y:$Y,'Threshold Summary'!$L:$L,""))/100)+5)*XLOOKUP(XLOOKUP($Q731,'Threshold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Editor'!$E:$E,1))),stab,IF(OR(mtype=XLOOKUP(XLOOKUP($Q731,'Threshold Summary'!$Y:$Y,'Threshold Summary'!$K:$K,""),'Pokemon Editor'!$A:$A,'Pokemon Editor'!$C:$C,""),mtype=XLOOKUP(XLOOKUP($Q731,'Threshold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Chart'!$B$1:$S$1,0)))),base,IF(OR(cat="Status",pow=0),0,FLOOR(FLOOR(FLOOR((2*XLOOKUP($Q731,'Threshold Summary'!$Y:$Y,'Threshold Summary'!$L:$L,"")/5+2)*pow*atk/def)/50)+2)),modifier,stab*eff,AVERAGE(ARRAYFORMULA(FLOOR(base*modifier*SEQUENCE(16,1,85,1)/100)))*MIN(1,acc/100)),0)</f>
        <v/>
      </c>
      <c r="N731" s="4">
        <f>IFERROR(LET(mtype,XLOOKUP($D731,'Move Editor'!$B:$B,'Move Editor'!$C:$C,""),cat,XLOOKUP($D731,'Move Editor'!$B:$B,'Move Editor'!$D:$D,""),pow,XLOOKUP($D731,'Move Editor'!$B:$B,'Move Editor'!$E:$E,0),acc,XLOOKUP($D731,'Move Editor'!$B:$B,'Move Editor'!$F:$F,100),atk,IF(cat="Physical",FLOOR((FLOOR(((2*XLOOKUP(XLOOKUP($Q731,'Threshold Summary'!$Y:$Y,'Threshold Summary'!$K:$K,""),'Pokemon Editor'!$A:$A,'Pokemon Editor'!$F:$F,0)+31+FLOOR(XLOOKUP($Q731,'Threshold Summary'!$Y:$Y,'Threshold Summary'!$P:$P,"")/4))*XLOOKUP($Q731,'Threshold Summary'!$Y:$Y,'Threshold Summary'!$L:$L,""))/100)+5)*XLOOKUP(XLOOKUP($Q731,'Threshold Summary'!$Y:$Y,'Threshold Summary'!$M:$M,""),'Nature Editor'!$A:$A,'Nature Editor'!$B:$B,1)),FLOOR((FLOOR(((2*XLOOKUP(XLOOKUP($Q731,'Threshold Summary'!$Y:$Y,'Threshold Summary'!$K:$K,""),'Pokemon Editor'!$A:$A,'Pokemon Editor'!$H:$H,0)+31+FLOOR(XLOOKUP($Q731,'Threshold Summary'!$Y:$Y,'Threshold Summary'!$R:$R,"")/4))*XLOOKUP($Q731,'Threshold Summary'!$Y:$Y,'Threshold Summary'!$L:$L,""))/100)+5)*XLOOKUP(XLOOKUP($Q731,'Threshold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Editor'!$E:$E,1))),stab,IF(OR(mtype=XLOOKUP(XLOOKUP($Q731,'Threshold Summary'!$Y:$Y,'Threshold Summary'!$K:$K,""),'Pokemon Editor'!$A:$A,'Pokemon Editor'!$C:$C,""),mtype=XLOOKUP(XLOOKUP($Q731,'Threshold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Chart'!$B$1:$S$1,0)))),base,IF(OR(cat="Status",pow=0),0,FLOOR(FLOOR(FLOOR((2*XLOOKUP($Q731,'Threshold Summary'!$Y:$Y,'Threshold Summary'!$L:$L,"")/5+2)*pow*atk/def)/50)+2)),modifier,stab*eff,AVERAGE(ARRAYFORMULA(FLOOR(base*modifier*SEQUENCE(16,1,85,1)/100)))/(FLOOR(((2*XLOOKUP('Boss Editor'!$C$4,'Pokemon Editor'!$A:$A,'Pokemon Editor'!$E:$E,0)+31+FLOOR('Boss Editor'!$G$4/4))*'Boss Editor'!$D$4)/100)+'Boss Editor'!$D$4+10)),0)</f>
        <v/>
      </c>
      <c r="O731" s="3">
        <f>IF(N731&gt;=1,"OHKO",IF(N731&gt;=0.5,"2HKO",IF(N731&gt;=0.333,"3HKO",IF(N731&gt;=0.25,"4HKO","5HKO+"))))</f>
        <v/>
      </c>
      <c r="P731" s="3" t="inlineStr">
        <is>
          <t>Live from editable databases</t>
        </is>
      </c>
      <c r="Q731" s="3" t="inlineStr">
        <is>
          <t>SPECIES_CUTIEFLY</t>
        </is>
      </c>
      <c r="R731" s="3" t="n">
        <v>26</v>
      </c>
    </row>
    <row r="732">
      <c r="A732" s="3">
        <f>XLOOKUP($Q732,'Threshold Summary'!$Y:$Y,'Threshold Summary'!$A:$A,"")</f>
        <v/>
      </c>
      <c r="B732" s="3">
        <f>XLOOKUP($Q732,'Threshold Summary'!$Y:$Y,'Threshold Summary'!$M:$M,"")</f>
        <v/>
      </c>
      <c r="C732" s="3">
        <f>XLOOKUP($Q732,'Threshold Summary'!$Y:$Y,'Threshold Summary'!$N:$N,"")</f>
        <v/>
      </c>
      <c r="D732" s="3">
        <f>IFERROR(INDEX(FILTER('Learnset Editor'!$D$2:$D,'Learnset Editor'!$A$2:$A=XLOOKUP($Q732,'Threshold Summary'!$Y:$Y,'Threshold Summary'!$K:$K,""),'Learnset Editor'!$C$2:$C&lt;=XLOOKUP($Q732,'Threshold Summary'!$Y:$Y,'Threshold Summary'!$L:$L,"")),$R732),"")</f>
        <v/>
      </c>
      <c r="E732" s="3">
        <f>XLOOKUP(D732,'Move Editor'!$B:$B,'Move Editor'!$C:$C,"")</f>
        <v/>
      </c>
      <c r="F732" s="3">
        <f>XLOOKUP(D732,'Move Editor'!$B:$B,'Move Editor'!$D:$D,"")</f>
        <v/>
      </c>
      <c r="G732" s="3">
        <f>XLOOKUP(D732,'Move Editor'!$B:$B,'Move Editor'!$E:$E,0)</f>
        <v/>
      </c>
      <c r="H732" s="3">
        <f>XLOOKUP(D732,'Move Editor'!$B:$B,'Move Editor'!$F:$F,0)</f>
        <v/>
      </c>
      <c r="I732" s="3">
        <f>(INDEX('Type Chart'!$B:$S,MATCH(E732,'Type Chart'!$A:$A,0),MATCH(XLOOKUP('Boss Editor'!$C$4,'Pokemon Editor'!$A:$A,'Pokemon Editor'!$C:$C,""),'Type Chart'!$B$1:$S$1,0))*IF(XLOOKUP('Boss Editor'!$C$4,'Pokemon Editor'!$A:$A,'Pokemon Editor'!$D:$D,"")="",1,INDEX('Type Chart'!$B:$S,MATCH(E732,'Type Chart'!$A:$A,0),MATCH(XLOOKUP('Boss Editor'!$C$4,'Pokemon Editor'!$A:$A,'Pokemon Editor'!$D:$D,""),'Type Chart'!$B$1:$S$1,0))))</f>
        <v/>
      </c>
      <c r="J732" s="3">
        <f>IFERROR(LET(mtype,XLOOKUP($D732,'Move Editor'!$B:$B,'Move Editor'!$C:$C,""),cat,XLOOKUP($D732,'Move Editor'!$B:$B,'Move Editor'!$D:$D,""),pow,XLOOKUP($D732,'Move Editor'!$B:$B,'Move Editor'!$E:$E,0),acc,XLOOKUP($D732,'Move Editor'!$B:$B,'Move Editor'!$F:$F,100),atk,IF(cat="Physical",FLOOR((FLOOR(((2*XLOOKUP(XLOOKUP($Q732,'Threshold Summary'!$Y:$Y,'Threshold Summary'!$K:$K,""),'Pokemon Editor'!$A:$A,'Pokemon Editor'!$F:$F,0)+31+FLOOR(XLOOKUP($Q732,'Threshold Summary'!$Y:$Y,'Threshold Summary'!$P:$P,"")/4))*XLOOKUP($Q732,'Threshold Summary'!$Y:$Y,'Threshold Summary'!$L:$L,""))/100)+5)*XLOOKUP(XLOOKUP($Q732,'Threshold Summary'!$Y:$Y,'Threshold Summary'!$M:$M,""),'Nature Editor'!$A:$A,'Nature Editor'!$B:$B,1)),FLOOR((FLOOR(((2*XLOOKUP(XLOOKUP($Q732,'Threshold Summary'!$Y:$Y,'Threshold Summary'!$K:$K,""),'Pokemon Editor'!$A:$A,'Pokemon Editor'!$H:$H,0)+31+FLOOR(XLOOKUP($Q732,'Threshold Summary'!$Y:$Y,'Threshold Summary'!$R:$R,"")/4))*XLOOKUP($Q732,'Threshold Summary'!$Y:$Y,'Threshold Summary'!$L:$L,""))/100)+5)*XLOOKUP(XLOOKUP($Q732,'Threshold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Editor'!$E:$E,1))),stab,IF(OR(mtype=XLOOKUP(XLOOKUP($Q732,'Threshold Summary'!$Y:$Y,'Threshold Summary'!$K:$K,""),'Pokemon Editor'!$A:$A,'Pokemon Editor'!$C:$C,""),mtype=XLOOKUP(XLOOKUP($Q732,'Threshold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Chart'!$B$1:$S$1,0)))),base,IF(OR(cat="Status",pow=0),0,FLOOR(FLOOR(FLOOR((2*XLOOKUP($Q732,'Threshold Summary'!$Y:$Y,'Threshold Summary'!$L:$L,"")/5+2)*pow*atk/def)/50)+2)),modifier,stab*eff,FLOOR(base*modifier*0.85)),0)</f>
        <v/>
      </c>
      <c r="K732" s="3">
        <f>IFERROR(LET(mtype,XLOOKUP($D732,'Move Editor'!$B:$B,'Move Editor'!$C:$C,""),cat,XLOOKUP($D732,'Move Editor'!$B:$B,'Move Editor'!$D:$D,""),pow,XLOOKUP($D732,'Move Editor'!$B:$B,'Move Editor'!$E:$E,0),acc,XLOOKUP($D732,'Move Editor'!$B:$B,'Move Editor'!$F:$F,100),atk,IF(cat="Physical",FLOOR((FLOOR(((2*XLOOKUP(XLOOKUP($Q732,'Threshold Summary'!$Y:$Y,'Threshold Summary'!$K:$K,""),'Pokemon Editor'!$A:$A,'Pokemon Editor'!$F:$F,0)+31+FLOOR(XLOOKUP($Q732,'Threshold Summary'!$Y:$Y,'Threshold Summary'!$P:$P,"")/4))*XLOOKUP($Q732,'Threshold Summary'!$Y:$Y,'Threshold Summary'!$L:$L,""))/100)+5)*XLOOKUP(XLOOKUP($Q732,'Threshold Summary'!$Y:$Y,'Threshold Summary'!$M:$M,""),'Nature Editor'!$A:$A,'Nature Editor'!$B:$B,1)),FLOOR((FLOOR(((2*XLOOKUP(XLOOKUP($Q732,'Threshold Summary'!$Y:$Y,'Threshold Summary'!$K:$K,""),'Pokemon Editor'!$A:$A,'Pokemon Editor'!$H:$H,0)+31+FLOOR(XLOOKUP($Q732,'Threshold Summary'!$Y:$Y,'Threshold Summary'!$R:$R,"")/4))*XLOOKUP($Q732,'Threshold Summary'!$Y:$Y,'Threshold Summary'!$L:$L,""))/100)+5)*XLOOKUP(XLOOKUP($Q732,'Threshold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Editor'!$E:$E,1))),stab,IF(OR(mtype=XLOOKUP(XLOOKUP($Q732,'Threshold Summary'!$Y:$Y,'Threshold Summary'!$K:$K,""),'Pokemon Editor'!$A:$A,'Pokemon Editor'!$C:$C,""),mtype=XLOOKUP(XLOOKUP($Q732,'Threshold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Chart'!$B$1:$S$1,0)))),base,IF(OR(cat="Status",pow=0),0,FLOOR(FLOOR(FLOOR((2*XLOOKUP($Q732,'Threshold Summary'!$Y:$Y,'Threshold Summary'!$L:$L,"")/5+2)*pow*atk/def)/50)+2)),modifier,stab*eff,FLOOR(base*modifier)),0)</f>
        <v/>
      </c>
      <c r="L732" s="3">
        <f>IFERROR(LET(mtype,XLOOKUP($D732,'Move Editor'!$B:$B,'Move Editor'!$C:$C,""),cat,XLOOKUP($D732,'Move Editor'!$B:$B,'Move Editor'!$D:$D,""),pow,XLOOKUP($D732,'Move Editor'!$B:$B,'Move Editor'!$E:$E,0),acc,XLOOKUP($D732,'Move Editor'!$B:$B,'Move Editor'!$F:$F,100),atk,IF(cat="Physical",FLOOR((FLOOR(((2*XLOOKUP(XLOOKUP($Q732,'Threshold Summary'!$Y:$Y,'Threshold Summary'!$K:$K,""),'Pokemon Editor'!$A:$A,'Pokemon Editor'!$F:$F,0)+31+FLOOR(XLOOKUP($Q732,'Threshold Summary'!$Y:$Y,'Threshold Summary'!$P:$P,"")/4))*XLOOKUP($Q732,'Threshold Summary'!$Y:$Y,'Threshold Summary'!$L:$L,""))/100)+5)*XLOOKUP(XLOOKUP($Q732,'Threshold Summary'!$Y:$Y,'Threshold Summary'!$M:$M,""),'Nature Editor'!$A:$A,'Nature Editor'!$B:$B,1)),FLOOR((FLOOR(((2*XLOOKUP(XLOOKUP($Q732,'Threshold Summary'!$Y:$Y,'Threshold Summary'!$K:$K,""),'Pokemon Editor'!$A:$A,'Pokemon Editor'!$H:$H,0)+31+FLOOR(XLOOKUP($Q732,'Threshold Summary'!$Y:$Y,'Threshold Summary'!$R:$R,"")/4))*XLOOKUP($Q732,'Threshold Summary'!$Y:$Y,'Threshold Summary'!$L:$L,""))/100)+5)*XLOOKUP(XLOOKUP($Q732,'Threshold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Editor'!$E:$E,1))),stab,IF(OR(mtype=XLOOKUP(XLOOKUP($Q732,'Threshold Summary'!$Y:$Y,'Threshold Summary'!$K:$K,""),'Pokemon Editor'!$A:$A,'Pokemon Editor'!$C:$C,""),mtype=XLOOKUP(XLOOKUP($Q732,'Threshold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Chart'!$B$1:$S$1,0)))),base,IF(OR(cat="Status",pow=0),0,FLOOR(FLOOR(FLOOR((2*XLOOKUP($Q732,'Threshold Summary'!$Y:$Y,'Threshold Summary'!$L:$L,"")/5+2)*pow*atk/def)/50)+2)),modifier,stab*eff,AVERAGE(ARRAYFORMULA(FLOOR(base*modifier*SEQUENCE(16,1,85,1)/100)))),0)</f>
        <v/>
      </c>
      <c r="M732" s="3">
        <f>IFERROR(LET(mtype,XLOOKUP($D732,'Move Editor'!$B:$B,'Move Editor'!$C:$C,""),cat,XLOOKUP($D732,'Move Editor'!$B:$B,'Move Editor'!$D:$D,""),pow,XLOOKUP($D732,'Move Editor'!$B:$B,'Move Editor'!$E:$E,0),acc,XLOOKUP($D732,'Move Editor'!$B:$B,'Move Editor'!$F:$F,100),atk,IF(cat="Physical",FLOOR((FLOOR(((2*XLOOKUP(XLOOKUP($Q732,'Threshold Summary'!$Y:$Y,'Threshold Summary'!$K:$K,""),'Pokemon Editor'!$A:$A,'Pokemon Editor'!$F:$F,0)+31+FLOOR(XLOOKUP($Q732,'Threshold Summary'!$Y:$Y,'Threshold Summary'!$P:$P,"")/4))*XLOOKUP($Q732,'Threshold Summary'!$Y:$Y,'Threshold Summary'!$L:$L,""))/100)+5)*XLOOKUP(XLOOKUP($Q732,'Threshold Summary'!$Y:$Y,'Threshold Summary'!$M:$M,""),'Nature Editor'!$A:$A,'Nature Editor'!$B:$B,1)),FLOOR((FLOOR(((2*XLOOKUP(XLOOKUP($Q732,'Threshold Summary'!$Y:$Y,'Threshold Summary'!$K:$K,""),'Pokemon Editor'!$A:$A,'Pokemon Editor'!$H:$H,0)+31+FLOOR(XLOOKUP($Q732,'Threshold Summary'!$Y:$Y,'Threshold Summary'!$R:$R,"")/4))*XLOOKUP($Q732,'Threshold Summary'!$Y:$Y,'Threshold Summary'!$L:$L,""))/100)+5)*XLOOKUP(XLOOKUP($Q732,'Threshold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Editor'!$E:$E,1))),stab,IF(OR(mtype=XLOOKUP(XLOOKUP($Q732,'Threshold Summary'!$Y:$Y,'Threshold Summary'!$K:$K,""),'Pokemon Editor'!$A:$A,'Pokemon Editor'!$C:$C,""),mtype=XLOOKUP(XLOOKUP($Q732,'Threshold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Chart'!$B$1:$S$1,0)))),base,IF(OR(cat="Status",pow=0),0,FLOOR(FLOOR(FLOOR((2*XLOOKUP($Q732,'Threshold Summary'!$Y:$Y,'Threshold Summary'!$L:$L,"")/5+2)*pow*atk/def)/50)+2)),modifier,stab*eff,AVERAGE(ARRAYFORMULA(FLOOR(base*modifier*SEQUENCE(16,1,85,1)/100)))*MIN(1,acc/100)),0)</f>
        <v/>
      </c>
      <c r="N732" s="4">
        <f>IFERROR(LET(mtype,XLOOKUP($D732,'Move Editor'!$B:$B,'Move Editor'!$C:$C,""),cat,XLOOKUP($D732,'Move Editor'!$B:$B,'Move Editor'!$D:$D,""),pow,XLOOKUP($D732,'Move Editor'!$B:$B,'Move Editor'!$E:$E,0),acc,XLOOKUP($D732,'Move Editor'!$B:$B,'Move Editor'!$F:$F,100),atk,IF(cat="Physical",FLOOR((FLOOR(((2*XLOOKUP(XLOOKUP($Q732,'Threshold Summary'!$Y:$Y,'Threshold Summary'!$K:$K,""),'Pokemon Editor'!$A:$A,'Pokemon Editor'!$F:$F,0)+31+FLOOR(XLOOKUP($Q732,'Threshold Summary'!$Y:$Y,'Threshold Summary'!$P:$P,"")/4))*XLOOKUP($Q732,'Threshold Summary'!$Y:$Y,'Threshold Summary'!$L:$L,""))/100)+5)*XLOOKUP(XLOOKUP($Q732,'Threshold Summary'!$Y:$Y,'Threshold Summary'!$M:$M,""),'Nature Editor'!$A:$A,'Nature Editor'!$B:$B,1)),FLOOR((FLOOR(((2*XLOOKUP(XLOOKUP($Q732,'Threshold Summary'!$Y:$Y,'Threshold Summary'!$K:$K,""),'Pokemon Editor'!$A:$A,'Pokemon Editor'!$H:$H,0)+31+FLOOR(XLOOKUP($Q732,'Threshold Summary'!$Y:$Y,'Threshold Summary'!$R:$R,"")/4))*XLOOKUP($Q732,'Threshold Summary'!$Y:$Y,'Threshold Summary'!$L:$L,""))/100)+5)*XLOOKUP(XLOOKUP($Q732,'Threshold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Editor'!$E:$E,1))),stab,IF(OR(mtype=XLOOKUP(XLOOKUP($Q732,'Threshold Summary'!$Y:$Y,'Threshold Summary'!$K:$K,""),'Pokemon Editor'!$A:$A,'Pokemon Editor'!$C:$C,""),mtype=XLOOKUP(XLOOKUP($Q732,'Threshold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Chart'!$B$1:$S$1,0)))),base,IF(OR(cat="Status",pow=0),0,FLOOR(FLOOR(FLOOR((2*XLOOKUP($Q732,'Threshold Summary'!$Y:$Y,'Threshold Summary'!$L:$L,"")/5+2)*pow*atk/def)/50)+2)),modifier,stab*eff,AVERAGE(ARRAYFORMULA(FLOOR(base*modifier*SEQUENCE(16,1,85,1)/100)))/(FLOOR(((2*XLOOKUP('Boss Editor'!$C$4,'Pokemon Editor'!$A:$A,'Pokemon Editor'!$E:$E,0)+31+FLOOR('Boss Editor'!$G$4/4))*'Boss Editor'!$D$4)/100)+'Boss Editor'!$D$4+10)),0)</f>
        <v/>
      </c>
      <c r="O732" s="3">
        <f>IF(N732&gt;=1,"OHKO",IF(N732&gt;=0.5,"2HKO",IF(N732&gt;=0.333,"3HKO",IF(N732&gt;=0.25,"4HKO","5HKO+"))))</f>
        <v/>
      </c>
      <c r="P732" s="3" t="inlineStr">
        <is>
          <t>Live from editable databases</t>
        </is>
      </c>
      <c r="Q732" s="3" t="inlineStr">
        <is>
          <t>SPECIES_CUTIEFLY</t>
        </is>
      </c>
      <c r="R732" s="3" t="n">
        <v>27</v>
      </c>
    </row>
    <row r="733">
      <c r="A733" s="3">
        <f>XLOOKUP($Q733,'Threshold Summary'!$Y:$Y,'Threshold Summary'!$A:$A,"")</f>
        <v/>
      </c>
      <c r="B733" s="3">
        <f>XLOOKUP($Q733,'Threshold Summary'!$Y:$Y,'Threshold Summary'!$M:$M,"")</f>
        <v/>
      </c>
      <c r="C733" s="3">
        <f>XLOOKUP($Q733,'Threshold Summary'!$Y:$Y,'Threshold Summary'!$N:$N,"")</f>
        <v/>
      </c>
      <c r="D733" s="3">
        <f>IFERROR(INDEX(FILTER('Learnset Editor'!$D$2:$D,'Learnset Editor'!$A$2:$A=XLOOKUP($Q733,'Threshold Summary'!$Y:$Y,'Threshold Summary'!$K:$K,""),'Learnset Editor'!$C$2:$C&lt;=XLOOKUP($Q733,'Threshold Summary'!$Y:$Y,'Threshold Summary'!$L:$L,"")),$R733),"")</f>
        <v/>
      </c>
      <c r="E733" s="3">
        <f>XLOOKUP(D733,'Move Editor'!$B:$B,'Move Editor'!$C:$C,"")</f>
        <v/>
      </c>
      <c r="F733" s="3">
        <f>XLOOKUP(D733,'Move Editor'!$B:$B,'Move Editor'!$D:$D,"")</f>
        <v/>
      </c>
      <c r="G733" s="3">
        <f>XLOOKUP(D733,'Move Editor'!$B:$B,'Move Editor'!$E:$E,0)</f>
        <v/>
      </c>
      <c r="H733" s="3">
        <f>XLOOKUP(D733,'Move Editor'!$B:$B,'Move Editor'!$F:$F,0)</f>
        <v/>
      </c>
      <c r="I733" s="3">
        <f>(INDEX('Type Chart'!$B:$S,MATCH(E733,'Type Chart'!$A:$A,0),MATCH(XLOOKUP('Boss Editor'!$C$4,'Pokemon Editor'!$A:$A,'Pokemon Editor'!$C:$C,""),'Type Chart'!$B$1:$S$1,0))*IF(XLOOKUP('Boss Editor'!$C$4,'Pokemon Editor'!$A:$A,'Pokemon Editor'!$D:$D,"")="",1,INDEX('Type Chart'!$B:$S,MATCH(E733,'Type Chart'!$A:$A,0),MATCH(XLOOKUP('Boss Editor'!$C$4,'Pokemon Editor'!$A:$A,'Pokemon Editor'!$D:$D,""),'Type Chart'!$B$1:$S$1,0))))</f>
        <v/>
      </c>
      <c r="J733" s="3">
        <f>IFERROR(LET(mtype,XLOOKUP($D733,'Move Editor'!$B:$B,'Move Editor'!$C:$C,""),cat,XLOOKUP($D733,'Move Editor'!$B:$B,'Move Editor'!$D:$D,""),pow,XLOOKUP($D733,'Move Editor'!$B:$B,'Move Editor'!$E:$E,0),acc,XLOOKUP($D733,'Move Editor'!$B:$B,'Move Editor'!$F:$F,100),atk,IF(cat="Physical",FLOOR((FLOOR(((2*XLOOKUP(XLOOKUP($Q733,'Threshold Summary'!$Y:$Y,'Threshold Summary'!$K:$K,""),'Pokemon Editor'!$A:$A,'Pokemon Editor'!$F:$F,0)+31+FLOOR(XLOOKUP($Q733,'Threshold Summary'!$Y:$Y,'Threshold Summary'!$P:$P,"")/4))*XLOOKUP($Q733,'Threshold Summary'!$Y:$Y,'Threshold Summary'!$L:$L,""))/100)+5)*XLOOKUP(XLOOKUP($Q733,'Threshold Summary'!$Y:$Y,'Threshold Summary'!$M:$M,""),'Nature Editor'!$A:$A,'Nature Editor'!$B:$B,1)),FLOOR((FLOOR(((2*XLOOKUP(XLOOKUP($Q733,'Threshold Summary'!$Y:$Y,'Threshold Summary'!$K:$K,""),'Pokemon Editor'!$A:$A,'Pokemon Editor'!$H:$H,0)+31+FLOOR(XLOOKUP($Q733,'Threshold Summary'!$Y:$Y,'Threshold Summary'!$R:$R,"")/4))*XLOOKUP($Q733,'Threshold Summary'!$Y:$Y,'Threshold Summary'!$L:$L,""))/100)+5)*XLOOKUP(XLOOKUP($Q733,'Threshold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Editor'!$E:$E,1))),stab,IF(OR(mtype=XLOOKUP(XLOOKUP($Q733,'Threshold Summary'!$Y:$Y,'Threshold Summary'!$K:$K,""),'Pokemon Editor'!$A:$A,'Pokemon Editor'!$C:$C,""),mtype=XLOOKUP(XLOOKUP($Q733,'Threshold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Chart'!$B$1:$S$1,0)))),base,IF(OR(cat="Status",pow=0),0,FLOOR(FLOOR(FLOOR((2*XLOOKUP($Q733,'Threshold Summary'!$Y:$Y,'Threshold Summary'!$L:$L,"")/5+2)*pow*atk/def)/50)+2)),modifier,stab*eff,FLOOR(base*modifier*0.85)),0)</f>
        <v/>
      </c>
      <c r="K733" s="3">
        <f>IFERROR(LET(mtype,XLOOKUP($D733,'Move Editor'!$B:$B,'Move Editor'!$C:$C,""),cat,XLOOKUP($D733,'Move Editor'!$B:$B,'Move Editor'!$D:$D,""),pow,XLOOKUP($D733,'Move Editor'!$B:$B,'Move Editor'!$E:$E,0),acc,XLOOKUP($D733,'Move Editor'!$B:$B,'Move Editor'!$F:$F,100),atk,IF(cat="Physical",FLOOR((FLOOR(((2*XLOOKUP(XLOOKUP($Q733,'Threshold Summary'!$Y:$Y,'Threshold Summary'!$K:$K,""),'Pokemon Editor'!$A:$A,'Pokemon Editor'!$F:$F,0)+31+FLOOR(XLOOKUP($Q733,'Threshold Summary'!$Y:$Y,'Threshold Summary'!$P:$P,"")/4))*XLOOKUP($Q733,'Threshold Summary'!$Y:$Y,'Threshold Summary'!$L:$L,""))/100)+5)*XLOOKUP(XLOOKUP($Q733,'Threshold Summary'!$Y:$Y,'Threshold Summary'!$M:$M,""),'Nature Editor'!$A:$A,'Nature Editor'!$B:$B,1)),FLOOR((FLOOR(((2*XLOOKUP(XLOOKUP($Q733,'Threshold Summary'!$Y:$Y,'Threshold Summary'!$K:$K,""),'Pokemon Editor'!$A:$A,'Pokemon Editor'!$H:$H,0)+31+FLOOR(XLOOKUP($Q733,'Threshold Summary'!$Y:$Y,'Threshold Summary'!$R:$R,"")/4))*XLOOKUP($Q733,'Threshold Summary'!$Y:$Y,'Threshold Summary'!$L:$L,""))/100)+5)*XLOOKUP(XLOOKUP($Q733,'Threshold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Editor'!$E:$E,1))),stab,IF(OR(mtype=XLOOKUP(XLOOKUP($Q733,'Threshold Summary'!$Y:$Y,'Threshold Summary'!$K:$K,""),'Pokemon Editor'!$A:$A,'Pokemon Editor'!$C:$C,""),mtype=XLOOKUP(XLOOKUP($Q733,'Threshold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Chart'!$B$1:$S$1,0)))),base,IF(OR(cat="Status",pow=0),0,FLOOR(FLOOR(FLOOR((2*XLOOKUP($Q733,'Threshold Summary'!$Y:$Y,'Threshold Summary'!$L:$L,"")/5+2)*pow*atk/def)/50)+2)),modifier,stab*eff,FLOOR(base*modifier)),0)</f>
        <v/>
      </c>
      <c r="L733" s="3">
        <f>IFERROR(LET(mtype,XLOOKUP($D733,'Move Editor'!$B:$B,'Move Editor'!$C:$C,""),cat,XLOOKUP($D733,'Move Editor'!$B:$B,'Move Editor'!$D:$D,""),pow,XLOOKUP($D733,'Move Editor'!$B:$B,'Move Editor'!$E:$E,0),acc,XLOOKUP($D733,'Move Editor'!$B:$B,'Move Editor'!$F:$F,100),atk,IF(cat="Physical",FLOOR((FLOOR(((2*XLOOKUP(XLOOKUP($Q733,'Threshold Summary'!$Y:$Y,'Threshold Summary'!$K:$K,""),'Pokemon Editor'!$A:$A,'Pokemon Editor'!$F:$F,0)+31+FLOOR(XLOOKUP($Q733,'Threshold Summary'!$Y:$Y,'Threshold Summary'!$P:$P,"")/4))*XLOOKUP($Q733,'Threshold Summary'!$Y:$Y,'Threshold Summary'!$L:$L,""))/100)+5)*XLOOKUP(XLOOKUP($Q733,'Threshold Summary'!$Y:$Y,'Threshold Summary'!$M:$M,""),'Nature Editor'!$A:$A,'Nature Editor'!$B:$B,1)),FLOOR((FLOOR(((2*XLOOKUP(XLOOKUP($Q733,'Threshold Summary'!$Y:$Y,'Threshold Summary'!$K:$K,""),'Pokemon Editor'!$A:$A,'Pokemon Editor'!$H:$H,0)+31+FLOOR(XLOOKUP($Q733,'Threshold Summary'!$Y:$Y,'Threshold Summary'!$R:$R,"")/4))*XLOOKUP($Q733,'Threshold Summary'!$Y:$Y,'Threshold Summary'!$L:$L,""))/100)+5)*XLOOKUP(XLOOKUP($Q733,'Threshold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Editor'!$E:$E,1))),stab,IF(OR(mtype=XLOOKUP(XLOOKUP($Q733,'Threshold Summary'!$Y:$Y,'Threshold Summary'!$K:$K,""),'Pokemon Editor'!$A:$A,'Pokemon Editor'!$C:$C,""),mtype=XLOOKUP(XLOOKUP($Q733,'Threshold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Chart'!$B$1:$S$1,0)))),base,IF(OR(cat="Status",pow=0),0,FLOOR(FLOOR(FLOOR((2*XLOOKUP($Q733,'Threshold Summary'!$Y:$Y,'Threshold Summary'!$L:$L,"")/5+2)*pow*atk/def)/50)+2)),modifier,stab*eff,AVERAGE(ARRAYFORMULA(FLOOR(base*modifier*SEQUENCE(16,1,85,1)/100)))),0)</f>
        <v/>
      </c>
      <c r="M733" s="3">
        <f>IFERROR(LET(mtype,XLOOKUP($D733,'Move Editor'!$B:$B,'Move Editor'!$C:$C,""),cat,XLOOKUP($D733,'Move Editor'!$B:$B,'Move Editor'!$D:$D,""),pow,XLOOKUP($D733,'Move Editor'!$B:$B,'Move Editor'!$E:$E,0),acc,XLOOKUP($D733,'Move Editor'!$B:$B,'Move Editor'!$F:$F,100),atk,IF(cat="Physical",FLOOR((FLOOR(((2*XLOOKUP(XLOOKUP($Q733,'Threshold Summary'!$Y:$Y,'Threshold Summary'!$K:$K,""),'Pokemon Editor'!$A:$A,'Pokemon Editor'!$F:$F,0)+31+FLOOR(XLOOKUP($Q733,'Threshold Summary'!$Y:$Y,'Threshold Summary'!$P:$P,"")/4))*XLOOKUP($Q733,'Threshold Summary'!$Y:$Y,'Threshold Summary'!$L:$L,""))/100)+5)*XLOOKUP(XLOOKUP($Q733,'Threshold Summary'!$Y:$Y,'Threshold Summary'!$M:$M,""),'Nature Editor'!$A:$A,'Nature Editor'!$B:$B,1)),FLOOR((FLOOR(((2*XLOOKUP(XLOOKUP($Q733,'Threshold Summary'!$Y:$Y,'Threshold Summary'!$K:$K,""),'Pokemon Editor'!$A:$A,'Pokemon Editor'!$H:$H,0)+31+FLOOR(XLOOKUP($Q733,'Threshold Summary'!$Y:$Y,'Threshold Summary'!$R:$R,"")/4))*XLOOKUP($Q733,'Threshold Summary'!$Y:$Y,'Threshold Summary'!$L:$L,""))/100)+5)*XLOOKUP(XLOOKUP($Q733,'Threshold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Editor'!$E:$E,1))),stab,IF(OR(mtype=XLOOKUP(XLOOKUP($Q733,'Threshold Summary'!$Y:$Y,'Threshold Summary'!$K:$K,""),'Pokemon Editor'!$A:$A,'Pokemon Editor'!$C:$C,""),mtype=XLOOKUP(XLOOKUP($Q733,'Threshold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Chart'!$B$1:$S$1,0)))),base,IF(OR(cat="Status",pow=0),0,FLOOR(FLOOR(FLOOR((2*XLOOKUP($Q733,'Threshold Summary'!$Y:$Y,'Threshold Summary'!$L:$L,"")/5+2)*pow*atk/def)/50)+2)),modifier,stab*eff,AVERAGE(ARRAYFORMULA(FLOOR(base*modifier*SEQUENCE(16,1,85,1)/100)))*MIN(1,acc/100)),0)</f>
        <v/>
      </c>
      <c r="N733" s="4">
        <f>IFERROR(LET(mtype,XLOOKUP($D733,'Move Editor'!$B:$B,'Move Editor'!$C:$C,""),cat,XLOOKUP($D733,'Move Editor'!$B:$B,'Move Editor'!$D:$D,""),pow,XLOOKUP($D733,'Move Editor'!$B:$B,'Move Editor'!$E:$E,0),acc,XLOOKUP($D733,'Move Editor'!$B:$B,'Move Editor'!$F:$F,100),atk,IF(cat="Physical",FLOOR((FLOOR(((2*XLOOKUP(XLOOKUP($Q733,'Threshold Summary'!$Y:$Y,'Threshold Summary'!$K:$K,""),'Pokemon Editor'!$A:$A,'Pokemon Editor'!$F:$F,0)+31+FLOOR(XLOOKUP($Q733,'Threshold Summary'!$Y:$Y,'Threshold Summary'!$P:$P,"")/4))*XLOOKUP($Q733,'Threshold Summary'!$Y:$Y,'Threshold Summary'!$L:$L,""))/100)+5)*XLOOKUP(XLOOKUP($Q733,'Threshold Summary'!$Y:$Y,'Threshold Summary'!$M:$M,""),'Nature Editor'!$A:$A,'Nature Editor'!$B:$B,1)),FLOOR((FLOOR(((2*XLOOKUP(XLOOKUP($Q733,'Threshold Summary'!$Y:$Y,'Threshold Summary'!$K:$K,""),'Pokemon Editor'!$A:$A,'Pokemon Editor'!$H:$H,0)+31+FLOOR(XLOOKUP($Q733,'Threshold Summary'!$Y:$Y,'Threshold Summary'!$R:$R,"")/4))*XLOOKUP($Q733,'Threshold Summary'!$Y:$Y,'Threshold Summary'!$L:$L,""))/100)+5)*XLOOKUP(XLOOKUP($Q733,'Threshold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Editor'!$E:$E,1))),stab,IF(OR(mtype=XLOOKUP(XLOOKUP($Q733,'Threshold Summary'!$Y:$Y,'Threshold Summary'!$K:$K,""),'Pokemon Editor'!$A:$A,'Pokemon Editor'!$C:$C,""),mtype=XLOOKUP(XLOOKUP($Q733,'Threshold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Chart'!$B$1:$S$1,0)))),base,IF(OR(cat="Status",pow=0),0,FLOOR(FLOOR(FLOOR((2*XLOOKUP($Q733,'Threshold Summary'!$Y:$Y,'Threshold Summary'!$L:$L,"")/5+2)*pow*atk/def)/50)+2)),modifier,stab*eff,AVERAGE(ARRAYFORMULA(FLOOR(base*modifier*SEQUENCE(16,1,85,1)/100)))/(FLOOR(((2*XLOOKUP('Boss Editor'!$C$4,'Pokemon Editor'!$A:$A,'Pokemon Editor'!$E:$E,0)+31+FLOOR('Boss Editor'!$G$4/4))*'Boss Editor'!$D$4)/100)+'Boss Editor'!$D$4+10)),0)</f>
        <v/>
      </c>
      <c r="O733" s="3">
        <f>IF(N733&gt;=1,"OHKO",IF(N733&gt;=0.5,"2HKO",IF(N733&gt;=0.333,"3HKO",IF(N733&gt;=0.25,"4HKO","5HKO+"))))</f>
        <v/>
      </c>
      <c r="P733" s="3" t="inlineStr">
        <is>
          <t>Live from editable databases</t>
        </is>
      </c>
      <c r="Q733" s="3" t="inlineStr">
        <is>
          <t>SPECIES_CUTIEFLY</t>
        </is>
      </c>
      <c r="R733" s="3" t="n">
        <v>28</v>
      </c>
    </row>
    <row r="734">
      <c r="A734" s="3">
        <f>XLOOKUP($Q734,'Threshold Summary'!$Y:$Y,'Threshold Summary'!$A:$A,"")</f>
        <v/>
      </c>
      <c r="B734" s="3">
        <f>XLOOKUP($Q734,'Threshold Summary'!$Y:$Y,'Threshold Summary'!$M:$M,"")</f>
        <v/>
      </c>
      <c r="C734" s="3">
        <f>XLOOKUP($Q734,'Threshold Summary'!$Y:$Y,'Threshold Summary'!$N:$N,"")</f>
        <v/>
      </c>
      <c r="D734" s="3">
        <f>IFERROR(INDEX(FILTER('Learnset Editor'!$D$2:$D,'Learnset Editor'!$A$2:$A=XLOOKUP($Q734,'Threshold Summary'!$Y:$Y,'Threshold Summary'!$K:$K,""),'Learnset Editor'!$C$2:$C&lt;=XLOOKUP($Q734,'Threshold Summary'!$Y:$Y,'Threshold Summary'!$L:$L,"")),$R734),"")</f>
        <v/>
      </c>
      <c r="E734" s="3">
        <f>XLOOKUP(D734,'Move Editor'!$B:$B,'Move Editor'!$C:$C,"")</f>
        <v/>
      </c>
      <c r="F734" s="3">
        <f>XLOOKUP(D734,'Move Editor'!$B:$B,'Move Editor'!$D:$D,"")</f>
        <v/>
      </c>
      <c r="G734" s="3">
        <f>XLOOKUP(D734,'Move Editor'!$B:$B,'Move Editor'!$E:$E,0)</f>
        <v/>
      </c>
      <c r="H734" s="3">
        <f>XLOOKUP(D734,'Move Editor'!$B:$B,'Move Editor'!$F:$F,0)</f>
        <v/>
      </c>
      <c r="I734" s="3">
        <f>(INDEX('Type Chart'!$B:$S,MATCH(E734,'Type Chart'!$A:$A,0),MATCH(XLOOKUP('Boss Editor'!$C$4,'Pokemon Editor'!$A:$A,'Pokemon Editor'!$C:$C,""),'Type Chart'!$B$1:$S$1,0))*IF(XLOOKUP('Boss Editor'!$C$4,'Pokemon Editor'!$A:$A,'Pokemon Editor'!$D:$D,"")="",1,INDEX('Type Chart'!$B:$S,MATCH(E734,'Type Chart'!$A:$A,0),MATCH(XLOOKUP('Boss Editor'!$C$4,'Pokemon Editor'!$A:$A,'Pokemon Editor'!$D:$D,""),'Type Chart'!$B$1:$S$1,0))))</f>
        <v/>
      </c>
      <c r="J734" s="3">
        <f>IFERROR(LET(mtype,XLOOKUP($D734,'Move Editor'!$B:$B,'Move Editor'!$C:$C,""),cat,XLOOKUP($D734,'Move Editor'!$B:$B,'Move Editor'!$D:$D,""),pow,XLOOKUP($D734,'Move Editor'!$B:$B,'Move Editor'!$E:$E,0),acc,XLOOKUP($D734,'Move Editor'!$B:$B,'Move Editor'!$F:$F,100),atk,IF(cat="Physical",FLOOR((FLOOR(((2*XLOOKUP(XLOOKUP($Q734,'Threshold Summary'!$Y:$Y,'Threshold Summary'!$K:$K,""),'Pokemon Editor'!$A:$A,'Pokemon Editor'!$F:$F,0)+31+FLOOR(XLOOKUP($Q734,'Threshold Summary'!$Y:$Y,'Threshold Summary'!$P:$P,"")/4))*XLOOKUP($Q734,'Threshold Summary'!$Y:$Y,'Threshold Summary'!$L:$L,""))/100)+5)*XLOOKUP(XLOOKUP($Q734,'Threshold Summary'!$Y:$Y,'Threshold Summary'!$M:$M,""),'Nature Editor'!$A:$A,'Nature Editor'!$B:$B,1)),FLOOR((FLOOR(((2*XLOOKUP(XLOOKUP($Q734,'Threshold Summary'!$Y:$Y,'Threshold Summary'!$K:$K,""),'Pokemon Editor'!$A:$A,'Pokemon Editor'!$H:$H,0)+31+FLOOR(XLOOKUP($Q734,'Threshold Summary'!$Y:$Y,'Threshold Summary'!$R:$R,"")/4))*XLOOKUP($Q734,'Threshold Summary'!$Y:$Y,'Threshold Summary'!$L:$L,""))/100)+5)*XLOOKUP(XLOOKUP($Q734,'Threshold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Editor'!$E:$E,1))),stab,IF(OR(mtype=XLOOKUP(XLOOKUP($Q734,'Threshold Summary'!$Y:$Y,'Threshold Summary'!$K:$K,""),'Pokemon Editor'!$A:$A,'Pokemon Editor'!$C:$C,""),mtype=XLOOKUP(XLOOKUP($Q734,'Threshold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Chart'!$B$1:$S$1,0)))),base,IF(OR(cat="Status",pow=0),0,FLOOR(FLOOR(FLOOR((2*XLOOKUP($Q734,'Threshold Summary'!$Y:$Y,'Threshold Summary'!$L:$L,"")/5+2)*pow*atk/def)/50)+2)),modifier,stab*eff,FLOOR(base*modifier*0.85)),0)</f>
        <v/>
      </c>
      <c r="K734" s="3">
        <f>IFERROR(LET(mtype,XLOOKUP($D734,'Move Editor'!$B:$B,'Move Editor'!$C:$C,""),cat,XLOOKUP($D734,'Move Editor'!$B:$B,'Move Editor'!$D:$D,""),pow,XLOOKUP($D734,'Move Editor'!$B:$B,'Move Editor'!$E:$E,0),acc,XLOOKUP($D734,'Move Editor'!$B:$B,'Move Editor'!$F:$F,100),atk,IF(cat="Physical",FLOOR((FLOOR(((2*XLOOKUP(XLOOKUP($Q734,'Threshold Summary'!$Y:$Y,'Threshold Summary'!$K:$K,""),'Pokemon Editor'!$A:$A,'Pokemon Editor'!$F:$F,0)+31+FLOOR(XLOOKUP($Q734,'Threshold Summary'!$Y:$Y,'Threshold Summary'!$P:$P,"")/4))*XLOOKUP($Q734,'Threshold Summary'!$Y:$Y,'Threshold Summary'!$L:$L,""))/100)+5)*XLOOKUP(XLOOKUP($Q734,'Threshold Summary'!$Y:$Y,'Threshold Summary'!$M:$M,""),'Nature Editor'!$A:$A,'Nature Editor'!$B:$B,1)),FLOOR((FLOOR(((2*XLOOKUP(XLOOKUP($Q734,'Threshold Summary'!$Y:$Y,'Threshold Summary'!$K:$K,""),'Pokemon Editor'!$A:$A,'Pokemon Editor'!$H:$H,0)+31+FLOOR(XLOOKUP($Q734,'Threshold Summary'!$Y:$Y,'Threshold Summary'!$R:$R,"")/4))*XLOOKUP($Q734,'Threshold Summary'!$Y:$Y,'Threshold Summary'!$L:$L,""))/100)+5)*XLOOKUP(XLOOKUP($Q734,'Threshold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Editor'!$E:$E,1))),stab,IF(OR(mtype=XLOOKUP(XLOOKUP($Q734,'Threshold Summary'!$Y:$Y,'Threshold Summary'!$K:$K,""),'Pokemon Editor'!$A:$A,'Pokemon Editor'!$C:$C,""),mtype=XLOOKUP(XLOOKUP($Q734,'Threshold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Chart'!$B$1:$S$1,0)))),base,IF(OR(cat="Status",pow=0),0,FLOOR(FLOOR(FLOOR((2*XLOOKUP($Q734,'Threshold Summary'!$Y:$Y,'Threshold Summary'!$L:$L,"")/5+2)*pow*atk/def)/50)+2)),modifier,stab*eff,FLOOR(base*modifier)),0)</f>
        <v/>
      </c>
      <c r="L734" s="3">
        <f>IFERROR(LET(mtype,XLOOKUP($D734,'Move Editor'!$B:$B,'Move Editor'!$C:$C,""),cat,XLOOKUP($D734,'Move Editor'!$B:$B,'Move Editor'!$D:$D,""),pow,XLOOKUP($D734,'Move Editor'!$B:$B,'Move Editor'!$E:$E,0),acc,XLOOKUP($D734,'Move Editor'!$B:$B,'Move Editor'!$F:$F,100),atk,IF(cat="Physical",FLOOR((FLOOR(((2*XLOOKUP(XLOOKUP($Q734,'Threshold Summary'!$Y:$Y,'Threshold Summary'!$K:$K,""),'Pokemon Editor'!$A:$A,'Pokemon Editor'!$F:$F,0)+31+FLOOR(XLOOKUP($Q734,'Threshold Summary'!$Y:$Y,'Threshold Summary'!$P:$P,"")/4))*XLOOKUP($Q734,'Threshold Summary'!$Y:$Y,'Threshold Summary'!$L:$L,""))/100)+5)*XLOOKUP(XLOOKUP($Q734,'Threshold Summary'!$Y:$Y,'Threshold Summary'!$M:$M,""),'Nature Editor'!$A:$A,'Nature Editor'!$B:$B,1)),FLOOR((FLOOR(((2*XLOOKUP(XLOOKUP($Q734,'Threshold Summary'!$Y:$Y,'Threshold Summary'!$K:$K,""),'Pokemon Editor'!$A:$A,'Pokemon Editor'!$H:$H,0)+31+FLOOR(XLOOKUP($Q734,'Threshold Summary'!$Y:$Y,'Threshold Summary'!$R:$R,"")/4))*XLOOKUP($Q734,'Threshold Summary'!$Y:$Y,'Threshold Summary'!$L:$L,""))/100)+5)*XLOOKUP(XLOOKUP($Q734,'Threshold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Editor'!$E:$E,1))),stab,IF(OR(mtype=XLOOKUP(XLOOKUP($Q734,'Threshold Summary'!$Y:$Y,'Threshold Summary'!$K:$K,""),'Pokemon Editor'!$A:$A,'Pokemon Editor'!$C:$C,""),mtype=XLOOKUP(XLOOKUP($Q734,'Threshold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Chart'!$B$1:$S$1,0)))),base,IF(OR(cat="Status",pow=0),0,FLOOR(FLOOR(FLOOR((2*XLOOKUP($Q734,'Threshold Summary'!$Y:$Y,'Threshold Summary'!$L:$L,"")/5+2)*pow*atk/def)/50)+2)),modifier,stab*eff,AVERAGE(ARRAYFORMULA(FLOOR(base*modifier*SEQUENCE(16,1,85,1)/100)))),0)</f>
        <v/>
      </c>
      <c r="M734" s="3">
        <f>IFERROR(LET(mtype,XLOOKUP($D734,'Move Editor'!$B:$B,'Move Editor'!$C:$C,""),cat,XLOOKUP($D734,'Move Editor'!$B:$B,'Move Editor'!$D:$D,""),pow,XLOOKUP($D734,'Move Editor'!$B:$B,'Move Editor'!$E:$E,0),acc,XLOOKUP($D734,'Move Editor'!$B:$B,'Move Editor'!$F:$F,100),atk,IF(cat="Physical",FLOOR((FLOOR(((2*XLOOKUP(XLOOKUP($Q734,'Threshold Summary'!$Y:$Y,'Threshold Summary'!$K:$K,""),'Pokemon Editor'!$A:$A,'Pokemon Editor'!$F:$F,0)+31+FLOOR(XLOOKUP($Q734,'Threshold Summary'!$Y:$Y,'Threshold Summary'!$P:$P,"")/4))*XLOOKUP($Q734,'Threshold Summary'!$Y:$Y,'Threshold Summary'!$L:$L,""))/100)+5)*XLOOKUP(XLOOKUP($Q734,'Threshold Summary'!$Y:$Y,'Threshold Summary'!$M:$M,""),'Nature Editor'!$A:$A,'Nature Editor'!$B:$B,1)),FLOOR((FLOOR(((2*XLOOKUP(XLOOKUP($Q734,'Threshold Summary'!$Y:$Y,'Threshold Summary'!$K:$K,""),'Pokemon Editor'!$A:$A,'Pokemon Editor'!$H:$H,0)+31+FLOOR(XLOOKUP($Q734,'Threshold Summary'!$Y:$Y,'Threshold Summary'!$R:$R,"")/4))*XLOOKUP($Q734,'Threshold Summary'!$Y:$Y,'Threshold Summary'!$L:$L,""))/100)+5)*XLOOKUP(XLOOKUP($Q734,'Threshold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Editor'!$E:$E,1))),stab,IF(OR(mtype=XLOOKUP(XLOOKUP($Q734,'Threshold Summary'!$Y:$Y,'Threshold Summary'!$K:$K,""),'Pokemon Editor'!$A:$A,'Pokemon Editor'!$C:$C,""),mtype=XLOOKUP(XLOOKUP($Q734,'Threshold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Chart'!$B$1:$S$1,0)))),base,IF(OR(cat="Status",pow=0),0,FLOOR(FLOOR(FLOOR((2*XLOOKUP($Q734,'Threshold Summary'!$Y:$Y,'Threshold Summary'!$L:$L,"")/5+2)*pow*atk/def)/50)+2)),modifier,stab*eff,AVERAGE(ARRAYFORMULA(FLOOR(base*modifier*SEQUENCE(16,1,85,1)/100)))*MIN(1,acc/100)),0)</f>
        <v/>
      </c>
      <c r="N734" s="4">
        <f>IFERROR(LET(mtype,XLOOKUP($D734,'Move Editor'!$B:$B,'Move Editor'!$C:$C,""),cat,XLOOKUP($D734,'Move Editor'!$B:$B,'Move Editor'!$D:$D,""),pow,XLOOKUP($D734,'Move Editor'!$B:$B,'Move Editor'!$E:$E,0),acc,XLOOKUP($D734,'Move Editor'!$B:$B,'Move Editor'!$F:$F,100),atk,IF(cat="Physical",FLOOR((FLOOR(((2*XLOOKUP(XLOOKUP($Q734,'Threshold Summary'!$Y:$Y,'Threshold Summary'!$K:$K,""),'Pokemon Editor'!$A:$A,'Pokemon Editor'!$F:$F,0)+31+FLOOR(XLOOKUP($Q734,'Threshold Summary'!$Y:$Y,'Threshold Summary'!$P:$P,"")/4))*XLOOKUP($Q734,'Threshold Summary'!$Y:$Y,'Threshold Summary'!$L:$L,""))/100)+5)*XLOOKUP(XLOOKUP($Q734,'Threshold Summary'!$Y:$Y,'Threshold Summary'!$M:$M,""),'Nature Editor'!$A:$A,'Nature Editor'!$B:$B,1)),FLOOR((FLOOR(((2*XLOOKUP(XLOOKUP($Q734,'Threshold Summary'!$Y:$Y,'Threshold Summary'!$K:$K,""),'Pokemon Editor'!$A:$A,'Pokemon Editor'!$H:$H,0)+31+FLOOR(XLOOKUP($Q734,'Threshold Summary'!$Y:$Y,'Threshold Summary'!$R:$R,"")/4))*XLOOKUP($Q734,'Threshold Summary'!$Y:$Y,'Threshold Summary'!$L:$L,""))/100)+5)*XLOOKUP(XLOOKUP($Q734,'Threshold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Editor'!$E:$E,1))),stab,IF(OR(mtype=XLOOKUP(XLOOKUP($Q734,'Threshold Summary'!$Y:$Y,'Threshold Summary'!$K:$K,""),'Pokemon Editor'!$A:$A,'Pokemon Editor'!$C:$C,""),mtype=XLOOKUP(XLOOKUP($Q734,'Threshold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Chart'!$B$1:$S$1,0)))),base,IF(OR(cat="Status",pow=0),0,FLOOR(FLOOR(FLOOR((2*XLOOKUP($Q734,'Threshold Summary'!$Y:$Y,'Threshold Summary'!$L:$L,"")/5+2)*pow*atk/def)/50)+2)),modifier,stab*eff,AVERAGE(ARRAYFORMULA(FLOOR(base*modifier*SEQUENCE(16,1,85,1)/100)))/(FLOOR(((2*XLOOKUP('Boss Editor'!$C$4,'Pokemon Editor'!$A:$A,'Pokemon Editor'!$E:$E,0)+31+FLOOR('Boss Editor'!$G$4/4))*'Boss Editor'!$D$4)/100)+'Boss Editor'!$D$4+10)),0)</f>
        <v/>
      </c>
      <c r="O734" s="3">
        <f>IF(N734&gt;=1,"OHKO",IF(N734&gt;=0.5,"2HKO",IF(N734&gt;=0.333,"3HKO",IF(N734&gt;=0.25,"4HKO","5HKO+"))))</f>
        <v/>
      </c>
      <c r="P734" s="3" t="inlineStr">
        <is>
          <t>Live from editable databases</t>
        </is>
      </c>
      <c r="Q734" s="3" t="inlineStr">
        <is>
          <t>SPECIES_CUTIEFLY</t>
        </is>
      </c>
      <c r="R734" s="3" t="n">
        <v>29</v>
      </c>
    </row>
    <row r="735">
      <c r="A735" s="3">
        <f>XLOOKUP($Q735,'Threshold Summary'!$Y:$Y,'Threshold Summary'!$A:$A,"")</f>
        <v/>
      </c>
      <c r="B735" s="3">
        <f>XLOOKUP($Q735,'Threshold Summary'!$Y:$Y,'Threshold Summary'!$M:$M,"")</f>
        <v/>
      </c>
      <c r="C735" s="3">
        <f>XLOOKUP($Q735,'Threshold Summary'!$Y:$Y,'Threshold Summary'!$N:$N,"")</f>
        <v/>
      </c>
      <c r="D735" s="3">
        <f>IFERROR(INDEX(FILTER('Learnset Editor'!$D$2:$D,'Learnset Editor'!$A$2:$A=XLOOKUP($Q735,'Threshold Summary'!$Y:$Y,'Threshold Summary'!$K:$K,""),'Learnset Editor'!$C$2:$C&lt;=XLOOKUP($Q735,'Threshold Summary'!$Y:$Y,'Threshold Summary'!$L:$L,"")),$R735),"")</f>
        <v/>
      </c>
      <c r="E735" s="3">
        <f>XLOOKUP(D735,'Move Editor'!$B:$B,'Move Editor'!$C:$C,"")</f>
        <v/>
      </c>
      <c r="F735" s="3">
        <f>XLOOKUP(D735,'Move Editor'!$B:$B,'Move Editor'!$D:$D,"")</f>
        <v/>
      </c>
      <c r="G735" s="3">
        <f>XLOOKUP(D735,'Move Editor'!$B:$B,'Move Editor'!$E:$E,0)</f>
        <v/>
      </c>
      <c r="H735" s="3">
        <f>XLOOKUP(D735,'Move Editor'!$B:$B,'Move Editor'!$F:$F,0)</f>
        <v/>
      </c>
      <c r="I735" s="3">
        <f>(INDEX('Type Chart'!$B:$S,MATCH(E735,'Type Chart'!$A:$A,0),MATCH(XLOOKUP('Boss Editor'!$C$4,'Pokemon Editor'!$A:$A,'Pokemon Editor'!$C:$C,""),'Type Chart'!$B$1:$S$1,0))*IF(XLOOKUP('Boss Editor'!$C$4,'Pokemon Editor'!$A:$A,'Pokemon Editor'!$D:$D,"")="",1,INDEX('Type Chart'!$B:$S,MATCH(E735,'Type Chart'!$A:$A,0),MATCH(XLOOKUP('Boss Editor'!$C$4,'Pokemon Editor'!$A:$A,'Pokemon Editor'!$D:$D,""),'Type Chart'!$B$1:$S$1,0))))</f>
        <v/>
      </c>
      <c r="J735" s="3">
        <f>IFERROR(LET(mtype,XLOOKUP($D735,'Move Editor'!$B:$B,'Move Editor'!$C:$C,""),cat,XLOOKUP($D735,'Move Editor'!$B:$B,'Move Editor'!$D:$D,""),pow,XLOOKUP($D735,'Move Editor'!$B:$B,'Move Editor'!$E:$E,0),acc,XLOOKUP($D735,'Move Editor'!$B:$B,'Move Editor'!$F:$F,100),atk,IF(cat="Physical",FLOOR((FLOOR(((2*XLOOKUP(XLOOKUP($Q735,'Threshold Summary'!$Y:$Y,'Threshold Summary'!$K:$K,""),'Pokemon Editor'!$A:$A,'Pokemon Editor'!$F:$F,0)+31+FLOOR(XLOOKUP($Q735,'Threshold Summary'!$Y:$Y,'Threshold Summary'!$P:$P,"")/4))*XLOOKUP($Q735,'Threshold Summary'!$Y:$Y,'Threshold Summary'!$L:$L,""))/100)+5)*XLOOKUP(XLOOKUP($Q735,'Threshold Summary'!$Y:$Y,'Threshold Summary'!$M:$M,""),'Nature Editor'!$A:$A,'Nature Editor'!$B:$B,1)),FLOOR((FLOOR(((2*XLOOKUP(XLOOKUP($Q735,'Threshold Summary'!$Y:$Y,'Threshold Summary'!$K:$K,""),'Pokemon Editor'!$A:$A,'Pokemon Editor'!$H:$H,0)+31+FLOOR(XLOOKUP($Q735,'Threshold Summary'!$Y:$Y,'Threshold Summary'!$R:$R,"")/4))*XLOOKUP($Q735,'Threshold Summary'!$Y:$Y,'Threshold Summary'!$L:$L,""))/100)+5)*XLOOKUP(XLOOKUP($Q735,'Threshold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Editor'!$E:$E,1))),stab,IF(OR(mtype=XLOOKUP(XLOOKUP($Q735,'Threshold Summary'!$Y:$Y,'Threshold Summary'!$K:$K,""),'Pokemon Editor'!$A:$A,'Pokemon Editor'!$C:$C,""),mtype=XLOOKUP(XLOOKUP($Q735,'Threshold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Chart'!$B$1:$S$1,0)))),base,IF(OR(cat="Status",pow=0),0,FLOOR(FLOOR(FLOOR((2*XLOOKUP($Q735,'Threshold Summary'!$Y:$Y,'Threshold Summary'!$L:$L,"")/5+2)*pow*atk/def)/50)+2)),modifier,stab*eff,FLOOR(base*modifier*0.85)),0)</f>
        <v/>
      </c>
      <c r="K735" s="3">
        <f>IFERROR(LET(mtype,XLOOKUP($D735,'Move Editor'!$B:$B,'Move Editor'!$C:$C,""),cat,XLOOKUP($D735,'Move Editor'!$B:$B,'Move Editor'!$D:$D,""),pow,XLOOKUP($D735,'Move Editor'!$B:$B,'Move Editor'!$E:$E,0),acc,XLOOKUP($D735,'Move Editor'!$B:$B,'Move Editor'!$F:$F,100),atk,IF(cat="Physical",FLOOR((FLOOR(((2*XLOOKUP(XLOOKUP($Q735,'Threshold Summary'!$Y:$Y,'Threshold Summary'!$K:$K,""),'Pokemon Editor'!$A:$A,'Pokemon Editor'!$F:$F,0)+31+FLOOR(XLOOKUP($Q735,'Threshold Summary'!$Y:$Y,'Threshold Summary'!$P:$P,"")/4))*XLOOKUP($Q735,'Threshold Summary'!$Y:$Y,'Threshold Summary'!$L:$L,""))/100)+5)*XLOOKUP(XLOOKUP($Q735,'Threshold Summary'!$Y:$Y,'Threshold Summary'!$M:$M,""),'Nature Editor'!$A:$A,'Nature Editor'!$B:$B,1)),FLOOR((FLOOR(((2*XLOOKUP(XLOOKUP($Q735,'Threshold Summary'!$Y:$Y,'Threshold Summary'!$K:$K,""),'Pokemon Editor'!$A:$A,'Pokemon Editor'!$H:$H,0)+31+FLOOR(XLOOKUP($Q735,'Threshold Summary'!$Y:$Y,'Threshold Summary'!$R:$R,"")/4))*XLOOKUP($Q735,'Threshold Summary'!$Y:$Y,'Threshold Summary'!$L:$L,""))/100)+5)*XLOOKUP(XLOOKUP($Q735,'Threshold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Editor'!$E:$E,1))),stab,IF(OR(mtype=XLOOKUP(XLOOKUP($Q735,'Threshold Summary'!$Y:$Y,'Threshold Summary'!$K:$K,""),'Pokemon Editor'!$A:$A,'Pokemon Editor'!$C:$C,""),mtype=XLOOKUP(XLOOKUP($Q735,'Threshold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Chart'!$B$1:$S$1,0)))),base,IF(OR(cat="Status",pow=0),0,FLOOR(FLOOR(FLOOR((2*XLOOKUP($Q735,'Threshold Summary'!$Y:$Y,'Threshold Summary'!$L:$L,"")/5+2)*pow*atk/def)/50)+2)),modifier,stab*eff,FLOOR(base*modifier)),0)</f>
        <v/>
      </c>
      <c r="L735" s="3">
        <f>IFERROR(LET(mtype,XLOOKUP($D735,'Move Editor'!$B:$B,'Move Editor'!$C:$C,""),cat,XLOOKUP($D735,'Move Editor'!$B:$B,'Move Editor'!$D:$D,""),pow,XLOOKUP($D735,'Move Editor'!$B:$B,'Move Editor'!$E:$E,0),acc,XLOOKUP($D735,'Move Editor'!$B:$B,'Move Editor'!$F:$F,100),atk,IF(cat="Physical",FLOOR((FLOOR(((2*XLOOKUP(XLOOKUP($Q735,'Threshold Summary'!$Y:$Y,'Threshold Summary'!$K:$K,""),'Pokemon Editor'!$A:$A,'Pokemon Editor'!$F:$F,0)+31+FLOOR(XLOOKUP($Q735,'Threshold Summary'!$Y:$Y,'Threshold Summary'!$P:$P,"")/4))*XLOOKUP($Q735,'Threshold Summary'!$Y:$Y,'Threshold Summary'!$L:$L,""))/100)+5)*XLOOKUP(XLOOKUP($Q735,'Threshold Summary'!$Y:$Y,'Threshold Summary'!$M:$M,""),'Nature Editor'!$A:$A,'Nature Editor'!$B:$B,1)),FLOOR((FLOOR(((2*XLOOKUP(XLOOKUP($Q735,'Threshold Summary'!$Y:$Y,'Threshold Summary'!$K:$K,""),'Pokemon Editor'!$A:$A,'Pokemon Editor'!$H:$H,0)+31+FLOOR(XLOOKUP($Q735,'Threshold Summary'!$Y:$Y,'Threshold Summary'!$R:$R,"")/4))*XLOOKUP($Q735,'Threshold Summary'!$Y:$Y,'Threshold Summary'!$L:$L,""))/100)+5)*XLOOKUP(XLOOKUP($Q735,'Threshold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Editor'!$E:$E,1))),stab,IF(OR(mtype=XLOOKUP(XLOOKUP($Q735,'Threshold Summary'!$Y:$Y,'Threshold Summary'!$K:$K,""),'Pokemon Editor'!$A:$A,'Pokemon Editor'!$C:$C,""),mtype=XLOOKUP(XLOOKUP($Q735,'Threshold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Chart'!$B$1:$S$1,0)))),base,IF(OR(cat="Status",pow=0),0,FLOOR(FLOOR(FLOOR((2*XLOOKUP($Q735,'Threshold Summary'!$Y:$Y,'Threshold Summary'!$L:$L,"")/5+2)*pow*atk/def)/50)+2)),modifier,stab*eff,AVERAGE(ARRAYFORMULA(FLOOR(base*modifier*SEQUENCE(16,1,85,1)/100)))),0)</f>
        <v/>
      </c>
      <c r="M735" s="3">
        <f>IFERROR(LET(mtype,XLOOKUP($D735,'Move Editor'!$B:$B,'Move Editor'!$C:$C,""),cat,XLOOKUP($D735,'Move Editor'!$B:$B,'Move Editor'!$D:$D,""),pow,XLOOKUP($D735,'Move Editor'!$B:$B,'Move Editor'!$E:$E,0),acc,XLOOKUP($D735,'Move Editor'!$B:$B,'Move Editor'!$F:$F,100),atk,IF(cat="Physical",FLOOR((FLOOR(((2*XLOOKUP(XLOOKUP($Q735,'Threshold Summary'!$Y:$Y,'Threshold Summary'!$K:$K,""),'Pokemon Editor'!$A:$A,'Pokemon Editor'!$F:$F,0)+31+FLOOR(XLOOKUP($Q735,'Threshold Summary'!$Y:$Y,'Threshold Summary'!$P:$P,"")/4))*XLOOKUP($Q735,'Threshold Summary'!$Y:$Y,'Threshold Summary'!$L:$L,""))/100)+5)*XLOOKUP(XLOOKUP($Q735,'Threshold Summary'!$Y:$Y,'Threshold Summary'!$M:$M,""),'Nature Editor'!$A:$A,'Nature Editor'!$B:$B,1)),FLOOR((FLOOR(((2*XLOOKUP(XLOOKUP($Q735,'Threshold Summary'!$Y:$Y,'Threshold Summary'!$K:$K,""),'Pokemon Editor'!$A:$A,'Pokemon Editor'!$H:$H,0)+31+FLOOR(XLOOKUP($Q735,'Threshold Summary'!$Y:$Y,'Threshold Summary'!$R:$R,"")/4))*XLOOKUP($Q735,'Threshold Summary'!$Y:$Y,'Threshold Summary'!$L:$L,""))/100)+5)*XLOOKUP(XLOOKUP($Q735,'Threshold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Editor'!$E:$E,1))),stab,IF(OR(mtype=XLOOKUP(XLOOKUP($Q735,'Threshold Summary'!$Y:$Y,'Threshold Summary'!$K:$K,""),'Pokemon Editor'!$A:$A,'Pokemon Editor'!$C:$C,""),mtype=XLOOKUP(XLOOKUP($Q735,'Threshold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Chart'!$B$1:$S$1,0)))),base,IF(OR(cat="Status",pow=0),0,FLOOR(FLOOR(FLOOR((2*XLOOKUP($Q735,'Threshold Summary'!$Y:$Y,'Threshold Summary'!$L:$L,"")/5+2)*pow*atk/def)/50)+2)),modifier,stab*eff,AVERAGE(ARRAYFORMULA(FLOOR(base*modifier*SEQUENCE(16,1,85,1)/100)))*MIN(1,acc/100)),0)</f>
        <v/>
      </c>
      <c r="N735" s="4">
        <f>IFERROR(LET(mtype,XLOOKUP($D735,'Move Editor'!$B:$B,'Move Editor'!$C:$C,""),cat,XLOOKUP($D735,'Move Editor'!$B:$B,'Move Editor'!$D:$D,""),pow,XLOOKUP($D735,'Move Editor'!$B:$B,'Move Editor'!$E:$E,0),acc,XLOOKUP($D735,'Move Editor'!$B:$B,'Move Editor'!$F:$F,100),atk,IF(cat="Physical",FLOOR((FLOOR(((2*XLOOKUP(XLOOKUP($Q735,'Threshold Summary'!$Y:$Y,'Threshold Summary'!$K:$K,""),'Pokemon Editor'!$A:$A,'Pokemon Editor'!$F:$F,0)+31+FLOOR(XLOOKUP($Q735,'Threshold Summary'!$Y:$Y,'Threshold Summary'!$P:$P,"")/4))*XLOOKUP($Q735,'Threshold Summary'!$Y:$Y,'Threshold Summary'!$L:$L,""))/100)+5)*XLOOKUP(XLOOKUP($Q735,'Threshold Summary'!$Y:$Y,'Threshold Summary'!$M:$M,""),'Nature Editor'!$A:$A,'Nature Editor'!$B:$B,1)),FLOOR((FLOOR(((2*XLOOKUP(XLOOKUP($Q735,'Threshold Summary'!$Y:$Y,'Threshold Summary'!$K:$K,""),'Pokemon Editor'!$A:$A,'Pokemon Editor'!$H:$H,0)+31+FLOOR(XLOOKUP($Q735,'Threshold Summary'!$Y:$Y,'Threshold Summary'!$R:$R,"")/4))*XLOOKUP($Q735,'Threshold Summary'!$Y:$Y,'Threshold Summary'!$L:$L,""))/100)+5)*XLOOKUP(XLOOKUP($Q735,'Threshold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Editor'!$E:$E,1))),stab,IF(OR(mtype=XLOOKUP(XLOOKUP($Q735,'Threshold Summary'!$Y:$Y,'Threshold Summary'!$K:$K,""),'Pokemon Editor'!$A:$A,'Pokemon Editor'!$C:$C,""),mtype=XLOOKUP(XLOOKUP($Q735,'Threshold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Chart'!$B$1:$S$1,0)))),base,IF(OR(cat="Status",pow=0),0,FLOOR(FLOOR(FLOOR((2*XLOOKUP($Q735,'Threshold Summary'!$Y:$Y,'Threshold Summary'!$L:$L,"")/5+2)*pow*atk/def)/50)+2)),modifier,stab*eff,AVERAGE(ARRAYFORMULA(FLOOR(base*modifier*SEQUENCE(16,1,85,1)/100)))/(FLOOR(((2*XLOOKUP('Boss Editor'!$C$4,'Pokemon Editor'!$A:$A,'Pokemon Editor'!$E:$E,0)+31+FLOOR('Boss Editor'!$G$4/4))*'Boss Editor'!$D$4)/100)+'Boss Editor'!$D$4+10)),0)</f>
        <v/>
      </c>
      <c r="O735" s="3">
        <f>IF(N735&gt;=1,"OHKO",IF(N735&gt;=0.5,"2HKO",IF(N735&gt;=0.333,"3HKO",IF(N735&gt;=0.25,"4HKO","5HKO+"))))</f>
        <v/>
      </c>
      <c r="P735" s="3" t="inlineStr">
        <is>
          <t>Live from editable databases</t>
        </is>
      </c>
      <c r="Q735" s="3" t="inlineStr">
        <is>
          <t>SPECIES_CUTIEFLY</t>
        </is>
      </c>
      <c r="R735" s="3" t="n">
        <v>30</v>
      </c>
    </row>
    <row r="736">
      <c r="A736" s="3">
        <f>XLOOKUP($Q736,'Threshold Summary'!$Y:$Y,'Threshold Summary'!$A:$A,"")</f>
        <v/>
      </c>
      <c r="B736" s="3">
        <f>XLOOKUP($Q736,'Threshold Summary'!$Y:$Y,'Threshold Summary'!$M:$M,"")</f>
        <v/>
      </c>
      <c r="C736" s="3">
        <f>XLOOKUP($Q736,'Threshold Summary'!$Y:$Y,'Threshold Summary'!$N:$N,"")</f>
        <v/>
      </c>
      <c r="D736" s="3">
        <f>IFERROR(INDEX(FILTER('Learnset Editor'!$D$2:$D,'Learnset Editor'!$A$2:$A=XLOOKUP($Q736,'Threshold Summary'!$Y:$Y,'Threshold Summary'!$K:$K,""),'Learnset Editor'!$C$2:$C&lt;=XLOOKUP($Q736,'Threshold Summary'!$Y:$Y,'Threshold Summary'!$L:$L,"")),$R736),"")</f>
        <v/>
      </c>
      <c r="E736" s="3">
        <f>XLOOKUP(D736,'Move Editor'!$B:$B,'Move Editor'!$C:$C,"")</f>
        <v/>
      </c>
      <c r="F736" s="3">
        <f>XLOOKUP(D736,'Move Editor'!$B:$B,'Move Editor'!$D:$D,"")</f>
        <v/>
      </c>
      <c r="G736" s="3">
        <f>XLOOKUP(D736,'Move Editor'!$B:$B,'Move Editor'!$E:$E,0)</f>
        <v/>
      </c>
      <c r="H736" s="3">
        <f>XLOOKUP(D736,'Move Editor'!$B:$B,'Move Editor'!$F:$F,0)</f>
        <v/>
      </c>
      <c r="I736" s="3">
        <f>(INDEX('Type Chart'!$B:$S,MATCH(E736,'Type Chart'!$A:$A,0),MATCH(XLOOKUP('Boss Editor'!$C$4,'Pokemon Editor'!$A:$A,'Pokemon Editor'!$C:$C,""),'Type Chart'!$B$1:$S$1,0))*IF(XLOOKUP('Boss Editor'!$C$4,'Pokemon Editor'!$A:$A,'Pokemon Editor'!$D:$D,"")="",1,INDEX('Type Chart'!$B:$S,MATCH(E736,'Type Chart'!$A:$A,0),MATCH(XLOOKUP('Boss Editor'!$C$4,'Pokemon Editor'!$A:$A,'Pokemon Editor'!$D:$D,""),'Type Chart'!$B$1:$S$1,0))))</f>
        <v/>
      </c>
      <c r="J736" s="3">
        <f>IFERROR(LET(mtype,XLOOKUP($D736,'Move Editor'!$B:$B,'Move Editor'!$C:$C,""),cat,XLOOKUP($D736,'Move Editor'!$B:$B,'Move Editor'!$D:$D,""),pow,XLOOKUP($D736,'Move Editor'!$B:$B,'Move Editor'!$E:$E,0),acc,XLOOKUP($D736,'Move Editor'!$B:$B,'Move Editor'!$F:$F,100),atk,IF(cat="Physical",FLOOR((FLOOR(((2*XLOOKUP(XLOOKUP($Q736,'Threshold Summary'!$Y:$Y,'Threshold Summary'!$K:$K,""),'Pokemon Editor'!$A:$A,'Pokemon Editor'!$F:$F,0)+31+FLOOR(XLOOKUP($Q736,'Threshold Summary'!$Y:$Y,'Threshold Summary'!$P:$P,"")/4))*XLOOKUP($Q736,'Threshold Summary'!$Y:$Y,'Threshold Summary'!$L:$L,""))/100)+5)*XLOOKUP(XLOOKUP($Q736,'Threshold Summary'!$Y:$Y,'Threshold Summary'!$M:$M,""),'Nature Editor'!$A:$A,'Nature Editor'!$B:$B,1)),FLOOR((FLOOR(((2*XLOOKUP(XLOOKUP($Q736,'Threshold Summary'!$Y:$Y,'Threshold Summary'!$K:$K,""),'Pokemon Editor'!$A:$A,'Pokemon Editor'!$H:$H,0)+31+FLOOR(XLOOKUP($Q736,'Threshold Summary'!$Y:$Y,'Threshold Summary'!$R:$R,"")/4))*XLOOKUP($Q736,'Threshold Summary'!$Y:$Y,'Threshold Summary'!$L:$L,""))/100)+5)*XLOOKUP(XLOOKUP($Q736,'Threshold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Editor'!$E:$E,1))),stab,IF(OR(mtype=XLOOKUP(XLOOKUP($Q736,'Threshold Summary'!$Y:$Y,'Threshold Summary'!$K:$K,""),'Pokemon Editor'!$A:$A,'Pokemon Editor'!$C:$C,""),mtype=XLOOKUP(XLOOKUP($Q736,'Threshold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Chart'!$B$1:$S$1,0)))),base,IF(OR(cat="Status",pow=0),0,FLOOR(FLOOR(FLOOR((2*XLOOKUP($Q736,'Threshold Summary'!$Y:$Y,'Threshold Summary'!$L:$L,"")/5+2)*pow*atk/def)/50)+2)),modifier,stab*eff,FLOOR(base*modifier*0.85)),0)</f>
        <v/>
      </c>
      <c r="K736" s="3">
        <f>IFERROR(LET(mtype,XLOOKUP($D736,'Move Editor'!$B:$B,'Move Editor'!$C:$C,""),cat,XLOOKUP($D736,'Move Editor'!$B:$B,'Move Editor'!$D:$D,""),pow,XLOOKUP($D736,'Move Editor'!$B:$B,'Move Editor'!$E:$E,0),acc,XLOOKUP($D736,'Move Editor'!$B:$B,'Move Editor'!$F:$F,100),atk,IF(cat="Physical",FLOOR((FLOOR(((2*XLOOKUP(XLOOKUP($Q736,'Threshold Summary'!$Y:$Y,'Threshold Summary'!$K:$K,""),'Pokemon Editor'!$A:$A,'Pokemon Editor'!$F:$F,0)+31+FLOOR(XLOOKUP($Q736,'Threshold Summary'!$Y:$Y,'Threshold Summary'!$P:$P,"")/4))*XLOOKUP($Q736,'Threshold Summary'!$Y:$Y,'Threshold Summary'!$L:$L,""))/100)+5)*XLOOKUP(XLOOKUP($Q736,'Threshold Summary'!$Y:$Y,'Threshold Summary'!$M:$M,""),'Nature Editor'!$A:$A,'Nature Editor'!$B:$B,1)),FLOOR((FLOOR(((2*XLOOKUP(XLOOKUP($Q736,'Threshold Summary'!$Y:$Y,'Threshold Summary'!$K:$K,""),'Pokemon Editor'!$A:$A,'Pokemon Editor'!$H:$H,0)+31+FLOOR(XLOOKUP($Q736,'Threshold Summary'!$Y:$Y,'Threshold Summary'!$R:$R,"")/4))*XLOOKUP($Q736,'Threshold Summary'!$Y:$Y,'Threshold Summary'!$L:$L,""))/100)+5)*XLOOKUP(XLOOKUP($Q736,'Threshold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Editor'!$E:$E,1))),stab,IF(OR(mtype=XLOOKUP(XLOOKUP($Q736,'Threshold Summary'!$Y:$Y,'Threshold Summary'!$K:$K,""),'Pokemon Editor'!$A:$A,'Pokemon Editor'!$C:$C,""),mtype=XLOOKUP(XLOOKUP($Q736,'Threshold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Chart'!$B$1:$S$1,0)))),base,IF(OR(cat="Status",pow=0),0,FLOOR(FLOOR(FLOOR((2*XLOOKUP($Q736,'Threshold Summary'!$Y:$Y,'Threshold Summary'!$L:$L,"")/5+2)*pow*atk/def)/50)+2)),modifier,stab*eff,FLOOR(base*modifier)),0)</f>
        <v/>
      </c>
      <c r="L736" s="3">
        <f>IFERROR(LET(mtype,XLOOKUP($D736,'Move Editor'!$B:$B,'Move Editor'!$C:$C,""),cat,XLOOKUP($D736,'Move Editor'!$B:$B,'Move Editor'!$D:$D,""),pow,XLOOKUP($D736,'Move Editor'!$B:$B,'Move Editor'!$E:$E,0),acc,XLOOKUP($D736,'Move Editor'!$B:$B,'Move Editor'!$F:$F,100),atk,IF(cat="Physical",FLOOR((FLOOR(((2*XLOOKUP(XLOOKUP($Q736,'Threshold Summary'!$Y:$Y,'Threshold Summary'!$K:$K,""),'Pokemon Editor'!$A:$A,'Pokemon Editor'!$F:$F,0)+31+FLOOR(XLOOKUP($Q736,'Threshold Summary'!$Y:$Y,'Threshold Summary'!$P:$P,"")/4))*XLOOKUP($Q736,'Threshold Summary'!$Y:$Y,'Threshold Summary'!$L:$L,""))/100)+5)*XLOOKUP(XLOOKUP($Q736,'Threshold Summary'!$Y:$Y,'Threshold Summary'!$M:$M,""),'Nature Editor'!$A:$A,'Nature Editor'!$B:$B,1)),FLOOR((FLOOR(((2*XLOOKUP(XLOOKUP($Q736,'Threshold Summary'!$Y:$Y,'Threshold Summary'!$K:$K,""),'Pokemon Editor'!$A:$A,'Pokemon Editor'!$H:$H,0)+31+FLOOR(XLOOKUP($Q736,'Threshold Summary'!$Y:$Y,'Threshold Summary'!$R:$R,"")/4))*XLOOKUP($Q736,'Threshold Summary'!$Y:$Y,'Threshold Summary'!$L:$L,""))/100)+5)*XLOOKUP(XLOOKUP($Q736,'Threshold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Editor'!$E:$E,1))),stab,IF(OR(mtype=XLOOKUP(XLOOKUP($Q736,'Threshold Summary'!$Y:$Y,'Threshold Summary'!$K:$K,""),'Pokemon Editor'!$A:$A,'Pokemon Editor'!$C:$C,""),mtype=XLOOKUP(XLOOKUP($Q736,'Threshold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Chart'!$B$1:$S$1,0)))),base,IF(OR(cat="Status",pow=0),0,FLOOR(FLOOR(FLOOR((2*XLOOKUP($Q736,'Threshold Summary'!$Y:$Y,'Threshold Summary'!$L:$L,"")/5+2)*pow*atk/def)/50)+2)),modifier,stab*eff,AVERAGE(ARRAYFORMULA(FLOOR(base*modifier*SEQUENCE(16,1,85,1)/100)))),0)</f>
        <v/>
      </c>
      <c r="M736" s="3">
        <f>IFERROR(LET(mtype,XLOOKUP($D736,'Move Editor'!$B:$B,'Move Editor'!$C:$C,""),cat,XLOOKUP($D736,'Move Editor'!$B:$B,'Move Editor'!$D:$D,""),pow,XLOOKUP($D736,'Move Editor'!$B:$B,'Move Editor'!$E:$E,0),acc,XLOOKUP($D736,'Move Editor'!$B:$B,'Move Editor'!$F:$F,100),atk,IF(cat="Physical",FLOOR((FLOOR(((2*XLOOKUP(XLOOKUP($Q736,'Threshold Summary'!$Y:$Y,'Threshold Summary'!$K:$K,""),'Pokemon Editor'!$A:$A,'Pokemon Editor'!$F:$F,0)+31+FLOOR(XLOOKUP($Q736,'Threshold Summary'!$Y:$Y,'Threshold Summary'!$P:$P,"")/4))*XLOOKUP($Q736,'Threshold Summary'!$Y:$Y,'Threshold Summary'!$L:$L,""))/100)+5)*XLOOKUP(XLOOKUP($Q736,'Threshold Summary'!$Y:$Y,'Threshold Summary'!$M:$M,""),'Nature Editor'!$A:$A,'Nature Editor'!$B:$B,1)),FLOOR((FLOOR(((2*XLOOKUP(XLOOKUP($Q736,'Threshold Summary'!$Y:$Y,'Threshold Summary'!$K:$K,""),'Pokemon Editor'!$A:$A,'Pokemon Editor'!$H:$H,0)+31+FLOOR(XLOOKUP($Q736,'Threshold Summary'!$Y:$Y,'Threshold Summary'!$R:$R,"")/4))*XLOOKUP($Q736,'Threshold Summary'!$Y:$Y,'Threshold Summary'!$L:$L,""))/100)+5)*XLOOKUP(XLOOKUP($Q736,'Threshold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Editor'!$E:$E,1))),stab,IF(OR(mtype=XLOOKUP(XLOOKUP($Q736,'Threshold Summary'!$Y:$Y,'Threshold Summary'!$K:$K,""),'Pokemon Editor'!$A:$A,'Pokemon Editor'!$C:$C,""),mtype=XLOOKUP(XLOOKUP($Q736,'Threshold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Chart'!$B$1:$S$1,0)))),base,IF(OR(cat="Status",pow=0),0,FLOOR(FLOOR(FLOOR((2*XLOOKUP($Q736,'Threshold Summary'!$Y:$Y,'Threshold Summary'!$L:$L,"")/5+2)*pow*atk/def)/50)+2)),modifier,stab*eff,AVERAGE(ARRAYFORMULA(FLOOR(base*modifier*SEQUENCE(16,1,85,1)/100)))*MIN(1,acc/100)),0)</f>
        <v/>
      </c>
      <c r="N736" s="4">
        <f>IFERROR(LET(mtype,XLOOKUP($D736,'Move Editor'!$B:$B,'Move Editor'!$C:$C,""),cat,XLOOKUP($D736,'Move Editor'!$B:$B,'Move Editor'!$D:$D,""),pow,XLOOKUP($D736,'Move Editor'!$B:$B,'Move Editor'!$E:$E,0),acc,XLOOKUP($D736,'Move Editor'!$B:$B,'Move Editor'!$F:$F,100),atk,IF(cat="Physical",FLOOR((FLOOR(((2*XLOOKUP(XLOOKUP($Q736,'Threshold Summary'!$Y:$Y,'Threshold Summary'!$K:$K,""),'Pokemon Editor'!$A:$A,'Pokemon Editor'!$F:$F,0)+31+FLOOR(XLOOKUP($Q736,'Threshold Summary'!$Y:$Y,'Threshold Summary'!$P:$P,"")/4))*XLOOKUP($Q736,'Threshold Summary'!$Y:$Y,'Threshold Summary'!$L:$L,""))/100)+5)*XLOOKUP(XLOOKUP($Q736,'Threshold Summary'!$Y:$Y,'Threshold Summary'!$M:$M,""),'Nature Editor'!$A:$A,'Nature Editor'!$B:$B,1)),FLOOR((FLOOR(((2*XLOOKUP(XLOOKUP($Q736,'Threshold Summary'!$Y:$Y,'Threshold Summary'!$K:$K,""),'Pokemon Editor'!$A:$A,'Pokemon Editor'!$H:$H,0)+31+FLOOR(XLOOKUP($Q736,'Threshold Summary'!$Y:$Y,'Threshold Summary'!$R:$R,"")/4))*XLOOKUP($Q736,'Threshold Summary'!$Y:$Y,'Threshold Summary'!$L:$L,""))/100)+5)*XLOOKUP(XLOOKUP($Q736,'Threshold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Editor'!$E:$E,1))),stab,IF(OR(mtype=XLOOKUP(XLOOKUP($Q736,'Threshold Summary'!$Y:$Y,'Threshold Summary'!$K:$K,""),'Pokemon Editor'!$A:$A,'Pokemon Editor'!$C:$C,""),mtype=XLOOKUP(XLOOKUP($Q736,'Threshold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Chart'!$B$1:$S$1,0)))),base,IF(OR(cat="Status",pow=0),0,FLOOR(FLOOR(FLOOR((2*XLOOKUP($Q736,'Threshold Summary'!$Y:$Y,'Threshold Summary'!$L:$L,"")/5+2)*pow*atk/def)/50)+2)),modifier,stab*eff,AVERAGE(ARRAYFORMULA(FLOOR(base*modifier*SEQUENCE(16,1,85,1)/100)))/(FLOOR(((2*XLOOKUP('Boss Editor'!$C$4,'Pokemon Editor'!$A:$A,'Pokemon Editor'!$E:$E,0)+31+FLOOR('Boss Editor'!$G$4/4))*'Boss Editor'!$D$4)/100)+'Boss Editor'!$D$4+10)),0)</f>
        <v/>
      </c>
      <c r="O736" s="3">
        <f>IF(N736&gt;=1,"OHKO",IF(N736&gt;=0.5,"2HKO",IF(N736&gt;=0.333,"3HKO",IF(N736&gt;=0.25,"4HKO","5HKO+"))))</f>
        <v/>
      </c>
      <c r="P736" s="3" t="inlineStr">
        <is>
          <t>Live from editable databases</t>
        </is>
      </c>
      <c r="Q736" s="3" t="inlineStr">
        <is>
          <t>SPECIES_CUTIEFLY</t>
        </is>
      </c>
      <c r="R736" s="3" t="n">
        <v>31</v>
      </c>
    </row>
    <row r="737">
      <c r="A737" s="3">
        <f>XLOOKUP($Q737,'Threshold Summary'!$Y:$Y,'Threshold Summary'!$A:$A,"")</f>
        <v/>
      </c>
      <c r="B737" s="3">
        <f>XLOOKUP($Q737,'Threshold Summary'!$Y:$Y,'Threshold Summary'!$M:$M,"")</f>
        <v/>
      </c>
      <c r="C737" s="3">
        <f>XLOOKUP($Q737,'Threshold Summary'!$Y:$Y,'Threshold Summary'!$N:$N,"")</f>
        <v/>
      </c>
      <c r="D737" s="3">
        <f>IFERROR(INDEX(FILTER('Learnset Editor'!$D$2:$D,'Learnset Editor'!$A$2:$A=XLOOKUP($Q737,'Threshold Summary'!$Y:$Y,'Threshold Summary'!$K:$K,""),'Learnset Editor'!$C$2:$C&lt;=XLOOKUP($Q737,'Threshold Summary'!$Y:$Y,'Threshold Summary'!$L:$L,"")),$R737),"")</f>
        <v/>
      </c>
      <c r="E737" s="3">
        <f>XLOOKUP(D737,'Move Editor'!$B:$B,'Move Editor'!$C:$C,"")</f>
        <v/>
      </c>
      <c r="F737" s="3">
        <f>XLOOKUP(D737,'Move Editor'!$B:$B,'Move Editor'!$D:$D,"")</f>
        <v/>
      </c>
      <c r="G737" s="3">
        <f>XLOOKUP(D737,'Move Editor'!$B:$B,'Move Editor'!$E:$E,0)</f>
        <v/>
      </c>
      <c r="H737" s="3">
        <f>XLOOKUP(D737,'Move Editor'!$B:$B,'Move Editor'!$F:$F,0)</f>
        <v/>
      </c>
      <c r="I737" s="3">
        <f>(INDEX('Type Chart'!$B:$S,MATCH(E737,'Type Chart'!$A:$A,0),MATCH(XLOOKUP('Boss Editor'!$C$4,'Pokemon Editor'!$A:$A,'Pokemon Editor'!$C:$C,""),'Type Chart'!$B$1:$S$1,0))*IF(XLOOKUP('Boss Editor'!$C$4,'Pokemon Editor'!$A:$A,'Pokemon Editor'!$D:$D,"")="",1,INDEX('Type Chart'!$B:$S,MATCH(E737,'Type Chart'!$A:$A,0),MATCH(XLOOKUP('Boss Editor'!$C$4,'Pokemon Editor'!$A:$A,'Pokemon Editor'!$D:$D,""),'Type Chart'!$B$1:$S$1,0))))</f>
        <v/>
      </c>
      <c r="J737" s="3">
        <f>IFERROR(LET(mtype,XLOOKUP($D737,'Move Editor'!$B:$B,'Move Editor'!$C:$C,""),cat,XLOOKUP($D737,'Move Editor'!$B:$B,'Move Editor'!$D:$D,""),pow,XLOOKUP($D737,'Move Editor'!$B:$B,'Move Editor'!$E:$E,0),acc,XLOOKUP($D737,'Move Editor'!$B:$B,'Move Editor'!$F:$F,100),atk,IF(cat="Physical",FLOOR((FLOOR(((2*XLOOKUP(XLOOKUP($Q737,'Threshold Summary'!$Y:$Y,'Threshold Summary'!$K:$K,""),'Pokemon Editor'!$A:$A,'Pokemon Editor'!$F:$F,0)+31+FLOOR(XLOOKUP($Q737,'Threshold Summary'!$Y:$Y,'Threshold Summary'!$P:$P,"")/4))*XLOOKUP($Q737,'Threshold Summary'!$Y:$Y,'Threshold Summary'!$L:$L,""))/100)+5)*XLOOKUP(XLOOKUP($Q737,'Threshold Summary'!$Y:$Y,'Threshold Summary'!$M:$M,""),'Nature Editor'!$A:$A,'Nature Editor'!$B:$B,1)),FLOOR((FLOOR(((2*XLOOKUP(XLOOKUP($Q737,'Threshold Summary'!$Y:$Y,'Threshold Summary'!$K:$K,""),'Pokemon Editor'!$A:$A,'Pokemon Editor'!$H:$H,0)+31+FLOOR(XLOOKUP($Q737,'Threshold Summary'!$Y:$Y,'Threshold Summary'!$R:$R,"")/4))*XLOOKUP($Q737,'Threshold Summary'!$Y:$Y,'Threshold Summary'!$L:$L,""))/100)+5)*XLOOKUP(XLOOKUP($Q737,'Threshold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Editor'!$E:$E,1))),stab,IF(OR(mtype=XLOOKUP(XLOOKUP($Q737,'Threshold Summary'!$Y:$Y,'Threshold Summary'!$K:$K,""),'Pokemon Editor'!$A:$A,'Pokemon Editor'!$C:$C,""),mtype=XLOOKUP(XLOOKUP($Q737,'Threshold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Chart'!$B$1:$S$1,0)))),base,IF(OR(cat="Status",pow=0),0,FLOOR(FLOOR(FLOOR((2*XLOOKUP($Q737,'Threshold Summary'!$Y:$Y,'Threshold Summary'!$L:$L,"")/5+2)*pow*atk/def)/50)+2)),modifier,stab*eff,FLOOR(base*modifier*0.85)),0)</f>
        <v/>
      </c>
      <c r="K737" s="3">
        <f>IFERROR(LET(mtype,XLOOKUP($D737,'Move Editor'!$B:$B,'Move Editor'!$C:$C,""),cat,XLOOKUP($D737,'Move Editor'!$B:$B,'Move Editor'!$D:$D,""),pow,XLOOKUP($D737,'Move Editor'!$B:$B,'Move Editor'!$E:$E,0),acc,XLOOKUP($D737,'Move Editor'!$B:$B,'Move Editor'!$F:$F,100),atk,IF(cat="Physical",FLOOR((FLOOR(((2*XLOOKUP(XLOOKUP($Q737,'Threshold Summary'!$Y:$Y,'Threshold Summary'!$K:$K,""),'Pokemon Editor'!$A:$A,'Pokemon Editor'!$F:$F,0)+31+FLOOR(XLOOKUP($Q737,'Threshold Summary'!$Y:$Y,'Threshold Summary'!$P:$P,"")/4))*XLOOKUP($Q737,'Threshold Summary'!$Y:$Y,'Threshold Summary'!$L:$L,""))/100)+5)*XLOOKUP(XLOOKUP($Q737,'Threshold Summary'!$Y:$Y,'Threshold Summary'!$M:$M,""),'Nature Editor'!$A:$A,'Nature Editor'!$B:$B,1)),FLOOR((FLOOR(((2*XLOOKUP(XLOOKUP($Q737,'Threshold Summary'!$Y:$Y,'Threshold Summary'!$K:$K,""),'Pokemon Editor'!$A:$A,'Pokemon Editor'!$H:$H,0)+31+FLOOR(XLOOKUP($Q737,'Threshold Summary'!$Y:$Y,'Threshold Summary'!$R:$R,"")/4))*XLOOKUP($Q737,'Threshold Summary'!$Y:$Y,'Threshold Summary'!$L:$L,""))/100)+5)*XLOOKUP(XLOOKUP($Q737,'Threshold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Editor'!$E:$E,1))),stab,IF(OR(mtype=XLOOKUP(XLOOKUP($Q737,'Threshold Summary'!$Y:$Y,'Threshold Summary'!$K:$K,""),'Pokemon Editor'!$A:$A,'Pokemon Editor'!$C:$C,""),mtype=XLOOKUP(XLOOKUP($Q737,'Threshold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Chart'!$B$1:$S$1,0)))),base,IF(OR(cat="Status",pow=0),0,FLOOR(FLOOR(FLOOR((2*XLOOKUP($Q737,'Threshold Summary'!$Y:$Y,'Threshold Summary'!$L:$L,"")/5+2)*pow*atk/def)/50)+2)),modifier,stab*eff,FLOOR(base*modifier)),0)</f>
        <v/>
      </c>
      <c r="L737" s="3">
        <f>IFERROR(LET(mtype,XLOOKUP($D737,'Move Editor'!$B:$B,'Move Editor'!$C:$C,""),cat,XLOOKUP($D737,'Move Editor'!$B:$B,'Move Editor'!$D:$D,""),pow,XLOOKUP($D737,'Move Editor'!$B:$B,'Move Editor'!$E:$E,0),acc,XLOOKUP($D737,'Move Editor'!$B:$B,'Move Editor'!$F:$F,100),atk,IF(cat="Physical",FLOOR((FLOOR(((2*XLOOKUP(XLOOKUP($Q737,'Threshold Summary'!$Y:$Y,'Threshold Summary'!$K:$K,""),'Pokemon Editor'!$A:$A,'Pokemon Editor'!$F:$F,0)+31+FLOOR(XLOOKUP($Q737,'Threshold Summary'!$Y:$Y,'Threshold Summary'!$P:$P,"")/4))*XLOOKUP($Q737,'Threshold Summary'!$Y:$Y,'Threshold Summary'!$L:$L,""))/100)+5)*XLOOKUP(XLOOKUP($Q737,'Threshold Summary'!$Y:$Y,'Threshold Summary'!$M:$M,""),'Nature Editor'!$A:$A,'Nature Editor'!$B:$B,1)),FLOOR((FLOOR(((2*XLOOKUP(XLOOKUP($Q737,'Threshold Summary'!$Y:$Y,'Threshold Summary'!$K:$K,""),'Pokemon Editor'!$A:$A,'Pokemon Editor'!$H:$H,0)+31+FLOOR(XLOOKUP($Q737,'Threshold Summary'!$Y:$Y,'Threshold Summary'!$R:$R,"")/4))*XLOOKUP($Q737,'Threshold Summary'!$Y:$Y,'Threshold Summary'!$L:$L,""))/100)+5)*XLOOKUP(XLOOKUP($Q737,'Threshold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Editor'!$E:$E,1))),stab,IF(OR(mtype=XLOOKUP(XLOOKUP($Q737,'Threshold Summary'!$Y:$Y,'Threshold Summary'!$K:$K,""),'Pokemon Editor'!$A:$A,'Pokemon Editor'!$C:$C,""),mtype=XLOOKUP(XLOOKUP($Q737,'Threshold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Chart'!$B$1:$S$1,0)))),base,IF(OR(cat="Status",pow=0),0,FLOOR(FLOOR(FLOOR((2*XLOOKUP($Q737,'Threshold Summary'!$Y:$Y,'Threshold Summary'!$L:$L,"")/5+2)*pow*atk/def)/50)+2)),modifier,stab*eff,AVERAGE(ARRAYFORMULA(FLOOR(base*modifier*SEQUENCE(16,1,85,1)/100)))),0)</f>
        <v/>
      </c>
      <c r="M737" s="3">
        <f>IFERROR(LET(mtype,XLOOKUP($D737,'Move Editor'!$B:$B,'Move Editor'!$C:$C,""),cat,XLOOKUP($D737,'Move Editor'!$B:$B,'Move Editor'!$D:$D,""),pow,XLOOKUP($D737,'Move Editor'!$B:$B,'Move Editor'!$E:$E,0),acc,XLOOKUP($D737,'Move Editor'!$B:$B,'Move Editor'!$F:$F,100),atk,IF(cat="Physical",FLOOR((FLOOR(((2*XLOOKUP(XLOOKUP($Q737,'Threshold Summary'!$Y:$Y,'Threshold Summary'!$K:$K,""),'Pokemon Editor'!$A:$A,'Pokemon Editor'!$F:$F,0)+31+FLOOR(XLOOKUP($Q737,'Threshold Summary'!$Y:$Y,'Threshold Summary'!$P:$P,"")/4))*XLOOKUP($Q737,'Threshold Summary'!$Y:$Y,'Threshold Summary'!$L:$L,""))/100)+5)*XLOOKUP(XLOOKUP($Q737,'Threshold Summary'!$Y:$Y,'Threshold Summary'!$M:$M,""),'Nature Editor'!$A:$A,'Nature Editor'!$B:$B,1)),FLOOR((FLOOR(((2*XLOOKUP(XLOOKUP($Q737,'Threshold Summary'!$Y:$Y,'Threshold Summary'!$K:$K,""),'Pokemon Editor'!$A:$A,'Pokemon Editor'!$H:$H,0)+31+FLOOR(XLOOKUP($Q737,'Threshold Summary'!$Y:$Y,'Threshold Summary'!$R:$R,"")/4))*XLOOKUP($Q737,'Threshold Summary'!$Y:$Y,'Threshold Summary'!$L:$L,""))/100)+5)*XLOOKUP(XLOOKUP($Q737,'Threshold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Editor'!$E:$E,1))),stab,IF(OR(mtype=XLOOKUP(XLOOKUP($Q737,'Threshold Summary'!$Y:$Y,'Threshold Summary'!$K:$K,""),'Pokemon Editor'!$A:$A,'Pokemon Editor'!$C:$C,""),mtype=XLOOKUP(XLOOKUP($Q737,'Threshold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Chart'!$B$1:$S$1,0)))),base,IF(OR(cat="Status",pow=0),0,FLOOR(FLOOR(FLOOR((2*XLOOKUP($Q737,'Threshold Summary'!$Y:$Y,'Threshold Summary'!$L:$L,"")/5+2)*pow*atk/def)/50)+2)),modifier,stab*eff,AVERAGE(ARRAYFORMULA(FLOOR(base*modifier*SEQUENCE(16,1,85,1)/100)))*MIN(1,acc/100)),0)</f>
        <v/>
      </c>
      <c r="N737" s="4">
        <f>IFERROR(LET(mtype,XLOOKUP($D737,'Move Editor'!$B:$B,'Move Editor'!$C:$C,""),cat,XLOOKUP($D737,'Move Editor'!$B:$B,'Move Editor'!$D:$D,""),pow,XLOOKUP($D737,'Move Editor'!$B:$B,'Move Editor'!$E:$E,0),acc,XLOOKUP($D737,'Move Editor'!$B:$B,'Move Editor'!$F:$F,100),atk,IF(cat="Physical",FLOOR((FLOOR(((2*XLOOKUP(XLOOKUP($Q737,'Threshold Summary'!$Y:$Y,'Threshold Summary'!$K:$K,""),'Pokemon Editor'!$A:$A,'Pokemon Editor'!$F:$F,0)+31+FLOOR(XLOOKUP($Q737,'Threshold Summary'!$Y:$Y,'Threshold Summary'!$P:$P,"")/4))*XLOOKUP($Q737,'Threshold Summary'!$Y:$Y,'Threshold Summary'!$L:$L,""))/100)+5)*XLOOKUP(XLOOKUP($Q737,'Threshold Summary'!$Y:$Y,'Threshold Summary'!$M:$M,""),'Nature Editor'!$A:$A,'Nature Editor'!$B:$B,1)),FLOOR((FLOOR(((2*XLOOKUP(XLOOKUP($Q737,'Threshold Summary'!$Y:$Y,'Threshold Summary'!$K:$K,""),'Pokemon Editor'!$A:$A,'Pokemon Editor'!$H:$H,0)+31+FLOOR(XLOOKUP($Q737,'Threshold Summary'!$Y:$Y,'Threshold Summary'!$R:$R,"")/4))*XLOOKUP($Q737,'Threshold Summary'!$Y:$Y,'Threshold Summary'!$L:$L,""))/100)+5)*XLOOKUP(XLOOKUP($Q737,'Threshold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Editor'!$E:$E,1))),stab,IF(OR(mtype=XLOOKUP(XLOOKUP($Q737,'Threshold Summary'!$Y:$Y,'Threshold Summary'!$K:$K,""),'Pokemon Editor'!$A:$A,'Pokemon Editor'!$C:$C,""),mtype=XLOOKUP(XLOOKUP($Q737,'Threshold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Chart'!$B$1:$S$1,0)))),base,IF(OR(cat="Status",pow=0),0,FLOOR(FLOOR(FLOOR((2*XLOOKUP($Q737,'Threshold Summary'!$Y:$Y,'Threshold Summary'!$L:$L,"")/5+2)*pow*atk/def)/50)+2)),modifier,stab*eff,AVERAGE(ARRAYFORMULA(FLOOR(base*modifier*SEQUENCE(16,1,85,1)/100)))/(FLOOR(((2*XLOOKUP('Boss Editor'!$C$4,'Pokemon Editor'!$A:$A,'Pokemon Editor'!$E:$E,0)+31+FLOOR('Boss Editor'!$G$4/4))*'Boss Editor'!$D$4)/100)+'Boss Editor'!$D$4+10)),0)</f>
        <v/>
      </c>
      <c r="O737" s="3">
        <f>IF(N737&gt;=1,"OHKO",IF(N737&gt;=0.5,"2HKO",IF(N737&gt;=0.333,"3HKO",IF(N737&gt;=0.25,"4HKO","5HKO+"))))</f>
        <v/>
      </c>
      <c r="P737" s="3" t="inlineStr">
        <is>
          <t>Live from editable databases</t>
        </is>
      </c>
      <c r="Q737" s="3" t="inlineStr">
        <is>
          <t>SPECIES_CUTIEFLY</t>
        </is>
      </c>
      <c r="R737" s="3" t="n">
        <v>32</v>
      </c>
    </row>
    <row r="738">
      <c r="A738" s="3">
        <f>XLOOKUP($Q738,'Threshold Summary'!$Y:$Y,'Threshold Summary'!$A:$A,"")</f>
        <v/>
      </c>
      <c r="B738" s="3">
        <f>XLOOKUP($Q738,'Threshold Summary'!$Y:$Y,'Threshold Summary'!$M:$M,"")</f>
        <v/>
      </c>
      <c r="C738" s="3">
        <f>XLOOKUP($Q738,'Threshold Summary'!$Y:$Y,'Threshold Summary'!$N:$N,"")</f>
        <v/>
      </c>
      <c r="D738" s="3">
        <f>IFERROR(INDEX(FILTER('Learnset Editor'!$D$2:$D,'Learnset Editor'!$A$2:$A=XLOOKUP($Q738,'Threshold Summary'!$Y:$Y,'Threshold Summary'!$K:$K,""),'Learnset Editor'!$C$2:$C&lt;=XLOOKUP($Q738,'Threshold Summary'!$Y:$Y,'Threshold Summary'!$L:$L,"")),$R738),"")</f>
        <v/>
      </c>
      <c r="E738" s="3">
        <f>XLOOKUP(D738,'Move Editor'!$B:$B,'Move Editor'!$C:$C,"")</f>
        <v/>
      </c>
      <c r="F738" s="3">
        <f>XLOOKUP(D738,'Move Editor'!$B:$B,'Move Editor'!$D:$D,"")</f>
        <v/>
      </c>
      <c r="G738" s="3">
        <f>XLOOKUP(D738,'Move Editor'!$B:$B,'Move Editor'!$E:$E,0)</f>
        <v/>
      </c>
      <c r="H738" s="3">
        <f>XLOOKUP(D738,'Move Editor'!$B:$B,'Move Editor'!$F:$F,0)</f>
        <v/>
      </c>
      <c r="I738" s="3">
        <f>(INDEX('Type Chart'!$B:$S,MATCH(E738,'Type Chart'!$A:$A,0),MATCH(XLOOKUP('Boss Editor'!$C$4,'Pokemon Editor'!$A:$A,'Pokemon Editor'!$C:$C,""),'Type Chart'!$B$1:$S$1,0))*IF(XLOOKUP('Boss Editor'!$C$4,'Pokemon Editor'!$A:$A,'Pokemon Editor'!$D:$D,"")="",1,INDEX('Type Chart'!$B:$S,MATCH(E738,'Type Chart'!$A:$A,0),MATCH(XLOOKUP('Boss Editor'!$C$4,'Pokemon Editor'!$A:$A,'Pokemon Editor'!$D:$D,""),'Type Chart'!$B$1:$S$1,0))))</f>
        <v/>
      </c>
      <c r="J738" s="3">
        <f>IFERROR(LET(mtype,XLOOKUP($D738,'Move Editor'!$B:$B,'Move Editor'!$C:$C,""),cat,XLOOKUP($D738,'Move Editor'!$B:$B,'Move Editor'!$D:$D,""),pow,XLOOKUP($D738,'Move Editor'!$B:$B,'Move Editor'!$E:$E,0),acc,XLOOKUP($D738,'Move Editor'!$B:$B,'Move Editor'!$F:$F,100),atk,IF(cat="Physical",FLOOR((FLOOR(((2*XLOOKUP(XLOOKUP($Q738,'Threshold Summary'!$Y:$Y,'Threshold Summary'!$K:$K,""),'Pokemon Editor'!$A:$A,'Pokemon Editor'!$F:$F,0)+31+FLOOR(XLOOKUP($Q738,'Threshold Summary'!$Y:$Y,'Threshold Summary'!$P:$P,"")/4))*XLOOKUP($Q738,'Threshold Summary'!$Y:$Y,'Threshold Summary'!$L:$L,""))/100)+5)*XLOOKUP(XLOOKUP($Q738,'Threshold Summary'!$Y:$Y,'Threshold Summary'!$M:$M,""),'Nature Editor'!$A:$A,'Nature Editor'!$B:$B,1)),FLOOR((FLOOR(((2*XLOOKUP(XLOOKUP($Q738,'Threshold Summary'!$Y:$Y,'Threshold Summary'!$K:$K,""),'Pokemon Editor'!$A:$A,'Pokemon Editor'!$H:$H,0)+31+FLOOR(XLOOKUP($Q738,'Threshold Summary'!$Y:$Y,'Threshold Summary'!$R:$R,"")/4))*XLOOKUP($Q738,'Threshold Summary'!$Y:$Y,'Threshold Summary'!$L:$L,""))/100)+5)*XLOOKUP(XLOOKUP($Q738,'Threshold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Editor'!$E:$E,1))),stab,IF(OR(mtype=XLOOKUP(XLOOKUP($Q738,'Threshold Summary'!$Y:$Y,'Threshold Summary'!$K:$K,""),'Pokemon Editor'!$A:$A,'Pokemon Editor'!$C:$C,""),mtype=XLOOKUP(XLOOKUP($Q738,'Threshold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Chart'!$B$1:$S$1,0)))),base,IF(OR(cat="Status",pow=0),0,FLOOR(FLOOR(FLOOR((2*XLOOKUP($Q738,'Threshold Summary'!$Y:$Y,'Threshold Summary'!$L:$L,"")/5+2)*pow*atk/def)/50)+2)),modifier,stab*eff,FLOOR(base*modifier*0.85)),0)</f>
        <v/>
      </c>
      <c r="K738" s="3">
        <f>IFERROR(LET(mtype,XLOOKUP($D738,'Move Editor'!$B:$B,'Move Editor'!$C:$C,""),cat,XLOOKUP($D738,'Move Editor'!$B:$B,'Move Editor'!$D:$D,""),pow,XLOOKUP($D738,'Move Editor'!$B:$B,'Move Editor'!$E:$E,0),acc,XLOOKUP($D738,'Move Editor'!$B:$B,'Move Editor'!$F:$F,100),atk,IF(cat="Physical",FLOOR((FLOOR(((2*XLOOKUP(XLOOKUP($Q738,'Threshold Summary'!$Y:$Y,'Threshold Summary'!$K:$K,""),'Pokemon Editor'!$A:$A,'Pokemon Editor'!$F:$F,0)+31+FLOOR(XLOOKUP($Q738,'Threshold Summary'!$Y:$Y,'Threshold Summary'!$P:$P,"")/4))*XLOOKUP($Q738,'Threshold Summary'!$Y:$Y,'Threshold Summary'!$L:$L,""))/100)+5)*XLOOKUP(XLOOKUP($Q738,'Threshold Summary'!$Y:$Y,'Threshold Summary'!$M:$M,""),'Nature Editor'!$A:$A,'Nature Editor'!$B:$B,1)),FLOOR((FLOOR(((2*XLOOKUP(XLOOKUP($Q738,'Threshold Summary'!$Y:$Y,'Threshold Summary'!$K:$K,""),'Pokemon Editor'!$A:$A,'Pokemon Editor'!$H:$H,0)+31+FLOOR(XLOOKUP($Q738,'Threshold Summary'!$Y:$Y,'Threshold Summary'!$R:$R,"")/4))*XLOOKUP($Q738,'Threshold Summary'!$Y:$Y,'Threshold Summary'!$L:$L,""))/100)+5)*XLOOKUP(XLOOKUP($Q738,'Threshold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Editor'!$E:$E,1))),stab,IF(OR(mtype=XLOOKUP(XLOOKUP($Q738,'Threshold Summary'!$Y:$Y,'Threshold Summary'!$K:$K,""),'Pokemon Editor'!$A:$A,'Pokemon Editor'!$C:$C,""),mtype=XLOOKUP(XLOOKUP($Q738,'Threshold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Chart'!$B$1:$S$1,0)))),base,IF(OR(cat="Status",pow=0),0,FLOOR(FLOOR(FLOOR((2*XLOOKUP($Q738,'Threshold Summary'!$Y:$Y,'Threshold Summary'!$L:$L,"")/5+2)*pow*atk/def)/50)+2)),modifier,stab*eff,FLOOR(base*modifier)),0)</f>
        <v/>
      </c>
      <c r="L738" s="3">
        <f>IFERROR(LET(mtype,XLOOKUP($D738,'Move Editor'!$B:$B,'Move Editor'!$C:$C,""),cat,XLOOKUP($D738,'Move Editor'!$B:$B,'Move Editor'!$D:$D,""),pow,XLOOKUP($D738,'Move Editor'!$B:$B,'Move Editor'!$E:$E,0),acc,XLOOKUP($D738,'Move Editor'!$B:$B,'Move Editor'!$F:$F,100),atk,IF(cat="Physical",FLOOR((FLOOR(((2*XLOOKUP(XLOOKUP($Q738,'Threshold Summary'!$Y:$Y,'Threshold Summary'!$K:$K,""),'Pokemon Editor'!$A:$A,'Pokemon Editor'!$F:$F,0)+31+FLOOR(XLOOKUP($Q738,'Threshold Summary'!$Y:$Y,'Threshold Summary'!$P:$P,"")/4))*XLOOKUP($Q738,'Threshold Summary'!$Y:$Y,'Threshold Summary'!$L:$L,""))/100)+5)*XLOOKUP(XLOOKUP($Q738,'Threshold Summary'!$Y:$Y,'Threshold Summary'!$M:$M,""),'Nature Editor'!$A:$A,'Nature Editor'!$B:$B,1)),FLOOR((FLOOR(((2*XLOOKUP(XLOOKUP($Q738,'Threshold Summary'!$Y:$Y,'Threshold Summary'!$K:$K,""),'Pokemon Editor'!$A:$A,'Pokemon Editor'!$H:$H,0)+31+FLOOR(XLOOKUP($Q738,'Threshold Summary'!$Y:$Y,'Threshold Summary'!$R:$R,"")/4))*XLOOKUP($Q738,'Threshold Summary'!$Y:$Y,'Threshold Summary'!$L:$L,""))/100)+5)*XLOOKUP(XLOOKUP($Q738,'Threshold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Editor'!$E:$E,1))),stab,IF(OR(mtype=XLOOKUP(XLOOKUP($Q738,'Threshold Summary'!$Y:$Y,'Threshold Summary'!$K:$K,""),'Pokemon Editor'!$A:$A,'Pokemon Editor'!$C:$C,""),mtype=XLOOKUP(XLOOKUP($Q738,'Threshold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Chart'!$B$1:$S$1,0)))),base,IF(OR(cat="Status",pow=0),0,FLOOR(FLOOR(FLOOR((2*XLOOKUP($Q738,'Threshold Summary'!$Y:$Y,'Threshold Summary'!$L:$L,"")/5+2)*pow*atk/def)/50)+2)),modifier,stab*eff,AVERAGE(ARRAYFORMULA(FLOOR(base*modifier*SEQUENCE(16,1,85,1)/100)))),0)</f>
        <v/>
      </c>
      <c r="M738" s="3">
        <f>IFERROR(LET(mtype,XLOOKUP($D738,'Move Editor'!$B:$B,'Move Editor'!$C:$C,""),cat,XLOOKUP($D738,'Move Editor'!$B:$B,'Move Editor'!$D:$D,""),pow,XLOOKUP($D738,'Move Editor'!$B:$B,'Move Editor'!$E:$E,0),acc,XLOOKUP($D738,'Move Editor'!$B:$B,'Move Editor'!$F:$F,100),atk,IF(cat="Physical",FLOOR((FLOOR(((2*XLOOKUP(XLOOKUP($Q738,'Threshold Summary'!$Y:$Y,'Threshold Summary'!$K:$K,""),'Pokemon Editor'!$A:$A,'Pokemon Editor'!$F:$F,0)+31+FLOOR(XLOOKUP($Q738,'Threshold Summary'!$Y:$Y,'Threshold Summary'!$P:$P,"")/4))*XLOOKUP($Q738,'Threshold Summary'!$Y:$Y,'Threshold Summary'!$L:$L,""))/100)+5)*XLOOKUP(XLOOKUP($Q738,'Threshold Summary'!$Y:$Y,'Threshold Summary'!$M:$M,""),'Nature Editor'!$A:$A,'Nature Editor'!$B:$B,1)),FLOOR((FLOOR(((2*XLOOKUP(XLOOKUP($Q738,'Threshold Summary'!$Y:$Y,'Threshold Summary'!$K:$K,""),'Pokemon Editor'!$A:$A,'Pokemon Editor'!$H:$H,0)+31+FLOOR(XLOOKUP($Q738,'Threshold Summary'!$Y:$Y,'Threshold Summary'!$R:$R,"")/4))*XLOOKUP($Q738,'Threshold Summary'!$Y:$Y,'Threshold Summary'!$L:$L,""))/100)+5)*XLOOKUP(XLOOKUP($Q738,'Threshold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Editor'!$E:$E,1))),stab,IF(OR(mtype=XLOOKUP(XLOOKUP($Q738,'Threshold Summary'!$Y:$Y,'Threshold Summary'!$K:$K,""),'Pokemon Editor'!$A:$A,'Pokemon Editor'!$C:$C,""),mtype=XLOOKUP(XLOOKUP($Q738,'Threshold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Chart'!$B$1:$S$1,0)))),base,IF(OR(cat="Status",pow=0),0,FLOOR(FLOOR(FLOOR((2*XLOOKUP($Q738,'Threshold Summary'!$Y:$Y,'Threshold Summary'!$L:$L,"")/5+2)*pow*atk/def)/50)+2)),modifier,stab*eff,AVERAGE(ARRAYFORMULA(FLOOR(base*modifier*SEQUENCE(16,1,85,1)/100)))*MIN(1,acc/100)),0)</f>
        <v/>
      </c>
      <c r="N738" s="4">
        <f>IFERROR(LET(mtype,XLOOKUP($D738,'Move Editor'!$B:$B,'Move Editor'!$C:$C,""),cat,XLOOKUP($D738,'Move Editor'!$B:$B,'Move Editor'!$D:$D,""),pow,XLOOKUP($D738,'Move Editor'!$B:$B,'Move Editor'!$E:$E,0),acc,XLOOKUP($D738,'Move Editor'!$B:$B,'Move Editor'!$F:$F,100),atk,IF(cat="Physical",FLOOR((FLOOR(((2*XLOOKUP(XLOOKUP($Q738,'Threshold Summary'!$Y:$Y,'Threshold Summary'!$K:$K,""),'Pokemon Editor'!$A:$A,'Pokemon Editor'!$F:$F,0)+31+FLOOR(XLOOKUP($Q738,'Threshold Summary'!$Y:$Y,'Threshold Summary'!$P:$P,"")/4))*XLOOKUP($Q738,'Threshold Summary'!$Y:$Y,'Threshold Summary'!$L:$L,""))/100)+5)*XLOOKUP(XLOOKUP($Q738,'Threshold Summary'!$Y:$Y,'Threshold Summary'!$M:$M,""),'Nature Editor'!$A:$A,'Nature Editor'!$B:$B,1)),FLOOR((FLOOR(((2*XLOOKUP(XLOOKUP($Q738,'Threshold Summary'!$Y:$Y,'Threshold Summary'!$K:$K,""),'Pokemon Editor'!$A:$A,'Pokemon Editor'!$H:$H,0)+31+FLOOR(XLOOKUP($Q738,'Threshold Summary'!$Y:$Y,'Threshold Summary'!$R:$R,"")/4))*XLOOKUP($Q738,'Threshold Summary'!$Y:$Y,'Threshold Summary'!$L:$L,""))/100)+5)*XLOOKUP(XLOOKUP($Q738,'Threshold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Editor'!$E:$E,1))),stab,IF(OR(mtype=XLOOKUP(XLOOKUP($Q738,'Threshold Summary'!$Y:$Y,'Threshold Summary'!$K:$K,""),'Pokemon Editor'!$A:$A,'Pokemon Editor'!$C:$C,""),mtype=XLOOKUP(XLOOKUP($Q738,'Threshold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Chart'!$B$1:$S$1,0)))),base,IF(OR(cat="Status",pow=0),0,FLOOR(FLOOR(FLOOR((2*XLOOKUP($Q738,'Threshold Summary'!$Y:$Y,'Threshold Summary'!$L:$L,"")/5+2)*pow*atk/def)/50)+2)),modifier,stab*eff,AVERAGE(ARRAYFORMULA(FLOOR(base*modifier*SEQUENCE(16,1,85,1)/100)))/(FLOOR(((2*XLOOKUP('Boss Editor'!$C$4,'Pokemon Editor'!$A:$A,'Pokemon Editor'!$E:$E,0)+31+FLOOR('Boss Editor'!$G$4/4))*'Boss Editor'!$D$4)/100)+'Boss Editor'!$D$4+10)),0)</f>
        <v/>
      </c>
      <c r="O738" s="3">
        <f>IF(N738&gt;=1,"OHKO",IF(N738&gt;=0.5,"2HKO",IF(N738&gt;=0.333,"3HKO",IF(N738&gt;=0.25,"4HKO","5HKO+"))))</f>
        <v/>
      </c>
      <c r="P738" s="3" t="inlineStr">
        <is>
          <t>Live from editable databases</t>
        </is>
      </c>
      <c r="Q738" s="3" t="inlineStr">
        <is>
          <t>SPECIES_STUFFUL</t>
        </is>
      </c>
      <c r="R738" s="3" t="n">
        <v>1</v>
      </c>
    </row>
    <row r="739">
      <c r="A739" s="3">
        <f>XLOOKUP($Q739,'Threshold Summary'!$Y:$Y,'Threshold Summary'!$A:$A,"")</f>
        <v/>
      </c>
      <c r="B739" s="3">
        <f>XLOOKUP($Q739,'Threshold Summary'!$Y:$Y,'Threshold Summary'!$M:$M,"")</f>
        <v/>
      </c>
      <c r="C739" s="3">
        <f>XLOOKUP($Q739,'Threshold Summary'!$Y:$Y,'Threshold Summary'!$N:$N,"")</f>
        <v/>
      </c>
      <c r="D739" s="3">
        <f>IFERROR(INDEX(FILTER('Learnset Editor'!$D$2:$D,'Learnset Editor'!$A$2:$A=XLOOKUP($Q739,'Threshold Summary'!$Y:$Y,'Threshold Summary'!$K:$K,""),'Learnset Editor'!$C$2:$C&lt;=XLOOKUP($Q739,'Threshold Summary'!$Y:$Y,'Threshold Summary'!$L:$L,"")),$R739),"")</f>
        <v/>
      </c>
      <c r="E739" s="3">
        <f>XLOOKUP(D739,'Move Editor'!$B:$B,'Move Editor'!$C:$C,"")</f>
        <v/>
      </c>
      <c r="F739" s="3">
        <f>XLOOKUP(D739,'Move Editor'!$B:$B,'Move Editor'!$D:$D,"")</f>
        <v/>
      </c>
      <c r="G739" s="3">
        <f>XLOOKUP(D739,'Move Editor'!$B:$B,'Move Editor'!$E:$E,0)</f>
        <v/>
      </c>
      <c r="H739" s="3">
        <f>XLOOKUP(D739,'Move Editor'!$B:$B,'Move Editor'!$F:$F,0)</f>
        <v/>
      </c>
      <c r="I739" s="3">
        <f>(INDEX('Type Chart'!$B:$S,MATCH(E739,'Type Chart'!$A:$A,0),MATCH(XLOOKUP('Boss Editor'!$C$4,'Pokemon Editor'!$A:$A,'Pokemon Editor'!$C:$C,""),'Type Chart'!$B$1:$S$1,0))*IF(XLOOKUP('Boss Editor'!$C$4,'Pokemon Editor'!$A:$A,'Pokemon Editor'!$D:$D,"")="",1,INDEX('Type Chart'!$B:$S,MATCH(E739,'Type Chart'!$A:$A,0),MATCH(XLOOKUP('Boss Editor'!$C$4,'Pokemon Editor'!$A:$A,'Pokemon Editor'!$D:$D,""),'Type Chart'!$B$1:$S$1,0))))</f>
        <v/>
      </c>
      <c r="J739" s="3">
        <f>IFERROR(LET(mtype,XLOOKUP($D739,'Move Editor'!$B:$B,'Move Editor'!$C:$C,""),cat,XLOOKUP($D739,'Move Editor'!$B:$B,'Move Editor'!$D:$D,""),pow,XLOOKUP($D739,'Move Editor'!$B:$B,'Move Editor'!$E:$E,0),acc,XLOOKUP($D739,'Move Editor'!$B:$B,'Move Editor'!$F:$F,100),atk,IF(cat="Physical",FLOOR((FLOOR(((2*XLOOKUP(XLOOKUP($Q739,'Threshold Summary'!$Y:$Y,'Threshold Summary'!$K:$K,""),'Pokemon Editor'!$A:$A,'Pokemon Editor'!$F:$F,0)+31+FLOOR(XLOOKUP($Q739,'Threshold Summary'!$Y:$Y,'Threshold Summary'!$P:$P,"")/4))*XLOOKUP($Q739,'Threshold Summary'!$Y:$Y,'Threshold Summary'!$L:$L,""))/100)+5)*XLOOKUP(XLOOKUP($Q739,'Threshold Summary'!$Y:$Y,'Threshold Summary'!$M:$M,""),'Nature Editor'!$A:$A,'Nature Editor'!$B:$B,1)),FLOOR((FLOOR(((2*XLOOKUP(XLOOKUP($Q739,'Threshold Summary'!$Y:$Y,'Threshold Summary'!$K:$K,""),'Pokemon Editor'!$A:$A,'Pokemon Editor'!$H:$H,0)+31+FLOOR(XLOOKUP($Q739,'Threshold Summary'!$Y:$Y,'Threshold Summary'!$R:$R,"")/4))*XLOOKUP($Q739,'Threshold Summary'!$Y:$Y,'Threshold Summary'!$L:$L,""))/100)+5)*XLOOKUP(XLOOKUP($Q739,'Threshold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Editor'!$E:$E,1))),stab,IF(OR(mtype=XLOOKUP(XLOOKUP($Q739,'Threshold Summary'!$Y:$Y,'Threshold Summary'!$K:$K,""),'Pokemon Editor'!$A:$A,'Pokemon Editor'!$C:$C,""),mtype=XLOOKUP(XLOOKUP($Q739,'Threshold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Chart'!$B$1:$S$1,0)))),base,IF(OR(cat="Status",pow=0),0,FLOOR(FLOOR(FLOOR((2*XLOOKUP($Q739,'Threshold Summary'!$Y:$Y,'Threshold Summary'!$L:$L,"")/5+2)*pow*atk/def)/50)+2)),modifier,stab*eff,FLOOR(base*modifier*0.85)),0)</f>
        <v/>
      </c>
      <c r="K739" s="3">
        <f>IFERROR(LET(mtype,XLOOKUP($D739,'Move Editor'!$B:$B,'Move Editor'!$C:$C,""),cat,XLOOKUP($D739,'Move Editor'!$B:$B,'Move Editor'!$D:$D,""),pow,XLOOKUP($D739,'Move Editor'!$B:$B,'Move Editor'!$E:$E,0),acc,XLOOKUP($D739,'Move Editor'!$B:$B,'Move Editor'!$F:$F,100),atk,IF(cat="Physical",FLOOR((FLOOR(((2*XLOOKUP(XLOOKUP($Q739,'Threshold Summary'!$Y:$Y,'Threshold Summary'!$K:$K,""),'Pokemon Editor'!$A:$A,'Pokemon Editor'!$F:$F,0)+31+FLOOR(XLOOKUP($Q739,'Threshold Summary'!$Y:$Y,'Threshold Summary'!$P:$P,"")/4))*XLOOKUP($Q739,'Threshold Summary'!$Y:$Y,'Threshold Summary'!$L:$L,""))/100)+5)*XLOOKUP(XLOOKUP($Q739,'Threshold Summary'!$Y:$Y,'Threshold Summary'!$M:$M,""),'Nature Editor'!$A:$A,'Nature Editor'!$B:$B,1)),FLOOR((FLOOR(((2*XLOOKUP(XLOOKUP($Q739,'Threshold Summary'!$Y:$Y,'Threshold Summary'!$K:$K,""),'Pokemon Editor'!$A:$A,'Pokemon Editor'!$H:$H,0)+31+FLOOR(XLOOKUP($Q739,'Threshold Summary'!$Y:$Y,'Threshold Summary'!$R:$R,"")/4))*XLOOKUP($Q739,'Threshold Summary'!$Y:$Y,'Threshold Summary'!$L:$L,""))/100)+5)*XLOOKUP(XLOOKUP($Q739,'Threshold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Editor'!$E:$E,1))),stab,IF(OR(mtype=XLOOKUP(XLOOKUP($Q739,'Threshold Summary'!$Y:$Y,'Threshold Summary'!$K:$K,""),'Pokemon Editor'!$A:$A,'Pokemon Editor'!$C:$C,""),mtype=XLOOKUP(XLOOKUP($Q739,'Threshold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Chart'!$B$1:$S$1,0)))),base,IF(OR(cat="Status",pow=0),0,FLOOR(FLOOR(FLOOR((2*XLOOKUP($Q739,'Threshold Summary'!$Y:$Y,'Threshold Summary'!$L:$L,"")/5+2)*pow*atk/def)/50)+2)),modifier,stab*eff,FLOOR(base*modifier)),0)</f>
        <v/>
      </c>
      <c r="L739" s="3">
        <f>IFERROR(LET(mtype,XLOOKUP($D739,'Move Editor'!$B:$B,'Move Editor'!$C:$C,""),cat,XLOOKUP($D739,'Move Editor'!$B:$B,'Move Editor'!$D:$D,""),pow,XLOOKUP($D739,'Move Editor'!$B:$B,'Move Editor'!$E:$E,0),acc,XLOOKUP($D739,'Move Editor'!$B:$B,'Move Editor'!$F:$F,100),atk,IF(cat="Physical",FLOOR((FLOOR(((2*XLOOKUP(XLOOKUP($Q739,'Threshold Summary'!$Y:$Y,'Threshold Summary'!$K:$K,""),'Pokemon Editor'!$A:$A,'Pokemon Editor'!$F:$F,0)+31+FLOOR(XLOOKUP($Q739,'Threshold Summary'!$Y:$Y,'Threshold Summary'!$P:$P,"")/4))*XLOOKUP($Q739,'Threshold Summary'!$Y:$Y,'Threshold Summary'!$L:$L,""))/100)+5)*XLOOKUP(XLOOKUP($Q739,'Threshold Summary'!$Y:$Y,'Threshold Summary'!$M:$M,""),'Nature Editor'!$A:$A,'Nature Editor'!$B:$B,1)),FLOOR((FLOOR(((2*XLOOKUP(XLOOKUP($Q739,'Threshold Summary'!$Y:$Y,'Threshold Summary'!$K:$K,""),'Pokemon Editor'!$A:$A,'Pokemon Editor'!$H:$H,0)+31+FLOOR(XLOOKUP($Q739,'Threshold Summary'!$Y:$Y,'Threshold Summary'!$R:$R,"")/4))*XLOOKUP($Q739,'Threshold Summary'!$Y:$Y,'Threshold Summary'!$L:$L,""))/100)+5)*XLOOKUP(XLOOKUP($Q739,'Threshold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Editor'!$E:$E,1))),stab,IF(OR(mtype=XLOOKUP(XLOOKUP($Q739,'Threshold Summary'!$Y:$Y,'Threshold Summary'!$K:$K,""),'Pokemon Editor'!$A:$A,'Pokemon Editor'!$C:$C,""),mtype=XLOOKUP(XLOOKUP($Q739,'Threshold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Chart'!$B$1:$S$1,0)))),base,IF(OR(cat="Status",pow=0),0,FLOOR(FLOOR(FLOOR((2*XLOOKUP($Q739,'Threshold Summary'!$Y:$Y,'Threshold Summary'!$L:$L,"")/5+2)*pow*atk/def)/50)+2)),modifier,stab*eff,AVERAGE(ARRAYFORMULA(FLOOR(base*modifier*SEQUENCE(16,1,85,1)/100)))),0)</f>
        <v/>
      </c>
      <c r="M739" s="3">
        <f>IFERROR(LET(mtype,XLOOKUP($D739,'Move Editor'!$B:$B,'Move Editor'!$C:$C,""),cat,XLOOKUP($D739,'Move Editor'!$B:$B,'Move Editor'!$D:$D,""),pow,XLOOKUP($D739,'Move Editor'!$B:$B,'Move Editor'!$E:$E,0),acc,XLOOKUP($D739,'Move Editor'!$B:$B,'Move Editor'!$F:$F,100),atk,IF(cat="Physical",FLOOR((FLOOR(((2*XLOOKUP(XLOOKUP($Q739,'Threshold Summary'!$Y:$Y,'Threshold Summary'!$K:$K,""),'Pokemon Editor'!$A:$A,'Pokemon Editor'!$F:$F,0)+31+FLOOR(XLOOKUP($Q739,'Threshold Summary'!$Y:$Y,'Threshold Summary'!$P:$P,"")/4))*XLOOKUP($Q739,'Threshold Summary'!$Y:$Y,'Threshold Summary'!$L:$L,""))/100)+5)*XLOOKUP(XLOOKUP($Q739,'Threshold Summary'!$Y:$Y,'Threshold Summary'!$M:$M,""),'Nature Editor'!$A:$A,'Nature Editor'!$B:$B,1)),FLOOR((FLOOR(((2*XLOOKUP(XLOOKUP($Q739,'Threshold Summary'!$Y:$Y,'Threshold Summary'!$K:$K,""),'Pokemon Editor'!$A:$A,'Pokemon Editor'!$H:$H,0)+31+FLOOR(XLOOKUP($Q739,'Threshold Summary'!$Y:$Y,'Threshold Summary'!$R:$R,"")/4))*XLOOKUP($Q739,'Threshold Summary'!$Y:$Y,'Threshold Summary'!$L:$L,""))/100)+5)*XLOOKUP(XLOOKUP($Q739,'Threshold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Editor'!$E:$E,1))),stab,IF(OR(mtype=XLOOKUP(XLOOKUP($Q739,'Threshold Summary'!$Y:$Y,'Threshold Summary'!$K:$K,""),'Pokemon Editor'!$A:$A,'Pokemon Editor'!$C:$C,""),mtype=XLOOKUP(XLOOKUP($Q739,'Threshold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Chart'!$B$1:$S$1,0)))),base,IF(OR(cat="Status",pow=0),0,FLOOR(FLOOR(FLOOR((2*XLOOKUP($Q739,'Threshold Summary'!$Y:$Y,'Threshold Summary'!$L:$L,"")/5+2)*pow*atk/def)/50)+2)),modifier,stab*eff,AVERAGE(ARRAYFORMULA(FLOOR(base*modifier*SEQUENCE(16,1,85,1)/100)))*MIN(1,acc/100)),0)</f>
        <v/>
      </c>
      <c r="N739" s="4">
        <f>IFERROR(LET(mtype,XLOOKUP($D739,'Move Editor'!$B:$B,'Move Editor'!$C:$C,""),cat,XLOOKUP($D739,'Move Editor'!$B:$B,'Move Editor'!$D:$D,""),pow,XLOOKUP($D739,'Move Editor'!$B:$B,'Move Editor'!$E:$E,0),acc,XLOOKUP($D739,'Move Editor'!$B:$B,'Move Editor'!$F:$F,100),atk,IF(cat="Physical",FLOOR((FLOOR(((2*XLOOKUP(XLOOKUP($Q739,'Threshold Summary'!$Y:$Y,'Threshold Summary'!$K:$K,""),'Pokemon Editor'!$A:$A,'Pokemon Editor'!$F:$F,0)+31+FLOOR(XLOOKUP($Q739,'Threshold Summary'!$Y:$Y,'Threshold Summary'!$P:$P,"")/4))*XLOOKUP($Q739,'Threshold Summary'!$Y:$Y,'Threshold Summary'!$L:$L,""))/100)+5)*XLOOKUP(XLOOKUP($Q739,'Threshold Summary'!$Y:$Y,'Threshold Summary'!$M:$M,""),'Nature Editor'!$A:$A,'Nature Editor'!$B:$B,1)),FLOOR((FLOOR(((2*XLOOKUP(XLOOKUP($Q739,'Threshold Summary'!$Y:$Y,'Threshold Summary'!$K:$K,""),'Pokemon Editor'!$A:$A,'Pokemon Editor'!$H:$H,0)+31+FLOOR(XLOOKUP($Q739,'Threshold Summary'!$Y:$Y,'Threshold Summary'!$R:$R,"")/4))*XLOOKUP($Q739,'Threshold Summary'!$Y:$Y,'Threshold Summary'!$L:$L,""))/100)+5)*XLOOKUP(XLOOKUP($Q739,'Threshold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Editor'!$E:$E,1))),stab,IF(OR(mtype=XLOOKUP(XLOOKUP($Q739,'Threshold Summary'!$Y:$Y,'Threshold Summary'!$K:$K,""),'Pokemon Editor'!$A:$A,'Pokemon Editor'!$C:$C,""),mtype=XLOOKUP(XLOOKUP($Q739,'Threshold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Chart'!$B$1:$S$1,0)))),base,IF(OR(cat="Status",pow=0),0,FLOOR(FLOOR(FLOOR((2*XLOOKUP($Q739,'Threshold Summary'!$Y:$Y,'Threshold Summary'!$L:$L,"")/5+2)*pow*atk/def)/50)+2)),modifier,stab*eff,AVERAGE(ARRAYFORMULA(FLOOR(base*modifier*SEQUENCE(16,1,85,1)/100)))/(FLOOR(((2*XLOOKUP('Boss Editor'!$C$4,'Pokemon Editor'!$A:$A,'Pokemon Editor'!$E:$E,0)+31+FLOOR('Boss Editor'!$G$4/4))*'Boss Editor'!$D$4)/100)+'Boss Editor'!$D$4+10)),0)</f>
        <v/>
      </c>
      <c r="O739" s="3">
        <f>IF(N739&gt;=1,"OHKO",IF(N739&gt;=0.5,"2HKO",IF(N739&gt;=0.333,"3HKO",IF(N739&gt;=0.25,"4HKO","5HKO+"))))</f>
        <v/>
      </c>
      <c r="P739" s="3" t="inlineStr">
        <is>
          <t>Live from editable databases</t>
        </is>
      </c>
      <c r="Q739" s="3" t="inlineStr">
        <is>
          <t>SPECIES_STUFFUL</t>
        </is>
      </c>
      <c r="R739" s="3" t="n">
        <v>2</v>
      </c>
    </row>
    <row r="740">
      <c r="A740" s="3">
        <f>XLOOKUP($Q740,'Threshold Summary'!$Y:$Y,'Threshold Summary'!$A:$A,"")</f>
        <v/>
      </c>
      <c r="B740" s="3">
        <f>XLOOKUP($Q740,'Threshold Summary'!$Y:$Y,'Threshold Summary'!$M:$M,"")</f>
        <v/>
      </c>
      <c r="C740" s="3">
        <f>XLOOKUP($Q740,'Threshold Summary'!$Y:$Y,'Threshold Summary'!$N:$N,"")</f>
        <v/>
      </c>
      <c r="D740" s="3">
        <f>IFERROR(INDEX(FILTER('Learnset Editor'!$D$2:$D,'Learnset Editor'!$A$2:$A=XLOOKUP($Q740,'Threshold Summary'!$Y:$Y,'Threshold Summary'!$K:$K,""),'Learnset Editor'!$C$2:$C&lt;=XLOOKUP($Q740,'Threshold Summary'!$Y:$Y,'Threshold Summary'!$L:$L,"")),$R740),"")</f>
        <v/>
      </c>
      <c r="E740" s="3">
        <f>XLOOKUP(D740,'Move Editor'!$B:$B,'Move Editor'!$C:$C,"")</f>
        <v/>
      </c>
      <c r="F740" s="3">
        <f>XLOOKUP(D740,'Move Editor'!$B:$B,'Move Editor'!$D:$D,"")</f>
        <v/>
      </c>
      <c r="G740" s="3">
        <f>XLOOKUP(D740,'Move Editor'!$B:$B,'Move Editor'!$E:$E,0)</f>
        <v/>
      </c>
      <c r="H740" s="3">
        <f>XLOOKUP(D740,'Move Editor'!$B:$B,'Move Editor'!$F:$F,0)</f>
        <v/>
      </c>
      <c r="I740" s="3">
        <f>(INDEX('Type Chart'!$B:$S,MATCH(E740,'Type Chart'!$A:$A,0),MATCH(XLOOKUP('Boss Editor'!$C$4,'Pokemon Editor'!$A:$A,'Pokemon Editor'!$C:$C,""),'Type Chart'!$B$1:$S$1,0))*IF(XLOOKUP('Boss Editor'!$C$4,'Pokemon Editor'!$A:$A,'Pokemon Editor'!$D:$D,"")="",1,INDEX('Type Chart'!$B:$S,MATCH(E740,'Type Chart'!$A:$A,0),MATCH(XLOOKUP('Boss Editor'!$C$4,'Pokemon Editor'!$A:$A,'Pokemon Editor'!$D:$D,""),'Type Chart'!$B$1:$S$1,0))))</f>
        <v/>
      </c>
      <c r="J740" s="3">
        <f>IFERROR(LET(mtype,XLOOKUP($D740,'Move Editor'!$B:$B,'Move Editor'!$C:$C,""),cat,XLOOKUP($D740,'Move Editor'!$B:$B,'Move Editor'!$D:$D,""),pow,XLOOKUP($D740,'Move Editor'!$B:$B,'Move Editor'!$E:$E,0),acc,XLOOKUP($D740,'Move Editor'!$B:$B,'Move Editor'!$F:$F,100),atk,IF(cat="Physical",FLOOR((FLOOR(((2*XLOOKUP(XLOOKUP($Q740,'Threshold Summary'!$Y:$Y,'Threshold Summary'!$K:$K,""),'Pokemon Editor'!$A:$A,'Pokemon Editor'!$F:$F,0)+31+FLOOR(XLOOKUP($Q740,'Threshold Summary'!$Y:$Y,'Threshold Summary'!$P:$P,"")/4))*XLOOKUP($Q740,'Threshold Summary'!$Y:$Y,'Threshold Summary'!$L:$L,""))/100)+5)*XLOOKUP(XLOOKUP($Q740,'Threshold Summary'!$Y:$Y,'Threshold Summary'!$M:$M,""),'Nature Editor'!$A:$A,'Nature Editor'!$B:$B,1)),FLOOR((FLOOR(((2*XLOOKUP(XLOOKUP($Q740,'Threshold Summary'!$Y:$Y,'Threshold Summary'!$K:$K,""),'Pokemon Editor'!$A:$A,'Pokemon Editor'!$H:$H,0)+31+FLOOR(XLOOKUP($Q740,'Threshold Summary'!$Y:$Y,'Threshold Summary'!$R:$R,"")/4))*XLOOKUP($Q740,'Threshold Summary'!$Y:$Y,'Threshold Summary'!$L:$L,""))/100)+5)*XLOOKUP(XLOOKUP($Q740,'Threshold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Editor'!$E:$E,1))),stab,IF(OR(mtype=XLOOKUP(XLOOKUP($Q740,'Threshold Summary'!$Y:$Y,'Threshold Summary'!$K:$K,""),'Pokemon Editor'!$A:$A,'Pokemon Editor'!$C:$C,""),mtype=XLOOKUP(XLOOKUP($Q740,'Threshold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Chart'!$B$1:$S$1,0)))),base,IF(OR(cat="Status",pow=0),0,FLOOR(FLOOR(FLOOR((2*XLOOKUP($Q740,'Threshold Summary'!$Y:$Y,'Threshold Summary'!$L:$L,"")/5+2)*pow*atk/def)/50)+2)),modifier,stab*eff,FLOOR(base*modifier*0.85)),0)</f>
        <v/>
      </c>
      <c r="K740" s="3">
        <f>IFERROR(LET(mtype,XLOOKUP($D740,'Move Editor'!$B:$B,'Move Editor'!$C:$C,""),cat,XLOOKUP($D740,'Move Editor'!$B:$B,'Move Editor'!$D:$D,""),pow,XLOOKUP($D740,'Move Editor'!$B:$B,'Move Editor'!$E:$E,0),acc,XLOOKUP($D740,'Move Editor'!$B:$B,'Move Editor'!$F:$F,100),atk,IF(cat="Physical",FLOOR((FLOOR(((2*XLOOKUP(XLOOKUP($Q740,'Threshold Summary'!$Y:$Y,'Threshold Summary'!$K:$K,""),'Pokemon Editor'!$A:$A,'Pokemon Editor'!$F:$F,0)+31+FLOOR(XLOOKUP($Q740,'Threshold Summary'!$Y:$Y,'Threshold Summary'!$P:$P,"")/4))*XLOOKUP($Q740,'Threshold Summary'!$Y:$Y,'Threshold Summary'!$L:$L,""))/100)+5)*XLOOKUP(XLOOKUP($Q740,'Threshold Summary'!$Y:$Y,'Threshold Summary'!$M:$M,""),'Nature Editor'!$A:$A,'Nature Editor'!$B:$B,1)),FLOOR((FLOOR(((2*XLOOKUP(XLOOKUP($Q740,'Threshold Summary'!$Y:$Y,'Threshold Summary'!$K:$K,""),'Pokemon Editor'!$A:$A,'Pokemon Editor'!$H:$H,0)+31+FLOOR(XLOOKUP($Q740,'Threshold Summary'!$Y:$Y,'Threshold Summary'!$R:$R,"")/4))*XLOOKUP($Q740,'Threshold Summary'!$Y:$Y,'Threshold Summary'!$L:$L,""))/100)+5)*XLOOKUP(XLOOKUP($Q740,'Threshold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Editor'!$E:$E,1))),stab,IF(OR(mtype=XLOOKUP(XLOOKUP($Q740,'Threshold Summary'!$Y:$Y,'Threshold Summary'!$K:$K,""),'Pokemon Editor'!$A:$A,'Pokemon Editor'!$C:$C,""),mtype=XLOOKUP(XLOOKUP($Q740,'Threshold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Chart'!$B$1:$S$1,0)))),base,IF(OR(cat="Status",pow=0),0,FLOOR(FLOOR(FLOOR((2*XLOOKUP($Q740,'Threshold Summary'!$Y:$Y,'Threshold Summary'!$L:$L,"")/5+2)*pow*atk/def)/50)+2)),modifier,stab*eff,FLOOR(base*modifier)),0)</f>
        <v/>
      </c>
      <c r="L740" s="3">
        <f>IFERROR(LET(mtype,XLOOKUP($D740,'Move Editor'!$B:$B,'Move Editor'!$C:$C,""),cat,XLOOKUP($D740,'Move Editor'!$B:$B,'Move Editor'!$D:$D,""),pow,XLOOKUP($D740,'Move Editor'!$B:$B,'Move Editor'!$E:$E,0),acc,XLOOKUP($D740,'Move Editor'!$B:$B,'Move Editor'!$F:$F,100),atk,IF(cat="Physical",FLOOR((FLOOR(((2*XLOOKUP(XLOOKUP($Q740,'Threshold Summary'!$Y:$Y,'Threshold Summary'!$K:$K,""),'Pokemon Editor'!$A:$A,'Pokemon Editor'!$F:$F,0)+31+FLOOR(XLOOKUP($Q740,'Threshold Summary'!$Y:$Y,'Threshold Summary'!$P:$P,"")/4))*XLOOKUP($Q740,'Threshold Summary'!$Y:$Y,'Threshold Summary'!$L:$L,""))/100)+5)*XLOOKUP(XLOOKUP($Q740,'Threshold Summary'!$Y:$Y,'Threshold Summary'!$M:$M,""),'Nature Editor'!$A:$A,'Nature Editor'!$B:$B,1)),FLOOR((FLOOR(((2*XLOOKUP(XLOOKUP($Q740,'Threshold Summary'!$Y:$Y,'Threshold Summary'!$K:$K,""),'Pokemon Editor'!$A:$A,'Pokemon Editor'!$H:$H,0)+31+FLOOR(XLOOKUP($Q740,'Threshold Summary'!$Y:$Y,'Threshold Summary'!$R:$R,"")/4))*XLOOKUP($Q740,'Threshold Summary'!$Y:$Y,'Threshold Summary'!$L:$L,""))/100)+5)*XLOOKUP(XLOOKUP($Q740,'Threshold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Editor'!$E:$E,1))),stab,IF(OR(mtype=XLOOKUP(XLOOKUP($Q740,'Threshold Summary'!$Y:$Y,'Threshold Summary'!$K:$K,""),'Pokemon Editor'!$A:$A,'Pokemon Editor'!$C:$C,""),mtype=XLOOKUP(XLOOKUP($Q740,'Threshold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Chart'!$B$1:$S$1,0)))),base,IF(OR(cat="Status",pow=0),0,FLOOR(FLOOR(FLOOR((2*XLOOKUP($Q740,'Threshold Summary'!$Y:$Y,'Threshold Summary'!$L:$L,"")/5+2)*pow*atk/def)/50)+2)),modifier,stab*eff,AVERAGE(ARRAYFORMULA(FLOOR(base*modifier*SEQUENCE(16,1,85,1)/100)))),0)</f>
        <v/>
      </c>
      <c r="M740" s="3">
        <f>IFERROR(LET(mtype,XLOOKUP($D740,'Move Editor'!$B:$B,'Move Editor'!$C:$C,""),cat,XLOOKUP($D740,'Move Editor'!$B:$B,'Move Editor'!$D:$D,""),pow,XLOOKUP($D740,'Move Editor'!$B:$B,'Move Editor'!$E:$E,0),acc,XLOOKUP($D740,'Move Editor'!$B:$B,'Move Editor'!$F:$F,100),atk,IF(cat="Physical",FLOOR((FLOOR(((2*XLOOKUP(XLOOKUP($Q740,'Threshold Summary'!$Y:$Y,'Threshold Summary'!$K:$K,""),'Pokemon Editor'!$A:$A,'Pokemon Editor'!$F:$F,0)+31+FLOOR(XLOOKUP($Q740,'Threshold Summary'!$Y:$Y,'Threshold Summary'!$P:$P,"")/4))*XLOOKUP($Q740,'Threshold Summary'!$Y:$Y,'Threshold Summary'!$L:$L,""))/100)+5)*XLOOKUP(XLOOKUP($Q740,'Threshold Summary'!$Y:$Y,'Threshold Summary'!$M:$M,""),'Nature Editor'!$A:$A,'Nature Editor'!$B:$B,1)),FLOOR((FLOOR(((2*XLOOKUP(XLOOKUP($Q740,'Threshold Summary'!$Y:$Y,'Threshold Summary'!$K:$K,""),'Pokemon Editor'!$A:$A,'Pokemon Editor'!$H:$H,0)+31+FLOOR(XLOOKUP($Q740,'Threshold Summary'!$Y:$Y,'Threshold Summary'!$R:$R,"")/4))*XLOOKUP($Q740,'Threshold Summary'!$Y:$Y,'Threshold Summary'!$L:$L,""))/100)+5)*XLOOKUP(XLOOKUP($Q740,'Threshold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Editor'!$E:$E,1))),stab,IF(OR(mtype=XLOOKUP(XLOOKUP($Q740,'Threshold Summary'!$Y:$Y,'Threshold Summary'!$K:$K,""),'Pokemon Editor'!$A:$A,'Pokemon Editor'!$C:$C,""),mtype=XLOOKUP(XLOOKUP($Q740,'Threshold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Chart'!$B$1:$S$1,0)))),base,IF(OR(cat="Status",pow=0),0,FLOOR(FLOOR(FLOOR((2*XLOOKUP($Q740,'Threshold Summary'!$Y:$Y,'Threshold Summary'!$L:$L,"")/5+2)*pow*atk/def)/50)+2)),modifier,stab*eff,AVERAGE(ARRAYFORMULA(FLOOR(base*modifier*SEQUENCE(16,1,85,1)/100)))*MIN(1,acc/100)),0)</f>
        <v/>
      </c>
      <c r="N740" s="4">
        <f>IFERROR(LET(mtype,XLOOKUP($D740,'Move Editor'!$B:$B,'Move Editor'!$C:$C,""),cat,XLOOKUP($D740,'Move Editor'!$B:$B,'Move Editor'!$D:$D,""),pow,XLOOKUP($D740,'Move Editor'!$B:$B,'Move Editor'!$E:$E,0),acc,XLOOKUP($D740,'Move Editor'!$B:$B,'Move Editor'!$F:$F,100),atk,IF(cat="Physical",FLOOR((FLOOR(((2*XLOOKUP(XLOOKUP($Q740,'Threshold Summary'!$Y:$Y,'Threshold Summary'!$K:$K,""),'Pokemon Editor'!$A:$A,'Pokemon Editor'!$F:$F,0)+31+FLOOR(XLOOKUP($Q740,'Threshold Summary'!$Y:$Y,'Threshold Summary'!$P:$P,"")/4))*XLOOKUP($Q740,'Threshold Summary'!$Y:$Y,'Threshold Summary'!$L:$L,""))/100)+5)*XLOOKUP(XLOOKUP($Q740,'Threshold Summary'!$Y:$Y,'Threshold Summary'!$M:$M,""),'Nature Editor'!$A:$A,'Nature Editor'!$B:$B,1)),FLOOR((FLOOR(((2*XLOOKUP(XLOOKUP($Q740,'Threshold Summary'!$Y:$Y,'Threshold Summary'!$K:$K,""),'Pokemon Editor'!$A:$A,'Pokemon Editor'!$H:$H,0)+31+FLOOR(XLOOKUP($Q740,'Threshold Summary'!$Y:$Y,'Threshold Summary'!$R:$R,"")/4))*XLOOKUP($Q740,'Threshold Summary'!$Y:$Y,'Threshold Summary'!$L:$L,""))/100)+5)*XLOOKUP(XLOOKUP($Q740,'Threshold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Editor'!$E:$E,1))),stab,IF(OR(mtype=XLOOKUP(XLOOKUP($Q740,'Threshold Summary'!$Y:$Y,'Threshold Summary'!$K:$K,""),'Pokemon Editor'!$A:$A,'Pokemon Editor'!$C:$C,""),mtype=XLOOKUP(XLOOKUP($Q740,'Threshold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Chart'!$B$1:$S$1,0)))),base,IF(OR(cat="Status",pow=0),0,FLOOR(FLOOR(FLOOR((2*XLOOKUP($Q740,'Threshold Summary'!$Y:$Y,'Threshold Summary'!$L:$L,"")/5+2)*pow*atk/def)/50)+2)),modifier,stab*eff,AVERAGE(ARRAYFORMULA(FLOOR(base*modifier*SEQUENCE(16,1,85,1)/100)))/(FLOOR(((2*XLOOKUP('Boss Editor'!$C$4,'Pokemon Editor'!$A:$A,'Pokemon Editor'!$E:$E,0)+31+FLOOR('Boss Editor'!$G$4/4))*'Boss Editor'!$D$4)/100)+'Boss Editor'!$D$4+10)),0)</f>
        <v/>
      </c>
      <c r="O740" s="3">
        <f>IF(N740&gt;=1,"OHKO",IF(N740&gt;=0.5,"2HKO",IF(N740&gt;=0.333,"3HKO",IF(N740&gt;=0.25,"4HKO","5HKO+"))))</f>
        <v/>
      </c>
      <c r="P740" s="3" t="inlineStr">
        <is>
          <t>Live from editable databases</t>
        </is>
      </c>
      <c r="Q740" s="3" t="inlineStr">
        <is>
          <t>SPECIES_STUFFUL</t>
        </is>
      </c>
      <c r="R740" s="3" t="n">
        <v>3</v>
      </c>
    </row>
    <row r="741">
      <c r="A741" s="3">
        <f>XLOOKUP($Q741,'Threshold Summary'!$Y:$Y,'Threshold Summary'!$A:$A,"")</f>
        <v/>
      </c>
      <c r="B741" s="3">
        <f>XLOOKUP($Q741,'Threshold Summary'!$Y:$Y,'Threshold Summary'!$M:$M,"")</f>
        <v/>
      </c>
      <c r="C741" s="3">
        <f>XLOOKUP($Q741,'Threshold Summary'!$Y:$Y,'Threshold Summary'!$N:$N,"")</f>
        <v/>
      </c>
      <c r="D741" s="3">
        <f>IFERROR(INDEX(FILTER('Learnset Editor'!$D$2:$D,'Learnset Editor'!$A$2:$A=XLOOKUP($Q741,'Threshold Summary'!$Y:$Y,'Threshold Summary'!$K:$K,""),'Learnset Editor'!$C$2:$C&lt;=XLOOKUP($Q741,'Threshold Summary'!$Y:$Y,'Threshold Summary'!$L:$L,"")),$R741),"")</f>
        <v/>
      </c>
      <c r="E741" s="3">
        <f>XLOOKUP(D741,'Move Editor'!$B:$B,'Move Editor'!$C:$C,"")</f>
        <v/>
      </c>
      <c r="F741" s="3">
        <f>XLOOKUP(D741,'Move Editor'!$B:$B,'Move Editor'!$D:$D,"")</f>
        <v/>
      </c>
      <c r="G741" s="3">
        <f>XLOOKUP(D741,'Move Editor'!$B:$B,'Move Editor'!$E:$E,0)</f>
        <v/>
      </c>
      <c r="H741" s="3">
        <f>XLOOKUP(D741,'Move Editor'!$B:$B,'Move Editor'!$F:$F,0)</f>
        <v/>
      </c>
      <c r="I741" s="3">
        <f>(INDEX('Type Chart'!$B:$S,MATCH(E741,'Type Chart'!$A:$A,0),MATCH(XLOOKUP('Boss Editor'!$C$4,'Pokemon Editor'!$A:$A,'Pokemon Editor'!$C:$C,""),'Type Chart'!$B$1:$S$1,0))*IF(XLOOKUP('Boss Editor'!$C$4,'Pokemon Editor'!$A:$A,'Pokemon Editor'!$D:$D,"")="",1,INDEX('Type Chart'!$B:$S,MATCH(E741,'Type Chart'!$A:$A,0),MATCH(XLOOKUP('Boss Editor'!$C$4,'Pokemon Editor'!$A:$A,'Pokemon Editor'!$D:$D,""),'Type Chart'!$B$1:$S$1,0))))</f>
        <v/>
      </c>
      <c r="J741" s="3">
        <f>IFERROR(LET(mtype,XLOOKUP($D741,'Move Editor'!$B:$B,'Move Editor'!$C:$C,""),cat,XLOOKUP($D741,'Move Editor'!$B:$B,'Move Editor'!$D:$D,""),pow,XLOOKUP($D741,'Move Editor'!$B:$B,'Move Editor'!$E:$E,0),acc,XLOOKUP($D741,'Move Editor'!$B:$B,'Move Editor'!$F:$F,100),atk,IF(cat="Physical",FLOOR((FLOOR(((2*XLOOKUP(XLOOKUP($Q741,'Threshold Summary'!$Y:$Y,'Threshold Summary'!$K:$K,""),'Pokemon Editor'!$A:$A,'Pokemon Editor'!$F:$F,0)+31+FLOOR(XLOOKUP($Q741,'Threshold Summary'!$Y:$Y,'Threshold Summary'!$P:$P,"")/4))*XLOOKUP($Q741,'Threshold Summary'!$Y:$Y,'Threshold Summary'!$L:$L,""))/100)+5)*XLOOKUP(XLOOKUP($Q741,'Threshold Summary'!$Y:$Y,'Threshold Summary'!$M:$M,""),'Nature Editor'!$A:$A,'Nature Editor'!$B:$B,1)),FLOOR((FLOOR(((2*XLOOKUP(XLOOKUP($Q741,'Threshold Summary'!$Y:$Y,'Threshold Summary'!$K:$K,""),'Pokemon Editor'!$A:$A,'Pokemon Editor'!$H:$H,0)+31+FLOOR(XLOOKUP($Q741,'Threshold Summary'!$Y:$Y,'Threshold Summary'!$R:$R,"")/4))*XLOOKUP($Q741,'Threshold Summary'!$Y:$Y,'Threshold Summary'!$L:$L,""))/100)+5)*XLOOKUP(XLOOKUP($Q741,'Threshold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Editor'!$E:$E,1))),stab,IF(OR(mtype=XLOOKUP(XLOOKUP($Q741,'Threshold Summary'!$Y:$Y,'Threshold Summary'!$K:$K,""),'Pokemon Editor'!$A:$A,'Pokemon Editor'!$C:$C,""),mtype=XLOOKUP(XLOOKUP($Q741,'Threshold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Chart'!$B$1:$S$1,0)))),base,IF(OR(cat="Status",pow=0),0,FLOOR(FLOOR(FLOOR((2*XLOOKUP($Q741,'Threshold Summary'!$Y:$Y,'Threshold Summary'!$L:$L,"")/5+2)*pow*atk/def)/50)+2)),modifier,stab*eff,FLOOR(base*modifier*0.85)),0)</f>
        <v/>
      </c>
      <c r="K741" s="3">
        <f>IFERROR(LET(mtype,XLOOKUP($D741,'Move Editor'!$B:$B,'Move Editor'!$C:$C,""),cat,XLOOKUP($D741,'Move Editor'!$B:$B,'Move Editor'!$D:$D,""),pow,XLOOKUP($D741,'Move Editor'!$B:$B,'Move Editor'!$E:$E,0),acc,XLOOKUP($D741,'Move Editor'!$B:$B,'Move Editor'!$F:$F,100),atk,IF(cat="Physical",FLOOR((FLOOR(((2*XLOOKUP(XLOOKUP($Q741,'Threshold Summary'!$Y:$Y,'Threshold Summary'!$K:$K,""),'Pokemon Editor'!$A:$A,'Pokemon Editor'!$F:$F,0)+31+FLOOR(XLOOKUP($Q741,'Threshold Summary'!$Y:$Y,'Threshold Summary'!$P:$P,"")/4))*XLOOKUP($Q741,'Threshold Summary'!$Y:$Y,'Threshold Summary'!$L:$L,""))/100)+5)*XLOOKUP(XLOOKUP($Q741,'Threshold Summary'!$Y:$Y,'Threshold Summary'!$M:$M,""),'Nature Editor'!$A:$A,'Nature Editor'!$B:$B,1)),FLOOR((FLOOR(((2*XLOOKUP(XLOOKUP($Q741,'Threshold Summary'!$Y:$Y,'Threshold Summary'!$K:$K,""),'Pokemon Editor'!$A:$A,'Pokemon Editor'!$H:$H,0)+31+FLOOR(XLOOKUP($Q741,'Threshold Summary'!$Y:$Y,'Threshold Summary'!$R:$R,"")/4))*XLOOKUP($Q741,'Threshold Summary'!$Y:$Y,'Threshold Summary'!$L:$L,""))/100)+5)*XLOOKUP(XLOOKUP($Q741,'Threshold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Editor'!$E:$E,1))),stab,IF(OR(mtype=XLOOKUP(XLOOKUP($Q741,'Threshold Summary'!$Y:$Y,'Threshold Summary'!$K:$K,""),'Pokemon Editor'!$A:$A,'Pokemon Editor'!$C:$C,""),mtype=XLOOKUP(XLOOKUP($Q741,'Threshold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Chart'!$B$1:$S$1,0)))),base,IF(OR(cat="Status",pow=0),0,FLOOR(FLOOR(FLOOR((2*XLOOKUP($Q741,'Threshold Summary'!$Y:$Y,'Threshold Summary'!$L:$L,"")/5+2)*pow*atk/def)/50)+2)),modifier,stab*eff,FLOOR(base*modifier)),0)</f>
        <v/>
      </c>
      <c r="L741" s="3">
        <f>IFERROR(LET(mtype,XLOOKUP($D741,'Move Editor'!$B:$B,'Move Editor'!$C:$C,""),cat,XLOOKUP($D741,'Move Editor'!$B:$B,'Move Editor'!$D:$D,""),pow,XLOOKUP($D741,'Move Editor'!$B:$B,'Move Editor'!$E:$E,0),acc,XLOOKUP($D741,'Move Editor'!$B:$B,'Move Editor'!$F:$F,100),atk,IF(cat="Physical",FLOOR((FLOOR(((2*XLOOKUP(XLOOKUP($Q741,'Threshold Summary'!$Y:$Y,'Threshold Summary'!$K:$K,""),'Pokemon Editor'!$A:$A,'Pokemon Editor'!$F:$F,0)+31+FLOOR(XLOOKUP($Q741,'Threshold Summary'!$Y:$Y,'Threshold Summary'!$P:$P,"")/4))*XLOOKUP($Q741,'Threshold Summary'!$Y:$Y,'Threshold Summary'!$L:$L,""))/100)+5)*XLOOKUP(XLOOKUP($Q741,'Threshold Summary'!$Y:$Y,'Threshold Summary'!$M:$M,""),'Nature Editor'!$A:$A,'Nature Editor'!$B:$B,1)),FLOOR((FLOOR(((2*XLOOKUP(XLOOKUP($Q741,'Threshold Summary'!$Y:$Y,'Threshold Summary'!$K:$K,""),'Pokemon Editor'!$A:$A,'Pokemon Editor'!$H:$H,0)+31+FLOOR(XLOOKUP($Q741,'Threshold Summary'!$Y:$Y,'Threshold Summary'!$R:$R,"")/4))*XLOOKUP($Q741,'Threshold Summary'!$Y:$Y,'Threshold Summary'!$L:$L,""))/100)+5)*XLOOKUP(XLOOKUP($Q741,'Threshold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Editor'!$E:$E,1))),stab,IF(OR(mtype=XLOOKUP(XLOOKUP($Q741,'Threshold Summary'!$Y:$Y,'Threshold Summary'!$K:$K,""),'Pokemon Editor'!$A:$A,'Pokemon Editor'!$C:$C,""),mtype=XLOOKUP(XLOOKUP($Q741,'Threshold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Chart'!$B$1:$S$1,0)))),base,IF(OR(cat="Status",pow=0),0,FLOOR(FLOOR(FLOOR((2*XLOOKUP($Q741,'Threshold Summary'!$Y:$Y,'Threshold Summary'!$L:$L,"")/5+2)*pow*atk/def)/50)+2)),modifier,stab*eff,AVERAGE(ARRAYFORMULA(FLOOR(base*modifier*SEQUENCE(16,1,85,1)/100)))),0)</f>
        <v/>
      </c>
      <c r="M741" s="3">
        <f>IFERROR(LET(mtype,XLOOKUP($D741,'Move Editor'!$B:$B,'Move Editor'!$C:$C,""),cat,XLOOKUP($D741,'Move Editor'!$B:$B,'Move Editor'!$D:$D,""),pow,XLOOKUP($D741,'Move Editor'!$B:$B,'Move Editor'!$E:$E,0),acc,XLOOKUP($D741,'Move Editor'!$B:$B,'Move Editor'!$F:$F,100),atk,IF(cat="Physical",FLOOR((FLOOR(((2*XLOOKUP(XLOOKUP($Q741,'Threshold Summary'!$Y:$Y,'Threshold Summary'!$K:$K,""),'Pokemon Editor'!$A:$A,'Pokemon Editor'!$F:$F,0)+31+FLOOR(XLOOKUP($Q741,'Threshold Summary'!$Y:$Y,'Threshold Summary'!$P:$P,"")/4))*XLOOKUP($Q741,'Threshold Summary'!$Y:$Y,'Threshold Summary'!$L:$L,""))/100)+5)*XLOOKUP(XLOOKUP($Q741,'Threshold Summary'!$Y:$Y,'Threshold Summary'!$M:$M,""),'Nature Editor'!$A:$A,'Nature Editor'!$B:$B,1)),FLOOR((FLOOR(((2*XLOOKUP(XLOOKUP($Q741,'Threshold Summary'!$Y:$Y,'Threshold Summary'!$K:$K,""),'Pokemon Editor'!$A:$A,'Pokemon Editor'!$H:$H,0)+31+FLOOR(XLOOKUP($Q741,'Threshold Summary'!$Y:$Y,'Threshold Summary'!$R:$R,"")/4))*XLOOKUP($Q741,'Threshold Summary'!$Y:$Y,'Threshold Summary'!$L:$L,""))/100)+5)*XLOOKUP(XLOOKUP($Q741,'Threshold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Editor'!$E:$E,1))),stab,IF(OR(mtype=XLOOKUP(XLOOKUP($Q741,'Threshold Summary'!$Y:$Y,'Threshold Summary'!$K:$K,""),'Pokemon Editor'!$A:$A,'Pokemon Editor'!$C:$C,""),mtype=XLOOKUP(XLOOKUP($Q741,'Threshold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Chart'!$B$1:$S$1,0)))),base,IF(OR(cat="Status",pow=0),0,FLOOR(FLOOR(FLOOR((2*XLOOKUP($Q741,'Threshold Summary'!$Y:$Y,'Threshold Summary'!$L:$L,"")/5+2)*pow*atk/def)/50)+2)),modifier,stab*eff,AVERAGE(ARRAYFORMULA(FLOOR(base*modifier*SEQUENCE(16,1,85,1)/100)))*MIN(1,acc/100)),0)</f>
        <v/>
      </c>
      <c r="N741" s="4">
        <f>IFERROR(LET(mtype,XLOOKUP($D741,'Move Editor'!$B:$B,'Move Editor'!$C:$C,""),cat,XLOOKUP($D741,'Move Editor'!$B:$B,'Move Editor'!$D:$D,""),pow,XLOOKUP($D741,'Move Editor'!$B:$B,'Move Editor'!$E:$E,0),acc,XLOOKUP($D741,'Move Editor'!$B:$B,'Move Editor'!$F:$F,100),atk,IF(cat="Physical",FLOOR((FLOOR(((2*XLOOKUP(XLOOKUP($Q741,'Threshold Summary'!$Y:$Y,'Threshold Summary'!$K:$K,""),'Pokemon Editor'!$A:$A,'Pokemon Editor'!$F:$F,0)+31+FLOOR(XLOOKUP($Q741,'Threshold Summary'!$Y:$Y,'Threshold Summary'!$P:$P,"")/4))*XLOOKUP($Q741,'Threshold Summary'!$Y:$Y,'Threshold Summary'!$L:$L,""))/100)+5)*XLOOKUP(XLOOKUP($Q741,'Threshold Summary'!$Y:$Y,'Threshold Summary'!$M:$M,""),'Nature Editor'!$A:$A,'Nature Editor'!$B:$B,1)),FLOOR((FLOOR(((2*XLOOKUP(XLOOKUP($Q741,'Threshold Summary'!$Y:$Y,'Threshold Summary'!$K:$K,""),'Pokemon Editor'!$A:$A,'Pokemon Editor'!$H:$H,0)+31+FLOOR(XLOOKUP($Q741,'Threshold Summary'!$Y:$Y,'Threshold Summary'!$R:$R,"")/4))*XLOOKUP($Q741,'Threshold Summary'!$Y:$Y,'Threshold Summary'!$L:$L,""))/100)+5)*XLOOKUP(XLOOKUP($Q741,'Threshold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Editor'!$E:$E,1))),stab,IF(OR(mtype=XLOOKUP(XLOOKUP($Q741,'Threshold Summary'!$Y:$Y,'Threshold Summary'!$K:$K,""),'Pokemon Editor'!$A:$A,'Pokemon Editor'!$C:$C,""),mtype=XLOOKUP(XLOOKUP($Q741,'Threshold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Chart'!$B$1:$S$1,0)))),base,IF(OR(cat="Status",pow=0),0,FLOOR(FLOOR(FLOOR((2*XLOOKUP($Q741,'Threshold Summary'!$Y:$Y,'Threshold Summary'!$L:$L,"")/5+2)*pow*atk/def)/50)+2)),modifier,stab*eff,AVERAGE(ARRAYFORMULA(FLOOR(base*modifier*SEQUENCE(16,1,85,1)/100)))/(FLOOR(((2*XLOOKUP('Boss Editor'!$C$4,'Pokemon Editor'!$A:$A,'Pokemon Editor'!$E:$E,0)+31+FLOOR('Boss Editor'!$G$4/4))*'Boss Editor'!$D$4)/100)+'Boss Editor'!$D$4+10)),0)</f>
        <v/>
      </c>
      <c r="O741" s="3">
        <f>IF(N741&gt;=1,"OHKO",IF(N741&gt;=0.5,"2HKO",IF(N741&gt;=0.333,"3HKO",IF(N741&gt;=0.25,"4HKO","5HKO+"))))</f>
        <v/>
      </c>
      <c r="P741" s="3" t="inlineStr">
        <is>
          <t>Live from editable databases</t>
        </is>
      </c>
      <c r="Q741" s="3" t="inlineStr">
        <is>
          <t>SPECIES_STUFFUL</t>
        </is>
      </c>
      <c r="R741" s="3" t="n">
        <v>4</v>
      </c>
    </row>
    <row r="742">
      <c r="A742" s="3">
        <f>XLOOKUP($Q742,'Threshold Summary'!$Y:$Y,'Threshold Summary'!$A:$A,"")</f>
        <v/>
      </c>
      <c r="B742" s="3">
        <f>XLOOKUP($Q742,'Threshold Summary'!$Y:$Y,'Threshold Summary'!$M:$M,"")</f>
        <v/>
      </c>
      <c r="C742" s="3">
        <f>XLOOKUP($Q742,'Threshold Summary'!$Y:$Y,'Threshold Summary'!$N:$N,"")</f>
        <v/>
      </c>
      <c r="D742" s="3">
        <f>IFERROR(INDEX(FILTER('Learnset Editor'!$D$2:$D,'Learnset Editor'!$A$2:$A=XLOOKUP($Q742,'Threshold Summary'!$Y:$Y,'Threshold Summary'!$K:$K,""),'Learnset Editor'!$C$2:$C&lt;=XLOOKUP($Q742,'Threshold Summary'!$Y:$Y,'Threshold Summary'!$L:$L,"")),$R742),"")</f>
        <v/>
      </c>
      <c r="E742" s="3">
        <f>XLOOKUP(D742,'Move Editor'!$B:$B,'Move Editor'!$C:$C,"")</f>
        <v/>
      </c>
      <c r="F742" s="3">
        <f>XLOOKUP(D742,'Move Editor'!$B:$B,'Move Editor'!$D:$D,"")</f>
        <v/>
      </c>
      <c r="G742" s="3">
        <f>XLOOKUP(D742,'Move Editor'!$B:$B,'Move Editor'!$E:$E,0)</f>
        <v/>
      </c>
      <c r="H742" s="3">
        <f>XLOOKUP(D742,'Move Editor'!$B:$B,'Move Editor'!$F:$F,0)</f>
        <v/>
      </c>
      <c r="I742" s="3">
        <f>(INDEX('Type Chart'!$B:$S,MATCH(E742,'Type Chart'!$A:$A,0),MATCH(XLOOKUP('Boss Editor'!$C$4,'Pokemon Editor'!$A:$A,'Pokemon Editor'!$C:$C,""),'Type Chart'!$B$1:$S$1,0))*IF(XLOOKUP('Boss Editor'!$C$4,'Pokemon Editor'!$A:$A,'Pokemon Editor'!$D:$D,"")="",1,INDEX('Type Chart'!$B:$S,MATCH(E742,'Type Chart'!$A:$A,0),MATCH(XLOOKUP('Boss Editor'!$C$4,'Pokemon Editor'!$A:$A,'Pokemon Editor'!$D:$D,""),'Type Chart'!$B$1:$S$1,0))))</f>
        <v/>
      </c>
      <c r="J742" s="3">
        <f>IFERROR(LET(mtype,XLOOKUP($D742,'Move Editor'!$B:$B,'Move Editor'!$C:$C,""),cat,XLOOKUP($D742,'Move Editor'!$B:$B,'Move Editor'!$D:$D,""),pow,XLOOKUP($D742,'Move Editor'!$B:$B,'Move Editor'!$E:$E,0),acc,XLOOKUP($D742,'Move Editor'!$B:$B,'Move Editor'!$F:$F,100),atk,IF(cat="Physical",FLOOR((FLOOR(((2*XLOOKUP(XLOOKUP($Q742,'Threshold Summary'!$Y:$Y,'Threshold Summary'!$K:$K,""),'Pokemon Editor'!$A:$A,'Pokemon Editor'!$F:$F,0)+31+FLOOR(XLOOKUP($Q742,'Threshold Summary'!$Y:$Y,'Threshold Summary'!$P:$P,"")/4))*XLOOKUP($Q742,'Threshold Summary'!$Y:$Y,'Threshold Summary'!$L:$L,""))/100)+5)*XLOOKUP(XLOOKUP($Q742,'Threshold Summary'!$Y:$Y,'Threshold Summary'!$M:$M,""),'Nature Editor'!$A:$A,'Nature Editor'!$B:$B,1)),FLOOR((FLOOR(((2*XLOOKUP(XLOOKUP($Q742,'Threshold Summary'!$Y:$Y,'Threshold Summary'!$K:$K,""),'Pokemon Editor'!$A:$A,'Pokemon Editor'!$H:$H,0)+31+FLOOR(XLOOKUP($Q742,'Threshold Summary'!$Y:$Y,'Threshold Summary'!$R:$R,"")/4))*XLOOKUP($Q742,'Threshold Summary'!$Y:$Y,'Threshold Summary'!$L:$L,""))/100)+5)*XLOOKUP(XLOOKUP($Q742,'Threshold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Editor'!$E:$E,1))),stab,IF(OR(mtype=XLOOKUP(XLOOKUP($Q742,'Threshold Summary'!$Y:$Y,'Threshold Summary'!$K:$K,""),'Pokemon Editor'!$A:$A,'Pokemon Editor'!$C:$C,""),mtype=XLOOKUP(XLOOKUP($Q742,'Threshold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Chart'!$B$1:$S$1,0)))),base,IF(OR(cat="Status",pow=0),0,FLOOR(FLOOR(FLOOR((2*XLOOKUP($Q742,'Threshold Summary'!$Y:$Y,'Threshold Summary'!$L:$L,"")/5+2)*pow*atk/def)/50)+2)),modifier,stab*eff,FLOOR(base*modifier*0.85)),0)</f>
        <v/>
      </c>
      <c r="K742" s="3">
        <f>IFERROR(LET(mtype,XLOOKUP($D742,'Move Editor'!$B:$B,'Move Editor'!$C:$C,""),cat,XLOOKUP($D742,'Move Editor'!$B:$B,'Move Editor'!$D:$D,""),pow,XLOOKUP($D742,'Move Editor'!$B:$B,'Move Editor'!$E:$E,0),acc,XLOOKUP($D742,'Move Editor'!$B:$B,'Move Editor'!$F:$F,100),atk,IF(cat="Physical",FLOOR((FLOOR(((2*XLOOKUP(XLOOKUP($Q742,'Threshold Summary'!$Y:$Y,'Threshold Summary'!$K:$K,""),'Pokemon Editor'!$A:$A,'Pokemon Editor'!$F:$F,0)+31+FLOOR(XLOOKUP($Q742,'Threshold Summary'!$Y:$Y,'Threshold Summary'!$P:$P,"")/4))*XLOOKUP($Q742,'Threshold Summary'!$Y:$Y,'Threshold Summary'!$L:$L,""))/100)+5)*XLOOKUP(XLOOKUP($Q742,'Threshold Summary'!$Y:$Y,'Threshold Summary'!$M:$M,""),'Nature Editor'!$A:$A,'Nature Editor'!$B:$B,1)),FLOOR((FLOOR(((2*XLOOKUP(XLOOKUP($Q742,'Threshold Summary'!$Y:$Y,'Threshold Summary'!$K:$K,""),'Pokemon Editor'!$A:$A,'Pokemon Editor'!$H:$H,0)+31+FLOOR(XLOOKUP($Q742,'Threshold Summary'!$Y:$Y,'Threshold Summary'!$R:$R,"")/4))*XLOOKUP($Q742,'Threshold Summary'!$Y:$Y,'Threshold Summary'!$L:$L,""))/100)+5)*XLOOKUP(XLOOKUP($Q742,'Threshold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Editor'!$E:$E,1))),stab,IF(OR(mtype=XLOOKUP(XLOOKUP($Q742,'Threshold Summary'!$Y:$Y,'Threshold Summary'!$K:$K,""),'Pokemon Editor'!$A:$A,'Pokemon Editor'!$C:$C,""),mtype=XLOOKUP(XLOOKUP($Q742,'Threshold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Chart'!$B$1:$S$1,0)))),base,IF(OR(cat="Status",pow=0),0,FLOOR(FLOOR(FLOOR((2*XLOOKUP($Q742,'Threshold Summary'!$Y:$Y,'Threshold Summary'!$L:$L,"")/5+2)*pow*atk/def)/50)+2)),modifier,stab*eff,FLOOR(base*modifier)),0)</f>
        <v/>
      </c>
      <c r="L742" s="3">
        <f>IFERROR(LET(mtype,XLOOKUP($D742,'Move Editor'!$B:$B,'Move Editor'!$C:$C,""),cat,XLOOKUP($D742,'Move Editor'!$B:$B,'Move Editor'!$D:$D,""),pow,XLOOKUP($D742,'Move Editor'!$B:$B,'Move Editor'!$E:$E,0),acc,XLOOKUP($D742,'Move Editor'!$B:$B,'Move Editor'!$F:$F,100),atk,IF(cat="Physical",FLOOR((FLOOR(((2*XLOOKUP(XLOOKUP($Q742,'Threshold Summary'!$Y:$Y,'Threshold Summary'!$K:$K,""),'Pokemon Editor'!$A:$A,'Pokemon Editor'!$F:$F,0)+31+FLOOR(XLOOKUP($Q742,'Threshold Summary'!$Y:$Y,'Threshold Summary'!$P:$P,"")/4))*XLOOKUP($Q742,'Threshold Summary'!$Y:$Y,'Threshold Summary'!$L:$L,""))/100)+5)*XLOOKUP(XLOOKUP($Q742,'Threshold Summary'!$Y:$Y,'Threshold Summary'!$M:$M,""),'Nature Editor'!$A:$A,'Nature Editor'!$B:$B,1)),FLOOR((FLOOR(((2*XLOOKUP(XLOOKUP($Q742,'Threshold Summary'!$Y:$Y,'Threshold Summary'!$K:$K,""),'Pokemon Editor'!$A:$A,'Pokemon Editor'!$H:$H,0)+31+FLOOR(XLOOKUP($Q742,'Threshold Summary'!$Y:$Y,'Threshold Summary'!$R:$R,"")/4))*XLOOKUP($Q742,'Threshold Summary'!$Y:$Y,'Threshold Summary'!$L:$L,""))/100)+5)*XLOOKUP(XLOOKUP($Q742,'Threshold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Editor'!$E:$E,1))),stab,IF(OR(mtype=XLOOKUP(XLOOKUP($Q742,'Threshold Summary'!$Y:$Y,'Threshold Summary'!$K:$K,""),'Pokemon Editor'!$A:$A,'Pokemon Editor'!$C:$C,""),mtype=XLOOKUP(XLOOKUP($Q742,'Threshold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Chart'!$B$1:$S$1,0)))),base,IF(OR(cat="Status",pow=0),0,FLOOR(FLOOR(FLOOR((2*XLOOKUP($Q742,'Threshold Summary'!$Y:$Y,'Threshold Summary'!$L:$L,"")/5+2)*pow*atk/def)/50)+2)),modifier,stab*eff,AVERAGE(ARRAYFORMULA(FLOOR(base*modifier*SEQUENCE(16,1,85,1)/100)))),0)</f>
        <v/>
      </c>
      <c r="M742" s="3">
        <f>IFERROR(LET(mtype,XLOOKUP($D742,'Move Editor'!$B:$B,'Move Editor'!$C:$C,""),cat,XLOOKUP($D742,'Move Editor'!$B:$B,'Move Editor'!$D:$D,""),pow,XLOOKUP($D742,'Move Editor'!$B:$B,'Move Editor'!$E:$E,0),acc,XLOOKUP($D742,'Move Editor'!$B:$B,'Move Editor'!$F:$F,100),atk,IF(cat="Physical",FLOOR((FLOOR(((2*XLOOKUP(XLOOKUP($Q742,'Threshold Summary'!$Y:$Y,'Threshold Summary'!$K:$K,""),'Pokemon Editor'!$A:$A,'Pokemon Editor'!$F:$F,0)+31+FLOOR(XLOOKUP($Q742,'Threshold Summary'!$Y:$Y,'Threshold Summary'!$P:$P,"")/4))*XLOOKUP($Q742,'Threshold Summary'!$Y:$Y,'Threshold Summary'!$L:$L,""))/100)+5)*XLOOKUP(XLOOKUP($Q742,'Threshold Summary'!$Y:$Y,'Threshold Summary'!$M:$M,""),'Nature Editor'!$A:$A,'Nature Editor'!$B:$B,1)),FLOOR((FLOOR(((2*XLOOKUP(XLOOKUP($Q742,'Threshold Summary'!$Y:$Y,'Threshold Summary'!$K:$K,""),'Pokemon Editor'!$A:$A,'Pokemon Editor'!$H:$H,0)+31+FLOOR(XLOOKUP($Q742,'Threshold Summary'!$Y:$Y,'Threshold Summary'!$R:$R,"")/4))*XLOOKUP($Q742,'Threshold Summary'!$Y:$Y,'Threshold Summary'!$L:$L,""))/100)+5)*XLOOKUP(XLOOKUP($Q742,'Threshold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Editor'!$E:$E,1))),stab,IF(OR(mtype=XLOOKUP(XLOOKUP($Q742,'Threshold Summary'!$Y:$Y,'Threshold Summary'!$K:$K,""),'Pokemon Editor'!$A:$A,'Pokemon Editor'!$C:$C,""),mtype=XLOOKUP(XLOOKUP($Q742,'Threshold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Chart'!$B$1:$S$1,0)))),base,IF(OR(cat="Status",pow=0),0,FLOOR(FLOOR(FLOOR((2*XLOOKUP($Q742,'Threshold Summary'!$Y:$Y,'Threshold Summary'!$L:$L,"")/5+2)*pow*atk/def)/50)+2)),modifier,stab*eff,AVERAGE(ARRAYFORMULA(FLOOR(base*modifier*SEQUENCE(16,1,85,1)/100)))*MIN(1,acc/100)),0)</f>
        <v/>
      </c>
      <c r="N742" s="4">
        <f>IFERROR(LET(mtype,XLOOKUP($D742,'Move Editor'!$B:$B,'Move Editor'!$C:$C,""),cat,XLOOKUP($D742,'Move Editor'!$B:$B,'Move Editor'!$D:$D,""),pow,XLOOKUP($D742,'Move Editor'!$B:$B,'Move Editor'!$E:$E,0),acc,XLOOKUP($D742,'Move Editor'!$B:$B,'Move Editor'!$F:$F,100),atk,IF(cat="Physical",FLOOR((FLOOR(((2*XLOOKUP(XLOOKUP($Q742,'Threshold Summary'!$Y:$Y,'Threshold Summary'!$K:$K,""),'Pokemon Editor'!$A:$A,'Pokemon Editor'!$F:$F,0)+31+FLOOR(XLOOKUP($Q742,'Threshold Summary'!$Y:$Y,'Threshold Summary'!$P:$P,"")/4))*XLOOKUP($Q742,'Threshold Summary'!$Y:$Y,'Threshold Summary'!$L:$L,""))/100)+5)*XLOOKUP(XLOOKUP($Q742,'Threshold Summary'!$Y:$Y,'Threshold Summary'!$M:$M,""),'Nature Editor'!$A:$A,'Nature Editor'!$B:$B,1)),FLOOR((FLOOR(((2*XLOOKUP(XLOOKUP($Q742,'Threshold Summary'!$Y:$Y,'Threshold Summary'!$K:$K,""),'Pokemon Editor'!$A:$A,'Pokemon Editor'!$H:$H,0)+31+FLOOR(XLOOKUP($Q742,'Threshold Summary'!$Y:$Y,'Threshold Summary'!$R:$R,"")/4))*XLOOKUP($Q742,'Threshold Summary'!$Y:$Y,'Threshold Summary'!$L:$L,""))/100)+5)*XLOOKUP(XLOOKUP($Q742,'Threshold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Editor'!$E:$E,1))),stab,IF(OR(mtype=XLOOKUP(XLOOKUP($Q742,'Threshold Summary'!$Y:$Y,'Threshold Summary'!$K:$K,""),'Pokemon Editor'!$A:$A,'Pokemon Editor'!$C:$C,""),mtype=XLOOKUP(XLOOKUP($Q742,'Threshold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Chart'!$B$1:$S$1,0)))),base,IF(OR(cat="Status",pow=0),0,FLOOR(FLOOR(FLOOR((2*XLOOKUP($Q742,'Threshold Summary'!$Y:$Y,'Threshold Summary'!$L:$L,"")/5+2)*pow*atk/def)/50)+2)),modifier,stab*eff,AVERAGE(ARRAYFORMULA(FLOOR(base*modifier*SEQUENCE(16,1,85,1)/100)))/(FLOOR(((2*XLOOKUP('Boss Editor'!$C$4,'Pokemon Editor'!$A:$A,'Pokemon Editor'!$E:$E,0)+31+FLOOR('Boss Editor'!$G$4/4))*'Boss Editor'!$D$4)/100)+'Boss Editor'!$D$4+10)),0)</f>
        <v/>
      </c>
      <c r="O742" s="3">
        <f>IF(N742&gt;=1,"OHKO",IF(N742&gt;=0.5,"2HKO",IF(N742&gt;=0.333,"3HKO",IF(N742&gt;=0.25,"4HKO","5HKO+"))))</f>
        <v/>
      </c>
      <c r="P742" s="3" t="inlineStr">
        <is>
          <t>Live from editable databases</t>
        </is>
      </c>
      <c r="Q742" s="3" t="inlineStr">
        <is>
          <t>SPECIES_STUFFUL</t>
        </is>
      </c>
      <c r="R742" s="3" t="n">
        <v>5</v>
      </c>
    </row>
    <row r="743">
      <c r="A743" s="3">
        <f>XLOOKUP($Q743,'Threshold Summary'!$Y:$Y,'Threshold Summary'!$A:$A,"")</f>
        <v/>
      </c>
      <c r="B743" s="3">
        <f>XLOOKUP($Q743,'Threshold Summary'!$Y:$Y,'Threshold Summary'!$M:$M,"")</f>
        <v/>
      </c>
      <c r="C743" s="3">
        <f>XLOOKUP($Q743,'Threshold Summary'!$Y:$Y,'Threshold Summary'!$N:$N,"")</f>
        <v/>
      </c>
      <c r="D743" s="3">
        <f>IFERROR(INDEX(FILTER('Learnset Editor'!$D$2:$D,'Learnset Editor'!$A$2:$A=XLOOKUP($Q743,'Threshold Summary'!$Y:$Y,'Threshold Summary'!$K:$K,""),'Learnset Editor'!$C$2:$C&lt;=XLOOKUP($Q743,'Threshold Summary'!$Y:$Y,'Threshold Summary'!$L:$L,"")),$R743),"")</f>
        <v/>
      </c>
      <c r="E743" s="3">
        <f>XLOOKUP(D743,'Move Editor'!$B:$B,'Move Editor'!$C:$C,"")</f>
        <v/>
      </c>
      <c r="F743" s="3">
        <f>XLOOKUP(D743,'Move Editor'!$B:$B,'Move Editor'!$D:$D,"")</f>
        <v/>
      </c>
      <c r="G743" s="3">
        <f>XLOOKUP(D743,'Move Editor'!$B:$B,'Move Editor'!$E:$E,0)</f>
        <v/>
      </c>
      <c r="H743" s="3">
        <f>XLOOKUP(D743,'Move Editor'!$B:$B,'Move Editor'!$F:$F,0)</f>
        <v/>
      </c>
      <c r="I743" s="3">
        <f>(INDEX('Type Chart'!$B:$S,MATCH(E743,'Type Chart'!$A:$A,0),MATCH(XLOOKUP('Boss Editor'!$C$4,'Pokemon Editor'!$A:$A,'Pokemon Editor'!$C:$C,""),'Type Chart'!$B$1:$S$1,0))*IF(XLOOKUP('Boss Editor'!$C$4,'Pokemon Editor'!$A:$A,'Pokemon Editor'!$D:$D,"")="",1,INDEX('Type Chart'!$B:$S,MATCH(E743,'Type Chart'!$A:$A,0),MATCH(XLOOKUP('Boss Editor'!$C$4,'Pokemon Editor'!$A:$A,'Pokemon Editor'!$D:$D,""),'Type Chart'!$B$1:$S$1,0))))</f>
        <v/>
      </c>
      <c r="J743" s="3">
        <f>IFERROR(LET(mtype,XLOOKUP($D743,'Move Editor'!$B:$B,'Move Editor'!$C:$C,""),cat,XLOOKUP($D743,'Move Editor'!$B:$B,'Move Editor'!$D:$D,""),pow,XLOOKUP($D743,'Move Editor'!$B:$B,'Move Editor'!$E:$E,0),acc,XLOOKUP($D743,'Move Editor'!$B:$B,'Move Editor'!$F:$F,100),atk,IF(cat="Physical",FLOOR((FLOOR(((2*XLOOKUP(XLOOKUP($Q743,'Threshold Summary'!$Y:$Y,'Threshold Summary'!$K:$K,""),'Pokemon Editor'!$A:$A,'Pokemon Editor'!$F:$F,0)+31+FLOOR(XLOOKUP($Q743,'Threshold Summary'!$Y:$Y,'Threshold Summary'!$P:$P,"")/4))*XLOOKUP($Q743,'Threshold Summary'!$Y:$Y,'Threshold Summary'!$L:$L,""))/100)+5)*XLOOKUP(XLOOKUP($Q743,'Threshold Summary'!$Y:$Y,'Threshold Summary'!$M:$M,""),'Nature Editor'!$A:$A,'Nature Editor'!$B:$B,1)),FLOOR((FLOOR(((2*XLOOKUP(XLOOKUP($Q743,'Threshold Summary'!$Y:$Y,'Threshold Summary'!$K:$K,""),'Pokemon Editor'!$A:$A,'Pokemon Editor'!$H:$H,0)+31+FLOOR(XLOOKUP($Q743,'Threshold Summary'!$Y:$Y,'Threshold Summary'!$R:$R,"")/4))*XLOOKUP($Q743,'Threshold Summary'!$Y:$Y,'Threshold Summary'!$L:$L,""))/100)+5)*XLOOKUP(XLOOKUP($Q743,'Threshold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Editor'!$E:$E,1))),stab,IF(OR(mtype=XLOOKUP(XLOOKUP($Q743,'Threshold Summary'!$Y:$Y,'Threshold Summary'!$K:$K,""),'Pokemon Editor'!$A:$A,'Pokemon Editor'!$C:$C,""),mtype=XLOOKUP(XLOOKUP($Q743,'Threshold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Chart'!$B$1:$S$1,0)))),base,IF(OR(cat="Status",pow=0),0,FLOOR(FLOOR(FLOOR((2*XLOOKUP($Q743,'Threshold Summary'!$Y:$Y,'Threshold Summary'!$L:$L,"")/5+2)*pow*atk/def)/50)+2)),modifier,stab*eff,FLOOR(base*modifier*0.85)),0)</f>
        <v/>
      </c>
      <c r="K743" s="3">
        <f>IFERROR(LET(mtype,XLOOKUP($D743,'Move Editor'!$B:$B,'Move Editor'!$C:$C,""),cat,XLOOKUP($D743,'Move Editor'!$B:$B,'Move Editor'!$D:$D,""),pow,XLOOKUP($D743,'Move Editor'!$B:$B,'Move Editor'!$E:$E,0),acc,XLOOKUP($D743,'Move Editor'!$B:$B,'Move Editor'!$F:$F,100),atk,IF(cat="Physical",FLOOR((FLOOR(((2*XLOOKUP(XLOOKUP($Q743,'Threshold Summary'!$Y:$Y,'Threshold Summary'!$K:$K,""),'Pokemon Editor'!$A:$A,'Pokemon Editor'!$F:$F,0)+31+FLOOR(XLOOKUP($Q743,'Threshold Summary'!$Y:$Y,'Threshold Summary'!$P:$P,"")/4))*XLOOKUP($Q743,'Threshold Summary'!$Y:$Y,'Threshold Summary'!$L:$L,""))/100)+5)*XLOOKUP(XLOOKUP($Q743,'Threshold Summary'!$Y:$Y,'Threshold Summary'!$M:$M,""),'Nature Editor'!$A:$A,'Nature Editor'!$B:$B,1)),FLOOR((FLOOR(((2*XLOOKUP(XLOOKUP($Q743,'Threshold Summary'!$Y:$Y,'Threshold Summary'!$K:$K,""),'Pokemon Editor'!$A:$A,'Pokemon Editor'!$H:$H,0)+31+FLOOR(XLOOKUP($Q743,'Threshold Summary'!$Y:$Y,'Threshold Summary'!$R:$R,"")/4))*XLOOKUP($Q743,'Threshold Summary'!$Y:$Y,'Threshold Summary'!$L:$L,""))/100)+5)*XLOOKUP(XLOOKUP($Q743,'Threshold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Editor'!$E:$E,1))),stab,IF(OR(mtype=XLOOKUP(XLOOKUP($Q743,'Threshold Summary'!$Y:$Y,'Threshold Summary'!$K:$K,""),'Pokemon Editor'!$A:$A,'Pokemon Editor'!$C:$C,""),mtype=XLOOKUP(XLOOKUP($Q743,'Threshold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Chart'!$B$1:$S$1,0)))),base,IF(OR(cat="Status",pow=0),0,FLOOR(FLOOR(FLOOR((2*XLOOKUP($Q743,'Threshold Summary'!$Y:$Y,'Threshold Summary'!$L:$L,"")/5+2)*pow*atk/def)/50)+2)),modifier,stab*eff,FLOOR(base*modifier)),0)</f>
        <v/>
      </c>
      <c r="L743" s="3">
        <f>IFERROR(LET(mtype,XLOOKUP($D743,'Move Editor'!$B:$B,'Move Editor'!$C:$C,""),cat,XLOOKUP($D743,'Move Editor'!$B:$B,'Move Editor'!$D:$D,""),pow,XLOOKUP($D743,'Move Editor'!$B:$B,'Move Editor'!$E:$E,0),acc,XLOOKUP($D743,'Move Editor'!$B:$B,'Move Editor'!$F:$F,100),atk,IF(cat="Physical",FLOOR((FLOOR(((2*XLOOKUP(XLOOKUP($Q743,'Threshold Summary'!$Y:$Y,'Threshold Summary'!$K:$K,""),'Pokemon Editor'!$A:$A,'Pokemon Editor'!$F:$F,0)+31+FLOOR(XLOOKUP($Q743,'Threshold Summary'!$Y:$Y,'Threshold Summary'!$P:$P,"")/4))*XLOOKUP($Q743,'Threshold Summary'!$Y:$Y,'Threshold Summary'!$L:$L,""))/100)+5)*XLOOKUP(XLOOKUP($Q743,'Threshold Summary'!$Y:$Y,'Threshold Summary'!$M:$M,""),'Nature Editor'!$A:$A,'Nature Editor'!$B:$B,1)),FLOOR((FLOOR(((2*XLOOKUP(XLOOKUP($Q743,'Threshold Summary'!$Y:$Y,'Threshold Summary'!$K:$K,""),'Pokemon Editor'!$A:$A,'Pokemon Editor'!$H:$H,0)+31+FLOOR(XLOOKUP($Q743,'Threshold Summary'!$Y:$Y,'Threshold Summary'!$R:$R,"")/4))*XLOOKUP($Q743,'Threshold Summary'!$Y:$Y,'Threshold Summary'!$L:$L,""))/100)+5)*XLOOKUP(XLOOKUP($Q743,'Threshold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Editor'!$E:$E,1))),stab,IF(OR(mtype=XLOOKUP(XLOOKUP($Q743,'Threshold Summary'!$Y:$Y,'Threshold Summary'!$K:$K,""),'Pokemon Editor'!$A:$A,'Pokemon Editor'!$C:$C,""),mtype=XLOOKUP(XLOOKUP($Q743,'Threshold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Chart'!$B$1:$S$1,0)))),base,IF(OR(cat="Status",pow=0),0,FLOOR(FLOOR(FLOOR((2*XLOOKUP($Q743,'Threshold Summary'!$Y:$Y,'Threshold Summary'!$L:$L,"")/5+2)*pow*atk/def)/50)+2)),modifier,stab*eff,AVERAGE(ARRAYFORMULA(FLOOR(base*modifier*SEQUENCE(16,1,85,1)/100)))),0)</f>
        <v/>
      </c>
      <c r="M743" s="3">
        <f>IFERROR(LET(mtype,XLOOKUP($D743,'Move Editor'!$B:$B,'Move Editor'!$C:$C,""),cat,XLOOKUP($D743,'Move Editor'!$B:$B,'Move Editor'!$D:$D,""),pow,XLOOKUP($D743,'Move Editor'!$B:$B,'Move Editor'!$E:$E,0),acc,XLOOKUP($D743,'Move Editor'!$B:$B,'Move Editor'!$F:$F,100),atk,IF(cat="Physical",FLOOR((FLOOR(((2*XLOOKUP(XLOOKUP($Q743,'Threshold Summary'!$Y:$Y,'Threshold Summary'!$K:$K,""),'Pokemon Editor'!$A:$A,'Pokemon Editor'!$F:$F,0)+31+FLOOR(XLOOKUP($Q743,'Threshold Summary'!$Y:$Y,'Threshold Summary'!$P:$P,"")/4))*XLOOKUP($Q743,'Threshold Summary'!$Y:$Y,'Threshold Summary'!$L:$L,""))/100)+5)*XLOOKUP(XLOOKUP($Q743,'Threshold Summary'!$Y:$Y,'Threshold Summary'!$M:$M,""),'Nature Editor'!$A:$A,'Nature Editor'!$B:$B,1)),FLOOR((FLOOR(((2*XLOOKUP(XLOOKUP($Q743,'Threshold Summary'!$Y:$Y,'Threshold Summary'!$K:$K,""),'Pokemon Editor'!$A:$A,'Pokemon Editor'!$H:$H,0)+31+FLOOR(XLOOKUP($Q743,'Threshold Summary'!$Y:$Y,'Threshold Summary'!$R:$R,"")/4))*XLOOKUP($Q743,'Threshold Summary'!$Y:$Y,'Threshold Summary'!$L:$L,""))/100)+5)*XLOOKUP(XLOOKUP($Q743,'Threshold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Editor'!$E:$E,1))),stab,IF(OR(mtype=XLOOKUP(XLOOKUP($Q743,'Threshold Summary'!$Y:$Y,'Threshold Summary'!$K:$K,""),'Pokemon Editor'!$A:$A,'Pokemon Editor'!$C:$C,""),mtype=XLOOKUP(XLOOKUP($Q743,'Threshold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Chart'!$B$1:$S$1,0)))),base,IF(OR(cat="Status",pow=0),0,FLOOR(FLOOR(FLOOR((2*XLOOKUP($Q743,'Threshold Summary'!$Y:$Y,'Threshold Summary'!$L:$L,"")/5+2)*pow*atk/def)/50)+2)),modifier,stab*eff,AVERAGE(ARRAYFORMULA(FLOOR(base*modifier*SEQUENCE(16,1,85,1)/100)))*MIN(1,acc/100)),0)</f>
        <v/>
      </c>
      <c r="N743" s="4">
        <f>IFERROR(LET(mtype,XLOOKUP($D743,'Move Editor'!$B:$B,'Move Editor'!$C:$C,""),cat,XLOOKUP($D743,'Move Editor'!$B:$B,'Move Editor'!$D:$D,""),pow,XLOOKUP($D743,'Move Editor'!$B:$B,'Move Editor'!$E:$E,0),acc,XLOOKUP($D743,'Move Editor'!$B:$B,'Move Editor'!$F:$F,100),atk,IF(cat="Physical",FLOOR((FLOOR(((2*XLOOKUP(XLOOKUP($Q743,'Threshold Summary'!$Y:$Y,'Threshold Summary'!$K:$K,""),'Pokemon Editor'!$A:$A,'Pokemon Editor'!$F:$F,0)+31+FLOOR(XLOOKUP($Q743,'Threshold Summary'!$Y:$Y,'Threshold Summary'!$P:$P,"")/4))*XLOOKUP($Q743,'Threshold Summary'!$Y:$Y,'Threshold Summary'!$L:$L,""))/100)+5)*XLOOKUP(XLOOKUP($Q743,'Threshold Summary'!$Y:$Y,'Threshold Summary'!$M:$M,""),'Nature Editor'!$A:$A,'Nature Editor'!$B:$B,1)),FLOOR((FLOOR(((2*XLOOKUP(XLOOKUP($Q743,'Threshold Summary'!$Y:$Y,'Threshold Summary'!$K:$K,""),'Pokemon Editor'!$A:$A,'Pokemon Editor'!$H:$H,0)+31+FLOOR(XLOOKUP($Q743,'Threshold Summary'!$Y:$Y,'Threshold Summary'!$R:$R,"")/4))*XLOOKUP($Q743,'Threshold Summary'!$Y:$Y,'Threshold Summary'!$L:$L,""))/100)+5)*XLOOKUP(XLOOKUP($Q743,'Threshold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Editor'!$E:$E,1))),stab,IF(OR(mtype=XLOOKUP(XLOOKUP($Q743,'Threshold Summary'!$Y:$Y,'Threshold Summary'!$K:$K,""),'Pokemon Editor'!$A:$A,'Pokemon Editor'!$C:$C,""),mtype=XLOOKUP(XLOOKUP($Q743,'Threshold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Chart'!$B$1:$S$1,0)))),base,IF(OR(cat="Status",pow=0),0,FLOOR(FLOOR(FLOOR((2*XLOOKUP($Q743,'Threshold Summary'!$Y:$Y,'Threshold Summary'!$L:$L,"")/5+2)*pow*atk/def)/50)+2)),modifier,stab*eff,AVERAGE(ARRAYFORMULA(FLOOR(base*modifier*SEQUENCE(16,1,85,1)/100)))/(FLOOR(((2*XLOOKUP('Boss Editor'!$C$4,'Pokemon Editor'!$A:$A,'Pokemon Editor'!$E:$E,0)+31+FLOOR('Boss Editor'!$G$4/4))*'Boss Editor'!$D$4)/100)+'Boss Editor'!$D$4+10)),0)</f>
        <v/>
      </c>
      <c r="O743" s="3">
        <f>IF(N743&gt;=1,"OHKO",IF(N743&gt;=0.5,"2HKO",IF(N743&gt;=0.333,"3HKO",IF(N743&gt;=0.25,"4HKO","5HKO+"))))</f>
        <v/>
      </c>
      <c r="P743" s="3" t="inlineStr">
        <is>
          <t>Live from editable databases</t>
        </is>
      </c>
      <c r="Q743" s="3" t="inlineStr">
        <is>
          <t>SPECIES_STUFFUL</t>
        </is>
      </c>
      <c r="R743" s="3" t="n">
        <v>6</v>
      </c>
    </row>
    <row r="744">
      <c r="A744" s="3">
        <f>XLOOKUP($Q744,'Threshold Summary'!$Y:$Y,'Threshold Summary'!$A:$A,"")</f>
        <v/>
      </c>
      <c r="B744" s="3">
        <f>XLOOKUP($Q744,'Threshold Summary'!$Y:$Y,'Threshold Summary'!$M:$M,"")</f>
        <v/>
      </c>
      <c r="C744" s="3">
        <f>XLOOKUP($Q744,'Threshold Summary'!$Y:$Y,'Threshold Summary'!$N:$N,"")</f>
        <v/>
      </c>
      <c r="D744" s="3">
        <f>IFERROR(INDEX(FILTER('Learnset Editor'!$D$2:$D,'Learnset Editor'!$A$2:$A=XLOOKUP($Q744,'Threshold Summary'!$Y:$Y,'Threshold Summary'!$K:$K,""),'Learnset Editor'!$C$2:$C&lt;=XLOOKUP($Q744,'Threshold Summary'!$Y:$Y,'Threshold Summary'!$L:$L,"")),$R744),"")</f>
        <v/>
      </c>
      <c r="E744" s="3">
        <f>XLOOKUP(D744,'Move Editor'!$B:$B,'Move Editor'!$C:$C,"")</f>
        <v/>
      </c>
      <c r="F744" s="3">
        <f>XLOOKUP(D744,'Move Editor'!$B:$B,'Move Editor'!$D:$D,"")</f>
        <v/>
      </c>
      <c r="G744" s="3">
        <f>XLOOKUP(D744,'Move Editor'!$B:$B,'Move Editor'!$E:$E,0)</f>
        <v/>
      </c>
      <c r="H744" s="3">
        <f>XLOOKUP(D744,'Move Editor'!$B:$B,'Move Editor'!$F:$F,0)</f>
        <v/>
      </c>
      <c r="I744" s="3">
        <f>(INDEX('Type Chart'!$B:$S,MATCH(E744,'Type Chart'!$A:$A,0),MATCH(XLOOKUP('Boss Editor'!$C$4,'Pokemon Editor'!$A:$A,'Pokemon Editor'!$C:$C,""),'Type Chart'!$B$1:$S$1,0))*IF(XLOOKUP('Boss Editor'!$C$4,'Pokemon Editor'!$A:$A,'Pokemon Editor'!$D:$D,"")="",1,INDEX('Type Chart'!$B:$S,MATCH(E744,'Type Chart'!$A:$A,0),MATCH(XLOOKUP('Boss Editor'!$C$4,'Pokemon Editor'!$A:$A,'Pokemon Editor'!$D:$D,""),'Type Chart'!$B$1:$S$1,0))))</f>
        <v/>
      </c>
      <c r="J744" s="3">
        <f>IFERROR(LET(mtype,XLOOKUP($D744,'Move Editor'!$B:$B,'Move Editor'!$C:$C,""),cat,XLOOKUP($D744,'Move Editor'!$B:$B,'Move Editor'!$D:$D,""),pow,XLOOKUP($D744,'Move Editor'!$B:$B,'Move Editor'!$E:$E,0),acc,XLOOKUP($D744,'Move Editor'!$B:$B,'Move Editor'!$F:$F,100),atk,IF(cat="Physical",FLOOR((FLOOR(((2*XLOOKUP(XLOOKUP($Q744,'Threshold Summary'!$Y:$Y,'Threshold Summary'!$K:$K,""),'Pokemon Editor'!$A:$A,'Pokemon Editor'!$F:$F,0)+31+FLOOR(XLOOKUP($Q744,'Threshold Summary'!$Y:$Y,'Threshold Summary'!$P:$P,"")/4))*XLOOKUP($Q744,'Threshold Summary'!$Y:$Y,'Threshold Summary'!$L:$L,""))/100)+5)*XLOOKUP(XLOOKUP($Q744,'Threshold Summary'!$Y:$Y,'Threshold Summary'!$M:$M,""),'Nature Editor'!$A:$A,'Nature Editor'!$B:$B,1)),FLOOR((FLOOR(((2*XLOOKUP(XLOOKUP($Q744,'Threshold Summary'!$Y:$Y,'Threshold Summary'!$K:$K,""),'Pokemon Editor'!$A:$A,'Pokemon Editor'!$H:$H,0)+31+FLOOR(XLOOKUP($Q744,'Threshold Summary'!$Y:$Y,'Threshold Summary'!$R:$R,"")/4))*XLOOKUP($Q744,'Threshold Summary'!$Y:$Y,'Threshold Summary'!$L:$L,""))/100)+5)*XLOOKUP(XLOOKUP($Q744,'Threshold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Editor'!$E:$E,1))),stab,IF(OR(mtype=XLOOKUP(XLOOKUP($Q744,'Threshold Summary'!$Y:$Y,'Threshold Summary'!$K:$K,""),'Pokemon Editor'!$A:$A,'Pokemon Editor'!$C:$C,""),mtype=XLOOKUP(XLOOKUP($Q744,'Threshold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Chart'!$B$1:$S$1,0)))),base,IF(OR(cat="Status",pow=0),0,FLOOR(FLOOR(FLOOR((2*XLOOKUP($Q744,'Threshold Summary'!$Y:$Y,'Threshold Summary'!$L:$L,"")/5+2)*pow*atk/def)/50)+2)),modifier,stab*eff,FLOOR(base*modifier*0.85)),0)</f>
        <v/>
      </c>
      <c r="K744" s="3">
        <f>IFERROR(LET(mtype,XLOOKUP($D744,'Move Editor'!$B:$B,'Move Editor'!$C:$C,""),cat,XLOOKUP($D744,'Move Editor'!$B:$B,'Move Editor'!$D:$D,""),pow,XLOOKUP($D744,'Move Editor'!$B:$B,'Move Editor'!$E:$E,0),acc,XLOOKUP($D744,'Move Editor'!$B:$B,'Move Editor'!$F:$F,100),atk,IF(cat="Physical",FLOOR((FLOOR(((2*XLOOKUP(XLOOKUP($Q744,'Threshold Summary'!$Y:$Y,'Threshold Summary'!$K:$K,""),'Pokemon Editor'!$A:$A,'Pokemon Editor'!$F:$F,0)+31+FLOOR(XLOOKUP($Q744,'Threshold Summary'!$Y:$Y,'Threshold Summary'!$P:$P,"")/4))*XLOOKUP($Q744,'Threshold Summary'!$Y:$Y,'Threshold Summary'!$L:$L,""))/100)+5)*XLOOKUP(XLOOKUP($Q744,'Threshold Summary'!$Y:$Y,'Threshold Summary'!$M:$M,""),'Nature Editor'!$A:$A,'Nature Editor'!$B:$B,1)),FLOOR((FLOOR(((2*XLOOKUP(XLOOKUP($Q744,'Threshold Summary'!$Y:$Y,'Threshold Summary'!$K:$K,""),'Pokemon Editor'!$A:$A,'Pokemon Editor'!$H:$H,0)+31+FLOOR(XLOOKUP($Q744,'Threshold Summary'!$Y:$Y,'Threshold Summary'!$R:$R,"")/4))*XLOOKUP($Q744,'Threshold Summary'!$Y:$Y,'Threshold Summary'!$L:$L,""))/100)+5)*XLOOKUP(XLOOKUP($Q744,'Threshold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Editor'!$E:$E,1))),stab,IF(OR(mtype=XLOOKUP(XLOOKUP($Q744,'Threshold Summary'!$Y:$Y,'Threshold Summary'!$K:$K,""),'Pokemon Editor'!$A:$A,'Pokemon Editor'!$C:$C,""),mtype=XLOOKUP(XLOOKUP($Q744,'Threshold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Chart'!$B$1:$S$1,0)))),base,IF(OR(cat="Status",pow=0),0,FLOOR(FLOOR(FLOOR((2*XLOOKUP($Q744,'Threshold Summary'!$Y:$Y,'Threshold Summary'!$L:$L,"")/5+2)*pow*atk/def)/50)+2)),modifier,stab*eff,FLOOR(base*modifier)),0)</f>
        <v/>
      </c>
      <c r="L744" s="3">
        <f>IFERROR(LET(mtype,XLOOKUP($D744,'Move Editor'!$B:$B,'Move Editor'!$C:$C,""),cat,XLOOKUP($D744,'Move Editor'!$B:$B,'Move Editor'!$D:$D,""),pow,XLOOKUP($D744,'Move Editor'!$B:$B,'Move Editor'!$E:$E,0),acc,XLOOKUP($D744,'Move Editor'!$B:$B,'Move Editor'!$F:$F,100),atk,IF(cat="Physical",FLOOR((FLOOR(((2*XLOOKUP(XLOOKUP($Q744,'Threshold Summary'!$Y:$Y,'Threshold Summary'!$K:$K,""),'Pokemon Editor'!$A:$A,'Pokemon Editor'!$F:$F,0)+31+FLOOR(XLOOKUP($Q744,'Threshold Summary'!$Y:$Y,'Threshold Summary'!$P:$P,"")/4))*XLOOKUP($Q744,'Threshold Summary'!$Y:$Y,'Threshold Summary'!$L:$L,""))/100)+5)*XLOOKUP(XLOOKUP($Q744,'Threshold Summary'!$Y:$Y,'Threshold Summary'!$M:$M,""),'Nature Editor'!$A:$A,'Nature Editor'!$B:$B,1)),FLOOR((FLOOR(((2*XLOOKUP(XLOOKUP($Q744,'Threshold Summary'!$Y:$Y,'Threshold Summary'!$K:$K,""),'Pokemon Editor'!$A:$A,'Pokemon Editor'!$H:$H,0)+31+FLOOR(XLOOKUP($Q744,'Threshold Summary'!$Y:$Y,'Threshold Summary'!$R:$R,"")/4))*XLOOKUP($Q744,'Threshold Summary'!$Y:$Y,'Threshold Summary'!$L:$L,""))/100)+5)*XLOOKUP(XLOOKUP($Q744,'Threshold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Editor'!$E:$E,1))),stab,IF(OR(mtype=XLOOKUP(XLOOKUP($Q744,'Threshold Summary'!$Y:$Y,'Threshold Summary'!$K:$K,""),'Pokemon Editor'!$A:$A,'Pokemon Editor'!$C:$C,""),mtype=XLOOKUP(XLOOKUP($Q744,'Threshold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Chart'!$B$1:$S$1,0)))),base,IF(OR(cat="Status",pow=0),0,FLOOR(FLOOR(FLOOR((2*XLOOKUP($Q744,'Threshold Summary'!$Y:$Y,'Threshold Summary'!$L:$L,"")/5+2)*pow*atk/def)/50)+2)),modifier,stab*eff,AVERAGE(ARRAYFORMULA(FLOOR(base*modifier*SEQUENCE(16,1,85,1)/100)))),0)</f>
        <v/>
      </c>
      <c r="M744" s="3">
        <f>IFERROR(LET(mtype,XLOOKUP($D744,'Move Editor'!$B:$B,'Move Editor'!$C:$C,""),cat,XLOOKUP($D744,'Move Editor'!$B:$B,'Move Editor'!$D:$D,""),pow,XLOOKUP($D744,'Move Editor'!$B:$B,'Move Editor'!$E:$E,0),acc,XLOOKUP($D744,'Move Editor'!$B:$B,'Move Editor'!$F:$F,100),atk,IF(cat="Physical",FLOOR((FLOOR(((2*XLOOKUP(XLOOKUP($Q744,'Threshold Summary'!$Y:$Y,'Threshold Summary'!$K:$K,""),'Pokemon Editor'!$A:$A,'Pokemon Editor'!$F:$F,0)+31+FLOOR(XLOOKUP($Q744,'Threshold Summary'!$Y:$Y,'Threshold Summary'!$P:$P,"")/4))*XLOOKUP($Q744,'Threshold Summary'!$Y:$Y,'Threshold Summary'!$L:$L,""))/100)+5)*XLOOKUP(XLOOKUP($Q744,'Threshold Summary'!$Y:$Y,'Threshold Summary'!$M:$M,""),'Nature Editor'!$A:$A,'Nature Editor'!$B:$B,1)),FLOOR((FLOOR(((2*XLOOKUP(XLOOKUP($Q744,'Threshold Summary'!$Y:$Y,'Threshold Summary'!$K:$K,""),'Pokemon Editor'!$A:$A,'Pokemon Editor'!$H:$H,0)+31+FLOOR(XLOOKUP($Q744,'Threshold Summary'!$Y:$Y,'Threshold Summary'!$R:$R,"")/4))*XLOOKUP($Q744,'Threshold Summary'!$Y:$Y,'Threshold Summary'!$L:$L,""))/100)+5)*XLOOKUP(XLOOKUP($Q744,'Threshold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Editor'!$E:$E,1))),stab,IF(OR(mtype=XLOOKUP(XLOOKUP($Q744,'Threshold Summary'!$Y:$Y,'Threshold Summary'!$K:$K,""),'Pokemon Editor'!$A:$A,'Pokemon Editor'!$C:$C,""),mtype=XLOOKUP(XLOOKUP($Q744,'Threshold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Chart'!$B$1:$S$1,0)))),base,IF(OR(cat="Status",pow=0),0,FLOOR(FLOOR(FLOOR((2*XLOOKUP($Q744,'Threshold Summary'!$Y:$Y,'Threshold Summary'!$L:$L,"")/5+2)*pow*atk/def)/50)+2)),modifier,stab*eff,AVERAGE(ARRAYFORMULA(FLOOR(base*modifier*SEQUENCE(16,1,85,1)/100)))*MIN(1,acc/100)),0)</f>
        <v/>
      </c>
      <c r="N744" s="4">
        <f>IFERROR(LET(mtype,XLOOKUP($D744,'Move Editor'!$B:$B,'Move Editor'!$C:$C,""),cat,XLOOKUP($D744,'Move Editor'!$B:$B,'Move Editor'!$D:$D,""),pow,XLOOKUP($D744,'Move Editor'!$B:$B,'Move Editor'!$E:$E,0),acc,XLOOKUP($D744,'Move Editor'!$B:$B,'Move Editor'!$F:$F,100),atk,IF(cat="Physical",FLOOR((FLOOR(((2*XLOOKUP(XLOOKUP($Q744,'Threshold Summary'!$Y:$Y,'Threshold Summary'!$K:$K,""),'Pokemon Editor'!$A:$A,'Pokemon Editor'!$F:$F,0)+31+FLOOR(XLOOKUP($Q744,'Threshold Summary'!$Y:$Y,'Threshold Summary'!$P:$P,"")/4))*XLOOKUP($Q744,'Threshold Summary'!$Y:$Y,'Threshold Summary'!$L:$L,""))/100)+5)*XLOOKUP(XLOOKUP($Q744,'Threshold Summary'!$Y:$Y,'Threshold Summary'!$M:$M,""),'Nature Editor'!$A:$A,'Nature Editor'!$B:$B,1)),FLOOR((FLOOR(((2*XLOOKUP(XLOOKUP($Q744,'Threshold Summary'!$Y:$Y,'Threshold Summary'!$K:$K,""),'Pokemon Editor'!$A:$A,'Pokemon Editor'!$H:$H,0)+31+FLOOR(XLOOKUP($Q744,'Threshold Summary'!$Y:$Y,'Threshold Summary'!$R:$R,"")/4))*XLOOKUP($Q744,'Threshold Summary'!$Y:$Y,'Threshold Summary'!$L:$L,""))/100)+5)*XLOOKUP(XLOOKUP($Q744,'Threshold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Editor'!$E:$E,1))),stab,IF(OR(mtype=XLOOKUP(XLOOKUP($Q744,'Threshold Summary'!$Y:$Y,'Threshold Summary'!$K:$K,""),'Pokemon Editor'!$A:$A,'Pokemon Editor'!$C:$C,""),mtype=XLOOKUP(XLOOKUP($Q744,'Threshold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Chart'!$B$1:$S$1,0)))),base,IF(OR(cat="Status",pow=0),0,FLOOR(FLOOR(FLOOR((2*XLOOKUP($Q744,'Threshold Summary'!$Y:$Y,'Threshold Summary'!$L:$L,"")/5+2)*pow*atk/def)/50)+2)),modifier,stab*eff,AVERAGE(ARRAYFORMULA(FLOOR(base*modifier*SEQUENCE(16,1,85,1)/100)))/(FLOOR(((2*XLOOKUP('Boss Editor'!$C$4,'Pokemon Editor'!$A:$A,'Pokemon Editor'!$E:$E,0)+31+FLOOR('Boss Editor'!$G$4/4))*'Boss Editor'!$D$4)/100)+'Boss Editor'!$D$4+10)),0)</f>
        <v/>
      </c>
      <c r="O744" s="3">
        <f>IF(N744&gt;=1,"OHKO",IF(N744&gt;=0.5,"2HKO",IF(N744&gt;=0.333,"3HKO",IF(N744&gt;=0.25,"4HKO","5HKO+"))))</f>
        <v/>
      </c>
      <c r="P744" s="3" t="inlineStr">
        <is>
          <t>Live from editable databases</t>
        </is>
      </c>
      <c r="Q744" s="3" t="inlineStr">
        <is>
          <t>SPECIES_STUFFUL</t>
        </is>
      </c>
      <c r="R744" s="3" t="n">
        <v>7</v>
      </c>
    </row>
    <row r="745">
      <c r="A745" s="3">
        <f>XLOOKUP($Q745,'Threshold Summary'!$Y:$Y,'Threshold Summary'!$A:$A,"")</f>
        <v/>
      </c>
      <c r="B745" s="3">
        <f>XLOOKUP($Q745,'Threshold Summary'!$Y:$Y,'Threshold Summary'!$M:$M,"")</f>
        <v/>
      </c>
      <c r="C745" s="3">
        <f>XLOOKUP($Q745,'Threshold Summary'!$Y:$Y,'Threshold Summary'!$N:$N,"")</f>
        <v/>
      </c>
      <c r="D745" s="3">
        <f>IFERROR(INDEX(FILTER('Learnset Editor'!$D$2:$D,'Learnset Editor'!$A$2:$A=XLOOKUP($Q745,'Threshold Summary'!$Y:$Y,'Threshold Summary'!$K:$K,""),'Learnset Editor'!$C$2:$C&lt;=XLOOKUP($Q745,'Threshold Summary'!$Y:$Y,'Threshold Summary'!$L:$L,"")),$R745),"")</f>
        <v/>
      </c>
      <c r="E745" s="3">
        <f>XLOOKUP(D745,'Move Editor'!$B:$B,'Move Editor'!$C:$C,"")</f>
        <v/>
      </c>
      <c r="F745" s="3">
        <f>XLOOKUP(D745,'Move Editor'!$B:$B,'Move Editor'!$D:$D,"")</f>
        <v/>
      </c>
      <c r="G745" s="3">
        <f>XLOOKUP(D745,'Move Editor'!$B:$B,'Move Editor'!$E:$E,0)</f>
        <v/>
      </c>
      <c r="H745" s="3">
        <f>XLOOKUP(D745,'Move Editor'!$B:$B,'Move Editor'!$F:$F,0)</f>
        <v/>
      </c>
      <c r="I745" s="3">
        <f>(INDEX('Type Chart'!$B:$S,MATCH(E745,'Type Chart'!$A:$A,0),MATCH(XLOOKUP('Boss Editor'!$C$4,'Pokemon Editor'!$A:$A,'Pokemon Editor'!$C:$C,""),'Type Chart'!$B$1:$S$1,0))*IF(XLOOKUP('Boss Editor'!$C$4,'Pokemon Editor'!$A:$A,'Pokemon Editor'!$D:$D,"")="",1,INDEX('Type Chart'!$B:$S,MATCH(E745,'Type Chart'!$A:$A,0),MATCH(XLOOKUP('Boss Editor'!$C$4,'Pokemon Editor'!$A:$A,'Pokemon Editor'!$D:$D,""),'Type Chart'!$B$1:$S$1,0))))</f>
        <v/>
      </c>
      <c r="J745" s="3">
        <f>IFERROR(LET(mtype,XLOOKUP($D745,'Move Editor'!$B:$B,'Move Editor'!$C:$C,""),cat,XLOOKUP($D745,'Move Editor'!$B:$B,'Move Editor'!$D:$D,""),pow,XLOOKUP($D745,'Move Editor'!$B:$B,'Move Editor'!$E:$E,0),acc,XLOOKUP($D745,'Move Editor'!$B:$B,'Move Editor'!$F:$F,100),atk,IF(cat="Physical",FLOOR((FLOOR(((2*XLOOKUP(XLOOKUP($Q745,'Threshold Summary'!$Y:$Y,'Threshold Summary'!$K:$K,""),'Pokemon Editor'!$A:$A,'Pokemon Editor'!$F:$F,0)+31+FLOOR(XLOOKUP($Q745,'Threshold Summary'!$Y:$Y,'Threshold Summary'!$P:$P,"")/4))*XLOOKUP($Q745,'Threshold Summary'!$Y:$Y,'Threshold Summary'!$L:$L,""))/100)+5)*XLOOKUP(XLOOKUP($Q745,'Threshold Summary'!$Y:$Y,'Threshold Summary'!$M:$M,""),'Nature Editor'!$A:$A,'Nature Editor'!$B:$B,1)),FLOOR((FLOOR(((2*XLOOKUP(XLOOKUP($Q745,'Threshold Summary'!$Y:$Y,'Threshold Summary'!$K:$K,""),'Pokemon Editor'!$A:$A,'Pokemon Editor'!$H:$H,0)+31+FLOOR(XLOOKUP($Q745,'Threshold Summary'!$Y:$Y,'Threshold Summary'!$R:$R,"")/4))*XLOOKUP($Q745,'Threshold Summary'!$Y:$Y,'Threshold Summary'!$L:$L,""))/100)+5)*XLOOKUP(XLOOKUP($Q745,'Threshold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Editor'!$E:$E,1))),stab,IF(OR(mtype=XLOOKUP(XLOOKUP($Q745,'Threshold Summary'!$Y:$Y,'Threshold Summary'!$K:$K,""),'Pokemon Editor'!$A:$A,'Pokemon Editor'!$C:$C,""),mtype=XLOOKUP(XLOOKUP($Q745,'Threshold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Chart'!$B$1:$S$1,0)))),base,IF(OR(cat="Status",pow=0),0,FLOOR(FLOOR(FLOOR((2*XLOOKUP($Q745,'Threshold Summary'!$Y:$Y,'Threshold Summary'!$L:$L,"")/5+2)*pow*atk/def)/50)+2)),modifier,stab*eff,FLOOR(base*modifier*0.85)),0)</f>
        <v/>
      </c>
      <c r="K745" s="3">
        <f>IFERROR(LET(mtype,XLOOKUP($D745,'Move Editor'!$B:$B,'Move Editor'!$C:$C,""),cat,XLOOKUP($D745,'Move Editor'!$B:$B,'Move Editor'!$D:$D,""),pow,XLOOKUP($D745,'Move Editor'!$B:$B,'Move Editor'!$E:$E,0),acc,XLOOKUP($D745,'Move Editor'!$B:$B,'Move Editor'!$F:$F,100),atk,IF(cat="Physical",FLOOR((FLOOR(((2*XLOOKUP(XLOOKUP($Q745,'Threshold Summary'!$Y:$Y,'Threshold Summary'!$K:$K,""),'Pokemon Editor'!$A:$A,'Pokemon Editor'!$F:$F,0)+31+FLOOR(XLOOKUP($Q745,'Threshold Summary'!$Y:$Y,'Threshold Summary'!$P:$P,"")/4))*XLOOKUP($Q745,'Threshold Summary'!$Y:$Y,'Threshold Summary'!$L:$L,""))/100)+5)*XLOOKUP(XLOOKUP($Q745,'Threshold Summary'!$Y:$Y,'Threshold Summary'!$M:$M,""),'Nature Editor'!$A:$A,'Nature Editor'!$B:$B,1)),FLOOR((FLOOR(((2*XLOOKUP(XLOOKUP($Q745,'Threshold Summary'!$Y:$Y,'Threshold Summary'!$K:$K,""),'Pokemon Editor'!$A:$A,'Pokemon Editor'!$H:$H,0)+31+FLOOR(XLOOKUP($Q745,'Threshold Summary'!$Y:$Y,'Threshold Summary'!$R:$R,"")/4))*XLOOKUP($Q745,'Threshold Summary'!$Y:$Y,'Threshold Summary'!$L:$L,""))/100)+5)*XLOOKUP(XLOOKUP($Q745,'Threshold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Editor'!$E:$E,1))),stab,IF(OR(mtype=XLOOKUP(XLOOKUP($Q745,'Threshold Summary'!$Y:$Y,'Threshold Summary'!$K:$K,""),'Pokemon Editor'!$A:$A,'Pokemon Editor'!$C:$C,""),mtype=XLOOKUP(XLOOKUP($Q745,'Threshold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Chart'!$B$1:$S$1,0)))),base,IF(OR(cat="Status",pow=0),0,FLOOR(FLOOR(FLOOR((2*XLOOKUP($Q745,'Threshold Summary'!$Y:$Y,'Threshold Summary'!$L:$L,"")/5+2)*pow*atk/def)/50)+2)),modifier,stab*eff,FLOOR(base*modifier)),0)</f>
        <v/>
      </c>
      <c r="L745" s="3">
        <f>IFERROR(LET(mtype,XLOOKUP($D745,'Move Editor'!$B:$B,'Move Editor'!$C:$C,""),cat,XLOOKUP($D745,'Move Editor'!$B:$B,'Move Editor'!$D:$D,""),pow,XLOOKUP($D745,'Move Editor'!$B:$B,'Move Editor'!$E:$E,0),acc,XLOOKUP($D745,'Move Editor'!$B:$B,'Move Editor'!$F:$F,100),atk,IF(cat="Physical",FLOOR((FLOOR(((2*XLOOKUP(XLOOKUP($Q745,'Threshold Summary'!$Y:$Y,'Threshold Summary'!$K:$K,""),'Pokemon Editor'!$A:$A,'Pokemon Editor'!$F:$F,0)+31+FLOOR(XLOOKUP($Q745,'Threshold Summary'!$Y:$Y,'Threshold Summary'!$P:$P,"")/4))*XLOOKUP($Q745,'Threshold Summary'!$Y:$Y,'Threshold Summary'!$L:$L,""))/100)+5)*XLOOKUP(XLOOKUP($Q745,'Threshold Summary'!$Y:$Y,'Threshold Summary'!$M:$M,""),'Nature Editor'!$A:$A,'Nature Editor'!$B:$B,1)),FLOOR((FLOOR(((2*XLOOKUP(XLOOKUP($Q745,'Threshold Summary'!$Y:$Y,'Threshold Summary'!$K:$K,""),'Pokemon Editor'!$A:$A,'Pokemon Editor'!$H:$H,0)+31+FLOOR(XLOOKUP($Q745,'Threshold Summary'!$Y:$Y,'Threshold Summary'!$R:$R,"")/4))*XLOOKUP($Q745,'Threshold Summary'!$Y:$Y,'Threshold Summary'!$L:$L,""))/100)+5)*XLOOKUP(XLOOKUP($Q745,'Threshold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Editor'!$E:$E,1))),stab,IF(OR(mtype=XLOOKUP(XLOOKUP($Q745,'Threshold Summary'!$Y:$Y,'Threshold Summary'!$K:$K,""),'Pokemon Editor'!$A:$A,'Pokemon Editor'!$C:$C,""),mtype=XLOOKUP(XLOOKUP($Q745,'Threshold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Chart'!$B$1:$S$1,0)))),base,IF(OR(cat="Status",pow=0),0,FLOOR(FLOOR(FLOOR((2*XLOOKUP($Q745,'Threshold Summary'!$Y:$Y,'Threshold Summary'!$L:$L,"")/5+2)*pow*atk/def)/50)+2)),modifier,stab*eff,AVERAGE(ARRAYFORMULA(FLOOR(base*modifier*SEQUENCE(16,1,85,1)/100)))),0)</f>
        <v/>
      </c>
      <c r="M745" s="3">
        <f>IFERROR(LET(mtype,XLOOKUP($D745,'Move Editor'!$B:$B,'Move Editor'!$C:$C,""),cat,XLOOKUP($D745,'Move Editor'!$B:$B,'Move Editor'!$D:$D,""),pow,XLOOKUP($D745,'Move Editor'!$B:$B,'Move Editor'!$E:$E,0),acc,XLOOKUP($D745,'Move Editor'!$B:$B,'Move Editor'!$F:$F,100),atk,IF(cat="Physical",FLOOR((FLOOR(((2*XLOOKUP(XLOOKUP($Q745,'Threshold Summary'!$Y:$Y,'Threshold Summary'!$K:$K,""),'Pokemon Editor'!$A:$A,'Pokemon Editor'!$F:$F,0)+31+FLOOR(XLOOKUP($Q745,'Threshold Summary'!$Y:$Y,'Threshold Summary'!$P:$P,"")/4))*XLOOKUP($Q745,'Threshold Summary'!$Y:$Y,'Threshold Summary'!$L:$L,""))/100)+5)*XLOOKUP(XLOOKUP($Q745,'Threshold Summary'!$Y:$Y,'Threshold Summary'!$M:$M,""),'Nature Editor'!$A:$A,'Nature Editor'!$B:$B,1)),FLOOR((FLOOR(((2*XLOOKUP(XLOOKUP($Q745,'Threshold Summary'!$Y:$Y,'Threshold Summary'!$K:$K,""),'Pokemon Editor'!$A:$A,'Pokemon Editor'!$H:$H,0)+31+FLOOR(XLOOKUP($Q745,'Threshold Summary'!$Y:$Y,'Threshold Summary'!$R:$R,"")/4))*XLOOKUP($Q745,'Threshold Summary'!$Y:$Y,'Threshold Summary'!$L:$L,""))/100)+5)*XLOOKUP(XLOOKUP($Q745,'Threshold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Editor'!$E:$E,1))),stab,IF(OR(mtype=XLOOKUP(XLOOKUP($Q745,'Threshold Summary'!$Y:$Y,'Threshold Summary'!$K:$K,""),'Pokemon Editor'!$A:$A,'Pokemon Editor'!$C:$C,""),mtype=XLOOKUP(XLOOKUP($Q745,'Threshold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Chart'!$B$1:$S$1,0)))),base,IF(OR(cat="Status",pow=0),0,FLOOR(FLOOR(FLOOR((2*XLOOKUP($Q745,'Threshold Summary'!$Y:$Y,'Threshold Summary'!$L:$L,"")/5+2)*pow*atk/def)/50)+2)),modifier,stab*eff,AVERAGE(ARRAYFORMULA(FLOOR(base*modifier*SEQUENCE(16,1,85,1)/100)))*MIN(1,acc/100)),0)</f>
        <v/>
      </c>
      <c r="N745" s="4">
        <f>IFERROR(LET(mtype,XLOOKUP($D745,'Move Editor'!$B:$B,'Move Editor'!$C:$C,""),cat,XLOOKUP($D745,'Move Editor'!$B:$B,'Move Editor'!$D:$D,""),pow,XLOOKUP($D745,'Move Editor'!$B:$B,'Move Editor'!$E:$E,0),acc,XLOOKUP($D745,'Move Editor'!$B:$B,'Move Editor'!$F:$F,100),atk,IF(cat="Physical",FLOOR((FLOOR(((2*XLOOKUP(XLOOKUP($Q745,'Threshold Summary'!$Y:$Y,'Threshold Summary'!$K:$K,""),'Pokemon Editor'!$A:$A,'Pokemon Editor'!$F:$F,0)+31+FLOOR(XLOOKUP($Q745,'Threshold Summary'!$Y:$Y,'Threshold Summary'!$P:$P,"")/4))*XLOOKUP($Q745,'Threshold Summary'!$Y:$Y,'Threshold Summary'!$L:$L,""))/100)+5)*XLOOKUP(XLOOKUP($Q745,'Threshold Summary'!$Y:$Y,'Threshold Summary'!$M:$M,""),'Nature Editor'!$A:$A,'Nature Editor'!$B:$B,1)),FLOOR((FLOOR(((2*XLOOKUP(XLOOKUP($Q745,'Threshold Summary'!$Y:$Y,'Threshold Summary'!$K:$K,""),'Pokemon Editor'!$A:$A,'Pokemon Editor'!$H:$H,0)+31+FLOOR(XLOOKUP($Q745,'Threshold Summary'!$Y:$Y,'Threshold Summary'!$R:$R,"")/4))*XLOOKUP($Q745,'Threshold Summary'!$Y:$Y,'Threshold Summary'!$L:$L,""))/100)+5)*XLOOKUP(XLOOKUP($Q745,'Threshold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Editor'!$E:$E,1))),stab,IF(OR(mtype=XLOOKUP(XLOOKUP($Q745,'Threshold Summary'!$Y:$Y,'Threshold Summary'!$K:$K,""),'Pokemon Editor'!$A:$A,'Pokemon Editor'!$C:$C,""),mtype=XLOOKUP(XLOOKUP($Q745,'Threshold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Chart'!$B$1:$S$1,0)))),base,IF(OR(cat="Status",pow=0),0,FLOOR(FLOOR(FLOOR((2*XLOOKUP($Q745,'Threshold Summary'!$Y:$Y,'Threshold Summary'!$L:$L,"")/5+2)*pow*atk/def)/50)+2)),modifier,stab*eff,AVERAGE(ARRAYFORMULA(FLOOR(base*modifier*SEQUENCE(16,1,85,1)/100)))/(FLOOR(((2*XLOOKUP('Boss Editor'!$C$4,'Pokemon Editor'!$A:$A,'Pokemon Editor'!$E:$E,0)+31+FLOOR('Boss Editor'!$G$4/4))*'Boss Editor'!$D$4)/100)+'Boss Editor'!$D$4+10)),0)</f>
        <v/>
      </c>
      <c r="O745" s="3">
        <f>IF(N745&gt;=1,"OHKO",IF(N745&gt;=0.5,"2HKO",IF(N745&gt;=0.333,"3HKO",IF(N745&gt;=0.25,"4HKO","5HKO+"))))</f>
        <v/>
      </c>
      <c r="P745" s="3" t="inlineStr">
        <is>
          <t>Live from editable databases</t>
        </is>
      </c>
      <c r="Q745" s="3" t="inlineStr">
        <is>
          <t>SPECIES_STUFFUL</t>
        </is>
      </c>
      <c r="R745" s="3" t="n">
        <v>8</v>
      </c>
    </row>
    <row r="746">
      <c r="A746" s="3">
        <f>XLOOKUP($Q746,'Threshold Summary'!$Y:$Y,'Threshold Summary'!$A:$A,"")</f>
        <v/>
      </c>
      <c r="B746" s="3">
        <f>XLOOKUP($Q746,'Threshold Summary'!$Y:$Y,'Threshold Summary'!$M:$M,"")</f>
        <v/>
      </c>
      <c r="C746" s="3">
        <f>XLOOKUP($Q746,'Threshold Summary'!$Y:$Y,'Threshold Summary'!$N:$N,"")</f>
        <v/>
      </c>
      <c r="D746" s="3">
        <f>IFERROR(INDEX(FILTER('Learnset Editor'!$D$2:$D,'Learnset Editor'!$A$2:$A=XLOOKUP($Q746,'Threshold Summary'!$Y:$Y,'Threshold Summary'!$K:$K,""),'Learnset Editor'!$C$2:$C&lt;=XLOOKUP($Q746,'Threshold Summary'!$Y:$Y,'Threshold Summary'!$L:$L,"")),$R746),"")</f>
        <v/>
      </c>
      <c r="E746" s="3">
        <f>XLOOKUP(D746,'Move Editor'!$B:$B,'Move Editor'!$C:$C,"")</f>
        <v/>
      </c>
      <c r="F746" s="3">
        <f>XLOOKUP(D746,'Move Editor'!$B:$B,'Move Editor'!$D:$D,"")</f>
        <v/>
      </c>
      <c r="G746" s="3">
        <f>XLOOKUP(D746,'Move Editor'!$B:$B,'Move Editor'!$E:$E,0)</f>
        <v/>
      </c>
      <c r="H746" s="3">
        <f>XLOOKUP(D746,'Move Editor'!$B:$B,'Move Editor'!$F:$F,0)</f>
        <v/>
      </c>
      <c r="I746" s="3">
        <f>(INDEX('Type Chart'!$B:$S,MATCH(E746,'Type Chart'!$A:$A,0),MATCH(XLOOKUP('Boss Editor'!$C$4,'Pokemon Editor'!$A:$A,'Pokemon Editor'!$C:$C,""),'Type Chart'!$B$1:$S$1,0))*IF(XLOOKUP('Boss Editor'!$C$4,'Pokemon Editor'!$A:$A,'Pokemon Editor'!$D:$D,"")="",1,INDEX('Type Chart'!$B:$S,MATCH(E746,'Type Chart'!$A:$A,0),MATCH(XLOOKUP('Boss Editor'!$C$4,'Pokemon Editor'!$A:$A,'Pokemon Editor'!$D:$D,""),'Type Chart'!$B$1:$S$1,0))))</f>
        <v/>
      </c>
      <c r="J746" s="3">
        <f>IFERROR(LET(mtype,XLOOKUP($D746,'Move Editor'!$B:$B,'Move Editor'!$C:$C,""),cat,XLOOKUP($D746,'Move Editor'!$B:$B,'Move Editor'!$D:$D,""),pow,XLOOKUP($D746,'Move Editor'!$B:$B,'Move Editor'!$E:$E,0),acc,XLOOKUP($D746,'Move Editor'!$B:$B,'Move Editor'!$F:$F,100),atk,IF(cat="Physical",FLOOR((FLOOR(((2*XLOOKUP(XLOOKUP($Q746,'Threshold Summary'!$Y:$Y,'Threshold Summary'!$K:$K,""),'Pokemon Editor'!$A:$A,'Pokemon Editor'!$F:$F,0)+31+FLOOR(XLOOKUP($Q746,'Threshold Summary'!$Y:$Y,'Threshold Summary'!$P:$P,"")/4))*XLOOKUP($Q746,'Threshold Summary'!$Y:$Y,'Threshold Summary'!$L:$L,""))/100)+5)*XLOOKUP(XLOOKUP($Q746,'Threshold Summary'!$Y:$Y,'Threshold Summary'!$M:$M,""),'Nature Editor'!$A:$A,'Nature Editor'!$B:$B,1)),FLOOR((FLOOR(((2*XLOOKUP(XLOOKUP($Q746,'Threshold Summary'!$Y:$Y,'Threshold Summary'!$K:$K,""),'Pokemon Editor'!$A:$A,'Pokemon Editor'!$H:$H,0)+31+FLOOR(XLOOKUP($Q746,'Threshold Summary'!$Y:$Y,'Threshold Summary'!$R:$R,"")/4))*XLOOKUP($Q746,'Threshold Summary'!$Y:$Y,'Threshold Summary'!$L:$L,""))/100)+5)*XLOOKUP(XLOOKUP($Q746,'Threshold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Editor'!$E:$E,1))),stab,IF(OR(mtype=XLOOKUP(XLOOKUP($Q746,'Threshold Summary'!$Y:$Y,'Threshold Summary'!$K:$K,""),'Pokemon Editor'!$A:$A,'Pokemon Editor'!$C:$C,""),mtype=XLOOKUP(XLOOKUP($Q746,'Threshold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Chart'!$B$1:$S$1,0)))),base,IF(OR(cat="Status",pow=0),0,FLOOR(FLOOR(FLOOR((2*XLOOKUP($Q746,'Threshold Summary'!$Y:$Y,'Threshold Summary'!$L:$L,"")/5+2)*pow*atk/def)/50)+2)),modifier,stab*eff,FLOOR(base*modifier*0.85)),0)</f>
        <v/>
      </c>
      <c r="K746" s="3">
        <f>IFERROR(LET(mtype,XLOOKUP($D746,'Move Editor'!$B:$B,'Move Editor'!$C:$C,""),cat,XLOOKUP($D746,'Move Editor'!$B:$B,'Move Editor'!$D:$D,""),pow,XLOOKUP($D746,'Move Editor'!$B:$B,'Move Editor'!$E:$E,0),acc,XLOOKUP($D746,'Move Editor'!$B:$B,'Move Editor'!$F:$F,100),atk,IF(cat="Physical",FLOOR((FLOOR(((2*XLOOKUP(XLOOKUP($Q746,'Threshold Summary'!$Y:$Y,'Threshold Summary'!$K:$K,""),'Pokemon Editor'!$A:$A,'Pokemon Editor'!$F:$F,0)+31+FLOOR(XLOOKUP($Q746,'Threshold Summary'!$Y:$Y,'Threshold Summary'!$P:$P,"")/4))*XLOOKUP($Q746,'Threshold Summary'!$Y:$Y,'Threshold Summary'!$L:$L,""))/100)+5)*XLOOKUP(XLOOKUP($Q746,'Threshold Summary'!$Y:$Y,'Threshold Summary'!$M:$M,""),'Nature Editor'!$A:$A,'Nature Editor'!$B:$B,1)),FLOOR((FLOOR(((2*XLOOKUP(XLOOKUP($Q746,'Threshold Summary'!$Y:$Y,'Threshold Summary'!$K:$K,""),'Pokemon Editor'!$A:$A,'Pokemon Editor'!$H:$H,0)+31+FLOOR(XLOOKUP($Q746,'Threshold Summary'!$Y:$Y,'Threshold Summary'!$R:$R,"")/4))*XLOOKUP($Q746,'Threshold Summary'!$Y:$Y,'Threshold Summary'!$L:$L,""))/100)+5)*XLOOKUP(XLOOKUP($Q746,'Threshold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Editor'!$E:$E,1))),stab,IF(OR(mtype=XLOOKUP(XLOOKUP($Q746,'Threshold Summary'!$Y:$Y,'Threshold Summary'!$K:$K,""),'Pokemon Editor'!$A:$A,'Pokemon Editor'!$C:$C,""),mtype=XLOOKUP(XLOOKUP($Q746,'Threshold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Chart'!$B$1:$S$1,0)))),base,IF(OR(cat="Status",pow=0),0,FLOOR(FLOOR(FLOOR((2*XLOOKUP($Q746,'Threshold Summary'!$Y:$Y,'Threshold Summary'!$L:$L,"")/5+2)*pow*atk/def)/50)+2)),modifier,stab*eff,FLOOR(base*modifier)),0)</f>
        <v/>
      </c>
      <c r="L746" s="3">
        <f>IFERROR(LET(mtype,XLOOKUP($D746,'Move Editor'!$B:$B,'Move Editor'!$C:$C,""),cat,XLOOKUP($D746,'Move Editor'!$B:$B,'Move Editor'!$D:$D,""),pow,XLOOKUP($D746,'Move Editor'!$B:$B,'Move Editor'!$E:$E,0),acc,XLOOKUP($D746,'Move Editor'!$B:$B,'Move Editor'!$F:$F,100),atk,IF(cat="Physical",FLOOR((FLOOR(((2*XLOOKUP(XLOOKUP($Q746,'Threshold Summary'!$Y:$Y,'Threshold Summary'!$K:$K,""),'Pokemon Editor'!$A:$A,'Pokemon Editor'!$F:$F,0)+31+FLOOR(XLOOKUP($Q746,'Threshold Summary'!$Y:$Y,'Threshold Summary'!$P:$P,"")/4))*XLOOKUP($Q746,'Threshold Summary'!$Y:$Y,'Threshold Summary'!$L:$L,""))/100)+5)*XLOOKUP(XLOOKUP($Q746,'Threshold Summary'!$Y:$Y,'Threshold Summary'!$M:$M,""),'Nature Editor'!$A:$A,'Nature Editor'!$B:$B,1)),FLOOR((FLOOR(((2*XLOOKUP(XLOOKUP($Q746,'Threshold Summary'!$Y:$Y,'Threshold Summary'!$K:$K,""),'Pokemon Editor'!$A:$A,'Pokemon Editor'!$H:$H,0)+31+FLOOR(XLOOKUP($Q746,'Threshold Summary'!$Y:$Y,'Threshold Summary'!$R:$R,"")/4))*XLOOKUP($Q746,'Threshold Summary'!$Y:$Y,'Threshold Summary'!$L:$L,""))/100)+5)*XLOOKUP(XLOOKUP($Q746,'Threshold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Editor'!$E:$E,1))),stab,IF(OR(mtype=XLOOKUP(XLOOKUP($Q746,'Threshold Summary'!$Y:$Y,'Threshold Summary'!$K:$K,""),'Pokemon Editor'!$A:$A,'Pokemon Editor'!$C:$C,""),mtype=XLOOKUP(XLOOKUP($Q746,'Threshold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Chart'!$B$1:$S$1,0)))),base,IF(OR(cat="Status",pow=0),0,FLOOR(FLOOR(FLOOR((2*XLOOKUP($Q746,'Threshold Summary'!$Y:$Y,'Threshold Summary'!$L:$L,"")/5+2)*pow*atk/def)/50)+2)),modifier,stab*eff,AVERAGE(ARRAYFORMULA(FLOOR(base*modifier*SEQUENCE(16,1,85,1)/100)))),0)</f>
        <v/>
      </c>
      <c r="M746" s="3">
        <f>IFERROR(LET(mtype,XLOOKUP($D746,'Move Editor'!$B:$B,'Move Editor'!$C:$C,""),cat,XLOOKUP($D746,'Move Editor'!$B:$B,'Move Editor'!$D:$D,""),pow,XLOOKUP($D746,'Move Editor'!$B:$B,'Move Editor'!$E:$E,0),acc,XLOOKUP($D746,'Move Editor'!$B:$B,'Move Editor'!$F:$F,100),atk,IF(cat="Physical",FLOOR((FLOOR(((2*XLOOKUP(XLOOKUP($Q746,'Threshold Summary'!$Y:$Y,'Threshold Summary'!$K:$K,""),'Pokemon Editor'!$A:$A,'Pokemon Editor'!$F:$F,0)+31+FLOOR(XLOOKUP($Q746,'Threshold Summary'!$Y:$Y,'Threshold Summary'!$P:$P,"")/4))*XLOOKUP($Q746,'Threshold Summary'!$Y:$Y,'Threshold Summary'!$L:$L,""))/100)+5)*XLOOKUP(XLOOKUP($Q746,'Threshold Summary'!$Y:$Y,'Threshold Summary'!$M:$M,""),'Nature Editor'!$A:$A,'Nature Editor'!$B:$B,1)),FLOOR((FLOOR(((2*XLOOKUP(XLOOKUP($Q746,'Threshold Summary'!$Y:$Y,'Threshold Summary'!$K:$K,""),'Pokemon Editor'!$A:$A,'Pokemon Editor'!$H:$H,0)+31+FLOOR(XLOOKUP($Q746,'Threshold Summary'!$Y:$Y,'Threshold Summary'!$R:$R,"")/4))*XLOOKUP($Q746,'Threshold Summary'!$Y:$Y,'Threshold Summary'!$L:$L,""))/100)+5)*XLOOKUP(XLOOKUP($Q746,'Threshold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Editor'!$E:$E,1))),stab,IF(OR(mtype=XLOOKUP(XLOOKUP($Q746,'Threshold Summary'!$Y:$Y,'Threshold Summary'!$K:$K,""),'Pokemon Editor'!$A:$A,'Pokemon Editor'!$C:$C,""),mtype=XLOOKUP(XLOOKUP($Q746,'Threshold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Chart'!$B$1:$S$1,0)))),base,IF(OR(cat="Status",pow=0),0,FLOOR(FLOOR(FLOOR((2*XLOOKUP($Q746,'Threshold Summary'!$Y:$Y,'Threshold Summary'!$L:$L,"")/5+2)*pow*atk/def)/50)+2)),modifier,stab*eff,AVERAGE(ARRAYFORMULA(FLOOR(base*modifier*SEQUENCE(16,1,85,1)/100)))*MIN(1,acc/100)),0)</f>
        <v/>
      </c>
      <c r="N746" s="4">
        <f>IFERROR(LET(mtype,XLOOKUP($D746,'Move Editor'!$B:$B,'Move Editor'!$C:$C,""),cat,XLOOKUP($D746,'Move Editor'!$B:$B,'Move Editor'!$D:$D,""),pow,XLOOKUP($D746,'Move Editor'!$B:$B,'Move Editor'!$E:$E,0),acc,XLOOKUP($D746,'Move Editor'!$B:$B,'Move Editor'!$F:$F,100),atk,IF(cat="Physical",FLOOR((FLOOR(((2*XLOOKUP(XLOOKUP($Q746,'Threshold Summary'!$Y:$Y,'Threshold Summary'!$K:$K,""),'Pokemon Editor'!$A:$A,'Pokemon Editor'!$F:$F,0)+31+FLOOR(XLOOKUP($Q746,'Threshold Summary'!$Y:$Y,'Threshold Summary'!$P:$P,"")/4))*XLOOKUP($Q746,'Threshold Summary'!$Y:$Y,'Threshold Summary'!$L:$L,""))/100)+5)*XLOOKUP(XLOOKUP($Q746,'Threshold Summary'!$Y:$Y,'Threshold Summary'!$M:$M,""),'Nature Editor'!$A:$A,'Nature Editor'!$B:$B,1)),FLOOR((FLOOR(((2*XLOOKUP(XLOOKUP($Q746,'Threshold Summary'!$Y:$Y,'Threshold Summary'!$K:$K,""),'Pokemon Editor'!$A:$A,'Pokemon Editor'!$H:$H,0)+31+FLOOR(XLOOKUP($Q746,'Threshold Summary'!$Y:$Y,'Threshold Summary'!$R:$R,"")/4))*XLOOKUP($Q746,'Threshold Summary'!$Y:$Y,'Threshold Summary'!$L:$L,""))/100)+5)*XLOOKUP(XLOOKUP($Q746,'Threshold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Editor'!$E:$E,1))),stab,IF(OR(mtype=XLOOKUP(XLOOKUP($Q746,'Threshold Summary'!$Y:$Y,'Threshold Summary'!$K:$K,""),'Pokemon Editor'!$A:$A,'Pokemon Editor'!$C:$C,""),mtype=XLOOKUP(XLOOKUP($Q746,'Threshold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Chart'!$B$1:$S$1,0)))),base,IF(OR(cat="Status",pow=0),0,FLOOR(FLOOR(FLOOR((2*XLOOKUP($Q746,'Threshold Summary'!$Y:$Y,'Threshold Summary'!$L:$L,"")/5+2)*pow*atk/def)/50)+2)),modifier,stab*eff,AVERAGE(ARRAYFORMULA(FLOOR(base*modifier*SEQUENCE(16,1,85,1)/100)))/(FLOOR(((2*XLOOKUP('Boss Editor'!$C$4,'Pokemon Editor'!$A:$A,'Pokemon Editor'!$E:$E,0)+31+FLOOR('Boss Editor'!$G$4/4))*'Boss Editor'!$D$4)/100)+'Boss Editor'!$D$4+10)),0)</f>
        <v/>
      </c>
      <c r="O746" s="3">
        <f>IF(N746&gt;=1,"OHKO",IF(N746&gt;=0.5,"2HKO",IF(N746&gt;=0.333,"3HKO",IF(N746&gt;=0.25,"4HKO","5HKO+"))))</f>
        <v/>
      </c>
      <c r="P746" s="3" t="inlineStr">
        <is>
          <t>Live from editable databases</t>
        </is>
      </c>
      <c r="Q746" s="3" t="inlineStr">
        <is>
          <t>SPECIES_STUFFUL</t>
        </is>
      </c>
      <c r="R746" s="3" t="n">
        <v>9</v>
      </c>
    </row>
    <row r="747">
      <c r="A747" s="3">
        <f>XLOOKUP($Q747,'Threshold Summary'!$Y:$Y,'Threshold Summary'!$A:$A,"")</f>
        <v/>
      </c>
      <c r="B747" s="3">
        <f>XLOOKUP($Q747,'Threshold Summary'!$Y:$Y,'Threshold Summary'!$M:$M,"")</f>
        <v/>
      </c>
      <c r="C747" s="3">
        <f>XLOOKUP($Q747,'Threshold Summary'!$Y:$Y,'Threshold Summary'!$N:$N,"")</f>
        <v/>
      </c>
      <c r="D747" s="3">
        <f>IFERROR(INDEX(FILTER('Learnset Editor'!$D$2:$D,'Learnset Editor'!$A$2:$A=XLOOKUP($Q747,'Threshold Summary'!$Y:$Y,'Threshold Summary'!$K:$K,""),'Learnset Editor'!$C$2:$C&lt;=XLOOKUP($Q747,'Threshold Summary'!$Y:$Y,'Threshold Summary'!$L:$L,"")),$R747),"")</f>
        <v/>
      </c>
      <c r="E747" s="3">
        <f>XLOOKUP(D747,'Move Editor'!$B:$B,'Move Editor'!$C:$C,"")</f>
        <v/>
      </c>
      <c r="F747" s="3">
        <f>XLOOKUP(D747,'Move Editor'!$B:$B,'Move Editor'!$D:$D,"")</f>
        <v/>
      </c>
      <c r="G747" s="3">
        <f>XLOOKUP(D747,'Move Editor'!$B:$B,'Move Editor'!$E:$E,0)</f>
        <v/>
      </c>
      <c r="H747" s="3">
        <f>XLOOKUP(D747,'Move Editor'!$B:$B,'Move Editor'!$F:$F,0)</f>
        <v/>
      </c>
      <c r="I747" s="3">
        <f>(INDEX('Type Chart'!$B:$S,MATCH(E747,'Type Chart'!$A:$A,0),MATCH(XLOOKUP('Boss Editor'!$C$4,'Pokemon Editor'!$A:$A,'Pokemon Editor'!$C:$C,""),'Type Chart'!$B$1:$S$1,0))*IF(XLOOKUP('Boss Editor'!$C$4,'Pokemon Editor'!$A:$A,'Pokemon Editor'!$D:$D,"")="",1,INDEX('Type Chart'!$B:$S,MATCH(E747,'Type Chart'!$A:$A,0),MATCH(XLOOKUP('Boss Editor'!$C$4,'Pokemon Editor'!$A:$A,'Pokemon Editor'!$D:$D,""),'Type Chart'!$B$1:$S$1,0))))</f>
        <v/>
      </c>
      <c r="J747" s="3">
        <f>IFERROR(LET(mtype,XLOOKUP($D747,'Move Editor'!$B:$B,'Move Editor'!$C:$C,""),cat,XLOOKUP($D747,'Move Editor'!$B:$B,'Move Editor'!$D:$D,""),pow,XLOOKUP($D747,'Move Editor'!$B:$B,'Move Editor'!$E:$E,0),acc,XLOOKUP($D747,'Move Editor'!$B:$B,'Move Editor'!$F:$F,100),atk,IF(cat="Physical",FLOOR((FLOOR(((2*XLOOKUP(XLOOKUP($Q747,'Threshold Summary'!$Y:$Y,'Threshold Summary'!$K:$K,""),'Pokemon Editor'!$A:$A,'Pokemon Editor'!$F:$F,0)+31+FLOOR(XLOOKUP($Q747,'Threshold Summary'!$Y:$Y,'Threshold Summary'!$P:$P,"")/4))*XLOOKUP($Q747,'Threshold Summary'!$Y:$Y,'Threshold Summary'!$L:$L,""))/100)+5)*XLOOKUP(XLOOKUP($Q747,'Threshold Summary'!$Y:$Y,'Threshold Summary'!$M:$M,""),'Nature Editor'!$A:$A,'Nature Editor'!$B:$B,1)),FLOOR((FLOOR(((2*XLOOKUP(XLOOKUP($Q747,'Threshold Summary'!$Y:$Y,'Threshold Summary'!$K:$K,""),'Pokemon Editor'!$A:$A,'Pokemon Editor'!$H:$H,0)+31+FLOOR(XLOOKUP($Q747,'Threshold Summary'!$Y:$Y,'Threshold Summary'!$R:$R,"")/4))*XLOOKUP($Q747,'Threshold Summary'!$Y:$Y,'Threshold Summary'!$L:$L,""))/100)+5)*XLOOKUP(XLOOKUP($Q747,'Threshold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Editor'!$E:$E,1))),stab,IF(OR(mtype=XLOOKUP(XLOOKUP($Q747,'Threshold Summary'!$Y:$Y,'Threshold Summary'!$K:$K,""),'Pokemon Editor'!$A:$A,'Pokemon Editor'!$C:$C,""),mtype=XLOOKUP(XLOOKUP($Q747,'Threshold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Chart'!$B$1:$S$1,0)))),base,IF(OR(cat="Status",pow=0),0,FLOOR(FLOOR(FLOOR((2*XLOOKUP($Q747,'Threshold Summary'!$Y:$Y,'Threshold Summary'!$L:$L,"")/5+2)*pow*atk/def)/50)+2)),modifier,stab*eff,FLOOR(base*modifier*0.85)),0)</f>
        <v/>
      </c>
      <c r="K747" s="3">
        <f>IFERROR(LET(mtype,XLOOKUP($D747,'Move Editor'!$B:$B,'Move Editor'!$C:$C,""),cat,XLOOKUP($D747,'Move Editor'!$B:$B,'Move Editor'!$D:$D,""),pow,XLOOKUP($D747,'Move Editor'!$B:$B,'Move Editor'!$E:$E,0),acc,XLOOKUP($D747,'Move Editor'!$B:$B,'Move Editor'!$F:$F,100),atk,IF(cat="Physical",FLOOR((FLOOR(((2*XLOOKUP(XLOOKUP($Q747,'Threshold Summary'!$Y:$Y,'Threshold Summary'!$K:$K,""),'Pokemon Editor'!$A:$A,'Pokemon Editor'!$F:$F,0)+31+FLOOR(XLOOKUP($Q747,'Threshold Summary'!$Y:$Y,'Threshold Summary'!$P:$P,"")/4))*XLOOKUP($Q747,'Threshold Summary'!$Y:$Y,'Threshold Summary'!$L:$L,""))/100)+5)*XLOOKUP(XLOOKUP($Q747,'Threshold Summary'!$Y:$Y,'Threshold Summary'!$M:$M,""),'Nature Editor'!$A:$A,'Nature Editor'!$B:$B,1)),FLOOR((FLOOR(((2*XLOOKUP(XLOOKUP($Q747,'Threshold Summary'!$Y:$Y,'Threshold Summary'!$K:$K,""),'Pokemon Editor'!$A:$A,'Pokemon Editor'!$H:$H,0)+31+FLOOR(XLOOKUP($Q747,'Threshold Summary'!$Y:$Y,'Threshold Summary'!$R:$R,"")/4))*XLOOKUP($Q747,'Threshold Summary'!$Y:$Y,'Threshold Summary'!$L:$L,""))/100)+5)*XLOOKUP(XLOOKUP($Q747,'Threshold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Editor'!$E:$E,1))),stab,IF(OR(mtype=XLOOKUP(XLOOKUP($Q747,'Threshold Summary'!$Y:$Y,'Threshold Summary'!$K:$K,""),'Pokemon Editor'!$A:$A,'Pokemon Editor'!$C:$C,""),mtype=XLOOKUP(XLOOKUP($Q747,'Threshold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Chart'!$B$1:$S$1,0)))),base,IF(OR(cat="Status",pow=0),0,FLOOR(FLOOR(FLOOR((2*XLOOKUP($Q747,'Threshold Summary'!$Y:$Y,'Threshold Summary'!$L:$L,"")/5+2)*pow*atk/def)/50)+2)),modifier,stab*eff,FLOOR(base*modifier)),0)</f>
        <v/>
      </c>
      <c r="L747" s="3">
        <f>IFERROR(LET(mtype,XLOOKUP($D747,'Move Editor'!$B:$B,'Move Editor'!$C:$C,""),cat,XLOOKUP($D747,'Move Editor'!$B:$B,'Move Editor'!$D:$D,""),pow,XLOOKUP($D747,'Move Editor'!$B:$B,'Move Editor'!$E:$E,0),acc,XLOOKUP($D747,'Move Editor'!$B:$B,'Move Editor'!$F:$F,100),atk,IF(cat="Physical",FLOOR((FLOOR(((2*XLOOKUP(XLOOKUP($Q747,'Threshold Summary'!$Y:$Y,'Threshold Summary'!$K:$K,""),'Pokemon Editor'!$A:$A,'Pokemon Editor'!$F:$F,0)+31+FLOOR(XLOOKUP($Q747,'Threshold Summary'!$Y:$Y,'Threshold Summary'!$P:$P,"")/4))*XLOOKUP($Q747,'Threshold Summary'!$Y:$Y,'Threshold Summary'!$L:$L,""))/100)+5)*XLOOKUP(XLOOKUP($Q747,'Threshold Summary'!$Y:$Y,'Threshold Summary'!$M:$M,""),'Nature Editor'!$A:$A,'Nature Editor'!$B:$B,1)),FLOOR((FLOOR(((2*XLOOKUP(XLOOKUP($Q747,'Threshold Summary'!$Y:$Y,'Threshold Summary'!$K:$K,""),'Pokemon Editor'!$A:$A,'Pokemon Editor'!$H:$H,0)+31+FLOOR(XLOOKUP($Q747,'Threshold Summary'!$Y:$Y,'Threshold Summary'!$R:$R,"")/4))*XLOOKUP($Q747,'Threshold Summary'!$Y:$Y,'Threshold Summary'!$L:$L,""))/100)+5)*XLOOKUP(XLOOKUP($Q747,'Threshold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Editor'!$E:$E,1))),stab,IF(OR(mtype=XLOOKUP(XLOOKUP($Q747,'Threshold Summary'!$Y:$Y,'Threshold Summary'!$K:$K,""),'Pokemon Editor'!$A:$A,'Pokemon Editor'!$C:$C,""),mtype=XLOOKUP(XLOOKUP($Q747,'Threshold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Chart'!$B$1:$S$1,0)))),base,IF(OR(cat="Status",pow=0),0,FLOOR(FLOOR(FLOOR((2*XLOOKUP($Q747,'Threshold Summary'!$Y:$Y,'Threshold Summary'!$L:$L,"")/5+2)*pow*atk/def)/50)+2)),modifier,stab*eff,AVERAGE(ARRAYFORMULA(FLOOR(base*modifier*SEQUENCE(16,1,85,1)/100)))),0)</f>
        <v/>
      </c>
      <c r="M747" s="3">
        <f>IFERROR(LET(mtype,XLOOKUP($D747,'Move Editor'!$B:$B,'Move Editor'!$C:$C,""),cat,XLOOKUP($D747,'Move Editor'!$B:$B,'Move Editor'!$D:$D,""),pow,XLOOKUP($D747,'Move Editor'!$B:$B,'Move Editor'!$E:$E,0),acc,XLOOKUP($D747,'Move Editor'!$B:$B,'Move Editor'!$F:$F,100),atk,IF(cat="Physical",FLOOR((FLOOR(((2*XLOOKUP(XLOOKUP($Q747,'Threshold Summary'!$Y:$Y,'Threshold Summary'!$K:$K,""),'Pokemon Editor'!$A:$A,'Pokemon Editor'!$F:$F,0)+31+FLOOR(XLOOKUP($Q747,'Threshold Summary'!$Y:$Y,'Threshold Summary'!$P:$P,"")/4))*XLOOKUP($Q747,'Threshold Summary'!$Y:$Y,'Threshold Summary'!$L:$L,""))/100)+5)*XLOOKUP(XLOOKUP($Q747,'Threshold Summary'!$Y:$Y,'Threshold Summary'!$M:$M,""),'Nature Editor'!$A:$A,'Nature Editor'!$B:$B,1)),FLOOR((FLOOR(((2*XLOOKUP(XLOOKUP($Q747,'Threshold Summary'!$Y:$Y,'Threshold Summary'!$K:$K,""),'Pokemon Editor'!$A:$A,'Pokemon Editor'!$H:$H,0)+31+FLOOR(XLOOKUP($Q747,'Threshold Summary'!$Y:$Y,'Threshold Summary'!$R:$R,"")/4))*XLOOKUP($Q747,'Threshold Summary'!$Y:$Y,'Threshold Summary'!$L:$L,""))/100)+5)*XLOOKUP(XLOOKUP($Q747,'Threshold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Editor'!$E:$E,1))),stab,IF(OR(mtype=XLOOKUP(XLOOKUP($Q747,'Threshold Summary'!$Y:$Y,'Threshold Summary'!$K:$K,""),'Pokemon Editor'!$A:$A,'Pokemon Editor'!$C:$C,""),mtype=XLOOKUP(XLOOKUP($Q747,'Threshold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Chart'!$B$1:$S$1,0)))),base,IF(OR(cat="Status",pow=0),0,FLOOR(FLOOR(FLOOR((2*XLOOKUP($Q747,'Threshold Summary'!$Y:$Y,'Threshold Summary'!$L:$L,"")/5+2)*pow*atk/def)/50)+2)),modifier,stab*eff,AVERAGE(ARRAYFORMULA(FLOOR(base*modifier*SEQUENCE(16,1,85,1)/100)))*MIN(1,acc/100)),0)</f>
        <v/>
      </c>
      <c r="N747" s="4">
        <f>IFERROR(LET(mtype,XLOOKUP($D747,'Move Editor'!$B:$B,'Move Editor'!$C:$C,""),cat,XLOOKUP($D747,'Move Editor'!$B:$B,'Move Editor'!$D:$D,""),pow,XLOOKUP($D747,'Move Editor'!$B:$B,'Move Editor'!$E:$E,0),acc,XLOOKUP($D747,'Move Editor'!$B:$B,'Move Editor'!$F:$F,100),atk,IF(cat="Physical",FLOOR((FLOOR(((2*XLOOKUP(XLOOKUP($Q747,'Threshold Summary'!$Y:$Y,'Threshold Summary'!$K:$K,""),'Pokemon Editor'!$A:$A,'Pokemon Editor'!$F:$F,0)+31+FLOOR(XLOOKUP($Q747,'Threshold Summary'!$Y:$Y,'Threshold Summary'!$P:$P,"")/4))*XLOOKUP($Q747,'Threshold Summary'!$Y:$Y,'Threshold Summary'!$L:$L,""))/100)+5)*XLOOKUP(XLOOKUP($Q747,'Threshold Summary'!$Y:$Y,'Threshold Summary'!$M:$M,""),'Nature Editor'!$A:$A,'Nature Editor'!$B:$B,1)),FLOOR((FLOOR(((2*XLOOKUP(XLOOKUP($Q747,'Threshold Summary'!$Y:$Y,'Threshold Summary'!$K:$K,""),'Pokemon Editor'!$A:$A,'Pokemon Editor'!$H:$H,0)+31+FLOOR(XLOOKUP($Q747,'Threshold Summary'!$Y:$Y,'Threshold Summary'!$R:$R,"")/4))*XLOOKUP($Q747,'Threshold Summary'!$Y:$Y,'Threshold Summary'!$L:$L,""))/100)+5)*XLOOKUP(XLOOKUP($Q747,'Threshold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Editor'!$E:$E,1))),stab,IF(OR(mtype=XLOOKUP(XLOOKUP($Q747,'Threshold Summary'!$Y:$Y,'Threshold Summary'!$K:$K,""),'Pokemon Editor'!$A:$A,'Pokemon Editor'!$C:$C,""),mtype=XLOOKUP(XLOOKUP($Q747,'Threshold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Chart'!$B$1:$S$1,0)))),base,IF(OR(cat="Status",pow=0),0,FLOOR(FLOOR(FLOOR((2*XLOOKUP($Q747,'Threshold Summary'!$Y:$Y,'Threshold Summary'!$L:$L,"")/5+2)*pow*atk/def)/50)+2)),modifier,stab*eff,AVERAGE(ARRAYFORMULA(FLOOR(base*modifier*SEQUENCE(16,1,85,1)/100)))/(FLOOR(((2*XLOOKUP('Boss Editor'!$C$4,'Pokemon Editor'!$A:$A,'Pokemon Editor'!$E:$E,0)+31+FLOOR('Boss Editor'!$G$4/4))*'Boss Editor'!$D$4)/100)+'Boss Editor'!$D$4+10)),0)</f>
        <v/>
      </c>
      <c r="O747" s="3">
        <f>IF(N747&gt;=1,"OHKO",IF(N747&gt;=0.5,"2HKO",IF(N747&gt;=0.333,"3HKO",IF(N747&gt;=0.25,"4HKO","5HKO+"))))</f>
        <v/>
      </c>
      <c r="P747" s="3" t="inlineStr">
        <is>
          <t>Live from editable databases</t>
        </is>
      </c>
      <c r="Q747" s="3" t="inlineStr">
        <is>
          <t>SPECIES_STUFFUL</t>
        </is>
      </c>
      <c r="R747" s="3" t="n">
        <v>10</v>
      </c>
    </row>
    <row r="748">
      <c r="A748" s="3">
        <f>XLOOKUP($Q748,'Threshold Summary'!$Y:$Y,'Threshold Summary'!$A:$A,"")</f>
        <v/>
      </c>
      <c r="B748" s="3">
        <f>XLOOKUP($Q748,'Threshold Summary'!$Y:$Y,'Threshold Summary'!$M:$M,"")</f>
        <v/>
      </c>
      <c r="C748" s="3">
        <f>XLOOKUP($Q748,'Threshold Summary'!$Y:$Y,'Threshold Summary'!$N:$N,"")</f>
        <v/>
      </c>
      <c r="D748" s="3">
        <f>IFERROR(INDEX(FILTER('Learnset Editor'!$D$2:$D,'Learnset Editor'!$A$2:$A=XLOOKUP($Q748,'Threshold Summary'!$Y:$Y,'Threshold Summary'!$K:$K,""),'Learnset Editor'!$C$2:$C&lt;=XLOOKUP($Q748,'Threshold Summary'!$Y:$Y,'Threshold Summary'!$L:$L,"")),$R748),"")</f>
        <v/>
      </c>
      <c r="E748" s="3">
        <f>XLOOKUP(D748,'Move Editor'!$B:$B,'Move Editor'!$C:$C,"")</f>
        <v/>
      </c>
      <c r="F748" s="3">
        <f>XLOOKUP(D748,'Move Editor'!$B:$B,'Move Editor'!$D:$D,"")</f>
        <v/>
      </c>
      <c r="G748" s="3">
        <f>XLOOKUP(D748,'Move Editor'!$B:$B,'Move Editor'!$E:$E,0)</f>
        <v/>
      </c>
      <c r="H748" s="3">
        <f>XLOOKUP(D748,'Move Editor'!$B:$B,'Move Editor'!$F:$F,0)</f>
        <v/>
      </c>
      <c r="I748" s="3">
        <f>(INDEX('Type Chart'!$B:$S,MATCH(E748,'Type Chart'!$A:$A,0),MATCH(XLOOKUP('Boss Editor'!$C$4,'Pokemon Editor'!$A:$A,'Pokemon Editor'!$C:$C,""),'Type Chart'!$B$1:$S$1,0))*IF(XLOOKUP('Boss Editor'!$C$4,'Pokemon Editor'!$A:$A,'Pokemon Editor'!$D:$D,"")="",1,INDEX('Type Chart'!$B:$S,MATCH(E748,'Type Chart'!$A:$A,0),MATCH(XLOOKUP('Boss Editor'!$C$4,'Pokemon Editor'!$A:$A,'Pokemon Editor'!$D:$D,""),'Type Chart'!$B$1:$S$1,0))))</f>
        <v/>
      </c>
      <c r="J748" s="3">
        <f>IFERROR(LET(mtype,XLOOKUP($D748,'Move Editor'!$B:$B,'Move Editor'!$C:$C,""),cat,XLOOKUP($D748,'Move Editor'!$B:$B,'Move Editor'!$D:$D,""),pow,XLOOKUP($D748,'Move Editor'!$B:$B,'Move Editor'!$E:$E,0),acc,XLOOKUP($D748,'Move Editor'!$B:$B,'Move Editor'!$F:$F,100),atk,IF(cat="Physical",FLOOR((FLOOR(((2*XLOOKUP(XLOOKUP($Q748,'Threshold Summary'!$Y:$Y,'Threshold Summary'!$K:$K,""),'Pokemon Editor'!$A:$A,'Pokemon Editor'!$F:$F,0)+31+FLOOR(XLOOKUP($Q748,'Threshold Summary'!$Y:$Y,'Threshold Summary'!$P:$P,"")/4))*XLOOKUP($Q748,'Threshold Summary'!$Y:$Y,'Threshold Summary'!$L:$L,""))/100)+5)*XLOOKUP(XLOOKUP($Q748,'Threshold Summary'!$Y:$Y,'Threshold Summary'!$M:$M,""),'Nature Editor'!$A:$A,'Nature Editor'!$B:$B,1)),FLOOR((FLOOR(((2*XLOOKUP(XLOOKUP($Q748,'Threshold Summary'!$Y:$Y,'Threshold Summary'!$K:$K,""),'Pokemon Editor'!$A:$A,'Pokemon Editor'!$H:$H,0)+31+FLOOR(XLOOKUP($Q748,'Threshold Summary'!$Y:$Y,'Threshold Summary'!$R:$R,"")/4))*XLOOKUP($Q748,'Threshold Summary'!$Y:$Y,'Threshold Summary'!$L:$L,""))/100)+5)*XLOOKUP(XLOOKUP($Q748,'Threshold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Editor'!$E:$E,1))),stab,IF(OR(mtype=XLOOKUP(XLOOKUP($Q748,'Threshold Summary'!$Y:$Y,'Threshold Summary'!$K:$K,""),'Pokemon Editor'!$A:$A,'Pokemon Editor'!$C:$C,""),mtype=XLOOKUP(XLOOKUP($Q748,'Threshold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Chart'!$B$1:$S$1,0)))),base,IF(OR(cat="Status",pow=0),0,FLOOR(FLOOR(FLOOR((2*XLOOKUP($Q748,'Threshold Summary'!$Y:$Y,'Threshold Summary'!$L:$L,"")/5+2)*pow*atk/def)/50)+2)),modifier,stab*eff,FLOOR(base*modifier*0.85)),0)</f>
        <v/>
      </c>
      <c r="K748" s="3">
        <f>IFERROR(LET(mtype,XLOOKUP($D748,'Move Editor'!$B:$B,'Move Editor'!$C:$C,""),cat,XLOOKUP($D748,'Move Editor'!$B:$B,'Move Editor'!$D:$D,""),pow,XLOOKUP($D748,'Move Editor'!$B:$B,'Move Editor'!$E:$E,0),acc,XLOOKUP($D748,'Move Editor'!$B:$B,'Move Editor'!$F:$F,100),atk,IF(cat="Physical",FLOOR((FLOOR(((2*XLOOKUP(XLOOKUP($Q748,'Threshold Summary'!$Y:$Y,'Threshold Summary'!$K:$K,""),'Pokemon Editor'!$A:$A,'Pokemon Editor'!$F:$F,0)+31+FLOOR(XLOOKUP($Q748,'Threshold Summary'!$Y:$Y,'Threshold Summary'!$P:$P,"")/4))*XLOOKUP($Q748,'Threshold Summary'!$Y:$Y,'Threshold Summary'!$L:$L,""))/100)+5)*XLOOKUP(XLOOKUP($Q748,'Threshold Summary'!$Y:$Y,'Threshold Summary'!$M:$M,""),'Nature Editor'!$A:$A,'Nature Editor'!$B:$B,1)),FLOOR((FLOOR(((2*XLOOKUP(XLOOKUP($Q748,'Threshold Summary'!$Y:$Y,'Threshold Summary'!$K:$K,""),'Pokemon Editor'!$A:$A,'Pokemon Editor'!$H:$H,0)+31+FLOOR(XLOOKUP($Q748,'Threshold Summary'!$Y:$Y,'Threshold Summary'!$R:$R,"")/4))*XLOOKUP($Q748,'Threshold Summary'!$Y:$Y,'Threshold Summary'!$L:$L,""))/100)+5)*XLOOKUP(XLOOKUP($Q748,'Threshold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Editor'!$E:$E,1))),stab,IF(OR(mtype=XLOOKUP(XLOOKUP($Q748,'Threshold Summary'!$Y:$Y,'Threshold Summary'!$K:$K,""),'Pokemon Editor'!$A:$A,'Pokemon Editor'!$C:$C,""),mtype=XLOOKUP(XLOOKUP($Q748,'Threshold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Chart'!$B$1:$S$1,0)))),base,IF(OR(cat="Status",pow=0),0,FLOOR(FLOOR(FLOOR((2*XLOOKUP($Q748,'Threshold Summary'!$Y:$Y,'Threshold Summary'!$L:$L,"")/5+2)*pow*atk/def)/50)+2)),modifier,stab*eff,FLOOR(base*modifier)),0)</f>
        <v/>
      </c>
      <c r="L748" s="3">
        <f>IFERROR(LET(mtype,XLOOKUP($D748,'Move Editor'!$B:$B,'Move Editor'!$C:$C,""),cat,XLOOKUP($D748,'Move Editor'!$B:$B,'Move Editor'!$D:$D,""),pow,XLOOKUP($D748,'Move Editor'!$B:$B,'Move Editor'!$E:$E,0),acc,XLOOKUP($D748,'Move Editor'!$B:$B,'Move Editor'!$F:$F,100),atk,IF(cat="Physical",FLOOR((FLOOR(((2*XLOOKUP(XLOOKUP($Q748,'Threshold Summary'!$Y:$Y,'Threshold Summary'!$K:$K,""),'Pokemon Editor'!$A:$A,'Pokemon Editor'!$F:$F,0)+31+FLOOR(XLOOKUP($Q748,'Threshold Summary'!$Y:$Y,'Threshold Summary'!$P:$P,"")/4))*XLOOKUP($Q748,'Threshold Summary'!$Y:$Y,'Threshold Summary'!$L:$L,""))/100)+5)*XLOOKUP(XLOOKUP($Q748,'Threshold Summary'!$Y:$Y,'Threshold Summary'!$M:$M,""),'Nature Editor'!$A:$A,'Nature Editor'!$B:$B,1)),FLOOR((FLOOR(((2*XLOOKUP(XLOOKUP($Q748,'Threshold Summary'!$Y:$Y,'Threshold Summary'!$K:$K,""),'Pokemon Editor'!$A:$A,'Pokemon Editor'!$H:$H,0)+31+FLOOR(XLOOKUP($Q748,'Threshold Summary'!$Y:$Y,'Threshold Summary'!$R:$R,"")/4))*XLOOKUP($Q748,'Threshold Summary'!$Y:$Y,'Threshold Summary'!$L:$L,""))/100)+5)*XLOOKUP(XLOOKUP($Q748,'Threshold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Editor'!$E:$E,1))),stab,IF(OR(mtype=XLOOKUP(XLOOKUP($Q748,'Threshold Summary'!$Y:$Y,'Threshold Summary'!$K:$K,""),'Pokemon Editor'!$A:$A,'Pokemon Editor'!$C:$C,""),mtype=XLOOKUP(XLOOKUP($Q748,'Threshold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Chart'!$B$1:$S$1,0)))),base,IF(OR(cat="Status",pow=0),0,FLOOR(FLOOR(FLOOR((2*XLOOKUP($Q748,'Threshold Summary'!$Y:$Y,'Threshold Summary'!$L:$L,"")/5+2)*pow*atk/def)/50)+2)),modifier,stab*eff,AVERAGE(ARRAYFORMULA(FLOOR(base*modifier*SEQUENCE(16,1,85,1)/100)))),0)</f>
        <v/>
      </c>
      <c r="M748" s="3">
        <f>IFERROR(LET(mtype,XLOOKUP($D748,'Move Editor'!$B:$B,'Move Editor'!$C:$C,""),cat,XLOOKUP($D748,'Move Editor'!$B:$B,'Move Editor'!$D:$D,""),pow,XLOOKUP($D748,'Move Editor'!$B:$B,'Move Editor'!$E:$E,0),acc,XLOOKUP($D748,'Move Editor'!$B:$B,'Move Editor'!$F:$F,100),atk,IF(cat="Physical",FLOOR((FLOOR(((2*XLOOKUP(XLOOKUP($Q748,'Threshold Summary'!$Y:$Y,'Threshold Summary'!$K:$K,""),'Pokemon Editor'!$A:$A,'Pokemon Editor'!$F:$F,0)+31+FLOOR(XLOOKUP($Q748,'Threshold Summary'!$Y:$Y,'Threshold Summary'!$P:$P,"")/4))*XLOOKUP($Q748,'Threshold Summary'!$Y:$Y,'Threshold Summary'!$L:$L,""))/100)+5)*XLOOKUP(XLOOKUP($Q748,'Threshold Summary'!$Y:$Y,'Threshold Summary'!$M:$M,""),'Nature Editor'!$A:$A,'Nature Editor'!$B:$B,1)),FLOOR((FLOOR(((2*XLOOKUP(XLOOKUP($Q748,'Threshold Summary'!$Y:$Y,'Threshold Summary'!$K:$K,""),'Pokemon Editor'!$A:$A,'Pokemon Editor'!$H:$H,0)+31+FLOOR(XLOOKUP($Q748,'Threshold Summary'!$Y:$Y,'Threshold Summary'!$R:$R,"")/4))*XLOOKUP($Q748,'Threshold Summary'!$Y:$Y,'Threshold Summary'!$L:$L,""))/100)+5)*XLOOKUP(XLOOKUP($Q748,'Threshold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Editor'!$E:$E,1))),stab,IF(OR(mtype=XLOOKUP(XLOOKUP($Q748,'Threshold Summary'!$Y:$Y,'Threshold Summary'!$K:$K,""),'Pokemon Editor'!$A:$A,'Pokemon Editor'!$C:$C,""),mtype=XLOOKUP(XLOOKUP($Q748,'Threshold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Chart'!$B$1:$S$1,0)))),base,IF(OR(cat="Status",pow=0),0,FLOOR(FLOOR(FLOOR((2*XLOOKUP($Q748,'Threshold Summary'!$Y:$Y,'Threshold Summary'!$L:$L,"")/5+2)*pow*atk/def)/50)+2)),modifier,stab*eff,AVERAGE(ARRAYFORMULA(FLOOR(base*modifier*SEQUENCE(16,1,85,1)/100)))*MIN(1,acc/100)),0)</f>
        <v/>
      </c>
      <c r="N748" s="4">
        <f>IFERROR(LET(mtype,XLOOKUP($D748,'Move Editor'!$B:$B,'Move Editor'!$C:$C,""),cat,XLOOKUP($D748,'Move Editor'!$B:$B,'Move Editor'!$D:$D,""),pow,XLOOKUP($D748,'Move Editor'!$B:$B,'Move Editor'!$E:$E,0),acc,XLOOKUP($D748,'Move Editor'!$B:$B,'Move Editor'!$F:$F,100),atk,IF(cat="Physical",FLOOR((FLOOR(((2*XLOOKUP(XLOOKUP($Q748,'Threshold Summary'!$Y:$Y,'Threshold Summary'!$K:$K,""),'Pokemon Editor'!$A:$A,'Pokemon Editor'!$F:$F,0)+31+FLOOR(XLOOKUP($Q748,'Threshold Summary'!$Y:$Y,'Threshold Summary'!$P:$P,"")/4))*XLOOKUP($Q748,'Threshold Summary'!$Y:$Y,'Threshold Summary'!$L:$L,""))/100)+5)*XLOOKUP(XLOOKUP($Q748,'Threshold Summary'!$Y:$Y,'Threshold Summary'!$M:$M,""),'Nature Editor'!$A:$A,'Nature Editor'!$B:$B,1)),FLOOR((FLOOR(((2*XLOOKUP(XLOOKUP($Q748,'Threshold Summary'!$Y:$Y,'Threshold Summary'!$K:$K,""),'Pokemon Editor'!$A:$A,'Pokemon Editor'!$H:$H,0)+31+FLOOR(XLOOKUP($Q748,'Threshold Summary'!$Y:$Y,'Threshold Summary'!$R:$R,"")/4))*XLOOKUP($Q748,'Threshold Summary'!$Y:$Y,'Threshold Summary'!$L:$L,""))/100)+5)*XLOOKUP(XLOOKUP($Q748,'Threshold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Editor'!$E:$E,1))),stab,IF(OR(mtype=XLOOKUP(XLOOKUP($Q748,'Threshold Summary'!$Y:$Y,'Threshold Summary'!$K:$K,""),'Pokemon Editor'!$A:$A,'Pokemon Editor'!$C:$C,""),mtype=XLOOKUP(XLOOKUP($Q748,'Threshold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Chart'!$B$1:$S$1,0)))),base,IF(OR(cat="Status",pow=0),0,FLOOR(FLOOR(FLOOR((2*XLOOKUP($Q748,'Threshold Summary'!$Y:$Y,'Threshold Summary'!$L:$L,"")/5+2)*pow*atk/def)/50)+2)),modifier,stab*eff,AVERAGE(ARRAYFORMULA(FLOOR(base*modifier*SEQUENCE(16,1,85,1)/100)))/(FLOOR(((2*XLOOKUP('Boss Editor'!$C$4,'Pokemon Editor'!$A:$A,'Pokemon Editor'!$E:$E,0)+31+FLOOR('Boss Editor'!$G$4/4))*'Boss Editor'!$D$4)/100)+'Boss Editor'!$D$4+10)),0)</f>
        <v/>
      </c>
      <c r="O748" s="3">
        <f>IF(N748&gt;=1,"OHKO",IF(N748&gt;=0.5,"2HKO",IF(N748&gt;=0.333,"3HKO",IF(N748&gt;=0.25,"4HKO","5HKO+"))))</f>
        <v/>
      </c>
      <c r="P748" s="3" t="inlineStr">
        <is>
          <t>Live from editable databases</t>
        </is>
      </c>
      <c r="Q748" s="3" t="inlineStr">
        <is>
          <t>SPECIES_STUFFUL</t>
        </is>
      </c>
      <c r="R748" s="3" t="n">
        <v>11</v>
      </c>
    </row>
    <row r="749">
      <c r="A749" s="3">
        <f>XLOOKUP($Q749,'Threshold Summary'!$Y:$Y,'Threshold Summary'!$A:$A,"")</f>
        <v/>
      </c>
      <c r="B749" s="3">
        <f>XLOOKUP($Q749,'Threshold Summary'!$Y:$Y,'Threshold Summary'!$M:$M,"")</f>
        <v/>
      </c>
      <c r="C749" s="3">
        <f>XLOOKUP($Q749,'Threshold Summary'!$Y:$Y,'Threshold Summary'!$N:$N,"")</f>
        <v/>
      </c>
      <c r="D749" s="3">
        <f>IFERROR(INDEX(FILTER('Learnset Editor'!$D$2:$D,'Learnset Editor'!$A$2:$A=XLOOKUP($Q749,'Threshold Summary'!$Y:$Y,'Threshold Summary'!$K:$K,""),'Learnset Editor'!$C$2:$C&lt;=XLOOKUP($Q749,'Threshold Summary'!$Y:$Y,'Threshold Summary'!$L:$L,"")),$R749),"")</f>
        <v/>
      </c>
      <c r="E749" s="3">
        <f>XLOOKUP(D749,'Move Editor'!$B:$B,'Move Editor'!$C:$C,"")</f>
        <v/>
      </c>
      <c r="F749" s="3">
        <f>XLOOKUP(D749,'Move Editor'!$B:$B,'Move Editor'!$D:$D,"")</f>
        <v/>
      </c>
      <c r="G749" s="3">
        <f>XLOOKUP(D749,'Move Editor'!$B:$B,'Move Editor'!$E:$E,0)</f>
        <v/>
      </c>
      <c r="H749" s="3">
        <f>XLOOKUP(D749,'Move Editor'!$B:$B,'Move Editor'!$F:$F,0)</f>
        <v/>
      </c>
      <c r="I749" s="3">
        <f>(INDEX('Type Chart'!$B:$S,MATCH(E749,'Type Chart'!$A:$A,0),MATCH(XLOOKUP('Boss Editor'!$C$4,'Pokemon Editor'!$A:$A,'Pokemon Editor'!$C:$C,""),'Type Chart'!$B$1:$S$1,0))*IF(XLOOKUP('Boss Editor'!$C$4,'Pokemon Editor'!$A:$A,'Pokemon Editor'!$D:$D,"")="",1,INDEX('Type Chart'!$B:$S,MATCH(E749,'Type Chart'!$A:$A,0),MATCH(XLOOKUP('Boss Editor'!$C$4,'Pokemon Editor'!$A:$A,'Pokemon Editor'!$D:$D,""),'Type Chart'!$B$1:$S$1,0))))</f>
        <v/>
      </c>
      <c r="J749" s="3">
        <f>IFERROR(LET(mtype,XLOOKUP($D749,'Move Editor'!$B:$B,'Move Editor'!$C:$C,""),cat,XLOOKUP($D749,'Move Editor'!$B:$B,'Move Editor'!$D:$D,""),pow,XLOOKUP($D749,'Move Editor'!$B:$B,'Move Editor'!$E:$E,0),acc,XLOOKUP($D749,'Move Editor'!$B:$B,'Move Editor'!$F:$F,100),atk,IF(cat="Physical",FLOOR((FLOOR(((2*XLOOKUP(XLOOKUP($Q749,'Threshold Summary'!$Y:$Y,'Threshold Summary'!$K:$K,""),'Pokemon Editor'!$A:$A,'Pokemon Editor'!$F:$F,0)+31+FLOOR(XLOOKUP($Q749,'Threshold Summary'!$Y:$Y,'Threshold Summary'!$P:$P,"")/4))*XLOOKUP($Q749,'Threshold Summary'!$Y:$Y,'Threshold Summary'!$L:$L,""))/100)+5)*XLOOKUP(XLOOKUP($Q749,'Threshold Summary'!$Y:$Y,'Threshold Summary'!$M:$M,""),'Nature Editor'!$A:$A,'Nature Editor'!$B:$B,1)),FLOOR((FLOOR(((2*XLOOKUP(XLOOKUP($Q749,'Threshold Summary'!$Y:$Y,'Threshold Summary'!$K:$K,""),'Pokemon Editor'!$A:$A,'Pokemon Editor'!$H:$H,0)+31+FLOOR(XLOOKUP($Q749,'Threshold Summary'!$Y:$Y,'Threshold Summary'!$R:$R,"")/4))*XLOOKUP($Q749,'Threshold Summary'!$Y:$Y,'Threshold Summary'!$L:$L,""))/100)+5)*XLOOKUP(XLOOKUP($Q749,'Threshold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Editor'!$E:$E,1))),stab,IF(OR(mtype=XLOOKUP(XLOOKUP($Q749,'Threshold Summary'!$Y:$Y,'Threshold Summary'!$K:$K,""),'Pokemon Editor'!$A:$A,'Pokemon Editor'!$C:$C,""),mtype=XLOOKUP(XLOOKUP($Q749,'Threshold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Chart'!$B$1:$S$1,0)))),base,IF(OR(cat="Status",pow=0),0,FLOOR(FLOOR(FLOOR((2*XLOOKUP($Q749,'Threshold Summary'!$Y:$Y,'Threshold Summary'!$L:$L,"")/5+2)*pow*atk/def)/50)+2)),modifier,stab*eff,FLOOR(base*modifier*0.85)),0)</f>
        <v/>
      </c>
      <c r="K749" s="3">
        <f>IFERROR(LET(mtype,XLOOKUP($D749,'Move Editor'!$B:$B,'Move Editor'!$C:$C,""),cat,XLOOKUP($D749,'Move Editor'!$B:$B,'Move Editor'!$D:$D,""),pow,XLOOKUP($D749,'Move Editor'!$B:$B,'Move Editor'!$E:$E,0),acc,XLOOKUP($D749,'Move Editor'!$B:$B,'Move Editor'!$F:$F,100),atk,IF(cat="Physical",FLOOR((FLOOR(((2*XLOOKUP(XLOOKUP($Q749,'Threshold Summary'!$Y:$Y,'Threshold Summary'!$K:$K,""),'Pokemon Editor'!$A:$A,'Pokemon Editor'!$F:$F,0)+31+FLOOR(XLOOKUP($Q749,'Threshold Summary'!$Y:$Y,'Threshold Summary'!$P:$P,"")/4))*XLOOKUP($Q749,'Threshold Summary'!$Y:$Y,'Threshold Summary'!$L:$L,""))/100)+5)*XLOOKUP(XLOOKUP($Q749,'Threshold Summary'!$Y:$Y,'Threshold Summary'!$M:$M,""),'Nature Editor'!$A:$A,'Nature Editor'!$B:$B,1)),FLOOR((FLOOR(((2*XLOOKUP(XLOOKUP($Q749,'Threshold Summary'!$Y:$Y,'Threshold Summary'!$K:$K,""),'Pokemon Editor'!$A:$A,'Pokemon Editor'!$H:$H,0)+31+FLOOR(XLOOKUP($Q749,'Threshold Summary'!$Y:$Y,'Threshold Summary'!$R:$R,"")/4))*XLOOKUP($Q749,'Threshold Summary'!$Y:$Y,'Threshold Summary'!$L:$L,""))/100)+5)*XLOOKUP(XLOOKUP($Q749,'Threshold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Editor'!$E:$E,1))),stab,IF(OR(mtype=XLOOKUP(XLOOKUP($Q749,'Threshold Summary'!$Y:$Y,'Threshold Summary'!$K:$K,""),'Pokemon Editor'!$A:$A,'Pokemon Editor'!$C:$C,""),mtype=XLOOKUP(XLOOKUP($Q749,'Threshold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Chart'!$B$1:$S$1,0)))),base,IF(OR(cat="Status",pow=0),0,FLOOR(FLOOR(FLOOR((2*XLOOKUP($Q749,'Threshold Summary'!$Y:$Y,'Threshold Summary'!$L:$L,"")/5+2)*pow*atk/def)/50)+2)),modifier,stab*eff,FLOOR(base*modifier)),0)</f>
        <v/>
      </c>
      <c r="L749" s="3">
        <f>IFERROR(LET(mtype,XLOOKUP($D749,'Move Editor'!$B:$B,'Move Editor'!$C:$C,""),cat,XLOOKUP($D749,'Move Editor'!$B:$B,'Move Editor'!$D:$D,""),pow,XLOOKUP($D749,'Move Editor'!$B:$B,'Move Editor'!$E:$E,0),acc,XLOOKUP($D749,'Move Editor'!$B:$B,'Move Editor'!$F:$F,100),atk,IF(cat="Physical",FLOOR((FLOOR(((2*XLOOKUP(XLOOKUP($Q749,'Threshold Summary'!$Y:$Y,'Threshold Summary'!$K:$K,""),'Pokemon Editor'!$A:$A,'Pokemon Editor'!$F:$F,0)+31+FLOOR(XLOOKUP($Q749,'Threshold Summary'!$Y:$Y,'Threshold Summary'!$P:$P,"")/4))*XLOOKUP($Q749,'Threshold Summary'!$Y:$Y,'Threshold Summary'!$L:$L,""))/100)+5)*XLOOKUP(XLOOKUP($Q749,'Threshold Summary'!$Y:$Y,'Threshold Summary'!$M:$M,""),'Nature Editor'!$A:$A,'Nature Editor'!$B:$B,1)),FLOOR((FLOOR(((2*XLOOKUP(XLOOKUP($Q749,'Threshold Summary'!$Y:$Y,'Threshold Summary'!$K:$K,""),'Pokemon Editor'!$A:$A,'Pokemon Editor'!$H:$H,0)+31+FLOOR(XLOOKUP($Q749,'Threshold Summary'!$Y:$Y,'Threshold Summary'!$R:$R,"")/4))*XLOOKUP($Q749,'Threshold Summary'!$Y:$Y,'Threshold Summary'!$L:$L,""))/100)+5)*XLOOKUP(XLOOKUP($Q749,'Threshold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Editor'!$E:$E,1))),stab,IF(OR(mtype=XLOOKUP(XLOOKUP($Q749,'Threshold Summary'!$Y:$Y,'Threshold Summary'!$K:$K,""),'Pokemon Editor'!$A:$A,'Pokemon Editor'!$C:$C,""),mtype=XLOOKUP(XLOOKUP($Q749,'Threshold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Chart'!$B$1:$S$1,0)))),base,IF(OR(cat="Status",pow=0),0,FLOOR(FLOOR(FLOOR((2*XLOOKUP($Q749,'Threshold Summary'!$Y:$Y,'Threshold Summary'!$L:$L,"")/5+2)*pow*atk/def)/50)+2)),modifier,stab*eff,AVERAGE(ARRAYFORMULA(FLOOR(base*modifier*SEQUENCE(16,1,85,1)/100)))),0)</f>
        <v/>
      </c>
      <c r="M749" s="3">
        <f>IFERROR(LET(mtype,XLOOKUP($D749,'Move Editor'!$B:$B,'Move Editor'!$C:$C,""),cat,XLOOKUP($D749,'Move Editor'!$B:$B,'Move Editor'!$D:$D,""),pow,XLOOKUP($D749,'Move Editor'!$B:$B,'Move Editor'!$E:$E,0),acc,XLOOKUP($D749,'Move Editor'!$B:$B,'Move Editor'!$F:$F,100),atk,IF(cat="Physical",FLOOR((FLOOR(((2*XLOOKUP(XLOOKUP($Q749,'Threshold Summary'!$Y:$Y,'Threshold Summary'!$K:$K,""),'Pokemon Editor'!$A:$A,'Pokemon Editor'!$F:$F,0)+31+FLOOR(XLOOKUP($Q749,'Threshold Summary'!$Y:$Y,'Threshold Summary'!$P:$P,"")/4))*XLOOKUP($Q749,'Threshold Summary'!$Y:$Y,'Threshold Summary'!$L:$L,""))/100)+5)*XLOOKUP(XLOOKUP($Q749,'Threshold Summary'!$Y:$Y,'Threshold Summary'!$M:$M,""),'Nature Editor'!$A:$A,'Nature Editor'!$B:$B,1)),FLOOR((FLOOR(((2*XLOOKUP(XLOOKUP($Q749,'Threshold Summary'!$Y:$Y,'Threshold Summary'!$K:$K,""),'Pokemon Editor'!$A:$A,'Pokemon Editor'!$H:$H,0)+31+FLOOR(XLOOKUP($Q749,'Threshold Summary'!$Y:$Y,'Threshold Summary'!$R:$R,"")/4))*XLOOKUP($Q749,'Threshold Summary'!$Y:$Y,'Threshold Summary'!$L:$L,""))/100)+5)*XLOOKUP(XLOOKUP($Q749,'Threshold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Editor'!$E:$E,1))),stab,IF(OR(mtype=XLOOKUP(XLOOKUP($Q749,'Threshold Summary'!$Y:$Y,'Threshold Summary'!$K:$K,""),'Pokemon Editor'!$A:$A,'Pokemon Editor'!$C:$C,""),mtype=XLOOKUP(XLOOKUP($Q749,'Threshold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Chart'!$B$1:$S$1,0)))),base,IF(OR(cat="Status",pow=0),0,FLOOR(FLOOR(FLOOR((2*XLOOKUP($Q749,'Threshold Summary'!$Y:$Y,'Threshold Summary'!$L:$L,"")/5+2)*pow*atk/def)/50)+2)),modifier,stab*eff,AVERAGE(ARRAYFORMULA(FLOOR(base*modifier*SEQUENCE(16,1,85,1)/100)))*MIN(1,acc/100)),0)</f>
        <v/>
      </c>
      <c r="N749" s="4">
        <f>IFERROR(LET(mtype,XLOOKUP($D749,'Move Editor'!$B:$B,'Move Editor'!$C:$C,""),cat,XLOOKUP($D749,'Move Editor'!$B:$B,'Move Editor'!$D:$D,""),pow,XLOOKUP($D749,'Move Editor'!$B:$B,'Move Editor'!$E:$E,0),acc,XLOOKUP($D749,'Move Editor'!$B:$B,'Move Editor'!$F:$F,100),atk,IF(cat="Physical",FLOOR((FLOOR(((2*XLOOKUP(XLOOKUP($Q749,'Threshold Summary'!$Y:$Y,'Threshold Summary'!$K:$K,""),'Pokemon Editor'!$A:$A,'Pokemon Editor'!$F:$F,0)+31+FLOOR(XLOOKUP($Q749,'Threshold Summary'!$Y:$Y,'Threshold Summary'!$P:$P,"")/4))*XLOOKUP($Q749,'Threshold Summary'!$Y:$Y,'Threshold Summary'!$L:$L,""))/100)+5)*XLOOKUP(XLOOKUP($Q749,'Threshold Summary'!$Y:$Y,'Threshold Summary'!$M:$M,""),'Nature Editor'!$A:$A,'Nature Editor'!$B:$B,1)),FLOOR((FLOOR(((2*XLOOKUP(XLOOKUP($Q749,'Threshold Summary'!$Y:$Y,'Threshold Summary'!$K:$K,""),'Pokemon Editor'!$A:$A,'Pokemon Editor'!$H:$H,0)+31+FLOOR(XLOOKUP($Q749,'Threshold Summary'!$Y:$Y,'Threshold Summary'!$R:$R,"")/4))*XLOOKUP($Q749,'Threshold Summary'!$Y:$Y,'Threshold Summary'!$L:$L,""))/100)+5)*XLOOKUP(XLOOKUP($Q749,'Threshold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Editor'!$E:$E,1))),stab,IF(OR(mtype=XLOOKUP(XLOOKUP($Q749,'Threshold Summary'!$Y:$Y,'Threshold Summary'!$K:$K,""),'Pokemon Editor'!$A:$A,'Pokemon Editor'!$C:$C,""),mtype=XLOOKUP(XLOOKUP($Q749,'Threshold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Chart'!$B$1:$S$1,0)))),base,IF(OR(cat="Status",pow=0),0,FLOOR(FLOOR(FLOOR((2*XLOOKUP($Q749,'Threshold Summary'!$Y:$Y,'Threshold Summary'!$L:$L,"")/5+2)*pow*atk/def)/50)+2)),modifier,stab*eff,AVERAGE(ARRAYFORMULA(FLOOR(base*modifier*SEQUENCE(16,1,85,1)/100)))/(FLOOR(((2*XLOOKUP('Boss Editor'!$C$4,'Pokemon Editor'!$A:$A,'Pokemon Editor'!$E:$E,0)+31+FLOOR('Boss Editor'!$G$4/4))*'Boss Editor'!$D$4)/100)+'Boss Editor'!$D$4+10)),0)</f>
        <v/>
      </c>
      <c r="O749" s="3">
        <f>IF(N749&gt;=1,"OHKO",IF(N749&gt;=0.5,"2HKO",IF(N749&gt;=0.333,"3HKO",IF(N749&gt;=0.25,"4HKO","5HKO+"))))</f>
        <v/>
      </c>
      <c r="P749" s="3" t="inlineStr">
        <is>
          <t>Live from editable databases</t>
        </is>
      </c>
      <c r="Q749" s="3" t="inlineStr">
        <is>
          <t>SPECIES_STUFFUL</t>
        </is>
      </c>
      <c r="R749" s="3" t="n">
        <v>12</v>
      </c>
    </row>
    <row r="750">
      <c r="A750" s="3">
        <f>XLOOKUP($Q750,'Threshold Summary'!$Y:$Y,'Threshold Summary'!$A:$A,"")</f>
        <v/>
      </c>
      <c r="B750" s="3">
        <f>XLOOKUP($Q750,'Threshold Summary'!$Y:$Y,'Threshold Summary'!$M:$M,"")</f>
        <v/>
      </c>
      <c r="C750" s="3">
        <f>XLOOKUP($Q750,'Threshold Summary'!$Y:$Y,'Threshold Summary'!$N:$N,"")</f>
        <v/>
      </c>
      <c r="D750" s="3">
        <f>IFERROR(INDEX(FILTER('Learnset Editor'!$D$2:$D,'Learnset Editor'!$A$2:$A=XLOOKUP($Q750,'Threshold Summary'!$Y:$Y,'Threshold Summary'!$K:$K,""),'Learnset Editor'!$C$2:$C&lt;=XLOOKUP($Q750,'Threshold Summary'!$Y:$Y,'Threshold Summary'!$L:$L,"")),$R750),"")</f>
        <v/>
      </c>
      <c r="E750" s="3">
        <f>XLOOKUP(D750,'Move Editor'!$B:$B,'Move Editor'!$C:$C,"")</f>
        <v/>
      </c>
      <c r="F750" s="3">
        <f>XLOOKUP(D750,'Move Editor'!$B:$B,'Move Editor'!$D:$D,"")</f>
        <v/>
      </c>
      <c r="G750" s="3">
        <f>XLOOKUP(D750,'Move Editor'!$B:$B,'Move Editor'!$E:$E,0)</f>
        <v/>
      </c>
      <c r="H750" s="3">
        <f>XLOOKUP(D750,'Move Editor'!$B:$B,'Move Editor'!$F:$F,0)</f>
        <v/>
      </c>
      <c r="I750" s="3">
        <f>(INDEX('Type Chart'!$B:$S,MATCH(E750,'Type Chart'!$A:$A,0),MATCH(XLOOKUP('Boss Editor'!$C$4,'Pokemon Editor'!$A:$A,'Pokemon Editor'!$C:$C,""),'Type Chart'!$B$1:$S$1,0))*IF(XLOOKUP('Boss Editor'!$C$4,'Pokemon Editor'!$A:$A,'Pokemon Editor'!$D:$D,"")="",1,INDEX('Type Chart'!$B:$S,MATCH(E750,'Type Chart'!$A:$A,0),MATCH(XLOOKUP('Boss Editor'!$C$4,'Pokemon Editor'!$A:$A,'Pokemon Editor'!$D:$D,""),'Type Chart'!$B$1:$S$1,0))))</f>
        <v/>
      </c>
      <c r="J750" s="3">
        <f>IFERROR(LET(mtype,XLOOKUP($D750,'Move Editor'!$B:$B,'Move Editor'!$C:$C,""),cat,XLOOKUP($D750,'Move Editor'!$B:$B,'Move Editor'!$D:$D,""),pow,XLOOKUP($D750,'Move Editor'!$B:$B,'Move Editor'!$E:$E,0),acc,XLOOKUP($D750,'Move Editor'!$B:$B,'Move Editor'!$F:$F,100),atk,IF(cat="Physical",FLOOR((FLOOR(((2*XLOOKUP(XLOOKUP($Q750,'Threshold Summary'!$Y:$Y,'Threshold Summary'!$K:$K,""),'Pokemon Editor'!$A:$A,'Pokemon Editor'!$F:$F,0)+31+FLOOR(XLOOKUP($Q750,'Threshold Summary'!$Y:$Y,'Threshold Summary'!$P:$P,"")/4))*XLOOKUP($Q750,'Threshold Summary'!$Y:$Y,'Threshold Summary'!$L:$L,""))/100)+5)*XLOOKUP(XLOOKUP($Q750,'Threshold Summary'!$Y:$Y,'Threshold Summary'!$M:$M,""),'Nature Editor'!$A:$A,'Nature Editor'!$B:$B,1)),FLOOR((FLOOR(((2*XLOOKUP(XLOOKUP($Q750,'Threshold Summary'!$Y:$Y,'Threshold Summary'!$K:$K,""),'Pokemon Editor'!$A:$A,'Pokemon Editor'!$H:$H,0)+31+FLOOR(XLOOKUP($Q750,'Threshold Summary'!$Y:$Y,'Threshold Summary'!$R:$R,"")/4))*XLOOKUP($Q750,'Threshold Summary'!$Y:$Y,'Threshold Summary'!$L:$L,""))/100)+5)*XLOOKUP(XLOOKUP($Q750,'Threshold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Editor'!$E:$E,1))),stab,IF(OR(mtype=XLOOKUP(XLOOKUP($Q750,'Threshold Summary'!$Y:$Y,'Threshold Summary'!$K:$K,""),'Pokemon Editor'!$A:$A,'Pokemon Editor'!$C:$C,""),mtype=XLOOKUP(XLOOKUP($Q750,'Threshold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Chart'!$B$1:$S$1,0)))),base,IF(OR(cat="Status",pow=0),0,FLOOR(FLOOR(FLOOR((2*XLOOKUP($Q750,'Threshold Summary'!$Y:$Y,'Threshold Summary'!$L:$L,"")/5+2)*pow*atk/def)/50)+2)),modifier,stab*eff,FLOOR(base*modifier*0.85)),0)</f>
        <v/>
      </c>
      <c r="K750" s="3">
        <f>IFERROR(LET(mtype,XLOOKUP($D750,'Move Editor'!$B:$B,'Move Editor'!$C:$C,""),cat,XLOOKUP($D750,'Move Editor'!$B:$B,'Move Editor'!$D:$D,""),pow,XLOOKUP($D750,'Move Editor'!$B:$B,'Move Editor'!$E:$E,0),acc,XLOOKUP($D750,'Move Editor'!$B:$B,'Move Editor'!$F:$F,100),atk,IF(cat="Physical",FLOOR((FLOOR(((2*XLOOKUP(XLOOKUP($Q750,'Threshold Summary'!$Y:$Y,'Threshold Summary'!$K:$K,""),'Pokemon Editor'!$A:$A,'Pokemon Editor'!$F:$F,0)+31+FLOOR(XLOOKUP($Q750,'Threshold Summary'!$Y:$Y,'Threshold Summary'!$P:$P,"")/4))*XLOOKUP($Q750,'Threshold Summary'!$Y:$Y,'Threshold Summary'!$L:$L,""))/100)+5)*XLOOKUP(XLOOKUP($Q750,'Threshold Summary'!$Y:$Y,'Threshold Summary'!$M:$M,""),'Nature Editor'!$A:$A,'Nature Editor'!$B:$B,1)),FLOOR((FLOOR(((2*XLOOKUP(XLOOKUP($Q750,'Threshold Summary'!$Y:$Y,'Threshold Summary'!$K:$K,""),'Pokemon Editor'!$A:$A,'Pokemon Editor'!$H:$H,0)+31+FLOOR(XLOOKUP($Q750,'Threshold Summary'!$Y:$Y,'Threshold Summary'!$R:$R,"")/4))*XLOOKUP($Q750,'Threshold Summary'!$Y:$Y,'Threshold Summary'!$L:$L,""))/100)+5)*XLOOKUP(XLOOKUP($Q750,'Threshold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Editor'!$E:$E,1))),stab,IF(OR(mtype=XLOOKUP(XLOOKUP($Q750,'Threshold Summary'!$Y:$Y,'Threshold Summary'!$K:$K,""),'Pokemon Editor'!$A:$A,'Pokemon Editor'!$C:$C,""),mtype=XLOOKUP(XLOOKUP($Q750,'Threshold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Chart'!$B$1:$S$1,0)))),base,IF(OR(cat="Status",pow=0),0,FLOOR(FLOOR(FLOOR((2*XLOOKUP($Q750,'Threshold Summary'!$Y:$Y,'Threshold Summary'!$L:$L,"")/5+2)*pow*atk/def)/50)+2)),modifier,stab*eff,FLOOR(base*modifier)),0)</f>
        <v/>
      </c>
      <c r="L750" s="3">
        <f>IFERROR(LET(mtype,XLOOKUP($D750,'Move Editor'!$B:$B,'Move Editor'!$C:$C,""),cat,XLOOKUP($D750,'Move Editor'!$B:$B,'Move Editor'!$D:$D,""),pow,XLOOKUP($D750,'Move Editor'!$B:$B,'Move Editor'!$E:$E,0),acc,XLOOKUP($D750,'Move Editor'!$B:$B,'Move Editor'!$F:$F,100),atk,IF(cat="Physical",FLOOR((FLOOR(((2*XLOOKUP(XLOOKUP($Q750,'Threshold Summary'!$Y:$Y,'Threshold Summary'!$K:$K,""),'Pokemon Editor'!$A:$A,'Pokemon Editor'!$F:$F,0)+31+FLOOR(XLOOKUP($Q750,'Threshold Summary'!$Y:$Y,'Threshold Summary'!$P:$P,"")/4))*XLOOKUP($Q750,'Threshold Summary'!$Y:$Y,'Threshold Summary'!$L:$L,""))/100)+5)*XLOOKUP(XLOOKUP($Q750,'Threshold Summary'!$Y:$Y,'Threshold Summary'!$M:$M,""),'Nature Editor'!$A:$A,'Nature Editor'!$B:$B,1)),FLOOR((FLOOR(((2*XLOOKUP(XLOOKUP($Q750,'Threshold Summary'!$Y:$Y,'Threshold Summary'!$K:$K,""),'Pokemon Editor'!$A:$A,'Pokemon Editor'!$H:$H,0)+31+FLOOR(XLOOKUP($Q750,'Threshold Summary'!$Y:$Y,'Threshold Summary'!$R:$R,"")/4))*XLOOKUP($Q750,'Threshold Summary'!$Y:$Y,'Threshold Summary'!$L:$L,""))/100)+5)*XLOOKUP(XLOOKUP($Q750,'Threshold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Editor'!$E:$E,1))),stab,IF(OR(mtype=XLOOKUP(XLOOKUP($Q750,'Threshold Summary'!$Y:$Y,'Threshold Summary'!$K:$K,""),'Pokemon Editor'!$A:$A,'Pokemon Editor'!$C:$C,""),mtype=XLOOKUP(XLOOKUP($Q750,'Threshold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Chart'!$B$1:$S$1,0)))),base,IF(OR(cat="Status",pow=0),0,FLOOR(FLOOR(FLOOR((2*XLOOKUP($Q750,'Threshold Summary'!$Y:$Y,'Threshold Summary'!$L:$L,"")/5+2)*pow*atk/def)/50)+2)),modifier,stab*eff,AVERAGE(ARRAYFORMULA(FLOOR(base*modifier*SEQUENCE(16,1,85,1)/100)))),0)</f>
        <v/>
      </c>
      <c r="M750" s="3">
        <f>IFERROR(LET(mtype,XLOOKUP($D750,'Move Editor'!$B:$B,'Move Editor'!$C:$C,""),cat,XLOOKUP($D750,'Move Editor'!$B:$B,'Move Editor'!$D:$D,""),pow,XLOOKUP($D750,'Move Editor'!$B:$B,'Move Editor'!$E:$E,0),acc,XLOOKUP($D750,'Move Editor'!$B:$B,'Move Editor'!$F:$F,100),atk,IF(cat="Physical",FLOOR((FLOOR(((2*XLOOKUP(XLOOKUP($Q750,'Threshold Summary'!$Y:$Y,'Threshold Summary'!$K:$K,""),'Pokemon Editor'!$A:$A,'Pokemon Editor'!$F:$F,0)+31+FLOOR(XLOOKUP($Q750,'Threshold Summary'!$Y:$Y,'Threshold Summary'!$P:$P,"")/4))*XLOOKUP($Q750,'Threshold Summary'!$Y:$Y,'Threshold Summary'!$L:$L,""))/100)+5)*XLOOKUP(XLOOKUP($Q750,'Threshold Summary'!$Y:$Y,'Threshold Summary'!$M:$M,""),'Nature Editor'!$A:$A,'Nature Editor'!$B:$B,1)),FLOOR((FLOOR(((2*XLOOKUP(XLOOKUP($Q750,'Threshold Summary'!$Y:$Y,'Threshold Summary'!$K:$K,""),'Pokemon Editor'!$A:$A,'Pokemon Editor'!$H:$H,0)+31+FLOOR(XLOOKUP($Q750,'Threshold Summary'!$Y:$Y,'Threshold Summary'!$R:$R,"")/4))*XLOOKUP($Q750,'Threshold Summary'!$Y:$Y,'Threshold Summary'!$L:$L,""))/100)+5)*XLOOKUP(XLOOKUP($Q750,'Threshold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Editor'!$E:$E,1))),stab,IF(OR(mtype=XLOOKUP(XLOOKUP($Q750,'Threshold Summary'!$Y:$Y,'Threshold Summary'!$K:$K,""),'Pokemon Editor'!$A:$A,'Pokemon Editor'!$C:$C,""),mtype=XLOOKUP(XLOOKUP($Q750,'Threshold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Chart'!$B$1:$S$1,0)))),base,IF(OR(cat="Status",pow=0),0,FLOOR(FLOOR(FLOOR((2*XLOOKUP($Q750,'Threshold Summary'!$Y:$Y,'Threshold Summary'!$L:$L,"")/5+2)*pow*atk/def)/50)+2)),modifier,stab*eff,AVERAGE(ARRAYFORMULA(FLOOR(base*modifier*SEQUENCE(16,1,85,1)/100)))*MIN(1,acc/100)),0)</f>
        <v/>
      </c>
      <c r="N750" s="4">
        <f>IFERROR(LET(mtype,XLOOKUP($D750,'Move Editor'!$B:$B,'Move Editor'!$C:$C,""),cat,XLOOKUP($D750,'Move Editor'!$B:$B,'Move Editor'!$D:$D,""),pow,XLOOKUP($D750,'Move Editor'!$B:$B,'Move Editor'!$E:$E,0),acc,XLOOKUP($D750,'Move Editor'!$B:$B,'Move Editor'!$F:$F,100),atk,IF(cat="Physical",FLOOR((FLOOR(((2*XLOOKUP(XLOOKUP($Q750,'Threshold Summary'!$Y:$Y,'Threshold Summary'!$K:$K,""),'Pokemon Editor'!$A:$A,'Pokemon Editor'!$F:$F,0)+31+FLOOR(XLOOKUP($Q750,'Threshold Summary'!$Y:$Y,'Threshold Summary'!$P:$P,"")/4))*XLOOKUP($Q750,'Threshold Summary'!$Y:$Y,'Threshold Summary'!$L:$L,""))/100)+5)*XLOOKUP(XLOOKUP($Q750,'Threshold Summary'!$Y:$Y,'Threshold Summary'!$M:$M,""),'Nature Editor'!$A:$A,'Nature Editor'!$B:$B,1)),FLOOR((FLOOR(((2*XLOOKUP(XLOOKUP($Q750,'Threshold Summary'!$Y:$Y,'Threshold Summary'!$K:$K,""),'Pokemon Editor'!$A:$A,'Pokemon Editor'!$H:$H,0)+31+FLOOR(XLOOKUP($Q750,'Threshold Summary'!$Y:$Y,'Threshold Summary'!$R:$R,"")/4))*XLOOKUP($Q750,'Threshold Summary'!$Y:$Y,'Threshold Summary'!$L:$L,""))/100)+5)*XLOOKUP(XLOOKUP($Q750,'Threshold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Editor'!$E:$E,1))),stab,IF(OR(mtype=XLOOKUP(XLOOKUP($Q750,'Threshold Summary'!$Y:$Y,'Threshold Summary'!$K:$K,""),'Pokemon Editor'!$A:$A,'Pokemon Editor'!$C:$C,""),mtype=XLOOKUP(XLOOKUP($Q750,'Threshold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Chart'!$B$1:$S$1,0)))),base,IF(OR(cat="Status",pow=0),0,FLOOR(FLOOR(FLOOR((2*XLOOKUP($Q750,'Threshold Summary'!$Y:$Y,'Threshold Summary'!$L:$L,"")/5+2)*pow*atk/def)/50)+2)),modifier,stab*eff,AVERAGE(ARRAYFORMULA(FLOOR(base*modifier*SEQUENCE(16,1,85,1)/100)))/(FLOOR(((2*XLOOKUP('Boss Editor'!$C$4,'Pokemon Editor'!$A:$A,'Pokemon Editor'!$E:$E,0)+31+FLOOR('Boss Editor'!$G$4/4))*'Boss Editor'!$D$4)/100)+'Boss Editor'!$D$4+10)),0)</f>
        <v/>
      </c>
      <c r="O750" s="3">
        <f>IF(N750&gt;=1,"OHKO",IF(N750&gt;=0.5,"2HKO",IF(N750&gt;=0.333,"3HKO",IF(N750&gt;=0.25,"4HKO","5HKO+"))))</f>
        <v/>
      </c>
      <c r="P750" s="3" t="inlineStr">
        <is>
          <t>Live from editable databases</t>
        </is>
      </c>
      <c r="Q750" s="3" t="inlineStr">
        <is>
          <t>SPECIES_STUFFUL</t>
        </is>
      </c>
      <c r="R750" s="3" t="n">
        <v>13</v>
      </c>
    </row>
    <row r="751">
      <c r="A751" s="3">
        <f>XLOOKUP($Q751,'Threshold Summary'!$Y:$Y,'Threshold Summary'!$A:$A,"")</f>
        <v/>
      </c>
      <c r="B751" s="3">
        <f>XLOOKUP($Q751,'Threshold Summary'!$Y:$Y,'Threshold Summary'!$M:$M,"")</f>
        <v/>
      </c>
      <c r="C751" s="3">
        <f>XLOOKUP($Q751,'Threshold Summary'!$Y:$Y,'Threshold Summary'!$N:$N,"")</f>
        <v/>
      </c>
      <c r="D751" s="3">
        <f>IFERROR(INDEX(FILTER('Learnset Editor'!$D$2:$D,'Learnset Editor'!$A$2:$A=XLOOKUP($Q751,'Threshold Summary'!$Y:$Y,'Threshold Summary'!$K:$K,""),'Learnset Editor'!$C$2:$C&lt;=XLOOKUP($Q751,'Threshold Summary'!$Y:$Y,'Threshold Summary'!$L:$L,"")),$R751),"")</f>
        <v/>
      </c>
      <c r="E751" s="3">
        <f>XLOOKUP(D751,'Move Editor'!$B:$B,'Move Editor'!$C:$C,"")</f>
        <v/>
      </c>
      <c r="F751" s="3">
        <f>XLOOKUP(D751,'Move Editor'!$B:$B,'Move Editor'!$D:$D,"")</f>
        <v/>
      </c>
      <c r="G751" s="3">
        <f>XLOOKUP(D751,'Move Editor'!$B:$B,'Move Editor'!$E:$E,0)</f>
        <v/>
      </c>
      <c r="H751" s="3">
        <f>XLOOKUP(D751,'Move Editor'!$B:$B,'Move Editor'!$F:$F,0)</f>
        <v/>
      </c>
      <c r="I751" s="3">
        <f>(INDEX('Type Chart'!$B:$S,MATCH(E751,'Type Chart'!$A:$A,0),MATCH(XLOOKUP('Boss Editor'!$C$4,'Pokemon Editor'!$A:$A,'Pokemon Editor'!$C:$C,""),'Type Chart'!$B$1:$S$1,0))*IF(XLOOKUP('Boss Editor'!$C$4,'Pokemon Editor'!$A:$A,'Pokemon Editor'!$D:$D,"")="",1,INDEX('Type Chart'!$B:$S,MATCH(E751,'Type Chart'!$A:$A,0),MATCH(XLOOKUP('Boss Editor'!$C$4,'Pokemon Editor'!$A:$A,'Pokemon Editor'!$D:$D,""),'Type Chart'!$B$1:$S$1,0))))</f>
        <v/>
      </c>
      <c r="J751" s="3">
        <f>IFERROR(LET(mtype,XLOOKUP($D751,'Move Editor'!$B:$B,'Move Editor'!$C:$C,""),cat,XLOOKUP($D751,'Move Editor'!$B:$B,'Move Editor'!$D:$D,""),pow,XLOOKUP($D751,'Move Editor'!$B:$B,'Move Editor'!$E:$E,0),acc,XLOOKUP($D751,'Move Editor'!$B:$B,'Move Editor'!$F:$F,100),atk,IF(cat="Physical",FLOOR((FLOOR(((2*XLOOKUP(XLOOKUP($Q751,'Threshold Summary'!$Y:$Y,'Threshold Summary'!$K:$K,""),'Pokemon Editor'!$A:$A,'Pokemon Editor'!$F:$F,0)+31+FLOOR(XLOOKUP($Q751,'Threshold Summary'!$Y:$Y,'Threshold Summary'!$P:$P,"")/4))*XLOOKUP($Q751,'Threshold Summary'!$Y:$Y,'Threshold Summary'!$L:$L,""))/100)+5)*XLOOKUP(XLOOKUP($Q751,'Threshold Summary'!$Y:$Y,'Threshold Summary'!$M:$M,""),'Nature Editor'!$A:$A,'Nature Editor'!$B:$B,1)),FLOOR((FLOOR(((2*XLOOKUP(XLOOKUP($Q751,'Threshold Summary'!$Y:$Y,'Threshold Summary'!$K:$K,""),'Pokemon Editor'!$A:$A,'Pokemon Editor'!$H:$H,0)+31+FLOOR(XLOOKUP($Q751,'Threshold Summary'!$Y:$Y,'Threshold Summary'!$R:$R,"")/4))*XLOOKUP($Q751,'Threshold Summary'!$Y:$Y,'Threshold Summary'!$L:$L,""))/100)+5)*XLOOKUP(XLOOKUP($Q751,'Threshold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Editor'!$E:$E,1))),stab,IF(OR(mtype=XLOOKUP(XLOOKUP($Q751,'Threshold Summary'!$Y:$Y,'Threshold Summary'!$K:$K,""),'Pokemon Editor'!$A:$A,'Pokemon Editor'!$C:$C,""),mtype=XLOOKUP(XLOOKUP($Q751,'Threshold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Chart'!$B$1:$S$1,0)))),base,IF(OR(cat="Status",pow=0),0,FLOOR(FLOOR(FLOOR((2*XLOOKUP($Q751,'Threshold Summary'!$Y:$Y,'Threshold Summary'!$L:$L,"")/5+2)*pow*atk/def)/50)+2)),modifier,stab*eff,FLOOR(base*modifier*0.85)),0)</f>
        <v/>
      </c>
      <c r="K751" s="3">
        <f>IFERROR(LET(mtype,XLOOKUP($D751,'Move Editor'!$B:$B,'Move Editor'!$C:$C,""),cat,XLOOKUP($D751,'Move Editor'!$B:$B,'Move Editor'!$D:$D,""),pow,XLOOKUP($D751,'Move Editor'!$B:$B,'Move Editor'!$E:$E,0),acc,XLOOKUP($D751,'Move Editor'!$B:$B,'Move Editor'!$F:$F,100),atk,IF(cat="Physical",FLOOR((FLOOR(((2*XLOOKUP(XLOOKUP($Q751,'Threshold Summary'!$Y:$Y,'Threshold Summary'!$K:$K,""),'Pokemon Editor'!$A:$A,'Pokemon Editor'!$F:$F,0)+31+FLOOR(XLOOKUP($Q751,'Threshold Summary'!$Y:$Y,'Threshold Summary'!$P:$P,"")/4))*XLOOKUP($Q751,'Threshold Summary'!$Y:$Y,'Threshold Summary'!$L:$L,""))/100)+5)*XLOOKUP(XLOOKUP($Q751,'Threshold Summary'!$Y:$Y,'Threshold Summary'!$M:$M,""),'Nature Editor'!$A:$A,'Nature Editor'!$B:$B,1)),FLOOR((FLOOR(((2*XLOOKUP(XLOOKUP($Q751,'Threshold Summary'!$Y:$Y,'Threshold Summary'!$K:$K,""),'Pokemon Editor'!$A:$A,'Pokemon Editor'!$H:$H,0)+31+FLOOR(XLOOKUP($Q751,'Threshold Summary'!$Y:$Y,'Threshold Summary'!$R:$R,"")/4))*XLOOKUP($Q751,'Threshold Summary'!$Y:$Y,'Threshold Summary'!$L:$L,""))/100)+5)*XLOOKUP(XLOOKUP($Q751,'Threshold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Editor'!$E:$E,1))),stab,IF(OR(mtype=XLOOKUP(XLOOKUP($Q751,'Threshold Summary'!$Y:$Y,'Threshold Summary'!$K:$K,""),'Pokemon Editor'!$A:$A,'Pokemon Editor'!$C:$C,""),mtype=XLOOKUP(XLOOKUP($Q751,'Threshold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Chart'!$B$1:$S$1,0)))),base,IF(OR(cat="Status",pow=0),0,FLOOR(FLOOR(FLOOR((2*XLOOKUP($Q751,'Threshold Summary'!$Y:$Y,'Threshold Summary'!$L:$L,"")/5+2)*pow*atk/def)/50)+2)),modifier,stab*eff,FLOOR(base*modifier)),0)</f>
        <v/>
      </c>
      <c r="L751" s="3">
        <f>IFERROR(LET(mtype,XLOOKUP($D751,'Move Editor'!$B:$B,'Move Editor'!$C:$C,""),cat,XLOOKUP($D751,'Move Editor'!$B:$B,'Move Editor'!$D:$D,""),pow,XLOOKUP($D751,'Move Editor'!$B:$B,'Move Editor'!$E:$E,0),acc,XLOOKUP($D751,'Move Editor'!$B:$B,'Move Editor'!$F:$F,100),atk,IF(cat="Physical",FLOOR((FLOOR(((2*XLOOKUP(XLOOKUP($Q751,'Threshold Summary'!$Y:$Y,'Threshold Summary'!$K:$K,""),'Pokemon Editor'!$A:$A,'Pokemon Editor'!$F:$F,0)+31+FLOOR(XLOOKUP($Q751,'Threshold Summary'!$Y:$Y,'Threshold Summary'!$P:$P,"")/4))*XLOOKUP($Q751,'Threshold Summary'!$Y:$Y,'Threshold Summary'!$L:$L,""))/100)+5)*XLOOKUP(XLOOKUP($Q751,'Threshold Summary'!$Y:$Y,'Threshold Summary'!$M:$M,""),'Nature Editor'!$A:$A,'Nature Editor'!$B:$B,1)),FLOOR((FLOOR(((2*XLOOKUP(XLOOKUP($Q751,'Threshold Summary'!$Y:$Y,'Threshold Summary'!$K:$K,""),'Pokemon Editor'!$A:$A,'Pokemon Editor'!$H:$H,0)+31+FLOOR(XLOOKUP($Q751,'Threshold Summary'!$Y:$Y,'Threshold Summary'!$R:$R,"")/4))*XLOOKUP($Q751,'Threshold Summary'!$Y:$Y,'Threshold Summary'!$L:$L,""))/100)+5)*XLOOKUP(XLOOKUP($Q751,'Threshold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Editor'!$E:$E,1))),stab,IF(OR(mtype=XLOOKUP(XLOOKUP($Q751,'Threshold Summary'!$Y:$Y,'Threshold Summary'!$K:$K,""),'Pokemon Editor'!$A:$A,'Pokemon Editor'!$C:$C,""),mtype=XLOOKUP(XLOOKUP($Q751,'Threshold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Chart'!$B$1:$S$1,0)))),base,IF(OR(cat="Status",pow=0),0,FLOOR(FLOOR(FLOOR((2*XLOOKUP($Q751,'Threshold Summary'!$Y:$Y,'Threshold Summary'!$L:$L,"")/5+2)*pow*atk/def)/50)+2)),modifier,stab*eff,AVERAGE(ARRAYFORMULA(FLOOR(base*modifier*SEQUENCE(16,1,85,1)/100)))),0)</f>
        <v/>
      </c>
      <c r="M751" s="3">
        <f>IFERROR(LET(mtype,XLOOKUP($D751,'Move Editor'!$B:$B,'Move Editor'!$C:$C,""),cat,XLOOKUP($D751,'Move Editor'!$B:$B,'Move Editor'!$D:$D,""),pow,XLOOKUP($D751,'Move Editor'!$B:$B,'Move Editor'!$E:$E,0),acc,XLOOKUP($D751,'Move Editor'!$B:$B,'Move Editor'!$F:$F,100),atk,IF(cat="Physical",FLOOR((FLOOR(((2*XLOOKUP(XLOOKUP($Q751,'Threshold Summary'!$Y:$Y,'Threshold Summary'!$K:$K,""),'Pokemon Editor'!$A:$A,'Pokemon Editor'!$F:$F,0)+31+FLOOR(XLOOKUP($Q751,'Threshold Summary'!$Y:$Y,'Threshold Summary'!$P:$P,"")/4))*XLOOKUP($Q751,'Threshold Summary'!$Y:$Y,'Threshold Summary'!$L:$L,""))/100)+5)*XLOOKUP(XLOOKUP($Q751,'Threshold Summary'!$Y:$Y,'Threshold Summary'!$M:$M,""),'Nature Editor'!$A:$A,'Nature Editor'!$B:$B,1)),FLOOR((FLOOR(((2*XLOOKUP(XLOOKUP($Q751,'Threshold Summary'!$Y:$Y,'Threshold Summary'!$K:$K,""),'Pokemon Editor'!$A:$A,'Pokemon Editor'!$H:$H,0)+31+FLOOR(XLOOKUP($Q751,'Threshold Summary'!$Y:$Y,'Threshold Summary'!$R:$R,"")/4))*XLOOKUP($Q751,'Threshold Summary'!$Y:$Y,'Threshold Summary'!$L:$L,""))/100)+5)*XLOOKUP(XLOOKUP($Q751,'Threshold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Editor'!$E:$E,1))),stab,IF(OR(mtype=XLOOKUP(XLOOKUP($Q751,'Threshold Summary'!$Y:$Y,'Threshold Summary'!$K:$K,""),'Pokemon Editor'!$A:$A,'Pokemon Editor'!$C:$C,""),mtype=XLOOKUP(XLOOKUP($Q751,'Threshold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Chart'!$B$1:$S$1,0)))),base,IF(OR(cat="Status",pow=0),0,FLOOR(FLOOR(FLOOR((2*XLOOKUP($Q751,'Threshold Summary'!$Y:$Y,'Threshold Summary'!$L:$L,"")/5+2)*pow*atk/def)/50)+2)),modifier,stab*eff,AVERAGE(ARRAYFORMULA(FLOOR(base*modifier*SEQUENCE(16,1,85,1)/100)))*MIN(1,acc/100)),0)</f>
        <v/>
      </c>
      <c r="N751" s="4">
        <f>IFERROR(LET(mtype,XLOOKUP($D751,'Move Editor'!$B:$B,'Move Editor'!$C:$C,""),cat,XLOOKUP($D751,'Move Editor'!$B:$B,'Move Editor'!$D:$D,""),pow,XLOOKUP($D751,'Move Editor'!$B:$B,'Move Editor'!$E:$E,0),acc,XLOOKUP($D751,'Move Editor'!$B:$B,'Move Editor'!$F:$F,100),atk,IF(cat="Physical",FLOOR((FLOOR(((2*XLOOKUP(XLOOKUP($Q751,'Threshold Summary'!$Y:$Y,'Threshold Summary'!$K:$K,""),'Pokemon Editor'!$A:$A,'Pokemon Editor'!$F:$F,0)+31+FLOOR(XLOOKUP($Q751,'Threshold Summary'!$Y:$Y,'Threshold Summary'!$P:$P,"")/4))*XLOOKUP($Q751,'Threshold Summary'!$Y:$Y,'Threshold Summary'!$L:$L,""))/100)+5)*XLOOKUP(XLOOKUP($Q751,'Threshold Summary'!$Y:$Y,'Threshold Summary'!$M:$M,""),'Nature Editor'!$A:$A,'Nature Editor'!$B:$B,1)),FLOOR((FLOOR(((2*XLOOKUP(XLOOKUP($Q751,'Threshold Summary'!$Y:$Y,'Threshold Summary'!$K:$K,""),'Pokemon Editor'!$A:$A,'Pokemon Editor'!$H:$H,0)+31+FLOOR(XLOOKUP($Q751,'Threshold Summary'!$Y:$Y,'Threshold Summary'!$R:$R,"")/4))*XLOOKUP($Q751,'Threshold Summary'!$Y:$Y,'Threshold Summary'!$L:$L,""))/100)+5)*XLOOKUP(XLOOKUP($Q751,'Threshold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Editor'!$E:$E,1))),stab,IF(OR(mtype=XLOOKUP(XLOOKUP($Q751,'Threshold Summary'!$Y:$Y,'Threshold Summary'!$K:$K,""),'Pokemon Editor'!$A:$A,'Pokemon Editor'!$C:$C,""),mtype=XLOOKUP(XLOOKUP($Q751,'Threshold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Chart'!$B$1:$S$1,0)))),base,IF(OR(cat="Status",pow=0),0,FLOOR(FLOOR(FLOOR((2*XLOOKUP($Q751,'Threshold Summary'!$Y:$Y,'Threshold Summary'!$L:$L,"")/5+2)*pow*atk/def)/50)+2)),modifier,stab*eff,AVERAGE(ARRAYFORMULA(FLOOR(base*modifier*SEQUENCE(16,1,85,1)/100)))/(FLOOR(((2*XLOOKUP('Boss Editor'!$C$4,'Pokemon Editor'!$A:$A,'Pokemon Editor'!$E:$E,0)+31+FLOOR('Boss Editor'!$G$4/4))*'Boss Editor'!$D$4)/100)+'Boss Editor'!$D$4+10)),0)</f>
        <v/>
      </c>
      <c r="O751" s="3">
        <f>IF(N751&gt;=1,"OHKO",IF(N751&gt;=0.5,"2HKO",IF(N751&gt;=0.333,"3HKO",IF(N751&gt;=0.25,"4HKO","5HKO+"))))</f>
        <v/>
      </c>
      <c r="P751" s="3" t="inlineStr">
        <is>
          <t>Live from editable databases</t>
        </is>
      </c>
      <c r="Q751" s="3" t="inlineStr">
        <is>
          <t>SPECIES_STUFFUL</t>
        </is>
      </c>
      <c r="R751" s="3" t="n">
        <v>14</v>
      </c>
    </row>
    <row r="752">
      <c r="A752" s="3">
        <f>XLOOKUP($Q752,'Threshold Summary'!$Y:$Y,'Threshold Summary'!$A:$A,"")</f>
        <v/>
      </c>
      <c r="B752" s="3">
        <f>XLOOKUP($Q752,'Threshold Summary'!$Y:$Y,'Threshold Summary'!$M:$M,"")</f>
        <v/>
      </c>
      <c r="C752" s="3">
        <f>XLOOKUP($Q752,'Threshold Summary'!$Y:$Y,'Threshold Summary'!$N:$N,"")</f>
        <v/>
      </c>
      <c r="D752" s="3">
        <f>IFERROR(INDEX(FILTER('Learnset Editor'!$D$2:$D,'Learnset Editor'!$A$2:$A=XLOOKUP($Q752,'Threshold Summary'!$Y:$Y,'Threshold Summary'!$K:$K,""),'Learnset Editor'!$C$2:$C&lt;=XLOOKUP($Q752,'Threshold Summary'!$Y:$Y,'Threshold Summary'!$L:$L,"")),$R752),"")</f>
        <v/>
      </c>
      <c r="E752" s="3">
        <f>XLOOKUP(D752,'Move Editor'!$B:$B,'Move Editor'!$C:$C,"")</f>
        <v/>
      </c>
      <c r="F752" s="3">
        <f>XLOOKUP(D752,'Move Editor'!$B:$B,'Move Editor'!$D:$D,"")</f>
        <v/>
      </c>
      <c r="G752" s="3">
        <f>XLOOKUP(D752,'Move Editor'!$B:$B,'Move Editor'!$E:$E,0)</f>
        <v/>
      </c>
      <c r="H752" s="3">
        <f>XLOOKUP(D752,'Move Editor'!$B:$B,'Move Editor'!$F:$F,0)</f>
        <v/>
      </c>
      <c r="I752" s="3">
        <f>(INDEX('Type Chart'!$B:$S,MATCH(E752,'Type Chart'!$A:$A,0),MATCH(XLOOKUP('Boss Editor'!$C$4,'Pokemon Editor'!$A:$A,'Pokemon Editor'!$C:$C,""),'Type Chart'!$B$1:$S$1,0))*IF(XLOOKUP('Boss Editor'!$C$4,'Pokemon Editor'!$A:$A,'Pokemon Editor'!$D:$D,"")="",1,INDEX('Type Chart'!$B:$S,MATCH(E752,'Type Chart'!$A:$A,0),MATCH(XLOOKUP('Boss Editor'!$C$4,'Pokemon Editor'!$A:$A,'Pokemon Editor'!$D:$D,""),'Type Chart'!$B$1:$S$1,0))))</f>
        <v/>
      </c>
      <c r="J752" s="3">
        <f>IFERROR(LET(mtype,XLOOKUP($D752,'Move Editor'!$B:$B,'Move Editor'!$C:$C,""),cat,XLOOKUP($D752,'Move Editor'!$B:$B,'Move Editor'!$D:$D,""),pow,XLOOKUP($D752,'Move Editor'!$B:$B,'Move Editor'!$E:$E,0),acc,XLOOKUP($D752,'Move Editor'!$B:$B,'Move Editor'!$F:$F,100),atk,IF(cat="Physical",FLOOR((FLOOR(((2*XLOOKUP(XLOOKUP($Q752,'Threshold Summary'!$Y:$Y,'Threshold Summary'!$K:$K,""),'Pokemon Editor'!$A:$A,'Pokemon Editor'!$F:$F,0)+31+FLOOR(XLOOKUP($Q752,'Threshold Summary'!$Y:$Y,'Threshold Summary'!$P:$P,"")/4))*XLOOKUP($Q752,'Threshold Summary'!$Y:$Y,'Threshold Summary'!$L:$L,""))/100)+5)*XLOOKUP(XLOOKUP($Q752,'Threshold Summary'!$Y:$Y,'Threshold Summary'!$M:$M,""),'Nature Editor'!$A:$A,'Nature Editor'!$B:$B,1)),FLOOR((FLOOR(((2*XLOOKUP(XLOOKUP($Q752,'Threshold Summary'!$Y:$Y,'Threshold Summary'!$K:$K,""),'Pokemon Editor'!$A:$A,'Pokemon Editor'!$H:$H,0)+31+FLOOR(XLOOKUP($Q752,'Threshold Summary'!$Y:$Y,'Threshold Summary'!$R:$R,"")/4))*XLOOKUP($Q752,'Threshold Summary'!$Y:$Y,'Threshold Summary'!$L:$L,""))/100)+5)*XLOOKUP(XLOOKUP($Q752,'Threshold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Editor'!$E:$E,1))),stab,IF(OR(mtype=XLOOKUP(XLOOKUP($Q752,'Threshold Summary'!$Y:$Y,'Threshold Summary'!$K:$K,""),'Pokemon Editor'!$A:$A,'Pokemon Editor'!$C:$C,""),mtype=XLOOKUP(XLOOKUP($Q752,'Threshold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Chart'!$B$1:$S$1,0)))),base,IF(OR(cat="Status",pow=0),0,FLOOR(FLOOR(FLOOR((2*XLOOKUP($Q752,'Threshold Summary'!$Y:$Y,'Threshold Summary'!$L:$L,"")/5+2)*pow*atk/def)/50)+2)),modifier,stab*eff,FLOOR(base*modifier*0.85)),0)</f>
        <v/>
      </c>
      <c r="K752" s="3">
        <f>IFERROR(LET(mtype,XLOOKUP($D752,'Move Editor'!$B:$B,'Move Editor'!$C:$C,""),cat,XLOOKUP($D752,'Move Editor'!$B:$B,'Move Editor'!$D:$D,""),pow,XLOOKUP($D752,'Move Editor'!$B:$B,'Move Editor'!$E:$E,0),acc,XLOOKUP($D752,'Move Editor'!$B:$B,'Move Editor'!$F:$F,100),atk,IF(cat="Physical",FLOOR((FLOOR(((2*XLOOKUP(XLOOKUP($Q752,'Threshold Summary'!$Y:$Y,'Threshold Summary'!$K:$K,""),'Pokemon Editor'!$A:$A,'Pokemon Editor'!$F:$F,0)+31+FLOOR(XLOOKUP($Q752,'Threshold Summary'!$Y:$Y,'Threshold Summary'!$P:$P,"")/4))*XLOOKUP($Q752,'Threshold Summary'!$Y:$Y,'Threshold Summary'!$L:$L,""))/100)+5)*XLOOKUP(XLOOKUP($Q752,'Threshold Summary'!$Y:$Y,'Threshold Summary'!$M:$M,""),'Nature Editor'!$A:$A,'Nature Editor'!$B:$B,1)),FLOOR((FLOOR(((2*XLOOKUP(XLOOKUP($Q752,'Threshold Summary'!$Y:$Y,'Threshold Summary'!$K:$K,""),'Pokemon Editor'!$A:$A,'Pokemon Editor'!$H:$H,0)+31+FLOOR(XLOOKUP($Q752,'Threshold Summary'!$Y:$Y,'Threshold Summary'!$R:$R,"")/4))*XLOOKUP($Q752,'Threshold Summary'!$Y:$Y,'Threshold Summary'!$L:$L,""))/100)+5)*XLOOKUP(XLOOKUP($Q752,'Threshold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Editor'!$E:$E,1))),stab,IF(OR(mtype=XLOOKUP(XLOOKUP($Q752,'Threshold Summary'!$Y:$Y,'Threshold Summary'!$K:$K,""),'Pokemon Editor'!$A:$A,'Pokemon Editor'!$C:$C,""),mtype=XLOOKUP(XLOOKUP($Q752,'Threshold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Chart'!$B$1:$S$1,0)))),base,IF(OR(cat="Status",pow=0),0,FLOOR(FLOOR(FLOOR((2*XLOOKUP($Q752,'Threshold Summary'!$Y:$Y,'Threshold Summary'!$L:$L,"")/5+2)*pow*atk/def)/50)+2)),modifier,stab*eff,FLOOR(base*modifier)),0)</f>
        <v/>
      </c>
      <c r="L752" s="3">
        <f>IFERROR(LET(mtype,XLOOKUP($D752,'Move Editor'!$B:$B,'Move Editor'!$C:$C,""),cat,XLOOKUP($D752,'Move Editor'!$B:$B,'Move Editor'!$D:$D,""),pow,XLOOKUP($D752,'Move Editor'!$B:$B,'Move Editor'!$E:$E,0),acc,XLOOKUP($D752,'Move Editor'!$B:$B,'Move Editor'!$F:$F,100),atk,IF(cat="Physical",FLOOR((FLOOR(((2*XLOOKUP(XLOOKUP($Q752,'Threshold Summary'!$Y:$Y,'Threshold Summary'!$K:$K,""),'Pokemon Editor'!$A:$A,'Pokemon Editor'!$F:$F,0)+31+FLOOR(XLOOKUP($Q752,'Threshold Summary'!$Y:$Y,'Threshold Summary'!$P:$P,"")/4))*XLOOKUP($Q752,'Threshold Summary'!$Y:$Y,'Threshold Summary'!$L:$L,""))/100)+5)*XLOOKUP(XLOOKUP($Q752,'Threshold Summary'!$Y:$Y,'Threshold Summary'!$M:$M,""),'Nature Editor'!$A:$A,'Nature Editor'!$B:$B,1)),FLOOR((FLOOR(((2*XLOOKUP(XLOOKUP($Q752,'Threshold Summary'!$Y:$Y,'Threshold Summary'!$K:$K,""),'Pokemon Editor'!$A:$A,'Pokemon Editor'!$H:$H,0)+31+FLOOR(XLOOKUP($Q752,'Threshold Summary'!$Y:$Y,'Threshold Summary'!$R:$R,"")/4))*XLOOKUP($Q752,'Threshold Summary'!$Y:$Y,'Threshold Summary'!$L:$L,""))/100)+5)*XLOOKUP(XLOOKUP($Q752,'Threshold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Editor'!$E:$E,1))),stab,IF(OR(mtype=XLOOKUP(XLOOKUP($Q752,'Threshold Summary'!$Y:$Y,'Threshold Summary'!$K:$K,""),'Pokemon Editor'!$A:$A,'Pokemon Editor'!$C:$C,""),mtype=XLOOKUP(XLOOKUP($Q752,'Threshold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Chart'!$B$1:$S$1,0)))),base,IF(OR(cat="Status",pow=0),0,FLOOR(FLOOR(FLOOR((2*XLOOKUP($Q752,'Threshold Summary'!$Y:$Y,'Threshold Summary'!$L:$L,"")/5+2)*pow*atk/def)/50)+2)),modifier,stab*eff,AVERAGE(ARRAYFORMULA(FLOOR(base*modifier*SEQUENCE(16,1,85,1)/100)))),0)</f>
        <v/>
      </c>
      <c r="M752" s="3">
        <f>IFERROR(LET(mtype,XLOOKUP($D752,'Move Editor'!$B:$B,'Move Editor'!$C:$C,""),cat,XLOOKUP($D752,'Move Editor'!$B:$B,'Move Editor'!$D:$D,""),pow,XLOOKUP($D752,'Move Editor'!$B:$B,'Move Editor'!$E:$E,0),acc,XLOOKUP($D752,'Move Editor'!$B:$B,'Move Editor'!$F:$F,100),atk,IF(cat="Physical",FLOOR((FLOOR(((2*XLOOKUP(XLOOKUP($Q752,'Threshold Summary'!$Y:$Y,'Threshold Summary'!$K:$K,""),'Pokemon Editor'!$A:$A,'Pokemon Editor'!$F:$F,0)+31+FLOOR(XLOOKUP($Q752,'Threshold Summary'!$Y:$Y,'Threshold Summary'!$P:$P,"")/4))*XLOOKUP($Q752,'Threshold Summary'!$Y:$Y,'Threshold Summary'!$L:$L,""))/100)+5)*XLOOKUP(XLOOKUP($Q752,'Threshold Summary'!$Y:$Y,'Threshold Summary'!$M:$M,""),'Nature Editor'!$A:$A,'Nature Editor'!$B:$B,1)),FLOOR((FLOOR(((2*XLOOKUP(XLOOKUP($Q752,'Threshold Summary'!$Y:$Y,'Threshold Summary'!$K:$K,""),'Pokemon Editor'!$A:$A,'Pokemon Editor'!$H:$H,0)+31+FLOOR(XLOOKUP($Q752,'Threshold Summary'!$Y:$Y,'Threshold Summary'!$R:$R,"")/4))*XLOOKUP($Q752,'Threshold Summary'!$Y:$Y,'Threshold Summary'!$L:$L,""))/100)+5)*XLOOKUP(XLOOKUP($Q752,'Threshold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Editor'!$E:$E,1))),stab,IF(OR(mtype=XLOOKUP(XLOOKUP($Q752,'Threshold Summary'!$Y:$Y,'Threshold Summary'!$K:$K,""),'Pokemon Editor'!$A:$A,'Pokemon Editor'!$C:$C,""),mtype=XLOOKUP(XLOOKUP($Q752,'Threshold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Chart'!$B$1:$S$1,0)))),base,IF(OR(cat="Status",pow=0),0,FLOOR(FLOOR(FLOOR((2*XLOOKUP($Q752,'Threshold Summary'!$Y:$Y,'Threshold Summary'!$L:$L,"")/5+2)*pow*atk/def)/50)+2)),modifier,stab*eff,AVERAGE(ARRAYFORMULA(FLOOR(base*modifier*SEQUENCE(16,1,85,1)/100)))*MIN(1,acc/100)),0)</f>
        <v/>
      </c>
      <c r="N752" s="4">
        <f>IFERROR(LET(mtype,XLOOKUP($D752,'Move Editor'!$B:$B,'Move Editor'!$C:$C,""),cat,XLOOKUP($D752,'Move Editor'!$B:$B,'Move Editor'!$D:$D,""),pow,XLOOKUP($D752,'Move Editor'!$B:$B,'Move Editor'!$E:$E,0),acc,XLOOKUP($D752,'Move Editor'!$B:$B,'Move Editor'!$F:$F,100),atk,IF(cat="Physical",FLOOR((FLOOR(((2*XLOOKUP(XLOOKUP($Q752,'Threshold Summary'!$Y:$Y,'Threshold Summary'!$K:$K,""),'Pokemon Editor'!$A:$A,'Pokemon Editor'!$F:$F,0)+31+FLOOR(XLOOKUP($Q752,'Threshold Summary'!$Y:$Y,'Threshold Summary'!$P:$P,"")/4))*XLOOKUP($Q752,'Threshold Summary'!$Y:$Y,'Threshold Summary'!$L:$L,""))/100)+5)*XLOOKUP(XLOOKUP($Q752,'Threshold Summary'!$Y:$Y,'Threshold Summary'!$M:$M,""),'Nature Editor'!$A:$A,'Nature Editor'!$B:$B,1)),FLOOR((FLOOR(((2*XLOOKUP(XLOOKUP($Q752,'Threshold Summary'!$Y:$Y,'Threshold Summary'!$K:$K,""),'Pokemon Editor'!$A:$A,'Pokemon Editor'!$H:$H,0)+31+FLOOR(XLOOKUP($Q752,'Threshold Summary'!$Y:$Y,'Threshold Summary'!$R:$R,"")/4))*XLOOKUP($Q752,'Threshold Summary'!$Y:$Y,'Threshold Summary'!$L:$L,""))/100)+5)*XLOOKUP(XLOOKUP($Q752,'Threshold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Editor'!$E:$E,1))),stab,IF(OR(mtype=XLOOKUP(XLOOKUP($Q752,'Threshold Summary'!$Y:$Y,'Threshold Summary'!$K:$K,""),'Pokemon Editor'!$A:$A,'Pokemon Editor'!$C:$C,""),mtype=XLOOKUP(XLOOKUP($Q752,'Threshold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Chart'!$B$1:$S$1,0)))),base,IF(OR(cat="Status",pow=0),0,FLOOR(FLOOR(FLOOR((2*XLOOKUP($Q752,'Threshold Summary'!$Y:$Y,'Threshold Summary'!$L:$L,"")/5+2)*pow*atk/def)/50)+2)),modifier,stab*eff,AVERAGE(ARRAYFORMULA(FLOOR(base*modifier*SEQUENCE(16,1,85,1)/100)))/(FLOOR(((2*XLOOKUP('Boss Editor'!$C$4,'Pokemon Editor'!$A:$A,'Pokemon Editor'!$E:$E,0)+31+FLOOR('Boss Editor'!$G$4/4))*'Boss Editor'!$D$4)/100)+'Boss Editor'!$D$4+10)),0)</f>
        <v/>
      </c>
      <c r="O752" s="3">
        <f>IF(N752&gt;=1,"OHKO",IF(N752&gt;=0.5,"2HKO",IF(N752&gt;=0.333,"3HKO",IF(N752&gt;=0.25,"4HKO","5HKO+"))))</f>
        <v/>
      </c>
      <c r="P752" s="3" t="inlineStr">
        <is>
          <t>Live from editable databases</t>
        </is>
      </c>
      <c r="Q752" s="3" t="inlineStr">
        <is>
          <t>SPECIES_STUFFUL</t>
        </is>
      </c>
      <c r="R752" s="3" t="n">
        <v>15</v>
      </c>
    </row>
    <row r="753">
      <c r="A753" s="3">
        <f>XLOOKUP($Q753,'Threshold Summary'!$Y:$Y,'Threshold Summary'!$A:$A,"")</f>
        <v/>
      </c>
      <c r="B753" s="3">
        <f>XLOOKUP($Q753,'Threshold Summary'!$Y:$Y,'Threshold Summary'!$M:$M,"")</f>
        <v/>
      </c>
      <c r="C753" s="3">
        <f>XLOOKUP($Q753,'Threshold Summary'!$Y:$Y,'Threshold Summary'!$N:$N,"")</f>
        <v/>
      </c>
      <c r="D753" s="3">
        <f>IFERROR(INDEX(FILTER('Learnset Editor'!$D$2:$D,'Learnset Editor'!$A$2:$A=XLOOKUP($Q753,'Threshold Summary'!$Y:$Y,'Threshold Summary'!$K:$K,""),'Learnset Editor'!$C$2:$C&lt;=XLOOKUP($Q753,'Threshold Summary'!$Y:$Y,'Threshold Summary'!$L:$L,"")),$R753),"")</f>
        <v/>
      </c>
      <c r="E753" s="3">
        <f>XLOOKUP(D753,'Move Editor'!$B:$B,'Move Editor'!$C:$C,"")</f>
        <v/>
      </c>
      <c r="F753" s="3">
        <f>XLOOKUP(D753,'Move Editor'!$B:$B,'Move Editor'!$D:$D,"")</f>
        <v/>
      </c>
      <c r="G753" s="3">
        <f>XLOOKUP(D753,'Move Editor'!$B:$B,'Move Editor'!$E:$E,0)</f>
        <v/>
      </c>
      <c r="H753" s="3">
        <f>XLOOKUP(D753,'Move Editor'!$B:$B,'Move Editor'!$F:$F,0)</f>
        <v/>
      </c>
      <c r="I753" s="3">
        <f>(INDEX('Type Chart'!$B:$S,MATCH(E753,'Type Chart'!$A:$A,0),MATCH(XLOOKUP('Boss Editor'!$C$4,'Pokemon Editor'!$A:$A,'Pokemon Editor'!$C:$C,""),'Type Chart'!$B$1:$S$1,0))*IF(XLOOKUP('Boss Editor'!$C$4,'Pokemon Editor'!$A:$A,'Pokemon Editor'!$D:$D,"")="",1,INDEX('Type Chart'!$B:$S,MATCH(E753,'Type Chart'!$A:$A,0),MATCH(XLOOKUP('Boss Editor'!$C$4,'Pokemon Editor'!$A:$A,'Pokemon Editor'!$D:$D,""),'Type Chart'!$B$1:$S$1,0))))</f>
        <v/>
      </c>
      <c r="J753" s="3">
        <f>IFERROR(LET(mtype,XLOOKUP($D753,'Move Editor'!$B:$B,'Move Editor'!$C:$C,""),cat,XLOOKUP($D753,'Move Editor'!$B:$B,'Move Editor'!$D:$D,""),pow,XLOOKUP($D753,'Move Editor'!$B:$B,'Move Editor'!$E:$E,0),acc,XLOOKUP($D753,'Move Editor'!$B:$B,'Move Editor'!$F:$F,100),atk,IF(cat="Physical",FLOOR((FLOOR(((2*XLOOKUP(XLOOKUP($Q753,'Threshold Summary'!$Y:$Y,'Threshold Summary'!$K:$K,""),'Pokemon Editor'!$A:$A,'Pokemon Editor'!$F:$F,0)+31+FLOOR(XLOOKUP($Q753,'Threshold Summary'!$Y:$Y,'Threshold Summary'!$P:$P,"")/4))*XLOOKUP($Q753,'Threshold Summary'!$Y:$Y,'Threshold Summary'!$L:$L,""))/100)+5)*XLOOKUP(XLOOKUP($Q753,'Threshold Summary'!$Y:$Y,'Threshold Summary'!$M:$M,""),'Nature Editor'!$A:$A,'Nature Editor'!$B:$B,1)),FLOOR((FLOOR(((2*XLOOKUP(XLOOKUP($Q753,'Threshold Summary'!$Y:$Y,'Threshold Summary'!$K:$K,""),'Pokemon Editor'!$A:$A,'Pokemon Editor'!$H:$H,0)+31+FLOOR(XLOOKUP($Q753,'Threshold Summary'!$Y:$Y,'Threshold Summary'!$R:$R,"")/4))*XLOOKUP($Q753,'Threshold Summary'!$Y:$Y,'Threshold Summary'!$L:$L,""))/100)+5)*XLOOKUP(XLOOKUP($Q753,'Threshold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Editor'!$E:$E,1))),stab,IF(OR(mtype=XLOOKUP(XLOOKUP($Q753,'Threshold Summary'!$Y:$Y,'Threshold Summary'!$K:$K,""),'Pokemon Editor'!$A:$A,'Pokemon Editor'!$C:$C,""),mtype=XLOOKUP(XLOOKUP($Q753,'Threshold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Chart'!$B$1:$S$1,0)))),base,IF(OR(cat="Status",pow=0),0,FLOOR(FLOOR(FLOOR((2*XLOOKUP($Q753,'Threshold Summary'!$Y:$Y,'Threshold Summary'!$L:$L,"")/5+2)*pow*atk/def)/50)+2)),modifier,stab*eff,FLOOR(base*modifier*0.85)),0)</f>
        <v/>
      </c>
      <c r="K753" s="3">
        <f>IFERROR(LET(mtype,XLOOKUP($D753,'Move Editor'!$B:$B,'Move Editor'!$C:$C,""),cat,XLOOKUP($D753,'Move Editor'!$B:$B,'Move Editor'!$D:$D,""),pow,XLOOKUP($D753,'Move Editor'!$B:$B,'Move Editor'!$E:$E,0),acc,XLOOKUP($D753,'Move Editor'!$B:$B,'Move Editor'!$F:$F,100),atk,IF(cat="Physical",FLOOR((FLOOR(((2*XLOOKUP(XLOOKUP($Q753,'Threshold Summary'!$Y:$Y,'Threshold Summary'!$K:$K,""),'Pokemon Editor'!$A:$A,'Pokemon Editor'!$F:$F,0)+31+FLOOR(XLOOKUP($Q753,'Threshold Summary'!$Y:$Y,'Threshold Summary'!$P:$P,"")/4))*XLOOKUP($Q753,'Threshold Summary'!$Y:$Y,'Threshold Summary'!$L:$L,""))/100)+5)*XLOOKUP(XLOOKUP($Q753,'Threshold Summary'!$Y:$Y,'Threshold Summary'!$M:$M,""),'Nature Editor'!$A:$A,'Nature Editor'!$B:$B,1)),FLOOR((FLOOR(((2*XLOOKUP(XLOOKUP($Q753,'Threshold Summary'!$Y:$Y,'Threshold Summary'!$K:$K,""),'Pokemon Editor'!$A:$A,'Pokemon Editor'!$H:$H,0)+31+FLOOR(XLOOKUP($Q753,'Threshold Summary'!$Y:$Y,'Threshold Summary'!$R:$R,"")/4))*XLOOKUP($Q753,'Threshold Summary'!$Y:$Y,'Threshold Summary'!$L:$L,""))/100)+5)*XLOOKUP(XLOOKUP($Q753,'Threshold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Editor'!$E:$E,1))),stab,IF(OR(mtype=XLOOKUP(XLOOKUP($Q753,'Threshold Summary'!$Y:$Y,'Threshold Summary'!$K:$K,""),'Pokemon Editor'!$A:$A,'Pokemon Editor'!$C:$C,""),mtype=XLOOKUP(XLOOKUP($Q753,'Threshold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Chart'!$B$1:$S$1,0)))),base,IF(OR(cat="Status",pow=0),0,FLOOR(FLOOR(FLOOR((2*XLOOKUP($Q753,'Threshold Summary'!$Y:$Y,'Threshold Summary'!$L:$L,"")/5+2)*pow*atk/def)/50)+2)),modifier,stab*eff,FLOOR(base*modifier)),0)</f>
        <v/>
      </c>
      <c r="L753" s="3">
        <f>IFERROR(LET(mtype,XLOOKUP($D753,'Move Editor'!$B:$B,'Move Editor'!$C:$C,""),cat,XLOOKUP($D753,'Move Editor'!$B:$B,'Move Editor'!$D:$D,""),pow,XLOOKUP($D753,'Move Editor'!$B:$B,'Move Editor'!$E:$E,0),acc,XLOOKUP($D753,'Move Editor'!$B:$B,'Move Editor'!$F:$F,100),atk,IF(cat="Physical",FLOOR((FLOOR(((2*XLOOKUP(XLOOKUP($Q753,'Threshold Summary'!$Y:$Y,'Threshold Summary'!$K:$K,""),'Pokemon Editor'!$A:$A,'Pokemon Editor'!$F:$F,0)+31+FLOOR(XLOOKUP($Q753,'Threshold Summary'!$Y:$Y,'Threshold Summary'!$P:$P,"")/4))*XLOOKUP($Q753,'Threshold Summary'!$Y:$Y,'Threshold Summary'!$L:$L,""))/100)+5)*XLOOKUP(XLOOKUP($Q753,'Threshold Summary'!$Y:$Y,'Threshold Summary'!$M:$M,""),'Nature Editor'!$A:$A,'Nature Editor'!$B:$B,1)),FLOOR((FLOOR(((2*XLOOKUP(XLOOKUP($Q753,'Threshold Summary'!$Y:$Y,'Threshold Summary'!$K:$K,""),'Pokemon Editor'!$A:$A,'Pokemon Editor'!$H:$H,0)+31+FLOOR(XLOOKUP($Q753,'Threshold Summary'!$Y:$Y,'Threshold Summary'!$R:$R,"")/4))*XLOOKUP($Q753,'Threshold Summary'!$Y:$Y,'Threshold Summary'!$L:$L,""))/100)+5)*XLOOKUP(XLOOKUP($Q753,'Threshold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Editor'!$E:$E,1))),stab,IF(OR(mtype=XLOOKUP(XLOOKUP($Q753,'Threshold Summary'!$Y:$Y,'Threshold Summary'!$K:$K,""),'Pokemon Editor'!$A:$A,'Pokemon Editor'!$C:$C,""),mtype=XLOOKUP(XLOOKUP($Q753,'Threshold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Chart'!$B$1:$S$1,0)))),base,IF(OR(cat="Status",pow=0),0,FLOOR(FLOOR(FLOOR((2*XLOOKUP($Q753,'Threshold Summary'!$Y:$Y,'Threshold Summary'!$L:$L,"")/5+2)*pow*atk/def)/50)+2)),modifier,stab*eff,AVERAGE(ARRAYFORMULA(FLOOR(base*modifier*SEQUENCE(16,1,85,1)/100)))),0)</f>
        <v/>
      </c>
      <c r="M753" s="3">
        <f>IFERROR(LET(mtype,XLOOKUP($D753,'Move Editor'!$B:$B,'Move Editor'!$C:$C,""),cat,XLOOKUP($D753,'Move Editor'!$B:$B,'Move Editor'!$D:$D,""),pow,XLOOKUP($D753,'Move Editor'!$B:$B,'Move Editor'!$E:$E,0),acc,XLOOKUP($D753,'Move Editor'!$B:$B,'Move Editor'!$F:$F,100),atk,IF(cat="Physical",FLOOR((FLOOR(((2*XLOOKUP(XLOOKUP($Q753,'Threshold Summary'!$Y:$Y,'Threshold Summary'!$K:$K,""),'Pokemon Editor'!$A:$A,'Pokemon Editor'!$F:$F,0)+31+FLOOR(XLOOKUP($Q753,'Threshold Summary'!$Y:$Y,'Threshold Summary'!$P:$P,"")/4))*XLOOKUP($Q753,'Threshold Summary'!$Y:$Y,'Threshold Summary'!$L:$L,""))/100)+5)*XLOOKUP(XLOOKUP($Q753,'Threshold Summary'!$Y:$Y,'Threshold Summary'!$M:$M,""),'Nature Editor'!$A:$A,'Nature Editor'!$B:$B,1)),FLOOR((FLOOR(((2*XLOOKUP(XLOOKUP($Q753,'Threshold Summary'!$Y:$Y,'Threshold Summary'!$K:$K,""),'Pokemon Editor'!$A:$A,'Pokemon Editor'!$H:$H,0)+31+FLOOR(XLOOKUP($Q753,'Threshold Summary'!$Y:$Y,'Threshold Summary'!$R:$R,"")/4))*XLOOKUP($Q753,'Threshold Summary'!$Y:$Y,'Threshold Summary'!$L:$L,""))/100)+5)*XLOOKUP(XLOOKUP($Q753,'Threshold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Editor'!$E:$E,1))),stab,IF(OR(mtype=XLOOKUP(XLOOKUP($Q753,'Threshold Summary'!$Y:$Y,'Threshold Summary'!$K:$K,""),'Pokemon Editor'!$A:$A,'Pokemon Editor'!$C:$C,""),mtype=XLOOKUP(XLOOKUP($Q753,'Threshold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Chart'!$B$1:$S$1,0)))),base,IF(OR(cat="Status",pow=0),0,FLOOR(FLOOR(FLOOR((2*XLOOKUP($Q753,'Threshold Summary'!$Y:$Y,'Threshold Summary'!$L:$L,"")/5+2)*pow*atk/def)/50)+2)),modifier,stab*eff,AVERAGE(ARRAYFORMULA(FLOOR(base*modifier*SEQUENCE(16,1,85,1)/100)))*MIN(1,acc/100)),0)</f>
        <v/>
      </c>
      <c r="N753" s="4">
        <f>IFERROR(LET(mtype,XLOOKUP($D753,'Move Editor'!$B:$B,'Move Editor'!$C:$C,""),cat,XLOOKUP($D753,'Move Editor'!$B:$B,'Move Editor'!$D:$D,""),pow,XLOOKUP($D753,'Move Editor'!$B:$B,'Move Editor'!$E:$E,0),acc,XLOOKUP($D753,'Move Editor'!$B:$B,'Move Editor'!$F:$F,100),atk,IF(cat="Physical",FLOOR((FLOOR(((2*XLOOKUP(XLOOKUP($Q753,'Threshold Summary'!$Y:$Y,'Threshold Summary'!$K:$K,""),'Pokemon Editor'!$A:$A,'Pokemon Editor'!$F:$F,0)+31+FLOOR(XLOOKUP($Q753,'Threshold Summary'!$Y:$Y,'Threshold Summary'!$P:$P,"")/4))*XLOOKUP($Q753,'Threshold Summary'!$Y:$Y,'Threshold Summary'!$L:$L,""))/100)+5)*XLOOKUP(XLOOKUP($Q753,'Threshold Summary'!$Y:$Y,'Threshold Summary'!$M:$M,""),'Nature Editor'!$A:$A,'Nature Editor'!$B:$B,1)),FLOOR((FLOOR(((2*XLOOKUP(XLOOKUP($Q753,'Threshold Summary'!$Y:$Y,'Threshold Summary'!$K:$K,""),'Pokemon Editor'!$A:$A,'Pokemon Editor'!$H:$H,0)+31+FLOOR(XLOOKUP($Q753,'Threshold Summary'!$Y:$Y,'Threshold Summary'!$R:$R,"")/4))*XLOOKUP($Q753,'Threshold Summary'!$Y:$Y,'Threshold Summary'!$L:$L,""))/100)+5)*XLOOKUP(XLOOKUP($Q753,'Threshold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Editor'!$E:$E,1))),stab,IF(OR(mtype=XLOOKUP(XLOOKUP($Q753,'Threshold Summary'!$Y:$Y,'Threshold Summary'!$K:$K,""),'Pokemon Editor'!$A:$A,'Pokemon Editor'!$C:$C,""),mtype=XLOOKUP(XLOOKUP($Q753,'Threshold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Chart'!$B$1:$S$1,0)))),base,IF(OR(cat="Status",pow=0),0,FLOOR(FLOOR(FLOOR((2*XLOOKUP($Q753,'Threshold Summary'!$Y:$Y,'Threshold Summary'!$L:$L,"")/5+2)*pow*atk/def)/50)+2)),modifier,stab*eff,AVERAGE(ARRAYFORMULA(FLOOR(base*modifier*SEQUENCE(16,1,85,1)/100)))/(FLOOR(((2*XLOOKUP('Boss Editor'!$C$4,'Pokemon Editor'!$A:$A,'Pokemon Editor'!$E:$E,0)+31+FLOOR('Boss Editor'!$G$4/4))*'Boss Editor'!$D$4)/100)+'Boss Editor'!$D$4+10)),0)</f>
        <v/>
      </c>
      <c r="O753" s="3">
        <f>IF(N753&gt;=1,"OHKO",IF(N753&gt;=0.5,"2HKO",IF(N753&gt;=0.333,"3HKO",IF(N753&gt;=0.25,"4HKO","5HKO+"))))</f>
        <v/>
      </c>
      <c r="P753" s="3" t="inlineStr">
        <is>
          <t>Live from editable databases</t>
        </is>
      </c>
      <c r="Q753" s="3" t="inlineStr">
        <is>
          <t>SPECIES_STUFFUL</t>
        </is>
      </c>
      <c r="R753" s="3" t="n">
        <v>16</v>
      </c>
    </row>
    <row r="754">
      <c r="A754" s="3">
        <f>XLOOKUP($Q754,'Threshold Summary'!$Y:$Y,'Threshold Summary'!$A:$A,"")</f>
        <v/>
      </c>
      <c r="B754" s="3">
        <f>XLOOKUP($Q754,'Threshold Summary'!$Y:$Y,'Threshold Summary'!$M:$M,"")</f>
        <v/>
      </c>
      <c r="C754" s="3">
        <f>XLOOKUP($Q754,'Threshold Summary'!$Y:$Y,'Threshold Summary'!$N:$N,"")</f>
        <v/>
      </c>
      <c r="D754" s="3">
        <f>IFERROR(INDEX(FILTER('Learnset Editor'!$D$2:$D,'Learnset Editor'!$A$2:$A=XLOOKUP($Q754,'Threshold Summary'!$Y:$Y,'Threshold Summary'!$K:$K,""),'Learnset Editor'!$C$2:$C&lt;=XLOOKUP($Q754,'Threshold Summary'!$Y:$Y,'Threshold Summary'!$L:$L,"")),$R754),"")</f>
        <v/>
      </c>
      <c r="E754" s="3">
        <f>XLOOKUP(D754,'Move Editor'!$B:$B,'Move Editor'!$C:$C,"")</f>
        <v/>
      </c>
      <c r="F754" s="3">
        <f>XLOOKUP(D754,'Move Editor'!$B:$B,'Move Editor'!$D:$D,"")</f>
        <v/>
      </c>
      <c r="G754" s="3">
        <f>XLOOKUP(D754,'Move Editor'!$B:$B,'Move Editor'!$E:$E,0)</f>
        <v/>
      </c>
      <c r="H754" s="3">
        <f>XLOOKUP(D754,'Move Editor'!$B:$B,'Move Editor'!$F:$F,0)</f>
        <v/>
      </c>
      <c r="I754" s="3">
        <f>(INDEX('Type Chart'!$B:$S,MATCH(E754,'Type Chart'!$A:$A,0),MATCH(XLOOKUP('Boss Editor'!$C$4,'Pokemon Editor'!$A:$A,'Pokemon Editor'!$C:$C,""),'Type Chart'!$B$1:$S$1,0))*IF(XLOOKUP('Boss Editor'!$C$4,'Pokemon Editor'!$A:$A,'Pokemon Editor'!$D:$D,"")="",1,INDEX('Type Chart'!$B:$S,MATCH(E754,'Type Chart'!$A:$A,0),MATCH(XLOOKUP('Boss Editor'!$C$4,'Pokemon Editor'!$A:$A,'Pokemon Editor'!$D:$D,""),'Type Chart'!$B$1:$S$1,0))))</f>
        <v/>
      </c>
      <c r="J754" s="3">
        <f>IFERROR(LET(mtype,XLOOKUP($D754,'Move Editor'!$B:$B,'Move Editor'!$C:$C,""),cat,XLOOKUP($D754,'Move Editor'!$B:$B,'Move Editor'!$D:$D,""),pow,XLOOKUP($D754,'Move Editor'!$B:$B,'Move Editor'!$E:$E,0),acc,XLOOKUP($D754,'Move Editor'!$B:$B,'Move Editor'!$F:$F,100),atk,IF(cat="Physical",FLOOR((FLOOR(((2*XLOOKUP(XLOOKUP($Q754,'Threshold Summary'!$Y:$Y,'Threshold Summary'!$K:$K,""),'Pokemon Editor'!$A:$A,'Pokemon Editor'!$F:$F,0)+31+FLOOR(XLOOKUP($Q754,'Threshold Summary'!$Y:$Y,'Threshold Summary'!$P:$P,"")/4))*XLOOKUP($Q754,'Threshold Summary'!$Y:$Y,'Threshold Summary'!$L:$L,""))/100)+5)*XLOOKUP(XLOOKUP($Q754,'Threshold Summary'!$Y:$Y,'Threshold Summary'!$M:$M,""),'Nature Editor'!$A:$A,'Nature Editor'!$B:$B,1)),FLOOR((FLOOR(((2*XLOOKUP(XLOOKUP($Q754,'Threshold Summary'!$Y:$Y,'Threshold Summary'!$K:$K,""),'Pokemon Editor'!$A:$A,'Pokemon Editor'!$H:$H,0)+31+FLOOR(XLOOKUP($Q754,'Threshold Summary'!$Y:$Y,'Threshold Summary'!$R:$R,"")/4))*XLOOKUP($Q754,'Threshold Summary'!$Y:$Y,'Threshold Summary'!$L:$L,""))/100)+5)*XLOOKUP(XLOOKUP($Q754,'Threshold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Editor'!$E:$E,1))),stab,IF(OR(mtype=XLOOKUP(XLOOKUP($Q754,'Threshold Summary'!$Y:$Y,'Threshold Summary'!$K:$K,""),'Pokemon Editor'!$A:$A,'Pokemon Editor'!$C:$C,""),mtype=XLOOKUP(XLOOKUP($Q754,'Threshold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Chart'!$B$1:$S$1,0)))),base,IF(OR(cat="Status",pow=0),0,FLOOR(FLOOR(FLOOR((2*XLOOKUP($Q754,'Threshold Summary'!$Y:$Y,'Threshold Summary'!$L:$L,"")/5+2)*pow*atk/def)/50)+2)),modifier,stab*eff,FLOOR(base*modifier*0.85)),0)</f>
        <v/>
      </c>
      <c r="K754" s="3">
        <f>IFERROR(LET(mtype,XLOOKUP($D754,'Move Editor'!$B:$B,'Move Editor'!$C:$C,""),cat,XLOOKUP($D754,'Move Editor'!$B:$B,'Move Editor'!$D:$D,""),pow,XLOOKUP($D754,'Move Editor'!$B:$B,'Move Editor'!$E:$E,0),acc,XLOOKUP($D754,'Move Editor'!$B:$B,'Move Editor'!$F:$F,100),atk,IF(cat="Physical",FLOOR((FLOOR(((2*XLOOKUP(XLOOKUP($Q754,'Threshold Summary'!$Y:$Y,'Threshold Summary'!$K:$K,""),'Pokemon Editor'!$A:$A,'Pokemon Editor'!$F:$F,0)+31+FLOOR(XLOOKUP($Q754,'Threshold Summary'!$Y:$Y,'Threshold Summary'!$P:$P,"")/4))*XLOOKUP($Q754,'Threshold Summary'!$Y:$Y,'Threshold Summary'!$L:$L,""))/100)+5)*XLOOKUP(XLOOKUP($Q754,'Threshold Summary'!$Y:$Y,'Threshold Summary'!$M:$M,""),'Nature Editor'!$A:$A,'Nature Editor'!$B:$B,1)),FLOOR((FLOOR(((2*XLOOKUP(XLOOKUP($Q754,'Threshold Summary'!$Y:$Y,'Threshold Summary'!$K:$K,""),'Pokemon Editor'!$A:$A,'Pokemon Editor'!$H:$H,0)+31+FLOOR(XLOOKUP($Q754,'Threshold Summary'!$Y:$Y,'Threshold Summary'!$R:$R,"")/4))*XLOOKUP($Q754,'Threshold Summary'!$Y:$Y,'Threshold Summary'!$L:$L,""))/100)+5)*XLOOKUP(XLOOKUP($Q754,'Threshold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Editor'!$E:$E,1))),stab,IF(OR(mtype=XLOOKUP(XLOOKUP($Q754,'Threshold Summary'!$Y:$Y,'Threshold Summary'!$K:$K,""),'Pokemon Editor'!$A:$A,'Pokemon Editor'!$C:$C,""),mtype=XLOOKUP(XLOOKUP($Q754,'Threshold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Chart'!$B$1:$S$1,0)))),base,IF(OR(cat="Status",pow=0),0,FLOOR(FLOOR(FLOOR((2*XLOOKUP($Q754,'Threshold Summary'!$Y:$Y,'Threshold Summary'!$L:$L,"")/5+2)*pow*atk/def)/50)+2)),modifier,stab*eff,FLOOR(base*modifier)),0)</f>
        <v/>
      </c>
      <c r="L754" s="3">
        <f>IFERROR(LET(mtype,XLOOKUP($D754,'Move Editor'!$B:$B,'Move Editor'!$C:$C,""),cat,XLOOKUP($D754,'Move Editor'!$B:$B,'Move Editor'!$D:$D,""),pow,XLOOKUP($D754,'Move Editor'!$B:$B,'Move Editor'!$E:$E,0),acc,XLOOKUP($D754,'Move Editor'!$B:$B,'Move Editor'!$F:$F,100),atk,IF(cat="Physical",FLOOR((FLOOR(((2*XLOOKUP(XLOOKUP($Q754,'Threshold Summary'!$Y:$Y,'Threshold Summary'!$K:$K,""),'Pokemon Editor'!$A:$A,'Pokemon Editor'!$F:$F,0)+31+FLOOR(XLOOKUP($Q754,'Threshold Summary'!$Y:$Y,'Threshold Summary'!$P:$P,"")/4))*XLOOKUP($Q754,'Threshold Summary'!$Y:$Y,'Threshold Summary'!$L:$L,""))/100)+5)*XLOOKUP(XLOOKUP($Q754,'Threshold Summary'!$Y:$Y,'Threshold Summary'!$M:$M,""),'Nature Editor'!$A:$A,'Nature Editor'!$B:$B,1)),FLOOR((FLOOR(((2*XLOOKUP(XLOOKUP($Q754,'Threshold Summary'!$Y:$Y,'Threshold Summary'!$K:$K,""),'Pokemon Editor'!$A:$A,'Pokemon Editor'!$H:$H,0)+31+FLOOR(XLOOKUP($Q754,'Threshold Summary'!$Y:$Y,'Threshold Summary'!$R:$R,"")/4))*XLOOKUP($Q754,'Threshold Summary'!$Y:$Y,'Threshold Summary'!$L:$L,""))/100)+5)*XLOOKUP(XLOOKUP($Q754,'Threshold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Editor'!$E:$E,1))),stab,IF(OR(mtype=XLOOKUP(XLOOKUP($Q754,'Threshold Summary'!$Y:$Y,'Threshold Summary'!$K:$K,""),'Pokemon Editor'!$A:$A,'Pokemon Editor'!$C:$C,""),mtype=XLOOKUP(XLOOKUP($Q754,'Threshold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Chart'!$B$1:$S$1,0)))),base,IF(OR(cat="Status",pow=0),0,FLOOR(FLOOR(FLOOR((2*XLOOKUP($Q754,'Threshold Summary'!$Y:$Y,'Threshold Summary'!$L:$L,"")/5+2)*pow*atk/def)/50)+2)),modifier,stab*eff,AVERAGE(ARRAYFORMULA(FLOOR(base*modifier*SEQUENCE(16,1,85,1)/100)))),0)</f>
        <v/>
      </c>
      <c r="M754" s="3">
        <f>IFERROR(LET(mtype,XLOOKUP($D754,'Move Editor'!$B:$B,'Move Editor'!$C:$C,""),cat,XLOOKUP($D754,'Move Editor'!$B:$B,'Move Editor'!$D:$D,""),pow,XLOOKUP($D754,'Move Editor'!$B:$B,'Move Editor'!$E:$E,0),acc,XLOOKUP($D754,'Move Editor'!$B:$B,'Move Editor'!$F:$F,100),atk,IF(cat="Physical",FLOOR((FLOOR(((2*XLOOKUP(XLOOKUP($Q754,'Threshold Summary'!$Y:$Y,'Threshold Summary'!$K:$K,""),'Pokemon Editor'!$A:$A,'Pokemon Editor'!$F:$F,0)+31+FLOOR(XLOOKUP($Q754,'Threshold Summary'!$Y:$Y,'Threshold Summary'!$P:$P,"")/4))*XLOOKUP($Q754,'Threshold Summary'!$Y:$Y,'Threshold Summary'!$L:$L,""))/100)+5)*XLOOKUP(XLOOKUP($Q754,'Threshold Summary'!$Y:$Y,'Threshold Summary'!$M:$M,""),'Nature Editor'!$A:$A,'Nature Editor'!$B:$B,1)),FLOOR((FLOOR(((2*XLOOKUP(XLOOKUP($Q754,'Threshold Summary'!$Y:$Y,'Threshold Summary'!$K:$K,""),'Pokemon Editor'!$A:$A,'Pokemon Editor'!$H:$H,0)+31+FLOOR(XLOOKUP($Q754,'Threshold Summary'!$Y:$Y,'Threshold Summary'!$R:$R,"")/4))*XLOOKUP($Q754,'Threshold Summary'!$Y:$Y,'Threshold Summary'!$L:$L,""))/100)+5)*XLOOKUP(XLOOKUP($Q754,'Threshold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Editor'!$E:$E,1))),stab,IF(OR(mtype=XLOOKUP(XLOOKUP($Q754,'Threshold Summary'!$Y:$Y,'Threshold Summary'!$K:$K,""),'Pokemon Editor'!$A:$A,'Pokemon Editor'!$C:$C,""),mtype=XLOOKUP(XLOOKUP($Q754,'Threshold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Chart'!$B$1:$S$1,0)))),base,IF(OR(cat="Status",pow=0),0,FLOOR(FLOOR(FLOOR((2*XLOOKUP($Q754,'Threshold Summary'!$Y:$Y,'Threshold Summary'!$L:$L,"")/5+2)*pow*atk/def)/50)+2)),modifier,stab*eff,AVERAGE(ARRAYFORMULA(FLOOR(base*modifier*SEQUENCE(16,1,85,1)/100)))*MIN(1,acc/100)),0)</f>
        <v/>
      </c>
      <c r="N754" s="4">
        <f>IFERROR(LET(mtype,XLOOKUP($D754,'Move Editor'!$B:$B,'Move Editor'!$C:$C,""),cat,XLOOKUP($D754,'Move Editor'!$B:$B,'Move Editor'!$D:$D,""),pow,XLOOKUP($D754,'Move Editor'!$B:$B,'Move Editor'!$E:$E,0),acc,XLOOKUP($D754,'Move Editor'!$B:$B,'Move Editor'!$F:$F,100),atk,IF(cat="Physical",FLOOR((FLOOR(((2*XLOOKUP(XLOOKUP($Q754,'Threshold Summary'!$Y:$Y,'Threshold Summary'!$K:$K,""),'Pokemon Editor'!$A:$A,'Pokemon Editor'!$F:$F,0)+31+FLOOR(XLOOKUP($Q754,'Threshold Summary'!$Y:$Y,'Threshold Summary'!$P:$P,"")/4))*XLOOKUP($Q754,'Threshold Summary'!$Y:$Y,'Threshold Summary'!$L:$L,""))/100)+5)*XLOOKUP(XLOOKUP($Q754,'Threshold Summary'!$Y:$Y,'Threshold Summary'!$M:$M,""),'Nature Editor'!$A:$A,'Nature Editor'!$B:$B,1)),FLOOR((FLOOR(((2*XLOOKUP(XLOOKUP($Q754,'Threshold Summary'!$Y:$Y,'Threshold Summary'!$K:$K,""),'Pokemon Editor'!$A:$A,'Pokemon Editor'!$H:$H,0)+31+FLOOR(XLOOKUP($Q754,'Threshold Summary'!$Y:$Y,'Threshold Summary'!$R:$R,"")/4))*XLOOKUP($Q754,'Threshold Summary'!$Y:$Y,'Threshold Summary'!$L:$L,""))/100)+5)*XLOOKUP(XLOOKUP($Q754,'Threshold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Editor'!$E:$E,1))),stab,IF(OR(mtype=XLOOKUP(XLOOKUP($Q754,'Threshold Summary'!$Y:$Y,'Threshold Summary'!$K:$K,""),'Pokemon Editor'!$A:$A,'Pokemon Editor'!$C:$C,""),mtype=XLOOKUP(XLOOKUP($Q754,'Threshold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Chart'!$B$1:$S$1,0)))),base,IF(OR(cat="Status",pow=0),0,FLOOR(FLOOR(FLOOR((2*XLOOKUP($Q754,'Threshold Summary'!$Y:$Y,'Threshold Summary'!$L:$L,"")/5+2)*pow*atk/def)/50)+2)),modifier,stab*eff,AVERAGE(ARRAYFORMULA(FLOOR(base*modifier*SEQUENCE(16,1,85,1)/100)))/(FLOOR(((2*XLOOKUP('Boss Editor'!$C$4,'Pokemon Editor'!$A:$A,'Pokemon Editor'!$E:$E,0)+31+FLOOR('Boss Editor'!$G$4/4))*'Boss Editor'!$D$4)/100)+'Boss Editor'!$D$4+10)),0)</f>
        <v/>
      </c>
      <c r="O754" s="3">
        <f>IF(N754&gt;=1,"OHKO",IF(N754&gt;=0.5,"2HKO",IF(N754&gt;=0.333,"3HKO",IF(N754&gt;=0.25,"4HKO","5HKO+"))))</f>
        <v/>
      </c>
      <c r="P754" s="3" t="inlineStr">
        <is>
          <t>Live from editable databases</t>
        </is>
      </c>
      <c r="Q754" s="3" t="inlineStr">
        <is>
          <t>SPECIES_STUFFUL</t>
        </is>
      </c>
      <c r="R754" s="3" t="n">
        <v>17</v>
      </c>
    </row>
    <row r="755">
      <c r="A755" s="3">
        <f>XLOOKUP($Q755,'Threshold Summary'!$Y:$Y,'Threshold Summary'!$A:$A,"")</f>
        <v/>
      </c>
      <c r="B755" s="3">
        <f>XLOOKUP($Q755,'Threshold Summary'!$Y:$Y,'Threshold Summary'!$M:$M,"")</f>
        <v/>
      </c>
      <c r="C755" s="3">
        <f>XLOOKUP($Q755,'Threshold Summary'!$Y:$Y,'Threshold Summary'!$N:$N,"")</f>
        <v/>
      </c>
      <c r="D755" s="3">
        <f>IFERROR(INDEX(FILTER('Learnset Editor'!$D$2:$D,'Learnset Editor'!$A$2:$A=XLOOKUP($Q755,'Threshold Summary'!$Y:$Y,'Threshold Summary'!$K:$K,""),'Learnset Editor'!$C$2:$C&lt;=XLOOKUP($Q755,'Threshold Summary'!$Y:$Y,'Threshold Summary'!$L:$L,"")),$R755),"")</f>
        <v/>
      </c>
      <c r="E755" s="3">
        <f>XLOOKUP(D755,'Move Editor'!$B:$B,'Move Editor'!$C:$C,"")</f>
        <v/>
      </c>
      <c r="F755" s="3">
        <f>XLOOKUP(D755,'Move Editor'!$B:$B,'Move Editor'!$D:$D,"")</f>
        <v/>
      </c>
      <c r="G755" s="3">
        <f>XLOOKUP(D755,'Move Editor'!$B:$B,'Move Editor'!$E:$E,0)</f>
        <v/>
      </c>
      <c r="H755" s="3">
        <f>XLOOKUP(D755,'Move Editor'!$B:$B,'Move Editor'!$F:$F,0)</f>
        <v/>
      </c>
      <c r="I755" s="3">
        <f>(INDEX('Type Chart'!$B:$S,MATCH(E755,'Type Chart'!$A:$A,0),MATCH(XLOOKUP('Boss Editor'!$C$4,'Pokemon Editor'!$A:$A,'Pokemon Editor'!$C:$C,""),'Type Chart'!$B$1:$S$1,0))*IF(XLOOKUP('Boss Editor'!$C$4,'Pokemon Editor'!$A:$A,'Pokemon Editor'!$D:$D,"")="",1,INDEX('Type Chart'!$B:$S,MATCH(E755,'Type Chart'!$A:$A,0),MATCH(XLOOKUP('Boss Editor'!$C$4,'Pokemon Editor'!$A:$A,'Pokemon Editor'!$D:$D,""),'Type Chart'!$B$1:$S$1,0))))</f>
        <v/>
      </c>
      <c r="J755" s="3">
        <f>IFERROR(LET(mtype,XLOOKUP($D755,'Move Editor'!$B:$B,'Move Editor'!$C:$C,""),cat,XLOOKUP($D755,'Move Editor'!$B:$B,'Move Editor'!$D:$D,""),pow,XLOOKUP($D755,'Move Editor'!$B:$B,'Move Editor'!$E:$E,0),acc,XLOOKUP($D755,'Move Editor'!$B:$B,'Move Editor'!$F:$F,100),atk,IF(cat="Physical",FLOOR((FLOOR(((2*XLOOKUP(XLOOKUP($Q755,'Threshold Summary'!$Y:$Y,'Threshold Summary'!$K:$K,""),'Pokemon Editor'!$A:$A,'Pokemon Editor'!$F:$F,0)+31+FLOOR(XLOOKUP($Q755,'Threshold Summary'!$Y:$Y,'Threshold Summary'!$P:$P,"")/4))*XLOOKUP($Q755,'Threshold Summary'!$Y:$Y,'Threshold Summary'!$L:$L,""))/100)+5)*XLOOKUP(XLOOKUP($Q755,'Threshold Summary'!$Y:$Y,'Threshold Summary'!$M:$M,""),'Nature Editor'!$A:$A,'Nature Editor'!$B:$B,1)),FLOOR((FLOOR(((2*XLOOKUP(XLOOKUP($Q755,'Threshold Summary'!$Y:$Y,'Threshold Summary'!$K:$K,""),'Pokemon Editor'!$A:$A,'Pokemon Editor'!$H:$H,0)+31+FLOOR(XLOOKUP($Q755,'Threshold Summary'!$Y:$Y,'Threshold Summary'!$R:$R,"")/4))*XLOOKUP($Q755,'Threshold Summary'!$Y:$Y,'Threshold Summary'!$L:$L,""))/100)+5)*XLOOKUP(XLOOKUP($Q755,'Threshold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Editor'!$E:$E,1))),stab,IF(OR(mtype=XLOOKUP(XLOOKUP($Q755,'Threshold Summary'!$Y:$Y,'Threshold Summary'!$K:$K,""),'Pokemon Editor'!$A:$A,'Pokemon Editor'!$C:$C,""),mtype=XLOOKUP(XLOOKUP($Q755,'Threshold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Chart'!$B$1:$S$1,0)))),base,IF(OR(cat="Status",pow=0),0,FLOOR(FLOOR(FLOOR((2*XLOOKUP($Q755,'Threshold Summary'!$Y:$Y,'Threshold Summary'!$L:$L,"")/5+2)*pow*atk/def)/50)+2)),modifier,stab*eff,FLOOR(base*modifier*0.85)),0)</f>
        <v/>
      </c>
      <c r="K755" s="3">
        <f>IFERROR(LET(mtype,XLOOKUP($D755,'Move Editor'!$B:$B,'Move Editor'!$C:$C,""),cat,XLOOKUP($D755,'Move Editor'!$B:$B,'Move Editor'!$D:$D,""),pow,XLOOKUP($D755,'Move Editor'!$B:$B,'Move Editor'!$E:$E,0),acc,XLOOKUP($D755,'Move Editor'!$B:$B,'Move Editor'!$F:$F,100),atk,IF(cat="Physical",FLOOR((FLOOR(((2*XLOOKUP(XLOOKUP($Q755,'Threshold Summary'!$Y:$Y,'Threshold Summary'!$K:$K,""),'Pokemon Editor'!$A:$A,'Pokemon Editor'!$F:$F,0)+31+FLOOR(XLOOKUP($Q755,'Threshold Summary'!$Y:$Y,'Threshold Summary'!$P:$P,"")/4))*XLOOKUP($Q755,'Threshold Summary'!$Y:$Y,'Threshold Summary'!$L:$L,""))/100)+5)*XLOOKUP(XLOOKUP($Q755,'Threshold Summary'!$Y:$Y,'Threshold Summary'!$M:$M,""),'Nature Editor'!$A:$A,'Nature Editor'!$B:$B,1)),FLOOR((FLOOR(((2*XLOOKUP(XLOOKUP($Q755,'Threshold Summary'!$Y:$Y,'Threshold Summary'!$K:$K,""),'Pokemon Editor'!$A:$A,'Pokemon Editor'!$H:$H,0)+31+FLOOR(XLOOKUP($Q755,'Threshold Summary'!$Y:$Y,'Threshold Summary'!$R:$R,"")/4))*XLOOKUP($Q755,'Threshold Summary'!$Y:$Y,'Threshold Summary'!$L:$L,""))/100)+5)*XLOOKUP(XLOOKUP($Q755,'Threshold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Editor'!$E:$E,1))),stab,IF(OR(mtype=XLOOKUP(XLOOKUP($Q755,'Threshold Summary'!$Y:$Y,'Threshold Summary'!$K:$K,""),'Pokemon Editor'!$A:$A,'Pokemon Editor'!$C:$C,""),mtype=XLOOKUP(XLOOKUP($Q755,'Threshold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Chart'!$B$1:$S$1,0)))),base,IF(OR(cat="Status",pow=0),0,FLOOR(FLOOR(FLOOR((2*XLOOKUP($Q755,'Threshold Summary'!$Y:$Y,'Threshold Summary'!$L:$L,"")/5+2)*pow*atk/def)/50)+2)),modifier,stab*eff,FLOOR(base*modifier)),0)</f>
        <v/>
      </c>
      <c r="L755" s="3">
        <f>IFERROR(LET(mtype,XLOOKUP($D755,'Move Editor'!$B:$B,'Move Editor'!$C:$C,""),cat,XLOOKUP($D755,'Move Editor'!$B:$B,'Move Editor'!$D:$D,""),pow,XLOOKUP($D755,'Move Editor'!$B:$B,'Move Editor'!$E:$E,0),acc,XLOOKUP($D755,'Move Editor'!$B:$B,'Move Editor'!$F:$F,100),atk,IF(cat="Physical",FLOOR((FLOOR(((2*XLOOKUP(XLOOKUP($Q755,'Threshold Summary'!$Y:$Y,'Threshold Summary'!$K:$K,""),'Pokemon Editor'!$A:$A,'Pokemon Editor'!$F:$F,0)+31+FLOOR(XLOOKUP($Q755,'Threshold Summary'!$Y:$Y,'Threshold Summary'!$P:$P,"")/4))*XLOOKUP($Q755,'Threshold Summary'!$Y:$Y,'Threshold Summary'!$L:$L,""))/100)+5)*XLOOKUP(XLOOKUP($Q755,'Threshold Summary'!$Y:$Y,'Threshold Summary'!$M:$M,""),'Nature Editor'!$A:$A,'Nature Editor'!$B:$B,1)),FLOOR((FLOOR(((2*XLOOKUP(XLOOKUP($Q755,'Threshold Summary'!$Y:$Y,'Threshold Summary'!$K:$K,""),'Pokemon Editor'!$A:$A,'Pokemon Editor'!$H:$H,0)+31+FLOOR(XLOOKUP($Q755,'Threshold Summary'!$Y:$Y,'Threshold Summary'!$R:$R,"")/4))*XLOOKUP($Q755,'Threshold Summary'!$Y:$Y,'Threshold Summary'!$L:$L,""))/100)+5)*XLOOKUP(XLOOKUP($Q755,'Threshold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Editor'!$E:$E,1))),stab,IF(OR(mtype=XLOOKUP(XLOOKUP($Q755,'Threshold Summary'!$Y:$Y,'Threshold Summary'!$K:$K,""),'Pokemon Editor'!$A:$A,'Pokemon Editor'!$C:$C,""),mtype=XLOOKUP(XLOOKUP($Q755,'Threshold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Chart'!$B$1:$S$1,0)))),base,IF(OR(cat="Status",pow=0),0,FLOOR(FLOOR(FLOOR((2*XLOOKUP($Q755,'Threshold Summary'!$Y:$Y,'Threshold Summary'!$L:$L,"")/5+2)*pow*atk/def)/50)+2)),modifier,stab*eff,AVERAGE(ARRAYFORMULA(FLOOR(base*modifier*SEQUENCE(16,1,85,1)/100)))),0)</f>
        <v/>
      </c>
      <c r="M755" s="3">
        <f>IFERROR(LET(mtype,XLOOKUP($D755,'Move Editor'!$B:$B,'Move Editor'!$C:$C,""),cat,XLOOKUP($D755,'Move Editor'!$B:$B,'Move Editor'!$D:$D,""),pow,XLOOKUP($D755,'Move Editor'!$B:$B,'Move Editor'!$E:$E,0),acc,XLOOKUP($D755,'Move Editor'!$B:$B,'Move Editor'!$F:$F,100),atk,IF(cat="Physical",FLOOR((FLOOR(((2*XLOOKUP(XLOOKUP($Q755,'Threshold Summary'!$Y:$Y,'Threshold Summary'!$K:$K,""),'Pokemon Editor'!$A:$A,'Pokemon Editor'!$F:$F,0)+31+FLOOR(XLOOKUP($Q755,'Threshold Summary'!$Y:$Y,'Threshold Summary'!$P:$P,"")/4))*XLOOKUP($Q755,'Threshold Summary'!$Y:$Y,'Threshold Summary'!$L:$L,""))/100)+5)*XLOOKUP(XLOOKUP($Q755,'Threshold Summary'!$Y:$Y,'Threshold Summary'!$M:$M,""),'Nature Editor'!$A:$A,'Nature Editor'!$B:$B,1)),FLOOR((FLOOR(((2*XLOOKUP(XLOOKUP($Q755,'Threshold Summary'!$Y:$Y,'Threshold Summary'!$K:$K,""),'Pokemon Editor'!$A:$A,'Pokemon Editor'!$H:$H,0)+31+FLOOR(XLOOKUP($Q755,'Threshold Summary'!$Y:$Y,'Threshold Summary'!$R:$R,"")/4))*XLOOKUP($Q755,'Threshold Summary'!$Y:$Y,'Threshold Summary'!$L:$L,""))/100)+5)*XLOOKUP(XLOOKUP($Q755,'Threshold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Editor'!$E:$E,1))),stab,IF(OR(mtype=XLOOKUP(XLOOKUP($Q755,'Threshold Summary'!$Y:$Y,'Threshold Summary'!$K:$K,""),'Pokemon Editor'!$A:$A,'Pokemon Editor'!$C:$C,""),mtype=XLOOKUP(XLOOKUP($Q755,'Threshold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Chart'!$B$1:$S$1,0)))),base,IF(OR(cat="Status",pow=0),0,FLOOR(FLOOR(FLOOR((2*XLOOKUP($Q755,'Threshold Summary'!$Y:$Y,'Threshold Summary'!$L:$L,"")/5+2)*pow*atk/def)/50)+2)),modifier,stab*eff,AVERAGE(ARRAYFORMULA(FLOOR(base*modifier*SEQUENCE(16,1,85,1)/100)))*MIN(1,acc/100)),0)</f>
        <v/>
      </c>
      <c r="N755" s="4">
        <f>IFERROR(LET(mtype,XLOOKUP($D755,'Move Editor'!$B:$B,'Move Editor'!$C:$C,""),cat,XLOOKUP($D755,'Move Editor'!$B:$B,'Move Editor'!$D:$D,""),pow,XLOOKUP($D755,'Move Editor'!$B:$B,'Move Editor'!$E:$E,0),acc,XLOOKUP($D755,'Move Editor'!$B:$B,'Move Editor'!$F:$F,100),atk,IF(cat="Physical",FLOOR((FLOOR(((2*XLOOKUP(XLOOKUP($Q755,'Threshold Summary'!$Y:$Y,'Threshold Summary'!$K:$K,""),'Pokemon Editor'!$A:$A,'Pokemon Editor'!$F:$F,0)+31+FLOOR(XLOOKUP($Q755,'Threshold Summary'!$Y:$Y,'Threshold Summary'!$P:$P,"")/4))*XLOOKUP($Q755,'Threshold Summary'!$Y:$Y,'Threshold Summary'!$L:$L,""))/100)+5)*XLOOKUP(XLOOKUP($Q755,'Threshold Summary'!$Y:$Y,'Threshold Summary'!$M:$M,""),'Nature Editor'!$A:$A,'Nature Editor'!$B:$B,1)),FLOOR((FLOOR(((2*XLOOKUP(XLOOKUP($Q755,'Threshold Summary'!$Y:$Y,'Threshold Summary'!$K:$K,""),'Pokemon Editor'!$A:$A,'Pokemon Editor'!$H:$H,0)+31+FLOOR(XLOOKUP($Q755,'Threshold Summary'!$Y:$Y,'Threshold Summary'!$R:$R,"")/4))*XLOOKUP($Q755,'Threshold Summary'!$Y:$Y,'Threshold Summary'!$L:$L,""))/100)+5)*XLOOKUP(XLOOKUP($Q755,'Threshold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Editor'!$E:$E,1))),stab,IF(OR(mtype=XLOOKUP(XLOOKUP($Q755,'Threshold Summary'!$Y:$Y,'Threshold Summary'!$K:$K,""),'Pokemon Editor'!$A:$A,'Pokemon Editor'!$C:$C,""),mtype=XLOOKUP(XLOOKUP($Q755,'Threshold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Chart'!$B$1:$S$1,0)))),base,IF(OR(cat="Status",pow=0),0,FLOOR(FLOOR(FLOOR((2*XLOOKUP($Q755,'Threshold Summary'!$Y:$Y,'Threshold Summary'!$L:$L,"")/5+2)*pow*atk/def)/50)+2)),modifier,stab*eff,AVERAGE(ARRAYFORMULA(FLOOR(base*modifier*SEQUENCE(16,1,85,1)/100)))/(FLOOR(((2*XLOOKUP('Boss Editor'!$C$4,'Pokemon Editor'!$A:$A,'Pokemon Editor'!$E:$E,0)+31+FLOOR('Boss Editor'!$G$4/4))*'Boss Editor'!$D$4)/100)+'Boss Editor'!$D$4+10)),0)</f>
        <v/>
      </c>
      <c r="O755" s="3">
        <f>IF(N755&gt;=1,"OHKO",IF(N755&gt;=0.5,"2HKO",IF(N755&gt;=0.333,"3HKO",IF(N755&gt;=0.25,"4HKO","5HKO+"))))</f>
        <v/>
      </c>
      <c r="P755" s="3" t="inlineStr">
        <is>
          <t>Live from editable databases</t>
        </is>
      </c>
      <c r="Q755" s="3" t="inlineStr">
        <is>
          <t>SPECIES_STUFFUL</t>
        </is>
      </c>
      <c r="R755" s="3" t="n">
        <v>18</v>
      </c>
    </row>
    <row r="756">
      <c r="A756" s="3">
        <f>XLOOKUP($Q756,'Threshold Summary'!$Y:$Y,'Threshold Summary'!$A:$A,"")</f>
        <v/>
      </c>
      <c r="B756" s="3">
        <f>XLOOKUP($Q756,'Threshold Summary'!$Y:$Y,'Threshold Summary'!$M:$M,"")</f>
        <v/>
      </c>
      <c r="C756" s="3">
        <f>XLOOKUP($Q756,'Threshold Summary'!$Y:$Y,'Threshold Summary'!$N:$N,"")</f>
        <v/>
      </c>
      <c r="D756" s="3">
        <f>IFERROR(INDEX(FILTER('Learnset Editor'!$D$2:$D,'Learnset Editor'!$A$2:$A=XLOOKUP($Q756,'Threshold Summary'!$Y:$Y,'Threshold Summary'!$K:$K,""),'Learnset Editor'!$C$2:$C&lt;=XLOOKUP($Q756,'Threshold Summary'!$Y:$Y,'Threshold Summary'!$L:$L,"")),$R756),"")</f>
        <v/>
      </c>
      <c r="E756" s="3">
        <f>XLOOKUP(D756,'Move Editor'!$B:$B,'Move Editor'!$C:$C,"")</f>
        <v/>
      </c>
      <c r="F756" s="3">
        <f>XLOOKUP(D756,'Move Editor'!$B:$B,'Move Editor'!$D:$D,"")</f>
        <v/>
      </c>
      <c r="G756" s="3">
        <f>XLOOKUP(D756,'Move Editor'!$B:$B,'Move Editor'!$E:$E,0)</f>
        <v/>
      </c>
      <c r="H756" s="3">
        <f>XLOOKUP(D756,'Move Editor'!$B:$B,'Move Editor'!$F:$F,0)</f>
        <v/>
      </c>
      <c r="I756" s="3">
        <f>(INDEX('Type Chart'!$B:$S,MATCH(E756,'Type Chart'!$A:$A,0),MATCH(XLOOKUP('Boss Editor'!$C$4,'Pokemon Editor'!$A:$A,'Pokemon Editor'!$C:$C,""),'Type Chart'!$B$1:$S$1,0))*IF(XLOOKUP('Boss Editor'!$C$4,'Pokemon Editor'!$A:$A,'Pokemon Editor'!$D:$D,"")="",1,INDEX('Type Chart'!$B:$S,MATCH(E756,'Type Chart'!$A:$A,0),MATCH(XLOOKUP('Boss Editor'!$C$4,'Pokemon Editor'!$A:$A,'Pokemon Editor'!$D:$D,""),'Type Chart'!$B$1:$S$1,0))))</f>
        <v/>
      </c>
      <c r="J756" s="3">
        <f>IFERROR(LET(mtype,XLOOKUP($D756,'Move Editor'!$B:$B,'Move Editor'!$C:$C,""),cat,XLOOKUP($D756,'Move Editor'!$B:$B,'Move Editor'!$D:$D,""),pow,XLOOKUP($D756,'Move Editor'!$B:$B,'Move Editor'!$E:$E,0),acc,XLOOKUP($D756,'Move Editor'!$B:$B,'Move Editor'!$F:$F,100),atk,IF(cat="Physical",FLOOR((FLOOR(((2*XLOOKUP(XLOOKUP($Q756,'Threshold Summary'!$Y:$Y,'Threshold Summary'!$K:$K,""),'Pokemon Editor'!$A:$A,'Pokemon Editor'!$F:$F,0)+31+FLOOR(XLOOKUP($Q756,'Threshold Summary'!$Y:$Y,'Threshold Summary'!$P:$P,"")/4))*XLOOKUP($Q756,'Threshold Summary'!$Y:$Y,'Threshold Summary'!$L:$L,""))/100)+5)*XLOOKUP(XLOOKUP($Q756,'Threshold Summary'!$Y:$Y,'Threshold Summary'!$M:$M,""),'Nature Editor'!$A:$A,'Nature Editor'!$B:$B,1)),FLOOR((FLOOR(((2*XLOOKUP(XLOOKUP($Q756,'Threshold Summary'!$Y:$Y,'Threshold Summary'!$K:$K,""),'Pokemon Editor'!$A:$A,'Pokemon Editor'!$H:$H,0)+31+FLOOR(XLOOKUP($Q756,'Threshold Summary'!$Y:$Y,'Threshold Summary'!$R:$R,"")/4))*XLOOKUP($Q756,'Threshold Summary'!$Y:$Y,'Threshold Summary'!$L:$L,""))/100)+5)*XLOOKUP(XLOOKUP($Q756,'Threshold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Editor'!$E:$E,1))),stab,IF(OR(mtype=XLOOKUP(XLOOKUP($Q756,'Threshold Summary'!$Y:$Y,'Threshold Summary'!$K:$K,""),'Pokemon Editor'!$A:$A,'Pokemon Editor'!$C:$C,""),mtype=XLOOKUP(XLOOKUP($Q756,'Threshold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Chart'!$B$1:$S$1,0)))),base,IF(OR(cat="Status",pow=0),0,FLOOR(FLOOR(FLOOR((2*XLOOKUP($Q756,'Threshold Summary'!$Y:$Y,'Threshold Summary'!$L:$L,"")/5+2)*pow*atk/def)/50)+2)),modifier,stab*eff,FLOOR(base*modifier*0.85)),0)</f>
        <v/>
      </c>
      <c r="K756" s="3">
        <f>IFERROR(LET(mtype,XLOOKUP($D756,'Move Editor'!$B:$B,'Move Editor'!$C:$C,""),cat,XLOOKUP($D756,'Move Editor'!$B:$B,'Move Editor'!$D:$D,""),pow,XLOOKUP($D756,'Move Editor'!$B:$B,'Move Editor'!$E:$E,0),acc,XLOOKUP($D756,'Move Editor'!$B:$B,'Move Editor'!$F:$F,100),atk,IF(cat="Physical",FLOOR((FLOOR(((2*XLOOKUP(XLOOKUP($Q756,'Threshold Summary'!$Y:$Y,'Threshold Summary'!$K:$K,""),'Pokemon Editor'!$A:$A,'Pokemon Editor'!$F:$F,0)+31+FLOOR(XLOOKUP($Q756,'Threshold Summary'!$Y:$Y,'Threshold Summary'!$P:$P,"")/4))*XLOOKUP($Q756,'Threshold Summary'!$Y:$Y,'Threshold Summary'!$L:$L,""))/100)+5)*XLOOKUP(XLOOKUP($Q756,'Threshold Summary'!$Y:$Y,'Threshold Summary'!$M:$M,""),'Nature Editor'!$A:$A,'Nature Editor'!$B:$B,1)),FLOOR((FLOOR(((2*XLOOKUP(XLOOKUP($Q756,'Threshold Summary'!$Y:$Y,'Threshold Summary'!$K:$K,""),'Pokemon Editor'!$A:$A,'Pokemon Editor'!$H:$H,0)+31+FLOOR(XLOOKUP($Q756,'Threshold Summary'!$Y:$Y,'Threshold Summary'!$R:$R,"")/4))*XLOOKUP($Q756,'Threshold Summary'!$Y:$Y,'Threshold Summary'!$L:$L,""))/100)+5)*XLOOKUP(XLOOKUP($Q756,'Threshold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Editor'!$E:$E,1))),stab,IF(OR(mtype=XLOOKUP(XLOOKUP($Q756,'Threshold Summary'!$Y:$Y,'Threshold Summary'!$K:$K,""),'Pokemon Editor'!$A:$A,'Pokemon Editor'!$C:$C,""),mtype=XLOOKUP(XLOOKUP($Q756,'Threshold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Chart'!$B$1:$S$1,0)))),base,IF(OR(cat="Status",pow=0),0,FLOOR(FLOOR(FLOOR((2*XLOOKUP($Q756,'Threshold Summary'!$Y:$Y,'Threshold Summary'!$L:$L,"")/5+2)*pow*atk/def)/50)+2)),modifier,stab*eff,FLOOR(base*modifier)),0)</f>
        <v/>
      </c>
      <c r="L756" s="3">
        <f>IFERROR(LET(mtype,XLOOKUP($D756,'Move Editor'!$B:$B,'Move Editor'!$C:$C,""),cat,XLOOKUP($D756,'Move Editor'!$B:$B,'Move Editor'!$D:$D,""),pow,XLOOKUP($D756,'Move Editor'!$B:$B,'Move Editor'!$E:$E,0),acc,XLOOKUP($D756,'Move Editor'!$B:$B,'Move Editor'!$F:$F,100),atk,IF(cat="Physical",FLOOR((FLOOR(((2*XLOOKUP(XLOOKUP($Q756,'Threshold Summary'!$Y:$Y,'Threshold Summary'!$K:$K,""),'Pokemon Editor'!$A:$A,'Pokemon Editor'!$F:$F,0)+31+FLOOR(XLOOKUP($Q756,'Threshold Summary'!$Y:$Y,'Threshold Summary'!$P:$P,"")/4))*XLOOKUP($Q756,'Threshold Summary'!$Y:$Y,'Threshold Summary'!$L:$L,""))/100)+5)*XLOOKUP(XLOOKUP($Q756,'Threshold Summary'!$Y:$Y,'Threshold Summary'!$M:$M,""),'Nature Editor'!$A:$A,'Nature Editor'!$B:$B,1)),FLOOR((FLOOR(((2*XLOOKUP(XLOOKUP($Q756,'Threshold Summary'!$Y:$Y,'Threshold Summary'!$K:$K,""),'Pokemon Editor'!$A:$A,'Pokemon Editor'!$H:$H,0)+31+FLOOR(XLOOKUP($Q756,'Threshold Summary'!$Y:$Y,'Threshold Summary'!$R:$R,"")/4))*XLOOKUP($Q756,'Threshold Summary'!$Y:$Y,'Threshold Summary'!$L:$L,""))/100)+5)*XLOOKUP(XLOOKUP($Q756,'Threshold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Editor'!$E:$E,1))),stab,IF(OR(mtype=XLOOKUP(XLOOKUP($Q756,'Threshold Summary'!$Y:$Y,'Threshold Summary'!$K:$K,""),'Pokemon Editor'!$A:$A,'Pokemon Editor'!$C:$C,""),mtype=XLOOKUP(XLOOKUP($Q756,'Threshold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Chart'!$B$1:$S$1,0)))),base,IF(OR(cat="Status",pow=0),0,FLOOR(FLOOR(FLOOR((2*XLOOKUP($Q756,'Threshold Summary'!$Y:$Y,'Threshold Summary'!$L:$L,"")/5+2)*pow*atk/def)/50)+2)),modifier,stab*eff,AVERAGE(ARRAYFORMULA(FLOOR(base*modifier*SEQUENCE(16,1,85,1)/100)))),0)</f>
        <v/>
      </c>
      <c r="M756" s="3">
        <f>IFERROR(LET(mtype,XLOOKUP($D756,'Move Editor'!$B:$B,'Move Editor'!$C:$C,""),cat,XLOOKUP($D756,'Move Editor'!$B:$B,'Move Editor'!$D:$D,""),pow,XLOOKUP($D756,'Move Editor'!$B:$B,'Move Editor'!$E:$E,0),acc,XLOOKUP($D756,'Move Editor'!$B:$B,'Move Editor'!$F:$F,100),atk,IF(cat="Physical",FLOOR((FLOOR(((2*XLOOKUP(XLOOKUP($Q756,'Threshold Summary'!$Y:$Y,'Threshold Summary'!$K:$K,""),'Pokemon Editor'!$A:$A,'Pokemon Editor'!$F:$F,0)+31+FLOOR(XLOOKUP($Q756,'Threshold Summary'!$Y:$Y,'Threshold Summary'!$P:$P,"")/4))*XLOOKUP($Q756,'Threshold Summary'!$Y:$Y,'Threshold Summary'!$L:$L,""))/100)+5)*XLOOKUP(XLOOKUP($Q756,'Threshold Summary'!$Y:$Y,'Threshold Summary'!$M:$M,""),'Nature Editor'!$A:$A,'Nature Editor'!$B:$B,1)),FLOOR((FLOOR(((2*XLOOKUP(XLOOKUP($Q756,'Threshold Summary'!$Y:$Y,'Threshold Summary'!$K:$K,""),'Pokemon Editor'!$A:$A,'Pokemon Editor'!$H:$H,0)+31+FLOOR(XLOOKUP($Q756,'Threshold Summary'!$Y:$Y,'Threshold Summary'!$R:$R,"")/4))*XLOOKUP($Q756,'Threshold Summary'!$Y:$Y,'Threshold Summary'!$L:$L,""))/100)+5)*XLOOKUP(XLOOKUP($Q756,'Threshold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Editor'!$E:$E,1))),stab,IF(OR(mtype=XLOOKUP(XLOOKUP($Q756,'Threshold Summary'!$Y:$Y,'Threshold Summary'!$K:$K,""),'Pokemon Editor'!$A:$A,'Pokemon Editor'!$C:$C,""),mtype=XLOOKUP(XLOOKUP($Q756,'Threshold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Chart'!$B$1:$S$1,0)))),base,IF(OR(cat="Status",pow=0),0,FLOOR(FLOOR(FLOOR((2*XLOOKUP($Q756,'Threshold Summary'!$Y:$Y,'Threshold Summary'!$L:$L,"")/5+2)*pow*atk/def)/50)+2)),modifier,stab*eff,AVERAGE(ARRAYFORMULA(FLOOR(base*modifier*SEQUENCE(16,1,85,1)/100)))*MIN(1,acc/100)),0)</f>
        <v/>
      </c>
      <c r="N756" s="4">
        <f>IFERROR(LET(mtype,XLOOKUP($D756,'Move Editor'!$B:$B,'Move Editor'!$C:$C,""),cat,XLOOKUP($D756,'Move Editor'!$B:$B,'Move Editor'!$D:$D,""),pow,XLOOKUP($D756,'Move Editor'!$B:$B,'Move Editor'!$E:$E,0),acc,XLOOKUP($D756,'Move Editor'!$B:$B,'Move Editor'!$F:$F,100),atk,IF(cat="Physical",FLOOR((FLOOR(((2*XLOOKUP(XLOOKUP($Q756,'Threshold Summary'!$Y:$Y,'Threshold Summary'!$K:$K,""),'Pokemon Editor'!$A:$A,'Pokemon Editor'!$F:$F,0)+31+FLOOR(XLOOKUP($Q756,'Threshold Summary'!$Y:$Y,'Threshold Summary'!$P:$P,"")/4))*XLOOKUP($Q756,'Threshold Summary'!$Y:$Y,'Threshold Summary'!$L:$L,""))/100)+5)*XLOOKUP(XLOOKUP($Q756,'Threshold Summary'!$Y:$Y,'Threshold Summary'!$M:$M,""),'Nature Editor'!$A:$A,'Nature Editor'!$B:$B,1)),FLOOR((FLOOR(((2*XLOOKUP(XLOOKUP($Q756,'Threshold Summary'!$Y:$Y,'Threshold Summary'!$K:$K,""),'Pokemon Editor'!$A:$A,'Pokemon Editor'!$H:$H,0)+31+FLOOR(XLOOKUP($Q756,'Threshold Summary'!$Y:$Y,'Threshold Summary'!$R:$R,"")/4))*XLOOKUP($Q756,'Threshold Summary'!$Y:$Y,'Threshold Summary'!$L:$L,""))/100)+5)*XLOOKUP(XLOOKUP($Q756,'Threshold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Editor'!$E:$E,1))),stab,IF(OR(mtype=XLOOKUP(XLOOKUP($Q756,'Threshold Summary'!$Y:$Y,'Threshold Summary'!$K:$K,""),'Pokemon Editor'!$A:$A,'Pokemon Editor'!$C:$C,""),mtype=XLOOKUP(XLOOKUP($Q756,'Threshold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Chart'!$B$1:$S$1,0)))),base,IF(OR(cat="Status",pow=0),0,FLOOR(FLOOR(FLOOR((2*XLOOKUP($Q756,'Threshold Summary'!$Y:$Y,'Threshold Summary'!$L:$L,"")/5+2)*pow*atk/def)/50)+2)),modifier,stab*eff,AVERAGE(ARRAYFORMULA(FLOOR(base*modifier*SEQUENCE(16,1,85,1)/100)))/(FLOOR(((2*XLOOKUP('Boss Editor'!$C$4,'Pokemon Editor'!$A:$A,'Pokemon Editor'!$E:$E,0)+31+FLOOR('Boss Editor'!$G$4/4))*'Boss Editor'!$D$4)/100)+'Boss Editor'!$D$4+10)),0)</f>
        <v/>
      </c>
      <c r="O756" s="3">
        <f>IF(N756&gt;=1,"OHKO",IF(N756&gt;=0.5,"2HKO",IF(N756&gt;=0.333,"3HKO",IF(N756&gt;=0.25,"4HKO","5HKO+"))))</f>
        <v/>
      </c>
      <c r="P756" s="3" t="inlineStr">
        <is>
          <t>Live from editable databases</t>
        </is>
      </c>
      <c r="Q756" s="3" t="inlineStr">
        <is>
          <t>SPECIES_STUFFUL</t>
        </is>
      </c>
      <c r="R756" s="3" t="n">
        <v>19</v>
      </c>
    </row>
    <row r="757">
      <c r="A757" s="3">
        <f>XLOOKUP($Q757,'Threshold Summary'!$Y:$Y,'Threshold Summary'!$A:$A,"")</f>
        <v/>
      </c>
      <c r="B757" s="3">
        <f>XLOOKUP($Q757,'Threshold Summary'!$Y:$Y,'Threshold Summary'!$M:$M,"")</f>
        <v/>
      </c>
      <c r="C757" s="3">
        <f>XLOOKUP($Q757,'Threshold Summary'!$Y:$Y,'Threshold Summary'!$N:$N,"")</f>
        <v/>
      </c>
      <c r="D757" s="3">
        <f>IFERROR(INDEX(FILTER('Learnset Editor'!$D$2:$D,'Learnset Editor'!$A$2:$A=XLOOKUP($Q757,'Threshold Summary'!$Y:$Y,'Threshold Summary'!$K:$K,""),'Learnset Editor'!$C$2:$C&lt;=XLOOKUP($Q757,'Threshold Summary'!$Y:$Y,'Threshold Summary'!$L:$L,"")),$R757),"")</f>
        <v/>
      </c>
      <c r="E757" s="3">
        <f>XLOOKUP(D757,'Move Editor'!$B:$B,'Move Editor'!$C:$C,"")</f>
        <v/>
      </c>
      <c r="F757" s="3">
        <f>XLOOKUP(D757,'Move Editor'!$B:$B,'Move Editor'!$D:$D,"")</f>
        <v/>
      </c>
      <c r="G757" s="3">
        <f>XLOOKUP(D757,'Move Editor'!$B:$B,'Move Editor'!$E:$E,0)</f>
        <v/>
      </c>
      <c r="H757" s="3">
        <f>XLOOKUP(D757,'Move Editor'!$B:$B,'Move Editor'!$F:$F,0)</f>
        <v/>
      </c>
      <c r="I757" s="3">
        <f>(INDEX('Type Chart'!$B:$S,MATCH(E757,'Type Chart'!$A:$A,0),MATCH(XLOOKUP('Boss Editor'!$C$4,'Pokemon Editor'!$A:$A,'Pokemon Editor'!$C:$C,""),'Type Chart'!$B$1:$S$1,0))*IF(XLOOKUP('Boss Editor'!$C$4,'Pokemon Editor'!$A:$A,'Pokemon Editor'!$D:$D,"")="",1,INDEX('Type Chart'!$B:$S,MATCH(E757,'Type Chart'!$A:$A,0),MATCH(XLOOKUP('Boss Editor'!$C$4,'Pokemon Editor'!$A:$A,'Pokemon Editor'!$D:$D,""),'Type Chart'!$B$1:$S$1,0))))</f>
        <v/>
      </c>
      <c r="J757" s="3">
        <f>IFERROR(LET(mtype,XLOOKUP($D757,'Move Editor'!$B:$B,'Move Editor'!$C:$C,""),cat,XLOOKUP($D757,'Move Editor'!$B:$B,'Move Editor'!$D:$D,""),pow,XLOOKUP($D757,'Move Editor'!$B:$B,'Move Editor'!$E:$E,0),acc,XLOOKUP($D757,'Move Editor'!$B:$B,'Move Editor'!$F:$F,100),atk,IF(cat="Physical",FLOOR((FLOOR(((2*XLOOKUP(XLOOKUP($Q757,'Threshold Summary'!$Y:$Y,'Threshold Summary'!$K:$K,""),'Pokemon Editor'!$A:$A,'Pokemon Editor'!$F:$F,0)+31+FLOOR(XLOOKUP($Q757,'Threshold Summary'!$Y:$Y,'Threshold Summary'!$P:$P,"")/4))*XLOOKUP($Q757,'Threshold Summary'!$Y:$Y,'Threshold Summary'!$L:$L,""))/100)+5)*XLOOKUP(XLOOKUP($Q757,'Threshold Summary'!$Y:$Y,'Threshold Summary'!$M:$M,""),'Nature Editor'!$A:$A,'Nature Editor'!$B:$B,1)),FLOOR((FLOOR(((2*XLOOKUP(XLOOKUP($Q757,'Threshold Summary'!$Y:$Y,'Threshold Summary'!$K:$K,""),'Pokemon Editor'!$A:$A,'Pokemon Editor'!$H:$H,0)+31+FLOOR(XLOOKUP($Q757,'Threshold Summary'!$Y:$Y,'Threshold Summary'!$R:$R,"")/4))*XLOOKUP($Q757,'Threshold Summary'!$Y:$Y,'Threshold Summary'!$L:$L,""))/100)+5)*XLOOKUP(XLOOKUP($Q757,'Threshold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Editor'!$E:$E,1))),stab,IF(OR(mtype=XLOOKUP(XLOOKUP($Q757,'Threshold Summary'!$Y:$Y,'Threshold Summary'!$K:$K,""),'Pokemon Editor'!$A:$A,'Pokemon Editor'!$C:$C,""),mtype=XLOOKUP(XLOOKUP($Q757,'Threshold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Chart'!$B$1:$S$1,0)))),base,IF(OR(cat="Status",pow=0),0,FLOOR(FLOOR(FLOOR((2*XLOOKUP($Q757,'Threshold Summary'!$Y:$Y,'Threshold Summary'!$L:$L,"")/5+2)*pow*atk/def)/50)+2)),modifier,stab*eff,FLOOR(base*modifier*0.85)),0)</f>
        <v/>
      </c>
      <c r="K757" s="3">
        <f>IFERROR(LET(mtype,XLOOKUP($D757,'Move Editor'!$B:$B,'Move Editor'!$C:$C,""),cat,XLOOKUP($D757,'Move Editor'!$B:$B,'Move Editor'!$D:$D,""),pow,XLOOKUP($D757,'Move Editor'!$B:$B,'Move Editor'!$E:$E,0),acc,XLOOKUP($D757,'Move Editor'!$B:$B,'Move Editor'!$F:$F,100),atk,IF(cat="Physical",FLOOR((FLOOR(((2*XLOOKUP(XLOOKUP($Q757,'Threshold Summary'!$Y:$Y,'Threshold Summary'!$K:$K,""),'Pokemon Editor'!$A:$A,'Pokemon Editor'!$F:$F,0)+31+FLOOR(XLOOKUP($Q757,'Threshold Summary'!$Y:$Y,'Threshold Summary'!$P:$P,"")/4))*XLOOKUP($Q757,'Threshold Summary'!$Y:$Y,'Threshold Summary'!$L:$L,""))/100)+5)*XLOOKUP(XLOOKUP($Q757,'Threshold Summary'!$Y:$Y,'Threshold Summary'!$M:$M,""),'Nature Editor'!$A:$A,'Nature Editor'!$B:$B,1)),FLOOR((FLOOR(((2*XLOOKUP(XLOOKUP($Q757,'Threshold Summary'!$Y:$Y,'Threshold Summary'!$K:$K,""),'Pokemon Editor'!$A:$A,'Pokemon Editor'!$H:$H,0)+31+FLOOR(XLOOKUP($Q757,'Threshold Summary'!$Y:$Y,'Threshold Summary'!$R:$R,"")/4))*XLOOKUP($Q757,'Threshold Summary'!$Y:$Y,'Threshold Summary'!$L:$L,""))/100)+5)*XLOOKUP(XLOOKUP($Q757,'Threshold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Editor'!$E:$E,1))),stab,IF(OR(mtype=XLOOKUP(XLOOKUP($Q757,'Threshold Summary'!$Y:$Y,'Threshold Summary'!$K:$K,""),'Pokemon Editor'!$A:$A,'Pokemon Editor'!$C:$C,""),mtype=XLOOKUP(XLOOKUP($Q757,'Threshold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Chart'!$B$1:$S$1,0)))),base,IF(OR(cat="Status",pow=0),0,FLOOR(FLOOR(FLOOR((2*XLOOKUP($Q757,'Threshold Summary'!$Y:$Y,'Threshold Summary'!$L:$L,"")/5+2)*pow*atk/def)/50)+2)),modifier,stab*eff,FLOOR(base*modifier)),0)</f>
        <v/>
      </c>
      <c r="L757" s="3">
        <f>IFERROR(LET(mtype,XLOOKUP($D757,'Move Editor'!$B:$B,'Move Editor'!$C:$C,""),cat,XLOOKUP($D757,'Move Editor'!$B:$B,'Move Editor'!$D:$D,""),pow,XLOOKUP($D757,'Move Editor'!$B:$B,'Move Editor'!$E:$E,0),acc,XLOOKUP($D757,'Move Editor'!$B:$B,'Move Editor'!$F:$F,100),atk,IF(cat="Physical",FLOOR((FLOOR(((2*XLOOKUP(XLOOKUP($Q757,'Threshold Summary'!$Y:$Y,'Threshold Summary'!$K:$K,""),'Pokemon Editor'!$A:$A,'Pokemon Editor'!$F:$F,0)+31+FLOOR(XLOOKUP($Q757,'Threshold Summary'!$Y:$Y,'Threshold Summary'!$P:$P,"")/4))*XLOOKUP($Q757,'Threshold Summary'!$Y:$Y,'Threshold Summary'!$L:$L,""))/100)+5)*XLOOKUP(XLOOKUP($Q757,'Threshold Summary'!$Y:$Y,'Threshold Summary'!$M:$M,""),'Nature Editor'!$A:$A,'Nature Editor'!$B:$B,1)),FLOOR((FLOOR(((2*XLOOKUP(XLOOKUP($Q757,'Threshold Summary'!$Y:$Y,'Threshold Summary'!$K:$K,""),'Pokemon Editor'!$A:$A,'Pokemon Editor'!$H:$H,0)+31+FLOOR(XLOOKUP($Q757,'Threshold Summary'!$Y:$Y,'Threshold Summary'!$R:$R,"")/4))*XLOOKUP($Q757,'Threshold Summary'!$Y:$Y,'Threshold Summary'!$L:$L,""))/100)+5)*XLOOKUP(XLOOKUP($Q757,'Threshold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Editor'!$E:$E,1))),stab,IF(OR(mtype=XLOOKUP(XLOOKUP($Q757,'Threshold Summary'!$Y:$Y,'Threshold Summary'!$K:$K,""),'Pokemon Editor'!$A:$A,'Pokemon Editor'!$C:$C,""),mtype=XLOOKUP(XLOOKUP($Q757,'Threshold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Chart'!$B$1:$S$1,0)))),base,IF(OR(cat="Status",pow=0),0,FLOOR(FLOOR(FLOOR((2*XLOOKUP($Q757,'Threshold Summary'!$Y:$Y,'Threshold Summary'!$L:$L,"")/5+2)*pow*atk/def)/50)+2)),modifier,stab*eff,AVERAGE(ARRAYFORMULA(FLOOR(base*modifier*SEQUENCE(16,1,85,1)/100)))),0)</f>
        <v/>
      </c>
      <c r="M757" s="3">
        <f>IFERROR(LET(mtype,XLOOKUP($D757,'Move Editor'!$B:$B,'Move Editor'!$C:$C,""),cat,XLOOKUP($D757,'Move Editor'!$B:$B,'Move Editor'!$D:$D,""),pow,XLOOKUP($D757,'Move Editor'!$B:$B,'Move Editor'!$E:$E,0),acc,XLOOKUP($D757,'Move Editor'!$B:$B,'Move Editor'!$F:$F,100),atk,IF(cat="Physical",FLOOR((FLOOR(((2*XLOOKUP(XLOOKUP($Q757,'Threshold Summary'!$Y:$Y,'Threshold Summary'!$K:$K,""),'Pokemon Editor'!$A:$A,'Pokemon Editor'!$F:$F,0)+31+FLOOR(XLOOKUP($Q757,'Threshold Summary'!$Y:$Y,'Threshold Summary'!$P:$P,"")/4))*XLOOKUP($Q757,'Threshold Summary'!$Y:$Y,'Threshold Summary'!$L:$L,""))/100)+5)*XLOOKUP(XLOOKUP($Q757,'Threshold Summary'!$Y:$Y,'Threshold Summary'!$M:$M,""),'Nature Editor'!$A:$A,'Nature Editor'!$B:$B,1)),FLOOR((FLOOR(((2*XLOOKUP(XLOOKUP($Q757,'Threshold Summary'!$Y:$Y,'Threshold Summary'!$K:$K,""),'Pokemon Editor'!$A:$A,'Pokemon Editor'!$H:$H,0)+31+FLOOR(XLOOKUP($Q757,'Threshold Summary'!$Y:$Y,'Threshold Summary'!$R:$R,"")/4))*XLOOKUP($Q757,'Threshold Summary'!$Y:$Y,'Threshold Summary'!$L:$L,""))/100)+5)*XLOOKUP(XLOOKUP($Q757,'Threshold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Editor'!$E:$E,1))),stab,IF(OR(mtype=XLOOKUP(XLOOKUP($Q757,'Threshold Summary'!$Y:$Y,'Threshold Summary'!$K:$K,""),'Pokemon Editor'!$A:$A,'Pokemon Editor'!$C:$C,""),mtype=XLOOKUP(XLOOKUP($Q757,'Threshold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Chart'!$B$1:$S$1,0)))),base,IF(OR(cat="Status",pow=0),0,FLOOR(FLOOR(FLOOR((2*XLOOKUP($Q757,'Threshold Summary'!$Y:$Y,'Threshold Summary'!$L:$L,"")/5+2)*pow*atk/def)/50)+2)),modifier,stab*eff,AVERAGE(ARRAYFORMULA(FLOOR(base*modifier*SEQUENCE(16,1,85,1)/100)))*MIN(1,acc/100)),0)</f>
        <v/>
      </c>
      <c r="N757" s="4">
        <f>IFERROR(LET(mtype,XLOOKUP($D757,'Move Editor'!$B:$B,'Move Editor'!$C:$C,""),cat,XLOOKUP($D757,'Move Editor'!$B:$B,'Move Editor'!$D:$D,""),pow,XLOOKUP($D757,'Move Editor'!$B:$B,'Move Editor'!$E:$E,0),acc,XLOOKUP($D757,'Move Editor'!$B:$B,'Move Editor'!$F:$F,100),atk,IF(cat="Physical",FLOOR((FLOOR(((2*XLOOKUP(XLOOKUP($Q757,'Threshold Summary'!$Y:$Y,'Threshold Summary'!$K:$K,""),'Pokemon Editor'!$A:$A,'Pokemon Editor'!$F:$F,0)+31+FLOOR(XLOOKUP($Q757,'Threshold Summary'!$Y:$Y,'Threshold Summary'!$P:$P,"")/4))*XLOOKUP($Q757,'Threshold Summary'!$Y:$Y,'Threshold Summary'!$L:$L,""))/100)+5)*XLOOKUP(XLOOKUP($Q757,'Threshold Summary'!$Y:$Y,'Threshold Summary'!$M:$M,""),'Nature Editor'!$A:$A,'Nature Editor'!$B:$B,1)),FLOOR((FLOOR(((2*XLOOKUP(XLOOKUP($Q757,'Threshold Summary'!$Y:$Y,'Threshold Summary'!$K:$K,""),'Pokemon Editor'!$A:$A,'Pokemon Editor'!$H:$H,0)+31+FLOOR(XLOOKUP($Q757,'Threshold Summary'!$Y:$Y,'Threshold Summary'!$R:$R,"")/4))*XLOOKUP($Q757,'Threshold Summary'!$Y:$Y,'Threshold Summary'!$L:$L,""))/100)+5)*XLOOKUP(XLOOKUP($Q757,'Threshold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Editor'!$E:$E,1))),stab,IF(OR(mtype=XLOOKUP(XLOOKUP($Q757,'Threshold Summary'!$Y:$Y,'Threshold Summary'!$K:$K,""),'Pokemon Editor'!$A:$A,'Pokemon Editor'!$C:$C,""),mtype=XLOOKUP(XLOOKUP($Q757,'Threshold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Chart'!$B$1:$S$1,0)))),base,IF(OR(cat="Status",pow=0),0,FLOOR(FLOOR(FLOOR((2*XLOOKUP($Q757,'Threshold Summary'!$Y:$Y,'Threshold Summary'!$L:$L,"")/5+2)*pow*atk/def)/50)+2)),modifier,stab*eff,AVERAGE(ARRAYFORMULA(FLOOR(base*modifier*SEQUENCE(16,1,85,1)/100)))/(FLOOR(((2*XLOOKUP('Boss Editor'!$C$4,'Pokemon Editor'!$A:$A,'Pokemon Editor'!$E:$E,0)+31+FLOOR('Boss Editor'!$G$4/4))*'Boss Editor'!$D$4)/100)+'Boss Editor'!$D$4+10)),0)</f>
        <v/>
      </c>
      <c r="O757" s="3">
        <f>IF(N757&gt;=1,"OHKO",IF(N757&gt;=0.5,"2HKO",IF(N757&gt;=0.333,"3HKO",IF(N757&gt;=0.25,"4HKO","5HKO+"))))</f>
        <v/>
      </c>
      <c r="P757" s="3" t="inlineStr">
        <is>
          <t>Live from editable databases</t>
        </is>
      </c>
      <c r="Q757" s="3" t="inlineStr">
        <is>
          <t>SPECIES_STUFFUL</t>
        </is>
      </c>
      <c r="R757" s="3" t="n">
        <v>20</v>
      </c>
    </row>
    <row r="758">
      <c r="A758" s="3">
        <f>XLOOKUP($Q758,'Threshold Summary'!$Y:$Y,'Threshold Summary'!$A:$A,"")</f>
        <v/>
      </c>
      <c r="B758" s="3">
        <f>XLOOKUP($Q758,'Threshold Summary'!$Y:$Y,'Threshold Summary'!$M:$M,"")</f>
        <v/>
      </c>
      <c r="C758" s="3">
        <f>XLOOKUP($Q758,'Threshold Summary'!$Y:$Y,'Threshold Summary'!$N:$N,"")</f>
        <v/>
      </c>
      <c r="D758" s="3">
        <f>IFERROR(INDEX(FILTER('Learnset Editor'!$D$2:$D,'Learnset Editor'!$A$2:$A=XLOOKUP($Q758,'Threshold Summary'!$Y:$Y,'Threshold Summary'!$K:$K,""),'Learnset Editor'!$C$2:$C&lt;=XLOOKUP($Q758,'Threshold Summary'!$Y:$Y,'Threshold Summary'!$L:$L,"")),$R758),"")</f>
        <v/>
      </c>
      <c r="E758" s="3">
        <f>XLOOKUP(D758,'Move Editor'!$B:$B,'Move Editor'!$C:$C,"")</f>
        <v/>
      </c>
      <c r="F758" s="3">
        <f>XLOOKUP(D758,'Move Editor'!$B:$B,'Move Editor'!$D:$D,"")</f>
        <v/>
      </c>
      <c r="G758" s="3">
        <f>XLOOKUP(D758,'Move Editor'!$B:$B,'Move Editor'!$E:$E,0)</f>
        <v/>
      </c>
      <c r="H758" s="3">
        <f>XLOOKUP(D758,'Move Editor'!$B:$B,'Move Editor'!$F:$F,0)</f>
        <v/>
      </c>
      <c r="I758" s="3">
        <f>(INDEX('Type Chart'!$B:$S,MATCH(E758,'Type Chart'!$A:$A,0),MATCH(XLOOKUP('Boss Editor'!$C$4,'Pokemon Editor'!$A:$A,'Pokemon Editor'!$C:$C,""),'Type Chart'!$B$1:$S$1,0))*IF(XLOOKUP('Boss Editor'!$C$4,'Pokemon Editor'!$A:$A,'Pokemon Editor'!$D:$D,"")="",1,INDEX('Type Chart'!$B:$S,MATCH(E758,'Type Chart'!$A:$A,0),MATCH(XLOOKUP('Boss Editor'!$C$4,'Pokemon Editor'!$A:$A,'Pokemon Editor'!$D:$D,""),'Type Chart'!$B$1:$S$1,0))))</f>
        <v/>
      </c>
      <c r="J758" s="3">
        <f>IFERROR(LET(mtype,XLOOKUP($D758,'Move Editor'!$B:$B,'Move Editor'!$C:$C,""),cat,XLOOKUP($D758,'Move Editor'!$B:$B,'Move Editor'!$D:$D,""),pow,XLOOKUP($D758,'Move Editor'!$B:$B,'Move Editor'!$E:$E,0),acc,XLOOKUP($D758,'Move Editor'!$B:$B,'Move Editor'!$F:$F,100),atk,IF(cat="Physical",FLOOR((FLOOR(((2*XLOOKUP(XLOOKUP($Q758,'Threshold Summary'!$Y:$Y,'Threshold Summary'!$K:$K,""),'Pokemon Editor'!$A:$A,'Pokemon Editor'!$F:$F,0)+31+FLOOR(XLOOKUP($Q758,'Threshold Summary'!$Y:$Y,'Threshold Summary'!$P:$P,"")/4))*XLOOKUP($Q758,'Threshold Summary'!$Y:$Y,'Threshold Summary'!$L:$L,""))/100)+5)*XLOOKUP(XLOOKUP($Q758,'Threshold Summary'!$Y:$Y,'Threshold Summary'!$M:$M,""),'Nature Editor'!$A:$A,'Nature Editor'!$B:$B,1)),FLOOR((FLOOR(((2*XLOOKUP(XLOOKUP($Q758,'Threshold Summary'!$Y:$Y,'Threshold Summary'!$K:$K,""),'Pokemon Editor'!$A:$A,'Pokemon Editor'!$H:$H,0)+31+FLOOR(XLOOKUP($Q758,'Threshold Summary'!$Y:$Y,'Threshold Summary'!$R:$R,"")/4))*XLOOKUP($Q758,'Threshold Summary'!$Y:$Y,'Threshold Summary'!$L:$L,""))/100)+5)*XLOOKUP(XLOOKUP($Q758,'Threshold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Editor'!$E:$E,1))),stab,IF(OR(mtype=XLOOKUP(XLOOKUP($Q758,'Threshold Summary'!$Y:$Y,'Threshold Summary'!$K:$K,""),'Pokemon Editor'!$A:$A,'Pokemon Editor'!$C:$C,""),mtype=XLOOKUP(XLOOKUP($Q758,'Threshold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Chart'!$B$1:$S$1,0)))),base,IF(OR(cat="Status",pow=0),0,FLOOR(FLOOR(FLOOR((2*XLOOKUP($Q758,'Threshold Summary'!$Y:$Y,'Threshold Summary'!$L:$L,"")/5+2)*pow*atk/def)/50)+2)),modifier,stab*eff,FLOOR(base*modifier*0.85)),0)</f>
        <v/>
      </c>
      <c r="K758" s="3">
        <f>IFERROR(LET(mtype,XLOOKUP($D758,'Move Editor'!$B:$B,'Move Editor'!$C:$C,""),cat,XLOOKUP($D758,'Move Editor'!$B:$B,'Move Editor'!$D:$D,""),pow,XLOOKUP($D758,'Move Editor'!$B:$B,'Move Editor'!$E:$E,0),acc,XLOOKUP($D758,'Move Editor'!$B:$B,'Move Editor'!$F:$F,100),atk,IF(cat="Physical",FLOOR((FLOOR(((2*XLOOKUP(XLOOKUP($Q758,'Threshold Summary'!$Y:$Y,'Threshold Summary'!$K:$K,""),'Pokemon Editor'!$A:$A,'Pokemon Editor'!$F:$F,0)+31+FLOOR(XLOOKUP($Q758,'Threshold Summary'!$Y:$Y,'Threshold Summary'!$P:$P,"")/4))*XLOOKUP($Q758,'Threshold Summary'!$Y:$Y,'Threshold Summary'!$L:$L,""))/100)+5)*XLOOKUP(XLOOKUP($Q758,'Threshold Summary'!$Y:$Y,'Threshold Summary'!$M:$M,""),'Nature Editor'!$A:$A,'Nature Editor'!$B:$B,1)),FLOOR((FLOOR(((2*XLOOKUP(XLOOKUP($Q758,'Threshold Summary'!$Y:$Y,'Threshold Summary'!$K:$K,""),'Pokemon Editor'!$A:$A,'Pokemon Editor'!$H:$H,0)+31+FLOOR(XLOOKUP($Q758,'Threshold Summary'!$Y:$Y,'Threshold Summary'!$R:$R,"")/4))*XLOOKUP($Q758,'Threshold Summary'!$Y:$Y,'Threshold Summary'!$L:$L,""))/100)+5)*XLOOKUP(XLOOKUP($Q758,'Threshold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Editor'!$E:$E,1))),stab,IF(OR(mtype=XLOOKUP(XLOOKUP($Q758,'Threshold Summary'!$Y:$Y,'Threshold Summary'!$K:$K,""),'Pokemon Editor'!$A:$A,'Pokemon Editor'!$C:$C,""),mtype=XLOOKUP(XLOOKUP($Q758,'Threshold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Chart'!$B$1:$S$1,0)))),base,IF(OR(cat="Status",pow=0),0,FLOOR(FLOOR(FLOOR((2*XLOOKUP($Q758,'Threshold Summary'!$Y:$Y,'Threshold Summary'!$L:$L,"")/5+2)*pow*atk/def)/50)+2)),modifier,stab*eff,FLOOR(base*modifier)),0)</f>
        <v/>
      </c>
      <c r="L758" s="3">
        <f>IFERROR(LET(mtype,XLOOKUP($D758,'Move Editor'!$B:$B,'Move Editor'!$C:$C,""),cat,XLOOKUP($D758,'Move Editor'!$B:$B,'Move Editor'!$D:$D,""),pow,XLOOKUP($D758,'Move Editor'!$B:$B,'Move Editor'!$E:$E,0),acc,XLOOKUP($D758,'Move Editor'!$B:$B,'Move Editor'!$F:$F,100),atk,IF(cat="Physical",FLOOR((FLOOR(((2*XLOOKUP(XLOOKUP($Q758,'Threshold Summary'!$Y:$Y,'Threshold Summary'!$K:$K,""),'Pokemon Editor'!$A:$A,'Pokemon Editor'!$F:$F,0)+31+FLOOR(XLOOKUP($Q758,'Threshold Summary'!$Y:$Y,'Threshold Summary'!$P:$P,"")/4))*XLOOKUP($Q758,'Threshold Summary'!$Y:$Y,'Threshold Summary'!$L:$L,""))/100)+5)*XLOOKUP(XLOOKUP($Q758,'Threshold Summary'!$Y:$Y,'Threshold Summary'!$M:$M,""),'Nature Editor'!$A:$A,'Nature Editor'!$B:$B,1)),FLOOR((FLOOR(((2*XLOOKUP(XLOOKUP($Q758,'Threshold Summary'!$Y:$Y,'Threshold Summary'!$K:$K,""),'Pokemon Editor'!$A:$A,'Pokemon Editor'!$H:$H,0)+31+FLOOR(XLOOKUP($Q758,'Threshold Summary'!$Y:$Y,'Threshold Summary'!$R:$R,"")/4))*XLOOKUP($Q758,'Threshold Summary'!$Y:$Y,'Threshold Summary'!$L:$L,""))/100)+5)*XLOOKUP(XLOOKUP($Q758,'Threshold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Editor'!$E:$E,1))),stab,IF(OR(mtype=XLOOKUP(XLOOKUP($Q758,'Threshold Summary'!$Y:$Y,'Threshold Summary'!$K:$K,""),'Pokemon Editor'!$A:$A,'Pokemon Editor'!$C:$C,""),mtype=XLOOKUP(XLOOKUP($Q758,'Threshold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Chart'!$B$1:$S$1,0)))),base,IF(OR(cat="Status",pow=0),0,FLOOR(FLOOR(FLOOR((2*XLOOKUP($Q758,'Threshold Summary'!$Y:$Y,'Threshold Summary'!$L:$L,"")/5+2)*pow*atk/def)/50)+2)),modifier,stab*eff,AVERAGE(ARRAYFORMULA(FLOOR(base*modifier*SEQUENCE(16,1,85,1)/100)))),0)</f>
        <v/>
      </c>
      <c r="M758" s="3">
        <f>IFERROR(LET(mtype,XLOOKUP($D758,'Move Editor'!$B:$B,'Move Editor'!$C:$C,""),cat,XLOOKUP($D758,'Move Editor'!$B:$B,'Move Editor'!$D:$D,""),pow,XLOOKUP($D758,'Move Editor'!$B:$B,'Move Editor'!$E:$E,0),acc,XLOOKUP($D758,'Move Editor'!$B:$B,'Move Editor'!$F:$F,100),atk,IF(cat="Physical",FLOOR((FLOOR(((2*XLOOKUP(XLOOKUP($Q758,'Threshold Summary'!$Y:$Y,'Threshold Summary'!$K:$K,""),'Pokemon Editor'!$A:$A,'Pokemon Editor'!$F:$F,0)+31+FLOOR(XLOOKUP($Q758,'Threshold Summary'!$Y:$Y,'Threshold Summary'!$P:$P,"")/4))*XLOOKUP($Q758,'Threshold Summary'!$Y:$Y,'Threshold Summary'!$L:$L,""))/100)+5)*XLOOKUP(XLOOKUP($Q758,'Threshold Summary'!$Y:$Y,'Threshold Summary'!$M:$M,""),'Nature Editor'!$A:$A,'Nature Editor'!$B:$B,1)),FLOOR((FLOOR(((2*XLOOKUP(XLOOKUP($Q758,'Threshold Summary'!$Y:$Y,'Threshold Summary'!$K:$K,""),'Pokemon Editor'!$A:$A,'Pokemon Editor'!$H:$H,0)+31+FLOOR(XLOOKUP($Q758,'Threshold Summary'!$Y:$Y,'Threshold Summary'!$R:$R,"")/4))*XLOOKUP($Q758,'Threshold Summary'!$Y:$Y,'Threshold Summary'!$L:$L,""))/100)+5)*XLOOKUP(XLOOKUP($Q758,'Threshold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Editor'!$E:$E,1))),stab,IF(OR(mtype=XLOOKUP(XLOOKUP($Q758,'Threshold Summary'!$Y:$Y,'Threshold Summary'!$K:$K,""),'Pokemon Editor'!$A:$A,'Pokemon Editor'!$C:$C,""),mtype=XLOOKUP(XLOOKUP($Q758,'Threshold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Chart'!$B$1:$S$1,0)))),base,IF(OR(cat="Status",pow=0),0,FLOOR(FLOOR(FLOOR((2*XLOOKUP($Q758,'Threshold Summary'!$Y:$Y,'Threshold Summary'!$L:$L,"")/5+2)*pow*atk/def)/50)+2)),modifier,stab*eff,AVERAGE(ARRAYFORMULA(FLOOR(base*modifier*SEQUENCE(16,1,85,1)/100)))*MIN(1,acc/100)),0)</f>
        <v/>
      </c>
      <c r="N758" s="4">
        <f>IFERROR(LET(mtype,XLOOKUP($D758,'Move Editor'!$B:$B,'Move Editor'!$C:$C,""),cat,XLOOKUP($D758,'Move Editor'!$B:$B,'Move Editor'!$D:$D,""),pow,XLOOKUP($D758,'Move Editor'!$B:$B,'Move Editor'!$E:$E,0),acc,XLOOKUP($D758,'Move Editor'!$B:$B,'Move Editor'!$F:$F,100),atk,IF(cat="Physical",FLOOR((FLOOR(((2*XLOOKUP(XLOOKUP($Q758,'Threshold Summary'!$Y:$Y,'Threshold Summary'!$K:$K,""),'Pokemon Editor'!$A:$A,'Pokemon Editor'!$F:$F,0)+31+FLOOR(XLOOKUP($Q758,'Threshold Summary'!$Y:$Y,'Threshold Summary'!$P:$P,"")/4))*XLOOKUP($Q758,'Threshold Summary'!$Y:$Y,'Threshold Summary'!$L:$L,""))/100)+5)*XLOOKUP(XLOOKUP($Q758,'Threshold Summary'!$Y:$Y,'Threshold Summary'!$M:$M,""),'Nature Editor'!$A:$A,'Nature Editor'!$B:$B,1)),FLOOR((FLOOR(((2*XLOOKUP(XLOOKUP($Q758,'Threshold Summary'!$Y:$Y,'Threshold Summary'!$K:$K,""),'Pokemon Editor'!$A:$A,'Pokemon Editor'!$H:$H,0)+31+FLOOR(XLOOKUP($Q758,'Threshold Summary'!$Y:$Y,'Threshold Summary'!$R:$R,"")/4))*XLOOKUP($Q758,'Threshold Summary'!$Y:$Y,'Threshold Summary'!$L:$L,""))/100)+5)*XLOOKUP(XLOOKUP($Q758,'Threshold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Editor'!$E:$E,1))),stab,IF(OR(mtype=XLOOKUP(XLOOKUP($Q758,'Threshold Summary'!$Y:$Y,'Threshold Summary'!$K:$K,""),'Pokemon Editor'!$A:$A,'Pokemon Editor'!$C:$C,""),mtype=XLOOKUP(XLOOKUP($Q758,'Threshold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Chart'!$B$1:$S$1,0)))),base,IF(OR(cat="Status",pow=0),0,FLOOR(FLOOR(FLOOR((2*XLOOKUP($Q758,'Threshold Summary'!$Y:$Y,'Threshold Summary'!$L:$L,"")/5+2)*pow*atk/def)/50)+2)),modifier,stab*eff,AVERAGE(ARRAYFORMULA(FLOOR(base*modifier*SEQUENCE(16,1,85,1)/100)))/(FLOOR(((2*XLOOKUP('Boss Editor'!$C$4,'Pokemon Editor'!$A:$A,'Pokemon Editor'!$E:$E,0)+31+FLOOR('Boss Editor'!$G$4/4))*'Boss Editor'!$D$4)/100)+'Boss Editor'!$D$4+10)),0)</f>
        <v/>
      </c>
      <c r="O758" s="3">
        <f>IF(N758&gt;=1,"OHKO",IF(N758&gt;=0.5,"2HKO",IF(N758&gt;=0.333,"3HKO",IF(N758&gt;=0.25,"4HKO","5HKO+"))))</f>
        <v/>
      </c>
      <c r="P758" s="3" t="inlineStr">
        <is>
          <t>Live from editable databases</t>
        </is>
      </c>
      <c r="Q758" s="3" t="inlineStr">
        <is>
          <t>SPECIES_STUFFUL</t>
        </is>
      </c>
      <c r="R758" s="3" t="n">
        <v>21</v>
      </c>
    </row>
    <row r="759">
      <c r="A759" s="3">
        <f>XLOOKUP($Q759,'Threshold Summary'!$Y:$Y,'Threshold Summary'!$A:$A,"")</f>
        <v/>
      </c>
      <c r="B759" s="3">
        <f>XLOOKUP($Q759,'Threshold Summary'!$Y:$Y,'Threshold Summary'!$M:$M,"")</f>
        <v/>
      </c>
      <c r="C759" s="3">
        <f>XLOOKUP($Q759,'Threshold Summary'!$Y:$Y,'Threshold Summary'!$N:$N,"")</f>
        <v/>
      </c>
      <c r="D759" s="3">
        <f>IFERROR(INDEX(FILTER('Learnset Editor'!$D$2:$D,'Learnset Editor'!$A$2:$A=XLOOKUP($Q759,'Threshold Summary'!$Y:$Y,'Threshold Summary'!$K:$K,""),'Learnset Editor'!$C$2:$C&lt;=XLOOKUP($Q759,'Threshold Summary'!$Y:$Y,'Threshold Summary'!$L:$L,"")),$R759),"")</f>
        <v/>
      </c>
      <c r="E759" s="3">
        <f>XLOOKUP(D759,'Move Editor'!$B:$B,'Move Editor'!$C:$C,"")</f>
        <v/>
      </c>
      <c r="F759" s="3">
        <f>XLOOKUP(D759,'Move Editor'!$B:$B,'Move Editor'!$D:$D,"")</f>
        <v/>
      </c>
      <c r="G759" s="3">
        <f>XLOOKUP(D759,'Move Editor'!$B:$B,'Move Editor'!$E:$E,0)</f>
        <v/>
      </c>
      <c r="H759" s="3">
        <f>XLOOKUP(D759,'Move Editor'!$B:$B,'Move Editor'!$F:$F,0)</f>
        <v/>
      </c>
      <c r="I759" s="3">
        <f>(INDEX('Type Chart'!$B:$S,MATCH(E759,'Type Chart'!$A:$A,0),MATCH(XLOOKUP('Boss Editor'!$C$4,'Pokemon Editor'!$A:$A,'Pokemon Editor'!$C:$C,""),'Type Chart'!$B$1:$S$1,0))*IF(XLOOKUP('Boss Editor'!$C$4,'Pokemon Editor'!$A:$A,'Pokemon Editor'!$D:$D,"")="",1,INDEX('Type Chart'!$B:$S,MATCH(E759,'Type Chart'!$A:$A,0),MATCH(XLOOKUP('Boss Editor'!$C$4,'Pokemon Editor'!$A:$A,'Pokemon Editor'!$D:$D,""),'Type Chart'!$B$1:$S$1,0))))</f>
        <v/>
      </c>
      <c r="J759" s="3">
        <f>IFERROR(LET(mtype,XLOOKUP($D759,'Move Editor'!$B:$B,'Move Editor'!$C:$C,""),cat,XLOOKUP($D759,'Move Editor'!$B:$B,'Move Editor'!$D:$D,""),pow,XLOOKUP($D759,'Move Editor'!$B:$B,'Move Editor'!$E:$E,0),acc,XLOOKUP($D759,'Move Editor'!$B:$B,'Move Editor'!$F:$F,100),atk,IF(cat="Physical",FLOOR((FLOOR(((2*XLOOKUP(XLOOKUP($Q759,'Threshold Summary'!$Y:$Y,'Threshold Summary'!$K:$K,""),'Pokemon Editor'!$A:$A,'Pokemon Editor'!$F:$F,0)+31+FLOOR(XLOOKUP($Q759,'Threshold Summary'!$Y:$Y,'Threshold Summary'!$P:$P,"")/4))*XLOOKUP($Q759,'Threshold Summary'!$Y:$Y,'Threshold Summary'!$L:$L,""))/100)+5)*XLOOKUP(XLOOKUP($Q759,'Threshold Summary'!$Y:$Y,'Threshold Summary'!$M:$M,""),'Nature Editor'!$A:$A,'Nature Editor'!$B:$B,1)),FLOOR((FLOOR(((2*XLOOKUP(XLOOKUP($Q759,'Threshold Summary'!$Y:$Y,'Threshold Summary'!$K:$K,""),'Pokemon Editor'!$A:$A,'Pokemon Editor'!$H:$H,0)+31+FLOOR(XLOOKUP($Q759,'Threshold Summary'!$Y:$Y,'Threshold Summary'!$R:$R,"")/4))*XLOOKUP($Q759,'Threshold Summary'!$Y:$Y,'Threshold Summary'!$L:$L,""))/100)+5)*XLOOKUP(XLOOKUP($Q759,'Threshold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Editor'!$E:$E,1))),stab,IF(OR(mtype=XLOOKUP(XLOOKUP($Q759,'Threshold Summary'!$Y:$Y,'Threshold Summary'!$K:$K,""),'Pokemon Editor'!$A:$A,'Pokemon Editor'!$C:$C,""),mtype=XLOOKUP(XLOOKUP($Q759,'Threshold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Chart'!$B$1:$S$1,0)))),base,IF(OR(cat="Status",pow=0),0,FLOOR(FLOOR(FLOOR((2*XLOOKUP($Q759,'Threshold Summary'!$Y:$Y,'Threshold Summary'!$L:$L,"")/5+2)*pow*atk/def)/50)+2)),modifier,stab*eff,FLOOR(base*modifier*0.85)),0)</f>
        <v/>
      </c>
      <c r="K759" s="3">
        <f>IFERROR(LET(mtype,XLOOKUP($D759,'Move Editor'!$B:$B,'Move Editor'!$C:$C,""),cat,XLOOKUP($D759,'Move Editor'!$B:$B,'Move Editor'!$D:$D,""),pow,XLOOKUP($D759,'Move Editor'!$B:$B,'Move Editor'!$E:$E,0),acc,XLOOKUP($D759,'Move Editor'!$B:$B,'Move Editor'!$F:$F,100),atk,IF(cat="Physical",FLOOR((FLOOR(((2*XLOOKUP(XLOOKUP($Q759,'Threshold Summary'!$Y:$Y,'Threshold Summary'!$K:$K,""),'Pokemon Editor'!$A:$A,'Pokemon Editor'!$F:$F,0)+31+FLOOR(XLOOKUP($Q759,'Threshold Summary'!$Y:$Y,'Threshold Summary'!$P:$P,"")/4))*XLOOKUP($Q759,'Threshold Summary'!$Y:$Y,'Threshold Summary'!$L:$L,""))/100)+5)*XLOOKUP(XLOOKUP($Q759,'Threshold Summary'!$Y:$Y,'Threshold Summary'!$M:$M,""),'Nature Editor'!$A:$A,'Nature Editor'!$B:$B,1)),FLOOR((FLOOR(((2*XLOOKUP(XLOOKUP($Q759,'Threshold Summary'!$Y:$Y,'Threshold Summary'!$K:$K,""),'Pokemon Editor'!$A:$A,'Pokemon Editor'!$H:$H,0)+31+FLOOR(XLOOKUP($Q759,'Threshold Summary'!$Y:$Y,'Threshold Summary'!$R:$R,"")/4))*XLOOKUP($Q759,'Threshold Summary'!$Y:$Y,'Threshold Summary'!$L:$L,""))/100)+5)*XLOOKUP(XLOOKUP($Q759,'Threshold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Editor'!$E:$E,1))),stab,IF(OR(mtype=XLOOKUP(XLOOKUP($Q759,'Threshold Summary'!$Y:$Y,'Threshold Summary'!$K:$K,""),'Pokemon Editor'!$A:$A,'Pokemon Editor'!$C:$C,""),mtype=XLOOKUP(XLOOKUP($Q759,'Threshold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Chart'!$B$1:$S$1,0)))),base,IF(OR(cat="Status",pow=0),0,FLOOR(FLOOR(FLOOR((2*XLOOKUP($Q759,'Threshold Summary'!$Y:$Y,'Threshold Summary'!$L:$L,"")/5+2)*pow*atk/def)/50)+2)),modifier,stab*eff,FLOOR(base*modifier)),0)</f>
        <v/>
      </c>
      <c r="L759" s="3">
        <f>IFERROR(LET(mtype,XLOOKUP($D759,'Move Editor'!$B:$B,'Move Editor'!$C:$C,""),cat,XLOOKUP($D759,'Move Editor'!$B:$B,'Move Editor'!$D:$D,""),pow,XLOOKUP($D759,'Move Editor'!$B:$B,'Move Editor'!$E:$E,0),acc,XLOOKUP($D759,'Move Editor'!$B:$B,'Move Editor'!$F:$F,100),atk,IF(cat="Physical",FLOOR((FLOOR(((2*XLOOKUP(XLOOKUP($Q759,'Threshold Summary'!$Y:$Y,'Threshold Summary'!$K:$K,""),'Pokemon Editor'!$A:$A,'Pokemon Editor'!$F:$F,0)+31+FLOOR(XLOOKUP($Q759,'Threshold Summary'!$Y:$Y,'Threshold Summary'!$P:$P,"")/4))*XLOOKUP($Q759,'Threshold Summary'!$Y:$Y,'Threshold Summary'!$L:$L,""))/100)+5)*XLOOKUP(XLOOKUP($Q759,'Threshold Summary'!$Y:$Y,'Threshold Summary'!$M:$M,""),'Nature Editor'!$A:$A,'Nature Editor'!$B:$B,1)),FLOOR((FLOOR(((2*XLOOKUP(XLOOKUP($Q759,'Threshold Summary'!$Y:$Y,'Threshold Summary'!$K:$K,""),'Pokemon Editor'!$A:$A,'Pokemon Editor'!$H:$H,0)+31+FLOOR(XLOOKUP($Q759,'Threshold Summary'!$Y:$Y,'Threshold Summary'!$R:$R,"")/4))*XLOOKUP($Q759,'Threshold Summary'!$Y:$Y,'Threshold Summary'!$L:$L,""))/100)+5)*XLOOKUP(XLOOKUP($Q759,'Threshold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Editor'!$E:$E,1))),stab,IF(OR(mtype=XLOOKUP(XLOOKUP($Q759,'Threshold Summary'!$Y:$Y,'Threshold Summary'!$K:$K,""),'Pokemon Editor'!$A:$A,'Pokemon Editor'!$C:$C,""),mtype=XLOOKUP(XLOOKUP($Q759,'Threshold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Chart'!$B$1:$S$1,0)))),base,IF(OR(cat="Status",pow=0),0,FLOOR(FLOOR(FLOOR((2*XLOOKUP($Q759,'Threshold Summary'!$Y:$Y,'Threshold Summary'!$L:$L,"")/5+2)*pow*atk/def)/50)+2)),modifier,stab*eff,AVERAGE(ARRAYFORMULA(FLOOR(base*modifier*SEQUENCE(16,1,85,1)/100)))),0)</f>
        <v/>
      </c>
      <c r="M759" s="3">
        <f>IFERROR(LET(mtype,XLOOKUP($D759,'Move Editor'!$B:$B,'Move Editor'!$C:$C,""),cat,XLOOKUP($D759,'Move Editor'!$B:$B,'Move Editor'!$D:$D,""),pow,XLOOKUP($D759,'Move Editor'!$B:$B,'Move Editor'!$E:$E,0),acc,XLOOKUP($D759,'Move Editor'!$B:$B,'Move Editor'!$F:$F,100),atk,IF(cat="Physical",FLOOR((FLOOR(((2*XLOOKUP(XLOOKUP($Q759,'Threshold Summary'!$Y:$Y,'Threshold Summary'!$K:$K,""),'Pokemon Editor'!$A:$A,'Pokemon Editor'!$F:$F,0)+31+FLOOR(XLOOKUP($Q759,'Threshold Summary'!$Y:$Y,'Threshold Summary'!$P:$P,"")/4))*XLOOKUP($Q759,'Threshold Summary'!$Y:$Y,'Threshold Summary'!$L:$L,""))/100)+5)*XLOOKUP(XLOOKUP($Q759,'Threshold Summary'!$Y:$Y,'Threshold Summary'!$M:$M,""),'Nature Editor'!$A:$A,'Nature Editor'!$B:$B,1)),FLOOR((FLOOR(((2*XLOOKUP(XLOOKUP($Q759,'Threshold Summary'!$Y:$Y,'Threshold Summary'!$K:$K,""),'Pokemon Editor'!$A:$A,'Pokemon Editor'!$H:$H,0)+31+FLOOR(XLOOKUP($Q759,'Threshold Summary'!$Y:$Y,'Threshold Summary'!$R:$R,"")/4))*XLOOKUP($Q759,'Threshold Summary'!$Y:$Y,'Threshold Summary'!$L:$L,""))/100)+5)*XLOOKUP(XLOOKUP($Q759,'Threshold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Editor'!$E:$E,1))),stab,IF(OR(mtype=XLOOKUP(XLOOKUP($Q759,'Threshold Summary'!$Y:$Y,'Threshold Summary'!$K:$K,""),'Pokemon Editor'!$A:$A,'Pokemon Editor'!$C:$C,""),mtype=XLOOKUP(XLOOKUP($Q759,'Threshold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Chart'!$B$1:$S$1,0)))),base,IF(OR(cat="Status",pow=0),0,FLOOR(FLOOR(FLOOR((2*XLOOKUP($Q759,'Threshold Summary'!$Y:$Y,'Threshold Summary'!$L:$L,"")/5+2)*pow*atk/def)/50)+2)),modifier,stab*eff,AVERAGE(ARRAYFORMULA(FLOOR(base*modifier*SEQUENCE(16,1,85,1)/100)))*MIN(1,acc/100)),0)</f>
        <v/>
      </c>
      <c r="N759" s="4">
        <f>IFERROR(LET(mtype,XLOOKUP($D759,'Move Editor'!$B:$B,'Move Editor'!$C:$C,""),cat,XLOOKUP($D759,'Move Editor'!$B:$B,'Move Editor'!$D:$D,""),pow,XLOOKUP($D759,'Move Editor'!$B:$B,'Move Editor'!$E:$E,0),acc,XLOOKUP($D759,'Move Editor'!$B:$B,'Move Editor'!$F:$F,100),atk,IF(cat="Physical",FLOOR((FLOOR(((2*XLOOKUP(XLOOKUP($Q759,'Threshold Summary'!$Y:$Y,'Threshold Summary'!$K:$K,""),'Pokemon Editor'!$A:$A,'Pokemon Editor'!$F:$F,0)+31+FLOOR(XLOOKUP($Q759,'Threshold Summary'!$Y:$Y,'Threshold Summary'!$P:$P,"")/4))*XLOOKUP($Q759,'Threshold Summary'!$Y:$Y,'Threshold Summary'!$L:$L,""))/100)+5)*XLOOKUP(XLOOKUP($Q759,'Threshold Summary'!$Y:$Y,'Threshold Summary'!$M:$M,""),'Nature Editor'!$A:$A,'Nature Editor'!$B:$B,1)),FLOOR((FLOOR(((2*XLOOKUP(XLOOKUP($Q759,'Threshold Summary'!$Y:$Y,'Threshold Summary'!$K:$K,""),'Pokemon Editor'!$A:$A,'Pokemon Editor'!$H:$H,0)+31+FLOOR(XLOOKUP($Q759,'Threshold Summary'!$Y:$Y,'Threshold Summary'!$R:$R,"")/4))*XLOOKUP($Q759,'Threshold Summary'!$Y:$Y,'Threshold Summary'!$L:$L,""))/100)+5)*XLOOKUP(XLOOKUP($Q759,'Threshold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Editor'!$E:$E,1))),stab,IF(OR(mtype=XLOOKUP(XLOOKUP($Q759,'Threshold Summary'!$Y:$Y,'Threshold Summary'!$K:$K,""),'Pokemon Editor'!$A:$A,'Pokemon Editor'!$C:$C,""),mtype=XLOOKUP(XLOOKUP($Q759,'Threshold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Chart'!$B$1:$S$1,0)))),base,IF(OR(cat="Status",pow=0),0,FLOOR(FLOOR(FLOOR((2*XLOOKUP($Q759,'Threshold Summary'!$Y:$Y,'Threshold Summary'!$L:$L,"")/5+2)*pow*atk/def)/50)+2)),modifier,stab*eff,AVERAGE(ARRAYFORMULA(FLOOR(base*modifier*SEQUENCE(16,1,85,1)/100)))/(FLOOR(((2*XLOOKUP('Boss Editor'!$C$4,'Pokemon Editor'!$A:$A,'Pokemon Editor'!$E:$E,0)+31+FLOOR('Boss Editor'!$G$4/4))*'Boss Editor'!$D$4)/100)+'Boss Editor'!$D$4+10)),0)</f>
        <v/>
      </c>
      <c r="O759" s="3">
        <f>IF(N759&gt;=1,"OHKO",IF(N759&gt;=0.5,"2HKO",IF(N759&gt;=0.333,"3HKO",IF(N759&gt;=0.25,"4HKO","5HKO+"))))</f>
        <v/>
      </c>
      <c r="P759" s="3" t="inlineStr">
        <is>
          <t>Live from editable databases</t>
        </is>
      </c>
      <c r="Q759" s="3" t="inlineStr">
        <is>
          <t>SPECIES_STUFFUL</t>
        </is>
      </c>
      <c r="R759" s="3" t="n">
        <v>22</v>
      </c>
    </row>
    <row r="760">
      <c r="A760" s="3">
        <f>XLOOKUP($Q760,'Threshold Summary'!$Y:$Y,'Threshold Summary'!$A:$A,"")</f>
        <v/>
      </c>
      <c r="B760" s="3">
        <f>XLOOKUP($Q760,'Threshold Summary'!$Y:$Y,'Threshold Summary'!$M:$M,"")</f>
        <v/>
      </c>
      <c r="C760" s="3">
        <f>XLOOKUP($Q760,'Threshold Summary'!$Y:$Y,'Threshold Summary'!$N:$N,"")</f>
        <v/>
      </c>
      <c r="D760" s="3">
        <f>IFERROR(INDEX(FILTER('Learnset Editor'!$D$2:$D,'Learnset Editor'!$A$2:$A=XLOOKUP($Q760,'Threshold Summary'!$Y:$Y,'Threshold Summary'!$K:$K,""),'Learnset Editor'!$C$2:$C&lt;=XLOOKUP($Q760,'Threshold Summary'!$Y:$Y,'Threshold Summary'!$L:$L,"")),$R760),"")</f>
        <v/>
      </c>
      <c r="E760" s="3">
        <f>XLOOKUP(D760,'Move Editor'!$B:$B,'Move Editor'!$C:$C,"")</f>
        <v/>
      </c>
      <c r="F760" s="3">
        <f>XLOOKUP(D760,'Move Editor'!$B:$B,'Move Editor'!$D:$D,"")</f>
        <v/>
      </c>
      <c r="G760" s="3">
        <f>XLOOKUP(D760,'Move Editor'!$B:$B,'Move Editor'!$E:$E,0)</f>
        <v/>
      </c>
      <c r="H760" s="3">
        <f>XLOOKUP(D760,'Move Editor'!$B:$B,'Move Editor'!$F:$F,0)</f>
        <v/>
      </c>
      <c r="I760" s="3">
        <f>(INDEX('Type Chart'!$B:$S,MATCH(E760,'Type Chart'!$A:$A,0),MATCH(XLOOKUP('Boss Editor'!$C$4,'Pokemon Editor'!$A:$A,'Pokemon Editor'!$C:$C,""),'Type Chart'!$B$1:$S$1,0))*IF(XLOOKUP('Boss Editor'!$C$4,'Pokemon Editor'!$A:$A,'Pokemon Editor'!$D:$D,"")="",1,INDEX('Type Chart'!$B:$S,MATCH(E760,'Type Chart'!$A:$A,0),MATCH(XLOOKUP('Boss Editor'!$C$4,'Pokemon Editor'!$A:$A,'Pokemon Editor'!$D:$D,""),'Type Chart'!$B$1:$S$1,0))))</f>
        <v/>
      </c>
      <c r="J760" s="3">
        <f>IFERROR(LET(mtype,XLOOKUP($D760,'Move Editor'!$B:$B,'Move Editor'!$C:$C,""),cat,XLOOKUP($D760,'Move Editor'!$B:$B,'Move Editor'!$D:$D,""),pow,XLOOKUP($D760,'Move Editor'!$B:$B,'Move Editor'!$E:$E,0),acc,XLOOKUP($D760,'Move Editor'!$B:$B,'Move Editor'!$F:$F,100),atk,IF(cat="Physical",FLOOR((FLOOR(((2*XLOOKUP(XLOOKUP($Q760,'Threshold Summary'!$Y:$Y,'Threshold Summary'!$K:$K,""),'Pokemon Editor'!$A:$A,'Pokemon Editor'!$F:$F,0)+31+FLOOR(XLOOKUP($Q760,'Threshold Summary'!$Y:$Y,'Threshold Summary'!$P:$P,"")/4))*XLOOKUP($Q760,'Threshold Summary'!$Y:$Y,'Threshold Summary'!$L:$L,""))/100)+5)*XLOOKUP(XLOOKUP($Q760,'Threshold Summary'!$Y:$Y,'Threshold Summary'!$M:$M,""),'Nature Editor'!$A:$A,'Nature Editor'!$B:$B,1)),FLOOR((FLOOR(((2*XLOOKUP(XLOOKUP($Q760,'Threshold Summary'!$Y:$Y,'Threshold Summary'!$K:$K,""),'Pokemon Editor'!$A:$A,'Pokemon Editor'!$H:$H,0)+31+FLOOR(XLOOKUP($Q760,'Threshold Summary'!$Y:$Y,'Threshold Summary'!$R:$R,"")/4))*XLOOKUP($Q760,'Threshold Summary'!$Y:$Y,'Threshold Summary'!$L:$L,""))/100)+5)*XLOOKUP(XLOOKUP($Q760,'Threshold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Editor'!$E:$E,1))),stab,IF(OR(mtype=XLOOKUP(XLOOKUP($Q760,'Threshold Summary'!$Y:$Y,'Threshold Summary'!$K:$K,""),'Pokemon Editor'!$A:$A,'Pokemon Editor'!$C:$C,""),mtype=XLOOKUP(XLOOKUP($Q760,'Threshold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Chart'!$B$1:$S$1,0)))),base,IF(OR(cat="Status",pow=0),0,FLOOR(FLOOR(FLOOR((2*XLOOKUP($Q760,'Threshold Summary'!$Y:$Y,'Threshold Summary'!$L:$L,"")/5+2)*pow*atk/def)/50)+2)),modifier,stab*eff,FLOOR(base*modifier*0.85)),0)</f>
        <v/>
      </c>
      <c r="K760" s="3">
        <f>IFERROR(LET(mtype,XLOOKUP($D760,'Move Editor'!$B:$B,'Move Editor'!$C:$C,""),cat,XLOOKUP($D760,'Move Editor'!$B:$B,'Move Editor'!$D:$D,""),pow,XLOOKUP($D760,'Move Editor'!$B:$B,'Move Editor'!$E:$E,0),acc,XLOOKUP($D760,'Move Editor'!$B:$B,'Move Editor'!$F:$F,100),atk,IF(cat="Physical",FLOOR((FLOOR(((2*XLOOKUP(XLOOKUP($Q760,'Threshold Summary'!$Y:$Y,'Threshold Summary'!$K:$K,""),'Pokemon Editor'!$A:$A,'Pokemon Editor'!$F:$F,0)+31+FLOOR(XLOOKUP($Q760,'Threshold Summary'!$Y:$Y,'Threshold Summary'!$P:$P,"")/4))*XLOOKUP($Q760,'Threshold Summary'!$Y:$Y,'Threshold Summary'!$L:$L,""))/100)+5)*XLOOKUP(XLOOKUP($Q760,'Threshold Summary'!$Y:$Y,'Threshold Summary'!$M:$M,""),'Nature Editor'!$A:$A,'Nature Editor'!$B:$B,1)),FLOOR((FLOOR(((2*XLOOKUP(XLOOKUP($Q760,'Threshold Summary'!$Y:$Y,'Threshold Summary'!$K:$K,""),'Pokemon Editor'!$A:$A,'Pokemon Editor'!$H:$H,0)+31+FLOOR(XLOOKUP($Q760,'Threshold Summary'!$Y:$Y,'Threshold Summary'!$R:$R,"")/4))*XLOOKUP($Q760,'Threshold Summary'!$Y:$Y,'Threshold Summary'!$L:$L,""))/100)+5)*XLOOKUP(XLOOKUP($Q760,'Threshold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Editor'!$E:$E,1))),stab,IF(OR(mtype=XLOOKUP(XLOOKUP($Q760,'Threshold Summary'!$Y:$Y,'Threshold Summary'!$K:$K,""),'Pokemon Editor'!$A:$A,'Pokemon Editor'!$C:$C,""),mtype=XLOOKUP(XLOOKUP($Q760,'Threshold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Chart'!$B$1:$S$1,0)))),base,IF(OR(cat="Status",pow=0),0,FLOOR(FLOOR(FLOOR((2*XLOOKUP($Q760,'Threshold Summary'!$Y:$Y,'Threshold Summary'!$L:$L,"")/5+2)*pow*atk/def)/50)+2)),modifier,stab*eff,FLOOR(base*modifier)),0)</f>
        <v/>
      </c>
      <c r="L760" s="3">
        <f>IFERROR(LET(mtype,XLOOKUP($D760,'Move Editor'!$B:$B,'Move Editor'!$C:$C,""),cat,XLOOKUP($D760,'Move Editor'!$B:$B,'Move Editor'!$D:$D,""),pow,XLOOKUP($D760,'Move Editor'!$B:$B,'Move Editor'!$E:$E,0),acc,XLOOKUP($D760,'Move Editor'!$B:$B,'Move Editor'!$F:$F,100),atk,IF(cat="Physical",FLOOR((FLOOR(((2*XLOOKUP(XLOOKUP($Q760,'Threshold Summary'!$Y:$Y,'Threshold Summary'!$K:$K,""),'Pokemon Editor'!$A:$A,'Pokemon Editor'!$F:$F,0)+31+FLOOR(XLOOKUP($Q760,'Threshold Summary'!$Y:$Y,'Threshold Summary'!$P:$P,"")/4))*XLOOKUP($Q760,'Threshold Summary'!$Y:$Y,'Threshold Summary'!$L:$L,""))/100)+5)*XLOOKUP(XLOOKUP($Q760,'Threshold Summary'!$Y:$Y,'Threshold Summary'!$M:$M,""),'Nature Editor'!$A:$A,'Nature Editor'!$B:$B,1)),FLOOR((FLOOR(((2*XLOOKUP(XLOOKUP($Q760,'Threshold Summary'!$Y:$Y,'Threshold Summary'!$K:$K,""),'Pokemon Editor'!$A:$A,'Pokemon Editor'!$H:$H,0)+31+FLOOR(XLOOKUP($Q760,'Threshold Summary'!$Y:$Y,'Threshold Summary'!$R:$R,"")/4))*XLOOKUP($Q760,'Threshold Summary'!$Y:$Y,'Threshold Summary'!$L:$L,""))/100)+5)*XLOOKUP(XLOOKUP($Q760,'Threshold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Editor'!$E:$E,1))),stab,IF(OR(mtype=XLOOKUP(XLOOKUP($Q760,'Threshold Summary'!$Y:$Y,'Threshold Summary'!$K:$K,""),'Pokemon Editor'!$A:$A,'Pokemon Editor'!$C:$C,""),mtype=XLOOKUP(XLOOKUP($Q760,'Threshold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Chart'!$B$1:$S$1,0)))),base,IF(OR(cat="Status",pow=0),0,FLOOR(FLOOR(FLOOR((2*XLOOKUP($Q760,'Threshold Summary'!$Y:$Y,'Threshold Summary'!$L:$L,"")/5+2)*pow*atk/def)/50)+2)),modifier,stab*eff,AVERAGE(ARRAYFORMULA(FLOOR(base*modifier*SEQUENCE(16,1,85,1)/100)))),0)</f>
        <v/>
      </c>
      <c r="M760" s="3">
        <f>IFERROR(LET(mtype,XLOOKUP($D760,'Move Editor'!$B:$B,'Move Editor'!$C:$C,""),cat,XLOOKUP($D760,'Move Editor'!$B:$B,'Move Editor'!$D:$D,""),pow,XLOOKUP($D760,'Move Editor'!$B:$B,'Move Editor'!$E:$E,0),acc,XLOOKUP($D760,'Move Editor'!$B:$B,'Move Editor'!$F:$F,100),atk,IF(cat="Physical",FLOOR((FLOOR(((2*XLOOKUP(XLOOKUP($Q760,'Threshold Summary'!$Y:$Y,'Threshold Summary'!$K:$K,""),'Pokemon Editor'!$A:$A,'Pokemon Editor'!$F:$F,0)+31+FLOOR(XLOOKUP($Q760,'Threshold Summary'!$Y:$Y,'Threshold Summary'!$P:$P,"")/4))*XLOOKUP($Q760,'Threshold Summary'!$Y:$Y,'Threshold Summary'!$L:$L,""))/100)+5)*XLOOKUP(XLOOKUP($Q760,'Threshold Summary'!$Y:$Y,'Threshold Summary'!$M:$M,""),'Nature Editor'!$A:$A,'Nature Editor'!$B:$B,1)),FLOOR((FLOOR(((2*XLOOKUP(XLOOKUP($Q760,'Threshold Summary'!$Y:$Y,'Threshold Summary'!$K:$K,""),'Pokemon Editor'!$A:$A,'Pokemon Editor'!$H:$H,0)+31+FLOOR(XLOOKUP($Q760,'Threshold Summary'!$Y:$Y,'Threshold Summary'!$R:$R,"")/4))*XLOOKUP($Q760,'Threshold Summary'!$Y:$Y,'Threshold Summary'!$L:$L,""))/100)+5)*XLOOKUP(XLOOKUP($Q760,'Threshold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Editor'!$E:$E,1))),stab,IF(OR(mtype=XLOOKUP(XLOOKUP($Q760,'Threshold Summary'!$Y:$Y,'Threshold Summary'!$K:$K,""),'Pokemon Editor'!$A:$A,'Pokemon Editor'!$C:$C,""),mtype=XLOOKUP(XLOOKUP($Q760,'Threshold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Chart'!$B$1:$S$1,0)))),base,IF(OR(cat="Status",pow=0),0,FLOOR(FLOOR(FLOOR((2*XLOOKUP($Q760,'Threshold Summary'!$Y:$Y,'Threshold Summary'!$L:$L,"")/5+2)*pow*atk/def)/50)+2)),modifier,stab*eff,AVERAGE(ARRAYFORMULA(FLOOR(base*modifier*SEQUENCE(16,1,85,1)/100)))*MIN(1,acc/100)),0)</f>
        <v/>
      </c>
      <c r="N760" s="4">
        <f>IFERROR(LET(mtype,XLOOKUP($D760,'Move Editor'!$B:$B,'Move Editor'!$C:$C,""),cat,XLOOKUP($D760,'Move Editor'!$B:$B,'Move Editor'!$D:$D,""),pow,XLOOKUP($D760,'Move Editor'!$B:$B,'Move Editor'!$E:$E,0),acc,XLOOKUP($D760,'Move Editor'!$B:$B,'Move Editor'!$F:$F,100),atk,IF(cat="Physical",FLOOR((FLOOR(((2*XLOOKUP(XLOOKUP($Q760,'Threshold Summary'!$Y:$Y,'Threshold Summary'!$K:$K,""),'Pokemon Editor'!$A:$A,'Pokemon Editor'!$F:$F,0)+31+FLOOR(XLOOKUP($Q760,'Threshold Summary'!$Y:$Y,'Threshold Summary'!$P:$P,"")/4))*XLOOKUP($Q760,'Threshold Summary'!$Y:$Y,'Threshold Summary'!$L:$L,""))/100)+5)*XLOOKUP(XLOOKUP($Q760,'Threshold Summary'!$Y:$Y,'Threshold Summary'!$M:$M,""),'Nature Editor'!$A:$A,'Nature Editor'!$B:$B,1)),FLOOR((FLOOR(((2*XLOOKUP(XLOOKUP($Q760,'Threshold Summary'!$Y:$Y,'Threshold Summary'!$K:$K,""),'Pokemon Editor'!$A:$A,'Pokemon Editor'!$H:$H,0)+31+FLOOR(XLOOKUP($Q760,'Threshold Summary'!$Y:$Y,'Threshold Summary'!$R:$R,"")/4))*XLOOKUP($Q760,'Threshold Summary'!$Y:$Y,'Threshold Summary'!$L:$L,""))/100)+5)*XLOOKUP(XLOOKUP($Q760,'Threshold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Editor'!$E:$E,1))),stab,IF(OR(mtype=XLOOKUP(XLOOKUP($Q760,'Threshold Summary'!$Y:$Y,'Threshold Summary'!$K:$K,""),'Pokemon Editor'!$A:$A,'Pokemon Editor'!$C:$C,""),mtype=XLOOKUP(XLOOKUP($Q760,'Threshold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Chart'!$B$1:$S$1,0)))),base,IF(OR(cat="Status",pow=0),0,FLOOR(FLOOR(FLOOR((2*XLOOKUP($Q760,'Threshold Summary'!$Y:$Y,'Threshold Summary'!$L:$L,"")/5+2)*pow*atk/def)/50)+2)),modifier,stab*eff,AVERAGE(ARRAYFORMULA(FLOOR(base*modifier*SEQUENCE(16,1,85,1)/100)))/(FLOOR(((2*XLOOKUP('Boss Editor'!$C$4,'Pokemon Editor'!$A:$A,'Pokemon Editor'!$E:$E,0)+31+FLOOR('Boss Editor'!$G$4/4))*'Boss Editor'!$D$4)/100)+'Boss Editor'!$D$4+10)),0)</f>
        <v/>
      </c>
      <c r="O760" s="3">
        <f>IF(N760&gt;=1,"OHKO",IF(N760&gt;=0.5,"2HKO",IF(N760&gt;=0.333,"3HKO",IF(N760&gt;=0.25,"4HKO","5HKO+"))))</f>
        <v/>
      </c>
      <c r="P760" s="3" t="inlineStr">
        <is>
          <t>Live from editable databases</t>
        </is>
      </c>
      <c r="Q760" s="3" t="inlineStr">
        <is>
          <t>SPECIES_STUFFUL</t>
        </is>
      </c>
      <c r="R760" s="3" t="n">
        <v>23</v>
      </c>
    </row>
    <row r="761">
      <c r="A761" s="3">
        <f>XLOOKUP($Q761,'Threshold Summary'!$Y:$Y,'Threshold Summary'!$A:$A,"")</f>
        <v/>
      </c>
      <c r="B761" s="3">
        <f>XLOOKUP($Q761,'Threshold Summary'!$Y:$Y,'Threshold Summary'!$M:$M,"")</f>
        <v/>
      </c>
      <c r="C761" s="3">
        <f>XLOOKUP($Q761,'Threshold Summary'!$Y:$Y,'Threshold Summary'!$N:$N,"")</f>
        <v/>
      </c>
      <c r="D761" s="3">
        <f>IFERROR(INDEX(FILTER('Learnset Editor'!$D$2:$D,'Learnset Editor'!$A$2:$A=XLOOKUP($Q761,'Threshold Summary'!$Y:$Y,'Threshold Summary'!$K:$K,""),'Learnset Editor'!$C$2:$C&lt;=XLOOKUP($Q761,'Threshold Summary'!$Y:$Y,'Threshold Summary'!$L:$L,"")),$R761),"")</f>
        <v/>
      </c>
      <c r="E761" s="3">
        <f>XLOOKUP(D761,'Move Editor'!$B:$B,'Move Editor'!$C:$C,"")</f>
        <v/>
      </c>
      <c r="F761" s="3">
        <f>XLOOKUP(D761,'Move Editor'!$B:$B,'Move Editor'!$D:$D,"")</f>
        <v/>
      </c>
      <c r="G761" s="3">
        <f>XLOOKUP(D761,'Move Editor'!$B:$B,'Move Editor'!$E:$E,0)</f>
        <v/>
      </c>
      <c r="H761" s="3">
        <f>XLOOKUP(D761,'Move Editor'!$B:$B,'Move Editor'!$F:$F,0)</f>
        <v/>
      </c>
      <c r="I761" s="3">
        <f>(INDEX('Type Chart'!$B:$S,MATCH(E761,'Type Chart'!$A:$A,0),MATCH(XLOOKUP('Boss Editor'!$C$4,'Pokemon Editor'!$A:$A,'Pokemon Editor'!$C:$C,""),'Type Chart'!$B$1:$S$1,0))*IF(XLOOKUP('Boss Editor'!$C$4,'Pokemon Editor'!$A:$A,'Pokemon Editor'!$D:$D,"")="",1,INDEX('Type Chart'!$B:$S,MATCH(E761,'Type Chart'!$A:$A,0),MATCH(XLOOKUP('Boss Editor'!$C$4,'Pokemon Editor'!$A:$A,'Pokemon Editor'!$D:$D,""),'Type Chart'!$B$1:$S$1,0))))</f>
        <v/>
      </c>
      <c r="J761" s="3">
        <f>IFERROR(LET(mtype,XLOOKUP($D761,'Move Editor'!$B:$B,'Move Editor'!$C:$C,""),cat,XLOOKUP($D761,'Move Editor'!$B:$B,'Move Editor'!$D:$D,""),pow,XLOOKUP($D761,'Move Editor'!$B:$B,'Move Editor'!$E:$E,0),acc,XLOOKUP($D761,'Move Editor'!$B:$B,'Move Editor'!$F:$F,100),atk,IF(cat="Physical",FLOOR((FLOOR(((2*XLOOKUP(XLOOKUP($Q761,'Threshold Summary'!$Y:$Y,'Threshold Summary'!$K:$K,""),'Pokemon Editor'!$A:$A,'Pokemon Editor'!$F:$F,0)+31+FLOOR(XLOOKUP($Q761,'Threshold Summary'!$Y:$Y,'Threshold Summary'!$P:$P,"")/4))*XLOOKUP($Q761,'Threshold Summary'!$Y:$Y,'Threshold Summary'!$L:$L,""))/100)+5)*XLOOKUP(XLOOKUP($Q761,'Threshold Summary'!$Y:$Y,'Threshold Summary'!$M:$M,""),'Nature Editor'!$A:$A,'Nature Editor'!$B:$B,1)),FLOOR((FLOOR(((2*XLOOKUP(XLOOKUP($Q761,'Threshold Summary'!$Y:$Y,'Threshold Summary'!$K:$K,""),'Pokemon Editor'!$A:$A,'Pokemon Editor'!$H:$H,0)+31+FLOOR(XLOOKUP($Q761,'Threshold Summary'!$Y:$Y,'Threshold Summary'!$R:$R,"")/4))*XLOOKUP($Q761,'Threshold Summary'!$Y:$Y,'Threshold Summary'!$L:$L,""))/100)+5)*XLOOKUP(XLOOKUP($Q761,'Threshold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Editor'!$E:$E,1))),stab,IF(OR(mtype=XLOOKUP(XLOOKUP($Q761,'Threshold Summary'!$Y:$Y,'Threshold Summary'!$K:$K,""),'Pokemon Editor'!$A:$A,'Pokemon Editor'!$C:$C,""),mtype=XLOOKUP(XLOOKUP($Q761,'Threshold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Chart'!$B$1:$S$1,0)))),base,IF(OR(cat="Status",pow=0),0,FLOOR(FLOOR(FLOOR((2*XLOOKUP($Q761,'Threshold Summary'!$Y:$Y,'Threshold Summary'!$L:$L,"")/5+2)*pow*atk/def)/50)+2)),modifier,stab*eff,FLOOR(base*modifier*0.85)),0)</f>
        <v/>
      </c>
      <c r="K761" s="3">
        <f>IFERROR(LET(mtype,XLOOKUP($D761,'Move Editor'!$B:$B,'Move Editor'!$C:$C,""),cat,XLOOKUP($D761,'Move Editor'!$B:$B,'Move Editor'!$D:$D,""),pow,XLOOKUP($D761,'Move Editor'!$B:$B,'Move Editor'!$E:$E,0),acc,XLOOKUP($D761,'Move Editor'!$B:$B,'Move Editor'!$F:$F,100),atk,IF(cat="Physical",FLOOR((FLOOR(((2*XLOOKUP(XLOOKUP($Q761,'Threshold Summary'!$Y:$Y,'Threshold Summary'!$K:$K,""),'Pokemon Editor'!$A:$A,'Pokemon Editor'!$F:$F,0)+31+FLOOR(XLOOKUP($Q761,'Threshold Summary'!$Y:$Y,'Threshold Summary'!$P:$P,"")/4))*XLOOKUP($Q761,'Threshold Summary'!$Y:$Y,'Threshold Summary'!$L:$L,""))/100)+5)*XLOOKUP(XLOOKUP($Q761,'Threshold Summary'!$Y:$Y,'Threshold Summary'!$M:$M,""),'Nature Editor'!$A:$A,'Nature Editor'!$B:$B,1)),FLOOR((FLOOR(((2*XLOOKUP(XLOOKUP($Q761,'Threshold Summary'!$Y:$Y,'Threshold Summary'!$K:$K,""),'Pokemon Editor'!$A:$A,'Pokemon Editor'!$H:$H,0)+31+FLOOR(XLOOKUP($Q761,'Threshold Summary'!$Y:$Y,'Threshold Summary'!$R:$R,"")/4))*XLOOKUP($Q761,'Threshold Summary'!$Y:$Y,'Threshold Summary'!$L:$L,""))/100)+5)*XLOOKUP(XLOOKUP($Q761,'Threshold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Editor'!$E:$E,1))),stab,IF(OR(mtype=XLOOKUP(XLOOKUP($Q761,'Threshold Summary'!$Y:$Y,'Threshold Summary'!$K:$K,""),'Pokemon Editor'!$A:$A,'Pokemon Editor'!$C:$C,""),mtype=XLOOKUP(XLOOKUP($Q761,'Threshold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Chart'!$B$1:$S$1,0)))),base,IF(OR(cat="Status",pow=0),0,FLOOR(FLOOR(FLOOR((2*XLOOKUP($Q761,'Threshold Summary'!$Y:$Y,'Threshold Summary'!$L:$L,"")/5+2)*pow*atk/def)/50)+2)),modifier,stab*eff,FLOOR(base*modifier)),0)</f>
        <v/>
      </c>
      <c r="L761" s="3">
        <f>IFERROR(LET(mtype,XLOOKUP($D761,'Move Editor'!$B:$B,'Move Editor'!$C:$C,""),cat,XLOOKUP($D761,'Move Editor'!$B:$B,'Move Editor'!$D:$D,""),pow,XLOOKUP($D761,'Move Editor'!$B:$B,'Move Editor'!$E:$E,0),acc,XLOOKUP($D761,'Move Editor'!$B:$B,'Move Editor'!$F:$F,100),atk,IF(cat="Physical",FLOOR((FLOOR(((2*XLOOKUP(XLOOKUP($Q761,'Threshold Summary'!$Y:$Y,'Threshold Summary'!$K:$K,""),'Pokemon Editor'!$A:$A,'Pokemon Editor'!$F:$F,0)+31+FLOOR(XLOOKUP($Q761,'Threshold Summary'!$Y:$Y,'Threshold Summary'!$P:$P,"")/4))*XLOOKUP($Q761,'Threshold Summary'!$Y:$Y,'Threshold Summary'!$L:$L,""))/100)+5)*XLOOKUP(XLOOKUP($Q761,'Threshold Summary'!$Y:$Y,'Threshold Summary'!$M:$M,""),'Nature Editor'!$A:$A,'Nature Editor'!$B:$B,1)),FLOOR((FLOOR(((2*XLOOKUP(XLOOKUP($Q761,'Threshold Summary'!$Y:$Y,'Threshold Summary'!$K:$K,""),'Pokemon Editor'!$A:$A,'Pokemon Editor'!$H:$H,0)+31+FLOOR(XLOOKUP($Q761,'Threshold Summary'!$Y:$Y,'Threshold Summary'!$R:$R,"")/4))*XLOOKUP($Q761,'Threshold Summary'!$Y:$Y,'Threshold Summary'!$L:$L,""))/100)+5)*XLOOKUP(XLOOKUP($Q761,'Threshold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Editor'!$E:$E,1))),stab,IF(OR(mtype=XLOOKUP(XLOOKUP($Q761,'Threshold Summary'!$Y:$Y,'Threshold Summary'!$K:$K,""),'Pokemon Editor'!$A:$A,'Pokemon Editor'!$C:$C,""),mtype=XLOOKUP(XLOOKUP($Q761,'Threshold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Chart'!$B$1:$S$1,0)))),base,IF(OR(cat="Status",pow=0),0,FLOOR(FLOOR(FLOOR((2*XLOOKUP($Q761,'Threshold Summary'!$Y:$Y,'Threshold Summary'!$L:$L,"")/5+2)*pow*atk/def)/50)+2)),modifier,stab*eff,AVERAGE(ARRAYFORMULA(FLOOR(base*modifier*SEQUENCE(16,1,85,1)/100)))),0)</f>
        <v/>
      </c>
      <c r="M761" s="3">
        <f>IFERROR(LET(mtype,XLOOKUP($D761,'Move Editor'!$B:$B,'Move Editor'!$C:$C,""),cat,XLOOKUP($D761,'Move Editor'!$B:$B,'Move Editor'!$D:$D,""),pow,XLOOKUP($D761,'Move Editor'!$B:$B,'Move Editor'!$E:$E,0),acc,XLOOKUP($D761,'Move Editor'!$B:$B,'Move Editor'!$F:$F,100),atk,IF(cat="Physical",FLOOR((FLOOR(((2*XLOOKUP(XLOOKUP($Q761,'Threshold Summary'!$Y:$Y,'Threshold Summary'!$K:$K,""),'Pokemon Editor'!$A:$A,'Pokemon Editor'!$F:$F,0)+31+FLOOR(XLOOKUP($Q761,'Threshold Summary'!$Y:$Y,'Threshold Summary'!$P:$P,"")/4))*XLOOKUP($Q761,'Threshold Summary'!$Y:$Y,'Threshold Summary'!$L:$L,""))/100)+5)*XLOOKUP(XLOOKUP($Q761,'Threshold Summary'!$Y:$Y,'Threshold Summary'!$M:$M,""),'Nature Editor'!$A:$A,'Nature Editor'!$B:$B,1)),FLOOR((FLOOR(((2*XLOOKUP(XLOOKUP($Q761,'Threshold Summary'!$Y:$Y,'Threshold Summary'!$K:$K,""),'Pokemon Editor'!$A:$A,'Pokemon Editor'!$H:$H,0)+31+FLOOR(XLOOKUP($Q761,'Threshold Summary'!$Y:$Y,'Threshold Summary'!$R:$R,"")/4))*XLOOKUP($Q761,'Threshold Summary'!$Y:$Y,'Threshold Summary'!$L:$L,""))/100)+5)*XLOOKUP(XLOOKUP($Q761,'Threshold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Editor'!$E:$E,1))),stab,IF(OR(mtype=XLOOKUP(XLOOKUP($Q761,'Threshold Summary'!$Y:$Y,'Threshold Summary'!$K:$K,""),'Pokemon Editor'!$A:$A,'Pokemon Editor'!$C:$C,""),mtype=XLOOKUP(XLOOKUP($Q761,'Threshold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Chart'!$B$1:$S$1,0)))),base,IF(OR(cat="Status",pow=0),0,FLOOR(FLOOR(FLOOR((2*XLOOKUP($Q761,'Threshold Summary'!$Y:$Y,'Threshold Summary'!$L:$L,"")/5+2)*pow*atk/def)/50)+2)),modifier,stab*eff,AVERAGE(ARRAYFORMULA(FLOOR(base*modifier*SEQUENCE(16,1,85,1)/100)))*MIN(1,acc/100)),0)</f>
        <v/>
      </c>
      <c r="N761" s="4">
        <f>IFERROR(LET(mtype,XLOOKUP($D761,'Move Editor'!$B:$B,'Move Editor'!$C:$C,""),cat,XLOOKUP($D761,'Move Editor'!$B:$B,'Move Editor'!$D:$D,""),pow,XLOOKUP($D761,'Move Editor'!$B:$B,'Move Editor'!$E:$E,0),acc,XLOOKUP($D761,'Move Editor'!$B:$B,'Move Editor'!$F:$F,100),atk,IF(cat="Physical",FLOOR((FLOOR(((2*XLOOKUP(XLOOKUP($Q761,'Threshold Summary'!$Y:$Y,'Threshold Summary'!$K:$K,""),'Pokemon Editor'!$A:$A,'Pokemon Editor'!$F:$F,0)+31+FLOOR(XLOOKUP($Q761,'Threshold Summary'!$Y:$Y,'Threshold Summary'!$P:$P,"")/4))*XLOOKUP($Q761,'Threshold Summary'!$Y:$Y,'Threshold Summary'!$L:$L,""))/100)+5)*XLOOKUP(XLOOKUP($Q761,'Threshold Summary'!$Y:$Y,'Threshold Summary'!$M:$M,""),'Nature Editor'!$A:$A,'Nature Editor'!$B:$B,1)),FLOOR((FLOOR(((2*XLOOKUP(XLOOKUP($Q761,'Threshold Summary'!$Y:$Y,'Threshold Summary'!$K:$K,""),'Pokemon Editor'!$A:$A,'Pokemon Editor'!$H:$H,0)+31+FLOOR(XLOOKUP($Q761,'Threshold Summary'!$Y:$Y,'Threshold Summary'!$R:$R,"")/4))*XLOOKUP($Q761,'Threshold Summary'!$Y:$Y,'Threshold Summary'!$L:$L,""))/100)+5)*XLOOKUP(XLOOKUP($Q761,'Threshold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Editor'!$E:$E,1))),stab,IF(OR(mtype=XLOOKUP(XLOOKUP($Q761,'Threshold Summary'!$Y:$Y,'Threshold Summary'!$K:$K,""),'Pokemon Editor'!$A:$A,'Pokemon Editor'!$C:$C,""),mtype=XLOOKUP(XLOOKUP($Q761,'Threshold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Chart'!$B$1:$S$1,0)))),base,IF(OR(cat="Status",pow=0),0,FLOOR(FLOOR(FLOOR((2*XLOOKUP($Q761,'Threshold Summary'!$Y:$Y,'Threshold Summary'!$L:$L,"")/5+2)*pow*atk/def)/50)+2)),modifier,stab*eff,AVERAGE(ARRAYFORMULA(FLOOR(base*modifier*SEQUENCE(16,1,85,1)/100)))/(FLOOR(((2*XLOOKUP('Boss Editor'!$C$4,'Pokemon Editor'!$A:$A,'Pokemon Editor'!$E:$E,0)+31+FLOOR('Boss Editor'!$G$4/4))*'Boss Editor'!$D$4)/100)+'Boss Editor'!$D$4+10)),0)</f>
        <v/>
      </c>
      <c r="O761" s="3">
        <f>IF(N761&gt;=1,"OHKO",IF(N761&gt;=0.5,"2HKO",IF(N761&gt;=0.333,"3HKO",IF(N761&gt;=0.25,"4HKO","5HKO+"))))</f>
        <v/>
      </c>
      <c r="P761" s="3" t="inlineStr">
        <is>
          <t>Live from editable databases</t>
        </is>
      </c>
      <c r="Q761" s="3" t="inlineStr">
        <is>
          <t>SPECIES_STUFFUL</t>
        </is>
      </c>
      <c r="R761" s="3" t="n">
        <v>24</v>
      </c>
    </row>
    <row r="762">
      <c r="A762" s="3">
        <f>XLOOKUP($Q762,'Threshold Summary'!$Y:$Y,'Threshold Summary'!$A:$A,"")</f>
        <v/>
      </c>
      <c r="B762" s="3">
        <f>XLOOKUP($Q762,'Threshold Summary'!$Y:$Y,'Threshold Summary'!$M:$M,"")</f>
        <v/>
      </c>
      <c r="C762" s="3">
        <f>XLOOKUP($Q762,'Threshold Summary'!$Y:$Y,'Threshold Summary'!$N:$N,"")</f>
        <v/>
      </c>
      <c r="D762" s="3">
        <f>IFERROR(INDEX(FILTER('Learnset Editor'!$D$2:$D,'Learnset Editor'!$A$2:$A=XLOOKUP($Q762,'Threshold Summary'!$Y:$Y,'Threshold Summary'!$K:$K,""),'Learnset Editor'!$C$2:$C&lt;=XLOOKUP($Q762,'Threshold Summary'!$Y:$Y,'Threshold Summary'!$L:$L,"")),$R762),"")</f>
        <v/>
      </c>
      <c r="E762" s="3">
        <f>XLOOKUP(D762,'Move Editor'!$B:$B,'Move Editor'!$C:$C,"")</f>
        <v/>
      </c>
      <c r="F762" s="3">
        <f>XLOOKUP(D762,'Move Editor'!$B:$B,'Move Editor'!$D:$D,"")</f>
        <v/>
      </c>
      <c r="G762" s="3">
        <f>XLOOKUP(D762,'Move Editor'!$B:$B,'Move Editor'!$E:$E,0)</f>
        <v/>
      </c>
      <c r="H762" s="3">
        <f>XLOOKUP(D762,'Move Editor'!$B:$B,'Move Editor'!$F:$F,0)</f>
        <v/>
      </c>
      <c r="I762" s="3">
        <f>(INDEX('Type Chart'!$B:$S,MATCH(E762,'Type Chart'!$A:$A,0),MATCH(XLOOKUP('Boss Editor'!$C$4,'Pokemon Editor'!$A:$A,'Pokemon Editor'!$C:$C,""),'Type Chart'!$B$1:$S$1,0))*IF(XLOOKUP('Boss Editor'!$C$4,'Pokemon Editor'!$A:$A,'Pokemon Editor'!$D:$D,"")="",1,INDEX('Type Chart'!$B:$S,MATCH(E762,'Type Chart'!$A:$A,0),MATCH(XLOOKUP('Boss Editor'!$C$4,'Pokemon Editor'!$A:$A,'Pokemon Editor'!$D:$D,""),'Type Chart'!$B$1:$S$1,0))))</f>
        <v/>
      </c>
      <c r="J762" s="3">
        <f>IFERROR(LET(mtype,XLOOKUP($D762,'Move Editor'!$B:$B,'Move Editor'!$C:$C,""),cat,XLOOKUP($D762,'Move Editor'!$B:$B,'Move Editor'!$D:$D,""),pow,XLOOKUP($D762,'Move Editor'!$B:$B,'Move Editor'!$E:$E,0),acc,XLOOKUP($D762,'Move Editor'!$B:$B,'Move Editor'!$F:$F,100),atk,IF(cat="Physical",FLOOR((FLOOR(((2*XLOOKUP(XLOOKUP($Q762,'Threshold Summary'!$Y:$Y,'Threshold Summary'!$K:$K,""),'Pokemon Editor'!$A:$A,'Pokemon Editor'!$F:$F,0)+31+FLOOR(XLOOKUP($Q762,'Threshold Summary'!$Y:$Y,'Threshold Summary'!$P:$P,"")/4))*XLOOKUP($Q762,'Threshold Summary'!$Y:$Y,'Threshold Summary'!$L:$L,""))/100)+5)*XLOOKUP(XLOOKUP($Q762,'Threshold Summary'!$Y:$Y,'Threshold Summary'!$M:$M,""),'Nature Editor'!$A:$A,'Nature Editor'!$B:$B,1)),FLOOR((FLOOR(((2*XLOOKUP(XLOOKUP($Q762,'Threshold Summary'!$Y:$Y,'Threshold Summary'!$K:$K,""),'Pokemon Editor'!$A:$A,'Pokemon Editor'!$H:$H,0)+31+FLOOR(XLOOKUP($Q762,'Threshold Summary'!$Y:$Y,'Threshold Summary'!$R:$R,"")/4))*XLOOKUP($Q762,'Threshold Summary'!$Y:$Y,'Threshold Summary'!$L:$L,""))/100)+5)*XLOOKUP(XLOOKUP($Q762,'Threshold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Editor'!$E:$E,1))),stab,IF(OR(mtype=XLOOKUP(XLOOKUP($Q762,'Threshold Summary'!$Y:$Y,'Threshold Summary'!$K:$K,""),'Pokemon Editor'!$A:$A,'Pokemon Editor'!$C:$C,""),mtype=XLOOKUP(XLOOKUP($Q762,'Threshold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Chart'!$B$1:$S$1,0)))),base,IF(OR(cat="Status",pow=0),0,FLOOR(FLOOR(FLOOR((2*XLOOKUP($Q762,'Threshold Summary'!$Y:$Y,'Threshold Summary'!$L:$L,"")/5+2)*pow*atk/def)/50)+2)),modifier,stab*eff,FLOOR(base*modifier*0.85)),0)</f>
        <v/>
      </c>
      <c r="K762" s="3">
        <f>IFERROR(LET(mtype,XLOOKUP($D762,'Move Editor'!$B:$B,'Move Editor'!$C:$C,""),cat,XLOOKUP($D762,'Move Editor'!$B:$B,'Move Editor'!$D:$D,""),pow,XLOOKUP($D762,'Move Editor'!$B:$B,'Move Editor'!$E:$E,0),acc,XLOOKUP($D762,'Move Editor'!$B:$B,'Move Editor'!$F:$F,100),atk,IF(cat="Physical",FLOOR((FLOOR(((2*XLOOKUP(XLOOKUP($Q762,'Threshold Summary'!$Y:$Y,'Threshold Summary'!$K:$K,""),'Pokemon Editor'!$A:$A,'Pokemon Editor'!$F:$F,0)+31+FLOOR(XLOOKUP($Q762,'Threshold Summary'!$Y:$Y,'Threshold Summary'!$P:$P,"")/4))*XLOOKUP($Q762,'Threshold Summary'!$Y:$Y,'Threshold Summary'!$L:$L,""))/100)+5)*XLOOKUP(XLOOKUP($Q762,'Threshold Summary'!$Y:$Y,'Threshold Summary'!$M:$M,""),'Nature Editor'!$A:$A,'Nature Editor'!$B:$B,1)),FLOOR((FLOOR(((2*XLOOKUP(XLOOKUP($Q762,'Threshold Summary'!$Y:$Y,'Threshold Summary'!$K:$K,""),'Pokemon Editor'!$A:$A,'Pokemon Editor'!$H:$H,0)+31+FLOOR(XLOOKUP($Q762,'Threshold Summary'!$Y:$Y,'Threshold Summary'!$R:$R,"")/4))*XLOOKUP($Q762,'Threshold Summary'!$Y:$Y,'Threshold Summary'!$L:$L,""))/100)+5)*XLOOKUP(XLOOKUP($Q762,'Threshold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Editor'!$E:$E,1))),stab,IF(OR(mtype=XLOOKUP(XLOOKUP($Q762,'Threshold Summary'!$Y:$Y,'Threshold Summary'!$K:$K,""),'Pokemon Editor'!$A:$A,'Pokemon Editor'!$C:$C,""),mtype=XLOOKUP(XLOOKUP($Q762,'Threshold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Chart'!$B$1:$S$1,0)))),base,IF(OR(cat="Status",pow=0),0,FLOOR(FLOOR(FLOOR((2*XLOOKUP($Q762,'Threshold Summary'!$Y:$Y,'Threshold Summary'!$L:$L,"")/5+2)*pow*atk/def)/50)+2)),modifier,stab*eff,FLOOR(base*modifier)),0)</f>
        <v/>
      </c>
      <c r="L762" s="3">
        <f>IFERROR(LET(mtype,XLOOKUP($D762,'Move Editor'!$B:$B,'Move Editor'!$C:$C,""),cat,XLOOKUP($D762,'Move Editor'!$B:$B,'Move Editor'!$D:$D,""),pow,XLOOKUP($D762,'Move Editor'!$B:$B,'Move Editor'!$E:$E,0),acc,XLOOKUP($D762,'Move Editor'!$B:$B,'Move Editor'!$F:$F,100),atk,IF(cat="Physical",FLOOR((FLOOR(((2*XLOOKUP(XLOOKUP($Q762,'Threshold Summary'!$Y:$Y,'Threshold Summary'!$K:$K,""),'Pokemon Editor'!$A:$A,'Pokemon Editor'!$F:$F,0)+31+FLOOR(XLOOKUP($Q762,'Threshold Summary'!$Y:$Y,'Threshold Summary'!$P:$P,"")/4))*XLOOKUP($Q762,'Threshold Summary'!$Y:$Y,'Threshold Summary'!$L:$L,""))/100)+5)*XLOOKUP(XLOOKUP($Q762,'Threshold Summary'!$Y:$Y,'Threshold Summary'!$M:$M,""),'Nature Editor'!$A:$A,'Nature Editor'!$B:$B,1)),FLOOR((FLOOR(((2*XLOOKUP(XLOOKUP($Q762,'Threshold Summary'!$Y:$Y,'Threshold Summary'!$K:$K,""),'Pokemon Editor'!$A:$A,'Pokemon Editor'!$H:$H,0)+31+FLOOR(XLOOKUP($Q762,'Threshold Summary'!$Y:$Y,'Threshold Summary'!$R:$R,"")/4))*XLOOKUP($Q762,'Threshold Summary'!$Y:$Y,'Threshold Summary'!$L:$L,""))/100)+5)*XLOOKUP(XLOOKUP($Q762,'Threshold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Editor'!$E:$E,1))),stab,IF(OR(mtype=XLOOKUP(XLOOKUP($Q762,'Threshold Summary'!$Y:$Y,'Threshold Summary'!$K:$K,""),'Pokemon Editor'!$A:$A,'Pokemon Editor'!$C:$C,""),mtype=XLOOKUP(XLOOKUP($Q762,'Threshold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Chart'!$B$1:$S$1,0)))),base,IF(OR(cat="Status",pow=0),0,FLOOR(FLOOR(FLOOR((2*XLOOKUP($Q762,'Threshold Summary'!$Y:$Y,'Threshold Summary'!$L:$L,"")/5+2)*pow*atk/def)/50)+2)),modifier,stab*eff,AVERAGE(ARRAYFORMULA(FLOOR(base*modifier*SEQUENCE(16,1,85,1)/100)))),0)</f>
        <v/>
      </c>
      <c r="M762" s="3">
        <f>IFERROR(LET(mtype,XLOOKUP($D762,'Move Editor'!$B:$B,'Move Editor'!$C:$C,""),cat,XLOOKUP($D762,'Move Editor'!$B:$B,'Move Editor'!$D:$D,""),pow,XLOOKUP($D762,'Move Editor'!$B:$B,'Move Editor'!$E:$E,0),acc,XLOOKUP($D762,'Move Editor'!$B:$B,'Move Editor'!$F:$F,100),atk,IF(cat="Physical",FLOOR((FLOOR(((2*XLOOKUP(XLOOKUP($Q762,'Threshold Summary'!$Y:$Y,'Threshold Summary'!$K:$K,""),'Pokemon Editor'!$A:$A,'Pokemon Editor'!$F:$F,0)+31+FLOOR(XLOOKUP($Q762,'Threshold Summary'!$Y:$Y,'Threshold Summary'!$P:$P,"")/4))*XLOOKUP($Q762,'Threshold Summary'!$Y:$Y,'Threshold Summary'!$L:$L,""))/100)+5)*XLOOKUP(XLOOKUP($Q762,'Threshold Summary'!$Y:$Y,'Threshold Summary'!$M:$M,""),'Nature Editor'!$A:$A,'Nature Editor'!$B:$B,1)),FLOOR((FLOOR(((2*XLOOKUP(XLOOKUP($Q762,'Threshold Summary'!$Y:$Y,'Threshold Summary'!$K:$K,""),'Pokemon Editor'!$A:$A,'Pokemon Editor'!$H:$H,0)+31+FLOOR(XLOOKUP($Q762,'Threshold Summary'!$Y:$Y,'Threshold Summary'!$R:$R,"")/4))*XLOOKUP($Q762,'Threshold Summary'!$Y:$Y,'Threshold Summary'!$L:$L,""))/100)+5)*XLOOKUP(XLOOKUP($Q762,'Threshold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Editor'!$E:$E,1))),stab,IF(OR(mtype=XLOOKUP(XLOOKUP($Q762,'Threshold Summary'!$Y:$Y,'Threshold Summary'!$K:$K,""),'Pokemon Editor'!$A:$A,'Pokemon Editor'!$C:$C,""),mtype=XLOOKUP(XLOOKUP($Q762,'Threshold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Chart'!$B$1:$S$1,0)))),base,IF(OR(cat="Status",pow=0),0,FLOOR(FLOOR(FLOOR((2*XLOOKUP($Q762,'Threshold Summary'!$Y:$Y,'Threshold Summary'!$L:$L,"")/5+2)*pow*atk/def)/50)+2)),modifier,stab*eff,AVERAGE(ARRAYFORMULA(FLOOR(base*modifier*SEQUENCE(16,1,85,1)/100)))*MIN(1,acc/100)),0)</f>
        <v/>
      </c>
      <c r="N762" s="4">
        <f>IFERROR(LET(mtype,XLOOKUP($D762,'Move Editor'!$B:$B,'Move Editor'!$C:$C,""),cat,XLOOKUP($D762,'Move Editor'!$B:$B,'Move Editor'!$D:$D,""),pow,XLOOKUP($D762,'Move Editor'!$B:$B,'Move Editor'!$E:$E,0),acc,XLOOKUP($D762,'Move Editor'!$B:$B,'Move Editor'!$F:$F,100),atk,IF(cat="Physical",FLOOR((FLOOR(((2*XLOOKUP(XLOOKUP($Q762,'Threshold Summary'!$Y:$Y,'Threshold Summary'!$K:$K,""),'Pokemon Editor'!$A:$A,'Pokemon Editor'!$F:$F,0)+31+FLOOR(XLOOKUP($Q762,'Threshold Summary'!$Y:$Y,'Threshold Summary'!$P:$P,"")/4))*XLOOKUP($Q762,'Threshold Summary'!$Y:$Y,'Threshold Summary'!$L:$L,""))/100)+5)*XLOOKUP(XLOOKUP($Q762,'Threshold Summary'!$Y:$Y,'Threshold Summary'!$M:$M,""),'Nature Editor'!$A:$A,'Nature Editor'!$B:$B,1)),FLOOR((FLOOR(((2*XLOOKUP(XLOOKUP($Q762,'Threshold Summary'!$Y:$Y,'Threshold Summary'!$K:$K,""),'Pokemon Editor'!$A:$A,'Pokemon Editor'!$H:$H,0)+31+FLOOR(XLOOKUP($Q762,'Threshold Summary'!$Y:$Y,'Threshold Summary'!$R:$R,"")/4))*XLOOKUP($Q762,'Threshold Summary'!$Y:$Y,'Threshold Summary'!$L:$L,""))/100)+5)*XLOOKUP(XLOOKUP($Q762,'Threshold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Editor'!$E:$E,1))),stab,IF(OR(mtype=XLOOKUP(XLOOKUP($Q762,'Threshold Summary'!$Y:$Y,'Threshold Summary'!$K:$K,""),'Pokemon Editor'!$A:$A,'Pokemon Editor'!$C:$C,""),mtype=XLOOKUP(XLOOKUP($Q762,'Threshold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Chart'!$B$1:$S$1,0)))),base,IF(OR(cat="Status",pow=0),0,FLOOR(FLOOR(FLOOR((2*XLOOKUP($Q762,'Threshold Summary'!$Y:$Y,'Threshold Summary'!$L:$L,"")/5+2)*pow*atk/def)/50)+2)),modifier,stab*eff,AVERAGE(ARRAYFORMULA(FLOOR(base*modifier*SEQUENCE(16,1,85,1)/100)))/(FLOOR(((2*XLOOKUP('Boss Editor'!$C$4,'Pokemon Editor'!$A:$A,'Pokemon Editor'!$E:$E,0)+31+FLOOR('Boss Editor'!$G$4/4))*'Boss Editor'!$D$4)/100)+'Boss Editor'!$D$4+10)),0)</f>
        <v/>
      </c>
      <c r="O762" s="3">
        <f>IF(N762&gt;=1,"OHKO",IF(N762&gt;=0.5,"2HKO",IF(N762&gt;=0.333,"3HKO",IF(N762&gt;=0.25,"4HKO","5HKO+"))))</f>
        <v/>
      </c>
      <c r="P762" s="3" t="inlineStr">
        <is>
          <t>Live from editable databases</t>
        </is>
      </c>
      <c r="Q762" s="3" t="inlineStr">
        <is>
          <t>SPECIES_STUFFUL</t>
        </is>
      </c>
      <c r="R762" s="3" t="n">
        <v>25</v>
      </c>
    </row>
    <row r="763">
      <c r="A763" s="3">
        <f>XLOOKUP($Q763,'Threshold Summary'!$Y:$Y,'Threshold Summary'!$A:$A,"")</f>
        <v/>
      </c>
      <c r="B763" s="3">
        <f>XLOOKUP($Q763,'Threshold Summary'!$Y:$Y,'Threshold Summary'!$M:$M,"")</f>
        <v/>
      </c>
      <c r="C763" s="3">
        <f>XLOOKUP($Q763,'Threshold Summary'!$Y:$Y,'Threshold Summary'!$N:$N,"")</f>
        <v/>
      </c>
      <c r="D763" s="3">
        <f>IFERROR(INDEX(FILTER('Learnset Editor'!$D$2:$D,'Learnset Editor'!$A$2:$A=XLOOKUP($Q763,'Threshold Summary'!$Y:$Y,'Threshold Summary'!$K:$K,""),'Learnset Editor'!$C$2:$C&lt;=XLOOKUP($Q763,'Threshold Summary'!$Y:$Y,'Threshold Summary'!$L:$L,"")),$R763),"")</f>
        <v/>
      </c>
      <c r="E763" s="3">
        <f>XLOOKUP(D763,'Move Editor'!$B:$B,'Move Editor'!$C:$C,"")</f>
        <v/>
      </c>
      <c r="F763" s="3">
        <f>XLOOKUP(D763,'Move Editor'!$B:$B,'Move Editor'!$D:$D,"")</f>
        <v/>
      </c>
      <c r="G763" s="3">
        <f>XLOOKUP(D763,'Move Editor'!$B:$B,'Move Editor'!$E:$E,0)</f>
        <v/>
      </c>
      <c r="H763" s="3">
        <f>XLOOKUP(D763,'Move Editor'!$B:$B,'Move Editor'!$F:$F,0)</f>
        <v/>
      </c>
      <c r="I763" s="3">
        <f>(INDEX('Type Chart'!$B:$S,MATCH(E763,'Type Chart'!$A:$A,0),MATCH(XLOOKUP('Boss Editor'!$C$4,'Pokemon Editor'!$A:$A,'Pokemon Editor'!$C:$C,""),'Type Chart'!$B$1:$S$1,0))*IF(XLOOKUP('Boss Editor'!$C$4,'Pokemon Editor'!$A:$A,'Pokemon Editor'!$D:$D,"")="",1,INDEX('Type Chart'!$B:$S,MATCH(E763,'Type Chart'!$A:$A,0),MATCH(XLOOKUP('Boss Editor'!$C$4,'Pokemon Editor'!$A:$A,'Pokemon Editor'!$D:$D,""),'Type Chart'!$B$1:$S$1,0))))</f>
        <v/>
      </c>
      <c r="J763" s="3">
        <f>IFERROR(LET(mtype,XLOOKUP($D763,'Move Editor'!$B:$B,'Move Editor'!$C:$C,""),cat,XLOOKUP($D763,'Move Editor'!$B:$B,'Move Editor'!$D:$D,""),pow,XLOOKUP($D763,'Move Editor'!$B:$B,'Move Editor'!$E:$E,0),acc,XLOOKUP($D763,'Move Editor'!$B:$B,'Move Editor'!$F:$F,100),atk,IF(cat="Physical",FLOOR((FLOOR(((2*XLOOKUP(XLOOKUP($Q763,'Threshold Summary'!$Y:$Y,'Threshold Summary'!$K:$K,""),'Pokemon Editor'!$A:$A,'Pokemon Editor'!$F:$F,0)+31+FLOOR(XLOOKUP($Q763,'Threshold Summary'!$Y:$Y,'Threshold Summary'!$P:$P,"")/4))*XLOOKUP($Q763,'Threshold Summary'!$Y:$Y,'Threshold Summary'!$L:$L,""))/100)+5)*XLOOKUP(XLOOKUP($Q763,'Threshold Summary'!$Y:$Y,'Threshold Summary'!$M:$M,""),'Nature Editor'!$A:$A,'Nature Editor'!$B:$B,1)),FLOOR((FLOOR(((2*XLOOKUP(XLOOKUP($Q763,'Threshold Summary'!$Y:$Y,'Threshold Summary'!$K:$K,""),'Pokemon Editor'!$A:$A,'Pokemon Editor'!$H:$H,0)+31+FLOOR(XLOOKUP($Q763,'Threshold Summary'!$Y:$Y,'Threshold Summary'!$R:$R,"")/4))*XLOOKUP($Q763,'Threshold Summary'!$Y:$Y,'Threshold Summary'!$L:$L,""))/100)+5)*XLOOKUP(XLOOKUP($Q763,'Threshold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Editor'!$E:$E,1))),stab,IF(OR(mtype=XLOOKUP(XLOOKUP($Q763,'Threshold Summary'!$Y:$Y,'Threshold Summary'!$K:$K,""),'Pokemon Editor'!$A:$A,'Pokemon Editor'!$C:$C,""),mtype=XLOOKUP(XLOOKUP($Q763,'Threshold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Chart'!$B$1:$S$1,0)))),base,IF(OR(cat="Status",pow=0),0,FLOOR(FLOOR(FLOOR((2*XLOOKUP($Q763,'Threshold Summary'!$Y:$Y,'Threshold Summary'!$L:$L,"")/5+2)*pow*atk/def)/50)+2)),modifier,stab*eff,FLOOR(base*modifier*0.85)),0)</f>
        <v/>
      </c>
      <c r="K763" s="3">
        <f>IFERROR(LET(mtype,XLOOKUP($D763,'Move Editor'!$B:$B,'Move Editor'!$C:$C,""),cat,XLOOKUP($D763,'Move Editor'!$B:$B,'Move Editor'!$D:$D,""),pow,XLOOKUP($D763,'Move Editor'!$B:$B,'Move Editor'!$E:$E,0),acc,XLOOKUP($D763,'Move Editor'!$B:$B,'Move Editor'!$F:$F,100),atk,IF(cat="Physical",FLOOR((FLOOR(((2*XLOOKUP(XLOOKUP($Q763,'Threshold Summary'!$Y:$Y,'Threshold Summary'!$K:$K,""),'Pokemon Editor'!$A:$A,'Pokemon Editor'!$F:$F,0)+31+FLOOR(XLOOKUP($Q763,'Threshold Summary'!$Y:$Y,'Threshold Summary'!$P:$P,"")/4))*XLOOKUP($Q763,'Threshold Summary'!$Y:$Y,'Threshold Summary'!$L:$L,""))/100)+5)*XLOOKUP(XLOOKUP($Q763,'Threshold Summary'!$Y:$Y,'Threshold Summary'!$M:$M,""),'Nature Editor'!$A:$A,'Nature Editor'!$B:$B,1)),FLOOR((FLOOR(((2*XLOOKUP(XLOOKUP($Q763,'Threshold Summary'!$Y:$Y,'Threshold Summary'!$K:$K,""),'Pokemon Editor'!$A:$A,'Pokemon Editor'!$H:$H,0)+31+FLOOR(XLOOKUP($Q763,'Threshold Summary'!$Y:$Y,'Threshold Summary'!$R:$R,"")/4))*XLOOKUP($Q763,'Threshold Summary'!$Y:$Y,'Threshold Summary'!$L:$L,""))/100)+5)*XLOOKUP(XLOOKUP($Q763,'Threshold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Editor'!$E:$E,1))),stab,IF(OR(mtype=XLOOKUP(XLOOKUP($Q763,'Threshold Summary'!$Y:$Y,'Threshold Summary'!$K:$K,""),'Pokemon Editor'!$A:$A,'Pokemon Editor'!$C:$C,""),mtype=XLOOKUP(XLOOKUP($Q763,'Threshold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Chart'!$B$1:$S$1,0)))),base,IF(OR(cat="Status",pow=0),0,FLOOR(FLOOR(FLOOR((2*XLOOKUP($Q763,'Threshold Summary'!$Y:$Y,'Threshold Summary'!$L:$L,"")/5+2)*pow*atk/def)/50)+2)),modifier,stab*eff,FLOOR(base*modifier)),0)</f>
        <v/>
      </c>
      <c r="L763" s="3">
        <f>IFERROR(LET(mtype,XLOOKUP($D763,'Move Editor'!$B:$B,'Move Editor'!$C:$C,""),cat,XLOOKUP($D763,'Move Editor'!$B:$B,'Move Editor'!$D:$D,""),pow,XLOOKUP($D763,'Move Editor'!$B:$B,'Move Editor'!$E:$E,0),acc,XLOOKUP($D763,'Move Editor'!$B:$B,'Move Editor'!$F:$F,100),atk,IF(cat="Physical",FLOOR((FLOOR(((2*XLOOKUP(XLOOKUP($Q763,'Threshold Summary'!$Y:$Y,'Threshold Summary'!$K:$K,""),'Pokemon Editor'!$A:$A,'Pokemon Editor'!$F:$F,0)+31+FLOOR(XLOOKUP($Q763,'Threshold Summary'!$Y:$Y,'Threshold Summary'!$P:$P,"")/4))*XLOOKUP($Q763,'Threshold Summary'!$Y:$Y,'Threshold Summary'!$L:$L,""))/100)+5)*XLOOKUP(XLOOKUP($Q763,'Threshold Summary'!$Y:$Y,'Threshold Summary'!$M:$M,""),'Nature Editor'!$A:$A,'Nature Editor'!$B:$B,1)),FLOOR((FLOOR(((2*XLOOKUP(XLOOKUP($Q763,'Threshold Summary'!$Y:$Y,'Threshold Summary'!$K:$K,""),'Pokemon Editor'!$A:$A,'Pokemon Editor'!$H:$H,0)+31+FLOOR(XLOOKUP($Q763,'Threshold Summary'!$Y:$Y,'Threshold Summary'!$R:$R,"")/4))*XLOOKUP($Q763,'Threshold Summary'!$Y:$Y,'Threshold Summary'!$L:$L,""))/100)+5)*XLOOKUP(XLOOKUP($Q763,'Threshold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Editor'!$E:$E,1))),stab,IF(OR(mtype=XLOOKUP(XLOOKUP($Q763,'Threshold Summary'!$Y:$Y,'Threshold Summary'!$K:$K,""),'Pokemon Editor'!$A:$A,'Pokemon Editor'!$C:$C,""),mtype=XLOOKUP(XLOOKUP($Q763,'Threshold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Chart'!$B$1:$S$1,0)))),base,IF(OR(cat="Status",pow=0),0,FLOOR(FLOOR(FLOOR((2*XLOOKUP($Q763,'Threshold Summary'!$Y:$Y,'Threshold Summary'!$L:$L,"")/5+2)*pow*atk/def)/50)+2)),modifier,stab*eff,AVERAGE(ARRAYFORMULA(FLOOR(base*modifier*SEQUENCE(16,1,85,1)/100)))),0)</f>
        <v/>
      </c>
      <c r="M763" s="3">
        <f>IFERROR(LET(mtype,XLOOKUP($D763,'Move Editor'!$B:$B,'Move Editor'!$C:$C,""),cat,XLOOKUP($D763,'Move Editor'!$B:$B,'Move Editor'!$D:$D,""),pow,XLOOKUP($D763,'Move Editor'!$B:$B,'Move Editor'!$E:$E,0),acc,XLOOKUP($D763,'Move Editor'!$B:$B,'Move Editor'!$F:$F,100),atk,IF(cat="Physical",FLOOR((FLOOR(((2*XLOOKUP(XLOOKUP($Q763,'Threshold Summary'!$Y:$Y,'Threshold Summary'!$K:$K,""),'Pokemon Editor'!$A:$A,'Pokemon Editor'!$F:$F,0)+31+FLOOR(XLOOKUP($Q763,'Threshold Summary'!$Y:$Y,'Threshold Summary'!$P:$P,"")/4))*XLOOKUP($Q763,'Threshold Summary'!$Y:$Y,'Threshold Summary'!$L:$L,""))/100)+5)*XLOOKUP(XLOOKUP($Q763,'Threshold Summary'!$Y:$Y,'Threshold Summary'!$M:$M,""),'Nature Editor'!$A:$A,'Nature Editor'!$B:$B,1)),FLOOR((FLOOR(((2*XLOOKUP(XLOOKUP($Q763,'Threshold Summary'!$Y:$Y,'Threshold Summary'!$K:$K,""),'Pokemon Editor'!$A:$A,'Pokemon Editor'!$H:$H,0)+31+FLOOR(XLOOKUP($Q763,'Threshold Summary'!$Y:$Y,'Threshold Summary'!$R:$R,"")/4))*XLOOKUP($Q763,'Threshold Summary'!$Y:$Y,'Threshold Summary'!$L:$L,""))/100)+5)*XLOOKUP(XLOOKUP($Q763,'Threshold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Editor'!$E:$E,1))),stab,IF(OR(mtype=XLOOKUP(XLOOKUP($Q763,'Threshold Summary'!$Y:$Y,'Threshold Summary'!$K:$K,""),'Pokemon Editor'!$A:$A,'Pokemon Editor'!$C:$C,""),mtype=XLOOKUP(XLOOKUP($Q763,'Threshold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Chart'!$B$1:$S$1,0)))),base,IF(OR(cat="Status",pow=0),0,FLOOR(FLOOR(FLOOR((2*XLOOKUP($Q763,'Threshold Summary'!$Y:$Y,'Threshold Summary'!$L:$L,"")/5+2)*pow*atk/def)/50)+2)),modifier,stab*eff,AVERAGE(ARRAYFORMULA(FLOOR(base*modifier*SEQUENCE(16,1,85,1)/100)))*MIN(1,acc/100)),0)</f>
        <v/>
      </c>
      <c r="N763" s="4">
        <f>IFERROR(LET(mtype,XLOOKUP($D763,'Move Editor'!$B:$B,'Move Editor'!$C:$C,""),cat,XLOOKUP($D763,'Move Editor'!$B:$B,'Move Editor'!$D:$D,""),pow,XLOOKUP($D763,'Move Editor'!$B:$B,'Move Editor'!$E:$E,0),acc,XLOOKUP($D763,'Move Editor'!$B:$B,'Move Editor'!$F:$F,100),atk,IF(cat="Physical",FLOOR((FLOOR(((2*XLOOKUP(XLOOKUP($Q763,'Threshold Summary'!$Y:$Y,'Threshold Summary'!$K:$K,""),'Pokemon Editor'!$A:$A,'Pokemon Editor'!$F:$F,0)+31+FLOOR(XLOOKUP($Q763,'Threshold Summary'!$Y:$Y,'Threshold Summary'!$P:$P,"")/4))*XLOOKUP($Q763,'Threshold Summary'!$Y:$Y,'Threshold Summary'!$L:$L,""))/100)+5)*XLOOKUP(XLOOKUP($Q763,'Threshold Summary'!$Y:$Y,'Threshold Summary'!$M:$M,""),'Nature Editor'!$A:$A,'Nature Editor'!$B:$B,1)),FLOOR((FLOOR(((2*XLOOKUP(XLOOKUP($Q763,'Threshold Summary'!$Y:$Y,'Threshold Summary'!$K:$K,""),'Pokemon Editor'!$A:$A,'Pokemon Editor'!$H:$H,0)+31+FLOOR(XLOOKUP($Q763,'Threshold Summary'!$Y:$Y,'Threshold Summary'!$R:$R,"")/4))*XLOOKUP($Q763,'Threshold Summary'!$Y:$Y,'Threshold Summary'!$L:$L,""))/100)+5)*XLOOKUP(XLOOKUP($Q763,'Threshold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Editor'!$E:$E,1))),stab,IF(OR(mtype=XLOOKUP(XLOOKUP($Q763,'Threshold Summary'!$Y:$Y,'Threshold Summary'!$K:$K,""),'Pokemon Editor'!$A:$A,'Pokemon Editor'!$C:$C,""),mtype=XLOOKUP(XLOOKUP($Q763,'Threshold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Chart'!$B$1:$S$1,0)))),base,IF(OR(cat="Status",pow=0),0,FLOOR(FLOOR(FLOOR((2*XLOOKUP($Q763,'Threshold Summary'!$Y:$Y,'Threshold Summary'!$L:$L,"")/5+2)*pow*atk/def)/50)+2)),modifier,stab*eff,AVERAGE(ARRAYFORMULA(FLOOR(base*modifier*SEQUENCE(16,1,85,1)/100)))/(FLOOR(((2*XLOOKUP('Boss Editor'!$C$4,'Pokemon Editor'!$A:$A,'Pokemon Editor'!$E:$E,0)+31+FLOOR('Boss Editor'!$G$4/4))*'Boss Editor'!$D$4)/100)+'Boss Editor'!$D$4+10)),0)</f>
        <v/>
      </c>
      <c r="O763" s="3">
        <f>IF(N763&gt;=1,"OHKO",IF(N763&gt;=0.5,"2HKO",IF(N763&gt;=0.333,"3HKO",IF(N763&gt;=0.25,"4HKO","5HKO+"))))</f>
        <v/>
      </c>
      <c r="P763" s="3" t="inlineStr">
        <is>
          <t>Live from editable databases</t>
        </is>
      </c>
      <c r="Q763" s="3" t="inlineStr">
        <is>
          <t>SPECIES_STUFFUL</t>
        </is>
      </c>
      <c r="R763" s="3" t="n">
        <v>26</v>
      </c>
    </row>
    <row r="764">
      <c r="A764" s="3">
        <f>XLOOKUP($Q764,'Threshold Summary'!$Y:$Y,'Threshold Summary'!$A:$A,"")</f>
        <v/>
      </c>
      <c r="B764" s="3">
        <f>XLOOKUP($Q764,'Threshold Summary'!$Y:$Y,'Threshold Summary'!$M:$M,"")</f>
        <v/>
      </c>
      <c r="C764" s="3">
        <f>XLOOKUP($Q764,'Threshold Summary'!$Y:$Y,'Threshold Summary'!$N:$N,"")</f>
        <v/>
      </c>
      <c r="D764" s="3">
        <f>IFERROR(INDEX(FILTER('Learnset Editor'!$D$2:$D,'Learnset Editor'!$A$2:$A=XLOOKUP($Q764,'Threshold Summary'!$Y:$Y,'Threshold Summary'!$K:$K,""),'Learnset Editor'!$C$2:$C&lt;=XLOOKUP($Q764,'Threshold Summary'!$Y:$Y,'Threshold Summary'!$L:$L,"")),$R764),"")</f>
        <v/>
      </c>
      <c r="E764" s="3">
        <f>XLOOKUP(D764,'Move Editor'!$B:$B,'Move Editor'!$C:$C,"")</f>
        <v/>
      </c>
      <c r="F764" s="3">
        <f>XLOOKUP(D764,'Move Editor'!$B:$B,'Move Editor'!$D:$D,"")</f>
        <v/>
      </c>
      <c r="G764" s="3">
        <f>XLOOKUP(D764,'Move Editor'!$B:$B,'Move Editor'!$E:$E,0)</f>
        <v/>
      </c>
      <c r="H764" s="3">
        <f>XLOOKUP(D764,'Move Editor'!$B:$B,'Move Editor'!$F:$F,0)</f>
        <v/>
      </c>
      <c r="I764" s="3">
        <f>(INDEX('Type Chart'!$B:$S,MATCH(E764,'Type Chart'!$A:$A,0),MATCH(XLOOKUP('Boss Editor'!$C$4,'Pokemon Editor'!$A:$A,'Pokemon Editor'!$C:$C,""),'Type Chart'!$B$1:$S$1,0))*IF(XLOOKUP('Boss Editor'!$C$4,'Pokemon Editor'!$A:$A,'Pokemon Editor'!$D:$D,"")="",1,INDEX('Type Chart'!$B:$S,MATCH(E764,'Type Chart'!$A:$A,0),MATCH(XLOOKUP('Boss Editor'!$C$4,'Pokemon Editor'!$A:$A,'Pokemon Editor'!$D:$D,""),'Type Chart'!$B$1:$S$1,0))))</f>
        <v/>
      </c>
      <c r="J764" s="3">
        <f>IFERROR(LET(mtype,XLOOKUP($D764,'Move Editor'!$B:$B,'Move Editor'!$C:$C,""),cat,XLOOKUP($D764,'Move Editor'!$B:$B,'Move Editor'!$D:$D,""),pow,XLOOKUP($D764,'Move Editor'!$B:$B,'Move Editor'!$E:$E,0),acc,XLOOKUP($D764,'Move Editor'!$B:$B,'Move Editor'!$F:$F,100),atk,IF(cat="Physical",FLOOR((FLOOR(((2*XLOOKUP(XLOOKUP($Q764,'Threshold Summary'!$Y:$Y,'Threshold Summary'!$K:$K,""),'Pokemon Editor'!$A:$A,'Pokemon Editor'!$F:$F,0)+31+FLOOR(XLOOKUP($Q764,'Threshold Summary'!$Y:$Y,'Threshold Summary'!$P:$P,"")/4))*XLOOKUP($Q764,'Threshold Summary'!$Y:$Y,'Threshold Summary'!$L:$L,""))/100)+5)*XLOOKUP(XLOOKUP($Q764,'Threshold Summary'!$Y:$Y,'Threshold Summary'!$M:$M,""),'Nature Editor'!$A:$A,'Nature Editor'!$B:$B,1)),FLOOR((FLOOR(((2*XLOOKUP(XLOOKUP($Q764,'Threshold Summary'!$Y:$Y,'Threshold Summary'!$K:$K,""),'Pokemon Editor'!$A:$A,'Pokemon Editor'!$H:$H,0)+31+FLOOR(XLOOKUP($Q764,'Threshold Summary'!$Y:$Y,'Threshold Summary'!$R:$R,"")/4))*XLOOKUP($Q764,'Threshold Summary'!$Y:$Y,'Threshold Summary'!$L:$L,""))/100)+5)*XLOOKUP(XLOOKUP($Q764,'Threshold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Editor'!$E:$E,1))),stab,IF(OR(mtype=XLOOKUP(XLOOKUP($Q764,'Threshold Summary'!$Y:$Y,'Threshold Summary'!$K:$K,""),'Pokemon Editor'!$A:$A,'Pokemon Editor'!$C:$C,""),mtype=XLOOKUP(XLOOKUP($Q764,'Threshold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Chart'!$B$1:$S$1,0)))),base,IF(OR(cat="Status",pow=0),0,FLOOR(FLOOR(FLOOR((2*XLOOKUP($Q764,'Threshold Summary'!$Y:$Y,'Threshold Summary'!$L:$L,"")/5+2)*pow*atk/def)/50)+2)),modifier,stab*eff,FLOOR(base*modifier*0.85)),0)</f>
        <v/>
      </c>
      <c r="K764" s="3">
        <f>IFERROR(LET(mtype,XLOOKUP($D764,'Move Editor'!$B:$B,'Move Editor'!$C:$C,""),cat,XLOOKUP($D764,'Move Editor'!$B:$B,'Move Editor'!$D:$D,""),pow,XLOOKUP($D764,'Move Editor'!$B:$B,'Move Editor'!$E:$E,0),acc,XLOOKUP($D764,'Move Editor'!$B:$B,'Move Editor'!$F:$F,100),atk,IF(cat="Physical",FLOOR((FLOOR(((2*XLOOKUP(XLOOKUP($Q764,'Threshold Summary'!$Y:$Y,'Threshold Summary'!$K:$K,""),'Pokemon Editor'!$A:$A,'Pokemon Editor'!$F:$F,0)+31+FLOOR(XLOOKUP($Q764,'Threshold Summary'!$Y:$Y,'Threshold Summary'!$P:$P,"")/4))*XLOOKUP($Q764,'Threshold Summary'!$Y:$Y,'Threshold Summary'!$L:$L,""))/100)+5)*XLOOKUP(XLOOKUP($Q764,'Threshold Summary'!$Y:$Y,'Threshold Summary'!$M:$M,""),'Nature Editor'!$A:$A,'Nature Editor'!$B:$B,1)),FLOOR((FLOOR(((2*XLOOKUP(XLOOKUP($Q764,'Threshold Summary'!$Y:$Y,'Threshold Summary'!$K:$K,""),'Pokemon Editor'!$A:$A,'Pokemon Editor'!$H:$H,0)+31+FLOOR(XLOOKUP($Q764,'Threshold Summary'!$Y:$Y,'Threshold Summary'!$R:$R,"")/4))*XLOOKUP($Q764,'Threshold Summary'!$Y:$Y,'Threshold Summary'!$L:$L,""))/100)+5)*XLOOKUP(XLOOKUP($Q764,'Threshold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Editor'!$E:$E,1))),stab,IF(OR(mtype=XLOOKUP(XLOOKUP($Q764,'Threshold Summary'!$Y:$Y,'Threshold Summary'!$K:$K,""),'Pokemon Editor'!$A:$A,'Pokemon Editor'!$C:$C,""),mtype=XLOOKUP(XLOOKUP($Q764,'Threshold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Chart'!$B$1:$S$1,0)))),base,IF(OR(cat="Status",pow=0),0,FLOOR(FLOOR(FLOOR((2*XLOOKUP($Q764,'Threshold Summary'!$Y:$Y,'Threshold Summary'!$L:$L,"")/5+2)*pow*atk/def)/50)+2)),modifier,stab*eff,FLOOR(base*modifier)),0)</f>
        <v/>
      </c>
      <c r="L764" s="3">
        <f>IFERROR(LET(mtype,XLOOKUP($D764,'Move Editor'!$B:$B,'Move Editor'!$C:$C,""),cat,XLOOKUP($D764,'Move Editor'!$B:$B,'Move Editor'!$D:$D,""),pow,XLOOKUP($D764,'Move Editor'!$B:$B,'Move Editor'!$E:$E,0),acc,XLOOKUP($D764,'Move Editor'!$B:$B,'Move Editor'!$F:$F,100),atk,IF(cat="Physical",FLOOR((FLOOR(((2*XLOOKUP(XLOOKUP($Q764,'Threshold Summary'!$Y:$Y,'Threshold Summary'!$K:$K,""),'Pokemon Editor'!$A:$A,'Pokemon Editor'!$F:$F,0)+31+FLOOR(XLOOKUP($Q764,'Threshold Summary'!$Y:$Y,'Threshold Summary'!$P:$P,"")/4))*XLOOKUP($Q764,'Threshold Summary'!$Y:$Y,'Threshold Summary'!$L:$L,""))/100)+5)*XLOOKUP(XLOOKUP($Q764,'Threshold Summary'!$Y:$Y,'Threshold Summary'!$M:$M,""),'Nature Editor'!$A:$A,'Nature Editor'!$B:$B,1)),FLOOR((FLOOR(((2*XLOOKUP(XLOOKUP($Q764,'Threshold Summary'!$Y:$Y,'Threshold Summary'!$K:$K,""),'Pokemon Editor'!$A:$A,'Pokemon Editor'!$H:$H,0)+31+FLOOR(XLOOKUP($Q764,'Threshold Summary'!$Y:$Y,'Threshold Summary'!$R:$R,"")/4))*XLOOKUP($Q764,'Threshold Summary'!$Y:$Y,'Threshold Summary'!$L:$L,""))/100)+5)*XLOOKUP(XLOOKUP($Q764,'Threshold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Editor'!$E:$E,1))),stab,IF(OR(mtype=XLOOKUP(XLOOKUP($Q764,'Threshold Summary'!$Y:$Y,'Threshold Summary'!$K:$K,""),'Pokemon Editor'!$A:$A,'Pokemon Editor'!$C:$C,""),mtype=XLOOKUP(XLOOKUP($Q764,'Threshold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Chart'!$B$1:$S$1,0)))),base,IF(OR(cat="Status",pow=0),0,FLOOR(FLOOR(FLOOR((2*XLOOKUP($Q764,'Threshold Summary'!$Y:$Y,'Threshold Summary'!$L:$L,"")/5+2)*pow*atk/def)/50)+2)),modifier,stab*eff,AVERAGE(ARRAYFORMULA(FLOOR(base*modifier*SEQUENCE(16,1,85,1)/100)))),0)</f>
        <v/>
      </c>
      <c r="M764" s="3">
        <f>IFERROR(LET(mtype,XLOOKUP($D764,'Move Editor'!$B:$B,'Move Editor'!$C:$C,""),cat,XLOOKUP($D764,'Move Editor'!$B:$B,'Move Editor'!$D:$D,""),pow,XLOOKUP($D764,'Move Editor'!$B:$B,'Move Editor'!$E:$E,0),acc,XLOOKUP($D764,'Move Editor'!$B:$B,'Move Editor'!$F:$F,100),atk,IF(cat="Physical",FLOOR((FLOOR(((2*XLOOKUP(XLOOKUP($Q764,'Threshold Summary'!$Y:$Y,'Threshold Summary'!$K:$K,""),'Pokemon Editor'!$A:$A,'Pokemon Editor'!$F:$F,0)+31+FLOOR(XLOOKUP($Q764,'Threshold Summary'!$Y:$Y,'Threshold Summary'!$P:$P,"")/4))*XLOOKUP($Q764,'Threshold Summary'!$Y:$Y,'Threshold Summary'!$L:$L,""))/100)+5)*XLOOKUP(XLOOKUP($Q764,'Threshold Summary'!$Y:$Y,'Threshold Summary'!$M:$M,""),'Nature Editor'!$A:$A,'Nature Editor'!$B:$B,1)),FLOOR((FLOOR(((2*XLOOKUP(XLOOKUP($Q764,'Threshold Summary'!$Y:$Y,'Threshold Summary'!$K:$K,""),'Pokemon Editor'!$A:$A,'Pokemon Editor'!$H:$H,0)+31+FLOOR(XLOOKUP($Q764,'Threshold Summary'!$Y:$Y,'Threshold Summary'!$R:$R,"")/4))*XLOOKUP($Q764,'Threshold Summary'!$Y:$Y,'Threshold Summary'!$L:$L,""))/100)+5)*XLOOKUP(XLOOKUP($Q764,'Threshold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Editor'!$E:$E,1))),stab,IF(OR(mtype=XLOOKUP(XLOOKUP($Q764,'Threshold Summary'!$Y:$Y,'Threshold Summary'!$K:$K,""),'Pokemon Editor'!$A:$A,'Pokemon Editor'!$C:$C,""),mtype=XLOOKUP(XLOOKUP($Q764,'Threshold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Chart'!$B$1:$S$1,0)))),base,IF(OR(cat="Status",pow=0),0,FLOOR(FLOOR(FLOOR((2*XLOOKUP($Q764,'Threshold Summary'!$Y:$Y,'Threshold Summary'!$L:$L,"")/5+2)*pow*atk/def)/50)+2)),modifier,stab*eff,AVERAGE(ARRAYFORMULA(FLOOR(base*modifier*SEQUENCE(16,1,85,1)/100)))*MIN(1,acc/100)),0)</f>
        <v/>
      </c>
      <c r="N764" s="4">
        <f>IFERROR(LET(mtype,XLOOKUP($D764,'Move Editor'!$B:$B,'Move Editor'!$C:$C,""),cat,XLOOKUP($D764,'Move Editor'!$B:$B,'Move Editor'!$D:$D,""),pow,XLOOKUP($D764,'Move Editor'!$B:$B,'Move Editor'!$E:$E,0),acc,XLOOKUP($D764,'Move Editor'!$B:$B,'Move Editor'!$F:$F,100),atk,IF(cat="Physical",FLOOR((FLOOR(((2*XLOOKUP(XLOOKUP($Q764,'Threshold Summary'!$Y:$Y,'Threshold Summary'!$K:$K,""),'Pokemon Editor'!$A:$A,'Pokemon Editor'!$F:$F,0)+31+FLOOR(XLOOKUP($Q764,'Threshold Summary'!$Y:$Y,'Threshold Summary'!$P:$P,"")/4))*XLOOKUP($Q764,'Threshold Summary'!$Y:$Y,'Threshold Summary'!$L:$L,""))/100)+5)*XLOOKUP(XLOOKUP($Q764,'Threshold Summary'!$Y:$Y,'Threshold Summary'!$M:$M,""),'Nature Editor'!$A:$A,'Nature Editor'!$B:$B,1)),FLOOR((FLOOR(((2*XLOOKUP(XLOOKUP($Q764,'Threshold Summary'!$Y:$Y,'Threshold Summary'!$K:$K,""),'Pokemon Editor'!$A:$A,'Pokemon Editor'!$H:$H,0)+31+FLOOR(XLOOKUP($Q764,'Threshold Summary'!$Y:$Y,'Threshold Summary'!$R:$R,"")/4))*XLOOKUP($Q764,'Threshold Summary'!$Y:$Y,'Threshold Summary'!$L:$L,""))/100)+5)*XLOOKUP(XLOOKUP($Q764,'Threshold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Editor'!$E:$E,1))),stab,IF(OR(mtype=XLOOKUP(XLOOKUP($Q764,'Threshold Summary'!$Y:$Y,'Threshold Summary'!$K:$K,""),'Pokemon Editor'!$A:$A,'Pokemon Editor'!$C:$C,""),mtype=XLOOKUP(XLOOKUP($Q764,'Threshold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Chart'!$B$1:$S$1,0)))),base,IF(OR(cat="Status",pow=0),0,FLOOR(FLOOR(FLOOR((2*XLOOKUP($Q764,'Threshold Summary'!$Y:$Y,'Threshold Summary'!$L:$L,"")/5+2)*pow*atk/def)/50)+2)),modifier,stab*eff,AVERAGE(ARRAYFORMULA(FLOOR(base*modifier*SEQUENCE(16,1,85,1)/100)))/(FLOOR(((2*XLOOKUP('Boss Editor'!$C$4,'Pokemon Editor'!$A:$A,'Pokemon Editor'!$E:$E,0)+31+FLOOR('Boss Editor'!$G$4/4))*'Boss Editor'!$D$4)/100)+'Boss Editor'!$D$4+10)),0)</f>
        <v/>
      </c>
      <c r="O764" s="3">
        <f>IF(N764&gt;=1,"OHKO",IF(N764&gt;=0.5,"2HKO",IF(N764&gt;=0.333,"3HKO",IF(N764&gt;=0.25,"4HKO","5HKO+"))))</f>
        <v/>
      </c>
      <c r="P764" s="3" t="inlineStr">
        <is>
          <t>Live from editable databases</t>
        </is>
      </c>
      <c r="Q764" s="3" t="inlineStr">
        <is>
          <t>SPECIES_STUFFUL</t>
        </is>
      </c>
      <c r="R764" s="3" t="n">
        <v>27</v>
      </c>
    </row>
    <row r="765">
      <c r="A765" s="3">
        <f>XLOOKUP($Q765,'Threshold Summary'!$Y:$Y,'Threshold Summary'!$A:$A,"")</f>
        <v/>
      </c>
      <c r="B765" s="3">
        <f>XLOOKUP($Q765,'Threshold Summary'!$Y:$Y,'Threshold Summary'!$M:$M,"")</f>
        <v/>
      </c>
      <c r="C765" s="3">
        <f>XLOOKUP($Q765,'Threshold Summary'!$Y:$Y,'Threshold Summary'!$N:$N,"")</f>
        <v/>
      </c>
      <c r="D765" s="3">
        <f>IFERROR(INDEX(FILTER('Learnset Editor'!$D$2:$D,'Learnset Editor'!$A$2:$A=XLOOKUP($Q765,'Threshold Summary'!$Y:$Y,'Threshold Summary'!$K:$K,""),'Learnset Editor'!$C$2:$C&lt;=XLOOKUP($Q765,'Threshold Summary'!$Y:$Y,'Threshold Summary'!$L:$L,"")),$R765),"")</f>
        <v/>
      </c>
      <c r="E765" s="3">
        <f>XLOOKUP(D765,'Move Editor'!$B:$B,'Move Editor'!$C:$C,"")</f>
        <v/>
      </c>
      <c r="F765" s="3">
        <f>XLOOKUP(D765,'Move Editor'!$B:$B,'Move Editor'!$D:$D,"")</f>
        <v/>
      </c>
      <c r="G765" s="3">
        <f>XLOOKUP(D765,'Move Editor'!$B:$B,'Move Editor'!$E:$E,0)</f>
        <v/>
      </c>
      <c r="H765" s="3">
        <f>XLOOKUP(D765,'Move Editor'!$B:$B,'Move Editor'!$F:$F,0)</f>
        <v/>
      </c>
      <c r="I765" s="3">
        <f>(INDEX('Type Chart'!$B:$S,MATCH(E765,'Type Chart'!$A:$A,0),MATCH(XLOOKUP('Boss Editor'!$C$4,'Pokemon Editor'!$A:$A,'Pokemon Editor'!$C:$C,""),'Type Chart'!$B$1:$S$1,0))*IF(XLOOKUP('Boss Editor'!$C$4,'Pokemon Editor'!$A:$A,'Pokemon Editor'!$D:$D,"")="",1,INDEX('Type Chart'!$B:$S,MATCH(E765,'Type Chart'!$A:$A,0),MATCH(XLOOKUP('Boss Editor'!$C$4,'Pokemon Editor'!$A:$A,'Pokemon Editor'!$D:$D,""),'Type Chart'!$B$1:$S$1,0))))</f>
        <v/>
      </c>
      <c r="J765" s="3">
        <f>IFERROR(LET(mtype,XLOOKUP($D765,'Move Editor'!$B:$B,'Move Editor'!$C:$C,""),cat,XLOOKUP($D765,'Move Editor'!$B:$B,'Move Editor'!$D:$D,""),pow,XLOOKUP($D765,'Move Editor'!$B:$B,'Move Editor'!$E:$E,0),acc,XLOOKUP($D765,'Move Editor'!$B:$B,'Move Editor'!$F:$F,100),atk,IF(cat="Physical",FLOOR((FLOOR(((2*XLOOKUP(XLOOKUP($Q765,'Threshold Summary'!$Y:$Y,'Threshold Summary'!$K:$K,""),'Pokemon Editor'!$A:$A,'Pokemon Editor'!$F:$F,0)+31+FLOOR(XLOOKUP($Q765,'Threshold Summary'!$Y:$Y,'Threshold Summary'!$P:$P,"")/4))*XLOOKUP($Q765,'Threshold Summary'!$Y:$Y,'Threshold Summary'!$L:$L,""))/100)+5)*XLOOKUP(XLOOKUP($Q765,'Threshold Summary'!$Y:$Y,'Threshold Summary'!$M:$M,""),'Nature Editor'!$A:$A,'Nature Editor'!$B:$B,1)),FLOOR((FLOOR(((2*XLOOKUP(XLOOKUP($Q765,'Threshold Summary'!$Y:$Y,'Threshold Summary'!$K:$K,""),'Pokemon Editor'!$A:$A,'Pokemon Editor'!$H:$H,0)+31+FLOOR(XLOOKUP($Q765,'Threshold Summary'!$Y:$Y,'Threshold Summary'!$R:$R,"")/4))*XLOOKUP($Q765,'Threshold Summary'!$Y:$Y,'Threshold Summary'!$L:$L,""))/100)+5)*XLOOKUP(XLOOKUP($Q765,'Threshold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Editor'!$E:$E,1))),stab,IF(OR(mtype=XLOOKUP(XLOOKUP($Q765,'Threshold Summary'!$Y:$Y,'Threshold Summary'!$K:$K,""),'Pokemon Editor'!$A:$A,'Pokemon Editor'!$C:$C,""),mtype=XLOOKUP(XLOOKUP($Q765,'Threshold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Chart'!$B$1:$S$1,0)))),base,IF(OR(cat="Status",pow=0),0,FLOOR(FLOOR(FLOOR((2*XLOOKUP($Q765,'Threshold Summary'!$Y:$Y,'Threshold Summary'!$L:$L,"")/5+2)*pow*atk/def)/50)+2)),modifier,stab*eff,FLOOR(base*modifier*0.85)),0)</f>
        <v/>
      </c>
      <c r="K765" s="3">
        <f>IFERROR(LET(mtype,XLOOKUP($D765,'Move Editor'!$B:$B,'Move Editor'!$C:$C,""),cat,XLOOKUP($D765,'Move Editor'!$B:$B,'Move Editor'!$D:$D,""),pow,XLOOKUP($D765,'Move Editor'!$B:$B,'Move Editor'!$E:$E,0),acc,XLOOKUP($D765,'Move Editor'!$B:$B,'Move Editor'!$F:$F,100),atk,IF(cat="Physical",FLOOR((FLOOR(((2*XLOOKUP(XLOOKUP($Q765,'Threshold Summary'!$Y:$Y,'Threshold Summary'!$K:$K,""),'Pokemon Editor'!$A:$A,'Pokemon Editor'!$F:$F,0)+31+FLOOR(XLOOKUP($Q765,'Threshold Summary'!$Y:$Y,'Threshold Summary'!$P:$P,"")/4))*XLOOKUP($Q765,'Threshold Summary'!$Y:$Y,'Threshold Summary'!$L:$L,""))/100)+5)*XLOOKUP(XLOOKUP($Q765,'Threshold Summary'!$Y:$Y,'Threshold Summary'!$M:$M,""),'Nature Editor'!$A:$A,'Nature Editor'!$B:$B,1)),FLOOR((FLOOR(((2*XLOOKUP(XLOOKUP($Q765,'Threshold Summary'!$Y:$Y,'Threshold Summary'!$K:$K,""),'Pokemon Editor'!$A:$A,'Pokemon Editor'!$H:$H,0)+31+FLOOR(XLOOKUP($Q765,'Threshold Summary'!$Y:$Y,'Threshold Summary'!$R:$R,"")/4))*XLOOKUP($Q765,'Threshold Summary'!$Y:$Y,'Threshold Summary'!$L:$L,""))/100)+5)*XLOOKUP(XLOOKUP($Q765,'Threshold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Editor'!$E:$E,1))),stab,IF(OR(mtype=XLOOKUP(XLOOKUP($Q765,'Threshold Summary'!$Y:$Y,'Threshold Summary'!$K:$K,""),'Pokemon Editor'!$A:$A,'Pokemon Editor'!$C:$C,""),mtype=XLOOKUP(XLOOKUP($Q765,'Threshold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Chart'!$B$1:$S$1,0)))),base,IF(OR(cat="Status",pow=0),0,FLOOR(FLOOR(FLOOR((2*XLOOKUP($Q765,'Threshold Summary'!$Y:$Y,'Threshold Summary'!$L:$L,"")/5+2)*pow*atk/def)/50)+2)),modifier,stab*eff,FLOOR(base*modifier)),0)</f>
        <v/>
      </c>
      <c r="L765" s="3">
        <f>IFERROR(LET(mtype,XLOOKUP($D765,'Move Editor'!$B:$B,'Move Editor'!$C:$C,""),cat,XLOOKUP($D765,'Move Editor'!$B:$B,'Move Editor'!$D:$D,""),pow,XLOOKUP($D765,'Move Editor'!$B:$B,'Move Editor'!$E:$E,0),acc,XLOOKUP($D765,'Move Editor'!$B:$B,'Move Editor'!$F:$F,100),atk,IF(cat="Physical",FLOOR((FLOOR(((2*XLOOKUP(XLOOKUP($Q765,'Threshold Summary'!$Y:$Y,'Threshold Summary'!$K:$K,""),'Pokemon Editor'!$A:$A,'Pokemon Editor'!$F:$F,0)+31+FLOOR(XLOOKUP($Q765,'Threshold Summary'!$Y:$Y,'Threshold Summary'!$P:$P,"")/4))*XLOOKUP($Q765,'Threshold Summary'!$Y:$Y,'Threshold Summary'!$L:$L,""))/100)+5)*XLOOKUP(XLOOKUP($Q765,'Threshold Summary'!$Y:$Y,'Threshold Summary'!$M:$M,""),'Nature Editor'!$A:$A,'Nature Editor'!$B:$B,1)),FLOOR((FLOOR(((2*XLOOKUP(XLOOKUP($Q765,'Threshold Summary'!$Y:$Y,'Threshold Summary'!$K:$K,""),'Pokemon Editor'!$A:$A,'Pokemon Editor'!$H:$H,0)+31+FLOOR(XLOOKUP($Q765,'Threshold Summary'!$Y:$Y,'Threshold Summary'!$R:$R,"")/4))*XLOOKUP($Q765,'Threshold Summary'!$Y:$Y,'Threshold Summary'!$L:$L,""))/100)+5)*XLOOKUP(XLOOKUP($Q765,'Threshold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Editor'!$E:$E,1))),stab,IF(OR(mtype=XLOOKUP(XLOOKUP($Q765,'Threshold Summary'!$Y:$Y,'Threshold Summary'!$K:$K,""),'Pokemon Editor'!$A:$A,'Pokemon Editor'!$C:$C,""),mtype=XLOOKUP(XLOOKUP($Q765,'Threshold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Chart'!$B$1:$S$1,0)))),base,IF(OR(cat="Status",pow=0),0,FLOOR(FLOOR(FLOOR((2*XLOOKUP($Q765,'Threshold Summary'!$Y:$Y,'Threshold Summary'!$L:$L,"")/5+2)*pow*atk/def)/50)+2)),modifier,stab*eff,AVERAGE(ARRAYFORMULA(FLOOR(base*modifier*SEQUENCE(16,1,85,1)/100)))),0)</f>
        <v/>
      </c>
      <c r="M765" s="3">
        <f>IFERROR(LET(mtype,XLOOKUP($D765,'Move Editor'!$B:$B,'Move Editor'!$C:$C,""),cat,XLOOKUP($D765,'Move Editor'!$B:$B,'Move Editor'!$D:$D,""),pow,XLOOKUP($D765,'Move Editor'!$B:$B,'Move Editor'!$E:$E,0),acc,XLOOKUP($D765,'Move Editor'!$B:$B,'Move Editor'!$F:$F,100),atk,IF(cat="Physical",FLOOR((FLOOR(((2*XLOOKUP(XLOOKUP($Q765,'Threshold Summary'!$Y:$Y,'Threshold Summary'!$K:$K,""),'Pokemon Editor'!$A:$A,'Pokemon Editor'!$F:$F,0)+31+FLOOR(XLOOKUP($Q765,'Threshold Summary'!$Y:$Y,'Threshold Summary'!$P:$P,"")/4))*XLOOKUP($Q765,'Threshold Summary'!$Y:$Y,'Threshold Summary'!$L:$L,""))/100)+5)*XLOOKUP(XLOOKUP($Q765,'Threshold Summary'!$Y:$Y,'Threshold Summary'!$M:$M,""),'Nature Editor'!$A:$A,'Nature Editor'!$B:$B,1)),FLOOR((FLOOR(((2*XLOOKUP(XLOOKUP($Q765,'Threshold Summary'!$Y:$Y,'Threshold Summary'!$K:$K,""),'Pokemon Editor'!$A:$A,'Pokemon Editor'!$H:$H,0)+31+FLOOR(XLOOKUP($Q765,'Threshold Summary'!$Y:$Y,'Threshold Summary'!$R:$R,"")/4))*XLOOKUP($Q765,'Threshold Summary'!$Y:$Y,'Threshold Summary'!$L:$L,""))/100)+5)*XLOOKUP(XLOOKUP($Q765,'Threshold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Editor'!$E:$E,1))),stab,IF(OR(mtype=XLOOKUP(XLOOKUP($Q765,'Threshold Summary'!$Y:$Y,'Threshold Summary'!$K:$K,""),'Pokemon Editor'!$A:$A,'Pokemon Editor'!$C:$C,""),mtype=XLOOKUP(XLOOKUP($Q765,'Threshold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Chart'!$B$1:$S$1,0)))),base,IF(OR(cat="Status",pow=0),0,FLOOR(FLOOR(FLOOR((2*XLOOKUP($Q765,'Threshold Summary'!$Y:$Y,'Threshold Summary'!$L:$L,"")/5+2)*pow*atk/def)/50)+2)),modifier,stab*eff,AVERAGE(ARRAYFORMULA(FLOOR(base*modifier*SEQUENCE(16,1,85,1)/100)))*MIN(1,acc/100)),0)</f>
        <v/>
      </c>
      <c r="N765" s="4">
        <f>IFERROR(LET(mtype,XLOOKUP($D765,'Move Editor'!$B:$B,'Move Editor'!$C:$C,""),cat,XLOOKUP($D765,'Move Editor'!$B:$B,'Move Editor'!$D:$D,""),pow,XLOOKUP($D765,'Move Editor'!$B:$B,'Move Editor'!$E:$E,0),acc,XLOOKUP($D765,'Move Editor'!$B:$B,'Move Editor'!$F:$F,100),atk,IF(cat="Physical",FLOOR((FLOOR(((2*XLOOKUP(XLOOKUP($Q765,'Threshold Summary'!$Y:$Y,'Threshold Summary'!$K:$K,""),'Pokemon Editor'!$A:$A,'Pokemon Editor'!$F:$F,0)+31+FLOOR(XLOOKUP($Q765,'Threshold Summary'!$Y:$Y,'Threshold Summary'!$P:$P,"")/4))*XLOOKUP($Q765,'Threshold Summary'!$Y:$Y,'Threshold Summary'!$L:$L,""))/100)+5)*XLOOKUP(XLOOKUP($Q765,'Threshold Summary'!$Y:$Y,'Threshold Summary'!$M:$M,""),'Nature Editor'!$A:$A,'Nature Editor'!$B:$B,1)),FLOOR((FLOOR(((2*XLOOKUP(XLOOKUP($Q765,'Threshold Summary'!$Y:$Y,'Threshold Summary'!$K:$K,""),'Pokemon Editor'!$A:$A,'Pokemon Editor'!$H:$H,0)+31+FLOOR(XLOOKUP($Q765,'Threshold Summary'!$Y:$Y,'Threshold Summary'!$R:$R,"")/4))*XLOOKUP($Q765,'Threshold Summary'!$Y:$Y,'Threshold Summary'!$L:$L,""))/100)+5)*XLOOKUP(XLOOKUP($Q765,'Threshold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Editor'!$E:$E,1))),stab,IF(OR(mtype=XLOOKUP(XLOOKUP($Q765,'Threshold Summary'!$Y:$Y,'Threshold Summary'!$K:$K,""),'Pokemon Editor'!$A:$A,'Pokemon Editor'!$C:$C,""),mtype=XLOOKUP(XLOOKUP($Q765,'Threshold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Chart'!$B$1:$S$1,0)))),base,IF(OR(cat="Status",pow=0),0,FLOOR(FLOOR(FLOOR((2*XLOOKUP($Q765,'Threshold Summary'!$Y:$Y,'Threshold Summary'!$L:$L,"")/5+2)*pow*atk/def)/50)+2)),modifier,stab*eff,AVERAGE(ARRAYFORMULA(FLOOR(base*modifier*SEQUENCE(16,1,85,1)/100)))/(FLOOR(((2*XLOOKUP('Boss Editor'!$C$4,'Pokemon Editor'!$A:$A,'Pokemon Editor'!$E:$E,0)+31+FLOOR('Boss Editor'!$G$4/4))*'Boss Editor'!$D$4)/100)+'Boss Editor'!$D$4+10)),0)</f>
        <v/>
      </c>
      <c r="O765" s="3">
        <f>IF(N765&gt;=1,"OHKO",IF(N765&gt;=0.5,"2HKO",IF(N765&gt;=0.333,"3HKO",IF(N765&gt;=0.25,"4HKO","5HKO+"))))</f>
        <v/>
      </c>
      <c r="P765" s="3" t="inlineStr">
        <is>
          <t>Live from editable databases</t>
        </is>
      </c>
      <c r="Q765" s="3" t="inlineStr">
        <is>
          <t>SPECIES_STUFFUL</t>
        </is>
      </c>
      <c r="R765" s="3" t="n">
        <v>28</v>
      </c>
    </row>
    <row r="766">
      <c r="A766" s="3">
        <f>XLOOKUP($Q766,'Threshold Summary'!$Y:$Y,'Threshold Summary'!$A:$A,"")</f>
        <v/>
      </c>
      <c r="B766" s="3">
        <f>XLOOKUP($Q766,'Threshold Summary'!$Y:$Y,'Threshold Summary'!$M:$M,"")</f>
        <v/>
      </c>
      <c r="C766" s="3">
        <f>XLOOKUP($Q766,'Threshold Summary'!$Y:$Y,'Threshold Summary'!$N:$N,"")</f>
        <v/>
      </c>
      <c r="D766" s="3">
        <f>IFERROR(INDEX(FILTER('Learnset Editor'!$D$2:$D,'Learnset Editor'!$A$2:$A=XLOOKUP($Q766,'Threshold Summary'!$Y:$Y,'Threshold Summary'!$K:$K,""),'Learnset Editor'!$C$2:$C&lt;=XLOOKUP($Q766,'Threshold Summary'!$Y:$Y,'Threshold Summary'!$L:$L,"")),$R766),"")</f>
        <v/>
      </c>
      <c r="E766" s="3">
        <f>XLOOKUP(D766,'Move Editor'!$B:$B,'Move Editor'!$C:$C,"")</f>
        <v/>
      </c>
      <c r="F766" s="3">
        <f>XLOOKUP(D766,'Move Editor'!$B:$B,'Move Editor'!$D:$D,"")</f>
        <v/>
      </c>
      <c r="G766" s="3">
        <f>XLOOKUP(D766,'Move Editor'!$B:$B,'Move Editor'!$E:$E,0)</f>
        <v/>
      </c>
      <c r="H766" s="3">
        <f>XLOOKUP(D766,'Move Editor'!$B:$B,'Move Editor'!$F:$F,0)</f>
        <v/>
      </c>
      <c r="I766" s="3">
        <f>(INDEX('Type Chart'!$B:$S,MATCH(E766,'Type Chart'!$A:$A,0),MATCH(XLOOKUP('Boss Editor'!$C$4,'Pokemon Editor'!$A:$A,'Pokemon Editor'!$C:$C,""),'Type Chart'!$B$1:$S$1,0))*IF(XLOOKUP('Boss Editor'!$C$4,'Pokemon Editor'!$A:$A,'Pokemon Editor'!$D:$D,"")="",1,INDEX('Type Chart'!$B:$S,MATCH(E766,'Type Chart'!$A:$A,0),MATCH(XLOOKUP('Boss Editor'!$C$4,'Pokemon Editor'!$A:$A,'Pokemon Editor'!$D:$D,""),'Type Chart'!$B$1:$S$1,0))))</f>
        <v/>
      </c>
      <c r="J766" s="3">
        <f>IFERROR(LET(mtype,XLOOKUP($D766,'Move Editor'!$B:$B,'Move Editor'!$C:$C,""),cat,XLOOKUP($D766,'Move Editor'!$B:$B,'Move Editor'!$D:$D,""),pow,XLOOKUP($D766,'Move Editor'!$B:$B,'Move Editor'!$E:$E,0),acc,XLOOKUP($D766,'Move Editor'!$B:$B,'Move Editor'!$F:$F,100),atk,IF(cat="Physical",FLOOR((FLOOR(((2*XLOOKUP(XLOOKUP($Q766,'Threshold Summary'!$Y:$Y,'Threshold Summary'!$K:$K,""),'Pokemon Editor'!$A:$A,'Pokemon Editor'!$F:$F,0)+31+FLOOR(XLOOKUP($Q766,'Threshold Summary'!$Y:$Y,'Threshold Summary'!$P:$P,"")/4))*XLOOKUP($Q766,'Threshold Summary'!$Y:$Y,'Threshold Summary'!$L:$L,""))/100)+5)*XLOOKUP(XLOOKUP($Q766,'Threshold Summary'!$Y:$Y,'Threshold Summary'!$M:$M,""),'Nature Editor'!$A:$A,'Nature Editor'!$B:$B,1)),FLOOR((FLOOR(((2*XLOOKUP(XLOOKUP($Q766,'Threshold Summary'!$Y:$Y,'Threshold Summary'!$K:$K,""),'Pokemon Editor'!$A:$A,'Pokemon Editor'!$H:$H,0)+31+FLOOR(XLOOKUP($Q766,'Threshold Summary'!$Y:$Y,'Threshold Summary'!$R:$R,"")/4))*XLOOKUP($Q766,'Threshold Summary'!$Y:$Y,'Threshold Summary'!$L:$L,""))/100)+5)*XLOOKUP(XLOOKUP($Q766,'Threshold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Editor'!$E:$E,1))),stab,IF(OR(mtype=XLOOKUP(XLOOKUP($Q766,'Threshold Summary'!$Y:$Y,'Threshold Summary'!$K:$K,""),'Pokemon Editor'!$A:$A,'Pokemon Editor'!$C:$C,""),mtype=XLOOKUP(XLOOKUP($Q766,'Threshold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Chart'!$B$1:$S$1,0)))),base,IF(OR(cat="Status",pow=0),0,FLOOR(FLOOR(FLOOR((2*XLOOKUP($Q766,'Threshold Summary'!$Y:$Y,'Threshold Summary'!$L:$L,"")/5+2)*pow*atk/def)/50)+2)),modifier,stab*eff,FLOOR(base*modifier*0.85)),0)</f>
        <v/>
      </c>
      <c r="K766" s="3">
        <f>IFERROR(LET(mtype,XLOOKUP($D766,'Move Editor'!$B:$B,'Move Editor'!$C:$C,""),cat,XLOOKUP($D766,'Move Editor'!$B:$B,'Move Editor'!$D:$D,""),pow,XLOOKUP($D766,'Move Editor'!$B:$B,'Move Editor'!$E:$E,0),acc,XLOOKUP($D766,'Move Editor'!$B:$B,'Move Editor'!$F:$F,100),atk,IF(cat="Physical",FLOOR((FLOOR(((2*XLOOKUP(XLOOKUP($Q766,'Threshold Summary'!$Y:$Y,'Threshold Summary'!$K:$K,""),'Pokemon Editor'!$A:$A,'Pokemon Editor'!$F:$F,0)+31+FLOOR(XLOOKUP($Q766,'Threshold Summary'!$Y:$Y,'Threshold Summary'!$P:$P,"")/4))*XLOOKUP($Q766,'Threshold Summary'!$Y:$Y,'Threshold Summary'!$L:$L,""))/100)+5)*XLOOKUP(XLOOKUP($Q766,'Threshold Summary'!$Y:$Y,'Threshold Summary'!$M:$M,""),'Nature Editor'!$A:$A,'Nature Editor'!$B:$B,1)),FLOOR((FLOOR(((2*XLOOKUP(XLOOKUP($Q766,'Threshold Summary'!$Y:$Y,'Threshold Summary'!$K:$K,""),'Pokemon Editor'!$A:$A,'Pokemon Editor'!$H:$H,0)+31+FLOOR(XLOOKUP($Q766,'Threshold Summary'!$Y:$Y,'Threshold Summary'!$R:$R,"")/4))*XLOOKUP($Q766,'Threshold Summary'!$Y:$Y,'Threshold Summary'!$L:$L,""))/100)+5)*XLOOKUP(XLOOKUP($Q766,'Threshold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Editor'!$E:$E,1))),stab,IF(OR(mtype=XLOOKUP(XLOOKUP($Q766,'Threshold Summary'!$Y:$Y,'Threshold Summary'!$K:$K,""),'Pokemon Editor'!$A:$A,'Pokemon Editor'!$C:$C,""),mtype=XLOOKUP(XLOOKUP($Q766,'Threshold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Chart'!$B$1:$S$1,0)))),base,IF(OR(cat="Status",pow=0),0,FLOOR(FLOOR(FLOOR((2*XLOOKUP($Q766,'Threshold Summary'!$Y:$Y,'Threshold Summary'!$L:$L,"")/5+2)*pow*atk/def)/50)+2)),modifier,stab*eff,FLOOR(base*modifier)),0)</f>
        <v/>
      </c>
      <c r="L766" s="3">
        <f>IFERROR(LET(mtype,XLOOKUP($D766,'Move Editor'!$B:$B,'Move Editor'!$C:$C,""),cat,XLOOKUP($D766,'Move Editor'!$B:$B,'Move Editor'!$D:$D,""),pow,XLOOKUP($D766,'Move Editor'!$B:$B,'Move Editor'!$E:$E,0),acc,XLOOKUP($D766,'Move Editor'!$B:$B,'Move Editor'!$F:$F,100),atk,IF(cat="Physical",FLOOR((FLOOR(((2*XLOOKUP(XLOOKUP($Q766,'Threshold Summary'!$Y:$Y,'Threshold Summary'!$K:$K,""),'Pokemon Editor'!$A:$A,'Pokemon Editor'!$F:$F,0)+31+FLOOR(XLOOKUP($Q766,'Threshold Summary'!$Y:$Y,'Threshold Summary'!$P:$P,"")/4))*XLOOKUP($Q766,'Threshold Summary'!$Y:$Y,'Threshold Summary'!$L:$L,""))/100)+5)*XLOOKUP(XLOOKUP($Q766,'Threshold Summary'!$Y:$Y,'Threshold Summary'!$M:$M,""),'Nature Editor'!$A:$A,'Nature Editor'!$B:$B,1)),FLOOR((FLOOR(((2*XLOOKUP(XLOOKUP($Q766,'Threshold Summary'!$Y:$Y,'Threshold Summary'!$K:$K,""),'Pokemon Editor'!$A:$A,'Pokemon Editor'!$H:$H,0)+31+FLOOR(XLOOKUP($Q766,'Threshold Summary'!$Y:$Y,'Threshold Summary'!$R:$R,"")/4))*XLOOKUP($Q766,'Threshold Summary'!$Y:$Y,'Threshold Summary'!$L:$L,""))/100)+5)*XLOOKUP(XLOOKUP($Q766,'Threshold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Editor'!$E:$E,1))),stab,IF(OR(mtype=XLOOKUP(XLOOKUP($Q766,'Threshold Summary'!$Y:$Y,'Threshold Summary'!$K:$K,""),'Pokemon Editor'!$A:$A,'Pokemon Editor'!$C:$C,""),mtype=XLOOKUP(XLOOKUP($Q766,'Threshold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Chart'!$B$1:$S$1,0)))),base,IF(OR(cat="Status",pow=0),0,FLOOR(FLOOR(FLOOR((2*XLOOKUP($Q766,'Threshold Summary'!$Y:$Y,'Threshold Summary'!$L:$L,"")/5+2)*pow*atk/def)/50)+2)),modifier,stab*eff,AVERAGE(ARRAYFORMULA(FLOOR(base*modifier*SEQUENCE(16,1,85,1)/100)))),0)</f>
        <v/>
      </c>
      <c r="M766" s="3">
        <f>IFERROR(LET(mtype,XLOOKUP($D766,'Move Editor'!$B:$B,'Move Editor'!$C:$C,""),cat,XLOOKUP($D766,'Move Editor'!$B:$B,'Move Editor'!$D:$D,""),pow,XLOOKUP($D766,'Move Editor'!$B:$B,'Move Editor'!$E:$E,0),acc,XLOOKUP($D766,'Move Editor'!$B:$B,'Move Editor'!$F:$F,100),atk,IF(cat="Physical",FLOOR((FLOOR(((2*XLOOKUP(XLOOKUP($Q766,'Threshold Summary'!$Y:$Y,'Threshold Summary'!$K:$K,""),'Pokemon Editor'!$A:$A,'Pokemon Editor'!$F:$F,0)+31+FLOOR(XLOOKUP($Q766,'Threshold Summary'!$Y:$Y,'Threshold Summary'!$P:$P,"")/4))*XLOOKUP($Q766,'Threshold Summary'!$Y:$Y,'Threshold Summary'!$L:$L,""))/100)+5)*XLOOKUP(XLOOKUP($Q766,'Threshold Summary'!$Y:$Y,'Threshold Summary'!$M:$M,""),'Nature Editor'!$A:$A,'Nature Editor'!$B:$B,1)),FLOOR((FLOOR(((2*XLOOKUP(XLOOKUP($Q766,'Threshold Summary'!$Y:$Y,'Threshold Summary'!$K:$K,""),'Pokemon Editor'!$A:$A,'Pokemon Editor'!$H:$H,0)+31+FLOOR(XLOOKUP($Q766,'Threshold Summary'!$Y:$Y,'Threshold Summary'!$R:$R,"")/4))*XLOOKUP($Q766,'Threshold Summary'!$Y:$Y,'Threshold Summary'!$L:$L,""))/100)+5)*XLOOKUP(XLOOKUP($Q766,'Threshold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Editor'!$E:$E,1))),stab,IF(OR(mtype=XLOOKUP(XLOOKUP($Q766,'Threshold Summary'!$Y:$Y,'Threshold Summary'!$K:$K,""),'Pokemon Editor'!$A:$A,'Pokemon Editor'!$C:$C,""),mtype=XLOOKUP(XLOOKUP($Q766,'Threshold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Chart'!$B$1:$S$1,0)))),base,IF(OR(cat="Status",pow=0),0,FLOOR(FLOOR(FLOOR((2*XLOOKUP($Q766,'Threshold Summary'!$Y:$Y,'Threshold Summary'!$L:$L,"")/5+2)*pow*atk/def)/50)+2)),modifier,stab*eff,AVERAGE(ARRAYFORMULA(FLOOR(base*modifier*SEQUENCE(16,1,85,1)/100)))*MIN(1,acc/100)),0)</f>
        <v/>
      </c>
      <c r="N766" s="4">
        <f>IFERROR(LET(mtype,XLOOKUP($D766,'Move Editor'!$B:$B,'Move Editor'!$C:$C,""),cat,XLOOKUP($D766,'Move Editor'!$B:$B,'Move Editor'!$D:$D,""),pow,XLOOKUP($D766,'Move Editor'!$B:$B,'Move Editor'!$E:$E,0),acc,XLOOKUP($D766,'Move Editor'!$B:$B,'Move Editor'!$F:$F,100),atk,IF(cat="Physical",FLOOR((FLOOR(((2*XLOOKUP(XLOOKUP($Q766,'Threshold Summary'!$Y:$Y,'Threshold Summary'!$K:$K,""),'Pokemon Editor'!$A:$A,'Pokemon Editor'!$F:$F,0)+31+FLOOR(XLOOKUP($Q766,'Threshold Summary'!$Y:$Y,'Threshold Summary'!$P:$P,"")/4))*XLOOKUP($Q766,'Threshold Summary'!$Y:$Y,'Threshold Summary'!$L:$L,""))/100)+5)*XLOOKUP(XLOOKUP($Q766,'Threshold Summary'!$Y:$Y,'Threshold Summary'!$M:$M,""),'Nature Editor'!$A:$A,'Nature Editor'!$B:$B,1)),FLOOR((FLOOR(((2*XLOOKUP(XLOOKUP($Q766,'Threshold Summary'!$Y:$Y,'Threshold Summary'!$K:$K,""),'Pokemon Editor'!$A:$A,'Pokemon Editor'!$H:$H,0)+31+FLOOR(XLOOKUP($Q766,'Threshold Summary'!$Y:$Y,'Threshold Summary'!$R:$R,"")/4))*XLOOKUP($Q766,'Threshold Summary'!$Y:$Y,'Threshold Summary'!$L:$L,""))/100)+5)*XLOOKUP(XLOOKUP($Q766,'Threshold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Editor'!$E:$E,1))),stab,IF(OR(mtype=XLOOKUP(XLOOKUP($Q766,'Threshold Summary'!$Y:$Y,'Threshold Summary'!$K:$K,""),'Pokemon Editor'!$A:$A,'Pokemon Editor'!$C:$C,""),mtype=XLOOKUP(XLOOKUP($Q766,'Threshold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Chart'!$B$1:$S$1,0)))),base,IF(OR(cat="Status",pow=0),0,FLOOR(FLOOR(FLOOR((2*XLOOKUP($Q766,'Threshold Summary'!$Y:$Y,'Threshold Summary'!$L:$L,"")/5+2)*pow*atk/def)/50)+2)),modifier,stab*eff,AVERAGE(ARRAYFORMULA(FLOOR(base*modifier*SEQUENCE(16,1,85,1)/100)))/(FLOOR(((2*XLOOKUP('Boss Editor'!$C$4,'Pokemon Editor'!$A:$A,'Pokemon Editor'!$E:$E,0)+31+FLOOR('Boss Editor'!$G$4/4))*'Boss Editor'!$D$4)/100)+'Boss Editor'!$D$4+10)),0)</f>
        <v/>
      </c>
      <c r="O766" s="3">
        <f>IF(N766&gt;=1,"OHKO",IF(N766&gt;=0.5,"2HKO",IF(N766&gt;=0.333,"3HKO",IF(N766&gt;=0.25,"4HKO","5HKO+"))))</f>
        <v/>
      </c>
      <c r="P766" s="3" t="inlineStr">
        <is>
          <t>Live from editable databases</t>
        </is>
      </c>
      <c r="Q766" s="3" t="inlineStr">
        <is>
          <t>SPECIES_STUFFUL</t>
        </is>
      </c>
      <c r="R766" s="3" t="n">
        <v>29</v>
      </c>
    </row>
    <row r="767">
      <c r="A767" s="3">
        <f>XLOOKUP($Q767,'Threshold Summary'!$Y:$Y,'Threshold Summary'!$A:$A,"")</f>
        <v/>
      </c>
      <c r="B767" s="3">
        <f>XLOOKUP($Q767,'Threshold Summary'!$Y:$Y,'Threshold Summary'!$M:$M,"")</f>
        <v/>
      </c>
      <c r="C767" s="3">
        <f>XLOOKUP($Q767,'Threshold Summary'!$Y:$Y,'Threshold Summary'!$N:$N,"")</f>
        <v/>
      </c>
      <c r="D767" s="3">
        <f>IFERROR(INDEX(FILTER('Learnset Editor'!$D$2:$D,'Learnset Editor'!$A$2:$A=XLOOKUP($Q767,'Threshold Summary'!$Y:$Y,'Threshold Summary'!$K:$K,""),'Learnset Editor'!$C$2:$C&lt;=XLOOKUP($Q767,'Threshold Summary'!$Y:$Y,'Threshold Summary'!$L:$L,"")),$R767),"")</f>
        <v/>
      </c>
      <c r="E767" s="3">
        <f>XLOOKUP(D767,'Move Editor'!$B:$B,'Move Editor'!$C:$C,"")</f>
        <v/>
      </c>
      <c r="F767" s="3">
        <f>XLOOKUP(D767,'Move Editor'!$B:$B,'Move Editor'!$D:$D,"")</f>
        <v/>
      </c>
      <c r="G767" s="3">
        <f>XLOOKUP(D767,'Move Editor'!$B:$B,'Move Editor'!$E:$E,0)</f>
        <v/>
      </c>
      <c r="H767" s="3">
        <f>XLOOKUP(D767,'Move Editor'!$B:$B,'Move Editor'!$F:$F,0)</f>
        <v/>
      </c>
      <c r="I767" s="3">
        <f>(INDEX('Type Chart'!$B:$S,MATCH(E767,'Type Chart'!$A:$A,0),MATCH(XLOOKUP('Boss Editor'!$C$4,'Pokemon Editor'!$A:$A,'Pokemon Editor'!$C:$C,""),'Type Chart'!$B$1:$S$1,0))*IF(XLOOKUP('Boss Editor'!$C$4,'Pokemon Editor'!$A:$A,'Pokemon Editor'!$D:$D,"")="",1,INDEX('Type Chart'!$B:$S,MATCH(E767,'Type Chart'!$A:$A,0),MATCH(XLOOKUP('Boss Editor'!$C$4,'Pokemon Editor'!$A:$A,'Pokemon Editor'!$D:$D,""),'Type Chart'!$B$1:$S$1,0))))</f>
        <v/>
      </c>
      <c r="J767" s="3">
        <f>IFERROR(LET(mtype,XLOOKUP($D767,'Move Editor'!$B:$B,'Move Editor'!$C:$C,""),cat,XLOOKUP($D767,'Move Editor'!$B:$B,'Move Editor'!$D:$D,""),pow,XLOOKUP($D767,'Move Editor'!$B:$B,'Move Editor'!$E:$E,0),acc,XLOOKUP($D767,'Move Editor'!$B:$B,'Move Editor'!$F:$F,100),atk,IF(cat="Physical",FLOOR((FLOOR(((2*XLOOKUP(XLOOKUP($Q767,'Threshold Summary'!$Y:$Y,'Threshold Summary'!$K:$K,""),'Pokemon Editor'!$A:$A,'Pokemon Editor'!$F:$F,0)+31+FLOOR(XLOOKUP($Q767,'Threshold Summary'!$Y:$Y,'Threshold Summary'!$P:$P,"")/4))*XLOOKUP($Q767,'Threshold Summary'!$Y:$Y,'Threshold Summary'!$L:$L,""))/100)+5)*XLOOKUP(XLOOKUP($Q767,'Threshold Summary'!$Y:$Y,'Threshold Summary'!$M:$M,""),'Nature Editor'!$A:$A,'Nature Editor'!$B:$B,1)),FLOOR((FLOOR(((2*XLOOKUP(XLOOKUP($Q767,'Threshold Summary'!$Y:$Y,'Threshold Summary'!$K:$K,""),'Pokemon Editor'!$A:$A,'Pokemon Editor'!$H:$H,0)+31+FLOOR(XLOOKUP($Q767,'Threshold Summary'!$Y:$Y,'Threshold Summary'!$R:$R,"")/4))*XLOOKUP($Q767,'Threshold Summary'!$Y:$Y,'Threshold Summary'!$L:$L,""))/100)+5)*XLOOKUP(XLOOKUP($Q767,'Threshold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Editor'!$E:$E,1))),stab,IF(OR(mtype=XLOOKUP(XLOOKUP($Q767,'Threshold Summary'!$Y:$Y,'Threshold Summary'!$K:$K,""),'Pokemon Editor'!$A:$A,'Pokemon Editor'!$C:$C,""),mtype=XLOOKUP(XLOOKUP($Q767,'Threshold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Chart'!$B$1:$S$1,0)))),base,IF(OR(cat="Status",pow=0),0,FLOOR(FLOOR(FLOOR((2*XLOOKUP($Q767,'Threshold Summary'!$Y:$Y,'Threshold Summary'!$L:$L,"")/5+2)*pow*atk/def)/50)+2)),modifier,stab*eff,FLOOR(base*modifier*0.85)),0)</f>
        <v/>
      </c>
      <c r="K767" s="3">
        <f>IFERROR(LET(mtype,XLOOKUP($D767,'Move Editor'!$B:$B,'Move Editor'!$C:$C,""),cat,XLOOKUP($D767,'Move Editor'!$B:$B,'Move Editor'!$D:$D,""),pow,XLOOKUP($D767,'Move Editor'!$B:$B,'Move Editor'!$E:$E,0),acc,XLOOKUP($D767,'Move Editor'!$B:$B,'Move Editor'!$F:$F,100),atk,IF(cat="Physical",FLOOR((FLOOR(((2*XLOOKUP(XLOOKUP($Q767,'Threshold Summary'!$Y:$Y,'Threshold Summary'!$K:$K,""),'Pokemon Editor'!$A:$A,'Pokemon Editor'!$F:$F,0)+31+FLOOR(XLOOKUP($Q767,'Threshold Summary'!$Y:$Y,'Threshold Summary'!$P:$P,"")/4))*XLOOKUP($Q767,'Threshold Summary'!$Y:$Y,'Threshold Summary'!$L:$L,""))/100)+5)*XLOOKUP(XLOOKUP($Q767,'Threshold Summary'!$Y:$Y,'Threshold Summary'!$M:$M,""),'Nature Editor'!$A:$A,'Nature Editor'!$B:$B,1)),FLOOR((FLOOR(((2*XLOOKUP(XLOOKUP($Q767,'Threshold Summary'!$Y:$Y,'Threshold Summary'!$K:$K,""),'Pokemon Editor'!$A:$A,'Pokemon Editor'!$H:$H,0)+31+FLOOR(XLOOKUP($Q767,'Threshold Summary'!$Y:$Y,'Threshold Summary'!$R:$R,"")/4))*XLOOKUP($Q767,'Threshold Summary'!$Y:$Y,'Threshold Summary'!$L:$L,""))/100)+5)*XLOOKUP(XLOOKUP($Q767,'Threshold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Editor'!$E:$E,1))),stab,IF(OR(mtype=XLOOKUP(XLOOKUP($Q767,'Threshold Summary'!$Y:$Y,'Threshold Summary'!$K:$K,""),'Pokemon Editor'!$A:$A,'Pokemon Editor'!$C:$C,""),mtype=XLOOKUP(XLOOKUP($Q767,'Threshold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Chart'!$B$1:$S$1,0)))),base,IF(OR(cat="Status",pow=0),0,FLOOR(FLOOR(FLOOR((2*XLOOKUP($Q767,'Threshold Summary'!$Y:$Y,'Threshold Summary'!$L:$L,"")/5+2)*pow*atk/def)/50)+2)),modifier,stab*eff,FLOOR(base*modifier)),0)</f>
        <v/>
      </c>
      <c r="L767" s="3">
        <f>IFERROR(LET(mtype,XLOOKUP($D767,'Move Editor'!$B:$B,'Move Editor'!$C:$C,""),cat,XLOOKUP($D767,'Move Editor'!$B:$B,'Move Editor'!$D:$D,""),pow,XLOOKUP($D767,'Move Editor'!$B:$B,'Move Editor'!$E:$E,0),acc,XLOOKUP($D767,'Move Editor'!$B:$B,'Move Editor'!$F:$F,100),atk,IF(cat="Physical",FLOOR((FLOOR(((2*XLOOKUP(XLOOKUP($Q767,'Threshold Summary'!$Y:$Y,'Threshold Summary'!$K:$K,""),'Pokemon Editor'!$A:$A,'Pokemon Editor'!$F:$F,0)+31+FLOOR(XLOOKUP($Q767,'Threshold Summary'!$Y:$Y,'Threshold Summary'!$P:$P,"")/4))*XLOOKUP($Q767,'Threshold Summary'!$Y:$Y,'Threshold Summary'!$L:$L,""))/100)+5)*XLOOKUP(XLOOKUP($Q767,'Threshold Summary'!$Y:$Y,'Threshold Summary'!$M:$M,""),'Nature Editor'!$A:$A,'Nature Editor'!$B:$B,1)),FLOOR((FLOOR(((2*XLOOKUP(XLOOKUP($Q767,'Threshold Summary'!$Y:$Y,'Threshold Summary'!$K:$K,""),'Pokemon Editor'!$A:$A,'Pokemon Editor'!$H:$H,0)+31+FLOOR(XLOOKUP($Q767,'Threshold Summary'!$Y:$Y,'Threshold Summary'!$R:$R,"")/4))*XLOOKUP($Q767,'Threshold Summary'!$Y:$Y,'Threshold Summary'!$L:$L,""))/100)+5)*XLOOKUP(XLOOKUP($Q767,'Threshold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Editor'!$E:$E,1))),stab,IF(OR(mtype=XLOOKUP(XLOOKUP($Q767,'Threshold Summary'!$Y:$Y,'Threshold Summary'!$K:$K,""),'Pokemon Editor'!$A:$A,'Pokemon Editor'!$C:$C,""),mtype=XLOOKUP(XLOOKUP($Q767,'Threshold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Chart'!$B$1:$S$1,0)))),base,IF(OR(cat="Status",pow=0),0,FLOOR(FLOOR(FLOOR((2*XLOOKUP($Q767,'Threshold Summary'!$Y:$Y,'Threshold Summary'!$L:$L,"")/5+2)*pow*atk/def)/50)+2)),modifier,stab*eff,AVERAGE(ARRAYFORMULA(FLOOR(base*modifier*SEQUENCE(16,1,85,1)/100)))),0)</f>
        <v/>
      </c>
      <c r="M767" s="3">
        <f>IFERROR(LET(mtype,XLOOKUP($D767,'Move Editor'!$B:$B,'Move Editor'!$C:$C,""),cat,XLOOKUP($D767,'Move Editor'!$B:$B,'Move Editor'!$D:$D,""),pow,XLOOKUP($D767,'Move Editor'!$B:$B,'Move Editor'!$E:$E,0),acc,XLOOKUP($D767,'Move Editor'!$B:$B,'Move Editor'!$F:$F,100),atk,IF(cat="Physical",FLOOR((FLOOR(((2*XLOOKUP(XLOOKUP($Q767,'Threshold Summary'!$Y:$Y,'Threshold Summary'!$K:$K,""),'Pokemon Editor'!$A:$A,'Pokemon Editor'!$F:$F,0)+31+FLOOR(XLOOKUP($Q767,'Threshold Summary'!$Y:$Y,'Threshold Summary'!$P:$P,"")/4))*XLOOKUP($Q767,'Threshold Summary'!$Y:$Y,'Threshold Summary'!$L:$L,""))/100)+5)*XLOOKUP(XLOOKUP($Q767,'Threshold Summary'!$Y:$Y,'Threshold Summary'!$M:$M,""),'Nature Editor'!$A:$A,'Nature Editor'!$B:$B,1)),FLOOR((FLOOR(((2*XLOOKUP(XLOOKUP($Q767,'Threshold Summary'!$Y:$Y,'Threshold Summary'!$K:$K,""),'Pokemon Editor'!$A:$A,'Pokemon Editor'!$H:$H,0)+31+FLOOR(XLOOKUP($Q767,'Threshold Summary'!$Y:$Y,'Threshold Summary'!$R:$R,"")/4))*XLOOKUP($Q767,'Threshold Summary'!$Y:$Y,'Threshold Summary'!$L:$L,""))/100)+5)*XLOOKUP(XLOOKUP($Q767,'Threshold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Editor'!$E:$E,1))),stab,IF(OR(mtype=XLOOKUP(XLOOKUP($Q767,'Threshold Summary'!$Y:$Y,'Threshold Summary'!$K:$K,""),'Pokemon Editor'!$A:$A,'Pokemon Editor'!$C:$C,""),mtype=XLOOKUP(XLOOKUP($Q767,'Threshold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Chart'!$B$1:$S$1,0)))),base,IF(OR(cat="Status",pow=0),0,FLOOR(FLOOR(FLOOR((2*XLOOKUP($Q767,'Threshold Summary'!$Y:$Y,'Threshold Summary'!$L:$L,"")/5+2)*pow*atk/def)/50)+2)),modifier,stab*eff,AVERAGE(ARRAYFORMULA(FLOOR(base*modifier*SEQUENCE(16,1,85,1)/100)))*MIN(1,acc/100)),0)</f>
        <v/>
      </c>
      <c r="N767" s="4">
        <f>IFERROR(LET(mtype,XLOOKUP($D767,'Move Editor'!$B:$B,'Move Editor'!$C:$C,""),cat,XLOOKUP($D767,'Move Editor'!$B:$B,'Move Editor'!$D:$D,""),pow,XLOOKUP($D767,'Move Editor'!$B:$B,'Move Editor'!$E:$E,0),acc,XLOOKUP($D767,'Move Editor'!$B:$B,'Move Editor'!$F:$F,100),atk,IF(cat="Physical",FLOOR((FLOOR(((2*XLOOKUP(XLOOKUP($Q767,'Threshold Summary'!$Y:$Y,'Threshold Summary'!$K:$K,""),'Pokemon Editor'!$A:$A,'Pokemon Editor'!$F:$F,0)+31+FLOOR(XLOOKUP($Q767,'Threshold Summary'!$Y:$Y,'Threshold Summary'!$P:$P,"")/4))*XLOOKUP($Q767,'Threshold Summary'!$Y:$Y,'Threshold Summary'!$L:$L,""))/100)+5)*XLOOKUP(XLOOKUP($Q767,'Threshold Summary'!$Y:$Y,'Threshold Summary'!$M:$M,""),'Nature Editor'!$A:$A,'Nature Editor'!$B:$B,1)),FLOOR((FLOOR(((2*XLOOKUP(XLOOKUP($Q767,'Threshold Summary'!$Y:$Y,'Threshold Summary'!$K:$K,""),'Pokemon Editor'!$A:$A,'Pokemon Editor'!$H:$H,0)+31+FLOOR(XLOOKUP($Q767,'Threshold Summary'!$Y:$Y,'Threshold Summary'!$R:$R,"")/4))*XLOOKUP($Q767,'Threshold Summary'!$Y:$Y,'Threshold Summary'!$L:$L,""))/100)+5)*XLOOKUP(XLOOKUP($Q767,'Threshold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Editor'!$E:$E,1))),stab,IF(OR(mtype=XLOOKUP(XLOOKUP($Q767,'Threshold Summary'!$Y:$Y,'Threshold Summary'!$K:$K,""),'Pokemon Editor'!$A:$A,'Pokemon Editor'!$C:$C,""),mtype=XLOOKUP(XLOOKUP($Q767,'Threshold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Chart'!$B$1:$S$1,0)))),base,IF(OR(cat="Status",pow=0),0,FLOOR(FLOOR(FLOOR((2*XLOOKUP($Q767,'Threshold Summary'!$Y:$Y,'Threshold Summary'!$L:$L,"")/5+2)*pow*atk/def)/50)+2)),modifier,stab*eff,AVERAGE(ARRAYFORMULA(FLOOR(base*modifier*SEQUENCE(16,1,85,1)/100)))/(FLOOR(((2*XLOOKUP('Boss Editor'!$C$4,'Pokemon Editor'!$A:$A,'Pokemon Editor'!$E:$E,0)+31+FLOOR('Boss Editor'!$G$4/4))*'Boss Editor'!$D$4)/100)+'Boss Editor'!$D$4+10)),0)</f>
        <v/>
      </c>
      <c r="O767" s="3">
        <f>IF(N767&gt;=1,"OHKO",IF(N767&gt;=0.5,"2HKO",IF(N767&gt;=0.333,"3HKO",IF(N767&gt;=0.25,"4HKO","5HKO+"))))</f>
        <v/>
      </c>
      <c r="P767" s="3" t="inlineStr">
        <is>
          <t>Live from editable databases</t>
        </is>
      </c>
      <c r="Q767" s="3" t="inlineStr">
        <is>
          <t>SPECIES_STUFFUL</t>
        </is>
      </c>
      <c r="R767" s="3" t="n">
        <v>30</v>
      </c>
    </row>
    <row r="768">
      <c r="A768" s="3">
        <f>XLOOKUP($Q768,'Threshold Summary'!$Y:$Y,'Threshold Summary'!$A:$A,"")</f>
        <v/>
      </c>
      <c r="B768" s="3">
        <f>XLOOKUP($Q768,'Threshold Summary'!$Y:$Y,'Threshold Summary'!$M:$M,"")</f>
        <v/>
      </c>
      <c r="C768" s="3">
        <f>XLOOKUP($Q768,'Threshold Summary'!$Y:$Y,'Threshold Summary'!$N:$N,"")</f>
        <v/>
      </c>
      <c r="D768" s="3">
        <f>IFERROR(INDEX(FILTER('Learnset Editor'!$D$2:$D,'Learnset Editor'!$A$2:$A=XLOOKUP($Q768,'Threshold Summary'!$Y:$Y,'Threshold Summary'!$K:$K,""),'Learnset Editor'!$C$2:$C&lt;=XLOOKUP($Q768,'Threshold Summary'!$Y:$Y,'Threshold Summary'!$L:$L,"")),$R768),"")</f>
        <v/>
      </c>
      <c r="E768" s="3">
        <f>XLOOKUP(D768,'Move Editor'!$B:$B,'Move Editor'!$C:$C,"")</f>
        <v/>
      </c>
      <c r="F768" s="3">
        <f>XLOOKUP(D768,'Move Editor'!$B:$B,'Move Editor'!$D:$D,"")</f>
        <v/>
      </c>
      <c r="G768" s="3">
        <f>XLOOKUP(D768,'Move Editor'!$B:$B,'Move Editor'!$E:$E,0)</f>
        <v/>
      </c>
      <c r="H768" s="3">
        <f>XLOOKUP(D768,'Move Editor'!$B:$B,'Move Editor'!$F:$F,0)</f>
        <v/>
      </c>
      <c r="I768" s="3">
        <f>(INDEX('Type Chart'!$B:$S,MATCH(E768,'Type Chart'!$A:$A,0),MATCH(XLOOKUP('Boss Editor'!$C$4,'Pokemon Editor'!$A:$A,'Pokemon Editor'!$C:$C,""),'Type Chart'!$B$1:$S$1,0))*IF(XLOOKUP('Boss Editor'!$C$4,'Pokemon Editor'!$A:$A,'Pokemon Editor'!$D:$D,"")="",1,INDEX('Type Chart'!$B:$S,MATCH(E768,'Type Chart'!$A:$A,0),MATCH(XLOOKUP('Boss Editor'!$C$4,'Pokemon Editor'!$A:$A,'Pokemon Editor'!$D:$D,""),'Type Chart'!$B$1:$S$1,0))))</f>
        <v/>
      </c>
      <c r="J768" s="3">
        <f>IFERROR(LET(mtype,XLOOKUP($D768,'Move Editor'!$B:$B,'Move Editor'!$C:$C,""),cat,XLOOKUP($D768,'Move Editor'!$B:$B,'Move Editor'!$D:$D,""),pow,XLOOKUP($D768,'Move Editor'!$B:$B,'Move Editor'!$E:$E,0),acc,XLOOKUP($D768,'Move Editor'!$B:$B,'Move Editor'!$F:$F,100),atk,IF(cat="Physical",FLOOR((FLOOR(((2*XLOOKUP(XLOOKUP($Q768,'Threshold Summary'!$Y:$Y,'Threshold Summary'!$K:$K,""),'Pokemon Editor'!$A:$A,'Pokemon Editor'!$F:$F,0)+31+FLOOR(XLOOKUP($Q768,'Threshold Summary'!$Y:$Y,'Threshold Summary'!$P:$P,"")/4))*XLOOKUP($Q768,'Threshold Summary'!$Y:$Y,'Threshold Summary'!$L:$L,""))/100)+5)*XLOOKUP(XLOOKUP($Q768,'Threshold Summary'!$Y:$Y,'Threshold Summary'!$M:$M,""),'Nature Editor'!$A:$A,'Nature Editor'!$B:$B,1)),FLOOR((FLOOR(((2*XLOOKUP(XLOOKUP($Q768,'Threshold Summary'!$Y:$Y,'Threshold Summary'!$K:$K,""),'Pokemon Editor'!$A:$A,'Pokemon Editor'!$H:$H,0)+31+FLOOR(XLOOKUP($Q768,'Threshold Summary'!$Y:$Y,'Threshold Summary'!$R:$R,"")/4))*XLOOKUP($Q768,'Threshold Summary'!$Y:$Y,'Threshold Summary'!$L:$L,""))/100)+5)*XLOOKUP(XLOOKUP($Q768,'Threshold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Editor'!$E:$E,1))),stab,IF(OR(mtype=XLOOKUP(XLOOKUP($Q768,'Threshold Summary'!$Y:$Y,'Threshold Summary'!$K:$K,""),'Pokemon Editor'!$A:$A,'Pokemon Editor'!$C:$C,""),mtype=XLOOKUP(XLOOKUP($Q768,'Threshold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Chart'!$B$1:$S$1,0)))),base,IF(OR(cat="Status",pow=0),0,FLOOR(FLOOR(FLOOR((2*XLOOKUP($Q768,'Threshold Summary'!$Y:$Y,'Threshold Summary'!$L:$L,"")/5+2)*pow*atk/def)/50)+2)),modifier,stab*eff,FLOOR(base*modifier*0.85)),0)</f>
        <v/>
      </c>
      <c r="K768" s="3">
        <f>IFERROR(LET(mtype,XLOOKUP($D768,'Move Editor'!$B:$B,'Move Editor'!$C:$C,""),cat,XLOOKUP($D768,'Move Editor'!$B:$B,'Move Editor'!$D:$D,""),pow,XLOOKUP($D768,'Move Editor'!$B:$B,'Move Editor'!$E:$E,0),acc,XLOOKUP($D768,'Move Editor'!$B:$B,'Move Editor'!$F:$F,100),atk,IF(cat="Physical",FLOOR((FLOOR(((2*XLOOKUP(XLOOKUP($Q768,'Threshold Summary'!$Y:$Y,'Threshold Summary'!$K:$K,""),'Pokemon Editor'!$A:$A,'Pokemon Editor'!$F:$F,0)+31+FLOOR(XLOOKUP($Q768,'Threshold Summary'!$Y:$Y,'Threshold Summary'!$P:$P,"")/4))*XLOOKUP($Q768,'Threshold Summary'!$Y:$Y,'Threshold Summary'!$L:$L,""))/100)+5)*XLOOKUP(XLOOKUP($Q768,'Threshold Summary'!$Y:$Y,'Threshold Summary'!$M:$M,""),'Nature Editor'!$A:$A,'Nature Editor'!$B:$B,1)),FLOOR((FLOOR(((2*XLOOKUP(XLOOKUP($Q768,'Threshold Summary'!$Y:$Y,'Threshold Summary'!$K:$K,""),'Pokemon Editor'!$A:$A,'Pokemon Editor'!$H:$H,0)+31+FLOOR(XLOOKUP($Q768,'Threshold Summary'!$Y:$Y,'Threshold Summary'!$R:$R,"")/4))*XLOOKUP($Q768,'Threshold Summary'!$Y:$Y,'Threshold Summary'!$L:$L,""))/100)+5)*XLOOKUP(XLOOKUP($Q768,'Threshold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Editor'!$E:$E,1))),stab,IF(OR(mtype=XLOOKUP(XLOOKUP($Q768,'Threshold Summary'!$Y:$Y,'Threshold Summary'!$K:$K,""),'Pokemon Editor'!$A:$A,'Pokemon Editor'!$C:$C,""),mtype=XLOOKUP(XLOOKUP($Q768,'Threshold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Chart'!$B$1:$S$1,0)))),base,IF(OR(cat="Status",pow=0),0,FLOOR(FLOOR(FLOOR((2*XLOOKUP($Q768,'Threshold Summary'!$Y:$Y,'Threshold Summary'!$L:$L,"")/5+2)*pow*atk/def)/50)+2)),modifier,stab*eff,FLOOR(base*modifier)),0)</f>
        <v/>
      </c>
      <c r="L768" s="3">
        <f>IFERROR(LET(mtype,XLOOKUP($D768,'Move Editor'!$B:$B,'Move Editor'!$C:$C,""),cat,XLOOKUP($D768,'Move Editor'!$B:$B,'Move Editor'!$D:$D,""),pow,XLOOKUP($D768,'Move Editor'!$B:$B,'Move Editor'!$E:$E,0),acc,XLOOKUP($D768,'Move Editor'!$B:$B,'Move Editor'!$F:$F,100),atk,IF(cat="Physical",FLOOR((FLOOR(((2*XLOOKUP(XLOOKUP($Q768,'Threshold Summary'!$Y:$Y,'Threshold Summary'!$K:$K,""),'Pokemon Editor'!$A:$A,'Pokemon Editor'!$F:$F,0)+31+FLOOR(XLOOKUP($Q768,'Threshold Summary'!$Y:$Y,'Threshold Summary'!$P:$P,"")/4))*XLOOKUP($Q768,'Threshold Summary'!$Y:$Y,'Threshold Summary'!$L:$L,""))/100)+5)*XLOOKUP(XLOOKUP($Q768,'Threshold Summary'!$Y:$Y,'Threshold Summary'!$M:$M,""),'Nature Editor'!$A:$A,'Nature Editor'!$B:$B,1)),FLOOR((FLOOR(((2*XLOOKUP(XLOOKUP($Q768,'Threshold Summary'!$Y:$Y,'Threshold Summary'!$K:$K,""),'Pokemon Editor'!$A:$A,'Pokemon Editor'!$H:$H,0)+31+FLOOR(XLOOKUP($Q768,'Threshold Summary'!$Y:$Y,'Threshold Summary'!$R:$R,"")/4))*XLOOKUP($Q768,'Threshold Summary'!$Y:$Y,'Threshold Summary'!$L:$L,""))/100)+5)*XLOOKUP(XLOOKUP($Q768,'Threshold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Editor'!$E:$E,1))),stab,IF(OR(mtype=XLOOKUP(XLOOKUP($Q768,'Threshold Summary'!$Y:$Y,'Threshold Summary'!$K:$K,""),'Pokemon Editor'!$A:$A,'Pokemon Editor'!$C:$C,""),mtype=XLOOKUP(XLOOKUP($Q768,'Threshold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Chart'!$B$1:$S$1,0)))),base,IF(OR(cat="Status",pow=0),0,FLOOR(FLOOR(FLOOR((2*XLOOKUP($Q768,'Threshold Summary'!$Y:$Y,'Threshold Summary'!$L:$L,"")/5+2)*pow*atk/def)/50)+2)),modifier,stab*eff,AVERAGE(ARRAYFORMULA(FLOOR(base*modifier*SEQUENCE(16,1,85,1)/100)))),0)</f>
        <v/>
      </c>
      <c r="M768" s="3">
        <f>IFERROR(LET(mtype,XLOOKUP($D768,'Move Editor'!$B:$B,'Move Editor'!$C:$C,""),cat,XLOOKUP($D768,'Move Editor'!$B:$B,'Move Editor'!$D:$D,""),pow,XLOOKUP($D768,'Move Editor'!$B:$B,'Move Editor'!$E:$E,0),acc,XLOOKUP($D768,'Move Editor'!$B:$B,'Move Editor'!$F:$F,100),atk,IF(cat="Physical",FLOOR((FLOOR(((2*XLOOKUP(XLOOKUP($Q768,'Threshold Summary'!$Y:$Y,'Threshold Summary'!$K:$K,""),'Pokemon Editor'!$A:$A,'Pokemon Editor'!$F:$F,0)+31+FLOOR(XLOOKUP($Q768,'Threshold Summary'!$Y:$Y,'Threshold Summary'!$P:$P,"")/4))*XLOOKUP($Q768,'Threshold Summary'!$Y:$Y,'Threshold Summary'!$L:$L,""))/100)+5)*XLOOKUP(XLOOKUP($Q768,'Threshold Summary'!$Y:$Y,'Threshold Summary'!$M:$M,""),'Nature Editor'!$A:$A,'Nature Editor'!$B:$B,1)),FLOOR((FLOOR(((2*XLOOKUP(XLOOKUP($Q768,'Threshold Summary'!$Y:$Y,'Threshold Summary'!$K:$K,""),'Pokemon Editor'!$A:$A,'Pokemon Editor'!$H:$H,0)+31+FLOOR(XLOOKUP($Q768,'Threshold Summary'!$Y:$Y,'Threshold Summary'!$R:$R,"")/4))*XLOOKUP($Q768,'Threshold Summary'!$Y:$Y,'Threshold Summary'!$L:$L,""))/100)+5)*XLOOKUP(XLOOKUP($Q768,'Threshold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Editor'!$E:$E,1))),stab,IF(OR(mtype=XLOOKUP(XLOOKUP($Q768,'Threshold Summary'!$Y:$Y,'Threshold Summary'!$K:$K,""),'Pokemon Editor'!$A:$A,'Pokemon Editor'!$C:$C,""),mtype=XLOOKUP(XLOOKUP($Q768,'Threshold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Chart'!$B$1:$S$1,0)))),base,IF(OR(cat="Status",pow=0),0,FLOOR(FLOOR(FLOOR((2*XLOOKUP($Q768,'Threshold Summary'!$Y:$Y,'Threshold Summary'!$L:$L,"")/5+2)*pow*atk/def)/50)+2)),modifier,stab*eff,AVERAGE(ARRAYFORMULA(FLOOR(base*modifier*SEQUENCE(16,1,85,1)/100)))*MIN(1,acc/100)),0)</f>
        <v/>
      </c>
      <c r="N768" s="4">
        <f>IFERROR(LET(mtype,XLOOKUP($D768,'Move Editor'!$B:$B,'Move Editor'!$C:$C,""),cat,XLOOKUP($D768,'Move Editor'!$B:$B,'Move Editor'!$D:$D,""),pow,XLOOKUP($D768,'Move Editor'!$B:$B,'Move Editor'!$E:$E,0),acc,XLOOKUP($D768,'Move Editor'!$B:$B,'Move Editor'!$F:$F,100),atk,IF(cat="Physical",FLOOR((FLOOR(((2*XLOOKUP(XLOOKUP($Q768,'Threshold Summary'!$Y:$Y,'Threshold Summary'!$K:$K,""),'Pokemon Editor'!$A:$A,'Pokemon Editor'!$F:$F,0)+31+FLOOR(XLOOKUP($Q768,'Threshold Summary'!$Y:$Y,'Threshold Summary'!$P:$P,"")/4))*XLOOKUP($Q768,'Threshold Summary'!$Y:$Y,'Threshold Summary'!$L:$L,""))/100)+5)*XLOOKUP(XLOOKUP($Q768,'Threshold Summary'!$Y:$Y,'Threshold Summary'!$M:$M,""),'Nature Editor'!$A:$A,'Nature Editor'!$B:$B,1)),FLOOR((FLOOR(((2*XLOOKUP(XLOOKUP($Q768,'Threshold Summary'!$Y:$Y,'Threshold Summary'!$K:$K,""),'Pokemon Editor'!$A:$A,'Pokemon Editor'!$H:$H,0)+31+FLOOR(XLOOKUP($Q768,'Threshold Summary'!$Y:$Y,'Threshold Summary'!$R:$R,"")/4))*XLOOKUP($Q768,'Threshold Summary'!$Y:$Y,'Threshold Summary'!$L:$L,""))/100)+5)*XLOOKUP(XLOOKUP($Q768,'Threshold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Editor'!$E:$E,1))),stab,IF(OR(mtype=XLOOKUP(XLOOKUP($Q768,'Threshold Summary'!$Y:$Y,'Threshold Summary'!$K:$K,""),'Pokemon Editor'!$A:$A,'Pokemon Editor'!$C:$C,""),mtype=XLOOKUP(XLOOKUP($Q768,'Threshold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Chart'!$B$1:$S$1,0)))),base,IF(OR(cat="Status",pow=0),0,FLOOR(FLOOR(FLOOR((2*XLOOKUP($Q768,'Threshold Summary'!$Y:$Y,'Threshold Summary'!$L:$L,"")/5+2)*pow*atk/def)/50)+2)),modifier,stab*eff,AVERAGE(ARRAYFORMULA(FLOOR(base*modifier*SEQUENCE(16,1,85,1)/100)))/(FLOOR(((2*XLOOKUP('Boss Editor'!$C$4,'Pokemon Editor'!$A:$A,'Pokemon Editor'!$E:$E,0)+31+FLOOR('Boss Editor'!$G$4/4))*'Boss Editor'!$D$4)/100)+'Boss Editor'!$D$4+10)),0)</f>
        <v/>
      </c>
      <c r="O768" s="3">
        <f>IF(N768&gt;=1,"OHKO",IF(N768&gt;=0.5,"2HKO",IF(N768&gt;=0.333,"3HKO",IF(N768&gt;=0.25,"4HKO","5HKO+"))))</f>
        <v/>
      </c>
      <c r="P768" s="3" t="inlineStr">
        <is>
          <t>Live from editable databases</t>
        </is>
      </c>
      <c r="Q768" s="3" t="inlineStr">
        <is>
          <t>SPECIES_STUFFUL</t>
        </is>
      </c>
      <c r="R768" s="3" t="n">
        <v>31</v>
      </c>
    </row>
    <row r="769">
      <c r="A769" s="3">
        <f>XLOOKUP($Q769,'Threshold Summary'!$Y:$Y,'Threshold Summary'!$A:$A,"")</f>
        <v/>
      </c>
      <c r="B769" s="3">
        <f>XLOOKUP($Q769,'Threshold Summary'!$Y:$Y,'Threshold Summary'!$M:$M,"")</f>
        <v/>
      </c>
      <c r="C769" s="3">
        <f>XLOOKUP($Q769,'Threshold Summary'!$Y:$Y,'Threshold Summary'!$N:$N,"")</f>
        <v/>
      </c>
      <c r="D769" s="3">
        <f>IFERROR(INDEX(FILTER('Learnset Editor'!$D$2:$D,'Learnset Editor'!$A$2:$A=XLOOKUP($Q769,'Threshold Summary'!$Y:$Y,'Threshold Summary'!$K:$K,""),'Learnset Editor'!$C$2:$C&lt;=XLOOKUP($Q769,'Threshold Summary'!$Y:$Y,'Threshold Summary'!$L:$L,"")),$R769),"")</f>
        <v/>
      </c>
      <c r="E769" s="3">
        <f>XLOOKUP(D769,'Move Editor'!$B:$B,'Move Editor'!$C:$C,"")</f>
        <v/>
      </c>
      <c r="F769" s="3">
        <f>XLOOKUP(D769,'Move Editor'!$B:$B,'Move Editor'!$D:$D,"")</f>
        <v/>
      </c>
      <c r="G769" s="3">
        <f>XLOOKUP(D769,'Move Editor'!$B:$B,'Move Editor'!$E:$E,0)</f>
        <v/>
      </c>
      <c r="H769" s="3">
        <f>XLOOKUP(D769,'Move Editor'!$B:$B,'Move Editor'!$F:$F,0)</f>
        <v/>
      </c>
      <c r="I769" s="3">
        <f>(INDEX('Type Chart'!$B:$S,MATCH(E769,'Type Chart'!$A:$A,0),MATCH(XLOOKUP('Boss Editor'!$C$4,'Pokemon Editor'!$A:$A,'Pokemon Editor'!$C:$C,""),'Type Chart'!$B$1:$S$1,0))*IF(XLOOKUP('Boss Editor'!$C$4,'Pokemon Editor'!$A:$A,'Pokemon Editor'!$D:$D,"")="",1,INDEX('Type Chart'!$B:$S,MATCH(E769,'Type Chart'!$A:$A,0),MATCH(XLOOKUP('Boss Editor'!$C$4,'Pokemon Editor'!$A:$A,'Pokemon Editor'!$D:$D,""),'Type Chart'!$B$1:$S$1,0))))</f>
        <v/>
      </c>
      <c r="J769" s="3">
        <f>IFERROR(LET(mtype,XLOOKUP($D769,'Move Editor'!$B:$B,'Move Editor'!$C:$C,""),cat,XLOOKUP($D769,'Move Editor'!$B:$B,'Move Editor'!$D:$D,""),pow,XLOOKUP($D769,'Move Editor'!$B:$B,'Move Editor'!$E:$E,0),acc,XLOOKUP($D769,'Move Editor'!$B:$B,'Move Editor'!$F:$F,100),atk,IF(cat="Physical",FLOOR((FLOOR(((2*XLOOKUP(XLOOKUP($Q769,'Threshold Summary'!$Y:$Y,'Threshold Summary'!$K:$K,""),'Pokemon Editor'!$A:$A,'Pokemon Editor'!$F:$F,0)+31+FLOOR(XLOOKUP($Q769,'Threshold Summary'!$Y:$Y,'Threshold Summary'!$P:$P,"")/4))*XLOOKUP($Q769,'Threshold Summary'!$Y:$Y,'Threshold Summary'!$L:$L,""))/100)+5)*XLOOKUP(XLOOKUP($Q769,'Threshold Summary'!$Y:$Y,'Threshold Summary'!$M:$M,""),'Nature Editor'!$A:$A,'Nature Editor'!$B:$B,1)),FLOOR((FLOOR(((2*XLOOKUP(XLOOKUP($Q769,'Threshold Summary'!$Y:$Y,'Threshold Summary'!$K:$K,""),'Pokemon Editor'!$A:$A,'Pokemon Editor'!$H:$H,0)+31+FLOOR(XLOOKUP($Q769,'Threshold Summary'!$Y:$Y,'Threshold Summary'!$R:$R,"")/4))*XLOOKUP($Q769,'Threshold Summary'!$Y:$Y,'Threshold Summary'!$L:$L,""))/100)+5)*XLOOKUP(XLOOKUP($Q769,'Threshold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Editor'!$E:$E,1))),stab,IF(OR(mtype=XLOOKUP(XLOOKUP($Q769,'Threshold Summary'!$Y:$Y,'Threshold Summary'!$K:$K,""),'Pokemon Editor'!$A:$A,'Pokemon Editor'!$C:$C,""),mtype=XLOOKUP(XLOOKUP($Q769,'Threshold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Chart'!$B$1:$S$1,0)))),base,IF(OR(cat="Status",pow=0),0,FLOOR(FLOOR(FLOOR((2*XLOOKUP($Q769,'Threshold Summary'!$Y:$Y,'Threshold Summary'!$L:$L,"")/5+2)*pow*atk/def)/50)+2)),modifier,stab*eff,FLOOR(base*modifier*0.85)),0)</f>
        <v/>
      </c>
      <c r="K769" s="3">
        <f>IFERROR(LET(mtype,XLOOKUP($D769,'Move Editor'!$B:$B,'Move Editor'!$C:$C,""),cat,XLOOKUP($D769,'Move Editor'!$B:$B,'Move Editor'!$D:$D,""),pow,XLOOKUP($D769,'Move Editor'!$B:$B,'Move Editor'!$E:$E,0),acc,XLOOKUP($D769,'Move Editor'!$B:$B,'Move Editor'!$F:$F,100),atk,IF(cat="Physical",FLOOR((FLOOR(((2*XLOOKUP(XLOOKUP($Q769,'Threshold Summary'!$Y:$Y,'Threshold Summary'!$K:$K,""),'Pokemon Editor'!$A:$A,'Pokemon Editor'!$F:$F,0)+31+FLOOR(XLOOKUP($Q769,'Threshold Summary'!$Y:$Y,'Threshold Summary'!$P:$P,"")/4))*XLOOKUP($Q769,'Threshold Summary'!$Y:$Y,'Threshold Summary'!$L:$L,""))/100)+5)*XLOOKUP(XLOOKUP($Q769,'Threshold Summary'!$Y:$Y,'Threshold Summary'!$M:$M,""),'Nature Editor'!$A:$A,'Nature Editor'!$B:$B,1)),FLOOR((FLOOR(((2*XLOOKUP(XLOOKUP($Q769,'Threshold Summary'!$Y:$Y,'Threshold Summary'!$K:$K,""),'Pokemon Editor'!$A:$A,'Pokemon Editor'!$H:$H,0)+31+FLOOR(XLOOKUP($Q769,'Threshold Summary'!$Y:$Y,'Threshold Summary'!$R:$R,"")/4))*XLOOKUP($Q769,'Threshold Summary'!$Y:$Y,'Threshold Summary'!$L:$L,""))/100)+5)*XLOOKUP(XLOOKUP($Q769,'Threshold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Editor'!$E:$E,1))),stab,IF(OR(mtype=XLOOKUP(XLOOKUP($Q769,'Threshold Summary'!$Y:$Y,'Threshold Summary'!$K:$K,""),'Pokemon Editor'!$A:$A,'Pokemon Editor'!$C:$C,""),mtype=XLOOKUP(XLOOKUP($Q769,'Threshold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Chart'!$B$1:$S$1,0)))),base,IF(OR(cat="Status",pow=0),0,FLOOR(FLOOR(FLOOR((2*XLOOKUP($Q769,'Threshold Summary'!$Y:$Y,'Threshold Summary'!$L:$L,"")/5+2)*pow*atk/def)/50)+2)),modifier,stab*eff,FLOOR(base*modifier)),0)</f>
        <v/>
      </c>
      <c r="L769" s="3">
        <f>IFERROR(LET(mtype,XLOOKUP($D769,'Move Editor'!$B:$B,'Move Editor'!$C:$C,""),cat,XLOOKUP($D769,'Move Editor'!$B:$B,'Move Editor'!$D:$D,""),pow,XLOOKUP($D769,'Move Editor'!$B:$B,'Move Editor'!$E:$E,0),acc,XLOOKUP($D769,'Move Editor'!$B:$B,'Move Editor'!$F:$F,100),atk,IF(cat="Physical",FLOOR((FLOOR(((2*XLOOKUP(XLOOKUP($Q769,'Threshold Summary'!$Y:$Y,'Threshold Summary'!$K:$K,""),'Pokemon Editor'!$A:$A,'Pokemon Editor'!$F:$F,0)+31+FLOOR(XLOOKUP($Q769,'Threshold Summary'!$Y:$Y,'Threshold Summary'!$P:$P,"")/4))*XLOOKUP($Q769,'Threshold Summary'!$Y:$Y,'Threshold Summary'!$L:$L,""))/100)+5)*XLOOKUP(XLOOKUP($Q769,'Threshold Summary'!$Y:$Y,'Threshold Summary'!$M:$M,""),'Nature Editor'!$A:$A,'Nature Editor'!$B:$B,1)),FLOOR((FLOOR(((2*XLOOKUP(XLOOKUP($Q769,'Threshold Summary'!$Y:$Y,'Threshold Summary'!$K:$K,""),'Pokemon Editor'!$A:$A,'Pokemon Editor'!$H:$H,0)+31+FLOOR(XLOOKUP($Q769,'Threshold Summary'!$Y:$Y,'Threshold Summary'!$R:$R,"")/4))*XLOOKUP($Q769,'Threshold Summary'!$Y:$Y,'Threshold Summary'!$L:$L,""))/100)+5)*XLOOKUP(XLOOKUP($Q769,'Threshold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Editor'!$E:$E,1))),stab,IF(OR(mtype=XLOOKUP(XLOOKUP($Q769,'Threshold Summary'!$Y:$Y,'Threshold Summary'!$K:$K,""),'Pokemon Editor'!$A:$A,'Pokemon Editor'!$C:$C,""),mtype=XLOOKUP(XLOOKUP($Q769,'Threshold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Chart'!$B$1:$S$1,0)))),base,IF(OR(cat="Status",pow=0),0,FLOOR(FLOOR(FLOOR((2*XLOOKUP($Q769,'Threshold Summary'!$Y:$Y,'Threshold Summary'!$L:$L,"")/5+2)*pow*atk/def)/50)+2)),modifier,stab*eff,AVERAGE(ARRAYFORMULA(FLOOR(base*modifier*SEQUENCE(16,1,85,1)/100)))),0)</f>
        <v/>
      </c>
      <c r="M769" s="3">
        <f>IFERROR(LET(mtype,XLOOKUP($D769,'Move Editor'!$B:$B,'Move Editor'!$C:$C,""),cat,XLOOKUP($D769,'Move Editor'!$B:$B,'Move Editor'!$D:$D,""),pow,XLOOKUP($D769,'Move Editor'!$B:$B,'Move Editor'!$E:$E,0),acc,XLOOKUP($D769,'Move Editor'!$B:$B,'Move Editor'!$F:$F,100),atk,IF(cat="Physical",FLOOR((FLOOR(((2*XLOOKUP(XLOOKUP($Q769,'Threshold Summary'!$Y:$Y,'Threshold Summary'!$K:$K,""),'Pokemon Editor'!$A:$A,'Pokemon Editor'!$F:$F,0)+31+FLOOR(XLOOKUP($Q769,'Threshold Summary'!$Y:$Y,'Threshold Summary'!$P:$P,"")/4))*XLOOKUP($Q769,'Threshold Summary'!$Y:$Y,'Threshold Summary'!$L:$L,""))/100)+5)*XLOOKUP(XLOOKUP($Q769,'Threshold Summary'!$Y:$Y,'Threshold Summary'!$M:$M,""),'Nature Editor'!$A:$A,'Nature Editor'!$B:$B,1)),FLOOR((FLOOR(((2*XLOOKUP(XLOOKUP($Q769,'Threshold Summary'!$Y:$Y,'Threshold Summary'!$K:$K,""),'Pokemon Editor'!$A:$A,'Pokemon Editor'!$H:$H,0)+31+FLOOR(XLOOKUP($Q769,'Threshold Summary'!$Y:$Y,'Threshold Summary'!$R:$R,"")/4))*XLOOKUP($Q769,'Threshold Summary'!$Y:$Y,'Threshold Summary'!$L:$L,""))/100)+5)*XLOOKUP(XLOOKUP($Q769,'Threshold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Editor'!$E:$E,1))),stab,IF(OR(mtype=XLOOKUP(XLOOKUP($Q769,'Threshold Summary'!$Y:$Y,'Threshold Summary'!$K:$K,""),'Pokemon Editor'!$A:$A,'Pokemon Editor'!$C:$C,""),mtype=XLOOKUP(XLOOKUP($Q769,'Threshold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Chart'!$B$1:$S$1,0)))),base,IF(OR(cat="Status",pow=0),0,FLOOR(FLOOR(FLOOR((2*XLOOKUP($Q769,'Threshold Summary'!$Y:$Y,'Threshold Summary'!$L:$L,"")/5+2)*pow*atk/def)/50)+2)),modifier,stab*eff,AVERAGE(ARRAYFORMULA(FLOOR(base*modifier*SEQUENCE(16,1,85,1)/100)))*MIN(1,acc/100)),0)</f>
        <v/>
      </c>
      <c r="N769" s="4">
        <f>IFERROR(LET(mtype,XLOOKUP($D769,'Move Editor'!$B:$B,'Move Editor'!$C:$C,""),cat,XLOOKUP($D769,'Move Editor'!$B:$B,'Move Editor'!$D:$D,""),pow,XLOOKUP($D769,'Move Editor'!$B:$B,'Move Editor'!$E:$E,0),acc,XLOOKUP($D769,'Move Editor'!$B:$B,'Move Editor'!$F:$F,100),atk,IF(cat="Physical",FLOOR((FLOOR(((2*XLOOKUP(XLOOKUP($Q769,'Threshold Summary'!$Y:$Y,'Threshold Summary'!$K:$K,""),'Pokemon Editor'!$A:$A,'Pokemon Editor'!$F:$F,0)+31+FLOOR(XLOOKUP($Q769,'Threshold Summary'!$Y:$Y,'Threshold Summary'!$P:$P,"")/4))*XLOOKUP($Q769,'Threshold Summary'!$Y:$Y,'Threshold Summary'!$L:$L,""))/100)+5)*XLOOKUP(XLOOKUP($Q769,'Threshold Summary'!$Y:$Y,'Threshold Summary'!$M:$M,""),'Nature Editor'!$A:$A,'Nature Editor'!$B:$B,1)),FLOOR((FLOOR(((2*XLOOKUP(XLOOKUP($Q769,'Threshold Summary'!$Y:$Y,'Threshold Summary'!$K:$K,""),'Pokemon Editor'!$A:$A,'Pokemon Editor'!$H:$H,0)+31+FLOOR(XLOOKUP($Q769,'Threshold Summary'!$Y:$Y,'Threshold Summary'!$R:$R,"")/4))*XLOOKUP($Q769,'Threshold Summary'!$Y:$Y,'Threshold Summary'!$L:$L,""))/100)+5)*XLOOKUP(XLOOKUP($Q769,'Threshold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Editor'!$E:$E,1))),stab,IF(OR(mtype=XLOOKUP(XLOOKUP($Q769,'Threshold Summary'!$Y:$Y,'Threshold Summary'!$K:$K,""),'Pokemon Editor'!$A:$A,'Pokemon Editor'!$C:$C,""),mtype=XLOOKUP(XLOOKUP($Q769,'Threshold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Chart'!$B$1:$S$1,0)))),base,IF(OR(cat="Status",pow=0),0,FLOOR(FLOOR(FLOOR((2*XLOOKUP($Q769,'Threshold Summary'!$Y:$Y,'Threshold Summary'!$L:$L,"")/5+2)*pow*atk/def)/50)+2)),modifier,stab*eff,AVERAGE(ARRAYFORMULA(FLOOR(base*modifier*SEQUENCE(16,1,85,1)/100)))/(FLOOR(((2*XLOOKUP('Boss Editor'!$C$4,'Pokemon Editor'!$A:$A,'Pokemon Editor'!$E:$E,0)+31+FLOOR('Boss Editor'!$G$4/4))*'Boss Editor'!$D$4)/100)+'Boss Editor'!$D$4+10)),0)</f>
        <v/>
      </c>
      <c r="O769" s="3">
        <f>IF(N769&gt;=1,"OHKO",IF(N769&gt;=0.5,"2HKO",IF(N769&gt;=0.333,"3HKO",IF(N769&gt;=0.25,"4HKO","5HKO+"))))</f>
        <v/>
      </c>
      <c r="P769" s="3" t="inlineStr">
        <is>
          <t>Live from editable databases</t>
        </is>
      </c>
      <c r="Q769" s="3" t="inlineStr">
        <is>
          <t>SPECIES_STUFFUL</t>
        </is>
      </c>
      <c r="R769" s="3" t="n">
        <v>32</v>
      </c>
    </row>
    <row r="770">
      <c r="A770" s="3">
        <f>XLOOKUP($Q770,'Threshold Summary'!$Y:$Y,'Threshold Summary'!$A:$A,"")</f>
        <v/>
      </c>
      <c r="B770" s="3">
        <f>XLOOKUP($Q770,'Threshold Summary'!$Y:$Y,'Threshold Summary'!$M:$M,"")</f>
        <v/>
      </c>
      <c r="C770" s="3">
        <f>XLOOKUP($Q770,'Threshold Summary'!$Y:$Y,'Threshold Summary'!$N:$N,"")</f>
        <v/>
      </c>
      <c r="D770" s="3">
        <f>IFERROR(INDEX(FILTER('Learnset Editor'!$D$2:$D,'Learnset Editor'!$A$2:$A=XLOOKUP($Q770,'Threshold Summary'!$Y:$Y,'Threshold Summary'!$K:$K,""),'Learnset Editor'!$C$2:$C&lt;=XLOOKUP($Q770,'Threshold Summary'!$Y:$Y,'Threshold Summary'!$L:$L,"")),$R770),"")</f>
        <v/>
      </c>
      <c r="E770" s="3">
        <f>XLOOKUP(D770,'Move Editor'!$B:$B,'Move Editor'!$C:$C,"")</f>
        <v/>
      </c>
      <c r="F770" s="3">
        <f>XLOOKUP(D770,'Move Editor'!$B:$B,'Move Editor'!$D:$D,"")</f>
        <v/>
      </c>
      <c r="G770" s="3">
        <f>XLOOKUP(D770,'Move Editor'!$B:$B,'Move Editor'!$E:$E,0)</f>
        <v/>
      </c>
      <c r="H770" s="3">
        <f>XLOOKUP(D770,'Move Editor'!$B:$B,'Move Editor'!$F:$F,0)</f>
        <v/>
      </c>
      <c r="I770" s="3">
        <f>(INDEX('Type Chart'!$B:$S,MATCH(E770,'Type Chart'!$A:$A,0),MATCH(XLOOKUP('Boss Editor'!$C$4,'Pokemon Editor'!$A:$A,'Pokemon Editor'!$C:$C,""),'Type Chart'!$B$1:$S$1,0))*IF(XLOOKUP('Boss Editor'!$C$4,'Pokemon Editor'!$A:$A,'Pokemon Editor'!$D:$D,"")="",1,INDEX('Type Chart'!$B:$S,MATCH(E770,'Type Chart'!$A:$A,0),MATCH(XLOOKUP('Boss Editor'!$C$4,'Pokemon Editor'!$A:$A,'Pokemon Editor'!$D:$D,""),'Type Chart'!$B$1:$S$1,0))))</f>
        <v/>
      </c>
      <c r="J770" s="3">
        <f>IFERROR(LET(mtype,XLOOKUP($D770,'Move Editor'!$B:$B,'Move Editor'!$C:$C,""),cat,XLOOKUP($D770,'Move Editor'!$B:$B,'Move Editor'!$D:$D,""),pow,XLOOKUP($D770,'Move Editor'!$B:$B,'Move Editor'!$E:$E,0),acc,XLOOKUP($D770,'Move Editor'!$B:$B,'Move Editor'!$F:$F,100),atk,IF(cat="Physical",FLOOR((FLOOR(((2*XLOOKUP(XLOOKUP($Q770,'Threshold Summary'!$Y:$Y,'Threshold Summary'!$K:$K,""),'Pokemon Editor'!$A:$A,'Pokemon Editor'!$F:$F,0)+31+FLOOR(XLOOKUP($Q770,'Threshold Summary'!$Y:$Y,'Threshold Summary'!$P:$P,"")/4))*XLOOKUP($Q770,'Threshold Summary'!$Y:$Y,'Threshold Summary'!$L:$L,""))/100)+5)*XLOOKUP(XLOOKUP($Q770,'Threshold Summary'!$Y:$Y,'Threshold Summary'!$M:$M,""),'Nature Editor'!$A:$A,'Nature Editor'!$B:$B,1)),FLOOR((FLOOR(((2*XLOOKUP(XLOOKUP($Q770,'Threshold Summary'!$Y:$Y,'Threshold Summary'!$K:$K,""),'Pokemon Editor'!$A:$A,'Pokemon Editor'!$H:$H,0)+31+FLOOR(XLOOKUP($Q770,'Threshold Summary'!$Y:$Y,'Threshold Summary'!$R:$R,"")/4))*XLOOKUP($Q770,'Threshold Summary'!$Y:$Y,'Threshold Summary'!$L:$L,""))/100)+5)*XLOOKUP(XLOOKUP($Q770,'Threshold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Editor'!$E:$E,1))),stab,IF(OR(mtype=XLOOKUP(XLOOKUP($Q770,'Threshold Summary'!$Y:$Y,'Threshold Summary'!$K:$K,""),'Pokemon Editor'!$A:$A,'Pokemon Editor'!$C:$C,""),mtype=XLOOKUP(XLOOKUP($Q770,'Threshold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Chart'!$B$1:$S$1,0)))),base,IF(OR(cat="Status",pow=0),0,FLOOR(FLOOR(FLOOR((2*XLOOKUP($Q770,'Threshold Summary'!$Y:$Y,'Threshold Summary'!$L:$L,"")/5+2)*pow*atk/def)/50)+2)),modifier,stab*eff,FLOOR(base*modifier*0.85)),0)</f>
        <v/>
      </c>
      <c r="K770" s="3">
        <f>IFERROR(LET(mtype,XLOOKUP($D770,'Move Editor'!$B:$B,'Move Editor'!$C:$C,""),cat,XLOOKUP($D770,'Move Editor'!$B:$B,'Move Editor'!$D:$D,""),pow,XLOOKUP($D770,'Move Editor'!$B:$B,'Move Editor'!$E:$E,0),acc,XLOOKUP($D770,'Move Editor'!$B:$B,'Move Editor'!$F:$F,100),atk,IF(cat="Physical",FLOOR((FLOOR(((2*XLOOKUP(XLOOKUP($Q770,'Threshold Summary'!$Y:$Y,'Threshold Summary'!$K:$K,""),'Pokemon Editor'!$A:$A,'Pokemon Editor'!$F:$F,0)+31+FLOOR(XLOOKUP($Q770,'Threshold Summary'!$Y:$Y,'Threshold Summary'!$P:$P,"")/4))*XLOOKUP($Q770,'Threshold Summary'!$Y:$Y,'Threshold Summary'!$L:$L,""))/100)+5)*XLOOKUP(XLOOKUP($Q770,'Threshold Summary'!$Y:$Y,'Threshold Summary'!$M:$M,""),'Nature Editor'!$A:$A,'Nature Editor'!$B:$B,1)),FLOOR((FLOOR(((2*XLOOKUP(XLOOKUP($Q770,'Threshold Summary'!$Y:$Y,'Threshold Summary'!$K:$K,""),'Pokemon Editor'!$A:$A,'Pokemon Editor'!$H:$H,0)+31+FLOOR(XLOOKUP($Q770,'Threshold Summary'!$Y:$Y,'Threshold Summary'!$R:$R,"")/4))*XLOOKUP($Q770,'Threshold Summary'!$Y:$Y,'Threshold Summary'!$L:$L,""))/100)+5)*XLOOKUP(XLOOKUP($Q770,'Threshold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Editor'!$E:$E,1))),stab,IF(OR(mtype=XLOOKUP(XLOOKUP($Q770,'Threshold Summary'!$Y:$Y,'Threshold Summary'!$K:$K,""),'Pokemon Editor'!$A:$A,'Pokemon Editor'!$C:$C,""),mtype=XLOOKUP(XLOOKUP($Q770,'Threshold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Chart'!$B$1:$S$1,0)))),base,IF(OR(cat="Status",pow=0),0,FLOOR(FLOOR(FLOOR((2*XLOOKUP($Q770,'Threshold Summary'!$Y:$Y,'Threshold Summary'!$L:$L,"")/5+2)*pow*atk/def)/50)+2)),modifier,stab*eff,FLOOR(base*modifier)),0)</f>
        <v/>
      </c>
      <c r="L770" s="3">
        <f>IFERROR(LET(mtype,XLOOKUP($D770,'Move Editor'!$B:$B,'Move Editor'!$C:$C,""),cat,XLOOKUP($D770,'Move Editor'!$B:$B,'Move Editor'!$D:$D,""),pow,XLOOKUP($D770,'Move Editor'!$B:$B,'Move Editor'!$E:$E,0),acc,XLOOKUP($D770,'Move Editor'!$B:$B,'Move Editor'!$F:$F,100),atk,IF(cat="Physical",FLOOR((FLOOR(((2*XLOOKUP(XLOOKUP($Q770,'Threshold Summary'!$Y:$Y,'Threshold Summary'!$K:$K,""),'Pokemon Editor'!$A:$A,'Pokemon Editor'!$F:$F,0)+31+FLOOR(XLOOKUP($Q770,'Threshold Summary'!$Y:$Y,'Threshold Summary'!$P:$P,"")/4))*XLOOKUP($Q770,'Threshold Summary'!$Y:$Y,'Threshold Summary'!$L:$L,""))/100)+5)*XLOOKUP(XLOOKUP($Q770,'Threshold Summary'!$Y:$Y,'Threshold Summary'!$M:$M,""),'Nature Editor'!$A:$A,'Nature Editor'!$B:$B,1)),FLOOR((FLOOR(((2*XLOOKUP(XLOOKUP($Q770,'Threshold Summary'!$Y:$Y,'Threshold Summary'!$K:$K,""),'Pokemon Editor'!$A:$A,'Pokemon Editor'!$H:$H,0)+31+FLOOR(XLOOKUP($Q770,'Threshold Summary'!$Y:$Y,'Threshold Summary'!$R:$R,"")/4))*XLOOKUP($Q770,'Threshold Summary'!$Y:$Y,'Threshold Summary'!$L:$L,""))/100)+5)*XLOOKUP(XLOOKUP($Q770,'Threshold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Editor'!$E:$E,1))),stab,IF(OR(mtype=XLOOKUP(XLOOKUP($Q770,'Threshold Summary'!$Y:$Y,'Threshold Summary'!$K:$K,""),'Pokemon Editor'!$A:$A,'Pokemon Editor'!$C:$C,""),mtype=XLOOKUP(XLOOKUP($Q770,'Threshold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Chart'!$B$1:$S$1,0)))),base,IF(OR(cat="Status",pow=0),0,FLOOR(FLOOR(FLOOR((2*XLOOKUP($Q770,'Threshold Summary'!$Y:$Y,'Threshold Summary'!$L:$L,"")/5+2)*pow*atk/def)/50)+2)),modifier,stab*eff,AVERAGE(ARRAYFORMULA(FLOOR(base*modifier*SEQUENCE(16,1,85,1)/100)))),0)</f>
        <v/>
      </c>
      <c r="M770" s="3">
        <f>IFERROR(LET(mtype,XLOOKUP($D770,'Move Editor'!$B:$B,'Move Editor'!$C:$C,""),cat,XLOOKUP($D770,'Move Editor'!$B:$B,'Move Editor'!$D:$D,""),pow,XLOOKUP($D770,'Move Editor'!$B:$B,'Move Editor'!$E:$E,0),acc,XLOOKUP($D770,'Move Editor'!$B:$B,'Move Editor'!$F:$F,100),atk,IF(cat="Physical",FLOOR((FLOOR(((2*XLOOKUP(XLOOKUP($Q770,'Threshold Summary'!$Y:$Y,'Threshold Summary'!$K:$K,""),'Pokemon Editor'!$A:$A,'Pokemon Editor'!$F:$F,0)+31+FLOOR(XLOOKUP($Q770,'Threshold Summary'!$Y:$Y,'Threshold Summary'!$P:$P,"")/4))*XLOOKUP($Q770,'Threshold Summary'!$Y:$Y,'Threshold Summary'!$L:$L,""))/100)+5)*XLOOKUP(XLOOKUP($Q770,'Threshold Summary'!$Y:$Y,'Threshold Summary'!$M:$M,""),'Nature Editor'!$A:$A,'Nature Editor'!$B:$B,1)),FLOOR((FLOOR(((2*XLOOKUP(XLOOKUP($Q770,'Threshold Summary'!$Y:$Y,'Threshold Summary'!$K:$K,""),'Pokemon Editor'!$A:$A,'Pokemon Editor'!$H:$H,0)+31+FLOOR(XLOOKUP($Q770,'Threshold Summary'!$Y:$Y,'Threshold Summary'!$R:$R,"")/4))*XLOOKUP($Q770,'Threshold Summary'!$Y:$Y,'Threshold Summary'!$L:$L,""))/100)+5)*XLOOKUP(XLOOKUP($Q770,'Threshold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Editor'!$E:$E,1))),stab,IF(OR(mtype=XLOOKUP(XLOOKUP($Q770,'Threshold Summary'!$Y:$Y,'Threshold Summary'!$K:$K,""),'Pokemon Editor'!$A:$A,'Pokemon Editor'!$C:$C,""),mtype=XLOOKUP(XLOOKUP($Q770,'Threshold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Chart'!$B$1:$S$1,0)))),base,IF(OR(cat="Status",pow=0),0,FLOOR(FLOOR(FLOOR((2*XLOOKUP($Q770,'Threshold Summary'!$Y:$Y,'Threshold Summary'!$L:$L,"")/5+2)*pow*atk/def)/50)+2)),modifier,stab*eff,AVERAGE(ARRAYFORMULA(FLOOR(base*modifier*SEQUENCE(16,1,85,1)/100)))*MIN(1,acc/100)),0)</f>
        <v/>
      </c>
      <c r="N770" s="4">
        <f>IFERROR(LET(mtype,XLOOKUP($D770,'Move Editor'!$B:$B,'Move Editor'!$C:$C,""),cat,XLOOKUP($D770,'Move Editor'!$B:$B,'Move Editor'!$D:$D,""),pow,XLOOKUP($D770,'Move Editor'!$B:$B,'Move Editor'!$E:$E,0),acc,XLOOKUP($D770,'Move Editor'!$B:$B,'Move Editor'!$F:$F,100),atk,IF(cat="Physical",FLOOR((FLOOR(((2*XLOOKUP(XLOOKUP($Q770,'Threshold Summary'!$Y:$Y,'Threshold Summary'!$K:$K,""),'Pokemon Editor'!$A:$A,'Pokemon Editor'!$F:$F,0)+31+FLOOR(XLOOKUP($Q770,'Threshold Summary'!$Y:$Y,'Threshold Summary'!$P:$P,"")/4))*XLOOKUP($Q770,'Threshold Summary'!$Y:$Y,'Threshold Summary'!$L:$L,""))/100)+5)*XLOOKUP(XLOOKUP($Q770,'Threshold Summary'!$Y:$Y,'Threshold Summary'!$M:$M,""),'Nature Editor'!$A:$A,'Nature Editor'!$B:$B,1)),FLOOR((FLOOR(((2*XLOOKUP(XLOOKUP($Q770,'Threshold Summary'!$Y:$Y,'Threshold Summary'!$K:$K,""),'Pokemon Editor'!$A:$A,'Pokemon Editor'!$H:$H,0)+31+FLOOR(XLOOKUP($Q770,'Threshold Summary'!$Y:$Y,'Threshold Summary'!$R:$R,"")/4))*XLOOKUP($Q770,'Threshold Summary'!$Y:$Y,'Threshold Summary'!$L:$L,""))/100)+5)*XLOOKUP(XLOOKUP($Q770,'Threshold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Editor'!$E:$E,1))),stab,IF(OR(mtype=XLOOKUP(XLOOKUP($Q770,'Threshold Summary'!$Y:$Y,'Threshold Summary'!$K:$K,""),'Pokemon Editor'!$A:$A,'Pokemon Editor'!$C:$C,""),mtype=XLOOKUP(XLOOKUP($Q770,'Threshold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Chart'!$B$1:$S$1,0)))),base,IF(OR(cat="Status",pow=0),0,FLOOR(FLOOR(FLOOR((2*XLOOKUP($Q770,'Threshold Summary'!$Y:$Y,'Threshold Summary'!$L:$L,"")/5+2)*pow*atk/def)/50)+2)),modifier,stab*eff,AVERAGE(ARRAYFORMULA(FLOOR(base*modifier*SEQUENCE(16,1,85,1)/100)))/(FLOOR(((2*XLOOKUP('Boss Editor'!$C$4,'Pokemon Editor'!$A:$A,'Pokemon Editor'!$E:$E,0)+31+FLOOR('Boss Editor'!$G$4/4))*'Boss Editor'!$D$4)/100)+'Boss Editor'!$D$4+10)),0)</f>
        <v/>
      </c>
      <c r="O770" s="3">
        <f>IF(N770&gt;=1,"OHKO",IF(N770&gt;=0.5,"2HKO",IF(N770&gt;=0.333,"3HKO",IF(N770&gt;=0.25,"4HKO","5HKO+"))))</f>
        <v/>
      </c>
      <c r="P770" s="3" t="inlineStr">
        <is>
          <t>Live from editable databases</t>
        </is>
      </c>
      <c r="Q770" s="3" t="inlineStr">
        <is>
          <t>SPECIES_BOUNSWEET</t>
        </is>
      </c>
      <c r="R770" s="3" t="n">
        <v>1</v>
      </c>
    </row>
    <row r="771">
      <c r="A771" s="3">
        <f>XLOOKUP($Q771,'Threshold Summary'!$Y:$Y,'Threshold Summary'!$A:$A,"")</f>
        <v/>
      </c>
      <c r="B771" s="3">
        <f>XLOOKUP($Q771,'Threshold Summary'!$Y:$Y,'Threshold Summary'!$M:$M,"")</f>
        <v/>
      </c>
      <c r="C771" s="3">
        <f>XLOOKUP($Q771,'Threshold Summary'!$Y:$Y,'Threshold Summary'!$N:$N,"")</f>
        <v/>
      </c>
      <c r="D771" s="3">
        <f>IFERROR(INDEX(FILTER('Learnset Editor'!$D$2:$D,'Learnset Editor'!$A$2:$A=XLOOKUP($Q771,'Threshold Summary'!$Y:$Y,'Threshold Summary'!$K:$K,""),'Learnset Editor'!$C$2:$C&lt;=XLOOKUP($Q771,'Threshold Summary'!$Y:$Y,'Threshold Summary'!$L:$L,"")),$R771),"")</f>
        <v/>
      </c>
      <c r="E771" s="3">
        <f>XLOOKUP(D771,'Move Editor'!$B:$B,'Move Editor'!$C:$C,"")</f>
        <v/>
      </c>
      <c r="F771" s="3">
        <f>XLOOKUP(D771,'Move Editor'!$B:$B,'Move Editor'!$D:$D,"")</f>
        <v/>
      </c>
      <c r="G771" s="3">
        <f>XLOOKUP(D771,'Move Editor'!$B:$B,'Move Editor'!$E:$E,0)</f>
        <v/>
      </c>
      <c r="H771" s="3">
        <f>XLOOKUP(D771,'Move Editor'!$B:$B,'Move Editor'!$F:$F,0)</f>
        <v/>
      </c>
      <c r="I771" s="3">
        <f>(INDEX('Type Chart'!$B:$S,MATCH(E771,'Type Chart'!$A:$A,0),MATCH(XLOOKUP('Boss Editor'!$C$4,'Pokemon Editor'!$A:$A,'Pokemon Editor'!$C:$C,""),'Type Chart'!$B$1:$S$1,0))*IF(XLOOKUP('Boss Editor'!$C$4,'Pokemon Editor'!$A:$A,'Pokemon Editor'!$D:$D,"")="",1,INDEX('Type Chart'!$B:$S,MATCH(E771,'Type Chart'!$A:$A,0),MATCH(XLOOKUP('Boss Editor'!$C$4,'Pokemon Editor'!$A:$A,'Pokemon Editor'!$D:$D,""),'Type Chart'!$B$1:$S$1,0))))</f>
        <v/>
      </c>
      <c r="J771" s="3">
        <f>IFERROR(LET(mtype,XLOOKUP($D771,'Move Editor'!$B:$B,'Move Editor'!$C:$C,""),cat,XLOOKUP($D771,'Move Editor'!$B:$B,'Move Editor'!$D:$D,""),pow,XLOOKUP($D771,'Move Editor'!$B:$B,'Move Editor'!$E:$E,0),acc,XLOOKUP($D771,'Move Editor'!$B:$B,'Move Editor'!$F:$F,100),atk,IF(cat="Physical",FLOOR((FLOOR(((2*XLOOKUP(XLOOKUP($Q771,'Threshold Summary'!$Y:$Y,'Threshold Summary'!$K:$K,""),'Pokemon Editor'!$A:$A,'Pokemon Editor'!$F:$F,0)+31+FLOOR(XLOOKUP($Q771,'Threshold Summary'!$Y:$Y,'Threshold Summary'!$P:$P,"")/4))*XLOOKUP($Q771,'Threshold Summary'!$Y:$Y,'Threshold Summary'!$L:$L,""))/100)+5)*XLOOKUP(XLOOKUP($Q771,'Threshold Summary'!$Y:$Y,'Threshold Summary'!$M:$M,""),'Nature Editor'!$A:$A,'Nature Editor'!$B:$B,1)),FLOOR((FLOOR(((2*XLOOKUP(XLOOKUP($Q771,'Threshold Summary'!$Y:$Y,'Threshold Summary'!$K:$K,""),'Pokemon Editor'!$A:$A,'Pokemon Editor'!$H:$H,0)+31+FLOOR(XLOOKUP($Q771,'Threshold Summary'!$Y:$Y,'Threshold Summary'!$R:$R,"")/4))*XLOOKUP($Q771,'Threshold Summary'!$Y:$Y,'Threshold Summary'!$L:$L,""))/100)+5)*XLOOKUP(XLOOKUP($Q771,'Threshold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Editor'!$E:$E,1))),stab,IF(OR(mtype=XLOOKUP(XLOOKUP($Q771,'Threshold Summary'!$Y:$Y,'Threshold Summary'!$K:$K,""),'Pokemon Editor'!$A:$A,'Pokemon Editor'!$C:$C,""),mtype=XLOOKUP(XLOOKUP($Q771,'Threshold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Chart'!$B$1:$S$1,0)))),base,IF(OR(cat="Status",pow=0),0,FLOOR(FLOOR(FLOOR((2*XLOOKUP($Q771,'Threshold Summary'!$Y:$Y,'Threshold Summary'!$L:$L,"")/5+2)*pow*atk/def)/50)+2)),modifier,stab*eff,FLOOR(base*modifier*0.85)),0)</f>
        <v/>
      </c>
      <c r="K771" s="3">
        <f>IFERROR(LET(mtype,XLOOKUP($D771,'Move Editor'!$B:$B,'Move Editor'!$C:$C,""),cat,XLOOKUP($D771,'Move Editor'!$B:$B,'Move Editor'!$D:$D,""),pow,XLOOKUP($D771,'Move Editor'!$B:$B,'Move Editor'!$E:$E,0),acc,XLOOKUP($D771,'Move Editor'!$B:$B,'Move Editor'!$F:$F,100),atk,IF(cat="Physical",FLOOR((FLOOR(((2*XLOOKUP(XLOOKUP($Q771,'Threshold Summary'!$Y:$Y,'Threshold Summary'!$K:$K,""),'Pokemon Editor'!$A:$A,'Pokemon Editor'!$F:$F,0)+31+FLOOR(XLOOKUP($Q771,'Threshold Summary'!$Y:$Y,'Threshold Summary'!$P:$P,"")/4))*XLOOKUP($Q771,'Threshold Summary'!$Y:$Y,'Threshold Summary'!$L:$L,""))/100)+5)*XLOOKUP(XLOOKUP($Q771,'Threshold Summary'!$Y:$Y,'Threshold Summary'!$M:$M,""),'Nature Editor'!$A:$A,'Nature Editor'!$B:$B,1)),FLOOR((FLOOR(((2*XLOOKUP(XLOOKUP($Q771,'Threshold Summary'!$Y:$Y,'Threshold Summary'!$K:$K,""),'Pokemon Editor'!$A:$A,'Pokemon Editor'!$H:$H,0)+31+FLOOR(XLOOKUP($Q771,'Threshold Summary'!$Y:$Y,'Threshold Summary'!$R:$R,"")/4))*XLOOKUP($Q771,'Threshold Summary'!$Y:$Y,'Threshold Summary'!$L:$L,""))/100)+5)*XLOOKUP(XLOOKUP($Q771,'Threshold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Editor'!$E:$E,1))),stab,IF(OR(mtype=XLOOKUP(XLOOKUP($Q771,'Threshold Summary'!$Y:$Y,'Threshold Summary'!$K:$K,""),'Pokemon Editor'!$A:$A,'Pokemon Editor'!$C:$C,""),mtype=XLOOKUP(XLOOKUP($Q771,'Threshold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Chart'!$B$1:$S$1,0)))),base,IF(OR(cat="Status",pow=0),0,FLOOR(FLOOR(FLOOR((2*XLOOKUP($Q771,'Threshold Summary'!$Y:$Y,'Threshold Summary'!$L:$L,"")/5+2)*pow*atk/def)/50)+2)),modifier,stab*eff,FLOOR(base*modifier)),0)</f>
        <v/>
      </c>
      <c r="L771" s="3">
        <f>IFERROR(LET(mtype,XLOOKUP($D771,'Move Editor'!$B:$B,'Move Editor'!$C:$C,""),cat,XLOOKUP($D771,'Move Editor'!$B:$B,'Move Editor'!$D:$D,""),pow,XLOOKUP($D771,'Move Editor'!$B:$B,'Move Editor'!$E:$E,0),acc,XLOOKUP($D771,'Move Editor'!$B:$B,'Move Editor'!$F:$F,100),atk,IF(cat="Physical",FLOOR((FLOOR(((2*XLOOKUP(XLOOKUP($Q771,'Threshold Summary'!$Y:$Y,'Threshold Summary'!$K:$K,""),'Pokemon Editor'!$A:$A,'Pokemon Editor'!$F:$F,0)+31+FLOOR(XLOOKUP($Q771,'Threshold Summary'!$Y:$Y,'Threshold Summary'!$P:$P,"")/4))*XLOOKUP($Q771,'Threshold Summary'!$Y:$Y,'Threshold Summary'!$L:$L,""))/100)+5)*XLOOKUP(XLOOKUP($Q771,'Threshold Summary'!$Y:$Y,'Threshold Summary'!$M:$M,""),'Nature Editor'!$A:$A,'Nature Editor'!$B:$B,1)),FLOOR((FLOOR(((2*XLOOKUP(XLOOKUP($Q771,'Threshold Summary'!$Y:$Y,'Threshold Summary'!$K:$K,""),'Pokemon Editor'!$A:$A,'Pokemon Editor'!$H:$H,0)+31+FLOOR(XLOOKUP($Q771,'Threshold Summary'!$Y:$Y,'Threshold Summary'!$R:$R,"")/4))*XLOOKUP($Q771,'Threshold Summary'!$Y:$Y,'Threshold Summary'!$L:$L,""))/100)+5)*XLOOKUP(XLOOKUP($Q771,'Threshold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Editor'!$E:$E,1))),stab,IF(OR(mtype=XLOOKUP(XLOOKUP($Q771,'Threshold Summary'!$Y:$Y,'Threshold Summary'!$K:$K,""),'Pokemon Editor'!$A:$A,'Pokemon Editor'!$C:$C,""),mtype=XLOOKUP(XLOOKUP($Q771,'Threshold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Chart'!$B$1:$S$1,0)))),base,IF(OR(cat="Status",pow=0),0,FLOOR(FLOOR(FLOOR((2*XLOOKUP($Q771,'Threshold Summary'!$Y:$Y,'Threshold Summary'!$L:$L,"")/5+2)*pow*atk/def)/50)+2)),modifier,stab*eff,AVERAGE(ARRAYFORMULA(FLOOR(base*modifier*SEQUENCE(16,1,85,1)/100)))),0)</f>
        <v/>
      </c>
      <c r="M771" s="3">
        <f>IFERROR(LET(mtype,XLOOKUP($D771,'Move Editor'!$B:$B,'Move Editor'!$C:$C,""),cat,XLOOKUP($D771,'Move Editor'!$B:$B,'Move Editor'!$D:$D,""),pow,XLOOKUP($D771,'Move Editor'!$B:$B,'Move Editor'!$E:$E,0),acc,XLOOKUP($D771,'Move Editor'!$B:$B,'Move Editor'!$F:$F,100),atk,IF(cat="Physical",FLOOR((FLOOR(((2*XLOOKUP(XLOOKUP($Q771,'Threshold Summary'!$Y:$Y,'Threshold Summary'!$K:$K,""),'Pokemon Editor'!$A:$A,'Pokemon Editor'!$F:$F,0)+31+FLOOR(XLOOKUP($Q771,'Threshold Summary'!$Y:$Y,'Threshold Summary'!$P:$P,"")/4))*XLOOKUP($Q771,'Threshold Summary'!$Y:$Y,'Threshold Summary'!$L:$L,""))/100)+5)*XLOOKUP(XLOOKUP($Q771,'Threshold Summary'!$Y:$Y,'Threshold Summary'!$M:$M,""),'Nature Editor'!$A:$A,'Nature Editor'!$B:$B,1)),FLOOR((FLOOR(((2*XLOOKUP(XLOOKUP($Q771,'Threshold Summary'!$Y:$Y,'Threshold Summary'!$K:$K,""),'Pokemon Editor'!$A:$A,'Pokemon Editor'!$H:$H,0)+31+FLOOR(XLOOKUP($Q771,'Threshold Summary'!$Y:$Y,'Threshold Summary'!$R:$R,"")/4))*XLOOKUP($Q771,'Threshold Summary'!$Y:$Y,'Threshold Summary'!$L:$L,""))/100)+5)*XLOOKUP(XLOOKUP($Q771,'Threshold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Editor'!$E:$E,1))),stab,IF(OR(mtype=XLOOKUP(XLOOKUP($Q771,'Threshold Summary'!$Y:$Y,'Threshold Summary'!$K:$K,""),'Pokemon Editor'!$A:$A,'Pokemon Editor'!$C:$C,""),mtype=XLOOKUP(XLOOKUP($Q771,'Threshold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Chart'!$B$1:$S$1,0)))),base,IF(OR(cat="Status",pow=0),0,FLOOR(FLOOR(FLOOR((2*XLOOKUP($Q771,'Threshold Summary'!$Y:$Y,'Threshold Summary'!$L:$L,"")/5+2)*pow*atk/def)/50)+2)),modifier,stab*eff,AVERAGE(ARRAYFORMULA(FLOOR(base*modifier*SEQUENCE(16,1,85,1)/100)))*MIN(1,acc/100)),0)</f>
        <v/>
      </c>
      <c r="N771" s="4">
        <f>IFERROR(LET(mtype,XLOOKUP($D771,'Move Editor'!$B:$B,'Move Editor'!$C:$C,""),cat,XLOOKUP($D771,'Move Editor'!$B:$B,'Move Editor'!$D:$D,""),pow,XLOOKUP($D771,'Move Editor'!$B:$B,'Move Editor'!$E:$E,0),acc,XLOOKUP($D771,'Move Editor'!$B:$B,'Move Editor'!$F:$F,100),atk,IF(cat="Physical",FLOOR((FLOOR(((2*XLOOKUP(XLOOKUP($Q771,'Threshold Summary'!$Y:$Y,'Threshold Summary'!$K:$K,""),'Pokemon Editor'!$A:$A,'Pokemon Editor'!$F:$F,0)+31+FLOOR(XLOOKUP($Q771,'Threshold Summary'!$Y:$Y,'Threshold Summary'!$P:$P,"")/4))*XLOOKUP($Q771,'Threshold Summary'!$Y:$Y,'Threshold Summary'!$L:$L,""))/100)+5)*XLOOKUP(XLOOKUP($Q771,'Threshold Summary'!$Y:$Y,'Threshold Summary'!$M:$M,""),'Nature Editor'!$A:$A,'Nature Editor'!$B:$B,1)),FLOOR((FLOOR(((2*XLOOKUP(XLOOKUP($Q771,'Threshold Summary'!$Y:$Y,'Threshold Summary'!$K:$K,""),'Pokemon Editor'!$A:$A,'Pokemon Editor'!$H:$H,0)+31+FLOOR(XLOOKUP($Q771,'Threshold Summary'!$Y:$Y,'Threshold Summary'!$R:$R,"")/4))*XLOOKUP($Q771,'Threshold Summary'!$Y:$Y,'Threshold Summary'!$L:$L,""))/100)+5)*XLOOKUP(XLOOKUP($Q771,'Threshold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Editor'!$E:$E,1))),stab,IF(OR(mtype=XLOOKUP(XLOOKUP($Q771,'Threshold Summary'!$Y:$Y,'Threshold Summary'!$K:$K,""),'Pokemon Editor'!$A:$A,'Pokemon Editor'!$C:$C,""),mtype=XLOOKUP(XLOOKUP($Q771,'Threshold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Chart'!$B$1:$S$1,0)))),base,IF(OR(cat="Status",pow=0),0,FLOOR(FLOOR(FLOOR((2*XLOOKUP($Q771,'Threshold Summary'!$Y:$Y,'Threshold Summary'!$L:$L,"")/5+2)*pow*atk/def)/50)+2)),modifier,stab*eff,AVERAGE(ARRAYFORMULA(FLOOR(base*modifier*SEQUENCE(16,1,85,1)/100)))/(FLOOR(((2*XLOOKUP('Boss Editor'!$C$4,'Pokemon Editor'!$A:$A,'Pokemon Editor'!$E:$E,0)+31+FLOOR('Boss Editor'!$G$4/4))*'Boss Editor'!$D$4)/100)+'Boss Editor'!$D$4+10)),0)</f>
        <v/>
      </c>
      <c r="O771" s="3">
        <f>IF(N771&gt;=1,"OHKO",IF(N771&gt;=0.5,"2HKO",IF(N771&gt;=0.333,"3HKO",IF(N771&gt;=0.25,"4HKO","5HKO+"))))</f>
        <v/>
      </c>
      <c r="P771" s="3" t="inlineStr">
        <is>
          <t>Live from editable databases</t>
        </is>
      </c>
      <c r="Q771" s="3" t="inlineStr">
        <is>
          <t>SPECIES_BOUNSWEET</t>
        </is>
      </c>
      <c r="R771" s="3" t="n">
        <v>2</v>
      </c>
    </row>
    <row r="772">
      <c r="A772" s="3">
        <f>XLOOKUP($Q772,'Threshold Summary'!$Y:$Y,'Threshold Summary'!$A:$A,"")</f>
        <v/>
      </c>
      <c r="B772" s="3">
        <f>XLOOKUP($Q772,'Threshold Summary'!$Y:$Y,'Threshold Summary'!$M:$M,"")</f>
        <v/>
      </c>
      <c r="C772" s="3">
        <f>XLOOKUP($Q772,'Threshold Summary'!$Y:$Y,'Threshold Summary'!$N:$N,"")</f>
        <v/>
      </c>
      <c r="D772" s="3">
        <f>IFERROR(INDEX(FILTER('Learnset Editor'!$D$2:$D,'Learnset Editor'!$A$2:$A=XLOOKUP($Q772,'Threshold Summary'!$Y:$Y,'Threshold Summary'!$K:$K,""),'Learnset Editor'!$C$2:$C&lt;=XLOOKUP($Q772,'Threshold Summary'!$Y:$Y,'Threshold Summary'!$L:$L,"")),$R772),"")</f>
        <v/>
      </c>
      <c r="E772" s="3">
        <f>XLOOKUP(D772,'Move Editor'!$B:$B,'Move Editor'!$C:$C,"")</f>
        <v/>
      </c>
      <c r="F772" s="3">
        <f>XLOOKUP(D772,'Move Editor'!$B:$B,'Move Editor'!$D:$D,"")</f>
        <v/>
      </c>
      <c r="G772" s="3">
        <f>XLOOKUP(D772,'Move Editor'!$B:$B,'Move Editor'!$E:$E,0)</f>
        <v/>
      </c>
      <c r="H772" s="3">
        <f>XLOOKUP(D772,'Move Editor'!$B:$B,'Move Editor'!$F:$F,0)</f>
        <v/>
      </c>
      <c r="I772" s="3">
        <f>(INDEX('Type Chart'!$B:$S,MATCH(E772,'Type Chart'!$A:$A,0),MATCH(XLOOKUP('Boss Editor'!$C$4,'Pokemon Editor'!$A:$A,'Pokemon Editor'!$C:$C,""),'Type Chart'!$B$1:$S$1,0))*IF(XLOOKUP('Boss Editor'!$C$4,'Pokemon Editor'!$A:$A,'Pokemon Editor'!$D:$D,"")="",1,INDEX('Type Chart'!$B:$S,MATCH(E772,'Type Chart'!$A:$A,0),MATCH(XLOOKUP('Boss Editor'!$C$4,'Pokemon Editor'!$A:$A,'Pokemon Editor'!$D:$D,""),'Type Chart'!$B$1:$S$1,0))))</f>
        <v/>
      </c>
      <c r="J772" s="3">
        <f>IFERROR(LET(mtype,XLOOKUP($D772,'Move Editor'!$B:$B,'Move Editor'!$C:$C,""),cat,XLOOKUP($D772,'Move Editor'!$B:$B,'Move Editor'!$D:$D,""),pow,XLOOKUP($D772,'Move Editor'!$B:$B,'Move Editor'!$E:$E,0),acc,XLOOKUP($D772,'Move Editor'!$B:$B,'Move Editor'!$F:$F,100),atk,IF(cat="Physical",FLOOR((FLOOR(((2*XLOOKUP(XLOOKUP($Q772,'Threshold Summary'!$Y:$Y,'Threshold Summary'!$K:$K,""),'Pokemon Editor'!$A:$A,'Pokemon Editor'!$F:$F,0)+31+FLOOR(XLOOKUP($Q772,'Threshold Summary'!$Y:$Y,'Threshold Summary'!$P:$P,"")/4))*XLOOKUP($Q772,'Threshold Summary'!$Y:$Y,'Threshold Summary'!$L:$L,""))/100)+5)*XLOOKUP(XLOOKUP($Q772,'Threshold Summary'!$Y:$Y,'Threshold Summary'!$M:$M,""),'Nature Editor'!$A:$A,'Nature Editor'!$B:$B,1)),FLOOR((FLOOR(((2*XLOOKUP(XLOOKUP($Q772,'Threshold Summary'!$Y:$Y,'Threshold Summary'!$K:$K,""),'Pokemon Editor'!$A:$A,'Pokemon Editor'!$H:$H,0)+31+FLOOR(XLOOKUP($Q772,'Threshold Summary'!$Y:$Y,'Threshold Summary'!$R:$R,"")/4))*XLOOKUP($Q772,'Threshold Summary'!$Y:$Y,'Threshold Summary'!$L:$L,""))/100)+5)*XLOOKUP(XLOOKUP($Q772,'Threshold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Editor'!$E:$E,1))),stab,IF(OR(mtype=XLOOKUP(XLOOKUP($Q772,'Threshold Summary'!$Y:$Y,'Threshold Summary'!$K:$K,""),'Pokemon Editor'!$A:$A,'Pokemon Editor'!$C:$C,""),mtype=XLOOKUP(XLOOKUP($Q772,'Threshold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Chart'!$B$1:$S$1,0)))),base,IF(OR(cat="Status",pow=0),0,FLOOR(FLOOR(FLOOR((2*XLOOKUP($Q772,'Threshold Summary'!$Y:$Y,'Threshold Summary'!$L:$L,"")/5+2)*pow*atk/def)/50)+2)),modifier,stab*eff,FLOOR(base*modifier*0.85)),0)</f>
        <v/>
      </c>
      <c r="K772" s="3">
        <f>IFERROR(LET(mtype,XLOOKUP($D772,'Move Editor'!$B:$B,'Move Editor'!$C:$C,""),cat,XLOOKUP($D772,'Move Editor'!$B:$B,'Move Editor'!$D:$D,""),pow,XLOOKUP($D772,'Move Editor'!$B:$B,'Move Editor'!$E:$E,0),acc,XLOOKUP($D772,'Move Editor'!$B:$B,'Move Editor'!$F:$F,100),atk,IF(cat="Physical",FLOOR((FLOOR(((2*XLOOKUP(XLOOKUP($Q772,'Threshold Summary'!$Y:$Y,'Threshold Summary'!$K:$K,""),'Pokemon Editor'!$A:$A,'Pokemon Editor'!$F:$F,0)+31+FLOOR(XLOOKUP($Q772,'Threshold Summary'!$Y:$Y,'Threshold Summary'!$P:$P,"")/4))*XLOOKUP($Q772,'Threshold Summary'!$Y:$Y,'Threshold Summary'!$L:$L,""))/100)+5)*XLOOKUP(XLOOKUP($Q772,'Threshold Summary'!$Y:$Y,'Threshold Summary'!$M:$M,""),'Nature Editor'!$A:$A,'Nature Editor'!$B:$B,1)),FLOOR((FLOOR(((2*XLOOKUP(XLOOKUP($Q772,'Threshold Summary'!$Y:$Y,'Threshold Summary'!$K:$K,""),'Pokemon Editor'!$A:$A,'Pokemon Editor'!$H:$H,0)+31+FLOOR(XLOOKUP($Q772,'Threshold Summary'!$Y:$Y,'Threshold Summary'!$R:$R,"")/4))*XLOOKUP($Q772,'Threshold Summary'!$Y:$Y,'Threshold Summary'!$L:$L,""))/100)+5)*XLOOKUP(XLOOKUP($Q772,'Threshold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Editor'!$E:$E,1))),stab,IF(OR(mtype=XLOOKUP(XLOOKUP($Q772,'Threshold Summary'!$Y:$Y,'Threshold Summary'!$K:$K,""),'Pokemon Editor'!$A:$A,'Pokemon Editor'!$C:$C,""),mtype=XLOOKUP(XLOOKUP($Q772,'Threshold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Chart'!$B$1:$S$1,0)))),base,IF(OR(cat="Status",pow=0),0,FLOOR(FLOOR(FLOOR((2*XLOOKUP($Q772,'Threshold Summary'!$Y:$Y,'Threshold Summary'!$L:$L,"")/5+2)*pow*atk/def)/50)+2)),modifier,stab*eff,FLOOR(base*modifier)),0)</f>
        <v/>
      </c>
      <c r="L772" s="3">
        <f>IFERROR(LET(mtype,XLOOKUP($D772,'Move Editor'!$B:$B,'Move Editor'!$C:$C,""),cat,XLOOKUP($D772,'Move Editor'!$B:$B,'Move Editor'!$D:$D,""),pow,XLOOKUP($D772,'Move Editor'!$B:$B,'Move Editor'!$E:$E,0),acc,XLOOKUP($D772,'Move Editor'!$B:$B,'Move Editor'!$F:$F,100),atk,IF(cat="Physical",FLOOR((FLOOR(((2*XLOOKUP(XLOOKUP($Q772,'Threshold Summary'!$Y:$Y,'Threshold Summary'!$K:$K,""),'Pokemon Editor'!$A:$A,'Pokemon Editor'!$F:$F,0)+31+FLOOR(XLOOKUP($Q772,'Threshold Summary'!$Y:$Y,'Threshold Summary'!$P:$P,"")/4))*XLOOKUP($Q772,'Threshold Summary'!$Y:$Y,'Threshold Summary'!$L:$L,""))/100)+5)*XLOOKUP(XLOOKUP($Q772,'Threshold Summary'!$Y:$Y,'Threshold Summary'!$M:$M,""),'Nature Editor'!$A:$A,'Nature Editor'!$B:$B,1)),FLOOR((FLOOR(((2*XLOOKUP(XLOOKUP($Q772,'Threshold Summary'!$Y:$Y,'Threshold Summary'!$K:$K,""),'Pokemon Editor'!$A:$A,'Pokemon Editor'!$H:$H,0)+31+FLOOR(XLOOKUP($Q772,'Threshold Summary'!$Y:$Y,'Threshold Summary'!$R:$R,"")/4))*XLOOKUP($Q772,'Threshold Summary'!$Y:$Y,'Threshold Summary'!$L:$L,""))/100)+5)*XLOOKUP(XLOOKUP($Q772,'Threshold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Editor'!$E:$E,1))),stab,IF(OR(mtype=XLOOKUP(XLOOKUP($Q772,'Threshold Summary'!$Y:$Y,'Threshold Summary'!$K:$K,""),'Pokemon Editor'!$A:$A,'Pokemon Editor'!$C:$C,""),mtype=XLOOKUP(XLOOKUP($Q772,'Threshold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Chart'!$B$1:$S$1,0)))),base,IF(OR(cat="Status",pow=0),0,FLOOR(FLOOR(FLOOR((2*XLOOKUP($Q772,'Threshold Summary'!$Y:$Y,'Threshold Summary'!$L:$L,"")/5+2)*pow*atk/def)/50)+2)),modifier,stab*eff,AVERAGE(ARRAYFORMULA(FLOOR(base*modifier*SEQUENCE(16,1,85,1)/100)))),0)</f>
        <v/>
      </c>
      <c r="M772" s="3">
        <f>IFERROR(LET(mtype,XLOOKUP($D772,'Move Editor'!$B:$B,'Move Editor'!$C:$C,""),cat,XLOOKUP($D772,'Move Editor'!$B:$B,'Move Editor'!$D:$D,""),pow,XLOOKUP($D772,'Move Editor'!$B:$B,'Move Editor'!$E:$E,0),acc,XLOOKUP($D772,'Move Editor'!$B:$B,'Move Editor'!$F:$F,100),atk,IF(cat="Physical",FLOOR((FLOOR(((2*XLOOKUP(XLOOKUP($Q772,'Threshold Summary'!$Y:$Y,'Threshold Summary'!$K:$K,""),'Pokemon Editor'!$A:$A,'Pokemon Editor'!$F:$F,0)+31+FLOOR(XLOOKUP($Q772,'Threshold Summary'!$Y:$Y,'Threshold Summary'!$P:$P,"")/4))*XLOOKUP($Q772,'Threshold Summary'!$Y:$Y,'Threshold Summary'!$L:$L,""))/100)+5)*XLOOKUP(XLOOKUP($Q772,'Threshold Summary'!$Y:$Y,'Threshold Summary'!$M:$M,""),'Nature Editor'!$A:$A,'Nature Editor'!$B:$B,1)),FLOOR((FLOOR(((2*XLOOKUP(XLOOKUP($Q772,'Threshold Summary'!$Y:$Y,'Threshold Summary'!$K:$K,""),'Pokemon Editor'!$A:$A,'Pokemon Editor'!$H:$H,0)+31+FLOOR(XLOOKUP($Q772,'Threshold Summary'!$Y:$Y,'Threshold Summary'!$R:$R,"")/4))*XLOOKUP($Q772,'Threshold Summary'!$Y:$Y,'Threshold Summary'!$L:$L,""))/100)+5)*XLOOKUP(XLOOKUP($Q772,'Threshold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Editor'!$E:$E,1))),stab,IF(OR(mtype=XLOOKUP(XLOOKUP($Q772,'Threshold Summary'!$Y:$Y,'Threshold Summary'!$K:$K,""),'Pokemon Editor'!$A:$A,'Pokemon Editor'!$C:$C,""),mtype=XLOOKUP(XLOOKUP($Q772,'Threshold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Chart'!$B$1:$S$1,0)))),base,IF(OR(cat="Status",pow=0),0,FLOOR(FLOOR(FLOOR((2*XLOOKUP($Q772,'Threshold Summary'!$Y:$Y,'Threshold Summary'!$L:$L,"")/5+2)*pow*atk/def)/50)+2)),modifier,stab*eff,AVERAGE(ARRAYFORMULA(FLOOR(base*modifier*SEQUENCE(16,1,85,1)/100)))*MIN(1,acc/100)),0)</f>
        <v/>
      </c>
      <c r="N772" s="4">
        <f>IFERROR(LET(mtype,XLOOKUP($D772,'Move Editor'!$B:$B,'Move Editor'!$C:$C,""),cat,XLOOKUP($D772,'Move Editor'!$B:$B,'Move Editor'!$D:$D,""),pow,XLOOKUP($D772,'Move Editor'!$B:$B,'Move Editor'!$E:$E,0),acc,XLOOKUP($D772,'Move Editor'!$B:$B,'Move Editor'!$F:$F,100),atk,IF(cat="Physical",FLOOR((FLOOR(((2*XLOOKUP(XLOOKUP($Q772,'Threshold Summary'!$Y:$Y,'Threshold Summary'!$K:$K,""),'Pokemon Editor'!$A:$A,'Pokemon Editor'!$F:$F,0)+31+FLOOR(XLOOKUP($Q772,'Threshold Summary'!$Y:$Y,'Threshold Summary'!$P:$P,"")/4))*XLOOKUP($Q772,'Threshold Summary'!$Y:$Y,'Threshold Summary'!$L:$L,""))/100)+5)*XLOOKUP(XLOOKUP($Q772,'Threshold Summary'!$Y:$Y,'Threshold Summary'!$M:$M,""),'Nature Editor'!$A:$A,'Nature Editor'!$B:$B,1)),FLOOR((FLOOR(((2*XLOOKUP(XLOOKUP($Q772,'Threshold Summary'!$Y:$Y,'Threshold Summary'!$K:$K,""),'Pokemon Editor'!$A:$A,'Pokemon Editor'!$H:$H,0)+31+FLOOR(XLOOKUP($Q772,'Threshold Summary'!$Y:$Y,'Threshold Summary'!$R:$R,"")/4))*XLOOKUP($Q772,'Threshold Summary'!$Y:$Y,'Threshold Summary'!$L:$L,""))/100)+5)*XLOOKUP(XLOOKUP($Q772,'Threshold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Editor'!$E:$E,1))),stab,IF(OR(mtype=XLOOKUP(XLOOKUP($Q772,'Threshold Summary'!$Y:$Y,'Threshold Summary'!$K:$K,""),'Pokemon Editor'!$A:$A,'Pokemon Editor'!$C:$C,""),mtype=XLOOKUP(XLOOKUP($Q772,'Threshold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Chart'!$B$1:$S$1,0)))),base,IF(OR(cat="Status",pow=0),0,FLOOR(FLOOR(FLOOR((2*XLOOKUP($Q772,'Threshold Summary'!$Y:$Y,'Threshold Summary'!$L:$L,"")/5+2)*pow*atk/def)/50)+2)),modifier,stab*eff,AVERAGE(ARRAYFORMULA(FLOOR(base*modifier*SEQUENCE(16,1,85,1)/100)))/(FLOOR(((2*XLOOKUP('Boss Editor'!$C$4,'Pokemon Editor'!$A:$A,'Pokemon Editor'!$E:$E,0)+31+FLOOR('Boss Editor'!$G$4/4))*'Boss Editor'!$D$4)/100)+'Boss Editor'!$D$4+10)),0)</f>
        <v/>
      </c>
      <c r="O772" s="3">
        <f>IF(N772&gt;=1,"OHKO",IF(N772&gt;=0.5,"2HKO",IF(N772&gt;=0.333,"3HKO",IF(N772&gt;=0.25,"4HKO","5HKO+"))))</f>
        <v/>
      </c>
      <c r="P772" s="3" t="inlineStr">
        <is>
          <t>Live from editable databases</t>
        </is>
      </c>
      <c r="Q772" s="3" t="inlineStr">
        <is>
          <t>SPECIES_BOUNSWEET</t>
        </is>
      </c>
      <c r="R772" s="3" t="n">
        <v>3</v>
      </c>
    </row>
    <row r="773">
      <c r="A773" s="3">
        <f>XLOOKUP($Q773,'Threshold Summary'!$Y:$Y,'Threshold Summary'!$A:$A,"")</f>
        <v/>
      </c>
      <c r="B773" s="3">
        <f>XLOOKUP($Q773,'Threshold Summary'!$Y:$Y,'Threshold Summary'!$M:$M,"")</f>
        <v/>
      </c>
      <c r="C773" s="3">
        <f>XLOOKUP($Q773,'Threshold Summary'!$Y:$Y,'Threshold Summary'!$N:$N,"")</f>
        <v/>
      </c>
      <c r="D773" s="3">
        <f>IFERROR(INDEX(FILTER('Learnset Editor'!$D$2:$D,'Learnset Editor'!$A$2:$A=XLOOKUP($Q773,'Threshold Summary'!$Y:$Y,'Threshold Summary'!$K:$K,""),'Learnset Editor'!$C$2:$C&lt;=XLOOKUP($Q773,'Threshold Summary'!$Y:$Y,'Threshold Summary'!$L:$L,"")),$R773),"")</f>
        <v/>
      </c>
      <c r="E773" s="3">
        <f>XLOOKUP(D773,'Move Editor'!$B:$B,'Move Editor'!$C:$C,"")</f>
        <v/>
      </c>
      <c r="F773" s="3">
        <f>XLOOKUP(D773,'Move Editor'!$B:$B,'Move Editor'!$D:$D,"")</f>
        <v/>
      </c>
      <c r="G773" s="3">
        <f>XLOOKUP(D773,'Move Editor'!$B:$B,'Move Editor'!$E:$E,0)</f>
        <v/>
      </c>
      <c r="H773" s="3">
        <f>XLOOKUP(D773,'Move Editor'!$B:$B,'Move Editor'!$F:$F,0)</f>
        <v/>
      </c>
      <c r="I773" s="3">
        <f>(INDEX('Type Chart'!$B:$S,MATCH(E773,'Type Chart'!$A:$A,0),MATCH(XLOOKUP('Boss Editor'!$C$4,'Pokemon Editor'!$A:$A,'Pokemon Editor'!$C:$C,""),'Type Chart'!$B$1:$S$1,0))*IF(XLOOKUP('Boss Editor'!$C$4,'Pokemon Editor'!$A:$A,'Pokemon Editor'!$D:$D,"")="",1,INDEX('Type Chart'!$B:$S,MATCH(E773,'Type Chart'!$A:$A,0),MATCH(XLOOKUP('Boss Editor'!$C$4,'Pokemon Editor'!$A:$A,'Pokemon Editor'!$D:$D,""),'Type Chart'!$B$1:$S$1,0))))</f>
        <v/>
      </c>
      <c r="J773" s="3">
        <f>IFERROR(LET(mtype,XLOOKUP($D773,'Move Editor'!$B:$B,'Move Editor'!$C:$C,""),cat,XLOOKUP($D773,'Move Editor'!$B:$B,'Move Editor'!$D:$D,""),pow,XLOOKUP($D773,'Move Editor'!$B:$B,'Move Editor'!$E:$E,0),acc,XLOOKUP($D773,'Move Editor'!$B:$B,'Move Editor'!$F:$F,100),atk,IF(cat="Physical",FLOOR((FLOOR(((2*XLOOKUP(XLOOKUP($Q773,'Threshold Summary'!$Y:$Y,'Threshold Summary'!$K:$K,""),'Pokemon Editor'!$A:$A,'Pokemon Editor'!$F:$F,0)+31+FLOOR(XLOOKUP($Q773,'Threshold Summary'!$Y:$Y,'Threshold Summary'!$P:$P,"")/4))*XLOOKUP($Q773,'Threshold Summary'!$Y:$Y,'Threshold Summary'!$L:$L,""))/100)+5)*XLOOKUP(XLOOKUP($Q773,'Threshold Summary'!$Y:$Y,'Threshold Summary'!$M:$M,""),'Nature Editor'!$A:$A,'Nature Editor'!$B:$B,1)),FLOOR((FLOOR(((2*XLOOKUP(XLOOKUP($Q773,'Threshold Summary'!$Y:$Y,'Threshold Summary'!$K:$K,""),'Pokemon Editor'!$A:$A,'Pokemon Editor'!$H:$H,0)+31+FLOOR(XLOOKUP($Q773,'Threshold Summary'!$Y:$Y,'Threshold Summary'!$R:$R,"")/4))*XLOOKUP($Q773,'Threshold Summary'!$Y:$Y,'Threshold Summary'!$L:$L,""))/100)+5)*XLOOKUP(XLOOKUP($Q773,'Threshold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Editor'!$E:$E,1))),stab,IF(OR(mtype=XLOOKUP(XLOOKUP($Q773,'Threshold Summary'!$Y:$Y,'Threshold Summary'!$K:$K,""),'Pokemon Editor'!$A:$A,'Pokemon Editor'!$C:$C,""),mtype=XLOOKUP(XLOOKUP($Q773,'Threshold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Chart'!$B$1:$S$1,0)))),base,IF(OR(cat="Status",pow=0),0,FLOOR(FLOOR(FLOOR((2*XLOOKUP($Q773,'Threshold Summary'!$Y:$Y,'Threshold Summary'!$L:$L,"")/5+2)*pow*atk/def)/50)+2)),modifier,stab*eff,FLOOR(base*modifier*0.85)),0)</f>
        <v/>
      </c>
      <c r="K773" s="3">
        <f>IFERROR(LET(mtype,XLOOKUP($D773,'Move Editor'!$B:$B,'Move Editor'!$C:$C,""),cat,XLOOKUP($D773,'Move Editor'!$B:$B,'Move Editor'!$D:$D,""),pow,XLOOKUP($D773,'Move Editor'!$B:$B,'Move Editor'!$E:$E,0),acc,XLOOKUP($D773,'Move Editor'!$B:$B,'Move Editor'!$F:$F,100),atk,IF(cat="Physical",FLOOR((FLOOR(((2*XLOOKUP(XLOOKUP($Q773,'Threshold Summary'!$Y:$Y,'Threshold Summary'!$K:$K,""),'Pokemon Editor'!$A:$A,'Pokemon Editor'!$F:$F,0)+31+FLOOR(XLOOKUP($Q773,'Threshold Summary'!$Y:$Y,'Threshold Summary'!$P:$P,"")/4))*XLOOKUP($Q773,'Threshold Summary'!$Y:$Y,'Threshold Summary'!$L:$L,""))/100)+5)*XLOOKUP(XLOOKUP($Q773,'Threshold Summary'!$Y:$Y,'Threshold Summary'!$M:$M,""),'Nature Editor'!$A:$A,'Nature Editor'!$B:$B,1)),FLOOR((FLOOR(((2*XLOOKUP(XLOOKUP($Q773,'Threshold Summary'!$Y:$Y,'Threshold Summary'!$K:$K,""),'Pokemon Editor'!$A:$A,'Pokemon Editor'!$H:$H,0)+31+FLOOR(XLOOKUP($Q773,'Threshold Summary'!$Y:$Y,'Threshold Summary'!$R:$R,"")/4))*XLOOKUP($Q773,'Threshold Summary'!$Y:$Y,'Threshold Summary'!$L:$L,""))/100)+5)*XLOOKUP(XLOOKUP($Q773,'Threshold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Editor'!$E:$E,1))),stab,IF(OR(mtype=XLOOKUP(XLOOKUP($Q773,'Threshold Summary'!$Y:$Y,'Threshold Summary'!$K:$K,""),'Pokemon Editor'!$A:$A,'Pokemon Editor'!$C:$C,""),mtype=XLOOKUP(XLOOKUP($Q773,'Threshold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Chart'!$B$1:$S$1,0)))),base,IF(OR(cat="Status",pow=0),0,FLOOR(FLOOR(FLOOR((2*XLOOKUP($Q773,'Threshold Summary'!$Y:$Y,'Threshold Summary'!$L:$L,"")/5+2)*pow*atk/def)/50)+2)),modifier,stab*eff,FLOOR(base*modifier)),0)</f>
        <v/>
      </c>
      <c r="L773" s="3">
        <f>IFERROR(LET(mtype,XLOOKUP($D773,'Move Editor'!$B:$B,'Move Editor'!$C:$C,""),cat,XLOOKUP($D773,'Move Editor'!$B:$B,'Move Editor'!$D:$D,""),pow,XLOOKUP($D773,'Move Editor'!$B:$B,'Move Editor'!$E:$E,0),acc,XLOOKUP($D773,'Move Editor'!$B:$B,'Move Editor'!$F:$F,100),atk,IF(cat="Physical",FLOOR((FLOOR(((2*XLOOKUP(XLOOKUP($Q773,'Threshold Summary'!$Y:$Y,'Threshold Summary'!$K:$K,""),'Pokemon Editor'!$A:$A,'Pokemon Editor'!$F:$F,0)+31+FLOOR(XLOOKUP($Q773,'Threshold Summary'!$Y:$Y,'Threshold Summary'!$P:$P,"")/4))*XLOOKUP($Q773,'Threshold Summary'!$Y:$Y,'Threshold Summary'!$L:$L,""))/100)+5)*XLOOKUP(XLOOKUP($Q773,'Threshold Summary'!$Y:$Y,'Threshold Summary'!$M:$M,""),'Nature Editor'!$A:$A,'Nature Editor'!$B:$B,1)),FLOOR((FLOOR(((2*XLOOKUP(XLOOKUP($Q773,'Threshold Summary'!$Y:$Y,'Threshold Summary'!$K:$K,""),'Pokemon Editor'!$A:$A,'Pokemon Editor'!$H:$H,0)+31+FLOOR(XLOOKUP($Q773,'Threshold Summary'!$Y:$Y,'Threshold Summary'!$R:$R,"")/4))*XLOOKUP($Q773,'Threshold Summary'!$Y:$Y,'Threshold Summary'!$L:$L,""))/100)+5)*XLOOKUP(XLOOKUP($Q773,'Threshold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Editor'!$E:$E,1))),stab,IF(OR(mtype=XLOOKUP(XLOOKUP($Q773,'Threshold Summary'!$Y:$Y,'Threshold Summary'!$K:$K,""),'Pokemon Editor'!$A:$A,'Pokemon Editor'!$C:$C,""),mtype=XLOOKUP(XLOOKUP($Q773,'Threshold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Chart'!$B$1:$S$1,0)))),base,IF(OR(cat="Status",pow=0),0,FLOOR(FLOOR(FLOOR((2*XLOOKUP($Q773,'Threshold Summary'!$Y:$Y,'Threshold Summary'!$L:$L,"")/5+2)*pow*atk/def)/50)+2)),modifier,stab*eff,AVERAGE(ARRAYFORMULA(FLOOR(base*modifier*SEQUENCE(16,1,85,1)/100)))),0)</f>
        <v/>
      </c>
      <c r="M773" s="3">
        <f>IFERROR(LET(mtype,XLOOKUP($D773,'Move Editor'!$B:$B,'Move Editor'!$C:$C,""),cat,XLOOKUP($D773,'Move Editor'!$B:$B,'Move Editor'!$D:$D,""),pow,XLOOKUP($D773,'Move Editor'!$B:$B,'Move Editor'!$E:$E,0),acc,XLOOKUP($D773,'Move Editor'!$B:$B,'Move Editor'!$F:$F,100),atk,IF(cat="Physical",FLOOR((FLOOR(((2*XLOOKUP(XLOOKUP($Q773,'Threshold Summary'!$Y:$Y,'Threshold Summary'!$K:$K,""),'Pokemon Editor'!$A:$A,'Pokemon Editor'!$F:$F,0)+31+FLOOR(XLOOKUP($Q773,'Threshold Summary'!$Y:$Y,'Threshold Summary'!$P:$P,"")/4))*XLOOKUP($Q773,'Threshold Summary'!$Y:$Y,'Threshold Summary'!$L:$L,""))/100)+5)*XLOOKUP(XLOOKUP($Q773,'Threshold Summary'!$Y:$Y,'Threshold Summary'!$M:$M,""),'Nature Editor'!$A:$A,'Nature Editor'!$B:$B,1)),FLOOR((FLOOR(((2*XLOOKUP(XLOOKUP($Q773,'Threshold Summary'!$Y:$Y,'Threshold Summary'!$K:$K,""),'Pokemon Editor'!$A:$A,'Pokemon Editor'!$H:$H,0)+31+FLOOR(XLOOKUP($Q773,'Threshold Summary'!$Y:$Y,'Threshold Summary'!$R:$R,"")/4))*XLOOKUP($Q773,'Threshold Summary'!$Y:$Y,'Threshold Summary'!$L:$L,""))/100)+5)*XLOOKUP(XLOOKUP($Q773,'Threshold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Editor'!$E:$E,1))),stab,IF(OR(mtype=XLOOKUP(XLOOKUP($Q773,'Threshold Summary'!$Y:$Y,'Threshold Summary'!$K:$K,""),'Pokemon Editor'!$A:$A,'Pokemon Editor'!$C:$C,""),mtype=XLOOKUP(XLOOKUP($Q773,'Threshold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Chart'!$B$1:$S$1,0)))),base,IF(OR(cat="Status",pow=0),0,FLOOR(FLOOR(FLOOR((2*XLOOKUP($Q773,'Threshold Summary'!$Y:$Y,'Threshold Summary'!$L:$L,"")/5+2)*pow*atk/def)/50)+2)),modifier,stab*eff,AVERAGE(ARRAYFORMULA(FLOOR(base*modifier*SEQUENCE(16,1,85,1)/100)))*MIN(1,acc/100)),0)</f>
        <v/>
      </c>
      <c r="N773" s="4">
        <f>IFERROR(LET(mtype,XLOOKUP($D773,'Move Editor'!$B:$B,'Move Editor'!$C:$C,""),cat,XLOOKUP($D773,'Move Editor'!$B:$B,'Move Editor'!$D:$D,""),pow,XLOOKUP($D773,'Move Editor'!$B:$B,'Move Editor'!$E:$E,0),acc,XLOOKUP($D773,'Move Editor'!$B:$B,'Move Editor'!$F:$F,100),atk,IF(cat="Physical",FLOOR((FLOOR(((2*XLOOKUP(XLOOKUP($Q773,'Threshold Summary'!$Y:$Y,'Threshold Summary'!$K:$K,""),'Pokemon Editor'!$A:$A,'Pokemon Editor'!$F:$F,0)+31+FLOOR(XLOOKUP($Q773,'Threshold Summary'!$Y:$Y,'Threshold Summary'!$P:$P,"")/4))*XLOOKUP($Q773,'Threshold Summary'!$Y:$Y,'Threshold Summary'!$L:$L,""))/100)+5)*XLOOKUP(XLOOKUP($Q773,'Threshold Summary'!$Y:$Y,'Threshold Summary'!$M:$M,""),'Nature Editor'!$A:$A,'Nature Editor'!$B:$B,1)),FLOOR((FLOOR(((2*XLOOKUP(XLOOKUP($Q773,'Threshold Summary'!$Y:$Y,'Threshold Summary'!$K:$K,""),'Pokemon Editor'!$A:$A,'Pokemon Editor'!$H:$H,0)+31+FLOOR(XLOOKUP($Q773,'Threshold Summary'!$Y:$Y,'Threshold Summary'!$R:$R,"")/4))*XLOOKUP($Q773,'Threshold Summary'!$Y:$Y,'Threshold Summary'!$L:$L,""))/100)+5)*XLOOKUP(XLOOKUP($Q773,'Threshold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Editor'!$E:$E,1))),stab,IF(OR(mtype=XLOOKUP(XLOOKUP($Q773,'Threshold Summary'!$Y:$Y,'Threshold Summary'!$K:$K,""),'Pokemon Editor'!$A:$A,'Pokemon Editor'!$C:$C,""),mtype=XLOOKUP(XLOOKUP($Q773,'Threshold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Chart'!$B$1:$S$1,0)))),base,IF(OR(cat="Status",pow=0),0,FLOOR(FLOOR(FLOOR((2*XLOOKUP($Q773,'Threshold Summary'!$Y:$Y,'Threshold Summary'!$L:$L,"")/5+2)*pow*atk/def)/50)+2)),modifier,stab*eff,AVERAGE(ARRAYFORMULA(FLOOR(base*modifier*SEQUENCE(16,1,85,1)/100)))/(FLOOR(((2*XLOOKUP('Boss Editor'!$C$4,'Pokemon Editor'!$A:$A,'Pokemon Editor'!$E:$E,0)+31+FLOOR('Boss Editor'!$G$4/4))*'Boss Editor'!$D$4)/100)+'Boss Editor'!$D$4+10)),0)</f>
        <v/>
      </c>
      <c r="O773" s="3">
        <f>IF(N773&gt;=1,"OHKO",IF(N773&gt;=0.5,"2HKO",IF(N773&gt;=0.333,"3HKO",IF(N773&gt;=0.25,"4HKO","5HKO+"))))</f>
        <v/>
      </c>
      <c r="P773" s="3" t="inlineStr">
        <is>
          <t>Live from editable databases</t>
        </is>
      </c>
      <c r="Q773" s="3" t="inlineStr">
        <is>
          <t>SPECIES_BOUNSWEET</t>
        </is>
      </c>
      <c r="R773" s="3" t="n">
        <v>4</v>
      </c>
    </row>
    <row r="774">
      <c r="A774" s="3">
        <f>XLOOKUP($Q774,'Threshold Summary'!$Y:$Y,'Threshold Summary'!$A:$A,"")</f>
        <v/>
      </c>
      <c r="B774" s="3">
        <f>XLOOKUP($Q774,'Threshold Summary'!$Y:$Y,'Threshold Summary'!$M:$M,"")</f>
        <v/>
      </c>
      <c r="C774" s="3">
        <f>XLOOKUP($Q774,'Threshold Summary'!$Y:$Y,'Threshold Summary'!$N:$N,"")</f>
        <v/>
      </c>
      <c r="D774" s="3">
        <f>IFERROR(INDEX(FILTER('Learnset Editor'!$D$2:$D,'Learnset Editor'!$A$2:$A=XLOOKUP($Q774,'Threshold Summary'!$Y:$Y,'Threshold Summary'!$K:$K,""),'Learnset Editor'!$C$2:$C&lt;=XLOOKUP($Q774,'Threshold Summary'!$Y:$Y,'Threshold Summary'!$L:$L,"")),$R774),"")</f>
        <v/>
      </c>
      <c r="E774" s="3">
        <f>XLOOKUP(D774,'Move Editor'!$B:$B,'Move Editor'!$C:$C,"")</f>
        <v/>
      </c>
      <c r="F774" s="3">
        <f>XLOOKUP(D774,'Move Editor'!$B:$B,'Move Editor'!$D:$D,"")</f>
        <v/>
      </c>
      <c r="G774" s="3">
        <f>XLOOKUP(D774,'Move Editor'!$B:$B,'Move Editor'!$E:$E,0)</f>
        <v/>
      </c>
      <c r="H774" s="3">
        <f>XLOOKUP(D774,'Move Editor'!$B:$B,'Move Editor'!$F:$F,0)</f>
        <v/>
      </c>
      <c r="I774" s="3">
        <f>(INDEX('Type Chart'!$B:$S,MATCH(E774,'Type Chart'!$A:$A,0),MATCH(XLOOKUP('Boss Editor'!$C$4,'Pokemon Editor'!$A:$A,'Pokemon Editor'!$C:$C,""),'Type Chart'!$B$1:$S$1,0))*IF(XLOOKUP('Boss Editor'!$C$4,'Pokemon Editor'!$A:$A,'Pokemon Editor'!$D:$D,"")="",1,INDEX('Type Chart'!$B:$S,MATCH(E774,'Type Chart'!$A:$A,0),MATCH(XLOOKUP('Boss Editor'!$C$4,'Pokemon Editor'!$A:$A,'Pokemon Editor'!$D:$D,""),'Type Chart'!$B$1:$S$1,0))))</f>
        <v/>
      </c>
      <c r="J774" s="3">
        <f>IFERROR(LET(mtype,XLOOKUP($D774,'Move Editor'!$B:$B,'Move Editor'!$C:$C,""),cat,XLOOKUP($D774,'Move Editor'!$B:$B,'Move Editor'!$D:$D,""),pow,XLOOKUP($D774,'Move Editor'!$B:$B,'Move Editor'!$E:$E,0),acc,XLOOKUP($D774,'Move Editor'!$B:$B,'Move Editor'!$F:$F,100),atk,IF(cat="Physical",FLOOR((FLOOR(((2*XLOOKUP(XLOOKUP($Q774,'Threshold Summary'!$Y:$Y,'Threshold Summary'!$K:$K,""),'Pokemon Editor'!$A:$A,'Pokemon Editor'!$F:$F,0)+31+FLOOR(XLOOKUP($Q774,'Threshold Summary'!$Y:$Y,'Threshold Summary'!$P:$P,"")/4))*XLOOKUP($Q774,'Threshold Summary'!$Y:$Y,'Threshold Summary'!$L:$L,""))/100)+5)*XLOOKUP(XLOOKUP($Q774,'Threshold Summary'!$Y:$Y,'Threshold Summary'!$M:$M,""),'Nature Editor'!$A:$A,'Nature Editor'!$B:$B,1)),FLOOR((FLOOR(((2*XLOOKUP(XLOOKUP($Q774,'Threshold Summary'!$Y:$Y,'Threshold Summary'!$K:$K,""),'Pokemon Editor'!$A:$A,'Pokemon Editor'!$H:$H,0)+31+FLOOR(XLOOKUP($Q774,'Threshold Summary'!$Y:$Y,'Threshold Summary'!$R:$R,"")/4))*XLOOKUP($Q774,'Threshold Summary'!$Y:$Y,'Threshold Summary'!$L:$L,""))/100)+5)*XLOOKUP(XLOOKUP($Q774,'Threshold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Editor'!$E:$E,1))),stab,IF(OR(mtype=XLOOKUP(XLOOKUP($Q774,'Threshold Summary'!$Y:$Y,'Threshold Summary'!$K:$K,""),'Pokemon Editor'!$A:$A,'Pokemon Editor'!$C:$C,""),mtype=XLOOKUP(XLOOKUP($Q774,'Threshold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Chart'!$B$1:$S$1,0)))),base,IF(OR(cat="Status",pow=0),0,FLOOR(FLOOR(FLOOR((2*XLOOKUP($Q774,'Threshold Summary'!$Y:$Y,'Threshold Summary'!$L:$L,"")/5+2)*pow*atk/def)/50)+2)),modifier,stab*eff,FLOOR(base*modifier*0.85)),0)</f>
        <v/>
      </c>
      <c r="K774" s="3">
        <f>IFERROR(LET(mtype,XLOOKUP($D774,'Move Editor'!$B:$B,'Move Editor'!$C:$C,""),cat,XLOOKUP($D774,'Move Editor'!$B:$B,'Move Editor'!$D:$D,""),pow,XLOOKUP($D774,'Move Editor'!$B:$B,'Move Editor'!$E:$E,0),acc,XLOOKUP($D774,'Move Editor'!$B:$B,'Move Editor'!$F:$F,100),atk,IF(cat="Physical",FLOOR((FLOOR(((2*XLOOKUP(XLOOKUP($Q774,'Threshold Summary'!$Y:$Y,'Threshold Summary'!$K:$K,""),'Pokemon Editor'!$A:$A,'Pokemon Editor'!$F:$F,0)+31+FLOOR(XLOOKUP($Q774,'Threshold Summary'!$Y:$Y,'Threshold Summary'!$P:$P,"")/4))*XLOOKUP($Q774,'Threshold Summary'!$Y:$Y,'Threshold Summary'!$L:$L,""))/100)+5)*XLOOKUP(XLOOKUP($Q774,'Threshold Summary'!$Y:$Y,'Threshold Summary'!$M:$M,""),'Nature Editor'!$A:$A,'Nature Editor'!$B:$B,1)),FLOOR((FLOOR(((2*XLOOKUP(XLOOKUP($Q774,'Threshold Summary'!$Y:$Y,'Threshold Summary'!$K:$K,""),'Pokemon Editor'!$A:$A,'Pokemon Editor'!$H:$H,0)+31+FLOOR(XLOOKUP($Q774,'Threshold Summary'!$Y:$Y,'Threshold Summary'!$R:$R,"")/4))*XLOOKUP($Q774,'Threshold Summary'!$Y:$Y,'Threshold Summary'!$L:$L,""))/100)+5)*XLOOKUP(XLOOKUP($Q774,'Threshold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Editor'!$E:$E,1))),stab,IF(OR(mtype=XLOOKUP(XLOOKUP($Q774,'Threshold Summary'!$Y:$Y,'Threshold Summary'!$K:$K,""),'Pokemon Editor'!$A:$A,'Pokemon Editor'!$C:$C,""),mtype=XLOOKUP(XLOOKUP($Q774,'Threshold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Chart'!$B$1:$S$1,0)))),base,IF(OR(cat="Status",pow=0),0,FLOOR(FLOOR(FLOOR((2*XLOOKUP($Q774,'Threshold Summary'!$Y:$Y,'Threshold Summary'!$L:$L,"")/5+2)*pow*atk/def)/50)+2)),modifier,stab*eff,FLOOR(base*modifier)),0)</f>
        <v/>
      </c>
      <c r="L774" s="3">
        <f>IFERROR(LET(mtype,XLOOKUP($D774,'Move Editor'!$B:$B,'Move Editor'!$C:$C,""),cat,XLOOKUP($D774,'Move Editor'!$B:$B,'Move Editor'!$D:$D,""),pow,XLOOKUP($D774,'Move Editor'!$B:$B,'Move Editor'!$E:$E,0),acc,XLOOKUP($D774,'Move Editor'!$B:$B,'Move Editor'!$F:$F,100),atk,IF(cat="Physical",FLOOR((FLOOR(((2*XLOOKUP(XLOOKUP($Q774,'Threshold Summary'!$Y:$Y,'Threshold Summary'!$K:$K,""),'Pokemon Editor'!$A:$A,'Pokemon Editor'!$F:$F,0)+31+FLOOR(XLOOKUP($Q774,'Threshold Summary'!$Y:$Y,'Threshold Summary'!$P:$P,"")/4))*XLOOKUP($Q774,'Threshold Summary'!$Y:$Y,'Threshold Summary'!$L:$L,""))/100)+5)*XLOOKUP(XLOOKUP($Q774,'Threshold Summary'!$Y:$Y,'Threshold Summary'!$M:$M,""),'Nature Editor'!$A:$A,'Nature Editor'!$B:$B,1)),FLOOR((FLOOR(((2*XLOOKUP(XLOOKUP($Q774,'Threshold Summary'!$Y:$Y,'Threshold Summary'!$K:$K,""),'Pokemon Editor'!$A:$A,'Pokemon Editor'!$H:$H,0)+31+FLOOR(XLOOKUP($Q774,'Threshold Summary'!$Y:$Y,'Threshold Summary'!$R:$R,"")/4))*XLOOKUP($Q774,'Threshold Summary'!$Y:$Y,'Threshold Summary'!$L:$L,""))/100)+5)*XLOOKUP(XLOOKUP($Q774,'Threshold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Editor'!$E:$E,1))),stab,IF(OR(mtype=XLOOKUP(XLOOKUP($Q774,'Threshold Summary'!$Y:$Y,'Threshold Summary'!$K:$K,""),'Pokemon Editor'!$A:$A,'Pokemon Editor'!$C:$C,""),mtype=XLOOKUP(XLOOKUP($Q774,'Threshold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Chart'!$B$1:$S$1,0)))),base,IF(OR(cat="Status",pow=0),0,FLOOR(FLOOR(FLOOR((2*XLOOKUP($Q774,'Threshold Summary'!$Y:$Y,'Threshold Summary'!$L:$L,"")/5+2)*pow*atk/def)/50)+2)),modifier,stab*eff,AVERAGE(ARRAYFORMULA(FLOOR(base*modifier*SEQUENCE(16,1,85,1)/100)))),0)</f>
        <v/>
      </c>
      <c r="M774" s="3">
        <f>IFERROR(LET(mtype,XLOOKUP($D774,'Move Editor'!$B:$B,'Move Editor'!$C:$C,""),cat,XLOOKUP($D774,'Move Editor'!$B:$B,'Move Editor'!$D:$D,""),pow,XLOOKUP($D774,'Move Editor'!$B:$B,'Move Editor'!$E:$E,0),acc,XLOOKUP($D774,'Move Editor'!$B:$B,'Move Editor'!$F:$F,100),atk,IF(cat="Physical",FLOOR((FLOOR(((2*XLOOKUP(XLOOKUP($Q774,'Threshold Summary'!$Y:$Y,'Threshold Summary'!$K:$K,""),'Pokemon Editor'!$A:$A,'Pokemon Editor'!$F:$F,0)+31+FLOOR(XLOOKUP($Q774,'Threshold Summary'!$Y:$Y,'Threshold Summary'!$P:$P,"")/4))*XLOOKUP($Q774,'Threshold Summary'!$Y:$Y,'Threshold Summary'!$L:$L,""))/100)+5)*XLOOKUP(XLOOKUP($Q774,'Threshold Summary'!$Y:$Y,'Threshold Summary'!$M:$M,""),'Nature Editor'!$A:$A,'Nature Editor'!$B:$B,1)),FLOOR((FLOOR(((2*XLOOKUP(XLOOKUP($Q774,'Threshold Summary'!$Y:$Y,'Threshold Summary'!$K:$K,""),'Pokemon Editor'!$A:$A,'Pokemon Editor'!$H:$H,0)+31+FLOOR(XLOOKUP($Q774,'Threshold Summary'!$Y:$Y,'Threshold Summary'!$R:$R,"")/4))*XLOOKUP($Q774,'Threshold Summary'!$Y:$Y,'Threshold Summary'!$L:$L,""))/100)+5)*XLOOKUP(XLOOKUP($Q774,'Threshold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Editor'!$E:$E,1))),stab,IF(OR(mtype=XLOOKUP(XLOOKUP($Q774,'Threshold Summary'!$Y:$Y,'Threshold Summary'!$K:$K,""),'Pokemon Editor'!$A:$A,'Pokemon Editor'!$C:$C,""),mtype=XLOOKUP(XLOOKUP($Q774,'Threshold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Chart'!$B$1:$S$1,0)))),base,IF(OR(cat="Status",pow=0),0,FLOOR(FLOOR(FLOOR((2*XLOOKUP($Q774,'Threshold Summary'!$Y:$Y,'Threshold Summary'!$L:$L,"")/5+2)*pow*atk/def)/50)+2)),modifier,stab*eff,AVERAGE(ARRAYFORMULA(FLOOR(base*modifier*SEQUENCE(16,1,85,1)/100)))*MIN(1,acc/100)),0)</f>
        <v/>
      </c>
      <c r="N774" s="4">
        <f>IFERROR(LET(mtype,XLOOKUP($D774,'Move Editor'!$B:$B,'Move Editor'!$C:$C,""),cat,XLOOKUP($D774,'Move Editor'!$B:$B,'Move Editor'!$D:$D,""),pow,XLOOKUP($D774,'Move Editor'!$B:$B,'Move Editor'!$E:$E,0),acc,XLOOKUP($D774,'Move Editor'!$B:$B,'Move Editor'!$F:$F,100),atk,IF(cat="Physical",FLOOR((FLOOR(((2*XLOOKUP(XLOOKUP($Q774,'Threshold Summary'!$Y:$Y,'Threshold Summary'!$K:$K,""),'Pokemon Editor'!$A:$A,'Pokemon Editor'!$F:$F,0)+31+FLOOR(XLOOKUP($Q774,'Threshold Summary'!$Y:$Y,'Threshold Summary'!$P:$P,"")/4))*XLOOKUP($Q774,'Threshold Summary'!$Y:$Y,'Threshold Summary'!$L:$L,""))/100)+5)*XLOOKUP(XLOOKUP($Q774,'Threshold Summary'!$Y:$Y,'Threshold Summary'!$M:$M,""),'Nature Editor'!$A:$A,'Nature Editor'!$B:$B,1)),FLOOR((FLOOR(((2*XLOOKUP(XLOOKUP($Q774,'Threshold Summary'!$Y:$Y,'Threshold Summary'!$K:$K,""),'Pokemon Editor'!$A:$A,'Pokemon Editor'!$H:$H,0)+31+FLOOR(XLOOKUP($Q774,'Threshold Summary'!$Y:$Y,'Threshold Summary'!$R:$R,"")/4))*XLOOKUP($Q774,'Threshold Summary'!$Y:$Y,'Threshold Summary'!$L:$L,""))/100)+5)*XLOOKUP(XLOOKUP($Q774,'Threshold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Editor'!$E:$E,1))),stab,IF(OR(mtype=XLOOKUP(XLOOKUP($Q774,'Threshold Summary'!$Y:$Y,'Threshold Summary'!$K:$K,""),'Pokemon Editor'!$A:$A,'Pokemon Editor'!$C:$C,""),mtype=XLOOKUP(XLOOKUP($Q774,'Threshold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Chart'!$B$1:$S$1,0)))),base,IF(OR(cat="Status",pow=0),0,FLOOR(FLOOR(FLOOR((2*XLOOKUP($Q774,'Threshold Summary'!$Y:$Y,'Threshold Summary'!$L:$L,"")/5+2)*pow*atk/def)/50)+2)),modifier,stab*eff,AVERAGE(ARRAYFORMULA(FLOOR(base*modifier*SEQUENCE(16,1,85,1)/100)))/(FLOOR(((2*XLOOKUP('Boss Editor'!$C$4,'Pokemon Editor'!$A:$A,'Pokemon Editor'!$E:$E,0)+31+FLOOR('Boss Editor'!$G$4/4))*'Boss Editor'!$D$4)/100)+'Boss Editor'!$D$4+10)),0)</f>
        <v/>
      </c>
      <c r="O774" s="3">
        <f>IF(N774&gt;=1,"OHKO",IF(N774&gt;=0.5,"2HKO",IF(N774&gt;=0.333,"3HKO",IF(N774&gt;=0.25,"4HKO","5HKO+"))))</f>
        <v/>
      </c>
      <c r="P774" s="3" t="inlineStr">
        <is>
          <t>Live from editable databases</t>
        </is>
      </c>
      <c r="Q774" s="3" t="inlineStr">
        <is>
          <t>SPECIES_BOUNSWEET</t>
        </is>
      </c>
      <c r="R774" s="3" t="n">
        <v>5</v>
      </c>
    </row>
    <row r="775">
      <c r="A775" s="3">
        <f>XLOOKUP($Q775,'Threshold Summary'!$Y:$Y,'Threshold Summary'!$A:$A,"")</f>
        <v/>
      </c>
      <c r="B775" s="3">
        <f>XLOOKUP($Q775,'Threshold Summary'!$Y:$Y,'Threshold Summary'!$M:$M,"")</f>
        <v/>
      </c>
      <c r="C775" s="3">
        <f>XLOOKUP($Q775,'Threshold Summary'!$Y:$Y,'Threshold Summary'!$N:$N,"")</f>
        <v/>
      </c>
      <c r="D775" s="3">
        <f>IFERROR(INDEX(FILTER('Learnset Editor'!$D$2:$D,'Learnset Editor'!$A$2:$A=XLOOKUP($Q775,'Threshold Summary'!$Y:$Y,'Threshold Summary'!$K:$K,""),'Learnset Editor'!$C$2:$C&lt;=XLOOKUP($Q775,'Threshold Summary'!$Y:$Y,'Threshold Summary'!$L:$L,"")),$R775),"")</f>
        <v/>
      </c>
      <c r="E775" s="3">
        <f>XLOOKUP(D775,'Move Editor'!$B:$B,'Move Editor'!$C:$C,"")</f>
        <v/>
      </c>
      <c r="F775" s="3">
        <f>XLOOKUP(D775,'Move Editor'!$B:$B,'Move Editor'!$D:$D,"")</f>
        <v/>
      </c>
      <c r="G775" s="3">
        <f>XLOOKUP(D775,'Move Editor'!$B:$B,'Move Editor'!$E:$E,0)</f>
        <v/>
      </c>
      <c r="H775" s="3">
        <f>XLOOKUP(D775,'Move Editor'!$B:$B,'Move Editor'!$F:$F,0)</f>
        <v/>
      </c>
      <c r="I775" s="3">
        <f>(INDEX('Type Chart'!$B:$S,MATCH(E775,'Type Chart'!$A:$A,0),MATCH(XLOOKUP('Boss Editor'!$C$4,'Pokemon Editor'!$A:$A,'Pokemon Editor'!$C:$C,""),'Type Chart'!$B$1:$S$1,0))*IF(XLOOKUP('Boss Editor'!$C$4,'Pokemon Editor'!$A:$A,'Pokemon Editor'!$D:$D,"")="",1,INDEX('Type Chart'!$B:$S,MATCH(E775,'Type Chart'!$A:$A,0),MATCH(XLOOKUP('Boss Editor'!$C$4,'Pokemon Editor'!$A:$A,'Pokemon Editor'!$D:$D,""),'Type Chart'!$B$1:$S$1,0))))</f>
        <v/>
      </c>
      <c r="J775" s="3">
        <f>IFERROR(LET(mtype,XLOOKUP($D775,'Move Editor'!$B:$B,'Move Editor'!$C:$C,""),cat,XLOOKUP($D775,'Move Editor'!$B:$B,'Move Editor'!$D:$D,""),pow,XLOOKUP($D775,'Move Editor'!$B:$B,'Move Editor'!$E:$E,0),acc,XLOOKUP($D775,'Move Editor'!$B:$B,'Move Editor'!$F:$F,100),atk,IF(cat="Physical",FLOOR((FLOOR(((2*XLOOKUP(XLOOKUP($Q775,'Threshold Summary'!$Y:$Y,'Threshold Summary'!$K:$K,""),'Pokemon Editor'!$A:$A,'Pokemon Editor'!$F:$F,0)+31+FLOOR(XLOOKUP($Q775,'Threshold Summary'!$Y:$Y,'Threshold Summary'!$P:$P,"")/4))*XLOOKUP($Q775,'Threshold Summary'!$Y:$Y,'Threshold Summary'!$L:$L,""))/100)+5)*XLOOKUP(XLOOKUP($Q775,'Threshold Summary'!$Y:$Y,'Threshold Summary'!$M:$M,""),'Nature Editor'!$A:$A,'Nature Editor'!$B:$B,1)),FLOOR((FLOOR(((2*XLOOKUP(XLOOKUP($Q775,'Threshold Summary'!$Y:$Y,'Threshold Summary'!$K:$K,""),'Pokemon Editor'!$A:$A,'Pokemon Editor'!$H:$H,0)+31+FLOOR(XLOOKUP($Q775,'Threshold Summary'!$Y:$Y,'Threshold Summary'!$R:$R,"")/4))*XLOOKUP($Q775,'Threshold Summary'!$Y:$Y,'Threshold Summary'!$L:$L,""))/100)+5)*XLOOKUP(XLOOKUP($Q775,'Threshold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Editor'!$E:$E,1))),stab,IF(OR(mtype=XLOOKUP(XLOOKUP($Q775,'Threshold Summary'!$Y:$Y,'Threshold Summary'!$K:$K,""),'Pokemon Editor'!$A:$A,'Pokemon Editor'!$C:$C,""),mtype=XLOOKUP(XLOOKUP($Q775,'Threshold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Chart'!$B$1:$S$1,0)))),base,IF(OR(cat="Status",pow=0),0,FLOOR(FLOOR(FLOOR((2*XLOOKUP($Q775,'Threshold Summary'!$Y:$Y,'Threshold Summary'!$L:$L,"")/5+2)*pow*atk/def)/50)+2)),modifier,stab*eff,FLOOR(base*modifier*0.85)),0)</f>
        <v/>
      </c>
      <c r="K775" s="3">
        <f>IFERROR(LET(mtype,XLOOKUP($D775,'Move Editor'!$B:$B,'Move Editor'!$C:$C,""),cat,XLOOKUP($D775,'Move Editor'!$B:$B,'Move Editor'!$D:$D,""),pow,XLOOKUP($D775,'Move Editor'!$B:$B,'Move Editor'!$E:$E,0),acc,XLOOKUP($D775,'Move Editor'!$B:$B,'Move Editor'!$F:$F,100),atk,IF(cat="Physical",FLOOR((FLOOR(((2*XLOOKUP(XLOOKUP($Q775,'Threshold Summary'!$Y:$Y,'Threshold Summary'!$K:$K,""),'Pokemon Editor'!$A:$A,'Pokemon Editor'!$F:$F,0)+31+FLOOR(XLOOKUP($Q775,'Threshold Summary'!$Y:$Y,'Threshold Summary'!$P:$P,"")/4))*XLOOKUP($Q775,'Threshold Summary'!$Y:$Y,'Threshold Summary'!$L:$L,""))/100)+5)*XLOOKUP(XLOOKUP($Q775,'Threshold Summary'!$Y:$Y,'Threshold Summary'!$M:$M,""),'Nature Editor'!$A:$A,'Nature Editor'!$B:$B,1)),FLOOR((FLOOR(((2*XLOOKUP(XLOOKUP($Q775,'Threshold Summary'!$Y:$Y,'Threshold Summary'!$K:$K,""),'Pokemon Editor'!$A:$A,'Pokemon Editor'!$H:$H,0)+31+FLOOR(XLOOKUP($Q775,'Threshold Summary'!$Y:$Y,'Threshold Summary'!$R:$R,"")/4))*XLOOKUP($Q775,'Threshold Summary'!$Y:$Y,'Threshold Summary'!$L:$L,""))/100)+5)*XLOOKUP(XLOOKUP($Q775,'Threshold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Editor'!$E:$E,1))),stab,IF(OR(mtype=XLOOKUP(XLOOKUP($Q775,'Threshold Summary'!$Y:$Y,'Threshold Summary'!$K:$K,""),'Pokemon Editor'!$A:$A,'Pokemon Editor'!$C:$C,""),mtype=XLOOKUP(XLOOKUP($Q775,'Threshold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Chart'!$B$1:$S$1,0)))),base,IF(OR(cat="Status",pow=0),0,FLOOR(FLOOR(FLOOR((2*XLOOKUP($Q775,'Threshold Summary'!$Y:$Y,'Threshold Summary'!$L:$L,"")/5+2)*pow*atk/def)/50)+2)),modifier,stab*eff,FLOOR(base*modifier)),0)</f>
        <v/>
      </c>
      <c r="L775" s="3">
        <f>IFERROR(LET(mtype,XLOOKUP($D775,'Move Editor'!$B:$B,'Move Editor'!$C:$C,""),cat,XLOOKUP($D775,'Move Editor'!$B:$B,'Move Editor'!$D:$D,""),pow,XLOOKUP($D775,'Move Editor'!$B:$B,'Move Editor'!$E:$E,0),acc,XLOOKUP($D775,'Move Editor'!$B:$B,'Move Editor'!$F:$F,100),atk,IF(cat="Physical",FLOOR((FLOOR(((2*XLOOKUP(XLOOKUP($Q775,'Threshold Summary'!$Y:$Y,'Threshold Summary'!$K:$K,""),'Pokemon Editor'!$A:$A,'Pokemon Editor'!$F:$F,0)+31+FLOOR(XLOOKUP($Q775,'Threshold Summary'!$Y:$Y,'Threshold Summary'!$P:$P,"")/4))*XLOOKUP($Q775,'Threshold Summary'!$Y:$Y,'Threshold Summary'!$L:$L,""))/100)+5)*XLOOKUP(XLOOKUP($Q775,'Threshold Summary'!$Y:$Y,'Threshold Summary'!$M:$M,""),'Nature Editor'!$A:$A,'Nature Editor'!$B:$B,1)),FLOOR((FLOOR(((2*XLOOKUP(XLOOKUP($Q775,'Threshold Summary'!$Y:$Y,'Threshold Summary'!$K:$K,""),'Pokemon Editor'!$A:$A,'Pokemon Editor'!$H:$H,0)+31+FLOOR(XLOOKUP($Q775,'Threshold Summary'!$Y:$Y,'Threshold Summary'!$R:$R,"")/4))*XLOOKUP($Q775,'Threshold Summary'!$Y:$Y,'Threshold Summary'!$L:$L,""))/100)+5)*XLOOKUP(XLOOKUP($Q775,'Threshold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Editor'!$E:$E,1))),stab,IF(OR(mtype=XLOOKUP(XLOOKUP($Q775,'Threshold Summary'!$Y:$Y,'Threshold Summary'!$K:$K,""),'Pokemon Editor'!$A:$A,'Pokemon Editor'!$C:$C,""),mtype=XLOOKUP(XLOOKUP($Q775,'Threshold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Chart'!$B$1:$S$1,0)))),base,IF(OR(cat="Status",pow=0),0,FLOOR(FLOOR(FLOOR((2*XLOOKUP($Q775,'Threshold Summary'!$Y:$Y,'Threshold Summary'!$L:$L,"")/5+2)*pow*atk/def)/50)+2)),modifier,stab*eff,AVERAGE(ARRAYFORMULA(FLOOR(base*modifier*SEQUENCE(16,1,85,1)/100)))),0)</f>
        <v/>
      </c>
      <c r="M775" s="3">
        <f>IFERROR(LET(mtype,XLOOKUP($D775,'Move Editor'!$B:$B,'Move Editor'!$C:$C,""),cat,XLOOKUP($D775,'Move Editor'!$B:$B,'Move Editor'!$D:$D,""),pow,XLOOKUP($D775,'Move Editor'!$B:$B,'Move Editor'!$E:$E,0),acc,XLOOKUP($D775,'Move Editor'!$B:$B,'Move Editor'!$F:$F,100),atk,IF(cat="Physical",FLOOR((FLOOR(((2*XLOOKUP(XLOOKUP($Q775,'Threshold Summary'!$Y:$Y,'Threshold Summary'!$K:$K,""),'Pokemon Editor'!$A:$A,'Pokemon Editor'!$F:$F,0)+31+FLOOR(XLOOKUP($Q775,'Threshold Summary'!$Y:$Y,'Threshold Summary'!$P:$P,"")/4))*XLOOKUP($Q775,'Threshold Summary'!$Y:$Y,'Threshold Summary'!$L:$L,""))/100)+5)*XLOOKUP(XLOOKUP($Q775,'Threshold Summary'!$Y:$Y,'Threshold Summary'!$M:$M,""),'Nature Editor'!$A:$A,'Nature Editor'!$B:$B,1)),FLOOR((FLOOR(((2*XLOOKUP(XLOOKUP($Q775,'Threshold Summary'!$Y:$Y,'Threshold Summary'!$K:$K,""),'Pokemon Editor'!$A:$A,'Pokemon Editor'!$H:$H,0)+31+FLOOR(XLOOKUP($Q775,'Threshold Summary'!$Y:$Y,'Threshold Summary'!$R:$R,"")/4))*XLOOKUP($Q775,'Threshold Summary'!$Y:$Y,'Threshold Summary'!$L:$L,""))/100)+5)*XLOOKUP(XLOOKUP($Q775,'Threshold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Editor'!$E:$E,1))),stab,IF(OR(mtype=XLOOKUP(XLOOKUP($Q775,'Threshold Summary'!$Y:$Y,'Threshold Summary'!$K:$K,""),'Pokemon Editor'!$A:$A,'Pokemon Editor'!$C:$C,""),mtype=XLOOKUP(XLOOKUP($Q775,'Threshold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Chart'!$B$1:$S$1,0)))),base,IF(OR(cat="Status",pow=0),0,FLOOR(FLOOR(FLOOR((2*XLOOKUP($Q775,'Threshold Summary'!$Y:$Y,'Threshold Summary'!$L:$L,"")/5+2)*pow*atk/def)/50)+2)),modifier,stab*eff,AVERAGE(ARRAYFORMULA(FLOOR(base*modifier*SEQUENCE(16,1,85,1)/100)))*MIN(1,acc/100)),0)</f>
        <v/>
      </c>
      <c r="N775" s="4">
        <f>IFERROR(LET(mtype,XLOOKUP($D775,'Move Editor'!$B:$B,'Move Editor'!$C:$C,""),cat,XLOOKUP($D775,'Move Editor'!$B:$B,'Move Editor'!$D:$D,""),pow,XLOOKUP($D775,'Move Editor'!$B:$B,'Move Editor'!$E:$E,0),acc,XLOOKUP($D775,'Move Editor'!$B:$B,'Move Editor'!$F:$F,100),atk,IF(cat="Physical",FLOOR((FLOOR(((2*XLOOKUP(XLOOKUP($Q775,'Threshold Summary'!$Y:$Y,'Threshold Summary'!$K:$K,""),'Pokemon Editor'!$A:$A,'Pokemon Editor'!$F:$F,0)+31+FLOOR(XLOOKUP($Q775,'Threshold Summary'!$Y:$Y,'Threshold Summary'!$P:$P,"")/4))*XLOOKUP($Q775,'Threshold Summary'!$Y:$Y,'Threshold Summary'!$L:$L,""))/100)+5)*XLOOKUP(XLOOKUP($Q775,'Threshold Summary'!$Y:$Y,'Threshold Summary'!$M:$M,""),'Nature Editor'!$A:$A,'Nature Editor'!$B:$B,1)),FLOOR((FLOOR(((2*XLOOKUP(XLOOKUP($Q775,'Threshold Summary'!$Y:$Y,'Threshold Summary'!$K:$K,""),'Pokemon Editor'!$A:$A,'Pokemon Editor'!$H:$H,0)+31+FLOOR(XLOOKUP($Q775,'Threshold Summary'!$Y:$Y,'Threshold Summary'!$R:$R,"")/4))*XLOOKUP($Q775,'Threshold Summary'!$Y:$Y,'Threshold Summary'!$L:$L,""))/100)+5)*XLOOKUP(XLOOKUP($Q775,'Threshold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Editor'!$E:$E,1))),stab,IF(OR(mtype=XLOOKUP(XLOOKUP($Q775,'Threshold Summary'!$Y:$Y,'Threshold Summary'!$K:$K,""),'Pokemon Editor'!$A:$A,'Pokemon Editor'!$C:$C,""),mtype=XLOOKUP(XLOOKUP($Q775,'Threshold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Chart'!$B$1:$S$1,0)))),base,IF(OR(cat="Status",pow=0),0,FLOOR(FLOOR(FLOOR((2*XLOOKUP($Q775,'Threshold Summary'!$Y:$Y,'Threshold Summary'!$L:$L,"")/5+2)*pow*atk/def)/50)+2)),modifier,stab*eff,AVERAGE(ARRAYFORMULA(FLOOR(base*modifier*SEQUENCE(16,1,85,1)/100)))/(FLOOR(((2*XLOOKUP('Boss Editor'!$C$4,'Pokemon Editor'!$A:$A,'Pokemon Editor'!$E:$E,0)+31+FLOOR('Boss Editor'!$G$4/4))*'Boss Editor'!$D$4)/100)+'Boss Editor'!$D$4+10)),0)</f>
        <v/>
      </c>
      <c r="O775" s="3">
        <f>IF(N775&gt;=1,"OHKO",IF(N775&gt;=0.5,"2HKO",IF(N775&gt;=0.333,"3HKO",IF(N775&gt;=0.25,"4HKO","5HKO+"))))</f>
        <v/>
      </c>
      <c r="P775" s="3" t="inlineStr">
        <is>
          <t>Live from editable databases</t>
        </is>
      </c>
      <c r="Q775" s="3" t="inlineStr">
        <is>
          <t>SPECIES_BOUNSWEET</t>
        </is>
      </c>
      <c r="R775" s="3" t="n">
        <v>6</v>
      </c>
    </row>
    <row r="776">
      <c r="A776" s="3">
        <f>XLOOKUP($Q776,'Threshold Summary'!$Y:$Y,'Threshold Summary'!$A:$A,"")</f>
        <v/>
      </c>
      <c r="B776" s="3">
        <f>XLOOKUP($Q776,'Threshold Summary'!$Y:$Y,'Threshold Summary'!$M:$M,"")</f>
        <v/>
      </c>
      <c r="C776" s="3">
        <f>XLOOKUP($Q776,'Threshold Summary'!$Y:$Y,'Threshold Summary'!$N:$N,"")</f>
        <v/>
      </c>
      <c r="D776" s="3">
        <f>IFERROR(INDEX(FILTER('Learnset Editor'!$D$2:$D,'Learnset Editor'!$A$2:$A=XLOOKUP($Q776,'Threshold Summary'!$Y:$Y,'Threshold Summary'!$K:$K,""),'Learnset Editor'!$C$2:$C&lt;=XLOOKUP($Q776,'Threshold Summary'!$Y:$Y,'Threshold Summary'!$L:$L,"")),$R776),"")</f>
        <v/>
      </c>
      <c r="E776" s="3">
        <f>XLOOKUP(D776,'Move Editor'!$B:$B,'Move Editor'!$C:$C,"")</f>
        <v/>
      </c>
      <c r="F776" s="3">
        <f>XLOOKUP(D776,'Move Editor'!$B:$B,'Move Editor'!$D:$D,"")</f>
        <v/>
      </c>
      <c r="G776" s="3">
        <f>XLOOKUP(D776,'Move Editor'!$B:$B,'Move Editor'!$E:$E,0)</f>
        <v/>
      </c>
      <c r="H776" s="3">
        <f>XLOOKUP(D776,'Move Editor'!$B:$B,'Move Editor'!$F:$F,0)</f>
        <v/>
      </c>
      <c r="I776" s="3">
        <f>(INDEX('Type Chart'!$B:$S,MATCH(E776,'Type Chart'!$A:$A,0),MATCH(XLOOKUP('Boss Editor'!$C$4,'Pokemon Editor'!$A:$A,'Pokemon Editor'!$C:$C,""),'Type Chart'!$B$1:$S$1,0))*IF(XLOOKUP('Boss Editor'!$C$4,'Pokemon Editor'!$A:$A,'Pokemon Editor'!$D:$D,"")="",1,INDEX('Type Chart'!$B:$S,MATCH(E776,'Type Chart'!$A:$A,0),MATCH(XLOOKUP('Boss Editor'!$C$4,'Pokemon Editor'!$A:$A,'Pokemon Editor'!$D:$D,""),'Type Chart'!$B$1:$S$1,0))))</f>
        <v/>
      </c>
      <c r="J776" s="3">
        <f>IFERROR(LET(mtype,XLOOKUP($D776,'Move Editor'!$B:$B,'Move Editor'!$C:$C,""),cat,XLOOKUP($D776,'Move Editor'!$B:$B,'Move Editor'!$D:$D,""),pow,XLOOKUP($D776,'Move Editor'!$B:$B,'Move Editor'!$E:$E,0),acc,XLOOKUP($D776,'Move Editor'!$B:$B,'Move Editor'!$F:$F,100),atk,IF(cat="Physical",FLOOR((FLOOR(((2*XLOOKUP(XLOOKUP($Q776,'Threshold Summary'!$Y:$Y,'Threshold Summary'!$K:$K,""),'Pokemon Editor'!$A:$A,'Pokemon Editor'!$F:$F,0)+31+FLOOR(XLOOKUP($Q776,'Threshold Summary'!$Y:$Y,'Threshold Summary'!$P:$P,"")/4))*XLOOKUP($Q776,'Threshold Summary'!$Y:$Y,'Threshold Summary'!$L:$L,""))/100)+5)*XLOOKUP(XLOOKUP($Q776,'Threshold Summary'!$Y:$Y,'Threshold Summary'!$M:$M,""),'Nature Editor'!$A:$A,'Nature Editor'!$B:$B,1)),FLOOR((FLOOR(((2*XLOOKUP(XLOOKUP($Q776,'Threshold Summary'!$Y:$Y,'Threshold Summary'!$K:$K,""),'Pokemon Editor'!$A:$A,'Pokemon Editor'!$H:$H,0)+31+FLOOR(XLOOKUP($Q776,'Threshold Summary'!$Y:$Y,'Threshold Summary'!$R:$R,"")/4))*XLOOKUP($Q776,'Threshold Summary'!$Y:$Y,'Threshold Summary'!$L:$L,""))/100)+5)*XLOOKUP(XLOOKUP($Q776,'Threshold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Editor'!$E:$E,1))),stab,IF(OR(mtype=XLOOKUP(XLOOKUP($Q776,'Threshold Summary'!$Y:$Y,'Threshold Summary'!$K:$K,""),'Pokemon Editor'!$A:$A,'Pokemon Editor'!$C:$C,""),mtype=XLOOKUP(XLOOKUP($Q776,'Threshold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Chart'!$B$1:$S$1,0)))),base,IF(OR(cat="Status",pow=0),0,FLOOR(FLOOR(FLOOR((2*XLOOKUP($Q776,'Threshold Summary'!$Y:$Y,'Threshold Summary'!$L:$L,"")/5+2)*pow*atk/def)/50)+2)),modifier,stab*eff,FLOOR(base*modifier*0.85)),0)</f>
        <v/>
      </c>
      <c r="K776" s="3">
        <f>IFERROR(LET(mtype,XLOOKUP($D776,'Move Editor'!$B:$B,'Move Editor'!$C:$C,""),cat,XLOOKUP($D776,'Move Editor'!$B:$B,'Move Editor'!$D:$D,""),pow,XLOOKUP($D776,'Move Editor'!$B:$B,'Move Editor'!$E:$E,0),acc,XLOOKUP($D776,'Move Editor'!$B:$B,'Move Editor'!$F:$F,100),atk,IF(cat="Physical",FLOOR((FLOOR(((2*XLOOKUP(XLOOKUP($Q776,'Threshold Summary'!$Y:$Y,'Threshold Summary'!$K:$K,""),'Pokemon Editor'!$A:$A,'Pokemon Editor'!$F:$F,0)+31+FLOOR(XLOOKUP($Q776,'Threshold Summary'!$Y:$Y,'Threshold Summary'!$P:$P,"")/4))*XLOOKUP($Q776,'Threshold Summary'!$Y:$Y,'Threshold Summary'!$L:$L,""))/100)+5)*XLOOKUP(XLOOKUP($Q776,'Threshold Summary'!$Y:$Y,'Threshold Summary'!$M:$M,""),'Nature Editor'!$A:$A,'Nature Editor'!$B:$B,1)),FLOOR((FLOOR(((2*XLOOKUP(XLOOKUP($Q776,'Threshold Summary'!$Y:$Y,'Threshold Summary'!$K:$K,""),'Pokemon Editor'!$A:$A,'Pokemon Editor'!$H:$H,0)+31+FLOOR(XLOOKUP($Q776,'Threshold Summary'!$Y:$Y,'Threshold Summary'!$R:$R,"")/4))*XLOOKUP($Q776,'Threshold Summary'!$Y:$Y,'Threshold Summary'!$L:$L,""))/100)+5)*XLOOKUP(XLOOKUP($Q776,'Threshold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Editor'!$E:$E,1))),stab,IF(OR(mtype=XLOOKUP(XLOOKUP($Q776,'Threshold Summary'!$Y:$Y,'Threshold Summary'!$K:$K,""),'Pokemon Editor'!$A:$A,'Pokemon Editor'!$C:$C,""),mtype=XLOOKUP(XLOOKUP($Q776,'Threshold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Chart'!$B$1:$S$1,0)))),base,IF(OR(cat="Status",pow=0),0,FLOOR(FLOOR(FLOOR((2*XLOOKUP($Q776,'Threshold Summary'!$Y:$Y,'Threshold Summary'!$L:$L,"")/5+2)*pow*atk/def)/50)+2)),modifier,stab*eff,FLOOR(base*modifier)),0)</f>
        <v/>
      </c>
      <c r="L776" s="3">
        <f>IFERROR(LET(mtype,XLOOKUP($D776,'Move Editor'!$B:$B,'Move Editor'!$C:$C,""),cat,XLOOKUP($D776,'Move Editor'!$B:$B,'Move Editor'!$D:$D,""),pow,XLOOKUP($D776,'Move Editor'!$B:$B,'Move Editor'!$E:$E,0),acc,XLOOKUP($D776,'Move Editor'!$B:$B,'Move Editor'!$F:$F,100),atk,IF(cat="Physical",FLOOR((FLOOR(((2*XLOOKUP(XLOOKUP($Q776,'Threshold Summary'!$Y:$Y,'Threshold Summary'!$K:$K,""),'Pokemon Editor'!$A:$A,'Pokemon Editor'!$F:$F,0)+31+FLOOR(XLOOKUP($Q776,'Threshold Summary'!$Y:$Y,'Threshold Summary'!$P:$P,"")/4))*XLOOKUP($Q776,'Threshold Summary'!$Y:$Y,'Threshold Summary'!$L:$L,""))/100)+5)*XLOOKUP(XLOOKUP($Q776,'Threshold Summary'!$Y:$Y,'Threshold Summary'!$M:$M,""),'Nature Editor'!$A:$A,'Nature Editor'!$B:$B,1)),FLOOR((FLOOR(((2*XLOOKUP(XLOOKUP($Q776,'Threshold Summary'!$Y:$Y,'Threshold Summary'!$K:$K,""),'Pokemon Editor'!$A:$A,'Pokemon Editor'!$H:$H,0)+31+FLOOR(XLOOKUP($Q776,'Threshold Summary'!$Y:$Y,'Threshold Summary'!$R:$R,"")/4))*XLOOKUP($Q776,'Threshold Summary'!$Y:$Y,'Threshold Summary'!$L:$L,""))/100)+5)*XLOOKUP(XLOOKUP($Q776,'Threshold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Editor'!$E:$E,1))),stab,IF(OR(mtype=XLOOKUP(XLOOKUP($Q776,'Threshold Summary'!$Y:$Y,'Threshold Summary'!$K:$K,""),'Pokemon Editor'!$A:$A,'Pokemon Editor'!$C:$C,""),mtype=XLOOKUP(XLOOKUP($Q776,'Threshold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Chart'!$B$1:$S$1,0)))),base,IF(OR(cat="Status",pow=0),0,FLOOR(FLOOR(FLOOR((2*XLOOKUP($Q776,'Threshold Summary'!$Y:$Y,'Threshold Summary'!$L:$L,"")/5+2)*pow*atk/def)/50)+2)),modifier,stab*eff,AVERAGE(ARRAYFORMULA(FLOOR(base*modifier*SEQUENCE(16,1,85,1)/100)))),0)</f>
        <v/>
      </c>
      <c r="M776" s="3">
        <f>IFERROR(LET(mtype,XLOOKUP($D776,'Move Editor'!$B:$B,'Move Editor'!$C:$C,""),cat,XLOOKUP($D776,'Move Editor'!$B:$B,'Move Editor'!$D:$D,""),pow,XLOOKUP($D776,'Move Editor'!$B:$B,'Move Editor'!$E:$E,0),acc,XLOOKUP($D776,'Move Editor'!$B:$B,'Move Editor'!$F:$F,100),atk,IF(cat="Physical",FLOOR((FLOOR(((2*XLOOKUP(XLOOKUP($Q776,'Threshold Summary'!$Y:$Y,'Threshold Summary'!$K:$K,""),'Pokemon Editor'!$A:$A,'Pokemon Editor'!$F:$F,0)+31+FLOOR(XLOOKUP($Q776,'Threshold Summary'!$Y:$Y,'Threshold Summary'!$P:$P,"")/4))*XLOOKUP($Q776,'Threshold Summary'!$Y:$Y,'Threshold Summary'!$L:$L,""))/100)+5)*XLOOKUP(XLOOKUP($Q776,'Threshold Summary'!$Y:$Y,'Threshold Summary'!$M:$M,""),'Nature Editor'!$A:$A,'Nature Editor'!$B:$B,1)),FLOOR((FLOOR(((2*XLOOKUP(XLOOKUP($Q776,'Threshold Summary'!$Y:$Y,'Threshold Summary'!$K:$K,""),'Pokemon Editor'!$A:$A,'Pokemon Editor'!$H:$H,0)+31+FLOOR(XLOOKUP($Q776,'Threshold Summary'!$Y:$Y,'Threshold Summary'!$R:$R,"")/4))*XLOOKUP($Q776,'Threshold Summary'!$Y:$Y,'Threshold Summary'!$L:$L,""))/100)+5)*XLOOKUP(XLOOKUP($Q776,'Threshold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Editor'!$E:$E,1))),stab,IF(OR(mtype=XLOOKUP(XLOOKUP($Q776,'Threshold Summary'!$Y:$Y,'Threshold Summary'!$K:$K,""),'Pokemon Editor'!$A:$A,'Pokemon Editor'!$C:$C,""),mtype=XLOOKUP(XLOOKUP($Q776,'Threshold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Chart'!$B$1:$S$1,0)))),base,IF(OR(cat="Status",pow=0),0,FLOOR(FLOOR(FLOOR((2*XLOOKUP($Q776,'Threshold Summary'!$Y:$Y,'Threshold Summary'!$L:$L,"")/5+2)*pow*atk/def)/50)+2)),modifier,stab*eff,AVERAGE(ARRAYFORMULA(FLOOR(base*modifier*SEQUENCE(16,1,85,1)/100)))*MIN(1,acc/100)),0)</f>
        <v/>
      </c>
      <c r="N776" s="4">
        <f>IFERROR(LET(mtype,XLOOKUP($D776,'Move Editor'!$B:$B,'Move Editor'!$C:$C,""),cat,XLOOKUP($D776,'Move Editor'!$B:$B,'Move Editor'!$D:$D,""),pow,XLOOKUP($D776,'Move Editor'!$B:$B,'Move Editor'!$E:$E,0),acc,XLOOKUP($D776,'Move Editor'!$B:$B,'Move Editor'!$F:$F,100),atk,IF(cat="Physical",FLOOR((FLOOR(((2*XLOOKUP(XLOOKUP($Q776,'Threshold Summary'!$Y:$Y,'Threshold Summary'!$K:$K,""),'Pokemon Editor'!$A:$A,'Pokemon Editor'!$F:$F,0)+31+FLOOR(XLOOKUP($Q776,'Threshold Summary'!$Y:$Y,'Threshold Summary'!$P:$P,"")/4))*XLOOKUP($Q776,'Threshold Summary'!$Y:$Y,'Threshold Summary'!$L:$L,""))/100)+5)*XLOOKUP(XLOOKUP($Q776,'Threshold Summary'!$Y:$Y,'Threshold Summary'!$M:$M,""),'Nature Editor'!$A:$A,'Nature Editor'!$B:$B,1)),FLOOR((FLOOR(((2*XLOOKUP(XLOOKUP($Q776,'Threshold Summary'!$Y:$Y,'Threshold Summary'!$K:$K,""),'Pokemon Editor'!$A:$A,'Pokemon Editor'!$H:$H,0)+31+FLOOR(XLOOKUP($Q776,'Threshold Summary'!$Y:$Y,'Threshold Summary'!$R:$R,"")/4))*XLOOKUP($Q776,'Threshold Summary'!$Y:$Y,'Threshold Summary'!$L:$L,""))/100)+5)*XLOOKUP(XLOOKUP($Q776,'Threshold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Editor'!$E:$E,1))),stab,IF(OR(mtype=XLOOKUP(XLOOKUP($Q776,'Threshold Summary'!$Y:$Y,'Threshold Summary'!$K:$K,""),'Pokemon Editor'!$A:$A,'Pokemon Editor'!$C:$C,""),mtype=XLOOKUP(XLOOKUP($Q776,'Threshold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Chart'!$B$1:$S$1,0)))),base,IF(OR(cat="Status",pow=0),0,FLOOR(FLOOR(FLOOR((2*XLOOKUP($Q776,'Threshold Summary'!$Y:$Y,'Threshold Summary'!$L:$L,"")/5+2)*pow*atk/def)/50)+2)),modifier,stab*eff,AVERAGE(ARRAYFORMULA(FLOOR(base*modifier*SEQUENCE(16,1,85,1)/100)))/(FLOOR(((2*XLOOKUP('Boss Editor'!$C$4,'Pokemon Editor'!$A:$A,'Pokemon Editor'!$E:$E,0)+31+FLOOR('Boss Editor'!$G$4/4))*'Boss Editor'!$D$4)/100)+'Boss Editor'!$D$4+10)),0)</f>
        <v/>
      </c>
      <c r="O776" s="3">
        <f>IF(N776&gt;=1,"OHKO",IF(N776&gt;=0.5,"2HKO",IF(N776&gt;=0.333,"3HKO",IF(N776&gt;=0.25,"4HKO","5HKO+"))))</f>
        <v/>
      </c>
      <c r="P776" s="3" t="inlineStr">
        <is>
          <t>Live from editable databases</t>
        </is>
      </c>
      <c r="Q776" s="3" t="inlineStr">
        <is>
          <t>SPECIES_BOUNSWEET</t>
        </is>
      </c>
      <c r="R776" s="3" t="n">
        <v>7</v>
      </c>
    </row>
    <row r="777">
      <c r="A777" s="3">
        <f>XLOOKUP($Q777,'Threshold Summary'!$Y:$Y,'Threshold Summary'!$A:$A,"")</f>
        <v/>
      </c>
      <c r="B777" s="3">
        <f>XLOOKUP($Q777,'Threshold Summary'!$Y:$Y,'Threshold Summary'!$M:$M,"")</f>
        <v/>
      </c>
      <c r="C777" s="3">
        <f>XLOOKUP($Q777,'Threshold Summary'!$Y:$Y,'Threshold Summary'!$N:$N,"")</f>
        <v/>
      </c>
      <c r="D777" s="3">
        <f>IFERROR(INDEX(FILTER('Learnset Editor'!$D$2:$D,'Learnset Editor'!$A$2:$A=XLOOKUP($Q777,'Threshold Summary'!$Y:$Y,'Threshold Summary'!$K:$K,""),'Learnset Editor'!$C$2:$C&lt;=XLOOKUP($Q777,'Threshold Summary'!$Y:$Y,'Threshold Summary'!$L:$L,"")),$R777),"")</f>
        <v/>
      </c>
      <c r="E777" s="3">
        <f>XLOOKUP(D777,'Move Editor'!$B:$B,'Move Editor'!$C:$C,"")</f>
        <v/>
      </c>
      <c r="F777" s="3">
        <f>XLOOKUP(D777,'Move Editor'!$B:$B,'Move Editor'!$D:$D,"")</f>
        <v/>
      </c>
      <c r="G777" s="3">
        <f>XLOOKUP(D777,'Move Editor'!$B:$B,'Move Editor'!$E:$E,0)</f>
        <v/>
      </c>
      <c r="H777" s="3">
        <f>XLOOKUP(D777,'Move Editor'!$B:$B,'Move Editor'!$F:$F,0)</f>
        <v/>
      </c>
      <c r="I777" s="3">
        <f>(INDEX('Type Chart'!$B:$S,MATCH(E777,'Type Chart'!$A:$A,0),MATCH(XLOOKUP('Boss Editor'!$C$4,'Pokemon Editor'!$A:$A,'Pokemon Editor'!$C:$C,""),'Type Chart'!$B$1:$S$1,0))*IF(XLOOKUP('Boss Editor'!$C$4,'Pokemon Editor'!$A:$A,'Pokemon Editor'!$D:$D,"")="",1,INDEX('Type Chart'!$B:$S,MATCH(E777,'Type Chart'!$A:$A,0),MATCH(XLOOKUP('Boss Editor'!$C$4,'Pokemon Editor'!$A:$A,'Pokemon Editor'!$D:$D,""),'Type Chart'!$B$1:$S$1,0))))</f>
        <v/>
      </c>
      <c r="J777" s="3">
        <f>IFERROR(LET(mtype,XLOOKUP($D777,'Move Editor'!$B:$B,'Move Editor'!$C:$C,""),cat,XLOOKUP($D777,'Move Editor'!$B:$B,'Move Editor'!$D:$D,""),pow,XLOOKUP($D777,'Move Editor'!$B:$B,'Move Editor'!$E:$E,0),acc,XLOOKUP($D777,'Move Editor'!$B:$B,'Move Editor'!$F:$F,100),atk,IF(cat="Physical",FLOOR((FLOOR(((2*XLOOKUP(XLOOKUP($Q777,'Threshold Summary'!$Y:$Y,'Threshold Summary'!$K:$K,""),'Pokemon Editor'!$A:$A,'Pokemon Editor'!$F:$F,0)+31+FLOOR(XLOOKUP($Q777,'Threshold Summary'!$Y:$Y,'Threshold Summary'!$P:$P,"")/4))*XLOOKUP($Q777,'Threshold Summary'!$Y:$Y,'Threshold Summary'!$L:$L,""))/100)+5)*XLOOKUP(XLOOKUP($Q777,'Threshold Summary'!$Y:$Y,'Threshold Summary'!$M:$M,""),'Nature Editor'!$A:$A,'Nature Editor'!$B:$B,1)),FLOOR((FLOOR(((2*XLOOKUP(XLOOKUP($Q777,'Threshold Summary'!$Y:$Y,'Threshold Summary'!$K:$K,""),'Pokemon Editor'!$A:$A,'Pokemon Editor'!$H:$H,0)+31+FLOOR(XLOOKUP($Q777,'Threshold Summary'!$Y:$Y,'Threshold Summary'!$R:$R,"")/4))*XLOOKUP($Q777,'Threshold Summary'!$Y:$Y,'Threshold Summary'!$L:$L,""))/100)+5)*XLOOKUP(XLOOKUP($Q777,'Threshold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Editor'!$E:$E,1))),stab,IF(OR(mtype=XLOOKUP(XLOOKUP($Q777,'Threshold Summary'!$Y:$Y,'Threshold Summary'!$K:$K,""),'Pokemon Editor'!$A:$A,'Pokemon Editor'!$C:$C,""),mtype=XLOOKUP(XLOOKUP($Q777,'Threshold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Chart'!$B$1:$S$1,0)))),base,IF(OR(cat="Status",pow=0),0,FLOOR(FLOOR(FLOOR((2*XLOOKUP($Q777,'Threshold Summary'!$Y:$Y,'Threshold Summary'!$L:$L,"")/5+2)*pow*atk/def)/50)+2)),modifier,stab*eff,FLOOR(base*modifier*0.85)),0)</f>
        <v/>
      </c>
      <c r="K777" s="3">
        <f>IFERROR(LET(mtype,XLOOKUP($D777,'Move Editor'!$B:$B,'Move Editor'!$C:$C,""),cat,XLOOKUP($D777,'Move Editor'!$B:$B,'Move Editor'!$D:$D,""),pow,XLOOKUP($D777,'Move Editor'!$B:$B,'Move Editor'!$E:$E,0),acc,XLOOKUP($D777,'Move Editor'!$B:$B,'Move Editor'!$F:$F,100),atk,IF(cat="Physical",FLOOR((FLOOR(((2*XLOOKUP(XLOOKUP($Q777,'Threshold Summary'!$Y:$Y,'Threshold Summary'!$K:$K,""),'Pokemon Editor'!$A:$A,'Pokemon Editor'!$F:$F,0)+31+FLOOR(XLOOKUP($Q777,'Threshold Summary'!$Y:$Y,'Threshold Summary'!$P:$P,"")/4))*XLOOKUP($Q777,'Threshold Summary'!$Y:$Y,'Threshold Summary'!$L:$L,""))/100)+5)*XLOOKUP(XLOOKUP($Q777,'Threshold Summary'!$Y:$Y,'Threshold Summary'!$M:$M,""),'Nature Editor'!$A:$A,'Nature Editor'!$B:$B,1)),FLOOR((FLOOR(((2*XLOOKUP(XLOOKUP($Q777,'Threshold Summary'!$Y:$Y,'Threshold Summary'!$K:$K,""),'Pokemon Editor'!$A:$A,'Pokemon Editor'!$H:$H,0)+31+FLOOR(XLOOKUP($Q777,'Threshold Summary'!$Y:$Y,'Threshold Summary'!$R:$R,"")/4))*XLOOKUP($Q777,'Threshold Summary'!$Y:$Y,'Threshold Summary'!$L:$L,""))/100)+5)*XLOOKUP(XLOOKUP($Q777,'Threshold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Editor'!$E:$E,1))),stab,IF(OR(mtype=XLOOKUP(XLOOKUP($Q777,'Threshold Summary'!$Y:$Y,'Threshold Summary'!$K:$K,""),'Pokemon Editor'!$A:$A,'Pokemon Editor'!$C:$C,""),mtype=XLOOKUP(XLOOKUP($Q777,'Threshold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Chart'!$B$1:$S$1,0)))),base,IF(OR(cat="Status",pow=0),0,FLOOR(FLOOR(FLOOR((2*XLOOKUP($Q777,'Threshold Summary'!$Y:$Y,'Threshold Summary'!$L:$L,"")/5+2)*pow*atk/def)/50)+2)),modifier,stab*eff,FLOOR(base*modifier)),0)</f>
        <v/>
      </c>
      <c r="L777" s="3">
        <f>IFERROR(LET(mtype,XLOOKUP($D777,'Move Editor'!$B:$B,'Move Editor'!$C:$C,""),cat,XLOOKUP($D777,'Move Editor'!$B:$B,'Move Editor'!$D:$D,""),pow,XLOOKUP($D777,'Move Editor'!$B:$B,'Move Editor'!$E:$E,0),acc,XLOOKUP($D777,'Move Editor'!$B:$B,'Move Editor'!$F:$F,100),atk,IF(cat="Physical",FLOOR((FLOOR(((2*XLOOKUP(XLOOKUP($Q777,'Threshold Summary'!$Y:$Y,'Threshold Summary'!$K:$K,""),'Pokemon Editor'!$A:$A,'Pokemon Editor'!$F:$F,0)+31+FLOOR(XLOOKUP($Q777,'Threshold Summary'!$Y:$Y,'Threshold Summary'!$P:$P,"")/4))*XLOOKUP($Q777,'Threshold Summary'!$Y:$Y,'Threshold Summary'!$L:$L,""))/100)+5)*XLOOKUP(XLOOKUP($Q777,'Threshold Summary'!$Y:$Y,'Threshold Summary'!$M:$M,""),'Nature Editor'!$A:$A,'Nature Editor'!$B:$B,1)),FLOOR((FLOOR(((2*XLOOKUP(XLOOKUP($Q777,'Threshold Summary'!$Y:$Y,'Threshold Summary'!$K:$K,""),'Pokemon Editor'!$A:$A,'Pokemon Editor'!$H:$H,0)+31+FLOOR(XLOOKUP($Q777,'Threshold Summary'!$Y:$Y,'Threshold Summary'!$R:$R,"")/4))*XLOOKUP($Q777,'Threshold Summary'!$Y:$Y,'Threshold Summary'!$L:$L,""))/100)+5)*XLOOKUP(XLOOKUP($Q777,'Threshold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Editor'!$E:$E,1))),stab,IF(OR(mtype=XLOOKUP(XLOOKUP($Q777,'Threshold Summary'!$Y:$Y,'Threshold Summary'!$K:$K,""),'Pokemon Editor'!$A:$A,'Pokemon Editor'!$C:$C,""),mtype=XLOOKUP(XLOOKUP($Q777,'Threshold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Chart'!$B$1:$S$1,0)))),base,IF(OR(cat="Status",pow=0),0,FLOOR(FLOOR(FLOOR((2*XLOOKUP($Q777,'Threshold Summary'!$Y:$Y,'Threshold Summary'!$L:$L,"")/5+2)*pow*atk/def)/50)+2)),modifier,stab*eff,AVERAGE(ARRAYFORMULA(FLOOR(base*modifier*SEQUENCE(16,1,85,1)/100)))),0)</f>
        <v/>
      </c>
      <c r="M777" s="3">
        <f>IFERROR(LET(mtype,XLOOKUP($D777,'Move Editor'!$B:$B,'Move Editor'!$C:$C,""),cat,XLOOKUP($D777,'Move Editor'!$B:$B,'Move Editor'!$D:$D,""),pow,XLOOKUP($D777,'Move Editor'!$B:$B,'Move Editor'!$E:$E,0),acc,XLOOKUP($D777,'Move Editor'!$B:$B,'Move Editor'!$F:$F,100),atk,IF(cat="Physical",FLOOR((FLOOR(((2*XLOOKUP(XLOOKUP($Q777,'Threshold Summary'!$Y:$Y,'Threshold Summary'!$K:$K,""),'Pokemon Editor'!$A:$A,'Pokemon Editor'!$F:$F,0)+31+FLOOR(XLOOKUP($Q777,'Threshold Summary'!$Y:$Y,'Threshold Summary'!$P:$P,"")/4))*XLOOKUP($Q777,'Threshold Summary'!$Y:$Y,'Threshold Summary'!$L:$L,""))/100)+5)*XLOOKUP(XLOOKUP($Q777,'Threshold Summary'!$Y:$Y,'Threshold Summary'!$M:$M,""),'Nature Editor'!$A:$A,'Nature Editor'!$B:$B,1)),FLOOR((FLOOR(((2*XLOOKUP(XLOOKUP($Q777,'Threshold Summary'!$Y:$Y,'Threshold Summary'!$K:$K,""),'Pokemon Editor'!$A:$A,'Pokemon Editor'!$H:$H,0)+31+FLOOR(XLOOKUP($Q777,'Threshold Summary'!$Y:$Y,'Threshold Summary'!$R:$R,"")/4))*XLOOKUP($Q777,'Threshold Summary'!$Y:$Y,'Threshold Summary'!$L:$L,""))/100)+5)*XLOOKUP(XLOOKUP($Q777,'Threshold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Editor'!$E:$E,1))),stab,IF(OR(mtype=XLOOKUP(XLOOKUP($Q777,'Threshold Summary'!$Y:$Y,'Threshold Summary'!$K:$K,""),'Pokemon Editor'!$A:$A,'Pokemon Editor'!$C:$C,""),mtype=XLOOKUP(XLOOKUP($Q777,'Threshold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Chart'!$B$1:$S$1,0)))),base,IF(OR(cat="Status",pow=0),0,FLOOR(FLOOR(FLOOR((2*XLOOKUP($Q777,'Threshold Summary'!$Y:$Y,'Threshold Summary'!$L:$L,"")/5+2)*pow*atk/def)/50)+2)),modifier,stab*eff,AVERAGE(ARRAYFORMULA(FLOOR(base*modifier*SEQUENCE(16,1,85,1)/100)))*MIN(1,acc/100)),0)</f>
        <v/>
      </c>
      <c r="N777" s="4">
        <f>IFERROR(LET(mtype,XLOOKUP($D777,'Move Editor'!$B:$B,'Move Editor'!$C:$C,""),cat,XLOOKUP($D777,'Move Editor'!$B:$B,'Move Editor'!$D:$D,""),pow,XLOOKUP($D777,'Move Editor'!$B:$B,'Move Editor'!$E:$E,0),acc,XLOOKUP($D777,'Move Editor'!$B:$B,'Move Editor'!$F:$F,100),atk,IF(cat="Physical",FLOOR((FLOOR(((2*XLOOKUP(XLOOKUP($Q777,'Threshold Summary'!$Y:$Y,'Threshold Summary'!$K:$K,""),'Pokemon Editor'!$A:$A,'Pokemon Editor'!$F:$F,0)+31+FLOOR(XLOOKUP($Q777,'Threshold Summary'!$Y:$Y,'Threshold Summary'!$P:$P,"")/4))*XLOOKUP($Q777,'Threshold Summary'!$Y:$Y,'Threshold Summary'!$L:$L,""))/100)+5)*XLOOKUP(XLOOKUP($Q777,'Threshold Summary'!$Y:$Y,'Threshold Summary'!$M:$M,""),'Nature Editor'!$A:$A,'Nature Editor'!$B:$B,1)),FLOOR((FLOOR(((2*XLOOKUP(XLOOKUP($Q777,'Threshold Summary'!$Y:$Y,'Threshold Summary'!$K:$K,""),'Pokemon Editor'!$A:$A,'Pokemon Editor'!$H:$H,0)+31+FLOOR(XLOOKUP($Q777,'Threshold Summary'!$Y:$Y,'Threshold Summary'!$R:$R,"")/4))*XLOOKUP($Q777,'Threshold Summary'!$Y:$Y,'Threshold Summary'!$L:$L,""))/100)+5)*XLOOKUP(XLOOKUP($Q777,'Threshold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Editor'!$E:$E,1))),stab,IF(OR(mtype=XLOOKUP(XLOOKUP($Q777,'Threshold Summary'!$Y:$Y,'Threshold Summary'!$K:$K,""),'Pokemon Editor'!$A:$A,'Pokemon Editor'!$C:$C,""),mtype=XLOOKUP(XLOOKUP($Q777,'Threshold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Chart'!$B$1:$S$1,0)))),base,IF(OR(cat="Status",pow=0),0,FLOOR(FLOOR(FLOOR((2*XLOOKUP($Q777,'Threshold Summary'!$Y:$Y,'Threshold Summary'!$L:$L,"")/5+2)*pow*atk/def)/50)+2)),modifier,stab*eff,AVERAGE(ARRAYFORMULA(FLOOR(base*modifier*SEQUENCE(16,1,85,1)/100)))/(FLOOR(((2*XLOOKUP('Boss Editor'!$C$4,'Pokemon Editor'!$A:$A,'Pokemon Editor'!$E:$E,0)+31+FLOOR('Boss Editor'!$G$4/4))*'Boss Editor'!$D$4)/100)+'Boss Editor'!$D$4+10)),0)</f>
        <v/>
      </c>
      <c r="O777" s="3">
        <f>IF(N777&gt;=1,"OHKO",IF(N777&gt;=0.5,"2HKO",IF(N777&gt;=0.333,"3HKO",IF(N777&gt;=0.25,"4HKO","5HKO+"))))</f>
        <v/>
      </c>
      <c r="P777" s="3" t="inlineStr">
        <is>
          <t>Live from editable databases</t>
        </is>
      </c>
      <c r="Q777" s="3" t="inlineStr">
        <is>
          <t>SPECIES_BOUNSWEET</t>
        </is>
      </c>
      <c r="R777" s="3" t="n">
        <v>8</v>
      </c>
    </row>
    <row r="778">
      <c r="A778" s="3">
        <f>XLOOKUP($Q778,'Threshold Summary'!$Y:$Y,'Threshold Summary'!$A:$A,"")</f>
        <v/>
      </c>
      <c r="B778" s="3">
        <f>XLOOKUP($Q778,'Threshold Summary'!$Y:$Y,'Threshold Summary'!$M:$M,"")</f>
        <v/>
      </c>
      <c r="C778" s="3">
        <f>XLOOKUP($Q778,'Threshold Summary'!$Y:$Y,'Threshold Summary'!$N:$N,"")</f>
        <v/>
      </c>
      <c r="D778" s="3">
        <f>IFERROR(INDEX(FILTER('Learnset Editor'!$D$2:$D,'Learnset Editor'!$A$2:$A=XLOOKUP($Q778,'Threshold Summary'!$Y:$Y,'Threshold Summary'!$K:$K,""),'Learnset Editor'!$C$2:$C&lt;=XLOOKUP($Q778,'Threshold Summary'!$Y:$Y,'Threshold Summary'!$L:$L,"")),$R778),"")</f>
        <v/>
      </c>
      <c r="E778" s="3">
        <f>XLOOKUP(D778,'Move Editor'!$B:$B,'Move Editor'!$C:$C,"")</f>
        <v/>
      </c>
      <c r="F778" s="3">
        <f>XLOOKUP(D778,'Move Editor'!$B:$B,'Move Editor'!$D:$D,"")</f>
        <v/>
      </c>
      <c r="G778" s="3">
        <f>XLOOKUP(D778,'Move Editor'!$B:$B,'Move Editor'!$E:$E,0)</f>
        <v/>
      </c>
      <c r="H778" s="3">
        <f>XLOOKUP(D778,'Move Editor'!$B:$B,'Move Editor'!$F:$F,0)</f>
        <v/>
      </c>
      <c r="I778" s="3">
        <f>(INDEX('Type Chart'!$B:$S,MATCH(E778,'Type Chart'!$A:$A,0),MATCH(XLOOKUP('Boss Editor'!$C$4,'Pokemon Editor'!$A:$A,'Pokemon Editor'!$C:$C,""),'Type Chart'!$B$1:$S$1,0))*IF(XLOOKUP('Boss Editor'!$C$4,'Pokemon Editor'!$A:$A,'Pokemon Editor'!$D:$D,"")="",1,INDEX('Type Chart'!$B:$S,MATCH(E778,'Type Chart'!$A:$A,0),MATCH(XLOOKUP('Boss Editor'!$C$4,'Pokemon Editor'!$A:$A,'Pokemon Editor'!$D:$D,""),'Type Chart'!$B$1:$S$1,0))))</f>
        <v/>
      </c>
      <c r="J778" s="3">
        <f>IFERROR(LET(mtype,XLOOKUP($D778,'Move Editor'!$B:$B,'Move Editor'!$C:$C,""),cat,XLOOKUP($D778,'Move Editor'!$B:$B,'Move Editor'!$D:$D,""),pow,XLOOKUP($D778,'Move Editor'!$B:$B,'Move Editor'!$E:$E,0),acc,XLOOKUP($D778,'Move Editor'!$B:$B,'Move Editor'!$F:$F,100),atk,IF(cat="Physical",FLOOR((FLOOR(((2*XLOOKUP(XLOOKUP($Q778,'Threshold Summary'!$Y:$Y,'Threshold Summary'!$K:$K,""),'Pokemon Editor'!$A:$A,'Pokemon Editor'!$F:$F,0)+31+FLOOR(XLOOKUP($Q778,'Threshold Summary'!$Y:$Y,'Threshold Summary'!$P:$P,"")/4))*XLOOKUP($Q778,'Threshold Summary'!$Y:$Y,'Threshold Summary'!$L:$L,""))/100)+5)*XLOOKUP(XLOOKUP($Q778,'Threshold Summary'!$Y:$Y,'Threshold Summary'!$M:$M,""),'Nature Editor'!$A:$A,'Nature Editor'!$B:$B,1)),FLOOR((FLOOR(((2*XLOOKUP(XLOOKUP($Q778,'Threshold Summary'!$Y:$Y,'Threshold Summary'!$K:$K,""),'Pokemon Editor'!$A:$A,'Pokemon Editor'!$H:$H,0)+31+FLOOR(XLOOKUP($Q778,'Threshold Summary'!$Y:$Y,'Threshold Summary'!$R:$R,"")/4))*XLOOKUP($Q778,'Threshold Summary'!$Y:$Y,'Threshold Summary'!$L:$L,""))/100)+5)*XLOOKUP(XLOOKUP($Q778,'Threshold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Editor'!$E:$E,1))),stab,IF(OR(mtype=XLOOKUP(XLOOKUP($Q778,'Threshold Summary'!$Y:$Y,'Threshold Summary'!$K:$K,""),'Pokemon Editor'!$A:$A,'Pokemon Editor'!$C:$C,""),mtype=XLOOKUP(XLOOKUP($Q778,'Threshold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Chart'!$B$1:$S$1,0)))),base,IF(OR(cat="Status",pow=0),0,FLOOR(FLOOR(FLOOR((2*XLOOKUP($Q778,'Threshold Summary'!$Y:$Y,'Threshold Summary'!$L:$L,"")/5+2)*pow*atk/def)/50)+2)),modifier,stab*eff,FLOOR(base*modifier*0.85)),0)</f>
        <v/>
      </c>
      <c r="K778" s="3">
        <f>IFERROR(LET(mtype,XLOOKUP($D778,'Move Editor'!$B:$B,'Move Editor'!$C:$C,""),cat,XLOOKUP($D778,'Move Editor'!$B:$B,'Move Editor'!$D:$D,""),pow,XLOOKUP($D778,'Move Editor'!$B:$B,'Move Editor'!$E:$E,0),acc,XLOOKUP($D778,'Move Editor'!$B:$B,'Move Editor'!$F:$F,100),atk,IF(cat="Physical",FLOOR((FLOOR(((2*XLOOKUP(XLOOKUP($Q778,'Threshold Summary'!$Y:$Y,'Threshold Summary'!$K:$K,""),'Pokemon Editor'!$A:$A,'Pokemon Editor'!$F:$F,0)+31+FLOOR(XLOOKUP($Q778,'Threshold Summary'!$Y:$Y,'Threshold Summary'!$P:$P,"")/4))*XLOOKUP($Q778,'Threshold Summary'!$Y:$Y,'Threshold Summary'!$L:$L,""))/100)+5)*XLOOKUP(XLOOKUP($Q778,'Threshold Summary'!$Y:$Y,'Threshold Summary'!$M:$M,""),'Nature Editor'!$A:$A,'Nature Editor'!$B:$B,1)),FLOOR((FLOOR(((2*XLOOKUP(XLOOKUP($Q778,'Threshold Summary'!$Y:$Y,'Threshold Summary'!$K:$K,""),'Pokemon Editor'!$A:$A,'Pokemon Editor'!$H:$H,0)+31+FLOOR(XLOOKUP($Q778,'Threshold Summary'!$Y:$Y,'Threshold Summary'!$R:$R,"")/4))*XLOOKUP($Q778,'Threshold Summary'!$Y:$Y,'Threshold Summary'!$L:$L,""))/100)+5)*XLOOKUP(XLOOKUP($Q778,'Threshold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Editor'!$E:$E,1))),stab,IF(OR(mtype=XLOOKUP(XLOOKUP($Q778,'Threshold Summary'!$Y:$Y,'Threshold Summary'!$K:$K,""),'Pokemon Editor'!$A:$A,'Pokemon Editor'!$C:$C,""),mtype=XLOOKUP(XLOOKUP($Q778,'Threshold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Chart'!$B$1:$S$1,0)))),base,IF(OR(cat="Status",pow=0),0,FLOOR(FLOOR(FLOOR((2*XLOOKUP($Q778,'Threshold Summary'!$Y:$Y,'Threshold Summary'!$L:$L,"")/5+2)*pow*atk/def)/50)+2)),modifier,stab*eff,FLOOR(base*modifier)),0)</f>
        <v/>
      </c>
      <c r="L778" s="3">
        <f>IFERROR(LET(mtype,XLOOKUP($D778,'Move Editor'!$B:$B,'Move Editor'!$C:$C,""),cat,XLOOKUP($D778,'Move Editor'!$B:$B,'Move Editor'!$D:$D,""),pow,XLOOKUP($D778,'Move Editor'!$B:$B,'Move Editor'!$E:$E,0),acc,XLOOKUP($D778,'Move Editor'!$B:$B,'Move Editor'!$F:$F,100),atk,IF(cat="Physical",FLOOR((FLOOR(((2*XLOOKUP(XLOOKUP($Q778,'Threshold Summary'!$Y:$Y,'Threshold Summary'!$K:$K,""),'Pokemon Editor'!$A:$A,'Pokemon Editor'!$F:$F,0)+31+FLOOR(XLOOKUP($Q778,'Threshold Summary'!$Y:$Y,'Threshold Summary'!$P:$P,"")/4))*XLOOKUP($Q778,'Threshold Summary'!$Y:$Y,'Threshold Summary'!$L:$L,""))/100)+5)*XLOOKUP(XLOOKUP($Q778,'Threshold Summary'!$Y:$Y,'Threshold Summary'!$M:$M,""),'Nature Editor'!$A:$A,'Nature Editor'!$B:$B,1)),FLOOR((FLOOR(((2*XLOOKUP(XLOOKUP($Q778,'Threshold Summary'!$Y:$Y,'Threshold Summary'!$K:$K,""),'Pokemon Editor'!$A:$A,'Pokemon Editor'!$H:$H,0)+31+FLOOR(XLOOKUP($Q778,'Threshold Summary'!$Y:$Y,'Threshold Summary'!$R:$R,"")/4))*XLOOKUP($Q778,'Threshold Summary'!$Y:$Y,'Threshold Summary'!$L:$L,""))/100)+5)*XLOOKUP(XLOOKUP($Q778,'Threshold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Editor'!$E:$E,1))),stab,IF(OR(mtype=XLOOKUP(XLOOKUP($Q778,'Threshold Summary'!$Y:$Y,'Threshold Summary'!$K:$K,""),'Pokemon Editor'!$A:$A,'Pokemon Editor'!$C:$C,""),mtype=XLOOKUP(XLOOKUP($Q778,'Threshold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Chart'!$B$1:$S$1,0)))),base,IF(OR(cat="Status",pow=0),0,FLOOR(FLOOR(FLOOR((2*XLOOKUP($Q778,'Threshold Summary'!$Y:$Y,'Threshold Summary'!$L:$L,"")/5+2)*pow*atk/def)/50)+2)),modifier,stab*eff,AVERAGE(ARRAYFORMULA(FLOOR(base*modifier*SEQUENCE(16,1,85,1)/100)))),0)</f>
        <v/>
      </c>
      <c r="M778" s="3">
        <f>IFERROR(LET(mtype,XLOOKUP($D778,'Move Editor'!$B:$B,'Move Editor'!$C:$C,""),cat,XLOOKUP($D778,'Move Editor'!$B:$B,'Move Editor'!$D:$D,""),pow,XLOOKUP($D778,'Move Editor'!$B:$B,'Move Editor'!$E:$E,0),acc,XLOOKUP($D778,'Move Editor'!$B:$B,'Move Editor'!$F:$F,100),atk,IF(cat="Physical",FLOOR((FLOOR(((2*XLOOKUP(XLOOKUP($Q778,'Threshold Summary'!$Y:$Y,'Threshold Summary'!$K:$K,""),'Pokemon Editor'!$A:$A,'Pokemon Editor'!$F:$F,0)+31+FLOOR(XLOOKUP($Q778,'Threshold Summary'!$Y:$Y,'Threshold Summary'!$P:$P,"")/4))*XLOOKUP($Q778,'Threshold Summary'!$Y:$Y,'Threshold Summary'!$L:$L,""))/100)+5)*XLOOKUP(XLOOKUP($Q778,'Threshold Summary'!$Y:$Y,'Threshold Summary'!$M:$M,""),'Nature Editor'!$A:$A,'Nature Editor'!$B:$B,1)),FLOOR((FLOOR(((2*XLOOKUP(XLOOKUP($Q778,'Threshold Summary'!$Y:$Y,'Threshold Summary'!$K:$K,""),'Pokemon Editor'!$A:$A,'Pokemon Editor'!$H:$H,0)+31+FLOOR(XLOOKUP($Q778,'Threshold Summary'!$Y:$Y,'Threshold Summary'!$R:$R,"")/4))*XLOOKUP($Q778,'Threshold Summary'!$Y:$Y,'Threshold Summary'!$L:$L,""))/100)+5)*XLOOKUP(XLOOKUP($Q778,'Threshold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Editor'!$E:$E,1))),stab,IF(OR(mtype=XLOOKUP(XLOOKUP($Q778,'Threshold Summary'!$Y:$Y,'Threshold Summary'!$K:$K,""),'Pokemon Editor'!$A:$A,'Pokemon Editor'!$C:$C,""),mtype=XLOOKUP(XLOOKUP($Q778,'Threshold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Chart'!$B$1:$S$1,0)))),base,IF(OR(cat="Status",pow=0),0,FLOOR(FLOOR(FLOOR((2*XLOOKUP($Q778,'Threshold Summary'!$Y:$Y,'Threshold Summary'!$L:$L,"")/5+2)*pow*atk/def)/50)+2)),modifier,stab*eff,AVERAGE(ARRAYFORMULA(FLOOR(base*modifier*SEQUENCE(16,1,85,1)/100)))*MIN(1,acc/100)),0)</f>
        <v/>
      </c>
      <c r="N778" s="4">
        <f>IFERROR(LET(mtype,XLOOKUP($D778,'Move Editor'!$B:$B,'Move Editor'!$C:$C,""),cat,XLOOKUP($D778,'Move Editor'!$B:$B,'Move Editor'!$D:$D,""),pow,XLOOKUP($D778,'Move Editor'!$B:$B,'Move Editor'!$E:$E,0),acc,XLOOKUP($D778,'Move Editor'!$B:$B,'Move Editor'!$F:$F,100),atk,IF(cat="Physical",FLOOR((FLOOR(((2*XLOOKUP(XLOOKUP($Q778,'Threshold Summary'!$Y:$Y,'Threshold Summary'!$K:$K,""),'Pokemon Editor'!$A:$A,'Pokemon Editor'!$F:$F,0)+31+FLOOR(XLOOKUP($Q778,'Threshold Summary'!$Y:$Y,'Threshold Summary'!$P:$P,"")/4))*XLOOKUP($Q778,'Threshold Summary'!$Y:$Y,'Threshold Summary'!$L:$L,""))/100)+5)*XLOOKUP(XLOOKUP($Q778,'Threshold Summary'!$Y:$Y,'Threshold Summary'!$M:$M,""),'Nature Editor'!$A:$A,'Nature Editor'!$B:$B,1)),FLOOR((FLOOR(((2*XLOOKUP(XLOOKUP($Q778,'Threshold Summary'!$Y:$Y,'Threshold Summary'!$K:$K,""),'Pokemon Editor'!$A:$A,'Pokemon Editor'!$H:$H,0)+31+FLOOR(XLOOKUP($Q778,'Threshold Summary'!$Y:$Y,'Threshold Summary'!$R:$R,"")/4))*XLOOKUP($Q778,'Threshold Summary'!$Y:$Y,'Threshold Summary'!$L:$L,""))/100)+5)*XLOOKUP(XLOOKUP($Q778,'Threshold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Editor'!$E:$E,1))),stab,IF(OR(mtype=XLOOKUP(XLOOKUP($Q778,'Threshold Summary'!$Y:$Y,'Threshold Summary'!$K:$K,""),'Pokemon Editor'!$A:$A,'Pokemon Editor'!$C:$C,""),mtype=XLOOKUP(XLOOKUP($Q778,'Threshold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Chart'!$B$1:$S$1,0)))),base,IF(OR(cat="Status",pow=0),0,FLOOR(FLOOR(FLOOR((2*XLOOKUP($Q778,'Threshold Summary'!$Y:$Y,'Threshold Summary'!$L:$L,"")/5+2)*pow*atk/def)/50)+2)),modifier,stab*eff,AVERAGE(ARRAYFORMULA(FLOOR(base*modifier*SEQUENCE(16,1,85,1)/100)))/(FLOOR(((2*XLOOKUP('Boss Editor'!$C$4,'Pokemon Editor'!$A:$A,'Pokemon Editor'!$E:$E,0)+31+FLOOR('Boss Editor'!$G$4/4))*'Boss Editor'!$D$4)/100)+'Boss Editor'!$D$4+10)),0)</f>
        <v/>
      </c>
      <c r="O778" s="3">
        <f>IF(N778&gt;=1,"OHKO",IF(N778&gt;=0.5,"2HKO",IF(N778&gt;=0.333,"3HKO",IF(N778&gt;=0.25,"4HKO","5HKO+"))))</f>
        <v/>
      </c>
      <c r="P778" s="3" t="inlineStr">
        <is>
          <t>Live from editable databases</t>
        </is>
      </c>
      <c r="Q778" s="3" t="inlineStr">
        <is>
          <t>SPECIES_BOUNSWEET</t>
        </is>
      </c>
      <c r="R778" s="3" t="n">
        <v>9</v>
      </c>
    </row>
    <row r="779">
      <c r="A779" s="3">
        <f>XLOOKUP($Q779,'Threshold Summary'!$Y:$Y,'Threshold Summary'!$A:$A,"")</f>
        <v/>
      </c>
      <c r="B779" s="3">
        <f>XLOOKUP($Q779,'Threshold Summary'!$Y:$Y,'Threshold Summary'!$M:$M,"")</f>
        <v/>
      </c>
      <c r="C779" s="3">
        <f>XLOOKUP($Q779,'Threshold Summary'!$Y:$Y,'Threshold Summary'!$N:$N,"")</f>
        <v/>
      </c>
      <c r="D779" s="3">
        <f>IFERROR(INDEX(FILTER('Learnset Editor'!$D$2:$D,'Learnset Editor'!$A$2:$A=XLOOKUP($Q779,'Threshold Summary'!$Y:$Y,'Threshold Summary'!$K:$K,""),'Learnset Editor'!$C$2:$C&lt;=XLOOKUP($Q779,'Threshold Summary'!$Y:$Y,'Threshold Summary'!$L:$L,"")),$R779),"")</f>
        <v/>
      </c>
      <c r="E779" s="3">
        <f>XLOOKUP(D779,'Move Editor'!$B:$B,'Move Editor'!$C:$C,"")</f>
        <v/>
      </c>
      <c r="F779" s="3">
        <f>XLOOKUP(D779,'Move Editor'!$B:$B,'Move Editor'!$D:$D,"")</f>
        <v/>
      </c>
      <c r="G779" s="3">
        <f>XLOOKUP(D779,'Move Editor'!$B:$B,'Move Editor'!$E:$E,0)</f>
        <v/>
      </c>
      <c r="H779" s="3">
        <f>XLOOKUP(D779,'Move Editor'!$B:$B,'Move Editor'!$F:$F,0)</f>
        <v/>
      </c>
      <c r="I779" s="3">
        <f>(INDEX('Type Chart'!$B:$S,MATCH(E779,'Type Chart'!$A:$A,0),MATCH(XLOOKUP('Boss Editor'!$C$4,'Pokemon Editor'!$A:$A,'Pokemon Editor'!$C:$C,""),'Type Chart'!$B$1:$S$1,0))*IF(XLOOKUP('Boss Editor'!$C$4,'Pokemon Editor'!$A:$A,'Pokemon Editor'!$D:$D,"")="",1,INDEX('Type Chart'!$B:$S,MATCH(E779,'Type Chart'!$A:$A,0),MATCH(XLOOKUP('Boss Editor'!$C$4,'Pokemon Editor'!$A:$A,'Pokemon Editor'!$D:$D,""),'Type Chart'!$B$1:$S$1,0))))</f>
        <v/>
      </c>
      <c r="J779" s="3">
        <f>IFERROR(LET(mtype,XLOOKUP($D779,'Move Editor'!$B:$B,'Move Editor'!$C:$C,""),cat,XLOOKUP($D779,'Move Editor'!$B:$B,'Move Editor'!$D:$D,""),pow,XLOOKUP($D779,'Move Editor'!$B:$B,'Move Editor'!$E:$E,0),acc,XLOOKUP($D779,'Move Editor'!$B:$B,'Move Editor'!$F:$F,100),atk,IF(cat="Physical",FLOOR((FLOOR(((2*XLOOKUP(XLOOKUP($Q779,'Threshold Summary'!$Y:$Y,'Threshold Summary'!$K:$K,""),'Pokemon Editor'!$A:$A,'Pokemon Editor'!$F:$F,0)+31+FLOOR(XLOOKUP($Q779,'Threshold Summary'!$Y:$Y,'Threshold Summary'!$P:$P,"")/4))*XLOOKUP($Q779,'Threshold Summary'!$Y:$Y,'Threshold Summary'!$L:$L,""))/100)+5)*XLOOKUP(XLOOKUP($Q779,'Threshold Summary'!$Y:$Y,'Threshold Summary'!$M:$M,""),'Nature Editor'!$A:$A,'Nature Editor'!$B:$B,1)),FLOOR((FLOOR(((2*XLOOKUP(XLOOKUP($Q779,'Threshold Summary'!$Y:$Y,'Threshold Summary'!$K:$K,""),'Pokemon Editor'!$A:$A,'Pokemon Editor'!$H:$H,0)+31+FLOOR(XLOOKUP($Q779,'Threshold Summary'!$Y:$Y,'Threshold Summary'!$R:$R,"")/4))*XLOOKUP($Q779,'Threshold Summary'!$Y:$Y,'Threshold Summary'!$L:$L,""))/100)+5)*XLOOKUP(XLOOKUP($Q779,'Threshold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Editor'!$E:$E,1))),stab,IF(OR(mtype=XLOOKUP(XLOOKUP($Q779,'Threshold Summary'!$Y:$Y,'Threshold Summary'!$K:$K,""),'Pokemon Editor'!$A:$A,'Pokemon Editor'!$C:$C,""),mtype=XLOOKUP(XLOOKUP($Q779,'Threshold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Chart'!$B$1:$S$1,0)))),base,IF(OR(cat="Status",pow=0),0,FLOOR(FLOOR(FLOOR((2*XLOOKUP($Q779,'Threshold Summary'!$Y:$Y,'Threshold Summary'!$L:$L,"")/5+2)*pow*atk/def)/50)+2)),modifier,stab*eff,FLOOR(base*modifier*0.85)),0)</f>
        <v/>
      </c>
      <c r="K779" s="3">
        <f>IFERROR(LET(mtype,XLOOKUP($D779,'Move Editor'!$B:$B,'Move Editor'!$C:$C,""),cat,XLOOKUP($D779,'Move Editor'!$B:$B,'Move Editor'!$D:$D,""),pow,XLOOKUP($D779,'Move Editor'!$B:$B,'Move Editor'!$E:$E,0),acc,XLOOKUP($D779,'Move Editor'!$B:$B,'Move Editor'!$F:$F,100),atk,IF(cat="Physical",FLOOR((FLOOR(((2*XLOOKUP(XLOOKUP($Q779,'Threshold Summary'!$Y:$Y,'Threshold Summary'!$K:$K,""),'Pokemon Editor'!$A:$A,'Pokemon Editor'!$F:$F,0)+31+FLOOR(XLOOKUP($Q779,'Threshold Summary'!$Y:$Y,'Threshold Summary'!$P:$P,"")/4))*XLOOKUP($Q779,'Threshold Summary'!$Y:$Y,'Threshold Summary'!$L:$L,""))/100)+5)*XLOOKUP(XLOOKUP($Q779,'Threshold Summary'!$Y:$Y,'Threshold Summary'!$M:$M,""),'Nature Editor'!$A:$A,'Nature Editor'!$B:$B,1)),FLOOR((FLOOR(((2*XLOOKUP(XLOOKUP($Q779,'Threshold Summary'!$Y:$Y,'Threshold Summary'!$K:$K,""),'Pokemon Editor'!$A:$A,'Pokemon Editor'!$H:$H,0)+31+FLOOR(XLOOKUP($Q779,'Threshold Summary'!$Y:$Y,'Threshold Summary'!$R:$R,"")/4))*XLOOKUP($Q779,'Threshold Summary'!$Y:$Y,'Threshold Summary'!$L:$L,""))/100)+5)*XLOOKUP(XLOOKUP($Q779,'Threshold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Editor'!$E:$E,1))),stab,IF(OR(mtype=XLOOKUP(XLOOKUP($Q779,'Threshold Summary'!$Y:$Y,'Threshold Summary'!$K:$K,""),'Pokemon Editor'!$A:$A,'Pokemon Editor'!$C:$C,""),mtype=XLOOKUP(XLOOKUP($Q779,'Threshold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Chart'!$B$1:$S$1,0)))),base,IF(OR(cat="Status",pow=0),0,FLOOR(FLOOR(FLOOR((2*XLOOKUP($Q779,'Threshold Summary'!$Y:$Y,'Threshold Summary'!$L:$L,"")/5+2)*pow*atk/def)/50)+2)),modifier,stab*eff,FLOOR(base*modifier)),0)</f>
        <v/>
      </c>
      <c r="L779" s="3">
        <f>IFERROR(LET(mtype,XLOOKUP($D779,'Move Editor'!$B:$B,'Move Editor'!$C:$C,""),cat,XLOOKUP($D779,'Move Editor'!$B:$B,'Move Editor'!$D:$D,""),pow,XLOOKUP($D779,'Move Editor'!$B:$B,'Move Editor'!$E:$E,0),acc,XLOOKUP($D779,'Move Editor'!$B:$B,'Move Editor'!$F:$F,100),atk,IF(cat="Physical",FLOOR((FLOOR(((2*XLOOKUP(XLOOKUP($Q779,'Threshold Summary'!$Y:$Y,'Threshold Summary'!$K:$K,""),'Pokemon Editor'!$A:$A,'Pokemon Editor'!$F:$F,0)+31+FLOOR(XLOOKUP($Q779,'Threshold Summary'!$Y:$Y,'Threshold Summary'!$P:$P,"")/4))*XLOOKUP($Q779,'Threshold Summary'!$Y:$Y,'Threshold Summary'!$L:$L,""))/100)+5)*XLOOKUP(XLOOKUP($Q779,'Threshold Summary'!$Y:$Y,'Threshold Summary'!$M:$M,""),'Nature Editor'!$A:$A,'Nature Editor'!$B:$B,1)),FLOOR((FLOOR(((2*XLOOKUP(XLOOKUP($Q779,'Threshold Summary'!$Y:$Y,'Threshold Summary'!$K:$K,""),'Pokemon Editor'!$A:$A,'Pokemon Editor'!$H:$H,0)+31+FLOOR(XLOOKUP($Q779,'Threshold Summary'!$Y:$Y,'Threshold Summary'!$R:$R,"")/4))*XLOOKUP($Q779,'Threshold Summary'!$Y:$Y,'Threshold Summary'!$L:$L,""))/100)+5)*XLOOKUP(XLOOKUP($Q779,'Threshold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Editor'!$E:$E,1))),stab,IF(OR(mtype=XLOOKUP(XLOOKUP($Q779,'Threshold Summary'!$Y:$Y,'Threshold Summary'!$K:$K,""),'Pokemon Editor'!$A:$A,'Pokemon Editor'!$C:$C,""),mtype=XLOOKUP(XLOOKUP($Q779,'Threshold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Chart'!$B$1:$S$1,0)))),base,IF(OR(cat="Status",pow=0),0,FLOOR(FLOOR(FLOOR((2*XLOOKUP($Q779,'Threshold Summary'!$Y:$Y,'Threshold Summary'!$L:$L,"")/5+2)*pow*atk/def)/50)+2)),modifier,stab*eff,AVERAGE(ARRAYFORMULA(FLOOR(base*modifier*SEQUENCE(16,1,85,1)/100)))),0)</f>
        <v/>
      </c>
      <c r="M779" s="3">
        <f>IFERROR(LET(mtype,XLOOKUP($D779,'Move Editor'!$B:$B,'Move Editor'!$C:$C,""),cat,XLOOKUP($D779,'Move Editor'!$B:$B,'Move Editor'!$D:$D,""),pow,XLOOKUP($D779,'Move Editor'!$B:$B,'Move Editor'!$E:$E,0),acc,XLOOKUP($D779,'Move Editor'!$B:$B,'Move Editor'!$F:$F,100),atk,IF(cat="Physical",FLOOR((FLOOR(((2*XLOOKUP(XLOOKUP($Q779,'Threshold Summary'!$Y:$Y,'Threshold Summary'!$K:$K,""),'Pokemon Editor'!$A:$A,'Pokemon Editor'!$F:$F,0)+31+FLOOR(XLOOKUP($Q779,'Threshold Summary'!$Y:$Y,'Threshold Summary'!$P:$P,"")/4))*XLOOKUP($Q779,'Threshold Summary'!$Y:$Y,'Threshold Summary'!$L:$L,""))/100)+5)*XLOOKUP(XLOOKUP($Q779,'Threshold Summary'!$Y:$Y,'Threshold Summary'!$M:$M,""),'Nature Editor'!$A:$A,'Nature Editor'!$B:$B,1)),FLOOR((FLOOR(((2*XLOOKUP(XLOOKUP($Q779,'Threshold Summary'!$Y:$Y,'Threshold Summary'!$K:$K,""),'Pokemon Editor'!$A:$A,'Pokemon Editor'!$H:$H,0)+31+FLOOR(XLOOKUP($Q779,'Threshold Summary'!$Y:$Y,'Threshold Summary'!$R:$R,"")/4))*XLOOKUP($Q779,'Threshold Summary'!$Y:$Y,'Threshold Summary'!$L:$L,""))/100)+5)*XLOOKUP(XLOOKUP($Q779,'Threshold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Editor'!$E:$E,1))),stab,IF(OR(mtype=XLOOKUP(XLOOKUP($Q779,'Threshold Summary'!$Y:$Y,'Threshold Summary'!$K:$K,""),'Pokemon Editor'!$A:$A,'Pokemon Editor'!$C:$C,""),mtype=XLOOKUP(XLOOKUP($Q779,'Threshold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Chart'!$B$1:$S$1,0)))),base,IF(OR(cat="Status",pow=0),0,FLOOR(FLOOR(FLOOR((2*XLOOKUP($Q779,'Threshold Summary'!$Y:$Y,'Threshold Summary'!$L:$L,"")/5+2)*pow*atk/def)/50)+2)),modifier,stab*eff,AVERAGE(ARRAYFORMULA(FLOOR(base*modifier*SEQUENCE(16,1,85,1)/100)))*MIN(1,acc/100)),0)</f>
        <v/>
      </c>
      <c r="N779" s="4">
        <f>IFERROR(LET(mtype,XLOOKUP($D779,'Move Editor'!$B:$B,'Move Editor'!$C:$C,""),cat,XLOOKUP($D779,'Move Editor'!$B:$B,'Move Editor'!$D:$D,""),pow,XLOOKUP($D779,'Move Editor'!$B:$B,'Move Editor'!$E:$E,0),acc,XLOOKUP($D779,'Move Editor'!$B:$B,'Move Editor'!$F:$F,100),atk,IF(cat="Physical",FLOOR((FLOOR(((2*XLOOKUP(XLOOKUP($Q779,'Threshold Summary'!$Y:$Y,'Threshold Summary'!$K:$K,""),'Pokemon Editor'!$A:$A,'Pokemon Editor'!$F:$F,0)+31+FLOOR(XLOOKUP($Q779,'Threshold Summary'!$Y:$Y,'Threshold Summary'!$P:$P,"")/4))*XLOOKUP($Q779,'Threshold Summary'!$Y:$Y,'Threshold Summary'!$L:$L,""))/100)+5)*XLOOKUP(XLOOKUP($Q779,'Threshold Summary'!$Y:$Y,'Threshold Summary'!$M:$M,""),'Nature Editor'!$A:$A,'Nature Editor'!$B:$B,1)),FLOOR((FLOOR(((2*XLOOKUP(XLOOKUP($Q779,'Threshold Summary'!$Y:$Y,'Threshold Summary'!$K:$K,""),'Pokemon Editor'!$A:$A,'Pokemon Editor'!$H:$H,0)+31+FLOOR(XLOOKUP($Q779,'Threshold Summary'!$Y:$Y,'Threshold Summary'!$R:$R,"")/4))*XLOOKUP($Q779,'Threshold Summary'!$Y:$Y,'Threshold Summary'!$L:$L,""))/100)+5)*XLOOKUP(XLOOKUP($Q779,'Threshold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Editor'!$E:$E,1))),stab,IF(OR(mtype=XLOOKUP(XLOOKUP($Q779,'Threshold Summary'!$Y:$Y,'Threshold Summary'!$K:$K,""),'Pokemon Editor'!$A:$A,'Pokemon Editor'!$C:$C,""),mtype=XLOOKUP(XLOOKUP($Q779,'Threshold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Chart'!$B$1:$S$1,0)))),base,IF(OR(cat="Status",pow=0),0,FLOOR(FLOOR(FLOOR((2*XLOOKUP($Q779,'Threshold Summary'!$Y:$Y,'Threshold Summary'!$L:$L,"")/5+2)*pow*atk/def)/50)+2)),modifier,stab*eff,AVERAGE(ARRAYFORMULA(FLOOR(base*modifier*SEQUENCE(16,1,85,1)/100)))/(FLOOR(((2*XLOOKUP('Boss Editor'!$C$4,'Pokemon Editor'!$A:$A,'Pokemon Editor'!$E:$E,0)+31+FLOOR('Boss Editor'!$G$4/4))*'Boss Editor'!$D$4)/100)+'Boss Editor'!$D$4+10)),0)</f>
        <v/>
      </c>
      <c r="O779" s="3">
        <f>IF(N779&gt;=1,"OHKO",IF(N779&gt;=0.5,"2HKO",IF(N779&gt;=0.333,"3HKO",IF(N779&gt;=0.25,"4HKO","5HKO+"))))</f>
        <v/>
      </c>
      <c r="P779" s="3" t="inlineStr">
        <is>
          <t>Live from editable databases</t>
        </is>
      </c>
      <c r="Q779" s="3" t="inlineStr">
        <is>
          <t>SPECIES_BOUNSWEET</t>
        </is>
      </c>
      <c r="R779" s="3" t="n">
        <v>10</v>
      </c>
    </row>
    <row r="780">
      <c r="A780" s="3">
        <f>XLOOKUP($Q780,'Threshold Summary'!$Y:$Y,'Threshold Summary'!$A:$A,"")</f>
        <v/>
      </c>
      <c r="B780" s="3">
        <f>XLOOKUP($Q780,'Threshold Summary'!$Y:$Y,'Threshold Summary'!$M:$M,"")</f>
        <v/>
      </c>
      <c r="C780" s="3">
        <f>XLOOKUP($Q780,'Threshold Summary'!$Y:$Y,'Threshold Summary'!$N:$N,"")</f>
        <v/>
      </c>
      <c r="D780" s="3">
        <f>IFERROR(INDEX(FILTER('Learnset Editor'!$D$2:$D,'Learnset Editor'!$A$2:$A=XLOOKUP($Q780,'Threshold Summary'!$Y:$Y,'Threshold Summary'!$K:$K,""),'Learnset Editor'!$C$2:$C&lt;=XLOOKUP($Q780,'Threshold Summary'!$Y:$Y,'Threshold Summary'!$L:$L,"")),$R780),"")</f>
        <v/>
      </c>
      <c r="E780" s="3">
        <f>XLOOKUP(D780,'Move Editor'!$B:$B,'Move Editor'!$C:$C,"")</f>
        <v/>
      </c>
      <c r="F780" s="3">
        <f>XLOOKUP(D780,'Move Editor'!$B:$B,'Move Editor'!$D:$D,"")</f>
        <v/>
      </c>
      <c r="G780" s="3">
        <f>XLOOKUP(D780,'Move Editor'!$B:$B,'Move Editor'!$E:$E,0)</f>
        <v/>
      </c>
      <c r="H780" s="3">
        <f>XLOOKUP(D780,'Move Editor'!$B:$B,'Move Editor'!$F:$F,0)</f>
        <v/>
      </c>
      <c r="I780" s="3">
        <f>(INDEX('Type Chart'!$B:$S,MATCH(E780,'Type Chart'!$A:$A,0),MATCH(XLOOKUP('Boss Editor'!$C$4,'Pokemon Editor'!$A:$A,'Pokemon Editor'!$C:$C,""),'Type Chart'!$B$1:$S$1,0))*IF(XLOOKUP('Boss Editor'!$C$4,'Pokemon Editor'!$A:$A,'Pokemon Editor'!$D:$D,"")="",1,INDEX('Type Chart'!$B:$S,MATCH(E780,'Type Chart'!$A:$A,0),MATCH(XLOOKUP('Boss Editor'!$C$4,'Pokemon Editor'!$A:$A,'Pokemon Editor'!$D:$D,""),'Type Chart'!$B$1:$S$1,0))))</f>
        <v/>
      </c>
      <c r="J780" s="3">
        <f>IFERROR(LET(mtype,XLOOKUP($D780,'Move Editor'!$B:$B,'Move Editor'!$C:$C,""),cat,XLOOKUP($D780,'Move Editor'!$B:$B,'Move Editor'!$D:$D,""),pow,XLOOKUP($D780,'Move Editor'!$B:$B,'Move Editor'!$E:$E,0),acc,XLOOKUP($D780,'Move Editor'!$B:$B,'Move Editor'!$F:$F,100),atk,IF(cat="Physical",FLOOR((FLOOR(((2*XLOOKUP(XLOOKUP($Q780,'Threshold Summary'!$Y:$Y,'Threshold Summary'!$K:$K,""),'Pokemon Editor'!$A:$A,'Pokemon Editor'!$F:$F,0)+31+FLOOR(XLOOKUP($Q780,'Threshold Summary'!$Y:$Y,'Threshold Summary'!$P:$P,"")/4))*XLOOKUP($Q780,'Threshold Summary'!$Y:$Y,'Threshold Summary'!$L:$L,""))/100)+5)*XLOOKUP(XLOOKUP($Q780,'Threshold Summary'!$Y:$Y,'Threshold Summary'!$M:$M,""),'Nature Editor'!$A:$A,'Nature Editor'!$B:$B,1)),FLOOR((FLOOR(((2*XLOOKUP(XLOOKUP($Q780,'Threshold Summary'!$Y:$Y,'Threshold Summary'!$K:$K,""),'Pokemon Editor'!$A:$A,'Pokemon Editor'!$H:$H,0)+31+FLOOR(XLOOKUP($Q780,'Threshold Summary'!$Y:$Y,'Threshold Summary'!$R:$R,"")/4))*XLOOKUP($Q780,'Threshold Summary'!$Y:$Y,'Threshold Summary'!$L:$L,""))/100)+5)*XLOOKUP(XLOOKUP($Q780,'Threshold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Editor'!$E:$E,1))),stab,IF(OR(mtype=XLOOKUP(XLOOKUP($Q780,'Threshold Summary'!$Y:$Y,'Threshold Summary'!$K:$K,""),'Pokemon Editor'!$A:$A,'Pokemon Editor'!$C:$C,""),mtype=XLOOKUP(XLOOKUP($Q780,'Threshold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Chart'!$B$1:$S$1,0)))),base,IF(OR(cat="Status",pow=0),0,FLOOR(FLOOR(FLOOR((2*XLOOKUP($Q780,'Threshold Summary'!$Y:$Y,'Threshold Summary'!$L:$L,"")/5+2)*pow*atk/def)/50)+2)),modifier,stab*eff,FLOOR(base*modifier*0.85)),0)</f>
        <v/>
      </c>
      <c r="K780" s="3">
        <f>IFERROR(LET(mtype,XLOOKUP($D780,'Move Editor'!$B:$B,'Move Editor'!$C:$C,""),cat,XLOOKUP($D780,'Move Editor'!$B:$B,'Move Editor'!$D:$D,""),pow,XLOOKUP($D780,'Move Editor'!$B:$B,'Move Editor'!$E:$E,0),acc,XLOOKUP($D780,'Move Editor'!$B:$B,'Move Editor'!$F:$F,100),atk,IF(cat="Physical",FLOOR((FLOOR(((2*XLOOKUP(XLOOKUP($Q780,'Threshold Summary'!$Y:$Y,'Threshold Summary'!$K:$K,""),'Pokemon Editor'!$A:$A,'Pokemon Editor'!$F:$F,0)+31+FLOOR(XLOOKUP($Q780,'Threshold Summary'!$Y:$Y,'Threshold Summary'!$P:$P,"")/4))*XLOOKUP($Q780,'Threshold Summary'!$Y:$Y,'Threshold Summary'!$L:$L,""))/100)+5)*XLOOKUP(XLOOKUP($Q780,'Threshold Summary'!$Y:$Y,'Threshold Summary'!$M:$M,""),'Nature Editor'!$A:$A,'Nature Editor'!$B:$B,1)),FLOOR((FLOOR(((2*XLOOKUP(XLOOKUP($Q780,'Threshold Summary'!$Y:$Y,'Threshold Summary'!$K:$K,""),'Pokemon Editor'!$A:$A,'Pokemon Editor'!$H:$H,0)+31+FLOOR(XLOOKUP($Q780,'Threshold Summary'!$Y:$Y,'Threshold Summary'!$R:$R,"")/4))*XLOOKUP($Q780,'Threshold Summary'!$Y:$Y,'Threshold Summary'!$L:$L,""))/100)+5)*XLOOKUP(XLOOKUP($Q780,'Threshold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Editor'!$E:$E,1))),stab,IF(OR(mtype=XLOOKUP(XLOOKUP($Q780,'Threshold Summary'!$Y:$Y,'Threshold Summary'!$K:$K,""),'Pokemon Editor'!$A:$A,'Pokemon Editor'!$C:$C,""),mtype=XLOOKUP(XLOOKUP($Q780,'Threshold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Chart'!$B$1:$S$1,0)))),base,IF(OR(cat="Status",pow=0),0,FLOOR(FLOOR(FLOOR((2*XLOOKUP($Q780,'Threshold Summary'!$Y:$Y,'Threshold Summary'!$L:$L,"")/5+2)*pow*atk/def)/50)+2)),modifier,stab*eff,FLOOR(base*modifier)),0)</f>
        <v/>
      </c>
      <c r="L780" s="3">
        <f>IFERROR(LET(mtype,XLOOKUP($D780,'Move Editor'!$B:$B,'Move Editor'!$C:$C,""),cat,XLOOKUP($D780,'Move Editor'!$B:$B,'Move Editor'!$D:$D,""),pow,XLOOKUP($D780,'Move Editor'!$B:$B,'Move Editor'!$E:$E,0),acc,XLOOKUP($D780,'Move Editor'!$B:$B,'Move Editor'!$F:$F,100),atk,IF(cat="Physical",FLOOR((FLOOR(((2*XLOOKUP(XLOOKUP($Q780,'Threshold Summary'!$Y:$Y,'Threshold Summary'!$K:$K,""),'Pokemon Editor'!$A:$A,'Pokemon Editor'!$F:$F,0)+31+FLOOR(XLOOKUP($Q780,'Threshold Summary'!$Y:$Y,'Threshold Summary'!$P:$P,"")/4))*XLOOKUP($Q780,'Threshold Summary'!$Y:$Y,'Threshold Summary'!$L:$L,""))/100)+5)*XLOOKUP(XLOOKUP($Q780,'Threshold Summary'!$Y:$Y,'Threshold Summary'!$M:$M,""),'Nature Editor'!$A:$A,'Nature Editor'!$B:$B,1)),FLOOR((FLOOR(((2*XLOOKUP(XLOOKUP($Q780,'Threshold Summary'!$Y:$Y,'Threshold Summary'!$K:$K,""),'Pokemon Editor'!$A:$A,'Pokemon Editor'!$H:$H,0)+31+FLOOR(XLOOKUP($Q780,'Threshold Summary'!$Y:$Y,'Threshold Summary'!$R:$R,"")/4))*XLOOKUP($Q780,'Threshold Summary'!$Y:$Y,'Threshold Summary'!$L:$L,""))/100)+5)*XLOOKUP(XLOOKUP($Q780,'Threshold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Editor'!$E:$E,1))),stab,IF(OR(mtype=XLOOKUP(XLOOKUP($Q780,'Threshold Summary'!$Y:$Y,'Threshold Summary'!$K:$K,""),'Pokemon Editor'!$A:$A,'Pokemon Editor'!$C:$C,""),mtype=XLOOKUP(XLOOKUP($Q780,'Threshold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Chart'!$B$1:$S$1,0)))),base,IF(OR(cat="Status",pow=0),0,FLOOR(FLOOR(FLOOR((2*XLOOKUP($Q780,'Threshold Summary'!$Y:$Y,'Threshold Summary'!$L:$L,"")/5+2)*pow*atk/def)/50)+2)),modifier,stab*eff,AVERAGE(ARRAYFORMULA(FLOOR(base*modifier*SEQUENCE(16,1,85,1)/100)))),0)</f>
        <v/>
      </c>
      <c r="M780" s="3">
        <f>IFERROR(LET(mtype,XLOOKUP($D780,'Move Editor'!$B:$B,'Move Editor'!$C:$C,""),cat,XLOOKUP($D780,'Move Editor'!$B:$B,'Move Editor'!$D:$D,""),pow,XLOOKUP($D780,'Move Editor'!$B:$B,'Move Editor'!$E:$E,0),acc,XLOOKUP($D780,'Move Editor'!$B:$B,'Move Editor'!$F:$F,100),atk,IF(cat="Physical",FLOOR((FLOOR(((2*XLOOKUP(XLOOKUP($Q780,'Threshold Summary'!$Y:$Y,'Threshold Summary'!$K:$K,""),'Pokemon Editor'!$A:$A,'Pokemon Editor'!$F:$F,0)+31+FLOOR(XLOOKUP($Q780,'Threshold Summary'!$Y:$Y,'Threshold Summary'!$P:$P,"")/4))*XLOOKUP($Q780,'Threshold Summary'!$Y:$Y,'Threshold Summary'!$L:$L,""))/100)+5)*XLOOKUP(XLOOKUP($Q780,'Threshold Summary'!$Y:$Y,'Threshold Summary'!$M:$M,""),'Nature Editor'!$A:$A,'Nature Editor'!$B:$B,1)),FLOOR((FLOOR(((2*XLOOKUP(XLOOKUP($Q780,'Threshold Summary'!$Y:$Y,'Threshold Summary'!$K:$K,""),'Pokemon Editor'!$A:$A,'Pokemon Editor'!$H:$H,0)+31+FLOOR(XLOOKUP($Q780,'Threshold Summary'!$Y:$Y,'Threshold Summary'!$R:$R,"")/4))*XLOOKUP($Q780,'Threshold Summary'!$Y:$Y,'Threshold Summary'!$L:$L,""))/100)+5)*XLOOKUP(XLOOKUP($Q780,'Threshold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Editor'!$E:$E,1))),stab,IF(OR(mtype=XLOOKUP(XLOOKUP($Q780,'Threshold Summary'!$Y:$Y,'Threshold Summary'!$K:$K,""),'Pokemon Editor'!$A:$A,'Pokemon Editor'!$C:$C,""),mtype=XLOOKUP(XLOOKUP($Q780,'Threshold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Chart'!$B$1:$S$1,0)))),base,IF(OR(cat="Status",pow=0),0,FLOOR(FLOOR(FLOOR((2*XLOOKUP($Q780,'Threshold Summary'!$Y:$Y,'Threshold Summary'!$L:$L,"")/5+2)*pow*atk/def)/50)+2)),modifier,stab*eff,AVERAGE(ARRAYFORMULA(FLOOR(base*modifier*SEQUENCE(16,1,85,1)/100)))*MIN(1,acc/100)),0)</f>
        <v/>
      </c>
      <c r="N780" s="4">
        <f>IFERROR(LET(mtype,XLOOKUP($D780,'Move Editor'!$B:$B,'Move Editor'!$C:$C,""),cat,XLOOKUP($D780,'Move Editor'!$B:$B,'Move Editor'!$D:$D,""),pow,XLOOKUP($D780,'Move Editor'!$B:$B,'Move Editor'!$E:$E,0),acc,XLOOKUP($D780,'Move Editor'!$B:$B,'Move Editor'!$F:$F,100),atk,IF(cat="Physical",FLOOR((FLOOR(((2*XLOOKUP(XLOOKUP($Q780,'Threshold Summary'!$Y:$Y,'Threshold Summary'!$K:$K,""),'Pokemon Editor'!$A:$A,'Pokemon Editor'!$F:$F,0)+31+FLOOR(XLOOKUP($Q780,'Threshold Summary'!$Y:$Y,'Threshold Summary'!$P:$P,"")/4))*XLOOKUP($Q780,'Threshold Summary'!$Y:$Y,'Threshold Summary'!$L:$L,""))/100)+5)*XLOOKUP(XLOOKUP($Q780,'Threshold Summary'!$Y:$Y,'Threshold Summary'!$M:$M,""),'Nature Editor'!$A:$A,'Nature Editor'!$B:$B,1)),FLOOR((FLOOR(((2*XLOOKUP(XLOOKUP($Q780,'Threshold Summary'!$Y:$Y,'Threshold Summary'!$K:$K,""),'Pokemon Editor'!$A:$A,'Pokemon Editor'!$H:$H,0)+31+FLOOR(XLOOKUP($Q780,'Threshold Summary'!$Y:$Y,'Threshold Summary'!$R:$R,"")/4))*XLOOKUP($Q780,'Threshold Summary'!$Y:$Y,'Threshold Summary'!$L:$L,""))/100)+5)*XLOOKUP(XLOOKUP($Q780,'Threshold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Editor'!$E:$E,1))),stab,IF(OR(mtype=XLOOKUP(XLOOKUP($Q780,'Threshold Summary'!$Y:$Y,'Threshold Summary'!$K:$K,""),'Pokemon Editor'!$A:$A,'Pokemon Editor'!$C:$C,""),mtype=XLOOKUP(XLOOKUP($Q780,'Threshold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Chart'!$B$1:$S$1,0)))),base,IF(OR(cat="Status",pow=0),0,FLOOR(FLOOR(FLOOR((2*XLOOKUP($Q780,'Threshold Summary'!$Y:$Y,'Threshold Summary'!$L:$L,"")/5+2)*pow*atk/def)/50)+2)),modifier,stab*eff,AVERAGE(ARRAYFORMULA(FLOOR(base*modifier*SEQUENCE(16,1,85,1)/100)))/(FLOOR(((2*XLOOKUP('Boss Editor'!$C$4,'Pokemon Editor'!$A:$A,'Pokemon Editor'!$E:$E,0)+31+FLOOR('Boss Editor'!$G$4/4))*'Boss Editor'!$D$4)/100)+'Boss Editor'!$D$4+10)),0)</f>
        <v/>
      </c>
      <c r="O780" s="3">
        <f>IF(N780&gt;=1,"OHKO",IF(N780&gt;=0.5,"2HKO",IF(N780&gt;=0.333,"3HKO",IF(N780&gt;=0.25,"4HKO","5HKO+"))))</f>
        <v/>
      </c>
      <c r="P780" s="3" t="inlineStr">
        <is>
          <t>Live from editable databases</t>
        </is>
      </c>
      <c r="Q780" s="3" t="inlineStr">
        <is>
          <t>SPECIES_BOUNSWEET</t>
        </is>
      </c>
      <c r="R780" s="3" t="n">
        <v>11</v>
      </c>
    </row>
    <row r="781">
      <c r="A781" s="3">
        <f>XLOOKUP($Q781,'Threshold Summary'!$Y:$Y,'Threshold Summary'!$A:$A,"")</f>
        <v/>
      </c>
      <c r="B781" s="3">
        <f>XLOOKUP($Q781,'Threshold Summary'!$Y:$Y,'Threshold Summary'!$M:$M,"")</f>
        <v/>
      </c>
      <c r="C781" s="3">
        <f>XLOOKUP($Q781,'Threshold Summary'!$Y:$Y,'Threshold Summary'!$N:$N,"")</f>
        <v/>
      </c>
      <c r="D781" s="3">
        <f>IFERROR(INDEX(FILTER('Learnset Editor'!$D$2:$D,'Learnset Editor'!$A$2:$A=XLOOKUP($Q781,'Threshold Summary'!$Y:$Y,'Threshold Summary'!$K:$K,""),'Learnset Editor'!$C$2:$C&lt;=XLOOKUP($Q781,'Threshold Summary'!$Y:$Y,'Threshold Summary'!$L:$L,"")),$R781),"")</f>
        <v/>
      </c>
      <c r="E781" s="3">
        <f>XLOOKUP(D781,'Move Editor'!$B:$B,'Move Editor'!$C:$C,"")</f>
        <v/>
      </c>
      <c r="F781" s="3">
        <f>XLOOKUP(D781,'Move Editor'!$B:$B,'Move Editor'!$D:$D,"")</f>
        <v/>
      </c>
      <c r="G781" s="3">
        <f>XLOOKUP(D781,'Move Editor'!$B:$B,'Move Editor'!$E:$E,0)</f>
        <v/>
      </c>
      <c r="H781" s="3">
        <f>XLOOKUP(D781,'Move Editor'!$B:$B,'Move Editor'!$F:$F,0)</f>
        <v/>
      </c>
      <c r="I781" s="3">
        <f>(INDEX('Type Chart'!$B:$S,MATCH(E781,'Type Chart'!$A:$A,0),MATCH(XLOOKUP('Boss Editor'!$C$4,'Pokemon Editor'!$A:$A,'Pokemon Editor'!$C:$C,""),'Type Chart'!$B$1:$S$1,0))*IF(XLOOKUP('Boss Editor'!$C$4,'Pokemon Editor'!$A:$A,'Pokemon Editor'!$D:$D,"")="",1,INDEX('Type Chart'!$B:$S,MATCH(E781,'Type Chart'!$A:$A,0),MATCH(XLOOKUP('Boss Editor'!$C$4,'Pokemon Editor'!$A:$A,'Pokemon Editor'!$D:$D,""),'Type Chart'!$B$1:$S$1,0))))</f>
        <v/>
      </c>
      <c r="J781" s="3">
        <f>IFERROR(LET(mtype,XLOOKUP($D781,'Move Editor'!$B:$B,'Move Editor'!$C:$C,""),cat,XLOOKUP($D781,'Move Editor'!$B:$B,'Move Editor'!$D:$D,""),pow,XLOOKUP($D781,'Move Editor'!$B:$B,'Move Editor'!$E:$E,0),acc,XLOOKUP($D781,'Move Editor'!$B:$B,'Move Editor'!$F:$F,100),atk,IF(cat="Physical",FLOOR((FLOOR(((2*XLOOKUP(XLOOKUP($Q781,'Threshold Summary'!$Y:$Y,'Threshold Summary'!$K:$K,""),'Pokemon Editor'!$A:$A,'Pokemon Editor'!$F:$F,0)+31+FLOOR(XLOOKUP($Q781,'Threshold Summary'!$Y:$Y,'Threshold Summary'!$P:$P,"")/4))*XLOOKUP($Q781,'Threshold Summary'!$Y:$Y,'Threshold Summary'!$L:$L,""))/100)+5)*XLOOKUP(XLOOKUP($Q781,'Threshold Summary'!$Y:$Y,'Threshold Summary'!$M:$M,""),'Nature Editor'!$A:$A,'Nature Editor'!$B:$B,1)),FLOOR((FLOOR(((2*XLOOKUP(XLOOKUP($Q781,'Threshold Summary'!$Y:$Y,'Threshold Summary'!$K:$K,""),'Pokemon Editor'!$A:$A,'Pokemon Editor'!$H:$H,0)+31+FLOOR(XLOOKUP($Q781,'Threshold Summary'!$Y:$Y,'Threshold Summary'!$R:$R,"")/4))*XLOOKUP($Q781,'Threshold Summary'!$Y:$Y,'Threshold Summary'!$L:$L,""))/100)+5)*XLOOKUP(XLOOKUP($Q781,'Threshold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Editor'!$E:$E,1))),stab,IF(OR(mtype=XLOOKUP(XLOOKUP($Q781,'Threshold Summary'!$Y:$Y,'Threshold Summary'!$K:$K,""),'Pokemon Editor'!$A:$A,'Pokemon Editor'!$C:$C,""),mtype=XLOOKUP(XLOOKUP($Q781,'Threshold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Chart'!$B$1:$S$1,0)))),base,IF(OR(cat="Status",pow=0),0,FLOOR(FLOOR(FLOOR((2*XLOOKUP($Q781,'Threshold Summary'!$Y:$Y,'Threshold Summary'!$L:$L,"")/5+2)*pow*atk/def)/50)+2)),modifier,stab*eff,FLOOR(base*modifier*0.85)),0)</f>
        <v/>
      </c>
      <c r="K781" s="3">
        <f>IFERROR(LET(mtype,XLOOKUP($D781,'Move Editor'!$B:$B,'Move Editor'!$C:$C,""),cat,XLOOKUP($D781,'Move Editor'!$B:$B,'Move Editor'!$D:$D,""),pow,XLOOKUP($D781,'Move Editor'!$B:$B,'Move Editor'!$E:$E,0),acc,XLOOKUP($D781,'Move Editor'!$B:$B,'Move Editor'!$F:$F,100),atk,IF(cat="Physical",FLOOR((FLOOR(((2*XLOOKUP(XLOOKUP($Q781,'Threshold Summary'!$Y:$Y,'Threshold Summary'!$K:$K,""),'Pokemon Editor'!$A:$A,'Pokemon Editor'!$F:$F,0)+31+FLOOR(XLOOKUP($Q781,'Threshold Summary'!$Y:$Y,'Threshold Summary'!$P:$P,"")/4))*XLOOKUP($Q781,'Threshold Summary'!$Y:$Y,'Threshold Summary'!$L:$L,""))/100)+5)*XLOOKUP(XLOOKUP($Q781,'Threshold Summary'!$Y:$Y,'Threshold Summary'!$M:$M,""),'Nature Editor'!$A:$A,'Nature Editor'!$B:$B,1)),FLOOR((FLOOR(((2*XLOOKUP(XLOOKUP($Q781,'Threshold Summary'!$Y:$Y,'Threshold Summary'!$K:$K,""),'Pokemon Editor'!$A:$A,'Pokemon Editor'!$H:$H,0)+31+FLOOR(XLOOKUP($Q781,'Threshold Summary'!$Y:$Y,'Threshold Summary'!$R:$R,"")/4))*XLOOKUP($Q781,'Threshold Summary'!$Y:$Y,'Threshold Summary'!$L:$L,""))/100)+5)*XLOOKUP(XLOOKUP($Q781,'Threshold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Editor'!$E:$E,1))),stab,IF(OR(mtype=XLOOKUP(XLOOKUP($Q781,'Threshold Summary'!$Y:$Y,'Threshold Summary'!$K:$K,""),'Pokemon Editor'!$A:$A,'Pokemon Editor'!$C:$C,""),mtype=XLOOKUP(XLOOKUP($Q781,'Threshold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Chart'!$B$1:$S$1,0)))),base,IF(OR(cat="Status",pow=0),0,FLOOR(FLOOR(FLOOR((2*XLOOKUP($Q781,'Threshold Summary'!$Y:$Y,'Threshold Summary'!$L:$L,"")/5+2)*pow*atk/def)/50)+2)),modifier,stab*eff,FLOOR(base*modifier)),0)</f>
        <v/>
      </c>
      <c r="L781" s="3">
        <f>IFERROR(LET(mtype,XLOOKUP($D781,'Move Editor'!$B:$B,'Move Editor'!$C:$C,""),cat,XLOOKUP($D781,'Move Editor'!$B:$B,'Move Editor'!$D:$D,""),pow,XLOOKUP($D781,'Move Editor'!$B:$B,'Move Editor'!$E:$E,0),acc,XLOOKUP($D781,'Move Editor'!$B:$B,'Move Editor'!$F:$F,100),atk,IF(cat="Physical",FLOOR((FLOOR(((2*XLOOKUP(XLOOKUP($Q781,'Threshold Summary'!$Y:$Y,'Threshold Summary'!$K:$K,""),'Pokemon Editor'!$A:$A,'Pokemon Editor'!$F:$F,0)+31+FLOOR(XLOOKUP($Q781,'Threshold Summary'!$Y:$Y,'Threshold Summary'!$P:$P,"")/4))*XLOOKUP($Q781,'Threshold Summary'!$Y:$Y,'Threshold Summary'!$L:$L,""))/100)+5)*XLOOKUP(XLOOKUP($Q781,'Threshold Summary'!$Y:$Y,'Threshold Summary'!$M:$M,""),'Nature Editor'!$A:$A,'Nature Editor'!$B:$B,1)),FLOOR((FLOOR(((2*XLOOKUP(XLOOKUP($Q781,'Threshold Summary'!$Y:$Y,'Threshold Summary'!$K:$K,""),'Pokemon Editor'!$A:$A,'Pokemon Editor'!$H:$H,0)+31+FLOOR(XLOOKUP($Q781,'Threshold Summary'!$Y:$Y,'Threshold Summary'!$R:$R,"")/4))*XLOOKUP($Q781,'Threshold Summary'!$Y:$Y,'Threshold Summary'!$L:$L,""))/100)+5)*XLOOKUP(XLOOKUP($Q781,'Threshold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Editor'!$E:$E,1))),stab,IF(OR(mtype=XLOOKUP(XLOOKUP($Q781,'Threshold Summary'!$Y:$Y,'Threshold Summary'!$K:$K,""),'Pokemon Editor'!$A:$A,'Pokemon Editor'!$C:$C,""),mtype=XLOOKUP(XLOOKUP($Q781,'Threshold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Chart'!$B$1:$S$1,0)))),base,IF(OR(cat="Status",pow=0),0,FLOOR(FLOOR(FLOOR((2*XLOOKUP($Q781,'Threshold Summary'!$Y:$Y,'Threshold Summary'!$L:$L,"")/5+2)*pow*atk/def)/50)+2)),modifier,stab*eff,AVERAGE(ARRAYFORMULA(FLOOR(base*modifier*SEQUENCE(16,1,85,1)/100)))),0)</f>
        <v/>
      </c>
      <c r="M781" s="3">
        <f>IFERROR(LET(mtype,XLOOKUP($D781,'Move Editor'!$B:$B,'Move Editor'!$C:$C,""),cat,XLOOKUP($D781,'Move Editor'!$B:$B,'Move Editor'!$D:$D,""),pow,XLOOKUP($D781,'Move Editor'!$B:$B,'Move Editor'!$E:$E,0),acc,XLOOKUP($D781,'Move Editor'!$B:$B,'Move Editor'!$F:$F,100),atk,IF(cat="Physical",FLOOR((FLOOR(((2*XLOOKUP(XLOOKUP($Q781,'Threshold Summary'!$Y:$Y,'Threshold Summary'!$K:$K,""),'Pokemon Editor'!$A:$A,'Pokemon Editor'!$F:$F,0)+31+FLOOR(XLOOKUP($Q781,'Threshold Summary'!$Y:$Y,'Threshold Summary'!$P:$P,"")/4))*XLOOKUP($Q781,'Threshold Summary'!$Y:$Y,'Threshold Summary'!$L:$L,""))/100)+5)*XLOOKUP(XLOOKUP($Q781,'Threshold Summary'!$Y:$Y,'Threshold Summary'!$M:$M,""),'Nature Editor'!$A:$A,'Nature Editor'!$B:$B,1)),FLOOR((FLOOR(((2*XLOOKUP(XLOOKUP($Q781,'Threshold Summary'!$Y:$Y,'Threshold Summary'!$K:$K,""),'Pokemon Editor'!$A:$A,'Pokemon Editor'!$H:$H,0)+31+FLOOR(XLOOKUP($Q781,'Threshold Summary'!$Y:$Y,'Threshold Summary'!$R:$R,"")/4))*XLOOKUP($Q781,'Threshold Summary'!$Y:$Y,'Threshold Summary'!$L:$L,""))/100)+5)*XLOOKUP(XLOOKUP($Q781,'Threshold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Editor'!$E:$E,1))),stab,IF(OR(mtype=XLOOKUP(XLOOKUP($Q781,'Threshold Summary'!$Y:$Y,'Threshold Summary'!$K:$K,""),'Pokemon Editor'!$A:$A,'Pokemon Editor'!$C:$C,""),mtype=XLOOKUP(XLOOKUP($Q781,'Threshold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Chart'!$B$1:$S$1,0)))),base,IF(OR(cat="Status",pow=0),0,FLOOR(FLOOR(FLOOR((2*XLOOKUP($Q781,'Threshold Summary'!$Y:$Y,'Threshold Summary'!$L:$L,"")/5+2)*pow*atk/def)/50)+2)),modifier,stab*eff,AVERAGE(ARRAYFORMULA(FLOOR(base*modifier*SEQUENCE(16,1,85,1)/100)))*MIN(1,acc/100)),0)</f>
        <v/>
      </c>
      <c r="N781" s="4">
        <f>IFERROR(LET(mtype,XLOOKUP($D781,'Move Editor'!$B:$B,'Move Editor'!$C:$C,""),cat,XLOOKUP($D781,'Move Editor'!$B:$B,'Move Editor'!$D:$D,""),pow,XLOOKUP($D781,'Move Editor'!$B:$B,'Move Editor'!$E:$E,0),acc,XLOOKUP($D781,'Move Editor'!$B:$B,'Move Editor'!$F:$F,100),atk,IF(cat="Physical",FLOOR((FLOOR(((2*XLOOKUP(XLOOKUP($Q781,'Threshold Summary'!$Y:$Y,'Threshold Summary'!$K:$K,""),'Pokemon Editor'!$A:$A,'Pokemon Editor'!$F:$F,0)+31+FLOOR(XLOOKUP($Q781,'Threshold Summary'!$Y:$Y,'Threshold Summary'!$P:$P,"")/4))*XLOOKUP($Q781,'Threshold Summary'!$Y:$Y,'Threshold Summary'!$L:$L,""))/100)+5)*XLOOKUP(XLOOKUP($Q781,'Threshold Summary'!$Y:$Y,'Threshold Summary'!$M:$M,""),'Nature Editor'!$A:$A,'Nature Editor'!$B:$B,1)),FLOOR((FLOOR(((2*XLOOKUP(XLOOKUP($Q781,'Threshold Summary'!$Y:$Y,'Threshold Summary'!$K:$K,""),'Pokemon Editor'!$A:$A,'Pokemon Editor'!$H:$H,0)+31+FLOOR(XLOOKUP($Q781,'Threshold Summary'!$Y:$Y,'Threshold Summary'!$R:$R,"")/4))*XLOOKUP($Q781,'Threshold Summary'!$Y:$Y,'Threshold Summary'!$L:$L,""))/100)+5)*XLOOKUP(XLOOKUP($Q781,'Threshold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Editor'!$E:$E,1))),stab,IF(OR(mtype=XLOOKUP(XLOOKUP($Q781,'Threshold Summary'!$Y:$Y,'Threshold Summary'!$K:$K,""),'Pokemon Editor'!$A:$A,'Pokemon Editor'!$C:$C,""),mtype=XLOOKUP(XLOOKUP($Q781,'Threshold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Chart'!$B$1:$S$1,0)))),base,IF(OR(cat="Status",pow=0),0,FLOOR(FLOOR(FLOOR((2*XLOOKUP($Q781,'Threshold Summary'!$Y:$Y,'Threshold Summary'!$L:$L,"")/5+2)*pow*atk/def)/50)+2)),modifier,stab*eff,AVERAGE(ARRAYFORMULA(FLOOR(base*modifier*SEQUENCE(16,1,85,1)/100)))/(FLOOR(((2*XLOOKUP('Boss Editor'!$C$4,'Pokemon Editor'!$A:$A,'Pokemon Editor'!$E:$E,0)+31+FLOOR('Boss Editor'!$G$4/4))*'Boss Editor'!$D$4)/100)+'Boss Editor'!$D$4+10)),0)</f>
        <v/>
      </c>
      <c r="O781" s="3">
        <f>IF(N781&gt;=1,"OHKO",IF(N781&gt;=0.5,"2HKO",IF(N781&gt;=0.333,"3HKO",IF(N781&gt;=0.25,"4HKO","5HKO+"))))</f>
        <v/>
      </c>
      <c r="P781" s="3" t="inlineStr">
        <is>
          <t>Live from editable databases</t>
        </is>
      </c>
      <c r="Q781" s="3" t="inlineStr">
        <is>
          <t>SPECIES_BOUNSWEET</t>
        </is>
      </c>
      <c r="R781" s="3" t="n">
        <v>12</v>
      </c>
    </row>
    <row r="782">
      <c r="A782" s="3">
        <f>XLOOKUP($Q782,'Threshold Summary'!$Y:$Y,'Threshold Summary'!$A:$A,"")</f>
        <v/>
      </c>
      <c r="B782" s="3">
        <f>XLOOKUP($Q782,'Threshold Summary'!$Y:$Y,'Threshold Summary'!$M:$M,"")</f>
        <v/>
      </c>
      <c r="C782" s="3">
        <f>XLOOKUP($Q782,'Threshold Summary'!$Y:$Y,'Threshold Summary'!$N:$N,"")</f>
        <v/>
      </c>
      <c r="D782" s="3">
        <f>IFERROR(INDEX(FILTER('Learnset Editor'!$D$2:$D,'Learnset Editor'!$A$2:$A=XLOOKUP($Q782,'Threshold Summary'!$Y:$Y,'Threshold Summary'!$K:$K,""),'Learnset Editor'!$C$2:$C&lt;=XLOOKUP($Q782,'Threshold Summary'!$Y:$Y,'Threshold Summary'!$L:$L,"")),$R782),"")</f>
        <v/>
      </c>
      <c r="E782" s="3">
        <f>XLOOKUP(D782,'Move Editor'!$B:$B,'Move Editor'!$C:$C,"")</f>
        <v/>
      </c>
      <c r="F782" s="3">
        <f>XLOOKUP(D782,'Move Editor'!$B:$B,'Move Editor'!$D:$D,"")</f>
        <v/>
      </c>
      <c r="G782" s="3">
        <f>XLOOKUP(D782,'Move Editor'!$B:$B,'Move Editor'!$E:$E,0)</f>
        <v/>
      </c>
      <c r="H782" s="3">
        <f>XLOOKUP(D782,'Move Editor'!$B:$B,'Move Editor'!$F:$F,0)</f>
        <v/>
      </c>
      <c r="I782" s="3">
        <f>(INDEX('Type Chart'!$B:$S,MATCH(E782,'Type Chart'!$A:$A,0),MATCH(XLOOKUP('Boss Editor'!$C$4,'Pokemon Editor'!$A:$A,'Pokemon Editor'!$C:$C,""),'Type Chart'!$B$1:$S$1,0))*IF(XLOOKUP('Boss Editor'!$C$4,'Pokemon Editor'!$A:$A,'Pokemon Editor'!$D:$D,"")="",1,INDEX('Type Chart'!$B:$S,MATCH(E782,'Type Chart'!$A:$A,0),MATCH(XLOOKUP('Boss Editor'!$C$4,'Pokemon Editor'!$A:$A,'Pokemon Editor'!$D:$D,""),'Type Chart'!$B$1:$S$1,0))))</f>
        <v/>
      </c>
      <c r="J782" s="3">
        <f>IFERROR(LET(mtype,XLOOKUP($D782,'Move Editor'!$B:$B,'Move Editor'!$C:$C,""),cat,XLOOKUP($D782,'Move Editor'!$B:$B,'Move Editor'!$D:$D,""),pow,XLOOKUP($D782,'Move Editor'!$B:$B,'Move Editor'!$E:$E,0),acc,XLOOKUP($D782,'Move Editor'!$B:$B,'Move Editor'!$F:$F,100),atk,IF(cat="Physical",FLOOR((FLOOR(((2*XLOOKUP(XLOOKUP($Q782,'Threshold Summary'!$Y:$Y,'Threshold Summary'!$K:$K,""),'Pokemon Editor'!$A:$A,'Pokemon Editor'!$F:$F,0)+31+FLOOR(XLOOKUP($Q782,'Threshold Summary'!$Y:$Y,'Threshold Summary'!$P:$P,"")/4))*XLOOKUP($Q782,'Threshold Summary'!$Y:$Y,'Threshold Summary'!$L:$L,""))/100)+5)*XLOOKUP(XLOOKUP($Q782,'Threshold Summary'!$Y:$Y,'Threshold Summary'!$M:$M,""),'Nature Editor'!$A:$A,'Nature Editor'!$B:$B,1)),FLOOR((FLOOR(((2*XLOOKUP(XLOOKUP($Q782,'Threshold Summary'!$Y:$Y,'Threshold Summary'!$K:$K,""),'Pokemon Editor'!$A:$A,'Pokemon Editor'!$H:$H,0)+31+FLOOR(XLOOKUP($Q782,'Threshold Summary'!$Y:$Y,'Threshold Summary'!$R:$R,"")/4))*XLOOKUP($Q782,'Threshold Summary'!$Y:$Y,'Threshold Summary'!$L:$L,""))/100)+5)*XLOOKUP(XLOOKUP($Q782,'Threshold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Editor'!$E:$E,1))),stab,IF(OR(mtype=XLOOKUP(XLOOKUP($Q782,'Threshold Summary'!$Y:$Y,'Threshold Summary'!$K:$K,""),'Pokemon Editor'!$A:$A,'Pokemon Editor'!$C:$C,""),mtype=XLOOKUP(XLOOKUP($Q782,'Threshold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Chart'!$B$1:$S$1,0)))),base,IF(OR(cat="Status",pow=0),0,FLOOR(FLOOR(FLOOR((2*XLOOKUP($Q782,'Threshold Summary'!$Y:$Y,'Threshold Summary'!$L:$L,"")/5+2)*pow*atk/def)/50)+2)),modifier,stab*eff,FLOOR(base*modifier*0.85)),0)</f>
        <v/>
      </c>
      <c r="K782" s="3">
        <f>IFERROR(LET(mtype,XLOOKUP($D782,'Move Editor'!$B:$B,'Move Editor'!$C:$C,""),cat,XLOOKUP($D782,'Move Editor'!$B:$B,'Move Editor'!$D:$D,""),pow,XLOOKUP($D782,'Move Editor'!$B:$B,'Move Editor'!$E:$E,0),acc,XLOOKUP($D782,'Move Editor'!$B:$B,'Move Editor'!$F:$F,100),atk,IF(cat="Physical",FLOOR((FLOOR(((2*XLOOKUP(XLOOKUP($Q782,'Threshold Summary'!$Y:$Y,'Threshold Summary'!$K:$K,""),'Pokemon Editor'!$A:$A,'Pokemon Editor'!$F:$F,0)+31+FLOOR(XLOOKUP($Q782,'Threshold Summary'!$Y:$Y,'Threshold Summary'!$P:$P,"")/4))*XLOOKUP($Q782,'Threshold Summary'!$Y:$Y,'Threshold Summary'!$L:$L,""))/100)+5)*XLOOKUP(XLOOKUP($Q782,'Threshold Summary'!$Y:$Y,'Threshold Summary'!$M:$M,""),'Nature Editor'!$A:$A,'Nature Editor'!$B:$B,1)),FLOOR((FLOOR(((2*XLOOKUP(XLOOKUP($Q782,'Threshold Summary'!$Y:$Y,'Threshold Summary'!$K:$K,""),'Pokemon Editor'!$A:$A,'Pokemon Editor'!$H:$H,0)+31+FLOOR(XLOOKUP($Q782,'Threshold Summary'!$Y:$Y,'Threshold Summary'!$R:$R,"")/4))*XLOOKUP($Q782,'Threshold Summary'!$Y:$Y,'Threshold Summary'!$L:$L,""))/100)+5)*XLOOKUP(XLOOKUP($Q782,'Threshold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Editor'!$E:$E,1))),stab,IF(OR(mtype=XLOOKUP(XLOOKUP($Q782,'Threshold Summary'!$Y:$Y,'Threshold Summary'!$K:$K,""),'Pokemon Editor'!$A:$A,'Pokemon Editor'!$C:$C,""),mtype=XLOOKUP(XLOOKUP($Q782,'Threshold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Chart'!$B$1:$S$1,0)))),base,IF(OR(cat="Status",pow=0),0,FLOOR(FLOOR(FLOOR((2*XLOOKUP($Q782,'Threshold Summary'!$Y:$Y,'Threshold Summary'!$L:$L,"")/5+2)*pow*atk/def)/50)+2)),modifier,stab*eff,FLOOR(base*modifier)),0)</f>
        <v/>
      </c>
      <c r="L782" s="3">
        <f>IFERROR(LET(mtype,XLOOKUP($D782,'Move Editor'!$B:$B,'Move Editor'!$C:$C,""),cat,XLOOKUP($D782,'Move Editor'!$B:$B,'Move Editor'!$D:$D,""),pow,XLOOKUP($D782,'Move Editor'!$B:$B,'Move Editor'!$E:$E,0),acc,XLOOKUP($D782,'Move Editor'!$B:$B,'Move Editor'!$F:$F,100),atk,IF(cat="Physical",FLOOR((FLOOR(((2*XLOOKUP(XLOOKUP($Q782,'Threshold Summary'!$Y:$Y,'Threshold Summary'!$K:$K,""),'Pokemon Editor'!$A:$A,'Pokemon Editor'!$F:$F,0)+31+FLOOR(XLOOKUP($Q782,'Threshold Summary'!$Y:$Y,'Threshold Summary'!$P:$P,"")/4))*XLOOKUP($Q782,'Threshold Summary'!$Y:$Y,'Threshold Summary'!$L:$L,""))/100)+5)*XLOOKUP(XLOOKUP($Q782,'Threshold Summary'!$Y:$Y,'Threshold Summary'!$M:$M,""),'Nature Editor'!$A:$A,'Nature Editor'!$B:$B,1)),FLOOR((FLOOR(((2*XLOOKUP(XLOOKUP($Q782,'Threshold Summary'!$Y:$Y,'Threshold Summary'!$K:$K,""),'Pokemon Editor'!$A:$A,'Pokemon Editor'!$H:$H,0)+31+FLOOR(XLOOKUP($Q782,'Threshold Summary'!$Y:$Y,'Threshold Summary'!$R:$R,"")/4))*XLOOKUP($Q782,'Threshold Summary'!$Y:$Y,'Threshold Summary'!$L:$L,""))/100)+5)*XLOOKUP(XLOOKUP($Q782,'Threshold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Editor'!$E:$E,1))),stab,IF(OR(mtype=XLOOKUP(XLOOKUP($Q782,'Threshold Summary'!$Y:$Y,'Threshold Summary'!$K:$K,""),'Pokemon Editor'!$A:$A,'Pokemon Editor'!$C:$C,""),mtype=XLOOKUP(XLOOKUP($Q782,'Threshold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Chart'!$B$1:$S$1,0)))),base,IF(OR(cat="Status",pow=0),0,FLOOR(FLOOR(FLOOR((2*XLOOKUP($Q782,'Threshold Summary'!$Y:$Y,'Threshold Summary'!$L:$L,"")/5+2)*pow*atk/def)/50)+2)),modifier,stab*eff,AVERAGE(ARRAYFORMULA(FLOOR(base*modifier*SEQUENCE(16,1,85,1)/100)))),0)</f>
        <v/>
      </c>
      <c r="M782" s="3">
        <f>IFERROR(LET(mtype,XLOOKUP($D782,'Move Editor'!$B:$B,'Move Editor'!$C:$C,""),cat,XLOOKUP($D782,'Move Editor'!$B:$B,'Move Editor'!$D:$D,""),pow,XLOOKUP($D782,'Move Editor'!$B:$B,'Move Editor'!$E:$E,0),acc,XLOOKUP($D782,'Move Editor'!$B:$B,'Move Editor'!$F:$F,100),atk,IF(cat="Physical",FLOOR((FLOOR(((2*XLOOKUP(XLOOKUP($Q782,'Threshold Summary'!$Y:$Y,'Threshold Summary'!$K:$K,""),'Pokemon Editor'!$A:$A,'Pokemon Editor'!$F:$F,0)+31+FLOOR(XLOOKUP($Q782,'Threshold Summary'!$Y:$Y,'Threshold Summary'!$P:$P,"")/4))*XLOOKUP($Q782,'Threshold Summary'!$Y:$Y,'Threshold Summary'!$L:$L,""))/100)+5)*XLOOKUP(XLOOKUP($Q782,'Threshold Summary'!$Y:$Y,'Threshold Summary'!$M:$M,""),'Nature Editor'!$A:$A,'Nature Editor'!$B:$B,1)),FLOOR((FLOOR(((2*XLOOKUP(XLOOKUP($Q782,'Threshold Summary'!$Y:$Y,'Threshold Summary'!$K:$K,""),'Pokemon Editor'!$A:$A,'Pokemon Editor'!$H:$H,0)+31+FLOOR(XLOOKUP($Q782,'Threshold Summary'!$Y:$Y,'Threshold Summary'!$R:$R,"")/4))*XLOOKUP($Q782,'Threshold Summary'!$Y:$Y,'Threshold Summary'!$L:$L,""))/100)+5)*XLOOKUP(XLOOKUP($Q782,'Threshold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Editor'!$E:$E,1))),stab,IF(OR(mtype=XLOOKUP(XLOOKUP($Q782,'Threshold Summary'!$Y:$Y,'Threshold Summary'!$K:$K,""),'Pokemon Editor'!$A:$A,'Pokemon Editor'!$C:$C,""),mtype=XLOOKUP(XLOOKUP($Q782,'Threshold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Chart'!$B$1:$S$1,0)))),base,IF(OR(cat="Status",pow=0),0,FLOOR(FLOOR(FLOOR((2*XLOOKUP($Q782,'Threshold Summary'!$Y:$Y,'Threshold Summary'!$L:$L,"")/5+2)*pow*atk/def)/50)+2)),modifier,stab*eff,AVERAGE(ARRAYFORMULA(FLOOR(base*modifier*SEQUENCE(16,1,85,1)/100)))*MIN(1,acc/100)),0)</f>
        <v/>
      </c>
      <c r="N782" s="4">
        <f>IFERROR(LET(mtype,XLOOKUP($D782,'Move Editor'!$B:$B,'Move Editor'!$C:$C,""),cat,XLOOKUP($D782,'Move Editor'!$B:$B,'Move Editor'!$D:$D,""),pow,XLOOKUP($D782,'Move Editor'!$B:$B,'Move Editor'!$E:$E,0),acc,XLOOKUP($D782,'Move Editor'!$B:$B,'Move Editor'!$F:$F,100),atk,IF(cat="Physical",FLOOR((FLOOR(((2*XLOOKUP(XLOOKUP($Q782,'Threshold Summary'!$Y:$Y,'Threshold Summary'!$K:$K,""),'Pokemon Editor'!$A:$A,'Pokemon Editor'!$F:$F,0)+31+FLOOR(XLOOKUP($Q782,'Threshold Summary'!$Y:$Y,'Threshold Summary'!$P:$P,"")/4))*XLOOKUP($Q782,'Threshold Summary'!$Y:$Y,'Threshold Summary'!$L:$L,""))/100)+5)*XLOOKUP(XLOOKUP($Q782,'Threshold Summary'!$Y:$Y,'Threshold Summary'!$M:$M,""),'Nature Editor'!$A:$A,'Nature Editor'!$B:$B,1)),FLOOR((FLOOR(((2*XLOOKUP(XLOOKUP($Q782,'Threshold Summary'!$Y:$Y,'Threshold Summary'!$K:$K,""),'Pokemon Editor'!$A:$A,'Pokemon Editor'!$H:$H,0)+31+FLOOR(XLOOKUP($Q782,'Threshold Summary'!$Y:$Y,'Threshold Summary'!$R:$R,"")/4))*XLOOKUP($Q782,'Threshold Summary'!$Y:$Y,'Threshold Summary'!$L:$L,""))/100)+5)*XLOOKUP(XLOOKUP($Q782,'Threshold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Editor'!$E:$E,1))),stab,IF(OR(mtype=XLOOKUP(XLOOKUP($Q782,'Threshold Summary'!$Y:$Y,'Threshold Summary'!$K:$K,""),'Pokemon Editor'!$A:$A,'Pokemon Editor'!$C:$C,""),mtype=XLOOKUP(XLOOKUP($Q782,'Threshold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Chart'!$B$1:$S$1,0)))),base,IF(OR(cat="Status",pow=0),0,FLOOR(FLOOR(FLOOR((2*XLOOKUP($Q782,'Threshold Summary'!$Y:$Y,'Threshold Summary'!$L:$L,"")/5+2)*pow*atk/def)/50)+2)),modifier,stab*eff,AVERAGE(ARRAYFORMULA(FLOOR(base*modifier*SEQUENCE(16,1,85,1)/100)))/(FLOOR(((2*XLOOKUP('Boss Editor'!$C$4,'Pokemon Editor'!$A:$A,'Pokemon Editor'!$E:$E,0)+31+FLOOR('Boss Editor'!$G$4/4))*'Boss Editor'!$D$4)/100)+'Boss Editor'!$D$4+10)),0)</f>
        <v/>
      </c>
      <c r="O782" s="3">
        <f>IF(N782&gt;=1,"OHKO",IF(N782&gt;=0.5,"2HKO",IF(N782&gt;=0.333,"3HKO",IF(N782&gt;=0.25,"4HKO","5HKO+"))))</f>
        <v/>
      </c>
      <c r="P782" s="3" t="inlineStr">
        <is>
          <t>Live from editable databases</t>
        </is>
      </c>
      <c r="Q782" s="3" t="inlineStr">
        <is>
          <t>SPECIES_BOUNSWEET</t>
        </is>
      </c>
      <c r="R782" s="3" t="n">
        <v>13</v>
      </c>
    </row>
    <row r="783">
      <c r="A783" s="3">
        <f>XLOOKUP($Q783,'Threshold Summary'!$Y:$Y,'Threshold Summary'!$A:$A,"")</f>
        <v/>
      </c>
      <c r="B783" s="3">
        <f>XLOOKUP($Q783,'Threshold Summary'!$Y:$Y,'Threshold Summary'!$M:$M,"")</f>
        <v/>
      </c>
      <c r="C783" s="3">
        <f>XLOOKUP($Q783,'Threshold Summary'!$Y:$Y,'Threshold Summary'!$N:$N,"")</f>
        <v/>
      </c>
      <c r="D783" s="3">
        <f>IFERROR(INDEX(FILTER('Learnset Editor'!$D$2:$D,'Learnset Editor'!$A$2:$A=XLOOKUP($Q783,'Threshold Summary'!$Y:$Y,'Threshold Summary'!$K:$K,""),'Learnset Editor'!$C$2:$C&lt;=XLOOKUP($Q783,'Threshold Summary'!$Y:$Y,'Threshold Summary'!$L:$L,"")),$R783),"")</f>
        <v/>
      </c>
      <c r="E783" s="3">
        <f>XLOOKUP(D783,'Move Editor'!$B:$B,'Move Editor'!$C:$C,"")</f>
        <v/>
      </c>
      <c r="F783" s="3">
        <f>XLOOKUP(D783,'Move Editor'!$B:$B,'Move Editor'!$D:$D,"")</f>
        <v/>
      </c>
      <c r="G783" s="3">
        <f>XLOOKUP(D783,'Move Editor'!$B:$B,'Move Editor'!$E:$E,0)</f>
        <v/>
      </c>
      <c r="H783" s="3">
        <f>XLOOKUP(D783,'Move Editor'!$B:$B,'Move Editor'!$F:$F,0)</f>
        <v/>
      </c>
      <c r="I783" s="3">
        <f>(INDEX('Type Chart'!$B:$S,MATCH(E783,'Type Chart'!$A:$A,0),MATCH(XLOOKUP('Boss Editor'!$C$4,'Pokemon Editor'!$A:$A,'Pokemon Editor'!$C:$C,""),'Type Chart'!$B$1:$S$1,0))*IF(XLOOKUP('Boss Editor'!$C$4,'Pokemon Editor'!$A:$A,'Pokemon Editor'!$D:$D,"")="",1,INDEX('Type Chart'!$B:$S,MATCH(E783,'Type Chart'!$A:$A,0),MATCH(XLOOKUP('Boss Editor'!$C$4,'Pokemon Editor'!$A:$A,'Pokemon Editor'!$D:$D,""),'Type Chart'!$B$1:$S$1,0))))</f>
        <v/>
      </c>
      <c r="J783" s="3">
        <f>IFERROR(LET(mtype,XLOOKUP($D783,'Move Editor'!$B:$B,'Move Editor'!$C:$C,""),cat,XLOOKUP($D783,'Move Editor'!$B:$B,'Move Editor'!$D:$D,""),pow,XLOOKUP($D783,'Move Editor'!$B:$B,'Move Editor'!$E:$E,0),acc,XLOOKUP($D783,'Move Editor'!$B:$B,'Move Editor'!$F:$F,100),atk,IF(cat="Physical",FLOOR((FLOOR(((2*XLOOKUP(XLOOKUP($Q783,'Threshold Summary'!$Y:$Y,'Threshold Summary'!$K:$K,""),'Pokemon Editor'!$A:$A,'Pokemon Editor'!$F:$F,0)+31+FLOOR(XLOOKUP($Q783,'Threshold Summary'!$Y:$Y,'Threshold Summary'!$P:$P,"")/4))*XLOOKUP($Q783,'Threshold Summary'!$Y:$Y,'Threshold Summary'!$L:$L,""))/100)+5)*XLOOKUP(XLOOKUP($Q783,'Threshold Summary'!$Y:$Y,'Threshold Summary'!$M:$M,""),'Nature Editor'!$A:$A,'Nature Editor'!$B:$B,1)),FLOOR((FLOOR(((2*XLOOKUP(XLOOKUP($Q783,'Threshold Summary'!$Y:$Y,'Threshold Summary'!$K:$K,""),'Pokemon Editor'!$A:$A,'Pokemon Editor'!$H:$H,0)+31+FLOOR(XLOOKUP($Q783,'Threshold Summary'!$Y:$Y,'Threshold Summary'!$R:$R,"")/4))*XLOOKUP($Q783,'Threshold Summary'!$Y:$Y,'Threshold Summary'!$L:$L,""))/100)+5)*XLOOKUP(XLOOKUP($Q783,'Threshold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Editor'!$E:$E,1))),stab,IF(OR(mtype=XLOOKUP(XLOOKUP($Q783,'Threshold Summary'!$Y:$Y,'Threshold Summary'!$K:$K,""),'Pokemon Editor'!$A:$A,'Pokemon Editor'!$C:$C,""),mtype=XLOOKUP(XLOOKUP($Q783,'Threshold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Chart'!$B$1:$S$1,0)))),base,IF(OR(cat="Status",pow=0),0,FLOOR(FLOOR(FLOOR((2*XLOOKUP($Q783,'Threshold Summary'!$Y:$Y,'Threshold Summary'!$L:$L,"")/5+2)*pow*atk/def)/50)+2)),modifier,stab*eff,FLOOR(base*modifier*0.85)),0)</f>
        <v/>
      </c>
      <c r="K783" s="3">
        <f>IFERROR(LET(mtype,XLOOKUP($D783,'Move Editor'!$B:$B,'Move Editor'!$C:$C,""),cat,XLOOKUP($D783,'Move Editor'!$B:$B,'Move Editor'!$D:$D,""),pow,XLOOKUP($D783,'Move Editor'!$B:$B,'Move Editor'!$E:$E,0),acc,XLOOKUP($D783,'Move Editor'!$B:$B,'Move Editor'!$F:$F,100),atk,IF(cat="Physical",FLOOR((FLOOR(((2*XLOOKUP(XLOOKUP($Q783,'Threshold Summary'!$Y:$Y,'Threshold Summary'!$K:$K,""),'Pokemon Editor'!$A:$A,'Pokemon Editor'!$F:$F,0)+31+FLOOR(XLOOKUP($Q783,'Threshold Summary'!$Y:$Y,'Threshold Summary'!$P:$P,"")/4))*XLOOKUP($Q783,'Threshold Summary'!$Y:$Y,'Threshold Summary'!$L:$L,""))/100)+5)*XLOOKUP(XLOOKUP($Q783,'Threshold Summary'!$Y:$Y,'Threshold Summary'!$M:$M,""),'Nature Editor'!$A:$A,'Nature Editor'!$B:$B,1)),FLOOR((FLOOR(((2*XLOOKUP(XLOOKUP($Q783,'Threshold Summary'!$Y:$Y,'Threshold Summary'!$K:$K,""),'Pokemon Editor'!$A:$A,'Pokemon Editor'!$H:$H,0)+31+FLOOR(XLOOKUP($Q783,'Threshold Summary'!$Y:$Y,'Threshold Summary'!$R:$R,"")/4))*XLOOKUP($Q783,'Threshold Summary'!$Y:$Y,'Threshold Summary'!$L:$L,""))/100)+5)*XLOOKUP(XLOOKUP($Q783,'Threshold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Editor'!$E:$E,1))),stab,IF(OR(mtype=XLOOKUP(XLOOKUP($Q783,'Threshold Summary'!$Y:$Y,'Threshold Summary'!$K:$K,""),'Pokemon Editor'!$A:$A,'Pokemon Editor'!$C:$C,""),mtype=XLOOKUP(XLOOKUP($Q783,'Threshold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Chart'!$B$1:$S$1,0)))),base,IF(OR(cat="Status",pow=0),0,FLOOR(FLOOR(FLOOR((2*XLOOKUP($Q783,'Threshold Summary'!$Y:$Y,'Threshold Summary'!$L:$L,"")/5+2)*pow*atk/def)/50)+2)),modifier,stab*eff,FLOOR(base*modifier)),0)</f>
        <v/>
      </c>
      <c r="L783" s="3">
        <f>IFERROR(LET(mtype,XLOOKUP($D783,'Move Editor'!$B:$B,'Move Editor'!$C:$C,""),cat,XLOOKUP($D783,'Move Editor'!$B:$B,'Move Editor'!$D:$D,""),pow,XLOOKUP($D783,'Move Editor'!$B:$B,'Move Editor'!$E:$E,0),acc,XLOOKUP($D783,'Move Editor'!$B:$B,'Move Editor'!$F:$F,100),atk,IF(cat="Physical",FLOOR((FLOOR(((2*XLOOKUP(XLOOKUP($Q783,'Threshold Summary'!$Y:$Y,'Threshold Summary'!$K:$K,""),'Pokemon Editor'!$A:$A,'Pokemon Editor'!$F:$F,0)+31+FLOOR(XLOOKUP($Q783,'Threshold Summary'!$Y:$Y,'Threshold Summary'!$P:$P,"")/4))*XLOOKUP($Q783,'Threshold Summary'!$Y:$Y,'Threshold Summary'!$L:$L,""))/100)+5)*XLOOKUP(XLOOKUP($Q783,'Threshold Summary'!$Y:$Y,'Threshold Summary'!$M:$M,""),'Nature Editor'!$A:$A,'Nature Editor'!$B:$B,1)),FLOOR((FLOOR(((2*XLOOKUP(XLOOKUP($Q783,'Threshold Summary'!$Y:$Y,'Threshold Summary'!$K:$K,""),'Pokemon Editor'!$A:$A,'Pokemon Editor'!$H:$H,0)+31+FLOOR(XLOOKUP($Q783,'Threshold Summary'!$Y:$Y,'Threshold Summary'!$R:$R,"")/4))*XLOOKUP($Q783,'Threshold Summary'!$Y:$Y,'Threshold Summary'!$L:$L,""))/100)+5)*XLOOKUP(XLOOKUP($Q783,'Threshold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Editor'!$E:$E,1))),stab,IF(OR(mtype=XLOOKUP(XLOOKUP($Q783,'Threshold Summary'!$Y:$Y,'Threshold Summary'!$K:$K,""),'Pokemon Editor'!$A:$A,'Pokemon Editor'!$C:$C,""),mtype=XLOOKUP(XLOOKUP($Q783,'Threshold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Chart'!$B$1:$S$1,0)))),base,IF(OR(cat="Status",pow=0),0,FLOOR(FLOOR(FLOOR((2*XLOOKUP($Q783,'Threshold Summary'!$Y:$Y,'Threshold Summary'!$L:$L,"")/5+2)*pow*atk/def)/50)+2)),modifier,stab*eff,AVERAGE(ARRAYFORMULA(FLOOR(base*modifier*SEQUENCE(16,1,85,1)/100)))),0)</f>
        <v/>
      </c>
      <c r="M783" s="3">
        <f>IFERROR(LET(mtype,XLOOKUP($D783,'Move Editor'!$B:$B,'Move Editor'!$C:$C,""),cat,XLOOKUP($D783,'Move Editor'!$B:$B,'Move Editor'!$D:$D,""),pow,XLOOKUP($D783,'Move Editor'!$B:$B,'Move Editor'!$E:$E,0),acc,XLOOKUP($D783,'Move Editor'!$B:$B,'Move Editor'!$F:$F,100),atk,IF(cat="Physical",FLOOR((FLOOR(((2*XLOOKUP(XLOOKUP($Q783,'Threshold Summary'!$Y:$Y,'Threshold Summary'!$K:$K,""),'Pokemon Editor'!$A:$A,'Pokemon Editor'!$F:$F,0)+31+FLOOR(XLOOKUP($Q783,'Threshold Summary'!$Y:$Y,'Threshold Summary'!$P:$P,"")/4))*XLOOKUP($Q783,'Threshold Summary'!$Y:$Y,'Threshold Summary'!$L:$L,""))/100)+5)*XLOOKUP(XLOOKUP($Q783,'Threshold Summary'!$Y:$Y,'Threshold Summary'!$M:$M,""),'Nature Editor'!$A:$A,'Nature Editor'!$B:$B,1)),FLOOR((FLOOR(((2*XLOOKUP(XLOOKUP($Q783,'Threshold Summary'!$Y:$Y,'Threshold Summary'!$K:$K,""),'Pokemon Editor'!$A:$A,'Pokemon Editor'!$H:$H,0)+31+FLOOR(XLOOKUP($Q783,'Threshold Summary'!$Y:$Y,'Threshold Summary'!$R:$R,"")/4))*XLOOKUP($Q783,'Threshold Summary'!$Y:$Y,'Threshold Summary'!$L:$L,""))/100)+5)*XLOOKUP(XLOOKUP($Q783,'Threshold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Editor'!$E:$E,1))),stab,IF(OR(mtype=XLOOKUP(XLOOKUP($Q783,'Threshold Summary'!$Y:$Y,'Threshold Summary'!$K:$K,""),'Pokemon Editor'!$A:$A,'Pokemon Editor'!$C:$C,""),mtype=XLOOKUP(XLOOKUP($Q783,'Threshold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Chart'!$B$1:$S$1,0)))),base,IF(OR(cat="Status",pow=0),0,FLOOR(FLOOR(FLOOR((2*XLOOKUP($Q783,'Threshold Summary'!$Y:$Y,'Threshold Summary'!$L:$L,"")/5+2)*pow*atk/def)/50)+2)),modifier,stab*eff,AVERAGE(ARRAYFORMULA(FLOOR(base*modifier*SEQUENCE(16,1,85,1)/100)))*MIN(1,acc/100)),0)</f>
        <v/>
      </c>
      <c r="N783" s="4">
        <f>IFERROR(LET(mtype,XLOOKUP($D783,'Move Editor'!$B:$B,'Move Editor'!$C:$C,""),cat,XLOOKUP($D783,'Move Editor'!$B:$B,'Move Editor'!$D:$D,""),pow,XLOOKUP($D783,'Move Editor'!$B:$B,'Move Editor'!$E:$E,0),acc,XLOOKUP($D783,'Move Editor'!$B:$B,'Move Editor'!$F:$F,100),atk,IF(cat="Physical",FLOOR((FLOOR(((2*XLOOKUP(XLOOKUP($Q783,'Threshold Summary'!$Y:$Y,'Threshold Summary'!$K:$K,""),'Pokemon Editor'!$A:$A,'Pokemon Editor'!$F:$F,0)+31+FLOOR(XLOOKUP($Q783,'Threshold Summary'!$Y:$Y,'Threshold Summary'!$P:$P,"")/4))*XLOOKUP($Q783,'Threshold Summary'!$Y:$Y,'Threshold Summary'!$L:$L,""))/100)+5)*XLOOKUP(XLOOKUP($Q783,'Threshold Summary'!$Y:$Y,'Threshold Summary'!$M:$M,""),'Nature Editor'!$A:$A,'Nature Editor'!$B:$B,1)),FLOOR((FLOOR(((2*XLOOKUP(XLOOKUP($Q783,'Threshold Summary'!$Y:$Y,'Threshold Summary'!$K:$K,""),'Pokemon Editor'!$A:$A,'Pokemon Editor'!$H:$H,0)+31+FLOOR(XLOOKUP($Q783,'Threshold Summary'!$Y:$Y,'Threshold Summary'!$R:$R,"")/4))*XLOOKUP($Q783,'Threshold Summary'!$Y:$Y,'Threshold Summary'!$L:$L,""))/100)+5)*XLOOKUP(XLOOKUP($Q783,'Threshold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Editor'!$E:$E,1))),stab,IF(OR(mtype=XLOOKUP(XLOOKUP($Q783,'Threshold Summary'!$Y:$Y,'Threshold Summary'!$K:$K,""),'Pokemon Editor'!$A:$A,'Pokemon Editor'!$C:$C,""),mtype=XLOOKUP(XLOOKUP($Q783,'Threshold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Chart'!$B$1:$S$1,0)))),base,IF(OR(cat="Status",pow=0),0,FLOOR(FLOOR(FLOOR((2*XLOOKUP($Q783,'Threshold Summary'!$Y:$Y,'Threshold Summary'!$L:$L,"")/5+2)*pow*atk/def)/50)+2)),modifier,stab*eff,AVERAGE(ARRAYFORMULA(FLOOR(base*modifier*SEQUENCE(16,1,85,1)/100)))/(FLOOR(((2*XLOOKUP('Boss Editor'!$C$4,'Pokemon Editor'!$A:$A,'Pokemon Editor'!$E:$E,0)+31+FLOOR('Boss Editor'!$G$4/4))*'Boss Editor'!$D$4)/100)+'Boss Editor'!$D$4+10)),0)</f>
        <v/>
      </c>
      <c r="O783" s="3">
        <f>IF(N783&gt;=1,"OHKO",IF(N783&gt;=0.5,"2HKO",IF(N783&gt;=0.333,"3HKO",IF(N783&gt;=0.25,"4HKO","5HKO+"))))</f>
        <v/>
      </c>
      <c r="P783" s="3" t="inlineStr">
        <is>
          <t>Live from editable databases</t>
        </is>
      </c>
      <c r="Q783" s="3" t="inlineStr">
        <is>
          <t>SPECIES_BOUNSWEET</t>
        </is>
      </c>
      <c r="R783" s="3" t="n">
        <v>14</v>
      </c>
    </row>
    <row r="784">
      <c r="A784" s="3">
        <f>XLOOKUP($Q784,'Threshold Summary'!$Y:$Y,'Threshold Summary'!$A:$A,"")</f>
        <v/>
      </c>
      <c r="B784" s="3">
        <f>XLOOKUP($Q784,'Threshold Summary'!$Y:$Y,'Threshold Summary'!$M:$M,"")</f>
        <v/>
      </c>
      <c r="C784" s="3">
        <f>XLOOKUP($Q784,'Threshold Summary'!$Y:$Y,'Threshold Summary'!$N:$N,"")</f>
        <v/>
      </c>
      <c r="D784" s="3">
        <f>IFERROR(INDEX(FILTER('Learnset Editor'!$D$2:$D,'Learnset Editor'!$A$2:$A=XLOOKUP($Q784,'Threshold Summary'!$Y:$Y,'Threshold Summary'!$K:$K,""),'Learnset Editor'!$C$2:$C&lt;=XLOOKUP($Q784,'Threshold Summary'!$Y:$Y,'Threshold Summary'!$L:$L,"")),$R784),"")</f>
        <v/>
      </c>
      <c r="E784" s="3">
        <f>XLOOKUP(D784,'Move Editor'!$B:$B,'Move Editor'!$C:$C,"")</f>
        <v/>
      </c>
      <c r="F784" s="3">
        <f>XLOOKUP(D784,'Move Editor'!$B:$B,'Move Editor'!$D:$D,"")</f>
        <v/>
      </c>
      <c r="G784" s="3">
        <f>XLOOKUP(D784,'Move Editor'!$B:$B,'Move Editor'!$E:$E,0)</f>
        <v/>
      </c>
      <c r="H784" s="3">
        <f>XLOOKUP(D784,'Move Editor'!$B:$B,'Move Editor'!$F:$F,0)</f>
        <v/>
      </c>
      <c r="I784" s="3">
        <f>(INDEX('Type Chart'!$B:$S,MATCH(E784,'Type Chart'!$A:$A,0),MATCH(XLOOKUP('Boss Editor'!$C$4,'Pokemon Editor'!$A:$A,'Pokemon Editor'!$C:$C,""),'Type Chart'!$B$1:$S$1,0))*IF(XLOOKUP('Boss Editor'!$C$4,'Pokemon Editor'!$A:$A,'Pokemon Editor'!$D:$D,"")="",1,INDEX('Type Chart'!$B:$S,MATCH(E784,'Type Chart'!$A:$A,0),MATCH(XLOOKUP('Boss Editor'!$C$4,'Pokemon Editor'!$A:$A,'Pokemon Editor'!$D:$D,""),'Type Chart'!$B$1:$S$1,0))))</f>
        <v/>
      </c>
      <c r="J784" s="3">
        <f>IFERROR(LET(mtype,XLOOKUP($D784,'Move Editor'!$B:$B,'Move Editor'!$C:$C,""),cat,XLOOKUP($D784,'Move Editor'!$B:$B,'Move Editor'!$D:$D,""),pow,XLOOKUP($D784,'Move Editor'!$B:$B,'Move Editor'!$E:$E,0),acc,XLOOKUP($D784,'Move Editor'!$B:$B,'Move Editor'!$F:$F,100),atk,IF(cat="Physical",FLOOR((FLOOR(((2*XLOOKUP(XLOOKUP($Q784,'Threshold Summary'!$Y:$Y,'Threshold Summary'!$K:$K,""),'Pokemon Editor'!$A:$A,'Pokemon Editor'!$F:$F,0)+31+FLOOR(XLOOKUP($Q784,'Threshold Summary'!$Y:$Y,'Threshold Summary'!$P:$P,"")/4))*XLOOKUP($Q784,'Threshold Summary'!$Y:$Y,'Threshold Summary'!$L:$L,""))/100)+5)*XLOOKUP(XLOOKUP($Q784,'Threshold Summary'!$Y:$Y,'Threshold Summary'!$M:$M,""),'Nature Editor'!$A:$A,'Nature Editor'!$B:$B,1)),FLOOR((FLOOR(((2*XLOOKUP(XLOOKUP($Q784,'Threshold Summary'!$Y:$Y,'Threshold Summary'!$K:$K,""),'Pokemon Editor'!$A:$A,'Pokemon Editor'!$H:$H,0)+31+FLOOR(XLOOKUP($Q784,'Threshold Summary'!$Y:$Y,'Threshold Summary'!$R:$R,"")/4))*XLOOKUP($Q784,'Threshold Summary'!$Y:$Y,'Threshold Summary'!$L:$L,""))/100)+5)*XLOOKUP(XLOOKUP($Q784,'Threshold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Editor'!$E:$E,1))),stab,IF(OR(mtype=XLOOKUP(XLOOKUP($Q784,'Threshold Summary'!$Y:$Y,'Threshold Summary'!$K:$K,""),'Pokemon Editor'!$A:$A,'Pokemon Editor'!$C:$C,""),mtype=XLOOKUP(XLOOKUP($Q784,'Threshold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Chart'!$B$1:$S$1,0)))),base,IF(OR(cat="Status",pow=0),0,FLOOR(FLOOR(FLOOR((2*XLOOKUP($Q784,'Threshold Summary'!$Y:$Y,'Threshold Summary'!$L:$L,"")/5+2)*pow*atk/def)/50)+2)),modifier,stab*eff,FLOOR(base*modifier*0.85)),0)</f>
        <v/>
      </c>
      <c r="K784" s="3">
        <f>IFERROR(LET(mtype,XLOOKUP($D784,'Move Editor'!$B:$B,'Move Editor'!$C:$C,""),cat,XLOOKUP($D784,'Move Editor'!$B:$B,'Move Editor'!$D:$D,""),pow,XLOOKUP($D784,'Move Editor'!$B:$B,'Move Editor'!$E:$E,0),acc,XLOOKUP($D784,'Move Editor'!$B:$B,'Move Editor'!$F:$F,100),atk,IF(cat="Physical",FLOOR((FLOOR(((2*XLOOKUP(XLOOKUP($Q784,'Threshold Summary'!$Y:$Y,'Threshold Summary'!$K:$K,""),'Pokemon Editor'!$A:$A,'Pokemon Editor'!$F:$F,0)+31+FLOOR(XLOOKUP($Q784,'Threshold Summary'!$Y:$Y,'Threshold Summary'!$P:$P,"")/4))*XLOOKUP($Q784,'Threshold Summary'!$Y:$Y,'Threshold Summary'!$L:$L,""))/100)+5)*XLOOKUP(XLOOKUP($Q784,'Threshold Summary'!$Y:$Y,'Threshold Summary'!$M:$M,""),'Nature Editor'!$A:$A,'Nature Editor'!$B:$B,1)),FLOOR((FLOOR(((2*XLOOKUP(XLOOKUP($Q784,'Threshold Summary'!$Y:$Y,'Threshold Summary'!$K:$K,""),'Pokemon Editor'!$A:$A,'Pokemon Editor'!$H:$H,0)+31+FLOOR(XLOOKUP($Q784,'Threshold Summary'!$Y:$Y,'Threshold Summary'!$R:$R,"")/4))*XLOOKUP($Q784,'Threshold Summary'!$Y:$Y,'Threshold Summary'!$L:$L,""))/100)+5)*XLOOKUP(XLOOKUP($Q784,'Threshold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Editor'!$E:$E,1))),stab,IF(OR(mtype=XLOOKUP(XLOOKUP($Q784,'Threshold Summary'!$Y:$Y,'Threshold Summary'!$K:$K,""),'Pokemon Editor'!$A:$A,'Pokemon Editor'!$C:$C,""),mtype=XLOOKUP(XLOOKUP($Q784,'Threshold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Chart'!$B$1:$S$1,0)))),base,IF(OR(cat="Status",pow=0),0,FLOOR(FLOOR(FLOOR((2*XLOOKUP($Q784,'Threshold Summary'!$Y:$Y,'Threshold Summary'!$L:$L,"")/5+2)*pow*atk/def)/50)+2)),modifier,stab*eff,FLOOR(base*modifier)),0)</f>
        <v/>
      </c>
      <c r="L784" s="3">
        <f>IFERROR(LET(mtype,XLOOKUP($D784,'Move Editor'!$B:$B,'Move Editor'!$C:$C,""),cat,XLOOKUP($D784,'Move Editor'!$B:$B,'Move Editor'!$D:$D,""),pow,XLOOKUP($D784,'Move Editor'!$B:$B,'Move Editor'!$E:$E,0),acc,XLOOKUP($D784,'Move Editor'!$B:$B,'Move Editor'!$F:$F,100),atk,IF(cat="Physical",FLOOR((FLOOR(((2*XLOOKUP(XLOOKUP($Q784,'Threshold Summary'!$Y:$Y,'Threshold Summary'!$K:$K,""),'Pokemon Editor'!$A:$A,'Pokemon Editor'!$F:$F,0)+31+FLOOR(XLOOKUP($Q784,'Threshold Summary'!$Y:$Y,'Threshold Summary'!$P:$P,"")/4))*XLOOKUP($Q784,'Threshold Summary'!$Y:$Y,'Threshold Summary'!$L:$L,""))/100)+5)*XLOOKUP(XLOOKUP($Q784,'Threshold Summary'!$Y:$Y,'Threshold Summary'!$M:$M,""),'Nature Editor'!$A:$A,'Nature Editor'!$B:$B,1)),FLOOR((FLOOR(((2*XLOOKUP(XLOOKUP($Q784,'Threshold Summary'!$Y:$Y,'Threshold Summary'!$K:$K,""),'Pokemon Editor'!$A:$A,'Pokemon Editor'!$H:$H,0)+31+FLOOR(XLOOKUP($Q784,'Threshold Summary'!$Y:$Y,'Threshold Summary'!$R:$R,"")/4))*XLOOKUP($Q784,'Threshold Summary'!$Y:$Y,'Threshold Summary'!$L:$L,""))/100)+5)*XLOOKUP(XLOOKUP($Q784,'Threshold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Editor'!$E:$E,1))),stab,IF(OR(mtype=XLOOKUP(XLOOKUP($Q784,'Threshold Summary'!$Y:$Y,'Threshold Summary'!$K:$K,""),'Pokemon Editor'!$A:$A,'Pokemon Editor'!$C:$C,""),mtype=XLOOKUP(XLOOKUP($Q784,'Threshold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Chart'!$B$1:$S$1,0)))),base,IF(OR(cat="Status",pow=0),0,FLOOR(FLOOR(FLOOR((2*XLOOKUP($Q784,'Threshold Summary'!$Y:$Y,'Threshold Summary'!$L:$L,"")/5+2)*pow*atk/def)/50)+2)),modifier,stab*eff,AVERAGE(ARRAYFORMULA(FLOOR(base*modifier*SEQUENCE(16,1,85,1)/100)))),0)</f>
        <v/>
      </c>
      <c r="M784" s="3">
        <f>IFERROR(LET(mtype,XLOOKUP($D784,'Move Editor'!$B:$B,'Move Editor'!$C:$C,""),cat,XLOOKUP($D784,'Move Editor'!$B:$B,'Move Editor'!$D:$D,""),pow,XLOOKUP($D784,'Move Editor'!$B:$B,'Move Editor'!$E:$E,0),acc,XLOOKUP($D784,'Move Editor'!$B:$B,'Move Editor'!$F:$F,100),atk,IF(cat="Physical",FLOOR((FLOOR(((2*XLOOKUP(XLOOKUP($Q784,'Threshold Summary'!$Y:$Y,'Threshold Summary'!$K:$K,""),'Pokemon Editor'!$A:$A,'Pokemon Editor'!$F:$F,0)+31+FLOOR(XLOOKUP($Q784,'Threshold Summary'!$Y:$Y,'Threshold Summary'!$P:$P,"")/4))*XLOOKUP($Q784,'Threshold Summary'!$Y:$Y,'Threshold Summary'!$L:$L,""))/100)+5)*XLOOKUP(XLOOKUP($Q784,'Threshold Summary'!$Y:$Y,'Threshold Summary'!$M:$M,""),'Nature Editor'!$A:$A,'Nature Editor'!$B:$B,1)),FLOOR((FLOOR(((2*XLOOKUP(XLOOKUP($Q784,'Threshold Summary'!$Y:$Y,'Threshold Summary'!$K:$K,""),'Pokemon Editor'!$A:$A,'Pokemon Editor'!$H:$H,0)+31+FLOOR(XLOOKUP($Q784,'Threshold Summary'!$Y:$Y,'Threshold Summary'!$R:$R,"")/4))*XLOOKUP($Q784,'Threshold Summary'!$Y:$Y,'Threshold Summary'!$L:$L,""))/100)+5)*XLOOKUP(XLOOKUP($Q784,'Threshold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Editor'!$E:$E,1))),stab,IF(OR(mtype=XLOOKUP(XLOOKUP($Q784,'Threshold Summary'!$Y:$Y,'Threshold Summary'!$K:$K,""),'Pokemon Editor'!$A:$A,'Pokemon Editor'!$C:$C,""),mtype=XLOOKUP(XLOOKUP($Q784,'Threshold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Chart'!$B$1:$S$1,0)))),base,IF(OR(cat="Status",pow=0),0,FLOOR(FLOOR(FLOOR((2*XLOOKUP($Q784,'Threshold Summary'!$Y:$Y,'Threshold Summary'!$L:$L,"")/5+2)*pow*atk/def)/50)+2)),modifier,stab*eff,AVERAGE(ARRAYFORMULA(FLOOR(base*modifier*SEQUENCE(16,1,85,1)/100)))*MIN(1,acc/100)),0)</f>
        <v/>
      </c>
      <c r="N784" s="4">
        <f>IFERROR(LET(mtype,XLOOKUP($D784,'Move Editor'!$B:$B,'Move Editor'!$C:$C,""),cat,XLOOKUP($D784,'Move Editor'!$B:$B,'Move Editor'!$D:$D,""),pow,XLOOKUP($D784,'Move Editor'!$B:$B,'Move Editor'!$E:$E,0),acc,XLOOKUP($D784,'Move Editor'!$B:$B,'Move Editor'!$F:$F,100),atk,IF(cat="Physical",FLOOR((FLOOR(((2*XLOOKUP(XLOOKUP($Q784,'Threshold Summary'!$Y:$Y,'Threshold Summary'!$K:$K,""),'Pokemon Editor'!$A:$A,'Pokemon Editor'!$F:$F,0)+31+FLOOR(XLOOKUP($Q784,'Threshold Summary'!$Y:$Y,'Threshold Summary'!$P:$P,"")/4))*XLOOKUP($Q784,'Threshold Summary'!$Y:$Y,'Threshold Summary'!$L:$L,""))/100)+5)*XLOOKUP(XLOOKUP($Q784,'Threshold Summary'!$Y:$Y,'Threshold Summary'!$M:$M,""),'Nature Editor'!$A:$A,'Nature Editor'!$B:$B,1)),FLOOR((FLOOR(((2*XLOOKUP(XLOOKUP($Q784,'Threshold Summary'!$Y:$Y,'Threshold Summary'!$K:$K,""),'Pokemon Editor'!$A:$A,'Pokemon Editor'!$H:$H,0)+31+FLOOR(XLOOKUP($Q784,'Threshold Summary'!$Y:$Y,'Threshold Summary'!$R:$R,"")/4))*XLOOKUP($Q784,'Threshold Summary'!$Y:$Y,'Threshold Summary'!$L:$L,""))/100)+5)*XLOOKUP(XLOOKUP($Q784,'Threshold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Editor'!$E:$E,1))),stab,IF(OR(mtype=XLOOKUP(XLOOKUP($Q784,'Threshold Summary'!$Y:$Y,'Threshold Summary'!$K:$K,""),'Pokemon Editor'!$A:$A,'Pokemon Editor'!$C:$C,""),mtype=XLOOKUP(XLOOKUP($Q784,'Threshold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Chart'!$B$1:$S$1,0)))),base,IF(OR(cat="Status",pow=0),0,FLOOR(FLOOR(FLOOR((2*XLOOKUP($Q784,'Threshold Summary'!$Y:$Y,'Threshold Summary'!$L:$L,"")/5+2)*pow*atk/def)/50)+2)),modifier,stab*eff,AVERAGE(ARRAYFORMULA(FLOOR(base*modifier*SEQUENCE(16,1,85,1)/100)))/(FLOOR(((2*XLOOKUP('Boss Editor'!$C$4,'Pokemon Editor'!$A:$A,'Pokemon Editor'!$E:$E,0)+31+FLOOR('Boss Editor'!$G$4/4))*'Boss Editor'!$D$4)/100)+'Boss Editor'!$D$4+10)),0)</f>
        <v/>
      </c>
      <c r="O784" s="3">
        <f>IF(N784&gt;=1,"OHKO",IF(N784&gt;=0.5,"2HKO",IF(N784&gt;=0.333,"3HKO",IF(N784&gt;=0.25,"4HKO","5HKO+"))))</f>
        <v/>
      </c>
      <c r="P784" s="3" t="inlineStr">
        <is>
          <t>Live from editable databases</t>
        </is>
      </c>
      <c r="Q784" s="3" t="inlineStr">
        <is>
          <t>SPECIES_BOUNSWEET</t>
        </is>
      </c>
      <c r="R784" s="3" t="n">
        <v>15</v>
      </c>
    </row>
    <row r="785">
      <c r="A785" s="3">
        <f>XLOOKUP($Q785,'Threshold Summary'!$Y:$Y,'Threshold Summary'!$A:$A,"")</f>
        <v/>
      </c>
      <c r="B785" s="3">
        <f>XLOOKUP($Q785,'Threshold Summary'!$Y:$Y,'Threshold Summary'!$M:$M,"")</f>
        <v/>
      </c>
      <c r="C785" s="3">
        <f>XLOOKUP($Q785,'Threshold Summary'!$Y:$Y,'Threshold Summary'!$N:$N,"")</f>
        <v/>
      </c>
      <c r="D785" s="3">
        <f>IFERROR(INDEX(FILTER('Learnset Editor'!$D$2:$D,'Learnset Editor'!$A$2:$A=XLOOKUP($Q785,'Threshold Summary'!$Y:$Y,'Threshold Summary'!$K:$K,""),'Learnset Editor'!$C$2:$C&lt;=XLOOKUP($Q785,'Threshold Summary'!$Y:$Y,'Threshold Summary'!$L:$L,"")),$R785),"")</f>
        <v/>
      </c>
      <c r="E785" s="3">
        <f>XLOOKUP(D785,'Move Editor'!$B:$B,'Move Editor'!$C:$C,"")</f>
        <v/>
      </c>
      <c r="F785" s="3">
        <f>XLOOKUP(D785,'Move Editor'!$B:$B,'Move Editor'!$D:$D,"")</f>
        <v/>
      </c>
      <c r="G785" s="3">
        <f>XLOOKUP(D785,'Move Editor'!$B:$B,'Move Editor'!$E:$E,0)</f>
        <v/>
      </c>
      <c r="H785" s="3">
        <f>XLOOKUP(D785,'Move Editor'!$B:$B,'Move Editor'!$F:$F,0)</f>
        <v/>
      </c>
      <c r="I785" s="3">
        <f>(INDEX('Type Chart'!$B:$S,MATCH(E785,'Type Chart'!$A:$A,0),MATCH(XLOOKUP('Boss Editor'!$C$4,'Pokemon Editor'!$A:$A,'Pokemon Editor'!$C:$C,""),'Type Chart'!$B$1:$S$1,0))*IF(XLOOKUP('Boss Editor'!$C$4,'Pokemon Editor'!$A:$A,'Pokemon Editor'!$D:$D,"")="",1,INDEX('Type Chart'!$B:$S,MATCH(E785,'Type Chart'!$A:$A,0),MATCH(XLOOKUP('Boss Editor'!$C$4,'Pokemon Editor'!$A:$A,'Pokemon Editor'!$D:$D,""),'Type Chart'!$B$1:$S$1,0))))</f>
        <v/>
      </c>
      <c r="J785" s="3">
        <f>IFERROR(LET(mtype,XLOOKUP($D785,'Move Editor'!$B:$B,'Move Editor'!$C:$C,""),cat,XLOOKUP($D785,'Move Editor'!$B:$B,'Move Editor'!$D:$D,""),pow,XLOOKUP($D785,'Move Editor'!$B:$B,'Move Editor'!$E:$E,0),acc,XLOOKUP($D785,'Move Editor'!$B:$B,'Move Editor'!$F:$F,100),atk,IF(cat="Physical",FLOOR((FLOOR(((2*XLOOKUP(XLOOKUP($Q785,'Threshold Summary'!$Y:$Y,'Threshold Summary'!$K:$K,""),'Pokemon Editor'!$A:$A,'Pokemon Editor'!$F:$F,0)+31+FLOOR(XLOOKUP($Q785,'Threshold Summary'!$Y:$Y,'Threshold Summary'!$P:$P,"")/4))*XLOOKUP($Q785,'Threshold Summary'!$Y:$Y,'Threshold Summary'!$L:$L,""))/100)+5)*XLOOKUP(XLOOKUP($Q785,'Threshold Summary'!$Y:$Y,'Threshold Summary'!$M:$M,""),'Nature Editor'!$A:$A,'Nature Editor'!$B:$B,1)),FLOOR((FLOOR(((2*XLOOKUP(XLOOKUP($Q785,'Threshold Summary'!$Y:$Y,'Threshold Summary'!$K:$K,""),'Pokemon Editor'!$A:$A,'Pokemon Editor'!$H:$H,0)+31+FLOOR(XLOOKUP($Q785,'Threshold Summary'!$Y:$Y,'Threshold Summary'!$R:$R,"")/4))*XLOOKUP($Q785,'Threshold Summary'!$Y:$Y,'Threshold Summary'!$L:$L,""))/100)+5)*XLOOKUP(XLOOKUP($Q785,'Threshold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Editor'!$E:$E,1))),stab,IF(OR(mtype=XLOOKUP(XLOOKUP($Q785,'Threshold Summary'!$Y:$Y,'Threshold Summary'!$K:$K,""),'Pokemon Editor'!$A:$A,'Pokemon Editor'!$C:$C,""),mtype=XLOOKUP(XLOOKUP($Q785,'Threshold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Chart'!$B$1:$S$1,0)))),base,IF(OR(cat="Status",pow=0),0,FLOOR(FLOOR(FLOOR((2*XLOOKUP($Q785,'Threshold Summary'!$Y:$Y,'Threshold Summary'!$L:$L,"")/5+2)*pow*atk/def)/50)+2)),modifier,stab*eff,FLOOR(base*modifier*0.85)),0)</f>
        <v/>
      </c>
      <c r="K785" s="3">
        <f>IFERROR(LET(mtype,XLOOKUP($D785,'Move Editor'!$B:$B,'Move Editor'!$C:$C,""),cat,XLOOKUP($D785,'Move Editor'!$B:$B,'Move Editor'!$D:$D,""),pow,XLOOKUP($D785,'Move Editor'!$B:$B,'Move Editor'!$E:$E,0),acc,XLOOKUP($D785,'Move Editor'!$B:$B,'Move Editor'!$F:$F,100),atk,IF(cat="Physical",FLOOR((FLOOR(((2*XLOOKUP(XLOOKUP($Q785,'Threshold Summary'!$Y:$Y,'Threshold Summary'!$K:$K,""),'Pokemon Editor'!$A:$A,'Pokemon Editor'!$F:$F,0)+31+FLOOR(XLOOKUP($Q785,'Threshold Summary'!$Y:$Y,'Threshold Summary'!$P:$P,"")/4))*XLOOKUP($Q785,'Threshold Summary'!$Y:$Y,'Threshold Summary'!$L:$L,""))/100)+5)*XLOOKUP(XLOOKUP($Q785,'Threshold Summary'!$Y:$Y,'Threshold Summary'!$M:$M,""),'Nature Editor'!$A:$A,'Nature Editor'!$B:$B,1)),FLOOR((FLOOR(((2*XLOOKUP(XLOOKUP($Q785,'Threshold Summary'!$Y:$Y,'Threshold Summary'!$K:$K,""),'Pokemon Editor'!$A:$A,'Pokemon Editor'!$H:$H,0)+31+FLOOR(XLOOKUP($Q785,'Threshold Summary'!$Y:$Y,'Threshold Summary'!$R:$R,"")/4))*XLOOKUP($Q785,'Threshold Summary'!$Y:$Y,'Threshold Summary'!$L:$L,""))/100)+5)*XLOOKUP(XLOOKUP($Q785,'Threshold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Editor'!$E:$E,1))),stab,IF(OR(mtype=XLOOKUP(XLOOKUP($Q785,'Threshold Summary'!$Y:$Y,'Threshold Summary'!$K:$K,""),'Pokemon Editor'!$A:$A,'Pokemon Editor'!$C:$C,""),mtype=XLOOKUP(XLOOKUP($Q785,'Threshold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Chart'!$B$1:$S$1,0)))),base,IF(OR(cat="Status",pow=0),0,FLOOR(FLOOR(FLOOR((2*XLOOKUP($Q785,'Threshold Summary'!$Y:$Y,'Threshold Summary'!$L:$L,"")/5+2)*pow*atk/def)/50)+2)),modifier,stab*eff,FLOOR(base*modifier)),0)</f>
        <v/>
      </c>
      <c r="L785" s="3">
        <f>IFERROR(LET(mtype,XLOOKUP($D785,'Move Editor'!$B:$B,'Move Editor'!$C:$C,""),cat,XLOOKUP($D785,'Move Editor'!$B:$B,'Move Editor'!$D:$D,""),pow,XLOOKUP($D785,'Move Editor'!$B:$B,'Move Editor'!$E:$E,0),acc,XLOOKUP($D785,'Move Editor'!$B:$B,'Move Editor'!$F:$F,100),atk,IF(cat="Physical",FLOOR((FLOOR(((2*XLOOKUP(XLOOKUP($Q785,'Threshold Summary'!$Y:$Y,'Threshold Summary'!$K:$K,""),'Pokemon Editor'!$A:$A,'Pokemon Editor'!$F:$F,0)+31+FLOOR(XLOOKUP($Q785,'Threshold Summary'!$Y:$Y,'Threshold Summary'!$P:$P,"")/4))*XLOOKUP($Q785,'Threshold Summary'!$Y:$Y,'Threshold Summary'!$L:$L,""))/100)+5)*XLOOKUP(XLOOKUP($Q785,'Threshold Summary'!$Y:$Y,'Threshold Summary'!$M:$M,""),'Nature Editor'!$A:$A,'Nature Editor'!$B:$B,1)),FLOOR((FLOOR(((2*XLOOKUP(XLOOKUP($Q785,'Threshold Summary'!$Y:$Y,'Threshold Summary'!$K:$K,""),'Pokemon Editor'!$A:$A,'Pokemon Editor'!$H:$H,0)+31+FLOOR(XLOOKUP($Q785,'Threshold Summary'!$Y:$Y,'Threshold Summary'!$R:$R,"")/4))*XLOOKUP($Q785,'Threshold Summary'!$Y:$Y,'Threshold Summary'!$L:$L,""))/100)+5)*XLOOKUP(XLOOKUP($Q785,'Threshold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Editor'!$E:$E,1))),stab,IF(OR(mtype=XLOOKUP(XLOOKUP($Q785,'Threshold Summary'!$Y:$Y,'Threshold Summary'!$K:$K,""),'Pokemon Editor'!$A:$A,'Pokemon Editor'!$C:$C,""),mtype=XLOOKUP(XLOOKUP($Q785,'Threshold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Chart'!$B$1:$S$1,0)))),base,IF(OR(cat="Status",pow=0),0,FLOOR(FLOOR(FLOOR((2*XLOOKUP($Q785,'Threshold Summary'!$Y:$Y,'Threshold Summary'!$L:$L,"")/5+2)*pow*atk/def)/50)+2)),modifier,stab*eff,AVERAGE(ARRAYFORMULA(FLOOR(base*modifier*SEQUENCE(16,1,85,1)/100)))),0)</f>
        <v/>
      </c>
      <c r="M785" s="3">
        <f>IFERROR(LET(mtype,XLOOKUP($D785,'Move Editor'!$B:$B,'Move Editor'!$C:$C,""),cat,XLOOKUP($D785,'Move Editor'!$B:$B,'Move Editor'!$D:$D,""),pow,XLOOKUP($D785,'Move Editor'!$B:$B,'Move Editor'!$E:$E,0),acc,XLOOKUP($D785,'Move Editor'!$B:$B,'Move Editor'!$F:$F,100),atk,IF(cat="Physical",FLOOR((FLOOR(((2*XLOOKUP(XLOOKUP($Q785,'Threshold Summary'!$Y:$Y,'Threshold Summary'!$K:$K,""),'Pokemon Editor'!$A:$A,'Pokemon Editor'!$F:$F,0)+31+FLOOR(XLOOKUP($Q785,'Threshold Summary'!$Y:$Y,'Threshold Summary'!$P:$P,"")/4))*XLOOKUP($Q785,'Threshold Summary'!$Y:$Y,'Threshold Summary'!$L:$L,""))/100)+5)*XLOOKUP(XLOOKUP($Q785,'Threshold Summary'!$Y:$Y,'Threshold Summary'!$M:$M,""),'Nature Editor'!$A:$A,'Nature Editor'!$B:$B,1)),FLOOR((FLOOR(((2*XLOOKUP(XLOOKUP($Q785,'Threshold Summary'!$Y:$Y,'Threshold Summary'!$K:$K,""),'Pokemon Editor'!$A:$A,'Pokemon Editor'!$H:$H,0)+31+FLOOR(XLOOKUP($Q785,'Threshold Summary'!$Y:$Y,'Threshold Summary'!$R:$R,"")/4))*XLOOKUP($Q785,'Threshold Summary'!$Y:$Y,'Threshold Summary'!$L:$L,""))/100)+5)*XLOOKUP(XLOOKUP($Q785,'Threshold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Editor'!$E:$E,1))),stab,IF(OR(mtype=XLOOKUP(XLOOKUP($Q785,'Threshold Summary'!$Y:$Y,'Threshold Summary'!$K:$K,""),'Pokemon Editor'!$A:$A,'Pokemon Editor'!$C:$C,""),mtype=XLOOKUP(XLOOKUP($Q785,'Threshold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Chart'!$B$1:$S$1,0)))),base,IF(OR(cat="Status",pow=0),0,FLOOR(FLOOR(FLOOR((2*XLOOKUP($Q785,'Threshold Summary'!$Y:$Y,'Threshold Summary'!$L:$L,"")/5+2)*pow*atk/def)/50)+2)),modifier,stab*eff,AVERAGE(ARRAYFORMULA(FLOOR(base*modifier*SEQUENCE(16,1,85,1)/100)))*MIN(1,acc/100)),0)</f>
        <v/>
      </c>
      <c r="N785" s="4">
        <f>IFERROR(LET(mtype,XLOOKUP($D785,'Move Editor'!$B:$B,'Move Editor'!$C:$C,""),cat,XLOOKUP($D785,'Move Editor'!$B:$B,'Move Editor'!$D:$D,""),pow,XLOOKUP($D785,'Move Editor'!$B:$B,'Move Editor'!$E:$E,0),acc,XLOOKUP($D785,'Move Editor'!$B:$B,'Move Editor'!$F:$F,100),atk,IF(cat="Physical",FLOOR((FLOOR(((2*XLOOKUP(XLOOKUP($Q785,'Threshold Summary'!$Y:$Y,'Threshold Summary'!$K:$K,""),'Pokemon Editor'!$A:$A,'Pokemon Editor'!$F:$F,0)+31+FLOOR(XLOOKUP($Q785,'Threshold Summary'!$Y:$Y,'Threshold Summary'!$P:$P,"")/4))*XLOOKUP($Q785,'Threshold Summary'!$Y:$Y,'Threshold Summary'!$L:$L,""))/100)+5)*XLOOKUP(XLOOKUP($Q785,'Threshold Summary'!$Y:$Y,'Threshold Summary'!$M:$M,""),'Nature Editor'!$A:$A,'Nature Editor'!$B:$B,1)),FLOOR((FLOOR(((2*XLOOKUP(XLOOKUP($Q785,'Threshold Summary'!$Y:$Y,'Threshold Summary'!$K:$K,""),'Pokemon Editor'!$A:$A,'Pokemon Editor'!$H:$H,0)+31+FLOOR(XLOOKUP($Q785,'Threshold Summary'!$Y:$Y,'Threshold Summary'!$R:$R,"")/4))*XLOOKUP($Q785,'Threshold Summary'!$Y:$Y,'Threshold Summary'!$L:$L,""))/100)+5)*XLOOKUP(XLOOKUP($Q785,'Threshold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Editor'!$E:$E,1))),stab,IF(OR(mtype=XLOOKUP(XLOOKUP($Q785,'Threshold Summary'!$Y:$Y,'Threshold Summary'!$K:$K,""),'Pokemon Editor'!$A:$A,'Pokemon Editor'!$C:$C,""),mtype=XLOOKUP(XLOOKUP($Q785,'Threshold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Chart'!$B$1:$S$1,0)))),base,IF(OR(cat="Status",pow=0),0,FLOOR(FLOOR(FLOOR((2*XLOOKUP($Q785,'Threshold Summary'!$Y:$Y,'Threshold Summary'!$L:$L,"")/5+2)*pow*atk/def)/50)+2)),modifier,stab*eff,AVERAGE(ARRAYFORMULA(FLOOR(base*modifier*SEQUENCE(16,1,85,1)/100)))/(FLOOR(((2*XLOOKUP('Boss Editor'!$C$4,'Pokemon Editor'!$A:$A,'Pokemon Editor'!$E:$E,0)+31+FLOOR('Boss Editor'!$G$4/4))*'Boss Editor'!$D$4)/100)+'Boss Editor'!$D$4+10)),0)</f>
        <v/>
      </c>
      <c r="O785" s="3">
        <f>IF(N785&gt;=1,"OHKO",IF(N785&gt;=0.5,"2HKO",IF(N785&gt;=0.333,"3HKO",IF(N785&gt;=0.25,"4HKO","5HKO+"))))</f>
        <v/>
      </c>
      <c r="P785" s="3" t="inlineStr">
        <is>
          <t>Live from editable databases</t>
        </is>
      </c>
      <c r="Q785" s="3" t="inlineStr">
        <is>
          <t>SPECIES_BOUNSWEET</t>
        </is>
      </c>
      <c r="R785" s="3" t="n">
        <v>16</v>
      </c>
    </row>
    <row r="786">
      <c r="A786" s="3">
        <f>XLOOKUP($Q786,'Threshold Summary'!$Y:$Y,'Threshold Summary'!$A:$A,"")</f>
        <v/>
      </c>
      <c r="B786" s="3">
        <f>XLOOKUP($Q786,'Threshold Summary'!$Y:$Y,'Threshold Summary'!$M:$M,"")</f>
        <v/>
      </c>
      <c r="C786" s="3">
        <f>XLOOKUP($Q786,'Threshold Summary'!$Y:$Y,'Threshold Summary'!$N:$N,"")</f>
        <v/>
      </c>
      <c r="D786" s="3">
        <f>IFERROR(INDEX(FILTER('Learnset Editor'!$D$2:$D,'Learnset Editor'!$A$2:$A=XLOOKUP($Q786,'Threshold Summary'!$Y:$Y,'Threshold Summary'!$K:$K,""),'Learnset Editor'!$C$2:$C&lt;=XLOOKUP($Q786,'Threshold Summary'!$Y:$Y,'Threshold Summary'!$L:$L,"")),$R786),"")</f>
        <v/>
      </c>
      <c r="E786" s="3">
        <f>XLOOKUP(D786,'Move Editor'!$B:$B,'Move Editor'!$C:$C,"")</f>
        <v/>
      </c>
      <c r="F786" s="3">
        <f>XLOOKUP(D786,'Move Editor'!$B:$B,'Move Editor'!$D:$D,"")</f>
        <v/>
      </c>
      <c r="G786" s="3">
        <f>XLOOKUP(D786,'Move Editor'!$B:$B,'Move Editor'!$E:$E,0)</f>
        <v/>
      </c>
      <c r="H786" s="3">
        <f>XLOOKUP(D786,'Move Editor'!$B:$B,'Move Editor'!$F:$F,0)</f>
        <v/>
      </c>
      <c r="I786" s="3">
        <f>(INDEX('Type Chart'!$B:$S,MATCH(E786,'Type Chart'!$A:$A,0),MATCH(XLOOKUP('Boss Editor'!$C$4,'Pokemon Editor'!$A:$A,'Pokemon Editor'!$C:$C,""),'Type Chart'!$B$1:$S$1,0))*IF(XLOOKUP('Boss Editor'!$C$4,'Pokemon Editor'!$A:$A,'Pokemon Editor'!$D:$D,"")="",1,INDEX('Type Chart'!$B:$S,MATCH(E786,'Type Chart'!$A:$A,0),MATCH(XLOOKUP('Boss Editor'!$C$4,'Pokemon Editor'!$A:$A,'Pokemon Editor'!$D:$D,""),'Type Chart'!$B$1:$S$1,0))))</f>
        <v/>
      </c>
      <c r="J786" s="3">
        <f>IFERROR(LET(mtype,XLOOKUP($D786,'Move Editor'!$B:$B,'Move Editor'!$C:$C,""),cat,XLOOKUP($D786,'Move Editor'!$B:$B,'Move Editor'!$D:$D,""),pow,XLOOKUP($D786,'Move Editor'!$B:$B,'Move Editor'!$E:$E,0),acc,XLOOKUP($D786,'Move Editor'!$B:$B,'Move Editor'!$F:$F,100),atk,IF(cat="Physical",FLOOR((FLOOR(((2*XLOOKUP(XLOOKUP($Q786,'Threshold Summary'!$Y:$Y,'Threshold Summary'!$K:$K,""),'Pokemon Editor'!$A:$A,'Pokemon Editor'!$F:$F,0)+31+FLOOR(XLOOKUP($Q786,'Threshold Summary'!$Y:$Y,'Threshold Summary'!$P:$P,"")/4))*XLOOKUP($Q786,'Threshold Summary'!$Y:$Y,'Threshold Summary'!$L:$L,""))/100)+5)*XLOOKUP(XLOOKUP($Q786,'Threshold Summary'!$Y:$Y,'Threshold Summary'!$M:$M,""),'Nature Editor'!$A:$A,'Nature Editor'!$B:$B,1)),FLOOR((FLOOR(((2*XLOOKUP(XLOOKUP($Q786,'Threshold Summary'!$Y:$Y,'Threshold Summary'!$K:$K,""),'Pokemon Editor'!$A:$A,'Pokemon Editor'!$H:$H,0)+31+FLOOR(XLOOKUP($Q786,'Threshold Summary'!$Y:$Y,'Threshold Summary'!$R:$R,"")/4))*XLOOKUP($Q786,'Threshold Summary'!$Y:$Y,'Threshold Summary'!$L:$L,""))/100)+5)*XLOOKUP(XLOOKUP($Q786,'Threshold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Editor'!$E:$E,1))),stab,IF(OR(mtype=XLOOKUP(XLOOKUP($Q786,'Threshold Summary'!$Y:$Y,'Threshold Summary'!$K:$K,""),'Pokemon Editor'!$A:$A,'Pokemon Editor'!$C:$C,""),mtype=XLOOKUP(XLOOKUP($Q786,'Threshold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Chart'!$B$1:$S$1,0)))),base,IF(OR(cat="Status",pow=0),0,FLOOR(FLOOR(FLOOR((2*XLOOKUP($Q786,'Threshold Summary'!$Y:$Y,'Threshold Summary'!$L:$L,"")/5+2)*pow*atk/def)/50)+2)),modifier,stab*eff,FLOOR(base*modifier*0.85)),0)</f>
        <v/>
      </c>
      <c r="K786" s="3">
        <f>IFERROR(LET(mtype,XLOOKUP($D786,'Move Editor'!$B:$B,'Move Editor'!$C:$C,""),cat,XLOOKUP($D786,'Move Editor'!$B:$B,'Move Editor'!$D:$D,""),pow,XLOOKUP($D786,'Move Editor'!$B:$B,'Move Editor'!$E:$E,0),acc,XLOOKUP($D786,'Move Editor'!$B:$B,'Move Editor'!$F:$F,100),atk,IF(cat="Physical",FLOOR((FLOOR(((2*XLOOKUP(XLOOKUP($Q786,'Threshold Summary'!$Y:$Y,'Threshold Summary'!$K:$K,""),'Pokemon Editor'!$A:$A,'Pokemon Editor'!$F:$F,0)+31+FLOOR(XLOOKUP($Q786,'Threshold Summary'!$Y:$Y,'Threshold Summary'!$P:$P,"")/4))*XLOOKUP($Q786,'Threshold Summary'!$Y:$Y,'Threshold Summary'!$L:$L,""))/100)+5)*XLOOKUP(XLOOKUP($Q786,'Threshold Summary'!$Y:$Y,'Threshold Summary'!$M:$M,""),'Nature Editor'!$A:$A,'Nature Editor'!$B:$B,1)),FLOOR((FLOOR(((2*XLOOKUP(XLOOKUP($Q786,'Threshold Summary'!$Y:$Y,'Threshold Summary'!$K:$K,""),'Pokemon Editor'!$A:$A,'Pokemon Editor'!$H:$H,0)+31+FLOOR(XLOOKUP($Q786,'Threshold Summary'!$Y:$Y,'Threshold Summary'!$R:$R,"")/4))*XLOOKUP($Q786,'Threshold Summary'!$Y:$Y,'Threshold Summary'!$L:$L,""))/100)+5)*XLOOKUP(XLOOKUP($Q786,'Threshold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Editor'!$E:$E,1))),stab,IF(OR(mtype=XLOOKUP(XLOOKUP($Q786,'Threshold Summary'!$Y:$Y,'Threshold Summary'!$K:$K,""),'Pokemon Editor'!$A:$A,'Pokemon Editor'!$C:$C,""),mtype=XLOOKUP(XLOOKUP($Q786,'Threshold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Chart'!$B$1:$S$1,0)))),base,IF(OR(cat="Status",pow=0),0,FLOOR(FLOOR(FLOOR((2*XLOOKUP($Q786,'Threshold Summary'!$Y:$Y,'Threshold Summary'!$L:$L,"")/5+2)*pow*atk/def)/50)+2)),modifier,stab*eff,FLOOR(base*modifier)),0)</f>
        <v/>
      </c>
      <c r="L786" s="3">
        <f>IFERROR(LET(mtype,XLOOKUP($D786,'Move Editor'!$B:$B,'Move Editor'!$C:$C,""),cat,XLOOKUP($D786,'Move Editor'!$B:$B,'Move Editor'!$D:$D,""),pow,XLOOKUP($D786,'Move Editor'!$B:$B,'Move Editor'!$E:$E,0),acc,XLOOKUP($D786,'Move Editor'!$B:$B,'Move Editor'!$F:$F,100),atk,IF(cat="Physical",FLOOR((FLOOR(((2*XLOOKUP(XLOOKUP($Q786,'Threshold Summary'!$Y:$Y,'Threshold Summary'!$K:$K,""),'Pokemon Editor'!$A:$A,'Pokemon Editor'!$F:$F,0)+31+FLOOR(XLOOKUP($Q786,'Threshold Summary'!$Y:$Y,'Threshold Summary'!$P:$P,"")/4))*XLOOKUP($Q786,'Threshold Summary'!$Y:$Y,'Threshold Summary'!$L:$L,""))/100)+5)*XLOOKUP(XLOOKUP($Q786,'Threshold Summary'!$Y:$Y,'Threshold Summary'!$M:$M,""),'Nature Editor'!$A:$A,'Nature Editor'!$B:$B,1)),FLOOR((FLOOR(((2*XLOOKUP(XLOOKUP($Q786,'Threshold Summary'!$Y:$Y,'Threshold Summary'!$K:$K,""),'Pokemon Editor'!$A:$A,'Pokemon Editor'!$H:$H,0)+31+FLOOR(XLOOKUP($Q786,'Threshold Summary'!$Y:$Y,'Threshold Summary'!$R:$R,"")/4))*XLOOKUP($Q786,'Threshold Summary'!$Y:$Y,'Threshold Summary'!$L:$L,""))/100)+5)*XLOOKUP(XLOOKUP($Q786,'Threshold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Editor'!$E:$E,1))),stab,IF(OR(mtype=XLOOKUP(XLOOKUP($Q786,'Threshold Summary'!$Y:$Y,'Threshold Summary'!$K:$K,""),'Pokemon Editor'!$A:$A,'Pokemon Editor'!$C:$C,""),mtype=XLOOKUP(XLOOKUP($Q786,'Threshold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Chart'!$B$1:$S$1,0)))),base,IF(OR(cat="Status",pow=0),0,FLOOR(FLOOR(FLOOR((2*XLOOKUP($Q786,'Threshold Summary'!$Y:$Y,'Threshold Summary'!$L:$L,"")/5+2)*pow*atk/def)/50)+2)),modifier,stab*eff,AVERAGE(ARRAYFORMULA(FLOOR(base*modifier*SEQUENCE(16,1,85,1)/100)))),0)</f>
        <v/>
      </c>
      <c r="M786" s="3">
        <f>IFERROR(LET(mtype,XLOOKUP($D786,'Move Editor'!$B:$B,'Move Editor'!$C:$C,""),cat,XLOOKUP($D786,'Move Editor'!$B:$B,'Move Editor'!$D:$D,""),pow,XLOOKUP($D786,'Move Editor'!$B:$B,'Move Editor'!$E:$E,0),acc,XLOOKUP($D786,'Move Editor'!$B:$B,'Move Editor'!$F:$F,100),atk,IF(cat="Physical",FLOOR((FLOOR(((2*XLOOKUP(XLOOKUP($Q786,'Threshold Summary'!$Y:$Y,'Threshold Summary'!$K:$K,""),'Pokemon Editor'!$A:$A,'Pokemon Editor'!$F:$F,0)+31+FLOOR(XLOOKUP($Q786,'Threshold Summary'!$Y:$Y,'Threshold Summary'!$P:$P,"")/4))*XLOOKUP($Q786,'Threshold Summary'!$Y:$Y,'Threshold Summary'!$L:$L,""))/100)+5)*XLOOKUP(XLOOKUP($Q786,'Threshold Summary'!$Y:$Y,'Threshold Summary'!$M:$M,""),'Nature Editor'!$A:$A,'Nature Editor'!$B:$B,1)),FLOOR((FLOOR(((2*XLOOKUP(XLOOKUP($Q786,'Threshold Summary'!$Y:$Y,'Threshold Summary'!$K:$K,""),'Pokemon Editor'!$A:$A,'Pokemon Editor'!$H:$H,0)+31+FLOOR(XLOOKUP($Q786,'Threshold Summary'!$Y:$Y,'Threshold Summary'!$R:$R,"")/4))*XLOOKUP($Q786,'Threshold Summary'!$Y:$Y,'Threshold Summary'!$L:$L,""))/100)+5)*XLOOKUP(XLOOKUP($Q786,'Threshold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Editor'!$E:$E,1))),stab,IF(OR(mtype=XLOOKUP(XLOOKUP($Q786,'Threshold Summary'!$Y:$Y,'Threshold Summary'!$K:$K,""),'Pokemon Editor'!$A:$A,'Pokemon Editor'!$C:$C,""),mtype=XLOOKUP(XLOOKUP($Q786,'Threshold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Chart'!$B$1:$S$1,0)))),base,IF(OR(cat="Status",pow=0),0,FLOOR(FLOOR(FLOOR((2*XLOOKUP($Q786,'Threshold Summary'!$Y:$Y,'Threshold Summary'!$L:$L,"")/5+2)*pow*atk/def)/50)+2)),modifier,stab*eff,AVERAGE(ARRAYFORMULA(FLOOR(base*modifier*SEQUENCE(16,1,85,1)/100)))*MIN(1,acc/100)),0)</f>
        <v/>
      </c>
      <c r="N786" s="4">
        <f>IFERROR(LET(mtype,XLOOKUP($D786,'Move Editor'!$B:$B,'Move Editor'!$C:$C,""),cat,XLOOKUP($D786,'Move Editor'!$B:$B,'Move Editor'!$D:$D,""),pow,XLOOKUP($D786,'Move Editor'!$B:$B,'Move Editor'!$E:$E,0),acc,XLOOKUP($D786,'Move Editor'!$B:$B,'Move Editor'!$F:$F,100),atk,IF(cat="Physical",FLOOR((FLOOR(((2*XLOOKUP(XLOOKUP($Q786,'Threshold Summary'!$Y:$Y,'Threshold Summary'!$K:$K,""),'Pokemon Editor'!$A:$A,'Pokemon Editor'!$F:$F,0)+31+FLOOR(XLOOKUP($Q786,'Threshold Summary'!$Y:$Y,'Threshold Summary'!$P:$P,"")/4))*XLOOKUP($Q786,'Threshold Summary'!$Y:$Y,'Threshold Summary'!$L:$L,""))/100)+5)*XLOOKUP(XLOOKUP($Q786,'Threshold Summary'!$Y:$Y,'Threshold Summary'!$M:$M,""),'Nature Editor'!$A:$A,'Nature Editor'!$B:$B,1)),FLOOR((FLOOR(((2*XLOOKUP(XLOOKUP($Q786,'Threshold Summary'!$Y:$Y,'Threshold Summary'!$K:$K,""),'Pokemon Editor'!$A:$A,'Pokemon Editor'!$H:$H,0)+31+FLOOR(XLOOKUP($Q786,'Threshold Summary'!$Y:$Y,'Threshold Summary'!$R:$R,"")/4))*XLOOKUP($Q786,'Threshold Summary'!$Y:$Y,'Threshold Summary'!$L:$L,""))/100)+5)*XLOOKUP(XLOOKUP($Q786,'Threshold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Editor'!$E:$E,1))),stab,IF(OR(mtype=XLOOKUP(XLOOKUP($Q786,'Threshold Summary'!$Y:$Y,'Threshold Summary'!$K:$K,""),'Pokemon Editor'!$A:$A,'Pokemon Editor'!$C:$C,""),mtype=XLOOKUP(XLOOKUP($Q786,'Threshold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Chart'!$B$1:$S$1,0)))),base,IF(OR(cat="Status",pow=0),0,FLOOR(FLOOR(FLOOR((2*XLOOKUP($Q786,'Threshold Summary'!$Y:$Y,'Threshold Summary'!$L:$L,"")/5+2)*pow*atk/def)/50)+2)),modifier,stab*eff,AVERAGE(ARRAYFORMULA(FLOOR(base*modifier*SEQUENCE(16,1,85,1)/100)))/(FLOOR(((2*XLOOKUP('Boss Editor'!$C$4,'Pokemon Editor'!$A:$A,'Pokemon Editor'!$E:$E,0)+31+FLOOR('Boss Editor'!$G$4/4))*'Boss Editor'!$D$4)/100)+'Boss Editor'!$D$4+10)),0)</f>
        <v/>
      </c>
      <c r="O786" s="3">
        <f>IF(N786&gt;=1,"OHKO",IF(N786&gt;=0.5,"2HKO",IF(N786&gt;=0.333,"3HKO",IF(N786&gt;=0.25,"4HKO","5HKO+"))))</f>
        <v/>
      </c>
      <c r="P786" s="3" t="inlineStr">
        <is>
          <t>Live from editable databases</t>
        </is>
      </c>
      <c r="Q786" s="3" t="inlineStr">
        <is>
          <t>SPECIES_BOUNSWEET</t>
        </is>
      </c>
      <c r="R786" s="3" t="n">
        <v>17</v>
      </c>
    </row>
    <row r="787">
      <c r="A787" s="3">
        <f>XLOOKUP($Q787,'Threshold Summary'!$Y:$Y,'Threshold Summary'!$A:$A,"")</f>
        <v/>
      </c>
      <c r="B787" s="3">
        <f>XLOOKUP($Q787,'Threshold Summary'!$Y:$Y,'Threshold Summary'!$M:$M,"")</f>
        <v/>
      </c>
      <c r="C787" s="3">
        <f>XLOOKUP($Q787,'Threshold Summary'!$Y:$Y,'Threshold Summary'!$N:$N,"")</f>
        <v/>
      </c>
      <c r="D787" s="3">
        <f>IFERROR(INDEX(FILTER('Learnset Editor'!$D$2:$D,'Learnset Editor'!$A$2:$A=XLOOKUP($Q787,'Threshold Summary'!$Y:$Y,'Threshold Summary'!$K:$K,""),'Learnset Editor'!$C$2:$C&lt;=XLOOKUP($Q787,'Threshold Summary'!$Y:$Y,'Threshold Summary'!$L:$L,"")),$R787),"")</f>
        <v/>
      </c>
      <c r="E787" s="3">
        <f>XLOOKUP(D787,'Move Editor'!$B:$B,'Move Editor'!$C:$C,"")</f>
        <v/>
      </c>
      <c r="F787" s="3">
        <f>XLOOKUP(D787,'Move Editor'!$B:$B,'Move Editor'!$D:$D,"")</f>
        <v/>
      </c>
      <c r="G787" s="3">
        <f>XLOOKUP(D787,'Move Editor'!$B:$B,'Move Editor'!$E:$E,0)</f>
        <v/>
      </c>
      <c r="H787" s="3">
        <f>XLOOKUP(D787,'Move Editor'!$B:$B,'Move Editor'!$F:$F,0)</f>
        <v/>
      </c>
      <c r="I787" s="3">
        <f>(INDEX('Type Chart'!$B:$S,MATCH(E787,'Type Chart'!$A:$A,0),MATCH(XLOOKUP('Boss Editor'!$C$4,'Pokemon Editor'!$A:$A,'Pokemon Editor'!$C:$C,""),'Type Chart'!$B$1:$S$1,0))*IF(XLOOKUP('Boss Editor'!$C$4,'Pokemon Editor'!$A:$A,'Pokemon Editor'!$D:$D,"")="",1,INDEX('Type Chart'!$B:$S,MATCH(E787,'Type Chart'!$A:$A,0),MATCH(XLOOKUP('Boss Editor'!$C$4,'Pokemon Editor'!$A:$A,'Pokemon Editor'!$D:$D,""),'Type Chart'!$B$1:$S$1,0))))</f>
        <v/>
      </c>
      <c r="J787" s="3">
        <f>IFERROR(LET(mtype,XLOOKUP($D787,'Move Editor'!$B:$B,'Move Editor'!$C:$C,""),cat,XLOOKUP($D787,'Move Editor'!$B:$B,'Move Editor'!$D:$D,""),pow,XLOOKUP($D787,'Move Editor'!$B:$B,'Move Editor'!$E:$E,0),acc,XLOOKUP($D787,'Move Editor'!$B:$B,'Move Editor'!$F:$F,100),atk,IF(cat="Physical",FLOOR((FLOOR(((2*XLOOKUP(XLOOKUP($Q787,'Threshold Summary'!$Y:$Y,'Threshold Summary'!$K:$K,""),'Pokemon Editor'!$A:$A,'Pokemon Editor'!$F:$F,0)+31+FLOOR(XLOOKUP($Q787,'Threshold Summary'!$Y:$Y,'Threshold Summary'!$P:$P,"")/4))*XLOOKUP($Q787,'Threshold Summary'!$Y:$Y,'Threshold Summary'!$L:$L,""))/100)+5)*XLOOKUP(XLOOKUP($Q787,'Threshold Summary'!$Y:$Y,'Threshold Summary'!$M:$M,""),'Nature Editor'!$A:$A,'Nature Editor'!$B:$B,1)),FLOOR((FLOOR(((2*XLOOKUP(XLOOKUP($Q787,'Threshold Summary'!$Y:$Y,'Threshold Summary'!$K:$K,""),'Pokemon Editor'!$A:$A,'Pokemon Editor'!$H:$H,0)+31+FLOOR(XLOOKUP($Q787,'Threshold Summary'!$Y:$Y,'Threshold Summary'!$R:$R,"")/4))*XLOOKUP($Q787,'Threshold Summary'!$Y:$Y,'Threshold Summary'!$L:$L,""))/100)+5)*XLOOKUP(XLOOKUP($Q787,'Threshold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Editor'!$E:$E,1))),stab,IF(OR(mtype=XLOOKUP(XLOOKUP($Q787,'Threshold Summary'!$Y:$Y,'Threshold Summary'!$K:$K,""),'Pokemon Editor'!$A:$A,'Pokemon Editor'!$C:$C,""),mtype=XLOOKUP(XLOOKUP($Q787,'Threshold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Chart'!$B$1:$S$1,0)))),base,IF(OR(cat="Status",pow=0),0,FLOOR(FLOOR(FLOOR((2*XLOOKUP($Q787,'Threshold Summary'!$Y:$Y,'Threshold Summary'!$L:$L,"")/5+2)*pow*atk/def)/50)+2)),modifier,stab*eff,FLOOR(base*modifier*0.85)),0)</f>
        <v/>
      </c>
      <c r="K787" s="3">
        <f>IFERROR(LET(mtype,XLOOKUP($D787,'Move Editor'!$B:$B,'Move Editor'!$C:$C,""),cat,XLOOKUP($D787,'Move Editor'!$B:$B,'Move Editor'!$D:$D,""),pow,XLOOKUP($D787,'Move Editor'!$B:$B,'Move Editor'!$E:$E,0),acc,XLOOKUP($D787,'Move Editor'!$B:$B,'Move Editor'!$F:$F,100),atk,IF(cat="Physical",FLOOR((FLOOR(((2*XLOOKUP(XLOOKUP($Q787,'Threshold Summary'!$Y:$Y,'Threshold Summary'!$K:$K,""),'Pokemon Editor'!$A:$A,'Pokemon Editor'!$F:$F,0)+31+FLOOR(XLOOKUP($Q787,'Threshold Summary'!$Y:$Y,'Threshold Summary'!$P:$P,"")/4))*XLOOKUP($Q787,'Threshold Summary'!$Y:$Y,'Threshold Summary'!$L:$L,""))/100)+5)*XLOOKUP(XLOOKUP($Q787,'Threshold Summary'!$Y:$Y,'Threshold Summary'!$M:$M,""),'Nature Editor'!$A:$A,'Nature Editor'!$B:$B,1)),FLOOR((FLOOR(((2*XLOOKUP(XLOOKUP($Q787,'Threshold Summary'!$Y:$Y,'Threshold Summary'!$K:$K,""),'Pokemon Editor'!$A:$A,'Pokemon Editor'!$H:$H,0)+31+FLOOR(XLOOKUP($Q787,'Threshold Summary'!$Y:$Y,'Threshold Summary'!$R:$R,"")/4))*XLOOKUP($Q787,'Threshold Summary'!$Y:$Y,'Threshold Summary'!$L:$L,""))/100)+5)*XLOOKUP(XLOOKUP($Q787,'Threshold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Editor'!$E:$E,1))),stab,IF(OR(mtype=XLOOKUP(XLOOKUP($Q787,'Threshold Summary'!$Y:$Y,'Threshold Summary'!$K:$K,""),'Pokemon Editor'!$A:$A,'Pokemon Editor'!$C:$C,""),mtype=XLOOKUP(XLOOKUP($Q787,'Threshold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Chart'!$B$1:$S$1,0)))),base,IF(OR(cat="Status",pow=0),0,FLOOR(FLOOR(FLOOR((2*XLOOKUP($Q787,'Threshold Summary'!$Y:$Y,'Threshold Summary'!$L:$L,"")/5+2)*pow*atk/def)/50)+2)),modifier,stab*eff,FLOOR(base*modifier)),0)</f>
        <v/>
      </c>
      <c r="L787" s="3">
        <f>IFERROR(LET(mtype,XLOOKUP($D787,'Move Editor'!$B:$B,'Move Editor'!$C:$C,""),cat,XLOOKUP($D787,'Move Editor'!$B:$B,'Move Editor'!$D:$D,""),pow,XLOOKUP($D787,'Move Editor'!$B:$B,'Move Editor'!$E:$E,0),acc,XLOOKUP($D787,'Move Editor'!$B:$B,'Move Editor'!$F:$F,100),atk,IF(cat="Physical",FLOOR((FLOOR(((2*XLOOKUP(XLOOKUP($Q787,'Threshold Summary'!$Y:$Y,'Threshold Summary'!$K:$K,""),'Pokemon Editor'!$A:$A,'Pokemon Editor'!$F:$F,0)+31+FLOOR(XLOOKUP($Q787,'Threshold Summary'!$Y:$Y,'Threshold Summary'!$P:$P,"")/4))*XLOOKUP($Q787,'Threshold Summary'!$Y:$Y,'Threshold Summary'!$L:$L,""))/100)+5)*XLOOKUP(XLOOKUP($Q787,'Threshold Summary'!$Y:$Y,'Threshold Summary'!$M:$M,""),'Nature Editor'!$A:$A,'Nature Editor'!$B:$B,1)),FLOOR((FLOOR(((2*XLOOKUP(XLOOKUP($Q787,'Threshold Summary'!$Y:$Y,'Threshold Summary'!$K:$K,""),'Pokemon Editor'!$A:$A,'Pokemon Editor'!$H:$H,0)+31+FLOOR(XLOOKUP($Q787,'Threshold Summary'!$Y:$Y,'Threshold Summary'!$R:$R,"")/4))*XLOOKUP($Q787,'Threshold Summary'!$Y:$Y,'Threshold Summary'!$L:$L,""))/100)+5)*XLOOKUP(XLOOKUP($Q787,'Threshold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Editor'!$E:$E,1))),stab,IF(OR(mtype=XLOOKUP(XLOOKUP($Q787,'Threshold Summary'!$Y:$Y,'Threshold Summary'!$K:$K,""),'Pokemon Editor'!$A:$A,'Pokemon Editor'!$C:$C,""),mtype=XLOOKUP(XLOOKUP($Q787,'Threshold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Chart'!$B$1:$S$1,0)))),base,IF(OR(cat="Status",pow=0),0,FLOOR(FLOOR(FLOOR((2*XLOOKUP($Q787,'Threshold Summary'!$Y:$Y,'Threshold Summary'!$L:$L,"")/5+2)*pow*atk/def)/50)+2)),modifier,stab*eff,AVERAGE(ARRAYFORMULA(FLOOR(base*modifier*SEQUENCE(16,1,85,1)/100)))),0)</f>
        <v/>
      </c>
      <c r="M787" s="3">
        <f>IFERROR(LET(mtype,XLOOKUP($D787,'Move Editor'!$B:$B,'Move Editor'!$C:$C,""),cat,XLOOKUP($D787,'Move Editor'!$B:$B,'Move Editor'!$D:$D,""),pow,XLOOKUP($D787,'Move Editor'!$B:$B,'Move Editor'!$E:$E,0),acc,XLOOKUP($D787,'Move Editor'!$B:$B,'Move Editor'!$F:$F,100),atk,IF(cat="Physical",FLOOR((FLOOR(((2*XLOOKUP(XLOOKUP($Q787,'Threshold Summary'!$Y:$Y,'Threshold Summary'!$K:$K,""),'Pokemon Editor'!$A:$A,'Pokemon Editor'!$F:$F,0)+31+FLOOR(XLOOKUP($Q787,'Threshold Summary'!$Y:$Y,'Threshold Summary'!$P:$P,"")/4))*XLOOKUP($Q787,'Threshold Summary'!$Y:$Y,'Threshold Summary'!$L:$L,""))/100)+5)*XLOOKUP(XLOOKUP($Q787,'Threshold Summary'!$Y:$Y,'Threshold Summary'!$M:$M,""),'Nature Editor'!$A:$A,'Nature Editor'!$B:$B,1)),FLOOR((FLOOR(((2*XLOOKUP(XLOOKUP($Q787,'Threshold Summary'!$Y:$Y,'Threshold Summary'!$K:$K,""),'Pokemon Editor'!$A:$A,'Pokemon Editor'!$H:$H,0)+31+FLOOR(XLOOKUP($Q787,'Threshold Summary'!$Y:$Y,'Threshold Summary'!$R:$R,"")/4))*XLOOKUP($Q787,'Threshold Summary'!$Y:$Y,'Threshold Summary'!$L:$L,""))/100)+5)*XLOOKUP(XLOOKUP($Q787,'Threshold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Editor'!$E:$E,1))),stab,IF(OR(mtype=XLOOKUP(XLOOKUP($Q787,'Threshold Summary'!$Y:$Y,'Threshold Summary'!$K:$K,""),'Pokemon Editor'!$A:$A,'Pokemon Editor'!$C:$C,""),mtype=XLOOKUP(XLOOKUP($Q787,'Threshold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Chart'!$B$1:$S$1,0)))),base,IF(OR(cat="Status",pow=0),0,FLOOR(FLOOR(FLOOR((2*XLOOKUP($Q787,'Threshold Summary'!$Y:$Y,'Threshold Summary'!$L:$L,"")/5+2)*pow*atk/def)/50)+2)),modifier,stab*eff,AVERAGE(ARRAYFORMULA(FLOOR(base*modifier*SEQUENCE(16,1,85,1)/100)))*MIN(1,acc/100)),0)</f>
        <v/>
      </c>
      <c r="N787" s="4">
        <f>IFERROR(LET(mtype,XLOOKUP($D787,'Move Editor'!$B:$B,'Move Editor'!$C:$C,""),cat,XLOOKUP($D787,'Move Editor'!$B:$B,'Move Editor'!$D:$D,""),pow,XLOOKUP($D787,'Move Editor'!$B:$B,'Move Editor'!$E:$E,0),acc,XLOOKUP($D787,'Move Editor'!$B:$B,'Move Editor'!$F:$F,100),atk,IF(cat="Physical",FLOOR((FLOOR(((2*XLOOKUP(XLOOKUP($Q787,'Threshold Summary'!$Y:$Y,'Threshold Summary'!$K:$K,""),'Pokemon Editor'!$A:$A,'Pokemon Editor'!$F:$F,0)+31+FLOOR(XLOOKUP($Q787,'Threshold Summary'!$Y:$Y,'Threshold Summary'!$P:$P,"")/4))*XLOOKUP($Q787,'Threshold Summary'!$Y:$Y,'Threshold Summary'!$L:$L,""))/100)+5)*XLOOKUP(XLOOKUP($Q787,'Threshold Summary'!$Y:$Y,'Threshold Summary'!$M:$M,""),'Nature Editor'!$A:$A,'Nature Editor'!$B:$B,1)),FLOOR((FLOOR(((2*XLOOKUP(XLOOKUP($Q787,'Threshold Summary'!$Y:$Y,'Threshold Summary'!$K:$K,""),'Pokemon Editor'!$A:$A,'Pokemon Editor'!$H:$H,0)+31+FLOOR(XLOOKUP($Q787,'Threshold Summary'!$Y:$Y,'Threshold Summary'!$R:$R,"")/4))*XLOOKUP($Q787,'Threshold Summary'!$Y:$Y,'Threshold Summary'!$L:$L,""))/100)+5)*XLOOKUP(XLOOKUP($Q787,'Threshold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Editor'!$E:$E,1))),stab,IF(OR(mtype=XLOOKUP(XLOOKUP($Q787,'Threshold Summary'!$Y:$Y,'Threshold Summary'!$K:$K,""),'Pokemon Editor'!$A:$A,'Pokemon Editor'!$C:$C,""),mtype=XLOOKUP(XLOOKUP($Q787,'Threshold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Chart'!$B$1:$S$1,0)))),base,IF(OR(cat="Status",pow=0),0,FLOOR(FLOOR(FLOOR((2*XLOOKUP($Q787,'Threshold Summary'!$Y:$Y,'Threshold Summary'!$L:$L,"")/5+2)*pow*atk/def)/50)+2)),modifier,stab*eff,AVERAGE(ARRAYFORMULA(FLOOR(base*modifier*SEQUENCE(16,1,85,1)/100)))/(FLOOR(((2*XLOOKUP('Boss Editor'!$C$4,'Pokemon Editor'!$A:$A,'Pokemon Editor'!$E:$E,0)+31+FLOOR('Boss Editor'!$G$4/4))*'Boss Editor'!$D$4)/100)+'Boss Editor'!$D$4+10)),0)</f>
        <v/>
      </c>
      <c r="O787" s="3">
        <f>IF(N787&gt;=1,"OHKO",IF(N787&gt;=0.5,"2HKO",IF(N787&gt;=0.333,"3HKO",IF(N787&gt;=0.25,"4HKO","5HKO+"))))</f>
        <v/>
      </c>
      <c r="P787" s="3" t="inlineStr">
        <is>
          <t>Live from editable databases</t>
        </is>
      </c>
      <c r="Q787" s="3" t="inlineStr">
        <is>
          <t>SPECIES_BOUNSWEET</t>
        </is>
      </c>
      <c r="R787" s="3" t="n">
        <v>18</v>
      </c>
    </row>
    <row r="788">
      <c r="A788" s="3">
        <f>XLOOKUP($Q788,'Threshold Summary'!$Y:$Y,'Threshold Summary'!$A:$A,"")</f>
        <v/>
      </c>
      <c r="B788" s="3">
        <f>XLOOKUP($Q788,'Threshold Summary'!$Y:$Y,'Threshold Summary'!$M:$M,"")</f>
        <v/>
      </c>
      <c r="C788" s="3">
        <f>XLOOKUP($Q788,'Threshold Summary'!$Y:$Y,'Threshold Summary'!$N:$N,"")</f>
        <v/>
      </c>
      <c r="D788" s="3">
        <f>IFERROR(INDEX(FILTER('Learnset Editor'!$D$2:$D,'Learnset Editor'!$A$2:$A=XLOOKUP($Q788,'Threshold Summary'!$Y:$Y,'Threshold Summary'!$K:$K,""),'Learnset Editor'!$C$2:$C&lt;=XLOOKUP($Q788,'Threshold Summary'!$Y:$Y,'Threshold Summary'!$L:$L,"")),$R788),"")</f>
        <v/>
      </c>
      <c r="E788" s="3">
        <f>XLOOKUP(D788,'Move Editor'!$B:$B,'Move Editor'!$C:$C,"")</f>
        <v/>
      </c>
      <c r="F788" s="3">
        <f>XLOOKUP(D788,'Move Editor'!$B:$B,'Move Editor'!$D:$D,"")</f>
        <v/>
      </c>
      <c r="G788" s="3">
        <f>XLOOKUP(D788,'Move Editor'!$B:$B,'Move Editor'!$E:$E,0)</f>
        <v/>
      </c>
      <c r="H788" s="3">
        <f>XLOOKUP(D788,'Move Editor'!$B:$B,'Move Editor'!$F:$F,0)</f>
        <v/>
      </c>
      <c r="I788" s="3">
        <f>(INDEX('Type Chart'!$B:$S,MATCH(E788,'Type Chart'!$A:$A,0),MATCH(XLOOKUP('Boss Editor'!$C$4,'Pokemon Editor'!$A:$A,'Pokemon Editor'!$C:$C,""),'Type Chart'!$B$1:$S$1,0))*IF(XLOOKUP('Boss Editor'!$C$4,'Pokemon Editor'!$A:$A,'Pokemon Editor'!$D:$D,"")="",1,INDEX('Type Chart'!$B:$S,MATCH(E788,'Type Chart'!$A:$A,0),MATCH(XLOOKUP('Boss Editor'!$C$4,'Pokemon Editor'!$A:$A,'Pokemon Editor'!$D:$D,""),'Type Chart'!$B$1:$S$1,0))))</f>
        <v/>
      </c>
      <c r="J788" s="3">
        <f>IFERROR(LET(mtype,XLOOKUP($D788,'Move Editor'!$B:$B,'Move Editor'!$C:$C,""),cat,XLOOKUP($D788,'Move Editor'!$B:$B,'Move Editor'!$D:$D,""),pow,XLOOKUP($D788,'Move Editor'!$B:$B,'Move Editor'!$E:$E,0),acc,XLOOKUP($D788,'Move Editor'!$B:$B,'Move Editor'!$F:$F,100),atk,IF(cat="Physical",FLOOR((FLOOR(((2*XLOOKUP(XLOOKUP($Q788,'Threshold Summary'!$Y:$Y,'Threshold Summary'!$K:$K,""),'Pokemon Editor'!$A:$A,'Pokemon Editor'!$F:$F,0)+31+FLOOR(XLOOKUP($Q788,'Threshold Summary'!$Y:$Y,'Threshold Summary'!$P:$P,"")/4))*XLOOKUP($Q788,'Threshold Summary'!$Y:$Y,'Threshold Summary'!$L:$L,""))/100)+5)*XLOOKUP(XLOOKUP($Q788,'Threshold Summary'!$Y:$Y,'Threshold Summary'!$M:$M,""),'Nature Editor'!$A:$A,'Nature Editor'!$B:$B,1)),FLOOR((FLOOR(((2*XLOOKUP(XLOOKUP($Q788,'Threshold Summary'!$Y:$Y,'Threshold Summary'!$K:$K,""),'Pokemon Editor'!$A:$A,'Pokemon Editor'!$H:$H,0)+31+FLOOR(XLOOKUP($Q788,'Threshold Summary'!$Y:$Y,'Threshold Summary'!$R:$R,"")/4))*XLOOKUP($Q788,'Threshold Summary'!$Y:$Y,'Threshold Summary'!$L:$L,""))/100)+5)*XLOOKUP(XLOOKUP($Q788,'Threshold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Editor'!$E:$E,1))),stab,IF(OR(mtype=XLOOKUP(XLOOKUP($Q788,'Threshold Summary'!$Y:$Y,'Threshold Summary'!$K:$K,""),'Pokemon Editor'!$A:$A,'Pokemon Editor'!$C:$C,""),mtype=XLOOKUP(XLOOKUP($Q788,'Threshold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Chart'!$B$1:$S$1,0)))),base,IF(OR(cat="Status",pow=0),0,FLOOR(FLOOR(FLOOR((2*XLOOKUP($Q788,'Threshold Summary'!$Y:$Y,'Threshold Summary'!$L:$L,"")/5+2)*pow*atk/def)/50)+2)),modifier,stab*eff,FLOOR(base*modifier*0.85)),0)</f>
        <v/>
      </c>
      <c r="K788" s="3">
        <f>IFERROR(LET(mtype,XLOOKUP($D788,'Move Editor'!$B:$B,'Move Editor'!$C:$C,""),cat,XLOOKUP($D788,'Move Editor'!$B:$B,'Move Editor'!$D:$D,""),pow,XLOOKUP($D788,'Move Editor'!$B:$B,'Move Editor'!$E:$E,0),acc,XLOOKUP($D788,'Move Editor'!$B:$B,'Move Editor'!$F:$F,100),atk,IF(cat="Physical",FLOOR((FLOOR(((2*XLOOKUP(XLOOKUP($Q788,'Threshold Summary'!$Y:$Y,'Threshold Summary'!$K:$K,""),'Pokemon Editor'!$A:$A,'Pokemon Editor'!$F:$F,0)+31+FLOOR(XLOOKUP($Q788,'Threshold Summary'!$Y:$Y,'Threshold Summary'!$P:$P,"")/4))*XLOOKUP($Q788,'Threshold Summary'!$Y:$Y,'Threshold Summary'!$L:$L,""))/100)+5)*XLOOKUP(XLOOKUP($Q788,'Threshold Summary'!$Y:$Y,'Threshold Summary'!$M:$M,""),'Nature Editor'!$A:$A,'Nature Editor'!$B:$B,1)),FLOOR((FLOOR(((2*XLOOKUP(XLOOKUP($Q788,'Threshold Summary'!$Y:$Y,'Threshold Summary'!$K:$K,""),'Pokemon Editor'!$A:$A,'Pokemon Editor'!$H:$H,0)+31+FLOOR(XLOOKUP($Q788,'Threshold Summary'!$Y:$Y,'Threshold Summary'!$R:$R,"")/4))*XLOOKUP($Q788,'Threshold Summary'!$Y:$Y,'Threshold Summary'!$L:$L,""))/100)+5)*XLOOKUP(XLOOKUP($Q788,'Threshold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Editor'!$E:$E,1))),stab,IF(OR(mtype=XLOOKUP(XLOOKUP($Q788,'Threshold Summary'!$Y:$Y,'Threshold Summary'!$K:$K,""),'Pokemon Editor'!$A:$A,'Pokemon Editor'!$C:$C,""),mtype=XLOOKUP(XLOOKUP($Q788,'Threshold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Chart'!$B$1:$S$1,0)))),base,IF(OR(cat="Status",pow=0),0,FLOOR(FLOOR(FLOOR((2*XLOOKUP($Q788,'Threshold Summary'!$Y:$Y,'Threshold Summary'!$L:$L,"")/5+2)*pow*atk/def)/50)+2)),modifier,stab*eff,FLOOR(base*modifier)),0)</f>
        <v/>
      </c>
      <c r="L788" s="3">
        <f>IFERROR(LET(mtype,XLOOKUP($D788,'Move Editor'!$B:$B,'Move Editor'!$C:$C,""),cat,XLOOKUP($D788,'Move Editor'!$B:$B,'Move Editor'!$D:$D,""),pow,XLOOKUP($D788,'Move Editor'!$B:$B,'Move Editor'!$E:$E,0),acc,XLOOKUP($D788,'Move Editor'!$B:$B,'Move Editor'!$F:$F,100),atk,IF(cat="Physical",FLOOR((FLOOR(((2*XLOOKUP(XLOOKUP($Q788,'Threshold Summary'!$Y:$Y,'Threshold Summary'!$K:$K,""),'Pokemon Editor'!$A:$A,'Pokemon Editor'!$F:$F,0)+31+FLOOR(XLOOKUP($Q788,'Threshold Summary'!$Y:$Y,'Threshold Summary'!$P:$P,"")/4))*XLOOKUP($Q788,'Threshold Summary'!$Y:$Y,'Threshold Summary'!$L:$L,""))/100)+5)*XLOOKUP(XLOOKUP($Q788,'Threshold Summary'!$Y:$Y,'Threshold Summary'!$M:$M,""),'Nature Editor'!$A:$A,'Nature Editor'!$B:$B,1)),FLOOR((FLOOR(((2*XLOOKUP(XLOOKUP($Q788,'Threshold Summary'!$Y:$Y,'Threshold Summary'!$K:$K,""),'Pokemon Editor'!$A:$A,'Pokemon Editor'!$H:$H,0)+31+FLOOR(XLOOKUP($Q788,'Threshold Summary'!$Y:$Y,'Threshold Summary'!$R:$R,"")/4))*XLOOKUP($Q788,'Threshold Summary'!$Y:$Y,'Threshold Summary'!$L:$L,""))/100)+5)*XLOOKUP(XLOOKUP($Q788,'Threshold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Editor'!$E:$E,1))),stab,IF(OR(mtype=XLOOKUP(XLOOKUP($Q788,'Threshold Summary'!$Y:$Y,'Threshold Summary'!$K:$K,""),'Pokemon Editor'!$A:$A,'Pokemon Editor'!$C:$C,""),mtype=XLOOKUP(XLOOKUP($Q788,'Threshold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Chart'!$B$1:$S$1,0)))),base,IF(OR(cat="Status",pow=0),0,FLOOR(FLOOR(FLOOR((2*XLOOKUP($Q788,'Threshold Summary'!$Y:$Y,'Threshold Summary'!$L:$L,"")/5+2)*pow*atk/def)/50)+2)),modifier,stab*eff,AVERAGE(ARRAYFORMULA(FLOOR(base*modifier*SEQUENCE(16,1,85,1)/100)))),0)</f>
        <v/>
      </c>
      <c r="M788" s="3">
        <f>IFERROR(LET(mtype,XLOOKUP($D788,'Move Editor'!$B:$B,'Move Editor'!$C:$C,""),cat,XLOOKUP($D788,'Move Editor'!$B:$B,'Move Editor'!$D:$D,""),pow,XLOOKUP($D788,'Move Editor'!$B:$B,'Move Editor'!$E:$E,0),acc,XLOOKUP($D788,'Move Editor'!$B:$B,'Move Editor'!$F:$F,100),atk,IF(cat="Physical",FLOOR((FLOOR(((2*XLOOKUP(XLOOKUP($Q788,'Threshold Summary'!$Y:$Y,'Threshold Summary'!$K:$K,""),'Pokemon Editor'!$A:$A,'Pokemon Editor'!$F:$F,0)+31+FLOOR(XLOOKUP($Q788,'Threshold Summary'!$Y:$Y,'Threshold Summary'!$P:$P,"")/4))*XLOOKUP($Q788,'Threshold Summary'!$Y:$Y,'Threshold Summary'!$L:$L,""))/100)+5)*XLOOKUP(XLOOKUP($Q788,'Threshold Summary'!$Y:$Y,'Threshold Summary'!$M:$M,""),'Nature Editor'!$A:$A,'Nature Editor'!$B:$B,1)),FLOOR((FLOOR(((2*XLOOKUP(XLOOKUP($Q788,'Threshold Summary'!$Y:$Y,'Threshold Summary'!$K:$K,""),'Pokemon Editor'!$A:$A,'Pokemon Editor'!$H:$H,0)+31+FLOOR(XLOOKUP($Q788,'Threshold Summary'!$Y:$Y,'Threshold Summary'!$R:$R,"")/4))*XLOOKUP($Q788,'Threshold Summary'!$Y:$Y,'Threshold Summary'!$L:$L,""))/100)+5)*XLOOKUP(XLOOKUP($Q788,'Threshold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Editor'!$E:$E,1))),stab,IF(OR(mtype=XLOOKUP(XLOOKUP($Q788,'Threshold Summary'!$Y:$Y,'Threshold Summary'!$K:$K,""),'Pokemon Editor'!$A:$A,'Pokemon Editor'!$C:$C,""),mtype=XLOOKUP(XLOOKUP($Q788,'Threshold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Chart'!$B$1:$S$1,0)))),base,IF(OR(cat="Status",pow=0),0,FLOOR(FLOOR(FLOOR((2*XLOOKUP($Q788,'Threshold Summary'!$Y:$Y,'Threshold Summary'!$L:$L,"")/5+2)*pow*atk/def)/50)+2)),modifier,stab*eff,AVERAGE(ARRAYFORMULA(FLOOR(base*modifier*SEQUENCE(16,1,85,1)/100)))*MIN(1,acc/100)),0)</f>
        <v/>
      </c>
      <c r="N788" s="4">
        <f>IFERROR(LET(mtype,XLOOKUP($D788,'Move Editor'!$B:$B,'Move Editor'!$C:$C,""),cat,XLOOKUP($D788,'Move Editor'!$B:$B,'Move Editor'!$D:$D,""),pow,XLOOKUP($D788,'Move Editor'!$B:$B,'Move Editor'!$E:$E,0),acc,XLOOKUP($D788,'Move Editor'!$B:$B,'Move Editor'!$F:$F,100),atk,IF(cat="Physical",FLOOR((FLOOR(((2*XLOOKUP(XLOOKUP($Q788,'Threshold Summary'!$Y:$Y,'Threshold Summary'!$K:$K,""),'Pokemon Editor'!$A:$A,'Pokemon Editor'!$F:$F,0)+31+FLOOR(XLOOKUP($Q788,'Threshold Summary'!$Y:$Y,'Threshold Summary'!$P:$P,"")/4))*XLOOKUP($Q788,'Threshold Summary'!$Y:$Y,'Threshold Summary'!$L:$L,""))/100)+5)*XLOOKUP(XLOOKUP($Q788,'Threshold Summary'!$Y:$Y,'Threshold Summary'!$M:$M,""),'Nature Editor'!$A:$A,'Nature Editor'!$B:$B,1)),FLOOR((FLOOR(((2*XLOOKUP(XLOOKUP($Q788,'Threshold Summary'!$Y:$Y,'Threshold Summary'!$K:$K,""),'Pokemon Editor'!$A:$A,'Pokemon Editor'!$H:$H,0)+31+FLOOR(XLOOKUP($Q788,'Threshold Summary'!$Y:$Y,'Threshold Summary'!$R:$R,"")/4))*XLOOKUP($Q788,'Threshold Summary'!$Y:$Y,'Threshold Summary'!$L:$L,""))/100)+5)*XLOOKUP(XLOOKUP($Q788,'Threshold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Editor'!$E:$E,1))),stab,IF(OR(mtype=XLOOKUP(XLOOKUP($Q788,'Threshold Summary'!$Y:$Y,'Threshold Summary'!$K:$K,""),'Pokemon Editor'!$A:$A,'Pokemon Editor'!$C:$C,""),mtype=XLOOKUP(XLOOKUP($Q788,'Threshold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Chart'!$B$1:$S$1,0)))),base,IF(OR(cat="Status",pow=0),0,FLOOR(FLOOR(FLOOR((2*XLOOKUP($Q788,'Threshold Summary'!$Y:$Y,'Threshold Summary'!$L:$L,"")/5+2)*pow*atk/def)/50)+2)),modifier,stab*eff,AVERAGE(ARRAYFORMULA(FLOOR(base*modifier*SEQUENCE(16,1,85,1)/100)))/(FLOOR(((2*XLOOKUP('Boss Editor'!$C$4,'Pokemon Editor'!$A:$A,'Pokemon Editor'!$E:$E,0)+31+FLOOR('Boss Editor'!$G$4/4))*'Boss Editor'!$D$4)/100)+'Boss Editor'!$D$4+10)),0)</f>
        <v/>
      </c>
      <c r="O788" s="3">
        <f>IF(N788&gt;=1,"OHKO",IF(N788&gt;=0.5,"2HKO",IF(N788&gt;=0.333,"3HKO",IF(N788&gt;=0.25,"4HKO","5HKO+"))))</f>
        <v/>
      </c>
      <c r="P788" s="3" t="inlineStr">
        <is>
          <t>Live from editable databases</t>
        </is>
      </c>
      <c r="Q788" s="3" t="inlineStr">
        <is>
          <t>SPECIES_BOUNSWEET</t>
        </is>
      </c>
      <c r="R788" s="3" t="n">
        <v>19</v>
      </c>
    </row>
    <row r="789">
      <c r="A789" s="3">
        <f>XLOOKUP($Q789,'Threshold Summary'!$Y:$Y,'Threshold Summary'!$A:$A,"")</f>
        <v/>
      </c>
      <c r="B789" s="3">
        <f>XLOOKUP($Q789,'Threshold Summary'!$Y:$Y,'Threshold Summary'!$M:$M,"")</f>
        <v/>
      </c>
      <c r="C789" s="3">
        <f>XLOOKUP($Q789,'Threshold Summary'!$Y:$Y,'Threshold Summary'!$N:$N,"")</f>
        <v/>
      </c>
      <c r="D789" s="3">
        <f>IFERROR(INDEX(FILTER('Learnset Editor'!$D$2:$D,'Learnset Editor'!$A$2:$A=XLOOKUP($Q789,'Threshold Summary'!$Y:$Y,'Threshold Summary'!$K:$K,""),'Learnset Editor'!$C$2:$C&lt;=XLOOKUP($Q789,'Threshold Summary'!$Y:$Y,'Threshold Summary'!$L:$L,"")),$R789),"")</f>
        <v/>
      </c>
      <c r="E789" s="3">
        <f>XLOOKUP(D789,'Move Editor'!$B:$B,'Move Editor'!$C:$C,"")</f>
        <v/>
      </c>
      <c r="F789" s="3">
        <f>XLOOKUP(D789,'Move Editor'!$B:$B,'Move Editor'!$D:$D,"")</f>
        <v/>
      </c>
      <c r="G789" s="3">
        <f>XLOOKUP(D789,'Move Editor'!$B:$B,'Move Editor'!$E:$E,0)</f>
        <v/>
      </c>
      <c r="H789" s="3">
        <f>XLOOKUP(D789,'Move Editor'!$B:$B,'Move Editor'!$F:$F,0)</f>
        <v/>
      </c>
      <c r="I789" s="3">
        <f>(INDEX('Type Chart'!$B:$S,MATCH(E789,'Type Chart'!$A:$A,0),MATCH(XLOOKUP('Boss Editor'!$C$4,'Pokemon Editor'!$A:$A,'Pokemon Editor'!$C:$C,""),'Type Chart'!$B$1:$S$1,0))*IF(XLOOKUP('Boss Editor'!$C$4,'Pokemon Editor'!$A:$A,'Pokemon Editor'!$D:$D,"")="",1,INDEX('Type Chart'!$B:$S,MATCH(E789,'Type Chart'!$A:$A,0),MATCH(XLOOKUP('Boss Editor'!$C$4,'Pokemon Editor'!$A:$A,'Pokemon Editor'!$D:$D,""),'Type Chart'!$B$1:$S$1,0))))</f>
        <v/>
      </c>
      <c r="J789" s="3">
        <f>IFERROR(LET(mtype,XLOOKUP($D789,'Move Editor'!$B:$B,'Move Editor'!$C:$C,""),cat,XLOOKUP($D789,'Move Editor'!$B:$B,'Move Editor'!$D:$D,""),pow,XLOOKUP($D789,'Move Editor'!$B:$B,'Move Editor'!$E:$E,0),acc,XLOOKUP($D789,'Move Editor'!$B:$B,'Move Editor'!$F:$F,100),atk,IF(cat="Physical",FLOOR((FLOOR(((2*XLOOKUP(XLOOKUP($Q789,'Threshold Summary'!$Y:$Y,'Threshold Summary'!$K:$K,""),'Pokemon Editor'!$A:$A,'Pokemon Editor'!$F:$F,0)+31+FLOOR(XLOOKUP($Q789,'Threshold Summary'!$Y:$Y,'Threshold Summary'!$P:$P,"")/4))*XLOOKUP($Q789,'Threshold Summary'!$Y:$Y,'Threshold Summary'!$L:$L,""))/100)+5)*XLOOKUP(XLOOKUP($Q789,'Threshold Summary'!$Y:$Y,'Threshold Summary'!$M:$M,""),'Nature Editor'!$A:$A,'Nature Editor'!$B:$B,1)),FLOOR((FLOOR(((2*XLOOKUP(XLOOKUP($Q789,'Threshold Summary'!$Y:$Y,'Threshold Summary'!$K:$K,""),'Pokemon Editor'!$A:$A,'Pokemon Editor'!$H:$H,0)+31+FLOOR(XLOOKUP($Q789,'Threshold Summary'!$Y:$Y,'Threshold Summary'!$R:$R,"")/4))*XLOOKUP($Q789,'Threshold Summary'!$Y:$Y,'Threshold Summary'!$L:$L,""))/100)+5)*XLOOKUP(XLOOKUP($Q789,'Threshold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Editor'!$E:$E,1))),stab,IF(OR(mtype=XLOOKUP(XLOOKUP($Q789,'Threshold Summary'!$Y:$Y,'Threshold Summary'!$K:$K,""),'Pokemon Editor'!$A:$A,'Pokemon Editor'!$C:$C,""),mtype=XLOOKUP(XLOOKUP($Q789,'Threshold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Chart'!$B$1:$S$1,0)))),base,IF(OR(cat="Status",pow=0),0,FLOOR(FLOOR(FLOOR((2*XLOOKUP($Q789,'Threshold Summary'!$Y:$Y,'Threshold Summary'!$L:$L,"")/5+2)*pow*atk/def)/50)+2)),modifier,stab*eff,FLOOR(base*modifier*0.85)),0)</f>
        <v/>
      </c>
      <c r="K789" s="3">
        <f>IFERROR(LET(mtype,XLOOKUP($D789,'Move Editor'!$B:$B,'Move Editor'!$C:$C,""),cat,XLOOKUP($D789,'Move Editor'!$B:$B,'Move Editor'!$D:$D,""),pow,XLOOKUP($D789,'Move Editor'!$B:$B,'Move Editor'!$E:$E,0),acc,XLOOKUP($D789,'Move Editor'!$B:$B,'Move Editor'!$F:$F,100),atk,IF(cat="Physical",FLOOR((FLOOR(((2*XLOOKUP(XLOOKUP($Q789,'Threshold Summary'!$Y:$Y,'Threshold Summary'!$K:$K,""),'Pokemon Editor'!$A:$A,'Pokemon Editor'!$F:$F,0)+31+FLOOR(XLOOKUP($Q789,'Threshold Summary'!$Y:$Y,'Threshold Summary'!$P:$P,"")/4))*XLOOKUP($Q789,'Threshold Summary'!$Y:$Y,'Threshold Summary'!$L:$L,""))/100)+5)*XLOOKUP(XLOOKUP($Q789,'Threshold Summary'!$Y:$Y,'Threshold Summary'!$M:$M,""),'Nature Editor'!$A:$A,'Nature Editor'!$B:$B,1)),FLOOR((FLOOR(((2*XLOOKUP(XLOOKUP($Q789,'Threshold Summary'!$Y:$Y,'Threshold Summary'!$K:$K,""),'Pokemon Editor'!$A:$A,'Pokemon Editor'!$H:$H,0)+31+FLOOR(XLOOKUP($Q789,'Threshold Summary'!$Y:$Y,'Threshold Summary'!$R:$R,"")/4))*XLOOKUP($Q789,'Threshold Summary'!$Y:$Y,'Threshold Summary'!$L:$L,""))/100)+5)*XLOOKUP(XLOOKUP($Q789,'Threshold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Editor'!$E:$E,1))),stab,IF(OR(mtype=XLOOKUP(XLOOKUP($Q789,'Threshold Summary'!$Y:$Y,'Threshold Summary'!$K:$K,""),'Pokemon Editor'!$A:$A,'Pokemon Editor'!$C:$C,""),mtype=XLOOKUP(XLOOKUP($Q789,'Threshold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Chart'!$B$1:$S$1,0)))),base,IF(OR(cat="Status",pow=0),0,FLOOR(FLOOR(FLOOR((2*XLOOKUP($Q789,'Threshold Summary'!$Y:$Y,'Threshold Summary'!$L:$L,"")/5+2)*pow*atk/def)/50)+2)),modifier,stab*eff,FLOOR(base*modifier)),0)</f>
        <v/>
      </c>
      <c r="L789" s="3">
        <f>IFERROR(LET(mtype,XLOOKUP($D789,'Move Editor'!$B:$B,'Move Editor'!$C:$C,""),cat,XLOOKUP($D789,'Move Editor'!$B:$B,'Move Editor'!$D:$D,""),pow,XLOOKUP($D789,'Move Editor'!$B:$B,'Move Editor'!$E:$E,0),acc,XLOOKUP($D789,'Move Editor'!$B:$B,'Move Editor'!$F:$F,100),atk,IF(cat="Physical",FLOOR((FLOOR(((2*XLOOKUP(XLOOKUP($Q789,'Threshold Summary'!$Y:$Y,'Threshold Summary'!$K:$K,""),'Pokemon Editor'!$A:$A,'Pokemon Editor'!$F:$F,0)+31+FLOOR(XLOOKUP($Q789,'Threshold Summary'!$Y:$Y,'Threshold Summary'!$P:$P,"")/4))*XLOOKUP($Q789,'Threshold Summary'!$Y:$Y,'Threshold Summary'!$L:$L,""))/100)+5)*XLOOKUP(XLOOKUP($Q789,'Threshold Summary'!$Y:$Y,'Threshold Summary'!$M:$M,""),'Nature Editor'!$A:$A,'Nature Editor'!$B:$B,1)),FLOOR((FLOOR(((2*XLOOKUP(XLOOKUP($Q789,'Threshold Summary'!$Y:$Y,'Threshold Summary'!$K:$K,""),'Pokemon Editor'!$A:$A,'Pokemon Editor'!$H:$H,0)+31+FLOOR(XLOOKUP($Q789,'Threshold Summary'!$Y:$Y,'Threshold Summary'!$R:$R,"")/4))*XLOOKUP($Q789,'Threshold Summary'!$Y:$Y,'Threshold Summary'!$L:$L,""))/100)+5)*XLOOKUP(XLOOKUP($Q789,'Threshold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Editor'!$E:$E,1))),stab,IF(OR(mtype=XLOOKUP(XLOOKUP($Q789,'Threshold Summary'!$Y:$Y,'Threshold Summary'!$K:$K,""),'Pokemon Editor'!$A:$A,'Pokemon Editor'!$C:$C,""),mtype=XLOOKUP(XLOOKUP($Q789,'Threshold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Chart'!$B$1:$S$1,0)))),base,IF(OR(cat="Status",pow=0),0,FLOOR(FLOOR(FLOOR((2*XLOOKUP($Q789,'Threshold Summary'!$Y:$Y,'Threshold Summary'!$L:$L,"")/5+2)*pow*atk/def)/50)+2)),modifier,stab*eff,AVERAGE(ARRAYFORMULA(FLOOR(base*modifier*SEQUENCE(16,1,85,1)/100)))),0)</f>
        <v/>
      </c>
      <c r="M789" s="3">
        <f>IFERROR(LET(mtype,XLOOKUP($D789,'Move Editor'!$B:$B,'Move Editor'!$C:$C,""),cat,XLOOKUP($D789,'Move Editor'!$B:$B,'Move Editor'!$D:$D,""),pow,XLOOKUP($D789,'Move Editor'!$B:$B,'Move Editor'!$E:$E,0),acc,XLOOKUP($D789,'Move Editor'!$B:$B,'Move Editor'!$F:$F,100),atk,IF(cat="Physical",FLOOR((FLOOR(((2*XLOOKUP(XLOOKUP($Q789,'Threshold Summary'!$Y:$Y,'Threshold Summary'!$K:$K,""),'Pokemon Editor'!$A:$A,'Pokemon Editor'!$F:$F,0)+31+FLOOR(XLOOKUP($Q789,'Threshold Summary'!$Y:$Y,'Threshold Summary'!$P:$P,"")/4))*XLOOKUP($Q789,'Threshold Summary'!$Y:$Y,'Threshold Summary'!$L:$L,""))/100)+5)*XLOOKUP(XLOOKUP($Q789,'Threshold Summary'!$Y:$Y,'Threshold Summary'!$M:$M,""),'Nature Editor'!$A:$A,'Nature Editor'!$B:$B,1)),FLOOR((FLOOR(((2*XLOOKUP(XLOOKUP($Q789,'Threshold Summary'!$Y:$Y,'Threshold Summary'!$K:$K,""),'Pokemon Editor'!$A:$A,'Pokemon Editor'!$H:$H,0)+31+FLOOR(XLOOKUP($Q789,'Threshold Summary'!$Y:$Y,'Threshold Summary'!$R:$R,"")/4))*XLOOKUP($Q789,'Threshold Summary'!$Y:$Y,'Threshold Summary'!$L:$L,""))/100)+5)*XLOOKUP(XLOOKUP($Q789,'Threshold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Editor'!$E:$E,1))),stab,IF(OR(mtype=XLOOKUP(XLOOKUP($Q789,'Threshold Summary'!$Y:$Y,'Threshold Summary'!$K:$K,""),'Pokemon Editor'!$A:$A,'Pokemon Editor'!$C:$C,""),mtype=XLOOKUP(XLOOKUP($Q789,'Threshold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Chart'!$B$1:$S$1,0)))),base,IF(OR(cat="Status",pow=0),0,FLOOR(FLOOR(FLOOR((2*XLOOKUP($Q789,'Threshold Summary'!$Y:$Y,'Threshold Summary'!$L:$L,"")/5+2)*pow*atk/def)/50)+2)),modifier,stab*eff,AVERAGE(ARRAYFORMULA(FLOOR(base*modifier*SEQUENCE(16,1,85,1)/100)))*MIN(1,acc/100)),0)</f>
        <v/>
      </c>
      <c r="N789" s="4">
        <f>IFERROR(LET(mtype,XLOOKUP($D789,'Move Editor'!$B:$B,'Move Editor'!$C:$C,""),cat,XLOOKUP($D789,'Move Editor'!$B:$B,'Move Editor'!$D:$D,""),pow,XLOOKUP($D789,'Move Editor'!$B:$B,'Move Editor'!$E:$E,0),acc,XLOOKUP($D789,'Move Editor'!$B:$B,'Move Editor'!$F:$F,100),atk,IF(cat="Physical",FLOOR((FLOOR(((2*XLOOKUP(XLOOKUP($Q789,'Threshold Summary'!$Y:$Y,'Threshold Summary'!$K:$K,""),'Pokemon Editor'!$A:$A,'Pokemon Editor'!$F:$F,0)+31+FLOOR(XLOOKUP($Q789,'Threshold Summary'!$Y:$Y,'Threshold Summary'!$P:$P,"")/4))*XLOOKUP($Q789,'Threshold Summary'!$Y:$Y,'Threshold Summary'!$L:$L,""))/100)+5)*XLOOKUP(XLOOKUP($Q789,'Threshold Summary'!$Y:$Y,'Threshold Summary'!$M:$M,""),'Nature Editor'!$A:$A,'Nature Editor'!$B:$B,1)),FLOOR((FLOOR(((2*XLOOKUP(XLOOKUP($Q789,'Threshold Summary'!$Y:$Y,'Threshold Summary'!$K:$K,""),'Pokemon Editor'!$A:$A,'Pokemon Editor'!$H:$H,0)+31+FLOOR(XLOOKUP($Q789,'Threshold Summary'!$Y:$Y,'Threshold Summary'!$R:$R,"")/4))*XLOOKUP($Q789,'Threshold Summary'!$Y:$Y,'Threshold Summary'!$L:$L,""))/100)+5)*XLOOKUP(XLOOKUP($Q789,'Threshold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Editor'!$E:$E,1))),stab,IF(OR(mtype=XLOOKUP(XLOOKUP($Q789,'Threshold Summary'!$Y:$Y,'Threshold Summary'!$K:$K,""),'Pokemon Editor'!$A:$A,'Pokemon Editor'!$C:$C,""),mtype=XLOOKUP(XLOOKUP($Q789,'Threshold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Chart'!$B$1:$S$1,0)))),base,IF(OR(cat="Status",pow=0),0,FLOOR(FLOOR(FLOOR((2*XLOOKUP($Q789,'Threshold Summary'!$Y:$Y,'Threshold Summary'!$L:$L,"")/5+2)*pow*atk/def)/50)+2)),modifier,stab*eff,AVERAGE(ARRAYFORMULA(FLOOR(base*modifier*SEQUENCE(16,1,85,1)/100)))/(FLOOR(((2*XLOOKUP('Boss Editor'!$C$4,'Pokemon Editor'!$A:$A,'Pokemon Editor'!$E:$E,0)+31+FLOOR('Boss Editor'!$G$4/4))*'Boss Editor'!$D$4)/100)+'Boss Editor'!$D$4+10)),0)</f>
        <v/>
      </c>
      <c r="O789" s="3">
        <f>IF(N789&gt;=1,"OHKO",IF(N789&gt;=0.5,"2HKO",IF(N789&gt;=0.333,"3HKO",IF(N789&gt;=0.25,"4HKO","5HKO+"))))</f>
        <v/>
      </c>
      <c r="P789" s="3" t="inlineStr">
        <is>
          <t>Live from editable databases</t>
        </is>
      </c>
      <c r="Q789" s="3" t="inlineStr">
        <is>
          <t>SPECIES_BOUNSWEET</t>
        </is>
      </c>
      <c r="R789" s="3" t="n">
        <v>20</v>
      </c>
    </row>
    <row r="790">
      <c r="A790" s="3">
        <f>XLOOKUP($Q790,'Threshold Summary'!$Y:$Y,'Threshold Summary'!$A:$A,"")</f>
        <v/>
      </c>
      <c r="B790" s="3">
        <f>XLOOKUP($Q790,'Threshold Summary'!$Y:$Y,'Threshold Summary'!$M:$M,"")</f>
        <v/>
      </c>
      <c r="C790" s="3">
        <f>XLOOKUP($Q790,'Threshold Summary'!$Y:$Y,'Threshold Summary'!$N:$N,"")</f>
        <v/>
      </c>
      <c r="D790" s="3">
        <f>IFERROR(INDEX(FILTER('Learnset Editor'!$D$2:$D,'Learnset Editor'!$A$2:$A=XLOOKUP($Q790,'Threshold Summary'!$Y:$Y,'Threshold Summary'!$K:$K,""),'Learnset Editor'!$C$2:$C&lt;=XLOOKUP($Q790,'Threshold Summary'!$Y:$Y,'Threshold Summary'!$L:$L,"")),$R790),"")</f>
        <v/>
      </c>
      <c r="E790" s="3">
        <f>XLOOKUP(D790,'Move Editor'!$B:$B,'Move Editor'!$C:$C,"")</f>
        <v/>
      </c>
      <c r="F790" s="3">
        <f>XLOOKUP(D790,'Move Editor'!$B:$B,'Move Editor'!$D:$D,"")</f>
        <v/>
      </c>
      <c r="G790" s="3">
        <f>XLOOKUP(D790,'Move Editor'!$B:$B,'Move Editor'!$E:$E,0)</f>
        <v/>
      </c>
      <c r="H790" s="3">
        <f>XLOOKUP(D790,'Move Editor'!$B:$B,'Move Editor'!$F:$F,0)</f>
        <v/>
      </c>
      <c r="I790" s="3">
        <f>(INDEX('Type Chart'!$B:$S,MATCH(E790,'Type Chart'!$A:$A,0),MATCH(XLOOKUP('Boss Editor'!$C$4,'Pokemon Editor'!$A:$A,'Pokemon Editor'!$C:$C,""),'Type Chart'!$B$1:$S$1,0))*IF(XLOOKUP('Boss Editor'!$C$4,'Pokemon Editor'!$A:$A,'Pokemon Editor'!$D:$D,"")="",1,INDEX('Type Chart'!$B:$S,MATCH(E790,'Type Chart'!$A:$A,0),MATCH(XLOOKUP('Boss Editor'!$C$4,'Pokemon Editor'!$A:$A,'Pokemon Editor'!$D:$D,""),'Type Chart'!$B$1:$S$1,0))))</f>
        <v/>
      </c>
      <c r="J790" s="3">
        <f>IFERROR(LET(mtype,XLOOKUP($D790,'Move Editor'!$B:$B,'Move Editor'!$C:$C,""),cat,XLOOKUP($D790,'Move Editor'!$B:$B,'Move Editor'!$D:$D,""),pow,XLOOKUP($D790,'Move Editor'!$B:$B,'Move Editor'!$E:$E,0),acc,XLOOKUP($D790,'Move Editor'!$B:$B,'Move Editor'!$F:$F,100),atk,IF(cat="Physical",FLOOR((FLOOR(((2*XLOOKUP(XLOOKUP($Q790,'Threshold Summary'!$Y:$Y,'Threshold Summary'!$K:$K,""),'Pokemon Editor'!$A:$A,'Pokemon Editor'!$F:$F,0)+31+FLOOR(XLOOKUP($Q790,'Threshold Summary'!$Y:$Y,'Threshold Summary'!$P:$P,"")/4))*XLOOKUP($Q790,'Threshold Summary'!$Y:$Y,'Threshold Summary'!$L:$L,""))/100)+5)*XLOOKUP(XLOOKUP($Q790,'Threshold Summary'!$Y:$Y,'Threshold Summary'!$M:$M,""),'Nature Editor'!$A:$A,'Nature Editor'!$B:$B,1)),FLOOR((FLOOR(((2*XLOOKUP(XLOOKUP($Q790,'Threshold Summary'!$Y:$Y,'Threshold Summary'!$K:$K,""),'Pokemon Editor'!$A:$A,'Pokemon Editor'!$H:$H,0)+31+FLOOR(XLOOKUP($Q790,'Threshold Summary'!$Y:$Y,'Threshold Summary'!$R:$R,"")/4))*XLOOKUP($Q790,'Threshold Summary'!$Y:$Y,'Threshold Summary'!$L:$L,""))/100)+5)*XLOOKUP(XLOOKUP($Q790,'Threshold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Editor'!$E:$E,1))),stab,IF(OR(mtype=XLOOKUP(XLOOKUP($Q790,'Threshold Summary'!$Y:$Y,'Threshold Summary'!$K:$K,""),'Pokemon Editor'!$A:$A,'Pokemon Editor'!$C:$C,""),mtype=XLOOKUP(XLOOKUP($Q790,'Threshold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Chart'!$B$1:$S$1,0)))),base,IF(OR(cat="Status",pow=0),0,FLOOR(FLOOR(FLOOR((2*XLOOKUP($Q790,'Threshold Summary'!$Y:$Y,'Threshold Summary'!$L:$L,"")/5+2)*pow*atk/def)/50)+2)),modifier,stab*eff,FLOOR(base*modifier*0.85)),0)</f>
        <v/>
      </c>
      <c r="K790" s="3">
        <f>IFERROR(LET(mtype,XLOOKUP($D790,'Move Editor'!$B:$B,'Move Editor'!$C:$C,""),cat,XLOOKUP($D790,'Move Editor'!$B:$B,'Move Editor'!$D:$D,""),pow,XLOOKUP($D790,'Move Editor'!$B:$B,'Move Editor'!$E:$E,0),acc,XLOOKUP($D790,'Move Editor'!$B:$B,'Move Editor'!$F:$F,100),atk,IF(cat="Physical",FLOOR((FLOOR(((2*XLOOKUP(XLOOKUP($Q790,'Threshold Summary'!$Y:$Y,'Threshold Summary'!$K:$K,""),'Pokemon Editor'!$A:$A,'Pokemon Editor'!$F:$F,0)+31+FLOOR(XLOOKUP($Q790,'Threshold Summary'!$Y:$Y,'Threshold Summary'!$P:$P,"")/4))*XLOOKUP($Q790,'Threshold Summary'!$Y:$Y,'Threshold Summary'!$L:$L,""))/100)+5)*XLOOKUP(XLOOKUP($Q790,'Threshold Summary'!$Y:$Y,'Threshold Summary'!$M:$M,""),'Nature Editor'!$A:$A,'Nature Editor'!$B:$B,1)),FLOOR((FLOOR(((2*XLOOKUP(XLOOKUP($Q790,'Threshold Summary'!$Y:$Y,'Threshold Summary'!$K:$K,""),'Pokemon Editor'!$A:$A,'Pokemon Editor'!$H:$H,0)+31+FLOOR(XLOOKUP($Q790,'Threshold Summary'!$Y:$Y,'Threshold Summary'!$R:$R,"")/4))*XLOOKUP($Q790,'Threshold Summary'!$Y:$Y,'Threshold Summary'!$L:$L,""))/100)+5)*XLOOKUP(XLOOKUP($Q790,'Threshold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Editor'!$E:$E,1))),stab,IF(OR(mtype=XLOOKUP(XLOOKUP($Q790,'Threshold Summary'!$Y:$Y,'Threshold Summary'!$K:$K,""),'Pokemon Editor'!$A:$A,'Pokemon Editor'!$C:$C,""),mtype=XLOOKUP(XLOOKUP($Q790,'Threshold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Chart'!$B$1:$S$1,0)))),base,IF(OR(cat="Status",pow=0),0,FLOOR(FLOOR(FLOOR((2*XLOOKUP($Q790,'Threshold Summary'!$Y:$Y,'Threshold Summary'!$L:$L,"")/5+2)*pow*atk/def)/50)+2)),modifier,stab*eff,FLOOR(base*modifier)),0)</f>
        <v/>
      </c>
      <c r="L790" s="3">
        <f>IFERROR(LET(mtype,XLOOKUP($D790,'Move Editor'!$B:$B,'Move Editor'!$C:$C,""),cat,XLOOKUP($D790,'Move Editor'!$B:$B,'Move Editor'!$D:$D,""),pow,XLOOKUP($D790,'Move Editor'!$B:$B,'Move Editor'!$E:$E,0),acc,XLOOKUP($D790,'Move Editor'!$B:$B,'Move Editor'!$F:$F,100),atk,IF(cat="Physical",FLOOR((FLOOR(((2*XLOOKUP(XLOOKUP($Q790,'Threshold Summary'!$Y:$Y,'Threshold Summary'!$K:$K,""),'Pokemon Editor'!$A:$A,'Pokemon Editor'!$F:$F,0)+31+FLOOR(XLOOKUP($Q790,'Threshold Summary'!$Y:$Y,'Threshold Summary'!$P:$P,"")/4))*XLOOKUP($Q790,'Threshold Summary'!$Y:$Y,'Threshold Summary'!$L:$L,""))/100)+5)*XLOOKUP(XLOOKUP($Q790,'Threshold Summary'!$Y:$Y,'Threshold Summary'!$M:$M,""),'Nature Editor'!$A:$A,'Nature Editor'!$B:$B,1)),FLOOR((FLOOR(((2*XLOOKUP(XLOOKUP($Q790,'Threshold Summary'!$Y:$Y,'Threshold Summary'!$K:$K,""),'Pokemon Editor'!$A:$A,'Pokemon Editor'!$H:$H,0)+31+FLOOR(XLOOKUP($Q790,'Threshold Summary'!$Y:$Y,'Threshold Summary'!$R:$R,"")/4))*XLOOKUP($Q790,'Threshold Summary'!$Y:$Y,'Threshold Summary'!$L:$L,""))/100)+5)*XLOOKUP(XLOOKUP($Q790,'Threshold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Editor'!$E:$E,1))),stab,IF(OR(mtype=XLOOKUP(XLOOKUP($Q790,'Threshold Summary'!$Y:$Y,'Threshold Summary'!$K:$K,""),'Pokemon Editor'!$A:$A,'Pokemon Editor'!$C:$C,""),mtype=XLOOKUP(XLOOKUP($Q790,'Threshold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Chart'!$B$1:$S$1,0)))),base,IF(OR(cat="Status",pow=0),0,FLOOR(FLOOR(FLOOR((2*XLOOKUP($Q790,'Threshold Summary'!$Y:$Y,'Threshold Summary'!$L:$L,"")/5+2)*pow*atk/def)/50)+2)),modifier,stab*eff,AVERAGE(ARRAYFORMULA(FLOOR(base*modifier*SEQUENCE(16,1,85,1)/100)))),0)</f>
        <v/>
      </c>
      <c r="M790" s="3">
        <f>IFERROR(LET(mtype,XLOOKUP($D790,'Move Editor'!$B:$B,'Move Editor'!$C:$C,""),cat,XLOOKUP($D790,'Move Editor'!$B:$B,'Move Editor'!$D:$D,""),pow,XLOOKUP($D790,'Move Editor'!$B:$B,'Move Editor'!$E:$E,0),acc,XLOOKUP($D790,'Move Editor'!$B:$B,'Move Editor'!$F:$F,100),atk,IF(cat="Physical",FLOOR((FLOOR(((2*XLOOKUP(XLOOKUP($Q790,'Threshold Summary'!$Y:$Y,'Threshold Summary'!$K:$K,""),'Pokemon Editor'!$A:$A,'Pokemon Editor'!$F:$F,0)+31+FLOOR(XLOOKUP($Q790,'Threshold Summary'!$Y:$Y,'Threshold Summary'!$P:$P,"")/4))*XLOOKUP($Q790,'Threshold Summary'!$Y:$Y,'Threshold Summary'!$L:$L,""))/100)+5)*XLOOKUP(XLOOKUP($Q790,'Threshold Summary'!$Y:$Y,'Threshold Summary'!$M:$M,""),'Nature Editor'!$A:$A,'Nature Editor'!$B:$B,1)),FLOOR((FLOOR(((2*XLOOKUP(XLOOKUP($Q790,'Threshold Summary'!$Y:$Y,'Threshold Summary'!$K:$K,""),'Pokemon Editor'!$A:$A,'Pokemon Editor'!$H:$H,0)+31+FLOOR(XLOOKUP($Q790,'Threshold Summary'!$Y:$Y,'Threshold Summary'!$R:$R,"")/4))*XLOOKUP($Q790,'Threshold Summary'!$Y:$Y,'Threshold Summary'!$L:$L,""))/100)+5)*XLOOKUP(XLOOKUP($Q790,'Threshold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Editor'!$E:$E,1))),stab,IF(OR(mtype=XLOOKUP(XLOOKUP($Q790,'Threshold Summary'!$Y:$Y,'Threshold Summary'!$K:$K,""),'Pokemon Editor'!$A:$A,'Pokemon Editor'!$C:$C,""),mtype=XLOOKUP(XLOOKUP($Q790,'Threshold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Chart'!$B$1:$S$1,0)))),base,IF(OR(cat="Status",pow=0),0,FLOOR(FLOOR(FLOOR((2*XLOOKUP($Q790,'Threshold Summary'!$Y:$Y,'Threshold Summary'!$L:$L,"")/5+2)*pow*atk/def)/50)+2)),modifier,stab*eff,AVERAGE(ARRAYFORMULA(FLOOR(base*modifier*SEQUENCE(16,1,85,1)/100)))*MIN(1,acc/100)),0)</f>
        <v/>
      </c>
      <c r="N790" s="4">
        <f>IFERROR(LET(mtype,XLOOKUP($D790,'Move Editor'!$B:$B,'Move Editor'!$C:$C,""),cat,XLOOKUP($D790,'Move Editor'!$B:$B,'Move Editor'!$D:$D,""),pow,XLOOKUP($D790,'Move Editor'!$B:$B,'Move Editor'!$E:$E,0),acc,XLOOKUP($D790,'Move Editor'!$B:$B,'Move Editor'!$F:$F,100),atk,IF(cat="Physical",FLOOR((FLOOR(((2*XLOOKUP(XLOOKUP($Q790,'Threshold Summary'!$Y:$Y,'Threshold Summary'!$K:$K,""),'Pokemon Editor'!$A:$A,'Pokemon Editor'!$F:$F,0)+31+FLOOR(XLOOKUP($Q790,'Threshold Summary'!$Y:$Y,'Threshold Summary'!$P:$P,"")/4))*XLOOKUP($Q790,'Threshold Summary'!$Y:$Y,'Threshold Summary'!$L:$L,""))/100)+5)*XLOOKUP(XLOOKUP($Q790,'Threshold Summary'!$Y:$Y,'Threshold Summary'!$M:$M,""),'Nature Editor'!$A:$A,'Nature Editor'!$B:$B,1)),FLOOR((FLOOR(((2*XLOOKUP(XLOOKUP($Q790,'Threshold Summary'!$Y:$Y,'Threshold Summary'!$K:$K,""),'Pokemon Editor'!$A:$A,'Pokemon Editor'!$H:$H,0)+31+FLOOR(XLOOKUP($Q790,'Threshold Summary'!$Y:$Y,'Threshold Summary'!$R:$R,"")/4))*XLOOKUP($Q790,'Threshold Summary'!$Y:$Y,'Threshold Summary'!$L:$L,""))/100)+5)*XLOOKUP(XLOOKUP($Q790,'Threshold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Editor'!$E:$E,1))),stab,IF(OR(mtype=XLOOKUP(XLOOKUP($Q790,'Threshold Summary'!$Y:$Y,'Threshold Summary'!$K:$K,""),'Pokemon Editor'!$A:$A,'Pokemon Editor'!$C:$C,""),mtype=XLOOKUP(XLOOKUP($Q790,'Threshold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Chart'!$B$1:$S$1,0)))),base,IF(OR(cat="Status",pow=0),0,FLOOR(FLOOR(FLOOR((2*XLOOKUP($Q790,'Threshold Summary'!$Y:$Y,'Threshold Summary'!$L:$L,"")/5+2)*pow*atk/def)/50)+2)),modifier,stab*eff,AVERAGE(ARRAYFORMULA(FLOOR(base*modifier*SEQUENCE(16,1,85,1)/100)))/(FLOOR(((2*XLOOKUP('Boss Editor'!$C$4,'Pokemon Editor'!$A:$A,'Pokemon Editor'!$E:$E,0)+31+FLOOR('Boss Editor'!$G$4/4))*'Boss Editor'!$D$4)/100)+'Boss Editor'!$D$4+10)),0)</f>
        <v/>
      </c>
      <c r="O790" s="3">
        <f>IF(N790&gt;=1,"OHKO",IF(N790&gt;=0.5,"2HKO",IF(N790&gt;=0.333,"3HKO",IF(N790&gt;=0.25,"4HKO","5HKO+"))))</f>
        <v/>
      </c>
      <c r="P790" s="3" t="inlineStr">
        <is>
          <t>Live from editable databases</t>
        </is>
      </c>
      <c r="Q790" s="3" t="inlineStr">
        <is>
          <t>SPECIES_BOUNSWEET</t>
        </is>
      </c>
      <c r="R790" s="3" t="n">
        <v>21</v>
      </c>
    </row>
    <row r="791">
      <c r="A791" s="3">
        <f>XLOOKUP($Q791,'Threshold Summary'!$Y:$Y,'Threshold Summary'!$A:$A,"")</f>
        <v/>
      </c>
      <c r="B791" s="3">
        <f>XLOOKUP($Q791,'Threshold Summary'!$Y:$Y,'Threshold Summary'!$M:$M,"")</f>
        <v/>
      </c>
      <c r="C791" s="3">
        <f>XLOOKUP($Q791,'Threshold Summary'!$Y:$Y,'Threshold Summary'!$N:$N,"")</f>
        <v/>
      </c>
      <c r="D791" s="3">
        <f>IFERROR(INDEX(FILTER('Learnset Editor'!$D$2:$D,'Learnset Editor'!$A$2:$A=XLOOKUP($Q791,'Threshold Summary'!$Y:$Y,'Threshold Summary'!$K:$K,""),'Learnset Editor'!$C$2:$C&lt;=XLOOKUP($Q791,'Threshold Summary'!$Y:$Y,'Threshold Summary'!$L:$L,"")),$R791),"")</f>
        <v/>
      </c>
      <c r="E791" s="3">
        <f>XLOOKUP(D791,'Move Editor'!$B:$B,'Move Editor'!$C:$C,"")</f>
        <v/>
      </c>
      <c r="F791" s="3">
        <f>XLOOKUP(D791,'Move Editor'!$B:$B,'Move Editor'!$D:$D,"")</f>
        <v/>
      </c>
      <c r="G791" s="3">
        <f>XLOOKUP(D791,'Move Editor'!$B:$B,'Move Editor'!$E:$E,0)</f>
        <v/>
      </c>
      <c r="H791" s="3">
        <f>XLOOKUP(D791,'Move Editor'!$B:$B,'Move Editor'!$F:$F,0)</f>
        <v/>
      </c>
      <c r="I791" s="3">
        <f>(INDEX('Type Chart'!$B:$S,MATCH(E791,'Type Chart'!$A:$A,0),MATCH(XLOOKUP('Boss Editor'!$C$4,'Pokemon Editor'!$A:$A,'Pokemon Editor'!$C:$C,""),'Type Chart'!$B$1:$S$1,0))*IF(XLOOKUP('Boss Editor'!$C$4,'Pokemon Editor'!$A:$A,'Pokemon Editor'!$D:$D,"")="",1,INDEX('Type Chart'!$B:$S,MATCH(E791,'Type Chart'!$A:$A,0),MATCH(XLOOKUP('Boss Editor'!$C$4,'Pokemon Editor'!$A:$A,'Pokemon Editor'!$D:$D,""),'Type Chart'!$B$1:$S$1,0))))</f>
        <v/>
      </c>
      <c r="J791" s="3">
        <f>IFERROR(LET(mtype,XLOOKUP($D791,'Move Editor'!$B:$B,'Move Editor'!$C:$C,""),cat,XLOOKUP($D791,'Move Editor'!$B:$B,'Move Editor'!$D:$D,""),pow,XLOOKUP($D791,'Move Editor'!$B:$B,'Move Editor'!$E:$E,0),acc,XLOOKUP($D791,'Move Editor'!$B:$B,'Move Editor'!$F:$F,100),atk,IF(cat="Physical",FLOOR((FLOOR(((2*XLOOKUP(XLOOKUP($Q791,'Threshold Summary'!$Y:$Y,'Threshold Summary'!$K:$K,""),'Pokemon Editor'!$A:$A,'Pokemon Editor'!$F:$F,0)+31+FLOOR(XLOOKUP($Q791,'Threshold Summary'!$Y:$Y,'Threshold Summary'!$P:$P,"")/4))*XLOOKUP($Q791,'Threshold Summary'!$Y:$Y,'Threshold Summary'!$L:$L,""))/100)+5)*XLOOKUP(XLOOKUP($Q791,'Threshold Summary'!$Y:$Y,'Threshold Summary'!$M:$M,""),'Nature Editor'!$A:$A,'Nature Editor'!$B:$B,1)),FLOOR((FLOOR(((2*XLOOKUP(XLOOKUP($Q791,'Threshold Summary'!$Y:$Y,'Threshold Summary'!$K:$K,""),'Pokemon Editor'!$A:$A,'Pokemon Editor'!$H:$H,0)+31+FLOOR(XLOOKUP($Q791,'Threshold Summary'!$Y:$Y,'Threshold Summary'!$R:$R,"")/4))*XLOOKUP($Q791,'Threshold Summary'!$Y:$Y,'Threshold Summary'!$L:$L,""))/100)+5)*XLOOKUP(XLOOKUP($Q791,'Threshold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Editor'!$E:$E,1))),stab,IF(OR(mtype=XLOOKUP(XLOOKUP($Q791,'Threshold Summary'!$Y:$Y,'Threshold Summary'!$K:$K,""),'Pokemon Editor'!$A:$A,'Pokemon Editor'!$C:$C,""),mtype=XLOOKUP(XLOOKUP($Q791,'Threshold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Chart'!$B$1:$S$1,0)))),base,IF(OR(cat="Status",pow=0),0,FLOOR(FLOOR(FLOOR((2*XLOOKUP($Q791,'Threshold Summary'!$Y:$Y,'Threshold Summary'!$L:$L,"")/5+2)*pow*atk/def)/50)+2)),modifier,stab*eff,FLOOR(base*modifier*0.85)),0)</f>
        <v/>
      </c>
      <c r="K791" s="3">
        <f>IFERROR(LET(mtype,XLOOKUP($D791,'Move Editor'!$B:$B,'Move Editor'!$C:$C,""),cat,XLOOKUP($D791,'Move Editor'!$B:$B,'Move Editor'!$D:$D,""),pow,XLOOKUP($D791,'Move Editor'!$B:$B,'Move Editor'!$E:$E,0),acc,XLOOKUP($D791,'Move Editor'!$B:$B,'Move Editor'!$F:$F,100),atk,IF(cat="Physical",FLOOR((FLOOR(((2*XLOOKUP(XLOOKUP($Q791,'Threshold Summary'!$Y:$Y,'Threshold Summary'!$K:$K,""),'Pokemon Editor'!$A:$A,'Pokemon Editor'!$F:$F,0)+31+FLOOR(XLOOKUP($Q791,'Threshold Summary'!$Y:$Y,'Threshold Summary'!$P:$P,"")/4))*XLOOKUP($Q791,'Threshold Summary'!$Y:$Y,'Threshold Summary'!$L:$L,""))/100)+5)*XLOOKUP(XLOOKUP($Q791,'Threshold Summary'!$Y:$Y,'Threshold Summary'!$M:$M,""),'Nature Editor'!$A:$A,'Nature Editor'!$B:$B,1)),FLOOR((FLOOR(((2*XLOOKUP(XLOOKUP($Q791,'Threshold Summary'!$Y:$Y,'Threshold Summary'!$K:$K,""),'Pokemon Editor'!$A:$A,'Pokemon Editor'!$H:$H,0)+31+FLOOR(XLOOKUP($Q791,'Threshold Summary'!$Y:$Y,'Threshold Summary'!$R:$R,"")/4))*XLOOKUP($Q791,'Threshold Summary'!$Y:$Y,'Threshold Summary'!$L:$L,""))/100)+5)*XLOOKUP(XLOOKUP($Q791,'Threshold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Editor'!$E:$E,1))),stab,IF(OR(mtype=XLOOKUP(XLOOKUP($Q791,'Threshold Summary'!$Y:$Y,'Threshold Summary'!$K:$K,""),'Pokemon Editor'!$A:$A,'Pokemon Editor'!$C:$C,""),mtype=XLOOKUP(XLOOKUP($Q791,'Threshold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Chart'!$B$1:$S$1,0)))),base,IF(OR(cat="Status",pow=0),0,FLOOR(FLOOR(FLOOR((2*XLOOKUP($Q791,'Threshold Summary'!$Y:$Y,'Threshold Summary'!$L:$L,"")/5+2)*pow*atk/def)/50)+2)),modifier,stab*eff,FLOOR(base*modifier)),0)</f>
        <v/>
      </c>
      <c r="L791" s="3">
        <f>IFERROR(LET(mtype,XLOOKUP($D791,'Move Editor'!$B:$B,'Move Editor'!$C:$C,""),cat,XLOOKUP($D791,'Move Editor'!$B:$B,'Move Editor'!$D:$D,""),pow,XLOOKUP($D791,'Move Editor'!$B:$B,'Move Editor'!$E:$E,0),acc,XLOOKUP($D791,'Move Editor'!$B:$B,'Move Editor'!$F:$F,100),atk,IF(cat="Physical",FLOOR((FLOOR(((2*XLOOKUP(XLOOKUP($Q791,'Threshold Summary'!$Y:$Y,'Threshold Summary'!$K:$K,""),'Pokemon Editor'!$A:$A,'Pokemon Editor'!$F:$F,0)+31+FLOOR(XLOOKUP($Q791,'Threshold Summary'!$Y:$Y,'Threshold Summary'!$P:$P,"")/4))*XLOOKUP($Q791,'Threshold Summary'!$Y:$Y,'Threshold Summary'!$L:$L,""))/100)+5)*XLOOKUP(XLOOKUP($Q791,'Threshold Summary'!$Y:$Y,'Threshold Summary'!$M:$M,""),'Nature Editor'!$A:$A,'Nature Editor'!$B:$B,1)),FLOOR((FLOOR(((2*XLOOKUP(XLOOKUP($Q791,'Threshold Summary'!$Y:$Y,'Threshold Summary'!$K:$K,""),'Pokemon Editor'!$A:$A,'Pokemon Editor'!$H:$H,0)+31+FLOOR(XLOOKUP($Q791,'Threshold Summary'!$Y:$Y,'Threshold Summary'!$R:$R,"")/4))*XLOOKUP($Q791,'Threshold Summary'!$Y:$Y,'Threshold Summary'!$L:$L,""))/100)+5)*XLOOKUP(XLOOKUP($Q791,'Threshold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Editor'!$E:$E,1))),stab,IF(OR(mtype=XLOOKUP(XLOOKUP($Q791,'Threshold Summary'!$Y:$Y,'Threshold Summary'!$K:$K,""),'Pokemon Editor'!$A:$A,'Pokemon Editor'!$C:$C,""),mtype=XLOOKUP(XLOOKUP($Q791,'Threshold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Chart'!$B$1:$S$1,0)))),base,IF(OR(cat="Status",pow=0),0,FLOOR(FLOOR(FLOOR((2*XLOOKUP($Q791,'Threshold Summary'!$Y:$Y,'Threshold Summary'!$L:$L,"")/5+2)*pow*atk/def)/50)+2)),modifier,stab*eff,AVERAGE(ARRAYFORMULA(FLOOR(base*modifier*SEQUENCE(16,1,85,1)/100)))),0)</f>
        <v/>
      </c>
      <c r="M791" s="3">
        <f>IFERROR(LET(mtype,XLOOKUP($D791,'Move Editor'!$B:$B,'Move Editor'!$C:$C,""),cat,XLOOKUP($D791,'Move Editor'!$B:$B,'Move Editor'!$D:$D,""),pow,XLOOKUP($D791,'Move Editor'!$B:$B,'Move Editor'!$E:$E,0),acc,XLOOKUP($D791,'Move Editor'!$B:$B,'Move Editor'!$F:$F,100),atk,IF(cat="Physical",FLOOR((FLOOR(((2*XLOOKUP(XLOOKUP($Q791,'Threshold Summary'!$Y:$Y,'Threshold Summary'!$K:$K,""),'Pokemon Editor'!$A:$A,'Pokemon Editor'!$F:$F,0)+31+FLOOR(XLOOKUP($Q791,'Threshold Summary'!$Y:$Y,'Threshold Summary'!$P:$P,"")/4))*XLOOKUP($Q791,'Threshold Summary'!$Y:$Y,'Threshold Summary'!$L:$L,""))/100)+5)*XLOOKUP(XLOOKUP($Q791,'Threshold Summary'!$Y:$Y,'Threshold Summary'!$M:$M,""),'Nature Editor'!$A:$A,'Nature Editor'!$B:$B,1)),FLOOR((FLOOR(((2*XLOOKUP(XLOOKUP($Q791,'Threshold Summary'!$Y:$Y,'Threshold Summary'!$K:$K,""),'Pokemon Editor'!$A:$A,'Pokemon Editor'!$H:$H,0)+31+FLOOR(XLOOKUP($Q791,'Threshold Summary'!$Y:$Y,'Threshold Summary'!$R:$R,"")/4))*XLOOKUP($Q791,'Threshold Summary'!$Y:$Y,'Threshold Summary'!$L:$L,""))/100)+5)*XLOOKUP(XLOOKUP($Q791,'Threshold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Editor'!$E:$E,1))),stab,IF(OR(mtype=XLOOKUP(XLOOKUP($Q791,'Threshold Summary'!$Y:$Y,'Threshold Summary'!$K:$K,""),'Pokemon Editor'!$A:$A,'Pokemon Editor'!$C:$C,""),mtype=XLOOKUP(XLOOKUP($Q791,'Threshold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Chart'!$B$1:$S$1,0)))),base,IF(OR(cat="Status",pow=0),0,FLOOR(FLOOR(FLOOR((2*XLOOKUP($Q791,'Threshold Summary'!$Y:$Y,'Threshold Summary'!$L:$L,"")/5+2)*pow*atk/def)/50)+2)),modifier,stab*eff,AVERAGE(ARRAYFORMULA(FLOOR(base*modifier*SEQUENCE(16,1,85,1)/100)))*MIN(1,acc/100)),0)</f>
        <v/>
      </c>
      <c r="N791" s="4">
        <f>IFERROR(LET(mtype,XLOOKUP($D791,'Move Editor'!$B:$B,'Move Editor'!$C:$C,""),cat,XLOOKUP($D791,'Move Editor'!$B:$B,'Move Editor'!$D:$D,""),pow,XLOOKUP($D791,'Move Editor'!$B:$B,'Move Editor'!$E:$E,0),acc,XLOOKUP($D791,'Move Editor'!$B:$B,'Move Editor'!$F:$F,100),atk,IF(cat="Physical",FLOOR((FLOOR(((2*XLOOKUP(XLOOKUP($Q791,'Threshold Summary'!$Y:$Y,'Threshold Summary'!$K:$K,""),'Pokemon Editor'!$A:$A,'Pokemon Editor'!$F:$F,0)+31+FLOOR(XLOOKUP($Q791,'Threshold Summary'!$Y:$Y,'Threshold Summary'!$P:$P,"")/4))*XLOOKUP($Q791,'Threshold Summary'!$Y:$Y,'Threshold Summary'!$L:$L,""))/100)+5)*XLOOKUP(XLOOKUP($Q791,'Threshold Summary'!$Y:$Y,'Threshold Summary'!$M:$M,""),'Nature Editor'!$A:$A,'Nature Editor'!$B:$B,1)),FLOOR((FLOOR(((2*XLOOKUP(XLOOKUP($Q791,'Threshold Summary'!$Y:$Y,'Threshold Summary'!$K:$K,""),'Pokemon Editor'!$A:$A,'Pokemon Editor'!$H:$H,0)+31+FLOOR(XLOOKUP($Q791,'Threshold Summary'!$Y:$Y,'Threshold Summary'!$R:$R,"")/4))*XLOOKUP($Q791,'Threshold Summary'!$Y:$Y,'Threshold Summary'!$L:$L,""))/100)+5)*XLOOKUP(XLOOKUP($Q791,'Threshold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Editor'!$E:$E,1))),stab,IF(OR(mtype=XLOOKUP(XLOOKUP($Q791,'Threshold Summary'!$Y:$Y,'Threshold Summary'!$K:$K,""),'Pokemon Editor'!$A:$A,'Pokemon Editor'!$C:$C,""),mtype=XLOOKUP(XLOOKUP($Q791,'Threshold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Chart'!$B$1:$S$1,0)))),base,IF(OR(cat="Status",pow=0),0,FLOOR(FLOOR(FLOOR((2*XLOOKUP($Q791,'Threshold Summary'!$Y:$Y,'Threshold Summary'!$L:$L,"")/5+2)*pow*atk/def)/50)+2)),modifier,stab*eff,AVERAGE(ARRAYFORMULA(FLOOR(base*modifier*SEQUENCE(16,1,85,1)/100)))/(FLOOR(((2*XLOOKUP('Boss Editor'!$C$4,'Pokemon Editor'!$A:$A,'Pokemon Editor'!$E:$E,0)+31+FLOOR('Boss Editor'!$G$4/4))*'Boss Editor'!$D$4)/100)+'Boss Editor'!$D$4+10)),0)</f>
        <v/>
      </c>
      <c r="O791" s="3">
        <f>IF(N791&gt;=1,"OHKO",IF(N791&gt;=0.5,"2HKO",IF(N791&gt;=0.333,"3HKO",IF(N791&gt;=0.25,"4HKO","5HKO+"))))</f>
        <v/>
      </c>
      <c r="P791" s="3" t="inlineStr">
        <is>
          <t>Live from editable databases</t>
        </is>
      </c>
      <c r="Q791" s="3" t="inlineStr">
        <is>
          <t>SPECIES_BOUNSWEET</t>
        </is>
      </c>
      <c r="R791" s="3" t="n">
        <v>22</v>
      </c>
    </row>
    <row r="792">
      <c r="A792" s="3">
        <f>XLOOKUP($Q792,'Threshold Summary'!$Y:$Y,'Threshold Summary'!$A:$A,"")</f>
        <v/>
      </c>
      <c r="B792" s="3">
        <f>XLOOKUP($Q792,'Threshold Summary'!$Y:$Y,'Threshold Summary'!$M:$M,"")</f>
        <v/>
      </c>
      <c r="C792" s="3">
        <f>XLOOKUP($Q792,'Threshold Summary'!$Y:$Y,'Threshold Summary'!$N:$N,"")</f>
        <v/>
      </c>
      <c r="D792" s="3">
        <f>IFERROR(INDEX(FILTER('Learnset Editor'!$D$2:$D,'Learnset Editor'!$A$2:$A=XLOOKUP($Q792,'Threshold Summary'!$Y:$Y,'Threshold Summary'!$K:$K,""),'Learnset Editor'!$C$2:$C&lt;=XLOOKUP($Q792,'Threshold Summary'!$Y:$Y,'Threshold Summary'!$L:$L,"")),$R792),"")</f>
        <v/>
      </c>
      <c r="E792" s="3">
        <f>XLOOKUP(D792,'Move Editor'!$B:$B,'Move Editor'!$C:$C,"")</f>
        <v/>
      </c>
      <c r="F792" s="3">
        <f>XLOOKUP(D792,'Move Editor'!$B:$B,'Move Editor'!$D:$D,"")</f>
        <v/>
      </c>
      <c r="G792" s="3">
        <f>XLOOKUP(D792,'Move Editor'!$B:$B,'Move Editor'!$E:$E,0)</f>
        <v/>
      </c>
      <c r="H792" s="3">
        <f>XLOOKUP(D792,'Move Editor'!$B:$B,'Move Editor'!$F:$F,0)</f>
        <v/>
      </c>
      <c r="I792" s="3">
        <f>(INDEX('Type Chart'!$B:$S,MATCH(E792,'Type Chart'!$A:$A,0),MATCH(XLOOKUP('Boss Editor'!$C$4,'Pokemon Editor'!$A:$A,'Pokemon Editor'!$C:$C,""),'Type Chart'!$B$1:$S$1,0))*IF(XLOOKUP('Boss Editor'!$C$4,'Pokemon Editor'!$A:$A,'Pokemon Editor'!$D:$D,"")="",1,INDEX('Type Chart'!$B:$S,MATCH(E792,'Type Chart'!$A:$A,0),MATCH(XLOOKUP('Boss Editor'!$C$4,'Pokemon Editor'!$A:$A,'Pokemon Editor'!$D:$D,""),'Type Chart'!$B$1:$S$1,0))))</f>
        <v/>
      </c>
      <c r="J792" s="3">
        <f>IFERROR(LET(mtype,XLOOKUP($D792,'Move Editor'!$B:$B,'Move Editor'!$C:$C,""),cat,XLOOKUP($D792,'Move Editor'!$B:$B,'Move Editor'!$D:$D,""),pow,XLOOKUP($D792,'Move Editor'!$B:$B,'Move Editor'!$E:$E,0),acc,XLOOKUP($D792,'Move Editor'!$B:$B,'Move Editor'!$F:$F,100),atk,IF(cat="Physical",FLOOR((FLOOR(((2*XLOOKUP(XLOOKUP($Q792,'Threshold Summary'!$Y:$Y,'Threshold Summary'!$K:$K,""),'Pokemon Editor'!$A:$A,'Pokemon Editor'!$F:$F,0)+31+FLOOR(XLOOKUP($Q792,'Threshold Summary'!$Y:$Y,'Threshold Summary'!$P:$P,"")/4))*XLOOKUP($Q792,'Threshold Summary'!$Y:$Y,'Threshold Summary'!$L:$L,""))/100)+5)*XLOOKUP(XLOOKUP($Q792,'Threshold Summary'!$Y:$Y,'Threshold Summary'!$M:$M,""),'Nature Editor'!$A:$A,'Nature Editor'!$B:$B,1)),FLOOR((FLOOR(((2*XLOOKUP(XLOOKUP($Q792,'Threshold Summary'!$Y:$Y,'Threshold Summary'!$K:$K,""),'Pokemon Editor'!$A:$A,'Pokemon Editor'!$H:$H,0)+31+FLOOR(XLOOKUP($Q792,'Threshold Summary'!$Y:$Y,'Threshold Summary'!$R:$R,"")/4))*XLOOKUP($Q792,'Threshold Summary'!$Y:$Y,'Threshold Summary'!$L:$L,""))/100)+5)*XLOOKUP(XLOOKUP($Q792,'Threshold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Editor'!$E:$E,1))),stab,IF(OR(mtype=XLOOKUP(XLOOKUP($Q792,'Threshold Summary'!$Y:$Y,'Threshold Summary'!$K:$K,""),'Pokemon Editor'!$A:$A,'Pokemon Editor'!$C:$C,""),mtype=XLOOKUP(XLOOKUP($Q792,'Threshold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Chart'!$B$1:$S$1,0)))),base,IF(OR(cat="Status",pow=0),0,FLOOR(FLOOR(FLOOR((2*XLOOKUP($Q792,'Threshold Summary'!$Y:$Y,'Threshold Summary'!$L:$L,"")/5+2)*pow*atk/def)/50)+2)),modifier,stab*eff,FLOOR(base*modifier*0.85)),0)</f>
        <v/>
      </c>
      <c r="K792" s="3">
        <f>IFERROR(LET(mtype,XLOOKUP($D792,'Move Editor'!$B:$B,'Move Editor'!$C:$C,""),cat,XLOOKUP($D792,'Move Editor'!$B:$B,'Move Editor'!$D:$D,""),pow,XLOOKUP($D792,'Move Editor'!$B:$B,'Move Editor'!$E:$E,0),acc,XLOOKUP($D792,'Move Editor'!$B:$B,'Move Editor'!$F:$F,100),atk,IF(cat="Physical",FLOOR((FLOOR(((2*XLOOKUP(XLOOKUP($Q792,'Threshold Summary'!$Y:$Y,'Threshold Summary'!$K:$K,""),'Pokemon Editor'!$A:$A,'Pokemon Editor'!$F:$F,0)+31+FLOOR(XLOOKUP($Q792,'Threshold Summary'!$Y:$Y,'Threshold Summary'!$P:$P,"")/4))*XLOOKUP($Q792,'Threshold Summary'!$Y:$Y,'Threshold Summary'!$L:$L,""))/100)+5)*XLOOKUP(XLOOKUP($Q792,'Threshold Summary'!$Y:$Y,'Threshold Summary'!$M:$M,""),'Nature Editor'!$A:$A,'Nature Editor'!$B:$B,1)),FLOOR((FLOOR(((2*XLOOKUP(XLOOKUP($Q792,'Threshold Summary'!$Y:$Y,'Threshold Summary'!$K:$K,""),'Pokemon Editor'!$A:$A,'Pokemon Editor'!$H:$H,0)+31+FLOOR(XLOOKUP($Q792,'Threshold Summary'!$Y:$Y,'Threshold Summary'!$R:$R,"")/4))*XLOOKUP($Q792,'Threshold Summary'!$Y:$Y,'Threshold Summary'!$L:$L,""))/100)+5)*XLOOKUP(XLOOKUP($Q792,'Threshold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Editor'!$E:$E,1))),stab,IF(OR(mtype=XLOOKUP(XLOOKUP($Q792,'Threshold Summary'!$Y:$Y,'Threshold Summary'!$K:$K,""),'Pokemon Editor'!$A:$A,'Pokemon Editor'!$C:$C,""),mtype=XLOOKUP(XLOOKUP($Q792,'Threshold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Chart'!$B$1:$S$1,0)))),base,IF(OR(cat="Status",pow=0),0,FLOOR(FLOOR(FLOOR((2*XLOOKUP($Q792,'Threshold Summary'!$Y:$Y,'Threshold Summary'!$L:$L,"")/5+2)*pow*atk/def)/50)+2)),modifier,stab*eff,FLOOR(base*modifier)),0)</f>
        <v/>
      </c>
      <c r="L792" s="3">
        <f>IFERROR(LET(mtype,XLOOKUP($D792,'Move Editor'!$B:$B,'Move Editor'!$C:$C,""),cat,XLOOKUP($D792,'Move Editor'!$B:$B,'Move Editor'!$D:$D,""),pow,XLOOKUP($D792,'Move Editor'!$B:$B,'Move Editor'!$E:$E,0),acc,XLOOKUP($D792,'Move Editor'!$B:$B,'Move Editor'!$F:$F,100),atk,IF(cat="Physical",FLOOR((FLOOR(((2*XLOOKUP(XLOOKUP($Q792,'Threshold Summary'!$Y:$Y,'Threshold Summary'!$K:$K,""),'Pokemon Editor'!$A:$A,'Pokemon Editor'!$F:$F,0)+31+FLOOR(XLOOKUP($Q792,'Threshold Summary'!$Y:$Y,'Threshold Summary'!$P:$P,"")/4))*XLOOKUP($Q792,'Threshold Summary'!$Y:$Y,'Threshold Summary'!$L:$L,""))/100)+5)*XLOOKUP(XLOOKUP($Q792,'Threshold Summary'!$Y:$Y,'Threshold Summary'!$M:$M,""),'Nature Editor'!$A:$A,'Nature Editor'!$B:$B,1)),FLOOR((FLOOR(((2*XLOOKUP(XLOOKUP($Q792,'Threshold Summary'!$Y:$Y,'Threshold Summary'!$K:$K,""),'Pokemon Editor'!$A:$A,'Pokemon Editor'!$H:$H,0)+31+FLOOR(XLOOKUP($Q792,'Threshold Summary'!$Y:$Y,'Threshold Summary'!$R:$R,"")/4))*XLOOKUP($Q792,'Threshold Summary'!$Y:$Y,'Threshold Summary'!$L:$L,""))/100)+5)*XLOOKUP(XLOOKUP($Q792,'Threshold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Editor'!$E:$E,1))),stab,IF(OR(mtype=XLOOKUP(XLOOKUP($Q792,'Threshold Summary'!$Y:$Y,'Threshold Summary'!$K:$K,""),'Pokemon Editor'!$A:$A,'Pokemon Editor'!$C:$C,""),mtype=XLOOKUP(XLOOKUP($Q792,'Threshold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Chart'!$B$1:$S$1,0)))),base,IF(OR(cat="Status",pow=0),0,FLOOR(FLOOR(FLOOR((2*XLOOKUP($Q792,'Threshold Summary'!$Y:$Y,'Threshold Summary'!$L:$L,"")/5+2)*pow*atk/def)/50)+2)),modifier,stab*eff,AVERAGE(ARRAYFORMULA(FLOOR(base*modifier*SEQUENCE(16,1,85,1)/100)))),0)</f>
        <v/>
      </c>
      <c r="M792" s="3">
        <f>IFERROR(LET(mtype,XLOOKUP($D792,'Move Editor'!$B:$B,'Move Editor'!$C:$C,""),cat,XLOOKUP($D792,'Move Editor'!$B:$B,'Move Editor'!$D:$D,""),pow,XLOOKUP($D792,'Move Editor'!$B:$B,'Move Editor'!$E:$E,0),acc,XLOOKUP($D792,'Move Editor'!$B:$B,'Move Editor'!$F:$F,100),atk,IF(cat="Physical",FLOOR((FLOOR(((2*XLOOKUP(XLOOKUP($Q792,'Threshold Summary'!$Y:$Y,'Threshold Summary'!$K:$K,""),'Pokemon Editor'!$A:$A,'Pokemon Editor'!$F:$F,0)+31+FLOOR(XLOOKUP($Q792,'Threshold Summary'!$Y:$Y,'Threshold Summary'!$P:$P,"")/4))*XLOOKUP($Q792,'Threshold Summary'!$Y:$Y,'Threshold Summary'!$L:$L,""))/100)+5)*XLOOKUP(XLOOKUP($Q792,'Threshold Summary'!$Y:$Y,'Threshold Summary'!$M:$M,""),'Nature Editor'!$A:$A,'Nature Editor'!$B:$B,1)),FLOOR((FLOOR(((2*XLOOKUP(XLOOKUP($Q792,'Threshold Summary'!$Y:$Y,'Threshold Summary'!$K:$K,""),'Pokemon Editor'!$A:$A,'Pokemon Editor'!$H:$H,0)+31+FLOOR(XLOOKUP($Q792,'Threshold Summary'!$Y:$Y,'Threshold Summary'!$R:$R,"")/4))*XLOOKUP($Q792,'Threshold Summary'!$Y:$Y,'Threshold Summary'!$L:$L,""))/100)+5)*XLOOKUP(XLOOKUP($Q792,'Threshold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Editor'!$E:$E,1))),stab,IF(OR(mtype=XLOOKUP(XLOOKUP($Q792,'Threshold Summary'!$Y:$Y,'Threshold Summary'!$K:$K,""),'Pokemon Editor'!$A:$A,'Pokemon Editor'!$C:$C,""),mtype=XLOOKUP(XLOOKUP($Q792,'Threshold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Chart'!$B$1:$S$1,0)))),base,IF(OR(cat="Status",pow=0),0,FLOOR(FLOOR(FLOOR((2*XLOOKUP($Q792,'Threshold Summary'!$Y:$Y,'Threshold Summary'!$L:$L,"")/5+2)*pow*atk/def)/50)+2)),modifier,stab*eff,AVERAGE(ARRAYFORMULA(FLOOR(base*modifier*SEQUENCE(16,1,85,1)/100)))*MIN(1,acc/100)),0)</f>
        <v/>
      </c>
      <c r="N792" s="4">
        <f>IFERROR(LET(mtype,XLOOKUP($D792,'Move Editor'!$B:$B,'Move Editor'!$C:$C,""),cat,XLOOKUP($D792,'Move Editor'!$B:$B,'Move Editor'!$D:$D,""),pow,XLOOKUP($D792,'Move Editor'!$B:$B,'Move Editor'!$E:$E,0),acc,XLOOKUP($D792,'Move Editor'!$B:$B,'Move Editor'!$F:$F,100),atk,IF(cat="Physical",FLOOR((FLOOR(((2*XLOOKUP(XLOOKUP($Q792,'Threshold Summary'!$Y:$Y,'Threshold Summary'!$K:$K,""),'Pokemon Editor'!$A:$A,'Pokemon Editor'!$F:$F,0)+31+FLOOR(XLOOKUP($Q792,'Threshold Summary'!$Y:$Y,'Threshold Summary'!$P:$P,"")/4))*XLOOKUP($Q792,'Threshold Summary'!$Y:$Y,'Threshold Summary'!$L:$L,""))/100)+5)*XLOOKUP(XLOOKUP($Q792,'Threshold Summary'!$Y:$Y,'Threshold Summary'!$M:$M,""),'Nature Editor'!$A:$A,'Nature Editor'!$B:$B,1)),FLOOR((FLOOR(((2*XLOOKUP(XLOOKUP($Q792,'Threshold Summary'!$Y:$Y,'Threshold Summary'!$K:$K,""),'Pokemon Editor'!$A:$A,'Pokemon Editor'!$H:$H,0)+31+FLOOR(XLOOKUP($Q792,'Threshold Summary'!$Y:$Y,'Threshold Summary'!$R:$R,"")/4))*XLOOKUP($Q792,'Threshold Summary'!$Y:$Y,'Threshold Summary'!$L:$L,""))/100)+5)*XLOOKUP(XLOOKUP($Q792,'Threshold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Editor'!$E:$E,1))),stab,IF(OR(mtype=XLOOKUP(XLOOKUP($Q792,'Threshold Summary'!$Y:$Y,'Threshold Summary'!$K:$K,""),'Pokemon Editor'!$A:$A,'Pokemon Editor'!$C:$C,""),mtype=XLOOKUP(XLOOKUP($Q792,'Threshold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Chart'!$B$1:$S$1,0)))),base,IF(OR(cat="Status",pow=0),0,FLOOR(FLOOR(FLOOR((2*XLOOKUP($Q792,'Threshold Summary'!$Y:$Y,'Threshold Summary'!$L:$L,"")/5+2)*pow*atk/def)/50)+2)),modifier,stab*eff,AVERAGE(ARRAYFORMULA(FLOOR(base*modifier*SEQUENCE(16,1,85,1)/100)))/(FLOOR(((2*XLOOKUP('Boss Editor'!$C$4,'Pokemon Editor'!$A:$A,'Pokemon Editor'!$E:$E,0)+31+FLOOR('Boss Editor'!$G$4/4))*'Boss Editor'!$D$4)/100)+'Boss Editor'!$D$4+10)),0)</f>
        <v/>
      </c>
      <c r="O792" s="3">
        <f>IF(N792&gt;=1,"OHKO",IF(N792&gt;=0.5,"2HKO",IF(N792&gt;=0.333,"3HKO",IF(N792&gt;=0.25,"4HKO","5HKO+"))))</f>
        <v/>
      </c>
      <c r="P792" s="3" t="inlineStr">
        <is>
          <t>Live from editable databases</t>
        </is>
      </c>
      <c r="Q792" s="3" t="inlineStr">
        <is>
          <t>SPECIES_BOUNSWEET</t>
        </is>
      </c>
      <c r="R792" s="3" t="n">
        <v>23</v>
      </c>
    </row>
    <row r="793">
      <c r="A793" s="3">
        <f>XLOOKUP($Q793,'Threshold Summary'!$Y:$Y,'Threshold Summary'!$A:$A,"")</f>
        <v/>
      </c>
      <c r="B793" s="3">
        <f>XLOOKUP($Q793,'Threshold Summary'!$Y:$Y,'Threshold Summary'!$M:$M,"")</f>
        <v/>
      </c>
      <c r="C793" s="3">
        <f>XLOOKUP($Q793,'Threshold Summary'!$Y:$Y,'Threshold Summary'!$N:$N,"")</f>
        <v/>
      </c>
      <c r="D793" s="3">
        <f>IFERROR(INDEX(FILTER('Learnset Editor'!$D$2:$D,'Learnset Editor'!$A$2:$A=XLOOKUP($Q793,'Threshold Summary'!$Y:$Y,'Threshold Summary'!$K:$K,""),'Learnset Editor'!$C$2:$C&lt;=XLOOKUP($Q793,'Threshold Summary'!$Y:$Y,'Threshold Summary'!$L:$L,"")),$R793),"")</f>
        <v/>
      </c>
      <c r="E793" s="3">
        <f>XLOOKUP(D793,'Move Editor'!$B:$B,'Move Editor'!$C:$C,"")</f>
        <v/>
      </c>
      <c r="F793" s="3">
        <f>XLOOKUP(D793,'Move Editor'!$B:$B,'Move Editor'!$D:$D,"")</f>
        <v/>
      </c>
      <c r="G793" s="3">
        <f>XLOOKUP(D793,'Move Editor'!$B:$B,'Move Editor'!$E:$E,0)</f>
        <v/>
      </c>
      <c r="H793" s="3">
        <f>XLOOKUP(D793,'Move Editor'!$B:$B,'Move Editor'!$F:$F,0)</f>
        <v/>
      </c>
      <c r="I793" s="3">
        <f>(INDEX('Type Chart'!$B:$S,MATCH(E793,'Type Chart'!$A:$A,0),MATCH(XLOOKUP('Boss Editor'!$C$4,'Pokemon Editor'!$A:$A,'Pokemon Editor'!$C:$C,""),'Type Chart'!$B$1:$S$1,0))*IF(XLOOKUP('Boss Editor'!$C$4,'Pokemon Editor'!$A:$A,'Pokemon Editor'!$D:$D,"")="",1,INDEX('Type Chart'!$B:$S,MATCH(E793,'Type Chart'!$A:$A,0),MATCH(XLOOKUP('Boss Editor'!$C$4,'Pokemon Editor'!$A:$A,'Pokemon Editor'!$D:$D,""),'Type Chart'!$B$1:$S$1,0))))</f>
        <v/>
      </c>
      <c r="J793" s="3">
        <f>IFERROR(LET(mtype,XLOOKUP($D793,'Move Editor'!$B:$B,'Move Editor'!$C:$C,""),cat,XLOOKUP($D793,'Move Editor'!$B:$B,'Move Editor'!$D:$D,""),pow,XLOOKUP($D793,'Move Editor'!$B:$B,'Move Editor'!$E:$E,0),acc,XLOOKUP($D793,'Move Editor'!$B:$B,'Move Editor'!$F:$F,100),atk,IF(cat="Physical",FLOOR((FLOOR(((2*XLOOKUP(XLOOKUP($Q793,'Threshold Summary'!$Y:$Y,'Threshold Summary'!$K:$K,""),'Pokemon Editor'!$A:$A,'Pokemon Editor'!$F:$F,0)+31+FLOOR(XLOOKUP($Q793,'Threshold Summary'!$Y:$Y,'Threshold Summary'!$P:$P,"")/4))*XLOOKUP($Q793,'Threshold Summary'!$Y:$Y,'Threshold Summary'!$L:$L,""))/100)+5)*XLOOKUP(XLOOKUP($Q793,'Threshold Summary'!$Y:$Y,'Threshold Summary'!$M:$M,""),'Nature Editor'!$A:$A,'Nature Editor'!$B:$B,1)),FLOOR((FLOOR(((2*XLOOKUP(XLOOKUP($Q793,'Threshold Summary'!$Y:$Y,'Threshold Summary'!$K:$K,""),'Pokemon Editor'!$A:$A,'Pokemon Editor'!$H:$H,0)+31+FLOOR(XLOOKUP($Q793,'Threshold Summary'!$Y:$Y,'Threshold Summary'!$R:$R,"")/4))*XLOOKUP($Q793,'Threshold Summary'!$Y:$Y,'Threshold Summary'!$L:$L,""))/100)+5)*XLOOKUP(XLOOKUP($Q793,'Threshold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Editor'!$E:$E,1))),stab,IF(OR(mtype=XLOOKUP(XLOOKUP($Q793,'Threshold Summary'!$Y:$Y,'Threshold Summary'!$K:$K,""),'Pokemon Editor'!$A:$A,'Pokemon Editor'!$C:$C,""),mtype=XLOOKUP(XLOOKUP($Q793,'Threshold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Chart'!$B$1:$S$1,0)))),base,IF(OR(cat="Status",pow=0),0,FLOOR(FLOOR(FLOOR((2*XLOOKUP($Q793,'Threshold Summary'!$Y:$Y,'Threshold Summary'!$L:$L,"")/5+2)*pow*atk/def)/50)+2)),modifier,stab*eff,FLOOR(base*modifier*0.85)),0)</f>
        <v/>
      </c>
      <c r="K793" s="3">
        <f>IFERROR(LET(mtype,XLOOKUP($D793,'Move Editor'!$B:$B,'Move Editor'!$C:$C,""),cat,XLOOKUP($D793,'Move Editor'!$B:$B,'Move Editor'!$D:$D,""),pow,XLOOKUP($D793,'Move Editor'!$B:$B,'Move Editor'!$E:$E,0),acc,XLOOKUP($D793,'Move Editor'!$B:$B,'Move Editor'!$F:$F,100),atk,IF(cat="Physical",FLOOR((FLOOR(((2*XLOOKUP(XLOOKUP($Q793,'Threshold Summary'!$Y:$Y,'Threshold Summary'!$K:$K,""),'Pokemon Editor'!$A:$A,'Pokemon Editor'!$F:$F,0)+31+FLOOR(XLOOKUP($Q793,'Threshold Summary'!$Y:$Y,'Threshold Summary'!$P:$P,"")/4))*XLOOKUP($Q793,'Threshold Summary'!$Y:$Y,'Threshold Summary'!$L:$L,""))/100)+5)*XLOOKUP(XLOOKUP($Q793,'Threshold Summary'!$Y:$Y,'Threshold Summary'!$M:$M,""),'Nature Editor'!$A:$A,'Nature Editor'!$B:$B,1)),FLOOR((FLOOR(((2*XLOOKUP(XLOOKUP($Q793,'Threshold Summary'!$Y:$Y,'Threshold Summary'!$K:$K,""),'Pokemon Editor'!$A:$A,'Pokemon Editor'!$H:$H,0)+31+FLOOR(XLOOKUP($Q793,'Threshold Summary'!$Y:$Y,'Threshold Summary'!$R:$R,"")/4))*XLOOKUP($Q793,'Threshold Summary'!$Y:$Y,'Threshold Summary'!$L:$L,""))/100)+5)*XLOOKUP(XLOOKUP($Q793,'Threshold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Editor'!$E:$E,1))),stab,IF(OR(mtype=XLOOKUP(XLOOKUP($Q793,'Threshold Summary'!$Y:$Y,'Threshold Summary'!$K:$K,""),'Pokemon Editor'!$A:$A,'Pokemon Editor'!$C:$C,""),mtype=XLOOKUP(XLOOKUP($Q793,'Threshold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Chart'!$B$1:$S$1,0)))),base,IF(OR(cat="Status",pow=0),0,FLOOR(FLOOR(FLOOR((2*XLOOKUP($Q793,'Threshold Summary'!$Y:$Y,'Threshold Summary'!$L:$L,"")/5+2)*pow*atk/def)/50)+2)),modifier,stab*eff,FLOOR(base*modifier)),0)</f>
        <v/>
      </c>
      <c r="L793" s="3">
        <f>IFERROR(LET(mtype,XLOOKUP($D793,'Move Editor'!$B:$B,'Move Editor'!$C:$C,""),cat,XLOOKUP($D793,'Move Editor'!$B:$B,'Move Editor'!$D:$D,""),pow,XLOOKUP($D793,'Move Editor'!$B:$B,'Move Editor'!$E:$E,0),acc,XLOOKUP($D793,'Move Editor'!$B:$B,'Move Editor'!$F:$F,100),atk,IF(cat="Physical",FLOOR((FLOOR(((2*XLOOKUP(XLOOKUP($Q793,'Threshold Summary'!$Y:$Y,'Threshold Summary'!$K:$K,""),'Pokemon Editor'!$A:$A,'Pokemon Editor'!$F:$F,0)+31+FLOOR(XLOOKUP($Q793,'Threshold Summary'!$Y:$Y,'Threshold Summary'!$P:$P,"")/4))*XLOOKUP($Q793,'Threshold Summary'!$Y:$Y,'Threshold Summary'!$L:$L,""))/100)+5)*XLOOKUP(XLOOKUP($Q793,'Threshold Summary'!$Y:$Y,'Threshold Summary'!$M:$M,""),'Nature Editor'!$A:$A,'Nature Editor'!$B:$B,1)),FLOOR((FLOOR(((2*XLOOKUP(XLOOKUP($Q793,'Threshold Summary'!$Y:$Y,'Threshold Summary'!$K:$K,""),'Pokemon Editor'!$A:$A,'Pokemon Editor'!$H:$H,0)+31+FLOOR(XLOOKUP($Q793,'Threshold Summary'!$Y:$Y,'Threshold Summary'!$R:$R,"")/4))*XLOOKUP($Q793,'Threshold Summary'!$Y:$Y,'Threshold Summary'!$L:$L,""))/100)+5)*XLOOKUP(XLOOKUP($Q793,'Threshold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Editor'!$E:$E,1))),stab,IF(OR(mtype=XLOOKUP(XLOOKUP($Q793,'Threshold Summary'!$Y:$Y,'Threshold Summary'!$K:$K,""),'Pokemon Editor'!$A:$A,'Pokemon Editor'!$C:$C,""),mtype=XLOOKUP(XLOOKUP($Q793,'Threshold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Chart'!$B$1:$S$1,0)))),base,IF(OR(cat="Status",pow=0),0,FLOOR(FLOOR(FLOOR((2*XLOOKUP($Q793,'Threshold Summary'!$Y:$Y,'Threshold Summary'!$L:$L,"")/5+2)*pow*atk/def)/50)+2)),modifier,stab*eff,AVERAGE(ARRAYFORMULA(FLOOR(base*modifier*SEQUENCE(16,1,85,1)/100)))),0)</f>
        <v/>
      </c>
      <c r="M793" s="3">
        <f>IFERROR(LET(mtype,XLOOKUP($D793,'Move Editor'!$B:$B,'Move Editor'!$C:$C,""),cat,XLOOKUP($D793,'Move Editor'!$B:$B,'Move Editor'!$D:$D,""),pow,XLOOKUP($D793,'Move Editor'!$B:$B,'Move Editor'!$E:$E,0),acc,XLOOKUP($D793,'Move Editor'!$B:$B,'Move Editor'!$F:$F,100),atk,IF(cat="Physical",FLOOR((FLOOR(((2*XLOOKUP(XLOOKUP($Q793,'Threshold Summary'!$Y:$Y,'Threshold Summary'!$K:$K,""),'Pokemon Editor'!$A:$A,'Pokemon Editor'!$F:$F,0)+31+FLOOR(XLOOKUP($Q793,'Threshold Summary'!$Y:$Y,'Threshold Summary'!$P:$P,"")/4))*XLOOKUP($Q793,'Threshold Summary'!$Y:$Y,'Threshold Summary'!$L:$L,""))/100)+5)*XLOOKUP(XLOOKUP($Q793,'Threshold Summary'!$Y:$Y,'Threshold Summary'!$M:$M,""),'Nature Editor'!$A:$A,'Nature Editor'!$B:$B,1)),FLOOR((FLOOR(((2*XLOOKUP(XLOOKUP($Q793,'Threshold Summary'!$Y:$Y,'Threshold Summary'!$K:$K,""),'Pokemon Editor'!$A:$A,'Pokemon Editor'!$H:$H,0)+31+FLOOR(XLOOKUP($Q793,'Threshold Summary'!$Y:$Y,'Threshold Summary'!$R:$R,"")/4))*XLOOKUP($Q793,'Threshold Summary'!$Y:$Y,'Threshold Summary'!$L:$L,""))/100)+5)*XLOOKUP(XLOOKUP($Q793,'Threshold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Editor'!$E:$E,1))),stab,IF(OR(mtype=XLOOKUP(XLOOKUP($Q793,'Threshold Summary'!$Y:$Y,'Threshold Summary'!$K:$K,""),'Pokemon Editor'!$A:$A,'Pokemon Editor'!$C:$C,""),mtype=XLOOKUP(XLOOKUP($Q793,'Threshold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Chart'!$B$1:$S$1,0)))),base,IF(OR(cat="Status",pow=0),0,FLOOR(FLOOR(FLOOR((2*XLOOKUP($Q793,'Threshold Summary'!$Y:$Y,'Threshold Summary'!$L:$L,"")/5+2)*pow*atk/def)/50)+2)),modifier,stab*eff,AVERAGE(ARRAYFORMULA(FLOOR(base*modifier*SEQUENCE(16,1,85,1)/100)))*MIN(1,acc/100)),0)</f>
        <v/>
      </c>
      <c r="N793" s="4">
        <f>IFERROR(LET(mtype,XLOOKUP($D793,'Move Editor'!$B:$B,'Move Editor'!$C:$C,""),cat,XLOOKUP($D793,'Move Editor'!$B:$B,'Move Editor'!$D:$D,""),pow,XLOOKUP($D793,'Move Editor'!$B:$B,'Move Editor'!$E:$E,0),acc,XLOOKUP($D793,'Move Editor'!$B:$B,'Move Editor'!$F:$F,100),atk,IF(cat="Physical",FLOOR((FLOOR(((2*XLOOKUP(XLOOKUP($Q793,'Threshold Summary'!$Y:$Y,'Threshold Summary'!$K:$K,""),'Pokemon Editor'!$A:$A,'Pokemon Editor'!$F:$F,0)+31+FLOOR(XLOOKUP($Q793,'Threshold Summary'!$Y:$Y,'Threshold Summary'!$P:$P,"")/4))*XLOOKUP($Q793,'Threshold Summary'!$Y:$Y,'Threshold Summary'!$L:$L,""))/100)+5)*XLOOKUP(XLOOKUP($Q793,'Threshold Summary'!$Y:$Y,'Threshold Summary'!$M:$M,""),'Nature Editor'!$A:$A,'Nature Editor'!$B:$B,1)),FLOOR((FLOOR(((2*XLOOKUP(XLOOKUP($Q793,'Threshold Summary'!$Y:$Y,'Threshold Summary'!$K:$K,""),'Pokemon Editor'!$A:$A,'Pokemon Editor'!$H:$H,0)+31+FLOOR(XLOOKUP($Q793,'Threshold Summary'!$Y:$Y,'Threshold Summary'!$R:$R,"")/4))*XLOOKUP($Q793,'Threshold Summary'!$Y:$Y,'Threshold Summary'!$L:$L,""))/100)+5)*XLOOKUP(XLOOKUP($Q793,'Threshold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Editor'!$E:$E,1))),stab,IF(OR(mtype=XLOOKUP(XLOOKUP($Q793,'Threshold Summary'!$Y:$Y,'Threshold Summary'!$K:$K,""),'Pokemon Editor'!$A:$A,'Pokemon Editor'!$C:$C,""),mtype=XLOOKUP(XLOOKUP($Q793,'Threshold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Chart'!$B$1:$S$1,0)))),base,IF(OR(cat="Status",pow=0),0,FLOOR(FLOOR(FLOOR((2*XLOOKUP($Q793,'Threshold Summary'!$Y:$Y,'Threshold Summary'!$L:$L,"")/5+2)*pow*atk/def)/50)+2)),modifier,stab*eff,AVERAGE(ARRAYFORMULA(FLOOR(base*modifier*SEQUENCE(16,1,85,1)/100)))/(FLOOR(((2*XLOOKUP('Boss Editor'!$C$4,'Pokemon Editor'!$A:$A,'Pokemon Editor'!$E:$E,0)+31+FLOOR('Boss Editor'!$G$4/4))*'Boss Editor'!$D$4)/100)+'Boss Editor'!$D$4+10)),0)</f>
        <v/>
      </c>
      <c r="O793" s="3">
        <f>IF(N793&gt;=1,"OHKO",IF(N793&gt;=0.5,"2HKO",IF(N793&gt;=0.333,"3HKO",IF(N793&gt;=0.25,"4HKO","5HKO+"))))</f>
        <v/>
      </c>
      <c r="P793" s="3" t="inlineStr">
        <is>
          <t>Live from editable databases</t>
        </is>
      </c>
      <c r="Q793" s="3" t="inlineStr">
        <is>
          <t>SPECIES_BOUNSWEET</t>
        </is>
      </c>
      <c r="R793" s="3" t="n">
        <v>24</v>
      </c>
    </row>
    <row r="794">
      <c r="A794" s="3">
        <f>XLOOKUP($Q794,'Threshold Summary'!$Y:$Y,'Threshold Summary'!$A:$A,"")</f>
        <v/>
      </c>
      <c r="B794" s="3">
        <f>XLOOKUP($Q794,'Threshold Summary'!$Y:$Y,'Threshold Summary'!$M:$M,"")</f>
        <v/>
      </c>
      <c r="C794" s="3">
        <f>XLOOKUP($Q794,'Threshold Summary'!$Y:$Y,'Threshold Summary'!$N:$N,"")</f>
        <v/>
      </c>
      <c r="D794" s="3">
        <f>IFERROR(INDEX(FILTER('Learnset Editor'!$D$2:$D,'Learnset Editor'!$A$2:$A=XLOOKUP($Q794,'Threshold Summary'!$Y:$Y,'Threshold Summary'!$K:$K,""),'Learnset Editor'!$C$2:$C&lt;=XLOOKUP($Q794,'Threshold Summary'!$Y:$Y,'Threshold Summary'!$L:$L,"")),$R794),"")</f>
        <v/>
      </c>
      <c r="E794" s="3">
        <f>XLOOKUP(D794,'Move Editor'!$B:$B,'Move Editor'!$C:$C,"")</f>
        <v/>
      </c>
      <c r="F794" s="3">
        <f>XLOOKUP(D794,'Move Editor'!$B:$B,'Move Editor'!$D:$D,"")</f>
        <v/>
      </c>
      <c r="G794" s="3">
        <f>XLOOKUP(D794,'Move Editor'!$B:$B,'Move Editor'!$E:$E,0)</f>
        <v/>
      </c>
      <c r="H794" s="3">
        <f>XLOOKUP(D794,'Move Editor'!$B:$B,'Move Editor'!$F:$F,0)</f>
        <v/>
      </c>
      <c r="I794" s="3">
        <f>(INDEX('Type Chart'!$B:$S,MATCH(E794,'Type Chart'!$A:$A,0),MATCH(XLOOKUP('Boss Editor'!$C$4,'Pokemon Editor'!$A:$A,'Pokemon Editor'!$C:$C,""),'Type Chart'!$B$1:$S$1,0))*IF(XLOOKUP('Boss Editor'!$C$4,'Pokemon Editor'!$A:$A,'Pokemon Editor'!$D:$D,"")="",1,INDEX('Type Chart'!$B:$S,MATCH(E794,'Type Chart'!$A:$A,0),MATCH(XLOOKUP('Boss Editor'!$C$4,'Pokemon Editor'!$A:$A,'Pokemon Editor'!$D:$D,""),'Type Chart'!$B$1:$S$1,0))))</f>
        <v/>
      </c>
      <c r="J794" s="3">
        <f>IFERROR(LET(mtype,XLOOKUP($D794,'Move Editor'!$B:$B,'Move Editor'!$C:$C,""),cat,XLOOKUP($D794,'Move Editor'!$B:$B,'Move Editor'!$D:$D,""),pow,XLOOKUP($D794,'Move Editor'!$B:$B,'Move Editor'!$E:$E,0),acc,XLOOKUP($D794,'Move Editor'!$B:$B,'Move Editor'!$F:$F,100),atk,IF(cat="Physical",FLOOR((FLOOR(((2*XLOOKUP(XLOOKUP($Q794,'Threshold Summary'!$Y:$Y,'Threshold Summary'!$K:$K,""),'Pokemon Editor'!$A:$A,'Pokemon Editor'!$F:$F,0)+31+FLOOR(XLOOKUP($Q794,'Threshold Summary'!$Y:$Y,'Threshold Summary'!$P:$P,"")/4))*XLOOKUP($Q794,'Threshold Summary'!$Y:$Y,'Threshold Summary'!$L:$L,""))/100)+5)*XLOOKUP(XLOOKUP($Q794,'Threshold Summary'!$Y:$Y,'Threshold Summary'!$M:$M,""),'Nature Editor'!$A:$A,'Nature Editor'!$B:$B,1)),FLOOR((FLOOR(((2*XLOOKUP(XLOOKUP($Q794,'Threshold Summary'!$Y:$Y,'Threshold Summary'!$K:$K,""),'Pokemon Editor'!$A:$A,'Pokemon Editor'!$H:$H,0)+31+FLOOR(XLOOKUP($Q794,'Threshold Summary'!$Y:$Y,'Threshold Summary'!$R:$R,"")/4))*XLOOKUP($Q794,'Threshold Summary'!$Y:$Y,'Threshold Summary'!$L:$L,""))/100)+5)*XLOOKUP(XLOOKUP($Q794,'Threshold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Editor'!$E:$E,1))),stab,IF(OR(mtype=XLOOKUP(XLOOKUP($Q794,'Threshold Summary'!$Y:$Y,'Threshold Summary'!$K:$K,""),'Pokemon Editor'!$A:$A,'Pokemon Editor'!$C:$C,""),mtype=XLOOKUP(XLOOKUP($Q794,'Threshold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Chart'!$B$1:$S$1,0)))),base,IF(OR(cat="Status",pow=0),0,FLOOR(FLOOR(FLOOR((2*XLOOKUP($Q794,'Threshold Summary'!$Y:$Y,'Threshold Summary'!$L:$L,"")/5+2)*pow*atk/def)/50)+2)),modifier,stab*eff,FLOOR(base*modifier*0.85)),0)</f>
        <v/>
      </c>
      <c r="K794" s="3">
        <f>IFERROR(LET(mtype,XLOOKUP($D794,'Move Editor'!$B:$B,'Move Editor'!$C:$C,""),cat,XLOOKUP($D794,'Move Editor'!$B:$B,'Move Editor'!$D:$D,""),pow,XLOOKUP($D794,'Move Editor'!$B:$B,'Move Editor'!$E:$E,0),acc,XLOOKUP($D794,'Move Editor'!$B:$B,'Move Editor'!$F:$F,100),atk,IF(cat="Physical",FLOOR((FLOOR(((2*XLOOKUP(XLOOKUP($Q794,'Threshold Summary'!$Y:$Y,'Threshold Summary'!$K:$K,""),'Pokemon Editor'!$A:$A,'Pokemon Editor'!$F:$F,0)+31+FLOOR(XLOOKUP($Q794,'Threshold Summary'!$Y:$Y,'Threshold Summary'!$P:$P,"")/4))*XLOOKUP($Q794,'Threshold Summary'!$Y:$Y,'Threshold Summary'!$L:$L,""))/100)+5)*XLOOKUP(XLOOKUP($Q794,'Threshold Summary'!$Y:$Y,'Threshold Summary'!$M:$M,""),'Nature Editor'!$A:$A,'Nature Editor'!$B:$B,1)),FLOOR((FLOOR(((2*XLOOKUP(XLOOKUP($Q794,'Threshold Summary'!$Y:$Y,'Threshold Summary'!$K:$K,""),'Pokemon Editor'!$A:$A,'Pokemon Editor'!$H:$H,0)+31+FLOOR(XLOOKUP($Q794,'Threshold Summary'!$Y:$Y,'Threshold Summary'!$R:$R,"")/4))*XLOOKUP($Q794,'Threshold Summary'!$Y:$Y,'Threshold Summary'!$L:$L,""))/100)+5)*XLOOKUP(XLOOKUP($Q794,'Threshold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Editor'!$E:$E,1))),stab,IF(OR(mtype=XLOOKUP(XLOOKUP($Q794,'Threshold Summary'!$Y:$Y,'Threshold Summary'!$K:$K,""),'Pokemon Editor'!$A:$A,'Pokemon Editor'!$C:$C,""),mtype=XLOOKUP(XLOOKUP($Q794,'Threshold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Chart'!$B$1:$S$1,0)))),base,IF(OR(cat="Status",pow=0),0,FLOOR(FLOOR(FLOOR((2*XLOOKUP($Q794,'Threshold Summary'!$Y:$Y,'Threshold Summary'!$L:$L,"")/5+2)*pow*atk/def)/50)+2)),modifier,stab*eff,FLOOR(base*modifier)),0)</f>
        <v/>
      </c>
      <c r="L794" s="3">
        <f>IFERROR(LET(mtype,XLOOKUP($D794,'Move Editor'!$B:$B,'Move Editor'!$C:$C,""),cat,XLOOKUP($D794,'Move Editor'!$B:$B,'Move Editor'!$D:$D,""),pow,XLOOKUP($D794,'Move Editor'!$B:$B,'Move Editor'!$E:$E,0),acc,XLOOKUP($D794,'Move Editor'!$B:$B,'Move Editor'!$F:$F,100),atk,IF(cat="Physical",FLOOR((FLOOR(((2*XLOOKUP(XLOOKUP($Q794,'Threshold Summary'!$Y:$Y,'Threshold Summary'!$K:$K,""),'Pokemon Editor'!$A:$A,'Pokemon Editor'!$F:$F,0)+31+FLOOR(XLOOKUP($Q794,'Threshold Summary'!$Y:$Y,'Threshold Summary'!$P:$P,"")/4))*XLOOKUP($Q794,'Threshold Summary'!$Y:$Y,'Threshold Summary'!$L:$L,""))/100)+5)*XLOOKUP(XLOOKUP($Q794,'Threshold Summary'!$Y:$Y,'Threshold Summary'!$M:$M,""),'Nature Editor'!$A:$A,'Nature Editor'!$B:$B,1)),FLOOR((FLOOR(((2*XLOOKUP(XLOOKUP($Q794,'Threshold Summary'!$Y:$Y,'Threshold Summary'!$K:$K,""),'Pokemon Editor'!$A:$A,'Pokemon Editor'!$H:$H,0)+31+FLOOR(XLOOKUP($Q794,'Threshold Summary'!$Y:$Y,'Threshold Summary'!$R:$R,"")/4))*XLOOKUP($Q794,'Threshold Summary'!$Y:$Y,'Threshold Summary'!$L:$L,""))/100)+5)*XLOOKUP(XLOOKUP($Q794,'Threshold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Editor'!$E:$E,1))),stab,IF(OR(mtype=XLOOKUP(XLOOKUP($Q794,'Threshold Summary'!$Y:$Y,'Threshold Summary'!$K:$K,""),'Pokemon Editor'!$A:$A,'Pokemon Editor'!$C:$C,""),mtype=XLOOKUP(XLOOKUP($Q794,'Threshold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Chart'!$B$1:$S$1,0)))),base,IF(OR(cat="Status",pow=0),0,FLOOR(FLOOR(FLOOR((2*XLOOKUP($Q794,'Threshold Summary'!$Y:$Y,'Threshold Summary'!$L:$L,"")/5+2)*pow*atk/def)/50)+2)),modifier,stab*eff,AVERAGE(ARRAYFORMULA(FLOOR(base*modifier*SEQUENCE(16,1,85,1)/100)))),0)</f>
        <v/>
      </c>
      <c r="M794" s="3">
        <f>IFERROR(LET(mtype,XLOOKUP($D794,'Move Editor'!$B:$B,'Move Editor'!$C:$C,""),cat,XLOOKUP($D794,'Move Editor'!$B:$B,'Move Editor'!$D:$D,""),pow,XLOOKUP($D794,'Move Editor'!$B:$B,'Move Editor'!$E:$E,0),acc,XLOOKUP($D794,'Move Editor'!$B:$B,'Move Editor'!$F:$F,100),atk,IF(cat="Physical",FLOOR((FLOOR(((2*XLOOKUP(XLOOKUP($Q794,'Threshold Summary'!$Y:$Y,'Threshold Summary'!$K:$K,""),'Pokemon Editor'!$A:$A,'Pokemon Editor'!$F:$F,0)+31+FLOOR(XLOOKUP($Q794,'Threshold Summary'!$Y:$Y,'Threshold Summary'!$P:$P,"")/4))*XLOOKUP($Q794,'Threshold Summary'!$Y:$Y,'Threshold Summary'!$L:$L,""))/100)+5)*XLOOKUP(XLOOKUP($Q794,'Threshold Summary'!$Y:$Y,'Threshold Summary'!$M:$M,""),'Nature Editor'!$A:$A,'Nature Editor'!$B:$B,1)),FLOOR((FLOOR(((2*XLOOKUP(XLOOKUP($Q794,'Threshold Summary'!$Y:$Y,'Threshold Summary'!$K:$K,""),'Pokemon Editor'!$A:$A,'Pokemon Editor'!$H:$H,0)+31+FLOOR(XLOOKUP($Q794,'Threshold Summary'!$Y:$Y,'Threshold Summary'!$R:$R,"")/4))*XLOOKUP($Q794,'Threshold Summary'!$Y:$Y,'Threshold Summary'!$L:$L,""))/100)+5)*XLOOKUP(XLOOKUP($Q794,'Threshold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Editor'!$E:$E,1))),stab,IF(OR(mtype=XLOOKUP(XLOOKUP($Q794,'Threshold Summary'!$Y:$Y,'Threshold Summary'!$K:$K,""),'Pokemon Editor'!$A:$A,'Pokemon Editor'!$C:$C,""),mtype=XLOOKUP(XLOOKUP($Q794,'Threshold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Chart'!$B$1:$S$1,0)))),base,IF(OR(cat="Status",pow=0),0,FLOOR(FLOOR(FLOOR((2*XLOOKUP($Q794,'Threshold Summary'!$Y:$Y,'Threshold Summary'!$L:$L,"")/5+2)*pow*atk/def)/50)+2)),modifier,stab*eff,AVERAGE(ARRAYFORMULA(FLOOR(base*modifier*SEQUENCE(16,1,85,1)/100)))*MIN(1,acc/100)),0)</f>
        <v/>
      </c>
      <c r="N794" s="4">
        <f>IFERROR(LET(mtype,XLOOKUP($D794,'Move Editor'!$B:$B,'Move Editor'!$C:$C,""),cat,XLOOKUP($D794,'Move Editor'!$B:$B,'Move Editor'!$D:$D,""),pow,XLOOKUP($D794,'Move Editor'!$B:$B,'Move Editor'!$E:$E,0),acc,XLOOKUP($D794,'Move Editor'!$B:$B,'Move Editor'!$F:$F,100),atk,IF(cat="Physical",FLOOR((FLOOR(((2*XLOOKUP(XLOOKUP($Q794,'Threshold Summary'!$Y:$Y,'Threshold Summary'!$K:$K,""),'Pokemon Editor'!$A:$A,'Pokemon Editor'!$F:$F,0)+31+FLOOR(XLOOKUP($Q794,'Threshold Summary'!$Y:$Y,'Threshold Summary'!$P:$P,"")/4))*XLOOKUP($Q794,'Threshold Summary'!$Y:$Y,'Threshold Summary'!$L:$L,""))/100)+5)*XLOOKUP(XLOOKUP($Q794,'Threshold Summary'!$Y:$Y,'Threshold Summary'!$M:$M,""),'Nature Editor'!$A:$A,'Nature Editor'!$B:$B,1)),FLOOR((FLOOR(((2*XLOOKUP(XLOOKUP($Q794,'Threshold Summary'!$Y:$Y,'Threshold Summary'!$K:$K,""),'Pokemon Editor'!$A:$A,'Pokemon Editor'!$H:$H,0)+31+FLOOR(XLOOKUP($Q794,'Threshold Summary'!$Y:$Y,'Threshold Summary'!$R:$R,"")/4))*XLOOKUP($Q794,'Threshold Summary'!$Y:$Y,'Threshold Summary'!$L:$L,""))/100)+5)*XLOOKUP(XLOOKUP($Q794,'Threshold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Editor'!$E:$E,1))),stab,IF(OR(mtype=XLOOKUP(XLOOKUP($Q794,'Threshold Summary'!$Y:$Y,'Threshold Summary'!$K:$K,""),'Pokemon Editor'!$A:$A,'Pokemon Editor'!$C:$C,""),mtype=XLOOKUP(XLOOKUP($Q794,'Threshold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Chart'!$B$1:$S$1,0)))),base,IF(OR(cat="Status",pow=0),0,FLOOR(FLOOR(FLOOR((2*XLOOKUP($Q794,'Threshold Summary'!$Y:$Y,'Threshold Summary'!$L:$L,"")/5+2)*pow*atk/def)/50)+2)),modifier,stab*eff,AVERAGE(ARRAYFORMULA(FLOOR(base*modifier*SEQUENCE(16,1,85,1)/100)))/(FLOOR(((2*XLOOKUP('Boss Editor'!$C$4,'Pokemon Editor'!$A:$A,'Pokemon Editor'!$E:$E,0)+31+FLOOR('Boss Editor'!$G$4/4))*'Boss Editor'!$D$4)/100)+'Boss Editor'!$D$4+10)),0)</f>
        <v/>
      </c>
      <c r="O794" s="3">
        <f>IF(N794&gt;=1,"OHKO",IF(N794&gt;=0.5,"2HKO",IF(N794&gt;=0.333,"3HKO",IF(N794&gt;=0.25,"4HKO","5HKO+"))))</f>
        <v/>
      </c>
      <c r="P794" s="3" t="inlineStr">
        <is>
          <t>Live from editable databases</t>
        </is>
      </c>
      <c r="Q794" s="3" t="inlineStr">
        <is>
          <t>SPECIES_BOUNSWEET</t>
        </is>
      </c>
      <c r="R794" s="3" t="n">
        <v>25</v>
      </c>
    </row>
    <row r="795">
      <c r="A795" s="3">
        <f>XLOOKUP($Q795,'Threshold Summary'!$Y:$Y,'Threshold Summary'!$A:$A,"")</f>
        <v/>
      </c>
      <c r="B795" s="3">
        <f>XLOOKUP($Q795,'Threshold Summary'!$Y:$Y,'Threshold Summary'!$M:$M,"")</f>
        <v/>
      </c>
      <c r="C795" s="3">
        <f>XLOOKUP($Q795,'Threshold Summary'!$Y:$Y,'Threshold Summary'!$N:$N,"")</f>
        <v/>
      </c>
      <c r="D795" s="3">
        <f>IFERROR(INDEX(FILTER('Learnset Editor'!$D$2:$D,'Learnset Editor'!$A$2:$A=XLOOKUP($Q795,'Threshold Summary'!$Y:$Y,'Threshold Summary'!$K:$K,""),'Learnset Editor'!$C$2:$C&lt;=XLOOKUP($Q795,'Threshold Summary'!$Y:$Y,'Threshold Summary'!$L:$L,"")),$R795),"")</f>
        <v/>
      </c>
      <c r="E795" s="3">
        <f>XLOOKUP(D795,'Move Editor'!$B:$B,'Move Editor'!$C:$C,"")</f>
        <v/>
      </c>
      <c r="F795" s="3">
        <f>XLOOKUP(D795,'Move Editor'!$B:$B,'Move Editor'!$D:$D,"")</f>
        <v/>
      </c>
      <c r="G795" s="3">
        <f>XLOOKUP(D795,'Move Editor'!$B:$B,'Move Editor'!$E:$E,0)</f>
        <v/>
      </c>
      <c r="H795" s="3">
        <f>XLOOKUP(D795,'Move Editor'!$B:$B,'Move Editor'!$F:$F,0)</f>
        <v/>
      </c>
      <c r="I795" s="3">
        <f>(INDEX('Type Chart'!$B:$S,MATCH(E795,'Type Chart'!$A:$A,0),MATCH(XLOOKUP('Boss Editor'!$C$4,'Pokemon Editor'!$A:$A,'Pokemon Editor'!$C:$C,""),'Type Chart'!$B$1:$S$1,0))*IF(XLOOKUP('Boss Editor'!$C$4,'Pokemon Editor'!$A:$A,'Pokemon Editor'!$D:$D,"")="",1,INDEX('Type Chart'!$B:$S,MATCH(E795,'Type Chart'!$A:$A,0),MATCH(XLOOKUP('Boss Editor'!$C$4,'Pokemon Editor'!$A:$A,'Pokemon Editor'!$D:$D,""),'Type Chart'!$B$1:$S$1,0))))</f>
        <v/>
      </c>
      <c r="J795" s="3">
        <f>IFERROR(LET(mtype,XLOOKUP($D795,'Move Editor'!$B:$B,'Move Editor'!$C:$C,""),cat,XLOOKUP($D795,'Move Editor'!$B:$B,'Move Editor'!$D:$D,""),pow,XLOOKUP($D795,'Move Editor'!$B:$B,'Move Editor'!$E:$E,0),acc,XLOOKUP($D795,'Move Editor'!$B:$B,'Move Editor'!$F:$F,100),atk,IF(cat="Physical",FLOOR((FLOOR(((2*XLOOKUP(XLOOKUP($Q795,'Threshold Summary'!$Y:$Y,'Threshold Summary'!$K:$K,""),'Pokemon Editor'!$A:$A,'Pokemon Editor'!$F:$F,0)+31+FLOOR(XLOOKUP($Q795,'Threshold Summary'!$Y:$Y,'Threshold Summary'!$P:$P,"")/4))*XLOOKUP($Q795,'Threshold Summary'!$Y:$Y,'Threshold Summary'!$L:$L,""))/100)+5)*XLOOKUP(XLOOKUP($Q795,'Threshold Summary'!$Y:$Y,'Threshold Summary'!$M:$M,""),'Nature Editor'!$A:$A,'Nature Editor'!$B:$B,1)),FLOOR((FLOOR(((2*XLOOKUP(XLOOKUP($Q795,'Threshold Summary'!$Y:$Y,'Threshold Summary'!$K:$K,""),'Pokemon Editor'!$A:$A,'Pokemon Editor'!$H:$H,0)+31+FLOOR(XLOOKUP($Q795,'Threshold Summary'!$Y:$Y,'Threshold Summary'!$R:$R,"")/4))*XLOOKUP($Q795,'Threshold Summary'!$Y:$Y,'Threshold Summary'!$L:$L,""))/100)+5)*XLOOKUP(XLOOKUP($Q795,'Threshold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Editor'!$E:$E,1))),stab,IF(OR(mtype=XLOOKUP(XLOOKUP($Q795,'Threshold Summary'!$Y:$Y,'Threshold Summary'!$K:$K,""),'Pokemon Editor'!$A:$A,'Pokemon Editor'!$C:$C,""),mtype=XLOOKUP(XLOOKUP($Q795,'Threshold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Chart'!$B$1:$S$1,0)))),base,IF(OR(cat="Status",pow=0),0,FLOOR(FLOOR(FLOOR((2*XLOOKUP($Q795,'Threshold Summary'!$Y:$Y,'Threshold Summary'!$L:$L,"")/5+2)*pow*atk/def)/50)+2)),modifier,stab*eff,FLOOR(base*modifier*0.85)),0)</f>
        <v/>
      </c>
      <c r="K795" s="3">
        <f>IFERROR(LET(mtype,XLOOKUP($D795,'Move Editor'!$B:$B,'Move Editor'!$C:$C,""),cat,XLOOKUP($D795,'Move Editor'!$B:$B,'Move Editor'!$D:$D,""),pow,XLOOKUP($D795,'Move Editor'!$B:$B,'Move Editor'!$E:$E,0),acc,XLOOKUP($D795,'Move Editor'!$B:$B,'Move Editor'!$F:$F,100),atk,IF(cat="Physical",FLOOR((FLOOR(((2*XLOOKUP(XLOOKUP($Q795,'Threshold Summary'!$Y:$Y,'Threshold Summary'!$K:$K,""),'Pokemon Editor'!$A:$A,'Pokemon Editor'!$F:$F,0)+31+FLOOR(XLOOKUP($Q795,'Threshold Summary'!$Y:$Y,'Threshold Summary'!$P:$P,"")/4))*XLOOKUP($Q795,'Threshold Summary'!$Y:$Y,'Threshold Summary'!$L:$L,""))/100)+5)*XLOOKUP(XLOOKUP($Q795,'Threshold Summary'!$Y:$Y,'Threshold Summary'!$M:$M,""),'Nature Editor'!$A:$A,'Nature Editor'!$B:$B,1)),FLOOR((FLOOR(((2*XLOOKUP(XLOOKUP($Q795,'Threshold Summary'!$Y:$Y,'Threshold Summary'!$K:$K,""),'Pokemon Editor'!$A:$A,'Pokemon Editor'!$H:$H,0)+31+FLOOR(XLOOKUP($Q795,'Threshold Summary'!$Y:$Y,'Threshold Summary'!$R:$R,"")/4))*XLOOKUP($Q795,'Threshold Summary'!$Y:$Y,'Threshold Summary'!$L:$L,""))/100)+5)*XLOOKUP(XLOOKUP($Q795,'Threshold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Editor'!$E:$E,1))),stab,IF(OR(mtype=XLOOKUP(XLOOKUP($Q795,'Threshold Summary'!$Y:$Y,'Threshold Summary'!$K:$K,""),'Pokemon Editor'!$A:$A,'Pokemon Editor'!$C:$C,""),mtype=XLOOKUP(XLOOKUP($Q795,'Threshold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Chart'!$B$1:$S$1,0)))),base,IF(OR(cat="Status",pow=0),0,FLOOR(FLOOR(FLOOR((2*XLOOKUP($Q795,'Threshold Summary'!$Y:$Y,'Threshold Summary'!$L:$L,"")/5+2)*pow*atk/def)/50)+2)),modifier,stab*eff,FLOOR(base*modifier)),0)</f>
        <v/>
      </c>
      <c r="L795" s="3">
        <f>IFERROR(LET(mtype,XLOOKUP($D795,'Move Editor'!$B:$B,'Move Editor'!$C:$C,""),cat,XLOOKUP($D795,'Move Editor'!$B:$B,'Move Editor'!$D:$D,""),pow,XLOOKUP($D795,'Move Editor'!$B:$B,'Move Editor'!$E:$E,0),acc,XLOOKUP($D795,'Move Editor'!$B:$B,'Move Editor'!$F:$F,100),atk,IF(cat="Physical",FLOOR((FLOOR(((2*XLOOKUP(XLOOKUP($Q795,'Threshold Summary'!$Y:$Y,'Threshold Summary'!$K:$K,""),'Pokemon Editor'!$A:$A,'Pokemon Editor'!$F:$F,0)+31+FLOOR(XLOOKUP($Q795,'Threshold Summary'!$Y:$Y,'Threshold Summary'!$P:$P,"")/4))*XLOOKUP($Q795,'Threshold Summary'!$Y:$Y,'Threshold Summary'!$L:$L,""))/100)+5)*XLOOKUP(XLOOKUP($Q795,'Threshold Summary'!$Y:$Y,'Threshold Summary'!$M:$M,""),'Nature Editor'!$A:$A,'Nature Editor'!$B:$B,1)),FLOOR((FLOOR(((2*XLOOKUP(XLOOKUP($Q795,'Threshold Summary'!$Y:$Y,'Threshold Summary'!$K:$K,""),'Pokemon Editor'!$A:$A,'Pokemon Editor'!$H:$H,0)+31+FLOOR(XLOOKUP($Q795,'Threshold Summary'!$Y:$Y,'Threshold Summary'!$R:$R,"")/4))*XLOOKUP($Q795,'Threshold Summary'!$Y:$Y,'Threshold Summary'!$L:$L,""))/100)+5)*XLOOKUP(XLOOKUP($Q795,'Threshold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Editor'!$E:$E,1))),stab,IF(OR(mtype=XLOOKUP(XLOOKUP($Q795,'Threshold Summary'!$Y:$Y,'Threshold Summary'!$K:$K,""),'Pokemon Editor'!$A:$A,'Pokemon Editor'!$C:$C,""),mtype=XLOOKUP(XLOOKUP($Q795,'Threshold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Chart'!$B$1:$S$1,0)))),base,IF(OR(cat="Status",pow=0),0,FLOOR(FLOOR(FLOOR((2*XLOOKUP($Q795,'Threshold Summary'!$Y:$Y,'Threshold Summary'!$L:$L,"")/5+2)*pow*atk/def)/50)+2)),modifier,stab*eff,AVERAGE(ARRAYFORMULA(FLOOR(base*modifier*SEQUENCE(16,1,85,1)/100)))),0)</f>
        <v/>
      </c>
      <c r="M795" s="3">
        <f>IFERROR(LET(mtype,XLOOKUP($D795,'Move Editor'!$B:$B,'Move Editor'!$C:$C,""),cat,XLOOKUP($D795,'Move Editor'!$B:$B,'Move Editor'!$D:$D,""),pow,XLOOKUP($D795,'Move Editor'!$B:$B,'Move Editor'!$E:$E,0),acc,XLOOKUP($D795,'Move Editor'!$B:$B,'Move Editor'!$F:$F,100),atk,IF(cat="Physical",FLOOR((FLOOR(((2*XLOOKUP(XLOOKUP($Q795,'Threshold Summary'!$Y:$Y,'Threshold Summary'!$K:$K,""),'Pokemon Editor'!$A:$A,'Pokemon Editor'!$F:$F,0)+31+FLOOR(XLOOKUP($Q795,'Threshold Summary'!$Y:$Y,'Threshold Summary'!$P:$P,"")/4))*XLOOKUP($Q795,'Threshold Summary'!$Y:$Y,'Threshold Summary'!$L:$L,""))/100)+5)*XLOOKUP(XLOOKUP($Q795,'Threshold Summary'!$Y:$Y,'Threshold Summary'!$M:$M,""),'Nature Editor'!$A:$A,'Nature Editor'!$B:$B,1)),FLOOR((FLOOR(((2*XLOOKUP(XLOOKUP($Q795,'Threshold Summary'!$Y:$Y,'Threshold Summary'!$K:$K,""),'Pokemon Editor'!$A:$A,'Pokemon Editor'!$H:$H,0)+31+FLOOR(XLOOKUP($Q795,'Threshold Summary'!$Y:$Y,'Threshold Summary'!$R:$R,"")/4))*XLOOKUP($Q795,'Threshold Summary'!$Y:$Y,'Threshold Summary'!$L:$L,""))/100)+5)*XLOOKUP(XLOOKUP($Q795,'Threshold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Editor'!$E:$E,1))),stab,IF(OR(mtype=XLOOKUP(XLOOKUP($Q795,'Threshold Summary'!$Y:$Y,'Threshold Summary'!$K:$K,""),'Pokemon Editor'!$A:$A,'Pokemon Editor'!$C:$C,""),mtype=XLOOKUP(XLOOKUP($Q795,'Threshold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Chart'!$B$1:$S$1,0)))),base,IF(OR(cat="Status",pow=0),0,FLOOR(FLOOR(FLOOR((2*XLOOKUP($Q795,'Threshold Summary'!$Y:$Y,'Threshold Summary'!$L:$L,"")/5+2)*pow*atk/def)/50)+2)),modifier,stab*eff,AVERAGE(ARRAYFORMULA(FLOOR(base*modifier*SEQUENCE(16,1,85,1)/100)))*MIN(1,acc/100)),0)</f>
        <v/>
      </c>
      <c r="N795" s="4">
        <f>IFERROR(LET(mtype,XLOOKUP($D795,'Move Editor'!$B:$B,'Move Editor'!$C:$C,""),cat,XLOOKUP($D795,'Move Editor'!$B:$B,'Move Editor'!$D:$D,""),pow,XLOOKUP($D795,'Move Editor'!$B:$B,'Move Editor'!$E:$E,0),acc,XLOOKUP($D795,'Move Editor'!$B:$B,'Move Editor'!$F:$F,100),atk,IF(cat="Physical",FLOOR((FLOOR(((2*XLOOKUP(XLOOKUP($Q795,'Threshold Summary'!$Y:$Y,'Threshold Summary'!$K:$K,""),'Pokemon Editor'!$A:$A,'Pokemon Editor'!$F:$F,0)+31+FLOOR(XLOOKUP($Q795,'Threshold Summary'!$Y:$Y,'Threshold Summary'!$P:$P,"")/4))*XLOOKUP($Q795,'Threshold Summary'!$Y:$Y,'Threshold Summary'!$L:$L,""))/100)+5)*XLOOKUP(XLOOKUP($Q795,'Threshold Summary'!$Y:$Y,'Threshold Summary'!$M:$M,""),'Nature Editor'!$A:$A,'Nature Editor'!$B:$B,1)),FLOOR((FLOOR(((2*XLOOKUP(XLOOKUP($Q795,'Threshold Summary'!$Y:$Y,'Threshold Summary'!$K:$K,""),'Pokemon Editor'!$A:$A,'Pokemon Editor'!$H:$H,0)+31+FLOOR(XLOOKUP($Q795,'Threshold Summary'!$Y:$Y,'Threshold Summary'!$R:$R,"")/4))*XLOOKUP($Q795,'Threshold Summary'!$Y:$Y,'Threshold Summary'!$L:$L,""))/100)+5)*XLOOKUP(XLOOKUP($Q795,'Threshold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Editor'!$E:$E,1))),stab,IF(OR(mtype=XLOOKUP(XLOOKUP($Q795,'Threshold Summary'!$Y:$Y,'Threshold Summary'!$K:$K,""),'Pokemon Editor'!$A:$A,'Pokemon Editor'!$C:$C,""),mtype=XLOOKUP(XLOOKUP($Q795,'Threshold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Chart'!$B$1:$S$1,0)))),base,IF(OR(cat="Status",pow=0),0,FLOOR(FLOOR(FLOOR((2*XLOOKUP($Q795,'Threshold Summary'!$Y:$Y,'Threshold Summary'!$L:$L,"")/5+2)*pow*atk/def)/50)+2)),modifier,stab*eff,AVERAGE(ARRAYFORMULA(FLOOR(base*modifier*SEQUENCE(16,1,85,1)/100)))/(FLOOR(((2*XLOOKUP('Boss Editor'!$C$4,'Pokemon Editor'!$A:$A,'Pokemon Editor'!$E:$E,0)+31+FLOOR('Boss Editor'!$G$4/4))*'Boss Editor'!$D$4)/100)+'Boss Editor'!$D$4+10)),0)</f>
        <v/>
      </c>
      <c r="O795" s="3">
        <f>IF(N795&gt;=1,"OHKO",IF(N795&gt;=0.5,"2HKO",IF(N795&gt;=0.333,"3HKO",IF(N795&gt;=0.25,"4HKO","5HKO+"))))</f>
        <v/>
      </c>
      <c r="P795" s="3" t="inlineStr">
        <is>
          <t>Live from editable databases</t>
        </is>
      </c>
      <c r="Q795" s="3" t="inlineStr">
        <is>
          <t>SPECIES_BOUNSWEET</t>
        </is>
      </c>
      <c r="R795" s="3" t="n">
        <v>26</v>
      </c>
    </row>
    <row r="796">
      <c r="A796" s="3">
        <f>XLOOKUP($Q796,'Threshold Summary'!$Y:$Y,'Threshold Summary'!$A:$A,"")</f>
        <v/>
      </c>
      <c r="B796" s="3">
        <f>XLOOKUP($Q796,'Threshold Summary'!$Y:$Y,'Threshold Summary'!$M:$M,"")</f>
        <v/>
      </c>
      <c r="C796" s="3">
        <f>XLOOKUP($Q796,'Threshold Summary'!$Y:$Y,'Threshold Summary'!$N:$N,"")</f>
        <v/>
      </c>
      <c r="D796" s="3">
        <f>IFERROR(INDEX(FILTER('Learnset Editor'!$D$2:$D,'Learnset Editor'!$A$2:$A=XLOOKUP($Q796,'Threshold Summary'!$Y:$Y,'Threshold Summary'!$K:$K,""),'Learnset Editor'!$C$2:$C&lt;=XLOOKUP($Q796,'Threshold Summary'!$Y:$Y,'Threshold Summary'!$L:$L,"")),$R796),"")</f>
        <v/>
      </c>
      <c r="E796" s="3">
        <f>XLOOKUP(D796,'Move Editor'!$B:$B,'Move Editor'!$C:$C,"")</f>
        <v/>
      </c>
      <c r="F796" s="3">
        <f>XLOOKUP(D796,'Move Editor'!$B:$B,'Move Editor'!$D:$D,"")</f>
        <v/>
      </c>
      <c r="G796" s="3">
        <f>XLOOKUP(D796,'Move Editor'!$B:$B,'Move Editor'!$E:$E,0)</f>
        <v/>
      </c>
      <c r="H796" s="3">
        <f>XLOOKUP(D796,'Move Editor'!$B:$B,'Move Editor'!$F:$F,0)</f>
        <v/>
      </c>
      <c r="I796" s="3">
        <f>(INDEX('Type Chart'!$B:$S,MATCH(E796,'Type Chart'!$A:$A,0),MATCH(XLOOKUP('Boss Editor'!$C$4,'Pokemon Editor'!$A:$A,'Pokemon Editor'!$C:$C,""),'Type Chart'!$B$1:$S$1,0))*IF(XLOOKUP('Boss Editor'!$C$4,'Pokemon Editor'!$A:$A,'Pokemon Editor'!$D:$D,"")="",1,INDEX('Type Chart'!$B:$S,MATCH(E796,'Type Chart'!$A:$A,0),MATCH(XLOOKUP('Boss Editor'!$C$4,'Pokemon Editor'!$A:$A,'Pokemon Editor'!$D:$D,""),'Type Chart'!$B$1:$S$1,0))))</f>
        <v/>
      </c>
      <c r="J796" s="3">
        <f>IFERROR(LET(mtype,XLOOKUP($D796,'Move Editor'!$B:$B,'Move Editor'!$C:$C,""),cat,XLOOKUP($D796,'Move Editor'!$B:$B,'Move Editor'!$D:$D,""),pow,XLOOKUP($D796,'Move Editor'!$B:$B,'Move Editor'!$E:$E,0),acc,XLOOKUP($D796,'Move Editor'!$B:$B,'Move Editor'!$F:$F,100),atk,IF(cat="Physical",FLOOR((FLOOR(((2*XLOOKUP(XLOOKUP($Q796,'Threshold Summary'!$Y:$Y,'Threshold Summary'!$K:$K,""),'Pokemon Editor'!$A:$A,'Pokemon Editor'!$F:$F,0)+31+FLOOR(XLOOKUP($Q796,'Threshold Summary'!$Y:$Y,'Threshold Summary'!$P:$P,"")/4))*XLOOKUP($Q796,'Threshold Summary'!$Y:$Y,'Threshold Summary'!$L:$L,""))/100)+5)*XLOOKUP(XLOOKUP($Q796,'Threshold Summary'!$Y:$Y,'Threshold Summary'!$M:$M,""),'Nature Editor'!$A:$A,'Nature Editor'!$B:$B,1)),FLOOR((FLOOR(((2*XLOOKUP(XLOOKUP($Q796,'Threshold Summary'!$Y:$Y,'Threshold Summary'!$K:$K,""),'Pokemon Editor'!$A:$A,'Pokemon Editor'!$H:$H,0)+31+FLOOR(XLOOKUP($Q796,'Threshold Summary'!$Y:$Y,'Threshold Summary'!$R:$R,"")/4))*XLOOKUP($Q796,'Threshold Summary'!$Y:$Y,'Threshold Summary'!$L:$L,""))/100)+5)*XLOOKUP(XLOOKUP($Q796,'Threshold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Editor'!$E:$E,1))),stab,IF(OR(mtype=XLOOKUP(XLOOKUP($Q796,'Threshold Summary'!$Y:$Y,'Threshold Summary'!$K:$K,""),'Pokemon Editor'!$A:$A,'Pokemon Editor'!$C:$C,""),mtype=XLOOKUP(XLOOKUP($Q796,'Threshold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Chart'!$B$1:$S$1,0)))),base,IF(OR(cat="Status",pow=0),0,FLOOR(FLOOR(FLOOR((2*XLOOKUP($Q796,'Threshold Summary'!$Y:$Y,'Threshold Summary'!$L:$L,"")/5+2)*pow*atk/def)/50)+2)),modifier,stab*eff,FLOOR(base*modifier*0.85)),0)</f>
        <v/>
      </c>
      <c r="K796" s="3">
        <f>IFERROR(LET(mtype,XLOOKUP($D796,'Move Editor'!$B:$B,'Move Editor'!$C:$C,""),cat,XLOOKUP($D796,'Move Editor'!$B:$B,'Move Editor'!$D:$D,""),pow,XLOOKUP($D796,'Move Editor'!$B:$B,'Move Editor'!$E:$E,0),acc,XLOOKUP($D796,'Move Editor'!$B:$B,'Move Editor'!$F:$F,100),atk,IF(cat="Physical",FLOOR((FLOOR(((2*XLOOKUP(XLOOKUP($Q796,'Threshold Summary'!$Y:$Y,'Threshold Summary'!$K:$K,""),'Pokemon Editor'!$A:$A,'Pokemon Editor'!$F:$F,0)+31+FLOOR(XLOOKUP($Q796,'Threshold Summary'!$Y:$Y,'Threshold Summary'!$P:$P,"")/4))*XLOOKUP($Q796,'Threshold Summary'!$Y:$Y,'Threshold Summary'!$L:$L,""))/100)+5)*XLOOKUP(XLOOKUP($Q796,'Threshold Summary'!$Y:$Y,'Threshold Summary'!$M:$M,""),'Nature Editor'!$A:$A,'Nature Editor'!$B:$B,1)),FLOOR((FLOOR(((2*XLOOKUP(XLOOKUP($Q796,'Threshold Summary'!$Y:$Y,'Threshold Summary'!$K:$K,""),'Pokemon Editor'!$A:$A,'Pokemon Editor'!$H:$H,0)+31+FLOOR(XLOOKUP($Q796,'Threshold Summary'!$Y:$Y,'Threshold Summary'!$R:$R,"")/4))*XLOOKUP($Q796,'Threshold Summary'!$Y:$Y,'Threshold Summary'!$L:$L,""))/100)+5)*XLOOKUP(XLOOKUP($Q796,'Threshold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Editor'!$E:$E,1))),stab,IF(OR(mtype=XLOOKUP(XLOOKUP($Q796,'Threshold Summary'!$Y:$Y,'Threshold Summary'!$K:$K,""),'Pokemon Editor'!$A:$A,'Pokemon Editor'!$C:$C,""),mtype=XLOOKUP(XLOOKUP($Q796,'Threshold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Chart'!$B$1:$S$1,0)))),base,IF(OR(cat="Status",pow=0),0,FLOOR(FLOOR(FLOOR((2*XLOOKUP($Q796,'Threshold Summary'!$Y:$Y,'Threshold Summary'!$L:$L,"")/5+2)*pow*atk/def)/50)+2)),modifier,stab*eff,FLOOR(base*modifier)),0)</f>
        <v/>
      </c>
      <c r="L796" s="3">
        <f>IFERROR(LET(mtype,XLOOKUP($D796,'Move Editor'!$B:$B,'Move Editor'!$C:$C,""),cat,XLOOKUP($D796,'Move Editor'!$B:$B,'Move Editor'!$D:$D,""),pow,XLOOKUP($D796,'Move Editor'!$B:$B,'Move Editor'!$E:$E,0),acc,XLOOKUP($D796,'Move Editor'!$B:$B,'Move Editor'!$F:$F,100),atk,IF(cat="Physical",FLOOR((FLOOR(((2*XLOOKUP(XLOOKUP($Q796,'Threshold Summary'!$Y:$Y,'Threshold Summary'!$K:$K,""),'Pokemon Editor'!$A:$A,'Pokemon Editor'!$F:$F,0)+31+FLOOR(XLOOKUP($Q796,'Threshold Summary'!$Y:$Y,'Threshold Summary'!$P:$P,"")/4))*XLOOKUP($Q796,'Threshold Summary'!$Y:$Y,'Threshold Summary'!$L:$L,""))/100)+5)*XLOOKUP(XLOOKUP($Q796,'Threshold Summary'!$Y:$Y,'Threshold Summary'!$M:$M,""),'Nature Editor'!$A:$A,'Nature Editor'!$B:$B,1)),FLOOR((FLOOR(((2*XLOOKUP(XLOOKUP($Q796,'Threshold Summary'!$Y:$Y,'Threshold Summary'!$K:$K,""),'Pokemon Editor'!$A:$A,'Pokemon Editor'!$H:$H,0)+31+FLOOR(XLOOKUP($Q796,'Threshold Summary'!$Y:$Y,'Threshold Summary'!$R:$R,"")/4))*XLOOKUP($Q796,'Threshold Summary'!$Y:$Y,'Threshold Summary'!$L:$L,""))/100)+5)*XLOOKUP(XLOOKUP($Q796,'Threshold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Editor'!$E:$E,1))),stab,IF(OR(mtype=XLOOKUP(XLOOKUP($Q796,'Threshold Summary'!$Y:$Y,'Threshold Summary'!$K:$K,""),'Pokemon Editor'!$A:$A,'Pokemon Editor'!$C:$C,""),mtype=XLOOKUP(XLOOKUP($Q796,'Threshold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Chart'!$B$1:$S$1,0)))),base,IF(OR(cat="Status",pow=0),0,FLOOR(FLOOR(FLOOR((2*XLOOKUP($Q796,'Threshold Summary'!$Y:$Y,'Threshold Summary'!$L:$L,"")/5+2)*pow*atk/def)/50)+2)),modifier,stab*eff,AVERAGE(ARRAYFORMULA(FLOOR(base*modifier*SEQUENCE(16,1,85,1)/100)))),0)</f>
        <v/>
      </c>
      <c r="M796" s="3">
        <f>IFERROR(LET(mtype,XLOOKUP($D796,'Move Editor'!$B:$B,'Move Editor'!$C:$C,""),cat,XLOOKUP($D796,'Move Editor'!$B:$B,'Move Editor'!$D:$D,""),pow,XLOOKUP($D796,'Move Editor'!$B:$B,'Move Editor'!$E:$E,0),acc,XLOOKUP($D796,'Move Editor'!$B:$B,'Move Editor'!$F:$F,100),atk,IF(cat="Physical",FLOOR((FLOOR(((2*XLOOKUP(XLOOKUP($Q796,'Threshold Summary'!$Y:$Y,'Threshold Summary'!$K:$K,""),'Pokemon Editor'!$A:$A,'Pokemon Editor'!$F:$F,0)+31+FLOOR(XLOOKUP($Q796,'Threshold Summary'!$Y:$Y,'Threshold Summary'!$P:$P,"")/4))*XLOOKUP($Q796,'Threshold Summary'!$Y:$Y,'Threshold Summary'!$L:$L,""))/100)+5)*XLOOKUP(XLOOKUP($Q796,'Threshold Summary'!$Y:$Y,'Threshold Summary'!$M:$M,""),'Nature Editor'!$A:$A,'Nature Editor'!$B:$B,1)),FLOOR((FLOOR(((2*XLOOKUP(XLOOKUP($Q796,'Threshold Summary'!$Y:$Y,'Threshold Summary'!$K:$K,""),'Pokemon Editor'!$A:$A,'Pokemon Editor'!$H:$H,0)+31+FLOOR(XLOOKUP($Q796,'Threshold Summary'!$Y:$Y,'Threshold Summary'!$R:$R,"")/4))*XLOOKUP($Q796,'Threshold Summary'!$Y:$Y,'Threshold Summary'!$L:$L,""))/100)+5)*XLOOKUP(XLOOKUP($Q796,'Threshold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Editor'!$E:$E,1))),stab,IF(OR(mtype=XLOOKUP(XLOOKUP($Q796,'Threshold Summary'!$Y:$Y,'Threshold Summary'!$K:$K,""),'Pokemon Editor'!$A:$A,'Pokemon Editor'!$C:$C,""),mtype=XLOOKUP(XLOOKUP($Q796,'Threshold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Chart'!$B$1:$S$1,0)))),base,IF(OR(cat="Status",pow=0),0,FLOOR(FLOOR(FLOOR((2*XLOOKUP($Q796,'Threshold Summary'!$Y:$Y,'Threshold Summary'!$L:$L,"")/5+2)*pow*atk/def)/50)+2)),modifier,stab*eff,AVERAGE(ARRAYFORMULA(FLOOR(base*modifier*SEQUENCE(16,1,85,1)/100)))*MIN(1,acc/100)),0)</f>
        <v/>
      </c>
      <c r="N796" s="4">
        <f>IFERROR(LET(mtype,XLOOKUP($D796,'Move Editor'!$B:$B,'Move Editor'!$C:$C,""),cat,XLOOKUP($D796,'Move Editor'!$B:$B,'Move Editor'!$D:$D,""),pow,XLOOKUP($D796,'Move Editor'!$B:$B,'Move Editor'!$E:$E,0),acc,XLOOKUP($D796,'Move Editor'!$B:$B,'Move Editor'!$F:$F,100),atk,IF(cat="Physical",FLOOR((FLOOR(((2*XLOOKUP(XLOOKUP($Q796,'Threshold Summary'!$Y:$Y,'Threshold Summary'!$K:$K,""),'Pokemon Editor'!$A:$A,'Pokemon Editor'!$F:$F,0)+31+FLOOR(XLOOKUP($Q796,'Threshold Summary'!$Y:$Y,'Threshold Summary'!$P:$P,"")/4))*XLOOKUP($Q796,'Threshold Summary'!$Y:$Y,'Threshold Summary'!$L:$L,""))/100)+5)*XLOOKUP(XLOOKUP($Q796,'Threshold Summary'!$Y:$Y,'Threshold Summary'!$M:$M,""),'Nature Editor'!$A:$A,'Nature Editor'!$B:$B,1)),FLOOR((FLOOR(((2*XLOOKUP(XLOOKUP($Q796,'Threshold Summary'!$Y:$Y,'Threshold Summary'!$K:$K,""),'Pokemon Editor'!$A:$A,'Pokemon Editor'!$H:$H,0)+31+FLOOR(XLOOKUP($Q796,'Threshold Summary'!$Y:$Y,'Threshold Summary'!$R:$R,"")/4))*XLOOKUP($Q796,'Threshold Summary'!$Y:$Y,'Threshold Summary'!$L:$L,""))/100)+5)*XLOOKUP(XLOOKUP($Q796,'Threshold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Editor'!$E:$E,1))),stab,IF(OR(mtype=XLOOKUP(XLOOKUP($Q796,'Threshold Summary'!$Y:$Y,'Threshold Summary'!$K:$K,""),'Pokemon Editor'!$A:$A,'Pokemon Editor'!$C:$C,""),mtype=XLOOKUP(XLOOKUP($Q796,'Threshold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Chart'!$B$1:$S$1,0)))),base,IF(OR(cat="Status",pow=0),0,FLOOR(FLOOR(FLOOR((2*XLOOKUP($Q796,'Threshold Summary'!$Y:$Y,'Threshold Summary'!$L:$L,"")/5+2)*pow*atk/def)/50)+2)),modifier,stab*eff,AVERAGE(ARRAYFORMULA(FLOOR(base*modifier*SEQUENCE(16,1,85,1)/100)))/(FLOOR(((2*XLOOKUP('Boss Editor'!$C$4,'Pokemon Editor'!$A:$A,'Pokemon Editor'!$E:$E,0)+31+FLOOR('Boss Editor'!$G$4/4))*'Boss Editor'!$D$4)/100)+'Boss Editor'!$D$4+10)),0)</f>
        <v/>
      </c>
      <c r="O796" s="3">
        <f>IF(N796&gt;=1,"OHKO",IF(N796&gt;=0.5,"2HKO",IF(N796&gt;=0.333,"3HKO",IF(N796&gt;=0.25,"4HKO","5HKO+"))))</f>
        <v/>
      </c>
      <c r="P796" s="3" t="inlineStr">
        <is>
          <t>Live from editable databases</t>
        </is>
      </c>
      <c r="Q796" s="3" t="inlineStr">
        <is>
          <t>SPECIES_BOUNSWEET</t>
        </is>
      </c>
      <c r="R796" s="3" t="n">
        <v>27</v>
      </c>
    </row>
    <row r="797">
      <c r="A797" s="3">
        <f>XLOOKUP($Q797,'Threshold Summary'!$Y:$Y,'Threshold Summary'!$A:$A,"")</f>
        <v/>
      </c>
      <c r="B797" s="3">
        <f>XLOOKUP($Q797,'Threshold Summary'!$Y:$Y,'Threshold Summary'!$M:$M,"")</f>
        <v/>
      </c>
      <c r="C797" s="3">
        <f>XLOOKUP($Q797,'Threshold Summary'!$Y:$Y,'Threshold Summary'!$N:$N,"")</f>
        <v/>
      </c>
      <c r="D797" s="3">
        <f>IFERROR(INDEX(FILTER('Learnset Editor'!$D$2:$D,'Learnset Editor'!$A$2:$A=XLOOKUP($Q797,'Threshold Summary'!$Y:$Y,'Threshold Summary'!$K:$K,""),'Learnset Editor'!$C$2:$C&lt;=XLOOKUP($Q797,'Threshold Summary'!$Y:$Y,'Threshold Summary'!$L:$L,"")),$R797),"")</f>
        <v/>
      </c>
      <c r="E797" s="3">
        <f>XLOOKUP(D797,'Move Editor'!$B:$B,'Move Editor'!$C:$C,"")</f>
        <v/>
      </c>
      <c r="F797" s="3">
        <f>XLOOKUP(D797,'Move Editor'!$B:$B,'Move Editor'!$D:$D,"")</f>
        <v/>
      </c>
      <c r="G797" s="3">
        <f>XLOOKUP(D797,'Move Editor'!$B:$B,'Move Editor'!$E:$E,0)</f>
        <v/>
      </c>
      <c r="H797" s="3">
        <f>XLOOKUP(D797,'Move Editor'!$B:$B,'Move Editor'!$F:$F,0)</f>
        <v/>
      </c>
      <c r="I797" s="3">
        <f>(INDEX('Type Chart'!$B:$S,MATCH(E797,'Type Chart'!$A:$A,0),MATCH(XLOOKUP('Boss Editor'!$C$4,'Pokemon Editor'!$A:$A,'Pokemon Editor'!$C:$C,""),'Type Chart'!$B$1:$S$1,0))*IF(XLOOKUP('Boss Editor'!$C$4,'Pokemon Editor'!$A:$A,'Pokemon Editor'!$D:$D,"")="",1,INDEX('Type Chart'!$B:$S,MATCH(E797,'Type Chart'!$A:$A,0),MATCH(XLOOKUP('Boss Editor'!$C$4,'Pokemon Editor'!$A:$A,'Pokemon Editor'!$D:$D,""),'Type Chart'!$B$1:$S$1,0))))</f>
        <v/>
      </c>
      <c r="J797" s="3">
        <f>IFERROR(LET(mtype,XLOOKUP($D797,'Move Editor'!$B:$B,'Move Editor'!$C:$C,""),cat,XLOOKUP($D797,'Move Editor'!$B:$B,'Move Editor'!$D:$D,""),pow,XLOOKUP($D797,'Move Editor'!$B:$B,'Move Editor'!$E:$E,0),acc,XLOOKUP($D797,'Move Editor'!$B:$B,'Move Editor'!$F:$F,100),atk,IF(cat="Physical",FLOOR((FLOOR(((2*XLOOKUP(XLOOKUP($Q797,'Threshold Summary'!$Y:$Y,'Threshold Summary'!$K:$K,""),'Pokemon Editor'!$A:$A,'Pokemon Editor'!$F:$F,0)+31+FLOOR(XLOOKUP($Q797,'Threshold Summary'!$Y:$Y,'Threshold Summary'!$P:$P,"")/4))*XLOOKUP($Q797,'Threshold Summary'!$Y:$Y,'Threshold Summary'!$L:$L,""))/100)+5)*XLOOKUP(XLOOKUP($Q797,'Threshold Summary'!$Y:$Y,'Threshold Summary'!$M:$M,""),'Nature Editor'!$A:$A,'Nature Editor'!$B:$B,1)),FLOOR((FLOOR(((2*XLOOKUP(XLOOKUP($Q797,'Threshold Summary'!$Y:$Y,'Threshold Summary'!$K:$K,""),'Pokemon Editor'!$A:$A,'Pokemon Editor'!$H:$H,0)+31+FLOOR(XLOOKUP($Q797,'Threshold Summary'!$Y:$Y,'Threshold Summary'!$R:$R,"")/4))*XLOOKUP($Q797,'Threshold Summary'!$Y:$Y,'Threshold Summary'!$L:$L,""))/100)+5)*XLOOKUP(XLOOKUP($Q797,'Threshold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Editor'!$E:$E,1))),stab,IF(OR(mtype=XLOOKUP(XLOOKUP($Q797,'Threshold Summary'!$Y:$Y,'Threshold Summary'!$K:$K,""),'Pokemon Editor'!$A:$A,'Pokemon Editor'!$C:$C,""),mtype=XLOOKUP(XLOOKUP($Q797,'Threshold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Chart'!$B$1:$S$1,0)))),base,IF(OR(cat="Status",pow=0),0,FLOOR(FLOOR(FLOOR((2*XLOOKUP($Q797,'Threshold Summary'!$Y:$Y,'Threshold Summary'!$L:$L,"")/5+2)*pow*atk/def)/50)+2)),modifier,stab*eff,FLOOR(base*modifier*0.85)),0)</f>
        <v/>
      </c>
      <c r="K797" s="3">
        <f>IFERROR(LET(mtype,XLOOKUP($D797,'Move Editor'!$B:$B,'Move Editor'!$C:$C,""),cat,XLOOKUP($D797,'Move Editor'!$B:$B,'Move Editor'!$D:$D,""),pow,XLOOKUP($D797,'Move Editor'!$B:$B,'Move Editor'!$E:$E,0),acc,XLOOKUP($D797,'Move Editor'!$B:$B,'Move Editor'!$F:$F,100),atk,IF(cat="Physical",FLOOR((FLOOR(((2*XLOOKUP(XLOOKUP($Q797,'Threshold Summary'!$Y:$Y,'Threshold Summary'!$K:$K,""),'Pokemon Editor'!$A:$A,'Pokemon Editor'!$F:$F,0)+31+FLOOR(XLOOKUP($Q797,'Threshold Summary'!$Y:$Y,'Threshold Summary'!$P:$P,"")/4))*XLOOKUP($Q797,'Threshold Summary'!$Y:$Y,'Threshold Summary'!$L:$L,""))/100)+5)*XLOOKUP(XLOOKUP($Q797,'Threshold Summary'!$Y:$Y,'Threshold Summary'!$M:$M,""),'Nature Editor'!$A:$A,'Nature Editor'!$B:$B,1)),FLOOR((FLOOR(((2*XLOOKUP(XLOOKUP($Q797,'Threshold Summary'!$Y:$Y,'Threshold Summary'!$K:$K,""),'Pokemon Editor'!$A:$A,'Pokemon Editor'!$H:$H,0)+31+FLOOR(XLOOKUP($Q797,'Threshold Summary'!$Y:$Y,'Threshold Summary'!$R:$R,"")/4))*XLOOKUP($Q797,'Threshold Summary'!$Y:$Y,'Threshold Summary'!$L:$L,""))/100)+5)*XLOOKUP(XLOOKUP($Q797,'Threshold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Editor'!$E:$E,1))),stab,IF(OR(mtype=XLOOKUP(XLOOKUP($Q797,'Threshold Summary'!$Y:$Y,'Threshold Summary'!$K:$K,""),'Pokemon Editor'!$A:$A,'Pokemon Editor'!$C:$C,""),mtype=XLOOKUP(XLOOKUP($Q797,'Threshold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Chart'!$B$1:$S$1,0)))),base,IF(OR(cat="Status",pow=0),0,FLOOR(FLOOR(FLOOR((2*XLOOKUP($Q797,'Threshold Summary'!$Y:$Y,'Threshold Summary'!$L:$L,"")/5+2)*pow*atk/def)/50)+2)),modifier,stab*eff,FLOOR(base*modifier)),0)</f>
        <v/>
      </c>
      <c r="L797" s="3">
        <f>IFERROR(LET(mtype,XLOOKUP($D797,'Move Editor'!$B:$B,'Move Editor'!$C:$C,""),cat,XLOOKUP($D797,'Move Editor'!$B:$B,'Move Editor'!$D:$D,""),pow,XLOOKUP($D797,'Move Editor'!$B:$B,'Move Editor'!$E:$E,0),acc,XLOOKUP($D797,'Move Editor'!$B:$B,'Move Editor'!$F:$F,100),atk,IF(cat="Physical",FLOOR((FLOOR(((2*XLOOKUP(XLOOKUP($Q797,'Threshold Summary'!$Y:$Y,'Threshold Summary'!$K:$K,""),'Pokemon Editor'!$A:$A,'Pokemon Editor'!$F:$F,0)+31+FLOOR(XLOOKUP($Q797,'Threshold Summary'!$Y:$Y,'Threshold Summary'!$P:$P,"")/4))*XLOOKUP($Q797,'Threshold Summary'!$Y:$Y,'Threshold Summary'!$L:$L,""))/100)+5)*XLOOKUP(XLOOKUP($Q797,'Threshold Summary'!$Y:$Y,'Threshold Summary'!$M:$M,""),'Nature Editor'!$A:$A,'Nature Editor'!$B:$B,1)),FLOOR((FLOOR(((2*XLOOKUP(XLOOKUP($Q797,'Threshold Summary'!$Y:$Y,'Threshold Summary'!$K:$K,""),'Pokemon Editor'!$A:$A,'Pokemon Editor'!$H:$H,0)+31+FLOOR(XLOOKUP($Q797,'Threshold Summary'!$Y:$Y,'Threshold Summary'!$R:$R,"")/4))*XLOOKUP($Q797,'Threshold Summary'!$Y:$Y,'Threshold Summary'!$L:$L,""))/100)+5)*XLOOKUP(XLOOKUP($Q797,'Threshold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Editor'!$E:$E,1))),stab,IF(OR(mtype=XLOOKUP(XLOOKUP($Q797,'Threshold Summary'!$Y:$Y,'Threshold Summary'!$K:$K,""),'Pokemon Editor'!$A:$A,'Pokemon Editor'!$C:$C,""),mtype=XLOOKUP(XLOOKUP($Q797,'Threshold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Chart'!$B$1:$S$1,0)))),base,IF(OR(cat="Status",pow=0),0,FLOOR(FLOOR(FLOOR((2*XLOOKUP($Q797,'Threshold Summary'!$Y:$Y,'Threshold Summary'!$L:$L,"")/5+2)*pow*atk/def)/50)+2)),modifier,stab*eff,AVERAGE(ARRAYFORMULA(FLOOR(base*modifier*SEQUENCE(16,1,85,1)/100)))),0)</f>
        <v/>
      </c>
      <c r="M797" s="3">
        <f>IFERROR(LET(mtype,XLOOKUP($D797,'Move Editor'!$B:$B,'Move Editor'!$C:$C,""),cat,XLOOKUP($D797,'Move Editor'!$B:$B,'Move Editor'!$D:$D,""),pow,XLOOKUP($D797,'Move Editor'!$B:$B,'Move Editor'!$E:$E,0),acc,XLOOKUP($D797,'Move Editor'!$B:$B,'Move Editor'!$F:$F,100),atk,IF(cat="Physical",FLOOR((FLOOR(((2*XLOOKUP(XLOOKUP($Q797,'Threshold Summary'!$Y:$Y,'Threshold Summary'!$K:$K,""),'Pokemon Editor'!$A:$A,'Pokemon Editor'!$F:$F,0)+31+FLOOR(XLOOKUP($Q797,'Threshold Summary'!$Y:$Y,'Threshold Summary'!$P:$P,"")/4))*XLOOKUP($Q797,'Threshold Summary'!$Y:$Y,'Threshold Summary'!$L:$L,""))/100)+5)*XLOOKUP(XLOOKUP($Q797,'Threshold Summary'!$Y:$Y,'Threshold Summary'!$M:$M,""),'Nature Editor'!$A:$A,'Nature Editor'!$B:$B,1)),FLOOR((FLOOR(((2*XLOOKUP(XLOOKUP($Q797,'Threshold Summary'!$Y:$Y,'Threshold Summary'!$K:$K,""),'Pokemon Editor'!$A:$A,'Pokemon Editor'!$H:$H,0)+31+FLOOR(XLOOKUP($Q797,'Threshold Summary'!$Y:$Y,'Threshold Summary'!$R:$R,"")/4))*XLOOKUP($Q797,'Threshold Summary'!$Y:$Y,'Threshold Summary'!$L:$L,""))/100)+5)*XLOOKUP(XLOOKUP($Q797,'Threshold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Editor'!$E:$E,1))),stab,IF(OR(mtype=XLOOKUP(XLOOKUP($Q797,'Threshold Summary'!$Y:$Y,'Threshold Summary'!$K:$K,""),'Pokemon Editor'!$A:$A,'Pokemon Editor'!$C:$C,""),mtype=XLOOKUP(XLOOKUP($Q797,'Threshold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Chart'!$B$1:$S$1,0)))),base,IF(OR(cat="Status",pow=0),0,FLOOR(FLOOR(FLOOR((2*XLOOKUP($Q797,'Threshold Summary'!$Y:$Y,'Threshold Summary'!$L:$L,"")/5+2)*pow*atk/def)/50)+2)),modifier,stab*eff,AVERAGE(ARRAYFORMULA(FLOOR(base*modifier*SEQUENCE(16,1,85,1)/100)))*MIN(1,acc/100)),0)</f>
        <v/>
      </c>
      <c r="N797" s="4">
        <f>IFERROR(LET(mtype,XLOOKUP($D797,'Move Editor'!$B:$B,'Move Editor'!$C:$C,""),cat,XLOOKUP($D797,'Move Editor'!$B:$B,'Move Editor'!$D:$D,""),pow,XLOOKUP($D797,'Move Editor'!$B:$B,'Move Editor'!$E:$E,0),acc,XLOOKUP($D797,'Move Editor'!$B:$B,'Move Editor'!$F:$F,100),atk,IF(cat="Physical",FLOOR((FLOOR(((2*XLOOKUP(XLOOKUP($Q797,'Threshold Summary'!$Y:$Y,'Threshold Summary'!$K:$K,""),'Pokemon Editor'!$A:$A,'Pokemon Editor'!$F:$F,0)+31+FLOOR(XLOOKUP($Q797,'Threshold Summary'!$Y:$Y,'Threshold Summary'!$P:$P,"")/4))*XLOOKUP($Q797,'Threshold Summary'!$Y:$Y,'Threshold Summary'!$L:$L,""))/100)+5)*XLOOKUP(XLOOKUP($Q797,'Threshold Summary'!$Y:$Y,'Threshold Summary'!$M:$M,""),'Nature Editor'!$A:$A,'Nature Editor'!$B:$B,1)),FLOOR((FLOOR(((2*XLOOKUP(XLOOKUP($Q797,'Threshold Summary'!$Y:$Y,'Threshold Summary'!$K:$K,""),'Pokemon Editor'!$A:$A,'Pokemon Editor'!$H:$H,0)+31+FLOOR(XLOOKUP($Q797,'Threshold Summary'!$Y:$Y,'Threshold Summary'!$R:$R,"")/4))*XLOOKUP($Q797,'Threshold Summary'!$Y:$Y,'Threshold Summary'!$L:$L,""))/100)+5)*XLOOKUP(XLOOKUP($Q797,'Threshold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Editor'!$E:$E,1))),stab,IF(OR(mtype=XLOOKUP(XLOOKUP($Q797,'Threshold Summary'!$Y:$Y,'Threshold Summary'!$K:$K,""),'Pokemon Editor'!$A:$A,'Pokemon Editor'!$C:$C,""),mtype=XLOOKUP(XLOOKUP($Q797,'Threshold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Chart'!$B$1:$S$1,0)))),base,IF(OR(cat="Status",pow=0),0,FLOOR(FLOOR(FLOOR((2*XLOOKUP($Q797,'Threshold Summary'!$Y:$Y,'Threshold Summary'!$L:$L,"")/5+2)*pow*atk/def)/50)+2)),modifier,stab*eff,AVERAGE(ARRAYFORMULA(FLOOR(base*modifier*SEQUENCE(16,1,85,1)/100)))/(FLOOR(((2*XLOOKUP('Boss Editor'!$C$4,'Pokemon Editor'!$A:$A,'Pokemon Editor'!$E:$E,0)+31+FLOOR('Boss Editor'!$G$4/4))*'Boss Editor'!$D$4)/100)+'Boss Editor'!$D$4+10)),0)</f>
        <v/>
      </c>
      <c r="O797" s="3">
        <f>IF(N797&gt;=1,"OHKO",IF(N797&gt;=0.5,"2HKO",IF(N797&gt;=0.333,"3HKO",IF(N797&gt;=0.25,"4HKO","5HKO+"))))</f>
        <v/>
      </c>
      <c r="P797" s="3" t="inlineStr">
        <is>
          <t>Live from editable databases</t>
        </is>
      </c>
      <c r="Q797" s="3" t="inlineStr">
        <is>
          <t>SPECIES_BOUNSWEET</t>
        </is>
      </c>
      <c r="R797" s="3" t="n">
        <v>28</v>
      </c>
    </row>
    <row r="798">
      <c r="A798" s="3">
        <f>XLOOKUP($Q798,'Threshold Summary'!$Y:$Y,'Threshold Summary'!$A:$A,"")</f>
        <v/>
      </c>
      <c r="B798" s="3">
        <f>XLOOKUP($Q798,'Threshold Summary'!$Y:$Y,'Threshold Summary'!$M:$M,"")</f>
        <v/>
      </c>
      <c r="C798" s="3">
        <f>XLOOKUP($Q798,'Threshold Summary'!$Y:$Y,'Threshold Summary'!$N:$N,"")</f>
        <v/>
      </c>
      <c r="D798" s="3">
        <f>IFERROR(INDEX(FILTER('Learnset Editor'!$D$2:$D,'Learnset Editor'!$A$2:$A=XLOOKUP($Q798,'Threshold Summary'!$Y:$Y,'Threshold Summary'!$K:$K,""),'Learnset Editor'!$C$2:$C&lt;=XLOOKUP($Q798,'Threshold Summary'!$Y:$Y,'Threshold Summary'!$L:$L,"")),$R798),"")</f>
        <v/>
      </c>
      <c r="E798" s="3">
        <f>XLOOKUP(D798,'Move Editor'!$B:$B,'Move Editor'!$C:$C,"")</f>
        <v/>
      </c>
      <c r="F798" s="3">
        <f>XLOOKUP(D798,'Move Editor'!$B:$B,'Move Editor'!$D:$D,"")</f>
        <v/>
      </c>
      <c r="G798" s="3">
        <f>XLOOKUP(D798,'Move Editor'!$B:$B,'Move Editor'!$E:$E,0)</f>
        <v/>
      </c>
      <c r="H798" s="3">
        <f>XLOOKUP(D798,'Move Editor'!$B:$B,'Move Editor'!$F:$F,0)</f>
        <v/>
      </c>
      <c r="I798" s="3">
        <f>(INDEX('Type Chart'!$B:$S,MATCH(E798,'Type Chart'!$A:$A,0),MATCH(XLOOKUP('Boss Editor'!$C$4,'Pokemon Editor'!$A:$A,'Pokemon Editor'!$C:$C,""),'Type Chart'!$B$1:$S$1,0))*IF(XLOOKUP('Boss Editor'!$C$4,'Pokemon Editor'!$A:$A,'Pokemon Editor'!$D:$D,"")="",1,INDEX('Type Chart'!$B:$S,MATCH(E798,'Type Chart'!$A:$A,0),MATCH(XLOOKUP('Boss Editor'!$C$4,'Pokemon Editor'!$A:$A,'Pokemon Editor'!$D:$D,""),'Type Chart'!$B$1:$S$1,0))))</f>
        <v/>
      </c>
      <c r="J798" s="3">
        <f>IFERROR(LET(mtype,XLOOKUP($D798,'Move Editor'!$B:$B,'Move Editor'!$C:$C,""),cat,XLOOKUP($D798,'Move Editor'!$B:$B,'Move Editor'!$D:$D,""),pow,XLOOKUP($D798,'Move Editor'!$B:$B,'Move Editor'!$E:$E,0),acc,XLOOKUP($D798,'Move Editor'!$B:$B,'Move Editor'!$F:$F,100),atk,IF(cat="Physical",FLOOR((FLOOR(((2*XLOOKUP(XLOOKUP($Q798,'Threshold Summary'!$Y:$Y,'Threshold Summary'!$K:$K,""),'Pokemon Editor'!$A:$A,'Pokemon Editor'!$F:$F,0)+31+FLOOR(XLOOKUP($Q798,'Threshold Summary'!$Y:$Y,'Threshold Summary'!$P:$P,"")/4))*XLOOKUP($Q798,'Threshold Summary'!$Y:$Y,'Threshold Summary'!$L:$L,""))/100)+5)*XLOOKUP(XLOOKUP($Q798,'Threshold Summary'!$Y:$Y,'Threshold Summary'!$M:$M,""),'Nature Editor'!$A:$A,'Nature Editor'!$B:$B,1)),FLOOR((FLOOR(((2*XLOOKUP(XLOOKUP($Q798,'Threshold Summary'!$Y:$Y,'Threshold Summary'!$K:$K,""),'Pokemon Editor'!$A:$A,'Pokemon Editor'!$H:$H,0)+31+FLOOR(XLOOKUP($Q798,'Threshold Summary'!$Y:$Y,'Threshold Summary'!$R:$R,"")/4))*XLOOKUP($Q798,'Threshold Summary'!$Y:$Y,'Threshold Summary'!$L:$L,""))/100)+5)*XLOOKUP(XLOOKUP($Q798,'Threshold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Editor'!$E:$E,1))),stab,IF(OR(mtype=XLOOKUP(XLOOKUP($Q798,'Threshold Summary'!$Y:$Y,'Threshold Summary'!$K:$K,""),'Pokemon Editor'!$A:$A,'Pokemon Editor'!$C:$C,""),mtype=XLOOKUP(XLOOKUP($Q798,'Threshold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Chart'!$B$1:$S$1,0)))),base,IF(OR(cat="Status",pow=0),0,FLOOR(FLOOR(FLOOR((2*XLOOKUP($Q798,'Threshold Summary'!$Y:$Y,'Threshold Summary'!$L:$L,"")/5+2)*pow*atk/def)/50)+2)),modifier,stab*eff,FLOOR(base*modifier*0.85)),0)</f>
        <v/>
      </c>
      <c r="K798" s="3">
        <f>IFERROR(LET(mtype,XLOOKUP($D798,'Move Editor'!$B:$B,'Move Editor'!$C:$C,""),cat,XLOOKUP($D798,'Move Editor'!$B:$B,'Move Editor'!$D:$D,""),pow,XLOOKUP($D798,'Move Editor'!$B:$B,'Move Editor'!$E:$E,0),acc,XLOOKUP($D798,'Move Editor'!$B:$B,'Move Editor'!$F:$F,100),atk,IF(cat="Physical",FLOOR((FLOOR(((2*XLOOKUP(XLOOKUP($Q798,'Threshold Summary'!$Y:$Y,'Threshold Summary'!$K:$K,""),'Pokemon Editor'!$A:$A,'Pokemon Editor'!$F:$F,0)+31+FLOOR(XLOOKUP($Q798,'Threshold Summary'!$Y:$Y,'Threshold Summary'!$P:$P,"")/4))*XLOOKUP($Q798,'Threshold Summary'!$Y:$Y,'Threshold Summary'!$L:$L,""))/100)+5)*XLOOKUP(XLOOKUP($Q798,'Threshold Summary'!$Y:$Y,'Threshold Summary'!$M:$M,""),'Nature Editor'!$A:$A,'Nature Editor'!$B:$B,1)),FLOOR((FLOOR(((2*XLOOKUP(XLOOKUP($Q798,'Threshold Summary'!$Y:$Y,'Threshold Summary'!$K:$K,""),'Pokemon Editor'!$A:$A,'Pokemon Editor'!$H:$H,0)+31+FLOOR(XLOOKUP($Q798,'Threshold Summary'!$Y:$Y,'Threshold Summary'!$R:$R,"")/4))*XLOOKUP($Q798,'Threshold Summary'!$Y:$Y,'Threshold Summary'!$L:$L,""))/100)+5)*XLOOKUP(XLOOKUP($Q798,'Threshold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Editor'!$E:$E,1))),stab,IF(OR(mtype=XLOOKUP(XLOOKUP($Q798,'Threshold Summary'!$Y:$Y,'Threshold Summary'!$K:$K,""),'Pokemon Editor'!$A:$A,'Pokemon Editor'!$C:$C,""),mtype=XLOOKUP(XLOOKUP($Q798,'Threshold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Chart'!$B$1:$S$1,0)))),base,IF(OR(cat="Status",pow=0),0,FLOOR(FLOOR(FLOOR((2*XLOOKUP($Q798,'Threshold Summary'!$Y:$Y,'Threshold Summary'!$L:$L,"")/5+2)*pow*atk/def)/50)+2)),modifier,stab*eff,FLOOR(base*modifier)),0)</f>
        <v/>
      </c>
      <c r="L798" s="3">
        <f>IFERROR(LET(mtype,XLOOKUP($D798,'Move Editor'!$B:$B,'Move Editor'!$C:$C,""),cat,XLOOKUP($D798,'Move Editor'!$B:$B,'Move Editor'!$D:$D,""),pow,XLOOKUP($D798,'Move Editor'!$B:$B,'Move Editor'!$E:$E,0),acc,XLOOKUP($D798,'Move Editor'!$B:$B,'Move Editor'!$F:$F,100),atk,IF(cat="Physical",FLOOR((FLOOR(((2*XLOOKUP(XLOOKUP($Q798,'Threshold Summary'!$Y:$Y,'Threshold Summary'!$K:$K,""),'Pokemon Editor'!$A:$A,'Pokemon Editor'!$F:$F,0)+31+FLOOR(XLOOKUP($Q798,'Threshold Summary'!$Y:$Y,'Threshold Summary'!$P:$P,"")/4))*XLOOKUP($Q798,'Threshold Summary'!$Y:$Y,'Threshold Summary'!$L:$L,""))/100)+5)*XLOOKUP(XLOOKUP($Q798,'Threshold Summary'!$Y:$Y,'Threshold Summary'!$M:$M,""),'Nature Editor'!$A:$A,'Nature Editor'!$B:$B,1)),FLOOR((FLOOR(((2*XLOOKUP(XLOOKUP($Q798,'Threshold Summary'!$Y:$Y,'Threshold Summary'!$K:$K,""),'Pokemon Editor'!$A:$A,'Pokemon Editor'!$H:$H,0)+31+FLOOR(XLOOKUP($Q798,'Threshold Summary'!$Y:$Y,'Threshold Summary'!$R:$R,"")/4))*XLOOKUP($Q798,'Threshold Summary'!$Y:$Y,'Threshold Summary'!$L:$L,""))/100)+5)*XLOOKUP(XLOOKUP($Q798,'Threshold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Editor'!$E:$E,1))),stab,IF(OR(mtype=XLOOKUP(XLOOKUP($Q798,'Threshold Summary'!$Y:$Y,'Threshold Summary'!$K:$K,""),'Pokemon Editor'!$A:$A,'Pokemon Editor'!$C:$C,""),mtype=XLOOKUP(XLOOKUP($Q798,'Threshold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Chart'!$B$1:$S$1,0)))),base,IF(OR(cat="Status",pow=0),0,FLOOR(FLOOR(FLOOR((2*XLOOKUP($Q798,'Threshold Summary'!$Y:$Y,'Threshold Summary'!$L:$L,"")/5+2)*pow*atk/def)/50)+2)),modifier,stab*eff,AVERAGE(ARRAYFORMULA(FLOOR(base*modifier*SEQUENCE(16,1,85,1)/100)))),0)</f>
        <v/>
      </c>
      <c r="M798" s="3">
        <f>IFERROR(LET(mtype,XLOOKUP($D798,'Move Editor'!$B:$B,'Move Editor'!$C:$C,""),cat,XLOOKUP($D798,'Move Editor'!$B:$B,'Move Editor'!$D:$D,""),pow,XLOOKUP($D798,'Move Editor'!$B:$B,'Move Editor'!$E:$E,0),acc,XLOOKUP($D798,'Move Editor'!$B:$B,'Move Editor'!$F:$F,100),atk,IF(cat="Physical",FLOOR((FLOOR(((2*XLOOKUP(XLOOKUP($Q798,'Threshold Summary'!$Y:$Y,'Threshold Summary'!$K:$K,""),'Pokemon Editor'!$A:$A,'Pokemon Editor'!$F:$F,0)+31+FLOOR(XLOOKUP($Q798,'Threshold Summary'!$Y:$Y,'Threshold Summary'!$P:$P,"")/4))*XLOOKUP($Q798,'Threshold Summary'!$Y:$Y,'Threshold Summary'!$L:$L,""))/100)+5)*XLOOKUP(XLOOKUP($Q798,'Threshold Summary'!$Y:$Y,'Threshold Summary'!$M:$M,""),'Nature Editor'!$A:$A,'Nature Editor'!$B:$B,1)),FLOOR((FLOOR(((2*XLOOKUP(XLOOKUP($Q798,'Threshold Summary'!$Y:$Y,'Threshold Summary'!$K:$K,""),'Pokemon Editor'!$A:$A,'Pokemon Editor'!$H:$H,0)+31+FLOOR(XLOOKUP($Q798,'Threshold Summary'!$Y:$Y,'Threshold Summary'!$R:$R,"")/4))*XLOOKUP($Q798,'Threshold Summary'!$Y:$Y,'Threshold Summary'!$L:$L,""))/100)+5)*XLOOKUP(XLOOKUP($Q798,'Threshold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Editor'!$E:$E,1))),stab,IF(OR(mtype=XLOOKUP(XLOOKUP($Q798,'Threshold Summary'!$Y:$Y,'Threshold Summary'!$K:$K,""),'Pokemon Editor'!$A:$A,'Pokemon Editor'!$C:$C,""),mtype=XLOOKUP(XLOOKUP($Q798,'Threshold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Chart'!$B$1:$S$1,0)))),base,IF(OR(cat="Status",pow=0),0,FLOOR(FLOOR(FLOOR((2*XLOOKUP($Q798,'Threshold Summary'!$Y:$Y,'Threshold Summary'!$L:$L,"")/5+2)*pow*atk/def)/50)+2)),modifier,stab*eff,AVERAGE(ARRAYFORMULA(FLOOR(base*modifier*SEQUENCE(16,1,85,1)/100)))*MIN(1,acc/100)),0)</f>
        <v/>
      </c>
      <c r="N798" s="4">
        <f>IFERROR(LET(mtype,XLOOKUP($D798,'Move Editor'!$B:$B,'Move Editor'!$C:$C,""),cat,XLOOKUP($D798,'Move Editor'!$B:$B,'Move Editor'!$D:$D,""),pow,XLOOKUP($D798,'Move Editor'!$B:$B,'Move Editor'!$E:$E,0),acc,XLOOKUP($D798,'Move Editor'!$B:$B,'Move Editor'!$F:$F,100),atk,IF(cat="Physical",FLOOR((FLOOR(((2*XLOOKUP(XLOOKUP($Q798,'Threshold Summary'!$Y:$Y,'Threshold Summary'!$K:$K,""),'Pokemon Editor'!$A:$A,'Pokemon Editor'!$F:$F,0)+31+FLOOR(XLOOKUP($Q798,'Threshold Summary'!$Y:$Y,'Threshold Summary'!$P:$P,"")/4))*XLOOKUP($Q798,'Threshold Summary'!$Y:$Y,'Threshold Summary'!$L:$L,""))/100)+5)*XLOOKUP(XLOOKUP($Q798,'Threshold Summary'!$Y:$Y,'Threshold Summary'!$M:$M,""),'Nature Editor'!$A:$A,'Nature Editor'!$B:$B,1)),FLOOR((FLOOR(((2*XLOOKUP(XLOOKUP($Q798,'Threshold Summary'!$Y:$Y,'Threshold Summary'!$K:$K,""),'Pokemon Editor'!$A:$A,'Pokemon Editor'!$H:$H,0)+31+FLOOR(XLOOKUP($Q798,'Threshold Summary'!$Y:$Y,'Threshold Summary'!$R:$R,"")/4))*XLOOKUP($Q798,'Threshold Summary'!$Y:$Y,'Threshold Summary'!$L:$L,""))/100)+5)*XLOOKUP(XLOOKUP($Q798,'Threshold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Editor'!$E:$E,1))),stab,IF(OR(mtype=XLOOKUP(XLOOKUP($Q798,'Threshold Summary'!$Y:$Y,'Threshold Summary'!$K:$K,""),'Pokemon Editor'!$A:$A,'Pokemon Editor'!$C:$C,""),mtype=XLOOKUP(XLOOKUP($Q798,'Threshold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Chart'!$B$1:$S$1,0)))),base,IF(OR(cat="Status",pow=0),0,FLOOR(FLOOR(FLOOR((2*XLOOKUP($Q798,'Threshold Summary'!$Y:$Y,'Threshold Summary'!$L:$L,"")/5+2)*pow*atk/def)/50)+2)),modifier,stab*eff,AVERAGE(ARRAYFORMULA(FLOOR(base*modifier*SEQUENCE(16,1,85,1)/100)))/(FLOOR(((2*XLOOKUP('Boss Editor'!$C$4,'Pokemon Editor'!$A:$A,'Pokemon Editor'!$E:$E,0)+31+FLOOR('Boss Editor'!$G$4/4))*'Boss Editor'!$D$4)/100)+'Boss Editor'!$D$4+10)),0)</f>
        <v/>
      </c>
      <c r="O798" s="3">
        <f>IF(N798&gt;=1,"OHKO",IF(N798&gt;=0.5,"2HKO",IF(N798&gt;=0.333,"3HKO",IF(N798&gt;=0.25,"4HKO","5HKO+"))))</f>
        <v/>
      </c>
      <c r="P798" s="3" t="inlineStr">
        <is>
          <t>Live from editable databases</t>
        </is>
      </c>
      <c r="Q798" s="3" t="inlineStr">
        <is>
          <t>SPECIES_BOUNSWEET</t>
        </is>
      </c>
      <c r="R798" s="3" t="n">
        <v>29</v>
      </c>
    </row>
    <row r="799">
      <c r="A799" s="3">
        <f>XLOOKUP($Q799,'Threshold Summary'!$Y:$Y,'Threshold Summary'!$A:$A,"")</f>
        <v/>
      </c>
      <c r="B799" s="3">
        <f>XLOOKUP($Q799,'Threshold Summary'!$Y:$Y,'Threshold Summary'!$M:$M,"")</f>
        <v/>
      </c>
      <c r="C799" s="3">
        <f>XLOOKUP($Q799,'Threshold Summary'!$Y:$Y,'Threshold Summary'!$N:$N,"")</f>
        <v/>
      </c>
      <c r="D799" s="3">
        <f>IFERROR(INDEX(FILTER('Learnset Editor'!$D$2:$D,'Learnset Editor'!$A$2:$A=XLOOKUP($Q799,'Threshold Summary'!$Y:$Y,'Threshold Summary'!$K:$K,""),'Learnset Editor'!$C$2:$C&lt;=XLOOKUP($Q799,'Threshold Summary'!$Y:$Y,'Threshold Summary'!$L:$L,"")),$R799),"")</f>
        <v/>
      </c>
      <c r="E799" s="3">
        <f>XLOOKUP(D799,'Move Editor'!$B:$B,'Move Editor'!$C:$C,"")</f>
        <v/>
      </c>
      <c r="F799" s="3">
        <f>XLOOKUP(D799,'Move Editor'!$B:$B,'Move Editor'!$D:$D,"")</f>
        <v/>
      </c>
      <c r="G799" s="3">
        <f>XLOOKUP(D799,'Move Editor'!$B:$B,'Move Editor'!$E:$E,0)</f>
        <v/>
      </c>
      <c r="H799" s="3">
        <f>XLOOKUP(D799,'Move Editor'!$B:$B,'Move Editor'!$F:$F,0)</f>
        <v/>
      </c>
      <c r="I799" s="3">
        <f>(INDEX('Type Chart'!$B:$S,MATCH(E799,'Type Chart'!$A:$A,0),MATCH(XLOOKUP('Boss Editor'!$C$4,'Pokemon Editor'!$A:$A,'Pokemon Editor'!$C:$C,""),'Type Chart'!$B$1:$S$1,0))*IF(XLOOKUP('Boss Editor'!$C$4,'Pokemon Editor'!$A:$A,'Pokemon Editor'!$D:$D,"")="",1,INDEX('Type Chart'!$B:$S,MATCH(E799,'Type Chart'!$A:$A,0),MATCH(XLOOKUP('Boss Editor'!$C$4,'Pokemon Editor'!$A:$A,'Pokemon Editor'!$D:$D,""),'Type Chart'!$B$1:$S$1,0))))</f>
        <v/>
      </c>
      <c r="J799" s="3">
        <f>IFERROR(LET(mtype,XLOOKUP($D799,'Move Editor'!$B:$B,'Move Editor'!$C:$C,""),cat,XLOOKUP($D799,'Move Editor'!$B:$B,'Move Editor'!$D:$D,""),pow,XLOOKUP($D799,'Move Editor'!$B:$B,'Move Editor'!$E:$E,0),acc,XLOOKUP($D799,'Move Editor'!$B:$B,'Move Editor'!$F:$F,100),atk,IF(cat="Physical",FLOOR((FLOOR(((2*XLOOKUP(XLOOKUP($Q799,'Threshold Summary'!$Y:$Y,'Threshold Summary'!$K:$K,""),'Pokemon Editor'!$A:$A,'Pokemon Editor'!$F:$F,0)+31+FLOOR(XLOOKUP($Q799,'Threshold Summary'!$Y:$Y,'Threshold Summary'!$P:$P,"")/4))*XLOOKUP($Q799,'Threshold Summary'!$Y:$Y,'Threshold Summary'!$L:$L,""))/100)+5)*XLOOKUP(XLOOKUP($Q799,'Threshold Summary'!$Y:$Y,'Threshold Summary'!$M:$M,""),'Nature Editor'!$A:$A,'Nature Editor'!$B:$B,1)),FLOOR((FLOOR(((2*XLOOKUP(XLOOKUP($Q799,'Threshold Summary'!$Y:$Y,'Threshold Summary'!$K:$K,""),'Pokemon Editor'!$A:$A,'Pokemon Editor'!$H:$H,0)+31+FLOOR(XLOOKUP($Q799,'Threshold Summary'!$Y:$Y,'Threshold Summary'!$R:$R,"")/4))*XLOOKUP($Q799,'Threshold Summary'!$Y:$Y,'Threshold Summary'!$L:$L,""))/100)+5)*XLOOKUP(XLOOKUP($Q799,'Threshold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Editor'!$E:$E,1))),stab,IF(OR(mtype=XLOOKUP(XLOOKUP($Q799,'Threshold Summary'!$Y:$Y,'Threshold Summary'!$K:$K,""),'Pokemon Editor'!$A:$A,'Pokemon Editor'!$C:$C,""),mtype=XLOOKUP(XLOOKUP($Q799,'Threshold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Chart'!$B$1:$S$1,0)))),base,IF(OR(cat="Status",pow=0),0,FLOOR(FLOOR(FLOOR((2*XLOOKUP($Q799,'Threshold Summary'!$Y:$Y,'Threshold Summary'!$L:$L,"")/5+2)*pow*atk/def)/50)+2)),modifier,stab*eff,FLOOR(base*modifier*0.85)),0)</f>
        <v/>
      </c>
      <c r="K799" s="3">
        <f>IFERROR(LET(mtype,XLOOKUP($D799,'Move Editor'!$B:$B,'Move Editor'!$C:$C,""),cat,XLOOKUP($D799,'Move Editor'!$B:$B,'Move Editor'!$D:$D,""),pow,XLOOKUP($D799,'Move Editor'!$B:$B,'Move Editor'!$E:$E,0),acc,XLOOKUP($D799,'Move Editor'!$B:$B,'Move Editor'!$F:$F,100),atk,IF(cat="Physical",FLOOR((FLOOR(((2*XLOOKUP(XLOOKUP($Q799,'Threshold Summary'!$Y:$Y,'Threshold Summary'!$K:$K,""),'Pokemon Editor'!$A:$A,'Pokemon Editor'!$F:$F,0)+31+FLOOR(XLOOKUP($Q799,'Threshold Summary'!$Y:$Y,'Threshold Summary'!$P:$P,"")/4))*XLOOKUP($Q799,'Threshold Summary'!$Y:$Y,'Threshold Summary'!$L:$L,""))/100)+5)*XLOOKUP(XLOOKUP($Q799,'Threshold Summary'!$Y:$Y,'Threshold Summary'!$M:$M,""),'Nature Editor'!$A:$A,'Nature Editor'!$B:$B,1)),FLOOR((FLOOR(((2*XLOOKUP(XLOOKUP($Q799,'Threshold Summary'!$Y:$Y,'Threshold Summary'!$K:$K,""),'Pokemon Editor'!$A:$A,'Pokemon Editor'!$H:$H,0)+31+FLOOR(XLOOKUP($Q799,'Threshold Summary'!$Y:$Y,'Threshold Summary'!$R:$R,"")/4))*XLOOKUP($Q799,'Threshold Summary'!$Y:$Y,'Threshold Summary'!$L:$L,""))/100)+5)*XLOOKUP(XLOOKUP($Q799,'Threshold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Editor'!$E:$E,1))),stab,IF(OR(mtype=XLOOKUP(XLOOKUP($Q799,'Threshold Summary'!$Y:$Y,'Threshold Summary'!$K:$K,""),'Pokemon Editor'!$A:$A,'Pokemon Editor'!$C:$C,""),mtype=XLOOKUP(XLOOKUP($Q799,'Threshold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Chart'!$B$1:$S$1,0)))),base,IF(OR(cat="Status",pow=0),0,FLOOR(FLOOR(FLOOR((2*XLOOKUP($Q799,'Threshold Summary'!$Y:$Y,'Threshold Summary'!$L:$L,"")/5+2)*pow*atk/def)/50)+2)),modifier,stab*eff,FLOOR(base*modifier)),0)</f>
        <v/>
      </c>
      <c r="L799" s="3">
        <f>IFERROR(LET(mtype,XLOOKUP($D799,'Move Editor'!$B:$B,'Move Editor'!$C:$C,""),cat,XLOOKUP($D799,'Move Editor'!$B:$B,'Move Editor'!$D:$D,""),pow,XLOOKUP($D799,'Move Editor'!$B:$B,'Move Editor'!$E:$E,0),acc,XLOOKUP($D799,'Move Editor'!$B:$B,'Move Editor'!$F:$F,100),atk,IF(cat="Physical",FLOOR((FLOOR(((2*XLOOKUP(XLOOKUP($Q799,'Threshold Summary'!$Y:$Y,'Threshold Summary'!$K:$K,""),'Pokemon Editor'!$A:$A,'Pokemon Editor'!$F:$F,0)+31+FLOOR(XLOOKUP($Q799,'Threshold Summary'!$Y:$Y,'Threshold Summary'!$P:$P,"")/4))*XLOOKUP($Q799,'Threshold Summary'!$Y:$Y,'Threshold Summary'!$L:$L,""))/100)+5)*XLOOKUP(XLOOKUP($Q799,'Threshold Summary'!$Y:$Y,'Threshold Summary'!$M:$M,""),'Nature Editor'!$A:$A,'Nature Editor'!$B:$B,1)),FLOOR((FLOOR(((2*XLOOKUP(XLOOKUP($Q799,'Threshold Summary'!$Y:$Y,'Threshold Summary'!$K:$K,""),'Pokemon Editor'!$A:$A,'Pokemon Editor'!$H:$H,0)+31+FLOOR(XLOOKUP($Q799,'Threshold Summary'!$Y:$Y,'Threshold Summary'!$R:$R,"")/4))*XLOOKUP($Q799,'Threshold Summary'!$Y:$Y,'Threshold Summary'!$L:$L,""))/100)+5)*XLOOKUP(XLOOKUP($Q799,'Threshold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Editor'!$E:$E,1))),stab,IF(OR(mtype=XLOOKUP(XLOOKUP($Q799,'Threshold Summary'!$Y:$Y,'Threshold Summary'!$K:$K,""),'Pokemon Editor'!$A:$A,'Pokemon Editor'!$C:$C,""),mtype=XLOOKUP(XLOOKUP($Q799,'Threshold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Chart'!$B$1:$S$1,0)))),base,IF(OR(cat="Status",pow=0),0,FLOOR(FLOOR(FLOOR((2*XLOOKUP($Q799,'Threshold Summary'!$Y:$Y,'Threshold Summary'!$L:$L,"")/5+2)*pow*atk/def)/50)+2)),modifier,stab*eff,AVERAGE(ARRAYFORMULA(FLOOR(base*modifier*SEQUENCE(16,1,85,1)/100)))),0)</f>
        <v/>
      </c>
      <c r="M799" s="3">
        <f>IFERROR(LET(mtype,XLOOKUP($D799,'Move Editor'!$B:$B,'Move Editor'!$C:$C,""),cat,XLOOKUP($D799,'Move Editor'!$B:$B,'Move Editor'!$D:$D,""),pow,XLOOKUP($D799,'Move Editor'!$B:$B,'Move Editor'!$E:$E,0),acc,XLOOKUP($D799,'Move Editor'!$B:$B,'Move Editor'!$F:$F,100),atk,IF(cat="Physical",FLOOR((FLOOR(((2*XLOOKUP(XLOOKUP($Q799,'Threshold Summary'!$Y:$Y,'Threshold Summary'!$K:$K,""),'Pokemon Editor'!$A:$A,'Pokemon Editor'!$F:$F,0)+31+FLOOR(XLOOKUP($Q799,'Threshold Summary'!$Y:$Y,'Threshold Summary'!$P:$P,"")/4))*XLOOKUP($Q799,'Threshold Summary'!$Y:$Y,'Threshold Summary'!$L:$L,""))/100)+5)*XLOOKUP(XLOOKUP($Q799,'Threshold Summary'!$Y:$Y,'Threshold Summary'!$M:$M,""),'Nature Editor'!$A:$A,'Nature Editor'!$B:$B,1)),FLOOR((FLOOR(((2*XLOOKUP(XLOOKUP($Q799,'Threshold Summary'!$Y:$Y,'Threshold Summary'!$K:$K,""),'Pokemon Editor'!$A:$A,'Pokemon Editor'!$H:$H,0)+31+FLOOR(XLOOKUP($Q799,'Threshold Summary'!$Y:$Y,'Threshold Summary'!$R:$R,"")/4))*XLOOKUP($Q799,'Threshold Summary'!$Y:$Y,'Threshold Summary'!$L:$L,""))/100)+5)*XLOOKUP(XLOOKUP($Q799,'Threshold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Editor'!$E:$E,1))),stab,IF(OR(mtype=XLOOKUP(XLOOKUP($Q799,'Threshold Summary'!$Y:$Y,'Threshold Summary'!$K:$K,""),'Pokemon Editor'!$A:$A,'Pokemon Editor'!$C:$C,""),mtype=XLOOKUP(XLOOKUP($Q799,'Threshold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Chart'!$B$1:$S$1,0)))),base,IF(OR(cat="Status",pow=0),0,FLOOR(FLOOR(FLOOR((2*XLOOKUP($Q799,'Threshold Summary'!$Y:$Y,'Threshold Summary'!$L:$L,"")/5+2)*pow*atk/def)/50)+2)),modifier,stab*eff,AVERAGE(ARRAYFORMULA(FLOOR(base*modifier*SEQUENCE(16,1,85,1)/100)))*MIN(1,acc/100)),0)</f>
        <v/>
      </c>
      <c r="N799" s="4">
        <f>IFERROR(LET(mtype,XLOOKUP($D799,'Move Editor'!$B:$B,'Move Editor'!$C:$C,""),cat,XLOOKUP($D799,'Move Editor'!$B:$B,'Move Editor'!$D:$D,""),pow,XLOOKUP($D799,'Move Editor'!$B:$B,'Move Editor'!$E:$E,0),acc,XLOOKUP($D799,'Move Editor'!$B:$B,'Move Editor'!$F:$F,100),atk,IF(cat="Physical",FLOOR((FLOOR(((2*XLOOKUP(XLOOKUP($Q799,'Threshold Summary'!$Y:$Y,'Threshold Summary'!$K:$K,""),'Pokemon Editor'!$A:$A,'Pokemon Editor'!$F:$F,0)+31+FLOOR(XLOOKUP($Q799,'Threshold Summary'!$Y:$Y,'Threshold Summary'!$P:$P,"")/4))*XLOOKUP($Q799,'Threshold Summary'!$Y:$Y,'Threshold Summary'!$L:$L,""))/100)+5)*XLOOKUP(XLOOKUP($Q799,'Threshold Summary'!$Y:$Y,'Threshold Summary'!$M:$M,""),'Nature Editor'!$A:$A,'Nature Editor'!$B:$B,1)),FLOOR((FLOOR(((2*XLOOKUP(XLOOKUP($Q799,'Threshold Summary'!$Y:$Y,'Threshold Summary'!$K:$K,""),'Pokemon Editor'!$A:$A,'Pokemon Editor'!$H:$H,0)+31+FLOOR(XLOOKUP($Q799,'Threshold Summary'!$Y:$Y,'Threshold Summary'!$R:$R,"")/4))*XLOOKUP($Q799,'Threshold Summary'!$Y:$Y,'Threshold Summary'!$L:$L,""))/100)+5)*XLOOKUP(XLOOKUP($Q799,'Threshold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Editor'!$E:$E,1))),stab,IF(OR(mtype=XLOOKUP(XLOOKUP($Q799,'Threshold Summary'!$Y:$Y,'Threshold Summary'!$K:$K,""),'Pokemon Editor'!$A:$A,'Pokemon Editor'!$C:$C,""),mtype=XLOOKUP(XLOOKUP($Q799,'Threshold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Chart'!$B$1:$S$1,0)))),base,IF(OR(cat="Status",pow=0),0,FLOOR(FLOOR(FLOOR((2*XLOOKUP($Q799,'Threshold Summary'!$Y:$Y,'Threshold Summary'!$L:$L,"")/5+2)*pow*atk/def)/50)+2)),modifier,stab*eff,AVERAGE(ARRAYFORMULA(FLOOR(base*modifier*SEQUENCE(16,1,85,1)/100)))/(FLOOR(((2*XLOOKUP('Boss Editor'!$C$4,'Pokemon Editor'!$A:$A,'Pokemon Editor'!$E:$E,0)+31+FLOOR('Boss Editor'!$G$4/4))*'Boss Editor'!$D$4)/100)+'Boss Editor'!$D$4+10)),0)</f>
        <v/>
      </c>
      <c r="O799" s="3">
        <f>IF(N799&gt;=1,"OHKO",IF(N799&gt;=0.5,"2HKO",IF(N799&gt;=0.333,"3HKO",IF(N799&gt;=0.25,"4HKO","5HKO+"))))</f>
        <v/>
      </c>
      <c r="P799" s="3" t="inlineStr">
        <is>
          <t>Live from editable databases</t>
        </is>
      </c>
      <c r="Q799" s="3" t="inlineStr">
        <is>
          <t>SPECIES_BOUNSWEET</t>
        </is>
      </c>
      <c r="R799" s="3" t="n">
        <v>30</v>
      </c>
    </row>
    <row r="800">
      <c r="A800" s="3">
        <f>XLOOKUP($Q800,'Threshold Summary'!$Y:$Y,'Threshold Summary'!$A:$A,"")</f>
        <v/>
      </c>
      <c r="B800" s="3">
        <f>XLOOKUP($Q800,'Threshold Summary'!$Y:$Y,'Threshold Summary'!$M:$M,"")</f>
        <v/>
      </c>
      <c r="C800" s="3">
        <f>XLOOKUP($Q800,'Threshold Summary'!$Y:$Y,'Threshold Summary'!$N:$N,"")</f>
        <v/>
      </c>
      <c r="D800" s="3">
        <f>IFERROR(INDEX(FILTER('Learnset Editor'!$D$2:$D,'Learnset Editor'!$A$2:$A=XLOOKUP($Q800,'Threshold Summary'!$Y:$Y,'Threshold Summary'!$K:$K,""),'Learnset Editor'!$C$2:$C&lt;=XLOOKUP($Q800,'Threshold Summary'!$Y:$Y,'Threshold Summary'!$L:$L,"")),$R800),"")</f>
        <v/>
      </c>
      <c r="E800" s="3">
        <f>XLOOKUP(D800,'Move Editor'!$B:$B,'Move Editor'!$C:$C,"")</f>
        <v/>
      </c>
      <c r="F800" s="3">
        <f>XLOOKUP(D800,'Move Editor'!$B:$B,'Move Editor'!$D:$D,"")</f>
        <v/>
      </c>
      <c r="G800" s="3">
        <f>XLOOKUP(D800,'Move Editor'!$B:$B,'Move Editor'!$E:$E,0)</f>
        <v/>
      </c>
      <c r="H800" s="3">
        <f>XLOOKUP(D800,'Move Editor'!$B:$B,'Move Editor'!$F:$F,0)</f>
        <v/>
      </c>
      <c r="I800" s="3">
        <f>(INDEX('Type Chart'!$B:$S,MATCH(E800,'Type Chart'!$A:$A,0),MATCH(XLOOKUP('Boss Editor'!$C$4,'Pokemon Editor'!$A:$A,'Pokemon Editor'!$C:$C,""),'Type Chart'!$B$1:$S$1,0))*IF(XLOOKUP('Boss Editor'!$C$4,'Pokemon Editor'!$A:$A,'Pokemon Editor'!$D:$D,"")="",1,INDEX('Type Chart'!$B:$S,MATCH(E800,'Type Chart'!$A:$A,0),MATCH(XLOOKUP('Boss Editor'!$C$4,'Pokemon Editor'!$A:$A,'Pokemon Editor'!$D:$D,""),'Type Chart'!$B$1:$S$1,0))))</f>
        <v/>
      </c>
      <c r="J800" s="3">
        <f>IFERROR(LET(mtype,XLOOKUP($D800,'Move Editor'!$B:$B,'Move Editor'!$C:$C,""),cat,XLOOKUP($D800,'Move Editor'!$B:$B,'Move Editor'!$D:$D,""),pow,XLOOKUP($D800,'Move Editor'!$B:$B,'Move Editor'!$E:$E,0),acc,XLOOKUP($D800,'Move Editor'!$B:$B,'Move Editor'!$F:$F,100),atk,IF(cat="Physical",FLOOR((FLOOR(((2*XLOOKUP(XLOOKUP($Q800,'Threshold Summary'!$Y:$Y,'Threshold Summary'!$K:$K,""),'Pokemon Editor'!$A:$A,'Pokemon Editor'!$F:$F,0)+31+FLOOR(XLOOKUP($Q800,'Threshold Summary'!$Y:$Y,'Threshold Summary'!$P:$P,"")/4))*XLOOKUP($Q800,'Threshold Summary'!$Y:$Y,'Threshold Summary'!$L:$L,""))/100)+5)*XLOOKUP(XLOOKUP($Q800,'Threshold Summary'!$Y:$Y,'Threshold Summary'!$M:$M,""),'Nature Editor'!$A:$A,'Nature Editor'!$B:$B,1)),FLOOR((FLOOR(((2*XLOOKUP(XLOOKUP($Q800,'Threshold Summary'!$Y:$Y,'Threshold Summary'!$K:$K,""),'Pokemon Editor'!$A:$A,'Pokemon Editor'!$H:$H,0)+31+FLOOR(XLOOKUP($Q800,'Threshold Summary'!$Y:$Y,'Threshold Summary'!$R:$R,"")/4))*XLOOKUP($Q800,'Threshold Summary'!$Y:$Y,'Threshold Summary'!$L:$L,""))/100)+5)*XLOOKUP(XLOOKUP($Q800,'Threshold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Editor'!$E:$E,1))),stab,IF(OR(mtype=XLOOKUP(XLOOKUP($Q800,'Threshold Summary'!$Y:$Y,'Threshold Summary'!$K:$K,""),'Pokemon Editor'!$A:$A,'Pokemon Editor'!$C:$C,""),mtype=XLOOKUP(XLOOKUP($Q800,'Threshold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Chart'!$B$1:$S$1,0)))),base,IF(OR(cat="Status",pow=0),0,FLOOR(FLOOR(FLOOR((2*XLOOKUP($Q800,'Threshold Summary'!$Y:$Y,'Threshold Summary'!$L:$L,"")/5+2)*pow*atk/def)/50)+2)),modifier,stab*eff,FLOOR(base*modifier*0.85)),0)</f>
        <v/>
      </c>
      <c r="K800" s="3">
        <f>IFERROR(LET(mtype,XLOOKUP($D800,'Move Editor'!$B:$B,'Move Editor'!$C:$C,""),cat,XLOOKUP($D800,'Move Editor'!$B:$B,'Move Editor'!$D:$D,""),pow,XLOOKUP($D800,'Move Editor'!$B:$B,'Move Editor'!$E:$E,0),acc,XLOOKUP($D800,'Move Editor'!$B:$B,'Move Editor'!$F:$F,100),atk,IF(cat="Physical",FLOOR((FLOOR(((2*XLOOKUP(XLOOKUP($Q800,'Threshold Summary'!$Y:$Y,'Threshold Summary'!$K:$K,""),'Pokemon Editor'!$A:$A,'Pokemon Editor'!$F:$F,0)+31+FLOOR(XLOOKUP($Q800,'Threshold Summary'!$Y:$Y,'Threshold Summary'!$P:$P,"")/4))*XLOOKUP($Q800,'Threshold Summary'!$Y:$Y,'Threshold Summary'!$L:$L,""))/100)+5)*XLOOKUP(XLOOKUP($Q800,'Threshold Summary'!$Y:$Y,'Threshold Summary'!$M:$M,""),'Nature Editor'!$A:$A,'Nature Editor'!$B:$B,1)),FLOOR((FLOOR(((2*XLOOKUP(XLOOKUP($Q800,'Threshold Summary'!$Y:$Y,'Threshold Summary'!$K:$K,""),'Pokemon Editor'!$A:$A,'Pokemon Editor'!$H:$H,0)+31+FLOOR(XLOOKUP($Q800,'Threshold Summary'!$Y:$Y,'Threshold Summary'!$R:$R,"")/4))*XLOOKUP($Q800,'Threshold Summary'!$Y:$Y,'Threshold Summary'!$L:$L,""))/100)+5)*XLOOKUP(XLOOKUP($Q800,'Threshold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Editor'!$E:$E,1))),stab,IF(OR(mtype=XLOOKUP(XLOOKUP($Q800,'Threshold Summary'!$Y:$Y,'Threshold Summary'!$K:$K,""),'Pokemon Editor'!$A:$A,'Pokemon Editor'!$C:$C,""),mtype=XLOOKUP(XLOOKUP($Q800,'Threshold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Chart'!$B$1:$S$1,0)))),base,IF(OR(cat="Status",pow=0),0,FLOOR(FLOOR(FLOOR((2*XLOOKUP($Q800,'Threshold Summary'!$Y:$Y,'Threshold Summary'!$L:$L,"")/5+2)*pow*atk/def)/50)+2)),modifier,stab*eff,FLOOR(base*modifier)),0)</f>
        <v/>
      </c>
      <c r="L800" s="3">
        <f>IFERROR(LET(mtype,XLOOKUP($D800,'Move Editor'!$B:$B,'Move Editor'!$C:$C,""),cat,XLOOKUP($D800,'Move Editor'!$B:$B,'Move Editor'!$D:$D,""),pow,XLOOKUP($D800,'Move Editor'!$B:$B,'Move Editor'!$E:$E,0),acc,XLOOKUP($D800,'Move Editor'!$B:$B,'Move Editor'!$F:$F,100),atk,IF(cat="Physical",FLOOR((FLOOR(((2*XLOOKUP(XLOOKUP($Q800,'Threshold Summary'!$Y:$Y,'Threshold Summary'!$K:$K,""),'Pokemon Editor'!$A:$A,'Pokemon Editor'!$F:$F,0)+31+FLOOR(XLOOKUP($Q800,'Threshold Summary'!$Y:$Y,'Threshold Summary'!$P:$P,"")/4))*XLOOKUP($Q800,'Threshold Summary'!$Y:$Y,'Threshold Summary'!$L:$L,""))/100)+5)*XLOOKUP(XLOOKUP($Q800,'Threshold Summary'!$Y:$Y,'Threshold Summary'!$M:$M,""),'Nature Editor'!$A:$A,'Nature Editor'!$B:$B,1)),FLOOR((FLOOR(((2*XLOOKUP(XLOOKUP($Q800,'Threshold Summary'!$Y:$Y,'Threshold Summary'!$K:$K,""),'Pokemon Editor'!$A:$A,'Pokemon Editor'!$H:$H,0)+31+FLOOR(XLOOKUP($Q800,'Threshold Summary'!$Y:$Y,'Threshold Summary'!$R:$R,"")/4))*XLOOKUP($Q800,'Threshold Summary'!$Y:$Y,'Threshold Summary'!$L:$L,""))/100)+5)*XLOOKUP(XLOOKUP($Q800,'Threshold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Editor'!$E:$E,1))),stab,IF(OR(mtype=XLOOKUP(XLOOKUP($Q800,'Threshold Summary'!$Y:$Y,'Threshold Summary'!$K:$K,""),'Pokemon Editor'!$A:$A,'Pokemon Editor'!$C:$C,""),mtype=XLOOKUP(XLOOKUP($Q800,'Threshold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Chart'!$B$1:$S$1,0)))),base,IF(OR(cat="Status",pow=0),0,FLOOR(FLOOR(FLOOR((2*XLOOKUP($Q800,'Threshold Summary'!$Y:$Y,'Threshold Summary'!$L:$L,"")/5+2)*pow*atk/def)/50)+2)),modifier,stab*eff,AVERAGE(ARRAYFORMULA(FLOOR(base*modifier*SEQUENCE(16,1,85,1)/100)))),0)</f>
        <v/>
      </c>
      <c r="M800" s="3">
        <f>IFERROR(LET(mtype,XLOOKUP($D800,'Move Editor'!$B:$B,'Move Editor'!$C:$C,""),cat,XLOOKUP($D800,'Move Editor'!$B:$B,'Move Editor'!$D:$D,""),pow,XLOOKUP($D800,'Move Editor'!$B:$B,'Move Editor'!$E:$E,0),acc,XLOOKUP($D800,'Move Editor'!$B:$B,'Move Editor'!$F:$F,100),atk,IF(cat="Physical",FLOOR((FLOOR(((2*XLOOKUP(XLOOKUP($Q800,'Threshold Summary'!$Y:$Y,'Threshold Summary'!$K:$K,""),'Pokemon Editor'!$A:$A,'Pokemon Editor'!$F:$F,0)+31+FLOOR(XLOOKUP($Q800,'Threshold Summary'!$Y:$Y,'Threshold Summary'!$P:$P,"")/4))*XLOOKUP($Q800,'Threshold Summary'!$Y:$Y,'Threshold Summary'!$L:$L,""))/100)+5)*XLOOKUP(XLOOKUP($Q800,'Threshold Summary'!$Y:$Y,'Threshold Summary'!$M:$M,""),'Nature Editor'!$A:$A,'Nature Editor'!$B:$B,1)),FLOOR((FLOOR(((2*XLOOKUP(XLOOKUP($Q800,'Threshold Summary'!$Y:$Y,'Threshold Summary'!$K:$K,""),'Pokemon Editor'!$A:$A,'Pokemon Editor'!$H:$H,0)+31+FLOOR(XLOOKUP($Q800,'Threshold Summary'!$Y:$Y,'Threshold Summary'!$R:$R,"")/4))*XLOOKUP($Q800,'Threshold Summary'!$Y:$Y,'Threshold Summary'!$L:$L,""))/100)+5)*XLOOKUP(XLOOKUP($Q800,'Threshold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Editor'!$E:$E,1))),stab,IF(OR(mtype=XLOOKUP(XLOOKUP($Q800,'Threshold Summary'!$Y:$Y,'Threshold Summary'!$K:$K,""),'Pokemon Editor'!$A:$A,'Pokemon Editor'!$C:$C,""),mtype=XLOOKUP(XLOOKUP($Q800,'Threshold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Chart'!$B$1:$S$1,0)))),base,IF(OR(cat="Status",pow=0),0,FLOOR(FLOOR(FLOOR((2*XLOOKUP($Q800,'Threshold Summary'!$Y:$Y,'Threshold Summary'!$L:$L,"")/5+2)*pow*atk/def)/50)+2)),modifier,stab*eff,AVERAGE(ARRAYFORMULA(FLOOR(base*modifier*SEQUENCE(16,1,85,1)/100)))*MIN(1,acc/100)),0)</f>
        <v/>
      </c>
      <c r="N800" s="4">
        <f>IFERROR(LET(mtype,XLOOKUP($D800,'Move Editor'!$B:$B,'Move Editor'!$C:$C,""),cat,XLOOKUP($D800,'Move Editor'!$B:$B,'Move Editor'!$D:$D,""),pow,XLOOKUP($D800,'Move Editor'!$B:$B,'Move Editor'!$E:$E,0),acc,XLOOKUP($D800,'Move Editor'!$B:$B,'Move Editor'!$F:$F,100),atk,IF(cat="Physical",FLOOR((FLOOR(((2*XLOOKUP(XLOOKUP($Q800,'Threshold Summary'!$Y:$Y,'Threshold Summary'!$K:$K,""),'Pokemon Editor'!$A:$A,'Pokemon Editor'!$F:$F,0)+31+FLOOR(XLOOKUP($Q800,'Threshold Summary'!$Y:$Y,'Threshold Summary'!$P:$P,"")/4))*XLOOKUP($Q800,'Threshold Summary'!$Y:$Y,'Threshold Summary'!$L:$L,""))/100)+5)*XLOOKUP(XLOOKUP($Q800,'Threshold Summary'!$Y:$Y,'Threshold Summary'!$M:$M,""),'Nature Editor'!$A:$A,'Nature Editor'!$B:$B,1)),FLOOR((FLOOR(((2*XLOOKUP(XLOOKUP($Q800,'Threshold Summary'!$Y:$Y,'Threshold Summary'!$K:$K,""),'Pokemon Editor'!$A:$A,'Pokemon Editor'!$H:$H,0)+31+FLOOR(XLOOKUP($Q800,'Threshold Summary'!$Y:$Y,'Threshold Summary'!$R:$R,"")/4))*XLOOKUP($Q800,'Threshold Summary'!$Y:$Y,'Threshold Summary'!$L:$L,""))/100)+5)*XLOOKUP(XLOOKUP($Q800,'Threshold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Editor'!$E:$E,1))),stab,IF(OR(mtype=XLOOKUP(XLOOKUP($Q800,'Threshold Summary'!$Y:$Y,'Threshold Summary'!$K:$K,""),'Pokemon Editor'!$A:$A,'Pokemon Editor'!$C:$C,""),mtype=XLOOKUP(XLOOKUP($Q800,'Threshold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Chart'!$B$1:$S$1,0)))),base,IF(OR(cat="Status",pow=0),0,FLOOR(FLOOR(FLOOR((2*XLOOKUP($Q800,'Threshold Summary'!$Y:$Y,'Threshold Summary'!$L:$L,"")/5+2)*pow*atk/def)/50)+2)),modifier,stab*eff,AVERAGE(ARRAYFORMULA(FLOOR(base*modifier*SEQUENCE(16,1,85,1)/100)))/(FLOOR(((2*XLOOKUP('Boss Editor'!$C$4,'Pokemon Editor'!$A:$A,'Pokemon Editor'!$E:$E,0)+31+FLOOR('Boss Editor'!$G$4/4))*'Boss Editor'!$D$4)/100)+'Boss Editor'!$D$4+10)),0)</f>
        <v/>
      </c>
      <c r="O800" s="3">
        <f>IF(N800&gt;=1,"OHKO",IF(N800&gt;=0.5,"2HKO",IF(N800&gt;=0.333,"3HKO",IF(N800&gt;=0.25,"4HKO","5HKO+"))))</f>
        <v/>
      </c>
      <c r="P800" s="3" t="inlineStr">
        <is>
          <t>Live from editable databases</t>
        </is>
      </c>
      <c r="Q800" s="3" t="inlineStr">
        <is>
          <t>SPECIES_BOUNSWEET</t>
        </is>
      </c>
      <c r="R800" s="3" t="n">
        <v>31</v>
      </c>
    </row>
    <row r="801">
      <c r="A801" s="3">
        <f>XLOOKUP($Q801,'Threshold Summary'!$Y:$Y,'Threshold Summary'!$A:$A,"")</f>
        <v/>
      </c>
      <c r="B801" s="3">
        <f>XLOOKUP($Q801,'Threshold Summary'!$Y:$Y,'Threshold Summary'!$M:$M,"")</f>
        <v/>
      </c>
      <c r="C801" s="3">
        <f>XLOOKUP($Q801,'Threshold Summary'!$Y:$Y,'Threshold Summary'!$N:$N,"")</f>
        <v/>
      </c>
      <c r="D801" s="3">
        <f>IFERROR(INDEX(FILTER('Learnset Editor'!$D$2:$D,'Learnset Editor'!$A$2:$A=XLOOKUP($Q801,'Threshold Summary'!$Y:$Y,'Threshold Summary'!$K:$K,""),'Learnset Editor'!$C$2:$C&lt;=XLOOKUP($Q801,'Threshold Summary'!$Y:$Y,'Threshold Summary'!$L:$L,"")),$R801),"")</f>
        <v/>
      </c>
      <c r="E801" s="3">
        <f>XLOOKUP(D801,'Move Editor'!$B:$B,'Move Editor'!$C:$C,"")</f>
        <v/>
      </c>
      <c r="F801" s="3">
        <f>XLOOKUP(D801,'Move Editor'!$B:$B,'Move Editor'!$D:$D,"")</f>
        <v/>
      </c>
      <c r="G801" s="3">
        <f>XLOOKUP(D801,'Move Editor'!$B:$B,'Move Editor'!$E:$E,0)</f>
        <v/>
      </c>
      <c r="H801" s="3">
        <f>XLOOKUP(D801,'Move Editor'!$B:$B,'Move Editor'!$F:$F,0)</f>
        <v/>
      </c>
      <c r="I801" s="3">
        <f>(INDEX('Type Chart'!$B:$S,MATCH(E801,'Type Chart'!$A:$A,0),MATCH(XLOOKUP('Boss Editor'!$C$4,'Pokemon Editor'!$A:$A,'Pokemon Editor'!$C:$C,""),'Type Chart'!$B$1:$S$1,0))*IF(XLOOKUP('Boss Editor'!$C$4,'Pokemon Editor'!$A:$A,'Pokemon Editor'!$D:$D,"")="",1,INDEX('Type Chart'!$B:$S,MATCH(E801,'Type Chart'!$A:$A,0),MATCH(XLOOKUP('Boss Editor'!$C$4,'Pokemon Editor'!$A:$A,'Pokemon Editor'!$D:$D,""),'Type Chart'!$B$1:$S$1,0))))</f>
        <v/>
      </c>
      <c r="J801" s="3">
        <f>IFERROR(LET(mtype,XLOOKUP($D801,'Move Editor'!$B:$B,'Move Editor'!$C:$C,""),cat,XLOOKUP($D801,'Move Editor'!$B:$B,'Move Editor'!$D:$D,""),pow,XLOOKUP($D801,'Move Editor'!$B:$B,'Move Editor'!$E:$E,0),acc,XLOOKUP($D801,'Move Editor'!$B:$B,'Move Editor'!$F:$F,100),atk,IF(cat="Physical",FLOOR((FLOOR(((2*XLOOKUP(XLOOKUP($Q801,'Threshold Summary'!$Y:$Y,'Threshold Summary'!$K:$K,""),'Pokemon Editor'!$A:$A,'Pokemon Editor'!$F:$F,0)+31+FLOOR(XLOOKUP($Q801,'Threshold Summary'!$Y:$Y,'Threshold Summary'!$P:$P,"")/4))*XLOOKUP($Q801,'Threshold Summary'!$Y:$Y,'Threshold Summary'!$L:$L,""))/100)+5)*XLOOKUP(XLOOKUP($Q801,'Threshold Summary'!$Y:$Y,'Threshold Summary'!$M:$M,""),'Nature Editor'!$A:$A,'Nature Editor'!$B:$B,1)),FLOOR((FLOOR(((2*XLOOKUP(XLOOKUP($Q801,'Threshold Summary'!$Y:$Y,'Threshold Summary'!$K:$K,""),'Pokemon Editor'!$A:$A,'Pokemon Editor'!$H:$H,0)+31+FLOOR(XLOOKUP($Q801,'Threshold Summary'!$Y:$Y,'Threshold Summary'!$R:$R,"")/4))*XLOOKUP($Q801,'Threshold Summary'!$Y:$Y,'Threshold Summary'!$L:$L,""))/100)+5)*XLOOKUP(XLOOKUP($Q801,'Threshold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Editor'!$E:$E,1))),stab,IF(OR(mtype=XLOOKUP(XLOOKUP($Q801,'Threshold Summary'!$Y:$Y,'Threshold Summary'!$K:$K,""),'Pokemon Editor'!$A:$A,'Pokemon Editor'!$C:$C,""),mtype=XLOOKUP(XLOOKUP($Q801,'Threshold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Chart'!$B$1:$S$1,0)))),base,IF(OR(cat="Status",pow=0),0,FLOOR(FLOOR(FLOOR((2*XLOOKUP($Q801,'Threshold Summary'!$Y:$Y,'Threshold Summary'!$L:$L,"")/5+2)*pow*atk/def)/50)+2)),modifier,stab*eff,FLOOR(base*modifier*0.85)),0)</f>
        <v/>
      </c>
      <c r="K801" s="3">
        <f>IFERROR(LET(mtype,XLOOKUP($D801,'Move Editor'!$B:$B,'Move Editor'!$C:$C,""),cat,XLOOKUP($D801,'Move Editor'!$B:$B,'Move Editor'!$D:$D,""),pow,XLOOKUP($D801,'Move Editor'!$B:$B,'Move Editor'!$E:$E,0),acc,XLOOKUP($D801,'Move Editor'!$B:$B,'Move Editor'!$F:$F,100),atk,IF(cat="Physical",FLOOR((FLOOR(((2*XLOOKUP(XLOOKUP($Q801,'Threshold Summary'!$Y:$Y,'Threshold Summary'!$K:$K,""),'Pokemon Editor'!$A:$A,'Pokemon Editor'!$F:$F,0)+31+FLOOR(XLOOKUP($Q801,'Threshold Summary'!$Y:$Y,'Threshold Summary'!$P:$P,"")/4))*XLOOKUP($Q801,'Threshold Summary'!$Y:$Y,'Threshold Summary'!$L:$L,""))/100)+5)*XLOOKUP(XLOOKUP($Q801,'Threshold Summary'!$Y:$Y,'Threshold Summary'!$M:$M,""),'Nature Editor'!$A:$A,'Nature Editor'!$B:$B,1)),FLOOR((FLOOR(((2*XLOOKUP(XLOOKUP($Q801,'Threshold Summary'!$Y:$Y,'Threshold Summary'!$K:$K,""),'Pokemon Editor'!$A:$A,'Pokemon Editor'!$H:$H,0)+31+FLOOR(XLOOKUP($Q801,'Threshold Summary'!$Y:$Y,'Threshold Summary'!$R:$R,"")/4))*XLOOKUP($Q801,'Threshold Summary'!$Y:$Y,'Threshold Summary'!$L:$L,""))/100)+5)*XLOOKUP(XLOOKUP($Q801,'Threshold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Editor'!$E:$E,1))),stab,IF(OR(mtype=XLOOKUP(XLOOKUP($Q801,'Threshold Summary'!$Y:$Y,'Threshold Summary'!$K:$K,""),'Pokemon Editor'!$A:$A,'Pokemon Editor'!$C:$C,""),mtype=XLOOKUP(XLOOKUP($Q801,'Threshold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Chart'!$B$1:$S$1,0)))),base,IF(OR(cat="Status",pow=0),0,FLOOR(FLOOR(FLOOR((2*XLOOKUP($Q801,'Threshold Summary'!$Y:$Y,'Threshold Summary'!$L:$L,"")/5+2)*pow*atk/def)/50)+2)),modifier,stab*eff,FLOOR(base*modifier)),0)</f>
        <v/>
      </c>
      <c r="L801" s="3">
        <f>IFERROR(LET(mtype,XLOOKUP($D801,'Move Editor'!$B:$B,'Move Editor'!$C:$C,""),cat,XLOOKUP($D801,'Move Editor'!$B:$B,'Move Editor'!$D:$D,""),pow,XLOOKUP($D801,'Move Editor'!$B:$B,'Move Editor'!$E:$E,0),acc,XLOOKUP($D801,'Move Editor'!$B:$B,'Move Editor'!$F:$F,100),atk,IF(cat="Physical",FLOOR((FLOOR(((2*XLOOKUP(XLOOKUP($Q801,'Threshold Summary'!$Y:$Y,'Threshold Summary'!$K:$K,""),'Pokemon Editor'!$A:$A,'Pokemon Editor'!$F:$F,0)+31+FLOOR(XLOOKUP($Q801,'Threshold Summary'!$Y:$Y,'Threshold Summary'!$P:$P,"")/4))*XLOOKUP($Q801,'Threshold Summary'!$Y:$Y,'Threshold Summary'!$L:$L,""))/100)+5)*XLOOKUP(XLOOKUP($Q801,'Threshold Summary'!$Y:$Y,'Threshold Summary'!$M:$M,""),'Nature Editor'!$A:$A,'Nature Editor'!$B:$B,1)),FLOOR((FLOOR(((2*XLOOKUP(XLOOKUP($Q801,'Threshold Summary'!$Y:$Y,'Threshold Summary'!$K:$K,""),'Pokemon Editor'!$A:$A,'Pokemon Editor'!$H:$H,0)+31+FLOOR(XLOOKUP($Q801,'Threshold Summary'!$Y:$Y,'Threshold Summary'!$R:$R,"")/4))*XLOOKUP($Q801,'Threshold Summary'!$Y:$Y,'Threshold Summary'!$L:$L,""))/100)+5)*XLOOKUP(XLOOKUP($Q801,'Threshold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Editor'!$E:$E,1))),stab,IF(OR(mtype=XLOOKUP(XLOOKUP($Q801,'Threshold Summary'!$Y:$Y,'Threshold Summary'!$K:$K,""),'Pokemon Editor'!$A:$A,'Pokemon Editor'!$C:$C,""),mtype=XLOOKUP(XLOOKUP($Q801,'Threshold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Chart'!$B$1:$S$1,0)))),base,IF(OR(cat="Status",pow=0),0,FLOOR(FLOOR(FLOOR((2*XLOOKUP($Q801,'Threshold Summary'!$Y:$Y,'Threshold Summary'!$L:$L,"")/5+2)*pow*atk/def)/50)+2)),modifier,stab*eff,AVERAGE(ARRAYFORMULA(FLOOR(base*modifier*SEQUENCE(16,1,85,1)/100)))),0)</f>
        <v/>
      </c>
      <c r="M801" s="3">
        <f>IFERROR(LET(mtype,XLOOKUP($D801,'Move Editor'!$B:$B,'Move Editor'!$C:$C,""),cat,XLOOKUP($D801,'Move Editor'!$B:$B,'Move Editor'!$D:$D,""),pow,XLOOKUP($D801,'Move Editor'!$B:$B,'Move Editor'!$E:$E,0),acc,XLOOKUP($D801,'Move Editor'!$B:$B,'Move Editor'!$F:$F,100),atk,IF(cat="Physical",FLOOR((FLOOR(((2*XLOOKUP(XLOOKUP($Q801,'Threshold Summary'!$Y:$Y,'Threshold Summary'!$K:$K,""),'Pokemon Editor'!$A:$A,'Pokemon Editor'!$F:$F,0)+31+FLOOR(XLOOKUP($Q801,'Threshold Summary'!$Y:$Y,'Threshold Summary'!$P:$P,"")/4))*XLOOKUP($Q801,'Threshold Summary'!$Y:$Y,'Threshold Summary'!$L:$L,""))/100)+5)*XLOOKUP(XLOOKUP($Q801,'Threshold Summary'!$Y:$Y,'Threshold Summary'!$M:$M,""),'Nature Editor'!$A:$A,'Nature Editor'!$B:$B,1)),FLOOR((FLOOR(((2*XLOOKUP(XLOOKUP($Q801,'Threshold Summary'!$Y:$Y,'Threshold Summary'!$K:$K,""),'Pokemon Editor'!$A:$A,'Pokemon Editor'!$H:$H,0)+31+FLOOR(XLOOKUP($Q801,'Threshold Summary'!$Y:$Y,'Threshold Summary'!$R:$R,"")/4))*XLOOKUP($Q801,'Threshold Summary'!$Y:$Y,'Threshold Summary'!$L:$L,""))/100)+5)*XLOOKUP(XLOOKUP($Q801,'Threshold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Editor'!$E:$E,1))),stab,IF(OR(mtype=XLOOKUP(XLOOKUP($Q801,'Threshold Summary'!$Y:$Y,'Threshold Summary'!$K:$K,""),'Pokemon Editor'!$A:$A,'Pokemon Editor'!$C:$C,""),mtype=XLOOKUP(XLOOKUP($Q801,'Threshold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Chart'!$B$1:$S$1,0)))),base,IF(OR(cat="Status",pow=0),0,FLOOR(FLOOR(FLOOR((2*XLOOKUP($Q801,'Threshold Summary'!$Y:$Y,'Threshold Summary'!$L:$L,"")/5+2)*pow*atk/def)/50)+2)),modifier,stab*eff,AVERAGE(ARRAYFORMULA(FLOOR(base*modifier*SEQUENCE(16,1,85,1)/100)))*MIN(1,acc/100)),0)</f>
        <v/>
      </c>
      <c r="N801" s="4">
        <f>IFERROR(LET(mtype,XLOOKUP($D801,'Move Editor'!$B:$B,'Move Editor'!$C:$C,""),cat,XLOOKUP($D801,'Move Editor'!$B:$B,'Move Editor'!$D:$D,""),pow,XLOOKUP($D801,'Move Editor'!$B:$B,'Move Editor'!$E:$E,0),acc,XLOOKUP($D801,'Move Editor'!$B:$B,'Move Editor'!$F:$F,100),atk,IF(cat="Physical",FLOOR((FLOOR(((2*XLOOKUP(XLOOKUP($Q801,'Threshold Summary'!$Y:$Y,'Threshold Summary'!$K:$K,""),'Pokemon Editor'!$A:$A,'Pokemon Editor'!$F:$F,0)+31+FLOOR(XLOOKUP($Q801,'Threshold Summary'!$Y:$Y,'Threshold Summary'!$P:$P,"")/4))*XLOOKUP($Q801,'Threshold Summary'!$Y:$Y,'Threshold Summary'!$L:$L,""))/100)+5)*XLOOKUP(XLOOKUP($Q801,'Threshold Summary'!$Y:$Y,'Threshold Summary'!$M:$M,""),'Nature Editor'!$A:$A,'Nature Editor'!$B:$B,1)),FLOOR((FLOOR(((2*XLOOKUP(XLOOKUP($Q801,'Threshold Summary'!$Y:$Y,'Threshold Summary'!$K:$K,""),'Pokemon Editor'!$A:$A,'Pokemon Editor'!$H:$H,0)+31+FLOOR(XLOOKUP($Q801,'Threshold Summary'!$Y:$Y,'Threshold Summary'!$R:$R,"")/4))*XLOOKUP($Q801,'Threshold Summary'!$Y:$Y,'Threshold Summary'!$L:$L,""))/100)+5)*XLOOKUP(XLOOKUP($Q801,'Threshold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Editor'!$E:$E,1))),stab,IF(OR(mtype=XLOOKUP(XLOOKUP($Q801,'Threshold Summary'!$Y:$Y,'Threshold Summary'!$K:$K,""),'Pokemon Editor'!$A:$A,'Pokemon Editor'!$C:$C,""),mtype=XLOOKUP(XLOOKUP($Q801,'Threshold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Chart'!$B$1:$S$1,0)))),base,IF(OR(cat="Status",pow=0),0,FLOOR(FLOOR(FLOOR((2*XLOOKUP($Q801,'Threshold Summary'!$Y:$Y,'Threshold Summary'!$L:$L,"")/5+2)*pow*atk/def)/50)+2)),modifier,stab*eff,AVERAGE(ARRAYFORMULA(FLOOR(base*modifier*SEQUENCE(16,1,85,1)/100)))/(FLOOR(((2*XLOOKUP('Boss Editor'!$C$4,'Pokemon Editor'!$A:$A,'Pokemon Editor'!$E:$E,0)+31+FLOOR('Boss Editor'!$G$4/4))*'Boss Editor'!$D$4)/100)+'Boss Editor'!$D$4+10)),0)</f>
        <v/>
      </c>
      <c r="O801" s="3">
        <f>IF(N801&gt;=1,"OHKO",IF(N801&gt;=0.5,"2HKO",IF(N801&gt;=0.333,"3HKO",IF(N801&gt;=0.25,"4HKO","5HKO+"))))</f>
        <v/>
      </c>
      <c r="P801" s="3" t="inlineStr">
        <is>
          <t>Live from editable databases</t>
        </is>
      </c>
      <c r="Q801" s="3" t="inlineStr">
        <is>
          <t>SPECIES_BOUNSWEET</t>
        </is>
      </c>
      <c r="R801" s="3" t="n">
        <v>32</v>
      </c>
    </row>
    <row r="802">
      <c r="A802" s="3">
        <f>XLOOKUP($Q802,'Threshold Summary'!$Y:$Y,'Threshold Summary'!$A:$A,"")</f>
        <v/>
      </c>
      <c r="B802" s="3">
        <f>XLOOKUP($Q802,'Threshold Summary'!$Y:$Y,'Threshold Summary'!$M:$M,"")</f>
        <v/>
      </c>
      <c r="C802" s="3">
        <f>XLOOKUP($Q802,'Threshold Summary'!$Y:$Y,'Threshold Summary'!$N:$N,"")</f>
        <v/>
      </c>
      <c r="D802" s="3">
        <f>IFERROR(INDEX(FILTER('Learnset Editor'!$D$2:$D,'Learnset Editor'!$A$2:$A=XLOOKUP($Q802,'Threshold Summary'!$Y:$Y,'Threshold Summary'!$K:$K,""),'Learnset Editor'!$C$2:$C&lt;=XLOOKUP($Q802,'Threshold Summary'!$Y:$Y,'Threshold Summary'!$L:$L,"")),$R802),"")</f>
        <v/>
      </c>
      <c r="E802" s="3">
        <f>XLOOKUP(D802,'Move Editor'!$B:$B,'Move Editor'!$C:$C,"")</f>
        <v/>
      </c>
      <c r="F802" s="3">
        <f>XLOOKUP(D802,'Move Editor'!$B:$B,'Move Editor'!$D:$D,"")</f>
        <v/>
      </c>
      <c r="G802" s="3">
        <f>XLOOKUP(D802,'Move Editor'!$B:$B,'Move Editor'!$E:$E,0)</f>
        <v/>
      </c>
      <c r="H802" s="3">
        <f>XLOOKUP(D802,'Move Editor'!$B:$B,'Move Editor'!$F:$F,0)</f>
        <v/>
      </c>
      <c r="I802" s="3">
        <f>(INDEX('Type Chart'!$B:$S,MATCH(E802,'Type Chart'!$A:$A,0),MATCH(XLOOKUP('Boss Editor'!$C$4,'Pokemon Editor'!$A:$A,'Pokemon Editor'!$C:$C,""),'Type Chart'!$B$1:$S$1,0))*IF(XLOOKUP('Boss Editor'!$C$4,'Pokemon Editor'!$A:$A,'Pokemon Editor'!$D:$D,"")="",1,INDEX('Type Chart'!$B:$S,MATCH(E802,'Type Chart'!$A:$A,0),MATCH(XLOOKUP('Boss Editor'!$C$4,'Pokemon Editor'!$A:$A,'Pokemon Editor'!$D:$D,""),'Type Chart'!$B$1:$S$1,0))))</f>
        <v/>
      </c>
      <c r="J802" s="3">
        <f>IFERROR(LET(mtype,XLOOKUP($D802,'Move Editor'!$B:$B,'Move Editor'!$C:$C,""),cat,XLOOKUP($D802,'Move Editor'!$B:$B,'Move Editor'!$D:$D,""),pow,XLOOKUP($D802,'Move Editor'!$B:$B,'Move Editor'!$E:$E,0),acc,XLOOKUP($D802,'Move Editor'!$B:$B,'Move Editor'!$F:$F,100),atk,IF(cat="Physical",FLOOR((FLOOR(((2*XLOOKUP(XLOOKUP($Q802,'Threshold Summary'!$Y:$Y,'Threshold Summary'!$K:$K,""),'Pokemon Editor'!$A:$A,'Pokemon Editor'!$F:$F,0)+31+FLOOR(XLOOKUP($Q802,'Threshold Summary'!$Y:$Y,'Threshold Summary'!$P:$P,"")/4))*XLOOKUP($Q802,'Threshold Summary'!$Y:$Y,'Threshold Summary'!$L:$L,""))/100)+5)*XLOOKUP(XLOOKUP($Q802,'Threshold Summary'!$Y:$Y,'Threshold Summary'!$M:$M,""),'Nature Editor'!$A:$A,'Nature Editor'!$B:$B,1)),FLOOR((FLOOR(((2*XLOOKUP(XLOOKUP($Q802,'Threshold Summary'!$Y:$Y,'Threshold Summary'!$K:$K,""),'Pokemon Editor'!$A:$A,'Pokemon Editor'!$H:$H,0)+31+FLOOR(XLOOKUP($Q802,'Threshold Summary'!$Y:$Y,'Threshold Summary'!$R:$R,"")/4))*XLOOKUP($Q802,'Threshold Summary'!$Y:$Y,'Threshold Summary'!$L:$L,""))/100)+5)*XLOOKUP(XLOOKUP($Q802,'Threshold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Editor'!$E:$E,1))),stab,IF(OR(mtype=XLOOKUP(XLOOKUP($Q802,'Threshold Summary'!$Y:$Y,'Threshold Summary'!$K:$K,""),'Pokemon Editor'!$A:$A,'Pokemon Editor'!$C:$C,""),mtype=XLOOKUP(XLOOKUP($Q802,'Threshold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Chart'!$B$1:$S$1,0)))),base,IF(OR(cat="Status",pow=0),0,FLOOR(FLOOR(FLOOR((2*XLOOKUP($Q802,'Threshold Summary'!$Y:$Y,'Threshold Summary'!$L:$L,"")/5+2)*pow*atk/def)/50)+2)),modifier,stab*eff,FLOOR(base*modifier*0.85)),0)</f>
        <v/>
      </c>
      <c r="K802" s="3">
        <f>IFERROR(LET(mtype,XLOOKUP($D802,'Move Editor'!$B:$B,'Move Editor'!$C:$C,""),cat,XLOOKUP($D802,'Move Editor'!$B:$B,'Move Editor'!$D:$D,""),pow,XLOOKUP($D802,'Move Editor'!$B:$B,'Move Editor'!$E:$E,0),acc,XLOOKUP($D802,'Move Editor'!$B:$B,'Move Editor'!$F:$F,100),atk,IF(cat="Physical",FLOOR((FLOOR(((2*XLOOKUP(XLOOKUP($Q802,'Threshold Summary'!$Y:$Y,'Threshold Summary'!$K:$K,""),'Pokemon Editor'!$A:$A,'Pokemon Editor'!$F:$F,0)+31+FLOOR(XLOOKUP($Q802,'Threshold Summary'!$Y:$Y,'Threshold Summary'!$P:$P,"")/4))*XLOOKUP($Q802,'Threshold Summary'!$Y:$Y,'Threshold Summary'!$L:$L,""))/100)+5)*XLOOKUP(XLOOKUP($Q802,'Threshold Summary'!$Y:$Y,'Threshold Summary'!$M:$M,""),'Nature Editor'!$A:$A,'Nature Editor'!$B:$B,1)),FLOOR((FLOOR(((2*XLOOKUP(XLOOKUP($Q802,'Threshold Summary'!$Y:$Y,'Threshold Summary'!$K:$K,""),'Pokemon Editor'!$A:$A,'Pokemon Editor'!$H:$H,0)+31+FLOOR(XLOOKUP($Q802,'Threshold Summary'!$Y:$Y,'Threshold Summary'!$R:$R,"")/4))*XLOOKUP($Q802,'Threshold Summary'!$Y:$Y,'Threshold Summary'!$L:$L,""))/100)+5)*XLOOKUP(XLOOKUP($Q802,'Threshold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Editor'!$E:$E,1))),stab,IF(OR(mtype=XLOOKUP(XLOOKUP($Q802,'Threshold Summary'!$Y:$Y,'Threshold Summary'!$K:$K,""),'Pokemon Editor'!$A:$A,'Pokemon Editor'!$C:$C,""),mtype=XLOOKUP(XLOOKUP($Q802,'Threshold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Chart'!$B$1:$S$1,0)))),base,IF(OR(cat="Status",pow=0),0,FLOOR(FLOOR(FLOOR((2*XLOOKUP($Q802,'Threshold Summary'!$Y:$Y,'Threshold Summary'!$L:$L,"")/5+2)*pow*atk/def)/50)+2)),modifier,stab*eff,FLOOR(base*modifier)),0)</f>
        <v/>
      </c>
      <c r="L802" s="3">
        <f>IFERROR(LET(mtype,XLOOKUP($D802,'Move Editor'!$B:$B,'Move Editor'!$C:$C,""),cat,XLOOKUP($D802,'Move Editor'!$B:$B,'Move Editor'!$D:$D,""),pow,XLOOKUP($D802,'Move Editor'!$B:$B,'Move Editor'!$E:$E,0),acc,XLOOKUP($D802,'Move Editor'!$B:$B,'Move Editor'!$F:$F,100),atk,IF(cat="Physical",FLOOR((FLOOR(((2*XLOOKUP(XLOOKUP($Q802,'Threshold Summary'!$Y:$Y,'Threshold Summary'!$K:$K,""),'Pokemon Editor'!$A:$A,'Pokemon Editor'!$F:$F,0)+31+FLOOR(XLOOKUP($Q802,'Threshold Summary'!$Y:$Y,'Threshold Summary'!$P:$P,"")/4))*XLOOKUP($Q802,'Threshold Summary'!$Y:$Y,'Threshold Summary'!$L:$L,""))/100)+5)*XLOOKUP(XLOOKUP($Q802,'Threshold Summary'!$Y:$Y,'Threshold Summary'!$M:$M,""),'Nature Editor'!$A:$A,'Nature Editor'!$B:$B,1)),FLOOR((FLOOR(((2*XLOOKUP(XLOOKUP($Q802,'Threshold Summary'!$Y:$Y,'Threshold Summary'!$K:$K,""),'Pokemon Editor'!$A:$A,'Pokemon Editor'!$H:$H,0)+31+FLOOR(XLOOKUP($Q802,'Threshold Summary'!$Y:$Y,'Threshold Summary'!$R:$R,"")/4))*XLOOKUP($Q802,'Threshold Summary'!$Y:$Y,'Threshold Summary'!$L:$L,""))/100)+5)*XLOOKUP(XLOOKUP($Q802,'Threshold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Editor'!$E:$E,1))),stab,IF(OR(mtype=XLOOKUP(XLOOKUP($Q802,'Threshold Summary'!$Y:$Y,'Threshold Summary'!$K:$K,""),'Pokemon Editor'!$A:$A,'Pokemon Editor'!$C:$C,""),mtype=XLOOKUP(XLOOKUP($Q802,'Threshold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Chart'!$B$1:$S$1,0)))),base,IF(OR(cat="Status",pow=0),0,FLOOR(FLOOR(FLOOR((2*XLOOKUP($Q802,'Threshold Summary'!$Y:$Y,'Threshold Summary'!$L:$L,"")/5+2)*pow*atk/def)/50)+2)),modifier,stab*eff,AVERAGE(ARRAYFORMULA(FLOOR(base*modifier*SEQUENCE(16,1,85,1)/100)))),0)</f>
        <v/>
      </c>
      <c r="M802" s="3">
        <f>IFERROR(LET(mtype,XLOOKUP($D802,'Move Editor'!$B:$B,'Move Editor'!$C:$C,""),cat,XLOOKUP($D802,'Move Editor'!$B:$B,'Move Editor'!$D:$D,""),pow,XLOOKUP($D802,'Move Editor'!$B:$B,'Move Editor'!$E:$E,0),acc,XLOOKUP($D802,'Move Editor'!$B:$B,'Move Editor'!$F:$F,100),atk,IF(cat="Physical",FLOOR((FLOOR(((2*XLOOKUP(XLOOKUP($Q802,'Threshold Summary'!$Y:$Y,'Threshold Summary'!$K:$K,""),'Pokemon Editor'!$A:$A,'Pokemon Editor'!$F:$F,0)+31+FLOOR(XLOOKUP($Q802,'Threshold Summary'!$Y:$Y,'Threshold Summary'!$P:$P,"")/4))*XLOOKUP($Q802,'Threshold Summary'!$Y:$Y,'Threshold Summary'!$L:$L,""))/100)+5)*XLOOKUP(XLOOKUP($Q802,'Threshold Summary'!$Y:$Y,'Threshold Summary'!$M:$M,""),'Nature Editor'!$A:$A,'Nature Editor'!$B:$B,1)),FLOOR((FLOOR(((2*XLOOKUP(XLOOKUP($Q802,'Threshold Summary'!$Y:$Y,'Threshold Summary'!$K:$K,""),'Pokemon Editor'!$A:$A,'Pokemon Editor'!$H:$H,0)+31+FLOOR(XLOOKUP($Q802,'Threshold Summary'!$Y:$Y,'Threshold Summary'!$R:$R,"")/4))*XLOOKUP($Q802,'Threshold Summary'!$Y:$Y,'Threshold Summary'!$L:$L,""))/100)+5)*XLOOKUP(XLOOKUP($Q802,'Threshold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Editor'!$E:$E,1))),stab,IF(OR(mtype=XLOOKUP(XLOOKUP($Q802,'Threshold Summary'!$Y:$Y,'Threshold Summary'!$K:$K,""),'Pokemon Editor'!$A:$A,'Pokemon Editor'!$C:$C,""),mtype=XLOOKUP(XLOOKUP($Q802,'Threshold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Chart'!$B$1:$S$1,0)))),base,IF(OR(cat="Status",pow=0),0,FLOOR(FLOOR(FLOOR((2*XLOOKUP($Q802,'Threshold Summary'!$Y:$Y,'Threshold Summary'!$L:$L,"")/5+2)*pow*atk/def)/50)+2)),modifier,stab*eff,AVERAGE(ARRAYFORMULA(FLOOR(base*modifier*SEQUENCE(16,1,85,1)/100)))*MIN(1,acc/100)),0)</f>
        <v/>
      </c>
      <c r="N802" s="4">
        <f>IFERROR(LET(mtype,XLOOKUP($D802,'Move Editor'!$B:$B,'Move Editor'!$C:$C,""),cat,XLOOKUP($D802,'Move Editor'!$B:$B,'Move Editor'!$D:$D,""),pow,XLOOKUP($D802,'Move Editor'!$B:$B,'Move Editor'!$E:$E,0),acc,XLOOKUP($D802,'Move Editor'!$B:$B,'Move Editor'!$F:$F,100),atk,IF(cat="Physical",FLOOR((FLOOR(((2*XLOOKUP(XLOOKUP($Q802,'Threshold Summary'!$Y:$Y,'Threshold Summary'!$K:$K,""),'Pokemon Editor'!$A:$A,'Pokemon Editor'!$F:$F,0)+31+FLOOR(XLOOKUP($Q802,'Threshold Summary'!$Y:$Y,'Threshold Summary'!$P:$P,"")/4))*XLOOKUP($Q802,'Threshold Summary'!$Y:$Y,'Threshold Summary'!$L:$L,""))/100)+5)*XLOOKUP(XLOOKUP($Q802,'Threshold Summary'!$Y:$Y,'Threshold Summary'!$M:$M,""),'Nature Editor'!$A:$A,'Nature Editor'!$B:$B,1)),FLOOR((FLOOR(((2*XLOOKUP(XLOOKUP($Q802,'Threshold Summary'!$Y:$Y,'Threshold Summary'!$K:$K,""),'Pokemon Editor'!$A:$A,'Pokemon Editor'!$H:$H,0)+31+FLOOR(XLOOKUP($Q802,'Threshold Summary'!$Y:$Y,'Threshold Summary'!$R:$R,"")/4))*XLOOKUP($Q802,'Threshold Summary'!$Y:$Y,'Threshold Summary'!$L:$L,""))/100)+5)*XLOOKUP(XLOOKUP($Q802,'Threshold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Editor'!$E:$E,1))),stab,IF(OR(mtype=XLOOKUP(XLOOKUP($Q802,'Threshold Summary'!$Y:$Y,'Threshold Summary'!$K:$K,""),'Pokemon Editor'!$A:$A,'Pokemon Editor'!$C:$C,""),mtype=XLOOKUP(XLOOKUP($Q802,'Threshold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Chart'!$B$1:$S$1,0)))),base,IF(OR(cat="Status",pow=0),0,FLOOR(FLOOR(FLOOR((2*XLOOKUP($Q802,'Threshold Summary'!$Y:$Y,'Threshold Summary'!$L:$L,"")/5+2)*pow*atk/def)/50)+2)),modifier,stab*eff,AVERAGE(ARRAYFORMULA(FLOOR(base*modifier*SEQUENCE(16,1,85,1)/100)))/(FLOOR(((2*XLOOKUP('Boss Editor'!$C$4,'Pokemon Editor'!$A:$A,'Pokemon Editor'!$E:$E,0)+31+FLOOR('Boss Editor'!$G$4/4))*'Boss Editor'!$D$4)/100)+'Boss Editor'!$D$4+10)),0)</f>
        <v/>
      </c>
      <c r="O802" s="3">
        <f>IF(N802&gt;=1,"OHKO",IF(N802&gt;=0.5,"2HKO",IF(N802&gt;=0.333,"3HKO",IF(N802&gt;=0.25,"4HKO","5HKO+"))))</f>
        <v/>
      </c>
      <c r="P802" s="3" t="inlineStr">
        <is>
          <t>Live from editable databases</t>
        </is>
      </c>
      <c r="Q802" s="3" t="inlineStr">
        <is>
          <t>SPECIES_BLIPBUG</t>
        </is>
      </c>
      <c r="R802" s="3" t="n">
        <v>1</v>
      </c>
    </row>
    <row r="803">
      <c r="A803" s="3">
        <f>XLOOKUP($Q803,'Threshold Summary'!$Y:$Y,'Threshold Summary'!$A:$A,"")</f>
        <v/>
      </c>
      <c r="B803" s="3">
        <f>XLOOKUP($Q803,'Threshold Summary'!$Y:$Y,'Threshold Summary'!$M:$M,"")</f>
        <v/>
      </c>
      <c r="C803" s="3">
        <f>XLOOKUP($Q803,'Threshold Summary'!$Y:$Y,'Threshold Summary'!$N:$N,"")</f>
        <v/>
      </c>
      <c r="D803" s="3">
        <f>IFERROR(INDEX(FILTER('Learnset Editor'!$D$2:$D,'Learnset Editor'!$A$2:$A=XLOOKUP($Q803,'Threshold Summary'!$Y:$Y,'Threshold Summary'!$K:$K,""),'Learnset Editor'!$C$2:$C&lt;=XLOOKUP($Q803,'Threshold Summary'!$Y:$Y,'Threshold Summary'!$L:$L,"")),$R803),"")</f>
        <v/>
      </c>
      <c r="E803" s="3">
        <f>XLOOKUP(D803,'Move Editor'!$B:$B,'Move Editor'!$C:$C,"")</f>
        <v/>
      </c>
      <c r="F803" s="3">
        <f>XLOOKUP(D803,'Move Editor'!$B:$B,'Move Editor'!$D:$D,"")</f>
        <v/>
      </c>
      <c r="G803" s="3">
        <f>XLOOKUP(D803,'Move Editor'!$B:$B,'Move Editor'!$E:$E,0)</f>
        <v/>
      </c>
      <c r="H803" s="3">
        <f>XLOOKUP(D803,'Move Editor'!$B:$B,'Move Editor'!$F:$F,0)</f>
        <v/>
      </c>
      <c r="I803" s="3">
        <f>(INDEX('Type Chart'!$B:$S,MATCH(E803,'Type Chart'!$A:$A,0),MATCH(XLOOKUP('Boss Editor'!$C$4,'Pokemon Editor'!$A:$A,'Pokemon Editor'!$C:$C,""),'Type Chart'!$B$1:$S$1,0))*IF(XLOOKUP('Boss Editor'!$C$4,'Pokemon Editor'!$A:$A,'Pokemon Editor'!$D:$D,"")="",1,INDEX('Type Chart'!$B:$S,MATCH(E803,'Type Chart'!$A:$A,0),MATCH(XLOOKUP('Boss Editor'!$C$4,'Pokemon Editor'!$A:$A,'Pokemon Editor'!$D:$D,""),'Type Chart'!$B$1:$S$1,0))))</f>
        <v/>
      </c>
      <c r="J803" s="3">
        <f>IFERROR(LET(mtype,XLOOKUP($D803,'Move Editor'!$B:$B,'Move Editor'!$C:$C,""),cat,XLOOKUP($D803,'Move Editor'!$B:$B,'Move Editor'!$D:$D,""),pow,XLOOKUP($D803,'Move Editor'!$B:$B,'Move Editor'!$E:$E,0),acc,XLOOKUP($D803,'Move Editor'!$B:$B,'Move Editor'!$F:$F,100),atk,IF(cat="Physical",FLOOR((FLOOR(((2*XLOOKUP(XLOOKUP($Q803,'Threshold Summary'!$Y:$Y,'Threshold Summary'!$K:$K,""),'Pokemon Editor'!$A:$A,'Pokemon Editor'!$F:$F,0)+31+FLOOR(XLOOKUP($Q803,'Threshold Summary'!$Y:$Y,'Threshold Summary'!$P:$P,"")/4))*XLOOKUP($Q803,'Threshold Summary'!$Y:$Y,'Threshold Summary'!$L:$L,""))/100)+5)*XLOOKUP(XLOOKUP($Q803,'Threshold Summary'!$Y:$Y,'Threshold Summary'!$M:$M,""),'Nature Editor'!$A:$A,'Nature Editor'!$B:$B,1)),FLOOR((FLOOR(((2*XLOOKUP(XLOOKUP($Q803,'Threshold Summary'!$Y:$Y,'Threshold Summary'!$K:$K,""),'Pokemon Editor'!$A:$A,'Pokemon Editor'!$H:$H,0)+31+FLOOR(XLOOKUP($Q803,'Threshold Summary'!$Y:$Y,'Threshold Summary'!$R:$R,"")/4))*XLOOKUP($Q803,'Threshold Summary'!$Y:$Y,'Threshold Summary'!$L:$L,""))/100)+5)*XLOOKUP(XLOOKUP($Q803,'Threshold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Editor'!$E:$E,1))),stab,IF(OR(mtype=XLOOKUP(XLOOKUP($Q803,'Threshold Summary'!$Y:$Y,'Threshold Summary'!$K:$K,""),'Pokemon Editor'!$A:$A,'Pokemon Editor'!$C:$C,""),mtype=XLOOKUP(XLOOKUP($Q803,'Threshold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Chart'!$B$1:$S$1,0)))),base,IF(OR(cat="Status",pow=0),0,FLOOR(FLOOR(FLOOR((2*XLOOKUP($Q803,'Threshold Summary'!$Y:$Y,'Threshold Summary'!$L:$L,"")/5+2)*pow*atk/def)/50)+2)),modifier,stab*eff,FLOOR(base*modifier*0.85)),0)</f>
        <v/>
      </c>
      <c r="K803" s="3">
        <f>IFERROR(LET(mtype,XLOOKUP($D803,'Move Editor'!$B:$B,'Move Editor'!$C:$C,""),cat,XLOOKUP($D803,'Move Editor'!$B:$B,'Move Editor'!$D:$D,""),pow,XLOOKUP($D803,'Move Editor'!$B:$B,'Move Editor'!$E:$E,0),acc,XLOOKUP($D803,'Move Editor'!$B:$B,'Move Editor'!$F:$F,100),atk,IF(cat="Physical",FLOOR((FLOOR(((2*XLOOKUP(XLOOKUP($Q803,'Threshold Summary'!$Y:$Y,'Threshold Summary'!$K:$K,""),'Pokemon Editor'!$A:$A,'Pokemon Editor'!$F:$F,0)+31+FLOOR(XLOOKUP($Q803,'Threshold Summary'!$Y:$Y,'Threshold Summary'!$P:$P,"")/4))*XLOOKUP($Q803,'Threshold Summary'!$Y:$Y,'Threshold Summary'!$L:$L,""))/100)+5)*XLOOKUP(XLOOKUP($Q803,'Threshold Summary'!$Y:$Y,'Threshold Summary'!$M:$M,""),'Nature Editor'!$A:$A,'Nature Editor'!$B:$B,1)),FLOOR((FLOOR(((2*XLOOKUP(XLOOKUP($Q803,'Threshold Summary'!$Y:$Y,'Threshold Summary'!$K:$K,""),'Pokemon Editor'!$A:$A,'Pokemon Editor'!$H:$H,0)+31+FLOOR(XLOOKUP($Q803,'Threshold Summary'!$Y:$Y,'Threshold Summary'!$R:$R,"")/4))*XLOOKUP($Q803,'Threshold Summary'!$Y:$Y,'Threshold Summary'!$L:$L,""))/100)+5)*XLOOKUP(XLOOKUP($Q803,'Threshold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Editor'!$E:$E,1))),stab,IF(OR(mtype=XLOOKUP(XLOOKUP($Q803,'Threshold Summary'!$Y:$Y,'Threshold Summary'!$K:$K,""),'Pokemon Editor'!$A:$A,'Pokemon Editor'!$C:$C,""),mtype=XLOOKUP(XLOOKUP($Q803,'Threshold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Chart'!$B$1:$S$1,0)))),base,IF(OR(cat="Status",pow=0),0,FLOOR(FLOOR(FLOOR((2*XLOOKUP($Q803,'Threshold Summary'!$Y:$Y,'Threshold Summary'!$L:$L,"")/5+2)*pow*atk/def)/50)+2)),modifier,stab*eff,FLOOR(base*modifier)),0)</f>
        <v/>
      </c>
      <c r="L803" s="3">
        <f>IFERROR(LET(mtype,XLOOKUP($D803,'Move Editor'!$B:$B,'Move Editor'!$C:$C,""),cat,XLOOKUP($D803,'Move Editor'!$B:$B,'Move Editor'!$D:$D,""),pow,XLOOKUP($D803,'Move Editor'!$B:$B,'Move Editor'!$E:$E,0),acc,XLOOKUP($D803,'Move Editor'!$B:$B,'Move Editor'!$F:$F,100),atk,IF(cat="Physical",FLOOR((FLOOR(((2*XLOOKUP(XLOOKUP($Q803,'Threshold Summary'!$Y:$Y,'Threshold Summary'!$K:$K,""),'Pokemon Editor'!$A:$A,'Pokemon Editor'!$F:$F,0)+31+FLOOR(XLOOKUP($Q803,'Threshold Summary'!$Y:$Y,'Threshold Summary'!$P:$P,"")/4))*XLOOKUP($Q803,'Threshold Summary'!$Y:$Y,'Threshold Summary'!$L:$L,""))/100)+5)*XLOOKUP(XLOOKUP($Q803,'Threshold Summary'!$Y:$Y,'Threshold Summary'!$M:$M,""),'Nature Editor'!$A:$A,'Nature Editor'!$B:$B,1)),FLOOR((FLOOR(((2*XLOOKUP(XLOOKUP($Q803,'Threshold Summary'!$Y:$Y,'Threshold Summary'!$K:$K,""),'Pokemon Editor'!$A:$A,'Pokemon Editor'!$H:$H,0)+31+FLOOR(XLOOKUP($Q803,'Threshold Summary'!$Y:$Y,'Threshold Summary'!$R:$R,"")/4))*XLOOKUP($Q803,'Threshold Summary'!$Y:$Y,'Threshold Summary'!$L:$L,""))/100)+5)*XLOOKUP(XLOOKUP($Q803,'Threshold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Editor'!$E:$E,1))),stab,IF(OR(mtype=XLOOKUP(XLOOKUP($Q803,'Threshold Summary'!$Y:$Y,'Threshold Summary'!$K:$K,""),'Pokemon Editor'!$A:$A,'Pokemon Editor'!$C:$C,""),mtype=XLOOKUP(XLOOKUP($Q803,'Threshold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Chart'!$B$1:$S$1,0)))),base,IF(OR(cat="Status",pow=0),0,FLOOR(FLOOR(FLOOR((2*XLOOKUP($Q803,'Threshold Summary'!$Y:$Y,'Threshold Summary'!$L:$L,"")/5+2)*pow*atk/def)/50)+2)),modifier,stab*eff,AVERAGE(ARRAYFORMULA(FLOOR(base*modifier*SEQUENCE(16,1,85,1)/100)))),0)</f>
        <v/>
      </c>
      <c r="M803" s="3">
        <f>IFERROR(LET(mtype,XLOOKUP($D803,'Move Editor'!$B:$B,'Move Editor'!$C:$C,""),cat,XLOOKUP($D803,'Move Editor'!$B:$B,'Move Editor'!$D:$D,""),pow,XLOOKUP($D803,'Move Editor'!$B:$B,'Move Editor'!$E:$E,0),acc,XLOOKUP($D803,'Move Editor'!$B:$B,'Move Editor'!$F:$F,100),atk,IF(cat="Physical",FLOOR((FLOOR(((2*XLOOKUP(XLOOKUP($Q803,'Threshold Summary'!$Y:$Y,'Threshold Summary'!$K:$K,""),'Pokemon Editor'!$A:$A,'Pokemon Editor'!$F:$F,0)+31+FLOOR(XLOOKUP($Q803,'Threshold Summary'!$Y:$Y,'Threshold Summary'!$P:$P,"")/4))*XLOOKUP($Q803,'Threshold Summary'!$Y:$Y,'Threshold Summary'!$L:$L,""))/100)+5)*XLOOKUP(XLOOKUP($Q803,'Threshold Summary'!$Y:$Y,'Threshold Summary'!$M:$M,""),'Nature Editor'!$A:$A,'Nature Editor'!$B:$B,1)),FLOOR((FLOOR(((2*XLOOKUP(XLOOKUP($Q803,'Threshold Summary'!$Y:$Y,'Threshold Summary'!$K:$K,""),'Pokemon Editor'!$A:$A,'Pokemon Editor'!$H:$H,0)+31+FLOOR(XLOOKUP($Q803,'Threshold Summary'!$Y:$Y,'Threshold Summary'!$R:$R,"")/4))*XLOOKUP($Q803,'Threshold Summary'!$Y:$Y,'Threshold Summary'!$L:$L,""))/100)+5)*XLOOKUP(XLOOKUP($Q803,'Threshold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Editor'!$E:$E,1))),stab,IF(OR(mtype=XLOOKUP(XLOOKUP($Q803,'Threshold Summary'!$Y:$Y,'Threshold Summary'!$K:$K,""),'Pokemon Editor'!$A:$A,'Pokemon Editor'!$C:$C,""),mtype=XLOOKUP(XLOOKUP($Q803,'Threshold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Chart'!$B$1:$S$1,0)))),base,IF(OR(cat="Status",pow=0),0,FLOOR(FLOOR(FLOOR((2*XLOOKUP($Q803,'Threshold Summary'!$Y:$Y,'Threshold Summary'!$L:$L,"")/5+2)*pow*atk/def)/50)+2)),modifier,stab*eff,AVERAGE(ARRAYFORMULA(FLOOR(base*modifier*SEQUENCE(16,1,85,1)/100)))*MIN(1,acc/100)),0)</f>
        <v/>
      </c>
      <c r="N803" s="4">
        <f>IFERROR(LET(mtype,XLOOKUP($D803,'Move Editor'!$B:$B,'Move Editor'!$C:$C,""),cat,XLOOKUP($D803,'Move Editor'!$B:$B,'Move Editor'!$D:$D,""),pow,XLOOKUP($D803,'Move Editor'!$B:$B,'Move Editor'!$E:$E,0),acc,XLOOKUP($D803,'Move Editor'!$B:$B,'Move Editor'!$F:$F,100),atk,IF(cat="Physical",FLOOR((FLOOR(((2*XLOOKUP(XLOOKUP($Q803,'Threshold Summary'!$Y:$Y,'Threshold Summary'!$K:$K,""),'Pokemon Editor'!$A:$A,'Pokemon Editor'!$F:$F,0)+31+FLOOR(XLOOKUP($Q803,'Threshold Summary'!$Y:$Y,'Threshold Summary'!$P:$P,"")/4))*XLOOKUP($Q803,'Threshold Summary'!$Y:$Y,'Threshold Summary'!$L:$L,""))/100)+5)*XLOOKUP(XLOOKUP($Q803,'Threshold Summary'!$Y:$Y,'Threshold Summary'!$M:$M,""),'Nature Editor'!$A:$A,'Nature Editor'!$B:$B,1)),FLOOR((FLOOR(((2*XLOOKUP(XLOOKUP($Q803,'Threshold Summary'!$Y:$Y,'Threshold Summary'!$K:$K,""),'Pokemon Editor'!$A:$A,'Pokemon Editor'!$H:$H,0)+31+FLOOR(XLOOKUP($Q803,'Threshold Summary'!$Y:$Y,'Threshold Summary'!$R:$R,"")/4))*XLOOKUP($Q803,'Threshold Summary'!$Y:$Y,'Threshold Summary'!$L:$L,""))/100)+5)*XLOOKUP(XLOOKUP($Q803,'Threshold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Editor'!$E:$E,1))),stab,IF(OR(mtype=XLOOKUP(XLOOKUP($Q803,'Threshold Summary'!$Y:$Y,'Threshold Summary'!$K:$K,""),'Pokemon Editor'!$A:$A,'Pokemon Editor'!$C:$C,""),mtype=XLOOKUP(XLOOKUP($Q803,'Threshold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Chart'!$B$1:$S$1,0)))),base,IF(OR(cat="Status",pow=0),0,FLOOR(FLOOR(FLOOR((2*XLOOKUP($Q803,'Threshold Summary'!$Y:$Y,'Threshold Summary'!$L:$L,"")/5+2)*pow*atk/def)/50)+2)),modifier,stab*eff,AVERAGE(ARRAYFORMULA(FLOOR(base*modifier*SEQUENCE(16,1,85,1)/100)))/(FLOOR(((2*XLOOKUP('Boss Editor'!$C$4,'Pokemon Editor'!$A:$A,'Pokemon Editor'!$E:$E,0)+31+FLOOR('Boss Editor'!$G$4/4))*'Boss Editor'!$D$4)/100)+'Boss Editor'!$D$4+10)),0)</f>
        <v/>
      </c>
      <c r="O803" s="3">
        <f>IF(N803&gt;=1,"OHKO",IF(N803&gt;=0.5,"2HKO",IF(N803&gt;=0.333,"3HKO",IF(N803&gt;=0.25,"4HKO","5HKO+"))))</f>
        <v/>
      </c>
      <c r="P803" s="3" t="inlineStr">
        <is>
          <t>Live from editable databases</t>
        </is>
      </c>
      <c r="Q803" s="3" t="inlineStr">
        <is>
          <t>SPECIES_BLIPBUG</t>
        </is>
      </c>
      <c r="R803" s="3" t="n">
        <v>2</v>
      </c>
    </row>
    <row r="804">
      <c r="A804" s="3">
        <f>XLOOKUP($Q804,'Threshold Summary'!$Y:$Y,'Threshold Summary'!$A:$A,"")</f>
        <v/>
      </c>
      <c r="B804" s="3">
        <f>XLOOKUP($Q804,'Threshold Summary'!$Y:$Y,'Threshold Summary'!$M:$M,"")</f>
        <v/>
      </c>
      <c r="C804" s="3">
        <f>XLOOKUP($Q804,'Threshold Summary'!$Y:$Y,'Threshold Summary'!$N:$N,"")</f>
        <v/>
      </c>
      <c r="D804" s="3">
        <f>IFERROR(INDEX(FILTER('Learnset Editor'!$D$2:$D,'Learnset Editor'!$A$2:$A=XLOOKUP($Q804,'Threshold Summary'!$Y:$Y,'Threshold Summary'!$K:$K,""),'Learnset Editor'!$C$2:$C&lt;=XLOOKUP($Q804,'Threshold Summary'!$Y:$Y,'Threshold Summary'!$L:$L,"")),$R804),"")</f>
        <v/>
      </c>
      <c r="E804" s="3">
        <f>XLOOKUP(D804,'Move Editor'!$B:$B,'Move Editor'!$C:$C,"")</f>
        <v/>
      </c>
      <c r="F804" s="3">
        <f>XLOOKUP(D804,'Move Editor'!$B:$B,'Move Editor'!$D:$D,"")</f>
        <v/>
      </c>
      <c r="G804" s="3">
        <f>XLOOKUP(D804,'Move Editor'!$B:$B,'Move Editor'!$E:$E,0)</f>
        <v/>
      </c>
      <c r="H804" s="3">
        <f>XLOOKUP(D804,'Move Editor'!$B:$B,'Move Editor'!$F:$F,0)</f>
        <v/>
      </c>
      <c r="I804" s="3">
        <f>(INDEX('Type Chart'!$B:$S,MATCH(E804,'Type Chart'!$A:$A,0),MATCH(XLOOKUP('Boss Editor'!$C$4,'Pokemon Editor'!$A:$A,'Pokemon Editor'!$C:$C,""),'Type Chart'!$B$1:$S$1,0))*IF(XLOOKUP('Boss Editor'!$C$4,'Pokemon Editor'!$A:$A,'Pokemon Editor'!$D:$D,"")="",1,INDEX('Type Chart'!$B:$S,MATCH(E804,'Type Chart'!$A:$A,0),MATCH(XLOOKUP('Boss Editor'!$C$4,'Pokemon Editor'!$A:$A,'Pokemon Editor'!$D:$D,""),'Type Chart'!$B$1:$S$1,0))))</f>
        <v/>
      </c>
      <c r="J804" s="3">
        <f>IFERROR(LET(mtype,XLOOKUP($D804,'Move Editor'!$B:$B,'Move Editor'!$C:$C,""),cat,XLOOKUP($D804,'Move Editor'!$B:$B,'Move Editor'!$D:$D,""),pow,XLOOKUP($D804,'Move Editor'!$B:$B,'Move Editor'!$E:$E,0),acc,XLOOKUP($D804,'Move Editor'!$B:$B,'Move Editor'!$F:$F,100),atk,IF(cat="Physical",FLOOR((FLOOR(((2*XLOOKUP(XLOOKUP($Q804,'Threshold Summary'!$Y:$Y,'Threshold Summary'!$K:$K,""),'Pokemon Editor'!$A:$A,'Pokemon Editor'!$F:$F,0)+31+FLOOR(XLOOKUP($Q804,'Threshold Summary'!$Y:$Y,'Threshold Summary'!$P:$P,"")/4))*XLOOKUP($Q804,'Threshold Summary'!$Y:$Y,'Threshold Summary'!$L:$L,""))/100)+5)*XLOOKUP(XLOOKUP($Q804,'Threshold Summary'!$Y:$Y,'Threshold Summary'!$M:$M,""),'Nature Editor'!$A:$A,'Nature Editor'!$B:$B,1)),FLOOR((FLOOR(((2*XLOOKUP(XLOOKUP($Q804,'Threshold Summary'!$Y:$Y,'Threshold Summary'!$K:$K,""),'Pokemon Editor'!$A:$A,'Pokemon Editor'!$H:$H,0)+31+FLOOR(XLOOKUP($Q804,'Threshold Summary'!$Y:$Y,'Threshold Summary'!$R:$R,"")/4))*XLOOKUP($Q804,'Threshold Summary'!$Y:$Y,'Threshold Summary'!$L:$L,""))/100)+5)*XLOOKUP(XLOOKUP($Q804,'Threshold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Editor'!$E:$E,1))),stab,IF(OR(mtype=XLOOKUP(XLOOKUP($Q804,'Threshold Summary'!$Y:$Y,'Threshold Summary'!$K:$K,""),'Pokemon Editor'!$A:$A,'Pokemon Editor'!$C:$C,""),mtype=XLOOKUP(XLOOKUP($Q804,'Threshold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Chart'!$B$1:$S$1,0)))),base,IF(OR(cat="Status",pow=0),0,FLOOR(FLOOR(FLOOR((2*XLOOKUP($Q804,'Threshold Summary'!$Y:$Y,'Threshold Summary'!$L:$L,"")/5+2)*pow*atk/def)/50)+2)),modifier,stab*eff,FLOOR(base*modifier*0.85)),0)</f>
        <v/>
      </c>
      <c r="K804" s="3">
        <f>IFERROR(LET(mtype,XLOOKUP($D804,'Move Editor'!$B:$B,'Move Editor'!$C:$C,""),cat,XLOOKUP($D804,'Move Editor'!$B:$B,'Move Editor'!$D:$D,""),pow,XLOOKUP($D804,'Move Editor'!$B:$B,'Move Editor'!$E:$E,0),acc,XLOOKUP($D804,'Move Editor'!$B:$B,'Move Editor'!$F:$F,100),atk,IF(cat="Physical",FLOOR((FLOOR(((2*XLOOKUP(XLOOKUP($Q804,'Threshold Summary'!$Y:$Y,'Threshold Summary'!$K:$K,""),'Pokemon Editor'!$A:$A,'Pokemon Editor'!$F:$F,0)+31+FLOOR(XLOOKUP($Q804,'Threshold Summary'!$Y:$Y,'Threshold Summary'!$P:$P,"")/4))*XLOOKUP($Q804,'Threshold Summary'!$Y:$Y,'Threshold Summary'!$L:$L,""))/100)+5)*XLOOKUP(XLOOKUP($Q804,'Threshold Summary'!$Y:$Y,'Threshold Summary'!$M:$M,""),'Nature Editor'!$A:$A,'Nature Editor'!$B:$B,1)),FLOOR((FLOOR(((2*XLOOKUP(XLOOKUP($Q804,'Threshold Summary'!$Y:$Y,'Threshold Summary'!$K:$K,""),'Pokemon Editor'!$A:$A,'Pokemon Editor'!$H:$H,0)+31+FLOOR(XLOOKUP($Q804,'Threshold Summary'!$Y:$Y,'Threshold Summary'!$R:$R,"")/4))*XLOOKUP($Q804,'Threshold Summary'!$Y:$Y,'Threshold Summary'!$L:$L,""))/100)+5)*XLOOKUP(XLOOKUP($Q804,'Threshold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Editor'!$E:$E,1))),stab,IF(OR(mtype=XLOOKUP(XLOOKUP($Q804,'Threshold Summary'!$Y:$Y,'Threshold Summary'!$K:$K,""),'Pokemon Editor'!$A:$A,'Pokemon Editor'!$C:$C,""),mtype=XLOOKUP(XLOOKUP($Q804,'Threshold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Chart'!$B$1:$S$1,0)))),base,IF(OR(cat="Status",pow=0),0,FLOOR(FLOOR(FLOOR((2*XLOOKUP($Q804,'Threshold Summary'!$Y:$Y,'Threshold Summary'!$L:$L,"")/5+2)*pow*atk/def)/50)+2)),modifier,stab*eff,FLOOR(base*modifier)),0)</f>
        <v/>
      </c>
      <c r="L804" s="3">
        <f>IFERROR(LET(mtype,XLOOKUP($D804,'Move Editor'!$B:$B,'Move Editor'!$C:$C,""),cat,XLOOKUP($D804,'Move Editor'!$B:$B,'Move Editor'!$D:$D,""),pow,XLOOKUP($D804,'Move Editor'!$B:$B,'Move Editor'!$E:$E,0),acc,XLOOKUP($D804,'Move Editor'!$B:$B,'Move Editor'!$F:$F,100),atk,IF(cat="Physical",FLOOR((FLOOR(((2*XLOOKUP(XLOOKUP($Q804,'Threshold Summary'!$Y:$Y,'Threshold Summary'!$K:$K,""),'Pokemon Editor'!$A:$A,'Pokemon Editor'!$F:$F,0)+31+FLOOR(XLOOKUP($Q804,'Threshold Summary'!$Y:$Y,'Threshold Summary'!$P:$P,"")/4))*XLOOKUP($Q804,'Threshold Summary'!$Y:$Y,'Threshold Summary'!$L:$L,""))/100)+5)*XLOOKUP(XLOOKUP($Q804,'Threshold Summary'!$Y:$Y,'Threshold Summary'!$M:$M,""),'Nature Editor'!$A:$A,'Nature Editor'!$B:$B,1)),FLOOR((FLOOR(((2*XLOOKUP(XLOOKUP($Q804,'Threshold Summary'!$Y:$Y,'Threshold Summary'!$K:$K,""),'Pokemon Editor'!$A:$A,'Pokemon Editor'!$H:$H,0)+31+FLOOR(XLOOKUP($Q804,'Threshold Summary'!$Y:$Y,'Threshold Summary'!$R:$R,"")/4))*XLOOKUP($Q804,'Threshold Summary'!$Y:$Y,'Threshold Summary'!$L:$L,""))/100)+5)*XLOOKUP(XLOOKUP($Q804,'Threshold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Editor'!$E:$E,1))),stab,IF(OR(mtype=XLOOKUP(XLOOKUP($Q804,'Threshold Summary'!$Y:$Y,'Threshold Summary'!$K:$K,""),'Pokemon Editor'!$A:$A,'Pokemon Editor'!$C:$C,""),mtype=XLOOKUP(XLOOKUP($Q804,'Threshold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Chart'!$B$1:$S$1,0)))),base,IF(OR(cat="Status",pow=0),0,FLOOR(FLOOR(FLOOR((2*XLOOKUP($Q804,'Threshold Summary'!$Y:$Y,'Threshold Summary'!$L:$L,"")/5+2)*pow*atk/def)/50)+2)),modifier,stab*eff,AVERAGE(ARRAYFORMULA(FLOOR(base*modifier*SEQUENCE(16,1,85,1)/100)))),0)</f>
        <v/>
      </c>
      <c r="M804" s="3">
        <f>IFERROR(LET(mtype,XLOOKUP($D804,'Move Editor'!$B:$B,'Move Editor'!$C:$C,""),cat,XLOOKUP($D804,'Move Editor'!$B:$B,'Move Editor'!$D:$D,""),pow,XLOOKUP($D804,'Move Editor'!$B:$B,'Move Editor'!$E:$E,0),acc,XLOOKUP($D804,'Move Editor'!$B:$B,'Move Editor'!$F:$F,100),atk,IF(cat="Physical",FLOOR((FLOOR(((2*XLOOKUP(XLOOKUP($Q804,'Threshold Summary'!$Y:$Y,'Threshold Summary'!$K:$K,""),'Pokemon Editor'!$A:$A,'Pokemon Editor'!$F:$F,0)+31+FLOOR(XLOOKUP($Q804,'Threshold Summary'!$Y:$Y,'Threshold Summary'!$P:$P,"")/4))*XLOOKUP($Q804,'Threshold Summary'!$Y:$Y,'Threshold Summary'!$L:$L,""))/100)+5)*XLOOKUP(XLOOKUP($Q804,'Threshold Summary'!$Y:$Y,'Threshold Summary'!$M:$M,""),'Nature Editor'!$A:$A,'Nature Editor'!$B:$B,1)),FLOOR((FLOOR(((2*XLOOKUP(XLOOKUP($Q804,'Threshold Summary'!$Y:$Y,'Threshold Summary'!$K:$K,""),'Pokemon Editor'!$A:$A,'Pokemon Editor'!$H:$H,0)+31+FLOOR(XLOOKUP($Q804,'Threshold Summary'!$Y:$Y,'Threshold Summary'!$R:$R,"")/4))*XLOOKUP($Q804,'Threshold Summary'!$Y:$Y,'Threshold Summary'!$L:$L,""))/100)+5)*XLOOKUP(XLOOKUP($Q804,'Threshold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Editor'!$E:$E,1))),stab,IF(OR(mtype=XLOOKUP(XLOOKUP($Q804,'Threshold Summary'!$Y:$Y,'Threshold Summary'!$K:$K,""),'Pokemon Editor'!$A:$A,'Pokemon Editor'!$C:$C,""),mtype=XLOOKUP(XLOOKUP($Q804,'Threshold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Chart'!$B$1:$S$1,0)))),base,IF(OR(cat="Status",pow=0),0,FLOOR(FLOOR(FLOOR((2*XLOOKUP($Q804,'Threshold Summary'!$Y:$Y,'Threshold Summary'!$L:$L,"")/5+2)*pow*atk/def)/50)+2)),modifier,stab*eff,AVERAGE(ARRAYFORMULA(FLOOR(base*modifier*SEQUENCE(16,1,85,1)/100)))*MIN(1,acc/100)),0)</f>
        <v/>
      </c>
      <c r="N804" s="4">
        <f>IFERROR(LET(mtype,XLOOKUP($D804,'Move Editor'!$B:$B,'Move Editor'!$C:$C,""),cat,XLOOKUP($D804,'Move Editor'!$B:$B,'Move Editor'!$D:$D,""),pow,XLOOKUP($D804,'Move Editor'!$B:$B,'Move Editor'!$E:$E,0),acc,XLOOKUP($D804,'Move Editor'!$B:$B,'Move Editor'!$F:$F,100),atk,IF(cat="Physical",FLOOR((FLOOR(((2*XLOOKUP(XLOOKUP($Q804,'Threshold Summary'!$Y:$Y,'Threshold Summary'!$K:$K,""),'Pokemon Editor'!$A:$A,'Pokemon Editor'!$F:$F,0)+31+FLOOR(XLOOKUP($Q804,'Threshold Summary'!$Y:$Y,'Threshold Summary'!$P:$P,"")/4))*XLOOKUP($Q804,'Threshold Summary'!$Y:$Y,'Threshold Summary'!$L:$L,""))/100)+5)*XLOOKUP(XLOOKUP($Q804,'Threshold Summary'!$Y:$Y,'Threshold Summary'!$M:$M,""),'Nature Editor'!$A:$A,'Nature Editor'!$B:$B,1)),FLOOR((FLOOR(((2*XLOOKUP(XLOOKUP($Q804,'Threshold Summary'!$Y:$Y,'Threshold Summary'!$K:$K,""),'Pokemon Editor'!$A:$A,'Pokemon Editor'!$H:$H,0)+31+FLOOR(XLOOKUP($Q804,'Threshold Summary'!$Y:$Y,'Threshold Summary'!$R:$R,"")/4))*XLOOKUP($Q804,'Threshold Summary'!$Y:$Y,'Threshold Summary'!$L:$L,""))/100)+5)*XLOOKUP(XLOOKUP($Q804,'Threshold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Editor'!$E:$E,1))),stab,IF(OR(mtype=XLOOKUP(XLOOKUP($Q804,'Threshold Summary'!$Y:$Y,'Threshold Summary'!$K:$K,""),'Pokemon Editor'!$A:$A,'Pokemon Editor'!$C:$C,""),mtype=XLOOKUP(XLOOKUP($Q804,'Threshold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Chart'!$B$1:$S$1,0)))),base,IF(OR(cat="Status",pow=0),0,FLOOR(FLOOR(FLOOR((2*XLOOKUP($Q804,'Threshold Summary'!$Y:$Y,'Threshold Summary'!$L:$L,"")/5+2)*pow*atk/def)/50)+2)),modifier,stab*eff,AVERAGE(ARRAYFORMULA(FLOOR(base*modifier*SEQUENCE(16,1,85,1)/100)))/(FLOOR(((2*XLOOKUP('Boss Editor'!$C$4,'Pokemon Editor'!$A:$A,'Pokemon Editor'!$E:$E,0)+31+FLOOR('Boss Editor'!$G$4/4))*'Boss Editor'!$D$4)/100)+'Boss Editor'!$D$4+10)),0)</f>
        <v/>
      </c>
      <c r="O804" s="3">
        <f>IF(N804&gt;=1,"OHKO",IF(N804&gt;=0.5,"2HKO",IF(N804&gt;=0.333,"3HKO",IF(N804&gt;=0.25,"4HKO","5HKO+"))))</f>
        <v/>
      </c>
      <c r="P804" s="3" t="inlineStr">
        <is>
          <t>Live from editable databases</t>
        </is>
      </c>
      <c r="Q804" s="3" t="inlineStr">
        <is>
          <t>SPECIES_BLIPBUG</t>
        </is>
      </c>
      <c r="R804" s="3" t="n">
        <v>3</v>
      </c>
    </row>
    <row r="805">
      <c r="A805" s="3">
        <f>XLOOKUP($Q805,'Threshold Summary'!$Y:$Y,'Threshold Summary'!$A:$A,"")</f>
        <v/>
      </c>
      <c r="B805" s="3">
        <f>XLOOKUP($Q805,'Threshold Summary'!$Y:$Y,'Threshold Summary'!$M:$M,"")</f>
        <v/>
      </c>
      <c r="C805" s="3">
        <f>XLOOKUP($Q805,'Threshold Summary'!$Y:$Y,'Threshold Summary'!$N:$N,"")</f>
        <v/>
      </c>
      <c r="D805" s="3">
        <f>IFERROR(INDEX(FILTER('Learnset Editor'!$D$2:$D,'Learnset Editor'!$A$2:$A=XLOOKUP($Q805,'Threshold Summary'!$Y:$Y,'Threshold Summary'!$K:$K,""),'Learnset Editor'!$C$2:$C&lt;=XLOOKUP($Q805,'Threshold Summary'!$Y:$Y,'Threshold Summary'!$L:$L,"")),$R805),"")</f>
        <v/>
      </c>
      <c r="E805" s="3">
        <f>XLOOKUP(D805,'Move Editor'!$B:$B,'Move Editor'!$C:$C,"")</f>
        <v/>
      </c>
      <c r="F805" s="3">
        <f>XLOOKUP(D805,'Move Editor'!$B:$B,'Move Editor'!$D:$D,"")</f>
        <v/>
      </c>
      <c r="G805" s="3">
        <f>XLOOKUP(D805,'Move Editor'!$B:$B,'Move Editor'!$E:$E,0)</f>
        <v/>
      </c>
      <c r="H805" s="3">
        <f>XLOOKUP(D805,'Move Editor'!$B:$B,'Move Editor'!$F:$F,0)</f>
        <v/>
      </c>
      <c r="I805" s="3">
        <f>(INDEX('Type Chart'!$B:$S,MATCH(E805,'Type Chart'!$A:$A,0),MATCH(XLOOKUP('Boss Editor'!$C$4,'Pokemon Editor'!$A:$A,'Pokemon Editor'!$C:$C,""),'Type Chart'!$B$1:$S$1,0))*IF(XLOOKUP('Boss Editor'!$C$4,'Pokemon Editor'!$A:$A,'Pokemon Editor'!$D:$D,"")="",1,INDEX('Type Chart'!$B:$S,MATCH(E805,'Type Chart'!$A:$A,0),MATCH(XLOOKUP('Boss Editor'!$C$4,'Pokemon Editor'!$A:$A,'Pokemon Editor'!$D:$D,""),'Type Chart'!$B$1:$S$1,0))))</f>
        <v/>
      </c>
      <c r="J805" s="3">
        <f>IFERROR(LET(mtype,XLOOKUP($D805,'Move Editor'!$B:$B,'Move Editor'!$C:$C,""),cat,XLOOKUP($D805,'Move Editor'!$B:$B,'Move Editor'!$D:$D,""),pow,XLOOKUP($D805,'Move Editor'!$B:$B,'Move Editor'!$E:$E,0),acc,XLOOKUP($D805,'Move Editor'!$B:$B,'Move Editor'!$F:$F,100),atk,IF(cat="Physical",FLOOR((FLOOR(((2*XLOOKUP(XLOOKUP($Q805,'Threshold Summary'!$Y:$Y,'Threshold Summary'!$K:$K,""),'Pokemon Editor'!$A:$A,'Pokemon Editor'!$F:$F,0)+31+FLOOR(XLOOKUP($Q805,'Threshold Summary'!$Y:$Y,'Threshold Summary'!$P:$P,"")/4))*XLOOKUP($Q805,'Threshold Summary'!$Y:$Y,'Threshold Summary'!$L:$L,""))/100)+5)*XLOOKUP(XLOOKUP($Q805,'Threshold Summary'!$Y:$Y,'Threshold Summary'!$M:$M,""),'Nature Editor'!$A:$A,'Nature Editor'!$B:$B,1)),FLOOR((FLOOR(((2*XLOOKUP(XLOOKUP($Q805,'Threshold Summary'!$Y:$Y,'Threshold Summary'!$K:$K,""),'Pokemon Editor'!$A:$A,'Pokemon Editor'!$H:$H,0)+31+FLOOR(XLOOKUP($Q805,'Threshold Summary'!$Y:$Y,'Threshold Summary'!$R:$R,"")/4))*XLOOKUP($Q805,'Threshold Summary'!$Y:$Y,'Threshold Summary'!$L:$L,""))/100)+5)*XLOOKUP(XLOOKUP($Q805,'Threshold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Editor'!$E:$E,1))),stab,IF(OR(mtype=XLOOKUP(XLOOKUP($Q805,'Threshold Summary'!$Y:$Y,'Threshold Summary'!$K:$K,""),'Pokemon Editor'!$A:$A,'Pokemon Editor'!$C:$C,""),mtype=XLOOKUP(XLOOKUP($Q805,'Threshold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Chart'!$B$1:$S$1,0)))),base,IF(OR(cat="Status",pow=0),0,FLOOR(FLOOR(FLOOR((2*XLOOKUP($Q805,'Threshold Summary'!$Y:$Y,'Threshold Summary'!$L:$L,"")/5+2)*pow*atk/def)/50)+2)),modifier,stab*eff,FLOOR(base*modifier*0.85)),0)</f>
        <v/>
      </c>
      <c r="K805" s="3">
        <f>IFERROR(LET(mtype,XLOOKUP($D805,'Move Editor'!$B:$B,'Move Editor'!$C:$C,""),cat,XLOOKUP($D805,'Move Editor'!$B:$B,'Move Editor'!$D:$D,""),pow,XLOOKUP($D805,'Move Editor'!$B:$B,'Move Editor'!$E:$E,0),acc,XLOOKUP($D805,'Move Editor'!$B:$B,'Move Editor'!$F:$F,100),atk,IF(cat="Physical",FLOOR((FLOOR(((2*XLOOKUP(XLOOKUP($Q805,'Threshold Summary'!$Y:$Y,'Threshold Summary'!$K:$K,""),'Pokemon Editor'!$A:$A,'Pokemon Editor'!$F:$F,0)+31+FLOOR(XLOOKUP($Q805,'Threshold Summary'!$Y:$Y,'Threshold Summary'!$P:$P,"")/4))*XLOOKUP($Q805,'Threshold Summary'!$Y:$Y,'Threshold Summary'!$L:$L,""))/100)+5)*XLOOKUP(XLOOKUP($Q805,'Threshold Summary'!$Y:$Y,'Threshold Summary'!$M:$M,""),'Nature Editor'!$A:$A,'Nature Editor'!$B:$B,1)),FLOOR((FLOOR(((2*XLOOKUP(XLOOKUP($Q805,'Threshold Summary'!$Y:$Y,'Threshold Summary'!$K:$K,""),'Pokemon Editor'!$A:$A,'Pokemon Editor'!$H:$H,0)+31+FLOOR(XLOOKUP($Q805,'Threshold Summary'!$Y:$Y,'Threshold Summary'!$R:$R,"")/4))*XLOOKUP($Q805,'Threshold Summary'!$Y:$Y,'Threshold Summary'!$L:$L,""))/100)+5)*XLOOKUP(XLOOKUP($Q805,'Threshold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Editor'!$E:$E,1))),stab,IF(OR(mtype=XLOOKUP(XLOOKUP($Q805,'Threshold Summary'!$Y:$Y,'Threshold Summary'!$K:$K,""),'Pokemon Editor'!$A:$A,'Pokemon Editor'!$C:$C,""),mtype=XLOOKUP(XLOOKUP($Q805,'Threshold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Chart'!$B$1:$S$1,0)))),base,IF(OR(cat="Status",pow=0),0,FLOOR(FLOOR(FLOOR((2*XLOOKUP($Q805,'Threshold Summary'!$Y:$Y,'Threshold Summary'!$L:$L,"")/5+2)*pow*atk/def)/50)+2)),modifier,stab*eff,FLOOR(base*modifier)),0)</f>
        <v/>
      </c>
      <c r="L805" s="3">
        <f>IFERROR(LET(mtype,XLOOKUP($D805,'Move Editor'!$B:$B,'Move Editor'!$C:$C,""),cat,XLOOKUP($D805,'Move Editor'!$B:$B,'Move Editor'!$D:$D,""),pow,XLOOKUP($D805,'Move Editor'!$B:$B,'Move Editor'!$E:$E,0),acc,XLOOKUP($D805,'Move Editor'!$B:$B,'Move Editor'!$F:$F,100),atk,IF(cat="Physical",FLOOR((FLOOR(((2*XLOOKUP(XLOOKUP($Q805,'Threshold Summary'!$Y:$Y,'Threshold Summary'!$K:$K,""),'Pokemon Editor'!$A:$A,'Pokemon Editor'!$F:$F,0)+31+FLOOR(XLOOKUP($Q805,'Threshold Summary'!$Y:$Y,'Threshold Summary'!$P:$P,"")/4))*XLOOKUP($Q805,'Threshold Summary'!$Y:$Y,'Threshold Summary'!$L:$L,""))/100)+5)*XLOOKUP(XLOOKUP($Q805,'Threshold Summary'!$Y:$Y,'Threshold Summary'!$M:$M,""),'Nature Editor'!$A:$A,'Nature Editor'!$B:$B,1)),FLOOR((FLOOR(((2*XLOOKUP(XLOOKUP($Q805,'Threshold Summary'!$Y:$Y,'Threshold Summary'!$K:$K,""),'Pokemon Editor'!$A:$A,'Pokemon Editor'!$H:$H,0)+31+FLOOR(XLOOKUP($Q805,'Threshold Summary'!$Y:$Y,'Threshold Summary'!$R:$R,"")/4))*XLOOKUP($Q805,'Threshold Summary'!$Y:$Y,'Threshold Summary'!$L:$L,""))/100)+5)*XLOOKUP(XLOOKUP($Q805,'Threshold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Editor'!$E:$E,1))),stab,IF(OR(mtype=XLOOKUP(XLOOKUP($Q805,'Threshold Summary'!$Y:$Y,'Threshold Summary'!$K:$K,""),'Pokemon Editor'!$A:$A,'Pokemon Editor'!$C:$C,""),mtype=XLOOKUP(XLOOKUP($Q805,'Threshold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Chart'!$B$1:$S$1,0)))),base,IF(OR(cat="Status",pow=0),0,FLOOR(FLOOR(FLOOR((2*XLOOKUP($Q805,'Threshold Summary'!$Y:$Y,'Threshold Summary'!$L:$L,"")/5+2)*pow*atk/def)/50)+2)),modifier,stab*eff,AVERAGE(ARRAYFORMULA(FLOOR(base*modifier*SEQUENCE(16,1,85,1)/100)))),0)</f>
        <v/>
      </c>
      <c r="M805" s="3">
        <f>IFERROR(LET(mtype,XLOOKUP($D805,'Move Editor'!$B:$B,'Move Editor'!$C:$C,""),cat,XLOOKUP($D805,'Move Editor'!$B:$B,'Move Editor'!$D:$D,""),pow,XLOOKUP($D805,'Move Editor'!$B:$B,'Move Editor'!$E:$E,0),acc,XLOOKUP($D805,'Move Editor'!$B:$B,'Move Editor'!$F:$F,100),atk,IF(cat="Physical",FLOOR((FLOOR(((2*XLOOKUP(XLOOKUP($Q805,'Threshold Summary'!$Y:$Y,'Threshold Summary'!$K:$K,""),'Pokemon Editor'!$A:$A,'Pokemon Editor'!$F:$F,0)+31+FLOOR(XLOOKUP($Q805,'Threshold Summary'!$Y:$Y,'Threshold Summary'!$P:$P,"")/4))*XLOOKUP($Q805,'Threshold Summary'!$Y:$Y,'Threshold Summary'!$L:$L,""))/100)+5)*XLOOKUP(XLOOKUP($Q805,'Threshold Summary'!$Y:$Y,'Threshold Summary'!$M:$M,""),'Nature Editor'!$A:$A,'Nature Editor'!$B:$B,1)),FLOOR((FLOOR(((2*XLOOKUP(XLOOKUP($Q805,'Threshold Summary'!$Y:$Y,'Threshold Summary'!$K:$K,""),'Pokemon Editor'!$A:$A,'Pokemon Editor'!$H:$H,0)+31+FLOOR(XLOOKUP($Q805,'Threshold Summary'!$Y:$Y,'Threshold Summary'!$R:$R,"")/4))*XLOOKUP($Q805,'Threshold Summary'!$Y:$Y,'Threshold Summary'!$L:$L,""))/100)+5)*XLOOKUP(XLOOKUP($Q805,'Threshold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Editor'!$E:$E,1))),stab,IF(OR(mtype=XLOOKUP(XLOOKUP($Q805,'Threshold Summary'!$Y:$Y,'Threshold Summary'!$K:$K,""),'Pokemon Editor'!$A:$A,'Pokemon Editor'!$C:$C,""),mtype=XLOOKUP(XLOOKUP($Q805,'Threshold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Chart'!$B$1:$S$1,0)))),base,IF(OR(cat="Status",pow=0),0,FLOOR(FLOOR(FLOOR((2*XLOOKUP($Q805,'Threshold Summary'!$Y:$Y,'Threshold Summary'!$L:$L,"")/5+2)*pow*atk/def)/50)+2)),modifier,stab*eff,AVERAGE(ARRAYFORMULA(FLOOR(base*modifier*SEQUENCE(16,1,85,1)/100)))*MIN(1,acc/100)),0)</f>
        <v/>
      </c>
      <c r="N805" s="4">
        <f>IFERROR(LET(mtype,XLOOKUP($D805,'Move Editor'!$B:$B,'Move Editor'!$C:$C,""),cat,XLOOKUP($D805,'Move Editor'!$B:$B,'Move Editor'!$D:$D,""),pow,XLOOKUP($D805,'Move Editor'!$B:$B,'Move Editor'!$E:$E,0),acc,XLOOKUP($D805,'Move Editor'!$B:$B,'Move Editor'!$F:$F,100),atk,IF(cat="Physical",FLOOR((FLOOR(((2*XLOOKUP(XLOOKUP($Q805,'Threshold Summary'!$Y:$Y,'Threshold Summary'!$K:$K,""),'Pokemon Editor'!$A:$A,'Pokemon Editor'!$F:$F,0)+31+FLOOR(XLOOKUP($Q805,'Threshold Summary'!$Y:$Y,'Threshold Summary'!$P:$P,"")/4))*XLOOKUP($Q805,'Threshold Summary'!$Y:$Y,'Threshold Summary'!$L:$L,""))/100)+5)*XLOOKUP(XLOOKUP($Q805,'Threshold Summary'!$Y:$Y,'Threshold Summary'!$M:$M,""),'Nature Editor'!$A:$A,'Nature Editor'!$B:$B,1)),FLOOR((FLOOR(((2*XLOOKUP(XLOOKUP($Q805,'Threshold Summary'!$Y:$Y,'Threshold Summary'!$K:$K,""),'Pokemon Editor'!$A:$A,'Pokemon Editor'!$H:$H,0)+31+FLOOR(XLOOKUP($Q805,'Threshold Summary'!$Y:$Y,'Threshold Summary'!$R:$R,"")/4))*XLOOKUP($Q805,'Threshold Summary'!$Y:$Y,'Threshold Summary'!$L:$L,""))/100)+5)*XLOOKUP(XLOOKUP($Q805,'Threshold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Editor'!$E:$E,1))),stab,IF(OR(mtype=XLOOKUP(XLOOKUP($Q805,'Threshold Summary'!$Y:$Y,'Threshold Summary'!$K:$K,""),'Pokemon Editor'!$A:$A,'Pokemon Editor'!$C:$C,""),mtype=XLOOKUP(XLOOKUP($Q805,'Threshold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Chart'!$B$1:$S$1,0)))),base,IF(OR(cat="Status",pow=0),0,FLOOR(FLOOR(FLOOR((2*XLOOKUP($Q805,'Threshold Summary'!$Y:$Y,'Threshold Summary'!$L:$L,"")/5+2)*pow*atk/def)/50)+2)),modifier,stab*eff,AVERAGE(ARRAYFORMULA(FLOOR(base*modifier*SEQUENCE(16,1,85,1)/100)))/(FLOOR(((2*XLOOKUP('Boss Editor'!$C$4,'Pokemon Editor'!$A:$A,'Pokemon Editor'!$E:$E,0)+31+FLOOR('Boss Editor'!$G$4/4))*'Boss Editor'!$D$4)/100)+'Boss Editor'!$D$4+10)),0)</f>
        <v/>
      </c>
      <c r="O805" s="3">
        <f>IF(N805&gt;=1,"OHKO",IF(N805&gt;=0.5,"2HKO",IF(N805&gt;=0.333,"3HKO",IF(N805&gt;=0.25,"4HKO","5HKO+"))))</f>
        <v/>
      </c>
      <c r="P805" s="3" t="inlineStr">
        <is>
          <t>Live from editable databases</t>
        </is>
      </c>
      <c r="Q805" s="3" t="inlineStr">
        <is>
          <t>SPECIES_BLIPBUG</t>
        </is>
      </c>
      <c r="R805" s="3" t="n">
        <v>4</v>
      </c>
    </row>
    <row r="806">
      <c r="A806" s="3">
        <f>XLOOKUP($Q806,'Threshold Summary'!$Y:$Y,'Threshold Summary'!$A:$A,"")</f>
        <v/>
      </c>
      <c r="B806" s="3">
        <f>XLOOKUP($Q806,'Threshold Summary'!$Y:$Y,'Threshold Summary'!$M:$M,"")</f>
        <v/>
      </c>
      <c r="C806" s="3">
        <f>XLOOKUP($Q806,'Threshold Summary'!$Y:$Y,'Threshold Summary'!$N:$N,"")</f>
        <v/>
      </c>
      <c r="D806" s="3">
        <f>IFERROR(INDEX(FILTER('Learnset Editor'!$D$2:$D,'Learnset Editor'!$A$2:$A=XLOOKUP($Q806,'Threshold Summary'!$Y:$Y,'Threshold Summary'!$K:$K,""),'Learnset Editor'!$C$2:$C&lt;=XLOOKUP($Q806,'Threshold Summary'!$Y:$Y,'Threshold Summary'!$L:$L,"")),$R806),"")</f>
        <v/>
      </c>
      <c r="E806" s="3">
        <f>XLOOKUP(D806,'Move Editor'!$B:$B,'Move Editor'!$C:$C,"")</f>
        <v/>
      </c>
      <c r="F806" s="3">
        <f>XLOOKUP(D806,'Move Editor'!$B:$B,'Move Editor'!$D:$D,"")</f>
        <v/>
      </c>
      <c r="G806" s="3">
        <f>XLOOKUP(D806,'Move Editor'!$B:$B,'Move Editor'!$E:$E,0)</f>
        <v/>
      </c>
      <c r="H806" s="3">
        <f>XLOOKUP(D806,'Move Editor'!$B:$B,'Move Editor'!$F:$F,0)</f>
        <v/>
      </c>
      <c r="I806" s="3">
        <f>(INDEX('Type Chart'!$B:$S,MATCH(E806,'Type Chart'!$A:$A,0),MATCH(XLOOKUP('Boss Editor'!$C$4,'Pokemon Editor'!$A:$A,'Pokemon Editor'!$C:$C,""),'Type Chart'!$B$1:$S$1,0))*IF(XLOOKUP('Boss Editor'!$C$4,'Pokemon Editor'!$A:$A,'Pokemon Editor'!$D:$D,"")="",1,INDEX('Type Chart'!$B:$S,MATCH(E806,'Type Chart'!$A:$A,0),MATCH(XLOOKUP('Boss Editor'!$C$4,'Pokemon Editor'!$A:$A,'Pokemon Editor'!$D:$D,""),'Type Chart'!$B$1:$S$1,0))))</f>
        <v/>
      </c>
      <c r="J806" s="3">
        <f>IFERROR(LET(mtype,XLOOKUP($D806,'Move Editor'!$B:$B,'Move Editor'!$C:$C,""),cat,XLOOKUP($D806,'Move Editor'!$B:$B,'Move Editor'!$D:$D,""),pow,XLOOKUP($D806,'Move Editor'!$B:$B,'Move Editor'!$E:$E,0),acc,XLOOKUP($D806,'Move Editor'!$B:$B,'Move Editor'!$F:$F,100),atk,IF(cat="Physical",FLOOR((FLOOR(((2*XLOOKUP(XLOOKUP($Q806,'Threshold Summary'!$Y:$Y,'Threshold Summary'!$K:$K,""),'Pokemon Editor'!$A:$A,'Pokemon Editor'!$F:$F,0)+31+FLOOR(XLOOKUP($Q806,'Threshold Summary'!$Y:$Y,'Threshold Summary'!$P:$P,"")/4))*XLOOKUP($Q806,'Threshold Summary'!$Y:$Y,'Threshold Summary'!$L:$L,""))/100)+5)*XLOOKUP(XLOOKUP($Q806,'Threshold Summary'!$Y:$Y,'Threshold Summary'!$M:$M,""),'Nature Editor'!$A:$A,'Nature Editor'!$B:$B,1)),FLOOR((FLOOR(((2*XLOOKUP(XLOOKUP($Q806,'Threshold Summary'!$Y:$Y,'Threshold Summary'!$K:$K,""),'Pokemon Editor'!$A:$A,'Pokemon Editor'!$H:$H,0)+31+FLOOR(XLOOKUP($Q806,'Threshold Summary'!$Y:$Y,'Threshold Summary'!$R:$R,"")/4))*XLOOKUP($Q806,'Threshold Summary'!$Y:$Y,'Threshold Summary'!$L:$L,""))/100)+5)*XLOOKUP(XLOOKUP($Q806,'Threshold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Editor'!$E:$E,1))),stab,IF(OR(mtype=XLOOKUP(XLOOKUP($Q806,'Threshold Summary'!$Y:$Y,'Threshold Summary'!$K:$K,""),'Pokemon Editor'!$A:$A,'Pokemon Editor'!$C:$C,""),mtype=XLOOKUP(XLOOKUP($Q806,'Threshold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Chart'!$B$1:$S$1,0)))),base,IF(OR(cat="Status",pow=0),0,FLOOR(FLOOR(FLOOR((2*XLOOKUP($Q806,'Threshold Summary'!$Y:$Y,'Threshold Summary'!$L:$L,"")/5+2)*pow*atk/def)/50)+2)),modifier,stab*eff,FLOOR(base*modifier*0.85)),0)</f>
        <v/>
      </c>
      <c r="K806" s="3">
        <f>IFERROR(LET(mtype,XLOOKUP($D806,'Move Editor'!$B:$B,'Move Editor'!$C:$C,""),cat,XLOOKUP($D806,'Move Editor'!$B:$B,'Move Editor'!$D:$D,""),pow,XLOOKUP($D806,'Move Editor'!$B:$B,'Move Editor'!$E:$E,0),acc,XLOOKUP($D806,'Move Editor'!$B:$B,'Move Editor'!$F:$F,100),atk,IF(cat="Physical",FLOOR((FLOOR(((2*XLOOKUP(XLOOKUP($Q806,'Threshold Summary'!$Y:$Y,'Threshold Summary'!$K:$K,""),'Pokemon Editor'!$A:$A,'Pokemon Editor'!$F:$F,0)+31+FLOOR(XLOOKUP($Q806,'Threshold Summary'!$Y:$Y,'Threshold Summary'!$P:$P,"")/4))*XLOOKUP($Q806,'Threshold Summary'!$Y:$Y,'Threshold Summary'!$L:$L,""))/100)+5)*XLOOKUP(XLOOKUP($Q806,'Threshold Summary'!$Y:$Y,'Threshold Summary'!$M:$M,""),'Nature Editor'!$A:$A,'Nature Editor'!$B:$B,1)),FLOOR((FLOOR(((2*XLOOKUP(XLOOKUP($Q806,'Threshold Summary'!$Y:$Y,'Threshold Summary'!$K:$K,""),'Pokemon Editor'!$A:$A,'Pokemon Editor'!$H:$H,0)+31+FLOOR(XLOOKUP($Q806,'Threshold Summary'!$Y:$Y,'Threshold Summary'!$R:$R,"")/4))*XLOOKUP($Q806,'Threshold Summary'!$Y:$Y,'Threshold Summary'!$L:$L,""))/100)+5)*XLOOKUP(XLOOKUP($Q806,'Threshold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Editor'!$E:$E,1))),stab,IF(OR(mtype=XLOOKUP(XLOOKUP($Q806,'Threshold Summary'!$Y:$Y,'Threshold Summary'!$K:$K,""),'Pokemon Editor'!$A:$A,'Pokemon Editor'!$C:$C,""),mtype=XLOOKUP(XLOOKUP($Q806,'Threshold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Chart'!$B$1:$S$1,0)))),base,IF(OR(cat="Status",pow=0),0,FLOOR(FLOOR(FLOOR((2*XLOOKUP($Q806,'Threshold Summary'!$Y:$Y,'Threshold Summary'!$L:$L,"")/5+2)*pow*atk/def)/50)+2)),modifier,stab*eff,FLOOR(base*modifier)),0)</f>
        <v/>
      </c>
      <c r="L806" s="3">
        <f>IFERROR(LET(mtype,XLOOKUP($D806,'Move Editor'!$B:$B,'Move Editor'!$C:$C,""),cat,XLOOKUP($D806,'Move Editor'!$B:$B,'Move Editor'!$D:$D,""),pow,XLOOKUP($D806,'Move Editor'!$B:$B,'Move Editor'!$E:$E,0),acc,XLOOKUP($D806,'Move Editor'!$B:$B,'Move Editor'!$F:$F,100),atk,IF(cat="Physical",FLOOR((FLOOR(((2*XLOOKUP(XLOOKUP($Q806,'Threshold Summary'!$Y:$Y,'Threshold Summary'!$K:$K,""),'Pokemon Editor'!$A:$A,'Pokemon Editor'!$F:$F,0)+31+FLOOR(XLOOKUP($Q806,'Threshold Summary'!$Y:$Y,'Threshold Summary'!$P:$P,"")/4))*XLOOKUP($Q806,'Threshold Summary'!$Y:$Y,'Threshold Summary'!$L:$L,""))/100)+5)*XLOOKUP(XLOOKUP($Q806,'Threshold Summary'!$Y:$Y,'Threshold Summary'!$M:$M,""),'Nature Editor'!$A:$A,'Nature Editor'!$B:$B,1)),FLOOR((FLOOR(((2*XLOOKUP(XLOOKUP($Q806,'Threshold Summary'!$Y:$Y,'Threshold Summary'!$K:$K,""),'Pokemon Editor'!$A:$A,'Pokemon Editor'!$H:$H,0)+31+FLOOR(XLOOKUP($Q806,'Threshold Summary'!$Y:$Y,'Threshold Summary'!$R:$R,"")/4))*XLOOKUP($Q806,'Threshold Summary'!$Y:$Y,'Threshold Summary'!$L:$L,""))/100)+5)*XLOOKUP(XLOOKUP($Q806,'Threshold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Editor'!$E:$E,1))),stab,IF(OR(mtype=XLOOKUP(XLOOKUP($Q806,'Threshold Summary'!$Y:$Y,'Threshold Summary'!$K:$K,""),'Pokemon Editor'!$A:$A,'Pokemon Editor'!$C:$C,""),mtype=XLOOKUP(XLOOKUP($Q806,'Threshold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Chart'!$B$1:$S$1,0)))),base,IF(OR(cat="Status",pow=0),0,FLOOR(FLOOR(FLOOR((2*XLOOKUP($Q806,'Threshold Summary'!$Y:$Y,'Threshold Summary'!$L:$L,"")/5+2)*pow*atk/def)/50)+2)),modifier,stab*eff,AVERAGE(ARRAYFORMULA(FLOOR(base*modifier*SEQUENCE(16,1,85,1)/100)))),0)</f>
        <v/>
      </c>
      <c r="M806" s="3">
        <f>IFERROR(LET(mtype,XLOOKUP($D806,'Move Editor'!$B:$B,'Move Editor'!$C:$C,""),cat,XLOOKUP($D806,'Move Editor'!$B:$B,'Move Editor'!$D:$D,""),pow,XLOOKUP($D806,'Move Editor'!$B:$B,'Move Editor'!$E:$E,0),acc,XLOOKUP($D806,'Move Editor'!$B:$B,'Move Editor'!$F:$F,100),atk,IF(cat="Physical",FLOOR((FLOOR(((2*XLOOKUP(XLOOKUP($Q806,'Threshold Summary'!$Y:$Y,'Threshold Summary'!$K:$K,""),'Pokemon Editor'!$A:$A,'Pokemon Editor'!$F:$F,0)+31+FLOOR(XLOOKUP($Q806,'Threshold Summary'!$Y:$Y,'Threshold Summary'!$P:$P,"")/4))*XLOOKUP($Q806,'Threshold Summary'!$Y:$Y,'Threshold Summary'!$L:$L,""))/100)+5)*XLOOKUP(XLOOKUP($Q806,'Threshold Summary'!$Y:$Y,'Threshold Summary'!$M:$M,""),'Nature Editor'!$A:$A,'Nature Editor'!$B:$B,1)),FLOOR((FLOOR(((2*XLOOKUP(XLOOKUP($Q806,'Threshold Summary'!$Y:$Y,'Threshold Summary'!$K:$K,""),'Pokemon Editor'!$A:$A,'Pokemon Editor'!$H:$H,0)+31+FLOOR(XLOOKUP($Q806,'Threshold Summary'!$Y:$Y,'Threshold Summary'!$R:$R,"")/4))*XLOOKUP($Q806,'Threshold Summary'!$Y:$Y,'Threshold Summary'!$L:$L,""))/100)+5)*XLOOKUP(XLOOKUP($Q806,'Threshold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Editor'!$E:$E,1))),stab,IF(OR(mtype=XLOOKUP(XLOOKUP($Q806,'Threshold Summary'!$Y:$Y,'Threshold Summary'!$K:$K,""),'Pokemon Editor'!$A:$A,'Pokemon Editor'!$C:$C,""),mtype=XLOOKUP(XLOOKUP($Q806,'Threshold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Chart'!$B$1:$S$1,0)))),base,IF(OR(cat="Status",pow=0),0,FLOOR(FLOOR(FLOOR((2*XLOOKUP($Q806,'Threshold Summary'!$Y:$Y,'Threshold Summary'!$L:$L,"")/5+2)*pow*atk/def)/50)+2)),modifier,stab*eff,AVERAGE(ARRAYFORMULA(FLOOR(base*modifier*SEQUENCE(16,1,85,1)/100)))*MIN(1,acc/100)),0)</f>
        <v/>
      </c>
      <c r="N806" s="4">
        <f>IFERROR(LET(mtype,XLOOKUP($D806,'Move Editor'!$B:$B,'Move Editor'!$C:$C,""),cat,XLOOKUP($D806,'Move Editor'!$B:$B,'Move Editor'!$D:$D,""),pow,XLOOKUP($D806,'Move Editor'!$B:$B,'Move Editor'!$E:$E,0),acc,XLOOKUP($D806,'Move Editor'!$B:$B,'Move Editor'!$F:$F,100),atk,IF(cat="Physical",FLOOR((FLOOR(((2*XLOOKUP(XLOOKUP($Q806,'Threshold Summary'!$Y:$Y,'Threshold Summary'!$K:$K,""),'Pokemon Editor'!$A:$A,'Pokemon Editor'!$F:$F,0)+31+FLOOR(XLOOKUP($Q806,'Threshold Summary'!$Y:$Y,'Threshold Summary'!$P:$P,"")/4))*XLOOKUP($Q806,'Threshold Summary'!$Y:$Y,'Threshold Summary'!$L:$L,""))/100)+5)*XLOOKUP(XLOOKUP($Q806,'Threshold Summary'!$Y:$Y,'Threshold Summary'!$M:$M,""),'Nature Editor'!$A:$A,'Nature Editor'!$B:$B,1)),FLOOR((FLOOR(((2*XLOOKUP(XLOOKUP($Q806,'Threshold Summary'!$Y:$Y,'Threshold Summary'!$K:$K,""),'Pokemon Editor'!$A:$A,'Pokemon Editor'!$H:$H,0)+31+FLOOR(XLOOKUP($Q806,'Threshold Summary'!$Y:$Y,'Threshold Summary'!$R:$R,"")/4))*XLOOKUP($Q806,'Threshold Summary'!$Y:$Y,'Threshold Summary'!$L:$L,""))/100)+5)*XLOOKUP(XLOOKUP($Q806,'Threshold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Editor'!$E:$E,1))),stab,IF(OR(mtype=XLOOKUP(XLOOKUP($Q806,'Threshold Summary'!$Y:$Y,'Threshold Summary'!$K:$K,""),'Pokemon Editor'!$A:$A,'Pokemon Editor'!$C:$C,""),mtype=XLOOKUP(XLOOKUP($Q806,'Threshold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Chart'!$B$1:$S$1,0)))),base,IF(OR(cat="Status",pow=0),0,FLOOR(FLOOR(FLOOR((2*XLOOKUP($Q806,'Threshold Summary'!$Y:$Y,'Threshold Summary'!$L:$L,"")/5+2)*pow*atk/def)/50)+2)),modifier,stab*eff,AVERAGE(ARRAYFORMULA(FLOOR(base*modifier*SEQUENCE(16,1,85,1)/100)))/(FLOOR(((2*XLOOKUP('Boss Editor'!$C$4,'Pokemon Editor'!$A:$A,'Pokemon Editor'!$E:$E,0)+31+FLOOR('Boss Editor'!$G$4/4))*'Boss Editor'!$D$4)/100)+'Boss Editor'!$D$4+10)),0)</f>
        <v/>
      </c>
      <c r="O806" s="3">
        <f>IF(N806&gt;=1,"OHKO",IF(N806&gt;=0.5,"2HKO",IF(N806&gt;=0.333,"3HKO",IF(N806&gt;=0.25,"4HKO","5HKO+"))))</f>
        <v/>
      </c>
      <c r="P806" s="3" t="inlineStr">
        <is>
          <t>Live from editable databases</t>
        </is>
      </c>
      <c r="Q806" s="3" t="inlineStr">
        <is>
          <t>SPECIES_BLIPBUG</t>
        </is>
      </c>
      <c r="R806" s="3" t="n">
        <v>5</v>
      </c>
    </row>
    <row r="807">
      <c r="A807" s="3">
        <f>XLOOKUP($Q807,'Threshold Summary'!$Y:$Y,'Threshold Summary'!$A:$A,"")</f>
        <v/>
      </c>
      <c r="B807" s="3">
        <f>XLOOKUP($Q807,'Threshold Summary'!$Y:$Y,'Threshold Summary'!$M:$M,"")</f>
        <v/>
      </c>
      <c r="C807" s="3">
        <f>XLOOKUP($Q807,'Threshold Summary'!$Y:$Y,'Threshold Summary'!$N:$N,"")</f>
        <v/>
      </c>
      <c r="D807" s="3">
        <f>IFERROR(INDEX(FILTER('Learnset Editor'!$D$2:$D,'Learnset Editor'!$A$2:$A=XLOOKUP($Q807,'Threshold Summary'!$Y:$Y,'Threshold Summary'!$K:$K,""),'Learnset Editor'!$C$2:$C&lt;=XLOOKUP($Q807,'Threshold Summary'!$Y:$Y,'Threshold Summary'!$L:$L,"")),$R807),"")</f>
        <v/>
      </c>
      <c r="E807" s="3">
        <f>XLOOKUP(D807,'Move Editor'!$B:$B,'Move Editor'!$C:$C,"")</f>
        <v/>
      </c>
      <c r="F807" s="3">
        <f>XLOOKUP(D807,'Move Editor'!$B:$B,'Move Editor'!$D:$D,"")</f>
        <v/>
      </c>
      <c r="G807" s="3">
        <f>XLOOKUP(D807,'Move Editor'!$B:$B,'Move Editor'!$E:$E,0)</f>
        <v/>
      </c>
      <c r="H807" s="3">
        <f>XLOOKUP(D807,'Move Editor'!$B:$B,'Move Editor'!$F:$F,0)</f>
        <v/>
      </c>
      <c r="I807" s="3">
        <f>(INDEX('Type Chart'!$B:$S,MATCH(E807,'Type Chart'!$A:$A,0),MATCH(XLOOKUP('Boss Editor'!$C$4,'Pokemon Editor'!$A:$A,'Pokemon Editor'!$C:$C,""),'Type Chart'!$B$1:$S$1,0))*IF(XLOOKUP('Boss Editor'!$C$4,'Pokemon Editor'!$A:$A,'Pokemon Editor'!$D:$D,"")="",1,INDEX('Type Chart'!$B:$S,MATCH(E807,'Type Chart'!$A:$A,0),MATCH(XLOOKUP('Boss Editor'!$C$4,'Pokemon Editor'!$A:$A,'Pokemon Editor'!$D:$D,""),'Type Chart'!$B$1:$S$1,0))))</f>
        <v/>
      </c>
      <c r="J807" s="3">
        <f>IFERROR(LET(mtype,XLOOKUP($D807,'Move Editor'!$B:$B,'Move Editor'!$C:$C,""),cat,XLOOKUP($D807,'Move Editor'!$B:$B,'Move Editor'!$D:$D,""),pow,XLOOKUP($D807,'Move Editor'!$B:$B,'Move Editor'!$E:$E,0),acc,XLOOKUP($D807,'Move Editor'!$B:$B,'Move Editor'!$F:$F,100),atk,IF(cat="Physical",FLOOR((FLOOR(((2*XLOOKUP(XLOOKUP($Q807,'Threshold Summary'!$Y:$Y,'Threshold Summary'!$K:$K,""),'Pokemon Editor'!$A:$A,'Pokemon Editor'!$F:$F,0)+31+FLOOR(XLOOKUP($Q807,'Threshold Summary'!$Y:$Y,'Threshold Summary'!$P:$P,"")/4))*XLOOKUP($Q807,'Threshold Summary'!$Y:$Y,'Threshold Summary'!$L:$L,""))/100)+5)*XLOOKUP(XLOOKUP($Q807,'Threshold Summary'!$Y:$Y,'Threshold Summary'!$M:$M,""),'Nature Editor'!$A:$A,'Nature Editor'!$B:$B,1)),FLOOR((FLOOR(((2*XLOOKUP(XLOOKUP($Q807,'Threshold Summary'!$Y:$Y,'Threshold Summary'!$K:$K,""),'Pokemon Editor'!$A:$A,'Pokemon Editor'!$H:$H,0)+31+FLOOR(XLOOKUP($Q807,'Threshold Summary'!$Y:$Y,'Threshold Summary'!$R:$R,"")/4))*XLOOKUP($Q807,'Threshold Summary'!$Y:$Y,'Threshold Summary'!$L:$L,""))/100)+5)*XLOOKUP(XLOOKUP($Q807,'Threshold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Editor'!$E:$E,1))),stab,IF(OR(mtype=XLOOKUP(XLOOKUP($Q807,'Threshold Summary'!$Y:$Y,'Threshold Summary'!$K:$K,""),'Pokemon Editor'!$A:$A,'Pokemon Editor'!$C:$C,""),mtype=XLOOKUP(XLOOKUP($Q807,'Threshold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Chart'!$B$1:$S$1,0)))),base,IF(OR(cat="Status",pow=0),0,FLOOR(FLOOR(FLOOR((2*XLOOKUP($Q807,'Threshold Summary'!$Y:$Y,'Threshold Summary'!$L:$L,"")/5+2)*pow*atk/def)/50)+2)),modifier,stab*eff,FLOOR(base*modifier*0.85)),0)</f>
        <v/>
      </c>
      <c r="K807" s="3">
        <f>IFERROR(LET(mtype,XLOOKUP($D807,'Move Editor'!$B:$B,'Move Editor'!$C:$C,""),cat,XLOOKUP($D807,'Move Editor'!$B:$B,'Move Editor'!$D:$D,""),pow,XLOOKUP($D807,'Move Editor'!$B:$B,'Move Editor'!$E:$E,0),acc,XLOOKUP($D807,'Move Editor'!$B:$B,'Move Editor'!$F:$F,100),atk,IF(cat="Physical",FLOOR((FLOOR(((2*XLOOKUP(XLOOKUP($Q807,'Threshold Summary'!$Y:$Y,'Threshold Summary'!$K:$K,""),'Pokemon Editor'!$A:$A,'Pokemon Editor'!$F:$F,0)+31+FLOOR(XLOOKUP($Q807,'Threshold Summary'!$Y:$Y,'Threshold Summary'!$P:$P,"")/4))*XLOOKUP($Q807,'Threshold Summary'!$Y:$Y,'Threshold Summary'!$L:$L,""))/100)+5)*XLOOKUP(XLOOKUP($Q807,'Threshold Summary'!$Y:$Y,'Threshold Summary'!$M:$M,""),'Nature Editor'!$A:$A,'Nature Editor'!$B:$B,1)),FLOOR((FLOOR(((2*XLOOKUP(XLOOKUP($Q807,'Threshold Summary'!$Y:$Y,'Threshold Summary'!$K:$K,""),'Pokemon Editor'!$A:$A,'Pokemon Editor'!$H:$H,0)+31+FLOOR(XLOOKUP($Q807,'Threshold Summary'!$Y:$Y,'Threshold Summary'!$R:$R,"")/4))*XLOOKUP($Q807,'Threshold Summary'!$Y:$Y,'Threshold Summary'!$L:$L,""))/100)+5)*XLOOKUP(XLOOKUP($Q807,'Threshold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Editor'!$E:$E,1))),stab,IF(OR(mtype=XLOOKUP(XLOOKUP($Q807,'Threshold Summary'!$Y:$Y,'Threshold Summary'!$K:$K,""),'Pokemon Editor'!$A:$A,'Pokemon Editor'!$C:$C,""),mtype=XLOOKUP(XLOOKUP($Q807,'Threshold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Chart'!$B$1:$S$1,0)))),base,IF(OR(cat="Status",pow=0),0,FLOOR(FLOOR(FLOOR((2*XLOOKUP($Q807,'Threshold Summary'!$Y:$Y,'Threshold Summary'!$L:$L,"")/5+2)*pow*atk/def)/50)+2)),modifier,stab*eff,FLOOR(base*modifier)),0)</f>
        <v/>
      </c>
      <c r="L807" s="3">
        <f>IFERROR(LET(mtype,XLOOKUP($D807,'Move Editor'!$B:$B,'Move Editor'!$C:$C,""),cat,XLOOKUP($D807,'Move Editor'!$B:$B,'Move Editor'!$D:$D,""),pow,XLOOKUP($D807,'Move Editor'!$B:$B,'Move Editor'!$E:$E,0),acc,XLOOKUP($D807,'Move Editor'!$B:$B,'Move Editor'!$F:$F,100),atk,IF(cat="Physical",FLOOR((FLOOR(((2*XLOOKUP(XLOOKUP($Q807,'Threshold Summary'!$Y:$Y,'Threshold Summary'!$K:$K,""),'Pokemon Editor'!$A:$A,'Pokemon Editor'!$F:$F,0)+31+FLOOR(XLOOKUP($Q807,'Threshold Summary'!$Y:$Y,'Threshold Summary'!$P:$P,"")/4))*XLOOKUP($Q807,'Threshold Summary'!$Y:$Y,'Threshold Summary'!$L:$L,""))/100)+5)*XLOOKUP(XLOOKUP($Q807,'Threshold Summary'!$Y:$Y,'Threshold Summary'!$M:$M,""),'Nature Editor'!$A:$A,'Nature Editor'!$B:$B,1)),FLOOR((FLOOR(((2*XLOOKUP(XLOOKUP($Q807,'Threshold Summary'!$Y:$Y,'Threshold Summary'!$K:$K,""),'Pokemon Editor'!$A:$A,'Pokemon Editor'!$H:$H,0)+31+FLOOR(XLOOKUP($Q807,'Threshold Summary'!$Y:$Y,'Threshold Summary'!$R:$R,"")/4))*XLOOKUP($Q807,'Threshold Summary'!$Y:$Y,'Threshold Summary'!$L:$L,""))/100)+5)*XLOOKUP(XLOOKUP($Q807,'Threshold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Editor'!$E:$E,1))),stab,IF(OR(mtype=XLOOKUP(XLOOKUP($Q807,'Threshold Summary'!$Y:$Y,'Threshold Summary'!$K:$K,""),'Pokemon Editor'!$A:$A,'Pokemon Editor'!$C:$C,""),mtype=XLOOKUP(XLOOKUP($Q807,'Threshold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Chart'!$B$1:$S$1,0)))),base,IF(OR(cat="Status",pow=0),0,FLOOR(FLOOR(FLOOR((2*XLOOKUP($Q807,'Threshold Summary'!$Y:$Y,'Threshold Summary'!$L:$L,"")/5+2)*pow*atk/def)/50)+2)),modifier,stab*eff,AVERAGE(ARRAYFORMULA(FLOOR(base*modifier*SEQUENCE(16,1,85,1)/100)))),0)</f>
        <v/>
      </c>
      <c r="M807" s="3">
        <f>IFERROR(LET(mtype,XLOOKUP($D807,'Move Editor'!$B:$B,'Move Editor'!$C:$C,""),cat,XLOOKUP($D807,'Move Editor'!$B:$B,'Move Editor'!$D:$D,""),pow,XLOOKUP($D807,'Move Editor'!$B:$B,'Move Editor'!$E:$E,0),acc,XLOOKUP($D807,'Move Editor'!$B:$B,'Move Editor'!$F:$F,100),atk,IF(cat="Physical",FLOOR((FLOOR(((2*XLOOKUP(XLOOKUP($Q807,'Threshold Summary'!$Y:$Y,'Threshold Summary'!$K:$K,""),'Pokemon Editor'!$A:$A,'Pokemon Editor'!$F:$F,0)+31+FLOOR(XLOOKUP($Q807,'Threshold Summary'!$Y:$Y,'Threshold Summary'!$P:$P,"")/4))*XLOOKUP($Q807,'Threshold Summary'!$Y:$Y,'Threshold Summary'!$L:$L,""))/100)+5)*XLOOKUP(XLOOKUP($Q807,'Threshold Summary'!$Y:$Y,'Threshold Summary'!$M:$M,""),'Nature Editor'!$A:$A,'Nature Editor'!$B:$B,1)),FLOOR((FLOOR(((2*XLOOKUP(XLOOKUP($Q807,'Threshold Summary'!$Y:$Y,'Threshold Summary'!$K:$K,""),'Pokemon Editor'!$A:$A,'Pokemon Editor'!$H:$H,0)+31+FLOOR(XLOOKUP($Q807,'Threshold Summary'!$Y:$Y,'Threshold Summary'!$R:$R,"")/4))*XLOOKUP($Q807,'Threshold Summary'!$Y:$Y,'Threshold Summary'!$L:$L,""))/100)+5)*XLOOKUP(XLOOKUP($Q807,'Threshold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Editor'!$E:$E,1))),stab,IF(OR(mtype=XLOOKUP(XLOOKUP($Q807,'Threshold Summary'!$Y:$Y,'Threshold Summary'!$K:$K,""),'Pokemon Editor'!$A:$A,'Pokemon Editor'!$C:$C,""),mtype=XLOOKUP(XLOOKUP($Q807,'Threshold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Chart'!$B$1:$S$1,0)))),base,IF(OR(cat="Status",pow=0),0,FLOOR(FLOOR(FLOOR((2*XLOOKUP($Q807,'Threshold Summary'!$Y:$Y,'Threshold Summary'!$L:$L,"")/5+2)*pow*atk/def)/50)+2)),modifier,stab*eff,AVERAGE(ARRAYFORMULA(FLOOR(base*modifier*SEQUENCE(16,1,85,1)/100)))*MIN(1,acc/100)),0)</f>
        <v/>
      </c>
      <c r="N807" s="4">
        <f>IFERROR(LET(mtype,XLOOKUP($D807,'Move Editor'!$B:$B,'Move Editor'!$C:$C,""),cat,XLOOKUP($D807,'Move Editor'!$B:$B,'Move Editor'!$D:$D,""),pow,XLOOKUP($D807,'Move Editor'!$B:$B,'Move Editor'!$E:$E,0),acc,XLOOKUP($D807,'Move Editor'!$B:$B,'Move Editor'!$F:$F,100),atk,IF(cat="Physical",FLOOR((FLOOR(((2*XLOOKUP(XLOOKUP($Q807,'Threshold Summary'!$Y:$Y,'Threshold Summary'!$K:$K,""),'Pokemon Editor'!$A:$A,'Pokemon Editor'!$F:$F,0)+31+FLOOR(XLOOKUP($Q807,'Threshold Summary'!$Y:$Y,'Threshold Summary'!$P:$P,"")/4))*XLOOKUP($Q807,'Threshold Summary'!$Y:$Y,'Threshold Summary'!$L:$L,""))/100)+5)*XLOOKUP(XLOOKUP($Q807,'Threshold Summary'!$Y:$Y,'Threshold Summary'!$M:$M,""),'Nature Editor'!$A:$A,'Nature Editor'!$B:$B,1)),FLOOR((FLOOR(((2*XLOOKUP(XLOOKUP($Q807,'Threshold Summary'!$Y:$Y,'Threshold Summary'!$K:$K,""),'Pokemon Editor'!$A:$A,'Pokemon Editor'!$H:$H,0)+31+FLOOR(XLOOKUP($Q807,'Threshold Summary'!$Y:$Y,'Threshold Summary'!$R:$R,"")/4))*XLOOKUP($Q807,'Threshold Summary'!$Y:$Y,'Threshold Summary'!$L:$L,""))/100)+5)*XLOOKUP(XLOOKUP($Q807,'Threshold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Editor'!$E:$E,1))),stab,IF(OR(mtype=XLOOKUP(XLOOKUP($Q807,'Threshold Summary'!$Y:$Y,'Threshold Summary'!$K:$K,""),'Pokemon Editor'!$A:$A,'Pokemon Editor'!$C:$C,""),mtype=XLOOKUP(XLOOKUP($Q807,'Threshold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Chart'!$B$1:$S$1,0)))),base,IF(OR(cat="Status",pow=0),0,FLOOR(FLOOR(FLOOR((2*XLOOKUP($Q807,'Threshold Summary'!$Y:$Y,'Threshold Summary'!$L:$L,"")/5+2)*pow*atk/def)/50)+2)),modifier,stab*eff,AVERAGE(ARRAYFORMULA(FLOOR(base*modifier*SEQUENCE(16,1,85,1)/100)))/(FLOOR(((2*XLOOKUP('Boss Editor'!$C$4,'Pokemon Editor'!$A:$A,'Pokemon Editor'!$E:$E,0)+31+FLOOR('Boss Editor'!$G$4/4))*'Boss Editor'!$D$4)/100)+'Boss Editor'!$D$4+10)),0)</f>
        <v/>
      </c>
      <c r="O807" s="3">
        <f>IF(N807&gt;=1,"OHKO",IF(N807&gt;=0.5,"2HKO",IF(N807&gt;=0.333,"3HKO",IF(N807&gt;=0.25,"4HKO","5HKO+"))))</f>
        <v/>
      </c>
      <c r="P807" s="3" t="inlineStr">
        <is>
          <t>Live from editable databases</t>
        </is>
      </c>
      <c r="Q807" s="3" t="inlineStr">
        <is>
          <t>SPECIES_BLIPBUG</t>
        </is>
      </c>
      <c r="R807" s="3" t="n">
        <v>6</v>
      </c>
    </row>
    <row r="808">
      <c r="A808" s="3">
        <f>XLOOKUP($Q808,'Threshold Summary'!$Y:$Y,'Threshold Summary'!$A:$A,"")</f>
        <v/>
      </c>
      <c r="B808" s="3">
        <f>XLOOKUP($Q808,'Threshold Summary'!$Y:$Y,'Threshold Summary'!$M:$M,"")</f>
        <v/>
      </c>
      <c r="C808" s="3">
        <f>XLOOKUP($Q808,'Threshold Summary'!$Y:$Y,'Threshold Summary'!$N:$N,"")</f>
        <v/>
      </c>
      <c r="D808" s="3">
        <f>IFERROR(INDEX(FILTER('Learnset Editor'!$D$2:$D,'Learnset Editor'!$A$2:$A=XLOOKUP($Q808,'Threshold Summary'!$Y:$Y,'Threshold Summary'!$K:$K,""),'Learnset Editor'!$C$2:$C&lt;=XLOOKUP($Q808,'Threshold Summary'!$Y:$Y,'Threshold Summary'!$L:$L,"")),$R808),"")</f>
        <v/>
      </c>
      <c r="E808" s="3">
        <f>XLOOKUP(D808,'Move Editor'!$B:$B,'Move Editor'!$C:$C,"")</f>
        <v/>
      </c>
      <c r="F808" s="3">
        <f>XLOOKUP(D808,'Move Editor'!$B:$B,'Move Editor'!$D:$D,"")</f>
        <v/>
      </c>
      <c r="G808" s="3">
        <f>XLOOKUP(D808,'Move Editor'!$B:$B,'Move Editor'!$E:$E,0)</f>
        <v/>
      </c>
      <c r="H808" s="3">
        <f>XLOOKUP(D808,'Move Editor'!$B:$B,'Move Editor'!$F:$F,0)</f>
        <v/>
      </c>
      <c r="I808" s="3">
        <f>(INDEX('Type Chart'!$B:$S,MATCH(E808,'Type Chart'!$A:$A,0),MATCH(XLOOKUP('Boss Editor'!$C$4,'Pokemon Editor'!$A:$A,'Pokemon Editor'!$C:$C,""),'Type Chart'!$B$1:$S$1,0))*IF(XLOOKUP('Boss Editor'!$C$4,'Pokemon Editor'!$A:$A,'Pokemon Editor'!$D:$D,"")="",1,INDEX('Type Chart'!$B:$S,MATCH(E808,'Type Chart'!$A:$A,0),MATCH(XLOOKUP('Boss Editor'!$C$4,'Pokemon Editor'!$A:$A,'Pokemon Editor'!$D:$D,""),'Type Chart'!$B$1:$S$1,0))))</f>
        <v/>
      </c>
      <c r="J808" s="3">
        <f>IFERROR(LET(mtype,XLOOKUP($D808,'Move Editor'!$B:$B,'Move Editor'!$C:$C,""),cat,XLOOKUP($D808,'Move Editor'!$B:$B,'Move Editor'!$D:$D,""),pow,XLOOKUP($D808,'Move Editor'!$B:$B,'Move Editor'!$E:$E,0),acc,XLOOKUP($D808,'Move Editor'!$B:$B,'Move Editor'!$F:$F,100),atk,IF(cat="Physical",FLOOR((FLOOR(((2*XLOOKUP(XLOOKUP($Q808,'Threshold Summary'!$Y:$Y,'Threshold Summary'!$K:$K,""),'Pokemon Editor'!$A:$A,'Pokemon Editor'!$F:$F,0)+31+FLOOR(XLOOKUP($Q808,'Threshold Summary'!$Y:$Y,'Threshold Summary'!$P:$P,"")/4))*XLOOKUP($Q808,'Threshold Summary'!$Y:$Y,'Threshold Summary'!$L:$L,""))/100)+5)*XLOOKUP(XLOOKUP($Q808,'Threshold Summary'!$Y:$Y,'Threshold Summary'!$M:$M,""),'Nature Editor'!$A:$A,'Nature Editor'!$B:$B,1)),FLOOR((FLOOR(((2*XLOOKUP(XLOOKUP($Q808,'Threshold Summary'!$Y:$Y,'Threshold Summary'!$K:$K,""),'Pokemon Editor'!$A:$A,'Pokemon Editor'!$H:$H,0)+31+FLOOR(XLOOKUP($Q808,'Threshold Summary'!$Y:$Y,'Threshold Summary'!$R:$R,"")/4))*XLOOKUP($Q808,'Threshold Summary'!$Y:$Y,'Threshold Summary'!$L:$L,""))/100)+5)*XLOOKUP(XLOOKUP($Q808,'Threshold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Editor'!$E:$E,1))),stab,IF(OR(mtype=XLOOKUP(XLOOKUP($Q808,'Threshold Summary'!$Y:$Y,'Threshold Summary'!$K:$K,""),'Pokemon Editor'!$A:$A,'Pokemon Editor'!$C:$C,""),mtype=XLOOKUP(XLOOKUP($Q808,'Threshold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Chart'!$B$1:$S$1,0)))),base,IF(OR(cat="Status",pow=0),0,FLOOR(FLOOR(FLOOR((2*XLOOKUP($Q808,'Threshold Summary'!$Y:$Y,'Threshold Summary'!$L:$L,"")/5+2)*pow*atk/def)/50)+2)),modifier,stab*eff,FLOOR(base*modifier*0.85)),0)</f>
        <v/>
      </c>
      <c r="K808" s="3">
        <f>IFERROR(LET(mtype,XLOOKUP($D808,'Move Editor'!$B:$B,'Move Editor'!$C:$C,""),cat,XLOOKUP($D808,'Move Editor'!$B:$B,'Move Editor'!$D:$D,""),pow,XLOOKUP($D808,'Move Editor'!$B:$B,'Move Editor'!$E:$E,0),acc,XLOOKUP($D808,'Move Editor'!$B:$B,'Move Editor'!$F:$F,100),atk,IF(cat="Physical",FLOOR((FLOOR(((2*XLOOKUP(XLOOKUP($Q808,'Threshold Summary'!$Y:$Y,'Threshold Summary'!$K:$K,""),'Pokemon Editor'!$A:$A,'Pokemon Editor'!$F:$F,0)+31+FLOOR(XLOOKUP($Q808,'Threshold Summary'!$Y:$Y,'Threshold Summary'!$P:$P,"")/4))*XLOOKUP($Q808,'Threshold Summary'!$Y:$Y,'Threshold Summary'!$L:$L,""))/100)+5)*XLOOKUP(XLOOKUP($Q808,'Threshold Summary'!$Y:$Y,'Threshold Summary'!$M:$M,""),'Nature Editor'!$A:$A,'Nature Editor'!$B:$B,1)),FLOOR((FLOOR(((2*XLOOKUP(XLOOKUP($Q808,'Threshold Summary'!$Y:$Y,'Threshold Summary'!$K:$K,""),'Pokemon Editor'!$A:$A,'Pokemon Editor'!$H:$H,0)+31+FLOOR(XLOOKUP($Q808,'Threshold Summary'!$Y:$Y,'Threshold Summary'!$R:$R,"")/4))*XLOOKUP($Q808,'Threshold Summary'!$Y:$Y,'Threshold Summary'!$L:$L,""))/100)+5)*XLOOKUP(XLOOKUP($Q808,'Threshold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Editor'!$E:$E,1))),stab,IF(OR(mtype=XLOOKUP(XLOOKUP($Q808,'Threshold Summary'!$Y:$Y,'Threshold Summary'!$K:$K,""),'Pokemon Editor'!$A:$A,'Pokemon Editor'!$C:$C,""),mtype=XLOOKUP(XLOOKUP($Q808,'Threshold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Chart'!$B$1:$S$1,0)))),base,IF(OR(cat="Status",pow=0),0,FLOOR(FLOOR(FLOOR((2*XLOOKUP($Q808,'Threshold Summary'!$Y:$Y,'Threshold Summary'!$L:$L,"")/5+2)*pow*atk/def)/50)+2)),modifier,stab*eff,FLOOR(base*modifier)),0)</f>
        <v/>
      </c>
      <c r="L808" s="3">
        <f>IFERROR(LET(mtype,XLOOKUP($D808,'Move Editor'!$B:$B,'Move Editor'!$C:$C,""),cat,XLOOKUP($D808,'Move Editor'!$B:$B,'Move Editor'!$D:$D,""),pow,XLOOKUP($D808,'Move Editor'!$B:$B,'Move Editor'!$E:$E,0),acc,XLOOKUP($D808,'Move Editor'!$B:$B,'Move Editor'!$F:$F,100),atk,IF(cat="Physical",FLOOR((FLOOR(((2*XLOOKUP(XLOOKUP($Q808,'Threshold Summary'!$Y:$Y,'Threshold Summary'!$K:$K,""),'Pokemon Editor'!$A:$A,'Pokemon Editor'!$F:$F,0)+31+FLOOR(XLOOKUP($Q808,'Threshold Summary'!$Y:$Y,'Threshold Summary'!$P:$P,"")/4))*XLOOKUP($Q808,'Threshold Summary'!$Y:$Y,'Threshold Summary'!$L:$L,""))/100)+5)*XLOOKUP(XLOOKUP($Q808,'Threshold Summary'!$Y:$Y,'Threshold Summary'!$M:$M,""),'Nature Editor'!$A:$A,'Nature Editor'!$B:$B,1)),FLOOR((FLOOR(((2*XLOOKUP(XLOOKUP($Q808,'Threshold Summary'!$Y:$Y,'Threshold Summary'!$K:$K,""),'Pokemon Editor'!$A:$A,'Pokemon Editor'!$H:$H,0)+31+FLOOR(XLOOKUP($Q808,'Threshold Summary'!$Y:$Y,'Threshold Summary'!$R:$R,"")/4))*XLOOKUP($Q808,'Threshold Summary'!$Y:$Y,'Threshold Summary'!$L:$L,""))/100)+5)*XLOOKUP(XLOOKUP($Q808,'Threshold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Editor'!$E:$E,1))),stab,IF(OR(mtype=XLOOKUP(XLOOKUP($Q808,'Threshold Summary'!$Y:$Y,'Threshold Summary'!$K:$K,""),'Pokemon Editor'!$A:$A,'Pokemon Editor'!$C:$C,""),mtype=XLOOKUP(XLOOKUP($Q808,'Threshold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Chart'!$B$1:$S$1,0)))),base,IF(OR(cat="Status",pow=0),0,FLOOR(FLOOR(FLOOR((2*XLOOKUP($Q808,'Threshold Summary'!$Y:$Y,'Threshold Summary'!$L:$L,"")/5+2)*pow*atk/def)/50)+2)),modifier,stab*eff,AVERAGE(ARRAYFORMULA(FLOOR(base*modifier*SEQUENCE(16,1,85,1)/100)))),0)</f>
        <v/>
      </c>
      <c r="M808" s="3">
        <f>IFERROR(LET(mtype,XLOOKUP($D808,'Move Editor'!$B:$B,'Move Editor'!$C:$C,""),cat,XLOOKUP($D808,'Move Editor'!$B:$B,'Move Editor'!$D:$D,""),pow,XLOOKUP($D808,'Move Editor'!$B:$B,'Move Editor'!$E:$E,0),acc,XLOOKUP($D808,'Move Editor'!$B:$B,'Move Editor'!$F:$F,100),atk,IF(cat="Physical",FLOOR((FLOOR(((2*XLOOKUP(XLOOKUP($Q808,'Threshold Summary'!$Y:$Y,'Threshold Summary'!$K:$K,""),'Pokemon Editor'!$A:$A,'Pokemon Editor'!$F:$F,0)+31+FLOOR(XLOOKUP($Q808,'Threshold Summary'!$Y:$Y,'Threshold Summary'!$P:$P,"")/4))*XLOOKUP($Q808,'Threshold Summary'!$Y:$Y,'Threshold Summary'!$L:$L,""))/100)+5)*XLOOKUP(XLOOKUP($Q808,'Threshold Summary'!$Y:$Y,'Threshold Summary'!$M:$M,""),'Nature Editor'!$A:$A,'Nature Editor'!$B:$B,1)),FLOOR((FLOOR(((2*XLOOKUP(XLOOKUP($Q808,'Threshold Summary'!$Y:$Y,'Threshold Summary'!$K:$K,""),'Pokemon Editor'!$A:$A,'Pokemon Editor'!$H:$H,0)+31+FLOOR(XLOOKUP($Q808,'Threshold Summary'!$Y:$Y,'Threshold Summary'!$R:$R,"")/4))*XLOOKUP($Q808,'Threshold Summary'!$Y:$Y,'Threshold Summary'!$L:$L,""))/100)+5)*XLOOKUP(XLOOKUP($Q808,'Threshold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Editor'!$E:$E,1))),stab,IF(OR(mtype=XLOOKUP(XLOOKUP($Q808,'Threshold Summary'!$Y:$Y,'Threshold Summary'!$K:$K,""),'Pokemon Editor'!$A:$A,'Pokemon Editor'!$C:$C,""),mtype=XLOOKUP(XLOOKUP($Q808,'Threshold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Chart'!$B$1:$S$1,0)))),base,IF(OR(cat="Status",pow=0),0,FLOOR(FLOOR(FLOOR((2*XLOOKUP($Q808,'Threshold Summary'!$Y:$Y,'Threshold Summary'!$L:$L,"")/5+2)*pow*atk/def)/50)+2)),modifier,stab*eff,AVERAGE(ARRAYFORMULA(FLOOR(base*modifier*SEQUENCE(16,1,85,1)/100)))*MIN(1,acc/100)),0)</f>
        <v/>
      </c>
      <c r="N808" s="4">
        <f>IFERROR(LET(mtype,XLOOKUP($D808,'Move Editor'!$B:$B,'Move Editor'!$C:$C,""),cat,XLOOKUP($D808,'Move Editor'!$B:$B,'Move Editor'!$D:$D,""),pow,XLOOKUP($D808,'Move Editor'!$B:$B,'Move Editor'!$E:$E,0),acc,XLOOKUP($D808,'Move Editor'!$B:$B,'Move Editor'!$F:$F,100),atk,IF(cat="Physical",FLOOR((FLOOR(((2*XLOOKUP(XLOOKUP($Q808,'Threshold Summary'!$Y:$Y,'Threshold Summary'!$K:$K,""),'Pokemon Editor'!$A:$A,'Pokemon Editor'!$F:$F,0)+31+FLOOR(XLOOKUP($Q808,'Threshold Summary'!$Y:$Y,'Threshold Summary'!$P:$P,"")/4))*XLOOKUP($Q808,'Threshold Summary'!$Y:$Y,'Threshold Summary'!$L:$L,""))/100)+5)*XLOOKUP(XLOOKUP($Q808,'Threshold Summary'!$Y:$Y,'Threshold Summary'!$M:$M,""),'Nature Editor'!$A:$A,'Nature Editor'!$B:$B,1)),FLOOR((FLOOR(((2*XLOOKUP(XLOOKUP($Q808,'Threshold Summary'!$Y:$Y,'Threshold Summary'!$K:$K,""),'Pokemon Editor'!$A:$A,'Pokemon Editor'!$H:$H,0)+31+FLOOR(XLOOKUP($Q808,'Threshold Summary'!$Y:$Y,'Threshold Summary'!$R:$R,"")/4))*XLOOKUP($Q808,'Threshold Summary'!$Y:$Y,'Threshold Summary'!$L:$L,""))/100)+5)*XLOOKUP(XLOOKUP($Q808,'Threshold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Editor'!$E:$E,1))),stab,IF(OR(mtype=XLOOKUP(XLOOKUP($Q808,'Threshold Summary'!$Y:$Y,'Threshold Summary'!$K:$K,""),'Pokemon Editor'!$A:$A,'Pokemon Editor'!$C:$C,""),mtype=XLOOKUP(XLOOKUP($Q808,'Threshold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Chart'!$B$1:$S$1,0)))),base,IF(OR(cat="Status",pow=0),0,FLOOR(FLOOR(FLOOR((2*XLOOKUP($Q808,'Threshold Summary'!$Y:$Y,'Threshold Summary'!$L:$L,"")/5+2)*pow*atk/def)/50)+2)),modifier,stab*eff,AVERAGE(ARRAYFORMULA(FLOOR(base*modifier*SEQUENCE(16,1,85,1)/100)))/(FLOOR(((2*XLOOKUP('Boss Editor'!$C$4,'Pokemon Editor'!$A:$A,'Pokemon Editor'!$E:$E,0)+31+FLOOR('Boss Editor'!$G$4/4))*'Boss Editor'!$D$4)/100)+'Boss Editor'!$D$4+10)),0)</f>
        <v/>
      </c>
      <c r="O808" s="3">
        <f>IF(N808&gt;=1,"OHKO",IF(N808&gt;=0.5,"2HKO",IF(N808&gt;=0.333,"3HKO",IF(N808&gt;=0.25,"4HKO","5HKO+"))))</f>
        <v/>
      </c>
      <c r="P808" s="3" t="inlineStr">
        <is>
          <t>Live from editable databases</t>
        </is>
      </c>
      <c r="Q808" s="3" t="inlineStr">
        <is>
          <t>SPECIES_BLIPBUG</t>
        </is>
      </c>
      <c r="R808" s="3" t="n">
        <v>7</v>
      </c>
    </row>
    <row r="809">
      <c r="A809" s="3">
        <f>XLOOKUP($Q809,'Threshold Summary'!$Y:$Y,'Threshold Summary'!$A:$A,"")</f>
        <v/>
      </c>
      <c r="B809" s="3">
        <f>XLOOKUP($Q809,'Threshold Summary'!$Y:$Y,'Threshold Summary'!$M:$M,"")</f>
        <v/>
      </c>
      <c r="C809" s="3">
        <f>XLOOKUP($Q809,'Threshold Summary'!$Y:$Y,'Threshold Summary'!$N:$N,"")</f>
        <v/>
      </c>
      <c r="D809" s="3">
        <f>IFERROR(INDEX(FILTER('Learnset Editor'!$D$2:$D,'Learnset Editor'!$A$2:$A=XLOOKUP($Q809,'Threshold Summary'!$Y:$Y,'Threshold Summary'!$K:$K,""),'Learnset Editor'!$C$2:$C&lt;=XLOOKUP($Q809,'Threshold Summary'!$Y:$Y,'Threshold Summary'!$L:$L,"")),$R809),"")</f>
        <v/>
      </c>
      <c r="E809" s="3">
        <f>XLOOKUP(D809,'Move Editor'!$B:$B,'Move Editor'!$C:$C,"")</f>
        <v/>
      </c>
      <c r="F809" s="3">
        <f>XLOOKUP(D809,'Move Editor'!$B:$B,'Move Editor'!$D:$D,"")</f>
        <v/>
      </c>
      <c r="G809" s="3">
        <f>XLOOKUP(D809,'Move Editor'!$B:$B,'Move Editor'!$E:$E,0)</f>
        <v/>
      </c>
      <c r="H809" s="3">
        <f>XLOOKUP(D809,'Move Editor'!$B:$B,'Move Editor'!$F:$F,0)</f>
        <v/>
      </c>
      <c r="I809" s="3">
        <f>(INDEX('Type Chart'!$B:$S,MATCH(E809,'Type Chart'!$A:$A,0),MATCH(XLOOKUP('Boss Editor'!$C$4,'Pokemon Editor'!$A:$A,'Pokemon Editor'!$C:$C,""),'Type Chart'!$B$1:$S$1,0))*IF(XLOOKUP('Boss Editor'!$C$4,'Pokemon Editor'!$A:$A,'Pokemon Editor'!$D:$D,"")="",1,INDEX('Type Chart'!$B:$S,MATCH(E809,'Type Chart'!$A:$A,0),MATCH(XLOOKUP('Boss Editor'!$C$4,'Pokemon Editor'!$A:$A,'Pokemon Editor'!$D:$D,""),'Type Chart'!$B$1:$S$1,0))))</f>
        <v/>
      </c>
      <c r="J809" s="3">
        <f>IFERROR(LET(mtype,XLOOKUP($D809,'Move Editor'!$B:$B,'Move Editor'!$C:$C,""),cat,XLOOKUP($D809,'Move Editor'!$B:$B,'Move Editor'!$D:$D,""),pow,XLOOKUP($D809,'Move Editor'!$B:$B,'Move Editor'!$E:$E,0),acc,XLOOKUP($D809,'Move Editor'!$B:$B,'Move Editor'!$F:$F,100),atk,IF(cat="Physical",FLOOR((FLOOR(((2*XLOOKUP(XLOOKUP($Q809,'Threshold Summary'!$Y:$Y,'Threshold Summary'!$K:$K,""),'Pokemon Editor'!$A:$A,'Pokemon Editor'!$F:$F,0)+31+FLOOR(XLOOKUP($Q809,'Threshold Summary'!$Y:$Y,'Threshold Summary'!$P:$P,"")/4))*XLOOKUP($Q809,'Threshold Summary'!$Y:$Y,'Threshold Summary'!$L:$L,""))/100)+5)*XLOOKUP(XLOOKUP($Q809,'Threshold Summary'!$Y:$Y,'Threshold Summary'!$M:$M,""),'Nature Editor'!$A:$A,'Nature Editor'!$B:$B,1)),FLOOR((FLOOR(((2*XLOOKUP(XLOOKUP($Q809,'Threshold Summary'!$Y:$Y,'Threshold Summary'!$K:$K,""),'Pokemon Editor'!$A:$A,'Pokemon Editor'!$H:$H,0)+31+FLOOR(XLOOKUP($Q809,'Threshold Summary'!$Y:$Y,'Threshold Summary'!$R:$R,"")/4))*XLOOKUP($Q809,'Threshold Summary'!$Y:$Y,'Threshold Summary'!$L:$L,""))/100)+5)*XLOOKUP(XLOOKUP($Q809,'Threshold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Editor'!$E:$E,1))),stab,IF(OR(mtype=XLOOKUP(XLOOKUP($Q809,'Threshold Summary'!$Y:$Y,'Threshold Summary'!$K:$K,""),'Pokemon Editor'!$A:$A,'Pokemon Editor'!$C:$C,""),mtype=XLOOKUP(XLOOKUP($Q809,'Threshold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Chart'!$B$1:$S$1,0)))),base,IF(OR(cat="Status",pow=0),0,FLOOR(FLOOR(FLOOR((2*XLOOKUP($Q809,'Threshold Summary'!$Y:$Y,'Threshold Summary'!$L:$L,"")/5+2)*pow*atk/def)/50)+2)),modifier,stab*eff,FLOOR(base*modifier*0.85)),0)</f>
        <v/>
      </c>
      <c r="K809" s="3">
        <f>IFERROR(LET(mtype,XLOOKUP($D809,'Move Editor'!$B:$B,'Move Editor'!$C:$C,""),cat,XLOOKUP($D809,'Move Editor'!$B:$B,'Move Editor'!$D:$D,""),pow,XLOOKUP($D809,'Move Editor'!$B:$B,'Move Editor'!$E:$E,0),acc,XLOOKUP($D809,'Move Editor'!$B:$B,'Move Editor'!$F:$F,100),atk,IF(cat="Physical",FLOOR((FLOOR(((2*XLOOKUP(XLOOKUP($Q809,'Threshold Summary'!$Y:$Y,'Threshold Summary'!$K:$K,""),'Pokemon Editor'!$A:$A,'Pokemon Editor'!$F:$F,0)+31+FLOOR(XLOOKUP($Q809,'Threshold Summary'!$Y:$Y,'Threshold Summary'!$P:$P,"")/4))*XLOOKUP($Q809,'Threshold Summary'!$Y:$Y,'Threshold Summary'!$L:$L,""))/100)+5)*XLOOKUP(XLOOKUP($Q809,'Threshold Summary'!$Y:$Y,'Threshold Summary'!$M:$M,""),'Nature Editor'!$A:$A,'Nature Editor'!$B:$B,1)),FLOOR((FLOOR(((2*XLOOKUP(XLOOKUP($Q809,'Threshold Summary'!$Y:$Y,'Threshold Summary'!$K:$K,""),'Pokemon Editor'!$A:$A,'Pokemon Editor'!$H:$H,0)+31+FLOOR(XLOOKUP($Q809,'Threshold Summary'!$Y:$Y,'Threshold Summary'!$R:$R,"")/4))*XLOOKUP($Q809,'Threshold Summary'!$Y:$Y,'Threshold Summary'!$L:$L,""))/100)+5)*XLOOKUP(XLOOKUP($Q809,'Threshold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Editor'!$E:$E,1))),stab,IF(OR(mtype=XLOOKUP(XLOOKUP($Q809,'Threshold Summary'!$Y:$Y,'Threshold Summary'!$K:$K,""),'Pokemon Editor'!$A:$A,'Pokemon Editor'!$C:$C,""),mtype=XLOOKUP(XLOOKUP($Q809,'Threshold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Chart'!$B$1:$S$1,0)))),base,IF(OR(cat="Status",pow=0),0,FLOOR(FLOOR(FLOOR((2*XLOOKUP($Q809,'Threshold Summary'!$Y:$Y,'Threshold Summary'!$L:$L,"")/5+2)*pow*atk/def)/50)+2)),modifier,stab*eff,FLOOR(base*modifier)),0)</f>
        <v/>
      </c>
      <c r="L809" s="3">
        <f>IFERROR(LET(mtype,XLOOKUP($D809,'Move Editor'!$B:$B,'Move Editor'!$C:$C,""),cat,XLOOKUP($D809,'Move Editor'!$B:$B,'Move Editor'!$D:$D,""),pow,XLOOKUP($D809,'Move Editor'!$B:$B,'Move Editor'!$E:$E,0),acc,XLOOKUP($D809,'Move Editor'!$B:$B,'Move Editor'!$F:$F,100),atk,IF(cat="Physical",FLOOR((FLOOR(((2*XLOOKUP(XLOOKUP($Q809,'Threshold Summary'!$Y:$Y,'Threshold Summary'!$K:$K,""),'Pokemon Editor'!$A:$A,'Pokemon Editor'!$F:$F,0)+31+FLOOR(XLOOKUP($Q809,'Threshold Summary'!$Y:$Y,'Threshold Summary'!$P:$P,"")/4))*XLOOKUP($Q809,'Threshold Summary'!$Y:$Y,'Threshold Summary'!$L:$L,""))/100)+5)*XLOOKUP(XLOOKUP($Q809,'Threshold Summary'!$Y:$Y,'Threshold Summary'!$M:$M,""),'Nature Editor'!$A:$A,'Nature Editor'!$B:$B,1)),FLOOR((FLOOR(((2*XLOOKUP(XLOOKUP($Q809,'Threshold Summary'!$Y:$Y,'Threshold Summary'!$K:$K,""),'Pokemon Editor'!$A:$A,'Pokemon Editor'!$H:$H,0)+31+FLOOR(XLOOKUP($Q809,'Threshold Summary'!$Y:$Y,'Threshold Summary'!$R:$R,"")/4))*XLOOKUP($Q809,'Threshold Summary'!$Y:$Y,'Threshold Summary'!$L:$L,""))/100)+5)*XLOOKUP(XLOOKUP($Q809,'Threshold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Editor'!$E:$E,1))),stab,IF(OR(mtype=XLOOKUP(XLOOKUP($Q809,'Threshold Summary'!$Y:$Y,'Threshold Summary'!$K:$K,""),'Pokemon Editor'!$A:$A,'Pokemon Editor'!$C:$C,""),mtype=XLOOKUP(XLOOKUP($Q809,'Threshold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Chart'!$B$1:$S$1,0)))),base,IF(OR(cat="Status",pow=0),0,FLOOR(FLOOR(FLOOR((2*XLOOKUP($Q809,'Threshold Summary'!$Y:$Y,'Threshold Summary'!$L:$L,"")/5+2)*pow*atk/def)/50)+2)),modifier,stab*eff,AVERAGE(ARRAYFORMULA(FLOOR(base*modifier*SEQUENCE(16,1,85,1)/100)))),0)</f>
        <v/>
      </c>
      <c r="M809" s="3">
        <f>IFERROR(LET(mtype,XLOOKUP($D809,'Move Editor'!$B:$B,'Move Editor'!$C:$C,""),cat,XLOOKUP($D809,'Move Editor'!$B:$B,'Move Editor'!$D:$D,""),pow,XLOOKUP($D809,'Move Editor'!$B:$B,'Move Editor'!$E:$E,0),acc,XLOOKUP($D809,'Move Editor'!$B:$B,'Move Editor'!$F:$F,100),atk,IF(cat="Physical",FLOOR((FLOOR(((2*XLOOKUP(XLOOKUP($Q809,'Threshold Summary'!$Y:$Y,'Threshold Summary'!$K:$K,""),'Pokemon Editor'!$A:$A,'Pokemon Editor'!$F:$F,0)+31+FLOOR(XLOOKUP($Q809,'Threshold Summary'!$Y:$Y,'Threshold Summary'!$P:$P,"")/4))*XLOOKUP($Q809,'Threshold Summary'!$Y:$Y,'Threshold Summary'!$L:$L,""))/100)+5)*XLOOKUP(XLOOKUP($Q809,'Threshold Summary'!$Y:$Y,'Threshold Summary'!$M:$M,""),'Nature Editor'!$A:$A,'Nature Editor'!$B:$B,1)),FLOOR((FLOOR(((2*XLOOKUP(XLOOKUP($Q809,'Threshold Summary'!$Y:$Y,'Threshold Summary'!$K:$K,""),'Pokemon Editor'!$A:$A,'Pokemon Editor'!$H:$H,0)+31+FLOOR(XLOOKUP($Q809,'Threshold Summary'!$Y:$Y,'Threshold Summary'!$R:$R,"")/4))*XLOOKUP($Q809,'Threshold Summary'!$Y:$Y,'Threshold Summary'!$L:$L,""))/100)+5)*XLOOKUP(XLOOKUP($Q809,'Threshold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Editor'!$E:$E,1))),stab,IF(OR(mtype=XLOOKUP(XLOOKUP($Q809,'Threshold Summary'!$Y:$Y,'Threshold Summary'!$K:$K,""),'Pokemon Editor'!$A:$A,'Pokemon Editor'!$C:$C,""),mtype=XLOOKUP(XLOOKUP($Q809,'Threshold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Chart'!$B$1:$S$1,0)))),base,IF(OR(cat="Status",pow=0),0,FLOOR(FLOOR(FLOOR((2*XLOOKUP($Q809,'Threshold Summary'!$Y:$Y,'Threshold Summary'!$L:$L,"")/5+2)*pow*atk/def)/50)+2)),modifier,stab*eff,AVERAGE(ARRAYFORMULA(FLOOR(base*modifier*SEQUENCE(16,1,85,1)/100)))*MIN(1,acc/100)),0)</f>
        <v/>
      </c>
      <c r="N809" s="4">
        <f>IFERROR(LET(mtype,XLOOKUP($D809,'Move Editor'!$B:$B,'Move Editor'!$C:$C,""),cat,XLOOKUP($D809,'Move Editor'!$B:$B,'Move Editor'!$D:$D,""),pow,XLOOKUP($D809,'Move Editor'!$B:$B,'Move Editor'!$E:$E,0),acc,XLOOKUP($D809,'Move Editor'!$B:$B,'Move Editor'!$F:$F,100),atk,IF(cat="Physical",FLOOR((FLOOR(((2*XLOOKUP(XLOOKUP($Q809,'Threshold Summary'!$Y:$Y,'Threshold Summary'!$K:$K,""),'Pokemon Editor'!$A:$A,'Pokemon Editor'!$F:$F,0)+31+FLOOR(XLOOKUP($Q809,'Threshold Summary'!$Y:$Y,'Threshold Summary'!$P:$P,"")/4))*XLOOKUP($Q809,'Threshold Summary'!$Y:$Y,'Threshold Summary'!$L:$L,""))/100)+5)*XLOOKUP(XLOOKUP($Q809,'Threshold Summary'!$Y:$Y,'Threshold Summary'!$M:$M,""),'Nature Editor'!$A:$A,'Nature Editor'!$B:$B,1)),FLOOR((FLOOR(((2*XLOOKUP(XLOOKUP($Q809,'Threshold Summary'!$Y:$Y,'Threshold Summary'!$K:$K,""),'Pokemon Editor'!$A:$A,'Pokemon Editor'!$H:$H,0)+31+FLOOR(XLOOKUP($Q809,'Threshold Summary'!$Y:$Y,'Threshold Summary'!$R:$R,"")/4))*XLOOKUP($Q809,'Threshold Summary'!$Y:$Y,'Threshold Summary'!$L:$L,""))/100)+5)*XLOOKUP(XLOOKUP($Q809,'Threshold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Editor'!$E:$E,1))),stab,IF(OR(mtype=XLOOKUP(XLOOKUP($Q809,'Threshold Summary'!$Y:$Y,'Threshold Summary'!$K:$K,""),'Pokemon Editor'!$A:$A,'Pokemon Editor'!$C:$C,""),mtype=XLOOKUP(XLOOKUP($Q809,'Threshold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Chart'!$B$1:$S$1,0)))),base,IF(OR(cat="Status",pow=0),0,FLOOR(FLOOR(FLOOR((2*XLOOKUP($Q809,'Threshold Summary'!$Y:$Y,'Threshold Summary'!$L:$L,"")/5+2)*pow*atk/def)/50)+2)),modifier,stab*eff,AVERAGE(ARRAYFORMULA(FLOOR(base*modifier*SEQUENCE(16,1,85,1)/100)))/(FLOOR(((2*XLOOKUP('Boss Editor'!$C$4,'Pokemon Editor'!$A:$A,'Pokemon Editor'!$E:$E,0)+31+FLOOR('Boss Editor'!$G$4/4))*'Boss Editor'!$D$4)/100)+'Boss Editor'!$D$4+10)),0)</f>
        <v/>
      </c>
      <c r="O809" s="3">
        <f>IF(N809&gt;=1,"OHKO",IF(N809&gt;=0.5,"2HKO",IF(N809&gt;=0.333,"3HKO",IF(N809&gt;=0.25,"4HKO","5HKO+"))))</f>
        <v/>
      </c>
      <c r="P809" s="3" t="inlineStr">
        <is>
          <t>Live from editable databases</t>
        </is>
      </c>
      <c r="Q809" s="3" t="inlineStr">
        <is>
          <t>SPECIES_BLIPBUG</t>
        </is>
      </c>
      <c r="R809" s="3" t="n">
        <v>8</v>
      </c>
    </row>
    <row r="810">
      <c r="A810" s="3">
        <f>XLOOKUP($Q810,'Threshold Summary'!$Y:$Y,'Threshold Summary'!$A:$A,"")</f>
        <v/>
      </c>
      <c r="B810" s="3">
        <f>XLOOKUP($Q810,'Threshold Summary'!$Y:$Y,'Threshold Summary'!$M:$M,"")</f>
        <v/>
      </c>
      <c r="C810" s="3">
        <f>XLOOKUP($Q810,'Threshold Summary'!$Y:$Y,'Threshold Summary'!$N:$N,"")</f>
        <v/>
      </c>
      <c r="D810" s="3">
        <f>IFERROR(INDEX(FILTER('Learnset Editor'!$D$2:$D,'Learnset Editor'!$A$2:$A=XLOOKUP($Q810,'Threshold Summary'!$Y:$Y,'Threshold Summary'!$K:$K,""),'Learnset Editor'!$C$2:$C&lt;=XLOOKUP($Q810,'Threshold Summary'!$Y:$Y,'Threshold Summary'!$L:$L,"")),$R810),"")</f>
        <v/>
      </c>
      <c r="E810" s="3">
        <f>XLOOKUP(D810,'Move Editor'!$B:$B,'Move Editor'!$C:$C,"")</f>
        <v/>
      </c>
      <c r="F810" s="3">
        <f>XLOOKUP(D810,'Move Editor'!$B:$B,'Move Editor'!$D:$D,"")</f>
        <v/>
      </c>
      <c r="G810" s="3">
        <f>XLOOKUP(D810,'Move Editor'!$B:$B,'Move Editor'!$E:$E,0)</f>
        <v/>
      </c>
      <c r="H810" s="3">
        <f>XLOOKUP(D810,'Move Editor'!$B:$B,'Move Editor'!$F:$F,0)</f>
        <v/>
      </c>
      <c r="I810" s="3">
        <f>(INDEX('Type Chart'!$B:$S,MATCH(E810,'Type Chart'!$A:$A,0),MATCH(XLOOKUP('Boss Editor'!$C$4,'Pokemon Editor'!$A:$A,'Pokemon Editor'!$C:$C,""),'Type Chart'!$B$1:$S$1,0))*IF(XLOOKUP('Boss Editor'!$C$4,'Pokemon Editor'!$A:$A,'Pokemon Editor'!$D:$D,"")="",1,INDEX('Type Chart'!$B:$S,MATCH(E810,'Type Chart'!$A:$A,0),MATCH(XLOOKUP('Boss Editor'!$C$4,'Pokemon Editor'!$A:$A,'Pokemon Editor'!$D:$D,""),'Type Chart'!$B$1:$S$1,0))))</f>
        <v/>
      </c>
      <c r="J810" s="3">
        <f>IFERROR(LET(mtype,XLOOKUP($D810,'Move Editor'!$B:$B,'Move Editor'!$C:$C,""),cat,XLOOKUP($D810,'Move Editor'!$B:$B,'Move Editor'!$D:$D,""),pow,XLOOKUP($D810,'Move Editor'!$B:$B,'Move Editor'!$E:$E,0),acc,XLOOKUP($D810,'Move Editor'!$B:$B,'Move Editor'!$F:$F,100),atk,IF(cat="Physical",FLOOR((FLOOR(((2*XLOOKUP(XLOOKUP($Q810,'Threshold Summary'!$Y:$Y,'Threshold Summary'!$K:$K,""),'Pokemon Editor'!$A:$A,'Pokemon Editor'!$F:$F,0)+31+FLOOR(XLOOKUP($Q810,'Threshold Summary'!$Y:$Y,'Threshold Summary'!$P:$P,"")/4))*XLOOKUP($Q810,'Threshold Summary'!$Y:$Y,'Threshold Summary'!$L:$L,""))/100)+5)*XLOOKUP(XLOOKUP($Q810,'Threshold Summary'!$Y:$Y,'Threshold Summary'!$M:$M,""),'Nature Editor'!$A:$A,'Nature Editor'!$B:$B,1)),FLOOR((FLOOR(((2*XLOOKUP(XLOOKUP($Q810,'Threshold Summary'!$Y:$Y,'Threshold Summary'!$K:$K,""),'Pokemon Editor'!$A:$A,'Pokemon Editor'!$H:$H,0)+31+FLOOR(XLOOKUP($Q810,'Threshold Summary'!$Y:$Y,'Threshold Summary'!$R:$R,"")/4))*XLOOKUP($Q810,'Threshold Summary'!$Y:$Y,'Threshold Summary'!$L:$L,""))/100)+5)*XLOOKUP(XLOOKUP($Q810,'Threshold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Editor'!$E:$E,1))),stab,IF(OR(mtype=XLOOKUP(XLOOKUP($Q810,'Threshold Summary'!$Y:$Y,'Threshold Summary'!$K:$K,""),'Pokemon Editor'!$A:$A,'Pokemon Editor'!$C:$C,""),mtype=XLOOKUP(XLOOKUP($Q810,'Threshold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Chart'!$B$1:$S$1,0)))),base,IF(OR(cat="Status",pow=0),0,FLOOR(FLOOR(FLOOR((2*XLOOKUP($Q810,'Threshold Summary'!$Y:$Y,'Threshold Summary'!$L:$L,"")/5+2)*pow*atk/def)/50)+2)),modifier,stab*eff,FLOOR(base*modifier*0.85)),0)</f>
        <v/>
      </c>
      <c r="K810" s="3">
        <f>IFERROR(LET(mtype,XLOOKUP($D810,'Move Editor'!$B:$B,'Move Editor'!$C:$C,""),cat,XLOOKUP($D810,'Move Editor'!$B:$B,'Move Editor'!$D:$D,""),pow,XLOOKUP($D810,'Move Editor'!$B:$B,'Move Editor'!$E:$E,0),acc,XLOOKUP($D810,'Move Editor'!$B:$B,'Move Editor'!$F:$F,100),atk,IF(cat="Physical",FLOOR((FLOOR(((2*XLOOKUP(XLOOKUP($Q810,'Threshold Summary'!$Y:$Y,'Threshold Summary'!$K:$K,""),'Pokemon Editor'!$A:$A,'Pokemon Editor'!$F:$F,0)+31+FLOOR(XLOOKUP($Q810,'Threshold Summary'!$Y:$Y,'Threshold Summary'!$P:$P,"")/4))*XLOOKUP($Q810,'Threshold Summary'!$Y:$Y,'Threshold Summary'!$L:$L,""))/100)+5)*XLOOKUP(XLOOKUP($Q810,'Threshold Summary'!$Y:$Y,'Threshold Summary'!$M:$M,""),'Nature Editor'!$A:$A,'Nature Editor'!$B:$B,1)),FLOOR((FLOOR(((2*XLOOKUP(XLOOKUP($Q810,'Threshold Summary'!$Y:$Y,'Threshold Summary'!$K:$K,""),'Pokemon Editor'!$A:$A,'Pokemon Editor'!$H:$H,0)+31+FLOOR(XLOOKUP($Q810,'Threshold Summary'!$Y:$Y,'Threshold Summary'!$R:$R,"")/4))*XLOOKUP($Q810,'Threshold Summary'!$Y:$Y,'Threshold Summary'!$L:$L,""))/100)+5)*XLOOKUP(XLOOKUP($Q810,'Threshold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Editor'!$E:$E,1))),stab,IF(OR(mtype=XLOOKUP(XLOOKUP($Q810,'Threshold Summary'!$Y:$Y,'Threshold Summary'!$K:$K,""),'Pokemon Editor'!$A:$A,'Pokemon Editor'!$C:$C,""),mtype=XLOOKUP(XLOOKUP($Q810,'Threshold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Chart'!$B$1:$S$1,0)))),base,IF(OR(cat="Status",pow=0),0,FLOOR(FLOOR(FLOOR((2*XLOOKUP($Q810,'Threshold Summary'!$Y:$Y,'Threshold Summary'!$L:$L,"")/5+2)*pow*atk/def)/50)+2)),modifier,stab*eff,FLOOR(base*modifier)),0)</f>
        <v/>
      </c>
      <c r="L810" s="3">
        <f>IFERROR(LET(mtype,XLOOKUP($D810,'Move Editor'!$B:$B,'Move Editor'!$C:$C,""),cat,XLOOKUP($D810,'Move Editor'!$B:$B,'Move Editor'!$D:$D,""),pow,XLOOKUP($D810,'Move Editor'!$B:$B,'Move Editor'!$E:$E,0),acc,XLOOKUP($D810,'Move Editor'!$B:$B,'Move Editor'!$F:$F,100),atk,IF(cat="Physical",FLOOR((FLOOR(((2*XLOOKUP(XLOOKUP($Q810,'Threshold Summary'!$Y:$Y,'Threshold Summary'!$K:$K,""),'Pokemon Editor'!$A:$A,'Pokemon Editor'!$F:$F,0)+31+FLOOR(XLOOKUP($Q810,'Threshold Summary'!$Y:$Y,'Threshold Summary'!$P:$P,"")/4))*XLOOKUP($Q810,'Threshold Summary'!$Y:$Y,'Threshold Summary'!$L:$L,""))/100)+5)*XLOOKUP(XLOOKUP($Q810,'Threshold Summary'!$Y:$Y,'Threshold Summary'!$M:$M,""),'Nature Editor'!$A:$A,'Nature Editor'!$B:$B,1)),FLOOR((FLOOR(((2*XLOOKUP(XLOOKUP($Q810,'Threshold Summary'!$Y:$Y,'Threshold Summary'!$K:$K,""),'Pokemon Editor'!$A:$A,'Pokemon Editor'!$H:$H,0)+31+FLOOR(XLOOKUP($Q810,'Threshold Summary'!$Y:$Y,'Threshold Summary'!$R:$R,"")/4))*XLOOKUP($Q810,'Threshold Summary'!$Y:$Y,'Threshold Summary'!$L:$L,""))/100)+5)*XLOOKUP(XLOOKUP($Q810,'Threshold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Editor'!$E:$E,1))),stab,IF(OR(mtype=XLOOKUP(XLOOKUP($Q810,'Threshold Summary'!$Y:$Y,'Threshold Summary'!$K:$K,""),'Pokemon Editor'!$A:$A,'Pokemon Editor'!$C:$C,""),mtype=XLOOKUP(XLOOKUP($Q810,'Threshold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Chart'!$B$1:$S$1,0)))),base,IF(OR(cat="Status",pow=0),0,FLOOR(FLOOR(FLOOR((2*XLOOKUP($Q810,'Threshold Summary'!$Y:$Y,'Threshold Summary'!$L:$L,"")/5+2)*pow*atk/def)/50)+2)),modifier,stab*eff,AVERAGE(ARRAYFORMULA(FLOOR(base*modifier*SEQUENCE(16,1,85,1)/100)))),0)</f>
        <v/>
      </c>
      <c r="M810" s="3">
        <f>IFERROR(LET(mtype,XLOOKUP($D810,'Move Editor'!$B:$B,'Move Editor'!$C:$C,""),cat,XLOOKUP($D810,'Move Editor'!$B:$B,'Move Editor'!$D:$D,""),pow,XLOOKUP($D810,'Move Editor'!$B:$B,'Move Editor'!$E:$E,0),acc,XLOOKUP($D810,'Move Editor'!$B:$B,'Move Editor'!$F:$F,100),atk,IF(cat="Physical",FLOOR((FLOOR(((2*XLOOKUP(XLOOKUP($Q810,'Threshold Summary'!$Y:$Y,'Threshold Summary'!$K:$K,""),'Pokemon Editor'!$A:$A,'Pokemon Editor'!$F:$F,0)+31+FLOOR(XLOOKUP($Q810,'Threshold Summary'!$Y:$Y,'Threshold Summary'!$P:$P,"")/4))*XLOOKUP($Q810,'Threshold Summary'!$Y:$Y,'Threshold Summary'!$L:$L,""))/100)+5)*XLOOKUP(XLOOKUP($Q810,'Threshold Summary'!$Y:$Y,'Threshold Summary'!$M:$M,""),'Nature Editor'!$A:$A,'Nature Editor'!$B:$B,1)),FLOOR((FLOOR(((2*XLOOKUP(XLOOKUP($Q810,'Threshold Summary'!$Y:$Y,'Threshold Summary'!$K:$K,""),'Pokemon Editor'!$A:$A,'Pokemon Editor'!$H:$H,0)+31+FLOOR(XLOOKUP($Q810,'Threshold Summary'!$Y:$Y,'Threshold Summary'!$R:$R,"")/4))*XLOOKUP($Q810,'Threshold Summary'!$Y:$Y,'Threshold Summary'!$L:$L,""))/100)+5)*XLOOKUP(XLOOKUP($Q810,'Threshold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Editor'!$E:$E,1))),stab,IF(OR(mtype=XLOOKUP(XLOOKUP($Q810,'Threshold Summary'!$Y:$Y,'Threshold Summary'!$K:$K,""),'Pokemon Editor'!$A:$A,'Pokemon Editor'!$C:$C,""),mtype=XLOOKUP(XLOOKUP($Q810,'Threshold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Chart'!$B$1:$S$1,0)))),base,IF(OR(cat="Status",pow=0),0,FLOOR(FLOOR(FLOOR((2*XLOOKUP($Q810,'Threshold Summary'!$Y:$Y,'Threshold Summary'!$L:$L,"")/5+2)*pow*atk/def)/50)+2)),modifier,stab*eff,AVERAGE(ARRAYFORMULA(FLOOR(base*modifier*SEQUENCE(16,1,85,1)/100)))*MIN(1,acc/100)),0)</f>
        <v/>
      </c>
      <c r="N810" s="4">
        <f>IFERROR(LET(mtype,XLOOKUP($D810,'Move Editor'!$B:$B,'Move Editor'!$C:$C,""),cat,XLOOKUP($D810,'Move Editor'!$B:$B,'Move Editor'!$D:$D,""),pow,XLOOKUP($D810,'Move Editor'!$B:$B,'Move Editor'!$E:$E,0),acc,XLOOKUP($D810,'Move Editor'!$B:$B,'Move Editor'!$F:$F,100),atk,IF(cat="Physical",FLOOR((FLOOR(((2*XLOOKUP(XLOOKUP($Q810,'Threshold Summary'!$Y:$Y,'Threshold Summary'!$K:$K,""),'Pokemon Editor'!$A:$A,'Pokemon Editor'!$F:$F,0)+31+FLOOR(XLOOKUP($Q810,'Threshold Summary'!$Y:$Y,'Threshold Summary'!$P:$P,"")/4))*XLOOKUP($Q810,'Threshold Summary'!$Y:$Y,'Threshold Summary'!$L:$L,""))/100)+5)*XLOOKUP(XLOOKUP($Q810,'Threshold Summary'!$Y:$Y,'Threshold Summary'!$M:$M,""),'Nature Editor'!$A:$A,'Nature Editor'!$B:$B,1)),FLOOR((FLOOR(((2*XLOOKUP(XLOOKUP($Q810,'Threshold Summary'!$Y:$Y,'Threshold Summary'!$K:$K,""),'Pokemon Editor'!$A:$A,'Pokemon Editor'!$H:$H,0)+31+FLOOR(XLOOKUP($Q810,'Threshold Summary'!$Y:$Y,'Threshold Summary'!$R:$R,"")/4))*XLOOKUP($Q810,'Threshold Summary'!$Y:$Y,'Threshold Summary'!$L:$L,""))/100)+5)*XLOOKUP(XLOOKUP($Q810,'Threshold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Editor'!$E:$E,1))),stab,IF(OR(mtype=XLOOKUP(XLOOKUP($Q810,'Threshold Summary'!$Y:$Y,'Threshold Summary'!$K:$K,""),'Pokemon Editor'!$A:$A,'Pokemon Editor'!$C:$C,""),mtype=XLOOKUP(XLOOKUP($Q810,'Threshold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Chart'!$B$1:$S$1,0)))),base,IF(OR(cat="Status",pow=0),0,FLOOR(FLOOR(FLOOR((2*XLOOKUP($Q810,'Threshold Summary'!$Y:$Y,'Threshold Summary'!$L:$L,"")/5+2)*pow*atk/def)/50)+2)),modifier,stab*eff,AVERAGE(ARRAYFORMULA(FLOOR(base*modifier*SEQUENCE(16,1,85,1)/100)))/(FLOOR(((2*XLOOKUP('Boss Editor'!$C$4,'Pokemon Editor'!$A:$A,'Pokemon Editor'!$E:$E,0)+31+FLOOR('Boss Editor'!$G$4/4))*'Boss Editor'!$D$4)/100)+'Boss Editor'!$D$4+10)),0)</f>
        <v/>
      </c>
      <c r="O810" s="3">
        <f>IF(N810&gt;=1,"OHKO",IF(N810&gt;=0.5,"2HKO",IF(N810&gt;=0.333,"3HKO",IF(N810&gt;=0.25,"4HKO","5HKO+"))))</f>
        <v/>
      </c>
      <c r="P810" s="3" t="inlineStr">
        <is>
          <t>Live from editable databases</t>
        </is>
      </c>
      <c r="Q810" s="3" t="inlineStr">
        <is>
          <t>SPECIES_BLIPBUG</t>
        </is>
      </c>
      <c r="R810" s="3" t="n">
        <v>9</v>
      </c>
    </row>
    <row r="811">
      <c r="A811" s="3">
        <f>XLOOKUP($Q811,'Threshold Summary'!$Y:$Y,'Threshold Summary'!$A:$A,"")</f>
        <v/>
      </c>
      <c r="B811" s="3">
        <f>XLOOKUP($Q811,'Threshold Summary'!$Y:$Y,'Threshold Summary'!$M:$M,"")</f>
        <v/>
      </c>
      <c r="C811" s="3">
        <f>XLOOKUP($Q811,'Threshold Summary'!$Y:$Y,'Threshold Summary'!$N:$N,"")</f>
        <v/>
      </c>
      <c r="D811" s="3">
        <f>IFERROR(INDEX(FILTER('Learnset Editor'!$D$2:$D,'Learnset Editor'!$A$2:$A=XLOOKUP($Q811,'Threshold Summary'!$Y:$Y,'Threshold Summary'!$K:$K,""),'Learnset Editor'!$C$2:$C&lt;=XLOOKUP($Q811,'Threshold Summary'!$Y:$Y,'Threshold Summary'!$L:$L,"")),$R811),"")</f>
        <v/>
      </c>
      <c r="E811" s="3">
        <f>XLOOKUP(D811,'Move Editor'!$B:$B,'Move Editor'!$C:$C,"")</f>
        <v/>
      </c>
      <c r="F811" s="3">
        <f>XLOOKUP(D811,'Move Editor'!$B:$B,'Move Editor'!$D:$D,"")</f>
        <v/>
      </c>
      <c r="G811" s="3">
        <f>XLOOKUP(D811,'Move Editor'!$B:$B,'Move Editor'!$E:$E,0)</f>
        <v/>
      </c>
      <c r="H811" s="3">
        <f>XLOOKUP(D811,'Move Editor'!$B:$B,'Move Editor'!$F:$F,0)</f>
        <v/>
      </c>
      <c r="I811" s="3">
        <f>(INDEX('Type Chart'!$B:$S,MATCH(E811,'Type Chart'!$A:$A,0),MATCH(XLOOKUP('Boss Editor'!$C$4,'Pokemon Editor'!$A:$A,'Pokemon Editor'!$C:$C,""),'Type Chart'!$B$1:$S$1,0))*IF(XLOOKUP('Boss Editor'!$C$4,'Pokemon Editor'!$A:$A,'Pokemon Editor'!$D:$D,"")="",1,INDEX('Type Chart'!$B:$S,MATCH(E811,'Type Chart'!$A:$A,0),MATCH(XLOOKUP('Boss Editor'!$C$4,'Pokemon Editor'!$A:$A,'Pokemon Editor'!$D:$D,""),'Type Chart'!$B$1:$S$1,0))))</f>
        <v/>
      </c>
      <c r="J811" s="3">
        <f>IFERROR(LET(mtype,XLOOKUP($D811,'Move Editor'!$B:$B,'Move Editor'!$C:$C,""),cat,XLOOKUP($D811,'Move Editor'!$B:$B,'Move Editor'!$D:$D,""),pow,XLOOKUP($D811,'Move Editor'!$B:$B,'Move Editor'!$E:$E,0),acc,XLOOKUP($D811,'Move Editor'!$B:$B,'Move Editor'!$F:$F,100),atk,IF(cat="Physical",FLOOR((FLOOR(((2*XLOOKUP(XLOOKUP($Q811,'Threshold Summary'!$Y:$Y,'Threshold Summary'!$K:$K,""),'Pokemon Editor'!$A:$A,'Pokemon Editor'!$F:$F,0)+31+FLOOR(XLOOKUP($Q811,'Threshold Summary'!$Y:$Y,'Threshold Summary'!$P:$P,"")/4))*XLOOKUP($Q811,'Threshold Summary'!$Y:$Y,'Threshold Summary'!$L:$L,""))/100)+5)*XLOOKUP(XLOOKUP($Q811,'Threshold Summary'!$Y:$Y,'Threshold Summary'!$M:$M,""),'Nature Editor'!$A:$A,'Nature Editor'!$B:$B,1)),FLOOR((FLOOR(((2*XLOOKUP(XLOOKUP($Q811,'Threshold Summary'!$Y:$Y,'Threshold Summary'!$K:$K,""),'Pokemon Editor'!$A:$A,'Pokemon Editor'!$H:$H,0)+31+FLOOR(XLOOKUP($Q811,'Threshold Summary'!$Y:$Y,'Threshold Summary'!$R:$R,"")/4))*XLOOKUP($Q811,'Threshold Summary'!$Y:$Y,'Threshold Summary'!$L:$L,""))/100)+5)*XLOOKUP(XLOOKUP($Q811,'Threshold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Editor'!$E:$E,1))),stab,IF(OR(mtype=XLOOKUP(XLOOKUP($Q811,'Threshold Summary'!$Y:$Y,'Threshold Summary'!$K:$K,""),'Pokemon Editor'!$A:$A,'Pokemon Editor'!$C:$C,""),mtype=XLOOKUP(XLOOKUP($Q811,'Threshold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Chart'!$B$1:$S$1,0)))),base,IF(OR(cat="Status",pow=0),0,FLOOR(FLOOR(FLOOR((2*XLOOKUP($Q811,'Threshold Summary'!$Y:$Y,'Threshold Summary'!$L:$L,"")/5+2)*pow*atk/def)/50)+2)),modifier,stab*eff,FLOOR(base*modifier*0.85)),0)</f>
        <v/>
      </c>
      <c r="K811" s="3">
        <f>IFERROR(LET(mtype,XLOOKUP($D811,'Move Editor'!$B:$B,'Move Editor'!$C:$C,""),cat,XLOOKUP($D811,'Move Editor'!$B:$B,'Move Editor'!$D:$D,""),pow,XLOOKUP($D811,'Move Editor'!$B:$B,'Move Editor'!$E:$E,0),acc,XLOOKUP($D811,'Move Editor'!$B:$B,'Move Editor'!$F:$F,100),atk,IF(cat="Physical",FLOOR((FLOOR(((2*XLOOKUP(XLOOKUP($Q811,'Threshold Summary'!$Y:$Y,'Threshold Summary'!$K:$K,""),'Pokemon Editor'!$A:$A,'Pokemon Editor'!$F:$F,0)+31+FLOOR(XLOOKUP($Q811,'Threshold Summary'!$Y:$Y,'Threshold Summary'!$P:$P,"")/4))*XLOOKUP($Q811,'Threshold Summary'!$Y:$Y,'Threshold Summary'!$L:$L,""))/100)+5)*XLOOKUP(XLOOKUP($Q811,'Threshold Summary'!$Y:$Y,'Threshold Summary'!$M:$M,""),'Nature Editor'!$A:$A,'Nature Editor'!$B:$B,1)),FLOOR((FLOOR(((2*XLOOKUP(XLOOKUP($Q811,'Threshold Summary'!$Y:$Y,'Threshold Summary'!$K:$K,""),'Pokemon Editor'!$A:$A,'Pokemon Editor'!$H:$H,0)+31+FLOOR(XLOOKUP($Q811,'Threshold Summary'!$Y:$Y,'Threshold Summary'!$R:$R,"")/4))*XLOOKUP($Q811,'Threshold Summary'!$Y:$Y,'Threshold Summary'!$L:$L,""))/100)+5)*XLOOKUP(XLOOKUP($Q811,'Threshold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Editor'!$E:$E,1))),stab,IF(OR(mtype=XLOOKUP(XLOOKUP($Q811,'Threshold Summary'!$Y:$Y,'Threshold Summary'!$K:$K,""),'Pokemon Editor'!$A:$A,'Pokemon Editor'!$C:$C,""),mtype=XLOOKUP(XLOOKUP($Q811,'Threshold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Chart'!$B$1:$S$1,0)))),base,IF(OR(cat="Status",pow=0),0,FLOOR(FLOOR(FLOOR((2*XLOOKUP($Q811,'Threshold Summary'!$Y:$Y,'Threshold Summary'!$L:$L,"")/5+2)*pow*atk/def)/50)+2)),modifier,stab*eff,FLOOR(base*modifier)),0)</f>
        <v/>
      </c>
      <c r="L811" s="3">
        <f>IFERROR(LET(mtype,XLOOKUP($D811,'Move Editor'!$B:$B,'Move Editor'!$C:$C,""),cat,XLOOKUP($D811,'Move Editor'!$B:$B,'Move Editor'!$D:$D,""),pow,XLOOKUP($D811,'Move Editor'!$B:$B,'Move Editor'!$E:$E,0),acc,XLOOKUP($D811,'Move Editor'!$B:$B,'Move Editor'!$F:$F,100),atk,IF(cat="Physical",FLOOR((FLOOR(((2*XLOOKUP(XLOOKUP($Q811,'Threshold Summary'!$Y:$Y,'Threshold Summary'!$K:$K,""),'Pokemon Editor'!$A:$A,'Pokemon Editor'!$F:$F,0)+31+FLOOR(XLOOKUP($Q811,'Threshold Summary'!$Y:$Y,'Threshold Summary'!$P:$P,"")/4))*XLOOKUP($Q811,'Threshold Summary'!$Y:$Y,'Threshold Summary'!$L:$L,""))/100)+5)*XLOOKUP(XLOOKUP($Q811,'Threshold Summary'!$Y:$Y,'Threshold Summary'!$M:$M,""),'Nature Editor'!$A:$A,'Nature Editor'!$B:$B,1)),FLOOR((FLOOR(((2*XLOOKUP(XLOOKUP($Q811,'Threshold Summary'!$Y:$Y,'Threshold Summary'!$K:$K,""),'Pokemon Editor'!$A:$A,'Pokemon Editor'!$H:$H,0)+31+FLOOR(XLOOKUP($Q811,'Threshold Summary'!$Y:$Y,'Threshold Summary'!$R:$R,"")/4))*XLOOKUP($Q811,'Threshold Summary'!$Y:$Y,'Threshold Summary'!$L:$L,""))/100)+5)*XLOOKUP(XLOOKUP($Q811,'Threshold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Editor'!$E:$E,1))),stab,IF(OR(mtype=XLOOKUP(XLOOKUP($Q811,'Threshold Summary'!$Y:$Y,'Threshold Summary'!$K:$K,""),'Pokemon Editor'!$A:$A,'Pokemon Editor'!$C:$C,""),mtype=XLOOKUP(XLOOKUP($Q811,'Threshold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Chart'!$B$1:$S$1,0)))),base,IF(OR(cat="Status",pow=0),0,FLOOR(FLOOR(FLOOR((2*XLOOKUP($Q811,'Threshold Summary'!$Y:$Y,'Threshold Summary'!$L:$L,"")/5+2)*pow*atk/def)/50)+2)),modifier,stab*eff,AVERAGE(ARRAYFORMULA(FLOOR(base*modifier*SEQUENCE(16,1,85,1)/100)))),0)</f>
        <v/>
      </c>
      <c r="M811" s="3">
        <f>IFERROR(LET(mtype,XLOOKUP($D811,'Move Editor'!$B:$B,'Move Editor'!$C:$C,""),cat,XLOOKUP($D811,'Move Editor'!$B:$B,'Move Editor'!$D:$D,""),pow,XLOOKUP($D811,'Move Editor'!$B:$B,'Move Editor'!$E:$E,0),acc,XLOOKUP($D811,'Move Editor'!$B:$B,'Move Editor'!$F:$F,100),atk,IF(cat="Physical",FLOOR((FLOOR(((2*XLOOKUP(XLOOKUP($Q811,'Threshold Summary'!$Y:$Y,'Threshold Summary'!$K:$K,""),'Pokemon Editor'!$A:$A,'Pokemon Editor'!$F:$F,0)+31+FLOOR(XLOOKUP($Q811,'Threshold Summary'!$Y:$Y,'Threshold Summary'!$P:$P,"")/4))*XLOOKUP($Q811,'Threshold Summary'!$Y:$Y,'Threshold Summary'!$L:$L,""))/100)+5)*XLOOKUP(XLOOKUP($Q811,'Threshold Summary'!$Y:$Y,'Threshold Summary'!$M:$M,""),'Nature Editor'!$A:$A,'Nature Editor'!$B:$B,1)),FLOOR((FLOOR(((2*XLOOKUP(XLOOKUP($Q811,'Threshold Summary'!$Y:$Y,'Threshold Summary'!$K:$K,""),'Pokemon Editor'!$A:$A,'Pokemon Editor'!$H:$H,0)+31+FLOOR(XLOOKUP($Q811,'Threshold Summary'!$Y:$Y,'Threshold Summary'!$R:$R,"")/4))*XLOOKUP($Q811,'Threshold Summary'!$Y:$Y,'Threshold Summary'!$L:$L,""))/100)+5)*XLOOKUP(XLOOKUP($Q811,'Threshold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Editor'!$E:$E,1))),stab,IF(OR(mtype=XLOOKUP(XLOOKUP($Q811,'Threshold Summary'!$Y:$Y,'Threshold Summary'!$K:$K,""),'Pokemon Editor'!$A:$A,'Pokemon Editor'!$C:$C,""),mtype=XLOOKUP(XLOOKUP($Q811,'Threshold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Chart'!$B$1:$S$1,0)))),base,IF(OR(cat="Status",pow=0),0,FLOOR(FLOOR(FLOOR((2*XLOOKUP($Q811,'Threshold Summary'!$Y:$Y,'Threshold Summary'!$L:$L,"")/5+2)*pow*atk/def)/50)+2)),modifier,stab*eff,AVERAGE(ARRAYFORMULA(FLOOR(base*modifier*SEQUENCE(16,1,85,1)/100)))*MIN(1,acc/100)),0)</f>
        <v/>
      </c>
      <c r="N811" s="4">
        <f>IFERROR(LET(mtype,XLOOKUP($D811,'Move Editor'!$B:$B,'Move Editor'!$C:$C,""),cat,XLOOKUP($D811,'Move Editor'!$B:$B,'Move Editor'!$D:$D,""),pow,XLOOKUP($D811,'Move Editor'!$B:$B,'Move Editor'!$E:$E,0),acc,XLOOKUP($D811,'Move Editor'!$B:$B,'Move Editor'!$F:$F,100),atk,IF(cat="Physical",FLOOR((FLOOR(((2*XLOOKUP(XLOOKUP($Q811,'Threshold Summary'!$Y:$Y,'Threshold Summary'!$K:$K,""),'Pokemon Editor'!$A:$A,'Pokemon Editor'!$F:$F,0)+31+FLOOR(XLOOKUP($Q811,'Threshold Summary'!$Y:$Y,'Threshold Summary'!$P:$P,"")/4))*XLOOKUP($Q811,'Threshold Summary'!$Y:$Y,'Threshold Summary'!$L:$L,""))/100)+5)*XLOOKUP(XLOOKUP($Q811,'Threshold Summary'!$Y:$Y,'Threshold Summary'!$M:$M,""),'Nature Editor'!$A:$A,'Nature Editor'!$B:$B,1)),FLOOR((FLOOR(((2*XLOOKUP(XLOOKUP($Q811,'Threshold Summary'!$Y:$Y,'Threshold Summary'!$K:$K,""),'Pokemon Editor'!$A:$A,'Pokemon Editor'!$H:$H,0)+31+FLOOR(XLOOKUP($Q811,'Threshold Summary'!$Y:$Y,'Threshold Summary'!$R:$R,"")/4))*XLOOKUP($Q811,'Threshold Summary'!$Y:$Y,'Threshold Summary'!$L:$L,""))/100)+5)*XLOOKUP(XLOOKUP($Q811,'Threshold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Editor'!$E:$E,1))),stab,IF(OR(mtype=XLOOKUP(XLOOKUP($Q811,'Threshold Summary'!$Y:$Y,'Threshold Summary'!$K:$K,""),'Pokemon Editor'!$A:$A,'Pokemon Editor'!$C:$C,""),mtype=XLOOKUP(XLOOKUP($Q811,'Threshold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Chart'!$B$1:$S$1,0)))),base,IF(OR(cat="Status",pow=0),0,FLOOR(FLOOR(FLOOR((2*XLOOKUP($Q811,'Threshold Summary'!$Y:$Y,'Threshold Summary'!$L:$L,"")/5+2)*pow*atk/def)/50)+2)),modifier,stab*eff,AVERAGE(ARRAYFORMULA(FLOOR(base*modifier*SEQUENCE(16,1,85,1)/100)))/(FLOOR(((2*XLOOKUP('Boss Editor'!$C$4,'Pokemon Editor'!$A:$A,'Pokemon Editor'!$E:$E,0)+31+FLOOR('Boss Editor'!$G$4/4))*'Boss Editor'!$D$4)/100)+'Boss Editor'!$D$4+10)),0)</f>
        <v/>
      </c>
      <c r="O811" s="3">
        <f>IF(N811&gt;=1,"OHKO",IF(N811&gt;=0.5,"2HKO",IF(N811&gt;=0.333,"3HKO",IF(N811&gt;=0.25,"4HKO","5HKO+"))))</f>
        <v/>
      </c>
      <c r="P811" s="3" t="inlineStr">
        <is>
          <t>Live from editable databases</t>
        </is>
      </c>
      <c r="Q811" s="3" t="inlineStr">
        <is>
          <t>SPECIES_BLIPBUG</t>
        </is>
      </c>
      <c r="R811" s="3" t="n">
        <v>10</v>
      </c>
    </row>
    <row r="812">
      <c r="A812" s="3">
        <f>XLOOKUP($Q812,'Threshold Summary'!$Y:$Y,'Threshold Summary'!$A:$A,"")</f>
        <v/>
      </c>
      <c r="B812" s="3">
        <f>XLOOKUP($Q812,'Threshold Summary'!$Y:$Y,'Threshold Summary'!$M:$M,"")</f>
        <v/>
      </c>
      <c r="C812" s="3">
        <f>XLOOKUP($Q812,'Threshold Summary'!$Y:$Y,'Threshold Summary'!$N:$N,"")</f>
        <v/>
      </c>
      <c r="D812" s="3">
        <f>IFERROR(INDEX(FILTER('Learnset Editor'!$D$2:$D,'Learnset Editor'!$A$2:$A=XLOOKUP($Q812,'Threshold Summary'!$Y:$Y,'Threshold Summary'!$K:$K,""),'Learnset Editor'!$C$2:$C&lt;=XLOOKUP($Q812,'Threshold Summary'!$Y:$Y,'Threshold Summary'!$L:$L,"")),$R812),"")</f>
        <v/>
      </c>
      <c r="E812" s="3">
        <f>XLOOKUP(D812,'Move Editor'!$B:$B,'Move Editor'!$C:$C,"")</f>
        <v/>
      </c>
      <c r="F812" s="3">
        <f>XLOOKUP(D812,'Move Editor'!$B:$B,'Move Editor'!$D:$D,"")</f>
        <v/>
      </c>
      <c r="G812" s="3">
        <f>XLOOKUP(D812,'Move Editor'!$B:$B,'Move Editor'!$E:$E,0)</f>
        <v/>
      </c>
      <c r="H812" s="3">
        <f>XLOOKUP(D812,'Move Editor'!$B:$B,'Move Editor'!$F:$F,0)</f>
        <v/>
      </c>
      <c r="I812" s="3">
        <f>(INDEX('Type Chart'!$B:$S,MATCH(E812,'Type Chart'!$A:$A,0),MATCH(XLOOKUP('Boss Editor'!$C$4,'Pokemon Editor'!$A:$A,'Pokemon Editor'!$C:$C,""),'Type Chart'!$B$1:$S$1,0))*IF(XLOOKUP('Boss Editor'!$C$4,'Pokemon Editor'!$A:$A,'Pokemon Editor'!$D:$D,"")="",1,INDEX('Type Chart'!$B:$S,MATCH(E812,'Type Chart'!$A:$A,0),MATCH(XLOOKUP('Boss Editor'!$C$4,'Pokemon Editor'!$A:$A,'Pokemon Editor'!$D:$D,""),'Type Chart'!$B$1:$S$1,0))))</f>
        <v/>
      </c>
      <c r="J812" s="3">
        <f>IFERROR(LET(mtype,XLOOKUP($D812,'Move Editor'!$B:$B,'Move Editor'!$C:$C,""),cat,XLOOKUP($D812,'Move Editor'!$B:$B,'Move Editor'!$D:$D,""),pow,XLOOKUP($D812,'Move Editor'!$B:$B,'Move Editor'!$E:$E,0),acc,XLOOKUP($D812,'Move Editor'!$B:$B,'Move Editor'!$F:$F,100),atk,IF(cat="Physical",FLOOR((FLOOR(((2*XLOOKUP(XLOOKUP($Q812,'Threshold Summary'!$Y:$Y,'Threshold Summary'!$K:$K,""),'Pokemon Editor'!$A:$A,'Pokemon Editor'!$F:$F,0)+31+FLOOR(XLOOKUP($Q812,'Threshold Summary'!$Y:$Y,'Threshold Summary'!$P:$P,"")/4))*XLOOKUP($Q812,'Threshold Summary'!$Y:$Y,'Threshold Summary'!$L:$L,""))/100)+5)*XLOOKUP(XLOOKUP($Q812,'Threshold Summary'!$Y:$Y,'Threshold Summary'!$M:$M,""),'Nature Editor'!$A:$A,'Nature Editor'!$B:$B,1)),FLOOR((FLOOR(((2*XLOOKUP(XLOOKUP($Q812,'Threshold Summary'!$Y:$Y,'Threshold Summary'!$K:$K,""),'Pokemon Editor'!$A:$A,'Pokemon Editor'!$H:$H,0)+31+FLOOR(XLOOKUP($Q812,'Threshold Summary'!$Y:$Y,'Threshold Summary'!$R:$R,"")/4))*XLOOKUP($Q812,'Threshold Summary'!$Y:$Y,'Threshold Summary'!$L:$L,""))/100)+5)*XLOOKUP(XLOOKUP($Q812,'Threshold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Editor'!$E:$E,1))),stab,IF(OR(mtype=XLOOKUP(XLOOKUP($Q812,'Threshold Summary'!$Y:$Y,'Threshold Summary'!$K:$K,""),'Pokemon Editor'!$A:$A,'Pokemon Editor'!$C:$C,""),mtype=XLOOKUP(XLOOKUP($Q812,'Threshold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Chart'!$B$1:$S$1,0)))),base,IF(OR(cat="Status",pow=0),0,FLOOR(FLOOR(FLOOR((2*XLOOKUP($Q812,'Threshold Summary'!$Y:$Y,'Threshold Summary'!$L:$L,"")/5+2)*pow*atk/def)/50)+2)),modifier,stab*eff,FLOOR(base*modifier*0.85)),0)</f>
        <v/>
      </c>
      <c r="K812" s="3">
        <f>IFERROR(LET(mtype,XLOOKUP($D812,'Move Editor'!$B:$B,'Move Editor'!$C:$C,""),cat,XLOOKUP($D812,'Move Editor'!$B:$B,'Move Editor'!$D:$D,""),pow,XLOOKUP($D812,'Move Editor'!$B:$B,'Move Editor'!$E:$E,0),acc,XLOOKUP($D812,'Move Editor'!$B:$B,'Move Editor'!$F:$F,100),atk,IF(cat="Physical",FLOOR((FLOOR(((2*XLOOKUP(XLOOKUP($Q812,'Threshold Summary'!$Y:$Y,'Threshold Summary'!$K:$K,""),'Pokemon Editor'!$A:$A,'Pokemon Editor'!$F:$F,0)+31+FLOOR(XLOOKUP($Q812,'Threshold Summary'!$Y:$Y,'Threshold Summary'!$P:$P,"")/4))*XLOOKUP($Q812,'Threshold Summary'!$Y:$Y,'Threshold Summary'!$L:$L,""))/100)+5)*XLOOKUP(XLOOKUP($Q812,'Threshold Summary'!$Y:$Y,'Threshold Summary'!$M:$M,""),'Nature Editor'!$A:$A,'Nature Editor'!$B:$B,1)),FLOOR((FLOOR(((2*XLOOKUP(XLOOKUP($Q812,'Threshold Summary'!$Y:$Y,'Threshold Summary'!$K:$K,""),'Pokemon Editor'!$A:$A,'Pokemon Editor'!$H:$H,0)+31+FLOOR(XLOOKUP($Q812,'Threshold Summary'!$Y:$Y,'Threshold Summary'!$R:$R,"")/4))*XLOOKUP($Q812,'Threshold Summary'!$Y:$Y,'Threshold Summary'!$L:$L,""))/100)+5)*XLOOKUP(XLOOKUP($Q812,'Threshold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Editor'!$E:$E,1))),stab,IF(OR(mtype=XLOOKUP(XLOOKUP($Q812,'Threshold Summary'!$Y:$Y,'Threshold Summary'!$K:$K,""),'Pokemon Editor'!$A:$A,'Pokemon Editor'!$C:$C,""),mtype=XLOOKUP(XLOOKUP($Q812,'Threshold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Chart'!$B$1:$S$1,0)))),base,IF(OR(cat="Status",pow=0),0,FLOOR(FLOOR(FLOOR((2*XLOOKUP($Q812,'Threshold Summary'!$Y:$Y,'Threshold Summary'!$L:$L,"")/5+2)*pow*atk/def)/50)+2)),modifier,stab*eff,FLOOR(base*modifier)),0)</f>
        <v/>
      </c>
      <c r="L812" s="3">
        <f>IFERROR(LET(mtype,XLOOKUP($D812,'Move Editor'!$B:$B,'Move Editor'!$C:$C,""),cat,XLOOKUP($D812,'Move Editor'!$B:$B,'Move Editor'!$D:$D,""),pow,XLOOKUP($D812,'Move Editor'!$B:$B,'Move Editor'!$E:$E,0),acc,XLOOKUP($D812,'Move Editor'!$B:$B,'Move Editor'!$F:$F,100),atk,IF(cat="Physical",FLOOR((FLOOR(((2*XLOOKUP(XLOOKUP($Q812,'Threshold Summary'!$Y:$Y,'Threshold Summary'!$K:$K,""),'Pokemon Editor'!$A:$A,'Pokemon Editor'!$F:$F,0)+31+FLOOR(XLOOKUP($Q812,'Threshold Summary'!$Y:$Y,'Threshold Summary'!$P:$P,"")/4))*XLOOKUP($Q812,'Threshold Summary'!$Y:$Y,'Threshold Summary'!$L:$L,""))/100)+5)*XLOOKUP(XLOOKUP($Q812,'Threshold Summary'!$Y:$Y,'Threshold Summary'!$M:$M,""),'Nature Editor'!$A:$A,'Nature Editor'!$B:$B,1)),FLOOR((FLOOR(((2*XLOOKUP(XLOOKUP($Q812,'Threshold Summary'!$Y:$Y,'Threshold Summary'!$K:$K,""),'Pokemon Editor'!$A:$A,'Pokemon Editor'!$H:$H,0)+31+FLOOR(XLOOKUP($Q812,'Threshold Summary'!$Y:$Y,'Threshold Summary'!$R:$R,"")/4))*XLOOKUP($Q812,'Threshold Summary'!$Y:$Y,'Threshold Summary'!$L:$L,""))/100)+5)*XLOOKUP(XLOOKUP($Q812,'Threshold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Editor'!$E:$E,1))),stab,IF(OR(mtype=XLOOKUP(XLOOKUP($Q812,'Threshold Summary'!$Y:$Y,'Threshold Summary'!$K:$K,""),'Pokemon Editor'!$A:$A,'Pokemon Editor'!$C:$C,""),mtype=XLOOKUP(XLOOKUP($Q812,'Threshold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Chart'!$B$1:$S$1,0)))),base,IF(OR(cat="Status",pow=0),0,FLOOR(FLOOR(FLOOR((2*XLOOKUP($Q812,'Threshold Summary'!$Y:$Y,'Threshold Summary'!$L:$L,"")/5+2)*pow*atk/def)/50)+2)),modifier,stab*eff,AVERAGE(ARRAYFORMULA(FLOOR(base*modifier*SEQUENCE(16,1,85,1)/100)))),0)</f>
        <v/>
      </c>
      <c r="M812" s="3">
        <f>IFERROR(LET(mtype,XLOOKUP($D812,'Move Editor'!$B:$B,'Move Editor'!$C:$C,""),cat,XLOOKUP($D812,'Move Editor'!$B:$B,'Move Editor'!$D:$D,""),pow,XLOOKUP($D812,'Move Editor'!$B:$B,'Move Editor'!$E:$E,0),acc,XLOOKUP($D812,'Move Editor'!$B:$B,'Move Editor'!$F:$F,100),atk,IF(cat="Physical",FLOOR((FLOOR(((2*XLOOKUP(XLOOKUP($Q812,'Threshold Summary'!$Y:$Y,'Threshold Summary'!$K:$K,""),'Pokemon Editor'!$A:$A,'Pokemon Editor'!$F:$F,0)+31+FLOOR(XLOOKUP($Q812,'Threshold Summary'!$Y:$Y,'Threshold Summary'!$P:$P,"")/4))*XLOOKUP($Q812,'Threshold Summary'!$Y:$Y,'Threshold Summary'!$L:$L,""))/100)+5)*XLOOKUP(XLOOKUP($Q812,'Threshold Summary'!$Y:$Y,'Threshold Summary'!$M:$M,""),'Nature Editor'!$A:$A,'Nature Editor'!$B:$B,1)),FLOOR((FLOOR(((2*XLOOKUP(XLOOKUP($Q812,'Threshold Summary'!$Y:$Y,'Threshold Summary'!$K:$K,""),'Pokemon Editor'!$A:$A,'Pokemon Editor'!$H:$H,0)+31+FLOOR(XLOOKUP($Q812,'Threshold Summary'!$Y:$Y,'Threshold Summary'!$R:$R,"")/4))*XLOOKUP($Q812,'Threshold Summary'!$Y:$Y,'Threshold Summary'!$L:$L,""))/100)+5)*XLOOKUP(XLOOKUP($Q812,'Threshold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Editor'!$E:$E,1))),stab,IF(OR(mtype=XLOOKUP(XLOOKUP($Q812,'Threshold Summary'!$Y:$Y,'Threshold Summary'!$K:$K,""),'Pokemon Editor'!$A:$A,'Pokemon Editor'!$C:$C,""),mtype=XLOOKUP(XLOOKUP($Q812,'Threshold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Chart'!$B$1:$S$1,0)))),base,IF(OR(cat="Status",pow=0),0,FLOOR(FLOOR(FLOOR((2*XLOOKUP($Q812,'Threshold Summary'!$Y:$Y,'Threshold Summary'!$L:$L,"")/5+2)*pow*atk/def)/50)+2)),modifier,stab*eff,AVERAGE(ARRAYFORMULA(FLOOR(base*modifier*SEQUENCE(16,1,85,1)/100)))*MIN(1,acc/100)),0)</f>
        <v/>
      </c>
      <c r="N812" s="4">
        <f>IFERROR(LET(mtype,XLOOKUP($D812,'Move Editor'!$B:$B,'Move Editor'!$C:$C,""),cat,XLOOKUP($D812,'Move Editor'!$B:$B,'Move Editor'!$D:$D,""),pow,XLOOKUP($D812,'Move Editor'!$B:$B,'Move Editor'!$E:$E,0),acc,XLOOKUP($D812,'Move Editor'!$B:$B,'Move Editor'!$F:$F,100),atk,IF(cat="Physical",FLOOR((FLOOR(((2*XLOOKUP(XLOOKUP($Q812,'Threshold Summary'!$Y:$Y,'Threshold Summary'!$K:$K,""),'Pokemon Editor'!$A:$A,'Pokemon Editor'!$F:$F,0)+31+FLOOR(XLOOKUP($Q812,'Threshold Summary'!$Y:$Y,'Threshold Summary'!$P:$P,"")/4))*XLOOKUP($Q812,'Threshold Summary'!$Y:$Y,'Threshold Summary'!$L:$L,""))/100)+5)*XLOOKUP(XLOOKUP($Q812,'Threshold Summary'!$Y:$Y,'Threshold Summary'!$M:$M,""),'Nature Editor'!$A:$A,'Nature Editor'!$B:$B,1)),FLOOR((FLOOR(((2*XLOOKUP(XLOOKUP($Q812,'Threshold Summary'!$Y:$Y,'Threshold Summary'!$K:$K,""),'Pokemon Editor'!$A:$A,'Pokemon Editor'!$H:$H,0)+31+FLOOR(XLOOKUP($Q812,'Threshold Summary'!$Y:$Y,'Threshold Summary'!$R:$R,"")/4))*XLOOKUP($Q812,'Threshold Summary'!$Y:$Y,'Threshold Summary'!$L:$L,""))/100)+5)*XLOOKUP(XLOOKUP($Q812,'Threshold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Editor'!$E:$E,1))),stab,IF(OR(mtype=XLOOKUP(XLOOKUP($Q812,'Threshold Summary'!$Y:$Y,'Threshold Summary'!$K:$K,""),'Pokemon Editor'!$A:$A,'Pokemon Editor'!$C:$C,""),mtype=XLOOKUP(XLOOKUP($Q812,'Threshold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Chart'!$B$1:$S$1,0)))),base,IF(OR(cat="Status",pow=0),0,FLOOR(FLOOR(FLOOR((2*XLOOKUP($Q812,'Threshold Summary'!$Y:$Y,'Threshold Summary'!$L:$L,"")/5+2)*pow*atk/def)/50)+2)),modifier,stab*eff,AVERAGE(ARRAYFORMULA(FLOOR(base*modifier*SEQUENCE(16,1,85,1)/100)))/(FLOOR(((2*XLOOKUP('Boss Editor'!$C$4,'Pokemon Editor'!$A:$A,'Pokemon Editor'!$E:$E,0)+31+FLOOR('Boss Editor'!$G$4/4))*'Boss Editor'!$D$4)/100)+'Boss Editor'!$D$4+10)),0)</f>
        <v/>
      </c>
      <c r="O812" s="3">
        <f>IF(N812&gt;=1,"OHKO",IF(N812&gt;=0.5,"2HKO",IF(N812&gt;=0.333,"3HKO",IF(N812&gt;=0.25,"4HKO","5HKO+"))))</f>
        <v/>
      </c>
      <c r="P812" s="3" t="inlineStr">
        <is>
          <t>Live from editable databases</t>
        </is>
      </c>
      <c r="Q812" s="3" t="inlineStr">
        <is>
          <t>SPECIES_BLIPBUG</t>
        </is>
      </c>
      <c r="R812" s="3" t="n">
        <v>11</v>
      </c>
    </row>
    <row r="813">
      <c r="A813" s="3">
        <f>XLOOKUP($Q813,'Threshold Summary'!$Y:$Y,'Threshold Summary'!$A:$A,"")</f>
        <v/>
      </c>
      <c r="B813" s="3">
        <f>XLOOKUP($Q813,'Threshold Summary'!$Y:$Y,'Threshold Summary'!$M:$M,"")</f>
        <v/>
      </c>
      <c r="C813" s="3">
        <f>XLOOKUP($Q813,'Threshold Summary'!$Y:$Y,'Threshold Summary'!$N:$N,"")</f>
        <v/>
      </c>
      <c r="D813" s="3">
        <f>IFERROR(INDEX(FILTER('Learnset Editor'!$D$2:$D,'Learnset Editor'!$A$2:$A=XLOOKUP($Q813,'Threshold Summary'!$Y:$Y,'Threshold Summary'!$K:$K,""),'Learnset Editor'!$C$2:$C&lt;=XLOOKUP($Q813,'Threshold Summary'!$Y:$Y,'Threshold Summary'!$L:$L,"")),$R813),"")</f>
        <v/>
      </c>
      <c r="E813" s="3">
        <f>XLOOKUP(D813,'Move Editor'!$B:$B,'Move Editor'!$C:$C,"")</f>
        <v/>
      </c>
      <c r="F813" s="3">
        <f>XLOOKUP(D813,'Move Editor'!$B:$B,'Move Editor'!$D:$D,"")</f>
        <v/>
      </c>
      <c r="G813" s="3">
        <f>XLOOKUP(D813,'Move Editor'!$B:$B,'Move Editor'!$E:$E,0)</f>
        <v/>
      </c>
      <c r="H813" s="3">
        <f>XLOOKUP(D813,'Move Editor'!$B:$B,'Move Editor'!$F:$F,0)</f>
        <v/>
      </c>
      <c r="I813" s="3">
        <f>(INDEX('Type Chart'!$B:$S,MATCH(E813,'Type Chart'!$A:$A,0),MATCH(XLOOKUP('Boss Editor'!$C$4,'Pokemon Editor'!$A:$A,'Pokemon Editor'!$C:$C,""),'Type Chart'!$B$1:$S$1,0))*IF(XLOOKUP('Boss Editor'!$C$4,'Pokemon Editor'!$A:$A,'Pokemon Editor'!$D:$D,"")="",1,INDEX('Type Chart'!$B:$S,MATCH(E813,'Type Chart'!$A:$A,0),MATCH(XLOOKUP('Boss Editor'!$C$4,'Pokemon Editor'!$A:$A,'Pokemon Editor'!$D:$D,""),'Type Chart'!$B$1:$S$1,0))))</f>
        <v/>
      </c>
      <c r="J813" s="3">
        <f>IFERROR(LET(mtype,XLOOKUP($D813,'Move Editor'!$B:$B,'Move Editor'!$C:$C,""),cat,XLOOKUP($D813,'Move Editor'!$B:$B,'Move Editor'!$D:$D,""),pow,XLOOKUP($D813,'Move Editor'!$B:$B,'Move Editor'!$E:$E,0),acc,XLOOKUP($D813,'Move Editor'!$B:$B,'Move Editor'!$F:$F,100),atk,IF(cat="Physical",FLOOR((FLOOR(((2*XLOOKUP(XLOOKUP($Q813,'Threshold Summary'!$Y:$Y,'Threshold Summary'!$K:$K,""),'Pokemon Editor'!$A:$A,'Pokemon Editor'!$F:$F,0)+31+FLOOR(XLOOKUP($Q813,'Threshold Summary'!$Y:$Y,'Threshold Summary'!$P:$P,"")/4))*XLOOKUP($Q813,'Threshold Summary'!$Y:$Y,'Threshold Summary'!$L:$L,""))/100)+5)*XLOOKUP(XLOOKUP($Q813,'Threshold Summary'!$Y:$Y,'Threshold Summary'!$M:$M,""),'Nature Editor'!$A:$A,'Nature Editor'!$B:$B,1)),FLOOR((FLOOR(((2*XLOOKUP(XLOOKUP($Q813,'Threshold Summary'!$Y:$Y,'Threshold Summary'!$K:$K,""),'Pokemon Editor'!$A:$A,'Pokemon Editor'!$H:$H,0)+31+FLOOR(XLOOKUP($Q813,'Threshold Summary'!$Y:$Y,'Threshold Summary'!$R:$R,"")/4))*XLOOKUP($Q813,'Threshold Summary'!$Y:$Y,'Threshold Summary'!$L:$L,""))/100)+5)*XLOOKUP(XLOOKUP($Q813,'Threshold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Editor'!$E:$E,1))),stab,IF(OR(mtype=XLOOKUP(XLOOKUP($Q813,'Threshold Summary'!$Y:$Y,'Threshold Summary'!$K:$K,""),'Pokemon Editor'!$A:$A,'Pokemon Editor'!$C:$C,""),mtype=XLOOKUP(XLOOKUP($Q813,'Threshold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Chart'!$B$1:$S$1,0)))),base,IF(OR(cat="Status",pow=0),0,FLOOR(FLOOR(FLOOR((2*XLOOKUP($Q813,'Threshold Summary'!$Y:$Y,'Threshold Summary'!$L:$L,"")/5+2)*pow*atk/def)/50)+2)),modifier,stab*eff,FLOOR(base*modifier*0.85)),0)</f>
        <v/>
      </c>
      <c r="K813" s="3">
        <f>IFERROR(LET(mtype,XLOOKUP($D813,'Move Editor'!$B:$B,'Move Editor'!$C:$C,""),cat,XLOOKUP($D813,'Move Editor'!$B:$B,'Move Editor'!$D:$D,""),pow,XLOOKUP($D813,'Move Editor'!$B:$B,'Move Editor'!$E:$E,0),acc,XLOOKUP($D813,'Move Editor'!$B:$B,'Move Editor'!$F:$F,100),atk,IF(cat="Physical",FLOOR((FLOOR(((2*XLOOKUP(XLOOKUP($Q813,'Threshold Summary'!$Y:$Y,'Threshold Summary'!$K:$K,""),'Pokemon Editor'!$A:$A,'Pokemon Editor'!$F:$F,0)+31+FLOOR(XLOOKUP($Q813,'Threshold Summary'!$Y:$Y,'Threshold Summary'!$P:$P,"")/4))*XLOOKUP($Q813,'Threshold Summary'!$Y:$Y,'Threshold Summary'!$L:$L,""))/100)+5)*XLOOKUP(XLOOKUP($Q813,'Threshold Summary'!$Y:$Y,'Threshold Summary'!$M:$M,""),'Nature Editor'!$A:$A,'Nature Editor'!$B:$B,1)),FLOOR((FLOOR(((2*XLOOKUP(XLOOKUP($Q813,'Threshold Summary'!$Y:$Y,'Threshold Summary'!$K:$K,""),'Pokemon Editor'!$A:$A,'Pokemon Editor'!$H:$H,0)+31+FLOOR(XLOOKUP($Q813,'Threshold Summary'!$Y:$Y,'Threshold Summary'!$R:$R,"")/4))*XLOOKUP($Q813,'Threshold Summary'!$Y:$Y,'Threshold Summary'!$L:$L,""))/100)+5)*XLOOKUP(XLOOKUP($Q813,'Threshold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Editor'!$E:$E,1))),stab,IF(OR(mtype=XLOOKUP(XLOOKUP($Q813,'Threshold Summary'!$Y:$Y,'Threshold Summary'!$K:$K,""),'Pokemon Editor'!$A:$A,'Pokemon Editor'!$C:$C,""),mtype=XLOOKUP(XLOOKUP($Q813,'Threshold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Chart'!$B$1:$S$1,0)))),base,IF(OR(cat="Status",pow=0),0,FLOOR(FLOOR(FLOOR((2*XLOOKUP($Q813,'Threshold Summary'!$Y:$Y,'Threshold Summary'!$L:$L,"")/5+2)*pow*atk/def)/50)+2)),modifier,stab*eff,FLOOR(base*modifier)),0)</f>
        <v/>
      </c>
      <c r="L813" s="3">
        <f>IFERROR(LET(mtype,XLOOKUP($D813,'Move Editor'!$B:$B,'Move Editor'!$C:$C,""),cat,XLOOKUP($D813,'Move Editor'!$B:$B,'Move Editor'!$D:$D,""),pow,XLOOKUP($D813,'Move Editor'!$B:$B,'Move Editor'!$E:$E,0),acc,XLOOKUP($D813,'Move Editor'!$B:$B,'Move Editor'!$F:$F,100),atk,IF(cat="Physical",FLOOR((FLOOR(((2*XLOOKUP(XLOOKUP($Q813,'Threshold Summary'!$Y:$Y,'Threshold Summary'!$K:$K,""),'Pokemon Editor'!$A:$A,'Pokemon Editor'!$F:$F,0)+31+FLOOR(XLOOKUP($Q813,'Threshold Summary'!$Y:$Y,'Threshold Summary'!$P:$P,"")/4))*XLOOKUP($Q813,'Threshold Summary'!$Y:$Y,'Threshold Summary'!$L:$L,""))/100)+5)*XLOOKUP(XLOOKUP($Q813,'Threshold Summary'!$Y:$Y,'Threshold Summary'!$M:$M,""),'Nature Editor'!$A:$A,'Nature Editor'!$B:$B,1)),FLOOR((FLOOR(((2*XLOOKUP(XLOOKUP($Q813,'Threshold Summary'!$Y:$Y,'Threshold Summary'!$K:$K,""),'Pokemon Editor'!$A:$A,'Pokemon Editor'!$H:$H,0)+31+FLOOR(XLOOKUP($Q813,'Threshold Summary'!$Y:$Y,'Threshold Summary'!$R:$R,"")/4))*XLOOKUP($Q813,'Threshold Summary'!$Y:$Y,'Threshold Summary'!$L:$L,""))/100)+5)*XLOOKUP(XLOOKUP($Q813,'Threshold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Editor'!$E:$E,1))),stab,IF(OR(mtype=XLOOKUP(XLOOKUP($Q813,'Threshold Summary'!$Y:$Y,'Threshold Summary'!$K:$K,""),'Pokemon Editor'!$A:$A,'Pokemon Editor'!$C:$C,""),mtype=XLOOKUP(XLOOKUP($Q813,'Threshold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Chart'!$B$1:$S$1,0)))),base,IF(OR(cat="Status",pow=0),0,FLOOR(FLOOR(FLOOR((2*XLOOKUP($Q813,'Threshold Summary'!$Y:$Y,'Threshold Summary'!$L:$L,"")/5+2)*pow*atk/def)/50)+2)),modifier,stab*eff,AVERAGE(ARRAYFORMULA(FLOOR(base*modifier*SEQUENCE(16,1,85,1)/100)))),0)</f>
        <v/>
      </c>
      <c r="M813" s="3">
        <f>IFERROR(LET(mtype,XLOOKUP($D813,'Move Editor'!$B:$B,'Move Editor'!$C:$C,""),cat,XLOOKUP($D813,'Move Editor'!$B:$B,'Move Editor'!$D:$D,""),pow,XLOOKUP($D813,'Move Editor'!$B:$B,'Move Editor'!$E:$E,0),acc,XLOOKUP($D813,'Move Editor'!$B:$B,'Move Editor'!$F:$F,100),atk,IF(cat="Physical",FLOOR((FLOOR(((2*XLOOKUP(XLOOKUP($Q813,'Threshold Summary'!$Y:$Y,'Threshold Summary'!$K:$K,""),'Pokemon Editor'!$A:$A,'Pokemon Editor'!$F:$F,0)+31+FLOOR(XLOOKUP($Q813,'Threshold Summary'!$Y:$Y,'Threshold Summary'!$P:$P,"")/4))*XLOOKUP($Q813,'Threshold Summary'!$Y:$Y,'Threshold Summary'!$L:$L,""))/100)+5)*XLOOKUP(XLOOKUP($Q813,'Threshold Summary'!$Y:$Y,'Threshold Summary'!$M:$M,""),'Nature Editor'!$A:$A,'Nature Editor'!$B:$B,1)),FLOOR((FLOOR(((2*XLOOKUP(XLOOKUP($Q813,'Threshold Summary'!$Y:$Y,'Threshold Summary'!$K:$K,""),'Pokemon Editor'!$A:$A,'Pokemon Editor'!$H:$H,0)+31+FLOOR(XLOOKUP($Q813,'Threshold Summary'!$Y:$Y,'Threshold Summary'!$R:$R,"")/4))*XLOOKUP($Q813,'Threshold Summary'!$Y:$Y,'Threshold Summary'!$L:$L,""))/100)+5)*XLOOKUP(XLOOKUP($Q813,'Threshold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Editor'!$E:$E,1))),stab,IF(OR(mtype=XLOOKUP(XLOOKUP($Q813,'Threshold Summary'!$Y:$Y,'Threshold Summary'!$K:$K,""),'Pokemon Editor'!$A:$A,'Pokemon Editor'!$C:$C,""),mtype=XLOOKUP(XLOOKUP($Q813,'Threshold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Chart'!$B$1:$S$1,0)))),base,IF(OR(cat="Status",pow=0),0,FLOOR(FLOOR(FLOOR((2*XLOOKUP($Q813,'Threshold Summary'!$Y:$Y,'Threshold Summary'!$L:$L,"")/5+2)*pow*atk/def)/50)+2)),modifier,stab*eff,AVERAGE(ARRAYFORMULA(FLOOR(base*modifier*SEQUENCE(16,1,85,1)/100)))*MIN(1,acc/100)),0)</f>
        <v/>
      </c>
      <c r="N813" s="4">
        <f>IFERROR(LET(mtype,XLOOKUP($D813,'Move Editor'!$B:$B,'Move Editor'!$C:$C,""),cat,XLOOKUP($D813,'Move Editor'!$B:$B,'Move Editor'!$D:$D,""),pow,XLOOKUP($D813,'Move Editor'!$B:$B,'Move Editor'!$E:$E,0),acc,XLOOKUP($D813,'Move Editor'!$B:$B,'Move Editor'!$F:$F,100),atk,IF(cat="Physical",FLOOR((FLOOR(((2*XLOOKUP(XLOOKUP($Q813,'Threshold Summary'!$Y:$Y,'Threshold Summary'!$K:$K,""),'Pokemon Editor'!$A:$A,'Pokemon Editor'!$F:$F,0)+31+FLOOR(XLOOKUP($Q813,'Threshold Summary'!$Y:$Y,'Threshold Summary'!$P:$P,"")/4))*XLOOKUP($Q813,'Threshold Summary'!$Y:$Y,'Threshold Summary'!$L:$L,""))/100)+5)*XLOOKUP(XLOOKUP($Q813,'Threshold Summary'!$Y:$Y,'Threshold Summary'!$M:$M,""),'Nature Editor'!$A:$A,'Nature Editor'!$B:$B,1)),FLOOR((FLOOR(((2*XLOOKUP(XLOOKUP($Q813,'Threshold Summary'!$Y:$Y,'Threshold Summary'!$K:$K,""),'Pokemon Editor'!$A:$A,'Pokemon Editor'!$H:$H,0)+31+FLOOR(XLOOKUP($Q813,'Threshold Summary'!$Y:$Y,'Threshold Summary'!$R:$R,"")/4))*XLOOKUP($Q813,'Threshold Summary'!$Y:$Y,'Threshold Summary'!$L:$L,""))/100)+5)*XLOOKUP(XLOOKUP($Q813,'Threshold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Editor'!$E:$E,1))),stab,IF(OR(mtype=XLOOKUP(XLOOKUP($Q813,'Threshold Summary'!$Y:$Y,'Threshold Summary'!$K:$K,""),'Pokemon Editor'!$A:$A,'Pokemon Editor'!$C:$C,""),mtype=XLOOKUP(XLOOKUP($Q813,'Threshold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Chart'!$B$1:$S$1,0)))),base,IF(OR(cat="Status",pow=0),0,FLOOR(FLOOR(FLOOR((2*XLOOKUP($Q813,'Threshold Summary'!$Y:$Y,'Threshold Summary'!$L:$L,"")/5+2)*pow*atk/def)/50)+2)),modifier,stab*eff,AVERAGE(ARRAYFORMULA(FLOOR(base*modifier*SEQUENCE(16,1,85,1)/100)))/(FLOOR(((2*XLOOKUP('Boss Editor'!$C$4,'Pokemon Editor'!$A:$A,'Pokemon Editor'!$E:$E,0)+31+FLOOR('Boss Editor'!$G$4/4))*'Boss Editor'!$D$4)/100)+'Boss Editor'!$D$4+10)),0)</f>
        <v/>
      </c>
      <c r="O813" s="3">
        <f>IF(N813&gt;=1,"OHKO",IF(N813&gt;=0.5,"2HKO",IF(N813&gt;=0.333,"3HKO",IF(N813&gt;=0.25,"4HKO","5HKO+"))))</f>
        <v/>
      </c>
      <c r="P813" s="3" t="inlineStr">
        <is>
          <t>Live from editable databases</t>
        </is>
      </c>
      <c r="Q813" s="3" t="inlineStr">
        <is>
          <t>SPECIES_BLIPBUG</t>
        </is>
      </c>
      <c r="R813" s="3" t="n">
        <v>12</v>
      </c>
    </row>
    <row r="814">
      <c r="A814" s="3">
        <f>XLOOKUP($Q814,'Threshold Summary'!$Y:$Y,'Threshold Summary'!$A:$A,"")</f>
        <v/>
      </c>
      <c r="B814" s="3">
        <f>XLOOKUP($Q814,'Threshold Summary'!$Y:$Y,'Threshold Summary'!$M:$M,"")</f>
        <v/>
      </c>
      <c r="C814" s="3">
        <f>XLOOKUP($Q814,'Threshold Summary'!$Y:$Y,'Threshold Summary'!$N:$N,"")</f>
        <v/>
      </c>
      <c r="D814" s="3">
        <f>IFERROR(INDEX(FILTER('Learnset Editor'!$D$2:$D,'Learnset Editor'!$A$2:$A=XLOOKUP($Q814,'Threshold Summary'!$Y:$Y,'Threshold Summary'!$K:$K,""),'Learnset Editor'!$C$2:$C&lt;=XLOOKUP($Q814,'Threshold Summary'!$Y:$Y,'Threshold Summary'!$L:$L,"")),$R814),"")</f>
        <v/>
      </c>
      <c r="E814" s="3">
        <f>XLOOKUP(D814,'Move Editor'!$B:$B,'Move Editor'!$C:$C,"")</f>
        <v/>
      </c>
      <c r="F814" s="3">
        <f>XLOOKUP(D814,'Move Editor'!$B:$B,'Move Editor'!$D:$D,"")</f>
        <v/>
      </c>
      <c r="G814" s="3">
        <f>XLOOKUP(D814,'Move Editor'!$B:$B,'Move Editor'!$E:$E,0)</f>
        <v/>
      </c>
      <c r="H814" s="3">
        <f>XLOOKUP(D814,'Move Editor'!$B:$B,'Move Editor'!$F:$F,0)</f>
        <v/>
      </c>
      <c r="I814" s="3">
        <f>(INDEX('Type Chart'!$B:$S,MATCH(E814,'Type Chart'!$A:$A,0),MATCH(XLOOKUP('Boss Editor'!$C$4,'Pokemon Editor'!$A:$A,'Pokemon Editor'!$C:$C,""),'Type Chart'!$B$1:$S$1,0))*IF(XLOOKUP('Boss Editor'!$C$4,'Pokemon Editor'!$A:$A,'Pokemon Editor'!$D:$D,"")="",1,INDEX('Type Chart'!$B:$S,MATCH(E814,'Type Chart'!$A:$A,0),MATCH(XLOOKUP('Boss Editor'!$C$4,'Pokemon Editor'!$A:$A,'Pokemon Editor'!$D:$D,""),'Type Chart'!$B$1:$S$1,0))))</f>
        <v/>
      </c>
      <c r="J814" s="3">
        <f>IFERROR(LET(mtype,XLOOKUP($D814,'Move Editor'!$B:$B,'Move Editor'!$C:$C,""),cat,XLOOKUP($D814,'Move Editor'!$B:$B,'Move Editor'!$D:$D,""),pow,XLOOKUP($D814,'Move Editor'!$B:$B,'Move Editor'!$E:$E,0),acc,XLOOKUP($D814,'Move Editor'!$B:$B,'Move Editor'!$F:$F,100),atk,IF(cat="Physical",FLOOR((FLOOR(((2*XLOOKUP(XLOOKUP($Q814,'Threshold Summary'!$Y:$Y,'Threshold Summary'!$K:$K,""),'Pokemon Editor'!$A:$A,'Pokemon Editor'!$F:$F,0)+31+FLOOR(XLOOKUP($Q814,'Threshold Summary'!$Y:$Y,'Threshold Summary'!$P:$P,"")/4))*XLOOKUP($Q814,'Threshold Summary'!$Y:$Y,'Threshold Summary'!$L:$L,""))/100)+5)*XLOOKUP(XLOOKUP($Q814,'Threshold Summary'!$Y:$Y,'Threshold Summary'!$M:$M,""),'Nature Editor'!$A:$A,'Nature Editor'!$B:$B,1)),FLOOR((FLOOR(((2*XLOOKUP(XLOOKUP($Q814,'Threshold Summary'!$Y:$Y,'Threshold Summary'!$K:$K,""),'Pokemon Editor'!$A:$A,'Pokemon Editor'!$H:$H,0)+31+FLOOR(XLOOKUP($Q814,'Threshold Summary'!$Y:$Y,'Threshold Summary'!$R:$R,"")/4))*XLOOKUP($Q814,'Threshold Summary'!$Y:$Y,'Threshold Summary'!$L:$L,""))/100)+5)*XLOOKUP(XLOOKUP($Q814,'Threshold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Editor'!$E:$E,1))),stab,IF(OR(mtype=XLOOKUP(XLOOKUP($Q814,'Threshold Summary'!$Y:$Y,'Threshold Summary'!$K:$K,""),'Pokemon Editor'!$A:$A,'Pokemon Editor'!$C:$C,""),mtype=XLOOKUP(XLOOKUP($Q814,'Threshold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Chart'!$B$1:$S$1,0)))),base,IF(OR(cat="Status",pow=0),0,FLOOR(FLOOR(FLOOR((2*XLOOKUP($Q814,'Threshold Summary'!$Y:$Y,'Threshold Summary'!$L:$L,"")/5+2)*pow*atk/def)/50)+2)),modifier,stab*eff,FLOOR(base*modifier*0.85)),0)</f>
        <v/>
      </c>
      <c r="K814" s="3">
        <f>IFERROR(LET(mtype,XLOOKUP($D814,'Move Editor'!$B:$B,'Move Editor'!$C:$C,""),cat,XLOOKUP($D814,'Move Editor'!$B:$B,'Move Editor'!$D:$D,""),pow,XLOOKUP($D814,'Move Editor'!$B:$B,'Move Editor'!$E:$E,0),acc,XLOOKUP($D814,'Move Editor'!$B:$B,'Move Editor'!$F:$F,100),atk,IF(cat="Physical",FLOOR((FLOOR(((2*XLOOKUP(XLOOKUP($Q814,'Threshold Summary'!$Y:$Y,'Threshold Summary'!$K:$K,""),'Pokemon Editor'!$A:$A,'Pokemon Editor'!$F:$F,0)+31+FLOOR(XLOOKUP($Q814,'Threshold Summary'!$Y:$Y,'Threshold Summary'!$P:$P,"")/4))*XLOOKUP($Q814,'Threshold Summary'!$Y:$Y,'Threshold Summary'!$L:$L,""))/100)+5)*XLOOKUP(XLOOKUP($Q814,'Threshold Summary'!$Y:$Y,'Threshold Summary'!$M:$M,""),'Nature Editor'!$A:$A,'Nature Editor'!$B:$B,1)),FLOOR((FLOOR(((2*XLOOKUP(XLOOKUP($Q814,'Threshold Summary'!$Y:$Y,'Threshold Summary'!$K:$K,""),'Pokemon Editor'!$A:$A,'Pokemon Editor'!$H:$H,0)+31+FLOOR(XLOOKUP($Q814,'Threshold Summary'!$Y:$Y,'Threshold Summary'!$R:$R,"")/4))*XLOOKUP($Q814,'Threshold Summary'!$Y:$Y,'Threshold Summary'!$L:$L,""))/100)+5)*XLOOKUP(XLOOKUP($Q814,'Threshold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Editor'!$E:$E,1))),stab,IF(OR(mtype=XLOOKUP(XLOOKUP($Q814,'Threshold Summary'!$Y:$Y,'Threshold Summary'!$K:$K,""),'Pokemon Editor'!$A:$A,'Pokemon Editor'!$C:$C,""),mtype=XLOOKUP(XLOOKUP($Q814,'Threshold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Chart'!$B$1:$S$1,0)))),base,IF(OR(cat="Status",pow=0),0,FLOOR(FLOOR(FLOOR((2*XLOOKUP($Q814,'Threshold Summary'!$Y:$Y,'Threshold Summary'!$L:$L,"")/5+2)*pow*atk/def)/50)+2)),modifier,stab*eff,FLOOR(base*modifier)),0)</f>
        <v/>
      </c>
      <c r="L814" s="3">
        <f>IFERROR(LET(mtype,XLOOKUP($D814,'Move Editor'!$B:$B,'Move Editor'!$C:$C,""),cat,XLOOKUP($D814,'Move Editor'!$B:$B,'Move Editor'!$D:$D,""),pow,XLOOKUP($D814,'Move Editor'!$B:$B,'Move Editor'!$E:$E,0),acc,XLOOKUP($D814,'Move Editor'!$B:$B,'Move Editor'!$F:$F,100),atk,IF(cat="Physical",FLOOR((FLOOR(((2*XLOOKUP(XLOOKUP($Q814,'Threshold Summary'!$Y:$Y,'Threshold Summary'!$K:$K,""),'Pokemon Editor'!$A:$A,'Pokemon Editor'!$F:$F,0)+31+FLOOR(XLOOKUP($Q814,'Threshold Summary'!$Y:$Y,'Threshold Summary'!$P:$P,"")/4))*XLOOKUP($Q814,'Threshold Summary'!$Y:$Y,'Threshold Summary'!$L:$L,""))/100)+5)*XLOOKUP(XLOOKUP($Q814,'Threshold Summary'!$Y:$Y,'Threshold Summary'!$M:$M,""),'Nature Editor'!$A:$A,'Nature Editor'!$B:$B,1)),FLOOR((FLOOR(((2*XLOOKUP(XLOOKUP($Q814,'Threshold Summary'!$Y:$Y,'Threshold Summary'!$K:$K,""),'Pokemon Editor'!$A:$A,'Pokemon Editor'!$H:$H,0)+31+FLOOR(XLOOKUP($Q814,'Threshold Summary'!$Y:$Y,'Threshold Summary'!$R:$R,"")/4))*XLOOKUP($Q814,'Threshold Summary'!$Y:$Y,'Threshold Summary'!$L:$L,""))/100)+5)*XLOOKUP(XLOOKUP($Q814,'Threshold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Editor'!$E:$E,1))),stab,IF(OR(mtype=XLOOKUP(XLOOKUP($Q814,'Threshold Summary'!$Y:$Y,'Threshold Summary'!$K:$K,""),'Pokemon Editor'!$A:$A,'Pokemon Editor'!$C:$C,""),mtype=XLOOKUP(XLOOKUP($Q814,'Threshold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Chart'!$B$1:$S$1,0)))),base,IF(OR(cat="Status",pow=0),0,FLOOR(FLOOR(FLOOR((2*XLOOKUP($Q814,'Threshold Summary'!$Y:$Y,'Threshold Summary'!$L:$L,"")/5+2)*pow*atk/def)/50)+2)),modifier,stab*eff,AVERAGE(ARRAYFORMULA(FLOOR(base*modifier*SEQUENCE(16,1,85,1)/100)))),0)</f>
        <v/>
      </c>
      <c r="M814" s="3">
        <f>IFERROR(LET(mtype,XLOOKUP($D814,'Move Editor'!$B:$B,'Move Editor'!$C:$C,""),cat,XLOOKUP($D814,'Move Editor'!$B:$B,'Move Editor'!$D:$D,""),pow,XLOOKUP($D814,'Move Editor'!$B:$B,'Move Editor'!$E:$E,0),acc,XLOOKUP($D814,'Move Editor'!$B:$B,'Move Editor'!$F:$F,100),atk,IF(cat="Physical",FLOOR((FLOOR(((2*XLOOKUP(XLOOKUP($Q814,'Threshold Summary'!$Y:$Y,'Threshold Summary'!$K:$K,""),'Pokemon Editor'!$A:$A,'Pokemon Editor'!$F:$F,0)+31+FLOOR(XLOOKUP($Q814,'Threshold Summary'!$Y:$Y,'Threshold Summary'!$P:$P,"")/4))*XLOOKUP($Q814,'Threshold Summary'!$Y:$Y,'Threshold Summary'!$L:$L,""))/100)+5)*XLOOKUP(XLOOKUP($Q814,'Threshold Summary'!$Y:$Y,'Threshold Summary'!$M:$M,""),'Nature Editor'!$A:$A,'Nature Editor'!$B:$B,1)),FLOOR((FLOOR(((2*XLOOKUP(XLOOKUP($Q814,'Threshold Summary'!$Y:$Y,'Threshold Summary'!$K:$K,""),'Pokemon Editor'!$A:$A,'Pokemon Editor'!$H:$H,0)+31+FLOOR(XLOOKUP($Q814,'Threshold Summary'!$Y:$Y,'Threshold Summary'!$R:$R,"")/4))*XLOOKUP($Q814,'Threshold Summary'!$Y:$Y,'Threshold Summary'!$L:$L,""))/100)+5)*XLOOKUP(XLOOKUP($Q814,'Threshold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Editor'!$E:$E,1))),stab,IF(OR(mtype=XLOOKUP(XLOOKUP($Q814,'Threshold Summary'!$Y:$Y,'Threshold Summary'!$K:$K,""),'Pokemon Editor'!$A:$A,'Pokemon Editor'!$C:$C,""),mtype=XLOOKUP(XLOOKUP($Q814,'Threshold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Chart'!$B$1:$S$1,0)))),base,IF(OR(cat="Status",pow=0),0,FLOOR(FLOOR(FLOOR((2*XLOOKUP($Q814,'Threshold Summary'!$Y:$Y,'Threshold Summary'!$L:$L,"")/5+2)*pow*atk/def)/50)+2)),modifier,stab*eff,AVERAGE(ARRAYFORMULA(FLOOR(base*modifier*SEQUENCE(16,1,85,1)/100)))*MIN(1,acc/100)),0)</f>
        <v/>
      </c>
      <c r="N814" s="4">
        <f>IFERROR(LET(mtype,XLOOKUP($D814,'Move Editor'!$B:$B,'Move Editor'!$C:$C,""),cat,XLOOKUP($D814,'Move Editor'!$B:$B,'Move Editor'!$D:$D,""),pow,XLOOKUP($D814,'Move Editor'!$B:$B,'Move Editor'!$E:$E,0),acc,XLOOKUP($D814,'Move Editor'!$B:$B,'Move Editor'!$F:$F,100),atk,IF(cat="Physical",FLOOR((FLOOR(((2*XLOOKUP(XLOOKUP($Q814,'Threshold Summary'!$Y:$Y,'Threshold Summary'!$K:$K,""),'Pokemon Editor'!$A:$A,'Pokemon Editor'!$F:$F,0)+31+FLOOR(XLOOKUP($Q814,'Threshold Summary'!$Y:$Y,'Threshold Summary'!$P:$P,"")/4))*XLOOKUP($Q814,'Threshold Summary'!$Y:$Y,'Threshold Summary'!$L:$L,""))/100)+5)*XLOOKUP(XLOOKUP($Q814,'Threshold Summary'!$Y:$Y,'Threshold Summary'!$M:$M,""),'Nature Editor'!$A:$A,'Nature Editor'!$B:$B,1)),FLOOR((FLOOR(((2*XLOOKUP(XLOOKUP($Q814,'Threshold Summary'!$Y:$Y,'Threshold Summary'!$K:$K,""),'Pokemon Editor'!$A:$A,'Pokemon Editor'!$H:$H,0)+31+FLOOR(XLOOKUP($Q814,'Threshold Summary'!$Y:$Y,'Threshold Summary'!$R:$R,"")/4))*XLOOKUP($Q814,'Threshold Summary'!$Y:$Y,'Threshold Summary'!$L:$L,""))/100)+5)*XLOOKUP(XLOOKUP($Q814,'Threshold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Editor'!$E:$E,1))),stab,IF(OR(mtype=XLOOKUP(XLOOKUP($Q814,'Threshold Summary'!$Y:$Y,'Threshold Summary'!$K:$K,""),'Pokemon Editor'!$A:$A,'Pokemon Editor'!$C:$C,""),mtype=XLOOKUP(XLOOKUP($Q814,'Threshold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Chart'!$B$1:$S$1,0)))),base,IF(OR(cat="Status",pow=0),0,FLOOR(FLOOR(FLOOR((2*XLOOKUP($Q814,'Threshold Summary'!$Y:$Y,'Threshold Summary'!$L:$L,"")/5+2)*pow*atk/def)/50)+2)),modifier,stab*eff,AVERAGE(ARRAYFORMULA(FLOOR(base*modifier*SEQUENCE(16,1,85,1)/100)))/(FLOOR(((2*XLOOKUP('Boss Editor'!$C$4,'Pokemon Editor'!$A:$A,'Pokemon Editor'!$E:$E,0)+31+FLOOR('Boss Editor'!$G$4/4))*'Boss Editor'!$D$4)/100)+'Boss Editor'!$D$4+10)),0)</f>
        <v/>
      </c>
      <c r="O814" s="3">
        <f>IF(N814&gt;=1,"OHKO",IF(N814&gt;=0.5,"2HKO",IF(N814&gt;=0.333,"3HKO",IF(N814&gt;=0.25,"4HKO","5HKO+"))))</f>
        <v/>
      </c>
      <c r="P814" s="3" t="inlineStr">
        <is>
          <t>Live from editable databases</t>
        </is>
      </c>
      <c r="Q814" s="3" t="inlineStr">
        <is>
          <t>SPECIES_BLIPBUG</t>
        </is>
      </c>
      <c r="R814" s="3" t="n">
        <v>13</v>
      </c>
    </row>
    <row r="815">
      <c r="A815" s="3">
        <f>XLOOKUP($Q815,'Threshold Summary'!$Y:$Y,'Threshold Summary'!$A:$A,"")</f>
        <v/>
      </c>
      <c r="B815" s="3">
        <f>XLOOKUP($Q815,'Threshold Summary'!$Y:$Y,'Threshold Summary'!$M:$M,"")</f>
        <v/>
      </c>
      <c r="C815" s="3">
        <f>XLOOKUP($Q815,'Threshold Summary'!$Y:$Y,'Threshold Summary'!$N:$N,"")</f>
        <v/>
      </c>
      <c r="D815" s="3">
        <f>IFERROR(INDEX(FILTER('Learnset Editor'!$D$2:$D,'Learnset Editor'!$A$2:$A=XLOOKUP($Q815,'Threshold Summary'!$Y:$Y,'Threshold Summary'!$K:$K,""),'Learnset Editor'!$C$2:$C&lt;=XLOOKUP($Q815,'Threshold Summary'!$Y:$Y,'Threshold Summary'!$L:$L,"")),$R815),"")</f>
        <v/>
      </c>
      <c r="E815" s="3">
        <f>XLOOKUP(D815,'Move Editor'!$B:$B,'Move Editor'!$C:$C,"")</f>
        <v/>
      </c>
      <c r="F815" s="3">
        <f>XLOOKUP(D815,'Move Editor'!$B:$B,'Move Editor'!$D:$D,"")</f>
        <v/>
      </c>
      <c r="G815" s="3">
        <f>XLOOKUP(D815,'Move Editor'!$B:$B,'Move Editor'!$E:$E,0)</f>
        <v/>
      </c>
      <c r="H815" s="3">
        <f>XLOOKUP(D815,'Move Editor'!$B:$B,'Move Editor'!$F:$F,0)</f>
        <v/>
      </c>
      <c r="I815" s="3">
        <f>(INDEX('Type Chart'!$B:$S,MATCH(E815,'Type Chart'!$A:$A,0),MATCH(XLOOKUP('Boss Editor'!$C$4,'Pokemon Editor'!$A:$A,'Pokemon Editor'!$C:$C,""),'Type Chart'!$B$1:$S$1,0))*IF(XLOOKUP('Boss Editor'!$C$4,'Pokemon Editor'!$A:$A,'Pokemon Editor'!$D:$D,"")="",1,INDEX('Type Chart'!$B:$S,MATCH(E815,'Type Chart'!$A:$A,0),MATCH(XLOOKUP('Boss Editor'!$C$4,'Pokemon Editor'!$A:$A,'Pokemon Editor'!$D:$D,""),'Type Chart'!$B$1:$S$1,0))))</f>
        <v/>
      </c>
      <c r="J815" s="3">
        <f>IFERROR(LET(mtype,XLOOKUP($D815,'Move Editor'!$B:$B,'Move Editor'!$C:$C,""),cat,XLOOKUP($D815,'Move Editor'!$B:$B,'Move Editor'!$D:$D,""),pow,XLOOKUP($D815,'Move Editor'!$B:$B,'Move Editor'!$E:$E,0),acc,XLOOKUP($D815,'Move Editor'!$B:$B,'Move Editor'!$F:$F,100),atk,IF(cat="Physical",FLOOR((FLOOR(((2*XLOOKUP(XLOOKUP($Q815,'Threshold Summary'!$Y:$Y,'Threshold Summary'!$K:$K,""),'Pokemon Editor'!$A:$A,'Pokemon Editor'!$F:$F,0)+31+FLOOR(XLOOKUP($Q815,'Threshold Summary'!$Y:$Y,'Threshold Summary'!$P:$P,"")/4))*XLOOKUP($Q815,'Threshold Summary'!$Y:$Y,'Threshold Summary'!$L:$L,""))/100)+5)*XLOOKUP(XLOOKUP($Q815,'Threshold Summary'!$Y:$Y,'Threshold Summary'!$M:$M,""),'Nature Editor'!$A:$A,'Nature Editor'!$B:$B,1)),FLOOR((FLOOR(((2*XLOOKUP(XLOOKUP($Q815,'Threshold Summary'!$Y:$Y,'Threshold Summary'!$K:$K,""),'Pokemon Editor'!$A:$A,'Pokemon Editor'!$H:$H,0)+31+FLOOR(XLOOKUP($Q815,'Threshold Summary'!$Y:$Y,'Threshold Summary'!$R:$R,"")/4))*XLOOKUP($Q815,'Threshold Summary'!$Y:$Y,'Threshold Summary'!$L:$L,""))/100)+5)*XLOOKUP(XLOOKUP($Q815,'Threshold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Editor'!$E:$E,1))),stab,IF(OR(mtype=XLOOKUP(XLOOKUP($Q815,'Threshold Summary'!$Y:$Y,'Threshold Summary'!$K:$K,""),'Pokemon Editor'!$A:$A,'Pokemon Editor'!$C:$C,""),mtype=XLOOKUP(XLOOKUP($Q815,'Threshold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Chart'!$B$1:$S$1,0)))),base,IF(OR(cat="Status",pow=0),0,FLOOR(FLOOR(FLOOR((2*XLOOKUP($Q815,'Threshold Summary'!$Y:$Y,'Threshold Summary'!$L:$L,"")/5+2)*pow*atk/def)/50)+2)),modifier,stab*eff,FLOOR(base*modifier*0.85)),0)</f>
        <v/>
      </c>
      <c r="K815" s="3">
        <f>IFERROR(LET(mtype,XLOOKUP($D815,'Move Editor'!$B:$B,'Move Editor'!$C:$C,""),cat,XLOOKUP($D815,'Move Editor'!$B:$B,'Move Editor'!$D:$D,""),pow,XLOOKUP($D815,'Move Editor'!$B:$B,'Move Editor'!$E:$E,0),acc,XLOOKUP($D815,'Move Editor'!$B:$B,'Move Editor'!$F:$F,100),atk,IF(cat="Physical",FLOOR((FLOOR(((2*XLOOKUP(XLOOKUP($Q815,'Threshold Summary'!$Y:$Y,'Threshold Summary'!$K:$K,""),'Pokemon Editor'!$A:$A,'Pokemon Editor'!$F:$F,0)+31+FLOOR(XLOOKUP($Q815,'Threshold Summary'!$Y:$Y,'Threshold Summary'!$P:$P,"")/4))*XLOOKUP($Q815,'Threshold Summary'!$Y:$Y,'Threshold Summary'!$L:$L,""))/100)+5)*XLOOKUP(XLOOKUP($Q815,'Threshold Summary'!$Y:$Y,'Threshold Summary'!$M:$M,""),'Nature Editor'!$A:$A,'Nature Editor'!$B:$B,1)),FLOOR((FLOOR(((2*XLOOKUP(XLOOKUP($Q815,'Threshold Summary'!$Y:$Y,'Threshold Summary'!$K:$K,""),'Pokemon Editor'!$A:$A,'Pokemon Editor'!$H:$H,0)+31+FLOOR(XLOOKUP($Q815,'Threshold Summary'!$Y:$Y,'Threshold Summary'!$R:$R,"")/4))*XLOOKUP($Q815,'Threshold Summary'!$Y:$Y,'Threshold Summary'!$L:$L,""))/100)+5)*XLOOKUP(XLOOKUP($Q815,'Threshold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Editor'!$E:$E,1))),stab,IF(OR(mtype=XLOOKUP(XLOOKUP($Q815,'Threshold Summary'!$Y:$Y,'Threshold Summary'!$K:$K,""),'Pokemon Editor'!$A:$A,'Pokemon Editor'!$C:$C,""),mtype=XLOOKUP(XLOOKUP($Q815,'Threshold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Chart'!$B$1:$S$1,0)))),base,IF(OR(cat="Status",pow=0),0,FLOOR(FLOOR(FLOOR((2*XLOOKUP($Q815,'Threshold Summary'!$Y:$Y,'Threshold Summary'!$L:$L,"")/5+2)*pow*atk/def)/50)+2)),modifier,stab*eff,FLOOR(base*modifier)),0)</f>
        <v/>
      </c>
      <c r="L815" s="3">
        <f>IFERROR(LET(mtype,XLOOKUP($D815,'Move Editor'!$B:$B,'Move Editor'!$C:$C,""),cat,XLOOKUP($D815,'Move Editor'!$B:$B,'Move Editor'!$D:$D,""),pow,XLOOKUP($D815,'Move Editor'!$B:$B,'Move Editor'!$E:$E,0),acc,XLOOKUP($D815,'Move Editor'!$B:$B,'Move Editor'!$F:$F,100),atk,IF(cat="Physical",FLOOR((FLOOR(((2*XLOOKUP(XLOOKUP($Q815,'Threshold Summary'!$Y:$Y,'Threshold Summary'!$K:$K,""),'Pokemon Editor'!$A:$A,'Pokemon Editor'!$F:$F,0)+31+FLOOR(XLOOKUP($Q815,'Threshold Summary'!$Y:$Y,'Threshold Summary'!$P:$P,"")/4))*XLOOKUP($Q815,'Threshold Summary'!$Y:$Y,'Threshold Summary'!$L:$L,""))/100)+5)*XLOOKUP(XLOOKUP($Q815,'Threshold Summary'!$Y:$Y,'Threshold Summary'!$M:$M,""),'Nature Editor'!$A:$A,'Nature Editor'!$B:$B,1)),FLOOR((FLOOR(((2*XLOOKUP(XLOOKUP($Q815,'Threshold Summary'!$Y:$Y,'Threshold Summary'!$K:$K,""),'Pokemon Editor'!$A:$A,'Pokemon Editor'!$H:$H,0)+31+FLOOR(XLOOKUP($Q815,'Threshold Summary'!$Y:$Y,'Threshold Summary'!$R:$R,"")/4))*XLOOKUP($Q815,'Threshold Summary'!$Y:$Y,'Threshold Summary'!$L:$L,""))/100)+5)*XLOOKUP(XLOOKUP($Q815,'Threshold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Editor'!$E:$E,1))),stab,IF(OR(mtype=XLOOKUP(XLOOKUP($Q815,'Threshold Summary'!$Y:$Y,'Threshold Summary'!$K:$K,""),'Pokemon Editor'!$A:$A,'Pokemon Editor'!$C:$C,""),mtype=XLOOKUP(XLOOKUP($Q815,'Threshold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Chart'!$B$1:$S$1,0)))),base,IF(OR(cat="Status",pow=0),0,FLOOR(FLOOR(FLOOR((2*XLOOKUP($Q815,'Threshold Summary'!$Y:$Y,'Threshold Summary'!$L:$L,"")/5+2)*pow*atk/def)/50)+2)),modifier,stab*eff,AVERAGE(ARRAYFORMULA(FLOOR(base*modifier*SEQUENCE(16,1,85,1)/100)))),0)</f>
        <v/>
      </c>
      <c r="M815" s="3">
        <f>IFERROR(LET(mtype,XLOOKUP($D815,'Move Editor'!$B:$B,'Move Editor'!$C:$C,""),cat,XLOOKUP($D815,'Move Editor'!$B:$B,'Move Editor'!$D:$D,""),pow,XLOOKUP($D815,'Move Editor'!$B:$B,'Move Editor'!$E:$E,0),acc,XLOOKUP($D815,'Move Editor'!$B:$B,'Move Editor'!$F:$F,100),atk,IF(cat="Physical",FLOOR((FLOOR(((2*XLOOKUP(XLOOKUP($Q815,'Threshold Summary'!$Y:$Y,'Threshold Summary'!$K:$K,""),'Pokemon Editor'!$A:$A,'Pokemon Editor'!$F:$F,0)+31+FLOOR(XLOOKUP($Q815,'Threshold Summary'!$Y:$Y,'Threshold Summary'!$P:$P,"")/4))*XLOOKUP($Q815,'Threshold Summary'!$Y:$Y,'Threshold Summary'!$L:$L,""))/100)+5)*XLOOKUP(XLOOKUP($Q815,'Threshold Summary'!$Y:$Y,'Threshold Summary'!$M:$M,""),'Nature Editor'!$A:$A,'Nature Editor'!$B:$B,1)),FLOOR((FLOOR(((2*XLOOKUP(XLOOKUP($Q815,'Threshold Summary'!$Y:$Y,'Threshold Summary'!$K:$K,""),'Pokemon Editor'!$A:$A,'Pokemon Editor'!$H:$H,0)+31+FLOOR(XLOOKUP($Q815,'Threshold Summary'!$Y:$Y,'Threshold Summary'!$R:$R,"")/4))*XLOOKUP($Q815,'Threshold Summary'!$Y:$Y,'Threshold Summary'!$L:$L,""))/100)+5)*XLOOKUP(XLOOKUP($Q815,'Threshold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Editor'!$E:$E,1))),stab,IF(OR(mtype=XLOOKUP(XLOOKUP($Q815,'Threshold Summary'!$Y:$Y,'Threshold Summary'!$K:$K,""),'Pokemon Editor'!$A:$A,'Pokemon Editor'!$C:$C,""),mtype=XLOOKUP(XLOOKUP($Q815,'Threshold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Chart'!$B$1:$S$1,0)))),base,IF(OR(cat="Status",pow=0),0,FLOOR(FLOOR(FLOOR((2*XLOOKUP($Q815,'Threshold Summary'!$Y:$Y,'Threshold Summary'!$L:$L,"")/5+2)*pow*atk/def)/50)+2)),modifier,stab*eff,AVERAGE(ARRAYFORMULA(FLOOR(base*modifier*SEQUENCE(16,1,85,1)/100)))*MIN(1,acc/100)),0)</f>
        <v/>
      </c>
      <c r="N815" s="4">
        <f>IFERROR(LET(mtype,XLOOKUP($D815,'Move Editor'!$B:$B,'Move Editor'!$C:$C,""),cat,XLOOKUP($D815,'Move Editor'!$B:$B,'Move Editor'!$D:$D,""),pow,XLOOKUP($D815,'Move Editor'!$B:$B,'Move Editor'!$E:$E,0),acc,XLOOKUP($D815,'Move Editor'!$B:$B,'Move Editor'!$F:$F,100),atk,IF(cat="Physical",FLOOR((FLOOR(((2*XLOOKUP(XLOOKUP($Q815,'Threshold Summary'!$Y:$Y,'Threshold Summary'!$K:$K,""),'Pokemon Editor'!$A:$A,'Pokemon Editor'!$F:$F,0)+31+FLOOR(XLOOKUP($Q815,'Threshold Summary'!$Y:$Y,'Threshold Summary'!$P:$P,"")/4))*XLOOKUP($Q815,'Threshold Summary'!$Y:$Y,'Threshold Summary'!$L:$L,""))/100)+5)*XLOOKUP(XLOOKUP($Q815,'Threshold Summary'!$Y:$Y,'Threshold Summary'!$M:$M,""),'Nature Editor'!$A:$A,'Nature Editor'!$B:$B,1)),FLOOR((FLOOR(((2*XLOOKUP(XLOOKUP($Q815,'Threshold Summary'!$Y:$Y,'Threshold Summary'!$K:$K,""),'Pokemon Editor'!$A:$A,'Pokemon Editor'!$H:$H,0)+31+FLOOR(XLOOKUP($Q815,'Threshold Summary'!$Y:$Y,'Threshold Summary'!$R:$R,"")/4))*XLOOKUP($Q815,'Threshold Summary'!$Y:$Y,'Threshold Summary'!$L:$L,""))/100)+5)*XLOOKUP(XLOOKUP($Q815,'Threshold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Editor'!$E:$E,1))),stab,IF(OR(mtype=XLOOKUP(XLOOKUP($Q815,'Threshold Summary'!$Y:$Y,'Threshold Summary'!$K:$K,""),'Pokemon Editor'!$A:$A,'Pokemon Editor'!$C:$C,""),mtype=XLOOKUP(XLOOKUP($Q815,'Threshold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Chart'!$B$1:$S$1,0)))),base,IF(OR(cat="Status",pow=0),0,FLOOR(FLOOR(FLOOR((2*XLOOKUP($Q815,'Threshold Summary'!$Y:$Y,'Threshold Summary'!$L:$L,"")/5+2)*pow*atk/def)/50)+2)),modifier,stab*eff,AVERAGE(ARRAYFORMULA(FLOOR(base*modifier*SEQUENCE(16,1,85,1)/100)))/(FLOOR(((2*XLOOKUP('Boss Editor'!$C$4,'Pokemon Editor'!$A:$A,'Pokemon Editor'!$E:$E,0)+31+FLOOR('Boss Editor'!$G$4/4))*'Boss Editor'!$D$4)/100)+'Boss Editor'!$D$4+10)),0)</f>
        <v/>
      </c>
      <c r="O815" s="3">
        <f>IF(N815&gt;=1,"OHKO",IF(N815&gt;=0.5,"2HKO",IF(N815&gt;=0.333,"3HKO",IF(N815&gt;=0.25,"4HKO","5HKO+"))))</f>
        <v/>
      </c>
      <c r="P815" s="3" t="inlineStr">
        <is>
          <t>Live from editable databases</t>
        </is>
      </c>
      <c r="Q815" s="3" t="inlineStr">
        <is>
          <t>SPECIES_BLIPBUG</t>
        </is>
      </c>
      <c r="R815" s="3" t="n">
        <v>14</v>
      </c>
    </row>
    <row r="816">
      <c r="A816" s="3">
        <f>XLOOKUP($Q816,'Threshold Summary'!$Y:$Y,'Threshold Summary'!$A:$A,"")</f>
        <v/>
      </c>
      <c r="B816" s="3">
        <f>XLOOKUP($Q816,'Threshold Summary'!$Y:$Y,'Threshold Summary'!$M:$M,"")</f>
        <v/>
      </c>
      <c r="C816" s="3">
        <f>XLOOKUP($Q816,'Threshold Summary'!$Y:$Y,'Threshold Summary'!$N:$N,"")</f>
        <v/>
      </c>
      <c r="D816" s="3">
        <f>IFERROR(INDEX(FILTER('Learnset Editor'!$D$2:$D,'Learnset Editor'!$A$2:$A=XLOOKUP($Q816,'Threshold Summary'!$Y:$Y,'Threshold Summary'!$K:$K,""),'Learnset Editor'!$C$2:$C&lt;=XLOOKUP($Q816,'Threshold Summary'!$Y:$Y,'Threshold Summary'!$L:$L,"")),$R816),"")</f>
        <v/>
      </c>
      <c r="E816" s="3">
        <f>XLOOKUP(D816,'Move Editor'!$B:$B,'Move Editor'!$C:$C,"")</f>
        <v/>
      </c>
      <c r="F816" s="3">
        <f>XLOOKUP(D816,'Move Editor'!$B:$B,'Move Editor'!$D:$D,"")</f>
        <v/>
      </c>
      <c r="G816" s="3">
        <f>XLOOKUP(D816,'Move Editor'!$B:$B,'Move Editor'!$E:$E,0)</f>
        <v/>
      </c>
      <c r="H816" s="3">
        <f>XLOOKUP(D816,'Move Editor'!$B:$B,'Move Editor'!$F:$F,0)</f>
        <v/>
      </c>
      <c r="I816" s="3">
        <f>(INDEX('Type Chart'!$B:$S,MATCH(E816,'Type Chart'!$A:$A,0),MATCH(XLOOKUP('Boss Editor'!$C$4,'Pokemon Editor'!$A:$A,'Pokemon Editor'!$C:$C,""),'Type Chart'!$B$1:$S$1,0))*IF(XLOOKUP('Boss Editor'!$C$4,'Pokemon Editor'!$A:$A,'Pokemon Editor'!$D:$D,"")="",1,INDEX('Type Chart'!$B:$S,MATCH(E816,'Type Chart'!$A:$A,0),MATCH(XLOOKUP('Boss Editor'!$C$4,'Pokemon Editor'!$A:$A,'Pokemon Editor'!$D:$D,""),'Type Chart'!$B$1:$S$1,0))))</f>
        <v/>
      </c>
      <c r="J816" s="3">
        <f>IFERROR(LET(mtype,XLOOKUP($D816,'Move Editor'!$B:$B,'Move Editor'!$C:$C,""),cat,XLOOKUP($D816,'Move Editor'!$B:$B,'Move Editor'!$D:$D,""),pow,XLOOKUP($D816,'Move Editor'!$B:$B,'Move Editor'!$E:$E,0),acc,XLOOKUP($D816,'Move Editor'!$B:$B,'Move Editor'!$F:$F,100),atk,IF(cat="Physical",FLOOR((FLOOR(((2*XLOOKUP(XLOOKUP($Q816,'Threshold Summary'!$Y:$Y,'Threshold Summary'!$K:$K,""),'Pokemon Editor'!$A:$A,'Pokemon Editor'!$F:$F,0)+31+FLOOR(XLOOKUP($Q816,'Threshold Summary'!$Y:$Y,'Threshold Summary'!$P:$P,"")/4))*XLOOKUP($Q816,'Threshold Summary'!$Y:$Y,'Threshold Summary'!$L:$L,""))/100)+5)*XLOOKUP(XLOOKUP($Q816,'Threshold Summary'!$Y:$Y,'Threshold Summary'!$M:$M,""),'Nature Editor'!$A:$A,'Nature Editor'!$B:$B,1)),FLOOR((FLOOR(((2*XLOOKUP(XLOOKUP($Q816,'Threshold Summary'!$Y:$Y,'Threshold Summary'!$K:$K,""),'Pokemon Editor'!$A:$A,'Pokemon Editor'!$H:$H,0)+31+FLOOR(XLOOKUP($Q816,'Threshold Summary'!$Y:$Y,'Threshold Summary'!$R:$R,"")/4))*XLOOKUP($Q816,'Threshold Summary'!$Y:$Y,'Threshold Summary'!$L:$L,""))/100)+5)*XLOOKUP(XLOOKUP($Q816,'Threshold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Editor'!$E:$E,1))),stab,IF(OR(mtype=XLOOKUP(XLOOKUP($Q816,'Threshold Summary'!$Y:$Y,'Threshold Summary'!$K:$K,""),'Pokemon Editor'!$A:$A,'Pokemon Editor'!$C:$C,""),mtype=XLOOKUP(XLOOKUP($Q816,'Threshold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Chart'!$B$1:$S$1,0)))),base,IF(OR(cat="Status",pow=0),0,FLOOR(FLOOR(FLOOR((2*XLOOKUP($Q816,'Threshold Summary'!$Y:$Y,'Threshold Summary'!$L:$L,"")/5+2)*pow*atk/def)/50)+2)),modifier,stab*eff,FLOOR(base*modifier*0.85)),0)</f>
        <v/>
      </c>
      <c r="K816" s="3">
        <f>IFERROR(LET(mtype,XLOOKUP($D816,'Move Editor'!$B:$B,'Move Editor'!$C:$C,""),cat,XLOOKUP($D816,'Move Editor'!$B:$B,'Move Editor'!$D:$D,""),pow,XLOOKUP($D816,'Move Editor'!$B:$B,'Move Editor'!$E:$E,0),acc,XLOOKUP($D816,'Move Editor'!$B:$B,'Move Editor'!$F:$F,100),atk,IF(cat="Physical",FLOOR((FLOOR(((2*XLOOKUP(XLOOKUP($Q816,'Threshold Summary'!$Y:$Y,'Threshold Summary'!$K:$K,""),'Pokemon Editor'!$A:$A,'Pokemon Editor'!$F:$F,0)+31+FLOOR(XLOOKUP($Q816,'Threshold Summary'!$Y:$Y,'Threshold Summary'!$P:$P,"")/4))*XLOOKUP($Q816,'Threshold Summary'!$Y:$Y,'Threshold Summary'!$L:$L,""))/100)+5)*XLOOKUP(XLOOKUP($Q816,'Threshold Summary'!$Y:$Y,'Threshold Summary'!$M:$M,""),'Nature Editor'!$A:$A,'Nature Editor'!$B:$B,1)),FLOOR((FLOOR(((2*XLOOKUP(XLOOKUP($Q816,'Threshold Summary'!$Y:$Y,'Threshold Summary'!$K:$K,""),'Pokemon Editor'!$A:$A,'Pokemon Editor'!$H:$H,0)+31+FLOOR(XLOOKUP($Q816,'Threshold Summary'!$Y:$Y,'Threshold Summary'!$R:$R,"")/4))*XLOOKUP($Q816,'Threshold Summary'!$Y:$Y,'Threshold Summary'!$L:$L,""))/100)+5)*XLOOKUP(XLOOKUP($Q816,'Threshold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Editor'!$E:$E,1))),stab,IF(OR(mtype=XLOOKUP(XLOOKUP($Q816,'Threshold Summary'!$Y:$Y,'Threshold Summary'!$K:$K,""),'Pokemon Editor'!$A:$A,'Pokemon Editor'!$C:$C,""),mtype=XLOOKUP(XLOOKUP($Q816,'Threshold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Chart'!$B$1:$S$1,0)))),base,IF(OR(cat="Status",pow=0),0,FLOOR(FLOOR(FLOOR((2*XLOOKUP($Q816,'Threshold Summary'!$Y:$Y,'Threshold Summary'!$L:$L,"")/5+2)*pow*atk/def)/50)+2)),modifier,stab*eff,FLOOR(base*modifier)),0)</f>
        <v/>
      </c>
      <c r="L816" s="3">
        <f>IFERROR(LET(mtype,XLOOKUP($D816,'Move Editor'!$B:$B,'Move Editor'!$C:$C,""),cat,XLOOKUP($D816,'Move Editor'!$B:$B,'Move Editor'!$D:$D,""),pow,XLOOKUP($D816,'Move Editor'!$B:$B,'Move Editor'!$E:$E,0),acc,XLOOKUP($D816,'Move Editor'!$B:$B,'Move Editor'!$F:$F,100),atk,IF(cat="Physical",FLOOR((FLOOR(((2*XLOOKUP(XLOOKUP($Q816,'Threshold Summary'!$Y:$Y,'Threshold Summary'!$K:$K,""),'Pokemon Editor'!$A:$A,'Pokemon Editor'!$F:$F,0)+31+FLOOR(XLOOKUP($Q816,'Threshold Summary'!$Y:$Y,'Threshold Summary'!$P:$P,"")/4))*XLOOKUP($Q816,'Threshold Summary'!$Y:$Y,'Threshold Summary'!$L:$L,""))/100)+5)*XLOOKUP(XLOOKUP($Q816,'Threshold Summary'!$Y:$Y,'Threshold Summary'!$M:$M,""),'Nature Editor'!$A:$A,'Nature Editor'!$B:$B,1)),FLOOR((FLOOR(((2*XLOOKUP(XLOOKUP($Q816,'Threshold Summary'!$Y:$Y,'Threshold Summary'!$K:$K,""),'Pokemon Editor'!$A:$A,'Pokemon Editor'!$H:$H,0)+31+FLOOR(XLOOKUP($Q816,'Threshold Summary'!$Y:$Y,'Threshold Summary'!$R:$R,"")/4))*XLOOKUP($Q816,'Threshold Summary'!$Y:$Y,'Threshold Summary'!$L:$L,""))/100)+5)*XLOOKUP(XLOOKUP($Q816,'Threshold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Editor'!$E:$E,1))),stab,IF(OR(mtype=XLOOKUP(XLOOKUP($Q816,'Threshold Summary'!$Y:$Y,'Threshold Summary'!$K:$K,""),'Pokemon Editor'!$A:$A,'Pokemon Editor'!$C:$C,""),mtype=XLOOKUP(XLOOKUP($Q816,'Threshold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Chart'!$B$1:$S$1,0)))),base,IF(OR(cat="Status",pow=0),0,FLOOR(FLOOR(FLOOR((2*XLOOKUP($Q816,'Threshold Summary'!$Y:$Y,'Threshold Summary'!$L:$L,"")/5+2)*pow*atk/def)/50)+2)),modifier,stab*eff,AVERAGE(ARRAYFORMULA(FLOOR(base*modifier*SEQUENCE(16,1,85,1)/100)))),0)</f>
        <v/>
      </c>
      <c r="M816" s="3">
        <f>IFERROR(LET(mtype,XLOOKUP($D816,'Move Editor'!$B:$B,'Move Editor'!$C:$C,""),cat,XLOOKUP($D816,'Move Editor'!$B:$B,'Move Editor'!$D:$D,""),pow,XLOOKUP($D816,'Move Editor'!$B:$B,'Move Editor'!$E:$E,0),acc,XLOOKUP($D816,'Move Editor'!$B:$B,'Move Editor'!$F:$F,100),atk,IF(cat="Physical",FLOOR((FLOOR(((2*XLOOKUP(XLOOKUP($Q816,'Threshold Summary'!$Y:$Y,'Threshold Summary'!$K:$K,""),'Pokemon Editor'!$A:$A,'Pokemon Editor'!$F:$F,0)+31+FLOOR(XLOOKUP($Q816,'Threshold Summary'!$Y:$Y,'Threshold Summary'!$P:$P,"")/4))*XLOOKUP($Q816,'Threshold Summary'!$Y:$Y,'Threshold Summary'!$L:$L,""))/100)+5)*XLOOKUP(XLOOKUP($Q816,'Threshold Summary'!$Y:$Y,'Threshold Summary'!$M:$M,""),'Nature Editor'!$A:$A,'Nature Editor'!$B:$B,1)),FLOOR((FLOOR(((2*XLOOKUP(XLOOKUP($Q816,'Threshold Summary'!$Y:$Y,'Threshold Summary'!$K:$K,""),'Pokemon Editor'!$A:$A,'Pokemon Editor'!$H:$H,0)+31+FLOOR(XLOOKUP($Q816,'Threshold Summary'!$Y:$Y,'Threshold Summary'!$R:$R,"")/4))*XLOOKUP($Q816,'Threshold Summary'!$Y:$Y,'Threshold Summary'!$L:$L,""))/100)+5)*XLOOKUP(XLOOKUP($Q816,'Threshold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Editor'!$E:$E,1))),stab,IF(OR(mtype=XLOOKUP(XLOOKUP($Q816,'Threshold Summary'!$Y:$Y,'Threshold Summary'!$K:$K,""),'Pokemon Editor'!$A:$A,'Pokemon Editor'!$C:$C,""),mtype=XLOOKUP(XLOOKUP($Q816,'Threshold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Chart'!$B$1:$S$1,0)))),base,IF(OR(cat="Status",pow=0),0,FLOOR(FLOOR(FLOOR((2*XLOOKUP($Q816,'Threshold Summary'!$Y:$Y,'Threshold Summary'!$L:$L,"")/5+2)*pow*atk/def)/50)+2)),modifier,stab*eff,AVERAGE(ARRAYFORMULA(FLOOR(base*modifier*SEQUENCE(16,1,85,1)/100)))*MIN(1,acc/100)),0)</f>
        <v/>
      </c>
      <c r="N816" s="4">
        <f>IFERROR(LET(mtype,XLOOKUP($D816,'Move Editor'!$B:$B,'Move Editor'!$C:$C,""),cat,XLOOKUP($D816,'Move Editor'!$B:$B,'Move Editor'!$D:$D,""),pow,XLOOKUP($D816,'Move Editor'!$B:$B,'Move Editor'!$E:$E,0),acc,XLOOKUP($D816,'Move Editor'!$B:$B,'Move Editor'!$F:$F,100),atk,IF(cat="Physical",FLOOR((FLOOR(((2*XLOOKUP(XLOOKUP($Q816,'Threshold Summary'!$Y:$Y,'Threshold Summary'!$K:$K,""),'Pokemon Editor'!$A:$A,'Pokemon Editor'!$F:$F,0)+31+FLOOR(XLOOKUP($Q816,'Threshold Summary'!$Y:$Y,'Threshold Summary'!$P:$P,"")/4))*XLOOKUP($Q816,'Threshold Summary'!$Y:$Y,'Threshold Summary'!$L:$L,""))/100)+5)*XLOOKUP(XLOOKUP($Q816,'Threshold Summary'!$Y:$Y,'Threshold Summary'!$M:$M,""),'Nature Editor'!$A:$A,'Nature Editor'!$B:$B,1)),FLOOR((FLOOR(((2*XLOOKUP(XLOOKUP($Q816,'Threshold Summary'!$Y:$Y,'Threshold Summary'!$K:$K,""),'Pokemon Editor'!$A:$A,'Pokemon Editor'!$H:$H,0)+31+FLOOR(XLOOKUP($Q816,'Threshold Summary'!$Y:$Y,'Threshold Summary'!$R:$R,"")/4))*XLOOKUP($Q816,'Threshold Summary'!$Y:$Y,'Threshold Summary'!$L:$L,""))/100)+5)*XLOOKUP(XLOOKUP($Q816,'Threshold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Editor'!$E:$E,1))),stab,IF(OR(mtype=XLOOKUP(XLOOKUP($Q816,'Threshold Summary'!$Y:$Y,'Threshold Summary'!$K:$K,""),'Pokemon Editor'!$A:$A,'Pokemon Editor'!$C:$C,""),mtype=XLOOKUP(XLOOKUP($Q816,'Threshold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Chart'!$B$1:$S$1,0)))),base,IF(OR(cat="Status",pow=0),0,FLOOR(FLOOR(FLOOR((2*XLOOKUP($Q816,'Threshold Summary'!$Y:$Y,'Threshold Summary'!$L:$L,"")/5+2)*pow*atk/def)/50)+2)),modifier,stab*eff,AVERAGE(ARRAYFORMULA(FLOOR(base*modifier*SEQUENCE(16,1,85,1)/100)))/(FLOOR(((2*XLOOKUP('Boss Editor'!$C$4,'Pokemon Editor'!$A:$A,'Pokemon Editor'!$E:$E,0)+31+FLOOR('Boss Editor'!$G$4/4))*'Boss Editor'!$D$4)/100)+'Boss Editor'!$D$4+10)),0)</f>
        <v/>
      </c>
      <c r="O816" s="3">
        <f>IF(N816&gt;=1,"OHKO",IF(N816&gt;=0.5,"2HKO",IF(N816&gt;=0.333,"3HKO",IF(N816&gt;=0.25,"4HKO","5HKO+"))))</f>
        <v/>
      </c>
      <c r="P816" s="3" t="inlineStr">
        <is>
          <t>Live from editable databases</t>
        </is>
      </c>
      <c r="Q816" s="3" t="inlineStr">
        <is>
          <t>SPECIES_BLIPBUG</t>
        </is>
      </c>
      <c r="R816" s="3" t="n">
        <v>15</v>
      </c>
    </row>
    <row r="817">
      <c r="A817" s="3">
        <f>XLOOKUP($Q817,'Threshold Summary'!$Y:$Y,'Threshold Summary'!$A:$A,"")</f>
        <v/>
      </c>
      <c r="B817" s="3">
        <f>XLOOKUP($Q817,'Threshold Summary'!$Y:$Y,'Threshold Summary'!$M:$M,"")</f>
        <v/>
      </c>
      <c r="C817" s="3">
        <f>XLOOKUP($Q817,'Threshold Summary'!$Y:$Y,'Threshold Summary'!$N:$N,"")</f>
        <v/>
      </c>
      <c r="D817" s="3">
        <f>IFERROR(INDEX(FILTER('Learnset Editor'!$D$2:$D,'Learnset Editor'!$A$2:$A=XLOOKUP($Q817,'Threshold Summary'!$Y:$Y,'Threshold Summary'!$K:$K,""),'Learnset Editor'!$C$2:$C&lt;=XLOOKUP($Q817,'Threshold Summary'!$Y:$Y,'Threshold Summary'!$L:$L,"")),$R817),"")</f>
        <v/>
      </c>
      <c r="E817" s="3">
        <f>XLOOKUP(D817,'Move Editor'!$B:$B,'Move Editor'!$C:$C,"")</f>
        <v/>
      </c>
      <c r="F817" s="3">
        <f>XLOOKUP(D817,'Move Editor'!$B:$B,'Move Editor'!$D:$D,"")</f>
        <v/>
      </c>
      <c r="G817" s="3">
        <f>XLOOKUP(D817,'Move Editor'!$B:$B,'Move Editor'!$E:$E,0)</f>
        <v/>
      </c>
      <c r="H817" s="3">
        <f>XLOOKUP(D817,'Move Editor'!$B:$B,'Move Editor'!$F:$F,0)</f>
        <v/>
      </c>
      <c r="I817" s="3">
        <f>(INDEX('Type Chart'!$B:$S,MATCH(E817,'Type Chart'!$A:$A,0),MATCH(XLOOKUP('Boss Editor'!$C$4,'Pokemon Editor'!$A:$A,'Pokemon Editor'!$C:$C,""),'Type Chart'!$B$1:$S$1,0))*IF(XLOOKUP('Boss Editor'!$C$4,'Pokemon Editor'!$A:$A,'Pokemon Editor'!$D:$D,"")="",1,INDEX('Type Chart'!$B:$S,MATCH(E817,'Type Chart'!$A:$A,0),MATCH(XLOOKUP('Boss Editor'!$C$4,'Pokemon Editor'!$A:$A,'Pokemon Editor'!$D:$D,""),'Type Chart'!$B$1:$S$1,0))))</f>
        <v/>
      </c>
      <c r="J817" s="3">
        <f>IFERROR(LET(mtype,XLOOKUP($D817,'Move Editor'!$B:$B,'Move Editor'!$C:$C,""),cat,XLOOKUP($D817,'Move Editor'!$B:$B,'Move Editor'!$D:$D,""),pow,XLOOKUP($D817,'Move Editor'!$B:$B,'Move Editor'!$E:$E,0),acc,XLOOKUP($D817,'Move Editor'!$B:$B,'Move Editor'!$F:$F,100),atk,IF(cat="Physical",FLOOR((FLOOR(((2*XLOOKUP(XLOOKUP($Q817,'Threshold Summary'!$Y:$Y,'Threshold Summary'!$K:$K,""),'Pokemon Editor'!$A:$A,'Pokemon Editor'!$F:$F,0)+31+FLOOR(XLOOKUP($Q817,'Threshold Summary'!$Y:$Y,'Threshold Summary'!$P:$P,"")/4))*XLOOKUP($Q817,'Threshold Summary'!$Y:$Y,'Threshold Summary'!$L:$L,""))/100)+5)*XLOOKUP(XLOOKUP($Q817,'Threshold Summary'!$Y:$Y,'Threshold Summary'!$M:$M,""),'Nature Editor'!$A:$A,'Nature Editor'!$B:$B,1)),FLOOR((FLOOR(((2*XLOOKUP(XLOOKUP($Q817,'Threshold Summary'!$Y:$Y,'Threshold Summary'!$K:$K,""),'Pokemon Editor'!$A:$A,'Pokemon Editor'!$H:$H,0)+31+FLOOR(XLOOKUP($Q817,'Threshold Summary'!$Y:$Y,'Threshold Summary'!$R:$R,"")/4))*XLOOKUP($Q817,'Threshold Summary'!$Y:$Y,'Threshold Summary'!$L:$L,""))/100)+5)*XLOOKUP(XLOOKUP($Q817,'Threshold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Editor'!$E:$E,1))),stab,IF(OR(mtype=XLOOKUP(XLOOKUP($Q817,'Threshold Summary'!$Y:$Y,'Threshold Summary'!$K:$K,""),'Pokemon Editor'!$A:$A,'Pokemon Editor'!$C:$C,""),mtype=XLOOKUP(XLOOKUP($Q817,'Threshold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Chart'!$B$1:$S$1,0)))),base,IF(OR(cat="Status",pow=0),0,FLOOR(FLOOR(FLOOR((2*XLOOKUP($Q817,'Threshold Summary'!$Y:$Y,'Threshold Summary'!$L:$L,"")/5+2)*pow*atk/def)/50)+2)),modifier,stab*eff,FLOOR(base*modifier*0.85)),0)</f>
        <v/>
      </c>
      <c r="K817" s="3">
        <f>IFERROR(LET(mtype,XLOOKUP($D817,'Move Editor'!$B:$B,'Move Editor'!$C:$C,""),cat,XLOOKUP($D817,'Move Editor'!$B:$B,'Move Editor'!$D:$D,""),pow,XLOOKUP($D817,'Move Editor'!$B:$B,'Move Editor'!$E:$E,0),acc,XLOOKUP($D817,'Move Editor'!$B:$B,'Move Editor'!$F:$F,100),atk,IF(cat="Physical",FLOOR((FLOOR(((2*XLOOKUP(XLOOKUP($Q817,'Threshold Summary'!$Y:$Y,'Threshold Summary'!$K:$K,""),'Pokemon Editor'!$A:$A,'Pokemon Editor'!$F:$F,0)+31+FLOOR(XLOOKUP($Q817,'Threshold Summary'!$Y:$Y,'Threshold Summary'!$P:$P,"")/4))*XLOOKUP($Q817,'Threshold Summary'!$Y:$Y,'Threshold Summary'!$L:$L,""))/100)+5)*XLOOKUP(XLOOKUP($Q817,'Threshold Summary'!$Y:$Y,'Threshold Summary'!$M:$M,""),'Nature Editor'!$A:$A,'Nature Editor'!$B:$B,1)),FLOOR((FLOOR(((2*XLOOKUP(XLOOKUP($Q817,'Threshold Summary'!$Y:$Y,'Threshold Summary'!$K:$K,""),'Pokemon Editor'!$A:$A,'Pokemon Editor'!$H:$H,0)+31+FLOOR(XLOOKUP($Q817,'Threshold Summary'!$Y:$Y,'Threshold Summary'!$R:$R,"")/4))*XLOOKUP($Q817,'Threshold Summary'!$Y:$Y,'Threshold Summary'!$L:$L,""))/100)+5)*XLOOKUP(XLOOKUP($Q817,'Threshold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Editor'!$E:$E,1))),stab,IF(OR(mtype=XLOOKUP(XLOOKUP($Q817,'Threshold Summary'!$Y:$Y,'Threshold Summary'!$K:$K,""),'Pokemon Editor'!$A:$A,'Pokemon Editor'!$C:$C,""),mtype=XLOOKUP(XLOOKUP($Q817,'Threshold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Chart'!$B$1:$S$1,0)))),base,IF(OR(cat="Status",pow=0),0,FLOOR(FLOOR(FLOOR((2*XLOOKUP($Q817,'Threshold Summary'!$Y:$Y,'Threshold Summary'!$L:$L,"")/5+2)*pow*atk/def)/50)+2)),modifier,stab*eff,FLOOR(base*modifier)),0)</f>
        <v/>
      </c>
      <c r="L817" s="3">
        <f>IFERROR(LET(mtype,XLOOKUP($D817,'Move Editor'!$B:$B,'Move Editor'!$C:$C,""),cat,XLOOKUP($D817,'Move Editor'!$B:$B,'Move Editor'!$D:$D,""),pow,XLOOKUP($D817,'Move Editor'!$B:$B,'Move Editor'!$E:$E,0),acc,XLOOKUP($D817,'Move Editor'!$B:$B,'Move Editor'!$F:$F,100),atk,IF(cat="Physical",FLOOR((FLOOR(((2*XLOOKUP(XLOOKUP($Q817,'Threshold Summary'!$Y:$Y,'Threshold Summary'!$K:$K,""),'Pokemon Editor'!$A:$A,'Pokemon Editor'!$F:$F,0)+31+FLOOR(XLOOKUP($Q817,'Threshold Summary'!$Y:$Y,'Threshold Summary'!$P:$P,"")/4))*XLOOKUP($Q817,'Threshold Summary'!$Y:$Y,'Threshold Summary'!$L:$L,""))/100)+5)*XLOOKUP(XLOOKUP($Q817,'Threshold Summary'!$Y:$Y,'Threshold Summary'!$M:$M,""),'Nature Editor'!$A:$A,'Nature Editor'!$B:$B,1)),FLOOR((FLOOR(((2*XLOOKUP(XLOOKUP($Q817,'Threshold Summary'!$Y:$Y,'Threshold Summary'!$K:$K,""),'Pokemon Editor'!$A:$A,'Pokemon Editor'!$H:$H,0)+31+FLOOR(XLOOKUP($Q817,'Threshold Summary'!$Y:$Y,'Threshold Summary'!$R:$R,"")/4))*XLOOKUP($Q817,'Threshold Summary'!$Y:$Y,'Threshold Summary'!$L:$L,""))/100)+5)*XLOOKUP(XLOOKUP($Q817,'Threshold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Editor'!$E:$E,1))),stab,IF(OR(mtype=XLOOKUP(XLOOKUP($Q817,'Threshold Summary'!$Y:$Y,'Threshold Summary'!$K:$K,""),'Pokemon Editor'!$A:$A,'Pokemon Editor'!$C:$C,""),mtype=XLOOKUP(XLOOKUP($Q817,'Threshold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Chart'!$B$1:$S$1,0)))),base,IF(OR(cat="Status",pow=0),0,FLOOR(FLOOR(FLOOR((2*XLOOKUP($Q817,'Threshold Summary'!$Y:$Y,'Threshold Summary'!$L:$L,"")/5+2)*pow*atk/def)/50)+2)),modifier,stab*eff,AVERAGE(ARRAYFORMULA(FLOOR(base*modifier*SEQUENCE(16,1,85,1)/100)))),0)</f>
        <v/>
      </c>
      <c r="M817" s="3">
        <f>IFERROR(LET(mtype,XLOOKUP($D817,'Move Editor'!$B:$B,'Move Editor'!$C:$C,""),cat,XLOOKUP($D817,'Move Editor'!$B:$B,'Move Editor'!$D:$D,""),pow,XLOOKUP($D817,'Move Editor'!$B:$B,'Move Editor'!$E:$E,0),acc,XLOOKUP($D817,'Move Editor'!$B:$B,'Move Editor'!$F:$F,100),atk,IF(cat="Physical",FLOOR((FLOOR(((2*XLOOKUP(XLOOKUP($Q817,'Threshold Summary'!$Y:$Y,'Threshold Summary'!$K:$K,""),'Pokemon Editor'!$A:$A,'Pokemon Editor'!$F:$F,0)+31+FLOOR(XLOOKUP($Q817,'Threshold Summary'!$Y:$Y,'Threshold Summary'!$P:$P,"")/4))*XLOOKUP($Q817,'Threshold Summary'!$Y:$Y,'Threshold Summary'!$L:$L,""))/100)+5)*XLOOKUP(XLOOKUP($Q817,'Threshold Summary'!$Y:$Y,'Threshold Summary'!$M:$M,""),'Nature Editor'!$A:$A,'Nature Editor'!$B:$B,1)),FLOOR((FLOOR(((2*XLOOKUP(XLOOKUP($Q817,'Threshold Summary'!$Y:$Y,'Threshold Summary'!$K:$K,""),'Pokemon Editor'!$A:$A,'Pokemon Editor'!$H:$H,0)+31+FLOOR(XLOOKUP($Q817,'Threshold Summary'!$Y:$Y,'Threshold Summary'!$R:$R,"")/4))*XLOOKUP($Q817,'Threshold Summary'!$Y:$Y,'Threshold Summary'!$L:$L,""))/100)+5)*XLOOKUP(XLOOKUP($Q817,'Threshold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Editor'!$E:$E,1))),stab,IF(OR(mtype=XLOOKUP(XLOOKUP($Q817,'Threshold Summary'!$Y:$Y,'Threshold Summary'!$K:$K,""),'Pokemon Editor'!$A:$A,'Pokemon Editor'!$C:$C,""),mtype=XLOOKUP(XLOOKUP($Q817,'Threshold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Chart'!$B$1:$S$1,0)))),base,IF(OR(cat="Status",pow=0),0,FLOOR(FLOOR(FLOOR((2*XLOOKUP($Q817,'Threshold Summary'!$Y:$Y,'Threshold Summary'!$L:$L,"")/5+2)*pow*atk/def)/50)+2)),modifier,stab*eff,AVERAGE(ARRAYFORMULA(FLOOR(base*modifier*SEQUENCE(16,1,85,1)/100)))*MIN(1,acc/100)),0)</f>
        <v/>
      </c>
      <c r="N817" s="4">
        <f>IFERROR(LET(mtype,XLOOKUP($D817,'Move Editor'!$B:$B,'Move Editor'!$C:$C,""),cat,XLOOKUP($D817,'Move Editor'!$B:$B,'Move Editor'!$D:$D,""),pow,XLOOKUP($D817,'Move Editor'!$B:$B,'Move Editor'!$E:$E,0),acc,XLOOKUP($D817,'Move Editor'!$B:$B,'Move Editor'!$F:$F,100),atk,IF(cat="Physical",FLOOR((FLOOR(((2*XLOOKUP(XLOOKUP($Q817,'Threshold Summary'!$Y:$Y,'Threshold Summary'!$K:$K,""),'Pokemon Editor'!$A:$A,'Pokemon Editor'!$F:$F,0)+31+FLOOR(XLOOKUP($Q817,'Threshold Summary'!$Y:$Y,'Threshold Summary'!$P:$P,"")/4))*XLOOKUP($Q817,'Threshold Summary'!$Y:$Y,'Threshold Summary'!$L:$L,""))/100)+5)*XLOOKUP(XLOOKUP($Q817,'Threshold Summary'!$Y:$Y,'Threshold Summary'!$M:$M,""),'Nature Editor'!$A:$A,'Nature Editor'!$B:$B,1)),FLOOR((FLOOR(((2*XLOOKUP(XLOOKUP($Q817,'Threshold Summary'!$Y:$Y,'Threshold Summary'!$K:$K,""),'Pokemon Editor'!$A:$A,'Pokemon Editor'!$H:$H,0)+31+FLOOR(XLOOKUP($Q817,'Threshold Summary'!$Y:$Y,'Threshold Summary'!$R:$R,"")/4))*XLOOKUP($Q817,'Threshold Summary'!$Y:$Y,'Threshold Summary'!$L:$L,""))/100)+5)*XLOOKUP(XLOOKUP($Q817,'Threshold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Editor'!$E:$E,1))),stab,IF(OR(mtype=XLOOKUP(XLOOKUP($Q817,'Threshold Summary'!$Y:$Y,'Threshold Summary'!$K:$K,""),'Pokemon Editor'!$A:$A,'Pokemon Editor'!$C:$C,""),mtype=XLOOKUP(XLOOKUP($Q817,'Threshold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Chart'!$B$1:$S$1,0)))),base,IF(OR(cat="Status",pow=0),0,FLOOR(FLOOR(FLOOR((2*XLOOKUP($Q817,'Threshold Summary'!$Y:$Y,'Threshold Summary'!$L:$L,"")/5+2)*pow*atk/def)/50)+2)),modifier,stab*eff,AVERAGE(ARRAYFORMULA(FLOOR(base*modifier*SEQUENCE(16,1,85,1)/100)))/(FLOOR(((2*XLOOKUP('Boss Editor'!$C$4,'Pokemon Editor'!$A:$A,'Pokemon Editor'!$E:$E,0)+31+FLOOR('Boss Editor'!$G$4/4))*'Boss Editor'!$D$4)/100)+'Boss Editor'!$D$4+10)),0)</f>
        <v/>
      </c>
      <c r="O817" s="3">
        <f>IF(N817&gt;=1,"OHKO",IF(N817&gt;=0.5,"2HKO",IF(N817&gt;=0.333,"3HKO",IF(N817&gt;=0.25,"4HKO","5HKO+"))))</f>
        <v/>
      </c>
      <c r="P817" s="3" t="inlineStr">
        <is>
          <t>Live from editable databases</t>
        </is>
      </c>
      <c r="Q817" s="3" t="inlineStr">
        <is>
          <t>SPECIES_BLIPBUG</t>
        </is>
      </c>
      <c r="R817" s="3" t="n">
        <v>16</v>
      </c>
    </row>
    <row r="818">
      <c r="A818" s="3">
        <f>XLOOKUP($Q818,'Threshold Summary'!$Y:$Y,'Threshold Summary'!$A:$A,"")</f>
        <v/>
      </c>
      <c r="B818" s="3">
        <f>XLOOKUP($Q818,'Threshold Summary'!$Y:$Y,'Threshold Summary'!$M:$M,"")</f>
        <v/>
      </c>
      <c r="C818" s="3">
        <f>XLOOKUP($Q818,'Threshold Summary'!$Y:$Y,'Threshold Summary'!$N:$N,"")</f>
        <v/>
      </c>
      <c r="D818" s="3">
        <f>IFERROR(INDEX(FILTER('Learnset Editor'!$D$2:$D,'Learnset Editor'!$A$2:$A=XLOOKUP($Q818,'Threshold Summary'!$Y:$Y,'Threshold Summary'!$K:$K,""),'Learnset Editor'!$C$2:$C&lt;=XLOOKUP($Q818,'Threshold Summary'!$Y:$Y,'Threshold Summary'!$L:$L,"")),$R818),"")</f>
        <v/>
      </c>
      <c r="E818" s="3">
        <f>XLOOKUP(D818,'Move Editor'!$B:$B,'Move Editor'!$C:$C,"")</f>
        <v/>
      </c>
      <c r="F818" s="3">
        <f>XLOOKUP(D818,'Move Editor'!$B:$B,'Move Editor'!$D:$D,"")</f>
        <v/>
      </c>
      <c r="G818" s="3">
        <f>XLOOKUP(D818,'Move Editor'!$B:$B,'Move Editor'!$E:$E,0)</f>
        <v/>
      </c>
      <c r="H818" s="3">
        <f>XLOOKUP(D818,'Move Editor'!$B:$B,'Move Editor'!$F:$F,0)</f>
        <v/>
      </c>
      <c r="I818" s="3">
        <f>(INDEX('Type Chart'!$B:$S,MATCH(E818,'Type Chart'!$A:$A,0),MATCH(XLOOKUP('Boss Editor'!$C$4,'Pokemon Editor'!$A:$A,'Pokemon Editor'!$C:$C,""),'Type Chart'!$B$1:$S$1,0))*IF(XLOOKUP('Boss Editor'!$C$4,'Pokemon Editor'!$A:$A,'Pokemon Editor'!$D:$D,"")="",1,INDEX('Type Chart'!$B:$S,MATCH(E818,'Type Chart'!$A:$A,0),MATCH(XLOOKUP('Boss Editor'!$C$4,'Pokemon Editor'!$A:$A,'Pokemon Editor'!$D:$D,""),'Type Chart'!$B$1:$S$1,0))))</f>
        <v/>
      </c>
      <c r="J818" s="3">
        <f>IFERROR(LET(mtype,XLOOKUP($D818,'Move Editor'!$B:$B,'Move Editor'!$C:$C,""),cat,XLOOKUP($D818,'Move Editor'!$B:$B,'Move Editor'!$D:$D,""),pow,XLOOKUP($D818,'Move Editor'!$B:$B,'Move Editor'!$E:$E,0),acc,XLOOKUP($D818,'Move Editor'!$B:$B,'Move Editor'!$F:$F,100),atk,IF(cat="Physical",FLOOR((FLOOR(((2*XLOOKUP(XLOOKUP($Q818,'Threshold Summary'!$Y:$Y,'Threshold Summary'!$K:$K,""),'Pokemon Editor'!$A:$A,'Pokemon Editor'!$F:$F,0)+31+FLOOR(XLOOKUP($Q818,'Threshold Summary'!$Y:$Y,'Threshold Summary'!$P:$P,"")/4))*XLOOKUP($Q818,'Threshold Summary'!$Y:$Y,'Threshold Summary'!$L:$L,""))/100)+5)*XLOOKUP(XLOOKUP($Q818,'Threshold Summary'!$Y:$Y,'Threshold Summary'!$M:$M,""),'Nature Editor'!$A:$A,'Nature Editor'!$B:$B,1)),FLOOR((FLOOR(((2*XLOOKUP(XLOOKUP($Q818,'Threshold Summary'!$Y:$Y,'Threshold Summary'!$K:$K,""),'Pokemon Editor'!$A:$A,'Pokemon Editor'!$H:$H,0)+31+FLOOR(XLOOKUP($Q818,'Threshold Summary'!$Y:$Y,'Threshold Summary'!$R:$R,"")/4))*XLOOKUP($Q818,'Threshold Summary'!$Y:$Y,'Threshold Summary'!$L:$L,""))/100)+5)*XLOOKUP(XLOOKUP($Q818,'Threshold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Editor'!$E:$E,1))),stab,IF(OR(mtype=XLOOKUP(XLOOKUP($Q818,'Threshold Summary'!$Y:$Y,'Threshold Summary'!$K:$K,""),'Pokemon Editor'!$A:$A,'Pokemon Editor'!$C:$C,""),mtype=XLOOKUP(XLOOKUP($Q818,'Threshold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Chart'!$B$1:$S$1,0)))),base,IF(OR(cat="Status",pow=0),0,FLOOR(FLOOR(FLOOR((2*XLOOKUP($Q818,'Threshold Summary'!$Y:$Y,'Threshold Summary'!$L:$L,"")/5+2)*pow*atk/def)/50)+2)),modifier,stab*eff,FLOOR(base*modifier*0.85)),0)</f>
        <v/>
      </c>
      <c r="K818" s="3">
        <f>IFERROR(LET(mtype,XLOOKUP($D818,'Move Editor'!$B:$B,'Move Editor'!$C:$C,""),cat,XLOOKUP($D818,'Move Editor'!$B:$B,'Move Editor'!$D:$D,""),pow,XLOOKUP($D818,'Move Editor'!$B:$B,'Move Editor'!$E:$E,0),acc,XLOOKUP($D818,'Move Editor'!$B:$B,'Move Editor'!$F:$F,100),atk,IF(cat="Physical",FLOOR((FLOOR(((2*XLOOKUP(XLOOKUP($Q818,'Threshold Summary'!$Y:$Y,'Threshold Summary'!$K:$K,""),'Pokemon Editor'!$A:$A,'Pokemon Editor'!$F:$F,0)+31+FLOOR(XLOOKUP($Q818,'Threshold Summary'!$Y:$Y,'Threshold Summary'!$P:$P,"")/4))*XLOOKUP($Q818,'Threshold Summary'!$Y:$Y,'Threshold Summary'!$L:$L,""))/100)+5)*XLOOKUP(XLOOKUP($Q818,'Threshold Summary'!$Y:$Y,'Threshold Summary'!$M:$M,""),'Nature Editor'!$A:$A,'Nature Editor'!$B:$B,1)),FLOOR((FLOOR(((2*XLOOKUP(XLOOKUP($Q818,'Threshold Summary'!$Y:$Y,'Threshold Summary'!$K:$K,""),'Pokemon Editor'!$A:$A,'Pokemon Editor'!$H:$H,0)+31+FLOOR(XLOOKUP($Q818,'Threshold Summary'!$Y:$Y,'Threshold Summary'!$R:$R,"")/4))*XLOOKUP($Q818,'Threshold Summary'!$Y:$Y,'Threshold Summary'!$L:$L,""))/100)+5)*XLOOKUP(XLOOKUP($Q818,'Threshold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Editor'!$E:$E,1))),stab,IF(OR(mtype=XLOOKUP(XLOOKUP($Q818,'Threshold Summary'!$Y:$Y,'Threshold Summary'!$K:$K,""),'Pokemon Editor'!$A:$A,'Pokemon Editor'!$C:$C,""),mtype=XLOOKUP(XLOOKUP($Q818,'Threshold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Chart'!$B$1:$S$1,0)))),base,IF(OR(cat="Status",pow=0),0,FLOOR(FLOOR(FLOOR((2*XLOOKUP($Q818,'Threshold Summary'!$Y:$Y,'Threshold Summary'!$L:$L,"")/5+2)*pow*atk/def)/50)+2)),modifier,stab*eff,FLOOR(base*modifier)),0)</f>
        <v/>
      </c>
      <c r="L818" s="3">
        <f>IFERROR(LET(mtype,XLOOKUP($D818,'Move Editor'!$B:$B,'Move Editor'!$C:$C,""),cat,XLOOKUP($D818,'Move Editor'!$B:$B,'Move Editor'!$D:$D,""),pow,XLOOKUP($D818,'Move Editor'!$B:$B,'Move Editor'!$E:$E,0),acc,XLOOKUP($D818,'Move Editor'!$B:$B,'Move Editor'!$F:$F,100),atk,IF(cat="Physical",FLOOR((FLOOR(((2*XLOOKUP(XLOOKUP($Q818,'Threshold Summary'!$Y:$Y,'Threshold Summary'!$K:$K,""),'Pokemon Editor'!$A:$A,'Pokemon Editor'!$F:$F,0)+31+FLOOR(XLOOKUP($Q818,'Threshold Summary'!$Y:$Y,'Threshold Summary'!$P:$P,"")/4))*XLOOKUP($Q818,'Threshold Summary'!$Y:$Y,'Threshold Summary'!$L:$L,""))/100)+5)*XLOOKUP(XLOOKUP($Q818,'Threshold Summary'!$Y:$Y,'Threshold Summary'!$M:$M,""),'Nature Editor'!$A:$A,'Nature Editor'!$B:$B,1)),FLOOR((FLOOR(((2*XLOOKUP(XLOOKUP($Q818,'Threshold Summary'!$Y:$Y,'Threshold Summary'!$K:$K,""),'Pokemon Editor'!$A:$A,'Pokemon Editor'!$H:$H,0)+31+FLOOR(XLOOKUP($Q818,'Threshold Summary'!$Y:$Y,'Threshold Summary'!$R:$R,"")/4))*XLOOKUP($Q818,'Threshold Summary'!$Y:$Y,'Threshold Summary'!$L:$L,""))/100)+5)*XLOOKUP(XLOOKUP($Q818,'Threshold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Editor'!$E:$E,1))),stab,IF(OR(mtype=XLOOKUP(XLOOKUP($Q818,'Threshold Summary'!$Y:$Y,'Threshold Summary'!$K:$K,""),'Pokemon Editor'!$A:$A,'Pokemon Editor'!$C:$C,""),mtype=XLOOKUP(XLOOKUP($Q818,'Threshold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Chart'!$B$1:$S$1,0)))),base,IF(OR(cat="Status",pow=0),0,FLOOR(FLOOR(FLOOR((2*XLOOKUP($Q818,'Threshold Summary'!$Y:$Y,'Threshold Summary'!$L:$L,"")/5+2)*pow*atk/def)/50)+2)),modifier,stab*eff,AVERAGE(ARRAYFORMULA(FLOOR(base*modifier*SEQUENCE(16,1,85,1)/100)))),0)</f>
        <v/>
      </c>
      <c r="M818" s="3">
        <f>IFERROR(LET(mtype,XLOOKUP($D818,'Move Editor'!$B:$B,'Move Editor'!$C:$C,""),cat,XLOOKUP($D818,'Move Editor'!$B:$B,'Move Editor'!$D:$D,""),pow,XLOOKUP($D818,'Move Editor'!$B:$B,'Move Editor'!$E:$E,0),acc,XLOOKUP($D818,'Move Editor'!$B:$B,'Move Editor'!$F:$F,100),atk,IF(cat="Physical",FLOOR((FLOOR(((2*XLOOKUP(XLOOKUP($Q818,'Threshold Summary'!$Y:$Y,'Threshold Summary'!$K:$K,""),'Pokemon Editor'!$A:$A,'Pokemon Editor'!$F:$F,0)+31+FLOOR(XLOOKUP($Q818,'Threshold Summary'!$Y:$Y,'Threshold Summary'!$P:$P,"")/4))*XLOOKUP($Q818,'Threshold Summary'!$Y:$Y,'Threshold Summary'!$L:$L,""))/100)+5)*XLOOKUP(XLOOKUP($Q818,'Threshold Summary'!$Y:$Y,'Threshold Summary'!$M:$M,""),'Nature Editor'!$A:$A,'Nature Editor'!$B:$B,1)),FLOOR((FLOOR(((2*XLOOKUP(XLOOKUP($Q818,'Threshold Summary'!$Y:$Y,'Threshold Summary'!$K:$K,""),'Pokemon Editor'!$A:$A,'Pokemon Editor'!$H:$H,0)+31+FLOOR(XLOOKUP($Q818,'Threshold Summary'!$Y:$Y,'Threshold Summary'!$R:$R,"")/4))*XLOOKUP($Q818,'Threshold Summary'!$Y:$Y,'Threshold Summary'!$L:$L,""))/100)+5)*XLOOKUP(XLOOKUP($Q818,'Threshold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Editor'!$E:$E,1))),stab,IF(OR(mtype=XLOOKUP(XLOOKUP($Q818,'Threshold Summary'!$Y:$Y,'Threshold Summary'!$K:$K,""),'Pokemon Editor'!$A:$A,'Pokemon Editor'!$C:$C,""),mtype=XLOOKUP(XLOOKUP($Q818,'Threshold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Chart'!$B$1:$S$1,0)))),base,IF(OR(cat="Status",pow=0),0,FLOOR(FLOOR(FLOOR((2*XLOOKUP($Q818,'Threshold Summary'!$Y:$Y,'Threshold Summary'!$L:$L,"")/5+2)*pow*atk/def)/50)+2)),modifier,stab*eff,AVERAGE(ARRAYFORMULA(FLOOR(base*modifier*SEQUENCE(16,1,85,1)/100)))*MIN(1,acc/100)),0)</f>
        <v/>
      </c>
      <c r="N818" s="4">
        <f>IFERROR(LET(mtype,XLOOKUP($D818,'Move Editor'!$B:$B,'Move Editor'!$C:$C,""),cat,XLOOKUP($D818,'Move Editor'!$B:$B,'Move Editor'!$D:$D,""),pow,XLOOKUP($D818,'Move Editor'!$B:$B,'Move Editor'!$E:$E,0),acc,XLOOKUP($D818,'Move Editor'!$B:$B,'Move Editor'!$F:$F,100),atk,IF(cat="Physical",FLOOR((FLOOR(((2*XLOOKUP(XLOOKUP($Q818,'Threshold Summary'!$Y:$Y,'Threshold Summary'!$K:$K,""),'Pokemon Editor'!$A:$A,'Pokemon Editor'!$F:$F,0)+31+FLOOR(XLOOKUP($Q818,'Threshold Summary'!$Y:$Y,'Threshold Summary'!$P:$P,"")/4))*XLOOKUP($Q818,'Threshold Summary'!$Y:$Y,'Threshold Summary'!$L:$L,""))/100)+5)*XLOOKUP(XLOOKUP($Q818,'Threshold Summary'!$Y:$Y,'Threshold Summary'!$M:$M,""),'Nature Editor'!$A:$A,'Nature Editor'!$B:$B,1)),FLOOR((FLOOR(((2*XLOOKUP(XLOOKUP($Q818,'Threshold Summary'!$Y:$Y,'Threshold Summary'!$K:$K,""),'Pokemon Editor'!$A:$A,'Pokemon Editor'!$H:$H,0)+31+FLOOR(XLOOKUP($Q818,'Threshold Summary'!$Y:$Y,'Threshold Summary'!$R:$R,"")/4))*XLOOKUP($Q818,'Threshold Summary'!$Y:$Y,'Threshold Summary'!$L:$L,""))/100)+5)*XLOOKUP(XLOOKUP($Q818,'Threshold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Editor'!$E:$E,1))),stab,IF(OR(mtype=XLOOKUP(XLOOKUP($Q818,'Threshold Summary'!$Y:$Y,'Threshold Summary'!$K:$K,""),'Pokemon Editor'!$A:$A,'Pokemon Editor'!$C:$C,""),mtype=XLOOKUP(XLOOKUP($Q818,'Threshold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Chart'!$B$1:$S$1,0)))),base,IF(OR(cat="Status",pow=0),0,FLOOR(FLOOR(FLOOR((2*XLOOKUP($Q818,'Threshold Summary'!$Y:$Y,'Threshold Summary'!$L:$L,"")/5+2)*pow*atk/def)/50)+2)),modifier,stab*eff,AVERAGE(ARRAYFORMULA(FLOOR(base*modifier*SEQUENCE(16,1,85,1)/100)))/(FLOOR(((2*XLOOKUP('Boss Editor'!$C$4,'Pokemon Editor'!$A:$A,'Pokemon Editor'!$E:$E,0)+31+FLOOR('Boss Editor'!$G$4/4))*'Boss Editor'!$D$4)/100)+'Boss Editor'!$D$4+10)),0)</f>
        <v/>
      </c>
      <c r="O818" s="3">
        <f>IF(N818&gt;=1,"OHKO",IF(N818&gt;=0.5,"2HKO",IF(N818&gt;=0.333,"3HKO",IF(N818&gt;=0.25,"4HKO","5HKO+"))))</f>
        <v/>
      </c>
      <c r="P818" s="3" t="inlineStr">
        <is>
          <t>Live from editable databases</t>
        </is>
      </c>
      <c r="Q818" s="3" t="inlineStr">
        <is>
          <t>SPECIES_BLIPBUG</t>
        </is>
      </c>
      <c r="R818" s="3" t="n">
        <v>17</v>
      </c>
    </row>
    <row r="819">
      <c r="A819" s="3">
        <f>XLOOKUP($Q819,'Threshold Summary'!$Y:$Y,'Threshold Summary'!$A:$A,"")</f>
        <v/>
      </c>
      <c r="B819" s="3">
        <f>XLOOKUP($Q819,'Threshold Summary'!$Y:$Y,'Threshold Summary'!$M:$M,"")</f>
        <v/>
      </c>
      <c r="C819" s="3">
        <f>XLOOKUP($Q819,'Threshold Summary'!$Y:$Y,'Threshold Summary'!$N:$N,"")</f>
        <v/>
      </c>
      <c r="D819" s="3">
        <f>IFERROR(INDEX(FILTER('Learnset Editor'!$D$2:$D,'Learnset Editor'!$A$2:$A=XLOOKUP($Q819,'Threshold Summary'!$Y:$Y,'Threshold Summary'!$K:$K,""),'Learnset Editor'!$C$2:$C&lt;=XLOOKUP($Q819,'Threshold Summary'!$Y:$Y,'Threshold Summary'!$L:$L,"")),$R819),"")</f>
        <v/>
      </c>
      <c r="E819" s="3">
        <f>XLOOKUP(D819,'Move Editor'!$B:$B,'Move Editor'!$C:$C,"")</f>
        <v/>
      </c>
      <c r="F819" s="3">
        <f>XLOOKUP(D819,'Move Editor'!$B:$B,'Move Editor'!$D:$D,"")</f>
        <v/>
      </c>
      <c r="G819" s="3">
        <f>XLOOKUP(D819,'Move Editor'!$B:$B,'Move Editor'!$E:$E,0)</f>
        <v/>
      </c>
      <c r="H819" s="3">
        <f>XLOOKUP(D819,'Move Editor'!$B:$B,'Move Editor'!$F:$F,0)</f>
        <v/>
      </c>
      <c r="I819" s="3">
        <f>(INDEX('Type Chart'!$B:$S,MATCH(E819,'Type Chart'!$A:$A,0),MATCH(XLOOKUP('Boss Editor'!$C$4,'Pokemon Editor'!$A:$A,'Pokemon Editor'!$C:$C,""),'Type Chart'!$B$1:$S$1,0))*IF(XLOOKUP('Boss Editor'!$C$4,'Pokemon Editor'!$A:$A,'Pokemon Editor'!$D:$D,"")="",1,INDEX('Type Chart'!$B:$S,MATCH(E819,'Type Chart'!$A:$A,0),MATCH(XLOOKUP('Boss Editor'!$C$4,'Pokemon Editor'!$A:$A,'Pokemon Editor'!$D:$D,""),'Type Chart'!$B$1:$S$1,0))))</f>
        <v/>
      </c>
      <c r="J819" s="3">
        <f>IFERROR(LET(mtype,XLOOKUP($D819,'Move Editor'!$B:$B,'Move Editor'!$C:$C,""),cat,XLOOKUP($D819,'Move Editor'!$B:$B,'Move Editor'!$D:$D,""),pow,XLOOKUP($D819,'Move Editor'!$B:$B,'Move Editor'!$E:$E,0),acc,XLOOKUP($D819,'Move Editor'!$B:$B,'Move Editor'!$F:$F,100),atk,IF(cat="Physical",FLOOR((FLOOR(((2*XLOOKUP(XLOOKUP($Q819,'Threshold Summary'!$Y:$Y,'Threshold Summary'!$K:$K,""),'Pokemon Editor'!$A:$A,'Pokemon Editor'!$F:$F,0)+31+FLOOR(XLOOKUP($Q819,'Threshold Summary'!$Y:$Y,'Threshold Summary'!$P:$P,"")/4))*XLOOKUP($Q819,'Threshold Summary'!$Y:$Y,'Threshold Summary'!$L:$L,""))/100)+5)*XLOOKUP(XLOOKUP($Q819,'Threshold Summary'!$Y:$Y,'Threshold Summary'!$M:$M,""),'Nature Editor'!$A:$A,'Nature Editor'!$B:$B,1)),FLOOR((FLOOR(((2*XLOOKUP(XLOOKUP($Q819,'Threshold Summary'!$Y:$Y,'Threshold Summary'!$K:$K,""),'Pokemon Editor'!$A:$A,'Pokemon Editor'!$H:$H,0)+31+FLOOR(XLOOKUP($Q819,'Threshold Summary'!$Y:$Y,'Threshold Summary'!$R:$R,"")/4))*XLOOKUP($Q819,'Threshold Summary'!$Y:$Y,'Threshold Summary'!$L:$L,""))/100)+5)*XLOOKUP(XLOOKUP($Q819,'Threshold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Editor'!$E:$E,1))),stab,IF(OR(mtype=XLOOKUP(XLOOKUP($Q819,'Threshold Summary'!$Y:$Y,'Threshold Summary'!$K:$K,""),'Pokemon Editor'!$A:$A,'Pokemon Editor'!$C:$C,""),mtype=XLOOKUP(XLOOKUP($Q819,'Threshold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Chart'!$B$1:$S$1,0)))),base,IF(OR(cat="Status",pow=0),0,FLOOR(FLOOR(FLOOR((2*XLOOKUP($Q819,'Threshold Summary'!$Y:$Y,'Threshold Summary'!$L:$L,"")/5+2)*pow*atk/def)/50)+2)),modifier,stab*eff,FLOOR(base*modifier*0.85)),0)</f>
        <v/>
      </c>
      <c r="K819" s="3">
        <f>IFERROR(LET(mtype,XLOOKUP($D819,'Move Editor'!$B:$B,'Move Editor'!$C:$C,""),cat,XLOOKUP($D819,'Move Editor'!$B:$B,'Move Editor'!$D:$D,""),pow,XLOOKUP($D819,'Move Editor'!$B:$B,'Move Editor'!$E:$E,0),acc,XLOOKUP($D819,'Move Editor'!$B:$B,'Move Editor'!$F:$F,100),atk,IF(cat="Physical",FLOOR((FLOOR(((2*XLOOKUP(XLOOKUP($Q819,'Threshold Summary'!$Y:$Y,'Threshold Summary'!$K:$K,""),'Pokemon Editor'!$A:$A,'Pokemon Editor'!$F:$F,0)+31+FLOOR(XLOOKUP($Q819,'Threshold Summary'!$Y:$Y,'Threshold Summary'!$P:$P,"")/4))*XLOOKUP($Q819,'Threshold Summary'!$Y:$Y,'Threshold Summary'!$L:$L,""))/100)+5)*XLOOKUP(XLOOKUP($Q819,'Threshold Summary'!$Y:$Y,'Threshold Summary'!$M:$M,""),'Nature Editor'!$A:$A,'Nature Editor'!$B:$B,1)),FLOOR((FLOOR(((2*XLOOKUP(XLOOKUP($Q819,'Threshold Summary'!$Y:$Y,'Threshold Summary'!$K:$K,""),'Pokemon Editor'!$A:$A,'Pokemon Editor'!$H:$H,0)+31+FLOOR(XLOOKUP($Q819,'Threshold Summary'!$Y:$Y,'Threshold Summary'!$R:$R,"")/4))*XLOOKUP($Q819,'Threshold Summary'!$Y:$Y,'Threshold Summary'!$L:$L,""))/100)+5)*XLOOKUP(XLOOKUP($Q819,'Threshold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Editor'!$E:$E,1))),stab,IF(OR(mtype=XLOOKUP(XLOOKUP($Q819,'Threshold Summary'!$Y:$Y,'Threshold Summary'!$K:$K,""),'Pokemon Editor'!$A:$A,'Pokemon Editor'!$C:$C,""),mtype=XLOOKUP(XLOOKUP($Q819,'Threshold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Chart'!$B$1:$S$1,0)))),base,IF(OR(cat="Status",pow=0),0,FLOOR(FLOOR(FLOOR((2*XLOOKUP($Q819,'Threshold Summary'!$Y:$Y,'Threshold Summary'!$L:$L,"")/5+2)*pow*atk/def)/50)+2)),modifier,stab*eff,FLOOR(base*modifier)),0)</f>
        <v/>
      </c>
      <c r="L819" s="3">
        <f>IFERROR(LET(mtype,XLOOKUP($D819,'Move Editor'!$B:$B,'Move Editor'!$C:$C,""),cat,XLOOKUP($D819,'Move Editor'!$B:$B,'Move Editor'!$D:$D,""),pow,XLOOKUP($D819,'Move Editor'!$B:$B,'Move Editor'!$E:$E,0),acc,XLOOKUP($D819,'Move Editor'!$B:$B,'Move Editor'!$F:$F,100),atk,IF(cat="Physical",FLOOR((FLOOR(((2*XLOOKUP(XLOOKUP($Q819,'Threshold Summary'!$Y:$Y,'Threshold Summary'!$K:$K,""),'Pokemon Editor'!$A:$A,'Pokemon Editor'!$F:$F,0)+31+FLOOR(XLOOKUP($Q819,'Threshold Summary'!$Y:$Y,'Threshold Summary'!$P:$P,"")/4))*XLOOKUP($Q819,'Threshold Summary'!$Y:$Y,'Threshold Summary'!$L:$L,""))/100)+5)*XLOOKUP(XLOOKUP($Q819,'Threshold Summary'!$Y:$Y,'Threshold Summary'!$M:$M,""),'Nature Editor'!$A:$A,'Nature Editor'!$B:$B,1)),FLOOR((FLOOR(((2*XLOOKUP(XLOOKUP($Q819,'Threshold Summary'!$Y:$Y,'Threshold Summary'!$K:$K,""),'Pokemon Editor'!$A:$A,'Pokemon Editor'!$H:$H,0)+31+FLOOR(XLOOKUP($Q819,'Threshold Summary'!$Y:$Y,'Threshold Summary'!$R:$R,"")/4))*XLOOKUP($Q819,'Threshold Summary'!$Y:$Y,'Threshold Summary'!$L:$L,""))/100)+5)*XLOOKUP(XLOOKUP($Q819,'Threshold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Editor'!$E:$E,1))),stab,IF(OR(mtype=XLOOKUP(XLOOKUP($Q819,'Threshold Summary'!$Y:$Y,'Threshold Summary'!$K:$K,""),'Pokemon Editor'!$A:$A,'Pokemon Editor'!$C:$C,""),mtype=XLOOKUP(XLOOKUP($Q819,'Threshold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Chart'!$B$1:$S$1,0)))),base,IF(OR(cat="Status",pow=0),0,FLOOR(FLOOR(FLOOR((2*XLOOKUP($Q819,'Threshold Summary'!$Y:$Y,'Threshold Summary'!$L:$L,"")/5+2)*pow*atk/def)/50)+2)),modifier,stab*eff,AVERAGE(ARRAYFORMULA(FLOOR(base*modifier*SEQUENCE(16,1,85,1)/100)))),0)</f>
        <v/>
      </c>
      <c r="M819" s="3">
        <f>IFERROR(LET(mtype,XLOOKUP($D819,'Move Editor'!$B:$B,'Move Editor'!$C:$C,""),cat,XLOOKUP($D819,'Move Editor'!$B:$B,'Move Editor'!$D:$D,""),pow,XLOOKUP($D819,'Move Editor'!$B:$B,'Move Editor'!$E:$E,0),acc,XLOOKUP($D819,'Move Editor'!$B:$B,'Move Editor'!$F:$F,100),atk,IF(cat="Physical",FLOOR((FLOOR(((2*XLOOKUP(XLOOKUP($Q819,'Threshold Summary'!$Y:$Y,'Threshold Summary'!$K:$K,""),'Pokemon Editor'!$A:$A,'Pokemon Editor'!$F:$F,0)+31+FLOOR(XLOOKUP($Q819,'Threshold Summary'!$Y:$Y,'Threshold Summary'!$P:$P,"")/4))*XLOOKUP($Q819,'Threshold Summary'!$Y:$Y,'Threshold Summary'!$L:$L,""))/100)+5)*XLOOKUP(XLOOKUP($Q819,'Threshold Summary'!$Y:$Y,'Threshold Summary'!$M:$M,""),'Nature Editor'!$A:$A,'Nature Editor'!$B:$B,1)),FLOOR((FLOOR(((2*XLOOKUP(XLOOKUP($Q819,'Threshold Summary'!$Y:$Y,'Threshold Summary'!$K:$K,""),'Pokemon Editor'!$A:$A,'Pokemon Editor'!$H:$H,0)+31+FLOOR(XLOOKUP($Q819,'Threshold Summary'!$Y:$Y,'Threshold Summary'!$R:$R,"")/4))*XLOOKUP($Q819,'Threshold Summary'!$Y:$Y,'Threshold Summary'!$L:$L,""))/100)+5)*XLOOKUP(XLOOKUP($Q819,'Threshold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Editor'!$E:$E,1))),stab,IF(OR(mtype=XLOOKUP(XLOOKUP($Q819,'Threshold Summary'!$Y:$Y,'Threshold Summary'!$K:$K,""),'Pokemon Editor'!$A:$A,'Pokemon Editor'!$C:$C,""),mtype=XLOOKUP(XLOOKUP($Q819,'Threshold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Chart'!$B$1:$S$1,0)))),base,IF(OR(cat="Status",pow=0),0,FLOOR(FLOOR(FLOOR((2*XLOOKUP($Q819,'Threshold Summary'!$Y:$Y,'Threshold Summary'!$L:$L,"")/5+2)*pow*atk/def)/50)+2)),modifier,stab*eff,AVERAGE(ARRAYFORMULA(FLOOR(base*modifier*SEQUENCE(16,1,85,1)/100)))*MIN(1,acc/100)),0)</f>
        <v/>
      </c>
      <c r="N819" s="4">
        <f>IFERROR(LET(mtype,XLOOKUP($D819,'Move Editor'!$B:$B,'Move Editor'!$C:$C,""),cat,XLOOKUP($D819,'Move Editor'!$B:$B,'Move Editor'!$D:$D,""),pow,XLOOKUP($D819,'Move Editor'!$B:$B,'Move Editor'!$E:$E,0),acc,XLOOKUP($D819,'Move Editor'!$B:$B,'Move Editor'!$F:$F,100),atk,IF(cat="Physical",FLOOR((FLOOR(((2*XLOOKUP(XLOOKUP($Q819,'Threshold Summary'!$Y:$Y,'Threshold Summary'!$K:$K,""),'Pokemon Editor'!$A:$A,'Pokemon Editor'!$F:$F,0)+31+FLOOR(XLOOKUP($Q819,'Threshold Summary'!$Y:$Y,'Threshold Summary'!$P:$P,"")/4))*XLOOKUP($Q819,'Threshold Summary'!$Y:$Y,'Threshold Summary'!$L:$L,""))/100)+5)*XLOOKUP(XLOOKUP($Q819,'Threshold Summary'!$Y:$Y,'Threshold Summary'!$M:$M,""),'Nature Editor'!$A:$A,'Nature Editor'!$B:$B,1)),FLOOR((FLOOR(((2*XLOOKUP(XLOOKUP($Q819,'Threshold Summary'!$Y:$Y,'Threshold Summary'!$K:$K,""),'Pokemon Editor'!$A:$A,'Pokemon Editor'!$H:$H,0)+31+FLOOR(XLOOKUP($Q819,'Threshold Summary'!$Y:$Y,'Threshold Summary'!$R:$R,"")/4))*XLOOKUP($Q819,'Threshold Summary'!$Y:$Y,'Threshold Summary'!$L:$L,""))/100)+5)*XLOOKUP(XLOOKUP($Q819,'Threshold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Editor'!$E:$E,1))),stab,IF(OR(mtype=XLOOKUP(XLOOKUP($Q819,'Threshold Summary'!$Y:$Y,'Threshold Summary'!$K:$K,""),'Pokemon Editor'!$A:$A,'Pokemon Editor'!$C:$C,""),mtype=XLOOKUP(XLOOKUP($Q819,'Threshold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Chart'!$B$1:$S$1,0)))),base,IF(OR(cat="Status",pow=0),0,FLOOR(FLOOR(FLOOR((2*XLOOKUP($Q819,'Threshold Summary'!$Y:$Y,'Threshold Summary'!$L:$L,"")/5+2)*pow*atk/def)/50)+2)),modifier,stab*eff,AVERAGE(ARRAYFORMULA(FLOOR(base*modifier*SEQUENCE(16,1,85,1)/100)))/(FLOOR(((2*XLOOKUP('Boss Editor'!$C$4,'Pokemon Editor'!$A:$A,'Pokemon Editor'!$E:$E,0)+31+FLOOR('Boss Editor'!$G$4/4))*'Boss Editor'!$D$4)/100)+'Boss Editor'!$D$4+10)),0)</f>
        <v/>
      </c>
      <c r="O819" s="3">
        <f>IF(N819&gt;=1,"OHKO",IF(N819&gt;=0.5,"2HKO",IF(N819&gt;=0.333,"3HKO",IF(N819&gt;=0.25,"4HKO","5HKO+"))))</f>
        <v/>
      </c>
      <c r="P819" s="3" t="inlineStr">
        <is>
          <t>Live from editable databases</t>
        </is>
      </c>
      <c r="Q819" s="3" t="inlineStr">
        <is>
          <t>SPECIES_BLIPBUG</t>
        </is>
      </c>
      <c r="R819" s="3" t="n">
        <v>18</v>
      </c>
    </row>
    <row r="820">
      <c r="A820" s="3">
        <f>XLOOKUP($Q820,'Threshold Summary'!$Y:$Y,'Threshold Summary'!$A:$A,"")</f>
        <v/>
      </c>
      <c r="B820" s="3">
        <f>XLOOKUP($Q820,'Threshold Summary'!$Y:$Y,'Threshold Summary'!$M:$M,"")</f>
        <v/>
      </c>
      <c r="C820" s="3">
        <f>XLOOKUP($Q820,'Threshold Summary'!$Y:$Y,'Threshold Summary'!$N:$N,"")</f>
        <v/>
      </c>
      <c r="D820" s="3">
        <f>IFERROR(INDEX(FILTER('Learnset Editor'!$D$2:$D,'Learnset Editor'!$A$2:$A=XLOOKUP($Q820,'Threshold Summary'!$Y:$Y,'Threshold Summary'!$K:$K,""),'Learnset Editor'!$C$2:$C&lt;=XLOOKUP($Q820,'Threshold Summary'!$Y:$Y,'Threshold Summary'!$L:$L,"")),$R820),"")</f>
        <v/>
      </c>
      <c r="E820" s="3">
        <f>XLOOKUP(D820,'Move Editor'!$B:$B,'Move Editor'!$C:$C,"")</f>
        <v/>
      </c>
      <c r="F820" s="3">
        <f>XLOOKUP(D820,'Move Editor'!$B:$B,'Move Editor'!$D:$D,"")</f>
        <v/>
      </c>
      <c r="G820" s="3">
        <f>XLOOKUP(D820,'Move Editor'!$B:$B,'Move Editor'!$E:$E,0)</f>
        <v/>
      </c>
      <c r="H820" s="3">
        <f>XLOOKUP(D820,'Move Editor'!$B:$B,'Move Editor'!$F:$F,0)</f>
        <v/>
      </c>
      <c r="I820" s="3">
        <f>(INDEX('Type Chart'!$B:$S,MATCH(E820,'Type Chart'!$A:$A,0),MATCH(XLOOKUP('Boss Editor'!$C$4,'Pokemon Editor'!$A:$A,'Pokemon Editor'!$C:$C,""),'Type Chart'!$B$1:$S$1,0))*IF(XLOOKUP('Boss Editor'!$C$4,'Pokemon Editor'!$A:$A,'Pokemon Editor'!$D:$D,"")="",1,INDEX('Type Chart'!$B:$S,MATCH(E820,'Type Chart'!$A:$A,0),MATCH(XLOOKUP('Boss Editor'!$C$4,'Pokemon Editor'!$A:$A,'Pokemon Editor'!$D:$D,""),'Type Chart'!$B$1:$S$1,0))))</f>
        <v/>
      </c>
      <c r="J820" s="3">
        <f>IFERROR(LET(mtype,XLOOKUP($D820,'Move Editor'!$B:$B,'Move Editor'!$C:$C,""),cat,XLOOKUP($D820,'Move Editor'!$B:$B,'Move Editor'!$D:$D,""),pow,XLOOKUP($D820,'Move Editor'!$B:$B,'Move Editor'!$E:$E,0),acc,XLOOKUP($D820,'Move Editor'!$B:$B,'Move Editor'!$F:$F,100),atk,IF(cat="Physical",FLOOR((FLOOR(((2*XLOOKUP(XLOOKUP($Q820,'Threshold Summary'!$Y:$Y,'Threshold Summary'!$K:$K,""),'Pokemon Editor'!$A:$A,'Pokemon Editor'!$F:$F,0)+31+FLOOR(XLOOKUP($Q820,'Threshold Summary'!$Y:$Y,'Threshold Summary'!$P:$P,"")/4))*XLOOKUP($Q820,'Threshold Summary'!$Y:$Y,'Threshold Summary'!$L:$L,""))/100)+5)*XLOOKUP(XLOOKUP($Q820,'Threshold Summary'!$Y:$Y,'Threshold Summary'!$M:$M,""),'Nature Editor'!$A:$A,'Nature Editor'!$B:$B,1)),FLOOR((FLOOR(((2*XLOOKUP(XLOOKUP($Q820,'Threshold Summary'!$Y:$Y,'Threshold Summary'!$K:$K,""),'Pokemon Editor'!$A:$A,'Pokemon Editor'!$H:$H,0)+31+FLOOR(XLOOKUP($Q820,'Threshold Summary'!$Y:$Y,'Threshold Summary'!$R:$R,"")/4))*XLOOKUP($Q820,'Threshold Summary'!$Y:$Y,'Threshold Summary'!$L:$L,""))/100)+5)*XLOOKUP(XLOOKUP($Q820,'Threshold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Editor'!$E:$E,1))),stab,IF(OR(mtype=XLOOKUP(XLOOKUP($Q820,'Threshold Summary'!$Y:$Y,'Threshold Summary'!$K:$K,""),'Pokemon Editor'!$A:$A,'Pokemon Editor'!$C:$C,""),mtype=XLOOKUP(XLOOKUP($Q820,'Threshold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Chart'!$B$1:$S$1,0)))),base,IF(OR(cat="Status",pow=0),0,FLOOR(FLOOR(FLOOR((2*XLOOKUP($Q820,'Threshold Summary'!$Y:$Y,'Threshold Summary'!$L:$L,"")/5+2)*pow*atk/def)/50)+2)),modifier,stab*eff,FLOOR(base*modifier*0.85)),0)</f>
        <v/>
      </c>
      <c r="K820" s="3">
        <f>IFERROR(LET(mtype,XLOOKUP($D820,'Move Editor'!$B:$B,'Move Editor'!$C:$C,""),cat,XLOOKUP($D820,'Move Editor'!$B:$B,'Move Editor'!$D:$D,""),pow,XLOOKUP($D820,'Move Editor'!$B:$B,'Move Editor'!$E:$E,0),acc,XLOOKUP($D820,'Move Editor'!$B:$B,'Move Editor'!$F:$F,100),atk,IF(cat="Physical",FLOOR((FLOOR(((2*XLOOKUP(XLOOKUP($Q820,'Threshold Summary'!$Y:$Y,'Threshold Summary'!$K:$K,""),'Pokemon Editor'!$A:$A,'Pokemon Editor'!$F:$F,0)+31+FLOOR(XLOOKUP($Q820,'Threshold Summary'!$Y:$Y,'Threshold Summary'!$P:$P,"")/4))*XLOOKUP($Q820,'Threshold Summary'!$Y:$Y,'Threshold Summary'!$L:$L,""))/100)+5)*XLOOKUP(XLOOKUP($Q820,'Threshold Summary'!$Y:$Y,'Threshold Summary'!$M:$M,""),'Nature Editor'!$A:$A,'Nature Editor'!$B:$B,1)),FLOOR((FLOOR(((2*XLOOKUP(XLOOKUP($Q820,'Threshold Summary'!$Y:$Y,'Threshold Summary'!$K:$K,""),'Pokemon Editor'!$A:$A,'Pokemon Editor'!$H:$H,0)+31+FLOOR(XLOOKUP($Q820,'Threshold Summary'!$Y:$Y,'Threshold Summary'!$R:$R,"")/4))*XLOOKUP($Q820,'Threshold Summary'!$Y:$Y,'Threshold Summary'!$L:$L,""))/100)+5)*XLOOKUP(XLOOKUP($Q820,'Threshold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Editor'!$E:$E,1))),stab,IF(OR(mtype=XLOOKUP(XLOOKUP($Q820,'Threshold Summary'!$Y:$Y,'Threshold Summary'!$K:$K,""),'Pokemon Editor'!$A:$A,'Pokemon Editor'!$C:$C,""),mtype=XLOOKUP(XLOOKUP($Q820,'Threshold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Chart'!$B$1:$S$1,0)))),base,IF(OR(cat="Status",pow=0),0,FLOOR(FLOOR(FLOOR((2*XLOOKUP($Q820,'Threshold Summary'!$Y:$Y,'Threshold Summary'!$L:$L,"")/5+2)*pow*atk/def)/50)+2)),modifier,stab*eff,FLOOR(base*modifier)),0)</f>
        <v/>
      </c>
      <c r="L820" s="3">
        <f>IFERROR(LET(mtype,XLOOKUP($D820,'Move Editor'!$B:$B,'Move Editor'!$C:$C,""),cat,XLOOKUP($D820,'Move Editor'!$B:$B,'Move Editor'!$D:$D,""),pow,XLOOKUP($D820,'Move Editor'!$B:$B,'Move Editor'!$E:$E,0),acc,XLOOKUP($D820,'Move Editor'!$B:$B,'Move Editor'!$F:$F,100),atk,IF(cat="Physical",FLOOR((FLOOR(((2*XLOOKUP(XLOOKUP($Q820,'Threshold Summary'!$Y:$Y,'Threshold Summary'!$K:$K,""),'Pokemon Editor'!$A:$A,'Pokemon Editor'!$F:$F,0)+31+FLOOR(XLOOKUP($Q820,'Threshold Summary'!$Y:$Y,'Threshold Summary'!$P:$P,"")/4))*XLOOKUP($Q820,'Threshold Summary'!$Y:$Y,'Threshold Summary'!$L:$L,""))/100)+5)*XLOOKUP(XLOOKUP($Q820,'Threshold Summary'!$Y:$Y,'Threshold Summary'!$M:$M,""),'Nature Editor'!$A:$A,'Nature Editor'!$B:$B,1)),FLOOR((FLOOR(((2*XLOOKUP(XLOOKUP($Q820,'Threshold Summary'!$Y:$Y,'Threshold Summary'!$K:$K,""),'Pokemon Editor'!$A:$A,'Pokemon Editor'!$H:$H,0)+31+FLOOR(XLOOKUP($Q820,'Threshold Summary'!$Y:$Y,'Threshold Summary'!$R:$R,"")/4))*XLOOKUP($Q820,'Threshold Summary'!$Y:$Y,'Threshold Summary'!$L:$L,""))/100)+5)*XLOOKUP(XLOOKUP($Q820,'Threshold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Editor'!$E:$E,1))),stab,IF(OR(mtype=XLOOKUP(XLOOKUP($Q820,'Threshold Summary'!$Y:$Y,'Threshold Summary'!$K:$K,""),'Pokemon Editor'!$A:$A,'Pokemon Editor'!$C:$C,""),mtype=XLOOKUP(XLOOKUP($Q820,'Threshold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Chart'!$B$1:$S$1,0)))),base,IF(OR(cat="Status",pow=0),0,FLOOR(FLOOR(FLOOR((2*XLOOKUP($Q820,'Threshold Summary'!$Y:$Y,'Threshold Summary'!$L:$L,"")/5+2)*pow*atk/def)/50)+2)),modifier,stab*eff,AVERAGE(ARRAYFORMULA(FLOOR(base*modifier*SEQUENCE(16,1,85,1)/100)))),0)</f>
        <v/>
      </c>
      <c r="M820" s="3">
        <f>IFERROR(LET(mtype,XLOOKUP($D820,'Move Editor'!$B:$B,'Move Editor'!$C:$C,""),cat,XLOOKUP($D820,'Move Editor'!$B:$B,'Move Editor'!$D:$D,""),pow,XLOOKUP($D820,'Move Editor'!$B:$B,'Move Editor'!$E:$E,0),acc,XLOOKUP($D820,'Move Editor'!$B:$B,'Move Editor'!$F:$F,100),atk,IF(cat="Physical",FLOOR((FLOOR(((2*XLOOKUP(XLOOKUP($Q820,'Threshold Summary'!$Y:$Y,'Threshold Summary'!$K:$K,""),'Pokemon Editor'!$A:$A,'Pokemon Editor'!$F:$F,0)+31+FLOOR(XLOOKUP($Q820,'Threshold Summary'!$Y:$Y,'Threshold Summary'!$P:$P,"")/4))*XLOOKUP($Q820,'Threshold Summary'!$Y:$Y,'Threshold Summary'!$L:$L,""))/100)+5)*XLOOKUP(XLOOKUP($Q820,'Threshold Summary'!$Y:$Y,'Threshold Summary'!$M:$M,""),'Nature Editor'!$A:$A,'Nature Editor'!$B:$B,1)),FLOOR((FLOOR(((2*XLOOKUP(XLOOKUP($Q820,'Threshold Summary'!$Y:$Y,'Threshold Summary'!$K:$K,""),'Pokemon Editor'!$A:$A,'Pokemon Editor'!$H:$H,0)+31+FLOOR(XLOOKUP($Q820,'Threshold Summary'!$Y:$Y,'Threshold Summary'!$R:$R,"")/4))*XLOOKUP($Q820,'Threshold Summary'!$Y:$Y,'Threshold Summary'!$L:$L,""))/100)+5)*XLOOKUP(XLOOKUP($Q820,'Threshold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Editor'!$E:$E,1))),stab,IF(OR(mtype=XLOOKUP(XLOOKUP($Q820,'Threshold Summary'!$Y:$Y,'Threshold Summary'!$K:$K,""),'Pokemon Editor'!$A:$A,'Pokemon Editor'!$C:$C,""),mtype=XLOOKUP(XLOOKUP($Q820,'Threshold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Chart'!$B$1:$S$1,0)))),base,IF(OR(cat="Status",pow=0),0,FLOOR(FLOOR(FLOOR((2*XLOOKUP($Q820,'Threshold Summary'!$Y:$Y,'Threshold Summary'!$L:$L,"")/5+2)*pow*atk/def)/50)+2)),modifier,stab*eff,AVERAGE(ARRAYFORMULA(FLOOR(base*modifier*SEQUENCE(16,1,85,1)/100)))*MIN(1,acc/100)),0)</f>
        <v/>
      </c>
      <c r="N820" s="4">
        <f>IFERROR(LET(mtype,XLOOKUP($D820,'Move Editor'!$B:$B,'Move Editor'!$C:$C,""),cat,XLOOKUP($D820,'Move Editor'!$B:$B,'Move Editor'!$D:$D,""),pow,XLOOKUP($D820,'Move Editor'!$B:$B,'Move Editor'!$E:$E,0),acc,XLOOKUP($D820,'Move Editor'!$B:$B,'Move Editor'!$F:$F,100),atk,IF(cat="Physical",FLOOR((FLOOR(((2*XLOOKUP(XLOOKUP($Q820,'Threshold Summary'!$Y:$Y,'Threshold Summary'!$K:$K,""),'Pokemon Editor'!$A:$A,'Pokemon Editor'!$F:$F,0)+31+FLOOR(XLOOKUP($Q820,'Threshold Summary'!$Y:$Y,'Threshold Summary'!$P:$P,"")/4))*XLOOKUP($Q820,'Threshold Summary'!$Y:$Y,'Threshold Summary'!$L:$L,""))/100)+5)*XLOOKUP(XLOOKUP($Q820,'Threshold Summary'!$Y:$Y,'Threshold Summary'!$M:$M,""),'Nature Editor'!$A:$A,'Nature Editor'!$B:$B,1)),FLOOR((FLOOR(((2*XLOOKUP(XLOOKUP($Q820,'Threshold Summary'!$Y:$Y,'Threshold Summary'!$K:$K,""),'Pokemon Editor'!$A:$A,'Pokemon Editor'!$H:$H,0)+31+FLOOR(XLOOKUP($Q820,'Threshold Summary'!$Y:$Y,'Threshold Summary'!$R:$R,"")/4))*XLOOKUP($Q820,'Threshold Summary'!$Y:$Y,'Threshold Summary'!$L:$L,""))/100)+5)*XLOOKUP(XLOOKUP($Q820,'Threshold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Editor'!$E:$E,1))),stab,IF(OR(mtype=XLOOKUP(XLOOKUP($Q820,'Threshold Summary'!$Y:$Y,'Threshold Summary'!$K:$K,""),'Pokemon Editor'!$A:$A,'Pokemon Editor'!$C:$C,""),mtype=XLOOKUP(XLOOKUP($Q820,'Threshold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Chart'!$B$1:$S$1,0)))),base,IF(OR(cat="Status",pow=0),0,FLOOR(FLOOR(FLOOR((2*XLOOKUP($Q820,'Threshold Summary'!$Y:$Y,'Threshold Summary'!$L:$L,"")/5+2)*pow*atk/def)/50)+2)),modifier,stab*eff,AVERAGE(ARRAYFORMULA(FLOOR(base*modifier*SEQUENCE(16,1,85,1)/100)))/(FLOOR(((2*XLOOKUP('Boss Editor'!$C$4,'Pokemon Editor'!$A:$A,'Pokemon Editor'!$E:$E,0)+31+FLOOR('Boss Editor'!$G$4/4))*'Boss Editor'!$D$4)/100)+'Boss Editor'!$D$4+10)),0)</f>
        <v/>
      </c>
      <c r="O820" s="3">
        <f>IF(N820&gt;=1,"OHKO",IF(N820&gt;=0.5,"2HKO",IF(N820&gt;=0.333,"3HKO",IF(N820&gt;=0.25,"4HKO","5HKO+"))))</f>
        <v/>
      </c>
      <c r="P820" s="3" t="inlineStr">
        <is>
          <t>Live from editable databases</t>
        </is>
      </c>
      <c r="Q820" s="3" t="inlineStr">
        <is>
          <t>SPECIES_BLIPBUG</t>
        </is>
      </c>
      <c r="R820" s="3" t="n">
        <v>19</v>
      </c>
    </row>
    <row r="821">
      <c r="A821" s="3">
        <f>XLOOKUP($Q821,'Threshold Summary'!$Y:$Y,'Threshold Summary'!$A:$A,"")</f>
        <v/>
      </c>
      <c r="B821" s="3">
        <f>XLOOKUP($Q821,'Threshold Summary'!$Y:$Y,'Threshold Summary'!$M:$M,"")</f>
        <v/>
      </c>
      <c r="C821" s="3">
        <f>XLOOKUP($Q821,'Threshold Summary'!$Y:$Y,'Threshold Summary'!$N:$N,"")</f>
        <v/>
      </c>
      <c r="D821" s="3">
        <f>IFERROR(INDEX(FILTER('Learnset Editor'!$D$2:$D,'Learnset Editor'!$A$2:$A=XLOOKUP($Q821,'Threshold Summary'!$Y:$Y,'Threshold Summary'!$K:$K,""),'Learnset Editor'!$C$2:$C&lt;=XLOOKUP($Q821,'Threshold Summary'!$Y:$Y,'Threshold Summary'!$L:$L,"")),$R821),"")</f>
        <v/>
      </c>
      <c r="E821" s="3">
        <f>XLOOKUP(D821,'Move Editor'!$B:$B,'Move Editor'!$C:$C,"")</f>
        <v/>
      </c>
      <c r="F821" s="3">
        <f>XLOOKUP(D821,'Move Editor'!$B:$B,'Move Editor'!$D:$D,"")</f>
        <v/>
      </c>
      <c r="G821" s="3">
        <f>XLOOKUP(D821,'Move Editor'!$B:$B,'Move Editor'!$E:$E,0)</f>
        <v/>
      </c>
      <c r="H821" s="3">
        <f>XLOOKUP(D821,'Move Editor'!$B:$B,'Move Editor'!$F:$F,0)</f>
        <v/>
      </c>
      <c r="I821" s="3">
        <f>(INDEX('Type Chart'!$B:$S,MATCH(E821,'Type Chart'!$A:$A,0),MATCH(XLOOKUP('Boss Editor'!$C$4,'Pokemon Editor'!$A:$A,'Pokemon Editor'!$C:$C,""),'Type Chart'!$B$1:$S$1,0))*IF(XLOOKUP('Boss Editor'!$C$4,'Pokemon Editor'!$A:$A,'Pokemon Editor'!$D:$D,"")="",1,INDEX('Type Chart'!$B:$S,MATCH(E821,'Type Chart'!$A:$A,0),MATCH(XLOOKUP('Boss Editor'!$C$4,'Pokemon Editor'!$A:$A,'Pokemon Editor'!$D:$D,""),'Type Chart'!$B$1:$S$1,0))))</f>
        <v/>
      </c>
      <c r="J821" s="3">
        <f>IFERROR(LET(mtype,XLOOKUP($D821,'Move Editor'!$B:$B,'Move Editor'!$C:$C,""),cat,XLOOKUP($D821,'Move Editor'!$B:$B,'Move Editor'!$D:$D,""),pow,XLOOKUP($D821,'Move Editor'!$B:$B,'Move Editor'!$E:$E,0),acc,XLOOKUP($D821,'Move Editor'!$B:$B,'Move Editor'!$F:$F,100),atk,IF(cat="Physical",FLOOR((FLOOR(((2*XLOOKUP(XLOOKUP($Q821,'Threshold Summary'!$Y:$Y,'Threshold Summary'!$K:$K,""),'Pokemon Editor'!$A:$A,'Pokemon Editor'!$F:$F,0)+31+FLOOR(XLOOKUP($Q821,'Threshold Summary'!$Y:$Y,'Threshold Summary'!$P:$P,"")/4))*XLOOKUP($Q821,'Threshold Summary'!$Y:$Y,'Threshold Summary'!$L:$L,""))/100)+5)*XLOOKUP(XLOOKUP($Q821,'Threshold Summary'!$Y:$Y,'Threshold Summary'!$M:$M,""),'Nature Editor'!$A:$A,'Nature Editor'!$B:$B,1)),FLOOR((FLOOR(((2*XLOOKUP(XLOOKUP($Q821,'Threshold Summary'!$Y:$Y,'Threshold Summary'!$K:$K,""),'Pokemon Editor'!$A:$A,'Pokemon Editor'!$H:$H,0)+31+FLOOR(XLOOKUP($Q821,'Threshold Summary'!$Y:$Y,'Threshold Summary'!$R:$R,"")/4))*XLOOKUP($Q821,'Threshold Summary'!$Y:$Y,'Threshold Summary'!$L:$L,""))/100)+5)*XLOOKUP(XLOOKUP($Q821,'Threshold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Editor'!$E:$E,1))),stab,IF(OR(mtype=XLOOKUP(XLOOKUP($Q821,'Threshold Summary'!$Y:$Y,'Threshold Summary'!$K:$K,""),'Pokemon Editor'!$A:$A,'Pokemon Editor'!$C:$C,""),mtype=XLOOKUP(XLOOKUP($Q821,'Threshold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Chart'!$B$1:$S$1,0)))),base,IF(OR(cat="Status",pow=0),0,FLOOR(FLOOR(FLOOR((2*XLOOKUP($Q821,'Threshold Summary'!$Y:$Y,'Threshold Summary'!$L:$L,"")/5+2)*pow*atk/def)/50)+2)),modifier,stab*eff,FLOOR(base*modifier*0.85)),0)</f>
        <v/>
      </c>
      <c r="K821" s="3">
        <f>IFERROR(LET(mtype,XLOOKUP($D821,'Move Editor'!$B:$B,'Move Editor'!$C:$C,""),cat,XLOOKUP($D821,'Move Editor'!$B:$B,'Move Editor'!$D:$D,""),pow,XLOOKUP($D821,'Move Editor'!$B:$B,'Move Editor'!$E:$E,0),acc,XLOOKUP($D821,'Move Editor'!$B:$B,'Move Editor'!$F:$F,100),atk,IF(cat="Physical",FLOOR((FLOOR(((2*XLOOKUP(XLOOKUP($Q821,'Threshold Summary'!$Y:$Y,'Threshold Summary'!$K:$K,""),'Pokemon Editor'!$A:$A,'Pokemon Editor'!$F:$F,0)+31+FLOOR(XLOOKUP($Q821,'Threshold Summary'!$Y:$Y,'Threshold Summary'!$P:$P,"")/4))*XLOOKUP($Q821,'Threshold Summary'!$Y:$Y,'Threshold Summary'!$L:$L,""))/100)+5)*XLOOKUP(XLOOKUP($Q821,'Threshold Summary'!$Y:$Y,'Threshold Summary'!$M:$M,""),'Nature Editor'!$A:$A,'Nature Editor'!$B:$B,1)),FLOOR((FLOOR(((2*XLOOKUP(XLOOKUP($Q821,'Threshold Summary'!$Y:$Y,'Threshold Summary'!$K:$K,""),'Pokemon Editor'!$A:$A,'Pokemon Editor'!$H:$H,0)+31+FLOOR(XLOOKUP($Q821,'Threshold Summary'!$Y:$Y,'Threshold Summary'!$R:$R,"")/4))*XLOOKUP($Q821,'Threshold Summary'!$Y:$Y,'Threshold Summary'!$L:$L,""))/100)+5)*XLOOKUP(XLOOKUP($Q821,'Threshold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Editor'!$E:$E,1))),stab,IF(OR(mtype=XLOOKUP(XLOOKUP($Q821,'Threshold Summary'!$Y:$Y,'Threshold Summary'!$K:$K,""),'Pokemon Editor'!$A:$A,'Pokemon Editor'!$C:$C,""),mtype=XLOOKUP(XLOOKUP($Q821,'Threshold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Chart'!$B$1:$S$1,0)))),base,IF(OR(cat="Status",pow=0),0,FLOOR(FLOOR(FLOOR((2*XLOOKUP($Q821,'Threshold Summary'!$Y:$Y,'Threshold Summary'!$L:$L,"")/5+2)*pow*atk/def)/50)+2)),modifier,stab*eff,FLOOR(base*modifier)),0)</f>
        <v/>
      </c>
      <c r="L821" s="3">
        <f>IFERROR(LET(mtype,XLOOKUP($D821,'Move Editor'!$B:$B,'Move Editor'!$C:$C,""),cat,XLOOKUP($D821,'Move Editor'!$B:$B,'Move Editor'!$D:$D,""),pow,XLOOKUP($D821,'Move Editor'!$B:$B,'Move Editor'!$E:$E,0),acc,XLOOKUP($D821,'Move Editor'!$B:$B,'Move Editor'!$F:$F,100),atk,IF(cat="Physical",FLOOR((FLOOR(((2*XLOOKUP(XLOOKUP($Q821,'Threshold Summary'!$Y:$Y,'Threshold Summary'!$K:$K,""),'Pokemon Editor'!$A:$A,'Pokemon Editor'!$F:$F,0)+31+FLOOR(XLOOKUP($Q821,'Threshold Summary'!$Y:$Y,'Threshold Summary'!$P:$P,"")/4))*XLOOKUP($Q821,'Threshold Summary'!$Y:$Y,'Threshold Summary'!$L:$L,""))/100)+5)*XLOOKUP(XLOOKUP($Q821,'Threshold Summary'!$Y:$Y,'Threshold Summary'!$M:$M,""),'Nature Editor'!$A:$A,'Nature Editor'!$B:$B,1)),FLOOR((FLOOR(((2*XLOOKUP(XLOOKUP($Q821,'Threshold Summary'!$Y:$Y,'Threshold Summary'!$K:$K,""),'Pokemon Editor'!$A:$A,'Pokemon Editor'!$H:$H,0)+31+FLOOR(XLOOKUP($Q821,'Threshold Summary'!$Y:$Y,'Threshold Summary'!$R:$R,"")/4))*XLOOKUP($Q821,'Threshold Summary'!$Y:$Y,'Threshold Summary'!$L:$L,""))/100)+5)*XLOOKUP(XLOOKUP($Q821,'Threshold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Editor'!$E:$E,1))),stab,IF(OR(mtype=XLOOKUP(XLOOKUP($Q821,'Threshold Summary'!$Y:$Y,'Threshold Summary'!$K:$K,""),'Pokemon Editor'!$A:$A,'Pokemon Editor'!$C:$C,""),mtype=XLOOKUP(XLOOKUP($Q821,'Threshold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Chart'!$B$1:$S$1,0)))),base,IF(OR(cat="Status",pow=0),0,FLOOR(FLOOR(FLOOR((2*XLOOKUP($Q821,'Threshold Summary'!$Y:$Y,'Threshold Summary'!$L:$L,"")/5+2)*pow*atk/def)/50)+2)),modifier,stab*eff,AVERAGE(ARRAYFORMULA(FLOOR(base*modifier*SEQUENCE(16,1,85,1)/100)))),0)</f>
        <v/>
      </c>
      <c r="M821" s="3">
        <f>IFERROR(LET(mtype,XLOOKUP($D821,'Move Editor'!$B:$B,'Move Editor'!$C:$C,""),cat,XLOOKUP($D821,'Move Editor'!$B:$B,'Move Editor'!$D:$D,""),pow,XLOOKUP($D821,'Move Editor'!$B:$B,'Move Editor'!$E:$E,0),acc,XLOOKUP($D821,'Move Editor'!$B:$B,'Move Editor'!$F:$F,100),atk,IF(cat="Physical",FLOOR((FLOOR(((2*XLOOKUP(XLOOKUP($Q821,'Threshold Summary'!$Y:$Y,'Threshold Summary'!$K:$K,""),'Pokemon Editor'!$A:$A,'Pokemon Editor'!$F:$F,0)+31+FLOOR(XLOOKUP($Q821,'Threshold Summary'!$Y:$Y,'Threshold Summary'!$P:$P,"")/4))*XLOOKUP($Q821,'Threshold Summary'!$Y:$Y,'Threshold Summary'!$L:$L,""))/100)+5)*XLOOKUP(XLOOKUP($Q821,'Threshold Summary'!$Y:$Y,'Threshold Summary'!$M:$M,""),'Nature Editor'!$A:$A,'Nature Editor'!$B:$B,1)),FLOOR((FLOOR(((2*XLOOKUP(XLOOKUP($Q821,'Threshold Summary'!$Y:$Y,'Threshold Summary'!$K:$K,""),'Pokemon Editor'!$A:$A,'Pokemon Editor'!$H:$H,0)+31+FLOOR(XLOOKUP($Q821,'Threshold Summary'!$Y:$Y,'Threshold Summary'!$R:$R,"")/4))*XLOOKUP($Q821,'Threshold Summary'!$Y:$Y,'Threshold Summary'!$L:$L,""))/100)+5)*XLOOKUP(XLOOKUP($Q821,'Threshold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Editor'!$E:$E,1))),stab,IF(OR(mtype=XLOOKUP(XLOOKUP($Q821,'Threshold Summary'!$Y:$Y,'Threshold Summary'!$K:$K,""),'Pokemon Editor'!$A:$A,'Pokemon Editor'!$C:$C,""),mtype=XLOOKUP(XLOOKUP($Q821,'Threshold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Chart'!$B$1:$S$1,0)))),base,IF(OR(cat="Status",pow=0),0,FLOOR(FLOOR(FLOOR((2*XLOOKUP($Q821,'Threshold Summary'!$Y:$Y,'Threshold Summary'!$L:$L,"")/5+2)*pow*atk/def)/50)+2)),modifier,stab*eff,AVERAGE(ARRAYFORMULA(FLOOR(base*modifier*SEQUENCE(16,1,85,1)/100)))*MIN(1,acc/100)),0)</f>
        <v/>
      </c>
      <c r="N821" s="4">
        <f>IFERROR(LET(mtype,XLOOKUP($D821,'Move Editor'!$B:$B,'Move Editor'!$C:$C,""),cat,XLOOKUP($D821,'Move Editor'!$B:$B,'Move Editor'!$D:$D,""),pow,XLOOKUP($D821,'Move Editor'!$B:$B,'Move Editor'!$E:$E,0),acc,XLOOKUP($D821,'Move Editor'!$B:$B,'Move Editor'!$F:$F,100),atk,IF(cat="Physical",FLOOR((FLOOR(((2*XLOOKUP(XLOOKUP($Q821,'Threshold Summary'!$Y:$Y,'Threshold Summary'!$K:$K,""),'Pokemon Editor'!$A:$A,'Pokemon Editor'!$F:$F,0)+31+FLOOR(XLOOKUP($Q821,'Threshold Summary'!$Y:$Y,'Threshold Summary'!$P:$P,"")/4))*XLOOKUP($Q821,'Threshold Summary'!$Y:$Y,'Threshold Summary'!$L:$L,""))/100)+5)*XLOOKUP(XLOOKUP($Q821,'Threshold Summary'!$Y:$Y,'Threshold Summary'!$M:$M,""),'Nature Editor'!$A:$A,'Nature Editor'!$B:$B,1)),FLOOR((FLOOR(((2*XLOOKUP(XLOOKUP($Q821,'Threshold Summary'!$Y:$Y,'Threshold Summary'!$K:$K,""),'Pokemon Editor'!$A:$A,'Pokemon Editor'!$H:$H,0)+31+FLOOR(XLOOKUP($Q821,'Threshold Summary'!$Y:$Y,'Threshold Summary'!$R:$R,"")/4))*XLOOKUP($Q821,'Threshold Summary'!$Y:$Y,'Threshold Summary'!$L:$L,""))/100)+5)*XLOOKUP(XLOOKUP($Q821,'Threshold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Editor'!$E:$E,1))),stab,IF(OR(mtype=XLOOKUP(XLOOKUP($Q821,'Threshold Summary'!$Y:$Y,'Threshold Summary'!$K:$K,""),'Pokemon Editor'!$A:$A,'Pokemon Editor'!$C:$C,""),mtype=XLOOKUP(XLOOKUP($Q821,'Threshold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Chart'!$B$1:$S$1,0)))),base,IF(OR(cat="Status",pow=0),0,FLOOR(FLOOR(FLOOR((2*XLOOKUP($Q821,'Threshold Summary'!$Y:$Y,'Threshold Summary'!$L:$L,"")/5+2)*pow*atk/def)/50)+2)),modifier,stab*eff,AVERAGE(ARRAYFORMULA(FLOOR(base*modifier*SEQUENCE(16,1,85,1)/100)))/(FLOOR(((2*XLOOKUP('Boss Editor'!$C$4,'Pokemon Editor'!$A:$A,'Pokemon Editor'!$E:$E,0)+31+FLOOR('Boss Editor'!$G$4/4))*'Boss Editor'!$D$4)/100)+'Boss Editor'!$D$4+10)),0)</f>
        <v/>
      </c>
      <c r="O821" s="3">
        <f>IF(N821&gt;=1,"OHKO",IF(N821&gt;=0.5,"2HKO",IF(N821&gt;=0.333,"3HKO",IF(N821&gt;=0.25,"4HKO","5HKO+"))))</f>
        <v/>
      </c>
      <c r="P821" s="3" t="inlineStr">
        <is>
          <t>Live from editable databases</t>
        </is>
      </c>
      <c r="Q821" s="3" t="inlineStr">
        <is>
          <t>SPECIES_BLIPBUG</t>
        </is>
      </c>
      <c r="R821" s="3" t="n">
        <v>20</v>
      </c>
    </row>
    <row r="822">
      <c r="A822" s="3">
        <f>XLOOKUP($Q822,'Threshold Summary'!$Y:$Y,'Threshold Summary'!$A:$A,"")</f>
        <v/>
      </c>
      <c r="B822" s="3">
        <f>XLOOKUP($Q822,'Threshold Summary'!$Y:$Y,'Threshold Summary'!$M:$M,"")</f>
        <v/>
      </c>
      <c r="C822" s="3">
        <f>XLOOKUP($Q822,'Threshold Summary'!$Y:$Y,'Threshold Summary'!$N:$N,"")</f>
        <v/>
      </c>
      <c r="D822" s="3">
        <f>IFERROR(INDEX(FILTER('Learnset Editor'!$D$2:$D,'Learnset Editor'!$A$2:$A=XLOOKUP($Q822,'Threshold Summary'!$Y:$Y,'Threshold Summary'!$K:$K,""),'Learnset Editor'!$C$2:$C&lt;=XLOOKUP($Q822,'Threshold Summary'!$Y:$Y,'Threshold Summary'!$L:$L,"")),$R822),"")</f>
        <v/>
      </c>
      <c r="E822" s="3">
        <f>XLOOKUP(D822,'Move Editor'!$B:$B,'Move Editor'!$C:$C,"")</f>
        <v/>
      </c>
      <c r="F822" s="3">
        <f>XLOOKUP(D822,'Move Editor'!$B:$B,'Move Editor'!$D:$D,"")</f>
        <v/>
      </c>
      <c r="G822" s="3">
        <f>XLOOKUP(D822,'Move Editor'!$B:$B,'Move Editor'!$E:$E,0)</f>
        <v/>
      </c>
      <c r="H822" s="3">
        <f>XLOOKUP(D822,'Move Editor'!$B:$B,'Move Editor'!$F:$F,0)</f>
        <v/>
      </c>
      <c r="I822" s="3">
        <f>(INDEX('Type Chart'!$B:$S,MATCH(E822,'Type Chart'!$A:$A,0),MATCH(XLOOKUP('Boss Editor'!$C$4,'Pokemon Editor'!$A:$A,'Pokemon Editor'!$C:$C,""),'Type Chart'!$B$1:$S$1,0))*IF(XLOOKUP('Boss Editor'!$C$4,'Pokemon Editor'!$A:$A,'Pokemon Editor'!$D:$D,"")="",1,INDEX('Type Chart'!$B:$S,MATCH(E822,'Type Chart'!$A:$A,0),MATCH(XLOOKUP('Boss Editor'!$C$4,'Pokemon Editor'!$A:$A,'Pokemon Editor'!$D:$D,""),'Type Chart'!$B$1:$S$1,0))))</f>
        <v/>
      </c>
      <c r="J822" s="3">
        <f>IFERROR(LET(mtype,XLOOKUP($D822,'Move Editor'!$B:$B,'Move Editor'!$C:$C,""),cat,XLOOKUP($D822,'Move Editor'!$B:$B,'Move Editor'!$D:$D,""),pow,XLOOKUP($D822,'Move Editor'!$B:$B,'Move Editor'!$E:$E,0),acc,XLOOKUP($D822,'Move Editor'!$B:$B,'Move Editor'!$F:$F,100),atk,IF(cat="Physical",FLOOR((FLOOR(((2*XLOOKUP(XLOOKUP($Q822,'Threshold Summary'!$Y:$Y,'Threshold Summary'!$K:$K,""),'Pokemon Editor'!$A:$A,'Pokemon Editor'!$F:$F,0)+31+FLOOR(XLOOKUP($Q822,'Threshold Summary'!$Y:$Y,'Threshold Summary'!$P:$P,"")/4))*XLOOKUP($Q822,'Threshold Summary'!$Y:$Y,'Threshold Summary'!$L:$L,""))/100)+5)*XLOOKUP(XLOOKUP($Q822,'Threshold Summary'!$Y:$Y,'Threshold Summary'!$M:$M,""),'Nature Editor'!$A:$A,'Nature Editor'!$B:$B,1)),FLOOR((FLOOR(((2*XLOOKUP(XLOOKUP($Q822,'Threshold Summary'!$Y:$Y,'Threshold Summary'!$K:$K,""),'Pokemon Editor'!$A:$A,'Pokemon Editor'!$H:$H,0)+31+FLOOR(XLOOKUP($Q822,'Threshold Summary'!$Y:$Y,'Threshold Summary'!$R:$R,"")/4))*XLOOKUP($Q822,'Threshold Summary'!$Y:$Y,'Threshold Summary'!$L:$L,""))/100)+5)*XLOOKUP(XLOOKUP($Q822,'Threshold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Editor'!$E:$E,1))),stab,IF(OR(mtype=XLOOKUP(XLOOKUP($Q822,'Threshold Summary'!$Y:$Y,'Threshold Summary'!$K:$K,""),'Pokemon Editor'!$A:$A,'Pokemon Editor'!$C:$C,""),mtype=XLOOKUP(XLOOKUP($Q822,'Threshold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Chart'!$B$1:$S$1,0)))),base,IF(OR(cat="Status",pow=0),0,FLOOR(FLOOR(FLOOR((2*XLOOKUP($Q822,'Threshold Summary'!$Y:$Y,'Threshold Summary'!$L:$L,"")/5+2)*pow*atk/def)/50)+2)),modifier,stab*eff,FLOOR(base*modifier*0.85)),0)</f>
        <v/>
      </c>
      <c r="K822" s="3">
        <f>IFERROR(LET(mtype,XLOOKUP($D822,'Move Editor'!$B:$B,'Move Editor'!$C:$C,""),cat,XLOOKUP($D822,'Move Editor'!$B:$B,'Move Editor'!$D:$D,""),pow,XLOOKUP($D822,'Move Editor'!$B:$B,'Move Editor'!$E:$E,0),acc,XLOOKUP($D822,'Move Editor'!$B:$B,'Move Editor'!$F:$F,100),atk,IF(cat="Physical",FLOOR((FLOOR(((2*XLOOKUP(XLOOKUP($Q822,'Threshold Summary'!$Y:$Y,'Threshold Summary'!$K:$K,""),'Pokemon Editor'!$A:$A,'Pokemon Editor'!$F:$F,0)+31+FLOOR(XLOOKUP($Q822,'Threshold Summary'!$Y:$Y,'Threshold Summary'!$P:$P,"")/4))*XLOOKUP($Q822,'Threshold Summary'!$Y:$Y,'Threshold Summary'!$L:$L,""))/100)+5)*XLOOKUP(XLOOKUP($Q822,'Threshold Summary'!$Y:$Y,'Threshold Summary'!$M:$M,""),'Nature Editor'!$A:$A,'Nature Editor'!$B:$B,1)),FLOOR((FLOOR(((2*XLOOKUP(XLOOKUP($Q822,'Threshold Summary'!$Y:$Y,'Threshold Summary'!$K:$K,""),'Pokemon Editor'!$A:$A,'Pokemon Editor'!$H:$H,0)+31+FLOOR(XLOOKUP($Q822,'Threshold Summary'!$Y:$Y,'Threshold Summary'!$R:$R,"")/4))*XLOOKUP($Q822,'Threshold Summary'!$Y:$Y,'Threshold Summary'!$L:$L,""))/100)+5)*XLOOKUP(XLOOKUP($Q822,'Threshold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Editor'!$E:$E,1))),stab,IF(OR(mtype=XLOOKUP(XLOOKUP($Q822,'Threshold Summary'!$Y:$Y,'Threshold Summary'!$K:$K,""),'Pokemon Editor'!$A:$A,'Pokemon Editor'!$C:$C,""),mtype=XLOOKUP(XLOOKUP($Q822,'Threshold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Chart'!$B$1:$S$1,0)))),base,IF(OR(cat="Status",pow=0),0,FLOOR(FLOOR(FLOOR((2*XLOOKUP($Q822,'Threshold Summary'!$Y:$Y,'Threshold Summary'!$L:$L,"")/5+2)*pow*atk/def)/50)+2)),modifier,stab*eff,FLOOR(base*modifier)),0)</f>
        <v/>
      </c>
      <c r="L822" s="3">
        <f>IFERROR(LET(mtype,XLOOKUP($D822,'Move Editor'!$B:$B,'Move Editor'!$C:$C,""),cat,XLOOKUP($D822,'Move Editor'!$B:$B,'Move Editor'!$D:$D,""),pow,XLOOKUP($D822,'Move Editor'!$B:$B,'Move Editor'!$E:$E,0),acc,XLOOKUP($D822,'Move Editor'!$B:$B,'Move Editor'!$F:$F,100),atk,IF(cat="Physical",FLOOR((FLOOR(((2*XLOOKUP(XLOOKUP($Q822,'Threshold Summary'!$Y:$Y,'Threshold Summary'!$K:$K,""),'Pokemon Editor'!$A:$A,'Pokemon Editor'!$F:$F,0)+31+FLOOR(XLOOKUP($Q822,'Threshold Summary'!$Y:$Y,'Threshold Summary'!$P:$P,"")/4))*XLOOKUP($Q822,'Threshold Summary'!$Y:$Y,'Threshold Summary'!$L:$L,""))/100)+5)*XLOOKUP(XLOOKUP($Q822,'Threshold Summary'!$Y:$Y,'Threshold Summary'!$M:$M,""),'Nature Editor'!$A:$A,'Nature Editor'!$B:$B,1)),FLOOR((FLOOR(((2*XLOOKUP(XLOOKUP($Q822,'Threshold Summary'!$Y:$Y,'Threshold Summary'!$K:$K,""),'Pokemon Editor'!$A:$A,'Pokemon Editor'!$H:$H,0)+31+FLOOR(XLOOKUP($Q822,'Threshold Summary'!$Y:$Y,'Threshold Summary'!$R:$R,"")/4))*XLOOKUP($Q822,'Threshold Summary'!$Y:$Y,'Threshold Summary'!$L:$L,""))/100)+5)*XLOOKUP(XLOOKUP($Q822,'Threshold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Editor'!$E:$E,1))),stab,IF(OR(mtype=XLOOKUP(XLOOKUP($Q822,'Threshold Summary'!$Y:$Y,'Threshold Summary'!$K:$K,""),'Pokemon Editor'!$A:$A,'Pokemon Editor'!$C:$C,""),mtype=XLOOKUP(XLOOKUP($Q822,'Threshold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Chart'!$B$1:$S$1,0)))),base,IF(OR(cat="Status",pow=0),0,FLOOR(FLOOR(FLOOR((2*XLOOKUP($Q822,'Threshold Summary'!$Y:$Y,'Threshold Summary'!$L:$L,"")/5+2)*pow*atk/def)/50)+2)),modifier,stab*eff,AVERAGE(ARRAYFORMULA(FLOOR(base*modifier*SEQUENCE(16,1,85,1)/100)))),0)</f>
        <v/>
      </c>
      <c r="M822" s="3">
        <f>IFERROR(LET(mtype,XLOOKUP($D822,'Move Editor'!$B:$B,'Move Editor'!$C:$C,""),cat,XLOOKUP($D822,'Move Editor'!$B:$B,'Move Editor'!$D:$D,""),pow,XLOOKUP($D822,'Move Editor'!$B:$B,'Move Editor'!$E:$E,0),acc,XLOOKUP($D822,'Move Editor'!$B:$B,'Move Editor'!$F:$F,100),atk,IF(cat="Physical",FLOOR((FLOOR(((2*XLOOKUP(XLOOKUP($Q822,'Threshold Summary'!$Y:$Y,'Threshold Summary'!$K:$K,""),'Pokemon Editor'!$A:$A,'Pokemon Editor'!$F:$F,0)+31+FLOOR(XLOOKUP($Q822,'Threshold Summary'!$Y:$Y,'Threshold Summary'!$P:$P,"")/4))*XLOOKUP($Q822,'Threshold Summary'!$Y:$Y,'Threshold Summary'!$L:$L,""))/100)+5)*XLOOKUP(XLOOKUP($Q822,'Threshold Summary'!$Y:$Y,'Threshold Summary'!$M:$M,""),'Nature Editor'!$A:$A,'Nature Editor'!$B:$B,1)),FLOOR((FLOOR(((2*XLOOKUP(XLOOKUP($Q822,'Threshold Summary'!$Y:$Y,'Threshold Summary'!$K:$K,""),'Pokemon Editor'!$A:$A,'Pokemon Editor'!$H:$H,0)+31+FLOOR(XLOOKUP($Q822,'Threshold Summary'!$Y:$Y,'Threshold Summary'!$R:$R,"")/4))*XLOOKUP($Q822,'Threshold Summary'!$Y:$Y,'Threshold Summary'!$L:$L,""))/100)+5)*XLOOKUP(XLOOKUP($Q822,'Threshold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Editor'!$E:$E,1))),stab,IF(OR(mtype=XLOOKUP(XLOOKUP($Q822,'Threshold Summary'!$Y:$Y,'Threshold Summary'!$K:$K,""),'Pokemon Editor'!$A:$A,'Pokemon Editor'!$C:$C,""),mtype=XLOOKUP(XLOOKUP($Q822,'Threshold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Chart'!$B$1:$S$1,0)))),base,IF(OR(cat="Status",pow=0),0,FLOOR(FLOOR(FLOOR((2*XLOOKUP($Q822,'Threshold Summary'!$Y:$Y,'Threshold Summary'!$L:$L,"")/5+2)*pow*atk/def)/50)+2)),modifier,stab*eff,AVERAGE(ARRAYFORMULA(FLOOR(base*modifier*SEQUENCE(16,1,85,1)/100)))*MIN(1,acc/100)),0)</f>
        <v/>
      </c>
      <c r="N822" s="4">
        <f>IFERROR(LET(mtype,XLOOKUP($D822,'Move Editor'!$B:$B,'Move Editor'!$C:$C,""),cat,XLOOKUP($D822,'Move Editor'!$B:$B,'Move Editor'!$D:$D,""),pow,XLOOKUP($D822,'Move Editor'!$B:$B,'Move Editor'!$E:$E,0),acc,XLOOKUP($D822,'Move Editor'!$B:$B,'Move Editor'!$F:$F,100),atk,IF(cat="Physical",FLOOR((FLOOR(((2*XLOOKUP(XLOOKUP($Q822,'Threshold Summary'!$Y:$Y,'Threshold Summary'!$K:$K,""),'Pokemon Editor'!$A:$A,'Pokemon Editor'!$F:$F,0)+31+FLOOR(XLOOKUP($Q822,'Threshold Summary'!$Y:$Y,'Threshold Summary'!$P:$P,"")/4))*XLOOKUP($Q822,'Threshold Summary'!$Y:$Y,'Threshold Summary'!$L:$L,""))/100)+5)*XLOOKUP(XLOOKUP($Q822,'Threshold Summary'!$Y:$Y,'Threshold Summary'!$M:$M,""),'Nature Editor'!$A:$A,'Nature Editor'!$B:$B,1)),FLOOR((FLOOR(((2*XLOOKUP(XLOOKUP($Q822,'Threshold Summary'!$Y:$Y,'Threshold Summary'!$K:$K,""),'Pokemon Editor'!$A:$A,'Pokemon Editor'!$H:$H,0)+31+FLOOR(XLOOKUP($Q822,'Threshold Summary'!$Y:$Y,'Threshold Summary'!$R:$R,"")/4))*XLOOKUP($Q822,'Threshold Summary'!$Y:$Y,'Threshold Summary'!$L:$L,""))/100)+5)*XLOOKUP(XLOOKUP($Q822,'Threshold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Editor'!$E:$E,1))),stab,IF(OR(mtype=XLOOKUP(XLOOKUP($Q822,'Threshold Summary'!$Y:$Y,'Threshold Summary'!$K:$K,""),'Pokemon Editor'!$A:$A,'Pokemon Editor'!$C:$C,""),mtype=XLOOKUP(XLOOKUP($Q822,'Threshold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Chart'!$B$1:$S$1,0)))),base,IF(OR(cat="Status",pow=0),0,FLOOR(FLOOR(FLOOR((2*XLOOKUP($Q822,'Threshold Summary'!$Y:$Y,'Threshold Summary'!$L:$L,"")/5+2)*pow*atk/def)/50)+2)),modifier,stab*eff,AVERAGE(ARRAYFORMULA(FLOOR(base*modifier*SEQUENCE(16,1,85,1)/100)))/(FLOOR(((2*XLOOKUP('Boss Editor'!$C$4,'Pokemon Editor'!$A:$A,'Pokemon Editor'!$E:$E,0)+31+FLOOR('Boss Editor'!$G$4/4))*'Boss Editor'!$D$4)/100)+'Boss Editor'!$D$4+10)),0)</f>
        <v/>
      </c>
      <c r="O822" s="3">
        <f>IF(N822&gt;=1,"OHKO",IF(N822&gt;=0.5,"2HKO",IF(N822&gt;=0.333,"3HKO",IF(N822&gt;=0.25,"4HKO","5HKO+"))))</f>
        <v/>
      </c>
      <c r="P822" s="3" t="inlineStr">
        <is>
          <t>Live from editable databases</t>
        </is>
      </c>
      <c r="Q822" s="3" t="inlineStr">
        <is>
          <t>SPECIES_BLIPBUG</t>
        </is>
      </c>
      <c r="R822" s="3" t="n">
        <v>21</v>
      </c>
    </row>
    <row r="823">
      <c r="A823" s="3">
        <f>XLOOKUP($Q823,'Threshold Summary'!$Y:$Y,'Threshold Summary'!$A:$A,"")</f>
        <v/>
      </c>
      <c r="B823" s="3">
        <f>XLOOKUP($Q823,'Threshold Summary'!$Y:$Y,'Threshold Summary'!$M:$M,"")</f>
        <v/>
      </c>
      <c r="C823" s="3">
        <f>XLOOKUP($Q823,'Threshold Summary'!$Y:$Y,'Threshold Summary'!$N:$N,"")</f>
        <v/>
      </c>
      <c r="D823" s="3">
        <f>IFERROR(INDEX(FILTER('Learnset Editor'!$D$2:$D,'Learnset Editor'!$A$2:$A=XLOOKUP($Q823,'Threshold Summary'!$Y:$Y,'Threshold Summary'!$K:$K,""),'Learnset Editor'!$C$2:$C&lt;=XLOOKUP($Q823,'Threshold Summary'!$Y:$Y,'Threshold Summary'!$L:$L,"")),$R823),"")</f>
        <v/>
      </c>
      <c r="E823" s="3">
        <f>XLOOKUP(D823,'Move Editor'!$B:$B,'Move Editor'!$C:$C,"")</f>
        <v/>
      </c>
      <c r="F823" s="3">
        <f>XLOOKUP(D823,'Move Editor'!$B:$B,'Move Editor'!$D:$D,"")</f>
        <v/>
      </c>
      <c r="G823" s="3">
        <f>XLOOKUP(D823,'Move Editor'!$B:$B,'Move Editor'!$E:$E,0)</f>
        <v/>
      </c>
      <c r="H823" s="3">
        <f>XLOOKUP(D823,'Move Editor'!$B:$B,'Move Editor'!$F:$F,0)</f>
        <v/>
      </c>
      <c r="I823" s="3">
        <f>(INDEX('Type Chart'!$B:$S,MATCH(E823,'Type Chart'!$A:$A,0),MATCH(XLOOKUP('Boss Editor'!$C$4,'Pokemon Editor'!$A:$A,'Pokemon Editor'!$C:$C,""),'Type Chart'!$B$1:$S$1,0))*IF(XLOOKUP('Boss Editor'!$C$4,'Pokemon Editor'!$A:$A,'Pokemon Editor'!$D:$D,"")="",1,INDEX('Type Chart'!$B:$S,MATCH(E823,'Type Chart'!$A:$A,0),MATCH(XLOOKUP('Boss Editor'!$C$4,'Pokemon Editor'!$A:$A,'Pokemon Editor'!$D:$D,""),'Type Chart'!$B$1:$S$1,0))))</f>
        <v/>
      </c>
      <c r="J823" s="3">
        <f>IFERROR(LET(mtype,XLOOKUP($D823,'Move Editor'!$B:$B,'Move Editor'!$C:$C,""),cat,XLOOKUP($D823,'Move Editor'!$B:$B,'Move Editor'!$D:$D,""),pow,XLOOKUP($D823,'Move Editor'!$B:$B,'Move Editor'!$E:$E,0),acc,XLOOKUP($D823,'Move Editor'!$B:$B,'Move Editor'!$F:$F,100),atk,IF(cat="Physical",FLOOR((FLOOR(((2*XLOOKUP(XLOOKUP($Q823,'Threshold Summary'!$Y:$Y,'Threshold Summary'!$K:$K,""),'Pokemon Editor'!$A:$A,'Pokemon Editor'!$F:$F,0)+31+FLOOR(XLOOKUP($Q823,'Threshold Summary'!$Y:$Y,'Threshold Summary'!$P:$P,"")/4))*XLOOKUP($Q823,'Threshold Summary'!$Y:$Y,'Threshold Summary'!$L:$L,""))/100)+5)*XLOOKUP(XLOOKUP($Q823,'Threshold Summary'!$Y:$Y,'Threshold Summary'!$M:$M,""),'Nature Editor'!$A:$A,'Nature Editor'!$B:$B,1)),FLOOR((FLOOR(((2*XLOOKUP(XLOOKUP($Q823,'Threshold Summary'!$Y:$Y,'Threshold Summary'!$K:$K,""),'Pokemon Editor'!$A:$A,'Pokemon Editor'!$H:$H,0)+31+FLOOR(XLOOKUP($Q823,'Threshold Summary'!$Y:$Y,'Threshold Summary'!$R:$R,"")/4))*XLOOKUP($Q823,'Threshold Summary'!$Y:$Y,'Threshold Summary'!$L:$L,""))/100)+5)*XLOOKUP(XLOOKUP($Q823,'Threshold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Editor'!$E:$E,1))),stab,IF(OR(mtype=XLOOKUP(XLOOKUP($Q823,'Threshold Summary'!$Y:$Y,'Threshold Summary'!$K:$K,""),'Pokemon Editor'!$A:$A,'Pokemon Editor'!$C:$C,""),mtype=XLOOKUP(XLOOKUP($Q823,'Threshold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Chart'!$B$1:$S$1,0)))),base,IF(OR(cat="Status",pow=0),0,FLOOR(FLOOR(FLOOR((2*XLOOKUP($Q823,'Threshold Summary'!$Y:$Y,'Threshold Summary'!$L:$L,"")/5+2)*pow*atk/def)/50)+2)),modifier,stab*eff,FLOOR(base*modifier*0.85)),0)</f>
        <v/>
      </c>
      <c r="K823" s="3">
        <f>IFERROR(LET(mtype,XLOOKUP($D823,'Move Editor'!$B:$B,'Move Editor'!$C:$C,""),cat,XLOOKUP($D823,'Move Editor'!$B:$B,'Move Editor'!$D:$D,""),pow,XLOOKUP($D823,'Move Editor'!$B:$B,'Move Editor'!$E:$E,0),acc,XLOOKUP($D823,'Move Editor'!$B:$B,'Move Editor'!$F:$F,100),atk,IF(cat="Physical",FLOOR((FLOOR(((2*XLOOKUP(XLOOKUP($Q823,'Threshold Summary'!$Y:$Y,'Threshold Summary'!$K:$K,""),'Pokemon Editor'!$A:$A,'Pokemon Editor'!$F:$F,0)+31+FLOOR(XLOOKUP($Q823,'Threshold Summary'!$Y:$Y,'Threshold Summary'!$P:$P,"")/4))*XLOOKUP($Q823,'Threshold Summary'!$Y:$Y,'Threshold Summary'!$L:$L,""))/100)+5)*XLOOKUP(XLOOKUP($Q823,'Threshold Summary'!$Y:$Y,'Threshold Summary'!$M:$M,""),'Nature Editor'!$A:$A,'Nature Editor'!$B:$B,1)),FLOOR((FLOOR(((2*XLOOKUP(XLOOKUP($Q823,'Threshold Summary'!$Y:$Y,'Threshold Summary'!$K:$K,""),'Pokemon Editor'!$A:$A,'Pokemon Editor'!$H:$H,0)+31+FLOOR(XLOOKUP($Q823,'Threshold Summary'!$Y:$Y,'Threshold Summary'!$R:$R,"")/4))*XLOOKUP($Q823,'Threshold Summary'!$Y:$Y,'Threshold Summary'!$L:$L,""))/100)+5)*XLOOKUP(XLOOKUP($Q823,'Threshold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Editor'!$E:$E,1))),stab,IF(OR(mtype=XLOOKUP(XLOOKUP($Q823,'Threshold Summary'!$Y:$Y,'Threshold Summary'!$K:$K,""),'Pokemon Editor'!$A:$A,'Pokemon Editor'!$C:$C,""),mtype=XLOOKUP(XLOOKUP($Q823,'Threshold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Chart'!$B$1:$S$1,0)))),base,IF(OR(cat="Status",pow=0),0,FLOOR(FLOOR(FLOOR((2*XLOOKUP($Q823,'Threshold Summary'!$Y:$Y,'Threshold Summary'!$L:$L,"")/5+2)*pow*atk/def)/50)+2)),modifier,stab*eff,FLOOR(base*modifier)),0)</f>
        <v/>
      </c>
      <c r="L823" s="3">
        <f>IFERROR(LET(mtype,XLOOKUP($D823,'Move Editor'!$B:$B,'Move Editor'!$C:$C,""),cat,XLOOKUP($D823,'Move Editor'!$B:$B,'Move Editor'!$D:$D,""),pow,XLOOKUP($D823,'Move Editor'!$B:$B,'Move Editor'!$E:$E,0),acc,XLOOKUP($D823,'Move Editor'!$B:$B,'Move Editor'!$F:$F,100),atk,IF(cat="Physical",FLOOR((FLOOR(((2*XLOOKUP(XLOOKUP($Q823,'Threshold Summary'!$Y:$Y,'Threshold Summary'!$K:$K,""),'Pokemon Editor'!$A:$A,'Pokemon Editor'!$F:$F,0)+31+FLOOR(XLOOKUP($Q823,'Threshold Summary'!$Y:$Y,'Threshold Summary'!$P:$P,"")/4))*XLOOKUP($Q823,'Threshold Summary'!$Y:$Y,'Threshold Summary'!$L:$L,""))/100)+5)*XLOOKUP(XLOOKUP($Q823,'Threshold Summary'!$Y:$Y,'Threshold Summary'!$M:$M,""),'Nature Editor'!$A:$A,'Nature Editor'!$B:$B,1)),FLOOR((FLOOR(((2*XLOOKUP(XLOOKUP($Q823,'Threshold Summary'!$Y:$Y,'Threshold Summary'!$K:$K,""),'Pokemon Editor'!$A:$A,'Pokemon Editor'!$H:$H,0)+31+FLOOR(XLOOKUP($Q823,'Threshold Summary'!$Y:$Y,'Threshold Summary'!$R:$R,"")/4))*XLOOKUP($Q823,'Threshold Summary'!$Y:$Y,'Threshold Summary'!$L:$L,""))/100)+5)*XLOOKUP(XLOOKUP($Q823,'Threshold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Editor'!$E:$E,1))),stab,IF(OR(mtype=XLOOKUP(XLOOKUP($Q823,'Threshold Summary'!$Y:$Y,'Threshold Summary'!$K:$K,""),'Pokemon Editor'!$A:$A,'Pokemon Editor'!$C:$C,""),mtype=XLOOKUP(XLOOKUP($Q823,'Threshold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Chart'!$B$1:$S$1,0)))),base,IF(OR(cat="Status",pow=0),0,FLOOR(FLOOR(FLOOR((2*XLOOKUP($Q823,'Threshold Summary'!$Y:$Y,'Threshold Summary'!$L:$L,"")/5+2)*pow*atk/def)/50)+2)),modifier,stab*eff,AVERAGE(ARRAYFORMULA(FLOOR(base*modifier*SEQUENCE(16,1,85,1)/100)))),0)</f>
        <v/>
      </c>
      <c r="M823" s="3">
        <f>IFERROR(LET(mtype,XLOOKUP($D823,'Move Editor'!$B:$B,'Move Editor'!$C:$C,""),cat,XLOOKUP($D823,'Move Editor'!$B:$B,'Move Editor'!$D:$D,""),pow,XLOOKUP($D823,'Move Editor'!$B:$B,'Move Editor'!$E:$E,0),acc,XLOOKUP($D823,'Move Editor'!$B:$B,'Move Editor'!$F:$F,100),atk,IF(cat="Physical",FLOOR((FLOOR(((2*XLOOKUP(XLOOKUP($Q823,'Threshold Summary'!$Y:$Y,'Threshold Summary'!$K:$K,""),'Pokemon Editor'!$A:$A,'Pokemon Editor'!$F:$F,0)+31+FLOOR(XLOOKUP($Q823,'Threshold Summary'!$Y:$Y,'Threshold Summary'!$P:$P,"")/4))*XLOOKUP($Q823,'Threshold Summary'!$Y:$Y,'Threshold Summary'!$L:$L,""))/100)+5)*XLOOKUP(XLOOKUP($Q823,'Threshold Summary'!$Y:$Y,'Threshold Summary'!$M:$M,""),'Nature Editor'!$A:$A,'Nature Editor'!$B:$B,1)),FLOOR((FLOOR(((2*XLOOKUP(XLOOKUP($Q823,'Threshold Summary'!$Y:$Y,'Threshold Summary'!$K:$K,""),'Pokemon Editor'!$A:$A,'Pokemon Editor'!$H:$H,0)+31+FLOOR(XLOOKUP($Q823,'Threshold Summary'!$Y:$Y,'Threshold Summary'!$R:$R,"")/4))*XLOOKUP($Q823,'Threshold Summary'!$Y:$Y,'Threshold Summary'!$L:$L,""))/100)+5)*XLOOKUP(XLOOKUP($Q823,'Threshold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Editor'!$E:$E,1))),stab,IF(OR(mtype=XLOOKUP(XLOOKUP($Q823,'Threshold Summary'!$Y:$Y,'Threshold Summary'!$K:$K,""),'Pokemon Editor'!$A:$A,'Pokemon Editor'!$C:$C,""),mtype=XLOOKUP(XLOOKUP($Q823,'Threshold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Chart'!$B$1:$S$1,0)))),base,IF(OR(cat="Status",pow=0),0,FLOOR(FLOOR(FLOOR((2*XLOOKUP($Q823,'Threshold Summary'!$Y:$Y,'Threshold Summary'!$L:$L,"")/5+2)*pow*atk/def)/50)+2)),modifier,stab*eff,AVERAGE(ARRAYFORMULA(FLOOR(base*modifier*SEQUENCE(16,1,85,1)/100)))*MIN(1,acc/100)),0)</f>
        <v/>
      </c>
      <c r="N823" s="4">
        <f>IFERROR(LET(mtype,XLOOKUP($D823,'Move Editor'!$B:$B,'Move Editor'!$C:$C,""),cat,XLOOKUP($D823,'Move Editor'!$B:$B,'Move Editor'!$D:$D,""),pow,XLOOKUP($D823,'Move Editor'!$B:$B,'Move Editor'!$E:$E,0),acc,XLOOKUP($D823,'Move Editor'!$B:$B,'Move Editor'!$F:$F,100),atk,IF(cat="Physical",FLOOR((FLOOR(((2*XLOOKUP(XLOOKUP($Q823,'Threshold Summary'!$Y:$Y,'Threshold Summary'!$K:$K,""),'Pokemon Editor'!$A:$A,'Pokemon Editor'!$F:$F,0)+31+FLOOR(XLOOKUP($Q823,'Threshold Summary'!$Y:$Y,'Threshold Summary'!$P:$P,"")/4))*XLOOKUP($Q823,'Threshold Summary'!$Y:$Y,'Threshold Summary'!$L:$L,""))/100)+5)*XLOOKUP(XLOOKUP($Q823,'Threshold Summary'!$Y:$Y,'Threshold Summary'!$M:$M,""),'Nature Editor'!$A:$A,'Nature Editor'!$B:$B,1)),FLOOR((FLOOR(((2*XLOOKUP(XLOOKUP($Q823,'Threshold Summary'!$Y:$Y,'Threshold Summary'!$K:$K,""),'Pokemon Editor'!$A:$A,'Pokemon Editor'!$H:$H,0)+31+FLOOR(XLOOKUP($Q823,'Threshold Summary'!$Y:$Y,'Threshold Summary'!$R:$R,"")/4))*XLOOKUP($Q823,'Threshold Summary'!$Y:$Y,'Threshold Summary'!$L:$L,""))/100)+5)*XLOOKUP(XLOOKUP($Q823,'Threshold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Editor'!$E:$E,1))),stab,IF(OR(mtype=XLOOKUP(XLOOKUP($Q823,'Threshold Summary'!$Y:$Y,'Threshold Summary'!$K:$K,""),'Pokemon Editor'!$A:$A,'Pokemon Editor'!$C:$C,""),mtype=XLOOKUP(XLOOKUP($Q823,'Threshold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Chart'!$B$1:$S$1,0)))),base,IF(OR(cat="Status",pow=0),0,FLOOR(FLOOR(FLOOR((2*XLOOKUP($Q823,'Threshold Summary'!$Y:$Y,'Threshold Summary'!$L:$L,"")/5+2)*pow*atk/def)/50)+2)),modifier,stab*eff,AVERAGE(ARRAYFORMULA(FLOOR(base*modifier*SEQUENCE(16,1,85,1)/100)))/(FLOOR(((2*XLOOKUP('Boss Editor'!$C$4,'Pokemon Editor'!$A:$A,'Pokemon Editor'!$E:$E,0)+31+FLOOR('Boss Editor'!$G$4/4))*'Boss Editor'!$D$4)/100)+'Boss Editor'!$D$4+10)),0)</f>
        <v/>
      </c>
      <c r="O823" s="3">
        <f>IF(N823&gt;=1,"OHKO",IF(N823&gt;=0.5,"2HKO",IF(N823&gt;=0.333,"3HKO",IF(N823&gt;=0.25,"4HKO","5HKO+"))))</f>
        <v/>
      </c>
      <c r="P823" s="3" t="inlineStr">
        <is>
          <t>Live from editable databases</t>
        </is>
      </c>
      <c r="Q823" s="3" t="inlineStr">
        <is>
          <t>SPECIES_BLIPBUG</t>
        </is>
      </c>
      <c r="R823" s="3" t="n">
        <v>22</v>
      </c>
    </row>
    <row r="824">
      <c r="A824" s="3">
        <f>XLOOKUP($Q824,'Threshold Summary'!$Y:$Y,'Threshold Summary'!$A:$A,"")</f>
        <v/>
      </c>
      <c r="B824" s="3">
        <f>XLOOKUP($Q824,'Threshold Summary'!$Y:$Y,'Threshold Summary'!$M:$M,"")</f>
        <v/>
      </c>
      <c r="C824" s="3">
        <f>XLOOKUP($Q824,'Threshold Summary'!$Y:$Y,'Threshold Summary'!$N:$N,"")</f>
        <v/>
      </c>
      <c r="D824" s="3">
        <f>IFERROR(INDEX(FILTER('Learnset Editor'!$D$2:$D,'Learnset Editor'!$A$2:$A=XLOOKUP($Q824,'Threshold Summary'!$Y:$Y,'Threshold Summary'!$K:$K,""),'Learnset Editor'!$C$2:$C&lt;=XLOOKUP($Q824,'Threshold Summary'!$Y:$Y,'Threshold Summary'!$L:$L,"")),$R824),"")</f>
        <v/>
      </c>
      <c r="E824" s="3">
        <f>XLOOKUP(D824,'Move Editor'!$B:$B,'Move Editor'!$C:$C,"")</f>
        <v/>
      </c>
      <c r="F824" s="3">
        <f>XLOOKUP(D824,'Move Editor'!$B:$B,'Move Editor'!$D:$D,"")</f>
        <v/>
      </c>
      <c r="G824" s="3">
        <f>XLOOKUP(D824,'Move Editor'!$B:$B,'Move Editor'!$E:$E,0)</f>
        <v/>
      </c>
      <c r="H824" s="3">
        <f>XLOOKUP(D824,'Move Editor'!$B:$B,'Move Editor'!$F:$F,0)</f>
        <v/>
      </c>
      <c r="I824" s="3">
        <f>(INDEX('Type Chart'!$B:$S,MATCH(E824,'Type Chart'!$A:$A,0),MATCH(XLOOKUP('Boss Editor'!$C$4,'Pokemon Editor'!$A:$A,'Pokemon Editor'!$C:$C,""),'Type Chart'!$B$1:$S$1,0))*IF(XLOOKUP('Boss Editor'!$C$4,'Pokemon Editor'!$A:$A,'Pokemon Editor'!$D:$D,"")="",1,INDEX('Type Chart'!$B:$S,MATCH(E824,'Type Chart'!$A:$A,0),MATCH(XLOOKUP('Boss Editor'!$C$4,'Pokemon Editor'!$A:$A,'Pokemon Editor'!$D:$D,""),'Type Chart'!$B$1:$S$1,0))))</f>
        <v/>
      </c>
      <c r="J824" s="3">
        <f>IFERROR(LET(mtype,XLOOKUP($D824,'Move Editor'!$B:$B,'Move Editor'!$C:$C,""),cat,XLOOKUP($D824,'Move Editor'!$B:$B,'Move Editor'!$D:$D,""),pow,XLOOKUP($D824,'Move Editor'!$B:$B,'Move Editor'!$E:$E,0),acc,XLOOKUP($D824,'Move Editor'!$B:$B,'Move Editor'!$F:$F,100),atk,IF(cat="Physical",FLOOR((FLOOR(((2*XLOOKUP(XLOOKUP($Q824,'Threshold Summary'!$Y:$Y,'Threshold Summary'!$K:$K,""),'Pokemon Editor'!$A:$A,'Pokemon Editor'!$F:$F,0)+31+FLOOR(XLOOKUP($Q824,'Threshold Summary'!$Y:$Y,'Threshold Summary'!$P:$P,"")/4))*XLOOKUP($Q824,'Threshold Summary'!$Y:$Y,'Threshold Summary'!$L:$L,""))/100)+5)*XLOOKUP(XLOOKUP($Q824,'Threshold Summary'!$Y:$Y,'Threshold Summary'!$M:$M,""),'Nature Editor'!$A:$A,'Nature Editor'!$B:$B,1)),FLOOR((FLOOR(((2*XLOOKUP(XLOOKUP($Q824,'Threshold Summary'!$Y:$Y,'Threshold Summary'!$K:$K,""),'Pokemon Editor'!$A:$A,'Pokemon Editor'!$H:$H,0)+31+FLOOR(XLOOKUP($Q824,'Threshold Summary'!$Y:$Y,'Threshold Summary'!$R:$R,"")/4))*XLOOKUP($Q824,'Threshold Summary'!$Y:$Y,'Threshold Summary'!$L:$L,""))/100)+5)*XLOOKUP(XLOOKUP($Q824,'Threshold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Editor'!$E:$E,1))),stab,IF(OR(mtype=XLOOKUP(XLOOKUP($Q824,'Threshold Summary'!$Y:$Y,'Threshold Summary'!$K:$K,""),'Pokemon Editor'!$A:$A,'Pokemon Editor'!$C:$C,""),mtype=XLOOKUP(XLOOKUP($Q824,'Threshold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Chart'!$B$1:$S$1,0)))),base,IF(OR(cat="Status",pow=0),0,FLOOR(FLOOR(FLOOR((2*XLOOKUP($Q824,'Threshold Summary'!$Y:$Y,'Threshold Summary'!$L:$L,"")/5+2)*pow*atk/def)/50)+2)),modifier,stab*eff,FLOOR(base*modifier*0.85)),0)</f>
        <v/>
      </c>
      <c r="K824" s="3">
        <f>IFERROR(LET(mtype,XLOOKUP($D824,'Move Editor'!$B:$B,'Move Editor'!$C:$C,""),cat,XLOOKUP($D824,'Move Editor'!$B:$B,'Move Editor'!$D:$D,""),pow,XLOOKUP($D824,'Move Editor'!$B:$B,'Move Editor'!$E:$E,0),acc,XLOOKUP($D824,'Move Editor'!$B:$B,'Move Editor'!$F:$F,100),atk,IF(cat="Physical",FLOOR((FLOOR(((2*XLOOKUP(XLOOKUP($Q824,'Threshold Summary'!$Y:$Y,'Threshold Summary'!$K:$K,""),'Pokemon Editor'!$A:$A,'Pokemon Editor'!$F:$F,0)+31+FLOOR(XLOOKUP($Q824,'Threshold Summary'!$Y:$Y,'Threshold Summary'!$P:$P,"")/4))*XLOOKUP($Q824,'Threshold Summary'!$Y:$Y,'Threshold Summary'!$L:$L,""))/100)+5)*XLOOKUP(XLOOKUP($Q824,'Threshold Summary'!$Y:$Y,'Threshold Summary'!$M:$M,""),'Nature Editor'!$A:$A,'Nature Editor'!$B:$B,1)),FLOOR((FLOOR(((2*XLOOKUP(XLOOKUP($Q824,'Threshold Summary'!$Y:$Y,'Threshold Summary'!$K:$K,""),'Pokemon Editor'!$A:$A,'Pokemon Editor'!$H:$H,0)+31+FLOOR(XLOOKUP($Q824,'Threshold Summary'!$Y:$Y,'Threshold Summary'!$R:$R,"")/4))*XLOOKUP($Q824,'Threshold Summary'!$Y:$Y,'Threshold Summary'!$L:$L,""))/100)+5)*XLOOKUP(XLOOKUP($Q824,'Threshold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Editor'!$E:$E,1))),stab,IF(OR(mtype=XLOOKUP(XLOOKUP($Q824,'Threshold Summary'!$Y:$Y,'Threshold Summary'!$K:$K,""),'Pokemon Editor'!$A:$A,'Pokemon Editor'!$C:$C,""),mtype=XLOOKUP(XLOOKUP($Q824,'Threshold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Chart'!$B$1:$S$1,0)))),base,IF(OR(cat="Status",pow=0),0,FLOOR(FLOOR(FLOOR((2*XLOOKUP($Q824,'Threshold Summary'!$Y:$Y,'Threshold Summary'!$L:$L,"")/5+2)*pow*atk/def)/50)+2)),modifier,stab*eff,FLOOR(base*modifier)),0)</f>
        <v/>
      </c>
      <c r="L824" s="3">
        <f>IFERROR(LET(mtype,XLOOKUP($D824,'Move Editor'!$B:$B,'Move Editor'!$C:$C,""),cat,XLOOKUP($D824,'Move Editor'!$B:$B,'Move Editor'!$D:$D,""),pow,XLOOKUP($D824,'Move Editor'!$B:$B,'Move Editor'!$E:$E,0),acc,XLOOKUP($D824,'Move Editor'!$B:$B,'Move Editor'!$F:$F,100),atk,IF(cat="Physical",FLOOR((FLOOR(((2*XLOOKUP(XLOOKUP($Q824,'Threshold Summary'!$Y:$Y,'Threshold Summary'!$K:$K,""),'Pokemon Editor'!$A:$A,'Pokemon Editor'!$F:$F,0)+31+FLOOR(XLOOKUP($Q824,'Threshold Summary'!$Y:$Y,'Threshold Summary'!$P:$P,"")/4))*XLOOKUP($Q824,'Threshold Summary'!$Y:$Y,'Threshold Summary'!$L:$L,""))/100)+5)*XLOOKUP(XLOOKUP($Q824,'Threshold Summary'!$Y:$Y,'Threshold Summary'!$M:$M,""),'Nature Editor'!$A:$A,'Nature Editor'!$B:$B,1)),FLOOR((FLOOR(((2*XLOOKUP(XLOOKUP($Q824,'Threshold Summary'!$Y:$Y,'Threshold Summary'!$K:$K,""),'Pokemon Editor'!$A:$A,'Pokemon Editor'!$H:$H,0)+31+FLOOR(XLOOKUP($Q824,'Threshold Summary'!$Y:$Y,'Threshold Summary'!$R:$R,"")/4))*XLOOKUP($Q824,'Threshold Summary'!$Y:$Y,'Threshold Summary'!$L:$L,""))/100)+5)*XLOOKUP(XLOOKUP($Q824,'Threshold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Editor'!$E:$E,1))),stab,IF(OR(mtype=XLOOKUP(XLOOKUP($Q824,'Threshold Summary'!$Y:$Y,'Threshold Summary'!$K:$K,""),'Pokemon Editor'!$A:$A,'Pokemon Editor'!$C:$C,""),mtype=XLOOKUP(XLOOKUP($Q824,'Threshold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Chart'!$B$1:$S$1,0)))),base,IF(OR(cat="Status",pow=0),0,FLOOR(FLOOR(FLOOR((2*XLOOKUP($Q824,'Threshold Summary'!$Y:$Y,'Threshold Summary'!$L:$L,"")/5+2)*pow*atk/def)/50)+2)),modifier,stab*eff,AVERAGE(ARRAYFORMULA(FLOOR(base*modifier*SEQUENCE(16,1,85,1)/100)))),0)</f>
        <v/>
      </c>
      <c r="M824" s="3">
        <f>IFERROR(LET(mtype,XLOOKUP($D824,'Move Editor'!$B:$B,'Move Editor'!$C:$C,""),cat,XLOOKUP($D824,'Move Editor'!$B:$B,'Move Editor'!$D:$D,""),pow,XLOOKUP($D824,'Move Editor'!$B:$B,'Move Editor'!$E:$E,0),acc,XLOOKUP($D824,'Move Editor'!$B:$B,'Move Editor'!$F:$F,100),atk,IF(cat="Physical",FLOOR((FLOOR(((2*XLOOKUP(XLOOKUP($Q824,'Threshold Summary'!$Y:$Y,'Threshold Summary'!$K:$K,""),'Pokemon Editor'!$A:$A,'Pokemon Editor'!$F:$F,0)+31+FLOOR(XLOOKUP($Q824,'Threshold Summary'!$Y:$Y,'Threshold Summary'!$P:$P,"")/4))*XLOOKUP($Q824,'Threshold Summary'!$Y:$Y,'Threshold Summary'!$L:$L,""))/100)+5)*XLOOKUP(XLOOKUP($Q824,'Threshold Summary'!$Y:$Y,'Threshold Summary'!$M:$M,""),'Nature Editor'!$A:$A,'Nature Editor'!$B:$B,1)),FLOOR((FLOOR(((2*XLOOKUP(XLOOKUP($Q824,'Threshold Summary'!$Y:$Y,'Threshold Summary'!$K:$K,""),'Pokemon Editor'!$A:$A,'Pokemon Editor'!$H:$H,0)+31+FLOOR(XLOOKUP($Q824,'Threshold Summary'!$Y:$Y,'Threshold Summary'!$R:$R,"")/4))*XLOOKUP($Q824,'Threshold Summary'!$Y:$Y,'Threshold Summary'!$L:$L,""))/100)+5)*XLOOKUP(XLOOKUP($Q824,'Threshold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Editor'!$E:$E,1))),stab,IF(OR(mtype=XLOOKUP(XLOOKUP($Q824,'Threshold Summary'!$Y:$Y,'Threshold Summary'!$K:$K,""),'Pokemon Editor'!$A:$A,'Pokemon Editor'!$C:$C,""),mtype=XLOOKUP(XLOOKUP($Q824,'Threshold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Chart'!$B$1:$S$1,0)))),base,IF(OR(cat="Status",pow=0),0,FLOOR(FLOOR(FLOOR((2*XLOOKUP($Q824,'Threshold Summary'!$Y:$Y,'Threshold Summary'!$L:$L,"")/5+2)*pow*atk/def)/50)+2)),modifier,stab*eff,AVERAGE(ARRAYFORMULA(FLOOR(base*modifier*SEQUENCE(16,1,85,1)/100)))*MIN(1,acc/100)),0)</f>
        <v/>
      </c>
      <c r="N824" s="4">
        <f>IFERROR(LET(mtype,XLOOKUP($D824,'Move Editor'!$B:$B,'Move Editor'!$C:$C,""),cat,XLOOKUP($D824,'Move Editor'!$B:$B,'Move Editor'!$D:$D,""),pow,XLOOKUP($D824,'Move Editor'!$B:$B,'Move Editor'!$E:$E,0),acc,XLOOKUP($D824,'Move Editor'!$B:$B,'Move Editor'!$F:$F,100),atk,IF(cat="Physical",FLOOR((FLOOR(((2*XLOOKUP(XLOOKUP($Q824,'Threshold Summary'!$Y:$Y,'Threshold Summary'!$K:$K,""),'Pokemon Editor'!$A:$A,'Pokemon Editor'!$F:$F,0)+31+FLOOR(XLOOKUP($Q824,'Threshold Summary'!$Y:$Y,'Threshold Summary'!$P:$P,"")/4))*XLOOKUP($Q824,'Threshold Summary'!$Y:$Y,'Threshold Summary'!$L:$L,""))/100)+5)*XLOOKUP(XLOOKUP($Q824,'Threshold Summary'!$Y:$Y,'Threshold Summary'!$M:$M,""),'Nature Editor'!$A:$A,'Nature Editor'!$B:$B,1)),FLOOR((FLOOR(((2*XLOOKUP(XLOOKUP($Q824,'Threshold Summary'!$Y:$Y,'Threshold Summary'!$K:$K,""),'Pokemon Editor'!$A:$A,'Pokemon Editor'!$H:$H,0)+31+FLOOR(XLOOKUP($Q824,'Threshold Summary'!$Y:$Y,'Threshold Summary'!$R:$R,"")/4))*XLOOKUP($Q824,'Threshold Summary'!$Y:$Y,'Threshold Summary'!$L:$L,""))/100)+5)*XLOOKUP(XLOOKUP($Q824,'Threshold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Editor'!$E:$E,1))),stab,IF(OR(mtype=XLOOKUP(XLOOKUP($Q824,'Threshold Summary'!$Y:$Y,'Threshold Summary'!$K:$K,""),'Pokemon Editor'!$A:$A,'Pokemon Editor'!$C:$C,""),mtype=XLOOKUP(XLOOKUP($Q824,'Threshold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Chart'!$B$1:$S$1,0)))),base,IF(OR(cat="Status",pow=0),0,FLOOR(FLOOR(FLOOR((2*XLOOKUP($Q824,'Threshold Summary'!$Y:$Y,'Threshold Summary'!$L:$L,"")/5+2)*pow*atk/def)/50)+2)),modifier,stab*eff,AVERAGE(ARRAYFORMULA(FLOOR(base*modifier*SEQUENCE(16,1,85,1)/100)))/(FLOOR(((2*XLOOKUP('Boss Editor'!$C$4,'Pokemon Editor'!$A:$A,'Pokemon Editor'!$E:$E,0)+31+FLOOR('Boss Editor'!$G$4/4))*'Boss Editor'!$D$4)/100)+'Boss Editor'!$D$4+10)),0)</f>
        <v/>
      </c>
      <c r="O824" s="3">
        <f>IF(N824&gt;=1,"OHKO",IF(N824&gt;=0.5,"2HKO",IF(N824&gt;=0.333,"3HKO",IF(N824&gt;=0.25,"4HKO","5HKO+"))))</f>
        <v/>
      </c>
      <c r="P824" s="3" t="inlineStr">
        <is>
          <t>Live from editable databases</t>
        </is>
      </c>
      <c r="Q824" s="3" t="inlineStr">
        <is>
          <t>SPECIES_BLIPBUG</t>
        </is>
      </c>
      <c r="R824" s="3" t="n">
        <v>23</v>
      </c>
    </row>
    <row r="825">
      <c r="A825" s="3">
        <f>XLOOKUP($Q825,'Threshold Summary'!$Y:$Y,'Threshold Summary'!$A:$A,"")</f>
        <v/>
      </c>
      <c r="B825" s="3">
        <f>XLOOKUP($Q825,'Threshold Summary'!$Y:$Y,'Threshold Summary'!$M:$M,"")</f>
        <v/>
      </c>
      <c r="C825" s="3">
        <f>XLOOKUP($Q825,'Threshold Summary'!$Y:$Y,'Threshold Summary'!$N:$N,"")</f>
        <v/>
      </c>
      <c r="D825" s="3">
        <f>IFERROR(INDEX(FILTER('Learnset Editor'!$D$2:$D,'Learnset Editor'!$A$2:$A=XLOOKUP($Q825,'Threshold Summary'!$Y:$Y,'Threshold Summary'!$K:$K,""),'Learnset Editor'!$C$2:$C&lt;=XLOOKUP($Q825,'Threshold Summary'!$Y:$Y,'Threshold Summary'!$L:$L,"")),$R825),"")</f>
        <v/>
      </c>
      <c r="E825" s="3">
        <f>XLOOKUP(D825,'Move Editor'!$B:$B,'Move Editor'!$C:$C,"")</f>
        <v/>
      </c>
      <c r="F825" s="3">
        <f>XLOOKUP(D825,'Move Editor'!$B:$B,'Move Editor'!$D:$D,"")</f>
        <v/>
      </c>
      <c r="G825" s="3">
        <f>XLOOKUP(D825,'Move Editor'!$B:$B,'Move Editor'!$E:$E,0)</f>
        <v/>
      </c>
      <c r="H825" s="3">
        <f>XLOOKUP(D825,'Move Editor'!$B:$B,'Move Editor'!$F:$F,0)</f>
        <v/>
      </c>
      <c r="I825" s="3">
        <f>(INDEX('Type Chart'!$B:$S,MATCH(E825,'Type Chart'!$A:$A,0),MATCH(XLOOKUP('Boss Editor'!$C$4,'Pokemon Editor'!$A:$A,'Pokemon Editor'!$C:$C,""),'Type Chart'!$B$1:$S$1,0))*IF(XLOOKUP('Boss Editor'!$C$4,'Pokemon Editor'!$A:$A,'Pokemon Editor'!$D:$D,"")="",1,INDEX('Type Chart'!$B:$S,MATCH(E825,'Type Chart'!$A:$A,0),MATCH(XLOOKUP('Boss Editor'!$C$4,'Pokemon Editor'!$A:$A,'Pokemon Editor'!$D:$D,""),'Type Chart'!$B$1:$S$1,0))))</f>
        <v/>
      </c>
      <c r="J825" s="3">
        <f>IFERROR(LET(mtype,XLOOKUP($D825,'Move Editor'!$B:$B,'Move Editor'!$C:$C,""),cat,XLOOKUP($D825,'Move Editor'!$B:$B,'Move Editor'!$D:$D,""),pow,XLOOKUP($D825,'Move Editor'!$B:$B,'Move Editor'!$E:$E,0),acc,XLOOKUP($D825,'Move Editor'!$B:$B,'Move Editor'!$F:$F,100),atk,IF(cat="Physical",FLOOR((FLOOR(((2*XLOOKUP(XLOOKUP($Q825,'Threshold Summary'!$Y:$Y,'Threshold Summary'!$K:$K,""),'Pokemon Editor'!$A:$A,'Pokemon Editor'!$F:$F,0)+31+FLOOR(XLOOKUP($Q825,'Threshold Summary'!$Y:$Y,'Threshold Summary'!$P:$P,"")/4))*XLOOKUP($Q825,'Threshold Summary'!$Y:$Y,'Threshold Summary'!$L:$L,""))/100)+5)*XLOOKUP(XLOOKUP($Q825,'Threshold Summary'!$Y:$Y,'Threshold Summary'!$M:$M,""),'Nature Editor'!$A:$A,'Nature Editor'!$B:$B,1)),FLOOR((FLOOR(((2*XLOOKUP(XLOOKUP($Q825,'Threshold Summary'!$Y:$Y,'Threshold Summary'!$K:$K,""),'Pokemon Editor'!$A:$A,'Pokemon Editor'!$H:$H,0)+31+FLOOR(XLOOKUP($Q825,'Threshold Summary'!$Y:$Y,'Threshold Summary'!$R:$R,"")/4))*XLOOKUP($Q825,'Threshold Summary'!$Y:$Y,'Threshold Summary'!$L:$L,""))/100)+5)*XLOOKUP(XLOOKUP($Q825,'Threshold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Editor'!$E:$E,1))),stab,IF(OR(mtype=XLOOKUP(XLOOKUP($Q825,'Threshold Summary'!$Y:$Y,'Threshold Summary'!$K:$K,""),'Pokemon Editor'!$A:$A,'Pokemon Editor'!$C:$C,""),mtype=XLOOKUP(XLOOKUP($Q825,'Threshold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Chart'!$B$1:$S$1,0)))),base,IF(OR(cat="Status",pow=0),0,FLOOR(FLOOR(FLOOR((2*XLOOKUP($Q825,'Threshold Summary'!$Y:$Y,'Threshold Summary'!$L:$L,"")/5+2)*pow*atk/def)/50)+2)),modifier,stab*eff,FLOOR(base*modifier*0.85)),0)</f>
        <v/>
      </c>
      <c r="K825" s="3">
        <f>IFERROR(LET(mtype,XLOOKUP($D825,'Move Editor'!$B:$B,'Move Editor'!$C:$C,""),cat,XLOOKUP($D825,'Move Editor'!$B:$B,'Move Editor'!$D:$D,""),pow,XLOOKUP($D825,'Move Editor'!$B:$B,'Move Editor'!$E:$E,0),acc,XLOOKUP($D825,'Move Editor'!$B:$B,'Move Editor'!$F:$F,100),atk,IF(cat="Physical",FLOOR((FLOOR(((2*XLOOKUP(XLOOKUP($Q825,'Threshold Summary'!$Y:$Y,'Threshold Summary'!$K:$K,""),'Pokemon Editor'!$A:$A,'Pokemon Editor'!$F:$F,0)+31+FLOOR(XLOOKUP($Q825,'Threshold Summary'!$Y:$Y,'Threshold Summary'!$P:$P,"")/4))*XLOOKUP($Q825,'Threshold Summary'!$Y:$Y,'Threshold Summary'!$L:$L,""))/100)+5)*XLOOKUP(XLOOKUP($Q825,'Threshold Summary'!$Y:$Y,'Threshold Summary'!$M:$M,""),'Nature Editor'!$A:$A,'Nature Editor'!$B:$B,1)),FLOOR((FLOOR(((2*XLOOKUP(XLOOKUP($Q825,'Threshold Summary'!$Y:$Y,'Threshold Summary'!$K:$K,""),'Pokemon Editor'!$A:$A,'Pokemon Editor'!$H:$H,0)+31+FLOOR(XLOOKUP($Q825,'Threshold Summary'!$Y:$Y,'Threshold Summary'!$R:$R,"")/4))*XLOOKUP($Q825,'Threshold Summary'!$Y:$Y,'Threshold Summary'!$L:$L,""))/100)+5)*XLOOKUP(XLOOKUP($Q825,'Threshold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Editor'!$E:$E,1))),stab,IF(OR(mtype=XLOOKUP(XLOOKUP($Q825,'Threshold Summary'!$Y:$Y,'Threshold Summary'!$K:$K,""),'Pokemon Editor'!$A:$A,'Pokemon Editor'!$C:$C,""),mtype=XLOOKUP(XLOOKUP($Q825,'Threshold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Chart'!$B$1:$S$1,0)))),base,IF(OR(cat="Status",pow=0),0,FLOOR(FLOOR(FLOOR((2*XLOOKUP($Q825,'Threshold Summary'!$Y:$Y,'Threshold Summary'!$L:$L,"")/5+2)*pow*atk/def)/50)+2)),modifier,stab*eff,FLOOR(base*modifier)),0)</f>
        <v/>
      </c>
      <c r="L825" s="3">
        <f>IFERROR(LET(mtype,XLOOKUP($D825,'Move Editor'!$B:$B,'Move Editor'!$C:$C,""),cat,XLOOKUP($D825,'Move Editor'!$B:$B,'Move Editor'!$D:$D,""),pow,XLOOKUP($D825,'Move Editor'!$B:$B,'Move Editor'!$E:$E,0),acc,XLOOKUP($D825,'Move Editor'!$B:$B,'Move Editor'!$F:$F,100),atk,IF(cat="Physical",FLOOR((FLOOR(((2*XLOOKUP(XLOOKUP($Q825,'Threshold Summary'!$Y:$Y,'Threshold Summary'!$K:$K,""),'Pokemon Editor'!$A:$A,'Pokemon Editor'!$F:$F,0)+31+FLOOR(XLOOKUP($Q825,'Threshold Summary'!$Y:$Y,'Threshold Summary'!$P:$P,"")/4))*XLOOKUP($Q825,'Threshold Summary'!$Y:$Y,'Threshold Summary'!$L:$L,""))/100)+5)*XLOOKUP(XLOOKUP($Q825,'Threshold Summary'!$Y:$Y,'Threshold Summary'!$M:$M,""),'Nature Editor'!$A:$A,'Nature Editor'!$B:$B,1)),FLOOR((FLOOR(((2*XLOOKUP(XLOOKUP($Q825,'Threshold Summary'!$Y:$Y,'Threshold Summary'!$K:$K,""),'Pokemon Editor'!$A:$A,'Pokemon Editor'!$H:$H,0)+31+FLOOR(XLOOKUP($Q825,'Threshold Summary'!$Y:$Y,'Threshold Summary'!$R:$R,"")/4))*XLOOKUP($Q825,'Threshold Summary'!$Y:$Y,'Threshold Summary'!$L:$L,""))/100)+5)*XLOOKUP(XLOOKUP($Q825,'Threshold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Editor'!$E:$E,1))),stab,IF(OR(mtype=XLOOKUP(XLOOKUP($Q825,'Threshold Summary'!$Y:$Y,'Threshold Summary'!$K:$K,""),'Pokemon Editor'!$A:$A,'Pokemon Editor'!$C:$C,""),mtype=XLOOKUP(XLOOKUP($Q825,'Threshold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Chart'!$B$1:$S$1,0)))),base,IF(OR(cat="Status",pow=0),0,FLOOR(FLOOR(FLOOR((2*XLOOKUP($Q825,'Threshold Summary'!$Y:$Y,'Threshold Summary'!$L:$L,"")/5+2)*pow*atk/def)/50)+2)),modifier,stab*eff,AVERAGE(ARRAYFORMULA(FLOOR(base*modifier*SEQUENCE(16,1,85,1)/100)))),0)</f>
        <v/>
      </c>
      <c r="M825" s="3">
        <f>IFERROR(LET(mtype,XLOOKUP($D825,'Move Editor'!$B:$B,'Move Editor'!$C:$C,""),cat,XLOOKUP($D825,'Move Editor'!$B:$B,'Move Editor'!$D:$D,""),pow,XLOOKUP($D825,'Move Editor'!$B:$B,'Move Editor'!$E:$E,0),acc,XLOOKUP($D825,'Move Editor'!$B:$B,'Move Editor'!$F:$F,100),atk,IF(cat="Physical",FLOOR((FLOOR(((2*XLOOKUP(XLOOKUP($Q825,'Threshold Summary'!$Y:$Y,'Threshold Summary'!$K:$K,""),'Pokemon Editor'!$A:$A,'Pokemon Editor'!$F:$F,0)+31+FLOOR(XLOOKUP($Q825,'Threshold Summary'!$Y:$Y,'Threshold Summary'!$P:$P,"")/4))*XLOOKUP($Q825,'Threshold Summary'!$Y:$Y,'Threshold Summary'!$L:$L,""))/100)+5)*XLOOKUP(XLOOKUP($Q825,'Threshold Summary'!$Y:$Y,'Threshold Summary'!$M:$M,""),'Nature Editor'!$A:$A,'Nature Editor'!$B:$B,1)),FLOOR((FLOOR(((2*XLOOKUP(XLOOKUP($Q825,'Threshold Summary'!$Y:$Y,'Threshold Summary'!$K:$K,""),'Pokemon Editor'!$A:$A,'Pokemon Editor'!$H:$H,0)+31+FLOOR(XLOOKUP($Q825,'Threshold Summary'!$Y:$Y,'Threshold Summary'!$R:$R,"")/4))*XLOOKUP($Q825,'Threshold Summary'!$Y:$Y,'Threshold Summary'!$L:$L,""))/100)+5)*XLOOKUP(XLOOKUP($Q825,'Threshold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Editor'!$E:$E,1))),stab,IF(OR(mtype=XLOOKUP(XLOOKUP($Q825,'Threshold Summary'!$Y:$Y,'Threshold Summary'!$K:$K,""),'Pokemon Editor'!$A:$A,'Pokemon Editor'!$C:$C,""),mtype=XLOOKUP(XLOOKUP($Q825,'Threshold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Chart'!$B$1:$S$1,0)))),base,IF(OR(cat="Status",pow=0),0,FLOOR(FLOOR(FLOOR((2*XLOOKUP($Q825,'Threshold Summary'!$Y:$Y,'Threshold Summary'!$L:$L,"")/5+2)*pow*atk/def)/50)+2)),modifier,stab*eff,AVERAGE(ARRAYFORMULA(FLOOR(base*modifier*SEQUENCE(16,1,85,1)/100)))*MIN(1,acc/100)),0)</f>
        <v/>
      </c>
      <c r="N825" s="4">
        <f>IFERROR(LET(mtype,XLOOKUP($D825,'Move Editor'!$B:$B,'Move Editor'!$C:$C,""),cat,XLOOKUP($D825,'Move Editor'!$B:$B,'Move Editor'!$D:$D,""),pow,XLOOKUP($D825,'Move Editor'!$B:$B,'Move Editor'!$E:$E,0),acc,XLOOKUP($D825,'Move Editor'!$B:$B,'Move Editor'!$F:$F,100),atk,IF(cat="Physical",FLOOR((FLOOR(((2*XLOOKUP(XLOOKUP($Q825,'Threshold Summary'!$Y:$Y,'Threshold Summary'!$K:$K,""),'Pokemon Editor'!$A:$A,'Pokemon Editor'!$F:$F,0)+31+FLOOR(XLOOKUP($Q825,'Threshold Summary'!$Y:$Y,'Threshold Summary'!$P:$P,"")/4))*XLOOKUP($Q825,'Threshold Summary'!$Y:$Y,'Threshold Summary'!$L:$L,""))/100)+5)*XLOOKUP(XLOOKUP($Q825,'Threshold Summary'!$Y:$Y,'Threshold Summary'!$M:$M,""),'Nature Editor'!$A:$A,'Nature Editor'!$B:$B,1)),FLOOR((FLOOR(((2*XLOOKUP(XLOOKUP($Q825,'Threshold Summary'!$Y:$Y,'Threshold Summary'!$K:$K,""),'Pokemon Editor'!$A:$A,'Pokemon Editor'!$H:$H,0)+31+FLOOR(XLOOKUP($Q825,'Threshold Summary'!$Y:$Y,'Threshold Summary'!$R:$R,"")/4))*XLOOKUP($Q825,'Threshold Summary'!$Y:$Y,'Threshold Summary'!$L:$L,""))/100)+5)*XLOOKUP(XLOOKUP($Q825,'Threshold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Editor'!$E:$E,1))),stab,IF(OR(mtype=XLOOKUP(XLOOKUP($Q825,'Threshold Summary'!$Y:$Y,'Threshold Summary'!$K:$K,""),'Pokemon Editor'!$A:$A,'Pokemon Editor'!$C:$C,""),mtype=XLOOKUP(XLOOKUP($Q825,'Threshold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Chart'!$B$1:$S$1,0)))),base,IF(OR(cat="Status",pow=0),0,FLOOR(FLOOR(FLOOR((2*XLOOKUP($Q825,'Threshold Summary'!$Y:$Y,'Threshold Summary'!$L:$L,"")/5+2)*pow*atk/def)/50)+2)),modifier,stab*eff,AVERAGE(ARRAYFORMULA(FLOOR(base*modifier*SEQUENCE(16,1,85,1)/100)))/(FLOOR(((2*XLOOKUP('Boss Editor'!$C$4,'Pokemon Editor'!$A:$A,'Pokemon Editor'!$E:$E,0)+31+FLOOR('Boss Editor'!$G$4/4))*'Boss Editor'!$D$4)/100)+'Boss Editor'!$D$4+10)),0)</f>
        <v/>
      </c>
      <c r="O825" s="3">
        <f>IF(N825&gt;=1,"OHKO",IF(N825&gt;=0.5,"2HKO",IF(N825&gt;=0.333,"3HKO",IF(N825&gt;=0.25,"4HKO","5HKO+"))))</f>
        <v/>
      </c>
      <c r="P825" s="3" t="inlineStr">
        <is>
          <t>Live from editable databases</t>
        </is>
      </c>
      <c r="Q825" s="3" t="inlineStr">
        <is>
          <t>SPECIES_BLIPBUG</t>
        </is>
      </c>
      <c r="R825" s="3" t="n">
        <v>24</v>
      </c>
    </row>
    <row r="826">
      <c r="A826" s="3">
        <f>XLOOKUP($Q826,'Threshold Summary'!$Y:$Y,'Threshold Summary'!$A:$A,"")</f>
        <v/>
      </c>
      <c r="B826" s="3">
        <f>XLOOKUP($Q826,'Threshold Summary'!$Y:$Y,'Threshold Summary'!$M:$M,"")</f>
        <v/>
      </c>
      <c r="C826" s="3">
        <f>XLOOKUP($Q826,'Threshold Summary'!$Y:$Y,'Threshold Summary'!$N:$N,"")</f>
        <v/>
      </c>
      <c r="D826" s="3">
        <f>IFERROR(INDEX(FILTER('Learnset Editor'!$D$2:$D,'Learnset Editor'!$A$2:$A=XLOOKUP($Q826,'Threshold Summary'!$Y:$Y,'Threshold Summary'!$K:$K,""),'Learnset Editor'!$C$2:$C&lt;=XLOOKUP($Q826,'Threshold Summary'!$Y:$Y,'Threshold Summary'!$L:$L,"")),$R826),"")</f>
        <v/>
      </c>
      <c r="E826" s="3">
        <f>XLOOKUP(D826,'Move Editor'!$B:$B,'Move Editor'!$C:$C,"")</f>
        <v/>
      </c>
      <c r="F826" s="3">
        <f>XLOOKUP(D826,'Move Editor'!$B:$B,'Move Editor'!$D:$D,"")</f>
        <v/>
      </c>
      <c r="G826" s="3">
        <f>XLOOKUP(D826,'Move Editor'!$B:$B,'Move Editor'!$E:$E,0)</f>
        <v/>
      </c>
      <c r="H826" s="3">
        <f>XLOOKUP(D826,'Move Editor'!$B:$B,'Move Editor'!$F:$F,0)</f>
        <v/>
      </c>
      <c r="I826" s="3">
        <f>(INDEX('Type Chart'!$B:$S,MATCH(E826,'Type Chart'!$A:$A,0),MATCH(XLOOKUP('Boss Editor'!$C$4,'Pokemon Editor'!$A:$A,'Pokemon Editor'!$C:$C,""),'Type Chart'!$B$1:$S$1,0))*IF(XLOOKUP('Boss Editor'!$C$4,'Pokemon Editor'!$A:$A,'Pokemon Editor'!$D:$D,"")="",1,INDEX('Type Chart'!$B:$S,MATCH(E826,'Type Chart'!$A:$A,0),MATCH(XLOOKUP('Boss Editor'!$C$4,'Pokemon Editor'!$A:$A,'Pokemon Editor'!$D:$D,""),'Type Chart'!$B$1:$S$1,0))))</f>
        <v/>
      </c>
      <c r="J826" s="3">
        <f>IFERROR(LET(mtype,XLOOKUP($D826,'Move Editor'!$B:$B,'Move Editor'!$C:$C,""),cat,XLOOKUP($D826,'Move Editor'!$B:$B,'Move Editor'!$D:$D,""),pow,XLOOKUP($D826,'Move Editor'!$B:$B,'Move Editor'!$E:$E,0),acc,XLOOKUP($D826,'Move Editor'!$B:$B,'Move Editor'!$F:$F,100),atk,IF(cat="Physical",FLOOR((FLOOR(((2*XLOOKUP(XLOOKUP($Q826,'Threshold Summary'!$Y:$Y,'Threshold Summary'!$K:$K,""),'Pokemon Editor'!$A:$A,'Pokemon Editor'!$F:$F,0)+31+FLOOR(XLOOKUP($Q826,'Threshold Summary'!$Y:$Y,'Threshold Summary'!$P:$P,"")/4))*XLOOKUP($Q826,'Threshold Summary'!$Y:$Y,'Threshold Summary'!$L:$L,""))/100)+5)*XLOOKUP(XLOOKUP($Q826,'Threshold Summary'!$Y:$Y,'Threshold Summary'!$M:$M,""),'Nature Editor'!$A:$A,'Nature Editor'!$B:$B,1)),FLOOR((FLOOR(((2*XLOOKUP(XLOOKUP($Q826,'Threshold Summary'!$Y:$Y,'Threshold Summary'!$K:$K,""),'Pokemon Editor'!$A:$A,'Pokemon Editor'!$H:$H,0)+31+FLOOR(XLOOKUP($Q826,'Threshold Summary'!$Y:$Y,'Threshold Summary'!$R:$R,"")/4))*XLOOKUP($Q826,'Threshold Summary'!$Y:$Y,'Threshold Summary'!$L:$L,""))/100)+5)*XLOOKUP(XLOOKUP($Q826,'Threshold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Editor'!$E:$E,1))),stab,IF(OR(mtype=XLOOKUP(XLOOKUP($Q826,'Threshold Summary'!$Y:$Y,'Threshold Summary'!$K:$K,""),'Pokemon Editor'!$A:$A,'Pokemon Editor'!$C:$C,""),mtype=XLOOKUP(XLOOKUP($Q826,'Threshold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Chart'!$B$1:$S$1,0)))),base,IF(OR(cat="Status",pow=0),0,FLOOR(FLOOR(FLOOR((2*XLOOKUP($Q826,'Threshold Summary'!$Y:$Y,'Threshold Summary'!$L:$L,"")/5+2)*pow*atk/def)/50)+2)),modifier,stab*eff,FLOOR(base*modifier*0.85)),0)</f>
        <v/>
      </c>
      <c r="K826" s="3">
        <f>IFERROR(LET(mtype,XLOOKUP($D826,'Move Editor'!$B:$B,'Move Editor'!$C:$C,""),cat,XLOOKUP($D826,'Move Editor'!$B:$B,'Move Editor'!$D:$D,""),pow,XLOOKUP($D826,'Move Editor'!$B:$B,'Move Editor'!$E:$E,0),acc,XLOOKUP($D826,'Move Editor'!$B:$B,'Move Editor'!$F:$F,100),atk,IF(cat="Physical",FLOOR((FLOOR(((2*XLOOKUP(XLOOKUP($Q826,'Threshold Summary'!$Y:$Y,'Threshold Summary'!$K:$K,""),'Pokemon Editor'!$A:$A,'Pokemon Editor'!$F:$F,0)+31+FLOOR(XLOOKUP($Q826,'Threshold Summary'!$Y:$Y,'Threshold Summary'!$P:$P,"")/4))*XLOOKUP($Q826,'Threshold Summary'!$Y:$Y,'Threshold Summary'!$L:$L,""))/100)+5)*XLOOKUP(XLOOKUP($Q826,'Threshold Summary'!$Y:$Y,'Threshold Summary'!$M:$M,""),'Nature Editor'!$A:$A,'Nature Editor'!$B:$B,1)),FLOOR((FLOOR(((2*XLOOKUP(XLOOKUP($Q826,'Threshold Summary'!$Y:$Y,'Threshold Summary'!$K:$K,""),'Pokemon Editor'!$A:$A,'Pokemon Editor'!$H:$H,0)+31+FLOOR(XLOOKUP($Q826,'Threshold Summary'!$Y:$Y,'Threshold Summary'!$R:$R,"")/4))*XLOOKUP($Q826,'Threshold Summary'!$Y:$Y,'Threshold Summary'!$L:$L,""))/100)+5)*XLOOKUP(XLOOKUP($Q826,'Threshold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Editor'!$E:$E,1))),stab,IF(OR(mtype=XLOOKUP(XLOOKUP($Q826,'Threshold Summary'!$Y:$Y,'Threshold Summary'!$K:$K,""),'Pokemon Editor'!$A:$A,'Pokemon Editor'!$C:$C,""),mtype=XLOOKUP(XLOOKUP($Q826,'Threshold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Chart'!$B$1:$S$1,0)))),base,IF(OR(cat="Status",pow=0),0,FLOOR(FLOOR(FLOOR((2*XLOOKUP($Q826,'Threshold Summary'!$Y:$Y,'Threshold Summary'!$L:$L,"")/5+2)*pow*atk/def)/50)+2)),modifier,stab*eff,FLOOR(base*modifier)),0)</f>
        <v/>
      </c>
      <c r="L826" s="3">
        <f>IFERROR(LET(mtype,XLOOKUP($D826,'Move Editor'!$B:$B,'Move Editor'!$C:$C,""),cat,XLOOKUP($D826,'Move Editor'!$B:$B,'Move Editor'!$D:$D,""),pow,XLOOKUP($D826,'Move Editor'!$B:$B,'Move Editor'!$E:$E,0),acc,XLOOKUP($D826,'Move Editor'!$B:$B,'Move Editor'!$F:$F,100),atk,IF(cat="Physical",FLOOR((FLOOR(((2*XLOOKUP(XLOOKUP($Q826,'Threshold Summary'!$Y:$Y,'Threshold Summary'!$K:$K,""),'Pokemon Editor'!$A:$A,'Pokemon Editor'!$F:$F,0)+31+FLOOR(XLOOKUP($Q826,'Threshold Summary'!$Y:$Y,'Threshold Summary'!$P:$P,"")/4))*XLOOKUP($Q826,'Threshold Summary'!$Y:$Y,'Threshold Summary'!$L:$L,""))/100)+5)*XLOOKUP(XLOOKUP($Q826,'Threshold Summary'!$Y:$Y,'Threshold Summary'!$M:$M,""),'Nature Editor'!$A:$A,'Nature Editor'!$B:$B,1)),FLOOR((FLOOR(((2*XLOOKUP(XLOOKUP($Q826,'Threshold Summary'!$Y:$Y,'Threshold Summary'!$K:$K,""),'Pokemon Editor'!$A:$A,'Pokemon Editor'!$H:$H,0)+31+FLOOR(XLOOKUP($Q826,'Threshold Summary'!$Y:$Y,'Threshold Summary'!$R:$R,"")/4))*XLOOKUP($Q826,'Threshold Summary'!$Y:$Y,'Threshold Summary'!$L:$L,""))/100)+5)*XLOOKUP(XLOOKUP($Q826,'Threshold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Editor'!$E:$E,1))),stab,IF(OR(mtype=XLOOKUP(XLOOKUP($Q826,'Threshold Summary'!$Y:$Y,'Threshold Summary'!$K:$K,""),'Pokemon Editor'!$A:$A,'Pokemon Editor'!$C:$C,""),mtype=XLOOKUP(XLOOKUP($Q826,'Threshold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Chart'!$B$1:$S$1,0)))),base,IF(OR(cat="Status",pow=0),0,FLOOR(FLOOR(FLOOR((2*XLOOKUP($Q826,'Threshold Summary'!$Y:$Y,'Threshold Summary'!$L:$L,"")/5+2)*pow*atk/def)/50)+2)),modifier,stab*eff,AVERAGE(ARRAYFORMULA(FLOOR(base*modifier*SEQUENCE(16,1,85,1)/100)))),0)</f>
        <v/>
      </c>
      <c r="M826" s="3">
        <f>IFERROR(LET(mtype,XLOOKUP($D826,'Move Editor'!$B:$B,'Move Editor'!$C:$C,""),cat,XLOOKUP($D826,'Move Editor'!$B:$B,'Move Editor'!$D:$D,""),pow,XLOOKUP($D826,'Move Editor'!$B:$B,'Move Editor'!$E:$E,0),acc,XLOOKUP($D826,'Move Editor'!$B:$B,'Move Editor'!$F:$F,100),atk,IF(cat="Physical",FLOOR((FLOOR(((2*XLOOKUP(XLOOKUP($Q826,'Threshold Summary'!$Y:$Y,'Threshold Summary'!$K:$K,""),'Pokemon Editor'!$A:$A,'Pokemon Editor'!$F:$F,0)+31+FLOOR(XLOOKUP($Q826,'Threshold Summary'!$Y:$Y,'Threshold Summary'!$P:$P,"")/4))*XLOOKUP($Q826,'Threshold Summary'!$Y:$Y,'Threshold Summary'!$L:$L,""))/100)+5)*XLOOKUP(XLOOKUP($Q826,'Threshold Summary'!$Y:$Y,'Threshold Summary'!$M:$M,""),'Nature Editor'!$A:$A,'Nature Editor'!$B:$B,1)),FLOOR((FLOOR(((2*XLOOKUP(XLOOKUP($Q826,'Threshold Summary'!$Y:$Y,'Threshold Summary'!$K:$K,""),'Pokemon Editor'!$A:$A,'Pokemon Editor'!$H:$H,0)+31+FLOOR(XLOOKUP($Q826,'Threshold Summary'!$Y:$Y,'Threshold Summary'!$R:$R,"")/4))*XLOOKUP($Q826,'Threshold Summary'!$Y:$Y,'Threshold Summary'!$L:$L,""))/100)+5)*XLOOKUP(XLOOKUP($Q826,'Threshold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Editor'!$E:$E,1))),stab,IF(OR(mtype=XLOOKUP(XLOOKUP($Q826,'Threshold Summary'!$Y:$Y,'Threshold Summary'!$K:$K,""),'Pokemon Editor'!$A:$A,'Pokemon Editor'!$C:$C,""),mtype=XLOOKUP(XLOOKUP($Q826,'Threshold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Chart'!$B$1:$S$1,0)))),base,IF(OR(cat="Status",pow=0),0,FLOOR(FLOOR(FLOOR((2*XLOOKUP($Q826,'Threshold Summary'!$Y:$Y,'Threshold Summary'!$L:$L,"")/5+2)*pow*atk/def)/50)+2)),modifier,stab*eff,AVERAGE(ARRAYFORMULA(FLOOR(base*modifier*SEQUENCE(16,1,85,1)/100)))*MIN(1,acc/100)),0)</f>
        <v/>
      </c>
      <c r="N826" s="4">
        <f>IFERROR(LET(mtype,XLOOKUP($D826,'Move Editor'!$B:$B,'Move Editor'!$C:$C,""),cat,XLOOKUP($D826,'Move Editor'!$B:$B,'Move Editor'!$D:$D,""),pow,XLOOKUP($D826,'Move Editor'!$B:$B,'Move Editor'!$E:$E,0),acc,XLOOKUP($D826,'Move Editor'!$B:$B,'Move Editor'!$F:$F,100),atk,IF(cat="Physical",FLOOR((FLOOR(((2*XLOOKUP(XLOOKUP($Q826,'Threshold Summary'!$Y:$Y,'Threshold Summary'!$K:$K,""),'Pokemon Editor'!$A:$A,'Pokemon Editor'!$F:$F,0)+31+FLOOR(XLOOKUP($Q826,'Threshold Summary'!$Y:$Y,'Threshold Summary'!$P:$P,"")/4))*XLOOKUP($Q826,'Threshold Summary'!$Y:$Y,'Threshold Summary'!$L:$L,""))/100)+5)*XLOOKUP(XLOOKUP($Q826,'Threshold Summary'!$Y:$Y,'Threshold Summary'!$M:$M,""),'Nature Editor'!$A:$A,'Nature Editor'!$B:$B,1)),FLOOR((FLOOR(((2*XLOOKUP(XLOOKUP($Q826,'Threshold Summary'!$Y:$Y,'Threshold Summary'!$K:$K,""),'Pokemon Editor'!$A:$A,'Pokemon Editor'!$H:$H,0)+31+FLOOR(XLOOKUP($Q826,'Threshold Summary'!$Y:$Y,'Threshold Summary'!$R:$R,"")/4))*XLOOKUP($Q826,'Threshold Summary'!$Y:$Y,'Threshold Summary'!$L:$L,""))/100)+5)*XLOOKUP(XLOOKUP($Q826,'Threshold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Editor'!$E:$E,1))),stab,IF(OR(mtype=XLOOKUP(XLOOKUP($Q826,'Threshold Summary'!$Y:$Y,'Threshold Summary'!$K:$K,""),'Pokemon Editor'!$A:$A,'Pokemon Editor'!$C:$C,""),mtype=XLOOKUP(XLOOKUP($Q826,'Threshold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Chart'!$B$1:$S$1,0)))),base,IF(OR(cat="Status",pow=0),0,FLOOR(FLOOR(FLOOR((2*XLOOKUP($Q826,'Threshold Summary'!$Y:$Y,'Threshold Summary'!$L:$L,"")/5+2)*pow*atk/def)/50)+2)),modifier,stab*eff,AVERAGE(ARRAYFORMULA(FLOOR(base*modifier*SEQUENCE(16,1,85,1)/100)))/(FLOOR(((2*XLOOKUP('Boss Editor'!$C$4,'Pokemon Editor'!$A:$A,'Pokemon Editor'!$E:$E,0)+31+FLOOR('Boss Editor'!$G$4/4))*'Boss Editor'!$D$4)/100)+'Boss Editor'!$D$4+10)),0)</f>
        <v/>
      </c>
      <c r="O826" s="3">
        <f>IF(N826&gt;=1,"OHKO",IF(N826&gt;=0.5,"2HKO",IF(N826&gt;=0.333,"3HKO",IF(N826&gt;=0.25,"4HKO","5HKO+"))))</f>
        <v/>
      </c>
      <c r="P826" s="3" t="inlineStr">
        <is>
          <t>Live from editable databases</t>
        </is>
      </c>
      <c r="Q826" s="3" t="inlineStr">
        <is>
          <t>SPECIES_BLIPBUG</t>
        </is>
      </c>
      <c r="R826" s="3" t="n">
        <v>25</v>
      </c>
    </row>
    <row r="827">
      <c r="A827" s="3">
        <f>XLOOKUP($Q827,'Threshold Summary'!$Y:$Y,'Threshold Summary'!$A:$A,"")</f>
        <v/>
      </c>
      <c r="B827" s="3">
        <f>XLOOKUP($Q827,'Threshold Summary'!$Y:$Y,'Threshold Summary'!$M:$M,"")</f>
        <v/>
      </c>
      <c r="C827" s="3">
        <f>XLOOKUP($Q827,'Threshold Summary'!$Y:$Y,'Threshold Summary'!$N:$N,"")</f>
        <v/>
      </c>
      <c r="D827" s="3">
        <f>IFERROR(INDEX(FILTER('Learnset Editor'!$D$2:$D,'Learnset Editor'!$A$2:$A=XLOOKUP($Q827,'Threshold Summary'!$Y:$Y,'Threshold Summary'!$K:$K,""),'Learnset Editor'!$C$2:$C&lt;=XLOOKUP($Q827,'Threshold Summary'!$Y:$Y,'Threshold Summary'!$L:$L,"")),$R827),"")</f>
        <v/>
      </c>
      <c r="E827" s="3">
        <f>XLOOKUP(D827,'Move Editor'!$B:$B,'Move Editor'!$C:$C,"")</f>
        <v/>
      </c>
      <c r="F827" s="3">
        <f>XLOOKUP(D827,'Move Editor'!$B:$B,'Move Editor'!$D:$D,"")</f>
        <v/>
      </c>
      <c r="G827" s="3">
        <f>XLOOKUP(D827,'Move Editor'!$B:$B,'Move Editor'!$E:$E,0)</f>
        <v/>
      </c>
      <c r="H827" s="3">
        <f>XLOOKUP(D827,'Move Editor'!$B:$B,'Move Editor'!$F:$F,0)</f>
        <v/>
      </c>
      <c r="I827" s="3">
        <f>(INDEX('Type Chart'!$B:$S,MATCH(E827,'Type Chart'!$A:$A,0),MATCH(XLOOKUP('Boss Editor'!$C$4,'Pokemon Editor'!$A:$A,'Pokemon Editor'!$C:$C,""),'Type Chart'!$B$1:$S$1,0))*IF(XLOOKUP('Boss Editor'!$C$4,'Pokemon Editor'!$A:$A,'Pokemon Editor'!$D:$D,"")="",1,INDEX('Type Chart'!$B:$S,MATCH(E827,'Type Chart'!$A:$A,0),MATCH(XLOOKUP('Boss Editor'!$C$4,'Pokemon Editor'!$A:$A,'Pokemon Editor'!$D:$D,""),'Type Chart'!$B$1:$S$1,0))))</f>
        <v/>
      </c>
      <c r="J827" s="3">
        <f>IFERROR(LET(mtype,XLOOKUP($D827,'Move Editor'!$B:$B,'Move Editor'!$C:$C,""),cat,XLOOKUP($D827,'Move Editor'!$B:$B,'Move Editor'!$D:$D,""),pow,XLOOKUP($D827,'Move Editor'!$B:$B,'Move Editor'!$E:$E,0),acc,XLOOKUP($D827,'Move Editor'!$B:$B,'Move Editor'!$F:$F,100),atk,IF(cat="Physical",FLOOR((FLOOR(((2*XLOOKUP(XLOOKUP($Q827,'Threshold Summary'!$Y:$Y,'Threshold Summary'!$K:$K,""),'Pokemon Editor'!$A:$A,'Pokemon Editor'!$F:$F,0)+31+FLOOR(XLOOKUP($Q827,'Threshold Summary'!$Y:$Y,'Threshold Summary'!$P:$P,"")/4))*XLOOKUP($Q827,'Threshold Summary'!$Y:$Y,'Threshold Summary'!$L:$L,""))/100)+5)*XLOOKUP(XLOOKUP($Q827,'Threshold Summary'!$Y:$Y,'Threshold Summary'!$M:$M,""),'Nature Editor'!$A:$A,'Nature Editor'!$B:$B,1)),FLOOR((FLOOR(((2*XLOOKUP(XLOOKUP($Q827,'Threshold Summary'!$Y:$Y,'Threshold Summary'!$K:$K,""),'Pokemon Editor'!$A:$A,'Pokemon Editor'!$H:$H,0)+31+FLOOR(XLOOKUP($Q827,'Threshold Summary'!$Y:$Y,'Threshold Summary'!$R:$R,"")/4))*XLOOKUP($Q827,'Threshold Summary'!$Y:$Y,'Threshold Summary'!$L:$L,""))/100)+5)*XLOOKUP(XLOOKUP($Q827,'Threshold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Editor'!$E:$E,1))),stab,IF(OR(mtype=XLOOKUP(XLOOKUP($Q827,'Threshold Summary'!$Y:$Y,'Threshold Summary'!$K:$K,""),'Pokemon Editor'!$A:$A,'Pokemon Editor'!$C:$C,""),mtype=XLOOKUP(XLOOKUP($Q827,'Threshold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Chart'!$B$1:$S$1,0)))),base,IF(OR(cat="Status",pow=0),0,FLOOR(FLOOR(FLOOR((2*XLOOKUP($Q827,'Threshold Summary'!$Y:$Y,'Threshold Summary'!$L:$L,"")/5+2)*pow*atk/def)/50)+2)),modifier,stab*eff,FLOOR(base*modifier*0.85)),0)</f>
        <v/>
      </c>
      <c r="K827" s="3">
        <f>IFERROR(LET(mtype,XLOOKUP($D827,'Move Editor'!$B:$B,'Move Editor'!$C:$C,""),cat,XLOOKUP($D827,'Move Editor'!$B:$B,'Move Editor'!$D:$D,""),pow,XLOOKUP($D827,'Move Editor'!$B:$B,'Move Editor'!$E:$E,0),acc,XLOOKUP($D827,'Move Editor'!$B:$B,'Move Editor'!$F:$F,100),atk,IF(cat="Physical",FLOOR((FLOOR(((2*XLOOKUP(XLOOKUP($Q827,'Threshold Summary'!$Y:$Y,'Threshold Summary'!$K:$K,""),'Pokemon Editor'!$A:$A,'Pokemon Editor'!$F:$F,0)+31+FLOOR(XLOOKUP($Q827,'Threshold Summary'!$Y:$Y,'Threshold Summary'!$P:$P,"")/4))*XLOOKUP($Q827,'Threshold Summary'!$Y:$Y,'Threshold Summary'!$L:$L,""))/100)+5)*XLOOKUP(XLOOKUP($Q827,'Threshold Summary'!$Y:$Y,'Threshold Summary'!$M:$M,""),'Nature Editor'!$A:$A,'Nature Editor'!$B:$B,1)),FLOOR((FLOOR(((2*XLOOKUP(XLOOKUP($Q827,'Threshold Summary'!$Y:$Y,'Threshold Summary'!$K:$K,""),'Pokemon Editor'!$A:$A,'Pokemon Editor'!$H:$H,0)+31+FLOOR(XLOOKUP($Q827,'Threshold Summary'!$Y:$Y,'Threshold Summary'!$R:$R,"")/4))*XLOOKUP($Q827,'Threshold Summary'!$Y:$Y,'Threshold Summary'!$L:$L,""))/100)+5)*XLOOKUP(XLOOKUP($Q827,'Threshold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Editor'!$E:$E,1))),stab,IF(OR(mtype=XLOOKUP(XLOOKUP($Q827,'Threshold Summary'!$Y:$Y,'Threshold Summary'!$K:$K,""),'Pokemon Editor'!$A:$A,'Pokemon Editor'!$C:$C,""),mtype=XLOOKUP(XLOOKUP($Q827,'Threshold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Chart'!$B$1:$S$1,0)))),base,IF(OR(cat="Status",pow=0),0,FLOOR(FLOOR(FLOOR((2*XLOOKUP($Q827,'Threshold Summary'!$Y:$Y,'Threshold Summary'!$L:$L,"")/5+2)*pow*atk/def)/50)+2)),modifier,stab*eff,FLOOR(base*modifier)),0)</f>
        <v/>
      </c>
      <c r="L827" s="3">
        <f>IFERROR(LET(mtype,XLOOKUP($D827,'Move Editor'!$B:$B,'Move Editor'!$C:$C,""),cat,XLOOKUP($D827,'Move Editor'!$B:$B,'Move Editor'!$D:$D,""),pow,XLOOKUP($D827,'Move Editor'!$B:$B,'Move Editor'!$E:$E,0),acc,XLOOKUP($D827,'Move Editor'!$B:$B,'Move Editor'!$F:$F,100),atk,IF(cat="Physical",FLOOR((FLOOR(((2*XLOOKUP(XLOOKUP($Q827,'Threshold Summary'!$Y:$Y,'Threshold Summary'!$K:$K,""),'Pokemon Editor'!$A:$A,'Pokemon Editor'!$F:$F,0)+31+FLOOR(XLOOKUP($Q827,'Threshold Summary'!$Y:$Y,'Threshold Summary'!$P:$P,"")/4))*XLOOKUP($Q827,'Threshold Summary'!$Y:$Y,'Threshold Summary'!$L:$L,""))/100)+5)*XLOOKUP(XLOOKUP($Q827,'Threshold Summary'!$Y:$Y,'Threshold Summary'!$M:$M,""),'Nature Editor'!$A:$A,'Nature Editor'!$B:$B,1)),FLOOR((FLOOR(((2*XLOOKUP(XLOOKUP($Q827,'Threshold Summary'!$Y:$Y,'Threshold Summary'!$K:$K,""),'Pokemon Editor'!$A:$A,'Pokemon Editor'!$H:$H,0)+31+FLOOR(XLOOKUP($Q827,'Threshold Summary'!$Y:$Y,'Threshold Summary'!$R:$R,"")/4))*XLOOKUP($Q827,'Threshold Summary'!$Y:$Y,'Threshold Summary'!$L:$L,""))/100)+5)*XLOOKUP(XLOOKUP($Q827,'Threshold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Editor'!$E:$E,1))),stab,IF(OR(mtype=XLOOKUP(XLOOKUP($Q827,'Threshold Summary'!$Y:$Y,'Threshold Summary'!$K:$K,""),'Pokemon Editor'!$A:$A,'Pokemon Editor'!$C:$C,""),mtype=XLOOKUP(XLOOKUP($Q827,'Threshold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Chart'!$B$1:$S$1,0)))),base,IF(OR(cat="Status",pow=0),0,FLOOR(FLOOR(FLOOR((2*XLOOKUP($Q827,'Threshold Summary'!$Y:$Y,'Threshold Summary'!$L:$L,"")/5+2)*pow*atk/def)/50)+2)),modifier,stab*eff,AVERAGE(ARRAYFORMULA(FLOOR(base*modifier*SEQUENCE(16,1,85,1)/100)))),0)</f>
        <v/>
      </c>
      <c r="M827" s="3">
        <f>IFERROR(LET(mtype,XLOOKUP($D827,'Move Editor'!$B:$B,'Move Editor'!$C:$C,""),cat,XLOOKUP($D827,'Move Editor'!$B:$B,'Move Editor'!$D:$D,""),pow,XLOOKUP($D827,'Move Editor'!$B:$B,'Move Editor'!$E:$E,0),acc,XLOOKUP($D827,'Move Editor'!$B:$B,'Move Editor'!$F:$F,100),atk,IF(cat="Physical",FLOOR((FLOOR(((2*XLOOKUP(XLOOKUP($Q827,'Threshold Summary'!$Y:$Y,'Threshold Summary'!$K:$K,""),'Pokemon Editor'!$A:$A,'Pokemon Editor'!$F:$F,0)+31+FLOOR(XLOOKUP($Q827,'Threshold Summary'!$Y:$Y,'Threshold Summary'!$P:$P,"")/4))*XLOOKUP($Q827,'Threshold Summary'!$Y:$Y,'Threshold Summary'!$L:$L,""))/100)+5)*XLOOKUP(XLOOKUP($Q827,'Threshold Summary'!$Y:$Y,'Threshold Summary'!$M:$M,""),'Nature Editor'!$A:$A,'Nature Editor'!$B:$B,1)),FLOOR((FLOOR(((2*XLOOKUP(XLOOKUP($Q827,'Threshold Summary'!$Y:$Y,'Threshold Summary'!$K:$K,""),'Pokemon Editor'!$A:$A,'Pokemon Editor'!$H:$H,0)+31+FLOOR(XLOOKUP($Q827,'Threshold Summary'!$Y:$Y,'Threshold Summary'!$R:$R,"")/4))*XLOOKUP($Q827,'Threshold Summary'!$Y:$Y,'Threshold Summary'!$L:$L,""))/100)+5)*XLOOKUP(XLOOKUP($Q827,'Threshold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Editor'!$E:$E,1))),stab,IF(OR(mtype=XLOOKUP(XLOOKUP($Q827,'Threshold Summary'!$Y:$Y,'Threshold Summary'!$K:$K,""),'Pokemon Editor'!$A:$A,'Pokemon Editor'!$C:$C,""),mtype=XLOOKUP(XLOOKUP($Q827,'Threshold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Chart'!$B$1:$S$1,0)))),base,IF(OR(cat="Status",pow=0),0,FLOOR(FLOOR(FLOOR((2*XLOOKUP($Q827,'Threshold Summary'!$Y:$Y,'Threshold Summary'!$L:$L,"")/5+2)*pow*atk/def)/50)+2)),modifier,stab*eff,AVERAGE(ARRAYFORMULA(FLOOR(base*modifier*SEQUENCE(16,1,85,1)/100)))*MIN(1,acc/100)),0)</f>
        <v/>
      </c>
      <c r="N827" s="4">
        <f>IFERROR(LET(mtype,XLOOKUP($D827,'Move Editor'!$B:$B,'Move Editor'!$C:$C,""),cat,XLOOKUP($D827,'Move Editor'!$B:$B,'Move Editor'!$D:$D,""),pow,XLOOKUP($D827,'Move Editor'!$B:$B,'Move Editor'!$E:$E,0),acc,XLOOKUP($D827,'Move Editor'!$B:$B,'Move Editor'!$F:$F,100),atk,IF(cat="Physical",FLOOR((FLOOR(((2*XLOOKUP(XLOOKUP($Q827,'Threshold Summary'!$Y:$Y,'Threshold Summary'!$K:$K,""),'Pokemon Editor'!$A:$A,'Pokemon Editor'!$F:$F,0)+31+FLOOR(XLOOKUP($Q827,'Threshold Summary'!$Y:$Y,'Threshold Summary'!$P:$P,"")/4))*XLOOKUP($Q827,'Threshold Summary'!$Y:$Y,'Threshold Summary'!$L:$L,""))/100)+5)*XLOOKUP(XLOOKUP($Q827,'Threshold Summary'!$Y:$Y,'Threshold Summary'!$M:$M,""),'Nature Editor'!$A:$A,'Nature Editor'!$B:$B,1)),FLOOR((FLOOR(((2*XLOOKUP(XLOOKUP($Q827,'Threshold Summary'!$Y:$Y,'Threshold Summary'!$K:$K,""),'Pokemon Editor'!$A:$A,'Pokemon Editor'!$H:$H,0)+31+FLOOR(XLOOKUP($Q827,'Threshold Summary'!$Y:$Y,'Threshold Summary'!$R:$R,"")/4))*XLOOKUP($Q827,'Threshold Summary'!$Y:$Y,'Threshold Summary'!$L:$L,""))/100)+5)*XLOOKUP(XLOOKUP($Q827,'Threshold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Editor'!$E:$E,1))),stab,IF(OR(mtype=XLOOKUP(XLOOKUP($Q827,'Threshold Summary'!$Y:$Y,'Threshold Summary'!$K:$K,""),'Pokemon Editor'!$A:$A,'Pokemon Editor'!$C:$C,""),mtype=XLOOKUP(XLOOKUP($Q827,'Threshold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Chart'!$B$1:$S$1,0)))),base,IF(OR(cat="Status",pow=0),0,FLOOR(FLOOR(FLOOR((2*XLOOKUP($Q827,'Threshold Summary'!$Y:$Y,'Threshold Summary'!$L:$L,"")/5+2)*pow*atk/def)/50)+2)),modifier,stab*eff,AVERAGE(ARRAYFORMULA(FLOOR(base*modifier*SEQUENCE(16,1,85,1)/100)))/(FLOOR(((2*XLOOKUP('Boss Editor'!$C$4,'Pokemon Editor'!$A:$A,'Pokemon Editor'!$E:$E,0)+31+FLOOR('Boss Editor'!$G$4/4))*'Boss Editor'!$D$4)/100)+'Boss Editor'!$D$4+10)),0)</f>
        <v/>
      </c>
      <c r="O827" s="3">
        <f>IF(N827&gt;=1,"OHKO",IF(N827&gt;=0.5,"2HKO",IF(N827&gt;=0.333,"3HKO",IF(N827&gt;=0.25,"4HKO","5HKO+"))))</f>
        <v/>
      </c>
      <c r="P827" s="3" t="inlineStr">
        <is>
          <t>Live from editable databases</t>
        </is>
      </c>
      <c r="Q827" s="3" t="inlineStr">
        <is>
          <t>SPECIES_BLIPBUG</t>
        </is>
      </c>
      <c r="R827" s="3" t="n">
        <v>26</v>
      </c>
    </row>
    <row r="828">
      <c r="A828" s="3">
        <f>XLOOKUP($Q828,'Threshold Summary'!$Y:$Y,'Threshold Summary'!$A:$A,"")</f>
        <v/>
      </c>
      <c r="B828" s="3">
        <f>XLOOKUP($Q828,'Threshold Summary'!$Y:$Y,'Threshold Summary'!$M:$M,"")</f>
        <v/>
      </c>
      <c r="C828" s="3">
        <f>XLOOKUP($Q828,'Threshold Summary'!$Y:$Y,'Threshold Summary'!$N:$N,"")</f>
        <v/>
      </c>
      <c r="D828" s="3">
        <f>IFERROR(INDEX(FILTER('Learnset Editor'!$D$2:$D,'Learnset Editor'!$A$2:$A=XLOOKUP($Q828,'Threshold Summary'!$Y:$Y,'Threshold Summary'!$K:$K,""),'Learnset Editor'!$C$2:$C&lt;=XLOOKUP($Q828,'Threshold Summary'!$Y:$Y,'Threshold Summary'!$L:$L,"")),$R828),"")</f>
        <v/>
      </c>
      <c r="E828" s="3">
        <f>XLOOKUP(D828,'Move Editor'!$B:$B,'Move Editor'!$C:$C,"")</f>
        <v/>
      </c>
      <c r="F828" s="3">
        <f>XLOOKUP(D828,'Move Editor'!$B:$B,'Move Editor'!$D:$D,"")</f>
        <v/>
      </c>
      <c r="G828" s="3">
        <f>XLOOKUP(D828,'Move Editor'!$B:$B,'Move Editor'!$E:$E,0)</f>
        <v/>
      </c>
      <c r="H828" s="3">
        <f>XLOOKUP(D828,'Move Editor'!$B:$B,'Move Editor'!$F:$F,0)</f>
        <v/>
      </c>
      <c r="I828" s="3">
        <f>(INDEX('Type Chart'!$B:$S,MATCH(E828,'Type Chart'!$A:$A,0),MATCH(XLOOKUP('Boss Editor'!$C$4,'Pokemon Editor'!$A:$A,'Pokemon Editor'!$C:$C,""),'Type Chart'!$B$1:$S$1,0))*IF(XLOOKUP('Boss Editor'!$C$4,'Pokemon Editor'!$A:$A,'Pokemon Editor'!$D:$D,"")="",1,INDEX('Type Chart'!$B:$S,MATCH(E828,'Type Chart'!$A:$A,0),MATCH(XLOOKUP('Boss Editor'!$C$4,'Pokemon Editor'!$A:$A,'Pokemon Editor'!$D:$D,""),'Type Chart'!$B$1:$S$1,0))))</f>
        <v/>
      </c>
      <c r="J828" s="3">
        <f>IFERROR(LET(mtype,XLOOKUP($D828,'Move Editor'!$B:$B,'Move Editor'!$C:$C,""),cat,XLOOKUP($D828,'Move Editor'!$B:$B,'Move Editor'!$D:$D,""),pow,XLOOKUP($D828,'Move Editor'!$B:$B,'Move Editor'!$E:$E,0),acc,XLOOKUP($D828,'Move Editor'!$B:$B,'Move Editor'!$F:$F,100),atk,IF(cat="Physical",FLOOR((FLOOR(((2*XLOOKUP(XLOOKUP($Q828,'Threshold Summary'!$Y:$Y,'Threshold Summary'!$K:$K,""),'Pokemon Editor'!$A:$A,'Pokemon Editor'!$F:$F,0)+31+FLOOR(XLOOKUP($Q828,'Threshold Summary'!$Y:$Y,'Threshold Summary'!$P:$P,"")/4))*XLOOKUP($Q828,'Threshold Summary'!$Y:$Y,'Threshold Summary'!$L:$L,""))/100)+5)*XLOOKUP(XLOOKUP($Q828,'Threshold Summary'!$Y:$Y,'Threshold Summary'!$M:$M,""),'Nature Editor'!$A:$A,'Nature Editor'!$B:$B,1)),FLOOR((FLOOR(((2*XLOOKUP(XLOOKUP($Q828,'Threshold Summary'!$Y:$Y,'Threshold Summary'!$K:$K,""),'Pokemon Editor'!$A:$A,'Pokemon Editor'!$H:$H,0)+31+FLOOR(XLOOKUP($Q828,'Threshold Summary'!$Y:$Y,'Threshold Summary'!$R:$R,"")/4))*XLOOKUP($Q828,'Threshold Summary'!$Y:$Y,'Threshold Summary'!$L:$L,""))/100)+5)*XLOOKUP(XLOOKUP($Q828,'Threshold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Editor'!$E:$E,1))),stab,IF(OR(mtype=XLOOKUP(XLOOKUP($Q828,'Threshold Summary'!$Y:$Y,'Threshold Summary'!$K:$K,""),'Pokemon Editor'!$A:$A,'Pokemon Editor'!$C:$C,""),mtype=XLOOKUP(XLOOKUP($Q828,'Threshold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Chart'!$B$1:$S$1,0)))),base,IF(OR(cat="Status",pow=0),0,FLOOR(FLOOR(FLOOR((2*XLOOKUP($Q828,'Threshold Summary'!$Y:$Y,'Threshold Summary'!$L:$L,"")/5+2)*pow*atk/def)/50)+2)),modifier,stab*eff,FLOOR(base*modifier*0.85)),0)</f>
        <v/>
      </c>
      <c r="K828" s="3">
        <f>IFERROR(LET(mtype,XLOOKUP($D828,'Move Editor'!$B:$B,'Move Editor'!$C:$C,""),cat,XLOOKUP($D828,'Move Editor'!$B:$B,'Move Editor'!$D:$D,""),pow,XLOOKUP($D828,'Move Editor'!$B:$B,'Move Editor'!$E:$E,0),acc,XLOOKUP($D828,'Move Editor'!$B:$B,'Move Editor'!$F:$F,100),atk,IF(cat="Physical",FLOOR((FLOOR(((2*XLOOKUP(XLOOKUP($Q828,'Threshold Summary'!$Y:$Y,'Threshold Summary'!$K:$K,""),'Pokemon Editor'!$A:$A,'Pokemon Editor'!$F:$F,0)+31+FLOOR(XLOOKUP($Q828,'Threshold Summary'!$Y:$Y,'Threshold Summary'!$P:$P,"")/4))*XLOOKUP($Q828,'Threshold Summary'!$Y:$Y,'Threshold Summary'!$L:$L,""))/100)+5)*XLOOKUP(XLOOKUP($Q828,'Threshold Summary'!$Y:$Y,'Threshold Summary'!$M:$M,""),'Nature Editor'!$A:$A,'Nature Editor'!$B:$B,1)),FLOOR((FLOOR(((2*XLOOKUP(XLOOKUP($Q828,'Threshold Summary'!$Y:$Y,'Threshold Summary'!$K:$K,""),'Pokemon Editor'!$A:$A,'Pokemon Editor'!$H:$H,0)+31+FLOOR(XLOOKUP($Q828,'Threshold Summary'!$Y:$Y,'Threshold Summary'!$R:$R,"")/4))*XLOOKUP($Q828,'Threshold Summary'!$Y:$Y,'Threshold Summary'!$L:$L,""))/100)+5)*XLOOKUP(XLOOKUP($Q828,'Threshold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Editor'!$E:$E,1))),stab,IF(OR(mtype=XLOOKUP(XLOOKUP($Q828,'Threshold Summary'!$Y:$Y,'Threshold Summary'!$K:$K,""),'Pokemon Editor'!$A:$A,'Pokemon Editor'!$C:$C,""),mtype=XLOOKUP(XLOOKUP($Q828,'Threshold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Chart'!$B$1:$S$1,0)))),base,IF(OR(cat="Status",pow=0),0,FLOOR(FLOOR(FLOOR((2*XLOOKUP($Q828,'Threshold Summary'!$Y:$Y,'Threshold Summary'!$L:$L,"")/5+2)*pow*atk/def)/50)+2)),modifier,stab*eff,FLOOR(base*modifier)),0)</f>
        <v/>
      </c>
      <c r="L828" s="3">
        <f>IFERROR(LET(mtype,XLOOKUP($D828,'Move Editor'!$B:$B,'Move Editor'!$C:$C,""),cat,XLOOKUP($D828,'Move Editor'!$B:$B,'Move Editor'!$D:$D,""),pow,XLOOKUP($D828,'Move Editor'!$B:$B,'Move Editor'!$E:$E,0),acc,XLOOKUP($D828,'Move Editor'!$B:$B,'Move Editor'!$F:$F,100),atk,IF(cat="Physical",FLOOR((FLOOR(((2*XLOOKUP(XLOOKUP($Q828,'Threshold Summary'!$Y:$Y,'Threshold Summary'!$K:$K,""),'Pokemon Editor'!$A:$A,'Pokemon Editor'!$F:$F,0)+31+FLOOR(XLOOKUP($Q828,'Threshold Summary'!$Y:$Y,'Threshold Summary'!$P:$P,"")/4))*XLOOKUP($Q828,'Threshold Summary'!$Y:$Y,'Threshold Summary'!$L:$L,""))/100)+5)*XLOOKUP(XLOOKUP($Q828,'Threshold Summary'!$Y:$Y,'Threshold Summary'!$M:$M,""),'Nature Editor'!$A:$A,'Nature Editor'!$B:$B,1)),FLOOR((FLOOR(((2*XLOOKUP(XLOOKUP($Q828,'Threshold Summary'!$Y:$Y,'Threshold Summary'!$K:$K,""),'Pokemon Editor'!$A:$A,'Pokemon Editor'!$H:$H,0)+31+FLOOR(XLOOKUP($Q828,'Threshold Summary'!$Y:$Y,'Threshold Summary'!$R:$R,"")/4))*XLOOKUP($Q828,'Threshold Summary'!$Y:$Y,'Threshold Summary'!$L:$L,""))/100)+5)*XLOOKUP(XLOOKUP($Q828,'Threshold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Editor'!$E:$E,1))),stab,IF(OR(mtype=XLOOKUP(XLOOKUP($Q828,'Threshold Summary'!$Y:$Y,'Threshold Summary'!$K:$K,""),'Pokemon Editor'!$A:$A,'Pokemon Editor'!$C:$C,""),mtype=XLOOKUP(XLOOKUP($Q828,'Threshold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Chart'!$B$1:$S$1,0)))),base,IF(OR(cat="Status",pow=0),0,FLOOR(FLOOR(FLOOR((2*XLOOKUP($Q828,'Threshold Summary'!$Y:$Y,'Threshold Summary'!$L:$L,"")/5+2)*pow*atk/def)/50)+2)),modifier,stab*eff,AVERAGE(ARRAYFORMULA(FLOOR(base*modifier*SEQUENCE(16,1,85,1)/100)))),0)</f>
        <v/>
      </c>
      <c r="M828" s="3">
        <f>IFERROR(LET(mtype,XLOOKUP($D828,'Move Editor'!$B:$B,'Move Editor'!$C:$C,""),cat,XLOOKUP($D828,'Move Editor'!$B:$B,'Move Editor'!$D:$D,""),pow,XLOOKUP($D828,'Move Editor'!$B:$B,'Move Editor'!$E:$E,0),acc,XLOOKUP($D828,'Move Editor'!$B:$B,'Move Editor'!$F:$F,100),atk,IF(cat="Physical",FLOOR((FLOOR(((2*XLOOKUP(XLOOKUP($Q828,'Threshold Summary'!$Y:$Y,'Threshold Summary'!$K:$K,""),'Pokemon Editor'!$A:$A,'Pokemon Editor'!$F:$F,0)+31+FLOOR(XLOOKUP($Q828,'Threshold Summary'!$Y:$Y,'Threshold Summary'!$P:$P,"")/4))*XLOOKUP($Q828,'Threshold Summary'!$Y:$Y,'Threshold Summary'!$L:$L,""))/100)+5)*XLOOKUP(XLOOKUP($Q828,'Threshold Summary'!$Y:$Y,'Threshold Summary'!$M:$M,""),'Nature Editor'!$A:$A,'Nature Editor'!$B:$B,1)),FLOOR((FLOOR(((2*XLOOKUP(XLOOKUP($Q828,'Threshold Summary'!$Y:$Y,'Threshold Summary'!$K:$K,""),'Pokemon Editor'!$A:$A,'Pokemon Editor'!$H:$H,0)+31+FLOOR(XLOOKUP($Q828,'Threshold Summary'!$Y:$Y,'Threshold Summary'!$R:$R,"")/4))*XLOOKUP($Q828,'Threshold Summary'!$Y:$Y,'Threshold Summary'!$L:$L,""))/100)+5)*XLOOKUP(XLOOKUP($Q828,'Threshold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Editor'!$E:$E,1))),stab,IF(OR(mtype=XLOOKUP(XLOOKUP($Q828,'Threshold Summary'!$Y:$Y,'Threshold Summary'!$K:$K,""),'Pokemon Editor'!$A:$A,'Pokemon Editor'!$C:$C,""),mtype=XLOOKUP(XLOOKUP($Q828,'Threshold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Chart'!$B$1:$S$1,0)))),base,IF(OR(cat="Status",pow=0),0,FLOOR(FLOOR(FLOOR((2*XLOOKUP($Q828,'Threshold Summary'!$Y:$Y,'Threshold Summary'!$L:$L,"")/5+2)*pow*atk/def)/50)+2)),modifier,stab*eff,AVERAGE(ARRAYFORMULA(FLOOR(base*modifier*SEQUENCE(16,1,85,1)/100)))*MIN(1,acc/100)),0)</f>
        <v/>
      </c>
      <c r="N828" s="4">
        <f>IFERROR(LET(mtype,XLOOKUP($D828,'Move Editor'!$B:$B,'Move Editor'!$C:$C,""),cat,XLOOKUP($D828,'Move Editor'!$B:$B,'Move Editor'!$D:$D,""),pow,XLOOKUP($D828,'Move Editor'!$B:$B,'Move Editor'!$E:$E,0),acc,XLOOKUP($D828,'Move Editor'!$B:$B,'Move Editor'!$F:$F,100),atk,IF(cat="Physical",FLOOR((FLOOR(((2*XLOOKUP(XLOOKUP($Q828,'Threshold Summary'!$Y:$Y,'Threshold Summary'!$K:$K,""),'Pokemon Editor'!$A:$A,'Pokemon Editor'!$F:$F,0)+31+FLOOR(XLOOKUP($Q828,'Threshold Summary'!$Y:$Y,'Threshold Summary'!$P:$P,"")/4))*XLOOKUP($Q828,'Threshold Summary'!$Y:$Y,'Threshold Summary'!$L:$L,""))/100)+5)*XLOOKUP(XLOOKUP($Q828,'Threshold Summary'!$Y:$Y,'Threshold Summary'!$M:$M,""),'Nature Editor'!$A:$A,'Nature Editor'!$B:$B,1)),FLOOR((FLOOR(((2*XLOOKUP(XLOOKUP($Q828,'Threshold Summary'!$Y:$Y,'Threshold Summary'!$K:$K,""),'Pokemon Editor'!$A:$A,'Pokemon Editor'!$H:$H,0)+31+FLOOR(XLOOKUP($Q828,'Threshold Summary'!$Y:$Y,'Threshold Summary'!$R:$R,"")/4))*XLOOKUP($Q828,'Threshold Summary'!$Y:$Y,'Threshold Summary'!$L:$L,""))/100)+5)*XLOOKUP(XLOOKUP($Q828,'Threshold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Editor'!$E:$E,1))),stab,IF(OR(mtype=XLOOKUP(XLOOKUP($Q828,'Threshold Summary'!$Y:$Y,'Threshold Summary'!$K:$K,""),'Pokemon Editor'!$A:$A,'Pokemon Editor'!$C:$C,""),mtype=XLOOKUP(XLOOKUP($Q828,'Threshold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Chart'!$B$1:$S$1,0)))),base,IF(OR(cat="Status",pow=0),0,FLOOR(FLOOR(FLOOR((2*XLOOKUP($Q828,'Threshold Summary'!$Y:$Y,'Threshold Summary'!$L:$L,"")/5+2)*pow*atk/def)/50)+2)),modifier,stab*eff,AVERAGE(ARRAYFORMULA(FLOOR(base*modifier*SEQUENCE(16,1,85,1)/100)))/(FLOOR(((2*XLOOKUP('Boss Editor'!$C$4,'Pokemon Editor'!$A:$A,'Pokemon Editor'!$E:$E,0)+31+FLOOR('Boss Editor'!$G$4/4))*'Boss Editor'!$D$4)/100)+'Boss Editor'!$D$4+10)),0)</f>
        <v/>
      </c>
      <c r="O828" s="3">
        <f>IF(N828&gt;=1,"OHKO",IF(N828&gt;=0.5,"2HKO",IF(N828&gt;=0.333,"3HKO",IF(N828&gt;=0.25,"4HKO","5HKO+"))))</f>
        <v/>
      </c>
      <c r="P828" s="3" t="inlineStr">
        <is>
          <t>Live from editable databases</t>
        </is>
      </c>
      <c r="Q828" s="3" t="inlineStr">
        <is>
          <t>SPECIES_BLIPBUG</t>
        </is>
      </c>
      <c r="R828" s="3" t="n">
        <v>27</v>
      </c>
    </row>
    <row r="829">
      <c r="A829" s="3">
        <f>XLOOKUP($Q829,'Threshold Summary'!$Y:$Y,'Threshold Summary'!$A:$A,"")</f>
        <v/>
      </c>
      <c r="B829" s="3">
        <f>XLOOKUP($Q829,'Threshold Summary'!$Y:$Y,'Threshold Summary'!$M:$M,"")</f>
        <v/>
      </c>
      <c r="C829" s="3">
        <f>XLOOKUP($Q829,'Threshold Summary'!$Y:$Y,'Threshold Summary'!$N:$N,"")</f>
        <v/>
      </c>
      <c r="D829" s="3">
        <f>IFERROR(INDEX(FILTER('Learnset Editor'!$D$2:$D,'Learnset Editor'!$A$2:$A=XLOOKUP($Q829,'Threshold Summary'!$Y:$Y,'Threshold Summary'!$K:$K,""),'Learnset Editor'!$C$2:$C&lt;=XLOOKUP($Q829,'Threshold Summary'!$Y:$Y,'Threshold Summary'!$L:$L,"")),$R829),"")</f>
        <v/>
      </c>
      <c r="E829" s="3">
        <f>XLOOKUP(D829,'Move Editor'!$B:$B,'Move Editor'!$C:$C,"")</f>
        <v/>
      </c>
      <c r="F829" s="3">
        <f>XLOOKUP(D829,'Move Editor'!$B:$B,'Move Editor'!$D:$D,"")</f>
        <v/>
      </c>
      <c r="G829" s="3">
        <f>XLOOKUP(D829,'Move Editor'!$B:$B,'Move Editor'!$E:$E,0)</f>
        <v/>
      </c>
      <c r="H829" s="3">
        <f>XLOOKUP(D829,'Move Editor'!$B:$B,'Move Editor'!$F:$F,0)</f>
        <v/>
      </c>
      <c r="I829" s="3">
        <f>(INDEX('Type Chart'!$B:$S,MATCH(E829,'Type Chart'!$A:$A,0),MATCH(XLOOKUP('Boss Editor'!$C$4,'Pokemon Editor'!$A:$A,'Pokemon Editor'!$C:$C,""),'Type Chart'!$B$1:$S$1,0))*IF(XLOOKUP('Boss Editor'!$C$4,'Pokemon Editor'!$A:$A,'Pokemon Editor'!$D:$D,"")="",1,INDEX('Type Chart'!$B:$S,MATCH(E829,'Type Chart'!$A:$A,0),MATCH(XLOOKUP('Boss Editor'!$C$4,'Pokemon Editor'!$A:$A,'Pokemon Editor'!$D:$D,""),'Type Chart'!$B$1:$S$1,0))))</f>
        <v/>
      </c>
      <c r="J829" s="3">
        <f>IFERROR(LET(mtype,XLOOKUP($D829,'Move Editor'!$B:$B,'Move Editor'!$C:$C,""),cat,XLOOKUP($D829,'Move Editor'!$B:$B,'Move Editor'!$D:$D,""),pow,XLOOKUP($D829,'Move Editor'!$B:$B,'Move Editor'!$E:$E,0),acc,XLOOKUP($D829,'Move Editor'!$B:$B,'Move Editor'!$F:$F,100),atk,IF(cat="Physical",FLOOR((FLOOR(((2*XLOOKUP(XLOOKUP($Q829,'Threshold Summary'!$Y:$Y,'Threshold Summary'!$K:$K,""),'Pokemon Editor'!$A:$A,'Pokemon Editor'!$F:$F,0)+31+FLOOR(XLOOKUP($Q829,'Threshold Summary'!$Y:$Y,'Threshold Summary'!$P:$P,"")/4))*XLOOKUP($Q829,'Threshold Summary'!$Y:$Y,'Threshold Summary'!$L:$L,""))/100)+5)*XLOOKUP(XLOOKUP($Q829,'Threshold Summary'!$Y:$Y,'Threshold Summary'!$M:$M,""),'Nature Editor'!$A:$A,'Nature Editor'!$B:$B,1)),FLOOR((FLOOR(((2*XLOOKUP(XLOOKUP($Q829,'Threshold Summary'!$Y:$Y,'Threshold Summary'!$K:$K,""),'Pokemon Editor'!$A:$A,'Pokemon Editor'!$H:$H,0)+31+FLOOR(XLOOKUP($Q829,'Threshold Summary'!$Y:$Y,'Threshold Summary'!$R:$R,"")/4))*XLOOKUP($Q829,'Threshold Summary'!$Y:$Y,'Threshold Summary'!$L:$L,""))/100)+5)*XLOOKUP(XLOOKUP($Q829,'Threshold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Editor'!$E:$E,1))),stab,IF(OR(mtype=XLOOKUP(XLOOKUP($Q829,'Threshold Summary'!$Y:$Y,'Threshold Summary'!$K:$K,""),'Pokemon Editor'!$A:$A,'Pokemon Editor'!$C:$C,""),mtype=XLOOKUP(XLOOKUP($Q829,'Threshold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Chart'!$B$1:$S$1,0)))),base,IF(OR(cat="Status",pow=0),0,FLOOR(FLOOR(FLOOR((2*XLOOKUP($Q829,'Threshold Summary'!$Y:$Y,'Threshold Summary'!$L:$L,"")/5+2)*pow*atk/def)/50)+2)),modifier,stab*eff,FLOOR(base*modifier*0.85)),0)</f>
        <v/>
      </c>
      <c r="K829" s="3">
        <f>IFERROR(LET(mtype,XLOOKUP($D829,'Move Editor'!$B:$B,'Move Editor'!$C:$C,""),cat,XLOOKUP($D829,'Move Editor'!$B:$B,'Move Editor'!$D:$D,""),pow,XLOOKUP($D829,'Move Editor'!$B:$B,'Move Editor'!$E:$E,0),acc,XLOOKUP($D829,'Move Editor'!$B:$B,'Move Editor'!$F:$F,100),atk,IF(cat="Physical",FLOOR((FLOOR(((2*XLOOKUP(XLOOKUP($Q829,'Threshold Summary'!$Y:$Y,'Threshold Summary'!$K:$K,""),'Pokemon Editor'!$A:$A,'Pokemon Editor'!$F:$F,0)+31+FLOOR(XLOOKUP($Q829,'Threshold Summary'!$Y:$Y,'Threshold Summary'!$P:$P,"")/4))*XLOOKUP($Q829,'Threshold Summary'!$Y:$Y,'Threshold Summary'!$L:$L,""))/100)+5)*XLOOKUP(XLOOKUP($Q829,'Threshold Summary'!$Y:$Y,'Threshold Summary'!$M:$M,""),'Nature Editor'!$A:$A,'Nature Editor'!$B:$B,1)),FLOOR((FLOOR(((2*XLOOKUP(XLOOKUP($Q829,'Threshold Summary'!$Y:$Y,'Threshold Summary'!$K:$K,""),'Pokemon Editor'!$A:$A,'Pokemon Editor'!$H:$H,0)+31+FLOOR(XLOOKUP($Q829,'Threshold Summary'!$Y:$Y,'Threshold Summary'!$R:$R,"")/4))*XLOOKUP($Q829,'Threshold Summary'!$Y:$Y,'Threshold Summary'!$L:$L,""))/100)+5)*XLOOKUP(XLOOKUP($Q829,'Threshold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Editor'!$E:$E,1))),stab,IF(OR(mtype=XLOOKUP(XLOOKUP($Q829,'Threshold Summary'!$Y:$Y,'Threshold Summary'!$K:$K,""),'Pokemon Editor'!$A:$A,'Pokemon Editor'!$C:$C,""),mtype=XLOOKUP(XLOOKUP($Q829,'Threshold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Chart'!$B$1:$S$1,0)))),base,IF(OR(cat="Status",pow=0),0,FLOOR(FLOOR(FLOOR((2*XLOOKUP($Q829,'Threshold Summary'!$Y:$Y,'Threshold Summary'!$L:$L,"")/5+2)*pow*atk/def)/50)+2)),modifier,stab*eff,FLOOR(base*modifier)),0)</f>
        <v/>
      </c>
      <c r="L829" s="3">
        <f>IFERROR(LET(mtype,XLOOKUP($D829,'Move Editor'!$B:$B,'Move Editor'!$C:$C,""),cat,XLOOKUP($D829,'Move Editor'!$B:$B,'Move Editor'!$D:$D,""),pow,XLOOKUP($D829,'Move Editor'!$B:$B,'Move Editor'!$E:$E,0),acc,XLOOKUP($D829,'Move Editor'!$B:$B,'Move Editor'!$F:$F,100),atk,IF(cat="Physical",FLOOR((FLOOR(((2*XLOOKUP(XLOOKUP($Q829,'Threshold Summary'!$Y:$Y,'Threshold Summary'!$K:$K,""),'Pokemon Editor'!$A:$A,'Pokemon Editor'!$F:$F,0)+31+FLOOR(XLOOKUP($Q829,'Threshold Summary'!$Y:$Y,'Threshold Summary'!$P:$P,"")/4))*XLOOKUP($Q829,'Threshold Summary'!$Y:$Y,'Threshold Summary'!$L:$L,""))/100)+5)*XLOOKUP(XLOOKUP($Q829,'Threshold Summary'!$Y:$Y,'Threshold Summary'!$M:$M,""),'Nature Editor'!$A:$A,'Nature Editor'!$B:$B,1)),FLOOR((FLOOR(((2*XLOOKUP(XLOOKUP($Q829,'Threshold Summary'!$Y:$Y,'Threshold Summary'!$K:$K,""),'Pokemon Editor'!$A:$A,'Pokemon Editor'!$H:$H,0)+31+FLOOR(XLOOKUP($Q829,'Threshold Summary'!$Y:$Y,'Threshold Summary'!$R:$R,"")/4))*XLOOKUP($Q829,'Threshold Summary'!$Y:$Y,'Threshold Summary'!$L:$L,""))/100)+5)*XLOOKUP(XLOOKUP($Q829,'Threshold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Editor'!$E:$E,1))),stab,IF(OR(mtype=XLOOKUP(XLOOKUP($Q829,'Threshold Summary'!$Y:$Y,'Threshold Summary'!$K:$K,""),'Pokemon Editor'!$A:$A,'Pokemon Editor'!$C:$C,""),mtype=XLOOKUP(XLOOKUP($Q829,'Threshold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Chart'!$B$1:$S$1,0)))),base,IF(OR(cat="Status",pow=0),0,FLOOR(FLOOR(FLOOR((2*XLOOKUP($Q829,'Threshold Summary'!$Y:$Y,'Threshold Summary'!$L:$L,"")/5+2)*pow*atk/def)/50)+2)),modifier,stab*eff,AVERAGE(ARRAYFORMULA(FLOOR(base*modifier*SEQUENCE(16,1,85,1)/100)))),0)</f>
        <v/>
      </c>
      <c r="M829" s="3">
        <f>IFERROR(LET(mtype,XLOOKUP($D829,'Move Editor'!$B:$B,'Move Editor'!$C:$C,""),cat,XLOOKUP($D829,'Move Editor'!$B:$B,'Move Editor'!$D:$D,""),pow,XLOOKUP($D829,'Move Editor'!$B:$B,'Move Editor'!$E:$E,0),acc,XLOOKUP($D829,'Move Editor'!$B:$B,'Move Editor'!$F:$F,100),atk,IF(cat="Physical",FLOOR((FLOOR(((2*XLOOKUP(XLOOKUP($Q829,'Threshold Summary'!$Y:$Y,'Threshold Summary'!$K:$K,""),'Pokemon Editor'!$A:$A,'Pokemon Editor'!$F:$F,0)+31+FLOOR(XLOOKUP($Q829,'Threshold Summary'!$Y:$Y,'Threshold Summary'!$P:$P,"")/4))*XLOOKUP($Q829,'Threshold Summary'!$Y:$Y,'Threshold Summary'!$L:$L,""))/100)+5)*XLOOKUP(XLOOKUP($Q829,'Threshold Summary'!$Y:$Y,'Threshold Summary'!$M:$M,""),'Nature Editor'!$A:$A,'Nature Editor'!$B:$B,1)),FLOOR((FLOOR(((2*XLOOKUP(XLOOKUP($Q829,'Threshold Summary'!$Y:$Y,'Threshold Summary'!$K:$K,""),'Pokemon Editor'!$A:$A,'Pokemon Editor'!$H:$H,0)+31+FLOOR(XLOOKUP($Q829,'Threshold Summary'!$Y:$Y,'Threshold Summary'!$R:$R,"")/4))*XLOOKUP($Q829,'Threshold Summary'!$Y:$Y,'Threshold Summary'!$L:$L,""))/100)+5)*XLOOKUP(XLOOKUP($Q829,'Threshold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Editor'!$E:$E,1))),stab,IF(OR(mtype=XLOOKUP(XLOOKUP($Q829,'Threshold Summary'!$Y:$Y,'Threshold Summary'!$K:$K,""),'Pokemon Editor'!$A:$A,'Pokemon Editor'!$C:$C,""),mtype=XLOOKUP(XLOOKUP($Q829,'Threshold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Chart'!$B$1:$S$1,0)))),base,IF(OR(cat="Status",pow=0),0,FLOOR(FLOOR(FLOOR((2*XLOOKUP($Q829,'Threshold Summary'!$Y:$Y,'Threshold Summary'!$L:$L,"")/5+2)*pow*atk/def)/50)+2)),modifier,stab*eff,AVERAGE(ARRAYFORMULA(FLOOR(base*modifier*SEQUENCE(16,1,85,1)/100)))*MIN(1,acc/100)),0)</f>
        <v/>
      </c>
      <c r="N829" s="4">
        <f>IFERROR(LET(mtype,XLOOKUP($D829,'Move Editor'!$B:$B,'Move Editor'!$C:$C,""),cat,XLOOKUP($D829,'Move Editor'!$B:$B,'Move Editor'!$D:$D,""),pow,XLOOKUP($D829,'Move Editor'!$B:$B,'Move Editor'!$E:$E,0),acc,XLOOKUP($D829,'Move Editor'!$B:$B,'Move Editor'!$F:$F,100),atk,IF(cat="Physical",FLOOR((FLOOR(((2*XLOOKUP(XLOOKUP($Q829,'Threshold Summary'!$Y:$Y,'Threshold Summary'!$K:$K,""),'Pokemon Editor'!$A:$A,'Pokemon Editor'!$F:$F,0)+31+FLOOR(XLOOKUP($Q829,'Threshold Summary'!$Y:$Y,'Threshold Summary'!$P:$P,"")/4))*XLOOKUP($Q829,'Threshold Summary'!$Y:$Y,'Threshold Summary'!$L:$L,""))/100)+5)*XLOOKUP(XLOOKUP($Q829,'Threshold Summary'!$Y:$Y,'Threshold Summary'!$M:$M,""),'Nature Editor'!$A:$A,'Nature Editor'!$B:$B,1)),FLOOR((FLOOR(((2*XLOOKUP(XLOOKUP($Q829,'Threshold Summary'!$Y:$Y,'Threshold Summary'!$K:$K,""),'Pokemon Editor'!$A:$A,'Pokemon Editor'!$H:$H,0)+31+FLOOR(XLOOKUP($Q829,'Threshold Summary'!$Y:$Y,'Threshold Summary'!$R:$R,"")/4))*XLOOKUP($Q829,'Threshold Summary'!$Y:$Y,'Threshold Summary'!$L:$L,""))/100)+5)*XLOOKUP(XLOOKUP($Q829,'Threshold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Editor'!$E:$E,1))),stab,IF(OR(mtype=XLOOKUP(XLOOKUP($Q829,'Threshold Summary'!$Y:$Y,'Threshold Summary'!$K:$K,""),'Pokemon Editor'!$A:$A,'Pokemon Editor'!$C:$C,""),mtype=XLOOKUP(XLOOKUP($Q829,'Threshold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Chart'!$B$1:$S$1,0)))),base,IF(OR(cat="Status",pow=0),0,FLOOR(FLOOR(FLOOR((2*XLOOKUP($Q829,'Threshold Summary'!$Y:$Y,'Threshold Summary'!$L:$L,"")/5+2)*pow*atk/def)/50)+2)),modifier,stab*eff,AVERAGE(ARRAYFORMULA(FLOOR(base*modifier*SEQUENCE(16,1,85,1)/100)))/(FLOOR(((2*XLOOKUP('Boss Editor'!$C$4,'Pokemon Editor'!$A:$A,'Pokemon Editor'!$E:$E,0)+31+FLOOR('Boss Editor'!$G$4/4))*'Boss Editor'!$D$4)/100)+'Boss Editor'!$D$4+10)),0)</f>
        <v/>
      </c>
      <c r="O829" s="3">
        <f>IF(N829&gt;=1,"OHKO",IF(N829&gt;=0.5,"2HKO",IF(N829&gt;=0.333,"3HKO",IF(N829&gt;=0.25,"4HKO","5HKO+"))))</f>
        <v/>
      </c>
      <c r="P829" s="3" t="inlineStr">
        <is>
          <t>Live from editable databases</t>
        </is>
      </c>
      <c r="Q829" s="3" t="inlineStr">
        <is>
          <t>SPECIES_BLIPBUG</t>
        </is>
      </c>
      <c r="R829" s="3" t="n">
        <v>28</v>
      </c>
    </row>
    <row r="830">
      <c r="A830" s="3">
        <f>XLOOKUP($Q830,'Threshold Summary'!$Y:$Y,'Threshold Summary'!$A:$A,"")</f>
        <v/>
      </c>
      <c r="B830" s="3">
        <f>XLOOKUP($Q830,'Threshold Summary'!$Y:$Y,'Threshold Summary'!$M:$M,"")</f>
        <v/>
      </c>
      <c r="C830" s="3">
        <f>XLOOKUP($Q830,'Threshold Summary'!$Y:$Y,'Threshold Summary'!$N:$N,"")</f>
        <v/>
      </c>
      <c r="D830" s="3">
        <f>IFERROR(INDEX(FILTER('Learnset Editor'!$D$2:$D,'Learnset Editor'!$A$2:$A=XLOOKUP($Q830,'Threshold Summary'!$Y:$Y,'Threshold Summary'!$K:$K,""),'Learnset Editor'!$C$2:$C&lt;=XLOOKUP($Q830,'Threshold Summary'!$Y:$Y,'Threshold Summary'!$L:$L,"")),$R830),"")</f>
        <v/>
      </c>
      <c r="E830" s="3">
        <f>XLOOKUP(D830,'Move Editor'!$B:$B,'Move Editor'!$C:$C,"")</f>
        <v/>
      </c>
      <c r="F830" s="3">
        <f>XLOOKUP(D830,'Move Editor'!$B:$B,'Move Editor'!$D:$D,"")</f>
        <v/>
      </c>
      <c r="G830" s="3">
        <f>XLOOKUP(D830,'Move Editor'!$B:$B,'Move Editor'!$E:$E,0)</f>
        <v/>
      </c>
      <c r="H830" s="3">
        <f>XLOOKUP(D830,'Move Editor'!$B:$B,'Move Editor'!$F:$F,0)</f>
        <v/>
      </c>
      <c r="I830" s="3">
        <f>(INDEX('Type Chart'!$B:$S,MATCH(E830,'Type Chart'!$A:$A,0),MATCH(XLOOKUP('Boss Editor'!$C$4,'Pokemon Editor'!$A:$A,'Pokemon Editor'!$C:$C,""),'Type Chart'!$B$1:$S$1,0))*IF(XLOOKUP('Boss Editor'!$C$4,'Pokemon Editor'!$A:$A,'Pokemon Editor'!$D:$D,"")="",1,INDEX('Type Chart'!$B:$S,MATCH(E830,'Type Chart'!$A:$A,0),MATCH(XLOOKUP('Boss Editor'!$C$4,'Pokemon Editor'!$A:$A,'Pokemon Editor'!$D:$D,""),'Type Chart'!$B$1:$S$1,0))))</f>
        <v/>
      </c>
      <c r="J830" s="3">
        <f>IFERROR(LET(mtype,XLOOKUP($D830,'Move Editor'!$B:$B,'Move Editor'!$C:$C,""),cat,XLOOKUP($D830,'Move Editor'!$B:$B,'Move Editor'!$D:$D,""),pow,XLOOKUP($D830,'Move Editor'!$B:$B,'Move Editor'!$E:$E,0),acc,XLOOKUP($D830,'Move Editor'!$B:$B,'Move Editor'!$F:$F,100),atk,IF(cat="Physical",FLOOR((FLOOR(((2*XLOOKUP(XLOOKUP($Q830,'Threshold Summary'!$Y:$Y,'Threshold Summary'!$K:$K,""),'Pokemon Editor'!$A:$A,'Pokemon Editor'!$F:$F,0)+31+FLOOR(XLOOKUP($Q830,'Threshold Summary'!$Y:$Y,'Threshold Summary'!$P:$P,"")/4))*XLOOKUP($Q830,'Threshold Summary'!$Y:$Y,'Threshold Summary'!$L:$L,""))/100)+5)*XLOOKUP(XLOOKUP($Q830,'Threshold Summary'!$Y:$Y,'Threshold Summary'!$M:$M,""),'Nature Editor'!$A:$A,'Nature Editor'!$B:$B,1)),FLOOR((FLOOR(((2*XLOOKUP(XLOOKUP($Q830,'Threshold Summary'!$Y:$Y,'Threshold Summary'!$K:$K,""),'Pokemon Editor'!$A:$A,'Pokemon Editor'!$H:$H,0)+31+FLOOR(XLOOKUP($Q830,'Threshold Summary'!$Y:$Y,'Threshold Summary'!$R:$R,"")/4))*XLOOKUP($Q830,'Threshold Summary'!$Y:$Y,'Threshold Summary'!$L:$L,""))/100)+5)*XLOOKUP(XLOOKUP($Q830,'Threshold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Editor'!$E:$E,1))),stab,IF(OR(mtype=XLOOKUP(XLOOKUP($Q830,'Threshold Summary'!$Y:$Y,'Threshold Summary'!$K:$K,""),'Pokemon Editor'!$A:$A,'Pokemon Editor'!$C:$C,""),mtype=XLOOKUP(XLOOKUP($Q830,'Threshold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Chart'!$B$1:$S$1,0)))),base,IF(OR(cat="Status",pow=0),0,FLOOR(FLOOR(FLOOR((2*XLOOKUP($Q830,'Threshold Summary'!$Y:$Y,'Threshold Summary'!$L:$L,"")/5+2)*pow*atk/def)/50)+2)),modifier,stab*eff,FLOOR(base*modifier*0.85)),0)</f>
        <v/>
      </c>
      <c r="K830" s="3">
        <f>IFERROR(LET(mtype,XLOOKUP($D830,'Move Editor'!$B:$B,'Move Editor'!$C:$C,""),cat,XLOOKUP($D830,'Move Editor'!$B:$B,'Move Editor'!$D:$D,""),pow,XLOOKUP($D830,'Move Editor'!$B:$B,'Move Editor'!$E:$E,0),acc,XLOOKUP($D830,'Move Editor'!$B:$B,'Move Editor'!$F:$F,100),atk,IF(cat="Physical",FLOOR((FLOOR(((2*XLOOKUP(XLOOKUP($Q830,'Threshold Summary'!$Y:$Y,'Threshold Summary'!$K:$K,""),'Pokemon Editor'!$A:$A,'Pokemon Editor'!$F:$F,0)+31+FLOOR(XLOOKUP($Q830,'Threshold Summary'!$Y:$Y,'Threshold Summary'!$P:$P,"")/4))*XLOOKUP($Q830,'Threshold Summary'!$Y:$Y,'Threshold Summary'!$L:$L,""))/100)+5)*XLOOKUP(XLOOKUP($Q830,'Threshold Summary'!$Y:$Y,'Threshold Summary'!$M:$M,""),'Nature Editor'!$A:$A,'Nature Editor'!$B:$B,1)),FLOOR((FLOOR(((2*XLOOKUP(XLOOKUP($Q830,'Threshold Summary'!$Y:$Y,'Threshold Summary'!$K:$K,""),'Pokemon Editor'!$A:$A,'Pokemon Editor'!$H:$H,0)+31+FLOOR(XLOOKUP($Q830,'Threshold Summary'!$Y:$Y,'Threshold Summary'!$R:$R,"")/4))*XLOOKUP($Q830,'Threshold Summary'!$Y:$Y,'Threshold Summary'!$L:$L,""))/100)+5)*XLOOKUP(XLOOKUP($Q830,'Threshold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Editor'!$E:$E,1))),stab,IF(OR(mtype=XLOOKUP(XLOOKUP($Q830,'Threshold Summary'!$Y:$Y,'Threshold Summary'!$K:$K,""),'Pokemon Editor'!$A:$A,'Pokemon Editor'!$C:$C,""),mtype=XLOOKUP(XLOOKUP($Q830,'Threshold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Chart'!$B$1:$S$1,0)))),base,IF(OR(cat="Status",pow=0),0,FLOOR(FLOOR(FLOOR((2*XLOOKUP($Q830,'Threshold Summary'!$Y:$Y,'Threshold Summary'!$L:$L,"")/5+2)*pow*atk/def)/50)+2)),modifier,stab*eff,FLOOR(base*modifier)),0)</f>
        <v/>
      </c>
      <c r="L830" s="3">
        <f>IFERROR(LET(mtype,XLOOKUP($D830,'Move Editor'!$B:$B,'Move Editor'!$C:$C,""),cat,XLOOKUP($D830,'Move Editor'!$B:$B,'Move Editor'!$D:$D,""),pow,XLOOKUP($D830,'Move Editor'!$B:$B,'Move Editor'!$E:$E,0),acc,XLOOKUP($D830,'Move Editor'!$B:$B,'Move Editor'!$F:$F,100),atk,IF(cat="Physical",FLOOR((FLOOR(((2*XLOOKUP(XLOOKUP($Q830,'Threshold Summary'!$Y:$Y,'Threshold Summary'!$K:$K,""),'Pokemon Editor'!$A:$A,'Pokemon Editor'!$F:$F,0)+31+FLOOR(XLOOKUP($Q830,'Threshold Summary'!$Y:$Y,'Threshold Summary'!$P:$P,"")/4))*XLOOKUP($Q830,'Threshold Summary'!$Y:$Y,'Threshold Summary'!$L:$L,""))/100)+5)*XLOOKUP(XLOOKUP($Q830,'Threshold Summary'!$Y:$Y,'Threshold Summary'!$M:$M,""),'Nature Editor'!$A:$A,'Nature Editor'!$B:$B,1)),FLOOR((FLOOR(((2*XLOOKUP(XLOOKUP($Q830,'Threshold Summary'!$Y:$Y,'Threshold Summary'!$K:$K,""),'Pokemon Editor'!$A:$A,'Pokemon Editor'!$H:$H,0)+31+FLOOR(XLOOKUP($Q830,'Threshold Summary'!$Y:$Y,'Threshold Summary'!$R:$R,"")/4))*XLOOKUP($Q830,'Threshold Summary'!$Y:$Y,'Threshold Summary'!$L:$L,""))/100)+5)*XLOOKUP(XLOOKUP($Q830,'Threshold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Editor'!$E:$E,1))),stab,IF(OR(mtype=XLOOKUP(XLOOKUP($Q830,'Threshold Summary'!$Y:$Y,'Threshold Summary'!$K:$K,""),'Pokemon Editor'!$A:$A,'Pokemon Editor'!$C:$C,""),mtype=XLOOKUP(XLOOKUP($Q830,'Threshold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Chart'!$B$1:$S$1,0)))),base,IF(OR(cat="Status",pow=0),0,FLOOR(FLOOR(FLOOR((2*XLOOKUP($Q830,'Threshold Summary'!$Y:$Y,'Threshold Summary'!$L:$L,"")/5+2)*pow*atk/def)/50)+2)),modifier,stab*eff,AVERAGE(ARRAYFORMULA(FLOOR(base*modifier*SEQUENCE(16,1,85,1)/100)))),0)</f>
        <v/>
      </c>
      <c r="M830" s="3">
        <f>IFERROR(LET(mtype,XLOOKUP($D830,'Move Editor'!$B:$B,'Move Editor'!$C:$C,""),cat,XLOOKUP($D830,'Move Editor'!$B:$B,'Move Editor'!$D:$D,""),pow,XLOOKUP($D830,'Move Editor'!$B:$B,'Move Editor'!$E:$E,0),acc,XLOOKUP($D830,'Move Editor'!$B:$B,'Move Editor'!$F:$F,100),atk,IF(cat="Physical",FLOOR((FLOOR(((2*XLOOKUP(XLOOKUP($Q830,'Threshold Summary'!$Y:$Y,'Threshold Summary'!$K:$K,""),'Pokemon Editor'!$A:$A,'Pokemon Editor'!$F:$F,0)+31+FLOOR(XLOOKUP($Q830,'Threshold Summary'!$Y:$Y,'Threshold Summary'!$P:$P,"")/4))*XLOOKUP($Q830,'Threshold Summary'!$Y:$Y,'Threshold Summary'!$L:$L,""))/100)+5)*XLOOKUP(XLOOKUP($Q830,'Threshold Summary'!$Y:$Y,'Threshold Summary'!$M:$M,""),'Nature Editor'!$A:$A,'Nature Editor'!$B:$B,1)),FLOOR((FLOOR(((2*XLOOKUP(XLOOKUP($Q830,'Threshold Summary'!$Y:$Y,'Threshold Summary'!$K:$K,""),'Pokemon Editor'!$A:$A,'Pokemon Editor'!$H:$H,0)+31+FLOOR(XLOOKUP($Q830,'Threshold Summary'!$Y:$Y,'Threshold Summary'!$R:$R,"")/4))*XLOOKUP($Q830,'Threshold Summary'!$Y:$Y,'Threshold Summary'!$L:$L,""))/100)+5)*XLOOKUP(XLOOKUP($Q830,'Threshold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Editor'!$E:$E,1))),stab,IF(OR(mtype=XLOOKUP(XLOOKUP($Q830,'Threshold Summary'!$Y:$Y,'Threshold Summary'!$K:$K,""),'Pokemon Editor'!$A:$A,'Pokemon Editor'!$C:$C,""),mtype=XLOOKUP(XLOOKUP($Q830,'Threshold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Chart'!$B$1:$S$1,0)))),base,IF(OR(cat="Status",pow=0),0,FLOOR(FLOOR(FLOOR((2*XLOOKUP($Q830,'Threshold Summary'!$Y:$Y,'Threshold Summary'!$L:$L,"")/5+2)*pow*atk/def)/50)+2)),modifier,stab*eff,AVERAGE(ARRAYFORMULA(FLOOR(base*modifier*SEQUENCE(16,1,85,1)/100)))*MIN(1,acc/100)),0)</f>
        <v/>
      </c>
      <c r="N830" s="4">
        <f>IFERROR(LET(mtype,XLOOKUP($D830,'Move Editor'!$B:$B,'Move Editor'!$C:$C,""),cat,XLOOKUP($D830,'Move Editor'!$B:$B,'Move Editor'!$D:$D,""),pow,XLOOKUP($D830,'Move Editor'!$B:$B,'Move Editor'!$E:$E,0),acc,XLOOKUP($D830,'Move Editor'!$B:$B,'Move Editor'!$F:$F,100),atk,IF(cat="Physical",FLOOR((FLOOR(((2*XLOOKUP(XLOOKUP($Q830,'Threshold Summary'!$Y:$Y,'Threshold Summary'!$K:$K,""),'Pokemon Editor'!$A:$A,'Pokemon Editor'!$F:$F,0)+31+FLOOR(XLOOKUP($Q830,'Threshold Summary'!$Y:$Y,'Threshold Summary'!$P:$P,"")/4))*XLOOKUP($Q830,'Threshold Summary'!$Y:$Y,'Threshold Summary'!$L:$L,""))/100)+5)*XLOOKUP(XLOOKUP($Q830,'Threshold Summary'!$Y:$Y,'Threshold Summary'!$M:$M,""),'Nature Editor'!$A:$A,'Nature Editor'!$B:$B,1)),FLOOR((FLOOR(((2*XLOOKUP(XLOOKUP($Q830,'Threshold Summary'!$Y:$Y,'Threshold Summary'!$K:$K,""),'Pokemon Editor'!$A:$A,'Pokemon Editor'!$H:$H,0)+31+FLOOR(XLOOKUP($Q830,'Threshold Summary'!$Y:$Y,'Threshold Summary'!$R:$R,"")/4))*XLOOKUP($Q830,'Threshold Summary'!$Y:$Y,'Threshold Summary'!$L:$L,""))/100)+5)*XLOOKUP(XLOOKUP($Q830,'Threshold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Editor'!$E:$E,1))),stab,IF(OR(mtype=XLOOKUP(XLOOKUP($Q830,'Threshold Summary'!$Y:$Y,'Threshold Summary'!$K:$K,""),'Pokemon Editor'!$A:$A,'Pokemon Editor'!$C:$C,""),mtype=XLOOKUP(XLOOKUP($Q830,'Threshold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Chart'!$B$1:$S$1,0)))),base,IF(OR(cat="Status",pow=0),0,FLOOR(FLOOR(FLOOR((2*XLOOKUP($Q830,'Threshold Summary'!$Y:$Y,'Threshold Summary'!$L:$L,"")/5+2)*pow*atk/def)/50)+2)),modifier,stab*eff,AVERAGE(ARRAYFORMULA(FLOOR(base*modifier*SEQUENCE(16,1,85,1)/100)))/(FLOOR(((2*XLOOKUP('Boss Editor'!$C$4,'Pokemon Editor'!$A:$A,'Pokemon Editor'!$E:$E,0)+31+FLOOR('Boss Editor'!$G$4/4))*'Boss Editor'!$D$4)/100)+'Boss Editor'!$D$4+10)),0)</f>
        <v/>
      </c>
      <c r="O830" s="3">
        <f>IF(N830&gt;=1,"OHKO",IF(N830&gt;=0.5,"2HKO",IF(N830&gt;=0.333,"3HKO",IF(N830&gt;=0.25,"4HKO","5HKO+"))))</f>
        <v/>
      </c>
      <c r="P830" s="3" t="inlineStr">
        <is>
          <t>Live from editable databases</t>
        </is>
      </c>
      <c r="Q830" s="3" t="inlineStr">
        <is>
          <t>SPECIES_BLIPBUG</t>
        </is>
      </c>
      <c r="R830" s="3" t="n">
        <v>29</v>
      </c>
    </row>
    <row r="831">
      <c r="A831" s="3">
        <f>XLOOKUP($Q831,'Threshold Summary'!$Y:$Y,'Threshold Summary'!$A:$A,"")</f>
        <v/>
      </c>
      <c r="B831" s="3">
        <f>XLOOKUP($Q831,'Threshold Summary'!$Y:$Y,'Threshold Summary'!$M:$M,"")</f>
        <v/>
      </c>
      <c r="C831" s="3">
        <f>XLOOKUP($Q831,'Threshold Summary'!$Y:$Y,'Threshold Summary'!$N:$N,"")</f>
        <v/>
      </c>
      <c r="D831" s="3">
        <f>IFERROR(INDEX(FILTER('Learnset Editor'!$D$2:$D,'Learnset Editor'!$A$2:$A=XLOOKUP($Q831,'Threshold Summary'!$Y:$Y,'Threshold Summary'!$K:$K,""),'Learnset Editor'!$C$2:$C&lt;=XLOOKUP($Q831,'Threshold Summary'!$Y:$Y,'Threshold Summary'!$L:$L,"")),$R831),"")</f>
        <v/>
      </c>
      <c r="E831" s="3">
        <f>XLOOKUP(D831,'Move Editor'!$B:$B,'Move Editor'!$C:$C,"")</f>
        <v/>
      </c>
      <c r="F831" s="3">
        <f>XLOOKUP(D831,'Move Editor'!$B:$B,'Move Editor'!$D:$D,"")</f>
        <v/>
      </c>
      <c r="G831" s="3">
        <f>XLOOKUP(D831,'Move Editor'!$B:$B,'Move Editor'!$E:$E,0)</f>
        <v/>
      </c>
      <c r="H831" s="3">
        <f>XLOOKUP(D831,'Move Editor'!$B:$B,'Move Editor'!$F:$F,0)</f>
        <v/>
      </c>
      <c r="I831" s="3">
        <f>(INDEX('Type Chart'!$B:$S,MATCH(E831,'Type Chart'!$A:$A,0),MATCH(XLOOKUP('Boss Editor'!$C$4,'Pokemon Editor'!$A:$A,'Pokemon Editor'!$C:$C,""),'Type Chart'!$B$1:$S$1,0))*IF(XLOOKUP('Boss Editor'!$C$4,'Pokemon Editor'!$A:$A,'Pokemon Editor'!$D:$D,"")="",1,INDEX('Type Chart'!$B:$S,MATCH(E831,'Type Chart'!$A:$A,0),MATCH(XLOOKUP('Boss Editor'!$C$4,'Pokemon Editor'!$A:$A,'Pokemon Editor'!$D:$D,""),'Type Chart'!$B$1:$S$1,0))))</f>
        <v/>
      </c>
      <c r="J831" s="3">
        <f>IFERROR(LET(mtype,XLOOKUP($D831,'Move Editor'!$B:$B,'Move Editor'!$C:$C,""),cat,XLOOKUP($D831,'Move Editor'!$B:$B,'Move Editor'!$D:$D,""),pow,XLOOKUP($D831,'Move Editor'!$B:$B,'Move Editor'!$E:$E,0),acc,XLOOKUP($D831,'Move Editor'!$B:$B,'Move Editor'!$F:$F,100),atk,IF(cat="Physical",FLOOR((FLOOR(((2*XLOOKUP(XLOOKUP($Q831,'Threshold Summary'!$Y:$Y,'Threshold Summary'!$K:$K,""),'Pokemon Editor'!$A:$A,'Pokemon Editor'!$F:$F,0)+31+FLOOR(XLOOKUP($Q831,'Threshold Summary'!$Y:$Y,'Threshold Summary'!$P:$P,"")/4))*XLOOKUP($Q831,'Threshold Summary'!$Y:$Y,'Threshold Summary'!$L:$L,""))/100)+5)*XLOOKUP(XLOOKUP($Q831,'Threshold Summary'!$Y:$Y,'Threshold Summary'!$M:$M,""),'Nature Editor'!$A:$A,'Nature Editor'!$B:$B,1)),FLOOR((FLOOR(((2*XLOOKUP(XLOOKUP($Q831,'Threshold Summary'!$Y:$Y,'Threshold Summary'!$K:$K,""),'Pokemon Editor'!$A:$A,'Pokemon Editor'!$H:$H,0)+31+FLOOR(XLOOKUP($Q831,'Threshold Summary'!$Y:$Y,'Threshold Summary'!$R:$R,"")/4))*XLOOKUP($Q831,'Threshold Summary'!$Y:$Y,'Threshold Summary'!$L:$L,""))/100)+5)*XLOOKUP(XLOOKUP($Q831,'Threshold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Editor'!$E:$E,1))),stab,IF(OR(mtype=XLOOKUP(XLOOKUP($Q831,'Threshold Summary'!$Y:$Y,'Threshold Summary'!$K:$K,""),'Pokemon Editor'!$A:$A,'Pokemon Editor'!$C:$C,""),mtype=XLOOKUP(XLOOKUP($Q831,'Threshold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Chart'!$B$1:$S$1,0)))),base,IF(OR(cat="Status",pow=0),0,FLOOR(FLOOR(FLOOR((2*XLOOKUP($Q831,'Threshold Summary'!$Y:$Y,'Threshold Summary'!$L:$L,"")/5+2)*pow*atk/def)/50)+2)),modifier,stab*eff,FLOOR(base*modifier*0.85)),0)</f>
        <v/>
      </c>
      <c r="K831" s="3">
        <f>IFERROR(LET(mtype,XLOOKUP($D831,'Move Editor'!$B:$B,'Move Editor'!$C:$C,""),cat,XLOOKUP($D831,'Move Editor'!$B:$B,'Move Editor'!$D:$D,""),pow,XLOOKUP($D831,'Move Editor'!$B:$B,'Move Editor'!$E:$E,0),acc,XLOOKUP($D831,'Move Editor'!$B:$B,'Move Editor'!$F:$F,100),atk,IF(cat="Physical",FLOOR((FLOOR(((2*XLOOKUP(XLOOKUP($Q831,'Threshold Summary'!$Y:$Y,'Threshold Summary'!$K:$K,""),'Pokemon Editor'!$A:$A,'Pokemon Editor'!$F:$F,0)+31+FLOOR(XLOOKUP($Q831,'Threshold Summary'!$Y:$Y,'Threshold Summary'!$P:$P,"")/4))*XLOOKUP($Q831,'Threshold Summary'!$Y:$Y,'Threshold Summary'!$L:$L,""))/100)+5)*XLOOKUP(XLOOKUP($Q831,'Threshold Summary'!$Y:$Y,'Threshold Summary'!$M:$M,""),'Nature Editor'!$A:$A,'Nature Editor'!$B:$B,1)),FLOOR((FLOOR(((2*XLOOKUP(XLOOKUP($Q831,'Threshold Summary'!$Y:$Y,'Threshold Summary'!$K:$K,""),'Pokemon Editor'!$A:$A,'Pokemon Editor'!$H:$H,0)+31+FLOOR(XLOOKUP($Q831,'Threshold Summary'!$Y:$Y,'Threshold Summary'!$R:$R,"")/4))*XLOOKUP($Q831,'Threshold Summary'!$Y:$Y,'Threshold Summary'!$L:$L,""))/100)+5)*XLOOKUP(XLOOKUP($Q831,'Threshold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Editor'!$E:$E,1))),stab,IF(OR(mtype=XLOOKUP(XLOOKUP($Q831,'Threshold Summary'!$Y:$Y,'Threshold Summary'!$K:$K,""),'Pokemon Editor'!$A:$A,'Pokemon Editor'!$C:$C,""),mtype=XLOOKUP(XLOOKUP($Q831,'Threshold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Chart'!$B$1:$S$1,0)))),base,IF(OR(cat="Status",pow=0),0,FLOOR(FLOOR(FLOOR((2*XLOOKUP($Q831,'Threshold Summary'!$Y:$Y,'Threshold Summary'!$L:$L,"")/5+2)*pow*atk/def)/50)+2)),modifier,stab*eff,FLOOR(base*modifier)),0)</f>
        <v/>
      </c>
      <c r="L831" s="3">
        <f>IFERROR(LET(mtype,XLOOKUP($D831,'Move Editor'!$B:$B,'Move Editor'!$C:$C,""),cat,XLOOKUP($D831,'Move Editor'!$B:$B,'Move Editor'!$D:$D,""),pow,XLOOKUP($D831,'Move Editor'!$B:$B,'Move Editor'!$E:$E,0),acc,XLOOKUP($D831,'Move Editor'!$B:$B,'Move Editor'!$F:$F,100),atk,IF(cat="Physical",FLOOR((FLOOR(((2*XLOOKUP(XLOOKUP($Q831,'Threshold Summary'!$Y:$Y,'Threshold Summary'!$K:$K,""),'Pokemon Editor'!$A:$A,'Pokemon Editor'!$F:$F,0)+31+FLOOR(XLOOKUP($Q831,'Threshold Summary'!$Y:$Y,'Threshold Summary'!$P:$P,"")/4))*XLOOKUP($Q831,'Threshold Summary'!$Y:$Y,'Threshold Summary'!$L:$L,""))/100)+5)*XLOOKUP(XLOOKUP($Q831,'Threshold Summary'!$Y:$Y,'Threshold Summary'!$M:$M,""),'Nature Editor'!$A:$A,'Nature Editor'!$B:$B,1)),FLOOR((FLOOR(((2*XLOOKUP(XLOOKUP($Q831,'Threshold Summary'!$Y:$Y,'Threshold Summary'!$K:$K,""),'Pokemon Editor'!$A:$A,'Pokemon Editor'!$H:$H,0)+31+FLOOR(XLOOKUP($Q831,'Threshold Summary'!$Y:$Y,'Threshold Summary'!$R:$R,"")/4))*XLOOKUP($Q831,'Threshold Summary'!$Y:$Y,'Threshold Summary'!$L:$L,""))/100)+5)*XLOOKUP(XLOOKUP($Q831,'Threshold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Editor'!$E:$E,1))),stab,IF(OR(mtype=XLOOKUP(XLOOKUP($Q831,'Threshold Summary'!$Y:$Y,'Threshold Summary'!$K:$K,""),'Pokemon Editor'!$A:$A,'Pokemon Editor'!$C:$C,""),mtype=XLOOKUP(XLOOKUP($Q831,'Threshold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Chart'!$B$1:$S$1,0)))),base,IF(OR(cat="Status",pow=0),0,FLOOR(FLOOR(FLOOR((2*XLOOKUP($Q831,'Threshold Summary'!$Y:$Y,'Threshold Summary'!$L:$L,"")/5+2)*pow*atk/def)/50)+2)),modifier,stab*eff,AVERAGE(ARRAYFORMULA(FLOOR(base*modifier*SEQUENCE(16,1,85,1)/100)))),0)</f>
        <v/>
      </c>
      <c r="M831" s="3">
        <f>IFERROR(LET(mtype,XLOOKUP($D831,'Move Editor'!$B:$B,'Move Editor'!$C:$C,""),cat,XLOOKUP($D831,'Move Editor'!$B:$B,'Move Editor'!$D:$D,""),pow,XLOOKUP($D831,'Move Editor'!$B:$B,'Move Editor'!$E:$E,0),acc,XLOOKUP($D831,'Move Editor'!$B:$B,'Move Editor'!$F:$F,100),atk,IF(cat="Physical",FLOOR((FLOOR(((2*XLOOKUP(XLOOKUP($Q831,'Threshold Summary'!$Y:$Y,'Threshold Summary'!$K:$K,""),'Pokemon Editor'!$A:$A,'Pokemon Editor'!$F:$F,0)+31+FLOOR(XLOOKUP($Q831,'Threshold Summary'!$Y:$Y,'Threshold Summary'!$P:$P,"")/4))*XLOOKUP($Q831,'Threshold Summary'!$Y:$Y,'Threshold Summary'!$L:$L,""))/100)+5)*XLOOKUP(XLOOKUP($Q831,'Threshold Summary'!$Y:$Y,'Threshold Summary'!$M:$M,""),'Nature Editor'!$A:$A,'Nature Editor'!$B:$B,1)),FLOOR((FLOOR(((2*XLOOKUP(XLOOKUP($Q831,'Threshold Summary'!$Y:$Y,'Threshold Summary'!$K:$K,""),'Pokemon Editor'!$A:$A,'Pokemon Editor'!$H:$H,0)+31+FLOOR(XLOOKUP($Q831,'Threshold Summary'!$Y:$Y,'Threshold Summary'!$R:$R,"")/4))*XLOOKUP($Q831,'Threshold Summary'!$Y:$Y,'Threshold Summary'!$L:$L,""))/100)+5)*XLOOKUP(XLOOKUP($Q831,'Threshold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Editor'!$E:$E,1))),stab,IF(OR(mtype=XLOOKUP(XLOOKUP($Q831,'Threshold Summary'!$Y:$Y,'Threshold Summary'!$K:$K,""),'Pokemon Editor'!$A:$A,'Pokemon Editor'!$C:$C,""),mtype=XLOOKUP(XLOOKUP($Q831,'Threshold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Chart'!$B$1:$S$1,0)))),base,IF(OR(cat="Status",pow=0),0,FLOOR(FLOOR(FLOOR((2*XLOOKUP($Q831,'Threshold Summary'!$Y:$Y,'Threshold Summary'!$L:$L,"")/5+2)*pow*atk/def)/50)+2)),modifier,stab*eff,AVERAGE(ARRAYFORMULA(FLOOR(base*modifier*SEQUENCE(16,1,85,1)/100)))*MIN(1,acc/100)),0)</f>
        <v/>
      </c>
      <c r="N831" s="4">
        <f>IFERROR(LET(mtype,XLOOKUP($D831,'Move Editor'!$B:$B,'Move Editor'!$C:$C,""),cat,XLOOKUP($D831,'Move Editor'!$B:$B,'Move Editor'!$D:$D,""),pow,XLOOKUP($D831,'Move Editor'!$B:$B,'Move Editor'!$E:$E,0),acc,XLOOKUP($D831,'Move Editor'!$B:$B,'Move Editor'!$F:$F,100),atk,IF(cat="Physical",FLOOR((FLOOR(((2*XLOOKUP(XLOOKUP($Q831,'Threshold Summary'!$Y:$Y,'Threshold Summary'!$K:$K,""),'Pokemon Editor'!$A:$A,'Pokemon Editor'!$F:$F,0)+31+FLOOR(XLOOKUP($Q831,'Threshold Summary'!$Y:$Y,'Threshold Summary'!$P:$P,"")/4))*XLOOKUP($Q831,'Threshold Summary'!$Y:$Y,'Threshold Summary'!$L:$L,""))/100)+5)*XLOOKUP(XLOOKUP($Q831,'Threshold Summary'!$Y:$Y,'Threshold Summary'!$M:$M,""),'Nature Editor'!$A:$A,'Nature Editor'!$B:$B,1)),FLOOR((FLOOR(((2*XLOOKUP(XLOOKUP($Q831,'Threshold Summary'!$Y:$Y,'Threshold Summary'!$K:$K,""),'Pokemon Editor'!$A:$A,'Pokemon Editor'!$H:$H,0)+31+FLOOR(XLOOKUP($Q831,'Threshold Summary'!$Y:$Y,'Threshold Summary'!$R:$R,"")/4))*XLOOKUP($Q831,'Threshold Summary'!$Y:$Y,'Threshold Summary'!$L:$L,""))/100)+5)*XLOOKUP(XLOOKUP($Q831,'Threshold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Editor'!$E:$E,1))),stab,IF(OR(mtype=XLOOKUP(XLOOKUP($Q831,'Threshold Summary'!$Y:$Y,'Threshold Summary'!$K:$K,""),'Pokemon Editor'!$A:$A,'Pokemon Editor'!$C:$C,""),mtype=XLOOKUP(XLOOKUP($Q831,'Threshold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Chart'!$B$1:$S$1,0)))),base,IF(OR(cat="Status",pow=0),0,FLOOR(FLOOR(FLOOR((2*XLOOKUP($Q831,'Threshold Summary'!$Y:$Y,'Threshold Summary'!$L:$L,"")/5+2)*pow*atk/def)/50)+2)),modifier,stab*eff,AVERAGE(ARRAYFORMULA(FLOOR(base*modifier*SEQUENCE(16,1,85,1)/100)))/(FLOOR(((2*XLOOKUP('Boss Editor'!$C$4,'Pokemon Editor'!$A:$A,'Pokemon Editor'!$E:$E,0)+31+FLOOR('Boss Editor'!$G$4/4))*'Boss Editor'!$D$4)/100)+'Boss Editor'!$D$4+10)),0)</f>
        <v/>
      </c>
      <c r="O831" s="3">
        <f>IF(N831&gt;=1,"OHKO",IF(N831&gt;=0.5,"2HKO",IF(N831&gt;=0.333,"3HKO",IF(N831&gt;=0.25,"4HKO","5HKO+"))))</f>
        <v/>
      </c>
      <c r="P831" s="3" t="inlineStr">
        <is>
          <t>Live from editable databases</t>
        </is>
      </c>
      <c r="Q831" s="3" t="inlineStr">
        <is>
          <t>SPECIES_BLIPBUG</t>
        </is>
      </c>
      <c r="R831" s="3" t="n">
        <v>30</v>
      </c>
    </row>
    <row r="832">
      <c r="A832" s="3">
        <f>XLOOKUP($Q832,'Threshold Summary'!$Y:$Y,'Threshold Summary'!$A:$A,"")</f>
        <v/>
      </c>
      <c r="B832" s="3">
        <f>XLOOKUP($Q832,'Threshold Summary'!$Y:$Y,'Threshold Summary'!$M:$M,"")</f>
        <v/>
      </c>
      <c r="C832" s="3">
        <f>XLOOKUP($Q832,'Threshold Summary'!$Y:$Y,'Threshold Summary'!$N:$N,"")</f>
        <v/>
      </c>
      <c r="D832" s="3">
        <f>IFERROR(INDEX(FILTER('Learnset Editor'!$D$2:$D,'Learnset Editor'!$A$2:$A=XLOOKUP($Q832,'Threshold Summary'!$Y:$Y,'Threshold Summary'!$K:$K,""),'Learnset Editor'!$C$2:$C&lt;=XLOOKUP($Q832,'Threshold Summary'!$Y:$Y,'Threshold Summary'!$L:$L,"")),$R832),"")</f>
        <v/>
      </c>
      <c r="E832" s="3">
        <f>XLOOKUP(D832,'Move Editor'!$B:$B,'Move Editor'!$C:$C,"")</f>
        <v/>
      </c>
      <c r="F832" s="3">
        <f>XLOOKUP(D832,'Move Editor'!$B:$B,'Move Editor'!$D:$D,"")</f>
        <v/>
      </c>
      <c r="G832" s="3">
        <f>XLOOKUP(D832,'Move Editor'!$B:$B,'Move Editor'!$E:$E,0)</f>
        <v/>
      </c>
      <c r="H832" s="3">
        <f>XLOOKUP(D832,'Move Editor'!$B:$B,'Move Editor'!$F:$F,0)</f>
        <v/>
      </c>
      <c r="I832" s="3">
        <f>(INDEX('Type Chart'!$B:$S,MATCH(E832,'Type Chart'!$A:$A,0),MATCH(XLOOKUP('Boss Editor'!$C$4,'Pokemon Editor'!$A:$A,'Pokemon Editor'!$C:$C,""),'Type Chart'!$B$1:$S$1,0))*IF(XLOOKUP('Boss Editor'!$C$4,'Pokemon Editor'!$A:$A,'Pokemon Editor'!$D:$D,"")="",1,INDEX('Type Chart'!$B:$S,MATCH(E832,'Type Chart'!$A:$A,0),MATCH(XLOOKUP('Boss Editor'!$C$4,'Pokemon Editor'!$A:$A,'Pokemon Editor'!$D:$D,""),'Type Chart'!$B$1:$S$1,0))))</f>
        <v/>
      </c>
      <c r="J832" s="3">
        <f>IFERROR(LET(mtype,XLOOKUP($D832,'Move Editor'!$B:$B,'Move Editor'!$C:$C,""),cat,XLOOKUP($D832,'Move Editor'!$B:$B,'Move Editor'!$D:$D,""),pow,XLOOKUP($D832,'Move Editor'!$B:$B,'Move Editor'!$E:$E,0),acc,XLOOKUP($D832,'Move Editor'!$B:$B,'Move Editor'!$F:$F,100),atk,IF(cat="Physical",FLOOR((FLOOR(((2*XLOOKUP(XLOOKUP($Q832,'Threshold Summary'!$Y:$Y,'Threshold Summary'!$K:$K,""),'Pokemon Editor'!$A:$A,'Pokemon Editor'!$F:$F,0)+31+FLOOR(XLOOKUP($Q832,'Threshold Summary'!$Y:$Y,'Threshold Summary'!$P:$P,"")/4))*XLOOKUP($Q832,'Threshold Summary'!$Y:$Y,'Threshold Summary'!$L:$L,""))/100)+5)*XLOOKUP(XLOOKUP($Q832,'Threshold Summary'!$Y:$Y,'Threshold Summary'!$M:$M,""),'Nature Editor'!$A:$A,'Nature Editor'!$B:$B,1)),FLOOR((FLOOR(((2*XLOOKUP(XLOOKUP($Q832,'Threshold Summary'!$Y:$Y,'Threshold Summary'!$K:$K,""),'Pokemon Editor'!$A:$A,'Pokemon Editor'!$H:$H,0)+31+FLOOR(XLOOKUP($Q832,'Threshold Summary'!$Y:$Y,'Threshold Summary'!$R:$R,"")/4))*XLOOKUP($Q832,'Threshold Summary'!$Y:$Y,'Threshold Summary'!$L:$L,""))/100)+5)*XLOOKUP(XLOOKUP($Q832,'Threshold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Editor'!$E:$E,1))),stab,IF(OR(mtype=XLOOKUP(XLOOKUP($Q832,'Threshold Summary'!$Y:$Y,'Threshold Summary'!$K:$K,""),'Pokemon Editor'!$A:$A,'Pokemon Editor'!$C:$C,""),mtype=XLOOKUP(XLOOKUP($Q832,'Threshold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Chart'!$B$1:$S$1,0)))),base,IF(OR(cat="Status",pow=0),0,FLOOR(FLOOR(FLOOR((2*XLOOKUP($Q832,'Threshold Summary'!$Y:$Y,'Threshold Summary'!$L:$L,"")/5+2)*pow*atk/def)/50)+2)),modifier,stab*eff,FLOOR(base*modifier*0.85)),0)</f>
        <v/>
      </c>
      <c r="K832" s="3">
        <f>IFERROR(LET(mtype,XLOOKUP($D832,'Move Editor'!$B:$B,'Move Editor'!$C:$C,""),cat,XLOOKUP($D832,'Move Editor'!$B:$B,'Move Editor'!$D:$D,""),pow,XLOOKUP($D832,'Move Editor'!$B:$B,'Move Editor'!$E:$E,0),acc,XLOOKUP($D832,'Move Editor'!$B:$B,'Move Editor'!$F:$F,100),atk,IF(cat="Physical",FLOOR((FLOOR(((2*XLOOKUP(XLOOKUP($Q832,'Threshold Summary'!$Y:$Y,'Threshold Summary'!$K:$K,""),'Pokemon Editor'!$A:$A,'Pokemon Editor'!$F:$F,0)+31+FLOOR(XLOOKUP($Q832,'Threshold Summary'!$Y:$Y,'Threshold Summary'!$P:$P,"")/4))*XLOOKUP($Q832,'Threshold Summary'!$Y:$Y,'Threshold Summary'!$L:$L,""))/100)+5)*XLOOKUP(XLOOKUP($Q832,'Threshold Summary'!$Y:$Y,'Threshold Summary'!$M:$M,""),'Nature Editor'!$A:$A,'Nature Editor'!$B:$B,1)),FLOOR((FLOOR(((2*XLOOKUP(XLOOKUP($Q832,'Threshold Summary'!$Y:$Y,'Threshold Summary'!$K:$K,""),'Pokemon Editor'!$A:$A,'Pokemon Editor'!$H:$H,0)+31+FLOOR(XLOOKUP($Q832,'Threshold Summary'!$Y:$Y,'Threshold Summary'!$R:$R,"")/4))*XLOOKUP($Q832,'Threshold Summary'!$Y:$Y,'Threshold Summary'!$L:$L,""))/100)+5)*XLOOKUP(XLOOKUP($Q832,'Threshold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Editor'!$E:$E,1))),stab,IF(OR(mtype=XLOOKUP(XLOOKUP($Q832,'Threshold Summary'!$Y:$Y,'Threshold Summary'!$K:$K,""),'Pokemon Editor'!$A:$A,'Pokemon Editor'!$C:$C,""),mtype=XLOOKUP(XLOOKUP($Q832,'Threshold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Chart'!$B$1:$S$1,0)))),base,IF(OR(cat="Status",pow=0),0,FLOOR(FLOOR(FLOOR((2*XLOOKUP($Q832,'Threshold Summary'!$Y:$Y,'Threshold Summary'!$L:$L,"")/5+2)*pow*atk/def)/50)+2)),modifier,stab*eff,FLOOR(base*modifier)),0)</f>
        <v/>
      </c>
      <c r="L832" s="3">
        <f>IFERROR(LET(mtype,XLOOKUP($D832,'Move Editor'!$B:$B,'Move Editor'!$C:$C,""),cat,XLOOKUP($D832,'Move Editor'!$B:$B,'Move Editor'!$D:$D,""),pow,XLOOKUP($D832,'Move Editor'!$B:$B,'Move Editor'!$E:$E,0),acc,XLOOKUP($D832,'Move Editor'!$B:$B,'Move Editor'!$F:$F,100),atk,IF(cat="Physical",FLOOR((FLOOR(((2*XLOOKUP(XLOOKUP($Q832,'Threshold Summary'!$Y:$Y,'Threshold Summary'!$K:$K,""),'Pokemon Editor'!$A:$A,'Pokemon Editor'!$F:$F,0)+31+FLOOR(XLOOKUP($Q832,'Threshold Summary'!$Y:$Y,'Threshold Summary'!$P:$P,"")/4))*XLOOKUP($Q832,'Threshold Summary'!$Y:$Y,'Threshold Summary'!$L:$L,""))/100)+5)*XLOOKUP(XLOOKUP($Q832,'Threshold Summary'!$Y:$Y,'Threshold Summary'!$M:$M,""),'Nature Editor'!$A:$A,'Nature Editor'!$B:$B,1)),FLOOR((FLOOR(((2*XLOOKUP(XLOOKUP($Q832,'Threshold Summary'!$Y:$Y,'Threshold Summary'!$K:$K,""),'Pokemon Editor'!$A:$A,'Pokemon Editor'!$H:$H,0)+31+FLOOR(XLOOKUP($Q832,'Threshold Summary'!$Y:$Y,'Threshold Summary'!$R:$R,"")/4))*XLOOKUP($Q832,'Threshold Summary'!$Y:$Y,'Threshold Summary'!$L:$L,""))/100)+5)*XLOOKUP(XLOOKUP($Q832,'Threshold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Editor'!$E:$E,1))),stab,IF(OR(mtype=XLOOKUP(XLOOKUP($Q832,'Threshold Summary'!$Y:$Y,'Threshold Summary'!$K:$K,""),'Pokemon Editor'!$A:$A,'Pokemon Editor'!$C:$C,""),mtype=XLOOKUP(XLOOKUP($Q832,'Threshold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Chart'!$B$1:$S$1,0)))),base,IF(OR(cat="Status",pow=0),0,FLOOR(FLOOR(FLOOR((2*XLOOKUP($Q832,'Threshold Summary'!$Y:$Y,'Threshold Summary'!$L:$L,"")/5+2)*pow*atk/def)/50)+2)),modifier,stab*eff,AVERAGE(ARRAYFORMULA(FLOOR(base*modifier*SEQUENCE(16,1,85,1)/100)))),0)</f>
        <v/>
      </c>
      <c r="M832" s="3">
        <f>IFERROR(LET(mtype,XLOOKUP($D832,'Move Editor'!$B:$B,'Move Editor'!$C:$C,""),cat,XLOOKUP($D832,'Move Editor'!$B:$B,'Move Editor'!$D:$D,""),pow,XLOOKUP($D832,'Move Editor'!$B:$B,'Move Editor'!$E:$E,0),acc,XLOOKUP($D832,'Move Editor'!$B:$B,'Move Editor'!$F:$F,100),atk,IF(cat="Physical",FLOOR((FLOOR(((2*XLOOKUP(XLOOKUP($Q832,'Threshold Summary'!$Y:$Y,'Threshold Summary'!$K:$K,""),'Pokemon Editor'!$A:$A,'Pokemon Editor'!$F:$F,0)+31+FLOOR(XLOOKUP($Q832,'Threshold Summary'!$Y:$Y,'Threshold Summary'!$P:$P,"")/4))*XLOOKUP($Q832,'Threshold Summary'!$Y:$Y,'Threshold Summary'!$L:$L,""))/100)+5)*XLOOKUP(XLOOKUP($Q832,'Threshold Summary'!$Y:$Y,'Threshold Summary'!$M:$M,""),'Nature Editor'!$A:$A,'Nature Editor'!$B:$B,1)),FLOOR((FLOOR(((2*XLOOKUP(XLOOKUP($Q832,'Threshold Summary'!$Y:$Y,'Threshold Summary'!$K:$K,""),'Pokemon Editor'!$A:$A,'Pokemon Editor'!$H:$H,0)+31+FLOOR(XLOOKUP($Q832,'Threshold Summary'!$Y:$Y,'Threshold Summary'!$R:$R,"")/4))*XLOOKUP($Q832,'Threshold Summary'!$Y:$Y,'Threshold Summary'!$L:$L,""))/100)+5)*XLOOKUP(XLOOKUP($Q832,'Threshold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Editor'!$E:$E,1))),stab,IF(OR(mtype=XLOOKUP(XLOOKUP($Q832,'Threshold Summary'!$Y:$Y,'Threshold Summary'!$K:$K,""),'Pokemon Editor'!$A:$A,'Pokemon Editor'!$C:$C,""),mtype=XLOOKUP(XLOOKUP($Q832,'Threshold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Chart'!$B$1:$S$1,0)))),base,IF(OR(cat="Status",pow=0),0,FLOOR(FLOOR(FLOOR((2*XLOOKUP($Q832,'Threshold Summary'!$Y:$Y,'Threshold Summary'!$L:$L,"")/5+2)*pow*atk/def)/50)+2)),modifier,stab*eff,AVERAGE(ARRAYFORMULA(FLOOR(base*modifier*SEQUENCE(16,1,85,1)/100)))*MIN(1,acc/100)),0)</f>
        <v/>
      </c>
      <c r="N832" s="4">
        <f>IFERROR(LET(mtype,XLOOKUP($D832,'Move Editor'!$B:$B,'Move Editor'!$C:$C,""),cat,XLOOKUP($D832,'Move Editor'!$B:$B,'Move Editor'!$D:$D,""),pow,XLOOKUP($D832,'Move Editor'!$B:$B,'Move Editor'!$E:$E,0),acc,XLOOKUP($D832,'Move Editor'!$B:$B,'Move Editor'!$F:$F,100),atk,IF(cat="Physical",FLOOR((FLOOR(((2*XLOOKUP(XLOOKUP($Q832,'Threshold Summary'!$Y:$Y,'Threshold Summary'!$K:$K,""),'Pokemon Editor'!$A:$A,'Pokemon Editor'!$F:$F,0)+31+FLOOR(XLOOKUP($Q832,'Threshold Summary'!$Y:$Y,'Threshold Summary'!$P:$P,"")/4))*XLOOKUP($Q832,'Threshold Summary'!$Y:$Y,'Threshold Summary'!$L:$L,""))/100)+5)*XLOOKUP(XLOOKUP($Q832,'Threshold Summary'!$Y:$Y,'Threshold Summary'!$M:$M,""),'Nature Editor'!$A:$A,'Nature Editor'!$B:$B,1)),FLOOR((FLOOR(((2*XLOOKUP(XLOOKUP($Q832,'Threshold Summary'!$Y:$Y,'Threshold Summary'!$K:$K,""),'Pokemon Editor'!$A:$A,'Pokemon Editor'!$H:$H,0)+31+FLOOR(XLOOKUP($Q832,'Threshold Summary'!$Y:$Y,'Threshold Summary'!$R:$R,"")/4))*XLOOKUP($Q832,'Threshold Summary'!$Y:$Y,'Threshold Summary'!$L:$L,""))/100)+5)*XLOOKUP(XLOOKUP($Q832,'Threshold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Editor'!$E:$E,1))),stab,IF(OR(mtype=XLOOKUP(XLOOKUP($Q832,'Threshold Summary'!$Y:$Y,'Threshold Summary'!$K:$K,""),'Pokemon Editor'!$A:$A,'Pokemon Editor'!$C:$C,""),mtype=XLOOKUP(XLOOKUP($Q832,'Threshold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Chart'!$B$1:$S$1,0)))),base,IF(OR(cat="Status",pow=0),0,FLOOR(FLOOR(FLOOR((2*XLOOKUP($Q832,'Threshold Summary'!$Y:$Y,'Threshold Summary'!$L:$L,"")/5+2)*pow*atk/def)/50)+2)),modifier,stab*eff,AVERAGE(ARRAYFORMULA(FLOOR(base*modifier*SEQUENCE(16,1,85,1)/100)))/(FLOOR(((2*XLOOKUP('Boss Editor'!$C$4,'Pokemon Editor'!$A:$A,'Pokemon Editor'!$E:$E,0)+31+FLOOR('Boss Editor'!$G$4/4))*'Boss Editor'!$D$4)/100)+'Boss Editor'!$D$4+10)),0)</f>
        <v/>
      </c>
      <c r="O832" s="3">
        <f>IF(N832&gt;=1,"OHKO",IF(N832&gt;=0.5,"2HKO",IF(N832&gt;=0.333,"3HKO",IF(N832&gt;=0.25,"4HKO","5HKO+"))))</f>
        <v/>
      </c>
      <c r="P832" s="3" t="inlineStr">
        <is>
          <t>Live from editable databases</t>
        </is>
      </c>
      <c r="Q832" s="3" t="inlineStr">
        <is>
          <t>SPECIES_BLIPBUG</t>
        </is>
      </c>
      <c r="R832" s="3" t="n">
        <v>31</v>
      </c>
    </row>
    <row r="833">
      <c r="A833" s="3">
        <f>XLOOKUP($Q833,'Threshold Summary'!$Y:$Y,'Threshold Summary'!$A:$A,"")</f>
        <v/>
      </c>
      <c r="B833" s="3">
        <f>XLOOKUP($Q833,'Threshold Summary'!$Y:$Y,'Threshold Summary'!$M:$M,"")</f>
        <v/>
      </c>
      <c r="C833" s="3">
        <f>XLOOKUP($Q833,'Threshold Summary'!$Y:$Y,'Threshold Summary'!$N:$N,"")</f>
        <v/>
      </c>
      <c r="D833" s="3">
        <f>IFERROR(INDEX(FILTER('Learnset Editor'!$D$2:$D,'Learnset Editor'!$A$2:$A=XLOOKUP($Q833,'Threshold Summary'!$Y:$Y,'Threshold Summary'!$K:$K,""),'Learnset Editor'!$C$2:$C&lt;=XLOOKUP($Q833,'Threshold Summary'!$Y:$Y,'Threshold Summary'!$L:$L,"")),$R833),"")</f>
        <v/>
      </c>
      <c r="E833" s="3">
        <f>XLOOKUP(D833,'Move Editor'!$B:$B,'Move Editor'!$C:$C,"")</f>
        <v/>
      </c>
      <c r="F833" s="3">
        <f>XLOOKUP(D833,'Move Editor'!$B:$B,'Move Editor'!$D:$D,"")</f>
        <v/>
      </c>
      <c r="G833" s="3">
        <f>XLOOKUP(D833,'Move Editor'!$B:$B,'Move Editor'!$E:$E,0)</f>
        <v/>
      </c>
      <c r="H833" s="3">
        <f>XLOOKUP(D833,'Move Editor'!$B:$B,'Move Editor'!$F:$F,0)</f>
        <v/>
      </c>
      <c r="I833" s="3">
        <f>(INDEX('Type Chart'!$B:$S,MATCH(E833,'Type Chart'!$A:$A,0),MATCH(XLOOKUP('Boss Editor'!$C$4,'Pokemon Editor'!$A:$A,'Pokemon Editor'!$C:$C,""),'Type Chart'!$B$1:$S$1,0))*IF(XLOOKUP('Boss Editor'!$C$4,'Pokemon Editor'!$A:$A,'Pokemon Editor'!$D:$D,"")="",1,INDEX('Type Chart'!$B:$S,MATCH(E833,'Type Chart'!$A:$A,0),MATCH(XLOOKUP('Boss Editor'!$C$4,'Pokemon Editor'!$A:$A,'Pokemon Editor'!$D:$D,""),'Type Chart'!$B$1:$S$1,0))))</f>
        <v/>
      </c>
      <c r="J833" s="3">
        <f>IFERROR(LET(mtype,XLOOKUP($D833,'Move Editor'!$B:$B,'Move Editor'!$C:$C,""),cat,XLOOKUP($D833,'Move Editor'!$B:$B,'Move Editor'!$D:$D,""),pow,XLOOKUP($D833,'Move Editor'!$B:$B,'Move Editor'!$E:$E,0),acc,XLOOKUP($D833,'Move Editor'!$B:$B,'Move Editor'!$F:$F,100),atk,IF(cat="Physical",FLOOR((FLOOR(((2*XLOOKUP(XLOOKUP($Q833,'Threshold Summary'!$Y:$Y,'Threshold Summary'!$K:$K,""),'Pokemon Editor'!$A:$A,'Pokemon Editor'!$F:$F,0)+31+FLOOR(XLOOKUP($Q833,'Threshold Summary'!$Y:$Y,'Threshold Summary'!$P:$P,"")/4))*XLOOKUP($Q833,'Threshold Summary'!$Y:$Y,'Threshold Summary'!$L:$L,""))/100)+5)*XLOOKUP(XLOOKUP($Q833,'Threshold Summary'!$Y:$Y,'Threshold Summary'!$M:$M,""),'Nature Editor'!$A:$A,'Nature Editor'!$B:$B,1)),FLOOR((FLOOR(((2*XLOOKUP(XLOOKUP($Q833,'Threshold Summary'!$Y:$Y,'Threshold Summary'!$K:$K,""),'Pokemon Editor'!$A:$A,'Pokemon Editor'!$H:$H,0)+31+FLOOR(XLOOKUP($Q833,'Threshold Summary'!$Y:$Y,'Threshold Summary'!$R:$R,"")/4))*XLOOKUP($Q833,'Threshold Summary'!$Y:$Y,'Threshold Summary'!$L:$L,""))/100)+5)*XLOOKUP(XLOOKUP($Q833,'Threshold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Editor'!$E:$E,1))),stab,IF(OR(mtype=XLOOKUP(XLOOKUP($Q833,'Threshold Summary'!$Y:$Y,'Threshold Summary'!$K:$K,""),'Pokemon Editor'!$A:$A,'Pokemon Editor'!$C:$C,""),mtype=XLOOKUP(XLOOKUP($Q833,'Threshold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Chart'!$B$1:$S$1,0)))),base,IF(OR(cat="Status",pow=0),0,FLOOR(FLOOR(FLOOR((2*XLOOKUP($Q833,'Threshold Summary'!$Y:$Y,'Threshold Summary'!$L:$L,"")/5+2)*pow*atk/def)/50)+2)),modifier,stab*eff,FLOOR(base*modifier*0.85)),0)</f>
        <v/>
      </c>
      <c r="K833" s="3">
        <f>IFERROR(LET(mtype,XLOOKUP($D833,'Move Editor'!$B:$B,'Move Editor'!$C:$C,""),cat,XLOOKUP($D833,'Move Editor'!$B:$B,'Move Editor'!$D:$D,""),pow,XLOOKUP($D833,'Move Editor'!$B:$B,'Move Editor'!$E:$E,0),acc,XLOOKUP($D833,'Move Editor'!$B:$B,'Move Editor'!$F:$F,100),atk,IF(cat="Physical",FLOOR((FLOOR(((2*XLOOKUP(XLOOKUP($Q833,'Threshold Summary'!$Y:$Y,'Threshold Summary'!$K:$K,""),'Pokemon Editor'!$A:$A,'Pokemon Editor'!$F:$F,0)+31+FLOOR(XLOOKUP($Q833,'Threshold Summary'!$Y:$Y,'Threshold Summary'!$P:$P,"")/4))*XLOOKUP($Q833,'Threshold Summary'!$Y:$Y,'Threshold Summary'!$L:$L,""))/100)+5)*XLOOKUP(XLOOKUP($Q833,'Threshold Summary'!$Y:$Y,'Threshold Summary'!$M:$M,""),'Nature Editor'!$A:$A,'Nature Editor'!$B:$B,1)),FLOOR((FLOOR(((2*XLOOKUP(XLOOKUP($Q833,'Threshold Summary'!$Y:$Y,'Threshold Summary'!$K:$K,""),'Pokemon Editor'!$A:$A,'Pokemon Editor'!$H:$H,0)+31+FLOOR(XLOOKUP($Q833,'Threshold Summary'!$Y:$Y,'Threshold Summary'!$R:$R,"")/4))*XLOOKUP($Q833,'Threshold Summary'!$Y:$Y,'Threshold Summary'!$L:$L,""))/100)+5)*XLOOKUP(XLOOKUP($Q833,'Threshold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Editor'!$E:$E,1))),stab,IF(OR(mtype=XLOOKUP(XLOOKUP($Q833,'Threshold Summary'!$Y:$Y,'Threshold Summary'!$K:$K,""),'Pokemon Editor'!$A:$A,'Pokemon Editor'!$C:$C,""),mtype=XLOOKUP(XLOOKUP($Q833,'Threshold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Chart'!$B$1:$S$1,0)))),base,IF(OR(cat="Status",pow=0),0,FLOOR(FLOOR(FLOOR((2*XLOOKUP($Q833,'Threshold Summary'!$Y:$Y,'Threshold Summary'!$L:$L,"")/5+2)*pow*atk/def)/50)+2)),modifier,stab*eff,FLOOR(base*modifier)),0)</f>
        <v/>
      </c>
      <c r="L833" s="3">
        <f>IFERROR(LET(mtype,XLOOKUP($D833,'Move Editor'!$B:$B,'Move Editor'!$C:$C,""),cat,XLOOKUP($D833,'Move Editor'!$B:$B,'Move Editor'!$D:$D,""),pow,XLOOKUP($D833,'Move Editor'!$B:$B,'Move Editor'!$E:$E,0),acc,XLOOKUP($D833,'Move Editor'!$B:$B,'Move Editor'!$F:$F,100),atk,IF(cat="Physical",FLOOR((FLOOR(((2*XLOOKUP(XLOOKUP($Q833,'Threshold Summary'!$Y:$Y,'Threshold Summary'!$K:$K,""),'Pokemon Editor'!$A:$A,'Pokemon Editor'!$F:$F,0)+31+FLOOR(XLOOKUP($Q833,'Threshold Summary'!$Y:$Y,'Threshold Summary'!$P:$P,"")/4))*XLOOKUP($Q833,'Threshold Summary'!$Y:$Y,'Threshold Summary'!$L:$L,""))/100)+5)*XLOOKUP(XLOOKUP($Q833,'Threshold Summary'!$Y:$Y,'Threshold Summary'!$M:$M,""),'Nature Editor'!$A:$A,'Nature Editor'!$B:$B,1)),FLOOR((FLOOR(((2*XLOOKUP(XLOOKUP($Q833,'Threshold Summary'!$Y:$Y,'Threshold Summary'!$K:$K,""),'Pokemon Editor'!$A:$A,'Pokemon Editor'!$H:$H,0)+31+FLOOR(XLOOKUP($Q833,'Threshold Summary'!$Y:$Y,'Threshold Summary'!$R:$R,"")/4))*XLOOKUP($Q833,'Threshold Summary'!$Y:$Y,'Threshold Summary'!$L:$L,""))/100)+5)*XLOOKUP(XLOOKUP($Q833,'Threshold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Editor'!$E:$E,1))),stab,IF(OR(mtype=XLOOKUP(XLOOKUP($Q833,'Threshold Summary'!$Y:$Y,'Threshold Summary'!$K:$K,""),'Pokemon Editor'!$A:$A,'Pokemon Editor'!$C:$C,""),mtype=XLOOKUP(XLOOKUP($Q833,'Threshold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Chart'!$B$1:$S$1,0)))),base,IF(OR(cat="Status",pow=0),0,FLOOR(FLOOR(FLOOR((2*XLOOKUP($Q833,'Threshold Summary'!$Y:$Y,'Threshold Summary'!$L:$L,"")/5+2)*pow*atk/def)/50)+2)),modifier,stab*eff,AVERAGE(ARRAYFORMULA(FLOOR(base*modifier*SEQUENCE(16,1,85,1)/100)))),0)</f>
        <v/>
      </c>
      <c r="M833" s="3">
        <f>IFERROR(LET(mtype,XLOOKUP($D833,'Move Editor'!$B:$B,'Move Editor'!$C:$C,""),cat,XLOOKUP($D833,'Move Editor'!$B:$B,'Move Editor'!$D:$D,""),pow,XLOOKUP($D833,'Move Editor'!$B:$B,'Move Editor'!$E:$E,0),acc,XLOOKUP($D833,'Move Editor'!$B:$B,'Move Editor'!$F:$F,100),atk,IF(cat="Physical",FLOOR((FLOOR(((2*XLOOKUP(XLOOKUP($Q833,'Threshold Summary'!$Y:$Y,'Threshold Summary'!$K:$K,""),'Pokemon Editor'!$A:$A,'Pokemon Editor'!$F:$F,0)+31+FLOOR(XLOOKUP($Q833,'Threshold Summary'!$Y:$Y,'Threshold Summary'!$P:$P,"")/4))*XLOOKUP($Q833,'Threshold Summary'!$Y:$Y,'Threshold Summary'!$L:$L,""))/100)+5)*XLOOKUP(XLOOKUP($Q833,'Threshold Summary'!$Y:$Y,'Threshold Summary'!$M:$M,""),'Nature Editor'!$A:$A,'Nature Editor'!$B:$B,1)),FLOOR((FLOOR(((2*XLOOKUP(XLOOKUP($Q833,'Threshold Summary'!$Y:$Y,'Threshold Summary'!$K:$K,""),'Pokemon Editor'!$A:$A,'Pokemon Editor'!$H:$H,0)+31+FLOOR(XLOOKUP($Q833,'Threshold Summary'!$Y:$Y,'Threshold Summary'!$R:$R,"")/4))*XLOOKUP($Q833,'Threshold Summary'!$Y:$Y,'Threshold Summary'!$L:$L,""))/100)+5)*XLOOKUP(XLOOKUP($Q833,'Threshold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Editor'!$E:$E,1))),stab,IF(OR(mtype=XLOOKUP(XLOOKUP($Q833,'Threshold Summary'!$Y:$Y,'Threshold Summary'!$K:$K,""),'Pokemon Editor'!$A:$A,'Pokemon Editor'!$C:$C,""),mtype=XLOOKUP(XLOOKUP($Q833,'Threshold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Chart'!$B$1:$S$1,0)))),base,IF(OR(cat="Status",pow=0),0,FLOOR(FLOOR(FLOOR((2*XLOOKUP($Q833,'Threshold Summary'!$Y:$Y,'Threshold Summary'!$L:$L,"")/5+2)*pow*atk/def)/50)+2)),modifier,stab*eff,AVERAGE(ARRAYFORMULA(FLOOR(base*modifier*SEQUENCE(16,1,85,1)/100)))*MIN(1,acc/100)),0)</f>
        <v/>
      </c>
      <c r="N833" s="4">
        <f>IFERROR(LET(mtype,XLOOKUP($D833,'Move Editor'!$B:$B,'Move Editor'!$C:$C,""),cat,XLOOKUP($D833,'Move Editor'!$B:$B,'Move Editor'!$D:$D,""),pow,XLOOKUP($D833,'Move Editor'!$B:$B,'Move Editor'!$E:$E,0),acc,XLOOKUP($D833,'Move Editor'!$B:$B,'Move Editor'!$F:$F,100),atk,IF(cat="Physical",FLOOR((FLOOR(((2*XLOOKUP(XLOOKUP($Q833,'Threshold Summary'!$Y:$Y,'Threshold Summary'!$K:$K,""),'Pokemon Editor'!$A:$A,'Pokemon Editor'!$F:$F,0)+31+FLOOR(XLOOKUP($Q833,'Threshold Summary'!$Y:$Y,'Threshold Summary'!$P:$P,"")/4))*XLOOKUP($Q833,'Threshold Summary'!$Y:$Y,'Threshold Summary'!$L:$L,""))/100)+5)*XLOOKUP(XLOOKUP($Q833,'Threshold Summary'!$Y:$Y,'Threshold Summary'!$M:$M,""),'Nature Editor'!$A:$A,'Nature Editor'!$B:$B,1)),FLOOR((FLOOR(((2*XLOOKUP(XLOOKUP($Q833,'Threshold Summary'!$Y:$Y,'Threshold Summary'!$K:$K,""),'Pokemon Editor'!$A:$A,'Pokemon Editor'!$H:$H,0)+31+FLOOR(XLOOKUP($Q833,'Threshold Summary'!$Y:$Y,'Threshold Summary'!$R:$R,"")/4))*XLOOKUP($Q833,'Threshold Summary'!$Y:$Y,'Threshold Summary'!$L:$L,""))/100)+5)*XLOOKUP(XLOOKUP($Q833,'Threshold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Editor'!$E:$E,1))),stab,IF(OR(mtype=XLOOKUP(XLOOKUP($Q833,'Threshold Summary'!$Y:$Y,'Threshold Summary'!$K:$K,""),'Pokemon Editor'!$A:$A,'Pokemon Editor'!$C:$C,""),mtype=XLOOKUP(XLOOKUP($Q833,'Threshold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Chart'!$B$1:$S$1,0)))),base,IF(OR(cat="Status",pow=0),0,FLOOR(FLOOR(FLOOR((2*XLOOKUP($Q833,'Threshold Summary'!$Y:$Y,'Threshold Summary'!$L:$L,"")/5+2)*pow*atk/def)/50)+2)),modifier,stab*eff,AVERAGE(ARRAYFORMULA(FLOOR(base*modifier*SEQUENCE(16,1,85,1)/100)))/(FLOOR(((2*XLOOKUP('Boss Editor'!$C$4,'Pokemon Editor'!$A:$A,'Pokemon Editor'!$E:$E,0)+31+FLOOR('Boss Editor'!$G$4/4))*'Boss Editor'!$D$4)/100)+'Boss Editor'!$D$4+10)),0)</f>
        <v/>
      </c>
      <c r="O833" s="3">
        <f>IF(N833&gt;=1,"OHKO",IF(N833&gt;=0.5,"2HKO",IF(N833&gt;=0.333,"3HKO",IF(N833&gt;=0.25,"4HKO","5HKO+"))))</f>
        <v/>
      </c>
      <c r="P833" s="3" t="inlineStr">
        <is>
          <t>Live from editable databases</t>
        </is>
      </c>
      <c r="Q833" s="3" t="inlineStr">
        <is>
          <t>SPECIES_BLIPBUG</t>
        </is>
      </c>
      <c r="R833" s="3" t="n">
        <v>32</v>
      </c>
    </row>
    <row r="834">
      <c r="A834" s="3">
        <f>XLOOKUP($Q834,'Threshold Summary'!$Y:$Y,'Threshold Summary'!$A:$A,"")</f>
        <v/>
      </c>
      <c r="B834" s="3">
        <f>XLOOKUP($Q834,'Threshold Summary'!$Y:$Y,'Threshold Summary'!$M:$M,"")</f>
        <v/>
      </c>
      <c r="C834" s="3">
        <f>XLOOKUP($Q834,'Threshold Summary'!$Y:$Y,'Threshold Summary'!$N:$N,"")</f>
        <v/>
      </c>
      <c r="D834" s="3">
        <f>IFERROR(INDEX(FILTER('Learnset Editor'!$D$2:$D,'Learnset Editor'!$A$2:$A=XLOOKUP($Q834,'Threshold Summary'!$Y:$Y,'Threshold Summary'!$K:$K,""),'Learnset Editor'!$C$2:$C&lt;=XLOOKUP($Q834,'Threshold Summary'!$Y:$Y,'Threshold Summary'!$L:$L,"")),$R834),"")</f>
        <v/>
      </c>
      <c r="E834" s="3">
        <f>XLOOKUP(D834,'Move Editor'!$B:$B,'Move Editor'!$C:$C,"")</f>
        <v/>
      </c>
      <c r="F834" s="3">
        <f>XLOOKUP(D834,'Move Editor'!$B:$B,'Move Editor'!$D:$D,"")</f>
        <v/>
      </c>
      <c r="G834" s="3">
        <f>XLOOKUP(D834,'Move Editor'!$B:$B,'Move Editor'!$E:$E,0)</f>
        <v/>
      </c>
      <c r="H834" s="3">
        <f>XLOOKUP(D834,'Move Editor'!$B:$B,'Move Editor'!$F:$F,0)</f>
        <v/>
      </c>
      <c r="I834" s="3">
        <f>(INDEX('Type Chart'!$B:$S,MATCH(E834,'Type Chart'!$A:$A,0),MATCH(XLOOKUP('Boss Editor'!$C$4,'Pokemon Editor'!$A:$A,'Pokemon Editor'!$C:$C,""),'Type Chart'!$B$1:$S$1,0))*IF(XLOOKUP('Boss Editor'!$C$4,'Pokemon Editor'!$A:$A,'Pokemon Editor'!$D:$D,"")="",1,INDEX('Type Chart'!$B:$S,MATCH(E834,'Type Chart'!$A:$A,0),MATCH(XLOOKUP('Boss Editor'!$C$4,'Pokemon Editor'!$A:$A,'Pokemon Editor'!$D:$D,""),'Type Chart'!$B$1:$S$1,0))))</f>
        <v/>
      </c>
      <c r="J834" s="3">
        <f>IFERROR(LET(mtype,XLOOKUP($D834,'Move Editor'!$B:$B,'Move Editor'!$C:$C,""),cat,XLOOKUP($D834,'Move Editor'!$B:$B,'Move Editor'!$D:$D,""),pow,XLOOKUP($D834,'Move Editor'!$B:$B,'Move Editor'!$E:$E,0),acc,XLOOKUP($D834,'Move Editor'!$B:$B,'Move Editor'!$F:$F,100),atk,IF(cat="Physical",FLOOR((FLOOR(((2*XLOOKUP(XLOOKUP($Q834,'Threshold Summary'!$Y:$Y,'Threshold Summary'!$K:$K,""),'Pokemon Editor'!$A:$A,'Pokemon Editor'!$F:$F,0)+31+FLOOR(XLOOKUP($Q834,'Threshold Summary'!$Y:$Y,'Threshold Summary'!$P:$P,"")/4))*XLOOKUP($Q834,'Threshold Summary'!$Y:$Y,'Threshold Summary'!$L:$L,""))/100)+5)*XLOOKUP(XLOOKUP($Q834,'Threshold Summary'!$Y:$Y,'Threshold Summary'!$M:$M,""),'Nature Editor'!$A:$A,'Nature Editor'!$B:$B,1)),FLOOR((FLOOR(((2*XLOOKUP(XLOOKUP($Q834,'Threshold Summary'!$Y:$Y,'Threshold Summary'!$K:$K,""),'Pokemon Editor'!$A:$A,'Pokemon Editor'!$H:$H,0)+31+FLOOR(XLOOKUP($Q834,'Threshold Summary'!$Y:$Y,'Threshold Summary'!$R:$R,"")/4))*XLOOKUP($Q834,'Threshold Summary'!$Y:$Y,'Threshold Summary'!$L:$L,""))/100)+5)*XLOOKUP(XLOOKUP($Q834,'Threshold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Editor'!$E:$E,1))),stab,IF(OR(mtype=XLOOKUP(XLOOKUP($Q834,'Threshold Summary'!$Y:$Y,'Threshold Summary'!$K:$K,""),'Pokemon Editor'!$A:$A,'Pokemon Editor'!$C:$C,""),mtype=XLOOKUP(XLOOKUP($Q834,'Threshold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Chart'!$B$1:$S$1,0)))),base,IF(OR(cat="Status",pow=0),0,FLOOR(FLOOR(FLOOR((2*XLOOKUP($Q834,'Threshold Summary'!$Y:$Y,'Threshold Summary'!$L:$L,"")/5+2)*pow*atk/def)/50)+2)),modifier,stab*eff,FLOOR(base*modifier*0.85)),0)</f>
        <v/>
      </c>
      <c r="K834" s="3">
        <f>IFERROR(LET(mtype,XLOOKUP($D834,'Move Editor'!$B:$B,'Move Editor'!$C:$C,""),cat,XLOOKUP($D834,'Move Editor'!$B:$B,'Move Editor'!$D:$D,""),pow,XLOOKUP($D834,'Move Editor'!$B:$B,'Move Editor'!$E:$E,0),acc,XLOOKUP($D834,'Move Editor'!$B:$B,'Move Editor'!$F:$F,100),atk,IF(cat="Physical",FLOOR((FLOOR(((2*XLOOKUP(XLOOKUP($Q834,'Threshold Summary'!$Y:$Y,'Threshold Summary'!$K:$K,""),'Pokemon Editor'!$A:$A,'Pokemon Editor'!$F:$F,0)+31+FLOOR(XLOOKUP($Q834,'Threshold Summary'!$Y:$Y,'Threshold Summary'!$P:$P,"")/4))*XLOOKUP($Q834,'Threshold Summary'!$Y:$Y,'Threshold Summary'!$L:$L,""))/100)+5)*XLOOKUP(XLOOKUP($Q834,'Threshold Summary'!$Y:$Y,'Threshold Summary'!$M:$M,""),'Nature Editor'!$A:$A,'Nature Editor'!$B:$B,1)),FLOOR((FLOOR(((2*XLOOKUP(XLOOKUP($Q834,'Threshold Summary'!$Y:$Y,'Threshold Summary'!$K:$K,""),'Pokemon Editor'!$A:$A,'Pokemon Editor'!$H:$H,0)+31+FLOOR(XLOOKUP($Q834,'Threshold Summary'!$Y:$Y,'Threshold Summary'!$R:$R,"")/4))*XLOOKUP($Q834,'Threshold Summary'!$Y:$Y,'Threshold Summary'!$L:$L,""))/100)+5)*XLOOKUP(XLOOKUP($Q834,'Threshold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Editor'!$E:$E,1))),stab,IF(OR(mtype=XLOOKUP(XLOOKUP($Q834,'Threshold Summary'!$Y:$Y,'Threshold Summary'!$K:$K,""),'Pokemon Editor'!$A:$A,'Pokemon Editor'!$C:$C,""),mtype=XLOOKUP(XLOOKUP($Q834,'Threshold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Chart'!$B$1:$S$1,0)))),base,IF(OR(cat="Status",pow=0),0,FLOOR(FLOOR(FLOOR((2*XLOOKUP($Q834,'Threshold Summary'!$Y:$Y,'Threshold Summary'!$L:$L,"")/5+2)*pow*atk/def)/50)+2)),modifier,stab*eff,FLOOR(base*modifier)),0)</f>
        <v/>
      </c>
      <c r="L834" s="3">
        <f>IFERROR(LET(mtype,XLOOKUP($D834,'Move Editor'!$B:$B,'Move Editor'!$C:$C,""),cat,XLOOKUP($D834,'Move Editor'!$B:$B,'Move Editor'!$D:$D,""),pow,XLOOKUP($D834,'Move Editor'!$B:$B,'Move Editor'!$E:$E,0),acc,XLOOKUP($D834,'Move Editor'!$B:$B,'Move Editor'!$F:$F,100),atk,IF(cat="Physical",FLOOR((FLOOR(((2*XLOOKUP(XLOOKUP($Q834,'Threshold Summary'!$Y:$Y,'Threshold Summary'!$K:$K,""),'Pokemon Editor'!$A:$A,'Pokemon Editor'!$F:$F,0)+31+FLOOR(XLOOKUP($Q834,'Threshold Summary'!$Y:$Y,'Threshold Summary'!$P:$P,"")/4))*XLOOKUP($Q834,'Threshold Summary'!$Y:$Y,'Threshold Summary'!$L:$L,""))/100)+5)*XLOOKUP(XLOOKUP($Q834,'Threshold Summary'!$Y:$Y,'Threshold Summary'!$M:$M,""),'Nature Editor'!$A:$A,'Nature Editor'!$B:$B,1)),FLOOR((FLOOR(((2*XLOOKUP(XLOOKUP($Q834,'Threshold Summary'!$Y:$Y,'Threshold Summary'!$K:$K,""),'Pokemon Editor'!$A:$A,'Pokemon Editor'!$H:$H,0)+31+FLOOR(XLOOKUP($Q834,'Threshold Summary'!$Y:$Y,'Threshold Summary'!$R:$R,"")/4))*XLOOKUP($Q834,'Threshold Summary'!$Y:$Y,'Threshold Summary'!$L:$L,""))/100)+5)*XLOOKUP(XLOOKUP($Q834,'Threshold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Editor'!$E:$E,1))),stab,IF(OR(mtype=XLOOKUP(XLOOKUP($Q834,'Threshold Summary'!$Y:$Y,'Threshold Summary'!$K:$K,""),'Pokemon Editor'!$A:$A,'Pokemon Editor'!$C:$C,""),mtype=XLOOKUP(XLOOKUP($Q834,'Threshold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Chart'!$B$1:$S$1,0)))),base,IF(OR(cat="Status",pow=0),0,FLOOR(FLOOR(FLOOR((2*XLOOKUP($Q834,'Threshold Summary'!$Y:$Y,'Threshold Summary'!$L:$L,"")/5+2)*pow*atk/def)/50)+2)),modifier,stab*eff,AVERAGE(ARRAYFORMULA(FLOOR(base*modifier*SEQUENCE(16,1,85,1)/100)))),0)</f>
        <v/>
      </c>
      <c r="M834" s="3">
        <f>IFERROR(LET(mtype,XLOOKUP($D834,'Move Editor'!$B:$B,'Move Editor'!$C:$C,""),cat,XLOOKUP($D834,'Move Editor'!$B:$B,'Move Editor'!$D:$D,""),pow,XLOOKUP($D834,'Move Editor'!$B:$B,'Move Editor'!$E:$E,0),acc,XLOOKUP($D834,'Move Editor'!$B:$B,'Move Editor'!$F:$F,100),atk,IF(cat="Physical",FLOOR((FLOOR(((2*XLOOKUP(XLOOKUP($Q834,'Threshold Summary'!$Y:$Y,'Threshold Summary'!$K:$K,""),'Pokemon Editor'!$A:$A,'Pokemon Editor'!$F:$F,0)+31+FLOOR(XLOOKUP($Q834,'Threshold Summary'!$Y:$Y,'Threshold Summary'!$P:$P,"")/4))*XLOOKUP($Q834,'Threshold Summary'!$Y:$Y,'Threshold Summary'!$L:$L,""))/100)+5)*XLOOKUP(XLOOKUP($Q834,'Threshold Summary'!$Y:$Y,'Threshold Summary'!$M:$M,""),'Nature Editor'!$A:$A,'Nature Editor'!$B:$B,1)),FLOOR((FLOOR(((2*XLOOKUP(XLOOKUP($Q834,'Threshold Summary'!$Y:$Y,'Threshold Summary'!$K:$K,""),'Pokemon Editor'!$A:$A,'Pokemon Editor'!$H:$H,0)+31+FLOOR(XLOOKUP($Q834,'Threshold Summary'!$Y:$Y,'Threshold Summary'!$R:$R,"")/4))*XLOOKUP($Q834,'Threshold Summary'!$Y:$Y,'Threshold Summary'!$L:$L,""))/100)+5)*XLOOKUP(XLOOKUP($Q834,'Threshold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Editor'!$E:$E,1))),stab,IF(OR(mtype=XLOOKUP(XLOOKUP($Q834,'Threshold Summary'!$Y:$Y,'Threshold Summary'!$K:$K,""),'Pokemon Editor'!$A:$A,'Pokemon Editor'!$C:$C,""),mtype=XLOOKUP(XLOOKUP($Q834,'Threshold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Chart'!$B$1:$S$1,0)))),base,IF(OR(cat="Status",pow=0),0,FLOOR(FLOOR(FLOOR((2*XLOOKUP($Q834,'Threshold Summary'!$Y:$Y,'Threshold Summary'!$L:$L,"")/5+2)*pow*atk/def)/50)+2)),modifier,stab*eff,AVERAGE(ARRAYFORMULA(FLOOR(base*modifier*SEQUENCE(16,1,85,1)/100)))*MIN(1,acc/100)),0)</f>
        <v/>
      </c>
      <c r="N834" s="4">
        <f>IFERROR(LET(mtype,XLOOKUP($D834,'Move Editor'!$B:$B,'Move Editor'!$C:$C,""),cat,XLOOKUP($D834,'Move Editor'!$B:$B,'Move Editor'!$D:$D,""),pow,XLOOKUP($D834,'Move Editor'!$B:$B,'Move Editor'!$E:$E,0),acc,XLOOKUP($D834,'Move Editor'!$B:$B,'Move Editor'!$F:$F,100),atk,IF(cat="Physical",FLOOR((FLOOR(((2*XLOOKUP(XLOOKUP($Q834,'Threshold Summary'!$Y:$Y,'Threshold Summary'!$K:$K,""),'Pokemon Editor'!$A:$A,'Pokemon Editor'!$F:$F,0)+31+FLOOR(XLOOKUP($Q834,'Threshold Summary'!$Y:$Y,'Threshold Summary'!$P:$P,"")/4))*XLOOKUP($Q834,'Threshold Summary'!$Y:$Y,'Threshold Summary'!$L:$L,""))/100)+5)*XLOOKUP(XLOOKUP($Q834,'Threshold Summary'!$Y:$Y,'Threshold Summary'!$M:$M,""),'Nature Editor'!$A:$A,'Nature Editor'!$B:$B,1)),FLOOR((FLOOR(((2*XLOOKUP(XLOOKUP($Q834,'Threshold Summary'!$Y:$Y,'Threshold Summary'!$K:$K,""),'Pokemon Editor'!$A:$A,'Pokemon Editor'!$H:$H,0)+31+FLOOR(XLOOKUP($Q834,'Threshold Summary'!$Y:$Y,'Threshold Summary'!$R:$R,"")/4))*XLOOKUP($Q834,'Threshold Summary'!$Y:$Y,'Threshold Summary'!$L:$L,""))/100)+5)*XLOOKUP(XLOOKUP($Q834,'Threshold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Editor'!$E:$E,1))),stab,IF(OR(mtype=XLOOKUP(XLOOKUP($Q834,'Threshold Summary'!$Y:$Y,'Threshold Summary'!$K:$K,""),'Pokemon Editor'!$A:$A,'Pokemon Editor'!$C:$C,""),mtype=XLOOKUP(XLOOKUP($Q834,'Threshold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Chart'!$B$1:$S$1,0)))),base,IF(OR(cat="Status",pow=0),0,FLOOR(FLOOR(FLOOR((2*XLOOKUP($Q834,'Threshold Summary'!$Y:$Y,'Threshold Summary'!$L:$L,"")/5+2)*pow*atk/def)/50)+2)),modifier,stab*eff,AVERAGE(ARRAYFORMULA(FLOOR(base*modifier*SEQUENCE(16,1,85,1)/100)))/(FLOOR(((2*XLOOKUP('Boss Editor'!$C$4,'Pokemon Editor'!$A:$A,'Pokemon Editor'!$E:$E,0)+31+FLOOR('Boss Editor'!$G$4/4))*'Boss Editor'!$D$4)/100)+'Boss Editor'!$D$4+10)),0)</f>
        <v/>
      </c>
      <c r="O834" s="3">
        <f>IF(N834&gt;=1,"OHKO",IF(N834&gt;=0.5,"2HKO",IF(N834&gt;=0.333,"3HKO",IF(N834&gt;=0.25,"4HKO","5HKO+"))))</f>
        <v/>
      </c>
      <c r="P834" s="3" t="inlineStr">
        <is>
          <t>Live from editable databases</t>
        </is>
      </c>
      <c r="Q834" s="3" t="inlineStr">
        <is>
          <t>SPECIES_TOXEL</t>
        </is>
      </c>
      <c r="R834" s="3" t="n">
        <v>1</v>
      </c>
    </row>
    <row r="835">
      <c r="A835" s="3">
        <f>XLOOKUP($Q835,'Threshold Summary'!$Y:$Y,'Threshold Summary'!$A:$A,"")</f>
        <v/>
      </c>
      <c r="B835" s="3">
        <f>XLOOKUP($Q835,'Threshold Summary'!$Y:$Y,'Threshold Summary'!$M:$M,"")</f>
        <v/>
      </c>
      <c r="C835" s="3">
        <f>XLOOKUP($Q835,'Threshold Summary'!$Y:$Y,'Threshold Summary'!$N:$N,"")</f>
        <v/>
      </c>
      <c r="D835" s="3">
        <f>IFERROR(INDEX(FILTER('Learnset Editor'!$D$2:$D,'Learnset Editor'!$A$2:$A=XLOOKUP($Q835,'Threshold Summary'!$Y:$Y,'Threshold Summary'!$K:$K,""),'Learnset Editor'!$C$2:$C&lt;=XLOOKUP($Q835,'Threshold Summary'!$Y:$Y,'Threshold Summary'!$L:$L,"")),$R835),"")</f>
        <v/>
      </c>
      <c r="E835" s="3">
        <f>XLOOKUP(D835,'Move Editor'!$B:$B,'Move Editor'!$C:$C,"")</f>
        <v/>
      </c>
      <c r="F835" s="3">
        <f>XLOOKUP(D835,'Move Editor'!$B:$B,'Move Editor'!$D:$D,"")</f>
        <v/>
      </c>
      <c r="G835" s="3">
        <f>XLOOKUP(D835,'Move Editor'!$B:$B,'Move Editor'!$E:$E,0)</f>
        <v/>
      </c>
      <c r="H835" s="3">
        <f>XLOOKUP(D835,'Move Editor'!$B:$B,'Move Editor'!$F:$F,0)</f>
        <v/>
      </c>
      <c r="I835" s="3">
        <f>(INDEX('Type Chart'!$B:$S,MATCH(E835,'Type Chart'!$A:$A,0),MATCH(XLOOKUP('Boss Editor'!$C$4,'Pokemon Editor'!$A:$A,'Pokemon Editor'!$C:$C,""),'Type Chart'!$B$1:$S$1,0))*IF(XLOOKUP('Boss Editor'!$C$4,'Pokemon Editor'!$A:$A,'Pokemon Editor'!$D:$D,"")="",1,INDEX('Type Chart'!$B:$S,MATCH(E835,'Type Chart'!$A:$A,0),MATCH(XLOOKUP('Boss Editor'!$C$4,'Pokemon Editor'!$A:$A,'Pokemon Editor'!$D:$D,""),'Type Chart'!$B$1:$S$1,0))))</f>
        <v/>
      </c>
      <c r="J835" s="3">
        <f>IFERROR(LET(mtype,XLOOKUP($D835,'Move Editor'!$B:$B,'Move Editor'!$C:$C,""),cat,XLOOKUP($D835,'Move Editor'!$B:$B,'Move Editor'!$D:$D,""),pow,XLOOKUP($D835,'Move Editor'!$B:$B,'Move Editor'!$E:$E,0),acc,XLOOKUP($D835,'Move Editor'!$B:$B,'Move Editor'!$F:$F,100),atk,IF(cat="Physical",FLOOR((FLOOR(((2*XLOOKUP(XLOOKUP($Q835,'Threshold Summary'!$Y:$Y,'Threshold Summary'!$K:$K,""),'Pokemon Editor'!$A:$A,'Pokemon Editor'!$F:$F,0)+31+FLOOR(XLOOKUP($Q835,'Threshold Summary'!$Y:$Y,'Threshold Summary'!$P:$P,"")/4))*XLOOKUP($Q835,'Threshold Summary'!$Y:$Y,'Threshold Summary'!$L:$L,""))/100)+5)*XLOOKUP(XLOOKUP($Q835,'Threshold Summary'!$Y:$Y,'Threshold Summary'!$M:$M,""),'Nature Editor'!$A:$A,'Nature Editor'!$B:$B,1)),FLOOR((FLOOR(((2*XLOOKUP(XLOOKUP($Q835,'Threshold Summary'!$Y:$Y,'Threshold Summary'!$K:$K,""),'Pokemon Editor'!$A:$A,'Pokemon Editor'!$H:$H,0)+31+FLOOR(XLOOKUP($Q835,'Threshold Summary'!$Y:$Y,'Threshold Summary'!$R:$R,"")/4))*XLOOKUP($Q835,'Threshold Summary'!$Y:$Y,'Threshold Summary'!$L:$L,""))/100)+5)*XLOOKUP(XLOOKUP($Q835,'Threshold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Editor'!$E:$E,1))),stab,IF(OR(mtype=XLOOKUP(XLOOKUP($Q835,'Threshold Summary'!$Y:$Y,'Threshold Summary'!$K:$K,""),'Pokemon Editor'!$A:$A,'Pokemon Editor'!$C:$C,""),mtype=XLOOKUP(XLOOKUP($Q835,'Threshold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Chart'!$B$1:$S$1,0)))),base,IF(OR(cat="Status",pow=0),0,FLOOR(FLOOR(FLOOR((2*XLOOKUP($Q835,'Threshold Summary'!$Y:$Y,'Threshold Summary'!$L:$L,"")/5+2)*pow*atk/def)/50)+2)),modifier,stab*eff,FLOOR(base*modifier*0.85)),0)</f>
        <v/>
      </c>
      <c r="K835" s="3">
        <f>IFERROR(LET(mtype,XLOOKUP($D835,'Move Editor'!$B:$B,'Move Editor'!$C:$C,""),cat,XLOOKUP($D835,'Move Editor'!$B:$B,'Move Editor'!$D:$D,""),pow,XLOOKUP($D835,'Move Editor'!$B:$B,'Move Editor'!$E:$E,0),acc,XLOOKUP($D835,'Move Editor'!$B:$B,'Move Editor'!$F:$F,100),atk,IF(cat="Physical",FLOOR((FLOOR(((2*XLOOKUP(XLOOKUP($Q835,'Threshold Summary'!$Y:$Y,'Threshold Summary'!$K:$K,""),'Pokemon Editor'!$A:$A,'Pokemon Editor'!$F:$F,0)+31+FLOOR(XLOOKUP($Q835,'Threshold Summary'!$Y:$Y,'Threshold Summary'!$P:$P,"")/4))*XLOOKUP($Q835,'Threshold Summary'!$Y:$Y,'Threshold Summary'!$L:$L,""))/100)+5)*XLOOKUP(XLOOKUP($Q835,'Threshold Summary'!$Y:$Y,'Threshold Summary'!$M:$M,""),'Nature Editor'!$A:$A,'Nature Editor'!$B:$B,1)),FLOOR((FLOOR(((2*XLOOKUP(XLOOKUP($Q835,'Threshold Summary'!$Y:$Y,'Threshold Summary'!$K:$K,""),'Pokemon Editor'!$A:$A,'Pokemon Editor'!$H:$H,0)+31+FLOOR(XLOOKUP($Q835,'Threshold Summary'!$Y:$Y,'Threshold Summary'!$R:$R,"")/4))*XLOOKUP($Q835,'Threshold Summary'!$Y:$Y,'Threshold Summary'!$L:$L,""))/100)+5)*XLOOKUP(XLOOKUP($Q835,'Threshold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Editor'!$E:$E,1))),stab,IF(OR(mtype=XLOOKUP(XLOOKUP($Q835,'Threshold Summary'!$Y:$Y,'Threshold Summary'!$K:$K,""),'Pokemon Editor'!$A:$A,'Pokemon Editor'!$C:$C,""),mtype=XLOOKUP(XLOOKUP($Q835,'Threshold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Chart'!$B$1:$S$1,0)))),base,IF(OR(cat="Status",pow=0),0,FLOOR(FLOOR(FLOOR((2*XLOOKUP($Q835,'Threshold Summary'!$Y:$Y,'Threshold Summary'!$L:$L,"")/5+2)*pow*atk/def)/50)+2)),modifier,stab*eff,FLOOR(base*modifier)),0)</f>
        <v/>
      </c>
      <c r="L835" s="3">
        <f>IFERROR(LET(mtype,XLOOKUP($D835,'Move Editor'!$B:$B,'Move Editor'!$C:$C,""),cat,XLOOKUP($D835,'Move Editor'!$B:$B,'Move Editor'!$D:$D,""),pow,XLOOKUP($D835,'Move Editor'!$B:$B,'Move Editor'!$E:$E,0),acc,XLOOKUP($D835,'Move Editor'!$B:$B,'Move Editor'!$F:$F,100),atk,IF(cat="Physical",FLOOR((FLOOR(((2*XLOOKUP(XLOOKUP($Q835,'Threshold Summary'!$Y:$Y,'Threshold Summary'!$K:$K,""),'Pokemon Editor'!$A:$A,'Pokemon Editor'!$F:$F,0)+31+FLOOR(XLOOKUP($Q835,'Threshold Summary'!$Y:$Y,'Threshold Summary'!$P:$P,"")/4))*XLOOKUP($Q835,'Threshold Summary'!$Y:$Y,'Threshold Summary'!$L:$L,""))/100)+5)*XLOOKUP(XLOOKUP($Q835,'Threshold Summary'!$Y:$Y,'Threshold Summary'!$M:$M,""),'Nature Editor'!$A:$A,'Nature Editor'!$B:$B,1)),FLOOR((FLOOR(((2*XLOOKUP(XLOOKUP($Q835,'Threshold Summary'!$Y:$Y,'Threshold Summary'!$K:$K,""),'Pokemon Editor'!$A:$A,'Pokemon Editor'!$H:$H,0)+31+FLOOR(XLOOKUP($Q835,'Threshold Summary'!$Y:$Y,'Threshold Summary'!$R:$R,"")/4))*XLOOKUP($Q835,'Threshold Summary'!$Y:$Y,'Threshold Summary'!$L:$L,""))/100)+5)*XLOOKUP(XLOOKUP($Q835,'Threshold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Editor'!$E:$E,1))),stab,IF(OR(mtype=XLOOKUP(XLOOKUP($Q835,'Threshold Summary'!$Y:$Y,'Threshold Summary'!$K:$K,""),'Pokemon Editor'!$A:$A,'Pokemon Editor'!$C:$C,""),mtype=XLOOKUP(XLOOKUP($Q835,'Threshold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Chart'!$B$1:$S$1,0)))),base,IF(OR(cat="Status",pow=0),0,FLOOR(FLOOR(FLOOR((2*XLOOKUP($Q835,'Threshold Summary'!$Y:$Y,'Threshold Summary'!$L:$L,"")/5+2)*pow*atk/def)/50)+2)),modifier,stab*eff,AVERAGE(ARRAYFORMULA(FLOOR(base*modifier*SEQUENCE(16,1,85,1)/100)))),0)</f>
        <v/>
      </c>
      <c r="M835" s="3">
        <f>IFERROR(LET(mtype,XLOOKUP($D835,'Move Editor'!$B:$B,'Move Editor'!$C:$C,""),cat,XLOOKUP($D835,'Move Editor'!$B:$B,'Move Editor'!$D:$D,""),pow,XLOOKUP($D835,'Move Editor'!$B:$B,'Move Editor'!$E:$E,0),acc,XLOOKUP($D835,'Move Editor'!$B:$B,'Move Editor'!$F:$F,100),atk,IF(cat="Physical",FLOOR((FLOOR(((2*XLOOKUP(XLOOKUP($Q835,'Threshold Summary'!$Y:$Y,'Threshold Summary'!$K:$K,""),'Pokemon Editor'!$A:$A,'Pokemon Editor'!$F:$F,0)+31+FLOOR(XLOOKUP($Q835,'Threshold Summary'!$Y:$Y,'Threshold Summary'!$P:$P,"")/4))*XLOOKUP($Q835,'Threshold Summary'!$Y:$Y,'Threshold Summary'!$L:$L,""))/100)+5)*XLOOKUP(XLOOKUP($Q835,'Threshold Summary'!$Y:$Y,'Threshold Summary'!$M:$M,""),'Nature Editor'!$A:$A,'Nature Editor'!$B:$B,1)),FLOOR((FLOOR(((2*XLOOKUP(XLOOKUP($Q835,'Threshold Summary'!$Y:$Y,'Threshold Summary'!$K:$K,""),'Pokemon Editor'!$A:$A,'Pokemon Editor'!$H:$H,0)+31+FLOOR(XLOOKUP($Q835,'Threshold Summary'!$Y:$Y,'Threshold Summary'!$R:$R,"")/4))*XLOOKUP($Q835,'Threshold Summary'!$Y:$Y,'Threshold Summary'!$L:$L,""))/100)+5)*XLOOKUP(XLOOKUP($Q835,'Threshold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Editor'!$E:$E,1))),stab,IF(OR(mtype=XLOOKUP(XLOOKUP($Q835,'Threshold Summary'!$Y:$Y,'Threshold Summary'!$K:$K,""),'Pokemon Editor'!$A:$A,'Pokemon Editor'!$C:$C,""),mtype=XLOOKUP(XLOOKUP($Q835,'Threshold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Chart'!$B$1:$S$1,0)))),base,IF(OR(cat="Status",pow=0),0,FLOOR(FLOOR(FLOOR((2*XLOOKUP($Q835,'Threshold Summary'!$Y:$Y,'Threshold Summary'!$L:$L,"")/5+2)*pow*atk/def)/50)+2)),modifier,stab*eff,AVERAGE(ARRAYFORMULA(FLOOR(base*modifier*SEQUENCE(16,1,85,1)/100)))*MIN(1,acc/100)),0)</f>
        <v/>
      </c>
      <c r="N835" s="4">
        <f>IFERROR(LET(mtype,XLOOKUP($D835,'Move Editor'!$B:$B,'Move Editor'!$C:$C,""),cat,XLOOKUP($D835,'Move Editor'!$B:$B,'Move Editor'!$D:$D,""),pow,XLOOKUP($D835,'Move Editor'!$B:$B,'Move Editor'!$E:$E,0),acc,XLOOKUP($D835,'Move Editor'!$B:$B,'Move Editor'!$F:$F,100),atk,IF(cat="Physical",FLOOR((FLOOR(((2*XLOOKUP(XLOOKUP($Q835,'Threshold Summary'!$Y:$Y,'Threshold Summary'!$K:$K,""),'Pokemon Editor'!$A:$A,'Pokemon Editor'!$F:$F,0)+31+FLOOR(XLOOKUP($Q835,'Threshold Summary'!$Y:$Y,'Threshold Summary'!$P:$P,"")/4))*XLOOKUP($Q835,'Threshold Summary'!$Y:$Y,'Threshold Summary'!$L:$L,""))/100)+5)*XLOOKUP(XLOOKUP($Q835,'Threshold Summary'!$Y:$Y,'Threshold Summary'!$M:$M,""),'Nature Editor'!$A:$A,'Nature Editor'!$B:$B,1)),FLOOR((FLOOR(((2*XLOOKUP(XLOOKUP($Q835,'Threshold Summary'!$Y:$Y,'Threshold Summary'!$K:$K,""),'Pokemon Editor'!$A:$A,'Pokemon Editor'!$H:$H,0)+31+FLOOR(XLOOKUP($Q835,'Threshold Summary'!$Y:$Y,'Threshold Summary'!$R:$R,"")/4))*XLOOKUP($Q835,'Threshold Summary'!$Y:$Y,'Threshold Summary'!$L:$L,""))/100)+5)*XLOOKUP(XLOOKUP($Q835,'Threshold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Editor'!$E:$E,1))),stab,IF(OR(mtype=XLOOKUP(XLOOKUP($Q835,'Threshold Summary'!$Y:$Y,'Threshold Summary'!$K:$K,""),'Pokemon Editor'!$A:$A,'Pokemon Editor'!$C:$C,""),mtype=XLOOKUP(XLOOKUP($Q835,'Threshold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Chart'!$B$1:$S$1,0)))),base,IF(OR(cat="Status",pow=0),0,FLOOR(FLOOR(FLOOR((2*XLOOKUP($Q835,'Threshold Summary'!$Y:$Y,'Threshold Summary'!$L:$L,"")/5+2)*pow*atk/def)/50)+2)),modifier,stab*eff,AVERAGE(ARRAYFORMULA(FLOOR(base*modifier*SEQUENCE(16,1,85,1)/100)))/(FLOOR(((2*XLOOKUP('Boss Editor'!$C$4,'Pokemon Editor'!$A:$A,'Pokemon Editor'!$E:$E,0)+31+FLOOR('Boss Editor'!$G$4/4))*'Boss Editor'!$D$4)/100)+'Boss Editor'!$D$4+10)),0)</f>
        <v/>
      </c>
      <c r="O835" s="3">
        <f>IF(N835&gt;=1,"OHKO",IF(N835&gt;=0.5,"2HKO",IF(N835&gt;=0.333,"3HKO",IF(N835&gt;=0.25,"4HKO","5HKO+"))))</f>
        <v/>
      </c>
      <c r="P835" s="3" t="inlineStr">
        <is>
          <t>Live from editable databases</t>
        </is>
      </c>
      <c r="Q835" s="3" t="inlineStr">
        <is>
          <t>SPECIES_TOXEL</t>
        </is>
      </c>
      <c r="R835" s="3" t="n">
        <v>2</v>
      </c>
    </row>
    <row r="836">
      <c r="A836" s="3">
        <f>XLOOKUP($Q836,'Threshold Summary'!$Y:$Y,'Threshold Summary'!$A:$A,"")</f>
        <v/>
      </c>
      <c r="B836" s="3">
        <f>XLOOKUP($Q836,'Threshold Summary'!$Y:$Y,'Threshold Summary'!$M:$M,"")</f>
        <v/>
      </c>
      <c r="C836" s="3">
        <f>XLOOKUP($Q836,'Threshold Summary'!$Y:$Y,'Threshold Summary'!$N:$N,"")</f>
        <v/>
      </c>
      <c r="D836" s="3">
        <f>IFERROR(INDEX(FILTER('Learnset Editor'!$D$2:$D,'Learnset Editor'!$A$2:$A=XLOOKUP($Q836,'Threshold Summary'!$Y:$Y,'Threshold Summary'!$K:$K,""),'Learnset Editor'!$C$2:$C&lt;=XLOOKUP($Q836,'Threshold Summary'!$Y:$Y,'Threshold Summary'!$L:$L,"")),$R836),"")</f>
        <v/>
      </c>
      <c r="E836" s="3">
        <f>XLOOKUP(D836,'Move Editor'!$B:$B,'Move Editor'!$C:$C,"")</f>
        <v/>
      </c>
      <c r="F836" s="3">
        <f>XLOOKUP(D836,'Move Editor'!$B:$B,'Move Editor'!$D:$D,"")</f>
        <v/>
      </c>
      <c r="G836" s="3">
        <f>XLOOKUP(D836,'Move Editor'!$B:$B,'Move Editor'!$E:$E,0)</f>
        <v/>
      </c>
      <c r="H836" s="3">
        <f>XLOOKUP(D836,'Move Editor'!$B:$B,'Move Editor'!$F:$F,0)</f>
        <v/>
      </c>
      <c r="I836" s="3">
        <f>(INDEX('Type Chart'!$B:$S,MATCH(E836,'Type Chart'!$A:$A,0),MATCH(XLOOKUP('Boss Editor'!$C$4,'Pokemon Editor'!$A:$A,'Pokemon Editor'!$C:$C,""),'Type Chart'!$B$1:$S$1,0))*IF(XLOOKUP('Boss Editor'!$C$4,'Pokemon Editor'!$A:$A,'Pokemon Editor'!$D:$D,"")="",1,INDEX('Type Chart'!$B:$S,MATCH(E836,'Type Chart'!$A:$A,0),MATCH(XLOOKUP('Boss Editor'!$C$4,'Pokemon Editor'!$A:$A,'Pokemon Editor'!$D:$D,""),'Type Chart'!$B$1:$S$1,0))))</f>
        <v/>
      </c>
      <c r="J836" s="3">
        <f>IFERROR(LET(mtype,XLOOKUP($D836,'Move Editor'!$B:$B,'Move Editor'!$C:$C,""),cat,XLOOKUP($D836,'Move Editor'!$B:$B,'Move Editor'!$D:$D,""),pow,XLOOKUP($D836,'Move Editor'!$B:$B,'Move Editor'!$E:$E,0),acc,XLOOKUP($D836,'Move Editor'!$B:$B,'Move Editor'!$F:$F,100),atk,IF(cat="Physical",FLOOR((FLOOR(((2*XLOOKUP(XLOOKUP($Q836,'Threshold Summary'!$Y:$Y,'Threshold Summary'!$K:$K,""),'Pokemon Editor'!$A:$A,'Pokemon Editor'!$F:$F,0)+31+FLOOR(XLOOKUP($Q836,'Threshold Summary'!$Y:$Y,'Threshold Summary'!$P:$P,"")/4))*XLOOKUP($Q836,'Threshold Summary'!$Y:$Y,'Threshold Summary'!$L:$L,""))/100)+5)*XLOOKUP(XLOOKUP($Q836,'Threshold Summary'!$Y:$Y,'Threshold Summary'!$M:$M,""),'Nature Editor'!$A:$A,'Nature Editor'!$B:$B,1)),FLOOR((FLOOR(((2*XLOOKUP(XLOOKUP($Q836,'Threshold Summary'!$Y:$Y,'Threshold Summary'!$K:$K,""),'Pokemon Editor'!$A:$A,'Pokemon Editor'!$H:$H,0)+31+FLOOR(XLOOKUP($Q836,'Threshold Summary'!$Y:$Y,'Threshold Summary'!$R:$R,"")/4))*XLOOKUP($Q836,'Threshold Summary'!$Y:$Y,'Threshold Summary'!$L:$L,""))/100)+5)*XLOOKUP(XLOOKUP($Q836,'Threshold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Editor'!$E:$E,1))),stab,IF(OR(mtype=XLOOKUP(XLOOKUP($Q836,'Threshold Summary'!$Y:$Y,'Threshold Summary'!$K:$K,""),'Pokemon Editor'!$A:$A,'Pokemon Editor'!$C:$C,""),mtype=XLOOKUP(XLOOKUP($Q836,'Threshold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Chart'!$B$1:$S$1,0)))),base,IF(OR(cat="Status",pow=0),0,FLOOR(FLOOR(FLOOR((2*XLOOKUP($Q836,'Threshold Summary'!$Y:$Y,'Threshold Summary'!$L:$L,"")/5+2)*pow*atk/def)/50)+2)),modifier,stab*eff,FLOOR(base*modifier*0.85)),0)</f>
        <v/>
      </c>
      <c r="K836" s="3">
        <f>IFERROR(LET(mtype,XLOOKUP($D836,'Move Editor'!$B:$B,'Move Editor'!$C:$C,""),cat,XLOOKUP($D836,'Move Editor'!$B:$B,'Move Editor'!$D:$D,""),pow,XLOOKUP($D836,'Move Editor'!$B:$B,'Move Editor'!$E:$E,0),acc,XLOOKUP($D836,'Move Editor'!$B:$B,'Move Editor'!$F:$F,100),atk,IF(cat="Physical",FLOOR((FLOOR(((2*XLOOKUP(XLOOKUP($Q836,'Threshold Summary'!$Y:$Y,'Threshold Summary'!$K:$K,""),'Pokemon Editor'!$A:$A,'Pokemon Editor'!$F:$F,0)+31+FLOOR(XLOOKUP($Q836,'Threshold Summary'!$Y:$Y,'Threshold Summary'!$P:$P,"")/4))*XLOOKUP($Q836,'Threshold Summary'!$Y:$Y,'Threshold Summary'!$L:$L,""))/100)+5)*XLOOKUP(XLOOKUP($Q836,'Threshold Summary'!$Y:$Y,'Threshold Summary'!$M:$M,""),'Nature Editor'!$A:$A,'Nature Editor'!$B:$B,1)),FLOOR((FLOOR(((2*XLOOKUP(XLOOKUP($Q836,'Threshold Summary'!$Y:$Y,'Threshold Summary'!$K:$K,""),'Pokemon Editor'!$A:$A,'Pokemon Editor'!$H:$H,0)+31+FLOOR(XLOOKUP($Q836,'Threshold Summary'!$Y:$Y,'Threshold Summary'!$R:$R,"")/4))*XLOOKUP($Q836,'Threshold Summary'!$Y:$Y,'Threshold Summary'!$L:$L,""))/100)+5)*XLOOKUP(XLOOKUP($Q836,'Threshold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Editor'!$E:$E,1))),stab,IF(OR(mtype=XLOOKUP(XLOOKUP($Q836,'Threshold Summary'!$Y:$Y,'Threshold Summary'!$K:$K,""),'Pokemon Editor'!$A:$A,'Pokemon Editor'!$C:$C,""),mtype=XLOOKUP(XLOOKUP($Q836,'Threshold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Chart'!$B$1:$S$1,0)))),base,IF(OR(cat="Status",pow=0),0,FLOOR(FLOOR(FLOOR((2*XLOOKUP($Q836,'Threshold Summary'!$Y:$Y,'Threshold Summary'!$L:$L,"")/5+2)*pow*atk/def)/50)+2)),modifier,stab*eff,FLOOR(base*modifier)),0)</f>
        <v/>
      </c>
      <c r="L836" s="3">
        <f>IFERROR(LET(mtype,XLOOKUP($D836,'Move Editor'!$B:$B,'Move Editor'!$C:$C,""),cat,XLOOKUP($D836,'Move Editor'!$B:$B,'Move Editor'!$D:$D,""),pow,XLOOKUP($D836,'Move Editor'!$B:$B,'Move Editor'!$E:$E,0),acc,XLOOKUP($D836,'Move Editor'!$B:$B,'Move Editor'!$F:$F,100),atk,IF(cat="Physical",FLOOR((FLOOR(((2*XLOOKUP(XLOOKUP($Q836,'Threshold Summary'!$Y:$Y,'Threshold Summary'!$K:$K,""),'Pokemon Editor'!$A:$A,'Pokemon Editor'!$F:$F,0)+31+FLOOR(XLOOKUP($Q836,'Threshold Summary'!$Y:$Y,'Threshold Summary'!$P:$P,"")/4))*XLOOKUP($Q836,'Threshold Summary'!$Y:$Y,'Threshold Summary'!$L:$L,""))/100)+5)*XLOOKUP(XLOOKUP($Q836,'Threshold Summary'!$Y:$Y,'Threshold Summary'!$M:$M,""),'Nature Editor'!$A:$A,'Nature Editor'!$B:$B,1)),FLOOR((FLOOR(((2*XLOOKUP(XLOOKUP($Q836,'Threshold Summary'!$Y:$Y,'Threshold Summary'!$K:$K,""),'Pokemon Editor'!$A:$A,'Pokemon Editor'!$H:$H,0)+31+FLOOR(XLOOKUP($Q836,'Threshold Summary'!$Y:$Y,'Threshold Summary'!$R:$R,"")/4))*XLOOKUP($Q836,'Threshold Summary'!$Y:$Y,'Threshold Summary'!$L:$L,""))/100)+5)*XLOOKUP(XLOOKUP($Q836,'Threshold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Editor'!$E:$E,1))),stab,IF(OR(mtype=XLOOKUP(XLOOKUP($Q836,'Threshold Summary'!$Y:$Y,'Threshold Summary'!$K:$K,""),'Pokemon Editor'!$A:$A,'Pokemon Editor'!$C:$C,""),mtype=XLOOKUP(XLOOKUP($Q836,'Threshold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Chart'!$B$1:$S$1,0)))),base,IF(OR(cat="Status",pow=0),0,FLOOR(FLOOR(FLOOR((2*XLOOKUP($Q836,'Threshold Summary'!$Y:$Y,'Threshold Summary'!$L:$L,"")/5+2)*pow*atk/def)/50)+2)),modifier,stab*eff,AVERAGE(ARRAYFORMULA(FLOOR(base*modifier*SEQUENCE(16,1,85,1)/100)))),0)</f>
        <v/>
      </c>
      <c r="M836" s="3">
        <f>IFERROR(LET(mtype,XLOOKUP($D836,'Move Editor'!$B:$B,'Move Editor'!$C:$C,""),cat,XLOOKUP($D836,'Move Editor'!$B:$B,'Move Editor'!$D:$D,""),pow,XLOOKUP($D836,'Move Editor'!$B:$B,'Move Editor'!$E:$E,0),acc,XLOOKUP($D836,'Move Editor'!$B:$B,'Move Editor'!$F:$F,100),atk,IF(cat="Physical",FLOOR((FLOOR(((2*XLOOKUP(XLOOKUP($Q836,'Threshold Summary'!$Y:$Y,'Threshold Summary'!$K:$K,""),'Pokemon Editor'!$A:$A,'Pokemon Editor'!$F:$F,0)+31+FLOOR(XLOOKUP($Q836,'Threshold Summary'!$Y:$Y,'Threshold Summary'!$P:$P,"")/4))*XLOOKUP($Q836,'Threshold Summary'!$Y:$Y,'Threshold Summary'!$L:$L,""))/100)+5)*XLOOKUP(XLOOKUP($Q836,'Threshold Summary'!$Y:$Y,'Threshold Summary'!$M:$M,""),'Nature Editor'!$A:$A,'Nature Editor'!$B:$B,1)),FLOOR((FLOOR(((2*XLOOKUP(XLOOKUP($Q836,'Threshold Summary'!$Y:$Y,'Threshold Summary'!$K:$K,""),'Pokemon Editor'!$A:$A,'Pokemon Editor'!$H:$H,0)+31+FLOOR(XLOOKUP($Q836,'Threshold Summary'!$Y:$Y,'Threshold Summary'!$R:$R,"")/4))*XLOOKUP($Q836,'Threshold Summary'!$Y:$Y,'Threshold Summary'!$L:$L,""))/100)+5)*XLOOKUP(XLOOKUP($Q836,'Threshold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Editor'!$E:$E,1))),stab,IF(OR(mtype=XLOOKUP(XLOOKUP($Q836,'Threshold Summary'!$Y:$Y,'Threshold Summary'!$K:$K,""),'Pokemon Editor'!$A:$A,'Pokemon Editor'!$C:$C,""),mtype=XLOOKUP(XLOOKUP($Q836,'Threshold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Chart'!$B$1:$S$1,0)))),base,IF(OR(cat="Status",pow=0),0,FLOOR(FLOOR(FLOOR((2*XLOOKUP($Q836,'Threshold Summary'!$Y:$Y,'Threshold Summary'!$L:$L,"")/5+2)*pow*atk/def)/50)+2)),modifier,stab*eff,AVERAGE(ARRAYFORMULA(FLOOR(base*modifier*SEQUENCE(16,1,85,1)/100)))*MIN(1,acc/100)),0)</f>
        <v/>
      </c>
      <c r="N836" s="4">
        <f>IFERROR(LET(mtype,XLOOKUP($D836,'Move Editor'!$B:$B,'Move Editor'!$C:$C,""),cat,XLOOKUP($D836,'Move Editor'!$B:$B,'Move Editor'!$D:$D,""),pow,XLOOKUP($D836,'Move Editor'!$B:$B,'Move Editor'!$E:$E,0),acc,XLOOKUP($D836,'Move Editor'!$B:$B,'Move Editor'!$F:$F,100),atk,IF(cat="Physical",FLOOR((FLOOR(((2*XLOOKUP(XLOOKUP($Q836,'Threshold Summary'!$Y:$Y,'Threshold Summary'!$K:$K,""),'Pokemon Editor'!$A:$A,'Pokemon Editor'!$F:$F,0)+31+FLOOR(XLOOKUP($Q836,'Threshold Summary'!$Y:$Y,'Threshold Summary'!$P:$P,"")/4))*XLOOKUP($Q836,'Threshold Summary'!$Y:$Y,'Threshold Summary'!$L:$L,""))/100)+5)*XLOOKUP(XLOOKUP($Q836,'Threshold Summary'!$Y:$Y,'Threshold Summary'!$M:$M,""),'Nature Editor'!$A:$A,'Nature Editor'!$B:$B,1)),FLOOR((FLOOR(((2*XLOOKUP(XLOOKUP($Q836,'Threshold Summary'!$Y:$Y,'Threshold Summary'!$K:$K,""),'Pokemon Editor'!$A:$A,'Pokemon Editor'!$H:$H,0)+31+FLOOR(XLOOKUP($Q836,'Threshold Summary'!$Y:$Y,'Threshold Summary'!$R:$R,"")/4))*XLOOKUP($Q836,'Threshold Summary'!$Y:$Y,'Threshold Summary'!$L:$L,""))/100)+5)*XLOOKUP(XLOOKUP($Q836,'Threshold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Editor'!$E:$E,1))),stab,IF(OR(mtype=XLOOKUP(XLOOKUP($Q836,'Threshold Summary'!$Y:$Y,'Threshold Summary'!$K:$K,""),'Pokemon Editor'!$A:$A,'Pokemon Editor'!$C:$C,""),mtype=XLOOKUP(XLOOKUP($Q836,'Threshold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Chart'!$B$1:$S$1,0)))),base,IF(OR(cat="Status",pow=0),0,FLOOR(FLOOR(FLOOR((2*XLOOKUP($Q836,'Threshold Summary'!$Y:$Y,'Threshold Summary'!$L:$L,"")/5+2)*pow*atk/def)/50)+2)),modifier,stab*eff,AVERAGE(ARRAYFORMULA(FLOOR(base*modifier*SEQUENCE(16,1,85,1)/100)))/(FLOOR(((2*XLOOKUP('Boss Editor'!$C$4,'Pokemon Editor'!$A:$A,'Pokemon Editor'!$E:$E,0)+31+FLOOR('Boss Editor'!$G$4/4))*'Boss Editor'!$D$4)/100)+'Boss Editor'!$D$4+10)),0)</f>
        <v/>
      </c>
      <c r="O836" s="3">
        <f>IF(N836&gt;=1,"OHKO",IF(N836&gt;=0.5,"2HKO",IF(N836&gt;=0.333,"3HKO",IF(N836&gt;=0.25,"4HKO","5HKO+"))))</f>
        <v/>
      </c>
      <c r="P836" s="3" t="inlineStr">
        <is>
          <t>Live from editable databases</t>
        </is>
      </c>
      <c r="Q836" s="3" t="inlineStr">
        <is>
          <t>SPECIES_TOXEL</t>
        </is>
      </c>
      <c r="R836" s="3" t="n">
        <v>3</v>
      </c>
    </row>
    <row r="837">
      <c r="A837" s="3">
        <f>XLOOKUP($Q837,'Threshold Summary'!$Y:$Y,'Threshold Summary'!$A:$A,"")</f>
        <v/>
      </c>
      <c r="B837" s="3">
        <f>XLOOKUP($Q837,'Threshold Summary'!$Y:$Y,'Threshold Summary'!$M:$M,"")</f>
        <v/>
      </c>
      <c r="C837" s="3">
        <f>XLOOKUP($Q837,'Threshold Summary'!$Y:$Y,'Threshold Summary'!$N:$N,"")</f>
        <v/>
      </c>
      <c r="D837" s="3">
        <f>IFERROR(INDEX(FILTER('Learnset Editor'!$D$2:$D,'Learnset Editor'!$A$2:$A=XLOOKUP($Q837,'Threshold Summary'!$Y:$Y,'Threshold Summary'!$K:$K,""),'Learnset Editor'!$C$2:$C&lt;=XLOOKUP($Q837,'Threshold Summary'!$Y:$Y,'Threshold Summary'!$L:$L,"")),$R837),"")</f>
        <v/>
      </c>
      <c r="E837" s="3">
        <f>XLOOKUP(D837,'Move Editor'!$B:$B,'Move Editor'!$C:$C,"")</f>
        <v/>
      </c>
      <c r="F837" s="3">
        <f>XLOOKUP(D837,'Move Editor'!$B:$B,'Move Editor'!$D:$D,"")</f>
        <v/>
      </c>
      <c r="G837" s="3">
        <f>XLOOKUP(D837,'Move Editor'!$B:$B,'Move Editor'!$E:$E,0)</f>
        <v/>
      </c>
      <c r="H837" s="3">
        <f>XLOOKUP(D837,'Move Editor'!$B:$B,'Move Editor'!$F:$F,0)</f>
        <v/>
      </c>
      <c r="I837" s="3">
        <f>(INDEX('Type Chart'!$B:$S,MATCH(E837,'Type Chart'!$A:$A,0),MATCH(XLOOKUP('Boss Editor'!$C$4,'Pokemon Editor'!$A:$A,'Pokemon Editor'!$C:$C,""),'Type Chart'!$B$1:$S$1,0))*IF(XLOOKUP('Boss Editor'!$C$4,'Pokemon Editor'!$A:$A,'Pokemon Editor'!$D:$D,"")="",1,INDEX('Type Chart'!$B:$S,MATCH(E837,'Type Chart'!$A:$A,0),MATCH(XLOOKUP('Boss Editor'!$C$4,'Pokemon Editor'!$A:$A,'Pokemon Editor'!$D:$D,""),'Type Chart'!$B$1:$S$1,0))))</f>
        <v/>
      </c>
      <c r="J837" s="3">
        <f>IFERROR(LET(mtype,XLOOKUP($D837,'Move Editor'!$B:$B,'Move Editor'!$C:$C,""),cat,XLOOKUP($D837,'Move Editor'!$B:$B,'Move Editor'!$D:$D,""),pow,XLOOKUP($D837,'Move Editor'!$B:$B,'Move Editor'!$E:$E,0),acc,XLOOKUP($D837,'Move Editor'!$B:$B,'Move Editor'!$F:$F,100),atk,IF(cat="Physical",FLOOR((FLOOR(((2*XLOOKUP(XLOOKUP($Q837,'Threshold Summary'!$Y:$Y,'Threshold Summary'!$K:$K,""),'Pokemon Editor'!$A:$A,'Pokemon Editor'!$F:$F,0)+31+FLOOR(XLOOKUP($Q837,'Threshold Summary'!$Y:$Y,'Threshold Summary'!$P:$P,"")/4))*XLOOKUP($Q837,'Threshold Summary'!$Y:$Y,'Threshold Summary'!$L:$L,""))/100)+5)*XLOOKUP(XLOOKUP($Q837,'Threshold Summary'!$Y:$Y,'Threshold Summary'!$M:$M,""),'Nature Editor'!$A:$A,'Nature Editor'!$B:$B,1)),FLOOR((FLOOR(((2*XLOOKUP(XLOOKUP($Q837,'Threshold Summary'!$Y:$Y,'Threshold Summary'!$K:$K,""),'Pokemon Editor'!$A:$A,'Pokemon Editor'!$H:$H,0)+31+FLOOR(XLOOKUP($Q837,'Threshold Summary'!$Y:$Y,'Threshold Summary'!$R:$R,"")/4))*XLOOKUP($Q837,'Threshold Summary'!$Y:$Y,'Threshold Summary'!$L:$L,""))/100)+5)*XLOOKUP(XLOOKUP($Q837,'Threshold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Editor'!$E:$E,1))),stab,IF(OR(mtype=XLOOKUP(XLOOKUP($Q837,'Threshold Summary'!$Y:$Y,'Threshold Summary'!$K:$K,""),'Pokemon Editor'!$A:$A,'Pokemon Editor'!$C:$C,""),mtype=XLOOKUP(XLOOKUP($Q837,'Threshold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Chart'!$B$1:$S$1,0)))),base,IF(OR(cat="Status",pow=0),0,FLOOR(FLOOR(FLOOR((2*XLOOKUP($Q837,'Threshold Summary'!$Y:$Y,'Threshold Summary'!$L:$L,"")/5+2)*pow*atk/def)/50)+2)),modifier,stab*eff,FLOOR(base*modifier*0.85)),0)</f>
        <v/>
      </c>
      <c r="K837" s="3">
        <f>IFERROR(LET(mtype,XLOOKUP($D837,'Move Editor'!$B:$B,'Move Editor'!$C:$C,""),cat,XLOOKUP($D837,'Move Editor'!$B:$B,'Move Editor'!$D:$D,""),pow,XLOOKUP($D837,'Move Editor'!$B:$B,'Move Editor'!$E:$E,0),acc,XLOOKUP($D837,'Move Editor'!$B:$B,'Move Editor'!$F:$F,100),atk,IF(cat="Physical",FLOOR((FLOOR(((2*XLOOKUP(XLOOKUP($Q837,'Threshold Summary'!$Y:$Y,'Threshold Summary'!$K:$K,""),'Pokemon Editor'!$A:$A,'Pokemon Editor'!$F:$F,0)+31+FLOOR(XLOOKUP($Q837,'Threshold Summary'!$Y:$Y,'Threshold Summary'!$P:$P,"")/4))*XLOOKUP($Q837,'Threshold Summary'!$Y:$Y,'Threshold Summary'!$L:$L,""))/100)+5)*XLOOKUP(XLOOKUP($Q837,'Threshold Summary'!$Y:$Y,'Threshold Summary'!$M:$M,""),'Nature Editor'!$A:$A,'Nature Editor'!$B:$B,1)),FLOOR((FLOOR(((2*XLOOKUP(XLOOKUP($Q837,'Threshold Summary'!$Y:$Y,'Threshold Summary'!$K:$K,""),'Pokemon Editor'!$A:$A,'Pokemon Editor'!$H:$H,0)+31+FLOOR(XLOOKUP($Q837,'Threshold Summary'!$Y:$Y,'Threshold Summary'!$R:$R,"")/4))*XLOOKUP($Q837,'Threshold Summary'!$Y:$Y,'Threshold Summary'!$L:$L,""))/100)+5)*XLOOKUP(XLOOKUP($Q837,'Threshold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Editor'!$E:$E,1))),stab,IF(OR(mtype=XLOOKUP(XLOOKUP($Q837,'Threshold Summary'!$Y:$Y,'Threshold Summary'!$K:$K,""),'Pokemon Editor'!$A:$A,'Pokemon Editor'!$C:$C,""),mtype=XLOOKUP(XLOOKUP($Q837,'Threshold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Chart'!$B$1:$S$1,0)))),base,IF(OR(cat="Status",pow=0),0,FLOOR(FLOOR(FLOOR((2*XLOOKUP($Q837,'Threshold Summary'!$Y:$Y,'Threshold Summary'!$L:$L,"")/5+2)*pow*atk/def)/50)+2)),modifier,stab*eff,FLOOR(base*modifier)),0)</f>
        <v/>
      </c>
      <c r="L837" s="3">
        <f>IFERROR(LET(mtype,XLOOKUP($D837,'Move Editor'!$B:$B,'Move Editor'!$C:$C,""),cat,XLOOKUP($D837,'Move Editor'!$B:$B,'Move Editor'!$D:$D,""),pow,XLOOKUP($D837,'Move Editor'!$B:$B,'Move Editor'!$E:$E,0),acc,XLOOKUP($D837,'Move Editor'!$B:$B,'Move Editor'!$F:$F,100),atk,IF(cat="Physical",FLOOR((FLOOR(((2*XLOOKUP(XLOOKUP($Q837,'Threshold Summary'!$Y:$Y,'Threshold Summary'!$K:$K,""),'Pokemon Editor'!$A:$A,'Pokemon Editor'!$F:$F,0)+31+FLOOR(XLOOKUP($Q837,'Threshold Summary'!$Y:$Y,'Threshold Summary'!$P:$P,"")/4))*XLOOKUP($Q837,'Threshold Summary'!$Y:$Y,'Threshold Summary'!$L:$L,""))/100)+5)*XLOOKUP(XLOOKUP($Q837,'Threshold Summary'!$Y:$Y,'Threshold Summary'!$M:$M,""),'Nature Editor'!$A:$A,'Nature Editor'!$B:$B,1)),FLOOR((FLOOR(((2*XLOOKUP(XLOOKUP($Q837,'Threshold Summary'!$Y:$Y,'Threshold Summary'!$K:$K,""),'Pokemon Editor'!$A:$A,'Pokemon Editor'!$H:$H,0)+31+FLOOR(XLOOKUP($Q837,'Threshold Summary'!$Y:$Y,'Threshold Summary'!$R:$R,"")/4))*XLOOKUP($Q837,'Threshold Summary'!$Y:$Y,'Threshold Summary'!$L:$L,""))/100)+5)*XLOOKUP(XLOOKUP($Q837,'Threshold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Editor'!$E:$E,1))),stab,IF(OR(mtype=XLOOKUP(XLOOKUP($Q837,'Threshold Summary'!$Y:$Y,'Threshold Summary'!$K:$K,""),'Pokemon Editor'!$A:$A,'Pokemon Editor'!$C:$C,""),mtype=XLOOKUP(XLOOKUP($Q837,'Threshold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Chart'!$B$1:$S$1,0)))),base,IF(OR(cat="Status",pow=0),0,FLOOR(FLOOR(FLOOR((2*XLOOKUP($Q837,'Threshold Summary'!$Y:$Y,'Threshold Summary'!$L:$L,"")/5+2)*pow*atk/def)/50)+2)),modifier,stab*eff,AVERAGE(ARRAYFORMULA(FLOOR(base*modifier*SEQUENCE(16,1,85,1)/100)))),0)</f>
        <v/>
      </c>
      <c r="M837" s="3">
        <f>IFERROR(LET(mtype,XLOOKUP($D837,'Move Editor'!$B:$B,'Move Editor'!$C:$C,""),cat,XLOOKUP($D837,'Move Editor'!$B:$B,'Move Editor'!$D:$D,""),pow,XLOOKUP($D837,'Move Editor'!$B:$B,'Move Editor'!$E:$E,0),acc,XLOOKUP($D837,'Move Editor'!$B:$B,'Move Editor'!$F:$F,100),atk,IF(cat="Physical",FLOOR((FLOOR(((2*XLOOKUP(XLOOKUP($Q837,'Threshold Summary'!$Y:$Y,'Threshold Summary'!$K:$K,""),'Pokemon Editor'!$A:$A,'Pokemon Editor'!$F:$F,0)+31+FLOOR(XLOOKUP($Q837,'Threshold Summary'!$Y:$Y,'Threshold Summary'!$P:$P,"")/4))*XLOOKUP($Q837,'Threshold Summary'!$Y:$Y,'Threshold Summary'!$L:$L,""))/100)+5)*XLOOKUP(XLOOKUP($Q837,'Threshold Summary'!$Y:$Y,'Threshold Summary'!$M:$M,""),'Nature Editor'!$A:$A,'Nature Editor'!$B:$B,1)),FLOOR((FLOOR(((2*XLOOKUP(XLOOKUP($Q837,'Threshold Summary'!$Y:$Y,'Threshold Summary'!$K:$K,""),'Pokemon Editor'!$A:$A,'Pokemon Editor'!$H:$H,0)+31+FLOOR(XLOOKUP($Q837,'Threshold Summary'!$Y:$Y,'Threshold Summary'!$R:$R,"")/4))*XLOOKUP($Q837,'Threshold Summary'!$Y:$Y,'Threshold Summary'!$L:$L,""))/100)+5)*XLOOKUP(XLOOKUP($Q837,'Threshold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Editor'!$E:$E,1))),stab,IF(OR(mtype=XLOOKUP(XLOOKUP($Q837,'Threshold Summary'!$Y:$Y,'Threshold Summary'!$K:$K,""),'Pokemon Editor'!$A:$A,'Pokemon Editor'!$C:$C,""),mtype=XLOOKUP(XLOOKUP($Q837,'Threshold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Chart'!$B$1:$S$1,0)))),base,IF(OR(cat="Status",pow=0),0,FLOOR(FLOOR(FLOOR((2*XLOOKUP($Q837,'Threshold Summary'!$Y:$Y,'Threshold Summary'!$L:$L,"")/5+2)*pow*atk/def)/50)+2)),modifier,stab*eff,AVERAGE(ARRAYFORMULA(FLOOR(base*modifier*SEQUENCE(16,1,85,1)/100)))*MIN(1,acc/100)),0)</f>
        <v/>
      </c>
      <c r="N837" s="4">
        <f>IFERROR(LET(mtype,XLOOKUP($D837,'Move Editor'!$B:$B,'Move Editor'!$C:$C,""),cat,XLOOKUP($D837,'Move Editor'!$B:$B,'Move Editor'!$D:$D,""),pow,XLOOKUP($D837,'Move Editor'!$B:$B,'Move Editor'!$E:$E,0),acc,XLOOKUP($D837,'Move Editor'!$B:$B,'Move Editor'!$F:$F,100),atk,IF(cat="Physical",FLOOR((FLOOR(((2*XLOOKUP(XLOOKUP($Q837,'Threshold Summary'!$Y:$Y,'Threshold Summary'!$K:$K,""),'Pokemon Editor'!$A:$A,'Pokemon Editor'!$F:$F,0)+31+FLOOR(XLOOKUP($Q837,'Threshold Summary'!$Y:$Y,'Threshold Summary'!$P:$P,"")/4))*XLOOKUP($Q837,'Threshold Summary'!$Y:$Y,'Threshold Summary'!$L:$L,""))/100)+5)*XLOOKUP(XLOOKUP($Q837,'Threshold Summary'!$Y:$Y,'Threshold Summary'!$M:$M,""),'Nature Editor'!$A:$A,'Nature Editor'!$B:$B,1)),FLOOR((FLOOR(((2*XLOOKUP(XLOOKUP($Q837,'Threshold Summary'!$Y:$Y,'Threshold Summary'!$K:$K,""),'Pokemon Editor'!$A:$A,'Pokemon Editor'!$H:$H,0)+31+FLOOR(XLOOKUP($Q837,'Threshold Summary'!$Y:$Y,'Threshold Summary'!$R:$R,"")/4))*XLOOKUP($Q837,'Threshold Summary'!$Y:$Y,'Threshold Summary'!$L:$L,""))/100)+5)*XLOOKUP(XLOOKUP($Q837,'Threshold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Editor'!$E:$E,1))),stab,IF(OR(mtype=XLOOKUP(XLOOKUP($Q837,'Threshold Summary'!$Y:$Y,'Threshold Summary'!$K:$K,""),'Pokemon Editor'!$A:$A,'Pokemon Editor'!$C:$C,""),mtype=XLOOKUP(XLOOKUP($Q837,'Threshold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Chart'!$B$1:$S$1,0)))),base,IF(OR(cat="Status",pow=0),0,FLOOR(FLOOR(FLOOR((2*XLOOKUP($Q837,'Threshold Summary'!$Y:$Y,'Threshold Summary'!$L:$L,"")/5+2)*pow*atk/def)/50)+2)),modifier,stab*eff,AVERAGE(ARRAYFORMULA(FLOOR(base*modifier*SEQUENCE(16,1,85,1)/100)))/(FLOOR(((2*XLOOKUP('Boss Editor'!$C$4,'Pokemon Editor'!$A:$A,'Pokemon Editor'!$E:$E,0)+31+FLOOR('Boss Editor'!$G$4/4))*'Boss Editor'!$D$4)/100)+'Boss Editor'!$D$4+10)),0)</f>
        <v/>
      </c>
      <c r="O837" s="3">
        <f>IF(N837&gt;=1,"OHKO",IF(N837&gt;=0.5,"2HKO",IF(N837&gt;=0.333,"3HKO",IF(N837&gt;=0.25,"4HKO","5HKO+"))))</f>
        <v/>
      </c>
      <c r="P837" s="3" t="inlineStr">
        <is>
          <t>Live from editable databases</t>
        </is>
      </c>
      <c r="Q837" s="3" t="inlineStr">
        <is>
          <t>SPECIES_TOXEL</t>
        </is>
      </c>
      <c r="R837" s="3" t="n">
        <v>4</v>
      </c>
    </row>
    <row r="838">
      <c r="A838" s="3">
        <f>XLOOKUP($Q838,'Threshold Summary'!$Y:$Y,'Threshold Summary'!$A:$A,"")</f>
        <v/>
      </c>
      <c r="B838" s="3">
        <f>XLOOKUP($Q838,'Threshold Summary'!$Y:$Y,'Threshold Summary'!$M:$M,"")</f>
        <v/>
      </c>
      <c r="C838" s="3">
        <f>XLOOKUP($Q838,'Threshold Summary'!$Y:$Y,'Threshold Summary'!$N:$N,"")</f>
        <v/>
      </c>
      <c r="D838" s="3">
        <f>IFERROR(INDEX(FILTER('Learnset Editor'!$D$2:$D,'Learnset Editor'!$A$2:$A=XLOOKUP($Q838,'Threshold Summary'!$Y:$Y,'Threshold Summary'!$K:$K,""),'Learnset Editor'!$C$2:$C&lt;=XLOOKUP($Q838,'Threshold Summary'!$Y:$Y,'Threshold Summary'!$L:$L,"")),$R838),"")</f>
        <v/>
      </c>
      <c r="E838" s="3">
        <f>XLOOKUP(D838,'Move Editor'!$B:$B,'Move Editor'!$C:$C,"")</f>
        <v/>
      </c>
      <c r="F838" s="3">
        <f>XLOOKUP(D838,'Move Editor'!$B:$B,'Move Editor'!$D:$D,"")</f>
        <v/>
      </c>
      <c r="G838" s="3">
        <f>XLOOKUP(D838,'Move Editor'!$B:$B,'Move Editor'!$E:$E,0)</f>
        <v/>
      </c>
      <c r="H838" s="3">
        <f>XLOOKUP(D838,'Move Editor'!$B:$B,'Move Editor'!$F:$F,0)</f>
        <v/>
      </c>
      <c r="I838" s="3">
        <f>(INDEX('Type Chart'!$B:$S,MATCH(E838,'Type Chart'!$A:$A,0),MATCH(XLOOKUP('Boss Editor'!$C$4,'Pokemon Editor'!$A:$A,'Pokemon Editor'!$C:$C,""),'Type Chart'!$B$1:$S$1,0))*IF(XLOOKUP('Boss Editor'!$C$4,'Pokemon Editor'!$A:$A,'Pokemon Editor'!$D:$D,"")="",1,INDEX('Type Chart'!$B:$S,MATCH(E838,'Type Chart'!$A:$A,0),MATCH(XLOOKUP('Boss Editor'!$C$4,'Pokemon Editor'!$A:$A,'Pokemon Editor'!$D:$D,""),'Type Chart'!$B$1:$S$1,0))))</f>
        <v/>
      </c>
      <c r="J838" s="3">
        <f>IFERROR(LET(mtype,XLOOKUP($D838,'Move Editor'!$B:$B,'Move Editor'!$C:$C,""),cat,XLOOKUP($D838,'Move Editor'!$B:$B,'Move Editor'!$D:$D,""),pow,XLOOKUP($D838,'Move Editor'!$B:$B,'Move Editor'!$E:$E,0),acc,XLOOKUP($D838,'Move Editor'!$B:$B,'Move Editor'!$F:$F,100),atk,IF(cat="Physical",FLOOR((FLOOR(((2*XLOOKUP(XLOOKUP($Q838,'Threshold Summary'!$Y:$Y,'Threshold Summary'!$K:$K,""),'Pokemon Editor'!$A:$A,'Pokemon Editor'!$F:$F,0)+31+FLOOR(XLOOKUP($Q838,'Threshold Summary'!$Y:$Y,'Threshold Summary'!$P:$P,"")/4))*XLOOKUP($Q838,'Threshold Summary'!$Y:$Y,'Threshold Summary'!$L:$L,""))/100)+5)*XLOOKUP(XLOOKUP($Q838,'Threshold Summary'!$Y:$Y,'Threshold Summary'!$M:$M,""),'Nature Editor'!$A:$A,'Nature Editor'!$B:$B,1)),FLOOR((FLOOR(((2*XLOOKUP(XLOOKUP($Q838,'Threshold Summary'!$Y:$Y,'Threshold Summary'!$K:$K,""),'Pokemon Editor'!$A:$A,'Pokemon Editor'!$H:$H,0)+31+FLOOR(XLOOKUP($Q838,'Threshold Summary'!$Y:$Y,'Threshold Summary'!$R:$R,"")/4))*XLOOKUP($Q838,'Threshold Summary'!$Y:$Y,'Threshold Summary'!$L:$L,""))/100)+5)*XLOOKUP(XLOOKUP($Q838,'Threshold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Editor'!$E:$E,1))),stab,IF(OR(mtype=XLOOKUP(XLOOKUP($Q838,'Threshold Summary'!$Y:$Y,'Threshold Summary'!$K:$K,""),'Pokemon Editor'!$A:$A,'Pokemon Editor'!$C:$C,""),mtype=XLOOKUP(XLOOKUP($Q838,'Threshold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Chart'!$B$1:$S$1,0)))),base,IF(OR(cat="Status",pow=0),0,FLOOR(FLOOR(FLOOR((2*XLOOKUP($Q838,'Threshold Summary'!$Y:$Y,'Threshold Summary'!$L:$L,"")/5+2)*pow*atk/def)/50)+2)),modifier,stab*eff,FLOOR(base*modifier*0.85)),0)</f>
        <v/>
      </c>
      <c r="K838" s="3">
        <f>IFERROR(LET(mtype,XLOOKUP($D838,'Move Editor'!$B:$B,'Move Editor'!$C:$C,""),cat,XLOOKUP($D838,'Move Editor'!$B:$B,'Move Editor'!$D:$D,""),pow,XLOOKUP($D838,'Move Editor'!$B:$B,'Move Editor'!$E:$E,0),acc,XLOOKUP($D838,'Move Editor'!$B:$B,'Move Editor'!$F:$F,100),atk,IF(cat="Physical",FLOOR((FLOOR(((2*XLOOKUP(XLOOKUP($Q838,'Threshold Summary'!$Y:$Y,'Threshold Summary'!$K:$K,""),'Pokemon Editor'!$A:$A,'Pokemon Editor'!$F:$F,0)+31+FLOOR(XLOOKUP($Q838,'Threshold Summary'!$Y:$Y,'Threshold Summary'!$P:$P,"")/4))*XLOOKUP($Q838,'Threshold Summary'!$Y:$Y,'Threshold Summary'!$L:$L,""))/100)+5)*XLOOKUP(XLOOKUP($Q838,'Threshold Summary'!$Y:$Y,'Threshold Summary'!$M:$M,""),'Nature Editor'!$A:$A,'Nature Editor'!$B:$B,1)),FLOOR((FLOOR(((2*XLOOKUP(XLOOKUP($Q838,'Threshold Summary'!$Y:$Y,'Threshold Summary'!$K:$K,""),'Pokemon Editor'!$A:$A,'Pokemon Editor'!$H:$H,0)+31+FLOOR(XLOOKUP($Q838,'Threshold Summary'!$Y:$Y,'Threshold Summary'!$R:$R,"")/4))*XLOOKUP($Q838,'Threshold Summary'!$Y:$Y,'Threshold Summary'!$L:$L,""))/100)+5)*XLOOKUP(XLOOKUP($Q838,'Threshold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Editor'!$E:$E,1))),stab,IF(OR(mtype=XLOOKUP(XLOOKUP($Q838,'Threshold Summary'!$Y:$Y,'Threshold Summary'!$K:$K,""),'Pokemon Editor'!$A:$A,'Pokemon Editor'!$C:$C,""),mtype=XLOOKUP(XLOOKUP($Q838,'Threshold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Chart'!$B$1:$S$1,0)))),base,IF(OR(cat="Status",pow=0),0,FLOOR(FLOOR(FLOOR((2*XLOOKUP($Q838,'Threshold Summary'!$Y:$Y,'Threshold Summary'!$L:$L,"")/5+2)*pow*atk/def)/50)+2)),modifier,stab*eff,FLOOR(base*modifier)),0)</f>
        <v/>
      </c>
      <c r="L838" s="3">
        <f>IFERROR(LET(mtype,XLOOKUP($D838,'Move Editor'!$B:$B,'Move Editor'!$C:$C,""),cat,XLOOKUP($D838,'Move Editor'!$B:$B,'Move Editor'!$D:$D,""),pow,XLOOKUP($D838,'Move Editor'!$B:$B,'Move Editor'!$E:$E,0),acc,XLOOKUP($D838,'Move Editor'!$B:$B,'Move Editor'!$F:$F,100),atk,IF(cat="Physical",FLOOR((FLOOR(((2*XLOOKUP(XLOOKUP($Q838,'Threshold Summary'!$Y:$Y,'Threshold Summary'!$K:$K,""),'Pokemon Editor'!$A:$A,'Pokemon Editor'!$F:$F,0)+31+FLOOR(XLOOKUP($Q838,'Threshold Summary'!$Y:$Y,'Threshold Summary'!$P:$P,"")/4))*XLOOKUP($Q838,'Threshold Summary'!$Y:$Y,'Threshold Summary'!$L:$L,""))/100)+5)*XLOOKUP(XLOOKUP($Q838,'Threshold Summary'!$Y:$Y,'Threshold Summary'!$M:$M,""),'Nature Editor'!$A:$A,'Nature Editor'!$B:$B,1)),FLOOR((FLOOR(((2*XLOOKUP(XLOOKUP($Q838,'Threshold Summary'!$Y:$Y,'Threshold Summary'!$K:$K,""),'Pokemon Editor'!$A:$A,'Pokemon Editor'!$H:$H,0)+31+FLOOR(XLOOKUP($Q838,'Threshold Summary'!$Y:$Y,'Threshold Summary'!$R:$R,"")/4))*XLOOKUP($Q838,'Threshold Summary'!$Y:$Y,'Threshold Summary'!$L:$L,""))/100)+5)*XLOOKUP(XLOOKUP($Q838,'Threshold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Editor'!$E:$E,1))),stab,IF(OR(mtype=XLOOKUP(XLOOKUP($Q838,'Threshold Summary'!$Y:$Y,'Threshold Summary'!$K:$K,""),'Pokemon Editor'!$A:$A,'Pokemon Editor'!$C:$C,""),mtype=XLOOKUP(XLOOKUP($Q838,'Threshold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Chart'!$B$1:$S$1,0)))),base,IF(OR(cat="Status",pow=0),0,FLOOR(FLOOR(FLOOR((2*XLOOKUP($Q838,'Threshold Summary'!$Y:$Y,'Threshold Summary'!$L:$L,"")/5+2)*pow*atk/def)/50)+2)),modifier,stab*eff,AVERAGE(ARRAYFORMULA(FLOOR(base*modifier*SEQUENCE(16,1,85,1)/100)))),0)</f>
        <v/>
      </c>
      <c r="M838" s="3">
        <f>IFERROR(LET(mtype,XLOOKUP($D838,'Move Editor'!$B:$B,'Move Editor'!$C:$C,""),cat,XLOOKUP($D838,'Move Editor'!$B:$B,'Move Editor'!$D:$D,""),pow,XLOOKUP($D838,'Move Editor'!$B:$B,'Move Editor'!$E:$E,0),acc,XLOOKUP($D838,'Move Editor'!$B:$B,'Move Editor'!$F:$F,100),atk,IF(cat="Physical",FLOOR((FLOOR(((2*XLOOKUP(XLOOKUP($Q838,'Threshold Summary'!$Y:$Y,'Threshold Summary'!$K:$K,""),'Pokemon Editor'!$A:$A,'Pokemon Editor'!$F:$F,0)+31+FLOOR(XLOOKUP($Q838,'Threshold Summary'!$Y:$Y,'Threshold Summary'!$P:$P,"")/4))*XLOOKUP($Q838,'Threshold Summary'!$Y:$Y,'Threshold Summary'!$L:$L,""))/100)+5)*XLOOKUP(XLOOKUP($Q838,'Threshold Summary'!$Y:$Y,'Threshold Summary'!$M:$M,""),'Nature Editor'!$A:$A,'Nature Editor'!$B:$B,1)),FLOOR((FLOOR(((2*XLOOKUP(XLOOKUP($Q838,'Threshold Summary'!$Y:$Y,'Threshold Summary'!$K:$K,""),'Pokemon Editor'!$A:$A,'Pokemon Editor'!$H:$H,0)+31+FLOOR(XLOOKUP($Q838,'Threshold Summary'!$Y:$Y,'Threshold Summary'!$R:$R,"")/4))*XLOOKUP($Q838,'Threshold Summary'!$Y:$Y,'Threshold Summary'!$L:$L,""))/100)+5)*XLOOKUP(XLOOKUP($Q838,'Threshold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Editor'!$E:$E,1))),stab,IF(OR(mtype=XLOOKUP(XLOOKUP($Q838,'Threshold Summary'!$Y:$Y,'Threshold Summary'!$K:$K,""),'Pokemon Editor'!$A:$A,'Pokemon Editor'!$C:$C,""),mtype=XLOOKUP(XLOOKUP($Q838,'Threshold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Chart'!$B$1:$S$1,0)))),base,IF(OR(cat="Status",pow=0),0,FLOOR(FLOOR(FLOOR((2*XLOOKUP($Q838,'Threshold Summary'!$Y:$Y,'Threshold Summary'!$L:$L,"")/5+2)*pow*atk/def)/50)+2)),modifier,stab*eff,AVERAGE(ARRAYFORMULA(FLOOR(base*modifier*SEQUENCE(16,1,85,1)/100)))*MIN(1,acc/100)),0)</f>
        <v/>
      </c>
      <c r="N838" s="4">
        <f>IFERROR(LET(mtype,XLOOKUP($D838,'Move Editor'!$B:$B,'Move Editor'!$C:$C,""),cat,XLOOKUP($D838,'Move Editor'!$B:$B,'Move Editor'!$D:$D,""),pow,XLOOKUP($D838,'Move Editor'!$B:$B,'Move Editor'!$E:$E,0),acc,XLOOKUP($D838,'Move Editor'!$B:$B,'Move Editor'!$F:$F,100),atk,IF(cat="Physical",FLOOR((FLOOR(((2*XLOOKUP(XLOOKUP($Q838,'Threshold Summary'!$Y:$Y,'Threshold Summary'!$K:$K,""),'Pokemon Editor'!$A:$A,'Pokemon Editor'!$F:$F,0)+31+FLOOR(XLOOKUP($Q838,'Threshold Summary'!$Y:$Y,'Threshold Summary'!$P:$P,"")/4))*XLOOKUP($Q838,'Threshold Summary'!$Y:$Y,'Threshold Summary'!$L:$L,""))/100)+5)*XLOOKUP(XLOOKUP($Q838,'Threshold Summary'!$Y:$Y,'Threshold Summary'!$M:$M,""),'Nature Editor'!$A:$A,'Nature Editor'!$B:$B,1)),FLOOR((FLOOR(((2*XLOOKUP(XLOOKUP($Q838,'Threshold Summary'!$Y:$Y,'Threshold Summary'!$K:$K,""),'Pokemon Editor'!$A:$A,'Pokemon Editor'!$H:$H,0)+31+FLOOR(XLOOKUP($Q838,'Threshold Summary'!$Y:$Y,'Threshold Summary'!$R:$R,"")/4))*XLOOKUP($Q838,'Threshold Summary'!$Y:$Y,'Threshold Summary'!$L:$L,""))/100)+5)*XLOOKUP(XLOOKUP($Q838,'Threshold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Editor'!$E:$E,1))),stab,IF(OR(mtype=XLOOKUP(XLOOKUP($Q838,'Threshold Summary'!$Y:$Y,'Threshold Summary'!$K:$K,""),'Pokemon Editor'!$A:$A,'Pokemon Editor'!$C:$C,""),mtype=XLOOKUP(XLOOKUP($Q838,'Threshold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Chart'!$B$1:$S$1,0)))),base,IF(OR(cat="Status",pow=0),0,FLOOR(FLOOR(FLOOR((2*XLOOKUP($Q838,'Threshold Summary'!$Y:$Y,'Threshold Summary'!$L:$L,"")/5+2)*pow*atk/def)/50)+2)),modifier,stab*eff,AVERAGE(ARRAYFORMULA(FLOOR(base*modifier*SEQUENCE(16,1,85,1)/100)))/(FLOOR(((2*XLOOKUP('Boss Editor'!$C$4,'Pokemon Editor'!$A:$A,'Pokemon Editor'!$E:$E,0)+31+FLOOR('Boss Editor'!$G$4/4))*'Boss Editor'!$D$4)/100)+'Boss Editor'!$D$4+10)),0)</f>
        <v/>
      </c>
      <c r="O838" s="3">
        <f>IF(N838&gt;=1,"OHKO",IF(N838&gt;=0.5,"2HKO",IF(N838&gt;=0.333,"3HKO",IF(N838&gt;=0.25,"4HKO","5HKO+"))))</f>
        <v/>
      </c>
      <c r="P838" s="3" t="inlineStr">
        <is>
          <t>Live from editable databases</t>
        </is>
      </c>
      <c r="Q838" s="3" t="inlineStr">
        <is>
          <t>SPECIES_TOXEL</t>
        </is>
      </c>
      <c r="R838" s="3" t="n">
        <v>5</v>
      </c>
    </row>
    <row r="839">
      <c r="A839" s="3">
        <f>XLOOKUP($Q839,'Threshold Summary'!$Y:$Y,'Threshold Summary'!$A:$A,"")</f>
        <v/>
      </c>
      <c r="B839" s="3">
        <f>XLOOKUP($Q839,'Threshold Summary'!$Y:$Y,'Threshold Summary'!$M:$M,"")</f>
        <v/>
      </c>
      <c r="C839" s="3">
        <f>XLOOKUP($Q839,'Threshold Summary'!$Y:$Y,'Threshold Summary'!$N:$N,"")</f>
        <v/>
      </c>
      <c r="D839" s="3">
        <f>IFERROR(INDEX(FILTER('Learnset Editor'!$D$2:$D,'Learnset Editor'!$A$2:$A=XLOOKUP($Q839,'Threshold Summary'!$Y:$Y,'Threshold Summary'!$K:$K,""),'Learnset Editor'!$C$2:$C&lt;=XLOOKUP($Q839,'Threshold Summary'!$Y:$Y,'Threshold Summary'!$L:$L,"")),$R839),"")</f>
        <v/>
      </c>
      <c r="E839" s="3">
        <f>XLOOKUP(D839,'Move Editor'!$B:$B,'Move Editor'!$C:$C,"")</f>
        <v/>
      </c>
      <c r="F839" s="3">
        <f>XLOOKUP(D839,'Move Editor'!$B:$B,'Move Editor'!$D:$D,"")</f>
        <v/>
      </c>
      <c r="G839" s="3">
        <f>XLOOKUP(D839,'Move Editor'!$B:$B,'Move Editor'!$E:$E,0)</f>
        <v/>
      </c>
      <c r="H839" s="3">
        <f>XLOOKUP(D839,'Move Editor'!$B:$B,'Move Editor'!$F:$F,0)</f>
        <v/>
      </c>
      <c r="I839" s="3">
        <f>(INDEX('Type Chart'!$B:$S,MATCH(E839,'Type Chart'!$A:$A,0),MATCH(XLOOKUP('Boss Editor'!$C$4,'Pokemon Editor'!$A:$A,'Pokemon Editor'!$C:$C,""),'Type Chart'!$B$1:$S$1,0))*IF(XLOOKUP('Boss Editor'!$C$4,'Pokemon Editor'!$A:$A,'Pokemon Editor'!$D:$D,"")="",1,INDEX('Type Chart'!$B:$S,MATCH(E839,'Type Chart'!$A:$A,0),MATCH(XLOOKUP('Boss Editor'!$C$4,'Pokemon Editor'!$A:$A,'Pokemon Editor'!$D:$D,""),'Type Chart'!$B$1:$S$1,0))))</f>
        <v/>
      </c>
      <c r="J839" s="3">
        <f>IFERROR(LET(mtype,XLOOKUP($D839,'Move Editor'!$B:$B,'Move Editor'!$C:$C,""),cat,XLOOKUP($D839,'Move Editor'!$B:$B,'Move Editor'!$D:$D,""),pow,XLOOKUP($D839,'Move Editor'!$B:$B,'Move Editor'!$E:$E,0),acc,XLOOKUP($D839,'Move Editor'!$B:$B,'Move Editor'!$F:$F,100),atk,IF(cat="Physical",FLOOR((FLOOR(((2*XLOOKUP(XLOOKUP($Q839,'Threshold Summary'!$Y:$Y,'Threshold Summary'!$K:$K,""),'Pokemon Editor'!$A:$A,'Pokemon Editor'!$F:$F,0)+31+FLOOR(XLOOKUP($Q839,'Threshold Summary'!$Y:$Y,'Threshold Summary'!$P:$P,"")/4))*XLOOKUP($Q839,'Threshold Summary'!$Y:$Y,'Threshold Summary'!$L:$L,""))/100)+5)*XLOOKUP(XLOOKUP($Q839,'Threshold Summary'!$Y:$Y,'Threshold Summary'!$M:$M,""),'Nature Editor'!$A:$A,'Nature Editor'!$B:$B,1)),FLOOR((FLOOR(((2*XLOOKUP(XLOOKUP($Q839,'Threshold Summary'!$Y:$Y,'Threshold Summary'!$K:$K,""),'Pokemon Editor'!$A:$A,'Pokemon Editor'!$H:$H,0)+31+FLOOR(XLOOKUP($Q839,'Threshold Summary'!$Y:$Y,'Threshold Summary'!$R:$R,"")/4))*XLOOKUP($Q839,'Threshold Summary'!$Y:$Y,'Threshold Summary'!$L:$L,""))/100)+5)*XLOOKUP(XLOOKUP($Q839,'Threshold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Editor'!$E:$E,1))),stab,IF(OR(mtype=XLOOKUP(XLOOKUP($Q839,'Threshold Summary'!$Y:$Y,'Threshold Summary'!$K:$K,""),'Pokemon Editor'!$A:$A,'Pokemon Editor'!$C:$C,""),mtype=XLOOKUP(XLOOKUP($Q839,'Threshold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Chart'!$B$1:$S$1,0)))),base,IF(OR(cat="Status",pow=0),0,FLOOR(FLOOR(FLOOR((2*XLOOKUP($Q839,'Threshold Summary'!$Y:$Y,'Threshold Summary'!$L:$L,"")/5+2)*pow*atk/def)/50)+2)),modifier,stab*eff,FLOOR(base*modifier*0.85)),0)</f>
        <v/>
      </c>
      <c r="K839" s="3">
        <f>IFERROR(LET(mtype,XLOOKUP($D839,'Move Editor'!$B:$B,'Move Editor'!$C:$C,""),cat,XLOOKUP($D839,'Move Editor'!$B:$B,'Move Editor'!$D:$D,""),pow,XLOOKUP($D839,'Move Editor'!$B:$B,'Move Editor'!$E:$E,0),acc,XLOOKUP($D839,'Move Editor'!$B:$B,'Move Editor'!$F:$F,100),atk,IF(cat="Physical",FLOOR((FLOOR(((2*XLOOKUP(XLOOKUP($Q839,'Threshold Summary'!$Y:$Y,'Threshold Summary'!$K:$K,""),'Pokemon Editor'!$A:$A,'Pokemon Editor'!$F:$F,0)+31+FLOOR(XLOOKUP($Q839,'Threshold Summary'!$Y:$Y,'Threshold Summary'!$P:$P,"")/4))*XLOOKUP($Q839,'Threshold Summary'!$Y:$Y,'Threshold Summary'!$L:$L,""))/100)+5)*XLOOKUP(XLOOKUP($Q839,'Threshold Summary'!$Y:$Y,'Threshold Summary'!$M:$M,""),'Nature Editor'!$A:$A,'Nature Editor'!$B:$B,1)),FLOOR((FLOOR(((2*XLOOKUP(XLOOKUP($Q839,'Threshold Summary'!$Y:$Y,'Threshold Summary'!$K:$K,""),'Pokemon Editor'!$A:$A,'Pokemon Editor'!$H:$H,0)+31+FLOOR(XLOOKUP($Q839,'Threshold Summary'!$Y:$Y,'Threshold Summary'!$R:$R,"")/4))*XLOOKUP($Q839,'Threshold Summary'!$Y:$Y,'Threshold Summary'!$L:$L,""))/100)+5)*XLOOKUP(XLOOKUP($Q839,'Threshold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Editor'!$E:$E,1))),stab,IF(OR(mtype=XLOOKUP(XLOOKUP($Q839,'Threshold Summary'!$Y:$Y,'Threshold Summary'!$K:$K,""),'Pokemon Editor'!$A:$A,'Pokemon Editor'!$C:$C,""),mtype=XLOOKUP(XLOOKUP($Q839,'Threshold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Chart'!$B$1:$S$1,0)))),base,IF(OR(cat="Status",pow=0),0,FLOOR(FLOOR(FLOOR((2*XLOOKUP($Q839,'Threshold Summary'!$Y:$Y,'Threshold Summary'!$L:$L,"")/5+2)*pow*atk/def)/50)+2)),modifier,stab*eff,FLOOR(base*modifier)),0)</f>
        <v/>
      </c>
      <c r="L839" s="3">
        <f>IFERROR(LET(mtype,XLOOKUP($D839,'Move Editor'!$B:$B,'Move Editor'!$C:$C,""),cat,XLOOKUP($D839,'Move Editor'!$B:$B,'Move Editor'!$D:$D,""),pow,XLOOKUP($D839,'Move Editor'!$B:$B,'Move Editor'!$E:$E,0),acc,XLOOKUP($D839,'Move Editor'!$B:$B,'Move Editor'!$F:$F,100),atk,IF(cat="Physical",FLOOR((FLOOR(((2*XLOOKUP(XLOOKUP($Q839,'Threshold Summary'!$Y:$Y,'Threshold Summary'!$K:$K,""),'Pokemon Editor'!$A:$A,'Pokemon Editor'!$F:$F,0)+31+FLOOR(XLOOKUP($Q839,'Threshold Summary'!$Y:$Y,'Threshold Summary'!$P:$P,"")/4))*XLOOKUP($Q839,'Threshold Summary'!$Y:$Y,'Threshold Summary'!$L:$L,""))/100)+5)*XLOOKUP(XLOOKUP($Q839,'Threshold Summary'!$Y:$Y,'Threshold Summary'!$M:$M,""),'Nature Editor'!$A:$A,'Nature Editor'!$B:$B,1)),FLOOR((FLOOR(((2*XLOOKUP(XLOOKUP($Q839,'Threshold Summary'!$Y:$Y,'Threshold Summary'!$K:$K,""),'Pokemon Editor'!$A:$A,'Pokemon Editor'!$H:$H,0)+31+FLOOR(XLOOKUP($Q839,'Threshold Summary'!$Y:$Y,'Threshold Summary'!$R:$R,"")/4))*XLOOKUP($Q839,'Threshold Summary'!$Y:$Y,'Threshold Summary'!$L:$L,""))/100)+5)*XLOOKUP(XLOOKUP($Q839,'Threshold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Editor'!$E:$E,1))),stab,IF(OR(mtype=XLOOKUP(XLOOKUP($Q839,'Threshold Summary'!$Y:$Y,'Threshold Summary'!$K:$K,""),'Pokemon Editor'!$A:$A,'Pokemon Editor'!$C:$C,""),mtype=XLOOKUP(XLOOKUP($Q839,'Threshold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Chart'!$B$1:$S$1,0)))),base,IF(OR(cat="Status",pow=0),0,FLOOR(FLOOR(FLOOR((2*XLOOKUP($Q839,'Threshold Summary'!$Y:$Y,'Threshold Summary'!$L:$L,"")/5+2)*pow*atk/def)/50)+2)),modifier,stab*eff,AVERAGE(ARRAYFORMULA(FLOOR(base*modifier*SEQUENCE(16,1,85,1)/100)))),0)</f>
        <v/>
      </c>
      <c r="M839" s="3">
        <f>IFERROR(LET(mtype,XLOOKUP($D839,'Move Editor'!$B:$B,'Move Editor'!$C:$C,""),cat,XLOOKUP($D839,'Move Editor'!$B:$B,'Move Editor'!$D:$D,""),pow,XLOOKUP($D839,'Move Editor'!$B:$B,'Move Editor'!$E:$E,0),acc,XLOOKUP($D839,'Move Editor'!$B:$B,'Move Editor'!$F:$F,100),atk,IF(cat="Physical",FLOOR((FLOOR(((2*XLOOKUP(XLOOKUP($Q839,'Threshold Summary'!$Y:$Y,'Threshold Summary'!$K:$K,""),'Pokemon Editor'!$A:$A,'Pokemon Editor'!$F:$F,0)+31+FLOOR(XLOOKUP($Q839,'Threshold Summary'!$Y:$Y,'Threshold Summary'!$P:$P,"")/4))*XLOOKUP($Q839,'Threshold Summary'!$Y:$Y,'Threshold Summary'!$L:$L,""))/100)+5)*XLOOKUP(XLOOKUP($Q839,'Threshold Summary'!$Y:$Y,'Threshold Summary'!$M:$M,""),'Nature Editor'!$A:$A,'Nature Editor'!$B:$B,1)),FLOOR((FLOOR(((2*XLOOKUP(XLOOKUP($Q839,'Threshold Summary'!$Y:$Y,'Threshold Summary'!$K:$K,""),'Pokemon Editor'!$A:$A,'Pokemon Editor'!$H:$H,0)+31+FLOOR(XLOOKUP($Q839,'Threshold Summary'!$Y:$Y,'Threshold Summary'!$R:$R,"")/4))*XLOOKUP($Q839,'Threshold Summary'!$Y:$Y,'Threshold Summary'!$L:$L,""))/100)+5)*XLOOKUP(XLOOKUP($Q839,'Threshold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Editor'!$E:$E,1))),stab,IF(OR(mtype=XLOOKUP(XLOOKUP($Q839,'Threshold Summary'!$Y:$Y,'Threshold Summary'!$K:$K,""),'Pokemon Editor'!$A:$A,'Pokemon Editor'!$C:$C,""),mtype=XLOOKUP(XLOOKUP($Q839,'Threshold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Chart'!$B$1:$S$1,0)))),base,IF(OR(cat="Status",pow=0),0,FLOOR(FLOOR(FLOOR((2*XLOOKUP($Q839,'Threshold Summary'!$Y:$Y,'Threshold Summary'!$L:$L,"")/5+2)*pow*atk/def)/50)+2)),modifier,stab*eff,AVERAGE(ARRAYFORMULA(FLOOR(base*modifier*SEQUENCE(16,1,85,1)/100)))*MIN(1,acc/100)),0)</f>
        <v/>
      </c>
      <c r="N839" s="4">
        <f>IFERROR(LET(mtype,XLOOKUP($D839,'Move Editor'!$B:$B,'Move Editor'!$C:$C,""),cat,XLOOKUP($D839,'Move Editor'!$B:$B,'Move Editor'!$D:$D,""),pow,XLOOKUP($D839,'Move Editor'!$B:$B,'Move Editor'!$E:$E,0),acc,XLOOKUP($D839,'Move Editor'!$B:$B,'Move Editor'!$F:$F,100),atk,IF(cat="Physical",FLOOR((FLOOR(((2*XLOOKUP(XLOOKUP($Q839,'Threshold Summary'!$Y:$Y,'Threshold Summary'!$K:$K,""),'Pokemon Editor'!$A:$A,'Pokemon Editor'!$F:$F,0)+31+FLOOR(XLOOKUP($Q839,'Threshold Summary'!$Y:$Y,'Threshold Summary'!$P:$P,"")/4))*XLOOKUP($Q839,'Threshold Summary'!$Y:$Y,'Threshold Summary'!$L:$L,""))/100)+5)*XLOOKUP(XLOOKUP($Q839,'Threshold Summary'!$Y:$Y,'Threshold Summary'!$M:$M,""),'Nature Editor'!$A:$A,'Nature Editor'!$B:$B,1)),FLOOR((FLOOR(((2*XLOOKUP(XLOOKUP($Q839,'Threshold Summary'!$Y:$Y,'Threshold Summary'!$K:$K,""),'Pokemon Editor'!$A:$A,'Pokemon Editor'!$H:$H,0)+31+FLOOR(XLOOKUP($Q839,'Threshold Summary'!$Y:$Y,'Threshold Summary'!$R:$R,"")/4))*XLOOKUP($Q839,'Threshold Summary'!$Y:$Y,'Threshold Summary'!$L:$L,""))/100)+5)*XLOOKUP(XLOOKUP($Q839,'Threshold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Editor'!$E:$E,1))),stab,IF(OR(mtype=XLOOKUP(XLOOKUP($Q839,'Threshold Summary'!$Y:$Y,'Threshold Summary'!$K:$K,""),'Pokemon Editor'!$A:$A,'Pokemon Editor'!$C:$C,""),mtype=XLOOKUP(XLOOKUP($Q839,'Threshold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Chart'!$B$1:$S$1,0)))),base,IF(OR(cat="Status",pow=0),0,FLOOR(FLOOR(FLOOR((2*XLOOKUP($Q839,'Threshold Summary'!$Y:$Y,'Threshold Summary'!$L:$L,"")/5+2)*pow*atk/def)/50)+2)),modifier,stab*eff,AVERAGE(ARRAYFORMULA(FLOOR(base*modifier*SEQUENCE(16,1,85,1)/100)))/(FLOOR(((2*XLOOKUP('Boss Editor'!$C$4,'Pokemon Editor'!$A:$A,'Pokemon Editor'!$E:$E,0)+31+FLOOR('Boss Editor'!$G$4/4))*'Boss Editor'!$D$4)/100)+'Boss Editor'!$D$4+10)),0)</f>
        <v/>
      </c>
      <c r="O839" s="3">
        <f>IF(N839&gt;=1,"OHKO",IF(N839&gt;=0.5,"2HKO",IF(N839&gt;=0.333,"3HKO",IF(N839&gt;=0.25,"4HKO","5HKO+"))))</f>
        <v/>
      </c>
      <c r="P839" s="3" t="inlineStr">
        <is>
          <t>Live from editable databases</t>
        </is>
      </c>
      <c r="Q839" s="3" t="inlineStr">
        <is>
          <t>SPECIES_TOXEL</t>
        </is>
      </c>
      <c r="R839" s="3" t="n">
        <v>6</v>
      </c>
    </row>
    <row r="840">
      <c r="A840" s="3">
        <f>XLOOKUP($Q840,'Threshold Summary'!$Y:$Y,'Threshold Summary'!$A:$A,"")</f>
        <v/>
      </c>
      <c r="B840" s="3">
        <f>XLOOKUP($Q840,'Threshold Summary'!$Y:$Y,'Threshold Summary'!$M:$M,"")</f>
        <v/>
      </c>
      <c r="C840" s="3">
        <f>XLOOKUP($Q840,'Threshold Summary'!$Y:$Y,'Threshold Summary'!$N:$N,"")</f>
        <v/>
      </c>
      <c r="D840" s="3">
        <f>IFERROR(INDEX(FILTER('Learnset Editor'!$D$2:$D,'Learnset Editor'!$A$2:$A=XLOOKUP($Q840,'Threshold Summary'!$Y:$Y,'Threshold Summary'!$K:$K,""),'Learnset Editor'!$C$2:$C&lt;=XLOOKUP($Q840,'Threshold Summary'!$Y:$Y,'Threshold Summary'!$L:$L,"")),$R840),"")</f>
        <v/>
      </c>
      <c r="E840" s="3">
        <f>XLOOKUP(D840,'Move Editor'!$B:$B,'Move Editor'!$C:$C,"")</f>
        <v/>
      </c>
      <c r="F840" s="3">
        <f>XLOOKUP(D840,'Move Editor'!$B:$B,'Move Editor'!$D:$D,"")</f>
        <v/>
      </c>
      <c r="G840" s="3">
        <f>XLOOKUP(D840,'Move Editor'!$B:$B,'Move Editor'!$E:$E,0)</f>
        <v/>
      </c>
      <c r="H840" s="3">
        <f>XLOOKUP(D840,'Move Editor'!$B:$B,'Move Editor'!$F:$F,0)</f>
        <v/>
      </c>
      <c r="I840" s="3">
        <f>(INDEX('Type Chart'!$B:$S,MATCH(E840,'Type Chart'!$A:$A,0),MATCH(XLOOKUP('Boss Editor'!$C$4,'Pokemon Editor'!$A:$A,'Pokemon Editor'!$C:$C,""),'Type Chart'!$B$1:$S$1,0))*IF(XLOOKUP('Boss Editor'!$C$4,'Pokemon Editor'!$A:$A,'Pokemon Editor'!$D:$D,"")="",1,INDEX('Type Chart'!$B:$S,MATCH(E840,'Type Chart'!$A:$A,0),MATCH(XLOOKUP('Boss Editor'!$C$4,'Pokemon Editor'!$A:$A,'Pokemon Editor'!$D:$D,""),'Type Chart'!$B$1:$S$1,0))))</f>
        <v/>
      </c>
      <c r="J840" s="3">
        <f>IFERROR(LET(mtype,XLOOKUP($D840,'Move Editor'!$B:$B,'Move Editor'!$C:$C,""),cat,XLOOKUP($D840,'Move Editor'!$B:$B,'Move Editor'!$D:$D,""),pow,XLOOKUP($D840,'Move Editor'!$B:$B,'Move Editor'!$E:$E,0),acc,XLOOKUP($D840,'Move Editor'!$B:$B,'Move Editor'!$F:$F,100),atk,IF(cat="Physical",FLOOR((FLOOR(((2*XLOOKUP(XLOOKUP($Q840,'Threshold Summary'!$Y:$Y,'Threshold Summary'!$K:$K,""),'Pokemon Editor'!$A:$A,'Pokemon Editor'!$F:$F,0)+31+FLOOR(XLOOKUP($Q840,'Threshold Summary'!$Y:$Y,'Threshold Summary'!$P:$P,"")/4))*XLOOKUP($Q840,'Threshold Summary'!$Y:$Y,'Threshold Summary'!$L:$L,""))/100)+5)*XLOOKUP(XLOOKUP($Q840,'Threshold Summary'!$Y:$Y,'Threshold Summary'!$M:$M,""),'Nature Editor'!$A:$A,'Nature Editor'!$B:$B,1)),FLOOR((FLOOR(((2*XLOOKUP(XLOOKUP($Q840,'Threshold Summary'!$Y:$Y,'Threshold Summary'!$K:$K,""),'Pokemon Editor'!$A:$A,'Pokemon Editor'!$H:$H,0)+31+FLOOR(XLOOKUP($Q840,'Threshold Summary'!$Y:$Y,'Threshold Summary'!$R:$R,"")/4))*XLOOKUP($Q840,'Threshold Summary'!$Y:$Y,'Threshold Summary'!$L:$L,""))/100)+5)*XLOOKUP(XLOOKUP($Q840,'Threshold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Editor'!$E:$E,1))),stab,IF(OR(mtype=XLOOKUP(XLOOKUP($Q840,'Threshold Summary'!$Y:$Y,'Threshold Summary'!$K:$K,""),'Pokemon Editor'!$A:$A,'Pokemon Editor'!$C:$C,""),mtype=XLOOKUP(XLOOKUP($Q840,'Threshold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Chart'!$B$1:$S$1,0)))),base,IF(OR(cat="Status",pow=0),0,FLOOR(FLOOR(FLOOR((2*XLOOKUP($Q840,'Threshold Summary'!$Y:$Y,'Threshold Summary'!$L:$L,"")/5+2)*pow*atk/def)/50)+2)),modifier,stab*eff,FLOOR(base*modifier*0.85)),0)</f>
        <v/>
      </c>
      <c r="K840" s="3">
        <f>IFERROR(LET(mtype,XLOOKUP($D840,'Move Editor'!$B:$B,'Move Editor'!$C:$C,""),cat,XLOOKUP($D840,'Move Editor'!$B:$B,'Move Editor'!$D:$D,""),pow,XLOOKUP($D840,'Move Editor'!$B:$B,'Move Editor'!$E:$E,0),acc,XLOOKUP($D840,'Move Editor'!$B:$B,'Move Editor'!$F:$F,100),atk,IF(cat="Physical",FLOOR((FLOOR(((2*XLOOKUP(XLOOKUP($Q840,'Threshold Summary'!$Y:$Y,'Threshold Summary'!$K:$K,""),'Pokemon Editor'!$A:$A,'Pokemon Editor'!$F:$F,0)+31+FLOOR(XLOOKUP($Q840,'Threshold Summary'!$Y:$Y,'Threshold Summary'!$P:$P,"")/4))*XLOOKUP($Q840,'Threshold Summary'!$Y:$Y,'Threshold Summary'!$L:$L,""))/100)+5)*XLOOKUP(XLOOKUP($Q840,'Threshold Summary'!$Y:$Y,'Threshold Summary'!$M:$M,""),'Nature Editor'!$A:$A,'Nature Editor'!$B:$B,1)),FLOOR((FLOOR(((2*XLOOKUP(XLOOKUP($Q840,'Threshold Summary'!$Y:$Y,'Threshold Summary'!$K:$K,""),'Pokemon Editor'!$A:$A,'Pokemon Editor'!$H:$H,0)+31+FLOOR(XLOOKUP($Q840,'Threshold Summary'!$Y:$Y,'Threshold Summary'!$R:$R,"")/4))*XLOOKUP($Q840,'Threshold Summary'!$Y:$Y,'Threshold Summary'!$L:$L,""))/100)+5)*XLOOKUP(XLOOKUP($Q840,'Threshold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Editor'!$E:$E,1))),stab,IF(OR(mtype=XLOOKUP(XLOOKUP($Q840,'Threshold Summary'!$Y:$Y,'Threshold Summary'!$K:$K,""),'Pokemon Editor'!$A:$A,'Pokemon Editor'!$C:$C,""),mtype=XLOOKUP(XLOOKUP($Q840,'Threshold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Chart'!$B$1:$S$1,0)))),base,IF(OR(cat="Status",pow=0),0,FLOOR(FLOOR(FLOOR((2*XLOOKUP($Q840,'Threshold Summary'!$Y:$Y,'Threshold Summary'!$L:$L,"")/5+2)*pow*atk/def)/50)+2)),modifier,stab*eff,FLOOR(base*modifier)),0)</f>
        <v/>
      </c>
      <c r="L840" s="3">
        <f>IFERROR(LET(mtype,XLOOKUP($D840,'Move Editor'!$B:$B,'Move Editor'!$C:$C,""),cat,XLOOKUP($D840,'Move Editor'!$B:$B,'Move Editor'!$D:$D,""),pow,XLOOKUP($D840,'Move Editor'!$B:$B,'Move Editor'!$E:$E,0),acc,XLOOKUP($D840,'Move Editor'!$B:$B,'Move Editor'!$F:$F,100),atk,IF(cat="Physical",FLOOR((FLOOR(((2*XLOOKUP(XLOOKUP($Q840,'Threshold Summary'!$Y:$Y,'Threshold Summary'!$K:$K,""),'Pokemon Editor'!$A:$A,'Pokemon Editor'!$F:$F,0)+31+FLOOR(XLOOKUP($Q840,'Threshold Summary'!$Y:$Y,'Threshold Summary'!$P:$P,"")/4))*XLOOKUP($Q840,'Threshold Summary'!$Y:$Y,'Threshold Summary'!$L:$L,""))/100)+5)*XLOOKUP(XLOOKUP($Q840,'Threshold Summary'!$Y:$Y,'Threshold Summary'!$M:$M,""),'Nature Editor'!$A:$A,'Nature Editor'!$B:$B,1)),FLOOR((FLOOR(((2*XLOOKUP(XLOOKUP($Q840,'Threshold Summary'!$Y:$Y,'Threshold Summary'!$K:$K,""),'Pokemon Editor'!$A:$A,'Pokemon Editor'!$H:$H,0)+31+FLOOR(XLOOKUP($Q840,'Threshold Summary'!$Y:$Y,'Threshold Summary'!$R:$R,"")/4))*XLOOKUP($Q840,'Threshold Summary'!$Y:$Y,'Threshold Summary'!$L:$L,""))/100)+5)*XLOOKUP(XLOOKUP($Q840,'Threshold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Editor'!$E:$E,1))),stab,IF(OR(mtype=XLOOKUP(XLOOKUP($Q840,'Threshold Summary'!$Y:$Y,'Threshold Summary'!$K:$K,""),'Pokemon Editor'!$A:$A,'Pokemon Editor'!$C:$C,""),mtype=XLOOKUP(XLOOKUP($Q840,'Threshold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Chart'!$B$1:$S$1,0)))),base,IF(OR(cat="Status",pow=0),0,FLOOR(FLOOR(FLOOR((2*XLOOKUP($Q840,'Threshold Summary'!$Y:$Y,'Threshold Summary'!$L:$L,"")/5+2)*pow*atk/def)/50)+2)),modifier,stab*eff,AVERAGE(ARRAYFORMULA(FLOOR(base*modifier*SEQUENCE(16,1,85,1)/100)))),0)</f>
        <v/>
      </c>
      <c r="M840" s="3">
        <f>IFERROR(LET(mtype,XLOOKUP($D840,'Move Editor'!$B:$B,'Move Editor'!$C:$C,""),cat,XLOOKUP($D840,'Move Editor'!$B:$B,'Move Editor'!$D:$D,""),pow,XLOOKUP($D840,'Move Editor'!$B:$B,'Move Editor'!$E:$E,0),acc,XLOOKUP($D840,'Move Editor'!$B:$B,'Move Editor'!$F:$F,100),atk,IF(cat="Physical",FLOOR((FLOOR(((2*XLOOKUP(XLOOKUP($Q840,'Threshold Summary'!$Y:$Y,'Threshold Summary'!$K:$K,""),'Pokemon Editor'!$A:$A,'Pokemon Editor'!$F:$F,0)+31+FLOOR(XLOOKUP($Q840,'Threshold Summary'!$Y:$Y,'Threshold Summary'!$P:$P,"")/4))*XLOOKUP($Q840,'Threshold Summary'!$Y:$Y,'Threshold Summary'!$L:$L,""))/100)+5)*XLOOKUP(XLOOKUP($Q840,'Threshold Summary'!$Y:$Y,'Threshold Summary'!$M:$M,""),'Nature Editor'!$A:$A,'Nature Editor'!$B:$B,1)),FLOOR((FLOOR(((2*XLOOKUP(XLOOKUP($Q840,'Threshold Summary'!$Y:$Y,'Threshold Summary'!$K:$K,""),'Pokemon Editor'!$A:$A,'Pokemon Editor'!$H:$H,0)+31+FLOOR(XLOOKUP($Q840,'Threshold Summary'!$Y:$Y,'Threshold Summary'!$R:$R,"")/4))*XLOOKUP($Q840,'Threshold Summary'!$Y:$Y,'Threshold Summary'!$L:$L,""))/100)+5)*XLOOKUP(XLOOKUP($Q840,'Threshold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Editor'!$E:$E,1))),stab,IF(OR(mtype=XLOOKUP(XLOOKUP($Q840,'Threshold Summary'!$Y:$Y,'Threshold Summary'!$K:$K,""),'Pokemon Editor'!$A:$A,'Pokemon Editor'!$C:$C,""),mtype=XLOOKUP(XLOOKUP($Q840,'Threshold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Chart'!$B$1:$S$1,0)))),base,IF(OR(cat="Status",pow=0),0,FLOOR(FLOOR(FLOOR((2*XLOOKUP($Q840,'Threshold Summary'!$Y:$Y,'Threshold Summary'!$L:$L,"")/5+2)*pow*atk/def)/50)+2)),modifier,stab*eff,AVERAGE(ARRAYFORMULA(FLOOR(base*modifier*SEQUENCE(16,1,85,1)/100)))*MIN(1,acc/100)),0)</f>
        <v/>
      </c>
      <c r="N840" s="4">
        <f>IFERROR(LET(mtype,XLOOKUP($D840,'Move Editor'!$B:$B,'Move Editor'!$C:$C,""),cat,XLOOKUP($D840,'Move Editor'!$B:$B,'Move Editor'!$D:$D,""),pow,XLOOKUP($D840,'Move Editor'!$B:$B,'Move Editor'!$E:$E,0),acc,XLOOKUP($D840,'Move Editor'!$B:$B,'Move Editor'!$F:$F,100),atk,IF(cat="Physical",FLOOR((FLOOR(((2*XLOOKUP(XLOOKUP($Q840,'Threshold Summary'!$Y:$Y,'Threshold Summary'!$K:$K,""),'Pokemon Editor'!$A:$A,'Pokemon Editor'!$F:$F,0)+31+FLOOR(XLOOKUP($Q840,'Threshold Summary'!$Y:$Y,'Threshold Summary'!$P:$P,"")/4))*XLOOKUP($Q840,'Threshold Summary'!$Y:$Y,'Threshold Summary'!$L:$L,""))/100)+5)*XLOOKUP(XLOOKUP($Q840,'Threshold Summary'!$Y:$Y,'Threshold Summary'!$M:$M,""),'Nature Editor'!$A:$A,'Nature Editor'!$B:$B,1)),FLOOR((FLOOR(((2*XLOOKUP(XLOOKUP($Q840,'Threshold Summary'!$Y:$Y,'Threshold Summary'!$K:$K,""),'Pokemon Editor'!$A:$A,'Pokemon Editor'!$H:$H,0)+31+FLOOR(XLOOKUP($Q840,'Threshold Summary'!$Y:$Y,'Threshold Summary'!$R:$R,"")/4))*XLOOKUP($Q840,'Threshold Summary'!$Y:$Y,'Threshold Summary'!$L:$L,""))/100)+5)*XLOOKUP(XLOOKUP($Q840,'Threshold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Editor'!$E:$E,1))),stab,IF(OR(mtype=XLOOKUP(XLOOKUP($Q840,'Threshold Summary'!$Y:$Y,'Threshold Summary'!$K:$K,""),'Pokemon Editor'!$A:$A,'Pokemon Editor'!$C:$C,""),mtype=XLOOKUP(XLOOKUP($Q840,'Threshold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Chart'!$B$1:$S$1,0)))),base,IF(OR(cat="Status",pow=0),0,FLOOR(FLOOR(FLOOR((2*XLOOKUP($Q840,'Threshold Summary'!$Y:$Y,'Threshold Summary'!$L:$L,"")/5+2)*pow*atk/def)/50)+2)),modifier,stab*eff,AVERAGE(ARRAYFORMULA(FLOOR(base*modifier*SEQUENCE(16,1,85,1)/100)))/(FLOOR(((2*XLOOKUP('Boss Editor'!$C$4,'Pokemon Editor'!$A:$A,'Pokemon Editor'!$E:$E,0)+31+FLOOR('Boss Editor'!$G$4/4))*'Boss Editor'!$D$4)/100)+'Boss Editor'!$D$4+10)),0)</f>
        <v/>
      </c>
      <c r="O840" s="3">
        <f>IF(N840&gt;=1,"OHKO",IF(N840&gt;=0.5,"2HKO",IF(N840&gt;=0.333,"3HKO",IF(N840&gt;=0.25,"4HKO","5HKO+"))))</f>
        <v/>
      </c>
      <c r="P840" s="3" t="inlineStr">
        <is>
          <t>Live from editable databases</t>
        </is>
      </c>
      <c r="Q840" s="3" t="inlineStr">
        <is>
          <t>SPECIES_TOXEL</t>
        </is>
      </c>
      <c r="R840" s="3" t="n">
        <v>7</v>
      </c>
    </row>
    <row r="841">
      <c r="A841" s="3">
        <f>XLOOKUP($Q841,'Threshold Summary'!$Y:$Y,'Threshold Summary'!$A:$A,"")</f>
        <v/>
      </c>
      <c r="B841" s="3">
        <f>XLOOKUP($Q841,'Threshold Summary'!$Y:$Y,'Threshold Summary'!$M:$M,"")</f>
        <v/>
      </c>
      <c r="C841" s="3">
        <f>XLOOKUP($Q841,'Threshold Summary'!$Y:$Y,'Threshold Summary'!$N:$N,"")</f>
        <v/>
      </c>
      <c r="D841" s="3">
        <f>IFERROR(INDEX(FILTER('Learnset Editor'!$D$2:$D,'Learnset Editor'!$A$2:$A=XLOOKUP($Q841,'Threshold Summary'!$Y:$Y,'Threshold Summary'!$K:$K,""),'Learnset Editor'!$C$2:$C&lt;=XLOOKUP($Q841,'Threshold Summary'!$Y:$Y,'Threshold Summary'!$L:$L,"")),$R841),"")</f>
        <v/>
      </c>
      <c r="E841" s="3">
        <f>XLOOKUP(D841,'Move Editor'!$B:$B,'Move Editor'!$C:$C,"")</f>
        <v/>
      </c>
      <c r="F841" s="3">
        <f>XLOOKUP(D841,'Move Editor'!$B:$B,'Move Editor'!$D:$D,"")</f>
        <v/>
      </c>
      <c r="G841" s="3">
        <f>XLOOKUP(D841,'Move Editor'!$B:$B,'Move Editor'!$E:$E,0)</f>
        <v/>
      </c>
      <c r="H841" s="3">
        <f>XLOOKUP(D841,'Move Editor'!$B:$B,'Move Editor'!$F:$F,0)</f>
        <v/>
      </c>
      <c r="I841" s="3">
        <f>(INDEX('Type Chart'!$B:$S,MATCH(E841,'Type Chart'!$A:$A,0),MATCH(XLOOKUP('Boss Editor'!$C$4,'Pokemon Editor'!$A:$A,'Pokemon Editor'!$C:$C,""),'Type Chart'!$B$1:$S$1,0))*IF(XLOOKUP('Boss Editor'!$C$4,'Pokemon Editor'!$A:$A,'Pokemon Editor'!$D:$D,"")="",1,INDEX('Type Chart'!$B:$S,MATCH(E841,'Type Chart'!$A:$A,0),MATCH(XLOOKUP('Boss Editor'!$C$4,'Pokemon Editor'!$A:$A,'Pokemon Editor'!$D:$D,""),'Type Chart'!$B$1:$S$1,0))))</f>
        <v/>
      </c>
      <c r="J841" s="3">
        <f>IFERROR(LET(mtype,XLOOKUP($D841,'Move Editor'!$B:$B,'Move Editor'!$C:$C,""),cat,XLOOKUP($D841,'Move Editor'!$B:$B,'Move Editor'!$D:$D,""),pow,XLOOKUP($D841,'Move Editor'!$B:$B,'Move Editor'!$E:$E,0),acc,XLOOKUP($D841,'Move Editor'!$B:$B,'Move Editor'!$F:$F,100),atk,IF(cat="Physical",FLOOR((FLOOR(((2*XLOOKUP(XLOOKUP($Q841,'Threshold Summary'!$Y:$Y,'Threshold Summary'!$K:$K,""),'Pokemon Editor'!$A:$A,'Pokemon Editor'!$F:$F,0)+31+FLOOR(XLOOKUP($Q841,'Threshold Summary'!$Y:$Y,'Threshold Summary'!$P:$P,"")/4))*XLOOKUP($Q841,'Threshold Summary'!$Y:$Y,'Threshold Summary'!$L:$L,""))/100)+5)*XLOOKUP(XLOOKUP($Q841,'Threshold Summary'!$Y:$Y,'Threshold Summary'!$M:$M,""),'Nature Editor'!$A:$A,'Nature Editor'!$B:$B,1)),FLOOR((FLOOR(((2*XLOOKUP(XLOOKUP($Q841,'Threshold Summary'!$Y:$Y,'Threshold Summary'!$K:$K,""),'Pokemon Editor'!$A:$A,'Pokemon Editor'!$H:$H,0)+31+FLOOR(XLOOKUP($Q841,'Threshold Summary'!$Y:$Y,'Threshold Summary'!$R:$R,"")/4))*XLOOKUP($Q841,'Threshold Summary'!$Y:$Y,'Threshold Summary'!$L:$L,""))/100)+5)*XLOOKUP(XLOOKUP($Q841,'Threshold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Editor'!$E:$E,1))),stab,IF(OR(mtype=XLOOKUP(XLOOKUP($Q841,'Threshold Summary'!$Y:$Y,'Threshold Summary'!$K:$K,""),'Pokemon Editor'!$A:$A,'Pokemon Editor'!$C:$C,""),mtype=XLOOKUP(XLOOKUP($Q841,'Threshold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Chart'!$B$1:$S$1,0)))),base,IF(OR(cat="Status",pow=0),0,FLOOR(FLOOR(FLOOR((2*XLOOKUP($Q841,'Threshold Summary'!$Y:$Y,'Threshold Summary'!$L:$L,"")/5+2)*pow*atk/def)/50)+2)),modifier,stab*eff,FLOOR(base*modifier*0.85)),0)</f>
        <v/>
      </c>
      <c r="K841" s="3">
        <f>IFERROR(LET(mtype,XLOOKUP($D841,'Move Editor'!$B:$B,'Move Editor'!$C:$C,""),cat,XLOOKUP($D841,'Move Editor'!$B:$B,'Move Editor'!$D:$D,""),pow,XLOOKUP($D841,'Move Editor'!$B:$B,'Move Editor'!$E:$E,0),acc,XLOOKUP($D841,'Move Editor'!$B:$B,'Move Editor'!$F:$F,100),atk,IF(cat="Physical",FLOOR((FLOOR(((2*XLOOKUP(XLOOKUP($Q841,'Threshold Summary'!$Y:$Y,'Threshold Summary'!$K:$K,""),'Pokemon Editor'!$A:$A,'Pokemon Editor'!$F:$F,0)+31+FLOOR(XLOOKUP($Q841,'Threshold Summary'!$Y:$Y,'Threshold Summary'!$P:$P,"")/4))*XLOOKUP($Q841,'Threshold Summary'!$Y:$Y,'Threshold Summary'!$L:$L,""))/100)+5)*XLOOKUP(XLOOKUP($Q841,'Threshold Summary'!$Y:$Y,'Threshold Summary'!$M:$M,""),'Nature Editor'!$A:$A,'Nature Editor'!$B:$B,1)),FLOOR((FLOOR(((2*XLOOKUP(XLOOKUP($Q841,'Threshold Summary'!$Y:$Y,'Threshold Summary'!$K:$K,""),'Pokemon Editor'!$A:$A,'Pokemon Editor'!$H:$H,0)+31+FLOOR(XLOOKUP($Q841,'Threshold Summary'!$Y:$Y,'Threshold Summary'!$R:$R,"")/4))*XLOOKUP($Q841,'Threshold Summary'!$Y:$Y,'Threshold Summary'!$L:$L,""))/100)+5)*XLOOKUP(XLOOKUP($Q841,'Threshold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Editor'!$E:$E,1))),stab,IF(OR(mtype=XLOOKUP(XLOOKUP($Q841,'Threshold Summary'!$Y:$Y,'Threshold Summary'!$K:$K,""),'Pokemon Editor'!$A:$A,'Pokemon Editor'!$C:$C,""),mtype=XLOOKUP(XLOOKUP($Q841,'Threshold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Chart'!$B$1:$S$1,0)))),base,IF(OR(cat="Status",pow=0),0,FLOOR(FLOOR(FLOOR((2*XLOOKUP($Q841,'Threshold Summary'!$Y:$Y,'Threshold Summary'!$L:$L,"")/5+2)*pow*atk/def)/50)+2)),modifier,stab*eff,FLOOR(base*modifier)),0)</f>
        <v/>
      </c>
      <c r="L841" s="3">
        <f>IFERROR(LET(mtype,XLOOKUP($D841,'Move Editor'!$B:$B,'Move Editor'!$C:$C,""),cat,XLOOKUP($D841,'Move Editor'!$B:$B,'Move Editor'!$D:$D,""),pow,XLOOKUP($D841,'Move Editor'!$B:$B,'Move Editor'!$E:$E,0),acc,XLOOKUP($D841,'Move Editor'!$B:$B,'Move Editor'!$F:$F,100),atk,IF(cat="Physical",FLOOR((FLOOR(((2*XLOOKUP(XLOOKUP($Q841,'Threshold Summary'!$Y:$Y,'Threshold Summary'!$K:$K,""),'Pokemon Editor'!$A:$A,'Pokemon Editor'!$F:$F,0)+31+FLOOR(XLOOKUP($Q841,'Threshold Summary'!$Y:$Y,'Threshold Summary'!$P:$P,"")/4))*XLOOKUP($Q841,'Threshold Summary'!$Y:$Y,'Threshold Summary'!$L:$L,""))/100)+5)*XLOOKUP(XLOOKUP($Q841,'Threshold Summary'!$Y:$Y,'Threshold Summary'!$M:$M,""),'Nature Editor'!$A:$A,'Nature Editor'!$B:$B,1)),FLOOR((FLOOR(((2*XLOOKUP(XLOOKUP($Q841,'Threshold Summary'!$Y:$Y,'Threshold Summary'!$K:$K,""),'Pokemon Editor'!$A:$A,'Pokemon Editor'!$H:$H,0)+31+FLOOR(XLOOKUP($Q841,'Threshold Summary'!$Y:$Y,'Threshold Summary'!$R:$R,"")/4))*XLOOKUP($Q841,'Threshold Summary'!$Y:$Y,'Threshold Summary'!$L:$L,""))/100)+5)*XLOOKUP(XLOOKUP($Q841,'Threshold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Editor'!$E:$E,1))),stab,IF(OR(mtype=XLOOKUP(XLOOKUP($Q841,'Threshold Summary'!$Y:$Y,'Threshold Summary'!$K:$K,""),'Pokemon Editor'!$A:$A,'Pokemon Editor'!$C:$C,""),mtype=XLOOKUP(XLOOKUP($Q841,'Threshold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Chart'!$B$1:$S$1,0)))),base,IF(OR(cat="Status",pow=0),0,FLOOR(FLOOR(FLOOR((2*XLOOKUP($Q841,'Threshold Summary'!$Y:$Y,'Threshold Summary'!$L:$L,"")/5+2)*pow*atk/def)/50)+2)),modifier,stab*eff,AVERAGE(ARRAYFORMULA(FLOOR(base*modifier*SEQUENCE(16,1,85,1)/100)))),0)</f>
        <v/>
      </c>
      <c r="M841" s="3">
        <f>IFERROR(LET(mtype,XLOOKUP($D841,'Move Editor'!$B:$B,'Move Editor'!$C:$C,""),cat,XLOOKUP($D841,'Move Editor'!$B:$B,'Move Editor'!$D:$D,""),pow,XLOOKUP($D841,'Move Editor'!$B:$B,'Move Editor'!$E:$E,0),acc,XLOOKUP($D841,'Move Editor'!$B:$B,'Move Editor'!$F:$F,100),atk,IF(cat="Physical",FLOOR((FLOOR(((2*XLOOKUP(XLOOKUP($Q841,'Threshold Summary'!$Y:$Y,'Threshold Summary'!$K:$K,""),'Pokemon Editor'!$A:$A,'Pokemon Editor'!$F:$F,0)+31+FLOOR(XLOOKUP($Q841,'Threshold Summary'!$Y:$Y,'Threshold Summary'!$P:$P,"")/4))*XLOOKUP($Q841,'Threshold Summary'!$Y:$Y,'Threshold Summary'!$L:$L,""))/100)+5)*XLOOKUP(XLOOKUP($Q841,'Threshold Summary'!$Y:$Y,'Threshold Summary'!$M:$M,""),'Nature Editor'!$A:$A,'Nature Editor'!$B:$B,1)),FLOOR((FLOOR(((2*XLOOKUP(XLOOKUP($Q841,'Threshold Summary'!$Y:$Y,'Threshold Summary'!$K:$K,""),'Pokemon Editor'!$A:$A,'Pokemon Editor'!$H:$H,0)+31+FLOOR(XLOOKUP($Q841,'Threshold Summary'!$Y:$Y,'Threshold Summary'!$R:$R,"")/4))*XLOOKUP($Q841,'Threshold Summary'!$Y:$Y,'Threshold Summary'!$L:$L,""))/100)+5)*XLOOKUP(XLOOKUP($Q841,'Threshold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Editor'!$E:$E,1))),stab,IF(OR(mtype=XLOOKUP(XLOOKUP($Q841,'Threshold Summary'!$Y:$Y,'Threshold Summary'!$K:$K,""),'Pokemon Editor'!$A:$A,'Pokemon Editor'!$C:$C,""),mtype=XLOOKUP(XLOOKUP($Q841,'Threshold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Chart'!$B$1:$S$1,0)))),base,IF(OR(cat="Status",pow=0),0,FLOOR(FLOOR(FLOOR((2*XLOOKUP($Q841,'Threshold Summary'!$Y:$Y,'Threshold Summary'!$L:$L,"")/5+2)*pow*atk/def)/50)+2)),modifier,stab*eff,AVERAGE(ARRAYFORMULA(FLOOR(base*modifier*SEQUENCE(16,1,85,1)/100)))*MIN(1,acc/100)),0)</f>
        <v/>
      </c>
      <c r="N841" s="4">
        <f>IFERROR(LET(mtype,XLOOKUP($D841,'Move Editor'!$B:$B,'Move Editor'!$C:$C,""),cat,XLOOKUP($D841,'Move Editor'!$B:$B,'Move Editor'!$D:$D,""),pow,XLOOKUP($D841,'Move Editor'!$B:$B,'Move Editor'!$E:$E,0),acc,XLOOKUP($D841,'Move Editor'!$B:$B,'Move Editor'!$F:$F,100),atk,IF(cat="Physical",FLOOR((FLOOR(((2*XLOOKUP(XLOOKUP($Q841,'Threshold Summary'!$Y:$Y,'Threshold Summary'!$K:$K,""),'Pokemon Editor'!$A:$A,'Pokemon Editor'!$F:$F,0)+31+FLOOR(XLOOKUP($Q841,'Threshold Summary'!$Y:$Y,'Threshold Summary'!$P:$P,"")/4))*XLOOKUP($Q841,'Threshold Summary'!$Y:$Y,'Threshold Summary'!$L:$L,""))/100)+5)*XLOOKUP(XLOOKUP($Q841,'Threshold Summary'!$Y:$Y,'Threshold Summary'!$M:$M,""),'Nature Editor'!$A:$A,'Nature Editor'!$B:$B,1)),FLOOR((FLOOR(((2*XLOOKUP(XLOOKUP($Q841,'Threshold Summary'!$Y:$Y,'Threshold Summary'!$K:$K,""),'Pokemon Editor'!$A:$A,'Pokemon Editor'!$H:$H,0)+31+FLOOR(XLOOKUP($Q841,'Threshold Summary'!$Y:$Y,'Threshold Summary'!$R:$R,"")/4))*XLOOKUP($Q841,'Threshold Summary'!$Y:$Y,'Threshold Summary'!$L:$L,""))/100)+5)*XLOOKUP(XLOOKUP($Q841,'Threshold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Editor'!$E:$E,1))),stab,IF(OR(mtype=XLOOKUP(XLOOKUP($Q841,'Threshold Summary'!$Y:$Y,'Threshold Summary'!$K:$K,""),'Pokemon Editor'!$A:$A,'Pokemon Editor'!$C:$C,""),mtype=XLOOKUP(XLOOKUP($Q841,'Threshold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Chart'!$B$1:$S$1,0)))),base,IF(OR(cat="Status",pow=0),0,FLOOR(FLOOR(FLOOR((2*XLOOKUP($Q841,'Threshold Summary'!$Y:$Y,'Threshold Summary'!$L:$L,"")/5+2)*pow*atk/def)/50)+2)),modifier,stab*eff,AVERAGE(ARRAYFORMULA(FLOOR(base*modifier*SEQUENCE(16,1,85,1)/100)))/(FLOOR(((2*XLOOKUP('Boss Editor'!$C$4,'Pokemon Editor'!$A:$A,'Pokemon Editor'!$E:$E,0)+31+FLOOR('Boss Editor'!$G$4/4))*'Boss Editor'!$D$4)/100)+'Boss Editor'!$D$4+10)),0)</f>
        <v/>
      </c>
      <c r="O841" s="3">
        <f>IF(N841&gt;=1,"OHKO",IF(N841&gt;=0.5,"2HKO",IF(N841&gt;=0.333,"3HKO",IF(N841&gt;=0.25,"4HKO","5HKO+"))))</f>
        <v/>
      </c>
      <c r="P841" s="3" t="inlineStr">
        <is>
          <t>Live from editable databases</t>
        </is>
      </c>
      <c r="Q841" s="3" t="inlineStr">
        <is>
          <t>SPECIES_TOXEL</t>
        </is>
      </c>
      <c r="R841" s="3" t="n">
        <v>8</v>
      </c>
    </row>
    <row r="842">
      <c r="A842" s="3">
        <f>XLOOKUP($Q842,'Threshold Summary'!$Y:$Y,'Threshold Summary'!$A:$A,"")</f>
        <v/>
      </c>
      <c r="B842" s="3">
        <f>XLOOKUP($Q842,'Threshold Summary'!$Y:$Y,'Threshold Summary'!$M:$M,"")</f>
        <v/>
      </c>
      <c r="C842" s="3">
        <f>XLOOKUP($Q842,'Threshold Summary'!$Y:$Y,'Threshold Summary'!$N:$N,"")</f>
        <v/>
      </c>
      <c r="D842" s="3">
        <f>IFERROR(INDEX(FILTER('Learnset Editor'!$D$2:$D,'Learnset Editor'!$A$2:$A=XLOOKUP($Q842,'Threshold Summary'!$Y:$Y,'Threshold Summary'!$K:$K,""),'Learnset Editor'!$C$2:$C&lt;=XLOOKUP($Q842,'Threshold Summary'!$Y:$Y,'Threshold Summary'!$L:$L,"")),$R842),"")</f>
        <v/>
      </c>
      <c r="E842" s="3">
        <f>XLOOKUP(D842,'Move Editor'!$B:$B,'Move Editor'!$C:$C,"")</f>
        <v/>
      </c>
      <c r="F842" s="3">
        <f>XLOOKUP(D842,'Move Editor'!$B:$B,'Move Editor'!$D:$D,"")</f>
        <v/>
      </c>
      <c r="G842" s="3">
        <f>XLOOKUP(D842,'Move Editor'!$B:$B,'Move Editor'!$E:$E,0)</f>
        <v/>
      </c>
      <c r="H842" s="3">
        <f>XLOOKUP(D842,'Move Editor'!$B:$B,'Move Editor'!$F:$F,0)</f>
        <v/>
      </c>
      <c r="I842" s="3">
        <f>(INDEX('Type Chart'!$B:$S,MATCH(E842,'Type Chart'!$A:$A,0),MATCH(XLOOKUP('Boss Editor'!$C$4,'Pokemon Editor'!$A:$A,'Pokemon Editor'!$C:$C,""),'Type Chart'!$B$1:$S$1,0))*IF(XLOOKUP('Boss Editor'!$C$4,'Pokemon Editor'!$A:$A,'Pokemon Editor'!$D:$D,"")="",1,INDEX('Type Chart'!$B:$S,MATCH(E842,'Type Chart'!$A:$A,0),MATCH(XLOOKUP('Boss Editor'!$C$4,'Pokemon Editor'!$A:$A,'Pokemon Editor'!$D:$D,""),'Type Chart'!$B$1:$S$1,0))))</f>
        <v/>
      </c>
      <c r="J842" s="3">
        <f>IFERROR(LET(mtype,XLOOKUP($D842,'Move Editor'!$B:$B,'Move Editor'!$C:$C,""),cat,XLOOKUP($D842,'Move Editor'!$B:$B,'Move Editor'!$D:$D,""),pow,XLOOKUP($D842,'Move Editor'!$B:$B,'Move Editor'!$E:$E,0),acc,XLOOKUP($D842,'Move Editor'!$B:$B,'Move Editor'!$F:$F,100),atk,IF(cat="Physical",FLOOR((FLOOR(((2*XLOOKUP(XLOOKUP($Q842,'Threshold Summary'!$Y:$Y,'Threshold Summary'!$K:$K,""),'Pokemon Editor'!$A:$A,'Pokemon Editor'!$F:$F,0)+31+FLOOR(XLOOKUP($Q842,'Threshold Summary'!$Y:$Y,'Threshold Summary'!$P:$P,"")/4))*XLOOKUP($Q842,'Threshold Summary'!$Y:$Y,'Threshold Summary'!$L:$L,""))/100)+5)*XLOOKUP(XLOOKUP($Q842,'Threshold Summary'!$Y:$Y,'Threshold Summary'!$M:$M,""),'Nature Editor'!$A:$A,'Nature Editor'!$B:$B,1)),FLOOR((FLOOR(((2*XLOOKUP(XLOOKUP($Q842,'Threshold Summary'!$Y:$Y,'Threshold Summary'!$K:$K,""),'Pokemon Editor'!$A:$A,'Pokemon Editor'!$H:$H,0)+31+FLOOR(XLOOKUP($Q842,'Threshold Summary'!$Y:$Y,'Threshold Summary'!$R:$R,"")/4))*XLOOKUP($Q842,'Threshold Summary'!$Y:$Y,'Threshold Summary'!$L:$L,""))/100)+5)*XLOOKUP(XLOOKUP($Q842,'Threshold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Editor'!$E:$E,1))),stab,IF(OR(mtype=XLOOKUP(XLOOKUP($Q842,'Threshold Summary'!$Y:$Y,'Threshold Summary'!$K:$K,""),'Pokemon Editor'!$A:$A,'Pokemon Editor'!$C:$C,""),mtype=XLOOKUP(XLOOKUP($Q842,'Threshold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Chart'!$B$1:$S$1,0)))),base,IF(OR(cat="Status",pow=0),0,FLOOR(FLOOR(FLOOR((2*XLOOKUP($Q842,'Threshold Summary'!$Y:$Y,'Threshold Summary'!$L:$L,"")/5+2)*pow*atk/def)/50)+2)),modifier,stab*eff,FLOOR(base*modifier*0.85)),0)</f>
        <v/>
      </c>
      <c r="K842" s="3">
        <f>IFERROR(LET(mtype,XLOOKUP($D842,'Move Editor'!$B:$B,'Move Editor'!$C:$C,""),cat,XLOOKUP($D842,'Move Editor'!$B:$B,'Move Editor'!$D:$D,""),pow,XLOOKUP($D842,'Move Editor'!$B:$B,'Move Editor'!$E:$E,0),acc,XLOOKUP($D842,'Move Editor'!$B:$B,'Move Editor'!$F:$F,100),atk,IF(cat="Physical",FLOOR((FLOOR(((2*XLOOKUP(XLOOKUP($Q842,'Threshold Summary'!$Y:$Y,'Threshold Summary'!$K:$K,""),'Pokemon Editor'!$A:$A,'Pokemon Editor'!$F:$F,0)+31+FLOOR(XLOOKUP($Q842,'Threshold Summary'!$Y:$Y,'Threshold Summary'!$P:$P,"")/4))*XLOOKUP($Q842,'Threshold Summary'!$Y:$Y,'Threshold Summary'!$L:$L,""))/100)+5)*XLOOKUP(XLOOKUP($Q842,'Threshold Summary'!$Y:$Y,'Threshold Summary'!$M:$M,""),'Nature Editor'!$A:$A,'Nature Editor'!$B:$B,1)),FLOOR((FLOOR(((2*XLOOKUP(XLOOKUP($Q842,'Threshold Summary'!$Y:$Y,'Threshold Summary'!$K:$K,""),'Pokemon Editor'!$A:$A,'Pokemon Editor'!$H:$H,0)+31+FLOOR(XLOOKUP($Q842,'Threshold Summary'!$Y:$Y,'Threshold Summary'!$R:$R,"")/4))*XLOOKUP($Q842,'Threshold Summary'!$Y:$Y,'Threshold Summary'!$L:$L,""))/100)+5)*XLOOKUP(XLOOKUP($Q842,'Threshold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Editor'!$E:$E,1))),stab,IF(OR(mtype=XLOOKUP(XLOOKUP($Q842,'Threshold Summary'!$Y:$Y,'Threshold Summary'!$K:$K,""),'Pokemon Editor'!$A:$A,'Pokemon Editor'!$C:$C,""),mtype=XLOOKUP(XLOOKUP($Q842,'Threshold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Chart'!$B$1:$S$1,0)))),base,IF(OR(cat="Status",pow=0),0,FLOOR(FLOOR(FLOOR((2*XLOOKUP($Q842,'Threshold Summary'!$Y:$Y,'Threshold Summary'!$L:$L,"")/5+2)*pow*atk/def)/50)+2)),modifier,stab*eff,FLOOR(base*modifier)),0)</f>
        <v/>
      </c>
      <c r="L842" s="3">
        <f>IFERROR(LET(mtype,XLOOKUP($D842,'Move Editor'!$B:$B,'Move Editor'!$C:$C,""),cat,XLOOKUP($D842,'Move Editor'!$B:$B,'Move Editor'!$D:$D,""),pow,XLOOKUP($D842,'Move Editor'!$B:$B,'Move Editor'!$E:$E,0),acc,XLOOKUP($D842,'Move Editor'!$B:$B,'Move Editor'!$F:$F,100),atk,IF(cat="Physical",FLOOR((FLOOR(((2*XLOOKUP(XLOOKUP($Q842,'Threshold Summary'!$Y:$Y,'Threshold Summary'!$K:$K,""),'Pokemon Editor'!$A:$A,'Pokemon Editor'!$F:$F,0)+31+FLOOR(XLOOKUP($Q842,'Threshold Summary'!$Y:$Y,'Threshold Summary'!$P:$P,"")/4))*XLOOKUP($Q842,'Threshold Summary'!$Y:$Y,'Threshold Summary'!$L:$L,""))/100)+5)*XLOOKUP(XLOOKUP($Q842,'Threshold Summary'!$Y:$Y,'Threshold Summary'!$M:$M,""),'Nature Editor'!$A:$A,'Nature Editor'!$B:$B,1)),FLOOR((FLOOR(((2*XLOOKUP(XLOOKUP($Q842,'Threshold Summary'!$Y:$Y,'Threshold Summary'!$K:$K,""),'Pokemon Editor'!$A:$A,'Pokemon Editor'!$H:$H,0)+31+FLOOR(XLOOKUP($Q842,'Threshold Summary'!$Y:$Y,'Threshold Summary'!$R:$R,"")/4))*XLOOKUP($Q842,'Threshold Summary'!$Y:$Y,'Threshold Summary'!$L:$L,""))/100)+5)*XLOOKUP(XLOOKUP($Q842,'Threshold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Editor'!$E:$E,1))),stab,IF(OR(mtype=XLOOKUP(XLOOKUP($Q842,'Threshold Summary'!$Y:$Y,'Threshold Summary'!$K:$K,""),'Pokemon Editor'!$A:$A,'Pokemon Editor'!$C:$C,""),mtype=XLOOKUP(XLOOKUP($Q842,'Threshold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Chart'!$B$1:$S$1,0)))),base,IF(OR(cat="Status",pow=0),0,FLOOR(FLOOR(FLOOR((2*XLOOKUP($Q842,'Threshold Summary'!$Y:$Y,'Threshold Summary'!$L:$L,"")/5+2)*pow*atk/def)/50)+2)),modifier,stab*eff,AVERAGE(ARRAYFORMULA(FLOOR(base*modifier*SEQUENCE(16,1,85,1)/100)))),0)</f>
        <v/>
      </c>
      <c r="M842" s="3">
        <f>IFERROR(LET(mtype,XLOOKUP($D842,'Move Editor'!$B:$B,'Move Editor'!$C:$C,""),cat,XLOOKUP($D842,'Move Editor'!$B:$B,'Move Editor'!$D:$D,""),pow,XLOOKUP($D842,'Move Editor'!$B:$B,'Move Editor'!$E:$E,0),acc,XLOOKUP($D842,'Move Editor'!$B:$B,'Move Editor'!$F:$F,100),atk,IF(cat="Physical",FLOOR((FLOOR(((2*XLOOKUP(XLOOKUP($Q842,'Threshold Summary'!$Y:$Y,'Threshold Summary'!$K:$K,""),'Pokemon Editor'!$A:$A,'Pokemon Editor'!$F:$F,0)+31+FLOOR(XLOOKUP($Q842,'Threshold Summary'!$Y:$Y,'Threshold Summary'!$P:$P,"")/4))*XLOOKUP($Q842,'Threshold Summary'!$Y:$Y,'Threshold Summary'!$L:$L,""))/100)+5)*XLOOKUP(XLOOKUP($Q842,'Threshold Summary'!$Y:$Y,'Threshold Summary'!$M:$M,""),'Nature Editor'!$A:$A,'Nature Editor'!$B:$B,1)),FLOOR((FLOOR(((2*XLOOKUP(XLOOKUP($Q842,'Threshold Summary'!$Y:$Y,'Threshold Summary'!$K:$K,""),'Pokemon Editor'!$A:$A,'Pokemon Editor'!$H:$H,0)+31+FLOOR(XLOOKUP($Q842,'Threshold Summary'!$Y:$Y,'Threshold Summary'!$R:$R,"")/4))*XLOOKUP($Q842,'Threshold Summary'!$Y:$Y,'Threshold Summary'!$L:$L,""))/100)+5)*XLOOKUP(XLOOKUP($Q842,'Threshold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Editor'!$E:$E,1))),stab,IF(OR(mtype=XLOOKUP(XLOOKUP($Q842,'Threshold Summary'!$Y:$Y,'Threshold Summary'!$K:$K,""),'Pokemon Editor'!$A:$A,'Pokemon Editor'!$C:$C,""),mtype=XLOOKUP(XLOOKUP($Q842,'Threshold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Chart'!$B$1:$S$1,0)))),base,IF(OR(cat="Status",pow=0),0,FLOOR(FLOOR(FLOOR((2*XLOOKUP($Q842,'Threshold Summary'!$Y:$Y,'Threshold Summary'!$L:$L,"")/5+2)*pow*atk/def)/50)+2)),modifier,stab*eff,AVERAGE(ARRAYFORMULA(FLOOR(base*modifier*SEQUENCE(16,1,85,1)/100)))*MIN(1,acc/100)),0)</f>
        <v/>
      </c>
      <c r="N842" s="4">
        <f>IFERROR(LET(mtype,XLOOKUP($D842,'Move Editor'!$B:$B,'Move Editor'!$C:$C,""),cat,XLOOKUP($D842,'Move Editor'!$B:$B,'Move Editor'!$D:$D,""),pow,XLOOKUP($D842,'Move Editor'!$B:$B,'Move Editor'!$E:$E,0),acc,XLOOKUP($D842,'Move Editor'!$B:$B,'Move Editor'!$F:$F,100),atk,IF(cat="Physical",FLOOR((FLOOR(((2*XLOOKUP(XLOOKUP($Q842,'Threshold Summary'!$Y:$Y,'Threshold Summary'!$K:$K,""),'Pokemon Editor'!$A:$A,'Pokemon Editor'!$F:$F,0)+31+FLOOR(XLOOKUP($Q842,'Threshold Summary'!$Y:$Y,'Threshold Summary'!$P:$P,"")/4))*XLOOKUP($Q842,'Threshold Summary'!$Y:$Y,'Threshold Summary'!$L:$L,""))/100)+5)*XLOOKUP(XLOOKUP($Q842,'Threshold Summary'!$Y:$Y,'Threshold Summary'!$M:$M,""),'Nature Editor'!$A:$A,'Nature Editor'!$B:$B,1)),FLOOR((FLOOR(((2*XLOOKUP(XLOOKUP($Q842,'Threshold Summary'!$Y:$Y,'Threshold Summary'!$K:$K,""),'Pokemon Editor'!$A:$A,'Pokemon Editor'!$H:$H,0)+31+FLOOR(XLOOKUP($Q842,'Threshold Summary'!$Y:$Y,'Threshold Summary'!$R:$R,"")/4))*XLOOKUP($Q842,'Threshold Summary'!$Y:$Y,'Threshold Summary'!$L:$L,""))/100)+5)*XLOOKUP(XLOOKUP($Q842,'Threshold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Editor'!$E:$E,1))),stab,IF(OR(mtype=XLOOKUP(XLOOKUP($Q842,'Threshold Summary'!$Y:$Y,'Threshold Summary'!$K:$K,""),'Pokemon Editor'!$A:$A,'Pokemon Editor'!$C:$C,""),mtype=XLOOKUP(XLOOKUP($Q842,'Threshold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Chart'!$B$1:$S$1,0)))),base,IF(OR(cat="Status",pow=0),0,FLOOR(FLOOR(FLOOR((2*XLOOKUP($Q842,'Threshold Summary'!$Y:$Y,'Threshold Summary'!$L:$L,"")/5+2)*pow*atk/def)/50)+2)),modifier,stab*eff,AVERAGE(ARRAYFORMULA(FLOOR(base*modifier*SEQUENCE(16,1,85,1)/100)))/(FLOOR(((2*XLOOKUP('Boss Editor'!$C$4,'Pokemon Editor'!$A:$A,'Pokemon Editor'!$E:$E,0)+31+FLOOR('Boss Editor'!$G$4/4))*'Boss Editor'!$D$4)/100)+'Boss Editor'!$D$4+10)),0)</f>
        <v/>
      </c>
      <c r="O842" s="3">
        <f>IF(N842&gt;=1,"OHKO",IF(N842&gt;=0.5,"2HKO",IF(N842&gt;=0.333,"3HKO",IF(N842&gt;=0.25,"4HKO","5HKO+"))))</f>
        <v/>
      </c>
      <c r="P842" s="3" t="inlineStr">
        <is>
          <t>Live from editable databases</t>
        </is>
      </c>
      <c r="Q842" s="3" t="inlineStr">
        <is>
          <t>SPECIES_TOXEL</t>
        </is>
      </c>
      <c r="R842" s="3" t="n">
        <v>9</v>
      </c>
    </row>
    <row r="843">
      <c r="A843" s="3">
        <f>XLOOKUP($Q843,'Threshold Summary'!$Y:$Y,'Threshold Summary'!$A:$A,"")</f>
        <v/>
      </c>
      <c r="B843" s="3">
        <f>XLOOKUP($Q843,'Threshold Summary'!$Y:$Y,'Threshold Summary'!$M:$M,"")</f>
        <v/>
      </c>
      <c r="C843" s="3">
        <f>XLOOKUP($Q843,'Threshold Summary'!$Y:$Y,'Threshold Summary'!$N:$N,"")</f>
        <v/>
      </c>
      <c r="D843" s="3">
        <f>IFERROR(INDEX(FILTER('Learnset Editor'!$D$2:$D,'Learnset Editor'!$A$2:$A=XLOOKUP($Q843,'Threshold Summary'!$Y:$Y,'Threshold Summary'!$K:$K,""),'Learnset Editor'!$C$2:$C&lt;=XLOOKUP($Q843,'Threshold Summary'!$Y:$Y,'Threshold Summary'!$L:$L,"")),$R843),"")</f>
        <v/>
      </c>
      <c r="E843" s="3">
        <f>XLOOKUP(D843,'Move Editor'!$B:$B,'Move Editor'!$C:$C,"")</f>
        <v/>
      </c>
      <c r="F843" s="3">
        <f>XLOOKUP(D843,'Move Editor'!$B:$B,'Move Editor'!$D:$D,"")</f>
        <v/>
      </c>
      <c r="G843" s="3">
        <f>XLOOKUP(D843,'Move Editor'!$B:$B,'Move Editor'!$E:$E,0)</f>
        <v/>
      </c>
      <c r="H843" s="3">
        <f>XLOOKUP(D843,'Move Editor'!$B:$B,'Move Editor'!$F:$F,0)</f>
        <v/>
      </c>
      <c r="I843" s="3">
        <f>(INDEX('Type Chart'!$B:$S,MATCH(E843,'Type Chart'!$A:$A,0),MATCH(XLOOKUP('Boss Editor'!$C$4,'Pokemon Editor'!$A:$A,'Pokemon Editor'!$C:$C,""),'Type Chart'!$B$1:$S$1,0))*IF(XLOOKUP('Boss Editor'!$C$4,'Pokemon Editor'!$A:$A,'Pokemon Editor'!$D:$D,"")="",1,INDEX('Type Chart'!$B:$S,MATCH(E843,'Type Chart'!$A:$A,0),MATCH(XLOOKUP('Boss Editor'!$C$4,'Pokemon Editor'!$A:$A,'Pokemon Editor'!$D:$D,""),'Type Chart'!$B$1:$S$1,0))))</f>
        <v/>
      </c>
      <c r="J843" s="3">
        <f>IFERROR(LET(mtype,XLOOKUP($D843,'Move Editor'!$B:$B,'Move Editor'!$C:$C,""),cat,XLOOKUP($D843,'Move Editor'!$B:$B,'Move Editor'!$D:$D,""),pow,XLOOKUP($D843,'Move Editor'!$B:$B,'Move Editor'!$E:$E,0),acc,XLOOKUP($D843,'Move Editor'!$B:$B,'Move Editor'!$F:$F,100),atk,IF(cat="Physical",FLOOR((FLOOR(((2*XLOOKUP(XLOOKUP($Q843,'Threshold Summary'!$Y:$Y,'Threshold Summary'!$K:$K,""),'Pokemon Editor'!$A:$A,'Pokemon Editor'!$F:$F,0)+31+FLOOR(XLOOKUP($Q843,'Threshold Summary'!$Y:$Y,'Threshold Summary'!$P:$P,"")/4))*XLOOKUP($Q843,'Threshold Summary'!$Y:$Y,'Threshold Summary'!$L:$L,""))/100)+5)*XLOOKUP(XLOOKUP($Q843,'Threshold Summary'!$Y:$Y,'Threshold Summary'!$M:$M,""),'Nature Editor'!$A:$A,'Nature Editor'!$B:$B,1)),FLOOR((FLOOR(((2*XLOOKUP(XLOOKUP($Q843,'Threshold Summary'!$Y:$Y,'Threshold Summary'!$K:$K,""),'Pokemon Editor'!$A:$A,'Pokemon Editor'!$H:$H,0)+31+FLOOR(XLOOKUP($Q843,'Threshold Summary'!$Y:$Y,'Threshold Summary'!$R:$R,"")/4))*XLOOKUP($Q843,'Threshold Summary'!$Y:$Y,'Threshold Summary'!$L:$L,""))/100)+5)*XLOOKUP(XLOOKUP($Q843,'Threshold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Editor'!$E:$E,1))),stab,IF(OR(mtype=XLOOKUP(XLOOKUP($Q843,'Threshold Summary'!$Y:$Y,'Threshold Summary'!$K:$K,""),'Pokemon Editor'!$A:$A,'Pokemon Editor'!$C:$C,""),mtype=XLOOKUP(XLOOKUP($Q843,'Threshold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Chart'!$B$1:$S$1,0)))),base,IF(OR(cat="Status",pow=0),0,FLOOR(FLOOR(FLOOR((2*XLOOKUP($Q843,'Threshold Summary'!$Y:$Y,'Threshold Summary'!$L:$L,"")/5+2)*pow*atk/def)/50)+2)),modifier,stab*eff,FLOOR(base*modifier*0.85)),0)</f>
        <v/>
      </c>
      <c r="K843" s="3">
        <f>IFERROR(LET(mtype,XLOOKUP($D843,'Move Editor'!$B:$B,'Move Editor'!$C:$C,""),cat,XLOOKUP($D843,'Move Editor'!$B:$B,'Move Editor'!$D:$D,""),pow,XLOOKUP($D843,'Move Editor'!$B:$B,'Move Editor'!$E:$E,0),acc,XLOOKUP($D843,'Move Editor'!$B:$B,'Move Editor'!$F:$F,100),atk,IF(cat="Physical",FLOOR((FLOOR(((2*XLOOKUP(XLOOKUP($Q843,'Threshold Summary'!$Y:$Y,'Threshold Summary'!$K:$K,""),'Pokemon Editor'!$A:$A,'Pokemon Editor'!$F:$F,0)+31+FLOOR(XLOOKUP($Q843,'Threshold Summary'!$Y:$Y,'Threshold Summary'!$P:$P,"")/4))*XLOOKUP($Q843,'Threshold Summary'!$Y:$Y,'Threshold Summary'!$L:$L,""))/100)+5)*XLOOKUP(XLOOKUP($Q843,'Threshold Summary'!$Y:$Y,'Threshold Summary'!$M:$M,""),'Nature Editor'!$A:$A,'Nature Editor'!$B:$B,1)),FLOOR((FLOOR(((2*XLOOKUP(XLOOKUP($Q843,'Threshold Summary'!$Y:$Y,'Threshold Summary'!$K:$K,""),'Pokemon Editor'!$A:$A,'Pokemon Editor'!$H:$H,0)+31+FLOOR(XLOOKUP($Q843,'Threshold Summary'!$Y:$Y,'Threshold Summary'!$R:$R,"")/4))*XLOOKUP($Q843,'Threshold Summary'!$Y:$Y,'Threshold Summary'!$L:$L,""))/100)+5)*XLOOKUP(XLOOKUP($Q843,'Threshold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Editor'!$E:$E,1))),stab,IF(OR(mtype=XLOOKUP(XLOOKUP($Q843,'Threshold Summary'!$Y:$Y,'Threshold Summary'!$K:$K,""),'Pokemon Editor'!$A:$A,'Pokemon Editor'!$C:$C,""),mtype=XLOOKUP(XLOOKUP($Q843,'Threshold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Chart'!$B$1:$S$1,0)))),base,IF(OR(cat="Status",pow=0),0,FLOOR(FLOOR(FLOOR((2*XLOOKUP($Q843,'Threshold Summary'!$Y:$Y,'Threshold Summary'!$L:$L,"")/5+2)*pow*atk/def)/50)+2)),modifier,stab*eff,FLOOR(base*modifier)),0)</f>
        <v/>
      </c>
      <c r="L843" s="3">
        <f>IFERROR(LET(mtype,XLOOKUP($D843,'Move Editor'!$B:$B,'Move Editor'!$C:$C,""),cat,XLOOKUP($D843,'Move Editor'!$B:$B,'Move Editor'!$D:$D,""),pow,XLOOKUP($D843,'Move Editor'!$B:$B,'Move Editor'!$E:$E,0),acc,XLOOKUP($D843,'Move Editor'!$B:$B,'Move Editor'!$F:$F,100),atk,IF(cat="Physical",FLOOR((FLOOR(((2*XLOOKUP(XLOOKUP($Q843,'Threshold Summary'!$Y:$Y,'Threshold Summary'!$K:$K,""),'Pokemon Editor'!$A:$A,'Pokemon Editor'!$F:$F,0)+31+FLOOR(XLOOKUP($Q843,'Threshold Summary'!$Y:$Y,'Threshold Summary'!$P:$P,"")/4))*XLOOKUP($Q843,'Threshold Summary'!$Y:$Y,'Threshold Summary'!$L:$L,""))/100)+5)*XLOOKUP(XLOOKUP($Q843,'Threshold Summary'!$Y:$Y,'Threshold Summary'!$M:$M,""),'Nature Editor'!$A:$A,'Nature Editor'!$B:$B,1)),FLOOR((FLOOR(((2*XLOOKUP(XLOOKUP($Q843,'Threshold Summary'!$Y:$Y,'Threshold Summary'!$K:$K,""),'Pokemon Editor'!$A:$A,'Pokemon Editor'!$H:$H,0)+31+FLOOR(XLOOKUP($Q843,'Threshold Summary'!$Y:$Y,'Threshold Summary'!$R:$R,"")/4))*XLOOKUP($Q843,'Threshold Summary'!$Y:$Y,'Threshold Summary'!$L:$L,""))/100)+5)*XLOOKUP(XLOOKUP($Q843,'Threshold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Editor'!$E:$E,1))),stab,IF(OR(mtype=XLOOKUP(XLOOKUP($Q843,'Threshold Summary'!$Y:$Y,'Threshold Summary'!$K:$K,""),'Pokemon Editor'!$A:$A,'Pokemon Editor'!$C:$C,""),mtype=XLOOKUP(XLOOKUP($Q843,'Threshold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Chart'!$B$1:$S$1,0)))),base,IF(OR(cat="Status",pow=0),0,FLOOR(FLOOR(FLOOR((2*XLOOKUP($Q843,'Threshold Summary'!$Y:$Y,'Threshold Summary'!$L:$L,"")/5+2)*pow*atk/def)/50)+2)),modifier,stab*eff,AVERAGE(ARRAYFORMULA(FLOOR(base*modifier*SEQUENCE(16,1,85,1)/100)))),0)</f>
        <v/>
      </c>
      <c r="M843" s="3">
        <f>IFERROR(LET(mtype,XLOOKUP($D843,'Move Editor'!$B:$B,'Move Editor'!$C:$C,""),cat,XLOOKUP($D843,'Move Editor'!$B:$B,'Move Editor'!$D:$D,""),pow,XLOOKUP($D843,'Move Editor'!$B:$B,'Move Editor'!$E:$E,0),acc,XLOOKUP($D843,'Move Editor'!$B:$B,'Move Editor'!$F:$F,100),atk,IF(cat="Physical",FLOOR((FLOOR(((2*XLOOKUP(XLOOKUP($Q843,'Threshold Summary'!$Y:$Y,'Threshold Summary'!$K:$K,""),'Pokemon Editor'!$A:$A,'Pokemon Editor'!$F:$F,0)+31+FLOOR(XLOOKUP($Q843,'Threshold Summary'!$Y:$Y,'Threshold Summary'!$P:$P,"")/4))*XLOOKUP($Q843,'Threshold Summary'!$Y:$Y,'Threshold Summary'!$L:$L,""))/100)+5)*XLOOKUP(XLOOKUP($Q843,'Threshold Summary'!$Y:$Y,'Threshold Summary'!$M:$M,""),'Nature Editor'!$A:$A,'Nature Editor'!$B:$B,1)),FLOOR((FLOOR(((2*XLOOKUP(XLOOKUP($Q843,'Threshold Summary'!$Y:$Y,'Threshold Summary'!$K:$K,""),'Pokemon Editor'!$A:$A,'Pokemon Editor'!$H:$H,0)+31+FLOOR(XLOOKUP($Q843,'Threshold Summary'!$Y:$Y,'Threshold Summary'!$R:$R,"")/4))*XLOOKUP($Q843,'Threshold Summary'!$Y:$Y,'Threshold Summary'!$L:$L,""))/100)+5)*XLOOKUP(XLOOKUP($Q843,'Threshold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Editor'!$E:$E,1))),stab,IF(OR(mtype=XLOOKUP(XLOOKUP($Q843,'Threshold Summary'!$Y:$Y,'Threshold Summary'!$K:$K,""),'Pokemon Editor'!$A:$A,'Pokemon Editor'!$C:$C,""),mtype=XLOOKUP(XLOOKUP($Q843,'Threshold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Chart'!$B$1:$S$1,0)))),base,IF(OR(cat="Status",pow=0),0,FLOOR(FLOOR(FLOOR((2*XLOOKUP($Q843,'Threshold Summary'!$Y:$Y,'Threshold Summary'!$L:$L,"")/5+2)*pow*atk/def)/50)+2)),modifier,stab*eff,AVERAGE(ARRAYFORMULA(FLOOR(base*modifier*SEQUENCE(16,1,85,1)/100)))*MIN(1,acc/100)),0)</f>
        <v/>
      </c>
      <c r="N843" s="4">
        <f>IFERROR(LET(mtype,XLOOKUP($D843,'Move Editor'!$B:$B,'Move Editor'!$C:$C,""),cat,XLOOKUP($D843,'Move Editor'!$B:$B,'Move Editor'!$D:$D,""),pow,XLOOKUP($D843,'Move Editor'!$B:$B,'Move Editor'!$E:$E,0),acc,XLOOKUP($D843,'Move Editor'!$B:$B,'Move Editor'!$F:$F,100),atk,IF(cat="Physical",FLOOR((FLOOR(((2*XLOOKUP(XLOOKUP($Q843,'Threshold Summary'!$Y:$Y,'Threshold Summary'!$K:$K,""),'Pokemon Editor'!$A:$A,'Pokemon Editor'!$F:$F,0)+31+FLOOR(XLOOKUP($Q843,'Threshold Summary'!$Y:$Y,'Threshold Summary'!$P:$P,"")/4))*XLOOKUP($Q843,'Threshold Summary'!$Y:$Y,'Threshold Summary'!$L:$L,""))/100)+5)*XLOOKUP(XLOOKUP($Q843,'Threshold Summary'!$Y:$Y,'Threshold Summary'!$M:$M,""),'Nature Editor'!$A:$A,'Nature Editor'!$B:$B,1)),FLOOR((FLOOR(((2*XLOOKUP(XLOOKUP($Q843,'Threshold Summary'!$Y:$Y,'Threshold Summary'!$K:$K,""),'Pokemon Editor'!$A:$A,'Pokemon Editor'!$H:$H,0)+31+FLOOR(XLOOKUP($Q843,'Threshold Summary'!$Y:$Y,'Threshold Summary'!$R:$R,"")/4))*XLOOKUP($Q843,'Threshold Summary'!$Y:$Y,'Threshold Summary'!$L:$L,""))/100)+5)*XLOOKUP(XLOOKUP($Q843,'Threshold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Editor'!$E:$E,1))),stab,IF(OR(mtype=XLOOKUP(XLOOKUP($Q843,'Threshold Summary'!$Y:$Y,'Threshold Summary'!$K:$K,""),'Pokemon Editor'!$A:$A,'Pokemon Editor'!$C:$C,""),mtype=XLOOKUP(XLOOKUP($Q843,'Threshold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Chart'!$B$1:$S$1,0)))),base,IF(OR(cat="Status",pow=0),0,FLOOR(FLOOR(FLOOR((2*XLOOKUP($Q843,'Threshold Summary'!$Y:$Y,'Threshold Summary'!$L:$L,"")/5+2)*pow*atk/def)/50)+2)),modifier,stab*eff,AVERAGE(ARRAYFORMULA(FLOOR(base*modifier*SEQUENCE(16,1,85,1)/100)))/(FLOOR(((2*XLOOKUP('Boss Editor'!$C$4,'Pokemon Editor'!$A:$A,'Pokemon Editor'!$E:$E,0)+31+FLOOR('Boss Editor'!$G$4/4))*'Boss Editor'!$D$4)/100)+'Boss Editor'!$D$4+10)),0)</f>
        <v/>
      </c>
      <c r="O843" s="3">
        <f>IF(N843&gt;=1,"OHKO",IF(N843&gt;=0.5,"2HKO",IF(N843&gt;=0.333,"3HKO",IF(N843&gt;=0.25,"4HKO","5HKO+"))))</f>
        <v/>
      </c>
      <c r="P843" s="3" t="inlineStr">
        <is>
          <t>Live from editable databases</t>
        </is>
      </c>
      <c r="Q843" s="3" t="inlineStr">
        <is>
          <t>SPECIES_TOXEL</t>
        </is>
      </c>
      <c r="R843" s="3" t="n">
        <v>10</v>
      </c>
    </row>
    <row r="844">
      <c r="A844" s="3">
        <f>XLOOKUP($Q844,'Threshold Summary'!$Y:$Y,'Threshold Summary'!$A:$A,"")</f>
        <v/>
      </c>
      <c r="B844" s="3">
        <f>XLOOKUP($Q844,'Threshold Summary'!$Y:$Y,'Threshold Summary'!$M:$M,"")</f>
        <v/>
      </c>
      <c r="C844" s="3">
        <f>XLOOKUP($Q844,'Threshold Summary'!$Y:$Y,'Threshold Summary'!$N:$N,"")</f>
        <v/>
      </c>
      <c r="D844" s="3">
        <f>IFERROR(INDEX(FILTER('Learnset Editor'!$D$2:$D,'Learnset Editor'!$A$2:$A=XLOOKUP($Q844,'Threshold Summary'!$Y:$Y,'Threshold Summary'!$K:$K,""),'Learnset Editor'!$C$2:$C&lt;=XLOOKUP($Q844,'Threshold Summary'!$Y:$Y,'Threshold Summary'!$L:$L,"")),$R844),"")</f>
        <v/>
      </c>
      <c r="E844" s="3">
        <f>XLOOKUP(D844,'Move Editor'!$B:$B,'Move Editor'!$C:$C,"")</f>
        <v/>
      </c>
      <c r="F844" s="3">
        <f>XLOOKUP(D844,'Move Editor'!$B:$B,'Move Editor'!$D:$D,"")</f>
        <v/>
      </c>
      <c r="G844" s="3">
        <f>XLOOKUP(D844,'Move Editor'!$B:$B,'Move Editor'!$E:$E,0)</f>
        <v/>
      </c>
      <c r="H844" s="3">
        <f>XLOOKUP(D844,'Move Editor'!$B:$B,'Move Editor'!$F:$F,0)</f>
        <v/>
      </c>
      <c r="I844" s="3">
        <f>(INDEX('Type Chart'!$B:$S,MATCH(E844,'Type Chart'!$A:$A,0),MATCH(XLOOKUP('Boss Editor'!$C$4,'Pokemon Editor'!$A:$A,'Pokemon Editor'!$C:$C,""),'Type Chart'!$B$1:$S$1,0))*IF(XLOOKUP('Boss Editor'!$C$4,'Pokemon Editor'!$A:$A,'Pokemon Editor'!$D:$D,"")="",1,INDEX('Type Chart'!$B:$S,MATCH(E844,'Type Chart'!$A:$A,0),MATCH(XLOOKUP('Boss Editor'!$C$4,'Pokemon Editor'!$A:$A,'Pokemon Editor'!$D:$D,""),'Type Chart'!$B$1:$S$1,0))))</f>
        <v/>
      </c>
      <c r="J844" s="3">
        <f>IFERROR(LET(mtype,XLOOKUP($D844,'Move Editor'!$B:$B,'Move Editor'!$C:$C,""),cat,XLOOKUP($D844,'Move Editor'!$B:$B,'Move Editor'!$D:$D,""),pow,XLOOKUP($D844,'Move Editor'!$B:$B,'Move Editor'!$E:$E,0),acc,XLOOKUP($D844,'Move Editor'!$B:$B,'Move Editor'!$F:$F,100),atk,IF(cat="Physical",FLOOR((FLOOR(((2*XLOOKUP(XLOOKUP($Q844,'Threshold Summary'!$Y:$Y,'Threshold Summary'!$K:$K,""),'Pokemon Editor'!$A:$A,'Pokemon Editor'!$F:$F,0)+31+FLOOR(XLOOKUP($Q844,'Threshold Summary'!$Y:$Y,'Threshold Summary'!$P:$P,"")/4))*XLOOKUP($Q844,'Threshold Summary'!$Y:$Y,'Threshold Summary'!$L:$L,""))/100)+5)*XLOOKUP(XLOOKUP($Q844,'Threshold Summary'!$Y:$Y,'Threshold Summary'!$M:$M,""),'Nature Editor'!$A:$A,'Nature Editor'!$B:$B,1)),FLOOR((FLOOR(((2*XLOOKUP(XLOOKUP($Q844,'Threshold Summary'!$Y:$Y,'Threshold Summary'!$K:$K,""),'Pokemon Editor'!$A:$A,'Pokemon Editor'!$H:$H,0)+31+FLOOR(XLOOKUP($Q844,'Threshold Summary'!$Y:$Y,'Threshold Summary'!$R:$R,"")/4))*XLOOKUP($Q844,'Threshold Summary'!$Y:$Y,'Threshold Summary'!$L:$L,""))/100)+5)*XLOOKUP(XLOOKUP($Q844,'Threshold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Editor'!$E:$E,1))),stab,IF(OR(mtype=XLOOKUP(XLOOKUP($Q844,'Threshold Summary'!$Y:$Y,'Threshold Summary'!$K:$K,""),'Pokemon Editor'!$A:$A,'Pokemon Editor'!$C:$C,""),mtype=XLOOKUP(XLOOKUP($Q844,'Threshold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Chart'!$B$1:$S$1,0)))),base,IF(OR(cat="Status",pow=0),0,FLOOR(FLOOR(FLOOR((2*XLOOKUP($Q844,'Threshold Summary'!$Y:$Y,'Threshold Summary'!$L:$L,"")/5+2)*pow*atk/def)/50)+2)),modifier,stab*eff,FLOOR(base*modifier*0.85)),0)</f>
        <v/>
      </c>
      <c r="K844" s="3">
        <f>IFERROR(LET(mtype,XLOOKUP($D844,'Move Editor'!$B:$B,'Move Editor'!$C:$C,""),cat,XLOOKUP($D844,'Move Editor'!$B:$B,'Move Editor'!$D:$D,""),pow,XLOOKUP($D844,'Move Editor'!$B:$B,'Move Editor'!$E:$E,0),acc,XLOOKUP($D844,'Move Editor'!$B:$B,'Move Editor'!$F:$F,100),atk,IF(cat="Physical",FLOOR((FLOOR(((2*XLOOKUP(XLOOKUP($Q844,'Threshold Summary'!$Y:$Y,'Threshold Summary'!$K:$K,""),'Pokemon Editor'!$A:$A,'Pokemon Editor'!$F:$F,0)+31+FLOOR(XLOOKUP($Q844,'Threshold Summary'!$Y:$Y,'Threshold Summary'!$P:$P,"")/4))*XLOOKUP($Q844,'Threshold Summary'!$Y:$Y,'Threshold Summary'!$L:$L,""))/100)+5)*XLOOKUP(XLOOKUP($Q844,'Threshold Summary'!$Y:$Y,'Threshold Summary'!$M:$M,""),'Nature Editor'!$A:$A,'Nature Editor'!$B:$B,1)),FLOOR((FLOOR(((2*XLOOKUP(XLOOKUP($Q844,'Threshold Summary'!$Y:$Y,'Threshold Summary'!$K:$K,""),'Pokemon Editor'!$A:$A,'Pokemon Editor'!$H:$H,0)+31+FLOOR(XLOOKUP($Q844,'Threshold Summary'!$Y:$Y,'Threshold Summary'!$R:$R,"")/4))*XLOOKUP($Q844,'Threshold Summary'!$Y:$Y,'Threshold Summary'!$L:$L,""))/100)+5)*XLOOKUP(XLOOKUP($Q844,'Threshold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Editor'!$E:$E,1))),stab,IF(OR(mtype=XLOOKUP(XLOOKUP($Q844,'Threshold Summary'!$Y:$Y,'Threshold Summary'!$K:$K,""),'Pokemon Editor'!$A:$A,'Pokemon Editor'!$C:$C,""),mtype=XLOOKUP(XLOOKUP($Q844,'Threshold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Chart'!$B$1:$S$1,0)))),base,IF(OR(cat="Status",pow=0),0,FLOOR(FLOOR(FLOOR((2*XLOOKUP($Q844,'Threshold Summary'!$Y:$Y,'Threshold Summary'!$L:$L,"")/5+2)*pow*atk/def)/50)+2)),modifier,stab*eff,FLOOR(base*modifier)),0)</f>
        <v/>
      </c>
      <c r="L844" s="3">
        <f>IFERROR(LET(mtype,XLOOKUP($D844,'Move Editor'!$B:$B,'Move Editor'!$C:$C,""),cat,XLOOKUP($D844,'Move Editor'!$B:$B,'Move Editor'!$D:$D,""),pow,XLOOKUP($D844,'Move Editor'!$B:$B,'Move Editor'!$E:$E,0),acc,XLOOKUP($D844,'Move Editor'!$B:$B,'Move Editor'!$F:$F,100),atk,IF(cat="Physical",FLOOR((FLOOR(((2*XLOOKUP(XLOOKUP($Q844,'Threshold Summary'!$Y:$Y,'Threshold Summary'!$K:$K,""),'Pokemon Editor'!$A:$A,'Pokemon Editor'!$F:$F,0)+31+FLOOR(XLOOKUP($Q844,'Threshold Summary'!$Y:$Y,'Threshold Summary'!$P:$P,"")/4))*XLOOKUP($Q844,'Threshold Summary'!$Y:$Y,'Threshold Summary'!$L:$L,""))/100)+5)*XLOOKUP(XLOOKUP($Q844,'Threshold Summary'!$Y:$Y,'Threshold Summary'!$M:$M,""),'Nature Editor'!$A:$A,'Nature Editor'!$B:$B,1)),FLOOR((FLOOR(((2*XLOOKUP(XLOOKUP($Q844,'Threshold Summary'!$Y:$Y,'Threshold Summary'!$K:$K,""),'Pokemon Editor'!$A:$A,'Pokemon Editor'!$H:$H,0)+31+FLOOR(XLOOKUP($Q844,'Threshold Summary'!$Y:$Y,'Threshold Summary'!$R:$R,"")/4))*XLOOKUP($Q844,'Threshold Summary'!$Y:$Y,'Threshold Summary'!$L:$L,""))/100)+5)*XLOOKUP(XLOOKUP($Q844,'Threshold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Editor'!$E:$E,1))),stab,IF(OR(mtype=XLOOKUP(XLOOKUP($Q844,'Threshold Summary'!$Y:$Y,'Threshold Summary'!$K:$K,""),'Pokemon Editor'!$A:$A,'Pokemon Editor'!$C:$C,""),mtype=XLOOKUP(XLOOKUP($Q844,'Threshold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Chart'!$B$1:$S$1,0)))),base,IF(OR(cat="Status",pow=0),0,FLOOR(FLOOR(FLOOR((2*XLOOKUP($Q844,'Threshold Summary'!$Y:$Y,'Threshold Summary'!$L:$L,"")/5+2)*pow*atk/def)/50)+2)),modifier,stab*eff,AVERAGE(ARRAYFORMULA(FLOOR(base*modifier*SEQUENCE(16,1,85,1)/100)))),0)</f>
        <v/>
      </c>
      <c r="M844" s="3">
        <f>IFERROR(LET(mtype,XLOOKUP($D844,'Move Editor'!$B:$B,'Move Editor'!$C:$C,""),cat,XLOOKUP($D844,'Move Editor'!$B:$B,'Move Editor'!$D:$D,""),pow,XLOOKUP($D844,'Move Editor'!$B:$B,'Move Editor'!$E:$E,0),acc,XLOOKUP($D844,'Move Editor'!$B:$B,'Move Editor'!$F:$F,100),atk,IF(cat="Physical",FLOOR((FLOOR(((2*XLOOKUP(XLOOKUP($Q844,'Threshold Summary'!$Y:$Y,'Threshold Summary'!$K:$K,""),'Pokemon Editor'!$A:$A,'Pokemon Editor'!$F:$F,0)+31+FLOOR(XLOOKUP($Q844,'Threshold Summary'!$Y:$Y,'Threshold Summary'!$P:$P,"")/4))*XLOOKUP($Q844,'Threshold Summary'!$Y:$Y,'Threshold Summary'!$L:$L,""))/100)+5)*XLOOKUP(XLOOKUP($Q844,'Threshold Summary'!$Y:$Y,'Threshold Summary'!$M:$M,""),'Nature Editor'!$A:$A,'Nature Editor'!$B:$B,1)),FLOOR((FLOOR(((2*XLOOKUP(XLOOKUP($Q844,'Threshold Summary'!$Y:$Y,'Threshold Summary'!$K:$K,""),'Pokemon Editor'!$A:$A,'Pokemon Editor'!$H:$H,0)+31+FLOOR(XLOOKUP($Q844,'Threshold Summary'!$Y:$Y,'Threshold Summary'!$R:$R,"")/4))*XLOOKUP($Q844,'Threshold Summary'!$Y:$Y,'Threshold Summary'!$L:$L,""))/100)+5)*XLOOKUP(XLOOKUP($Q844,'Threshold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Editor'!$E:$E,1))),stab,IF(OR(mtype=XLOOKUP(XLOOKUP($Q844,'Threshold Summary'!$Y:$Y,'Threshold Summary'!$K:$K,""),'Pokemon Editor'!$A:$A,'Pokemon Editor'!$C:$C,""),mtype=XLOOKUP(XLOOKUP($Q844,'Threshold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Chart'!$B$1:$S$1,0)))),base,IF(OR(cat="Status",pow=0),0,FLOOR(FLOOR(FLOOR((2*XLOOKUP($Q844,'Threshold Summary'!$Y:$Y,'Threshold Summary'!$L:$L,"")/5+2)*pow*atk/def)/50)+2)),modifier,stab*eff,AVERAGE(ARRAYFORMULA(FLOOR(base*modifier*SEQUENCE(16,1,85,1)/100)))*MIN(1,acc/100)),0)</f>
        <v/>
      </c>
      <c r="N844" s="4">
        <f>IFERROR(LET(mtype,XLOOKUP($D844,'Move Editor'!$B:$B,'Move Editor'!$C:$C,""),cat,XLOOKUP($D844,'Move Editor'!$B:$B,'Move Editor'!$D:$D,""),pow,XLOOKUP($D844,'Move Editor'!$B:$B,'Move Editor'!$E:$E,0),acc,XLOOKUP($D844,'Move Editor'!$B:$B,'Move Editor'!$F:$F,100),atk,IF(cat="Physical",FLOOR((FLOOR(((2*XLOOKUP(XLOOKUP($Q844,'Threshold Summary'!$Y:$Y,'Threshold Summary'!$K:$K,""),'Pokemon Editor'!$A:$A,'Pokemon Editor'!$F:$F,0)+31+FLOOR(XLOOKUP($Q844,'Threshold Summary'!$Y:$Y,'Threshold Summary'!$P:$P,"")/4))*XLOOKUP($Q844,'Threshold Summary'!$Y:$Y,'Threshold Summary'!$L:$L,""))/100)+5)*XLOOKUP(XLOOKUP($Q844,'Threshold Summary'!$Y:$Y,'Threshold Summary'!$M:$M,""),'Nature Editor'!$A:$A,'Nature Editor'!$B:$B,1)),FLOOR((FLOOR(((2*XLOOKUP(XLOOKUP($Q844,'Threshold Summary'!$Y:$Y,'Threshold Summary'!$K:$K,""),'Pokemon Editor'!$A:$A,'Pokemon Editor'!$H:$H,0)+31+FLOOR(XLOOKUP($Q844,'Threshold Summary'!$Y:$Y,'Threshold Summary'!$R:$R,"")/4))*XLOOKUP($Q844,'Threshold Summary'!$Y:$Y,'Threshold Summary'!$L:$L,""))/100)+5)*XLOOKUP(XLOOKUP($Q844,'Threshold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Editor'!$E:$E,1))),stab,IF(OR(mtype=XLOOKUP(XLOOKUP($Q844,'Threshold Summary'!$Y:$Y,'Threshold Summary'!$K:$K,""),'Pokemon Editor'!$A:$A,'Pokemon Editor'!$C:$C,""),mtype=XLOOKUP(XLOOKUP($Q844,'Threshold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Chart'!$B$1:$S$1,0)))),base,IF(OR(cat="Status",pow=0),0,FLOOR(FLOOR(FLOOR((2*XLOOKUP($Q844,'Threshold Summary'!$Y:$Y,'Threshold Summary'!$L:$L,"")/5+2)*pow*atk/def)/50)+2)),modifier,stab*eff,AVERAGE(ARRAYFORMULA(FLOOR(base*modifier*SEQUENCE(16,1,85,1)/100)))/(FLOOR(((2*XLOOKUP('Boss Editor'!$C$4,'Pokemon Editor'!$A:$A,'Pokemon Editor'!$E:$E,0)+31+FLOOR('Boss Editor'!$G$4/4))*'Boss Editor'!$D$4)/100)+'Boss Editor'!$D$4+10)),0)</f>
        <v/>
      </c>
      <c r="O844" s="3">
        <f>IF(N844&gt;=1,"OHKO",IF(N844&gt;=0.5,"2HKO",IF(N844&gt;=0.333,"3HKO",IF(N844&gt;=0.25,"4HKO","5HKO+"))))</f>
        <v/>
      </c>
      <c r="P844" s="3" t="inlineStr">
        <is>
          <t>Live from editable databases</t>
        </is>
      </c>
      <c r="Q844" s="3" t="inlineStr">
        <is>
          <t>SPECIES_TOXEL</t>
        </is>
      </c>
      <c r="R844" s="3" t="n">
        <v>11</v>
      </c>
    </row>
    <row r="845">
      <c r="A845" s="3">
        <f>XLOOKUP($Q845,'Threshold Summary'!$Y:$Y,'Threshold Summary'!$A:$A,"")</f>
        <v/>
      </c>
      <c r="B845" s="3">
        <f>XLOOKUP($Q845,'Threshold Summary'!$Y:$Y,'Threshold Summary'!$M:$M,"")</f>
        <v/>
      </c>
      <c r="C845" s="3">
        <f>XLOOKUP($Q845,'Threshold Summary'!$Y:$Y,'Threshold Summary'!$N:$N,"")</f>
        <v/>
      </c>
      <c r="D845" s="3">
        <f>IFERROR(INDEX(FILTER('Learnset Editor'!$D$2:$D,'Learnset Editor'!$A$2:$A=XLOOKUP($Q845,'Threshold Summary'!$Y:$Y,'Threshold Summary'!$K:$K,""),'Learnset Editor'!$C$2:$C&lt;=XLOOKUP($Q845,'Threshold Summary'!$Y:$Y,'Threshold Summary'!$L:$L,"")),$R845),"")</f>
        <v/>
      </c>
      <c r="E845" s="3">
        <f>XLOOKUP(D845,'Move Editor'!$B:$B,'Move Editor'!$C:$C,"")</f>
        <v/>
      </c>
      <c r="F845" s="3">
        <f>XLOOKUP(D845,'Move Editor'!$B:$B,'Move Editor'!$D:$D,"")</f>
        <v/>
      </c>
      <c r="G845" s="3">
        <f>XLOOKUP(D845,'Move Editor'!$B:$B,'Move Editor'!$E:$E,0)</f>
        <v/>
      </c>
      <c r="H845" s="3">
        <f>XLOOKUP(D845,'Move Editor'!$B:$B,'Move Editor'!$F:$F,0)</f>
        <v/>
      </c>
      <c r="I845" s="3">
        <f>(INDEX('Type Chart'!$B:$S,MATCH(E845,'Type Chart'!$A:$A,0),MATCH(XLOOKUP('Boss Editor'!$C$4,'Pokemon Editor'!$A:$A,'Pokemon Editor'!$C:$C,""),'Type Chart'!$B$1:$S$1,0))*IF(XLOOKUP('Boss Editor'!$C$4,'Pokemon Editor'!$A:$A,'Pokemon Editor'!$D:$D,"")="",1,INDEX('Type Chart'!$B:$S,MATCH(E845,'Type Chart'!$A:$A,0),MATCH(XLOOKUP('Boss Editor'!$C$4,'Pokemon Editor'!$A:$A,'Pokemon Editor'!$D:$D,""),'Type Chart'!$B$1:$S$1,0))))</f>
        <v/>
      </c>
      <c r="J845" s="3">
        <f>IFERROR(LET(mtype,XLOOKUP($D845,'Move Editor'!$B:$B,'Move Editor'!$C:$C,""),cat,XLOOKUP($D845,'Move Editor'!$B:$B,'Move Editor'!$D:$D,""),pow,XLOOKUP($D845,'Move Editor'!$B:$B,'Move Editor'!$E:$E,0),acc,XLOOKUP($D845,'Move Editor'!$B:$B,'Move Editor'!$F:$F,100),atk,IF(cat="Physical",FLOOR((FLOOR(((2*XLOOKUP(XLOOKUP($Q845,'Threshold Summary'!$Y:$Y,'Threshold Summary'!$K:$K,""),'Pokemon Editor'!$A:$A,'Pokemon Editor'!$F:$F,0)+31+FLOOR(XLOOKUP($Q845,'Threshold Summary'!$Y:$Y,'Threshold Summary'!$P:$P,"")/4))*XLOOKUP($Q845,'Threshold Summary'!$Y:$Y,'Threshold Summary'!$L:$L,""))/100)+5)*XLOOKUP(XLOOKUP($Q845,'Threshold Summary'!$Y:$Y,'Threshold Summary'!$M:$M,""),'Nature Editor'!$A:$A,'Nature Editor'!$B:$B,1)),FLOOR((FLOOR(((2*XLOOKUP(XLOOKUP($Q845,'Threshold Summary'!$Y:$Y,'Threshold Summary'!$K:$K,""),'Pokemon Editor'!$A:$A,'Pokemon Editor'!$H:$H,0)+31+FLOOR(XLOOKUP($Q845,'Threshold Summary'!$Y:$Y,'Threshold Summary'!$R:$R,"")/4))*XLOOKUP($Q845,'Threshold Summary'!$Y:$Y,'Threshold Summary'!$L:$L,""))/100)+5)*XLOOKUP(XLOOKUP($Q845,'Threshold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Editor'!$E:$E,1))),stab,IF(OR(mtype=XLOOKUP(XLOOKUP($Q845,'Threshold Summary'!$Y:$Y,'Threshold Summary'!$K:$K,""),'Pokemon Editor'!$A:$A,'Pokemon Editor'!$C:$C,""),mtype=XLOOKUP(XLOOKUP($Q845,'Threshold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Chart'!$B$1:$S$1,0)))),base,IF(OR(cat="Status",pow=0),0,FLOOR(FLOOR(FLOOR((2*XLOOKUP($Q845,'Threshold Summary'!$Y:$Y,'Threshold Summary'!$L:$L,"")/5+2)*pow*atk/def)/50)+2)),modifier,stab*eff,FLOOR(base*modifier*0.85)),0)</f>
        <v/>
      </c>
      <c r="K845" s="3">
        <f>IFERROR(LET(mtype,XLOOKUP($D845,'Move Editor'!$B:$B,'Move Editor'!$C:$C,""),cat,XLOOKUP($D845,'Move Editor'!$B:$B,'Move Editor'!$D:$D,""),pow,XLOOKUP($D845,'Move Editor'!$B:$B,'Move Editor'!$E:$E,0),acc,XLOOKUP($D845,'Move Editor'!$B:$B,'Move Editor'!$F:$F,100),atk,IF(cat="Physical",FLOOR((FLOOR(((2*XLOOKUP(XLOOKUP($Q845,'Threshold Summary'!$Y:$Y,'Threshold Summary'!$K:$K,""),'Pokemon Editor'!$A:$A,'Pokemon Editor'!$F:$F,0)+31+FLOOR(XLOOKUP($Q845,'Threshold Summary'!$Y:$Y,'Threshold Summary'!$P:$P,"")/4))*XLOOKUP($Q845,'Threshold Summary'!$Y:$Y,'Threshold Summary'!$L:$L,""))/100)+5)*XLOOKUP(XLOOKUP($Q845,'Threshold Summary'!$Y:$Y,'Threshold Summary'!$M:$M,""),'Nature Editor'!$A:$A,'Nature Editor'!$B:$B,1)),FLOOR((FLOOR(((2*XLOOKUP(XLOOKUP($Q845,'Threshold Summary'!$Y:$Y,'Threshold Summary'!$K:$K,""),'Pokemon Editor'!$A:$A,'Pokemon Editor'!$H:$H,0)+31+FLOOR(XLOOKUP($Q845,'Threshold Summary'!$Y:$Y,'Threshold Summary'!$R:$R,"")/4))*XLOOKUP($Q845,'Threshold Summary'!$Y:$Y,'Threshold Summary'!$L:$L,""))/100)+5)*XLOOKUP(XLOOKUP($Q845,'Threshold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Editor'!$E:$E,1))),stab,IF(OR(mtype=XLOOKUP(XLOOKUP($Q845,'Threshold Summary'!$Y:$Y,'Threshold Summary'!$K:$K,""),'Pokemon Editor'!$A:$A,'Pokemon Editor'!$C:$C,""),mtype=XLOOKUP(XLOOKUP($Q845,'Threshold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Chart'!$B$1:$S$1,0)))),base,IF(OR(cat="Status",pow=0),0,FLOOR(FLOOR(FLOOR((2*XLOOKUP($Q845,'Threshold Summary'!$Y:$Y,'Threshold Summary'!$L:$L,"")/5+2)*pow*atk/def)/50)+2)),modifier,stab*eff,FLOOR(base*modifier)),0)</f>
        <v/>
      </c>
      <c r="L845" s="3">
        <f>IFERROR(LET(mtype,XLOOKUP($D845,'Move Editor'!$B:$B,'Move Editor'!$C:$C,""),cat,XLOOKUP($D845,'Move Editor'!$B:$B,'Move Editor'!$D:$D,""),pow,XLOOKUP($D845,'Move Editor'!$B:$B,'Move Editor'!$E:$E,0),acc,XLOOKUP($D845,'Move Editor'!$B:$B,'Move Editor'!$F:$F,100),atk,IF(cat="Physical",FLOOR((FLOOR(((2*XLOOKUP(XLOOKUP($Q845,'Threshold Summary'!$Y:$Y,'Threshold Summary'!$K:$K,""),'Pokemon Editor'!$A:$A,'Pokemon Editor'!$F:$F,0)+31+FLOOR(XLOOKUP($Q845,'Threshold Summary'!$Y:$Y,'Threshold Summary'!$P:$P,"")/4))*XLOOKUP($Q845,'Threshold Summary'!$Y:$Y,'Threshold Summary'!$L:$L,""))/100)+5)*XLOOKUP(XLOOKUP($Q845,'Threshold Summary'!$Y:$Y,'Threshold Summary'!$M:$M,""),'Nature Editor'!$A:$A,'Nature Editor'!$B:$B,1)),FLOOR((FLOOR(((2*XLOOKUP(XLOOKUP($Q845,'Threshold Summary'!$Y:$Y,'Threshold Summary'!$K:$K,""),'Pokemon Editor'!$A:$A,'Pokemon Editor'!$H:$H,0)+31+FLOOR(XLOOKUP($Q845,'Threshold Summary'!$Y:$Y,'Threshold Summary'!$R:$R,"")/4))*XLOOKUP($Q845,'Threshold Summary'!$Y:$Y,'Threshold Summary'!$L:$L,""))/100)+5)*XLOOKUP(XLOOKUP($Q845,'Threshold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Editor'!$E:$E,1))),stab,IF(OR(mtype=XLOOKUP(XLOOKUP($Q845,'Threshold Summary'!$Y:$Y,'Threshold Summary'!$K:$K,""),'Pokemon Editor'!$A:$A,'Pokemon Editor'!$C:$C,""),mtype=XLOOKUP(XLOOKUP($Q845,'Threshold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Chart'!$B$1:$S$1,0)))),base,IF(OR(cat="Status",pow=0),0,FLOOR(FLOOR(FLOOR((2*XLOOKUP($Q845,'Threshold Summary'!$Y:$Y,'Threshold Summary'!$L:$L,"")/5+2)*pow*atk/def)/50)+2)),modifier,stab*eff,AVERAGE(ARRAYFORMULA(FLOOR(base*modifier*SEQUENCE(16,1,85,1)/100)))),0)</f>
        <v/>
      </c>
      <c r="M845" s="3">
        <f>IFERROR(LET(mtype,XLOOKUP($D845,'Move Editor'!$B:$B,'Move Editor'!$C:$C,""),cat,XLOOKUP($D845,'Move Editor'!$B:$B,'Move Editor'!$D:$D,""),pow,XLOOKUP($D845,'Move Editor'!$B:$B,'Move Editor'!$E:$E,0),acc,XLOOKUP($D845,'Move Editor'!$B:$B,'Move Editor'!$F:$F,100),atk,IF(cat="Physical",FLOOR((FLOOR(((2*XLOOKUP(XLOOKUP($Q845,'Threshold Summary'!$Y:$Y,'Threshold Summary'!$K:$K,""),'Pokemon Editor'!$A:$A,'Pokemon Editor'!$F:$F,0)+31+FLOOR(XLOOKUP($Q845,'Threshold Summary'!$Y:$Y,'Threshold Summary'!$P:$P,"")/4))*XLOOKUP($Q845,'Threshold Summary'!$Y:$Y,'Threshold Summary'!$L:$L,""))/100)+5)*XLOOKUP(XLOOKUP($Q845,'Threshold Summary'!$Y:$Y,'Threshold Summary'!$M:$M,""),'Nature Editor'!$A:$A,'Nature Editor'!$B:$B,1)),FLOOR((FLOOR(((2*XLOOKUP(XLOOKUP($Q845,'Threshold Summary'!$Y:$Y,'Threshold Summary'!$K:$K,""),'Pokemon Editor'!$A:$A,'Pokemon Editor'!$H:$H,0)+31+FLOOR(XLOOKUP($Q845,'Threshold Summary'!$Y:$Y,'Threshold Summary'!$R:$R,"")/4))*XLOOKUP($Q845,'Threshold Summary'!$Y:$Y,'Threshold Summary'!$L:$L,""))/100)+5)*XLOOKUP(XLOOKUP($Q845,'Threshold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Editor'!$E:$E,1))),stab,IF(OR(mtype=XLOOKUP(XLOOKUP($Q845,'Threshold Summary'!$Y:$Y,'Threshold Summary'!$K:$K,""),'Pokemon Editor'!$A:$A,'Pokemon Editor'!$C:$C,""),mtype=XLOOKUP(XLOOKUP($Q845,'Threshold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Chart'!$B$1:$S$1,0)))),base,IF(OR(cat="Status",pow=0),0,FLOOR(FLOOR(FLOOR((2*XLOOKUP($Q845,'Threshold Summary'!$Y:$Y,'Threshold Summary'!$L:$L,"")/5+2)*pow*atk/def)/50)+2)),modifier,stab*eff,AVERAGE(ARRAYFORMULA(FLOOR(base*modifier*SEQUENCE(16,1,85,1)/100)))*MIN(1,acc/100)),0)</f>
        <v/>
      </c>
      <c r="N845" s="4">
        <f>IFERROR(LET(mtype,XLOOKUP($D845,'Move Editor'!$B:$B,'Move Editor'!$C:$C,""),cat,XLOOKUP($D845,'Move Editor'!$B:$B,'Move Editor'!$D:$D,""),pow,XLOOKUP($D845,'Move Editor'!$B:$B,'Move Editor'!$E:$E,0),acc,XLOOKUP($D845,'Move Editor'!$B:$B,'Move Editor'!$F:$F,100),atk,IF(cat="Physical",FLOOR((FLOOR(((2*XLOOKUP(XLOOKUP($Q845,'Threshold Summary'!$Y:$Y,'Threshold Summary'!$K:$K,""),'Pokemon Editor'!$A:$A,'Pokemon Editor'!$F:$F,0)+31+FLOOR(XLOOKUP($Q845,'Threshold Summary'!$Y:$Y,'Threshold Summary'!$P:$P,"")/4))*XLOOKUP($Q845,'Threshold Summary'!$Y:$Y,'Threshold Summary'!$L:$L,""))/100)+5)*XLOOKUP(XLOOKUP($Q845,'Threshold Summary'!$Y:$Y,'Threshold Summary'!$M:$M,""),'Nature Editor'!$A:$A,'Nature Editor'!$B:$B,1)),FLOOR((FLOOR(((2*XLOOKUP(XLOOKUP($Q845,'Threshold Summary'!$Y:$Y,'Threshold Summary'!$K:$K,""),'Pokemon Editor'!$A:$A,'Pokemon Editor'!$H:$H,0)+31+FLOOR(XLOOKUP($Q845,'Threshold Summary'!$Y:$Y,'Threshold Summary'!$R:$R,"")/4))*XLOOKUP($Q845,'Threshold Summary'!$Y:$Y,'Threshold Summary'!$L:$L,""))/100)+5)*XLOOKUP(XLOOKUP($Q845,'Threshold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Editor'!$E:$E,1))),stab,IF(OR(mtype=XLOOKUP(XLOOKUP($Q845,'Threshold Summary'!$Y:$Y,'Threshold Summary'!$K:$K,""),'Pokemon Editor'!$A:$A,'Pokemon Editor'!$C:$C,""),mtype=XLOOKUP(XLOOKUP($Q845,'Threshold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Chart'!$B$1:$S$1,0)))),base,IF(OR(cat="Status",pow=0),0,FLOOR(FLOOR(FLOOR((2*XLOOKUP($Q845,'Threshold Summary'!$Y:$Y,'Threshold Summary'!$L:$L,"")/5+2)*pow*atk/def)/50)+2)),modifier,stab*eff,AVERAGE(ARRAYFORMULA(FLOOR(base*modifier*SEQUENCE(16,1,85,1)/100)))/(FLOOR(((2*XLOOKUP('Boss Editor'!$C$4,'Pokemon Editor'!$A:$A,'Pokemon Editor'!$E:$E,0)+31+FLOOR('Boss Editor'!$G$4/4))*'Boss Editor'!$D$4)/100)+'Boss Editor'!$D$4+10)),0)</f>
        <v/>
      </c>
      <c r="O845" s="3">
        <f>IF(N845&gt;=1,"OHKO",IF(N845&gt;=0.5,"2HKO",IF(N845&gt;=0.333,"3HKO",IF(N845&gt;=0.25,"4HKO","5HKO+"))))</f>
        <v/>
      </c>
      <c r="P845" s="3" t="inlineStr">
        <is>
          <t>Live from editable databases</t>
        </is>
      </c>
      <c r="Q845" s="3" t="inlineStr">
        <is>
          <t>SPECIES_TOXEL</t>
        </is>
      </c>
      <c r="R845" s="3" t="n">
        <v>12</v>
      </c>
    </row>
    <row r="846">
      <c r="A846" s="3">
        <f>XLOOKUP($Q846,'Threshold Summary'!$Y:$Y,'Threshold Summary'!$A:$A,"")</f>
        <v/>
      </c>
      <c r="B846" s="3">
        <f>XLOOKUP($Q846,'Threshold Summary'!$Y:$Y,'Threshold Summary'!$M:$M,"")</f>
        <v/>
      </c>
      <c r="C846" s="3">
        <f>XLOOKUP($Q846,'Threshold Summary'!$Y:$Y,'Threshold Summary'!$N:$N,"")</f>
        <v/>
      </c>
      <c r="D846" s="3">
        <f>IFERROR(INDEX(FILTER('Learnset Editor'!$D$2:$D,'Learnset Editor'!$A$2:$A=XLOOKUP($Q846,'Threshold Summary'!$Y:$Y,'Threshold Summary'!$K:$K,""),'Learnset Editor'!$C$2:$C&lt;=XLOOKUP($Q846,'Threshold Summary'!$Y:$Y,'Threshold Summary'!$L:$L,"")),$R846),"")</f>
        <v/>
      </c>
      <c r="E846" s="3">
        <f>XLOOKUP(D846,'Move Editor'!$B:$B,'Move Editor'!$C:$C,"")</f>
        <v/>
      </c>
      <c r="F846" s="3">
        <f>XLOOKUP(D846,'Move Editor'!$B:$B,'Move Editor'!$D:$D,"")</f>
        <v/>
      </c>
      <c r="G846" s="3">
        <f>XLOOKUP(D846,'Move Editor'!$B:$B,'Move Editor'!$E:$E,0)</f>
        <v/>
      </c>
      <c r="H846" s="3">
        <f>XLOOKUP(D846,'Move Editor'!$B:$B,'Move Editor'!$F:$F,0)</f>
        <v/>
      </c>
      <c r="I846" s="3">
        <f>(INDEX('Type Chart'!$B:$S,MATCH(E846,'Type Chart'!$A:$A,0),MATCH(XLOOKUP('Boss Editor'!$C$4,'Pokemon Editor'!$A:$A,'Pokemon Editor'!$C:$C,""),'Type Chart'!$B$1:$S$1,0))*IF(XLOOKUP('Boss Editor'!$C$4,'Pokemon Editor'!$A:$A,'Pokemon Editor'!$D:$D,"")="",1,INDEX('Type Chart'!$B:$S,MATCH(E846,'Type Chart'!$A:$A,0),MATCH(XLOOKUP('Boss Editor'!$C$4,'Pokemon Editor'!$A:$A,'Pokemon Editor'!$D:$D,""),'Type Chart'!$B$1:$S$1,0))))</f>
        <v/>
      </c>
      <c r="J846" s="3">
        <f>IFERROR(LET(mtype,XLOOKUP($D846,'Move Editor'!$B:$B,'Move Editor'!$C:$C,""),cat,XLOOKUP($D846,'Move Editor'!$B:$B,'Move Editor'!$D:$D,""),pow,XLOOKUP($D846,'Move Editor'!$B:$B,'Move Editor'!$E:$E,0),acc,XLOOKUP($D846,'Move Editor'!$B:$B,'Move Editor'!$F:$F,100),atk,IF(cat="Physical",FLOOR((FLOOR(((2*XLOOKUP(XLOOKUP($Q846,'Threshold Summary'!$Y:$Y,'Threshold Summary'!$K:$K,""),'Pokemon Editor'!$A:$A,'Pokemon Editor'!$F:$F,0)+31+FLOOR(XLOOKUP($Q846,'Threshold Summary'!$Y:$Y,'Threshold Summary'!$P:$P,"")/4))*XLOOKUP($Q846,'Threshold Summary'!$Y:$Y,'Threshold Summary'!$L:$L,""))/100)+5)*XLOOKUP(XLOOKUP($Q846,'Threshold Summary'!$Y:$Y,'Threshold Summary'!$M:$M,""),'Nature Editor'!$A:$A,'Nature Editor'!$B:$B,1)),FLOOR((FLOOR(((2*XLOOKUP(XLOOKUP($Q846,'Threshold Summary'!$Y:$Y,'Threshold Summary'!$K:$K,""),'Pokemon Editor'!$A:$A,'Pokemon Editor'!$H:$H,0)+31+FLOOR(XLOOKUP($Q846,'Threshold Summary'!$Y:$Y,'Threshold Summary'!$R:$R,"")/4))*XLOOKUP($Q846,'Threshold Summary'!$Y:$Y,'Threshold Summary'!$L:$L,""))/100)+5)*XLOOKUP(XLOOKUP($Q846,'Threshold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Editor'!$E:$E,1))),stab,IF(OR(mtype=XLOOKUP(XLOOKUP($Q846,'Threshold Summary'!$Y:$Y,'Threshold Summary'!$K:$K,""),'Pokemon Editor'!$A:$A,'Pokemon Editor'!$C:$C,""),mtype=XLOOKUP(XLOOKUP($Q846,'Threshold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Chart'!$B$1:$S$1,0)))),base,IF(OR(cat="Status",pow=0),0,FLOOR(FLOOR(FLOOR((2*XLOOKUP($Q846,'Threshold Summary'!$Y:$Y,'Threshold Summary'!$L:$L,"")/5+2)*pow*atk/def)/50)+2)),modifier,stab*eff,FLOOR(base*modifier*0.85)),0)</f>
        <v/>
      </c>
      <c r="K846" s="3">
        <f>IFERROR(LET(mtype,XLOOKUP($D846,'Move Editor'!$B:$B,'Move Editor'!$C:$C,""),cat,XLOOKUP($D846,'Move Editor'!$B:$B,'Move Editor'!$D:$D,""),pow,XLOOKUP($D846,'Move Editor'!$B:$B,'Move Editor'!$E:$E,0),acc,XLOOKUP($D846,'Move Editor'!$B:$B,'Move Editor'!$F:$F,100),atk,IF(cat="Physical",FLOOR((FLOOR(((2*XLOOKUP(XLOOKUP($Q846,'Threshold Summary'!$Y:$Y,'Threshold Summary'!$K:$K,""),'Pokemon Editor'!$A:$A,'Pokemon Editor'!$F:$F,0)+31+FLOOR(XLOOKUP($Q846,'Threshold Summary'!$Y:$Y,'Threshold Summary'!$P:$P,"")/4))*XLOOKUP($Q846,'Threshold Summary'!$Y:$Y,'Threshold Summary'!$L:$L,""))/100)+5)*XLOOKUP(XLOOKUP($Q846,'Threshold Summary'!$Y:$Y,'Threshold Summary'!$M:$M,""),'Nature Editor'!$A:$A,'Nature Editor'!$B:$B,1)),FLOOR((FLOOR(((2*XLOOKUP(XLOOKUP($Q846,'Threshold Summary'!$Y:$Y,'Threshold Summary'!$K:$K,""),'Pokemon Editor'!$A:$A,'Pokemon Editor'!$H:$H,0)+31+FLOOR(XLOOKUP($Q846,'Threshold Summary'!$Y:$Y,'Threshold Summary'!$R:$R,"")/4))*XLOOKUP($Q846,'Threshold Summary'!$Y:$Y,'Threshold Summary'!$L:$L,""))/100)+5)*XLOOKUP(XLOOKUP($Q846,'Threshold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Editor'!$E:$E,1))),stab,IF(OR(mtype=XLOOKUP(XLOOKUP($Q846,'Threshold Summary'!$Y:$Y,'Threshold Summary'!$K:$K,""),'Pokemon Editor'!$A:$A,'Pokemon Editor'!$C:$C,""),mtype=XLOOKUP(XLOOKUP($Q846,'Threshold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Chart'!$B$1:$S$1,0)))),base,IF(OR(cat="Status",pow=0),0,FLOOR(FLOOR(FLOOR((2*XLOOKUP($Q846,'Threshold Summary'!$Y:$Y,'Threshold Summary'!$L:$L,"")/5+2)*pow*atk/def)/50)+2)),modifier,stab*eff,FLOOR(base*modifier)),0)</f>
        <v/>
      </c>
      <c r="L846" s="3">
        <f>IFERROR(LET(mtype,XLOOKUP($D846,'Move Editor'!$B:$B,'Move Editor'!$C:$C,""),cat,XLOOKUP($D846,'Move Editor'!$B:$B,'Move Editor'!$D:$D,""),pow,XLOOKUP($D846,'Move Editor'!$B:$B,'Move Editor'!$E:$E,0),acc,XLOOKUP($D846,'Move Editor'!$B:$B,'Move Editor'!$F:$F,100),atk,IF(cat="Physical",FLOOR((FLOOR(((2*XLOOKUP(XLOOKUP($Q846,'Threshold Summary'!$Y:$Y,'Threshold Summary'!$K:$K,""),'Pokemon Editor'!$A:$A,'Pokemon Editor'!$F:$F,0)+31+FLOOR(XLOOKUP($Q846,'Threshold Summary'!$Y:$Y,'Threshold Summary'!$P:$P,"")/4))*XLOOKUP($Q846,'Threshold Summary'!$Y:$Y,'Threshold Summary'!$L:$L,""))/100)+5)*XLOOKUP(XLOOKUP($Q846,'Threshold Summary'!$Y:$Y,'Threshold Summary'!$M:$M,""),'Nature Editor'!$A:$A,'Nature Editor'!$B:$B,1)),FLOOR((FLOOR(((2*XLOOKUP(XLOOKUP($Q846,'Threshold Summary'!$Y:$Y,'Threshold Summary'!$K:$K,""),'Pokemon Editor'!$A:$A,'Pokemon Editor'!$H:$H,0)+31+FLOOR(XLOOKUP($Q846,'Threshold Summary'!$Y:$Y,'Threshold Summary'!$R:$R,"")/4))*XLOOKUP($Q846,'Threshold Summary'!$Y:$Y,'Threshold Summary'!$L:$L,""))/100)+5)*XLOOKUP(XLOOKUP($Q846,'Threshold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Editor'!$E:$E,1))),stab,IF(OR(mtype=XLOOKUP(XLOOKUP($Q846,'Threshold Summary'!$Y:$Y,'Threshold Summary'!$K:$K,""),'Pokemon Editor'!$A:$A,'Pokemon Editor'!$C:$C,""),mtype=XLOOKUP(XLOOKUP($Q846,'Threshold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Chart'!$B$1:$S$1,0)))),base,IF(OR(cat="Status",pow=0),0,FLOOR(FLOOR(FLOOR((2*XLOOKUP($Q846,'Threshold Summary'!$Y:$Y,'Threshold Summary'!$L:$L,"")/5+2)*pow*atk/def)/50)+2)),modifier,stab*eff,AVERAGE(ARRAYFORMULA(FLOOR(base*modifier*SEQUENCE(16,1,85,1)/100)))),0)</f>
        <v/>
      </c>
      <c r="M846" s="3">
        <f>IFERROR(LET(mtype,XLOOKUP($D846,'Move Editor'!$B:$B,'Move Editor'!$C:$C,""),cat,XLOOKUP($D846,'Move Editor'!$B:$B,'Move Editor'!$D:$D,""),pow,XLOOKUP($D846,'Move Editor'!$B:$B,'Move Editor'!$E:$E,0),acc,XLOOKUP($D846,'Move Editor'!$B:$B,'Move Editor'!$F:$F,100),atk,IF(cat="Physical",FLOOR((FLOOR(((2*XLOOKUP(XLOOKUP($Q846,'Threshold Summary'!$Y:$Y,'Threshold Summary'!$K:$K,""),'Pokemon Editor'!$A:$A,'Pokemon Editor'!$F:$F,0)+31+FLOOR(XLOOKUP($Q846,'Threshold Summary'!$Y:$Y,'Threshold Summary'!$P:$P,"")/4))*XLOOKUP($Q846,'Threshold Summary'!$Y:$Y,'Threshold Summary'!$L:$L,""))/100)+5)*XLOOKUP(XLOOKUP($Q846,'Threshold Summary'!$Y:$Y,'Threshold Summary'!$M:$M,""),'Nature Editor'!$A:$A,'Nature Editor'!$B:$B,1)),FLOOR((FLOOR(((2*XLOOKUP(XLOOKUP($Q846,'Threshold Summary'!$Y:$Y,'Threshold Summary'!$K:$K,""),'Pokemon Editor'!$A:$A,'Pokemon Editor'!$H:$H,0)+31+FLOOR(XLOOKUP($Q846,'Threshold Summary'!$Y:$Y,'Threshold Summary'!$R:$R,"")/4))*XLOOKUP($Q846,'Threshold Summary'!$Y:$Y,'Threshold Summary'!$L:$L,""))/100)+5)*XLOOKUP(XLOOKUP($Q846,'Threshold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Editor'!$E:$E,1))),stab,IF(OR(mtype=XLOOKUP(XLOOKUP($Q846,'Threshold Summary'!$Y:$Y,'Threshold Summary'!$K:$K,""),'Pokemon Editor'!$A:$A,'Pokemon Editor'!$C:$C,""),mtype=XLOOKUP(XLOOKUP($Q846,'Threshold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Chart'!$B$1:$S$1,0)))),base,IF(OR(cat="Status",pow=0),0,FLOOR(FLOOR(FLOOR((2*XLOOKUP($Q846,'Threshold Summary'!$Y:$Y,'Threshold Summary'!$L:$L,"")/5+2)*pow*atk/def)/50)+2)),modifier,stab*eff,AVERAGE(ARRAYFORMULA(FLOOR(base*modifier*SEQUENCE(16,1,85,1)/100)))*MIN(1,acc/100)),0)</f>
        <v/>
      </c>
      <c r="N846" s="4">
        <f>IFERROR(LET(mtype,XLOOKUP($D846,'Move Editor'!$B:$B,'Move Editor'!$C:$C,""),cat,XLOOKUP($D846,'Move Editor'!$B:$B,'Move Editor'!$D:$D,""),pow,XLOOKUP($D846,'Move Editor'!$B:$B,'Move Editor'!$E:$E,0),acc,XLOOKUP($D846,'Move Editor'!$B:$B,'Move Editor'!$F:$F,100),atk,IF(cat="Physical",FLOOR((FLOOR(((2*XLOOKUP(XLOOKUP($Q846,'Threshold Summary'!$Y:$Y,'Threshold Summary'!$K:$K,""),'Pokemon Editor'!$A:$A,'Pokemon Editor'!$F:$F,0)+31+FLOOR(XLOOKUP($Q846,'Threshold Summary'!$Y:$Y,'Threshold Summary'!$P:$P,"")/4))*XLOOKUP($Q846,'Threshold Summary'!$Y:$Y,'Threshold Summary'!$L:$L,""))/100)+5)*XLOOKUP(XLOOKUP($Q846,'Threshold Summary'!$Y:$Y,'Threshold Summary'!$M:$M,""),'Nature Editor'!$A:$A,'Nature Editor'!$B:$B,1)),FLOOR((FLOOR(((2*XLOOKUP(XLOOKUP($Q846,'Threshold Summary'!$Y:$Y,'Threshold Summary'!$K:$K,""),'Pokemon Editor'!$A:$A,'Pokemon Editor'!$H:$H,0)+31+FLOOR(XLOOKUP($Q846,'Threshold Summary'!$Y:$Y,'Threshold Summary'!$R:$R,"")/4))*XLOOKUP($Q846,'Threshold Summary'!$Y:$Y,'Threshold Summary'!$L:$L,""))/100)+5)*XLOOKUP(XLOOKUP($Q846,'Threshold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Editor'!$E:$E,1))),stab,IF(OR(mtype=XLOOKUP(XLOOKUP($Q846,'Threshold Summary'!$Y:$Y,'Threshold Summary'!$K:$K,""),'Pokemon Editor'!$A:$A,'Pokemon Editor'!$C:$C,""),mtype=XLOOKUP(XLOOKUP($Q846,'Threshold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Chart'!$B$1:$S$1,0)))),base,IF(OR(cat="Status",pow=0),0,FLOOR(FLOOR(FLOOR((2*XLOOKUP($Q846,'Threshold Summary'!$Y:$Y,'Threshold Summary'!$L:$L,"")/5+2)*pow*atk/def)/50)+2)),modifier,stab*eff,AVERAGE(ARRAYFORMULA(FLOOR(base*modifier*SEQUENCE(16,1,85,1)/100)))/(FLOOR(((2*XLOOKUP('Boss Editor'!$C$4,'Pokemon Editor'!$A:$A,'Pokemon Editor'!$E:$E,0)+31+FLOOR('Boss Editor'!$G$4/4))*'Boss Editor'!$D$4)/100)+'Boss Editor'!$D$4+10)),0)</f>
        <v/>
      </c>
      <c r="O846" s="3">
        <f>IF(N846&gt;=1,"OHKO",IF(N846&gt;=0.5,"2HKO",IF(N846&gt;=0.333,"3HKO",IF(N846&gt;=0.25,"4HKO","5HKO+"))))</f>
        <v/>
      </c>
      <c r="P846" s="3" t="inlineStr">
        <is>
          <t>Live from editable databases</t>
        </is>
      </c>
      <c r="Q846" s="3" t="inlineStr">
        <is>
          <t>SPECIES_TOXEL</t>
        </is>
      </c>
      <c r="R846" s="3" t="n">
        <v>13</v>
      </c>
    </row>
    <row r="847">
      <c r="A847" s="3">
        <f>XLOOKUP($Q847,'Threshold Summary'!$Y:$Y,'Threshold Summary'!$A:$A,"")</f>
        <v/>
      </c>
      <c r="B847" s="3">
        <f>XLOOKUP($Q847,'Threshold Summary'!$Y:$Y,'Threshold Summary'!$M:$M,"")</f>
        <v/>
      </c>
      <c r="C847" s="3">
        <f>XLOOKUP($Q847,'Threshold Summary'!$Y:$Y,'Threshold Summary'!$N:$N,"")</f>
        <v/>
      </c>
      <c r="D847" s="3">
        <f>IFERROR(INDEX(FILTER('Learnset Editor'!$D$2:$D,'Learnset Editor'!$A$2:$A=XLOOKUP($Q847,'Threshold Summary'!$Y:$Y,'Threshold Summary'!$K:$K,""),'Learnset Editor'!$C$2:$C&lt;=XLOOKUP($Q847,'Threshold Summary'!$Y:$Y,'Threshold Summary'!$L:$L,"")),$R847),"")</f>
        <v/>
      </c>
      <c r="E847" s="3">
        <f>XLOOKUP(D847,'Move Editor'!$B:$B,'Move Editor'!$C:$C,"")</f>
        <v/>
      </c>
      <c r="F847" s="3">
        <f>XLOOKUP(D847,'Move Editor'!$B:$B,'Move Editor'!$D:$D,"")</f>
        <v/>
      </c>
      <c r="G847" s="3">
        <f>XLOOKUP(D847,'Move Editor'!$B:$B,'Move Editor'!$E:$E,0)</f>
        <v/>
      </c>
      <c r="H847" s="3">
        <f>XLOOKUP(D847,'Move Editor'!$B:$B,'Move Editor'!$F:$F,0)</f>
        <v/>
      </c>
      <c r="I847" s="3">
        <f>(INDEX('Type Chart'!$B:$S,MATCH(E847,'Type Chart'!$A:$A,0),MATCH(XLOOKUP('Boss Editor'!$C$4,'Pokemon Editor'!$A:$A,'Pokemon Editor'!$C:$C,""),'Type Chart'!$B$1:$S$1,0))*IF(XLOOKUP('Boss Editor'!$C$4,'Pokemon Editor'!$A:$A,'Pokemon Editor'!$D:$D,"")="",1,INDEX('Type Chart'!$B:$S,MATCH(E847,'Type Chart'!$A:$A,0),MATCH(XLOOKUP('Boss Editor'!$C$4,'Pokemon Editor'!$A:$A,'Pokemon Editor'!$D:$D,""),'Type Chart'!$B$1:$S$1,0))))</f>
        <v/>
      </c>
      <c r="J847" s="3">
        <f>IFERROR(LET(mtype,XLOOKUP($D847,'Move Editor'!$B:$B,'Move Editor'!$C:$C,""),cat,XLOOKUP($D847,'Move Editor'!$B:$B,'Move Editor'!$D:$D,""),pow,XLOOKUP($D847,'Move Editor'!$B:$B,'Move Editor'!$E:$E,0),acc,XLOOKUP($D847,'Move Editor'!$B:$B,'Move Editor'!$F:$F,100),atk,IF(cat="Physical",FLOOR((FLOOR(((2*XLOOKUP(XLOOKUP($Q847,'Threshold Summary'!$Y:$Y,'Threshold Summary'!$K:$K,""),'Pokemon Editor'!$A:$A,'Pokemon Editor'!$F:$F,0)+31+FLOOR(XLOOKUP($Q847,'Threshold Summary'!$Y:$Y,'Threshold Summary'!$P:$P,"")/4))*XLOOKUP($Q847,'Threshold Summary'!$Y:$Y,'Threshold Summary'!$L:$L,""))/100)+5)*XLOOKUP(XLOOKUP($Q847,'Threshold Summary'!$Y:$Y,'Threshold Summary'!$M:$M,""),'Nature Editor'!$A:$A,'Nature Editor'!$B:$B,1)),FLOOR((FLOOR(((2*XLOOKUP(XLOOKUP($Q847,'Threshold Summary'!$Y:$Y,'Threshold Summary'!$K:$K,""),'Pokemon Editor'!$A:$A,'Pokemon Editor'!$H:$H,0)+31+FLOOR(XLOOKUP($Q847,'Threshold Summary'!$Y:$Y,'Threshold Summary'!$R:$R,"")/4))*XLOOKUP($Q847,'Threshold Summary'!$Y:$Y,'Threshold Summary'!$L:$L,""))/100)+5)*XLOOKUP(XLOOKUP($Q847,'Threshold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Editor'!$E:$E,1))),stab,IF(OR(mtype=XLOOKUP(XLOOKUP($Q847,'Threshold Summary'!$Y:$Y,'Threshold Summary'!$K:$K,""),'Pokemon Editor'!$A:$A,'Pokemon Editor'!$C:$C,""),mtype=XLOOKUP(XLOOKUP($Q847,'Threshold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Chart'!$B$1:$S$1,0)))),base,IF(OR(cat="Status",pow=0),0,FLOOR(FLOOR(FLOOR((2*XLOOKUP($Q847,'Threshold Summary'!$Y:$Y,'Threshold Summary'!$L:$L,"")/5+2)*pow*atk/def)/50)+2)),modifier,stab*eff,FLOOR(base*modifier*0.85)),0)</f>
        <v/>
      </c>
      <c r="K847" s="3">
        <f>IFERROR(LET(mtype,XLOOKUP($D847,'Move Editor'!$B:$B,'Move Editor'!$C:$C,""),cat,XLOOKUP($D847,'Move Editor'!$B:$B,'Move Editor'!$D:$D,""),pow,XLOOKUP($D847,'Move Editor'!$B:$B,'Move Editor'!$E:$E,0),acc,XLOOKUP($D847,'Move Editor'!$B:$B,'Move Editor'!$F:$F,100),atk,IF(cat="Physical",FLOOR((FLOOR(((2*XLOOKUP(XLOOKUP($Q847,'Threshold Summary'!$Y:$Y,'Threshold Summary'!$K:$K,""),'Pokemon Editor'!$A:$A,'Pokemon Editor'!$F:$F,0)+31+FLOOR(XLOOKUP($Q847,'Threshold Summary'!$Y:$Y,'Threshold Summary'!$P:$P,"")/4))*XLOOKUP($Q847,'Threshold Summary'!$Y:$Y,'Threshold Summary'!$L:$L,""))/100)+5)*XLOOKUP(XLOOKUP($Q847,'Threshold Summary'!$Y:$Y,'Threshold Summary'!$M:$M,""),'Nature Editor'!$A:$A,'Nature Editor'!$B:$B,1)),FLOOR((FLOOR(((2*XLOOKUP(XLOOKUP($Q847,'Threshold Summary'!$Y:$Y,'Threshold Summary'!$K:$K,""),'Pokemon Editor'!$A:$A,'Pokemon Editor'!$H:$H,0)+31+FLOOR(XLOOKUP($Q847,'Threshold Summary'!$Y:$Y,'Threshold Summary'!$R:$R,"")/4))*XLOOKUP($Q847,'Threshold Summary'!$Y:$Y,'Threshold Summary'!$L:$L,""))/100)+5)*XLOOKUP(XLOOKUP($Q847,'Threshold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Editor'!$E:$E,1))),stab,IF(OR(mtype=XLOOKUP(XLOOKUP($Q847,'Threshold Summary'!$Y:$Y,'Threshold Summary'!$K:$K,""),'Pokemon Editor'!$A:$A,'Pokemon Editor'!$C:$C,""),mtype=XLOOKUP(XLOOKUP($Q847,'Threshold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Chart'!$B$1:$S$1,0)))),base,IF(OR(cat="Status",pow=0),0,FLOOR(FLOOR(FLOOR((2*XLOOKUP($Q847,'Threshold Summary'!$Y:$Y,'Threshold Summary'!$L:$L,"")/5+2)*pow*atk/def)/50)+2)),modifier,stab*eff,FLOOR(base*modifier)),0)</f>
        <v/>
      </c>
      <c r="L847" s="3">
        <f>IFERROR(LET(mtype,XLOOKUP($D847,'Move Editor'!$B:$B,'Move Editor'!$C:$C,""),cat,XLOOKUP($D847,'Move Editor'!$B:$B,'Move Editor'!$D:$D,""),pow,XLOOKUP($D847,'Move Editor'!$B:$B,'Move Editor'!$E:$E,0),acc,XLOOKUP($D847,'Move Editor'!$B:$B,'Move Editor'!$F:$F,100),atk,IF(cat="Physical",FLOOR((FLOOR(((2*XLOOKUP(XLOOKUP($Q847,'Threshold Summary'!$Y:$Y,'Threshold Summary'!$K:$K,""),'Pokemon Editor'!$A:$A,'Pokemon Editor'!$F:$F,0)+31+FLOOR(XLOOKUP($Q847,'Threshold Summary'!$Y:$Y,'Threshold Summary'!$P:$P,"")/4))*XLOOKUP($Q847,'Threshold Summary'!$Y:$Y,'Threshold Summary'!$L:$L,""))/100)+5)*XLOOKUP(XLOOKUP($Q847,'Threshold Summary'!$Y:$Y,'Threshold Summary'!$M:$M,""),'Nature Editor'!$A:$A,'Nature Editor'!$B:$B,1)),FLOOR((FLOOR(((2*XLOOKUP(XLOOKUP($Q847,'Threshold Summary'!$Y:$Y,'Threshold Summary'!$K:$K,""),'Pokemon Editor'!$A:$A,'Pokemon Editor'!$H:$H,0)+31+FLOOR(XLOOKUP($Q847,'Threshold Summary'!$Y:$Y,'Threshold Summary'!$R:$R,"")/4))*XLOOKUP($Q847,'Threshold Summary'!$Y:$Y,'Threshold Summary'!$L:$L,""))/100)+5)*XLOOKUP(XLOOKUP($Q847,'Threshold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Editor'!$E:$E,1))),stab,IF(OR(mtype=XLOOKUP(XLOOKUP($Q847,'Threshold Summary'!$Y:$Y,'Threshold Summary'!$K:$K,""),'Pokemon Editor'!$A:$A,'Pokemon Editor'!$C:$C,""),mtype=XLOOKUP(XLOOKUP($Q847,'Threshold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Chart'!$B$1:$S$1,0)))),base,IF(OR(cat="Status",pow=0),0,FLOOR(FLOOR(FLOOR((2*XLOOKUP($Q847,'Threshold Summary'!$Y:$Y,'Threshold Summary'!$L:$L,"")/5+2)*pow*atk/def)/50)+2)),modifier,stab*eff,AVERAGE(ARRAYFORMULA(FLOOR(base*modifier*SEQUENCE(16,1,85,1)/100)))),0)</f>
        <v/>
      </c>
      <c r="M847" s="3">
        <f>IFERROR(LET(mtype,XLOOKUP($D847,'Move Editor'!$B:$B,'Move Editor'!$C:$C,""),cat,XLOOKUP($D847,'Move Editor'!$B:$B,'Move Editor'!$D:$D,""),pow,XLOOKUP($D847,'Move Editor'!$B:$B,'Move Editor'!$E:$E,0),acc,XLOOKUP($D847,'Move Editor'!$B:$B,'Move Editor'!$F:$F,100),atk,IF(cat="Physical",FLOOR((FLOOR(((2*XLOOKUP(XLOOKUP($Q847,'Threshold Summary'!$Y:$Y,'Threshold Summary'!$K:$K,""),'Pokemon Editor'!$A:$A,'Pokemon Editor'!$F:$F,0)+31+FLOOR(XLOOKUP($Q847,'Threshold Summary'!$Y:$Y,'Threshold Summary'!$P:$P,"")/4))*XLOOKUP($Q847,'Threshold Summary'!$Y:$Y,'Threshold Summary'!$L:$L,""))/100)+5)*XLOOKUP(XLOOKUP($Q847,'Threshold Summary'!$Y:$Y,'Threshold Summary'!$M:$M,""),'Nature Editor'!$A:$A,'Nature Editor'!$B:$B,1)),FLOOR((FLOOR(((2*XLOOKUP(XLOOKUP($Q847,'Threshold Summary'!$Y:$Y,'Threshold Summary'!$K:$K,""),'Pokemon Editor'!$A:$A,'Pokemon Editor'!$H:$H,0)+31+FLOOR(XLOOKUP($Q847,'Threshold Summary'!$Y:$Y,'Threshold Summary'!$R:$R,"")/4))*XLOOKUP($Q847,'Threshold Summary'!$Y:$Y,'Threshold Summary'!$L:$L,""))/100)+5)*XLOOKUP(XLOOKUP($Q847,'Threshold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Editor'!$E:$E,1))),stab,IF(OR(mtype=XLOOKUP(XLOOKUP($Q847,'Threshold Summary'!$Y:$Y,'Threshold Summary'!$K:$K,""),'Pokemon Editor'!$A:$A,'Pokemon Editor'!$C:$C,""),mtype=XLOOKUP(XLOOKUP($Q847,'Threshold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Chart'!$B$1:$S$1,0)))),base,IF(OR(cat="Status",pow=0),0,FLOOR(FLOOR(FLOOR((2*XLOOKUP($Q847,'Threshold Summary'!$Y:$Y,'Threshold Summary'!$L:$L,"")/5+2)*pow*atk/def)/50)+2)),modifier,stab*eff,AVERAGE(ARRAYFORMULA(FLOOR(base*modifier*SEQUENCE(16,1,85,1)/100)))*MIN(1,acc/100)),0)</f>
        <v/>
      </c>
      <c r="N847" s="4">
        <f>IFERROR(LET(mtype,XLOOKUP($D847,'Move Editor'!$B:$B,'Move Editor'!$C:$C,""),cat,XLOOKUP($D847,'Move Editor'!$B:$B,'Move Editor'!$D:$D,""),pow,XLOOKUP($D847,'Move Editor'!$B:$B,'Move Editor'!$E:$E,0),acc,XLOOKUP($D847,'Move Editor'!$B:$B,'Move Editor'!$F:$F,100),atk,IF(cat="Physical",FLOOR((FLOOR(((2*XLOOKUP(XLOOKUP($Q847,'Threshold Summary'!$Y:$Y,'Threshold Summary'!$K:$K,""),'Pokemon Editor'!$A:$A,'Pokemon Editor'!$F:$F,0)+31+FLOOR(XLOOKUP($Q847,'Threshold Summary'!$Y:$Y,'Threshold Summary'!$P:$P,"")/4))*XLOOKUP($Q847,'Threshold Summary'!$Y:$Y,'Threshold Summary'!$L:$L,""))/100)+5)*XLOOKUP(XLOOKUP($Q847,'Threshold Summary'!$Y:$Y,'Threshold Summary'!$M:$M,""),'Nature Editor'!$A:$A,'Nature Editor'!$B:$B,1)),FLOOR((FLOOR(((2*XLOOKUP(XLOOKUP($Q847,'Threshold Summary'!$Y:$Y,'Threshold Summary'!$K:$K,""),'Pokemon Editor'!$A:$A,'Pokemon Editor'!$H:$H,0)+31+FLOOR(XLOOKUP($Q847,'Threshold Summary'!$Y:$Y,'Threshold Summary'!$R:$R,"")/4))*XLOOKUP($Q847,'Threshold Summary'!$Y:$Y,'Threshold Summary'!$L:$L,""))/100)+5)*XLOOKUP(XLOOKUP($Q847,'Threshold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Editor'!$E:$E,1))),stab,IF(OR(mtype=XLOOKUP(XLOOKUP($Q847,'Threshold Summary'!$Y:$Y,'Threshold Summary'!$K:$K,""),'Pokemon Editor'!$A:$A,'Pokemon Editor'!$C:$C,""),mtype=XLOOKUP(XLOOKUP($Q847,'Threshold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Chart'!$B$1:$S$1,0)))),base,IF(OR(cat="Status",pow=0),0,FLOOR(FLOOR(FLOOR((2*XLOOKUP($Q847,'Threshold Summary'!$Y:$Y,'Threshold Summary'!$L:$L,"")/5+2)*pow*atk/def)/50)+2)),modifier,stab*eff,AVERAGE(ARRAYFORMULA(FLOOR(base*modifier*SEQUENCE(16,1,85,1)/100)))/(FLOOR(((2*XLOOKUP('Boss Editor'!$C$4,'Pokemon Editor'!$A:$A,'Pokemon Editor'!$E:$E,0)+31+FLOOR('Boss Editor'!$G$4/4))*'Boss Editor'!$D$4)/100)+'Boss Editor'!$D$4+10)),0)</f>
        <v/>
      </c>
      <c r="O847" s="3">
        <f>IF(N847&gt;=1,"OHKO",IF(N847&gt;=0.5,"2HKO",IF(N847&gt;=0.333,"3HKO",IF(N847&gt;=0.25,"4HKO","5HKO+"))))</f>
        <v/>
      </c>
      <c r="P847" s="3" t="inlineStr">
        <is>
          <t>Live from editable databases</t>
        </is>
      </c>
      <c r="Q847" s="3" t="inlineStr">
        <is>
          <t>SPECIES_TOXEL</t>
        </is>
      </c>
      <c r="R847" s="3" t="n">
        <v>14</v>
      </c>
    </row>
    <row r="848">
      <c r="A848" s="3">
        <f>XLOOKUP($Q848,'Threshold Summary'!$Y:$Y,'Threshold Summary'!$A:$A,"")</f>
        <v/>
      </c>
      <c r="B848" s="3">
        <f>XLOOKUP($Q848,'Threshold Summary'!$Y:$Y,'Threshold Summary'!$M:$M,"")</f>
        <v/>
      </c>
      <c r="C848" s="3">
        <f>XLOOKUP($Q848,'Threshold Summary'!$Y:$Y,'Threshold Summary'!$N:$N,"")</f>
        <v/>
      </c>
      <c r="D848" s="3">
        <f>IFERROR(INDEX(FILTER('Learnset Editor'!$D$2:$D,'Learnset Editor'!$A$2:$A=XLOOKUP($Q848,'Threshold Summary'!$Y:$Y,'Threshold Summary'!$K:$K,""),'Learnset Editor'!$C$2:$C&lt;=XLOOKUP($Q848,'Threshold Summary'!$Y:$Y,'Threshold Summary'!$L:$L,"")),$R848),"")</f>
        <v/>
      </c>
      <c r="E848" s="3">
        <f>XLOOKUP(D848,'Move Editor'!$B:$B,'Move Editor'!$C:$C,"")</f>
        <v/>
      </c>
      <c r="F848" s="3">
        <f>XLOOKUP(D848,'Move Editor'!$B:$B,'Move Editor'!$D:$D,"")</f>
        <v/>
      </c>
      <c r="G848" s="3">
        <f>XLOOKUP(D848,'Move Editor'!$B:$B,'Move Editor'!$E:$E,0)</f>
        <v/>
      </c>
      <c r="H848" s="3">
        <f>XLOOKUP(D848,'Move Editor'!$B:$B,'Move Editor'!$F:$F,0)</f>
        <v/>
      </c>
      <c r="I848" s="3">
        <f>(INDEX('Type Chart'!$B:$S,MATCH(E848,'Type Chart'!$A:$A,0),MATCH(XLOOKUP('Boss Editor'!$C$4,'Pokemon Editor'!$A:$A,'Pokemon Editor'!$C:$C,""),'Type Chart'!$B$1:$S$1,0))*IF(XLOOKUP('Boss Editor'!$C$4,'Pokemon Editor'!$A:$A,'Pokemon Editor'!$D:$D,"")="",1,INDEX('Type Chart'!$B:$S,MATCH(E848,'Type Chart'!$A:$A,0),MATCH(XLOOKUP('Boss Editor'!$C$4,'Pokemon Editor'!$A:$A,'Pokemon Editor'!$D:$D,""),'Type Chart'!$B$1:$S$1,0))))</f>
        <v/>
      </c>
      <c r="J848" s="3">
        <f>IFERROR(LET(mtype,XLOOKUP($D848,'Move Editor'!$B:$B,'Move Editor'!$C:$C,""),cat,XLOOKUP($D848,'Move Editor'!$B:$B,'Move Editor'!$D:$D,""),pow,XLOOKUP($D848,'Move Editor'!$B:$B,'Move Editor'!$E:$E,0),acc,XLOOKUP($D848,'Move Editor'!$B:$B,'Move Editor'!$F:$F,100),atk,IF(cat="Physical",FLOOR((FLOOR(((2*XLOOKUP(XLOOKUP($Q848,'Threshold Summary'!$Y:$Y,'Threshold Summary'!$K:$K,""),'Pokemon Editor'!$A:$A,'Pokemon Editor'!$F:$F,0)+31+FLOOR(XLOOKUP($Q848,'Threshold Summary'!$Y:$Y,'Threshold Summary'!$P:$P,"")/4))*XLOOKUP($Q848,'Threshold Summary'!$Y:$Y,'Threshold Summary'!$L:$L,""))/100)+5)*XLOOKUP(XLOOKUP($Q848,'Threshold Summary'!$Y:$Y,'Threshold Summary'!$M:$M,""),'Nature Editor'!$A:$A,'Nature Editor'!$B:$B,1)),FLOOR((FLOOR(((2*XLOOKUP(XLOOKUP($Q848,'Threshold Summary'!$Y:$Y,'Threshold Summary'!$K:$K,""),'Pokemon Editor'!$A:$A,'Pokemon Editor'!$H:$H,0)+31+FLOOR(XLOOKUP($Q848,'Threshold Summary'!$Y:$Y,'Threshold Summary'!$R:$R,"")/4))*XLOOKUP($Q848,'Threshold Summary'!$Y:$Y,'Threshold Summary'!$L:$L,""))/100)+5)*XLOOKUP(XLOOKUP($Q848,'Threshold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Editor'!$E:$E,1))),stab,IF(OR(mtype=XLOOKUP(XLOOKUP($Q848,'Threshold Summary'!$Y:$Y,'Threshold Summary'!$K:$K,""),'Pokemon Editor'!$A:$A,'Pokemon Editor'!$C:$C,""),mtype=XLOOKUP(XLOOKUP($Q848,'Threshold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Chart'!$B$1:$S$1,0)))),base,IF(OR(cat="Status",pow=0),0,FLOOR(FLOOR(FLOOR((2*XLOOKUP($Q848,'Threshold Summary'!$Y:$Y,'Threshold Summary'!$L:$L,"")/5+2)*pow*atk/def)/50)+2)),modifier,stab*eff,FLOOR(base*modifier*0.85)),0)</f>
        <v/>
      </c>
      <c r="K848" s="3">
        <f>IFERROR(LET(mtype,XLOOKUP($D848,'Move Editor'!$B:$B,'Move Editor'!$C:$C,""),cat,XLOOKUP($D848,'Move Editor'!$B:$B,'Move Editor'!$D:$D,""),pow,XLOOKUP($D848,'Move Editor'!$B:$B,'Move Editor'!$E:$E,0),acc,XLOOKUP($D848,'Move Editor'!$B:$B,'Move Editor'!$F:$F,100),atk,IF(cat="Physical",FLOOR((FLOOR(((2*XLOOKUP(XLOOKUP($Q848,'Threshold Summary'!$Y:$Y,'Threshold Summary'!$K:$K,""),'Pokemon Editor'!$A:$A,'Pokemon Editor'!$F:$F,0)+31+FLOOR(XLOOKUP($Q848,'Threshold Summary'!$Y:$Y,'Threshold Summary'!$P:$P,"")/4))*XLOOKUP($Q848,'Threshold Summary'!$Y:$Y,'Threshold Summary'!$L:$L,""))/100)+5)*XLOOKUP(XLOOKUP($Q848,'Threshold Summary'!$Y:$Y,'Threshold Summary'!$M:$M,""),'Nature Editor'!$A:$A,'Nature Editor'!$B:$B,1)),FLOOR((FLOOR(((2*XLOOKUP(XLOOKUP($Q848,'Threshold Summary'!$Y:$Y,'Threshold Summary'!$K:$K,""),'Pokemon Editor'!$A:$A,'Pokemon Editor'!$H:$H,0)+31+FLOOR(XLOOKUP($Q848,'Threshold Summary'!$Y:$Y,'Threshold Summary'!$R:$R,"")/4))*XLOOKUP($Q848,'Threshold Summary'!$Y:$Y,'Threshold Summary'!$L:$L,""))/100)+5)*XLOOKUP(XLOOKUP($Q848,'Threshold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Editor'!$E:$E,1))),stab,IF(OR(mtype=XLOOKUP(XLOOKUP($Q848,'Threshold Summary'!$Y:$Y,'Threshold Summary'!$K:$K,""),'Pokemon Editor'!$A:$A,'Pokemon Editor'!$C:$C,""),mtype=XLOOKUP(XLOOKUP($Q848,'Threshold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Chart'!$B$1:$S$1,0)))),base,IF(OR(cat="Status",pow=0),0,FLOOR(FLOOR(FLOOR((2*XLOOKUP($Q848,'Threshold Summary'!$Y:$Y,'Threshold Summary'!$L:$L,"")/5+2)*pow*atk/def)/50)+2)),modifier,stab*eff,FLOOR(base*modifier)),0)</f>
        <v/>
      </c>
      <c r="L848" s="3">
        <f>IFERROR(LET(mtype,XLOOKUP($D848,'Move Editor'!$B:$B,'Move Editor'!$C:$C,""),cat,XLOOKUP($D848,'Move Editor'!$B:$B,'Move Editor'!$D:$D,""),pow,XLOOKUP($D848,'Move Editor'!$B:$B,'Move Editor'!$E:$E,0),acc,XLOOKUP($D848,'Move Editor'!$B:$B,'Move Editor'!$F:$F,100),atk,IF(cat="Physical",FLOOR((FLOOR(((2*XLOOKUP(XLOOKUP($Q848,'Threshold Summary'!$Y:$Y,'Threshold Summary'!$K:$K,""),'Pokemon Editor'!$A:$A,'Pokemon Editor'!$F:$F,0)+31+FLOOR(XLOOKUP($Q848,'Threshold Summary'!$Y:$Y,'Threshold Summary'!$P:$P,"")/4))*XLOOKUP($Q848,'Threshold Summary'!$Y:$Y,'Threshold Summary'!$L:$L,""))/100)+5)*XLOOKUP(XLOOKUP($Q848,'Threshold Summary'!$Y:$Y,'Threshold Summary'!$M:$M,""),'Nature Editor'!$A:$A,'Nature Editor'!$B:$B,1)),FLOOR((FLOOR(((2*XLOOKUP(XLOOKUP($Q848,'Threshold Summary'!$Y:$Y,'Threshold Summary'!$K:$K,""),'Pokemon Editor'!$A:$A,'Pokemon Editor'!$H:$H,0)+31+FLOOR(XLOOKUP($Q848,'Threshold Summary'!$Y:$Y,'Threshold Summary'!$R:$R,"")/4))*XLOOKUP($Q848,'Threshold Summary'!$Y:$Y,'Threshold Summary'!$L:$L,""))/100)+5)*XLOOKUP(XLOOKUP($Q848,'Threshold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Editor'!$E:$E,1))),stab,IF(OR(mtype=XLOOKUP(XLOOKUP($Q848,'Threshold Summary'!$Y:$Y,'Threshold Summary'!$K:$K,""),'Pokemon Editor'!$A:$A,'Pokemon Editor'!$C:$C,""),mtype=XLOOKUP(XLOOKUP($Q848,'Threshold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Chart'!$B$1:$S$1,0)))),base,IF(OR(cat="Status",pow=0),0,FLOOR(FLOOR(FLOOR((2*XLOOKUP($Q848,'Threshold Summary'!$Y:$Y,'Threshold Summary'!$L:$L,"")/5+2)*pow*atk/def)/50)+2)),modifier,stab*eff,AVERAGE(ARRAYFORMULA(FLOOR(base*modifier*SEQUENCE(16,1,85,1)/100)))),0)</f>
        <v/>
      </c>
      <c r="M848" s="3">
        <f>IFERROR(LET(mtype,XLOOKUP($D848,'Move Editor'!$B:$B,'Move Editor'!$C:$C,""),cat,XLOOKUP($D848,'Move Editor'!$B:$B,'Move Editor'!$D:$D,""),pow,XLOOKUP($D848,'Move Editor'!$B:$B,'Move Editor'!$E:$E,0),acc,XLOOKUP($D848,'Move Editor'!$B:$B,'Move Editor'!$F:$F,100),atk,IF(cat="Physical",FLOOR((FLOOR(((2*XLOOKUP(XLOOKUP($Q848,'Threshold Summary'!$Y:$Y,'Threshold Summary'!$K:$K,""),'Pokemon Editor'!$A:$A,'Pokemon Editor'!$F:$F,0)+31+FLOOR(XLOOKUP($Q848,'Threshold Summary'!$Y:$Y,'Threshold Summary'!$P:$P,"")/4))*XLOOKUP($Q848,'Threshold Summary'!$Y:$Y,'Threshold Summary'!$L:$L,""))/100)+5)*XLOOKUP(XLOOKUP($Q848,'Threshold Summary'!$Y:$Y,'Threshold Summary'!$M:$M,""),'Nature Editor'!$A:$A,'Nature Editor'!$B:$B,1)),FLOOR((FLOOR(((2*XLOOKUP(XLOOKUP($Q848,'Threshold Summary'!$Y:$Y,'Threshold Summary'!$K:$K,""),'Pokemon Editor'!$A:$A,'Pokemon Editor'!$H:$H,0)+31+FLOOR(XLOOKUP($Q848,'Threshold Summary'!$Y:$Y,'Threshold Summary'!$R:$R,"")/4))*XLOOKUP($Q848,'Threshold Summary'!$Y:$Y,'Threshold Summary'!$L:$L,""))/100)+5)*XLOOKUP(XLOOKUP($Q848,'Threshold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Editor'!$E:$E,1))),stab,IF(OR(mtype=XLOOKUP(XLOOKUP($Q848,'Threshold Summary'!$Y:$Y,'Threshold Summary'!$K:$K,""),'Pokemon Editor'!$A:$A,'Pokemon Editor'!$C:$C,""),mtype=XLOOKUP(XLOOKUP($Q848,'Threshold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Chart'!$B$1:$S$1,0)))),base,IF(OR(cat="Status",pow=0),0,FLOOR(FLOOR(FLOOR((2*XLOOKUP($Q848,'Threshold Summary'!$Y:$Y,'Threshold Summary'!$L:$L,"")/5+2)*pow*atk/def)/50)+2)),modifier,stab*eff,AVERAGE(ARRAYFORMULA(FLOOR(base*modifier*SEQUENCE(16,1,85,1)/100)))*MIN(1,acc/100)),0)</f>
        <v/>
      </c>
      <c r="N848" s="4">
        <f>IFERROR(LET(mtype,XLOOKUP($D848,'Move Editor'!$B:$B,'Move Editor'!$C:$C,""),cat,XLOOKUP($D848,'Move Editor'!$B:$B,'Move Editor'!$D:$D,""),pow,XLOOKUP($D848,'Move Editor'!$B:$B,'Move Editor'!$E:$E,0),acc,XLOOKUP($D848,'Move Editor'!$B:$B,'Move Editor'!$F:$F,100),atk,IF(cat="Physical",FLOOR((FLOOR(((2*XLOOKUP(XLOOKUP($Q848,'Threshold Summary'!$Y:$Y,'Threshold Summary'!$K:$K,""),'Pokemon Editor'!$A:$A,'Pokemon Editor'!$F:$F,0)+31+FLOOR(XLOOKUP($Q848,'Threshold Summary'!$Y:$Y,'Threshold Summary'!$P:$P,"")/4))*XLOOKUP($Q848,'Threshold Summary'!$Y:$Y,'Threshold Summary'!$L:$L,""))/100)+5)*XLOOKUP(XLOOKUP($Q848,'Threshold Summary'!$Y:$Y,'Threshold Summary'!$M:$M,""),'Nature Editor'!$A:$A,'Nature Editor'!$B:$B,1)),FLOOR((FLOOR(((2*XLOOKUP(XLOOKUP($Q848,'Threshold Summary'!$Y:$Y,'Threshold Summary'!$K:$K,""),'Pokemon Editor'!$A:$A,'Pokemon Editor'!$H:$H,0)+31+FLOOR(XLOOKUP($Q848,'Threshold Summary'!$Y:$Y,'Threshold Summary'!$R:$R,"")/4))*XLOOKUP($Q848,'Threshold Summary'!$Y:$Y,'Threshold Summary'!$L:$L,""))/100)+5)*XLOOKUP(XLOOKUP($Q848,'Threshold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Editor'!$E:$E,1))),stab,IF(OR(mtype=XLOOKUP(XLOOKUP($Q848,'Threshold Summary'!$Y:$Y,'Threshold Summary'!$K:$K,""),'Pokemon Editor'!$A:$A,'Pokemon Editor'!$C:$C,""),mtype=XLOOKUP(XLOOKUP($Q848,'Threshold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Chart'!$B$1:$S$1,0)))),base,IF(OR(cat="Status",pow=0),0,FLOOR(FLOOR(FLOOR((2*XLOOKUP($Q848,'Threshold Summary'!$Y:$Y,'Threshold Summary'!$L:$L,"")/5+2)*pow*atk/def)/50)+2)),modifier,stab*eff,AVERAGE(ARRAYFORMULA(FLOOR(base*modifier*SEQUENCE(16,1,85,1)/100)))/(FLOOR(((2*XLOOKUP('Boss Editor'!$C$4,'Pokemon Editor'!$A:$A,'Pokemon Editor'!$E:$E,0)+31+FLOOR('Boss Editor'!$G$4/4))*'Boss Editor'!$D$4)/100)+'Boss Editor'!$D$4+10)),0)</f>
        <v/>
      </c>
      <c r="O848" s="3">
        <f>IF(N848&gt;=1,"OHKO",IF(N848&gt;=0.5,"2HKO",IF(N848&gt;=0.333,"3HKO",IF(N848&gt;=0.25,"4HKO","5HKO+"))))</f>
        <v/>
      </c>
      <c r="P848" s="3" t="inlineStr">
        <is>
          <t>Live from editable databases</t>
        </is>
      </c>
      <c r="Q848" s="3" t="inlineStr">
        <is>
          <t>SPECIES_TOXEL</t>
        </is>
      </c>
      <c r="R848" s="3" t="n">
        <v>15</v>
      </c>
    </row>
    <row r="849">
      <c r="A849" s="3">
        <f>XLOOKUP($Q849,'Threshold Summary'!$Y:$Y,'Threshold Summary'!$A:$A,"")</f>
        <v/>
      </c>
      <c r="B849" s="3">
        <f>XLOOKUP($Q849,'Threshold Summary'!$Y:$Y,'Threshold Summary'!$M:$M,"")</f>
        <v/>
      </c>
      <c r="C849" s="3">
        <f>XLOOKUP($Q849,'Threshold Summary'!$Y:$Y,'Threshold Summary'!$N:$N,"")</f>
        <v/>
      </c>
      <c r="D849" s="3">
        <f>IFERROR(INDEX(FILTER('Learnset Editor'!$D$2:$D,'Learnset Editor'!$A$2:$A=XLOOKUP($Q849,'Threshold Summary'!$Y:$Y,'Threshold Summary'!$K:$K,""),'Learnset Editor'!$C$2:$C&lt;=XLOOKUP($Q849,'Threshold Summary'!$Y:$Y,'Threshold Summary'!$L:$L,"")),$R849),"")</f>
        <v/>
      </c>
      <c r="E849" s="3">
        <f>XLOOKUP(D849,'Move Editor'!$B:$B,'Move Editor'!$C:$C,"")</f>
        <v/>
      </c>
      <c r="F849" s="3">
        <f>XLOOKUP(D849,'Move Editor'!$B:$B,'Move Editor'!$D:$D,"")</f>
        <v/>
      </c>
      <c r="G849" s="3">
        <f>XLOOKUP(D849,'Move Editor'!$B:$B,'Move Editor'!$E:$E,0)</f>
        <v/>
      </c>
      <c r="H849" s="3">
        <f>XLOOKUP(D849,'Move Editor'!$B:$B,'Move Editor'!$F:$F,0)</f>
        <v/>
      </c>
      <c r="I849" s="3">
        <f>(INDEX('Type Chart'!$B:$S,MATCH(E849,'Type Chart'!$A:$A,0),MATCH(XLOOKUP('Boss Editor'!$C$4,'Pokemon Editor'!$A:$A,'Pokemon Editor'!$C:$C,""),'Type Chart'!$B$1:$S$1,0))*IF(XLOOKUP('Boss Editor'!$C$4,'Pokemon Editor'!$A:$A,'Pokemon Editor'!$D:$D,"")="",1,INDEX('Type Chart'!$B:$S,MATCH(E849,'Type Chart'!$A:$A,0),MATCH(XLOOKUP('Boss Editor'!$C$4,'Pokemon Editor'!$A:$A,'Pokemon Editor'!$D:$D,""),'Type Chart'!$B$1:$S$1,0))))</f>
        <v/>
      </c>
      <c r="J849" s="3">
        <f>IFERROR(LET(mtype,XLOOKUP($D849,'Move Editor'!$B:$B,'Move Editor'!$C:$C,""),cat,XLOOKUP($D849,'Move Editor'!$B:$B,'Move Editor'!$D:$D,""),pow,XLOOKUP($D849,'Move Editor'!$B:$B,'Move Editor'!$E:$E,0),acc,XLOOKUP($D849,'Move Editor'!$B:$B,'Move Editor'!$F:$F,100),atk,IF(cat="Physical",FLOOR((FLOOR(((2*XLOOKUP(XLOOKUP($Q849,'Threshold Summary'!$Y:$Y,'Threshold Summary'!$K:$K,""),'Pokemon Editor'!$A:$A,'Pokemon Editor'!$F:$F,0)+31+FLOOR(XLOOKUP($Q849,'Threshold Summary'!$Y:$Y,'Threshold Summary'!$P:$P,"")/4))*XLOOKUP($Q849,'Threshold Summary'!$Y:$Y,'Threshold Summary'!$L:$L,""))/100)+5)*XLOOKUP(XLOOKUP($Q849,'Threshold Summary'!$Y:$Y,'Threshold Summary'!$M:$M,""),'Nature Editor'!$A:$A,'Nature Editor'!$B:$B,1)),FLOOR((FLOOR(((2*XLOOKUP(XLOOKUP($Q849,'Threshold Summary'!$Y:$Y,'Threshold Summary'!$K:$K,""),'Pokemon Editor'!$A:$A,'Pokemon Editor'!$H:$H,0)+31+FLOOR(XLOOKUP($Q849,'Threshold Summary'!$Y:$Y,'Threshold Summary'!$R:$R,"")/4))*XLOOKUP($Q849,'Threshold Summary'!$Y:$Y,'Threshold Summary'!$L:$L,""))/100)+5)*XLOOKUP(XLOOKUP($Q849,'Threshold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Editor'!$E:$E,1))),stab,IF(OR(mtype=XLOOKUP(XLOOKUP($Q849,'Threshold Summary'!$Y:$Y,'Threshold Summary'!$K:$K,""),'Pokemon Editor'!$A:$A,'Pokemon Editor'!$C:$C,""),mtype=XLOOKUP(XLOOKUP($Q849,'Threshold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Chart'!$B$1:$S$1,0)))),base,IF(OR(cat="Status",pow=0),0,FLOOR(FLOOR(FLOOR((2*XLOOKUP($Q849,'Threshold Summary'!$Y:$Y,'Threshold Summary'!$L:$L,"")/5+2)*pow*atk/def)/50)+2)),modifier,stab*eff,FLOOR(base*modifier*0.85)),0)</f>
        <v/>
      </c>
      <c r="K849" s="3">
        <f>IFERROR(LET(mtype,XLOOKUP($D849,'Move Editor'!$B:$B,'Move Editor'!$C:$C,""),cat,XLOOKUP($D849,'Move Editor'!$B:$B,'Move Editor'!$D:$D,""),pow,XLOOKUP($D849,'Move Editor'!$B:$B,'Move Editor'!$E:$E,0),acc,XLOOKUP($D849,'Move Editor'!$B:$B,'Move Editor'!$F:$F,100),atk,IF(cat="Physical",FLOOR((FLOOR(((2*XLOOKUP(XLOOKUP($Q849,'Threshold Summary'!$Y:$Y,'Threshold Summary'!$K:$K,""),'Pokemon Editor'!$A:$A,'Pokemon Editor'!$F:$F,0)+31+FLOOR(XLOOKUP($Q849,'Threshold Summary'!$Y:$Y,'Threshold Summary'!$P:$P,"")/4))*XLOOKUP($Q849,'Threshold Summary'!$Y:$Y,'Threshold Summary'!$L:$L,""))/100)+5)*XLOOKUP(XLOOKUP($Q849,'Threshold Summary'!$Y:$Y,'Threshold Summary'!$M:$M,""),'Nature Editor'!$A:$A,'Nature Editor'!$B:$B,1)),FLOOR((FLOOR(((2*XLOOKUP(XLOOKUP($Q849,'Threshold Summary'!$Y:$Y,'Threshold Summary'!$K:$K,""),'Pokemon Editor'!$A:$A,'Pokemon Editor'!$H:$H,0)+31+FLOOR(XLOOKUP($Q849,'Threshold Summary'!$Y:$Y,'Threshold Summary'!$R:$R,"")/4))*XLOOKUP($Q849,'Threshold Summary'!$Y:$Y,'Threshold Summary'!$L:$L,""))/100)+5)*XLOOKUP(XLOOKUP($Q849,'Threshold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Editor'!$E:$E,1))),stab,IF(OR(mtype=XLOOKUP(XLOOKUP($Q849,'Threshold Summary'!$Y:$Y,'Threshold Summary'!$K:$K,""),'Pokemon Editor'!$A:$A,'Pokemon Editor'!$C:$C,""),mtype=XLOOKUP(XLOOKUP($Q849,'Threshold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Chart'!$B$1:$S$1,0)))),base,IF(OR(cat="Status",pow=0),0,FLOOR(FLOOR(FLOOR((2*XLOOKUP($Q849,'Threshold Summary'!$Y:$Y,'Threshold Summary'!$L:$L,"")/5+2)*pow*atk/def)/50)+2)),modifier,stab*eff,FLOOR(base*modifier)),0)</f>
        <v/>
      </c>
      <c r="L849" s="3">
        <f>IFERROR(LET(mtype,XLOOKUP($D849,'Move Editor'!$B:$B,'Move Editor'!$C:$C,""),cat,XLOOKUP($D849,'Move Editor'!$B:$B,'Move Editor'!$D:$D,""),pow,XLOOKUP($D849,'Move Editor'!$B:$B,'Move Editor'!$E:$E,0),acc,XLOOKUP($D849,'Move Editor'!$B:$B,'Move Editor'!$F:$F,100),atk,IF(cat="Physical",FLOOR((FLOOR(((2*XLOOKUP(XLOOKUP($Q849,'Threshold Summary'!$Y:$Y,'Threshold Summary'!$K:$K,""),'Pokemon Editor'!$A:$A,'Pokemon Editor'!$F:$F,0)+31+FLOOR(XLOOKUP($Q849,'Threshold Summary'!$Y:$Y,'Threshold Summary'!$P:$P,"")/4))*XLOOKUP($Q849,'Threshold Summary'!$Y:$Y,'Threshold Summary'!$L:$L,""))/100)+5)*XLOOKUP(XLOOKUP($Q849,'Threshold Summary'!$Y:$Y,'Threshold Summary'!$M:$M,""),'Nature Editor'!$A:$A,'Nature Editor'!$B:$B,1)),FLOOR((FLOOR(((2*XLOOKUP(XLOOKUP($Q849,'Threshold Summary'!$Y:$Y,'Threshold Summary'!$K:$K,""),'Pokemon Editor'!$A:$A,'Pokemon Editor'!$H:$H,0)+31+FLOOR(XLOOKUP($Q849,'Threshold Summary'!$Y:$Y,'Threshold Summary'!$R:$R,"")/4))*XLOOKUP($Q849,'Threshold Summary'!$Y:$Y,'Threshold Summary'!$L:$L,""))/100)+5)*XLOOKUP(XLOOKUP($Q849,'Threshold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Editor'!$E:$E,1))),stab,IF(OR(mtype=XLOOKUP(XLOOKUP($Q849,'Threshold Summary'!$Y:$Y,'Threshold Summary'!$K:$K,""),'Pokemon Editor'!$A:$A,'Pokemon Editor'!$C:$C,""),mtype=XLOOKUP(XLOOKUP($Q849,'Threshold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Chart'!$B$1:$S$1,0)))),base,IF(OR(cat="Status",pow=0),0,FLOOR(FLOOR(FLOOR((2*XLOOKUP($Q849,'Threshold Summary'!$Y:$Y,'Threshold Summary'!$L:$L,"")/5+2)*pow*atk/def)/50)+2)),modifier,stab*eff,AVERAGE(ARRAYFORMULA(FLOOR(base*modifier*SEQUENCE(16,1,85,1)/100)))),0)</f>
        <v/>
      </c>
      <c r="M849" s="3">
        <f>IFERROR(LET(mtype,XLOOKUP($D849,'Move Editor'!$B:$B,'Move Editor'!$C:$C,""),cat,XLOOKUP($D849,'Move Editor'!$B:$B,'Move Editor'!$D:$D,""),pow,XLOOKUP($D849,'Move Editor'!$B:$B,'Move Editor'!$E:$E,0),acc,XLOOKUP($D849,'Move Editor'!$B:$B,'Move Editor'!$F:$F,100),atk,IF(cat="Physical",FLOOR((FLOOR(((2*XLOOKUP(XLOOKUP($Q849,'Threshold Summary'!$Y:$Y,'Threshold Summary'!$K:$K,""),'Pokemon Editor'!$A:$A,'Pokemon Editor'!$F:$F,0)+31+FLOOR(XLOOKUP($Q849,'Threshold Summary'!$Y:$Y,'Threshold Summary'!$P:$P,"")/4))*XLOOKUP($Q849,'Threshold Summary'!$Y:$Y,'Threshold Summary'!$L:$L,""))/100)+5)*XLOOKUP(XLOOKUP($Q849,'Threshold Summary'!$Y:$Y,'Threshold Summary'!$M:$M,""),'Nature Editor'!$A:$A,'Nature Editor'!$B:$B,1)),FLOOR((FLOOR(((2*XLOOKUP(XLOOKUP($Q849,'Threshold Summary'!$Y:$Y,'Threshold Summary'!$K:$K,""),'Pokemon Editor'!$A:$A,'Pokemon Editor'!$H:$H,0)+31+FLOOR(XLOOKUP($Q849,'Threshold Summary'!$Y:$Y,'Threshold Summary'!$R:$R,"")/4))*XLOOKUP($Q849,'Threshold Summary'!$Y:$Y,'Threshold Summary'!$L:$L,""))/100)+5)*XLOOKUP(XLOOKUP($Q849,'Threshold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Editor'!$E:$E,1))),stab,IF(OR(mtype=XLOOKUP(XLOOKUP($Q849,'Threshold Summary'!$Y:$Y,'Threshold Summary'!$K:$K,""),'Pokemon Editor'!$A:$A,'Pokemon Editor'!$C:$C,""),mtype=XLOOKUP(XLOOKUP($Q849,'Threshold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Chart'!$B$1:$S$1,0)))),base,IF(OR(cat="Status",pow=0),0,FLOOR(FLOOR(FLOOR((2*XLOOKUP($Q849,'Threshold Summary'!$Y:$Y,'Threshold Summary'!$L:$L,"")/5+2)*pow*atk/def)/50)+2)),modifier,stab*eff,AVERAGE(ARRAYFORMULA(FLOOR(base*modifier*SEQUENCE(16,1,85,1)/100)))*MIN(1,acc/100)),0)</f>
        <v/>
      </c>
      <c r="N849" s="4">
        <f>IFERROR(LET(mtype,XLOOKUP($D849,'Move Editor'!$B:$B,'Move Editor'!$C:$C,""),cat,XLOOKUP($D849,'Move Editor'!$B:$B,'Move Editor'!$D:$D,""),pow,XLOOKUP($D849,'Move Editor'!$B:$B,'Move Editor'!$E:$E,0),acc,XLOOKUP($D849,'Move Editor'!$B:$B,'Move Editor'!$F:$F,100),atk,IF(cat="Physical",FLOOR((FLOOR(((2*XLOOKUP(XLOOKUP($Q849,'Threshold Summary'!$Y:$Y,'Threshold Summary'!$K:$K,""),'Pokemon Editor'!$A:$A,'Pokemon Editor'!$F:$F,0)+31+FLOOR(XLOOKUP($Q849,'Threshold Summary'!$Y:$Y,'Threshold Summary'!$P:$P,"")/4))*XLOOKUP($Q849,'Threshold Summary'!$Y:$Y,'Threshold Summary'!$L:$L,""))/100)+5)*XLOOKUP(XLOOKUP($Q849,'Threshold Summary'!$Y:$Y,'Threshold Summary'!$M:$M,""),'Nature Editor'!$A:$A,'Nature Editor'!$B:$B,1)),FLOOR((FLOOR(((2*XLOOKUP(XLOOKUP($Q849,'Threshold Summary'!$Y:$Y,'Threshold Summary'!$K:$K,""),'Pokemon Editor'!$A:$A,'Pokemon Editor'!$H:$H,0)+31+FLOOR(XLOOKUP($Q849,'Threshold Summary'!$Y:$Y,'Threshold Summary'!$R:$R,"")/4))*XLOOKUP($Q849,'Threshold Summary'!$Y:$Y,'Threshold Summary'!$L:$L,""))/100)+5)*XLOOKUP(XLOOKUP($Q849,'Threshold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Editor'!$E:$E,1))),stab,IF(OR(mtype=XLOOKUP(XLOOKUP($Q849,'Threshold Summary'!$Y:$Y,'Threshold Summary'!$K:$K,""),'Pokemon Editor'!$A:$A,'Pokemon Editor'!$C:$C,""),mtype=XLOOKUP(XLOOKUP($Q849,'Threshold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Chart'!$B$1:$S$1,0)))),base,IF(OR(cat="Status",pow=0),0,FLOOR(FLOOR(FLOOR((2*XLOOKUP($Q849,'Threshold Summary'!$Y:$Y,'Threshold Summary'!$L:$L,"")/5+2)*pow*atk/def)/50)+2)),modifier,stab*eff,AVERAGE(ARRAYFORMULA(FLOOR(base*modifier*SEQUENCE(16,1,85,1)/100)))/(FLOOR(((2*XLOOKUP('Boss Editor'!$C$4,'Pokemon Editor'!$A:$A,'Pokemon Editor'!$E:$E,0)+31+FLOOR('Boss Editor'!$G$4/4))*'Boss Editor'!$D$4)/100)+'Boss Editor'!$D$4+10)),0)</f>
        <v/>
      </c>
      <c r="O849" s="3">
        <f>IF(N849&gt;=1,"OHKO",IF(N849&gt;=0.5,"2HKO",IF(N849&gt;=0.333,"3HKO",IF(N849&gt;=0.25,"4HKO","5HKO+"))))</f>
        <v/>
      </c>
      <c r="P849" s="3" t="inlineStr">
        <is>
          <t>Live from editable databases</t>
        </is>
      </c>
      <c r="Q849" s="3" t="inlineStr">
        <is>
          <t>SPECIES_TOXEL</t>
        </is>
      </c>
      <c r="R849" s="3" t="n">
        <v>16</v>
      </c>
    </row>
    <row r="850">
      <c r="A850" s="3">
        <f>XLOOKUP($Q850,'Threshold Summary'!$Y:$Y,'Threshold Summary'!$A:$A,"")</f>
        <v/>
      </c>
      <c r="B850" s="3">
        <f>XLOOKUP($Q850,'Threshold Summary'!$Y:$Y,'Threshold Summary'!$M:$M,"")</f>
        <v/>
      </c>
      <c r="C850" s="3">
        <f>XLOOKUP($Q850,'Threshold Summary'!$Y:$Y,'Threshold Summary'!$N:$N,"")</f>
        <v/>
      </c>
      <c r="D850" s="3">
        <f>IFERROR(INDEX(FILTER('Learnset Editor'!$D$2:$D,'Learnset Editor'!$A$2:$A=XLOOKUP($Q850,'Threshold Summary'!$Y:$Y,'Threshold Summary'!$K:$K,""),'Learnset Editor'!$C$2:$C&lt;=XLOOKUP($Q850,'Threshold Summary'!$Y:$Y,'Threshold Summary'!$L:$L,"")),$R850),"")</f>
        <v/>
      </c>
      <c r="E850" s="3">
        <f>XLOOKUP(D850,'Move Editor'!$B:$B,'Move Editor'!$C:$C,"")</f>
        <v/>
      </c>
      <c r="F850" s="3">
        <f>XLOOKUP(D850,'Move Editor'!$B:$B,'Move Editor'!$D:$D,"")</f>
        <v/>
      </c>
      <c r="G850" s="3">
        <f>XLOOKUP(D850,'Move Editor'!$B:$B,'Move Editor'!$E:$E,0)</f>
        <v/>
      </c>
      <c r="H850" s="3">
        <f>XLOOKUP(D850,'Move Editor'!$B:$B,'Move Editor'!$F:$F,0)</f>
        <v/>
      </c>
      <c r="I850" s="3">
        <f>(INDEX('Type Chart'!$B:$S,MATCH(E850,'Type Chart'!$A:$A,0),MATCH(XLOOKUP('Boss Editor'!$C$4,'Pokemon Editor'!$A:$A,'Pokemon Editor'!$C:$C,""),'Type Chart'!$B$1:$S$1,0))*IF(XLOOKUP('Boss Editor'!$C$4,'Pokemon Editor'!$A:$A,'Pokemon Editor'!$D:$D,"")="",1,INDEX('Type Chart'!$B:$S,MATCH(E850,'Type Chart'!$A:$A,0),MATCH(XLOOKUP('Boss Editor'!$C$4,'Pokemon Editor'!$A:$A,'Pokemon Editor'!$D:$D,""),'Type Chart'!$B$1:$S$1,0))))</f>
        <v/>
      </c>
      <c r="J850" s="3">
        <f>IFERROR(LET(mtype,XLOOKUP($D850,'Move Editor'!$B:$B,'Move Editor'!$C:$C,""),cat,XLOOKUP($D850,'Move Editor'!$B:$B,'Move Editor'!$D:$D,""),pow,XLOOKUP($D850,'Move Editor'!$B:$B,'Move Editor'!$E:$E,0),acc,XLOOKUP($D850,'Move Editor'!$B:$B,'Move Editor'!$F:$F,100),atk,IF(cat="Physical",FLOOR((FLOOR(((2*XLOOKUP(XLOOKUP($Q850,'Threshold Summary'!$Y:$Y,'Threshold Summary'!$K:$K,""),'Pokemon Editor'!$A:$A,'Pokemon Editor'!$F:$F,0)+31+FLOOR(XLOOKUP($Q850,'Threshold Summary'!$Y:$Y,'Threshold Summary'!$P:$P,"")/4))*XLOOKUP($Q850,'Threshold Summary'!$Y:$Y,'Threshold Summary'!$L:$L,""))/100)+5)*XLOOKUP(XLOOKUP($Q850,'Threshold Summary'!$Y:$Y,'Threshold Summary'!$M:$M,""),'Nature Editor'!$A:$A,'Nature Editor'!$B:$B,1)),FLOOR((FLOOR(((2*XLOOKUP(XLOOKUP($Q850,'Threshold Summary'!$Y:$Y,'Threshold Summary'!$K:$K,""),'Pokemon Editor'!$A:$A,'Pokemon Editor'!$H:$H,0)+31+FLOOR(XLOOKUP($Q850,'Threshold Summary'!$Y:$Y,'Threshold Summary'!$R:$R,"")/4))*XLOOKUP($Q850,'Threshold Summary'!$Y:$Y,'Threshold Summary'!$L:$L,""))/100)+5)*XLOOKUP(XLOOKUP($Q850,'Threshold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Editor'!$E:$E,1))),stab,IF(OR(mtype=XLOOKUP(XLOOKUP($Q850,'Threshold Summary'!$Y:$Y,'Threshold Summary'!$K:$K,""),'Pokemon Editor'!$A:$A,'Pokemon Editor'!$C:$C,""),mtype=XLOOKUP(XLOOKUP($Q850,'Threshold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Chart'!$B$1:$S$1,0)))),base,IF(OR(cat="Status",pow=0),0,FLOOR(FLOOR(FLOOR((2*XLOOKUP($Q850,'Threshold Summary'!$Y:$Y,'Threshold Summary'!$L:$L,"")/5+2)*pow*atk/def)/50)+2)),modifier,stab*eff,FLOOR(base*modifier*0.85)),0)</f>
        <v/>
      </c>
      <c r="K850" s="3">
        <f>IFERROR(LET(mtype,XLOOKUP($D850,'Move Editor'!$B:$B,'Move Editor'!$C:$C,""),cat,XLOOKUP($D850,'Move Editor'!$B:$B,'Move Editor'!$D:$D,""),pow,XLOOKUP($D850,'Move Editor'!$B:$B,'Move Editor'!$E:$E,0),acc,XLOOKUP($D850,'Move Editor'!$B:$B,'Move Editor'!$F:$F,100),atk,IF(cat="Physical",FLOOR((FLOOR(((2*XLOOKUP(XLOOKUP($Q850,'Threshold Summary'!$Y:$Y,'Threshold Summary'!$K:$K,""),'Pokemon Editor'!$A:$A,'Pokemon Editor'!$F:$F,0)+31+FLOOR(XLOOKUP($Q850,'Threshold Summary'!$Y:$Y,'Threshold Summary'!$P:$P,"")/4))*XLOOKUP($Q850,'Threshold Summary'!$Y:$Y,'Threshold Summary'!$L:$L,""))/100)+5)*XLOOKUP(XLOOKUP($Q850,'Threshold Summary'!$Y:$Y,'Threshold Summary'!$M:$M,""),'Nature Editor'!$A:$A,'Nature Editor'!$B:$B,1)),FLOOR((FLOOR(((2*XLOOKUP(XLOOKUP($Q850,'Threshold Summary'!$Y:$Y,'Threshold Summary'!$K:$K,""),'Pokemon Editor'!$A:$A,'Pokemon Editor'!$H:$H,0)+31+FLOOR(XLOOKUP($Q850,'Threshold Summary'!$Y:$Y,'Threshold Summary'!$R:$R,"")/4))*XLOOKUP($Q850,'Threshold Summary'!$Y:$Y,'Threshold Summary'!$L:$L,""))/100)+5)*XLOOKUP(XLOOKUP($Q850,'Threshold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Editor'!$E:$E,1))),stab,IF(OR(mtype=XLOOKUP(XLOOKUP($Q850,'Threshold Summary'!$Y:$Y,'Threshold Summary'!$K:$K,""),'Pokemon Editor'!$A:$A,'Pokemon Editor'!$C:$C,""),mtype=XLOOKUP(XLOOKUP($Q850,'Threshold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Chart'!$B$1:$S$1,0)))),base,IF(OR(cat="Status",pow=0),0,FLOOR(FLOOR(FLOOR((2*XLOOKUP($Q850,'Threshold Summary'!$Y:$Y,'Threshold Summary'!$L:$L,"")/5+2)*pow*atk/def)/50)+2)),modifier,stab*eff,FLOOR(base*modifier)),0)</f>
        <v/>
      </c>
      <c r="L850" s="3">
        <f>IFERROR(LET(mtype,XLOOKUP($D850,'Move Editor'!$B:$B,'Move Editor'!$C:$C,""),cat,XLOOKUP($D850,'Move Editor'!$B:$B,'Move Editor'!$D:$D,""),pow,XLOOKUP($D850,'Move Editor'!$B:$B,'Move Editor'!$E:$E,0),acc,XLOOKUP($D850,'Move Editor'!$B:$B,'Move Editor'!$F:$F,100),atk,IF(cat="Physical",FLOOR((FLOOR(((2*XLOOKUP(XLOOKUP($Q850,'Threshold Summary'!$Y:$Y,'Threshold Summary'!$K:$K,""),'Pokemon Editor'!$A:$A,'Pokemon Editor'!$F:$F,0)+31+FLOOR(XLOOKUP($Q850,'Threshold Summary'!$Y:$Y,'Threshold Summary'!$P:$P,"")/4))*XLOOKUP($Q850,'Threshold Summary'!$Y:$Y,'Threshold Summary'!$L:$L,""))/100)+5)*XLOOKUP(XLOOKUP($Q850,'Threshold Summary'!$Y:$Y,'Threshold Summary'!$M:$M,""),'Nature Editor'!$A:$A,'Nature Editor'!$B:$B,1)),FLOOR((FLOOR(((2*XLOOKUP(XLOOKUP($Q850,'Threshold Summary'!$Y:$Y,'Threshold Summary'!$K:$K,""),'Pokemon Editor'!$A:$A,'Pokemon Editor'!$H:$H,0)+31+FLOOR(XLOOKUP($Q850,'Threshold Summary'!$Y:$Y,'Threshold Summary'!$R:$R,"")/4))*XLOOKUP($Q850,'Threshold Summary'!$Y:$Y,'Threshold Summary'!$L:$L,""))/100)+5)*XLOOKUP(XLOOKUP($Q850,'Threshold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Editor'!$E:$E,1))),stab,IF(OR(mtype=XLOOKUP(XLOOKUP($Q850,'Threshold Summary'!$Y:$Y,'Threshold Summary'!$K:$K,""),'Pokemon Editor'!$A:$A,'Pokemon Editor'!$C:$C,""),mtype=XLOOKUP(XLOOKUP($Q850,'Threshold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Chart'!$B$1:$S$1,0)))),base,IF(OR(cat="Status",pow=0),0,FLOOR(FLOOR(FLOOR((2*XLOOKUP($Q850,'Threshold Summary'!$Y:$Y,'Threshold Summary'!$L:$L,"")/5+2)*pow*atk/def)/50)+2)),modifier,stab*eff,AVERAGE(ARRAYFORMULA(FLOOR(base*modifier*SEQUENCE(16,1,85,1)/100)))),0)</f>
        <v/>
      </c>
      <c r="M850" s="3">
        <f>IFERROR(LET(mtype,XLOOKUP($D850,'Move Editor'!$B:$B,'Move Editor'!$C:$C,""),cat,XLOOKUP($D850,'Move Editor'!$B:$B,'Move Editor'!$D:$D,""),pow,XLOOKUP($D850,'Move Editor'!$B:$B,'Move Editor'!$E:$E,0),acc,XLOOKUP($D850,'Move Editor'!$B:$B,'Move Editor'!$F:$F,100),atk,IF(cat="Physical",FLOOR((FLOOR(((2*XLOOKUP(XLOOKUP($Q850,'Threshold Summary'!$Y:$Y,'Threshold Summary'!$K:$K,""),'Pokemon Editor'!$A:$A,'Pokemon Editor'!$F:$F,0)+31+FLOOR(XLOOKUP($Q850,'Threshold Summary'!$Y:$Y,'Threshold Summary'!$P:$P,"")/4))*XLOOKUP($Q850,'Threshold Summary'!$Y:$Y,'Threshold Summary'!$L:$L,""))/100)+5)*XLOOKUP(XLOOKUP($Q850,'Threshold Summary'!$Y:$Y,'Threshold Summary'!$M:$M,""),'Nature Editor'!$A:$A,'Nature Editor'!$B:$B,1)),FLOOR((FLOOR(((2*XLOOKUP(XLOOKUP($Q850,'Threshold Summary'!$Y:$Y,'Threshold Summary'!$K:$K,""),'Pokemon Editor'!$A:$A,'Pokemon Editor'!$H:$H,0)+31+FLOOR(XLOOKUP($Q850,'Threshold Summary'!$Y:$Y,'Threshold Summary'!$R:$R,"")/4))*XLOOKUP($Q850,'Threshold Summary'!$Y:$Y,'Threshold Summary'!$L:$L,""))/100)+5)*XLOOKUP(XLOOKUP($Q850,'Threshold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Editor'!$E:$E,1))),stab,IF(OR(mtype=XLOOKUP(XLOOKUP($Q850,'Threshold Summary'!$Y:$Y,'Threshold Summary'!$K:$K,""),'Pokemon Editor'!$A:$A,'Pokemon Editor'!$C:$C,""),mtype=XLOOKUP(XLOOKUP($Q850,'Threshold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Chart'!$B$1:$S$1,0)))),base,IF(OR(cat="Status",pow=0),0,FLOOR(FLOOR(FLOOR((2*XLOOKUP($Q850,'Threshold Summary'!$Y:$Y,'Threshold Summary'!$L:$L,"")/5+2)*pow*atk/def)/50)+2)),modifier,stab*eff,AVERAGE(ARRAYFORMULA(FLOOR(base*modifier*SEQUENCE(16,1,85,1)/100)))*MIN(1,acc/100)),0)</f>
        <v/>
      </c>
      <c r="N850" s="4">
        <f>IFERROR(LET(mtype,XLOOKUP($D850,'Move Editor'!$B:$B,'Move Editor'!$C:$C,""),cat,XLOOKUP($D850,'Move Editor'!$B:$B,'Move Editor'!$D:$D,""),pow,XLOOKUP($D850,'Move Editor'!$B:$B,'Move Editor'!$E:$E,0),acc,XLOOKUP($D850,'Move Editor'!$B:$B,'Move Editor'!$F:$F,100),atk,IF(cat="Physical",FLOOR((FLOOR(((2*XLOOKUP(XLOOKUP($Q850,'Threshold Summary'!$Y:$Y,'Threshold Summary'!$K:$K,""),'Pokemon Editor'!$A:$A,'Pokemon Editor'!$F:$F,0)+31+FLOOR(XLOOKUP($Q850,'Threshold Summary'!$Y:$Y,'Threshold Summary'!$P:$P,"")/4))*XLOOKUP($Q850,'Threshold Summary'!$Y:$Y,'Threshold Summary'!$L:$L,""))/100)+5)*XLOOKUP(XLOOKUP($Q850,'Threshold Summary'!$Y:$Y,'Threshold Summary'!$M:$M,""),'Nature Editor'!$A:$A,'Nature Editor'!$B:$B,1)),FLOOR((FLOOR(((2*XLOOKUP(XLOOKUP($Q850,'Threshold Summary'!$Y:$Y,'Threshold Summary'!$K:$K,""),'Pokemon Editor'!$A:$A,'Pokemon Editor'!$H:$H,0)+31+FLOOR(XLOOKUP($Q850,'Threshold Summary'!$Y:$Y,'Threshold Summary'!$R:$R,"")/4))*XLOOKUP($Q850,'Threshold Summary'!$Y:$Y,'Threshold Summary'!$L:$L,""))/100)+5)*XLOOKUP(XLOOKUP($Q850,'Threshold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Editor'!$E:$E,1))),stab,IF(OR(mtype=XLOOKUP(XLOOKUP($Q850,'Threshold Summary'!$Y:$Y,'Threshold Summary'!$K:$K,""),'Pokemon Editor'!$A:$A,'Pokemon Editor'!$C:$C,""),mtype=XLOOKUP(XLOOKUP($Q850,'Threshold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Chart'!$B$1:$S$1,0)))),base,IF(OR(cat="Status",pow=0),0,FLOOR(FLOOR(FLOOR((2*XLOOKUP($Q850,'Threshold Summary'!$Y:$Y,'Threshold Summary'!$L:$L,"")/5+2)*pow*atk/def)/50)+2)),modifier,stab*eff,AVERAGE(ARRAYFORMULA(FLOOR(base*modifier*SEQUENCE(16,1,85,1)/100)))/(FLOOR(((2*XLOOKUP('Boss Editor'!$C$4,'Pokemon Editor'!$A:$A,'Pokemon Editor'!$E:$E,0)+31+FLOOR('Boss Editor'!$G$4/4))*'Boss Editor'!$D$4)/100)+'Boss Editor'!$D$4+10)),0)</f>
        <v/>
      </c>
      <c r="O850" s="3">
        <f>IF(N850&gt;=1,"OHKO",IF(N850&gt;=0.5,"2HKO",IF(N850&gt;=0.333,"3HKO",IF(N850&gt;=0.25,"4HKO","5HKO+"))))</f>
        <v/>
      </c>
      <c r="P850" s="3" t="inlineStr">
        <is>
          <t>Live from editable databases</t>
        </is>
      </c>
      <c r="Q850" s="3" t="inlineStr">
        <is>
          <t>SPECIES_TOXEL</t>
        </is>
      </c>
      <c r="R850" s="3" t="n">
        <v>17</v>
      </c>
    </row>
    <row r="851">
      <c r="A851" s="3">
        <f>XLOOKUP($Q851,'Threshold Summary'!$Y:$Y,'Threshold Summary'!$A:$A,"")</f>
        <v/>
      </c>
      <c r="B851" s="3">
        <f>XLOOKUP($Q851,'Threshold Summary'!$Y:$Y,'Threshold Summary'!$M:$M,"")</f>
        <v/>
      </c>
      <c r="C851" s="3">
        <f>XLOOKUP($Q851,'Threshold Summary'!$Y:$Y,'Threshold Summary'!$N:$N,"")</f>
        <v/>
      </c>
      <c r="D851" s="3">
        <f>IFERROR(INDEX(FILTER('Learnset Editor'!$D$2:$D,'Learnset Editor'!$A$2:$A=XLOOKUP($Q851,'Threshold Summary'!$Y:$Y,'Threshold Summary'!$K:$K,""),'Learnset Editor'!$C$2:$C&lt;=XLOOKUP($Q851,'Threshold Summary'!$Y:$Y,'Threshold Summary'!$L:$L,"")),$R851),"")</f>
        <v/>
      </c>
      <c r="E851" s="3">
        <f>XLOOKUP(D851,'Move Editor'!$B:$B,'Move Editor'!$C:$C,"")</f>
        <v/>
      </c>
      <c r="F851" s="3">
        <f>XLOOKUP(D851,'Move Editor'!$B:$B,'Move Editor'!$D:$D,"")</f>
        <v/>
      </c>
      <c r="G851" s="3">
        <f>XLOOKUP(D851,'Move Editor'!$B:$B,'Move Editor'!$E:$E,0)</f>
        <v/>
      </c>
      <c r="H851" s="3">
        <f>XLOOKUP(D851,'Move Editor'!$B:$B,'Move Editor'!$F:$F,0)</f>
        <v/>
      </c>
      <c r="I851" s="3">
        <f>(INDEX('Type Chart'!$B:$S,MATCH(E851,'Type Chart'!$A:$A,0),MATCH(XLOOKUP('Boss Editor'!$C$4,'Pokemon Editor'!$A:$A,'Pokemon Editor'!$C:$C,""),'Type Chart'!$B$1:$S$1,0))*IF(XLOOKUP('Boss Editor'!$C$4,'Pokemon Editor'!$A:$A,'Pokemon Editor'!$D:$D,"")="",1,INDEX('Type Chart'!$B:$S,MATCH(E851,'Type Chart'!$A:$A,0),MATCH(XLOOKUP('Boss Editor'!$C$4,'Pokemon Editor'!$A:$A,'Pokemon Editor'!$D:$D,""),'Type Chart'!$B$1:$S$1,0))))</f>
        <v/>
      </c>
      <c r="J851" s="3">
        <f>IFERROR(LET(mtype,XLOOKUP($D851,'Move Editor'!$B:$B,'Move Editor'!$C:$C,""),cat,XLOOKUP($D851,'Move Editor'!$B:$B,'Move Editor'!$D:$D,""),pow,XLOOKUP($D851,'Move Editor'!$B:$B,'Move Editor'!$E:$E,0),acc,XLOOKUP($D851,'Move Editor'!$B:$B,'Move Editor'!$F:$F,100),atk,IF(cat="Physical",FLOOR((FLOOR(((2*XLOOKUP(XLOOKUP($Q851,'Threshold Summary'!$Y:$Y,'Threshold Summary'!$K:$K,""),'Pokemon Editor'!$A:$A,'Pokemon Editor'!$F:$F,0)+31+FLOOR(XLOOKUP($Q851,'Threshold Summary'!$Y:$Y,'Threshold Summary'!$P:$P,"")/4))*XLOOKUP($Q851,'Threshold Summary'!$Y:$Y,'Threshold Summary'!$L:$L,""))/100)+5)*XLOOKUP(XLOOKUP($Q851,'Threshold Summary'!$Y:$Y,'Threshold Summary'!$M:$M,""),'Nature Editor'!$A:$A,'Nature Editor'!$B:$B,1)),FLOOR((FLOOR(((2*XLOOKUP(XLOOKUP($Q851,'Threshold Summary'!$Y:$Y,'Threshold Summary'!$K:$K,""),'Pokemon Editor'!$A:$A,'Pokemon Editor'!$H:$H,0)+31+FLOOR(XLOOKUP($Q851,'Threshold Summary'!$Y:$Y,'Threshold Summary'!$R:$R,"")/4))*XLOOKUP($Q851,'Threshold Summary'!$Y:$Y,'Threshold Summary'!$L:$L,""))/100)+5)*XLOOKUP(XLOOKUP($Q851,'Threshold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Editor'!$E:$E,1))),stab,IF(OR(mtype=XLOOKUP(XLOOKUP($Q851,'Threshold Summary'!$Y:$Y,'Threshold Summary'!$K:$K,""),'Pokemon Editor'!$A:$A,'Pokemon Editor'!$C:$C,""),mtype=XLOOKUP(XLOOKUP($Q851,'Threshold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Chart'!$B$1:$S$1,0)))),base,IF(OR(cat="Status",pow=0),0,FLOOR(FLOOR(FLOOR((2*XLOOKUP($Q851,'Threshold Summary'!$Y:$Y,'Threshold Summary'!$L:$L,"")/5+2)*pow*atk/def)/50)+2)),modifier,stab*eff,FLOOR(base*modifier*0.85)),0)</f>
        <v/>
      </c>
      <c r="K851" s="3">
        <f>IFERROR(LET(mtype,XLOOKUP($D851,'Move Editor'!$B:$B,'Move Editor'!$C:$C,""),cat,XLOOKUP($D851,'Move Editor'!$B:$B,'Move Editor'!$D:$D,""),pow,XLOOKUP($D851,'Move Editor'!$B:$B,'Move Editor'!$E:$E,0),acc,XLOOKUP($D851,'Move Editor'!$B:$B,'Move Editor'!$F:$F,100),atk,IF(cat="Physical",FLOOR((FLOOR(((2*XLOOKUP(XLOOKUP($Q851,'Threshold Summary'!$Y:$Y,'Threshold Summary'!$K:$K,""),'Pokemon Editor'!$A:$A,'Pokemon Editor'!$F:$F,0)+31+FLOOR(XLOOKUP($Q851,'Threshold Summary'!$Y:$Y,'Threshold Summary'!$P:$P,"")/4))*XLOOKUP($Q851,'Threshold Summary'!$Y:$Y,'Threshold Summary'!$L:$L,""))/100)+5)*XLOOKUP(XLOOKUP($Q851,'Threshold Summary'!$Y:$Y,'Threshold Summary'!$M:$M,""),'Nature Editor'!$A:$A,'Nature Editor'!$B:$B,1)),FLOOR((FLOOR(((2*XLOOKUP(XLOOKUP($Q851,'Threshold Summary'!$Y:$Y,'Threshold Summary'!$K:$K,""),'Pokemon Editor'!$A:$A,'Pokemon Editor'!$H:$H,0)+31+FLOOR(XLOOKUP($Q851,'Threshold Summary'!$Y:$Y,'Threshold Summary'!$R:$R,"")/4))*XLOOKUP($Q851,'Threshold Summary'!$Y:$Y,'Threshold Summary'!$L:$L,""))/100)+5)*XLOOKUP(XLOOKUP($Q851,'Threshold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Editor'!$E:$E,1))),stab,IF(OR(mtype=XLOOKUP(XLOOKUP($Q851,'Threshold Summary'!$Y:$Y,'Threshold Summary'!$K:$K,""),'Pokemon Editor'!$A:$A,'Pokemon Editor'!$C:$C,""),mtype=XLOOKUP(XLOOKUP($Q851,'Threshold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Chart'!$B$1:$S$1,0)))),base,IF(OR(cat="Status",pow=0),0,FLOOR(FLOOR(FLOOR((2*XLOOKUP($Q851,'Threshold Summary'!$Y:$Y,'Threshold Summary'!$L:$L,"")/5+2)*pow*atk/def)/50)+2)),modifier,stab*eff,FLOOR(base*modifier)),0)</f>
        <v/>
      </c>
      <c r="L851" s="3">
        <f>IFERROR(LET(mtype,XLOOKUP($D851,'Move Editor'!$B:$B,'Move Editor'!$C:$C,""),cat,XLOOKUP($D851,'Move Editor'!$B:$B,'Move Editor'!$D:$D,""),pow,XLOOKUP($D851,'Move Editor'!$B:$B,'Move Editor'!$E:$E,0),acc,XLOOKUP($D851,'Move Editor'!$B:$B,'Move Editor'!$F:$F,100),atk,IF(cat="Physical",FLOOR((FLOOR(((2*XLOOKUP(XLOOKUP($Q851,'Threshold Summary'!$Y:$Y,'Threshold Summary'!$K:$K,""),'Pokemon Editor'!$A:$A,'Pokemon Editor'!$F:$F,0)+31+FLOOR(XLOOKUP($Q851,'Threshold Summary'!$Y:$Y,'Threshold Summary'!$P:$P,"")/4))*XLOOKUP($Q851,'Threshold Summary'!$Y:$Y,'Threshold Summary'!$L:$L,""))/100)+5)*XLOOKUP(XLOOKUP($Q851,'Threshold Summary'!$Y:$Y,'Threshold Summary'!$M:$M,""),'Nature Editor'!$A:$A,'Nature Editor'!$B:$B,1)),FLOOR((FLOOR(((2*XLOOKUP(XLOOKUP($Q851,'Threshold Summary'!$Y:$Y,'Threshold Summary'!$K:$K,""),'Pokemon Editor'!$A:$A,'Pokemon Editor'!$H:$H,0)+31+FLOOR(XLOOKUP($Q851,'Threshold Summary'!$Y:$Y,'Threshold Summary'!$R:$R,"")/4))*XLOOKUP($Q851,'Threshold Summary'!$Y:$Y,'Threshold Summary'!$L:$L,""))/100)+5)*XLOOKUP(XLOOKUP($Q851,'Threshold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Editor'!$E:$E,1))),stab,IF(OR(mtype=XLOOKUP(XLOOKUP($Q851,'Threshold Summary'!$Y:$Y,'Threshold Summary'!$K:$K,""),'Pokemon Editor'!$A:$A,'Pokemon Editor'!$C:$C,""),mtype=XLOOKUP(XLOOKUP($Q851,'Threshold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Chart'!$B$1:$S$1,0)))),base,IF(OR(cat="Status",pow=0),0,FLOOR(FLOOR(FLOOR((2*XLOOKUP($Q851,'Threshold Summary'!$Y:$Y,'Threshold Summary'!$L:$L,"")/5+2)*pow*atk/def)/50)+2)),modifier,stab*eff,AVERAGE(ARRAYFORMULA(FLOOR(base*modifier*SEQUENCE(16,1,85,1)/100)))),0)</f>
        <v/>
      </c>
      <c r="M851" s="3">
        <f>IFERROR(LET(mtype,XLOOKUP($D851,'Move Editor'!$B:$B,'Move Editor'!$C:$C,""),cat,XLOOKUP($D851,'Move Editor'!$B:$B,'Move Editor'!$D:$D,""),pow,XLOOKUP($D851,'Move Editor'!$B:$B,'Move Editor'!$E:$E,0),acc,XLOOKUP($D851,'Move Editor'!$B:$B,'Move Editor'!$F:$F,100),atk,IF(cat="Physical",FLOOR((FLOOR(((2*XLOOKUP(XLOOKUP($Q851,'Threshold Summary'!$Y:$Y,'Threshold Summary'!$K:$K,""),'Pokemon Editor'!$A:$A,'Pokemon Editor'!$F:$F,0)+31+FLOOR(XLOOKUP($Q851,'Threshold Summary'!$Y:$Y,'Threshold Summary'!$P:$P,"")/4))*XLOOKUP($Q851,'Threshold Summary'!$Y:$Y,'Threshold Summary'!$L:$L,""))/100)+5)*XLOOKUP(XLOOKUP($Q851,'Threshold Summary'!$Y:$Y,'Threshold Summary'!$M:$M,""),'Nature Editor'!$A:$A,'Nature Editor'!$B:$B,1)),FLOOR((FLOOR(((2*XLOOKUP(XLOOKUP($Q851,'Threshold Summary'!$Y:$Y,'Threshold Summary'!$K:$K,""),'Pokemon Editor'!$A:$A,'Pokemon Editor'!$H:$H,0)+31+FLOOR(XLOOKUP($Q851,'Threshold Summary'!$Y:$Y,'Threshold Summary'!$R:$R,"")/4))*XLOOKUP($Q851,'Threshold Summary'!$Y:$Y,'Threshold Summary'!$L:$L,""))/100)+5)*XLOOKUP(XLOOKUP($Q851,'Threshold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Editor'!$E:$E,1))),stab,IF(OR(mtype=XLOOKUP(XLOOKUP($Q851,'Threshold Summary'!$Y:$Y,'Threshold Summary'!$K:$K,""),'Pokemon Editor'!$A:$A,'Pokemon Editor'!$C:$C,""),mtype=XLOOKUP(XLOOKUP($Q851,'Threshold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Chart'!$B$1:$S$1,0)))),base,IF(OR(cat="Status",pow=0),0,FLOOR(FLOOR(FLOOR((2*XLOOKUP($Q851,'Threshold Summary'!$Y:$Y,'Threshold Summary'!$L:$L,"")/5+2)*pow*atk/def)/50)+2)),modifier,stab*eff,AVERAGE(ARRAYFORMULA(FLOOR(base*modifier*SEQUENCE(16,1,85,1)/100)))*MIN(1,acc/100)),0)</f>
        <v/>
      </c>
      <c r="N851" s="4">
        <f>IFERROR(LET(mtype,XLOOKUP($D851,'Move Editor'!$B:$B,'Move Editor'!$C:$C,""),cat,XLOOKUP($D851,'Move Editor'!$B:$B,'Move Editor'!$D:$D,""),pow,XLOOKUP($D851,'Move Editor'!$B:$B,'Move Editor'!$E:$E,0),acc,XLOOKUP($D851,'Move Editor'!$B:$B,'Move Editor'!$F:$F,100),atk,IF(cat="Physical",FLOOR((FLOOR(((2*XLOOKUP(XLOOKUP($Q851,'Threshold Summary'!$Y:$Y,'Threshold Summary'!$K:$K,""),'Pokemon Editor'!$A:$A,'Pokemon Editor'!$F:$F,0)+31+FLOOR(XLOOKUP($Q851,'Threshold Summary'!$Y:$Y,'Threshold Summary'!$P:$P,"")/4))*XLOOKUP($Q851,'Threshold Summary'!$Y:$Y,'Threshold Summary'!$L:$L,""))/100)+5)*XLOOKUP(XLOOKUP($Q851,'Threshold Summary'!$Y:$Y,'Threshold Summary'!$M:$M,""),'Nature Editor'!$A:$A,'Nature Editor'!$B:$B,1)),FLOOR((FLOOR(((2*XLOOKUP(XLOOKUP($Q851,'Threshold Summary'!$Y:$Y,'Threshold Summary'!$K:$K,""),'Pokemon Editor'!$A:$A,'Pokemon Editor'!$H:$H,0)+31+FLOOR(XLOOKUP($Q851,'Threshold Summary'!$Y:$Y,'Threshold Summary'!$R:$R,"")/4))*XLOOKUP($Q851,'Threshold Summary'!$Y:$Y,'Threshold Summary'!$L:$L,""))/100)+5)*XLOOKUP(XLOOKUP($Q851,'Threshold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Editor'!$E:$E,1))),stab,IF(OR(mtype=XLOOKUP(XLOOKUP($Q851,'Threshold Summary'!$Y:$Y,'Threshold Summary'!$K:$K,""),'Pokemon Editor'!$A:$A,'Pokemon Editor'!$C:$C,""),mtype=XLOOKUP(XLOOKUP($Q851,'Threshold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Chart'!$B$1:$S$1,0)))),base,IF(OR(cat="Status",pow=0),0,FLOOR(FLOOR(FLOOR((2*XLOOKUP($Q851,'Threshold Summary'!$Y:$Y,'Threshold Summary'!$L:$L,"")/5+2)*pow*atk/def)/50)+2)),modifier,stab*eff,AVERAGE(ARRAYFORMULA(FLOOR(base*modifier*SEQUENCE(16,1,85,1)/100)))/(FLOOR(((2*XLOOKUP('Boss Editor'!$C$4,'Pokemon Editor'!$A:$A,'Pokemon Editor'!$E:$E,0)+31+FLOOR('Boss Editor'!$G$4/4))*'Boss Editor'!$D$4)/100)+'Boss Editor'!$D$4+10)),0)</f>
        <v/>
      </c>
      <c r="O851" s="3">
        <f>IF(N851&gt;=1,"OHKO",IF(N851&gt;=0.5,"2HKO",IF(N851&gt;=0.333,"3HKO",IF(N851&gt;=0.25,"4HKO","5HKO+"))))</f>
        <v/>
      </c>
      <c r="P851" s="3" t="inlineStr">
        <is>
          <t>Live from editable databases</t>
        </is>
      </c>
      <c r="Q851" s="3" t="inlineStr">
        <is>
          <t>SPECIES_TOXEL</t>
        </is>
      </c>
      <c r="R851" s="3" t="n">
        <v>18</v>
      </c>
    </row>
    <row r="852">
      <c r="A852" s="3">
        <f>XLOOKUP($Q852,'Threshold Summary'!$Y:$Y,'Threshold Summary'!$A:$A,"")</f>
        <v/>
      </c>
      <c r="B852" s="3">
        <f>XLOOKUP($Q852,'Threshold Summary'!$Y:$Y,'Threshold Summary'!$M:$M,"")</f>
        <v/>
      </c>
      <c r="C852" s="3">
        <f>XLOOKUP($Q852,'Threshold Summary'!$Y:$Y,'Threshold Summary'!$N:$N,"")</f>
        <v/>
      </c>
      <c r="D852" s="3">
        <f>IFERROR(INDEX(FILTER('Learnset Editor'!$D$2:$D,'Learnset Editor'!$A$2:$A=XLOOKUP($Q852,'Threshold Summary'!$Y:$Y,'Threshold Summary'!$K:$K,""),'Learnset Editor'!$C$2:$C&lt;=XLOOKUP($Q852,'Threshold Summary'!$Y:$Y,'Threshold Summary'!$L:$L,"")),$R852),"")</f>
        <v/>
      </c>
      <c r="E852" s="3">
        <f>XLOOKUP(D852,'Move Editor'!$B:$B,'Move Editor'!$C:$C,"")</f>
        <v/>
      </c>
      <c r="F852" s="3">
        <f>XLOOKUP(D852,'Move Editor'!$B:$B,'Move Editor'!$D:$D,"")</f>
        <v/>
      </c>
      <c r="G852" s="3">
        <f>XLOOKUP(D852,'Move Editor'!$B:$B,'Move Editor'!$E:$E,0)</f>
        <v/>
      </c>
      <c r="H852" s="3">
        <f>XLOOKUP(D852,'Move Editor'!$B:$B,'Move Editor'!$F:$F,0)</f>
        <v/>
      </c>
      <c r="I852" s="3">
        <f>(INDEX('Type Chart'!$B:$S,MATCH(E852,'Type Chart'!$A:$A,0),MATCH(XLOOKUP('Boss Editor'!$C$4,'Pokemon Editor'!$A:$A,'Pokemon Editor'!$C:$C,""),'Type Chart'!$B$1:$S$1,0))*IF(XLOOKUP('Boss Editor'!$C$4,'Pokemon Editor'!$A:$A,'Pokemon Editor'!$D:$D,"")="",1,INDEX('Type Chart'!$B:$S,MATCH(E852,'Type Chart'!$A:$A,0),MATCH(XLOOKUP('Boss Editor'!$C$4,'Pokemon Editor'!$A:$A,'Pokemon Editor'!$D:$D,""),'Type Chart'!$B$1:$S$1,0))))</f>
        <v/>
      </c>
      <c r="J852" s="3">
        <f>IFERROR(LET(mtype,XLOOKUP($D852,'Move Editor'!$B:$B,'Move Editor'!$C:$C,""),cat,XLOOKUP($D852,'Move Editor'!$B:$B,'Move Editor'!$D:$D,""),pow,XLOOKUP($D852,'Move Editor'!$B:$B,'Move Editor'!$E:$E,0),acc,XLOOKUP($D852,'Move Editor'!$B:$B,'Move Editor'!$F:$F,100),atk,IF(cat="Physical",FLOOR((FLOOR(((2*XLOOKUP(XLOOKUP($Q852,'Threshold Summary'!$Y:$Y,'Threshold Summary'!$K:$K,""),'Pokemon Editor'!$A:$A,'Pokemon Editor'!$F:$F,0)+31+FLOOR(XLOOKUP($Q852,'Threshold Summary'!$Y:$Y,'Threshold Summary'!$P:$P,"")/4))*XLOOKUP($Q852,'Threshold Summary'!$Y:$Y,'Threshold Summary'!$L:$L,""))/100)+5)*XLOOKUP(XLOOKUP($Q852,'Threshold Summary'!$Y:$Y,'Threshold Summary'!$M:$M,""),'Nature Editor'!$A:$A,'Nature Editor'!$B:$B,1)),FLOOR((FLOOR(((2*XLOOKUP(XLOOKUP($Q852,'Threshold Summary'!$Y:$Y,'Threshold Summary'!$K:$K,""),'Pokemon Editor'!$A:$A,'Pokemon Editor'!$H:$H,0)+31+FLOOR(XLOOKUP($Q852,'Threshold Summary'!$Y:$Y,'Threshold Summary'!$R:$R,"")/4))*XLOOKUP($Q852,'Threshold Summary'!$Y:$Y,'Threshold Summary'!$L:$L,""))/100)+5)*XLOOKUP(XLOOKUP($Q852,'Threshold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Editor'!$E:$E,1))),stab,IF(OR(mtype=XLOOKUP(XLOOKUP($Q852,'Threshold Summary'!$Y:$Y,'Threshold Summary'!$K:$K,""),'Pokemon Editor'!$A:$A,'Pokemon Editor'!$C:$C,""),mtype=XLOOKUP(XLOOKUP($Q852,'Threshold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Chart'!$B$1:$S$1,0)))),base,IF(OR(cat="Status",pow=0),0,FLOOR(FLOOR(FLOOR((2*XLOOKUP($Q852,'Threshold Summary'!$Y:$Y,'Threshold Summary'!$L:$L,"")/5+2)*pow*atk/def)/50)+2)),modifier,stab*eff,FLOOR(base*modifier*0.85)),0)</f>
        <v/>
      </c>
      <c r="K852" s="3">
        <f>IFERROR(LET(mtype,XLOOKUP($D852,'Move Editor'!$B:$B,'Move Editor'!$C:$C,""),cat,XLOOKUP($D852,'Move Editor'!$B:$B,'Move Editor'!$D:$D,""),pow,XLOOKUP($D852,'Move Editor'!$B:$B,'Move Editor'!$E:$E,0),acc,XLOOKUP($D852,'Move Editor'!$B:$B,'Move Editor'!$F:$F,100),atk,IF(cat="Physical",FLOOR((FLOOR(((2*XLOOKUP(XLOOKUP($Q852,'Threshold Summary'!$Y:$Y,'Threshold Summary'!$K:$K,""),'Pokemon Editor'!$A:$A,'Pokemon Editor'!$F:$F,0)+31+FLOOR(XLOOKUP($Q852,'Threshold Summary'!$Y:$Y,'Threshold Summary'!$P:$P,"")/4))*XLOOKUP($Q852,'Threshold Summary'!$Y:$Y,'Threshold Summary'!$L:$L,""))/100)+5)*XLOOKUP(XLOOKUP($Q852,'Threshold Summary'!$Y:$Y,'Threshold Summary'!$M:$M,""),'Nature Editor'!$A:$A,'Nature Editor'!$B:$B,1)),FLOOR((FLOOR(((2*XLOOKUP(XLOOKUP($Q852,'Threshold Summary'!$Y:$Y,'Threshold Summary'!$K:$K,""),'Pokemon Editor'!$A:$A,'Pokemon Editor'!$H:$H,0)+31+FLOOR(XLOOKUP($Q852,'Threshold Summary'!$Y:$Y,'Threshold Summary'!$R:$R,"")/4))*XLOOKUP($Q852,'Threshold Summary'!$Y:$Y,'Threshold Summary'!$L:$L,""))/100)+5)*XLOOKUP(XLOOKUP($Q852,'Threshold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Editor'!$E:$E,1))),stab,IF(OR(mtype=XLOOKUP(XLOOKUP($Q852,'Threshold Summary'!$Y:$Y,'Threshold Summary'!$K:$K,""),'Pokemon Editor'!$A:$A,'Pokemon Editor'!$C:$C,""),mtype=XLOOKUP(XLOOKUP($Q852,'Threshold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Chart'!$B$1:$S$1,0)))),base,IF(OR(cat="Status",pow=0),0,FLOOR(FLOOR(FLOOR((2*XLOOKUP($Q852,'Threshold Summary'!$Y:$Y,'Threshold Summary'!$L:$L,"")/5+2)*pow*atk/def)/50)+2)),modifier,stab*eff,FLOOR(base*modifier)),0)</f>
        <v/>
      </c>
      <c r="L852" s="3">
        <f>IFERROR(LET(mtype,XLOOKUP($D852,'Move Editor'!$B:$B,'Move Editor'!$C:$C,""),cat,XLOOKUP($D852,'Move Editor'!$B:$B,'Move Editor'!$D:$D,""),pow,XLOOKUP($D852,'Move Editor'!$B:$B,'Move Editor'!$E:$E,0),acc,XLOOKUP($D852,'Move Editor'!$B:$B,'Move Editor'!$F:$F,100),atk,IF(cat="Physical",FLOOR((FLOOR(((2*XLOOKUP(XLOOKUP($Q852,'Threshold Summary'!$Y:$Y,'Threshold Summary'!$K:$K,""),'Pokemon Editor'!$A:$A,'Pokemon Editor'!$F:$F,0)+31+FLOOR(XLOOKUP($Q852,'Threshold Summary'!$Y:$Y,'Threshold Summary'!$P:$P,"")/4))*XLOOKUP($Q852,'Threshold Summary'!$Y:$Y,'Threshold Summary'!$L:$L,""))/100)+5)*XLOOKUP(XLOOKUP($Q852,'Threshold Summary'!$Y:$Y,'Threshold Summary'!$M:$M,""),'Nature Editor'!$A:$A,'Nature Editor'!$B:$B,1)),FLOOR((FLOOR(((2*XLOOKUP(XLOOKUP($Q852,'Threshold Summary'!$Y:$Y,'Threshold Summary'!$K:$K,""),'Pokemon Editor'!$A:$A,'Pokemon Editor'!$H:$H,0)+31+FLOOR(XLOOKUP($Q852,'Threshold Summary'!$Y:$Y,'Threshold Summary'!$R:$R,"")/4))*XLOOKUP($Q852,'Threshold Summary'!$Y:$Y,'Threshold Summary'!$L:$L,""))/100)+5)*XLOOKUP(XLOOKUP($Q852,'Threshold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Editor'!$E:$E,1))),stab,IF(OR(mtype=XLOOKUP(XLOOKUP($Q852,'Threshold Summary'!$Y:$Y,'Threshold Summary'!$K:$K,""),'Pokemon Editor'!$A:$A,'Pokemon Editor'!$C:$C,""),mtype=XLOOKUP(XLOOKUP($Q852,'Threshold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Chart'!$B$1:$S$1,0)))),base,IF(OR(cat="Status",pow=0),0,FLOOR(FLOOR(FLOOR((2*XLOOKUP($Q852,'Threshold Summary'!$Y:$Y,'Threshold Summary'!$L:$L,"")/5+2)*pow*atk/def)/50)+2)),modifier,stab*eff,AVERAGE(ARRAYFORMULA(FLOOR(base*modifier*SEQUENCE(16,1,85,1)/100)))),0)</f>
        <v/>
      </c>
      <c r="M852" s="3">
        <f>IFERROR(LET(mtype,XLOOKUP($D852,'Move Editor'!$B:$B,'Move Editor'!$C:$C,""),cat,XLOOKUP($D852,'Move Editor'!$B:$B,'Move Editor'!$D:$D,""),pow,XLOOKUP($D852,'Move Editor'!$B:$B,'Move Editor'!$E:$E,0),acc,XLOOKUP($D852,'Move Editor'!$B:$B,'Move Editor'!$F:$F,100),atk,IF(cat="Physical",FLOOR((FLOOR(((2*XLOOKUP(XLOOKUP($Q852,'Threshold Summary'!$Y:$Y,'Threshold Summary'!$K:$K,""),'Pokemon Editor'!$A:$A,'Pokemon Editor'!$F:$F,0)+31+FLOOR(XLOOKUP($Q852,'Threshold Summary'!$Y:$Y,'Threshold Summary'!$P:$P,"")/4))*XLOOKUP($Q852,'Threshold Summary'!$Y:$Y,'Threshold Summary'!$L:$L,""))/100)+5)*XLOOKUP(XLOOKUP($Q852,'Threshold Summary'!$Y:$Y,'Threshold Summary'!$M:$M,""),'Nature Editor'!$A:$A,'Nature Editor'!$B:$B,1)),FLOOR((FLOOR(((2*XLOOKUP(XLOOKUP($Q852,'Threshold Summary'!$Y:$Y,'Threshold Summary'!$K:$K,""),'Pokemon Editor'!$A:$A,'Pokemon Editor'!$H:$H,0)+31+FLOOR(XLOOKUP($Q852,'Threshold Summary'!$Y:$Y,'Threshold Summary'!$R:$R,"")/4))*XLOOKUP($Q852,'Threshold Summary'!$Y:$Y,'Threshold Summary'!$L:$L,""))/100)+5)*XLOOKUP(XLOOKUP($Q852,'Threshold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Editor'!$E:$E,1))),stab,IF(OR(mtype=XLOOKUP(XLOOKUP($Q852,'Threshold Summary'!$Y:$Y,'Threshold Summary'!$K:$K,""),'Pokemon Editor'!$A:$A,'Pokemon Editor'!$C:$C,""),mtype=XLOOKUP(XLOOKUP($Q852,'Threshold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Chart'!$B$1:$S$1,0)))),base,IF(OR(cat="Status",pow=0),0,FLOOR(FLOOR(FLOOR((2*XLOOKUP($Q852,'Threshold Summary'!$Y:$Y,'Threshold Summary'!$L:$L,"")/5+2)*pow*atk/def)/50)+2)),modifier,stab*eff,AVERAGE(ARRAYFORMULA(FLOOR(base*modifier*SEQUENCE(16,1,85,1)/100)))*MIN(1,acc/100)),0)</f>
        <v/>
      </c>
      <c r="N852" s="4">
        <f>IFERROR(LET(mtype,XLOOKUP($D852,'Move Editor'!$B:$B,'Move Editor'!$C:$C,""),cat,XLOOKUP($D852,'Move Editor'!$B:$B,'Move Editor'!$D:$D,""),pow,XLOOKUP($D852,'Move Editor'!$B:$B,'Move Editor'!$E:$E,0),acc,XLOOKUP($D852,'Move Editor'!$B:$B,'Move Editor'!$F:$F,100),atk,IF(cat="Physical",FLOOR((FLOOR(((2*XLOOKUP(XLOOKUP($Q852,'Threshold Summary'!$Y:$Y,'Threshold Summary'!$K:$K,""),'Pokemon Editor'!$A:$A,'Pokemon Editor'!$F:$F,0)+31+FLOOR(XLOOKUP($Q852,'Threshold Summary'!$Y:$Y,'Threshold Summary'!$P:$P,"")/4))*XLOOKUP($Q852,'Threshold Summary'!$Y:$Y,'Threshold Summary'!$L:$L,""))/100)+5)*XLOOKUP(XLOOKUP($Q852,'Threshold Summary'!$Y:$Y,'Threshold Summary'!$M:$M,""),'Nature Editor'!$A:$A,'Nature Editor'!$B:$B,1)),FLOOR((FLOOR(((2*XLOOKUP(XLOOKUP($Q852,'Threshold Summary'!$Y:$Y,'Threshold Summary'!$K:$K,""),'Pokemon Editor'!$A:$A,'Pokemon Editor'!$H:$H,0)+31+FLOOR(XLOOKUP($Q852,'Threshold Summary'!$Y:$Y,'Threshold Summary'!$R:$R,"")/4))*XLOOKUP($Q852,'Threshold Summary'!$Y:$Y,'Threshold Summary'!$L:$L,""))/100)+5)*XLOOKUP(XLOOKUP($Q852,'Threshold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Editor'!$E:$E,1))),stab,IF(OR(mtype=XLOOKUP(XLOOKUP($Q852,'Threshold Summary'!$Y:$Y,'Threshold Summary'!$K:$K,""),'Pokemon Editor'!$A:$A,'Pokemon Editor'!$C:$C,""),mtype=XLOOKUP(XLOOKUP($Q852,'Threshold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Chart'!$B$1:$S$1,0)))),base,IF(OR(cat="Status",pow=0),0,FLOOR(FLOOR(FLOOR((2*XLOOKUP($Q852,'Threshold Summary'!$Y:$Y,'Threshold Summary'!$L:$L,"")/5+2)*pow*atk/def)/50)+2)),modifier,stab*eff,AVERAGE(ARRAYFORMULA(FLOOR(base*modifier*SEQUENCE(16,1,85,1)/100)))/(FLOOR(((2*XLOOKUP('Boss Editor'!$C$4,'Pokemon Editor'!$A:$A,'Pokemon Editor'!$E:$E,0)+31+FLOOR('Boss Editor'!$G$4/4))*'Boss Editor'!$D$4)/100)+'Boss Editor'!$D$4+10)),0)</f>
        <v/>
      </c>
      <c r="O852" s="3">
        <f>IF(N852&gt;=1,"OHKO",IF(N852&gt;=0.5,"2HKO",IF(N852&gt;=0.333,"3HKO",IF(N852&gt;=0.25,"4HKO","5HKO+"))))</f>
        <v/>
      </c>
      <c r="P852" s="3" t="inlineStr">
        <is>
          <t>Live from editable databases</t>
        </is>
      </c>
      <c r="Q852" s="3" t="inlineStr">
        <is>
          <t>SPECIES_TOXEL</t>
        </is>
      </c>
      <c r="R852" s="3" t="n">
        <v>19</v>
      </c>
    </row>
    <row r="853">
      <c r="A853" s="3">
        <f>XLOOKUP($Q853,'Threshold Summary'!$Y:$Y,'Threshold Summary'!$A:$A,"")</f>
        <v/>
      </c>
      <c r="B853" s="3">
        <f>XLOOKUP($Q853,'Threshold Summary'!$Y:$Y,'Threshold Summary'!$M:$M,"")</f>
        <v/>
      </c>
      <c r="C853" s="3">
        <f>XLOOKUP($Q853,'Threshold Summary'!$Y:$Y,'Threshold Summary'!$N:$N,"")</f>
        <v/>
      </c>
      <c r="D853" s="3">
        <f>IFERROR(INDEX(FILTER('Learnset Editor'!$D$2:$D,'Learnset Editor'!$A$2:$A=XLOOKUP($Q853,'Threshold Summary'!$Y:$Y,'Threshold Summary'!$K:$K,""),'Learnset Editor'!$C$2:$C&lt;=XLOOKUP($Q853,'Threshold Summary'!$Y:$Y,'Threshold Summary'!$L:$L,"")),$R853),"")</f>
        <v/>
      </c>
      <c r="E853" s="3">
        <f>XLOOKUP(D853,'Move Editor'!$B:$B,'Move Editor'!$C:$C,"")</f>
        <v/>
      </c>
      <c r="F853" s="3">
        <f>XLOOKUP(D853,'Move Editor'!$B:$B,'Move Editor'!$D:$D,"")</f>
        <v/>
      </c>
      <c r="G853" s="3">
        <f>XLOOKUP(D853,'Move Editor'!$B:$B,'Move Editor'!$E:$E,0)</f>
        <v/>
      </c>
      <c r="H853" s="3">
        <f>XLOOKUP(D853,'Move Editor'!$B:$B,'Move Editor'!$F:$F,0)</f>
        <v/>
      </c>
      <c r="I853" s="3">
        <f>(INDEX('Type Chart'!$B:$S,MATCH(E853,'Type Chart'!$A:$A,0),MATCH(XLOOKUP('Boss Editor'!$C$4,'Pokemon Editor'!$A:$A,'Pokemon Editor'!$C:$C,""),'Type Chart'!$B$1:$S$1,0))*IF(XLOOKUP('Boss Editor'!$C$4,'Pokemon Editor'!$A:$A,'Pokemon Editor'!$D:$D,"")="",1,INDEX('Type Chart'!$B:$S,MATCH(E853,'Type Chart'!$A:$A,0),MATCH(XLOOKUP('Boss Editor'!$C$4,'Pokemon Editor'!$A:$A,'Pokemon Editor'!$D:$D,""),'Type Chart'!$B$1:$S$1,0))))</f>
        <v/>
      </c>
      <c r="J853" s="3">
        <f>IFERROR(LET(mtype,XLOOKUP($D853,'Move Editor'!$B:$B,'Move Editor'!$C:$C,""),cat,XLOOKUP($D853,'Move Editor'!$B:$B,'Move Editor'!$D:$D,""),pow,XLOOKUP($D853,'Move Editor'!$B:$B,'Move Editor'!$E:$E,0),acc,XLOOKUP($D853,'Move Editor'!$B:$B,'Move Editor'!$F:$F,100),atk,IF(cat="Physical",FLOOR((FLOOR(((2*XLOOKUP(XLOOKUP($Q853,'Threshold Summary'!$Y:$Y,'Threshold Summary'!$K:$K,""),'Pokemon Editor'!$A:$A,'Pokemon Editor'!$F:$F,0)+31+FLOOR(XLOOKUP($Q853,'Threshold Summary'!$Y:$Y,'Threshold Summary'!$P:$P,"")/4))*XLOOKUP($Q853,'Threshold Summary'!$Y:$Y,'Threshold Summary'!$L:$L,""))/100)+5)*XLOOKUP(XLOOKUP($Q853,'Threshold Summary'!$Y:$Y,'Threshold Summary'!$M:$M,""),'Nature Editor'!$A:$A,'Nature Editor'!$B:$B,1)),FLOOR((FLOOR(((2*XLOOKUP(XLOOKUP($Q853,'Threshold Summary'!$Y:$Y,'Threshold Summary'!$K:$K,""),'Pokemon Editor'!$A:$A,'Pokemon Editor'!$H:$H,0)+31+FLOOR(XLOOKUP($Q853,'Threshold Summary'!$Y:$Y,'Threshold Summary'!$R:$R,"")/4))*XLOOKUP($Q853,'Threshold Summary'!$Y:$Y,'Threshold Summary'!$L:$L,""))/100)+5)*XLOOKUP(XLOOKUP($Q853,'Threshold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Editor'!$E:$E,1))),stab,IF(OR(mtype=XLOOKUP(XLOOKUP($Q853,'Threshold Summary'!$Y:$Y,'Threshold Summary'!$K:$K,""),'Pokemon Editor'!$A:$A,'Pokemon Editor'!$C:$C,""),mtype=XLOOKUP(XLOOKUP($Q853,'Threshold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Chart'!$B$1:$S$1,0)))),base,IF(OR(cat="Status",pow=0),0,FLOOR(FLOOR(FLOOR((2*XLOOKUP($Q853,'Threshold Summary'!$Y:$Y,'Threshold Summary'!$L:$L,"")/5+2)*pow*atk/def)/50)+2)),modifier,stab*eff,FLOOR(base*modifier*0.85)),0)</f>
        <v/>
      </c>
      <c r="K853" s="3">
        <f>IFERROR(LET(mtype,XLOOKUP($D853,'Move Editor'!$B:$B,'Move Editor'!$C:$C,""),cat,XLOOKUP($D853,'Move Editor'!$B:$B,'Move Editor'!$D:$D,""),pow,XLOOKUP($D853,'Move Editor'!$B:$B,'Move Editor'!$E:$E,0),acc,XLOOKUP($D853,'Move Editor'!$B:$B,'Move Editor'!$F:$F,100),atk,IF(cat="Physical",FLOOR((FLOOR(((2*XLOOKUP(XLOOKUP($Q853,'Threshold Summary'!$Y:$Y,'Threshold Summary'!$K:$K,""),'Pokemon Editor'!$A:$A,'Pokemon Editor'!$F:$F,0)+31+FLOOR(XLOOKUP($Q853,'Threshold Summary'!$Y:$Y,'Threshold Summary'!$P:$P,"")/4))*XLOOKUP($Q853,'Threshold Summary'!$Y:$Y,'Threshold Summary'!$L:$L,""))/100)+5)*XLOOKUP(XLOOKUP($Q853,'Threshold Summary'!$Y:$Y,'Threshold Summary'!$M:$M,""),'Nature Editor'!$A:$A,'Nature Editor'!$B:$B,1)),FLOOR((FLOOR(((2*XLOOKUP(XLOOKUP($Q853,'Threshold Summary'!$Y:$Y,'Threshold Summary'!$K:$K,""),'Pokemon Editor'!$A:$A,'Pokemon Editor'!$H:$H,0)+31+FLOOR(XLOOKUP($Q853,'Threshold Summary'!$Y:$Y,'Threshold Summary'!$R:$R,"")/4))*XLOOKUP($Q853,'Threshold Summary'!$Y:$Y,'Threshold Summary'!$L:$L,""))/100)+5)*XLOOKUP(XLOOKUP($Q853,'Threshold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Editor'!$E:$E,1))),stab,IF(OR(mtype=XLOOKUP(XLOOKUP($Q853,'Threshold Summary'!$Y:$Y,'Threshold Summary'!$K:$K,""),'Pokemon Editor'!$A:$A,'Pokemon Editor'!$C:$C,""),mtype=XLOOKUP(XLOOKUP($Q853,'Threshold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Chart'!$B$1:$S$1,0)))),base,IF(OR(cat="Status",pow=0),0,FLOOR(FLOOR(FLOOR((2*XLOOKUP($Q853,'Threshold Summary'!$Y:$Y,'Threshold Summary'!$L:$L,"")/5+2)*pow*atk/def)/50)+2)),modifier,stab*eff,FLOOR(base*modifier)),0)</f>
        <v/>
      </c>
      <c r="L853" s="3">
        <f>IFERROR(LET(mtype,XLOOKUP($D853,'Move Editor'!$B:$B,'Move Editor'!$C:$C,""),cat,XLOOKUP($D853,'Move Editor'!$B:$B,'Move Editor'!$D:$D,""),pow,XLOOKUP($D853,'Move Editor'!$B:$B,'Move Editor'!$E:$E,0),acc,XLOOKUP($D853,'Move Editor'!$B:$B,'Move Editor'!$F:$F,100),atk,IF(cat="Physical",FLOOR((FLOOR(((2*XLOOKUP(XLOOKUP($Q853,'Threshold Summary'!$Y:$Y,'Threshold Summary'!$K:$K,""),'Pokemon Editor'!$A:$A,'Pokemon Editor'!$F:$F,0)+31+FLOOR(XLOOKUP($Q853,'Threshold Summary'!$Y:$Y,'Threshold Summary'!$P:$P,"")/4))*XLOOKUP($Q853,'Threshold Summary'!$Y:$Y,'Threshold Summary'!$L:$L,""))/100)+5)*XLOOKUP(XLOOKUP($Q853,'Threshold Summary'!$Y:$Y,'Threshold Summary'!$M:$M,""),'Nature Editor'!$A:$A,'Nature Editor'!$B:$B,1)),FLOOR((FLOOR(((2*XLOOKUP(XLOOKUP($Q853,'Threshold Summary'!$Y:$Y,'Threshold Summary'!$K:$K,""),'Pokemon Editor'!$A:$A,'Pokemon Editor'!$H:$H,0)+31+FLOOR(XLOOKUP($Q853,'Threshold Summary'!$Y:$Y,'Threshold Summary'!$R:$R,"")/4))*XLOOKUP($Q853,'Threshold Summary'!$Y:$Y,'Threshold Summary'!$L:$L,""))/100)+5)*XLOOKUP(XLOOKUP($Q853,'Threshold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Editor'!$E:$E,1))),stab,IF(OR(mtype=XLOOKUP(XLOOKUP($Q853,'Threshold Summary'!$Y:$Y,'Threshold Summary'!$K:$K,""),'Pokemon Editor'!$A:$A,'Pokemon Editor'!$C:$C,""),mtype=XLOOKUP(XLOOKUP($Q853,'Threshold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Chart'!$B$1:$S$1,0)))),base,IF(OR(cat="Status",pow=0),0,FLOOR(FLOOR(FLOOR((2*XLOOKUP($Q853,'Threshold Summary'!$Y:$Y,'Threshold Summary'!$L:$L,"")/5+2)*pow*atk/def)/50)+2)),modifier,stab*eff,AVERAGE(ARRAYFORMULA(FLOOR(base*modifier*SEQUENCE(16,1,85,1)/100)))),0)</f>
        <v/>
      </c>
      <c r="M853" s="3">
        <f>IFERROR(LET(mtype,XLOOKUP($D853,'Move Editor'!$B:$B,'Move Editor'!$C:$C,""),cat,XLOOKUP($D853,'Move Editor'!$B:$B,'Move Editor'!$D:$D,""),pow,XLOOKUP($D853,'Move Editor'!$B:$B,'Move Editor'!$E:$E,0),acc,XLOOKUP($D853,'Move Editor'!$B:$B,'Move Editor'!$F:$F,100),atk,IF(cat="Physical",FLOOR((FLOOR(((2*XLOOKUP(XLOOKUP($Q853,'Threshold Summary'!$Y:$Y,'Threshold Summary'!$K:$K,""),'Pokemon Editor'!$A:$A,'Pokemon Editor'!$F:$F,0)+31+FLOOR(XLOOKUP($Q853,'Threshold Summary'!$Y:$Y,'Threshold Summary'!$P:$P,"")/4))*XLOOKUP($Q853,'Threshold Summary'!$Y:$Y,'Threshold Summary'!$L:$L,""))/100)+5)*XLOOKUP(XLOOKUP($Q853,'Threshold Summary'!$Y:$Y,'Threshold Summary'!$M:$M,""),'Nature Editor'!$A:$A,'Nature Editor'!$B:$B,1)),FLOOR((FLOOR(((2*XLOOKUP(XLOOKUP($Q853,'Threshold Summary'!$Y:$Y,'Threshold Summary'!$K:$K,""),'Pokemon Editor'!$A:$A,'Pokemon Editor'!$H:$H,0)+31+FLOOR(XLOOKUP($Q853,'Threshold Summary'!$Y:$Y,'Threshold Summary'!$R:$R,"")/4))*XLOOKUP($Q853,'Threshold Summary'!$Y:$Y,'Threshold Summary'!$L:$L,""))/100)+5)*XLOOKUP(XLOOKUP($Q853,'Threshold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Editor'!$E:$E,1))),stab,IF(OR(mtype=XLOOKUP(XLOOKUP($Q853,'Threshold Summary'!$Y:$Y,'Threshold Summary'!$K:$K,""),'Pokemon Editor'!$A:$A,'Pokemon Editor'!$C:$C,""),mtype=XLOOKUP(XLOOKUP($Q853,'Threshold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Chart'!$B$1:$S$1,0)))),base,IF(OR(cat="Status",pow=0),0,FLOOR(FLOOR(FLOOR((2*XLOOKUP($Q853,'Threshold Summary'!$Y:$Y,'Threshold Summary'!$L:$L,"")/5+2)*pow*atk/def)/50)+2)),modifier,stab*eff,AVERAGE(ARRAYFORMULA(FLOOR(base*modifier*SEQUENCE(16,1,85,1)/100)))*MIN(1,acc/100)),0)</f>
        <v/>
      </c>
      <c r="N853" s="4">
        <f>IFERROR(LET(mtype,XLOOKUP($D853,'Move Editor'!$B:$B,'Move Editor'!$C:$C,""),cat,XLOOKUP($D853,'Move Editor'!$B:$B,'Move Editor'!$D:$D,""),pow,XLOOKUP($D853,'Move Editor'!$B:$B,'Move Editor'!$E:$E,0),acc,XLOOKUP($D853,'Move Editor'!$B:$B,'Move Editor'!$F:$F,100),atk,IF(cat="Physical",FLOOR((FLOOR(((2*XLOOKUP(XLOOKUP($Q853,'Threshold Summary'!$Y:$Y,'Threshold Summary'!$K:$K,""),'Pokemon Editor'!$A:$A,'Pokemon Editor'!$F:$F,0)+31+FLOOR(XLOOKUP($Q853,'Threshold Summary'!$Y:$Y,'Threshold Summary'!$P:$P,"")/4))*XLOOKUP($Q853,'Threshold Summary'!$Y:$Y,'Threshold Summary'!$L:$L,""))/100)+5)*XLOOKUP(XLOOKUP($Q853,'Threshold Summary'!$Y:$Y,'Threshold Summary'!$M:$M,""),'Nature Editor'!$A:$A,'Nature Editor'!$B:$B,1)),FLOOR((FLOOR(((2*XLOOKUP(XLOOKUP($Q853,'Threshold Summary'!$Y:$Y,'Threshold Summary'!$K:$K,""),'Pokemon Editor'!$A:$A,'Pokemon Editor'!$H:$H,0)+31+FLOOR(XLOOKUP($Q853,'Threshold Summary'!$Y:$Y,'Threshold Summary'!$R:$R,"")/4))*XLOOKUP($Q853,'Threshold Summary'!$Y:$Y,'Threshold Summary'!$L:$L,""))/100)+5)*XLOOKUP(XLOOKUP($Q853,'Threshold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Editor'!$E:$E,1))),stab,IF(OR(mtype=XLOOKUP(XLOOKUP($Q853,'Threshold Summary'!$Y:$Y,'Threshold Summary'!$K:$K,""),'Pokemon Editor'!$A:$A,'Pokemon Editor'!$C:$C,""),mtype=XLOOKUP(XLOOKUP($Q853,'Threshold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Chart'!$B$1:$S$1,0)))),base,IF(OR(cat="Status",pow=0),0,FLOOR(FLOOR(FLOOR((2*XLOOKUP($Q853,'Threshold Summary'!$Y:$Y,'Threshold Summary'!$L:$L,"")/5+2)*pow*atk/def)/50)+2)),modifier,stab*eff,AVERAGE(ARRAYFORMULA(FLOOR(base*modifier*SEQUENCE(16,1,85,1)/100)))/(FLOOR(((2*XLOOKUP('Boss Editor'!$C$4,'Pokemon Editor'!$A:$A,'Pokemon Editor'!$E:$E,0)+31+FLOOR('Boss Editor'!$G$4/4))*'Boss Editor'!$D$4)/100)+'Boss Editor'!$D$4+10)),0)</f>
        <v/>
      </c>
      <c r="O853" s="3">
        <f>IF(N853&gt;=1,"OHKO",IF(N853&gt;=0.5,"2HKO",IF(N853&gt;=0.333,"3HKO",IF(N853&gt;=0.25,"4HKO","5HKO+"))))</f>
        <v/>
      </c>
      <c r="P853" s="3" t="inlineStr">
        <is>
          <t>Live from editable databases</t>
        </is>
      </c>
      <c r="Q853" s="3" t="inlineStr">
        <is>
          <t>SPECIES_TOXEL</t>
        </is>
      </c>
      <c r="R853" s="3" t="n">
        <v>20</v>
      </c>
    </row>
    <row r="854">
      <c r="A854" s="3">
        <f>XLOOKUP($Q854,'Threshold Summary'!$Y:$Y,'Threshold Summary'!$A:$A,"")</f>
        <v/>
      </c>
      <c r="B854" s="3">
        <f>XLOOKUP($Q854,'Threshold Summary'!$Y:$Y,'Threshold Summary'!$M:$M,"")</f>
        <v/>
      </c>
      <c r="C854" s="3">
        <f>XLOOKUP($Q854,'Threshold Summary'!$Y:$Y,'Threshold Summary'!$N:$N,"")</f>
        <v/>
      </c>
      <c r="D854" s="3">
        <f>IFERROR(INDEX(FILTER('Learnset Editor'!$D$2:$D,'Learnset Editor'!$A$2:$A=XLOOKUP($Q854,'Threshold Summary'!$Y:$Y,'Threshold Summary'!$K:$K,""),'Learnset Editor'!$C$2:$C&lt;=XLOOKUP($Q854,'Threshold Summary'!$Y:$Y,'Threshold Summary'!$L:$L,"")),$R854),"")</f>
        <v/>
      </c>
      <c r="E854" s="3">
        <f>XLOOKUP(D854,'Move Editor'!$B:$B,'Move Editor'!$C:$C,"")</f>
        <v/>
      </c>
      <c r="F854" s="3">
        <f>XLOOKUP(D854,'Move Editor'!$B:$B,'Move Editor'!$D:$D,"")</f>
        <v/>
      </c>
      <c r="G854" s="3">
        <f>XLOOKUP(D854,'Move Editor'!$B:$B,'Move Editor'!$E:$E,0)</f>
        <v/>
      </c>
      <c r="H854" s="3">
        <f>XLOOKUP(D854,'Move Editor'!$B:$B,'Move Editor'!$F:$F,0)</f>
        <v/>
      </c>
      <c r="I854" s="3">
        <f>(INDEX('Type Chart'!$B:$S,MATCH(E854,'Type Chart'!$A:$A,0),MATCH(XLOOKUP('Boss Editor'!$C$4,'Pokemon Editor'!$A:$A,'Pokemon Editor'!$C:$C,""),'Type Chart'!$B$1:$S$1,0))*IF(XLOOKUP('Boss Editor'!$C$4,'Pokemon Editor'!$A:$A,'Pokemon Editor'!$D:$D,"")="",1,INDEX('Type Chart'!$B:$S,MATCH(E854,'Type Chart'!$A:$A,0),MATCH(XLOOKUP('Boss Editor'!$C$4,'Pokemon Editor'!$A:$A,'Pokemon Editor'!$D:$D,""),'Type Chart'!$B$1:$S$1,0))))</f>
        <v/>
      </c>
      <c r="J854" s="3">
        <f>IFERROR(LET(mtype,XLOOKUP($D854,'Move Editor'!$B:$B,'Move Editor'!$C:$C,""),cat,XLOOKUP($D854,'Move Editor'!$B:$B,'Move Editor'!$D:$D,""),pow,XLOOKUP($D854,'Move Editor'!$B:$B,'Move Editor'!$E:$E,0),acc,XLOOKUP($D854,'Move Editor'!$B:$B,'Move Editor'!$F:$F,100),atk,IF(cat="Physical",FLOOR((FLOOR(((2*XLOOKUP(XLOOKUP($Q854,'Threshold Summary'!$Y:$Y,'Threshold Summary'!$K:$K,""),'Pokemon Editor'!$A:$A,'Pokemon Editor'!$F:$F,0)+31+FLOOR(XLOOKUP($Q854,'Threshold Summary'!$Y:$Y,'Threshold Summary'!$P:$P,"")/4))*XLOOKUP($Q854,'Threshold Summary'!$Y:$Y,'Threshold Summary'!$L:$L,""))/100)+5)*XLOOKUP(XLOOKUP($Q854,'Threshold Summary'!$Y:$Y,'Threshold Summary'!$M:$M,""),'Nature Editor'!$A:$A,'Nature Editor'!$B:$B,1)),FLOOR((FLOOR(((2*XLOOKUP(XLOOKUP($Q854,'Threshold Summary'!$Y:$Y,'Threshold Summary'!$K:$K,""),'Pokemon Editor'!$A:$A,'Pokemon Editor'!$H:$H,0)+31+FLOOR(XLOOKUP($Q854,'Threshold Summary'!$Y:$Y,'Threshold Summary'!$R:$R,"")/4))*XLOOKUP($Q854,'Threshold Summary'!$Y:$Y,'Threshold Summary'!$L:$L,""))/100)+5)*XLOOKUP(XLOOKUP($Q854,'Threshold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Editor'!$E:$E,1))),stab,IF(OR(mtype=XLOOKUP(XLOOKUP($Q854,'Threshold Summary'!$Y:$Y,'Threshold Summary'!$K:$K,""),'Pokemon Editor'!$A:$A,'Pokemon Editor'!$C:$C,""),mtype=XLOOKUP(XLOOKUP($Q854,'Threshold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Chart'!$B$1:$S$1,0)))),base,IF(OR(cat="Status",pow=0),0,FLOOR(FLOOR(FLOOR((2*XLOOKUP($Q854,'Threshold Summary'!$Y:$Y,'Threshold Summary'!$L:$L,"")/5+2)*pow*atk/def)/50)+2)),modifier,stab*eff,FLOOR(base*modifier*0.85)),0)</f>
        <v/>
      </c>
      <c r="K854" s="3">
        <f>IFERROR(LET(mtype,XLOOKUP($D854,'Move Editor'!$B:$B,'Move Editor'!$C:$C,""),cat,XLOOKUP($D854,'Move Editor'!$B:$B,'Move Editor'!$D:$D,""),pow,XLOOKUP($D854,'Move Editor'!$B:$B,'Move Editor'!$E:$E,0),acc,XLOOKUP($D854,'Move Editor'!$B:$B,'Move Editor'!$F:$F,100),atk,IF(cat="Physical",FLOOR((FLOOR(((2*XLOOKUP(XLOOKUP($Q854,'Threshold Summary'!$Y:$Y,'Threshold Summary'!$K:$K,""),'Pokemon Editor'!$A:$A,'Pokemon Editor'!$F:$F,0)+31+FLOOR(XLOOKUP($Q854,'Threshold Summary'!$Y:$Y,'Threshold Summary'!$P:$P,"")/4))*XLOOKUP($Q854,'Threshold Summary'!$Y:$Y,'Threshold Summary'!$L:$L,""))/100)+5)*XLOOKUP(XLOOKUP($Q854,'Threshold Summary'!$Y:$Y,'Threshold Summary'!$M:$M,""),'Nature Editor'!$A:$A,'Nature Editor'!$B:$B,1)),FLOOR((FLOOR(((2*XLOOKUP(XLOOKUP($Q854,'Threshold Summary'!$Y:$Y,'Threshold Summary'!$K:$K,""),'Pokemon Editor'!$A:$A,'Pokemon Editor'!$H:$H,0)+31+FLOOR(XLOOKUP($Q854,'Threshold Summary'!$Y:$Y,'Threshold Summary'!$R:$R,"")/4))*XLOOKUP($Q854,'Threshold Summary'!$Y:$Y,'Threshold Summary'!$L:$L,""))/100)+5)*XLOOKUP(XLOOKUP($Q854,'Threshold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Editor'!$E:$E,1))),stab,IF(OR(mtype=XLOOKUP(XLOOKUP($Q854,'Threshold Summary'!$Y:$Y,'Threshold Summary'!$K:$K,""),'Pokemon Editor'!$A:$A,'Pokemon Editor'!$C:$C,""),mtype=XLOOKUP(XLOOKUP($Q854,'Threshold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Chart'!$B$1:$S$1,0)))),base,IF(OR(cat="Status",pow=0),0,FLOOR(FLOOR(FLOOR((2*XLOOKUP($Q854,'Threshold Summary'!$Y:$Y,'Threshold Summary'!$L:$L,"")/5+2)*pow*atk/def)/50)+2)),modifier,stab*eff,FLOOR(base*modifier)),0)</f>
        <v/>
      </c>
      <c r="L854" s="3">
        <f>IFERROR(LET(mtype,XLOOKUP($D854,'Move Editor'!$B:$B,'Move Editor'!$C:$C,""),cat,XLOOKUP($D854,'Move Editor'!$B:$B,'Move Editor'!$D:$D,""),pow,XLOOKUP($D854,'Move Editor'!$B:$B,'Move Editor'!$E:$E,0),acc,XLOOKUP($D854,'Move Editor'!$B:$B,'Move Editor'!$F:$F,100),atk,IF(cat="Physical",FLOOR((FLOOR(((2*XLOOKUP(XLOOKUP($Q854,'Threshold Summary'!$Y:$Y,'Threshold Summary'!$K:$K,""),'Pokemon Editor'!$A:$A,'Pokemon Editor'!$F:$F,0)+31+FLOOR(XLOOKUP($Q854,'Threshold Summary'!$Y:$Y,'Threshold Summary'!$P:$P,"")/4))*XLOOKUP($Q854,'Threshold Summary'!$Y:$Y,'Threshold Summary'!$L:$L,""))/100)+5)*XLOOKUP(XLOOKUP($Q854,'Threshold Summary'!$Y:$Y,'Threshold Summary'!$M:$M,""),'Nature Editor'!$A:$A,'Nature Editor'!$B:$B,1)),FLOOR((FLOOR(((2*XLOOKUP(XLOOKUP($Q854,'Threshold Summary'!$Y:$Y,'Threshold Summary'!$K:$K,""),'Pokemon Editor'!$A:$A,'Pokemon Editor'!$H:$H,0)+31+FLOOR(XLOOKUP($Q854,'Threshold Summary'!$Y:$Y,'Threshold Summary'!$R:$R,"")/4))*XLOOKUP($Q854,'Threshold Summary'!$Y:$Y,'Threshold Summary'!$L:$L,""))/100)+5)*XLOOKUP(XLOOKUP($Q854,'Threshold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Editor'!$E:$E,1))),stab,IF(OR(mtype=XLOOKUP(XLOOKUP($Q854,'Threshold Summary'!$Y:$Y,'Threshold Summary'!$K:$K,""),'Pokemon Editor'!$A:$A,'Pokemon Editor'!$C:$C,""),mtype=XLOOKUP(XLOOKUP($Q854,'Threshold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Chart'!$B$1:$S$1,0)))),base,IF(OR(cat="Status",pow=0),0,FLOOR(FLOOR(FLOOR((2*XLOOKUP($Q854,'Threshold Summary'!$Y:$Y,'Threshold Summary'!$L:$L,"")/5+2)*pow*atk/def)/50)+2)),modifier,stab*eff,AVERAGE(ARRAYFORMULA(FLOOR(base*modifier*SEQUENCE(16,1,85,1)/100)))),0)</f>
        <v/>
      </c>
      <c r="M854" s="3">
        <f>IFERROR(LET(mtype,XLOOKUP($D854,'Move Editor'!$B:$B,'Move Editor'!$C:$C,""),cat,XLOOKUP($D854,'Move Editor'!$B:$B,'Move Editor'!$D:$D,""),pow,XLOOKUP($D854,'Move Editor'!$B:$B,'Move Editor'!$E:$E,0),acc,XLOOKUP($D854,'Move Editor'!$B:$B,'Move Editor'!$F:$F,100),atk,IF(cat="Physical",FLOOR((FLOOR(((2*XLOOKUP(XLOOKUP($Q854,'Threshold Summary'!$Y:$Y,'Threshold Summary'!$K:$K,""),'Pokemon Editor'!$A:$A,'Pokemon Editor'!$F:$F,0)+31+FLOOR(XLOOKUP($Q854,'Threshold Summary'!$Y:$Y,'Threshold Summary'!$P:$P,"")/4))*XLOOKUP($Q854,'Threshold Summary'!$Y:$Y,'Threshold Summary'!$L:$L,""))/100)+5)*XLOOKUP(XLOOKUP($Q854,'Threshold Summary'!$Y:$Y,'Threshold Summary'!$M:$M,""),'Nature Editor'!$A:$A,'Nature Editor'!$B:$B,1)),FLOOR((FLOOR(((2*XLOOKUP(XLOOKUP($Q854,'Threshold Summary'!$Y:$Y,'Threshold Summary'!$K:$K,""),'Pokemon Editor'!$A:$A,'Pokemon Editor'!$H:$H,0)+31+FLOOR(XLOOKUP($Q854,'Threshold Summary'!$Y:$Y,'Threshold Summary'!$R:$R,"")/4))*XLOOKUP($Q854,'Threshold Summary'!$Y:$Y,'Threshold Summary'!$L:$L,""))/100)+5)*XLOOKUP(XLOOKUP($Q854,'Threshold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Editor'!$E:$E,1))),stab,IF(OR(mtype=XLOOKUP(XLOOKUP($Q854,'Threshold Summary'!$Y:$Y,'Threshold Summary'!$K:$K,""),'Pokemon Editor'!$A:$A,'Pokemon Editor'!$C:$C,""),mtype=XLOOKUP(XLOOKUP($Q854,'Threshold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Chart'!$B$1:$S$1,0)))),base,IF(OR(cat="Status",pow=0),0,FLOOR(FLOOR(FLOOR((2*XLOOKUP($Q854,'Threshold Summary'!$Y:$Y,'Threshold Summary'!$L:$L,"")/5+2)*pow*atk/def)/50)+2)),modifier,stab*eff,AVERAGE(ARRAYFORMULA(FLOOR(base*modifier*SEQUENCE(16,1,85,1)/100)))*MIN(1,acc/100)),0)</f>
        <v/>
      </c>
      <c r="N854" s="4">
        <f>IFERROR(LET(mtype,XLOOKUP($D854,'Move Editor'!$B:$B,'Move Editor'!$C:$C,""),cat,XLOOKUP($D854,'Move Editor'!$B:$B,'Move Editor'!$D:$D,""),pow,XLOOKUP($D854,'Move Editor'!$B:$B,'Move Editor'!$E:$E,0),acc,XLOOKUP($D854,'Move Editor'!$B:$B,'Move Editor'!$F:$F,100),atk,IF(cat="Physical",FLOOR((FLOOR(((2*XLOOKUP(XLOOKUP($Q854,'Threshold Summary'!$Y:$Y,'Threshold Summary'!$K:$K,""),'Pokemon Editor'!$A:$A,'Pokemon Editor'!$F:$F,0)+31+FLOOR(XLOOKUP($Q854,'Threshold Summary'!$Y:$Y,'Threshold Summary'!$P:$P,"")/4))*XLOOKUP($Q854,'Threshold Summary'!$Y:$Y,'Threshold Summary'!$L:$L,""))/100)+5)*XLOOKUP(XLOOKUP($Q854,'Threshold Summary'!$Y:$Y,'Threshold Summary'!$M:$M,""),'Nature Editor'!$A:$A,'Nature Editor'!$B:$B,1)),FLOOR((FLOOR(((2*XLOOKUP(XLOOKUP($Q854,'Threshold Summary'!$Y:$Y,'Threshold Summary'!$K:$K,""),'Pokemon Editor'!$A:$A,'Pokemon Editor'!$H:$H,0)+31+FLOOR(XLOOKUP($Q854,'Threshold Summary'!$Y:$Y,'Threshold Summary'!$R:$R,"")/4))*XLOOKUP($Q854,'Threshold Summary'!$Y:$Y,'Threshold Summary'!$L:$L,""))/100)+5)*XLOOKUP(XLOOKUP($Q854,'Threshold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Editor'!$E:$E,1))),stab,IF(OR(mtype=XLOOKUP(XLOOKUP($Q854,'Threshold Summary'!$Y:$Y,'Threshold Summary'!$K:$K,""),'Pokemon Editor'!$A:$A,'Pokemon Editor'!$C:$C,""),mtype=XLOOKUP(XLOOKUP($Q854,'Threshold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Chart'!$B$1:$S$1,0)))),base,IF(OR(cat="Status",pow=0),0,FLOOR(FLOOR(FLOOR((2*XLOOKUP($Q854,'Threshold Summary'!$Y:$Y,'Threshold Summary'!$L:$L,"")/5+2)*pow*atk/def)/50)+2)),modifier,stab*eff,AVERAGE(ARRAYFORMULA(FLOOR(base*modifier*SEQUENCE(16,1,85,1)/100)))/(FLOOR(((2*XLOOKUP('Boss Editor'!$C$4,'Pokemon Editor'!$A:$A,'Pokemon Editor'!$E:$E,0)+31+FLOOR('Boss Editor'!$G$4/4))*'Boss Editor'!$D$4)/100)+'Boss Editor'!$D$4+10)),0)</f>
        <v/>
      </c>
      <c r="O854" s="3">
        <f>IF(N854&gt;=1,"OHKO",IF(N854&gt;=0.5,"2HKO",IF(N854&gt;=0.333,"3HKO",IF(N854&gt;=0.25,"4HKO","5HKO+"))))</f>
        <v/>
      </c>
      <c r="P854" s="3" t="inlineStr">
        <is>
          <t>Live from editable databases</t>
        </is>
      </c>
      <c r="Q854" s="3" t="inlineStr">
        <is>
          <t>SPECIES_TOXEL</t>
        </is>
      </c>
      <c r="R854" s="3" t="n">
        <v>21</v>
      </c>
    </row>
    <row r="855">
      <c r="A855" s="3">
        <f>XLOOKUP($Q855,'Threshold Summary'!$Y:$Y,'Threshold Summary'!$A:$A,"")</f>
        <v/>
      </c>
      <c r="B855" s="3">
        <f>XLOOKUP($Q855,'Threshold Summary'!$Y:$Y,'Threshold Summary'!$M:$M,"")</f>
        <v/>
      </c>
      <c r="C855" s="3">
        <f>XLOOKUP($Q855,'Threshold Summary'!$Y:$Y,'Threshold Summary'!$N:$N,"")</f>
        <v/>
      </c>
      <c r="D855" s="3">
        <f>IFERROR(INDEX(FILTER('Learnset Editor'!$D$2:$D,'Learnset Editor'!$A$2:$A=XLOOKUP($Q855,'Threshold Summary'!$Y:$Y,'Threshold Summary'!$K:$K,""),'Learnset Editor'!$C$2:$C&lt;=XLOOKUP($Q855,'Threshold Summary'!$Y:$Y,'Threshold Summary'!$L:$L,"")),$R855),"")</f>
        <v/>
      </c>
      <c r="E855" s="3">
        <f>XLOOKUP(D855,'Move Editor'!$B:$B,'Move Editor'!$C:$C,"")</f>
        <v/>
      </c>
      <c r="F855" s="3">
        <f>XLOOKUP(D855,'Move Editor'!$B:$B,'Move Editor'!$D:$D,"")</f>
        <v/>
      </c>
      <c r="G855" s="3">
        <f>XLOOKUP(D855,'Move Editor'!$B:$B,'Move Editor'!$E:$E,0)</f>
        <v/>
      </c>
      <c r="H855" s="3">
        <f>XLOOKUP(D855,'Move Editor'!$B:$B,'Move Editor'!$F:$F,0)</f>
        <v/>
      </c>
      <c r="I855" s="3">
        <f>(INDEX('Type Chart'!$B:$S,MATCH(E855,'Type Chart'!$A:$A,0),MATCH(XLOOKUP('Boss Editor'!$C$4,'Pokemon Editor'!$A:$A,'Pokemon Editor'!$C:$C,""),'Type Chart'!$B$1:$S$1,0))*IF(XLOOKUP('Boss Editor'!$C$4,'Pokemon Editor'!$A:$A,'Pokemon Editor'!$D:$D,"")="",1,INDEX('Type Chart'!$B:$S,MATCH(E855,'Type Chart'!$A:$A,0),MATCH(XLOOKUP('Boss Editor'!$C$4,'Pokemon Editor'!$A:$A,'Pokemon Editor'!$D:$D,""),'Type Chart'!$B$1:$S$1,0))))</f>
        <v/>
      </c>
      <c r="J855" s="3">
        <f>IFERROR(LET(mtype,XLOOKUP($D855,'Move Editor'!$B:$B,'Move Editor'!$C:$C,""),cat,XLOOKUP($D855,'Move Editor'!$B:$B,'Move Editor'!$D:$D,""),pow,XLOOKUP($D855,'Move Editor'!$B:$B,'Move Editor'!$E:$E,0),acc,XLOOKUP($D855,'Move Editor'!$B:$B,'Move Editor'!$F:$F,100),atk,IF(cat="Physical",FLOOR((FLOOR(((2*XLOOKUP(XLOOKUP($Q855,'Threshold Summary'!$Y:$Y,'Threshold Summary'!$K:$K,""),'Pokemon Editor'!$A:$A,'Pokemon Editor'!$F:$F,0)+31+FLOOR(XLOOKUP($Q855,'Threshold Summary'!$Y:$Y,'Threshold Summary'!$P:$P,"")/4))*XLOOKUP($Q855,'Threshold Summary'!$Y:$Y,'Threshold Summary'!$L:$L,""))/100)+5)*XLOOKUP(XLOOKUP($Q855,'Threshold Summary'!$Y:$Y,'Threshold Summary'!$M:$M,""),'Nature Editor'!$A:$A,'Nature Editor'!$B:$B,1)),FLOOR((FLOOR(((2*XLOOKUP(XLOOKUP($Q855,'Threshold Summary'!$Y:$Y,'Threshold Summary'!$K:$K,""),'Pokemon Editor'!$A:$A,'Pokemon Editor'!$H:$H,0)+31+FLOOR(XLOOKUP($Q855,'Threshold Summary'!$Y:$Y,'Threshold Summary'!$R:$R,"")/4))*XLOOKUP($Q855,'Threshold Summary'!$Y:$Y,'Threshold Summary'!$L:$L,""))/100)+5)*XLOOKUP(XLOOKUP($Q855,'Threshold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Editor'!$E:$E,1))),stab,IF(OR(mtype=XLOOKUP(XLOOKUP($Q855,'Threshold Summary'!$Y:$Y,'Threshold Summary'!$K:$K,""),'Pokemon Editor'!$A:$A,'Pokemon Editor'!$C:$C,""),mtype=XLOOKUP(XLOOKUP($Q855,'Threshold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Chart'!$B$1:$S$1,0)))),base,IF(OR(cat="Status",pow=0),0,FLOOR(FLOOR(FLOOR((2*XLOOKUP($Q855,'Threshold Summary'!$Y:$Y,'Threshold Summary'!$L:$L,"")/5+2)*pow*atk/def)/50)+2)),modifier,stab*eff,FLOOR(base*modifier*0.85)),0)</f>
        <v/>
      </c>
      <c r="K855" s="3">
        <f>IFERROR(LET(mtype,XLOOKUP($D855,'Move Editor'!$B:$B,'Move Editor'!$C:$C,""),cat,XLOOKUP($D855,'Move Editor'!$B:$B,'Move Editor'!$D:$D,""),pow,XLOOKUP($D855,'Move Editor'!$B:$B,'Move Editor'!$E:$E,0),acc,XLOOKUP($D855,'Move Editor'!$B:$B,'Move Editor'!$F:$F,100),atk,IF(cat="Physical",FLOOR((FLOOR(((2*XLOOKUP(XLOOKUP($Q855,'Threshold Summary'!$Y:$Y,'Threshold Summary'!$K:$K,""),'Pokemon Editor'!$A:$A,'Pokemon Editor'!$F:$F,0)+31+FLOOR(XLOOKUP($Q855,'Threshold Summary'!$Y:$Y,'Threshold Summary'!$P:$P,"")/4))*XLOOKUP($Q855,'Threshold Summary'!$Y:$Y,'Threshold Summary'!$L:$L,""))/100)+5)*XLOOKUP(XLOOKUP($Q855,'Threshold Summary'!$Y:$Y,'Threshold Summary'!$M:$M,""),'Nature Editor'!$A:$A,'Nature Editor'!$B:$B,1)),FLOOR((FLOOR(((2*XLOOKUP(XLOOKUP($Q855,'Threshold Summary'!$Y:$Y,'Threshold Summary'!$K:$K,""),'Pokemon Editor'!$A:$A,'Pokemon Editor'!$H:$H,0)+31+FLOOR(XLOOKUP($Q855,'Threshold Summary'!$Y:$Y,'Threshold Summary'!$R:$R,"")/4))*XLOOKUP($Q855,'Threshold Summary'!$Y:$Y,'Threshold Summary'!$L:$L,""))/100)+5)*XLOOKUP(XLOOKUP($Q855,'Threshold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Editor'!$E:$E,1))),stab,IF(OR(mtype=XLOOKUP(XLOOKUP($Q855,'Threshold Summary'!$Y:$Y,'Threshold Summary'!$K:$K,""),'Pokemon Editor'!$A:$A,'Pokemon Editor'!$C:$C,""),mtype=XLOOKUP(XLOOKUP($Q855,'Threshold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Chart'!$B$1:$S$1,0)))),base,IF(OR(cat="Status",pow=0),0,FLOOR(FLOOR(FLOOR((2*XLOOKUP($Q855,'Threshold Summary'!$Y:$Y,'Threshold Summary'!$L:$L,"")/5+2)*pow*atk/def)/50)+2)),modifier,stab*eff,FLOOR(base*modifier)),0)</f>
        <v/>
      </c>
      <c r="L855" s="3">
        <f>IFERROR(LET(mtype,XLOOKUP($D855,'Move Editor'!$B:$B,'Move Editor'!$C:$C,""),cat,XLOOKUP($D855,'Move Editor'!$B:$B,'Move Editor'!$D:$D,""),pow,XLOOKUP($D855,'Move Editor'!$B:$B,'Move Editor'!$E:$E,0),acc,XLOOKUP($D855,'Move Editor'!$B:$B,'Move Editor'!$F:$F,100),atk,IF(cat="Physical",FLOOR((FLOOR(((2*XLOOKUP(XLOOKUP($Q855,'Threshold Summary'!$Y:$Y,'Threshold Summary'!$K:$K,""),'Pokemon Editor'!$A:$A,'Pokemon Editor'!$F:$F,0)+31+FLOOR(XLOOKUP($Q855,'Threshold Summary'!$Y:$Y,'Threshold Summary'!$P:$P,"")/4))*XLOOKUP($Q855,'Threshold Summary'!$Y:$Y,'Threshold Summary'!$L:$L,""))/100)+5)*XLOOKUP(XLOOKUP($Q855,'Threshold Summary'!$Y:$Y,'Threshold Summary'!$M:$M,""),'Nature Editor'!$A:$A,'Nature Editor'!$B:$B,1)),FLOOR((FLOOR(((2*XLOOKUP(XLOOKUP($Q855,'Threshold Summary'!$Y:$Y,'Threshold Summary'!$K:$K,""),'Pokemon Editor'!$A:$A,'Pokemon Editor'!$H:$H,0)+31+FLOOR(XLOOKUP($Q855,'Threshold Summary'!$Y:$Y,'Threshold Summary'!$R:$R,"")/4))*XLOOKUP($Q855,'Threshold Summary'!$Y:$Y,'Threshold Summary'!$L:$L,""))/100)+5)*XLOOKUP(XLOOKUP($Q855,'Threshold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Editor'!$E:$E,1))),stab,IF(OR(mtype=XLOOKUP(XLOOKUP($Q855,'Threshold Summary'!$Y:$Y,'Threshold Summary'!$K:$K,""),'Pokemon Editor'!$A:$A,'Pokemon Editor'!$C:$C,""),mtype=XLOOKUP(XLOOKUP($Q855,'Threshold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Chart'!$B$1:$S$1,0)))),base,IF(OR(cat="Status",pow=0),0,FLOOR(FLOOR(FLOOR((2*XLOOKUP($Q855,'Threshold Summary'!$Y:$Y,'Threshold Summary'!$L:$L,"")/5+2)*pow*atk/def)/50)+2)),modifier,stab*eff,AVERAGE(ARRAYFORMULA(FLOOR(base*modifier*SEQUENCE(16,1,85,1)/100)))),0)</f>
        <v/>
      </c>
      <c r="M855" s="3">
        <f>IFERROR(LET(mtype,XLOOKUP($D855,'Move Editor'!$B:$B,'Move Editor'!$C:$C,""),cat,XLOOKUP($D855,'Move Editor'!$B:$B,'Move Editor'!$D:$D,""),pow,XLOOKUP($D855,'Move Editor'!$B:$B,'Move Editor'!$E:$E,0),acc,XLOOKUP($D855,'Move Editor'!$B:$B,'Move Editor'!$F:$F,100),atk,IF(cat="Physical",FLOOR((FLOOR(((2*XLOOKUP(XLOOKUP($Q855,'Threshold Summary'!$Y:$Y,'Threshold Summary'!$K:$K,""),'Pokemon Editor'!$A:$A,'Pokemon Editor'!$F:$F,0)+31+FLOOR(XLOOKUP($Q855,'Threshold Summary'!$Y:$Y,'Threshold Summary'!$P:$P,"")/4))*XLOOKUP($Q855,'Threshold Summary'!$Y:$Y,'Threshold Summary'!$L:$L,""))/100)+5)*XLOOKUP(XLOOKUP($Q855,'Threshold Summary'!$Y:$Y,'Threshold Summary'!$M:$M,""),'Nature Editor'!$A:$A,'Nature Editor'!$B:$B,1)),FLOOR((FLOOR(((2*XLOOKUP(XLOOKUP($Q855,'Threshold Summary'!$Y:$Y,'Threshold Summary'!$K:$K,""),'Pokemon Editor'!$A:$A,'Pokemon Editor'!$H:$H,0)+31+FLOOR(XLOOKUP($Q855,'Threshold Summary'!$Y:$Y,'Threshold Summary'!$R:$R,"")/4))*XLOOKUP($Q855,'Threshold Summary'!$Y:$Y,'Threshold Summary'!$L:$L,""))/100)+5)*XLOOKUP(XLOOKUP($Q855,'Threshold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Editor'!$E:$E,1))),stab,IF(OR(mtype=XLOOKUP(XLOOKUP($Q855,'Threshold Summary'!$Y:$Y,'Threshold Summary'!$K:$K,""),'Pokemon Editor'!$A:$A,'Pokemon Editor'!$C:$C,""),mtype=XLOOKUP(XLOOKUP($Q855,'Threshold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Chart'!$B$1:$S$1,0)))),base,IF(OR(cat="Status",pow=0),0,FLOOR(FLOOR(FLOOR((2*XLOOKUP($Q855,'Threshold Summary'!$Y:$Y,'Threshold Summary'!$L:$L,"")/5+2)*pow*atk/def)/50)+2)),modifier,stab*eff,AVERAGE(ARRAYFORMULA(FLOOR(base*modifier*SEQUENCE(16,1,85,1)/100)))*MIN(1,acc/100)),0)</f>
        <v/>
      </c>
      <c r="N855" s="4">
        <f>IFERROR(LET(mtype,XLOOKUP($D855,'Move Editor'!$B:$B,'Move Editor'!$C:$C,""),cat,XLOOKUP($D855,'Move Editor'!$B:$B,'Move Editor'!$D:$D,""),pow,XLOOKUP($D855,'Move Editor'!$B:$B,'Move Editor'!$E:$E,0),acc,XLOOKUP($D855,'Move Editor'!$B:$B,'Move Editor'!$F:$F,100),atk,IF(cat="Physical",FLOOR((FLOOR(((2*XLOOKUP(XLOOKUP($Q855,'Threshold Summary'!$Y:$Y,'Threshold Summary'!$K:$K,""),'Pokemon Editor'!$A:$A,'Pokemon Editor'!$F:$F,0)+31+FLOOR(XLOOKUP($Q855,'Threshold Summary'!$Y:$Y,'Threshold Summary'!$P:$P,"")/4))*XLOOKUP($Q855,'Threshold Summary'!$Y:$Y,'Threshold Summary'!$L:$L,""))/100)+5)*XLOOKUP(XLOOKUP($Q855,'Threshold Summary'!$Y:$Y,'Threshold Summary'!$M:$M,""),'Nature Editor'!$A:$A,'Nature Editor'!$B:$B,1)),FLOOR((FLOOR(((2*XLOOKUP(XLOOKUP($Q855,'Threshold Summary'!$Y:$Y,'Threshold Summary'!$K:$K,""),'Pokemon Editor'!$A:$A,'Pokemon Editor'!$H:$H,0)+31+FLOOR(XLOOKUP($Q855,'Threshold Summary'!$Y:$Y,'Threshold Summary'!$R:$R,"")/4))*XLOOKUP($Q855,'Threshold Summary'!$Y:$Y,'Threshold Summary'!$L:$L,""))/100)+5)*XLOOKUP(XLOOKUP($Q855,'Threshold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Editor'!$E:$E,1))),stab,IF(OR(mtype=XLOOKUP(XLOOKUP($Q855,'Threshold Summary'!$Y:$Y,'Threshold Summary'!$K:$K,""),'Pokemon Editor'!$A:$A,'Pokemon Editor'!$C:$C,""),mtype=XLOOKUP(XLOOKUP($Q855,'Threshold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Chart'!$B$1:$S$1,0)))),base,IF(OR(cat="Status",pow=0),0,FLOOR(FLOOR(FLOOR((2*XLOOKUP($Q855,'Threshold Summary'!$Y:$Y,'Threshold Summary'!$L:$L,"")/5+2)*pow*atk/def)/50)+2)),modifier,stab*eff,AVERAGE(ARRAYFORMULA(FLOOR(base*modifier*SEQUENCE(16,1,85,1)/100)))/(FLOOR(((2*XLOOKUP('Boss Editor'!$C$4,'Pokemon Editor'!$A:$A,'Pokemon Editor'!$E:$E,0)+31+FLOOR('Boss Editor'!$G$4/4))*'Boss Editor'!$D$4)/100)+'Boss Editor'!$D$4+10)),0)</f>
        <v/>
      </c>
      <c r="O855" s="3">
        <f>IF(N855&gt;=1,"OHKO",IF(N855&gt;=0.5,"2HKO",IF(N855&gt;=0.333,"3HKO",IF(N855&gt;=0.25,"4HKO","5HKO+"))))</f>
        <v/>
      </c>
      <c r="P855" s="3" t="inlineStr">
        <is>
          <t>Live from editable databases</t>
        </is>
      </c>
      <c r="Q855" s="3" t="inlineStr">
        <is>
          <t>SPECIES_TOXEL</t>
        </is>
      </c>
      <c r="R855" s="3" t="n">
        <v>22</v>
      </c>
    </row>
    <row r="856">
      <c r="A856" s="3">
        <f>XLOOKUP($Q856,'Threshold Summary'!$Y:$Y,'Threshold Summary'!$A:$A,"")</f>
        <v/>
      </c>
      <c r="B856" s="3">
        <f>XLOOKUP($Q856,'Threshold Summary'!$Y:$Y,'Threshold Summary'!$M:$M,"")</f>
        <v/>
      </c>
      <c r="C856" s="3">
        <f>XLOOKUP($Q856,'Threshold Summary'!$Y:$Y,'Threshold Summary'!$N:$N,"")</f>
        <v/>
      </c>
      <c r="D856" s="3">
        <f>IFERROR(INDEX(FILTER('Learnset Editor'!$D$2:$D,'Learnset Editor'!$A$2:$A=XLOOKUP($Q856,'Threshold Summary'!$Y:$Y,'Threshold Summary'!$K:$K,""),'Learnset Editor'!$C$2:$C&lt;=XLOOKUP($Q856,'Threshold Summary'!$Y:$Y,'Threshold Summary'!$L:$L,"")),$R856),"")</f>
        <v/>
      </c>
      <c r="E856" s="3">
        <f>XLOOKUP(D856,'Move Editor'!$B:$B,'Move Editor'!$C:$C,"")</f>
        <v/>
      </c>
      <c r="F856" s="3">
        <f>XLOOKUP(D856,'Move Editor'!$B:$B,'Move Editor'!$D:$D,"")</f>
        <v/>
      </c>
      <c r="G856" s="3">
        <f>XLOOKUP(D856,'Move Editor'!$B:$B,'Move Editor'!$E:$E,0)</f>
        <v/>
      </c>
      <c r="H856" s="3">
        <f>XLOOKUP(D856,'Move Editor'!$B:$B,'Move Editor'!$F:$F,0)</f>
        <v/>
      </c>
      <c r="I856" s="3">
        <f>(INDEX('Type Chart'!$B:$S,MATCH(E856,'Type Chart'!$A:$A,0),MATCH(XLOOKUP('Boss Editor'!$C$4,'Pokemon Editor'!$A:$A,'Pokemon Editor'!$C:$C,""),'Type Chart'!$B$1:$S$1,0))*IF(XLOOKUP('Boss Editor'!$C$4,'Pokemon Editor'!$A:$A,'Pokemon Editor'!$D:$D,"")="",1,INDEX('Type Chart'!$B:$S,MATCH(E856,'Type Chart'!$A:$A,0),MATCH(XLOOKUP('Boss Editor'!$C$4,'Pokemon Editor'!$A:$A,'Pokemon Editor'!$D:$D,""),'Type Chart'!$B$1:$S$1,0))))</f>
        <v/>
      </c>
      <c r="J856" s="3">
        <f>IFERROR(LET(mtype,XLOOKUP($D856,'Move Editor'!$B:$B,'Move Editor'!$C:$C,""),cat,XLOOKUP($D856,'Move Editor'!$B:$B,'Move Editor'!$D:$D,""),pow,XLOOKUP($D856,'Move Editor'!$B:$B,'Move Editor'!$E:$E,0),acc,XLOOKUP($D856,'Move Editor'!$B:$B,'Move Editor'!$F:$F,100),atk,IF(cat="Physical",FLOOR((FLOOR(((2*XLOOKUP(XLOOKUP($Q856,'Threshold Summary'!$Y:$Y,'Threshold Summary'!$K:$K,""),'Pokemon Editor'!$A:$A,'Pokemon Editor'!$F:$F,0)+31+FLOOR(XLOOKUP($Q856,'Threshold Summary'!$Y:$Y,'Threshold Summary'!$P:$P,"")/4))*XLOOKUP($Q856,'Threshold Summary'!$Y:$Y,'Threshold Summary'!$L:$L,""))/100)+5)*XLOOKUP(XLOOKUP($Q856,'Threshold Summary'!$Y:$Y,'Threshold Summary'!$M:$M,""),'Nature Editor'!$A:$A,'Nature Editor'!$B:$B,1)),FLOOR((FLOOR(((2*XLOOKUP(XLOOKUP($Q856,'Threshold Summary'!$Y:$Y,'Threshold Summary'!$K:$K,""),'Pokemon Editor'!$A:$A,'Pokemon Editor'!$H:$H,0)+31+FLOOR(XLOOKUP($Q856,'Threshold Summary'!$Y:$Y,'Threshold Summary'!$R:$R,"")/4))*XLOOKUP($Q856,'Threshold Summary'!$Y:$Y,'Threshold Summary'!$L:$L,""))/100)+5)*XLOOKUP(XLOOKUP($Q856,'Threshold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Editor'!$E:$E,1))),stab,IF(OR(mtype=XLOOKUP(XLOOKUP($Q856,'Threshold Summary'!$Y:$Y,'Threshold Summary'!$K:$K,""),'Pokemon Editor'!$A:$A,'Pokemon Editor'!$C:$C,""),mtype=XLOOKUP(XLOOKUP($Q856,'Threshold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Chart'!$B$1:$S$1,0)))),base,IF(OR(cat="Status",pow=0),0,FLOOR(FLOOR(FLOOR((2*XLOOKUP($Q856,'Threshold Summary'!$Y:$Y,'Threshold Summary'!$L:$L,"")/5+2)*pow*atk/def)/50)+2)),modifier,stab*eff,FLOOR(base*modifier*0.85)),0)</f>
        <v/>
      </c>
      <c r="K856" s="3">
        <f>IFERROR(LET(mtype,XLOOKUP($D856,'Move Editor'!$B:$B,'Move Editor'!$C:$C,""),cat,XLOOKUP($D856,'Move Editor'!$B:$B,'Move Editor'!$D:$D,""),pow,XLOOKUP($D856,'Move Editor'!$B:$B,'Move Editor'!$E:$E,0),acc,XLOOKUP($D856,'Move Editor'!$B:$B,'Move Editor'!$F:$F,100),atk,IF(cat="Physical",FLOOR((FLOOR(((2*XLOOKUP(XLOOKUP($Q856,'Threshold Summary'!$Y:$Y,'Threshold Summary'!$K:$K,""),'Pokemon Editor'!$A:$A,'Pokemon Editor'!$F:$F,0)+31+FLOOR(XLOOKUP($Q856,'Threshold Summary'!$Y:$Y,'Threshold Summary'!$P:$P,"")/4))*XLOOKUP($Q856,'Threshold Summary'!$Y:$Y,'Threshold Summary'!$L:$L,""))/100)+5)*XLOOKUP(XLOOKUP($Q856,'Threshold Summary'!$Y:$Y,'Threshold Summary'!$M:$M,""),'Nature Editor'!$A:$A,'Nature Editor'!$B:$B,1)),FLOOR((FLOOR(((2*XLOOKUP(XLOOKUP($Q856,'Threshold Summary'!$Y:$Y,'Threshold Summary'!$K:$K,""),'Pokemon Editor'!$A:$A,'Pokemon Editor'!$H:$H,0)+31+FLOOR(XLOOKUP($Q856,'Threshold Summary'!$Y:$Y,'Threshold Summary'!$R:$R,"")/4))*XLOOKUP($Q856,'Threshold Summary'!$Y:$Y,'Threshold Summary'!$L:$L,""))/100)+5)*XLOOKUP(XLOOKUP($Q856,'Threshold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Editor'!$E:$E,1))),stab,IF(OR(mtype=XLOOKUP(XLOOKUP($Q856,'Threshold Summary'!$Y:$Y,'Threshold Summary'!$K:$K,""),'Pokemon Editor'!$A:$A,'Pokemon Editor'!$C:$C,""),mtype=XLOOKUP(XLOOKUP($Q856,'Threshold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Chart'!$B$1:$S$1,0)))),base,IF(OR(cat="Status",pow=0),0,FLOOR(FLOOR(FLOOR((2*XLOOKUP($Q856,'Threshold Summary'!$Y:$Y,'Threshold Summary'!$L:$L,"")/5+2)*pow*atk/def)/50)+2)),modifier,stab*eff,FLOOR(base*modifier)),0)</f>
        <v/>
      </c>
      <c r="L856" s="3">
        <f>IFERROR(LET(mtype,XLOOKUP($D856,'Move Editor'!$B:$B,'Move Editor'!$C:$C,""),cat,XLOOKUP($D856,'Move Editor'!$B:$B,'Move Editor'!$D:$D,""),pow,XLOOKUP($D856,'Move Editor'!$B:$B,'Move Editor'!$E:$E,0),acc,XLOOKUP($D856,'Move Editor'!$B:$B,'Move Editor'!$F:$F,100),atk,IF(cat="Physical",FLOOR((FLOOR(((2*XLOOKUP(XLOOKUP($Q856,'Threshold Summary'!$Y:$Y,'Threshold Summary'!$K:$K,""),'Pokemon Editor'!$A:$A,'Pokemon Editor'!$F:$F,0)+31+FLOOR(XLOOKUP($Q856,'Threshold Summary'!$Y:$Y,'Threshold Summary'!$P:$P,"")/4))*XLOOKUP($Q856,'Threshold Summary'!$Y:$Y,'Threshold Summary'!$L:$L,""))/100)+5)*XLOOKUP(XLOOKUP($Q856,'Threshold Summary'!$Y:$Y,'Threshold Summary'!$M:$M,""),'Nature Editor'!$A:$A,'Nature Editor'!$B:$B,1)),FLOOR((FLOOR(((2*XLOOKUP(XLOOKUP($Q856,'Threshold Summary'!$Y:$Y,'Threshold Summary'!$K:$K,""),'Pokemon Editor'!$A:$A,'Pokemon Editor'!$H:$H,0)+31+FLOOR(XLOOKUP($Q856,'Threshold Summary'!$Y:$Y,'Threshold Summary'!$R:$R,"")/4))*XLOOKUP($Q856,'Threshold Summary'!$Y:$Y,'Threshold Summary'!$L:$L,""))/100)+5)*XLOOKUP(XLOOKUP($Q856,'Threshold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Editor'!$E:$E,1))),stab,IF(OR(mtype=XLOOKUP(XLOOKUP($Q856,'Threshold Summary'!$Y:$Y,'Threshold Summary'!$K:$K,""),'Pokemon Editor'!$A:$A,'Pokemon Editor'!$C:$C,""),mtype=XLOOKUP(XLOOKUP($Q856,'Threshold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Chart'!$B$1:$S$1,0)))),base,IF(OR(cat="Status",pow=0),0,FLOOR(FLOOR(FLOOR((2*XLOOKUP($Q856,'Threshold Summary'!$Y:$Y,'Threshold Summary'!$L:$L,"")/5+2)*pow*atk/def)/50)+2)),modifier,stab*eff,AVERAGE(ARRAYFORMULA(FLOOR(base*modifier*SEQUENCE(16,1,85,1)/100)))),0)</f>
        <v/>
      </c>
      <c r="M856" s="3">
        <f>IFERROR(LET(mtype,XLOOKUP($D856,'Move Editor'!$B:$B,'Move Editor'!$C:$C,""),cat,XLOOKUP($D856,'Move Editor'!$B:$B,'Move Editor'!$D:$D,""),pow,XLOOKUP($D856,'Move Editor'!$B:$B,'Move Editor'!$E:$E,0),acc,XLOOKUP($D856,'Move Editor'!$B:$B,'Move Editor'!$F:$F,100),atk,IF(cat="Physical",FLOOR((FLOOR(((2*XLOOKUP(XLOOKUP($Q856,'Threshold Summary'!$Y:$Y,'Threshold Summary'!$K:$K,""),'Pokemon Editor'!$A:$A,'Pokemon Editor'!$F:$F,0)+31+FLOOR(XLOOKUP($Q856,'Threshold Summary'!$Y:$Y,'Threshold Summary'!$P:$P,"")/4))*XLOOKUP($Q856,'Threshold Summary'!$Y:$Y,'Threshold Summary'!$L:$L,""))/100)+5)*XLOOKUP(XLOOKUP($Q856,'Threshold Summary'!$Y:$Y,'Threshold Summary'!$M:$M,""),'Nature Editor'!$A:$A,'Nature Editor'!$B:$B,1)),FLOOR((FLOOR(((2*XLOOKUP(XLOOKUP($Q856,'Threshold Summary'!$Y:$Y,'Threshold Summary'!$K:$K,""),'Pokemon Editor'!$A:$A,'Pokemon Editor'!$H:$H,0)+31+FLOOR(XLOOKUP($Q856,'Threshold Summary'!$Y:$Y,'Threshold Summary'!$R:$R,"")/4))*XLOOKUP($Q856,'Threshold Summary'!$Y:$Y,'Threshold Summary'!$L:$L,""))/100)+5)*XLOOKUP(XLOOKUP($Q856,'Threshold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Editor'!$E:$E,1))),stab,IF(OR(mtype=XLOOKUP(XLOOKUP($Q856,'Threshold Summary'!$Y:$Y,'Threshold Summary'!$K:$K,""),'Pokemon Editor'!$A:$A,'Pokemon Editor'!$C:$C,""),mtype=XLOOKUP(XLOOKUP($Q856,'Threshold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Chart'!$B$1:$S$1,0)))),base,IF(OR(cat="Status",pow=0),0,FLOOR(FLOOR(FLOOR((2*XLOOKUP($Q856,'Threshold Summary'!$Y:$Y,'Threshold Summary'!$L:$L,"")/5+2)*pow*atk/def)/50)+2)),modifier,stab*eff,AVERAGE(ARRAYFORMULA(FLOOR(base*modifier*SEQUENCE(16,1,85,1)/100)))*MIN(1,acc/100)),0)</f>
        <v/>
      </c>
      <c r="N856" s="4">
        <f>IFERROR(LET(mtype,XLOOKUP($D856,'Move Editor'!$B:$B,'Move Editor'!$C:$C,""),cat,XLOOKUP($D856,'Move Editor'!$B:$B,'Move Editor'!$D:$D,""),pow,XLOOKUP($D856,'Move Editor'!$B:$B,'Move Editor'!$E:$E,0),acc,XLOOKUP($D856,'Move Editor'!$B:$B,'Move Editor'!$F:$F,100),atk,IF(cat="Physical",FLOOR((FLOOR(((2*XLOOKUP(XLOOKUP($Q856,'Threshold Summary'!$Y:$Y,'Threshold Summary'!$K:$K,""),'Pokemon Editor'!$A:$A,'Pokemon Editor'!$F:$F,0)+31+FLOOR(XLOOKUP($Q856,'Threshold Summary'!$Y:$Y,'Threshold Summary'!$P:$P,"")/4))*XLOOKUP($Q856,'Threshold Summary'!$Y:$Y,'Threshold Summary'!$L:$L,""))/100)+5)*XLOOKUP(XLOOKUP($Q856,'Threshold Summary'!$Y:$Y,'Threshold Summary'!$M:$M,""),'Nature Editor'!$A:$A,'Nature Editor'!$B:$B,1)),FLOOR((FLOOR(((2*XLOOKUP(XLOOKUP($Q856,'Threshold Summary'!$Y:$Y,'Threshold Summary'!$K:$K,""),'Pokemon Editor'!$A:$A,'Pokemon Editor'!$H:$H,0)+31+FLOOR(XLOOKUP($Q856,'Threshold Summary'!$Y:$Y,'Threshold Summary'!$R:$R,"")/4))*XLOOKUP($Q856,'Threshold Summary'!$Y:$Y,'Threshold Summary'!$L:$L,""))/100)+5)*XLOOKUP(XLOOKUP($Q856,'Threshold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Editor'!$E:$E,1))),stab,IF(OR(mtype=XLOOKUP(XLOOKUP($Q856,'Threshold Summary'!$Y:$Y,'Threshold Summary'!$K:$K,""),'Pokemon Editor'!$A:$A,'Pokemon Editor'!$C:$C,""),mtype=XLOOKUP(XLOOKUP($Q856,'Threshold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Chart'!$B$1:$S$1,0)))),base,IF(OR(cat="Status",pow=0),0,FLOOR(FLOOR(FLOOR((2*XLOOKUP($Q856,'Threshold Summary'!$Y:$Y,'Threshold Summary'!$L:$L,"")/5+2)*pow*atk/def)/50)+2)),modifier,stab*eff,AVERAGE(ARRAYFORMULA(FLOOR(base*modifier*SEQUENCE(16,1,85,1)/100)))/(FLOOR(((2*XLOOKUP('Boss Editor'!$C$4,'Pokemon Editor'!$A:$A,'Pokemon Editor'!$E:$E,0)+31+FLOOR('Boss Editor'!$G$4/4))*'Boss Editor'!$D$4)/100)+'Boss Editor'!$D$4+10)),0)</f>
        <v/>
      </c>
      <c r="O856" s="3">
        <f>IF(N856&gt;=1,"OHKO",IF(N856&gt;=0.5,"2HKO",IF(N856&gt;=0.333,"3HKO",IF(N856&gt;=0.25,"4HKO","5HKO+"))))</f>
        <v/>
      </c>
      <c r="P856" s="3" t="inlineStr">
        <is>
          <t>Live from editable databases</t>
        </is>
      </c>
      <c r="Q856" s="3" t="inlineStr">
        <is>
          <t>SPECIES_TOXEL</t>
        </is>
      </c>
      <c r="R856" s="3" t="n">
        <v>23</v>
      </c>
    </row>
    <row r="857">
      <c r="A857" s="3">
        <f>XLOOKUP($Q857,'Threshold Summary'!$Y:$Y,'Threshold Summary'!$A:$A,"")</f>
        <v/>
      </c>
      <c r="B857" s="3">
        <f>XLOOKUP($Q857,'Threshold Summary'!$Y:$Y,'Threshold Summary'!$M:$M,"")</f>
        <v/>
      </c>
      <c r="C857" s="3">
        <f>XLOOKUP($Q857,'Threshold Summary'!$Y:$Y,'Threshold Summary'!$N:$N,"")</f>
        <v/>
      </c>
      <c r="D857" s="3">
        <f>IFERROR(INDEX(FILTER('Learnset Editor'!$D$2:$D,'Learnset Editor'!$A$2:$A=XLOOKUP($Q857,'Threshold Summary'!$Y:$Y,'Threshold Summary'!$K:$K,""),'Learnset Editor'!$C$2:$C&lt;=XLOOKUP($Q857,'Threshold Summary'!$Y:$Y,'Threshold Summary'!$L:$L,"")),$R857),"")</f>
        <v/>
      </c>
      <c r="E857" s="3">
        <f>XLOOKUP(D857,'Move Editor'!$B:$B,'Move Editor'!$C:$C,"")</f>
        <v/>
      </c>
      <c r="F857" s="3">
        <f>XLOOKUP(D857,'Move Editor'!$B:$B,'Move Editor'!$D:$D,"")</f>
        <v/>
      </c>
      <c r="G857" s="3">
        <f>XLOOKUP(D857,'Move Editor'!$B:$B,'Move Editor'!$E:$E,0)</f>
        <v/>
      </c>
      <c r="H857" s="3">
        <f>XLOOKUP(D857,'Move Editor'!$B:$B,'Move Editor'!$F:$F,0)</f>
        <v/>
      </c>
      <c r="I857" s="3">
        <f>(INDEX('Type Chart'!$B:$S,MATCH(E857,'Type Chart'!$A:$A,0),MATCH(XLOOKUP('Boss Editor'!$C$4,'Pokemon Editor'!$A:$A,'Pokemon Editor'!$C:$C,""),'Type Chart'!$B$1:$S$1,0))*IF(XLOOKUP('Boss Editor'!$C$4,'Pokemon Editor'!$A:$A,'Pokemon Editor'!$D:$D,"")="",1,INDEX('Type Chart'!$B:$S,MATCH(E857,'Type Chart'!$A:$A,0),MATCH(XLOOKUP('Boss Editor'!$C$4,'Pokemon Editor'!$A:$A,'Pokemon Editor'!$D:$D,""),'Type Chart'!$B$1:$S$1,0))))</f>
        <v/>
      </c>
      <c r="J857" s="3">
        <f>IFERROR(LET(mtype,XLOOKUP($D857,'Move Editor'!$B:$B,'Move Editor'!$C:$C,""),cat,XLOOKUP($D857,'Move Editor'!$B:$B,'Move Editor'!$D:$D,""),pow,XLOOKUP($D857,'Move Editor'!$B:$B,'Move Editor'!$E:$E,0),acc,XLOOKUP($D857,'Move Editor'!$B:$B,'Move Editor'!$F:$F,100),atk,IF(cat="Physical",FLOOR((FLOOR(((2*XLOOKUP(XLOOKUP($Q857,'Threshold Summary'!$Y:$Y,'Threshold Summary'!$K:$K,""),'Pokemon Editor'!$A:$A,'Pokemon Editor'!$F:$F,0)+31+FLOOR(XLOOKUP($Q857,'Threshold Summary'!$Y:$Y,'Threshold Summary'!$P:$P,"")/4))*XLOOKUP($Q857,'Threshold Summary'!$Y:$Y,'Threshold Summary'!$L:$L,""))/100)+5)*XLOOKUP(XLOOKUP($Q857,'Threshold Summary'!$Y:$Y,'Threshold Summary'!$M:$M,""),'Nature Editor'!$A:$A,'Nature Editor'!$B:$B,1)),FLOOR((FLOOR(((2*XLOOKUP(XLOOKUP($Q857,'Threshold Summary'!$Y:$Y,'Threshold Summary'!$K:$K,""),'Pokemon Editor'!$A:$A,'Pokemon Editor'!$H:$H,0)+31+FLOOR(XLOOKUP($Q857,'Threshold Summary'!$Y:$Y,'Threshold Summary'!$R:$R,"")/4))*XLOOKUP($Q857,'Threshold Summary'!$Y:$Y,'Threshold Summary'!$L:$L,""))/100)+5)*XLOOKUP(XLOOKUP($Q857,'Threshold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Editor'!$E:$E,1))),stab,IF(OR(mtype=XLOOKUP(XLOOKUP($Q857,'Threshold Summary'!$Y:$Y,'Threshold Summary'!$K:$K,""),'Pokemon Editor'!$A:$A,'Pokemon Editor'!$C:$C,""),mtype=XLOOKUP(XLOOKUP($Q857,'Threshold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Chart'!$B$1:$S$1,0)))),base,IF(OR(cat="Status",pow=0),0,FLOOR(FLOOR(FLOOR((2*XLOOKUP($Q857,'Threshold Summary'!$Y:$Y,'Threshold Summary'!$L:$L,"")/5+2)*pow*atk/def)/50)+2)),modifier,stab*eff,FLOOR(base*modifier*0.85)),0)</f>
        <v/>
      </c>
      <c r="K857" s="3">
        <f>IFERROR(LET(mtype,XLOOKUP($D857,'Move Editor'!$B:$B,'Move Editor'!$C:$C,""),cat,XLOOKUP($D857,'Move Editor'!$B:$B,'Move Editor'!$D:$D,""),pow,XLOOKUP($D857,'Move Editor'!$B:$B,'Move Editor'!$E:$E,0),acc,XLOOKUP($D857,'Move Editor'!$B:$B,'Move Editor'!$F:$F,100),atk,IF(cat="Physical",FLOOR((FLOOR(((2*XLOOKUP(XLOOKUP($Q857,'Threshold Summary'!$Y:$Y,'Threshold Summary'!$K:$K,""),'Pokemon Editor'!$A:$A,'Pokemon Editor'!$F:$F,0)+31+FLOOR(XLOOKUP($Q857,'Threshold Summary'!$Y:$Y,'Threshold Summary'!$P:$P,"")/4))*XLOOKUP($Q857,'Threshold Summary'!$Y:$Y,'Threshold Summary'!$L:$L,""))/100)+5)*XLOOKUP(XLOOKUP($Q857,'Threshold Summary'!$Y:$Y,'Threshold Summary'!$M:$M,""),'Nature Editor'!$A:$A,'Nature Editor'!$B:$B,1)),FLOOR((FLOOR(((2*XLOOKUP(XLOOKUP($Q857,'Threshold Summary'!$Y:$Y,'Threshold Summary'!$K:$K,""),'Pokemon Editor'!$A:$A,'Pokemon Editor'!$H:$H,0)+31+FLOOR(XLOOKUP($Q857,'Threshold Summary'!$Y:$Y,'Threshold Summary'!$R:$R,"")/4))*XLOOKUP($Q857,'Threshold Summary'!$Y:$Y,'Threshold Summary'!$L:$L,""))/100)+5)*XLOOKUP(XLOOKUP($Q857,'Threshold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Editor'!$E:$E,1))),stab,IF(OR(mtype=XLOOKUP(XLOOKUP($Q857,'Threshold Summary'!$Y:$Y,'Threshold Summary'!$K:$K,""),'Pokemon Editor'!$A:$A,'Pokemon Editor'!$C:$C,""),mtype=XLOOKUP(XLOOKUP($Q857,'Threshold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Chart'!$B$1:$S$1,0)))),base,IF(OR(cat="Status",pow=0),0,FLOOR(FLOOR(FLOOR((2*XLOOKUP($Q857,'Threshold Summary'!$Y:$Y,'Threshold Summary'!$L:$L,"")/5+2)*pow*atk/def)/50)+2)),modifier,stab*eff,FLOOR(base*modifier)),0)</f>
        <v/>
      </c>
      <c r="L857" s="3">
        <f>IFERROR(LET(mtype,XLOOKUP($D857,'Move Editor'!$B:$B,'Move Editor'!$C:$C,""),cat,XLOOKUP($D857,'Move Editor'!$B:$B,'Move Editor'!$D:$D,""),pow,XLOOKUP($D857,'Move Editor'!$B:$B,'Move Editor'!$E:$E,0),acc,XLOOKUP($D857,'Move Editor'!$B:$B,'Move Editor'!$F:$F,100),atk,IF(cat="Physical",FLOOR((FLOOR(((2*XLOOKUP(XLOOKUP($Q857,'Threshold Summary'!$Y:$Y,'Threshold Summary'!$K:$K,""),'Pokemon Editor'!$A:$A,'Pokemon Editor'!$F:$F,0)+31+FLOOR(XLOOKUP($Q857,'Threshold Summary'!$Y:$Y,'Threshold Summary'!$P:$P,"")/4))*XLOOKUP($Q857,'Threshold Summary'!$Y:$Y,'Threshold Summary'!$L:$L,""))/100)+5)*XLOOKUP(XLOOKUP($Q857,'Threshold Summary'!$Y:$Y,'Threshold Summary'!$M:$M,""),'Nature Editor'!$A:$A,'Nature Editor'!$B:$B,1)),FLOOR((FLOOR(((2*XLOOKUP(XLOOKUP($Q857,'Threshold Summary'!$Y:$Y,'Threshold Summary'!$K:$K,""),'Pokemon Editor'!$A:$A,'Pokemon Editor'!$H:$H,0)+31+FLOOR(XLOOKUP($Q857,'Threshold Summary'!$Y:$Y,'Threshold Summary'!$R:$R,"")/4))*XLOOKUP($Q857,'Threshold Summary'!$Y:$Y,'Threshold Summary'!$L:$L,""))/100)+5)*XLOOKUP(XLOOKUP($Q857,'Threshold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Editor'!$E:$E,1))),stab,IF(OR(mtype=XLOOKUP(XLOOKUP($Q857,'Threshold Summary'!$Y:$Y,'Threshold Summary'!$K:$K,""),'Pokemon Editor'!$A:$A,'Pokemon Editor'!$C:$C,""),mtype=XLOOKUP(XLOOKUP($Q857,'Threshold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Chart'!$B$1:$S$1,0)))),base,IF(OR(cat="Status",pow=0),0,FLOOR(FLOOR(FLOOR((2*XLOOKUP($Q857,'Threshold Summary'!$Y:$Y,'Threshold Summary'!$L:$L,"")/5+2)*pow*atk/def)/50)+2)),modifier,stab*eff,AVERAGE(ARRAYFORMULA(FLOOR(base*modifier*SEQUENCE(16,1,85,1)/100)))),0)</f>
        <v/>
      </c>
      <c r="M857" s="3">
        <f>IFERROR(LET(mtype,XLOOKUP($D857,'Move Editor'!$B:$B,'Move Editor'!$C:$C,""),cat,XLOOKUP($D857,'Move Editor'!$B:$B,'Move Editor'!$D:$D,""),pow,XLOOKUP($D857,'Move Editor'!$B:$B,'Move Editor'!$E:$E,0),acc,XLOOKUP($D857,'Move Editor'!$B:$B,'Move Editor'!$F:$F,100),atk,IF(cat="Physical",FLOOR((FLOOR(((2*XLOOKUP(XLOOKUP($Q857,'Threshold Summary'!$Y:$Y,'Threshold Summary'!$K:$K,""),'Pokemon Editor'!$A:$A,'Pokemon Editor'!$F:$F,0)+31+FLOOR(XLOOKUP($Q857,'Threshold Summary'!$Y:$Y,'Threshold Summary'!$P:$P,"")/4))*XLOOKUP($Q857,'Threshold Summary'!$Y:$Y,'Threshold Summary'!$L:$L,""))/100)+5)*XLOOKUP(XLOOKUP($Q857,'Threshold Summary'!$Y:$Y,'Threshold Summary'!$M:$M,""),'Nature Editor'!$A:$A,'Nature Editor'!$B:$B,1)),FLOOR((FLOOR(((2*XLOOKUP(XLOOKUP($Q857,'Threshold Summary'!$Y:$Y,'Threshold Summary'!$K:$K,""),'Pokemon Editor'!$A:$A,'Pokemon Editor'!$H:$H,0)+31+FLOOR(XLOOKUP($Q857,'Threshold Summary'!$Y:$Y,'Threshold Summary'!$R:$R,"")/4))*XLOOKUP($Q857,'Threshold Summary'!$Y:$Y,'Threshold Summary'!$L:$L,""))/100)+5)*XLOOKUP(XLOOKUP($Q857,'Threshold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Editor'!$E:$E,1))),stab,IF(OR(mtype=XLOOKUP(XLOOKUP($Q857,'Threshold Summary'!$Y:$Y,'Threshold Summary'!$K:$K,""),'Pokemon Editor'!$A:$A,'Pokemon Editor'!$C:$C,""),mtype=XLOOKUP(XLOOKUP($Q857,'Threshold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Chart'!$B$1:$S$1,0)))),base,IF(OR(cat="Status",pow=0),0,FLOOR(FLOOR(FLOOR((2*XLOOKUP($Q857,'Threshold Summary'!$Y:$Y,'Threshold Summary'!$L:$L,"")/5+2)*pow*atk/def)/50)+2)),modifier,stab*eff,AVERAGE(ARRAYFORMULA(FLOOR(base*modifier*SEQUENCE(16,1,85,1)/100)))*MIN(1,acc/100)),0)</f>
        <v/>
      </c>
      <c r="N857" s="4">
        <f>IFERROR(LET(mtype,XLOOKUP($D857,'Move Editor'!$B:$B,'Move Editor'!$C:$C,""),cat,XLOOKUP($D857,'Move Editor'!$B:$B,'Move Editor'!$D:$D,""),pow,XLOOKUP($D857,'Move Editor'!$B:$B,'Move Editor'!$E:$E,0),acc,XLOOKUP($D857,'Move Editor'!$B:$B,'Move Editor'!$F:$F,100),atk,IF(cat="Physical",FLOOR((FLOOR(((2*XLOOKUP(XLOOKUP($Q857,'Threshold Summary'!$Y:$Y,'Threshold Summary'!$K:$K,""),'Pokemon Editor'!$A:$A,'Pokemon Editor'!$F:$F,0)+31+FLOOR(XLOOKUP($Q857,'Threshold Summary'!$Y:$Y,'Threshold Summary'!$P:$P,"")/4))*XLOOKUP($Q857,'Threshold Summary'!$Y:$Y,'Threshold Summary'!$L:$L,""))/100)+5)*XLOOKUP(XLOOKUP($Q857,'Threshold Summary'!$Y:$Y,'Threshold Summary'!$M:$M,""),'Nature Editor'!$A:$A,'Nature Editor'!$B:$B,1)),FLOOR((FLOOR(((2*XLOOKUP(XLOOKUP($Q857,'Threshold Summary'!$Y:$Y,'Threshold Summary'!$K:$K,""),'Pokemon Editor'!$A:$A,'Pokemon Editor'!$H:$H,0)+31+FLOOR(XLOOKUP($Q857,'Threshold Summary'!$Y:$Y,'Threshold Summary'!$R:$R,"")/4))*XLOOKUP($Q857,'Threshold Summary'!$Y:$Y,'Threshold Summary'!$L:$L,""))/100)+5)*XLOOKUP(XLOOKUP($Q857,'Threshold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Editor'!$E:$E,1))),stab,IF(OR(mtype=XLOOKUP(XLOOKUP($Q857,'Threshold Summary'!$Y:$Y,'Threshold Summary'!$K:$K,""),'Pokemon Editor'!$A:$A,'Pokemon Editor'!$C:$C,""),mtype=XLOOKUP(XLOOKUP($Q857,'Threshold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Chart'!$B$1:$S$1,0)))),base,IF(OR(cat="Status",pow=0),0,FLOOR(FLOOR(FLOOR((2*XLOOKUP($Q857,'Threshold Summary'!$Y:$Y,'Threshold Summary'!$L:$L,"")/5+2)*pow*atk/def)/50)+2)),modifier,stab*eff,AVERAGE(ARRAYFORMULA(FLOOR(base*modifier*SEQUENCE(16,1,85,1)/100)))/(FLOOR(((2*XLOOKUP('Boss Editor'!$C$4,'Pokemon Editor'!$A:$A,'Pokemon Editor'!$E:$E,0)+31+FLOOR('Boss Editor'!$G$4/4))*'Boss Editor'!$D$4)/100)+'Boss Editor'!$D$4+10)),0)</f>
        <v/>
      </c>
      <c r="O857" s="3">
        <f>IF(N857&gt;=1,"OHKO",IF(N857&gt;=0.5,"2HKO",IF(N857&gt;=0.333,"3HKO",IF(N857&gt;=0.25,"4HKO","5HKO+"))))</f>
        <v/>
      </c>
      <c r="P857" s="3" t="inlineStr">
        <is>
          <t>Live from editable databases</t>
        </is>
      </c>
      <c r="Q857" s="3" t="inlineStr">
        <is>
          <t>SPECIES_TOXEL</t>
        </is>
      </c>
      <c r="R857" s="3" t="n">
        <v>24</v>
      </c>
    </row>
    <row r="858">
      <c r="A858" s="3">
        <f>XLOOKUP($Q858,'Threshold Summary'!$Y:$Y,'Threshold Summary'!$A:$A,"")</f>
        <v/>
      </c>
      <c r="B858" s="3">
        <f>XLOOKUP($Q858,'Threshold Summary'!$Y:$Y,'Threshold Summary'!$M:$M,"")</f>
        <v/>
      </c>
      <c r="C858" s="3">
        <f>XLOOKUP($Q858,'Threshold Summary'!$Y:$Y,'Threshold Summary'!$N:$N,"")</f>
        <v/>
      </c>
      <c r="D858" s="3">
        <f>IFERROR(INDEX(FILTER('Learnset Editor'!$D$2:$D,'Learnset Editor'!$A$2:$A=XLOOKUP($Q858,'Threshold Summary'!$Y:$Y,'Threshold Summary'!$K:$K,""),'Learnset Editor'!$C$2:$C&lt;=XLOOKUP($Q858,'Threshold Summary'!$Y:$Y,'Threshold Summary'!$L:$L,"")),$R858),"")</f>
        <v/>
      </c>
      <c r="E858" s="3">
        <f>XLOOKUP(D858,'Move Editor'!$B:$B,'Move Editor'!$C:$C,"")</f>
        <v/>
      </c>
      <c r="F858" s="3">
        <f>XLOOKUP(D858,'Move Editor'!$B:$B,'Move Editor'!$D:$D,"")</f>
        <v/>
      </c>
      <c r="G858" s="3">
        <f>XLOOKUP(D858,'Move Editor'!$B:$B,'Move Editor'!$E:$E,0)</f>
        <v/>
      </c>
      <c r="H858" s="3">
        <f>XLOOKUP(D858,'Move Editor'!$B:$B,'Move Editor'!$F:$F,0)</f>
        <v/>
      </c>
      <c r="I858" s="3">
        <f>(INDEX('Type Chart'!$B:$S,MATCH(E858,'Type Chart'!$A:$A,0),MATCH(XLOOKUP('Boss Editor'!$C$4,'Pokemon Editor'!$A:$A,'Pokemon Editor'!$C:$C,""),'Type Chart'!$B$1:$S$1,0))*IF(XLOOKUP('Boss Editor'!$C$4,'Pokemon Editor'!$A:$A,'Pokemon Editor'!$D:$D,"")="",1,INDEX('Type Chart'!$B:$S,MATCH(E858,'Type Chart'!$A:$A,0),MATCH(XLOOKUP('Boss Editor'!$C$4,'Pokemon Editor'!$A:$A,'Pokemon Editor'!$D:$D,""),'Type Chart'!$B$1:$S$1,0))))</f>
        <v/>
      </c>
      <c r="J858" s="3">
        <f>IFERROR(LET(mtype,XLOOKUP($D858,'Move Editor'!$B:$B,'Move Editor'!$C:$C,""),cat,XLOOKUP($D858,'Move Editor'!$B:$B,'Move Editor'!$D:$D,""),pow,XLOOKUP($D858,'Move Editor'!$B:$B,'Move Editor'!$E:$E,0),acc,XLOOKUP($D858,'Move Editor'!$B:$B,'Move Editor'!$F:$F,100),atk,IF(cat="Physical",FLOOR((FLOOR(((2*XLOOKUP(XLOOKUP($Q858,'Threshold Summary'!$Y:$Y,'Threshold Summary'!$K:$K,""),'Pokemon Editor'!$A:$A,'Pokemon Editor'!$F:$F,0)+31+FLOOR(XLOOKUP($Q858,'Threshold Summary'!$Y:$Y,'Threshold Summary'!$P:$P,"")/4))*XLOOKUP($Q858,'Threshold Summary'!$Y:$Y,'Threshold Summary'!$L:$L,""))/100)+5)*XLOOKUP(XLOOKUP($Q858,'Threshold Summary'!$Y:$Y,'Threshold Summary'!$M:$M,""),'Nature Editor'!$A:$A,'Nature Editor'!$B:$B,1)),FLOOR((FLOOR(((2*XLOOKUP(XLOOKUP($Q858,'Threshold Summary'!$Y:$Y,'Threshold Summary'!$K:$K,""),'Pokemon Editor'!$A:$A,'Pokemon Editor'!$H:$H,0)+31+FLOOR(XLOOKUP($Q858,'Threshold Summary'!$Y:$Y,'Threshold Summary'!$R:$R,"")/4))*XLOOKUP($Q858,'Threshold Summary'!$Y:$Y,'Threshold Summary'!$L:$L,""))/100)+5)*XLOOKUP(XLOOKUP($Q858,'Threshold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Editor'!$E:$E,1))),stab,IF(OR(mtype=XLOOKUP(XLOOKUP($Q858,'Threshold Summary'!$Y:$Y,'Threshold Summary'!$K:$K,""),'Pokemon Editor'!$A:$A,'Pokemon Editor'!$C:$C,""),mtype=XLOOKUP(XLOOKUP($Q858,'Threshold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Chart'!$B$1:$S$1,0)))),base,IF(OR(cat="Status",pow=0),0,FLOOR(FLOOR(FLOOR((2*XLOOKUP($Q858,'Threshold Summary'!$Y:$Y,'Threshold Summary'!$L:$L,"")/5+2)*pow*atk/def)/50)+2)),modifier,stab*eff,FLOOR(base*modifier*0.85)),0)</f>
        <v/>
      </c>
      <c r="K858" s="3">
        <f>IFERROR(LET(mtype,XLOOKUP($D858,'Move Editor'!$B:$B,'Move Editor'!$C:$C,""),cat,XLOOKUP($D858,'Move Editor'!$B:$B,'Move Editor'!$D:$D,""),pow,XLOOKUP($D858,'Move Editor'!$B:$B,'Move Editor'!$E:$E,0),acc,XLOOKUP($D858,'Move Editor'!$B:$B,'Move Editor'!$F:$F,100),atk,IF(cat="Physical",FLOOR((FLOOR(((2*XLOOKUP(XLOOKUP($Q858,'Threshold Summary'!$Y:$Y,'Threshold Summary'!$K:$K,""),'Pokemon Editor'!$A:$A,'Pokemon Editor'!$F:$F,0)+31+FLOOR(XLOOKUP($Q858,'Threshold Summary'!$Y:$Y,'Threshold Summary'!$P:$P,"")/4))*XLOOKUP($Q858,'Threshold Summary'!$Y:$Y,'Threshold Summary'!$L:$L,""))/100)+5)*XLOOKUP(XLOOKUP($Q858,'Threshold Summary'!$Y:$Y,'Threshold Summary'!$M:$M,""),'Nature Editor'!$A:$A,'Nature Editor'!$B:$B,1)),FLOOR((FLOOR(((2*XLOOKUP(XLOOKUP($Q858,'Threshold Summary'!$Y:$Y,'Threshold Summary'!$K:$K,""),'Pokemon Editor'!$A:$A,'Pokemon Editor'!$H:$H,0)+31+FLOOR(XLOOKUP($Q858,'Threshold Summary'!$Y:$Y,'Threshold Summary'!$R:$R,"")/4))*XLOOKUP($Q858,'Threshold Summary'!$Y:$Y,'Threshold Summary'!$L:$L,""))/100)+5)*XLOOKUP(XLOOKUP($Q858,'Threshold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Editor'!$E:$E,1))),stab,IF(OR(mtype=XLOOKUP(XLOOKUP($Q858,'Threshold Summary'!$Y:$Y,'Threshold Summary'!$K:$K,""),'Pokemon Editor'!$A:$A,'Pokemon Editor'!$C:$C,""),mtype=XLOOKUP(XLOOKUP($Q858,'Threshold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Chart'!$B$1:$S$1,0)))),base,IF(OR(cat="Status",pow=0),0,FLOOR(FLOOR(FLOOR((2*XLOOKUP($Q858,'Threshold Summary'!$Y:$Y,'Threshold Summary'!$L:$L,"")/5+2)*pow*atk/def)/50)+2)),modifier,stab*eff,FLOOR(base*modifier)),0)</f>
        <v/>
      </c>
      <c r="L858" s="3">
        <f>IFERROR(LET(mtype,XLOOKUP($D858,'Move Editor'!$B:$B,'Move Editor'!$C:$C,""),cat,XLOOKUP($D858,'Move Editor'!$B:$B,'Move Editor'!$D:$D,""),pow,XLOOKUP($D858,'Move Editor'!$B:$B,'Move Editor'!$E:$E,0),acc,XLOOKUP($D858,'Move Editor'!$B:$B,'Move Editor'!$F:$F,100),atk,IF(cat="Physical",FLOOR((FLOOR(((2*XLOOKUP(XLOOKUP($Q858,'Threshold Summary'!$Y:$Y,'Threshold Summary'!$K:$K,""),'Pokemon Editor'!$A:$A,'Pokemon Editor'!$F:$F,0)+31+FLOOR(XLOOKUP($Q858,'Threshold Summary'!$Y:$Y,'Threshold Summary'!$P:$P,"")/4))*XLOOKUP($Q858,'Threshold Summary'!$Y:$Y,'Threshold Summary'!$L:$L,""))/100)+5)*XLOOKUP(XLOOKUP($Q858,'Threshold Summary'!$Y:$Y,'Threshold Summary'!$M:$M,""),'Nature Editor'!$A:$A,'Nature Editor'!$B:$B,1)),FLOOR((FLOOR(((2*XLOOKUP(XLOOKUP($Q858,'Threshold Summary'!$Y:$Y,'Threshold Summary'!$K:$K,""),'Pokemon Editor'!$A:$A,'Pokemon Editor'!$H:$H,0)+31+FLOOR(XLOOKUP($Q858,'Threshold Summary'!$Y:$Y,'Threshold Summary'!$R:$R,"")/4))*XLOOKUP($Q858,'Threshold Summary'!$Y:$Y,'Threshold Summary'!$L:$L,""))/100)+5)*XLOOKUP(XLOOKUP($Q858,'Threshold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Editor'!$E:$E,1))),stab,IF(OR(mtype=XLOOKUP(XLOOKUP($Q858,'Threshold Summary'!$Y:$Y,'Threshold Summary'!$K:$K,""),'Pokemon Editor'!$A:$A,'Pokemon Editor'!$C:$C,""),mtype=XLOOKUP(XLOOKUP($Q858,'Threshold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Chart'!$B$1:$S$1,0)))),base,IF(OR(cat="Status",pow=0),0,FLOOR(FLOOR(FLOOR((2*XLOOKUP($Q858,'Threshold Summary'!$Y:$Y,'Threshold Summary'!$L:$L,"")/5+2)*pow*atk/def)/50)+2)),modifier,stab*eff,AVERAGE(ARRAYFORMULA(FLOOR(base*modifier*SEQUENCE(16,1,85,1)/100)))),0)</f>
        <v/>
      </c>
      <c r="M858" s="3">
        <f>IFERROR(LET(mtype,XLOOKUP($D858,'Move Editor'!$B:$B,'Move Editor'!$C:$C,""),cat,XLOOKUP($D858,'Move Editor'!$B:$B,'Move Editor'!$D:$D,""),pow,XLOOKUP($D858,'Move Editor'!$B:$B,'Move Editor'!$E:$E,0),acc,XLOOKUP($D858,'Move Editor'!$B:$B,'Move Editor'!$F:$F,100),atk,IF(cat="Physical",FLOOR((FLOOR(((2*XLOOKUP(XLOOKUP($Q858,'Threshold Summary'!$Y:$Y,'Threshold Summary'!$K:$K,""),'Pokemon Editor'!$A:$A,'Pokemon Editor'!$F:$F,0)+31+FLOOR(XLOOKUP($Q858,'Threshold Summary'!$Y:$Y,'Threshold Summary'!$P:$P,"")/4))*XLOOKUP($Q858,'Threshold Summary'!$Y:$Y,'Threshold Summary'!$L:$L,""))/100)+5)*XLOOKUP(XLOOKUP($Q858,'Threshold Summary'!$Y:$Y,'Threshold Summary'!$M:$M,""),'Nature Editor'!$A:$A,'Nature Editor'!$B:$B,1)),FLOOR((FLOOR(((2*XLOOKUP(XLOOKUP($Q858,'Threshold Summary'!$Y:$Y,'Threshold Summary'!$K:$K,""),'Pokemon Editor'!$A:$A,'Pokemon Editor'!$H:$H,0)+31+FLOOR(XLOOKUP($Q858,'Threshold Summary'!$Y:$Y,'Threshold Summary'!$R:$R,"")/4))*XLOOKUP($Q858,'Threshold Summary'!$Y:$Y,'Threshold Summary'!$L:$L,""))/100)+5)*XLOOKUP(XLOOKUP($Q858,'Threshold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Editor'!$E:$E,1))),stab,IF(OR(mtype=XLOOKUP(XLOOKUP($Q858,'Threshold Summary'!$Y:$Y,'Threshold Summary'!$K:$K,""),'Pokemon Editor'!$A:$A,'Pokemon Editor'!$C:$C,""),mtype=XLOOKUP(XLOOKUP($Q858,'Threshold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Chart'!$B$1:$S$1,0)))),base,IF(OR(cat="Status",pow=0),0,FLOOR(FLOOR(FLOOR((2*XLOOKUP($Q858,'Threshold Summary'!$Y:$Y,'Threshold Summary'!$L:$L,"")/5+2)*pow*atk/def)/50)+2)),modifier,stab*eff,AVERAGE(ARRAYFORMULA(FLOOR(base*modifier*SEQUENCE(16,1,85,1)/100)))*MIN(1,acc/100)),0)</f>
        <v/>
      </c>
      <c r="N858" s="4">
        <f>IFERROR(LET(mtype,XLOOKUP($D858,'Move Editor'!$B:$B,'Move Editor'!$C:$C,""),cat,XLOOKUP($D858,'Move Editor'!$B:$B,'Move Editor'!$D:$D,""),pow,XLOOKUP($D858,'Move Editor'!$B:$B,'Move Editor'!$E:$E,0),acc,XLOOKUP($D858,'Move Editor'!$B:$B,'Move Editor'!$F:$F,100),atk,IF(cat="Physical",FLOOR((FLOOR(((2*XLOOKUP(XLOOKUP($Q858,'Threshold Summary'!$Y:$Y,'Threshold Summary'!$K:$K,""),'Pokemon Editor'!$A:$A,'Pokemon Editor'!$F:$F,0)+31+FLOOR(XLOOKUP($Q858,'Threshold Summary'!$Y:$Y,'Threshold Summary'!$P:$P,"")/4))*XLOOKUP($Q858,'Threshold Summary'!$Y:$Y,'Threshold Summary'!$L:$L,""))/100)+5)*XLOOKUP(XLOOKUP($Q858,'Threshold Summary'!$Y:$Y,'Threshold Summary'!$M:$M,""),'Nature Editor'!$A:$A,'Nature Editor'!$B:$B,1)),FLOOR((FLOOR(((2*XLOOKUP(XLOOKUP($Q858,'Threshold Summary'!$Y:$Y,'Threshold Summary'!$K:$K,""),'Pokemon Editor'!$A:$A,'Pokemon Editor'!$H:$H,0)+31+FLOOR(XLOOKUP($Q858,'Threshold Summary'!$Y:$Y,'Threshold Summary'!$R:$R,"")/4))*XLOOKUP($Q858,'Threshold Summary'!$Y:$Y,'Threshold Summary'!$L:$L,""))/100)+5)*XLOOKUP(XLOOKUP($Q858,'Threshold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Editor'!$E:$E,1))),stab,IF(OR(mtype=XLOOKUP(XLOOKUP($Q858,'Threshold Summary'!$Y:$Y,'Threshold Summary'!$K:$K,""),'Pokemon Editor'!$A:$A,'Pokemon Editor'!$C:$C,""),mtype=XLOOKUP(XLOOKUP($Q858,'Threshold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Chart'!$B$1:$S$1,0)))),base,IF(OR(cat="Status",pow=0),0,FLOOR(FLOOR(FLOOR((2*XLOOKUP($Q858,'Threshold Summary'!$Y:$Y,'Threshold Summary'!$L:$L,"")/5+2)*pow*atk/def)/50)+2)),modifier,stab*eff,AVERAGE(ARRAYFORMULA(FLOOR(base*modifier*SEQUENCE(16,1,85,1)/100)))/(FLOOR(((2*XLOOKUP('Boss Editor'!$C$4,'Pokemon Editor'!$A:$A,'Pokemon Editor'!$E:$E,0)+31+FLOOR('Boss Editor'!$G$4/4))*'Boss Editor'!$D$4)/100)+'Boss Editor'!$D$4+10)),0)</f>
        <v/>
      </c>
      <c r="O858" s="3">
        <f>IF(N858&gt;=1,"OHKO",IF(N858&gt;=0.5,"2HKO",IF(N858&gt;=0.333,"3HKO",IF(N858&gt;=0.25,"4HKO","5HKO+"))))</f>
        <v/>
      </c>
      <c r="P858" s="3" t="inlineStr">
        <is>
          <t>Live from editable databases</t>
        </is>
      </c>
      <c r="Q858" s="3" t="inlineStr">
        <is>
          <t>SPECIES_TOXEL</t>
        </is>
      </c>
      <c r="R858" s="3" t="n">
        <v>25</v>
      </c>
    </row>
    <row r="859">
      <c r="A859" s="3">
        <f>XLOOKUP($Q859,'Threshold Summary'!$Y:$Y,'Threshold Summary'!$A:$A,"")</f>
        <v/>
      </c>
      <c r="B859" s="3">
        <f>XLOOKUP($Q859,'Threshold Summary'!$Y:$Y,'Threshold Summary'!$M:$M,"")</f>
        <v/>
      </c>
      <c r="C859" s="3">
        <f>XLOOKUP($Q859,'Threshold Summary'!$Y:$Y,'Threshold Summary'!$N:$N,"")</f>
        <v/>
      </c>
      <c r="D859" s="3">
        <f>IFERROR(INDEX(FILTER('Learnset Editor'!$D$2:$D,'Learnset Editor'!$A$2:$A=XLOOKUP($Q859,'Threshold Summary'!$Y:$Y,'Threshold Summary'!$K:$K,""),'Learnset Editor'!$C$2:$C&lt;=XLOOKUP($Q859,'Threshold Summary'!$Y:$Y,'Threshold Summary'!$L:$L,"")),$R859),"")</f>
        <v/>
      </c>
      <c r="E859" s="3">
        <f>XLOOKUP(D859,'Move Editor'!$B:$B,'Move Editor'!$C:$C,"")</f>
        <v/>
      </c>
      <c r="F859" s="3">
        <f>XLOOKUP(D859,'Move Editor'!$B:$B,'Move Editor'!$D:$D,"")</f>
        <v/>
      </c>
      <c r="G859" s="3">
        <f>XLOOKUP(D859,'Move Editor'!$B:$B,'Move Editor'!$E:$E,0)</f>
        <v/>
      </c>
      <c r="H859" s="3">
        <f>XLOOKUP(D859,'Move Editor'!$B:$B,'Move Editor'!$F:$F,0)</f>
        <v/>
      </c>
      <c r="I859" s="3">
        <f>(INDEX('Type Chart'!$B:$S,MATCH(E859,'Type Chart'!$A:$A,0),MATCH(XLOOKUP('Boss Editor'!$C$4,'Pokemon Editor'!$A:$A,'Pokemon Editor'!$C:$C,""),'Type Chart'!$B$1:$S$1,0))*IF(XLOOKUP('Boss Editor'!$C$4,'Pokemon Editor'!$A:$A,'Pokemon Editor'!$D:$D,"")="",1,INDEX('Type Chart'!$B:$S,MATCH(E859,'Type Chart'!$A:$A,0),MATCH(XLOOKUP('Boss Editor'!$C$4,'Pokemon Editor'!$A:$A,'Pokemon Editor'!$D:$D,""),'Type Chart'!$B$1:$S$1,0))))</f>
        <v/>
      </c>
      <c r="J859" s="3">
        <f>IFERROR(LET(mtype,XLOOKUP($D859,'Move Editor'!$B:$B,'Move Editor'!$C:$C,""),cat,XLOOKUP($D859,'Move Editor'!$B:$B,'Move Editor'!$D:$D,""),pow,XLOOKUP($D859,'Move Editor'!$B:$B,'Move Editor'!$E:$E,0),acc,XLOOKUP($D859,'Move Editor'!$B:$B,'Move Editor'!$F:$F,100),atk,IF(cat="Physical",FLOOR((FLOOR(((2*XLOOKUP(XLOOKUP($Q859,'Threshold Summary'!$Y:$Y,'Threshold Summary'!$K:$K,""),'Pokemon Editor'!$A:$A,'Pokemon Editor'!$F:$F,0)+31+FLOOR(XLOOKUP($Q859,'Threshold Summary'!$Y:$Y,'Threshold Summary'!$P:$P,"")/4))*XLOOKUP($Q859,'Threshold Summary'!$Y:$Y,'Threshold Summary'!$L:$L,""))/100)+5)*XLOOKUP(XLOOKUP($Q859,'Threshold Summary'!$Y:$Y,'Threshold Summary'!$M:$M,""),'Nature Editor'!$A:$A,'Nature Editor'!$B:$B,1)),FLOOR((FLOOR(((2*XLOOKUP(XLOOKUP($Q859,'Threshold Summary'!$Y:$Y,'Threshold Summary'!$K:$K,""),'Pokemon Editor'!$A:$A,'Pokemon Editor'!$H:$H,0)+31+FLOOR(XLOOKUP($Q859,'Threshold Summary'!$Y:$Y,'Threshold Summary'!$R:$R,"")/4))*XLOOKUP($Q859,'Threshold Summary'!$Y:$Y,'Threshold Summary'!$L:$L,""))/100)+5)*XLOOKUP(XLOOKUP($Q859,'Threshold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Editor'!$E:$E,1))),stab,IF(OR(mtype=XLOOKUP(XLOOKUP($Q859,'Threshold Summary'!$Y:$Y,'Threshold Summary'!$K:$K,""),'Pokemon Editor'!$A:$A,'Pokemon Editor'!$C:$C,""),mtype=XLOOKUP(XLOOKUP($Q859,'Threshold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Chart'!$B$1:$S$1,0)))),base,IF(OR(cat="Status",pow=0),0,FLOOR(FLOOR(FLOOR((2*XLOOKUP($Q859,'Threshold Summary'!$Y:$Y,'Threshold Summary'!$L:$L,"")/5+2)*pow*atk/def)/50)+2)),modifier,stab*eff,FLOOR(base*modifier*0.85)),0)</f>
        <v/>
      </c>
      <c r="K859" s="3">
        <f>IFERROR(LET(mtype,XLOOKUP($D859,'Move Editor'!$B:$B,'Move Editor'!$C:$C,""),cat,XLOOKUP($D859,'Move Editor'!$B:$B,'Move Editor'!$D:$D,""),pow,XLOOKUP($D859,'Move Editor'!$B:$B,'Move Editor'!$E:$E,0),acc,XLOOKUP($D859,'Move Editor'!$B:$B,'Move Editor'!$F:$F,100),atk,IF(cat="Physical",FLOOR((FLOOR(((2*XLOOKUP(XLOOKUP($Q859,'Threshold Summary'!$Y:$Y,'Threshold Summary'!$K:$K,""),'Pokemon Editor'!$A:$A,'Pokemon Editor'!$F:$F,0)+31+FLOOR(XLOOKUP($Q859,'Threshold Summary'!$Y:$Y,'Threshold Summary'!$P:$P,"")/4))*XLOOKUP($Q859,'Threshold Summary'!$Y:$Y,'Threshold Summary'!$L:$L,""))/100)+5)*XLOOKUP(XLOOKUP($Q859,'Threshold Summary'!$Y:$Y,'Threshold Summary'!$M:$M,""),'Nature Editor'!$A:$A,'Nature Editor'!$B:$B,1)),FLOOR((FLOOR(((2*XLOOKUP(XLOOKUP($Q859,'Threshold Summary'!$Y:$Y,'Threshold Summary'!$K:$K,""),'Pokemon Editor'!$A:$A,'Pokemon Editor'!$H:$H,0)+31+FLOOR(XLOOKUP($Q859,'Threshold Summary'!$Y:$Y,'Threshold Summary'!$R:$R,"")/4))*XLOOKUP($Q859,'Threshold Summary'!$Y:$Y,'Threshold Summary'!$L:$L,""))/100)+5)*XLOOKUP(XLOOKUP($Q859,'Threshold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Editor'!$E:$E,1))),stab,IF(OR(mtype=XLOOKUP(XLOOKUP($Q859,'Threshold Summary'!$Y:$Y,'Threshold Summary'!$K:$K,""),'Pokemon Editor'!$A:$A,'Pokemon Editor'!$C:$C,""),mtype=XLOOKUP(XLOOKUP($Q859,'Threshold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Chart'!$B$1:$S$1,0)))),base,IF(OR(cat="Status",pow=0),0,FLOOR(FLOOR(FLOOR((2*XLOOKUP($Q859,'Threshold Summary'!$Y:$Y,'Threshold Summary'!$L:$L,"")/5+2)*pow*atk/def)/50)+2)),modifier,stab*eff,FLOOR(base*modifier)),0)</f>
        <v/>
      </c>
      <c r="L859" s="3">
        <f>IFERROR(LET(mtype,XLOOKUP($D859,'Move Editor'!$B:$B,'Move Editor'!$C:$C,""),cat,XLOOKUP($D859,'Move Editor'!$B:$B,'Move Editor'!$D:$D,""),pow,XLOOKUP($D859,'Move Editor'!$B:$B,'Move Editor'!$E:$E,0),acc,XLOOKUP($D859,'Move Editor'!$B:$B,'Move Editor'!$F:$F,100),atk,IF(cat="Physical",FLOOR((FLOOR(((2*XLOOKUP(XLOOKUP($Q859,'Threshold Summary'!$Y:$Y,'Threshold Summary'!$K:$K,""),'Pokemon Editor'!$A:$A,'Pokemon Editor'!$F:$F,0)+31+FLOOR(XLOOKUP($Q859,'Threshold Summary'!$Y:$Y,'Threshold Summary'!$P:$P,"")/4))*XLOOKUP($Q859,'Threshold Summary'!$Y:$Y,'Threshold Summary'!$L:$L,""))/100)+5)*XLOOKUP(XLOOKUP($Q859,'Threshold Summary'!$Y:$Y,'Threshold Summary'!$M:$M,""),'Nature Editor'!$A:$A,'Nature Editor'!$B:$B,1)),FLOOR((FLOOR(((2*XLOOKUP(XLOOKUP($Q859,'Threshold Summary'!$Y:$Y,'Threshold Summary'!$K:$K,""),'Pokemon Editor'!$A:$A,'Pokemon Editor'!$H:$H,0)+31+FLOOR(XLOOKUP($Q859,'Threshold Summary'!$Y:$Y,'Threshold Summary'!$R:$R,"")/4))*XLOOKUP($Q859,'Threshold Summary'!$Y:$Y,'Threshold Summary'!$L:$L,""))/100)+5)*XLOOKUP(XLOOKUP($Q859,'Threshold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Editor'!$E:$E,1))),stab,IF(OR(mtype=XLOOKUP(XLOOKUP($Q859,'Threshold Summary'!$Y:$Y,'Threshold Summary'!$K:$K,""),'Pokemon Editor'!$A:$A,'Pokemon Editor'!$C:$C,""),mtype=XLOOKUP(XLOOKUP($Q859,'Threshold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Chart'!$B$1:$S$1,0)))),base,IF(OR(cat="Status",pow=0),0,FLOOR(FLOOR(FLOOR((2*XLOOKUP($Q859,'Threshold Summary'!$Y:$Y,'Threshold Summary'!$L:$L,"")/5+2)*pow*atk/def)/50)+2)),modifier,stab*eff,AVERAGE(ARRAYFORMULA(FLOOR(base*modifier*SEQUENCE(16,1,85,1)/100)))),0)</f>
        <v/>
      </c>
      <c r="M859" s="3">
        <f>IFERROR(LET(mtype,XLOOKUP($D859,'Move Editor'!$B:$B,'Move Editor'!$C:$C,""),cat,XLOOKUP($D859,'Move Editor'!$B:$B,'Move Editor'!$D:$D,""),pow,XLOOKUP($D859,'Move Editor'!$B:$B,'Move Editor'!$E:$E,0),acc,XLOOKUP($D859,'Move Editor'!$B:$B,'Move Editor'!$F:$F,100),atk,IF(cat="Physical",FLOOR((FLOOR(((2*XLOOKUP(XLOOKUP($Q859,'Threshold Summary'!$Y:$Y,'Threshold Summary'!$K:$K,""),'Pokemon Editor'!$A:$A,'Pokemon Editor'!$F:$F,0)+31+FLOOR(XLOOKUP($Q859,'Threshold Summary'!$Y:$Y,'Threshold Summary'!$P:$P,"")/4))*XLOOKUP($Q859,'Threshold Summary'!$Y:$Y,'Threshold Summary'!$L:$L,""))/100)+5)*XLOOKUP(XLOOKUP($Q859,'Threshold Summary'!$Y:$Y,'Threshold Summary'!$M:$M,""),'Nature Editor'!$A:$A,'Nature Editor'!$B:$B,1)),FLOOR((FLOOR(((2*XLOOKUP(XLOOKUP($Q859,'Threshold Summary'!$Y:$Y,'Threshold Summary'!$K:$K,""),'Pokemon Editor'!$A:$A,'Pokemon Editor'!$H:$H,0)+31+FLOOR(XLOOKUP($Q859,'Threshold Summary'!$Y:$Y,'Threshold Summary'!$R:$R,"")/4))*XLOOKUP($Q859,'Threshold Summary'!$Y:$Y,'Threshold Summary'!$L:$L,""))/100)+5)*XLOOKUP(XLOOKUP($Q859,'Threshold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Editor'!$E:$E,1))),stab,IF(OR(mtype=XLOOKUP(XLOOKUP($Q859,'Threshold Summary'!$Y:$Y,'Threshold Summary'!$K:$K,""),'Pokemon Editor'!$A:$A,'Pokemon Editor'!$C:$C,""),mtype=XLOOKUP(XLOOKUP($Q859,'Threshold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Chart'!$B$1:$S$1,0)))),base,IF(OR(cat="Status",pow=0),0,FLOOR(FLOOR(FLOOR((2*XLOOKUP($Q859,'Threshold Summary'!$Y:$Y,'Threshold Summary'!$L:$L,"")/5+2)*pow*atk/def)/50)+2)),modifier,stab*eff,AVERAGE(ARRAYFORMULA(FLOOR(base*modifier*SEQUENCE(16,1,85,1)/100)))*MIN(1,acc/100)),0)</f>
        <v/>
      </c>
      <c r="N859" s="4">
        <f>IFERROR(LET(mtype,XLOOKUP($D859,'Move Editor'!$B:$B,'Move Editor'!$C:$C,""),cat,XLOOKUP($D859,'Move Editor'!$B:$B,'Move Editor'!$D:$D,""),pow,XLOOKUP($D859,'Move Editor'!$B:$B,'Move Editor'!$E:$E,0),acc,XLOOKUP($D859,'Move Editor'!$B:$B,'Move Editor'!$F:$F,100),atk,IF(cat="Physical",FLOOR((FLOOR(((2*XLOOKUP(XLOOKUP($Q859,'Threshold Summary'!$Y:$Y,'Threshold Summary'!$K:$K,""),'Pokemon Editor'!$A:$A,'Pokemon Editor'!$F:$F,0)+31+FLOOR(XLOOKUP($Q859,'Threshold Summary'!$Y:$Y,'Threshold Summary'!$P:$P,"")/4))*XLOOKUP($Q859,'Threshold Summary'!$Y:$Y,'Threshold Summary'!$L:$L,""))/100)+5)*XLOOKUP(XLOOKUP($Q859,'Threshold Summary'!$Y:$Y,'Threshold Summary'!$M:$M,""),'Nature Editor'!$A:$A,'Nature Editor'!$B:$B,1)),FLOOR((FLOOR(((2*XLOOKUP(XLOOKUP($Q859,'Threshold Summary'!$Y:$Y,'Threshold Summary'!$K:$K,""),'Pokemon Editor'!$A:$A,'Pokemon Editor'!$H:$H,0)+31+FLOOR(XLOOKUP($Q859,'Threshold Summary'!$Y:$Y,'Threshold Summary'!$R:$R,"")/4))*XLOOKUP($Q859,'Threshold Summary'!$Y:$Y,'Threshold Summary'!$L:$L,""))/100)+5)*XLOOKUP(XLOOKUP($Q859,'Threshold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Editor'!$E:$E,1))),stab,IF(OR(mtype=XLOOKUP(XLOOKUP($Q859,'Threshold Summary'!$Y:$Y,'Threshold Summary'!$K:$K,""),'Pokemon Editor'!$A:$A,'Pokemon Editor'!$C:$C,""),mtype=XLOOKUP(XLOOKUP($Q859,'Threshold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Chart'!$B$1:$S$1,0)))),base,IF(OR(cat="Status",pow=0),0,FLOOR(FLOOR(FLOOR((2*XLOOKUP($Q859,'Threshold Summary'!$Y:$Y,'Threshold Summary'!$L:$L,"")/5+2)*pow*atk/def)/50)+2)),modifier,stab*eff,AVERAGE(ARRAYFORMULA(FLOOR(base*modifier*SEQUENCE(16,1,85,1)/100)))/(FLOOR(((2*XLOOKUP('Boss Editor'!$C$4,'Pokemon Editor'!$A:$A,'Pokemon Editor'!$E:$E,0)+31+FLOOR('Boss Editor'!$G$4/4))*'Boss Editor'!$D$4)/100)+'Boss Editor'!$D$4+10)),0)</f>
        <v/>
      </c>
      <c r="O859" s="3">
        <f>IF(N859&gt;=1,"OHKO",IF(N859&gt;=0.5,"2HKO",IF(N859&gt;=0.333,"3HKO",IF(N859&gt;=0.25,"4HKO","5HKO+"))))</f>
        <v/>
      </c>
      <c r="P859" s="3" t="inlineStr">
        <is>
          <t>Live from editable databases</t>
        </is>
      </c>
      <c r="Q859" s="3" t="inlineStr">
        <is>
          <t>SPECIES_TOXEL</t>
        </is>
      </c>
      <c r="R859" s="3" t="n">
        <v>26</v>
      </c>
    </row>
    <row r="860">
      <c r="A860" s="3">
        <f>XLOOKUP($Q860,'Threshold Summary'!$Y:$Y,'Threshold Summary'!$A:$A,"")</f>
        <v/>
      </c>
      <c r="B860" s="3">
        <f>XLOOKUP($Q860,'Threshold Summary'!$Y:$Y,'Threshold Summary'!$M:$M,"")</f>
        <v/>
      </c>
      <c r="C860" s="3">
        <f>XLOOKUP($Q860,'Threshold Summary'!$Y:$Y,'Threshold Summary'!$N:$N,"")</f>
        <v/>
      </c>
      <c r="D860" s="3">
        <f>IFERROR(INDEX(FILTER('Learnset Editor'!$D$2:$D,'Learnset Editor'!$A$2:$A=XLOOKUP($Q860,'Threshold Summary'!$Y:$Y,'Threshold Summary'!$K:$K,""),'Learnset Editor'!$C$2:$C&lt;=XLOOKUP($Q860,'Threshold Summary'!$Y:$Y,'Threshold Summary'!$L:$L,"")),$R860),"")</f>
        <v/>
      </c>
      <c r="E860" s="3">
        <f>XLOOKUP(D860,'Move Editor'!$B:$B,'Move Editor'!$C:$C,"")</f>
        <v/>
      </c>
      <c r="F860" s="3">
        <f>XLOOKUP(D860,'Move Editor'!$B:$B,'Move Editor'!$D:$D,"")</f>
        <v/>
      </c>
      <c r="G860" s="3">
        <f>XLOOKUP(D860,'Move Editor'!$B:$B,'Move Editor'!$E:$E,0)</f>
        <v/>
      </c>
      <c r="H860" s="3">
        <f>XLOOKUP(D860,'Move Editor'!$B:$B,'Move Editor'!$F:$F,0)</f>
        <v/>
      </c>
      <c r="I860" s="3">
        <f>(INDEX('Type Chart'!$B:$S,MATCH(E860,'Type Chart'!$A:$A,0),MATCH(XLOOKUP('Boss Editor'!$C$4,'Pokemon Editor'!$A:$A,'Pokemon Editor'!$C:$C,""),'Type Chart'!$B$1:$S$1,0))*IF(XLOOKUP('Boss Editor'!$C$4,'Pokemon Editor'!$A:$A,'Pokemon Editor'!$D:$D,"")="",1,INDEX('Type Chart'!$B:$S,MATCH(E860,'Type Chart'!$A:$A,0),MATCH(XLOOKUP('Boss Editor'!$C$4,'Pokemon Editor'!$A:$A,'Pokemon Editor'!$D:$D,""),'Type Chart'!$B$1:$S$1,0))))</f>
        <v/>
      </c>
      <c r="J860" s="3">
        <f>IFERROR(LET(mtype,XLOOKUP($D860,'Move Editor'!$B:$B,'Move Editor'!$C:$C,""),cat,XLOOKUP($D860,'Move Editor'!$B:$B,'Move Editor'!$D:$D,""),pow,XLOOKUP($D860,'Move Editor'!$B:$B,'Move Editor'!$E:$E,0),acc,XLOOKUP($D860,'Move Editor'!$B:$B,'Move Editor'!$F:$F,100),atk,IF(cat="Physical",FLOOR((FLOOR(((2*XLOOKUP(XLOOKUP($Q860,'Threshold Summary'!$Y:$Y,'Threshold Summary'!$K:$K,""),'Pokemon Editor'!$A:$A,'Pokemon Editor'!$F:$F,0)+31+FLOOR(XLOOKUP($Q860,'Threshold Summary'!$Y:$Y,'Threshold Summary'!$P:$P,"")/4))*XLOOKUP($Q860,'Threshold Summary'!$Y:$Y,'Threshold Summary'!$L:$L,""))/100)+5)*XLOOKUP(XLOOKUP($Q860,'Threshold Summary'!$Y:$Y,'Threshold Summary'!$M:$M,""),'Nature Editor'!$A:$A,'Nature Editor'!$B:$B,1)),FLOOR((FLOOR(((2*XLOOKUP(XLOOKUP($Q860,'Threshold Summary'!$Y:$Y,'Threshold Summary'!$K:$K,""),'Pokemon Editor'!$A:$A,'Pokemon Editor'!$H:$H,0)+31+FLOOR(XLOOKUP($Q860,'Threshold Summary'!$Y:$Y,'Threshold Summary'!$R:$R,"")/4))*XLOOKUP($Q860,'Threshold Summary'!$Y:$Y,'Threshold Summary'!$L:$L,""))/100)+5)*XLOOKUP(XLOOKUP($Q860,'Threshold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Editor'!$E:$E,1))),stab,IF(OR(mtype=XLOOKUP(XLOOKUP($Q860,'Threshold Summary'!$Y:$Y,'Threshold Summary'!$K:$K,""),'Pokemon Editor'!$A:$A,'Pokemon Editor'!$C:$C,""),mtype=XLOOKUP(XLOOKUP($Q860,'Threshold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Chart'!$B$1:$S$1,0)))),base,IF(OR(cat="Status",pow=0),0,FLOOR(FLOOR(FLOOR((2*XLOOKUP($Q860,'Threshold Summary'!$Y:$Y,'Threshold Summary'!$L:$L,"")/5+2)*pow*atk/def)/50)+2)),modifier,stab*eff,FLOOR(base*modifier*0.85)),0)</f>
        <v/>
      </c>
      <c r="K860" s="3">
        <f>IFERROR(LET(mtype,XLOOKUP($D860,'Move Editor'!$B:$B,'Move Editor'!$C:$C,""),cat,XLOOKUP($D860,'Move Editor'!$B:$B,'Move Editor'!$D:$D,""),pow,XLOOKUP($D860,'Move Editor'!$B:$B,'Move Editor'!$E:$E,0),acc,XLOOKUP($D860,'Move Editor'!$B:$B,'Move Editor'!$F:$F,100),atk,IF(cat="Physical",FLOOR((FLOOR(((2*XLOOKUP(XLOOKUP($Q860,'Threshold Summary'!$Y:$Y,'Threshold Summary'!$K:$K,""),'Pokemon Editor'!$A:$A,'Pokemon Editor'!$F:$F,0)+31+FLOOR(XLOOKUP($Q860,'Threshold Summary'!$Y:$Y,'Threshold Summary'!$P:$P,"")/4))*XLOOKUP($Q860,'Threshold Summary'!$Y:$Y,'Threshold Summary'!$L:$L,""))/100)+5)*XLOOKUP(XLOOKUP($Q860,'Threshold Summary'!$Y:$Y,'Threshold Summary'!$M:$M,""),'Nature Editor'!$A:$A,'Nature Editor'!$B:$B,1)),FLOOR((FLOOR(((2*XLOOKUP(XLOOKUP($Q860,'Threshold Summary'!$Y:$Y,'Threshold Summary'!$K:$K,""),'Pokemon Editor'!$A:$A,'Pokemon Editor'!$H:$H,0)+31+FLOOR(XLOOKUP($Q860,'Threshold Summary'!$Y:$Y,'Threshold Summary'!$R:$R,"")/4))*XLOOKUP($Q860,'Threshold Summary'!$Y:$Y,'Threshold Summary'!$L:$L,""))/100)+5)*XLOOKUP(XLOOKUP($Q860,'Threshold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Editor'!$E:$E,1))),stab,IF(OR(mtype=XLOOKUP(XLOOKUP($Q860,'Threshold Summary'!$Y:$Y,'Threshold Summary'!$K:$K,""),'Pokemon Editor'!$A:$A,'Pokemon Editor'!$C:$C,""),mtype=XLOOKUP(XLOOKUP($Q860,'Threshold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Chart'!$B$1:$S$1,0)))),base,IF(OR(cat="Status",pow=0),0,FLOOR(FLOOR(FLOOR((2*XLOOKUP($Q860,'Threshold Summary'!$Y:$Y,'Threshold Summary'!$L:$L,"")/5+2)*pow*atk/def)/50)+2)),modifier,stab*eff,FLOOR(base*modifier)),0)</f>
        <v/>
      </c>
      <c r="L860" s="3">
        <f>IFERROR(LET(mtype,XLOOKUP($D860,'Move Editor'!$B:$B,'Move Editor'!$C:$C,""),cat,XLOOKUP($D860,'Move Editor'!$B:$B,'Move Editor'!$D:$D,""),pow,XLOOKUP($D860,'Move Editor'!$B:$B,'Move Editor'!$E:$E,0),acc,XLOOKUP($D860,'Move Editor'!$B:$B,'Move Editor'!$F:$F,100),atk,IF(cat="Physical",FLOOR((FLOOR(((2*XLOOKUP(XLOOKUP($Q860,'Threshold Summary'!$Y:$Y,'Threshold Summary'!$K:$K,""),'Pokemon Editor'!$A:$A,'Pokemon Editor'!$F:$F,0)+31+FLOOR(XLOOKUP($Q860,'Threshold Summary'!$Y:$Y,'Threshold Summary'!$P:$P,"")/4))*XLOOKUP($Q860,'Threshold Summary'!$Y:$Y,'Threshold Summary'!$L:$L,""))/100)+5)*XLOOKUP(XLOOKUP($Q860,'Threshold Summary'!$Y:$Y,'Threshold Summary'!$M:$M,""),'Nature Editor'!$A:$A,'Nature Editor'!$B:$B,1)),FLOOR((FLOOR(((2*XLOOKUP(XLOOKUP($Q860,'Threshold Summary'!$Y:$Y,'Threshold Summary'!$K:$K,""),'Pokemon Editor'!$A:$A,'Pokemon Editor'!$H:$H,0)+31+FLOOR(XLOOKUP($Q860,'Threshold Summary'!$Y:$Y,'Threshold Summary'!$R:$R,"")/4))*XLOOKUP($Q860,'Threshold Summary'!$Y:$Y,'Threshold Summary'!$L:$L,""))/100)+5)*XLOOKUP(XLOOKUP($Q860,'Threshold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Editor'!$E:$E,1))),stab,IF(OR(mtype=XLOOKUP(XLOOKUP($Q860,'Threshold Summary'!$Y:$Y,'Threshold Summary'!$K:$K,""),'Pokemon Editor'!$A:$A,'Pokemon Editor'!$C:$C,""),mtype=XLOOKUP(XLOOKUP($Q860,'Threshold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Chart'!$B$1:$S$1,0)))),base,IF(OR(cat="Status",pow=0),0,FLOOR(FLOOR(FLOOR((2*XLOOKUP($Q860,'Threshold Summary'!$Y:$Y,'Threshold Summary'!$L:$L,"")/5+2)*pow*atk/def)/50)+2)),modifier,stab*eff,AVERAGE(ARRAYFORMULA(FLOOR(base*modifier*SEQUENCE(16,1,85,1)/100)))),0)</f>
        <v/>
      </c>
      <c r="M860" s="3">
        <f>IFERROR(LET(mtype,XLOOKUP($D860,'Move Editor'!$B:$B,'Move Editor'!$C:$C,""),cat,XLOOKUP($D860,'Move Editor'!$B:$B,'Move Editor'!$D:$D,""),pow,XLOOKUP($D860,'Move Editor'!$B:$B,'Move Editor'!$E:$E,0),acc,XLOOKUP($D860,'Move Editor'!$B:$B,'Move Editor'!$F:$F,100),atk,IF(cat="Physical",FLOOR((FLOOR(((2*XLOOKUP(XLOOKUP($Q860,'Threshold Summary'!$Y:$Y,'Threshold Summary'!$K:$K,""),'Pokemon Editor'!$A:$A,'Pokemon Editor'!$F:$F,0)+31+FLOOR(XLOOKUP($Q860,'Threshold Summary'!$Y:$Y,'Threshold Summary'!$P:$P,"")/4))*XLOOKUP($Q860,'Threshold Summary'!$Y:$Y,'Threshold Summary'!$L:$L,""))/100)+5)*XLOOKUP(XLOOKUP($Q860,'Threshold Summary'!$Y:$Y,'Threshold Summary'!$M:$M,""),'Nature Editor'!$A:$A,'Nature Editor'!$B:$B,1)),FLOOR((FLOOR(((2*XLOOKUP(XLOOKUP($Q860,'Threshold Summary'!$Y:$Y,'Threshold Summary'!$K:$K,""),'Pokemon Editor'!$A:$A,'Pokemon Editor'!$H:$H,0)+31+FLOOR(XLOOKUP($Q860,'Threshold Summary'!$Y:$Y,'Threshold Summary'!$R:$R,"")/4))*XLOOKUP($Q860,'Threshold Summary'!$Y:$Y,'Threshold Summary'!$L:$L,""))/100)+5)*XLOOKUP(XLOOKUP($Q860,'Threshold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Editor'!$E:$E,1))),stab,IF(OR(mtype=XLOOKUP(XLOOKUP($Q860,'Threshold Summary'!$Y:$Y,'Threshold Summary'!$K:$K,""),'Pokemon Editor'!$A:$A,'Pokemon Editor'!$C:$C,""),mtype=XLOOKUP(XLOOKUP($Q860,'Threshold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Chart'!$B$1:$S$1,0)))),base,IF(OR(cat="Status",pow=0),0,FLOOR(FLOOR(FLOOR((2*XLOOKUP($Q860,'Threshold Summary'!$Y:$Y,'Threshold Summary'!$L:$L,"")/5+2)*pow*atk/def)/50)+2)),modifier,stab*eff,AVERAGE(ARRAYFORMULA(FLOOR(base*modifier*SEQUENCE(16,1,85,1)/100)))*MIN(1,acc/100)),0)</f>
        <v/>
      </c>
      <c r="N860" s="4">
        <f>IFERROR(LET(mtype,XLOOKUP($D860,'Move Editor'!$B:$B,'Move Editor'!$C:$C,""),cat,XLOOKUP($D860,'Move Editor'!$B:$B,'Move Editor'!$D:$D,""),pow,XLOOKUP($D860,'Move Editor'!$B:$B,'Move Editor'!$E:$E,0),acc,XLOOKUP($D860,'Move Editor'!$B:$B,'Move Editor'!$F:$F,100),atk,IF(cat="Physical",FLOOR((FLOOR(((2*XLOOKUP(XLOOKUP($Q860,'Threshold Summary'!$Y:$Y,'Threshold Summary'!$K:$K,""),'Pokemon Editor'!$A:$A,'Pokemon Editor'!$F:$F,0)+31+FLOOR(XLOOKUP($Q860,'Threshold Summary'!$Y:$Y,'Threshold Summary'!$P:$P,"")/4))*XLOOKUP($Q860,'Threshold Summary'!$Y:$Y,'Threshold Summary'!$L:$L,""))/100)+5)*XLOOKUP(XLOOKUP($Q860,'Threshold Summary'!$Y:$Y,'Threshold Summary'!$M:$M,""),'Nature Editor'!$A:$A,'Nature Editor'!$B:$B,1)),FLOOR((FLOOR(((2*XLOOKUP(XLOOKUP($Q860,'Threshold Summary'!$Y:$Y,'Threshold Summary'!$K:$K,""),'Pokemon Editor'!$A:$A,'Pokemon Editor'!$H:$H,0)+31+FLOOR(XLOOKUP($Q860,'Threshold Summary'!$Y:$Y,'Threshold Summary'!$R:$R,"")/4))*XLOOKUP($Q860,'Threshold Summary'!$Y:$Y,'Threshold Summary'!$L:$L,""))/100)+5)*XLOOKUP(XLOOKUP($Q860,'Threshold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Editor'!$E:$E,1))),stab,IF(OR(mtype=XLOOKUP(XLOOKUP($Q860,'Threshold Summary'!$Y:$Y,'Threshold Summary'!$K:$K,""),'Pokemon Editor'!$A:$A,'Pokemon Editor'!$C:$C,""),mtype=XLOOKUP(XLOOKUP($Q860,'Threshold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Chart'!$B$1:$S$1,0)))),base,IF(OR(cat="Status",pow=0),0,FLOOR(FLOOR(FLOOR((2*XLOOKUP($Q860,'Threshold Summary'!$Y:$Y,'Threshold Summary'!$L:$L,"")/5+2)*pow*atk/def)/50)+2)),modifier,stab*eff,AVERAGE(ARRAYFORMULA(FLOOR(base*modifier*SEQUENCE(16,1,85,1)/100)))/(FLOOR(((2*XLOOKUP('Boss Editor'!$C$4,'Pokemon Editor'!$A:$A,'Pokemon Editor'!$E:$E,0)+31+FLOOR('Boss Editor'!$G$4/4))*'Boss Editor'!$D$4)/100)+'Boss Editor'!$D$4+10)),0)</f>
        <v/>
      </c>
      <c r="O860" s="3">
        <f>IF(N860&gt;=1,"OHKO",IF(N860&gt;=0.5,"2HKO",IF(N860&gt;=0.333,"3HKO",IF(N860&gt;=0.25,"4HKO","5HKO+"))))</f>
        <v/>
      </c>
      <c r="P860" s="3" t="inlineStr">
        <is>
          <t>Live from editable databases</t>
        </is>
      </c>
      <c r="Q860" s="3" t="inlineStr">
        <is>
          <t>SPECIES_TOXEL</t>
        </is>
      </c>
      <c r="R860" s="3" t="n">
        <v>27</v>
      </c>
    </row>
    <row r="861">
      <c r="A861" s="3">
        <f>XLOOKUP($Q861,'Threshold Summary'!$Y:$Y,'Threshold Summary'!$A:$A,"")</f>
        <v/>
      </c>
      <c r="B861" s="3">
        <f>XLOOKUP($Q861,'Threshold Summary'!$Y:$Y,'Threshold Summary'!$M:$M,"")</f>
        <v/>
      </c>
      <c r="C861" s="3">
        <f>XLOOKUP($Q861,'Threshold Summary'!$Y:$Y,'Threshold Summary'!$N:$N,"")</f>
        <v/>
      </c>
      <c r="D861" s="3">
        <f>IFERROR(INDEX(FILTER('Learnset Editor'!$D$2:$D,'Learnset Editor'!$A$2:$A=XLOOKUP($Q861,'Threshold Summary'!$Y:$Y,'Threshold Summary'!$K:$K,""),'Learnset Editor'!$C$2:$C&lt;=XLOOKUP($Q861,'Threshold Summary'!$Y:$Y,'Threshold Summary'!$L:$L,"")),$R861),"")</f>
        <v/>
      </c>
      <c r="E861" s="3">
        <f>XLOOKUP(D861,'Move Editor'!$B:$B,'Move Editor'!$C:$C,"")</f>
        <v/>
      </c>
      <c r="F861" s="3">
        <f>XLOOKUP(D861,'Move Editor'!$B:$B,'Move Editor'!$D:$D,"")</f>
        <v/>
      </c>
      <c r="G861" s="3">
        <f>XLOOKUP(D861,'Move Editor'!$B:$B,'Move Editor'!$E:$E,0)</f>
        <v/>
      </c>
      <c r="H861" s="3">
        <f>XLOOKUP(D861,'Move Editor'!$B:$B,'Move Editor'!$F:$F,0)</f>
        <v/>
      </c>
      <c r="I861" s="3">
        <f>(INDEX('Type Chart'!$B:$S,MATCH(E861,'Type Chart'!$A:$A,0),MATCH(XLOOKUP('Boss Editor'!$C$4,'Pokemon Editor'!$A:$A,'Pokemon Editor'!$C:$C,""),'Type Chart'!$B$1:$S$1,0))*IF(XLOOKUP('Boss Editor'!$C$4,'Pokemon Editor'!$A:$A,'Pokemon Editor'!$D:$D,"")="",1,INDEX('Type Chart'!$B:$S,MATCH(E861,'Type Chart'!$A:$A,0),MATCH(XLOOKUP('Boss Editor'!$C$4,'Pokemon Editor'!$A:$A,'Pokemon Editor'!$D:$D,""),'Type Chart'!$B$1:$S$1,0))))</f>
        <v/>
      </c>
      <c r="J861" s="3">
        <f>IFERROR(LET(mtype,XLOOKUP($D861,'Move Editor'!$B:$B,'Move Editor'!$C:$C,""),cat,XLOOKUP($D861,'Move Editor'!$B:$B,'Move Editor'!$D:$D,""),pow,XLOOKUP($D861,'Move Editor'!$B:$B,'Move Editor'!$E:$E,0),acc,XLOOKUP($D861,'Move Editor'!$B:$B,'Move Editor'!$F:$F,100),atk,IF(cat="Physical",FLOOR((FLOOR(((2*XLOOKUP(XLOOKUP($Q861,'Threshold Summary'!$Y:$Y,'Threshold Summary'!$K:$K,""),'Pokemon Editor'!$A:$A,'Pokemon Editor'!$F:$F,0)+31+FLOOR(XLOOKUP($Q861,'Threshold Summary'!$Y:$Y,'Threshold Summary'!$P:$P,"")/4))*XLOOKUP($Q861,'Threshold Summary'!$Y:$Y,'Threshold Summary'!$L:$L,""))/100)+5)*XLOOKUP(XLOOKUP($Q861,'Threshold Summary'!$Y:$Y,'Threshold Summary'!$M:$M,""),'Nature Editor'!$A:$A,'Nature Editor'!$B:$B,1)),FLOOR((FLOOR(((2*XLOOKUP(XLOOKUP($Q861,'Threshold Summary'!$Y:$Y,'Threshold Summary'!$K:$K,""),'Pokemon Editor'!$A:$A,'Pokemon Editor'!$H:$H,0)+31+FLOOR(XLOOKUP($Q861,'Threshold Summary'!$Y:$Y,'Threshold Summary'!$R:$R,"")/4))*XLOOKUP($Q861,'Threshold Summary'!$Y:$Y,'Threshold Summary'!$L:$L,""))/100)+5)*XLOOKUP(XLOOKUP($Q861,'Threshold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Editor'!$E:$E,1))),stab,IF(OR(mtype=XLOOKUP(XLOOKUP($Q861,'Threshold Summary'!$Y:$Y,'Threshold Summary'!$K:$K,""),'Pokemon Editor'!$A:$A,'Pokemon Editor'!$C:$C,""),mtype=XLOOKUP(XLOOKUP($Q861,'Threshold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Chart'!$B$1:$S$1,0)))),base,IF(OR(cat="Status",pow=0),0,FLOOR(FLOOR(FLOOR((2*XLOOKUP($Q861,'Threshold Summary'!$Y:$Y,'Threshold Summary'!$L:$L,"")/5+2)*pow*atk/def)/50)+2)),modifier,stab*eff,FLOOR(base*modifier*0.85)),0)</f>
        <v/>
      </c>
      <c r="K861" s="3">
        <f>IFERROR(LET(mtype,XLOOKUP($D861,'Move Editor'!$B:$B,'Move Editor'!$C:$C,""),cat,XLOOKUP($D861,'Move Editor'!$B:$B,'Move Editor'!$D:$D,""),pow,XLOOKUP($D861,'Move Editor'!$B:$B,'Move Editor'!$E:$E,0),acc,XLOOKUP($D861,'Move Editor'!$B:$B,'Move Editor'!$F:$F,100),atk,IF(cat="Physical",FLOOR((FLOOR(((2*XLOOKUP(XLOOKUP($Q861,'Threshold Summary'!$Y:$Y,'Threshold Summary'!$K:$K,""),'Pokemon Editor'!$A:$A,'Pokemon Editor'!$F:$F,0)+31+FLOOR(XLOOKUP($Q861,'Threshold Summary'!$Y:$Y,'Threshold Summary'!$P:$P,"")/4))*XLOOKUP($Q861,'Threshold Summary'!$Y:$Y,'Threshold Summary'!$L:$L,""))/100)+5)*XLOOKUP(XLOOKUP($Q861,'Threshold Summary'!$Y:$Y,'Threshold Summary'!$M:$M,""),'Nature Editor'!$A:$A,'Nature Editor'!$B:$B,1)),FLOOR((FLOOR(((2*XLOOKUP(XLOOKUP($Q861,'Threshold Summary'!$Y:$Y,'Threshold Summary'!$K:$K,""),'Pokemon Editor'!$A:$A,'Pokemon Editor'!$H:$H,0)+31+FLOOR(XLOOKUP($Q861,'Threshold Summary'!$Y:$Y,'Threshold Summary'!$R:$R,"")/4))*XLOOKUP($Q861,'Threshold Summary'!$Y:$Y,'Threshold Summary'!$L:$L,""))/100)+5)*XLOOKUP(XLOOKUP($Q861,'Threshold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Editor'!$E:$E,1))),stab,IF(OR(mtype=XLOOKUP(XLOOKUP($Q861,'Threshold Summary'!$Y:$Y,'Threshold Summary'!$K:$K,""),'Pokemon Editor'!$A:$A,'Pokemon Editor'!$C:$C,""),mtype=XLOOKUP(XLOOKUP($Q861,'Threshold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Chart'!$B$1:$S$1,0)))),base,IF(OR(cat="Status",pow=0),0,FLOOR(FLOOR(FLOOR((2*XLOOKUP($Q861,'Threshold Summary'!$Y:$Y,'Threshold Summary'!$L:$L,"")/5+2)*pow*atk/def)/50)+2)),modifier,stab*eff,FLOOR(base*modifier)),0)</f>
        <v/>
      </c>
      <c r="L861" s="3">
        <f>IFERROR(LET(mtype,XLOOKUP($D861,'Move Editor'!$B:$B,'Move Editor'!$C:$C,""),cat,XLOOKUP($D861,'Move Editor'!$B:$B,'Move Editor'!$D:$D,""),pow,XLOOKUP($D861,'Move Editor'!$B:$B,'Move Editor'!$E:$E,0),acc,XLOOKUP($D861,'Move Editor'!$B:$B,'Move Editor'!$F:$F,100),atk,IF(cat="Physical",FLOOR((FLOOR(((2*XLOOKUP(XLOOKUP($Q861,'Threshold Summary'!$Y:$Y,'Threshold Summary'!$K:$K,""),'Pokemon Editor'!$A:$A,'Pokemon Editor'!$F:$F,0)+31+FLOOR(XLOOKUP($Q861,'Threshold Summary'!$Y:$Y,'Threshold Summary'!$P:$P,"")/4))*XLOOKUP($Q861,'Threshold Summary'!$Y:$Y,'Threshold Summary'!$L:$L,""))/100)+5)*XLOOKUP(XLOOKUP($Q861,'Threshold Summary'!$Y:$Y,'Threshold Summary'!$M:$M,""),'Nature Editor'!$A:$A,'Nature Editor'!$B:$B,1)),FLOOR((FLOOR(((2*XLOOKUP(XLOOKUP($Q861,'Threshold Summary'!$Y:$Y,'Threshold Summary'!$K:$K,""),'Pokemon Editor'!$A:$A,'Pokemon Editor'!$H:$H,0)+31+FLOOR(XLOOKUP($Q861,'Threshold Summary'!$Y:$Y,'Threshold Summary'!$R:$R,"")/4))*XLOOKUP($Q861,'Threshold Summary'!$Y:$Y,'Threshold Summary'!$L:$L,""))/100)+5)*XLOOKUP(XLOOKUP($Q861,'Threshold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Editor'!$E:$E,1))),stab,IF(OR(mtype=XLOOKUP(XLOOKUP($Q861,'Threshold Summary'!$Y:$Y,'Threshold Summary'!$K:$K,""),'Pokemon Editor'!$A:$A,'Pokemon Editor'!$C:$C,""),mtype=XLOOKUP(XLOOKUP($Q861,'Threshold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Chart'!$B$1:$S$1,0)))),base,IF(OR(cat="Status",pow=0),0,FLOOR(FLOOR(FLOOR((2*XLOOKUP($Q861,'Threshold Summary'!$Y:$Y,'Threshold Summary'!$L:$L,"")/5+2)*pow*atk/def)/50)+2)),modifier,stab*eff,AVERAGE(ARRAYFORMULA(FLOOR(base*modifier*SEQUENCE(16,1,85,1)/100)))),0)</f>
        <v/>
      </c>
      <c r="M861" s="3">
        <f>IFERROR(LET(mtype,XLOOKUP($D861,'Move Editor'!$B:$B,'Move Editor'!$C:$C,""),cat,XLOOKUP($D861,'Move Editor'!$B:$B,'Move Editor'!$D:$D,""),pow,XLOOKUP($D861,'Move Editor'!$B:$B,'Move Editor'!$E:$E,0),acc,XLOOKUP($D861,'Move Editor'!$B:$B,'Move Editor'!$F:$F,100),atk,IF(cat="Physical",FLOOR((FLOOR(((2*XLOOKUP(XLOOKUP($Q861,'Threshold Summary'!$Y:$Y,'Threshold Summary'!$K:$K,""),'Pokemon Editor'!$A:$A,'Pokemon Editor'!$F:$F,0)+31+FLOOR(XLOOKUP($Q861,'Threshold Summary'!$Y:$Y,'Threshold Summary'!$P:$P,"")/4))*XLOOKUP($Q861,'Threshold Summary'!$Y:$Y,'Threshold Summary'!$L:$L,""))/100)+5)*XLOOKUP(XLOOKUP($Q861,'Threshold Summary'!$Y:$Y,'Threshold Summary'!$M:$M,""),'Nature Editor'!$A:$A,'Nature Editor'!$B:$B,1)),FLOOR((FLOOR(((2*XLOOKUP(XLOOKUP($Q861,'Threshold Summary'!$Y:$Y,'Threshold Summary'!$K:$K,""),'Pokemon Editor'!$A:$A,'Pokemon Editor'!$H:$H,0)+31+FLOOR(XLOOKUP($Q861,'Threshold Summary'!$Y:$Y,'Threshold Summary'!$R:$R,"")/4))*XLOOKUP($Q861,'Threshold Summary'!$Y:$Y,'Threshold Summary'!$L:$L,""))/100)+5)*XLOOKUP(XLOOKUP($Q861,'Threshold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Editor'!$E:$E,1))),stab,IF(OR(mtype=XLOOKUP(XLOOKUP($Q861,'Threshold Summary'!$Y:$Y,'Threshold Summary'!$K:$K,""),'Pokemon Editor'!$A:$A,'Pokemon Editor'!$C:$C,""),mtype=XLOOKUP(XLOOKUP($Q861,'Threshold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Chart'!$B$1:$S$1,0)))),base,IF(OR(cat="Status",pow=0),0,FLOOR(FLOOR(FLOOR((2*XLOOKUP($Q861,'Threshold Summary'!$Y:$Y,'Threshold Summary'!$L:$L,"")/5+2)*pow*atk/def)/50)+2)),modifier,stab*eff,AVERAGE(ARRAYFORMULA(FLOOR(base*modifier*SEQUENCE(16,1,85,1)/100)))*MIN(1,acc/100)),0)</f>
        <v/>
      </c>
      <c r="N861" s="4">
        <f>IFERROR(LET(mtype,XLOOKUP($D861,'Move Editor'!$B:$B,'Move Editor'!$C:$C,""),cat,XLOOKUP($D861,'Move Editor'!$B:$B,'Move Editor'!$D:$D,""),pow,XLOOKUP($D861,'Move Editor'!$B:$B,'Move Editor'!$E:$E,0),acc,XLOOKUP($D861,'Move Editor'!$B:$B,'Move Editor'!$F:$F,100),atk,IF(cat="Physical",FLOOR((FLOOR(((2*XLOOKUP(XLOOKUP($Q861,'Threshold Summary'!$Y:$Y,'Threshold Summary'!$K:$K,""),'Pokemon Editor'!$A:$A,'Pokemon Editor'!$F:$F,0)+31+FLOOR(XLOOKUP($Q861,'Threshold Summary'!$Y:$Y,'Threshold Summary'!$P:$P,"")/4))*XLOOKUP($Q861,'Threshold Summary'!$Y:$Y,'Threshold Summary'!$L:$L,""))/100)+5)*XLOOKUP(XLOOKUP($Q861,'Threshold Summary'!$Y:$Y,'Threshold Summary'!$M:$M,""),'Nature Editor'!$A:$A,'Nature Editor'!$B:$B,1)),FLOOR((FLOOR(((2*XLOOKUP(XLOOKUP($Q861,'Threshold Summary'!$Y:$Y,'Threshold Summary'!$K:$K,""),'Pokemon Editor'!$A:$A,'Pokemon Editor'!$H:$H,0)+31+FLOOR(XLOOKUP($Q861,'Threshold Summary'!$Y:$Y,'Threshold Summary'!$R:$R,"")/4))*XLOOKUP($Q861,'Threshold Summary'!$Y:$Y,'Threshold Summary'!$L:$L,""))/100)+5)*XLOOKUP(XLOOKUP($Q861,'Threshold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Editor'!$E:$E,1))),stab,IF(OR(mtype=XLOOKUP(XLOOKUP($Q861,'Threshold Summary'!$Y:$Y,'Threshold Summary'!$K:$K,""),'Pokemon Editor'!$A:$A,'Pokemon Editor'!$C:$C,""),mtype=XLOOKUP(XLOOKUP($Q861,'Threshold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Chart'!$B$1:$S$1,0)))),base,IF(OR(cat="Status",pow=0),0,FLOOR(FLOOR(FLOOR((2*XLOOKUP($Q861,'Threshold Summary'!$Y:$Y,'Threshold Summary'!$L:$L,"")/5+2)*pow*atk/def)/50)+2)),modifier,stab*eff,AVERAGE(ARRAYFORMULA(FLOOR(base*modifier*SEQUENCE(16,1,85,1)/100)))/(FLOOR(((2*XLOOKUP('Boss Editor'!$C$4,'Pokemon Editor'!$A:$A,'Pokemon Editor'!$E:$E,0)+31+FLOOR('Boss Editor'!$G$4/4))*'Boss Editor'!$D$4)/100)+'Boss Editor'!$D$4+10)),0)</f>
        <v/>
      </c>
      <c r="O861" s="3">
        <f>IF(N861&gt;=1,"OHKO",IF(N861&gt;=0.5,"2HKO",IF(N861&gt;=0.333,"3HKO",IF(N861&gt;=0.25,"4HKO","5HKO+"))))</f>
        <v/>
      </c>
      <c r="P861" s="3" t="inlineStr">
        <is>
          <t>Live from editable databases</t>
        </is>
      </c>
      <c r="Q861" s="3" t="inlineStr">
        <is>
          <t>SPECIES_TOXEL</t>
        </is>
      </c>
      <c r="R861" s="3" t="n">
        <v>28</v>
      </c>
    </row>
    <row r="862">
      <c r="A862" s="3">
        <f>XLOOKUP($Q862,'Threshold Summary'!$Y:$Y,'Threshold Summary'!$A:$A,"")</f>
        <v/>
      </c>
      <c r="B862" s="3">
        <f>XLOOKUP($Q862,'Threshold Summary'!$Y:$Y,'Threshold Summary'!$M:$M,"")</f>
        <v/>
      </c>
      <c r="C862" s="3">
        <f>XLOOKUP($Q862,'Threshold Summary'!$Y:$Y,'Threshold Summary'!$N:$N,"")</f>
        <v/>
      </c>
      <c r="D862" s="3">
        <f>IFERROR(INDEX(FILTER('Learnset Editor'!$D$2:$D,'Learnset Editor'!$A$2:$A=XLOOKUP($Q862,'Threshold Summary'!$Y:$Y,'Threshold Summary'!$K:$K,""),'Learnset Editor'!$C$2:$C&lt;=XLOOKUP($Q862,'Threshold Summary'!$Y:$Y,'Threshold Summary'!$L:$L,"")),$R862),"")</f>
        <v/>
      </c>
      <c r="E862" s="3">
        <f>XLOOKUP(D862,'Move Editor'!$B:$B,'Move Editor'!$C:$C,"")</f>
        <v/>
      </c>
      <c r="F862" s="3">
        <f>XLOOKUP(D862,'Move Editor'!$B:$B,'Move Editor'!$D:$D,"")</f>
        <v/>
      </c>
      <c r="G862" s="3">
        <f>XLOOKUP(D862,'Move Editor'!$B:$B,'Move Editor'!$E:$E,0)</f>
        <v/>
      </c>
      <c r="H862" s="3">
        <f>XLOOKUP(D862,'Move Editor'!$B:$B,'Move Editor'!$F:$F,0)</f>
        <v/>
      </c>
      <c r="I862" s="3">
        <f>(INDEX('Type Chart'!$B:$S,MATCH(E862,'Type Chart'!$A:$A,0),MATCH(XLOOKUP('Boss Editor'!$C$4,'Pokemon Editor'!$A:$A,'Pokemon Editor'!$C:$C,""),'Type Chart'!$B$1:$S$1,0))*IF(XLOOKUP('Boss Editor'!$C$4,'Pokemon Editor'!$A:$A,'Pokemon Editor'!$D:$D,"")="",1,INDEX('Type Chart'!$B:$S,MATCH(E862,'Type Chart'!$A:$A,0),MATCH(XLOOKUP('Boss Editor'!$C$4,'Pokemon Editor'!$A:$A,'Pokemon Editor'!$D:$D,""),'Type Chart'!$B$1:$S$1,0))))</f>
        <v/>
      </c>
      <c r="J862" s="3">
        <f>IFERROR(LET(mtype,XLOOKUP($D862,'Move Editor'!$B:$B,'Move Editor'!$C:$C,""),cat,XLOOKUP($D862,'Move Editor'!$B:$B,'Move Editor'!$D:$D,""),pow,XLOOKUP($D862,'Move Editor'!$B:$B,'Move Editor'!$E:$E,0),acc,XLOOKUP($D862,'Move Editor'!$B:$B,'Move Editor'!$F:$F,100),atk,IF(cat="Physical",FLOOR((FLOOR(((2*XLOOKUP(XLOOKUP($Q862,'Threshold Summary'!$Y:$Y,'Threshold Summary'!$K:$K,""),'Pokemon Editor'!$A:$A,'Pokemon Editor'!$F:$F,0)+31+FLOOR(XLOOKUP($Q862,'Threshold Summary'!$Y:$Y,'Threshold Summary'!$P:$P,"")/4))*XLOOKUP($Q862,'Threshold Summary'!$Y:$Y,'Threshold Summary'!$L:$L,""))/100)+5)*XLOOKUP(XLOOKUP($Q862,'Threshold Summary'!$Y:$Y,'Threshold Summary'!$M:$M,""),'Nature Editor'!$A:$A,'Nature Editor'!$B:$B,1)),FLOOR((FLOOR(((2*XLOOKUP(XLOOKUP($Q862,'Threshold Summary'!$Y:$Y,'Threshold Summary'!$K:$K,""),'Pokemon Editor'!$A:$A,'Pokemon Editor'!$H:$H,0)+31+FLOOR(XLOOKUP($Q862,'Threshold Summary'!$Y:$Y,'Threshold Summary'!$R:$R,"")/4))*XLOOKUP($Q862,'Threshold Summary'!$Y:$Y,'Threshold Summary'!$L:$L,""))/100)+5)*XLOOKUP(XLOOKUP($Q862,'Threshold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Editor'!$E:$E,1))),stab,IF(OR(mtype=XLOOKUP(XLOOKUP($Q862,'Threshold Summary'!$Y:$Y,'Threshold Summary'!$K:$K,""),'Pokemon Editor'!$A:$A,'Pokemon Editor'!$C:$C,""),mtype=XLOOKUP(XLOOKUP($Q862,'Threshold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Chart'!$B$1:$S$1,0)))),base,IF(OR(cat="Status",pow=0),0,FLOOR(FLOOR(FLOOR((2*XLOOKUP($Q862,'Threshold Summary'!$Y:$Y,'Threshold Summary'!$L:$L,"")/5+2)*pow*atk/def)/50)+2)),modifier,stab*eff,FLOOR(base*modifier*0.85)),0)</f>
        <v/>
      </c>
      <c r="K862" s="3">
        <f>IFERROR(LET(mtype,XLOOKUP($D862,'Move Editor'!$B:$B,'Move Editor'!$C:$C,""),cat,XLOOKUP($D862,'Move Editor'!$B:$B,'Move Editor'!$D:$D,""),pow,XLOOKUP($D862,'Move Editor'!$B:$B,'Move Editor'!$E:$E,0),acc,XLOOKUP($D862,'Move Editor'!$B:$B,'Move Editor'!$F:$F,100),atk,IF(cat="Physical",FLOOR((FLOOR(((2*XLOOKUP(XLOOKUP($Q862,'Threshold Summary'!$Y:$Y,'Threshold Summary'!$K:$K,""),'Pokemon Editor'!$A:$A,'Pokemon Editor'!$F:$F,0)+31+FLOOR(XLOOKUP($Q862,'Threshold Summary'!$Y:$Y,'Threshold Summary'!$P:$P,"")/4))*XLOOKUP($Q862,'Threshold Summary'!$Y:$Y,'Threshold Summary'!$L:$L,""))/100)+5)*XLOOKUP(XLOOKUP($Q862,'Threshold Summary'!$Y:$Y,'Threshold Summary'!$M:$M,""),'Nature Editor'!$A:$A,'Nature Editor'!$B:$B,1)),FLOOR((FLOOR(((2*XLOOKUP(XLOOKUP($Q862,'Threshold Summary'!$Y:$Y,'Threshold Summary'!$K:$K,""),'Pokemon Editor'!$A:$A,'Pokemon Editor'!$H:$H,0)+31+FLOOR(XLOOKUP($Q862,'Threshold Summary'!$Y:$Y,'Threshold Summary'!$R:$R,"")/4))*XLOOKUP($Q862,'Threshold Summary'!$Y:$Y,'Threshold Summary'!$L:$L,""))/100)+5)*XLOOKUP(XLOOKUP($Q862,'Threshold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Editor'!$E:$E,1))),stab,IF(OR(mtype=XLOOKUP(XLOOKUP($Q862,'Threshold Summary'!$Y:$Y,'Threshold Summary'!$K:$K,""),'Pokemon Editor'!$A:$A,'Pokemon Editor'!$C:$C,""),mtype=XLOOKUP(XLOOKUP($Q862,'Threshold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Chart'!$B$1:$S$1,0)))),base,IF(OR(cat="Status",pow=0),0,FLOOR(FLOOR(FLOOR((2*XLOOKUP($Q862,'Threshold Summary'!$Y:$Y,'Threshold Summary'!$L:$L,"")/5+2)*pow*atk/def)/50)+2)),modifier,stab*eff,FLOOR(base*modifier)),0)</f>
        <v/>
      </c>
      <c r="L862" s="3">
        <f>IFERROR(LET(mtype,XLOOKUP($D862,'Move Editor'!$B:$B,'Move Editor'!$C:$C,""),cat,XLOOKUP($D862,'Move Editor'!$B:$B,'Move Editor'!$D:$D,""),pow,XLOOKUP($D862,'Move Editor'!$B:$B,'Move Editor'!$E:$E,0),acc,XLOOKUP($D862,'Move Editor'!$B:$B,'Move Editor'!$F:$F,100),atk,IF(cat="Physical",FLOOR((FLOOR(((2*XLOOKUP(XLOOKUP($Q862,'Threshold Summary'!$Y:$Y,'Threshold Summary'!$K:$K,""),'Pokemon Editor'!$A:$A,'Pokemon Editor'!$F:$F,0)+31+FLOOR(XLOOKUP($Q862,'Threshold Summary'!$Y:$Y,'Threshold Summary'!$P:$P,"")/4))*XLOOKUP($Q862,'Threshold Summary'!$Y:$Y,'Threshold Summary'!$L:$L,""))/100)+5)*XLOOKUP(XLOOKUP($Q862,'Threshold Summary'!$Y:$Y,'Threshold Summary'!$M:$M,""),'Nature Editor'!$A:$A,'Nature Editor'!$B:$B,1)),FLOOR((FLOOR(((2*XLOOKUP(XLOOKUP($Q862,'Threshold Summary'!$Y:$Y,'Threshold Summary'!$K:$K,""),'Pokemon Editor'!$A:$A,'Pokemon Editor'!$H:$H,0)+31+FLOOR(XLOOKUP($Q862,'Threshold Summary'!$Y:$Y,'Threshold Summary'!$R:$R,"")/4))*XLOOKUP($Q862,'Threshold Summary'!$Y:$Y,'Threshold Summary'!$L:$L,""))/100)+5)*XLOOKUP(XLOOKUP($Q862,'Threshold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Editor'!$E:$E,1))),stab,IF(OR(mtype=XLOOKUP(XLOOKUP($Q862,'Threshold Summary'!$Y:$Y,'Threshold Summary'!$K:$K,""),'Pokemon Editor'!$A:$A,'Pokemon Editor'!$C:$C,""),mtype=XLOOKUP(XLOOKUP($Q862,'Threshold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Chart'!$B$1:$S$1,0)))),base,IF(OR(cat="Status",pow=0),0,FLOOR(FLOOR(FLOOR((2*XLOOKUP($Q862,'Threshold Summary'!$Y:$Y,'Threshold Summary'!$L:$L,"")/5+2)*pow*atk/def)/50)+2)),modifier,stab*eff,AVERAGE(ARRAYFORMULA(FLOOR(base*modifier*SEQUENCE(16,1,85,1)/100)))),0)</f>
        <v/>
      </c>
      <c r="M862" s="3">
        <f>IFERROR(LET(mtype,XLOOKUP($D862,'Move Editor'!$B:$B,'Move Editor'!$C:$C,""),cat,XLOOKUP($D862,'Move Editor'!$B:$B,'Move Editor'!$D:$D,""),pow,XLOOKUP($D862,'Move Editor'!$B:$B,'Move Editor'!$E:$E,0),acc,XLOOKUP($D862,'Move Editor'!$B:$B,'Move Editor'!$F:$F,100),atk,IF(cat="Physical",FLOOR((FLOOR(((2*XLOOKUP(XLOOKUP($Q862,'Threshold Summary'!$Y:$Y,'Threshold Summary'!$K:$K,""),'Pokemon Editor'!$A:$A,'Pokemon Editor'!$F:$F,0)+31+FLOOR(XLOOKUP($Q862,'Threshold Summary'!$Y:$Y,'Threshold Summary'!$P:$P,"")/4))*XLOOKUP($Q862,'Threshold Summary'!$Y:$Y,'Threshold Summary'!$L:$L,""))/100)+5)*XLOOKUP(XLOOKUP($Q862,'Threshold Summary'!$Y:$Y,'Threshold Summary'!$M:$M,""),'Nature Editor'!$A:$A,'Nature Editor'!$B:$B,1)),FLOOR((FLOOR(((2*XLOOKUP(XLOOKUP($Q862,'Threshold Summary'!$Y:$Y,'Threshold Summary'!$K:$K,""),'Pokemon Editor'!$A:$A,'Pokemon Editor'!$H:$H,0)+31+FLOOR(XLOOKUP($Q862,'Threshold Summary'!$Y:$Y,'Threshold Summary'!$R:$R,"")/4))*XLOOKUP($Q862,'Threshold Summary'!$Y:$Y,'Threshold Summary'!$L:$L,""))/100)+5)*XLOOKUP(XLOOKUP($Q862,'Threshold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Editor'!$E:$E,1))),stab,IF(OR(mtype=XLOOKUP(XLOOKUP($Q862,'Threshold Summary'!$Y:$Y,'Threshold Summary'!$K:$K,""),'Pokemon Editor'!$A:$A,'Pokemon Editor'!$C:$C,""),mtype=XLOOKUP(XLOOKUP($Q862,'Threshold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Chart'!$B$1:$S$1,0)))),base,IF(OR(cat="Status",pow=0),0,FLOOR(FLOOR(FLOOR((2*XLOOKUP($Q862,'Threshold Summary'!$Y:$Y,'Threshold Summary'!$L:$L,"")/5+2)*pow*atk/def)/50)+2)),modifier,stab*eff,AVERAGE(ARRAYFORMULA(FLOOR(base*modifier*SEQUENCE(16,1,85,1)/100)))*MIN(1,acc/100)),0)</f>
        <v/>
      </c>
      <c r="N862" s="4">
        <f>IFERROR(LET(mtype,XLOOKUP($D862,'Move Editor'!$B:$B,'Move Editor'!$C:$C,""),cat,XLOOKUP($D862,'Move Editor'!$B:$B,'Move Editor'!$D:$D,""),pow,XLOOKUP($D862,'Move Editor'!$B:$B,'Move Editor'!$E:$E,0),acc,XLOOKUP($D862,'Move Editor'!$B:$B,'Move Editor'!$F:$F,100),atk,IF(cat="Physical",FLOOR((FLOOR(((2*XLOOKUP(XLOOKUP($Q862,'Threshold Summary'!$Y:$Y,'Threshold Summary'!$K:$K,""),'Pokemon Editor'!$A:$A,'Pokemon Editor'!$F:$F,0)+31+FLOOR(XLOOKUP($Q862,'Threshold Summary'!$Y:$Y,'Threshold Summary'!$P:$P,"")/4))*XLOOKUP($Q862,'Threshold Summary'!$Y:$Y,'Threshold Summary'!$L:$L,""))/100)+5)*XLOOKUP(XLOOKUP($Q862,'Threshold Summary'!$Y:$Y,'Threshold Summary'!$M:$M,""),'Nature Editor'!$A:$A,'Nature Editor'!$B:$B,1)),FLOOR((FLOOR(((2*XLOOKUP(XLOOKUP($Q862,'Threshold Summary'!$Y:$Y,'Threshold Summary'!$K:$K,""),'Pokemon Editor'!$A:$A,'Pokemon Editor'!$H:$H,0)+31+FLOOR(XLOOKUP($Q862,'Threshold Summary'!$Y:$Y,'Threshold Summary'!$R:$R,"")/4))*XLOOKUP($Q862,'Threshold Summary'!$Y:$Y,'Threshold Summary'!$L:$L,""))/100)+5)*XLOOKUP(XLOOKUP($Q862,'Threshold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Editor'!$E:$E,1))),stab,IF(OR(mtype=XLOOKUP(XLOOKUP($Q862,'Threshold Summary'!$Y:$Y,'Threshold Summary'!$K:$K,""),'Pokemon Editor'!$A:$A,'Pokemon Editor'!$C:$C,""),mtype=XLOOKUP(XLOOKUP($Q862,'Threshold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Chart'!$B$1:$S$1,0)))),base,IF(OR(cat="Status",pow=0),0,FLOOR(FLOOR(FLOOR((2*XLOOKUP($Q862,'Threshold Summary'!$Y:$Y,'Threshold Summary'!$L:$L,"")/5+2)*pow*atk/def)/50)+2)),modifier,stab*eff,AVERAGE(ARRAYFORMULA(FLOOR(base*modifier*SEQUENCE(16,1,85,1)/100)))/(FLOOR(((2*XLOOKUP('Boss Editor'!$C$4,'Pokemon Editor'!$A:$A,'Pokemon Editor'!$E:$E,0)+31+FLOOR('Boss Editor'!$G$4/4))*'Boss Editor'!$D$4)/100)+'Boss Editor'!$D$4+10)),0)</f>
        <v/>
      </c>
      <c r="O862" s="3">
        <f>IF(N862&gt;=1,"OHKO",IF(N862&gt;=0.5,"2HKO",IF(N862&gt;=0.333,"3HKO",IF(N862&gt;=0.25,"4HKO","5HKO+"))))</f>
        <v/>
      </c>
      <c r="P862" s="3" t="inlineStr">
        <is>
          <t>Live from editable databases</t>
        </is>
      </c>
      <c r="Q862" s="3" t="inlineStr">
        <is>
          <t>SPECIES_TOXEL</t>
        </is>
      </c>
      <c r="R862" s="3" t="n">
        <v>29</v>
      </c>
    </row>
    <row r="863">
      <c r="A863" s="3">
        <f>XLOOKUP($Q863,'Threshold Summary'!$Y:$Y,'Threshold Summary'!$A:$A,"")</f>
        <v/>
      </c>
      <c r="B863" s="3">
        <f>XLOOKUP($Q863,'Threshold Summary'!$Y:$Y,'Threshold Summary'!$M:$M,"")</f>
        <v/>
      </c>
      <c r="C863" s="3">
        <f>XLOOKUP($Q863,'Threshold Summary'!$Y:$Y,'Threshold Summary'!$N:$N,"")</f>
        <v/>
      </c>
      <c r="D863" s="3">
        <f>IFERROR(INDEX(FILTER('Learnset Editor'!$D$2:$D,'Learnset Editor'!$A$2:$A=XLOOKUP($Q863,'Threshold Summary'!$Y:$Y,'Threshold Summary'!$K:$K,""),'Learnset Editor'!$C$2:$C&lt;=XLOOKUP($Q863,'Threshold Summary'!$Y:$Y,'Threshold Summary'!$L:$L,"")),$R863),"")</f>
        <v/>
      </c>
      <c r="E863" s="3">
        <f>XLOOKUP(D863,'Move Editor'!$B:$B,'Move Editor'!$C:$C,"")</f>
        <v/>
      </c>
      <c r="F863" s="3">
        <f>XLOOKUP(D863,'Move Editor'!$B:$B,'Move Editor'!$D:$D,"")</f>
        <v/>
      </c>
      <c r="G863" s="3">
        <f>XLOOKUP(D863,'Move Editor'!$B:$B,'Move Editor'!$E:$E,0)</f>
        <v/>
      </c>
      <c r="H863" s="3">
        <f>XLOOKUP(D863,'Move Editor'!$B:$B,'Move Editor'!$F:$F,0)</f>
        <v/>
      </c>
      <c r="I863" s="3">
        <f>(INDEX('Type Chart'!$B:$S,MATCH(E863,'Type Chart'!$A:$A,0),MATCH(XLOOKUP('Boss Editor'!$C$4,'Pokemon Editor'!$A:$A,'Pokemon Editor'!$C:$C,""),'Type Chart'!$B$1:$S$1,0))*IF(XLOOKUP('Boss Editor'!$C$4,'Pokemon Editor'!$A:$A,'Pokemon Editor'!$D:$D,"")="",1,INDEX('Type Chart'!$B:$S,MATCH(E863,'Type Chart'!$A:$A,0),MATCH(XLOOKUP('Boss Editor'!$C$4,'Pokemon Editor'!$A:$A,'Pokemon Editor'!$D:$D,""),'Type Chart'!$B$1:$S$1,0))))</f>
        <v/>
      </c>
      <c r="J863" s="3">
        <f>IFERROR(LET(mtype,XLOOKUP($D863,'Move Editor'!$B:$B,'Move Editor'!$C:$C,""),cat,XLOOKUP($D863,'Move Editor'!$B:$B,'Move Editor'!$D:$D,""),pow,XLOOKUP($D863,'Move Editor'!$B:$B,'Move Editor'!$E:$E,0),acc,XLOOKUP($D863,'Move Editor'!$B:$B,'Move Editor'!$F:$F,100),atk,IF(cat="Physical",FLOOR((FLOOR(((2*XLOOKUP(XLOOKUP($Q863,'Threshold Summary'!$Y:$Y,'Threshold Summary'!$K:$K,""),'Pokemon Editor'!$A:$A,'Pokemon Editor'!$F:$F,0)+31+FLOOR(XLOOKUP($Q863,'Threshold Summary'!$Y:$Y,'Threshold Summary'!$P:$P,"")/4))*XLOOKUP($Q863,'Threshold Summary'!$Y:$Y,'Threshold Summary'!$L:$L,""))/100)+5)*XLOOKUP(XLOOKUP($Q863,'Threshold Summary'!$Y:$Y,'Threshold Summary'!$M:$M,""),'Nature Editor'!$A:$A,'Nature Editor'!$B:$B,1)),FLOOR((FLOOR(((2*XLOOKUP(XLOOKUP($Q863,'Threshold Summary'!$Y:$Y,'Threshold Summary'!$K:$K,""),'Pokemon Editor'!$A:$A,'Pokemon Editor'!$H:$H,0)+31+FLOOR(XLOOKUP($Q863,'Threshold Summary'!$Y:$Y,'Threshold Summary'!$R:$R,"")/4))*XLOOKUP($Q863,'Threshold Summary'!$Y:$Y,'Threshold Summary'!$L:$L,""))/100)+5)*XLOOKUP(XLOOKUP($Q863,'Threshold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Editor'!$E:$E,1))),stab,IF(OR(mtype=XLOOKUP(XLOOKUP($Q863,'Threshold Summary'!$Y:$Y,'Threshold Summary'!$K:$K,""),'Pokemon Editor'!$A:$A,'Pokemon Editor'!$C:$C,""),mtype=XLOOKUP(XLOOKUP($Q863,'Threshold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Chart'!$B$1:$S$1,0)))),base,IF(OR(cat="Status",pow=0),0,FLOOR(FLOOR(FLOOR((2*XLOOKUP($Q863,'Threshold Summary'!$Y:$Y,'Threshold Summary'!$L:$L,"")/5+2)*pow*atk/def)/50)+2)),modifier,stab*eff,FLOOR(base*modifier*0.85)),0)</f>
        <v/>
      </c>
      <c r="K863" s="3">
        <f>IFERROR(LET(mtype,XLOOKUP($D863,'Move Editor'!$B:$B,'Move Editor'!$C:$C,""),cat,XLOOKUP($D863,'Move Editor'!$B:$B,'Move Editor'!$D:$D,""),pow,XLOOKUP($D863,'Move Editor'!$B:$B,'Move Editor'!$E:$E,0),acc,XLOOKUP($D863,'Move Editor'!$B:$B,'Move Editor'!$F:$F,100),atk,IF(cat="Physical",FLOOR((FLOOR(((2*XLOOKUP(XLOOKUP($Q863,'Threshold Summary'!$Y:$Y,'Threshold Summary'!$K:$K,""),'Pokemon Editor'!$A:$A,'Pokemon Editor'!$F:$F,0)+31+FLOOR(XLOOKUP($Q863,'Threshold Summary'!$Y:$Y,'Threshold Summary'!$P:$P,"")/4))*XLOOKUP($Q863,'Threshold Summary'!$Y:$Y,'Threshold Summary'!$L:$L,""))/100)+5)*XLOOKUP(XLOOKUP($Q863,'Threshold Summary'!$Y:$Y,'Threshold Summary'!$M:$M,""),'Nature Editor'!$A:$A,'Nature Editor'!$B:$B,1)),FLOOR((FLOOR(((2*XLOOKUP(XLOOKUP($Q863,'Threshold Summary'!$Y:$Y,'Threshold Summary'!$K:$K,""),'Pokemon Editor'!$A:$A,'Pokemon Editor'!$H:$H,0)+31+FLOOR(XLOOKUP($Q863,'Threshold Summary'!$Y:$Y,'Threshold Summary'!$R:$R,"")/4))*XLOOKUP($Q863,'Threshold Summary'!$Y:$Y,'Threshold Summary'!$L:$L,""))/100)+5)*XLOOKUP(XLOOKUP($Q863,'Threshold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Editor'!$E:$E,1))),stab,IF(OR(mtype=XLOOKUP(XLOOKUP($Q863,'Threshold Summary'!$Y:$Y,'Threshold Summary'!$K:$K,""),'Pokemon Editor'!$A:$A,'Pokemon Editor'!$C:$C,""),mtype=XLOOKUP(XLOOKUP($Q863,'Threshold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Chart'!$B$1:$S$1,0)))),base,IF(OR(cat="Status",pow=0),0,FLOOR(FLOOR(FLOOR((2*XLOOKUP($Q863,'Threshold Summary'!$Y:$Y,'Threshold Summary'!$L:$L,"")/5+2)*pow*atk/def)/50)+2)),modifier,stab*eff,FLOOR(base*modifier)),0)</f>
        <v/>
      </c>
      <c r="L863" s="3">
        <f>IFERROR(LET(mtype,XLOOKUP($D863,'Move Editor'!$B:$B,'Move Editor'!$C:$C,""),cat,XLOOKUP($D863,'Move Editor'!$B:$B,'Move Editor'!$D:$D,""),pow,XLOOKUP($D863,'Move Editor'!$B:$B,'Move Editor'!$E:$E,0),acc,XLOOKUP($D863,'Move Editor'!$B:$B,'Move Editor'!$F:$F,100),atk,IF(cat="Physical",FLOOR((FLOOR(((2*XLOOKUP(XLOOKUP($Q863,'Threshold Summary'!$Y:$Y,'Threshold Summary'!$K:$K,""),'Pokemon Editor'!$A:$A,'Pokemon Editor'!$F:$F,0)+31+FLOOR(XLOOKUP($Q863,'Threshold Summary'!$Y:$Y,'Threshold Summary'!$P:$P,"")/4))*XLOOKUP($Q863,'Threshold Summary'!$Y:$Y,'Threshold Summary'!$L:$L,""))/100)+5)*XLOOKUP(XLOOKUP($Q863,'Threshold Summary'!$Y:$Y,'Threshold Summary'!$M:$M,""),'Nature Editor'!$A:$A,'Nature Editor'!$B:$B,1)),FLOOR((FLOOR(((2*XLOOKUP(XLOOKUP($Q863,'Threshold Summary'!$Y:$Y,'Threshold Summary'!$K:$K,""),'Pokemon Editor'!$A:$A,'Pokemon Editor'!$H:$H,0)+31+FLOOR(XLOOKUP($Q863,'Threshold Summary'!$Y:$Y,'Threshold Summary'!$R:$R,"")/4))*XLOOKUP($Q863,'Threshold Summary'!$Y:$Y,'Threshold Summary'!$L:$L,""))/100)+5)*XLOOKUP(XLOOKUP($Q863,'Threshold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Editor'!$E:$E,1))),stab,IF(OR(mtype=XLOOKUP(XLOOKUP($Q863,'Threshold Summary'!$Y:$Y,'Threshold Summary'!$K:$K,""),'Pokemon Editor'!$A:$A,'Pokemon Editor'!$C:$C,""),mtype=XLOOKUP(XLOOKUP($Q863,'Threshold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Chart'!$B$1:$S$1,0)))),base,IF(OR(cat="Status",pow=0),0,FLOOR(FLOOR(FLOOR((2*XLOOKUP($Q863,'Threshold Summary'!$Y:$Y,'Threshold Summary'!$L:$L,"")/5+2)*pow*atk/def)/50)+2)),modifier,stab*eff,AVERAGE(ARRAYFORMULA(FLOOR(base*modifier*SEQUENCE(16,1,85,1)/100)))),0)</f>
        <v/>
      </c>
      <c r="M863" s="3">
        <f>IFERROR(LET(mtype,XLOOKUP($D863,'Move Editor'!$B:$B,'Move Editor'!$C:$C,""),cat,XLOOKUP($D863,'Move Editor'!$B:$B,'Move Editor'!$D:$D,""),pow,XLOOKUP($D863,'Move Editor'!$B:$B,'Move Editor'!$E:$E,0),acc,XLOOKUP($D863,'Move Editor'!$B:$B,'Move Editor'!$F:$F,100),atk,IF(cat="Physical",FLOOR((FLOOR(((2*XLOOKUP(XLOOKUP($Q863,'Threshold Summary'!$Y:$Y,'Threshold Summary'!$K:$K,""),'Pokemon Editor'!$A:$A,'Pokemon Editor'!$F:$F,0)+31+FLOOR(XLOOKUP($Q863,'Threshold Summary'!$Y:$Y,'Threshold Summary'!$P:$P,"")/4))*XLOOKUP($Q863,'Threshold Summary'!$Y:$Y,'Threshold Summary'!$L:$L,""))/100)+5)*XLOOKUP(XLOOKUP($Q863,'Threshold Summary'!$Y:$Y,'Threshold Summary'!$M:$M,""),'Nature Editor'!$A:$A,'Nature Editor'!$B:$B,1)),FLOOR((FLOOR(((2*XLOOKUP(XLOOKUP($Q863,'Threshold Summary'!$Y:$Y,'Threshold Summary'!$K:$K,""),'Pokemon Editor'!$A:$A,'Pokemon Editor'!$H:$H,0)+31+FLOOR(XLOOKUP($Q863,'Threshold Summary'!$Y:$Y,'Threshold Summary'!$R:$R,"")/4))*XLOOKUP($Q863,'Threshold Summary'!$Y:$Y,'Threshold Summary'!$L:$L,""))/100)+5)*XLOOKUP(XLOOKUP($Q863,'Threshold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Editor'!$E:$E,1))),stab,IF(OR(mtype=XLOOKUP(XLOOKUP($Q863,'Threshold Summary'!$Y:$Y,'Threshold Summary'!$K:$K,""),'Pokemon Editor'!$A:$A,'Pokemon Editor'!$C:$C,""),mtype=XLOOKUP(XLOOKUP($Q863,'Threshold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Chart'!$B$1:$S$1,0)))),base,IF(OR(cat="Status",pow=0),0,FLOOR(FLOOR(FLOOR((2*XLOOKUP($Q863,'Threshold Summary'!$Y:$Y,'Threshold Summary'!$L:$L,"")/5+2)*pow*atk/def)/50)+2)),modifier,stab*eff,AVERAGE(ARRAYFORMULA(FLOOR(base*modifier*SEQUENCE(16,1,85,1)/100)))*MIN(1,acc/100)),0)</f>
        <v/>
      </c>
      <c r="N863" s="4">
        <f>IFERROR(LET(mtype,XLOOKUP($D863,'Move Editor'!$B:$B,'Move Editor'!$C:$C,""),cat,XLOOKUP($D863,'Move Editor'!$B:$B,'Move Editor'!$D:$D,""),pow,XLOOKUP($D863,'Move Editor'!$B:$B,'Move Editor'!$E:$E,0),acc,XLOOKUP($D863,'Move Editor'!$B:$B,'Move Editor'!$F:$F,100),atk,IF(cat="Physical",FLOOR((FLOOR(((2*XLOOKUP(XLOOKUP($Q863,'Threshold Summary'!$Y:$Y,'Threshold Summary'!$K:$K,""),'Pokemon Editor'!$A:$A,'Pokemon Editor'!$F:$F,0)+31+FLOOR(XLOOKUP($Q863,'Threshold Summary'!$Y:$Y,'Threshold Summary'!$P:$P,"")/4))*XLOOKUP($Q863,'Threshold Summary'!$Y:$Y,'Threshold Summary'!$L:$L,""))/100)+5)*XLOOKUP(XLOOKUP($Q863,'Threshold Summary'!$Y:$Y,'Threshold Summary'!$M:$M,""),'Nature Editor'!$A:$A,'Nature Editor'!$B:$B,1)),FLOOR((FLOOR(((2*XLOOKUP(XLOOKUP($Q863,'Threshold Summary'!$Y:$Y,'Threshold Summary'!$K:$K,""),'Pokemon Editor'!$A:$A,'Pokemon Editor'!$H:$H,0)+31+FLOOR(XLOOKUP($Q863,'Threshold Summary'!$Y:$Y,'Threshold Summary'!$R:$R,"")/4))*XLOOKUP($Q863,'Threshold Summary'!$Y:$Y,'Threshold Summary'!$L:$L,""))/100)+5)*XLOOKUP(XLOOKUP($Q863,'Threshold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Editor'!$E:$E,1))),stab,IF(OR(mtype=XLOOKUP(XLOOKUP($Q863,'Threshold Summary'!$Y:$Y,'Threshold Summary'!$K:$K,""),'Pokemon Editor'!$A:$A,'Pokemon Editor'!$C:$C,""),mtype=XLOOKUP(XLOOKUP($Q863,'Threshold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Chart'!$B$1:$S$1,0)))),base,IF(OR(cat="Status",pow=0),0,FLOOR(FLOOR(FLOOR((2*XLOOKUP($Q863,'Threshold Summary'!$Y:$Y,'Threshold Summary'!$L:$L,"")/5+2)*pow*atk/def)/50)+2)),modifier,stab*eff,AVERAGE(ARRAYFORMULA(FLOOR(base*modifier*SEQUENCE(16,1,85,1)/100)))/(FLOOR(((2*XLOOKUP('Boss Editor'!$C$4,'Pokemon Editor'!$A:$A,'Pokemon Editor'!$E:$E,0)+31+FLOOR('Boss Editor'!$G$4/4))*'Boss Editor'!$D$4)/100)+'Boss Editor'!$D$4+10)),0)</f>
        <v/>
      </c>
      <c r="O863" s="3">
        <f>IF(N863&gt;=1,"OHKO",IF(N863&gt;=0.5,"2HKO",IF(N863&gt;=0.333,"3HKO",IF(N863&gt;=0.25,"4HKO","5HKO+"))))</f>
        <v/>
      </c>
      <c r="P863" s="3" t="inlineStr">
        <is>
          <t>Live from editable databases</t>
        </is>
      </c>
      <c r="Q863" s="3" t="inlineStr">
        <is>
          <t>SPECIES_TOXEL</t>
        </is>
      </c>
      <c r="R863" s="3" t="n">
        <v>30</v>
      </c>
    </row>
    <row r="864">
      <c r="A864" s="3">
        <f>XLOOKUP($Q864,'Threshold Summary'!$Y:$Y,'Threshold Summary'!$A:$A,"")</f>
        <v/>
      </c>
      <c r="B864" s="3">
        <f>XLOOKUP($Q864,'Threshold Summary'!$Y:$Y,'Threshold Summary'!$M:$M,"")</f>
        <v/>
      </c>
      <c r="C864" s="3">
        <f>XLOOKUP($Q864,'Threshold Summary'!$Y:$Y,'Threshold Summary'!$N:$N,"")</f>
        <v/>
      </c>
      <c r="D864" s="3">
        <f>IFERROR(INDEX(FILTER('Learnset Editor'!$D$2:$D,'Learnset Editor'!$A$2:$A=XLOOKUP($Q864,'Threshold Summary'!$Y:$Y,'Threshold Summary'!$K:$K,""),'Learnset Editor'!$C$2:$C&lt;=XLOOKUP($Q864,'Threshold Summary'!$Y:$Y,'Threshold Summary'!$L:$L,"")),$R864),"")</f>
        <v/>
      </c>
      <c r="E864" s="3">
        <f>XLOOKUP(D864,'Move Editor'!$B:$B,'Move Editor'!$C:$C,"")</f>
        <v/>
      </c>
      <c r="F864" s="3">
        <f>XLOOKUP(D864,'Move Editor'!$B:$B,'Move Editor'!$D:$D,"")</f>
        <v/>
      </c>
      <c r="G864" s="3">
        <f>XLOOKUP(D864,'Move Editor'!$B:$B,'Move Editor'!$E:$E,0)</f>
        <v/>
      </c>
      <c r="H864" s="3">
        <f>XLOOKUP(D864,'Move Editor'!$B:$B,'Move Editor'!$F:$F,0)</f>
        <v/>
      </c>
      <c r="I864" s="3">
        <f>(INDEX('Type Chart'!$B:$S,MATCH(E864,'Type Chart'!$A:$A,0),MATCH(XLOOKUP('Boss Editor'!$C$4,'Pokemon Editor'!$A:$A,'Pokemon Editor'!$C:$C,""),'Type Chart'!$B$1:$S$1,0))*IF(XLOOKUP('Boss Editor'!$C$4,'Pokemon Editor'!$A:$A,'Pokemon Editor'!$D:$D,"")="",1,INDEX('Type Chart'!$B:$S,MATCH(E864,'Type Chart'!$A:$A,0),MATCH(XLOOKUP('Boss Editor'!$C$4,'Pokemon Editor'!$A:$A,'Pokemon Editor'!$D:$D,""),'Type Chart'!$B$1:$S$1,0))))</f>
        <v/>
      </c>
      <c r="J864" s="3">
        <f>IFERROR(LET(mtype,XLOOKUP($D864,'Move Editor'!$B:$B,'Move Editor'!$C:$C,""),cat,XLOOKUP($D864,'Move Editor'!$B:$B,'Move Editor'!$D:$D,""),pow,XLOOKUP($D864,'Move Editor'!$B:$B,'Move Editor'!$E:$E,0),acc,XLOOKUP($D864,'Move Editor'!$B:$B,'Move Editor'!$F:$F,100),atk,IF(cat="Physical",FLOOR((FLOOR(((2*XLOOKUP(XLOOKUP($Q864,'Threshold Summary'!$Y:$Y,'Threshold Summary'!$K:$K,""),'Pokemon Editor'!$A:$A,'Pokemon Editor'!$F:$F,0)+31+FLOOR(XLOOKUP($Q864,'Threshold Summary'!$Y:$Y,'Threshold Summary'!$P:$P,"")/4))*XLOOKUP($Q864,'Threshold Summary'!$Y:$Y,'Threshold Summary'!$L:$L,""))/100)+5)*XLOOKUP(XLOOKUP($Q864,'Threshold Summary'!$Y:$Y,'Threshold Summary'!$M:$M,""),'Nature Editor'!$A:$A,'Nature Editor'!$B:$B,1)),FLOOR((FLOOR(((2*XLOOKUP(XLOOKUP($Q864,'Threshold Summary'!$Y:$Y,'Threshold Summary'!$K:$K,""),'Pokemon Editor'!$A:$A,'Pokemon Editor'!$H:$H,0)+31+FLOOR(XLOOKUP($Q864,'Threshold Summary'!$Y:$Y,'Threshold Summary'!$R:$R,"")/4))*XLOOKUP($Q864,'Threshold Summary'!$Y:$Y,'Threshold Summary'!$L:$L,""))/100)+5)*XLOOKUP(XLOOKUP($Q864,'Threshold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Editor'!$E:$E,1))),stab,IF(OR(mtype=XLOOKUP(XLOOKUP($Q864,'Threshold Summary'!$Y:$Y,'Threshold Summary'!$K:$K,""),'Pokemon Editor'!$A:$A,'Pokemon Editor'!$C:$C,""),mtype=XLOOKUP(XLOOKUP($Q864,'Threshold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Chart'!$B$1:$S$1,0)))),base,IF(OR(cat="Status",pow=0),0,FLOOR(FLOOR(FLOOR((2*XLOOKUP($Q864,'Threshold Summary'!$Y:$Y,'Threshold Summary'!$L:$L,"")/5+2)*pow*atk/def)/50)+2)),modifier,stab*eff,FLOOR(base*modifier*0.85)),0)</f>
        <v/>
      </c>
      <c r="K864" s="3">
        <f>IFERROR(LET(mtype,XLOOKUP($D864,'Move Editor'!$B:$B,'Move Editor'!$C:$C,""),cat,XLOOKUP($D864,'Move Editor'!$B:$B,'Move Editor'!$D:$D,""),pow,XLOOKUP($D864,'Move Editor'!$B:$B,'Move Editor'!$E:$E,0),acc,XLOOKUP($D864,'Move Editor'!$B:$B,'Move Editor'!$F:$F,100),atk,IF(cat="Physical",FLOOR((FLOOR(((2*XLOOKUP(XLOOKUP($Q864,'Threshold Summary'!$Y:$Y,'Threshold Summary'!$K:$K,""),'Pokemon Editor'!$A:$A,'Pokemon Editor'!$F:$F,0)+31+FLOOR(XLOOKUP($Q864,'Threshold Summary'!$Y:$Y,'Threshold Summary'!$P:$P,"")/4))*XLOOKUP($Q864,'Threshold Summary'!$Y:$Y,'Threshold Summary'!$L:$L,""))/100)+5)*XLOOKUP(XLOOKUP($Q864,'Threshold Summary'!$Y:$Y,'Threshold Summary'!$M:$M,""),'Nature Editor'!$A:$A,'Nature Editor'!$B:$B,1)),FLOOR((FLOOR(((2*XLOOKUP(XLOOKUP($Q864,'Threshold Summary'!$Y:$Y,'Threshold Summary'!$K:$K,""),'Pokemon Editor'!$A:$A,'Pokemon Editor'!$H:$H,0)+31+FLOOR(XLOOKUP($Q864,'Threshold Summary'!$Y:$Y,'Threshold Summary'!$R:$R,"")/4))*XLOOKUP($Q864,'Threshold Summary'!$Y:$Y,'Threshold Summary'!$L:$L,""))/100)+5)*XLOOKUP(XLOOKUP($Q864,'Threshold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Editor'!$E:$E,1))),stab,IF(OR(mtype=XLOOKUP(XLOOKUP($Q864,'Threshold Summary'!$Y:$Y,'Threshold Summary'!$K:$K,""),'Pokemon Editor'!$A:$A,'Pokemon Editor'!$C:$C,""),mtype=XLOOKUP(XLOOKUP($Q864,'Threshold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Chart'!$B$1:$S$1,0)))),base,IF(OR(cat="Status",pow=0),0,FLOOR(FLOOR(FLOOR((2*XLOOKUP($Q864,'Threshold Summary'!$Y:$Y,'Threshold Summary'!$L:$L,"")/5+2)*pow*atk/def)/50)+2)),modifier,stab*eff,FLOOR(base*modifier)),0)</f>
        <v/>
      </c>
      <c r="L864" s="3">
        <f>IFERROR(LET(mtype,XLOOKUP($D864,'Move Editor'!$B:$B,'Move Editor'!$C:$C,""),cat,XLOOKUP($D864,'Move Editor'!$B:$B,'Move Editor'!$D:$D,""),pow,XLOOKUP($D864,'Move Editor'!$B:$B,'Move Editor'!$E:$E,0),acc,XLOOKUP($D864,'Move Editor'!$B:$B,'Move Editor'!$F:$F,100),atk,IF(cat="Physical",FLOOR((FLOOR(((2*XLOOKUP(XLOOKUP($Q864,'Threshold Summary'!$Y:$Y,'Threshold Summary'!$K:$K,""),'Pokemon Editor'!$A:$A,'Pokemon Editor'!$F:$F,0)+31+FLOOR(XLOOKUP($Q864,'Threshold Summary'!$Y:$Y,'Threshold Summary'!$P:$P,"")/4))*XLOOKUP($Q864,'Threshold Summary'!$Y:$Y,'Threshold Summary'!$L:$L,""))/100)+5)*XLOOKUP(XLOOKUP($Q864,'Threshold Summary'!$Y:$Y,'Threshold Summary'!$M:$M,""),'Nature Editor'!$A:$A,'Nature Editor'!$B:$B,1)),FLOOR((FLOOR(((2*XLOOKUP(XLOOKUP($Q864,'Threshold Summary'!$Y:$Y,'Threshold Summary'!$K:$K,""),'Pokemon Editor'!$A:$A,'Pokemon Editor'!$H:$H,0)+31+FLOOR(XLOOKUP($Q864,'Threshold Summary'!$Y:$Y,'Threshold Summary'!$R:$R,"")/4))*XLOOKUP($Q864,'Threshold Summary'!$Y:$Y,'Threshold Summary'!$L:$L,""))/100)+5)*XLOOKUP(XLOOKUP($Q864,'Threshold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Editor'!$E:$E,1))),stab,IF(OR(mtype=XLOOKUP(XLOOKUP($Q864,'Threshold Summary'!$Y:$Y,'Threshold Summary'!$K:$K,""),'Pokemon Editor'!$A:$A,'Pokemon Editor'!$C:$C,""),mtype=XLOOKUP(XLOOKUP($Q864,'Threshold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Chart'!$B$1:$S$1,0)))),base,IF(OR(cat="Status",pow=0),0,FLOOR(FLOOR(FLOOR((2*XLOOKUP($Q864,'Threshold Summary'!$Y:$Y,'Threshold Summary'!$L:$L,"")/5+2)*pow*atk/def)/50)+2)),modifier,stab*eff,AVERAGE(ARRAYFORMULA(FLOOR(base*modifier*SEQUENCE(16,1,85,1)/100)))),0)</f>
        <v/>
      </c>
      <c r="M864" s="3">
        <f>IFERROR(LET(mtype,XLOOKUP($D864,'Move Editor'!$B:$B,'Move Editor'!$C:$C,""),cat,XLOOKUP($D864,'Move Editor'!$B:$B,'Move Editor'!$D:$D,""),pow,XLOOKUP($D864,'Move Editor'!$B:$B,'Move Editor'!$E:$E,0),acc,XLOOKUP($D864,'Move Editor'!$B:$B,'Move Editor'!$F:$F,100),atk,IF(cat="Physical",FLOOR((FLOOR(((2*XLOOKUP(XLOOKUP($Q864,'Threshold Summary'!$Y:$Y,'Threshold Summary'!$K:$K,""),'Pokemon Editor'!$A:$A,'Pokemon Editor'!$F:$F,0)+31+FLOOR(XLOOKUP($Q864,'Threshold Summary'!$Y:$Y,'Threshold Summary'!$P:$P,"")/4))*XLOOKUP($Q864,'Threshold Summary'!$Y:$Y,'Threshold Summary'!$L:$L,""))/100)+5)*XLOOKUP(XLOOKUP($Q864,'Threshold Summary'!$Y:$Y,'Threshold Summary'!$M:$M,""),'Nature Editor'!$A:$A,'Nature Editor'!$B:$B,1)),FLOOR((FLOOR(((2*XLOOKUP(XLOOKUP($Q864,'Threshold Summary'!$Y:$Y,'Threshold Summary'!$K:$K,""),'Pokemon Editor'!$A:$A,'Pokemon Editor'!$H:$H,0)+31+FLOOR(XLOOKUP($Q864,'Threshold Summary'!$Y:$Y,'Threshold Summary'!$R:$R,"")/4))*XLOOKUP($Q864,'Threshold Summary'!$Y:$Y,'Threshold Summary'!$L:$L,""))/100)+5)*XLOOKUP(XLOOKUP($Q864,'Threshold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Editor'!$E:$E,1))),stab,IF(OR(mtype=XLOOKUP(XLOOKUP($Q864,'Threshold Summary'!$Y:$Y,'Threshold Summary'!$K:$K,""),'Pokemon Editor'!$A:$A,'Pokemon Editor'!$C:$C,""),mtype=XLOOKUP(XLOOKUP($Q864,'Threshold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Chart'!$B$1:$S$1,0)))),base,IF(OR(cat="Status",pow=0),0,FLOOR(FLOOR(FLOOR((2*XLOOKUP($Q864,'Threshold Summary'!$Y:$Y,'Threshold Summary'!$L:$L,"")/5+2)*pow*atk/def)/50)+2)),modifier,stab*eff,AVERAGE(ARRAYFORMULA(FLOOR(base*modifier*SEQUENCE(16,1,85,1)/100)))*MIN(1,acc/100)),0)</f>
        <v/>
      </c>
      <c r="N864" s="4">
        <f>IFERROR(LET(mtype,XLOOKUP($D864,'Move Editor'!$B:$B,'Move Editor'!$C:$C,""),cat,XLOOKUP($D864,'Move Editor'!$B:$B,'Move Editor'!$D:$D,""),pow,XLOOKUP($D864,'Move Editor'!$B:$B,'Move Editor'!$E:$E,0),acc,XLOOKUP($D864,'Move Editor'!$B:$B,'Move Editor'!$F:$F,100),atk,IF(cat="Physical",FLOOR((FLOOR(((2*XLOOKUP(XLOOKUP($Q864,'Threshold Summary'!$Y:$Y,'Threshold Summary'!$K:$K,""),'Pokemon Editor'!$A:$A,'Pokemon Editor'!$F:$F,0)+31+FLOOR(XLOOKUP($Q864,'Threshold Summary'!$Y:$Y,'Threshold Summary'!$P:$P,"")/4))*XLOOKUP($Q864,'Threshold Summary'!$Y:$Y,'Threshold Summary'!$L:$L,""))/100)+5)*XLOOKUP(XLOOKUP($Q864,'Threshold Summary'!$Y:$Y,'Threshold Summary'!$M:$M,""),'Nature Editor'!$A:$A,'Nature Editor'!$B:$B,1)),FLOOR((FLOOR(((2*XLOOKUP(XLOOKUP($Q864,'Threshold Summary'!$Y:$Y,'Threshold Summary'!$K:$K,""),'Pokemon Editor'!$A:$A,'Pokemon Editor'!$H:$H,0)+31+FLOOR(XLOOKUP($Q864,'Threshold Summary'!$Y:$Y,'Threshold Summary'!$R:$R,"")/4))*XLOOKUP($Q864,'Threshold Summary'!$Y:$Y,'Threshold Summary'!$L:$L,""))/100)+5)*XLOOKUP(XLOOKUP($Q864,'Threshold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Editor'!$E:$E,1))),stab,IF(OR(mtype=XLOOKUP(XLOOKUP($Q864,'Threshold Summary'!$Y:$Y,'Threshold Summary'!$K:$K,""),'Pokemon Editor'!$A:$A,'Pokemon Editor'!$C:$C,""),mtype=XLOOKUP(XLOOKUP($Q864,'Threshold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Chart'!$B$1:$S$1,0)))),base,IF(OR(cat="Status",pow=0),0,FLOOR(FLOOR(FLOOR((2*XLOOKUP($Q864,'Threshold Summary'!$Y:$Y,'Threshold Summary'!$L:$L,"")/5+2)*pow*atk/def)/50)+2)),modifier,stab*eff,AVERAGE(ARRAYFORMULA(FLOOR(base*modifier*SEQUENCE(16,1,85,1)/100)))/(FLOOR(((2*XLOOKUP('Boss Editor'!$C$4,'Pokemon Editor'!$A:$A,'Pokemon Editor'!$E:$E,0)+31+FLOOR('Boss Editor'!$G$4/4))*'Boss Editor'!$D$4)/100)+'Boss Editor'!$D$4+10)),0)</f>
        <v/>
      </c>
      <c r="O864" s="3">
        <f>IF(N864&gt;=1,"OHKO",IF(N864&gt;=0.5,"2HKO",IF(N864&gt;=0.333,"3HKO",IF(N864&gt;=0.25,"4HKO","5HKO+"))))</f>
        <v/>
      </c>
      <c r="P864" s="3" t="inlineStr">
        <is>
          <t>Live from editable databases</t>
        </is>
      </c>
      <c r="Q864" s="3" t="inlineStr">
        <is>
          <t>SPECIES_TOXEL</t>
        </is>
      </c>
      <c r="R864" s="3" t="n">
        <v>31</v>
      </c>
    </row>
    <row r="865">
      <c r="A865" s="3">
        <f>XLOOKUP($Q865,'Threshold Summary'!$Y:$Y,'Threshold Summary'!$A:$A,"")</f>
        <v/>
      </c>
      <c r="B865" s="3">
        <f>XLOOKUP($Q865,'Threshold Summary'!$Y:$Y,'Threshold Summary'!$M:$M,"")</f>
        <v/>
      </c>
      <c r="C865" s="3">
        <f>XLOOKUP($Q865,'Threshold Summary'!$Y:$Y,'Threshold Summary'!$N:$N,"")</f>
        <v/>
      </c>
      <c r="D865" s="3">
        <f>IFERROR(INDEX(FILTER('Learnset Editor'!$D$2:$D,'Learnset Editor'!$A$2:$A=XLOOKUP($Q865,'Threshold Summary'!$Y:$Y,'Threshold Summary'!$K:$K,""),'Learnset Editor'!$C$2:$C&lt;=XLOOKUP($Q865,'Threshold Summary'!$Y:$Y,'Threshold Summary'!$L:$L,"")),$R865),"")</f>
        <v/>
      </c>
      <c r="E865" s="3">
        <f>XLOOKUP(D865,'Move Editor'!$B:$B,'Move Editor'!$C:$C,"")</f>
        <v/>
      </c>
      <c r="F865" s="3">
        <f>XLOOKUP(D865,'Move Editor'!$B:$B,'Move Editor'!$D:$D,"")</f>
        <v/>
      </c>
      <c r="G865" s="3">
        <f>XLOOKUP(D865,'Move Editor'!$B:$B,'Move Editor'!$E:$E,0)</f>
        <v/>
      </c>
      <c r="H865" s="3">
        <f>XLOOKUP(D865,'Move Editor'!$B:$B,'Move Editor'!$F:$F,0)</f>
        <v/>
      </c>
      <c r="I865" s="3">
        <f>(INDEX('Type Chart'!$B:$S,MATCH(E865,'Type Chart'!$A:$A,0),MATCH(XLOOKUP('Boss Editor'!$C$4,'Pokemon Editor'!$A:$A,'Pokemon Editor'!$C:$C,""),'Type Chart'!$B$1:$S$1,0))*IF(XLOOKUP('Boss Editor'!$C$4,'Pokemon Editor'!$A:$A,'Pokemon Editor'!$D:$D,"")="",1,INDEX('Type Chart'!$B:$S,MATCH(E865,'Type Chart'!$A:$A,0),MATCH(XLOOKUP('Boss Editor'!$C$4,'Pokemon Editor'!$A:$A,'Pokemon Editor'!$D:$D,""),'Type Chart'!$B$1:$S$1,0))))</f>
        <v/>
      </c>
      <c r="J865" s="3">
        <f>IFERROR(LET(mtype,XLOOKUP($D865,'Move Editor'!$B:$B,'Move Editor'!$C:$C,""),cat,XLOOKUP($D865,'Move Editor'!$B:$B,'Move Editor'!$D:$D,""),pow,XLOOKUP($D865,'Move Editor'!$B:$B,'Move Editor'!$E:$E,0),acc,XLOOKUP($D865,'Move Editor'!$B:$B,'Move Editor'!$F:$F,100),atk,IF(cat="Physical",FLOOR((FLOOR(((2*XLOOKUP(XLOOKUP($Q865,'Threshold Summary'!$Y:$Y,'Threshold Summary'!$K:$K,""),'Pokemon Editor'!$A:$A,'Pokemon Editor'!$F:$F,0)+31+FLOOR(XLOOKUP($Q865,'Threshold Summary'!$Y:$Y,'Threshold Summary'!$P:$P,"")/4))*XLOOKUP($Q865,'Threshold Summary'!$Y:$Y,'Threshold Summary'!$L:$L,""))/100)+5)*XLOOKUP(XLOOKUP($Q865,'Threshold Summary'!$Y:$Y,'Threshold Summary'!$M:$M,""),'Nature Editor'!$A:$A,'Nature Editor'!$B:$B,1)),FLOOR((FLOOR(((2*XLOOKUP(XLOOKUP($Q865,'Threshold Summary'!$Y:$Y,'Threshold Summary'!$K:$K,""),'Pokemon Editor'!$A:$A,'Pokemon Editor'!$H:$H,0)+31+FLOOR(XLOOKUP($Q865,'Threshold Summary'!$Y:$Y,'Threshold Summary'!$R:$R,"")/4))*XLOOKUP($Q865,'Threshold Summary'!$Y:$Y,'Threshold Summary'!$L:$L,""))/100)+5)*XLOOKUP(XLOOKUP($Q865,'Threshold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Editor'!$E:$E,1))),stab,IF(OR(mtype=XLOOKUP(XLOOKUP($Q865,'Threshold Summary'!$Y:$Y,'Threshold Summary'!$K:$K,""),'Pokemon Editor'!$A:$A,'Pokemon Editor'!$C:$C,""),mtype=XLOOKUP(XLOOKUP($Q865,'Threshold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Chart'!$B$1:$S$1,0)))),base,IF(OR(cat="Status",pow=0),0,FLOOR(FLOOR(FLOOR((2*XLOOKUP($Q865,'Threshold Summary'!$Y:$Y,'Threshold Summary'!$L:$L,"")/5+2)*pow*atk/def)/50)+2)),modifier,stab*eff,FLOOR(base*modifier*0.85)),0)</f>
        <v/>
      </c>
      <c r="K865" s="3">
        <f>IFERROR(LET(mtype,XLOOKUP($D865,'Move Editor'!$B:$B,'Move Editor'!$C:$C,""),cat,XLOOKUP($D865,'Move Editor'!$B:$B,'Move Editor'!$D:$D,""),pow,XLOOKUP($D865,'Move Editor'!$B:$B,'Move Editor'!$E:$E,0),acc,XLOOKUP($D865,'Move Editor'!$B:$B,'Move Editor'!$F:$F,100),atk,IF(cat="Physical",FLOOR((FLOOR(((2*XLOOKUP(XLOOKUP($Q865,'Threshold Summary'!$Y:$Y,'Threshold Summary'!$K:$K,""),'Pokemon Editor'!$A:$A,'Pokemon Editor'!$F:$F,0)+31+FLOOR(XLOOKUP($Q865,'Threshold Summary'!$Y:$Y,'Threshold Summary'!$P:$P,"")/4))*XLOOKUP($Q865,'Threshold Summary'!$Y:$Y,'Threshold Summary'!$L:$L,""))/100)+5)*XLOOKUP(XLOOKUP($Q865,'Threshold Summary'!$Y:$Y,'Threshold Summary'!$M:$M,""),'Nature Editor'!$A:$A,'Nature Editor'!$B:$B,1)),FLOOR((FLOOR(((2*XLOOKUP(XLOOKUP($Q865,'Threshold Summary'!$Y:$Y,'Threshold Summary'!$K:$K,""),'Pokemon Editor'!$A:$A,'Pokemon Editor'!$H:$H,0)+31+FLOOR(XLOOKUP($Q865,'Threshold Summary'!$Y:$Y,'Threshold Summary'!$R:$R,"")/4))*XLOOKUP($Q865,'Threshold Summary'!$Y:$Y,'Threshold Summary'!$L:$L,""))/100)+5)*XLOOKUP(XLOOKUP($Q865,'Threshold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Editor'!$E:$E,1))),stab,IF(OR(mtype=XLOOKUP(XLOOKUP($Q865,'Threshold Summary'!$Y:$Y,'Threshold Summary'!$K:$K,""),'Pokemon Editor'!$A:$A,'Pokemon Editor'!$C:$C,""),mtype=XLOOKUP(XLOOKUP($Q865,'Threshold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Chart'!$B$1:$S$1,0)))),base,IF(OR(cat="Status",pow=0),0,FLOOR(FLOOR(FLOOR((2*XLOOKUP($Q865,'Threshold Summary'!$Y:$Y,'Threshold Summary'!$L:$L,"")/5+2)*pow*atk/def)/50)+2)),modifier,stab*eff,FLOOR(base*modifier)),0)</f>
        <v/>
      </c>
      <c r="L865" s="3">
        <f>IFERROR(LET(mtype,XLOOKUP($D865,'Move Editor'!$B:$B,'Move Editor'!$C:$C,""),cat,XLOOKUP($D865,'Move Editor'!$B:$B,'Move Editor'!$D:$D,""),pow,XLOOKUP($D865,'Move Editor'!$B:$B,'Move Editor'!$E:$E,0),acc,XLOOKUP($D865,'Move Editor'!$B:$B,'Move Editor'!$F:$F,100),atk,IF(cat="Physical",FLOOR((FLOOR(((2*XLOOKUP(XLOOKUP($Q865,'Threshold Summary'!$Y:$Y,'Threshold Summary'!$K:$K,""),'Pokemon Editor'!$A:$A,'Pokemon Editor'!$F:$F,0)+31+FLOOR(XLOOKUP($Q865,'Threshold Summary'!$Y:$Y,'Threshold Summary'!$P:$P,"")/4))*XLOOKUP($Q865,'Threshold Summary'!$Y:$Y,'Threshold Summary'!$L:$L,""))/100)+5)*XLOOKUP(XLOOKUP($Q865,'Threshold Summary'!$Y:$Y,'Threshold Summary'!$M:$M,""),'Nature Editor'!$A:$A,'Nature Editor'!$B:$B,1)),FLOOR((FLOOR(((2*XLOOKUP(XLOOKUP($Q865,'Threshold Summary'!$Y:$Y,'Threshold Summary'!$K:$K,""),'Pokemon Editor'!$A:$A,'Pokemon Editor'!$H:$H,0)+31+FLOOR(XLOOKUP($Q865,'Threshold Summary'!$Y:$Y,'Threshold Summary'!$R:$R,"")/4))*XLOOKUP($Q865,'Threshold Summary'!$Y:$Y,'Threshold Summary'!$L:$L,""))/100)+5)*XLOOKUP(XLOOKUP($Q865,'Threshold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Editor'!$E:$E,1))),stab,IF(OR(mtype=XLOOKUP(XLOOKUP($Q865,'Threshold Summary'!$Y:$Y,'Threshold Summary'!$K:$K,""),'Pokemon Editor'!$A:$A,'Pokemon Editor'!$C:$C,""),mtype=XLOOKUP(XLOOKUP($Q865,'Threshold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Chart'!$B$1:$S$1,0)))),base,IF(OR(cat="Status",pow=0),0,FLOOR(FLOOR(FLOOR((2*XLOOKUP($Q865,'Threshold Summary'!$Y:$Y,'Threshold Summary'!$L:$L,"")/5+2)*pow*atk/def)/50)+2)),modifier,stab*eff,AVERAGE(ARRAYFORMULA(FLOOR(base*modifier*SEQUENCE(16,1,85,1)/100)))),0)</f>
        <v/>
      </c>
      <c r="M865" s="3">
        <f>IFERROR(LET(mtype,XLOOKUP($D865,'Move Editor'!$B:$B,'Move Editor'!$C:$C,""),cat,XLOOKUP($D865,'Move Editor'!$B:$B,'Move Editor'!$D:$D,""),pow,XLOOKUP($D865,'Move Editor'!$B:$B,'Move Editor'!$E:$E,0),acc,XLOOKUP($D865,'Move Editor'!$B:$B,'Move Editor'!$F:$F,100),atk,IF(cat="Physical",FLOOR((FLOOR(((2*XLOOKUP(XLOOKUP($Q865,'Threshold Summary'!$Y:$Y,'Threshold Summary'!$K:$K,""),'Pokemon Editor'!$A:$A,'Pokemon Editor'!$F:$F,0)+31+FLOOR(XLOOKUP($Q865,'Threshold Summary'!$Y:$Y,'Threshold Summary'!$P:$P,"")/4))*XLOOKUP($Q865,'Threshold Summary'!$Y:$Y,'Threshold Summary'!$L:$L,""))/100)+5)*XLOOKUP(XLOOKUP($Q865,'Threshold Summary'!$Y:$Y,'Threshold Summary'!$M:$M,""),'Nature Editor'!$A:$A,'Nature Editor'!$B:$B,1)),FLOOR((FLOOR(((2*XLOOKUP(XLOOKUP($Q865,'Threshold Summary'!$Y:$Y,'Threshold Summary'!$K:$K,""),'Pokemon Editor'!$A:$A,'Pokemon Editor'!$H:$H,0)+31+FLOOR(XLOOKUP($Q865,'Threshold Summary'!$Y:$Y,'Threshold Summary'!$R:$R,"")/4))*XLOOKUP($Q865,'Threshold Summary'!$Y:$Y,'Threshold Summary'!$L:$L,""))/100)+5)*XLOOKUP(XLOOKUP($Q865,'Threshold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Editor'!$E:$E,1))),stab,IF(OR(mtype=XLOOKUP(XLOOKUP($Q865,'Threshold Summary'!$Y:$Y,'Threshold Summary'!$K:$K,""),'Pokemon Editor'!$A:$A,'Pokemon Editor'!$C:$C,""),mtype=XLOOKUP(XLOOKUP($Q865,'Threshold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Chart'!$B$1:$S$1,0)))),base,IF(OR(cat="Status",pow=0),0,FLOOR(FLOOR(FLOOR((2*XLOOKUP($Q865,'Threshold Summary'!$Y:$Y,'Threshold Summary'!$L:$L,"")/5+2)*pow*atk/def)/50)+2)),modifier,stab*eff,AVERAGE(ARRAYFORMULA(FLOOR(base*modifier*SEQUENCE(16,1,85,1)/100)))*MIN(1,acc/100)),0)</f>
        <v/>
      </c>
      <c r="N865" s="4">
        <f>IFERROR(LET(mtype,XLOOKUP($D865,'Move Editor'!$B:$B,'Move Editor'!$C:$C,""),cat,XLOOKUP($D865,'Move Editor'!$B:$B,'Move Editor'!$D:$D,""),pow,XLOOKUP($D865,'Move Editor'!$B:$B,'Move Editor'!$E:$E,0),acc,XLOOKUP($D865,'Move Editor'!$B:$B,'Move Editor'!$F:$F,100),atk,IF(cat="Physical",FLOOR((FLOOR(((2*XLOOKUP(XLOOKUP($Q865,'Threshold Summary'!$Y:$Y,'Threshold Summary'!$K:$K,""),'Pokemon Editor'!$A:$A,'Pokemon Editor'!$F:$F,0)+31+FLOOR(XLOOKUP($Q865,'Threshold Summary'!$Y:$Y,'Threshold Summary'!$P:$P,"")/4))*XLOOKUP($Q865,'Threshold Summary'!$Y:$Y,'Threshold Summary'!$L:$L,""))/100)+5)*XLOOKUP(XLOOKUP($Q865,'Threshold Summary'!$Y:$Y,'Threshold Summary'!$M:$M,""),'Nature Editor'!$A:$A,'Nature Editor'!$B:$B,1)),FLOOR((FLOOR(((2*XLOOKUP(XLOOKUP($Q865,'Threshold Summary'!$Y:$Y,'Threshold Summary'!$K:$K,""),'Pokemon Editor'!$A:$A,'Pokemon Editor'!$H:$H,0)+31+FLOOR(XLOOKUP($Q865,'Threshold Summary'!$Y:$Y,'Threshold Summary'!$R:$R,"")/4))*XLOOKUP($Q865,'Threshold Summary'!$Y:$Y,'Threshold Summary'!$L:$L,""))/100)+5)*XLOOKUP(XLOOKUP($Q865,'Threshold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Editor'!$E:$E,1))),stab,IF(OR(mtype=XLOOKUP(XLOOKUP($Q865,'Threshold Summary'!$Y:$Y,'Threshold Summary'!$K:$K,""),'Pokemon Editor'!$A:$A,'Pokemon Editor'!$C:$C,""),mtype=XLOOKUP(XLOOKUP($Q865,'Threshold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Chart'!$B$1:$S$1,0)))),base,IF(OR(cat="Status",pow=0),0,FLOOR(FLOOR(FLOOR((2*XLOOKUP($Q865,'Threshold Summary'!$Y:$Y,'Threshold Summary'!$L:$L,"")/5+2)*pow*atk/def)/50)+2)),modifier,stab*eff,AVERAGE(ARRAYFORMULA(FLOOR(base*modifier*SEQUENCE(16,1,85,1)/100)))/(FLOOR(((2*XLOOKUP('Boss Editor'!$C$4,'Pokemon Editor'!$A:$A,'Pokemon Editor'!$E:$E,0)+31+FLOOR('Boss Editor'!$G$4/4))*'Boss Editor'!$D$4)/100)+'Boss Editor'!$D$4+10)),0)</f>
        <v/>
      </c>
      <c r="O865" s="3">
        <f>IF(N865&gt;=1,"OHKO",IF(N865&gt;=0.5,"2HKO",IF(N865&gt;=0.333,"3HKO",IF(N865&gt;=0.25,"4HKO","5HKO+"))))</f>
        <v/>
      </c>
      <c r="P865" s="3" t="inlineStr">
        <is>
          <t>Live from editable databases</t>
        </is>
      </c>
      <c r="Q865" s="3" t="inlineStr">
        <is>
          <t>SPECIES_TOXEL</t>
        </is>
      </c>
      <c r="R865" s="3" t="n">
        <v>32</v>
      </c>
    </row>
    <row r="866">
      <c r="A866" s="3">
        <f>XLOOKUP($Q866,'Threshold Summary'!$Y:$Y,'Threshold Summary'!$A:$A,"")</f>
        <v/>
      </c>
      <c r="B866" s="3">
        <f>XLOOKUP($Q866,'Threshold Summary'!$Y:$Y,'Threshold Summary'!$M:$M,"")</f>
        <v/>
      </c>
      <c r="C866" s="3">
        <f>XLOOKUP($Q866,'Threshold Summary'!$Y:$Y,'Threshold Summary'!$N:$N,"")</f>
        <v/>
      </c>
      <c r="D866" s="3">
        <f>IFERROR(INDEX(FILTER('Learnset Editor'!$D$2:$D,'Learnset Editor'!$A$2:$A=XLOOKUP($Q866,'Threshold Summary'!$Y:$Y,'Threshold Summary'!$K:$K,""),'Learnset Editor'!$C$2:$C&lt;=XLOOKUP($Q866,'Threshold Summary'!$Y:$Y,'Threshold Summary'!$L:$L,"")),$R866),"")</f>
        <v/>
      </c>
      <c r="E866" s="3">
        <f>XLOOKUP(D866,'Move Editor'!$B:$B,'Move Editor'!$C:$C,"")</f>
        <v/>
      </c>
      <c r="F866" s="3">
        <f>XLOOKUP(D866,'Move Editor'!$B:$B,'Move Editor'!$D:$D,"")</f>
        <v/>
      </c>
      <c r="G866" s="3">
        <f>XLOOKUP(D866,'Move Editor'!$B:$B,'Move Editor'!$E:$E,0)</f>
        <v/>
      </c>
      <c r="H866" s="3">
        <f>XLOOKUP(D866,'Move Editor'!$B:$B,'Move Editor'!$F:$F,0)</f>
        <v/>
      </c>
      <c r="I866" s="3">
        <f>(INDEX('Type Chart'!$B:$S,MATCH(E866,'Type Chart'!$A:$A,0),MATCH(XLOOKUP('Boss Editor'!$C$4,'Pokemon Editor'!$A:$A,'Pokemon Editor'!$C:$C,""),'Type Chart'!$B$1:$S$1,0))*IF(XLOOKUP('Boss Editor'!$C$4,'Pokemon Editor'!$A:$A,'Pokemon Editor'!$D:$D,"")="",1,INDEX('Type Chart'!$B:$S,MATCH(E866,'Type Chart'!$A:$A,0),MATCH(XLOOKUP('Boss Editor'!$C$4,'Pokemon Editor'!$A:$A,'Pokemon Editor'!$D:$D,""),'Type Chart'!$B$1:$S$1,0))))</f>
        <v/>
      </c>
      <c r="J866" s="3">
        <f>IFERROR(LET(mtype,XLOOKUP($D866,'Move Editor'!$B:$B,'Move Editor'!$C:$C,""),cat,XLOOKUP($D866,'Move Editor'!$B:$B,'Move Editor'!$D:$D,""),pow,XLOOKUP($D866,'Move Editor'!$B:$B,'Move Editor'!$E:$E,0),acc,XLOOKUP($D866,'Move Editor'!$B:$B,'Move Editor'!$F:$F,100),atk,IF(cat="Physical",FLOOR((FLOOR(((2*XLOOKUP(XLOOKUP($Q866,'Threshold Summary'!$Y:$Y,'Threshold Summary'!$K:$K,""),'Pokemon Editor'!$A:$A,'Pokemon Editor'!$F:$F,0)+31+FLOOR(XLOOKUP($Q866,'Threshold Summary'!$Y:$Y,'Threshold Summary'!$P:$P,"")/4))*XLOOKUP($Q866,'Threshold Summary'!$Y:$Y,'Threshold Summary'!$L:$L,""))/100)+5)*XLOOKUP(XLOOKUP($Q866,'Threshold Summary'!$Y:$Y,'Threshold Summary'!$M:$M,""),'Nature Editor'!$A:$A,'Nature Editor'!$B:$B,1)),FLOOR((FLOOR(((2*XLOOKUP(XLOOKUP($Q866,'Threshold Summary'!$Y:$Y,'Threshold Summary'!$K:$K,""),'Pokemon Editor'!$A:$A,'Pokemon Editor'!$H:$H,0)+31+FLOOR(XLOOKUP($Q866,'Threshold Summary'!$Y:$Y,'Threshold Summary'!$R:$R,"")/4))*XLOOKUP($Q866,'Threshold Summary'!$Y:$Y,'Threshold Summary'!$L:$L,""))/100)+5)*XLOOKUP(XLOOKUP($Q866,'Threshold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Editor'!$E:$E,1))),stab,IF(OR(mtype=XLOOKUP(XLOOKUP($Q866,'Threshold Summary'!$Y:$Y,'Threshold Summary'!$K:$K,""),'Pokemon Editor'!$A:$A,'Pokemon Editor'!$C:$C,""),mtype=XLOOKUP(XLOOKUP($Q866,'Threshold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Chart'!$B$1:$S$1,0)))),base,IF(OR(cat="Status",pow=0),0,FLOOR(FLOOR(FLOOR((2*XLOOKUP($Q866,'Threshold Summary'!$Y:$Y,'Threshold Summary'!$L:$L,"")/5+2)*pow*atk/def)/50)+2)),modifier,stab*eff,FLOOR(base*modifier*0.85)),0)</f>
        <v/>
      </c>
      <c r="K866" s="3">
        <f>IFERROR(LET(mtype,XLOOKUP($D866,'Move Editor'!$B:$B,'Move Editor'!$C:$C,""),cat,XLOOKUP($D866,'Move Editor'!$B:$B,'Move Editor'!$D:$D,""),pow,XLOOKUP($D866,'Move Editor'!$B:$B,'Move Editor'!$E:$E,0),acc,XLOOKUP($D866,'Move Editor'!$B:$B,'Move Editor'!$F:$F,100),atk,IF(cat="Physical",FLOOR((FLOOR(((2*XLOOKUP(XLOOKUP($Q866,'Threshold Summary'!$Y:$Y,'Threshold Summary'!$K:$K,""),'Pokemon Editor'!$A:$A,'Pokemon Editor'!$F:$F,0)+31+FLOOR(XLOOKUP($Q866,'Threshold Summary'!$Y:$Y,'Threshold Summary'!$P:$P,"")/4))*XLOOKUP($Q866,'Threshold Summary'!$Y:$Y,'Threshold Summary'!$L:$L,""))/100)+5)*XLOOKUP(XLOOKUP($Q866,'Threshold Summary'!$Y:$Y,'Threshold Summary'!$M:$M,""),'Nature Editor'!$A:$A,'Nature Editor'!$B:$B,1)),FLOOR((FLOOR(((2*XLOOKUP(XLOOKUP($Q866,'Threshold Summary'!$Y:$Y,'Threshold Summary'!$K:$K,""),'Pokemon Editor'!$A:$A,'Pokemon Editor'!$H:$H,0)+31+FLOOR(XLOOKUP($Q866,'Threshold Summary'!$Y:$Y,'Threshold Summary'!$R:$R,"")/4))*XLOOKUP($Q866,'Threshold Summary'!$Y:$Y,'Threshold Summary'!$L:$L,""))/100)+5)*XLOOKUP(XLOOKUP($Q866,'Threshold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Editor'!$E:$E,1))),stab,IF(OR(mtype=XLOOKUP(XLOOKUP($Q866,'Threshold Summary'!$Y:$Y,'Threshold Summary'!$K:$K,""),'Pokemon Editor'!$A:$A,'Pokemon Editor'!$C:$C,""),mtype=XLOOKUP(XLOOKUP($Q866,'Threshold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Chart'!$B$1:$S$1,0)))),base,IF(OR(cat="Status",pow=0),0,FLOOR(FLOOR(FLOOR((2*XLOOKUP($Q866,'Threshold Summary'!$Y:$Y,'Threshold Summary'!$L:$L,"")/5+2)*pow*atk/def)/50)+2)),modifier,stab*eff,FLOOR(base*modifier)),0)</f>
        <v/>
      </c>
      <c r="L866" s="3">
        <f>IFERROR(LET(mtype,XLOOKUP($D866,'Move Editor'!$B:$B,'Move Editor'!$C:$C,""),cat,XLOOKUP($D866,'Move Editor'!$B:$B,'Move Editor'!$D:$D,""),pow,XLOOKUP($D866,'Move Editor'!$B:$B,'Move Editor'!$E:$E,0),acc,XLOOKUP($D866,'Move Editor'!$B:$B,'Move Editor'!$F:$F,100),atk,IF(cat="Physical",FLOOR((FLOOR(((2*XLOOKUP(XLOOKUP($Q866,'Threshold Summary'!$Y:$Y,'Threshold Summary'!$K:$K,""),'Pokemon Editor'!$A:$A,'Pokemon Editor'!$F:$F,0)+31+FLOOR(XLOOKUP($Q866,'Threshold Summary'!$Y:$Y,'Threshold Summary'!$P:$P,"")/4))*XLOOKUP($Q866,'Threshold Summary'!$Y:$Y,'Threshold Summary'!$L:$L,""))/100)+5)*XLOOKUP(XLOOKUP($Q866,'Threshold Summary'!$Y:$Y,'Threshold Summary'!$M:$M,""),'Nature Editor'!$A:$A,'Nature Editor'!$B:$B,1)),FLOOR((FLOOR(((2*XLOOKUP(XLOOKUP($Q866,'Threshold Summary'!$Y:$Y,'Threshold Summary'!$K:$K,""),'Pokemon Editor'!$A:$A,'Pokemon Editor'!$H:$H,0)+31+FLOOR(XLOOKUP($Q866,'Threshold Summary'!$Y:$Y,'Threshold Summary'!$R:$R,"")/4))*XLOOKUP($Q866,'Threshold Summary'!$Y:$Y,'Threshold Summary'!$L:$L,""))/100)+5)*XLOOKUP(XLOOKUP($Q866,'Threshold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Editor'!$E:$E,1))),stab,IF(OR(mtype=XLOOKUP(XLOOKUP($Q866,'Threshold Summary'!$Y:$Y,'Threshold Summary'!$K:$K,""),'Pokemon Editor'!$A:$A,'Pokemon Editor'!$C:$C,""),mtype=XLOOKUP(XLOOKUP($Q866,'Threshold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Chart'!$B$1:$S$1,0)))),base,IF(OR(cat="Status",pow=0),0,FLOOR(FLOOR(FLOOR((2*XLOOKUP($Q866,'Threshold Summary'!$Y:$Y,'Threshold Summary'!$L:$L,"")/5+2)*pow*atk/def)/50)+2)),modifier,stab*eff,AVERAGE(ARRAYFORMULA(FLOOR(base*modifier*SEQUENCE(16,1,85,1)/100)))),0)</f>
        <v/>
      </c>
      <c r="M866" s="3">
        <f>IFERROR(LET(mtype,XLOOKUP($D866,'Move Editor'!$B:$B,'Move Editor'!$C:$C,""),cat,XLOOKUP($D866,'Move Editor'!$B:$B,'Move Editor'!$D:$D,""),pow,XLOOKUP($D866,'Move Editor'!$B:$B,'Move Editor'!$E:$E,0),acc,XLOOKUP($D866,'Move Editor'!$B:$B,'Move Editor'!$F:$F,100),atk,IF(cat="Physical",FLOOR((FLOOR(((2*XLOOKUP(XLOOKUP($Q866,'Threshold Summary'!$Y:$Y,'Threshold Summary'!$K:$K,""),'Pokemon Editor'!$A:$A,'Pokemon Editor'!$F:$F,0)+31+FLOOR(XLOOKUP($Q866,'Threshold Summary'!$Y:$Y,'Threshold Summary'!$P:$P,"")/4))*XLOOKUP($Q866,'Threshold Summary'!$Y:$Y,'Threshold Summary'!$L:$L,""))/100)+5)*XLOOKUP(XLOOKUP($Q866,'Threshold Summary'!$Y:$Y,'Threshold Summary'!$M:$M,""),'Nature Editor'!$A:$A,'Nature Editor'!$B:$B,1)),FLOOR((FLOOR(((2*XLOOKUP(XLOOKUP($Q866,'Threshold Summary'!$Y:$Y,'Threshold Summary'!$K:$K,""),'Pokemon Editor'!$A:$A,'Pokemon Editor'!$H:$H,0)+31+FLOOR(XLOOKUP($Q866,'Threshold Summary'!$Y:$Y,'Threshold Summary'!$R:$R,"")/4))*XLOOKUP($Q866,'Threshold Summary'!$Y:$Y,'Threshold Summary'!$L:$L,""))/100)+5)*XLOOKUP(XLOOKUP($Q866,'Threshold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Editor'!$E:$E,1))),stab,IF(OR(mtype=XLOOKUP(XLOOKUP($Q866,'Threshold Summary'!$Y:$Y,'Threshold Summary'!$K:$K,""),'Pokemon Editor'!$A:$A,'Pokemon Editor'!$C:$C,""),mtype=XLOOKUP(XLOOKUP($Q866,'Threshold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Chart'!$B$1:$S$1,0)))),base,IF(OR(cat="Status",pow=0),0,FLOOR(FLOOR(FLOOR((2*XLOOKUP($Q866,'Threshold Summary'!$Y:$Y,'Threshold Summary'!$L:$L,"")/5+2)*pow*atk/def)/50)+2)),modifier,stab*eff,AVERAGE(ARRAYFORMULA(FLOOR(base*modifier*SEQUENCE(16,1,85,1)/100)))*MIN(1,acc/100)),0)</f>
        <v/>
      </c>
      <c r="N866" s="4">
        <f>IFERROR(LET(mtype,XLOOKUP($D866,'Move Editor'!$B:$B,'Move Editor'!$C:$C,""),cat,XLOOKUP($D866,'Move Editor'!$B:$B,'Move Editor'!$D:$D,""),pow,XLOOKUP($D866,'Move Editor'!$B:$B,'Move Editor'!$E:$E,0),acc,XLOOKUP($D866,'Move Editor'!$B:$B,'Move Editor'!$F:$F,100),atk,IF(cat="Physical",FLOOR((FLOOR(((2*XLOOKUP(XLOOKUP($Q866,'Threshold Summary'!$Y:$Y,'Threshold Summary'!$K:$K,""),'Pokemon Editor'!$A:$A,'Pokemon Editor'!$F:$F,0)+31+FLOOR(XLOOKUP($Q866,'Threshold Summary'!$Y:$Y,'Threshold Summary'!$P:$P,"")/4))*XLOOKUP($Q866,'Threshold Summary'!$Y:$Y,'Threshold Summary'!$L:$L,""))/100)+5)*XLOOKUP(XLOOKUP($Q866,'Threshold Summary'!$Y:$Y,'Threshold Summary'!$M:$M,""),'Nature Editor'!$A:$A,'Nature Editor'!$B:$B,1)),FLOOR((FLOOR(((2*XLOOKUP(XLOOKUP($Q866,'Threshold Summary'!$Y:$Y,'Threshold Summary'!$K:$K,""),'Pokemon Editor'!$A:$A,'Pokemon Editor'!$H:$H,0)+31+FLOOR(XLOOKUP($Q866,'Threshold Summary'!$Y:$Y,'Threshold Summary'!$R:$R,"")/4))*XLOOKUP($Q866,'Threshold Summary'!$Y:$Y,'Threshold Summary'!$L:$L,""))/100)+5)*XLOOKUP(XLOOKUP($Q866,'Threshold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Editor'!$E:$E,1))),stab,IF(OR(mtype=XLOOKUP(XLOOKUP($Q866,'Threshold Summary'!$Y:$Y,'Threshold Summary'!$K:$K,""),'Pokemon Editor'!$A:$A,'Pokemon Editor'!$C:$C,""),mtype=XLOOKUP(XLOOKUP($Q866,'Threshold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Chart'!$B$1:$S$1,0)))),base,IF(OR(cat="Status",pow=0),0,FLOOR(FLOOR(FLOOR((2*XLOOKUP($Q866,'Threshold Summary'!$Y:$Y,'Threshold Summary'!$L:$L,"")/5+2)*pow*atk/def)/50)+2)),modifier,stab*eff,AVERAGE(ARRAYFORMULA(FLOOR(base*modifier*SEQUENCE(16,1,85,1)/100)))/(FLOOR(((2*XLOOKUP('Boss Editor'!$C$4,'Pokemon Editor'!$A:$A,'Pokemon Editor'!$E:$E,0)+31+FLOOR('Boss Editor'!$G$4/4))*'Boss Editor'!$D$4)/100)+'Boss Editor'!$D$4+10)),0)</f>
        <v/>
      </c>
      <c r="O866" s="3">
        <f>IF(N866&gt;=1,"OHKO",IF(N866&gt;=0.5,"2HKO",IF(N866&gt;=0.333,"3HKO",IF(N866&gt;=0.25,"4HKO","5HKO+"))))</f>
        <v/>
      </c>
      <c r="P866" s="3" t="inlineStr">
        <is>
          <t>Live from editable databases</t>
        </is>
      </c>
      <c r="Q866" s="3" t="inlineStr">
        <is>
          <t>SPECIES_NYMBLE</t>
        </is>
      </c>
      <c r="R866" s="3" t="n">
        <v>1</v>
      </c>
    </row>
    <row r="867">
      <c r="A867" s="3">
        <f>XLOOKUP($Q867,'Threshold Summary'!$Y:$Y,'Threshold Summary'!$A:$A,"")</f>
        <v/>
      </c>
      <c r="B867" s="3">
        <f>XLOOKUP($Q867,'Threshold Summary'!$Y:$Y,'Threshold Summary'!$M:$M,"")</f>
        <v/>
      </c>
      <c r="C867" s="3">
        <f>XLOOKUP($Q867,'Threshold Summary'!$Y:$Y,'Threshold Summary'!$N:$N,"")</f>
        <v/>
      </c>
      <c r="D867" s="3">
        <f>IFERROR(INDEX(FILTER('Learnset Editor'!$D$2:$D,'Learnset Editor'!$A$2:$A=XLOOKUP($Q867,'Threshold Summary'!$Y:$Y,'Threshold Summary'!$K:$K,""),'Learnset Editor'!$C$2:$C&lt;=XLOOKUP($Q867,'Threshold Summary'!$Y:$Y,'Threshold Summary'!$L:$L,"")),$R867),"")</f>
        <v/>
      </c>
      <c r="E867" s="3">
        <f>XLOOKUP(D867,'Move Editor'!$B:$B,'Move Editor'!$C:$C,"")</f>
        <v/>
      </c>
      <c r="F867" s="3">
        <f>XLOOKUP(D867,'Move Editor'!$B:$B,'Move Editor'!$D:$D,"")</f>
        <v/>
      </c>
      <c r="G867" s="3">
        <f>XLOOKUP(D867,'Move Editor'!$B:$B,'Move Editor'!$E:$E,0)</f>
        <v/>
      </c>
      <c r="H867" s="3">
        <f>XLOOKUP(D867,'Move Editor'!$B:$B,'Move Editor'!$F:$F,0)</f>
        <v/>
      </c>
      <c r="I867" s="3">
        <f>(INDEX('Type Chart'!$B:$S,MATCH(E867,'Type Chart'!$A:$A,0),MATCH(XLOOKUP('Boss Editor'!$C$4,'Pokemon Editor'!$A:$A,'Pokemon Editor'!$C:$C,""),'Type Chart'!$B$1:$S$1,0))*IF(XLOOKUP('Boss Editor'!$C$4,'Pokemon Editor'!$A:$A,'Pokemon Editor'!$D:$D,"")="",1,INDEX('Type Chart'!$B:$S,MATCH(E867,'Type Chart'!$A:$A,0),MATCH(XLOOKUP('Boss Editor'!$C$4,'Pokemon Editor'!$A:$A,'Pokemon Editor'!$D:$D,""),'Type Chart'!$B$1:$S$1,0))))</f>
        <v/>
      </c>
      <c r="J867" s="3">
        <f>IFERROR(LET(mtype,XLOOKUP($D867,'Move Editor'!$B:$B,'Move Editor'!$C:$C,""),cat,XLOOKUP($D867,'Move Editor'!$B:$B,'Move Editor'!$D:$D,""),pow,XLOOKUP($D867,'Move Editor'!$B:$B,'Move Editor'!$E:$E,0),acc,XLOOKUP($D867,'Move Editor'!$B:$B,'Move Editor'!$F:$F,100),atk,IF(cat="Physical",FLOOR((FLOOR(((2*XLOOKUP(XLOOKUP($Q867,'Threshold Summary'!$Y:$Y,'Threshold Summary'!$K:$K,""),'Pokemon Editor'!$A:$A,'Pokemon Editor'!$F:$F,0)+31+FLOOR(XLOOKUP($Q867,'Threshold Summary'!$Y:$Y,'Threshold Summary'!$P:$P,"")/4))*XLOOKUP($Q867,'Threshold Summary'!$Y:$Y,'Threshold Summary'!$L:$L,""))/100)+5)*XLOOKUP(XLOOKUP($Q867,'Threshold Summary'!$Y:$Y,'Threshold Summary'!$M:$M,""),'Nature Editor'!$A:$A,'Nature Editor'!$B:$B,1)),FLOOR((FLOOR(((2*XLOOKUP(XLOOKUP($Q867,'Threshold Summary'!$Y:$Y,'Threshold Summary'!$K:$K,""),'Pokemon Editor'!$A:$A,'Pokemon Editor'!$H:$H,0)+31+FLOOR(XLOOKUP($Q867,'Threshold Summary'!$Y:$Y,'Threshold Summary'!$R:$R,"")/4))*XLOOKUP($Q867,'Threshold Summary'!$Y:$Y,'Threshold Summary'!$L:$L,""))/100)+5)*XLOOKUP(XLOOKUP($Q867,'Threshold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Editor'!$E:$E,1))),stab,IF(OR(mtype=XLOOKUP(XLOOKUP($Q867,'Threshold Summary'!$Y:$Y,'Threshold Summary'!$K:$K,""),'Pokemon Editor'!$A:$A,'Pokemon Editor'!$C:$C,""),mtype=XLOOKUP(XLOOKUP($Q867,'Threshold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Chart'!$B$1:$S$1,0)))),base,IF(OR(cat="Status",pow=0),0,FLOOR(FLOOR(FLOOR((2*XLOOKUP($Q867,'Threshold Summary'!$Y:$Y,'Threshold Summary'!$L:$L,"")/5+2)*pow*atk/def)/50)+2)),modifier,stab*eff,FLOOR(base*modifier*0.85)),0)</f>
        <v/>
      </c>
      <c r="K867" s="3">
        <f>IFERROR(LET(mtype,XLOOKUP($D867,'Move Editor'!$B:$B,'Move Editor'!$C:$C,""),cat,XLOOKUP($D867,'Move Editor'!$B:$B,'Move Editor'!$D:$D,""),pow,XLOOKUP($D867,'Move Editor'!$B:$B,'Move Editor'!$E:$E,0),acc,XLOOKUP($D867,'Move Editor'!$B:$B,'Move Editor'!$F:$F,100),atk,IF(cat="Physical",FLOOR((FLOOR(((2*XLOOKUP(XLOOKUP($Q867,'Threshold Summary'!$Y:$Y,'Threshold Summary'!$K:$K,""),'Pokemon Editor'!$A:$A,'Pokemon Editor'!$F:$F,0)+31+FLOOR(XLOOKUP($Q867,'Threshold Summary'!$Y:$Y,'Threshold Summary'!$P:$P,"")/4))*XLOOKUP($Q867,'Threshold Summary'!$Y:$Y,'Threshold Summary'!$L:$L,""))/100)+5)*XLOOKUP(XLOOKUP($Q867,'Threshold Summary'!$Y:$Y,'Threshold Summary'!$M:$M,""),'Nature Editor'!$A:$A,'Nature Editor'!$B:$B,1)),FLOOR((FLOOR(((2*XLOOKUP(XLOOKUP($Q867,'Threshold Summary'!$Y:$Y,'Threshold Summary'!$K:$K,""),'Pokemon Editor'!$A:$A,'Pokemon Editor'!$H:$H,0)+31+FLOOR(XLOOKUP($Q867,'Threshold Summary'!$Y:$Y,'Threshold Summary'!$R:$R,"")/4))*XLOOKUP($Q867,'Threshold Summary'!$Y:$Y,'Threshold Summary'!$L:$L,""))/100)+5)*XLOOKUP(XLOOKUP($Q867,'Threshold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Editor'!$E:$E,1))),stab,IF(OR(mtype=XLOOKUP(XLOOKUP($Q867,'Threshold Summary'!$Y:$Y,'Threshold Summary'!$K:$K,""),'Pokemon Editor'!$A:$A,'Pokemon Editor'!$C:$C,""),mtype=XLOOKUP(XLOOKUP($Q867,'Threshold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Chart'!$B$1:$S$1,0)))),base,IF(OR(cat="Status",pow=0),0,FLOOR(FLOOR(FLOOR((2*XLOOKUP($Q867,'Threshold Summary'!$Y:$Y,'Threshold Summary'!$L:$L,"")/5+2)*pow*atk/def)/50)+2)),modifier,stab*eff,FLOOR(base*modifier)),0)</f>
        <v/>
      </c>
      <c r="L867" s="3">
        <f>IFERROR(LET(mtype,XLOOKUP($D867,'Move Editor'!$B:$B,'Move Editor'!$C:$C,""),cat,XLOOKUP($D867,'Move Editor'!$B:$B,'Move Editor'!$D:$D,""),pow,XLOOKUP($D867,'Move Editor'!$B:$B,'Move Editor'!$E:$E,0),acc,XLOOKUP($D867,'Move Editor'!$B:$B,'Move Editor'!$F:$F,100),atk,IF(cat="Physical",FLOOR((FLOOR(((2*XLOOKUP(XLOOKUP($Q867,'Threshold Summary'!$Y:$Y,'Threshold Summary'!$K:$K,""),'Pokemon Editor'!$A:$A,'Pokemon Editor'!$F:$F,0)+31+FLOOR(XLOOKUP($Q867,'Threshold Summary'!$Y:$Y,'Threshold Summary'!$P:$P,"")/4))*XLOOKUP($Q867,'Threshold Summary'!$Y:$Y,'Threshold Summary'!$L:$L,""))/100)+5)*XLOOKUP(XLOOKUP($Q867,'Threshold Summary'!$Y:$Y,'Threshold Summary'!$M:$M,""),'Nature Editor'!$A:$A,'Nature Editor'!$B:$B,1)),FLOOR((FLOOR(((2*XLOOKUP(XLOOKUP($Q867,'Threshold Summary'!$Y:$Y,'Threshold Summary'!$K:$K,""),'Pokemon Editor'!$A:$A,'Pokemon Editor'!$H:$H,0)+31+FLOOR(XLOOKUP($Q867,'Threshold Summary'!$Y:$Y,'Threshold Summary'!$R:$R,"")/4))*XLOOKUP($Q867,'Threshold Summary'!$Y:$Y,'Threshold Summary'!$L:$L,""))/100)+5)*XLOOKUP(XLOOKUP($Q867,'Threshold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Editor'!$E:$E,1))),stab,IF(OR(mtype=XLOOKUP(XLOOKUP($Q867,'Threshold Summary'!$Y:$Y,'Threshold Summary'!$K:$K,""),'Pokemon Editor'!$A:$A,'Pokemon Editor'!$C:$C,""),mtype=XLOOKUP(XLOOKUP($Q867,'Threshold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Chart'!$B$1:$S$1,0)))),base,IF(OR(cat="Status",pow=0),0,FLOOR(FLOOR(FLOOR((2*XLOOKUP($Q867,'Threshold Summary'!$Y:$Y,'Threshold Summary'!$L:$L,"")/5+2)*pow*atk/def)/50)+2)),modifier,stab*eff,AVERAGE(ARRAYFORMULA(FLOOR(base*modifier*SEQUENCE(16,1,85,1)/100)))),0)</f>
        <v/>
      </c>
      <c r="M867" s="3">
        <f>IFERROR(LET(mtype,XLOOKUP($D867,'Move Editor'!$B:$B,'Move Editor'!$C:$C,""),cat,XLOOKUP($D867,'Move Editor'!$B:$B,'Move Editor'!$D:$D,""),pow,XLOOKUP($D867,'Move Editor'!$B:$B,'Move Editor'!$E:$E,0),acc,XLOOKUP($D867,'Move Editor'!$B:$B,'Move Editor'!$F:$F,100),atk,IF(cat="Physical",FLOOR((FLOOR(((2*XLOOKUP(XLOOKUP($Q867,'Threshold Summary'!$Y:$Y,'Threshold Summary'!$K:$K,""),'Pokemon Editor'!$A:$A,'Pokemon Editor'!$F:$F,0)+31+FLOOR(XLOOKUP($Q867,'Threshold Summary'!$Y:$Y,'Threshold Summary'!$P:$P,"")/4))*XLOOKUP($Q867,'Threshold Summary'!$Y:$Y,'Threshold Summary'!$L:$L,""))/100)+5)*XLOOKUP(XLOOKUP($Q867,'Threshold Summary'!$Y:$Y,'Threshold Summary'!$M:$M,""),'Nature Editor'!$A:$A,'Nature Editor'!$B:$B,1)),FLOOR((FLOOR(((2*XLOOKUP(XLOOKUP($Q867,'Threshold Summary'!$Y:$Y,'Threshold Summary'!$K:$K,""),'Pokemon Editor'!$A:$A,'Pokemon Editor'!$H:$H,0)+31+FLOOR(XLOOKUP($Q867,'Threshold Summary'!$Y:$Y,'Threshold Summary'!$R:$R,"")/4))*XLOOKUP($Q867,'Threshold Summary'!$Y:$Y,'Threshold Summary'!$L:$L,""))/100)+5)*XLOOKUP(XLOOKUP($Q867,'Threshold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Editor'!$E:$E,1))),stab,IF(OR(mtype=XLOOKUP(XLOOKUP($Q867,'Threshold Summary'!$Y:$Y,'Threshold Summary'!$K:$K,""),'Pokemon Editor'!$A:$A,'Pokemon Editor'!$C:$C,""),mtype=XLOOKUP(XLOOKUP($Q867,'Threshold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Chart'!$B$1:$S$1,0)))),base,IF(OR(cat="Status",pow=0),0,FLOOR(FLOOR(FLOOR((2*XLOOKUP($Q867,'Threshold Summary'!$Y:$Y,'Threshold Summary'!$L:$L,"")/5+2)*pow*atk/def)/50)+2)),modifier,stab*eff,AVERAGE(ARRAYFORMULA(FLOOR(base*modifier*SEQUENCE(16,1,85,1)/100)))*MIN(1,acc/100)),0)</f>
        <v/>
      </c>
      <c r="N867" s="4">
        <f>IFERROR(LET(mtype,XLOOKUP($D867,'Move Editor'!$B:$B,'Move Editor'!$C:$C,""),cat,XLOOKUP($D867,'Move Editor'!$B:$B,'Move Editor'!$D:$D,""),pow,XLOOKUP($D867,'Move Editor'!$B:$B,'Move Editor'!$E:$E,0),acc,XLOOKUP($D867,'Move Editor'!$B:$B,'Move Editor'!$F:$F,100),atk,IF(cat="Physical",FLOOR((FLOOR(((2*XLOOKUP(XLOOKUP($Q867,'Threshold Summary'!$Y:$Y,'Threshold Summary'!$K:$K,""),'Pokemon Editor'!$A:$A,'Pokemon Editor'!$F:$F,0)+31+FLOOR(XLOOKUP($Q867,'Threshold Summary'!$Y:$Y,'Threshold Summary'!$P:$P,"")/4))*XLOOKUP($Q867,'Threshold Summary'!$Y:$Y,'Threshold Summary'!$L:$L,""))/100)+5)*XLOOKUP(XLOOKUP($Q867,'Threshold Summary'!$Y:$Y,'Threshold Summary'!$M:$M,""),'Nature Editor'!$A:$A,'Nature Editor'!$B:$B,1)),FLOOR((FLOOR(((2*XLOOKUP(XLOOKUP($Q867,'Threshold Summary'!$Y:$Y,'Threshold Summary'!$K:$K,""),'Pokemon Editor'!$A:$A,'Pokemon Editor'!$H:$H,0)+31+FLOOR(XLOOKUP($Q867,'Threshold Summary'!$Y:$Y,'Threshold Summary'!$R:$R,"")/4))*XLOOKUP($Q867,'Threshold Summary'!$Y:$Y,'Threshold Summary'!$L:$L,""))/100)+5)*XLOOKUP(XLOOKUP($Q867,'Threshold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Editor'!$E:$E,1))),stab,IF(OR(mtype=XLOOKUP(XLOOKUP($Q867,'Threshold Summary'!$Y:$Y,'Threshold Summary'!$K:$K,""),'Pokemon Editor'!$A:$A,'Pokemon Editor'!$C:$C,""),mtype=XLOOKUP(XLOOKUP($Q867,'Threshold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Chart'!$B$1:$S$1,0)))),base,IF(OR(cat="Status",pow=0),0,FLOOR(FLOOR(FLOOR((2*XLOOKUP($Q867,'Threshold Summary'!$Y:$Y,'Threshold Summary'!$L:$L,"")/5+2)*pow*atk/def)/50)+2)),modifier,stab*eff,AVERAGE(ARRAYFORMULA(FLOOR(base*modifier*SEQUENCE(16,1,85,1)/100)))/(FLOOR(((2*XLOOKUP('Boss Editor'!$C$4,'Pokemon Editor'!$A:$A,'Pokemon Editor'!$E:$E,0)+31+FLOOR('Boss Editor'!$G$4/4))*'Boss Editor'!$D$4)/100)+'Boss Editor'!$D$4+10)),0)</f>
        <v/>
      </c>
      <c r="O867" s="3">
        <f>IF(N867&gt;=1,"OHKO",IF(N867&gt;=0.5,"2HKO",IF(N867&gt;=0.333,"3HKO",IF(N867&gt;=0.25,"4HKO","5HKO+"))))</f>
        <v/>
      </c>
      <c r="P867" s="3" t="inlineStr">
        <is>
          <t>Live from editable databases</t>
        </is>
      </c>
      <c r="Q867" s="3" t="inlineStr">
        <is>
          <t>SPECIES_NYMBLE</t>
        </is>
      </c>
      <c r="R867" s="3" t="n">
        <v>2</v>
      </c>
    </row>
    <row r="868">
      <c r="A868" s="3">
        <f>XLOOKUP($Q868,'Threshold Summary'!$Y:$Y,'Threshold Summary'!$A:$A,"")</f>
        <v/>
      </c>
      <c r="B868" s="3">
        <f>XLOOKUP($Q868,'Threshold Summary'!$Y:$Y,'Threshold Summary'!$M:$M,"")</f>
        <v/>
      </c>
      <c r="C868" s="3">
        <f>XLOOKUP($Q868,'Threshold Summary'!$Y:$Y,'Threshold Summary'!$N:$N,"")</f>
        <v/>
      </c>
      <c r="D868" s="3">
        <f>IFERROR(INDEX(FILTER('Learnset Editor'!$D$2:$D,'Learnset Editor'!$A$2:$A=XLOOKUP($Q868,'Threshold Summary'!$Y:$Y,'Threshold Summary'!$K:$K,""),'Learnset Editor'!$C$2:$C&lt;=XLOOKUP($Q868,'Threshold Summary'!$Y:$Y,'Threshold Summary'!$L:$L,"")),$R868),"")</f>
        <v/>
      </c>
      <c r="E868" s="3">
        <f>XLOOKUP(D868,'Move Editor'!$B:$B,'Move Editor'!$C:$C,"")</f>
        <v/>
      </c>
      <c r="F868" s="3">
        <f>XLOOKUP(D868,'Move Editor'!$B:$B,'Move Editor'!$D:$D,"")</f>
        <v/>
      </c>
      <c r="G868" s="3">
        <f>XLOOKUP(D868,'Move Editor'!$B:$B,'Move Editor'!$E:$E,0)</f>
        <v/>
      </c>
      <c r="H868" s="3">
        <f>XLOOKUP(D868,'Move Editor'!$B:$B,'Move Editor'!$F:$F,0)</f>
        <v/>
      </c>
      <c r="I868" s="3">
        <f>(INDEX('Type Chart'!$B:$S,MATCH(E868,'Type Chart'!$A:$A,0),MATCH(XLOOKUP('Boss Editor'!$C$4,'Pokemon Editor'!$A:$A,'Pokemon Editor'!$C:$C,""),'Type Chart'!$B$1:$S$1,0))*IF(XLOOKUP('Boss Editor'!$C$4,'Pokemon Editor'!$A:$A,'Pokemon Editor'!$D:$D,"")="",1,INDEX('Type Chart'!$B:$S,MATCH(E868,'Type Chart'!$A:$A,0),MATCH(XLOOKUP('Boss Editor'!$C$4,'Pokemon Editor'!$A:$A,'Pokemon Editor'!$D:$D,""),'Type Chart'!$B$1:$S$1,0))))</f>
        <v/>
      </c>
      <c r="J868" s="3">
        <f>IFERROR(LET(mtype,XLOOKUP($D868,'Move Editor'!$B:$B,'Move Editor'!$C:$C,""),cat,XLOOKUP($D868,'Move Editor'!$B:$B,'Move Editor'!$D:$D,""),pow,XLOOKUP($D868,'Move Editor'!$B:$B,'Move Editor'!$E:$E,0),acc,XLOOKUP($D868,'Move Editor'!$B:$B,'Move Editor'!$F:$F,100),atk,IF(cat="Physical",FLOOR((FLOOR(((2*XLOOKUP(XLOOKUP($Q868,'Threshold Summary'!$Y:$Y,'Threshold Summary'!$K:$K,""),'Pokemon Editor'!$A:$A,'Pokemon Editor'!$F:$F,0)+31+FLOOR(XLOOKUP($Q868,'Threshold Summary'!$Y:$Y,'Threshold Summary'!$P:$P,"")/4))*XLOOKUP($Q868,'Threshold Summary'!$Y:$Y,'Threshold Summary'!$L:$L,""))/100)+5)*XLOOKUP(XLOOKUP($Q868,'Threshold Summary'!$Y:$Y,'Threshold Summary'!$M:$M,""),'Nature Editor'!$A:$A,'Nature Editor'!$B:$B,1)),FLOOR((FLOOR(((2*XLOOKUP(XLOOKUP($Q868,'Threshold Summary'!$Y:$Y,'Threshold Summary'!$K:$K,""),'Pokemon Editor'!$A:$A,'Pokemon Editor'!$H:$H,0)+31+FLOOR(XLOOKUP($Q868,'Threshold Summary'!$Y:$Y,'Threshold Summary'!$R:$R,"")/4))*XLOOKUP($Q868,'Threshold Summary'!$Y:$Y,'Threshold Summary'!$L:$L,""))/100)+5)*XLOOKUP(XLOOKUP($Q868,'Threshold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Editor'!$E:$E,1))),stab,IF(OR(mtype=XLOOKUP(XLOOKUP($Q868,'Threshold Summary'!$Y:$Y,'Threshold Summary'!$K:$K,""),'Pokemon Editor'!$A:$A,'Pokemon Editor'!$C:$C,""),mtype=XLOOKUP(XLOOKUP($Q868,'Threshold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Chart'!$B$1:$S$1,0)))),base,IF(OR(cat="Status",pow=0),0,FLOOR(FLOOR(FLOOR((2*XLOOKUP($Q868,'Threshold Summary'!$Y:$Y,'Threshold Summary'!$L:$L,"")/5+2)*pow*atk/def)/50)+2)),modifier,stab*eff,FLOOR(base*modifier*0.85)),0)</f>
        <v/>
      </c>
      <c r="K868" s="3">
        <f>IFERROR(LET(mtype,XLOOKUP($D868,'Move Editor'!$B:$B,'Move Editor'!$C:$C,""),cat,XLOOKUP($D868,'Move Editor'!$B:$B,'Move Editor'!$D:$D,""),pow,XLOOKUP($D868,'Move Editor'!$B:$B,'Move Editor'!$E:$E,0),acc,XLOOKUP($D868,'Move Editor'!$B:$B,'Move Editor'!$F:$F,100),atk,IF(cat="Physical",FLOOR((FLOOR(((2*XLOOKUP(XLOOKUP($Q868,'Threshold Summary'!$Y:$Y,'Threshold Summary'!$K:$K,""),'Pokemon Editor'!$A:$A,'Pokemon Editor'!$F:$F,0)+31+FLOOR(XLOOKUP($Q868,'Threshold Summary'!$Y:$Y,'Threshold Summary'!$P:$P,"")/4))*XLOOKUP($Q868,'Threshold Summary'!$Y:$Y,'Threshold Summary'!$L:$L,""))/100)+5)*XLOOKUP(XLOOKUP($Q868,'Threshold Summary'!$Y:$Y,'Threshold Summary'!$M:$M,""),'Nature Editor'!$A:$A,'Nature Editor'!$B:$B,1)),FLOOR((FLOOR(((2*XLOOKUP(XLOOKUP($Q868,'Threshold Summary'!$Y:$Y,'Threshold Summary'!$K:$K,""),'Pokemon Editor'!$A:$A,'Pokemon Editor'!$H:$H,0)+31+FLOOR(XLOOKUP($Q868,'Threshold Summary'!$Y:$Y,'Threshold Summary'!$R:$R,"")/4))*XLOOKUP($Q868,'Threshold Summary'!$Y:$Y,'Threshold Summary'!$L:$L,""))/100)+5)*XLOOKUP(XLOOKUP($Q868,'Threshold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Editor'!$E:$E,1))),stab,IF(OR(mtype=XLOOKUP(XLOOKUP($Q868,'Threshold Summary'!$Y:$Y,'Threshold Summary'!$K:$K,""),'Pokemon Editor'!$A:$A,'Pokemon Editor'!$C:$C,""),mtype=XLOOKUP(XLOOKUP($Q868,'Threshold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Chart'!$B$1:$S$1,0)))),base,IF(OR(cat="Status",pow=0),0,FLOOR(FLOOR(FLOOR((2*XLOOKUP($Q868,'Threshold Summary'!$Y:$Y,'Threshold Summary'!$L:$L,"")/5+2)*pow*atk/def)/50)+2)),modifier,stab*eff,FLOOR(base*modifier)),0)</f>
        <v/>
      </c>
      <c r="L868" s="3">
        <f>IFERROR(LET(mtype,XLOOKUP($D868,'Move Editor'!$B:$B,'Move Editor'!$C:$C,""),cat,XLOOKUP($D868,'Move Editor'!$B:$B,'Move Editor'!$D:$D,""),pow,XLOOKUP($D868,'Move Editor'!$B:$B,'Move Editor'!$E:$E,0),acc,XLOOKUP($D868,'Move Editor'!$B:$B,'Move Editor'!$F:$F,100),atk,IF(cat="Physical",FLOOR((FLOOR(((2*XLOOKUP(XLOOKUP($Q868,'Threshold Summary'!$Y:$Y,'Threshold Summary'!$K:$K,""),'Pokemon Editor'!$A:$A,'Pokemon Editor'!$F:$F,0)+31+FLOOR(XLOOKUP($Q868,'Threshold Summary'!$Y:$Y,'Threshold Summary'!$P:$P,"")/4))*XLOOKUP($Q868,'Threshold Summary'!$Y:$Y,'Threshold Summary'!$L:$L,""))/100)+5)*XLOOKUP(XLOOKUP($Q868,'Threshold Summary'!$Y:$Y,'Threshold Summary'!$M:$M,""),'Nature Editor'!$A:$A,'Nature Editor'!$B:$B,1)),FLOOR((FLOOR(((2*XLOOKUP(XLOOKUP($Q868,'Threshold Summary'!$Y:$Y,'Threshold Summary'!$K:$K,""),'Pokemon Editor'!$A:$A,'Pokemon Editor'!$H:$H,0)+31+FLOOR(XLOOKUP($Q868,'Threshold Summary'!$Y:$Y,'Threshold Summary'!$R:$R,"")/4))*XLOOKUP($Q868,'Threshold Summary'!$Y:$Y,'Threshold Summary'!$L:$L,""))/100)+5)*XLOOKUP(XLOOKUP($Q868,'Threshold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Editor'!$E:$E,1))),stab,IF(OR(mtype=XLOOKUP(XLOOKUP($Q868,'Threshold Summary'!$Y:$Y,'Threshold Summary'!$K:$K,""),'Pokemon Editor'!$A:$A,'Pokemon Editor'!$C:$C,""),mtype=XLOOKUP(XLOOKUP($Q868,'Threshold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Chart'!$B$1:$S$1,0)))),base,IF(OR(cat="Status",pow=0),0,FLOOR(FLOOR(FLOOR((2*XLOOKUP($Q868,'Threshold Summary'!$Y:$Y,'Threshold Summary'!$L:$L,"")/5+2)*pow*atk/def)/50)+2)),modifier,stab*eff,AVERAGE(ARRAYFORMULA(FLOOR(base*modifier*SEQUENCE(16,1,85,1)/100)))),0)</f>
        <v/>
      </c>
      <c r="M868" s="3">
        <f>IFERROR(LET(mtype,XLOOKUP($D868,'Move Editor'!$B:$B,'Move Editor'!$C:$C,""),cat,XLOOKUP($D868,'Move Editor'!$B:$B,'Move Editor'!$D:$D,""),pow,XLOOKUP($D868,'Move Editor'!$B:$B,'Move Editor'!$E:$E,0),acc,XLOOKUP($D868,'Move Editor'!$B:$B,'Move Editor'!$F:$F,100),atk,IF(cat="Physical",FLOOR((FLOOR(((2*XLOOKUP(XLOOKUP($Q868,'Threshold Summary'!$Y:$Y,'Threshold Summary'!$K:$K,""),'Pokemon Editor'!$A:$A,'Pokemon Editor'!$F:$F,0)+31+FLOOR(XLOOKUP($Q868,'Threshold Summary'!$Y:$Y,'Threshold Summary'!$P:$P,"")/4))*XLOOKUP($Q868,'Threshold Summary'!$Y:$Y,'Threshold Summary'!$L:$L,""))/100)+5)*XLOOKUP(XLOOKUP($Q868,'Threshold Summary'!$Y:$Y,'Threshold Summary'!$M:$M,""),'Nature Editor'!$A:$A,'Nature Editor'!$B:$B,1)),FLOOR((FLOOR(((2*XLOOKUP(XLOOKUP($Q868,'Threshold Summary'!$Y:$Y,'Threshold Summary'!$K:$K,""),'Pokemon Editor'!$A:$A,'Pokemon Editor'!$H:$H,0)+31+FLOOR(XLOOKUP($Q868,'Threshold Summary'!$Y:$Y,'Threshold Summary'!$R:$R,"")/4))*XLOOKUP($Q868,'Threshold Summary'!$Y:$Y,'Threshold Summary'!$L:$L,""))/100)+5)*XLOOKUP(XLOOKUP($Q868,'Threshold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Editor'!$E:$E,1))),stab,IF(OR(mtype=XLOOKUP(XLOOKUP($Q868,'Threshold Summary'!$Y:$Y,'Threshold Summary'!$K:$K,""),'Pokemon Editor'!$A:$A,'Pokemon Editor'!$C:$C,""),mtype=XLOOKUP(XLOOKUP($Q868,'Threshold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Chart'!$B$1:$S$1,0)))),base,IF(OR(cat="Status",pow=0),0,FLOOR(FLOOR(FLOOR((2*XLOOKUP($Q868,'Threshold Summary'!$Y:$Y,'Threshold Summary'!$L:$L,"")/5+2)*pow*atk/def)/50)+2)),modifier,stab*eff,AVERAGE(ARRAYFORMULA(FLOOR(base*modifier*SEQUENCE(16,1,85,1)/100)))*MIN(1,acc/100)),0)</f>
        <v/>
      </c>
      <c r="N868" s="4">
        <f>IFERROR(LET(mtype,XLOOKUP($D868,'Move Editor'!$B:$B,'Move Editor'!$C:$C,""),cat,XLOOKUP($D868,'Move Editor'!$B:$B,'Move Editor'!$D:$D,""),pow,XLOOKUP($D868,'Move Editor'!$B:$B,'Move Editor'!$E:$E,0),acc,XLOOKUP($D868,'Move Editor'!$B:$B,'Move Editor'!$F:$F,100),atk,IF(cat="Physical",FLOOR((FLOOR(((2*XLOOKUP(XLOOKUP($Q868,'Threshold Summary'!$Y:$Y,'Threshold Summary'!$K:$K,""),'Pokemon Editor'!$A:$A,'Pokemon Editor'!$F:$F,0)+31+FLOOR(XLOOKUP($Q868,'Threshold Summary'!$Y:$Y,'Threshold Summary'!$P:$P,"")/4))*XLOOKUP($Q868,'Threshold Summary'!$Y:$Y,'Threshold Summary'!$L:$L,""))/100)+5)*XLOOKUP(XLOOKUP($Q868,'Threshold Summary'!$Y:$Y,'Threshold Summary'!$M:$M,""),'Nature Editor'!$A:$A,'Nature Editor'!$B:$B,1)),FLOOR((FLOOR(((2*XLOOKUP(XLOOKUP($Q868,'Threshold Summary'!$Y:$Y,'Threshold Summary'!$K:$K,""),'Pokemon Editor'!$A:$A,'Pokemon Editor'!$H:$H,0)+31+FLOOR(XLOOKUP($Q868,'Threshold Summary'!$Y:$Y,'Threshold Summary'!$R:$R,"")/4))*XLOOKUP($Q868,'Threshold Summary'!$Y:$Y,'Threshold Summary'!$L:$L,""))/100)+5)*XLOOKUP(XLOOKUP($Q868,'Threshold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Editor'!$E:$E,1))),stab,IF(OR(mtype=XLOOKUP(XLOOKUP($Q868,'Threshold Summary'!$Y:$Y,'Threshold Summary'!$K:$K,""),'Pokemon Editor'!$A:$A,'Pokemon Editor'!$C:$C,""),mtype=XLOOKUP(XLOOKUP($Q868,'Threshold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Chart'!$B$1:$S$1,0)))),base,IF(OR(cat="Status",pow=0),0,FLOOR(FLOOR(FLOOR((2*XLOOKUP($Q868,'Threshold Summary'!$Y:$Y,'Threshold Summary'!$L:$L,"")/5+2)*pow*atk/def)/50)+2)),modifier,stab*eff,AVERAGE(ARRAYFORMULA(FLOOR(base*modifier*SEQUENCE(16,1,85,1)/100)))/(FLOOR(((2*XLOOKUP('Boss Editor'!$C$4,'Pokemon Editor'!$A:$A,'Pokemon Editor'!$E:$E,0)+31+FLOOR('Boss Editor'!$G$4/4))*'Boss Editor'!$D$4)/100)+'Boss Editor'!$D$4+10)),0)</f>
        <v/>
      </c>
      <c r="O868" s="3">
        <f>IF(N868&gt;=1,"OHKO",IF(N868&gt;=0.5,"2HKO",IF(N868&gt;=0.333,"3HKO",IF(N868&gt;=0.25,"4HKO","5HKO+"))))</f>
        <v/>
      </c>
      <c r="P868" s="3" t="inlineStr">
        <is>
          <t>Live from editable databases</t>
        </is>
      </c>
      <c r="Q868" s="3" t="inlineStr">
        <is>
          <t>SPECIES_NYMBLE</t>
        </is>
      </c>
      <c r="R868" s="3" t="n">
        <v>3</v>
      </c>
    </row>
    <row r="869">
      <c r="A869" s="3">
        <f>XLOOKUP($Q869,'Threshold Summary'!$Y:$Y,'Threshold Summary'!$A:$A,"")</f>
        <v/>
      </c>
      <c r="B869" s="3">
        <f>XLOOKUP($Q869,'Threshold Summary'!$Y:$Y,'Threshold Summary'!$M:$M,"")</f>
        <v/>
      </c>
      <c r="C869" s="3">
        <f>XLOOKUP($Q869,'Threshold Summary'!$Y:$Y,'Threshold Summary'!$N:$N,"")</f>
        <v/>
      </c>
      <c r="D869" s="3">
        <f>IFERROR(INDEX(FILTER('Learnset Editor'!$D$2:$D,'Learnset Editor'!$A$2:$A=XLOOKUP($Q869,'Threshold Summary'!$Y:$Y,'Threshold Summary'!$K:$K,""),'Learnset Editor'!$C$2:$C&lt;=XLOOKUP($Q869,'Threshold Summary'!$Y:$Y,'Threshold Summary'!$L:$L,"")),$R869),"")</f>
        <v/>
      </c>
      <c r="E869" s="3">
        <f>XLOOKUP(D869,'Move Editor'!$B:$B,'Move Editor'!$C:$C,"")</f>
        <v/>
      </c>
      <c r="F869" s="3">
        <f>XLOOKUP(D869,'Move Editor'!$B:$B,'Move Editor'!$D:$D,"")</f>
        <v/>
      </c>
      <c r="G869" s="3">
        <f>XLOOKUP(D869,'Move Editor'!$B:$B,'Move Editor'!$E:$E,0)</f>
        <v/>
      </c>
      <c r="H869" s="3">
        <f>XLOOKUP(D869,'Move Editor'!$B:$B,'Move Editor'!$F:$F,0)</f>
        <v/>
      </c>
      <c r="I869" s="3">
        <f>(INDEX('Type Chart'!$B:$S,MATCH(E869,'Type Chart'!$A:$A,0),MATCH(XLOOKUP('Boss Editor'!$C$4,'Pokemon Editor'!$A:$A,'Pokemon Editor'!$C:$C,""),'Type Chart'!$B$1:$S$1,0))*IF(XLOOKUP('Boss Editor'!$C$4,'Pokemon Editor'!$A:$A,'Pokemon Editor'!$D:$D,"")="",1,INDEX('Type Chart'!$B:$S,MATCH(E869,'Type Chart'!$A:$A,0),MATCH(XLOOKUP('Boss Editor'!$C$4,'Pokemon Editor'!$A:$A,'Pokemon Editor'!$D:$D,""),'Type Chart'!$B$1:$S$1,0))))</f>
        <v/>
      </c>
      <c r="J869" s="3">
        <f>IFERROR(LET(mtype,XLOOKUP($D869,'Move Editor'!$B:$B,'Move Editor'!$C:$C,""),cat,XLOOKUP($D869,'Move Editor'!$B:$B,'Move Editor'!$D:$D,""),pow,XLOOKUP($D869,'Move Editor'!$B:$B,'Move Editor'!$E:$E,0),acc,XLOOKUP($D869,'Move Editor'!$B:$B,'Move Editor'!$F:$F,100),atk,IF(cat="Physical",FLOOR((FLOOR(((2*XLOOKUP(XLOOKUP($Q869,'Threshold Summary'!$Y:$Y,'Threshold Summary'!$K:$K,""),'Pokemon Editor'!$A:$A,'Pokemon Editor'!$F:$F,0)+31+FLOOR(XLOOKUP($Q869,'Threshold Summary'!$Y:$Y,'Threshold Summary'!$P:$P,"")/4))*XLOOKUP($Q869,'Threshold Summary'!$Y:$Y,'Threshold Summary'!$L:$L,""))/100)+5)*XLOOKUP(XLOOKUP($Q869,'Threshold Summary'!$Y:$Y,'Threshold Summary'!$M:$M,""),'Nature Editor'!$A:$A,'Nature Editor'!$B:$B,1)),FLOOR((FLOOR(((2*XLOOKUP(XLOOKUP($Q869,'Threshold Summary'!$Y:$Y,'Threshold Summary'!$K:$K,""),'Pokemon Editor'!$A:$A,'Pokemon Editor'!$H:$H,0)+31+FLOOR(XLOOKUP($Q869,'Threshold Summary'!$Y:$Y,'Threshold Summary'!$R:$R,"")/4))*XLOOKUP($Q869,'Threshold Summary'!$Y:$Y,'Threshold Summary'!$L:$L,""))/100)+5)*XLOOKUP(XLOOKUP($Q869,'Threshold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Editor'!$E:$E,1))),stab,IF(OR(mtype=XLOOKUP(XLOOKUP($Q869,'Threshold Summary'!$Y:$Y,'Threshold Summary'!$K:$K,""),'Pokemon Editor'!$A:$A,'Pokemon Editor'!$C:$C,""),mtype=XLOOKUP(XLOOKUP($Q869,'Threshold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Chart'!$B$1:$S$1,0)))),base,IF(OR(cat="Status",pow=0),0,FLOOR(FLOOR(FLOOR((2*XLOOKUP($Q869,'Threshold Summary'!$Y:$Y,'Threshold Summary'!$L:$L,"")/5+2)*pow*atk/def)/50)+2)),modifier,stab*eff,FLOOR(base*modifier*0.85)),0)</f>
        <v/>
      </c>
      <c r="K869" s="3">
        <f>IFERROR(LET(mtype,XLOOKUP($D869,'Move Editor'!$B:$B,'Move Editor'!$C:$C,""),cat,XLOOKUP($D869,'Move Editor'!$B:$B,'Move Editor'!$D:$D,""),pow,XLOOKUP($D869,'Move Editor'!$B:$B,'Move Editor'!$E:$E,0),acc,XLOOKUP($D869,'Move Editor'!$B:$B,'Move Editor'!$F:$F,100),atk,IF(cat="Physical",FLOOR((FLOOR(((2*XLOOKUP(XLOOKUP($Q869,'Threshold Summary'!$Y:$Y,'Threshold Summary'!$K:$K,""),'Pokemon Editor'!$A:$A,'Pokemon Editor'!$F:$F,0)+31+FLOOR(XLOOKUP($Q869,'Threshold Summary'!$Y:$Y,'Threshold Summary'!$P:$P,"")/4))*XLOOKUP($Q869,'Threshold Summary'!$Y:$Y,'Threshold Summary'!$L:$L,""))/100)+5)*XLOOKUP(XLOOKUP($Q869,'Threshold Summary'!$Y:$Y,'Threshold Summary'!$M:$M,""),'Nature Editor'!$A:$A,'Nature Editor'!$B:$B,1)),FLOOR((FLOOR(((2*XLOOKUP(XLOOKUP($Q869,'Threshold Summary'!$Y:$Y,'Threshold Summary'!$K:$K,""),'Pokemon Editor'!$A:$A,'Pokemon Editor'!$H:$H,0)+31+FLOOR(XLOOKUP($Q869,'Threshold Summary'!$Y:$Y,'Threshold Summary'!$R:$R,"")/4))*XLOOKUP($Q869,'Threshold Summary'!$Y:$Y,'Threshold Summary'!$L:$L,""))/100)+5)*XLOOKUP(XLOOKUP($Q869,'Threshold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Editor'!$E:$E,1))),stab,IF(OR(mtype=XLOOKUP(XLOOKUP($Q869,'Threshold Summary'!$Y:$Y,'Threshold Summary'!$K:$K,""),'Pokemon Editor'!$A:$A,'Pokemon Editor'!$C:$C,""),mtype=XLOOKUP(XLOOKUP($Q869,'Threshold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Chart'!$B$1:$S$1,0)))),base,IF(OR(cat="Status",pow=0),0,FLOOR(FLOOR(FLOOR((2*XLOOKUP($Q869,'Threshold Summary'!$Y:$Y,'Threshold Summary'!$L:$L,"")/5+2)*pow*atk/def)/50)+2)),modifier,stab*eff,FLOOR(base*modifier)),0)</f>
        <v/>
      </c>
      <c r="L869" s="3">
        <f>IFERROR(LET(mtype,XLOOKUP($D869,'Move Editor'!$B:$B,'Move Editor'!$C:$C,""),cat,XLOOKUP($D869,'Move Editor'!$B:$B,'Move Editor'!$D:$D,""),pow,XLOOKUP($D869,'Move Editor'!$B:$B,'Move Editor'!$E:$E,0),acc,XLOOKUP($D869,'Move Editor'!$B:$B,'Move Editor'!$F:$F,100),atk,IF(cat="Physical",FLOOR((FLOOR(((2*XLOOKUP(XLOOKUP($Q869,'Threshold Summary'!$Y:$Y,'Threshold Summary'!$K:$K,""),'Pokemon Editor'!$A:$A,'Pokemon Editor'!$F:$F,0)+31+FLOOR(XLOOKUP($Q869,'Threshold Summary'!$Y:$Y,'Threshold Summary'!$P:$P,"")/4))*XLOOKUP($Q869,'Threshold Summary'!$Y:$Y,'Threshold Summary'!$L:$L,""))/100)+5)*XLOOKUP(XLOOKUP($Q869,'Threshold Summary'!$Y:$Y,'Threshold Summary'!$M:$M,""),'Nature Editor'!$A:$A,'Nature Editor'!$B:$B,1)),FLOOR((FLOOR(((2*XLOOKUP(XLOOKUP($Q869,'Threshold Summary'!$Y:$Y,'Threshold Summary'!$K:$K,""),'Pokemon Editor'!$A:$A,'Pokemon Editor'!$H:$H,0)+31+FLOOR(XLOOKUP($Q869,'Threshold Summary'!$Y:$Y,'Threshold Summary'!$R:$R,"")/4))*XLOOKUP($Q869,'Threshold Summary'!$Y:$Y,'Threshold Summary'!$L:$L,""))/100)+5)*XLOOKUP(XLOOKUP($Q869,'Threshold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Editor'!$E:$E,1))),stab,IF(OR(mtype=XLOOKUP(XLOOKUP($Q869,'Threshold Summary'!$Y:$Y,'Threshold Summary'!$K:$K,""),'Pokemon Editor'!$A:$A,'Pokemon Editor'!$C:$C,""),mtype=XLOOKUP(XLOOKUP($Q869,'Threshold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Chart'!$B$1:$S$1,0)))),base,IF(OR(cat="Status",pow=0),0,FLOOR(FLOOR(FLOOR((2*XLOOKUP($Q869,'Threshold Summary'!$Y:$Y,'Threshold Summary'!$L:$L,"")/5+2)*pow*atk/def)/50)+2)),modifier,stab*eff,AVERAGE(ARRAYFORMULA(FLOOR(base*modifier*SEQUENCE(16,1,85,1)/100)))),0)</f>
        <v/>
      </c>
      <c r="M869" s="3">
        <f>IFERROR(LET(mtype,XLOOKUP($D869,'Move Editor'!$B:$B,'Move Editor'!$C:$C,""),cat,XLOOKUP($D869,'Move Editor'!$B:$B,'Move Editor'!$D:$D,""),pow,XLOOKUP($D869,'Move Editor'!$B:$B,'Move Editor'!$E:$E,0),acc,XLOOKUP($D869,'Move Editor'!$B:$B,'Move Editor'!$F:$F,100),atk,IF(cat="Physical",FLOOR((FLOOR(((2*XLOOKUP(XLOOKUP($Q869,'Threshold Summary'!$Y:$Y,'Threshold Summary'!$K:$K,""),'Pokemon Editor'!$A:$A,'Pokemon Editor'!$F:$F,0)+31+FLOOR(XLOOKUP($Q869,'Threshold Summary'!$Y:$Y,'Threshold Summary'!$P:$P,"")/4))*XLOOKUP($Q869,'Threshold Summary'!$Y:$Y,'Threshold Summary'!$L:$L,""))/100)+5)*XLOOKUP(XLOOKUP($Q869,'Threshold Summary'!$Y:$Y,'Threshold Summary'!$M:$M,""),'Nature Editor'!$A:$A,'Nature Editor'!$B:$B,1)),FLOOR((FLOOR(((2*XLOOKUP(XLOOKUP($Q869,'Threshold Summary'!$Y:$Y,'Threshold Summary'!$K:$K,""),'Pokemon Editor'!$A:$A,'Pokemon Editor'!$H:$H,0)+31+FLOOR(XLOOKUP($Q869,'Threshold Summary'!$Y:$Y,'Threshold Summary'!$R:$R,"")/4))*XLOOKUP($Q869,'Threshold Summary'!$Y:$Y,'Threshold Summary'!$L:$L,""))/100)+5)*XLOOKUP(XLOOKUP($Q869,'Threshold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Editor'!$E:$E,1))),stab,IF(OR(mtype=XLOOKUP(XLOOKUP($Q869,'Threshold Summary'!$Y:$Y,'Threshold Summary'!$K:$K,""),'Pokemon Editor'!$A:$A,'Pokemon Editor'!$C:$C,""),mtype=XLOOKUP(XLOOKUP($Q869,'Threshold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Chart'!$B$1:$S$1,0)))),base,IF(OR(cat="Status",pow=0),0,FLOOR(FLOOR(FLOOR((2*XLOOKUP($Q869,'Threshold Summary'!$Y:$Y,'Threshold Summary'!$L:$L,"")/5+2)*pow*atk/def)/50)+2)),modifier,stab*eff,AVERAGE(ARRAYFORMULA(FLOOR(base*modifier*SEQUENCE(16,1,85,1)/100)))*MIN(1,acc/100)),0)</f>
        <v/>
      </c>
      <c r="N869" s="4">
        <f>IFERROR(LET(mtype,XLOOKUP($D869,'Move Editor'!$B:$B,'Move Editor'!$C:$C,""),cat,XLOOKUP($D869,'Move Editor'!$B:$B,'Move Editor'!$D:$D,""),pow,XLOOKUP($D869,'Move Editor'!$B:$B,'Move Editor'!$E:$E,0),acc,XLOOKUP($D869,'Move Editor'!$B:$B,'Move Editor'!$F:$F,100),atk,IF(cat="Physical",FLOOR((FLOOR(((2*XLOOKUP(XLOOKUP($Q869,'Threshold Summary'!$Y:$Y,'Threshold Summary'!$K:$K,""),'Pokemon Editor'!$A:$A,'Pokemon Editor'!$F:$F,0)+31+FLOOR(XLOOKUP($Q869,'Threshold Summary'!$Y:$Y,'Threshold Summary'!$P:$P,"")/4))*XLOOKUP($Q869,'Threshold Summary'!$Y:$Y,'Threshold Summary'!$L:$L,""))/100)+5)*XLOOKUP(XLOOKUP($Q869,'Threshold Summary'!$Y:$Y,'Threshold Summary'!$M:$M,""),'Nature Editor'!$A:$A,'Nature Editor'!$B:$B,1)),FLOOR((FLOOR(((2*XLOOKUP(XLOOKUP($Q869,'Threshold Summary'!$Y:$Y,'Threshold Summary'!$K:$K,""),'Pokemon Editor'!$A:$A,'Pokemon Editor'!$H:$H,0)+31+FLOOR(XLOOKUP($Q869,'Threshold Summary'!$Y:$Y,'Threshold Summary'!$R:$R,"")/4))*XLOOKUP($Q869,'Threshold Summary'!$Y:$Y,'Threshold Summary'!$L:$L,""))/100)+5)*XLOOKUP(XLOOKUP($Q869,'Threshold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Editor'!$E:$E,1))),stab,IF(OR(mtype=XLOOKUP(XLOOKUP($Q869,'Threshold Summary'!$Y:$Y,'Threshold Summary'!$K:$K,""),'Pokemon Editor'!$A:$A,'Pokemon Editor'!$C:$C,""),mtype=XLOOKUP(XLOOKUP($Q869,'Threshold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Chart'!$B$1:$S$1,0)))),base,IF(OR(cat="Status",pow=0),0,FLOOR(FLOOR(FLOOR((2*XLOOKUP($Q869,'Threshold Summary'!$Y:$Y,'Threshold Summary'!$L:$L,"")/5+2)*pow*atk/def)/50)+2)),modifier,stab*eff,AVERAGE(ARRAYFORMULA(FLOOR(base*modifier*SEQUENCE(16,1,85,1)/100)))/(FLOOR(((2*XLOOKUP('Boss Editor'!$C$4,'Pokemon Editor'!$A:$A,'Pokemon Editor'!$E:$E,0)+31+FLOOR('Boss Editor'!$G$4/4))*'Boss Editor'!$D$4)/100)+'Boss Editor'!$D$4+10)),0)</f>
        <v/>
      </c>
      <c r="O869" s="3">
        <f>IF(N869&gt;=1,"OHKO",IF(N869&gt;=0.5,"2HKO",IF(N869&gt;=0.333,"3HKO",IF(N869&gt;=0.25,"4HKO","5HKO+"))))</f>
        <v/>
      </c>
      <c r="P869" s="3" t="inlineStr">
        <is>
          <t>Live from editable databases</t>
        </is>
      </c>
      <c r="Q869" s="3" t="inlineStr">
        <is>
          <t>SPECIES_NYMBLE</t>
        </is>
      </c>
      <c r="R869" s="3" t="n">
        <v>4</v>
      </c>
    </row>
    <row r="870">
      <c r="A870" s="3">
        <f>XLOOKUP($Q870,'Threshold Summary'!$Y:$Y,'Threshold Summary'!$A:$A,"")</f>
        <v/>
      </c>
      <c r="B870" s="3">
        <f>XLOOKUP($Q870,'Threshold Summary'!$Y:$Y,'Threshold Summary'!$M:$M,"")</f>
        <v/>
      </c>
      <c r="C870" s="3">
        <f>XLOOKUP($Q870,'Threshold Summary'!$Y:$Y,'Threshold Summary'!$N:$N,"")</f>
        <v/>
      </c>
      <c r="D870" s="3">
        <f>IFERROR(INDEX(FILTER('Learnset Editor'!$D$2:$D,'Learnset Editor'!$A$2:$A=XLOOKUP($Q870,'Threshold Summary'!$Y:$Y,'Threshold Summary'!$K:$K,""),'Learnset Editor'!$C$2:$C&lt;=XLOOKUP($Q870,'Threshold Summary'!$Y:$Y,'Threshold Summary'!$L:$L,"")),$R870),"")</f>
        <v/>
      </c>
      <c r="E870" s="3">
        <f>XLOOKUP(D870,'Move Editor'!$B:$B,'Move Editor'!$C:$C,"")</f>
        <v/>
      </c>
      <c r="F870" s="3">
        <f>XLOOKUP(D870,'Move Editor'!$B:$B,'Move Editor'!$D:$D,"")</f>
        <v/>
      </c>
      <c r="G870" s="3">
        <f>XLOOKUP(D870,'Move Editor'!$B:$B,'Move Editor'!$E:$E,0)</f>
        <v/>
      </c>
      <c r="H870" s="3">
        <f>XLOOKUP(D870,'Move Editor'!$B:$B,'Move Editor'!$F:$F,0)</f>
        <v/>
      </c>
      <c r="I870" s="3">
        <f>(INDEX('Type Chart'!$B:$S,MATCH(E870,'Type Chart'!$A:$A,0),MATCH(XLOOKUP('Boss Editor'!$C$4,'Pokemon Editor'!$A:$A,'Pokemon Editor'!$C:$C,""),'Type Chart'!$B$1:$S$1,0))*IF(XLOOKUP('Boss Editor'!$C$4,'Pokemon Editor'!$A:$A,'Pokemon Editor'!$D:$D,"")="",1,INDEX('Type Chart'!$B:$S,MATCH(E870,'Type Chart'!$A:$A,0),MATCH(XLOOKUP('Boss Editor'!$C$4,'Pokemon Editor'!$A:$A,'Pokemon Editor'!$D:$D,""),'Type Chart'!$B$1:$S$1,0))))</f>
        <v/>
      </c>
      <c r="J870" s="3">
        <f>IFERROR(LET(mtype,XLOOKUP($D870,'Move Editor'!$B:$B,'Move Editor'!$C:$C,""),cat,XLOOKUP($D870,'Move Editor'!$B:$B,'Move Editor'!$D:$D,""),pow,XLOOKUP($D870,'Move Editor'!$B:$B,'Move Editor'!$E:$E,0),acc,XLOOKUP($D870,'Move Editor'!$B:$B,'Move Editor'!$F:$F,100),atk,IF(cat="Physical",FLOOR((FLOOR(((2*XLOOKUP(XLOOKUP($Q870,'Threshold Summary'!$Y:$Y,'Threshold Summary'!$K:$K,""),'Pokemon Editor'!$A:$A,'Pokemon Editor'!$F:$F,0)+31+FLOOR(XLOOKUP($Q870,'Threshold Summary'!$Y:$Y,'Threshold Summary'!$P:$P,"")/4))*XLOOKUP($Q870,'Threshold Summary'!$Y:$Y,'Threshold Summary'!$L:$L,""))/100)+5)*XLOOKUP(XLOOKUP($Q870,'Threshold Summary'!$Y:$Y,'Threshold Summary'!$M:$M,""),'Nature Editor'!$A:$A,'Nature Editor'!$B:$B,1)),FLOOR((FLOOR(((2*XLOOKUP(XLOOKUP($Q870,'Threshold Summary'!$Y:$Y,'Threshold Summary'!$K:$K,""),'Pokemon Editor'!$A:$A,'Pokemon Editor'!$H:$H,0)+31+FLOOR(XLOOKUP($Q870,'Threshold Summary'!$Y:$Y,'Threshold Summary'!$R:$R,"")/4))*XLOOKUP($Q870,'Threshold Summary'!$Y:$Y,'Threshold Summary'!$L:$L,""))/100)+5)*XLOOKUP(XLOOKUP($Q870,'Threshold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Editor'!$E:$E,1))),stab,IF(OR(mtype=XLOOKUP(XLOOKUP($Q870,'Threshold Summary'!$Y:$Y,'Threshold Summary'!$K:$K,""),'Pokemon Editor'!$A:$A,'Pokemon Editor'!$C:$C,""),mtype=XLOOKUP(XLOOKUP($Q870,'Threshold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Chart'!$B$1:$S$1,0)))),base,IF(OR(cat="Status",pow=0),0,FLOOR(FLOOR(FLOOR((2*XLOOKUP($Q870,'Threshold Summary'!$Y:$Y,'Threshold Summary'!$L:$L,"")/5+2)*pow*atk/def)/50)+2)),modifier,stab*eff,FLOOR(base*modifier*0.85)),0)</f>
        <v/>
      </c>
      <c r="K870" s="3">
        <f>IFERROR(LET(mtype,XLOOKUP($D870,'Move Editor'!$B:$B,'Move Editor'!$C:$C,""),cat,XLOOKUP($D870,'Move Editor'!$B:$B,'Move Editor'!$D:$D,""),pow,XLOOKUP($D870,'Move Editor'!$B:$B,'Move Editor'!$E:$E,0),acc,XLOOKUP($D870,'Move Editor'!$B:$B,'Move Editor'!$F:$F,100),atk,IF(cat="Physical",FLOOR((FLOOR(((2*XLOOKUP(XLOOKUP($Q870,'Threshold Summary'!$Y:$Y,'Threshold Summary'!$K:$K,""),'Pokemon Editor'!$A:$A,'Pokemon Editor'!$F:$F,0)+31+FLOOR(XLOOKUP($Q870,'Threshold Summary'!$Y:$Y,'Threshold Summary'!$P:$P,"")/4))*XLOOKUP($Q870,'Threshold Summary'!$Y:$Y,'Threshold Summary'!$L:$L,""))/100)+5)*XLOOKUP(XLOOKUP($Q870,'Threshold Summary'!$Y:$Y,'Threshold Summary'!$M:$M,""),'Nature Editor'!$A:$A,'Nature Editor'!$B:$B,1)),FLOOR((FLOOR(((2*XLOOKUP(XLOOKUP($Q870,'Threshold Summary'!$Y:$Y,'Threshold Summary'!$K:$K,""),'Pokemon Editor'!$A:$A,'Pokemon Editor'!$H:$H,0)+31+FLOOR(XLOOKUP($Q870,'Threshold Summary'!$Y:$Y,'Threshold Summary'!$R:$R,"")/4))*XLOOKUP($Q870,'Threshold Summary'!$Y:$Y,'Threshold Summary'!$L:$L,""))/100)+5)*XLOOKUP(XLOOKUP($Q870,'Threshold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Editor'!$E:$E,1))),stab,IF(OR(mtype=XLOOKUP(XLOOKUP($Q870,'Threshold Summary'!$Y:$Y,'Threshold Summary'!$K:$K,""),'Pokemon Editor'!$A:$A,'Pokemon Editor'!$C:$C,""),mtype=XLOOKUP(XLOOKUP($Q870,'Threshold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Chart'!$B$1:$S$1,0)))),base,IF(OR(cat="Status",pow=0),0,FLOOR(FLOOR(FLOOR((2*XLOOKUP($Q870,'Threshold Summary'!$Y:$Y,'Threshold Summary'!$L:$L,"")/5+2)*pow*atk/def)/50)+2)),modifier,stab*eff,FLOOR(base*modifier)),0)</f>
        <v/>
      </c>
      <c r="L870" s="3">
        <f>IFERROR(LET(mtype,XLOOKUP($D870,'Move Editor'!$B:$B,'Move Editor'!$C:$C,""),cat,XLOOKUP($D870,'Move Editor'!$B:$B,'Move Editor'!$D:$D,""),pow,XLOOKUP($D870,'Move Editor'!$B:$B,'Move Editor'!$E:$E,0),acc,XLOOKUP($D870,'Move Editor'!$B:$B,'Move Editor'!$F:$F,100),atk,IF(cat="Physical",FLOOR((FLOOR(((2*XLOOKUP(XLOOKUP($Q870,'Threshold Summary'!$Y:$Y,'Threshold Summary'!$K:$K,""),'Pokemon Editor'!$A:$A,'Pokemon Editor'!$F:$F,0)+31+FLOOR(XLOOKUP($Q870,'Threshold Summary'!$Y:$Y,'Threshold Summary'!$P:$P,"")/4))*XLOOKUP($Q870,'Threshold Summary'!$Y:$Y,'Threshold Summary'!$L:$L,""))/100)+5)*XLOOKUP(XLOOKUP($Q870,'Threshold Summary'!$Y:$Y,'Threshold Summary'!$M:$M,""),'Nature Editor'!$A:$A,'Nature Editor'!$B:$B,1)),FLOOR((FLOOR(((2*XLOOKUP(XLOOKUP($Q870,'Threshold Summary'!$Y:$Y,'Threshold Summary'!$K:$K,""),'Pokemon Editor'!$A:$A,'Pokemon Editor'!$H:$H,0)+31+FLOOR(XLOOKUP($Q870,'Threshold Summary'!$Y:$Y,'Threshold Summary'!$R:$R,"")/4))*XLOOKUP($Q870,'Threshold Summary'!$Y:$Y,'Threshold Summary'!$L:$L,""))/100)+5)*XLOOKUP(XLOOKUP($Q870,'Threshold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Editor'!$E:$E,1))),stab,IF(OR(mtype=XLOOKUP(XLOOKUP($Q870,'Threshold Summary'!$Y:$Y,'Threshold Summary'!$K:$K,""),'Pokemon Editor'!$A:$A,'Pokemon Editor'!$C:$C,""),mtype=XLOOKUP(XLOOKUP($Q870,'Threshold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Chart'!$B$1:$S$1,0)))),base,IF(OR(cat="Status",pow=0),0,FLOOR(FLOOR(FLOOR((2*XLOOKUP($Q870,'Threshold Summary'!$Y:$Y,'Threshold Summary'!$L:$L,"")/5+2)*pow*atk/def)/50)+2)),modifier,stab*eff,AVERAGE(ARRAYFORMULA(FLOOR(base*modifier*SEQUENCE(16,1,85,1)/100)))),0)</f>
        <v/>
      </c>
      <c r="M870" s="3">
        <f>IFERROR(LET(mtype,XLOOKUP($D870,'Move Editor'!$B:$B,'Move Editor'!$C:$C,""),cat,XLOOKUP($D870,'Move Editor'!$B:$B,'Move Editor'!$D:$D,""),pow,XLOOKUP($D870,'Move Editor'!$B:$B,'Move Editor'!$E:$E,0),acc,XLOOKUP($D870,'Move Editor'!$B:$B,'Move Editor'!$F:$F,100),atk,IF(cat="Physical",FLOOR((FLOOR(((2*XLOOKUP(XLOOKUP($Q870,'Threshold Summary'!$Y:$Y,'Threshold Summary'!$K:$K,""),'Pokemon Editor'!$A:$A,'Pokemon Editor'!$F:$F,0)+31+FLOOR(XLOOKUP($Q870,'Threshold Summary'!$Y:$Y,'Threshold Summary'!$P:$P,"")/4))*XLOOKUP($Q870,'Threshold Summary'!$Y:$Y,'Threshold Summary'!$L:$L,""))/100)+5)*XLOOKUP(XLOOKUP($Q870,'Threshold Summary'!$Y:$Y,'Threshold Summary'!$M:$M,""),'Nature Editor'!$A:$A,'Nature Editor'!$B:$B,1)),FLOOR((FLOOR(((2*XLOOKUP(XLOOKUP($Q870,'Threshold Summary'!$Y:$Y,'Threshold Summary'!$K:$K,""),'Pokemon Editor'!$A:$A,'Pokemon Editor'!$H:$H,0)+31+FLOOR(XLOOKUP($Q870,'Threshold Summary'!$Y:$Y,'Threshold Summary'!$R:$R,"")/4))*XLOOKUP($Q870,'Threshold Summary'!$Y:$Y,'Threshold Summary'!$L:$L,""))/100)+5)*XLOOKUP(XLOOKUP($Q870,'Threshold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Editor'!$E:$E,1))),stab,IF(OR(mtype=XLOOKUP(XLOOKUP($Q870,'Threshold Summary'!$Y:$Y,'Threshold Summary'!$K:$K,""),'Pokemon Editor'!$A:$A,'Pokemon Editor'!$C:$C,""),mtype=XLOOKUP(XLOOKUP($Q870,'Threshold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Chart'!$B$1:$S$1,0)))),base,IF(OR(cat="Status",pow=0),0,FLOOR(FLOOR(FLOOR((2*XLOOKUP($Q870,'Threshold Summary'!$Y:$Y,'Threshold Summary'!$L:$L,"")/5+2)*pow*atk/def)/50)+2)),modifier,stab*eff,AVERAGE(ARRAYFORMULA(FLOOR(base*modifier*SEQUENCE(16,1,85,1)/100)))*MIN(1,acc/100)),0)</f>
        <v/>
      </c>
      <c r="N870" s="4">
        <f>IFERROR(LET(mtype,XLOOKUP($D870,'Move Editor'!$B:$B,'Move Editor'!$C:$C,""),cat,XLOOKUP($D870,'Move Editor'!$B:$B,'Move Editor'!$D:$D,""),pow,XLOOKUP($D870,'Move Editor'!$B:$B,'Move Editor'!$E:$E,0),acc,XLOOKUP($D870,'Move Editor'!$B:$B,'Move Editor'!$F:$F,100),atk,IF(cat="Physical",FLOOR((FLOOR(((2*XLOOKUP(XLOOKUP($Q870,'Threshold Summary'!$Y:$Y,'Threshold Summary'!$K:$K,""),'Pokemon Editor'!$A:$A,'Pokemon Editor'!$F:$F,0)+31+FLOOR(XLOOKUP($Q870,'Threshold Summary'!$Y:$Y,'Threshold Summary'!$P:$P,"")/4))*XLOOKUP($Q870,'Threshold Summary'!$Y:$Y,'Threshold Summary'!$L:$L,""))/100)+5)*XLOOKUP(XLOOKUP($Q870,'Threshold Summary'!$Y:$Y,'Threshold Summary'!$M:$M,""),'Nature Editor'!$A:$A,'Nature Editor'!$B:$B,1)),FLOOR((FLOOR(((2*XLOOKUP(XLOOKUP($Q870,'Threshold Summary'!$Y:$Y,'Threshold Summary'!$K:$K,""),'Pokemon Editor'!$A:$A,'Pokemon Editor'!$H:$H,0)+31+FLOOR(XLOOKUP($Q870,'Threshold Summary'!$Y:$Y,'Threshold Summary'!$R:$R,"")/4))*XLOOKUP($Q870,'Threshold Summary'!$Y:$Y,'Threshold Summary'!$L:$L,""))/100)+5)*XLOOKUP(XLOOKUP($Q870,'Threshold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Editor'!$E:$E,1))),stab,IF(OR(mtype=XLOOKUP(XLOOKUP($Q870,'Threshold Summary'!$Y:$Y,'Threshold Summary'!$K:$K,""),'Pokemon Editor'!$A:$A,'Pokemon Editor'!$C:$C,""),mtype=XLOOKUP(XLOOKUP($Q870,'Threshold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Chart'!$B$1:$S$1,0)))),base,IF(OR(cat="Status",pow=0),0,FLOOR(FLOOR(FLOOR((2*XLOOKUP($Q870,'Threshold Summary'!$Y:$Y,'Threshold Summary'!$L:$L,"")/5+2)*pow*atk/def)/50)+2)),modifier,stab*eff,AVERAGE(ARRAYFORMULA(FLOOR(base*modifier*SEQUENCE(16,1,85,1)/100)))/(FLOOR(((2*XLOOKUP('Boss Editor'!$C$4,'Pokemon Editor'!$A:$A,'Pokemon Editor'!$E:$E,0)+31+FLOOR('Boss Editor'!$G$4/4))*'Boss Editor'!$D$4)/100)+'Boss Editor'!$D$4+10)),0)</f>
        <v/>
      </c>
      <c r="O870" s="3">
        <f>IF(N870&gt;=1,"OHKO",IF(N870&gt;=0.5,"2HKO",IF(N870&gt;=0.333,"3HKO",IF(N870&gt;=0.25,"4HKO","5HKO+"))))</f>
        <v/>
      </c>
      <c r="P870" s="3" t="inlineStr">
        <is>
          <t>Live from editable databases</t>
        </is>
      </c>
      <c r="Q870" s="3" t="inlineStr">
        <is>
          <t>SPECIES_NYMBLE</t>
        </is>
      </c>
      <c r="R870" s="3" t="n">
        <v>5</v>
      </c>
    </row>
    <row r="871">
      <c r="A871" s="3">
        <f>XLOOKUP($Q871,'Threshold Summary'!$Y:$Y,'Threshold Summary'!$A:$A,"")</f>
        <v/>
      </c>
      <c r="B871" s="3">
        <f>XLOOKUP($Q871,'Threshold Summary'!$Y:$Y,'Threshold Summary'!$M:$M,"")</f>
        <v/>
      </c>
      <c r="C871" s="3">
        <f>XLOOKUP($Q871,'Threshold Summary'!$Y:$Y,'Threshold Summary'!$N:$N,"")</f>
        <v/>
      </c>
      <c r="D871" s="3">
        <f>IFERROR(INDEX(FILTER('Learnset Editor'!$D$2:$D,'Learnset Editor'!$A$2:$A=XLOOKUP($Q871,'Threshold Summary'!$Y:$Y,'Threshold Summary'!$K:$K,""),'Learnset Editor'!$C$2:$C&lt;=XLOOKUP($Q871,'Threshold Summary'!$Y:$Y,'Threshold Summary'!$L:$L,"")),$R871),"")</f>
        <v/>
      </c>
      <c r="E871" s="3">
        <f>XLOOKUP(D871,'Move Editor'!$B:$B,'Move Editor'!$C:$C,"")</f>
        <v/>
      </c>
      <c r="F871" s="3">
        <f>XLOOKUP(D871,'Move Editor'!$B:$B,'Move Editor'!$D:$D,"")</f>
        <v/>
      </c>
      <c r="G871" s="3">
        <f>XLOOKUP(D871,'Move Editor'!$B:$B,'Move Editor'!$E:$E,0)</f>
        <v/>
      </c>
      <c r="H871" s="3">
        <f>XLOOKUP(D871,'Move Editor'!$B:$B,'Move Editor'!$F:$F,0)</f>
        <v/>
      </c>
      <c r="I871" s="3">
        <f>(INDEX('Type Chart'!$B:$S,MATCH(E871,'Type Chart'!$A:$A,0),MATCH(XLOOKUP('Boss Editor'!$C$4,'Pokemon Editor'!$A:$A,'Pokemon Editor'!$C:$C,""),'Type Chart'!$B$1:$S$1,0))*IF(XLOOKUP('Boss Editor'!$C$4,'Pokemon Editor'!$A:$A,'Pokemon Editor'!$D:$D,"")="",1,INDEX('Type Chart'!$B:$S,MATCH(E871,'Type Chart'!$A:$A,0),MATCH(XLOOKUP('Boss Editor'!$C$4,'Pokemon Editor'!$A:$A,'Pokemon Editor'!$D:$D,""),'Type Chart'!$B$1:$S$1,0))))</f>
        <v/>
      </c>
      <c r="J871" s="3">
        <f>IFERROR(LET(mtype,XLOOKUP($D871,'Move Editor'!$B:$B,'Move Editor'!$C:$C,""),cat,XLOOKUP($D871,'Move Editor'!$B:$B,'Move Editor'!$D:$D,""),pow,XLOOKUP($D871,'Move Editor'!$B:$B,'Move Editor'!$E:$E,0),acc,XLOOKUP($D871,'Move Editor'!$B:$B,'Move Editor'!$F:$F,100),atk,IF(cat="Physical",FLOOR((FLOOR(((2*XLOOKUP(XLOOKUP($Q871,'Threshold Summary'!$Y:$Y,'Threshold Summary'!$K:$K,""),'Pokemon Editor'!$A:$A,'Pokemon Editor'!$F:$F,0)+31+FLOOR(XLOOKUP($Q871,'Threshold Summary'!$Y:$Y,'Threshold Summary'!$P:$P,"")/4))*XLOOKUP($Q871,'Threshold Summary'!$Y:$Y,'Threshold Summary'!$L:$L,""))/100)+5)*XLOOKUP(XLOOKUP($Q871,'Threshold Summary'!$Y:$Y,'Threshold Summary'!$M:$M,""),'Nature Editor'!$A:$A,'Nature Editor'!$B:$B,1)),FLOOR((FLOOR(((2*XLOOKUP(XLOOKUP($Q871,'Threshold Summary'!$Y:$Y,'Threshold Summary'!$K:$K,""),'Pokemon Editor'!$A:$A,'Pokemon Editor'!$H:$H,0)+31+FLOOR(XLOOKUP($Q871,'Threshold Summary'!$Y:$Y,'Threshold Summary'!$R:$R,"")/4))*XLOOKUP($Q871,'Threshold Summary'!$Y:$Y,'Threshold Summary'!$L:$L,""))/100)+5)*XLOOKUP(XLOOKUP($Q871,'Threshold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Editor'!$E:$E,1))),stab,IF(OR(mtype=XLOOKUP(XLOOKUP($Q871,'Threshold Summary'!$Y:$Y,'Threshold Summary'!$K:$K,""),'Pokemon Editor'!$A:$A,'Pokemon Editor'!$C:$C,""),mtype=XLOOKUP(XLOOKUP($Q871,'Threshold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Chart'!$B$1:$S$1,0)))),base,IF(OR(cat="Status",pow=0),0,FLOOR(FLOOR(FLOOR((2*XLOOKUP($Q871,'Threshold Summary'!$Y:$Y,'Threshold Summary'!$L:$L,"")/5+2)*pow*atk/def)/50)+2)),modifier,stab*eff,FLOOR(base*modifier*0.85)),0)</f>
        <v/>
      </c>
      <c r="K871" s="3">
        <f>IFERROR(LET(mtype,XLOOKUP($D871,'Move Editor'!$B:$B,'Move Editor'!$C:$C,""),cat,XLOOKUP($D871,'Move Editor'!$B:$B,'Move Editor'!$D:$D,""),pow,XLOOKUP($D871,'Move Editor'!$B:$B,'Move Editor'!$E:$E,0),acc,XLOOKUP($D871,'Move Editor'!$B:$B,'Move Editor'!$F:$F,100),atk,IF(cat="Physical",FLOOR((FLOOR(((2*XLOOKUP(XLOOKUP($Q871,'Threshold Summary'!$Y:$Y,'Threshold Summary'!$K:$K,""),'Pokemon Editor'!$A:$A,'Pokemon Editor'!$F:$F,0)+31+FLOOR(XLOOKUP($Q871,'Threshold Summary'!$Y:$Y,'Threshold Summary'!$P:$P,"")/4))*XLOOKUP($Q871,'Threshold Summary'!$Y:$Y,'Threshold Summary'!$L:$L,""))/100)+5)*XLOOKUP(XLOOKUP($Q871,'Threshold Summary'!$Y:$Y,'Threshold Summary'!$M:$M,""),'Nature Editor'!$A:$A,'Nature Editor'!$B:$B,1)),FLOOR((FLOOR(((2*XLOOKUP(XLOOKUP($Q871,'Threshold Summary'!$Y:$Y,'Threshold Summary'!$K:$K,""),'Pokemon Editor'!$A:$A,'Pokemon Editor'!$H:$H,0)+31+FLOOR(XLOOKUP($Q871,'Threshold Summary'!$Y:$Y,'Threshold Summary'!$R:$R,"")/4))*XLOOKUP($Q871,'Threshold Summary'!$Y:$Y,'Threshold Summary'!$L:$L,""))/100)+5)*XLOOKUP(XLOOKUP($Q871,'Threshold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Editor'!$E:$E,1))),stab,IF(OR(mtype=XLOOKUP(XLOOKUP($Q871,'Threshold Summary'!$Y:$Y,'Threshold Summary'!$K:$K,""),'Pokemon Editor'!$A:$A,'Pokemon Editor'!$C:$C,""),mtype=XLOOKUP(XLOOKUP($Q871,'Threshold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Chart'!$B$1:$S$1,0)))),base,IF(OR(cat="Status",pow=0),0,FLOOR(FLOOR(FLOOR((2*XLOOKUP($Q871,'Threshold Summary'!$Y:$Y,'Threshold Summary'!$L:$L,"")/5+2)*pow*atk/def)/50)+2)),modifier,stab*eff,FLOOR(base*modifier)),0)</f>
        <v/>
      </c>
      <c r="L871" s="3">
        <f>IFERROR(LET(mtype,XLOOKUP($D871,'Move Editor'!$B:$B,'Move Editor'!$C:$C,""),cat,XLOOKUP($D871,'Move Editor'!$B:$B,'Move Editor'!$D:$D,""),pow,XLOOKUP($D871,'Move Editor'!$B:$B,'Move Editor'!$E:$E,0),acc,XLOOKUP($D871,'Move Editor'!$B:$B,'Move Editor'!$F:$F,100),atk,IF(cat="Physical",FLOOR((FLOOR(((2*XLOOKUP(XLOOKUP($Q871,'Threshold Summary'!$Y:$Y,'Threshold Summary'!$K:$K,""),'Pokemon Editor'!$A:$A,'Pokemon Editor'!$F:$F,0)+31+FLOOR(XLOOKUP($Q871,'Threshold Summary'!$Y:$Y,'Threshold Summary'!$P:$P,"")/4))*XLOOKUP($Q871,'Threshold Summary'!$Y:$Y,'Threshold Summary'!$L:$L,""))/100)+5)*XLOOKUP(XLOOKUP($Q871,'Threshold Summary'!$Y:$Y,'Threshold Summary'!$M:$M,""),'Nature Editor'!$A:$A,'Nature Editor'!$B:$B,1)),FLOOR((FLOOR(((2*XLOOKUP(XLOOKUP($Q871,'Threshold Summary'!$Y:$Y,'Threshold Summary'!$K:$K,""),'Pokemon Editor'!$A:$A,'Pokemon Editor'!$H:$H,0)+31+FLOOR(XLOOKUP($Q871,'Threshold Summary'!$Y:$Y,'Threshold Summary'!$R:$R,"")/4))*XLOOKUP($Q871,'Threshold Summary'!$Y:$Y,'Threshold Summary'!$L:$L,""))/100)+5)*XLOOKUP(XLOOKUP($Q871,'Threshold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Editor'!$E:$E,1))),stab,IF(OR(mtype=XLOOKUP(XLOOKUP($Q871,'Threshold Summary'!$Y:$Y,'Threshold Summary'!$K:$K,""),'Pokemon Editor'!$A:$A,'Pokemon Editor'!$C:$C,""),mtype=XLOOKUP(XLOOKUP($Q871,'Threshold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Chart'!$B$1:$S$1,0)))),base,IF(OR(cat="Status",pow=0),0,FLOOR(FLOOR(FLOOR((2*XLOOKUP($Q871,'Threshold Summary'!$Y:$Y,'Threshold Summary'!$L:$L,"")/5+2)*pow*atk/def)/50)+2)),modifier,stab*eff,AVERAGE(ARRAYFORMULA(FLOOR(base*modifier*SEQUENCE(16,1,85,1)/100)))),0)</f>
        <v/>
      </c>
      <c r="M871" s="3">
        <f>IFERROR(LET(mtype,XLOOKUP($D871,'Move Editor'!$B:$B,'Move Editor'!$C:$C,""),cat,XLOOKUP($D871,'Move Editor'!$B:$B,'Move Editor'!$D:$D,""),pow,XLOOKUP($D871,'Move Editor'!$B:$B,'Move Editor'!$E:$E,0),acc,XLOOKUP($D871,'Move Editor'!$B:$B,'Move Editor'!$F:$F,100),atk,IF(cat="Physical",FLOOR((FLOOR(((2*XLOOKUP(XLOOKUP($Q871,'Threshold Summary'!$Y:$Y,'Threshold Summary'!$K:$K,""),'Pokemon Editor'!$A:$A,'Pokemon Editor'!$F:$F,0)+31+FLOOR(XLOOKUP($Q871,'Threshold Summary'!$Y:$Y,'Threshold Summary'!$P:$P,"")/4))*XLOOKUP($Q871,'Threshold Summary'!$Y:$Y,'Threshold Summary'!$L:$L,""))/100)+5)*XLOOKUP(XLOOKUP($Q871,'Threshold Summary'!$Y:$Y,'Threshold Summary'!$M:$M,""),'Nature Editor'!$A:$A,'Nature Editor'!$B:$B,1)),FLOOR((FLOOR(((2*XLOOKUP(XLOOKUP($Q871,'Threshold Summary'!$Y:$Y,'Threshold Summary'!$K:$K,""),'Pokemon Editor'!$A:$A,'Pokemon Editor'!$H:$H,0)+31+FLOOR(XLOOKUP($Q871,'Threshold Summary'!$Y:$Y,'Threshold Summary'!$R:$R,"")/4))*XLOOKUP($Q871,'Threshold Summary'!$Y:$Y,'Threshold Summary'!$L:$L,""))/100)+5)*XLOOKUP(XLOOKUP($Q871,'Threshold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Editor'!$E:$E,1))),stab,IF(OR(mtype=XLOOKUP(XLOOKUP($Q871,'Threshold Summary'!$Y:$Y,'Threshold Summary'!$K:$K,""),'Pokemon Editor'!$A:$A,'Pokemon Editor'!$C:$C,""),mtype=XLOOKUP(XLOOKUP($Q871,'Threshold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Chart'!$B$1:$S$1,0)))),base,IF(OR(cat="Status",pow=0),0,FLOOR(FLOOR(FLOOR((2*XLOOKUP($Q871,'Threshold Summary'!$Y:$Y,'Threshold Summary'!$L:$L,"")/5+2)*pow*atk/def)/50)+2)),modifier,stab*eff,AVERAGE(ARRAYFORMULA(FLOOR(base*modifier*SEQUENCE(16,1,85,1)/100)))*MIN(1,acc/100)),0)</f>
        <v/>
      </c>
      <c r="N871" s="4">
        <f>IFERROR(LET(mtype,XLOOKUP($D871,'Move Editor'!$B:$B,'Move Editor'!$C:$C,""),cat,XLOOKUP($D871,'Move Editor'!$B:$B,'Move Editor'!$D:$D,""),pow,XLOOKUP($D871,'Move Editor'!$B:$B,'Move Editor'!$E:$E,0),acc,XLOOKUP($D871,'Move Editor'!$B:$B,'Move Editor'!$F:$F,100),atk,IF(cat="Physical",FLOOR((FLOOR(((2*XLOOKUP(XLOOKUP($Q871,'Threshold Summary'!$Y:$Y,'Threshold Summary'!$K:$K,""),'Pokemon Editor'!$A:$A,'Pokemon Editor'!$F:$F,0)+31+FLOOR(XLOOKUP($Q871,'Threshold Summary'!$Y:$Y,'Threshold Summary'!$P:$P,"")/4))*XLOOKUP($Q871,'Threshold Summary'!$Y:$Y,'Threshold Summary'!$L:$L,""))/100)+5)*XLOOKUP(XLOOKUP($Q871,'Threshold Summary'!$Y:$Y,'Threshold Summary'!$M:$M,""),'Nature Editor'!$A:$A,'Nature Editor'!$B:$B,1)),FLOOR((FLOOR(((2*XLOOKUP(XLOOKUP($Q871,'Threshold Summary'!$Y:$Y,'Threshold Summary'!$K:$K,""),'Pokemon Editor'!$A:$A,'Pokemon Editor'!$H:$H,0)+31+FLOOR(XLOOKUP($Q871,'Threshold Summary'!$Y:$Y,'Threshold Summary'!$R:$R,"")/4))*XLOOKUP($Q871,'Threshold Summary'!$Y:$Y,'Threshold Summary'!$L:$L,""))/100)+5)*XLOOKUP(XLOOKUP($Q871,'Threshold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Editor'!$E:$E,1))),stab,IF(OR(mtype=XLOOKUP(XLOOKUP($Q871,'Threshold Summary'!$Y:$Y,'Threshold Summary'!$K:$K,""),'Pokemon Editor'!$A:$A,'Pokemon Editor'!$C:$C,""),mtype=XLOOKUP(XLOOKUP($Q871,'Threshold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Chart'!$B$1:$S$1,0)))),base,IF(OR(cat="Status",pow=0),0,FLOOR(FLOOR(FLOOR((2*XLOOKUP($Q871,'Threshold Summary'!$Y:$Y,'Threshold Summary'!$L:$L,"")/5+2)*pow*atk/def)/50)+2)),modifier,stab*eff,AVERAGE(ARRAYFORMULA(FLOOR(base*modifier*SEQUENCE(16,1,85,1)/100)))/(FLOOR(((2*XLOOKUP('Boss Editor'!$C$4,'Pokemon Editor'!$A:$A,'Pokemon Editor'!$E:$E,0)+31+FLOOR('Boss Editor'!$G$4/4))*'Boss Editor'!$D$4)/100)+'Boss Editor'!$D$4+10)),0)</f>
        <v/>
      </c>
      <c r="O871" s="3">
        <f>IF(N871&gt;=1,"OHKO",IF(N871&gt;=0.5,"2HKO",IF(N871&gt;=0.333,"3HKO",IF(N871&gt;=0.25,"4HKO","5HKO+"))))</f>
        <v/>
      </c>
      <c r="P871" s="3" t="inlineStr">
        <is>
          <t>Live from editable databases</t>
        </is>
      </c>
      <c r="Q871" s="3" t="inlineStr">
        <is>
          <t>SPECIES_NYMBLE</t>
        </is>
      </c>
      <c r="R871" s="3" t="n">
        <v>6</v>
      </c>
    </row>
    <row r="872">
      <c r="A872" s="3">
        <f>XLOOKUP($Q872,'Threshold Summary'!$Y:$Y,'Threshold Summary'!$A:$A,"")</f>
        <v/>
      </c>
      <c r="B872" s="3">
        <f>XLOOKUP($Q872,'Threshold Summary'!$Y:$Y,'Threshold Summary'!$M:$M,"")</f>
        <v/>
      </c>
      <c r="C872" s="3">
        <f>XLOOKUP($Q872,'Threshold Summary'!$Y:$Y,'Threshold Summary'!$N:$N,"")</f>
        <v/>
      </c>
      <c r="D872" s="3">
        <f>IFERROR(INDEX(FILTER('Learnset Editor'!$D$2:$D,'Learnset Editor'!$A$2:$A=XLOOKUP($Q872,'Threshold Summary'!$Y:$Y,'Threshold Summary'!$K:$K,""),'Learnset Editor'!$C$2:$C&lt;=XLOOKUP($Q872,'Threshold Summary'!$Y:$Y,'Threshold Summary'!$L:$L,"")),$R872),"")</f>
        <v/>
      </c>
      <c r="E872" s="3">
        <f>XLOOKUP(D872,'Move Editor'!$B:$B,'Move Editor'!$C:$C,"")</f>
        <v/>
      </c>
      <c r="F872" s="3">
        <f>XLOOKUP(D872,'Move Editor'!$B:$B,'Move Editor'!$D:$D,"")</f>
        <v/>
      </c>
      <c r="G872" s="3">
        <f>XLOOKUP(D872,'Move Editor'!$B:$B,'Move Editor'!$E:$E,0)</f>
        <v/>
      </c>
      <c r="H872" s="3">
        <f>XLOOKUP(D872,'Move Editor'!$B:$B,'Move Editor'!$F:$F,0)</f>
        <v/>
      </c>
      <c r="I872" s="3">
        <f>(INDEX('Type Chart'!$B:$S,MATCH(E872,'Type Chart'!$A:$A,0),MATCH(XLOOKUP('Boss Editor'!$C$4,'Pokemon Editor'!$A:$A,'Pokemon Editor'!$C:$C,""),'Type Chart'!$B$1:$S$1,0))*IF(XLOOKUP('Boss Editor'!$C$4,'Pokemon Editor'!$A:$A,'Pokemon Editor'!$D:$D,"")="",1,INDEX('Type Chart'!$B:$S,MATCH(E872,'Type Chart'!$A:$A,0),MATCH(XLOOKUP('Boss Editor'!$C$4,'Pokemon Editor'!$A:$A,'Pokemon Editor'!$D:$D,""),'Type Chart'!$B$1:$S$1,0))))</f>
        <v/>
      </c>
      <c r="J872" s="3">
        <f>IFERROR(LET(mtype,XLOOKUP($D872,'Move Editor'!$B:$B,'Move Editor'!$C:$C,""),cat,XLOOKUP($D872,'Move Editor'!$B:$B,'Move Editor'!$D:$D,""),pow,XLOOKUP($D872,'Move Editor'!$B:$B,'Move Editor'!$E:$E,0),acc,XLOOKUP($D872,'Move Editor'!$B:$B,'Move Editor'!$F:$F,100),atk,IF(cat="Physical",FLOOR((FLOOR(((2*XLOOKUP(XLOOKUP($Q872,'Threshold Summary'!$Y:$Y,'Threshold Summary'!$K:$K,""),'Pokemon Editor'!$A:$A,'Pokemon Editor'!$F:$F,0)+31+FLOOR(XLOOKUP($Q872,'Threshold Summary'!$Y:$Y,'Threshold Summary'!$P:$P,"")/4))*XLOOKUP($Q872,'Threshold Summary'!$Y:$Y,'Threshold Summary'!$L:$L,""))/100)+5)*XLOOKUP(XLOOKUP($Q872,'Threshold Summary'!$Y:$Y,'Threshold Summary'!$M:$M,""),'Nature Editor'!$A:$A,'Nature Editor'!$B:$B,1)),FLOOR((FLOOR(((2*XLOOKUP(XLOOKUP($Q872,'Threshold Summary'!$Y:$Y,'Threshold Summary'!$K:$K,""),'Pokemon Editor'!$A:$A,'Pokemon Editor'!$H:$H,0)+31+FLOOR(XLOOKUP($Q872,'Threshold Summary'!$Y:$Y,'Threshold Summary'!$R:$R,"")/4))*XLOOKUP($Q872,'Threshold Summary'!$Y:$Y,'Threshold Summary'!$L:$L,""))/100)+5)*XLOOKUP(XLOOKUP($Q872,'Threshold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Editor'!$E:$E,1))),stab,IF(OR(mtype=XLOOKUP(XLOOKUP($Q872,'Threshold Summary'!$Y:$Y,'Threshold Summary'!$K:$K,""),'Pokemon Editor'!$A:$A,'Pokemon Editor'!$C:$C,""),mtype=XLOOKUP(XLOOKUP($Q872,'Threshold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Chart'!$B$1:$S$1,0)))),base,IF(OR(cat="Status",pow=0),0,FLOOR(FLOOR(FLOOR((2*XLOOKUP($Q872,'Threshold Summary'!$Y:$Y,'Threshold Summary'!$L:$L,"")/5+2)*pow*atk/def)/50)+2)),modifier,stab*eff,FLOOR(base*modifier*0.85)),0)</f>
        <v/>
      </c>
      <c r="K872" s="3">
        <f>IFERROR(LET(mtype,XLOOKUP($D872,'Move Editor'!$B:$B,'Move Editor'!$C:$C,""),cat,XLOOKUP($D872,'Move Editor'!$B:$B,'Move Editor'!$D:$D,""),pow,XLOOKUP($D872,'Move Editor'!$B:$B,'Move Editor'!$E:$E,0),acc,XLOOKUP($D872,'Move Editor'!$B:$B,'Move Editor'!$F:$F,100),atk,IF(cat="Physical",FLOOR((FLOOR(((2*XLOOKUP(XLOOKUP($Q872,'Threshold Summary'!$Y:$Y,'Threshold Summary'!$K:$K,""),'Pokemon Editor'!$A:$A,'Pokemon Editor'!$F:$F,0)+31+FLOOR(XLOOKUP($Q872,'Threshold Summary'!$Y:$Y,'Threshold Summary'!$P:$P,"")/4))*XLOOKUP($Q872,'Threshold Summary'!$Y:$Y,'Threshold Summary'!$L:$L,""))/100)+5)*XLOOKUP(XLOOKUP($Q872,'Threshold Summary'!$Y:$Y,'Threshold Summary'!$M:$M,""),'Nature Editor'!$A:$A,'Nature Editor'!$B:$B,1)),FLOOR((FLOOR(((2*XLOOKUP(XLOOKUP($Q872,'Threshold Summary'!$Y:$Y,'Threshold Summary'!$K:$K,""),'Pokemon Editor'!$A:$A,'Pokemon Editor'!$H:$H,0)+31+FLOOR(XLOOKUP($Q872,'Threshold Summary'!$Y:$Y,'Threshold Summary'!$R:$R,"")/4))*XLOOKUP($Q872,'Threshold Summary'!$Y:$Y,'Threshold Summary'!$L:$L,""))/100)+5)*XLOOKUP(XLOOKUP($Q872,'Threshold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Editor'!$E:$E,1))),stab,IF(OR(mtype=XLOOKUP(XLOOKUP($Q872,'Threshold Summary'!$Y:$Y,'Threshold Summary'!$K:$K,""),'Pokemon Editor'!$A:$A,'Pokemon Editor'!$C:$C,""),mtype=XLOOKUP(XLOOKUP($Q872,'Threshold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Chart'!$B$1:$S$1,0)))),base,IF(OR(cat="Status",pow=0),0,FLOOR(FLOOR(FLOOR((2*XLOOKUP($Q872,'Threshold Summary'!$Y:$Y,'Threshold Summary'!$L:$L,"")/5+2)*pow*atk/def)/50)+2)),modifier,stab*eff,FLOOR(base*modifier)),0)</f>
        <v/>
      </c>
      <c r="L872" s="3">
        <f>IFERROR(LET(mtype,XLOOKUP($D872,'Move Editor'!$B:$B,'Move Editor'!$C:$C,""),cat,XLOOKUP($D872,'Move Editor'!$B:$B,'Move Editor'!$D:$D,""),pow,XLOOKUP($D872,'Move Editor'!$B:$B,'Move Editor'!$E:$E,0),acc,XLOOKUP($D872,'Move Editor'!$B:$B,'Move Editor'!$F:$F,100),atk,IF(cat="Physical",FLOOR((FLOOR(((2*XLOOKUP(XLOOKUP($Q872,'Threshold Summary'!$Y:$Y,'Threshold Summary'!$K:$K,""),'Pokemon Editor'!$A:$A,'Pokemon Editor'!$F:$F,0)+31+FLOOR(XLOOKUP($Q872,'Threshold Summary'!$Y:$Y,'Threshold Summary'!$P:$P,"")/4))*XLOOKUP($Q872,'Threshold Summary'!$Y:$Y,'Threshold Summary'!$L:$L,""))/100)+5)*XLOOKUP(XLOOKUP($Q872,'Threshold Summary'!$Y:$Y,'Threshold Summary'!$M:$M,""),'Nature Editor'!$A:$A,'Nature Editor'!$B:$B,1)),FLOOR((FLOOR(((2*XLOOKUP(XLOOKUP($Q872,'Threshold Summary'!$Y:$Y,'Threshold Summary'!$K:$K,""),'Pokemon Editor'!$A:$A,'Pokemon Editor'!$H:$H,0)+31+FLOOR(XLOOKUP($Q872,'Threshold Summary'!$Y:$Y,'Threshold Summary'!$R:$R,"")/4))*XLOOKUP($Q872,'Threshold Summary'!$Y:$Y,'Threshold Summary'!$L:$L,""))/100)+5)*XLOOKUP(XLOOKUP($Q872,'Threshold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Editor'!$E:$E,1))),stab,IF(OR(mtype=XLOOKUP(XLOOKUP($Q872,'Threshold Summary'!$Y:$Y,'Threshold Summary'!$K:$K,""),'Pokemon Editor'!$A:$A,'Pokemon Editor'!$C:$C,""),mtype=XLOOKUP(XLOOKUP($Q872,'Threshold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Chart'!$B$1:$S$1,0)))),base,IF(OR(cat="Status",pow=0),0,FLOOR(FLOOR(FLOOR((2*XLOOKUP($Q872,'Threshold Summary'!$Y:$Y,'Threshold Summary'!$L:$L,"")/5+2)*pow*atk/def)/50)+2)),modifier,stab*eff,AVERAGE(ARRAYFORMULA(FLOOR(base*modifier*SEQUENCE(16,1,85,1)/100)))),0)</f>
        <v/>
      </c>
      <c r="M872" s="3">
        <f>IFERROR(LET(mtype,XLOOKUP($D872,'Move Editor'!$B:$B,'Move Editor'!$C:$C,""),cat,XLOOKUP($D872,'Move Editor'!$B:$B,'Move Editor'!$D:$D,""),pow,XLOOKUP($D872,'Move Editor'!$B:$B,'Move Editor'!$E:$E,0),acc,XLOOKUP($D872,'Move Editor'!$B:$B,'Move Editor'!$F:$F,100),atk,IF(cat="Physical",FLOOR((FLOOR(((2*XLOOKUP(XLOOKUP($Q872,'Threshold Summary'!$Y:$Y,'Threshold Summary'!$K:$K,""),'Pokemon Editor'!$A:$A,'Pokemon Editor'!$F:$F,0)+31+FLOOR(XLOOKUP($Q872,'Threshold Summary'!$Y:$Y,'Threshold Summary'!$P:$P,"")/4))*XLOOKUP($Q872,'Threshold Summary'!$Y:$Y,'Threshold Summary'!$L:$L,""))/100)+5)*XLOOKUP(XLOOKUP($Q872,'Threshold Summary'!$Y:$Y,'Threshold Summary'!$M:$M,""),'Nature Editor'!$A:$A,'Nature Editor'!$B:$B,1)),FLOOR((FLOOR(((2*XLOOKUP(XLOOKUP($Q872,'Threshold Summary'!$Y:$Y,'Threshold Summary'!$K:$K,""),'Pokemon Editor'!$A:$A,'Pokemon Editor'!$H:$H,0)+31+FLOOR(XLOOKUP($Q872,'Threshold Summary'!$Y:$Y,'Threshold Summary'!$R:$R,"")/4))*XLOOKUP($Q872,'Threshold Summary'!$Y:$Y,'Threshold Summary'!$L:$L,""))/100)+5)*XLOOKUP(XLOOKUP($Q872,'Threshold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Editor'!$E:$E,1))),stab,IF(OR(mtype=XLOOKUP(XLOOKUP($Q872,'Threshold Summary'!$Y:$Y,'Threshold Summary'!$K:$K,""),'Pokemon Editor'!$A:$A,'Pokemon Editor'!$C:$C,""),mtype=XLOOKUP(XLOOKUP($Q872,'Threshold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Chart'!$B$1:$S$1,0)))),base,IF(OR(cat="Status",pow=0),0,FLOOR(FLOOR(FLOOR((2*XLOOKUP($Q872,'Threshold Summary'!$Y:$Y,'Threshold Summary'!$L:$L,"")/5+2)*pow*atk/def)/50)+2)),modifier,stab*eff,AVERAGE(ARRAYFORMULA(FLOOR(base*modifier*SEQUENCE(16,1,85,1)/100)))*MIN(1,acc/100)),0)</f>
        <v/>
      </c>
      <c r="N872" s="4">
        <f>IFERROR(LET(mtype,XLOOKUP($D872,'Move Editor'!$B:$B,'Move Editor'!$C:$C,""),cat,XLOOKUP($D872,'Move Editor'!$B:$B,'Move Editor'!$D:$D,""),pow,XLOOKUP($D872,'Move Editor'!$B:$B,'Move Editor'!$E:$E,0),acc,XLOOKUP($D872,'Move Editor'!$B:$B,'Move Editor'!$F:$F,100),atk,IF(cat="Physical",FLOOR((FLOOR(((2*XLOOKUP(XLOOKUP($Q872,'Threshold Summary'!$Y:$Y,'Threshold Summary'!$K:$K,""),'Pokemon Editor'!$A:$A,'Pokemon Editor'!$F:$F,0)+31+FLOOR(XLOOKUP($Q872,'Threshold Summary'!$Y:$Y,'Threshold Summary'!$P:$P,"")/4))*XLOOKUP($Q872,'Threshold Summary'!$Y:$Y,'Threshold Summary'!$L:$L,""))/100)+5)*XLOOKUP(XLOOKUP($Q872,'Threshold Summary'!$Y:$Y,'Threshold Summary'!$M:$M,""),'Nature Editor'!$A:$A,'Nature Editor'!$B:$B,1)),FLOOR((FLOOR(((2*XLOOKUP(XLOOKUP($Q872,'Threshold Summary'!$Y:$Y,'Threshold Summary'!$K:$K,""),'Pokemon Editor'!$A:$A,'Pokemon Editor'!$H:$H,0)+31+FLOOR(XLOOKUP($Q872,'Threshold Summary'!$Y:$Y,'Threshold Summary'!$R:$R,"")/4))*XLOOKUP($Q872,'Threshold Summary'!$Y:$Y,'Threshold Summary'!$L:$L,""))/100)+5)*XLOOKUP(XLOOKUP($Q872,'Threshold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Editor'!$E:$E,1))),stab,IF(OR(mtype=XLOOKUP(XLOOKUP($Q872,'Threshold Summary'!$Y:$Y,'Threshold Summary'!$K:$K,""),'Pokemon Editor'!$A:$A,'Pokemon Editor'!$C:$C,""),mtype=XLOOKUP(XLOOKUP($Q872,'Threshold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Chart'!$B$1:$S$1,0)))),base,IF(OR(cat="Status",pow=0),0,FLOOR(FLOOR(FLOOR((2*XLOOKUP($Q872,'Threshold Summary'!$Y:$Y,'Threshold Summary'!$L:$L,"")/5+2)*pow*atk/def)/50)+2)),modifier,stab*eff,AVERAGE(ARRAYFORMULA(FLOOR(base*modifier*SEQUENCE(16,1,85,1)/100)))/(FLOOR(((2*XLOOKUP('Boss Editor'!$C$4,'Pokemon Editor'!$A:$A,'Pokemon Editor'!$E:$E,0)+31+FLOOR('Boss Editor'!$G$4/4))*'Boss Editor'!$D$4)/100)+'Boss Editor'!$D$4+10)),0)</f>
        <v/>
      </c>
      <c r="O872" s="3">
        <f>IF(N872&gt;=1,"OHKO",IF(N872&gt;=0.5,"2HKO",IF(N872&gt;=0.333,"3HKO",IF(N872&gt;=0.25,"4HKO","5HKO+"))))</f>
        <v/>
      </c>
      <c r="P872" s="3" t="inlineStr">
        <is>
          <t>Live from editable databases</t>
        </is>
      </c>
      <c r="Q872" s="3" t="inlineStr">
        <is>
          <t>SPECIES_NYMBLE</t>
        </is>
      </c>
      <c r="R872" s="3" t="n">
        <v>7</v>
      </c>
    </row>
    <row r="873">
      <c r="A873" s="3">
        <f>XLOOKUP($Q873,'Threshold Summary'!$Y:$Y,'Threshold Summary'!$A:$A,"")</f>
        <v/>
      </c>
      <c r="B873" s="3">
        <f>XLOOKUP($Q873,'Threshold Summary'!$Y:$Y,'Threshold Summary'!$M:$M,"")</f>
        <v/>
      </c>
      <c r="C873" s="3">
        <f>XLOOKUP($Q873,'Threshold Summary'!$Y:$Y,'Threshold Summary'!$N:$N,"")</f>
        <v/>
      </c>
      <c r="D873" s="3">
        <f>IFERROR(INDEX(FILTER('Learnset Editor'!$D$2:$D,'Learnset Editor'!$A$2:$A=XLOOKUP($Q873,'Threshold Summary'!$Y:$Y,'Threshold Summary'!$K:$K,""),'Learnset Editor'!$C$2:$C&lt;=XLOOKUP($Q873,'Threshold Summary'!$Y:$Y,'Threshold Summary'!$L:$L,"")),$R873),"")</f>
        <v/>
      </c>
      <c r="E873" s="3">
        <f>XLOOKUP(D873,'Move Editor'!$B:$B,'Move Editor'!$C:$C,"")</f>
        <v/>
      </c>
      <c r="F873" s="3">
        <f>XLOOKUP(D873,'Move Editor'!$B:$B,'Move Editor'!$D:$D,"")</f>
        <v/>
      </c>
      <c r="G873" s="3">
        <f>XLOOKUP(D873,'Move Editor'!$B:$B,'Move Editor'!$E:$E,0)</f>
        <v/>
      </c>
      <c r="H873" s="3">
        <f>XLOOKUP(D873,'Move Editor'!$B:$B,'Move Editor'!$F:$F,0)</f>
        <v/>
      </c>
      <c r="I873" s="3">
        <f>(INDEX('Type Chart'!$B:$S,MATCH(E873,'Type Chart'!$A:$A,0),MATCH(XLOOKUP('Boss Editor'!$C$4,'Pokemon Editor'!$A:$A,'Pokemon Editor'!$C:$C,""),'Type Chart'!$B$1:$S$1,0))*IF(XLOOKUP('Boss Editor'!$C$4,'Pokemon Editor'!$A:$A,'Pokemon Editor'!$D:$D,"")="",1,INDEX('Type Chart'!$B:$S,MATCH(E873,'Type Chart'!$A:$A,0),MATCH(XLOOKUP('Boss Editor'!$C$4,'Pokemon Editor'!$A:$A,'Pokemon Editor'!$D:$D,""),'Type Chart'!$B$1:$S$1,0))))</f>
        <v/>
      </c>
      <c r="J873" s="3">
        <f>IFERROR(LET(mtype,XLOOKUP($D873,'Move Editor'!$B:$B,'Move Editor'!$C:$C,""),cat,XLOOKUP($D873,'Move Editor'!$B:$B,'Move Editor'!$D:$D,""),pow,XLOOKUP($D873,'Move Editor'!$B:$B,'Move Editor'!$E:$E,0),acc,XLOOKUP($D873,'Move Editor'!$B:$B,'Move Editor'!$F:$F,100),atk,IF(cat="Physical",FLOOR((FLOOR(((2*XLOOKUP(XLOOKUP($Q873,'Threshold Summary'!$Y:$Y,'Threshold Summary'!$K:$K,""),'Pokemon Editor'!$A:$A,'Pokemon Editor'!$F:$F,0)+31+FLOOR(XLOOKUP($Q873,'Threshold Summary'!$Y:$Y,'Threshold Summary'!$P:$P,"")/4))*XLOOKUP($Q873,'Threshold Summary'!$Y:$Y,'Threshold Summary'!$L:$L,""))/100)+5)*XLOOKUP(XLOOKUP($Q873,'Threshold Summary'!$Y:$Y,'Threshold Summary'!$M:$M,""),'Nature Editor'!$A:$A,'Nature Editor'!$B:$B,1)),FLOOR((FLOOR(((2*XLOOKUP(XLOOKUP($Q873,'Threshold Summary'!$Y:$Y,'Threshold Summary'!$K:$K,""),'Pokemon Editor'!$A:$A,'Pokemon Editor'!$H:$H,0)+31+FLOOR(XLOOKUP($Q873,'Threshold Summary'!$Y:$Y,'Threshold Summary'!$R:$R,"")/4))*XLOOKUP($Q873,'Threshold Summary'!$Y:$Y,'Threshold Summary'!$L:$L,""))/100)+5)*XLOOKUP(XLOOKUP($Q873,'Threshold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Editor'!$E:$E,1))),stab,IF(OR(mtype=XLOOKUP(XLOOKUP($Q873,'Threshold Summary'!$Y:$Y,'Threshold Summary'!$K:$K,""),'Pokemon Editor'!$A:$A,'Pokemon Editor'!$C:$C,""),mtype=XLOOKUP(XLOOKUP($Q873,'Threshold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Chart'!$B$1:$S$1,0)))),base,IF(OR(cat="Status",pow=0),0,FLOOR(FLOOR(FLOOR((2*XLOOKUP($Q873,'Threshold Summary'!$Y:$Y,'Threshold Summary'!$L:$L,"")/5+2)*pow*atk/def)/50)+2)),modifier,stab*eff,FLOOR(base*modifier*0.85)),0)</f>
        <v/>
      </c>
      <c r="K873" s="3">
        <f>IFERROR(LET(mtype,XLOOKUP($D873,'Move Editor'!$B:$B,'Move Editor'!$C:$C,""),cat,XLOOKUP($D873,'Move Editor'!$B:$B,'Move Editor'!$D:$D,""),pow,XLOOKUP($D873,'Move Editor'!$B:$B,'Move Editor'!$E:$E,0),acc,XLOOKUP($D873,'Move Editor'!$B:$B,'Move Editor'!$F:$F,100),atk,IF(cat="Physical",FLOOR((FLOOR(((2*XLOOKUP(XLOOKUP($Q873,'Threshold Summary'!$Y:$Y,'Threshold Summary'!$K:$K,""),'Pokemon Editor'!$A:$A,'Pokemon Editor'!$F:$F,0)+31+FLOOR(XLOOKUP($Q873,'Threshold Summary'!$Y:$Y,'Threshold Summary'!$P:$P,"")/4))*XLOOKUP($Q873,'Threshold Summary'!$Y:$Y,'Threshold Summary'!$L:$L,""))/100)+5)*XLOOKUP(XLOOKUP($Q873,'Threshold Summary'!$Y:$Y,'Threshold Summary'!$M:$M,""),'Nature Editor'!$A:$A,'Nature Editor'!$B:$B,1)),FLOOR((FLOOR(((2*XLOOKUP(XLOOKUP($Q873,'Threshold Summary'!$Y:$Y,'Threshold Summary'!$K:$K,""),'Pokemon Editor'!$A:$A,'Pokemon Editor'!$H:$H,0)+31+FLOOR(XLOOKUP($Q873,'Threshold Summary'!$Y:$Y,'Threshold Summary'!$R:$R,"")/4))*XLOOKUP($Q873,'Threshold Summary'!$Y:$Y,'Threshold Summary'!$L:$L,""))/100)+5)*XLOOKUP(XLOOKUP($Q873,'Threshold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Editor'!$E:$E,1))),stab,IF(OR(mtype=XLOOKUP(XLOOKUP($Q873,'Threshold Summary'!$Y:$Y,'Threshold Summary'!$K:$K,""),'Pokemon Editor'!$A:$A,'Pokemon Editor'!$C:$C,""),mtype=XLOOKUP(XLOOKUP($Q873,'Threshold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Chart'!$B$1:$S$1,0)))),base,IF(OR(cat="Status",pow=0),0,FLOOR(FLOOR(FLOOR((2*XLOOKUP($Q873,'Threshold Summary'!$Y:$Y,'Threshold Summary'!$L:$L,"")/5+2)*pow*atk/def)/50)+2)),modifier,stab*eff,FLOOR(base*modifier)),0)</f>
        <v/>
      </c>
      <c r="L873" s="3">
        <f>IFERROR(LET(mtype,XLOOKUP($D873,'Move Editor'!$B:$B,'Move Editor'!$C:$C,""),cat,XLOOKUP($D873,'Move Editor'!$B:$B,'Move Editor'!$D:$D,""),pow,XLOOKUP($D873,'Move Editor'!$B:$B,'Move Editor'!$E:$E,0),acc,XLOOKUP($D873,'Move Editor'!$B:$B,'Move Editor'!$F:$F,100),atk,IF(cat="Physical",FLOOR((FLOOR(((2*XLOOKUP(XLOOKUP($Q873,'Threshold Summary'!$Y:$Y,'Threshold Summary'!$K:$K,""),'Pokemon Editor'!$A:$A,'Pokemon Editor'!$F:$F,0)+31+FLOOR(XLOOKUP($Q873,'Threshold Summary'!$Y:$Y,'Threshold Summary'!$P:$P,"")/4))*XLOOKUP($Q873,'Threshold Summary'!$Y:$Y,'Threshold Summary'!$L:$L,""))/100)+5)*XLOOKUP(XLOOKUP($Q873,'Threshold Summary'!$Y:$Y,'Threshold Summary'!$M:$M,""),'Nature Editor'!$A:$A,'Nature Editor'!$B:$B,1)),FLOOR((FLOOR(((2*XLOOKUP(XLOOKUP($Q873,'Threshold Summary'!$Y:$Y,'Threshold Summary'!$K:$K,""),'Pokemon Editor'!$A:$A,'Pokemon Editor'!$H:$H,0)+31+FLOOR(XLOOKUP($Q873,'Threshold Summary'!$Y:$Y,'Threshold Summary'!$R:$R,"")/4))*XLOOKUP($Q873,'Threshold Summary'!$Y:$Y,'Threshold Summary'!$L:$L,""))/100)+5)*XLOOKUP(XLOOKUP($Q873,'Threshold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Editor'!$E:$E,1))),stab,IF(OR(mtype=XLOOKUP(XLOOKUP($Q873,'Threshold Summary'!$Y:$Y,'Threshold Summary'!$K:$K,""),'Pokemon Editor'!$A:$A,'Pokemon Editor'!$C:$C,""),mtype=XLOOKUP(XLOOKUP($Q873,'Threshold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Chart'!$B$1:$S$1,0)))),base,IF(OR(cat="Status",pow=0),0,FLOOR(FLOOR(FLOOR((2*XLOOKUP($Q873,'Threshold Summary'!$Y:$Y,'Threshold Summary'!$L:$L,"")/5+2)*pow*atk/def)/50)+2)),modifier,stab*eff,AVERAGE(ARRAYFORMULA(FLOOR(base*modifier*SEQUENCE(16,1,85,1)/100)))),0)</f>
        <v/>
      </c>
      <c r="M873" s="3">
        <f>IFERROR(LET(mtype,XLOOKUP($D873,'Move Editor'!$B:$B,'Move Editor'!$C:$C,""),cat,XLOOKUP($D873,'Move Editor'!$B:$B,'Move Editor'!$D:$D,""),pow,XLOOKUP($D873,'Move Editor'!$B:$B,'Move Editor'!$E:$E,0),acc,XLOOKUP($D873,'Move Editor'!$B:$B,'Move Editor'!$F:$F,100),atk,IF(cat="Physical",FLOOR((FLOOR(((2*XLOOKUP(XLOOKUP($Q873,'Threshold Summary'!$Y:$Y,'Threshold Summary'!$K:$K,""),'Pokemon Editor'!$A:$A,'Pokemon Editor'!$F:$F,0)+31+FLOOR(XLOOKUP($Q873,'Threshold Summary'!$Y:$Y,'Threshold Summary'!$P:$P,"")/4))*XLOOKUP($Q873,'Threshold Summary'!$Y:$Y,'Threshold Summary'!$L:$L,""))/100)+5)*XLOOKUP(XLOOKUP($Q873,'Threshold Summary'!$Y:$Y,'Threshold Summary'!$M:$M,""),'Nature Editor'!$A:$A,'Nature Editor'!$B:$B,1)),FLOOR((FLOOR(((2*XLOOKUP(XLOOKUP($Q873,'Threshold Summary'!$Y:$Y,'Threshold Summary'!$K:$K,""),'Pokemon Editor'!$A:$A,'Pokemon Editor'!$H:$H,0)+31+FLOOR(XLOOKUP($Q873,'Threshold Summary'!$Y:$Y,'Threshold Summary'!$R:$R,"")/4))*XLOOKUP($Q873,'Threshold Summary'!$Y:$Y,'Threshold Summary'!$L:$L,""))/100)+5)*XLOOKUP(XLOOKUP($Q873,'Threshold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Editor'!$E:$E,1))),stab,IF(OR(mtype=XLOOKUP(XLOOKUP($Q873,'Threshold Summary'!$Y:$Y,'Threshold Summary'!$K:$K,""),'Pokemon Editor'!$A:$A,'Pokemon Editor'!$C:$C,""),mtype=XLOOKUP(XLOOKUP($Q873,'Threshold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Chart'!$B$1:$S$1,0)))),base,IF(OR(cat="Status",pow=0),0,FLOOR(FLOOR(FLOOR((2*XLOOKUP($Q873,'Threshold Summary'!$Y:$Y,'Threshold Summary'!$L:$L,"")/5+2)*pow*atk/def)/50)+2)),modifier,stab*eff,AVERAGE(ARRAYFORMULA(FLOOR(base*modifier*SEQUENCE(16,1,85,1)/100)))*MIN(1,acc/100)),0)</f>
        <v/>
      </c>
      <c r="N873" s="4">
        <f>IFERROR(LET(mtype,XLOOKUP($D873,'Move Editor'!$B:$B,'Move Editor'!$C:$C,""),cat,XLOOKUP($D873,'Move Editor'!$B:$B,'Move Editor'!$D:$D,""),pow,XLOOKUP($D873,'Move Editor'!$B:$B,'Move Editor'!$E:$E,0),acc,XLOOKUP($D873,'Move Editor'!$B:$B,'Move Editor'!$F:$F,100),atk,IF(cat="Physical",FLOOR((FLOOR(((2*XLOOKUP(XLOOKUP($Q873,'Threshold Summary'!$Y:$Y,'Threshold Summary'!$K:$K,""),'Pokemon Editor'!$A:$A,'Pokemon Editor'!$F:$F,0)+31+FLOOR(XLOOKUP($Q873,'Threshold Summary'!$Y:$Y,'Threshold Summary'!$P:$P,"")/4))*XLOOKUP($Q873,'Threshold Summary'!$Y:$Y,'Threshold Summary'!$L:$L,""))/100)+5)*XLOOKUP(XLOOKUP($Q873,'Threshold Summary'!$Y:$Y,'Threshold Summary'!$M:$M,""),'Nature Editor'!$A:$A,'Nature Editor'!$B:$B,1)),FLOOR((FLOOR(((2*XLOOKUP(XLOOKUP($Q873,'Threshold Summary'!$Y:$Y,'Threshold Summary'!$K:$K,""),'Pokemon Editor'!$A:$A,'Pokemon Editor'!$H:$H,0)+31+FLOOR(XLOOKUP($Q873,'Threshold Summary'!$Y:$Y,'Threshold Summary'!$R:$R,"")/4))*XLOOKUP($Q873,'Threshold Summary'!$Y:$Y,'Threshold Summary'!$L:$L,""))/100)+5)*XLOOKUP(XLOOKUP($Q873,'Threshold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Editor'!$E:$E,1))),stab,IF(OR(mtype=XLOOKUP(XLOOKUP($Q873,'Threshold Summary'!$Y:$Y,'Threshold Summary'!$K:$K,""),'Pokemon Editor'!$A:$A,'Pokemon Editor'!$C:$C,""),mtype=XLOOKUP(XLOOKUP($Q873,'Threshold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Chart'!$B$1:$S$1,0)))),base,IF(OR(cat="Status",pow=0),0,FLOOR(FLOOR(FLOOR((2*XLOOKUP($Q873,'Threshold Summary'!$Y:$Y,'Threshold Summary'!$L:$L,"")/5+2)*pow*atk/def)/50)+2)),modifier,stab*eff,AVERAGE(ARRAYFORMULA(FLOOR(base*modifier*SEQUENCE(16,1,85,1)/100)))/(FLOOR(((2*XLOOKUP('Boss Editor'!$C$4,'Pokemon Editor'!$A:$A,'Pokemon Editor'!$E:$E,0)+31+FLOOR('Boss Editor'!$G$4/4))*'Boss Editor'!$D$4)/100)+'Boss Editor'!$D$4+10)),0)</f>
        <v/>
      </c>
      <c r="O873" s="3">
        <f>IF(N873&gt;=1,"OHKO",IF(N873&gt;=0.5,"2HKO",IF(N873&gt;=0.333,"3HKO",IF(N873&gt;=0.25,"4HKO","5HKO+"))))</f>
        <v/>
      </c>
      <c r="P873" s="3" t="inlineStr">
        <is>
          <t>Live from editable databases</t>
        </is>
      </c>
      <c r="Q873" s="3" t="inlineStr">
        <is>
          <t>SPECIES_NYMBLE</t>
        </is>
      </c>
      <c r="R873" s="3" t="n">
        <v>8</v>
      </c>
    </row>
    <row r="874">
      <c r="A874" s="3">
        <f>XLOOKUP($Q874,'Threshold Summary'!$Y:$Y,'Threshold Summary'!$A:$A,"")</f>
        <v/>
      </c>
      <c r="B874" s="3">
        <f>XLOOKUP($Q874,'Threshold Summary'!$Y:$Y,'Threshold Summary'!$M:$M,"")</f>
        <v/>
      </c>
      <c r="C874" s="3">
        <f>XLOOKUP($Q874,'Threshold Summary'!$Y:$Y,'Threshold Summary'!$N:$N,"")</f>
        <v/>
      </c>
      <c r="D874" s="3">
        <f>IFERROR(INDEX(FILTER('Learnset Editor'!$D$2:$D,'Learnset Editor'!$A$2:$A=XLOOKUP($Q874,'Threshold Summary'!$Y:$Y,'Threshold Summary'!$K:$K,""),'Learnset Editor'!$C$2:$C&lt;=XLOOKUP($Q874,'Threshold Summary'!$Y:$Y,'Threshold Summary'!$L:$L,"")),$R874),"")</f>
        <v/>
      </c>
      <c r="E874" s="3">
        <f>XLOOKUP(D874,'Move Editor'!$B:$B,'Move Editor'!$C:$C,"")</f>
        <v/>
      </c>
      <c r="F874" s="3">
        <f>XLOOKUP(D874,'Move Editor'!$B:$B,'Move Editor'!$D:$D,"")</f>
        <v/>
      </c>
      <c r="G874" s="3">
        <f>XLOOKUP(D874,'Move Editor'!$B:$B,'Move Editor'!$E:$E,0)</f>
        <v/>
      </c>
      <c r="H874" s="3">
        <f>XLOOKUP(D874,'Move Editor'!$B:$B,'Move Editor'!$F:$F,0)</f>
        <v/>
      </c>
      <c r="I874" s="3">
        <f>(INDEX('Type Chart'!$B:$S,MATCH(E874,'Type Chart'!$A:$A,0),MATCH(XLOOKUP('Boss Editor'!$C$4,'Pokemon Editor'!$A:$A,'Pokemon Editor'!$C:$C,""),'Type Chart'!$B$1:$S$1,0))*IF(XLOOKUP('Boss Editor'!$C$4,'Pokemon Editor'!$A:$A,'Pokemon Editor'!$D:$D,"")="",1,INDEX('Type Chart'!$B:$S,MATCH(E874,'Type Chart'!$A:$A,0),MATCH(XLOOKUP('Boss Editor'!$C$4,'Pokemon Editor'!$A:$A,'Pokemon Editor'!$D:$D,""),'Type Chart'!$B$1:$S$1,0))))</f>
        <v/>
      </c>
      <c r="J874" s="3">
        <f>IFERROR(LET(mtype,XLOOKUP($D874,'Move Editor'!$B:$B,'Move Editor'!$C:$C,""),cat,XLOOKUP($D874,'Move Editor'!$B:$B,'Move Editor'!$D:$D,""),pow,XLOOKUP($D874,'Move Editor'!$B:$B,'Move Editor'!$E:$E,0),acc,XLOOKUP($D874,'Move Editor'!$B:$B,'Move Editor'!$F:$F,100),atk,IF(cat="Physical",FLOOR((FLOOR(((2*XLOOKUP(XLOOKUP($Q874,'Threshold Summary'!$Y:$Y,'Threshold Summary'!$K:$K,""),'Pokemon Editor'!$A:$A,'Pokemon Editor'!$F:$F,0)+31+FLOOR(XLOOKUP($Q874,'Threshold Summary'!$Y:$Y,'Threshold Summary'!$P:$P,"")/4))*XLOOKUP($Q874,'Threshold Summary'!$Y:$Y,'Threshold Summary'!$L:$L,""))/100)+5)*XLOOKUP(XLOOKUP($Q874,'Threshold Summary'!$Y:$Y,'Threshold Summary'!$M:$M,""),'Nature Editor'!$A:$A,'Nature Editor'!$B:$B,1)),FLOOR((FLOOR(((2*XLOOKUP(XLOOKUP($Q874,'Threshold Summary'!$Y:$Y,'Threshold Summary'!$K:$K,""),'Pokemon Editor'!$A:$A,'Pokemon Editor'!$H:$H,0)+31+FLOOR(XLOOKUP($Q874,'Threshold Summary'!$Y:$Y,'Threshold Summary'!$R:$R,"")/4))*XLOOKUP($Q874,'Threshold Summary'!$Y:$Y,'Threshold Summary'!$L:$L,""))/100)+5)*XLOOKUP(XLOOKUP($Q874,'Threshold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Editor'!$E:$E,1))),stab,IF(OR(mtype=XLOOKUP(XLOOKUP($Q874,'Threshold Summary'!$Y:$Y,'Threshold Summary'!$K:$K,""),'Pokemon Editor'!$A:$A,'Pokemon Editor'!$C:$C,""),mtype=XLOOKUP(XLOOKUP($Q874,'Threshold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Chart'!$B$1:$S$1,0)))),base,IF(OR(cat="Status",pow=0),0,FLOOR(FLOOR(FLOOR((2*XLOOKUP($Q874,'Threshold Summary'!$Y:$Y,'Threshold Summary'!$L:$L,"")/5+2)*pow*atk/def)/50)+2)),modifier,stab*eff,FLOOR(base*modifier*0.85)),0)</f>
        <v/>
      </c>
      <c r="K874" s="3">
        <f>IFERROR(LET(mtype,XLOOKUP($D874,'Move Editor'!$B:$B,'Move Editor'!$C:$C,""),cat,XLOOKUP($D874,'Move Editor'!$B:$B,'Move Editor'!$D:$D,""),pow,XLOOKUP($D874,'Move Editor'!$B:$B,'Move Editor'!$E:$E,0),acc,XLOOKUP($D874,'Move Editor'!$B:$B,'Move Editor'!$F:$F,100),atk,IF(cat="Physical",FLOOR((FLOOR(((2*XLOOKUP(XLOOKUP($Q874,'Threshold Summary'!$Y:$Y,'Threshold Summary'!$K:$K,""),'Pokemon Editor'!$A:$A,'Pokemon Editor'!$F:$F,0)+31+FLOOR(XLOOKUP($Q874,'Threshold Summary'!$Y:$Y,'Threshold Summary'!$P:$P,"")/4))*XLOOKUP($Q874,'Threshold Summary'!$Y:$Y,'Threshold Summary'!$L:$L,""))/100)+5)*XLOOKUP(XLOOKUP($Q874,'Threshold Summary'!$Y:$Y,'Threshold Summary'!$M:$M,""),'Nature Editor'!$A:$A,'Nature Editor'!$B:$B,1)),FLOOR((FLOOR(((2*XLOOKUP(XLOOKUP($Q874,'Threshold Summary'!$Y:$Y,'Threshold Summary'!$K:$K,""),'Pokemon Editor'!$A:$A,'Pokemon Editor'!$H:$H,0)+31+FLOOR(XLOOKUP($Q874,'Threshold Summary'!$Y:$Y,'Threshold Summary'!$R:$R,"")/4))*XLOOKUP($Q874,'Threshold Summary'!$Y:$Y,'Threshold Summary'!$L:$L,""))/100)+5)*XLOOKUP(XLOOKUP($Q874,'Threshold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Editor'!$E:$E,1))),stab,IF(OR(mtype=XLOOKUP(XLOOKUP($Q874,'Threshold Summary'!$Y:$Y,'Threshold Summary'!$K:$K,""),'Pokemon Editor'!$A:$A,'Pokemon Editor'!$C:$C,""),mtype=XLOOKUP(XLOOKUP($Q874,'Threshold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Chart'!$B$1:$S$1,0)))),base,IF(OR(cat="Status",pow=0),0,FLOOR(FLOOR(FLOOR((2*XLOOKUP($Q874,'Threshold Summary'!$Y:$Y,'Threshold Summary'!$L:$L,"")/5+2)*pow*atk/def)/50)+2)),modifier,stab*eff,FLOOR(base*modifier)),0)</f>
        <v/>
      </c>
      <c r="L874" s="3">
        <f>IFERROR(LET(mtype,XLOOKUP($D874,'Move Editor'!$B:$B,'Move Editor'!$C:$C,""),cat,XLOOKUP($D874,'Move Editor'!$B:$B,'Move Editor'!$D:$D,""),pow,XLOOKUP($D874,'Move Editor'!$B:$B,'Move Editor'!$E:$E,0),acc,XLOOKUP($D874,'Move Editor'!$B:$B,'Move Editor'!$F:$F,100),atk,IF(cat="Physical",FLOOR((FLOOR(((2*XLOOKUP(XLOOKUP($Q874,'Threshold Summary'!$Y:$Y,'Threshold Summary'!$K:$K,""),'Pokemon Editor'!$A:$A,'Pokemon Editor'!$F:$F,0)+31+FLOOR(XLOOKUP($Q874,'Threshold Summary'!$Y:$Y,'Threshold Summary'!$P:$P,"")/4))*XLOOKUP($Q874,'Threshold Summary'!$Y:$Y,'Threshold Summary'!$L:$L,""))/100)+5)*XLOOKUP(XLOOKUP($Q874,'Threshold Summary'!$Y:$Y,'Threshold Summary'!$M:$M,""),'Nature Editor'!$A:$A,'Nature Editor'!$B:$B,1)),FLOOR((FLOOR(((2*XLOOKUP(XLOOKUP($Q874,'Threshold Summary'!$Y:$Y,'Threshold Summary'!$K:$K,""),'Pokemon Editor'!$A:$A,'Pokemon Editor'!$H:$H,0)+31+FLOOR(XLOOKUP($Q874,'Threshold Summary'!$Y:$Y,'Threshold Summary'!$R:$R,"")/4))*XLOOKUP($Q874,'Threshold Summary'!$Y:$Y,'Threshold Summary'!$L:$L,""))/100)+5)*XLOOKUP(XLOOKUP($Q874,'Threshold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Editor'!$E:$E,1))),stab,IF(OR(mtype=XLOOKUP(XLOOKUP($Q874,'Threshold Summary'!$Y:$Y,'Threshold Summary'!$K:$K,""),'Pokemon Editor'!$A:$A,'Pokemon Editor'!$C:$C,""),mtype=XLOOKUP(XLOOKUP($Q874,'Threshold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Chart'!$B$1:$S$1,0)))),base,IF(OR(cat="Status",pow=0),0,FLOOR(FLOOR(FLOOR((2*XLOOKUP($Q874,'Threshold Summary'!$Y:$Y,'Threshold Summary'!$L:$L,"")/5+2)*pow*atk/def)/50)+2)),modifier,stab*eff,AVERAGE(ARRAYFORMULA(FLOOR(base*modifier*SEQUENCE(16,1,85,1)/100)))),0)</f>
        <v/>
      </c>
      <c r="M874" s="3">
        <f>IFERROR(LET(mtype,XLOOKUP($D874,'Move Editor'!$B:$B,'Move Editor'!$C:$C,""),cat,XLOOKUP($D874,'Move Editor'!$B:$B,'Move Editor'!$D:$D,""),pow,XLOOKUP($D874,'Move Editor'!$B:$B,'Move Editor'!$E:$E,0),acc,XLOOKUP($D874,'Move Editor'!$B:$B,'Move Editor'!$F:$F,100),atk,IF(cat="Physical",FLOOR((FLOOR(((2*XLOOKUP(XLOOKUP($Q874,'Threshold Summary'!$Y:$Y,'Threshold Summary'!$K:$K,""),'Pokemon Editor'!$A:$A,'Pokemon Editor'!$F:$F,0)+31+FLOOR(XLOOKUP($Q874,'Threshold Summary'!$Y:$Y,'Threshold Summary'!$P:$P,"")/4))*XLOOKUP($Q874,'Threshold Summary'!$Y:$Y,'Threshold Summary'!$L:$L,""))/100)+5)*XLOOKUP(XLOOKUP($Q874,'Threshold Summary'!$Y:$Y,'Threshold Summary'!$M:$M,""),'Nature Editor'!$A:$A,'Nature Editor'!$B:$B,1)),FLOOR((FLOOR(((2*XLOOKUP(XLOOKUP($Q874,'Threshold Summary'!$Y:$Y,'Threshold Summary'!$K:$K,""),'Pokemon Editor'!$A:$A,'Pokemon Editor'!$H:$H,0)+31+FLOOR(XLOOKUP($Q874,'Threshold Summary'!$Y:$Y,'Threshold Summary'!$R:$R,"")/4))*XLOOKUP($Q874,'Threshold Summary'!$Y:$Y,'Threshold Summary'!$L:$L,""))/100)+5)*XLOOKUP(XLOOKUP($Q874,'Threshold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Editor'!$E:$E,1))),stab,IF(OR(mtype=XLOOKUP(XLOOKUP($Q874,'Threshold Summary'!$Y:$Y,'Threshold Summary'!$K:$K,""),'Pokemon Editor'!$A:$A,'Pokemon Editor'!$C:$C,""),mtype=XLOOKUP(XLOOKUP($Q874,'Threshold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Chart'!$B$1:$S$1,0)))),base,IF(OR(cat="Status",pow=0),0,FLOOR(FLOOR(FLOOR((2*XLOOKUP($Q874,'Threshold Summary'!$Y:$Y,'Threshold Summary'!$L:$L,"")/5+2)*pow*atk/def)/50)+2)),modifier,stab*eff,AVERAGE(ARRAYFORMULA(FLOOR(base*modifier*SEQUENCE(16,1,85,1)/100)))*MIN(1,acc/100)),0)</f>
        <v/>
      </c>
      <c r="N874" s="4">
        <f>IFERROR(LET(mtype,XLOOKUP($D874,'Move Editor'!$B:$B,'Move Editor'!$C:$C,""),cat,XLOOKUP($D874,'Move Editor'!$B:$B,'Move Editor'!$D:$D,""),pow,XLOOKUP($D874,'Move Editor'!$B:$B,'Move Editor'!$E:$E,0),acc,XLOOKUP($D874,'Move Editor'!$B:$B,'Move Editor'!$F:$F,100),atk,IF(cat="Physical",FLOOR((FLOOR(((2*XLOOKUP(XLOOKUP($Q874,'Threshold Summary'!$Y:$Y,'Threshold Summary'!$K:$K,""),'Pokemon Editor'!$A:$A,'Pokemon Editor'!$F:$F,0)+31+FLOOR(XLOOKUP($Q874,'Threshold Summary'!$Y:$Y,'Threshold Summary'!$P:$P,"")/4))*XLOOKUP($Q874,'Threshold Summary'!$Y:$Y,'Threshold Summary'!$L:$L,""))/100)+5)*XLOOKUP(XLOOKUP($Q874,'Threshold Summary'!$Y:$Y,'Threshold Summary'!$M:$M,""),'Nature Editor'!$A:$A,'Nature Editor'!$B:$B,1)),FLOOR((FLOOR(((2*XLOOKUP(XLOOKUP($Q874,'Threshold Summary'!$Y:$Y,'Threshold Summary'!$K:$K,""),'Pokemon Editor'!$A:$A,'Pokemon Editor'!$H:$H,0)+31+FLOOR(XLOOKUP($Q874,'Threshold Summary'!$Y:$Y,'Threshold Summary'!$R:$R,"")/4))*XLOOKUP($Q874,'Threshold Summary'!$Y:$Y,'Threshold Summary'!$L:$L,""))/100)+5)*XLOOKUP(XLOOKUP($Q874,'Threshold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Editor'!$E:$E,1))),stab,IF(OR(mtype=XLOOKUP(XLOOKUP($Q874,'Threshold Summary'!$Y:$Y,'Threshold Summary'!$K:$K,""),'Pokemon Editor'!$A:$A,'Pokemon Editor'!$C:$C,""),mtype=XLOOKUP(XLOOKUP($Q874,'Threshold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Chart'!$B$1:$S$1,0)))),base,IF(OR(cat="Status",pow=0),0,FLOOR(FLOOR(FLOOR((2*XLOOKUP($Q874,'Threshold Summary'!$Y:$Y,'Threshold Summary'!$L:$L,"")/5+2)*pow*atk/def)/50)+2)),modifier,stab*eff,AVERAGE(ARRAYFORMULA(FLOOR(base*modifier*SEQUENCE(16,1,85,1)/100)))/(FLOOR(((2*XLOOKUP('Boss Editor'!$C$4,'Pokemon Editor'!$A:$A,'Pokemon Editor'!$E:$E,0)+31+FLOOR('Boss Editor'!$G$4/4))*'Boss Editor'!$D$4)/100)+'Boss Editor'!$D$4+10)),0)</f>
        <v/>
      </c>
      <c r="O874" s="3">
        <f>IF(N874&gt;=1,"OHKO",IF(N874&gt;=0.5,"2HKO",IF(N874&gt;=0.333,"3HKO",IF(N874&gt;=0.25,"4HKO","5HKO+"))))</f>
        <v/>
      </c>
      <c r="P874" s="3" t="inlineStr">
        <is>
          <t>Live from editable databases</t>
        </is>
      </c>
      <c r="Q874" s="3" t="inlineStr">
        <is>
          <t>SPECIES_NYMBLE</t>
        </is>
      </c>
      <c r="R874" s="3" t="n">
        <v>9</v>
      </c>
    </row>
    <row r="875">
      <c r="A875" s="3">
        <f>XLOOKUP($Q875,'Threshold Summary'!$Y:$Y,'Threshold Summary'!$A:$A,"")</f>
        <v/>
      </c>
      <c r="B875" s="3">
        <f>XLOOKUP($Q875,'Threshold Summary'!$Y:$Y,'Threshold Summary'!$M:$M,"")</f>
        <v/>
      </c>
      <c r="C875" s="3">
        <f>XLOOKUP($Q875,'Threshold Summary'!$Y:$Y,'Threshold Summary'!$N:$N,"")</f>
        <v/>
      </c>
      <c r="D875" s="3">
        <f>IFERROR(INDEX(FILTER('Learnset Editor'!$D$2:$D,'Learnset Editor'!$A$2:$A=XLOOKUP($Q875,'Threshold Summary'!$Y:$Y,'Threshold Summary'!$K:$K,""),'Learnset Editor'!$C$2:$C&lt;=XLOOKUP($Q875,'Threshold Summary'!$Y:$Y,'Threshold Summary'!$L:$L,"")),$R875),"")</f>
        <v/>
      </c>
      <c r="E875" s="3">
        <f>XLOOKUP(D875,'Move Editor'!$B:$B,'Move Editor'!$C:$C,"")</f>
        <v/>
      </c>
      <c r="F875" s="3">
        <f>XLOOKUP(D875,'Move Editor'!$B:$B,'Move Editor'!$D:$D,"")</f>
        <v/>
      </c>
      <c r="G875" s="3">
        <f>XLOOKUP(D875,'Move Editor'!$B:$B,'Move Editor'!$E:$E,0)</f>
        <v/>
      </c>
      <c r="H875" s="3">
        <f>XLOOKUP(D875,'Move Editor'!$B:$B,'Move Editor'!$F:$F,0)</f>
        <v/>
      </c>
      <c r="I875" s="3">
        <f>(INDEX('Type Chart'!$B:$S,MATCH(E875,'Type Chart'!$A:$A,0),MATCH(XLOOKUP('Boss Editor'!$C$4,'Pokemon Editor'!$A:$A,'Pokemon Editor'!$C:$C,""),'Type Chart'!$B$1:$S$1,0))*IF(XLOOKUP('Boss Editor'!$C$4,'Pokemon Editor'!$A:$A,'Pokemon Editor'!$D:$D,"")="",1,INDEX('Type Chart'!$B:$S,MATCH(E875,'Type Chart'!$A:$A,0),MATCH(XLOOKUP('Boss Editor'!$C$4,'Pokemon Editor'!$A:$A,'Pokemon Editor'!$D:$D,""),'Type Chart'!$B$1:$S$1,0))))</f>
        <v/>
      </c>
      <c r="J875" s="3">
        <f>IFERROR(LET(mtype,XLOOKUP($D875,'Move Editor'!$B:$B,'Move Editor'!$C:$C,""),cat,XLOOKUP($D875,'Move Editor'!$B:$B,'Move Editor'!$D:$D,""),pow,XLOOKUP($D875,'Move Editor'!$B:$B,'Move Editor'!$E:$E,0),acc,XLOOKUP($D875,'Move Editor'!$B:$B,'Move Editor'!$F:$F,100),atk,IF(cat="Physical",FLOOR((FLOOR(((2*XLOOKUP(XLOOKUP($Q875,'Threshold Summary'!$Y:$Y,'Threshold Summary'!$K:$K,""),'Pokemon Editor'!$A:$A,'Pokemon Editor'!$F:$F,0)+31+FLOOR(XLOOKUP($Q875,'Threshold Summary'!$Y:$Y,'Threshold Summary'!$P:$P,"")/4))*XLOOKUP($Q875,'Threshold Summary'!$Y:$Y,'Threshold Summary'!$L:$L,""))/100)+5)*XLOOKUP(XLOOKUP($Q875,'Threshold Summary'!$Y:$Y,'Threshold Summary'!$M:$M,""),'Nature Editor'!$A:$A,'Nature Editor'!$B:$B,1)),FLOOR((FLOOR(((2*XLOOKUP(XLOOKUP($Q875,'Threshold Summary'!$Y:$Y,'Threshold Summary'!$K:$K,""),'Pokemon Editor'!$A:$A,'Pokemon Editor'!$H:$H,0)+31+FLOOR(XLOOKUP($Q875,'Threshold Summary'!$Y:$Y,'Threshold Summary'!$R:$R,"")/4))*XLOOKUP($Q875,'Threshold Summary'!$Y:$Y,'Threshold Summary'!$L:$L,""))/100)+5)*XLOOKUP(XLOOKUP($Q875,'Threshold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Editor'!$E:$E,1))),stab,IF(OR(mtype=XLOOKUP(XLOOKUP($Q875,'Threshold Summary'!$Y:$Y,'Threshold Summary'!$K:$K,""),'Pokemon Editor'!$A:$A,'Pokemon Editor'!$C:$C,""),mtype=XLOOKUP(XLOOKUP($Q875,'Threshold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Chart'!$B$1:$S$1,0)))),base,IF(OR(cat="Status",pow=0),0,FLOOR(FLOOR(FLOOR((2*XLOOKUP($Q875,'Threshold Summary'!$Y:$Y,'Threshold Summary'!$L:$L,"")/5+2)*pow*atk/def)/50)+2)),modifier,stab*eff,FLOOR(base*modifier*0.85)),0)</f>
        <v/>
      </c>
      <c r="K875" s="3">
        <f>IFERROR(LET(mtype,XLOOKUP($D875,'Move Editor'!$B:$B,'Move Editor'!$C:$C,""),cat,XLOOKUP($D875,'Move Editor'!$B:$B,'Move Editor'!$D:$D,""),pow,XLOOKUP($D875,'Move Editor'!$B:$B,'Move Editor'!$E:$E,0),acc,XLOOKUP($D875,'Move Editor'!$B:$B,'Move Editor'!$F:$F,100),atk,IF(cat="Physical",FLOOR((FLOOR(((2*XLOOKUP(XLOOKUP($Q875,'Threshold Summary'!$Y:$Y,'Threshold Summary'!$K:$K,""),'Pokemon Editor'!$A:$A,'Pokemon Editor'!$F:$F,0)+31+FLOOR(XLOOKUP($Q875,'Threshold Summary'!$Y:$Y,'Threshold Summary'!$P:$P,"")/4))*XLOOKUP($Q875,'Threshold Summary'!$Y:$Y,'Threshold Summary'!$L:$L,""))/100)+5)*XLOOKUP(XLOOKUP($Q875,'Threshold Summary'!$Y:$Y,'Threshold Summary'!$M:$M,""),'Nature Editor'!$A:$A,'Nature Editor'!$B:$B,1)),FLOOR((FLOOR(((2*XLOOKUP(XLOOKUP($Q875,'Threshold Summary'!$Y:$Y,'Threshold Summary'!$K:$K,""),'Pokemon Editor'!$A:$A,'Pokemon Editor'!$H:$H,0)+31+FLOOR(XLOOKUP($Q875,'Threshold Summary'!$Y:$Y,'Threshold Summary'!$R:$R,"")/4))*XLOOKUP($Q875,'Threshold Summary'!$Y:$Y,'Threshold Summary'!$L:$L,""))/100)+5)*XLOOKUP(XLOOKUP($Q875,'Threshold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Editor'!$E:$E,1))),stab,IF(OR(mtype=XLOOKUP(XLOOKUP($Q875,'Threshold Summary'!$Y:$Y,'Threshold Summary'!$K:$K,""),'Pokemon Editor'!$A:$A,'Pokemon Editor'!$C:$C,""),mtype=XLOOKUP(XLOOKUP($Q875,'Threshold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Chart'!$B$1:$S$1,0)))),base,IF(OR(cat="Status",pow=0),0,FLOOR(FLOOR(FLOOR((2*XLOOKUP($Q875,'Threshold Summary'!$Y:$Y,'Threshold Summary'!$L:$L,"")/5+2)*pow*atk/def)/50)+2)),modifier,stab*eff,FLOOR(base*modifier)),0)</f>
        <v/>
      </c>
      <c r="L875" s="3">
        <f>IFERROR(LET(mtype,XLOOKUP($D875,'Move Editor'!$B:$B,'Move Editor'!$C:$C,""),cat,XLOOKUP($D875,'Move Editor'!$B:$B,'Move Editor'!$D:$D,""),pow,XLOOKUP($D875,'Move Editor'!$B:$B,'Move Editor'!$E:$E,0),acc,XLOOKUP($D875,'Move Editor'!$B:$B,'Move Editor'!$F:$F,100),atk,IF(cat="Physical",FLOOR((FLOOR(((2*XLOOKUP(XLOOKUP($Q875,'Threshold Summary'!$Y:$Y,'Threshold Summary'!$K:$K,""),'Pokemon Editor'!$A:$A,'Pokemon Editor'!$F:$F,0)+31+FLOOR(XLOOKUP($Q875,'Threshold Summary'!$Y:$Y,'Threshold Summary'!$P:$P,"")/4))*XLOOKUP($Q875,'Threshold Summary'!$Y:$Y,'Threshold Summary'!$L:$L,""))/100)+5)*XLOOKUP(XLOOKUP($Q875,'Threshold Summary'!$Y:$Y,'Threshold Summary'!$M:$M,""),'Nature Editor'!$A:$A,'Nature Editor'!$B:$B,1)),FLOOR((FLOOR(((2*XLOOKUP(XLOOKUP($Q875,'Threshold Summary'!$Y:$Y,'Threshold Summary'!$K:$K,""),'Pokemon Editor'!$A:$A,'Pokemon Editor'!$H:$H,0)+31+FLOOR(XLOOKUP($Q875,'Threshold Summary'!$Y:$Y,'Threshold Summary'!$R:$R,"")/4))*XLOOKUP($Q875,'Threshold Summary'!$Y:$Y,'Threshold Summary'!$L:$L,""))/100)+5)*XLOOKUP(XLOOKUP($Q875,'Threshold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Editor'!$E:$E,1))),stab,IF(OR(mtype=XLOOKUP(XLOOKUP($Q875,'Threshold Summary'!$Y:$Y,'Threshold Summary'!$K:$K,""),'Pokemon Editor'!$A:$A,'Pokemon Editor'!$C:$C,""),mtype=XLOOKUP(XLOOKUP($Q875,'Threshold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Chart'!$B$1:$S$1,0)))),base,IF(OR(cat="Status",pow=0),0,FLOOR(FLOOR(FLOOR((2*XLOOKUP($Q875,'Threshold Summary'!$Y:$Y,'Threshold Summary'!$L:$L,"")/5+2)*pow*atk/def)/50)+2)),modifier,stab*eff,AVERAGE(ARRAYFORMULA(FLOOR(base*modifier*SEQUENCE(16,1,85,1)/100)))),0)</f>
        <v/>
      </c>
      <c r="M875" s="3">
        <f>IFERROR(LET(mtype,XLOOKUP($D875,'Move Editor'!$B:$B,'Move Editor'!$C:$C,""),cat,XLOOKUP($D875,'Move Editor'!$B:$B,'Move Editor'!$D:$D,""),pow,XLOOKUP($D875,'Move Editor'!$B:$B,'Move Editor'!$E:$E,0),acc,XLOOKUP($D875,'Move Editor'!$B:$B,'Move Editor'!$F:$F,100),atk,IF(cat="Physical",FLOOR((FLOOR(((2*XLOOKUP(XLOOKUP($Q875,'Threshold Summary'!$Y:$Y,'Threshold Summary'!$K:$K,""),'Pokemon Editor'!$A:$A,'Pokemon Editor'!$F:$F,0)+31+FLOOR(XLOOKUP($Q875,'Threshold Summary'!$Y:$Y,'Threshold Summary'!$P:$P,"")/4))*XLOOKUP($Q875,'Threshold Summary'!$Y:$Y,'Threshold Summary'!$L:$L,""))/100)+5)*XLOOKUP(XLOOKUP($Q875,'Threshold Summary'!$Y:$Y,'Threshold Summary'!$M:$M,""),'Nature Editor'!$A:$A,'Nature Editor'!$B:$B,1)),FLOOR((FLOOR(((2*XLOOKUP(XLOOKUP($Q875,'Threshold Summary'!$Y:$Y,'Threshold Summary'!$K:$K,""),'Pokemon Editor'!$A:$A,'Pokemon Editor'!$H:$H,0)+31+FLOOR(XLOOKUP($Q875,'Threshold Summary'!$Y:$Y,'Threshold Summary'!$R:$R,"")/4))*XLOOKUP($Q875,'Threshold Summary'!$Y:$Y,'Threshold Summary'!$L:$L,""))/100)+5)*XLOOKUP(XLOOKUP($Q875,'Threshold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Editor'!$E:$E,1))),stab,IF(OR(mtype=XLOOKUP(XLOOKUP($Q875,'Threshold Summary'!$Y:$Y,'Threshold Summary'!$K:$K,""),'Pokemon Editor'!$A:$A,'Pokemon Editor'!$C:$C,""),mtype=XLOOKUP(XLOOKUP($Q875,'Threshold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Chart'!$B$1:$S$1,0)))),base,IF(OR(cat="Status",pow=0),0,FLOOR(FLOOR(FLOOR((2*XLOOKUP($Q875,'Threshold Summary'!$Y:$Y,'Threshold Summary'!$L:$L,"")/5+2)*pow*atk/def)/50)+2)),modifier,stab*eff,AVERAGE(ARRAYFORMULA(FLOOR(base*modifier*SEQUENCE(16,1,85,1)/100)))*MIN(1,acc/100)),0)</f>
        <v/>
      </c>
      <c r="N875" s="4">
        <f>IFERROR(LET(mtype,XLOOKUP($D875,'Move Editor'!$B:$B,'Move Editor'!$C:$C,""),cat,XLOOKUP($D875,'Move Editor'!$B:$B,'Move Editor'!$D:$D,""),pow,XLOOKUP($D875,'Move Editor'!$B:$B,'Move Editor'!$E:$E,0),acc,XLOOKUP($D875,'Move Editor'!$B:$B,'Move Editor'!$F:$F,100),atk,IF(cat="Physical",FLOOR((FLOOR(((2*XLOOKUP(XLOOKUP($Q875,'Threshold Summary'!$Y:$Y,'Threshold Summary'!$K:$K,""),'Pokemon Editor'!$A:$A,'Pokemon Editor'!$F:$F,0)+31+FLOOR(XLOOKUP($Q875,'Threshold Summary'!$Y:$Y,'Threshold Summary'!$P:$P,"")/4))*XLOOKUP($Q875,'Threshold Summary'!$Y:$Y,'Threshold Summary'!$L:$L,""))/100)+5)*XLOOKUP(XLOOKUP($Q875,'Threshold Summary'!$Y:$Y,'Threshold Summary'!$M:$M,""),'Nature Editor'!$A:$A,'Nature Editor'!$B:$B,1)),FLOOR((FLOOR(((2*XLOOKUP(XLOOKUP($Q875,'Threshold Summary'!$Y:$Y,'Threshold Summary'!$K:$K,""),'Pokemon Editor'!$A:$A,'Pokemon Editor'!$H:$H,0)+31+FLOOR(XLOOKUP($Q875,'Threshold Summary'!$Y:$Y,'Threshold Summary'!$R:$R,"")/4))*XLOOKUP($Q875,'Threshold Summary'!$Y:$Y,'Threshold Summary'!$L:$L,""))/100)+5)*XLOOKUP(XLOOKUP($Q875,'Threshold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Editor'!$E:$E,1))),stab,IF(OR(mtype=XLOOKUP(XLOOKUP($Q875,'Threshold Summary'!$Y:$Y,'Threshold Summary'!$K:$K,""),'Pokemon Editor'!$A:$A,'Pokemon Editor'!$C:$C,""),mtype=XLOOKUP(XLOOKUP($Q875,'Threshold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Chart'!$B$1:$S$1,0)))),base,IF(OR(cat="Status",pow=0),0,FLOOR(FLOOR(FLOOR((2*XLOOKUP($Q875,'Threshold Summary'!$Y:$Y,'Threshold Summary'!$L:$L,"")/5+2)*pow*atk/def)/50)+2)),modifier,stab*eff,AVERAGE(ARRAYFORMULA(FLOOR(base*modifier*SEQUENCE(16,1,85,1)/100)))/(FLOOR(((2*XLOOKUP('Boss Editor'!$C$4,'Pokemon Editor'!$A:$A,'Pokemon Editor'!$E:$E,0)+31+FLOOR('Boss Editor'!$G$4/4))*'Boss Editor'!$D$4)/100)+'Boss Editor'!$D$4+10)),0)</f>
        <v/>
      </c>
      <c r="O875" s="3">
        <f>IF(N875&gt;=1,"OHKO",IF(N875&gt;=0.5,"2HKO",IF(N875&gt;=0.333,"3HKO",IF(N875&gt;=0.25,"4HKO","5HKO+"))))</f>
        <v/>
      </c>
      <c r="P875" s="3" t="inlineStr">
        <is>
          <t>Live from editable databases</t>
        </is>
      </c>
      <c r="Q875" s="3" t="inlineStr">
        <is>
          <t>SPECIES_NYMBLE</t>
        </is>
      </c>
      <c r="R875" s="3" t="n">
        <v>10</v>
      </c>
    </row>
    <row r="876">
      <c r="A876" s="3">
        <f>XLOOKUP($Q876,'Threshold Summary'!$Y:$Y,'Threshold Summary'!$A:$A,"")</f>
        <v/>
      </c>
      <c r="B876" s="3">
        <f>XLOOKUP($Q876,'Threshold Summary'!$Y:$Y,'Threshold Summary'!$M:$M,"")</f>
        <v/>
      </c>
      <c r="C876" s="3">
        <f>XLOOKUP($Q876,'Threshold Summary'!$Y:$Y,'Threshold Summary'!$N:$N,"")</f>
        <v/>
      </c>
      <c r="D876" s="3">
        <f>IFERROR(INDEX(FILTER('Learnset Editor'!$D$2:$D,'Learnset Editor'!$A$2:$A=XLOOKUP($Q876,'Threshold Summary'!$Y:$Y,'Threshold Summary'!$K:$K,""),'Learnset Editor'!$C$2:$C&lt;=XLOOKUP($Q876,'Threshold Summary'!$Y:$Y,'Threshold Summary'!$L:$L,"")),$R876),"")</f>
        <v/>
      </c>
      <c r="E876" s="3">
        <f>XLOOKUP(D876,'Move Editor'!$B:$B,'Move Editor'!$C:$C,"")</f>
        <v/>
      </c>
      <c r="F876" s="3">
        <f>XLOOKUP(D876,'Move Editor'!$B:$B,'Move Editor'!$D:$D,"")</f>
        <v/>
      </c>
      <c r="G876" s="3">
        <f>XLOOKUP(D876,'Move Editor'!$B:$B,'Move Editor'!$E:$E,0)</f>
        <v/>
      </c>
      <c r="H876" s="3">
        <f>XLOOKUP(D876,'Move Editor'!$B:$B,'Move Editor'!$F:$F,0)</f>
        <v/>
      </c>
      <c r="I876" s="3">
        <f>(INDEX('Type Chart'!$B:$S,MATCH(E876,'Type Chart'!$A:$A,0),MATCH(XLOOKUP('Boss Editor'!$C$4,'Pokemon Editor'!$A:$A,'Pokemon Editor'!$C:$C,""),'Type Chart'!$B$1:$S$1,0))*IF(XLOOKUP('Boss Editor'!$C$4,'Pokemon Editor'!$A:$A,'Pokemon Editor'!$D:$D,"")="",1,INDEX('Type Chart'!$B:$S,MATCH(E876,'Type Chart'!$A:$A,0),MATCH(XLOOKUP('Boss Editor'!$C$4,'Pokemon Editor'!$A:$A,'Pokemon Editor'!$D:$D,""),'Type Chart'!$B$1:$S$1,0))))</f>
        <v/>
      </c>
      <c r="J876" s="3">
        <f>IFERROR(LET(mtype,XLOOKUP($D876,'Move Editor'!$B:$B,'Move Editor'!$C:$C,""),cat,XLOOKUP($D876,'Move Editor'!$B:$B,'Move Editor'!$D:$D,""),pow,XLOOKUP($D876,'Move Editor'!$B:$B,'Move Editor'!$E:$E,0),acc,XLOOKUP($D876,'Move Editor'!$B:$B,'Move Editor'!$F:$F,100),atk,IF(cat="Physical",FLOOR((FLOOR(((2*XLOOKUP(XLOOKUP($Q876,'Threshold Summary'!$Y:$Y,'Threshold Summary'!$K:$K,""),'Pokemon Editor'!$A:$A,'Pokemon Editor'!$F:$F,0)+31+FLOOR(XLOOKUP($Q876,'Threshold Summary'!$Y:$Y,'Threshold Summary'!$P:$P,"")/4))*XLOOKUP($Q876,'Threshold Summary'!$Y:$Y,'Threshold Summary'!$L:$L,""))/100)+5)*XLOOKUP(XLOOKUP($Q876,'Threshold Summary'!$Y:$Y,'Threshold Summary'!$M:$M,""),'Nature Editor'!$A:$A,'Nature Editor'!$B:$B,1)),FLOOR((FLOOR(((2*XLOOKUP(XLOOKUP($Q876,'Threshold Summary'!$Y:$Y,'Threshold Summary'!$K:$K,""),'Pokemon Editor'!$A:$A,'Pokemon Editor'!$H:$H,0)+31+FLOOR(XLOOKUP($Q876,'Threshold Summary'!$Y:$Y,'Threshold Summary'!$R:$R,"")/4))*XLOOKUP($Q876,'Threshold Summary'!$Y:$Y,'Threshold Summary'!$L:$L,""))/100)+5)*XLOOKUP(XLOOKUP($Q876,'Threshold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Editor'!$E:$E,1))),stab,IF(OR(mtype=XLOOKUP(XLOOKUP($Q876,'Threshold Summary'!$Y:$Y,'Threshold Summary'!$K:$K,""),'Pokemon Editor'!$A:$A,'Pokemon Editor'!$C:$C,""),mtype=XLOOKUP(XLOOKUP($Q876,'Threshold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Chart'!$B$1:$S$1,0)))),base,IF(OR(cat="Status",pow=0),0,FLOOR(FLOOR(FLOOR((2*XLOOKUP($Q876,'Threshold Summary'!$Y:$Y,'Threshold Summary'!$L:$L,"")/5+2)*pow*atk/def)/50)+2)),modifier,stab*eff,FLOOR(base*modifier*0.85)),0)</f>
        <v/>
      </c>
      <c r="K876" s="3">
        <f>IFERROR(LET(mtype,XLOOKUP($D876,'Move Editor'!$B:$B,'Move Editor'!$C:$C,""),cat,XLOOKUP($D876,'Move Editor'!$B:$B,'Move Editor'!$D:$D,""),pow,XLOOKUP($D876,'Move Editor'!$B:$B,'Move Editor'!$E:$E,0),acc,XLOOKUP($D876,'Move Editor'!$B:$B,'Move Editor'!$F:$F,100),atk,IF(cat="Physical",FLOOR((FLOOR(((2*XLOOKUP(XLOOKUP($Q876,'Threshold Summary'!$Y:$Y,'Threshold Summary'!$K:$K,""),'Pokemon Editor'!$A:$A,'Pokemon Editor'!$F:$F,0)+31+FLOOR(XLOOKUP($Q876,'Threshold Summary'!$Y:$Y,'Threshold Summary'!$P:$P,"")/4))*XLOOKUP($Q876,'Threshold Summary'!$Y:$Y,'Threshold Summary'!$L:$L,""))/100)+5)*XLOOKUP(XLOOKUP($Q876,'Threshold Summary'!$Y:$Y,'Threshold Summary'!$M:$M,""),'Nature Editor'!$A:$A,'Nature Editor'!$B:$B,1)),FLOOR((FLOOR(((2*XLOOKUP(XLOOKUP($Q876,'Threshold Summary'!$Y:$Y,'Threshold Summary'!$K:$K,""),'Pokemon Editor'!$A:$A,'Pokemon Editor'!$H:$H,0)+31+FLOOR(XLOOKUP($Q876,'Threshold Summary'!$Y:$Y,'Threshold Summary'!$R:$R,"")/4))*XLOOKUP($Q876,'Threshold Summary'!$Y:$Y,'Threshold Summary'!$L:$L,""))/100)+5)*XLOOKUP(XLOOKUP($Q876,'Threshold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Editor'!$E:$E,1))),stab,IF(OR(mtype=XLOOKUP(XLOOKUP($Q876,'Threshold Summary'!$Y:$Y,'Threshold Summary'!$K:$K,""),'Pokemon Editor'!$A:$A,'Pokemon Editor'!$C:$C,""),mtype=XLOOKUP(XLOOKUP($Q876,'Threshold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Chart'!$B$1:$S$1,0)))),base,IF(OR(cat="Status",pow=0),0,FLOOR(FLOOR(FLOOR((2*XLOOKUP($Q876,'Threshold Summary'!$Y:$Y,'Threshold Summary'!$L:$L,"")/5+2)*pow*atk/def)/50)+2)),modifier,stab*eff,FLOOR(base*modifier)),0)</f>
        <v/>
      </c>
      <c r="L876" s="3">
        <f>IFERROR(LET(mtype,XLOOKUP($D876,'Move Editor'!$B:$B,'Move Editor'!$C:$C,""),cat,XLOOKUP($D876,'Move Editor'!$B:$B,'Move Editor'!$D:$D,""),pow,XLOOKUP($D876,'Move Editor'!$B:$B,'Move Editor'!$E:$E,0),acc,XLOOKUP($D876,'Move Editor'!$B:$B,'Move Editor'!$F:$F,100),atk,IF(cat="Physical",FLOOR((FLOOR(((2*XLOOKUP(XLOOKUP($Q876,'Threshold Summary'!$Y:$Y,'Threshold Summary'!$K:$K,""),'Pokemon Editor'!$A:$A,'Pokemon Editor'!$F:$F,0)+31+FLOOR(XLOOKUP($Q876,'Threshold Summary'!$Y:$Y,'Threshold Summary'!$P:$P,"")/4))*XLOOKUP($Q876,'Threshold Summary'!$Y:$Y,'Threshold Summary'!$L:$L,""))/100)+5)*XLOOKUP(XLOOKUP($Q876,'Threshold Summary'!$Y:$Y,'Threshold Summary'!$M:$M,""),'Nature Editor'!$A:$A,'Nature Editor'!$B:$B,1)),FLOOR((FLOOR(((2*XLOOKUP(XLOOKUP($Q876,'Threshold Summary'!$Y:$Y,'Threshold Summary'!$K:$K,""),'Pokemon Editor'!$A:$A,'Pokemon Editor'!$H:$H,0)+31+FLOOR(XLOOKUP($Q876,'Threshold Summary'!$Y:$Y,'Threshold Summary'!$R:$R,"")/4))*XLOOKUP($Q876,'Threshold Summary'!$Y:$Y,'Threshold Summary'!$L:$L,""))/100)+5)*XLOOKUP(XLOOKUP($Q876,'Threshold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Editor'!$E:$E,1))),stab,IF(OR(mtype=XLOOKUP(XLOOKUP($Q876,'Threshold Summary'!$Y:$Y,'Threshold Summary'!$K:$K,""),'Pokemon Editor'!$A:$A,'Pokemon Editor'!$C:$C,""),mtype=XLOOKUP(XLOOKUP($Q876,'Threshold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Chart'!$B$1:$S$1,0)))),base,IF(OR(cat="Status",pow=0),0,FLOOR(FLOOR(FLOOR((2*XLOOKUP($Q876,'Threshold Summary'!$Y:$Y,'Threshold Summary'!$L:$L,"")/5+2)*pow*atk/def)/50)+2)),modifier,stab*eff,AVERAGE(ARRAYFORMULA(FLOOR(base*modifier*SEQUENCE(16,1,85,1)/100)))),0)</f>
        <v/>
      </c>
      <c r="M876" s="3">
        <f>IFERROR(LET(mtype,XLOOKUP($D876,'Move Editor'!$B:$B,'Move Editor'!$C:$C,""),cat,XLOOKUP($D876,'Move Editor'!$B:$B,'Move Editor'!$D:$D,""),pow,XLOOKUP($D876,'Move Editor'!$B:$B,'Move Editor'!$E:$E,0),acc,XLOOKUP($D876,'Move Editor'!$B:$B,'Move Editor'!$F:$F,100),atk,IF(cat="Physical",FLOOR((FLOOR(((2*XLOOKUP(XLOOKUP($Q876,'Threshold Summary'!$Y:$Y,'Threshold Summary'!$K:$K,""),'Pokemon Editor'!$A:$A,'Pokemon Editor'!$F:$F,0)+31+FLOOR(XLOOKUP($Q876,'Threshold Summary'!$Y:$Y,'Threshold Summary'!$P:$P,"")/4))*XLOOKUP($Q876,'Threshold Summary'!$Y:$Y,'Threshold Summary'!$L:$L,""))/100)+5)*XLOOKUP(XLOOKUP($Q876,'Threshold Summary'!$Y:$Y,'Threshold Summary'!$M:$M,""),'Nature Editor'!$A:$A,'Nature Editor'!$B:$B,1)),FLOOR((FLOOR(((2*XLOOKUP(XLOOKUP($Q876,'Threshold Summary'!$Y:$Y,'Threshold Summary'!$K:$K,""),'Pokemon Editor'!$A:$A,'Pokemon Editor'!$H:$H,0)+31+FLOOR(XLOOKUP($Q876,'Threshold Summary'!$Y:$Y,'Threshold Summary'!$R:$R,"")/4))*XLOOKUP($Q876,'Threshold Summary'!$Y:$Y,'Threshold Summary'!$L:$L,""))/100)+5)*XLOOKUP(XLOOKUP($Q876,'Threshold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Editor'!$E:$E,1))),stab,IF(OR(mtype=XLOOKUP(XLOOKUP($Q876,'Threshold Summary'!$Y:$Y,'Threshold Summary'!$K:$K,""),'Pokemon Editor'!$A:$A,'Pokemon Editor'!$C:$C,""),mtype=XLOOKUP(XLOOKUP($Q876,'Threshold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Chart'!$B$1:$S$1,0)))),base,IF(OR(cat="Status",pow=0),0,FLOOR(FLOOR(FLOOR((2*XLOOKUP($Q876,'Threshold Summary'!$Y:$Y,'Threshold Summary'!$L:$L,"")/5+2)*pow*atk/def)/50)+2)),modifier,stab*eff,AVERAGE(ARRAYFORMULA(FLOOR(base*modifier*SEQUENCE(16,1,85,1)/100)))*MIN(1,acc/100)),0)</f>
        <v/>
      </c>
      <c r="N876" s="4">
        <f>IFERROR(LET(mtype,XLOOKUP($D876,'Move Editor'!$B:$B,'Move Editor'!$C:$C,""),cat,XLOOKUP($D876,'Move Editor'!$B:$B,'Move Editor'!$D:$D,""),pow,XLOOKUP($D876,'Move Editor'!$B:$B,'Move Editor'!$E:$E,0),acc,XLOOKUP($D876,'Move Editor'!$B:$B,'Move Editor'!$F:$F,100),atk,IF(cat="Physical",FLOOR((FLOOR(((2*XLOOKUP(XLOOKUP($Q876,'Threshold Summary'!$Y:$Y,'Threshold Summary'!$K:$K,""),'Pokemon Editor'!$A:$A,'Pokemon Editor'!$F:$F,0)+31+FLOOR(XLOOKUP($Q876,'Threshold Summary'!$Y:$Y,'Threshold Summary'!$P:$P,"")/4))*XLOOKUP($Q876,'Threshold Summary'!$Y:$Y,'Threshold Summary'!$L:$L,""))/100)+5)*XLOOKUP(XLOOKUP($Q876,'Threshold Summary'!$Y:$Y,'Threshold Summary'!$M:$M,""),'Nature Editor'!$A:$A,'Nature Editor'!$B:$B,1)),FLOOR((FLOOR(((2*XLOOKUP(XLOOKUP($Q876,'Threshold Summary'!$Y:$Y,'Threshold Summary'!$K:$K,""),'Pokemon Editor'!$A:$A,'Pokemon Editor'!$H:$H,0)+31+FLOOR(XLOOKUP($Q876,'Threshold Summary'!$Y:$Y,'Threshold Summary'!$R:$R,"")/4))*XLOOKUP($Q876,'Threshold Summary'!$Y:$Y,'Threshold Summary'!$L:$L,""))/100)+5)*XLOOKUP(XLOOKUP($Q876,'Threshold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Editor'!$E:$E,1))),stab,IF(OR(mtype=XLOOKUP(XLOOKUP($Q876,'Threshold Summary'!$Y:$Y,'Threshold Summary'!$K:$K,""),'Pokemon Editor'!$A:$A,'Pokemon Editor'!$C:$C,""),mtype=XLOOKUP(XLOOKUP($Q876,'Threshold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Chart'!$B$1:$S$1,0)))),base,IF(OR(cat="Status",pow=0),0,FLOOR(FLOOR(FLOOR((2*XLOOKUP($Q876,'Threshold Summary'!$Y:$Y,'Threshold Summary'!$L:$L,"")/5+2)*pow*atk/def)/50)+2)),modifier,stab*eff,AVERAGE(ARRAYFORMULA(FLOOR(base*modifier*SEQUENCE(16,1,85,1)/100)))/(FLOOR(((2*XLOOKUP('Boss Editor'!$C$4,'Pokemon Editor'!$A:$A,'Pokemon Editor'!$E:$E,0)+31+FLOOR('Boss Editor'!$G$4/4))*'Boss Editor'!$D$4)/100)+'Boss Editor'!$D$4+10)),0)</f>
        <v/>
      </c>
      <c r="O876" s="3">
        <f>IF(N876&gt;=1,"OHKO",IF(N876&gt;=0.5,"2HKO",IF(N876&gt;=0.333,"3HKO",IF(N876&gt;=0.25,"4HKO","5HKO+"))))</f>
        <v/>
      </c>
      <c r="P876" s="3" t="inlineStr">
        <is>
          <t>Live from editable databases</t>
        </is>
      </c>
      <c r="Q876" s="3" t="inlineStr">
        <is>
          <t>SPECIES_NYMBLE</t>
        </is>
      </c>
      <c r="R876" s="3" t="n">
        <v>11</v>
      </c>
    </row>
    <row r="877">
      <c r="A877" s="3">
        <f>XLOOKUP($Q877,'Threshold Summary'!$Y:$Y,'Threshold Summary'!$A:$A,"")</f>
        <v/>
      </c>
      <c r="B877" s="3">
        <f>XLOOKUP($Q877,'Threshold Summary'!$Y:$Y,'Threshold Summary'!$M:$M,"")</f>
        <v/>
      </c>
      <c r="C877" s="3">
        <f>XLOOKUP($Q877,'Threshold Summary'!$Y:$Y,'Threshold Summary'!$N:$N,"")</f>
        <v/>
      </c>
      <c r="D877" s="3">
        <f>IFERROR(INDEX(FILTER('Learnset Editor'!$D$2:$D,'Learnset Editor'!$A$2:$A=XLOOKUP($Q877,'Threshold Summary'!$Y:$Y,'Threshold Summary'!$K:$K,""),'Learnset Editor'!$C$2:$C&lt;=XLOOKUP($Q877,'Threshold Summary'!$Y:$Y,'Threshold Summary'!$L:$L,"")),$R877),"")</f>
        <v/>
      </c>
      <c r="E877" s="3">
        <f>XLOOKUP(D877,'Move Editor'!$B:$B,'Move Editor'!$C:$C,"")</f>
        <v/>
      </c>
      <c r="F877" s="3">
        <f>XLOOKUP(D877,'Move Editor'!$B:$B,'Move Editor'!$D:$D,"")</f>
        <v/>
      </c>
      <c r="G877" s="3">
        <f>XLOOKUP(D877,'Move Editor'!$B:$B,'Move Editor'!$E:$E,0)</f>
        <v/>
      </c>
      <c r="H877" s="3">
        <f>XLOOKUP(D877,'Move Editor'!$B:$B,'Move Editor'!$F:$F,0)</f>
        <v/>
      </c>
      <c r="I877" s="3">
        <f>(INDEX('Type Chart'!$B:$S,MATCH(E877,'Type Chart'!$A:$A,0),MATCH(XLOOKUP('Boss Editor'!$C$4,'Pokemon Editor'!$A:$A,'Pokemon Editor'!$C:$C,""),'Type Chart'!$B$1:$S$1,0))*IF(XLOOKUP('Boss Editor'!$C$4,'Pokemon Editor'!$A:$A,'Pokemon Editor'!$D:$D,"")="",1,INDEX('Type Chart'!$B:$S,MATCH(E877,'Type Chart'!$A:$A,0),MATCH(XLOOKUP('Boss Editor'!$C$4,'Pokemon Editor'!$A:$A,'Pokemon Editor'!$D:$D,""),'Type Chart'!$B$1:$S$1,0))))</f>
        <v/>
      </c>
      <c r="J877" s="3">
        <f>IFERROR(LET(mtype,XLOOKUP($D877,'Move Editor'!$B:$B,'Move Editor'!$C:$C,""),cat,XLOOKUP($D877,'Move Editor'!$B:$B,'Move Editor'!$D:$D,""),pow,XLOOKUP($D877,'Move Editor'!$B:$B,'Move Editor'!$E:$E,0),acc,XLOOKUP($D877,'Move Editor'!$B:$B,'Move Editor'!$F:$F,100),atk,IF(cat="Physical",FLOOR((FLOOR(((2*XLOOKUP(XLOOKUP($Q877,'Threshold Summary'!$Y:$Y,'Threshold Summary'!$K:$K,""),'Pokemon Editor'!$A:$A,'Pokemon Editor'!$F:$F,0)+31+FLOOR(XLOOKUP($Q877,'Threshold Summary'!$Y:$Y,'Threshold Summary'!$P:$P,"")/4))*XLOOKUP($Q877,'Threshold Summary'!$Y:$Y,'Threshold Summary'!$L:$L,""))/100)+5)*XLOOKUP(XLOOKUP($Q877,'Threshold Summary'!$Y:$Y,'Threshold Summary'!$M:$M,""),'Nature Editor'!$A:$A,'Nature Editor'!$B:$B,1)),FLOOR((FLOOR(((2*XLOOKUP(XLOOKUP($Q877,'Threshold Summary'!$Y:$Y,'Threshold Summary'!$K:$K,""),'Pokemon Editor'!$A:$A,'Pokemon Editor'!$H:$H,0)+31+FLOOR(XLOOKUP($Q877,'Threshold Summary'!$Y:$Y,'Threshold Summary'!$R:$R,"")/4))*XLOOKUP($Q877,'Threshold Summary'!$Y:$Y,'Threshold Summary'!$L:$L,""))/100)+5)*XLOOKUP(XLOOKUP($Q877,'Threshold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Editor'!$E:$E,1))),stab,IF(OR(mtype=XLOOKUP(XLOOKUP($Q877,'Threshold Summary'!$Y:$Y,'Threshold Summary'!$K:$K,""),'Pokemon Editor'!$A:$A,'Pokemon Editor'!$C:$C,""),mtype=XLOOKUP(XLOOKUP($Q877,'Threshold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Chart'!$B$1:$S$1,0)))),base,IF(OR(cat="Status",pow=0),0,FLOOR(FLOOR(FLOOR((2*XLOOKUP($Q877,'Threshold Summary'!$Y:$Y,'Threshold Summary'!$L:$L,"")/5+2)*pow*atk/def)/50)+2)),modifier,stab*eff,FLOOR(base*modifier*0.85)),0)</f>
        <v/>
      </c>
      <c r="K877" s="3">
        <f>IFERROR(LET(mtype,XLOOKUP($D877,'Move Editor'!$B:$B,'Move Editor'!$C:$C,""),cat,XLOOKUP($D877,'Move Editor'!$B:$B,'Move Editor'!$D:$D,""),pow,XLOOKUP($D877,'Move Editor'!$B:$B,'Move Editor'!$E:$E,0),acc,XLOOKUP($D877,'Move Editor'!$B:$B,'Move Editor'!$F:$F,100),atk,IF(cat="Physical",FLOOR((FLOOR(((2*XLOOKUP(XLOOKUP($Q877,'Threshold Summary'!$Y:$Y,'Threshold Summary'!$K:$K,""),'Pokemon Editor'!$A:$A,'Pokemon Editor'!$F:$F,0)+31+FLOOR(XLOOKUP($Q877,'Threshold Summary'!$Y:$Y,'Threshold Summary'!$P:$P,"")/4))*XLOOKUP($Q877,'Threshold Summary'!$Y:$Y,'Threshold Summary'!$L:$L,""))/100)+5)*XLOOKUP(XLOOKUP($Q877,'Threshold Summary'!$Y:$Y,'Threshold Summary'!$M:$M,""),'Nature Editor'!$A:$A,'Nature Editor'!$B:$B,1)),FLOOR((FLOOR(((2*XLOOKUP(XLOOKUP($Q877,'Threshold Summary'!$Y:$Y,'Threshold Summary'!$K:$K,""),'Pokemon Editor'!$A:$A,'Pokemon Editor'!$H:$H,0)+31+FLOOR(XLOOKUP($Q877,'Threshold Summary'!$Y:$Y,'Threshold Summary'!$R:$R,"")/4))*XLOOKUP($Q877,'Threshold Summary'!$Y:$Y,'Threshold Summary'!$L:$L,""))/100)+5)*XLOOKUP(XLOOKUP($Q877,'Threshold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Editor'!$E:$E,1))),stab,IF(OR(mtype=XLOOKUP(XLOOKUP($Q877,'Threshold Summary'!$Y:$Y,'Threshold Summary'!$K:$K,""),'Pokemon Editor'!$A:$A,'Pokemon Editor'!$C:$C,""),mtype=XLOOKUP(XLOOKUP($Q877,'Threshold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Chart'!$B$1:$S$1,0)))),base,IF(OR(cat="Status",pow=0),0,FLOOR(FLOOR(FLOOR((2*XLOOKUP($Q877,'Threshold Summary'!$Y:$Y,'Threshold Summary'!$L:$L,"")/5+2)*pow*atk/def)/50)+2)),modifier,stab*eff,FLOOR(base*modifier)),0)</f>
        <v/>
      </c>
      <c r="L877" s="3">
        <f>IFERROR(LET(mtype,XLOOKUP($D877,'Move Editor'!$B:$B,'Move Editor'!$C:$C,""),cat,XLOOKUP($D877,'Move Editor'!$B:$B,'Move Editor'!$D:$D,""),pow,XLOOKUP($D877,'Move Editor'!$B:$B,'Move Editor'!$E:$E,0),acc,XLOOKUP($D877,'Move Editor'!$B:$B,'Move Editor'!$F:$F,100),atk,IF(cat="Physical",FLOOR((FLOOR(((2*XLOOKUP(XLOOKUP($Q877,'Threshold Summary'!$Y:$Y,'Threshold Summary'!$K:$K,""),'Pokemon Editor'!$A:$A,'Pokemon Editor'!$F:$F,0)+31+FLOOR(XLOOKUP($Q877,'Threshold Summary'!$Y:$Y,'Threshold Summary'!$P:$P,"")/4))*XLOOKUP($Q877,'Threshold Summary'!$Y:$Y,'Threshold Summary'!$L:$L,""))/100)+5)*XLOOKUP(XLOOKUP($Q877,'Threshold Summary'!$Y:$Y,'Threshold Summary'!$M:$M,""),'Nature Editor'!$A:$A,'Nature Editor'!$B:$B,1)),FLOOR((FLOOR(((2*XLOOKUP(XLOOKUP($Q877,'Threshold Summary'!$Y:$Y,'Threshold Summary'!$K:$K,""),'Pokemon Editor'!$A:$A,'Pokemon Editor'!$H:$H,0)+31+FLOOR(XLOOKUP($Q877,'Threshold Summary'!$Y:$Y,'Threshold Summary'!$R:$R,"")/4))*XLOOKUP($Q877,'Threshold Summary'!$Y:$Y,'Threshold Summary'!$L:$L,""))/100)+5)*XLOOKUP(XLOOKUP($Q877,'Threshold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Editor'!$E:$E,1))),stab,IF(OR(mtype=XLOOKUP(XLOOKUP($Q877,'Threshold Summary'!$Y:$Y,'Threshold Summary'!$K:$K,""),'Pokemon Editor'!$A:$A,'Pokemon Editor'!$C:$C,""),mtype=XLOOKUP(XLOOKUP($Q877,'Threshold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Chart'!$B$1:$S$1,0)))),base,IF(OR(cat="Status",pow=0),0,FLOOR(FLOOR(FLOOR((2*XLOOKUP($Q877,'Threshold Summary'!$Y:$Y,'Threshold Summary'!$L:$L,"")/5+2)*pow*atk/def)/50)+2)),modifier,stab*eff,AVERAGE(ARRAYFORMULA(FLOOR(base*modifier*SEQUENCE(16,1,85,1)/100)))),0)</f>
        <v/>
      </c>
      <c r="M877" s="3">
        <f>IFERROR(LET(mtype,XLOOKUP($D877,'Move Editor'!$B:$B,'Move Editor'!$C:$C,""),cat,XLOOKUP($D877,'Move Editor'!$B:$B,'Move Editor'!$D:$D,""),pow,XLOOKUP($D877,'Move Editor'!$B:$B,'Move Editor'!$E:$E,0),acc,XLOOKUP($D877,'Move Editor'!$B:$B,'Move Editor'!$F:$F,100),atk,IF(cat="Physical",FLOOR((FLOOR(((2*XLOOKUP(XLOOKUP($Q877,'Threshold Summary'!$Y:$Y,'Threshold Summary'!$K:$K,""),'Pokemon Editor'!$A:$A,'Pokemon Editor'!$F:$F,0)+31+FLOOR(XLOOKUP($Q877,'Threshold Summary'!$Y:$Y,'Threshold Summary'!$P:$P,"")/4))*XLOOKUP($Q877,'Threshold Summary'!$Y:$Y,'Threshold Summary'!$L:$L,""))/100)+5)*XLOOKUP(XLOOKUP($Q877,'Threshold Summary'!$Y:$Y,'Threshold Summary'!$M:$M,""),'Nature Editor'!$A:$A,'Nature Editor'!$B:$B,1)),FLOOR((FLOOR(((2*XLOOKUP(XLOOKUP($Q877,'Threshold Summary'!$Y:$Y,'Threshold Summary'!$K:$K,""),'Pokemon Editor'!$A:$A,'Pokemon Editor'!$H:$H,0)+31+FLOOR(XLOOKUP($Q877,'Threshold Summary'!$Y:$Y,'Threshold Summary'!$R:$R,"")/4))*XLOOKUP($Q877,'Threshold Summary'!$Y:$Y,'Threshold Summary'!$L:$L,""))/100)+5)*XLOOKUP(XLOOKUP($Q877,'Threshold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Editor'!$E:$E,1))),stab,IF(OR(mtype=XLOOKUP(XLOOKUP($Q877,'Threshold Summary'!$Y:$Y,'Threshold Summary'!$K:$K,""),'Pokemon Editor'!$A:$A,'Pokemon Editor'!$C:$C,""),mtype=XLOOKUP(XLOOKUP($Q877,'Threshold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Chart'!$B$1:$S$1,0)))),base,IF(OR(cat="Status",pow=0),0,FLOOR(FLOOR(FLOOR((2*XLOOKUP($Q877,'Threshold Summary'!$Y:$Y,'Threshold Summary'!$L:$L,"")/5+2)*pow*atk/def)/50)+2)),modifier,stab*eff,AVERAGE(ARRAYFORMULA(FLOOR(base*modifier*SEQUENCE(16,1,85,1)/100)))*MIN(1,acc/100)),0)</f>
        <v/>
      </c>
      <c r="N877" s="4">
        <f>IFERROR(LET(mtype,XLOOKUP($D877,'Move Editor'!$B:$B,'Move Editor'!$C:$C,""),cat,XLOOKUP($D877,'Move Editor'!$B:$B,'Move Editor'!$D:$D,""),pow,XLOOKUP($D877,'Move Editor'!$B:$B,'Move Editor'!$E:$E,0),acc,XLOOKUP($D877,'Move Editor'!$B:$B,'Move Editor'!$F:$F,100),atk,IF(cat="Physical",FLOOR((FLOOR(((2*XLOOKUP(XLOOKUP($Q877,'Threshold Summary'!$Y:$Y,'Threshold Summary'!$K:$K,""),'Pokemon Editor'!$A:$A,'Pokemon Editor'!$F:$F,0)+31+FLOOR(XLOOKUP($Q877,'Threshold Summary'!$Y:$Y,'Threshold Summary'!$P:$P,"")/4))*XLOOKUP($Q877,'Threshold Summary'!$Y:$Y,'Threshold Summary'!$L:$L,""))/100)+5)*XLOOKUP(XLOOKUP($Q877,'Threshold Summary'!$Y:$Y,'Threshold Summary'!$M:$M,""),'Nature Editor'!$A:$A,'Nature Editor'!$B:$B,1)),FLOOR((FLOOR(((2*XLOOKUP(XLOOKUP($Q877,'Threshold Summary'!$Y:$Y,'Threshold Summary'!$K:$K,""),'Pokemon Editor'!$A:$A,'Pokemon Editor'!$H:$H,0)+31+FLOOR(XLOOKUP($Q877,'Threshold Summary'!$Y:$Y,'Threshold Summary'!$R:$R,"")/4))*XLOOKUP($Q877,'Threshold Summary'!$Y:$Y,'Threshold Summary'!$L:$L,""))/100)+5)*XLOOKUP(XLOOKUP($Q877,'Threshold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Editor'!$E:$E,1))),stab,IF(OR(mtype=XLOOKUP(XLOOKUP($Q877,'Threshold Summary'!$Y:$Y,'Threshold Summary'!$K:$K,""),'Pokemon Editor'!$A:$A,'Pokemon Editor'!$C:$C,""),mtype=XLOOKUP(XLOOKUP($Q877,'Threshold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Chart'!$B$1:$S$1,0)))),base,IF(OR(cat="Status",pow=0),0,FLOOR(FLOOR(FLOOR((2*XLOOKUP($Q877,'Threshold Summary'!$Y:$Y,'Threshold Summary'!$L:$L,"")/5+2)*pow*atk/def)/50)+2)),modifier,stab*eff,AVERAGE(ARRAYFORMULA(FLOOR(base*modifier*SEQUENCE(16,1,85,1)/100)))/(FLOOR(((2*XLOOKUP('Boss Editor'!$C$4,'Pokemon Editor'!$A:$A,'Pokemon Editor'!$E:$E,0)+31+FLOOR('Boss Editor'!$G$4/4))*'Boss Editor'!$D$4)/100)+'Boss Editor'!$D$4+10)),0)</f>
        <v/>
      </c>
      <c r="O877" s="3">
        <f>IF(N877&gt;=1,"OHKO",IF(N877&gt;=0.5,"2HKO",IF(N877&gt;=0.333,"3HKO",IF(N877&gt;=0.25,"4HKO","5HKO+"))))</f>
        <v/>
      </c>
      <c r="P877" s="3" t="inlineStr">
        <is>
          <t>Live from editable databases</t>
        </is>
      </c>
      <c r="Q877" s="3" t="inlineStr">
        <is>
          <t>SPECIES_NYMBLE</t>
        </is>
      </c>
      <c r="R877" s="3" t="n">
        <v>12</v>
      </c>
    </row>
    <row r="878">
      <c r="A878" s="3">
        <f>XLOOKUP($Q878,'Threshold Summary'!$Y:$Y,'Threshold Summary'!$A:$A,"")</f>
        <v/>
      </c>
      <c r="B878" s="3">
        <f>XLOOKUP($Q878,'Threshold Summary'!$Y:$Y,'Threshold Summary'!$M:$M,"")</f>
        <v/>
      </c>
      <c r="C878" s="3">
        <f>XLOOKUP($Q878,'Threshold Summary'!$Y:$Y,'Threshold Summary'!$N:$N,"")</f>
        <v/>
      </c>
      <c r="D878" s="3">
        <f>IFERROR(INDEX(FILTER('Learnset Editor'!$D$2:$D,'Learnset Editor'!$A$2:$A=XLOOKUP($Q878,'Threshold Summary'!$Y:$Y,'Threshold Summary'!$K:$K,""),'Learnset Editor'!$C$2:$C&lt;=XLOOKUP($Q878,'Threshold Summary'!$Y:$Y,'Threshold Summary'!$L:$L,"")),$R878),"")</f>
        <v/>
      </c>
      <c r="E878" s="3">
        <f>XLOOKUP(D878,'Move Editor'!$B:$B,'Move Editor'!$C:$C,"")</f>
        <v/>
      </c>
      <c r="F878" s="3">
        <f>XLOOKUP(D878,'Move Editor'!$B:$B,'Move Editor'!$D:$D,"")</f>
        <v/>
      </c>
      <c r="G878" s="3">
        <f>XLOOKUP(D878,'Move Editor'!$B:$B,'Move Editor'!$E:$E,0)</f>
        <v/>
      </c>
      <c r="H878" s="3">
        <f>XLOOKUP(D878,'Move Editor'!$B:$B,'Move Editor'!$F:$F,0)</f>
        <v/>
      </c>
      <c r="I878" s="3">
        <f>(INDEX('Type Chart'!$B:$S,MATCH(E878,'Type Chart'!$A:$A,0),MATCH(XLOOKUP('Boss Editor'!$C$4,'Pokemon Editor'!$A:$A,'Pokemon Editor'!$C:$C,""),'Type Chart'!$B$1:$S$1,0))*IF(XLOOKUP('Boss Editor'!$C$4,'Pokemon Editor'!$A:$A,'Pokemon Editor'!$D:$D,"")="",1,INDEX('Type Chart'!$B:$S,MATCH(E878,'Type Chart'!$A:$A,0),MATCH(XLOOKUP('Boss Editor'!$C$4,'Pokemon Editor'!$A:$A,'Pokemon Editor'!$D:$D,""),'Type Chart'!$B$1:$S$1,0))))</f>
        <v/>
      </c>
      <c r="J878" s="3">
        <f>IFERROR(LET(mtype,XLOOKUP($D878,'Move Editor'!$B:$B,'Move Editor'!$C:$C,""),cat,XLOOKUP($D878,'Move Editor'!$B:$B,'Move Editor'!$D:$D,""),pow,XLOOKUP($D878,'Move Editor'!$B:$B,'Move Editor'!$E:$E,0),acc,XLOOKUP($D878,'Move Editor'!$B:$B,'Move Editor'!$F:$F,100),atk,IF(cat="Physical",FLOOR((FLOOR(((2*XLOOKUP(XLOOKUP($Q878,'Threshold Summary'!$Y:$Y,'Threshold Summary'!$K:$K,""),'Pokemon Editor'!$A:$A,'Pokemon Editor'!$F:$F,0)+31+FLOOR(XLOOKUP($Q878,'Threshold Summary'!$Y:$Y,'Threshold Summary'!$P:$P,"")/4))*XLOOKUP($Q878,'Threshold Summary'!$Y:$Y,'Threshold Summary'!$L:$L,""))/100)+5)*XLOOKUP(XLOOKUP($Q878,'Threshold Summary'!$Y:$Y,'Threshold Summary'!$M:$M,""),'Nature Editor'!$A:$A,'Nature Editor'!$B:$B,1)),FLOOR((FLOOR(((2*XLOOKUP(XLOOKUP($Q878,'Threshold Summary'!$Y:$Y,'Threshold Summary'!$K:$K,""),'Pokemon Editor'!$A:$A,'Pokemon Editor'!$H:$H,0)+31+FLOOR(XLOOKUP($Q878,'Threshold Summary'!$Y:$Y,'Threshold Summary'!$R:$R,"")/4))*XLOOKUP($Q878,'Threshold Summary'!$Y:$Y,'Threshold Summary'!$L:$L,""))/100)+5)*XLOOKUP(XLOOKUP($Q878,'Threshold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Editor'!$E:$E,1))),stab,IF(OR(mtype=XLOOKUP(XLOOKUP($Q878,'Threshold Summary'!$Y:$Y,'Threshold Summary'!$K:$K,""),'Pokemon Editor'!$A:$A,'Pokemon Editor'!$C:$C,""),mtype=XLOOKUP(XLOOKUP($Q878,'Threshold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Chart'!$B$1:$S$1,0)))),base,IF(OR(cat="Status",pow=0),0,FLOOR(FLOOR(FLOOR((2*XLOOKUP($Q878,'Threshold Summary'!$Y:$Y,'Threshold Summary'!$L:$L,"")/5+2)*pow*atk/def)/50)+2)),modifier,stab*eff,FLOOR(base*modifier*0.85)),0)</f>
        <v/>
      </c>
      <c r="K878" s="3">
        <f>IFERROR(LET(mtype,XLOOKUP($D878,'Move Editor'!$B:$B,'Move Editor'!$C:$C,""),cat,XLOOKUP($D878,'Move Editor'!$B:$B,'Move Editor'!$D:$D,""),pow,XLOOKUP($D878,'Move Editor'!$B:$B,'Move Editor'!$E:$E,0),acc,XLOOKUP($D878,'Move Editor'!$B:$B,'Move Editor'!$F:$F,100),atk,IF(cat="Physical",FLOOR((FLOOR(((2*XLOOKUP(XLOOKUP($Q878,'Threshold Summary'!$Y:$Y,'Threshold Summary'!$K:$K,""),'Pokemon Editor'!$A:$A,'Pokemon Editor'!$F:$F,0)+31+FLOOR(XLOOKUP($Q878,'Threshold Summary'!$Y:$Y,'Threshold Summary'!$P:$P,"")/4))*XLOOKUP($Q878,'Threshold Summary'!$Y:$Y,'Threshold Summary'!$L:$L,""))/100)+5)*XLOOKUP(XLOOKUP($Q878,'Threshold Summary'!$Y:$Y,'Threshold Summary'!$M:$M,""),'Nature Editor'!$A:$A,'Nature Editor'!$B:$B,1)),FLOOR((FLOOR(((2*XLOOKUP(XLOOKUP($Q878,'Threshold Summary'!$Y:$Y,'Threshold Summary'!$K:$K,""),'Pokemon Editor'!$A:$A,'Pokemon Editor'!$H:$H,0)+31+FLOOR(XLOOKUP($Q878,'Threshold Summary'!$Y:$Y,'Threshold Summary'!$R:$R,"")/4))*XLOOKUP($Q878,'Threshold Summary'!$Y:$Y,'Threshold Summary'!$L:$L,""))/100)+5)*XLOOKUP(XLOOKUP($Q878,'Threshold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Editor'!$E:$E,1))),stab,IF(OR(mtype=XLOOKUP(XLOOKUP($Q878,'Threshold Summary'!$Y:$Y,'Threshold Summary'!$K:$K,""),'Pokemon Editor'!$A:$A,'Pokemon Editor'!$C:$C,""),mtype=XLOOKUP(XLOOKUP($Q878,'Threshold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Chart'!$B$1:$S$1,0)))),base,IF(OR(cat="Status",pow=0),0,FLOOR(FLOOR(FLOOR((2*XLOOKUP($Q878,'Threshold Summary'!$Y:$Y,'Threshold Summary'!$L:$L,"")/5+2)*pow*atk/def)/50)+2)),modifier,stab*eff,FLOOR(base*modifier)),0)</f>
        <v/>
      </c>
      <c r="L878" s="3">
        <f>IFERROR(LET(mtype,XLOOKUP($D878,'Move Editor'!$B:$B,'Move Editor'!$C:$C,""),cat,XLOOKUP($D878,'Move Editor'!$B:$B,'Move Editor'!$D:$D,""),pow,XLOOKUP($D878,'Move Editor'!$B:$B,'Move Editor'!$E:$E,0),acc,XLOOKUP($D878,'Move Editor'!$B:$B,'Move Editor'!$F:$F,100),atk,IF(cat="Physical",FLOOR((FLOOR(((2*XLOOKUP(XLOOKUP($Q878,'Threshold Summary'!$Y:$Y,'Threshold Summary'!$K:$K,""),'Pokemon Editor'!$A:$A,'Pokemon Editor'!$F:$F,0)+31+FLOOR(XLOOKUP($Q878,'Threshold Summary'!$Y:$Y,'Threshold Summary'!$P:$P,"")/4))*XLOOKUP($Q878,'Threshold Summary'!$Y:$Y,'Threshold Summary'!$L:$L,""))/100)+5)*XLOOKUP(XLOOKUP($Q878,'Threshold Summary'!$Y:$Y,'Threshold Summary'!$M:$M,""),'Nature Editor'!$A:$A,'Nature Editor'!$B:$B,1)),FLOOR((FLOOR(((2*XLOOKUP(XLOOKUP($Q878,'Threshold Summary'!$Y:$Y,'Threshold Summary'!$K:$K,""),'Pokemon Editor'!$A:$A,'Pokemon Editor'!$H:$H,0)+31+FLOOR(XLOOKUP($Q878,'Threshold Summary'!$Y:$Y,'Threshold Summary'!$R:$R,"")/4))*XLOOKUP($Q878,'Threshold Summary'!$Y:$Y,'Threshold Summary'!$L:$L,""))/100)+5)*XLOOKUP(XLOOKUP($Q878,'Threshold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Editor'!$E:$E,1))),stab,IF(OR(mtype=XLOOKUP(XLOOKUP($Q878,'Threshold Summary'!$Y:$Y,'Threshold Summary'!$K:$K,""),'Pokemon Editor'!$A:$A,'Pokemon Editor'!$C:$C,""),mtype=XLOOKUP(XLOOKUP($Q878,'Threshold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Chart'!$B$1:$S$1,0)))),base,IF(OR(cat="Status",pow=0),0,FLOOR(FLOOR(FLOOR((2*XLOOKUP($Q878,'Threshold Summary'!$Y:$Y,'Threshold Summary'!$L:$L,"")/5+2)*pow*atk/def)/50)+2)),modifier,stab*eff,AVERAGE(ARRAYFORMULA(FLOOR(base*modifier*SEQUENCE(16,1,85,1)/100)))),0)</f>
        <v/>
      </c>
      <c r="M878" s="3">
        <f>IFERROR(LET(mtype,XLOOKUP($D878,'Move Editor'!$B:$B,'Move Editor'!$C:$C,""),cat,XLOOKUP($D878,'Move Editor'!$B:$B,'Move Editor'!$D:$D,""),pow,XLOOKUP($D878,'Move Editor'!$B:$B,'Move Editor'!$E:$E,0),acc,XLOOKUP($D878,'Move Editor'!$B:$B,'Move Editor'!$F:$F,100),atk,IF(cat="Physical",FLOOR((FLOOR(((2*XLOOKUP(XLOOKUP($Q878,'Threshold Summary'!$Y:$Y,'Threshold Summary'!$K:$K,""),'Pokemon Editor'!$A:$A,'Pokemon Editor'!$F:$F,0)+31+FLOOR(XLOOKUP($Q878,'Threshold Summary'!$Y:$Y,'Threshold Summary'!$P:$P,"")/4))*XLOOKUP($Q878,'Threshold Summary'!$Y:$Y,'Threshold Summary'!$L:$L,""))/100)+5)*XLOOKUP(XLOOKUP($Q878,'Threshold Summary'!$Y:$Y,'Threshold Summary'!$M:$M,""),'Nature Editor'!$A:$A,'Nature Editor'!$B:$B,1)),FLOOR((FLOOR(((2*XLOOKUP(XLOOKUP($Q878,'Threshold Summary'!$Y:$Y,'Threshold Summary'!$K:$K,""),'Pokemon Editor'!$A:$A,'Pokemon Editor'!$H:$H,0)+31+FLOOR(XLOOKUP($Q878,'Threshold Summary'!$Y:$Y,'Threshold Summary'!$R:$R,"")/4))*XLOOKUP($Q878,'Threshold Summary'!$Y:$Y,'Threshold Summary'!$L:$L,""))/100)+5)*XLOOKUP(XLOOKUP($Q878,'Threshold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Editor'!$E:$E,1))),stab,IF(OR(mtype=XLOOKUP(XLOOKUP($Q878,'Threshold Summary'!$Y:$Y,'Threshold Summary'!$K:$K,""),'Pokemon Editor'!$A:$A,'Pokemon Editor'!$C:$C,""),mtype=XLOOKUP(XLOOKUP($Q878,'Threshold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Chart'!$B$1:$S$1,0)))),base,IF(OR(cat="Status",pow=0),0,FLOOR(FLOOR(FLOOR((2*XLOOKUP($Q878,'Threshold Summary'!$Y:$Y,'Threshold Summary'!$L:$L,"")/5+2)*pow*atk/def)/50)+2)),modifier,stab*eff,AVERAGE(ARRAYFORMULA(FLOOR(base*modifier*SEQUENCE(16,1,85,1)/100)))*MIN(1,acc/100)),0)</f>
        <v/>
      </c>
      <c r="N878" s="4">
        <f>IFERROR(LET(mtype,XLOOKUP($D878,'Move Editor'!$B:$B,'Move Editor'!$C:$C,""),cat,XLOOKUP($D878,'Move Editor'!$B:$B,'Move Editor'!$D:$D,""),pow,XLOOKUP($D878,'Move Editor'!$B:$B,'Move Editor'!$E:$E,0),acc,XLOOKUP($D878,'Move Editor'!$B:$B,'Move Editor'!$F:$F,100),atk,IF(cat="Physical",FLOOR((FLOOR(((2*XLOOKUP(XLOOKUP($Q878,'Threshold Summary'!$Y:$Y,'Threshold Summary'!$K:$K,""),'Pokemon Editor'!$A:$A,'Pokemon Editor'!$F:$F,0)+31+FLOOR(XLOOKUP($Q878,'Threshold Summary'!$Y:$Y,'Threshold Summary'!$P:$P,"")/4))*XLOOKUP($Q878,'Threshold Summary'!$Y:$Y,'Threshold Summary'!$L:$L,""))/100)+5)*XLOOKUP(XLOOKUP($Q878,'Threshold Summary'!$Y:$Y,'Threshold Summary'!$M:$M,""),'Nature Editor'!$A:$A,'Nature Editor'!$B:$B,1)),FLOOR((FLOOR(((2*XLOOKUP(XLOOKUP($Q878,'Threshold Summary'!$Y:$Y,'Threshold Summary'!$K:$K,""),'Pokemon Editor'!$A:$A,'Pokemon Editor'!$H:$H,0)+31+FLOOR(XLOOKUP($Q878,'Threshold Summary'!$Y:$Y,'Threshold Summary'!$R:$R,"")/4))*XLOOKUP($Q878,'Threshold Summary'!$Y:$Y,'Threshold Summary'!$L:$L,""))/100)+5)*XLOOKUP(XLOOKUP($Q878,'Threshold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Editor'!$E:$E,1))),stab,IF(OR(mtype=XLOOKUP(XLOOKUP($Q878,'Threshold Summary'!$Y:$Y,'Threshold Summary'!$K:$K,""),'Pokemon Editor'!$A:$A,'Pokemon Editor'!$C:$C,""),mtype=XLOOKUP(XLOOKUP($Q878,'Threshold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Chart'!$B$1:$S$1,0)))),base,IF(OR(cat="Status",pow=0),0,FLOOR(FLOOR(FLOOR((2*XLOOKUP($Q878,'Threshold Summary'!$Y:$Y,'Threshold Summary'!$L:$L,"")/5+2)*pow*atk/def)/50)+2)),modifier,stab*eff,AVERAGE(ARRAYFORMULA(FLOOR(base*modifier*SEQUENCE(16,1,85,1)/100)))/(FLOOR(((2*XLOOKUP('Boss Editor'!$C$4,'Pokemon Editor'!$A:$A,'Pokemon Editor'!$E:$E,0)+31+FLOOR('Boss Editor'!$G$4/4))*'Boss Editor'!$D$4)/100)+'Boss Editor'!$D$4+10)),0)</f>
        <v/>
      </c>
      <c r="O878" s="3">
        <f>IF(N878&gt;=1,"OHKO",IF(N878&gt;=0.5,"2HKO",IF(N878&gt;=0.333,"3HKO",IF(N878&gt;=0.25,"4HKO","5HKO+"))))</f>
        <v/>
      </c>
      <c r="P878" s="3" t="inlineStr">
        <is>
          <t>Live from editable databases</t>
        </is>
      </c>
      <c r="Q878" s="3" t="inlineStr">
        <is>
          <t>SPECIES_NYMBLE</t>
        </is>
      </c>
      <c r="R878" s="3" t="n">
        <v>13</v>
      </c>
    </row>
    <row r="879">
      <c r="A879" s="3">
        <f>XLOOKUP($Q879,'Threshold Summary'!$Y:$Y,'Threshold Summary'!$A:$A,"")</f>
        <v/>
      </c>
      <c r="B879" s="3">
        <f>XLOOKUP($Q879,'Threshold Summary'!$Y:$Y,'Threshold Summary'!$M:$M,"")</f>
        <v/>
      </c>
      <c r="C879" s="3">
        <f>XLOOKUP($Q879,'Threshold Summary'!$Y:$Y,'Threshold Summary'!$N:$N,"")</f>
        <v/>
      </c>
      <c r="D879" s="3">
        <f>IFERROR(INDEX(FILTER('Learnset Editor'!$D$2:$D,'Learnset Editor'!$A$2:$A=XLOOKUP($Q879,'Threshold Summary'!$Y:$Y,'Threshold Summary'!$K:$K,""),'Learnset Editor'!$C$2:$C&lt;=XLOOKUP($Q879,'Threshold Summary'!$Y:$Y,'Threshold Summary'!$L:$L,"")),$R879),"")</f>
        <v/>
      </c>
      <c r="E879" s="3">
        <f>XLOOKUP(D879,'Move Editor'!$B:$B,'Move Editor'!$C:$C,"")</f>
        <v/>
      </c>
      <c r="F879" s="3">
        <f>XLOOKUP(D879,'Move Editor'!$B:$B,'Move Editor'!$D:$D,"")</f>
        <v/>
      </c>
      <c r="G879" s="3">
        <f>XLOOKUP(D879,'Move Editor'!$B:$B,'Move Editor'!$E:$E,0)</f>
        <v/>
      </c>
      <c r="H879" s="3">
        <f>XLOOKUP(D879,'Move Editor'!$B:$B,'Move Editor'!$F:$F,0)</f>
        <v/>
      </c>
      <c r="I879" s="3">
        <f>(INDEX('Type Chart'!$B:$S,MATCH(E879,'Type Chart'!$A:$A,0),MATCH(XLOOKUP('Boss Editor'!$C$4,'Pokemon Editor'!$A:$A,'Pokemon Editor'!$C:$C,""),'Type Chart'!$B$1:$S$1,0))*IF(XLOOKUP('Boss Editor'!$C$4,'Pokemon Editor'!$A:$A,'Pokemon Editor'!$D:$D,"")="",1,INDEX('Type Chart'!$B:$S,MATCH(E879,'Type Chart'!$A:$A,0),MATCH(XLOOKUP('Boss Editor'!$C$4,'Pokemon Editor'!$A:$A,'Pokemon Editor'!$D:$D,""),'Type Chart'!$B$1:$S$1,0))))</f>
        <v/>
      </c>
      <c r="J879" s="3">
        <f>IFERROR(LET(mtype,XLOOKUP($D879,'Move Editor'!$B:$B,'Move Editor'!$C:$C,""),cat,XLOOKUP($D879,'Move Editor'!$B:$B,'Move Editor'!$D:$D,""),pow,XLOOKUP($D879,'Move Editor'!$B:$B,'Move Editor'!$E:$E,0),acc,XLOOKUP($D879,'Move Editor'!$B:$B,'Move Editor'!$F:$F,100),atk,IF(cat="Physical",FLOOR((FLOOR(((2*XLOOKUP(XLOOKUP($Q879,'Threshold Summary'!$Y:$Y,'Threshold Summary'!$K:$K,""),'Pokemon Editor'!$A:$A,'Pokemon Editor'!$F:$F,0)+31+FLOOR(XLOOKUP($Q879,'Threshold Summary'!$Y:$Y,'Threshold Summary'!$P:$P,"")/4))*XLOOKUP($Q879,'Threshold Summary'!$Y:$Y,'Threshold Summary'!$L:$L,""))/100)+5)*XLOOKUP(XLOOKUP($Q879,'Threshold Summary'!$Y:$Y,'Threshold Summary'!$M:$M,""),'Nature Editor'!$A:$A,'Nature Editor'!$B:$B,1)),FLOOR((FLOOR(((2*XLOOKUP(XLOOKUP($Q879,'Threshold Summary'!$Y:$Y,'Threshold Summary'!$K:$K,""),'Pokemon Editor'!$A:$A,'Pokemon Editor'!$H:$H,0)+31+FLOOR(XLOOKUP($Q879,'Threshold Summary'!$Y:$Y,'Threshold Summary'!$R:$R,"")/4))*XLOOKUP($Q879,'Threshold Summary'!$Y:$Y,'Threshold Summary'!$L:$L,""))/100)+5)*XLOOKUP(XLOOKUP($Q879,'Threshold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Editor'!$E:$E,1))),stab,IF(OR(mtype=XLOOKUP(XLOOKUP($Q879,'Threshold Summary'!$Y:$Y,'Threshold Summary'!$K:$K,""),'Pokemon Editor'!$A:$A,'Pokemon Editor'!$C:$C,""),mtype=XLOOKUP(XLOOKUP($Q879,'Threshold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Chart'!$B$1:$S$1,0)))),base,IF(OR(cat="Status",pow=0),0,FLOOR(FLOOR(FLOOR((2*XLOOKUP($Q879,'Threshold Summary'!$Y:$Y,'Threshold Summary'!$L:$L,"")/5+2)*pow*atk/def)/50)+2)),modifier,stab*eff,FLOOR(base*modifier*0.85)),0)</f>
        <v/>
      </c>
      <c r="K879" s="3">
        <f>IFERROR(LET(mtype,XLOOKUP($D879,'Move Editor'!$B:$B,'Move Editor'!$C:$C,""),cat,XLOOKUP($D879,'Move Editor'!$B:$B,'Move Editor'!$D:$D,""),pow,XLOOKUP($D879,'Move Editor'!$B:$B,'Move Editor'!$E:$E,0),acc,XLOOKUP($D879,'Move Editor'!$B:$B,'Move Editor'!$F:$F,100),atk,IF(cat="Physical",FLOOR((FLOOR(((2*XLOOKUP(XLOOKUP($Q879,'Threshold Summary'!$Y:$Y,'Threshold Summary'!$K:$K,""),'Pokemon Editor'!$A:$A,'Pokemon Editor'!$F:$F,0)+31+FLOOR(XLOOKUP($Q879,'Threshold Summary'!$Y:$Y,'Threshold Summary'!$P:$P,"")/4))*XLOOKUP($Q879,'Threshold Summary'!$Y:$Y,'Threshold Summary'!$L:$L,""))/100)+5)*XLOOKUP(XLOOKUP($Q879,'Threshold Summary'!$Y:$Y,'Threshold Summary'!$M:$M,""),'Nature Editor'!$A:$A,'Nature Editor'!$B:$B,1)),FLOOR((FLOOR(((2*XLOOKUP(XLOOKUP($Q879,'Threshold Summary'!$Y:$Y,'Threshold Summary'!$K:$K,""),'Pokemon Editor'!$A:$A,'Pokemon Editor'!$H:$H,0)+31+FLOOR(XLOOKUP($Q879,'Threshold Summary'!$Y:$Y,'Threshold Summary'!$R:$R,"")/4))*XLOOKUP($Q879,'Threshold Summary'!$Y:$Y,'Threshold Summary'!$L:$L,""))/100)+5)*XLOOKUP(XLOOKUP($Q879,'Threshold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Editor'!$E:$E,1))),stab,IF(OR(mtype=XLOOKUP(XLOOKUP($Q879,'Threshold Summary'!$Y:$Y,'Threshold Summary'!$K:$K,""),'Pokemon Editor'!$A:$A,'Pokemon Editor'!$C:$C,""),mtype=XLOOKUP(XLOOKUP($Q879,'Threshold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Chart'!$B$1:$S$1,0)))),base,IF(OR(cat="Status",pow=0),0,FLOOR(FLOOR(FLOOR((2*XLOOKUP($Q879,'Threshold Summary'!$Y:$Y,'Threshold Summary'!$L:$L,"")/5+2)*pow*atk/def)/50)+2)),modifier,stab*eff,FLOOR(base*modifier)),0)</f>
        <v/>
      </c>
      <c r="L879" s="3">
        <f>IFERROR(LET(mtype,XLOOKUP($D879,'Move Editor'!$B:$B,'Move Editor'!$C:$C,""),cat,XLOOKUP($D879,'Move Editor'!$B:$B,'Move Editor'!$D:$D,""),pow,XLOOKUP($D879,'Move Editor'!$B:$B,'Move Editor'!$E:$E,0),acc,XLOOKUP($D879,'Move Editor'!$B:$B,'Move Editor'!$F:$F,100),atk,IF(cat="Physical",FLOOR((FLOOR(((2*XLOOKUP(XLOOKUP($Q879,'Threshold Summary'!$Y:$Y,'Threshold Summary'!$K:$K,""),'Pokemon Editor'!$A:$A,'Pokemon Editor'!$F:$F,0)+31+FLOOR(XLOOKUP($Q879,'Threshold Summary'!$Y:$Y,'Threshold Summary'!$P:$P,"")/4))*XLOOKUP($Q879,'Threshold Summary'!$Y:$Y,'Threshold Summary'!$L:$L,""))/100)+5)*XLOOKUP(XLOOKUP($Q879,'Threshold Summary'!$Y:$Y,'Threshold Summary'!$M:$M,""),'Nature Editor'!$A:$A,'Nature Editor'!$B:$B,1)),FLOOR((FLOOR(((2*XLOOKUP(XLOOKUP($Q879,'Threshold Summary'!$Y:$Y,'Threshold Summary'!$K:$K,""),'Pokemon Editor'!$A:$A,'Pokemon Editor'!$H:$H,0)+31+FLOOR(XLOOKUP($Q879,'Threshold Summary'!$Y:$Y,'Threshold Summary'!$R:$R,"")/4))*XLOOKUP($Q879,'Threshold Summary'!$Y:$Y,'Threshold Summary'!$L:$L,""))/100)+5)*XLOOKUP(XLOOKUP($Q879,'Threshold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Editor'!$E:$E,1))),stab,IF(OR(mtype=XLOOKUP(XLOOKUP($Q879,'Threshold Summary'!$Y:$Y,'Threshold Summary'!$K:$K,""),'Pokemon Editor'!$A:$A,'Pokemon Editor'!$C:$C,""),mtype=XLOOKUP(XLOOKUP($Q879,'Threshold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Chart'!$B$1:$S$1,0)))),base,IF(OR(cat="Status",pow=0),0,FLOOR(FLOOR(FLOOR((2*XLOOKUP($Q879,'Threshold Summary'!$Y:$Y,'Threshold Summary'!$L:$L,"")/5+2)*pow*atk/def)/50)+2)),modifier,stab*eff,AVERAGE(ARRAYFORMULA(FLOOR(base*modifier*SEQUENCE(16,1,85,1)/100)))),0)</f>
        <v/>
      </c>
      <c r="M879" s="3">
        <f>IFERROR(LET(mtype,XLOOKUP($D879,'Move Editor'!$B:$B,'Move Editor'!$C:$C,""),cat,XLOOKUP($D879,'Move Editor'!$B:$B,'Move Editor'!$D:$D,""),pow,XLOOKUP($D879,'Move Editor'!$B:$B,'Move Editor'!$E:$E,0),acc,XLOOKUP($D879,'Move Editor'!$B:$B,'Move Editor'!$F:$F,100),atk,IF(cat="Physical",FLOOR((FLOOR(((2*XLOOKUP(XLOOKUP($Q879,'Threshold Summary'!$Y:$Y,'Threshold Summary'!$K:$K,""),'Pokemon Editor'!$A:$A,'Pokemon Editor'!$F:$F,0)+31+FLOOR(XLOOKUP($Q879,'Threshold Summary'!$Y:$Y,'Threshold Summary'!$P:$P,"")/4))*XLOOKUP($Q879,'Threshold Summary'!$Y:$Y,'Threshold Summary'!$L:$L,""))/100)+5)*XLOOKUP(XLOOKUP($Q879,'Threshold Summary'!$Y:$Y,'Threshold Summary'!$M:$M,""),'Nature Editor'!$A:$A,'Nature Editor'!$B:$B,1)),FLOOR((FLOOR(((2*XLOOKUP(XLOOKUP($Q879,'Threshold Summary'!$Y:$Y,'Threshold Summary'!$K:$K,""),'Pokemon Editor'!$A:$A,'Pokemon Editor'!$H:$H,0)+31+FLOOR(XLOOKUP($Q879,'Threshold Summary'!$Y:$Y,'Threshold Summary'!$R:$R,"")/4))*XLOOKUP($Q879,'Threshold Summary'!$Y:$Y,'Threshold Summary'!$L:$L,""))/100)+5)*XLOOKUP(XLOOKUP($Q879,'Threshold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Editor'!$E:$E,1))),stab,IF(OR(mtype=XLOOKUP(XLOOKUP($Q879,'Threshold Summary'!$Y:$Y,'Threshold Summary'!$K:$K,""),'Pokemon Editor'!$A:$A,'Pokemon Editor'!$C:$C,""),mtype=XLOOKUP(XLOOKUP($Q879,'Threshold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Chart'!$B$1:$S$1,0)))),base,IF(OR(cat="Status",pow=0),0,FLOOR(FLOOR(FLOOR((2*XLOOKUP($Q879,'Threshold Summary'!$Y:$Y,'Threshold Summary'!$L:$L,"")/5+2)*pow*atk/def)/50)+2)),modifier,stab*eff,AVERAGE(ARRAYFORMULA(FLOOR(base*modifier*SEQUENCE(16,1,85,1)/100)))*MIN(1,acc/100)),0)</f>
        <v/>
      </c>
      <c r="N879" s="4">
        <f>IFERROR(LET(mtype,XLOOKUP($D879,'Move Editor'!$B:$B,'Move Editor'!$C:$C,""),cat,XLOOKUP($D879,'Move Editor'!$B:$B,'Move Editor'!$D:$D,""),pow,XLOOKUP($D879,'Move Editor'!$B:$B,'Move Editor'!$E:$E,0),acc,XLOOKUP($D879,'Move Editor'!$B:$B,'Move Editor'!$F:$F,100),atk,IF(cat="Physical",FLOOR((FLOOR(((2*XLOOKUP(XLOOKUP($Q879,'Threshold Summary'!$Y:$Y,'Threshold Summary'!$K:$K,""),'Pokemon Editor'!$A:$A,'Pokemon Editor'!$F:$F,0)+31+FLOOR(XLOOKUP($Q879,'Threshold Summary'!$Y:$Y,'Threshold Summary'!$P:$P,"")/4))*XLOOKUP($Q879,'Threshold Summary'!$Y:$Y,'Threshold Summary'!$L:$L,""))/100)+5)*XLOOKUP(XLOOKUP($Q879,'Threshold Summary'!$Y:$Y,'Threshold Summary'!$M:$M,""),'Nature Editor'!$A:$A,'Nature Editor'!$B:$B,1)),FLOOR((FLOOR(((2*XLOOKUP(XLOOKUP($Q879,'Threshold Summary'!$Y:$Y,'Threshold Summary'!$K:$K,""),'Pokemon Editor'!$A:$A,'Pokemon Editor'!$H:$H,0)+31+FLOOR(XLOOKUP($Q879,'Threshold Summary'!$Y:$Y,'Threshold Summary'!$R:$R,"")/4))*XLOOKUP($Q879,'Threshold Summary'!$Y:$Y,'Threshold Summary'!$L:$L,""))/100)+5)*XLOOKUP(XLOOKUP($Q879,'Threshold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Editor'!$E:$E,1))),stab,IF(OR(mtype=XLOOKUP(XLOOKUP($Q879,'Threshold Summary'!$Y:$Y,'Threshold Summary'!$K:$K,""),'Pokemon Editor'!$A:$A,'Pokemon Editor'!$C:$C,""),mtype=XLOOKUP(XLOOKUP($Q879,'Threshold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Chart'!$B$1:$S$1,0)))),base,IF(OR(cat="Status",pow=0),0,FLOOR(FLOOR(FLOOR((2*XLOOKUP($Q879,'Threshold Summary'!$Y:$Y,'Threshold Summary'!$L:$L,"")/5+2)*pow*atk/def)/50)+2)),modifier,stab*eff,AVERAGE(ARRAYFORMULA(FLOOR(base*modifier*SEQUENCE(16,1,85,1)/100)))/(FLOOR(((2*XLOOKUP('Boss Editor'!$C$4,'Pokemon Editor'!$A:$A,'Pokemon Editor'!$E:$E,0)+31+FLOOR('Boss Editor'!$G$4/4))*'Boss Editor'!$D$4)/100)+'Boss Editor'!$D$4+10)),0)</f>
        <v/>
      </c>
      <c r="O879" s="3">
        <f>IF(N879&gt;=1,"OHKO",IF(N879&gt;=0.5,"2HKO",IF(N879&gt;=0.333,"3HKO",IF(N879&gt;=0.25,"4HKO","5HKO+"))))</f>
        <v/>
      </c>
      <c r="P879" s="3" t="inlineStr">
        <is>
          <t>Live from editable databases</t>
        </is>
      </c>
      <c r="Q879" s="3" t="inlineStr">
        <is>
          <t>SPECIES_NYMBLE</t>
        </is>
      </c>
      <c r="R879" s="3" t="n">
        <v>14</v>
      </c>
    </row>
    <row r="880">
      <c r="A880" s="3">
        <f>XLOOKUP($Q880,'Threshold Summary'!$Y:$Y,'Threshold Summary'!$A:$A,"")</f>
        <v/>
      </c>
      <c r="B880" s="3">
        <f>XLOOKUP($Q880,'Threshold Summary'!$Y:$Y,'Threshold Summary'!$M:$M,"")</f>
        <v/>
      </c>
      <c r="C880" s="3">
        <f>XLOOKUP($Q880,'Threshold Summary'!$Y:$Y,'Threshold Summary'!$N:$N,"")</f>
        <v/>
      </c>
      <c r="D880" s="3">
        <f>IFERROR(INDEX(FILTER('Learnset Editor'!$D$2:$D,'Learnset Editor'!$A$2:$A=XLOOKUP($Q880,'Threshold Summary'!$Y:$Y,'Threshold Summary'!$K:$K,""),'Learnset Editor'!$C$2:$C&lt;=XLOOKUP($Q880,'Threshold Summary'!$Y:$Y,'Threshold Summary'!$L:$L,"")),$R880),"")</f>
        <v/>
      </c>
      <c r="E880" s="3">
        <f>XLOOKUP(D880,'Move Editor'!$B:$B,'Move Editor'!$C:$C,"")</f>
        <v/>
      </c>
      <c r="F880" s="3">
        <f>XLOOKUP(D880,'Move Editor'!$B:$B,'Move Editor'!$D:$D,"")</f>
        <v/>
      </c>
      <c r="G880" s="3">
        <f>XLOOKUP(D880,'Move Editor'!$B:$B,'Move Editor'!$E:$E,0)</f>
        <v/>
      </c>
      <c r="H880" s="3">
        <f>XLOOKUP(D880,'Move Editor'!$B:$B,'Move Editor'!$F:$F,0)</f>
        <v/>
      </c>
      <c r="I880" s="3">
        <f>(INDEX('Type Chart'!$B:$S,MATCH(E880,'Type Chart'!$A:$A,0),MATCH(XLOOKUP('Boss Editor'!$C$4,'Pokemon Editor'!$A:$A,'Pokemon Editor'!$C:$C,""),'Type Chart'!$B$1:$S$1,0))*IF(XLOOKUP('Boss Editor'!$C$4,'Pokemon Editor'!$A:$A,'Pokemon Editor'!$D:$D,"")="",1,INDEX('Type Chart'!$B:$S,MATCH(E880,'Type Chart'!$A:$A,0),MATCH(XLOOKUP('Boss Editor'!$C$4,'Pokemon Editor'!$A:$A,'Pokemon Editor'!$D:$D,""),'Type Chart'!$B$1:$S$1,0))))</f>
        <v/>
      </c>
      <c r="J880" s="3">
        <f>IFERROR(LET(mtype,XLOOKUP($D880,'Move Editor'!$B:$B,'Move Editor'!$C:$C,""),cat,XLOOKUP($D880,'Move Editor'!$B:$B,'Move Editor'!$D:$D,""),pow,XLOOKUP($D880,'Move Editor'!$B:$B,'Move Editor'!$E:$E,0),acc,XLOOKUP($D880,'Move Editor'!$B:$B,'Move Editor'!$F:$F,100),atk,IF(cat="Physical",FLOOR((FLOOR(((2*XLOOKUP(XLOOKUP($Q880,'Threshold Summary'!$Y:$Y,'Threshold Summary'!$K:$K,""),'Pokemon Editor'!$A:$A,'Pokemon Editor'!$F:$F,0)+31+FLOOR(XLOOKUP($Q880,'Threshold Summary'!$Y:$Y,'Threshold Summary'!$P:$P,"")/4))*XLOOKUP($Q880,'Threshold Summary'!$Y:$Y,'Threshold Summary'!$L:$L,""))/100)+5)*XLOOKUP(XLOOKUP($Q880,'Threshold Summary'!$Y:$Y,'Threshold Summary'!$M:$M,""),'Nature Editor'!$A:$A,'Nature Editor'!$B:$B,1)),FLOOR((FLOOR(((2*XLOOKUP(XLOOKUP($Q880,'Threshold Summary'!$Y:$Y,'Threshold Summary'!$K:$K,""),'Pokemon Editor'!$A:$A,'Pokemon Editor'!$H:$H,0)+31+FLOOR(XLOOKUP($Q880,'Threshold Summary'!$Y:$Y,'Threshold Summary'!$R:$R,"")/4))*XLOOKUP($Q880,'Threshold Summary'!$Y:$Y,'Threshold Summary'!$L:$L,""))/100)+5)*XLOOKUP(XLOOKUP($Q880,'Threshold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Editor'!$E:$E,1))),stab,IF(OR(mtype=XLOOKUP(XLOOKUP($Q880,'Threshold Summary'!$Y:$Y,'Threshold Summary'!$K:$K,""),'Pokemon Editor'!$A:$A,'Pokemon Editor'!$C:$C,""),mtype=XLOOKUP(XLOOKUP($Q880,'Threshold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Chart'!$B$1:$S$1,0)))),base,IF(OR(cat="Status",pow=0),0,FLOOR(FLOOR(FLOOR((2*XLOOKUP($Q880,'Threshold Summary'!$Y:$Y,'Threshold Summary'!$L:$L,"")/5+2)*pow*atk/def)/50)+2)),modifier,stab*eff,FLOOR(base*modifier*0.85)),0)</f>
        <v/>
      </c>
      <c r="K880" s="3">
        <f>IFERROR(LET(mtype,XLOOKUP($D880,'Move Editor'!$B:$B,'Move Editor'!$C:$C,""),cat,XLOOKUP($D880,'Move Editor'!$B:$B,'Move Editor'!$D:$D,""),pow,XLOOKUP($D880,'Move Editor'!$B:$B,'Move Editor'!$E:$E,0),acc,XLOOKUP($D880,'Move Editor'!$B:$B,'Move Editor'!$F:$F,100),atk,IF(cat="Physical",FLOOR((FLOOR(((2*XLOOKUP(XLOOKUP($Q880,'Threshold Summary'!$Y:$Y,'Threshold Summary'!$K:$K,""),'Pokemon Editor'!$A:$A,'Pokemon Editor'!$F:$F,0)+31+FLOOR(XLOOKUP($Q880,'Threshold Summary'!$Y:$Y,'Threshold Summary'!$P:$P,"")/4))*XLOOKUP($Q880,'Threshold Summary'!$Y:$Y,'Threshold Summary'!$L:$L,""))/100)+5)*XLOOKUP(XLOOKUP($Q880,'Threshold Summary'!$Y:$Y,'Threshold Summary'!$M:$M,""),'Nature Editor'!$A:$A,'Nature Editor'!$B:$B,1)),FLOOR((FLOOR(((2*XLOOKUP(XLOOKUP($Q880,'Threshold Summary'!$Y:$Y,'Threshold Summary'!$K:$K,""),'Pokemon Editor'!$A:$A,'Pokemon Editor'!$H:$H,0)+31+FLOOR(XLOOKUP($Q880,'Threshold Summary'!$Y:$Y,'Threshold Summary'!$R:$R,"")/4))*XLOOKUP($Q880,'Threshold Summary'!$Y:$Y,'Threshold Summary'!$L:$L,""))/100)+5)*XLOOKUP(XLOOKUP($Q880,'Threshold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Editor'!$E:$E,1))),stab,IF(OR(mtype=XLOOKUP(XLOOKUP($Q880,'Threshold Summary'!$Y:$Y,'Threshold Summary'!$K:$K,""),'Pokemon Editor'!$A:$A,'Pokemon Editor'!$C:$C,""),mtype=XLOOKUP(XLOOKUP($Q880,'Threshold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Chart'!$B$1:$S$1,0)))),base,IF(OR(cat="Status",pow=0),0,FLOOR(FLOOR(FLOOR((2*XLOOKUP($Q880,'Threshold Summary'!$Y:$Y,'Threshold Summary'!$L:$L,"")/5+2)*pow*atk/def)/50)+2)),modifier,stab*eff,FLOOR(base*modifier)),0)</f>
        <v/>
      </c>
      <c r="L880" s="3">
        <f>IFERROR(LET(mtype,XLOOKUP($D880,'Move Editor'!$B:$B,'Move Editor'!$C:$C,""),cat,XLOOKUP($D880,'Move Editor'!$B:$B,'Move Editor'!$D:$D,""),pow,XLOOKUP($D880,'Move Editor'!$B:$B,'Move Editor'!$E:$E,0),acc,XLOOKUP($D880,'Move Editor'!$B:$B,'Move Editor'!$F:$F,100),atk,IF(cat="Physical",FLOOR((FLOOR(((2*XLOOKUP(XLOOKUP($Q880,'Threshold Summary'!$Y:$Y,'Threshold Summary'!$K:$K,""),'Pokemon Editor'!$A:$A,'Pokemon Editor'!$F:$F,0)+31+FLOOR(XLOOKUP($Q880,'Threshold Summary'!$Y:$Y,'Threshold Summary'!$P:$P,"")/4))*XLOOKUP($Q880,'Threshold Summary'!$Y:$Y,'Threshold Summary'!$L:$L,""))/100)+5)*XLOOKUP(XLOOKUP($Q880,'Threshold Summary'!$Y:$Y,'Threshold Summary'!$M:$M,""),'Nature Editor'!$A:$A,'Nature Editor'!$B:$B,1)),FLOOR((FLOOR(((2*XLOOKUP(XLOOKUP($Q880,'Threshold Summary'!$Y:$Y,'Threshold Summary'!$K:$K,""),'Pokemon Editor'!$A:$A,'Pokemon Editor'!$H:$H,0)+31+FLOOR(XLOOKUP($Q880,'Threshold Summary'!$Y:$Y,'Threshold Summary'!$R:$R,"")/4))*XLOOKUP($Q880,'Threshold Summary'!$Y:$Y,'Threshold Summary'!$L:$L,""))/100)+5)*XLOOKUP(XLOOKUP($Q880,'Threshold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Editor'!$E:$E,1))),stab,IF(OR(mtype=XLOOKUP(XLOOKUP($Q880,'Threshold Summary'!$Y:$Y,'Threshold Summary'!$K:$K,""),'Pokemon Editor'!$A:$A,'Pokemon Editor'!$C:$C,""),mtype=XLOOKUP(XLOOKUP($Q880,'Threshold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Chart'!$B$1:$S$1,0)))),base,IF(OR(cat="Status",pow=0),0,FLOOR(FLOOR(FLOOR((2*XLOOKUP($Q880,'Threshold Summary'!$Y:$Y,'Threshold Summary'!$L:$L,"")/5+2)*pow*atk/def)/50)+2)),modifier,stab*eff,AVERAGE(ARRAYFORMULA(FLOOR(base*modifier*SEQUENCE(16,1,85,1)/100)))),0)</f>
        <v/>
      </c>
      <c r="M880" s="3">
        <f>IFERROR(LET(mtype,XLOOKUP($D880,'Move Editor'!$B:$B,'Move Editor'!$C:$C,""),cat,XLOOKUP($D880,'Move Editor'!$B:$B,'Move Editor'!$D:$D,""),pow,XLOOKUP($D880,'Move Editor'!$B:$B,'Move Editor'!$E:$E,0),acc,XLOOKUP($D880,'Move Editor'!$B:$B,'Move Editor'!$F:$F,100),atk,IF(cat="Physical",FLOOR((FLOOR(((2*XLOOKUP(XLOOKUP($Q880,'Threshold Summary'!$Y:$Y,'Threshold Summary'!$K:$K,""),'Pokemon Editor'!$A:$A,'Pokemon Editor'!$F:$F,0)+31+FLOOR(XLOOKUP($Q880,'Threshold Summary'!$Y:$Y,'Threshold Summary'!$P:$P,"")/4))*XLOOKUP($Q880,'Threshold Summary'!$Y:$Y,'Threshold Summary'!$L:$L,""))/100)+5)*XLOOKUP(XLOOKUP($Q880,'Threshold Summary'!$Y:$Y,'Threshold Summary'!$M:$M,""),'Nature Editor'!$A:$A,'Nature Editor'!$B:$B,1)),FLOOR((FLOOR(((2*XLOOKUP(XLOOKUP($Q880,'Threshold Summary'!$Y:$Y,'Threshold Summary'!$K:$K,""),'Pokemon Editor'!$A:$A,'Pokemon Editor'!$H:$H,0)+31+FLOOR(XLOOKUP($Q880,'Threshold Summary'!$Y:$Y,'Threshold Summary'!$R:$R,"")/4))*XLOOKUP($Q880,'Threshold Summary'!$Y:$Y,'Threshold Summary'!$L:$L,""))/100)+5)*XLOOKUP(XLOOKUP($Q880,'Threshold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Editor'!$E:$E,1))),stab,IF(OR(mtype=XLOOKUP(XLOOKUP($Q880,'Threshold Summary'!$Y:$Y,'Threshold Summary'!$K:$K,""),'Pokemon Editor'!$A:$A,'Pokemon Editor'!$C:$C,""),mtype=XLOOKUP(XLOOKUP($Q880,'Threshold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Chart'!$B$1:$S$1,0)))),base,IF(OR(cat="Status",pow=0),0,FLOOR(FLOOR(FLOOR((2*XLOOKUP($Q880,'Threshold Summary'!$Y:$Y,'Threshold Summary'!$L:$L,"")/5+2)*pow*atk/def)/50)+2)),modifier,stab*eff,AVERAGE(ARRAYFORMULA(FLOOR(base*modifier*SEQUENCE(16,1,85,1)/100)))*MIN(1,acc/100)),0)</f>
        <v/>
      </c>
      <c r="N880" s="4">
        <f>IFERROR(LET(mtype,XLOOKUP($D880,'Move Editor'!$B:$B,'Move Editor'!$C:$C,""),cat,XLOOKUP($D880,'Move Editor'!$B:$B,'Move Editor'!$D:$D,""),pow,XLOOKUP($D880,'Move Editor'!$B:$B,'Move Editor'!$E:$E,0),acc,XLOOKUP($D880,'Move Editor'!$B:$B,'Move Editor'!$F:$F,100),atk,IF(cat="Physical",FLOOR((FLOOR(((2*XLOOKUP(XLOOKUP($Q880,'Threshold Summary'!$Y:$Y,'Threshold Summary'!$K:$K,""),'Pokemon Editor'!$A:$A,'Pokemon Editor'!$F:$F,0)+31+FLOOR(XLOOKUP($Q880,'Threshold Summary'!$Y:$Y,'Threshold Summary'!$P:$P,"")/4))*XLOOKUP($Q880,'Threshold Summary'!$Y:$Y,'Threshold Summary'!$L:$L,""))/100)+5)*XLOOKUP(XLOOKUP($Q880,'Threshold Summary'!$Y:$Y,'Threshold Summary'!$M:$M,""),'Nature Editor'!$A:$A,'Nature Editor'!$B:$B,1)),FLOOR((FLOOR(((2*XLOOKUP(XLOOKUP($Q880,'Threshold Summary'!$Y:$Y,'Threshold Summary'!$K:$K,""),'Pokemon Editor'!$A:$A,'Pokemon Editor'!$H:$H,0)+31+FLOOR(XLOOKUP($Q880,'Threshold Summary'!$Y:$Y,'Threshold Summary'!$R:$R,"")/4))*XLOOKUP($Q880,'Threshold Summary'!$Y:$Y,'Threshold Summary'!$L:$L,""))/100)+5)*XLOOKUP(XLOOKUP($Q880,'Threshold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Editor'!$E:$E,1))),stab,IF(OR(mtype=XLOOKUP(XLOOKUP($Q880,'Threshold Summary'!$Y:$Y,'Threshold Summary'!$K:$K,""),'Pokemon Editor'!$A:$A,'Pokemon Editor'!$C:$C,""),mtype=XLOOKUP(XLOOKUP($Q880,'Threshold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Chart'!$B$1:$S$1,0)))),base,IF(OR(cat="Status",pow=0),0,FLOOR(FLOOR(FLOOR((2*XLOOKUP($Q880,'Threshold Summary'!$Y:$Y,'Threshold Summary'!$L:$L,"")/5+2)*pow*atk/def)/50)+2)),modifier,stab*eff,AVERAGE(ARRAYFORMULA(FLOOR(base*modifier*SEQUENCE(16,1,85,1)/100)))/(FLOOR(((2*XLOOKUP('Boss Editor'!$C$4,'Pokemon Editor'!$A:$A,'Pokemon Editor'!$E:$E,0)+31+FLOOR('Boss Editor'!$G$4/4))*'Boss Editor'!$D$4)/100)+'Boss Editor'!$D$4+10)),0)</f>
        <v/>
      </c>
      <c r="O880" s="3">
        <f>IF(N880&gt;=1,"OHKO",IF(N880&gt;=0.5,"2HKO",IF(N880&gt;=0.333,"3HKO",IF(N880&gt;=0.25,"4HKO","5HKO+"))))</f>
        <v/>
      </c>
      <c r="P880" s="3" t="inlineStr">
        <is>
          <t>Live from editable databases</t>
        </is>
      </c>
      <c r="Q880" s="3" t="inlineStr">
        <is>
          <t>SPECIES_NYMBLE</t>
        </is>
      </c>
      <c r="R880" s="3" t="n">
        <v>15</v>
      </c>
    </row>
    <row r="881">
      <c r="A881" s="3">
        <f>XLOOKUP($Q881,'Threshold Summary'!$Y:$Y,'Threshold Summary'!$A:$A,"")</f>
        <v/>
      </c>
      <c r="B881" s="3">
        <f>XLOOKUP($Q881,'Threshold Summary'!$Y:$Y,'Threshold Summary'!$M:$M,"")</f>
        <v/>
      </c>
      <c r="C881" s="3">
        <f>XLOOKUP($Q881,'Threshold Summary'!$Y:$Y,'Threshold Summary'!$N:$N,"")</f>
        <v/>
      </c>
      <c r="D881" s="3">
        <f>IFERROR(INDEX(FILTER('Learnset Editor'!$D$2:$D,'Learnset Editor'!$A$2:$A=XLOOKUP($Q881,'Threshold Summary'!$Y:$Y,'Threshold Summary'!$K:$K,""),'Learnset Editor'!$C$2:$C&lt;=XLOOKUP($Q881,'Threshold Summary'!$Y:$Y,'Threshold Summary'!$L:$L,"")),$R881),"")</f>
        <v/>
      </c>
      <c r="E881" s="3">
        <f>XLOOKUP(D881,'Move Editor'!$B:$B,'Move Editor'!$C:$C,"")</f>
        <v/>
      </c>
      <c r="F881" s="3">
        <f>XLOOKUP(D881,'Move Editor'!$B:$B,'Move Editor'!$D:$D,"")</f>
        <v/>
      </c>
      <c r="G881" s="3">
        <f>XLOOKUP(D881,'Move Editor'!$B:$B,'Move Editor'!$E:$E,0)</f>
        <v/>
      </c>
      <c r="H881" s="3">
        <f>XLOOKUP(D881,'Move Editor'!$B:$B,'Move Editor'!$F:$F,0)</f>
        <v/>
      </c>
      <c r="I881" s="3">
        <f>(INDEX('Type Chart'!$B:$S,MATCH(E881,'Type Chart'!$A:$A,0),MATCH(XLOOKUP('Boss Editor'!$C$4,'Pokemon Editor'!$A:$A,'Pokemon Editor'!$C:$C,""),'Type Chart'!$B$1:$S$1,0))*IF(XLOOKUP('Boss Editor'!$C$4,'Pokemon Editor'!$A:$A,'Pokemon Editor'!$D:$D,"")="",1,INDEX('Type Chart'!$B:$S,MATCH(E881,'Type Chart'!$A:$A,0),MATCH(XLOOKUP('Boss Editor'!$C$4,'Pokemon Editor'!$A:$A,'Pokemon Editor'!$D:$D,""),'Type Chart'!$B$1:$S$1,0))))</f>
        <v/>
      </c>
      <c r="J881" s="3">
        <f>IFERROR(LET(mtype,XLOOKUP($D881,'Move Editor'!$B:$B,'Move Editor'!$C:$C,""),cat,XLOOKUP($D881,'Move Editor'!$B:$B,'Move Editor'!$D:$D,""),pow,XLOOKUP($D881,'Move Editor'!$B:$B,'Move Editor'!$E:$E,0),acc,XLOOKUP($D881,'Move Editor'!$B:$B,'Move Editor'!$F:$F,100),atk,IF(cat="Physical",FLOOR((FLOOR(((2*XLOOKUP(XLOOKUP($Q881,'Threshold Summary'!$Y:$Y,'Threshold Summary'!$K:$K,""),'Pokemon Editor'!$A:$A,'Pokemon Editor'!$F:$F,0)+31+FLOOR(XLOOKUP($Q881,'Threshold Summary'!$Y:$Y,'Threshold Summary'!$P:$P,"")/4))*XLOOKUP($Q881,'Threshold Summary'!$Y:$Y,'Threshold Summary'!$L:$L,""))/100)+5)*XLOOKUP(XLOOKUP($Q881,'Threshold Summary'!$Y:$Y,'Threshold Summary'!$M:$M,""),'Nature Editor'!$A:$A,'Nature Editor'!$B:$B,1)),FLOOR((FLOOR(((2*XLOOKUP(XLOOKUP($Q881,'Threshold Summary'!$Y:$Y,'Threshold Summary'!$K:$K,""),'Pokemon Editor'!$A:$A,'Pokemon Editor'!$H:$H,0)+31+FLOOR(XLOOKUP($Q881,'Threshold Summary'!$Y:$Y,'Threshold Summary'!$R:$R,"")/4))*XLOOKUP($Q881,'Threshold Summary'!$Y:$Y,'Threshold Summary'!$L:$L,""))/100)+5)*XLOOKUP(XLOOKUP($Q881,'Threshold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Editor'!$E:$E,1))),stab,IF(OR(mtype=XLOOKUP(XLOOKUP($Q881,'Threshold Summary'!$Y:$Y,'Threshold Summary'!$K:$K,""),'Pokemon Editor'!$A:$A,'Pokemon Editor'!$C:$C,""),mtype=XLOOKUP(XLOOKUP($Q881,'Threshold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Chart'!$B$1:$S$1,0)))),base,IF(OR(cat="Status",pow=0),0,FLOOR(FLOOR(FLOOR((2*XLOOKUP($Q881,'Threshold Summary'!$Y:$Y,'Threshold Summary'!$L:$L,"")/5+2)*pow*atk/def)/50)+2)),modifier,stab*eff,FLOOR(base*modifier*0.85)),0)</f>
        <v/>
      </c>
      <c r="K881" s="3">
        <f>IFERROR(LET(mtype,XLOOKUP($D881,'Move Editor'!$B:$B,'Move Editor'!$C:$C,""),cat,XLOOKUP($D881,'Move Editor'!$B:$B,'Move Editor'!$D:$D,""),pow,XLOOKUP($D881,'Move Editor'!$B:$B,'Move Editor'!$E:$E,0),acc,XLOOKUP($D881,'Move Editor'!$B:$B,'Move Editor'!$F:$F,100),atk,IF(cat="Physical",FLOOR((FLOOR(((2*XLOOKUP(XLOOKUP($Q881,'Threshold Summary'!$Y:$Y,'Threshold Summary'!$K:$K,""),'Pokemon Editor'!$A:$A,'Pokemon Editor'!$F:$F,0)+31+FLOOR(XLOOKUP($Q881,'Threshold Summary'!$Y:$Y,'Threshold Summary'!$P:$P,"")/4))*XLOOKUP($Q881,'Threshold Summary'!$Y:$Y,'Threshold Summary'!$L:$L,""))/100)+5)*XLOOKUP(XLOOKUP($Q881,'Threshold Summary'!$Y:$Y,'Threshold Summary'!$M:$M,""),'Nature Editor'!$A:$A,'Nature Editor'!$B:$B,1)),FLOOR((FLOOR(((2*XLOOKUP(XLOOKUP($Q881,'Threshold Summary'!$Y:$Y,'Threshold Summary'!$K:$K,""),'Pokemon Editor'!$A:$A,'Pokemon Editor'!$H:$H,0)+31+FLOOR(XLOOKUP($Q881,'Threshold Summary'!$Y:$Y,'Threshold Summary'!$R:$R,"")/4))*XLOOKUP($Q881,'Threshold Summary'!$Y:$Y,'Threshold Summary'!$L:$L,""))/100)+5)*XLOOKUP(XLOOKUP($Q881,'Threshold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Editor'!$E:$E,1))),stab,IF(OR(mtype=XLOOKUP(XLOOKUP($Q881,'Threshold Summary'!$Y:$Y,'Threshold Summary'!$K:$K,""),'Pokemon Editor'!$A:$A,'Pokemon Editor'!$C:$C,""),mtype=XLOOKUP(XLOOKUP($Q881,'Threshold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Chart'!$B$1:$S$1,0)))),base,IF(OR(cat="Status",pow=0),0,FLOOR(FLOOR(FLOOR((2*XLOOKUP($Q881,'Threshold Summary'!$Y:$Y,'Threshold Summary'!$L:$L,"")/5+2)*pow*atk/def)/50)+2)),modifier,stab*eff,FLOOR(base*modifier)),0)</f>
        <v/>
      </c>
      <c r="L881" s="3">
        <f>IFERROR(LET(mtype,XLOOKUP($D881,'Move Editor'!$B:$B,'Move Editor'!$C:$C,""),cat,XLOOKUP($D881,'Move Editor'!$B:$B,'Move Editor'!$D:$D,""),pow,XLOOKUP($D881,'Move Editor'!$B:$B,'Move Editor'!$E:$E,0),acc,XLOOKUP($D881,'Move Editor'!$B:$B,'Move Editor'!$F:$F,100),atk,IF(cat="Physical",FLOOR((FLOOR(((2*XLOOKUP(XLOOKUP($Q881,'Threshold Summary'!$Y:$Y,'Threshold Summary'!$K:$K,""),'Pokemon Editor'!$A:$A,'Pokemon Editor'!$F:$F,0)+31+FLOOR(XLOOKUP($Q881,'Threshold Summary'!$Y:$Y,'Threshold Summary'!$P:$P,"")/4))*XLOOKUP($Q881,'Threshold Summary'!$Y:$Y,'Threshold Summary'!$L:$L,""))/100)+5)*XLOOKUP(XLOOKUP($Q881,'Threshold Summary'!$Y:$Y,'Threshold Summary'!$M:$M,""),'Nature Editor'!$A:$A,'Nature Editor'!$B:$B,1)),FLOOR((FLOOR(((2*XLOOKUP(XLOOKUP($Q881,'Threshold Summary'!$Y:$Y,'Threshold Summary'!$K:$K,""),'Pokemon Editor'!$A:$A,'Pokemon Editor'!$H:$H,0)+31+FLOOR(XLOOKUP($Q881,'Threshold Summary'!$Y:$Y,'Threshold Summary'!$R:$R,"")/4))*XLOOKUP($Q881,'Threshold Summary'!$Y:$Y,'Threshold Summary'!$L:$L,""))/100)+5)*XLOOKUP(XLOOKUP($Q881,'Threshold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Editor'!$E:$E,1))),stab,IF(OR(mtype=XLOOKUP(XLOOKUP($Q881,'Threshold Summary'!$Y:$Y,'Threshold Summary'!$K:$K,""),'Pokemon Editor'!$A:$A,'Pokemon Editor'!$C:$C,""),mtype=XLOOKUP(XLOOKUP($Q881,'Threshold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Chart'!$B$1:$S$1,0)))),base,IF(OR(cat="Status",pow=0),0,FLOOR(FLOOR(FLOOR((2*XLOOKUP($Q881,'Threshold Summary'!$Y:$Y,'Threshold Summary'!$L:$L,"")/5+2)*pow*atk/def)/50)+2)),modifier,stab*eff,AVERAGE(ARRAYFORMULA(FLOOR(base*modifier*SEQUENCE(16,1,85,1)/100)))),0)</f>
        <v/>
      </c>
      <c r="M881" s="3">
        <f>IFERROR(LET(mtype,XLOOKUP($D881,'Move Editor'!$B:$B,'Move Editor'!$C:$C,""),cat,XLOOKUP($D881,'Move Editor'!$B:$B,'Move Editor'!$D:$D,""),pow,XLOOKUP($D881,'Move Editor'!$B:$B,'Move Editor'!$E:$E,0),acc,XLOOKUP($D881,'Move Editor'!$B:$B,'Move Editor'!$F:$F,100),atk,IF(cat="Physical",FLOOR((FLOOR(((2*XLOOKUP(XLOOKUP($Q881,'Threshold Summary'!$Y:$Y,'Threshold Summary'!$K:$K,""),'Pokemon Editor'!$A:$A,'Pokemon Editor'!$F:$F,0)+31+FLOOR(XLOOKUP($Q881,'Threshold Summary'!$Y:$Y,'Threshold Summary'!$P:$P,"")/4))*XLOOKUP($Q881,'Threshold Summary'!$Y:$Y,'Threshold Summary'!$L:$L,""))/100)+5)*XLOOKUP(XLOOKUP($Q881,'Threshold Summary'!$Y:$Y,'Threshold Summary'!$M:$M,""),'Nature Editor'!$A:$A,'Nature Editor'!$B:$B,1)),FLOOR((FLOOR(((2*XLOOKUP(XLOOKUP($Q881,'Threshold Summary'!$Y:$Y,'Threshold Summary'!$K:$K,""),'Pokemon Editor'!$A:$A,'Pokemon Editor'!$H:$H,0)+31+FLOOR(XLOOKUP($Q881,'Threshold Summary'!$Y:$Y,'Threshold Summary'!$R:$R,"")/4))*XLOOKUP($Q881,'Threshold Summary'!$Y:$Y,'Threshold Summary'!$L:$L,""))/100)+5)*XLOOKUP(XLOOKUP($Q881,'Threshold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Editor'!$E:$E,1))),stab,IF(OR(mtype=XLOOKUP(XLOOKUP($Q881,'Threshold Summary'!$Y:$Y,'Threshold Summary'!$K:$K,""),'Pokemon Editor'!$A:$A,'Pokemon Editor'!$C:$C,""),mtype=XLOOKUP(XLOOKUP($Q881,'Threshold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Chart'!$B$1:$S$1,0)))),base,IF(OR(cat="Status",pow=0),0,FLOOR(FLOOR(FLOOR((2*XLOOKUP($Q881,'Threshold Summary'!$Y:$Y,'Threshold Summary'!$L:$L,"")/5+2)*pow*atk/def)/50)+2)),modifier,stab*eff,AVERAGE(ARRAYFORMULA(FLOOR(base*modifier*SEQUENCE(16,1,85,1)/100)))*MIN(1,acc/100)),0)</f>
        <v/>
      </c>
      <c r="N881" s="4">
        <f>IFERROR(LET(mtype,XLOOKUP($D881,'Move Editor'!$B:$B,'Move Editor'!$C:$C,""),cat,XLOOKUP($D881,'Move Editor'!$B:$B,'Move Editor'!$D:$D,""),pow,XLOOKUP($D881,'Move Editor'!$B:$B,'Move Editor'!$E:$E,0),acc,XLOOKUP($D881,'Move Editor'!$B:$B,'Move Editor'!$F:$F,100),atk,IF(cat="Physical",FLOOR((FLOOR(((2*XLOOKUP(XLOOKUP($Q881,'Threshold Summary'!$Y:$Y,'Threshold Summary'!$K:$K,""),'Pokemon Editor'!$A:$A,'Pokemon Editor'!$F:$F,0)+31+FLOOR(XLOOKUP($Q881,'Threshold Summary'!$Y:$Y,'Threshold Summary'!$P:$P,"")/4))*XLOOKUP($Q881,'Threshold Summary'!$Y:$Y,'Threshold Summary'!$L:$L,""))/100)+5)*XLOOKUP(XLOOKUP($Q881,'Threshold Summary'!$Y:$Y,'Threshold Summary'!$M:$M,""),'Nature Editor'!$A:$A,'Nature Editor'!$B:$B,1)),FLOOR((FLOOR(((2*XLOOKUP(XLOOKUP($Q881,'Threshold Summary'!$Y:$Y,'Threshold Summary'!$K:$K,""),'Pokemon Editor'!$A:$A,'Pokemon Editor'!$H:$H,0)+31+FLOOR(XLOOKUP($Q881,'Threshold Summary'!$Y:$Y,'Threshold Summary'!$R:$R,"")/4))*XLOOKUP($Q881,'Threshold Summary'!$Y:$Y,'Threshold Summary'!$L:$L,""))/100)+5)*XLOOKUP(XLOOKUP($Q881,'Threshold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Editor'!$E:$E,1))),stab,IF(OR(mtype=XLOOKUP(XLOOKUP($Q881,'Threshold Summary'!$Y:$Y,'Threshold Summary'!$K:$K,""),'Pokemon Editor'!$A:$A,'Pokemon Editor'!$C:$C,""),mtype=XLOOKUP(XLOOKUP($Q881,'Threshold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Chart'!$B$1:$S$1,0)))),base,IF(OR(cat="Status",pow=0),0,FLOOR(FLOOR(FLOOR((2*XLOOKUP($Q881,'Threshold Summary'!$Y:$Y,'Threshold Summary'!$L:$L,"")/5+2)*pow*atk/def)/50)+2)),modifier,stab*eff,AVERAGE(ARRAYFORMULA(FLOOR(base*modifier*SEQUENCE(16,1,85,1)/100)))/(FLOOR(((2*XLOOKUP('Boss Editor'!$C$4,'Pokemon Editor'!$A:$A,'Pokemon Editor'!$E:$E,0)+31+FLOOR('Boss Editor'!$G$4/4))*'Boss Editor'!$D$4)/100)+'Boss Editor'!$D$4+10)),0)</f>
        <v/>
      </c>
      <c r="O881" s="3">
        <f>IF(N881&gt;=1,"OHKO",IF(N881&gt;=0.5,"2HKO",IF(N881&gt;=0.333,"3HKO",IF(N881&gt;=0.25,"4HKO","5HKO+"))))</f>
        <v/>
      </c>
      <c r="P881" s="3" t="inlineStr">
        <is>
          <t>Live from editable databases</t>
        </is>
      </c>
      <c r="Q881" s="3" t="inlineStr">
        <is>
          <t>SPECIES_NYMBLE</t>
        </is>
      </c>
      <c r="R881" s="3" t="n">
        <v>16</v>
      </c>
    </row>
    <row r="882">
      <c r="A882" s="3">
        <f>XLOOKUP($Q882,'Threshold Summary'!$Y:$Y,'Threshold Summary'!$A:$A,"")</f>
        <v/>
      </c>
      <c r="B882" s="3">
        <f>XLOOKUP($Q882,'Threshold Summary'!$Y:$Y,'Threshold Summary'!$M:$M,"")</f>
        <v/>
      </c>
      <c r="C882" s="3">
        <f>XLOOKUP($Q882,'Threshold Summary'!$Y:$Y,'Threshold Summary'!$N:$N,"")</f>
        <v/>
      </c>
      <c r="D882" s="3">
        <f>IFERROR(INDEX(FILTER('Learnset Editor'!$D$2:$D,'Learnset Editor'!$A$2:$A=XLOOKUP($Q882,'Threshold Summary'!$Y:$Y,'Threshold Summary'!$K:$K,""),'Learnset Editor'!$C$2:$C&lt;=XLOOKUP($Q882,'Threshold Summary'!$Y:$Y,'Threshold Summary'!$L:$L,"")),$R882),"")</f>
        <v/>
      </c>
      <c r="E882" s="3">
        <f>XLOOKUP(D882,'Move Editor'!$B:$B,'Move Editor'!$C:$C,"")</f>
        <v/>
      </c>
      <c r="F882" s="3">
        <f>XLOOKUP(D882,'Move Editor'!$B:$B,'Move Editor'!$D:$D,"")</f>
        <v/>
      </c>
      <c r="G882" s="3">
        <f>XLOOKUP(D882,'Move Editor'!$B:$B,'Move Editor'!$E:$E,0)</f>
        <v/>
      </c>
      <c r="H882" s="3">
        <f>XLOOKUP(D882,'Move Editor'!$B:$B,'Move Editor'!$F:$F,0)</f>
        <v/>
      </c>
      <c r="I882" s="3">
        <f>(INDEX('Type Chart'!$B:$S,MATCH(E882,'Type Chart'!$A:$A,0),MATCH(XLOOKUP('Boss Editor'!$C$4,'Pokemon Editor'!$A:$A,'Pokemon Editor'!$C:$C,""),'Type Chart'!$B$1:$S$1,0))*IF(XLOOKUP('Boss Editor'!$C$4,'Pokemon Editor'!$A:$A,'Pokemon Editor'!$D:$D,"")="",1,INDEX('Type Chart'!$B:$S,MATCH(E882,'Type Chart'!$A:$A,0),MATCH(XLOOKUP('Boss Editor'!$C$4,'Pokemon Editor'!$A:$A,'Pokemon Editor'!$D:$D,""),'Type Chart'!$B$1:$S$1,0))))</f>
        <v/>
      </c>
      <c r="J882" s="3">
        <f>IFERROR(LET(mtype,XLOOKUP($D882,'Move Editor'!$B:$B,'Move Editor'!$C:$C,""),cat,XLOOKUP($D882,'Move Editor'!$B:$B,'Move Editor'!$D:$D,""),pow,XLOOKUP($D882,'Move Editor'!$B:$B,'Move Editor'!$E:$E,0),acc,XLOOKUP($D882,'Move Editor'!$B:$B,'Move Editor'!$F:$F,100),atk,IF(cat="Physical",FLOOR((FLOOR(((2*XLOOKUP(XLOOKUP($Q882,'Threshold Summary'!$Y:$Y,'Threshold Summary'!$K:$K,""),'Pokemon Editor'!$A:$A,'Pokemon Editor'!$F:$F,0)+31+FLOOR(XLOOKUP($Q882,'Threshold Summary'!$Y:$Y,'Threshold Summary'!$P:$P,"")/4))*XLOOKUP($Q882,'Threshold Summary'!$Y:$Y,'Threshold Summary'!$L:$L,""))/100)+5)*XLOOKUP(XLOOKUP($Q882,'Threshold Summary'!$Y:$Y,'Threshold Summary'!$M:$M,""),'Nature Editor'!$A:$A,'Nature Editor'!$B:$B,1)),FLOOR((FLOOR(((2*XLOOKUP(XLOOKUP($Q882,'Threshold Summary'!$Y:$Y,'Threshold Summary'!$K:$K,""),'Pokemon Editor'!$A:$A,'Pokemon Editor'!$H:$H,0)+31+FLOOR(XLOOKUP($Q882,'Threshold Summary'!$Y:$Y,'Threshold Summary'!$R:$R,"")/4))*XLOOKUP($Q882,'Threshold Summary'!$Y:$Y,'Threshold Summary'!$L:$L,""))/100)+5)*XLOOKUP(XLOOKUP($Q882,'Threshold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Editor'!$E:$E,1))),stab,IF(OR(mtype=XLOOKUP(XLOOKUP($Q882,'Threshold Summary'!$Y:$Y,'Threshold Summary'!$K:$K,""),'Pokemon Editor'!$A:$A,'Pokemon Editor'!$C:$C,""),mtype=XLOOKUP(XLOOKUP($Q882,'Threshold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Chart'!$B$1:$S$1,0)))),base,IF(OR(cat="Status",pow=0),0,FLOOR(FLOOR(FLOOR((2*XLOOKUP($Q882,'Threshold Summary'!$Y:$Y,'Threshold Summary'!$L:$L,"")/5+2)*pow*atk/def)/50)+2)),modifier,stab*eff,FLOOR(base*modifier*0.85)),0)</f>
        <v/>
      </c>
      <c r="K882" s="3">
        <f>IFERROR(LET(mtype,XLOOKUP($D882,'Move Editor'!$B:$B,'Move Editor'!$C:$C,""),cat,XLOOKUP($D882,'Move Editor'!$B:$B,'Move Editor'!$D:$D,""),pow,XLOOKUP($D882,'Move Editor'!$B:$B,'Move Editor'!$E:$E,0),acc,XLOOKUP($D882,'Move Editor'!$B:$B,'Move Editor'!$F:$F,100),atk,IF(cat="Physical",FLOOR((FLOOR(((2*XLOOKUP(XLOOKUP($Q882,'Threshold Summary'!$Y:$Y,'Threshold Summary'!$K:$K,""),'Pokemon Editor'!$A:$A,'Pokemon Editor'!$F:$F,0)+31+FLOOR(XLOOKUP($Q882,'Threshold Summary'!$Y:$Y,'Threshold Summary'!$P:$P,"")/4))*XLOOKUP($Q882,'Threshold Summary'!$Y:$Y,'Threshold Summary'!$L:$L,""))/100)+5)*XLOOKUP(XLOOKUP($Q882,'Threshold Summary'!$Y:$Y,'Threshold Summary'!$M:$M,""),'Nature Editor'!$A:$A,'Nature Editor'!$B:$B,1)),FLOOR((FLOOR(((2*XLOOKUP(XLOOKUP($Q882,'Threshold Summary'!$Y:$Y,'Threshold Summary'!$K:$K,""),'Pokemon Editor'!$A:$A,'Pokemon Editor'!$H:$H,0)+31+FLOOR(XLOOKUP($Q882,'Threshold Summary'!$Y:$Y,'Threshold Summary'!$R:$R,"")/4))*XLOOKUP($Q882,'Threshold Summary'!$Y:$Y,'Threshold Summary'!$L:$L,""))/100)+5)*XLOOKUP(XLOOKUP($Q882,'Threshold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Editor'!$E:$E,1))),stab,IF(OR(mtype=XLOOKUP(XLOOKUP($Q882,'Threshold Summary'!$Y:$Y,'Threshold Summary'!$K:$K,""),'Pokemon Editor'!$A:$A,'Pokemon Editor'!$C:$C,""),mtype=XLOOKUP(XLOOKUP($Q882,'Threshold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Chart'!$B$1:$S$1,0)))),base,IF(OR(cat="Status",pow=0),0,FLOOR(FLOOR(FLOOR((2*XLOOKUP($Q882,'Threshold Summary'!$Y:$Y,'Threshold Summary'!$L:$L,"")/5+2)*pow*atk/def)/50)+2)),modifier,stab*eff,FLOOR(base*modifier)),0)</f>
        <v/>
      </c>
      <c r="L882" s="3">
        <f>IFERROR(LET(mtype,XLOOKUP($D882,'Move Editor'!$B:$B,'Move Editor'!$C:$C,""),cat,XLOOKUP($D882,'Move Editor'!$B:$B,'Move Editor'!$D:$D,""),pow,XLOOKUP($D882,'Move Editor'!$B:$B,'Move Editor'!$E:$E,0),acc,XLOOKUP($D882,'Move Editor'!$B:$B,'Move Editor'!$F:$F,100),atk,IF(cat="Physical",FLOOR((FLOOR(((2*XLOOKUP(XLOOKUP($Q882,'Threshold Summary'!$Y:$Y,'Threshold Summary'!$K:$K,""),'Pokemon Editor'!$A:$A,'Pokemon Editor'!$F:$F,0)+31+FLOOR(XLOOKUP($Q882,'Threshold Summary'!$Y:$Y,'Threshold Summary'!$P:$P,"")/4))*XLOOKUP($Q882,'Threshold Summary'!$Y:$Y,'Threshold Summary'!$L:$L,""))/100)+5)*XLOOKUP(XLOOKUP($Q882,'Threshold Summary'!$Y:$Y,'Threshold Summary'!$M:$M,""),'Nature Editor'!$A:$A,'Nature Editor'!$B:$B,1)),FLOOR((FLOOR(((2*XLOOKUP(XLOOKUP($Q882,'Threshold Summary'!$Y:$Y,'Threshold Summary'!$K:$K,""),'Pokemon Editor'!$A:$A,'Pokemon Editor'!$H:$H,0)+31+FLOOR(XLOOKUP($Q882,'Threshold Summary'!$Y:$Y,'Threshold Summary'!$R:$R,"")/4))*XLOOKUP($Q882,'Threshold Summary'!$Y:$Y,'Threshold Summary'!$L:$L,""))/100)+5)*XLOOKUP(XLOOKUP($Q882,'Threshold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Editor'!$E:$E,1))),stab,IF(OR(mtype=XLOOKUP(XLOOKUP($Q882,'Threshold Summary'!$Y:$Y,'Threshold Summary'!$K:$K,""),'Pokemon Editor'!$A:$A,'Pokemon Editor'!$C:$C,""),mtype=XLOOKUP(XLOOKUP($Q882,'Threshold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Chart'!$B$1:$S$1,0)))),base,IF(OR(cat="Status",pow=0),0,FLOOR(FLOOR(FLOOR((2*XLOOKUP($Q882,'Threshold Summary'!$Y:$Y,'Threshold Summary'!$L:$L,"")/5+2)*pow*atk/def)/50)+2)),modifier,stab*eff,AVERAGE(ARRAYFORMULA(FLOOR(base*modifier*SEQUENCE(16,1,85,1)/100)))),0)</f>
        <v/>
      </c>
      <c r="M882" s="3">
        <f>IFERROR(LET(mtype,XLOOKUP($D882,'Move Editor'!$B:$B,'Move Editor'!$C:$C,""),cat,XLOOKUP($D882,'Move Editor'!$B:$B,'Move Editor'!$D:$D,""),pow,XLOOKUP($D882,'Move Editor'!$B:$B,'Move Editor'!$E:$E,0),acc,XLOOKUP($D882,'Move Editor'!$B:$B,'Move Editor'!$F:$F,100),atk,IF(cat="Physical",FLOOR((FLOOR(((2*XLOOKUP(XLOOKUP($Q882,'Threshold Summary'!$Y:$Y,'Threshold Summary'!$K:$K,""),'Pokemon Editor'!$A:$A,'Pokemon Editor'!$F:$F,0)+31+FLOOR(XLOOKUP($Q882,'Threshold Summary'!$Y:$Y,'Threshold Summary'!$P:$P,"")/4))*XLOOKUP($Q882,'Threshold Summary'!$Y:$Y,'Threshold Summary'!$L:$L,""))/100)+5)*XLOOKUP(XLOOKUP($Q882,'Threshold Summary'!$Y:$Y,'Threshold Summary'!$M:$M,""),'Nature Editor'!$A:$A,'Nature Editor'!$B:$B,1)),FLOOR((FLOOR(((2*XLOOKUP(XLOOKUP($Q882,'Threshold Summary'!$Y:$Y,'Threshold Summary'!$K:$K,""),'Pokemon Editor'!$A:$A,'Pokemon Editor'!$H:$H,0)+31+FLOOR(XLOOKUP($Q882,'Threshold Summary'!$Y:$Y,'Threshold Summary'!$R:$R,"")/4))*XLOOKUP($Q882,'Threshold Summary'!$Y:$Y,'Threshold Summary'!$L:$L,""))/100)+5)*XLOOKUP(XLOOKUP($Q882,'Threshold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Editor'!$E:$E,1))),stab,IF(OR(mtype=XLOOKUP(XLOOKUP($Q882,'Threshold Summary'!$Y:$Y,'Threshold Summary'!$K:$K,""),'Pokemon Editor'!$A:$A,'Pokemon Editor'!$C:$C,""),mtype=XLOOKUP(XLOOKUP($Q882,'Threshold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Chart'!$B$1:$S$1,0)))),base,IF(OR(cat="Status",pow=0),0,FLOOR(FLOOR(FLOOR((2*XLOOKUP($Q882,'Threshold Summary'!$Y:$Y,'Threshold Summary'!$L:$L,"")/5+2)*pow*atk/def)/50)+2)),modifier,stab*eff,AVERAGE(ARRAYFORMULA(FLOOR(base*modifier*SEQUENCE(16,1,85,1)/100)))*MIN(1,acc/100)),0)</f>
        <v/>
      </c>
      <c r="N882" s="4">
        <f>IFERROR(LET(mtype,XLOOKUP($D882,'Move Editor'!$B:$B,'Move Editor'!$C:$C,""),cat,XLOOKUP($D882,'Move Editor'!$B:$B,'Move Editor'!$D:$D,""),pow,XLOOKUP($D882,'Move Editor'!$B:$B,'Move Editor'!$E:$E,0),acc,XLOOKUP($D882,'Move Editor'!$B:$B,'Move Editor'!$F:$F,100),atk,IF(cat="Physical",FLOOR((FLOOR(((2*XLOOKUP(XLOOKUP($Q882,'Threshold Summary'!$Y:$Y,'Threshold Summary'!$K:$K,""),'Pokemon Editor'!$A:$A,'Pokemon Editor'!$F:$F,0)+31+FLOOR(XLOOKUP($Q882,'Threshold Summary'!$Y:$Y,'Threshold Summary'!$P:$P,"")/4))*XLOOKUP($Q882,'Threshold Summary'!$Y:$Y,'Threshold Summary'!$L:$L,""))/100)+5)*XLOOKUP(XLOOKUP($Q882,'Threshold Summary'!$Y:$Y,'Threshold Summary'!$M:$M,""),'Nature Editor'!$A:$A,'Nature Editor'!$B:$B,1)),FLOOR((FLOOR(((2*XLOOKUP(XLOOKUP($Q882,'Threshold Summary'!$Y:$Y,'Threshold Summary'!$K:$K,""),'Pokemon Editor'!$A:$A,'Pokemon Editor'!$H:$H,0)+31+FLOOR(XLOOKUP($Q882,'Threshold Summary'!$Y:$Y,'Threshold Summary'!$R:$R,"")/4))*XLOOKUP($Q882,'Threshold Summary'!$Y:$Y,'Threshold Summary'!$L:$L,""))/100)+5)*XLOOKUP(XLOOKUP($Q882,'Threshold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Editor'!$E:$E,1))),stab,IF(OR(mtype=XLOOKUP(XLOOKUP($Q882,'Threshold Summary'!$Y:$Y,'Threshold Summary'!$K:$K,""),'Pokemon Editor'!$A:$A,'Pokemon Editor'!$C:$C,""),mtype=XLOOKUP(XLOOKUP($Q882,'Threshold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Chart'!$B$1:$S$1,0)))),base,IF(OR(cat="Status",pow=0),0,FLOOR(FLOOR(FLOOR((2*XLOOKUP($Q882,'Threshold Summary'!$Y:$Y,'Threshold Summary'!$L:$L,"")/5+2)*pow*atk/def)/50)+2)),modifier,stab*eff,AVERAGE(ARRAYFORMULA(FLOOR(base*modifier*SEQUENCE(16,1,85,1)/100)))/(FLOOR(((2*XLOOKUP('Boss Editor'!$C$4,'Pokemon Editor'!$A:$A,'Pokemon Editor'!$E:$E,0)+31+FLOOR('Boss Editor'!$G$4/4))*'Boss Editor'!$D$4)/100)+'Boss Editor'!$D$4+10)),0)</f>
        <v/>
      </c>
      <c r="O882" s="3">
        <f>IF(N882&gt;=1,"OHKO",IF(N882&gt;=0.5,"2HKO",IF(N882&gt;=0.333,"3HKO",IF(N882&gt;=0.25,"4HKO","5HKO+"))))</f>
        <v/>
      </c>
      <c r="P882" s="3" t="inlineStr">
        <is>
          <t>Live from editable databases</t>
        </is>
      </c>
      <c r="Q882" s="3" t="inlineStr">
        <is>
          <t>SPECIES_NYMBLE</t>
        </is>
      </c>
      <c r="R882" s="3" t="n">
        <v>17</v>
      </c>
    </row>
    <row r="883">
      <c r="A883" s="3">
        <f>XLOOKUP($Q883,'Threshold Summary'!$Y:$Y,'Threshold Summary'!$A:$A,"")</f>
        <v/>
      </c>
      <c r="B883" s="3">
        <f>XLOOKUP($Q883,'Threshold Summary'!$Y:$Y,'Threshold Summary'!$M:$M,"")</f>
        <v/>
      </c>
      <c r="C883" s="3">
        <f>XLOOKUP($Q883,'Threshold Summary'!$Y:$Y,'Threshold Summary'!$N:$N,"")</f>
        <v/>
      </c>
      <c r="D883" s="3">
        <f>IFERROR(INDEX(FILTER('Learnset Editor'!$D$2:$D,'Learnset Editor'!$A$2:$A=XLOOKUP($Q883,'Threshold Summary'!$Y:$Y,'Threshold Summary'!$K:$K,""),'Learnset Editor'!$C$2:$C&lt;=XLOOKUP($Q883,'Threshold Summary'!$Y:$Y,'Threshold Summary'!$L:$L,"")),$R883),"")</f>
        <v/>
      </c>
      <c r="E883" s="3">
        <f>XLOOKUP(D883,'Move Editor'!$B:$B,'Move Editor'!$C:$C,"")</f>
        <v/>
      </c>
      <c r="F883" s="3">
        <f>XLOOKUP(D883,'Move Editor'!$B:$B,'Move Editor'!$D:$D,"")</f>
        <v/>
      </c>
      <c r="G883" s="3">
        <f>XLOOKUP(D883,'Move Editor'!$B:$B,'Move Editor'!$E:$E,0)</f>
        <v/>
      </c>
      <c r="H883" s="3">
        <f>XLOOKUP(D883,'Move Editor'!$B:$B,'Move Editor'!$F:$F,0)</f>
        <v/>
      </c>
      <c r="I883" s="3">
        <f>(INDEX('Type Chart'!$B:$S,MATCH(E883,'Type Chart'!$A:$A,0),MATCH(XLOOKUP('Boss Editor'!$C$4,'Pokemon Editor'!$A:$A,'Pokemon Editor'!$C:$C,""),'Type Chart'!$B$1:$S$1,0))*IF(XLOOKUP('Boss Editor'!$C$4,'Pokemon Editor'!$A:$A,'Pokemon Editor'!$D:$D,"")="",1,INDEX('Type Chart'!$B:$S,MATCH(E883,'Type Chart'!$A:$A,0),MATCH(XLOOKUP('Boss Editor'!$C$4,'Pokemon Editor'!$A:$A,'Pokemon Editor'!$D:$D,""),'Type Chart'!$B$1:$S$1,0))))</f>
        <v/>
      </c>
      <c r="J883" s="3">
        <f>IFERROR(LET(mtype,XLOOKUP($D883,'Move Editor'!$B:$B,'Move Editor'!$C:$C,""),cat,XLOOKUP($D883,'Move Editor'!$B:$B,'Move Editor'!$D:$D,""),pow,XLOOKUP($D883,'Move Editor'!$B:$B,'Move Editor'!$E:$E,0),acc,XLOOKUP($D883,'Move Editor'!$B:$B,'Move Editor'!$F:$F,100),atk,IF(cat="Physical",FLOOR((FLOOR(((2*XLOOKUP(XLOOKUP($Q883,'Threshold Summary'!$Y:$Y,'Threshold Summary'!$K:$K,""),'Pokemon Editor'!$A:$A,'Pokemon Editor'!$F:$F,0)+31+FLOOR(XLOOKUP($Q883,'Threshold Summary'!$Y:$Y,'Threshold Summary'!$P:$P,"")/4))*XLOOKUP($Q883,'Threshold Summary'!$Y:$Y,'Threshold Summary'!$L:$L,""))/100)+5)*XLOOKUP(XLOOKUP($Q883,'Threshold Summary'!$Y:$Y,'Threshold Summary'!$M:$M,""),'Nature Editor'!$A:$A,'Nature Editor'!$B:$B,1)),FLOOR((FLOOR(((2*XLOOKUP(XLOOKUP($Q883,'Threshold Summary'!$Y:$Y,'Threshold Summary'!$K:$K,""),'Pokemon Editor'!$A:$A,'Pokemon Editor'!$H:$H,0)+31+FLOOR(XLOOKUP($Q883,'Threshold Summary'!$Y:$Y,'Threshold Summary'!$R:$R,"")/4))*XLOOKUP($Q883,'Threshold Summary'!$Y:$Y,'Threshold Summary'!$L:$L,""))/100)+5)*XLOOKUP(XLOOKUP($Q883,'Threshold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Editor'!$E:$E,1))),stab,IF(OR(mtype=XLOOKUP(XLOOKUP($Q883,'Threshold Summary'!$Y:$Y,'Threshold Summary'!$K:$K,""),'Pokemon Editor'!$A:$A,'Pokemon Editor'!$C:$C,""),mtype=XLOOKUP(XLOOKUP($Q883,'Threshold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Chart'!$B$1:$S$1,0)))),base,IF(OR(cat="Status",pow=0),0,FLOOR(FLOOR(FLOOR((2*XLOOKUP($Q883,'Threshold Summary'!$Y:$Y,'Threshold Summary'!$L:$L,"")/5+2)*pow*atk/def)/50)+2)),modifier,stab*eff,FLOOR(base*modifier*0.85)),0)</f>
        <v/>
      </c>
      <c r="K883" s="3">
        <f>IFERROR(LET(mtype,XLOOKUP($D883,'Move Editor'!$B:$B,'Move Editor'!$C:$C,""),cat,XLOOKUP($D883,'Move Editor'!$B:$B,'Move Editor'!$D:$D,""),pow,XLOOKUP($D883,'Move Editor'!$B:$B,'Move Editor'!$E:$E,0),acc,XLOOKUP($D883,'Move Editor'!$B:$B,'Move Editor'!$F:$F,100),atk,IF(cat="Physical",FLOOR((FLOOR(((2*XLOOKUP(XLOOKUP($Q883,'Threshold Summary'!$Y:$Y,'Threshold Summary'!$K:$K,""),'Pokemon Editor'!$A:$A,'Pokemon Editor'!$F:$F,0)+31+FLOOR(XLOOKUP($Q883,'Threshold Summary'!$Y:$Y,'Threshold Summary'!$P:$P,"")/4))*XLOOKUP($Q883,'Threshold Summary'!$Y:$Y,'Threshold Summary'!$L:$L,""))/100)+5)*XLOOKUP(XLOOKUP($Q883,'Threshold Summary'!$Y:$Y,'Threshold Summary'!$M:$M,""),'Nature Editor'!$A:$A,'Nature Editor'!$B:$B,1)),FLOOR((FLOOR(((2*XLOOKUP(XLOOKUP($Q883,'Threshold Summary'!$Y:$Y,'Threshold Summary'!$K:$K,""),'Pokemon Editor'!$A:$A,'Pokemon Editor'!$H:$H,0)+31+FLOOR(XLOOKUP($Q883,'Threshold Summary'!$Y:$Y,'Threshold Summary'!$R:$R,"")/4))*XLOOKUP($Q883,'Threshold Summary'!$Y:$Y,'Threshold Summary'!$L:$L,""))/100)+5)*XLOOKUP(XLOOKUP($Q883,'Threshold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Editor'!$E:$E,1))),stab,IF(OR(mtype=XLOOKUP(XLOOKUP($Q883,'Threshold Summary'!$Y:$Y,'Threshold Summary'!$K:$K,""),'Pokemon Editor'!$A:$A,'Pokemon Editor'!$C:$C,""),mtype=XLOOKUP(XLOOKUP($Q883,'Threshold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Chart'!$B$1:$S$1,0)))),base,IF(OR(cat="Status",pow=0),0,FLOOR(FLOOR(FLOOR((2*XLOOKUP($Q883,'Threshold Summary'!$Y:$Y,'Threshold Summary'!$L:$L,"")/5+2)*pow*atk/def)/50)+2)),modifier,stab*eff,FLOOR(base*modifier)),0)</f>
        <v/>
      </c>
      <c r="L883" s="3">
        <f>IFERROR(LET(mtype,XLOOKUP($D883,'Move Editor'!$B:$B,'Move Editor'!$C:$C,""),cat,XLOOKUP($D883,'Move Editor'!$B:$B,'Move Editor'!$D:$D,""),pow,XLOOKUP($D883,'Move Editor'!$B:$B,'Move Editor'!$E:$E,0),acc,XLOOKUP($D883,'Move Editor'!$B:$B,'Move Editor'!$F:$F,100),atk,IF(cat="Physical",FLOOR((FLOOR(((2*XLOOKUP(XLOOKUP($Q883,'Threshold Summary'!$Y:$Y,'Threshold Summary'!$K:$K,""),'Pokemon Editor'!$A:$A,'Pokemon Editor'!$F:$F,0)+31+FLOOR(XLOOKUP($Q883,'Threshold Summary'!$Y:$Y,'Threshold Summary'!$P:$P,"")/4))*XLOOKUP($Q883,'Threshold Summary'!$Y:$Y,'Threshold Summary'!$L:$L,""))/100)+5)*XLOOKUP(XLOOKUP($Q883,'Threshold Summary'!$Y:$Y,'Threshold Summary'!$M:$M,""),'Nature Editor'!$A:$A,'Nature Editor'!$B:$B,1)),FLOOR((FLOOR(((2*XLOOKUP(XLOOKUP($Q883,'Threshold Summary'!$Y:$Y,'Threshold Summary'!$K:$K,""),'Pokemon Editor'!$A:$A,'Pokemon Editor'!$H:$H,0)+31+FLOOR(XLOOKUP($Q883,'Threshold Summary'!$Y:$Y,'Threshold Summary'!$R:$R,"")/4))*XLOOKUP($Q883,'Threshold Summary'!$Y:$Y,'Threshold Summary'!$L:$L,""))/100)+5)*XLOOKUP(XLOOKUP($Q883,'Threshold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Editor'!$E:$E,1))),stab,IF(OR(mtype=XLOOKUP(XLOOKUP($Q883,'Threshold Summary'!$Y:$Y,'Threshold Summary'!$K:$K,""),'Pokemon Editor'!$A:$A,'Pokemon Editor'!$C:$C,""),mtype=XLOOKUP(XLOOKUP($Q883,'Threshold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Chart'!$B$1:$S$1,0)))),base,IF(OR(cat="Status",pow=0),0,FLOOR(FLOOR(FLOOR((2*XLOOKUP($Q883,'Threshold Summary'!$Y:$Y,'Threshold Summary'!$L:$L,"")/5+2)*pow*atk/def)/50)+2)),modifier,stab*eff,AVERAGE(ARRAYFORMULA(FLOOR(base*modifier*SEQUENCE(16,1,85,1)/100)))),0)</f>
        <v/>
      </c>
      <c r="M883" s="3">
        <f>IFERROR(LET(mtype,XLOOKUP($D883,'Move Editor'!$B:$B,'Move Editor'!$C:$C,""),cat,XLOOKUP($D883,'Move Editor'!$B:$B,'Move Editor'!$D:$D,""),pow,XLOOKUP($D883,'Move Editor'!$B:$B,'Move Editor'!$E:$E,0),acc,XLOOKUP($D883,'Move Editor'!$B:$B,'Move Editor'!$F:$F,100),atk,IF(cat="Physical",FLOOR((FLOOR(((2*XLOOKUP(XLOOKUP($Q883,'Threshold Summary'!$Y:$Y,'Threshold Summary'!$K:$K,""),'Pokemon Editor'!$A:$A,'Pokemon Editor'!$F:$F,0)+31+FLOOR(XLOOKUP($Q883,'Threshold Summary'!$Y:$Y,'Threshold Summary'!$P:$P,"")/4))*XLOOKUP($Q883,'Threshold Summary'!$Y:$Y,'Threshold Summary'!$L:$L,""))/100)+5)*XLOOKUP(XLOOKUP($Q883,'Threshold Summary'!$Y:$Y,'Threshold Summary'!$M:$M,""),'Nature Editor'!$A:$A,'Nature Editor'!$B:$B,1)),FLOOR((FLOOR(((2*XLOOKUP(XLOOKUP($Q883,'Threshold Summary'!$Y:$Y,'Threshold Summary'!$K:$K,""),'Pokemon Editor'!$A:$A,'Pokemon Editor'!$H:$H,0)+31+FLOOR(XLOOKUP($Q883,'Threshold Summary'!$Y:$Y,'Threshold Summary'!$R:$R,"")/4))*XLOOKUP($Q883,'Threshold Summary'!$Y:$Y,'Threshold Summary'!$L:$L,""))/100)+5)*XLOOKUP(XLOOKUP($Q883,'Threshold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Editor'!$E:$E,1))),stab,IF(OR(mtype=XLOOKUP(XLOOKUP($Q883,'Threshold Summary'!$Y:$Y,'Threshold Summary'!$K:$K,""),'Pokemon Editor'!$A:$A,'Pokemon Editor'!$C:$C,""),mtype=XLOOKUP(XLOOKUP($Q883,'Threshold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Chart'!$B$1:$S$1,0)))),base,IF(OR(cat="Status",pow=0),0,FLOOR(FLOOR(FLOOR((2*XLOOKUP($Q883,'Threshold Summary'!$Y:$Y,'Threshold Summary'!$L:$L,"")/5+2)*pow*atk/def)/50)+2)),modifier,stab*eff,AVERAGE(ARRAYFORMULA(FLOOR(base*modifier*SEQUENCE(16,1,85,1)/100)))*MIN(1,acc/100)),0)</f>
        <v/>
      </c>
      <c r="N883" s="4">
        <f>IFERROR(LET(mtype,XLOOKUP($D883,'Move Editor'!$B:$B,'Move Editor'!$C:$C,""),cat,XLOOKUP($D883,'Move Editor'!$B:$B,'Move Editor'!$D:$D,""),pow,XLOOKUP($D883,'Move Editor'!$B:$B,'Move Editor'!$E:$E,0),acc,XLOOKUP($D883,'Move Editor'!$B:$B,'Move Editor'!$F:$F,100),atk,IF(cat="Physical",FLOOR((FLOOR(((2*XLOOKUP(XLOOKUP($Q883,'Threshold Summary'!$Y:$Y,'Threshold Summary'!$K:$K,""),'Pokemon Editor'!$A:$A,'Pokemon Editor'!$F:$F,0)+31+FLOOR(XLOOKUP($Q883,'Threshold Summary'!$Y:$Y,'Threshold Summary'!$P:$P,"")/4))*XLOOKUP($Q883,'Threshold Summary'!$Y:$Y,'Threshold Summary'!$L:$L,""))/100)+5)*XLOOKUP(XLOOKUP($Q883,'Threshold Summary'!$Y:$Y,'Threshold Summary'!$M:$M,""),'Nature Editor'!$A:$A,'Nature Editor'!$B:$B,1)),FLOOR((FLOOR(((2*XLOOKUP(XLOOKUP($Q883,'Threshold Summary'!$Y:$Y,'Threshold Summary'!$K:$K,""),'Pokemon Editor'!$A:$A,'Pokemon Editor'!$H:$H,0)+31+FLOOR(XLOOKUP($Q883,'Threshold Summary'!$Y:$Y,'Threshold Summary'!$R:$R,"")/4))*XLOOKUP($Q883,'Threshold Summary'!$Y:$Y,'Threshold Summary'!$L:$L,""))/100)+5)*XLOOKUP(XLOOKUP($Q883,'Threshold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Editor'!$E:$E,1))),stab,IF(OR(mtype=XLOOKUP(XLOOKUP($Q883,'Threshold Summary'!$Y:$Y,'Threshold Summary'!$K:$K,""),'Pokemon Editor'!$A:$A,'Pokemon Editor'!$C:$C,""),mtype=XLOOKUP(XLOOKUP($Q883,'Threshold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Chart'!$B$1:$S$1,0)))),base,IF(OR(cat="Status",pow=0),0,FLOOR(FLOOR(FLOOR((2*XLOOKUP($Q883,'Threshold Summary'!$Y:$Y,'Threshold Summary'!$L:$L,"")/5+2)*pow*atk/def)/50)+2)),modifier,stab*eff,AVERAGE(ARRAYFORMULA(FLOOR(base*modifier*SEQUENCE(16,1,85,1)/100)))/(FLOOR(((2*XLOOKUP('Boss Editor'!$C$4,'Pokemon Editor'!$A:$A,'Pokemon Editor'!$E:$E,0)+31+FLOOR('Boss Editor'!$G$4/4))*'Boss Editor'!$D$4)/100)+'Boss Editor'!$D$4+10)),0)</f>
        <v/>
      </c>
      <c r="O883" s="3">
        <f>IF(N883&gt;=1,"OHKO",IF(N883&gt;=0.5,"2HKO",IF(N883&gt;=0.333,"3HKO",IF(N883&gt;=0.25,"4HKO","5HKO+"))))</f>
        <v/>
      </c>
      <c r="P883" s="3" t="inlineStr">
        <is>
          <t>Live from editable databases</t>
        </is>
      </c>
      <c r="Q883" s="3" t="inlineStr">
        <is>
          <t>SPECIES_NYMBLE</t>
        </is>
      </c>
      <c r="R883" s="3" t="n">
        <v>18</v>
      </c>
    </row>
    <row r="884">
      <c r="A884" s="3">
        <f>XLOOKUP($Q884,'Threshold Summary'!$Y:$Y,'Threshold Summary'!$A:$A,"")</f>
        <v/>
      </c>
      <c r="B884" s="3">
        <f>XLOOKUP($Q884,'Threshold Summary'!$Y:$Y,'Threshold Summary'!$M:$M,"")</f>
        <v/>
      </c>
      <c r="C884" s="3">
        <f>XLOOKUP($Q884,'Threshold Summary'!$Y:$Y,'Threshold Summary'!$N:$N,"")</f>
        <v/>
      </c>
      <c r="D884" s="3">
        <f>IFERROR(INDEX(FILTER('Learnset Editor'!$D$2:$D,'Learnset Editor'!$A$2:$A=XLOOKUP($Q884,'Threshold Summary'!$Y:$Y,'Threshold Summary'!$K:$K,""),'Learnset Editor'!$C$2:$C&lt;=XLOOKUP($Q884,'Threshold Summary'!$Y:$Y,'Threshold Summary'!$L:$L,"")),$R884),"")</f>
        <v/>
      </c>
      <c r="E884" s="3">
        <f>XLOOKUP(D884,'Move Editor'!$B:$B,'Move Editor'!$C:$C,"")</f>
        <v/>
      </c>
      <c r="F884" s="3">
        <f>XLOOKUP(D884,'Move Editor'!$B:$B,'Move Editor'!$D:$D,"")</f>
        <v/>
      </c>
      <c r="G884" s="3">
        <f>XLOOKUP(D884,'Move Editor'!$B:$B,'Move Editor'!$E:$E,0)</f>
        <v/>
      </c>
      <c r="H884" s="3">
        <f>XLOOKUP(D884,'Move Editor'!$B:$B,'Move Editor'!$F:$F,0)</f>
        <v/>
      </c>
      <c r="I884" s="3">
        <f>(INDEX('Type Chart'!$B:$S,MATCH(E884,'Type Chart'!$A:$A,0),MATCH(XLOOKUP('Boss Editor'!$C$4,'Pokemon Editor'!$A:$A,'Pokemon Editor'!$C:$C,""),'Type Chart'!$B$1:$S$1,0))*IF(XLOOKUP('Boss Editor'!$C$4,'Pokemon Editor'!$A:$A,'Pokemon Editor'!$D:$D,"")="",1,INDEX('Type Chart'!$B:$S,MATCH(E884,'Type Chart'!$A:$A,0),MATCH(XLOOKUP('Boss Editor'!$C$4,'Pokemon Editor'!$A:$A,'Pokemon Editor'!$D:$D,""),'Type Chart'!$B$1:$S$1,0))))</f>
        <v/>
      </c>
      <c r="J884" s="3">
        <f>IFERROR(LET(mtype,XLOOKUP($D884,'Move Editor'!$B:$B,'Move Editor'!$C:$C,""),cat,XLOOKUP($D884,'Move Editor'!$B:$B,'Move Editor'!$D:$D,""),pow,XLOOKUP($D884,'Move Editor'!$B:$B,'Move Editor'!$E:$E,0),acc,XLOOKUP($D884,'Move Editor'!$B:$B,'Move Editor'!$F:$F,100),atk,IF(cat="Physical",FLOOR((FLOOR(((2*XLOOKUP(XLOOKUP($Q884,'Threshold Summary'!$Y:$Y,'Threshold Summary'!$K:$K,""),'Pokemon Editor'!$A:$A,'Pokemon Editor'!$F:$F,0)+31+FLOOR(XLOOKUP($Q884,'Threshold Summary'!$Y:$Y,'Threshold Summary'!$P:$P,"")/4))*XLOOKUP($Q884,'Threshold Summary'!$Y:$Y,'Threshold Summary'!$L:$L,""))/100)+5)*XLOOKUP(XLOOKUP($Q884,'Threshold Summary'!$Y:$Y,'Threshold Summary'!$M:$M,""),'Nature Editor'!$A:$A,'Nature Editor'!$B:$B,1)),FLOOR((FLOOR(((2*XLOOKUP(XLOOKUP($Q884,'Threshold Summary'!$Y:$Y,'Threshold Summary'!$K:$K,""),'Pokemon Editor'!$A:$A,'Pokemon Editor'!$H:$H,0)+31+FLOOR(XLOOKUP($Q884,'Threshold Summary'!$Y:$Y,'Threshold Summary'!$R:$R,"")/4))*XLOOKUP($Q884,'Threshold Summary'!$Y:$Y,'Threshold Summary'!$L:$L,""))/100)+5)*XLOOKUP(XLOOKUP($Q884,'Threshold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Editor'!$E:$E,1))),stab,IF(OR(mtype=XLOOKUP(XLOOKUP($Q884,'Threshold Summary'!$Y:$Y,'Threshold Summary'!$K:$K,""),'Pokemon Editor'!$A:$A,'Pokemon Editor'!$C:$C,""),mtype=XLOOKUP(XLOOKUP($Q884,'Threshold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Chart'!$B$1:$S$1,0)))),base,IF(OR(cat="Status",pow=0),0,FLOOR(FLOOR(FLOOR((2*XLOOKUP($Q884,'Threshold Summary'!$Y:$Y,'Threshold Summary'!$L:$L,"")/5+2)*pow*atk/def)/50)+2)),modifier,stab*eff,FLOOR(base*modifier*0.85)),0)</f>
        <v/>
      </c>
      <c r="K884" s="3">
        <f>IFERROR(LET(mtype,XLOOKUP($D884,'Move Editor'!$B:$B,'Move Editor'!$C:$C,""),cat,XLOOKUP($D884,'Move Editor'!$B:$B,'Move Editor'!$D:$D,""),pow,XLOOKUP($D884,'Move Editor'!$B:$B,'Move Editor'!$E:$E,0),acc,XLOOKUP($D884,'Move Editor'!$B:$B,'Move Editor'!$F:$F,100),atk,IF(cat="Physical",FLOOR((FLOOR(((2*XLOOKUP(XLOOKUP($Q884,'Threshold Summary'!$Y:$Y,'Threshold Summary'!$K:$K,""),'Pokemon Editor'!$A:$A,'Pokemon Editor'!$F:$F,0)+31+FLOOR(XLOOKUP($Q884,'Threshold Summary'!$Y:$Y,'Threshold Summary'!$P:$P,"")/4))*XLOOKUP($Q884,'Threshold Summary'!$Y:$Y,'Threshold Summary'!$L:$L,""))/100)+5)*XLOOKUP(XLOOKUP($Q884,'Threshold Summary'!$Y:$Y,'Threshold Summary'!$M:$M,""),'Nature Editor'!$A:$A,'Nature Editor'!$B:$B,1)),FLOOR((FLOOR(((2*XLOOKUP(XLOOKUP($Q884,'Threshold Summary'!$Y:$Y,'Threshold Summary'!$K:$K,""),'Pokemon Editor'!$A:$A,'Pokemon Editor'!$H:$H,0)+31+FLOOR(XLOOKUP($Q884,'Threshold Summary'!$Y:$Y,'Threshold Summary'!$R:$R,"")/4))*XLOOKUP($Q884,'Threshold Summary'!$Y:$Y,'Threshold Summary'!$L:$L,""))/100)+5)*XLOOKUP(XLOOKUP($Q884,'Threshold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Editor'!$E:$E,1))),stab,IF(OR(mtype=XLOOKUP(XLOOKUP($Q884,'Threshold Summary'!$Y:$Y,'Threshold Summary'!$K:$K,""),'Pokemon Editor'!$A:$A,'Pokemon Editor'!$C:$C,""),mtype=XLOOKUP(XLOOKUP($Q884,'Threshold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Chart'!$B$1:$S$1,0)))),base,IF(OR(cat="Status",pow=0),0,FLOOR(FLOOR(FLOOR((2*XLOOKUP($Q884,'Threshold Summary'!$Y:$Y,'Threshold Summary'!$L:$L,"")/5+2)*pow*atk/def)/50)+2)),modifier,stab*eff,FLOOR(base*modifier)),0)</f>
        <v/>
      </c>
      <c r="L884" s="3">
        <f>IFERROR(LET(mtype,XLOOKUP($D884,'Move Editor'!$B:$B,'Move Editor'!$C:$C,""),cat,XLOOKUP($D884,'Move Editor'!$B:$B,'Move Editor'!$D:$D,""),pow,XLOOKUP($D884,'Move Editor'!$B:$B,'Move Editor'!$E:$E,0),acc,XLOOKUP($D884,'Move Editor'!$B:$B,'Move Editor'!$F:$F,100),atk,IF(cat="Physical",FLOOR((FLOOR(((2*XLOOKUP(XLOOKUP($Q884,'Threshold Summary'!$Y:$Y,'Threshold Summary'!$K:$K,""),'Pokemon Editor'!$A:$A,'Pokemon Editor'!$F:$F,0)+31+FLOOR(XLOOKUP($Q884,'Threshold Summary'!$Y:$Y,'Threshold Summary'!$P:$P,"")/4))*XLOOKUP($Q884,'Threshold Summary'!$Y:$Y,'Threshold Summary'!$L:$L,""))/100)+5)*XLOOKUP(XLOOKUP($Q884,'Threshold Summary'!$Y:$Y,'Threshold Summary'!$M:$M,""),'Nature Editor'!$A:$A,'Nature Editor'!$B:$B,1)),FLOOR((FLOOR(((2*XLOOKUP(XLOOKUP($Q884,'Threshold Summary'!$Y:$Y,'Threshold Summary'!$K:$K,""),'Pokemon Editor'!$A:$A,'Pokemon Editor'!$H:$H,0)+31+FLOOR(XLOOKUP($Q884,'Threshold Summary'!$Y:$Y,'Threshold Summary'!$R:$R,"")/4))*XLOOKUP($Q884,'Threshold Summary'!$Y:$Y,'Threshold Summary'!$L:$L,""))/100)+5)*XLOOKUP(XLOOKUP($Q884,'Threshold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Editor'!$E:$E,1))),stab,IF(OR(mtype=XLOOKUP(XLOOKUP($Q884,'Threshold Summary'!$Y:$Y,'Threshold Summary'!$K:$K,""),'Pokemon Editor'!$A:$A,'Pokemon Editor'!$C:$C,""),mtype=XLOOKUP(XLOOKUP($Q884,'Threshold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Chart'!$B$1:$S$1,0)))),base,IF(OR(cat="Status",pow=0),0,FLOOR(FLOOR(FLOOR((2*XLOOKUP($Q884,'Threshold Summary'!$Y:$Y,'Threshold Summary'!$L:$L,"")/5+2)*pow*atk/def)/50)+2)),modifier,stab*eff,AVERAGE(ARRAYFORMULA(FLOOR(base*modifier*SEQUENCE(16,1,85,1)/100)))),0)</f>
        <v/>
      </c>
      <c r="M884" s="3">
        <f>IFERROR(LET(mtype,XLOOKUP($D884,'Move Editor'!$B:$B,'Move Editor'!$C:$C,""),cat,XLOOKUP($D884,'Move Editor'!$B:$B,'Move Editor'!$D:$D,""),pow,XLOOKUP($D884,'Move Editor'!$B:$B,'Move Editor'!$E:$E,0),acc,XLOOKUP($D884,'Move Editor'!$B:$B,'Move Editor'!$F:$F,100),atk,IF(cat="Physical",FLOOR((FLOOR(((2*XLOOKUP(XLOOKUP($Q884,'Threshold Summary'!$Y:$Y,'Threshold Summary'!$K:$K,""),'Pokemon Editor'!$A:$A,'Pokemon Editor'!$F:$F,0)+31+FLOOR(XLOOKUP($Q884,'Threshold Summary'!$Y:$Y,'Threshold Summary'!$P:$P,"")/4))*XLOOKUP($Q884,'Threshold Summary'!$Y:$Y,'Threshold Summary'!$L:$L,""))/100)+5)*XLOOKUP(XLOOKUP($Q884,'Threshold Summary'!$Y:$Y,'Threshold Summary'!$M:$M,""),'Nature Editor'!$A:$A,'Nature Editor'!$B:$B,1)),FLOOR((FLOOR(((2*XLOOKUP(XLOOKUP($Q884,'Threshold Summary'!$Y:$Y,'Threshold Summary'!$K:$K,""),'Pokemon Editor'!$A:$A,'Pokemon Editor'!$H:$H,0)+31+FLOOR(XLOOKUP($Q884,'Threshold Summary'!$Y:$Y,'Threshold Summary'!$R:$R,"")/4))*XLOOKUP($Q884,'Threshold Summary'!$Y:$Y,'Threshold Summary'!$L:$L,""))/100)+5)*XLOOKUP(XLOOKUP($Q884,'Threshold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Editor'!$E:$E,1))),stab,IF(OR(mtype=XLOOKUP(XLOOKUP($Q884,'Threshold Summary'!$Y:$Y,'Threshold Summary'!$K:$K,""),'Pokemon Editor'!$A:$A,'Pokemon Editor'!$C:$C,""),mtype=XLOOKUP(XLOOKUP($Q884,'Threshold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Chart'!$B$1:$S$1,0)))),base,IF(OR(cat="Status",pow=0),0,FLOOR(FLOOR(FLOOR((2*XLOOKUP($Q884,'Threshold Summary'!$Y:$Y,'Threshold Summary'!$L:$L,"")/5+2)*pow*atk/def)/50)+2)),modifier,stab*eff,AVERAGE(ARRAYFORMULA(FLOOR(base*modifier*SEQUENCE(16,1,85,1)/100)))*MIN(1,acc/100)),0)</f>
        <v/>
      </c>
      <c r="N884" s="4">
        <f>IFERROR(LET(mtype,XLOOKUP($D884,'Move Editor'!$B:$B,'Move Editor'!$C:$C,""),cat,XLOOKUP($D884,'Move Editor'!$B:$B,'Move Editor'!$D:$D,""),pow,XLOOKUP($D884,'Move Editor'!$B:$B,'Move Editor'!$E:$E,0),acc,XLOOKUP($D884,'Move Editor'!$B:$B,'Move Editor'!$F:$F,100),atk,IF(cat="Physical",FLOOR((FLOOR(((2*XLOOKUP(XLOOKUP($Q884,'Threshold Summary'!$Y:$Y,'Threshold Summary'!$K:$K,""),'Pokemon Editor'!$A:$A,'Pokemon Editor'!$F:$F,0)+31+FLOOR(XLOOKUP($Q884,'Threshold Summary'!$Y:$Y,'Threshold Summary'!$P:$P,"")/4))*XLOOKUP($Q884,'Threshold Summary'!$Y:$Y,'Threshold Summary'!$L:$L,""))/100)+5)*XLOOKUP(XLOOKUP($Q884,'Threshold Summary'!$Y:$Y,'Threshold Summary'!$M:$M,""),'Nature Editor'!$A:$A,'Nature Editor'!$B:$B,1)),FLOOR((FLOOR(((2*XLOOKUP(XLOOKUP($Q884,'Threshold Summary'!$Y:$Y,'Threshold Summary'!$K:$K,""),'Pokemon Editor'!$A:$A,'Pokemon Editor'!$H:$H,0)+31+FLOOR(XLOOKUP($Q884,'Threshold Summary'!$Y:$Y,'Threshold Summary'!$R:$R,"")/4))*XLOOKUP($Q884,'Threshold Summary'!$Y:$Y,'Threshold Summary'!$L:$L,""))/100)+5)*XLOOKUP(XLOOKUP($Q884,'Threshold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Editor'!$E:$E,1))),stab,IF(OR(mtype=XLOOKUP(XLOOKUP($Q884,'Threshold Summary'!$Y:$Y,'Threshold Summary'!$K:$K,""),'Pokemon Editor'!$A:$A,'Pokemon Editor'!$C:$C,""),mtype=XLOOKUP(XLOOKUP($Q884,'Threshold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Chart'!$B$1:$S$1,0)))),base,IF(OR(cat="Status",pow=0),0,FLOOR(FLOOR(FLOOR((2*XLOOKUP($Q884,'Threshold Summary'!$Y:$Y,'Threshold Summary'!$L:$L,"")/5+2)*pow*atk/def)/50)+2)),modifier,stab*eff,AVERAGE(ARRAYFORMULA(FLOOR(base*modifier*SEQUENCE(16,1,85,1)/100)))/(FLOOR(((2*XLOOKUP('Boss Editor'!$C$4,'Pokemon Editor'!$A:$A,'Pokemon Editor'!$E:$E,0)+31+FLOOR('Boss Editor'!$G$4/4))*'Boss Editor'!$D$4)/100)+'Boss Editor'!$D$4+10)),0)</f>
        <v/>
      </c>
      <c r="O884" s="3">
        <f>IF(N884&gt;=1,"OHKO",IF(N884&gt;=0.5,"2HKO",IF(N884&gt;=0.333,"3HKO",IF(N884&gt;=0.25,"4HKO","5HKO+"))))</f>
        <v/>
      </c>
      <c r="P884" s="3" t="inlineStr">
        <is>
          <t>Live from editable databases</t>
        </is>
      </c>
      <c r="Q884" s="3" t="inlineStr">
        <is>
          <t>SPECIES_NYMBLE</t>
        </is>
      </c>
      <c r="R884" s="3" t="n">
        <v>19</v>
      </c>
    </row>
    <row r="885">
      <c r="A885" s="3">
        <f>XLOOKUP($Q885,'Threshold Summary'!$Y:$Y,'Threshold Summary'!$A:$A,"")</f>
        <v/>
      </c>
      <c r="B885" s="3">
        <f>XLOOKUP($Q885,'Threshold Summary'!$Y:$Y,'Threshold Summary'!$M:$M,"")</f>
        <v/>
      </c>
      <c r="C885" s="3">
        <f>XLOOKUP($Q885,'Threshold Summary'!$Y:$Y,'Threshold Summary'!$N:$N,"")</f>
        <v/>
      </c>
      <c r="D885" s="3">
        <f>IFERROR(INDEX(FILTER('Learnset Editor'!$D$2:$D,'Learnset Editor'!$A$2:$A=XLOOKUP($Q885,'Threshold Summary'!$Y:$Y,'Threshold Summary'!$K:$K,""),'Learnset Editor'!$C$2:$C&lt;=XLOOKUP($Q885,'Threshold Summary'!$Y:$Y,'Threshold Summary'!$L:$L,"")),$R885),"")</f>
        <v/>
      </c>
      <c r="E885" s="3">
        <f>XLOOKUP(D885,'Move Editor'!$B:$B,'Move Editor'!$C:$C,"")</f>
        <v/>
      </c>
      <c r="F885" s="3">
        <f>XLOOKUP(D885,'Move Editor'!$B:$B,'Move Editor'!$D:$D,"")</f>
        <v/>
      </c>
      <c r="G885" s="3">
        <f>XLOOKUP(D885,'Move Editor'!$B:$B,'Move Editor'!$E:$E,0)</f>
        <v/>
      </c>
      <c r="H885" s="3">
        <f>XLOOKUP(D885,'Move Editor'!$B:$B,'Move Editor'!$F:$F,0)</f>
        <v/>
      </c>
      <c r="I885" s="3">
        <f>(INDEX('Type Chart'!$B:$S,MATCH(E885,'Type Chart'!$A:$A,0),MATCH(XLOOKUP('Boss Editor'!$C$4,'Pokemon Editor'!$A:$A,'Pokemon Editor'!$C:$C,""),'Type Chart'!$B$1:$S$1,0))*IF(XLOOKUP('Boss Editor'!$C$4,'Pokemon Editor'!$A:$A,'Pokemon Editor'!$D:$D,"")="",1,INDEX('Type Chart'!$B:$S,MATCH(E885,'Type Chart'!$A:$A,0),MATCH(XLOOKUP('Boss Editor'!$C$4,'Pokemon Editor'!$A:$A,'Pokemon Editor'!$D:$D,""),'Type Chart'!$B$1:$S$1,0))))</f>
        <v/>
      </c>
      <c r="J885" s="3">
        <f>IFERROR(LET(mtype,XLOOKUP($D885,'Move Editor'!$B:$B,'Move Editor'!$C:$C,""),cat,XLOOKUP($D885,'Move Editor'!$B:$B,'Move Editor'!$D:$D,""),pow,XLOOKUP($D885,'Move Editor'!$B:$B,'Move Editor'!$E:$E,0),acc,XLOOKUP($D885,'Move Editor'!$B:$B,'Move Editor'!$F:$F,100),atk,IF(cat="Physical",FLOOR((FLOOR(((2*XLOOKUP(XLOOKUP($Q885,'Threshold Summary'!$Y:$Y,'Threshold Summary'!$K:$K,""),'Pokemon Editor'!$A:$A,'Pokemon Editor'!$F:$F,0)+31+FLOOR(XLOOKUP($Q885,'Threshold Summary'!$Y:$Y,'Threshold Summary'!$P:$P,"")/4))*XLOOKUP($Q885,'Threshold Summary'!$Y:$Y,'Threshold Summary'!$L:$L,""))/100)+5)*XLOOKUP(XLOOKUP($Q885,'Threshold Summary'!$Y:$Y,'Threshold Summary'!$M:$M,""),'Nature Editor'!$A:$A,'Nature Editor'!$B:$B,1)),FLOOR((FLOOR(((2*XLOOKUP(XLOOKUP($Q885,'Threshold Summary'!$Y:$Y,'Threshold Summary'!$K:$K,""),'Pokemon Editor'!$A:$A,'Pokemon Editor'!$H:$H,0)+31+FLOOR(XLOOKUP($Q885,'Threshold Summary'!$Y:$Y,'Threshold Summary'!$R:$R,"")/4))*XLOOKUP($Q885,'Threshold Summary'!$Y:$Y,'Threshold Summary'!$L:$L,""))/100)+5)*XLOOKUP(XLOOKUP($Q885,'Threshold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Editor'!$E:$E,1))),stab,IF(OR(mtype=XLOOKUP(XLOOKUP($Q885,'Threshold Summary'!$Y:$Y,'Threshold Summary'!$K:$K,""),'Pokemon Editor'!$A:$A,'Pokemon Editor'!$C:$C,""),mtype=XLOOKUP(XLOOKUP($Q885,'Threshold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Chart'!$B$1:$S$1,0)))),base,IF(OR(cat="Status",pow=0),0,FLOOR(FLOOR(FLOOR((2*XLOOKUP($Q885,'Threshold Summary'!$Y:$Y,'Threshold Summary'!$L:$L,"")/5+2)*pow*atk/def)/50)+2)),modifier,stab*eff,FLOOR(base*modifier*0.85)),0)</f>
        <v/>
      </c>
      <c r="K885" s="3">
        <f>IFERROR(LET(mtype,XLOOKUP($D885,'Move Editor'!$B:$B,'Move Editor'!$C:$C,""),cat,XLOOKUP($D885,'Move Editor'!$B:$B,'Move Editor'!$D:$D,""),pow,XLOOKUP($D885,'Move Editor'!$B:$B,'Move Editor'!$E:$E,0),acc,XLOOKUP($D885,'Move Editor'!$B:$B,'Move Editor'!$F:$F,100),atk,IF(cat="Physical",FLOOR((FLOOR(((2*XLOOKUP(XLOOKUP($Q885,'Threshold Summary'!$Y:$Y,'Threshold Summary'!$K:$K,""),'Pokemon Editor'!$A:$A,'Pokemon Editor'!$F:$F,0)+31+FLOOR(XLOOKUP($Q885,'Threshold Summary'!$Y:$Y,'Threshold Summary'!$P:$P,"")/4))*XLOOKUP($Q885,'Threshold Summary'!$Y:$Y,'Threshold Summary'!$L:$L,""))/100)+5)*XLOOKUP(XLOOKUP($Q885,'Threshold Summary'!$Y:$Y,'Threshold Summary'!$M:$M,""),'Nature Editor'!$A:$A,'Nature Editor'!$B:$B,1)),FLOOR((FLOOR(((2*XLOOKUP(XLOOKUP($Q885,'Threshold Summary'!$Y:$Y,'Threshold Summary'!$K:$K,""),'Pokemon Editor'!$A:$A,'Pokemon Editor'!$H:$H,0)+31+FLOOR(XLOOKUP($Q885,'Threshold Summary'!$Y:$Y,'Threshold Summary'!$R:$R,"")/4))*XLOOKUP($Q885,'Threshold Summary'!$Y:$Y,'Threshold Summary'!$L:$L,""))/100)+5)*XLOOKUP(XLOOKUP($Q885,'Threshold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Editor'!$E:$E,1))),stab,IF(OR(mtype=XLOOKUP(XLOOKUP($Q885,'Threshold Summary'!$Y:$Y,'Threshold Summary'!$K:$K,""),'Pokemon Editor'!$A:$A,'Pokemon Editor'!$C:$C,""),mtype=XLOOKUP(XLOOKUP($Q885,'Threshold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Chart'!$B$1:$S$1,0)))),base,IF(OR(cat="Status",pow=0),0,FLOOR(FLOOR(FLOOR((2*XLOOKUP($Q885,'Threshold Summary'!$Y:$Y,'Threshold Summary'!$L:$L,"")/5+2)*pow*atk/def)/50)+2)),modifier,stab*eff,FLOOR(base*modifier)),0)</f>
        <v/>
      </c>
      <c r="L885" s="3">
        <f>IFERROR(LET(mtype,XLOOKUP($D885,'Move Editor'!$B:$B,'Move Editor'!$C:$C,""),cat,XLOOKUP($D885,'Move Editor'!$B:$B,'Move Editor'!$D:$D,""),pow,XLOOKUP($D885,'Move Editor'!$B:$B,'Move Editor'!$E:$E,0),acc,XLOOKUP($D885,'Move Editor'!$B:$B,'Move Editor'!$F:$F,100),atk,IF(cat="Physical",FLOOR((FLOOR(((2*XLOOKUP(XLOOKUP($Q885,'Threshold Summary'!$Y:$Y,'Threshold Summary'!$K:$K,""),'Pokemon Editor'!$A:$A,'Pokemon Editor'!$F:$F,0)+31+FLOOR(XLOOKUP($Q885,'Threshold Summary'!$Y:$Y,'Threshold Summary'!$P:$P,"")/4))*XLOOKUP($Q885,'Threshold Summary'!$Y:$Y,'Threshold Summary'!$L:$L,""))/100)+5)*XLOOKUP(XLOOKUP($Q885,'Threshold Summary'!$Y:$Y,'Threshold Summary'!$M:$M,""),'Nature Editor'!$A:$A,'Nature Editor'!$B:$B,1)),FLOOR((FLOOR(((2*XLOOKUP(XLOOKUP($Q885,'Threshold Summary'!$Y:$Y,'Threshold Summary'!$K:$K,""),'Pokemon Editor'!$A:$A,'Pokemon Editor'!$H:$H,0)+31+FLOOR(XLOOKUP($Q885,'Threshold Summary'!$Y:$Y,'Threshold Summary'!$R:$R,"")/4))*XLOOKUP($Q885,'Threshold Summary'!$Y:$Y,'Threshold Summary'!$L:$L,""))/100)+5)*XLOOKUP(XLOOKUP($Q885,'Threshold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Editor'!$E:$E,1))),stab,IF(OR(mtype=XLOOKUP(XLOOKUP($Q885,'Threshold Summary'!$Y:$Y,'Threshold Summary'!$K:$K,""),'Pokemon Editor'!$A:$A,'Pokemon Editor'!$C:$C,""),mtype=XLOOKUP(XLOOKUP($Q885,'Threshold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Chart'!$B$1:$S$1,0)))),base,IF(OR(cat="Status",pow=0),0,FLOOR(FLOOR(FLOOR((2*XLOOKUP($Q885,'Threshold Summary'!$Y:$Y,'Threshold Summary'!$L:$L,"")/5+2)*pow*atk/def)/50)+2)),modifier,stab*eff,AVERAGE(ARRAYFORMULA(FLOOR(base*modifier*SEQUENCE(16,1,85,1)/100)))),0)</f>
        <v/>
      </c>
      <c r="M885" s="3">
        <f>IFERROR(LET(mtype,XLOOKUP($D885,'Move Editor'!$B:$B,'Move Editor'!$C:$C,""),cat,XLOOKUP($D885,'Move Editor'!$B:$B,'Move Editor'!$D:$D,""),pow,XLOOKUP($D885,'Move Editor'!$B:$B,'Move Editor'!$E:$E,0),acc,XLOOKUP($D885,'Move Editor'!$B:$B,'Move Editor'!$F:$F,100),atk,IF(cat="Physical",FLOOR((FLOOR(((2*XLOOKUP(XLOOKUP($Q885,'Threshold Summary'!$Y:$Y,'Threshold Summary'!$K:$K,""),'Pokemon Editor'!$A:$A,'Pokemon Editor'!$F:$F,0)+31+FLOOR(XLOOKUP($Q885,'Threshold Summary'!$Y:$Y,'Threshold Summary'!$P:$P,"")/4))*XLOOKUP($Q885,'Threshold Summary'!$Y:$Y,'Threshold Summary'!$L:$L,""))/100)+5)*XLOOKUP(XLOOKUP($Q885,'Threshold Summary'!$Y:$Y,'Threshold Summary'!$M:$M,""),'Nature Editor'!$A:$A,'Nature Editor'!$B:$B,1)),FLOOR((FLOOR(((2*XLOOKUP(XLOOKUP($Q885,'Threshold Summary'!$Y:$Y,'Threshold Summary'!$K:$K,""),'Pokemon Editor'!$A:$A,'Pokemon Editor'!$H:$H,0)+31+FLOOR(XLOOKUP($Q885,'Threshold Summary'!$Y:$Y,'Threshold Summary'!$R:$R,"")/4))*XLOOKUP($Q885,'Threshold Summary'!$Y:$Y,'Threshold Summary'!$L:$L,""))/100)+5)*XLOOKUP(XLOOKUP($Q885,'Threshold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Editor'!$E:$E,1))),stab,IF(OR(mtype=XLOOKUP(XLOOKUP($Q885,'Threshold Summary'!$Y:$Y,'Threshold Summary'!$K:$K,""),'Pokemon Editor'!$A:$A,'Pokemon Editor'!$C:$C,""),mtype=XLOOKUP(XLOOKUP($Q885,'Threshold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Chart'!$B$1:$S$1,0)))),base,IF(OR(cat="Status",pow=0),0,FLOOR(FLOOR(FLOOR((2*XLOOKUP($Q885,'Threshold Summary'!$Y:$Y,'Threshold Summary'!$L:$L,"")/5+2)*pow*atk/def)/50)+2)),modifier,stab*eff,AVERAGE(ARRAYFORMULA(FLOOR(base*modifier*SEQUENCE(16,1,85,1)/100)))*MIN(1,acc/100)),0)</f>
        <v/>
      </c>
      <c r="N885" s="4">
        <f>IFERROR(LET(mtype,XLOOKUP($D885,'Move Editor'!$B:$B,'Move Editor'!$C:$C,""),cat,XLOOKUP($D885,'Move Editor'!$B:$B,'Move Editor'!$D:$D,""),pow,XLOOKUP($D885,'Move Editor'!$B:$B,'Move Editor'!$E:$E,0),acc,XLOOKUP($D885,'Move Editor'!$B:$B,'Move Editor'!$F:$F,100),atk,IF(cat="Physical",FLOOR((FLOOR(((2*XLOOKUP(XLOOKUP($Q885,'Threshold Summary'!$Y:$Y,'Threshold Summary'!$K:$K,""),'Pokemon Editor'!$A:$A,'Pokemon Editor'!$F:$F,0)+31+FLOOR(XLOOKUP($Q885,'Threshold Summary'!$Y:$Y,'Threshold Summary'!$P:$P,"")/4))*XLOOKUP($Q885,'Threshold Summary'!$Y:$Y,'Threshold Summary'!$L:$L,""))/100)+5)*XLOOKUP(XLOOKUP($Q885,'Threshold Summary'!$Y:$Y,'Threshold Summary'!$M:$M,""),'Nature Editor'!$A:$A,'Nature Editor'!$B:$B,1)),FLOOR((FLOOR(((2*XLOOKUP(XLOOKUP($Q885,'Threshold Summary'!$Y:$Y,'Threshold Summary'!$K:$K,""),'Pokemon Editor'!$A:$A,'Pokemon Editor'!$H:$H,0)+31+FLOOR(XLOOKUP($Q885,'Threshold Summary'!$Y:$Y,'Threshold Summary'!$R:$R,"")/4))*XLOOKUP($Q885,'Threshold Summary'!$Y:$Y,'Threshold Summary'!$L:$L,""))/100)+5)*XLOOKUP(XLOOKUP($Q885,'Threshold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Editor'!$E:$E,1))),stab,IF(OR(mtype=XLOOKUP(XLOOKUP($Q885,'Threshold Summary'!$Y:$Y,'Threshold Summary'!$K:$K,""),'Pokemon Editor'!$A:$A,'Pokemon Editor'!$C:$C,""),mtype=XLOOKUP(XLOOKUP($Q885,'Threshold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Chart'!$B$1:$S$1,0)))),base,IF(OR(cat="Status",pow=0),0,FLOOR(FLOOR(FLOOR((2*XLOOKUP($Q885,'Threshold Summary'!$Y:$Y,'Threshold Summary'!$L:$L,"")/5+2)*pow*atk/def)/50)+2)),modifier,stab*eff,AVERAGE(ARRAYFORMULA(FLOOR(base*modifier*SEQUENCE(16,1,85,1)/100)))/(FLOOR(((2*XLOOKUP('Boss Editor'!$C$4,'Pokemon Editor'!$A:$A,'Pokemon Editor'!$E:$E,0)+31+FLOOR('Boss Editor'!$G$4/4))*'Boss Editor'!$D$4)/100)+'Boss Editor'!$D$4+10)),0)</f>
        <v/>
      </c>
      <c r="O885" s="3">
        <f>IF(N885&gt;=1,"OHKO",IF(N885&gt;=0.5,"2HKO",IF(N885&gt;=0.333,"3HKO",IF(N885&gt;=0.25,"4HKO","5HKO+"))))</f>
        <v/>
      </c>
      <c r="P885" s="3" t="inlineStr">
        <is>
          <t>Live from editable databases</t>
        </is>
      </c>
      <c r="Q885" s="3" t="inlineStr">
        <is>
          <t>SPECIES_NYMBLE</t>
        </is>
      </c>
      <c r="R885" s="3" t="n">
        <v>20</v>
      </c>
    </row>
    <row r="886">
      <c r="A886" s="3">
        <f>XLOOKUP($Q886,'Threshold Summary'!$Y:$Y,'Threshold Summary'!$A:$A,"")</f>
        <v/>
      </c>
      <c r="B886" s="3">
        <f>XLOOKUP($Q886,'Threshold Summary'!$Y:$Y,'Threshold Summary'!$M:$M,"")</f>
        <v/>
      </c>
      <c r="C886" s="3">
        <f>XLOOKUP($Q886,'Threshold Summary'!$Y:$Y,'Threshold Summary'!$N:$N,"")</f>
        <v/>
      </c>
      <c r="D886" s="3">
        <f>IFERROR(INDEX(FILTER('Learnset Editor'!$D$2:$D,'Learnset Editor'!$A$2:$A=XLOOKUP($Q886,'Threshold Summary'!$Y:$Y,'Threshold Summary'!$K:$K,""),'Learnset Editor'!$C$2:$C&lt;=XLOOKUP($Q886,'Threshold Summary'!$Y:$Y,'Threshold Summary'!$L:$L,"")),$R886),"")</f>
        <v/>
      </c>
      <c r="E886" s="3">
        <f>XLOOKUP(D886,'Move Editor'!$B:$B,'Move Editor'!$C:$C,"")</f>
        <v/>
      </c>
      <c r="F886" s="3">
        <f>XLOOKUP(D886,'Move Editor'!$B:$B,'Move Editor'!$D:$D,"")</f>
        <v/>
      </c>
      <c r="G886" s="3">
        <f>XLOOKUP(D886,'Move Editor'!$B:$B,'Move Editor'!$E:$E,0)</f>
        <v/>
      </c>
      <c r="H886" s="3">
        <f>XLOOKUP(D886,'Move Editor'!$B:$B,'Move Editor'!$F:$F,0)</f>
        <v/>
      </c>
      <c r="I886" s="3">
        <f>(INDEX('Type Chart'!$B:$S,MATCH(E886,'Type Chart'!$A:$A,0),MATCH(XLOOKUP('Boss Editor'!$C$4,'Pokemon Editor'!$A:$A,'Pokemon Editor'!$C:$C,""),'Type Chart'!$B$1:$S$1,0))*IF(XLOOKUP('Boss Editor'!$C$4,'Pokemon Editor'!$A:$A,'Pokemon Editor'!$D:$D,"")="",1,INDEX('Type Chart'!$B:$S,MATCH(E886,'Type Chart'!$A:$A,0),MATCH(XLOOKUP('Boss Editor'!$C$4,'Pokemon Editor'!$A:$A,'Pokemon Editor'!$D:$D,""),'Type Chart'!$B$1:$S$1,0))))</f>
        <v/>
      </c>
      <c r="J886" s="3">
        <f>IFERROR(LET(mtype,XLOOKUP($D886,'Move Editor'!$B:$B,'Move Editor'!$C:$C,""),cat,XLOOKUP($D886,'Move Editor'!$B:$B,'Move Editor'!$D:$D,""),pow,XLOOKUP($D886,'Move Editor'!$B:$B,'Move Editor'!$E:$E,0),acc,XLOOKUP($D886,'Move Editor'!$B:$B,'Move Editor'!$F:$F,100),atk,IF(cat="Physical",FLOOR((FLOOR(((2*XLOOKUP(XLOOKUP($Q886,'Threshold Summary'!$Y:$Y,'Threshold Summary'!$K:$K,""),'Pokemon Editor'!$A:$A,'Pokemon Editor'!$F:$F,0)+31+FLOOR(XLOOKUP($Q886,'Threshold Summary'!$Y:$Y,'Threshold Summary'!$P:$P,"")/4))*XLOOKUP($Q886,'Threshold Summary'!$Y:$Y,'Threshold Summary'!$L:$L,""))/100)+5)*XLOOKUP(XLOOKUP($Q886,'Threshold Summary'!$Y:$Y,'Threshold Summary'!$M:$M,""),'Nature Editor'!$A:$A,'Nature Editor'!$B:$B,1)),FLOOR((FLOOR(((2*XLOOKUP(XLOOKUP($Q886,'Threshold Summary'!$Y:$Y,'Threshold Summary'!$K:$K,""),'Pokemon Editor'!$A:$A,'Pokemon Editor'!$H:$H,0)+31+FLOOR(XLOOKUP($Q886,'Threshold Summary'!$Y:$Y,'Threshold Summary'!$R:$R,"")/4))*XLOOKUP($Q886,'Threshold Summary'!$Y:$Y,'Threshold Summary'!$L:$L,""))/100)+5)*XLOOKUP(XLOOKUP($Q886,'Threshold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Editor'!$E:$E,1))),stab,IF(OR(mtype=XLOOKUP(XLOOKUP($Q886,'Threshold Summary'!$Y:$Y,'Threshold Summary'!$K:$K,""),'Pokemon Editor'!$A:$A,'Pokemon Editor'!$C:$C,""),mtype=XLOOKUP(XLOOKUP($Q886,'Threshold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Chart'!$B$1:$S$1,0)))),base,IF(OR(cat="Status",pow=0),0,FLOOR(FLOOR(FLOOR((2*XLOOKUP($Q886,'Threshold Summary'!$Y:$Y,'Threshold Summary'!$L:$L,"")/5+2)*pow*atk/def)/50)+2)),modifier,stab*eff,FLOOR(base*modifier*0.85)),0)</f>
        <v/>
      </c>
      <c r="K886" s="3">
        <f>IFERROR(LET(mtype,XLOOKUP($D886,'Move Editor'!$B:$B,'Move Editor'!$C:$C,""),cat,XLOOKUP($D886,'Move Editor'!$B:$B,'Move Editor'!$D:$D,""),pow,XLOOKUP($D886,'Move Editor'!$B:$B,'Move Editor'!$E:$E,0),acc,XLOOKUP($D886,'Move Editor'!$B:$B,'Move Editor'!$F:$F,100),atk,IF(cat="Physical",FLOOR((FLOOR(((2*XLOOKUP(XLOOKUP($Q886,'Threshold Summary'!$Y:$Y,'Threshold Summary'!$K:$K,""),'Pokemon Editor'!$A:$A,'Pokemon Editor'!$F:$F,0)+31+FLOOR(XLOOKUP($Q886,'Threshold Summary'!$Y:$Y,'Threshold Summary'!$P:$P,"")/4))*XLOOKUP($Q886,'Threshold Summary'!$Y:$Y,'Threshold Summary'!$L:$L,""))/100)+5)*XLOOKUP(XLOOKUP($Q886,'Threshold Summary'!$Y:$Y,'Threshold Summary'!$M:$M,""),'Nature Editor'!$A:$A,'Nature Editor'!$B:$B,1)),FLOOR((FLOOR(((2*XLOOKUP(XLOOKUP($Q886,'Threshold Summary'!$Y:$Y,'Threshold Summary'!$K:$K,""),'Pokemon Editor'!$A:$A,'Pokemon Editor'!$H:$H,0)+31+FLOOR(XLOOKUP($Q886,'Threshold Summary'!$Y:$Y,'Threshold Summary'!$R:$R,"")/4))*XLOOKUP($Q886,'Threshold Summary'!$Y:$Y,'Threshold Summary'!$L:$L,""))/100)+5)*XLOOKUP(XLOOKUP($Q886,'Threshold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Editor'!$E:$E,1))),stab,IF(OR(mtype=XLOOKUP(XLOOKUP($Q886,'Threshold Summary'!$Y:$Y,'Threshold Summary'!$K:$K,""),'Pokemon Editor'!$A:$A,'Pokemon Editor'!$C:$C,""),mtype=XLOOKUP(XLOOKUP($Q886,'Threshold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Chart'!$B$1:$S$1,0)))),base,IF(OR(cat="Status",pow=0),0,FLOOR(FLOOR(FLOOR((2*XLOOKUP($Q886,'Threshold Summary'!$Y:$Y,'Threshold Summary'!$L:$L,"")/5+2)*pow*atk/def)/50)+2)),modifier,stab*eff,FLOOR(base*modifier)),0)</f>
        <v/>
      </c>
      <c r="L886" s="3">
        <f>IFERROR(LET(mtype,XLOOKUP($D886,'Move Editor'!$B:$B,'Move Editor'!$C:$C,""),cat,XLOOKUP($D886,'Move Editor'!$B:$B,'Move Editor'!$D:$D,""),pow,XLOOKUP($D886,'Move Editor'!$B:$B,'Move Editor'!$E:$E,0),acc,XLOOKUP($D886,'Move Editor'!$B:$B,'Move Editor'!$F:$F,100),atk,IF(cat="Physical",FLOOR((FLOOR(((2*XLOOKUP(XLOOKUP($Q886,'Threshold Summary'!$Y:$Y,'Threshold Summary'!$K:$K,""),'Pokemon Editor'!$A:$A,'Pokemon Editor'!$F:$F,0)+31+FLOOR(XLOOKUP($Q886,'Threshold Summary'!$Y:$Y,'Threshold Summary'!$P:$P,"")/4))*XLOOKUP($Q886,'Threshold Summary'!$Y:$Y,'Threshold Summary'!$L:$L,""))/100)+5)*XLOOKUP(XLOOKUP($Q886,'Threshold Summary'!$Y:$Y,'Threshold Summary'!$M:$M,""),'Nature Editor'!$A:$A,'Nature Editor'!$B:$B,1)),FLOOR((FLOOR(((2*XLOOKUP(XLOOKUP($Q886,'Threshold Summary'!$Y:$Y,'Threshold Summary'!$K:$K,""),'Pokemon Editor'!$A:$A,'Pokemon Editor'!$H:$H,0)+31+FLOOR(XLOOKUP($Q886,'Threshold Summary'!$Y:$Y,'Threshold Summary'!$R:$R,"")/4))*XLOOKUP($Q886,'Threshold Summary'!$Y:$Y,'Threshold Summary'!$L:$L,""))/100)+5)*XLOOKUP(XLOOKUP($Q886,'Threshold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Editor'!$E:$E,1))),stab,IF(OR(mtype=XLOOKUP(XLOOKUP($Q886,'Threshold Summary'!$Y:$Y,'Threshold Summary'!$K:$K,""),'Pokemon Editor'!$A:$A,'Pokemon Editor'!$C:$C,""),mtype=XLOOKUP(XLOOKUP($Q886,'Threshold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Chart'!$B$1:$S$1,0)))),base,IF(OR(cat="Status",pow=0),0,FLOOR(FLOOR(FLOOR((2*XLOOKUP($Q886,'Threshold Summary'!$Y:$Y,'Threshold Summary'!$L:$L,"")/5+2)*pow*atk/def)/50)+2)),modifier,stab*eff,AVERAGE(ARRAYFORMULA(FLOOR(base*modifier*SEQUENCE(16,1,85,1)/100)))),0)</f>
        <v/>
      </c>
      <c r="M886" s="3">
        <f>IFERROR(LET(mtype,XLOOKUP($D886,'Move Editor'!$B:$B,'Move Editor'!$C:$C,""),cat,XLOOKUP($D886,'Move Editor'!$B:$B,'Move Editor'!$D:$D,""),pow,XLOOKUP($D886,'Move Editor'!$B:$B,'Move Editor'!$E:$E,0),acc,XLOOKUP($D886,'Move Editor'!$B:$B,'Move Editor'!$F:$F,100),atk,IF(cat="Physical",FLOOR((FLOOR(((2*XLOOKUP(XLOOKUP($Q886,'Threshold Summary'!$Y:$Y,'Threshold Summary'!$K:$K,""),'Pokemon Editor'!$A:$A,'Pokemon Editor'!$F:$F,0)+31+FLOOR(XLOOKUP($Q886,'Threshold Summary'!$Y:$Y,'Threshold Summary'!$P:$P,"")/4))*XLOOKUP($Q886,'Threshold Summary'!$Y:$Y,'Threshold Summary'!$L:$L,""))/100)+5)*XLOOKUP(XLOOKUP($Q886,'Threshold Summary'!$Y:$Y,'Threshold Summary'!$M:$M,""),'Nature Editor'!$A:$A,'Nature Editor'!$B:$B,1)),FLOOR((FLOOR(((2*XLOOKUP(XLOOKUP($Q886,'Threshold Summary'!$Y:$Y,'Threshold Summary'!$K:$K,""),'Pokemon Editor'!$A:$A,'Pokemon Editor'!$H:$H,0)+31+FLOOR(XLOOKUP($Q886,'Threshold Summary'!$Y:$Y,'Threshold Summary'!$R:$R,"")/4))*XLOOKUP($Q886,'Threshold Summary'!$Y:$Y,'Threshold Summary'!$L:$L,""))/100)+5)*XLOOKUP(XLOOKUP($Q886,'Threshold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Editor'!$E:$E,1))),stab,IF(OR(mtype=XLOOKUP(XLOOKUP($Q886,'Threshold Summary'!$Y:$Y,'Threshold Summary'!$K:$K,""),'Pokemon Editor'!$A:$A,'Pokemon Editor'!$C:$C,""),mtype=XLOOKUP(XLOOKUP($Q886,'Threshold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Chart'!$B$1:$S$1,0)))),base,IF(OR(cat="Status",pow=0),0,FLOOR(FLOOR(FLOOR((2*XLOOKUP($Q886,'Threshold Summary'!$Y:$Y,'Threshold Summary'!$L:$L,"")/5+2)*pow*atk/def)/50)+2)),modifier,stab*eff,AVERAGE(ARRAYFORMULA(FLOOR(base*modifier*SEQUENCE(16,1,85,1)/100)))*MIN(1,acc/100)),0)</f>
        <v/>
      </c>
      <c r="N886" s="4">
        <f>IFERROR(LET(mtype,XLOOKUP($D886,'Move Editor'!$B:$B,'Move Editor'!$C:$C,""),cat,XLOOKUP($D886,'Move Editor'!$B:$B,'Move Editor'!$D:$D,""),pow,XLOOKUP($D886,'Move Editor'!$B:$B,'Move Editor'!$E:$E,0),acc,XLOOKUP($D886,'Move Editor'!$B:$B,'Move Editor'!$F:$F,100),atk,IF(cat="Physical",FLOOR((FLOOR(((2*XLOOKUP(XLOOKUP($Q886,'Threshold Summary'!$Y:$Y,'Threshold Summary'!$K:$K,""),'Pokemon Editor'!$A:$A,'Pokemon Editor'!$F:$F,0)+31+FLOOR(XLOOKUP($Q886,'Threshold Summary'!$Y:$Y,'Threshold Summary'!$P:$P,"")/4))*XLOOKUP($Q886,'Threshold Summary'!$Y:$Y,'Threshold Summary'!$L:$L,""))/100)+5)*XLOOKUP(XLOOKUP($Q886,'Threshold Summary'!$Y:$Y,'Threshold Summary'!$M:$M,""),'Nature Editor'!$A:$A,'Nature Editor'!$B:$B,1)),FLOOR((FLOOR(((2*XLOOKUP(XLOOKUP($Q886,'Threshold Summary'!$Y:$Y,'Threshold Summary'!$K:$K,""),'Pokemon Editor'!$A:$A,'Pokemon Editor'!$H:$H,0)+31+FLOOR(XLOOKUP($Q886,'Threshold Summary'!$Y:$Y,'Threshold Summary'!$R:$R,"")/4))*XLOOKUP($Q886,'Threshold Summary'!$Y:$Y,'Threshold Summary'!$L:$L,""))/100)+5)*XLOOKUP(XLOOKUP($Q886,'Threshold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Editor'!$E:$E,1))),stab,IF(OR(mtype=XLOOKUP(XLOOKUP($Q886,'Threshold Summary'!$Y:$Y,'Threshold Summary'!$K:$K,""),'Pokemon Editor'!$A:$A,'Pokemon Editor'!$C:$C,""),mtype=XLOOKUP(XLOOKUP($Q886,'Threshold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Chart'!$B$1:$S$1,0)))),base,IF(OR(cat="Status",pow=0),0,FLOOR(FLOOR(FLOOR((2*XLOOKUP($Q886,'Threshold Summary'!$Y:$Y,'Threshold Summary'!$L:$L,"")/5+2)*pow*atk/def)/50)+2)),modifier,stab*eff,AVERAGE(ARRAYFORMULA(FLOOR(base*modifier*SEQUENCE(16,1,85,1)/100)))/(FLOOR(((2*XLOOKUP('Boss Editor'!$C$4,'Pokemon Editor'!$A:$A,'Pokemon Editor'!$E:$E,0)+31+FLOOR('Boss Editor'!$G$4/4))*'Boss Editor'!$D$4)/100)+'Boss Editor'!$D$4+10)),0)</f>
        <v/>
      </c>
      <c r="O886" s="3">
        <f>IF(N886&gt;=1,"OHKO",IF(N886&gt;=0.5,"2HKO",IF(N886&gt;=0.333,"3HKO",IF(N886&gt;=0.25,"4HKO","5HKO+"))))</f>
        <v/>
      </c>
      <c r="P886" s="3" t="inlineStr">
        <is>
          <t>Live from editable databases</t>
        </is>
      </c>
      <c r="Q886" s="3" t="inlineStr">
        <is>
          <t>SPECIES_NYMBLE</t>
        </is>
      </c>
      <c r="R886" s="3" t="n">
        <v>21</v>
      </c>
    </row>
    <row r="887">
      <c r="A887" s="3">
        <f>XLOOKUP($Q887,'Threshold Summary'!$Y:$Y,'Threshold Summary'!$A:$A,"")</f>
        <v/>
      </c>
      <c r="B887" s="3">
        <f>XLOOKUP($Q887,'Threshold Summary'!$Y:$Y,'Threshold Summary'!$M:$M,"")</f>
        <v/>
      </c>
      <c r="C887" s="3">
        <f>XLOOKUP($Q887,'Threshold Summary'!$Y:$Y,'Threshold Summary'!$N:$N,"")</f>
        <v/>
      </c>
      <c r="D887" s="3">
        <f>IFERROR(INDEX(FILTER('Learnset Editor'!$D$2:$D,'Learnset Editor'!$A$2:$A=XLOOKUP($Q887,'Threshold Summary'!$Y:$Y,'Threshold Summary'!$K:$K,""),'Learnset Editor'!$C$2:$C&lt;=XLOOKUP($Q887,'Threshold Summary'!$Y:$Y,'Threshold Summary'!$L:$L,"")),$R887),"")</f>
        <v/>
      </c>
      <c r="E887" s="3">
        <f>XLOOKUP(D887,'Move Editor'!$B:$B,'Move Editor'!$C:$C,"")</f>
        <v/>
      </c>
      <c r="F887" s="3">
        <f>XLOOKUP(D887,'Move Editor'!$B:$B,'Move Editor'!$D:$D,"")</f>
        <v/>
      </c>
      <c r="G887" s="3">
        <f>XLOOKUP(D887,'Move Editor'!$B:$B,'Move Editor'!$E:$E,0)</f>
        <v/>
      </c>
      <c r="H887" s="3">
        <f>XLOOKUP(D887,'Move Editor'!$B:$B,'Move Editor'!$F:$F,0)</f>
        <v/>
      </c>
      <c r="I887" s="3">
        <f>(INDEX('Type Chart'!$B:$S,MATCH(E887,'Type Chart'!$A:$A,0),MATCH(XLOOKUP('Boss Editor'!$C$4,'Pokemon Editor'!$A:$A,'Pokemon Editor'!$C:$C,""),'Type Chart'!$B$1:$S$1,0))*IF(XLOOKUP('Boss Editor'!$C$4,'Pokemon Editor'!$A:$A,'Pokemon Editor'!$D:$D,"")="",1,INDEX('Type Chart'!$B:$S,MATCH(E887,'Type Chart'!$A:$A,0),MATCH(XLOOKUP('Boss Editor'!$C$4,'Pokemon Editor'!$A:$A,'Pokemon Editor'!$D:$D,""),'Type Chart'!$B$1:$S$1,0))))</f>
        <v/>
      </c>
      <c r="J887" s="3">
        <f>IFERROR(LET(mtype,XLOOKUP($D887,'Move Editor'!$B:$B,'Move Editor'!$C:$C,""),cat,XLOOKUP($D887,'Move Editor'!$B:$B,'Move Editor'!$D:$D,""),pow,XLOOKUP($D887,'Move Editor'!$B:$B,'Move Editor'!$E:$E,0),acc,XLOOKUP($D887,'Move Editor'!$B:$B,'Move Editor'!$F:$F,100),atk,IF(cat="Physical",FLOOR((FLOOR(((2*XLOOKUP(XLOOKUP($Q887,'Threshold Summary'!$Y:$Y,'Threshold Summary'!$K:$K,""),'Pokemon Editor'!$A:$A,'Pokemon Editor'!$F:$F,0)+31+FLOOR(XLOOKUP($Q887,'Threshold Summary'!$Y:$Y,'Threshold Summary'!$P:$P,"")/4))*XLOOKUP($Q887,'Threshold Summary'!$Y:$Y,'Threshold Summary'!$L:$L,""))/100)+5)*XLOOKUP(XLOOKUP($Q887,'Threshold Summary'!$Y:$Y,'Threshold Summary'!$M:$M,""),'Nature Editor'!$A:$A,'Nature Editor'!$B:$B,1)),FLOOR((FLOOR(((2*XLOOKUP(XLOOKUP($Q887,'Threshold Summary'!$Y:$Y,'Threshold Summary'!$K:$K,""),'Pokemon Editor'!$A:$A,'Pokemon Editor'!$H:$H,0)+31+FLOOR(XLOOKUP($Q887,'Threshold Summary'!$Y:$Y,'Threshold Summary'!$R:$R,"")/4))*XLOOKUP($Q887,'Threshold Summary'!$Y:$Y,'Threshold Summary'!$L:$L,""))/100)+5)*XLOOKUP(XLOOKUP($Q887,'Threshold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Editor'!$E:$E,1))),stab,IF(OR(mtype=XLOOKUP(XLOOKUP($Q887,'Threshold Summary'!$Y:$Y,'Threshold Summary'!$K:$K,""),'Pokemon Editor'!$A:$A,'Pokemon Editor'!$C:$C,""),mtype=XLOOKUP(XLOOKUP($Q887,'Threshold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Chart'!$B$1:$S$1,0)))),base,IF(OR(cat="Status",pow=0),0,FLOOR(FLOOR(FLOOR((2*XLOOKUP($Q887,'Threshold Summary'!$Y:$Y,'Threshold Summary'!$L:$L,"")/5+2)*pow*atk/def)/50)+2)),modifier,stab*eff,FLOOR(base*modifier*0.85)),0)</f>
        <v/>
      </c>
      <c r="K887" s="3">
        <f>IFERROR(LET(mtype,XLOOKUP($D887,'Move Editor'!$B:$B,'Move Editor'!$C:$C,""),cat,XLOOKUP($D887,'Move Editor'!$B:$B,'Move Editor'!$D:$D,""),pow,XLOOKUP($D887,'Move Editor'!$B:$B,'Move Editor'!$E:$E,0),acc,XLOOKUP($D887,'Move Editor'!$B:$B,'Move Editor'!$F:$F,100),atk,IF(cat="Physical",FLOOR((FLOOR(((2*XLOOKUP(XLOOKUP($Q887,'Threshold Summary'!$Y:$Y,'Threshold Summary'!$K:$K,""),'Pokemon Editor'!$A:$A,'Pokemon Editor'!$F:$F,0)+31+FLOOR(XLOOKUP($Q887,'Threshold Summary'!$Y:$Y,'Threshold Summary'!$P:$P,"")/4))*XLOOKUP($Q887,'Threshold Summary'!$Y:$Y,'Threshold Summary'!$L:$L,""))/100)+5)*XLOOKUP(XLOOKUP($Q887,'Threshold Summary'!$Y:$Y,'Threshold Summary'!$M:$M,""),'Nature Editor'!$A:$A,'Nature Editor'!$B:$B,1)),FLOOR((FLOOR(((2*XLOOKUP(XLOOKUP($Q887,'Threshold Summary'!$Y:$Y,'Threshold Summary'!$K:$K,""),'Pokemon Editor'!$A:$A,'Pokemon Editor'!$H:$H,0)+31+FLOOR(XLOOKUP($Q887,'Threshold Summary'!$Y:$Y,'Threshold Summary'!$R:$R,"")/4))*XLOOKUP($Q887,'Threshold Summary'!$Y:$Y,'Threshold Summary'!$L:$L,""))/100)+5)*XLOOKUP(XLOOKUP($Q887,'Threshold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Editor'!$E:$E,1))),stab,IF(OR(mtype=XLOOKUP(XLOOKUP($Q887,'Threshold Summary'!$Y:$Y,'Threshold Summary'!$K:$K,""),'Pokemon Editor'!$A:$A,'Pokemon Editor'!$C:$C,""),mtype=XLOOKUP(XLOOKUP($Q887,'Threshold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Chart'!$B$1:$S$1,0)))),base,IF(OR(cat="Status",pow=0),0,FLOOR(FLOOR(FLOOR((2*XLOOKUP($Q887,'Threshold Summary'!$Y:$Y,'Threshold Summary'!$L:$L,"")/5+2)*pow*atk/def)/50)+2)),modifier,stab*eff,FLOOR(base*modifier)),0)</f>
        <v/>
      </c>
      <c r="L887" s="3">
        <f>IFERROR(LET(mtype,XLOOKUP($D887,'Move Editor'!$B:$B,'Move Editor'!$C:$C,""),cat,XLOOKUP($D887,'Move Editor'!$B:$B,'Move Editor'!$D:$D,""),pow,XLOOKUP($D887,'Move Editor'!$B:$B,'Move Editor'!$E:$E,0),acc,XLOOKUP($D887,'Move Editor'!$B:$B,'Move Editor'!$F:$F,100),atk,IF(cat="Physical",FLOOR((FLOOR(((2*XLOOKUP(XLOOKUP($Q887,'Threshold Summary'!$Y:$Y,'Threshold Summary'!$K:$K,""),'Pokemon Editor'!$A:$A,'Pokemon Editor'!$F:$F,0)+31+FLOOR(XLOOKUP($Q887,'Threshold Summary'!$Y:$Y,'Threshold Summary'!$P:$P,"")/4))*XLOOKUP($Q887,'Threshold Summary'!$Y:$Y,'Threshold Summary'!$L:$L,""))/100)+5)*XLOOKUP(XLOOKUP($Q887,'Threshold Summary'!$Y:$Y,'Threshold Summary'!$M:$M,""),'Nature Editor'!$A:$A,'Nature Editor'!$B:$B,1)),FLOOR((FLOOR(((2*XLOOKUP(XLOOKUP($Q887,'Threshold Summary'!$Y:$Y,'Threshold Summary'!$K:$K,""),'Pokemon Editor'!$A:$A,'Pokemon Editor'!$H:$H,0)+31+FLOOR(XLOOKUP($Q887,'Threshold Summary'!$Y:$Y,'Threshold Summary'!$R:$R,"")/4))*XLOOKUP($Q887,'Threshold Summary'!$Y:$Y,'Threshold Summary'!$L:$L,""))/100)+5)*XLOOKUP(XLOOKUP($Q887,'Threshold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Editor'!$E:$E,1))),stab,IF(OR(mtype=XLOOKUP(XLOOKUP($Q887,'Threshold Summary'!$Y:$Y,'Threshold Summary'!$K:$K,""),'Pokemon Editor'!$A:$A,'Pokemon Editor'!$C:$C,""),mtype=XLOOKUP(XLOOKUP($Q887,'Threshold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Chart'!$B$1:$S$1,0)))),base,IF(OR(cat="Status",pow=0),0,FLOOR(FLOOR(FLOOR((2*XLOOKUP($Q887,'Threshold Summary'!$Y:$Y,'Threshold Summary'!$L:$L,"")/5+2)*pow*atk/def)/50)+2)),modifier,stab*eff,AVERAGE(ARRAYFORMULA(FLOOR(base*modifier*SEQUENCE(16,1,85,1)/100)))),0)</f>
        <v/>
      </c>
      <c r="M887" s="3">
        <f>IFERROR(LET(mtype,XLOOKUP($D887,'Move Editor'!$B:$B,'Move Editor'!$C:$C,""),cat,XLOOKUP($D887,'Move Editor'!$B:$B,'Move Editor'!$D:$D,""),pow,XLOOKUP($D887,'Move Editor'!$B:$B,'Move Editor'!$E:$E,0),acc,XLOOKUP($D887,'Move Editor'!$B:$B,'Move Editor'!$F:$F,100),atk,IF(cat="Physical",FLOOR((FLOOR(((2*XLOOKUP(XLOOKUP($Q887,'Threshold Summary'!$Y:$Y,'Threshold Summary'!$K:$K,""),'Pokemon Editor'!$A:$A,'Pokemon Editor'!$F:$F,0)+31+FLOOR(XLOOKUP($Q887,'Threshold Summary'!$Y:$Y,'Threshold Summary'!$P:$P,"")/4))*XLOOKUP($Q887,'Threshold Summary'!$Y:$Y,'Threshold Summary'!$L:$L,""))/100)+5)*XLOOKUP(XLOOKUP($Q887,'Threshold Summary'!$Y:$Y,'Threshold Summary'!$M:$M,""),'Nature Editor'!$A:$A,'Nature Editor'!$B:$B,1)),FLOOR((FLOOR(((2*XLOOKUP(XLOOKUP($Q887,'Threshold Summary'!$Y:$Y,'Threshold Summary'!$K:$K,""),'Pokemon Editor'!$A:$A,'Pokemon Editor'!$H:$H,0)+31+FLOOR(XLOOKUP($Q887,'Threshold Summary'!$Y:$Y,'Threshold Summary'!$R:$R,"")/4))*XLOOKUP($Q887,'Threshold Summary'!$Y:$Y,'Threshold Summary'!$L:$L,""))/100)+5)*XLOOKUP(XLOOKUP($Q887,'Threshold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Editor'!$E:$E,1))),stab,IF(OR(mtype=XLOOKUP(XLOOKUP($Q887,'Threshold Summary'!$Y:$Y,'Threshold Summary'!$K:$K,""),'Pokemon Editor'!$A:$A,'Pokemon Editor'!$C:$C,""),mtype=XLOOKUP(XLOOKUP($Q887,'Threshold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Chart'!$B$1:$S$1,0)))),base,IF(OR(cat="Status",pow=0),0,FLOOR(FLOOR(FLOOR((2*XLOOKUP($Q887,'Threshold Summary'!$Y:$Y,'Threshold Summary'!$L:$L,"")/5+2)*pow*atk/def)/50)+2)),modifier,stab*eff,AVERAGE(ARRAYFORMULA(FLOOR(base*modifier*SEQUENCE(16,1,85,1)/100)))*MIN(1,acc/100)),0)</f>
        <v/>
      </c>
      <c r="N887" s="4">
        <f>IFERROR(LET(mtype,XLOOKUP($D887,'Move Editor'!$B:$B,'Move Editor'!$C:$C,""),cat,XLOOKUP($D887,'Move Editor'!$B:$B,'Move Editor'!$D:$D,""),pow,XLOOKUP($D887,'Move Editor'!$B:$B,'Move Editor'!$E:$E,0),acc,XLOOKUP($D887,'Move Editor'!$B:$B,'Move Editor'!$F:$F,100),atk,IF(cat="Physical",FLOOR((FLOOR(((2*XLOOKUP(XLOOKUP($Q887,'Threshold Summary'!$Y:$Y,'Threshold Summary'!$K:$K,""),'Pokemon Editor'!$A:$A,'Pokemon Editor'!$F:$F,0)+31+FLOOR(XLOOKUP($Q887,'Threshold Summary'!$Y:$Y,'Threshold Summary'!$P:$P,"")/4))*XLOOKUP($Q887,'Threshold Summary'!$Y:$Y,'Threshold Summary'!$L:$L,""))/100)+5)*XLOOKUP(XLOOKUP($Q887,'Threshold Summary'!$Y:$Y,'Threshold Summary'!$M:$M,""),'Nature Editor'!$A:$A,'Nature Editor'!$B:$B,1)),FLOOR((FLOOR(((2*XLOOKUP(XLOOKUP($Q887,'Threshold Summary'!$Y:$Y,'Threshold Summary'!$K:$K,""),'Pokemon Editor'!$A:$A,'Pokemon Editor'!$H:$H,0)+31+FLOOR(XLOOKUP($Q887,'Threshold Summary'!$Y:$Y,'Threshold Summary'!$R:$R,"")/4))*XLOOKUP($Q887,'Threshold Summary'!$Y:$Y,'Threshold Summary'!$L:$L,""))/100)+5)*XLOOKUP(XLOOKUP($Q887,'Threshold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Editor'!$E:$E,1))),stab,IF(OR(mtype=XLOOKUP(XLOOKUP($Q887,'Threshold Summary'!$Y:$Y,'Threshold Summary'!$K:$K,""),'Pokemon Editor'!$A:$A,'Pokemon Editor'!$C:$C,""),mtype=XLOOKUP(XLOOKUP($Q887,'Threshold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Chart'!$B$1:$S$1,0)))),base,IF(OR(cat="Status",pow=0),0,FLOOR(FLOOR(FLOOR((2*XLOOKUP($Q887,'Threshold Summary'!$Y:$Y,'Threshold Summary'!$L:$L,"")/5+2)*pow*atk/def)/50)+2)),modifier,stab*eff,AVERAGE(ARRAYFORMULA(FLOOR(base*modifier*SEQUENCE(16,1,85,1)/100)))/(FLOOR(((2*XLOOKUP('Boss Editor'!$C$4,'Pokemon Editor'!$A:$A,'Pokemon Editor'!$E:$E,0)+31+FLOOR('Boss Editor'!$G$4/4))*'Boss Editor'!$D$4)/100)+'Boss Editor'!$D$4+10)),0)</f>
        <v/>
      </c>
      <c r="O887" s="3">
        <f>IF(N887&gt;=1,"OHKO",IF(N887&gt;=0.5,"2HKO",IF(N887&gt;=0.333,"3HKO",IF(N887&gt;=0.25,"4HKO","5HKO+"))))</f>
        <v/>
      </c>
      <c r="P887" s="3" t="inlineStr">
        <is>
          <t>Live from editable databases</t>
        </is>
      </c>
      <c r="Q887" s="3" t="inlineStr">
        <is>
          <t>SPECIES_NYMBLE</t>
        </is>
      </c>
      <c r="R887" s="3" t="n">
        <v>22</v>
      </c>
    </row>
    <row r="888">
      <c r="A888" s="3">
        <f>XLOOKUP($Q888,'Threshold Summary'!$Y:$Y,'Threshold Summary'!$A:$A,"")</f>
        <v/>
      </c>
      <c r="B888" s="3">
        <f>XLOOKUP($Q888,'Threshold Summary'!$Y:$Y,'Threshold Summary'!$M:$M,"")</f>
        <v/>
      </c>
      <c r="C888" s="3">
        <f>XLOOKUP($Q888,'Threshold Summary'!$Y:$Y,'Threshold Summary'!$N:$N,"")</f>
        <v/>
      </c>
      <c r="D888" s="3">
        <f>IFERROR(INDEX(FILTER('Learnset Editor'!$D$2:$D,'Learnset Editor'!$A$2:$A=XLOOKUP($Q888,'Threshold Summary'!$Y:$Y,'Threshold Summary'!$K:$K,""),'Learnset Editor'!$C$2:$C&lt;=XLOOKUP($Q888,'Threshold Summary'!$Y:$Y,'Threshold Summary'!$L:$L,"")),$R888),"")</f>
        <v/>
      </c>
      <c r="E888" s="3">
        <f>XLOOKUP(D888,'Move Editor'!$B:$B,'Move Editor'!$C:$C,"")</f>
        <v/>
      </c>
      <c r="F888" s="3">
        <f>XLOOKUP(D888,'Move Editor'!$B:$B,'Move Editor'!$D:$D,"")</f>
        <v/>
      </c>
      <c r="G888" s="3">
        <f>XLOOKUP(D888,'Move Editor'!$B:$B,'Move Editor'!$E:$E,0)</f>
        <v/>
      </c>
      <c r="H888" s="3">
        <f>XLOOKUP(D888,'Move Editor'!$B:$B,'Move Editor'!$F:$F,0)</f>
        <v/>
      </c>
      <c r="I888" s="3">
        <f>(INDEX('Type Chart'!$B:$S,MATCH(E888,'Type Chart'!$A:$A,0),MATCH(XLOOKUP('Boss Editor'!$C$4,'Pokemon Editor'!$A:$A,'Pokemon Editor'!$C:$C,""),'Type Chart'!$B$1:$S$1,0))*IF(XLOOKUP('Boss Editor'!$C$4,'Pokemon Editor'!$A:$A,'Pokemon Editor'!$D:$D,"")="",1,INDEX('Type Chart'!$B:$S,MATCH(E888,'Type Chart'!$A:$A,0),MATCH(XLOOKUP('Boss Editor'!$C$4,'Pokemon Editor'!$A:$A,'Pokemon Editor'!$D:$D,""),'Type Chart'!$B$1:$S$1,0))))</f>
        <v/>
      </c>
      <c r="J888" s="3">
        <f>IFERROR(LET(mtype,XLOOKUP($D888,'Move Editor'!$B:$B,'Move Editor'!$C:$C,""),cat,XLOOKUP($D888,'Move Editor'!$B:$B,'Move Editor'!$D:$D,""),pow,XLOOKUP($D888,'Move Editor'!$B:$B,'Move Editor'!$E:$E,0),acc,XLOOKUP($D888,'Move Editor'!$B:$B,'Move Editor'!$F:$F,100),atk,IF(cat="Physical",FLOOR((FLOOR(((2*XLOOKUP(XLOOKUP($Q888,'Threshold Summary'!$Y:$Y,'Threshold Summary'!$K:$K,""),'Pokemon Editor'!$A:$A,'Pokemon Editor'!$F:$F,0)+31+FLOOR(XLOOKUP($Q888,'Threshold Summary'!$Y:$Y,'Threshold Summary'!$P:$P,"")/4))*XLOOKUP($Q888,'Threshold Summary'!$Y:$Y,'Threshold Summary'!$L:$L,""))/100)+5)*XLOOKUP(XLOOKUP($Q888,'Threshold Summary'!$Y:$Y,'Threshold Summary'!$M:$M,""),'Nature Editor'!$A:$A,'Nature Editor'!$B:$B,1)),FLOOR((FLOOR(((2*XLOOKUP(XLOOKUP($Q888,'Threshold Summary'!$Y:$Y,'Threshold Summary'!$K:$K,""),'Pokemon Editor'!$A:$A,'Pokemon Editor'!$H:$H,0)+31+FLOOR(XLOOKUP($Q888,'Threshold Summary'!$Y:$Y,'Threshold Summary'!$R:$R,"")/4))*XLOOKUP($Q888,'Threshold Summary'!$Y:$Y,'Threshold Summary'!$L:$L,""))/100)+5)*XLOOKUP(XLOOKUP($Q888,'Threshold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Editor'!$E:$E,1))),stab,IF(OR(mtype=XLOOKUP(XLOOKUP($Q888,'Threshold Summary'!$Y:$Y,'Threshold Summary'!$K:$K,""),'Pokemon Editor'!$A:$A,'Pokemon Editor'!$C:$C,""),mtype=XLOOKUP(XLOOKUP($Q888,'Threshold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Chart'!$B$1:$S$1,0)))),base,IF(OR(cat="Status",pow=0),0,FLOOR(FLOOR(FLOOR((2*XLOOKUP($Q888,'Threshold Summary'!$Y:$Y,'Threshold Summary'!$L:$L,"")/5+2)*pow*atk/def)/50)+2)),modifier,stab*eff,FLOOR(base*modifier*0.85)),0)</f>
        <v/>
      </c>
      <c r="K888" s="3">
        <f>IFERROR(LET(mtype,XLOOKUP($D888,'Move Editor'!$B:$B,'Move Editor'!$C:$C,""),cat,XLOOKUP($D888,'Move Editor'!$B:$B,'Move Editor'!$D:$D,""),pow,XLOOKUP($D888,'Move Editor'!$B:$B,'Move Editor'!$E:$E,0),acc,XLOOKUP($D888,'Move Editor'!$B:$B,'Move Editor'!$F:$F,100),atk,IF(cat="Physical",FLOOR((FLOOR(((2*XLOOKUP(XLOOKUP($Q888,'Threshold Summary'!$Y:$Y,'Threshold Summary'!$K:$K,""),'Pokemon Editor'!$A:$A,'Pokemon Editor'!$F:$F,0)+31+FLOOR(XLOOKUP($Q888,'Threshold Summary'!$Y:$Y,'Threshold Summary'!$P:$P,"")/4))*XLOOKUP($Q888,'Threshold Summary'!$Y:$Y,'Threshold Summary'!$L:$L,""))/100)+5)*XLOOKUP(XLOOKUP($Q888,'Threshold Summary'!$Y:$Y,'Threshold Summary'!$M:$M,""),'Nature Editor'!$A:$A,'Nature Editor'!$B:$B,1)),FLOOR((FLOOR(((2*XLOOKUP(XLOOKUP($Q888,'Threshold Summary'!$Y:$Y,'Threshold Summary'!$K:$K,""),'Pokemon Editor'!$A:$A,'Pokemon Editor'!$H:$H,0)+31+FLOOR(XLOOKUP($Q888,'Threshold Summary'!$Y:$Y,'Threshold Summary'!$R:$R,"")/4))*XLOOKUP($Q888,'Threshold Summary'!$Y:$Y,'Threshold Summary'!$L:$L,""))/100)+5)*XLOOKUP(XLOOKUP($Q888,'Threshold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Editor'!$E:$E,1))),stab,IF(OR(mtype=XLOOKUP(XLOOKUP($Q888,'Threshold Summary'!$Y:$Y,'Threshold Summary'!$K:$K,""),'Pokemon Editor'!$A:$A,'Pokemon Editor'!$C:$C,""),mtype=XLOOKUP(XLOOKUP($Q888,'Threshold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Chart'!$B$1:$S$1,0)))),base,IF(OR(cat="Status",pow=0),0,FLOOR(FLOOR(FLOOR((2*XLOOKUP($Q888,'Threshold Summary'!$Y:$Y,'Threshold Summary'!$L:$L,"")/5+2)*pow*atk/def)/50)+2)),modifier,stab*eff,FLOOR(base*modifier)),0)</f>
        <v/>
      </c>
      <c r="L888" s="3">
        <f>IFERROR(LET(mtype,XLOOKUP($D888,'Move Editor'!$B:$B,'Move Editor'!$C:$C,""),cat,XLOOKUP($D888,'Move Editor'!$B:$B,'Move Editor'!$D:$D,""),pow,XLOOKUP($D888,'Move Editor'!$B:$B,'Move Editor'!$E:$E,0),acc,XLOOKUP($D888,'Move Editor'!$B:$B,'Move Editor'!$F:$F,100),atk,IF(cat="Physical",FLOOR((FLOOR(((2*XLOOKUP(XLOOKUP($Q888,'Threshold Summary'!$Y:$Y,'Threshold Summary'!$K:$K,""),'Pokemon Editor'!$A:$A,'Pokemon Editor'!$F:$F,0)+31+FLOOR(XLOOKUP($Q888,'Threshold Summary'!$Y:$Y,'Threshold Summary'!$P:$P,"")/4))*XLOOKUP($Q888,'Threshold Summary'!$Y:$Y,'Threshold Summary'!$L:$L,""))/100)+5)*XLOOKUP(XLOOKUP($Q888,'Threshold Summary'!$Y:$Y,'Threshold Summary'!$M:$M,""),'Nature Editor'!$A:$A,'Nature Editor'!$B:$B,1)),FLOOR((FLOOR(((2*XLOOKUP(XLOOKUP($Q888,'Threshold Summary'!$Y:$Y,'Threshold Summary'!$K:$K,""),'Pokemon Editor'!$A:$A,'Pokemon Editor'!$H:$H,0)+31+FLOOR(XLOOKUP($Q888,'Threshold Summary'!$Y:$Y,'Threshold Summary'!$R:$R,"")/4))*XLOOKUP($Q888,'Threshold Summary'!$Y:$Y,'Threshold Summary'!$L:$L,""))/100)+5)*XLOOKUP(XLOOKUP($Q888,'Threshold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Editor'!$E:$E,1))),stab,IF(OR(mtype=XLOOKUP(XLOOKUP($Q888,'Threshold Summary'!$Y:$Y,'Threshold Summary'!$K:$K,""),'Pokemon Editor'!$A:$A,'Pokemon Editor'!$C:$C,""),mtype=XLOOKUP(XLOOKUP($Q888,'Threshold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Chart'!$B$1:$S$1,0)))),base,IF(OR(cat="Status",pow=0),0,FLOOR(FLOOR(FLOOR((2*XLOOKUP($Q888,'Threshold Summary'!$Y:$Y,'Threshold Summary'!$L:$L,"")/5+2)*pow*atk/def)/50)+2)),modifier,stab*eff,AVERAGE(ARRAYFORMULA(FLOOR(base*modifier*SEQUENCE(16,1,85,1)/100)))),0)</f>
        <v/>
      </c>
      <c r="M888" s="3">
        <f>IFERROR(LET(mtype,XLOOKUP($D888,'Move Editor'!$B:$B,'Move Editor'!$C:$C,""),cat,XLOOKUP($D888,'Move Editor'!$B:$B,'Move Editor'!$D:$D,""),pow,XLOOKUP($D888,'Move Editor'!$B:$B,'Move Editor'!$E:$E,0),acc,XLOOKUP($D888,'Move Editor'!$B:$B,'Move Editor'!$F:$F,100),atk,IF(cat="Physical",FLOOR((FLOOR(((2*XLOOKUP(XLOOKUP($Q888,'Threshold Summary'!$Y:$Y,'Threshold Summary'!$K:$K,""),'Pokemon Editor'!$A:$A,'Pokemon Editor'!$F:$F,0)+31+FLOOR(XLOOKUP($Q888,'Threshold Summary'!$Y:$Y,'Threshold Summary'!$P:$P,"")/4))*XLOOKUP($Q888,'Threshold Summary'!$Y:$Y,'Threshold Summary'!$L:$L,""))/100)+5)*XLOOKUP(XLOOKUP($Q888,'Threshold Summary'!$Y:$Y,'Threshold Summary'!$M:$M,""),'Nature Editor'!$A:$A,'Nature Editor'!$B:$B,1)),FLOOR((FLOOR(((2*XLOOKUP(XLOOKUP($Q888,'Threshold Summary'!$Y:$Y,'Threshold Summary'!$K:$K,""),'Pokemon Editor'!$A:$A,'Pokemon Editor'!$H:$H,0)+31+FLOOR(XLOOKUP($Q888,'Threshold Summary'!$Y:$Y,'Threshold Summary'!$R:$R,"")/4))*XLOOKUP($Q888,'Threshold Summary'!$Y:$Y,'Threshold Summary'!$L:$L,""))/100)+5)*XLOOKUP(XLOOKUP($Q888,'Threshold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Editor'!$E:$E,1))),stab,IF(OR(mtype=XLOOKUP(XLOOKUP($Q888,'Threshold Summary'!$Y:$Y,'Threshold Summary'!$K:$K,""),'Pokemon Editor'!$A:$A,'Pokemon Editor'!$C:$C,""),mtype=XLOOKUP(XLOOKUP($Q888,'Threshold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Chart'!$B$1:$S$1,0)))),base,IF(OR(cat="Status",pow=0),0,FLOOR(FLOOR(FLOOR((2*XLOOKUP($Q888,'Threshold Summary'!$Y:$Y,'Threshold Summary'!$L:$L,"")/5+2)*pow*atk/def)/50)+2)),modifier,stab*eff,AVERAGE(ARRAYFORMULA(FLOOR(base*modifier*SEQUENCE(16,1,85,1)/100)))*MIN(1,acc/100)),0)</f>
        <v/>
      </c>
      <c r="N888" s="4">
        <f>IFERROR(LET(mtype,XLOOKUP($D888,'Move Editor'!$B:$B,'Move Editor'!$C:$C,""),cat,XLOOKUP($D888,'Move Editor'!$B:$B,'Move Editor'!$D:$D,""),pow,XLOOKUP($D888,'Move Editor'!$B:$B,'Move Editor'!$E:$E,0),acc,XLOOKUP($D888,'Move Editor'!$B:$B,'Move Editor'!$F:$F,100),atk,IF(cat="Physical",FLOOR((FLOOR(((2*XLOOKUP(XLOOKUP($Q888,'Threshold Summary'!$Y:$Y,'Threshold Summary'!$K:$K,""),'Pokemon Editor'!$A:$A,'Pokemon Editor'!$F:$F,0)+31+FLOOR(XLOOKUP($Q888,'Threshold Summary'!$Y:$Y,'Threshold Summary'!$P:$P,"")/4))*XLOOKUP($Q888,'Threshold Summary'!$Y:$Y,'Threshold Summary'!$L:$L,""))/100)+5)*XLOOKUP(XLOOKUP($Q888,'Threshold Summary'!$Y:$Y,'Threshold Summary'!$M:$M,""),'Nature Editor'!$A:$A,'Nature Editor'!$B:$B,1)),FLOOR((FLOOR(((2*XLOOKUP(XLOOKUP($Q888,'Threshold Summary'!$Y:$Y,'Threshold Summary'!$K:$K,""),'Pokemon Editor'!$A:$A,'Pokemon Editor'!$H:$H,0)+31+FLOOR(XLOOKUP($Q888,'Threshold Summary'!$Y:$Y,'Threshold Summary'!$R:$R,"")/4))*XLOOKUP($Q888,'Threshold Summary'!$Y:$Y,'Threshold Summary'!$L:$L,""))/100)+5)*XLOOKUP(XLOOKUP($Q888,'Threshold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Editor'!$E:$E,1))),stab,IF(OR(mtype=XLOOKUP(XLOOKUP($Q888,'Threshold Summary'!$Y:$Y,'Threshold Summary'!$K:$K,""),'Pokemon Editor'!$A:$A,'Pokemon Editor'!$C:$C,""),mtype=XLOOKUP(XLOOKUP($Q888,'Threshold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Chart'!$B$1:$S$1,0)))),base,IF(OR(cat="Status",pow=0),0,FLOOR(FLOOR(FLOOR((2*XLOOKUP($Q888,'Threshold Summary'!$Y:$Y,'Threshold Summary'!$L:$L,"")/5+2)*pow*atk/def)/50)+2)),modifier,stab*eff,AVERAGE(ARRAYFORMULA(FLOOR(base*modifier*SEQUENCE(16,1,85,1)/100)))/(FLOOR(((2*XLOOKUP('Boss Editor'!$C$4,'Pokemon Editor'!$A:$A,'Pokemon Editor'!$E:$E,0)+31+FLOOR('Boss Editor'!$G$4/4))*'Boss Editor'!$D$4)/100)+'Boss Editor'!$D$4+10)),0)</f>
        <v/>
      </c>
      <c r="O888" s="3">
        <f>IF(N888&gt;=1,"OHKO",IF(N888&gt;=0.5,"2HKO",IF(N888&gt;=0.333,"3HKO",IF(N888&gt;=0.25,"4HKO","5HKO+"))))</f>
        <v/>
      </c>
      <c r="P888" s="3" t="inlineStr">
        <is>
          <t>Live from editable databases</t>
        </is>
      </c>
      <c r="Q888" s="3" t="inlineStr">
        <is>
          <t>SPECIES_NYMBLE</t>
        </is>
      </c>
      <c r="R888" s="3" t="n">
        <v>23</v>
      </c>
    </row>
    <row r="889">
      <c r="A889" s="3">
        <f>XLOOKUP($Q889,'Threshold Summary'!$Y:$Y,'Threshold Summary'!$A:$A,"")</f>
        <v/>
      </c>
      <c r="B889" s="3">
        <f>XLOOKUP($Q889,'Threshold Summary'!$Y:$Y,'Threshold Summary'!$M:$M,"")</f>
        <v/>
      </c>
      <c r="C889" s="3">
        <f>XLOOKUP($Q889,'Threshold Summary'!$Y:$Y,'Threshold Summary'!$N:$N,"")</f>
        <v/>
      </c>
      <c r="D889" s="3">
        <f>IFERROR(INDEX(FILTER('Learnset Editor'!$D$2:$D,'Learnset Editor'!$A$2:$A=XLOOKUP($Q889,'Threshold Summary'!$Y:$Y,'Threshold Summary'!$K:$K,""),'Learnset Editor'!$C$2:$C&lt;=XLOOKUP($Q889,'Threshold Summary'!$Y:$Y,'Threshold Summary'!$L:$L,"")),$R889),"")</f>
        <v/>
      </c>
      <c r="E889" s="3">
        <f>XLOOKUP(D889,'Move Editor'!$B:$B,'Move Editor'!$C:$C,"")</f>
        <v/>
      </c>
      <c r="F889" s="3">
        <f>XLOOKUP(D889,'Move Editor'!$B:$B,'Move Editor'!$D:$D,"")</f>
        <v/>
      </c>
      <c r="G889" s="3">
        <f>XLOOKUP(D889,'Move Editor'!$B:$B,'Move Editor'!$E:$E,0)</f>
        <v/>
      </c>
      <c r="H889" s="3">
        <f>XLOOKUP(D889,'Move Editor'!$B:$B,'Move Editor'!$F:$F,0)</f>
        <v/>
      </c>
      <c r="I889" s="3">
        <f>(INDEX('Type Chart'!$B:$S,MATCH(E889,'Type Chart'!$A:$A,0),MATCH(XLOOKUP('Boss Editor'!$C$4,'Pokemon Editor'!$A:$A,'Pokemon Editor'!$C:$C,""),'Type Chart'!$B$1:$S$1,0))*IF(XLOOKUP('Boss Editor'!$C$4,'Pokemon Editor'!$A:$A,'Pokemon Editor'!$D:$D,"")="",1,INDEX('Type Chart'!$B:$S,MATCH(E889,'Type Chart'!$A:$A,0),MATCH(XLOOKUP('Boss Editor'!$C$4,'Pokemon Editor'!$A:$A,'Pokemon Editor'!$D:$D,""),'Type Chart'!$B$1:$S$1,0))))</f>
        <v/>
      </c>
      <c r="J889" s="3">
        <f>IFERROR(LET(mtype,XLOOKUP($D889,'Move Editor'!$B:$B,'Move Editor'!$C:$C,""),cat,XLOOKUP($D889,'Move Editor'!$B:$B,'Move Editor'!$D:$D,""),pow,XLOOKUP($D889,'Move Editor'!$B:$B,'Move Editor'!$E:$E,0),acc,XLOOKUP($D889,'Move Editor'!$B:$B,'Move Editor'!$F:$F,100),atk,IF(cat="Physical",FLOOR((FLOOR(((2*XLOOKUP(XLOOKUP($Q889,'Threshold Summary'!$Y:$Y,'Threshold Summary'!$K:$K,""),'Pokemon Editor'!$A:$A,'Pokemon Editor'!$F:$F,0)+31+FLOOR(XLOOKUP($Q889,'Threshold Summary'!$Y:$Y,'Threshold Summary'!$P:$P,"")/4))*XLOOKUP($Q889,'Threshold Summary'!$Y:$Y,'Threshold Summary'!$L:$L,""))/100)+5)*XLOOKUP(XLOOKUP($Q889,'Threshold Summary'!$Y:$Y,'Threshold Summary'!$M:$M,""),'Nature Editor'!$A:$A,'Nature Editor'!$B:$B,1)),FLOOR((FLOOR(((2*XLOOKUP(XLOOKUP($Q889,'Threshold Summary'!$Y:$Y,'Threshold Summary'!$K:$K,""),'Pokemon Editor'!$A:$A,'Pokemon Editor'!$H:$H,0)+31+FLOOR(XLOOKUP($Q889,'Threshold Summary'!$Y:$Y,'Threshold Summary'!$R:$R,"")/4))*XLOOKUP($Q889,'Threshold Summary'!$Y:$Y,'Threshold Summary'!$L:$L,""))/100)+5)*XLOOKUP(XLOOKUP($Q889,'Threshold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Editor'!$E:$E,1))),stab,IF(OR(mtype=XLOOKUP(XLOOKUP($Q889,'Threshold Summary'!$Y:$Y,'Threshold Summary'!$K:$K,""),'Pokemon Editor'!$A:$A,'Pokemon Editor'!$C:$C,""),mtype=XLOOKUP(XLOOKUP($Q889,'Threshold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Chart'!$B$1:$S$1,0)))),base,IF(OR(cat="Status",pow=0),0,FLOOR(FLOOR(FLOOR((2*XLOOKUP($Q889,'Threshold Summary'!$Y:$Y,'Threshold Summary'!$L:$L,"")/5+2)*pow*atk/def)/50)+2)),modifier,stab*eff,FLOOR(base*modifier*0.85)),0)</f>
        <v/>
      </c>
      <c r="K889" s="3">
        <f>IFERROR(LET(mtype,XLOOKUP($D889,'Move Editor'!$B:$B,'Move Editor'!$C:$C,""),cat,XLOOKUP($D889,'Move Editor'!$B:$B,'Move Editor'!$D:$D,""),pow,XLOOKUP($D889,'Move Editor'!$B:$B,'Move Editor'!$E:$E,0),acc,XLOOKUP($D889,'Move Editor'!$B:$B,'Move Editor'!$F:$F,100),atk,IF(cat="Physical",FLOOR((FLOOR(((2*XLOOKUP(XLOOKUP($Q889,'Threshold Summary'!$Y:$Y,'Threshold Summary'!$K:$K,""),'Pokemon Editor'!$A:$A,'Pokemon Editor'!$F:$F,0)+31+FLOOR(XLOOKUP($Q889,'Threshold Summary'!$Y:$Y,'Threshold Summary'!$P:$P,"")/4))*XLOOKUP($Q889,'Threshold Summary'!$Y:$Y,'Threshold Summary'!$L:$L,""))/100)+5)*XLOOKUP(XLOOKUP($Q889,'Threshold Summary'!$Y:$Y,'Threshold Summary'!$M:$M,""),'Nature Editor'!$A:$A,'Nature Editor'!$B:$B,1)),FLOOR((FLOOR(((2*XLOOKUP(XLOOKUP($Q889,'Threshold Summary'!$Y:$Y,'Threshold Summary'!$K:$K,""),'Pokemon Editor'!$A:$A,'Pokemon Editor'!$H:$H,0)+31+FLOOR(XLOOKUP($Q889,'Threshold Summary'!$Y:$Y,'Threshold Summary'!$R:$R,"")/4))*XLOOKUP($Q889,'Threshold Summary'!$Y:$Y,'Threshold Summary'!$L:$L,""))/100)+5)*XLOOKUP(XLOOKUP($Q889,'Threshold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Editor'!$E:$E,1))),stab,IF(OR(mtype=XLOOKUP(XLOOKUP($Q889,'Threshold Summary'!$Y:$Y,'Threshold Summary'!$K:$K,""),'Pokemon Editor'!$A:$A,'Pokemon Editor'!$C:$C,""),mtype=XLOOKUP(XLOOKUP($Q889,'Threshold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Chart'!$B$1:$S$1,0)))),base,IF(OR(cat="Status",pow=0),0,FLOOR(FLOOR(FLOOR((2*XLOOKUP($Q889,'Threshold Summary'!$Y:$Y,'Threshold Summary'!$L:$L,"")/5+2)*pow*atk/def)/50)+2)),modifier,stab*eff,FLOOR(base*modifier)),0)</f>
        <v/>
      </c>
      <c r="L889" s="3">
        <f>IFERROR(LET(mtype,XLOOKUP($D889,'Move Editor'!$B:$B,'Move Editor'!$C:$C,""),cat,XLOOKUP($D889,'Move Editor'!$B:$B,'Move Editor'!$D:$D,""),pow,XLOOKUP($D889,'Move Editor'!$B:$B,'Move Editor'!$E:$E,0),acc,XLOOKUP($D889,'Move Editor'!$B:$B,'Move Editor'!$F:$F,100),atk,IF(cat="Physical",FLOOR((FLOOR(((2*XLOOKUP(XLOOKUP($Q889,'Threshold Summary'!$Y:$Y,'Threshold Summary'!$K:$K,""),'Pokemon Editor'!$A:$A,'Pokemon Editor'!$F:$F,0)+31+FLOOR(XLOOKUP($Q889,'Threshold Summary'!$Y:$Y,'Threshold Summary'!$P:$P,"")/4))*XLOOKUP($Q889,'Threshold Summary'!$Y:$Y,'Threshold Summary'!$L:$L,""))/100)+5)*XLOOKUP(XLOOKUP($Q889,'Threshold Summary'!$Y:$Y,'Threshold Summary'!$M:$M,""),'Nature Editor'!$A:$A,'Nature Editor'!$B:$B,1)),FLOOR((FLOOR(((2*XLOOKUP(XLOOKUP($Q889,'Threshold Summary'!$Y:$Y,'Threshold Summary'!$K:$K,""),'Pokemon Editor'!$A:$A,'Pokemon Editor'!$H:$H,0)+31+FLOOR(XLOOKUP($Q889,'Threshold Summary'!$Y:$Y,'Threshold Summary'!$R:$R,"")/4))*XLOOKUP($Q889,'Threshold Summary'!$Y:$Y,'Threshold Summary'!$L:$L,""))/100)+5)*XLOOKUP(XLOOKUP($Q889,'Threshold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Editor'!$E:$E,1))),stab,IF(OR(mtype=XLOOKUP(XLOOKUP($Q889,'Threshold Summary'!$Y:$Y,'Threshold Summary'!$K:$K,""),'Pokemon Editor'!$A:$A,'Pokemon Editor'!$C:$C,""),mtype=XLOOKUP(XLOOKUP($Q889,'Threshold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Chart'!$B$1:$S$1,0)))),base,IF(OR(cat="Status",pow=0),0,FLOOR(FLOOR(FLOOR((2*XLOOKUP($Q889,'Threshold Summary'!$Y:$Y,'Threshold Summary'!$L:$L,"")/5+2)*pow*atk/def)/50)+2)),modifier,stab*eff,AVERAGE(ARRAYFORMULA(FLOOR(base*modifier*SEQUENCE(16,1,85,1)/100)))),0)</f>
        <v/>
      </c>
      <c r="M889" s="3">
        <f>IFERROR(LET(mtype,XLOOKUP($D889,'Move Editor'!$B:$B,'Move Editor'!$C:$C,""),cat,XLOOKUP($D889,'Move Editor'!$B:$B,'Move Editor'!$D:$D,""),pow,XLOOKUP($D889,'Move Editor'!$B:$B,'Move Editor'!$E:$E,0),acc,XLOOKUP($D889,'Move Editor'!$B:$B,'Move Editor'!$F:$F,100),atk,IF(cat="Physical",FLOOR((FLOOR(((2*XLOOKUP(XLOOKUP($Q889,'Threshold Summary'!$Y:$Y,'Threshold Summary'!$K:$K,""),'Pokemon Editor'!$A:$A,'Pokemon Editor'!$F:$F,0)+31+FLOOR(XLOOKUP($Q889,'Threshold Summary'!$Y:$Y,'Threshold Summary'!$P:$P,"")/4))*XLOOKUP($Q889,'Threshold Summary'!$Y:$Y,'Threshold Summary'!$L:$L,""))/100)+5)*XLOOKUP(XLOOKUP($Q889,'Threshold Summary'!$Y:$Y,'Threshold Summary'!$M:$M,""),'Nature Editor'!$A:$A,'Nature Editor'!$B:$B,1)),FLOOR((FLOOR(((2*XLOOKUP(XLOOKUP($Q889,'Threshold Summary'!$Y:$Y,'Threshold Summary'!$K:$K,""),'Pokemon Editor'!$A:$A,'Pokemon Editor'!$H:$H,0)+31+FLOOR(XLOOKUP($Q889,'Threshold Summary'!$Y:$Y,'Threshold Summary'!$R:$R,"")/4))*XLOOKUP($Q889,'Threshold Summary'!$Y:$Y,'Threshold Summary'!$L:$L,""))/100)+5)*XLOOKUP(XLOOKUP($Q889,'Threshold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Editor'!$E:$E,1))),stab,IF(OR(mtype=XLOOKUP(XLOOKUP($Q889,'Threshold Summary'!$Y:$Y,'Threshold Summary'!$K:$K,""),'Pokemon Editor'!$A:$A,'Pokemon Editor'!$C:$C,""),mtype=XLOOKUP(XLOOKUP($Q889,'Threshold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Chart'!$B$1:$S$1,0)))),base,IF(OR(cat="Status",pow=0),0,FLOOR(FLOOR(FLOOR((2*XLOOKUP($Q889,'Threshold Summary'!$Y:$Y,'Threshold Summary'!$L:$L,"")/5+2)*pow*atk/def)/50)+2)),modifier,stab*eff,AVERAGE(ARRAYFORMULA(FLOOR(base*modifier*SEQUENCE(16,1,85,1)/100)))*MIN(1,acc/100)),0)</f>
        <v/>
      </c>
      <c r="N889" s="4">
        <f>IFERROR(LET(mtype,XLOOKUP($D889,'Move Editor'!$B:$B,'Move Editor'!$C:$C,""),cat,XLOOKUP($D889,'Move Editor'!$B:$B,'Move Editor'!$D:$D,""),pow,XLOOKUP($D889,'Move Editor'!$B:$B,'Move Editor'!$E:$E,0),acc,XLOOKUP($D889,'Move Editor'!$B:$B,'Move Editor'!$F:$F,100),atk,IF(cat="Physical",FLOOR((FLOOR(((2*XLOOKUP(XLOOKUP($Q889,'Threshold Summary'!$Y:$Y,'Threshold Summary'!$K:$K,""),'Pokemon Editor'!$A:$A,'Pokemon Editor'!$F:$F,0)+31+FLOOR(XLOOKUP($Q889,'Threshold Summary'!$Y:$Y,'Threshold Summary'!$P:$P,"")/4))*XLOOKUP($Q889,'Threshold Summary'!$Y:$Y,'Threshold Summary'!$L:$L,""))/100)+5)*XLOOKUP(XLOOKUP($Q889,'Threshold Summary'!$Y:$Y,'Threshold Summary'!$M:$M,""),'Nature Editor'!$A:$A,'Nature Editor'!$B:$B,1)),FLOOR((FLOOR(((2*XLOOKUP(XLOOKUP($Q889,'Threshold Summary'!$Y:$Y,'Threshold Summary'!$K:$K,""),'Pokemon Editor'!$A:$A,'Pokemon Editor'!$H:$H,0)+31+FLOOR(XLOOKUP($Q889,'Threshold Summary'!$Y:$Y,'Threshold Summary'!$R:$R,"")/4))*XLOOKUP($Q889,'Threshold Summary'!$Y:$Y,'Threshold Summary'!$L:$L,""))/100)+5)*XLOOKUP(XLOOKUP($Q889,'Threshold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Editor'!$E:$E,1))),stab,IF(OR(mtype=XLOOKUP(XLOOKUP($Q889,'Threshold Summary'!$Y:$Y,'Threshold Summary'!$K:$K,""),'Pokemon Editor'!$A:$A,'Pokemon Editor'!$C:$C,""),mtype=XLOOKUP(XLOOKUP($Q889,'Threshold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Chart'!$B$1:$S$1,0)))),base,IF(OR(cat="Status",pow=0),0,FLOOR(FLOOR(FLOOR((2*XLOOKUP($Q889,'Threshold Summary'!$Y:$Y,'Threshold Summary'!$L:$L,"")/5+2)*pow*atk/def)/50)+2)),modifier,stab*eff,AVERAGE(ARRAYFORMULA(FLOOR(base*modifier*SEQUENCE(16,1,85,1)/100)))/(FLOOR(((2*XLOOKUP('Boss Editor'!$C$4,'Pokemon Editor'!$A:$A,'Pokemon Editor'!$E:$E,0)+31+FLOOR('Boss Editor'!$G$4/4))*'Boss Editor'!$D$4)/100)+'Boss Editor'!$D$4+10)),0)</f>
        <v/>
      </c>
      <c r="O889" s="3">
        <f>IF(N889&gt;=1,"OHKO",IF(N889&gt;=0.5,"2HKO",IF(N889&gt;=0.333,"3HKO",IF(N889&gt;=0.25,"4HKO","5HKO+"))))</f>
        <v/>
      </c>
      <c r="P889" s="3" t="inlineStr">
        <is>
          <t>Live from editable databases</t>
        </is>
      </c>
      <c r="Q889" s="3" t="inlineStr">
        <is>
          <t>SPECIES_NYMBLE</t>
        </is>
      </c>
      <c r="R889" s="3" t="n">
        <v>24</v>
      </c>
    </row>
    <row r="890">
      <c r="A890" s="3">
        <f>XLOOKUP($Q890,'Threshold Summary'!$Y:$Y,'Threshold Summary'!$A:$A,"")</f>
        <v/>
      </c>
      <c r="B890" s="3">
        <f>XLOOKUP($Q890,'Threshold Summary'!$Y:$Y,'Threshold Summary'!$M:$M,"")</f>
        <v/>
      </c>
      <c r="C890" s="3">
        <f>XLOOKUP($Q890,'Threshold Summary'!$Y:$Y,'Threshold Summary'!$N:$N,"")</f>
        <v/>
      </c>
      <c r="D890" s="3">
        <f>IFERROR(INDEX(FILTER('Learnset Editor'!$D$2:$D,'Learnset Editor'!$A$2:$A=XLOOKUP($Q890,'Threshold Summary'!$Y:$Y,'Threshold Summary'!$K:$K,""),'Learnset Editor'!$C$2:$C&lt;=XLOOKUP($Q890,'Threshold Summary'!$Y:$Y,'Threshold Summary'!$L:$L,"")),$R890),"")</f>
        <v/>
      </c>
      <c r="E890" s="3">
        <f>XLOOKUP(D890,'Move Editor'!$B:$B,'Move Editor'!$C:$C,"")</f>
        <v/>
      </c>
      <c r="F890" s="3">
        <f>XLOOKUP(D890,'Move Editor'!$B:$B,'Move Editor'!$D:$D,"")</f>
        <v/>
      </c>
      <c r="G890" s="3">
        <f>XLOOKUP(D890,'Move Editor'!$B:$B,'Move Editor'!$E:$E,0)</f>
        <v/>
      </c>
      <c r="H890" s="3">
        <f>XLOOKUP(D890,'Move Editor'!$B:$B,'Move Editor'!$F:$F,0)</f>
        <v/>
      </c>
      <c r="I890" s="3">
        <f>(INDEX('Type Chart'!$B:$S,MATCH(E890,'Type Chart'!$A:$A,0),MATCH(XLOOKUP('Boss Editor'!$C$4,'Pokemon Editor'!$A:$A,'Pokemon Editor'!$C:$C,""),'Type Chart'!$B$1:$S$1,0))*IF(XLOOKUP('Boss Editor'!$C$4,'Pokemon Editor'!$A:$A,'Pokemon Editor'!$D:$D,"")="",1,INDEX('Type Chart'!$B:$S,MATCH(E890,'Type Chart'!$A:$A,0),MATCH(XLOOKUP('Boss Editor'!$C$4,'Pokemon Editor'!$A:$A,'Pokemon Editor'!$D:$D,""),'Type Chart'!$B$1:$S$1,0))))</f>
        <v/>
      </c>
      <c r="J890" s="3">
        <f>IFERROR(LET(mtype,XLOOKUP($D890,'Move Editor'!$B:$B,'Move Editor'!$C:$C,""),cat,XLOOKUP($D890,'Move Editor'!$B:$B,'Move Editor'!$D:$D,""),pow,XLOOKUP($D890,'Move Editor'!$B:$B,'Move Editor'!$E:$E,0),acc,XLOOKUP($D890,'Move Editor'!$B:$B,'Move Editor'!$F:$F,100),atk,IF(cat="Physical",FLOOR((FLOOR(((2*XLOOKUP(XLOOKUP($Q890,'Threshold Summary'!$Y:$Y,'Threshold Summary'!$K:$K,""),'Pokemon Editor'!$A:$A,'Pokemon Editor'!$F:$F,0)+31+FLOOR(XLOOKUP($Q890,'Threshold Summary'!$Y:$Y,'Threshold Summary'!$P:$P,"")/4))*XLOOKUP($Q890,'Threshold Summary'!$Y:$Y,'Threshold Summary'!$L:$L,""))/100)+5)*XLOOKUP(XLOOKUP($Q890,'Threshold Summary'!$Y:$Y,'Threshold Summary'!$M:$M,""),'Nature Editor'!$A:$A,'Nature Editor'!$B:$B,1)),FLOOR((FLOOR(((2*XLOOKUP(XLOOKUP($Q890,'Threshold Summary'!$Y:$Y,'Threshold Summary'!$K:$K,""),'Pokemon Editor'!$A:$A,'Pokemon Editor'!$H:$H,0)+31+FLOOR(XLOOKUP($Q890,'Threshold Summary'!$Y:$Y,'Threshold Summary'!$R:$R,"")/4))*XLOOKUP($Q890,'Threshold Summary'!$Y:$Y,'Threshold Summary'!$L:$L,""))/100)+5)*XLOOKUP(XLOOKUP($Q890,'Threshold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Editor'!$E:$E,1))),stab,IF(OR(mtype=XLOOKUP(XLOOKUP($Q890,'Threshold Summary'!$Y:$Y,'Threshold Summary'!$K:$K,""),'Pokemon Editor'!$A:$A,'Pokemon Editor'!$C:$C,""),mtype=XLOOKUP(XLOOKUP($Q890,'Threshold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Chart'!$B$1:$S$1,0)))),base,IF(OR(cat="Status",pow=0),0,FLOOR(FLOOR(FLOOR((2*XLOOKUP($Q890,'Threshold Summary'!$Y:$Y,'Threshold Summary'!$L:$L,"")/5+2)*pow*atk/def)/50)+2)),modifier,stab*eff,FLOOR(base*modifier*0.85)),0)</f>
        <v/>
      </c>
      <c r="K890" s="3">
        <f>IFERROR(LET(mtype,XLOOKUP($D890,'Move Editor'!$B:$B,'Move Editor'!$C:$C,""),cat,XLOOKUP($D890,'Move Editor'!$B:$B,'Move Editor'!$D:$D,""),pow,XLOOKUP($D890,'Move Editor'!$B:$B,'Move Editor'!$E:$E,0),acc,XLOOKUP($D890,'Move Editor'!$B:$B,'Move Editor'!$F:$F,100),atk,IF(cat="Physical",FLOOR((FLOOR(((2*XLOOKUP(XLOOKUP($Q890,'Threshold Summary'!$Y:$Y,'Threshold Summary'!$K:$K,""),'Pokemon Editor'!$A:$A,'Pokemon Editor'!$F:$F,0)+31+FLOOR(XLOOKUP($Q890,'Threshold Summary'!$Y:$Y,'Threshold Summary'!$P:$P,"")/4))*XLOOKUP($Q890,'Threshold Summary'!$Y:$Y,'Threshold Summary'!$L:$L,""))/100)+5)*XLOOKUP(XLOOKUP($Q890,'Threshold Summary'!$Y:$Y,'Threshold Summary'!$M:$M,""),'Nature Editor'!$A:$A,'Nature Editor'!$B:$B,1)),FLOOR((FLOOR(((2*XLOOKUP(XLOOKUP($Q890,'Threshold Summary'!$Y:$Y,'Threshold Summary'!$K:$K,""),'Pokemon Editor'!$A:$A,'Pokemon Editor'!$H:$H,0)+31+FLOOR(XLOOKUP($Q890,'Threshold Summary'!$Y:$Y,'Threshold Summary'!$R:$R,"")/4))*XLOOKUP($Q890,'Threshold Summary'!$Y:$Y,'Threshold Summary'!$L:$L,""))/100)+5)*XLOOKUP(XLOOKUP($Q890,'Threshold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Editor'!$E:$E,1))),stab,IF(OR(mtype=XLOOKUP(XLOOKUP($Q890,'Threshold Summary'!$Y:$Y,'Threshold Summary'!$K:$K,""),'Pokemon Editor'!$A:$A,'Pokemon Editor'!$C:$C,""),mtype=XLOOKUP(XLOOKUP($Q890,'Threshold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Chart'!$B$1:$S$1,0)))),base,IF(OR(cat="Status",pow=0),0,FLOOR(FLOOR(FLOOR((2*XLOOKUP($Q890,'Threshold Summary'!$Y:$Y,'Threshold Summary'!$L:$L,"")/5+2)*pow*atk/def)/50)+2)),modifier,stab*eff,FLOOR(base*modifier)),0)</f>
        <v/>
      </c>
      <c r="L890" s="3">
        <f>IFERROR(LET(mtype,XLOOKUP($D890,'Move Editor'!$B:$B,'Move Editor'!$C:$C,""),cat,XLOOKUP($D890,'Move Editor'!$B:$B,'Move Editor'!$D:$D,""),pow,XLOOKUP($D890,'Move Editor'!$B:$B,'Move Editor'!$E:$E,0),acc,XLOOKUP($D890,'Move Editor'!$B:$B,'Move Editor'!$F:$F,100),atk,IF(cat="Physical",FLOOR((FLOOR(((2*XLOOKUP(XLOOKUP($Q890,'Threshold Summary'!$Y:$Y,'Threshold Summary'!$K:$K,""),'Pokemon Editor'!$A:$A,'Pokemon Editor'!$F:$F,0)+31+FLOOR(XLOOKUP($Q890,'Threshold Summary'!$Y:$Y,'Threshold Summary'!$P:$P,"")/4))*XLOOKUP($Q890,'Threshold Summary'!$Y:$Y,'Threshold Summary'!$L:$L,""))/100)+5)*XLOOKUP(XLOOKUP($Q890,'Threshold Summary'!$Y:$Y,'Threshold Summary'!$M:$M,""),'Nature Editor'!$A:$A,'Nature Editor'!$B:$B,1)),FLOOR((FLOOR(((2*XLOOKUP(XLOOKUP($Q890,'Threshold Summary'!$Y:$Y,'Threshold Summary'!$K:$K,""),'Pokemon Editor'!$A:$A,'Pokemon Editor'!$H:$H,0)+31+FLOOR(XLOOKUP($Q890,'Threshold Summary'!$Y:$Y,'Threshold Summary'!$R:$R,"")/4))*XLOOKUP($Q890,'Threshold Summary'!$Y:$Y,'Threshold Summary'!$L:$L,""))/100)+5)*XLOOKUP(XLOOKUP($Q890,'Threshold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Editor'!$E:$E,1))),stab,IF(OR(mtype=XLOOKUP(XLOOKUP($Q890,'Threshold Summary'!$Y:$Y,'Threshold Summary'!$K:$K,""),'Pokemon Editor'!$A:$A,'Pokemon Editor'!$C:$C,""),mtype=XLOOKUP(XLOOKUP($Q890,'Threshold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Chart'!$B$1:$S$1,0)))),base,IF(OR(cat="Status",pow=0),0,FLOOR(FLOOR(FLOOR((2*XLOOKUP($Q890,'Threshold Summary'!$Y:$Y,'Threshold Summary'!$L:$L,"")/5+2)*pow*atk/def)/50)+2)),modifier,stab*eff,AVERAGE(ARRAYFORMULA(FLOOR(base*modifier*SEQUENCE(16,1,85,1)/100)))),0)</f>
        <v/>
      </c>
      <c r="M890" s="3">
        <f>IFERROR(LET(mtype,XLOOKUP($D890,'Move Editor'!$B:$B,'Move Editor'!$C:$C,""),cat,XLOOKUP($D890,'Move Editor'!$B:$B,'Move Editor'!$D:$D,""),pow,XLOOKUP($D890,'Move Editor'!$B:$B,'Move Editor'!$E:$E,0),acc,XLOOKUP($D890,'Move Editor'!$B:$B,'Move Editor'!$F:$F,100),atk,IF(cat="Physical",FLOOR((FLOOR(((2*XLOOKUP(XLOOKUP($Q890,'Threshold Summary'!$Y:$Y,'Threshold Summary'!$K:$K,""),'Pokemon Editor'!$A:$A,'Pokemon Editor'!$F:$F,0)+31+FLOOR(XLOOKUP($Q890,'Threshold Summary'!$Y:$Y,'Threshold Summary'!$P:$P,"")/4))*XLOOKUP($Q890,'Threshold Summary'!$Y:$Y,'Threshold Summary'!$L:$L,""))/100)+5)*XLOOKUP(XLOOKUP($Q890,'Threshold Summary'!$Y:$Y,'Threshold Summary'!$M:$M,""),'Nature Editor'!$A:$A,'Nature Editor'!$B:$B,1)),FLOOR((FLOOR(((2*XLOOKUP(XLOOKUP($Q890,'Threshold Summary'!$Y:$Y,'Threshold Summary'!$K:$K,""),'Pokemon Editor'!$A:$A,'Pokemon Editor'!$H:$H,0)+31+FLOOR(XLOOKUP($Q890,'Threshold Summary'!$Y:$Y,'Threshold Summary'!$R:$R,"")/4))*XLOOKUP($Q890,'Threshold Summary'!$Y:$Y,'Threshold Summary'!$L:$L,""))/100)+5)*XLOOKUP(XLOOKUP($Q890,'Threshold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Editor'!$E:$E,1))),stab,IF(OR(mtype=XLOOKUP(XLOOKUP($Q890,'Threshold Summary'!$Y:$Y,'Threshold Summary'!$K:$K,""),'Pokemon Editor'!$A:$A,'Pokemon Editor'!$C:$C,""),mtype=XLOOKUP(XLOOKUP($Q890,'Threshold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Chart'!$B$1:$S$1,0)))),base,IF(OR(cat="Status",pow=0),0,FLOOR(FLOOR(FLOOR((2*XLOOKUP($Q890,'Threshold Summary'!$Y:$Y,'Threshold Summary'!$L:$L,"")/5+2)*pow*atk/def)/50)+2)),modifier,stab*eff,AVERAGE(ARRAYFORMULA(FLOOR(base*modifier*SEQUENCE(16,1,85,1)/100)))*MIN(1,acc/100)),0)</f>
        <v/>
      </c>
      <c r="N890" s="4">
        <f>IFERROR(LET(mtype,XLOOKUP($D890,'Move Editor'!$B:$B,'Move Editor'!$C:$C,""),cat,XLOOKUP($D890,'Move Editor'!$B:$B,'Move Editor'!$D:$D,""),pow,XLOOKUP($D890,'Move Editor'!$B:$B,'Move Editor'!$E:$E,0),acc,XLOOKUP($D890,'Move Editor'!$B:$B,'Move Editor'!$F:$F,100),atk,IF(cat="Physical",FLOOR((FLOOR(((2*XLOOKUP(XLOOKUP($Q890,'Threshold Summary'!$Y:$Y,'Threshold Summary'!$K:$K,""),'Pokemon Editor'!$A:$A,'Pokemon Editor'!$F:$F,0)+31+FLOOR(XLOOKUP($Q890,'Threshold Summary'!$Y:$Y,'Threshold Summary'!$P:$P,"")/4))*XLOOKUP($Q890,'Threshold Summary'!$Y:$Y,'Threshold Summary'!$L:$L,""))/100)+5)*XLOOKUP(XLOOKUP($Q890,'Threshold Summary'!$Y:$Y,'Threshold Summary'!$M:$M,""),'Nature Editor'!$A:$A,'Nature Editor'!$B:$B,1)),FLOOR((FLOOR(((2*XLOOKUP(XLOOKUP($Q890,'Threshold Summary'!$Y:$Y,'Threshold Summary'!$K:$K,""),'Pokemon Editor'!$A:$A,'Pokemon Editor'!$H:$H,0)+31+FLOOR(XLOOKUP($Q890,'Threshold Summary'!$Y:$Y,'Threshold Summary'!$R:$R,"")/4))*XLOOKUP($Q890,'Threshold Summary'!$Y:$Y,'Threshold Summary'!$L:$L,""))/100)+5)*XLOOKUP(XLOOKUP($Q890,'Threshold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Editor'!$E:$E,1))),stab,IF(OR(mtype=XLOOKUP(XLOOKUP($Q890,'Threshold Summary'!$Y:$Y,'Threshold Summary'!$K:$K,""),'Pokemon Editor'!$A:$A,'Pokemon Editor'!$C:$C,""),mtype=XLOOKUP(XLOOKUP($Q890,'Threshold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Chart'!$B$1:$S$1,0)))),base,IF(OR(cat="Status",pow=0),0,FLOOR(FLOOR(FLOOR((2*XLOOKUP($Q890,'Threshold Summary'!$Y:$Y,'Threshold Summary'!$L:$L,"")/5+2)*pow*atk/def)/50)+2)),modifier,stab*eff,AVERAGE(ARRAYFORMULA(FLOOR(base*modifier*SEQUENCE(16,1,85,1)/100)))/(FLOOR(((2*XLOOKUP('Boss Editor'!$C$4,'Pokemon Editor'!$A:$A,'Pokemon Editor'!$E:$E,0)+31+FLOOR('Boss Editor'!$G$4/4))*'Boss Editor'!$D$4)/100)+'Boss Editor'!$D$4+10)),0)</f>
        <v/>
      </c>
      <c r="O890" s="3">
        <f>IF(N890&gt;=1,"OHKO",IF(N890&gt;=0.5,"2HKO",IF(N890&gt;=0.333,"3HKO",IF(N890&gt;=0.25,"4HKO","5HKO+"))))</f>
        <v/>
      </c>
      <c r="P890" s="3" t="inlineStr">
        <is>
          <t>Live from editable databases</t>
        </is>
      </c>
      <c r="Q890" s="3" t="inlineStr">
        <is>
          <t>SPECIES_NYMBLE</t>
        </is>
      </c>
      <c r="R890" s="3" t="n">
        <v>25</v>
      </c>
    </row>
    <row r="891">
      <c r="A891" s="3">
        <f>XLOOKUP($Q891,'Threshold Summary'!$Y:$Y,'Threshold Summary'!$A:$A,"")</f>
        <v/>
      </c>
      <c r="B891" s="3">
        <f>XLOOKUP($Q891,'Threshold Summary'!$Y:$Y,'Threshold Summary'!$M:$M,"")</f>
        <v/>
      </c>
      <c r="C891" s="3">
        <f>XLOOKUP($Q891,'Threshold Summary'!$Y:$Y,'Threshold Summary'!$N:$N,"")</f>
        <v/>
      </c>
      <c r="D891" s="3">
        <f>IFERROR(INDEX(FILTER('Learnset Editor'!$D$2:$D,'Learnset Editor'!$A$2:$A=XLOOKUP($Q891,'Threshold Summary'!$Y:$Y,'Threshold Summary'!$K:$K,""),'Learnset Editor'!$C$2:$C&lt;=XLOOKUP($Q891,'Threshold Summary'!$Y:$Y,'Threshold Summary'!$L:$L,"")),$R891),"")</f>
        <v/>
      </c>
      <c r="E891" s="3">
        <f>XLOOKUP(D891,'Move Editor'!$B:$B,'Move Editor'!$C:$C,"")</f>
        <v/>
      </c>
      <c r="F891" s="3">
        <f>XLOOKUP(D891,'Move Editor'!$B:$B,'Move Editor'!$D:$D,"")</f>
        <v/>
      </c>
      <c r="G891" s="3">
        <f>XLOOKUP(D891,'Move Editor'!$B:$B,'Move Editor'!$E:$E,0)</f>
        <v/>
      </c>
      <c r="H891" s="3">
        <f>XLOOKUP(D891,'Move Editor'!$B:$B,'Move Editor'!$F:$F,0)</f>
        <v/>
      </c>
      <c r="I891" s="3">
        <f>(INDEX('Type Chart'!$B:$S,MATCH(E891,'Type Chart'!$A:$A,0),MATCH(XLOOKUP('Boss Editor'!$C$4,'Pokemon Editor'!$A:$A,'Pokemon Editor'!$C:$C,""),'Type Chart'!$B$1:$S$1,0))*IF(XLOOKUP('Boss Editor'!$C$4,'Pokemon Editor'!$A:$A,'Pokemon Editor'!$D:$D,"")="",1,INDEX('Type Chart'!$B:$S,MATCH(E891,'Type Chart'!$A:$A,0),MATCH(XLOOKUP('Boss Editor'!$C$4,'Pokemon Editor'!$A:$A,'Pokemon Editor'!$D:$D,""),'Type Chart'!$B$1:$S$1,0))))</f>
        <v/>
      </c>
      <c r="J891" s="3">
        <f>IFERROR(LET(mtype,XLOOKUP($D891,'Move Editor'!$B:$B,'Move Editor'!$C:$C,""),cat,XLOOKUP($D891,'Move Editor'!$B:$B,'Move Editor'!$D:$D,""),pow,XLOOKUP($D891,'Move Editor'!$B:$B,'Move Editor'!$E:$E,0),acc,XLOOKUP($D891,'Move Editor'!$B:$B,'Move Editor'!$F:$F,100),atk,IF(cat="Physical",FLOOR((FLOOR(((2*XLOOKUP(XLOOKUP($Q891,'Threshold Summary'!$Y:$Y,'Threshold Summary'!$K:$K,""),'Pokemon Editor'!$A:$A,'Pokemon Editor'!$F:$F,0)+31+FLOOR(XLOOKUP($Q891,'Threshold Summary'!$Y:$Y,'Threshold Summary'!$P:$P,"")/4))*XLOOKUP($Q891,'Threshold Summary'!$Y:$Y,'Threshold Summary'!$L:$L,""))/100)+5)*XLOOKUP(XLOOKUP($Q891,'Threshold Summary'!$Y:$Y,'Threshold Summary'!$M:$M,""),'Nature Editor'!$A:$A,'Nature Editor'!$B:$B,1)),FLOOR((FLOOR(((2*XLOOKUP(XLOOKUP($Q891,'Threshold Summary'!$Y:$Y,'Threshold Summary'!$K:$K,""),'Pokemon Editor'!$A:$A,'Pokemon Editor'!$H:$H,0)+31+FLOOR(XLOOKUP($Q891,'Threshold Summary'!$Y:$Y,'Threshold Summary'!$R:$R,"")/4))*XLOOKUP($Q891,'Threshold Summary'!$Y:$Y,'Threshold Summary'!$L:$L,""))/100)+5)*XLOOKUP(XLOOKUP($Q891,'Threshold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Editor'!$E:$E,1))),stab,IF(OR(mtype=XLOOKUP(XLOOKUP($Q891,'Threshold Summary'!$Y:$Y,'Threshold Summary'!$K:$K,""),'Pokemon Editor'!$A:$A,'Pokemon Editor'!$C:$C,""),mtype=XLOOKUP(XLOOKUP($Q891,'Threshold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Chart'!$B$1:$S$1,0)))),base,IF(OR(cat="Status",pow=0),0,FLOOR(FLOOR(FLOOR((2*XLOOKUP($Q891,'Threshold Summary'!$Y:$Y,'Threshold Summary'!$L:$L,"")/5+2)*pow*atk/def)/50)+2)),modifier,stab*eff,FLOOR(base*modifier*0.85)),0)</f>
        <v/>
      </c>
      <c r="K891" s="3">
        <f>IFERROR(LET(mtype,XLOOKUP($D891,'Move Editor'!$B:$B,'Move Editor'!$C:$C,""),cat,XLOOKUP($D891,'Move Editor'!$B:$B,'Move Editor'!$D:$D,""),pow,XLOOKUP($D891,'Move Editor'!$B:$B,'Move Editor'!$E:$E,0),acc,XLOOKUP($D891,'Move Editor'!$B:$B,'Move Editor'!$F:$F,100),atk,IF(cat="Physical",FLOOR((FLOOR(((2*XLOOKUP(XLOOKUP($Q891,'Threshold Summary'!$Y:$Y,'Threshold Summary'!$K:$K,""),'Pokemon Editor'!$A:$A,'Pokemon Editor'!$F:$F,0)+31+FLOOR(XLOOKUP($Q891,'Threshold Summary'!$Y:$Y,'Threshold Summary'!$P:$P,"")/4))*XLOOKUP($Q891,'Threshold Summary'!$Y:$Y,'Threshold Summary'!$L:$L,""))/100)+5)*XLOOKUP(XLOOKUP($Q891,'Threshold Summary'!$Y:$Y,'Threshold Summary'!$M:$M,""),'Nature Editor'!$A:$A,'Nature Editor'!$B:$B,1)),FLOOR((FLOOR(((2*XLOOKUP(XLOOKUP($Q891,'Threshold Summary'!$Y:$Y,'Threshold Summary'!$K:$K,""),'Pokemon Editor'!$A:$A,'Pokemon Editor'!$H:$H,0)+31+FLOOR(XLOOKUP($Q891,'Threshold Summary'!$Y:$Y,'Threshold Summary'!$R:$R,"")/4))*XLOOKUP($Q891,'Threshold Summary'!$Y:$Y,'Threshold Summary'!$L:$L,""))/100)+5)*XLOOKUP(XLOOKUP($Q891,'Threshold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Editor'!$E:$E,1))),stab,IF(OR(mtype=XLOOKUP(XLOOKUP($Q891,'Threshold Summary'!$Y:$Y,'Threshold Summary'!$K:$K,""),'Pokemon Editor'!$A:$A,'Pokemon Editor'!$C:$C,""),mtype=XLOOKUP(XLOOKUP($Q891,'Threshold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Chart'!$B$1:$S$1,0)))),base,IF(OR(cat="Status",pow=0),0,FLOOR(FLOOR(FLOOR((2*XLOOKUP($Q891,'Threshold Summary'!$Y:$Y,'Threshold Summary'!$L:$L,"")/5+2)*pow*atk/def)/50)+2)),modifier,stab*eff,FLOOR(base*modifier)),0)</f>
        <v/>
      </c>
      <c r="L891" s="3">
        <f>IFERROR(LET(mtype,XLOOKUP($D891,'Move Editor'!$B:$B,'Move Editor'!$C:$C,""),cat,XLOOKUP($D891,'Move Editor'!$B:$B,'Move Editor'!$D:$D,""),pow,XLOOKUP($D891,'Move Editor'!$B:$B,'Move Editor'!$E:$E,0),acc,XLOOKUP($D891,'Move Editor'!$B:$B,'Move Editor'!$F:$F,100),atk,IF(cat="Physical",FLOOR((FLOOR(((2*XLOOKUP(XLOOKUP($Q891,'Threshold Summary'!$Y:$Y,'Threshold Summary'!$K:$K,""),'Pokemon Editor'!$A:$A,'Pokemon Editor'!$F:$F,0)+31+FLOOR(XLOOKUP($Q891,'Threshold Summary'!$Y:$Y,'Threshold Summary'!$P:$P,"")/4))*XLOOKUP($Q891,'Threshold Summary'!$Y:$Y,'Threshold Summary'!$L:$L,""))/100)+5)*XLOOKUP(XLOOKUP($Q891,'Threshold Summary'!$Y:$Y,'Threshold Summary'!$M:$M,""),'Nature Editor'!$A:$A,'Nature Editor'!$B:$B,1)),FLOOR((FLOOR(((2*XLOOKUP(XLOOKUP($Q891,'Threshold Summary'!$Y:$Y,'Threshold Summary'!$K:$K,""),'Pokemon Editor'!$A:$A,'Pokemon Editor'!$H:$H,0)+31+FLOOR(XLOOKUP($Q891,'Threshold Summary'!$Y:$Y,'Threshold Summary'!$R:$R,"")/4))*XLOOKUP($Q891,'Threshold Summary'!$Y:$Y,'Threshold Summary'!$L:$L,""))/100)+5)*XLOOKUP(XLOOKUP($Q891,'Threshold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Editor'!$E:$E,1))),stab,IF(OR(mtype=XLOOKUP(XLOOKUP($Q891,'Threshold Summary'!$Y:$Y,'Threshold Summary'!$K:$K,""),'Pokemon Editor'!$A:$A,'Pokemon Editor'!$C:$C,""),mtype=XLOOKUP(XLOOKUP($Q891,'Threshold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Chart'!$B$1:$S$1,0)))),base,IF(OR(cat="Status",pow=0),0,FLOOR(FLOOR(FLOOR((2*XLOOKUP($Q891,'Threshold Summary'!$Y:$Y,'Threshold Summary'!$L:$L,"")/5+2)*pow*atk/def)/50)+2)),modifier,stab*eff,AVERAGE(ARRAYFORMULA(FLOOR(base*modifier*SEQUENCE(16,1,85,1)/100)))),0)</f>
        <v/>
      </c>
      <c r="M891" s="3">
        <f>IFERROR(LET(mtype,XLOOKUP($D891,'Move Editor'!$B:$B,'Move Editor'!$C:$C,""),cat,XLOOKUP($D891,'Move Editor'!$B:$B,'Move Editor'!$D:$D,""),pow,XLOOKUP($D891,'Move Editor'!$B:$B,'Move Editor'!$E:$E,0),acc,XLOOKUP($D891,'Move Editor'!$B:$B,'Move Editor'!$F:$F,100),atk,IF(cat="Physical",FLOOR((FLOOR(((2*XLOOKUP(XLOOKUP($Q891,'Threshold Summary'!$Y:$Y,'Threshold Summary'!$K:$K,""),'Pokemon Editor'!$A:$A,'Pokemon Editor'!$F:$F,0)+31+FLOOR(XLOOKUP($Q891,'Threshold Summary'!$Y:$Y,'Threshold Summary'!$P:$P,"")/4))*XLOOKUP($Q891,'Threshold Summary'!$Y:$Y,'Threshold Summary'!$L:$L,""))/100)+5)*XLOOKUP(XLOOKUP($Q891,'Threshold Summary'!$Y:$Y,'Threshold Summary'!$M:$M,""),'Nature Editor'!$A:$A,'Nature Editor'!$B:$B,1)),FLOOR((FLOOR(((2*XLOOKUP(XLOOKUP($Q891,'Threshold Summary'!$Y:$Y,'Threshold Summary'!$K:$K,""),'Pokemon Editor'!$A:$A,'Pokemon Editor'!$H:$H,0)+31+FLOOR(XLOOKUP($Q891,'Threshold Summary'!$Y:$Y,'Threshold Summary'!$R:$R,"")/4))*XLOOKUP($Q891,'Threshold Summary'!$Y:$Y,'Threshold Summary'!$L:$L,""))/100)+5)*XLOOKUP(XLOOKUP($Q891,'Threshold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Editor'!$E:$E,1))),stab,IF(OR(mtype=XLOOKUP(XLOOKUP($Q891,'Threshold Summary'!$Y:$Y,'Threshold Summary'!$K:$K,""),'Pokemon Editor'!$A:$A,'Pokemon Editor'!$C:$C,""),mtype=XLOOKUP(XLOOKUP($Q891,'Threshold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Chart'!$B$1:$S$1,0)))),base,IF(OR(cat="Status",pow=0),0,FLOOR(FLOOR(FLOOR((2*XLOOKUP($Q891,'Threshold Summary'!$Y:$Y,'Threshold Summary'!$L:$L,"")/5+2)*pow*atk/def)/50)+2)),modifier,stab*eff,AVERAGE(ARRAYFORMULA(FLOOR(base*modifier*SEQUENCE(16,1,85,1)/100)))*MIN(1,acc/100)),0)</f>
        <v/>
      </c>
      <c r="N891" s="4">
        <f>IFERROR(LET(mtype,XLOOKUP($D891,'Move Editor'!$B:$B,'Move Editor'!$C:$C,""),cat,XLOOKUP($D891,'Move Editor'!$B:$B,'Move Editor'!$D:$D,""),pow,XLOOKUP($D891,'Move Editor'!$B:$B,'Move Editor'!$E:$E,0),acc,XLOOKUP($D891,'Move Editor'!$B:$B,'Move Editor'!$F:$F,100),atk,IF(cat="Physical",FLOOR((FLOOR(((2*XLOOKUP(XLOOKUP($Q891,'Threshold Summary'!$Y:$Y,'Threshold Summary'!$K:$K,""),'Pokemon Editor'!$A:$A,'Pokemon Editor'!$F:$F,0)+31+FLOOR(XLOOKUP($Q891,'Threshold Summary'!$Y:$Y,'Threshold Summary'!$P:$P,"")/4))*XLOOKUP($Q891,'Threshold Summary'!$Y:$Y,'Threshold Summary'!$L:$L,""))/100)+5)*XLOOKUP(XLOOKUP($Q891,'Threshold Summary'!$Y:$Y,'Threshold Summary'!$M:$M,""),'Nature Editor'!$A:$A,'Nature Editor'!$B:$B,1)),FLOOR((FLOOR(((2*XLOOKUP(XLOOKUP($Q891,'Threshold Summary'!$Y:$Y,'Threshold Summary'!$K:$K,""),'Pokemon Editor'!$A:$A,'Pokemon Editor'!$H:$H,0)+31+FLOOR(XLOOKUP($Q891,'Threshold Summary'!$Y:$Y,'Threshold Summary'!$R:$R,"")/4))*XLOOKUP($Q891,'Threshold Summary'!$Y:$Y,'Threshold Summary'!$L:$L,""))/100)+5)*XLOOKUP(XLOOKUP($Q891,'Threshold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Editor'!$E:$E,1))),stab,IF(OR(mtype=XLOOKUP(XLOOKUP($Q891,'Threshold Summary'!$Y:$Y,'Threshold Summary'!$K:$K,""),'Pokemon Editor'!$A:$A,'Pokemon Editor'!$C:$C,""),mtype=XLOOKUP(XLOOKUP($Q891,'Threshold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Chart'!$B$1:$S$1,0)))),base,IF(OR(cat="Status",pow=0),0,FLOOR(FLOOR(FLOOR((2*XLOOKUP($Q891,'Threshold Summary'!$Y:$Y,'Threshold Summary'!$L:$L,"")/5+2)*pow*atk/def)/50)+2)),modifier,stab*eff,AVERAGE(ARRAYFORMULA(FLOOR(base*modifier*SEQUENCE(16,1,85,1)/100)))/(FLOOR(((2*XLOOKUP('Boss Editor'!$C$4,'Pokemon Editor'!$A:$A,'Pokemon Editor'!$E:$E,0)+31+FLOOR('Boss Editor'!$G$4/4))*'Boss Editor'!$D$4)/100)+'Boss Editor'!$D$4+10)),0)</f>
        <v/>
      </c>
      <c r="O891" s="3">
        <f>IF(N891&gt;=1,"OHKO",IF(N891&gt;=0.5,"2HKO",IF(N891&gt;=0.333,"3HKO",IF(N891&gt;=0.25,"4HKO","5HKO+"))))</f>
        <v/>
      </c>
      <c r="P891" s="3" t="inlineStr">
        <is>
          <t>Live from editable databases</t>
        </is>
      </c>
      <c r="Q891" s="3" t="inlineStr">
        <is>
          <t>SPECIES_NYMBLE</t>
        </is>
      </c>
      <c r="R891" s="3" t="n">
        <v>26</v>
      </c>
    </row>
    <row r="892">
      <c r="A892" s="3">
        <f>XLOOKUP($Q892,'Threshold Summary'!$Y:$Y,'Threshold Summary'!$A:$A,"")</f>
        <v/>
      </c>
      <c r="B892" s="3">
        <f>XLOOKUP($Q892,'Threshold Summary'!$Y:$Y,'Threshold Summary'!$M:$M,"")</f>
        <v/>
      </c>
      <c r="C892" s="3">
        <f>XLOOKUP($Q892,'Threshold Summary'!$Y:$Y,'Threshold Summary'!$N:$N,"")</f>
        <v/>
      </c>
      <c r="D892" s="3">
        <f>IFERROR(INDEX(FILTER('Learnset Editor'!$D$2:$D,'Learnset Editor'!$A$2:$A=XLOOKUP($Q892,'Threshold Summary'!$Y:$Y,'Threshold Summary'!$K:$K,""),'Learnset Editor'!$C$2:$C&lt;=XLOOKUP($Q892,'Threshold Summary'!$Y:$Y,'Threshold Summary'!$L:$L,"")),$R892),"")</f>
        <v/>
      </c>
      <c r="E892" s="3">
        <f>XLOOKUP(D892,'Move Editor'!$B:$B,'Move Editor'!$C:$C,"")</f>
        <v/>
      </c>
      <c r="F892" s="3">
        <f>XLOOKUP(D892,'Move Editor'!$B:$B,'Move Editor'!$D:$D,"")</f>
        <v/>
      </c>
      <c r="G892" s="3">
        <f>XLOOKUP(D892,'Move Editor'!$B:$B,'Move Editor'!$E:$E,0)</f>
        <v/>
      </c>
      <c r="H892" s="3">
        <f>XLOOKUP(D892,'Move Editor'!$B:$B,'Move Editor'!$F:$F,0)</f>
        <v/>
      </c>
      <c r="I892" s="3">
        <f>(INDEX('Type Chart'!$B:$S,MATCH(E892,'Type Chart'!$A:$A,0),MATCH(XLOOKUP('Boss Editor'!$C$4,'Pokemon Editor'!$A:$A,'Pokemon Editor'!$C:$C,""),'Type Chart'!$B$1:$S$1,0))*IF(XLOOKUP('Boss Editor'!$C$4,'Pokemon Editor'!$A:$A,'Pokemon Editor'!$D:$D,"")="",1,INDEX('Type Chart'!$B:$S,MATCH(E892,'Type Chart'!$A:$A,0),MATCH(XLOOKUP('Boss Editor'!$C$4,'Pokemon Editor'!$A:$A,'Pokemon Editor'!$D:$D,""),'Type Chart'!$B$1:$S$1,0))))</f>
        <v/>
      </c>
      <c r="J892" s="3">
        <f>IFERROR(LET(mtype,XLOOKUP($D892,'Move Editor'!$B:$B,'Move Editor'!$C:$C,""),cat,XLOOKUP($D892,'Move Editor'!$B:$B,'Move Editor'!$D:$D,""),pow,XLOOKUP($D892,'Move Editor'!$B:$B,'Move Editor'!$E:$E,0),acc,XLOOKUP($D892,'Move Editor'!$B:$B,'Move Editor'!$F:$F,100),atk,IF(cat="Physical",FLOOR((FLOOR(((2*XLOOKUP(XLOOKUP($Q892,'Threshold Summary'!$Y:$Y,'Threshold Summary'!$K:$K,""),'Pokemon Editor'!$A:$A,'Pokemon Editor'!$F:$F,0)+31+FLOOR(XLOOKUP($Q892,'Threshold Summary'!$Y:$Y,'Threshold Summary'!$P:$P,"")/4))*XLOOKUP($Q892,'Threshold Summary'!$Y:$Y,'Threshold Summary'!$L:$L,""))/100)+5)*XLOOKUP(XLOOKUP($Q892,'Threshold Summary'!$Y:$Y,'Threshold Summary'!$M:$M,""),'Nature Editor'!$A:$A,'Nature Editor'!$B:$B,1)),FLOOR((FLOOR(((2*XLOOKUP(XLOOKUP($Q892,'Threshold Summary'!$Y:$Y,'Threshold Summary'!$K:$K,""),'Pokemon Editor'!$A:$A,'Pokemon Editor'!$H:$H,0)+31+FLOOR(XLOOKUP($Q892,'Threshold Summary'!$Y:$Y,'Threshold Summary'!$R:$R,"")/4))*XLOOKUP($Q892,'Threshold Summary'!$Y:$Y,'Threshold Summary'!$L:$L,""))/100)+5)*XLOOKUP(XLOOKUP($Q892,'Threshold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Editor'!$E:$E,1))),stab,IF(OR(mtype=XLOOKUP(XLOOKUP($Q892,'Threshold Summary'!$Y:$Y,'Threshold Summary'!$K:$K,""),'Pokemon Editor'!$A:$A,'Pokemon Editor'!$C:$C,""),mtype=XLOOKUP(XLOOKUP($Q892,'Threshold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Chart'!$B$1:$S$1,0)))),base,IF(OR(cat="Status",pow=0),0,FLOOR(FLOOR(FLOOR((2*XLOOKUP($Q892,'Threshold Summary'!$Y:$Y,'Threshold Summary'!$L:$L,"")/5+2)*pow*atk/def)/50)+2)),modifier,stab*eff,FLOOR(base*modifier*0.85)),0)</f>
        <v/>
      </c>
      <c r="K892" s="3">
        <f>IFERROR(LET(mtype,XLOOKUP($D892,'Move Editor'!$B:$B,'Move Editor'!$C:$C,""),cat,XLOOKUP($D892,'Move Editor'!$B:$B,'Move Editor'!$D:$D,""),pow,XLOOKUP($D892,'Move Editor'!$B:$B,'Move Editor'!$E:$E,0),acc,XLOOKUP($D892,'Move Editor'!$B:$B,'Move Editor'!$F:$F,100),atk,IF(cat="Physical",FLOOR((FLOOR(((2*XLOOKUP(XLOOKUP($Q892,'Threshold Summary'!$Y:$Y,'Threshold Summary'!$K:$K,""),'Pokemon Editor'!$A:$A,'Pokemon Editor'!$F:$F,0)+31+FLOOR(XLOOKUP($Q892,'Threshold Summary'!$Y:$Y,'Threshold Summary'!$P:$P,"")/4))*XLOOKUP($Q892,'Threshold Summary'!$Y:$Y,'Threshold Summary'!$L:$L,""))/100)+5)*XLOOKUP(XLOOKUP($Q892,'Threshold Summary'!$Y:$Y,'Threshold Summary'!$M:$M,""),'Nature Editor'!$A:$A,'Nature Editor'!$B:$B,1)),FLOOR((FLOOR(((2*XLOOKUP(XLOOKUP($Q892,'Threshold Summary'!$Y:$Y,'Threshold Summary'!$K:$K,""),'Pokemon Editor'!$A:$A,'Pokemon Editor'!$H:$H,0)+31+FLOOR(XLOOKUP($Q892,'Threshold Summary'!$Y:$Y,'Threshold Summary'!$R:$R,"")/4))*XLOOKUP($Q892,'Threshold Summary'!$Y:$Y,'Threshold Summary'!$L:$L,""))/100)+5)*XLOOKUP(XLOOKUP($Q892,'Threshold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Editor'!$E:$E,1))),stab,IF(OR(mtype=XLOOKUP(XLOOKUP($Q892,'Threshold Summary'!$Y:$Y,'Threshold Summary'!$K:$K,""),'Pokemon Editor'!$A:$A,'Pokemon Editor'!$C:$C,""),mtype=XLOOKUP(XLOOKUP($Q892,'Threshold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Chart'!$B$1:$S$1,0)))),base,IF(OR(cat="Status",pow=0),0,FLOOR(FLOOR(FLOOR((2*XLOOKUP($Q892,'Threshold Summary'!$Y:$Y,'Threshold Summary'!$L:$L,"")/5+2)*pow*atk/def)/50)+2)),modifier,stab*eff,FLOOR(base*modifier)),0)</f>
        <v/>
      </c>
      <c r="L892" s="3">
        <f>IFERROR(LET(mtype,XLOOKUP($D892,'Move Editor'!$B:$B,'Move Editor'!$C:$C,""),cat,XLOOKUP($D892,'Move Editor'!$B:$B,'Move Editor'!$D:$D,""),pow,XLOOKUP($D892,'Move Editor'!$B:$B,'Move Editor'!$E:$E,0),acc,XLOOKUP($D892,'Move Editor'!$B:$B,'Move Editor'!$F:$F,100),atk,IF(cat="Physical",FLOOR((FLOOR(((2*XLOOKUP(XLOOKUP($Q892,'Threshold Summary'!$Y:$Y,'Threshold Summary'!$K:$K,""),'Pokemon Editor'!$A:$A,'Pokemon Editor'!$F:$F,0)+31+FLOOR(XLOOKUP($Q892,'Threshold Summary'!$Y:$Y,'Threshold Summary'!$P:$P,"")/4))*XLOOKUP($Q892,'Threshold Summary'!$Y:$Y,'Threshold Summary'!$L:$L,""))/100)+5)*XLOOKUP(XLOOKUP($Q892,'Threshold Summary'!$Y:$Y,'Threshold Summary'!$M:$M,""),'Nature Editor'!$A:$A,'Nature Editor'!$B:$B,1)),FLOOR((FLOOR(((2*XLOOKUP(XLOOKUP($Q892,'Threshold Summary'!$Y:$Y,'Threshold Summary'!$K:$K,""),'Pokemon Editor'!$A:$A,'Pokemon Editor'!$H:$H,0)+31+FLOOR(XLOOKUP($Q892,'Threshold Summary'!$Y:$Y,'Threshold Summary'!$R:$R,"")/4))*XLOOKUP($Q892,'Threshold Summary'!$Y:$Y,'Threshold Summary'!$L:$L,""))/100)+5)*XLOOKUP(XLOOKUP($Q892,'Threshold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Editor'!$E:$E,1))),stab,IF(OR(mtype=XLOOKUP(XLOOKUP($Q892,'Threshold Summary'!$Y:$Y,'Threshold Summary'!$K:$K,""),'Pokemon Editor'!$A:$A,'Pokemon Editor'!$C:$C,""),mtype=XLOOKUP(XLOOKUP($Q892,'Threshold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Chart'!$B$1:$S$1,0)))),base,IF(OR(cat="Status",pow=0),0,FLOOR(FLOOR(FLOOR((2*XLOOKUP($Q892,'Threshold Summary'!$Y:$Y,'Threshold Summary'!$L:$L,"")/5+2)*pow*atk/def)/50)+2)),modifier,stab*eff,AVERAGE(ARRAYFORMULA(FLOOR(base*modifier*SEQUENCE(16,1,85,1)/100)))),0)</f>
        <v/>
      </c>
      <c r="M892" s="3">
        <f>IFERROR(LET(mtype,XLOOKUP($D892,'Move Editor'!$B:$B,'Move Editor'!$C:$C,""),cat,XLOOKUP($D892,'Move Editor'!$B:$B,'Move Editor'!$D:$D,""),pow,XLOOKUP($D892,'Move Editor'!$B:$B,'Move Editor'!$E:$E,0),acc,XLOOKUP($D892,'Move Editor'!$B:$B,'Move Editor'!$F:$F,100),atk,IF(cat="Physical",FLOOR((FLOOR(((2*XLOOKUP(XLOOKUP($Q892,'Threshold Summary'!$Y:$Y,'Threshold Summary'!$K:$K,""),'Pokemon Editor'!$A:$A,'Pokemon Editor'!$F:$F,0)+31+FLOOR(XLOOKUP($Q892,'Threshold Summary'!$Y:$Y,'Threshold Summary'!$P:$P,"")/4))*XLOOKUP($Q892,'Threshold Summary'!$Y:$Y,'Threshold Summary'!$L:$L,""))/100)+5)*XLOOKUP(XLOOKUP($Q892,'Threshold Summary'!$Y:$Y,'Threshold Summary'!$M:$M,""),'Nature Editor'!$A:$A,'Nature Editor'!$B:$B,1)),FLOOR((FLOOR(((2*XLOOKUP(XLOOKUP($Q892,'Threshold Summary'!$Y:$Y,'Threshold Summary'!$K:$K,""),'Pokemon Editor'!$A:$A,'Pokemon Editor'!$H:$H,0)+31+FLOOR(XLOOKUP($Q892,'Threshold Summary'!$Y:$Y,'Threshold Summary'!$R:$R,"")/4))*XLOOKUP($Q892,'Threshold Summary'!$Y:$Y,'Threshold Summary'!$L:$L,""))/100)+5)*XLOOKUP(XLOOKUP($Q892,'Threshold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Editor'!$E:$E,1))),stab,IF(OR(mtype=XLOOKUP(XLOOKUP($Q892,'Threshold Summary'!$Y:$Y,'Threshold Summary'!$K:$K,""),'Pokemon Editor'!$A:$A,'Pokemon Editor'!$C:$C,""),mtype=XLOOKUP(XLOOKUP($Q892,'Threshold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Chart'!$B$1:$S$1,0)))),base,IF(OR(cat="Status",pow=0),0,FLOOR(FLOOR(FLOOR((2*XLOOKUP($Q892,'Threshold Summary'!$Y:$Y,'Threshold Summary'!$L:$L,"")/5+2)*pow*atk/def)/50)+2)),modifier,stab*eff,AVERAGE(ARRAYFORMULA(FLOOR(base*modifier*SEQUENCE(16,1,85,1)/100)))*MIN(1,acc/100)),0)</f>
        <v/>
      </c>
      <c r="N892" s="4">
        <f>IFERROR(LET(mtype,XLOOKUP($D892,'Move Editor'!$B:$B,'Move Editor'!$C:$C,""),cat,XLOOKUP($D892,'Move Editor'!$B:$B,'Move Editor'!$D:$D,""),pow,XLOOKUP($D892,'Move Editor'!$B:$B,'Move Editor'!$E:$E,0),acc,XLOOKUP($D892,'Move Editor'!$B:$B,'Move Editor'!$F:$F,100),atk,IF(cat="Physical",FLOOR((FLOOR(((2*XLOOKUP(XLOOKUP($Q892,'Threshold Summary'!$Y:$Y,'Threshold Summary'!$K:$K,""),'Pokemon Editor'!$A:$A,'Pokemon Editor'!$F:$F,0)+31+FLOOR(XLOOKUP($Q892,'Threshold Summary'!$Y:$Y,'Threshold Summary'!$P:$P,"")/4))*XLOOKUP($Q892,'Threshold Summary'!$Y:$Y,'Threshold Summary'!$L:$L,""))/100)+5)*XLOOKUP(XLOOKUP($Q892,'Threshold Summary'!$Y:$Y,'Threshold Summary'!$M:$M,""),'Nature Editor'!$A:$A,'Nature Editor'!$B:$B,1)),FLOOR((FLOOR(((2*XLOOKUP(XLOOKUP($Q892,'Threshold Summary'!$Y:$Y,'Threshold Summary'!$K:$K,""),'Pokemon Editor'!$A:$A,'Pokemon Editor'!$H:$H,0)+31+FLOOR(XLOOKUP($Q892,'Threshold Summary'!$Y:$Y,'Threshold Summary'!$R:$R,"")/4))*XLOOKUP($Q892,'Threshold Summary'!$Y:$Y,'Threshold Summary'!$L:$L,""))/100)+5)*XLOOKUP(XLOOKUP($Q892,'Threshold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Editor'!$E:$E,1))),stab,IF(OR(mtype=XLOOKUP(XLOOKUP($Q892,'Threshold Summary'!$Y:$Y,'Threshold Summary'!$K:$K,""),'Pokemon Editor'!$A:$A,'Pokemon Editor'!$C:$C,""),mtype=XLOOKUP(XLOOKUP($Q892,'Threshold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Chart'!$B$1:$S$1,0)))),base,IF(OR(cat="Status",pow=0),0,FLOOR(FLOOR(FLOOR((2*XLOOKUP($Q892,'Threshold Summary'!$Y:$Y,'Threshold Summary'!$L:$L,"")/5+2)*pow*atk/def)/50)+2)),modifier,stab*eff,AVERAGE(ARRAYFORMULA(FLOOR(base*modifier*SEQUENCE(16,1,85,1)/100)))/(FLOOR(((2*XLOOKUP('Boss Editor'!$C$4,'Pokemon Editor'!$A:$A,'Pokemon Editor'!$E:$E,0)+31+FLOOR('Boss Editor'!$G$4/4))*'Boss Editor'!$D$4)/100)+'Boss Editor'!$D$4+10)),0)</f>
        <v/>
      </c>
      <c r="O892" s="3">
        <f>IF(N892&gt;=1,"OHKO",IF(N892&gt;=0.5,"2HKO",IF(N892&gt;=0.333,"3HKO",IF(N892&gt;=0.25,"4HKO","5HKO+"))))</f>
        <v/>
      </c>
      <c r="P892" s="3" t="inlineStr">
        <is>
          <t>Live from editable databases</t>
        </is>
      </c>
      <c r="Q892" s="3" t="inlineStr">
        <is>
          <t>SPECIES_NYMBLE</t>
        </is>
      </c>
      <c r="R892" s="3" t="n">
        <v>27</v>
      </c>
    </row>
    <row r="893">
      <c r="A893" s="3">
        <f>XLOOKUP($Q893,'Threshold Summary'!$Y:$Y,'Threshold Summary'!$A:$A,"")</f>
        <v/>
      </c>
      <c r="B893" s="3">
        <f>XLOOKUP($Q893,'Threshold Summary'!$Y:$Y,'Threshold Summary'!$M:$M,"")</f>
        <v/>
      </c>
      <c r="C893" s="3">
        <f>XLOOKUP($Q893,'Threshold Summary'!$Y:$Y,'Threshold Summary'!$N:$N,"")</f>
        <v/>
      </c>
      <c r="D893" s="3">
        <f>IFERROR(INDEX(FILTER('Learnset Editor'!$D$2:$D,'Learnset Editor'!$A$2:$A=XLOOKUP($Q893,'Threshold Summary'!$Y:$Y,'Threshold Summary'!$K:$K,""),'Learnset Editor'!$C$2:$C&lt;=XLOOKUP($Q893,'Threshold Summary'!$Y:$Y,'Threshold Summary'!$L:$L,"")),$R893),"")</f>
        <v/>
      </c>
      <c r="E893" s="3">
        <f>XLOOKUP(D893,'Move Editor'!$B:$B,'Move Editor'!$C:$C,"")</f>
        <v/>
      </c>
      <c r="F893" s="3">
        <f>XLOOKUP(D893,'Move Editor'!$B:$B,'Move Editor'!$D:$D,"")</f>
        <v/>
      </c>
      <c r="G893" s="3">
        <f>XLOOKUP(D893,'Move Editor'!$B:$B,'Move Editor'!$E:$E,0)</f>
        <v/>
      </c>
      <c r="H893" s="3">
        <f>XLOOKUP(D893,'Move Editor'!$B:$B,'Move Editor'!$F:$F,0)</f>
        <v/>
      </c>
      <c r="I893" s="3">
        <f>(INDEX('Type Chart'!$B:$S,MATCH(E893,'Type Chart'!$A:$A,0),MATCH(XLOOKUP('Boss Editor'!$C$4,'Pokemon Editor'!$A:$A,'Pokemon Editor'!$C:$C,""),'Type Chart'!$B$1:$S$1,0))*IF(XLOOKUP('Boss Editor'!$C$4,'Pokemon Editor'!$A:$A,'Pokemon Editor'!$D:$D,"")="",1,INDEX('Type Chart'!$B:$S,MATCH(E893,'Type Chart'!$A:$A,0),MATCH(XLOOKUP('Boss Editor'!$C$4,'Pokemon Editor'!$A:$A,'Pokemon Editor'!$D:$D,""),'Type Chart'!$B$1:$S$1,0))))</f>
        <v/>
      </c>
      <c r="J893" s="3">
        <f>IFERROR(LET(mtype,XLOOKUP($D893,'Move Editor'!$B:$B,'Move Editor'!$C:$C,""),cat,XLOOKUP($D893,'Move Editor'!$B:$B,'Move Editor'!$D:$D,""),pow,XLOOKUP($D893,'Move Editor'!$B:$B,'Move Editor'!$E:$E,0),acc,XLOOKUP($D893,'Move Editor'!$B:$B,'Move Editor'!$F:$F,100),atk,IF(cat="Physical",FLOOR((FLOOR(((2*XLOOKUP(XLOOKUP($Q893,'Threshold Summary'!$Y:$Y,'Threshold Summary'!$K:$K,""),'Pokemon Editor'!$A:$A,'Pokemon Editor'!$F:$F,0)+31+FLOOR(XLOOKUP($Q893,'Threshold Summary'!$Y:$Y,'Threshold Summary'!$P:$P,"")/4))*XLOOKUP($Q893,'Threshold Summary'!$Y:$Y,'Threshold Summary'!$L:$L,""))/100)+5)*XLOOKUP(XLOOKUP($Q893,'Threshold Summary'!$Y:$Y,'Threshold Summary'!$M:$M,""),'Nature Editor'!$A:$A,'Nature Editor'!$B:$B,1)),FLOOR((FLOOR(((2*XLOOKUP(XLOOKUP($Q893,'Threshold Summary'!$Y:$Y,'Threshold Summary'!$K:$K,""),'Pokemon Editor'!$A:$A,'Pokemon Editor'!$H:$H,0)+31+FLOOR(XLOOKUP($Q893,'Threshold Summary'!$Y:$Y,'Threshold Summary'!$R:$R,"")/4))*XLOOKUP($Q893,'Threshold Summary'!$Y:$Y,'Threshold Summary'!$L:$L,""))/100)+5)*XLOOKUP(XLOOKUP($Q893,'Threshold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Editor'!$E:$E,1))),stab,IF(OR(mtype=XLOOKUP(XLOOKUP($Q893,'Threshold Summary'!$Y:$Y,'Threshold Summary'!$K:$K,""),'Pokemon Editor'!$A:$A,'Pokemon Editor'!$C:$C,""),mtype=XLOOKUP(XLOOKUP($Q893,'Threshold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Chart'!$B$1:$S$1,0)))),base,IF(OR(cat="Status",pow=0),0,FLOOR(FLOOR(FLOOR((2*XLOOKUP($Q893,'Threshold Summary'!$Y:$Y,'Threshold Summary'!$L:$L,"")/5+2)*pow*atk/def)/50)+2)),modifier,stab*eff,FLOOR(base*modifier*0.85)),0)</f>
        <v/>
      </c>
      <c r="K893" s="3">
        <f>IFERROR(LET(mtype,XLOOKUP($D893,'Move Editor'!$B:$B,'Move Editor'!$C:$C,""),cat,XLOOKUP($D893,'Move Editor'!$B:$B,'Move Editor'!$D:$D,""),pow,XLOOKUP($D893,'Move Editor'!$B:$B,'Move Editor'!$E:$E,0),acc,XLOOKUP($D893,'Move Editor'!$B:$B,'Move Editor'!$F:$F,100),atk,IF(cat="Physical",FLOOR((FLOOR(((2*XLOOKUP(XLOOKUP($Q893,'Threshold Summary'!$Y:$Y,'Threshold Summary'!$K:$K,""),'Pokemon Editor'!$A:$A,'Pokemon Editor'!$F:$F,0)+31+FLOOR(XLOOKUP($Q893,'Threshold Summary'!$Y:$Y,'Threshold Summary'!$P:$P,"")/4))*XLOOKUP($Q893,'Threshold Summary'!$Y:$Y,'Threshold Summary'!$L:$L,""))/100)+5)*XLOOKUP(XLOOKUP($Q893,'Threshold Summary'!$Y:$Y,'Threshold Summary'!$M:$M,""),'Nature Editor'!$A:$A,'Nature Editor'!$B:$B,1)),FLOOR((FLOOR(((2*XLOOKUP(XLOOKUP($Q893,'Threshold Summary'!$Y:$Y,'Threshold Summary'!$K:$K,""),'Pokemon Editor'!$A:$A,'Pokemon Editor'!$H:$H,0)+31+FLOOR(XLOOKUP($Q893,'Threshold Summary'!$Y:$Y,'Threshold Summary'!$R:$R,"")/4))*XLOOKUP($Q893,'Threshold Summary'!$Y:$Y,'Threshold Summary'!$L:$L,""))/100)+5)*XLOOKUP(XLOOKUP($Q893,'Threshold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Editor'!$E:$E,1))),stab,IF(OR(mtype=XLOOKUP(XLOOKUP($Q893,'Threshold Summary'!$Y:$Y,'Threshold Summary'!$K:$K,""),'Pokemon Editor'!$A:$A,'Pokemon Editor'!$C:$C,""),mtype=XLOOKUP(XLOOKUP($Q893,'Threshold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Chart'!$B$1:$S$1,0)))),base,IF(OR(cat="Status",pow=0),0,FLOOR(FLOOR(FLOOR((2*XLOOKUP($Q893,'Threshold Summary'!$Y:$Y,'Threshold Summary'!$L:$L,"")/5+2)*pow*atk/def)/50)+2)),modifier,stab*eff,FLOOR(base*modifier)),0)</f>
        <v/>
      </c>
      <c r="L893" s="3">
        <f>IFERROR(LET(mtype,XLOOKUP($D893,'Move Editor'!$B:$B,'Move Editor'!$C:$C,""),cat,XLOOKUP($D893,'Move Editor'!$B:$B,'Move Editor'!$D:$D,""),pow,XLOOKUP($D893,'Move Editor'!$B:$B,'Move Editor'!$E:$E,0),acc,XLOOKUP($D893,'Move Editor'!$B:$B,'Move Editor'!$F:$F,100),atk,IF(cat="Physical",FLOOR((FLOOR(((2*XLOOKUP(XLOOKUP($Q893,'Threshold Summary'!$Y:$Y,'Threshold Summary'!$K:$K,""),'Pokemon Editor'!$A:$A,'Pokemon Editor'!$F:$F,0)+31+FLOOR(XLOOKUP($Q893,'Threshold Summary'!$Y:$Y,'Threshold Summary'!$P:$P,"")/4))*XLOOKUP($Q893,'Threshold Summary'!$Y:$Y,'Threshold Summary'!$L:$L,""))/100)+5)*XLOOKUP(XLOOKUP($Q893,'Threshold Summary'!$Y:$Y,'Threshold Summary'!$M:$M,""),'Nature Editor'!$A:$A,'Nature Editor'!$B:$B,1)),FLOOR((FLOOR(((2*XLOOKUP(XLOOKUP($Q893,'Threshold Summary'!$Y:$Y,'Threshold Summary'!$K:$K,""),'Pokemon Editor'!$A:$A,'Pokemon Editor'!$H:$H,0)+31+FLOOR(XLOOKUP($Q893,'Threshold Summary'!$Y:$Y,'Threshold Summary'!$R:$R,"")/4))*XLOOKUP($Q893,'Threshold Summary'!$Y:$Y,'Threshold Summary'!$L:$L,""))/100)+5)*XLOOKUP(XLOOKUP($Q893,'Threshold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Editor'!$E:$E,1))),stab,IF(OR(mtype=XLOOKUP(XLOOKUP($Q893,'Threshold Summary'!$Y:$Y,'Threshold Summary'!$K:$K,""),'Pokemon Editor'!$A:$A,'Pokemon Editor'!$C:$C,""),mtype=XLOOKUP(XLOOKUP($Q893,'Threshold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Chart'!$B$1:$S$1,0)))),base,IF(OR(cat="Status",pow=0),0,FLOOR(FLOOR(FLOOR((2*XLOOKUP($Q893,'Threshold Summary'!$Y:$Y,'Threshold Summary'!$L:$L,"")/5+2)*pow*atk/def)/50)+2)),modifier,stab*eff,AVERAGE(ARRAYFORMULA(FLOOR(base*modifier*SEQUENCE(16,1,85,1)/100)))),0)</f>
        <v/>
      </c>
      <c r="M893" s="3">
        <f>IFERROR(LET(mtype,XLOOKUP($D893,'Move Editor'!$B:$B,'Move Editor'!$C:$C,""),cat,XLOOKUP($D893,'Move Editor'!$B:$B,'Move Editor'!$D:$D,""),pow,XLOOKUP($D893,'Move Editor'!$B:$B,'Move Editor'!$E:$E,0),acc,XLOOKUP($D893,'Move Editor'!$B:$B,'Move Editor'!$F:$F,100),atk,IF(cat="Physical",FLOOR((FLOOR(((2*XLOOKUP(XLOOKUP($Q893,'Threshold Summary'!$Y:$Y,'Threshold Summary'!$K:$K,""),'Pokemon Editor'!$A:$A,'Pokemon Editor'!$F:$F,0)+31+FLOOR(XLOOKUP($Q893,'Threshold Summary'!$Y:$Y,'Threshold Summary'!$P:$P,"")/4))*XLOOKUP($Q893,'Threshold Summary'!$Y:$Y,'Threshold Summary'!$L:$L,""))/100)+5)*XLOOKUP(XLOOKUP($Q893,'Threshold Summary'!$Y:$Y,'Threshold Summary'!$M:$M,""),'Nature Editor'!$A:$A,'Nature Editor'!$B:$B,1)),FLOOR((FLOOR(((2*XLOOKUP(XLOOKUP($Q893,'Threshold Summary'!$Y:$Y,'Threshold Summary'!$K:$K,""),'Pokemon Editor'!$A:$A,'Pokemon Editor'!$H:$H,0)+31+FLOOR(XLOOKUP($Q893,'Threshold Summary'!$Y:$Y,'Threshold Summary'!$R:$R,"")/4))*XLOOKUP($Q893,'Threshold Summary'!$Y:$Y,'Threshold Summary'!$L:$L,""))/100)+5)*XLOOKUP(XLOOKUP($Q893,'Threshold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Editor'!$E:$E,1))),stab,IF(OR(mtype=XLOOKUP(XLOOKUP($Q893,'Threshold Summary'!$Y:$Y,'Threshold Summary'!$K:$K,""),'Pokemon Editor'!$A:$A,'Pokemon Editor'!$C:$C,""),mtype=XLOOKUP(XLOOKUP($Q893,'Threshold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Chart'!$B$1:$S$1,0)))),base,IF(OR(cat="Status",pow=0),0,FLOOR(FLOOR(FLOOR((2*XLOOKUP($Q893,'Threshold Summary'!$Y:$Y,'Threshold Summary'!$L:$L,"")/5+2)*pow*atk/def)/50)+2)),modifier,stab*eff,AVERAGE(ARRAYFORMULA(FLOOR(base*modifier*SEQUENCE(16,1,85,1)/100)))*MIN(1,acc/100)),0)</f>
        <v/>
      </c>
      <c r="N893" s="4">
        <f>IFERROR(LET(mtype,XLOOKUP($D893,'Move Editor'!$B:$B,'Move Editor'!$C:$C,""),cat,XLOOKUP($D893,'Move Editor'!$B:$B,'Move Editor'!$D:$D,""),pow,XLOOKUP($D893,'Move Editor'!$B:$B,'Move Editor'!$E:$E,0),acc,XLOOKUP($D893,'Move Editor'!$B:$B,'Move Editor'!$F:$F,100),atk,IF(cat="Physical",FLOOR((FLOOR(((2*XLOOKUP(XLOOKUP($Q893,'Threshold Summary'!$Y:$Y,'Threshold Summary'!$K:$K,""),'Pokemon Editor'!$A:$A,'Pokemon Editor'!$F:$F,0)+31+FLOOR(XLOOKUP($Q893,'Threshold Summary'!$Y:$Y,'Threshold Summary'!$P:$P,"")/4))*XLOOKUP($Q893,'Threshold Summary'!$Y:$Y,'Threshold Summary'!$L:$L,""))/100)+5)*XLOOKUP(XLOOKUP($Q893,'Threshold Summary'!$Y:$Y,'Threshold Summary'!$M:$M,""),'Nature Editor'!$A:$A,'Nature Editor'!$B:$B,1)),FLOOR((FLOOR(((2*XLOOKUP(XLOOKUP($Q893,'Threshold Summary'!$Y:$Y,'Threshold Summary'!$K:$K,""),'Pokemon Editor'!$A:$A,'Pokemon Editor'!$H:$H,0)+31+FLOOR(XLOOKUP($Q893,'Threshold Summary'!$Y:$Y,'Threshold Summary'!$R:$R,"")/4))*XLOOKUP($Q893,'Threshold Summary'!$Y:$Y,'Threshold Summary'!$L:$L,""))/100)+5)*XLOOKUP(XLOOKUP($Q893,'Threshold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Editor'!$E:$E,1))),stab,IF(OR(mtype=XLOOKUP(XLOOKUP($Q893,'Threshold Summary'!$Y:$Y,'Threshold Summary'!$K:$K,""),'Pokemon Editor'!$A:$A,'Pokemon Editor'!$C:$C,""),mtype=XLOOKUP(XLOOKUP($Q893,'Threshold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Chart'!$B$1:$S$1,0)))),base,IF(OR(cat="Status",pow=0),0,FLOOR(FLOOR(FLOOR((2*XLOOKUP($Q893,'Threshold Summary'!$Y:$Y,'Threshold Summary'!$L:$L,"")/5+2)*pow*atk/def)/50)+2)),modifier,stab*eff,AVERAGE(ARRAYFORMULA(FLOOR(base*modifier*SEQUENCE(16,1,85,1)/100)))/(FLOOR(((2*XLOOKUP('Boss Editor'!$C$4,'Pokemon Editor'!$A:$A,'Pokemon Editor'!$E:$E,0)+31+FLOOR('Boss Editor'!$G$4/4))*'Boss Editor'!$D$4)/100)+'Boss Editor'!$D$4+10)),0)</f>
        <v/>
      </c>
      <c r="O893" s="3">
        <f>IF(N893&gt;=1,"OHKO",IF(N893&gt;=0.5,"2HKO",IF(N893&gt;=0.333,"3HKO",IF(N893&gt;=0.25,"4HKO","5HKO+"))))</f>
        <v/>
      </c>
      <c r="P893" s="3" t="inlineStr">
        <is>
          <t>Live from editable databases</t>
        </is>
      </c>
      <c r="Q893" s="3" t="inlineStr">
        <is>
          <t>SPECIES_NYMBLE</t>
        </is>
      </c>
      <c r="R893" s="3" t="n">
        <v>28</v>
      </c>
    </row>
    <row r="894">
      <c r="A894" s="3">
        <f>XLOOKUP($Q894,'Threshold Summary'!$Y:$Y,'Threshold Summary'!$A:$A,"")</f>
        <v/>
      </c>
      <c r="B894" s="3">
        <f>XLOOKUP($Q894,'Threshold Summary'!$Y:$Y,'Threshold Summary'!$M:$M,"")</f>
        <v/>
      </c>
      <c r="C894" s="3">
        <f>XLOOKUP($Q894,'Threshold Summary'!$Y:$Y,'Threshold Summary'!$N:$N,"")</f>
        <v/>
      </c>
      <c r="D894" s="3">
        <f>IFERROR(INDEX(FILTER('Learnset Editor'!$D$2:$D,'Learnset Editor'!$A$2:$A=XLOOKUP($Q894,'Threshold Summary'!$Y:$Y,'Threshold Summary'!$K:$K,""),'Learnset Editor'!$C$2:$C&lt;=XLOOKUP($Q894,'Threshold Summary'!$Y:$Y,'Threshold Summary'!$L:$L,"")),$R894),"")</f>
        <v/>
      </c>
      <c r="E894" s="3">
        <f>XLOOKUP(D894,'Move Editor'!$B:$B,'Move Editor'!$C:$C,"")</f>
        <v/>
      </c>
      <c r="F894" s="3">
        <f>XLOOKUP(D894,'Move Editor'!$B:$B,'Move Editor'!$D:$D,"")</f>
        <v/>
      </c>
      <c r="G894" s="3">
        <f>XLOOKUP(D894,'Move Editor'!$B:$B,'Move Editor'!$E:$E,0)</f>
        <v/>
      </c>
      <c r="H894" s="3">
        <f>XLOOKUP(D894,'Move Editor'!$B:$B,'Move Editor'!$F:$F,0)</f>
        <v/>
      </c>
      <c r="I894" s="3">
        <f>(INDEX('Type Chart'!$B:$S,MATCH(E894,'Type Chart'!$A:$A,0),MATCH(XLOOKUP('Boss Editor'!$C$4,'Pokemon Editor'!$A:$A,'Pokemon Editor'!$C:$C,""),'Type Chart'!$B$1:$S$1,0))*IF(XLOOKUP('Boss Editor'!$C$4,'Pokemon Editor'!$A:$A,'Pokemon Editor'!$D:$D,"")="",1,INDEX('Type Chart'!$B:$S,MATCH(E894,'Type Chart'!$A:$A,0),MATCH(XLOOKUP('Boss Editor'!$C$4,'Pokemon Editor'!$A:$A,'Pokemon Editor'!$D:$D,""),'Type Chart'!$B$1:$S$1,0))))</f>
        <v/>
      </c>
      <c r="J894" s="3">
        <f>IFERROR(LET(mtype,XLOOKUP($D894,'Move Editor'!$B:$B,'Move Editor'!$C:$C,""),cat,XLOOKUP($D894,'Move Editor'!$B:$B,'Move Editor'!$D:$D,""),pow,XLOOKUP($D894,'Move Editor'!$B:$B,'Move Editor'!$E:$E,0),acc,XLOOKUP($D894,'Move Editor'!$B:$B,'Move Editor'!$F:$F,100),atk,IF(cat="Physical",FLOOR((FLOOR(((2*XLOOKUP(XLOOKUP($Q894,'Threshold Summary'!$Y:$Y,'Threshold Summary'!$K:$K,""),'Pokemon Editor'!$A:$A,'Pokemon Editor'!$F:$F,0)+31+FLOOR(XLOOKUP($Q894,'Threshold Summary'!$Y:$Y,'Threshold Summary'!$P:$P,"")/4))*XLOOKUP($Q894,'Threshold Summary'!$Y:$Y,'Threshold Summary'!$L:$L,""))/100)+5)*XLOOKUP(XLOOKUP($Q894,'Threshold Summary'!$Y:$Y,'Threshold Summary'!$M:$M,""),'Nature Editor'!$A:$A,'Nature Editor'!$B:$B,1)),FLOOR((FLOOR(((2*XLOOKUP(XLOOKUP($Q894,'Threshold Summary'!$Y:$Y,'Threshold Summary'!$K:$K,""),'Pokemon Editor'!$A:$A,'Pokemon Editor'!$H:$H,0)+31+FLOOR(XLOOKUP($Q894,'Threshold Summary'!$Y:$Y,'Threshold Summary'!$R:$R,"")/4))*XLOOKUP($Q894,'Threshold Summary'!$Y:$Y,'Threshold Summary'!$L:$L,""))/100)+5)*XLOOKUP(XLOOKUP($Q894,'Threshold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Editor'!$E:$E,1))),stab,IF(OR(mtype=XLOOKUP(XLOOKUP($Q894,'Threshold Summary'!$Y:$Y,'Threshold Summary'!$K:$K,""),'Pokemon Editor'!$A:$A,'Pokemon Editor'!$C:$C,""),mtype=XLOOKUP(XLOOKUP($Q894,'Threshold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Chart'!$B$1:$S$1,0)))),base,IF(OR(cat="Status",pow=0),0,FLOOR(FLOOR(FLOOR((2*XLOOKUP($Q894,'Threshold Summary'!$Y:$Y,'Threshold Summary'!$L:$L,"")/5+2)*pow*atk/def)/50)+2)),modifier,stab*eff,FLOOR(base*modifier*0.85)),0)</f>
        <v/>
      </c>
      <c r="K894" s="3">
        <f>IFERROR(LET(mtype,XLOOKUP($D894,'Move Editor'!$B:$B,'Move Editor'!$C:$C,""),cat,XLOOKUP($D894,'Move Editor'!$B:$B,'Move Editor'!$D:$D,""),pow,XLOOKUP($D894,'Move Editor'!$B:$B,'Move Editor'!$E:$E,0),acc,XLOOKUP($D894,'Move Editor'!$B:$B,'Move Editor'!$F:$F,100),atk,IF(cat="Physical",FLOOR((FLOOR(((2*XLOOKUP(XLOOKUP($Q894,'Threshold Summary'!$Y:$Y,'Threshold Summary'!$K:$K,""),'Pokemon Editor'!$A:$A,'Pokemon Editor'!$F:$F,0)+31+FLOOR(XLOOKUP($Q894,'Threshold Summary'!$Y:$Y,'Threshold Summary'!$P:$P,"")/4))*XLOOKUP($Q894,'Threshold Summary'!$Y:$Y,'Threshold Summary'!$L:$L,""))/100)+5)*XLOOKUP(XLOOKUP($Q894,'Threshold Summary'!$Y:$Y,'Threshold Summary'!$M:$M,""),'Nature Editor'!$A:$A,'Nature Editor'!$B:$B,1)),FLOOR((FLOOR(((2*XLOOKUP(XLOOKUP($Q894,'Threshold Summary'!$Y:$Y,'Threshold Summary'!$K:$K,""),'Pokemon Editor'!$A:$A,'Pokemon Editor'!$H:$H,0)+31+FLOOR(XLOOKUP($Q894,'Threshold Summary'!$Y:$Y,'Threshold Summary'!$R:$R,"")/4))*XLOOKUP($Q894,'Threshold Summary'!$Y:$Y,'Threshold Summary'!$L:$L,""))/100)+5)*XLOOKUP(XLOOKUP($Q894,'Threshold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Editor'!$E:$E,1))),stab,IF(OR(mtype=XLOOKUP(XLOOKUP($Q894,'Threshold Summary'!$Y:$Y,'Threshold Summary'!$K:$K,""),'Pokemon Editor'!$A:$A,'Pokemon Editor'!$C:$C,""),mtype=XLOOKUP(XLOOKUP($Q894,'Threshold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Chart'!$B$1:$S$1,0)))),base,IF(OR(cat="Status",pow=0),0,FLOOR(FLOOR(FLOOR((2*XLOOKUP($Q894,'Threshold Summary'!$Y:$Y,'Threshold Summary'!$L:$L,"")/5+2)*pow*atk/def)/50)+2)),modifier,stab*eff,FLOOR(base*modifier)),0)</f>
        <v/>
      </c>
      <c r="L894" s="3">
        <f>IFERROR(LET(mtype,XLOOKUP($D894,'Move Editor'!$B:$B,'Move Editor'!$C:$C,""),cat,XLOOKUP($D894,'Move Editor'!$B:$B,'Move Editor'!$D:$D,""),pow,XLOOKUP($D894,'Move Editor'!$B:$B,'Move Editor'!$E:$E,0),acc,XLOOKUP($D894,'Move Editor'!$B:$B,'Move Editor'!$F:$F,100),atk,IF(cat="Physical",FLOOR((FLOOR(((2*XLOOKUP(XLOOKUP($Q894,'Threshold Summary'!$Y:$Y,'Threshold Summary'!$K:$K,""),'Pokemon Editor'!$A:$A,'Pokemon Editor'!$F:$F,0)+31+FLOOR(XLOOKUP($Q894,'Threshold Summary'!$Y:$Y,'Threshold Summary'!$P:$P,"")/4))*XLOOKUP($Q894,'Threshold Summary'!$Y:$Y,'Threshold Summary'!$L:$L,""))/100)+5)*XLOOKUP(XLOOKUP($Q894,'Threshold Summary'!$Y:$Y,'Threshold Summary'!$M:$M,""),'Nature Editor'!$A:$A,'Nature Editor'!$B:$B,1)),FLOOR((FLOOR(((2*XLOOKUP(XLOOKUP($Q894,'Threshold Summary'!$Y:$Y,'Threshold Summary'!$K:$K,""),'Pokemon Editor'!$A:$A,'Pokemon Editor'!$H:$H,0)+31+FLOOR(XLOOKUP($Q894,'Threshold Summary'!$Y:$Y,'Threshold Summary'!$R:$R,"")/4))*XLOOKUP($Q894,'Threshold Summary'!$Y:$Y,'Threshold Summary'!$L:$L,""))/100)+5)*XLOOKUP(XLOOKUP($Q894,'Threshold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Editor'!$E:$E,1))),stab,IF(OR(mtype=XLOOKUP(XLOOKUP($Q894,'Threshold Summary'!$Y:$Y,'Threshold Summary'!$K:$K,""),'Pokemon Editor'!$A:$A,'Pokemon Editor'!$C:$C,""),mtype=XLOOKUP(XLOOKUP($Q894,'Threshold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Chart'!$B$1:$S$1,0)))),base,IF(OR(cat="Status",pow=0),0,FLOOR(FLOOR(FLOOR((2*XLOOKUP($Q894,'Threshold Summary'!$Y:$Y,'Threshold Summary'!$L:$L,"")/5+2)*pow*atk/def)/50)+2)),modifier,stab*eff,AVERAGE(ARRAYFORMULA(FLOOR(base*modifier*SEQUENCE(16,1,85,1)/100)))),0)</f>
        <v/>
      </c>
      <c r="M894" s="3">
        <f>IFERROR(LET(mtype,XLOOKUP($D894,'Move Editor'!$B:$B,'Move Editor'!$C:$C,""),cat,XLOOKUP($D894,'Move Editor'!$B:$B,'Move Editor'!$D:$D,""),pow,XLOOKUP($D894,'Move Editor'!$B:$B,'Move Editor'!$E:$E,0),acc,XLOOKUP($D894,'Move Editor'!$B:$B,'Move Editor'!$F:$F,100),atk,IF(cat="Physical",FLOOR((FLOOR(((2*XLOOKUP(XLOOKUP($Q894,'Threshold Summary'!$Y:$Y,'Threshold Summary'!$K:$K,""),'Pokemon Editor'!$A:$A,'Pokemon Editor'!$F:$F,0)+31+FLOOR(XLOOKUP($Q894,'Threshold Summary'!$Y:$Y,'Threshold Summary'!$P:$P,"")/4))*XLOOKUP($Q894,'Threshold Summary'!$Y:$Y,'Threshold Summary'!$L:$L,""))/100)+5)*XLOOKUP(XLOOKUP($Q894,'Threshold Summary'!$Y:$Y,'Threshold Summary'!$M:$M,""),'Nature Editor'!$A:$A,'Nature Editor'!$B:$B,1)),FLOOR((FLOOR(((2*XLOOKUP(XLOOKUP($Q894,'Threshold Summary'!$Y:$Y,'Threshold Summary'!$K:$K,""),'Pokemon Editor'!$A:$A,'Pokemon Editor'!$H:$H,0)+31+FLOOR(XLOOKUP($Q894,'Threshold Summary'!$Y:$Y,'Threshold Summary'!$R:$R,"")/4))*XLOOKUP($Q894,'Threshold Summary'!$Y:$Y,'Threshold Summary'!$L:$L,""))/100)+5)*XLOOKUP(XLOOKUP($Q894,'Threshold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Editor'!$E:$E,1))),stab,IF(OR(mtype=XLOOKUP(XLOOKUP($Q894,'Threshold Summary'!$Y:$Y,'Threshold Summary'!$K:$K,""),'Pokemon Editor'!$A:$A,'Pokemon Editor'!$C:$C,""),mtype=XLOOKUP(XLOOKUP($Q894,'Threshold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Chart'!$B$1:$S$1,0)))),base,IF(OR(cat="Status",pow=0),0,FLOOR(FLOOR(FLOOR((2*XLOOKUP($Q894,'Threshold Summary'!$Y:$Y,'Threshold Summary'!$L:$L,"")/5+2)*pow*atk/def)/50)+2)),modifier,stab*eff,AVERAGE(ARRAYFORMULA(FLOOR(base*modifier*SEQUENCE(16,1,85,1)/100)))*MIN(1,acc/100)),0)</f>
        <v/>
      </c>
      <c r="N894" s="4">
        <f>IFERROR(LET(mtype,XLOOKUP($D894,'Move Editor'!$B:$B,'Move Editor'!$C:$C,""),cat,XLOOKUP($D894,'Move Editor'!$B:$B,'Move Editor'!$D:$D,""),pow,XLOOKUP($D894,'Move Editor'!$B:$B,'Move Editor'!$E:$E,0),acc,XLOOKUP($D894,'Move Editor'!$B:$B,'Move Editor'!$F:$F,100),atk,IF(cat="Physical",FLOOR((FLOOR(((2*XLOOKUP(XLOOKUP($Q894,'Threshold Summary'!$Y:$Y,'Threshold Summary'!$K:$K,""),'Pokemon Editor'!$A:$A,'Pokemon Editor'!$F:$F,0)+31+FLOOR(XLOOKUP($Q894,'Threshold Summary'!$Y:$Y,'Threshold Summary'!$P:$P,"")/4))*XLOOKUP($Q894,'Threshold Summary'!$Y:$Y,'Threshold Summary'!$L:$L,""))/100)+5)*XLOOKUP(XLOOKUP($Q894,'Threshold Summary'!$Y:$Y,'Threshold Summary'!$M:$M,""),'Nature Editor'!$A:$A,'Nature Editor'!$B:$B,1)),FLOOR((FLOOR(((2*XLOOKUP(XLOOKUP($Q894,'Threshold Summary'!$Y:$Y,'Threshold Summary'!$K:$K,""),'Pokemon Editor'!$A:$A,'Pokemon Editor'!$H:$H,0)+31+FLOOR(XLOOKUP($Q894,'Threshold Summary'!$Y:$Y,'Threshold Summary'!$R:$R,"")/4))*XLOOKUP($Q894,'Threshold Summary'!$Y:$Y,'Threshold Summary'!$L:$L,""))/100)+5)*XLOOKUP(XLOOKUP($Q894,'Threshold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Editor'!$E:$E,1))),stab,IF(OR(mtype=XLOOKUP(XLOOKUP($Q894,'Threshold Summary'!$Y:$Y,'Threshold Summary'!$K:$K,""),'Pokemon Editor'!$A:$A,'Pokemon Editor'!$C:$C,""),mtype=XLOOKUP(XLOOKUP($Q894,'Threshold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Chart'!$B$1:$S$1,0)))),base,IF(OR(cat="Status",pow=0),0,FLOOR(FLOOR(FLOOR((2*XLOOKUP($Q894,'Threshold Summary'!$Y:$Y,'Threshold Summary'!$L:$L,"")/5+2)*pow*atk/def)/50)+2)),modifier,stab*eff,AVERAGE(ARRAYFORMULA(FLOOR(base*modifier*SEQUENCE(16,1,85,1)/100)))/(FLOOR(((2*XLOOKUP('Boss Editor'!$C$4,'Pokemon Editor'!$A:$A,'Pokemon Editor'!$E:$E,0)+31+FLOOR('Boss Editor'!$G$4/4))*'Boss Editor'!$D$4)/100)+'Boss Editor'!$D$4+10)),0)</f>
        <v/>
      </c>
      <c r="O894" s="3">
        <f>IF(N894&gt;=1,"OHKO",IF(N894&gt;=0.5,"2HKO",IF(N894&gt;=0.333,"3HKO",IF(N894&gt;=0.25,"4HKO","5HKO+"))))</f>
        <v/>
      </c>
      <c r="P894" s="3" t="inlineStr">
        <is>
          <t>Live from editable databases</t>
        </is>
      </c>
      <c r="Q894" s="3" t="inlineStr">
        <is>
          <t>SPECIES_NYMBLE</t>
        </is>
      </c>
      <c r="R894" s="3" t="n">
        <v>29</v>
      </c>
    </row>
    <row r="895">
      <c r="A895" s="3">
        <f>XLOOKUP($Q895,'Threshold Summary'!$Y:$Y,'Threshold Summary'!$A:$A,"")</f>
        <v/>
      </c>
      <c r="B895" s="3">
        <f>XLOOKUP($Q895,'Threshold Summary'!$Y:$Y,'Threshold Summary'!$M:$M,"")</f>
        <v/>
      </c>
      <c r="C895" s="3">
        <f>XLOOKUP($Q895,'Threshold Summary'!$Y:$Y,'Threshold Summary'!$N:$N,"")</f>
        <v/>
      </c>
      <c r="D895" s="3">
        <f>IFERROR(INDEX(FILTER('Learnset Editor'!$D$2:$D,'Learnset Editor'!$A$2:$A=XLOOKUP($Q895,'Threshold Summary'!$Y:$Y,'Threshold Summary'!$K:$K,""),'Learnset Editor'!$C$2:$C&lt;=XLOOKUP($Q895,'Threshold Summary'!$Y:$Y,'Threshold Summary'!$L:$L,"")),$R895),"")</f>
        <v/>
      </c>
      <c r="E895" s="3">
        <f>XLOOKUP(D895,'Move Editor'!$B:$B,'Move Editor'!$C:$C,"")</f>
        <v/>
      </c>
      <c r="F895" s="3">
        <f>XLOOKUP(D895,'Move Editor'!$B:$B,'Move Editor'!$D:$D,"")</f>
        <v/>
      </c>
      <c r="G895" s="3">
        <f>XLOOKUP(D895,'Move Editor'!$B:$B,'Move Editor'!$E:$E,0)</f>
        <v/>
      </c>
      <c r="H895" s="3">
        <f>XLOOKUP(D895,'Move Editor'!$B:$B,'Move Editor'!$F:$F,0)</f>
        <v/>
      </c>
      <c r="I895" s="3">
        <f>(INDEX('Type Chart'!$B:$S,MATCH(E895,'Type Chart'!$A:$A,0),MATCH(XLOOKUP('Boss Editor'!$C$4,'Pokemon Editor'!$A:$A,'Pokemon Editor'!$C:$C,""),'Type Chart'!$B$1:$S$1,0))*IF(XLOOKUP('Boss Editor'!$C$4,'Pokemon Editor'!$A:$A,'Pokemon Editor'!$D:$D,"")="",1,INDEX('Type Chart'!$B:$S,MATCH(E895,'Type Chart'!$A:$A,0),MATCH(XLOOKUP('Boss Editor'!$C$4,'Pokemon Editor'!$A:$A,'Pokemon Editor'!$D:$D,""),'Type Chart'!$B$1:$S$1,0))))</f>
        <v/>
      </c>
      <c r="J895" s="3">
        <f>IFERROR(LET(mtype,XLOOKUP($D895,'Move Editor'!$B:$B,'Move Editor'!$C:$C,""),cat,XLOOKUP($D895,'Move Editor'!$B:$B,'Move Editor'!$D:$D,""),pow,XLOOKUP($D895,'Move Editor'!$B:$B,'Move Editor'!$E:$E,0),acc,XLOOKUP($D895,'Move Editor'!$B:$B,'Move Editor'!$F:$F,100),atk,IF(cat="Physical",FLOOR((FLOOR(((2*XLOOKUP(XLOOKUP($Q895,'Threshold Summary'!$Y:$Y,'Threshold Summary'!$K:$K,""),'Pokemon Editor'!$A:$A,'Pokemon Editor'!$F:$F,0)+31+FLOOR(XLOOKUP($Q895,'Threshold Summary'!$Y:$Y,'Threshold Summary'!$P:$P,"")/4))*XLOOKUP($Q895,'Threshold Summary'!$Y:$Y,'Threshold Summary'!$L:$L,""))/100)+5)*XLOOKUP(XLOOKUP($Q895,'Threshold Summary'!$Y:$Y,'Threshold Summary'!$M:$M,""),'Nature Editor'!$A:$A,'Nature Editor'!$B:$B,1)),FLOOR((FLOOR(((2*XLOOKUP(XLOOKUP($Q895,'Threshold Summary'!$Y:$Y,'Threshold Summary'!$K:$K,""),'Pokemon Editor'!$A:$A,'Pokemon Editor'!$H:$H,0)+31+FLOOR(XLOOKUP($Q895,'Threshold Summary'!$Y:$Y,'Threshold Summary'!$R:$R,"")/4))*XLOOKUP($Q895,'Threshold Summary'!$Y:$Y,'Threshold Summary'!$L:$L,""))/100)+5)*XLOOKUP(XLOOKUP($Q895,'Threshold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Editor'!$E:$E,1))),stab,IF(OR(mtype=XLOOKUP(XLOOKUP($Q895,'Threshold Summary'!$Y:$Y,'Threshold Summary'!$K:$K,""),'Pokemon Editor'!$A:$A,'Pokemon Editor'!$C:$C,""),mtype=XLOOKUP(XLOOKUP($Q895,'Threshold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Chart'!$B$1:$S$1,0)))),base,IF(OR(cat="Status",pow=0),0,FLOOR(FLOOR(FLOOR((2*XLOOKUP($Q895,'Threshold Summary'!$Y:$Y,'Threshold Summary'!$L:$L,"")/5+2)*pow*atk/def)/50)+2)),modifier,stab*eff,FLOOR(base*modifier*0.85)),0)</f>
        <v/>
      </c>
      <c r="K895" s="3">
        <f>IFERROR(LET(mtype,XLOOKUP($D895,'Move Editor'!$B:$B,'Move Editor'!$C:$C,""),cat,XLOOKUP($D895,'Move Editor'!$B:$B,'Move Editor'!$D:$D,""),pow,XLOOKUP($D895,'Move Editor'!$B:$B,'Move Editor'!$E:$E,0),acc,XLOOKUP($D895,'Move Editor'!$B:$B,'Move Editor'!$F:$F,100),atk,IF(cat="Physical",FLOOR((FLOOR(((2*XLOOKUP(XLOOKUP($Q895,'Threshold Summary'!$Y:$Y,'Threshold Summary'!$K:$K,""),'Pokemon Editor'!$A:$A,'Pokemon Editor'!$F:$F,0)+31+FLOOR(XLOOKUP($Q895,'Threshold Summary'!$Y:$Y,'Threshold Summary'!$P:$P,"")/4))*XLOOKUP($Q895,'Threshold Summary'!$Y:$Y,'Threshold Summary'!$L:$L,""))/100)+5)*XLOOKUP(XLOOKUP($Q895,'Threshold Summary'!$Y:$Y,'Threshold Summary'!$M:$M,""),'Nature Editor'!$A:$A,'Nature Editor'!$B:$B,1)),FLOOR((FLOOR(((2*XLOOKUP(XLOOKUP($Q895,'Threshold Summary'!$Y:$Y,'Threshold Summary'!$K:$K,""),'Pokemon Editor'!$A:$A,'Pokemon Editor'!$H:$H,0)+31+FLOOR(XLOOKUP($Q895,'Threshold Summary'!$Y:$Y,'Threshold Summary'!$R:$R,"")/4))*XLOOKUP($Q895,'Threshold Summary'!$Y:$Y,'Threshold Summary'!$L:$L,""))/100)+5)*XLOOKUP(XLOOKUP($Q895,'Threshold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Editor'!$E:$E,1))),stab,IF(OR(mtype=XLOOKUP(XLOOKUP($Q895,'Threshold Summary'!$Y:$Y,'Threshold Summary'!$K:$K,""),'Pokemon Editor'!$A:$A,'Pokemon Editor'!$C:$C,""),mtype=XLOOKUP(XLOOKUP($Q895,'Threshold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Chart'!$B$1:$S$1,0)))),base,IF(OR(cat="Status",pow=0),0,FLOOR(FLOOR(FLOOR((2*XLOOKUP($Q895,'Threshold Summary'!$Y:$Y,'Threshold Summary'!$L:$L,"")/5+2)*pow*atk/def)/50)+2)),modifier,stab*eff,FLOOR(base*modifier)),0)</f>
        <v/>
      </c>
      <c r="L895" s="3">
        <f>IFERROR(LET(mtype,XLOOKUP($D895,'Move Editor'!$B:$B,'Move Editor'!$C:$C,""),cat,XLOOKUP($D895,'Move Editor'!$B:$B,'Move Editor'!$D:$D,""),pow,XLOOKUP($D895,'Move Editor'!$B:$B,'Move Editor'!$E:$E,0),acc,XLOOKUP($D895,'Move Editor'!$B:$B,'Move Editor'!$F:$F,100),atk,IF(cat="Physical",FLOOR((FLOOR(((2*XLOOKUP(XLOOKUP($Q895,'Threshold Summary'!$Y:$Y,'Threshold Summary'!$K:$K,""),'Pokemon Editor'!$A:$A,'Pokemon Editor'!$F:$F,0)+31+FLOOR(XLOOKUP($Q895,'Threshold Summary'!$Y:$Y,'Threshold Summary'!$P:$P,"")/4))*XLOOKUP($Q895,'Threshold Summary'!$Y:$Y,'Threshold Summary'!$L:$L,""))/100)+5)*XLOOKUP(XLOOKUP($Q895,'Threshold Summary'!$Y:$Y,'Threshold Summary'!$M:$M,""),'Nature Editor'!$A:$A,'Nature Editor'!$B:$B,1)),FLOOR((FLOOR(((2*XLOOKUP(XLOOKUP($Q895,'Threshold Summary'!$Y:$Y,'Threshold Summary'!$K:$K,""),'Pokemon Editor'!$A:$A,'Pokemon Editor'!$H:$H,0)+31+FLOOR(XLOOKUP($Q895,'Threshold Summary'!$Y:$Y,'Threshold Summary'!$R:$R,"")/4))*XLOOKUP($Q895,'Threshold Summary'!$Y:$Y,'Threshold Summary'!$L:$L,""))/100)+5)*XLOOKUP(XLOOKUP($Q895,'Threshold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Editor'!$E:$E,1))),stab,IF(OR(mtype=XLOOKUP(XLOOKUP($Q895,'Threshold Summary'!$Y:$Y,'Threshold Summary'!$K:$K,""),'Pokemon Editor'!$A:$A,'Pokemon Editor'!$C:$C,""),mtype=XLOOKUP(XLOOKUP($Q895,'Threshold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Chart'!$B$1:$S$1,0)))),base,IF(OR(cat="Status",pow=0),0,FLOOR(FLOOR(FLOOR((2*XLOOKUP($Q895,'Threshold Summary'!$Y:$Y,'Threshold Summary'!$L:$L,"")/5+2)*pow*atk/def)/50)+2)),modifier,stab*eff,AVERAGE(ARRAYFORMULA(FLOOR(base*modifier*SEQUENCE(16,1,85,1)/100)))),0)</f>
        <v/>
      </c>
      <c r="M895" s="3">
        <f>IFERROR(LET(mtype,XLOOKUP($D895,'Move Editor'!$B:$B,'Move Editor'!$C:$C,""),cat,XLOOKUP($D895,'Move Editor'!$B:$B,'Move Editor'!$D:$D,""),pow,XLOOKUP($D895,'Move Editor'!$B:$B,'Move Editor'!$E:$E,0),acc,XLOOKUP($D895,'Move Editor'!$B:$B,'Move Editor'!$F:$F,100),atk,IF(cat="Physical",FLOOR((FLOOR(((2*XLOOKUP(XLOOKUP($Q895,'Threshold Summary'!$Y:$Y,'Threshold Summary'!$K:$K,""),'Pokemon Editor'!$A:$A,'Pokemon Editor'!$F:$F,0)+31+FLOOR(XLOOKUP($Q895,'Threshold Summary'!$Y:$Y,'Threshold Summary'!$P:$P,"")/4))*XLOOKUP($Q895,'Threshold Summary'!$Y:$Y,'Threshold Summary'!$L:$L,""))/100)+5)*XLOOKUP(XLOOKUP($Q895,'Threshold Summary'!$Y:$Y,'Threshold Summary'!$M:$M,""),'Nature Editor'!$A:$A,'Nature Editor'!$B:$B,1)),FLOOR((FLOOR(((2*XLOOKUP(XLOOKUP($Q895,'Threshold Summary'!$Y:$Y,'Threshold Summary'!$K:$K,""),'Pokemon Editor'!$A:$A,'Pokemon Editor'!$H:$H,0)+31+FLOOR(XLOOKUP($Q895,'Threshold Summary'!$Y:$Y,'Threshold Summary'!$R:$R,"")/4))*XLOOKUP($Q895,'Threshold Summary'!$Y:$Y,'Threshold Summary'!$L:$L,""))/100)+5)*XLOOKUP(XLOOKUP($Q895,'Threshold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Editor'!$E:$E,1))),stab,IF(OR(mtype=XLOOKUP(XLOOKUP($Q895,'Threshold Summary'!$Y:$Y,'Threshold Summary'!$K:$K,""),'Pokemon Editor'!$A:$A,'Pokemon Editor'!$C:$C,""),mtype=XLOOKUP(XLOOKUP($Q895,'Threshold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Chart'!$B$1:$S$1,0)))),base,IF(OR(cat="Status",pow=0),0,FLOOR(FLOOR(FLOOR((2*XLOOKUP($Q895,'Threshold Summary'!$Y:$Y,'Threshold Summary'!$L:$L,"")/5+2)*pow*atk/def)/50)+2)),modifier,stab*eff,AVERAGE(ARRAYFORMULA(FLOOR(base*modifier*SEQUENCE(16,1,85,1)/100)))*MIN(1,acc/100)),0)</f>
        <v/>
      </c>
      <c r="N895" s="4">
        <f>IFERROR(LET(mtype,XLOOKUP($D895,'Move Editor'!$B:$B,'Move Editor'!$C:$C,""),cat,XLOOKUP($D895,'Move Editor'!$B:$B,'Move Editor'!$D:$D,""),pow,XLOOKUP($D895,'Move Editor'!$B:$B,'Move Editor'!$E:$E,0),acc,XLOOKUP($D895,'Move Editor'!$B:$B,'Move Editor'!$F:$F,100),atk,IF(cat="Physical",FLOOR((FLOOR(((2*XLOOKUP(XLOOKUP($Q895,'Threshold Summary'!$Y:$Y,'Threshold Summary'!$K:$K,""),'Pokemon Editor'!$A:$A,'Pokemon Editor'!$F:$F,0)+31+FLOOR(XLOOKUP($Q895,'Threshold Summary'!$Y:$Y,'Threshold Summary'!$P:$P,"")/4))*XLOOKUP($Q895,'Threshold Summary'!$Y:$Y,'Threshold Summary'!$L:$L,""))/100)+5)*XLOOKUP(XLOOKUP($Q895,'Threshold Summary'!$Y:$Y,'Threshold Summary'!$M:$M,""),'Nature Editor'!$A:$A,'Nature Editor'!$B:$B,1)),FLOOR((FLOOR(((2*XLOOKUP(XLOOKUP($Q895,'Threshold Summary'!$Y:$Y,'Threshold Summary'!$K:$K,""),'Pokemon Editor'!$A:$A,'Pokemon Editor'!$H:$H,0)+31+FLOOR(XLOOKUP($Q895,'Threshold Summary'!$Y:$Y,'Threshold Summary'!$R:$R,"")/4))*XLOOKUP($Q895,'Threshold Summary'!$Y:$Y,'Threshold Summary'!$L:$L,""))/100)+5)*XLOOKUP(XLOOKUP($Q895,'Threshold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Editor'!$E:$E,1))),stab,IF(OR(mtype=XLOOKUP(XLOOKUP($Q895,'Threshold Summary'!$Y:$Y,'Threshold Summary'!$K:$K,""),'Pokemon Editor'!$A:$A,'Pokemon Editor'!$C:$C,""),mtype=XLOOKUP(XLOOKUP($Q895,'Threshold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Chart'!$B$1:$S$1,0)))),base,IF(OR(cat="Status",pow=0),0,FLOOR(FLOOR(FLOOR((2*XLOOKUP($Q895,'Threshold Summary'!$Y:$Y,'Threshold Summary'!$L:$L,"")/5+2)*pow*atk/def)/50)+2)),modifier,stab*eff,AVERAGE(ARRAYFORMULA(FLOOR(base*modifier*SEQUENCE(16,1,85,1)/100)))/(FLOOR(((2*XLOOKUP('Boss Editor'!$C$4,'Pokemon Editor'!$A:$A,'Pokemon Editor'!$E:$E,0)+31+FLOOR('Boss Editor'!$G$4/4))*'Boss Editor'!$D$4)/100)+'Boss Editor'!$D$4+10)),0)</f>
        <v/>
      </c>
      <c r="O895" s="3">
        <f>IF(N895&gt;=1,"OHKO",IF(N895&gt;=0.5,"2HKO",IF(N895&gt;=0.333,"3HKO",IF(N895&gt;=0.25,"4HKO","5HKO+"))))</f>
        <v/>
      </c>
      <c r="P895" s="3" t="inlineStr">
        <is>
          <t>Live from editable databases</t>
        </is>
      </c>
      <c r="Q895" s="3" t="inlineStr">
        <is>
          <t>SPECIES_NYMBLE</t>
        </is>
      </c>
      <c r="R895" s="3" t="n">
        <v>30</v>
      </c>
    </row>
    <row r="896">
      <c r="A896" s="3">
        <f>XLOOKUP($Q896,'Threshold Summary'!$Y:$Y,'Threshold Summary'!$A:$A,"")</f>
        <v/>
      </c>
      <c r="B896" s="3">
        <f>XLOOKUP($Q896,'Threshold Summary'!$Y:$Y,'Threshold Summary'!$M:$M,"")</f>
        <v/>
      </c>
      <c r="C896" s="3">
        <f>XLOOKUP($Q896,'Threshold Summary'!$Y:$Y,'Threshold Summary'!$N:$N,"")</f>
        <v/>
      </c>
      <c r="D896" s="3">
        <f>IFERROR(INDEX(FILTER('Learnset Editor'!$D$2:$D,'Learnset Editor'!$A$2:$A=XLOOKUP($Q896,'Threshold Summary'!$Y:$Y,'Threshold Summary'!$K:$K,""),'Learnset Editor'!$C$2:$C&lt;=XLOOKUP($Q896,'Threshold Summary'!$Y:$Y,'Threshold Summary'!$L:$L,"")),$R896),"")</f>
        <v/>
      </c>
      <c r="E896" s="3">
        <f>XLOOKUP(D896,'Move Editor'!$B:$B,'Move Editor'!$C:$C,"")</f>
        <v/>
      </c>
      <c r="F896" s="3">
        <f>XLOOKUP(D896,'Move Editor'!$B:$B,'Move Editor'!$D:$D,"")</f>
        <v/>
      </c>
      <c r="G896" s="3">
        <f>XLOOKUP(D896,'Move Editor'!$B:$B,'Move Editor'!$E:$E,0)</f>
        <v/>
      </c>
      <c r="H896" s="3">
        <f>XLOOKUP(D896,'Move Editor'!$B:$B,'Move Editor'!$F:$F,0)</f>
        <v/>
      </c>
      <c r="I896" s="3">
        <f>(INDEX('Type Chart'!$B:$S,MATCH(E896,'Type Chart'!$A:$A,0),MATCH(XLOOKUP('Boss Editor'!$C$4,'Pokemon Editor'!$A:$A,'Pokemon Editor'!$C:$C,""),'Type Chart'!$B$1:$S$1,0))*IF(XLOOKUP('Boss Editor'!$C$4,'Pokemon Editor'!$A:$A,'Pokemon Editor'!$D:$D,"")="",1,INDEX('Type Chart'!$B:$S,MATCH(E896,'Type Chart'!$A:$A,0),MATCH(XLOOKUP('Boss Editor'!$C$4,'Pokemon Editor'!$A:$A,'Pokemon Editor'!$D:$D,""),'Type Chart'!$B$1:$S$1,0))))</f>
        <v/>
      </c>
      <c r="J896" s="3">
        <f>IFERROR(LET(mtype,XLOOKUP($D896,'Move Editor'!$B:$B,'Move Editor'!$C:$C,""),cat,XLOOKUP($D896,'Move Editor'!$B:$B,'Move Editor'!$D:$D,""),pow,XLOOKUP($D896,'Move Editor'!$B:$B,'Move Editor'!$E:$E,0),acc,XLOOKUP($D896,'Move Editor'!$B:$B,'Move Editor'!$F:$F,100),atk,IF(cat="Physical",FLOOR((FLOOR(((2*XLOOKUP(XLOOKUP($Q896,'Threshold Summary'!$Y:$Y,'Threshold Summary'!$K:$K,""),'Pokemon Editor'!$A:$A,'Pokemon Editor'!$F:$F,0)+31+FLOOR(XLOOKUP($Q896,'Threshold Summary'!$Y:$Y,'Threshold Summary'!$P:$P,"")/4))*XLOOKUP($Q896,'Threshold Summary'!$Y:$Y,'Threshold Summary'!$L:$L,""))/100)+5)*XLOOKUP(XLOOKUP($Q896,'Threshold Summary'!$Y:$Y,'Threshold Summary'!$M:$M,""),'Nature Editor'!$A:$A,'Nature Editor'!$B:$B,1)),FLOOR((FLOOR(((2*XLOOKUP(XLOOKUP($Q896,'Threshold Summary'!$Y:$Y,'Threshold Summary'!$K:$K,""),'Pokemon Editor'!$A:$A,'Pokemon Editor'!$H:$H,0)+31+FLOOR(XLOOKUP($Q896,'Threshold Summary'!$Y:$Y,'Threshold Summary'!$R:$R,"")/4))*XLOOKUP($Q896,'Threshold Summary'!$Y:$Y,'Threshold Summary'!$L:$L,""))/100)+5)*XLOOKUP(XLOOKUP($Q896,'Threshold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Editor'!$E:$E,1))),stab,IF(OR(mtype=XLOOKUP(XLOOKUP($Q896,'Threshold Summary'!$Y:$Y,'Threshold Summary'!$K:$K,""),'Pokemon Editor'!$A:$A,'Pokemon Editor'!$C:$C,""),mtype=XLOOKUP(XLOOKUP($Q896,'Threshold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Chart'!$B$1:$S$1,0)))),base,IF(OR(cat="Status",pow=0),0,FLOOR(FLOOR(FLOOR((2*XLOOKUP($Q896,'Threshold Summary'!$Y:$Y,'Threshold Summary'!$L:$L,"")/5+2)*pow*atk/def)/50)+2)),modifier,stab*eff,FLOOR(base*modifier*0.85)),0)</f>
        <v/>
      </c>
      <c r="K896" s="3">
        <f>IFERROR(LET(mtype,XLOOKUP($D896,'Move Editor'!$B:$B,'Move Editor'!$C:$C,""),cat,XLOOKUP($D896,'Move Editor'!$B:$B,'Move Editor'!$D:$D,""),pow,XLOOKUP($D896,'Move Editor'!$B:$B,'Move Editor'!$E:$E,0),acc,XLOOKUP($D896,'Move Editor'!$B:$B,'Move Editor'!$F:$F,100),atk,IF(cat="Physical",FLOOR((FLOOR(((2*XLOOKUP(XLOOKUP($Q896,'Threshold Summary'!$Y:$Y,'Threshold Summary'!$K:$K,""),'Pokemon Editor'!$A:$A,'Pokemon Editor'!$F:$F,0)+31+FLOOR(XLOOKUP($Q896,'Threshold Summary'!$Y:$Y,'Threshold Summary'!$P:$P,"")/4))*XLOOKUP($Q896,'Threshold Summary'!$Y:$Y,'Threshold Summary'!$L:$L,""))/100)+5)*XLOOKUP(XLOOKUP($Q896,'Threshold Summary'!$Y:$Y,'Threshold Summary'!$M:$M,""),'Nature Editor'!$A:$A,'Nature Editor'!$B:$B,1)),FLOOR((FLOOR(((2*XLOOKUP(XLOOKUP($Q896,'Threshold Summary'!$Y:$Y,'Threshold Summary'!$K:$K,""),'Pokemon Editor'!$A:$A,'Pokemon Editor'!$H:$H,0)+31+FLOOR(XLOOKUP($Q896,'Threshold Summary'!$Y:$Y,'Threshold Summary'!$R:$R,"")/4))*XLOOKUP($Q896,'Threshold Summary'!$Y:$Y,'Threshold Summary'!$L:$L,""))/100)+5)*XLOOKUP(XLOOKUP($Q896,'Threshold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Editor'!$E:$E,1))),stab,IF(OR(mtype=XLOOKUP(XLOOKUP($Q896,'Threshold Summary'!$Y:$Y,'Threshold Summary'!$K:$K,""),'Pokemon Editor'!$A:$A,'Pokemon Editor'!$C:$C,""),mtype=XLOOKUP(XLOOKUP($Q896,'Threshold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Chart'!$B$1:$S$1,0)))),base,IF(OR(cat="Status",pow=0),0,FLOOR(FLOOR(FLOOR((2*XLOOKUP($Q896,'Threshold Summary'!$Y:$Y,'Threshold Summary'!$L:$L,"")/5+2)*pow*atk/def)/50)+2)),modifier,stab*eff,FLOOR(base*modifier)),0)</f>
        <v/>
      </c>
      <c r="L896" s="3">
        <f>IFERROR(LET(mtype,XLOOKUP($D896,'Move Editor'!$B:$B,'Move Editor'!$C:$C,""),cat,XLOOKUP($D896,'Move Editor'!$B:$B,'Move Editor'!$D:$D,""),pow,XLOOKUP($D896,'Move Editor'!$B:$B,'Move Editor'!$E:$E,0),acc,XLOOKUP($D896,'Move Editor'!$B:$B,'Move Editor'!$F:$F,100),atk,IF(cat="Physical",FLOOR((FLOOR(((2*XLOOKUP(XLOOKUP($Q896,'Threshold Summary'!$Y:$Y,'Threshold Summary'!$K:$K,""),'Pokemon Editor'!$A:$A,'Pokemon Editor'!$F:$F,0)+31+FLOOR(XLOOKUP($Q896,'Threshold Summary'!$Y:$Y,'Threshold Summary'!$P:$P,"")/4))*XLOOKUP($Q896,'Threshold Summary'!$Y:$Y,'Threshold Summary'!$L:$L,""))/100)+5)*XLOOKUP(XLOOKUP($Q896,'Threshold Summary'!$Y:$Y,'Threshold Summary'!$M:$M,""),'Nature Editor'!$A:$A,'Nature Editor'!$B:$B,1)),FLOOR((FLOOR(((2*XLOOKUP(XLOOKUP($Q896,'Threshold Summary'!$Y:$Y,'Threshold Summary'!$K:$K,""),'Pokemon Editor'!$A:$A,'Pokemon Editor'!$H:$H,0)+31+FLOOR(XLOOKUP($Q896,'Threshold Summary'!$Y:$Y,'Threshold Summary'!$R:$R,"")/4))*XLOOKUP($Q896,'Threshold Summary'!$Y:$Y,'Threshold Summary'!$L:$L,""))/100)+5)*XLOOKUP(XLOOKUP($Q896,'Threshold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Editor'!$E:$E,1))),stab,IF(OR(mtype=XLOOKUP(XLOOKUP($Q896,'Threshold Summary'!$Y:$Y,'Threshold Summary'!$K:$K,""),'Pokemon Editor'!$A:$A,'Pokemon Editor'!$C:$C,""),mtype=XLOOKUP(XLOOKUP($Q896,'Threshold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Chart'!$B$1:$S$1,0)))),base,IF(OR(cat="Status",pow=0),0,FLOOR(FLOOR(FLOOR((2*XLOOKUP($Q896,'Threshold Summary'!$Y:$Y,'Threshold Summary'!$L:$L,"")/5+2)*pow*atk/def)/50)+2)),modifier,stab*eff,AVERAGE(ARRAYFORMULA(FLOOR(base*modifier*SEQUENCE(16,1,85,1)/100)))),0)</f>
        <v/>
      </c>
      <c r="M896" s="3">
        <f>IFERROR(LET(mtype,XLOOKUP($D896,'Move Editor'!$B:$B,'Move Editor'!$C:$C,""),cat,XLOOKUP($D896,'Move Editor'!$B:$B,'Move Editor'!$D:$D,""),pow,XLOOKUP($D896,'Move Editor'!$B:$B,'Move Editor'!$E:$E,0),acc,XLOOKUP($D896,'Move Editor'!$B:$B,'Move Editor'!$F:$F,100),atk,IF(cat="Physical",FLOOR((FLOOR(((2*XLOOKUP(XLOOKUP($Q896,'Threshold Summary'!$Y:$Y,'Threshold Summary'!$K:$K,""),'Pokemon Editor'!$A:$A,'Pokemon Editor'!$F:$F,0)+31+FLOOR(XLOOKUP($Q896,'Threshold Summary'!$Y:$Y,'Threshold Summary'!$P:$P,"")/4))*XLOOKUP($Q896,'Threshold Summary'!$Y:$Y,'Threshold Summary'!$L:$L,""))/100)+5)*XLOOKUP(XLOOKUP($Q896,'Threshold Summary'!$Y:$Y,'Threshold Summary'!$M:$M,""),'Nature Editor'!$A:$A,'Nature Editor'!$B:$B,1)),FLOOR((FLOOR(((2*XLOOKUP(XLOOKUP($Q896,'Threshold Summary'!$Y:$Y,'Threshold Summary'!$K:$K,""),'Pokemon Editor'!$A:$A,'Pokemon Editor'!$H:$H,0)+31+FLOOR(XLOOKUP($Q896,'Threshold Summary'!$Y:$Y,'Threshold Summary'!$R:$R,"")/4))*XLOOKUP($Q896,'Threshold Summary'!$Y:$Y,'Threshold Summary'!$L:$L,""))/100)+5)*XLOOKUP(XLOOKUP($Q896,'Threshold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Editor'!$E:$E,1))),stab,IF(OR(mtype=XLOOKUP(XLOOKUP($Q896,'Threshold Summary'!$Y:$Y,'Threshold Summary'!$K:$K,""),'Pokemon Editor'!$A:$A,'Pokemon Editor'!$C:$C,""),mtype=XLOOKUP(XLOOKUP($Q896,'Threshold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Chart'!$B$1:$S$1,0)))),base,IF(OR(cat="Status",pow=0),0,FLOOR(FLOOR(FLOOR((2*XLOOKUP($Q896,'Threshold Summary'!$Y:$Y,'Threshold Summary'!$L:$L,"")/5+2)*pow*atk/def)/50)+2)),modifier,stab*eff,AVERAGE(ARRAYFORMULA(FLOOR(base*modifier*SEQUENCE(16,1,85,1)/100)))*MIN(1,acc/100)),0)</f>
        <v/>
      </c>
      <c r="N896" s="4">
        <f>IFERROR(LET(mtype,XLOOKUP($D896,'Move Editor'!$B:$B,'Move Editor'!$C:$C,""),cat,XLOOKUP($D896,'Move Editor'!$B:$B,'Move Editor'!$D:$D,""),pow,XLOOKUP($D896,'Move Editor'!$B:$B,'Move Editor'!$E:$E,0),acc,XLOOKUP($D896,'Move Editor'!$B:$B,'Move Editor'!$F:$F,100),atk,IF(cat="Physical",FLOOR((FLOOR(((2*XLOOKUP(XLOOKUP($Q896,'Threshold Summary'!$Y:$Y,'Threshold Summary'!$K:$K,""),'Pokemon Editor'!$A:$A,'Pokemon Editor'!$F:$F,0)+31+FLOOR(XLOOKUP($Q896,'Threshold Summary'!$Y:$Y,'Threshold Summary'!$P:$P,"")/4))*XLOOKUP($Q896,'Threshold Summary'!$Y:$Y,'Threshold Summary'!$L:$L,""))/100)+5)*XLOOKUP(XLOOKUP($Q896,'Threshold Summary'!$Y:$Y,'Threshold Summary'!$M:$M,""),'Nature Editor'!$A:$A,'Nature Editor'!$B:$B,1)),FLOOR((FLOOR(((2*XLOOKUP(XLOOKUP($Q896,'Threshold Summary'!$Y:$Y,'Threshold Summary'!$K:$K,""),'Pokemon Editor'!$A:$A,'Pokemon Editor'!$H:$H,0)+31+FLOOR(XLOOKUP($Q896,'Threshold Summary'!$Y:$Y,'Threshold Summary'!$R:$R,"")/4))*XLOOKUP($Q896,'Threshold Summary'!$Y:$Y,'Threshold Summary'!$L:$L,""))/100)+5)*XLOOKUP(XLOOKUP($Q896,'Threshold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Editor'!$E:$E,1))),stab,IF(OR(mtype=XLOOKUP(XLOOKUP($Q896,'Threshold Summary'!$Y:$Y,'Threshold Summary'!$K:$K,""),'Pokemon Editor'!$A:$A,'Pokemon Editor'!$C:$C,""),mtype=XLOOKUP(XLOOKUP($Q896,'Threshold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Chart'!$B$1:$S$1,0)))),base,IF(OR(cat="Status",pow=0),0,FLOOR(FLOOR(FLOOR((2*XLOOKUP($Q896,'Threshold Summary'!$Y:$Y,'Threshold Summary'!$L:$L,"")/5+2)*pow*atk/def)/50)+2)),modifier,stab*eff,AVERAGE(ARRAYFORMULA(FLOOR(base*modifier*SEQUENCE(16,1,85,1)/100)))/(FLOOR(((2*XLOOKUP('Boss Editor'!$C$4,'Pokemon Editor'!$A:$A,'Pokemon Editor'!$E:$E,0)+31+FLOOR('Boss Editor'!$G$4/4))*'Boss Editor'!$D$4)/100)+'Boss Editor'!$D$4+10)),0)</f>
        <v/>
      </c>
      <c r="O896" s="3">
        <f>IF(N896&gt;=1,"OHKO",IF(N896&gt;=0.5,"2HKO",IF(N896&gt;=0.333,"3HKO",IF(N896&gt;=0.25,"4HKO","5HKO+"))))</f>
        <v/>
      </c>
      <c r="P896" s="3" t="inlineStr">
        <is>
          <t>Live from editable databases</t>
        </is>
      </c>
      <c r="Q896" s="3" t="inlineStr">
        <is>
          <t>SPECIES_NYMBLE</t>
        </is>
      </c>
      <c r="R896" s="3" t="n">
        <v>31</v>
      </c>
    </row>
    <row r="897">
      <c r="A897" s="3">
        <f>XLOOKUP($Q897,'Threshold Summary'!$Y:$Y,'Threshold Summary'!$A:$A,"")</f>
        <v/>
      </c>
      <c r="B897" s="3">
        <f>XLOOKUP($Q897,'Threshold Summary'!$Y:$Y,'Threshold Summary'!$M:$M,"")</f>
        <v/>
      </c>
      <c r="C897" s="3">
        <f>XLOOKUP($Q897,'Threshold Summary'!$Y:$Y,'Threshold Summary'!$N:$N,"")</f>
        <v/>
      </c>
      <c r="D897" s="3">
        <f>IFERROR(INDEX(FILTER('Learnset Editor'!$D$2:$D,'Learnset Editor'!$A$2:$A=XLOOKUP($Q897,'Threshold Summary'!$Y:$Y,'Threshold Summary'!$K:$K,""),'Learnset Editor'!$C$2:$C&lt;=XLOOKUP($Q897,'Threshold Summary'!$Y:$Y,'Threshold Summary'!$L:$L,"")),$R897),"")</f>
        <v/>
      </c>
      <c r="E897" s="3">
        <f>XLOOKUP(D897,'Move Editor'!$B:$B,'Move Editor'!$C:$C,"")</f>
        <v/>
      </c>
      <c r="F897" s="3">
        <f>XLOOKUP(D897,'Move Editor'!$B:$B,'Move Editor'!$D:$D,"")</f>
        <v/>
      </c>
      <c r="G897" s="3">
        <f>XLOOKUP(D897,'Move Editor'!$B:$B,'Move Editor'!$E:$E,0)</f>
        <v/>
      </c>
      <c r="H897" s="3">
        <f>XLOOKUP(D897,'Move Editor'!$B:$B,'Move Editor'!$F:$F,0)</f>
        <v/>
      </c>
      <c r="I897" s="3">
        <f>(INDEX('Type Chart'!$B:$S,MATCH(E897,'Type Chart'!$A:$A,0),MATCH(XLOOKUP('Boss Editor'!$C$4,'Pokemon Editor'!$A:$A,'Pokemon Editor'!$C:$C,""),'Type Chart'!$B$1:$S$1,0))*IF(XLOOKUP('Boss Editor'!$C$4,'Pokemon Editor'!$A:$A,'Pokemon Editor'!$D:$D,"")="",1,INDEX('Type Chart'!$B:$S,MATCH(E897,'Type Chart'!$A:$A,0),MATCH(XLOOKUP('Boss Editor'!$C$4,'Pokemon Editor'!$A:$A,'Pokemon Editor'!$D:$D,""),'Type Chart'!$B$1:$S$1,0))))</f>
        <v/>
      </c>
      <c r="J897" s="3">
        <f>IFERROR(LET(mtype,XLOOKUP($D897,'Move Editor'!$B:$B,'Move Editor'!$C:$C,""),cat,XLOOKUP($D897,'Move Editor'!$B:$B,'Move Editor'!$D:$D,""),pow,XLOOKUP($D897,'Move Editor'!$B:$B,'Move Editor'!$E:$E,0),acc,XLOOKUP($D897,'Move Editor'!$B:$B,'Move Editor'!$F:$F,100),atk,IF(cat="Physical",FLOOR((FLOOR(((2*XLOOKUP(XLOOKUP($Q897,'Threshold Summary'!$Y:$Y,'Threshold Summary'!$K:$K,""),'Pokemon Editor'!$A:$A,'Pokemon Editor'!$F:$F,0)+31+FLOOR(XLOOKUP($Q897,'Threshold Summary'!$Y:$Y,'Threshold Summary'!$P:$P,"")/4))*XLOOKUP($Q897,'Threshold Summary'!$Y:$Y,'Threshold Summary'!$L:$L,""))/100)+5)*XLOOKUP(XLOOKUP($Q897,'Threshold Summary'!$Y:$Y,'Threshold Summary'!$M:$M,""),'Nature Editor'!$A:$A,'Nature Editor'!$B:$B,1)),FLOOR((FLOOR(((2*XLOOKUP(XLOOKUP($Q897,'Threshold Summary'!$Y:$Y,'Threshold Summary'!$K:$K,""),'Pokemon Editor'!$A:$A,'Pokemon Editor'!$H:$H,0)+31+FLOOR(XLOOKUP($Q897,'Threshold Summary'!$Y:$Y,'Threshold Summary'!$R:$R,"")/4))*XLOOKUP($Q897,'Threshold Summary'!$Y:$Y,'Threshold Summary'!$L:$L,""))/100)+5)*XLOOKUP(XLOOKUP($Q897,'Threshold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Editor'!$E:$E,1))),stab,IF(OR(mtype=XLOOKUP(XLOOKUP($Q897,'Threshold Summary'!$Y:$Y,'Threshold Summary'!$K:$K,""),'Pokemon Editor'!$A:$A,'Pokemon Editor'!$C:$C,""),mtype=XLOOKUP(XLOOKUP($Q897,'Threshold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Chart'!$B$1:$S$1,0)))),base,IF(OR(cat="Status",pow=0),0,FLOOR(FLOOR(FLOOR((2*XLOOKUP($Q897,'Threshold Summary'!$Y:$Y,'Threshold Summary'!$L:$L,"")/5+2)*pow*atk/def)/50)+2)),modifier,stab*eff,FLOOR(base*modifier*0.85)),0)</f>
        <v/>
      </c>
      <c r="K897" s="3">
        <f>IFERROR(LET(mtype,XLOOKUP($D897,'Move Editor'!$B:$B,'Move Editor'!$C:$C,""),cat,XLOOKUP($D897,'Move Editor'!$B:$B,'Move Editor'!$D:$D,""),pow,XLOOKUP($D897,'Move Editor'!$B:$B,'Move Editor'!$E:$E,0),acc,XLOOKUP($D897,'Move Editor'!$B:$B,'Move Editor'!$F:$F,100),atk,IF(cat="Physical",FLOOR((FLOOR(((2*XLOOKUP(XLOOKUP($Q897,'Threshold Summary'!$Y:$Y,'Threshold Summary'!$K:$K,""),'Pokemon Editor'!$A:$A,'Pokemon Editor'!$F:$F,0)+31+FLOOR(XLOOKUP($Q897,'Threshold Summary'!$Y:$Y,'Threshold Summary'!$P:$P,"")/4))*XLOOKUP($Q897,'Threshold Summary'!$Y:$Y,'Threshold Summary'!$L:$L,""))/100)+5)*XLOOKUP(XLOOKUP($Q897,'Threshold Summary'!$Y:$Y,'Threshold Summary'!$M:$M,""),'Nature Editor'!$A:$A,'Nature Editor'!$B:$B,1)),FLOOR((FLOOR(((2*XLOOKUP(XLOOKUP($Q897,'Threshold Summary'!$Y:$Y,'Threshold Summary'!$K:$K,""),'Pokemon Editor'!$A:$A,'Pokemon Editor'!$H:$H,0)+31+FLOOR(XLOOKUP($Q897,'Threshold Summary'!$Y:$Y,'Threshold Summary'!$R:$R,"")/4))*XLOOKUP($Q897,'Threshold Summary'!$Y:$Y,'Threshold Summary'!$L:$L,""))/100)+5)*XLOOKUP(XLOOKUP($Q897,'Threshold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Editor'!$E:$E,1))),stab,IF(OR(mtype=XLOOKUP(XLOOKUP($Q897,'Threshold Summary'!$Y:$Y,'Threshold Summary'!$K:$K,""),'Pokemon Editor'!$A:$A,'Pokemon Editor'!$C:$C,""),mtype=XLOOKUP(XLOOKUP($Q897,'Threshold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Chart'!$B$1:$S$1,0)))),base,IF(OR(cat="Status",pow=0),0,FLOOR(FLOOR(FLOOR((2*XLOOKUP($Q897,'Threshold Summary'!$Y:$Y,'Threshold Summary'!$L:$L,"")/5+2)*pow*atk/def)/50)+2)),modifier,stab*eff,FLOOR(base*modifier)),0)</f>
        <v/>
      </c>
      <c r="L897" s="3">
        <f>IFERROR(LET(mtype,XLOOKUP($D897,'Move Editor'!$B:$B,'Move Editor'!$C:$C,""),cat,XLOOKUP($D897,'Move Editor'!$B:$B,'Move Editor'!$D:$D,""),pow,XLOOKUP($D897,'Move Editor'!$B:$B,'Move Editor'!$E:$E,0),acc,XLOOKUP($D897,'Move Editor'!$B:$B,'Move Editor'!$F:$F,100),atk,IF(cat="Physical",FLOOR((FLOOR(((2*XLOOKUP(XLOOKUP($Q897,'Threshold Summary'!$Y:$Y,'Threshold Summary'!$K:$K,""),'Pokemon Editor'!$A:$A,'Pokemon Editor'!$F:$F,0)+31+FLOOR(XLOOKUP($Q897,'Threshold Summary'!$Y:$Y,'Threshold Summary'!$P:$P,"")/4))*XLOOKUP($Q897,'Threshold Summary'!$Y:$Y,'Threshold Summary'!$L:$L,""))/100)+5)*XLOOKUP(XLOOKUP($Q897,'Threshold Summary'!$Y:$Y,'Threshold Summary'!$M:$M,""),'Nature Editor'!$A:$A,'Nature Editor'!$B:$B,1)),FLOOR((FLOOR(((2*XLOOKUP(XLOOKUP($Q897,'Threshold Summary'!$Y:$Y,'Threshold Summary'!$K:$K,""),'Pokemon Editor'!$A:$A,'Pokemon Editor'!$H:$H,0)+31+FLOOR(XLOOKUP($Q897,'Threshold Summary'!$Y:$Y,'Threshold Summary'!$R:$R,"")/4))*XLOOKUP($Q897,'Threshold Summary'!$Y:$Y,'Threshold Summary'!$L:$L,""))/100)+5)*XLOOKUP(XLOOKUP($Q897,'Threshold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Editor'!$E:$E,1))),stab,IF(OR(mtype=XLOOKUP(XLOOKUP($Q897,'Threshold Summary'!$Y:$Y,'Threshold Summary'!$K:$K,""),'Pokemon Editor'!$A:$A,'Pokemon Editor'!$C:$C,""),mtype=XLOOKUP(XLOOKUP($Q897,'Threshold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Chart'!$B$1:$S$1,0)))),base,IF(OR(cat="Status",pow=0),0,FLOOR(FLOOR(FLOOR((2*XLOOKUP($Q897,'Threshold Summary'!$Y:$Y,'Threshold Summary'!$L:$L,"")/5+2)*pow*atk/def)/50)+2)),modifier,stab*eff,AVERAGE(ARRAYFORMULA(FLOOR(base*modifier*SEQUENCE(16,1,85,1)/100)))),0)</f>
        <v/>
      </c>
      <c r="M897" s="3">
        <f>IFERROR(LET(mtype,XLOOKUP($D897,'Move Editor'!$B:$B,'Move Editor'!$C:$C,""),cat,XLOOKUP($D897,'Move Editor'!$B:$B,'Move Editor'!$D:$D,""),pow,XLOOKUP($D897,'Move Editor'!$B:$B,'Move Editor'!$E:$E,0),acc,XLOOKUP($D897,'Move Editor'!$B:$B,'Move Editor'!$F:$F,100),atk,IF(cat="Physical",FLOOR((FLOOR(((2*XLOOKUP(XLOOKUP($Q897,'Threshold Summary'!$Y:$Y,'Threshold Summary'!$K:$K,""),'Pokemon Editor'!$A:$A,'Pokemon Editor'!$F:$F,0)+31+FLOOR(XLOOKUP($Q897,'Threshold Summary'!$Y:$Y,'Threshold Summary'!$P:$P,"")/4))*XLOOKUP($Q897,'Threshold Summary'!$Y:$Y,'Threshold Summary'!$L:$L,""))/100)+5)*XLOOKUP(XLOOKUP($Q897,'Threshold Summary'!$Y:$Y,'Threshold Summary'!$M:$M,""),'Nature Editor'!$A:$A,'Nature Editor'!$B:$B,1)),FLOOR((FLOOR(((2*XLOOKUP(XLOOKUP($Q897,'Threshold Summary'!$Y:$Y,'Threshold Summary'!$K:$K,""),'Pokemon Editor'!$A:$A,'Pokemon Editor'!$H:$H,0)+31+FLOOR(XLOOKUP($Q897,'Threshold Summary'!$Y:$Y,'Threshold Summary'!$R:$R,"")/4))*XLOOKUP($Q897,'Threshold Summary'!$Y:$Y,'Threshold Summary'!$L:$L,""))/100)+5)*XLOOKUP(XLOOKUP($Q897,'Threshold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Editor'!$E:$E,1))),stab,IF(OR(mtype=XLOOKUP(XLOOKUP($Q897,'Threshold Summary'!$Y:$Y,'Threshold Summary'!$K:$K,""),'Pokemon Editor'!$A:$A,'Pokemon Editor'!$C:$C,""),mtype=XLOOKUP(XLOOKUP($Q897,'Threshold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Chart'!$B$1:$S$1,0)))),base,IF(OR(cat="Status",pow=0),0,FLOOR(FLOOR(FLOOR((2*XLOOKUP($Q897,'Threshold Summary'!$Y:$Y,'Threshold Summary'!$L:$L,"")/5+2)*pow*atk/def)/50)+2)),modifier,stab*eff,AVERAGE(ARRAYFORMULA(FLOOR(base*modifier*SEQUENCE(16,1,85,1)/100)))*MIN(1,acc/100)),0)</f>
        <v/>
      </c>
      <c r="N897" s="4">
        <f>IFERROR(LET(mtype,XLOOKUP($D897,'Move Editor'!$B:$B,'Move Editor'!$C:$C,""),cat,XLOOKUP($D897,'Move Editor'!$B:$B,'Move Editor'!$D:$D,""),pow,XLOOKUP($D897,'Move Editor'!$B:$B,'Move Editor'!$E:$E,0),acc,XLOOKUP($D897,'Move Editor'!$B:$B,'Move Editor'!$F:$F,100),atk,IF(cat="Physical",FLOOR((FLOOR(((2*XLOOKUP(XLOOKUP($Q897,'Threshold Summary'!$Y:$Y,'Threshold Summary'!$K:$K,""),'Pokemon Editor'!$A:$A,'Pokemon Editor'!$F:$F,0)+31+FLOOR(XLOOKUP($Q897,'Threshold Summary'!$Y:$Y,'Threshold Summary'!$P:$P,"")/4))*XLOOKUP($Q897,'Threshold Summary'!$Y:$Y,'Threshold Summary'!$L:$L,""))/100)+5)*XLOOKUP(XLOOKUP($Q897,'Threshold Summary'!$Y:$Y,'Threshold Summary'!$M:$M,""),'Nature Editor'!$A:$A,'Nature Editor'!$B:$B,1)),FLOOR((FLOOR(((2*XLOOKUP(XLOOKUP($Q897,'Threshold Summary'!$Y:$Y,'Threshold Summary'!$K:$K,""),'Pokemon Editor'!$A:$A,'Pokemon Editor'!$H:$H,0)+31+FLOOR(XLOOKUP($Q897,'Threshold Summary'!$Y:$Y,'Threshold Summary'!$R:$R,"")/4))*XLOOKUP($Q897,'Threshold Summary'!$Y:$Y,'Threshold Summary'!$L:$L,""))/100)+5)*XLOOKUP(XLOOKUP($Q897,'Threshold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Editor'!$E:$E,1))),stab,IF(OR(mtype=XLOOKUP(XLOOKUP($Q897,'Threshold Summary'!$Y:$Y,'Threshold Summary'!$K:$K,""),'Pokemon Editor'!$A:$A,'Pokemon Editor'!$C:$C,""),mtype=XLOOKUP(XLOOKUP($Q897,'Threshold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Chart'!$B$1:$S$1,0)))),base,IF(OR(cat="Status",pow=0),0,FLOOR(FLOOR(FLOOR((2*XLOOKUP($Q897,'Threshold Summary'!$Y:$Y,'Threshold Summary'!$L:$L,"")/5+2)*pow*atk/def)/50)+2)),modifier,stab*eff,AVERAGE(ARRAYFORMULA(FLOOR(base*modifier*SEQUENCE(16,1,85,1)/100)))/(FLOOR(((2*XLOOKUP('Boss Editor'!$C$4,'Pokemon Editor'!$A:$A,'Pokemon Editor'!$E:$E,0)+31+FLOOR('Boss Editor'!$G$4/4))*'Boss Editor'!$D$4)/100)+'Boss Editor'!$D$4+10)),0)</f>
        <v/>
      </c>
      <c r="O897" s="3">
        <f>IF(N897&gt;=1,"OHKO",IF(N897&gt;=0.5,"2HKO",IF(N897&gt;=0.333,"3HKO",IF(N897&gt;=0.25,"4HKO","5HKO+"))))</f>
        <v/>
      </c>
      <c r="P897" s="3" t="inlineStr">
        <is>
          <t>Live from editable databases</t>
        </is>
      </c>
      <c r="Q897" s="3" t="inlineStr">
        <is>
          <t>SPECIES_NYMBLE</t>
        </is>
      </c>
      <c r="R897" s="3" t="n">
        <v>32</v>
      </c>
    </row>
    <row r="898">
      <c r="A898" s="3">
        <f>XLOOKUP($Q898,'Threshold Summary'!$Y:$Y,'Threshold Summary'!$A:$A,"")</f>
        <v/>
      </c>
      <c r="B898" s="3">
        <f>XLOOKUP($Q898,'Threshold Summary'!$Y:$Y,'Threshold Summary'!$M:$M,"")</f>
        <v/>
      </c>
      <c r="C898" s="3">
        <f>XLOOKUP($Q898,'Threshold Summary'!$Y:$Y,'Threshold Summary'!$N:$N,"")</f>
        <v/>
      </c>
      <c r="D898" s="3">
        <f>IFERROR(INDEX(FILTER('Learnset Editor'!$D$2:$D,'Learnset Editor'!$A$2:$A=XLOOKUP($Q898,'Threshold Summary'!$Y:$Y,'Threshold Summary'!$K:$K,""),'Learnset Editor'!$C$2:$C&lt;=XLOOKUP($Q898,'Threshold Summary'!$Y:$Y,'Threshold Summary'!$L:$L,"")),$R898),"")</f>
        <v/>
      </c>
      <c r="E898" s="3">
        <f>XLOOKUP(D898,'Move Editor'!$B:$B,'Move Editor'!$C:$C,"")</f>
        <v/>
      </c>
      <c r="F898" s="3">
        <f>XLOOKUP(D898,'Move Editor'!$B:$B,'Move Editor'!$D:$D,"")</f>
        <v/>
      </c>
      <c r="G898" s="3">
        <f>XLOOKUP(D898,'Move Editor'!$B:$B,'Move Editor'!$E:$E,0)</f>
        <v/>
      </c>
      <c r="H898" s="3">
        <f>XLOOKUP(D898,'Move Editor'!$B:$B,'Move Editor'!$F:$F,0)</f>
        <v/>
      </c>
      <c r="I898" s="3">
        <f>(INDEX('Type Chart'!$B:$S,MATCH(E898,'Type Chart'!$A:$A,0),MATCH(XLOOKUP('Boss Editor'!$C$4,'Pokemon Editor'!$A:$A,'Pokemon Editor'!$C:$C,""),'Type Chart'!$B$1:$S$1,0))*IF(XLOOKUP('Boss Editor'!$C$4,'Pokemon Editor'!$A:$A,'Pokemon Editor'!$D:$D,"")="",1,INDEX('Type Chart'!$B:$S,MATCH(E898,'Type Chart'!$A:$A,0),MATCH(XLOOKUP('Boss Editor'!$C$4,'Pokemon Editor'!$A:$A,'Pokemon Editor'!$D:$D,""),'Type Chart'!$B$1:$S$1,0))))</f>
        <v/>
      </c>
      <c r="J898" s="3">
        <f>IFERROR(LET(mtype,XLOOKUP($D898,'Move Editor'!$B:$B,'Move Editor'!$C:$C,""),cat,XLOOKUP($D898,'Move Editor'!$B:$B,'Move Editor'!$D:$D,""),pow,XLOOKUP($D898,'Move Editor'!$B:$B,'Move Editor'!$E:$E,0),acc,XLOOKUP($D898,'Move Editor'!$B:$B,'Move Editor'!$F:$F,100),atk,IF(cat="Physical",FLOOR((FLOOR(((2*XLOOKUP(XLOOKUP($Q898,'Threshold Summary'!$Y:$Y,'Threshold Summary'!$K:$K,""),'Pokemon Editor'!$A:$A,'Pokemon Editor'!$F:$F,0)+31+FLOOR(XLOOKUP($Q898,'Threshold Summary'!$Y:$Y,'Threshold Summary'!$P:$P,"")/4))*XLOOKUP($Q898,'Threshold Summary'!$Y:$Y,'Threshold Summary'!$L:$L,""))/100)+5)*XLOOKUP(XLOOKUP($Q898,'Threshold Summary'!$Y:$Y,'Threshold Summary'!$M:$M,""),'Nature Editor'!$A:$A,'Nature Editor'!$B:$B,1)),FLOOR((FLOOR(((2*XLOOKUP(XLOOKUP($Q898,'Threshold Summary'!$Y:$Y,'Threshold Summary'!$K:$K,""),'Pokemon Editor'!$A:$A,'Pokemon Editor'!$H:$H,0)+31+FLOOR(XLOOKUP($Q898,'Threshold Summary'!$Y:$Y,'Threshold Summary'!$R:$R,"")/4))*XLOOKUP($Q898,'Threshold Summary'!$Y:$Y,'Threshold Summary'!$L:$L,""))/100)+5)*XLOOKUP(XLOOKUP($Q898,'Threshold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Editor'!$E:$E,1))),stab,IF(OR(mtype=XLOOKUP(XLOOKUP($Q898,'Threshold Summary'!$Y:$Y,'Threshold Summary'!$K:$K,""),'Pokemon Editor'!$A:$A,'Pokemon Editor'!$C:$C,""),mtype=XLOOKUP(XLOOKUP($Q898,'Threshold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Chart'!$B$1:$S$1,0)))),base,IF(OR(cat="Status",pow=0),0,FLOOR(FLOOR(FLOOR((2*XLOOKUP($Q898,'Threshold Summary'!$Y:$Y,'Threshold Summary'!$L:$L,"")/5+2)*pow*atk/def)/50)+2)),modifier,stab*eff,FLOOR(base*modifier*0.85)),0)</f>
        <v/>
      </c>
      <c r="K898" s="3">
        <f>IFERROR(LET(mtype,XLOOKUP($D898,'Move Editor'!$B:$B,'Move Editor'!$C:$C,""),cat,XLOOKUP($D898,'Move Editor'!$B:$B,'Move Editor'!$D:$D,""),pow,XLOOKUP($D898,'Move Editor'!$B:$B,'Move Editor'!$E:$E,0),acc,XLOOKUP($D898,'Move Editor'!$B:$B,'Move Editor'!$F:$F,100),atk,IF(cat="Physical",FLOOR((FLOOR(((2*XLOOKUP(XLOOKUP($Q898,'Threshold Summary'!$Y:$Y,'Threshold Summary'!$K:$K,""),'Pokemon Editor'!$A:$A,'Pokemon Editor'!$F:$F,0)+31+FLOOR(XLOOKUP($Q898,'Threshold Summary'!$Y:$Y,'Threshold Summary'!$P:$P,"")/4))*XLOOKUP($Q898,'Threshold Summary'!$Y:$Y,'Threshold Summary'!$L:$L,""))/100)+5)*XLOOKUP(XLOOKUP($Q898,'Threshold Summary'!$Y:$Y,'Threshold Summary'!$M:$M,""),'Nature Editor'!$A:$A,'Nature Editor'!$B:$B,1)),FLOOR((FLOOR(((2*XLOOKUP(XLOOKUP($Q898,'Threshold Summary'!$Y:$Y,'Threshold Summary'!$K:$K,""),'Pokemon Editor'!$A:$A,'Pokemon Editor'!$H:$H,0)+31+FLOOR(XLOOKUP($Q898,'Threshold Summary'!$Y:$Y,'Threshold Summary'!$R:$R,"")/4))*XLOOKUP($Q898,'Threshold Summary'!$Y:$Y,'Threshold Summary'!$L:$L,""))/100)+5)*XLOOKUP(XLOOKUP($Q898,'Threshold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Editor'!$E:$E,1))),stab,IF(OR(mtype=XLOOKUP(XLOOKUP($Q898,'Threshold Summary'!$Y:$Y,'Threshold Summary'!$K:$K,""),'Pokemon Editor'!$A:$A,'Pokemon Editor'!$C:$C,""),mtype=XLOOKUP(XLOOKUP($Q898,'Threshold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Chart'!$B$1:$S$1,0)))),base,IF(OR(cat="Status",pow=0),0,FLOOR(FLOOR(FLOOR((2*XLOOKUP($Q898,'Threshold Summary'!$Y:$Y,'Threshold Summary'!$L:$L,"")/5+2)*pow*atk/def)/50)+2)),modifier,stab*eff,FLOOR(base*modifier)),0)</f>
        <v/>
      </c>
      <c r="L898" s="3">
        <f>IFERROR(LET(mtype,XLOOKUP($D898,'Move Editor'!$B:$B,'Move Editor'!$C:$C,""),cat,XLOOKUP($D898,'Move Editor'!$B:$B,'Move Editor'!$D:$D,""),pow,XLOOKUP($D898,'Move Editor'!$B:$B,'Move Editor'!$E:$E,0),acc,XLOOKUP($D898,'Move Editor'!$B:$B,'Move Editor'!$F:$F,100),atk,IF(cat="Physical",FLOOR((FLOOR(((2*XLOOKUP(XLOOKUP($Q898,'Threshold Summary'!$Y:$Y,'Threshold Summary'!$K:$K,""),'Pokemon Editor'!$A:$A,'Pokemon Editor'!$F:$F,0)+31+FLOOR(XLOOKUP($Q898,'Threshold Summary'!$Y:$Y,'Threshold Summary'!$P:$P,"")/4))*XLOOKUP($Q898,'Threshold Summary'!$Y:$Y,'Threshold Summary'!$L:$L,""))/100)+5)*XLOOKUP(XLOOKUP($Q898,'Threshold Summary'!$Y:$Y,'Threshold Summary'!$M:$M,""),'Nature Editor'!$A:$A,'Nature Editor'!$B:$B,1)),FLOOR((FLOOR(((2*XLOOKUP(XLOOKUP($Q898,'Threshold Summary'!$Y:$Y,'Threshold Summary'!$K:$K,""),'Pokemon Editor'!$A:$A,'Pokemon Editor'!$H:$H,0)+31+FLOOR(XLOOKUP($Q898,'Threshold Summary'!$Y:$Y,'Threshold Summary'!$R:$R,"")/4))*XLOOKUP($Q898,'Threshold Summary'!$Y:$Y,'Threshold Summary'!$L:$L,""))/100)+5)*XLOOKUP(XLOOKUP($Q898,'Threshold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Editor'!$E:$E,1))),stab,IF(OR(mtype=XLOOKUP(XLOOKUP($Q898,'Threshold Summary'!$Y:$Y,'Threshold Summary'!$K:$K,""),'Pokemon Editor'!$A:$A,'Pokemon Editor'!$C:$C,""),mtype=XLOOKUP(XLOOKUP($Q898,'Threshold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Chart'!$B$1:$S$1,0)))),base,IF(OR(cat="Status",pow=0),0,FLOOR(FLOOR(FLOOR((2*XLOOKUP($Q898,'Threshold Summary'!$Y:$Y,'Threshold Summary'!$L:$L,"")/5+2)*pow*atk/def)/50)+2)),modifier,stab*eff,AVERAGE(ARRAYFORMULA(FLOOR(base*modifier*SEQUENCE(16,1,85,1)/100)))),0)</f>
        <v/>
      </c>
      <c r="M898" s="3">
        <f>IFERROR(LET(mtype,XLOOKUP($D898,'Move Editor'!$B:$B,'Move Editor'!$C:$C,""),cat,XLOOKUP($D898,'Move Editor'!$B:$B,'Move Editor'!$D:$D,""),pow,XLOOKUP($D898,'Move Editor'!$B:$B,'Move Editor'!$E:$E,0),acc,XLOOKUP($D898,'Move Editor'!$B:$B,'Move Editor'!$F:$F,100),atk,IF(cat="Physical",FLOOR((FLOOR(((2*XLOOKUP(XLOOKUP($Q898,'Threshold Summary'!$Y:$Y,'Threshold Summary'!$K:$K,""),'Pokemon Editor'!$A:$A,'Pokemon Editor'!$F:$F,0)+31+FLOOR(XLOOKUP($Q898,'Threshold Summary'!$Y:$Y,'Threshold Summary'!$P:$P,"")/4))*XLOOKUP($Q898,'Threshold Summary'!$Y:$Y,'Threshold Summary'!$L:$L,""))/100)+5)*XLOOKUP(XLOOKUP($Q898,'Threshold Summary'!$Y:$Y,'Threshold Summary'!$M:$M,""),'Nature Editor'!$A:$A,'Nature Editor'!$B:$B,1)),FLOOR((FLOOR(((2*XLOOKUP(XLOOKUP($Q898,'Threshold Summary'!$Y:$Y,'Threshold Summary'!$K:$K,""),'Pokemon Editor'!$A:$A,'Pokemon Editor'!$H:$H,0)+31+FLOOR(XLOOKUP($Q898,'Threshold Summary'!$Y:$Y,'Threshold Summary'!$R:$R,"")/4))*XLOOKUP($Q898,'Threshold Summary'!$Y:$Y,'Threshold Summary'!$L:$L,""))/100)+5)*XLOOKUP(XLOOKUP($Q898,'Threshold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Editor'!$E:$E,1))),stab,IF(OR(mtype=XLOOKUP(XLOOKUP($Q898,'Threshold Summary'!$Y:$Y,'Threshold Summary'!$K:$K,""),'Pokemon Editor'!$A:$A,'Pokemon Editor'!$C:$C,""),mtype=XLOOKUP(XLOOKUP($Q898,'Threshold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Chart'!$B$1:$S$1,0)))),base,IF(OR(cat="Status",pow=0),0,FLOOR(FLOOR(FLOOR((2*XLOOKUP($Q898,'Threshold Summary'!$Y:$Y,'Threshold Summary'!$L:$L,"")/5+2)*pow*atk/def)/50)+2)),modifier,stab*eff,AVERAGE(ARRAYFORMULA(FLOOR(base*modifier*SEQUENCE(16,1,85,1)/100)))*MIN(1,acc/100)),0)</f>
        <v/>
      </c>
      <c r="N898" s="4">
        <f>IFERROR(LET(mtype,XLOOKUP($D898,'Move Editor'!$B:$B,'Move Editor'!$C:$C,""),cat,XLOOKUP($D898,'Move Editor'!$B:$B,'Move Editor'!$D:$D,""),pow,XLOOKUP($D898,'Move Editor'!$B:$B,'Move Editor'!$E:$E,0),acc,XLOOKUP($D898,'Move Editor'!$B:$B,'Move Editor'!$F:$F,100),atk,IF(cat="Physical",FLOOR((FLOOR(((2*XLOOKUP(XLOOKUP($Q898,'Threshold Summary'!$Y:$Y,'Threshold Summary'!$K:$K,""),'Pokemon Editor'!$A:$A,'Pokemon Editor'!$F:$F,0)+31+FLOOR(XLOOKUP($Q898,'Threshold Summary'!$Y:$Y,'Threshold Summary'!$P:$P,"")/4))*XLOOKUP($Q898,'Threshold Summary'!$Y:$Y,'Threshold Summary'!$L:$L,""))/100)+5)*XLOOKUP(XLOOKUP($Q898,'Threshold Summary'!$Y:$Y,'Threshold Summary'!$M:$M,""),'Nature Editor'!$A:$A,'Nature Editor'!$B:$B,1)),FLOOR((FLOOR(((2*XLOOKUP(XLOOKUP($Q898,'Threshold Summary'!$Y:$Y,'Threshold Summary'!$K:$K,""),'Pokemon Editor'!$A:$A,'Pokemon Editor'!$H:$H,0)+31+FLOOR(XLOOKUP($Q898,'Threshold Summary'!$Y:$Y,'Threshold Summary'!$R:$R,"")/4))*XLOOKUP($Q898,'Threshold Summary'!$Y:$Y,'Threshold Summary'!$L:$L,""))/100)+5)*XLOOKUP(XLOOKUP($Q898,'Threshold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Editor'!$E:$E,1))),stab,IF(OR(mtype=XLOOKUP(XLOOKUP($Q898,'Threshold Summary'!$Y:$Y,'Threshold Summary'!$K:$K,""),'Pokemon Editor'!$A:$A,'Pokemon Editor'!$C:$C,""),mtype=XLOOKUP(XLOOKUP($Q898,'Threshold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Chart'!$B$1:$S$1,0)))),base,IF(OR(cat="Status",pow=0),0,FLOOR(FLOOR(FLOOR((2*XLOOKUP($Q898,'Threshold Summary'!$Y:$Y,'Threshold Summary'!$L:$L,"")/5+2)*pow*atk/def)/50)+2)),modifier,stab*eff,AVERAGE(ARRAYFORMULA(FLOOR(base*modifier*SEQUENCE(16,1,85,1)/100)))/(FLOOR(((2*XLOOKUP('Boss Editor'!$C$4,'Pokemon Editor'!$A:$A,'Pokemon Editor'!$E:$E,0)+31+FLOOR('Boss Editor'!$G$4/4))*'Boss Editor'!$D$4)/100)+'Boss Editor'!$D$4+10)),0)</f>
        <v/>
      </c>
      <c r="O898" s="3">
        <f>IF(N898&gt;=1,"OHKO",IF(N898&gt;=0.5,"2HKO",IF(N898&gt;=0.333,"3HKO",IF(N898&gt;=0.25,"4HKO","5HKO+"))))</f>
        <v/>
      </c>
      <c r="P898" s="3" t="inlineStr">
        <is>
          <t>Live from editable databases</t>
        </is>
      </c>
      <c r="Q898" s="3" t="inlineStr">
        <is>
          <t>SPECIES_TANDEMAUS</t>
        </is>
      </c>
      <c r="R898" s="3" t="n">
        <v>1</v>
      </c>
    </row>
    <row r="899">
      <c r="A899" s="3">
        <f>XLOOKUP($Q899,'Threshold Summary'!$Y:$Y,'Threshold Summary'!$A:$A,"")</f>
        <v/>
      </c>
      <c r="B899" s="3">
        <f>XLOOKUP($Q899,'Threshold Summary'!$Y:$Y,'Threshold Summary'!$M:$M,"")</f>
        <v/>
      </c>
      <c r="C899" s="3">
        <f>XLOOKUP($Q899,'Threshold Summary'!$Y:$Y,'Threshold Summary'!$N:$N,"")</f>
        <v/>
      </c>
      <c r="D899" s="3">
        <f>IFERROR(INDEX(FILTER('Learnset Editor'!$D$2:$D,'Learnset Editor'!$A$2:$A=XLOOKUP($Q899,'Threshold Summary'!$Y:$Y,'Threshold Summary'!$K:$K,""),'Learnset Editor'!$C$2:$C&lt;=XLOOKUP($Q899,'Threshold Summary'!$Y:$Y,'Threshold Summary'!$L:$L,"")),$R899),"")</f>
        <v/>
      </c>
      <c r="E899" s="3">
        <f>XLOOKUP(D899,'Move Editor'!$B:$B,'Move Editor'!$C:$C,"")</f>
        <v/>
      </c>
      <c r="F899" s="3">
        <f>XLOOKUP(D899,'Move Editor'!$B:$B,'Move Editor'!$D:$D,"")</f>
        <v/>
      </c>
      <c r="G899" s="3">
        <f>XLOOKUP(D899,'Move Editor'!$B:$B,'Move Editor'!$E:$E,0)</f>
        <v/>
      </c>
      <c r="H899" s="3">
        <f>XLOOKUP(D899,'Move Editor'!$B:$B,'Move Editor'!$F:$F,0)</f>
        <v/>
      </c>
      <c r="I899" s="3">
        <f>(INDEX('Type Chart'!$B:$S,MATCH(E899,'Type Chart'!$A:$A,0),MATCH(XLOOKUP('Boss Editor'!$C$4,'Pokemon Editor'!$A:$A,'Pokemon Editor'!$C:$C,""),'Type Chart'!$B$1:$S$1,0))*IF(XLOOKUP('Boss Editor'!$C$4,'Pokemon Editor'!$A:$A,'Pokemon Editor'!$D:$D,"")="",1,INDEX('Type Chart'!$B:$S,MATCH(E899,'Type Chart'!$A:$A,0),MATCH(XLOOKUP('Boss Editor'!$C$4,'Pokemon Editor'!$A:$A,'Pokemon Editor'!$D:$D,""),'Type Chart'!$B$1:$S$1,0))))</f>
        <v/>
      </c>
      <c r="J899" s="3">
        <f>IFERROR(LET(mtype,XLOOKUP($D899,'Move Editor'!$B:$B,'Move Editor'!$C:$C,""),cat,XLOOKUP($D899,'Move Editor'!$B:$B,'Move Editor'!$D:$D,""),pow,XLOOKUP($D899,'Move Editor'!$B:$B,'Move Editor'!$E:$E,0),acc,XLOOKUP($D899,'Move Editor'!$B:$B,'Move Editor'!$F:$F,100),atk,IF(cat="Physical",FLOOR((FLOOR(((2*XLOOKUP(XLOOKUP($Q899,'Threshold Summary'!$Y:$Y,'Threshold Summary'!$K:$K,""),'Pokemon Editor'!$A:$A,'Pokemon Editor'!$F:$F,0)+31+FLOOR(XLOOKUP($Q899,'Threshold Summary'!$Y:$Y,'Threshold Summary'!$P:$P,"")/4))*XLOOKUP($Q899,'Threshold Summary'!$Y:$Y,'Threshold Summary'!$L:$L,""))/100)+5)*XLOOKUP(XLOOKUP($Q899,'Threshold Summary'!$Y:$Y,'Threshold Summary'!$M:$M,""),'Nature Editor'!$A:$A,'Nature Editor'!$B:$B,1)),FLOOR((FLOOR(((2*XLOOKUP(XLOOKUP($Q899,'Threshold Summary'!$Y:$Y,'Threshold Summary'!$K:$K,""),'Pokemon Editor'!$A:$A,'Pokemon Editor'!$H:$H,0)+31+FLOOR(XLOOKUP($Q899,'Threshold Summary'!$Y:$Y,'Threshold Summary'!$R:$R,"")/4))*XLOOKUP($Q899,'Threshold Summary'!$Y:$Y,'Threshold Summary'!$L:$L,""))/100)+5)*XLOOKUP(XLOOKUP($Q899,'Threshold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Editor'!$E:$E,1))),stab,IF(OR(mtype=XLOOKUP(XLOOKUP($Q899,'Threshold Summary'!$Y:$Y,'Threshold Summary'!$K:$K,""),'Pokemon Editor'!$A:$A,'Pokemon Editor'!$C:$C,""),mtype=XLOOKUP(XLOOKUP($Q899,'Threshold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Chart'!$B$1:$S$1,0)))),base,IF(OR(cat="Status",pow=0),0,FLOOR(FLOOR(FLOOR((2*XLOOKUP($Q899,'Threshold Summary'!$Y:$Y,'Threshold Summary'!$L:$L,"")/5+2)*pow*atk/def)/50)+2)),modifier,stab*eff,FLOOR(base*modifier*0.85)),0)</f>
        <v/>
      </c>
      <c r="K899" s="3">
        <f>IFERROR(LET(mtype,XLOOKUP($D899,'Move Editor'!$B:$B,'Move Editor'!$C:$C,""),cat,XLOOKUP($D899,'Move Editor'!$B:$B,'Move Editor'!$D:$D,""),pow,XLOOKUP($D899,'Move Editor'!$B:$B,'Move Editor'!$E:$E,0),acc,XLOOKUP($D899,'Move Editor'!$B:$B,'Move Editor'!$F:$F,100),atk,IF(cat="Physical",FLOOR((FLOOR(((2*XLOOKUP(XLOOKUP($Q899,'Threshold Summary'!$Y:$Y,'Threshold Summary'!$K:$K,""),'Pokemon Editor'!$A:$A,'Pokemon Editor'!$F:$F,0)+31+FLOOR(XLOOKUP($Q899,'Threshold Summary'!$Y:$Y,'Threshold Summary'!$P:$P,"")/4))*XLOOKUP($Q899,'Threshold Summary'!$Y:$Y,'Threshold Summary'!$L:$L,""))/100)+5)*XLOOKUP(XLOOKUP($Q899,'Threshold Summary'!$Y:$Y,'Threshold Summary'!$M:$M,""),'Nature Editor'!$A:$A,'Nature Editor'!$B:$B,1)),FLOOR((FLOOR(((2*XLOOKUP(XLOOKUP($Q899,'Threshold Summary'!$Y:$Y,'Threshold Summary'!$K:$K,""),'Pokemon Editor'!$A:$A,'Pokemon Editor'!$H:$H,0)+31+FLOOR(XLOOKUP($Q899,'Threshold Summary'!$Y:$Y,'Threshold Summary'!$R:$R,"")/4))*XLOOKUP($Q899,'Threshold Summary'!$Y:$Y,'Threshold Summary'!$L:$L,""))/100)+5)*XLOOKUP(XLOOKUP($Q899,'Threshold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Editor'!$E:$E,1))),stab,IF(OR(mtype=XLOOKUP(XLOOKUP($Q899,'Threshold Summary'!$Y:$Y,'Threshold Summary'!$K:$K,""),'Pokemon Editor'!$A:$A,'Pokemon Editor'!$C:$C,""),mtype=XLOOKUP(XLOOKUP($Q899,'Threshold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Chart'!$B$1:$S$1,0)))),base,IF(OR(cat="Status",pow=0),0,FLOOR(FLOOR(FLOOR((2*XLOOKUP($Q899,'Threshold Summary'!$Y:$Y,'Threshold Summary'!$L:$L,"")/5+2)*pow*atk/def)/50)+2)),modifier,stab*eff,FLOOR(base*modifier)),0)</f>
        <v/>
      </c>
      <c r="L899" s="3">
        <f>IFERROR(LET(mtype,XLOOKUP($D899,'Move Editor'!$B:$B,'Move Editor'!$C:$C,""),cat,XLOOKUP($D899,'Move Editor'!$B:$B,'Move Editor'!$D:$D,""),pow,XLOOKUP($D899,'Move Editor'!$B:$B,'Move Editor'!$E:$E,0),acc,XLOOKUP($D899,'Move Editor'!$B:$B,'Move Editor'!$F:$F,100),atk,IF(cat="Physical",FLOOR((FLOOR(((2*XLOOKUP(XLOOKUP($Q899,'Threshold Summary'!$Y:$Y,'Threshold Summary'!$K:$K,""),'Pokemon Editor'!$A:$A,'Pokemon Editor'!$F:$F,0)+31+FLOOR(XLOOKUP($Q899,'Threshold Summary'!$Y:$Y,'Threshold Summary'!$P:$P,"")/4))*XLOOKUP($Q899,'Threshold Summary'!$Y:$Y,'Threshold Summary'!$L:$L,""))/100)+5)*XLOOKUP(XLOOKUP($Q899,'Threshold Summary'!$Y:$Y,'Threshold Summary'!$M:$M,""),'Nature Editor'!$A:$A,'Nature Editor'!$B:$B,1)),FLOOR((FLOOR(((2*XLOOKUP(XLOOKUP($Q899,'Threshold Summary'!$Y:$Y,'Threshold Summary'!$K:$K,""),'Pokemon Editor'!$A:$A,'Pokemon Editor'!$H:$H,0)+31+FLOOR(XLOOKUP($Q899,'Threshold Summary'!$Y:$Y,'Threshold Summary'!$R:$R,"")/4))*XLOOKUP($Q899,'Threshold Summary'!$Y:$Y,'Threshold Summary'!$L:$L,""))/100)+5)*XLOOKUP(XLOOKUP($Q899,'Threshold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Editor'!$E:$E,1))),stab,IF(OR(mtype=XLOOKUP(XLOOKUP($Q899,'Threshold Summary'!$Y:$Y,'Threshold Summary'!$K:$K,""),'Pokemon Editor'!$A:$A,'Pokemon Editor'!$C:$C,""),mtype=XLOOKUP(XLOOKUP($Q899,'Threshold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Chart'!$B$1:$S$1,0)))),base,IF(OR(cat="Status",pow=0),0,FLOOR(FLOOR(FLOOR((2*XLOOKUP($Q899,'Threshold Summary'!$Y:$Y,'Threshold Summary'!$L:$L,"")/5+2)*pow*atk/def)/50)+2)),modifier,stab*eff,AVERAGE(ARRAYFORMULA(FLOOR(base*modifier*SEQUENCE(16,1,85,1)/100)))),0)</f>
        <v/>
      </c>
      <c r="M899" s="3">
        <f>IFERROR(LET(mtype,XLOOKUP($D899,'Move Editor'!$B:$B,'Move Editor'!$C:$C,""),cat,XLOOKUP($D899,'Move Editor'!$B:$B,'Move Editor'!$D:$D,""),pow,XLOOKUP($D899,'Move Editor'!$B:$B,'Move Editor'!$E:$E,0),acc,XLOOKUP($D899,'Move Editor'!$B:$B,'Move Editor'!$F:$F,100),atk,IF(cat="Physical",FLOOR((FLOOR(((2*XLOOKUP(XLOOKUP($Q899,'Threshold Summary'!$Y:$Y,'Threshold Summary'!$K:$K,""),'Pokemon Editor'!$A:$A,'Pokemon Editor'!$F:$F,0)+31+FLOOR(XLOOKUP($Q899,'Threshold Summary'!$Y:$Y,'Threshold Summary'!$P:$P,"")/4))*XLOOKUP($Q899,'Threshold Summary'!$Y:$Y,'Threshold Summary'!$L:$L,""))/100)+5)*XLOOKUP(XLOOKUP($Q899,'Threshold Summary'!$Y:$Y,'Threshold Summary'!$M:$M,""),'Nature Editor'!$A:$A,'Nature Editor'!$B:$B,1)),FLOOR((FLOOR(((2*XLOOKUP(XLOOKUP($Q899,'Threshold Summary'!$Y:$Y,'Threshold Summary'!$K:$K,""),'Pokemon Editor'!$A:$A,'Pokemon Editor'!$H:$H,0)+31+FLOOR(XLOOKUP($Q899,'Threshold Summary'!$Y:$Y,'Threshold Summary'!$R:$R,"")/4))*XLOOKUP($Q899,'Threshold Summary'!$Y:$Y,'Threshold Summary'!$L:$L,""))/100)+5)*XLOOKUP(XLOOKUP($Q899,'Threshold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Editor'!$E:$E,1))),stab,IF(OR(mtype=XLOOKUP(XLOOKUP($Q899,'Threshold Summary'!$Y:$Y,'Threshold Summary'!$K:$K,""),'Pokemon Editor'!$A:$A,'Pokemon Editor'!$C:$C,""),mtype=XLOOKUP(XLOOKUP($Q899,'Threshold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Chart'!$B$1:$S$1,0)))),base,IF(OR(cat="Status",pow=0),0,FLOOR(FLOOR(FLOOR((2*XLOOKUP($Q899,'Threshold Summary'!$Y:$Y,'Threshold Summary'!$L:$L,"")/5+2)*pow*atk/def)/50)+2)),modifier,stab*eff,AVERAGE(ARRAYFORMULA(FLOOR(base*modifier*SEQUENCE(16,1,85,1)/100)))*MIN(1,acc/100)),0)</f>
        <v/>
      </c>
      <c r="N899" s="4">
        <f>IFERROR(LET(mtype,XLOOKUP($D899,'Move Editor'!$B:$B,'Move Editor'!$C:$C,""),cat,XLOOKUP($D899,'Move Editor'!$B:$B,'Move Editor'!$D:$D,""),pow,XLOOKUP($D899,'Move Editor'!$B:$B,'Move Editor'!$E:$E,0),acc,XLOOKUP($D899,'Move Editor'!$B:$B,'Move Editor'!$F:$F,100),atk,IF(cat="Physical",FLOOR((FLOOR(((2*XLOOKUP(XLOOKUP($Q899,'Threshold Summary'!$Y:$Y,'Threshold Summary'!$K:$K,""),'Pokemon Editor'!$A:$A,'Pokemon Editor'!$F:$F,0)+31+FLOOR(XLOOKUP($Q899,'Threshold Summary'!$Y:$Y,'Threshold Summary'!$P:$P,"")/4))*XLOOKUP($Q899,'Threshold Summary'!$Y:$Y,'Threshold Summary'!$L:$L,""))/100)+5)*XLOOKUP(XLOOKUP($Q899,'Threshold Summary'!$Y:$Y,'Threshold Summary'!$M:$M,""),'Nature Editor'!$A:$A,'Nature Editor'!$B:$B,1)),FLOOR((FLOOR(((2*XLOOKUP(XLOOKUP($Q899,'Threshold Summary'!$Y:$Y,'Threshold Summary'!$K:$K,""),'Pokemon Editor'!$A:$A,'Pokemon Editor'!$H:$H,0)+31+FLOOR(XLOOKUP($Q899,'Threshold Summary'!$Y:$Y,'Threshold Summary'!$R:$R,"")/4))*XLOOKUP($Q899,'Threshold Summary'!$Y:$Y,'Threshold Summary'!$L:$L,""))/100)+5)*XLOOKUP(XLOOKUP($Q899,'Threshold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Editor'!$E:$E,1))),stab,IF(OR(mtype=XLOOKUP(XLOOKUP($Q899,'Threshold Summary'!$Y:$Y,'Threshold Summary'!$K:$K,""),'Pokemon Editor'!$A:$A,'Pokemon Editor'!$C:$C,""),mtype=XLOOKUP(XLOOKUP($Q899,'Threshold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Chart'!$B$1:$S$1,0)))),base,IF(OR(cat="Status",pow=0),0,FLOOR(FLOOR(FLOOR((2*XLOOKUP($Q899,'Threshold Summary'!$Y:$Y,'Threshold Summary'!$L:$L,"")/5+2)*pow*atk/def)/50)+2)),modifier,stab*eff,AVERAGE(ARRAYFORMULA(FLOOR(base*modifier*SEQUENCE(16,1,85,1)/100)))/(FLOOR(((2*XLOOKUP('Boss Editor'!$C$4,'Pokemon Editor'!$A:$A,'Pokemon Editor'!$E:$E,0)+31+FLOOR('Boss Editor'!$G$4/4))*'Boss Editor'!$D$4)/100)+'Boss Editor'!$D$4+10)),0)</f>
        <v/>
      </c>
      <c r="O899" s="3">
        <f>IF(N899&gt;=1,"OHKO",IF(N899&gt;=0.5,"2HKO",IF(N899&gt;=0.333,"3HKO",IF(N899&gt;=0.25,"4HKO","5HKO+"))))</f>
        <v/>
      </c>
      <c r="P899" s="3" t="inlineStr">
        <is>
          <t>Live from editable databases</t>
        </is>
      </c>
      <c r="Q899" s="3" t="inlineStr">
        <is>
          <t>SPECIES_TANDEMAUS</t>
        </is>
      </c>
      <c r="R899" s="3" t="n">
        <v>2</v>
      </c>
    </row>
    <row r="900">
      <c r="A900" s="3">
        <f>XLOOKUP($Q900,'Threshold Summary'!$Y:$Y,'Threshold Summary'!$A:$A,"")</f>
        <v/>
      </c>
      <c r="B900" s="3">
        <f>XLOOKUP($Q900,'Threshold Summary'!$Y:$Y,'Threshold Summary'!$M:$M,"")</f>
        <v/>
      </c>
      <c r="C900" s="3">
        <f>XLOOKUP($Q900,'Threshold Summary'!$Y:$Y,'Threshold Summary'!$N:$N,"")</f>
        <v/>
      </c>
      <c r="D900" s="3">
        <f>IFERROR(INDEX(FILTER('Learnset Editor'!$D$2:$D,'Learnset Editor'!$A$2:$A=XLOOKUP($Q900,'Threshold Summary'!$Y:$Y,'Threshold Summary'!$K:$K,""),'Learnset Editor'!$C$2:$C&lt;=XLOOKUP($Q900,'Threshold Summary'!$Y:$Y,'Threshold Summary'!$L:$L,"")),$R900),"")</f>
        <v/>
      </c>
      <c r="E900" s="3">
        <f>XLOOKUP(D900,'Move Editor'!$B:$B,'Move Editor'!$C:$C,"")</f>
        <v/>
      </c>
      <c r="F900" s="3">
        <f>XLOOKUP(D900,'Move Editor'!$B:$B,'Move Editor'!$D:$D,"")</f>
        <v/>
      </c>
      <c r="G900" s="3">
        <f>XLOOKUP(D900,'Move Editor'!$B:$B,'Move Editor'!$E:$E,0)</f>
        <v/>
      </c>
      <c r="H900" s="3">
        <f>XLOOKUP(D900,'Move Editor'!$B:$B,'Move Editor'!$F:$F,0)</f>
        <v/>
      </c>
      <c r="I900" s="3">
        <f>(INDEX('Type Chart'!$B:$S,MATCH(E900,'Type Chart'!$A:$A,0),MATCH(XLOOKUP('Boss Editor'!$C$4,'Pokemon Editor'!$A:$A,'Pokemon Editor'!$C:$C,""),'Type Chart'!$B$1:$S$1,0))*IF(XLOOKUP('Boss Editor'!$C$4,'Pokemon Editor'!$A:$A,'Pokemon Editor'!$D:$D,"")="",1,INDEX('Type Chart'!$B:$S,MATCH(E900,'Type Chart'!$A:$A,0),MATCH(XLOOKUP('Boss Editor'!$C$4,'Pokemon Editor'!$A:$A,'Pokemon Editor'!$D:$D,""),'Type Chart'!$B$1:$S$1,0))))</f>
        <v/>
      </c>
      <c r="J900" s="3">
        <f>IFERROR(LET(mtype,XLOOKUP($D900,'Move Editor'!$B:$B,'Move Editor'!$C:$C,""),cat,XLOOKUP($D900,'Move Editor'!$B:$B,'Move Editor'!$D:$D,""),pow,XLOOKUP($D900,'Move Editor'!$B:$B,'Move Editor'!$E:$E,0),acc,XLOOKUP($D900,'Move Editor'!$B:$B,'Move Editor'!$F:$F,100),atk,IF(cat="Physical",FLOOR((FLOOR(((2*XLOOKUP(XLOOKUP($Q900,'Threshold Summary'!$Y:$Y,'Threshold Summary'!$K:$K,""),'Pokemon Editor'!$A:$A,'Pokemon Editor'!$F:$F,0)+31+FLOOR(XLOOKUP($Q900,'Threshold Summary'!$Y:$Y,'Threshold Summary'!$P:$P,"")/4))*XLOOKUP($Q900,'Threshold Summary'!$Y:$Y,'Threshold Summary'!$L:$L,""))/100)+5)*XLOOKUP(XLOOKUP($Q900,'Threshold Summary'!$Y:$Y,'Threshold Summary'!$M:$M,""),'Nature Editor'!$A:$A,'Nature Editor'!$B:$B,1)),FLOOR((FLOOR(((2*XLOOKUP(XLOOKUP($Q900,'Threshold Summary'!$Y:$Y,'Threshold Summary'!$K:$K,""),'Pokemon Editor'!$A:$A,'Pokemon Editor'!$H:$H,0)+31+FLOOR(XLOOKUP($Q900,'Threshold Summary'!$Y:$Y,'Threshold Summary'!$R:$R,"")/4))*XLOOKUP($Q900,'Threshold Summary'!$Y:$Y,'Threshold Summary'!$L:$L,""))/100)+5)*XLOOKUP(XLOOKUP($Q900,'Threshold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Editor'!$E:$E,1))),stab,IF(OR(mtype=XLOOKUP(XLOOKUP($Q900,'Threshold Summary'!$Y:$Y,'Threshold Summary'!$K:$K,""),'Pokemon Editor'!$A:$A,'Pokemon Editor'!$C:$C,""),mtype=XLOOKUP(XLOOKUP($Q900,'Threshold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Chart'!$B$1:$S$1,0)))),base,IF(OR(cat="Status",pow=0),0,FLOOR(FLOOR(FLOOR((2*XLOOKUP($Q900,'Threshold Summary'!$Y:$Y,'Threshold Summary'!$L:$L,"")/5+2)*pow*atk/def)/50)+2)),modifier,stab*eff,FLOOR(base*modifier*0.85)),0)</f>
        <v/>
      </c>
      <c r="K900" s="3">
        <f>IFERROR(LET(mtype,XLOOKUP($D900,'Move Editor'!$B:$B,'Move Editor'!$C:$C,""),cat,XLOOKUP($D900,'Move Editor'!$B:$B,'Move Editor'!$D:$D,""),pow,XLOOKUP($D900,'Move Editor'!$B:$B,'Move Editor'!$E:$E,0),acc,XLOOKUP($D900,'Move Editor'!$B:$B,'Move Editor'!$F:$F,100),atk,IF(cat="Physical",FLOOR((FLOOR(((2*XLOOKUP(XLOOKUP($Q900,'Threshold Summary'!$Y:$Y,'Threshold Summary'!$K:$K,""),'Pokemon Editor'!$A:$A,'Pokemon Editor'!$F:$F,0)+31+FLOOR(XLOOKUP($Q900,'Threshold Summary'!$Y:$Y,'Threshold Summary'!$P:$P,"")/4))*XLOOKUP($Q900,'Threshold Summary'!$Y:$Y,'Threshold Summary'!$L:$L,""))/100)+5)*XLOOKUP(XLOOKUP($Q900,'Threshold Summary'!$Y:$Y,'Threshold Summary'!$M:$M,""),'Nature Editor'!$A:$A,'Nature Editor'!$B:$B,1)),FLOOR((FLOOR(((2*XLOOKUP(XLOOKUP($Q900,'Threshold Summary'!$Y:$Y,'Threshold Summary'!$K:$K,""),'Pokemon Editor'!$A:$A,'Pokemon Editor'!$H:$H,0)+31+FLOOR(XLOOKUP($Q900,'Threshold Summary'!$Y:$Y,'Threshold Summary'!$R:$R,"")/4))*XLOOKUP($Q900,'Threshold Summary'!$Y:$Y,'Threshold Summary'!$L:$L,""))/100)+5)*XLOOKUP(XLOOKUP($Q900,'Threshold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Editor'!$E:$E,1))),stab,IF(OR(mtype=XLOOKUP(XLOOKUP($Q900,'Threshold Summary'!$Y:$Y,'Threshold Summary'!$K:$K,""),'Pokemon Editor'!$A:$A,'Pokemon Editor'!$C:$C,""),mtype=XLOOKUP(XLOOKUP($Q900,'Threshold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Chart'!$B$1:$S$1,0)))),base,IF(OR(cat="Status",pow=0),0,FLOOR(FLOOR(FLOOR((2*XLOOKUP($Q900,'Threshold Summary'!$Y:$Y,'Threshold Summary'!$L:$L,"")/5+2)*pow*atk/def)/50)+2)),modifier,stab*eff,FLOOR(base*modifier)),0)</f>
        <v/>
      </c>
      <c r="L900" s="3">
        <f>IFERROR(LET(mtype,XLOOKUP($D900,'Move Editor'!$B:$B,'Move Editor'!$C:$C,""),cat,XLOOKUP($D900,'Move Editor'!$B:$B,'Move Editor'!$D:$D,""),pow,XLOOKUP($D900,'Move Editor'!$B:$B,'Move Editor'!$E:$E,0),acc,XLOOKUP($D900,'Move Editor'!$B:$B,'Move Editor'!$F:$F,100),atk,IF(cat="Physical",FLOOR((FLOOR(((2*XLOOKUP(XLOOKUP($Q900,'Threshold Summary'!$Y:$Y,'Threshold Summary'!$K:$K,""),'Pokemon Editor'!$A:$A,'Pokemon Editor'!$F:$F,0)+31+FLOOR(XLOOKUP($Q900,'Threshold Summary'!$Y:$Y,'Threshold Summary'!$P:$P,"")/4))*XLOOKUP($Q900,'Threshold Summary'!$Y:$Y,'Threshold Summary'!$L:$L,""))/100)+5)*XLOOKUP(XLOOKUP($Q900,'Threshold Summary'!$Y:$Y,'Threshold Summary'!$M:$M,""),'Nature Editor'!$A:$A,'Nature Editor'!$B:$B,1)),FLOOR((FLOOR(((2*XLOOKUP(XLOOKUP($Q900,'Threshold Summary'!$Y:$Y,'Threshold Summary'!$K:$K,""),'Pokemon Editor'!$A:$A,'Pokemon Editor'!$H:$H,0)+31+FLOOR(XLOOKUP($Q900,'Threshold Summary'!$Y:$Y,'Threshold Summary'!$R:$R,"")/4))*XLOOKUP($Q900,'Threshold Summary'!$Y:$Y,'Threshold Summary'!$L:$L,""))/100)+5)*XLOOKUP(XLOOKUP($Q900,'Threshold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Editor'!$E:$E,1))),stab,IF(OR(mtype=XLOOKUP(XLOOKUP($Q900,'Threshold Summary'!$Y:$Y,'Threshold Summary'!$K:$K,""),'Pokemon Editor'!$A:$A,'Pokemon Editor'!$C:$C,""),mtype=XLOOKUP(XLOOKUP($Q900,'Threshold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Chart'!$B$1:$S$1,0)))),base,IF(OR(cat="Status",pow=0),0,FLOOR(FLOOR(FLOOR((2*XLOOKUP($Q900,'Threshold Summary'!$Y:$Y,'Threshold Summary'!$L:$L,"")/5+2)*pow*atk/def)/50)+2)),modifier,stab*eff,AVERAGE(ARRAYFORMULA(FLOOR(base*modifier*SEQUENCE(16,1,85,1)/100)))),0)</f>
        <v/>
      </c>
      <c r="M900" s="3">
        <f>IFERROR(LET(mtype,XLOOKUP($D900,'Move Editor'!$B:$B,'Move Editor'!$C:$C,""),cat,XLOOKUP($D900,'Move Editor'!$B:$B,'Move Editor'!$D:$D,""),pow,XLOOKUP($D900,'Move Editor'!$B:$B,'Move Editor'!$E:$E,0),acc,XLOOKUP($D900,'Move Editor'!$B:$B,'Move Editor'!$F:$F,100),atk,IF(cat="Physical",FLOOR((FLOOR(((2*XLOOKUP(XLOOKUP($Q900,'Threshold Summary'!$Y:$Y,'Threshold Summary'!$K:$K,""),'Pokemon Editor'!$A:$A,'Pokemon Editor'!$F:$F,0)+31+FLOOR(XLOOKUP($Q900,'Threshold Summary'!$Y:$Y,'Threshold Summary'!$P:$P,"")/4))*XLOOKUP($Q900,'Threshold Summary'!$Y:$Y,'Threshold Summary'!$L:$L,""))/100)+5)*XLOOKUP(XLOOKUP($Q900,'Threshold Summary'!$Y:$Y,'Threshold Summary'!$M:$M,""),'Nature Editor'!$A:$A,'Nature Editor'!$B:$B,1)),FLOOR((FLOOR(((2*XLOOKUP(XLOOKUP($Q900,'Threshold Summary'!$Y:$Y,'Threshold Summary'!$K:$K,""),'Pokemon Editor'!$A:$A,'Pokemon Editor'!$H:$H,0)+31+FLOOR(XLOOKUP($Q900,'Threshold Summary'!$Y:$Y,'Threshold Summary'!$R:$R,"")/4))*XLOOKUP($Q900,'Threshold Summary'!$Y:$Y,'Threshold Summary'!$L:$L,""))/100)+5)*XLOOKUP(XLOOKUP($Q900,'Threshold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Editor'!$E:$E,1))),stab,IF(OR(mtype=XLOOKUP(XLOOKUP($Q900,'Threshold Summary'!$Y:$Y,'Threshold Summary'!$K:$K,""),'Pokemon Editor'!$A:$A,'Pokemon Editor'!$C:$C,""),mtype=XLOOKUP(XLOOKUP($Q900,'Threshold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Chart'!$B$1:$S$1,0)))),base,IF(OR(cat="Status",pow=0),0,FLOOR(FLOOR(FLOOR((2*XLOOKUP($Q900,'Threshold Summary'!$Y:$Y,'Threshold Summary'!$L:$L,"")/5+2)*pow*atk/def)/50)+2)),modifier,stab*eff,AVERAGE(ARRAYFORMULA(FLOOR(base*modifier*SEQUENCE(16,1,85,1)/100)))*MIN(1,acc/100)),0)</f>
        <v/>
      </c>
      <c r="N900" s="4">
        <f>IFERROR(LET(mtype,XLOOKUP($D900,'Move Editor'!$B:$B,'Move Editor'!$C:$C,""),cat,XLOOKUP($D900,'Move Editor'!$B:$B,'Move Editor'!$D:$D,""),pow,XLOOKUP($D900,'Move Editor'!$B:$B,'Move Editor'!$E:$E,0),acc,XLOOKUP($D900,'Move Editor'!$B:$B,'Move Editor'!$F:$F,100),atk,IF(cat="Physical",FLOOR((FLOOR(((2*XLOOKUP(XLOOKUP($Q900,'Threshold Summary'!$Y:$Y,'Threshold Summary'!$K:$K,""),'Pokemon Editor'!$A:$A,'Pokemon Editor'!$F:$F,0)+31+FLOOR(XLOOKUP($Q900,'Threshold Summary'!$Y:$Y,'Threshold Summary'!$P:$P,"")/4))*XLOOKUP($Q900,'Threshold Summary'!$Y:$Y,'Threshold Summary'!$L:$L,""))/100)+5)*XLOOKUP(XLOOKUP($Q900,'Threshold Summary'!$Y:$Y,'Threshold Summary'!$M:$M,""),'Nature Editor'!$A:$A,'Nature Editor'!$B:$B,1)),FLOOR((FLOOR(((2*XLOOKUP(XLOOKUP($Q900,'Threshold Summary'!$Y:$Y,'Threshold Summary'!$K:$K,""),'Pokemon Editor'!$A:$A,'Pokemon Editor'!$H:$H,0)+31+FLOOR(XLOOKUP($Q900,'Threshold Summary'!$Y:$Y,'Threshold Summary'!$R:$R,"")/4))*XLOOKUP($Q900,'Threshold Summary'!$Y:$Y,'Threshold Summary'!$L:$L,""))/100)+5)*XLOOKUP(XLOOKUP($Q900,'Threshold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Editor'!$E:$E,1))),stab,IF(OR(mtype=XLOOKUP(XLOOKUP($Q900,'Threshold Summary'!$Y:$Y,'Threshold Summary'!$K:$K,""),'Pokemon Editor'!$A:$A,'Pokemon Editor'!$C:$C,""),mtype=XLOOKUP(XLOOKUP($Q900,'Threshold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Chart'!$B$1:$S$1,0)))),base,IF(OR(cat="Status",pow=0),0,FLOOR(FLOOR(FLOOR((2*XLOOKUP($Q900,'Threshold Summary'!$Y:$Y,'Threshold Summary'!$L:$L,"")/5+2)*pow*atk/def)/50)+2)),modifier,stab*eff,AVERAGE(ARRAYFORMULA(FLOOR(base*modifier*SEQUENCE(16,1,85,1)/100)))/(FLOOR(((2*XLOOKUP('Boss Editor'!$C$4,'Pokemon Editor'!$A:$A,'Pokemon Editor'!$E:$E,0)+31+FLOOR('Boss Editor'!$G$4/4))*'Boss Editor'!$D$4)/100)+'Boss Editor'!$D$4+10)),0)</f>
        <v/>
      </c>
      <c r="O900" s="3">
        <f>IF(N900&gt;=1,"OHKO",IF(N900&gt;=0.5,"2HKO",IF(N900&gt;=0.333,"3HKO",IF(N900&gt;=0.25,"4HKO","5HKO+"))))</f>
        <v/>
      </c>
      <c r="P900" s="3" t="inlineStr">
        <is>
          <t>Live from editable databases</t>
        </is>
      </c>
      <c r="Q900" s="3" t="inlineStr">
        <is>
          <t>SPECIES_TANDEMAUS</t>
        </is>
      </c>
      <c r="R900" s="3" t="n">
        <v>3</v>
      </c>
    </row>
    <row r="901">
      <c r="A901" s="3">
        <f>XLOOKUP($Q901,'Threshold Summary'!$Y:$Y,'Threshold Summary'!$A:$A,"")</f>
        <v/>
      </c>
      <c r="B901" s="3">
        <f>XLOOKUP($Q901,'Threshold Summary'!$Y:$Y,'Threshold Summary'!$M:$M,"")</f>
        <v/>
      </c>
      <c r="C901" s="3">
        <f>XLOOKUP($Q901,'Threshold Summary'!$Y:$Y,'Threshold Summary'!$N:$N,"")</f>
        <v/>
      </c>
      <c r="D901" s="3">
        <f>IFERROR(INDEX(FILTER('Learnset Editor'!$D$2:$D,'Learnset Editor'!$A$2:$A=XLOOKUP($Q901,'Threshold Summary'!$Y:$Y,'Threshold Summary'!$K:$K,""),'Learnset Editor'!$C$2:$C&lt;=XLOOKUP($Q901,'Threshold Summary'!$Y:$Y,'Threshold Summary'!$L:$L,"")),$R901),"")</f>
        <v/>
      </c>
      <c r="E901" s="3">
        <f>XLOOKUP(D901,'Move Editor'!$B:$B,'Move Editor'!$C:$C,"")</f>
        <v/>
      </c>
      <c r="F901" s="3">
        <f>XLOOKUP(D901,'Move Editor'!$B:$B,'Move Editor'!$D:$D,"")</f>
        <v/>
      </c>
      <c r="G901" s="3">
        <f>XLOOKUP(D901,'Move Editor'!$B:$B,'Move Editor'!$E:$E,0)</f>
        <v/>
      </c>
      <c r="H901" s="3">
        <f>XLOOKUP(D901,'Move Editor'!$B:$B,'Move Editor'!$F:$F,0)</f>
        <v/>
      </c>
      <c r="I901" s="3">
        <f>(INDEX('Type Chart'!$B:$S,MATCH(E901,'Type Chart'!$A:$A,0),MATCH(XLOOKUP('Boss Editor'!$C$4,'Pokemon Editor'!$A:$A,'Pokemon Editor'!$C:$C,""),'Type Chart'!$B$1:$S$1,0))*IF(XLOOKUP('Boss Editor'!$C$4,'Pokemon Editor'!$A:$A,'Pokemon Editor'!$D:$D,"")="",1,INDEX('Type Chart'!$B:$S,MATCH(E901,'Type Chart'!$A:$A,0),MATCH(XLOOKUP('Boss Editor'!$C$4,'Pokemon Editor'!$A:$A,'Pokemon Editor'!$D:$D,""),'Type Chart'!$B$1:$S$1,0))))</f>
        <v/>
      </c>
      <c r="J901" s="3">
        <f>IFERROR(LET(mtype,XLOOKUP($D901,'Move Editor'!$B:$B,'Move Editor'!$C:$C,""),cat,XLOOKUP($D901,'Move Editor'!$B:$B,'Move Editor'!$D:$D,""),pow,XLOOKUP($D901,'Move Editor'!$B:$B,'Move Editor'!$E:$E,0),acc,XLOOKUP($D901,'Move Editor'!$B:$B,'Move Editor'!$F:$F,100),atk,IF(cat="Physical",FLOOR((FLOOR(((2*XLOOKUP(XLOOKUP($Q901,'Threshold Summary'!$Y:$Y,'Threshold Summary'!$K:$K,""),'Pokemon Editor'!$A:$A,'Pokemon Editor'!$F:$F,0)+31+FLOOR(XLOOKUP($Q901,'Threshold Summary'!$Y:$Y,'Threshold Summary'!$P:$P,"")/4))*XLOOKUP($Q901,'Threshold Summary'!$Y:$Y,'Threshold Summary'!$L:$L,""))/100)+5)*XLOOKUP(XLOOKUP($Q901,'Threshold Summary'!$Y:$Y,'Threshold Summary'!$M:$M,""),'Nature Editor'!$A:$A,'Nature Editor'!$B:$B,1)),FLOOR((FLOOR(((2*XLOOKUP(XLOOKUP($Q901,'Threshold Summary'!$Y:$Y,'Threshold Summary'!$K:$K,""),'Pokemon Editor'!$A:$A,'Pokemon Editor'!$H:$H,0)+31+FLOOR(XLOOKUP($Q901,'Threshold Summary'!$Y:$Y,'Threshold Summary'!$R:$R,"")/4))*XLOOKUP($Q901,'Threshold Summary'!$Y:$Y,'Threshold Summary'!$L:$L,""))/100)+5)*XLOOKUP(XLOOKUP($Q901,'Threshold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Editor'!$E:$E,1))),stab,IF(OR(mtype=XLOOKUP(XLOOKUP($Q901,'Threshold Summary'!$Y:$Y,'Threshold Summary'!$K:$K,""),'Pokemon Editor'!$A:$A,'Pokemon Editor'!$C:$C,""),mtype=XLOOKUP(XLOOKUP($Q901,'Threshold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Chart'!$B$1:$S$1,0)))),base,IF(OR(cat="Status",pow=0),0,FLOOR(FLOOR(FLOOR((2*XLOOKUP($Q901,'Threshold Summary'!$Y:$Y,'Threshold Summary'!$L:$L,"")/5+2)*pow*atk/def)/50)+2)),modifier,stab*eff,FLOOR(base*modifier*0.85)),0)</f>
        <v/>
      </c>
      <c r="K901" s="3">
        <f>IFERROR(LET(mtype,XLOOKUP($D901,'Move Editor'!$B:$B,'Move Editor'!$C:$C,""),cat,XLOOKUP($D901,'Move Editor'!$B:$B,'Move Editor'!$D:$D,""),pow,XLOOKUP($D901,'Move Editor'!$B:$B,'Move Editor'!$E:$E,0),acc,XLOOKUP($D901,'Move Editor'!$B:$B,'Move Editor'!$F:$F,100),atk,IF(cat="Physical",FLOOR((FLOOR(((2*XLOOKUP(XLOOKUP($Q901,'Threshold Summary'!$Y:$Y,'Threshold Summary'!$K:$K,""),'Pokemon Editor'!$A:$A,'Pokemon Editor'!$F:$F,0)+31+FLOOR(XLOOKUP($Q901,'Threshold Summary'!$Y:$Y,'Threshold Summary'!$P:$P,"")/4))*XLOOKUP($Q901,'Threshold Summary'!$Y:$Y,'Threshold Summary'!$L:$L,""))/100)+5)*XLOOKUP(XLOOKUP($Q901,'Threshold Summary'!$Y:$Y,'Threshold Summary'!$M:$M,""),'Nature Editor'!$A:$A,'Nature Editor'!$B:$B,1)),FLOOR((FLOOR(((2*XLOOKUP(XLOOKUP($Q901,'Threshold Summary'!$Y:$Y,'Threshold Summary'!$K:$K,""),'Pokemon Editor'!$A:$A,'Pokemon Editor'!$H:$H,0)+31+FLOOR(XLOOKUP($Q901,'Threshold Summary'!$Y:$Y,'Threshold Summary'!$R:$R,"")/4))*XLOOKUP($Q901,'Threshold Summary'!$Y:$Y,'Threshold Summary'!$L:$L,""))/100)+5)*XLOOKUP(XLOOKUP($Q901,'Threshold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Editor'!$E:$E,1))),stab,IF(OR(mtype=XLOOKUP(XLOOKUP($Q901,'Threshold Summary'!$Y:$Y,'Threshold Summary'!$K:$K,""),'Pokemon Editor'!$A:$A,'Pokemon Editor'!$C:$C,""),mtype=XLOOKUP(XLOOKUP($Q901,'Threshold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Chart'!$B$1:$S$1,0)))),base,IF(OR(cat="Status",pow=0),0,FLOOR(FLOOR(FLOOR((2*XLOOKUP($Q901,'Threshold Summary'!$Y:$Y,'Threshold Summary'!$L:$L,"")/5+2)*pow*atk/def)/50)+2)),modifier,stab*eff,FLOOR(base*modifier)),0)</f>
        <v/>
      </c>
      <c r="L901" s="3">
        <f>IFERROR(LET(mtype,XLOOKUP($D901,'Move Editor'!$B:$B,'Move Editor'!$C:$C,""),cat,XLOOKUP($D901,'Move Editor'!$B:$B,'Move Editor'!$D:$D,""),pow,XLOOKUP($D901,'Move Editor'!$B:$B,'Move Editor'!$E:$E,0),acc,XLOOKUP($D901,'Move Editor'!$B:$B,'Move Editor'!$F:$F,100),atk,IF(cat="Physical",FLOOR((FLOOR(((2*XLOOKUP(XLOOKUP($Q901,'Threshold Summary'!$Y:$Y,'Threshold Summary'!$K:$K,""),'Pokemon Editor'!$A:$A,'Pokemon Editor'!$F:$F,0)+31+FLOOR(XLOOKUP($Q901,'Threshold Summary'!$Y:$Y,'Threshold Summary'!$P:$P,"")/4))*XLOOKUP($Q901,'Threshold Summary'!$Y:$Y,'Threshold Summary'!$L:$L,""))/100)+5)*XLOOKUP(XLOOKUP($Q901,'Threshold Summary'!$Y:$Y,'Threshold Summary'!$M:$M,""),'Nature Editor'!$A:$A,'Nature Editor'!$B:$B,1)),FLOOR((FLOOR(((2*XLOOKUP(XLOOKUP($Q901,'Threshold Summary'!$Y:$Y,'Threshold Summary'!$K:$K,""),'Pokemon Editor'!$A:$A,'Pokemon Editor'!$H:$H,0)+31+FLOOR(XLOOKUP($Q901,'Threshold Summary'!$Y:$Y,'Threshold Summary'!$R:$R,"")/4))*XLOOKUP($Q901,'Threshold Summary'!$Y:$Y,'Threshold Summary'!$L:$L,""))/100)+5)*XLOOKUP(XLOOKUP($Q901,'Threshold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Editor'!$E:$E,1))),stab,IF(OR(mtype=XLOOKUP(XLOOKUP($Q901,'Threshold Summary'!$Y:$Y,'Threshold Summary'!$K:$K,""),'Pokemon Editor'!$A:$A,'Pokemon Editor'!$C:$C,""),mtype=XLOOKUP(XLOOKUP($Q901,'Threshold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Chart'!$B$1:$S$1,0)))),base,IF(OR(cat="Status",pow=0),0,FLOOR(FLOOR(FLOOR((2*XLOOKUP($Q901,'Threshold Summary'!$Y:$Y,'Threshold Summary'!$L:$L,"")/5+2)*pow*atk/def)/50)+2)),modifier,stab*eff,AVERAGE(ARRAYFORMULA(FLOOR(base*modifier*SEQUENCE(16,1,85,1)/100)))),0)</f>
        <v/>
      </c>
      <c r="M901" s="3">
        <f>IFERROR(LET(mtype,XLOOKUP($D901,'Move Editor'!$B:$B,'Move Editor'!$C:$C,""),cat,XLOOKUP($D901,'Move Editor'!$B:$B,'Move Editor'!$D:$D,""),pow,XLOOKUP($D901,'Move Editor'!$B:$B,'Move Editor'!$E:$E,0),acc,XLOOKUP($D901,'Move Editor'!$B:$B,'Move Editor'!$F:$F,100),atk,IF(cat="Physical",FLOOR((FLOOR(((2*XLOOKUP(XLOOKUP($Q901,'Threshold Summary'!$Y:$Y,'Threshold Summary'!$K:$K,""),'Pokemon Editor'!$A:$A,'Pokemon Editor'!$F:$F,0)+31+FLOOR(XLOOKUP($Q901,'Threshold Summary'!$Y:$Y,'Threshold Summary'!$P:$P,"")/4))*XLOOKUP($Q901,'Threshold Summary'!$Y:$Y,'Threshold Summary'!$L:$L,""))/100)+5)*XLOOKUP(XLOOKUP($Q901,'Threshold Summary'!$Y:$Y,'Threshold Summary'!$M:$M,""),'Nature Editor'!$A:$A,'Nature Editor'!$B:$B,1)),FLOOR((FLOOR(((2*XLOOKUP(XLOOKUP($Q901,'Threshold Summary'!$Y:$Y,'Threshold Summary'!$K:$K,""),'Pokemon Editor'!$A:$A,'Pokemon Editor'!$H:$H,0)+31+FLOOR(XLOOKUP($Q901,'Threshold Summary'!$Y:$Y,'Threshold Summary'!$R:$R,"")/4))*XLOOKUP($Q901,'Threshold Summary'!$Y:$Y,'Threshold Summary'!$L:$L,""))/100)+5)*XLOOKUP(XLOOKUP($Q901,'Threshold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Editor'!$E:$E,1))),stab,IF(OR(mtype=XLOOKUP(XLOOKUP($Q901,'Threshold Summary'!$Y:$Y,'Threshold Summary'!$K:$K,""),'Pokemon Editor'!$A:$A,'Pokemon Editor'!$C:$C,""),mtype=XLOOKUP(XLOOKUP($Q901,'Threshold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Chart'!$B$1:$S$1,0)))),base,IF(OR(cat="Status",pow=0),0,FLOOR(FLOOR(FLOOR((2*XLOOKUP($Q901,'Threshold Summary'!$Y:$Y,'Threshold Summary'!$L:$L,"")/5+2)*pow*atk/def)/50)+2)),modifier,stab*eff,AVERAGE(ARRAYFORMULA(FLOOR(base*modifier*SEQUENCE(16,1,85,1)/100)))*MIN(1,acc/100)),0)</f>
        <v/>
      </c>
      <c r="N901" s="4">
        <f>IFERROR(LET(mtype,XLOOKUP($D901,'Move Editor'!$B:$B,'Move Editor'!$C:$C,""),cat,XLOOKUP($D901,'Move Editor'!$B:$B,'Move Editor'!$D:$D,""),pow,XLOOKUP($D901,'Move Editor'!$B:$B,'Move Editor'!$E:$E,0),acc,XLOOKUP($D901,'Move Editor'!$B:$B,'Move Editor'!$F:$F,100),atk,IF(cat="Physical",FLOOR((FLOOR(((2*XLOOKUP(XLOOKUP($Q901,'Threshold Summary'!$Y:$Y,'Threshold Summary'!$K:$K,""),'Pokemon Editor'!$A:$A,'Pokemon Editor'!$F:$F,0)+31+FLOOR(XLOOKUP($Q901,'Threshold Summary'!$Y:$Y,'Threshold Summary'!$P:$P,"")/4))*XLOOKUP($Q901,'Threshold Summary'!$Y:$Y,'Threshold Summary'!$L:$L,""))/100)+5)*XLOOKUP(XLOOKUP($Q901,'Threshold Summary'!$Y:$Y,'Threshold Summary'!$M:$M,""),'Nature Editor'!$A:$A,'Nature Editor'!$B:$B,1)),FLOOR((FLOOR(((2*XLOOKUP(XLOOKUP($Q901,'Threshold Summary'!$Y:$Y,'Threshold Summary'!$K:$K,""),'Pokemon Editor'!$A:$A,'Pokemon Editor'!$H:$H,0)+31+FLOOR(XLOOKUP($Q901,'Threshold Summary'!$Y:$Y,'Threshold Summary'!$R:$R,"")/4))*XLOOKUP($Q901,'Threshold Summary'!$Y:$Y,'Threshold Summary'!$L:$L,""))/100)+5)*XLOOKUP(XLOOKUP($Q901,'Threshold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Editor'!$E:$E,1))),stab,IF(OR(mtype=XLOOKUP(XLOOKUP($Q901,'Threshold Summary'!$Y:$Y,'Threshold Summary'!$K:$K,""),'Pokemon Editor'!$A:$A,'Pokemon Editor'!$C:$C,""),mtype=XLOOKUP(XLOOKUP($Q901,'Threshold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Chart'!$B$1:$S$1,0)))),base,IF(OR(cat="Status",pow=0),0,FLOOR(FLOOR(FLOOR((2*XLOOKUP($Q901,'Threshold Summary'!$Y:$Y,'Threshold Summary'!$L:$L,"")/5+2)*pow*atk/def)/50)+2)),modifier,stab*eff,AVERAGE(ARRAYFORMULA(FLOOR(base*modifier*SEQUENCE(16,1,85,1)/100)))/(FLOOR(((2*XLOOKUP('Boss Editor'!$C$4,'Pokemon Editor'!$A:$A,'Pokemon Editor'!$E:$E,0)+31+FLOOR('Boss Editor'!$G$4/4))*'Boss Editor'!$D$4)/100)+'Boss Editor'!$D$4+10)),0)</f>
        <v/>
      </c>
      <c r="O901" s="3">
        <f>IF(N901&gt;=1,"OHKO",IF(N901&gt;=0.5,"2HKO",IF(N901&gt;=0.333,"3HKO",IF(N901&gt;=0.25,"4HKO","5HKO+"))))</f>
        <v/>
      </c>
      <c r="P901" s="3" t="inlineStr">
        <is>
          <t>Live from editable databases</t>
        </is>
      </c>
      <c r="Q901" s="3" t="inlineStr">
        <is>
          <t>SPECIES_TANDEMAUS</t>
        </is>
      </c>
      <c r="R901" s="3" t="n">
        <v>4</v>
      </c>
    </row>
    <row r="902">
      <c r="A902" s="3">
        <f>XLOOKUP($Q902,'Threshold Summary'!$Y:$Y,'Threshold Summary'!$A:$A,"")</f>
        <v/>
      </c>
      <c r="B902" s="3">
        <f>XLOOKUP($Q902,'Threshold Summary'!$Y:$Y,'Threshold Summary'!$M:$M,"")</f>
        <v/>
      </c>
      <c r="C902" s="3">
        <f>XLOOKUP($Q902,'Threshold Summary'!$Y:$Y,'Threshold Summary'!$N:$N,"")</f>
        <v/>
      </c>
      <c r="D902" s="3">
        <f>IFERROR(INDEX(FILTER('Learnset Editor'!$D$2:$D,'Learnset Editor'!$A$2:$A=XLOOKUP($Q902,'Threshold Summary'!$Y:$Y,'Threshold Summary'!$K:$K,""),'Learnset Editor'!$C$2:$C&lt;=XLOOKUP($Q902,'Threshold Summary'!$Y:$Y,'Threshold Summary'!$L:$L,"")),$R902),"")</f>
        <v/>
      </c>
      <c r="E902" s="3">
        <f>XLOOKUP(D902,'Move Editor'!$B:$B,'Move Editor'!$C:$C,"")</f>
        <v/>
      </c>
      <c r="F902" s="3">
        <f>XLOOKUP(D902,'Move Editor'!$B:$B,'Move Editor'!$D:$D,"")</f>
        <v/>
      </c>
      <c r="G902" s="3">
        <f>XLOOKUP(D902,'Move Editor'!$B:$B,'Move Editor'!$E:$E,0)</f>
        <v/>
      </c>
      <c r="H902" s="3">
        <f>XLOOKUP(D902,'Move Editor'!$B:$B,'Move Editor'!$F:$F,0)</f>
        <v/>
      </c>
      <c r="I902" s="3">
        <f>(INDEX('Type Chart'!$B:$S,MATCH(E902,'Type Chart'!$A:$A,0),MATCH(XLOOKUP('Boss Editor'!$C$4,'Pokemon Editor'!$A:$A,'Pokemon Editor'!$C:$C,""),'Type Chart'!$B$1:$S$1,0))*IF(XLOOKUP('Boss Editor'!$C$4,'Pokemon Editor'!$A:$A,'Pokemon Editor'!$D:$D,"")="",1,INDEX('Type Chart'!$B:$S,MATCH(E902,'Type Chart'!$A:$A,0),MATCH(XLOOKUP('Boss Editor'!$C$4,'Pokemon Editor'!$A:$A,'Pokemon Editor'!$D:$D,""),'Type Chart'!$B$1:$S$1,0))))</f>
        <v/>
      </c>
      <c r="J902" s="3">
        <f>IFERROR(LET(mtype,XLOOKUP($D902,'Move Editor'!$B:$B,'Move Editor'!$C:$C,""),cat,XLOOKUP($D902,'Move Editor'!$B:$B,'Move Editor'!$D:$D,""),pow,XLOOKUP($D902,'Move Editor'!$B:$B,'Move Editor'!$E:$E,0),acc,XLOOKUP($D902,'Move Editor'!$B:$B,'Move Editor'!$F:$F,100),atk,IF(cat="Physical",FLOOR((FLOOR(((2*XLOOKUP(XLOOKUP($Q902,'Threshold Summary'!$Y:$Y,'Threshold Summary'!$K:$K,""),'Pokemon Editor'!$A:$A,'Pokemon Editor'!$F:$F,0)+31+FLOOR(XLOOKUP($Q902,'Threshold Summary'!$Y:$Y,'Threshold Summary'!$P:$P,"")/4))*XLOOKUP($Q902,'Threshold Summary'!$Y:$Y,'Threshold Summary'!$L:$L,""))/100)+5)*XLOOKUP(XLOOKUP($Q902,'Threshold Summary'!$Y:$Y,'Threshold Summary'!$M:$M,""),'Nature Editor'!$A:$A,'Nature Editor'!$B:$B,1)),FLOOR((FLOOR(((2*XLOOKUP(XLOOKUP($Q902,'Threshold Summary'!$Y:$Y,'Threshold Summary'!$K:$K,""),'Pokemon Editor'!$A:$A,'Pokemon Editor'!$H:$H,0)+31+FLOOR(XLOOKUP($Q902,'Threshold Summary'!$Y:$Y,'Threshold Summary'!$R:$R,"")/4))*XLOOKUP($Q902,'Threshold Summary'!$Y:$Y,'Threshold Summary'!$L:$L,""))/100)+5)*XLOOKUP(XLOOKUP($Q902,'Threshold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Editor'!$E:$E,1))),stab,IF(OR(mtype=XLOOKUP(XLOOKUP($Q902,'Threshold Summary'!$Y:$Y,'Threshold Summary'!$K:$K,""),'Pokemon Editor'!$A:$A,'Pokemon Editor'!$C:$C,""),mtype=XLOOKUP(XLOOKUP($Q902,'Threshold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Chart'!$B$1:$S$1,0)))),base,IF(OR(cat="Status",pow=0),0,FLOOR(FLOOR(FLOOR((2*XLOOKUP($Q902,'Threshold Summary'!$Y:$Y,'Threshold Summary'!$L:$L,"")/5+2)*pow*atk/def)/50)+2)),modifier,stab*eff,FLOOR(base*modifier*0.85)),0)</f>
        <v/>
      </c>
      <c r="K902" s="3">
        <f>IFERROR(LET(mtype,XLOOKUP($D902,'Move Editor'!$B:$B,'Move Editor'!$C:$C,""),cat,XLOOKUP($D902,'Move Editor'!$B:$B,'Move Editor'!$D:$D,""),pow,XLOOKUP($D902,'Move Editor'!$B:$B,'Move Editor'!$E:$E,0),acc,XLOOKUP($D902,'Move Editor'!$B:$B,'Move Editor'!$F:$F,100),atk,IF(cat="Physical",FLOOR((FLOOR(((2*XLOOKUP(XLOOKUP($Q902,'Threshold Summary'!$Y:$Y,'Threshold Summary'!$K:$K,""),'Pokemon Editor'!$A:$A,'Pokemon Editor'!$F:$F,0)+31+FLOOR(XLOOKUP($Q902,'Threshold Summary'!$Y:$Y,'Threshold Summary'!$P:$P,"")/4))*XLOOKUP($Q902,'Threshold Summary'!$Y:$Y,'Threshold Summary'!$L:$L,""))/100)+5)*XLOOKUP(XLOOKUP($Q902,'Threshold Summary'!$Y:$Y,'Threshold Summary'!$M:$M,""),'Nature Editor'!$A:$A,'Nature Editor'!$B:$B,1)),FLOOR((FLOOR(((2*XLOOKUP(XLOOKUP($Q902,'Threshold Summary'!$Y:$Y,'Threshold Summary'!$K:$K,""),'Pokemon Editor'!$A:$A,'Pokemon Editor'!$H:$H,0)+31+FLOOR(XLOOKUP($Q902,'Threshold Summary'!$Y:$Y,'Threshold Summary'!$R:$R,"")/4))*XLOOKUP($Q902,'Threshold Summary'!$Y:$Y,'Threshold Summary'!$L:$L,""))/100)+5)*XLOOKUP(XLOOKUP($Q902,'Threshold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Editor'!$E:$E,1))),stab,IF(OR(mtype=XLOOKUP(XLOOKUP($Q902,'Threshold Summary'!$Y:$Y,'Threshold Summary'!$K:$K,""),'Pokemon Editor'!$A:$A,'Pokemon Editor'!$C:$C,""),mtype=XLOOKUP(XLOOKUP($Q902,'Threshold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Chart'!$B$1:$S$1,0)))),base,IF(OR(cat="Status",pow=0),0,FLOOR(FLOOR(FLOOR((2*XLOOKUP($Q902,'Threshold Summary'!$Y:$Y,'Threshold Summary'!$L:$L,"")/5+2)*pow*atk/def)/50)+2)),modifier,stab*eff,FLOOR(base*modifier)),0)</f>
        <v/>
      </c>
      <c r="L902" s="3">
        <f>IFERROR(LET(mtype,XLOOKUP($D902,'Move Editor'!$B:$B,'Move Editor'!$C:$C,""),cat,XLOOKUP($D902,'Move Editor'!$B:$B,'Move Editor'!$D:$D,""),pow,XLOOKUP($D902,'Move Editor'!$B:$B,'Move Editor'!$E:$E,0),acc,XLOOKUP($D902,'Move Editor'!$B:$B,'Move Editor'!$F:$F,100),atk,IF(cat="Physical",FLOOR((FLOOR(((2*XLOOKUP(XLOOKUP($Q902,'Threshold Summary'!$Y:$Y,'Threshold Summary'!$K:$K,""),'Pokemon Editor'!$A:$A,'Pokemon Editor'!$F:$F,0)+31+FLOOR(XLOOKUP($Q902,'Threshold Summary'!$Y:$Y,'Threshold Summary'!$P:$P,"")/4))*XLOOKUP($Q902,'Threshold Summary'!$Y:$Y,'Threshold Summary'!$L:$L,""))/100)+5)*XLOOKUP(XLOOKUP($Q902,'Threshold Summary'!$Y:$Y,'Threshold Summary'!$M:$M,""),'Nature Editor'!$A:$A,'Nature Editor'!$B:$B,1)),FLOOR((FLOOR(((2*XLOOKUP(XLOOKUP($Q902,'Threshold Summary'!$Y:$Y,'Threshold Summary'!$K:$K,""),'Pokemon Editor'!$A:$A,'Pokemon Editor'!$H:$H,0)+31+FLOOR(XLOOKUP($Q902,'Threshold Summary'!$Y:$Y,'Threshold Summary'!$R:$R,"")/4))*XLOOKUP($Q902,'Threshold Summary'!$Y:$Y,'Threshold Summary'!$L:$L,""))/100)+5)*XLOOKUP(XLOOKUP($Q902,'Threshold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Editor'!$E:$E,1))),stab,IF(OR(mtype=XLOOKUP(XLOOKUP($Q902,'Threshold Summary'!$Y:$Y,'Threshold Summary'!$K:$K,""),'Pokemon Editor'!$A:$A,'Pokemon Editor'!$C:$C,""),mtype=XLOOKUP(XLOOKUP($Q902,'Threshold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Chart'!$B$1:$S$1,0)))),base,IF(OR(cat="Status",pow=0),0,FLOOR(FLOOR(FLOOR((2*XLOOKUP($Q902,'Threshold Summary'!$Y:$Y,'Threshold Summary'!$L:$L,"")/5+2)*pow*atk/def)/50)+2)),modifier,stab*eff,AVERAGE(ARRAYFORMULA(FLOOR(base*modifier*SEQUENCE(16,1,85,1)/100)))),0)</f>
        <v/>
      </c>
      <c r="M902" s="3">
        <f>IFERROR(LET(mtype,XLOOKUP($D902,'Move Editor'!$B:$B,'Move Editor'!$C:$C,""),cat,XLOOKUP($D902,'Move Editor'!$B:$B,'Move Editor'!$D:$D,""),pow,XLOOKUP($D902,'Move Editor'!$B:$B,'Move Editor'!$E:$E,0),acc,XLOOKUP($D902,'Move Editor'!$B:$B,'Move Editor'!$F:$F,100),atk,IF(cat="Physical",FLOOR((FLOOR(((2*XLOOKUP(XLOOKUP($Q902,'Threshold Summary'!$Y:$Y,'Threshold Summary'!$K:$K,""),'Pokemon Editor'!$A:$A,'Pokemon Editor'!$F:$F,0)+31+FLOOR(XLOOKUP($Q902,'Threshold Summary'!$Y:$Y,'Threshold Summary'!$P:$P,"")/4))*XLOOKUP($Q902,'Threshold Summary'!$Y:$Y,'Threshold Summary'!$L:$L,""))/100)+5)*XLOOKUP(XLOOKUP($Q902,'Threshold Summary'!$Y:$Y,'Threshold Summary'!$M:$M,""),'Nature Editor'!$A:$A,'Nature Editor'!$B:$B,1)),FLOOR((FLOOR(((2*XLOOKUP(XLOOKUP($Q902,'Threshold Summary'!$Y:$Y,'Threshold Summary'!$K:$K,""),'Pokemon Editor'!$A:$A,'Pokemon Editor'!$H:$H,0)+31+FLOOR(XLOOKUP($Q902,'Threshold Summary'!$Y:$Y,'Threshold Summary'!$R:$R,"")/4))*XLOOKUP($Q902,'Threshold Summary'!$Y:$Y,'Threshold Summary'!$L:$L,""))/100)+5)*XLOOKUP(XLOOKUP($Q902,'Threshold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Editor'!$E:$E,1))),stab,IF(OR(mtype=XLOOKUP(XLOOKUP($Q902,'Threshold Summary'!$Y:$Y,'Threshold Summary'!$K:$K,""),'Pokemon Editor'!$A:$A,'Pokemon Editor'!$C:$C,""),mtype=XLOOKUP(XLOOKUP($Q902,'Threshold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Chart'!$B$1:$S$1,0)))),base,IF(OR(cat="Status",pow=0),0,FLOOR(FLOOR(FLOOR((2*XLOOKUP($Q902,'Threshold Summary'!$Y:$Y,'Threshold Summary'!$L:$L,"")/5+2)*pow*atk/def)/50)+2)),modifier,stab*eff,AVERAGE(ARRAYFORMULA(FLOOR(base*modifier*SEQUENCE(16,1,85,1)/100)))*MIN(1,acc/100)),0)</f>
        <v/>
      </c>
      <c r="N902" s="4">
        <f>IFERROR(LET(mtype,XLOOKUP($D902,'Move Editor'!$B:$B,'Move Editor'!$C:$C,""),cat,XLOOKUP($D902,'Move Editor'!$B:$B,'Move Editor'!$D:$D,""),pow,XLOOKUP($D902,'Move Editor'!$B:$B,'Move Editor'!$E:$E,0),acc,XLOOKUP($D902,'Move Editor'!$B:$B,'Move Editor'!$F:$F,100),atk,IF(cat="Physical",FLOOR((FLOOR(((2*XLOOKUP(XLOOKUP($Q902,'Threshold Summary'!$Y:$Y,'Threshold Summary'!$K:$K,""),'Pokemon Editor'!$A:$A,'Pokemon Editor'!$F:$F,0)+31+FLOOR(XLOOKUP($Q902,'Threshold Summary'!$Y:$Y,'Threshold Summary'!$P:$P,"")/4))*XLOOKUP($Q902,'Threshold Summary'!$Y:$Y,'Threshold Summary'!$L:$L,""))/100)+5)*XLOOKUP(XLOOKUP($Q902,'Threshold Summary'!$Y:$Y,'Threshold Summary'!$M:$M,""),'Nature Editor'!$A:$A,'Nature Editor'!$B:$B,1)),FLOOR((FLOOR(((2*XLOOKUP(XLOOKUP($Q902,'Threshold Summary'!$Y:$Y,'Threshold Summary'!$K:$K,""),'Pokemon Editor'!$A:$A,'Pokemon Editor'!$H:$H,0)+31+FLOOR(XLOOKUP($Q902,'Threshold Summary'!$Y:$Y,'Threshold Summary'!$R:$R,"")/4))*XLOOKUP($Q902,'Threshold Summary'!$Y:$Y,'Threshold Summary'!$L:$L,""))/100)+5)*XLOOKUP(XLOOKUP($Q902,'Threshold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Editor'!$E:$E,1))),stab,IF(OR(mtype=XLOOKUP(XLOOKUP($Q902,'Threshold Summary'!$Y:$Y,'Threshold Summary'!$K:$K,""),'Pokemon Editor'!$A:$A,'Pokemon Editor'!$C:$C,""),mtype=XLOOKUP(XLOOKUP($Q902,'Threshold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Chart'!$B$1:$S$1,0)))),base,IF(OR(cat="Status",pow=0),0,FLOOR(FLOOR(FLOOR((2*XLOOKUP($Q902,'Threshold Summary'!$Y:$Y,'Threshold Summary'!$L:$L,"")/5+2)*pow*atk/def)/50)+2)),modifier,stab*eff,AVERAGE(ARRAYFORMULA(FLOOR(base*modifier*SEQUENCE(16,1,85,1)/100)))/(FLOOR(((2*XLOOKUP('Boss Editor'!$C$4,'Pokemon Editor'!$A:$A,'Pokemon Editor'!$E:$E,0)+31+FLOOR('Boss Editor'!$G$4/4))*'Boss Editor'!$D$4)/100)+'Boss Editor'!$D$4+10)),0)</f>
        <v/>
      </c>
      <c r="O902" s="3">
        <f>IF(N902&gt;=1,"OHKO",IF(N902&gt;=0.5,"2HKO",IF(N902&gt;=0.333,"3HKO",IF(N902&gt;=0.25,"4HKO","5HKO+"))))</f>
        <v/>
      </c>
      <c r="P902" s="3" t="inlineStr">
        <is>
          <t>Live from editable databases</t>
        </is>
      </c>
      <c r="Q902" s="3" t="inlineStr">
        <is>
          <t>SPECIES_TANDEMAUS</t>
        </is>
      </c>
      <c r="R902" s="3" t="n">
        <v>5</v>
      </c>
    </row>
    <row r="903">
      <c r="A903" s="3">
        <f>XLOOKUP($Q903,'Threshold Summary'!$Y:$Y,'Threshold Summary'!$A:$A,"")</f>
        <v/>
      </c>
      <c r="B903" s="3">
        <f>XLOOKUP($Q903,'Threshold Summary'!$Y:$Y,'Threshold Summary'!$M:$M,"")</f>
        <v/>
      </c>
      <c r="C903" s="3">
        <f>XLOOKUP($Q903,'Threshold Summary'!$Y:$Y,'Threshold Summary'!$N:$N,"")</f>
        <v/>
      </c>
      <c r="D903" s="3">
        <f>IFERROR(INDEX(FILTER('Learnset Editor'!$D$2:$D,'Learnset Editor'!$A$2:$A=XLOOKUP($Q903,'Threshold Summary'!$Y:$Y,'Threshold Summary'!$K:$K,""),'Learnset Editor'!$C$2:$C&lt;=XLOOKUP($Q903,'Threshold Summary'!$Y:$Y,'Threshold Summary'!$L:$L,"")),$R903),"")</f>
        <v/>
      </c>
      <c r="E903" s="3">
        <f>XLOOKUP(D903,'Move Editor'!$B:$B,'Move Editor'!$C:$C,"")</f>
        <v/>
      </c>
      <c r="F903" s="3">
        <f>XLOOKUP(D903,'Move Editor'!$B:$B,'Move Editor'!$D:$D,"")</f>
        <v/>
      </c>
      <c r="G903" s="3">
        <f>XLOOKUP(D903,'Move Editor'!$B:$B,'Move Editor'!$E:$E,0)</f>
        <v/>
      </c>
      <c r="H903" s="3">
        <f>XLOOKUP(D903,'Move Editor'!$B:$B,'Move Editor'!$F:$F,0)</f>
        <v/>
      </c>
      <c r="I903" s="3">
        <f>(INDEX('Type Chart'!$B:$S,MATCH(E903,'Type Chart'!$A:$A,0),MATCH(XLOOKUP('Boss Editor'!$C$4,'Pokemon Editor'!$A:$A,'Pokemon Editor'!$C:$C,""),'Type Chart'!$B$1:$S$1,0))*IF(XLOOKUP('Boss Editor'!$C$4,'Pokemon Editor'!$A:$A,'Pokemon Editor'!$D:$D,"")="",1,INDEX('Type Chart'!$B:$S,MATCH(E903,'Type Chart'!$A:$A,0),MATCH(XLOOKUP('Boss Editor'!$C$4,'Pokemon Editor'!$A:$A,'Pokemon Editor'!$D:$D,""),'Type Chart'!$B$1:$S$1,0))))</f>
        <v/>
      </c>
      <c r="J903" s="3">
        <f>IFERROR(LET(mtype,XLOOKUP($D903,'Move Editor'!$B:$B,'Move Editor'!$C:$C,""),cat,XLOOKUP($D903,'Move Editor'!$B:$B,'Move Editor'!$D:$D,""),pow,XLOOKUP($D903,'Move Editor'!$B:$B,'Move Editor'!$E:$E,0),acc,XLOOKUP($D903,'Move Editor'!$B:$B,'Move Editor'!$F:$F,100),atk,IF(cat="Physical",FLOOR((FLOOR(((2*XLOOKUP(XLOOKUP($Q903,'Threshold Summary'!$Y:$Y,'Threshold Summary'!$K:$K,""),'Pokemon Editor'!$A:$A,'Pokemon Editor'!$F:$F,0)+31+FLOOR(XLOOKUP($Q903,'Threshold Summary'!$Y:$Y,'Threshold Summary'!$P:$P,"")/4))*XLOOKUP($Q903,'Threshold Summary'!$Y:$Y,'Threshold Summary'!$L:$L,""))/100)+5)*XLOOKUP(XLOOKUP($Q903,'Threshold Summary'!$Y:$Y,'Threshold Summary'!$M:$M,""),'Nature Editor'!$A:$A,'Nature Editor'!$B:$B,1)),FLOOR((FLOOR(((2*XLOOKUP(XLOOKUP($Q903,'Threshold Summary'!$Y:$Y,'Threshold Summary'!$K:$K,""),'Pokemon Editor'!$A:$A,'Pokemon Editor'!$H:$H,0)+31+FLOOR(XLOOKUP($Q903,'Threshold Summary'!$Y:$Y,'Threshold Summary'!$R:$R,"")/4))*XLOOKUP($Q903,'Threshold Summary'!$Y:$Y,'Threshold Summary'!$L:$L,""))/100)+5)*XLOOKUP(XLOOKUP($Q903,'Threshold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Editor'!$E:$E,1))),stab,IF(OR(mtype=XLOOKUP(XLOOKUP($Q903,'Threshold Summary'!$Y:$Y,'Threshold Summary'!$K:$K,""),'Pokemon Editor'!$A:$A,'Pokemon Editor'!$C:$C,""),mtype=XLOOKUP(XLOOKUP($Q903,'Threshold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Chart'!$B$1:$S$1,0)))),base,IF(OR(cat="Status",pow=0),0,FLOOR(FLOOR(FLOOR((2*XLOOKUP($Q903,'Threshold Summary'!$Y:$Y,'Threshold Summary'!$L:$L,"")/5+2)*pow*atk/def)/50)+2)),modifier,stab*eff,FLOOR(base*modifier*0.85)),0)</f>
        <v/>
      </c>
      <c r="K903" s="3">
        <f>IFERROR(LET(mtype,XLOOKUP($D903,'Move Editor'!$B:$B,'Move Editor'!$C:$C,""),cat,XLOOKUP($D903,'Move Editor'!$B:$B,'Move Editor'!$D:$D,""),pow,XLOOKUP($D903,'Move Editor'!$B:$B,'Move Editor'!$E:$E,0),acc,XLOOKUP($D903,'Move Editor'!$B:$B,'Move Editor'!$F:$F,100),atk,IF(cat="Physical",FLOOR((FLOOR(((2*XLOOKUP(XLOOKUP($Q903,'Threshold Summary'!$Y:$Y,'Threshold Summary'!$K:$K,""),'Pokemon Editor'!$A:$A,'Pokemon Editor'!$F:$F,0)+31+FLOOR(XLOOKUP($Q903,'Threshold Summary'!$Y:$Y,'Threshold Summary'!$P:$P,"")/4))*XLOOKUP($Q903,'Threshold Summary'!$Y:$Y,'Threshold Summary'!$L:$L,""))/100)+5)*XLOOKUP(XLOOKUP($Q903,'Threshold Summary'!$Y:$Y,'Threshold Summary'!$M:$M,""),'Nature Editor'!$A:$A,'Nature Editor'!$B:$B,1)),FLOOR((FLOOR(((2*XLOOKUP(XLOOKUP($Q903,'Threshold Summary'!$Y:$Y,'Threshold Summary'!$K:$K,""),'Pokemon Editor'!$A:$A,'Pokemon Editor'!$H:$H,0)+31+FLOOR(XLOOKUP($Q903,'Threshold Summary'!$Y:$Y,'Threshold Summary'!$R:$R,"")/4))*XLOOKUP($Q903,'Threshold Summary'!$Y:$Y,'Threshold Summary'!$L:$L,""))/100)+5)*XLOOKUP(XLOOKUP($Q903,'Threshold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Editor'!$E:$E,1))),stab,IF(OR(mtype=XLOOKUP(XLOOKUP($Q903,'Threshold Summary'!$Y:$Y,'Threshold Summary'!$K:$K,""),'Pokemon Editor'!$A:$A,'Pokemon Editor'!$C:$C,""),mtype=XLOOKUP(XLOOKUP($Q903,'Threshold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Chart'!$B$1:$S$1,0)))),base,IF(OR(cat="Status",pow=0),0,FLOOR(FLOOR(FLOOR((2*XLOOKUP($Q903,'Threshold Summary'!$Y:$Y,'Threshold Summary'!$L:$L,"")/5+2)*pow*atk/def)/50)+2)),modifier,stab*eff,FLOOR(base*modifier)),0)</f>
        <v/>
      </c>
      <c r="L903" s="3">
        <f>IFERROR(LET(mtype,XLOOKUP($D903,'Move Editor'!$B:$B,'Move Editor'!$C:$C,""),cat,XLOOKUP($D903,'Move Editor'!$B:$B,'Move Editor'!$D:$D,""),pow,XLOOKUP($D903,'Move Editor'!$B:$B,'Move Editor'!$E:$E,0),acc,XLOOKUP($D903,'Move Editor'!$B:$B,'Move Editor'!$F:$F,100),atk,IF(cat="Physical",FLOOR((FLOOR(((2*XLOOKUP(XLOOKUP($Q903,'Threshold Summary'!$Y:$Y,'Threshold Summary'!$K:$K,""),'Pokemon Editor'!$A:$A,'Pokemon Editor'!$F:$F,0)+31+FLOOR(XLOOKUP($Q903,'Threshold Summary'!$Y:$Y,'Threshold Summary'!$P:$P,"")/4))*XLOOKUP($Q903,'Threshold Summary'!$Y:$Y,'Threshold Summary'!$L:$L,""))/100)+5)*XLOOKUP(XLOOKUP($Q903,'Threshold Summary'!$Y:$Y,'Threshold Summary'!$M:$M,""),'Nature Editor'!$A:$A,'Nature Editor'!$B:$B,1)),FLOOR((FLOOR(((2*XLOOKUP(XLOOKUP($Q903,'Threshold Summary'!$Y:$Y,'Threshold Summary'!$K:$K,""),'Pokemon Editor'!$A:$A,'Pokemon Editor'!$H:$H,0)+31+FLOOR(XLOOKUP($Q903,'Threshold Summary'!$Y:$Y,'Threshold Summary'!$R:$R,"")/4))*XLOOKUP($Q903,'Threshold Summary'!$Y:$Y,'Threshold Summary'!$L:$L,""))/100)+5)*XLOOKUP(XLOOKUP($Q903,'Threshold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Editor'!$E:$E,1))),stab,IF(OR(mtype=XLOOKUP(XLOOKUP($Q903,'Threshold Summary'!$Y:$Y,'Threshold Summary'!$K:$K,""),'Pokemon Editor'!$A:$A,'Pokemon Editor'!$C:$C,""),mtype=XLOOKUP(XLOOKUP($Q903,'Threshold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Chart'!$B$1:$S$1,0)))),base,IF(OR(cat="Status",pow=0),0,FLOOR(FLOOR(FLOOR((2*XLOOKUP($Q903,'Threshold Summary'!$Y:$Y,'Threshold Summary'!$L:$L,"")/5+2)*pow*atk/def)/50)+2)),modifier,stab*eff,AVERAGE(ARRAYFORMULA(FLOOR(base*modifier*SEQUENCE(16,1,85,1)/100)))),0)</f>
        <v/>
      </c>
      <c r="M903" s="3">
        <f>IFERROR(LET(mtype,XLOOKUP($D903,'Move Editor'!$B:$B,'Move Editor'!$C:$C,""),cat,XLOOKUP($D903,'Move Editor'!$B:$B,'Move Editor'!$D:$D,""),pow,XLOOKUP($D903,'Move Editor'!$B:$B,'Move Editor'!$E:$E,0),acc,XLOOKUP($D903,'Move Editor'!$B:$B,'Move Editor'!$F:$F,100),atk,IF(cat="Physical",FLOOR((FLOOR(((2*XLOOKUP(XLOOKUP($Q903,'Threshold Summary'!$Y:$Y,'Threshold Summary'!$K:$K,""),'Pokemon Editor'!$A:$A,'Pokemon Editor'!$F:$F,0)+31+FLOOR(XLOOKUP($Q903,'Threshold Summary'!$Y:$Y,'Threshold Summary'!$P:$P,"")/4))*XLOOKUP($Q903,'Threshold Summary'!$Y:$Y,'Threshold Summary'!$L:$L,""))/100)+5)*XLOOKUP(XLOOKUP($Q903,'Threshold Summary'!$Y:$Y,'Threshold Summary'!$M:$M,""),'Nature Editor'!$A:$A,'Nature Editor'!$B:$B,1)),FLOOR((FLOOR(((2*XLOOKUP(XLOOKUP($Q903,'Threshold Summary'!$Y:$Y,'Threshold Summary'!$K:$K,""),'Pokemon Editor'!$A:$A,'Pokemon Editor'!$H:$H,0)+31+FLOOR(XLOOKUP($Q903,'Threshold Summary'!$Y:$Y,'Threshold Summary'!$R:$R,"")/4))*XLOOKUP($Q903,'Threshold Summary'!$Y:$Y,'Threshold Summary'!$L:$L,""))/100)+5)*XLOOKUP(XLOOKUP($Q903,'Threshold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Editor'!$E:$E,1))),stab,IF(OR(mtype=XLOOKUP(XLOOKUP($Q903,'Threshold Summary'!$Y:$Y,'Threshold Summary'!$K:$K,""),'Pokemon Editor'!$A:$A,'Pokemon Editor'!$C:$C,""),mtype=XLOOKUP(XLOOKUP($Q903,'Threshold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Chart'!$B$1:$S$1,0)))),base,IF(OR(cat="Status",pow=0),0,FLOOR(FLOOR(FLOOR((2*XLOOKUP($Q903,'Threshold Summary'!$Y:$Y,'Threshold Summary'!$L:$L,"")/5+2)*pow*atk/def)/50)+2)),modifier,stab*eff,AVERAGE(ARRAYFORMULA(FLOOR(base*modifier*SEQUENCE(16,1,85,1)/100)))*MIN(1,acc/100)),0)</f>
        <v/>
      </c>
      <c r="N903" s="4">
        <f>IFERROR(LET(mtype,XLOOKUP($D903,'Move Editor'!$B:$B,'Move Editor'!$C:$C,""),cat,XLOOKUP($D903,'Move Editor'!$B:$B,'Move Editor'!$D:$D,""),pow,XLOOKUP($D903,'Move Editor'!$B:$B,'Move Editor'!$E:$E,0),acc,XLOOKUP($D903,'Move Editor'!$B:$B,'Move Editor'!$F:$F,100),atk,IF(cat="Physical",FLOOR((FLOOR(((2*XLOOKUP(XLOOKUP($Q903,'Threshold Summary'!$Y:$Y,'Threshold Summary'!$K:$K,""),'Pokemon Editor'!$A:$A,'Pokemon Editor'!$F:$F,0)+31+FLOOR(XLOOKUP($Q903,'Threshold Summary'!$Y:$Y,'Threshold Summary'!$P:$P,"")/4))*XLOOKUP($Q903,'Threshold Summary'!$Y:$Y,'Threshold Summary'!$L:$L,""))/100)+5)*XLOOKUP(XLOOKUP($Q903,'Threshold Summary'!$Y:$Y,'Threshold Summary'!$M:$M,""),'Nature Editor'!$A:$A,'Nature Editor'!$B:$B,1)),FLOOR((FLOOR(((2*XLOOKUP(XLOOKUP($Q903,'Threshold Summary'!$Y:$Y,'Threshold Summary'!$K:$K,""),'Pokemon Editor'!$A:$A,'Pokemon Editor'!$H:$H,0)+31+FLOOR(XLOOKUP($Q903,'Threshold Summary'!$Y:$Y,'Threshold Summary'!$R:$R,"")/4))*XLOOKUP($Q903,'Threshold Summary'!$Y:$Y,'Threshold Summary'!$L:$L,""))/100)+5)*XLOOKUP(XLOOKUP($Q903,'Threshold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Editor'!$E:$E,1))),stab,IF(OR(mtype=XLOOKUP(XLOOKUP($Q903,'Threshold Summary'!$Y:$Y,'Threshold Summary'!$K:$K,""),'Pokemon Editor'!$A:$A,'Pokemon Editor'!$C:$C,""),mtype=XLOOKUP(XLOOKUP($Q903,'Threshold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Chart'!$B$1:$S$1,0)))),base,IF(OR(cat="Status",pow=0),0,FLOOR(FLOOR(FLOOR((2*XLOOKUP($Q903,'Threshold Summary'!$Y:$Y,'Threshold Summary'!$L:$L,"")/5+2)*pow*atk/def)/50)+2)),modifier,stab*eff,AVERAGE(ARRAYFORMULA(FLOOR(base*modifier*SEQUENCE(16,1,85,1)/100)))/(FLOOR(((2*XLOOKUP('Boss Editor'!$C$4,'Pokemon Editor'!$A:$A,'Pokemon Editor'!$E:$E,0)+31+FLOOR('Boss Editor'!$G$4/4))*'Boss Editor'!$D$4)/100)+'Boss Editor'!$D$4+10)),0)</f>
        <v/>
      </c>
      <c r="O903" s="3">
        <f>IF(N903&gt;=1,"OHKO",IF(N903&gt;=0.5,"2HKO",IF(N903&gt;=0.333,"3HKO",IF(N903&gt;=0.25,"4HKO","5HKO+"))))</f>
        <v/>
      </c>
      <c r="P903" s="3" t="inlineStr">
        <is>
          <t>Live from editable databases</t>
        </is>
      </c>
      <c r="Q903" s="3" t="inlineStr">
        <is>
          <t>SPECIES_TANDEMAUS</t>
        </is>
      </c>
      <c r="R903" s="3" t="n">
        <v>6</v>
      </c>
    </row>
    <row r="904">
      <c r="A904" s="3">
        <f>XLOOKUP($Q904,'Threshold Summary'!$Y:$Y,'Threshold Summary'!$A:$A,"")</f>
        <v/>
      </c>
      <c r="B904" s="3">
        <f>XLOOKUP($Q904,'Threshold Summary'!$Y:$Y,'Threshold Summary'!$M:$M,"")</f>
        <v/>
      </c>
      <c r="C904" s="3">
        <f>XLOOKUP($Q904,'Threshold Summary'!$Y:$Y,'Threshold Summary'!$N:$N,"")</f>
        <v/>
      </c>
      <c r="D904" s="3">
        <f>IFERROR(INDEX(FILTER('Learnset Editor'!$D$2:$D,'Learnset Editor'!$A$2:$A=XLOOKUP($Q904,'Threshold Summary'!$Y:$Y,'Threshold Summary'!$K:$K,""),'Learnset Editor'!$C$2:$C&lt;=XLOOKUP($Q904,'Threshold Summary'!$Y:$Y,'Threshold Summary'!$L:$L,"")),$R904),"")</f>
        <v/>
      </c>
      <c r="E904" s="3">
        <f>XLOOKUP(D904,'Move Editor'!$B:$B,'Move Editor'!$C:$C,"")</f>
        <v/>
      </c>
      <c r="F904" s="3">
        <f>XLOOKUP(D904,'Move Editor'!$B:$B,'Move Editor'!$D:$D,"")</f>
        <v/>
      </c>
      <c r="G904" s="3">
        <f>XLOOKUP(D904,'Move Editor'!$B:$B,'Move Editor'!$E:$E,0)</f>
        <v/>
      </c>
      <c r="H904" s="3">
        <f>XLOOKUP(D904,'Move Editor'!$B:$B,'Move Editor'!$F:$F,0)</f>
        <v/>
      </c>
      <c r="I904" s="3">
        <f>(INDEX('Type Chart'!$B:$S,MATCH(E904,'Type Chart'!$A:$A,0),MATCH(XLOOKUP('Boss Editor'!$C$4,'Pokemon Editor'!$A:$A,'Pokemon Editor'!$C:$C,""),'Type Chart'!$B$1:$S$1,0))*IF(XLOOKUP('Boss Editor'!$C$4,'Pokemon Editor'!$A:$A,'Pokemon Editor'!$D:$D,"")="",1,INDEX('Type Chart'!$B:$S,MATCH(E904,'Type Chart'!$A:$A,0),MATCH(XLOOKUP('Boss Editor'!$C$4,'Pokemon Editor'!$A:$A,'Pokemon Editor'!$D:$D,""),'Type Chart'!$B$1:$S$1,0))))</f>
        <v/>
      </c>
      <c r="J904" s="3">
        <f>IFERROR(LET(mtype,XLOOKUP($D904,'Move Editor'!$B:$B,'Move Editor'!$C:$C,""),cat,XLOOKUP($D904,'Move Editor'!$B:$B,'Move Editor'!$D:$D,""),pow,XLOOKUP($D904,'Move Editor'!$B:$B,'Move Editor'!$E:$E,0),acc,XLOOKUP($D904,'Move Editor'!$B:$B,'Move Editor'!$F:$F,100),atk,IF(cat="Physical",FLOOR((FLOOR(((2*XLOOKUP(XLOOKUP($Q904,'Threshold Summary'!$Y:$Y,'Threshold Summary'!$K:$K,""),'Pokemon Editor'!$A:$A,'Pokemon Editor'!$F:$F,0)+31+FLOOR(XLOOKUP($Q904,'Threshold Summary'!$Y:$Y,'Threshold Summary'!$P:$P,"")/4))*XLOOKUP($Q904,'Threshold Summary'!$Y:$Y,'Threshold Summary'!$L:$L,""))/100)+5)*XLOOKUP(XLOOKUP($Q904,'Threshold Summary'!$Y:$Y,'Threshold Summary'!$M:$M,""),'Nature Editor'!$A:$A,'Nature Editor'!$B:$B,1)),FLOOR((FLOOR(((2*XLOOKUP(XLOOKUP($Q904,'Threshold Summary'!$Y:$Y,'Threshold Summary'!$K:$K,""),'Pokemon Editor'!$A:$A,'Pokemon Editor'!$H:$H,0)+31+FLOOR(XLOOKUP($Q904,'Threshold Summary'!$Y:$Y,'Threshold Summary'!$R:$R,"")/4))*XLOOKUP($Q904,'Threshold Summary'!$Y:$Y,'Threshold Summary'!$L:$L,""))/100)+5)*XLOOKUP(XLOOKUP($Q904,'Threshold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Editor'!$E:$E,1))),stab,IF(OR(mtype=XLOOKUP(XLOOKUP($Q904,'Threshold Summary'!$Y:$Y,'Threshold Summary'!$K:$K,""),'Pokemon Editor'!$A:$A,'Pokemon Editor'!$C:$C,""),mtype=XLOOKUP(XLOOKUP($Q904,'Threshold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Chart'!$B$1:$S$1,0)))),base,IF(OR(cat="Status",pow=0),0,FLOOR(FLOOR(FLOOR((2*XLOOKUP($Q904,'Threshold Summary'!$Y:$Y,'Threshold Summary'!$L:$L,"")/5+2)*pow*atk/def)/50)+2)),modifier,stab*eff,FLOOR(base*modifier*0.85)),0)</f>
        <v/>
      </c>
      <c r="K904" s="3">
        <f>IFERROR(LET(mtype,XLOOKUP($D904,'Move Editor'!$B:$B,'Move Editor'!$C:$C,""),cat,XLOOKUP($D904,'Move Editor'!$B:$B,'Move Editor'!$D:$D,""),pow,XLOOKUP($D904,'Move Editor'!$B:$B,'Move Editor'!$E:$E,0),acc,XLOOKUP($D904,'Move Editor'!$B:$B,'Move Editor'!$F:$F,100),atk,IF(cat="Physical",FLOOR((FLOOR(((2*XLOOKUP(XLOOKUP($Q904,'Threshold Summary'!$Y:$Y,'Threshold Summary'!$K:$K,""),'Pokemon Editor'!$A:$A,'Pokemon Editor'!$F:$F,0)+31+FLOOR(XLOOKUP($Q904,'Threshold Summary'!$Y:$Y,'Threshold Summary'!$P:$P,"")/4))*XLOOKUP($Q904,'Threshold Summary'!$Y:$Y,'Threshold Summary'!$L:$L,""))/100)+5)*XLOOKUP(XLOOKUP($Q904,'Threshold Summary'!$Y:$Y,'Threshold Summary'!$M:$M,""),'Nature Editor'!$A:$A,'Nature Editor'!$B:$B,1)),FLOOR((FLOOR(((2*XLOOKUP(XLOOKUP($Q904,'Threshold Summary'!$Y:$Y,'Threshold Summary'!$K:$K,""),'Pokemon Editor'!$A:$A,'Pokemon Editor'!$H:$H,0)+31+FLOOR(XLOOKUP($Q904,'Threshold Summary'!$Y:$Y,'Threshold Summary'!$R:$R,"")/4))*XLOOKUP($Q904,'Threshold Summary'!$Y:$Y,'Threshold Summary'!$L:$L,""))/100)+5)*XLOOKUP(XLOOKUP($Q904,'Threshold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Editor'!$E:$E,1))),stab,IF(OR(mtype=XLOOKUP(XLOOKUP($Q904,'Threshold Summary'!$Y:$Y,'Threshold Summary'!$K:$K,""),'Pokemon Editor'!$A:$A,'Pokemon Editor'!$C:$C,""),mtype=XLOOKUP(XLOOKUP($Q904,'Threshold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Chart'!$B$1:$S$1,0)))),base,IF(OR(cat="Status",pow=0),0,FLOOR(FLOOR(FLOOR((2*XLOOKUP($Q904,'Threshold Summary'!$Y:$Y,'Threshold Summary'!$L:$L,"")/5+2)*pow*atk/def)/50)+2)),modifier,stab*eff,FLOOR(base*modifier)),0)</f>
        <v/>
      </c>
      <c r="L904" s="3">
        <f>IFERROR(LET(mtype,XLOOKUP($D904,'Move Editor'!$B:$B,'Move Editor'!$C:$C,""),cat,XLOOKUP($D904,'Move Editor'!$B:$B,'Move Editor'!$D:$D,""),pow,XLOOKUP($D904,'Move Editor'!$B:$B,'Move Editor'!$E:$E,0),acc,XLOOKUP($D904,'Move Editor'!$B:$B,'Move Editor'!$F:$F,100),atk,IF(cat="Physical",FLOOR((FLOOR(((2*XLOOKUP(XLOOKUP($Q904,'Threshold Summary'!$Y:$Y,'Threshold Summary'!$K:$K,""),'Pokemon Editor'!$A:$A,'Pokemon Editor'!$F:$F,0)+31+FLOOR(XLOOKUP($Q904,'Threshold Summary'!$Y:$Y,'Threshold Summary'!$P:$P,"")/4))*XLOOKUP($Q904,'Threshold Summary'!$Y:$Y,'Threshold Summary'!$L:$L,""))/100)+5)*XLOOKUP(XLOOKUP($Q904,'Threshold Summary'!$Y:$Y,'Threshold Summary'!$M:$M,""),'Nature Editor'!$A:$A,'Nature Editor'!$B:$B,1)),FLOOR((FLOOR(((2*XLOOKUP(XLOOKUP($Q904,'Threshold Summary'!$Y:$Y,'Threshold Summary'!$K:$K,""),'Pokemon Editor'!$A:$A,'Pokemon Editor'!$H:$H,0)+31+FLOOR(XLOOKUP($Q904,'Threshold Summary'!$Y:$Y,'Threshold Summary'!$R:$R,"")/4))*XLOOKUP($Q904,'Threshold Summary'!$Y:$Y,'Threshold Summary'!$L:$L,""))/100)+5)*XLOOKUP(XLOOKUP($Q904,'Threshold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Editor'!$E:$E,1))),stab,IF(OR(mtype=XLOOKUP(XLOOKUP($Q904,'Threshold Summary'!$Y:$Y,'Threshold Summary'!$K:$K,""),'Pokemon Editor'!$A:$A,'Pokemon Editor'!$C:$C,""),mtype=XLOOKUP(XLOOKUP($Q904,'Threshold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Chart'!$B$1:$S$1,0)))),base,IF(OR(cat="Status",pow=0),0,FLOOR(FLOOR(FLOOR((2*XLOOKUP($Q904,'Threshold Summary'!$Y:$Y,'Threshold Summary'!$L:$L,"")/5+2)*pow*atk/def)/50)+2)),modifier,stab*eff,AVERAGE(ARRAYFORMULA(FLOOR(base*modifier*SEQUENCE(16,1,85,1)/100)))),0)</f>
        <v/>
      </c>
      <c r="M904" s="3">
        <f>IFERROR(LET(mtype,XLOOKUP($D904,'Move Editor'!$B:$B,'Move Editor'!$C:$C,""),cat,XLOOKUP($D904,'Move Editor'!$B:$B,'Move Editor'!$D:$D,""),pow,XLOOKUP($D904,'Move Editor'!$B:$B,'Move Editor'!$E:$E,0),acc,XLOOKUP($D904,'Move Editor'!$B:$B,'Move Editor'!$F:$F,100),atk,IF(cat="Physical",FLOOR((FLOOR(((2*XLOOKUP(XLOOKUP($Q904,'Threshold Summary'!$Y:$Y,'Threshold Summary'!$K:$K,""),'Pokemon Editor'!$A:$A,'Pokemon Editor'!$F:$F,0)+31+FLOOR(XLOOKUP($Q904,'Threshold Summary'!$Y:$Y,'Threshold Summary'!$P:$P,"")/4))*XLOOKUP($Q904,'Threshold Summary'!$Y:$Y,'Threshold Summary'!$L:$L,""))/100)+5)*XLOOKUP(XLOOKUP($Q904,'Threshold Summary'!$Y:$Y,'Threshold Summary'!$M:$M,""),'Nature Editor'!$A:$A,'Nature Editor'!$B:$B,1)),FLOOR((FLOOR(((2*XLOOKUP(XLOOKUP($Q904,'Threshold Summary'!$Y:$Y,'Threshold Summary'!$K:$K,""),'Pokemon Editor'!$A:$A,'Pokemon Editor'!$H:$H,0)+31+FLOOR(XLOOKUP($Q904,'Threshold Summary'!$Y:$Y,'Threshold Summary'!$R:$R,"")/4))*XLOOKUP($Q904,'Threshold Summary'!$Y:$Y,'Threshold Summary'!$L:$L,""))/100)+5)*XLOOKUP(XLOOKUP($Q904,'Threshold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Editor'!$E:$E,1))),stab,IF(OR(mtype=XLOOKUP(XLOOKUP($Q904,'Threshold Summary'!$Y:$Y,'Threshold Summary'!$K:$K,""),'Pokemon Editor'!$A:$A,'Pokemon Editor'!$C:$C,""),mtype=XLOOKUP(XLOOKUP($Q904,'Threshold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Chart'!$B$1:$S$1,0)))),base,IF(OR(cat="Status",pow=0),0,FLOOR(FLOOR(FLOOR((2*XLOOKUP($Q904,'Threshold Summary'!$Y:$Y,'Threshold Summary'!$L:$L,"")/5+2)*pow*atk/def)/50)+2)),modifier,stab*eff,AVERAGE(ARRAYFORMULA(FLOOR(base*modifier*SEQUENCE(16,1,85,1)/100)))*MIN(1,acc/100)),0)</f>
        <v/>
      </c>
      <c r="N904" s="4">
        <f>IFERROR(LET(mtype,XLOOKUP($D904,'Move Editor'!$B:$B,'Move Editor'!$C:$C,""),cat,XLOOKUP($D904,'Move Editor'!$B:$B,'Move Editor'!$D:$D,""),pow,XLOOKUP($D904,'Move Editor'!$B:$B,'Move Editor'!$E:$E,0),acc,XLOOKUP($D904,'Move Editor'!$B:$B,'Move Editor'!$F:$F,100),atk,IF(cat="Physical",FLOOR((FLOOR(((2*XLOOKUP(XLOOKUP($Q904,'Threshold Summary'!$Y:$Y,'Threshold Summary'!$K:$K,""),'Pokemon Editor'!$A:$A,'Pokemon Editor'!$F:$F,0)+31+FLOOR(XLOOKUP($Q904,'Threshold Summary'!$Y:$Y,'Threshold Summary'!$P:$P,"")/4))*XLOOKUP($Q904,'Threshold Summary'!$Y:$Y,'Threshold Summary'!$L:$L,""))/100)+5)*XLOOKUP(XLOOKUP($Q904,'Threshold Summary'!$Y:$Y,'Threshold Summary'!$M:$M,""),'Nature Editor'!$A:$A,'Nature Editor'!$B:$B,1)),FLOOR((FLOOR(((2*XLOOKUP(XLOOKUP($Q904,'Threshold Summary'!$Y:$Y,'Threshold Summary'!$K:$K,""),'Pokemon Editor'!$A:$A,'Pokemon Editor'!$H:$H,0)+31+FLOOR(XLOOKUP($Q904,'Threshold Summary'!$Y:$Y,'Threshold Summary'!$R:$R,"")/4))*XLOOKUP($Q904,'Threshold Summary'!$Y:$Y,'Threshold Summary'!$L:$L,""))/100)+5)*XLOOKUP(XLOOKUP($Q904,'Threshold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Editor'!$E:$E,1))),stab,IF(OR(mtype=XLOOKUP(XLOOKUP($Q904,'Threshold Summary'!$Y:$Y,'Threshold Summary'!$K:$K,""),'Pokemon Editor'!$A:$A,'Pokemon Editor'!$C:$C,""),mtype=XLOOKUP(XLOOKUP($Q904,'Threshold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Chart'!$B$1:$S$1,0)))),base,IF(OR(cat="Status",pow=0),0,FLOOR(FLOOR(FLOOR((2*XLOOKUP($Q904,'Threshold Summary'!$Y:$Y,'Threshold Summary'!$L:$L,"")/5+2)*pow*atk/def)/50)+2)),modifier,stab*eff,AVERAGE(ARRAYFORMULA(FLOOR(base*modifier*SEQUENCE(16,1,85,1)/100)))/(FLOOR(((2*XLOOKUP('Boss Editor'!$C$4,'Pokemon Editor'!$A:$A,'Pokemon Editor'!$E:$E,0)+31+FLOOR('Boss Editor'!$G$4/4))*'Boss Editor'!$D$4)/100)+'Boss Editor'!$D$4+10)),0)</f>
        <v/>
      </c>
      <c r="O904" s="3">
        <f>IF(N904&gt;=1,"OHKO",IF(N904&gt;=0.5,"2HKO",IF(N904&gt;=0.333,"3HKO",IF(N904&gt;=0.25,"4HKO","5HKO+"))))</f>
        <v/>
      </c>
      <c r="P904" s="3" t="inlineStr">
        <is>
          <t>Live from editable databases</t>
        </is>
      </c>
      <c r="Q904" s="3" t="inlineStr">
        <is>
          <t>SPECIES_TANDEMAUS</t>
        </is>
      </c>
      <c r="R904" s="3" t="n">
        <v>7</v>
      </c>
    </row>
    <row r="905">
      <c r="A905" s="3">
        <f>XLOOKUP($Q905,'Threshold Summary'!$Y:$Y,'Threshold Summary'!$A:$A,"")</f>
        <v/>
      </c>
      <c r="B905" s="3">
        <f>XLOOKUP($Q905,'Threshold Summary'!$Y:$Y,'Threshold Summary'!$M:$M,"")</f>
        <v/>
      </c>
      <c r="C905" s="3">
        <f>XLOOKUP($Q905,'Threshold Summary'!$Y:$Y,'Threshold Summary'!$N:$N,"")</f>
        <v/>
      </c>
      <c r="D905" s="3">
        <f>IFERROR(INDEX(FILTER('Learnset Editor'!$D$2:$D,'Learnset Editor'!$A$2:$A=XLOOKUP($Q905,'Threshold Summary'!$Y:$Y,'Threshold Summary'!$K:$K,""),'Learnset Editor'!$C$2:$C&lt;=XLOOKUP($Q905,'Threshold Summary'!$Y:$Y,'Threshold Summary'!$L:$L,"")),$R905),"")</f>
        <v/>
      </c>
      <c r="E905" s="3">
        <f>XLOOKUP(D905,'Move Editor'!$B:$B,'Move Editor'!$C:$C,"")</f>
        <v/>
      </c>
      <c r="F905" s="3">
        <f>XLOOKUP(D905,'Move Editor'!$B:$B,'Move Editor'!$D:$D,"")</f>
        <v/>
      </c>
      <c r="G905" s="3">
        <f>XLOOKUP(D905,'Move Editor'!$B:$B,'Move Editor'!$E:$E,0)</f>
        <v/>
      </c>
      <c r="H905" s="3">
        <f>XLOOKUP(D905,'Move Editor'!$B:$B,'Move Editor'!$F:$F,0)</f>
        <v/>
      </c>
      <c r="I905" s="3">
        <f>(INDEX('Type Chart'!$B:$S,MATCH(E905,'Type Chart'!$A:$A,0),MATCH(XLOOKUP('Boss Editor'!$C$4,'Pokemon Editor'!$A:$A,'Pokemon Editor'!$C:$C,""),'Type Chart'!$B$1:$S$1,0))*IF(XLOOKUP('Boss Editor'!$C$4,'Pokemon Editor'!$A:$A,'Pokemon Editor'!$D:$D,"")="",1,INDEX('Type Chart'!$B:$S,MATCH(E905,'Type Chart'!$A:$A,0),MATCH(XLOOKUP('Boss Editor'!$C$4,'Pokemon Editor'!$A:$A,'Pokemon Editor'!$D:$D,""),'Type Chart'!$B$1:$S$1,0))))</f>
        <v/>
      </c>
      <c r="J905" s="3">
        <f>IFERROR(LET(mtype,XLOOKUP($D905,'Move Editor'!$B:$B,'Move Editor'!$C:$C,""),cat,XLOOKUP($D905,'Move Editor'!$B:$B,'Move Editor'!$D:$D,""),pow,XLOOKUP($D905,'Move Editor'!$B:$B,'Move Editor'!$E:$E,0),acc,XLOOKUP($D905,'Move Editor'!$B:$B,'Move Editor'!$F:$F,100),atk,IF(cat="Physical",FLOOR((FLOOR(((2*XLOOKUP(XLOOKUP($Q905,'Threshold Summary'!$Y:$Y,'Threshold Summary'!$K:$K,""),'Pokemon Editor'!$A:$A,'Pokemon Editor'!$F:$F,0)+31+FLOOR(XLOOKUP($Q905,'Threshold Summary'!$Y:$Y,'Threshold Summary'!$P:$P,"")/4))*XLOOKUP($Q905,'Threshold Summary'!$Y:$Y,'Threshold Summary'!$L:$L,""))/100)+5)*XLOOKUP(XLOOKUP($Q905,'Threshold Summary'!$Y:$Y,'Threshold Summary'!$M:$M,""),'Nature Editor'!$A:$A,'Nature Editor'!$B:$B,1)),FLOOR((FLOOR(((2*XLOOKUP(XLOOKUP($Q905,'Threshold Summary'!$Y:$Y,'Threshold Summary'!$K:$K,""),'Pokemon Editor'!$A:$A,'Pokemon Editor'!$H:$H,0)+31+FLOOR(XLOOKUP($Q905,'Threshold Summary'!$Y:$Y,'Threshold Summary'!$R:$R,"")/4))*XLOOKUP($Q905,'Threshold Summary'!$Y:$Y,'Threshold Summary'!$L:$L,""))/100)+5)*XLOOKUP(XLOOKUP($Q905,'Threshold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Editor'!$E:$E,1))),stab,IF(OR(mtype=XLOOKUP(XLOOKUP($Q905,'Threshold Summary'!$Y:$Y,'Threshold Summary'!$K:$K,""),'Pokemon Editor'!$A:$A,'Pokemon Editor'!$C:$C,""),mtype=XLOOKUP(XLOOKUP($Q905,'Threshold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Chart'!$B$1:$S$1,0)))),base,IF(OR(cat="Status",pow=0),0,FLOOR(FLOOR(FLOOR((2*XLOOKUP($Q905,'Threshold Summary'!$Y:$Y,'Threshold Summary'!$L:$L,"")/5+2)*pow*atk/def)/50)+2)),modifier,stab*eff,FLOOR(base*modifier*0.85)),0)</f>
        <v/>
      </c>
      <c r="K905" s="3">
        <f>IFERROR(LET(mtype,XLOOKUP($D905,'Move Editor'!$B:$B,'Move Editor'!$C:$C,""),cat,XLOOKUP($D905,'Move Editor'!$B:$B,'Move Editor'!$D:$D,""),pow,XLOOKUP($D905,'Move Editor'!$B:$B,'Move Editor'!$E:$E,0),acc,XLOOKUP($D905,'Move Editor'!$B:$B,'Move Editor'!$F:$F,100),atk,IF(cat="Physical",FLOOR((FLOOR(((2*XLOOKUP(XLOOKUP($Q905,'Threshold Summary'!$Y:$Y,'Threshold Summary'!$K:$K,""),'Pokemon Editor'!$A:$A,'Pokemon Editor'!$F:$F,0)+31+FLOOR(XLOOKUP($Q905,'Threshold Summary'!$Y:$Y,'Threshold Summary'!$P:$P,"")/4))*XLOOKUP($Q905,'Threshold Summary'!$Y:$Y,'Threshold Summary'!$L:$L,""))/100)+5)*XLOOKUP(XLOOKUP($Q905,'Threshold Summary'!$Y:$Y,'Threshold Summary'!$M:$M,""),'Nature Editor'!$A:$A,'Nature Editor'!$B:$B,1)),FLOOR((FLOOR(((2*XLOOKUP(XLOOKUP($Q905,'Threshold Summary'!$Y:$Y,'Threshold Summary'!$K:$K,""),'Pokemon Editor'!$A:$A,'Pokemon Editor'!$H:$H,0)+31+FLOOR(XLOOKUP($Q905,'Threshold Summary'!$Y:$Y,'Threshold Summary'!$R:$R,"")/4))*XLOOKUP($Q905,'Threshold Summary'!$Y:$Y,'Threshold Summary'!$L:$L,""))/100)+5)*XLOOKUP(XLOOKUP($Q905,'Threshold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Editor'!$E:$E,1))),stab,IF(OR(mtype=XLOOKUP(XLOOKUP($Q905,'Threshold Summary'!$Y:$Y,'Threshold Summary'!$K:$K,""),'Pokemon Editor'!$A:$A,'Pokemon Editor'!$C:$C,""),mtype=XLOOKUP(XLOOKUP($Q905,'Threshold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Chart'!$B$1:$S$1,0)))),base,IF(OR(cat="Status",pow=0),0,FLOOR(FLOOR(FLOOR((2*XLOOKUP($Q905,'Threshold Summary'!$Y:$Y,'Threshold Summary'!$L:$L,"")/5+2)*pow*atk/def)/50)+2)),modifier,stab*eff,FLOOR(base*modifier)),0)</f>
        <v/>
      </c>
      <c r="L905" s="3">
        <f>IFERROR(LET(mtype,XLOOKUP($D905,'Move Editor'!$B:$B,'Move Editor'!$C:$C,""),cat,XLOOKUP($D905,'Move Editor'!$B:$B,'Move Editor'!$D:$D,""),pow,XLOOKUP($D905,'Move Editor'!$B:$B,'Move Editor'!$E:$E,0),acc,XLOOKUP($D905,'Move Editor'!$B:$B,'Move Editor'!$F:$F,100),atk,IF(cat="Physical",FLOOR((FLOOR(((2*XLOOKUP(XLOOKUP($Q905,'Threshold Summary'!$Y:$Y,'Threshold Summary'!$K:$K,""),'Pokemon Editor'!$A:$A,'Pokemon Editor'!$F:$F,0)+31+FLOOR(XLOOKUP($Q905,'Threshold Summary'!$Y:$Y,'Threshold Summary'!$P:$P,"")/4))*XLOOKUP($Q905,'Threshold Summary'!$Y:$Y,'Threshold Summary'!$L:$L,""))/100)+5)*XLOOKUP(XLOOKUP($Q905,'Threshold Summary'!$Y:$Y,'Threshold Summary'!$M:$M,""),'Nature Editor'!$A:$A,'Nature Editor'!$B:$B,1)),FLOOR((FLOOR(((2*XLOOKUP(XLOOKUP($Q905,'Threshold Summary'!$Y:$Y,'Threshold Summary'!$K:$K,""),'Pokemon Editor'!$A:$A,'Pokemon Editor'!$H:$H,0)+31+FLOOR(XLOOKUP($Q905,'Threshold Summary'!$Y:$Y,'Threshold Summary'!$R:$R,"")/4))*XLOOKUP($Q905,'Threshold Summary'!$Y:$Y,'Threshold Summary'!$L:$L,""))/100)+5)*XLOOKUP(XLOOKUP($Q905,'Threshold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Editor'!$E:$E,1))),stab,IF(OR(mtype=XLOOKUP(XLOOKUP($Q905,'Threshold Summary'!$Y:$Y,'Threshold Summary'!$K:$K,""),'Pokemon Editor'!$A:$A,'Pokemon Editor'!$C:$C,""),mtype=XLOOKUP(XLOOKUP($Q905,'Threshold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Chart'!$B$1:$S$1,0)))),base,IF(OR(cat="Status",pow=0),0,FLOOR(FLOOR(FLOOR((2*XLOOKUP($Q905,'Threshold Summary'!$Y:$Y,'Threshold Summary'!$L:$L,"")/5+2)*pow*atk/def)/50)+2)),modifier,stab*eff,AVERAGE(ARRAYFORMULA(FLOOR(base*modifier*SEQUENCE(16,1,85,1)/100)))),0)</f>
        <v/>
      </c>
      <c r="M905" s="3">
        <f>IFERROR(LET(mtype,XLOOKUP($D905,'Move Editor'!$B:$B,'Move Editor'!$C:$C,""),cat,XLOOKUP($D905,'Move Editor'!$B:$B,'Move Editor'!$D:$D,""),pow,XLOOKUP($D905,'Move Editor'!$B:$B,'Move Editor'!$E:$E,0),acc,XLOOKUP($D905,'Move Editor'!$B:$B,'Move Editor'!$F:$F,100),atk,IF(cat="Physical",FLOOR((FLOOR(((2*XLOOKUP(XLOOKUP($Q905,'Threshold Summary'!$Y:$Y,'Threshold Summary'!$K:$K,""),'Pokemon Editor'!$A:$A,'Pokemon Editor'!$F:$F,0)+31+FLOOR(XLOOKUP($Q905,'Threshold Summary'!$Y:$Y,'Threshold Summary'!$P:$P,"")/4))*XLOOKUP($Q905,'Threshold Summary'!$Y:$Y,'Threshold Summary'!$L:$L,""))/100)+5)*XLOOKUP(XLOOKUP($Q905,'Threshold Summary'!$Y:$Y,'Threshold Summary'!$M:$M,""),'Nature Editor'!$A:$A,'Nature Editor'!$B:$B,1)),FLOOR((FLOOR(((2*XLOOKUP(XLOOKUP($Q905,'Threshold Summary'!$Y:$Y,'Threshold Summary'!$K:$K,""),'Pokemon Editor'!$A:$A,'Pokemon Editor'!$H:$H,0)+31+FLOOR(XLOOKUP($Q905,'Threshold Summary'!$Y:$Y,'Threshold Summary'!$R:$R,"")/4))*XLOOKUP($Q905,'Threshold Summary'!$Y:$Y,'Threshold Summary'!$L:$L,""))/100)+5)*XLOOKUP(XLOOKUP($Q905,'Threshold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Editor'!$E:$E,1))),stab,IF(OR(mtype=XLOOKUP(XLOOKUP($Q905,'Threshold Summary'!$Y:$Y,'Threshold Summary'!$K:$K,""),'Pokemon Editor'!$A:$A,'Pokemon Editor'!$C:$C,""),mtype=XLOOKUP(XLOOKUP($Q905,'Threshold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Chart'!$B$1:$S$1,0)))),base,IF(OR(cat="Status",pow=0),0,FLOOR(FLOOR(FLOOR((2*XLOOKUP($Q905,'Threshold Summary'!$Y:$Y,'Threshold Summary'!$L:$L,"")/5+2)*pow*atk/def)/50)+2)),modifier,stab*eff,AVERAGE(ARRAYFORMULA(FLOOR(base*modifier*SEQUENCE(16,1,85,1)/100)))*MIN(1,acc/100)),0)</f>
        <v/>
      </c>
      <c r="N905" s="4">
        <f>IFERROR(LET(mtype,XLOOKUP($D905,'Move Editor'!$B:$B,'Move Editor'!$C:$C,""),cat,XLOOKUP($D905,'Move Editor'!$B:$B,'Move Editor'!$D:$D,""),pow,XLOOKUP($D905,'Move Editor'!$B:$B,'Move Editor'!$E:$E,0),acc,XLOOKUP($D905,'Move Editor'!$B:$B,'Move Editor'!$F:$F,100),atk,IF(cat="Physical",FLOOR((FLOOR(((2*XLOOKUP(XLOOKUP($Q905,'Threshold Summary'!$Y:$Y,'Threshold Summary'!$K:$K,""),'Pokemon Editor'!$A:$A,'Pokemon Editor'!$F:$F,0)+31+FLOOR(XLOOKUP($Q905,'Threshold Summary'!$Y:$Y,'Threshold Summary'!$P:$P,"")/4))*XLOOKUP($Q905,'Threshold Summary'!$Y:$Y,'Threshold Summary'!$L:$L,""))/100)+5)*XLOOKUP(XLOOKUP($Q905,'Threshold Summary'!$Y:$Y,'Threshold Summary'!$M:$M,""),'Nature Editor'!$A:$A,'Nature Editor'!$B:$B,1)),FLOOR((FLOOR(((2*XLOOKUP(XLOOKUP($Q905,'Threshold Summary'!$Y:$Y,'Threshold Summary'!$K:$K,""),'Pokemon Editor'!$A:$A,'Pokemon Editor'!$H:$H,0)+31+FLOOR(XLOOKUP($Q905,'Threshold Summary'!$Y:$Y,'Threshold Summary'!$R:$R,"")/4))*XLOOKUP($Q905,'Threshold Summary'!$Y:$Y,'Threshold Summary'!$L:$L,""))/100)+5)*XLOOKUP(XLOOKUP($Q905,'Threshold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Editor'!$E:$E,1))),stab,IF(OR(mtype=XLOOKUP(XLOOKUP($Q905,'Threshold Summary'!$Y:$Y,'Threshold Summary'!$K:$K,""),'Pokemon Editor'!$A:$A,'Pokemon Editor'!$C:$C,""),mtype=XLOOKUP(XLOOKUP($Q905,'Threshold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Chart'!$B$1:$S$1,0)))),base,IF(OR(cat="Status",pow=0),0,FLOOR(FLOOR(FLOOR((2*XLOOKUP($Q905,'Threshold Summary'!$Y:$Y,'Threshold Summary'!$L:$L,"")/5+2)*pow*atk/def)/50)+2)),modifier,stab*eff,AVERAGE(ARRAYFORMULA(FLOOR(base*modifier*SEQUENCE(16,1,85,1)/100)))/(FLOOR(((2*XLOOKUP('Boss Editor'!$C$4,'Pokemon Editor'!$A:$A,'Pokemon Editor'!$E:$E,0)+31+FLOOR('Boss Editor'!$G$4/4))*'Boss Editor'!$D$4)/100)+'Boss Editor'!$D$4+10)),0)</f>
        <v/>
      </c>
      <c r="O905" s="3">
        <f>IF(N905&gt;=1,"OHKO",IF(N905&gt;=0.5,"2HKO",IF(N905&gt;=0.333,"3HKO",IF(N905&gt;=0.25,"4HKO","5HKO+"))))</f>
        <v/>
      </c>
      <c r="P905" s="3" t="inlineStr">
        <is>
          <t>Live from editable databases</t>
        </is>
      </c>
      <c r="Q905" s="3" t="inlineStr">
        <is>
          <t>SPECIES_TANDEMAUS</t>
        </is>
      </c>
      <c r="R905" s="3" t="n">
        <v>8</v>
      </c>
    </row>
    <row r="906">
      <c r="A906" s="3">
        <f>XLOOKUP($Q906,'Threshold Summary'!$Y:$Y,'Threshold Summary'!$A:$A,"")</f>
        <v/>
      </c>
      <c r="B906" s="3">
        <f>XLOOKUP($Q906,'Threshold Summary'!$Y:$Y,'Threshold Summary'!$M:$M,"")</f>
        <v/>
      </c>
      <c r="C906" s="3">
        <f>XLOOKUP($Q906,'Threshold Summary'!$Y:$Y,'Threshold Summary'!$N:$N,"")</f>
        <v/>
      </c>
      <c r="D906" s="3">
        <f>IFERROR(INDEX(FILTER('Learnset Editor'!$D$2:$D,'Learnset Editor'!$A$2:$A=XLOOKUP($Q906,'Threshold Summary'!$Y:$Y,'Threshold Summary'!$K:$K,""),'Learnset Editor'!$C$2:$C&lt;=XLOOKUP($Q906,'Threshold Summary'!$Y:$Y,'Threshold Summary'!$L:$L,"")),$R906),"")</f>
        <v/>
      </c>
      <c r="E906" s="3">
        <f>XLOOKUP(D906,'Move Editor'!$B:$B,'Move Editor'!$C:$C,"")</f>
        <v/>
      </c>
      <c r="F906" s="3">
        <f>XLOOKUP(D906,'Move Editor'!$B:$B,'Move Editor'!$D:$D,"")</f>
        <v/>
      </c>
      <c r="G906" s="3">
        <f>XLOOKUP(D906,'Move Editor'!$B:$B,'Move Editor'!$E:$E,0)</f>
        <v/>
      </c>
      <c r="H906" s="3">
        <f>XLOOKUP(D906,'Move Editor'!$B:$B,'Move Editor'!$F:$F,0)</f>
        <v/>
      </c>
      <c r="I906" s="3">
        <f>(INDEX('Type Chart'!$B:$S,MATCH(E906,'Type Chart'!$A:$A,0),MATCH(XLOOKUP('Boss Editor'!$C$4,'Pokemon Editor'!$A:$A,'Pokemon Editor'!$C:$C,""),'Type Chart'!$B$1:$S$1,0))*IF(XLOOKUP('Boss Editor'!$C$4,'Pokemon Editor'!$A:$A,'Pokemon Editor'!$D:$D,"")="",1,INDEX('Type Chart'!$B:$S,MATCH(E906,'Type Chart'!$A:$A,0),MATCH(XLOOKUP('Boss Editor'!$C$4,'Pokemon Editor'!$A:$A,'Pokemon Editor'!$D:$D,""),'Type Chart'!$B$1:$S$1,0))))</f>
        <v/>
      </c>
      <c r="J906" s="3">
        <f>IFERROR(LET(mtype,XLOOKUP($D906,'Move Editor'!$B:$B,'Move Editor'!$C:$C,""),cat,XLOOKUP($D906,'Move Editor'!$B:$B,'Move Editor'!$D:$D,""),pow,XLOOKUP($D906,'Move Editor'!$B:$B,'Move Editor'!$E:$E,0),acc,XLOOKUP($D906,'Move Editor'!$B:$B,'Move Editor'!$F:$F,100),atk,IF(cat="Physical",FLOOR((FLOOR(((2*XLOOKUP(XLOOKUP($Q906,'Threshold Summary'!$Y:$Y,'Threshold Summary'!$K:$K,""),'Pokemon Editor'!$A:$A,'Pokemon Editor'!$F:$F,0)+31+FLOOR(XLOOKUP($Q906,'Threshold Summary'!$Y:$Y,'Threshold Summary'!$P:$P,"")/4))*XLOOKUP($Q906,'Threshold Summary'!$Y:$Y,'Threshold Summary'!$L:$L,""))/100)+5)*XLOOKUP(XLOOKUP($Q906,'Threshold Summary'!$Y:$Y,'Threshold Summary'!$M:$M,""),'Nature Editor'!$A:$A,'Nature Editor'!$B:$B,1)),FLOOR((FLOOR(((2*XLOOKUP(XLOOKUP($Q906,'Threshold Summary'!$Y:$Y,'Threshold Summary'!$K:$K,""),'Pokemon Editor'!$A:$A,'Pokemon Editor'!$H:$H,0)+31+FLOOR(XLOOKUP($Q906,'Threshold Summary'!$Y:$Y,'Threshold Summary'!$R:$R,"")/4))*XLOOKUP($Q906,'Threshold Summary'!$Y:$Y,'Threshold Summary'!$L:$L,""))/100)+5)*XLOOKUP(XLOOKUP($Q906,'Threshold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Editor'!$E:$E,1))),stab,IF(OR(mtype=XLOOKUP(XLOOKUP($Q906,'Threshold Summary'!$Y:$Y,'Threshold Summary'!$K:$K,""),'Pokemon Editor'!$A:$A,'Pokemon Editor'!$C:$C,""),mtype=XLOOKUP(XLOOKUP($Q906,'Threshold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Chart'!$B$1:$S$1,0)))),base,IF(OR(cat="Status",pow=0),0,FLOOR(FLOOR(FLOOR((2*XLOOKUP($Q906,'Threshold Summary'!$Y:$Y,'Threshold Summary'!$L:$L,"")/5+2)*pow*atk/def)/50)+2)),modifier,stab*eff,FLOOR(base*modifier*0.85)),0)</f>
        <v/>
      </c>
      <c r="K906" s="3">
        <f>IFERROR(LET(mtype,XLOOKUP($D906,'Move Editor'!$B:$B,'Move Editor'!$C:$C,""),cat,XLOOKUP($D906,'Move Editor'!$B:$B,'Move Editor'!$D:$D,""),pow,XLOOKUP($D906,'Move Editor'!$B:$B,'Move Editor'!$E:$E,0),acc,XLOOKUP($D906,'Move Editor'!$B:$B,'Move Editor'!$F:$F,100),atk,IF(cat="Physical",FLOOR((FLOOR(((2*XLOOKUP(XLOOKUP($Q906,'Threshold Summary'!$Y:$Y,'Threshold Summary'!$K:$K,""),'Pokemon Editor'!$A:$A,'Pokemon Editor'!$F:$F,0)+31+FLOOR(XLOOKUP($Q906,'Threshold Summary'!$Y:$Y,'Threshold Summary'!$P:$P,"")/4))*XLOOKUP($Q906,'Threshold Summary'!$Y:$Y,'Threshold Summary'!$L:$L,""))/100)+5)*XLOOKUP(XLOOKUP($Q906,'Threshold Summary'!$Y:$Y,'Threshold Summary'!$M:$M,""),'Nature Editor'!$A:$A,'Nature Editor'!$B:$B,1)),FLOOR((FLOOR(((2*XLOOKUP(XLOOKUP($Q906,'Threshold Summary'!$Y:$Y,'Threshold Summary'!$K:$K,""),'Pokemon Editor'!$A:$A,'Pokemon Editor'!$H:$H,0)+31+FLOOR(XLOOKUP($Q906,'Threshold Summary'!$Y:$Y,'Threshold Summary'!$R:$R,"")/4))*XLOOKUP($Q906,'Threshold Summary'!$Y:$Y,'Threshold Summary'!$L:$L,""))/100)+5)*XLOOKUP(XLOOKUP($Q906,'Threshold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Editor'!$E:$E,1))),stab,IF(OR(mtype=XLOOKUP(XLOOKUP($Q906,'Threshold Summary'!$Y:$Y,'Threshold Summary'!$K:$K,""),'Pokemon Editor'!$A:$A,'Pokemon Editor'!$C:$C,""),mtype=XLOOKUP(XLOOKUP($Q906,'Threshold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Chart'!$B$1:$S$1,0)))),base,IF(OR(cat="Status",pow=0),0,FLOOR(FLOOR(FLOOR((2*XLOOKUP($Q906,'Threshold Summary'!$Y:$Y,'Threshold Summary'!$L:$L,"")/5+2)*pow*atk/def)/50)+2)),modifier,stab*eff,FLOOR(base*modifier)),0)</f>
        <v/>
      </c>
      <c r="L906" s="3">
        <f>IFERROR(LET(mtype,XLOOKUP($D906,'Move Editor'!$B:$B,'Move Editor'!$C:$C,""),cat,XLOOKUP($D906,'Move Editor'!$B:$B,'Move Editor'!$D:$D,""),pow,XLOOKUP($D906,'Move Editor'!$B:$B,'Move Editor'!$E:$E,0),acc,XLOOKUP($D906,'Move Editor'!$B:$B,'Move Editor'!$F:$F,100),atk,IF(cat="Physical",FLOOR((FLOOR(((2*XLOOKUP(XLOOKUP($Q906,'Threshold Summary'!$Y:$Y,'Threshold Summary'!$K:$K,""),'Pokemon Editor'!$A:$A,'Pokemon Editor'!$F:$F,0)+31+FLOOR(XLOOKUP($Q906,'Threshold Summary'!$Y:$Y,'Threshold Summary'!$P:$P,"")/4))*XLOOKUP($Q906,'Threshold Summary'!$Y:$Y,'Threshold Summary'!$L:$L,""))/100)+5)*XLOOKUP(XLOOKUP($Q906,'Threshold Summary'!$Y:$Y,'Threshold Summary'!$M:$M,""),'Nature Editor'!$A:$A,'Nature Editor'!$B:$B,1)),FLOOR((FLOOR(((2*XLOOKUP(XLOOKUP($Q906,'Threshold Summary'!$Y:$Y,'Threshold Summary'!$K:$K,""),'Pokemon Editor'!$A:$A,'Pokemon Editor'!$H:$H,0)+31+FLOOR(XLOOKUP($Q906,'Threshold Summary'!$Y:$Y,'Threshold Summary'!$R:$R,"")/4))*XLOOKUP($Q906,'Threshold Summary'!$Y:$Y,'Threshold Summary'!$L:$L,""))/100)+5)*XLOOKUP(XLOOKUP($Q906,'Threshold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Editor'!$E:$E,1))),stab,IF(OR(mtype=XLOOKUP(XLOOKUP($Q906,'Threshold Summary'!$Y:$Y,'Threshold Summary'!$K:$K,""),'Pokemon Editor'!$A:$A,'Pokemon Editor'!$C:$C,""),mtype=XLOOKUP(XLOOKUP($Q906,'Threshold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Chart'!$B$1:$S$1,0)))),base,IF(OR(cat="Status",pow=0),0,FLOOR(FLOOR(FLOOR((2*XLOOKUP($Q906,'Threshold Summary'!$Y:$Y,'Threshold Summary'!$L:$L,"")/5+2)*pow*atk/def)/50)+2)),modifier,stab*eff,AVERAGE(ARRAYFORMULA(FLOOR(base*modifier*SEQUENCE(16,1,85,1)/100)))),0)</f>
        <v/>
      </c>
      <c r="M906" s="3">
        <f>IFERROR(LET(mtype,XLOOKUP($D906,'Move Editor'!$B:$B,'Move Editor'!$C:$C,""),cat,XLOOKUP($D906,'Move Editor'!$B:$B,'Move Editor'!$D:$D,""),pow,XLOOKUP($D906,'Move Editor'!$B:$B,'Move Editor'!$E:$E,0),acc,XLOOKUP($D906,'Move Editor'!$B:$B,'Move Editor'!$F:$F,100),atk,IF(cat="Physical",FLOOR((FLOOR(((2*XLOOKUP(XLOOKUP($Q906,'Threshold Summary'!$Y:$Y,'Threshold Summary'!$K:$K,""),'Pokemon Editor'!$A:$A,'Pokemon Editor'!$F:$F,0)+31+FLOOR(XLOOKUP($Q906,'Threshold Summary'!$Y:$Y,'Threshold Summary'!$P:$P,"")/4))*XLOOKUP($Q906,'Threshold Summary'!$Y:$Y,'Threshold Summary'!$L:$L,""))/100)+5)*XLOOKUP(XLOOKUP($Q906,'Threshold Summary'!$Y:$Y,'Threshold Summary'!$M:$M,""),'Nature Editor'!$A:$A,'Nature Editor'!$B:$B,1)),FLOOR((FLOOR(((2*XLOOKUP(XLOOKUP($Q906,'Threshold Summary'!$Y:$Y,'Threshold Summary'!$K:$K,""),'Pokemon Editor'!$A:$A,'Pokemon Editor'!$H:$H,0)+31+FLOOR(XLOOKUP($Q906,'Threshold Summary'!$Y:$Y,'Threshold Summary'!$R:$R,"")/4))*XLOOKUP($Q906,'Threshold Summary'!$Y:$Y,'Threshold Summary'!$L:$L,""))/100)+5)*XLOOKUP(XLOOKUP($Q906,'Threshold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Editor'!$E:$E,1))),stab,IF(OR(mtype=XLOOKUP(XLOOKUP($Q906,'Threshold Summary'!$Y:$Y,'Threshold Summary'!$K:$K,""),'Pokemon Editor'!$A:$A,'Pokemon Editor'!$C:$C,""),mtype=XLOOKUP(XLOOKUP($Q906,'Threshold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Chart'!$B$1:$S$1,0)))),base,IF(OR(cat="Status",pow=0),0,FLOOR(FLOOR(FLOOR((2*XLOOKUP($Q906,'Threshold Summary'!$Y:$Y,'Threshold Summary'!$L:$L,"")/5+2)*pow*atk/def)/50)+2)),modifier,stab*eff,AVERAGE(ARRAYFORMULA(FLOOR(base*modifier*SEQUENCE(16,1,85,1)/100)))*MIN(1,acc/100)),0)</f>
        <v/>
      </c>
      <c r="N906" s="4">
        <f>IFERROR(LET(mtype,XLOOKUP($D906,'Move Editor'!$B:$B,'Move Editor'!$C:$C,""),cat,XLOOKUP($D906,'Move Editor'!$B:$B,'Move Editor'!$D:$D,""),pow,XLOOKUP($D906,'Move Editor'!$B:$B,'Move Editor'!$E:$E,0),acc,XLOOKUP($D906,'Move Editor'!$B:$B,'Move Editor'!$F:$F,100),atk,IF(cat="Physical",FLOOR((FLOOR(((2*XLOOKUP(XLOOKUP($Q906,'Threshold Summary'!$Y:$Y,'Threshold Summary'!$K:$K,""),'Pokemon Editor'!$A:$A,'Pokemon Editor'!$F:$F,0)+31+FLOOR(XLOOKUP($Q906,'Threshold Summary'!$Y:$Y,'Threshold Summary'!$P:$P,"")/4))*XLOOKUP($Q906,'Threshold Summary'!$Y:$Y,'Threshold Summary'!$L:$L,""))/100)+5)*XLOOKUP(XLOOKUP($Q906,'Threshold Summary'!$Y:$Y,'Threshold Summary'!$M:$M,""),'Nature Editor'!$A:$A,'Nature Editor'!$B:$B,1)),FLOOR((FLOOR(((2*XLOOKUP(XLOOKUP($Q906,'Threshold Summary'!$Y:$Y,'Threshold Summary'!$K:$K,""),'Pokemon Editor'!$A:$A,'Pokemon Editor'!$H:$H,0)+31+FLOOR(XLOOKUP($Q906,'Threshold Summary'!$Y:$Y,'Threshold Summary'!$R:$R,"")/4))*XLOOKUP($Q906,'Threshold Summary'!$Y:$Y,'Threshold Summary'!$L:$L,""))/100)+5)*XLOOKUP(XLOOKUP($Q906,'Threshold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Editor'!$E:$E,1))),stab,IF(OR(mtype=XLOOKUP(XLOOKUP($Q906,'Threshold Summary'!$Y:$Y,'Threshold Summary'!$K:$K,""),'Pokemon Editor'!$A:$A,'Pokemon Editor'!$C:$C,""),mtype=XLOOKUP(XLOOKUP($Q906,'Threshold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Chart'!$B$1:$S$1,0)))),base,IF(OR(cat="Status",pow=0),0,FLOOR(FLOOR(FLOOR((2*XLOOKUP($Q906,'Threshold Summary'!$Y:$Y,'Threshold Summary'!$L:$L,"")/5+2)*pow*atk/def)/50)+2)),modifier,stab*eff,AVERAGE(ARRAYFORMULA(FLOOR(base*modifier*SEQUENCE(16,1,85,1)/100)))/(FLOOR(((2*XLOOKUP('Boss Editor'!$C$4,'Pokemon Editor'!$A:$A,'Pokemon Editor'!$E:$E,0)+31+FLOOR('Boss Editor'!$G$4/4))*'Boss Editor'!$D$4)/100)+'Boss Editor'!$D$4+10)),0)</f>
        <v/>
      </c>
      <c r="O906" s="3">
        <f>IF(N906&gt;=1,"OHKO",IF(N906&gt;=0.5,"2HKO",IF(N906&gt;=0.333,"3HKO",IF(N906&gt;=0.25,"4HKO","5HKO+"))))</f>
        <v/>
      </c>
      <c r="P906" s="3" t="inlineStr">
        <is>
          <t>Live from editable databases</t>
        </is>
      </c>
      <c r="Q906" s="3" t="inlineStr">
        <is>
          <t>SPECIES_TANDEMAUS</t>
        </is>
      </c>
      <c r="R906" s="3" t="n">
        <v>9</v>
      </c>
    </row>
    <row r="907">
      <c r="A907" s="3">
        <f>XLOOKUP($Q907,'Threshold Summary'!$Y:$Y,'Threshold Summary'!$A:$A,"")</f>
        <v/>
      </c>
      <c r="B907" s="3">
        <f>XLOOKUP($Q907,'Threshold Summary'!$Y:$Y,'Threshold Summary'!$M:$M,"")</f>
        <v/>
      </c>
      <c r="C907" s="3">
        <f>XLOOKUP($Q907,'Threshold Summary'!$Y:$Y,'Threshold Summary'!$N:$N,"")</f>
        <v/>
      </c>
      <c r="D907" s="3">
        <f>IFERROR(INDEX(FILTER('Learnset Editor'!$D$2:$D,'Learnset Editor'!$A$2:$A=XLOOKUP($Q907,'Threshold Summary'!$Y:$Y,'Threshold Summary'!$K:$K,""),'Learnset Editor'!$C$2:$C&lt;=XLOOKUP($Q907,'Threshold Summary'!$Y:$Y,'Threshold Summary'!$L:$L,"")),$R907),"")</f>
        <v/>
      </c>
      <c r="E907" s="3">
        <f>XLOOKUP(D907,'Move Editor'!$B:$B,'Move Editor'!$C:$C,"")</f>
        <v/>
      </c>
      <c r="F907" s="3">
        <f>XLOOKUP(D907,'Move Editor'!$B:$B,'Move Editor'!$D:$D,"")</f>
        <v/>
      </c>
      <c r="G907" s="3">
        <f>XLOOKUP(D907,'Move Editor'!$B:$B,'Move Editor'!$E:$E,0)</f>
        <v/>
      </c>
      <c r="H907" s="3">
        <f>XLOOKUP(D907,'Move Editor'!$B:$B,'Move Editor'!$F:$F,0)</f>
        <v/>
      </c>
      <c r="I907" s="3">
        <f>(INDEX('Type Chart'!$B:$S,MATCH(E907,'Type Chart'!$A:$A,0),MATCH(XLOOKUP('Boss Editor'!$C$4,'Pokemon Editor'!$A:$A,'Pokemon Editor'!$C:$C,""),'Type Chart'!$B$1:$S$1,0))*IF(XLOOKUP('Boss Editor'!$C$4,'Pokemon Editor'!$A:$A,'Pokemon Editor'!$D:$D,"")="",1,INDEX('Type Chart'!$B:$S,MATCH(E907,'Type Chart'!$A:$A,0),MATCH(XLOOKUP('Boss Editor'!$C$4,'Pokemon Editor'!$A:$A,'Pokemon Editor'!$D:$D,""),'Type Chart'!$B$1:$S$1,0))))</f>
        <v/>
      </c>
      <c r="J907" s="3">
        <f>IFERROR(LET(mtype,XLOOKUP($D907,'Move Editor'!$B:$B,'Move Editor'!$C:$C,""),cat,XLOOKUP($D907,'Move Editor'!$B:$B,'Move Editor'!$D:$D,""),pow,XLOOKUP($D907,'Move Editor'!$B:$B,'Move Editor'!$E:$E,0),acc,XLOOKUP($D907,'Move Editor'!$B:$B,'Move Editor'!$F:$F,100),atk,IF(cat="Physical",FLOOR((FLOOR(((2*XLOOKUP(XLOOKUP($Q907,'Threshold Summary'!$Y:$Y,'Threshold Summary'!$K:$K,""),'Pokemon Editor'!$A:$A,'Pokemon Editor'!$F:$F,0)+31+FLOOR(XLOOKUP($Q907,'Threshold Summary'!$Y:$Y,'Threshold Summary'!$P:$P,"")/4))*XLOOKUP($Q907,'Threshold Summary'!$Y:$Y,'Threshold Summary'!$L:$L,""))/100)+5)*XLOOKUP(XLOOKUP($Q907,'Threshold Summary'!$Y:$Y,'Threshold Summary'!$M:$M,""),'Nature Editor'!$A:$A,'Nature Editor'!$B:$B,1)),FLOOR((FLOOR(((2*XLOOKUP(XLOOKUP($Q907,'Threshold Summary'!$Y:$Y,'Threshold Summary'!$K:$K,""),'Pokemon Editor'!$A:$A,'Pokemon Editor'!$H:$H,0)+31+FLOOR(XLOOKUP($Q907,'Threshold Summary'!$Y:$Y,'Threshold Summary'!$R:$R,"")/4))*XLOOKUP($Q907,'Threshold Summary'!$Y:$Y,'Threshold Summary'!$L:$L,""))/100)+5)*XLOOKUP(XLOOKUP($Q907,'Threshold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Editor'!$E:$E,1))),stab,IF(OR(mtype=XLOOKUP(XLOOKUP($Q907,'Threshold Summary'!$Y:$Y,'Threshold Summary'!$K:$K,""),'Pokemon Editor'!$A:$A,'Pokemon Editor'!$C:$C,""),mtype=XLOOKUP(XLOOKUP($Q907,'Threshold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Chart'!$B$1:$S$1,0)))),base,IF(OR(cat="Status",pow=0),0,FLOOR(FLOOR(FLOOR((2*XLOOKUP($Q907,'Threshold Summary'!$Y:$Y,'Threshold Summary'!$L:$L,"")/5+2)*pow*atk/def)/50)+2)),modifier,stab*eff,FLOOR(base*modifier*0.85)),0)</f>
        <v/>
      </c>
      <c r="K907" s="3">
        <f>IFERROR(LET(mtype,XLOOKUP($D907,'Move Editor'!$B:$B,'Move Editor'!$C:$C,""),cat,XLOOKUP($D907,'Move Editor'!$B:$B,'Move Editor'!$D:$D,""),pow,XLOOKUP($D907,'Move Editor'!$B:$B,'Move Editor'!$E:$E,0),acc,XLOOKUP($D907,'Move Editor'!$B:$B,'Move Editor'!$F:$F,100),atk,IF(cat="Physical",FLOOR((FLOOR(((2*XLOOKUP(XLOOKUP($Q907,'Threshold Summary'!$Y:$Y,'Threshold Summary'!$K:$K,""),'Pokemon Editor'!$A:$A,'Pokemon Editor'!$F:$F,0)+31+FLOOR(XLOOKUP($Q907,'Threshold Summary'!$Y:$Y,'Threshold Summary'!$P:$P,"")/4))*XLOOKUP($Q907,'Threshold Summary'!$Y:$Y,'Threshold Summary'!$L:$L,""))/100)+5)*XLOOKUP(XLOOKUP($Q907,'Threshold Summary'!$Y:$Y,'Threshold Summary'!$M:$M,""),'Nature Editor'!$A:$A,'Nature Editor'!$B:$B,1)),FLOOR((FLOOR(((2*XLOOKUP(XLOOKUP($Q907,'Threshold Summary'!$Y:$Y,'Threshold Summary'!$K:$K,""),'Pokemon Editor'!$A:$A,'Pokemon Editor'!$H:$H,0)+31+FLOOR(XLOOKUP($Q907,'Threshold Summary'!$Y:$Y,'Threshold Summary'!$R:$R,"")/4))*XLOOKUP($Q907,'Threshold Summary'!$Y:$Y,'Threshold Summary'!$L:$L,""))/100)+5)*XLOOKUP(XLOOKUP($Q907,'Threshold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Editor'!$E:$E,1))),stab,IF(OR(mtype=XLOOKUP(XLOOKUP($Q907,'Threshold Summary'!$Y:$Y,'Threshold Summary'!$K:$K,""),'Pokemon Editor'!$A:$A,'Pokemon Editor'!$C:$C,""),mtype=XLOOKUP(XLOOKUP($Q907,'Threshold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Chart'!$B$1:$S$1,0)))),base,IF(OR(cat="Status",pow=0),0,FLOOR(FLOOR(FLOOR((2*XLOOKUP($Q907,'Threshold Summary'!$Y:$Y,'Threshold Summary'!$L:$L,"")/5+2)*pow*atk/def)/50)+2)),modifier,stab*eff,FLOOR(base*modifier)),0)</f>
        <v/>
      </c>
      <c r="L907" s="3">
        <f>IFERROR(LET(mtype,XLOOKUP($D907,'Move Editor'!$B:$B,'Move Editor'!$C:$C,""),cat,XLOOKUP($D907,'Move Editor'!$B:$B,'Move Editor'!$D:$D,""),pow,XLOOKUP($D907,'Move Editor'!$B:$B,'Move Editor'!$E:$E,0),acc,XLOOKUP($D907,'Move Editor'!$B:$B,'Move Editor'!$F:$F,100),atk,IF(cat="Physical",FLOOR((FLOOR(((2*XLOOKUP(XLOOKUP($Q907,'Threshold Summary'!$Y:$Y,'Threshold Summary'!$K:$K,""),'Pokemon Editor'!$A:$A,'Pokemon Editor'!$F:$F,0)+31+FLOOR(XLOOKUP($Q907,'Threshold Summary'!$Y:$Y,'Threshold Summary'!$P:$P,"")/4))*XLOOKUP($Q907,'Threshold Summary'!$Y:$Y,'Threshold Summary'!$L:$L,""))/100)+5)*XLOOKUP(XLOOKUP($Q907,'Threshold Summary'!$Y:$Y,'Threshold Summary'!$M:$M,""),'Nature Editor'!$A:$A,'Nature Editor'!$B:$B,1)),FLOOR((FLOOR(((2*XLOOKUP(XLOOKUP($Q907,'Threshold Summary'!$Y:$Y,'Threshold Summary'!$K:$K,""),'Pokemon Editor'!$A:$A,'Pokemon Editor'!$H:$H,0)+31+FLOOR(XLOOKUP($Q907,'Threshold Summary'!$Y:$Y,'Threshold Summary'!$R:$R,"")/4))*XLOOKUP($Q907,'Threshold Summary'!$Y:$Y,'Threshold Summary'!$L:$L,""))/100)+5)*XLOOKUP(XLOOKUP($Q907,'Threshold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Editor'!$E:$E,1))),stab,IF(OR(mtype=XLOOKUP(XLOOKUP($Q907,'Threshold Summary'!$Y:$Y,'Threshold Summary'!$K:$K,""),'Pokemon Editor'!$A:$A,'Pokemon Editor'!$C:$C,""),mtype=XLOOKUP(XLOOKUP($Q907,'Threshold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Chart'!$B$1:$S$1,0)))),base,IF(OR(cat="Status",pow=0),0,FLOOR(FLOOR(FLOOR((2*XLOOKUP($Q907,'Threshold Summary'!$Y:$Y,'Threshold Summary'!$L:$L,"")/5+2)*pow*atk/def)/50)+2)),modifier,stab*eff,AVERAGE(ARRAYFORMULA(FLOOR(base*modifier*SEQUENCE(16,1,85,1)/100)))),0)</f>
        <v/>
      </c>
      <c r="M907" s="3">
        <f>IFERROR(LET(mtype,XLOOKUP($D907,'Move Editor'!$B:$B,'Move Editor'!$C:$C,""),cat,XLOOKUP($D907,'Move Editor'!$B:$B,'Move Editor'!$D:$D,""),pow,XLOOKUP($D907,'Move Editor'!$B:$B,'Move Editor'!$E:$E,0),acc,XLOOKUP($D907,'Move Editor'!$B:$B,'Move Editor'!$F:$F,100),atk,IF(cat="Physical",FLOOR((FLOOR(((2*XLOOKUP(XLOOKUP($Q907,'Threshold Summary'!$Y:$Y,'Threshold Summary'!$K:$K,""),'Pokemon Editor'!$A:$A,'Pokemon Editor'!$F:$F,0)+31+FLOOR(XLOOKUP($Q907,'Threshold Summary'!$Y:$Y,'Threshold Summary'!$P:$P,"")/4))*XLOOKUP($Q907,'Threshold Summary'!$Y:$Y,'Threshold Summary'!$L:$L,""))/100)+5)*XLOOKUP(XLOOKUP($Q907,'Threshold Summary'!$Y:$Y,'Threshold Summary'!$M:$M,""),'Nature Editor'!$A:$A,'Nature Editor'!$B:$B,1)),FLOOR((FLOOR(((2*XLOOKUP(XLOOKUP($Q907,'Threshold Summary'!$Y:$Y,'Threshold Summary'!$K:$K,""),'Pokemon Editor'!$A:$A,'Pokemon Editor'!$H:$H,0)+31+FLOOR(XLOOKUP($Q907,'Threshold Summary'!$Y:$Y,'Threshold Summary'!$R:$R,"")/4))*XLOOKUP($Q907,'Threshold Summary'!$Y:$Y,'Threshold Summary'!$L:$L,""))/100)+5)*XLOOKUP(XLOOKUP($Q907,'Threshold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Editor'!$E:$E,1))),stab,IF(OR(mtype=XLOOKUP(XLOOKUP($Q907,'Threshold Summary'!$Y:$Y,'Threshold Summary'!$K:$K,""),'Pokemon Editor'!$A:$A,'Pokemon Editor'!$C:$C,""),mtype=XLOOKUP(XLOOKUP($Q907,'Threshold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Chart'!$B$1:$S$1,0)))),base,IF(OR(cat="Status",pow=0),0,FLOOR(FLOOR(FLOOR((2*XLOOKUP($Q907,'Threshold Summary'!$Y:$Y,'Threshold Summary'!$L:$L,"")/5+2)*pow*atk/def)/50)+2)),modifier,stab*eff,AVERAGE(ARRAYFORMULA(FLOOR(base*modifier*SEQUENCE(16,1,85,1)/100)))*MIN(1,acc/100)),0)</f>
        <v/>
      </c>
      <c r="N907" s="4">
        <f>IFERROR(LET(mtype,XLOOKUP($D907,'Move Editor'!$B:$B,'Move Editor'!$C:$C,""),cat,XLOOKUP($D907,'Move Editor'!$B:$B,'Move Editor'!$D:$D,""),pow,XLOOKUP($D907,'Move Editor'!$B:$B,'Move Editor'!$E:$E,0),acc,XLOOKUP($D907,'Move Editor'!$B:$B,'Move Editor'!$F:$F,100),atk,IF(cat="Physical",FLOOR((FLOOR(((2*XLOOKUP(XLOOKUP($Q907,'Threshold Summary'!$Y:$Y,'Threshold Summary'!$K:$K,""),'Pokemon Editor'!$A:$A,'Pokemon Editor'!$F:$F,0)+31+FLOOR(XLOOKUP($Q907,'Threshold Summary'!$Y:$Y,'Threshold Summary'!$P:$P,"")/4))*XLOOKUP($Q907,'Threshold Summary'!$Y:$Y,'Threshold Summary'!$L:$L,""))/100)+5)*XLOOKUP(XLOOKUP($Q907,'Threshold Summary'!$Y:$Y,'Threshold Summary'!$M:$M,""),'Nature Editor'!$A:$A,'Nature Editor'!$B:$B,1)),FLOOR((FLOOR(((2*XLOOKUP(XLOOKUP($Q907,'Threshold Summary'!$Y:$Y,'Threshold Summary'!$K:$K,""),'Pokemon Editor'!$A:$A,'Pokemon Editor'!$H:$H,0)+31+FLOOR(XLOOKUP($Q907,'Threshold Summary'!$Y:$Y,'Threshold Summary'!$R:$R,"")/4))*XLOOKUP($Q907,'Threshold Summary'!$Y:$Y,'Threshold Summary'!$L:$L,""))/100)+5)*XLOOKUP(XLOOKUP($Q907,'Threshold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Editor'!$E:$E,1))),stab,IF(OR(mtype=XLOOKUP(XLOOKUP($Q907,'Threshold Summary'!$Y:$Y,'Threshold Summary'!$K:$K,""),'Pokemon Editor'!$A:$A,'Pokemon Editor'!$C:$C,""),mtype=XLOOKUP(XLOOKUP($Q907,'Threshold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Chart'!$B$1:$S$1,0)))),base,IF(OR(cat="Status",pow=0),0,FLOOR(FLOOR(FLOOR((2*XLOOKUP($Q907,'Threshold Summary'!$Y:$Y,'Threshold Summary'!$L:$L,"")/5+2)*pow*atk/def)/50)+2)),modifier,stab*eff,AVERAGE(ARRAYFORMULA(FLOOR(base*modifier*SEQUENCE(16,1,85,1)/100)))/(FLOOR(((2*XLOOKUP('Boss Editor'!$C$4,'Pokemon Editor'!$A:$A,'Pokemon Editor'!$E:$E,0)+31+FLOOR('Boss Editor'!$G$4/4))*'Boss Editor'!$D$4)/100)+'Boss Editor'!$D$4+10)),0)</f>
        <v/>
      </c>
      <c r="O907" s="3">
        <f>IF(N907&gt;=1,"OHKO",IF(N907&gt;=0.5,"2HKO",IF(N907&gt;=0.333,"3HKO",IF(N907&gt;=0.25,"4HKO","5HKO+"))))</f>
        <v/>
      </c>
      <c r="P907" s="3" t="inlineStr">
        <is>
          <t>Live from editable databases</t>
        </is>
      </c>
      <c r="Q907" s="3" t="inlineStr">
        <is>
          <t>SPECIES_TANDEMAUS</t>
        </is>
      </c>
      <c r="R907" s="3" t="n">
        <v>10</v>
      </c>
    </row>
    <row r="908">
      <c r="A908" s="3">
        <f>XLOOKUP($Q908,'Threshold Summary'!$Y:$Y,'Threshold Summary'!$A:$A,"")</f>
        <v/>
      </c>
      <c r="B908" s="3">
        <f>XLOOKUP($Q908,'Threshold Summary'!$Y:$Y,'Threshold Summary'!$M:$M,"")</f>
        <v/>
      </c>
      <c r="C908" s="3">
        <f>XLOOKUP($Q908,'Threshold Summary'!$Y:$Y,'Threshold Summary'!$N:$N,"")</f>
        <v/>
      </c>
      <c r="D908" s="3">
        <f>IFERROR(INDEX(FILTER('Learnset Editor'!$D$2:$D,'Learnset Editor'!$A$2:$A=XLOOKUP($Q908,'Threshold Summary'!$Y:$Y,'Threshold Summary'!$K:$K,""),'Learnset Editor'!$C$2:$C&lt;=XLOOKUP($Q908,'Threshold Summary'!$Y:$Y,'Threshold Summary'!$L:$L,"")),$R908),"")</f>
        <v/>
      </c>
      <c r="E908" s="3">
        <f>XLOOKUP(D908,'Move Editor'!$B:$B,'Move Editor'!$C:$C,"")</f>
        <v/>
      </c>
      <c r="F908" s="3">
        <f>XLOOKUP(D908,'Move Editor'!$B:$B,'Move Editor'!$D:$D,"")</f>
        <v/>
      </c>
      <c r="G908" s="3">
        <f>XLOOKUP(D908,'Move Editor'!$B:$B,'Move Editor'!$E:$E,0)</f>
        <v/>
      </c>
      <c r="H908" s="3">
        <f>XLOOKUP(D908,'Move Editor'!$B:$B,'Move Editor'!$F:$F,0)</f>
        <v/>
      </c>
      <c r="I908" s="3">
        <f>(INDEX('Type Chart'!$B:$S,MATCH(E908,'Type Chart'!$A:$A,0),MATCH(XLOOKUP('Boss Editor'!$C$4,'Pokemon Editor'!$A:$A,'Pokemon Editor'!$C:$C,""),'Type Chart'!$B$1:$S$1,0))*IF(XLOOKUP('Boss Editor'!$C$4,'Pokemon Editor'!$A:$A,'Pokemon Editor'!$D:$D,"")="",1,INDEX('Type Chart'!$B:$S,MATCH(E908,'Type Chart'!$A:$A,0),MATCH(XLOOKUP('Boss Editor'!$C$4,'Pokemon Editor'!$A:$A,'Pokemon Editor'!$D:$D,""),'Type Chart'!$B$1:$S$1,0))))</f>
        <v/>
      </c>
      <c r="J908" s="3">
        <f>IFERROR(LET(mtype,XLOOKUP($D908,'Move Editor'!$B:$B,'Move Editor'!$C:$C,""),cat,XLOOKUP($D908,'Move Editor'!$B:$B,'Move Editor'!$D:$D,""),pow,XLOOKUP($D908,'Move Editor'!$B:$B,'Move Editor'!$E:$E,0),acc,XLOOKUP($D908,'Move Editor'!$B:$B,'Move Editor'!$F:$F,100),atk,IF(cat="Physical",FLOOR((FLOOR(((2*XLOOKUP(XLOOKUP($Q908,'Threshold Summary'!$Y:$Y,'Threshold Summary'!$K:$K,""),'Pokemon Editor'!$A:$A,'Pokemon Editor'!$F:$F,0)+31+FLOOR(XLOOKUP($Q908,'Threshold Summary'!$Y:$Y,'Threshold Summary'!$P:$P,"")/4))*XLOOKUP($Q908,'Threshold Summary'!$Y:$Y,'Threshold Summary'!$L:$L,""))/100)+5)*XLOOKUP(XLOOKUP($Q908,'Threshold Summary'!$Y:$Y,'Threshold Summary'!$M:$M,""),'Nature Editor'!$A:$A,'Nature Editor'!$B:$B,1)),FLOOR((FLOOR(((2*XLOOKUP(XLOOKUP($Q908,'Threshold Summary'!$Y:$Y,'Threshold Summary'!$K:$K,""),'Pokemon Editor'!$A:$A,'Pokemon Editor'!$H:$H,0)+31+FLOOR(XLOOKUP($Q908,'Threshold Summary'!$Y:$Y,'Threshold Summary'!$R:$R,"")/4))*XLOOKUP($Q908,'Threshold Summary'!$Y:$Y,'Threshold Summary'!$L:$L,""))/100)+5)*XLOOKUP(XLOOKUP($Q908,'Threshold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Editor'!$E:$E,1))),stab,IF(OR(mtype=XLOOKUP(XLOOKUP($Q908,'Threshold Summary'!$Y:$Y,'Threshold Summary'!$K:$K,""),'Pokemon Editor'!$A:$A,'Pokemon Editor'!$C:$C,""),mtype=XLOOKUP(XLOOKUP($Q908,'Threshold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Chart'!$B$1:$S$1,0)))),base,IF(OR(cat="Status",pow=0),0,FLOOR(FLOOR(FLOOR((2*XLOOKUP($Q908,'Threshold Summary'!$Y:$Y,'Threshold Summary'!$L:$L,"")/5+2)*pow*atk/def)/50)+2)),modifier,stab*eff,FLOOR(base*modifier*0.85)),0)</f>
        <v/>
      </c>
      <c r="K908" s="3">
        <f>IFERROR(LET(mtype,XLOOKUP($D908,'Move Editor'!$B:$B,'Move Editor'!$C:$C,""),cat,XLOOKUP($D908,'Move Editor'!$B:$B,'Move Editor'!$D:$D,""),pow,XLOOKUP($D908,'Move Editor'!$B:$B,'Move Editor'!$E:$E,0),acc,XLOOKUP($D908,'Move Editor'!$B:$B,'Move Editor'!$F:$F,100),atk,IF(cat="Physical",FLOOR((FLOOR(((2*XLOOKUP(XLOOKUP($Q908,'Threshold Summary'!$Y:$Y,'Threshold Summary'!$K:$K,""),'Pokemon Editor'!$A:$A,'Pokemon Editor'!$F:$F,0)+31+FLOOR(XLOOKUP($Q908,'Threshold Summary'!$Y:$Y,'Threshold Summary'!$P:$P,"")/4))*XLOOKUP($Q908,'Threshold Summary'!$Y:$Y,'Threshold Summary'!$L:$L,""))/100)+5)*XLOOKUP(XLOOKUP($Q908,'Threshold Summary'!$Y:$Y,'Threshold Summary'!$M:$M,""),'Nature Editor'!$A:$A,'Nature Editor'!$B:$B,1)),FLOOR((FLOOR(((2*XLOOKUP(XLOOKUP($Q908,'Threshold Summary'!$Y:$Y,'Threshold Summary'!$K:$K,""),'Pokemon Editor'!$A:$A,'Pokemon Editor'!$H:$H,0)+31+FLOOR(XLOOKUP($Q908,'Threshold Summary'!$Y:$Y,'Threshold Summary'!$R:$R,"")/4))*XLOOKUP($Q908,'Threshold Summary'!$Y:$Y,'Threshold Summary'!$L:$L,""))/100)+5)*XLOOKUP(XLOOKUP($Q908,'Threshold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Editor'!$E:$E,1))),stab,IF(OR(mtype=XLOOKUP(XLOOKUP($Q908,'Threshold Summary'!$Y:$Y,'Threshold Summary'!$K:$K,""),'Pokemon Editor'!$A:$A,'Pokemon Editor'!$C:$C,""),mtype=XLOOKUP(XLOOKUP($Q908,'Threshold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Chart'!$B$1:$S$1,0)))),base,IF(OR(cat="Status",pow=0),0,FLOOR(FLOOR(FLOOR((2*XLOOKUP($Q908,'Threshold Summary'!$Y:$Y,'Threshold Summary'!$L:$L,"")/5+2)*pow*atk/def)/50)+2)),modifier,stab*eff,FLOOR(base*modifier)),0)</f>
        <v/>
      </c>
      <c r="L908" s="3">
        <f>IFERROR(LET(mtype,XLOOKUP($D908,'Move Editor'!$B:$B,'Move Editor'!$C:$C,""),cat,XLOOKUP($D908,'Move Editor'!$B:$B,'Move Editor'!$D:$D,""),pow,XLOOKUP($D908,'Move Editor'!$B:$B,'Move Editor'!$E:$E,0),acc,XLOOKUP($D908,'Move Editor'!$B:$B,'Move Editor'!$F:$F,100),atk,IF(cat="Physical",FLOOR((FLOOR(((2*XLOOKUP(XLOOKUP($Q908,'Threshold Summary'!$Y:$Y,'Threshold Summary'!$K:$K,""),'Pokemon Editor'!$A:$A,'Pokemon Editor'!$F:$F,0)+31+FLOOR(XLOOKUP($Q908,'Threshold Summary'!$Y:$Y,'Threshold Summary'!$P:$P,"")/4))*XLOOKUP($Q908,'Threshold Summary'!$Y:$Y,'Threshold Summary'!$L:$L,""))/100)+5)*XLOOKUP(XLOOKUP($Q908,'Threshold Summary'!$Y:$Y,'Threshold Summary'!$M:$M,""),'Nature Editor'!$A:$A,'Nature Editor'!$B:$B,1)),FLOOR((FLOOR(((2*XLOOKUP(XLOOKUP($Q908,'Threshold Summary'!$Y:$Y,'Threshold Summary'!$K:$K,""),'Pokemon Editor'!$A:$A,'Pokemon Editor'!$H:$H,0)+31+FLOOR(XLOOKUP($Q908,'Threshold Summary'!$Y:$Y,'Threshold Summary'!$R:$R,"")/4))*XLOOKUP($Q908,'Threshold Summary'!$Y:$Y,'Threshold Summary'!$L:$L,""))/100)+5)*XLOOKUP(XLOOKUP($Q908,'Threshold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Editor'!$E:$E,1))),stab,IF(OR(mtype=XLOOKUP(XLOOKUP($Q908,'Threshold Summary'!$Y:$Y,'Threshold Summary'!$K:$K,""),'Pokemon Editor'!$A:$A,'Pokemon Editor'!$C:$C,""),mtype=XLOOKUP(XLOOKUP($Q908,'Threshold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Chart'!$B$1:$S$1,0)))),base,IF(OR(cat="Status",pow=0),0,FLOOR(FLOOR(FLOOR((2*XLOOKUP($Q908,'Threshold Summary'!$Y:$Y,'Threshold Summary'!$L:$L,"")/5+2)*pow*atk/def)/50)+2)),modifier,stab*eff,AVERAGE(ARRAYFORMULA(FLOOR(base*modifier*SEQUENCE(16,1,85,1)/100)))),0)</f>
        <v/>
      </c>
      <c r="M908" s="3">
        <f>IFERROR(LET(mtype,XLOOKUP($D908,'Move Editor'!$B:$B,'Move Editor'!$C:$C,""),cat,XLOOKUP($D908,'Move Editor'!$B:$B,'Move Editor'!$D:$D,""),pow,XLOOKUP($D908,'Move Editor'!$B:$B,'Move Editor'!$E:$E,0),acc,XLOOKUP($D908,'Move Editor'!$B:$B,'Move Editor'!$F:$F,100),atk,IF(cat="Physical",FLOOR((FLOOR(((2*XLOOKUP(XLOOKUP($Q908,'Threshold Summary'!$Y:$Y,'Threshold Summary'!$K:$K,""),'Pokemon Editor'!$A:$A,'Pokemon Editor'!$F:$F,0)+31+FLOOR(XLOOKUP($Q908,'Threshold Summary'!$Y:$Y,'Threshold Summary'!$P:$P,"")/4))*XLOOKUP($Q908,'Threshold Summary'!$Y:$Y,'Threshold Summary'!$L:$L,""))/100)+5)*XLOOKUP(XLOOKUP($Q908,'Threshold Summary'!$Y:$Y,'Threshold Summary'!$M:$M,""),'Nature Editor'!$A:$A,'Nature Editor'!$B:$B,1)),FLOOR((FLOOR(((2*XLOOKUP(XLOOKUP($Q908,'Threshold Summary'!$Y:$Y,'Threshold Summary'!$K:$K,""),'Pokemon Editor'!$A:$A,'Pokemon Editor'!$H:$H,0)+31+FLOOR(XLOOKUP($Q908,'Threshold Summary'!$Y:$Y,'Threshold Summary'!$R:$R,"")/4))*XLOOKUP($Q908,'Threshold Summary'!$Y:$Y,'Threshold Summary'!$L:$L,""))/100)+5)*XLOOKUP(XLOOKUP($Q908,'Threshold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Editor'!$E:$E,1))),stab,IF(OR(mtype=XLOOKUP(XLOOKUP($Q908,'Threshold Summary'!$Y:$Y,'Threshold Summary'!$K:$K,""),'Pokemon Editor'!$A:$A,'Pokemon Editor'!$C:$C,""),mtype=XLOOKUP(XLOOKUP($Q908,'Threshold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Chart'!$B$1:$S$1,0)))),base,IF(OR(cat="Status",pow=0),0,FLOOR(FLOOR(FLOOR((2*XLOOKUP($Q908,'Threshold Summary'!$Y:$Y,'Threshold Summary'!$L:$L,"")/5+2)*pow*atk/def)/50)+2)),modifier,stab*eff,AVERAGE(ARRAYFORMULA(FLOOR(base*modifier*SEQUENCE(16,1,85,1)/100)))*MIN(1,acc/100)),0)</f>
        <v/>
      </c>
      <c r="N908" s="4">
        <f>IFERROR(LET(mtype,XLOOKUP($D908,'Move Editor'!$B:$B,'Move Editor'!$C:$C,""),cat,XLOOKUP($D908,'Move Editor'!$B:$B,'Move Editor'!$D:$D,""),pow,XLOOKUP($D908,'Move Editor'!$B:$B,'Move Editor'!$E:$E,0),acc,XLOOKUP($D908,'Move Editor'!$B:$B,'Move Editor'!$F:$F,100),atk,IF(cat="Physical",FLOOR((FLOOR(((2*XLOOKUP(XLOOKUP($Q908,'Threshold Summary'!$Y:$Y,'Threshold Summary'!$K:$K,""),'Pokemon Editor'!$A:$A,'Pokemon Editor'!$F:$F,0)+31+FLOOR(XLOOKUP($Q908,'Threshold Summary'!$Y:$Y,'Threshold Summary'!$P:$P,"")/4))*XLOOKUP($Q908,'Threshold Summary'!$Y:$Y,'Threshold Summary'!$L:$L,""))/100)+5)*XLOOKUP(XLOOKUP($Q908,'Threshold Summary'!$Y:$Y,'Threshold Summary'!$M:$M,""),'Nature Editor'!$A:$A,'Nature Editor'!$B:$B,1)),FLOOR((FLOOR(((2*XLOOKUP(XLOOKUP($Q908,'Threshold Summary'!$Y:$Y,'Threshold Summary'!$K:$K,""),'Pokemon Editor'!$A:$A,'Pokemon Editor'!$H:$H,0)+31+FLOOR(XLOOKUP($Q908,'Threshold Summary'!$Y:$Y,'Threshold Summary'!$R:$R,"")/4))*XLOOKUP($Q908,'Threshold Summary'!$Y:$Y,'Threshold Summary'!$L:$L,""))/100)+5)*XLOOKUP(XLOOKUP($Q908,'Threshold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Editor'!$E:$E,1))),stab,IF(OR(mtype=XLOOKUP(XLOOKUP($Q908,'Threshold Summary'!$Y:$Y,'Threshold Summary'!$K:$K,""),'Pokemon Editor'!$A:$A,'Pokemon Editor'!$C:$C,""),mtype=XLOOKUP(XLOOKUP($Q908,'Threshold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Chart'!$B$1:$S$1,0)))),base,IF(OR(cat="Status",pow=0),0,FLOOR(FLOOR(FLOOR((2*XLOOKUP($Q908,'Threshold Summary'!$Y:$Y,'Threshold Summary'!$L:$L,"")/5+2)*pow*atk/def)/50)+2)),modifier,stab*eff,AVERAGE(ARRAYFORMULA(FLOOR(base*modifier*SEQUENCE(16,1,85,1)/100)))/(FLOOR(((2*XLOOKUP('Boss Editor'!$C$4,'Pokemon Editor'!$A:$A,'Pokemon Editor'!$E:$E,0)+31+FLOOR('Boss Editor'!$G$4/4))*'Boss Editor'!$D$4)/100)+'Boss Editor'!$D$4+10)),0)</f>
        <v/>
      </c>
      <c r="O908" s="3">
        <f>IF(N908&gt;=1,"OHKO",IF(N908&gt;=0.5,"2HKO",IF(N908&gt;=0.333,"3HKO",IF(N908&gt;=0.25,"4HKO","5HKO+"))))</f>
        <v/>
      </c>
      <c r="P908" s="3" t="inlineStr">
        <is>
          <t>Live from editable databases</t>
        </is>
      </c>
      <c r="Q908" s="3" t="inlineStr">
        <is>
          <t>SPECIES_TANDEMAUS</t>
        </is>
      </c>
      <c r="R908" s="3" t="n">
        <v>11</v>
      </c>
    </row>
    <row r="909">
      <c r="A909" s="3">
        <f>XLOOKUP($Q909,'Threshold Summary'!$Y:$Y,'Threshold Summary'!$A:$A,"")</f>
        <v/>
      </c>
      <c r="B909" s="3">
        <f>XLOOKUP($Q909,'Threshold Summary'!$Y:$Y,'Threshold Summary'!$M:$M,"")</f>
        <v/>
      </c>
      <c r="C909" s="3">
        <f>XLOOKUP($Q909,'Threshold Summary'!$Y:$Y,'Threshold Summary'!$N:$N,"")</f>
        <v/>
      </c>
      <c r="D909" s="3">
        <f>IFERROR(INDEX(FILTER('Learnset Editor'!$D$2:$D,'Learnset Editor'!$A$2:$A=XLOOKUP($Q909,'Threshold Summary'!$Y:$Y,'Threshold Summary'!$K:$K,""),'Learnset Editor'!$C$2:$C&lt;=XLOOKUP($Q909,'Threshold Summary'!$Y:$Y,'Threshold Summary'!$L:$L,"")),$R909),"")</f>
        <v/>
      </c>
      <c r="E909" s="3">
        <f>XLOOKUP(D909,'Move Editor'!$B:$B,'Move Editor'!$C:$C,"")</f>
        <v/>
      </c>
      <c r="F909" s="3">
        <f>XLOOKUP(D909,'Move Editor'!$B:$B,'Move Editor'!$D:$D,"")</f>
        <v/>
      </c>
      <c r="G909" s="3">
        <f>XLOOKUP(D909,'Move Editor'!$B:$B,'Move Editor'!$E:$E,0)</f>
        <v/>
      </c>
      <c r="H909" s="3">
        <f>XLOOKUP(D909,'Move Editor'!$B:$B,'Move Editor'!$F:$F,0)</f>
        <v/>
      </c>
      <c r="I909" s="3">
        <f>(INDEX('Type Chart'!$B:$S,MATCH(E909,'Type Chart'!$A:$A,0),MATCH(XLOOKUP('Boss Editor'!$C$4,'Pokemon Editor'!$A:$A,'Pokemon Editor'!$C:$C,""),'Type Chart'!$B$1:$S$1,0))*IF(XLOOKUP('Boss Editor'!$C$4,'Pokemon Editor'!$A:$A,'Pokemon Editor'!$D:$D,"")="",1,INDEX('Type Chart'!$B:$S,MATCH(E909,'Type Chart'!$A:$A,0),MATCH(XLOOKUP('Boss Editor'!$C$4,'Pokemon Editor'!$A:$A,'Pokemon Editor'!$D:$D,""),'Type Chart'!$B$1:$S$1,0))))</f>
        <v/>
      </c>
      <c r="J909" s="3">
        <f>IFERROR(LET(mtype,XLOOKUP($D909,'Move Editor'!$B:$B,'Move Editor'!$C:$C,""),cat,XLOOKUP($D909,'Move Editor'!$B:$B,'Move Editor'!$D:$D,""),pow,XLOOKUP($D909,'Move Editor'!$B:$B,'Move Editor'!$E:$E,0),acc,XLOOKUP($D909,'Move Editor'!$B:$B,'Move Editor'!$F:$F,100),atk,IF(cat="Physical",FLOOR((FLOOR(((2*XLOOKUP(XLOOKUP($Q909,'Threshold Summary'!$Y:$Y,'Threshold Summary'!$K:$K,""),'Pokemon Editor'!$A:$A,'Pokemon Editor'!$F:$F,0)+31+FLOOR(XLOOKUP($Q909,'Threshold Summary'!$Y:$Y,'Threshold Summary'!$P:$P,"")/4))*XLOOKUP($Q909,'Threshold Summary'!$Y:$Y,'Threshold Summary'!$L:$L,""))/100)+5)*XLOOKUP(XLOOKUP($Q909,'Threshold Summary'!$Y:$Y,'Threshold Summary'!$M:$M,""),'Nature Editor'!$A:$A,'Nature Editor'!$B:$B,1)),FLOOR((FLOOR(((2*XLOOKUP(XLOOKUP($Q909,'Threshold Summary'!$Y:$Y,'Threshold Summary'!$K:$K,""),'Pokemon Editor'!$A:$A,'Pokemon Editor'!$H:$H,0)+31+FLOOR(XLOOKUP($Q909,'Threshold Summary'!$Y:$Y,'Threshold Summary'!$R:$R,"")/4))*XLOOKUP($Q909,'Threshold Summary'!$Y:$Y,'Threshold Summary'!$L:$L,""))/100)+5)*XLOOKUP(XLOOKUP($Q909,'Threshold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Editor'!$E:$E,1))),stab,IF(OR(mtype=XLOOKUP(XLOOKUP($Q909,'Threshold Summary'!$Y:$Y,'Threshold Summary'!$K:$K,""),'Pokemon Editor'!$A:$A,'Pokemon Editor'!$C:$C,""),mtype=XLOOKUP(XLOOKUP($Q909,'Threshold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Chart'!$B$1:$S$1,0)))),base,IF(OR(cat="Status",pow=0),0,FLOOR(FLOOR(FLOOR((2*XLOOKUP($Q909,'Threshold Summary'!$Y:$Y,'Threshold Summary'!$L:$L,"")/5+2)*pow*atk/def)/50)+2)),modifier,stab*eff,FLOOR(base*modifier*0.85)),0)</f>
        <v/>
      </c>
      <c r="K909" s="3">
        <f>IFERROR(LET(mtype,XLOOKUP($D909,'Move Editor'!$B:$B,'Move Editor'!$C:$C,""),cat,XLOOKUP($D909,'Move Editor'!$B:$B,'Move Editor'!$D:$D,""),pow,XLOOKUP($D909,'Move Editor'!$B:$B,'Move Editor'!$E:$E,0),acc,XLOOKUP($D909,'Move Editor'!$B:$B,'Move Editor'!$F:$F,100),atk,IF(cat="Physical",FLOOR((FLOOR(((2*XLOOKUP(XLOOKUP($Q909,'Threshold Summary'!$Y:$Y,'Threshold Summary'!$K:$K,""),'Pokemon Editor'!$A:$A,'Pokemon Editor'!$F:$F,0)+31+FLOOR(XLOOKUP($Q909,'Threshold Summary'!$Y:$Y,'Threshold Summary'!$P:$P,"")/4))*XLOOKUP($Q909,'Threshold Summary'!$Y:$Y,'Threshold Summary'!$L:$L,""))/100)+5)*XLOOKUP(XLOOKUP($Q909,'Threshold Summary'!$Y:$Y,'Threshold Summary'!$M:$M,""),'Nature Editor'!$A:$A,'Nature Editor'!$B:$B,1)),FLOOR((FLOOR(((2*XLOOKUP(XLOOKUP($Q909,'Threshold Summary'!$Y:$Y,'Threshold Summary'!$K:$K,""),'Pokemon Editor'!$A:$A,'Pokemon Editor'!$H:$H,0)+31+FLOOR(XLOOKUP($Q909,'Threshold Summary'!$Y:$Y,'Threshold Summary'!$R:$R,"")/4))*XLOOKUP($Q909,'Threshold Summary'!$Y:$Y,'Threshold Summary'!$L:$L,""))/100)+5)*XLOOKUP(XLOOKUP($Q909,'Threshold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Editor'!$E:$E,1))),stab,IF(OR(mtype=XLOOKUP(XLOOKUP($Q909,'Threshold Summary'!$Y:$Y,'Threshold Summary'!$K:$K,""),'Pokemon Editor'!$A:$A,'Pokemon Editor'!$C:$C,""),mtype=XLOOKUP(XLOOKUP($Q909,'Threshold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Chart'!$B$1:$S$1,0)))),base,IF(OR(cat="Status",pow=0),0,FLOOR(FLOOR(FLOOR((2*XLOOKUP($Q909,'Threshold Summary'!$Y:$Y,'Threshold Summary'!$L:$L,"")/5+2)*pow*atk/def)/50)+2)),modifier,stab*eff,FLOOR(base*modifier)),0)</f>
        <v/>
      </c>
      <c r="L909" s="3">
        <f>IFERROR(LET(mtype,XLOOKUP($D909,'Move Editor'!$B:$B,'Move Editor'!$C:$C,""),cat,XLOOKUP($D909,'Move Editor'!$B:$B,'Move Editor'!$D:$D,""),pow,XLOOKUP($D909,'Move Editor'!$B:$B,'Move Editor'!$E:$E,0),acc,XLOOKUP($D909,'Move Editor'!$B:$B,'Move Editor'!$F:$F,100),atk,IF(cat="Physical",FLOOR((FLOOR(((2*XLOOKUP(XLOOKUP($Q909,'Threshold Summary'!$Y:$Y,'Threshold Summary'!$K:$K,""),'Pokemon Editor'!$A:$A,'Pokemon Editor'!$F:$F,0)+31+FLOOR(XLOOKUP($Q909,'Threshold Summary'!$Y:$Y,'Threshold Summary'!$P:$P,"")/4))*XLOOKUP($Q909,'Threshold Summary'!$Y:$Y,'Threshold Summary'!$L:$L,""))/100)+5)*XLOOKUP(XLOOKUP($Q909,'Threshold Summary'!$Y:$Y,'Threshold Summary'!$M:$M,""),'Nature Editor'!$A:$A,'Nature Editor'!$B:$B,1)),FLOOR((FLOOR(((2*XLOOKUP(XLOOKUP($Q909,'Threshold Summary'!$Y:$Y,'Threshold Summary'!$K:$K,""),'Pokemon Editor'!$A:$A,'Pokemon Editor'!$H:$H,0)+31+FLOOR(XLOOKUP($Q909,'Threshold Summary'!$Y:$Y,'Threshold Summary'!$R:$R,"")/4))*XLOOKUP($Q909,'Threshold Summary'!$Y:$Y,'Threshold Summary'!$L:$L,""))/100)+5)*XLOOKUP(XLOOKUP($Q909,'Threshold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Editor'!$E:$E,1))),stab,IF(OR(mtype=XLOOKUP(XLOOKUP($Q909,'Threshold Summary'!$Y:$Y,'Threshold Summary'!$K:$K,""),'Pokemon Editor'!$A:$A,'Pokemon Editor'!$C:$C,""),mtype=XLOOKUP(XLOOKUP($Q909,'Threshold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Chart'!$B$1:$S$1,0)))),base,IF(OR(cat="Status",pow=0),0,FLOOR(FLOOR(FLOOR((2*XLOOKUP($Q909,'Threshold Summary'!$Y:$Y,'Threshold Summary'!$L:$L,"")/5+2)*pow*atk/def)/50)+2)),modifier,stab*eff,AVERAGE(ARRAYFORMULA(FLOOR(base*modifier*SEQUENCE(16,1,85,1)/100)))),0)</f>
        <v/>
      </c>
      <c r="M909" s="3">
        <f>IFERROR(LET(mtype,XLOOKUP($D909,'Move Editor'!$B:$B,'Move Editor'!$C:$C,""),cat,XLOOKUP($D909,'Move Editor'!$B:$B,'Move Editor'!$D:$D,""),pow,XLOOKUP($D909,'Move Editor'!$B:$B,'Move Editor'!$E:$E,0),acc,XLOOKUP($D909,'Move Editor'!$B:$B,'Move Editor'!$F:$F,100),atk,IF(cat="Physical",FLOOR((FLOOR(((2*XLOOKUP(XLOOKUP($Q909,'Threshold Summary'!$Y:$Y,'Threshold Summary'!$K:$K,""),'Pokemon Editor'!$A:$A,'Pokemon Editor'!$F:$F,0)+31+FLOOR(XLOOKUP($Q909,'Threshold Summary'!$Y:$Y,'Threshold Summary'!$P:$P,"")/4))*XLOOKUP($Q909,'Threshold Summary'!$Y:$Y,'Threshold Summary'!$L:$L,""))/100)+5)*XLOOKUP(XLOOKUP($Q909,'Threshold Summary'!$Y:$Y,'Threshold Summary'!$M:$M,""),'Nature Editor'!$A:$A,'Nature Editor'!$B:$B,1)),FLOOR((FLOOR(((2*XLOOKUP(XLOOKUP($Q909,'Threshold Summary'!$Y:$Y,'Threshold Summary'!$K:$K,""),'Pokemon Editor'!$A:$A,'Pokemon Editor'!$H:$H,0)+31+FLOOR(XLOOKUP($Q909,'Threshold Summary'!$Y:$Y,'Threshold Summary'!$R:$R,"")/4))*XLOOKUP($Q909,'Threshold Summary'!$Y:$Y,'Threshold Summary'!$L:$L,""))/100)+5)*XLOOKUP(XLOOKUP($Q909,'Threshold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Editor'!$E:$E,1))),stab,IF(OR(mtype=XLOOKUP(XLOOKUP($Q909,'Threshold Summary'!$Y:$Y,'Threshold Summary'!$K:$K,""),'Pokemon Editor'!$A:$A,'Pokemon Editor'!$C:$C,""),mtype=XLOOKUP(XLOOKUP($Q909,'Threshold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Chart'!$B$1:$S$1,0)))),base,IF(OR(cat="Status",pow=0),0,FLOOR(FLOOR(FLOOR((2*XLOOKUP($Q909,'Threshold Summary'!$Y:$Y,'Threshold Summary'!$L:$L,"")/5+2)*pow*atk/def)/50)+2)),modifier,stab*eff,AVERAGE(ARRAYFORMULA(FLOOR(base*modifier*SEQUENCE(16,1,85,1)/100)))*MIN(1,acc/100)),0)</f>
        <v/>
      </c>
      <c r="N909" s="4">
        <f>IFERROR(LET(mtype,XLOOKUP($D909,'Move Editor'!$B:$B,'Move Editor'!$C:$C,""),cat,XLOOKUP($D909,'Move Editor'!$B:$B,'Move Editor'!$D:$D,""),pow,XLOOKUP($D909,'Move Editor'!$B:$B,'Move Editor'!$E:$E,0),acc,XLOOKUP($D909,'Move Editor'!$B:$B,'Move Editor'!$F:$F,100),atk,IF(cat="Physical",FLOOR((FLOOR(((2*XLOOKUP(XLOOKUP($Q909,'Threshold Summary'!$Y:$Y,'Threshold Summary'!$K:$K,""),'Pokemon Editor'!$A:$A,'Pokemon Editor'!$F:$F,0)+31+FLOOR(XLOOKUP($Q909,'Threshold Summary'!$Y:$Y,'Threshold Summary'!$P:$P,"")/4))*XLOOKUP($Q909,'Threshold Summary'!$Y:$Y,'Threshold Summary'!$L:$L,""))/100)+5)*XLOOKUP(XLOOKUP($Q909,'Threshold Summary'!$Y:$Y,'Threshold Summary'!$M:$M,""),'Nature Editor'!$A:$A,'Nature Editor'!$B:$B,1)),FLOOR((FLOOR(((2*XLOOKUP(XLOOKUP($Q909,'Threshold Summary'!$Y:$Y,'Threshold Summary'!$K:$K,""),'Pokemon Editor'!$A:$A,'Pokemon Editor'!$H:$H,0)+31+FLOOR(XLOOKUP($Q909,'Threshold Summary'!$Y:$Y,'Threshold Summary'!$R:$R,"")/4))*XLOOKUP($Q909,'Threshold Summary'!$Y:$Y,'Threshold Summary'!$L:$L,""))/100)+5)*XLOOKUP(XLOOKUP($Q909,'Threshold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Editor'!$E:$E,1))),stab,IF(OR(mtype=XLOOKUP(XLOOKUP($Q909,'Threshold Summary'!$Y:$Y,'Threshold Summary'!$K:$K,""),'Pokemon Editor'!$A:$A,'Pokemon Editor'!$C:$C,""),mtype=XLOOKUP(XLOOKUP($Q909,'Threshold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Chart'!$B$1:$S$1,0)))),base,IF(OR(cat="Status",pow=0),0,FLOOR(FLOOR(FLOOR((2*XLOOKUP($Q909,'Threshold Summary'!$Y:$Y,'Threshold Summary'!$L:$L,"")/5+2)*pow*atk/def)/50)+2)),modifier,stab*eff,AVERAGE(ARRAYFORMULA(FLOOR(base*modifier*SEQUENCE(16,1,85,1)/100)))/(FLOOR(((2*XLOOKUP('Boss Editor'!$C$4,'Pokemon Editor'!$A:$A,'Pokemon Editor'!$E:$E,0)+31+FLOOR('Boss Editor'!$G$4/4))*'Boss Editor'!$D$4)/100)+'Boss Editor'!$D$4+10)),0)</f>
        <v/>
      </c>
      <c r="O909" s="3">
        <f>IF(N909&gt;=1,"OHKO",IF(N909&gt;=0.5,"2HKO",IF(N909&gt;=0.333,"3HKO",IF(N909&gt;=0.25,"4HKO","5HKO+"))))</f>
        <v/>
      </c>
      <c r="P909" s="3" t="inlineStr">
        <is>
          <t>Live from editable databases</t>
        </is>
      </c>
      <c r="Q909" s="3" t="inlineStr">
        <is>
          <t>SPECIES_TANDEMAUS</t>
        </is>
      </c>
      <c r="R909" s="3" t="n">
        <v>12</v>
      </c>
    </row>
    <row r="910">
      <c r="A910" s="3">
        <f>XLOOKUP($Q910,'Threshold Summary'!$Y:$Y,'Threshold Summary'!$A:$A,"")</f>
        <v/>
      </c>
      <c r="B910" s="3">
        <f>XLOOKUP($Q910,'Threshold Summary'!$Y:$Y,'Threshold Summary'!$M:$M,"")</f>
        <v/>
      </c>
      <c r="C910" s="3">
        <f>XLOOKUP($Q910,'Threshold Summary'!$Y:$Y,'Threshold Summary'!$N:$N,"")</f>
        <v/>
      </c>
      <c r="D910" s="3">
        <f>IFERROR(INDEX(FILTER('Learnset Editor'!$D$2:$D,'Learnset Editor'!$A$2:$A=XLOOKUP($Q910,'Threshold Summary'!$Y:$Y,'Threshold Summary'!$K:$K,""),'Learnset Editor'!$C$2:$C&lt;=XLOOKUP($Q910,'Threshold Summary'!$Y:$Y,'Threshold Summary'!$L:$L,"")),$R910),"")</f>
        <v/>
      </c>
      <c r="E910" s="3">
        <f>XLOOKUP(D910,'Move Editor'!$B:$B,'Move Editor'!$C:$C,"")</f>
        <v/>
      </c>
      <c r="F910" s="3">
        <f>XLOOKUP(D910,'Move Editor'!$B:$B,'Move Editor'!$D:$D,"")</f>
        <v/>
      </c>
      <c r="G910" s="3">
        <f>XLOOKUP(D910,'Move Editor'!$B:$B,'Move Editor'!$E:$E,0)</f>
        <v/>
      </c>
      <c r="H910" s="3">
        <f>XLOOKUP(D910,'Move Editor'!$B:$B,'Move Editor'!$F:$F,0)</f>
        <v/>
      </c>
      <c r="I910" s="3">
        <f>(INDEX('Type Chart'!$B:$S,MATCH(E910,'Type Chart'!$A:$A,0),MATCH(XLOOKUP('Boss Editor'!$C$4,'Pokemon Editor'!$A:$A,'Pokemon Editor'!$C:$C,""),'Type Chart'!$B$1:$S$1,0))*IF(XLOOKUP('Boss Editor'!$C$4,'Pokemon Editor'!$A:$A,'Pokemon Editor'!$D:$D,"")="",1,INDEX('Type Chart'!$B:$S,MATCH(E910,'Type Chart'!$A:$A,0),MATCH(XLOOKUP('Boss Editor'!$C$4,'Pokemon Editor'!$A:$A,'Pokemon Editor'!$D:$D,""),'Type Chart'!$B$1:$S$1,0))))</f>
        <v/>
      </c>
      <c r="J910" s="3">
        <f>IFERROR(LET(mtype,XLOOKUP($D910,'Move Editor'!$B:$B,'Move Editor'!$C:$C,""),cat,XLOOKUP($D910,'Move Editor'!$B:$B,'Move Editor'!$D:$D,""),pow,XLOOKUP($D910,'Move Editor'!$B:$B,'Move Editor'!$E:$E,0),acc,XLOOKUP($D910,'Move Editor'!$B:$B,'Move Editor'!$F:$F,100),atk,IF(cat="Physical",FLOOR((FLOOR(((2*XLOOKUP(XLOOKUP($Q910,'Threshold Summary'!$Y:$Y,'Threshold Summary'!$K:$K,""),'Pokemon Editor'!$A:$A,'Pokemon Editor'!$F:$F,0)+31+FLOOR(XLOOKUP($Q910,'Threshold Summary'!$Y:$Y,'Threshold Summary'!$P:$P,"")/4))*XLOOKUP($Q910,'Threshold Summary'!$Y:$Y,'Threshold Summary'!$L:$L,""))/100)+5)*XLOOKUP(XLOOKUP($Q910,'Threshold Summary'!$Y:$Y,'Threshold Summary'!$M:$M,""),'Nature Editor'!$A:$A,'Nature Editor'!$B:$B,1)),FLOOR((FLOOR(((2*XLOOKUP(XLOOKUP($Q910,'Threshold Summary'!$Y:$Y,'Threshold Summary'!$K:$K,""),'Pokemon Editor'!$A:$A,'Pokemon Editor'!$H:$H,0)+31+FLOOR(XLOOKUP($Q910,'Threshold Summary'!$Y:$Y,'Threshold Summary'!$R:$R,"")/4))*XLOOKUP($Q910,'Threshold Summary'!$Y:$Y,'Threshold Summary'!$L:$L,""))/100)+5)*XLOOKUP(XLOOKUP($Q910,'Threshold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Editor'!$E:$E,1))),stab,IF(OR(mtype=XLOOKUP(XLOOKUP($Q910,'Threshold Summary'!$Y:$Y,'Threshold Summary'!$K:$K,""),'Pokemon Editor'!$A:$A,'Pokemon Editor'!$C:$C,""),mtype=XLOOKUP(XLOOKUP($Q910,'Threshold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Chart'!$B$1:$S$1,0)))),base,IF(OR(cat="Status",pow=0),0,FLOOR(FLOOR(FLOOR((2*XLOOKUP($Q910,'Threshold Summary'!$Y:$Y,'Threshold Summary'!$L:$L,"")/5+2)*pow*atk/def)/50)+2)),modifier,stab*eff,FLOOR(base*modifier*0.85)),0)</f>
        <v/>
      </c>
      <c r="K910" s="3">
        <f>IFERROR(LET(mtype,XLOOKUP($D910,'Move Editor'!$B:$B,'Move Editor'!$C:$C,""),cat,XLOOKUP($D910,'Move Editor'!$B:$B,'Move Editor'!$D:$D,""),pow,XLOOKUP($D910,'Move Editor'!$B:$B,'Move Editor'!$E:$E,0),acc,XLOOKUP($D910,'Move Editor'!$B:$B,'Move Editor'!$F:$F,100),atk,IF(cat="Physical",FLOOR((FLOOR(((2*XLOOKUP(XLOOKUP($Q910,'Threshold Summary'!$Y:$Y,'Threshold Summary'!$K:$K,""),'Pokemon Editor'!$A:$A,'Pokemon Editor'!$F:$F,0)+31+FLOOR(XLOOKUP($Q910,'Threshold Summary'!$Y:$Y,'Threshold Summary'!$P:$P,"")/4))*XLOOKUP($Q910,'Threshold Summary'!$Y:$Y,'Threshold Summary'!$L:$L,""))/100)+5)*XLOOKUP(XLOOKUP($Q910,'Threshold Summary'!$Y:$Y,'Threshold Summary'!$M:$M,""),'Nature Editor'!$A:$A,'Nature Editor'!$B:$B,1)),FLOOR((FLOOR(((2*XLOOKUP(XLOOKUP($Q910,'Threshold Summary'!$Y:$Y,'Threshold Summary'!$K:$K,""),'Pokemon Editor'!$A:$A,'Pokemon Editor'!$H:$H,0)+31+FLOOR(XLOOKUP($Q910,'Threshold Summary'!$Y:$Y,'Threshold Summary'!$R:$R,"")/4))*XLOOKUP($Q910,'Threshold Summary'!$Y:$Y,'Threshold Summary'!$L:$L,""))/100)+5)*XLOOKUP(XLOOKUP($Q910,'Threshold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Editor'!$E:$E,1))),stab,IF(OR(mtype=XLOOKUP(XLOOKUP($Q910,'Threshold Summary'!$Y:$Y,'Threshold Summary'!$K:$K,""),'Pokemon Editor'!$A:$A,'Pokemon Editor'!$C:$C,""),mtype=XLOOKUP(XLOOKUP($Q910,'Threshold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Chart'!$B$1:$S$1,0)))),base,IF(OR(cat="Status",pow=0),0,FLOOR(FLOOR(FLOOR((2*XLOOKUP($Q910,'Threshold Summary'!$Y:$Y,'Threshold Summary'!$L:$L,"")/5+2)*pow*atk/def)/50)+2)),modifier,stab*eff,FLOOR(base*modifier)),0)</f>
        <v/>
      </c>
      <c r="L910" s="3">
        <f>IFERROR(LET(mtype,XLOOKUP($D910,'Move Editor'!$B:$B,'Move Editor'!$C:$C,""),cat,XLOOKUP($D910,'Move Editor'!$B:$B,'Move Editor'!$D:$D,""),pow,XLOOKUP($D910,'Move Editor'!$B:$B,'Move Editor'!$E:$E,0),acc,XLOOKUP($D910,'Move Editor'!$B:$B,'Move Editor'!$F:$F,100),atk,IF(cat="Physical",FLOOR((FLOOR(((2*XLOOKUP(XLOOKUP($Q910,'Threshold Summary'!$Y:$Y,'Threshold Summary'!$K:$K,""),'Pokemon Editor'!$A:$A,'Pokemon Editor'!$F:$F,0)+31+FLOOR(XLOOKUP($Q910,'Threshold Summary'!$Y:$Y,'Threshold Summary'!$P:$P,"")/4))*XLOOKUP($Q910,'Threshold Summary'!$Y:$Y,'Threshold Summary'!$L:$L,""))/100)+5)*XLOOKUP(XLOOKUP($Q910,'Threshold Summary'!$Y:$Y,'Threshold Summary'!$M:$M,""),'Nature Editor'!$A:$A,'Nature Editor'!$B:$B,1)),FLOOR((FLOOR(((2*XLOOKUP(XLOOKUP($Q910,'Threshold Summary'!$Y:$Y,'Threshold Summary'!$K:$K,""),'Pokemon Editor'!$A:$A,'Pokemon Editor'!$H:$H,0)+31+FLOOR(XLOOKUP($Q910,'Threshold Summary'!$Y:$Y,'Threshold Summary'!$R:$R,"")/4))*XLOOKUP($Q910,'Threshold Summary'!$Y:$Y,'Threshold Summary'!$L:$L,""))/100)+5)*XLOOKUP(XLOOKUP($Q910,'Threshold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Editor'!$E:$E,1))),stab,IF(OR(mtype=XLOOKUP(XLOOKUP($Q910,'Threshold Summary'!$Y:$Y,'Threshold Summary'!$K:$K,""),'Pokemon Editor'!$A:$A,'Pokemon Editor'!$C:$C,""),mtype=XLOOKUP(XLOOKUP($Q910,'Threshold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Chart'!$B$1:$S$1,0)))),base,IF(OR(cat="Status",pow=0),0,FLOOR(FLOOR(FLOOR((2*XLOOKUP($Q910,'Threshold Summary'!$Y:$Y,'Threshold Summary'!$L:$L,"")/5+2)*pow*atk/def)/50)+2)),modifier,stab*eff,AVERAGE(ARRAYFORMULA(FLOOR(base*modifier*SEQUENCE(16,1,85,1)/100)))),0)</f>
        <v/>
      </c>
      <c r="M910" s="3">
        <f>IFERROR(LET(mtype,XLOOKUP($D910,'Move Editor'!$B:$B,'Move Editor'!$C:$C,""),cat,XLOOKUP($D910,'Move Editor'!$B:$B,'Move Editor'!$D:$D,""),pow,XLOOKUP($D910,'Move Editor'!$B:$B,'Move Editor'!$E:$E,0),acc,XLOOKUP($D910,'Move Editor'!$B:$B,'Move Editor'!$F:$F,100),atk,IF(cat="Physical",FLOOR((FLOOR(((2*XLOOKUP(XLOOKUP($Q910,'Threshold Summary'!$Y:$Y,'Threshold Summary'!$K:$K,""),'Pokemon Editor'!$A:$A,'Pokemon Editor'!$F:$F,0)+31+FLOOR(XLOOKUP($Q910,'Threshold Summary'!$Y:$Y,'Threshold Summary'!$P:$P,"")/4))*XLOOKUP($Q910,'Threshold Summary'!$Y:$Y,'Threshold Summary'!$L:$L,""))/100)+5)*XLOOKUP(XLOOKUP($Q910,'Threshold Summary'!$Y:$Y,'Threshold Summary'!$M:$M,""),'Nature Editor'!$A:$A,'Nature Editor'!$B:$B,1)),FLOOR((FLOOR(((2*XLOOKUP(XLOOKUP($Q910,'Threshold Summary'!$Y:$Y,'Threshold Summary'!$K:$K,""),'Pokemon Editor'!$A:$A,'Pokemon Editor'!$H:$H,0)+31+FLOOR(XLOOKUP($Q910,'Threshold Summary'!$Y:$Y,'Threshold Summary'!$R:$R,"")/4))*XLOOKUP($Q910,'Threshold Summary'!$Y:$Y,'Threshold Summary'!$L:$L,""))/100)+5)*XLOOKUP(XLOOKUP($Q910,'Threshold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Editor'!$E:$E,1))),stab,IF(OR(mtype=XLOOKUP(XLOOKUP($Q910,'Threshold Summary'!$Y:$Y,'Threshold Summary'!$K:$K,""),'Pokemon Editor'!$A:$A,'Pokemon Editor'!$C:$C,""),mtype=XLOOKUP(XLOOKUP($Q910,'Threshold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Chart'!$B$1:$S$1,0)))),base,IF(OR(cat="Status",pow=0),0,FLOOR(FLOOR(FLOOR((2*XLOOKUP($Q910,'Threshold Summary'!$Y:$Y,'Threshold Summary'!$L:$L,"")/5+2)*pow*atk/def)/50)+2)),modifier,stab*eff,AVERAGE(ARRAYFORMULA(FLOOR(base*modifier*SEQUENCE(16,1,85,1)/100)))*MIN(1,acc/100)),0)</f>
        <v/>
      </c>
      <c r="N910" s="4">
        <f>IFERROR(LET(mtype,XLOOKUP($D910,'Move Editor'!$B:$B,'Move Editor'!$C:$C,""),cat,XLOOKUP($D910,'Move Editor'!$B:$B,'Move Editor'!$D:$D,""),pow,XLOOKUP($D910,'Move Editor'!$B:$B,'Move Editor'!$E:$E,0),acc,XLOOKUP($D910,'Move Editor'!$B:$B,'Move Editor'!$F:$F,100),atk,IF(cat="Physical",FLOOR((FLOOR(((2*XLOOKUP(XLOOKUP($Q910,'Threshold Summary'!$Y:$Y,'Threshold Summary'!$K:$K,""),'Pokemon Editor'!$A:$A,'Pokemon Editor'!$F:$F,0)+31+FLOOR(XLOOKUP($Q910,'Threshold Summary'!$Y:$Y,'Threshold Summary'!$P:$P,"")/4))*XLOOKUP($Q910,'Threshold Summary'!$Y:$Y,'Threshold Summary'!$L:$L,""))/100)+5)*XLOOKUP(XLOOKUP($Q910,'Threshold Summary'!$Y:$Y,'Threshold Summary'!$M:$M,""),'Nature Editor'!$A:$A,'Nature Editor'!$B:$B,1)),FLOOR((FLOOR(((2*XLOOKUP(XLOOKUP($Q910,'Threshold Summary'!$Y:$Y,'Threshold Summary'!$K:$K,""),'Pokemon Editor'!$A:$A,'Pokemon Editor'!$H:$H,0)+31+FLOOR(XLOOKUP($Q910,'Threshold Summary'!$Y:$Y,'Threshold Summary'!$R:$R,"")/4))*XLOOKUP($Q910,'Threshold Summary'!$Y:$Y,'Threshold Summary'!$L:$L,""))/100)+5)*XLOOKUP(XLOOKUP($Q910,'Threshold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Editor'!$E:$E,1))),stab,IF(OR(mtype=XLOOKUP(XLOOKUP($Q910,'Threshold Summary'!$Y:$Y,'Threshold Summary'!$K:$K,""),'Pokemon Editor'!$A:$A,'Pokemon Editor'!$C:$C,""),mtype=XLOOKUP(XLOOKUP($Q910,'Threshold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Chart'!$B$1:$S$1,0)))),base,IF(OR(cat="Status",pow=0),0,FLOOR(FLOOR(FLOOR((2*XLOOKUP($Q910,'Threshold Summary'!$Y:$Y,'Threshold Summary'!$L:$L,"")/5+2)*pow*atk/def)/50)+2)),modifier,stab*eff,AVERAGE(ARRAYFORMULA(FLOOR(base*modifier*SEQUENCE(16,1,85,1)/100)))/(FLOOR(((2*XLOOKUP('Boss Editor'!$C$4,'Pokemon Editor'!$A:$A,'Pokemon Editor'!$E:$E,0)+31+FLOOR('Boss Editor'!$G$4/4))*'Boss Editor'!$D$4)/100)+'Boss Editor'!$D$4+10)),0)</f>
        <v/>
      </c>
      <c r="O910" s="3">
        <f>IF(N910&gt;=1,"OHKO",IF(N910&gt;=0.5,"2HKO",IF(N910&gt;=0.333,"3HKO",IF(N910&gt;=0.25,"4HKO","5HKO+"))))</f>
        <v/>
      </c>
      <c r="P910" s="3" t="inlineStr">
        <is>
          <t>Live from editable databases</t>
        </is>
      </c>
      <c r="Q910" s="3" t="inlineStr">
        <is>
          <t>SPECIES_TANDEMAUS</t>
        </is>
      </c>
      <c r="R910" s="3" t="n">
        <v>13</v>
      </c>
    </row>
    <row r="911">
      <c r="A911" s="3">
        <f>XLOOKUP($Q911,'Threshold Summary'!$Y:$Y,'Threshold Summary'!$A:$A,"")</f>
        <v/>
      </c>
      <c r="B911" s="3">
        <f>XLOOKUP($Q911,'Threshold Summary'!$Y:$Y,'Threshold Summary'!$M:$M,"")</f>
        <v/>
      </c>
      <c r="C911" s="3">
        <f>XLOOKUP($Q911,'Threshold Summary'!$Y:$Y,'Threshold Summary'!$N:$N,"")</f>
        <v/>
      </c>
      <c r="D911" s="3">
        <f>IFERROR(INDEX(FILTER('Learnset Editor'!$D$2:$D,'Learnset Editor'!$A$2:$A=XLOOKUP($Q911,'Threshold Summary'!$Y:$Y,'Threshold Summary'!$K:$K,""),'Learnset Editor'!$C$2:$C&lt;=XLOOKUP($Q911,'Threshold Summary'!$Y:$Y,'Threshold Summary'!$L:$L,"")),$R911),"")</f>
        <v/>
      </c>
      <c r="E911" s="3">
        <f>XLOOKUP(D911,'Move Editor'!$B:$B,'Move Editor'!$C:$C,"")</f>
        <v/>
      </c>
      <c r="F911" s="3">
        <f>XLOOKUP(D911,'Move Editor'!$B:$B,'Move Editor'!$D:$D,"")</f>
        <v/>
      </c>
      <c r="G911" s="3">
        <f>XLOOKUP(D911,'Move Editor'!$B:$B,'Move Editor'!$E:$E,0)</f>
        <v/>
      </c>
      <c r="H911" s="3">
        <f>XLOOKUP(D911,'Move Editor'!$B:$B,'Move Editor'!$F:$F,0)</f>
        <v/>
      </c>
      <c r="I911" s="3">
        <f>(INDEX('Type Chart'!$B:$S,MATCH(E911,'Type Chart'!$A:$A,0),MATCH(XLOOKUP('Boss Editor'!$C$4,'Pokemon Editor'!$A:$A,'Pokemon Editor'!$C:$C,""),'Type Chart'!$B$1:$S$1,0))*IF(XLOOKUP('Boss Editor'!$C$4,'Pokemon Editor'!$A:$A,'Pokemon Editor'!$D:$D,"")="",1,INDEX('Type Chart'!$B:$S,MATCH(E911,'Type Chart'!$A:$A,0),MATCH(XLOOKUP('Boss Editor'!$C$4,'Pokemon Editor'!$A:$A,'Pokemon Editor'!$D:$D,""),'Type Chart'!$B$1:$S$1,0))))</f>
        <v/>
      </c>
      <c r="J911" s="3">
        <f>IFERROR(LET(mtype,XLOOKUP($D911,'Move Editor'!$B:$B,'Move Editor'!$C:$C,""),cat,XLOOKUP($D911,'Move Editor'!$B:$B,'Move Editor'!$D:$D,""),pow,XLOOKUP($D911,'Move Editor'!$B:$B,'Move Editor'!$E:$E,0),acc,XLOOKUP($D911,'Move Editor'!$B:$B,'Move Editor'!$F:$F,100),atk,IF(cat="Physical",FLOOR((FLOOR(((2*XLOOKUP(XLOOKUP($Q911,'Threshold Summary'!$Y:$Y,'Threshold Summary'!$K:$K,""),'Pokemon Editor'!$A:$A,'Pokemon Editor'!$F:$F,0)+31+FLOOR(XLOOKUP($Q911,'Threshold Summary'!$Y:$Y,'Threshold Summary'!$P:$P,"")/4))*XLOOKUP($Q911,'Threshold Summary'!$Y:$Y,'Threshold Summary'!$L:$L,""))/100)+5)*XLOOKUP(XLOOKUP($Q911,'Threshold Summary'!$Y:$Y,'Threshold Summary'!$M:$M,""),'Nature Editor'!$A:$A,'Nature Editor'!$B:$B,1)),FLOOR((FLOOR(((2*XLOOKUP(XLOOKUP($Q911,'Threshold Summary'!$Y:$Y,'Threshold Summary'!$K:$K,""),'Pokemon Editor'!$A:$A,'Pokemon Editor'!$H:$H,0)+31+FLOOR(XLOOKUP($Q911,'Threshold Summary'!$Y:$Y,'Threshold Summary'!$R:$R,"")/4))*XLOOKUP($Q911,'Threshold Summary'!$Y:$Y,'Threshold Summary'!$L:$L,""))/100)+5)*XLOOKUP(XLOOKUP($Q911,'Threshold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Editor'!$E:$E,1))),stab,IF(OR(mtype=XLOOKUP(XLOOKUP($Q911,'Threshold Summary'!$Y:$Y,'Threshold Summary'!$K:$K,""),'Pokemon Editor'!$A:$A,'Pokemon Editor'!$C:$C,""),mtype=XLOOKUP(XLOOKUP($Q911,'Threshold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Chart'!$B$1:$S$1,0)))),base,IF(OR(cat="Status",pow=0),0,FLOOR(FLOOR(FLOOR((2*XLOOKUP($Q911,'Threshold Summary'!$Y:$Y,'Threshold Summary'!$L:$L,"")/5+2)*pow*atk/def)/50)+2)),modifier,stab*eff,FLOOR(base*modifier*0.85)),0)</f>
        <v/>
      </c>
      <c r="K911" s="3">
        <f>IFERROR(LET(mtype,XLOOKUP($D911,'Move Editor'!$B:$B,'Move Editor'!$C:$C,""),cat,XLOOKUP($D911,'Move Editor'!$B:$B,'Move Editor'!$D:$D,""),pow,XLOOKUP($D911,'Move Editor'!$B:$B,'Move Editor'!$E:$E,0),acc,XLOOKUP($D911,'Move Editor'!$B:$B,'Move Editor'!$F:$F,100),atk,IF(cat="Physical",FLOOR((FLOOR(((2*XLOOKUP(XLOOKUP($Q911,'Threshold Summary'!$Y:$Y,'Threshold Summary'!$K:$K,""),'Pokemon Editor'!$A:$A,'Pokemon Editor'!$F:$F,0)+31+FLOOR(XLOOKUP($Q911,'Threshold Summary'!$Y:$Y,'Threshold Summary'!$P:$P,"")/4))*XLOOKUP($Q911,'Threshold Summary'!$Y:$Y,'Threshold Summary'!$L:$L,""))/100)+5)*XLOOKUP(XLOOKUP($Q911,'Threshold Summary'!$Y:$Y,'Threshold Summary'!$M:$M,""),'Nature Editor'!$A:$A,'Nature Editor'!$B:$B,1)),FLOOR((FLOOR(((2*XLOOKUP(XLOOKUP($Q911,'Threshold Summary'!$Y:$Y,'Threshold Summary'!$K:$K,""),'Pokemon Editor'!$A:$A,'Pokemon Editor'!$H:$H,0)+31+FLOOR(XLOOKUP($Q911,'Threshold Summary'!$Y:$Y,'Threshold Summary'!$R:$R,"")/4))*XLOOKUP($Q911,'Threshold Summary'!$Y:$Y,'Threshold Summary'!$L:$L,""))/100)+5)*XLOOKUP(XLOOKUP($Q911,'Threshold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Editor'!$E:$E,1))),stab,IF(OR(mtype=XLOOKUP(XLOOKUP($Q911,'Threshold Summary'!$Y:$Y,'Threshold Summary'!$K:$K,""),'Pokemon Editor'!$A:$A,'Pokemon Editor'!$C:$C,""),mtype=XLOOKUP(XLOOKUP($Q911,'Threshold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Chart'!$B$1:$S$1,0)))),base,IF(OR(cat="Status",pow=0),0,FLOOR(FLOOR(FLOOR((2*XLOOKUP($Q911,'Threshold Summary'!$Y:$Y,'Threshold Summary'!$L:$L,"")/5+2)*pow*atk/def)/50)+2)),modifier,stab*eff,FLOOR(base*modifier)),0)</f>
        <v/>
      </c>
      <c r="L911" s="3">
        <f>IFERROR(LET(mtype,XLOOKUP($D911,'Move Editor'!$B:$B,'Move Editor'!$C:$C,""),cat,XLOOKUP($D911,'Move Editor'!$B:$B,'Move Editor'!$D:$D,""),pow,XLOOKUP($D911,'Move Editor'!$B:$B,'Move Editor'!$E:$E,0),acc,XLOOKUP($D911,'Move Editor'!$B:$B,'Move Editor'!$F:$F,100),atk,IF(cat="Physical",FLOOR((FLOOR(((2*XLOOKUP(XLOOKUP($Q911,'Threshold Summary'!$Y:$Y,'Threshold Summary'!$K:$K,""),'Pokemon Editor'!$A:$A,'Pokemon Editor'!$F:$F,0)+31+FLOOR(XLOOKUP($Q911,'Threshold Summary'!$Y:$Y,'Threshold Summary'!$P:$P,"")/4))*XLOOKUP($Q911,'Threshold Summary'!$Y:$Y,'Threshold Summary'!$L:$L,""))/100)+5)*XLOOKUP(XLOOKUP($Q911,'Threshold Summary'!$Y:$Y,'Threshold Summary'!$M:$M,""),'Nature Editor'!$A:$A,'Nature Editor'!$B:$B,1)),FLOOR((FLOOR(((2*XLOOKUP(XLOOKUP($Q911,'Threshold Summary'!$Y:$Y,'Threshold Summary'!$K:$K,""),'Pokemon Editor'!$A:$A,'Pokemon Editor'!$H:$H,0)+31+FLOOR(XLOOKUP($Q911,'Threshold Summary'!$Y:$Y,'Threshold Summary'!$R:$R,"")/4))*XLOOKUP($Q911,'Threshold Summary'!$Y:$Y,'Threshold Summary'!$L:$L,""))/100)+5)*XLOOKUP(XLOOKUP($Q911,'Threshold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Editor'!$E:$E,1))),stab,IF(OR(mtype=XLOOKUP(XLOOKUP($Q911,'Threshold Summary'!$Y:$Y,'Threshold Summary'!$K:$K,""),'Pokemon Editor'!$A:$A,'Pokemon Editor'!$C:$C,""),mtype=XLOOKUP(XLOOKUP($Q911,'Threshold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Chart'!$B$1:$S$1,0)))),base,IF(OR(cat="Status",pow=0),0,FLOOR(FLOOR(FLOOR((2*XLOOKUP($Q911,'Threshold Summary'!$Y:$Y,'Threshold Summary'!$L:$L,"")/5+2)*pow*atk/def)/50)+2)),modifier,stab*eff,AVERAGE(ARRAYFORMULA(FLOOR(base*modifier*SEQUENCE(16,1,85,1)/100)))),0)</f>
        <v/>
      </c>
      <c r="M911" s="3">
        <f>IFERROR(LET(mtype,XLOOKUP($D911,'Move Editor'!$B:$B,'Move Editor'!$C:$C,""),cat,XLOOKUP($D911,'Move Editor'!$B:$B,'Move Editor'!$D:$D,""),pow,XLOOKUP($D911,'Move Editor'!$B:$B,'Move Editor'!$E:$E,0),acc,XLOOKUP($D911,'Move Editor'!$B:$B,'Move Editor'!$F:$F,100),atk,IF(cat="Physical",FLOOR((FLOOR(((2*XLOOKUP(XLOOKUP($Q911,'Threshold Summary'!$Y:$Y,'Threshold Summary'!$K:$K,""),'Pokemon Editor'!$A:$A,'Pokemon Editor'!$F:$F,0)+31+FLOOR(XLOOKUP($Q911,'Threshold Summary'!$Y:$Y,'Threshold Summary'!$P:$P,"")/4))*XLOOKUP($Q911,'Threshold Summary'!$Y:$Y,'Threshold Summary'!$L:$L,""))/100)+5)*XLOOKUP(XLOOKUP($Q911,'Threshold Summary'!$Y:$Y,'Threshold Summary'!$M:$M,""),'Nature Editor'!$A:$A,'Nature Editor'!$B:$B,1)),FLOOR((FLOOR(((2*XLOOKUP(XLOOKUP($Q911,'Threshold Summary'!$Y:$Y,'Threshold Summary'!$K:$K,""),'Pokemon Editor'!$A:$A,'Pokemon Editor'!$H:$H,0)+31+FLOOR(XLOOKUP($Q911,'Threshold Summary'!$Y:$Y,'Threshold Summary'!$R:$R,"")/4))*XLOOKUP($Q911,'Threshold Summary'!$Y:$Y,'Threshold Summary'!$L:$L,""))/100)+5)*XLOOKUP(XLOOKUP($Q911,'Threshold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Editor'!$E:$E,1))),stab,IF(OR(mtype=XLOOKUP(XLOOKUP($Q911,'Threshold Summary'!$Y:$Y,'Threshold Summary'!$K:$K,""),'Pokemon Editor'!$A:$A,'Pokemon Editor'!$C:$C,""),mtype=XLOOKUP(XLOOKUP($Q911,'Threshold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Chart'!$B$1:$S$1,0)))),base,IF(OR(cat="Status",pow=0),0,FLOOR(FLOOR(FLOOR((2*XLOOKUP($Q911,'Threshold Summary'!$Y:$Y,'Threshold Summary'!$L:$L,"")/5+2)*pow*atk/def)/50)+2)),modifier,stab*eff,AVERAGE(ARRAYFORMULA(FLOOR(base*modifier*SEQUENCE(16,1,85,1)/100)))*MIN(1,acc/100)),0)</f>
        <v/>
      </c>
      <c r="N911" s="4">
        <f>IFERROR(LET(mtype,XLOOKUP($D911,'Move Editor'!$B:$B,'Move Editor'!$C:$C,""),cat,XLOOKUP($D911,'Move Editor'!$B:$B,'Move Editor'!$D:$D,""),pow,XLOOKUP($D911,'Move Editor'!$B:$B,'Move Editor'!$E:$E,0),acc,XLOOKUP($D911,'Move Editor'!$B:$B,'Move Editor'!$F:$F,100),atk,IF(cat="Physical",FLOOR((FLOOR(((2*XLOOKUP(XLOOKUP($Q911,'Threshold Summary'!$Y:$Y,'Threshold Summary'!$K:$K,""),'Pokemon Editor'!$A:$A,'Pokemon Editor'!$F:$F,0)+31+FLOOR(XLOOKUP($Q911,'Threshold Summary'!$Y:$Y,'Threshold Summary'!$P:$P,"")/4))*XLOOKUP($Q911,'Threshold Summary'!$Y:$Y,'Threshold Summary'!$L:$L,""))/100)+5)*XLOOKUP(XLOOKUP($Q911,'Threshold Summary'!$Y:$Y,'Threshold Summary'!$M:$M,""),'Nature Editor'!$A:$A,'Nature Editor'!$B:$B,1)),FLOOR((FLOOR(((2*XLOOKUP(XLOOKUP($Q911,'Threshold Summary'!$Y:$Y,'Threshold Summary'!$K:$K,""),'Pokemon Editor'!$A:$A,'Pokemon Editor'!$H:$H,0)+31+FLOOR(XLOOKUP($Q911,'Threshold Summary'!$Y:$Y,'Threshold Summary'!$R:$R,"")/4))*XLOOKUP($Q911,'Threshold Summary'!$Y:$Y,'Threshold Summary'!$L:$L,""))/100)+5)*XLOOKUP(XLOOKUP($Q911,'Threshold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Editor'!$E:$E,1))),stab,IF(OR(mtype=XLOOKUP(XLOOKUP($Q911,'Threshold Summary'!$Y:$Y,'Threshold Summary'!$K:$K,""),'Pokemon Editor'!$A:$A,'Pokemon Editor'!$C:$C,""),mtype=XLOOKUP(XLOOKUP($Q911,'Threshold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Chart'!$B$1:$S$1,0)))),base,IF(OR(cat="Status",pow=0),0,FLOOR(FLOOR(FLOOR((2*XLOOKUP($Q911,'Threshold Summary'!$Y:$Y,'Threshold Summary'!$L:$L,"")/5+2)*pow*atk/def)/50)+2)),modifier,stab*eff,AVERAGE(ARRAYFORMULA(FLOOR(base*modifier*SEQUENCE(16,1,85,1)/100)))/(FLOOR(((2*XLOOKUP('Boss Editor'!$C$4,'Pokemon Editor'!$A:$A,'Pokemon Editor'!$E:$E,0)+31+FLOOR('Boss Editor'!$G$4/4))*'Boss Editor'!$D$4)/100)+'Boss Editor'!$D$4+10)),0)</f>
        <v/>
      </c>
      <c r="O911" s="3">
        <f>IF(N911&gt;=1,"OHKO",IF(N911&gt;=0.5,"2HKO",IF(N911&gt;=0.333,"3HKO",IF(N911&gt;=0.25,"4HKO","5HKO+"))))</f>
        <v/>
      </c>
      <c r="P911" s="3" t="inlineStr">
        <is>
          <t>Live from editable databases</t>
        </is>
      </c>
      <c r="Q911" s="3" t="inlineStr">
        <is>
          <t>SPECIES_TANDEMAUS</t>
        </is>
      </c>
      <c r="R911" s="3" t="n">
        <v>14</v>
      </c>
    </row>
    <row r="912">
      <c r="A912" s="3">
        <f>XLOOKUP($Q912,'Threshold Summary'!$Y:$Y,'Threshold Summary'!$A:$A,"")</f>
        <v/>
      </c>
      <c r="B912" s="3">
        <f>XLOOKUP($Q912,'Threshold Summary'!$Y:$Y,'Threshold Summary'!$M:$M,"")</f>
        <v/>
      </c>
      <c r="C912" s="3">
        <f>XLOOKUP($Q912,'Threshold Summary'!$Y:$Y,'Threshold Summary'!$N:$N,"")</f>
        <v/>
      </c>
      <c r="D912" s="3">
        <f>IFERROR(INDEX(FILTER('Learnset Editor'!$D$2:$D,'Learnset Editor'!$A$2:$A=XLOOKUP($Q912,'Threshold Summary'!$Y:$Y,'Threshold Summary'!$K:$K,""),'Learnset Editor'!$C$2:$C&lt;=XLOOKUP($Q912,'Threshold Summary'!$Y:$Y,'Threshold Summary'!$L:$L,"")),$R912),"")</f>
        <v/>
      </c>
      <c r="E912" s="3">
        <f>XLOOKUP(D912,'Move Editor'!$B:$B,'Move Editor'!$C:$C,"")</f>
        <v/>
      </c>
      <c r="F912" s="3">
        <f>XLOOKUP(D912,'Move Editor'!$B:$B,'Move Editor'!$D:$D,"")</f>
        <v/>
      </c>
      <c r="G912" s="3">
        <f>XLOOKUP(D912,'Move Editor'!$B:$B,'Move Editor'!$E:$E,0)</f>
        <v/>
      </c>
      <c r="H912" s="3">
        <f>XLOOKUP(D912,'Move Editor'!$B:$B,'Move Editor'!$F:$F,0)</f>
        <v/>
      </c>
      <c r="I912" s="3">
        <f>(INDEX('Type Chart'!$B:$S,MATCH(E912,'Type Chart'!$A:$A,0),MATCH(XLOOKUP('Boss Editor'!$C$4,'Pokemon Editor'!$A:$A,'Pokemon Editor'!$C:$C,""),'Type Chart'!$B$1:$S$1,0))*IF(XLOOKUP('Boss Editor'!$C$4,'Pokemon Editor'!$A:$A,'Pokemon Editor'!$D:$D,"")="",1,INDEX('Type Chart'!$B:$S,MATCH(E912,'Type Chart'!$A:$A,0),MATCH(XLOOKUP('Boss Editor'!$C$4,'Pokemon Editor'!$A:$A,'Pokemon Editor'!$D:$D,""),'Type Chart'!$B$1:$S$1,0))))</f>
        <v/>
      </c>
      <c r="J912" s="3">
        <f>IFERROR(LET(mtype,XLOOKUP($D912,'Move Editor'!$B:$B,'Move Editor'!$C:$C,""),cat,XLOOKUP($D912,'Move Editor'!$B:$B,'Move Editor'!$D:$D,""),pow,XLOOKUP($D912,'Move Editor'!$B:$B,'Move Editor'!$E:$E,0),acc,XLOOKUP($D912,'Move Editor'!$B:$B,'Move Editor'!$F:$F,100),atk,IF(cat="Physical",FLOOR((FLOOR(((2*XLOOKUP(XLOOKUP($Q912,'Threshold Summary'!$Y:$Y,'Threshold Summary'!$K:$K,""),'Pokemon Editor'!$A:$A,'Pokemon Editor'!$F:$F,0)+31+FLOOR(XLOOKUP($Q912,'Threshold Summary'!$Y:$Y,'Threshold Summary'!$P:$P,"")/4))*XLOOKUP($Q912,'Threshold Summary'!$Y:$Y,'Threshold Summary'!$L:$L,""))/100)+5)*XLOOKUP(XLOOKUP($Q912,'Threshold Summary'!$Y:$Y,'Threshold Summary'!$M:$M,""),'Nature Editor'!$A:$A,'Nature Editor'!$B:$B,1)),FLOOR((FLOOR(((2*XLOOKUP(XLOOKUP($Q912,'Threshold Summary'!$Y:$Y,'Threshold Summary'!$K:$K,""),'Pokemon Editor'!$A:$A,'Pokemon Editor'!$H:$H,0)+31+FLOOR(XLOOKUP($Q912,'Threshold Summary'!$Y:$Y,'Threshold Summary'!$R:$R,"")/4))*XLOOKUP($Q912,'Threshold Summary'!$Y:$Y,'Threshold Summary'!$L:$L,""))/100)+5)*XLOOKUP(XLOOKUP($Q912,'Threshold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Editor'!$E:$E,1))),stab,IF(OR(mtype=XLOOKUP(XLOOKUP($Q912,'Threshold Summary'!$Y:$Y,'Threshold Summary'!$K:$K,""),'Pokemon Editor'!$A:$A,'Pokemon Editor'!$C:$C,""),mtype=XLOOKUP(XLOOKUP($Q912,'Threshold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Chart'!$B$1:$S$1,0)))),base,IF(OR(cat="Status",pow=0),0,FLOOR(FLOOR(FLOOR((2*XLOOKUP($Q912,'Threshold Summary'!$Y:$Y,'Threshold Summary'!$L:$L,"")/5+2)*pow*atk/def)/50)+2)),modifier,stab*eff,FLOOR(base*modifier*0.85)),0)</f>
        <v/>
      </c>
      <c r="K912" s="3">
        <f>IFERROR(LET(mtype,XLOOKUP($D912,'Move Editor'!$B:$B,'Move Editor'!$C:$C,""),cat,XLOOKUP($D912,'Move Editor'!$B:$B,'Move Editor'!$D:$D,""),pow,XLOOKUP($D912,'Move Editor'!$B:$B,'Move Editor'!$E:$E,0),acc,XLOOKUP($D912,'Move Editor'!$B:$B,'Move Editor'!$F:$F,100),atk,IF(cat="Physical",FLOOR((FLOOR(((2*XLOOKUP(XLOOKUP($Q912,'Threshold Summary'!$Y:$Y,'Threshold Summary'!$K:$K,""),'Pokemon Editor'!$A:$A,'Pokemon Editor'!$F:$F,0)+31+FLOOR(XLOOKUP($Q912,'Threshold Summary'!$Y:$Y,'Threshold Summary'!$P:$P,"")/4))*XLOOKUP($Q912,'Threshold Summary'!$Y:$Y,'Threshold Summary'!$L:$L,""))/100)+5)*XLOOKUP(XLOOKUP($Q912,'Threshold Summary'!$Y:$Y,'Threshold Summary'!$M:$M,""),'Nature Editor'!$A:$A,'Nature Editor'!$B:$B,1)),FLOOR((FLOOR(((2*XLOOKUP(XLOOKUP($Q912,'Threshold Summary'!$Y:$Y,'Threshold Summary'!$K:$K,""),'Pokemon Editor'!$A:$A,'Pokemon Editor'!$H:$H,0)+31+FLOOR(XLOOKUP($Q912,'Threshold Summary'!$Y:$Y,'Threshold Summary'!$R:$R,"")/4))*XLOOKUP($Q912,'Threshold Summary'!$Y:$Y,'Threshold Summary'!$L:$L,""))/100)+5)*XLOOKUP(XLOOKUP($Q912,'Threshold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Editor'!$E:$E,1))),stab,IF(OR(mtype=XLOOKUP(XLOOKUP($Q912,'Threshold Summary'!$Y:$Y,'Threshold Summary'!$K:$K,""),'Pokemon Editor'!$A:$A,'Pokemon Editor'!$C:$C,""),mtype=XLOOKUP(XLOOKUP($Q912,'Threshold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Chart'!$B$1:$S$1,0)))),base,IF(OR(cat="Status",pow=0),0,FLOOR(FLOOR(FLOOR((2*XLOOKUP($Q912,'Threshold Summary'!$Y:$Y,'Threshold Summary'!$L:$L,"")/5+2)*pow*atk/def)/50)+2)),modifier,stab*eff,FLOOR(base*modifier)),0)</f>
        <v/>
      </c>
      <c r="L912" s="3">
        <f>IFERROR(LET(mtype,XLOOKUP($D912,'Move Editor'!$B:$B,'Move Editor'!$C:$C,""),cat,XLOOKUP($D912,'Move Editor'!$B:$B,'Move Editor'!$D:$D,""),pow,XLOOKUP($D912,'Move Editor'!$B:$B,'Move Editor'!$E:$E,0),acc,XLOOKUP($D912,'Move Editor'!$B:$B,'Move Editor'!$F:$F,100),atk,IF(cat="Physical",FLOOR((FLOOR(((2*XLOOKUP(XLOOKUP($Q912,'Threshold Summary'!$Y:$Y,'Threshold Summary'!$K:$K,""),'Pokemon Editor'!$A:$A,'Pokemon Editor'!$F:$F,0)+31+FLOOR(XLOOKUP($Q912,'Threshold Summary'!$Y:$Y,'Threshold Summary'!$P:$P,"")/4))*XLOOKUP($Q912,'Threshold Summary'!$Y:$Y,'Threshold Summary'!$L:$L,""))/100)+5)*XLOOKUP(XLOOKUP($Q912,'Threshold Summary'!$Y:$Y,'Threshold Summary'!$M:$M,""),'Nature Editor'!$A:$A,'Nature Editor'!$B:$B,1)),FLOOR((FLOOR(((2*XLOOKUP(XLOOKUP($Q912,'Threshold Summary'!$Y:$Y,'Threshold Summary'!$K:$K,""),'Pokemon Editor'!$A:$A,'Pokemon Editor'!$H:$H,0)+31+FLOOR(XLOOKUP($Q912,'Threshold Summary'!$Y:$Y,'Threshold Summary'!$R:$R,"")/4))*XLOOKUP($Q912,'Threshold Summary'!$Y:$Y,'Threshold Summary'!$L:$L,""))/100)+5)*XLOOKUP(XLOOKUP($Q912,'Threshold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Editor'!$E:$E,1))),stab,IF(OR(mtype=XLOOKUP(XLOOKUP($Q912,'Threshold Summary'!$Y:$Y,'Threshold Summary'!$K:$K,""),'Pokemon Editor'!$A:$A,'Pokemon Editor'!$C:$C,""),mtype=XLOOKUP(XLOOKUP($Q912,'Threshold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Chart'!$B$1:$S$1,0)))),base,IF(OR(cat="Status",pow=0),0,FLOOR(FLOOR(FLOOR((2*XLOOKUP($Q912,'Threshold Summary'!$Y:$Y,'Threshold Summary'!$L:$L,"")/5+2)*pow*atk/def)/50)+2)),modifier,stab*eff,AVERAGE(ARRAYFORMULA(FLOOR(base*modifier*SEQUENCE(16,1,85,1)/100)))),0)</f>
        <v/>
      </c>
      <c r="M912" s="3">
        <f>IFERROR(LET(mtype,XLOOKUP($D912,'Move Editor'!$B:$B,'Move Editor'!$C:$C,""),cat,XLOOKUP($D912,'Move Editor'!$B:$B,'Move Editor'!$D:$D,""),pow,XLOOKUP($D912,'Move Editor'!$B:$B,'Move Editor'!$E:$E,0),acc,XLOOKUP($D912,'Move Editor'!$B:$B,'Move Editor'!$F:$F,100),atk,IF(cat="Physical",FLOOR((FLOOR(((2*XLOOKUP(XLOOKUP($Q912,'Threshold Summary'!$Y:$Y,'Threshold Summary'!$K:$K,""),'Pokemon Editor'!$A:$A,'Pokemon Editor'!$F:$F,0)+31+FLOOR(XLOOKUP($Q912,'Threshold Summary'!$Y:$Y,'Threshold Summary'!$P:$P,"")/4))*XLOOKUP($Q912,'Threshold Summary'!$Y:$Y,'Threshold Summary'!$L:$L,""))/100)+5)*XLOOKUP(XLOOKUP($Q912,'Threshold Summary'!$Y:$Y,'Threshold Summary'!$M:$M,""),'Nature Editor'!$A:$A,'Nature Editor'!$B:$B,1)),FLOOR((FLOOR(((2*XLOOKUP(XLOOKUP($Q912,'Threshold Summary'!$Y:$Y,'Threshold Summary'!$K:$K,""),'Pokemon Editor'!$A:$A,'Pokemon Editor'!$H:$H,0)+31+FLOOR(XLOOKUP($Q912,'Threshold Summary'!$Y:$Y,'Threshold Summary'!$R:$R,"")/4))*XLOOKUP($Q912,'Threshold Summary'!$Y:$Y,'Threshold Summary'!$L:$L,""))/100)+5)*XLOOKUP(XLOOKUP($Q912,'Threshold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Editor'!$E:$E,1))),stab,IF(OR(mtype=XLOOKUP(XLOOKUP($Q912,'Threshold Summary'!$Y:$Y,'Threshold Summary'!$K:$K,""),'Pokemon Editor'!$A:$A,'Pokemon Editor'!$C:$C,""),mtype=XLOOKUP(XLOOKUP($Q912,'Threshold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Chart'!$B$1:$S$1,0)))),base,IF(OR(cat="Status",pow=0),0,FLOOR(FLOOR(FLOOR((2*XLOOKUP($Q912,'Threshold Summary'!$Y:$Y,'Threshold Summary'!$L:$L,"")/5+2)*pow*atk/def)/50)+2)),modifier,stab*eff,AVERAGE(ARRAYFORMULA(FLOOR(base*modifier*SEQUENCE(16,1,85,1)/100)))*MIN(1,acc/100)),0)</f>
        <v/>
      </c>
      <c r="N912" s="4">
        <f>IFERROR(LET(mtype,XLOOKUP($D912,'Move Editor'!$B:$B,'Move Editor'!$C:$C,""),cat,XLOOKUP($D912,'Move Editor'!$B:$B,'Move Editor'!$D:$D,""),pow,XLOOKUP($D912,'Move Editor'!$B:$B,'Move Editor'!$E:$E,0),acc,XLOOKUP($D912,'Move Editor'!$B:$B,'Move Editor'!$F:$F,100),atk,IF(cat="Physical",FLOOR((FLOOR(((2*XLOOKUP(XLOOKUP($Q912,'Threshold Summary'!$Y:$Y,'Threshold Summary'!$K:$K,""),'Pokemon Editor'!$A:$A,'Pokemon Editor'!$F:$F,0)+31+FLOOR(XLOOKUP($Q912,'Threshold Summary'!$Y:$Y,'Threshold Summary'!$P:$P,"")/4))*XLOOKUP($Q912,'Threshold Summary'!$Y:$Y,'Threshold Summary'!$L:$L,""))/100)+5)*XLOOKUP(XLOOKUP($Q912,'Threshold Summary'!$Y:$Y,'Threshold Summary'!$M:$M,""),'Nature Editor'!$A:$A,'Nature Editor'!$B:$B,1)),FLOOR((FLOOR(((2*XLOOKUP(XLOOKUP($Q912,'Threshold Summary'!$Y:$Y,'Threshold Summary'!$K:$K,""),'Pokemon Editor'!$A:$A,'Pokemon Editor'!$H:$H,0)+31+FLOOR(XLOOKUP($Q912,'Threshold Summary'!$Y:$Y,'Threshold Summary'!$R:$R,"")/4))*XLOOKUP($Q912,'Threshold Summary'!$Y:$Y,'Threshold Summary'!$L:$L,""))/100)+5)*XLOOKUP(XLOOKUP($Q912,'Threshold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Editor'!$E:$E,1))),stab,IF(OR(mtype=XLOOKUP(XLOOKUP($Q912,'Threshold Summary'!$Y:$Y,'Threshold Summary'!$K:$K,""),'Pokemon Editor'!$A:$A,'Pokemon Editor'!$C:$C,""),mtype=XLOOKUP(XLOOKUP($Q912,'Threshold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Chart'!$B$1:$S$1,0)))),base,IF(OR(cat="Status",pow=0),0,FLOOR(FLOOR(FLOOR((2*XLOOKUP($Q912,'Threshold Summary'!$Y:$Y,'Threshold Summary'!$L:$L,"")/5+2)*pow*atk/def)/50)+2)),modifier,stab*eff,AVERAGE(ARRAYFORMULA(FLOOR(base*modifier*SEQUENCE(16,1,85,1)/100)))/(FLOOR(((2*XLOOKUP('Boss Editor'!$C$4,'Pokemon Editor'!$A:$A,'Pokemon Editor'!$E:$E,0)+31+FLOOR('Boss Editor'!$G$4/4))*'Boss Editor'!$D$4)/100)+'Boss Editor'!$D$4+10)),0)</f>
        <v/>
      </c>
      <c r="O912" s="3">
        <f>IF(N912&gt;=1,"OHKO",IF(N912&gt;=0.5,"2HKO",IF(N912&gt;=0.333,"3HKO",IF(N912&gt;=0.25,"4HKO","5HKO+"))))</f>
        <v/>
      </c>
      <c r="P912" s="3" t="inlineStr">
        <is>
          <t>Live from editable databases</t>
        </is>
      </c>
      <c r="Q912" s="3" t="inlineStr">
        <is>
          <t>SPECIES_TANDEMAUS</t>
        </is>
      </c>
      <c r="R912" s="3" t="n">
        <v>15</v>
      </c>
    </row>
    <row r="913">
      <c r="A913" s="3">
        <f>XLOOKUP($Q913,'Threshold Summary'!$Y:$Y,'Threshold Summary'!$A:$A,"")</f>
        <v/>
      </c>
      <c r="B913" s="3">
        <f>XLOOKUP($Q913,'Threshold Summary'!$Y:$Y,'Threshold Summary'!$M:$M,"")</f>
        <v/>
      </c>
      <c r="C913" s="3">
        <f>XLOOKUP($Q913,'Threshold Summary'!$Y:$Y,'Threshold Summary'!$N:$N,"")</f>
        <v/>
      </c>
      <c r="D913" s="3">
        <f>IFERROR(INDEX(FILTER('Learnset Editor'!$D$2:$D,'Learnset Editor'!$A$2:$A=XLOOKUP($Q913,'Threshold Summary'!$Y:$Y,'Threshold Summary'!$K:$K,""),'Learnset Editor'!$C$2:$C&lt;=XLOOKUP($Q913,'Threshold Summary'!$Y:$Y,'Threshold Summary'!$L:$L,"")),$R913),"")</f>
        <v/>
      </c>
      <c r="E913" s="3">
        <f>XLOOKUP(D913,'Move Editor'!$B:$B,'Move Editor'!$C:$C,"")</f>
        <v/>
      </c>
      <c r="F913" s="3">
        <f>XLOOKUP(D913,'Move Editor'!$B:$B,'Move Editor'!$D:$D,"")</f>
        <v/>
      </c>
      <c r="G913" s="3">
        <f>XLOOKUP(D913,'Move Editor'!$B:$B,'Move Editor'!$E:$E,0)</f>
        <v/>
      </c>
      <c r="H913" s="3">
        <f>XLOOKUP(D913,'Move Editor'!$B:$B,'Move Editor'!$F:$F,0)</f>
        <v/>
      </c>
      <c r="I913" s="3">
        <f>(INDEX('Type Chart'!$B:$S,MATCH(E913,'Type Chart'!$A:$A,0),MATCH(XLOOKUP('Boss Editor'!$C$4,'Pokemon Editor'!$A:$A,'Pokemon Editor'!$C:$C,""),'Type Chart'!$B$1:$S$1,0))*IF(XLOOKUP('Boss Editor'!$C$4,'Pokemon Editor'!$A:$A,'Pokemon Editor'!$D:$D,"")="",1,INDEX('Type Chart'!$B:$S,MATCH(E913,'Type Chart'!$A:$A,0),MATCH(XLOOKUP('Boss Editor'!$C$4,'Pokemon Editor'!$A:$A,'Pokemon Editor'!$D:$D,""),'Type Chart'!$B$1:$S$1,0))))</f>
        <v/>
      </c>
      <c r="J913" s="3">
        <f>IFERROR(LET(mtype,XLOOKUP($D913,'Move Editor'!$B:$B,'Move Editor'!$C:$C,""),cat,XLOOKUP($D913,'Move Editor'!$B:$B,'Move Editor'!$D:$D,""),pow,XLOOKUP($D913,'Move Editor'!$B:$B,'Move Editor'!$E:$E,0),acc,XLOOKUP($D913,'Move Editor'!$B:$B,'Move Editor'!$F:$F,100),atk,IF(cat="Physical",FLOOR((FLOOR(((2*XLOOKUP(XLOOKUP($Q913,'Threshold Summary'!$Y:$Y,'Threshold Summary'!$K:$K,""),'Pokemon Editor'!$A:$A,'Pokemon Editor'!$F:$F,0)+31+FLOOR(XLOOKUP($Q913,'Threshold Summary'!$Y:$Y,'Threshold Summary'!$P:$P,"")/4))*XLOOKUP($Q913,'Threshold Summary'!$Y:$Y,'Threshold Summary'!$L:$L,""))/100)+5)*XLOOKUP(XLOOKUP($Q913,'Threshold Summary'!$Y:$Y,'Threshold Summary'!$M:$M,""),'Nature Editor'!$A:$A,'Nature Editor'!$B:$B,1)),FLOOR((FLOOR(((2*XLOOKUP(XLOOKUP($Q913,'Threshold Summary'!$Y:$Y,'Threshold Summary'!$K:$K,""),'Pokemon Editor'!$A:$A,'Pokemon Editor'!$H:$H,0)+31+FLOOR(XLOOKUP($Q913,'Threshold Summary'!$Y:$Y,'Threshold Summary'!$R:$R,"")/4))*XLOOKUP($Q913,'Threshold Summary'!$Y:$Y,'Threshold Summary'!$L:$L,""))/100)+5)*XLOOKUP(XLOOKUP($Q913,'Threshold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Editor'!$E:$E,1))),stab,IF(OR(mtype=XLOOKUP(XLOOKUP($Q913,'Threshold Summary'!$Y:$Y,'Threshold Summary'!$K:$K,""),'Pokemon Editor'!$A:$A,'Pokemon Editor'!$C:$C,""),mtype=XLOOKUP(XLOOKUP($Q913,'Threshold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Chart'!$B$1:$S$1,0)))),base,IF(OR(cat="Status",pow=0),0,FLOOR(FLOOR(FLOOR((2*XLOOKUP($Q913,'Threshold Summary'!$Y:$Y,'Threshold Summary'!$L:$L,"")/5+2)*pow*atk/def)/50)+2)),modifier,stab*eff,FLOOR(base*modifier*0.85)),0)</f>
        <v/>
      </c>
      <c r="K913" s="3">
        <f>IFERROR(LET(mtype,XLOOKUP($D913,'Move Editor'!$B:$B,'Move Editor'!$C:$C,""),cat,XLOOKUP($D913,'Move Editor'!$B:$B,'Move Editor'!$D:$D,""),pow,XLOOKUP($D913,'Move Editor'!$B:$B,'Move Editor'!$E:$E,0),acc,XLOOKUP($D913,'Move Editor'!$B:$B,'Move Editor'!$F:$F,100),atk,IF(cat="Physical",FLOOR((FLOOR(((2*XLOOKUP(XLOOKUP($Q913,'Threshold Summary'!$Y:$Y,'Threshold Summary'!$K:$K,""),'Pokemon Editor'!$A:$A,'Pokemon Editor'!$F:$F,0)+31+FLOOR(XLOOKUP($Q913,'Threshold Summary'!$Y:$Y,'Threshold Summary'!$P:$P,"")/4))*XLOOKUP($Q913,'Threshold Summary'!$Y:$Y,'Threshold Summary'!$L:$L,""))/100)+5)*XLOOKUP(XLOOKUP($Q913,'Threshold Summary'!$Y:$Y,'Threshold Summary'!$M:$M,""),'Nature Editor'!$A:$A,'Nature Editor'!$B:$B,1)),FLOOR((FLOOR(((2*XLOOKUP(XLOOKUP($Q913,'Threshold Summary'!$Y:$Y,'Threshold Summary'!$K:$K,""),'Pokemon Editor'!$A:$A,'Pokemon Editor'!$H:$H,0)+31+FLOOR(XLOOKUP($Q913,'Threshold Summary'!$Y:$Y,'Threshold Summary'!$R:$R,"")/4))*XLOOKUP($Q913,'Threshold Summary'!$Y:$Y,'Threshold Summary'!$L:$L,""))/100)+5)*XLOOKUP(XLOOKUP($Q913,'Threshold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Editor'!$E:$E,1))),stab,IF(OR(mtype=XLOOKUP(XLOOKUP($Q913,'Threshold Summary'!$Y:$Y,'Threshold Summary'!$K:$K,""),'Pokemon Editor'!$A:$A,'Pokemon Editor'!$C:$C,""),mtype=XLOOKUP(XLOOKUP($Q913,'Threshold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Chart'!$B$1:$S$1,0)))),base,IF(OR(cat="Status",pow=0),0,FLOOR(FLOOR(FLOOR((2*XLOOKUP($Q913,'Threshold Summary'!$Y:$Y,'Threshold Summary'!$L:$L,"")/5+2)*pow*atk/def)/50)+2)),modifier,stab*eff,FLOOR(base*modifier)),0)</f>
        <v/>
      </c>
      <c r="L913" s="3">
        <f>IFERROR(LET(mtype,XLOOKUP($D913,'Move Editor'!$B:$B,'Move Editor'!$C:$C,""),cat,XLOOKUP($D913,'Move Editor'!$B:$B,'Move Editor'!$D:$D,""),pow,XLOOKUP($D913,'Move Editor'!$B:$B,'Move Editor'!$E:$E,0),acc,XLOOKUP($D913,'Move Editor'!$B:$B,'Move Editor'!$F:$F,100),atk,IF(cat="Physical",FLOOR((FLOOR(((2*XLOOKUP(XLOOKUP($Q913,'Threshold Summary'!$Y:$Y,'Threshold Summary'!$K:$K,""),'Pokemon Editor'!$A:$A,'Pokemon Editor'!$F:$F,0)+31+FLOOR(XLOOKUP($Q913,'Threshold Summary'!$Y:$Y,'Threshold Summary'!$P:$P,"")/4))*XLOOKUP($Q913,'Threshold Summary'!$Y:$Y,'Threshold Summary'!$L:$L,""))/100)+5)*XLOOKUP(XLOOKUP($Q913,'Threshold Summary'!$Y:$Y,'Threshold Summary'!$M:$M,""),'Nature Editor'!$A:$A,'Nature Editor'!$B:$B,1)),FLOOR((FLOOR(((2*XLOOKUP(XLOOKUP($Q913,'Threshold Summary'!$Y:$Y,'Threshold Summary'!$K:$K,""),'Pokemon Editor'!$A:$A,'Pokemon Editor'!$H:$H,0)+31+FLOOR(XLOOKUP($Q913,'Threshold Summary'!$Y:$Y,'Threshold Summary'!$R:$R,"")/4))*XLOOKUP($Q913,'Threshold Summary'!$Y:$Y,'Threshold Summary'!$L:$L,""))/100)+5)*XLOOKUP(XLOOKUP($Q913,'Threshold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Editor'!$E:$E,1))),stab,IF(OR(mtype=XLOOKUP(XLOOKUP($Q913,'Threshold Summary'!$Y:$Y,'Threshold Summary'!$K:$K,""),'Pokemon Editor'!$A:$A,'Pokemon Editor'!$C:$C,""),mtype=XLOOKUP(XLOOKUP($Q913,'Threshold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Chart'!$B$1:$S$1,0)))),base,IF(OR(cat="Status",pow=0),0,FLOOR(FLOOR(FLOOR((2*XLOOKUP($Q913,'Threshold Summary'!$Y:$Y,'Threshold Summary'!$L:$L,"")/5+2)*pow*atk/def)/50)+2)),modifier,stab*eff,AVERAGE(ARRAYFORMULA(FLOOR(base*modifier*SEQUENCE(16,1,85,1)/100)))),0)</f>
        <v/>
      </c>
      <c r="M913" s="3">
        <f>IFERROR(LET(mtype,XLOOKUP($D913,'Move Editor'!$B:$B,'Move Editor'!$C:$C,""),cat,XLOOKUP($D913,'Move Editor'!$B:$B,'Move Editor'!$D:$D,""),pow,XLOOKUP($D913,'Move Editor'!$B:$B,'Move Editor'!$E:$E,0),acc,XLOOKUP($D913,'Move Editor'!$B:$B,'Move Editor'!$F:$F,100),atk,IF(cat="Physical",FLOOR((FLOOR(((2*XLOOKUP(XLOOKUP($Q913,'Threshold Summary'!$Y:$Y,'Threshold Summary'!$K:$K,""),'Pokemon Editor'!$A:$A,'Pokemon Editor'!$F:$F,0)+31+FLOOR(XLOOKUP($Q913,'Threshold Summary'!$Y:$Y,'Threshold Summary'!$P:$P,"")/4))*XLOOKUP($Q913,'Threshold Summary'!$Y:$Y,'Threshold Summary'!$L:$L,""))/100)+5)*XLOOKUP(XLOOKUP($Q913,'Threshold Summary'!$Y:$Y,'Threshold Summary'!$M:$M,""),'Nature Editor'!$A:$A,'Nature Editor'!$B:$B,1)),FLOOR((FLOOR(((2*XLOOKUP(XLOOKUP($Q913,'Threshold Summary'!$Y:$Y,'Threshold Summary'!$K:$K,""),'Pokemon Editor'!$A:$A,'Pokemon Editor'!$H:$H,0)+31+FLOOR(XLOOKUP($Q913,'Threshold Summary'!$Y:$Y,'Threshold Summary'!$R:$R,"")/4))*XLOOKUP($Q913,'Threshold Summary'!$Y:$Y,'Threshold Summary'!$L:$L,""))/100)+5)*XLOOKUP(XLOOKUP($Q913,'Threshold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Editor'!$E:$E,1))),stab,IF(OR(mtype=XLOOKUP(XLOOKUP($Q913,'Threshold Summary'!$Y:$Y,'Threshold Summary'!$K:$K,""),'Pokemon Editor'!$A:$A,'Pokemon Editor'!$C:$C,""),mtype=XLOOKUP(XLOOKUP($Q913,'Threshold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Chart'!$B$1:$S$1,0)))),base,IF(OR(cat="Status",pow=0),0,FLOOR(FLOOR(FLOOR((2*XLOOKUP($Q913,'Threshold Summary'!$Y:$Y,'Threshold Summary'!$L:$L,"")/5+2)*pow*atk/def)/50)+2)),modifier,stab*eff,AVERAGE(ARRAYFORMULA(FLOOR(base*modifier*SEQUENCE(16,1,85,1)/100)))*MIN(1,acc/100)),0)</f>
        <v/>
      </c>
      <c r="N913" s="4">
        <f>IFERROR(LET(mtype,XLOOKUP($D913,'Move Editor'!$B:$B,'Move Editor'!$C:$C,""),cat,XLOOKUP($D913,'Move Editor'!$B:$B,'Move Editor'!$D:$D,""),pow,XLOOKUP($D913,'Move Editor'!$B:$B,'Move Editor'!$E:$E,0),acc,XLOOKUP($D913,'Move Editor'!$B:$B,'Move Editor'!$F:$F,100),atk,IF(cat="Physical",FLOOR((FLOOR(((2*XLOOKUP(XLOOKUP($Q913,'Threshold Summary'!$Y:$Y,'Threshold Summary'!$K:$K,""),'Pokemon Editor'!$A:$A,'Pokemon Editor'!$F:$F,0)+31+FLOOR(XLOOKUP($Q913,'Threshold Summary'!$Y:$Y,'Threshold Summary'!$P:$P,"")/4))*XLOOKUP($Q913,'Threshold Summary'!$Y:$Y,'Threshold Summary'!$L:$L,""))/100)+5)*XLOOKUP(XLOOKUP($Q913,'Threshold Summary'!$Y:$Y,'Threshold Summary'!$M:$M,""),'Nature Editor'!$A:$A,'Nature Editor'!$B:$B,1)),FLOOR((FLOOR(((2*XLOOKUP(XLOOKUP($Q913,'Threshold Summary'!$Y:$Y,'Threshold Summary'!$K:$K,""),'Pokemon Editor'!$A:$A,'Pokemon Editor'!$H:$H,0)+31+FLOOR(XLOOKUP($Q913,'Threshold Summary'!$Y:$Y,'Threshold Summary'!$R:$R,"")/4))*XLOOKUP($Q913,'Threshold Summary'!$Y:$Y,'Threshold Summary'!$L:$L,""))/100)+5)*XLOOKUP(XLOOKUP($Q913,'Threshold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Editor'!$E:$E,1))),stab,IF(OR(mtype=XLOOKUP(XLOOKUP($Q913,'Threshold Summary'!$Y:$Y,'Threshold Summary'!$K:$K,""),'Pokemon Editor'!$A:$A,'Pokemon Editor'!$C:$C,""),mtype=XLOOKUP(XLOOKUP($Q913,'Threshold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Chart'!$B$1:$S$1,0)))),base,IF(OR(cat="Status",pow=0),0,FLOOR(FLOOR(FLOOR((2*XLOOKUP($Q913,'Threshold Summary'!$Y:$Y,'Threshold Summary'!$L:$L,"")/5+2)*pow*atk/def)/50)+2)),modifier,stab*eff,AVERAGE(ARRAYFORMULA(FLOOR(base*modifier*SEQUENCE(16,1,85,1)/100)))/(FLOOR(((2*XLOOKUP('Boss Editor'!$C$4,'Pokemon Editor'!$A:$A,'Pokemon Editor'!$E:$E,0)+31+FLOOR('Boss Editor'!$G$4/4))*'Boss Editor'!$D$4)/100)+'Boss Editor'!$D$4+10)),0)</f>
        <v/>
      </c>
      <c r="O913" s="3">
        <f>IF(N913&gt;=1,"OHKO",IF(N913&gt;=0.5,"2HKO",IF(N913&gt;=0.333,"3HKO",IF(N913&gt;=0.25,"4HKO","5HKO+"))))</f>
        <v/>
      </c>
      <c r="P913" s="3" t="inlineStr">
        <is>
          <t>Live from editable databases</t>
        </is>
      </c>
      <c r="Q913" s="3" t="inlineStr">
        <is>
          <t>SPECIES_TANDEMAUS</t>
        </is>
      </c>
      <c r="R913" s="3" t="n">
        <v>16</v>
      </c>
    </row>
    <row r="914">
      <c r="A914" s="3">
        <f>XLOOKUP($Q914,'Threshold Summary'!$Y:$Y,'Threshold Summary'!$A:$A,"")</f>
        <v/>
      </c>
      <c r="B914" s="3">
        <f>XLOOKUP($Q914,'Threshold Summary'!$Y:$Y,'Threshold Summary'!$M:$M,"")</f>
        <v/>
      </c>
      <c r="C914" s="3">
        <f>XLOOKUP($Q914,'Threshold Summary'!$Y:$Y,'Threshold Summary'!$N:$N,"")</f>
        <v/>
      </c>
      <c r="D914" s="3">
        <f>IFERROR(INDEX(FILTER('Learnset Editor'!$D$2:$D,'Learnset Editor'!$A$2:$A=XLOOKUP($Q914,'Threshold Summary'!$Y:$Y,'Threshold Summary'!$K:$K,""),'Learnset Editor'!$C$2:$C&lt;=XLOOKUP($Q914,'Threshold Summary'!$Y:$Y,'Threshold Summary'!$L:$L,"")),$R914),"")</f>
        <v/>
      </c>
      <c r="E914" s="3">
        <f>XLOOKUP(D914,'Move Editor'!$B:$B,'Move Editor'!$C:$C,"")</f>
        <v/>
      </c>
      <c r="F914" s="3">
        <f>XLOOKUP(D914,'Move Editor'!$B:$B,'Move Editor'!$D:$D,"")</f>
        <v/>
      </c>
      <c r="G914" s="3">
        <f>XLOOKUP(D914,'Move Editor'!$B:$B,'Move Editor'!$E:$E,0)</f>
        <v/>
      </c>
      <c r="H914" s="3">
        <f>XLOOKUP(D914,'Move Editor'!$B:$B,'Move Editor'!$F:$F,0)</f>
        <v/>
      </c>
      <c r="I914" s="3">
        <f>(INDEX('Type Chart'!$B:$S,MATCH(E914,'Type Chart'!$A:$A,0),MATCH(XLOOKUP('Boss Editor'!$C$4,'Pokemon Editor'!$A:$A,'Pokemon Editor'!$C:$C,""),'Type Chart'!$B$1:$S$1,0))*IF(XLOOKUP('Boss Editor'!$C$4,'Pokemon Editor'!$A:$A,'Pokemon Editor'!$D:$D,"")="",1,INDEX('Type Chart'!$B:$S,MATCH(E914,'Type Chart'!$A:$A,0),MATCH(XLOOKUP('Boss Editor'!$C$4,'Pokemon Editor'!$A:$A,'Pokemon Editor'!$D:$D,""),'Type Chart'!$B$1:$S$1,0))))</f>
        <v/>
      </c>
      <c r="J914" s="3">
        <f>IFERROR(LET(mtype,XLOOKUP($D914,'Move Editor'!$B:$B,'Move Editor'!$C:$C,""),cat,XLOOKUP($D914,'Move Editor'!$B:$B,'Move Editor'!$D:$D,""),pow,XLOOKUP($D914,'Move Editor'!$B:$B,'Move Editor'!$E:$E,0),acc,XLOOKUP($D914,'Move Editor'!$B:$B,'Move Editor'!$F:$F,100),atk,IF(cat="Physical",FLOOR((FLOOR(((2*XLOOKUP(XLOOKUP($Q914,'Threshold Summary'!$Y:$Y,'Threshold Summary'!$K:$K,""),'Pokemon Editor'!$A:$A,'Pokemon Editor'!$F:$F,0)+31+FLOOR(XLOOKUP($Q914,'Threshold Summary'!$Y:$Y,'Threshold Summary'!$P:$P,"")/4))*XLOOKUP($Q914,'Threshold Summary'!$Y:$Y,'Threshold Summary'!$L:$L,""))/100)+5)*XLOOKUP(XLOOKUP($Q914,'Threshold Summary'!$Y:$Y,'Threshold Summary'!$M:$M,""),'Nature Editor'!$A:$A,'Nature Editor'!$B:$B,1)),FLOOR((FLOOR(((2*XLOOKUP(XLOOKUP($Q914,'Threshold Summary'!$Y:$Y,'Threshold Summary'!$K:$K,""),'Pokemon Editor'!$A:$A,'Pokemon Editor'!$H:$H,0)+31+FLOOR(XLOOKUP($Q914,'Threshold Summary'!$Y:$Y,'Threshold Summary'!$R:$R,"")/4))*XLOOKUP($Q914,'Threshold Summary'!$Y:$Y,'Threshold Summary'!$L:$L,""))/100)+5)*XLOOKUP(XLOOKUP($Q914,'Threshold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Editor'!$E:$E,1))),stab,IF(OR(mtype=XLOOKUP(XLOOKUP($Q914,'Threshold Summary'!$Y:$Y,'Threshold Summary'!$K:$K,""),'Pokemon Editor'!$A:$A,'Pokemon Editor'!$C:$C,""),mtype=XLOOKUP(XLOOKUP($Q914,'Threshold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Chart'!$B$1:$S$1,0)))),base,IF(OR(cat="Status",pow=0),0,FLOOR(FLOOR(FLOOR((2*XLOOKUP($Q914,'Threshold Summary'!$Y:$Y,'Threshold Summary'!$L:$L,"")/5+2)*pow*atk/def)/50)+2)),modifier,stab*eff,FLOOR(base*modifier*0.85)),0)</f>
        <v/>
      </c>
      <c r="K914" s="3">
        <f>IFERROR(LET(mtype,XLOOKUP($D914,'Move Editor'!$B:$B,'Move Editor'!$C:$C,""),cat,XLOOKUP($D914,'Move Editor'!$B:$B,'Move Editor'!$D:$D,""),pow,XLOOKUP($D914,'Move Editor'!$B:$B,'Move Editor'!$E:$E,0),acc,XLOOKUP($D914,'Move Editor'!$B:$B,'Move Editor'!$F:$F,100),atk,IF(cat="Physical",FLOOR((FLOOR(((2*XLOOKUP(XLOOKUP($Q914,'Threshold Summary'!$Y:$Y,'Threshold Summary'!$K:$K,""),'Pokemon Editor'!$A:$A,'Pokemon Editor'!$F:$F,0)+31+FLOOR(XLOOKUP($Q914,'Threshold Summary'!$Y:$Y,'Threshold Summary'!$P:$P,"")/4))*XLOOKUP($Q914,'Threshold Summary'!$Y:$Y,'Threshold Summary'!$L:$L,""))/100)+5)*XLOOKUP(XLOOKUP($Q914,'Threshold Summary'!$Y:$Y,'Threshold Summary'!$M:$M,""),'Nature Editor'!$A:$A,'Nature Editor'!$B:$B,1)),FLOOR((FLOOR(((2*XLOOKUP(XLOOKUP($Q914,'Threshold Summary'!$Y:$Y,'Threshold Summary'!$K:$K,""),'Pokemon Editor'!$A:$A,'Pokemon Editor'!$H:$H,0)+31+FLOOR(XLOOKUP($Q914,'Threshold Summary'!$Y:$Y,'Threshold Summary'!$R:$R,"")/4))*XLOOKUP($Q914,'Threshold Summary'!$Y:$Y,'Threshold Summary'!$L:$L,""))/100)+5)*XLOOKUP(XLOOKUP($Q914,'Threshold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Editor'!$E:$E,1))),stab,IF(OR(mtype=XLOOKUP(XLOOKUP($Q914,'Threshold Summary'!$Y:$Y,'Threshold Summary'!$K:$K,""),'Pokemon Editor'!$A:$A,'Pokemon Editor'!$C:$C,""),mtype=XLOOKUP(XLOOKUP($Q914,'Threshold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Chart'!$B$1:$S$1,0)))),base,IF(OR(cat="Status",pow=0),0,FLOOR(FLOOR(FLOOR((2*XLOOKUP($Q914,'Threshold Summary'!$Y:$Y,'Threshold Summary'!$L:$L,"")/5+2)*pow*atk/def)/50)+2)),modifier,stab*eff,FLOOR(base*modifier)),0)</f>
        <v/>
      </c>
      <c r="L914" s="3">
        <f>IFERROR(LET(mtype,XLOOKUP($D914,'Move Editor'!$B:$B,'Move Editor'!$C:$C,""),cat,XLOOKUP($D914,'Move Editor'!$B:$B,'Move Editor'!$D:$D,""),pow,XLOOKUP($D914,'Move Editor'!$B:$B,'Move Editor'!$E:$E,0),acc,XLOOKUP($D914,'Move Editor'!$B:$B,'Move Editor'!$F:$F,100),atk,IF(cat="Physical",FLOOR((FLOOR(((2*XLOOKUP(XLOOKUP($Q914,'Threshold Summary'!$Y:$Y,'Threshold Summary'!$K:$K,""),'Pokemon Editor'!$A:$A,'Pokemon Editor'!$F:$F,0)+31+FLOOR(XLOOKUP($Q914,'Threshold Summary'!$Y:$Y,'Threshold Summary'!$P:$P,"")/4))*XLOOKUP($Q914,'Threshold Summary'!$Y:$Y,'Threshold Summary'!$L:$L,""))/100)+5)*XLOOKUP(XLOOKUP($Q914,'Threshold Summary'!$Y:$Y,'Threshold Summary'!$M:$M,""),'Nature Editor'!$A:$A,'Nature Editor'!$B:$B,1)),FLOOR((FLOOR(((2*XLOOKUP(XLOOKUP($Q914,'Threshold Summary'!$Y:$Y,'Threshold Summary'!$K:$K,""),'Pokemon Editor'!$A:$A,'Pokemon Editor'!$H:$H,0)+31+FLOOR(XLOOKUP($Q914,'Threshold Summary'!$Y:$Y,'Threshold Summary'!$R:$R,"")/4))*XLOOKUP($Q914,'Threshold Summary'!$Y:$Y,'Threshold Summary'!$L:$L,""))/100)+5)*XLOOKUP(XLOOKUP($Q914,'Threshold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Editor'!$E:$E,1))),stab,IF(OR(mtype=XLOOKUP(XLOOKUP($Q914,'Threshold Summary'!$Y:$Y,'Threshold Summary'!$K:$K,""),'Pokemon Editor'!$A:$A,'Pokemon Editor'!$C:$C,""),mtype=XLOOKUP(XLOOKUP($Q914,'Threshold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Chart'!$B$1:$S$1,0)))),base,IF(OR(cat="Status",pow=0),0,FLOOR(FLOOR(FLOOR((2*XLOOKUP($Q914,'Threshold Summary'!$Y:$Y,'Threshold Summary'!$L:$L,"")/5+2)*pow*atk/def)/50)+2)),modifier,stab*eff,AVERAGE(ARRAYFORMULA(FLOOR(base*modifier*SEQUENCE(16,1,85,1)/100)))),0)</f>
        <v/>
      </c>
      <c r="M914" s="3">
        <f>IFERROR(LET(mtype,XLOOKUP($D914,'Move Editor'!$B:$B,'Move Editor'!$C:$C,""),cat,XLOOKUP($D914,'Move Editor'!$B:$B,'Move Editor'!$D:$D,""),pow,XLOOKUP($D914,'Move Editor'!$B:$B,'Move Editor'!$E:$E,0),acc,XLOOKUP($D914,'Move Editor'!$B:$B,'Move Editor'!$F:$F,100),atk,IF(cat="Physical",FLOOR((FLOOR(((2*XLOOKUP(XLOOKUP($Q914,'Threshold Summary'!$Y:$Y,'Threshold Summary'!$K:$K,""),'Pokemon Editor'!$A:$A,'Pokemon Editor'!$F:$F,0)+31+FLOOR(XLOOKUP($Q914,'Threshold Summary'!$Y:$Y,'Threshold Summary'!$P:$P,"")/4))*XLOOKUP($Q914,'Threshold Summary'!$Y:$Y,'Threshold Summary'!$L:$L,""))/100)+5)*XLOOKUP(XLOOKUP($Q914,'Threshold Summary'!$Y:$Y,'Threshold Summary'!$M:$M,""),'Nature Editor'!$A:$A,'Nature Editor'!$B:$B,1)),FLOOR((FLOOR(((2*XLOOKUP(XLOOKUP($Q914,'Threshold Summary'!$Y:$Y,'Threshold Summary'!$K:$K,""),'Pokemon Editor'!$A:$A,'Pokemon Editor'!$H:$H,0)+31+FLOOR(XLOOKUP($Q914,'Threshold Summary'!$Y:$Y,'Threshold Summary'!$R:$R,"")/4))*XLOOKUP($Q914,'Threshold Summary'!$Y:$Y,'Threshold Summary'!$L:$L,""))/100)+5)*XLOOKUP(XLOOKUP($Q914,'Threshold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Editor'!$E:$E,1))),stab,IF(OR(mtype=XLOOKUP(XLOOKUP($Q914,'Threshold Summary'!$Y:$Y,'Threshold Summary'!$K:$K,""),'Pokemon Editor'!$A:$A,'Pokemon Editor'!$C:$C,""),mtype=XLOOKUP(XLOOKUP($Q914,'Threshold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Chart'!$B$1:$S$1,0)))),base,IF(OR(cat="Status",pow=0),0,FLOOR(FLOOR(FLOOR((2*XLOOKUP($Q914,'Threshold Summary'!$Y:$Y,'Threshold Summary'!$L:$L,"")/5+2)*pow*atk/def)/50)+2)),modifier,stab*eff,AVERAGE(ARRAYFORMULA(FLOOR(base*modifier*SEQUENCE(16,1,85,1)/100)))*MIN(1,acc/100)),0)</f>
        <v/>
      </c>
      <c r="N914" s="4">
        <f>IFERROR(LET(mtype,XLOOKUP($D914,'Move Editor'!$B:$B,'Move Editor'!$C:$C,""),cat,XLOOKUP($D914,'Move Editor'!$B:$B,'Move Editor'!$D:$D,""),pow,XLOOKUP($D914,'Move Editor'!$B:$B,'Move Editor'!$E:$E,0),acc,XLOOKUP($D914,'Move Editor'!$B:$B,'Move Editor'!$F:$F,100),atk,IF(cat="Physical",FLOOR((FLOOR(((2*XLOOKUP(XLOOKUP($Q914,'Threshold Summary'!$Y:$Y,'Threshold Summary'!$K:$K,""),'Pokemon Editor'!$A:$A,'Pokemon Editor'!$F:$F,0)+31+FLOOR(XLOOKUP($Q914,'Threshold Summary'!$Y:$Y,'Threshold Summary'!$P:$P,"")/4))*XLOOKUP($Q914,'Threshold Summary'!$Y:$Y,'Threshold Summary'!$L:$L,""))/100)+5)*XLOOKUP(XLOOKUP($Q914,'Threshold Summary'!$Y:$Y,'Threshold Summary'!$M:$M,""),'Nature Editor'!$A:$A,'Nature Editor'!$B:$B,1)),FLOOR((FLOOR(((2*XLOOKUP(XLOOKUP($Q914,'Threshold Summary'!$Y:$Y,'Threshold Summary'!$K:$K,""),'Pokemon Editor'!$A:$A,'Pokemon Editor'!$H:$H,0)+31+FLOOR(XLOOKUP($Q914,'Threshold Summary'!$Y:$Y,'Threshold Summary'!$R:$R,"")/4))*XLOOKUP($Q914,'Threshold Summary'!$Y:$Y,'Threshold Summary'!$L:$L,""))/100)+5)*XLOOKUP(XLOOKUP($Q914,'Threshold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Editor'!$E:$E,1))),stab,IF(OR(mtype=XLOOKUP(XLOOKUP($Q914,'Threshold Summary'!$Y:$Y,'Threshold Summary'!$K:$K,""),'Pokemon Editor'!$A:$A,'Pokemon Editor'!$C:$C,""),mtype=XLOOKUP(XLOOKUP($Q914,'Threshold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Chart'!$B$1:$S$1,0)))),base,IF(OR(cat="Status",pow=0),0,FLOOR(FLOOR(FLOOR((2*XLOOKUP($Q914,'Threshold Summary'!$Y:$Y,'Threshold Summary'!$L:$L,"")/5+2)*pow*atk/def)/50)+2)),modifier,stab*eff,AVERAGE(ARRAYFORMULA(FLOOR(base*modifier*SEQUENCE(16,1,85,1)/100)))/(FLOOR(((2*XLOOKUP('Boss Editor'!$C$4,'Pokemon Editor'!$A:$A,'Pokemon Editor'!$E:$E,0)+31+FLOOR('Boss Editor'!$G$4/4))*'Boss Editor'!$D$4)/100)+'Boss Editor'!$D$4+10)),0)</f>
        <v/>
      </c>
      <c r="O914" s="3">
        <f>IF(N914&gt;=1,"OHKO",IF(N914&gt;=0.5,"2HKO",IF(N914&gt;=0.333,"3HKO",IF(N914&gt;=0.25,"4HKO","5HKO+"))))</f>
        <v/>
      </c>
      <c r="P914" s="3" t="inlineStr">
        <is>
          <t>Live from editable databases</t>
        </is>
      </c>
      <c r="Q914" s="3" t="inlineStr">
        <is>
          <t>SPECIES_TANDEMAUS</t>
        </is>
      </c>
      <c r="R914" s="3" t="n">
        <v>17</v>
      </c>
    </row>
    <row r="915">
      <c r="A915" s="3">
        <f>XLOOKUP($Q915,'Threshold Summary'!$Y:$Y,'Threshold Summary'!$A:$A,"")</f>
        <v/>
      </c>
      <c r="B915" s="3">
        <f>XLOOKUP($Q915,'Threshold Summary'!$Y:$Y,'Threshold Summary'!$M:$M,"")</f>
        <v/>
      </c>
      <c r="C915" s="3">
        <f>XLOOKUP($Q915,'Threshold Summary'!$Y:$Y,'Threshold Summary'!$N:$N,"")</f>
        <v/>
      </c>
      <c r="D915" s="3">
        <f>IFERROR(INDEX(FILTER('Learnset Editor'!$D$2:$D,'Learnset Editor'!$A$2:$A=XLOOKUP($Q915,'Threshold Summary'!$Y:$Y,'Threshold Summary'!$K:$K,""),'Learnset Editor'!$C$2:$C&lt;=XLOOKUP($Q915,'Threshold Summary'!$Y:$Y,'Threshold Summary'!$L:$L,"")),$R915),"")</f>
        <v/>
      </c>
      <c r="E915" s="3">
        <f>XLOOKUP(D915,'Move Editor'!$B:$B,'Move Editor'!$C:$C,"")</f>
        <v/>
      </c>
      <c r="F915" s="3">
        <f>XLOOKUP(D915,'Move Editor'!$B:$B,'Move Editor'!$D:$D,"")</f>
        <v/>
      </c>
      <c r="G915" s="3">
        <f>XLOOKUP(D915,'Move Editor'!$B:$B,'Move Editor'!$E:$E,0)</f>
        <v/>
      </c>
      <c r="H915" s="3">
        <f>XLOOKUP(D915,'Move Editor'!$B:$B,'Move Editor'!$F:$F,0)</f>
        <v/>
      </c>
      <c r="I915" s="3">
        <f>(INDEX('Type Chart'!$B:$S,MATCH(E915,'Type Chart'!$A:$A,0),MATCH(XLOOKUP('Boss Editor'!$C$4,'Pokemon Editor'!$A:$A,'Pokemon Editor'!$C:$C,""),'Type Chart'!$B$1:$S$1,0))*IF(XLOOKUP('Boss Editor'!$C$4,'Pokemon Editor'!$A:$A,'Pokemon Editor'!$D:$D,"")="",1,INDEX('Type Chart'!$B:$S,MATCH(E915,'Type Chart'!$A:$A,0),MATCH(XLOOKUP('Boss Editor'!$C$4,'Pokemon Editor'!$A:$A,'Pokemon Editor'!$D:$D,""),'Type Chart'!$B$1:$S$1,0))))</f>
        <v/>
      </c>
      <c r="J915" s="3">
        <f>IFERROR(LET(mtype,XLOOKUP($D915,'Move Editor'!$B:$B,'Move Editor'!$C:$C,""),cat,XLOOKUP($D915,'Move Editor'!$B:$B,'Move Editor'!$D:$D,""),pow,XLOOKUP($D915,'Move Editor'!$B:$B,'Move Editor'!$E:$E,0),acc,XLOOKUP($D915,'Move Editor'!$B:$B,'Move Editor'!$F:$F,100),atk,IF(cat="Physical",FLOOR((FLOOR(((2*XLOOKUP(XLOOKUP($Q915,'Threshold Summary'!$Y:$Y,'Threshold Summary'!$K:$K,""),'Pokemon Editor'!$A:$A,'Pokemon Editor'!$F:$F,0)+31+FLOOR(XLOOKUP($Q915,'Threshold Summary'!$Y:$Y,'Threshold Summary'!$P:$P,"")/4))*XLOOKUP($Q915,'Threshold Summary'!$Y:$Y,'Threshold Summary'!$L:$L,""))/100)+5)*XLOOKUP(XLOOKUP($Q915,'Threshold Summary'!$Y:$Y,'Threshold Summary'!$M:$M,""),'Nature Editor'!$A:$A,'Nature Editor'!$B:$B,1)),FLOOR((FLOOR(((2*XLOOKUP(XLOOKUP($Q915,'Threshold Summary'!$Y:$Y,'Threshold Summary'!$K:$K,""),'Pokemon Editor'!$A:$A,'Pokemon Editor'!$H:$H,0)+31+FLOOR(XLOOKUP($Q915,'Threshold Summary'!$Y:$Y,'Threshold Summary'!$R:$R,"")/4))*XLOOKUP($Q915,'Threshold Summary'!$Y:$Y,'Threshold Summary'!$L:$L,""))/100)+5)*XLOOKUP(XLOOKUP($Q915,'Threshold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Editor'!$E:$E,1))),stab,IF(OR(mtype=XLOOKUP(XLOOKUP($Q915,'Threshold Summary'!$Y:$Y,'Threshold Summary'!$K:$K,""),'Pokemon Editor'!$A:$A,'Pokemon Editor'!$C:$C,""),mtype=XLOOKUP(XLOOKUP($Q915,'Threshold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Chart'!$B$1:$S$1,0)))),base,IF(OR(cat="Status",pow=0),0,FLOOR(FLOOR(FLOOR((2*XLOOKUP($Q915,'Threshold Summary'!$Y:$Y,'Threshold Summary'!$L:$L,"")/5+2)*pow*atk/def)/50)+2)),modifier,stab*eff,FLOOR(base*modifier*0.85)),0)</f>
        <v/>
      </c>
      <c r="K915" s="3">
        <f>IFERROR(LET(mtype,XLOOKUP($D915,'Move Editor'!$B:$B,'Move Editor'!$C:$C,""),cat,XLOOKUP($D915,'Move Editor'!$B:$B,'Move Editor'!$D:$D,""),pow,XLOOKUP($D915,'Move Editor'!$B:$B,'Move Editor'!$E:$E,0),acc,XLOOKUP($D915,'Move Editor'!$B:$B,'Move Editor'!$F:$F,100),atk,IF(cat="Physical",FLOOR((FLOOR(((2*XLOOKUP(XLOOKUP($Q915,'Threshold Summary'!$Y:$Y,'Threshold Summary'!$K:$K,""),'Pokemon Editor'!$A:$A,'Pokemon Editor'!$F:$F,0)+31+FLOOR(XLOOKUP($Q915,'Threshold Summary'!$Y:$Y,'Threshold Summary'!$P:$P,"")/4))*XLOOKUP($Q915,'Threshold Summary'!$Y:$Y,'Threshold Summary'!$L:$L,""))/100)+5)*XLOOKUP(XLOOKUP($Q915,'Threshold Summary'!$Y:$Y,'Threshold Summary'!$M:$M,""),'Nature Editor'!$A:$A,'Nature Editor'!$B:$B,1)),FLOOR((FLOOR(((2*XLOOKUP(XLOOKUP($Q915,'Threshold Summary'!$Y:$Y,'Threshold Summary'!$K:$K,""),'Pokemon Editor'!$A:$A,'Pokemon Editor'!$H:$H,0)+31+FLOOR(XLOOKUP($Q915,'Threshold Summary'!$Y:$Y,'Threshold Summary'!$R:$R,"")/4))*XLOOKUP($Q915,'Threshold Summary'!$Y:$Y,'Threshold Summary'!$L:$L,""))/100)+5)*XLOOKUP(XLOOKUP($Q915,'Threshold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Editor'!$E:$E,1))),stab,IF(OR(mtype=XLOOKUP(XLOOKUP($Q915,'Threshold Summary'!$Y:$Y,'Threshold Summary'!$K:$K,""),'Pokemon Editor'!$A:$A,'Pokemon Editor'!$C:$C,""),mtype=XLOOKUP(XLOOKUP($Q915,'Threshold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Chart'!$B$1:$S$1,0)))),base,IF(OR(cat="Status",pow=0),0,FLOOR(FLOOR(FLOOR((2*XLOOKUP($Q915,'Threshold Summary'!$Y:$Y,'Threshold Summary'!$L:$L,"")/5+2)*pow*atk/def)/50)+2)),modifier,stab*eff,FLOOR(base*modifier)),0)</f>
        <v/>
      </c>
      <c r="L915" s="3">
        <f>IFERROR(LET(mtype,XLOOKUP($D915,'Move Editor'!$B:$B,'Move Editor'!$C:$C,""),cat,XLOOKUP($D915,'Move Editor'!$B:$B,'Move Editor'!$D:$D,""),pow,XLOOKUP($D915,'Move Editor'!$B:$B,'Move Editor'!$E:$E,0),acc,XLOOKUP($D915,'Move Editor'!$B:$B,'Move Editor'!$F:$F,100),atk,IF(cat="Physical",FLOOR((FLOOR(((2*XLOOKUP(XLOOKUP($Q915,'Threshold Summary'!$Y:$Y,'Threshold Summary'!$K:$K,""),'Pokemon Editor'!$A:$A,'Pokemon Editor'!$F:$F,0)+31+FLOOR(XLOOKUP($Q915,'Threshold Summary'!$Y:$Y,'Threshold Summary'!$P:$P,"")/4))*XLOOKUP($Q915,'Threshold Summary'!$Y:$Y,'Threshold Summary'!$L:$L,""))/100)+5)*XLOOKUP(XLOOKUP($Q915,'Threshold Summary'!$Y:$Y,'Threshold Summary'!$M:$M,""),'Nature Editor'!$A:$A,'Nature Editor'!$B:$B,1)),FLOOR((FLOOR(((2*XLOOKUP(XLOOKUP($Q915,'Threshold Summary'!$Y:$Y,'Threshold Summary'!$K:$K,""),'Pokemon Editor'!$A:$A,'Pokemon Editor'!$H:$H,0)+31+FLOOR(XLOOKUP($Q915,'Threshold Summary'!$Y:$Y,'Threshold Summary'!$R:$R,"")/4))*XLOOKUP($Q915,'Threshold Summary'!$Y:$Y,'Threshold Summary'!$L:$L,""))/100)+5)*XLOOKUP(XLOOKUP($Q915,'Threshold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Editor'!$E:$E,1))),stab,IF(OR(mtype=XLOOKUP(XLOOKUP($Q915,'Threshold Summary'!$Y:$Y,'Threshold Summary'!$K:$K,""),'Pokemon Editor'!$A:$A,'Pokemon Editor'!$C:$C,""),mtype=XLOOKUP(XLOOKUP($Q915,'Threshold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Chart'!$B$1:$S$1,0)))),base,IF(OR(cat="Status",pow=0),0,FLOOR(FLOOR(FLOOR((2*XLOOKUP($Q915,'Threshold Summary'!$Y:$Y,'Threshold Summary'!$L:$L,"")/5+2)*pow*atk/def)/50)+2)),modifier,stab*eff,AVERAGE(ARRAYFORMULA(FLOOR(base*modifier*SEQUENCE(16,1,85,1)/100)))),0)</f>
        <v/>
      </c>
      <c r="M915" s="3">
        <f>IFERROR(LET(mtype,XLOOKUP($D915,'Move Editor'!$B:$B,'Move Editor'!$C:$C,""),cat,XLOOKUP($D915,'Move Editor'!$B:$B,'Move Editor'!$D:$D,""),pow,XLOOKUP($D915,'Move Editor'!$B:$B,'Move Editor'!$E:$E,0),acc,XLOOKUP($D915,'Move Editor'!$B:$B,'Move Editor'!$F:$F,100),atk,IF(cat="Physical",FLOOR((FLOOR(((2*XLOOKUP(XLOOKUP($Q915,'Threshold Summary'!$Y:$Y,'Threshold Summary'!$K:$K,""),'Pokemon Editor'!$A:$A,'Pokemon Editor'!$F:$F,0)+31+FLOOR(XLOOKUP($Q915,'Threshold Summary'!$Y:$Y,'Threshold Summary'!$P:$P,"")/4))*XLOOKUP($Q915,'Threshold Summary'!$Y:$Y,'Threshold Summary'!$L:$L,""))/100)+5)*XLOOKUP(XLOOKUP($Q915,'Threshold Summary'!$Y:$Y,'Threshold Summary'!$M:$M,""),'Nature Editor'!$A:$A,'Nature Editor'!$B:$B,1)),FLOOR((FLOOR(((2*XLOOKUP(XLOOKUP($Q915,'Threshold Summary'!$Y:$Y,'Threshold Summary'!$K:$K,""),'Pokemon Editor'!$A:$A,'Pokemon Editor'!$H:$H,0)+31+FLOOR(XLOOKUP($Q915,'Threshold Summary'!$Y:$Y,'Threshold Summary'!$R:$R,"")/4))*XLOOKUP($Q915,'Threshold Summary'!$Y:$Y,'Threshold Summary'!$L:$L,""))/100)+5)*XLOOKUP(XLOOKUP($Q915,'Threshold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Editor'!$E:$E,1))),stab,IF(OR(mtype=XLOOKUP(XLOOKUP($Q915,'Threshold Summary'!$Y:$Y,'Threshold Summary'!$K:$K,""),'Pokemon Editor'!$A:$A,'Pokemon Editor'!$C:$C,""),mtype=XLOOKUP(XLOOKUP($Q915,'Threshold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Chart'!$B$1:$S$1,0)))),base,IF(OR(cat="Status",pow=0),0,FLOOR(FLOOR(FLOOR((2*XLOOKUP($Q915,'Threshold Summary'!$Y:$Y,'Threshold Summary'!$L:$L,"")/5+2)*pow*atk/def)/50)+2)),modifier,stab*eff,AVERAGE(ARRAYFORMULA(FLOOR(base*modifier*SEQUENCE(16,1,85,1)/100)))*MIN(1,acc/100)),0)</f>
        <v/>
      </c>
      <c r="N915" s="4">
        <f>IFERROR(LET(mtype,XLOOKUP($D915,'Move Editor'!$B:$B,'Move Editor'!$C:$C,""),cat,XLOOKUP($D915,'Move Editor'!$B:$B,'Move Editor'!$D:$D,""),pow,XLOOKUP($D915,'Move Editor'!$B:$B,'Move Editor'!$E:$E,0),acc,XLOOKUP($D915,'Move Editor'!$B:$B,'Move Editor'!$F:$F,100),atk,IF(cat="Physical",FLOOR((FLOOR(((2*XLOOKUP(XLOOKUP($Q915,'Threshold Summary'!$Y:$Y,'Threshold Summary'!$K:$K,""),'Pokemon Editor'!$A:$A,'Pokemon Editor'!$F:$F,0)+31+FLOOR(XLOOKUP($Q915,'Threshold Summary'!$Y:$Y,'Threshold Summary'!$P:$P,"")/4))*XLOOKUP($Q915,'Threshold Summary'!$Y:$Y,'Threshold Summary'!$L:$L,""))/100)+5)*XLOOKUP(XLOOKUP($Q915,'Threshold Summary'!$Y:$Y,'Threshold Summary'!$M:$M,""),'Nature Editor'!$A:$A,'Nature Editor'!$B:$B,1)),FLOOR((FLOOR(((2*XLOOKUP(XLOOKUP($Q915,'Threshold Summary'!$Y:$Y,'Threshold Summary'!$K:$K,""),'Pokemon Editor'!$A:$A,'Pokemon Editor'!$H:$H,0)+31+FLOOR(XLOOKUP($Q915,'Threshold Summary'!$Y:$Y,'Threshold Summary'!$R:$R,"")/4))*XLOOKUP($Q915,'Threshold Summary'!$Y:$Y,'Threshold Summary'!$L:$L,""))/100)+5)*XLOOKUP(XLOOKUP($Q915,'Threshold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Editor'!$E:$E,1))),stab,IF(OR(mtype=XLOOKUP(XLOOKUP($Q915,'Threshold Summary'!$Y:$Y,'Threshold Summary'!$K:$K,""),'Pokemon Editor'!$A:$A,'Pokemon Editor'!$C:$C,""),mtype=XLOOKUP(XLOOKUP($Q915,'Threshold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Chart'!$B$1:$S$1,0)))),base,IF(OR(cat="Status",pow=0),0,FLOOR(FLOOR(FLOOR((2*XLOOKUP($Q915,'Threshold Summary'!$Y:$Y,'Threshold Summary'!$L:$L,"")/5+2)*pow*atk/def)/50)+2)),modifier,stab*eff,AVERAGE(ARRAYFORMULA(FLOOR(base*modifier*SEQUENCE(16,1,85,1)/100)))/(FLOOR(((2*XLOOKUP('Boss Editor'!$C$4,'Pokemon Editor'!$A:$A,'Pokemon Editor'!$E:$E,0)+31+FLOOR('Boss Editor'!$G$4/4))*'Boss Editor'!$D$4)/100)+'Boss Editor'!$D$4+10)),0)</f>
        <v/>
      </c>
      <c r="O915" s="3">
        <f>IF(N915&gt;=1,"OHKO",IF(N915&gt;=0.5,"2HKO",IF(N915&gt;=0.333,"3HKO",IF(N915&gt;=0.25,"4HKO","5HKO+"))))</f>
        <v/>
      </c>
      <c r="P915" s="3" t="inlineStr">
        <is>
          <t>Live from editable databases</t>
        </is>
      </c>
      <c r="Q915" s="3" t="inlineStr">
        <is>
          <t>SPECIES_TANDEMAUS</t>
        </is>
      </c>
      <c r="R915" s="3" t="n">
        <v>18</v>
      </c>
    </row>
    <row r="916">
      <c r="A916" s="3">
        <f>XLOOKUP($Q916,'Threshold Summary'!$Y:$Y,'Threshold Summary'!$A:$A,"")</f>
        <v/>
      </c>
      <c r="B916" s="3">
        <f>XLOOKUP($Q916,'Threshold Summary'!$Y:$Y,'Threshold Summary'!$M:$M,"")</f>
        <v/>
      </c>
      <c r="C916" s="3">
        <f>XLOOKUP($Q916,'Threshold Summary'!$Y:$Y,'Threshold Summary'!$N:$N,"")</f>
        <v/>
      </c>
      <c r="D916" s="3">
        <f>IFERROR(INDEX(FILTER('Learnset Editor'!$D$2:$D,'Learnset Editor'!$A$2:$A=XLOOKUP($Q916,'Threshold Summary'!$Y:$Y,'Threshold Summary'!$K:$K,""),'Learnset Editor'!$C$2:$C&lt;=XLOOKUP($Q916,'Threshold Summary'!$Y:$Y,'Threshold Summary'!$L:$L,"")),$R916),"")</f>
        <v/>
      </c>
      <c r="E916" s="3">
        <f>XLOOKUP(D916,'Move Editor'!$B:$B,'Move Editor'!$C:$C,"")</f>
        <v/>
      </c>
      <c r="F916" s="3">
        <f>XLOOKUP(D916,'Move Editor'!$B:$B,'Move Editor'!$D:$D,"")</f>
        <v/>
      </c>
      <c r="G916" s="3">
        <f>XLOOKUP(D916,'Move Editor'!$B:$B,'Move Editor'!$E:$E,0)</f>
        <v/>
      </c>
      <c r="H916" s="3">
        <f>XLOOKUP(D916,'Move Editor'!$B:$B,'Move Editor'!$F:$F,0)</f>
        <v/>
      </c>
      <c r="I916" s="3">
        <f>(INDEX('Type Chart'!$B:$S,MATCH(E916,'Type Chart'!$A:$A,0),MATCH(XLOOKUP('Boss Editor'!$C$4,'Pokemon Editor'!$A:$A,'Pokemon Editor'!$C:$C,""),'Type Chart'!$B$1:$S$1,0))*IF(XLOOKUP('Boss Editor'!$C$4,'Pokemon Editor'!$A:$A,'Pokemon Editor'!$D:$D,"")="",1,INDEX('Type Chart'!$B:$S,MATCH(E916,'Type Chart'!$A:$A,0),MATCH(XLOOKUP('Boss Editor'!$C$4,'Pokemon Editor'!$A:$A,'Pokemon Editor'!$D:$D,""),'Type Chart'!$B$1:$S$1,0))))</f>
        <v/>
      </c>
      <c r="J916" s="3">
        <f>IFERROR(LET(mtype,XLOOKUP($D916,'Move Editor'!$B:$B,'Move Editor'!$C:$C,""),cat,XLOOKUP($D916,'Move Editor'!$B:$B,'Move Editor'!$D:$D,""),pow,XLOOKUP($D916,'Move Editor'!$B:$B,'Move Editor'!$E:$E,0),acc,XLOOKUP($D916,'Move Editor'!$B:$B,'Move Editor'!$F:$F,100),atk,IF(cat="Physical",FLOOR((FLOOR(((2*XLOOKUP(XLOOKUP($Q916,'Threshold Summary'!$Y:$Y,'Threshold Summary'!$K:$K,""),'Pokemon Editor'!$A:$A,'Pokemon Editor'!$F:$F,0)+31+FLOOR(XLOOKUP($Q916,'Threshold Summary'!$Y:$Y,'Threshold Summary'!$P:$P,"")/4))*XLOOKUP($Q916,'Threshold Summary'!$Y:$Y,'Threshold Summary'!$L:$L,""))/100)+5)*XLOOKUP(XLOOKUP($Q916,'Threshold Summary'!$Y:$Y,'Threshold Summary'!$M:$M,""),'Nature Editor'!$A:$A,'Nature Editor'!$B:$B,1)),FLOOR((FLOOR(((2*XLOOKUP(XLOOKUP($Q916,'Threshold Summary'!$Y:$Y,'Threshold Summary'!$K:$K,""),'Pokemon Editor'!$A:$A,'Pokemon Editor'!$H:$H,0)+31+FLOOR(XLOOKUP($Q916,'Threshold Summary'!$Y:$Y,'Threshold Summary'!$R:$R,"")/4))*XLOOKUP($Q916,'Threshold Summary'!$Y:$Y,'Threshold Summary'!$L:$L,""))/100)+5)*XLOOKUP(XLOOKUP($Q916,'Threshold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Editor'!$E:$E,1))),stab,IF(OR(mtype=XLOOKUP(XLOOKUP($Q916,'Threshold Summary'!$Y:$Y,'Threshold Summary'!$K:$K,""),'Pokemon Editor'!$A:$A,'Pokemon Editor'!$C:$C,""),mtype=XLOOKUP(XLOOKUP($Q916,'Threshold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Chart'!$B$1:$S$1,0)))),base,IF(OR(cat="Status",pow=0),0,FLOOR(FLOOR(FLOOR((2*XLOOKUP($Q916,'Threshold Summary'!$Y:$Y,'Threshold Summary'!$L:$L,"")/5+2)*pow*atk/def)/50)+2)),modifier,stab*eff,FLOOR(base*modifier*0.85)),0)</f>
        <v/>
      </c>
      <c r="K916" s="3">
        <f>IFERROR(LET(mtype,XLOOKUP($D916,'Move Editor'!$B:$B,'Move Editor'!$C:$C,""),cat,XLOOKUP($D916,'Move Editor'!$B:$B,'Move Editor'!$D:$D,""),pow,XLOOKUP($D916,'Move Editor'!$B:$B,'Move Editor'!$E:$E,0),acc,XLOOKUP($D916,'Move Editor'!$B:$B,'Move Editor'!$F:$F,100),atk,IF(cat="Physical",FLOOR((FLOOR(((2*XLOOKUP(XLOOKUP($Q916,'Threshold Summary'!$Y:$Y,'Threshold Summary'!$K:$K,""),'Pokemon Editor'!$A:$A,'Pokemon Editor'!$F:$F,0)+31+FLOOR(XLOOKUP($Q916,'Threshold Summary'!$Y:$Y,'Threshold Summary'!$P:$P,"")/4))*XLOOKUP($Q916,'Threshold Summary'!$Y:$Y,'Threshold Summary'!$L:$L,""))/100)+5)*XLOOKUP(XLOOKUP($Q916,'Threshold Summary'!$Y:$Y,'Threshold Summary'!$M:$M,""),'Nature Editor'!$A:$A,'Nature Editor'!$B:$B,1)),FLOOR((FLOOR(((2*XLOOKUP(XLOOKUP($Q916,'Threshold Summary'!$Y:$Y,'Threshold Summary'!$K:$K,""),'Pokemon Editor'!$A:$A,'Pokemon Editor'!$H:$H,0)+31+FLOOR(XLOOKUP($Q916,'Threshold Summary'!$Y:$Y,'Threshold Summary'!$R:$R,"")/4))*XLOOKUP($Q916,'Threshold Summary'!$Y:$Y,'Threshold Summary'!$L:$L,""))/100)+5)*XLOOKUP(XLOOKUP($Q916,'Threshold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Editor'!$E:$E,1))),stab,IF(OR(mtype=XLOOKUP(XLOOKUP($Q916,'Threshold Summary'!$Y:$Y,'Threshold Summary'!$K:$K,""),'Pokemon Editor'!$A:$A,'Pokemon Editor'!$C:$C,""),mtype=XLOOKUP(XLOOKUP($Q916,'Threshold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Chart'!$B$1:$S$1,0)))),base,IF(OR(cat="Status",pow=0),0,FLOOR(FLOOR(FLOOR((2*XLOOKUP($Q916,'Threshold Summary'!$Y:$Y,'Threshold Summary'!$L:$L,"")/5+2)*pow*atk/def)/50)+2)),modifier,stab*eff,FLOOR(base*modifier)),0)</f>
        <v/>
      </c>
      <c r="L916" s="3">
        <f>IFERROR(LET(mtype,XLOOKUP($D916,'Move Editor'!$B:$B,'Move Editor'!$C:$C,""),cat,XLOOKUP($D916,'Move Editor'!$B:$B,'Move Editor'!$D:$D,""),pow,XLOOKUP($D916,'Move Editor'!$B:$B,'Move Editor'!$E:$E,0),acc,XLOOKUP($D916,'Move Editor'!$B:$B,'Move Editor'!$F:$F,100),atk,IF(cat="Physical",FLOOR((FLOOR(((2*XLOOKUP(XLOOKUP($Q916,'Threshold Summary'!$Y:$Y,'Threshold Summary'!$K:$K,""),'Pokemon Editor'!$A:$A,'Pokemon Editor'!$F:$F,0)+31+FLOOR(XLOOKUP($Q916,'Threshold Summary'!$Y:$Y,'Threshold Summary'!$P:$P,"")/4))*XLOOKUP($Q916,'Threshold Summary'!$Y:$Y,'Threshold Summary'!$L:$L,""))/100)+5)*XLOOKUP(XLOOKUP($Q916,'Threshold Summary'!$Y:$Y,'Threshold Summary'!$M:$M,""),'Nature Editor'!$A:$A,'Nature Editor'!$B:$B,1)),FLOOR((FLOOR(((2*XLOOKUP(XLOOKUP($Q916,'Threshold Summary'!$Y:$Y,'Threshold Summary'!$K:$K,""),'Pokemon Editor'!$A:$A,'Pokemon Editor'!$H:$H,0)+31+FLOOR(XLOOKUP($Q916,'Threshold Summary'!$Y:$Y,'Threshold Summary'!$R:$R,"")/4))*XLOOKUP($Q916,'Threshold Summary'!$Y:$Y,'Threshold Summary'!$L:$L,""))/100)+5)*XLOOKUP(XLOOKUP($Q916,'Threshold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Editor'!$E:$E,1))),stab,IF(OR(mtype=XLOOKUP(XLOOKUP($Q916,'Threshold Summary'!$Y:$Y,'Threshold Summary'!$K:$K,""),'Pokemon Editor'!$A:$A,'Pokemon Editor'!$C:$C,""),mtype=XLOOKUP(XLOOKUP($Q916,'Threshold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Chart'!$B$1:$S$1,0)))),base,IF(OR(cat="Status",pow=0),0,FLOOR(FLOOR(FLOOR((2*XLOOKUP($Q916,'Threshold Summary'!$Y:$Y,'Threshold Summary'!$L:$L,"")/5+2)*pow*atk/def)/50)+2)),modifier,stab*eff,AVERAGE(ARRAYFORMULA(FLOOR(base*modifier*SEQUENCE(16,1,85,1)/100)))),0)</f>
        <v/>
      </c>
      <c r="M916" s="3">
        <f>IFERROR(LET(mtype,XLOOKUP($D916,'Move Editor'!$B:$B,'Move Editor'!$C:$C,""),cat,XLOOKUP($D916,'Move Editor'!$B:$B,'Move Editor'!$D:$D,""),pow,XLOOKUP($D916,'Move Editor'!$B:$B,'Move Editor'!$E:$E,0),acc,XLOOKUP($D916,'Move Editor'!$B:$B,'Move Editor'!$F:$F,100),atk,IF(cat="Physical",FLOOR((FLOOR(((2*XLOOKUP(XLOOKUP($Q916,'Threshold Summary'!$Y:$Y,'Threshold Summary'!$K:$K,""),'Pokemon Editor'!$A:$A,'Pokemon Editor'!$F:$F,0)+31+FLOOR(XLOOKUP($Q916,'Threshold Summary'!$Y:$Y,'Threshold Summary'!$P:$P,"")/4))*XLOOKUP($Q916,'Threshold Summary'!$Y:$Y,'Threshold Summary'!$L:$L,""))/100)+5)*XLOOKUP(XLOOKUP($Q916,'Threshold Summary'!$Y:$Y,'Threshold Summary'!$M:$M,""),'Nature Editor'!$A:$A,'Nature Editor'!$B:$B,1)),FLOOR((FLOOR(((2*XLOOKUP(XLOOKUP($Q916,'Threshold Summary'!$Y:$Y,'Threshold Summary'!$K:$K,""),'Pokemon Editor'!$A:$A,'Pokemon Editor'!$H:$H,0)+31+FLOOR(XLOOKUP($Q916,'Threshold Summary'!$Y:$Y,'Threshold Summary'!$R:$R,"")/4))*XLOOKUP($Q916,'Threshold Summary'!$Y:$Y,'Threshold Summary'!$L:$L,""))/100)+5)*XLOOKUP(XLOOKUP($Q916,'Threshold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Editor'!$E:$E,1))),stab,IF(OR(mtype=XLOOKUP(XLOOKUP($Q916,'Threshold Summary'!$Y:$Y,'Threshold Summary'!$K:$K,""),'Pokemon Editor'!$A:$A,'Pokemon Editor'!$C:$C,""),mtype=XLOOKUP(XLOOKUP($Q916,'Threshold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Chart'!$B$1:$S$1,0)))),base,IF(OR(cat="Status",pow=0),0,FLOOR(FLOOR(FLOOR((2*XLOOKUP($Q916,'Threshold Summary'!$Y:$Y,'Threshold Summary'!$L:$L,"")/5+2)*pow*atk/def)/50)+2)),modifier,stab*eff,AVERAGE(ARRAYFORMULA(FLOOR(base*modifier*SEQUENCE(16,1,85,1)/100)))*MIN(1,acc/100)),0)</f>
        <v/>
      </c>
      <c r="N916" s="4">
        <f>IFERROR(LET(mtype,XLOOKUP($D916,'Move Editor'!$B:$B,'Move Editor'!$C:$C,""),cat,XLOOKUP($D916,'Move Editor'!$B:$B,'Move Editor'!$D:$D,""),pow,XLOOKUP($D916,'Move Editor'!$B:$B,'Move Editor'!$E:$E,0),acc,XLOOKUP($D916,'Move Editor'!$B:$B,'Move Editor'!$F:$F,100),atk,IF(cat="Physical",FLOOR((FLOOR(((2*XLOOKUP(XLOOKUP($Q916,'Threshold Summary'!$Y:$Y,'Threshold Summary'!$K:$K,""),'Pokemon Editor'!$A:$A,'Pokemon Editor'!$F:$F,0)+31+FLOOR(XLOOKUP($Q916,'Threshold Summary'!$Y:$Y,'Threshold Summary'!$P:$P,"")/4))*XLOOKUP($Q916,'Threshold Summary'!$Y:$Y,'Threshold Summary'!$L:$L,""))/100)+5)*XLOOKUP(XLOOKUP($Q916,'Threshold Summary'!$Y:$Y,'Threshold Summary'!$M:$M,""),'Nature Editor'!$A:$A,'Nature Editor'!$B:$B,1)),FLOOR((FLOOR(((2*XLOOKUP(XLOOKUP($Q916,'Threshold Summary'!$Y:$Y,'Threshold Summary'!$K:$K,""),'Pokemon Editor'!$A:$A,'Pokemon Editor'!$H:$H,0)+31+FLOOR(XLOOKUP($Q916,'Threshold Summary'!$Y:$Y,'Threshold Summary'!$R:$R,"")/4))*XLOOKUP($Q916,'Threshold Summary'!$Y:$Y,'Threshold Summary'!$L:$L,""))/100)+5)*XLOOKUP(XLOOKUP($Q916,'Threshold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Editor'!$E:$E,1))),stab,IF(OR(mtype=XLOOKUP(XLOOKUP($Q916,'Threshold Summary'!$Y:$Y,'Threshold Summary'!$K:$K,""),'Pokemon Editor'!$A:$A,'Pokemon Editor'!$C:$C,""),mtype=XLOOKUP(XLOOKUP($Q916,'Threshold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Chart'!$B$1:$S$1,0)))),base,IF(OR(cat="Status",pow=0),0,FLOOR(FLOOR(FLOOR((2*XLOOKUP($Q916,'Threshold Summary'!$Y:$Y,'Threshold Summary'!$L:$L,"")/5+2)*pow*atk/def)/50)+2)),modifier,stab*eff,AVERAGE(ARRAYFORMULA(FLOOR(base*modifier*SEQUENCE(16,1,85,1)/100)))/(FLOOR(((2*XLOOKUP('Boss Editor'!$C$4,'Pokemon Editor'!$A:$A,'Pokemon Editor'!$E:$E,0)+31+FLOOR('Boss Editor'!$G$4/4))*'Boss Editor'!$D$4)/100)+'Boss Editor'!$D$4+10)),0)</f>
        <v/>
      </c>
      <c r="O916" s="3">
        <f>IF(N916&gt;=1,"OHKO",IF(N916&gt;=0.5,"2HKO",IF(N916&gt;=0.333,"3HKO",IF(N916&gt;=0.25,"4HKO","5HKO+"))))</f>
        <v/>
      </c>
      <c r="P916" s="3" t="inlineStr">
        <is>
          <t>Live from editable databases</t>
        </is>
      </c>
      <c r="Q916" s="3" t="inlineStr">
        <is>
          <t>SPECIES_TANDEMAUS</t>
        </is>
      </c>
      <c r="R916" s="3" t="n">
        <v>19</v>
      </c>
    </row>
    <row r="917">
      <c r="A917" s="3">
        <f>XLOOKUP($Q917,'Threshold Summary'!$Y:$Y,'Threshold Summary'!$A:$A,"")</f>
        <v/>
      </c>
      <c r="B917" s="3">
        <f>XLOOKUP($Q917,'Threshold Summary'!$Y:$Y,'Threshold Summary'!$M:$M,"")</f>
        <v/>
      </c>
      <c r="C917" s="3">
        <f>XLOOKUP($Q917,'Threshold Summary'!$Y:$Y,'Threshold Summary'!$N:$N,"")</f>
        <v/>
      </c>
      <c r="D917" s="3">
        <f>IFERROR(INDEX(FILTER('Learnset Editor'!$D$2:$D,'Learnset Editor'!$A$2:$A=XLOOKUP($Q917,'Threshold Summary'!$Y:$Y,'Threshold Summary'!$K:$K,""),'Learnset Editor'!$C$2:$C&lt;=XLOOKUP($Q917,'Threshold Summary'!$Y:$Y,'Threshold Summary'!$L:$L,"")),$R917),"")</f>
        <v/>
      </c>
      <c r="E917" s="3">
        <f>XLOOKUP(D917,'Move Editor'!$B:$B,'Move Editor'!$C:$C,"")</f>
        <v/>
      </c>
      <c r="F917" s="3">
        <f>XLOOKUP(D917,'Move Editor'!$B:$B,'Move Editor'!$D:$D,"")</f>
        <v/>
      </c>
      <c r="G917" s="3">
        <f>XLOOKUP(D917,'Move Editor'!$B:$B,'Move Editor'!$E:$E,0)</f>
        <v/>
      </c>
      <c r="H917" s="3">
        <f>XLOOKUP(D917,'Move Editor'!$B:$B,'Move Editor'!$F:$F,0)</f>
        <v/>
      </c>
      <c r="I917" s="3">
        <f>(INDEX('Type Chart'!$B:$S,MATCH(E917,'Type Chart'!$A:$A,0),MATCH(XLOOKUP('Boss Editor'!$C$4,'Pokemon Editor'!$A:$A,'Pokemon Editor'!$C:$C,""),'Type Chart'!$B$1:$S$1,0))*IF(XLOOKUP('Boss Editor'!$C$4,'Pokemon Editor'!$A:$A,'Pokemon Editor'!$D:$D,"")="",1,INDEX('Type Chart'!$B:$S,MATCH(E917,'Type Chart'!$A:$A,0),MATCH(XLOOKUP('Boss Editor'!$C$4,'Pokemon Editor'!$A:$A,'Pokemon Editor'!$D:$D,""),'Type Chart'!$B$1:$S$1,0))))</f>
        <v/>
      </c>
      <c r="J917" s="3">
        <f>IFERROR(LET(mtype,XLOOKUP($D917,'Move Editor'!$B:$B,'Move Editor'!$C:$C,""),cat,XLOOKUP($D917,'Move Editor'!$B:$B,'Move Editor'!$D:$D,""),pow,XLOOKUP($D917,'Move Editor'!$B:$B,'Move Editor'!$E:$E,0),acc,XLOOKUP($D917,'Move Editor'!$B:$B,'Move Editor'!$F:$F,100),atk,IF(cat="Physical",FLOOR((FLOOR(((2*XLOOKUP(XLOOKUP($Q917,'Threshold Summary'!$Y:$Y,'Threshold Summary'!$K:$K,""),'Pokemon Editor'!$A:$A,'Pokemon Editor'!$F:$F,0)+31+FLOOR(XLOOKUP($Q917,'Threshold Summary'!$Y:$Y,'Threshold Summary'!$P:$P,"")/4))*XLOOKUP($Q917,'Threshold Summary'!$Y:$Y,'Threshold Summary'!$L:$L,""))/100)+5)*XLOOKUP(XLOOKUP($Q917,'Threshold Summary'!$Y:$Y,'Threshold Summary'!$M:$M,""),'Nature Editor'!$A:$A,'Nature Editor'!$B:$B,1)),FLOOR((FLOOR(((2*XLOOKUP(XLOOKUP($Q917,'Threshold Summary'!$Y:$Y,'Threshold Summary'!$K:$K,""),'Pokemon Editor'!$A:$A,'Pokemon Editor'!$H:$H,0)+31+FLOOR(XLOOKUP($Q917,'Threshold Summary'!$Y:$Y,'Threshold Summary'!$R:$R,"")/4))*XLOOKUP($Q917,'Threshold Summary'!$Y:$Y,'Threshold Summary'!$L:$L,""))/100)+5)*XLOOKUP(XLOOKUP($Q917,'Threshold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Editor'!$E:$E,1))),stab,IF(OR(mtype=XLOOKUP(XLOOKUP($Q917,'Threshold Summary'!$Y:$Y,'Threshold Summary'!$K:$K,""),'Pokemon Editor'!$A:$A,'Pokemon Editor'!$C:$C,""),mtype=XLOOKUP(XLOOKUP($Q917,'Threshold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Chart'!$B$1:$S$1,0)))),base,IF(OR(cat="Status",pow=0),0,FLOOR(FLOOR(FLOOR((2*XLOOKUP($Q917,'Threshold Summary'!$Y:$Y,'Threshold Summary'!$L:$L,"")/5+2)*pow*atk/def)/50)+2)),modifier,stab*eff,FLOOR(base*modifier*0.85)),0)</f>
        <v/>
      </c>
      <c r="K917" s="3">
        <f>IFERROR(LET(mtype,XLOOKUP($D917,'Move Editor'!$B:$B,'Move Editor'!$C:$C,""),cat,XLOOKUP($D917,'Move Editor'!$B:$B,'Move Editor'!$D:$D,""),pow,XLOOKUP($D917,'Move Editor'!$B:$B,'Move Editor'!$E:$E,0),acc,XLOOKUP($D917,'Move Editor'!$B:$B,'Move Editor'!$F:$F,100),atk,IF(cat="Physical",FLOOR((FLOOR(((2*XLOOKUP(XLOOKUP($Q917,'Threshold Summary'!$Y:$Y,'Threshold Summary'!$K:$K,""),'Pokemon Editor'!$A:$A,'Pokemon Editor'!$F:$F,0)+31+FLOOR(XLOOKUP($Q917,'Threshold Summary'!$Y:$Y,'Threshold Summary'!$P:$P,"")/4))*XLOOKUP($Q917,'Threshold Summary'!$Y:$Y,'Threshold Summary'!$L:$L,""))/100)+5)*XLOOKUP(XLOOKUP($Q917,'Threshold Summary'!$Y:$Y,'Threshold Summary'!$M:$M,""),'Nature Editor'!$A:$A,'Nature Editor'!$B:$B,1)),FLOOR((FLOOR(((2*XLOOKUP(XLOOKUP($Q917,'Threshold Summary'!$Y:$Y,'Threshold Summary'!$K:$K,""),'Pokemon Editor'!$A:$A,'Pokemon Editor'!$H:$H,0)+31+FLOOR(XLOOKUP($Q917,'Threshold Summary'!$Y:$Y,'Threshold Summary'!$R:$R,"")/4))*XLOOKUP($Q917,'Threshold Summary'!$Y:$Y,'Threshold Summary'!$L:$L,""))/100)+5)*XLOOKUP(XLOOKUP($Q917,'Threshold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Editor'!$E:$E,1))),stab,IF(OR(mtype=XLOOKUP(XLOOKUP($Q917,'Threshold Summary'!$Y:$Y,'Threshold Summary'!$K:$K,""),'Pokemon Editor'!$A:$A,'Pokemon Editor'!$C:$C,""),mtype=XLOOKUP(XLOOKUP($Q917,'Threshold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Chart'!$B$1:$S$1,0)))),base,IF(OR(cat="Status",pow=0),0,FLOOR(FLOOR(FLOOR((2*XLOOKUP($Q917,'Threshold Summary'!$Y:$Y,'Threshold Summary'!$L:$L,"")/5+2)*pow*atk/def)/50)+2)),modifier,stab*eff,FLOOR(base*modifier)),0)</f>
        <v/>
      </c>
      <c r="L917" s="3">
        <f>IFERROR(LET(mtype,XLOOKUP($D917,'Move Editor'!$B:$B,'Move Editor'!$C:$C,""),cat,XLOOKUP($D917,'Move Editor'!$B:$B,'Move Editor'!$D:$D,""),pow,XLOOKUP($D917,'Move Editor'!$B:$B,'Move Editor'!$E:$E,0),acc,XLOOKUP($D917,'Move Editor'!$B:$B,'Move Editor'!$F:$F,100),atk,IF(cat="Physical",FLOOR((FLOOR(((2*XLOOKUP(XLOOKUP($Q917,'Threshold Summary'!$Y:$Y,'Threshold Summary'!$K:$K,""),'Pokemon Editor'!$A:$A,'Pokemon Editor'!$F:$F,0)+31+FLOOR(XLOOKUP($Q917,'Threshold Summary'!$Y:$Y,'Threshold Summary'!$P:$P,"")/4))*XLOOKUP($Q917,'Threshold Summary'!$Y:$Y,'Threshold Summary'!$L:$L,""))/100)+5)*XLOOKUP(XLOOKUP($Q917,'Threshold Summary'!$Y:$Y,'Threshold Summary'!$M:$M,""),'Nature Editor'!$A:$A,'Nature Editor'!$B:$B,1)),FLOOR((FLOOR(((2*XLOOKUP(XLOOKUP($Q917,'Threshold Summary'!$Y:$Y,'Threshold Summary'!$K:$K,""),'Pokemon Editor'!$A:$A,'Pokemon Editor'!$H:$H,0)+31+FLOOR(XLOOKUP($Q917,'Threshold Summary'!$Y:$Y,'Threshold Summary'!$R:$R,"")/4))*XLOOKUP($Q917,'Threshold Summary'!$Y:$Y,'Threshold Summary'!$L:$L,""))/100)+5)*XLOOKUP(XLOOKUP($Q917,'Threshold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Editor'!$E:$E,1))),stab,IF(OR(mtype=XLOOKUP(XLOOKUP($Q917,'Threshold Summary'!$Y:$Y,'Threshold Summary'!$K:$K,""),'Pokemon Editor'!$A:$A,'Pokemon Editor'!$C:$C,""),mtype=XLOOKUP(XLOOKUP($Q917,'Threshold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Chart'!$B$1:$S$1,0)))),base,IF(OR(cat="Status",pow=0),0,FLOOR(FLOOR(FLOOR((2*XLOOKUP($Q917,'Threshold Summary'!$Y:$Y,'Threshold Summary'!$L:$L,"")/5+2)*pow*atk/def)/50)+2)),modifier,stab*eff,AVERAGE(ARRAYFORMULA(FLOOR(base*modifier*SEQUENCE(16,1,85,1)/100)))),0)</f>
        <v/>
      </c>
      <c r="M917" s="3">
        <f>IFERROR(LET(mtype,XLOOKUP($D917,'Move Editor'!$B:$B,'Move Editor'!$C:$C,""),cat,XLOOKUP($D917,'Move Editor'!$B:$B,'Move Editor'!$D:$D,""),pow,XLOOKUP($D917,'Move Editor'!$B:$B,'Move Editor'!$E:$E,0),acc,XLOOKUP($D917,'Move Editor'!$B:$B,'Move Editor'!$F:$F,100),atk,IF(cat="Physical",FLOOR((FLOOR(((2*XLOOKUP(XLOOKUP($Q917,'Threshold Summary'!$Y:$Y,'Threshold Summary'!$K:$K,""),'Pokemon Editor'!$A:$A,'Pokemon Editor'!$F:$F,0)+31+FLOOR(XLOOKUP($Q917,'Threshold Summary'!$Y:$Y,'Threshold Summary'!$P:$P,"")/4))*XLOOKUP($Q917,'Threshold Summary'!$Y:$Y,'Threshold Summary'!$L:$L,""))/100)+5)*XLOOKUP(XLOOKUP($Q917,'Threshold Summary'!$Y:$Y,'Threshold Summary'!$M:$M,""),'Nature Editor'!$A:$A,'Nature Editor'!$B:$B,1)),FLOOR((FLOOR(((2*XLOOKUP(XLOOKUP($Q917,'Threshold Summary'!$Y:$Y,'Threshold Summary'!$K:$K,""),'Pokemon Editor'!$A:$A,'Pokemon Editor'!$H:$H,0)+31+FLOOR(XLOOKUP($Q917,'Threshold Summary'!$Y:$Y,'Threshold Summary'!$R:$R,"")/4))*XLOOKUP($Q917,'Threshold Summary'!$Y:$Y,'Threshold Summary'!$L:$L,""))/100)+5)*XLOOKUP(XLOOKUP($Q917,'Threshold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Editor'!$E:$E,1))),stab,IF(OR(mtype=XLOOKUP(XLOOKUP($Q917,'Threshold Summary'!$Y:$Y,'Threshold Summary'!$K:$K,""),'Pokemon Editor'!$A:$A,'Pokemon Editor'!$C:$C,""),mtype=XLOOKUP(XLOOKUP($Q917,'Threshold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Chart'!$B$1:$S$1,0)))),base,IF(OR(cat="Status",pow=0),0,FLOOR(FLOOR(FLOOR((2*XLOOKUP($Q917,'Threshold Summary'!$Y:$Y,'Threshold Summary'!$L:$L,"")/5+2)*pow*atk/def)/50)+2)),modifier,stab*eff,AVERAGE(ARRAYFORMULA(FLOOR(base*modifier*SEQUENCE(16,1,85,1)/100)))*MIN(1,acc/100)),0)</f>
        <v/>
      </c>
      <c r="N917" s="4">
        <f>IFERROR(LET(mtype,XLOOKUP($D917,'Move Editor'!$B:$B,'Move Editor'!$C:$C,""),cat,XLOOKUP($D917,'Move Editor'!$B:$B,'Move Editor'!$D:$D,""),pow,XLOOKUP($D917,'Move Editor'!$B:$B,'Move Editor'!$E:$E,0),acc,XLOOKUP($D917,'Move Editor'!$B:$B,'Move Editor'!$F:$F,100),atk,IF(cat="Physical",FLOOR((FLOOR(((2*XLOOKUP(XLOOKUP($Q917,'Threshold Summary'!$Y:$Y,'Threshold Summary'!$K:$K,""),'Pokemon Editor'!$A:$A,'Pokemon Editor'!$F:$F,0)+31+FLOOR(XLOOKUP($Q917,'Threshold Summary'!$Y:$Y,'Threshold Summary'!$P:$P,"")/4))*XLOOKUP($Q917,'Threshold Summary'!$Y:$Y,'Threshold Summary'!$L:$L,""))/100)+5)*XLOOKUP(XLOOKUP($Q917,'Threshold Summary'!$Y:$Y,'Threshold Summary'!$M:$M,""),'Nature Editor'!$A:$A,'Nature Editor'!$B:$B,1)),FLOOR((FLOOR(((2*XLOOKUP(XLOOKUP($Q917,'Threshold Summary'!$Y:$Y,'Threshold Summary'!$K:$K,""),'Pokemon Editor'!$A:$A,'Pokemon Editor'!$H:$H,0)+31+FLOOR(XLOOKUP($Q917,'Threshold Summary'!$Y:$Y,'Threshold Summary'!$R:$R,"")/4))*XLOOKUP($Q917,'Threshold Summary'!$Y:$Y,'Threshold Summary'!$L:$L,""))/100)+5)*XLOOKUP(XLOOKUP($Q917,'Threshold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Editor'!$E:$E,1))),stab,IF(OR(mtype=XLOOKUP(XLOOKUP($Q917,'Threshold Summary'!$Y:$Y,'Threshold Summary'!$K:$K,""),'Pokemon Editor'!$A:$A,'Pokemon Editor'!$C:$C,""),mtype=XLOOKUP(XLOOKUP($Q917,'Threshold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Chart'!$B$1:$S$1,0)))),base,IF(OR(cat="Status",pow=0),0,FLOOR(FLOOR(FLOOR((2*XLOOKUP($Q917,'Threshold Summary'!$Y:$Y,'Threshold Summary'!$L:$L,"")/5+2)*pow*atk/def)/50)+2)),modifier,stab*eff,AVERAGE(ARRAYFORMULA(FLOOR(base*modifier*SEQUENCE(16,1,85,1)/100)))/(FLOOR(((2*XLOOKUP('Boss Editor'!$C$4,'Pokemon Editor'!$A:$A,'Pokemon Editor'!$E:$E,0)+31+FLOOR('Boss Editor'!$G$4/4))*'Boss Editor'!$D$4)/100)+'Boss Editor'!$D$4+10)),0)</f>
        <v/>
      </c>
      <c r="O917" s="3">
        <f>IF(N917&gt;=1,"OHKO",IF(N917&gt;=0.5,"2HKO",IF(N917&gt;=0.333,"3HKO",IF(N917&gt;=0.25,"4HKO","5HKO+"))))</f>
        <v/>
      </c>
      <c r="P917" s="3" t="inlineStr">
        <is>
          <t>Live from editable databases</t>
        </is>
      </c>
      <c r="Q917" s="3" t="inlineStr">
        <is>
          <t>SPECIES_TANDEMAUS</t>
        </is>
      </c>
      <c r="R917" s="3" t="n">
        <v>20</v>
      </c>
    </row>
    <row r="918">
      <c r="A918" s="3">
        <f>XLOOKUP($Q918,'Threshold Summary'!$Y:$Y,'Threshold Summary'!$A:$A,"")</f>
        <v/>
      </c>
      <c r="B918" s="3">
        <f>XLOOKUP($Q918,'Threshold Summary'!$Y:$Y,'Threshold Summary'!$M:$M,"")</f>
        <v/>
      </c>
      <c r="C918" s="3">
        <f>XLOOKUP($Q918,'Threshold Summary'!$Y:$Y,'Threshold Summary'!$N:$N,"")</f>
        <v/>
      </c>
      <c r="D918" s="3">
        <f>IFERROR(INDEX(FILTER('Learnset Editor'!$D$2:$D,'Learnset Editor'!$A$2:$A=XLOOKUP($Q918,'Threshold Summary'!$Y:$Y,'Threshold Summary'!$K:$K,""),'Learnset Editor'!$C$2:$C&lt;=XLOOKUP($Q918,'Threshold Summary'!$Y:$Y,'Threshold Summary'!$L:$L,"")),$R918),"")</f>
        <v/>
      </c>
      <c r="E918" s="3">
        <f>XLOOKUP(D918,'Move Editor'!$B:$B,'Move Editor'!$C:$C,"")</f>
        <v/>
      </c>
      <c r="F918" s="3">
        <f>XLOOKUP(D918,'Move Editor'!$B:$B,'Move Editor'!$D:$D,"")</f>
        <v/>
      </c>
      <c r="G918" s="3">
        <f>XLOOKUP(D918,'Move Editor'!$B:$B,'Move Editor'!$E:$E,0)</f>
        <v/>
      </c>
      <c r="H918" s="3">
        <f>XLOOKUP(D918,'Move Editor'!$B:$B,'Move Editor'!$F:$F,0)</f>
        <v/>
      </c>
      <c r="I918" s="3">
        <f>(INDEX('Type Chart'!$B:$S,MATCH(E918,'Type Chart'!$A:$A,0),MATCH(XLOOKUP('Boss Editor'!$C$4,'Pokemon Editor'!$A:$A,'Pokemon Editor'!$C:$C,""),'Type Chart'!$B$1:$S$1,0))*IF(XLOOKUP('Boss Editor'!$C$4,'Pokemon Editor'!$A:$A,'Pokemon Editor'!$D:$D,"")="",1,INDEX('Type Chart'!$B:$S,MATCH(E918,'Type Chart'!$A:$A,0),MATCH(XLOOKUP('Boss Editor'!$C$4,'Pokemon Editor'!$A:$A,'Pokemon Editor'!$D:$D,""),'Type Chart'!$B$1:$S$1,0))))</f>
        <v/>
      </c>
      <c r="J918" s="3">
        <f>IFERROR(LET(mtype,XLOOKUP($D918,'Move Editor'!$B:$B,'Move Editor'!$C:$C,""),cat,XLOOKUP($D918,'Move Editor'!$B:$B,'Move Editor'!$D:$D,""),pow,XLOOKUP($D918,'Move Editor'!$B:$B,'Move Editor'!$E:$E,0),acc,XLOOKUP($D918,'Move Editor'!$B:$B,'Move Editor'!$F:$F,100),atk,IF(cat="Physical",FLOOR((FLOOR(((2*XLOOKUP(XLOOKUP($Q918,'Threshold Summary'!$Y:$Y,'Threshold Summary'!$K:$K,""),'Pokemon Editor'!$A:$A,'Pokemon Editor'!$F:$F,0)+31+FLOOR(XLOOKUP($Q918,'Threshold Summary'!$Y:$Y,'Threshold Summary'!$P:$P,"")/4))*XLOOKUP($Q918,'Threshold Summary'!$Y:$Y,'Threshold Summary'!$L:$L,""))/100)+5)*XLOOKUP(XLOOKUP($Q918,'Threshold Summary'!$Y:$Y,'Threshold Summary'!$M:$M,""),'Nature Editor'!$A:$A,'Nature Editor'!$B:$B,1)),FLOOR((FLOOR(((2*XLOOKUP(XLOOKUP($Q918,'Threshold Summary'!$Y:$Y,'Threshold Summary'!$K:$K,""),'Pokemon Editor'!$A:$A,'Pokemon Editor'!$H:$H,0)+31+FLOOR(XLOOKUP($Q918,'Threshold Summary'!$Y:$Y,'Threshold Summary'!$R:$R,"")/4))*XLOOKUP($Q918,'Threshold Summary'!$Y:$Y,'Threshold Summary'!$L:$L,""))/100)+5)*XLOOKUP(XLOOKUP($Q918,'Threshold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Editor'!$E:$E,1))),stab,IF(OR(mtype=XLOOKUP(XLOOKUP($Q918,'Threshold Summary'!$Y:$Y,'Threshold Summary'!$K:$K,""),'Pokemon Editor'!$A:$A,'Pokemon Editor'!$C:$C,""),mtype=XLOOKUP(XLOOKUP($Q918,'Threshold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Chart'!$B$1:$S$1,0)))),base,IF(OR(cat="Status",pow=0),0,FLOOR(FLOOR(FLOOR((2*XLOOKUP($Q918,'Threshold Summary'!$Y:$Y,'Threshold Summary'!$L:$L,"")/5+2)*pow*atk/def)/50)+2)),modifier,stab*eff,FLOOR(base*modifier*0.85)),0)</f>
        <v/>
      </c>
      <c r="K918" s="3">
        <f>IFERROR(LET(mtype,XLOOKUP($D918,'Move Editor'!$B:$B,'Move Editor'!$C:$C,""),cat,XLOOKUP($D918,'Move Editor'!$B:$B,'Move Editor'!$D:$D,""),pow,XLOOKUP($D918,'Move Editor'!$B:$B,'Move Editor'!$E:$E,0),acc,XLOOKUP($D918,'Move Editor'!$B:$B,'Move Editor'!$F:$F,100),atk,IF(cat="Physical",FLOOR((FLOOR(((2*XLOOKUP(XLOOKUP($Q918,'Threshold Summary'!$Y:$Y,'Threshold Summary'!$K:$K,""),'Pokemon Editor'!$A:$A,'Pokemon Editor'!$F:$F,0)+31+FLOOR(XLOOKUP($Q918,'Threshold Summary'!$Y:$Y,'Threshold Summary'!$P:$P,"")/4))*XLOOKUP($Q918,'Threshold Summary'!$Y:$Y,'Threshold Summary'!$L:$L,""))/100)+5)*XLOOKUP(XLOOKUP($Q918,'Threshold Summary'!$Y:$Y,'Threshold Summary'!$M:$M,""),'Nature Editor'!$A:$A,'Nature Editor'!$B:$B,1)),FLOOR((FLOOR(((2*XLOOKUP(XLOOKUP($Q918,'Threshold Summary'!$Y:$Y,'Threshold Summary'!$K:$K,""),'Pokemon Editor'!$A:$A,'Pokemon Editor'!$H:$H,0)+31+FLOOR(XLOOKUP($Q918,'Threshold Summary'!$Y:$Y,'Threshold Summary'!$R:$R,"")/4))*XLOOKUP($Q918,'Threshold Summary'!$Y:$Y,'Threshold Summary'!$L:$L,""))/100)+5)*XLOOKUP(XLOOKUP($Q918,'Threshold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Editor'!$E:$E,1))),stab,IF(OR(mtype=XLOOKUP(XLOOKUP($Q918,'Threshold Summary'!$Y:$Y,'Threshold Summary'!$K:$K,""),'Pokemon Editor'!$A:$A,'Pokemon Editor'!$C:$C,""),mtype=XLOOKUP(XLOOKUP($Q918,'Threshold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Chart'!$B$1:$S$1,0)))),base,IF(OR(cat="Status",pow=0),0,FLOOR(FLOOR(FLOOR((2*XLOOKUP($Q918,'Threshold Summary'!$Y:$Y,'Threshold Summary'!$L:$L,"")/5+2)*pow*atk/def)/50)+2)),modifier,stab*eff,FLOOR(base*modifier)),0)</f>
        <v/>
      </c>
      <c r="L918" s="3">
        <f>IFERROR(LET(mtype,XLOOKUP($D918,'Move Editor'!$B:$B,'Move Editor'!$C:$C,""),cat,XLOOKUP($D918,'Move Editor'!$B:$B,'Move Editor'!$D:$D,""),pow,XLOOKUP($D918,'Move Editor'!$B:$B,'Move Editor'!$E:$E,0),acc,XLOOKUP($D918,'Move Editor'!$B:$B,'Move Editor'!$F:$F,100),atk,IF(cat="Physical",FLOOR((FLOOR(((2*XLOOKUP(XLOOKUP($Q918,'Threshold Summary'!$Y:$Y,'Threshold Summary'!$K:$K,""),'Pokemon Editor'!$A:$A,'Pokemon Editor'!$F:$F,0)+31+FLOOR(XLOOKUP($Q918,'Threshold Summary'!$Y:$Y,'Threshold Summary'!$P:$P,"")/4))*XLOOKUP($Q918,'Threshold Summary'!$Y:$Y,'Threshold Summary'!$L:$L,""))/100)+5)*XLOOKUP(XLOOKUP($Q918,'Threshold Summary'!$Y:$Y,'Threshold Summary'!$M:$M,""),'Nature Editor'!$A:$A,'Nature Editor'!$B:$B,1)),FLOOR((FLOOR(((2*XLOOKUP(XLOOKUP($Q918,'Threshold Summary'!$Y:$Y,'Threshold Summary'!$K:$K,""),'Pokemon Editor'!$A:$A,'Pokemon Editor'!$H:$H,0)+31+FLOOR(XLOOKUP($Q918,'Threshold Summary'!$Y:$Y,'Threshold Summary'!$R:$R,"")/4))*XLOOKUP($Q918,'Threshold Summary'!$Y:$Y,'Threshold Summary'!$L:$L,""))/100)+5)*XLOOKUP(XLOOKUP($Q918,'Threshold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Editor'!$E:$E,1))),stab,IF(OR(mtype=XLOOKUP(XLOOKUP($Q918,'Threshold Summary'!$Y:$Y,'Threshold Summary'!$K:$K,""),'Pokemon Editor'!$A:$A,'Pokemon Editor'!$C:$C,""),mtype=XLOOKUP(XLOOKUP($Q918,'Threshold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Chart'!$B$1:$S$1,0)))),base,IF(OR(cat="Status",pow=0),0,FLOOR(FLOOR(FLOOR((2*XLOOKUP($Q918,'Threshold Summary'!$Y:$Y,'Threshold Summary'!$L:$L,"")/5+2)*pow*atk/def)/50)+2)),modifier,stab*eff,AVERAGE(ARRAYFORMULA(FLOOR(base*modifier*SEQUENCE(16,1,85,1)/100)))),0)</f>
        <v/>
      </c>
      <c r="M918" s="3">
        <f>IFERROR(LET(mtype,XLOOKUP($D918,'Move Editor'!$B:$B,'Move Editor'!$C:$C,""),cat,XLOOKUP($D918,'Move Editor'!$B:$B,'Move Editor'!$D:$D,""),pow,XLOOKUP($D918,'Move Editor'!$B:$B,'Move Editor'!$E:$E,0),acc,XLOOKUP($D918,'Move Editor'!$B:$B,'Move Editor'!$F:$F,100),atk,IF(cat="Physical",FLOOR((FLOOR(((2*XLOOKUP(XLOOKUP($Q918,'Threshold Summary'!$Y:$Y,'Threshold Summary'!$K:$K,""),'Pokemon Editor'!$A:$A,'Pokemon Editor'!$F:$F,0)+31+FLOOR(XLOOKUP($Q918,'Threshold Summary'!$Y:$Y,'Threshold Summary'!$P:$P,"")/4))*XLOOKUP($Q918,'Threshold Summary'!$Y:$Y,'Threshold Summary'!$L:$L,""))/100)+5)*XLOOKUP(XLOOKUP($Q918,'Threshold Summary'!$Y:$Y,'Threshold Summary'!$M:$M,""),'Nature Editor'!$A:$A,'Nature Editor'!$B:$B,1)),FLOOR((FLOOR(((2*XLOOKUP(XLOOKUP($Q918,'Threshold Summary'!$Y:$Y,'Threshold Summary'!$K:$K,""),'Pokemon Editor'!$A:$A,'Pokemon Editor'!$H:$H,0)+31+FLOOR(XLOOKUP($Q918,'Threshold Summary'!$Y:$Y,'Threshold Summary'!$R:$R,"")/4))*XLOOKUP($Q918,'Threshold Summary'!$Y:$Y,'Threshold Summary'!$L:$L,""))/100)+5)*XLOOKUP(XLOOKUP($Q918,'Threshold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Editor'!$E:$E,1))),stab,IF(OR(mtype=XLOOKUP(XLOOKUP($Q918,'Threshold Summary'!$Y:$Y,'Threshold Summary'!$K:$K,""),'Pokemon Editor'!$A:$A,'Pokemon Editor'!$C:$C,""),mtype=XLOOKUP(XLOOKUP($Q918,'Threshold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Chart'!$B$1:$S$1,0)))),base,IF(OR(cat="Status",pow=0),0,FLOOR(FLOOR(FLOOR((2*XLOOKUP($Q918,'Threshold Summary'!$Y:$Y,'Threshold Summary'!$L:$L,"")/5+2)*pow*atk/def)/50)+2)),modifier,stab*eff,AVERAGE(ARRAYFORMULA(FLOOR(base*modifier*SEQUENCE(16,1,85,1)/100)))*MIN(1,acc/100)),0)</f>
        <v/>
      </c>
      <c r="N918" s="4">
        <f>IFERROR(LET(mtype,XLOOKUP($D918,'Move Editor'!$B:$B,'Move Editor'!$C:$C,""),cat,XLOOKUP($D918,'Move Editor'!$B:$B,'Move Editor'!$D:$D,""),pow,XLOOKUP($D918,'Move Editor'!$B:$B,'Move Editor'!$E:$E,0),acc,XLOOKUP($D918,'Move Editor'!$B:$B,'Move Editor'!$F:$F,100),atk,IF(cat="Physical",FLOOR((FLOOR(((2*XLOOKUP(XLOOKUP($Q918,'Threshold Summary'!$Y:$Y,'Threshold Summary'!$K:$K,""),'Pokemon Editor'!$A:$A,'Pokemon Editor'!$F:$F,0)+31+FLOOR(XLOOKUP($Q918,'Threshold Summary'!$Y:$Y,'Threshold Summary'!$P:$P,"")/4))*XLOOKUP($Q918,'Threshold Summary'!$Y:$Y,'Threshold Summary'!$L:$L,""))/100)+5)*XLOOKUP(XLOOKUP($Q918,'Threshold Summary'!$Y:$Y,'Threshold Summary'!$M:$M,""),'Nature Editor'!$A:$A,'Nature Editor'!$B:$B,1)),FLOOR((FLOOR(((2*XLOOKUP(XLOOKUP($Q918,'Threshold Summary'!$Y:$Y,'Threshold Summary'!$K:$K,""),'Pokemon Editor'!$A:$A,'Pokemon Editor'!$H:$H,0)+31+FLOOR(XLOOKUP($Q918,'Threshold Summary'!$Y:$Y,'Threshold Summary'!$R:$R,"")/4))*XLOOKUP($Q918,'Threshold Summary'!$Y:$Y,'Threshold Summary'!$L:$L,""))/100)+5)*XLOOKUP(XLOOKUP($Q918,'Threshold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Editor'!$E:$E,1))),stab,IF(OR(mtype=XLOOKUP(XLOOKUP($Q918,'Threshold Summary'!$Y:$Y,'Threshold Summary'!$K:$K,""),'Pokemon Editor'!$A:$A,'Pokemon Editor'!$C:$C,""),mtype=XLOOKUP(XLOOKUP($Q918,'Threshold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Chart'!$B$1:$S$1,0)))),base,IF(OR(cat="Status",pow=0),0,FLOOR(FLOOR(FLOOR((2*XLOOKUP($Q918,'Threshold Summary'!$Y:$Y,'Threshold Summary'!$L:$L,"")/5+2)*pow*atk/def)/50)+2)),modifier,stab*eff,AVERAGE(ARRAYFORMULA(FLOOR(base*modifier*SEQUENCE(16,1,85,1)/100)))/(FLOOR(((2*XLOOKUP('Boss Editor'!$C$4,'Pokemon Editor'!$A:$A,'Pokemon Editor'!$E:$E,0)+31+FLOOR('Boss Editor'!$G$4/4))*'Boss Editor'!$D$4)/100)+'Boss Editor'!$D$4+10)),0)</f>
        <v/>
      </c>
      <c r="O918" s="3">
        <f>IF(N918&gt;=1,"OHKO",IF(N918&gt;=0.5,"2HKO",IF(N918&gt;=0.333,"3HKO",IF(N918&gt;=0.25,"4HKO","5HKO+"))))</f>
        <v/>
      </c>
      <c r="P918" s="3" t="inlineStr">
        <is>
          <t>Live from editable databases</t>
        </is>
      </c>
      <c r="Q918" s="3" t="inlineStr">
        <is>
          <t>SPECIES_TANDEMAUS</t>
        </is>
      </c>
      <c r="R918" s="3" t="n">
        <v>21</v>
      </c>
    </row>
    <row r="919">
      <c r="A919" s="3">
        <f>XLOOKUP($Q919,'Threshold Summary'!$Y:$Y,'Threshold Summary'!$A:$A,"")</f>
        <v/>
      </c>
      <c r="B919" s="3">
        <f>XLOOKUP($Q919,'Threshold Summary'!$Y:$Y,'Threshold Summary'!$M:$M,"")</f>
        <v/>
      </c>
      <c r="C919" s="3">
        <f>XLOOKUP($Q919,'Threshold Summary'!$Y:$Y,'Threshold Summary'!$N:$N,"")</f>
        <v/>
      </c>
      <c r="D919" s="3">
        <f>IFERROR(INDEX(FILTER('Learnset Editor'!$D$2:$D,'Learnset Editor'!$A$2:$A=XLOOKUP($Q919,'Threshold Summary'!$Y:$Y,'Threshold Summary'!$K:$K,""),'Learnset Editor'!$C$2:$C&lt;=XLOOKUP($Q919,'Threshold Summary'!$Y:$Y,'Threshold Summary'!$L:$L,"")),$R919),"")</f>
        <v/>
      </c>
      <c r="E919" s="3">
        <f>XLOOKUP(D919,'Move Editor'!$B:$B,'Move Editor'!$C:$C,"")</f>
        <v/>
      </c>
      <c r="F919" s="3">
        <f>XLOOKUP(D919,'Move Editor'!$B:$B,'Move Editor'!$D:$D,"")</f>
        <v/>
      </c>
      <c r="G919" s="3">
        <f>XLOOKUP(D919,'Move Editor'!$B:$B,'Move Editor'!$E:$E,0)</f>
        <v/>
      </c>
      <c r="H919" s="3">
        <f>XLOOKUP(D919,'Move Editor'!$B:$B,'Move Editor'!$F:$F,0)</f>
        <v/>
      </c>
      <c r="I919" s="3">
        <f>(INDEX('Type Chart'!$B:$S,MATCH(E919,'Type Chart'!$A:$A,0),MATCH(XLOOKUP('Boss Editor'!$C$4,'Pokemon Editor'!$A:$A,'Pokemon Editor'!$C:$C,""),'Type Chart'!$B$1:$S$1,0))*IF(XLOOKUP('Boss Editor'!$C$4,'Pokemon Editor'!$A:$A,'Pokemon Editor'!$D:$D,"")="",1,INDEX('Type Chart'!$B:$S,MATCH(E919,'Type Chart'!$A:$A,0),MATCH(XLOOKUP('Boss Editor'!$C$4,'Pokemon Editor'!$A:$A,'Pokemon Editor'!$D:$D,""),'Type Chart'!$B$1:$S$1,0))))</f>
        <v/>
      </c>
      <c r="J919" s="3">
        <f>IFERROR(LET(mtype,XLOOKUP($D919,'Move Editor'!$B:$B,'Move Editor'!$C:$C,""),cat,XLOOKUP($D919,'Move Editor'!$B:$B,'Move Editor'!$D:$D,""),pow,XLOOKUP($D919,'Move Editor'!$B:$B,'Move Editor'!$E:$E,0),acc,XLOOKUP($D919,'Move Editor'!$B:$B,'Move Editor'!$F:$F,100),atk,IF(cat="Physical",FLOOR((FLOOR(((2*XLOOKUP(XLOOKUP($Q919,'Threshold Summary'!$Y:$Y,'Threshold Summary'!$K:$K,""),'Pokemon Editor'!$A:$A,'Pokemon Editor'!$F:$F,0)+31+FLOOR(XLOOKUP($Q919,'Threshold Summary'!$Y:$Y,'Threshold Summary'!$P:$P,"")/4))*XLOOKUP($Q919,'Threshold Summary'!$Y:$Y,'Threshold Summary'!$L:$L,""))/100)+5)*XLOOKUP(XLOOKUP($Q919,'Threshold Summary'!$Y:$Y,'Threshold Summary'!$M:$M,""),'Nature Editor'!$A:$A,'Nature Editor'!$B:$B,1)),FLOOR((FLOOR(((2*XLOOKUP(XLOOKUP($Q919,'Threshold Summary'!$Y:$Y,'Threshold Summary'!$K:$K,""),'Pokemon Editor'!$A:$A,'Pokemon Editor'!$H:$H,0)+31+FLOOR(XLOOKUP($Q919,'Threshold Summary'!$Y:$Y,'Threshold Summary'!$R:$R,"")/4))*XLOOKUP($Q919,'Threshold Summary'!$Y:$Y,'Threshold Summary'!$L:$L,""))/100)+5)*XLOOKUP(XLOOKUP($Q919,'Threshold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Editor'!$E:$E,1))),stab,IF(OR(mtype=XLOOKUP(XLOOKUP($Q919,'Threshold Summary'!$Y:$Y,'Threshold Summary'!$K:$K,""),'Pokemon Editor'!$A:$A,'Pokemon Editor'!$C:$C,""),mtype=XLOOKUP(XLOOKUP($Q919,'Threshold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Chart'!$B$1:$S$1,0)))),base,IF(OR(cat="Status",pow=0),0,FLOOR(FLOOR(FLOOR((2*XLOOKUP($Q919,'Threshold Summary'!$Y:$Y,'Threshold Summary'!$L:$L,"")/5+2)*pow*atk/def)/50)+2)),modifier,stab*eff,FLOOR(base*modifier*0.85)),0)</f>
        <v/>
      </c>
      <c r="K919" s="3">
        <f>IFERROR(LET(mtype,XLOOKUP($D919,'Move Editor'!$B:$B,'Move Editor'!$C:$C,""),cat,XLOOKUP($D919,'Move Editor'!$B:$B,'Move Editor'!$D:$D,""),pow,XLOOKUP($D919,'Move Editor'!$B:$B,'Move Editor'!$E:$E,0),acc,XLOOKUP($D919,'Move Editor'!$B:$B,'Move Editor'!$F:$F,100),atk,IF(cat="Physical",FLOOR((FLOOR(((2*XLOOKUP(XLOOKUP($Q919,'Threshold Summary'!$Y:$Y,'Threshold Summary'!$K:$K,""),'Pokemon Editor'!$A:$A,'Pokemon Editor'!$F:$F,0)+31+FLOOR(XLOOKUP($Q919,'Threshold Summary'!$Y:$Y,'Threshold Summary'!$P:$P,"")/4))*XLOOKUP($Q919,'Threshold Summary'!$Y:$Y,'Threshold Summary'!$L:$L,""))/100)+5)*XLOOKUP(XLOOKUP($Q919,'Threshold Summary'!$Y:$Y,'Threshold Summary'!$M:$M,""),'Nature Editor'!$A:$A,'Nature Editor'!$B:$B,1)),FLOOR((FLOOR(((2*XLOOKUP(XLOOKUP($Q919,'Threshold Summary'!$Y:$Y,'Threshold Summary'!$K:$K,""),'Pokemon Editor'!$A:$A,'Pokemon Editor'!$H:$H,0)+31+FLOOR(XLOOKUP($Q919,'Threshold Summary'!$Y:$Y,'Threshold Summary'!$R:$R,"")/4))*XLOOKUP($Q919,'Threshold Summary'!$Y:$Y,'Threshold Summary'!$L:$L,""))/100)+5)*XLOOKUP(XLOOKUP($Q919,'Threshold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Editor'!$E:$E,1))),stab,IF(OR(mtype=XLOOKUP(XLOOKUP($Q919,'Threshold Summary'!$Y:$Y,'Threshold Summary'!$K:$K,""),'Pokemon Editor'!$A:$A,'Pokemon Editor'!$C:$C,""),mtype=XLOOKUP(XLOOKUP($Q919,'Threshold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Chart'!$B$1:$S$1,0)))),base,IF(OR(cat="Status",pow=0),0,FLOOR(FLOOR(FLOOR((2*XLOOKUP($Q919,'Threshold Summary'!$Y:$Y,'Threshold Summary'!$L:$L,"")/5+2)*pow*atk/def)/50)+2)),modifier,stab*eff,FLOOR(base*modifier)),0)</f>
        <v/>
      </c>
      <c r="L919" s="3">
        <f>IFERROR(LET(mtype,XLOOKUP($D919,'Move Editor'!$B:$B,'Move Editor'!$C:$C,""),cat,XLOOKUP($D919,'Move Editor'!$B:$B,'Move Editor'!$D:$D,""),pow,XLOOKUP($D919,'Move Editor'!$B:$B,'Move Editor'!$E:$E,0),acc,XLOOKUP($D919,'Move Editor'!$B:$B,'Move Editor'!$F:$F,100),atk,IF(cat="Physical",FLOOR((FLOOR(((2*XLOOKUP(XLOOKUP($Q919,'Threshold Summary'!$Y:$Y,'Threshold Summary'!$K:$K,""),'Pokemon Editor'!$A:$A,'Pokemon Editor'!$F:$F,0)+31+FLOOR(XLOOKUP($Q919,'Threshold Summary'!$Y:$Y,'Threshold Summary'!$P:$P,"")/4))*XLOOKUP($Q919,'Threshold Summary'!$Y:$Y,'Threshold Summary'!$L:$L,""))/100)+5)*XLOOKUP(XLOOKUP($Q919,'Threshold Summary'!$Y:$Y,'Threshold Summary'!$M:$M,""),'Nature Editor'!$A:$A,'Nature Editor'!$B:$B,1)),FLOOR((FLOOR(((2*XLOOKUP(XLOOKUP($Q919,'Threshold Summary'!$Y:$Y,'Threshold Summary'!$K:$K,""),'Pokemon Editor'!$A:$A,'Pokemon Editor'!$H:$H,0)+31+FLOOR(XLOOKUP($Q919,'Threshold Summary'!$Y:$Y,'Threshold Summary'!$R:$R,"")/4))*XLOOKUP($Q919,'Threshold Summary'!$Y:$Y,'Threshold Summary'!$L:$L,""))/100)+5)*XLOOKUP(XLOOKUP($Q919,'Threshold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Editor'!$E:$E,1))),stab,IF(OR(mtype=XLOOKUP(XLOOKUP($Q919,'Threshold Summary'!$Y:$Y,'Threshold Summary'!$K:$K,""),'Pokemon Editor'!$A:$A,'Pokemon Editor'!$C:$C,""),mtype=XLOOKUP(XLOOKUP($Q919,'Threshold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Chart'!$B$1:$S$1,0)))),base,IF(OR(cat="Status",pow=0),0,FLOOR(FLOOR(FLOOR((2*XLOOKUP($Q919,'Threshold Summary'!$Y:$Y,'Threshold Summary'!$L:$L,"")/5+2)*pow*atk/def)/50)+2)),modifier,stab*eff,AVERAGE(ARRAYFORMULA(FLOOR(base*modifier*SEQUENCE(16,1,85,1)/100)))),0)</f>
        <v/>
      </c>
      <c r="M919" s="3">
        <f>IFERROR(LET(mtype,XLOOKUP($D919,'Move Editor'!$B:$B,'Move Editor'!$C:$C,""),cat,XLOOKUP($D919,'Move Editor'!$B:$B,'Move Editor'!$D:$D,""),pow,XLOOKUP($D919,'Move Editor'!$B:$B,'Move Editor'!$E:$E,0),acc,XLOOKUP($D919,'Move Editor'!$B:$B,'Move Editor'!$F:$F,100),atk,IF(cat="Physical",FLOOR((FLOOR(((2*XLOOKUP(XLOOKUP($Q919,'Threshold Summary'!$Y:$Y,'Threshold Summary'!$K:$K,""),'Pokemon Editor'!$A:$A,'Pokemon Editor'!$F:$F,0)+31+FLOOR(XLOOKUP($Q919,'Threshold Summary'!$Y:$Y,'Threshold Summary'!$P:$P,"")/4))*XLOOKUP($Q919,'Threshold Summary'!$Y:$Y,'Threshold Summary'!$L:$L,""))/100)+5)*XLOOKUP(XLOOKUP($Q919,'Threshold Summary'!$Y:$Y,'Threshold Summary'!$M:$M,""),'Nature Editor'!$A:$A,'Nature Editor'!$B:$B,1)),FLOOR((FLOOR(((2*XLOOKUP(XLOOKUP($Q919,'Threshold Summary'!$Y:$Y,'Threshold Summary'!$K:$K,""),'Pokemon Editor'!$A:$A,'Pokemon Editor'!$H:$H,0)+31+FLOOR(XLOOKUP($Q919,'Threshold Summary'!$Y:$Y,'Threshold Summary'!$R:$R,"")/4))*XLOOKUP($Q919,'Threshold Summary'!$Y:$Y,'Threshold Summary'!$L:$L,""))/100)+5)*XLOOKUP(XLOOKUP($Q919,'Threshold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Editor'!$E:$E,1))),stab,IF(OR(mtype=XLOOKUP(XLOOKUP($Q919,'Threshold Summary'!$Y:$Y,'Threshold Summary'!$K:$K,""),'Pokemon Editor'!$A:$A,'Pokemon Editor'!$C:$C,""),mtype=XLOOKUP(XLOOKUP($Q919,'Threshold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Chart'!$B$1:$S$1,0)))),base,IF(OR(cat="Status",pow=0),0,FLOOR(FLOOR(FLOOR((2*XLOOKUP($Q919,'Threshold Summary'!$Y:$Y,'Threshold Summary'!$L:$L,"")/5+2)*pow*atk/def)/50)+2)),modifier,stab*eff,AVERAGE(ARRAYFORMULA(FLOOR(base*modifier*SEQUENCE(16,1,85,1)/100)))*MIN(1,acc/100)),0)</f>
        <v/>
      </c>
      <c r="N919" s="4">
        <f>IFERROR(LET(mtype,XLOOKUP($D919,'Move Editor'!$B:$B,'Move Editor'!$C:$C,""),cat,XLOOKUP($D919,'Move Editor'!$B:$B,'Move Editor'!$D:$D,""),pow,XLOOKUP($D919,'Move Editor'!$B:$B,'Move Editor'!$E:$E,0),acc,XLOOKUP($D919,'Move Editor'!$B:$B,'Move Editor'!$F:$F,100),atk,IF(cat="Physical",FLOOR((FLOOR(((2*XLOOKUP(XLOOKUP($Q919,'Threshold Summary'!$Y:$Y,'Threshold Summary'!$K:$K,""),'Pokemon Editor'!$A:$A,'Pokemon Editor'!$F:$F,0)+31+FLOOR(XLOOKUP($Q919,'Threshold Summary'!$Y:$Y,'Threshold Summary'!$P:$P,"")/4))*XLOOKUP($Q919,'Threshold Summary'!$Y:$Y,'Threshold Summary'!$L:$L,""))/100)+5)*XLOOKUP(XLOOKUP($Q919,'Threshold Summary'!$Y:$Y,'Threshold Summary'!$M:$M,""),'Nature Editor'!$A:$A,'Nature Editor'!$B:$B,1)),FLOOR((FLOOR(((2*XLOOKUP(XLOOKUP($Q919,'Threshold Summary'!$Y:$Y,'Threshold Summary'!$K:$K,""),'Pokemon Editor'!$A:$A,'Pokemon Editor'!$H:$H,0)+31+FLOOR(XLOOKUP($Q919,'Threshold Summary'!$Y:$Y,'Threshold Summary'!$R:$R,"")/4))*XLOOKUP($Q919,'Threshold Summary'!$Y:$Y,'Threshold Summary'!$L:$L,""))/100)+5)*XLOOKUP(XLOOKUP($Q919,'Threshold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Editor'!$E:$E,1))),stab,IF(OR(mtype=XLOOKUP(XLOOKUP($Q919,'Threshold Summary'!$Y:$Y,'Threshold Summary'!$K:$K,""),'Pokemon Editor'!$A:$A,'Pokemon Editor'!$C:$C,""),mtype=XLOOKUP(XLOOKUP($Q919,'Threshold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Chart'!$B$1:$S$1,0)))),base,IF(OR(cat="Status",pow=0),0,FLOOR(FLOOR(FLOOR((2*XLOOKUP($Q919,'Threshold Summary'!$Y:$Y,'Threshold Summary'!$L:$L,"")/5+2)*pow*atk/def)/50)+2)),modifier,stab*eff,AVERAGE(ARRAYFORMULA(FLOOR(base*modifier*SEQUENCE(16,1,85,1)/100)))/(FLOOR(((2*XLOOKUP('Boss Editor'!$C$4,'Pokemon Editor'!$A:$A,'Pokemon Editor'!$E:$E,0)+31+FLOOR('Boss Editor'!$G$4/4))*'Boss Editor'!$D$4)/100)+'Boss Editor'!$D$4+10)),0)</f>
        <v/>
      </c>
      <c r="O919" s="3">
        <f>IF(N919&gt;=1,"OHKO",IF(N919&gt;=0.5,"2HKO",IF(N919&gt;=0.333,"3HKO",IF(N919&gt;=0.25,"4HKO","5HKO+"))))</f>
        <v/>
      </c>
      <c r="P919" s="3" t="inlineStr">
        <is>
          <t>Live from editable databases</t>
        </is>
      </c>
      <c r="Q919" s="3" t="inlineStr">
        <is>
          <t>SPECIES_TANDEMAUS</t>
        </is>
      </c>
      <c r="R919" s="3" t="n">
        <v>22</v>
      </c>
    </row>
    <row r="920">
      <c r="A920" s="3">
        <f>XLOOKUP($Q920,'Threshold Summary'!$Y:$Y,'Threshold Summary'!$A:$A,"")</f>
        <v/>
      </c>
      <c r="B920" s="3">
        <f>XLOOKUP($Q920,'Threshold Summary'!$Y:$Y,'Threshold Summary'!$M:$M,"")</f>
        <v/>
      </c>
      <c r="C920" s="3">
        <f>XLOOKUP($Q920,'Threshold Summary'!$Y:$Y,'Threshold Summary'!$N:$N,"")</f>
        <v/>
      </c>
      <c r="D920" s="3">
        <f>IFERROR(INDEX(FILTER('Learnset Editor'!$D$2:$D,'Learnset Editor'!$A$2:$A=XLOOKUP($Q920,'Threshold Summary'!$Y:$Y,'Threshold Summary'!$K:$K,""),'Learnset Editor'!$C$2:$C&lt;=XLOOKUP($Q920,'Threshold Summary'!$Y:$Y,'Threshold Summary'!$L:$L,"")),$R920),"")</f>
        <v/>
      </c>
      <c r="E920" s="3">
        <f>XLOOKUP(D920,'Move Editor'!$B:$B,'Move Editor'!$C:$C,"")</f>
        <v/>
      </c>
      <c r="F920" s="3">
        <f>XLOOKUP(D920,'Move Editor'!$B:$B,'Move Editor'!$D:$D,"")</f>
        <v/>
      </c>
      <c r="G920" s="3">
        <f>XLOOKUP(D920,'Move Editor'!$B:$B,'Move Editor'!$E:$E,0)</f>
        <v/>
      </c>
      <c r="H920" s="3">
        <f>XLOOKUP(D920,'Move Editor'!$B:$B,'Move Editor'!$F:$F,0)</f>
        <v/>
      </c>
      <c r="I920" s="3">
        <f>(INDEX('Type Chart'!$B:$S,MATCH(E920,'Type Chart'!$A:$A,0),MATCH(XLOOKUP('Boss Editor'!$C$4,'Pokemon Editor'!$A:$A,'Pokemon Editor'!$C:$C,""),'Type Chart'!$B$1:$S$1,0))*IF(XLOOKUP('Boss Editor'!$C$4,'Pokemon Editor'!$A:$A,'Pokemon Editor'!$D:$D,"")="",1,INDEX('Type Chart'!$B:$S,MATCH(E920,'Type Chart'!$A:$A,0),MATCH(XLOOKUP('Boss Editor'!$C$4,'Pokemon Editor'!$A:$A,'Pokemon Editor'!$D:$D,""),'Type Chart'!$B$1:$S$1,0))))</f>
        <v/>
      </c>
      <c r="J920" s="3">
        <f>IFERROR(LET(mtype,XLOOKUP($D920,'Move Editor'!$B:$B,'Move Editor'!$C:$C,""),cat,XLOOKUP($D920,'Move Editor'!$B:$B,'Move Editor'!$D:$D,""),pow,XLOOKUP($D920,'Move Editor'!$B:$B,'Move Editor'!$E:$E,0),acc,XLOOKUP($D920,'Move Editor'!$B:$B,'Move Editor'!$F:$F,100),atk,IF(cat="Physical",FLOOR((FLOOR(((2*XLOOKUP(XLOOKUP($Q920,'Threshold Summary'!$Y:$Y,'Threshold Summary'!$K:$K,""),'Pokemon Editor'!$A:$A,'Pokemon Editor'!$F:$F,0)+31+FLOOR(XLOOKUP($Q920,'Threshold Summary'!$Y:$Y,'Threshold Summary'!$P:$P,"")/4))*XLOOKUP($Q920,'Threshold Summary'!$Y:$Y,'Threshold Summary'!$L:$L,""))/100)+5)*XLOOKUP(XLOOKUP($Q920,'Threshold Summary'!$Y:$Y,'Threshold Summary'!$M:$M,""),'Nature Editor'!$A:$A,'Nature Editor'!$B:$B,1)),FLOOR((FLOOR(((2*XLOOKUP(XLOOKUP($Q920,'Threshold Summary'!$Y:$Y,'Threshold Summary'!$K:$K,""),'Pokemon Editor'!$A:$A,'Pokemon Editor'!$H:$H,0)+31+FLOOR(XLOOKUP($Q920,'Threshold Summary'!$Y:$Y,'Threshold Summary'!$R:$R,"")/4))*XLOOKUP($Q920,'Threshold Summary'!$Y:$Y,'Threshold Summary'!$L:$L,""))/100)+5)*XLOOKUP(XLOOKUP($Q920,'Threshold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Editor'!$E:$E,1))),stab,IF(OR(mtype=XLOOKUP(XLOOKUP($Q920,'Threshold Summary'!$Y:$Y,'Threshold Summary'!$K:$K,""),'Pokemon Editor'!$A:$A,'Pokemon Editor'!$C:$C,""),mtype=XLOOKUP(XLOOKUP($Q920,'Threshold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Chart'!$B$1:$S$1,0)))),base,IF(OR(cat="Status",pow=0),0,FLOOR(FLOOR(FLOOR((2*XLOOKUP($Q920,'Threshold Summary'!$Y:$Y,'Threshold Summary'!$L:$L,"")/5+2)*pow*atk/def)/50)+2)),modifier,stab*eff,FLOOR(base*modifier*0.85)),0)</f>
        <v/>
      </c>
      <c r="K920" s="3">
        <f>IFERROR(LET(mtype,XLOOKUP($D920,'Move Editor'!$B:$B,'Move Editor'!$C:$C,""),cat,XLOOKUP($D920,'Move Editor'!$B:$B,'Move Editor'!$D:$D,""),pow,XLOOKUP($D920,'Move Editor'!$B:$B,'Move Editor'!$E:$E,0),acc,XLOOKUP($D920,'Move Editor'!$B:$B,'Move Editor'!$F:$F,100),atk,IF(cat="Physical",FLOOR((FLOOR(((2*XLOOKUP(XLOOKUP($Q920,'Threshold Summary'!$Y:$Y,'Threshold Summary'!$K:$K,""),'Pokemon Editor'!$A:$A,'Pokemon Editor'!$F:$F,0)+31+FLOOR(XLOOKUP($Q920,'Threshold Summary'!$Y:$Y,'Threshold Summary'!$P:$P,"")/4))*XLOOKUP($Q920,'Threshold Summary'!$Y:$Y,'Threshold Summary'!$L:$L,""))/100)+5)*XLOOKUP(XLOOKUP($Q920,'Threshold Summary'!$Y:$Y,'Threshold Summary'!$M:$M,""),'Nature Editor'!$A:$A,'Nature Editor'!$B:$B,1)),FLOOR((FLOOR(((2*XLOOKUP(XLOOKUP($Q920,'Threshold Summary'!$Y:$Y,'Threshold Summary'!$K:$K,""),'Pokemon Editor'!$A:$A,'Pokemon Editor'!$H:$H,0)+31+FLOOR(XLOOKUP($Q920,'Threshold Summary'!$Y:$Y,'Threshold Summary'!$R:$R,"")/4))*XLOOKUP($Q920,'Threshold Summary'!$Y:$Y,'Threshold Summary'!$L:$L,""))/100)+5)*XLOOKUP(XLOOKUP($Q920,'Threshold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Editor'!$E:$E,1))),stab,IF(OR(mtype=XLOOKUP(XLOOKUP($Q920,'Threshold Summary'!$Y:$Y,'Threshold Summary'!$K:$K,""),'Pokemon Editor'!$A:$A,'Pokemon Editor'!$C:$C,""),mtype=XLOOKUP(XLOOKUP($Q920,'Threshold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Chart'!$B$1:$S$1,0)))),base,IF(OR(cat="Status",pow=0),0,FLOOR(FLOOR(FLOOR((2*XLOOKUP($Q920,'Threshold Summary'!$Y:$Y,'Threshold Summary'!$L:$L,"")/5+2)*pow*atk/def)/50)+2)),modifier,stab*eff,FLOOR(base*modifier)),0)</f>
        <v/>
      </c>
      <c r="L920" s="3">
        <f>IFERROR(LET(mtype,XLOOKUP($D920,'Move Editor'!$B:$B,'Move Editor'!$C:$C,""),cat,XLOOKUP($D920,'Move Editor'!$B:$B,'Move Editor'!$D:$D,""),pow,XLOOKUP($D920,'Move Editor'!$B:$B,'Move Editor'!$E:$E,0),acc,XLOOKUP($D920,'Move Editor'!$B:$B,'Move Editor'!$F:$F,100),atk,IF(cat="Physical",FLOOR((FLOOR(((2*XLOOKUP(XLOOKUP($Q920,'Threshold Summary'!$Y:$Y,'Threshold Summary'!$K:$K,""),'Pokemon Editor'!$A:$A,'Pokemon Editor'!$F:$F,0)+31+FLOOR(XLOOKUP($Q920,'Threshold Summary'!$Y:$Y,'Threshold Summary'!$P:$P,"")/4))*XLOOKUP($Q920,'Threshold Summary'!$Y:$Y,'Threshold Summary'!$L:$L,""))/100)+5)*XLOOKUP(XLOOKUP($Q920,'Threshold Summary'!$Y:$Y,'Threshold Summary'!$M:$M,""),'Nature Editor'!$A:$A,'Nature Editor'!$B:$B,1)),FLOOR((FLOOR(((2*XLOOKUP(XLOOKUP($Q920,'Threshold Summary'!$Y:$Y,'Threshold Summary'!$K:$K,""),'Pokemon Editor'!$A:$A,'Pokemon Editor'!$H:$H,0)+31+FLOOR(XLOOKUP($Q920,'Threshold Summary'!$Y:$Y,'Threshold Summary'!$R:$R,"")/4))*XLOOKUP($Q920,'Threshold Summary'!$Y:$Y,'Threshold Summary'!$L:$L,""))/100)+5)*XLOOKUP(XLOOKUP($Q920,'Threshold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Editor'!$E:$E,1))),stab,IF(OR(mtype=XLOOKUP(XLOOKUP($Q920,'Threshold Summary'!$Y:$Y,'Threshold Summary'!$K:$K,""),'Pokemon Editor'!$A:$A,'Pokemon Editor'!$C:$C,""),mtype=XLOOKUP(XLOOKUP($Q920,'Threshold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Chart'!$B$1:$S$1,0)))),base,IF(OR(cat="Status",pow=0),0,FLOOR(FLOOR(FLOOR((2*XLOOKUP($Q920,'Threshold Summary'!$Y:$Y,'Threshold Summary'!$L:$L,"")/5+2)*pow*atk/def)/50)+2)),modifier,stab*eff,AVERAGE(ARRAYFORMULA(FLOOR(base*modifier*SEQUENCE(16,1,85,1)/100)))),0)</f>
        <v/>
      </c>
      <c r="M920" s="3">
        <f>IFERROR(LET(mtype,XLOOKUP($D920,'Move Editor'!$B:$B,'Move Editor'!$C:$C,""),cat,XLOOKUP($D920,'Move Editor'!$B:$B,'Move Editor'!$D:$D,""),pow,XLOOKUP($D920,'Move Editor'!$B:$B,'Move Editor'!$E:$E,0),acc,XLOOKUP($D920,'Move Editor'!$B:$B,'Move Editor'!$F:$F,100),atk,IF(cat="Physical",FLOOR((FLOOR(((2*XLOOKUP(XLOOKUP($Q920,'Threshold Summary'!$Y:$Y,'Threshold Summary'!$K:$K,""),'Pokemon Editor'!$A:$A,'Pokemon Editor'!$F:$F,0)+31+FLOOR(XLOOKUP($Q920,'Threshold Summary'!$Y:$Y,'Threshold Summary'!$P:$P,"")/4))*XLOOKUP($Q920,'Threshold Summary'!$Y:$Y,'Threshold Summary'!$L:$L,""))/100)+5)*XLOOKUP(XLOOKUP($Q920,'Threshold Summary'!$Y:$Y,'Threshold Summary'!$M:$M,""),'Nature Editor'!$A:$A,'Nature Editor'!$B:$B,1)),FLOOR((FLOOR(((2*XLOOKUP(XLOOKUP($Q920,'Threshold Summary'!$Y:$Y,'Threshold Summary'!$K:$K,""),'Pokemon Editor'!$A:$A,'Pokemon Editor'!$H:$H,0)+31+FLOOR(XLOOKUP($Q920,'Threshold Summary'!$Y:$Y,'Threshold Summary'!$R:$R,"")/4))*XLOOKUP($Q920,'Threshold Summary'!$Y:$Y,'Threshold Summary'!$L:$L,""))/100)+5)*XLOOKUP(XLOOKUP($Q920,'Threshold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Editor'!$E:$E,1))),stab,IF(OR(mtype=XLOOKUP(XLOOKUP($Q920,'Threshold Summary'!$Y:$Y,'Threshold Summary'!$K:$K,""),'Pokemon Editor'!$A:$A,'Pokemon Editor'!$C:$C,""),mtype=XLOOKUP(XLOOKUP($Q920,'Threshold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Chart'!$B$1:$S$1,0)))),base,IF(OR(cat="Status",pow=0),0,FLOOR(FLOOR(FLOOR((2*XLOOKUP($Q920,'Threshold Summary'!$Y:$Y,'Threshold Summary'!$L:$L,"")/5+2)*pow*atk/def)/50)+2)),modifier,stab*eff,AVERAGE(ARRAYFORMULA(FLOOR(base*modifier*SEQUENCE(16,1,85,1)/100)))*MIN(1,acc/100)),0)</f>
        <v/>
      </c>
      <c r="N920" s="4">
        <f>IFERROR(LET(mtype,XLOOKUP($D920,'Move Editor'!$B:$B,'Move Editor'!$C:$C,""),cat,XLOOKUP($D920,'Move Editor'!$B:$B,'Move Editor'!$D:$D,""),pow,XLOOKUP($D920,'Move Editor'!$B:$B,'Move Editor'!$E:$E,0),acc,XLOOKUP($D920,'Move Editor'!$B:$B,'Move Editor'!$F:$F,100),atk,IF(cat="Physical",FLOOR((FLOOR(((2*XLOOKUP(XLOOKUP($Q920,'Threshold Summary'!$Y:$Y,'Threshold Summary'!$K:$K,""),'Pokemon Editor'!$A:$A,'Pokemon Editor'!$F:$F,0)+31+FLOOR(XLOOKUP($Q920,'Threshold Summary'!$Y:$Y,'Threshold Summary'!$P:$P,"")/4))*XLOOKUP($Q920,'Threshold Summary'!$Y:$Y,'Threshold Summary'!$L:$L,""))/100)+5)*XLOOKUP(XLOOKUP($Q920,'Threshold Summary'!$Y:$Y,'Threshold Summary'!$M:$M,""),'Nature Editor'!$A:$A,'Nature Editor'!$B:$B,1)),FLOOR((FLOOR(((2*XLOOKUP(XLOOKUP($Q920,'Threshold Summary'!$Y:$Y,'Threshold Summary'!$K:$K,""),'Pokemon Editor'!$A:$A,'Pokemon Editor'!$H:$H,0)+31+FLOOR(XLOOKUP($Q920,'Threshold Summary'!$Y:$Y,'Threshold Summary'!$R:$R,"")/4))*XLOOKUP($Q920,'Threshold Summary'!$Y:$Y,'Threshold Summary'!$L:$L,""))/100)+5)*XLOOKUP(XLOOKUP($Q920,'Threshold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Editor'!$E:$E,1))),stab,IF(OR(mtype=XLOOKUP(XLOOKUP($Q920,'Threshold Summary'!$Y:$Y,'Threshold Summary'!$K:$K,""),'Pokemon Editor'!$A:$A,'Pokemon Editor'!$C:$C,""),mtype=XLOOKUP(XLOOKUP($Q920,'Threshold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Chart'!$B$1:$S$1,0)))),base,IF(OR(cat="Status",pow=0),0,FLOOR(FLOOR(FLOOR((2*XLOOKUP($Q920,'Threshold Summary'!$Y:$Y,'Threshold Summary'!$L:$L,"")/5+2)*pow*atk/def)/50)+2)),modifier,stab*eff,AVERAGE(ARRAYFORMULA(FLOOR(base*modifier*SEQUENCE(16,1,85,1)/100)))/(FLOOR(((2*XLOOKUP('Boss Editor'!$C$4,'Pokemon Editor'!$A:$A,'Pokemon Editor'!$E:$E,0)+31+FLOOR('Boss Editor'!$G$4/4))*'Boss Editor'!$D$4)/100)+'Boss Editor'!$D$4+10)),0)</f>
        <v/>
      </c>
      <c r="O920" s="3">
        <f>IF(N920&gt;=1,"OHKO",IF(N920&gt;=0.5,"2HKO",IF(N920&gt;=0.333,"3HKO",IF(N920&gt;=0.25,"4HKO","5HKO+"))))</f>
        <v/>
      </c>
      <c r="P920" s="3" t="inlineStr">
        <is>
          <t>Live from editable databases</t>
        </is>
      </c>
      <c r="Q920" s="3" t="inlineStr">
        <is>
          <t>SPECIES_TANDEMAUS</t>
        </is>
      </c>
      <c r="R920" s="3" t="n">
        <v>23</v>
      </c>
    </row>
    <row r="921">
      <c r="A921" s="3">
        <f>XLOOKUP($Q921,'Threshold Summary'!$Y:$Y,'Threshold Summary'!$A:$A,"")</f>
        <v/>
      </c>
      <c r="B921" s="3">
        <f>XLOOKUP($Q921,'Threshold Summary'!$Y:$Y,'Threshold Summary'!$M:$M,"")</f>
        <v/>
      </c>
      <c r="C921" s="3">
        <f>XLOOKUP($Q921,'Threshold Summary'!$Y:$Y,'Threshold Summary'!$N:$N,"")</f>
        <v/>
      </c>
      <c r="D921" s="3">
        <f>IFERROR(INDEX(FILTER('Learnset Editor'!$D$2:$D,'Learnset Editor'!$A$2:$A=XLOOKUP($Q921,'Threshold Summary'!$Y:$Y,'Threshold Summary'!$K:$K,""),'Learnset Editor'!$C$2:$C&lt;=XLOOKUP($Q921,'Threshold Summary'!$Y:$Y,'Threshold Summary'!$L:$L,"")),$R921),"")</f>
        <v/>
      </c>
      <c r="E921" s="3">
        <f>XLOOKUP(D921,'Move Editor'!$B:$B,'Move Editor'!$C:$C,"")</f>
        <v/>
      </c>
      <c r="F921" s="3">
        <f>XLOOKUP(D921,'Move Editor'!$B:$B,'Move Editor'!$D:$D,"")</f>
        <v/>
      </c>
      <c r="G921" s="3">
        <f>XLOOKUP(D921,'Move Editor'!$B:$B,'Move Editor'!$E:$E,0)</f>
        <v/>
      </c>
      <c r="H921" s="3">
        <f>XLOOKUP(D921,'Move Editor'!$B:$B,'Move Editor'!$F:$F,0)</f>
        <v/>
      </c>
      <c r="I921" s="3">
        <f>(INDEX('Type Chart'!$B:$S,MATCH(E921,'Type Chart'!$A:$A,0),MATCH(XLOOKUP('Boss Editor'!$C$4,'Pokemon Editor'!$A:$A,'Pokemon Editor'!$C:$C,""),'Type Chart'!$B$1:$S$1,0))*IF(XLOOKUP('Boss Editor'!$C$4,'Pokemon Editor'!$A:$A,'Pokemon Editor'!$D:$D,"")="",1,INDEX('Type Chart'!$B:$S,MATCH(E921,'Type Chart'!$A:$A,0),MATCH(XLOOKUP('Boss Editor'!$C$4,'Pokemon Editor'!$A:$A,'Pokemon Editor'!$D:$D,""),'Type Chart'!$B$1:$S$1,0))))</f>
        <v/>
      </c>
      <c r="J921" s="3">
        <f>IFERROR(LET(mtype,XLOOKUP($D921,'Move Editor'!$B:$B,'Move Editor'!$C:$C,""),cat,XLOOKUP($D921,'Move Editor'!$B:$B,'Move Editor'!$D:$D,""),pow,XLOOKUP($D921,'Move Editor'!$B:$B,'Move Editor'!$E:$E,0),acc,XLOOKUP($D921,'Move Editor'!$B:$B,'Move Editor'!$F:$F,100),atk,IF(cat="Physical",FLOOR((FLOOR(((2*XLOOKUP(XLOOKUP($Q921,'Threshold Summary'!$Y:$Y,'Threshold Summary'!$K:$K,""),'Pokemon Editor'!$A:$A,'Pokemon Editor'!$F:$F,0)+31+FLOOR(XLOOKUP($Q921,'Threshold Summary'!$Y:$Y,'Threshold Summary'!$P:$P,"")/4))*XLOOKUP($Q921,'Threshold Summary'!$Y:$Y,'Threshold Summary'!$L:$L,""))/100)+5)*XLOOKUP(XLOOKUP($Q921,'Threshold Summary'!$Y:$Y,'Threshold Summary'!$M:$M,""),'Nature Editor'!$A:$A,'Nature Editor'!$B:$B,1)),FLOOR((FLOOR(((2*XLOOKUP(XLOOKUP($Q921,'Threshold Summary'!$Y:$Y,'Threshold Summary'!$K:$K,""),'Pokemon Editor'!$A:$A,'Pokemon Editor'!$H:$H,0)+31+FLOOR(XLOOKUP($Q921,'Threshold Summary'!$Y:$Y,'Threshold Summary'!$R:$R,"")/4))*XLOOKUP($Q921,'Threshold Summary'!$Y:$Y,'Threshold Summary'!$L:$L,""))/100)+5)*XLOOKUP(XLOOKUP($Q921,'Threshold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Editor'!$E:$E,1))),stab,IF(OR(mtype=XLOOKUP(XLOOKUP($Q921,'Threshold Summary'!$Y:$Y,'Threshold Summary'!$K:$K,""),'Pokemon Editor'!$A:$A,'Pokemon Editor'!$C:$C,""),mtype=XLOOKUP(XLOOKUP($Q921,'Threshold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Chart'!$B$1:$S$1,0)))),base,IF(OR(cat="Status",pow=0),0,FLOOR(FLOOR(FLOOR((2*XLOOKUP($Q921,'Threshold Summary'!$Y:$Y,'Threshold Summary'!$L:$L,"")/5+2)*pow*atk/def)/50)+2)),modifier,stab*eff,FLOOR(base*modifier*0.85)),0)</f>
        <v/>
      </c>
      <c r="K921" s="3">
        <f>IFERROR(LET(mtype,XLOOKUP($D921,'Move Editor'!$B:$B,'Move Editor'!$C:$C,""),cat,XLOOKUP($D921,'Move Editor'!$B:$B,'Move Editor'!$D:$D,""),pow,XLOOKUP($D921,'Move Editor'!$B:$B,'Move Editor'!$E:$E,0),acc,XLOOKUP($D921,'Move Editor'!$B:$B,'Move Editor'!$F:$F,100),atk,IF(cat="Physical",FLOOR((FLOOR(((2*XLOOKUP(XLOOKUP($Q921,'Threshold Summary'!$Y:$Y,'Threshold Summary'!$K:$K,""),'Pokemon Editor'!$A:$A,'Pokemon Editor'!$F:$F,0)+31+FLOOR(XLOOKUP($Q921,'Threshold Summary'!$Y:$Y,'Threshold Summary'!$P:$P,"")/4))*XLOOKUP($Q921,'Threshold Summary'!$Y:$Y,'Threshold Summary'!$L:$L,""))/100)+5)*XLOOKUP(XLOOKUP($Q921,'Threshold Summary'!$Y:$Y,'Threshold Summary'!$M:$M,""),'Nature Editor'!$A:$A,'Nature Editor'!$B:$B,1)),FLOOR((FLOOR(((2*XLOOKUP(XLOOKUP($Q921,'Threshold Summary'!$Y:$Y,'Threshold Summary'!$K:$K,""),'Pokemon Editor'!$A:$A,'Pokemon Editor'!$H:$H,0)+31+FLOOR(XLOOKUP($Q921,'Threshold Summary'!$Y:$Y,'Threshold Summary'!$R:$R,"")/4))*XLOOKUP($Q921,'Threshold Summary'!$Y:$Y,'Threshold Summary'!$L:$L,""))/100)+5)*XLOOKUP(XLOOKUP($Q921,'Threshold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Editor'!$E:$E,1))),stab,IF(OR(mtype=XLOOKUP(XLOOKUP($Q921,'Threshold Summary'!$Y:$Y,'Threshold Summary'!$K:$K,""),'Pokemon Editor'!$A:$A,'Pokemon Editor'!$C:$C,""),mtype=XLOOKUP(XLOOKUP($Q921,'Threshold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Chart'!$B$1:$S$1,0)))),base,IF(OR(cat="Status",pow=0),0,FLOOR(FLOOR(FLOOR((2*XLOOKUP($Q921,'Threshold Summary'!$Y:$Y,'Threshold Summary'!$L:$L,"")/5+2)*pow*atk/def)/50)+2)),modifier,stab*eff,FLOOR(base*modifier)),0)</f>
        <v/>
      </c>
      <c r="L921" s="3">
        <f>IFERROR(LET(mtype,XLOOKUP($D921,'Move Editor'!$B:$B,'Move Editor'!$C:$C,""),cat,XLOOKUP($D921,'Move Editor'!$B:$B,'Move Editor'!$D:$D,""),pow,XLOOKUP($D921,'Move Editor'!$B:$B,'Move Editor'!$E:$E,0),acc,XLOOKUP($D921,'Move Editor'!$B:$B,'Move Editor'!$F:$F,100),atk,IF(cat="Physical",FLOOR((FLOOR(((2*XLOOKUP(XLOOKUP($Q921,'Threshold Summary'!$Y:$Y,'Threshold Summary'!$K:$K,""),'Pokemon Editor'!$A:$A,'Pokemon Editor'!$F:$F,0)+31+FLOOR(XLOOKUP($Q921,'Threshold Summary'!$Y:$Y,'Threshold Summary'!$P:$P,"")/4))*XLOOKUP($Q921,'Threshold Summary'!$Y:$Y,'Threshold Summary'!$L:$L,""))/100)+5)*XLOOKUP(XLOOKUP($Q921,'Threshold Summary'!$Y:$Y,'Threshold Summary'!$M:$M,""),'Nature Editor'!$A:$A,'Nature Editor'!$B:$B,1)),FLOOR((FLOOR(((2*XLOOKUP(XLOOKUP($Q921,'Threshold Summary'!$Y:$Y,'Threshold Summary'!$K:$K,""),'Pokemon Editor'!$A:$A,'Pokemon Editor'!$H:$H,0)+31+FLOOR(XLOOKUP($Q921,'Threshold Summary'!$Y:$Y,'Threshold Summary'!$R:$R,"")/4))*XLOOKUP($Q921,'Threshold Summary'!$Y:$Y,'Threshold Summary'!$L:$L,""))/100)+5)*XLOOKUP(XLOOKUP($Q921,'Threshold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Editor'!$E:$E,1))),stab,IF(OR(mtype=XLOOKUP(XLOOKUP($Q921,'Threshold Summary'!$Y:$Y,'Threshold Summary'!$K:$K,""),'Pokemon Editor'!$A:$A,'Pokemon Editor'!$C:$C,""),mtype=XLOOKUP(XLOOKUP($Q921,'Threshold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Chart'!$B$1:$S$1,0)))),base,IF(OR(cat="Status",pow=0),0,FLOOR(FLOOR(FLOOR((2*XLOOKUP($Q921,'Threshold Summary'!$Y:$Y,'Threshold Summary'!$L:$L,"")/5+2)*pow*atk/def)/50)+2)),modifier,stab*eff,AVERAGE(ARRAYFORMULA(FLOOR(base*modifier*SEQUENCE(16,1,85,1)/100)))),0)</f>
        <v/>
      </c>
      <c r="M921" s="3">
        <f>IFERROR(LET(mtype,XLOOKUP($D921,'Move Editor'!$B:$B,'Move Editor'!$C:$C,""),cat,XLOOKUP($D921,'Move Editor'!$B:$B,'Move Editor'!$D:$D,""),pow,XLOOKUP($D921,'Move Editor'!$B:$B,'Move Editor'!$E:$E,0),acc,XLOOKUP($D921,'Move Editor'!$B:$B,'Move Editor'!$F:$F,100),atk,IF(cat="Physical",FLOOR((FLOOR(((2*XLOOKUP(XLOOKUP($Q921,'Threshold Summary'!$Y:$Y,'Threshold Summary'!$K:$K,""),'Pokemon Editor'!$A:$A,'Pokemon Editor'!$F:$F,0)+31+FLOOR(XLOOKUP($Q921,'Threshold Summary'!$Y:$Y,'Threshold Summary'!$P:$P,"")/4))*XLOOKUP($Q921,'Threshold Summary'!$Y:$Y,'Threshold Summary'!$L:$L,""))/100)+5)*XLOOKUP(XLOOKUP($Q921,'Threshold Summary'!$Y:$Y,'Threshold Summary'!$M:$M,""),'Nature Editor'!$A:$A,'Nature Editor'!$B:$B,1)),FLOOR((FLOOR(((2*XLOOKUP(XLOOKUP($Q921,'Threshold Summary'!$Y:$Y,'Threshold Summary'!$K:$K,""),'Pokemon Editor'!$A:$A,'Pokemon Editor'!$H:$H,0)+31+FLOOR(XLOOKUP($Q921,'Threshold Summary'!$Y:$Y,'Threshold Summary'!$R:$R,"")/4))*XLOOKUP($Q921,'Threshold Summary'!$Y:$Y,'Threshold Summary'!$L:$L,""))/100)+5)*XLOOKUP(XLOOKUP($Q921,'Threshold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Editor'!$E:$E,1))),stab,IF(OR(mtype=XLOOKUP(XLOOKUP($Q921,'Threshold Summary'!$Y:$Y,'Threshold Summary'!$K:$K,""),'Pokemon Editor'!$A:$A,'Pokemon Editor'!$C:$C,""),mtype=XLOOKUP(XLOOKUP($Q921,'Threshold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Chart'!$B$1:$S$1,0)))),base,IF(OR(cat="Status",pow=0),0,FLOOR(FLOOR(FLOOR((2*XLOOKUP($Q921,'Threshold Summary'!$Y:$Y,'Threshold Summary'!$L:$L,"")/5+2)*pow*atk/def)/50)+2)),modifier,stab*eff,AVERAGE(ARRAYFORMULA(FLOOR(base*modifier*SEQUENCE(16,1,85,1)/100)))*MIN(1,acc/100)),0)</f>
        <v/>
      </c>
      <c r="N921" s="4">
        <f>IFERROR(LET(mtype,XLOOKUP($D921,'Move Editor'!$B:$B,'Move Editor'!$C:$C,""),cat,XLOOKUP($D921,'Move Editor'!$B:$B,'Move Editor'!$D:$D,""),pow,XLOOKUP($D921,'Move Editor'!$B:$B,'Move Editor'!$E:$E,0),acc,XLOOKUP($D921,'Move Editor'!$B:$B,'Move Editor'!$F:$F,100),atk,IF(cat="Physical",FLOOR((FLOOR(((2*XLOOKUP(XLOOKUP($Q921,'Threshold Summary'!$Y:$Y,'Threshold Summary'!$K:$K,""),'Pokemon Editor'!$A:$A,'Pokemon Editor'!$F:$F,0)+31+FLOOR(XLOOKUP($Q921,'Threshold Summary'!$Y:$Y,'Threshold Summary'!$P:$P,"")/4))*XLOOKUP($Q921,'Threshold Summary'!$Y:$Y,'Threshold Summary'!$L:$L,""))/100)+5)*XLOOKUP(XLOOKUP($Q921,'Threshold Summary'!$Y:$Y,'Threshold Summary'!$M:$M,""),'Nature Editor'!$A:$A,'Nature Editor'!$B:$B,1)),FLOOR((FLOOR(((2*XLOOKUP(XLOOKUP($Q921,'Threshold Summary'!$Y:$Y,'Threshold Summary'!$K:$K,""),'Pokemon Editor'!$A:$A,'Pokemon Editor'!$H:$H,0)+31+FLOOR(XLOOKUP($Q921,'Threshold Summary'!$Y:$Y,'Threshold Summary'!$R:$R,"")/4))*XLOOKUP($Q921,'Threshold Summary'!$Y:$Y,'Threshold Summary'!$L:$L,""))/100)+5)*XLOOKUP(XLOOKUP($Q921,'Threshold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Editor'!$E:$E,1))),stab,IF(OR(mtype=XLOOKUP(XLOOKUP($Q921,'Threshold Summary'!$Y:$Y,'Threshold Summary'!$K:$K,""),'Pokemon Editor'!$A:$A,'Pokemon Editor'!$C:$C,""),mtype=XLOOKUP(XLOOKUP($Q921,'Threshold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Chart'!$B$1:$S$1,0)))),base,IF(OR(cat="Status",pow=0),0,FLOOR(FLOOR(FLOOR((2*XLOOKUP($Q921,'Threshold Summary'!$Y:$Y,'Threshold Summary'!$L:$L,"")/5+2)*pow*atk/def)/50)+2)),modifier,stab*eff,AVERAGE(ARRAYFORMULA(FLOOR(base*modifier*SEQUENCE(16,1,85,1)/100)))/(FLOOR(((2*XLOOKUP('Boss Editor'!$C$4,'Pokemon Editor'!$A:$A,'Pokemon Editor'!$E:$E,0)+31+FLOOR('Boss Editor'!$G$4/4))*'Boss Editor'!$D$4)/100)+'Boss Editor'!$D$4+10)),0)</f>
        <v/>
      </c>
      <c r="O921" s="3">
        <f>IF(N921&gt;=1,"OHKO",IF(N921&gt;=0.5,"2HKO",IF(N921&gt;=0.333,"3HKO",IF(N921&gt;=0.25,"4HKO","5HKO+"))))</f>
        <v/>
      </c>
      <c r="P921" s="3" t="inlineStr">
        <is>
          <t>Live from editable databases</t>
        </is>
      </c>
      <c r="Q921" s="3" t="inlineStr">
        <is>
          <t>SPECIES_TANDEMAUS</t>
        </is>
      </c>
      <c r="R921" s="3" t="n">
        <v>24</v>
      </c>
    </row>
    <row r="922">
      <c r="A922" s="3">
        <f>XLOOKUP($Q922,'Threshold Summary'!$Y:$Y,'Threshold Summary'!$A:$A,"")</f>
        <v/>
      </c>
      <c r="B922" s="3">
        <f>XLOOKUP($Q922,'Threshold Summary'!$Y:$Y,'Threshold Summary'!$M:$M,"")</f>
        <v/>
      </c>
      <c r="C922" s="3">
        <f>XLOOKUP($Q922,'Threshold Summary'!$Y:$Y,'Threshold Summary'!$N:$N,"")</f>
        <v/>
      </c>
      <c r="D922" s="3">
        <f>IFERROR(INDEX(FILTER('Learnset Editor'!$D$2:$D,'Learnset Editor'!$A$2:$A=XLOOKUP($Q922,'Threshold Summary'!$Y:$Y,'Threshold Summary'!$K:$K,""),'Learnset Editor'!$C$2:$C&lt;=XLOOKUP($Q922,'Threshold Summary'!$Y:$Y,'Threshold Summary'!$L:$L,"")),$R922),"")</f>
        <v/>
      </c>
      <c r="E922" s="3">
        <f>XLOOKUP(D922,'Move Editor'!$B:$B,'Move Editor'!$C:$C,"")</f>
        <v/>
      </c>
      <c r="F922" s="3">
        <f>XLOOKUP(D922,'Move Editor'!$B:$B,'Move Editor'!$D:$D,"")</f>
        <v/>
      </c>
      <c r="G922" s="3">
        <f>XLOOKUP(D922,'Move Editor'!$B:$B,'Move Editor'!$E:$E,0)</f>
        <v/>
      </c>
      <c r="H922" s="3">
        <f>XLOOKUP(D922,'Move Editor'!$B:$B,'Move Editor'!$F:$F,0)</f>
        <v/>
      </c>
      <c r="I922" s="3">
        <f>(INDEX('Type Chart'!$B:$S,MATCH(E922,'Type Chart'!$A:$A,0),MATCH(XLOOKUP('Boss Editor'!$C$4,'Pokemon Editor'!$A:$A,'Pokemon Editor'!$C:$C,""),'Type Chart'!$B$1:$S$1,0))*IF(XLOOKUP('Boss Editor'!$C$4,'Pokemon Editor'!$A:$A,'Pokemon Editor'!$D:$D,"")="",1,INDEX('Type Chart'!$B:$S,MATCH(E922,'Type Chart'!$A:$A,0),MATCH(XLOOKUP('Boss Editor'!$C$4,'Pokemon Editor'!$A:$A,'Pokemon Editor'!$D:$D,""),'Type Chart'!$B$1:$S$1,0))))</f>
        <v/>
      </c>
      <c r="J922" s="3">
        <f>IFERROR(LET(mtype,XLOOKUP($D922,'Move Editor'!$B:$B,'Move Editor'!$C:$C,""),cat,XLOOKUP($D922,'Move Editor'!$B:$B,'Move Editor'!$D:$D,""),pow,XLOOKUP($D922,'Move Editor'!$B:$B,'Move Editor'!$E:$E,0),acc,XLOOKUP($D922,'Move Editor'!$B:$B,'Move Editor'!$F:$F,100),atk,IF(cat="Physical",FLOOR((FLOOR(((2*XLOOKUP(XLOOKUP($Q922,'Threshold Summary'!$Y:$Y,'Threshold Summary'!$K:$K,""),'Pokemon Editor'!$A:$A,'Pokemon Editor'!$F:$F,0)+31+FLOOR(XLOOKUP($Q922,'Threshold Summary'!$Y:$Y,'Threshold Summary'!$P:$P,"")/4))*XLOOKUP($Q922,'Threshold Summary'!$Y:$Y,'Threshold Summary'!$L:$L,""))/100)+5)*XLOOKUP(XLOOKUP($Q922,'Threshold Summary'!$Y:$Y,'Threshold Summary'!$M:$M,""),'Nature Editor'!$A:$A,'Nature Editor'!$B:$B,1)),FLOOR((FLOOR(((2*XLOOKUP(XLOOKUP($Q922,'Threshold Summary'!$Y:$Y,'Threshold Summary'!$K:$K,""),'Pokemon Editor'!$A:$A,'Pokemon Editor'!$H:$H,0)+31+FLOOR(XLOOKUP($Q922,'Threshold Summary'!$Y:$Y,'Threshold Summary'!$R:$R,"")/4))*XLOOKUP($Q922,'Threshold Summary'!$Y:$Y,'Threshold Summary'!$L:$L,""))/100)+5)*XLOOKUP(XLOOKUP($Q922,'Threshold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Editor'!$E:$E,1))),stab,IF(OR(mtype=XLOOKUP(XLOOKUP($Q922,'Threshold Summary'!$Y:$Y,'Threshold Summary'!$K:$K,""),'Pokemon Editor'!$A:$A,'Pokemon Editor'!$C:$C,""),mtype=XLOOKUP(XLOOKUP($Q922,'Threshold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Chart'!$B$1:$S$1,0)))),base,IF(OR(cat="Status",pow=0),0,FLOOR(FLOOR(FLOOR((2*XLOOKUP($Q922,'Threshold Summary'!$Y:$Y,'Threshold Summary'!$L:$L,"")/5+2)*pow*atk/def)/50)+2)),modifier,stab*eff,FLOOR(base*modifier*0.85)),0)</f>
        <v/>
      </c>
      <c r="K922" s="3">
        <f>IFERROR(LET(mtype,XLOOKUP($D922,'Move Editor'!$B:$B,'Move Editor'!$C:$C,""),cat,XLOOKUP($D922,'Move Editor'!$B:$B,'Move Editor'!$D:$D,""),pow,XLOOKUP($D922,'Move Editor'!$B:$B,'Move Editor'!$E:$E,0),acc,XLOOKUP($D922,'Move Editor'!$B:$B,'Move Editor'!$F:$F,100),atk,IF(cat="Physical",FLOOR((FLOOR(((2*XLOOKUP(XLOOKUP($Q922,'Threshold Summary'!$Y:$Y,'Threshold Summary'!$K:$K,""),'Pokemon Editor'!$A:$A,'Pokemon Editor'!$F:$F,0)+31+FLOOR(XLOOKUP($Q922,'Threshold Summary'!$Y:$Y,'Threshold Summary'!$P:$P,"")/4))*XLOOKUP($Q922,'Threshold Summary'!$Y:$Y,'Threshold Summary'!$L:$L,""))/100)+5)*XLOOKUP(XLOOKUP($Q922,'Threshold Summary'!$Y:$Y,'Threshold Summary'!$M:$M,""),'Nature Editor'!$A:$A,'Nature Editor'!$B:$B,1)),FLOOR((FLOOR(((2*XLOOKUP(XLOOKUP($Q922,'Threshold Summary'!$Y:$Y,'Threshold Summary'!$K:$K,""),'Pokemon Editor'!$A:$A,'Pokemon Editor'!$H:$H,0)+31+FLOOR(XLOOKUP($Q922,'Threshold Summary'!$Y:$Y,'Threshold Summary'!$R:$R,"")/4))*XLOOKUP($Q922,'Threshold Summary'!$Y:$Y,'Threshold Summary'!$L:$L,""))/100)+5)*XLOOKUP(XLOOKUP($Q922,'Threshold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Editor'!$E:$E,1))),stab,IF(OR(mtype=XLOOKUP(XLOOKUP($Q922,'Threshold Summary'!$Y:$Y,'Threshold Summary'!$K:$K,""),'Pokemon Editor'!$A:$A,'Pokemon Editor'!$C:$C,""),mtype=XLOOKUP(XLOOKUP($Q922,'Threshold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Chart'!$B$1:$S$1,0)))),base,IF(OR(cat="Status",pow=0),0,FLOOR(FLOOR(FLOOR((2*XLOOKUP($Q922,'Threshold Summary'!$Y:$Y,'Threshold Summary'!$L:$L,"")/5+2)*pow*atk/def)/50)+2)),modifier,stab*eff,FLOOR(base*modifier)),0)</f>
        <v/>
      </c>
      <c r="L922" s="3">
        <f>IFERROR(LET(mtype,XLOOKUP($D922,'Move Editor'!$B:$B,'Move Editor'!$C:$C,""),cat,XLOOKUP($D922,'Move Editor'!$B:$B,'Move Editor'!$D:$D,""),pow,XLOOKUP($D922,'Move Editor'!$B:$B,'Move Editor'!$E:$E,0),acc,XLOOKUP($D922,'Move Editor'!$B:$B,'Move Editor'!$F:$F,100),atk,IF(cat="Physical",FLOOR((FLOOR(((2*XLOOKUP(XLOOKUP($Q922,'Threshold Summary'!$Y:$Y,'Threshold Summary'!$K:$K,""),'Pokemon Editor'!$A:$A,'Pokemon Editor'!$F:$F,0)+31+FLOOR(XLOOKUP($Q922,'Threshold Summary'!$Y:$Y,'Threshold Summary'!$P:$P,"")/4))*XLOOKUP($Q922,'Threshold Summary'!$Y:$Y,'Threshold Summary'!$L:$L,""))/100)+5)*XLOOKUP(XLOOKUP($Q922,'Threshold Summary'!$Y:$Y,'Threshold Summary'!$M:$M,""),'Nature Editor'!$A:$A,'Nature Editor'!$B:$B,1)),FLOOR((FLOOR(((2*XLOOKUP(XLOOKUP($Q922,'Threshold Summary'!$Y:$Y,'Threshold Summary'!$K:$K,""),'Pokemon Editor'!$A:$A,'Pokemon Editor'!$H:$H,0)+31+FLOOR(XLOOKUP($Q922,'Threshold Summary'!$Y:$Y,'Threshold Summary'!$R:$R,"")/4))*XLOOKUP($Q922,'Threshold Summary'!$Y:$Y,'Threshold Summary'!$L:$L,""))/100)+5)*XLOOKUP(XLOOKUP($Q922,'Threshold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Editor'!$E:$E,1))),stab,IF(OR(mtype=XLOOKUP(XLOOKUP($Q922,'Threshold Summary'!$Y:$Y,'Threshold Summary'!$K:$K,""),'Pokemon Editor'!$A:$A,'Pokemon Editor'!$C:$C,""),mtype=XLOOKUP(XLOOKUP($Q922,'Threshold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Chart'!$B$1:$S$1,0)))),base,IF(OR(cat="Status",pow=0),0,FLOOR(FLOOR(FLOOR((2*XLOOKUP($Q922,'Threshold Summary'!$Y:$Y,'Threshold Summary'!$L:$L,"")/5+2)*pow*atk/def)/50)+2)),modifier,stab*eff,AVERAGE(ARRAYFORMULA(FLOOR(base*modifier*SEQUENCE(16,1,85,1)/100)))),0)</f>
        <v/>
      </c>
      <c r="M922" s="3">
        <f>IFERROR(LET(mtype,XLOOKUP($D922,'Move Editor'!$B:$B,'Move Editor'!$C:$C,""),cat,XLOOKUP($D922,'Move Editor'!$B:$B,'Move Editor'!$D:$D,""),pow,XLOOKUP($D922,'Move Editor'!$B:$B,'Move Editor'!$E:$E,0),acc,XLOOKUP($D922,'Move Editor'!$B:$B,'Move Editor'!$F:$F,100),atk,IF(cat="Physical",FLOOR((FLOOR(((2*XLOOKUP(XLOOKUP($Q922,'Threshold Summary'!$Y:$Y,'Threshold Summary'!$K:$K,""),'Pokemon Editor'!$A:$A,'Pokemon Editor'!$F:$F,0)+31+FLOOR(XLOOKUP($Q922,'Threshold Summary'!$Y:$Y,'Threshold Summary'!$P:$P,"")/4))*XLOOKUP($Q922,'Threshold Summary'!$Y:$Y,'Threshold Summary'!$L:$L,""))/100)+5)*XLOOKUP(XLOOKUP($Q922,'Threshold Summary'!$Y:$Y,'Threshold Summary'!$M:$M,""),'Nature Editor'!$A:$A,'Nature Editor'!$B:$B,1)),FLOOR((FLOOR(((2*XLOOKUP(XLOOKUP($Q922,'Threshold Summary'!$Y:$Y,'Threshold Summary'!$K:$K,""),'Pokemon Editor'!$A:$A,'Pokemon Editor'!$H:$H,0)+31+FLOOR(XLOOKUP($Q922,'Threshold Summary'!$Y:$Y,'Threshold Summary'!$R:$R,"")/4))*XLOOKUP($Q922,'Threshold Summary'!$Y:$Y,'Threshold Summary'!$L:$L,""))/100)+5)*XLOOKUP(XLOOKUP($Q922,'Threshold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Editor'!$E:$E,1))),stab,IF(OR(mtype=XLOOKUP(XLOOKUP($Q922,'Threshold Summary'!$Y:$Y,'Threshold Summary'!$K:$K,""),'Pokemon Editor'!$A:$A,'Pokemon Editor'!$C:$C,""),mtype=XLOOKUP(XLOOKUP($Q922,'Threshold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Chart'!$B$1:$S$1,0)))),base,IF(OR(cat="Status",pow=0),0,FLOOR(FLOOR(FLOOR((2*XLOOKUP($Q922,'Threshold Summary'!$Y:$Y,'Threshold Summary'!$L:$L,"")/5+2)*pow*atk/def)/50)+2)),modifier,stab*eff,AVERAGE(ARRAYFORMULA(FLOOR(base*modifier*SEQUENCE(16,1,85,1)/100)))*MIN(1,acc/100)),0)</f>
        <v/>
      </c>
      <c r="N922" s="4">
        <f>IFERROR(LET(mtype,XLOOKUP($D922,'Move Editor'!$B:$B,'Move Editor'!$C:$C,""),cat,XLOOKUP($D922,'Move Editor'!$B:$B,'Move Editor'!$D:$D,""),pow,XLOOKUP($D922,'Move Editor'!$B:$B,'Move Editor'!$E:$E,0),acc,XLOOKUP($D922,'Move Editor'!$B:$B,'Move Editor'!$F:$F,100),atk,IF(cat="Physical",FLOOR((FLOOR(((2*XLOOKUP(XLOOKUP($Q922,'Threshold Summary'!$Y:$Y,'Threshold Summary'!$K:$K,""),'Pokemon Editor'!$A:$A,'Pokemon Editor'!$F:$F,0)+31+FLOOR(XLOOKUP($Q922,'Threshold Summary'!$Y:$Y,'Threshold Summary'!$P:$P,"")/4))*XLOOKUP($Q922,'Threshold Summary'!$Y:$Y,'Threshold Summary'!$L:$L,""))/100)+5)*XLOOKUP(XLOOKUP($Q922,'Threshold Summary'!$Y:$Y,'Threshold Summary'!$M:$M,""),'Nature Editor'!$A:$A,'Nature Editor'!$B:$B,1)),FLOOR((FLOOR(((2*XLOOKUP(XLOOKUP($Q922,'Threshold Summary'!$Y:$Y,'Threshold Summary'!$K:$K,""),'Pokemon Editor'!$A:$A,'Pokemon Editor'!$H:$H,0)+31+FLOOR(XLOOKUP($Q922,'Threshold Summary'!$Y:$Y,'Threshold Summary'!$R:$R,"")/4))*XLOOKUP($Q922,'Threshold Summary'!$Y:$Y,'Threshold Summary'!$L:$L,""))/100)+5)*XLOOKUP(XLOOKUP($Q922,'Threshold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Editor'!$E:$E,1))),stab,IF(OR(mtype=XLOOKUP(XLOOKUP($Q922,'Threshold Summary'!$Y:$Y,'Threshold Summary'!$K:$K,""),'Pokemon Editor'!$A:$A,'Pokemon Editor'!$C:$C,""),mtype=XLOOKUP(XLOOKUP($Q922,'Threshold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Chart'!$B$1:$S$1,0)))),base,IF(OR(cat="Status",pow=0),0,FLOOR(FLOOR(FLOOR((2*XLOOKUP($Q922,'Threshold Summary'!$Y:$Y,'Threshold Summary'!$L:$L,"")/5+2)*pow*atk/def)/50)+2)),modifier,stab*eff,AVERAGE(ARRAYFORMULA(FLOOR(base*modifier*SEQUENCE(16,1,85,1)/100)))/(FLOOR(((2*XLOOKUP('Boss Editor'!$C$4,'Pokemon Editor'!$A:$A,'Pokemon Editor'!$E:$E,0)+31+FLOOR('Boss Editor'!$G$4/4))*'Boss Editor'!$D$4)/100)+'Boss Editor'!$D$4+10)),0)</f>
        <v/>
      </c>
      <c r="O922" s="3">
        <f>IF(N922&gt;=1,"OHKO",IF(N922&gt;=0.5,"2HKO",IF(N922&gt;=0.333,"3HKO",IF(N922&gt;=0.25,"4HKO","5HKO+"))))</f>
        <v/>
      </c>
      <c r="P922" s="3" t="inlineStr">
        <is>
          <t>Live from editable databases</t>
        </is>
      </c>
      <c r="Q922" s="3" t="inlineStr">
        <is>
          <t>SPECIES_TANDEMAUS</t>
        </is>
      </c>
      <c r="R922" s="3" t="n">
        <v>25</v>
      </c>
    </row>
    <row r="923">
      <c r="A923" s="3">
        <f>XLOOKUP($Q923,'Threshold Summary'!$Y:$Y,'Threshold Summary'!$A:$A,"")</f>
        <v/>
      </c>
      <c r="B923" s="3">
        <f>XLOOKUP($Q923,'Threshold Summary'!$Y:$Y,'Threshold Summary'!$M:$M,"")</f>
        <v/>
      </c>
      <c r="C923" s="3">
        <f>XLOOKUP($Q923,'Threshold Summary'!$Y:$Y,'Threshold Summary'!$N:$N,"")</f>
        <v/>
      </c>
      <c r="D923" s="3">
        <f>IFERROR(INDEX(FILTER('Learnset Editor'!$D$2:$D,'Learnset Editor'!$A$2:$A=XLOOKUP($Q923,'Threshold Summary'!$Y:$Y,'Threshold Summary'!$K:$K,""),'Learnset Editor'!$C$2:$C&lt;=XLOOKUP($Q923,'Threshold Summary'!$Y:$Y,'Threshold Summary'!$L:$L,"")),$R923),"")</f>
        <v/>
      </c>
      <c r="E923" s="3">
        <f>XLOOKUP(D923,'Move Editor'!$B:$B,'Move Editor'!$C:$C,"")</f>
        <v/>
      </c>
      <c r="F923" s="3">
        <f>XLOOKUP(D923,'Move Editor'!$B:$B,'Move Editor'!$D:$D,"")</f>
        <v/>
      </c>
      <c r="G923" s="3">
        <f>XLOOKUP(D923,'Move Editor'!$B:$B,'Move Editor'!$E:$E,0)</f>
        <v/>
      </c>
      <c r="H923" s="3">
        <f>XLOOKUP(D923,'Move Editor'!$B:$B,'Move Editor'!$F:$F,0)</f>
        <v/>
      </c>
      <c r="I923" s="3">
        <f>(INDEX('Type Chart'!$B:$S,MATCH(E923,'Type Chart'!$A:$A,0),MATCH(XLOOKUP('Boss Editor'!$C$4,'Pokemon Editor'!$A:$A,'Pokemon Editor'!$C:$C,""),'Type Chart'!$B$1:$S$1,0))*IF(XLOOKUP('Boss Editor'!$C$4,'Pokemon Editor'!$A:$A,'Pokemon Editor'!$D:$D,"")="",1,INDEX('Type Chart'!$B:$S,MATCH(E923,'Type Chart'!$A:$A,0),MATCH(XLOOKUP('Boss Editor'!$C$4,'Pokemon Editor'!$A:$A,'Pokemon Editor'!$D:$D,""),'Type Chart'!$B$1:$S$1,0))))</f>
        <v/>
      </c>
      <c r="J923" s="3">
        <f>IFERROR(LET(mtype,XLOOKUP($D923,'Move Editor'!$B:$B,'Move Editor'!$C:$C,""),cat,XLOOKUP($D923,'Move Editor'!$B:$B,'Move Editor'!$D:$D,""),pow,XLOOKUP($D923,'Move Editor'!$B:$B,'Move Editor'!$E:$E,0),acc,XLOOKUP($D923,'Move Editor'!$B:$B,'Move Editor'!$F:$F,100),atk,IF(cat="Physical",FLOOR((FLOOR(((2*XLOOKUP(XLOOKUP($Q923,'Threshold Summary'!$Y:$Y,'Threshold Summary'!$K:$K,""),'Pokemon Editor'!$A:$A,'Pokemon Editor'!$F:$F,0)+31+FLOOR(XLOOKUP($Q923,'Threshold Summary'!$Y:$Y,'Threshold Summary'!$P:$P,"")/4))*XLOOKUP($Q923,'Threshold Summary'!$Y:$Y,'Threshold Summary'!$L:$L,""))/100)+5)*XLOOKUP(XLOOKUP($Q923,'Threshold Summary'!$Y:$Y,'Threshold Summary'!$M:$M,""),'Nature Editor'!$A:$A,'Nature Editor'!$B:$B,1)),FLOOR((FLOOR(((2*XLOOKUP(XLOOKUP($Q923,'Threshold Summary'!$Y:$Y,'Threshold Summary'!$K:$K,""),'Pokemon Editor'!$A:$A,'Pokemon Editor'!$H:$H,0)+31+FLOOR(XLOOKUP($Q923,'Threshold Summary'!$Y:$Y,'Threshold Summary'!$R:$R,"")/4))*XLOOKUP($Q923,'Threshold Summary'!$Y:$Y,'Threshold Summary'!$L:$L,""))/100)+5)*XLOOKUP(XLOOKUP($Q923,'Threshold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Editor'!$E:$E,1))),stab,IF(OR(mtype=XLOOKUP(XLOOKUP($Q923,'Threshold Summary'!$Y:$Y,'Threshold Summary'!$K:$K,""),'Pokemon Editor'!$A:$A,'Pokemon Editor'!$C:$C,""),mtype=XLOOKUP(XLOOKUP($Q923,'Threshold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Chart'!$B$1:$S$1,0)))),base,IF(OR(cat="Status",pow=0),0,FLOOR(FLOOR(FLOOR((2*XLOOKUP($Q923,'Threshold Summary'!$Y:$Y,'Threshold Summary'!$L:$L,"")/5+2)*pow*atk/def)/50)+2)),modifier,stab*eff,FLOOR(base*modifier*0.85)),0)</f>
        <v/>
      </c>
      <c r="K923" s="3">
        <f>IFERROR(LET(mtype,XLOOKUP($D923,'Move Editor'!$B:$B,'Move Editor'!$C:$C,""),cat,XLOOKUP($D923,'Move Editor'!$B:$B,'Move Editor'!$D:$D,""),pow,XLOOKUP($D923,'Move Editor'!$B:$B,'Move Editor'!$E:$E,0),acc,XLOOKUP($D923,'Move Editor'!$B:$B,'Move Editor'!$F:$F,100),atk,IF(cat="Physical",FLOOR((FLOOR(((2*XLOOKUP(XLOOKUP($Q923,'Threshold Summary'!$Y:$Y,'Threshold Summary'!$K:$K,""),'Pokemon Editor'!$A:$A,'Pokemon Editor'!$F:$F,0)+31+FLOOR(XLOOKUP($Q923,'Threshold Summary'!$Y:$Y,'Threshold Summary'!$P:$P,"")/4))*XLOOKUP($Q923,'Threshold Summary'!$Y:$Y,'Threshold Summary'!$L:$L,""))/100)+5)*XLOOKUP(XLOOKUP($Q923,'Threshold Summary'!$Y:$Y,'Threshold Summary'!$M:$M,""),'Nature Editor'!$A:$A,'Nature Editor'!$B:$B,1)),FLOOR((FLOOR(((2*XLOOKUP(XLOOKUP($Q923,'Threshold Summary'!$Y:$Y,'Threshold Summary'!$K:$K,""),'Pokemon Editor'!$A:$A,'Pokemon Editor'!$H:$H,0)+31+FLOOR(XLOOKUP($Q923,'Threshold Summary'!$Y:$Y,'Threshold Summary'!$R:$R,"")/4))*XLOOKUP($Q923,'Threshold Summary'!$Y:$Y,'Threshold Summary'!$L:$L,""))/100)+5)*XLOOKUP(XLOOKUP($Q923,'Threshold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Editor'!$E:$E,1))),stab,IF(OR(mtype=XLOOKUP(XLOOKUP($Q923,'Threshold Summary'!$Y:$Y,'Threshold Summary'!$K:$K,""),'Pokemon Editor'!$A:$A,'Pokemon Editor'!$C:$C,""),mtype=XLOOKUP(XLOOKUP($Q923,'Threshold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Chart'!$B$1:$S$1,0)))),base,IF(OR(cat="Status",pow=0),0,FLOOR(FLOOR(FLOOR((2*XLOOKUP($Q923,'Threshold Summary'!$Y:$Y,'Threshold Summary'!$L:$L,"")/5+2)*pow*atk/def)/50)+2)),modifier,stab*eff,FLOOR(base*modifier)),0)</f>
        <v/>
      </c>
      <c r="L923" s="3">
        <f>IFERROR(LET(mtype,XLOOKUP($D923,'Move Editor'!$B:$B,'Move Editor'!$C:$C,""),cat,XLOOKUP($D923,'Move Editor'!$B:$B,'Move Editor'!$D:$D,""),pow,XLOOKUP($D923,'Move Editor'!$B:$B,'Move Editor'!$E:$E,0),acc,XLOOKUP($D923,'Move Editor'!$B:$B,'Move Editor'!$F:$F,100),atk,IF(cat="Physical",FLOOR((FLOOR(((2*XLOOKUP(XLOOKUP($Q923,'Threshold Summary'!$Y:$Y,'Threshold Summary'!$K:$K,""),'Pokemon Editor'!$A:$A,'Pokemon Editor'!$F:$F,0)+31+FLOOR(XLOOKUP($Q923,'Threshold Summary'!$Y:$Y,'Threshold Summary'!$P:$P,"")/4))*XLOOKUP($Q923,'Threshold Summary'!$Y:$Y,'Threshold Summary'!$L:$L,""))/100)+5)*XLOOKUP(XLOOKUP($Q923,'Threshold Summary'!$Y:$Y,'Threshold Summary'!$M:$M,""),'Nature Editor'!$A:$A,'Nature Editor'!$B:$B,1)),FLOOR((FLOOR(((2*XLOOKUP(XLOOKUP($Q923,'Threshold Summary'!$Y:$Y,'Threshold Summary'!$K:$K,""),'Pokemon Editor'!$A:$A,'Pokemon Editor'!$H:$H,0)+31+FLOOR(XLOOKUP($Q923,'Threshold Summary'!$Y:$Y,'Threshold Summary'!$R:$R,"")/4))*XLOOKUP($Q923,'Threshold Summary'!$Y:$Y,'Threshold Summary'!$L:$L,""))/100)+5)*XLOOKUP(XLOOKUP($Q923,'Threshold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Editor'!$E:$E,1))),stab,IF(OR(mtype=XLOOKUP(XLOOKUP($Q923,'Threshold Summary'!$Y:$Y,'Threshold Summary'!$K:$K,""),'Pokemon Editor'!$A:$A,'Pokemon Editor'!$C:$C,""),mtype=XLOOKUP(XLOOKUP($Q923,'Threshold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Chart'!$B$1:$S$1,0)))),base,IF(OR(cat="Status",pow=0),0,FLOOR(FLOOR(FLOOR((2*XLOOKUP($Q923,'Threshold Summary'!$Y:$Y,'Threshold Summary'!$L:$L,"")/5+2)*pow*atk/def)/50)+2)),modifier,stab*eff,AVERAGE(ARRAYFORMULA(FLOOR(base*modifier*SEQUENCE(16,1,85,1)/100)))),0)</f>
        <v/>
      </c>
      <c r="M923" s="3">
        <f>IFERROR(LET(mtype,XLOOKUP($D923,'Move Editor'!$B:$B,'Move Editor'!$C:$C,""),cat,XLOOKUP($D923,'Move Editor'!$B:$B,'Move Editor'!$D:$D,""),pow,XLOOKUP($D923,'Move Editor'!$B:$B,'Move Editor'!$E:$E,0),acc,XLOOKUP($D923,'Move Editor'!$B:$B,'Move Editor'!$F:$F,100),atk,IF(cat="Physical",FLOOR((FLOOR(((2*XLOOKUP(XLOOKUP($Q923,'Threshold Summary'!$Y:$Y,'Threshold Summary'!$K:$K,""),'Pokemon Editor'!$A:$A,'Pokemon Editor'!$F:$F,0)+31+FLOOR(XLOOKUP($Q923,'Threshold Summary'!$Y:$Y,'Threshold Summary'!$P:$P,"")/4))*XLOOKUP($Q923,'Threshold Summary'!$Y:$Y,'Threshold Summary'!$L:$L,""))/100)+5)*XLOOKUP(XLOOKUP($Q923,'Threshold Summary'!$Y:$Y,'Threshold Summary'!$M:$M,""),'Nature Editor'!$A:$A,'Nature Editor'!$B:$B,1)),FLOOR((FLOOR(((2*XLOOKUP(XLOOKUP($Q923,'Threshold Summary'!$Y:$Y,'Threshold Summary'!$K:$K,""),'Pokemon Editor'!$A:$A,'Pokemon Editor'!$H:$H,0)+31+FLOOR(XLOOKUP($Q923,'Threshold Summary'!$Y:$Y,'Threshold Summary'!$R:$R,"")/4))*XLOOKUP($Q923,'Threshold Summary'!$Y:$Y,'Threshold Summary'!$L:$L,""))/100)+5)*XLOOKUP(XLOOKUP($Q923,'Threshold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Editor'!$E:$E,1))),stab,IF(OR(mtype=XLOOKUP(XLOOKUP($Q923,'Threshold Summary'!$Y:$Y,'Threshold Summary'!$K:$K,""),'Pokemon Editor'!$A:$A,'Pokemon Editor'!$C:$C,""),mtype=XLOOKUP(XLOOKUP($Q923,'Threshold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Chart'!$B$1:$S$1,0)))),base,IF(OR(cat="Status",pow=0),0,FLOOR(FLOOR(FLOOR((2*XLOOKUP($Q923,'Threshold Summary'!$Y:$Y,'Threshold Summary'!$L:$L,"")/5+2)*pow*atk/def)/50)+2)),modifier,stab*eff,AVERAGE(ARRAYFORMULA(FLOOR(base*modifier*SEQUENCE(16,1,85,1)/100)))*MIN(1,acc/100)),0)</f>
        <v/>
      </c>
      <c r="N923" s="4">
        <f>IFERROR(LET(mtype,XLOOKUP($D923,'Move Editor'!$B:$B,'Move Editor'!$C:$C,""),cat,XLOOKUP($D923,'Move Editor'!$B:$B,'Move Editor'!$D:$D,""),pow,XLOOKUP($D923,'Move Editor'!$B:$B,'Move Editor'!$E:$E,0),acc,XLOOKUP($D923,'Move Editor'!$B:$B,'Move Editor'!$F:$F,100),atk,IF(cat="Physical",FLOOR((FLOOR(((2*XLOOKUP(XLOOKUP($Q923,'Threshold Summary'!$Y:$Y,'Threshold Summary'!$K:$K,""),'Pokemon Editor'!$A:$A,'Pokemon Editor'!$F:$F,0)+31+FLOOR(XLOOKUP($Q923,'Threshold Summary'!$Y:$Y,'Threshold Summary'!$P:$P,"")/4))*XLOOKUP($Q923,'Threshold Summary'!$Y:$Y,'Threshold Summary'!$L:$L,""))/100)+5)*XLOOKUP(XLOOKUP($Q923,'Threshold Summary'!$Y:$Y,'Threshold Summary'!$M:$M,""),'Nature Editor'!$A:$A,'Nature Editor'!$B:$B,1)),FLOOR((FLOOR(((2*XLOOKUP(XLOOKUP($Q923,'Threshold Summary'!$Y:$Y,'Threshold Summary'!$K:$K,""),'Pokemon Editor'!$A:$A,'Pokemon Editor'!$H:$H,0)+31+FLOOR(XLOOKUP($Q923,'Threshold Summary'!$Y:$Y,'Threshold Summary'!$R:$R,"")/4))*XLOOKUP($Q923,'Threshold Summary'!$Y:$Y,'Threshold Summary'!$L:$L,""))/100)+5)*XLOOKUP(XLOOKUP($Q923,'Threshold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Editor'!$E:$E,1))),stab,IF(OR(mtype=XLOOKUP(XLOOKUP($Q923,'Threshold Summary'!$Y:$Y,'Threshold Summary'!$K:$K,""),'Pokemon Editor'!$A:$A,'Pokemon Editor'!$C:$C,""),mtype=XLOOKUP(XLOOKUP($Q923,'Threshold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Chart'!$B$1:$S$1,0)))),base,IF(OR(cat="Status",pow=0),0,FLOOR(FLOOR(FLOOR((2*XLOOKUP($Q923,'Threshold Summary'!$Y:$Y,'Threshold Summary'!$L:$L,"")/5+2)*pow*atk/def)/50)+2)),modifier,stab*eff,AVERAGE(ARRAYFORMULA(FLOOR(base*modifier*SEQUENCE(16,1,85,1)/100)))/(FLOOR(((2*XLOOKUP('Boss Editor'!$C$4,'Pokemon Editor'!$A:$A,'Pokemon Editor'!$E:$E,0)+31+FLOOR('Boss Editor'!$G$4/4))*'Boss Editor'!$D$4)/100)+'Boss Editor'!$D$4+10)),0)</f>
        <v/>
      </c>
      <c r="O923" s="3">
        <f>IF(N923&gt;=1,"OHKO",IF(N923&gt;=0.5,"2HKO",IF(N923&gt;=0.333,"3HKO",IF(N923&gt;=0.25,"4HKO","5HKO+"))))</f>
        <v/>
      </c>
      <c r="P923" s="3" t="inlineStr">
        <is>
          <t>Live from editable databases</t>
        </is>
      </c>
      <c r="Q923" s="3" t="inlineStr">
        <is>
          <t>SPECIES_TANDEMAUS</t>
        </is>
      </c>
      <c r="R923" s="3" t="n">
        <v>26</v>
      </c>
    </row>
    <row r="924">
      <c r="A924" s="3">
        <f>XLOOKUP($Q924,'Threshold Summary'!$Y:$Y,'Threshold Summary'!$A:$A,"")</f>
        <v/>
      </c>
      <c r="B924" s="3">
        <f>XLOOKUP($Q924,'Threshold Summary'!$Y:$Y,'Threshold Summary'!$M:$M,"")</f>
        <v/>
      </c>
      <c r="C924" s="3">
        <f>XLOOKUP($Q924,'Threshold Summary'!$Y:$Y,'Threshold Summary'!$N:$N,"")</f>
        <v/>
      </c>
      <c r="D924" s="3">
        <f>IFERROR(INDEX(FILTER('Learnset Editor'!$D$2:$D,'Learnset Editor'!$A$2:$A=XLOOKUP($Q924,'Threshold Summary'!$Y:$Y,'Threshold Summary'!$K:$K,""),'Learnset Editor'!$C$2:$C&lt;=XLOOKUP($Q924,'Threshold Summary'!$Y:$Y,'Threshold Summary'!$L:$L,"")),$R924),"")</f>
        <v/>
      </c>
      <c r="E924" s="3">
        <f>XLOOKUP(D924,'Move Editor'!$B:$B,'Move Editor'!$C:$C,"")</f>
        <v/>
      </c>
      <c r="F924" s="3">
        <f>XLOOKUP(D924,'Move Editor'!$B:$B,'Move Editor'!$D:$D,"")</f>
        <v/>
      </c>
      <c r="G924" s="3">
        <f>XLOOKUP(D924,'Move Editor'!$B:$B,'Move Editor'!$E:$E,0)</f>
        <v/>
      </c>
      <c r="H924" s="3">
        <f>XLOOKUP(D924,'Move Editor'!$B:$B,'Move Editor'!$F:$F,0)</f>
        <v/>
      </c>
      <c r="I924" s="3">
        <f>(INDEX('Type Chart'!$B:$S,MATCH(E924,'Type Chart'!$A:$A,0),MATCH(XLOOKUP('Boss Editor'!$C$4,'Pokemon Editor'!$A:$A,'Pokemon Editor'!$C:$C,""),'Type Chart'!$B$1:$S$1,0))*IF(XLOOKUP('Boss Editor'!$C$4,'Pokemon Editor'!$A:$A,'Pokemon Editor'!$D:$D,"")="",1,INDEX('Type Chart'!$B:$S,MATCH(E924,'Type Chart'!$A:$A,0),MATCH(XLOOKUP('Boss Editor'!$C$4,'Pokemon Editor'!$A:$A,'Pokemon Editor'!$D:$D,""),'Type Chart'!$B$1:$S$1,0))))</f>
        <v/>
      </c>
      <c r="J924" s="3">
        <f>IFERROR(LET(mtype,XLOOKUP($D924,'Move Editor'!$B:$B,'Move Editor'!$C:$C,""),cat,XLOOKUP($D924,'Move Editor'!$B:$B,'Move Editor'!$D:$D,""),pow,XLOOKUP($D924,'Move Editor'!$B:$B,'Move Editor'!$E:$E,0),acc,XLOOKUP($D924,'Move Editor'!$B:$B,'Move Editor'!$F:$F,100),atk,IF(cat="Physical",FLOOR((FLOOR(((2*XLOOKUP(XLOOKUP($Q924,'Threshold Summary'!$Y:$Y,'Threshold Summary'!$K:$K,""),'Pokemon Editor'!$A:$A,'Pokemon Editor'!$F:$F,0)+31+FLOOR(XLOOKUP($Q924,'Threshold Summary'!$Y:$Y,'Threshold Summary'!$P:$P,"")/4))*XLOOKUP($Q924,'Threshold Summary'!$Y:$Y,'Threshold Summary'!$L:$L,""))/100)+5)*XLOOKUP(XLOOKUP($Q924,'Threshold Summary'!$Y:$Y,'Threshold Summary'!$M:$M,""),'Nature Editor'!$A:$A,'Nature Editor'!$B:$B,1)),FLOOR((FLOOR(((2*XLOOKUP(XLOOKUP($Q924,'Threshold Summary'!$Y:$Y,'Threshold Summary'!$K:$K,""),'Pokemon Editor'!$A:$A,'Pokemon Editor'!$H:$H,0)+31+FLOOR(XLOOKUP($Q924,'Threshold Summary'!$Y:$Y,'Threshold Summary'!$R:$R,"")/4))*XLOOKUP($Q924,'Threshold Summary'!$Y:$Y,'Threshold Summary'!$L:$L,""))/100)+5)*XLOOKUP(XLOOKUP($Q924,'Threshold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Editor'!$E:$E,1))),stab,IF(OR(mtype=XLOOKUP(XLOOKUP($Q924,'Threshold Summary'!$Y:$Y,'Threshold Summary'!$K:$K,""),'Pokemon Editor'!$A:$A,'Pokemon Editor'!$C:$C,""),mtype=XLOOKUP(XLOOKUP($Q924,'Threshold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Chart'!$B$1:$S$1,0)))),base,IF(OR(cat="Status",pow=0),0,FLOOR(FLOOR(FLOOR((2*XLOOKUP($Q924,'Threshold Summary'!$Y:$Y,'Threshold Summary'!$L:$L,"")/5+2)*pow*atk/def)/50)+2)),modifier,stab*eff,FLOOR(base*modifier*0.85)),0)</f>
        <v/>
      </c>
      <c r="K924" s="3">
        <f>IFERROR(LET(mtype,XLOOKUP($D924,'Move Editor'!$B:$B,'Move Editor'!$C:$C,""),cat,XLOOKUP($D924,'Move Editor'!$B:$B,'Move Editor'!$D:$D,""),pow,XLOOKUP($D924,'Move Editor'!$B:$B,'Move Editor'!$E:$E,0),acc,XLOOKUP($D924,'Move Editor'!$B:$B,'Move Editor'!$F:$F,100),atk,IF(cat="Physical",FLOOR((FLOOR(((2*XLOOKUP(XLOOKUP($Q924,'Threshold Summary'!$Y:$Y,'Threshold Summary'!$K:$K,""),'Pokemon Editor'!$A:$A,'Pokemon Editor'!$F:$F,0)+31+FLOOR(XLOOKUP($Q924,'Threshold Summary'!$Y:$Y,'Threshold Summary'!$P:$P,"")/4))*XLOOKUP($Q924,'Threshold Summary'!$Y:$Y,'Threshold Summary'!$L:$L,""))/100)+5)*XLOOKUP(XLOOKUP($Q924,'Threshold Summary'!$Y:$Y,'Threshold Summary'!$M:$M,""),'Nature Editor'!$A:$A,'Nature Editor'!$B:$B,1)),FLOOR((FLOOR(((2*XLOOKUP(XLOOKUP($Q924,'Threshold Summary'!$Y:$Y,'Threshold Summary'!$K:$K,""),'Pokemon Editor'!$A:$A,'Pokemon Editor'!$H:$H,0)+31+FLOOR(XLOOKUP($Q924,'Threshold Summary'!$Y:$Y,'Threshold Summary'!$R:$R,"")/4))*XLOOKUP($Q924,'Threshold Summary'!$Y:$Y,'Threshold Summary'!$L:$L,""))/100)+5)*XLOOKUP(XLOOKUP($Q924,'Threshold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Editor'!$E:$E,1))),stab,IF(OR(mtype=XLOOKUP(XLOOKUP($Q924,'Threshold Summary'!$Y:$Y,'Threshold Summary'!$K:$K,""),'Pokemon Editor'!$A:$A,'Pokemon Editor'!$C:$C,""),mtype=XLOOKUP(XLOOKUP($Q924,'Threshold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Chart'!$B$1:$S$1,0)))),base,IF(OR(cat="Status",pow=0),0,FLOOR(FLOOR(FLOOR((2*XLOOKUP($Q924,'Threshold Summary'!$Y:$Y,'Threshold Summary'!$L:$L,"")/5+2)*pow*atk/def)/50)+2)),modifier,stab*eff,FLOOR(base*modifier)),0)</f>
        <v/>
      </c>
      <c r="L924" s="3">
        <f>IFERROR(LET(mtype,XLOOKUP($D924,'Move Editor'!$B:$B,'Move Editor'!$C:$C,""),cat,XLOOKUP($D924,'Move Editor'!$B:$B,'Move Editor'!$D:$D,""),pow,XLOOKUP($D924,'Move Editor'!$B:$B,'Move Editor'!$E:$E,0),acc,XLOOKUP($D924,'Move Editor'!$B:$B,'Move Editor'!$F:$F,100),atk,IF(cat="Physical",FLOOR((FLOOR(((2*XLOOKUP(XLOOKUP($Q924,'Threshold Summary'!$Y:$Y,'Threshold Summary'!$K:$K,""),'Pokemon Editor'!$A:$A,'Pokemon Editor'!$F:$F,0)+31+FLOOR(XLOOKUP($Q924,'Threshold Summary'!$Y:$Y,'Threshold Summary'!$P:$P,"")/4))*XLOOKUP($Q924,'Threshold Summary'!$Y:$Y,'Threshold Summary'!$L:$L,""))/100)+5)*XLOOKUP(XLOOKUP($Q924,'Threshold Summary'!$Y:$Y,'Threshold Summary'!$M:$M,""),'Nature Editor'!$A:$A,'Nature Editor'!$B:$B,1)),FLOOR((FLOOR(((2*XLOOKUP(XLOOKUP($Q924,'Threshold Summary'!$Y:$Y,'Threshold Summary'!$K:$K,""),'Pokemon Editor'!$A:$A,'Pokemon Editor'!$H:$H,0)+31+FLOOR(XLOOKUP($Q924,'Threshold Summary'!$Y:$Y,'Threshold Summary'!$R:$R,"")/4))*XLOOKUP($Q924,'Threshold Summary'!$Y:$Y,'Threshold Summary'!$L:$L,""))/100)+5)*XLOOKUP(XLOOKUP($Q924,'Threshold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Editor'!$E:$E,1))),stab,IF(OR(mtype=XLOOKUP(XLOOKUP($Q924,'Threshold Summary'!$Y:$Y,'Threshold Summary'!$K:$K,""),'Pokemon Editor'!$A:$A,'Pokemon Editor'!$C:$C,""),mtype=XLOOKUP(XLOOKUP($Q924,'Threshold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Chart'!$B$1:$S$1,0)))),base,IF(OR(cat="Status",pow=0),0,FLOOR(FLOOR(FLOOR((2*XLOOKUP($Q924,'Threshold Summary'!$Y:$Y,'Threshold Summary'!$L:$L,"")/5+2)*pow*atk/def)/50)+2)),modifier,stab*eff,AVERAGE(ARRAYFORMULA(FLOOR(base*modifier*SEQUENCE(16,1,85,1)/100)))),0)</f>
        <v/>
      </c>
      <c r="M924" s="3">
        <f>IFERROR(LET(mtype,XLOOKUP($D924,'Move Editor'!$B:$B,'Move Editor'!$C:$C,""),cat,XLOOKUP($D924,'Move Editor'!$B:$B,'Move Editor'!$D:$D,""),pow,XLOOKUP($D924,'Move Editor'!$B:$B,'Move Editor'!$E:$E,0),acc,XLOOKUP($D924,'Move Editor'!$B:$B,'Move Editor'!$F:$F,100),atk,IF(cat="Physical",FLOOR((FLOOR(((2*XLOOKUP(XLOOKUP($Q924,'Threshold Summary'!$Y:$Y,'Threshold Summary'!$K:$K,""),'Pokemon Editor'!$A:$A,'Pokemon Editor'!$F:$F,0)+31+FLOOR(XLOOKUP($Q924,'Threshold Summary'!$Y:$Y,'Threshold Summary'!$P:$P,"")/4))*XLOOKUP($Q924,'Threshold Summary'!$Y:$Y,'Threshold Summary'!$L:$L,""))/100)+5)*XLOOKUP(XLOOKUP($Q924,'Threshold Summary'!$Y:$Y,'Threshold Summary'!$M:$M,""),'Nature Editor'!$A:$A,'Nature Editor'!$B:$B,1)),FLOOR((FLOOR(((2*XLOOKUP(XLOOKUP($Q924,'Threshold Summary'!$Y:$Y,'Threshold Summary'!$K:$K,""),'Pokemon Editor'!$A:$A,'Pokemon Editor'!$H:$H,0)+31+FLOOR(XLOOKUP($Q924,'Threshold Summary'!$Y:$Y,'Threshold Summary'!$R:$R,"")/4))*XLOOKUP($Q924,'Threshold Summary'!$Y:$Y,'Threshold Summary'!$L:$L,""))/100)+5)*XLOOKUP(XLOOKUP($Q924,'Threshold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Editor'!$E:$E,1))),stab,IF(OR(mtype=XLOOKUP(XLOOKUP($Q924,'Threshold Summary'!$Y:$Y,'Threshold Summary'!$K:$K,""),'Pokemon Editor'!$A:$A,'Pokemon Editor'!$C:$C,""),mtype=XLOOKUP(XLOOKUP($Q924,'Threshold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Chart'!$B$1:$S$1,0)))),base,IF(OR(cat="Status",pow=0),0,FLOOR(FLOOR(FLOOR((2*XLOOKUP($Q924,'Threshold Summary'!$Y:$Y,'Threshold Summary'!$L:$L,"")/5+2)*pow*atk/def)/50)+2)),modifier,stab*eff,AVERAGE(ARRAYFORMULA(FLOOR(base*modifier*SEQUENCE(16,1,85,1)/100)))*MIN(1,acc/100)),0)</f>
        <v/>
      </c>
      <c r="N924" s="4">
        <f>IFERROR(LET(mtype,XLOOKUP($D924,'Move Editor'!$B:$B,'Move Editor'!$C:$C,""),cat,XLOOKUP($D924,'Move Editor'!$B:$B,'Move Editor'!$D:$D,""),pow,XLOOKUP($D924,'Move Editor'!$B:$B,'Move Editor'!$E:$E,0),acc,XLOOKUP($D924,'Move Editor'!$B:$B,'Move Editor'!$F:$F,100),atk,IF(cat="Physical",FLOOR((FLOOR(((2*XLOOKUP(XLOOKUP($Q924,'Threshold Summary'!$Y:$Y,'Threshold Summary'!$K:$K,""),'Pokemon Editor'!$A:$A,'Pokemon Editor'!$F:$F,0)+31+FLOOR(XLOOKUP($Q924,'Threshold Summary'!$Y:$Y,'Threshold Summary'!$P:$P,"")/4))*XLOOKUP($Q924,'Threshold Summary'!$Y:$Y,'Threshold Summary'!$L:$L,""))/100)+5)*XLOOKUP(XLOOKUP($Q924,'Threshold Summary'!$Y:$Y,'Threshold Summary'!$M:$M,""),'Nature Editor'!$A:$A,'Nature Editor'!$B:$B,1)),FLOOR((FLOOR(((2*XLOOKUP(XLOOKUP($Q924,'Threshold Summary'!$Y:$Y,'Threshold Summary'!$K:$K,""),'Pokemon Editor'!$A:$A,'Pokemon Editor'!$H:$H,0)+31+FLOOR(XLOOKUP($Q924,'Threshold Summary'!$Y:$Y,'Threshold Summary'!$R:$R,"")/4))*XLOOKUP($Q924,'Threshold Summary'!$Y:$Y,'Threshold Summary'!$L:$L,""))/100)+5)*XLOOKUP(XLOOKUP($Q924,'Threshold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Editor'!$E:$E,1))),stab,IF(OR(mtype=XLOOKUP(XLOOKUP($Q924,'Threshold Summary'!$Y:$Y,'Threshold Summary'!$K:$K,""),'Pokemon Editor'!$A:$A,'Pokemon Editor'!$C:$C,""),mtype=XLOOKUP(XLOOKUP($Q924,'Threshold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Chart'!$B$1:$S$1,0)))),base,IF(OR(cat="Status",pow=0),0,FLOOR(FLOOR(FLOOR((2*XLOOKUP($Q924,'Threshold Summary'!$Y:$Y,'Threshold Summary'!$L:$L,"")/5+2)*pow*atk/def)/50)+2)),modifier,stab*eff,AVERAGE(ARRAYFORMULA(FLOOR(base*modifier*SEQUENCE(16,1,85,1)/100)))/(FLOOR(((2*XLOOKUP('Boss Editor'!$C$4,'Pokemon Editor'!$A:$A,'Pokemon Editor'!$E:$E,0)+31+FLOOR('Boss Editor'!$G$4/4))*'Boss Editor'!$D$4)/100)+'Boss Editor'!$D$4+10)),0)</f>
        <v/>
      </c>
      <c r="O924" s="3">
        <f>IF(N924&gt;=1,"OHKO",IF(N924&gt;=0.5,"2HKO",IF(N924&gt;=0.333,"3HKO",IF(N924&gt;=0.25,"4HKO","5HKO+"))))</f>
        <v/>
      </c>
      <c r="P924" s="3" t="inlineStr">
        <is>
          <t>Live from editable databases</t>
        </is>
      </c>
      <c r="Q924" s="3" t="inlineStr">
        <is>
          <t>SPECIES_TANDEMAUS</t>
        </is>
      </c>
      <c r="R924" s="3" t="n">
        <v>27</v>
      </c>
    </row>
    <row r="925">
      <c r="A925" s="3">
        <f>XLOOKUP($Q925,'Threshold Summary'!$Y:$Y,'Threshold Summary'!$A:$A,"")</f>
        <v/>
      </c>
      <c r="B925" s="3">
        <f>XLOOKUP($Q925,'Threshold Summary'!$Y:$Y,'Threshold Summary'!$M:$M,"")</f>
        <v/>
      </c>
      <c r="C925" s="3">
        <f>XLOOKUP($Q925,'Threshold Summary'!$Y:$Y,'Threshold Summary'!$N:$N,"")</f>
        <v/>
      </c>
      <c r="D925" s="3">
        <f>IFERROR(INDEX(FILTER('Learnset Editor'!$D$2:$D,'Learnset Editor'!$A$2:$A=XLOOKUP($Q925,'Threshold Summary'!$Y:$Y,'Threshold Summary'!$K:$K,""),'Learnset Editor'!$C$2:$C&lt;=XLOOKUP($Q925,'Threshold Summary'!$Y:$Y,'Threshold Summary'!$L:$L,"")),$R925),"")</f>
        <v/>
      </c>
      <c r="E925" s="3">
        <f>XLOOKUP(D925,'Move Editor'!$B:$B,'Move Editor'!$C:$C,"")</f>
        <v/>
      </c>
      <c r="F925" s="3">
        <f>XLOOKUP(D925,'Move Editor'!$B:$B,'Move Editor'!$D:$D,"")</f>
        <v/>
      </c>
      <c r="G925" s="3">
        <f>XLOOKUP(D925,'Move Editor'!$B:$B,'Move Editor'!$E:$E,0)</f>
        <v/>
      </c>
      <c r="H925" s="3">
        <f>XLOOKUP(D925,'Move Editor'!$B:$B,'Move Editor'!$F:$F,0)</f>
        <v/>
      </c>
      <c r="I925" s="3">
        <f>(INDEX('Type Chart'!$B:$S,MATCH(E925,'Type Chart'!$A:$A,0),MATCH(XLOOKUP('Boss Editor'!$C$4,'Pokemon Editor'!$A:$A,'Pokemon Editor'!$C:$C,""),'Type Chart'!$B$1:$S$1,0))*IF(XLOOKUP('Boss Editor'!$C$4,'Pokemon Editor'!$A:$A,'Pokemon Editor'!$D:$D,"")="",1,INDEX('Type Chart'!$B:$S,MATCH(E925,'Type Chart'!$A:$A,0),MATCH(XLOOKUP('Boss Editor'!$C$4,'Pokemon Editor'!$A:$A,'Pokemon Editor'!$D:$D,""),'Type Chart'!$B$1:$S$1,0))))</f>
        <v/>
      </c>
      <c r="J925" s="3">
        <f>IFERROR(LET(mtype,XLOOKUP($D925,'Move Editor'!$B:$B,'Move Editor'!$C:$C,""),cat,XLOOKUP($D925,'Move Editor'!$B:$B,'Move Editor'!$D:$D,""),pow,XLOOKUP($D925,'Move Editor'!$B:$B,'Move Editor'!$E:$E,0),acc,XLOOKUP($D925,'Move Editor'!$B:$B,'Move Editor'!$F:$F,100),atk,IF(cat="Physical",FLOOR((FLOOR(((2*XLOOKUP(XLOOKUP($Q925,'Threshold Summary'!$Y:$Y,'Threshold Summary'!$K:$K,""),'Pokemon Editor'!$A:$A,'Pokemon Editor'!$F:$F,0)+31+FLOOR(XLOOKUP($Q925,'Threshold Summary'!$Y:$Y,'Threshold Summary'!$P:$P,"")/4))*XLOOKUP($Q925,'Threshold Summary'!$Y:$Y,'Threshold Summary'!$L:$L,""))/100)+5)*XLOOKUP(XLOOKUP($Q925,'Threshold Summary'!$Y:$Y,'Threshold Summary'!$M:$M,""),'Nature Editor'!$A:$A,'Nature Editor'!$B:$B,1)),FLOOR((FLOOR(((2*XLOOKUP(XLOOKUP($Q925,'Threshold Summary'!$Y:$Y,'Threshold Summary'!$K:$K,""),'Pokemon Editor'!$A:$A,'Pokemon Editor'!$H:$H,0)+31+FLOOR(XLOOKUP($Q925,'Threshold Summary'!$Y:$Y,'Threshold Summary'!$R:$R,"")/4))*XLOOKUP($Q925,'Threshold Summary'!$Y:$Y,'Threshold Summary'!$L:$L,""))/100)+5)*XLOOKUP(XLOOKUP($Q925,'Threshold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Editor'!$E:$E,1))),stab,IF(OR(mtype=XLOOKUP(XLOOKUP($Q925,'Threshold Summary'!$Y:$Y,'Threshold Summary'!$K:$K,""),'Pokemon Editor'!$A:$A,'Pokemon Editor'!$C:$C,""),mtype=XLOOKUP(XLOOKUP($Q925,'Threshold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Chart'!$B$1:$S$1,0)))),base,IF(OR(cat="Status",pow=0),0,FLOOR(FLOOR(FLOOR((2*XLOOKUP($Q925,'Threshold Summary'!$Y:$Y,'Threshold Summary'!$L:$L,"")/5+2)*pow*atk/def)/50)+2)),modifier,stab*eff,FLOOR(base*modifier*0.85)),0)</f>
        <v/>
      </c>
      <c r="K925" s="3">
        <f>IFERROR(LET(mtype,XLOOKUP($D925,'Move Editor'!$B:$B,'Move Editor'!$C:$C,""),cat,XLOOKUP($D925,'Move Editor'!$B:$B,'Move Editor'!$D:$D,""),pow,XLOOKUP($D925,'Move Editor'!$B:$B,'Move Editor'!$E:$E,0),acc,XLOOKUP($D925,'Move Editor'!$B:$B,'Move Editor'!$F:$F,100),atk,IF(cat="Physical",FLOOR((FLOOR(((2*XLOOKUP(XLOOKUP($Q925,'Threshold Summary'!$Y:$Y,'Threshold Summary'!$K:$K,""),'Pokemon Editor'!$A:$A,'Pokemon Editor'!$F:$F,0)+31+FLOOR(XLOOKUP($Q925,'Threshold Summary'!$Y:$Y,'Threshold Summary'!$P:$P,"")/4))*XLOOKUP($Q925,'Threshold Summary'!$Y:$Y,'Threshold Summary'!$L:$L,""))/100)+5)*XLOOKUP(XLOOKUP($Q925,'Threshold Summary'!$Y:$Y,'Threshold Summary'!$M:$M,""),'Nature Editor'!$A:$A,'Nature Editor'!$B:$B,1)),FLOOR((FLOOR(((2*XLOOKUP(XLOOKUP($Q925,'Threshold Summary'!$Y:$Y,'Threshold Summary'!$K:$K,""),'Pokemon Editor'!$A:$A,'Pokemon Editor'!$H:$H,0)+31+FLOOR(XLOOKUP($Q925,'Threshold Summary'!$Y:$Y,'Threshold Summary'!$R:$R,"")/4))*XLOOKUP($Q925,'Threshold Summary'!$Y:$Y,'Threshold Summary'!$L:$L,""))/100)+5)*XLOOKUP(XLOOKUP($Q925,'Threshold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Editor'!$E:$E,1))),stab,IF(OR(mtype=XLOOKUP(XLOOKUP($Q925,'Threshold Summary'!$Y:$Y,'Threshold Summary'!$K:$K,""),'Pokemon Editor'!$A:$A,'Pokemon Editor'!$C:$C,""),mtype=XLOOKUP(XLOOKUP($Q925,'Threshold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Chart'!$B$1:$S$1,0)))),base,IF(OR(cat="Status",pow=0),0,FLOOR(FLOOR(FLOOR((2*XLOOKUP($Q925,'Threshold Summary'!$Y:$Y,'Threshold Summary'!$L:$L,"")/5+2)*pow*atk/def)/50)+2)),modifier,stab*eff,FLOOR(base*modifier)),0)</f>
        <v/>
      </c>
      <c r="L925" s="3">
        <f>IFERROR(LET(mtype,XLOOKUP($D925,'Move Editor'!$B:$B,'Move Editor'!$C:$C,""),cat,XLOOKUP($D925,'Move Editor'!$B:$B,'Move Editor'!$D:$D,""),pow,XLOOKUP($D925,'Move Editor'!$B:$B,'Move Editor'!$E:$E,0),acc,XLOOKUP($D925,'Move Editor'!$B:$B,'Move Editor'!$F:$F,100),atk,IF(cat="Physical",FLOOR((FLOOR(((2*XLOOKUP(XLOOKUP($Q925,'Threshold Summary'!$Y:$Y,'Threshold Summary'!$K:$K,""),'Pokemon Editor'!$A:$A,'Pokemon Editor'!$F:$F,0)+31+FLOOR(XLOOKUP($Q925,'Threshold Summary'!$Y:$Y,'Threshold Summary'!$P:$P,"")/4))*XLOOKUP($Q925,'Threshold Summary'!$Y:$Y,'Threshold Summary'!$L:$L,""))/100)+5)*XLOOKUP(XLOOKUP($Q925,'Threshold Summary'!$Y:$Y,'Threshold Summary'!$M:$M,""),'Nature Editor'!$A:$A,'Nature Editor'!$B:$B,1)),FLOOR((FLOOR(((2*XLOOKUP(XLOOKUP($Q925,'Threshold Summary'!$Y:$Y,'Threshold Summary'!$K:$K,""),'Pokemon Editor'!$A:$A,'Pokemon Editor'!$H:$H,0)+31+FLOOR(XLOOKUP($Q925,'Threshold Summary'!$Y:$Y,'Threshold Summary'!$R:$R,"")/4))*XLOOKUP($Q925,'Threshold Summary'!$Y:$Y,'Threshold Summary'!$L:$L,""))/100)+5)*XLOOKUP(XLOOKUP($Q925,'Threshold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Editor'!$E:$E,1))),stab,IF(OR(mtype=XLOOKUP(XLOOKUP($Q925,'Threshold Summary'!$Y:$Y,'Threshold Summary'!$K:$K,""),'Pokemon Editor'!$A:$A,'Pokemon Editor'!$C:$C,""),mtype=XLOOKUP(XLOOKUP($Q925,'Threshold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Chart'!$B$1:$S$1,0)))),base,IF(OR(cat="Status",pow=0),0,FLOOR(FLOOR(FLOOR((2*XLOOKUP($Q925,'Threshold Summary'!$Y:$Y,'Threshold Summary'!$L:$L,"")/5+2)*pow*atk/def)/50)+2)),modifier,stab*eff,AVERAGE(ARRAYFORMULA(FLOOR(base*modifier*SEQUENCE(16,1,85,1)/100)))),0)</f>
        <v/>
      </c>
      <c r="M925" s="3">
        <f>IFERROR(LET(mtype,XLOOKUP($D925,'Move Editor'!$B:$B,'Move Editor'!$C:$C,""),cat,XLOOKUP($D925,'Move Editor'!$B:$B,'Move Editor'!$D:$D,""),pow,XLOOKUP($D925,'Move Editor'!$B:$B,'Move Editor'!$E:$E,0),acc,XLOOKUP($D925,'Move Editor'!$B:$B,'Move Editor'!$F:$F,100),atk,IF(cat="Physical",FLOOR((FLOOR(((2*XLOOKUP(XLOOKUP($Q925,'Threshold Summary'!$Y:$Y,'Threshold Summary'!$K:$K,""),'Pokemon Editor'!$A:$A,'Pokemon Editor'!$F:$F,0)+31+FLOOR(XLOOKUP($Q925,'Threshold Summary'!$Y:$Y,'Threshold Summary'!$P:$P,"")/4))*XLOOKUP($Q925,'Threshold Summary'!$Y:$Y,'Threshold Summary'!$L:$L,""))/100)+5)*XLOOKUP(XLOOKUP($Q925,'Threshold Summary'!$Y:$Y,'Threshold Summary'!$M:$M,""),'Nature Editor'!$A:$A,'Nature Editor'!$B:$B,1)),FLOOR((FLOOR(((2*XLOOKUP(XLOOKUP($Q925,'Threshold Summary'!$Y:$Y,'Threshold Summary'!$K:$K,""),'Pokemon Editor'!$A:$A,'Pokemon Editor'!$H:$H,0)+31+FLOOR(XLOOKUP($Q925,'Threshold Summary'!$Y:$Y,'Threshold Summary'!$R:$R,"")/4))*XLOOKUP($Q925,'Threshold Summary'!$Y:$Y,'Threshold Summary'!$L:$L,""))/100)+5)*XLOOKUP(XLOOKUP($Q925,'Threshold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Editor'!$E:$E,1))),stab,IF(OR(mtype=XLOOKUP(XLOOKUP($Q925,'Threshold Summary'!$Y:$Y,'Threshold Summary'!$K:$K,""),'Pokemon Editor'!$A:$A,'Pokemon Editor'!$C:$C,""),mtype=XLOOKUP(XLOOKUP($Q925,'Threshold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Chart'!$B$1:$S$1,0)))),base,IF(OR(cat="Status",pow=0),0,FLOOR(FLOOR(FLOOR((2*XLOOKUP($Q925,'Threshold Summary'!$Y:$Y,'Threshold Summary'!$L:$L,"")/5+2)*pow*atk/def)/50)+2)),modifier,stab*eff,AVERAGE(ARRAYFORMULA(FLOOR(base*modifier*SEQUENCE(16,1,85,1)/100)))*MIN(1,acc/100)),0)</f>
        <v/>
      </c>
      <c r="N925" s="4">
        <f>IFERROR(LET(mtype,XLOOKUP($D925,'Move Editor'!$B:$B,'Move Editor'!$C:$C,""),cat,XLOOKUP($D925,'Move Editor'!$B:$B,'Move Editor'!$D:$D,""),pow,XLOOKUP($D925,'Move Editor'!$B:$B,'Move Editor'!$E:$E,0),acc,XLOOKUP($D925,'Move Editor'!$B:$B,'Move Editor'!$F:$F,100),atk,IF(cat="Physical",FLOOR((FLOOR(((2*XLOOKUP(XLOOKUP($Q925,'Threshold Summary'!$Y:$Y,'Threshold Summary'!$K:$K,""),'Pokemon Editor'!$A:$A,'Pokemon Editor'!$F:$F,0)+31+FLOOR(XLOOKUP($Q925,'Threshold Summary'!$Y:$Y,'Threshold Summary'!$P:$P,"")/4))*XLOOKUP($Q925,'Threshold Summary'!$Y:$Y,'Threshold Summary'!$L:$L,""))/100)+5)*XLOOKUP(XLOOKUP($Q925,'Threshold Summary'!$Y:$Y,'Threshold Summary'!$M:$M,""),'Nature Editor'!$A:$A,'Nature Editor'!$B:$B,1)),FLOOR((FLOOR(((2*XLOOKUP(XLOOKUP($Q925,'Threshold Summary'!$Y:$Y,'Threshold Summary'!$K:$K,""),'Pokemon Editor'!$A:$A,'Pokemon Editor'!$H:$H,0)+31+FLOOR(XLOOKUP($Q925,'Threshold Summary'!$Y:$Y,'Threshold Summary'!$R:$R,"")/4))*XLOOKUP($Q925,'Threshold Summary'!$Y:$Y,'Threshold Summary'!$L:$L,""))/100)+5)*XLOOKUP(XLOOKUP($Q925,'Threshold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Editor'!$E:$E,1))),stab,IF(OR(mtype=XLOOKUP(XLOOKUP($Q925,'Threshold Summary'!$Y:$Y,'Threshold Summary'!$K:$K,""),'Pokemon Editor'!$A:$A,'Pokemon Editor'!$C:$C,""),mtype=XLOOKUP(XLOOKUP($Q925,'Threshold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Chart'!$B$1:$S$1,0)))),base,IF(OR(cat="Status",pow=0),0,FLOOR(FLOOR(FLOOR((2*XLOOKUP($Q925,'Threshold Summary'!$Y:$Y,'Threshold Summary'!$L:$L,"")/5+2)*pow*atk/def)/50)+2)),modifier,stab*eff,AVERAGE(ARRAYFORMULA(FLOOR(base*modifier*SEQUENCE(16,1,85,1)/100)))/(FLOOR(((2*XLOOKUP('Boss Editor'!$C$4,'Pokemon Editor'!$A:$A,'Pokemon Editor'!$E:$E,0)+31+FLOOR('Boss Editor'!$G$4/4))*'Boss Editor'!$D$4)/100)+'Boss Editor'!$D$4+10)),0)</f>
        <v/>
      </c>
      <c r="O925" s="3">
        <f>IF(N925&gt;=1,"OHKO",IF(N925&gt;=0.5,"2HKO",IF(N925&gt;=0.333,"3HKO",IF(N925&gt;=0.25,"4HKO","5HKO+"))))</f>
        <v/>
      </c>
      <c r="P925" s="3" t="inlineStr">
        <is>
          <t>Live from editable databases</t>
        </is>
      </c>
      <c r="Q925" s="3" t="inlineStr">
        <is>
          <t>SPECIES_TANDEMAUS</t>
        </is>
      </c>
      <c r="R925" s="3" t="n">
        <v>28</v>
      </c>
    </row>
    <row r="926">
      <c r="A926" s="3">
        <f>XLOOKUP($Q926,'Threshold Summary'!$Y:$Y,'Threshold Summary'!$A:$A,"")</f>
        <v/>
      </c>
      <c r="B926" s="3">
        <f>XLOOKUP($Q926,'Threshold Summary'!$Y:$Y,'Threshold Summary'!$M:$M,"")</f>
        <v/>
      </c>
      <c r="C926" s="3">
        <f>XLOOKUP($Q926,'Threshold Summary'!$Y:$Y,'Threshold Summary'!$N:$N,"")</f>
        <v/>
      </c>
      <c r="D926" s="3">
        <f>IFERROR(INDEX(FILTER('Learnset Editor'!$D$2:$D,'Learnset Editor'!$A$2:$A=XLOOKUP($Q926,'Threshold Summary'!$Y:$Y,'Threshold Summary'!$K:$K,""),'Learnset Editor'!$C$2:$C&lt;=XLOOKUP($Q926,'Threshold Summary'!$Y:$Y,'Threshold Summary'!$L:$L,"")),$R926),"")</f>
        <v/>
      </c>
      <c r="E926" s="3">
        <f>XLOOKUP(D926,'Move Editor'!$B:$B,'Move Editor'!$C:$C,"")</f>
        <v/>
      </c>
      <c r="F926" s="3">
        <f>XLOOKUP(D926,'Move Editor'!$B:$B,'Move Editor'!$D:$D,"")</f>
        <v/>
      </c>
      <c r="G926" s="3">
        <f>XLOOKUP(D926,'Move Editor'!$B:$B,'Move Editor'!$E:$E,0)</f>
        <v/>
      </c>
      <c r="H926" s="3">
        <f>XLOOKUP(D926,'Move Editor'!$B:$B,'Move Editor'!$F:$F,0)</f>
        <v/>
      </c>
      <c r="I926" s="3">
        <f>(INDEX('Type Chart'!$B:$S,MATCH(E926,'Type Chart'!$A:$A,0),MATCH(XLOOKUP('Boss Editor'!$C$4,'Pokemon Editor'!$A:$A,'Pokemon Editor'!$C:$C,""),'Type Chart'!$B$1:$S$1,0))*IF(XLOOKUP('Boss Editor'!$C$4,'Pokemon Editor'!$A:$A,'Pokemon Editor'!$D:$D,"")="",1,INDEX('Type Chart'!$B:$S,MATCH(E926,'Type Chart'!$A:$A,0),MATCH(XLOOKUP('Boss Editor'!$C$4,'Pokemon Editor'!$A:$A,'Pokemon Editor'!$D:$D,""),'Type Chart'!$B$1:$S$1,0))))</f>
        <v/>
      </c>
      <c r="J926" s="3">
        <f>IFERROR(LET(mtype,XLOOKUP($D926,'Move Editor'!$B:$B,'Move Editor'!$C:$C,""),cat,XLOOKUP($D926,'Move Editor'!$B:$B,'Move Editor'!$D:$D,""),pow,XLOOKUP($D926,'Move Editor'!$B:$B,'Move Editor'!$E:$E,0),acc,XLOOKUP($D926,'Move Editor'!$B:$B,'Move Editor'!$F:$F,100),atk,IF(cat="Physical",FLOOR((FLOOR(((2*XLOOKUP(XLOOKUP($Q926,'Threshold Summary'!$Y:$Y,'Threshold Summary'!$K:$K,""),'Pokemon Editor'!$A:$A,'Pokemon Editor'!$F:$F,0)+31+FLOOR(XLOOKUP($Q926,'Threshold Summary'!$Y:$Y,'Threshold Summary'!$P:$P,"")/4))*XLOOKUP($Q926,'Threshold Summary'!$Y:$Y,'Threshold Summary'!$L:$L,""))/100)+5)*XLOOKUP(XLOOKUP($Q926,'Threshold Summary'!$Y:$Y,'Threshold Summary'!$M:$M,""),'Nature Editor'!$A:$A,'Nature Editor'!$B:$B,1)),FLOOR((FLOOR(((2*XLOOKUP(XLOOKUP($Q926,'Threshold Summary'!$Y:$Y,'Threshold Summary'!$K:$K,""),'Pokemon Editor'!$A:$A,'Pokemon Editor'!$H:$H,0)+31+FLOOR(XLOOKUP($Q926,'Threshold Summary'!$Y:$Y,'Threshold Summary'!$R:$R,"")/4))*XLOOKUP($Q926,'Threshold Summary'!$Y:$Y,'Threshold Summary'!$L:$L,""))/100)+5)*XLOOKUP(XLOOKUP($Q926,'Threshold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Editor'!$E:$E,1))),stab,IF(OR(mtype=XLOOKUP(XLOOKUP($Q926,'Threshold Summary'!$Y:$Y,'Threshold Summary'!$K:$K,""),'Pokemon Editor'!$A:$A,'Pokemon Editor'!$C:$C,""),mtype=XLOOKUP(XLOOKUP($Q926,'Threshold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Chart'!$B$1:$S$1,0)))),base,IF(OR(cat="Status",pow=0),0,FLOOR(FLOOR(FLOOR((2*XLOOKUP($Q926,'Threshold Summary'!$Y:$Y,'Threshold Summary'!$L:$L,"")/5+2)*pow*atk/def)/50)+2)),modifier,stab*eff,FLOOR(base*modifier*0.85)),0)</f>
        <v/>
      </c>
      <c r="K926" s="3">
        <f>IFERROR(LET(mtype,XLOOKUP($D926,'Move Editor'!$B:$B,'Move Editor'!$C:$C,""),cat,XLOOKUP($D926,'Move Editor'!$B:$B,'Move Editor'!$D:$D,""),pow,XLOOKUP($D926,'Move Editor'!$B:$B,'Move Editor'!$E:$E,0),acc,XLOOKUP($D926,'Move Editor'!$B:$B,'Move Editor'!$F:$F,100),atk,IF(cat="Physical",FLOOR((FLOOR(((2*XLOOKUP(XLOOKUP($Q926,'Threshold Summary'!$Y:$Y,'Threshold Summary'!$K:$K,""),'Pokemon Editor'!$A:$A,'Pokemon Editor'!$F:$F,0)+31+FLOOR(XLOOKUP($Q926,'Threshold Summary'!$Y:$Y,'Threshold Summary'!$P:$P,"")/4))*XLOOKUP($Q926,'Threshold Summary'!$Y:$Y,'Threshold Summary'!$L:$L,""))/100)+5)*XLOOKUP(XLOOKUP($Q926,'Threshold Summary'!$Y:$Y,'Threshold Summary'!$M:$M,""),'Nature Editor'!$A:$A,'Nature Editor'!$B:$B,1)),FLOOR((FLOOR(((2*XLOOKUP(XLOOKUP($Q926,'Threshold Summary'!$Y:$Y,'Threshold Summary'!$K:$K,""),'Pokemon Editor'!$A:$A,'Pokemon Editor'!$H:$H,0)+31+FLOOR(XLOOKUP($Q926,'Threshold Summary'!$Y:$Y,'Threshold Summary'!$R:$R,"")/4))*XLOOKUP($Q926,'Threshold Summary'!$Y:$Y,'Threshold Summary'!$L:$L,""))/100)+5)*XLOOKUP(XLOOKUP($Q926,'Threshold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Editor'!$E:$E,1))),stab,IF(OR(mtype=XLOOKUP(XLOOKUP($Q926,'Threshold Summary'!$Y:$Y,'Threshold Summary'!$K:$K,""),'Pokemon Editor'!$A:$A,'Pokemon Editor'!$C:$C,""),mtype=XLOOKUP(XLOOKUP($Q926,'Threshold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Chart'!$B$1:$S$1,0)))),base,IF(OR(cat="Status",pow=0),0,FLOOR(FLOOR(FLOOR((2*XLOOKUP($Q926,'Threshold Summary'!$Y:$Y,'Threshold Summary'!$L:$L,"")/5+2)*pow*atk/def)/50)+2)),modifier,stab*eff,FLOOR(base*modifier)),0)</f>
        <v/>
      </c>
      <c r="L926" s="3">
        <f>IFERROR(LET(mtype,XLOOKUP($D926,'Move Editor'!$B:$B,'Move Editor'!$C:$C,""),cat,XLOOKUP($D926,'Move Editor'!$B:$B,'Move Editor'!$D:$D,""),pow,XLOOKUP($D926,'Move Editor'!$B:$B,'Move Editor'!$E:$E,0),acc,XLOOKUP($D926,'Move Editor'!$B:$B,'Move Editor'!$F:$F,100),atk,IF(cat="Physical",FLOOR((FLOOR(((2*XLOOKUP(XLOOKUP($Q926,'Threshold Summary'!$Y:$Y,'Threshold Summary'!$K:$K,""),'Pokemon Editor'!$A:$A,'Pokemon Editor'!$F:$F,0)+31+FLOOR(XLOOKUP($Q926,'Threshold Summary'!$Y:$Y,'Threshold Summary'!$P:$P,"")/4))*XLOOKUP($Q926,'Threshold Summary'!$Y:$Y,'Threshold Summary'!$L:$L,""))/100)+5)*XLOOKUP(XLOOKUP($Q926,'Threshold Summary'!$Y:$Y,'Threshold Summary'!$M:$M,""),'Nature Editor'!$A:$A,'Nature Editor'!$B:$B,1)),FLOOR((FLOOR(((2*XLOOKUP(XLOOKUP($Q926,'Threshold Summary'!$Y:$Y,'Threshold Summary'!$K:$K,""),'Pokemon Editor'!$A:$A,'Pokemon Editor'!$H:$H,0)+31+FLOOR(XLOOKUP($Q926,'Threshold Summary'!$Y:$Y,'Threshold Summary'!$R:$R,"")/4))*XLOOKUP($Q926,'Threshold Summary'!$Y:$Y,'Threshold Summary'!$L:$L,""))/100)+5)*XLOOKUP(XLOOKUP($Q926,'Threshold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Editor'!$E:$E,1))),stab,IF(OR(mtype=XLOOKUP(XLOOKUP($Q926,'Threshold Summary'!$Y:$Y,'Threshold Summary'!$K:$K,""),'Pokemon Editor'!$A:$A,'Pokemon Editor'!$C:$C,""),mtype=XLOOKUP(XLOOKUP($Q926,'Threshold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Chart'!$B$1:$S$1,0)))),base,IF(OR(cat="Status",pow=0),0,FLOOR(FLOOR(FLOOR((2*XLOOKUP($Q926,'Threshold Summary'!$Y:$Y,'Threshold Summary'!$L:$L,"")/5+2)*pow*atk/def)/50)+2)),modifier,stab*eff,AVERAGE(ARRAYFORMULA(FLOOR(base*modifier*SEQUENCE(16,1,85,1)/100)))),0)</f>
        <v/>
      </c>
      <c r="M926" s="3">
        <f>IFERROR(LET(mtype,XLOOKUP($D926,'Move Editor'!$B:$B,'Move Editor'!$C:$C,""),cat,XLOOKUP($D926,'Move Editor'!$B:$B,'Move Editor'!$D:$D,""),pow,XLOOKUP($D926,'Move Editor'!$B:$B,'Move Editor'!$E:$E,0),acc,XLOOKUP($D926,'Move Editor'!$B:$B,'Move Editor'!$F:$F,100),atk,IF(cat="Physical",FLOOR((FLOOR(((2*XLOOKUP(XLOOKUP($Q926,'Threshold Summary'!$Y:$Y,'Threshold Summary'!$K:$K,""),'Pokemon Editor'!$A:$A,'Pokemon Editor'!$F:$F,0)+31+FLOOR(XLOOKUP($Q926,'Threshold Summary'!$Y:$Y,'Threshold Summary'!$P:$P,"")/4))*XLOOKUP($Q926,'Threshold Summary'!$Y:$Y,'Threshold Summary'!$L:$L,""))/100)+5)*XLOOKUP(XLOOKUP($Q926,'Threshold Summary'!$Y:$Y,'Threshold Summary'!$M:$M,""),'Nature Editor'!$A:$A,'Nature Editor'!$B:$B,1)),FLOOR((FLOOR(((2*XLOOKUP(XLOOKUP($Q926,'Threshold Summary'!$Y:$Y,'Threshold Summary'!$K:$K,""),'Pokemon Editor'!$A:$A,'Pokemon Editor'!$H:$H,0)+31+FLOOR(XLOOKUP($Q926,'Threshold Summary'!$Y:$Y,'Threshold Summary'!$R:$R,"")/4))*XLOOKUP($Q926,'Threshold Summary'!$Y:$Y,'Threshold Summary'!$L:$L,""))/100)+5)*XLOOKUP(XLOOKUP($Q926,'Threshold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Editor'!$E:$E,1))),stab,IF(OR(mtype=XLOOKUP(XLOOKUP($Q926,'Threshold Summary'!$Y:$Y,'Threshold Summary'!$K:$K,""),'Pokemon Editor'!$A:$A,'Pokemon Editor'!$C:$C,""),mtype=XLOOKUP(XLOOKUP($Q926,'Threshold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Chart'!$B$1:$S$1,0)))),base,IF(OR(cat="Status",pow=0),0,FLOOR(FLOOR(FLOOR((2*XLOOKUP($Q926,'Threshold Summary'!$Y:$Y,'Threshold Summary'!$L:$L,"")/5+2)*pow*atk/def)/50)+2)),modifier,stab*eff,AVERAGE(ARRAYFORMULA(FLOOR(base*modifier*SEQUENCE(16,1,85,1)/100)))*MIN(1,acc/100)),0)</f>
        <v/>
      </c>
      <c r="N926" s="4">
        <f>IFERROR(LET(mtype,XLOOKUP($D926,'Move Editor'!$B:$B,'Move Editor'!$C:$C,""),cat,XLOOKUP($D926,'Move Editor'!$B:$B,'Move Editor'!$D:$D,""),pow,XLOOKUP($D926,'Move Editor'!$B:$B,'Move Editor'!$E:$E,0),acc,XLOOKUP($D926,'Move Editor'!$B:$B,'Move Editor'!$F:$F,100),atk,IF(cat="Physical",FLOOR((FLOOR(((2*XLOOKUP(XLOOKUP($Q926,'Threshold Summary'!$Y:$Y,'Threshold Summary'!$K:$K,""),'Pokemon Editor'!$A:$A,'Pokemon Editor'!$F:$F,0)+31+FLOOR(XLOOKUP($Q926,'Threshold Summary'!$Y:$Y,'Threshold Summary'!$P:$P,"")/4))*XLOOKUP($Q926,'Threshold Summary'!$Y:$Y,'Threshold Summary'!$L:$L,""))/100)+5)*XLOOKUP(XLOOKUP($Q926,'Threshold Summary'!$Y:$Y,'Threshold Summary'!$M:$M,""),'Nature Editor'!$A:$A,'Nature Editor'!$B:$B,1)),FLOOR((FLOOR(((2*XLOOKUP(XLOOKUP($Q926,'Threshold Summary'!$Y:$Y,'Threshold Summary'!$K:$K,""),'Pokemon Editor'!$A:$A,'Pokemon Editor'!$H:$H,0)+31+FLOOR(XLOOKUP($Q926,'Threshold Summary'!$Y:$Y,'Threshold Summary'!$R:$R,"")/4))*XLOOKUP($Q926,'Threshold Summary'!$Y:$Y,'Threshold Summary'!$L:$L,""))/100)+5)*XLOOKUP(XLOOKUP($Q926,'Threshold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Editor'!$E:$E,1))),stab,IF(OR(mtype=XLOOKUP(XLOOKUP($Q926,'Threshold Summary'!$Y:$Y,'Threshold Summary'!$K:$K,""),'Pokemon Editor'!$A:$A,'Pokemon Editor'!$C:$C,""),mtype=XLOOKUP(XLOOKUP($Q926,'Threshold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Chart'!$B$1:$S$1,0)))),base,IF(OR(cat="Status",pow=0),0,FLOOR(FLOOR(FLOOR((2*XLOOKUP($Q926,'Threshold Summary'!$Y:$Y,'Threshold Summary'!$L:$L,"")/5+2)*pow*atk/def)/50)+2)),modifier,stab*eff,AVERAGE(ARRAYFORMULA(FLOOR(base*modifier*SEQUENCE(16,1,85,1)/100)))/(FLOOR(((2*XLOOKUP('Boss Editor'!$C$4,'Pokemon Editor'!$A:$A,'Pokemon Editor'!$E:$E,0)+31+FLOOR('Boss Editor'!$G$4/4))*'Boss Editor'!$D$4)/100)+'Boss Editor'!$D$4+10)),0)</f>
        <v/>
      </c>
      <c r="O926" s="3">
        <f>IF(N926&gt;=1,"OHKO",IF(N926&gt;=0.5,"2HKO",IF(N926&gt;=0.333,"3HKO",IF(N926&gt;=0.25,"4HKO","5HKO+"))))</f>
        <v/>
      </c>
      <c r="P926" s="3" t="inlineStr">
        <is>
          <t>Live from editable databases</t>
        </is>
      </c>
      <c r="Q926" s="3" t="inlineStr">
        <is>
          <t>SPECIES_TANDEMAUS</t>
        </is>
      </c>
      <c r="R926" s="3" t="n">
        <v>29</v>
      </c>
    </row>
    <row r="927">
      <c r="A927" s="3">
        <f>XLOOKUP($Q927,'Threshold Summary'!$Y:$Y,'Threshold Summary'!$A:$A,"")</f>
        <v/>
      </c>
      <c r="B927" s="3">
        <f>XLOOKUP($Q927,'Threshold Summary'!$Y:$Y,'Threshold Summary'!$M:$M,"")</f>
        <v/>
      </c>
      <c r="C927" s="3">
        <f>XLOOKUP($Q927,'Threshold Summary'!$Y:$Y,'Threshold Summary'!$N:$N,"")</f>
        <v/>
      </c>
      <c r="D927" s="3">
        <f>IFERROR(INDEX(FILTER('Learnset Editor'!$D$2:$D,'Learnset Editor'!$A$2:$A=XLOOKUP($Q927,'Threshold Summary'!$Y:$Y,'Threshold Summary'!$K:$K,""),'Learnset Editor'!$C$2:$C&lt;=XLOOKUP($Q927,'Threshold Summary'!$Y:$Y,'Threshold Summary'!$L:$L,"")),$R927),"")</f>
        <v/>
      </c>
      <c r="E927" s="3">
        <f>XLOOKUP(D927,'Move Editor'!$B:$B,'Move Editor'!$C:$C,"")</f>
        <v/>
      </c>
      <c r="F927" s="3">
        <f>XLOOKUP(D927,'Move Editor'!$B:$B,'Move Editor'!$D:$D,"")</f>
        <v/>
      </c>
      <c r="G927" s="3">
        <f>XLOOKUP(D927,'Move Editor'!$B:$B,'Move Editor'!$E:$E,0)</f>
        <v/>
      </c>
      <c r="H927" s="3">
        <f>XLOOKUP(D927,'Move Editor'!$B:$B,'Move Editor'!$F:$F,0)</f>
        <v/>
      </c>
      <c r="I927" s="3">
        <f>(INDEX('Type Chart'!$B:$S,MATCH(E927,'Type Chart'!$A:$A,0),MATCH(XLOOKUP('Boss Editor'!$C$4,'Pokemon Editor'!$A:$A,'Pokemon Editor'!$C:$C,""),'Type Chart'!$B$1:$S$1,0))*IF(XLOOKUP('Boss Editor'!$C$4,'Pokemon Editor'!$A:$A,'Pokemon Editor'!$D:$D,"")="",1,INDEX('Type Chart'!$B:$S,MATCH(E927,'Type Chart'!$A:$A,0),MATCH(XLOOKUP('Boss Editor'!$C$4,'Pokemon Editor'!$A:$A,'Pokemon Editor'!$D:$D,""),'Type Chart'!$B$1:$S$1,0))))</f>
        <v/>
      </c>
      <c r="J927" s="3">
        <f>IFERROR(LET(mtype,XLOOKUP($D927,'Move Editor'!$B:$B,'Move Editor'!$C:$C,""),cat,XLOOKUP($D927,'Move Editor'!$B:$B,'Move Editor'!$D:$D,""),pow,XLOOKUP($D927,'Move Editor'!$B:$B,'Move Editor'!$E:$E,0),acc,XLOOKUP($D927,'Move Editor'!$B:$B,'Move Editor'!$F:$F,100),atk,IF(cat="Physical",FLOOR((FLOOR(((2*XLOOKUP(XLOOKUP($Q927,'Threshold Summary'!$Y:$Y,'Threshold Summary'!$K:$K,""),'Pokemon Editor'!$A:$A,'Pokemon Editor'!$F:$F,0)+31+FLOOR(XLOOKUP($Q927,'Threshold Summary'!$Y:$Y,'Threshold Summary'!$P:$P,"")/4))*XLOOKUP($Q927,'Threshold Summary'!$Y:$Y,'Threshold Summary'!$L:$L,""))/100)+5)*XLOOKUP(XLOOKUP($Q927,'Threshold Summary'!$Y:$Y,'Threshold Summary'!$M:$M,""),'Nature Editor'!$A:$A,'Nature Editor'!$B:$B,1)),FLOOR((FLOOR(((2*XLOOKUP(XLOOKUP($Q927,'Threshold Summary'!$Y:$Y,'Threshold Summary'!$K:$K,""),'Pokemon Editor'!$A:$A,'Pokemon Editor'!$H:$H,0)+31+FLOOR(XLOOKUP($Q927,'Threshold Summary'!$Y:$Y,'Threshold Summary'!$R:$R,"")/4))*XLOOKUP($Q927,'Threshold Summary'!$Y:$Y,'Threshold Summary'!$L:$L,""))/100)+5)*XLOOKUP(XLOOKUP($Q927,'Threshold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Editor'!$E:$E,1))),stab,IF(OR(mtype=XLOOKUP(XLOOKUP($Q927,'Threshold Summary'!$Y:$Y,'Threshold Summary'!$K:$K,""),'Pokemon Editor'!$A:$A,'Pokemon Editor'!$C:$C,""),mtype=XLOOKUP(XLOOKUP($Q927,'Threshold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Chart'!$B$1:$S$1,0)))),base,IF(OR(cat="Status",pow=0),0,FLOOR(FLOOR(FLOOR((2*XLOOKUP($Q927,'Threshold Summary'!$Y:$Y,'Threshold Summary'!$L:$L,"")/5+2)*pow*atk/def)/50)+2)),modifier,stab*eff,FLOOR(base*modifier*0.85)),0)</f>
        <v/>
      </c>
      <c r="K927" s="3">
        <f>IFERROR(LET(mtype,XLOOKUP($D927,'Move Editor'!$B:$B,'Move Editor'!$C:$C,""),cat,XLOOKUP($D927,'Move Editor'!$B:$B,'Move Editor'!$D:$D,""),pow,XLOOKUP($D927,'Move Editor'!$B:$B,'Move Editor'!$E:$E,0),acc,XLOOKUP($D927,'Move Editor'!$B:$B,'Move Editor'!$F:$F,100),atk,IF(cat="Physical",FLOOR((FLOOR(((2*XLOOKUP(XLOOKUP($Q927,'Threshold Summary'!$Y:$Y,'Threshold Summary'!$K:$K,""),'Pokemon Editor'!$A:$A,'Pokemon Editor'!$F:$F,0)+31+FLOOR(XLOOKUP($Q927,'Threshold Summary'!$Y:$Y,'Threshold Summary'!$P:$P,"")/4))*XLOOKUP($Q927,'Threshold Summary'!$Y:$Y,'Threshold Summary'!$L:$L,""))/100)+5)*XLOOKUP(XLOOKUP($Q927,'Threshold Summary'!$Y:$Y,'Threshold Summary'!$M:$M,""),'Nature Editor'!$A:$A,'Nature Editor'!$B:$B,1)),FLOOR((FLOOR(((2*XLOOKUP(XLOOKUP($Q927,'Threshold Summary'!$Y:$Y,'Threshold Summary'!$K:$K,""),'Pokemon Editor'!$A:$A,'Pokemon Editor'!$H:$H,0)+31+FLOOR(XLOOKUP($Q927,'Threshold Summary'!$Y:$Y,'Threshold Summary'!$R:$R,"")/4))*XLOOKUP($Q927,'Threshold Summary'!$Y:$Y,'Threshold Summary'!$L:$L,""))/100)+5)*XLOOKUP(XLOOKUP($Q927,'Threshold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Editor'!$E:$E,1))),stab,IF(OR(mtype=XLOOKUP(XLOOKUP($Q927,'Threshold Summary'!$Y:$Y,'Threshold Summary'!$K:$K,""),'Pokemon Editor'!$A:$A,'Pokemon Editor'!$C:$C,""),mtype=XLOOKUP(XLOOKUP($Q927,'Threshold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Chart'!$B$1:$S$1,0)))),base,IF(OR(cat="Status",pow=0),0,FLOOR(FLOOR(FLOOR((2*XLOOKUP($Q927,'Threshold Summary'!$Y:$Y,'Threshold Summary'!$L:$L,"")/5+2)*pow*atk/def)/50)+2)),modifier,stab*eff,FLOOR(base*modifier)),0)</f>
        <v/>
      </c>
      <c r="L927" s="3">
        <f>IFERROR(LET(mtype,XLOOKUP($D927,'Move Editor'!$B:$B,'Move Editor'!$C:$C,""),cat,XLOOKUP($D927,'Move Editor'!$B:$B,'Move Editor'!$D:$D,""),pow,XLOOKUP($D927,'Move Editor'!$B:$B,'Move Editor'!$E:$E,0),acc,XLOOKUP($D927,'Move Editor'!$B:$B,'Move Editor'!$F:$F,100),atk,IF(cat="Physical",FLOOR((FLOOR(((2*XLOOKUP(XLOOKUP($Q927,'Threshold Summary'!$Y:$Y,'Threshold Summary'!$K:$K,""),'Pokemon Editor'!$A:$A,'Pokemon Editor'!$F:$F,0)+31+FLOOR(XLOOKUP($Q927,'Threshold Summary'!$Y:$Y,'Threshold Summary'!$P:$P,"")/4))*XLOOKUP($Q927,'Threshold Summary'!$Y:$Y,'Threshold Summary'!$L:$L,""))/100)+5)*XLOOKUP(XLOOKUP($Q927,'Threshold Summary'!$Y:$Y,'Threshold Summary'!$M:$M,""),'Nature Editor'!$A:$A,'Nature Editor'!$B:$B,1)),FLOOR((FLOOR(((2*XLOOKUP(XLOOKUP($Q927,'Threshold Summary'!$Y:$Y,'Threshold Summary'!$K:$K,""),'Pokemon Editor'!$A:$A,'Pokemon Editor'!$H:$H,0)+31+FLOOR(XLOOKUP($Q927,'Threshold Summary'!$Y:$Y,'Threshold Summary'!$R:$R,"")/4))*XLOOKUP($Q927,'Threshold Summary'!$Y:$Y,'Threshold Summary'!$L:$L,""))/100)+5)*XLOOKUP(XLOOKUP($Q927,'Threshold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Editor'!$E:$E,1))),stab,IF(OR(mtype=XLOOKUP(XLOOKUP($Q927,'Threshold Summary'!$Y:$Y,'Threshold Summary'!$K:$K,""),'Pokemon Editor'!$A:$A,'Pokemon Editor'!$C:$C,""),mtype=XLOOKUP(XLOOKUP($Q927,'Threshold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Chart'!$B$1:$S$1,0)))),base,IF(OR(cat="Status",pow=0),0,FLOOR(FLOOR(FLOOR((2*XLOOKUP($Q927,'Threshold Summary'!$Y:$Y,'Threshold Summary'!$L:$L,"")/5+2)*pow*atk/def)/50)+2)),modifier,stab*eff,AVERAGE(ARRAYFORMULA(FLOOR(base*modifier*SEQUENCE(16,1,85,1)/100)))),0)</f>
        <v/>
      </c>
      <c r="M927" s="3">
        <f>IFERROR(LET(mtype,XLOOKUP($D927,'Move Editor'!$B:$B,'Move Editor'!$C:$C,""),cat,XLOOKUP($D927,'Move Editor'!$B:$B,'Move Editor'!$D:$D,""),pow,XLOOKUP($D927,'Move Editor'!$B:$B,'Move Editor'!$E:$E,0),acc,XLOOKUP($D927,'Move Editor'!$B:$B,'Move Editor'!$F:$F,100),atk,IF(cat="Physical",FLOOR((FLOOR(((2*XLOOKUP(XLOOKUP($Q927,'Threshold Summary'!$Y:$Y,'Threshold Summary'!$K:$K,""),'Pokemon Editor'!$A:$A,'Pokemon Editor'!$F:$F,0)+31+FLOOR(XLOOKUP($Q927,'Threshold Summary'!$Y:$Y,'Threshold Summary'!$P:$P,"")/4))*XLOOKUP($Q927,'Threshold Summary'!$Y:$Y,'Threshold Summary'!$L:$L,""))/100)+5)*XLOOKUP(XLOOKUP($Q927,'Threshold Summary'!$Y:$Y,'Threshold Summary'!$M:$M,""),'Nature Editor'!$A:$A,'Nature Editor'!$B:$B,1)),FLOOR((FLOOR(((2*XLOOKUP(XLOOKUP($Q927,'Threshold Summary'!$Y:$Y,'Threshold Summary'!$K:$K,""),'Pokemon Editor'!$A:$A,'Pokemon Editor'!$H:$H,0)+31+FLOOR(XLOOKUP($Q927,'Threshold Summary'!$Y:$Y,'Threshold Summary'!$R:$R,"")/4))*XLOOKUP($Q927,'Threshold Summary'!$Y:$Y,'Threshold Summary'!$L:$L,""))/100)+5)*XLOOKUP(XLOOKUP($Q927,'Threshold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Editor'!$E:$E,1))),stab,IF(OR(mtype=XLOOKUP(XLOOKUP($Q927,'Threshold Summary'!$Y:$Y,'Threshold Summary'!$K:$K,""),'Pokemon Editor'!$A:$A,'Pokemon Editor'!$C:$C,""),mtype=XLOOKUP(XLOOKUP($Q927,'Threshold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Chart'!$B$1:$S$1,0)))),base,IF(OR(cat="Status",pow=0),0,FLOOR(FLOOR(FLOOR((2*XLOOKUP($Q927,'Threshold Summary'!$Y:$Y,'Threshold Summary'!$L:$L,"")/5+2)*pow*atk/def)/50)+2)),modifier,stab*eff,AVERAGE(ARRAYFORMULA(FLOOR(base*modifier*SEQUENCE(16,1,85,1)/100)))*MIN(1,acc/100)),0)</f>
        <v/>
      </c>
      <c r="N927" s="4">
        <f>IFERROR(LET(mtype,XLOOKUP($D927,'Move Editor'!$B:$B,'Move Editor'!$C:$C,""),cat,XLOOKUP($D927,'Move Editor'!$B:$B,'Move Editor'!$D:$D,""),pow,XLOOKUP($D927,'Move Editor'!$B:$B,'Move Editor'!$E:$E,0),acc,XLOOKUP($D927,'Move Editor'!$B:$B,'Move Editor'!$F:$F,100),atk,IF(cat="Physical",FLOOR((FLOOR(((2*XLOOKUP(XLOOKUP($Q927,'Threshold Summary'!$Y:$Y,'Threshold Summary'!$K:$K,""),'Pokemon Editor'!$A:$A,'Pokemon Editor'!$F:$F,0)+31+FLOOR(XLOOKUP($Q927,'Threshold Summary'!$Y:$Y,'Threshold Summary'!$P:$P,"")/4))*XLOOKUP($Q927,'Threshold Summary'!$Y:$Y,'Threshold Summary'!$L:$L,""))/100)+5)*XLOOKUP(XLOOKUP($Q927,'Threshold Summary'!$Y:$Y,'Threshold Summary'!$M:$M,""),'Nature Editor'!$A:$A,'Nature Editor'!$B:$B,1)),FLOOR((FLOOR(((2*XLOOKUP(XLOOKUP($Q927,'Threshold Summary'!$Y:$Y,'Threshold Summary'!$K:$K,""),'Pokemon Editor'!$A:$A,'Pokemon Editor'!$H:$H,0)+31+FLOOR(XLOOKUP($Q927,'Threshold Summary'!$Y:$Y,'Threshold Summary'!$R:$R,"")/4))*XLOOKUP($Q927,'Threshold Summary'!$Y:$Y,'Threshold Summary'!$L:$L,""))/100)+5)*XLOOKUP(XLOOKUP($Q927,'Threshold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Editor'!$E:$E,1))),stab,IF(OR(mtype=XLOOKUP(XLOOKUP($Q927,'Threshold Summary'!$Y:$Y,'Threshold Summary'!$K:$K,""),'Pokemon Editor'!$A:$A,'Pokemon Editor'!$C:$C,""),mtype=XLOOKUP(XLOOKUP($Q927,'Threshold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Chart'!$B$1:$S$1,0)))),base,IF(OR(cat="Status",pow=0),0,FLOOR(FLOOR(FLOOR((2*XLOOKUP($Q927,'Threshold Summary'!$Y:$Y,'Threshold Summary'!$L:$L,"")/5+2)*pow*atk/def)/50)+2)),modifier,stab*eff,AVERAGE(ARRAYFORMULA(FLOOR(base*modifier*SEQUENCE(16,1,85,1)/100)))/(FLOOR(((2*XLOOKUP('Boss Editor'!$C$4,'Pokemon Editor'!$A:$A,'Pokemon Editor'!$E:$E,0)+31+FLOOR('Boss Editor'!$G$4/4))*'Boss Editor'!$D$4)/100)+'Boss Editor'!$D$4+10)),0)</f>
        <v/>
      </c>
      <c r="O927" s="3">
        <f>IF(N927&gt;=1,"OHKO",IF(N927&gt;=0.5,"2HKO",IF(N927&gt;=0.333,"3HKO",IF(N927&gt;=0.25,"4HKO","5HKO+"))))</f>
        <v/>
      </c>
      <c r="P927" s="3" t="inlineStr">
        <is>
          <t>Live from editable databases</t>
        </is>
      </c>
      <c r="Q927" s="3" t="inlineStr">
        <is>
          <t>SPECIES_TANDEMAUS</t>
        </is>
      </c>
      <c r="R927" s="3" t="n">
        <v>30</v>
      </c>
    </row>
    <row r="928">
      <c r="A928" s="3">
        <f>XLOOKUP($Q928,'Threshold Summary'!$Y:$Y,'Threshold Summary'!$A:$A,"")</f>
        <v/>
      </c>
      <c r="B928" s="3">
        <f>XLOOKUP($Q928,'Threshold Summary'!$Y:$Y,'Threshold Summary'!$M:$M,"")</f>
        <v/>
      </c>
      <c r="C928" s="3">
        <f>XLOOKUP($Q928,'Threshold Summary'!$Y:$Y,'Threshold Summary'!$N:$N,"")</f>
        <v/>
      </c>
      <c r="D928" s="3">
        <f>IFERROR(INDEX(FILTER('Learnset Editor'!$D$2:$D,'Learnset Editor'!$A$2:$A=XLOOKUP($Q928,'Threshold Summary'!$Y:$Y,'Threshold Summary'!$K:$K,""),'Learnset Editor'!$C$2:$C&lt;=XLOOKUP($Q928,'Threshold Summary'!$Y:$Y,'Threshold Summary'!$L:$L,"")),$R928),"")</f>
        <v/>
      </c>
      <c r="E928" s="3">
        <f>XLOOKUP(D928,'Move Editor'!$B:$B,'Move Editor'!$C:$C,"")</f>
        <v/>
      </c>
      <c r="F928" s="3">
        <f>XLOOKUP(D928,'Move Editor'!$B:$B,'Move Editor'!$D:$D,"")</f>
        <v/>
      </c>
      <c r="G928" s="3">
        <f>XLOOKUP(D928,'Move Editor'!$B:$B,'Move Editor'!$E:$E,0)</f>
        <v/>
      </c>
      <c r="H928" s="3">
        <f>XLOOKUP(D928,'Move Editor'!$B:$B,'Move Editor'!$F:$F,0)</f>
        <v/>
      </c>
      <c r="I928" s="3">
        <f>(INDEX('Type Chart'!$B:$S,MATCH(E928,'Type Chart'!$A:$A,0),MATCH(XLOOKUP('Boss Editor'!$C$4,'Pokemon Editor'!$A:$A,'Pokemon Editor'!$C:$C,""),'Type Chart'!$B$1:$S$1,0))*IF(XLOOKUP('Boss Editor'!$C$4,'Pokemon Editor'!$A:$A,'Pokemon Editor'!$D:$D,"")="",1,INDEX('Type Chart'!$B:$S,MATCH(E928,'Type Chart'!$A:$A,0),MATCH(XLOOKUP('Boss Editor'!$C$4,'Pokemon Editor'!$A:$A,'Pokemon Editor'!$D:$D,""),'Type Chart'!$B$1:$S$1,0))))</f>
        <v/>
      </c>
      <c r="J928" s="3">
        <f>IFERROR(LET(mtype,XLOOKUP($D928,'Move Editor'!$B:$B,'Move Editor'!$C:$C,""),cat,XLOOKUP($D928,'Move Editor'!$B:$B,'Move Editor'!$D:$D,""),pow,XLOOKUP($D928,'Move Editor'!$B:$B,'Move Editor'!$E:$E,0),acc,XLOOKUP($D928,'Move Editor'!$B:$B,'Move Editor'!$F:$F,100),atk,IF(cat="Physical",FLOOR((FLOOR(((2*XLOOKUP(XLOOKUP($Q928,'Threshold Summary'!$Y:$Y,'Threshold Summary'!$K:$K,""),'Pokemon Editor'!$A:$A,'Pokemon Editor'!$F:$F,0)+31+FLOOR(XLOOKUP($Q928,'Threshold Summary'!$Y:$Y,'Threshold Summary'!$P:$P,"")/4))*XLOOKUP($Q928,'Threshold Summary'!$Y:$Y,'Threshold Summary'!$L:$L,""))/100)+5)*XLOOKUP(XLOOKUP($Q928,'Threshold Summary'!$Y:$Y,'Threshold Summary'!$M:$M,""),'Nature Editor'!$A:$A,'Nature Editor'!$B:$B,1)),FLOOR((FLOOR(((2*XLOOKUP(XLOOKUP($Q928,'Threshold Summary'!$Y:$Y,'Threshold Summary'!$K:$K,""),'Pokemon Editor'!$A:$A,'Pokemon Editor'!$H:$H,0)+31+FLOOR(XLOOKUP($Q928,'Threshold Summary'!$Y:$Y,'Threshold Summary'!$R:$R,"")/4))*XLOOKUP($Q928,'Threshold Summary'!$Y:$Y,'Threshold Summary'!$L:$L,""))/100)+5)*XLOOKUP(XLOOKUP($Q928,'Threshold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Editor'!$E:$E,1))),stab,IF(OR(mtype=XLOOKUP(XLOOKUP($Q928,'Threshold Summary'!$Y:$Y,'Threshold Summary'!$K:$K,""),'Pokemon Editor'!$A:$A,'Pokemon Editor'!$C:$C,""),mtype=XLOOKUP(XLOOKUP($Q928,'Threshold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Chart'!$B$1:$S$1,0)))),base,IF(OR(cat="Status",pow=0),0,FLOOR(FLOOR(FLOOR((2*XLOOKUP($Q928,'Threshold Summary'!$Y:$Y,'Threshold Summary'!$L:$L,"")/5+2)*pow*atk/def)/50)+2)),modifier,stab*eff,FLOOR(base*modifier*0.85)),0)</f>
        <v/>
      </c>
      <c r="K928" s="3">
        <f>IFERROR(LET(mtype,XLOOKUP($D928,'Move Editor'!$B:$B,'Move Editor'!$C:$C,""),cat,XLOOKUP($D928,'Move Editor'!$B:$B,'Move Editor'!$D:$D,""),pow,XLOOKUP($D928,'Move Editor'!$B:$B,'Move Editor'!$E:$E,0),acc,XLOOKUP($D928,'Move Editor'!$B:$B,'Move Editor'!$F:$F,100),atk,IF(cat="Physical",FLOOR((FLOOR(((2*XLOOKUP(XLOOKUP($Q928,'Threshold Summary'!$Y:$Y,'Threshold Summary'!$K:$K,""),'Pokemon Editor'!$A:$A,'Pokemon Editor'!$F:$F,0)+31+FLOOR(XLOOKUP($Q928,'Threshold Summary'!$Y:$Y,'Threshold Summary'!$P:$P,"")/4))*XLOOKUP($Q928,'Threshold Summary'!$Y:$Y,'Threshold Summary'!$L:$L,""))/100)+5)*XLOOKUP(XLOOKUP($Q928,'Threshold Summary'!$Y:$Y,'Threshold Summary'!$M:$M,""),'Nature Editor'!$A:$A,'Nature Editor'!$B:$B,1)),FLOOR((FLOOR(((2*XLOOKUP(XLOOKUP($Q928,'Threshold Summary'!$Y:$Y,'Threshold Summary'!$K:$K,""),'Pokemon Editor'!$A:$A,'Pokemon Editor'!$H:$H,0)+31+FLOOR(XLOOKUP($Q928,'Threshold Summary'!$Y:$Y,'Threshold Summary'!$R:$R,"")/4))*XLOOKUP($Q928,'Threshold Summary'!$Y:$Y,'Threshold Summary'!$L:$L,""))/100)+5)*XLOOKUP(XLOOKUP($Q928,'Threshold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Editor'!$E:$E,1))),stab,IF(OR(mtype=XLOOKUP(XLOOKUP($Q928,'Threshold Summary'!$Y:$Y,'Threshold Summary'!$K:$K,""),'Pokemon Editor'!$A:$A,'Pokemon Editor'!$C:$C,""),mtype=XLOOKUP(XLOOKUP($Q928,'Threshold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Chart'!$B$1:$S$1,0)))),base,IF(OR(cat="Status",pow=0),0,FLOOR(FLOOR(FLOOR((2*XLOOKUP($Q928,'Threshold Summary'!$Y:$Y,'Threshold Summary'!$L:$L,"")/5+2)*pow*atk/def)/50)+2)),modifier,stab*eff,FLOOR(base*modifier)),0)</f>
        <v/>
      </c>
      <c r="L928" s="3">
        <f>IFERROR(LET(mtype,XLOOKUP($D928,'Move Editor'!$B:$B,'Move Editor'!$C:$C,""),cat,XLOOKUP($D928,'Move Editor'!$B:$B,'Move Editor'!$D:$D,""),pow,XLOOKUP($D928,'Move Editor'!$B:$B,'Move Editor'!$E:$E,0),acc,XLOOKUP($D928,'Move Editor'!$B:$B,'Move Editor'!$F:$F,100),atk,IF(cat="Physical",FLOOR((FLOOR(((2*XLOOKUP(XLOOKUP($Q928,'Threshold Summary'!$Y:$Y,'Threshold Summary'!$K:$K,""),'Pokemon Editor'!$A:$A,'Pokemon Editor'!$F:$F,0)+31+FLOOR(XLOOKUP($Q928,'Threshold Summary'!$Y:$Y,'Threshold Summary'!$P:$P,"")/4))*XLOOKUP($Q928,'Threshold Summary'!$Y:$Y,'Threshold Summary'!$L:$L,""))/100)+5)*XLOOKUP(XLOOKUP($Q928,'Threshold Summary'!$Y:$Y,'Threshold Summary'!$M:$M,""),'Nature Editor'!$A:$A,'Nature Editor'!$B:$B,1)),FLOOR((FLOOR(((2*XLOOKUP(XLOOKUP($Q928,'Threshold Summary'!$Y:$Y,'Threshold Summary'!$K:$K,""),'Pokemon Editor'!$A:$A,'Pokemon Editor'!$H:$H,0)+31+FLOOR(XLOOKUP($Q928,'Threshold Summary'!$Y:$Y,'Threshold Summary'!$R:$R,"")/4))*XLOOKUP($Q928,'Threshold Summary'!$Y:$Y,'Threshold Summary'!$L:$L,""))/100)+5)*XLOOKUP(XLOOKUP($Q928,'Threshold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Editor'!$E:$E,1))),stab,IF(OR(mtype=XLOOKUP(XLOOKUP($Q928,'Threshold Summary'!$Y:$Y,'Threshold Summary'!$K:$K,""),'Pokemon Editor'!$A:$A,'Pokemon Editor'!$C:$C,""),mtype=XLOOKUP(XLOOKUP($Q928,'Threshold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Chart'!$B$1:$S$1,0)))),base,IF(OR(cat="Status",pow=0),0,FLOOR(FLOOR(FLOOR((2*XLOOKUP($Q928,'Threshold Summary'!$Y:$Y,'Threshold Summary'!$L:$L,"")/5+2)*pow*atk/def)/50)+2)),modifier,stab*eff,AVERAGE(ARRAYFORMULA(FLOOR(base*modifier*SEQUENCE(16,1,85,1)/100)))),0)</f>
        <v/>
      </c>
      <c r="M928" s="3">
        <f>IFERROR(LET(mtype,XLOOKUP($D928,'Move Editor'!$B:$B,'Move Editor'!$C:$C,""),cat,XLOOKUP($D928,'Move Editor'!$B:$B,'Move Editor'!$D:$D,""),pow,XLOOKUP($D928,'Move Editor'!$B:$B,'Move Editor'!$E:$E,0),acc,XLOOKUP($D928,'Move Editor'!$B:$B,'Move Editor'!$F:$F,100),atk,IF(cat="Physical",FLOOR((FLOOR(((2*XLOOKUP(XLOOKUP($Q928,'Threshold Summary'!$Y:$Y,'Threshold Summary'!$K:$K,""),'Pokemon Editor'!$A:$A,'Pokemon Editor'!$F:$F,0)+31+FLOOR(XLOOKUP($Q928,'Threshold Summary'!$Y:$Y,'Threshold Summary'!$P:$P,"")/4))*XLOOKUP($Q928,'Threshold Summary'!$Y:$Y,'Threshold Summary'!$L:$L,""))/100)+5)*XLOOKUP(XLOOKUP($Q928,'Threshold Summary'!$Y:$Y,'Threshold Summary'!$M:$M,""),'Nature Editor'!$A:$A,'Nature Editor'!$B:$B,1)),FLOOR((FLOOR(((2*XLOOKUP(XLOOKUP($Q928,'Threshold Summary'!$Y:$Y,'Threshold Summary'!$K:$K,""),'Pokemon Editor'!$A:$A,'Pokemon Editor'!$H:$H,0)+31+FLOOR(XLOOKUP($Q928,'Threshold Summary'!$Y:$Y,'Threshold Summary'!$R:$R,"")/4))*XLOOKUP($Q928,'Threshold Summary'!$Y:$Y,'Threshold Summary'!$L:$L,""))/100)+5)*XLOOKUP(XLOOKUP($Q928,'Threshold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Editor'!$E:$E,1))),stab,IF(OR(mtype=XLOOKUP(XLOOKUP($Q928,'Threshold Summary'!$Y:$Y,'Threshold Summary'!$K:$K,""),'Pokemon Editor'!$A:$A,'Pokemon Editor'!$C:$C,""),mtype=XLOOKUP(XLOOKUP($Q928,'Threshold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Chart'!$B$1:$S$1,0)))),base,IF(OR(cat="Status",pow=0),0,FLOOR(FLOOR(FLOOR((2*XLOOKUP($Q928,'Threshold Summary'!$Y:$Y,'Threshold Summary'!$L:$L,"")/5+2)*pow*atk/def)/50)+2)),modifier,stab*eff,AVERAGE(ARRAYFORMULA(FLOOR(base*modifier*SEQUENCE(16,1,85,1)/100)))*MIN(1,acc/100)),0)</f>
        <v/>
      </c>
      <c r="N928" s="4">
        <f>IFERROR(LET(mtype,XLOOKUP($D928,'Move Editor'!$B:$B,'Move Editor'!$C:$C,""),cat,XLOOKUP($D928,'Move Editor'!$B:$B,'Move Editor'!$D:$D,""),pow,XLOOKUP($D928,'Move Editor'!$B:$B,'Move Editor'!$E:$E,0),acc,XLOOKUP($D928,'Move Editor'!$B:$B,'Move Editor'!$F:$F,100),atk,IF(cat="Physical",FLOOR((FLOOR(((2*XLOOKUP(XLOOKUP($Q928,'Threshold Summary'!$Y:$Y,'Threshold Summary'!$K:$K,""),'Pokemon Editor'!$A:$A,'Pokemon Editor'!$F:$F,0)+31+FLOOR(XLOOKUP($Q928,'Threshold Summary'!$Y:$Y,'Threshold Summary'!$P:$P,"")/4))*XLOOKUP($Q928,'Threshold Summary'!$Y:$Y,'Threshold Summary'!$L:$L,""))/100)+5)*XLOOKUP(XLOOKUP($Q928,'Threshold Summary'!$Y:$Y,'Threshold Summary'!$M:$M,""),'Nature Editor'!$A:$A,'Nature Editor'!$B:$B,1)),FLOOR((FLOOR(((2*XLOOKUP(XLOOKUP($Q928,'Threshold Summary'!$Y:$Y,'Threshold Summary'!$K:$K,""),'Pokemon Editor'!$A:$A,'Pokemon Editor'!$H:$H,0)+31+FLOOR(XLOOKUP($Q928,'Threshold Summary'!$Y:$Y,'Threshold Summary'!$R:$R,"")/4))*XLOOKUP($Q928,'Threshold Summary'!$Y:$Y,'Threshold Summary'!$L:$L,""))/100)+5)*XLOOKUP(XLOOKUP($Q928,'Threshold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Editor'!$E:$E,1))),stab,IF(OR(mtype=XLOOKUP(XLOOKUP($Q928,'Threshold Summary'!$Y:$Y,'Threshold Summary'!$K:$K,""),'Pokemon Editor'!$A:$A,'Pokemon Editor'!$C:$C,""),mtype=XLOOKUP(XLOOKUP($Q928,'Threshold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Chart'!$B$1:$S$1,0)))),base,IF(OR(cat="Status",pow=0),0,FLOOR(FLOOR(FLOOR((2*XLOOKUP($Q928,'Threshold Summary'!$Y:$Y,'Threshold Summary'!$L:$L,"")/5+2)*pow*atk/def)/50)+2)),modifier,stab*eff,AVERAGE(ARRAYFORMULA(FLOOR(base*modifier*SEQUENCE(16,1,85,1)/100)))/(FLOOR(((2*XLOOKUP('Boss Editor'!$C$4,'Pokemon Editor'!$A:$A,'Pokemon Editor'!$E:$E,0)+31+FLOOR('Boss Editor'!$G$4/4))*'Boss Editor'!$D$4)/100)+'Boss Editor'!$D$4+10)),0)</f>
        <v/>
      </c>
      <c r="O928" s="3">
        <f>IF(N928&gt;=1,"OHKO",IF(N928&gt;=0.5,"2HKO",IF(N928&gt;=0.333,"3HKO",IF(N928&gt;=0.25,"4HKO","5HKO+"))))</f>
        <v/>
      </c>
      <c r="P928" s="3" t="inlineStr">
        <is>
          <t>Live from editable databases</t>
        </is>
      </c>
      <c r="Q928" s="3" t="inlineStr">
        <is>
          <t>SPECIES_TANDEMAUS</t>
        </is>
      </c>
      <c r="R928" s="3" t="n">
        <v>31</v>
      </c>
    </row>
    <row r="929">
      <c r="A929" s="3">
        <f>XLOOKUP($Q929,'Threshold Summary'!$Y:$Y,'Threshold Summary'!$A:$A,"")</f>
        <v/>
      </c>
      <c r="B929" s="3">
        <f>XLOOKUP($Q929,'Threshold Summary'!$Y:$Y,'Threshold Summary'!$M:$M,"")</f>
        <v/>
      </c>
      <c r="C929" s="3">
        <f>XLOOKUP($Q929,'Threshold Summary'!$Y:$Y,'Threshold Summary'!$N:$N,"")</f>
        <v/>
      </c>
      <c r="D929" s="3">
        <f>IFERROR(INDEX(FILTER('Learnset Editor'!$D$2:$D,'Learnset Editor'!$A$2:$A=XLOOKUP($Q929,'Threshold Summary'!$Y:$Y,'Threshold Summary'!$K:$K,""),'Learnset Editor'!$C$2:$C&lt;=XLOOKUP($Q929,'Threshold Summary'!$Y:$Y,'Threshold Summary'!$L:$L,"")),$R929),"")</f>
        <v/>
      </c>
      <c r="E929" s="3">
        <f>XLOOKUP(D929,'Move Editor'!$B:$B,'Move Editor'!$C:$C,"")</f>
        <v/>
      </c>
      <c r="F929" s="3">
        <f>XLOOKUP(D929,'Move Editor'!$B:$B,'Move Editor'!$D:$D,"")</f>
        <v/>
      </c>
      <c r="G929" s="3">
        <f>XLOOKUP(D929,'Move Editor'!$B:$B,'Move Editor'!$E:$E,0)</f>
        <v/>
      </c>
      <c r="H929" s="3">
        <f>XLOOKUP(D929,'Move Editor'!$B:$B,'Move Editor'!$F:$F,0)</f>
        <v/>
      </c>
      <c r="I929" s="3">
        <f>(INDEX('Type Chart'!$B:$S,MATCH(E929,'Type Chart'!$A:$A,0),MATCH(XLOOKUP('Boss Editor'!$C$4,'Pokemon Editor'!$A:$A,'Pokemon Editor'!$C:$C,""),'Type Chart'!$B$1:$S$1,0))*IF(XLOOKUP('Boss Editor'!$C$4,'Pokemon Editor'!$A:$A,'Pokemon Editor'!$D:$D,"")="",1,INDEX('Type Chart'!$B:$S,MATCH(E929,'Type Chart'!$A:$A,0),MATCH(XLOOKUP('Boss Editor'!$C$4,'Pokemon Editor'!$A:$A,'Pokemon Editor'!$D:$D,""),'Type Chart'!$B$1:$S$1,0))))</f>
        <v/>
      </c>
      <c r="J929" s="3">
        <f>IFERROR(LET(mtype,XLOOKUP($D929,'Move Editor'!$B:$B,'Move Editor'!$C:$C,""),cat,XLOOKUP($D929,'Move Editor'!$B:$B,'Move Editor'!$D:$D,""),pow,XLOOKUP($D929,'Move Editor'!$B:$B,'Move Editor'!$E:$E,0),acc,XLOOKUP($D929,'Move Editor'!$B:$B,'Move Editor'!$F:$F,100),atk,IF(cat="Physical",FLOOR((FLOOR(((2*XLOOKUP(XLOOKUP($Q929,'Threshold Summary'!$Y:$Y,'Threshold Summary'!$K:$K,""),'Pokemon Editor'!$A:$A,'Pokemon Editor'!$F:$F,0)+31+FLOOR(XLOOKUP($Q929,'Threshold Summary'!$Y:$Y,'Threshold Summary'!$P:$P,"")/4))*XLOOKUP($Q929,'Threshold Summary'!$Y:$Y,'Threshold Summary'!$L:$L,""))/100)+5)*XLOOKUP(XLOOKUP($Q929,'Threshold Summary'!$Y:$Y,'Threshold Summary'!$M:$M,""),'Nature Editor'!$A:$A,'Nature Editor'!$B:$B,1)),FLOOR((FLOOR(((2*XLOOKUP(XLOOKUP($Q929,'Threshold Summary'!$Y:$Y,'Threshold Summary'!$K:$K,""),'Pokemon Editor'!$A:$A,'Pokemon Editor'!$H:$H,0)+31+FLOOR(XLOOKUP($Q929,'Threshold Summary'!$Y:$Y,'Threshold Summary'!$R:$R,"")/4))*XLOOKUP($Q929,'Threshold Summary'!$Y:$Y,'Threshold Summary'!$L:$L,""))/100)+5)*XLOOKUP(XLOOKUP($Q929,'Threshold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Editor'!$E:$E,1))),stab,IF(OR(mtype=XLOOKUP(XLOOKUP($Q929,'Threshold Summary'!$Y:$Y,'Threshold Summary'!$K:$K,""),'Pokemon Editor'!$A:$A,'Pokemon Editor'!$C:$C,""),mtype=XLOOKUP(XLOOKUP($Q929,'Threshold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Chart'!$B$1:$S$1,0)))),base,IF(OR(cat="Status",pow=0),0,FLOOR(FLOOR(FLOOR((2*XLOOKUP($Q929,'Threshold Summary'!$Y:$Y,'Threshold Summary'!$L:$L,"")/5+2)*pow*atk/def)/50)+2)),modifier,stab*eff,FLOOR(base*modifier*0.85)),0)</f>
        <v/>
      </c>
      <c r="K929" s="3">
        <f>IFERROR(LET(mtype,XLOOKUP($D929,'Move Editor'!$B:$B,'Move Editor'!$C:$C,""),cat,XLOOKUP($D929,'Move Editor'!$B:$B,'Move Editor'!$D:$D,""),pow,XLOOKUP($D929,'Move Editor'!$B:$B,'Move Editor'!$E:$E,0),acc,XLOOKUP($D929,'Move Editor'!$B:$B,'Move Editor'!$F:$F,100),atk,IF(cat="Physical",FLOOR((FLOOR(((2*XLOOKUP(XLOOKUP($Q929,'Threshold Summary'!$Y:$Y,'Threshold Summary'!$K:$K,""),'Pokemon Editor'!$A:$A,'Pokemon Editor'!$F:$F,0)+31+FLOOR(XLOOKUP($Q929,'Threshold Summary'!$Y:$Y,'Threshold Summary'!$P:$P,"")/4))*XLOOKUP($Q929,'Threshold Summary'!$Y:$Y,'Threshold Summary'!$L:$L,""))/100)+5)*XLOOKUP(XLOOKUP($Q929,'Threshold Summary'!$Y:$Y,'Threshold Summary'!$M:$M,""),'Nature Editor'!$A:$A,'Nature Editor'!$B:$B,1)),FLOOR((FLOOR(((2*XLOOKUP(XLOOKUP($Q929,'Threshold Summary'!$Y:$Y,'Threshold Summary'!$K:$K,""),'Pokemon Editor'!$A:$A,'Pokemon Editor'!$H:$H,0)+31+FLOOR(XLOOKUP($Q929,'Threshold Summary'!$Y:$Y,'Threshold Summary'!$R:$R,"")/4))*XLOOKUP($Q929,'Threshold Summary'!$Y:$Y,'Threshold Summary'!$L:$L,""))/100)+5)*XLOOKUP(XLOOKUP($Q929,'Threshold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Editor'!$E:$E,1))),stab,IF(OR(mtype=XLOOKUP(XLOOKUP($Q929,'Threshold Summary'!$Y:$Y,'Threshold Summary'!$K:$K,""),'Pokemon Editor'!$A:$A,'Pokemon Editor'!$C:$C,""),mtype=XLOOKUP(XLOOKUP($Q929,'Threshold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Chart'!$B$1:$S$1,0)))),base,IF(OR(cat="Status",pow=0),0,FLOOR(FLOOR(FLOOR((2*XLOOKUP($Q929,'Threshold Summary'!$Y:$Y,'Threshold Summary'!$L:$L,"")/5+2)*pow*atk/def)/50)+2)),modifier,stab*eff,FLOOR(base*modifier)),0)</f>
        <v/>
      </c>
      <c r="L929" s="3">
        <f>IFERROR(LET(mtype,XLOOKUP($D929,'Move Editor'!$B:$B,'Move Editor'!$C:$C,""),cat,XLOOKUP($D929,'Move Editor'!$B:$B,'Move Editor'!$D:$D,""),pow,XLOOKUP($D929,'Move Editor'!$B:$B,'Move Editor'!$E:$E,0),acc,XLOOKUP($D929,'Move Editor'!$B:$B,'Move Editor'!$F:$F,100),atk,IF(cat="Physical",FLOOR((FLOOR(((2*XLOOKUP(XLOOKUP($Q929,'Threshold Summary'!$Y:$Y,'Threshold Summary'!$K:$K,""),'Pokemon Editor'!$A:$A,'Pokemon Editor'!$F:$F,0)+31+FLOOR(XLOOKUP($Q929,'Threshold Summary'!$Y:$Y,'Threshold Summary'!$P:$P,"")/4))*XLOOKUP($Q929,'Threshold Summary'!$Y:$Y,'Threshold Summary'!$L:$L,""))/100)+5)*XLOOKUP(XLOOKUP($Q929,'Threshold Summary'!$Y:$Y,'Threshold Summary'!$M:$M,""),'Nature Editor'!$A:$A,'Nature Editor'!$B:$B,1)),FLOOR((FLOOR(((2*XLOOKUP(XLOOKUP($Q929,'Threshold Summary'!$Y:$Y,'Threshold Summary'!$K:$K,""),'Pokemon Editor'!$A:$A,'Pokemon Editor'!$H:$H,0)+31+FLOOR(XLOOKUP($Q929,'Threshold Summary'!$Y:$Y,'Threshold Summary'!$R:$R,"")/4))*XLOOKUP($Q929,'Threshold Summary'!$Y:$Y,'Threshold Summary'!$L:$L,""))/100)+5)*XLOOKUP(XLOOKUP($Q929,'Threshold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Editor'!$E:$E,1))),stab,IF(OR(mtype=XLOOKUP(XLOOKUP($Q929,'Threshold Summary'!$Y:$Y,'Threshold Summary'!$K:$K,""),'Pokemon Editor'!$A:$A,'Pokemon Editor'!$C:$C,""),mtype=XLOOKUP(XLOOKUP($Q929,'Threshold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Chart'!$B$1:$S$1,0)))),base,IF(OR(cat="Status",pow=0),0,FLOOR(FLOOR(FLOOR((2*XLOOKUP($Q929,'Threshold Summary'!$Y:$Y,'Threshold Summary'!$L:$L,"")/5+2)*pow*atk/def)/50)+2)),modifier,stab*eff,AVERAGE(ARRAYFORMULA(FLOOR(base*modifier*SEQUENCE(16,1,85,1)/100)))),0)</f>
        <v/>
      </c>
      <c r="M929" s="3">
        <f>IFERROR(LET(mtype,XLOOKUP($D929,'Move Editor'!$B:$B,'Move Editor'!$C:$C,""),cat,XLOOKUP($D929,'Move Editor'!$B:$B,'Move Editor'!$D:$D,""),pow,XLOOKUP($D929,'Move Editor'!$B:$B,'Move Editor'!$E:$E,0),acc,XLOOKUP($D929,'Move Editor'!$B:$B,'Move Editor'!$F:$F,100),atk,IF(cat="Physical",FLOOR((FLOOR(((2*XLOOKUP(XLOOKUP($Q929,'Threshold Summary'!$Y:$Y,'Threshold Summary'!$K:$K,""),'Pokemon Editor'!$A:$A,'Pokemon Editor'!$F:$F,0)+31+FLOOR(XLOOKUP($Q929,'Threshold Summary'!$Y:$Y,'Threshold Summary'!$P:$P,"")/4))*XLOOKUP($Q929,'Threshold Summary'!$Y:$Y,'Threshold Summary'!$L:$L,""))/100)+5)*XLOOKUP(XLOOKUP($Q929,'Threshold Summary'!$Y:$Y,'Threshold Summary'!$M:$M,""),'Nature Editor'!$A:$A,'Nature Editor'!$B:$B,1)),FLOOR((FLOOR(((2*XLOOKUP(XLOOKUP($Q929,'Threshold Summary'!$Y:$Y,'Threshold Summary'!$K:$K,""),'Pokemon Editor'!$A:$A,'Pokemon Editor'!$H:$H,0)+31+FLOOR(XLOOKUP($Q929,'Threshold Summary'!$Y:$Y,'Threshold Summary'!$R:$R,"")/4))*XLOOKUP($Q929,'Threshold Summary'!$Y:$Y,'Threshold Summary'!$L:$L,""))/100)+5)*XLOOKUP(XLOOKUP($Q929,'Threshold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Editor'!$E:$E,1))),stab,IF(OR(mtype=XLOOKUP(XLOOKUP($Q929,'Threshold Summary'!$Y:$Y,'Threshold Summary'!$K:$K,""),'Pokemon Editor'!$A:$A,'Pokemon Editor'!$C:$C,""),mtype=XLOOKUP(XLOOKUP($Q929,'Threshold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Chart'!$B$1:$S$1,0)))),base,IF(OR(cat="Status",pow=0),0,FLOOR(FLOOR(FLOOR((2*XLOOKUP($Q929,'Threshold Summary'!$Y:$Y,'Threshold Summary'!$L:$L,"")/5+2)*pow*atk/def)/50)+2)),modifier,stab*eff,AVERAGE(ARRAYFORMULA(FLOOR(base*modifier*SEQUENCE(16,1,85,1)/100)))*MIN(1,acc/100)),0)</f>
        <v/>
      </c>
      <c r="N929" s="4">
        <f>IFERROR(LET(mtype,XLOOKUP($D929,'Move Editor'!$B:$B,'Move Editor'!$C:$C,""),cat,XLOOKUP($D929,'Move Editor'!$B:$B,'Move Editor'!$D:$D,""),pow,XLOOKUP($D929,'Move Editor'!$B:$B,'Move Editor'!$E:$E,0),acc,XLOOKUP($D929,'Move Editor'!$B:$B,'Move Editor'!$F:$F,100),atk,IF(cat="Physical",FLOOR((FLOOR(((2*XLOOKUP(XLOOKUP($Q929,'Threshold Summary'!$Y:$Y,'Threshold Summary'!$K:$K,""),'Pokemon Editor'!$A:$A,'Pokemon Editor'!$F:$F,0)+31+FLOOR(XLOOKUP($Q929,'Threshold Summary'!$Y:$Y,'Threshold Summary'!$P:$P,"")/4))*XLOOKUP($Q929,'Threshold Summary'!$Y:$Y,'Threshold Summary'!$L:$L,""))/100)+5)*XLOOKUP(XLOOKUP($Q929,'Threshold Summary'!$Y:$Y,'Threshold Summary'!$M:$M,""),'Nature Editor'!$A:$A,'Nature Editor'!$B:$B,1)),FLOOR((FLOOR(((2*XLOOKUP(XLOOKUP($Q929,'Threshold Summary'!$Y:$Y,'Threshold Summary'!$K:$K,""),'Pokemon Editor'!$A:$A,'Pokemon Editor'!$H:$H,0)+31+FLOOR(XLOOKUP($Q929,'Threshold Summary'!$Y:$Y,'Threshold Summary'!$R:$R,"")/4))*XLOOKUP($Q929,'Threshold Summary'!$Y:$Y,'Threshold Summary'!$L:$L,""))/100)+5)*XLOOKUP(XLOOKUP($Q929,'Threshold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Editor'!$E:$E,1))),stab,IF(OR(mtype=XLOOKUP(XLOOKUP($Q929,'Threshold Summary'!$Y:$Y,'Threshold Summary'!$K:$K,""),'Pokemon Editor'!$A:$A,'Pokemon Editor'!$C:$C,""),mtype=XLOOKUP(XLOOKUP($Q929,'Threshold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Chart'!$B$1:$S$1,0)))),base,IF(OR(cat="Status",pow=0),0,FLOOR(FLOOR(FLOOR((2*XLOOKUP($Q929,'Threshold Summary'!$Y:$Y,'Threshold Summary'!$L:$L,"")/5+2)*pow*atk/def)/50)+2)),modifier,stab*eff,AVERAGE(ARRAYFORMULA(FLOOR(base*modifier*SEQUENCE(16,1,85,1)/100)))/(FLOOR(((2*XLOOKUP('Boss Editor'!$C$4,'Pokemon Editor'!$A:$A,'Pokemon Editor'!$E:$E,0)+31+FLOOR('Boss Editor'!$G$4/4))*'Boss Editor'!$D$4)/100)+'Boss Editor'!$D$4+10)),0)</f>
        <v/>
      </c>
      <c r="O929" s="3">
        <f>IF(N929&gt;=1,"OHKO",IF(N929&gt;=0.5,"2HKO",IF(N929&gt;=0.333,"3HKO",IF(N929&gt;=0.25,"4HKO","5HKO+"))))</f>
        <v/>
      </c>
      <c r="P929" s="3" t="inlineStr">
        <is>
          <t>Live from editable databases</t>
        </is>
      </c>
      <c r="Q929" s="3" t="inlineStr">
        <is>
          <t>SPECIES_TANDEMAUS</t>
        </is>
      </c>
      <c r="R929" s="3" t="n">
        <v>32</v>
      </c>
    </row>
    <row r="930">
      <c r="A930" s="3">
        <f>XLOOKUP($Q930,'Threshold Summary'!$Y:$Y,'Threshold Summary'!$A:$A,"")</f>
        <v/>
      </c>
      <c r="B930" s="3">
        <f>XLOOKUP($Q930,'Threshold Summary'!$Y:$Y,'Threshold Summary'!$M:$M,"")</f>
        <v/>
      </c>
      <c r="C930" s="3">
        <f>XLOOKUP($Q930,'Threshold Summary'!$Y:$Y,'Threshold Summary'!$N:$N,"")</f>
        <v/>
      </c>
      <c r="D930" s="3">
        <f>IFERROR(INDEX(FILTER('Learnset Editor'!$D$2:$D,'Learnset Editor'!$A$2:$A=XLOOKUP($Q930,'Threshold Summary'!$Y:$Y,'Threshold Summary'!$K:$K,""),'Learnset Editor'!$C$2:$C&lt;=XLOOKUP($Q930,'Threshold Summary'!$Y:$Y,'Threshold Summary'!$L:$L,"")),$R930),"")</f>
        <v/>
      </c>
      <c r="E930" s="3">
        <f>XLOOKUP(D930,'Move Editor'!$B:$B,'Move Editor'!$C:$C,"")</f>
        <v/>
      </c>
      <c r="F930" s="3">
        <f>XLOOKUP(D930,'Move Editor'!$B:$B,'Move Editor'!$D:$D,"")</f>
        <v/>
      </c>
      <c r="G930" s="3">
        <f>XLOOKUP(D930,'Move Editor'!$B:$B,'Move Editor'!$E:$E,0)</f>
        <v/>
      </c>
      <c r="H930" s="3">
        <f>XLOOKUP(D930,'Move Editor'!$B:$B,'Move Editor'!$F:$F,0)</f>
        <v/>
      </c>
      <c r="I930" s="3">
        <f>(INDEX('Type Chart'!$B:$S,MATCH(E930,'Type Chart'!$A:$A,0),MATCH(XLOOKUP('Boss Editor'!$C$4,'Pokemon Editor'!$A:$A,'Pokemon Editor'!$C:$C,""),'Type Chart'!$B$1:$S$1,0))*IF(XLOOKUP('Boss Editor'!$C$4,'Pokemon Editor'!$A:$A,'Pokemon Editor'!$D:$D,"")="",1,INDEX('Type Chart'!$B:$S,MATCH(E930,'Type Chart'!$A:$A,0),MATCH(XLOOKUP('Boss Editor'!$C$4,'Pokemon Editor'!$A:$A,'Pokemon Editor'!$D:$D,""),'Type Chart'!$B$1:$S$1,0))))</f>
        <v/>
      </c>
      <c r="J930" s="3">
        <f>IFERROR(LET(mtype,XLOOKUP($D930,'Move Editor'!$B:$B,'Move Editor'!$C:$C,""),cat,XLOOKUP($D930,'Move Editor'!$B:$B,'Move Editor'!$D:$D,""),pow,XLOOKUP($D930,'Move Editor'!$B:$B,'Move Editor'!$E:$E,0),acc,XLOOKUP($D930,'Move Editor'!$B:$B,'Move Editor'!$F:$F,100),atk,IF(cat="Physical",FLOOR((FLOOR(((2*XLOOKUP(XLOOKUP($Q930,'Threshold Summary'!$Y:$Y,'Threshold Summary'!$K:$K,""),'Pokemon Editor'!$A:$A,'Pokemon Editor'!$F:$F,0)+31+FLOOR(XLOOKUP($Q930,'Threshold Summary'!$Y:$Y,'Threshold Summary'!$P:$P,"")/4))*XLOOKUP($Q930,'Threshold Summary'!$Y:$Y,'Threshold Summary'!$L:$L,""))/100)+5)*XLOOKUP(XLOOKUP($Q930,'Threshold Summary'!$Y:$Y,'Threshold Summary'!$M:$M,""),'Nature Editor'!$A:$A,'Nature Editor'!$B:$B,1)),FLOOR((FLOOR(((2*XLOOKUP(XLOOKUP($Q930,'Threshold Summary'!$Y:$Y,'Threshold Summary'!$K:$K,""),'Pokemon Editor'!$A:$A,'Pokemon Editor'!$H:$H,0)+31+FLOOR(XLOOKUP($Q930,'Threshold Summary'!$Y:$Y,'Threshold Summary'!$R:$R,"")/4))*XLOOKUP($Q930,'Threshold Summary'!$Y:$Y,'Threshold Summary'!$L:$L,""))/100)+5)*XLOOKUP(XLOOKUP($Q930,'Threshold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Editor'!$E:$E,1))),stab,IF(OR(mtype=XLOOKUP(XLOOKUP($Q930,'Threshold Summary'!$Y:$Y,'Threshold Summary'!$K:$K,""),'Pokemon Editor'!$A:$A,'Pokemon Editor'!$C:$C,""),mtype=XLOOKUP(XLOOKUP($Q930,'Threshold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Chart'!$B$1:$S$1,0)))),base,IF(OR(cat="Status",pow=0),0,FLOOR(FLOOR(FLOOR((2*XLOOKUP($Q930,'Threshold Summary'!$Y:$Y,'Threshold Summary'!$L:$L,"")/5+2)*pow*atk/def)/50)+2)),modifier,stab*eff,FLOOR(base*modifier*0.85)),0)</f>
        <v/>
      </c>
      <c r="K930" s="3">
        <f>IFERROR(LET(mtype,XLOOKUP($D930,'Move Editor'!$B:$B,'Move Editor'!$C:$C,""),cat,XLOOKUP($D930,'Move Editor'!$B:$B,'Move Editor'!$D:$D,""),pow,XLOOKUP($D930,'Move Editor'!$B:$B,'Move Editor'!$E:$E,0),acc,XLOOKUP($D930,'Move Editor'!$B:$B,'Move Editor'!$F:$F,100),atk,IF(cat="Physical",FLOOR((FLOOR(((2*XLOOKUP(XLOOKUP($Q930,'Threshold Summary'!$Y:$Y,'Threshold Summary'!$K:$K,""),'Pokemon Editor'!$A:$A,'Pokemon Editor'!$F:$F,0)+31+FLOOR(XLOOKUP($Q930,'Threshold Summary'!$Y:$Y,'Threshold Summary'!$P:$P,"")/4))*XLOOKUP($Q930,'Threshold Summary'!$Y:$Y,'Threshold Summary'!$L:$L,""))/100)+5)*XLOOKUP(XLOOKUP($Q930,'Threshold Summary'!$Y:$Y,'Threshold Summary'!$M:$M,""),'Nature Editor'!$A:$A,'Nature Editor'!$B:$B,1)),FLOOR((FLOOR(((2*XLOOKUP(XLOOKUP($Q930,'Threshold Summary'!$Y:$Y,'Threshold Summary'!$K:$K,""),'Pokemon Editor'!$A:$A,'Pokemon Editor'!$H:$H,0)+31+FLOOR(XLOOKUP($Q930,'Threshold Summary'!$Y:$Y,'Threshold Summary'!$R:$R,"")/4))*XLOOKUP($Q930,'Threshold Summary'!$Y:$Y,'Threshold Summary'!$L:$L,""))/100)+5)*XLOOKUP(XLOOKUP($Q930,'Threshold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Editor'!$E:$E,1))),stab,IF(OR(mtype=XLOOKUP(XLOOKUP($Q930,'Threshold Summary'!$Y:$Y,'Threshold Summary'!$K:$K,""),'Pokemon Editor'!$A:$A,'Pokemon Editor'!$C:$C,""),mtype=XLOOKUP(XLOOKUP($Q930,'Threshold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Chart'!$B$1:$S$1,0)))),base,IF(OR(cat="Status",pow=0),0,FLOOR(FLOOR(FLOOR((2*XLOOKUP($Q930,'Threshold Summary'!$Y:$Y,'Threshold Summary'!$L:$L,"")/5+2)*pow*atk/def)/50)+2)),modifier,stab*eff,FLOOR(base*modifier)),0)</f>
        <v/>
      </c>
      <c r="L930" s="3">
        <f>IFERROR(LET(mtype,XLOOKUP($D930,'Move Editor'!$B:$B,'Move Editor'!$C:$C,""),cat,XLOOKUP($D930,'Move Editor'!$B:$B,'Move Editor'!$D:$D,""),pow,XLOOKUP($D930,'Move Editor'!$B:$B,'Move Editor'!$E:$E,0),acc,XLOOKUP($D930,'Move Editor'!$B:$B,'Move Editor'!$F:$F,100),atk,IF(cat="Physical",FLOOR((FLOOR(((2*XLOOKUP(XLOOKUP($Q930,'Threshold Summary'!$Y:$Y,'Threshold Summary'!$K:$K,""),'Pokemon Editor'!$A:$A,'Pokemon Editor'!$F:$F,0)+31+FLOOR(XLOOKUP($Q930,'Threshold Summary'!$Y:$Y,'Threshold Summary'!$P:$P,"")/4))*XLOOKUP($Q930,'Threshold Summary'!$Y:$Y,'Threshold Summary'!$L:$L,""))/100)+5)*XLOOKUP(XLOOKUP($Q930,'Threshold Summary'!$Y:$Y,'Threshold Summary'!$M:$M,""),'Nature Editor'!$A:$A,'Nature Editor'!$B:$B,1)),FLOOR((FLOOR(((2*XLOOKUP(XLOOKUP($Q930,'Threshold Summary'!$Y:$Y,'Threshold Summary'!$K:$K,""),'Pokemon Editor'!$A:$A,'Pokemon Editor'!$H:$H,0)+31+FLOOR(XLOOKUP($Q930,'Threshold Summary'!$Y:$Y,'Threshold Summary'!$R:$R,"")/4))*XLOOKUP($Q930,'Threshold Summary'!$Y:$Y,'Threshold Summary'!$L:$L,""))/100)+5)*XLOOKUP(XLOOKUP($Q930,'Threshold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Editor'!$E:$E,1))),stab,IF(OR(mtype=XLOOKUP(XLOOKUP($Q930,'Threshold Summary'!$Y:$Y,'Threshold Summary'!$K:$K,""),'Pokemon Editor'!$A:$A,'Pokemon Editor'!$C:$C,""),mtype=XLOOKUP(XLOOKUP($Q930,'Threshold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Chart'!$B$1:$S$1,0)))),base,IF(OR(cat="Status",pow=0),0,FLOOR(FLOOR(FLOOR((2*XLOOKUP($Q930,'Threshold Summary'!$Y:$Y,'Threshold Summary'!$L:$L,"")/5+2)*pow*atk/def)/50)+2)),modifier,stab*eff,AVERAGE(ARRAYFORMULA(FLOOR(base*modifier*SEQUENCE(16,1,85,1)/100)))),0)</f>
        <v/>
      </c>
      <c r="M930" s="3">
        <f>IFERROR(LET(mtype,XLOOKUP($D930,'Move Editor'!$B:$B,'Move Editor'!$C:$C,""),cat,XLOOKUP($D930,'Move Editor'!$B:$B,'Move Editor'!$D:$D,""),pow,XLOOKUP($D930,'Move Editor'!$B:$B,'Move Editor'!$E:$E,0),acc,XLOOKUP($D930,'Move Editor'!$B:$B,'Move Editor'!$F:$F,100),atk,IF(cat="Physical",FLOOR((FLOOR(((2*XLOOKUP(XLOOKUP($Q930,'Threshold Summary'!$Y:$Y,'Threshold Summary'!$K:$K,""),'Pokemon Editor'!$A:$A,'Pokemon Editor'!$F:$F,0)+31+FLOOR(XLOOKUP($Q930,'Threshold Summary'!$Y:$Y,'Threshold Summary'!$P:$P,"")/4))*XLOOKUP($Q930,'Threshold Summary'!$Y:$Y,'Threshold Summary'!$L:$L,""))/100)+5)*XLOOKUP(XLOOKUP($Q930,'Threshold Summary'!$Y:$Y,'Threshold Summary'!$M:$M,""),'Nature Editor'!$A:$A,'Nature Editor'!$B:$B,1)),FLOOR((FLOOR(((2*XLOOKUP(XLOOKUP($Q930,'Threshold Summary'!$Y:$Y,'Threshold Summary'!$K:$K,""),'Pokemon Editor'!$A:$A,'Pokemon Editor'!$H:$H,0)+31+FLOOR(XLOOKUP($Q930,'Threshold Summary'!$Y:$Y,'Threshold Summary'!$R:$R,"")/4))*XLOOKUP($Q930,'Threshold Summary'!$Y:$Y,'Threshold Summary'!$L:$L,""))/100)+5)*XLOOKUP(XLOOKUP($Q930,'Threshold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Editor'!$E:$E,1))),stab,IF(OR(mtype=XLOOKUP(XLOOKUP($Q930,'Threshold Summary'!$Y:$Y,'Threshold Summary'!$K:$K,""),'Pokemon Editor'!$A:$A,'Pokemon Editor'!$C:$C,""),mtype=XLOOKUP(XLOOKUP($Q930,'Threshold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Chart'!$B$1:$S$1,0)))),base,IF(OR(cat="Status",pow=0),0,FLOOR(FLOOR(FLOOR((2*XLOOKUP($Q930,'Threshold Summary'!$Y:$Y,'Threshold Summary'!$L:$L,"")/5+2)*pow*atk/def)/50)+2)),modifier,stab*eff,AVERAGE(ARRAYFORMULA(FLOOR(base*modifier*SEQUENCE(16,1,85,1)/100)))*MIN(1,acc/100)),0)</f>
        <v/>
      </c>
      <c r="N930" s="4">
        <f>IFERROR(LET(mtype,XLOOKUP($D930,'Move Editor'!$B:$B,'Move Editor'!$C:$C,""),cat,XLOOKUP($D930,'Move Editor'!$B:$B,'Move Editor'!$D:$D,""),pow,XLOOKUP($D930,'Move Editor'!$B:$B,'Move Editor'!$E:$E,0),acc,XLOOKUP($D930,'Move Editor'!$B:$B,'Move Editor'!$F:$F,100),atk,IF(cat="Physical",FLOOR((FLOOR(((2*XLOOKUP(XLOOKUP($Q930,'Threshold Summary'!$Y:$Y,'Threshold Summary'!$K:$K,""),'Pokemon Editor'!$A:$A,'Pokemon Editor'!$F:$F,0)+31+FLOOR(XLOOKUP($Q930,'Threshold Summary'!$Y:$Y,'Threshold Summary'!$P:$P,"")/4))*XLOOKUP($Q930,'Threshold Summary'!$Y:$Y,'Threshold Summary'!$L:$L,""))/100)+5)*XLOOKUP(XLOOKUP($Q930,'Threshold Summary'!$Y:$Y,'Threshold Summary'!$M:$M,""),'Nature Editor'!$A:$A,'Nature Editor'!$B:$B,1)),FLOOR((FLOOR(((2*XLOOKUP(XLOOKUP($Q930,'Threshold Summary'!$Y:$Y,'Threshold Summary'!$K:$K,""),'Pokemon Editor'!$A:$A,'Pokemon Editor'!$H:$H,0)+31+FLOOR(XLOOKUP($Q930,'Threshold Summary'!$Y:$Y,'Threshold Summary'!$R:$R,"")/4))*XLOOKUP($Q930,'Threshold Summary'!$Y:$Y,'Threshold Summary'!$L:$L,""))/100)+5)*XLOOKUP(XLOOKUP($Q930,'Threshold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Editor'!$E:$E,1))),stab,IF(OR(mtype=XLOOKUP(XLOOKUP($Q930,'Threshold Summary'!$Y:$Y,'Threshold Summary'!$K:$K,""),'Pokemon Editor'!$A:$A,'Pokemon Editor'!$C:$C,""),mtype=XLOOKUP(XLOOKUP($Q930,'Threshold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Chart'!$B$1:$S$1,0)))),base,IF(OR(cat="Status",pow=0),0,FLOOR(FLOOR(FLOOR((2*XLOOKUP($Q930,'Threshold Summary'!$Y:$Y,'Threshold Summary'!$L:$L,"")/5+2)*pow*atk/def)/50)+2)),modifier,stab*eff,AVERAGE(ARRAYFORMULA(FLOOR(base*modifier*SEQUENCE(16,1,85,1)/100)))/(FLOOR(((2*XLOOKUP('Boss Editor'!$C$4,'Pokemon Editor'!$A:$A,'Pokemon Editor'!$E:$E,0)+31+FLOOR('Boss Editor'!$G$4/4))*'Boss Editor'!$D$4)/100)+'Boss Editor'!$D$4+10)),0)</f>
        <v/>
      </c>
      <c r="O930" s="3">
        <f>IF(N930&gt;=1,"OHKO",IF(N930&gt;=0.5,"2HKO",IF(N930&gt;=0.333,"3HKO",IF(N930&gt;=0.25,"4HKO","5HKO+"))))</f>
        <v/>
      </c>
      <c r="P930" s="3" t="inlineStr">
        <is>
          <t>Live from editable databases</t>
        </is>
      </c>
      <c r="Q930" s="3" t="inlineStr">
        <is>
          <t>SPECIES_CHARCADET</t>
        </is>
      </c>
      <c r="R930" s="3" t="n">
        <v>1</v>
      </c>
    </row>
    <row r="931">
      <c r="A931" s="3">
        <f>XLOOKUP($Q931,'Threshold Summary'!$Y:$Y,'Threshold Summary'!$A:$A,"")</f>
        <v/>
      </c>
      <c r="B931" s="3">
        <f>XLOOKUP($Q931,'Threshold Summary'!$Y:$Y,'Threshold Summary'!$M:$M,"")</f>
        <v/>
      </c>
      <c r="C931" s="3">
        <f>XLOOKUP($Q931,'Threshold Summary'!$Y:$Y,'Threshold Summary'!$N:$N,"")</f>
        <v/>
      </c>
      <c r="D931" s="3">
        <f>IFERROR(INDEX(FILTER('Learnset Editor'!$D$2:$D,'Learnset Editor'!$A$2:$A=XLOOKUP($Q931,'Threshold Summary'!$Y:$Y,'Threshold Summary'!$K:$K,""),'Learnset Editor'!$C$2:$C&lt;=XLOOKUP($Q931,'Threshold Summary'!$Y:$Y,'Threshold Summary'!$L:$L,"")),$R931),"")</f>
        <v/>
      </c>
      <c r="E931" s="3">
        <f>XLOOKUP(D931,'Move Editor'!$B:$B,'Move Editor'!$C:$C,"")</f>
        <v/>
      </c>
      <c r="F931" s="3">
        <f>XLOOKUP(D931,'Move Editor'!$B:$B,'Move Editor'!$D:$D,"")</f>
        <v/>
      </c>
      <c r="G931" s="3">
        <f>XLOOKUP(D931,'Move Editor'!$B:$B,'Move Editor'!$E:$E,0)</f>
        <v/>
      </c>
      <c r="H931" s="3">
        <f>XLOOKUP(D931,'Move Editor'!$B:$B,'Move Editor'!$F:$F,0)</f>
        <v/>
      </c>
      <c r="I931" s="3">
        <f>(INDEX('Type Chart'!$B:$S,MATCH(E931,'Type Chart'!$A:$A,0),MATCH(XLOOKUP('Boss Editor'!$C$4,'Pokemon Editor'!$A:$A,'Pokemon Editor'!$C:$C,""),'Type Chart'!$B$1:$S$1,0))*IF(XLOOKUP('Boss Editor'!$C$4,'Pokemon Editor'!$A:$A,'Pokemon Editor'!$D:$D,"")="",1,INDEX('Type Chart'!$B:$S,MATCH(E931,'Type Chart'!$A:$A,0),MATCH(XLOOKUP('Boss Editor'!$C$4,'Pokemon Editor'!$A:$A,'Pokemon Editor'!$D:$D,""),'Type Chart'!$B$1:$S$1,0))))</f>
        <v/>
      </c>
      <c r="J931" s="3">
        <f>IFERROR(LET(mtype,XLOOKUP($D931,'Move Editor'!$B:$B,'Move Editor'!$C:$C,""),cat,XLOOKUP($D931,'Move Editor'!$B:$B,'Move Editor'!$D:$D,""),pow,XLOOKUP($D931,'Move Editor'!$B:$B,'Move Editor'!$E:$E,0),acc,XLOOKUP($D931,'Move Editor'!$B:$B,'Move Editor'!$F:$F,100),atk,IF(cat="Physical",FLOOR((FLOOR(((2*XLOOKUP(XLOOKUP($Q931,'Threshold Summary'!$Y:$Y,'Threshold Summary'!$K:$K,""),'Pokemon Editor'!$A:$A,'Pokemon Editor'!$F:$F,0)+31+FLOOR(XLOOKUP($Q931,'Threshold Summary'!$Y:$Y,'Threshold Summary'!$P:$P,"")/4))*XLOOKUP($Q931,'Threshold Summary'!$Y:$Y,'Threshold Summary'!$L:$L,""))/100)+5)*XLOOKUP(XLOOKUP($Q931,'Threshold Summary'!$Y:$Y,'Threshold Summary'!$M:$M,""),'Nature Editor'!$A:$A,'Nature Editor'!$B:$B,1)),FLOOR((FLOOR(((2*XLOOKUP(XLOOKUP($Q931,'Threshold Summary'!$Y:$Y,'Threshold Summary'!$K:$K,""),'Pokemon Editor'!$A:$A,'Pokemon Editor'!$H:$H,0)+31+FLOOR(XLOOKUP($Q931,'Threshold Summary'!$Y:$Y,'Threshold Summary'!$R:$R,"")/4))*XLOOKUP($Q931,'Threshold Summary'!$Y:$Y,'Threshold Summary'!$L:$L,""))/100)+5)*XLOOKUP(XLOOKUP($Q931,'Threshold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Editor'!$E:$E,1))),stab,IF(OR(mtype=XLOOKUP(XLOOKUP($Q931,'Threshold Summary'!$Y:$Y,'Threshold Summary'!$K:$K,""),'Pokemon Editor'!$A:$A,'Pokemon Editor'!$C:$C,""),mtype=XLOOKUP(XLOOKUP($Q931,'Threshold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Chart'!$B$1:$S$1,0)))),base,IF(OR(cat="Status",pow=0),0,FLOOR(FLOOR(FLOOR((2*XLOOKUP($Q931,'Threshold Summary'!$Y:$Y,'Threshold Summary'!$L:$L,"")/5+2)*pow*atk/def)/50)+2)),modifier,stab*eff,FLOOR(base*modifier*0.85)),0)</f>
        <v/>
      </c>
      <c r="K931" s="3">
        <f>IFERROR(LET(mtype,XLOOKUP($D931,'Move Editor'!$B:$B,'Move Editor'!$C:$C,""),cat,XLOOKUP($D931,'Move Editor'!$B:$B,'Move Editor'!$D:$D,""),pow,XLOOKUP($D931,'Move Editor'!$B:$B,'Move Editor'!$E:$E,0),acc,XLOOKUP($D931,'Move Editor'!$B:$B,'Move Editor'!$F:$F,100),atk,IF(cat="Physical",FLOOR((FLOOR(((2*XLOOKUP(XLOOKUP($Q931,'Threshold Summary'!$Y:$Y,'Threshold Summary'!$K:$K,""),'Pokemon Editor'!$A:$A,'Pokemon Editor'!$F:$F,0)+31+FLOOR(XLOOKUP($Q931,'Threshold Summary'!$Y:$Y,'Threshold Summary'!$P:$P,"")/4))*XLOOKUP($Q931,'Threshold Summary'!$Y:$Y,'Threshold Summary'!$L:$L,""))/100)+5)*XLOOKUP(XLOOKUP($Q931,'Threshold Summary'!$Y:$Y,'Threshold Summary'!$M:$M,""),'Nature Editor'!$A:$A,'Nature Editor'!$B:$B,1)),FLOOR((FLOOR(((2*XLOOKUP(XLOOKUP($Q931,'Threshold Summary'!$Y:$Y,'Threshold Summary'!$K:$K,""),'Pokemon Editor'!$A:$A,'Pokemon Editor'!$H:$H,0)+31+FLOOR(XLOOKUP($Q931,'Threshold Summary'!$Y:$Y,'Threshold Summary'!$R:$R,"")/4))*XLOOKUP($Q931,'Threshold Summary'!$Y:$Y,'Threshold Summary'!$L:$L,""))/100)+5)*XLOOKUP(XLOOKUP($Q931,'Threshold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Editor'!$E:$E,1))),stab,IF(OR(mtype=XLOOKUP(XLOOKUP($Q931,'Threshold Summary'!$Y:$Y,'Threshold Summary'!$K:$K,""),'Pokemon Editor'!$A:$A,'Pokemon Editor'!$C:$C,""),mtype=XLOOKUP(XLOOKUP($Q931,'Threshold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Chart'!$B$1:$S$1,0)))),base,IF(OR(cat="Status",pow=0),0,FLOOR(FLOOR(FLOOR((2*XLOOKUP($Q931,'Threshold Summary'!$Y:$Y,'Threshold Summary'!$L:$L,"")/5+2)*pow*atk/def)/50)+2)),modifier,stab*eff,FLOOR(base*modifier)),0)</f>
        <v/>
      </c>
      <c r="L931" s="3">
        <f>IFERROR(LET(mtype,XLOOKUP($D931,'Move Editor'!$B:$B,'Move Editor'!$C:$C,""),cat,XLOOKUP($D931,'Move Editor'!$B:$B,'Move Editor'!$D:$D,""),pow,XLOOKUP($D931,'Move Editor'!$B:$B,'Move Editor'!$E:$E,0),acc,XLOOKUP($D931,'Move Editor'!$B:$B,'Move Editor'!$F:$F,100),atk,IF(cat="Physical",FLOOR((FLOOR(((2*XLOOKUP(XLOOKUP($Q931,'Threshold Summary'!$Y:$Y,'Threshold Summary'!$K:$K,""),'Pokemon Editor'!$A:$A,'Pokemon Editor'!$F:$F,0)+31+FLOOR(XLOOKUP($Q931,'Threshold Summary'!$Y:$Y,'Threshold Summary'!$P:$P,"")/4))*XLOOKUP($Q931,'Threshold Summary'!$Y:$Y,'Threshold Summary'!$L:$L,""))/100)+5)*XLOOKUP(XLOOKUP($Q931,'Threshold Summary'!$Y:$Y,'Threshold Summary'!$M:$M,""),'Nature Editor'!$A:$A,'Nature Editor'!$B:$B,1)),FLOOR((FLOOR(((2*XLOOKUP(XLOOKUP($Q931,'Threshold Summary'!$Y:$Y,'Threshold Summary'!$K:$K,""),'Pokemon Editor'!$A:$A,'Pokemon Editor'!$H:$H,0)+31+FLOOR(XLOOKUP($Q931,'Threshold Summary'!$Y:$Y,'Threshold Summary'!$R:$R,"")/4))*XLOOKUP($Q931,'Threshold Summary'!$Y:$Y,'Threshold Summary'!$L:$L,""))/100)+5)*XLOOKUP(XLOOKUP($Q931,'Threshold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Editor'!$E:$E,1))),stab,IF(OR(mtype=XLOOKUP(XLOOKUP($Q931,'Threshold Summary'!$Y:$Y,'Threshold Summary'!$K:$K,""),'Pokemon Editor'!$A:$A,'Pokemon Editor'!$C:$C,""),mtype=XLOOKUP(XLOOKUP($Q931,'Threshold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Chart'!$B$1:$S$1,0)))),base,IF(OR(cat="Status",pow=0),0,FLOOR(FLOOR(FLOOR((2*XLOOKUP($Q931,'Threshold Summary'!$Y:$Y,'Threshold Summary'!$L:$L,"")/5+2)*pow*atk/def)/50)+2)),modifier,stab*eff,AVERAGE(ARRAYFORMULA(FLOOR(base*modifier*SEQUENCE(16,1,85,1)/100)))),0)</f>
        <v/>
      </c>
      <c r="M931" s="3">
        <f>IFERROR(LET(mtype,XLOOKUP($D931,'Move Editor'!$B:$B,'Move Editor'!$C:$C,""),cat,XLOOKUP($D931,'Move Editor'!$B:$B,'Move Editor'!$D:$D,""),pow,XLOOKUP($D931,'Move Editor'!$B:$B,'Move Editor'!$E:$E,0),acc,XLOOKUP($D931,'Move Editor'!$B:$B,'Move Editor'!$F:$F,100),atk,IF(cat="Physical",FLOOR((FLOOR(((2*XLOOKUP(XLOOKUP($Q931,'Threshold Summary'!$Y:$Y,'Threshold Summary'!$K:$K,""),'Pokemon Editor'!$A:$A,'Pokemon Editor'!$F:$F,0)+31+FLOOR(XLOOKUP($Q931,'Threshold Summary'!$Y:$Y,'Threshold Summary'!$P:$P,"")/4))*XLOOKUP($Q931,'Threshold Summary'!$Y:$Y,'Threshold Summary'!$L:$L,""))/100)+5)*XLOOKUP(XLOOKUP($Q931,'Threshold Summary'!$Y:$Y,'Threshold Summary'!$M:$M,""),'Nature Editor'!$A:$A,'Nature Editor'!$B:$B,1)),FLOOR((FLOOR(((2*XLOOKUP(XLOOKUP($Q931,'Threshold Summary'!$Y:$Y,'Threshold Summary'!$K:$K,""),'Pokemon Editor'!$A:$A,'Pokemon Editor'!$H:$H,0)+31+FLOOR(XLOOKUP($Q931,'Threshold Summary'!$Y:$Y,'Threshold Summary'!$R:$R,"")/4))*XLOOKUP($Q931,'Threshold Summary'!$Y:$Y,'Threshold Summary'!$L:$L,""))/100)+5)*XLOOKUP(XLOOKUP($Q931,'Threshold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Editor'!$E:$E,1))),stab,IF(OR(mtype=XLOOKUP(XLOOKUP($Q931,'Threshold Summary'!$Y:$Y,'Threshold Summary'!$K:$K,""),'Pokemon Editor'!$A:$A,'Pokemon Editor'!$C:$C,""),mtype=XLOOKUP(XLOOKUP($Q931,'Threshold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Chart'!$B$1:$S$1,0)))),base,IF(OR(cat="Status",pow=0),0,FLOOR(FLOOR(FLOOR((2*XLOOKUP($Q931,'Threshold Summary'!$Y:$Y,'Threshold Summary'!$L:$L,"")/5+2)*pow*atk/def)/50)+2)),modifier,stab*eff,AVERAGE(ARRAYFORMULA(FLOOR(base*modifier*SEQUENCE(16,1,85,1)/100)))*MIN(1,acc/100)),0)</f>
        <v/>
      </c>
      <c r="N931" s="4">
        <f>IFERROR(LET(mtype,XLOOKUP($D931,'Move Editor'!$B:$B,'Move Editor'!$C:$C,""),cat,XLOOKUP($D931,'Move Editor'!$B:$B,'Move Editor'!$D:$D,""),pow,XLOOKUP($D931,'Move Editor'!$B:$B,'Move Editor'!$E:$E,0),acc,XLOOKUP($D931,'Move Editor'!$B:$B,'Move Editor'!$F:$F,100),atk,IF(cat="Physical",FLOOR((FLOOR(((2*XLOOKUP(XLOOKUP($Q931,'Threshold Summary'!$Y:$Y,'Threshold Summary'!$K:$K,""),'Pokemon Editor'!$A:$A,'Pokemon Editor'!$F:$F,0)+31+FLOOR(XLOOKUP($Q931,'Threshold Summary'!$Y:$Y,'Threshold Summary'!$P:$P,"")/4))*XLOOKUP($Q931,'Threshold Summary'!$Y:$Y,'Threshold Summary'!$L:$L,""))/100)+5)*XLOOKUP(XLOOKUP($Q931,'Threshold Summary'!$Y:$Y,'Threshold Summary'!$M:$M,""),'Nature Editor'!$A:$A,'Nature Editor'!$B:$B,1)),FLOOR((FLOOR(((2*XLOOKUP(XLOOKUP($Q931,'Threshold Summary'!$Y:$Y,'Threshold Summary'!$K:$K,""),'Pokemon Editor'!$A:$A,'Pokemon Editor'!$H:$H,0)+31+FLOOR(XLOOKUP($Q931,'Threshold Summary'!$Y:$Y,'Threshold Summary'!$R:$R,"")/4))*XLOOKUP($Q931,'Threshold Summary'!$Y:$Y,'Threshold Summary'!$L:$L,""))/100)+5)*XLOOKUP(XLOOKUP($Q931,'Threshold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Editor'!$E:$E,1))),stab,IF(OR(mtype=XLOOKUP(XLOOKUP($Q931,'Threshold Summary'!$Y:$Y,'Threshold Summary'!$K:$K,""),'Pokemon Editor'!$A:$A,'Pokemon Editor'!$C:$C,""),mtype=XLOOKUP(XLOOKUP($Q931,'Threshold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Chart'!$B$1:$S$1,0)))),base,IF(OR(cat="Status",pow=0),0,FLOOR(FLOOR(FLOOR((2*XLOOKUP($Q931,'Threshold Summary'!$Y:$Y,'Threshold Summary'!$L:$L,"")/5+2)*pow*atk/def)/50)+2)),modifier,stab*eff,AVERAGE(ARRAYFORMULA(FLOOR(base*modifier*SEQUENCE(16,1,85,1)/100)))/(FLOOR(((2*XLOOKUP('Boss Editor'!$C$4,'Pokemon Editor'!$A:$A,'Pokemon Editor'!$E:$E,0)+31+FLOOR('Boss Editor'!$G$4/4))*'Boss Editor'!$D$4)/100)+'Boss Editor'!$D$4+10)),0)</f>
        <v/>
      </c>
      <c r="O931" s="3">
        <f>IF(N931&gt;=1,"OHKO",IF(N931&gt;=0.5,"2HKO",IF(N931&gt;=0.333,"3HKO",IF(N931&gt;=0.25,"4HKO","5HKO+"))))</f>
        <v/>
      </c>
      <c r="P931" s="3" t="inlineStr">
        <is>
          <t>Live from editable databases</t>
        </is>
      </c>
      <c r="Q931" s="3" t="inlineStr">
        <is>
          <t>SPECIES_CHARCADET</t>
        </is>
      </c>
      <c r="R931" s="3" t="n">
        <v>2</v>
      </c>
    </row>
    <row r="932">
      <c r="A932" s="3">
        <f>XLOOKUP($Q932,'Threshold Summary'!$Y:$Y,'Threshold Summary'!$A:$A,"")</f>
        <v/>
      </c>
      <c r="B932" s="3">
        <f>XLOOKUP($Q932,'Threshold Summary'!$Y:$Y,'Threshold Summary'!$M:$M,"")</f>
        <v/>
      </c>
      <c r="C932" s="3">
        <f>XLOOKUP($Q932,'Threshold Summary'!$Y:$Y,'Threshold Summary'!$N:$N,"")</f>
        <v/>
      </c>
      <c r="D932" s="3">
        <f>IFERROR(INDEX(FILTER('Learnset Editor'!$D$2:$D,'Learnset Editor'!$A$2:$A=XLOOKUP($Q932,'Threshold Summary'!$Y:$Y,'Threshold Summary'!$K:$K,""),'Learnset Editor'!$C$2:$C&lt;=XLOOKUP($Q932,'Threshold Summary'!$Y:$Y,'Threshold Summary'!$L:$L,"")),$R932),"")</f>
        <v/>
      </c>
      <c r="E932" s="3">
        <f>XLOOKUP(D932,'Move Editor'!$B:$B,'Move Editor'!$C:$C,"")</f>
        <v/>
      </c>
      <c r="F932" s="3">
        <f>XLOOKUP(D932,'Move Editor'!$B:$B,'Move Editor'!$D:$D,"")</f>
        <v/>
      </c>
      <c r="G932" s="3">
        <f>XLOOKUP(D932,'Move Editor'!$B:$B,'Move Editor'!$E:$E,0)</f>
        <v/>
      </c>
      <c r="H932" s="3">
        <f>XLOOKUP(D932,'Move Editor'!$B:$B,'Move Editor'!$F:$F,0)</f>
        <v/>
      </c>
      <c r="I932" s="3">
        <f>(INDEX('Type Chart'!$B:$S,MATCH(E932,'Type Chart'!$A:$A,0),MATCH(XLOOKUP('Boss Editor'!$C$4,'Pokemon Editor'!$A:$A,'Pokemon Editor'!$C:$C,""),'Type Chart'!$B$1:$S$1,0))*IF(XLOOKUP('Boss Editor'!$C$4,'Pokemon Editor'!$A:$A,'Pokemon Editor'!$D:$D,"")="",1,INDEX('Type Chart'!$B:$S,MATCH(E932,'Type Chart'!$A:$A,0),MATCH(XLOOKUP('Boss Editor'!$C$4,'Pokemon Editor'!$A:$A,'Pokemon Editor'!$D:$D,""),'Type Chart'!$B$1:$S$1,0))))</f>
        <v/>
      </c>
      <c r="J932" s="3">
        <f>IFERROR(LET(mtype,XLOOKUP($D932,'Move Editor'!$B:$B,'Move Editor'!$C:$C,""),cat,XLOOKUP($D932,'Move Editor'!$B:$B,'Move Editor'!$D:$D,""),pow,XLOOKUP($D932,'Move Editor'!$B:$B,'Move Editor'!$E:$E,0),acc,XLOOKUP($D932,'Move Editor'!$B:$B,'Move Editor'!$F:$F,100),atk,IF(cat="Physical",FLOOR((FLOOR(((2*XLOOKUP(XLOOKUP($Q932,'Threshold Summary'!$Y:$Y,'Threshold Summary'!$K:$K,""),'Pokemon Editor'!$A:$A,'Pokemon Editor'!$F:$F,0)+31+FLOOR(XLOOKUP($Q932,'Threshold Summary'!$Y:$Y,'Threshold Summary'!$P:$P,"")/4))*XLOOKUP($Q932,'Threshold Summary'!$Y:$Y,'Threshold Summary'!$L:$L,""))/100)+5)*XLOOKUP(XLOOKUP($Q932,'Threshold Summary'!$Y:$Y,'Threshold Summary'!$M:$M,""),'Nature Editor'!$A:$A,'Nature Editor'!$B:$B,1)),FLOOR((FLOOR(((2*XLOOKUP(XLOOKUP($Q932,'Threshold Summary'!$Y:$Y,'Threshold Summary'!$K:$K,""),'Pokemon Editor'!$A:$A,'Pokemon Editor'!$H:$H,0)+31+FLOOR(XLOOKUP($Q932,'Threshold Summary'!$Y:$Y,'Threshold Summary'!$R:$R,"")/4))*XLOOKUP($Q932,'Threshold Summary'!$Y:$Y,'Threshold Summary'!$L:$L,""))/100)+5)*XLOOKUP(XLOOKUP($Q932,'Threshold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Editor'!$E:$E,1))),stab,IF(OR(mtype=XLOOKUP(XLOOKUP($Q932,'Threshold Summary'!$Y:$Y,'Threshold Summary'!$K:$K,""),'Pokemon Editor'!$A:$A,'Pokemon Editor'!$C:$C,""),mtype=XLOOKUP(XLOOKUP($Q932,'Threshold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Chart'!$B$1:$S$1,0)))),base,IF(OR(cat="Status",pow=0),0,FLOOR(FLOOR(FLOOR((2*XLOOKUP($Q932,'Threshold Summary'!$Y:$Y,'Threshold Summary'!$L:$L,"")/5+2)*pow*atk/def)/50)+2)),modifier,stab*eff,FLOOR(base*modifier*0.85)),0)</f>
        <v/>
      </c>
      <c r="K932" s="3">
        <f>IFERROR(LET(mtype,XLOOKUP($D932,'Move Editor'!$B:$B,'Move Editor'!$C:$C,""),cat,XLOOKUP($D932,'Move Editor'!$B:$B,'Move Editor'!$D:$D,""),pow,XLOOKUP($D932,'Move Editor'!$B:$B,'Move Editor'!$E:$E,0),acc,XLOOKUP($D932,'Move Editor'!$B:$B,'Move Editor'!$F:$F,100),atk,IF(cat="Physical",FLOOR((FLOOR(((2*XLOOKUP(XLOOKUP($Q932,'Threshold Summary'!$Y:$Y,'Threshold Summary'!$K:$K,""),'Pokemon Editor'!$A:$A,'Pokemon Editor'!$F:$F,0)+31+FLOOR(XLOOKUP($Q932,'Threshold Summary'!$Y:$Y,'Threshold Summary'!$P:$P,"")/4))*XLOOKUP($Q932,'Threshold Summary'!$Y:$Y,'Threshold Summary'!$L:$L,""))/100)+5)*XLOOKUP(XLOOKUP($Q932,'Threshold Summary'!$Y:$Y,'Threshold Summary'!$M:$M,""),'Nature Editor'!$A:$A,'Nature Editor'!$B:$B,1)),FLOOR((FLOOR(((2*XLOOKUP(XLOOKUP($Q932,'Threshold Summary'!$Y:$Y,'Threshold Summary'!$K:$K,""),'Pokemon Editor'!$A:$A,'Pokemon Editor'!$H:$H,0)+31+FLOOR(XLOOKUP($Q932,'Threshold Summary'!$Y:$Y,'Threshold Summary'!$R:$R,"")/4))*XLOOKUP($Q932,'Threshold Summary'!$Y:$Y,'Threshold Summary'!$L:$L,""))/100)+5)*XLOOKUP(XLOOKUP($Q932,'Threshold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Editor'!$E:$E,1))),stab,IF(OR(mtype=XLOOKUP(XLOOKUP($Q932,'Threshold Summary'!$Y:$Y,'Threshold Summary'!$K:$K,""),'Pokemon Editor'!$A:$A,'Pokemon Editor'!$C:$C,""),mtype=XLOOKUP(XLOOKUP($Q932,'Threshold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Chart'!$B$1:$S$1,0)))),base,IF(OR(cat="Status",pow=0),0,FLOOR(FLOOR(FLOOR((2*XLOOKUP($Q932,'Threshold Summary'!$Y:$Y,'Threshold Summary'!$L:$L,"")/5+2)*pow*atk/def)/50)+2)),modifier,stab*eff,FLOOR(base*modifier)),0)</f>
        <v/>
      </c>
      <c r="L932" s="3">
        <f>IFERROR(LET(mtype,XLOOKUP($D932,'Move Editor'!$B:$B,'Move Editor'!$C:$C,""),cat,XLOOKUP($D932,'Move Editor'!$B:$B,'Move Editor'!$D:$D,""),pow,XLOOKUP($D932,'Move Editor'!$B:$B,'Move Editor'!$E:$E,0),acc,XLOOKUP($D932,'Move Editor'!$B:$B,'Move Editor'!$F:$F,100),atk,IF(cat="Physical",FLOOR((FLOOR(((2*XLOOKUP(XLOOKUP($Q932,'Threshold Summary'!$Y:$Y,'Threshold Summary'!$K:$K,""),'Pokemon Editor'!$A:$A,'Pokemon Editor'!$F:$F,0)+31+FLOOR(XLOOKUP($Q932,'Threshold Summary'!$Y:$Y,'Threshold Summary'!$P:$P,"")/4))*XLOOKUP($Q932,'Threshold Summary'!$Y:$Y,'Threshold Summary'!$L:$L,""))/100)+5)*XLOOKUP(XLOOKUP($Q932,'Threshold Summary'!$Y:$Y,'Threshold Summary'!$M:$M,""),'Nature Editor'!$A:$A,'Nature Editor'!$B:$B,1)),FLOOR((FLOOR(((2*XLOOKUP(XLOOKUP($Q932,'Threshold Summary'!$Y:$Y,'Threshold Summary'!$K:$K,""),'Pokemon Editor'!$A:$A,'Pokemon Editor'!$H:$H,0)+31+FLOOR(XLOOKUP($Q932,'Threshold Summary'!$Y:$Y,'Threshold Summary'!$R:$R,"")/4))*XLOOKUP($Q932,'Threshold Summary'!$Y:$Y,'Threshold Summary'!$L:$L,""))/100)+5)*XLOOKUP(XLOOKUP($Q932,'Threshold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Editor'!$E:$E,1))),stab,IF(OR(mtype=XLOOKUP(XLOOKUP($Q932,'Threshold Summary'!$Y:$Y,'Threshold Summary'!$K:$K,""),'Pokemon Editor'!$A:$A,'Pokemon Editor'!$C:$C,""),mtype=XLOOKUP(XLOOKUP($Q932,'Threshold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Chart'!$B$1:$S$1,0)))),base,IF(OR(cat="Status",pow=0),0,FLOOR(FLOOR(FLOOR((2*XLOOKUP($Q932,'Threshold Summary'!$Y:$Y,'Threshold Summary'!$L:$L,"")/5+2)*pow*atk/def)/50)+2)),modifier,stab*eff,AVERAGE(ARRAYFORMULA(FLOOR(base*modifier*SEQUENCE(16,1,85,1)/100)))),0)</f>
        <v/>
      </c>
      <c r="M932" s="3">
        <f>IFERROR(LET(mtype,XLOOKUP($D932,'Move Editor'!$B:$B,'Move Editor'!$C:$C,""),cat,XLOOKUP($D932,'Move Editor'!$B:$B,'Move Editor'!$D:$D,""),pow,XLOOKUP($D932,'Move Editor'!$B:$B,'Move Editor'!$E:$E,0),acc,XLOOKUP($D932,'Move Editor'!$B:$B,'Move Editor'!$F:$F,100),atk,IF(cat="Physical",FLOOR((FLOOR(((2*XLOOKUP(XLOOKUP($Q932,'Threshold Summary'!$Y:$Y,'Threshold Summary'!$K:$K,""),'Pokemon Editor'!$A:$A,'Pokemon Editor'!$F:$F,0)+31+FLOOR(XLOOKUP($Q932,'Threshold Summary'!$Y:$Y,'Threshold Summary'!$P:$P,"")/4))*XLOOKUP($Q932,'Threshold Summary'!$Y:$Y,'Threshold Summary'!$L:$L,""))/100)+5)*XLOOKUP(XLOOKUP($Q932,'Threshold Summary'!$Y:$Y,'Threshold Summary'!$M:$M,""),'Nature Editor'!$A:$A,'Nature Editor'!$B:$B,1)),FLOOR((FLOOR(((2*XLOOKUP(XLOOKUP($Q932,'Threshold Summary'!$Y:$Y,'Threshold Summary'!$K:$K,""),'Pokemon Editor'!$A:$A,'Pokemon Editor'!$H:$H,0)+31+FLOOR(XLOOKUP($Q932,'Threshold Summary'!$Y:$Y,'Threshold Summary'!$R:$R,"")/4))*XLOOKUP($Q932,'Threshold Summary'!$Y:$Y,'Threshold Summary'!$L:$L,""))/100)+5)*XLOOKUP(XLOOKUP($Q932,'Threshold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Editor'!$E:$E,1))),stab,IF(OR(mtype=XLOOKUP(XLOOKUP($Q932,'Threshold Summary'!$Y:$Y,'Threshold Summary'!$K:$K,""),'Pokemon Editor'!$A:$A,'Pokemon Editor'!$C:$C,""),mtype=XLOOKUP(XLOOKUP($Q932,'Threshold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Chart'!$B$1:$S$1,0)))),base,IF(OR(cat="Status",pow=0),0,FLOOR(FLOOR(FLOOR((2*XLOOKUP($Q932,'Threshold Summary'!$Y:$Y,'Threshold Summary'!$L:$L,"")/5+2)*pow*atk/def)/50)+2)),modifier,stab*eff,AVERAGE(ARRAYFORMULA(FLOOR(base*modifier*SEQUENCE(16,1,85,1)/100)))*MIN(1,acc/100)),0)</f>
        <v/>
      </c>
      <c r="N932" s="4">
        <f>IFERROR(LET(mtype,XLOOKUP($D932,'Move Editor'!$B:$B,'Move Editor'!$C:$C,""),cat,XLOOKUP($D932,'Move Editor'!$B:$B,'Move Editor'!$D:$D,""),pow,XLOOKUP($D932,'Move Editor'!$B:$B,'Move Editor'!$E:$E,0),acc,XLOOKUP($D932,'Move Editor'!$B:$B,'Move Editor'!$F:$F,100),atk,IF(cat="Physical",FLOOR((FLOOR(((2*XLOOKUP(XLOOKUP($Q932,'Threshold Summary'!$Y:$Y,'Threshold Summary'!$K:$K,""),'Pokemon Editor'!$A:$A,'Pokemon Editor'!$F:$F,0)+31+FLOOR(XLOOKUP($Q932,'Threshold Summary'!$Y:$Y,'Threshold Summary'!$P:$P,"")/4))*XLOOKUP($Q932,'Threshold Summary'!$Y:$Y,'Threshold Summary'!$L:$L,""))/100)+5)*XLOOKUP(XLOOKUP($Q932,'Threshold Summary'!$Y:$Y,'Threshold Summary'!$M:$M,""),'Nature Editor'!$A:$A,'Nature Editor'!$B:$B,1)),FLOOR((FLOOR(((2*XLOOKUP(XLOOKUP($Q932,'Threshold Summary'!$Y:$Y,'Threshold Summary'!$K:$K,""),'Pokemon Editor'!$A:$A,'Pokemon Editor'!$H:$H,0)+31+FLOOR(XLOOKUP($Q932,'Threshold Summary'!$Y:$Y,'Threshold Summary'!$R:$R,"")/4))*XLOOKUP($Q932,'Threshold Summary'!$Y:$Y,'Threshold Summary'!$L:$L,""))/100)+5)*XLOOKUP(XLOOKUP($Q932,'Threshold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Editor'!$E:$E,1))),stab,IF(OR(mtype=XLOOKUP(XLOOKUP($Q932,'Threshold Summary'!$Y:$Y,'Threshold Summary'!$K:$K,""),'Pokemon Editor'!$A:$A,'Pokemon Editor'!$C:$C,""),mtype=XLOOKUP(XLOOKUP($Q932,'Threshold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Chart'!$B$1:$S$1,0)))),base,IF(OR(cat="Status",pow=0),0,FLOOR(FLOOR(FLOOR((2*XLOOKUP($Q932,'Threshold Summary'!$Y:$Y,'Threshold Summary'!$L:$L,"")/5+2)*pow*atk/def)/50)+2)),modifier,stab*eff,AVERAGE(ARRAYFORMULA(FLOOR(base*modifier*SEQUENCE(16,1,85,1)/100)))/(FLOOR(((2*XLOOKUP('Boss Editor'!$C$4,'Pokemon Editor'!$A:$A,'Pokemon Editor'!$E:$E,0)+31+FLOOR('Boss Editor'!$G$4/4))*'Boss Editor'!$D$4)/100)+'Boss Editor'!$D$4+10)),0)</f>
        <v/>
      </c>
      <c r="O932" s="3">
        <f>IF(N932&gt;=1,"OHKO",IF(N932&gt;=0.5,"2HKO",IF(N932&gt;=0.333,"3HKO",IF(N932&gt;=0.25,"4HKO","5HKO+"))))</f>
        <v/>
      </c>
      <c r="P932" s="3" t="inlineStr">
        <is>
          <t>Live from editable databases</t>
        </is>
      </c>
      <c r="Q932" s="3" t="inlineStr">
        <is>
          <t>SPECIES_CHARCADET</t>
        </is>
      </c>
      <c r="R932" s="3" t="n">
        <v>3</v>
      </c>
    </row>
    <row r="933">
      <c r="A933" s="3">
        <f>XLOOKUP($Q933,'Threshold Summary'!$Y:$Y,'Threshold Summary'!$A:$A,"")</f>
        <v/>
      </c>
      <c r="B933" s="3">
        <f>XLOOKUP($Q933,'Threshold Summary'!$Y:$Y,'Threshold Summary'!$M:$M,"")</f>
        <v/>
      </c>
      <c r="C933" s="3">
        <f>XLOOKUP($Q933,'Threshold Summary'!$Y:$Y,'Threshold Summary'!$N:$N,"")</f>
        <v/>
      </c>
      <c r="D933" s="3">
        <f>IFERROR(INDEX(FILTER('Learnset Editor'!$D$2:$D,'Learnset Editor'!$A$2:$A=XLOOKUP($Q933,'Threshold Summary'!$Y:$Y,'Threshold Summary'!$K:$K,""),'Learnset Editor'!$C$2:$C&lt;=XLOOKUP($Q933,'Threshold Summary'!$Y:$Y,'Threshold Summary'!$L:$L,"")),$R933),"")</f>
        <v/>
      </c>
      <c r="E933" s="3">
        <f>XLOOKUP(D933,'Move Editor'!$B:$B,'Move Editor'!$C:$C,"")</f>
        <v/>
      </c>
      <c r="F933" s="3">
        <f>XLOOKUP(D933,'Move Editor'!$B:$B,'Move Editor'!$D:$D,"")</f>
        <v/>
      </c>
      <c r="G933" s="3">
        <f>XLOOKUP(D933,'Move Editor'!$B:$B,'Move Editor'!$E:$E,0)</f>
        <v/>
      </c>
      <c r="H933" s="3">
        <f>XLOOKUP(D933,'Move Editor'!$B:$B,'Move Editor'!$F:$F,0)</f>
        <v/>
      </c>
      <c r="I933" s="3">
        <f>(INDEX('Type Chart'!$B:$S,MATCH(E933,'Type Chart'!$A:$A,0),MATCH(XLOOKUP('Boss Editor'!$C$4,'Pokemon Editor'!$A:$A,'Pokemon Editor'!$C:$C,""),'Type Chart'!$B$1:$S$1,0))*IF(XLOOKUP('Boss Editor'!$C$4,'Pokemon Editor'!$A:$A,'Pokemon Editor'!$D:$D,"")="",1,INDEX('Type Chart'!$B:$S,MATCH(E933,'Type Chart'!$A:$A,0),MATCH(XLOOKUP('Boss Editor'!$C$4,'Pokemon Editor'!$A:$A,'Pokemon Editor'!$D:$D,""),'Type Chart'!$B$1:$S$1,0))))</f>
        <v/>
      </c>
      <c r="J933" s="3">
        <f>IFERROR(LET(mtype,XLOOKUP($D933,'Move Editor'!$B:$B,'Move Editor'!$C:$C,""),cat,XLOOKUP($D933,'Move Editor'!$B:$B,'Move Editor'!$D:$D,""),pow,XLOOKUP($D933,'Move Editor'!$B:$B,'Move Editor'!$E:$E,0),acc,XLOOKUP($D933,'Move Editor'!$B:$B,'Move Editor'!$F:$F,100),atk,IF(cat="Physical",FLOOR((FLOOR(((2*XLOOKUP(XLOOKUP($Q933,'Threshold Summary'!$Y:$Y,'Threshold Summary'!$K:$K,""),'Pokemon Editor'!$A:$A,'Pokemon Editor'!$F:$F,0)+31+FLOOR(XLOOKUP($Q933,'Threshold Summary'!$Y:$Y,'Threshold Summary'!$P:$P,"")/4))*XLOOKUP($Q933,'Threshold Summary'!$Y:$Y,'Threshold Summary'!$L:$L,""))/100)+5)*XLOOKUP(XLOOKUP($Q933,'Threshold Summary'!$Y:$Y,'Threshold Summary'!$M:$M,""),'Nature Editor'!$A:$A,'Nature Editor'!$B:$B,1)),FLOOR((FLOOR(((2*XLOOKUP(XLOOKUP($Q933,'Threshold Summary'!$Y:$Y,'Threshold Summary'!$K:$K,""),'Pokemon Editor'!$A:$A,'Pokemon Editor'!$H:$H,0)+31+FLOOR(XLOOKUP($Q933,'Threshold Summary'!$Y:$Y,'Threshold Summary'!$R:$R,"")/4))*XLOOKUP($Q933,'Threshold Summary'!$Y:$Y,'Threshold Summary'!$L:$L,""))/100)+5)*XLOOKUP(XLOOKUP($Q933,'Threshold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Editor'!$E:$E,1))),stab,IF(OR(mtype=XLOOKUP(XLOOKUP($Q933,'Threshold Summary'!$Y:$Y,'Threshold Summary'!$K:$K,""),'Pokemon Editor'!$A:$A,'Pokemon Editor'!$C:$C,""),mtype=XLOOKUP(XLOOKUP($Q933,'Threshold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Chart'!$B$1:$S$1,0)))),base,IF(OR(cat="Status",pow=0),0,FLOOR(FLOOR(FLOOR((2*XLOOKUP($Q933,'Threshold Summary'!$Y:$Y,'Threshold Summary'!$L:$L,"")/5+2)*pow*atk/def)/50)+2)),modifier,stab*eff,FLOOR(base*modifier*0.85)),0)</f>
        <v/>
      </c>
      <c r="K933" s="3">
        <f>IFERROR(LET(mtype,XLOOKUP($D933,'Move Editor'!$B:$B,'Move Editor'!$C:$C,""),cat,XLOOKUP($D933,'Move Editor'!$B:$B,'Move Editor'!$D:$D,""),pow,XLOOKUP($D933,'Move Editor'!$B:$B,'Move Editor'!$E:$E,0),acc,XLOOKUP($D933,'Move Editor'!$B:$B,'Move Editor'!$F:$F,100),atk,IF(cat="Physical",FLOOR((FLOOR(((2*XLOOKUP(XLOOKUP($Q933,'Threshold Summary'!$Y:$Y,'Threshold Summary'!$K:$K,""),'Pokemon Editor'!$A:$A,'Pokemon Editor'!$F:$F,0)+31+FLOOR(XLOOKUP($Q933,'Threshold Summary'!$Y:$Y,'Threshold Summary'!$P:$P,"")/4))*XLOOKUP($Q933,'Threshold Summary'!$Y:$Y,'Threshold Summary'!$L:$L,""))/100)+5)*XLOOKUP(XLOOKUP($Q933,'Threshold Summary'!$Y:$Y,'Threshold Summary'!$M:$M,""),'Nature Editor'!$A:$A,'Nature Editor'!$B:$B,1)),FLOOR((FLOOR(((2*XLOOKUP(XLOOKUP($Q933,'Threshold Summary'!$Y:$Y,'Threshold Summary'!$K:$K,""),'Pokemon Editor'!$A:$A,'Pokemon Editor'!$H:$H,0)+31+FLOOR(XLOOKUP($Q933,'Threshold Summary'!$Y:$Y,'Threshold Summary'!$R:$R,"")/4))*XLOOKUP($Q933,'Threshold Summary'!$Y:$Y,'Threshold Summary'!$L:$L,""))/100)+5)*XLOOKUP(XLOOKUP($Q933,'Threshold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Editor'!$E:$E,1))),stab,IF(OR(mtype=XLOOKUP(XLOOKUP($Q933,'Threshold Summary'!$Y:$Y,'Threshold Summary'!$K:$K,""),'Pokemon Editor'!$A:$A,'Pokemon Editor'!$C:$C,""),mtype=XLOOKUP(XLOOKUP($Q933,'Threshold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Chart'!$B$1:$S$1,0)))),base,IF(OR(cat="Status",pow=0),0,FLOOR(FLOOR(FLOOR((2*XLOOKUP($Q933,'Threshold Summary'!$Y:$Y,'Threshold Summary'!$L:$L,"")/5+2)*pow*atk/def)/50)+2)),modifier,stab*eff,FLOOR(base*modifier)),0)</f>
        <v/>
      </c>
      <c r="L933" s="3">
        <f>IFERROR(LET(mtype,XLOOKUP($D933,'Move Editor'!$B:$B,'Move Editor'!$C:$C,""),cat,XLOOKUP($D933,'Move Editor'!$B:$B,'Move Editor'!$D:$D,""),pow,XLOOKUP($D933,'Move Editor'!$B:$B,'Move Editor'!$E:$E,0),acc,XLOOKUP($D933,'Move Editor'!$B:$B,'Move Editor'!$F:$F,100),atk,IF(cat="Physical",FLOOR((FLOOR(((2*XLOOKUP(XLOOKUP($Q933,'Threshold Summary'!$Y:$Y,'Threshold Summary'!$K:$K,""),'Pokemon Editor'!$A:$A,'Pokemon Editor'!$F:$F,0)+31+FLOOR(XLOOKUP($Q933,'Threshold Summary'!$Y:$Y,'Threshold Summary'!$P:$P,"")/4))*XLOOKUP($Q933,'Threshold Summary'!$Y:$Y,'Threshold Summary'!$L:$L,""))/100)+5)*XLOOKUP(XLOOKUP($Q933,'Threshold Summary'!$Y:$Y,'Threshold Summary'!$M:$M,""),'Nature Editor'!$A:$A,'Nature Editor'!$B:$B,1)),FLOOR((FLOOR(((2*XLOOKUP(XLOOKUP($Q933,'Threshold Summary'!$Y:$Y,'Threshold Summary'!$K:$K,""),'Pokemon Editor'!$A:$A,'Pokemon Editor'!$H:$H,0)+31+FLOOR(XLOOKUP($Q933,'Threshold Summary'!$Y:$Y,'Threshold Summary'!$R:$R,"")/4))*XLOOKUP($Q933,'Threshold Summary'!$Y:$Y,'Threshold Summary'!$L:$L,""))/100)+5)*XLOOKUP(XLOOKUP($Q933,'Threshold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Editor'!$E:$E,1))),stab,IF(OR(mtype=XLOOKUP(XLOOKUP($Q933,'Threshold Summary'!$Y:$Y,'Threshold Summary'!$K:$K,""),'Pokemon Editor'!$A:$A,'Pokemon Editor'!$C:$C,""),mtype=XLOOKUP(XLOOKUP($Q933,'Threshold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Chart'!$B$1:$S$1,0)))),base,IF(OR(cat="Status",pow=0),0,FLOOR(FLOOR(FLOOR((2*XLOOKUP($Q933,'Threshold Summary'!$Y:$Y,'Threshold Summary'!$L:$L,"")/5+2)*pow*atk/def)/50)+2)),modifier,stab*eff,AVERAGE(ARRAYFORMULA(FLOOR(base*modifier*SEQUENCE(16,1,85,1)/100)))),0)</f>
        <v/>
      </c>
      <c r="M933" s="3">
        <f>IFERROR(LET(mtype,XLOOKUP($D933,'Move Editor'!$B:$B,'Move Editor'!$C:$C,""),cat,XLOOKUP($D933,'Move Editor'!$B:$B,'Move Editor'!$D:$D,""),pow,XLOOKUP($D933,'Move Editor'!$B:$B,'Move Editor'!$E:$E,0),acc,XLOOKUP($D933,'Move Editor'!$B:$B,'Move Editor'!$F:$F,100),atk,IF(cat="Physical",FLOOR((FLOOR(((2*XLOOKUP(XLOOKUP($Q933,'Threshold Summary'!$Y:$Y,'Threshold Summary'!$K:$K,""),'Pokemon Editor'!$A:$A,'Pokemon Editor'!$F:$F,0)+31+FLOOR(XLOOKUP($Q933,'Threshold Summary'!$Y:$Y,'Threshold Summary'!$P:$P,"")/4))*XLOOKUP($Q933,'Threshold Summary'!$Y:$Y,'Threshold Summary'!$L:$L,""))/100)+5)*XLOOKUP(XLOOKUP($Q933,'Threshold Summary'!$Y:$Y,'Threshold Summary'!$M:$M,""),'Nature Editor'!$A:$A,'Nature Editor'!$B:$B,1)),FLOOR((FLOOR(((2*XLOOKUP(XLOOKUP($Q933,'Threshold Summary'!$Y:$Y,'Threshold Summary'!$K:$K,""),'Pokemon Editor'!$A:$A,'Pokemon Editor'!$H:$H,0)+31+FLOOR(XLOOKUP($Q933,'Threshold Summary'!$Y:$Y,'Threshold Summary'!$R:$R,"")/4))*XLOOKUP($Q933,'Threshold Summary'!$Y:$Y,'Threshold Summary'!$L:$L,""))/100)+5)*XLOOKUP(XLOOKUP($Q933,'Threshold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Editor'!$E:$E,1))),stab,IF(OR(mtype=XLOOKUP(XLOOKUP($Q933,'Threshold Summary'!$Y:$Y,'Threshold Summary'!$K:$K,""),'Pokemon Editor'!$A:$A,'Pokemon Editor'!$C:$C,""),mtype=XLOOKUP(XLOOKUP($Q933,'Threshold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Chart'!$B$1:$S$1,0)))),base,IF(OR(cat="Status",pow=0),0,FLOOR(FLOOR(FLOOR((2*XLOOKUP($Q933,'Threshold Summary'!$Y:$Y,'Threshold Summary'!$L:$L,"")/5+2)*pow*atk/def)/50)+2)),modifier,stab*eff,AVERAGE(ARRAYFORMULA(FLOOR(base*modifier*SEQUENCE(16,1,85,1)/100)))*MIN(1,acc/100)),0)</f>
        <v/>
      </c>
      <c r="N933" s="4">
        <f>IFERROR(LET(mtype,XLOOKUP($D933,'Move Editor'!$B:$B,'Move Editor'!$C:$C,""),cat,XLOOKUP($D933,'Move Editor'!$B:$B,'Move Editor'!$D:$D,""),pow,XLOOKUP($D933,'Move Editor'!$B:$B,'Move Editor'!$E:$E,0),acc,XLOOKUP($D933,'Move Editor'!$B:$B,'Move Editor'!$F:$F,100),atk,IF(cat="Physical",FLOOR((FLOOR(((2*XLOOKUP(XLOOKUP($Q933,'Threshold Summary'!$Y:$Y,'Threshold Summary'!$K:$K,""),'Pokemon Editor'!$A:$A,'Pokemon Editor'!$F:$F,0)+31+FLOOR(XLOOKUP($Q933,'Threshold Summary'!$Y:$Y,'Threshold Summary'!$P:$P,"")/4))*XLOOKUP($Q933,'Threshold Summary'!$Y:$Y,'Threshold Summary'!$L:$L,""))/100)+5)*XLOOKUP(XLOOKUP($Q933,'Threshold Summary'!$Y:$Y,'Threshold Summary'!$M:$M,""),'Nature Editor'!$A:$A,'Nature Editor'!$B:$B,1)),FLOOR((FLOOR(((2*XLOOKUP(XLOOKUP($Q933,'Threshold Summary'!$Y:$Y,'Threshold Summary'!$K:$K,""),'Pokemon Editor'!$A:$A,'Pokemon Editor'!$H:$H,0)+31+FLOOR(XLOOKUP($Q933,'Threshold Summary'!$Y:$Y,'Threshold Summary'!$R:$R,"")/4))*XLOOKUP($Q933,'Threshold Summary'!$Y:$Y,'Threshold Summary'!$L:$L,""))/100)+5)*XLOOKUP(XLOOKUP($Q933,'Threshold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Editor'!$E:$E,1))),stab,IF(OR(mtype=XLOOKUP(XLOOKUP($Q933,'Threshold Summary'!$Y:$Y,'Threshold Summary'!$K:$K,""),'Pokemon Editor'!$A:$A,'Pokemon Editor'!$C:$C,""),mtype=XLOOKUP(XLOOKUP($Q933,'Threshold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Chart'!$B$1:$S$1,0)))),base,IF(OR(cat="Status",pow=0),0,FLOOR(FLOOR(FLOOR((2*XLOOKUP($Q933,'Threshold Summary'!$Y:$Y,'Threshold Summary'!$L:$L,"")/5+2)*pow*atk/def)/50)+2)),modifier,stab*eff,AVERAGE(ARRAYFORMULA(FLOOR(base*modifier*SEQUENCE(16,1,85,1)/100)))/(FLOOR(((2*XLOOKUP('Boss Editor'!$C$4,'Pokemon Editor'!$A:$A,'Pokemon Editor'!$E:$E,0)+31+FLOOR('Boss Editor'!$G$4/4))*'Boss Editor'!$D$4)/100)+'Boss Editor'!$D$4+10)),0)</f>
        <v/>
      </c>
      <c r="O933" s="3">
        <f>IF(N933&gt;=1,"OHKO",IF(N933&gt;=0.5,"2HKO",IF(N933&gt;=0.333,"3HKO",IF(N933&gt;=0.25,"4HKO","5HKO+"))))</f>
        <v/>
      </c>
      <c r="P933" s="3" t="inlineStr">
        <is>
          <t>Live from editable databases</t>
        </is>
      </c>
      <c r="Q933" s="3" t="inlineStr">
        <is>
          <t>SPECIES_CHARCADET</t>
        </is>
      </c>
      <c r="R933" s="3" t="n">
        <v>4</v>
      </c>
    </row>
    <row r="934">
      <c r="A934" s="3">
        <f>XLOOKUP($Q934,'Threshold Summary'!$Y:$Y,'Threshold Summary'!$A:$A,"")</f>
        <v/>
      </c>
      <c r="B934" s="3">
        <f>XLOOKUP($Q934,'Threshold Summary'!$Y:$Y,'Threshold Summary'!$M:$M,"")</f>
        <v/>
      </c>
      <c r="C934" s="3">
        <f>XLOOKUP($Q934,'Threshold Summary'!$Y:$Y,'Threshold Summary'!$N:$N,"")</f>
        <v/>
      </c>
      <c r="D934" s="3">
        <f>IFERROR(INDEX(FILTER('Learnset Editor'!$D$2:$D,'Learnset Editor'!$A$2:$A=XLOOKUP($Q934,'Threshold Summary'!$Y:$Y,'Threshold Summary'!$K:$K,""),'Learnset Editor'!$C$2:$C&lt;=XLOOKUP($Q934,'Threshold Summary'!$Y:$Y,'Threshold Summary'!$L:$L,"")),$R934),"")</f>
        <v/>
      </c>
      <c r="E934" s="3">
        <f>XLOOKUP(D934,'Move Editor'!$B:$B,'Move Editor'!$C:$C,"")</f>
        <v/>
      </c>
      <c r="F934" s="3">
        <f>XLOOKUP(D934,'Move Editor'!$B:$B,'Move Editor'!$D:$D,"")</f>
        <v/>
      </c>
      <c r="G934" s="3">
        <f>XLOOKUP(D934,'Move Editor'!$B:$B,'Move Editor'!$E:$E,0)</f>
        <v/>
      </c>
      <c r="H934" s="3">
        <f>XLOOKUP(D934,'Move Editor'!$B:$B,'Move Editor'!$F:$F,0)</f>
        <v/>
      </c>
      <c r="I934" s="3">
        <f>(INDEX('Type Chart'!$B:$S,MATCH(E934,'Type Chart'!$A:$A,0),MATCH(XLOOKUP('Boss Editor'!$C$4,'Pokemon Editor'!$A:$A,'Pokemon Editor'!$C:$C,""),'Type Chart'!$B$1:$S$1,0))*IF(XLOOKUP('Boss Editor'!$C$4,'Pokemon Editor'!$A:$A,'Pokemon Editor'!$D:$D,"")="",1,INDEX('Type Chart'!$B:$S,MATCH(E934,'Type Chart'!$A:$A,0),MATCH(XLOOKUP('Boss Editor'!$C$4,'Pokemon Editor'!$A:$A,'Pokemon Editor'!$D:$D,""),'Type Chart'!$B$1:$S$1,0))))</f>
        <v/>
      </c>
      <c r="J934" s="3">
        <f>IFERROR(LET(mtype,XLOOKUP($D934,'Move Editor'!$B:$B,'Move Editor'!$C:$C,""),cat,XLOOKUP($D934,'Move Editor'!$B:$B,'Move Editor'!$D:$D,""),pow,XLOOKUP($D934,'Move Editor'!$B:$B,'Move Editor'!$E:$E,0),acc,XLOOKUP($D934,'Move Editor'!$B:$B,'Move Editor'!$F:$F,100),atk,IF(cat="Physical",FLOOR((FLOOR(((2*XLOOKUP(XLOOKUP($Q934,'Threshold Summary'!$Y:$Y,'Threshold Summary'!$K:$K,""),'Pokemon Editor'!$A:$A,'Pokemon Editor'!$F:$F,0)+31+FLOOR(XLOOKUP($Q934,'Threshold Summary'!$Y:$Y,'Threshold Summary'!$P:$P,"")/4))*XLOOKUP($Q934,'Threshold Summary'!$Y:$Y,'Threshold Summary'!$L:$L,""))/100)+5)*XLOOKUP(XLOOKUP($Q934,'Threshold Summary'!$Y:$Y,'Threshold Summary'!$M:$M,""),'Nature Editor'!$A:$A,'Nature Editor'!$B:$B,1)),FLOOR((FLOOR(((2*XLOOKUP(XLOOKUP($Q934,'Threshold Summary'!$Y:$Y,'Threshold Summary'!$K:$K,""),'Pokemon Editor'!$A:$A,'Pokemon Editor'!$H:$H,0)+31+FLOOR(XLOOKUP($Q934,'Threshold Summary'!$Y:$Y,'Threshold Summary'!$R:$R,"")/4))*XLOOKUP($Q934,'Threshold Summary'!$Y:$Y,'Threshold Summary'!$L:$L,""))/100)+5)*XLOOKUP(XLOOKUP($Q934,'Threshold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Editor'!$E:$E,1))),stab,IF(OR(mtype=XLOOKUP(XLOOKUP($Q934,'Threshold Summary'!$Y:$Y,'Threshold Summary'!$K:$K,""),'Pokemon Editor'!$A:$A,'Pokemon Editor'!$C:$C,""),mtype=XLOOKUP(XLOOKUP($Q934,'Threshold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Chart'!$B$1:$S$1,0)))),base,IF(OR(cat="Status",pow=0),0,FLOOR(FLOOR(FLOOR((2*XLOOKUP($Q934,'Threshold Summary'!$Y:$Y,'Threshold Summary'!$L:$L,"")/5+2)*pow*atk/def)/50)+2)),modifier,stab*eff,FLOOR(base*modifier*0.85)),0)</f>
        <v/>
      </c>
      <c r="K934" s="3">
        <f>IFERROR(LET(mtype,XLOOKUP($D934,'Move Editor'!$B:$B,'Move Editor'!$C:$C,""),cat,XLOOKUP($D934,'Move Editor'!$B:$B,'Move Editor'!$D:$D,""),pow,XLOOKUP($D934,'Move Editor'!$B:$B,'Move Editor'!$E:$E,0),acc,XLOOKUP($D934,'Move Editor'!$B:$B,'Move Editor'!$F:$F,100),atk,IF(cat="Physical",FLOOR((FLOOR(((2*XLOOKUP(XLOOKUP($Q934,'Threshold Summary'!$Y:$Y,'Threshold Summary'!$K:$K,""),'Pokemon Editor'!$A:$A,'Pokemon Editor'!$F:$F,0)+31+FLOOR(XLOOKUP($Q934,'Threshold Summary'!$Y:$Y,'Threshold Summary'!$P:$P,"")/4))*XLOOKUP($Q934,'Threshold Summary'!$Y:$Y,'Threshold Summary'!$L:$L,""))/100)+5)*XLOOKUP(XLOOKUP($Q934,'Threshold Summary'!$Y:$Y,'Threshold Summary'!$M:$M,""),'Nature Editor'!$A:$A,'Nature Editor'!$B:$B,1)),FLOOR((FLOOR(((2*XLOOKUP(XLOOKUP($Q934,'Threshold Summary'!$Y:$Y,'Threshold Summary'!$K:$K,""),'Pokemon Editor'!$A:$A,'Pokemon Editor'!$H:$H,0)+31+FLOOR(XLOOKUP($Q934,'Threshold Summary'!$Y:$Y,'Threshold Summary'!$R:$R,"")/4))*XLOOKUP($Q934,'Threshold Summary'!$Y:$Y,'Threshold Summary'!$L:$L,""))/100)+5)*XLOOKUP(XLOOKUP($Q934,'Threshold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Editor'!$E:$E,1))),stab,IF(OR(mtype=XLOOKUP(XLOOKUP($Q934,'Threshold Summary'!$Y:$Y,'Threshold Summary'!$K:$K,""),'Pokemon Editor'!$A:$A,'Pokemon Editor'!$C:$C,""),mtype=XLOOKUP(XLOOKUP($Q934,'Threshold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Chart'!$B$1:$S$1,0)))),base,IF(OR(cat="Status",pow=0),0,FLOOR(FLOOR(FLOOR((2*XLOOKUP($Q934,'Threshold Summary'!$Y:$Y,'Threshold Summary'!$L:$L,"")/5+2)*pow*atk/def)/50)+2)),modifier,stab*eff,FLOOR(base*modifier)),0)</f>
        <v/>
      </c>
      <c r="L934" s="3">
        <f>IFERROR(LET(mtype,XLOOKUP($D934,'Move Editor'!$B:$B,'Move Editor'!$C:$C,""),cat,XLOOKUP($D934,'Move Editor'!$B:$B,'Move Editor'!$D:$D,""),pow,XLOOKUP($D934,'Move Editor'!$B:$B,'Move Editor'!$E:$E,0),acc,XLOOKUP($D934,'Move Editor'!$B:$B,'Move Editor'!$F:$F,100),atk,IF(cat="Physical",FLOOR((FLOOR(((2*XLOOKUP(XLOOKUP($Q934,'Threshold Summary'!$Y:$Y,'Threshold Summary'!$K:$K,""),'Pokemon Editor'!$A:$A,'Pokemon Editor'!$F:$F,0)+31+FLOOR(XLOOKUP($Q934,'Threshold Summary'!$Y:$Y,'Threshold Summary'!$P:$P,"")/4))*XLOOKUP($Q934,'Threshold Summary'!$Y:$Y,'Threshold Summary'!$L:$L,""))/100)+5)*XLOOKUP(XLOOKUP($Q934,'Threshold Summary'!$Y:$Y,'Threshold Summary'!$M:$M,""),'Nature Editor'!$A:$A,'Nature Editor'!$B:$B,1)),FLOOR((FLOOR(((2*XLOOKUP(XLOOKUP($Q934,'Threshold Summary'!$Y:$Y,'Threshold Summary'!$K:$K,""),'Pokemon Editor'!$A:$A,'Pokemon Editor'!$H:$H,0)+31+FLOOR(XLOOKUP($Q934,'Threshold Summary'!$Y:$Y,'Threshold Summary'!$R:$R,"")/4))*XLOOKUP($Q934,'Threshold Summary'!$Y:$Y,'Threshold Summary'!$L:$L,""))/100)+5)*XLOOKUP(XLOOKUP($Q934,'Threshold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Editor'!$E:$E,1))),stab,IF(OR(mtype=XLOOKUP(XLOOKUP($Q934,'Threshold Summary'!$Y:$Y,'Threshold Summary'!$K:$K,""),'Pokemon Editor'!$A:$A,'Pokemon Editor'!$C:$C,""),mtype=XLOOKUP(XLOOKUP($Q934,'Threshold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Chart'!$B$1:$S$1,0)))),base,IF(OR(cat="Status",pow=0),0,FLOOR(FLOOR(FLOOR((2*XLOOKUP($Q934,'Threshold Summary'!$Y:$Y,'Threshold Summary'!$L:$L,"")/5+2)*pow*atk/def)/50)+2)),modifier,stab*eff,AVERAGE(ARRAYFORMULA(FLOOR(base*modifier*SEQUENCE(16,1,85,1)/100)))),0)</f>
        <v/>
      </c>
      <c r="M934" s="3">
        <f>IFERROR(LET(mtype,XLOOKUP($D934,'Move Editor'!$B:$B,'Move Editor'!$C:$C,""),cat,XLOOKUP($D934,'Move Editor'!$B:$B,'Move Editor'!$D:$D,""),pow,XLOOKUP($D934,'Move Editor'!$B:$B,'Move Editor'!$E:$E,0),acc,XLOOKUP($D934,'Move Editor'!$B:$B,'Move Editor'!$F:$F,100),atk,IF(cat="Physical",FLOOR((FLOOR(((2*XLOOKUP(XLOOKUP($Q934,'Threshold Summary'!$Y:$Y,'Threshold Summary'!$K:$K,""),'Pokemon Editor'!$A:$A,'Pokemon Editor'!$F:$F,0)+31+FLOOR(XLOOKUP($Q934,'Threshold Summary'!$Y:$Y,'Threshold Summary'!$P:$P,"")/4))*XLOOKUP($Q934,'Threshold Summary'!$Y:$Y,'Threshold Summary'!$L:$L,""))/100)+5)*XLOOKUP(XLOOKUP($Q934,'Threshold Summary'!$Y:$Y,'Threshold Summary'!$M:$M,""),'Nature Editor'!$A:$A,'Nature Editor'!$B:$B,1)),FLOOR((FLOOR(((2*XLOOKUP(XLOOKUP($Q934,'Threshold Summary'!$Y:$Y,'Threshold Summary'!$K:$K,""),'Pokemon Editor'!$A:$A,'Pokemon Editor'!$H:$H,0)+31+FLOOR(XLOOKUP($Q934,'Threshold Summary'!$Y:$Y,'Threshold Summary'!$R:$R,"")/4))*XLOOKUP($Q934,'Threshold Summary'!$Y:$Y,'Threshold Summary'!$L:$L,""))/100)+5)*XLOOKUP(XLOOKUP($Q934,'Threshold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Editor'!$E:$E,1))),stab,IF(OR(mtype=XLOOKUP(XLOOKUP($Q934,'Threshold Summary'!$Y:$Y,'Threshold Summary'!$K:$K,""),'Pokemon Editor'!$A:$A,'Pokemon Editor'!$C:$C,""),mtype=XLOOKUP(XLOOKUP($Q934,'Threshold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Chart'!$B$1:$S$1,0)))),base,IF(OR(cat="Status",pow=0),0,FLOOR(FLOOR(FLOOR((2*XLOOKUP($Q934,'Threshold Summary'!$Y:$Y,'Threshold Summary'!$L:$L,"")/5+2)*pow*atk/def)/50)+2)),modifier,stab*eff,AVERAGE(ARRAYFORMULA(FLOOR(base*modifier*SEQUENCE(16,1,85,1)/100)))*MIN(1,acc/100)),0)</f>
        <v/>
      </c>
      <c r="N934" s="4">
        <f>IFERROR(LET(mtype,XLOOKUP($D934,'Move Editor'!$B:$B,'Move Editor'!$C:$C,""),cat,XLOOKUP($D934,'Move Editor'!$B:$B,'Move Editor'!$D:$D,""),pow,XLOOKUP($D934,'Move Editor'!$B:$B,'Move Editor'!$E:$E,0),acc,XLOOKUP($D934,'Move Editor'!$B:$B,'Move Editor'!$F:$F,100),atk,IF(cat="Physical",FLOOR((FLOOR(((2*XLOOKUP(XLOOKUP($Q934,'Threshold Summary'!$Y:$Y,'Threshold Summary'!$K:$K,""),'Pokemon Editor'!$A:$A,'Pokemon Editor'!$F:$F,0)+31+FLOOR(XLOOKUP($Q934,'Threshold Summary'!$Y:$Y,'Threshold Summary'!$P:$P,"")/4))*XLOOKUP($Q934,'Threshold Summary'!$Y:$Y,'Threshold Summary'!$L:$L,""))/100)+5)*XLOOKUP(XLOOKUP($Q934,'Threshold Summary'!$Y:$Y,'Threshold Summary'!$M:$M,""),'Nature Editor'!$A:$A,'Nature Editor'!$B:$B,1)),FLOOR((FLOOR(((2*XLOOKUP(XLOOKUP($Q934,'Threshold Summary'!$Y:$Y,'Threshold Summary'!$K:$K,""),'Pokemon Editor'!$A:$A,'Pokemon Editor'!$H:$H,0)+31+FLOOR(XLOOKUP($Q934,'Threshold Summary'!$Y:$Y,'Threshold Summary'!$R:$R,"")/4))*XLOOKUP($Q934,'Threshold Summary'!$Y:$Y,'Threshold Summary'!$L:$L,""))/100)+5)*XLOOKUP(XLOOKUP($Q934,'Threshold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Editor'!$E:$E,1))),stab,IF(OR(mtype=XLOOKUP(XLOOKUP($Q934,'Threshold Summary'!$Y:$Y,'Threshold Summary'!$K:$K,""),'Pokemon Editor'!$A:$A,'Pokemon Editor'!$C:$C,""),mtype=XLOOKUP(XLOOKUP($Q934,'Threshold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Chart'!$B$1:$S$1,0)))),base,IF(OR(cat="Status",pow=0),0,FLOOR(FLOOR(FLOOR((2*XLOOKUP($Q934,'Threshold Summary'!$Y:$Y,'Threshold Summary'!$L:$L,"")/5+2)*pow*atk/def)/50)+2)),modifier,stab*eff,AVERAGE(ARRAYFORMULA(FLOOR(base*modifier*SEQUENCE(16,1,85,1)/100)))/(FLOOR(((2*XLOOKUP('Boss Editor'!$C$4,'Pokemon Editor'!$A:$A,'Pokemon Editor'!$E:$E,0)+31+FLOOR('Boss Editor'!$G$4/4))*'Boss Editor'!$D$4)/100)+'Boss Editor'!$D$4+10)),0)</f>
        <v/>
      </c>
      <c r="O934" s="3">
        <f>IF(N934&gt;=1,"OHKO",IF(N934&gt;=0.5,"2HKO",IF(N934&gt;=0.333,"3HKO",IF(N934&gt;=0.25,"4HKO","5HKO+"))))</f>
        <v/>
      </c>
      <c r="P934" s="3" t="inlineStr">
        <is>
          <t>Live from editable databases</t>
        </is>
      </c>
      <c r="Q934" s="3" t="inlineStr">
        <is>
          <t>SPECIES_CHARCADET</t>
        </is>
      </c>
      <c r="R934" s="3" t="n">
        <v>5</v>
      </c>
    </row>
    <row r="935">
      <c r="A935" s="3">
        <f>XLOOKUP($Q935,'Threshold Summary'!$Y:$Y,'Threshold Summary'!$A:$A,"")</f>
        <v/>
      </c>
      <c r="B935" s="3">
        <f>XLOOKUP($Q935,'Threshold Summary'!$Y:$Y,'Threshold Summary'!$M:$M,"")</f>
        <v/>
      </c>
      <c r="C935" s="3">
        <f>XLOOKUP($Q935,'Threshold Summary'!$Y:$Y,'Threshold Summary'!$N:$N,"")</f>
        <v/>
      </c>
      <c r="D935" s="3">
        <f>IFERROR(INDEX(FILTER('Learnset Editor'!$D$2:$D,'Learnset Editor'!$A$2:$A=XLOOKUP($Q935,'Threshold Summary'!$Y:$Y,'Threshold Summary'!$K:$K,""),'Learnset Editor'!$C$2:$C&lt;=XLOOKUP($Q935,'Threshold Summary'!$Y:$Y,'Threshold Summary'!$L:$L,"")),$R935),"")</f>
        <v/>
      </c>
      <c r="E935" s="3">
        <f>XLOOKUP(D935,'Move Editor'!$B:$B,'Move Editor'!$C:$C,"")</f>
        <v/>
      </c>
      <c r="F935" s="3">
        <f>XLOOKUP(D935,'Move Editor'!$B:$B,'Move Editor'!$D:$D,"")</f>
        <v/>
      </c>
      <c r="G935" s="3">
        <f>XLOOKUP(D935,'Move Editor'!$B:$B,'Move Editor'!$E:$E,0)</f>
        <v/>
      </c>
      <c r="H935" s="3">
        <f>XLOOKUP(D935,'Move Editor'!$B:$B,'Move Editor'!$F:$F,0)</f>
        <v/>
      </c>
      <c r="I935" s="3">
        <f>(INDEX('Type Chart'!$B:$S,MATCH(E935,'Type Chart'!$A:$A,0),MATCH(XLOOKUP('Boss Editor'!$C$4,'Pokemon Editor'!$A:$A,'Pokemon Editor'!$C:$C,""),'Type Chart'!$B$1:$S$1,0))*IF(XLOOKUP('Boss Editor'!$C$4,'Pokemon Editor'!$A:$A,'Pokemon Editor'!$D:$D,"")="",1,INDEX('Type Chart'!$B:$S,MATCH(E935,'Type Chart'!$A:$A,0),MATCH(XLOOKUP('Boss Editor'!$C$4,'Pokemon Editor'!$A:$A,'Pokemon Editor'!$D:$D,""),'Type Chart'!$B$1:$S$1,0))))</f>
        <v/>
      </c>
      <c r="J935" s="3">
        <f>IFERROR(LET(mtype,XLOOKUP($D935,'Move Editor'!$B:$B,'Move Editor'!$C:$C,""),cat,XLOOKUP($D935,'Move Editor'!$B:$B,'Move Editor'!$D:$D,""),pow,XLOOKUP($D935,'Move Editor'!$B:$B,'Move Editor'!$E:$E,0),acc,XLOOKUP($D935,'Move Editor'!$B:$B,'Move Editor'!$F:$F,100),atk,IF(cat="Physical",FLOOR((FLOOR(((2*XLOOKUP(XLOOKUP($Q935,'Threshold Summary'!$Y:$Y,'Threshold Summary'!$K:$K,""),'Pokemon Editor'!$A:$A,'Pokemon Editor'!$F:$F,0)+31+FLOOR(XLOOKUP($Q935,'Threshold Summary'!$Y:$Y,'Threshold Summary'!$P:$P,"")/4))*XLOOKUP($Q935,'Threshold Summary'!$Y:$Y,'Threshold Summary'!$L:$L,""))/100)+5)*XLOOKUP(XLOOKUP($Q935,'Threshold Summary'!$Y:$Y,'Threshold Summary'!$M:$M,""),'Nature Editor'!$A:$A,'Nature Editor'!$B:$B,1)),FLOOR((FLOOR(((2*XLOOKUP(XLOOKUP($Q935,'Threshold Summary'!$Y:$Y,'Threshold Summary'!$K:$K,""),'Pokemon Editor'!$A:$A,'Pokemon Editor'!$H:$H,0)+31+FLOOR(XLOOKUP($Q935,'Threshold Summary'!$Y:$Y,'Threshold Summary'!$R:$R,"")/4))*XLOOKUP($Q935,'Threshold Summary'!$Y:$Y,'Threshold Summary'!$L:$L,""))/100)+5)*XLOOKUP(XLOOKUP($Q935,'Threshold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Editor'!$E:$E,1))),stab,IF(OR(mtype=XLOOKUP(XLOOKUP($Q935,'Threshold Summary'!$Y:$Y,'Threshold Summary'!$K:$K,""),'Pokemon Editor'!$A:$A,'Pokemon Editor'!$C:$C,""),mtype=XLOOKUP(XLOOKUP($Q935,'Threshold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Chart'!$B$1:$S$1,0)))),base,IF(OR(cat="Status",pow=0),0,FLOOR(FLOOR(FLOOR((2*XLOOKUP($Q935,'Threshold Summary'!$Y:$Y,'Threshold Summary'!$L:$L,"")/5+2)*pow*atk/def)/50)+2)),modifier,stab*eff,FLOOR(base*modifier*0.85)),0)</f>
        <v/>
      </c>
      <c r="K935" s="3">
        <f>IFERROR(LET(mtype,XLOOKUP($D935,'Move Editor'!$B:$B,'Move Editor'!$C:$C,""),cat,XLOOKUP($D935,'Move Editor'!$B:$B,'Move Editor'!$D:$D,""),pow,XLOOKUP($D935,'Move Editor'!$B:$B,'Move Editor'!$E:$E,0),acc,XLOOKUP($D935,'Move Editor'!$B:$B,'Move Editor'!$F:$F,100),atk,IF(cat="Physical",FLOOR((FLOOR(((2*XLOOKUP(XLOOKUP($Q935,'Threshold Summary'!$Y:$Y,'Threshold Summary'!$K:$K,""),'Pokemon Editor'!$A:$A,'Pokemon Editor'!$F:$F,0)+31+FLOOR(XLOOKUP($Q935,'Threshold Summary'!$Y:$Y,'Threshold Summary'!$P:$P,"")/4))*XLOOKUP($Q935,'Threshold Summary'!$Y:$Y,'Threshold Summary'!$L:$L,""))/100)+5)*XLOOKUP(XLOOKUP($Q935,'Threshold Summary'!$Y:$Y,'Threshold Summary'!$M:$M,""),'Nature Editor'!$A:$A,'Nature Editor'!$B:$B,1)),FLOOR((FLOOR(((2*XLOOKUP(XLOOKUP($Q935,'Threshold Summary'!$Y:$Y,'Threshold Summary'!$K:$K,""),'Pokemon Editor'!$A:$A,'Pokemon Editor'!$H:$H,0)+31+FLOOR(XLOOKUP($Q935,'Threshold Summary'!$Y:$Y,'Threshold Summary'!$R:$R,"")/4))*XLOOKUP($Q935,'Threshold Summary'!$Y:$Y,'Threshold Summary'!$L:$L,""))/100)+5)*XLOOKUP(XLOOKUP($Q935,'Threshold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Editor'!$E:$E,1))),stab,IF(OR(mtype=XLOOKUP(XLOOKUP($Q935,'Threshold Summary'!$Y:$Y,'Threshold Summary'!$K:$K,""),'Pokemon Editor'!$A:$A,'Pokemon Editor'!$C:$C,""),mtype=XLOOKUP(XLOOKUP($Q935,'Threshold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Chart'!$B$1:$S$1,0)))),base,IF(OR(cat="Status",pow=0),0,FLOOR(FLOOR(FLOOR((2*XLOOKUP($Q935,'Threshold Summary'!$Y:$Y,'Threshold Summary'!$L:$L,"")/5+2)*pow*atk/def)/50)+2)),modifier,stab*eff,FLOOR(base*modifier)),0)</f>
        <v/>
      </c>
      <c r="L935" s="3">
        <f>IFERROR(LET(mtype,XLOOKUP($D935,'Move Editor'!$B:$B,'Move Editor'!$C:$C,""),cat,XLOOKUP($D935,'Move Editor'!$B:$B,'Move Editor'!$D:$D,""),pow,XLOOKUP($D935,'Move Editor'!$B:$B,'Move Editor'!$E:$E,0),acc,XLOOKUP($D935,'Move Editor'!$B:$B,'Move Editor'!$F:$F,100),atk,IF(cat="Physical",FLOOR((FLOOR(((2*XLOOKUP(XLOOKUP($Q935,'Threshold Summary'!$Y:$Y,'Threshold Summary'!$K:$K,""),'Pokemon Editor'!$A:$A,'Pokemon Editor'!$F:$F,0)+31+FLOOR(XLOOKUP($Q935,'Threshold Summary'!$Y:$Y,'Threshold Summary'!$P:$P,"")/4))*XLOOKUP($Q935,'Threshold Summary'!$Y:$Y,'Threshold Summary'!$L:$L,""))/100)+5)*XLOOKUP(XLOOKUP($Q935,'Threshold Summary'!$Y:$Y,'Threshold Summary'!$M:$M,""),'Nature Editor'!$A:$A,'Nature Editor'!$B:$B,1)),FLOOR((FLOOR(((2*XLOOKUP(XLOOKUP($Q935,'Threshold Summary'!$Y:$Y,'Threshold Summary'!$K:$K,""),'Pokemon Editor'!$A:$A,'Pokemon Editor'!$H:$H,0)+31+FLOOR(XLOOKUP($Q935,'Threshold Summary'!$Y:$Y,'Threshold Summary'!$R:$R,"")/4))*XLOOKUP($Q935,'Threshold Summary'!$Y:$Y,'Threshold Summary'!$L:$L,""))/100)+5)*XLOOKUP(XLOOKUP($Q935,'Threshold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Editor'!$E:$E,1))),stab,IF(OR(mtype=XLOOKUP(XLOOKUP($Q935,'Threshold Summary'!$Y:$Y,'Threshold Summary'!$K:$K,""),'Pokemon Editor'!$A:$A,'Pokemon Editor'!$C:$C,""),mtype=XLOOKUP(XLOOKUP($Q935,'Threshold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Chart'!$B$1:$S$1,0)))),base,IF(OR(cat="Status",pow=0),0,FLOOR(FLOOR(FLOOR((2*XLOOKUP($Q935,'Threshold Summary'!$Y:$Y,'Threshold Summary'!$L:$L,"")/5+2)*pow*atk/def)/50)+2)),modifier,stab*eff,AVERAGE(ARRAYFORMULA(FLOOR(base*modifier*SEQUENCE(16,1,85,1)/100)))),0)</f>
        <v/>
      </c>
      <c r="M935" s="3">
        <f>IFERROR(LET(mtype,XLOOKUP($D935,'Move Editor'!$B:$B,'Move Editor'!$C:$C,""),cat,XLOOKUP($D935,'Move Editor'!$B:$B,'Move Editor'!$D:$D,""),pow,XLOOKUP($D935,'Move Editor'!$B:$B,'Move Editor'!$E:$E,0),acc,XLOOKUP($D935,'Move Editor'!$B:$B,'Move Editor'!$F:$F,100),atk,IF(cat="Physical",FLOOR((FLOOR(((2*XLOOKUP(XLOOKUP($Q935,'Threshold Summary'!$Y:$Y,'Threshold Summary'!$K:$K,""),'Pokemon Editor'!$A:$A,'Pokemon Editor'!$F:$F,0)+31+FLOOR(XLOOKUP($Q935,'Threshold Summary'!$Y:$Y,'Threshold Summary'!$P:$P,"")/4))*XLOOKUP($Q935,'Threshold Summary'!$Y:$Y,'Threshold Summary'!$L:$L,""))/100)+5)*XLOOKUP(XLOOKUP($Q935,'Threshold Summary'!$Y:$Y,'Threshold Summary'!$M:$M,""),'Nature Editor'!$A:$A,'Nature Editor'!$B:$B,1)),FLOOR((FLOOR(((2*XLOOKUP(XLOOKUP($Q935,'Threshold Summary'!$Y:$Y,'Threshold Summary'!$K:$K,""),'Pokemon Editor'!$A:$A,'Pokemon Editor'!$H:$H,0)+31+FLOOR(XLOOKUP($Q935,'Threshold Summary'!$Y:$Y,'Threshold Summary'!$R:$R,"")/4))*XLOOKUP($Q935,'Threshold Summary'!$Y:$Y,'Threshold Summary'!$L:$L,""))/100)+5)*XLOOKUP(XLOOKUP($Q935,'Threshold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Editor'!$E:$E,1))),stab,IF(OR(mtype=XLOOKUP(XLOOKUP($Q935,'Threshold Summary'!$Y:$Y,'Threshold Summary'!$K:$K,""),'Pokemon Editor'!$A:$A,'Pokemon Editor'!$C:$C,""),mtype=XLOOKUP(XLOOKUP($Q935,'Threshold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Chart'!$B$1:$S$1,0)))),base,IF(OR(cat="Status",pow=0),0,FLOOR(FLOOR(FLOOR((2*XLOOKUP($Q935,'Threshold Summary'!$Y:$Y,'Threshold Summary'!$L:$L,"")/5+2)*pow*atk/def)/50)+2)),modifier,stab*eff,AVERAGE(ARRAYFORMULA(FLOOR(base*modifier*SEQUENCE(16,1,85,1)/100)))*MIN(1,acc/100)),0)</f>
        <v/>
      </c>
      <c r="N935" s="4">
        <f>IFERROR(LET(mtype,XLOOKUP($D935,'Move Editor'!$B:$B,'Move Editor'!$C:$C,""),cat,XLOOKUP($D935,'Move Editor'!$B:$B,'Move Editor'!$D:$D,""),pow,XLOOKUP($D935,'Move Editor'!$B:$B,'Move Editor'!$E:$E,0),acc,XLOOKUP($D935,'Move Editor'!$B:$B,'Move Editor'!$F:$F,100),atk,IF(cat="Physical",FLOOR((FLOOR(((2*XLOOKUP(XLOOKUP($Q935,'Threshold Summary'!$Y:$Y,'Threshold Summary'!$K:$K,""),'Pokemon Editor'!$A:$A,'Pokemon Editor'!$F:$F,0)+31+FLOOR(XLOOKUP($Q935,'Threshold Summary'!$Y:$Y,'Threshold Summary'!$P:$P,"")/4))*XLOOKUP($Q935,'Threshold Summary'!$Y:$Y,'Threshold Summary'!$L:$L,""))/100)+5)*XLOOKUP(XLOOKUP($Q935,'Threshold Summary'!$Y:$Y,'Threshold Summary'!$M:$M,""),'Nature Editor'!$A:$A,'Nature Editor'!$B:$B,1)),FLOOR((FLOOR(((2*XLOOKUP(XLOOKUP($Q935,'Threshold Summary'!$Y:$Y,'Threshold Summary'!$K:$K,""),'Pokemon Editor'!$A:$A,'Pokemon Editor'!$H:$H,0)+31+FLOOR(XLOOKUP($Q935,'Threshold Summary'!$Y:$Y,'Threshold Summary'!$R:$R,"")/4))*XLOOKUP($Q935,'Threshold Summary'!$Y:$Y,'Threshold Summary'!$L:$L,""))/100)+5)*XLOOKUP(XLOOKUP($Q935,'Threshold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Editor'!$E:$E,1))),stab,IF(OR(mtype=XLOOKUP(XLOOKUP($Q935,'Threshold Summary'!$Y:$Y,'Threshold Summary'!$K:$K,""),'Pokemon Editor'!$A:$A,'Pokemon Editor'!$C:$C,""),mtype=XLOOKUP(XLOOKUP($Q935,'Threshold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Chart'!$B$1:$S$1,0)))),base,IF(OR(cat="Status",pow=0),0,FLOOR(FLOOR(FLOOR((2*XLOOKUP($Q935,'Threshold Summary'!$Y:$Y,'Threshold Summary'!$L:$L,"")/5+2)*pow*atk/def)/50)+2)),modifier,stab*eff,AVERAGE(ARRAYFORMULA(FLOOR(base*modifier*SEQUENCE(16,1,85,1)/100)))/(FLOOR(((2*XLOOKUP('Boss Editor'!$C$4,'Pokemon Editor'!$A:$A,'Pokemon Editor'!$E:$E,0)+31+FLOOR('Boss Editor'!$G$4/4))*'Boss Editor'!$D$4)/100)+'Boss Editor'!$D$4+10)),0)</f>
        <v/>
      </c>
      <c r="O935" s="3">
        <f>IF(N935&gt;=1,"OHKO",IF(N935&gt;=0.5,"2HKO",IF(N935&gt;=0.333,"3HKO",IF(N935&gt;=0.25,"4HKO","5HKO+"))))</f>
        <v/>
      </c>
      <c r="P935" s="3" t="inlineStr">
        <is>
          <t>Live from editable databases</t>
        </is>
      </c>
      <c r="Q935" s="3" t="inlineStr">
        <is>
          <t>SPECIES_CHARCADET</t>
        </is>
      </c>
      <c r="R935" s="3" t="n">
        <v>6</v>
      </c>
    </row>
    <row r="936">
      <c r="A936" s="3">
        <f>XLOOKUP($Q936,'Threshold Summary'!$Y:$Y,'Threshold Summary'!$A:$A,"")</f>
        <v/>
      </c>
      <c r="B936" s="3">
        <f>XLOOKUP($Q936,'Threshold Summary'!$Y:$Y,'Threshold Summary'!$M:$M,"")</f>
        <v/>
      </c>
      <c r="C936" s="3">
        <f>XLOOKUP($Q936,'Threshold Summary'!$Y:$Y,'Threshold Summary'!$N:$N,"")</f>
        <v/>
      </c>
      <c r="D936" s="3">
        <f>IFERROR(INDEX(FILTER('Learnset Editor'!$D$2:$D,'Learnset Editor'!$A$2:$A=XLOOKUP($Q936,'Threshold Summary'!$Y:$Y,'Threshold Summary'!$K:$K,""),'Learnset Editor'!$C$2:$C&lt;=XLOOKUP($Q936,'Threshold Summary'!$Y:$Y,'Threshold Summary'!$L:$L,"")),$R936),"")</f>
        <v/>
      </c>
      <c r="E936" s="3">
        <f>XLOOKUP(D936,'Move Editor'!$B:$B,'Move Editor'!$C:$C,"")</f>
        <v/>
      </c>
      <c r="F936" s="3">
        <f>XLOOKUP(D936,'Move Editor'!$B:$B,'Move Editor'!$D:$D,"")</f>
        <v/>
      </c>
      <c r="G936" s="3">
        <f>XLOOKUP(D936,'Move Editor'!$B:$B,'Move Editor'!$E:$E,0)</f>
        <v/>
      </c>
      <c r="H936" s="3">
        <f>XLOOKUP(D936,'Move Editor'!$B:$B,'Move Editor'!$F:$F,0)</f>
        <v/>
      </c>
      <c r="I936" s="3">
        <f>(INDEX('Type Chart'!$B:$S,MATCH(E936,'Type Chart'!$A:$A,0),MATCH(XLOOKUP('Boss Editor'!$C$4,'Pokemon Editor'!$A:$A,'Pokemon Editor'!$C:$C,""),'Type Chart'!$B$1:$S$1,0))*IF(XLOOKUP('Boss Editor'!$C$4,'Pokemon Editor'!$A:$A,'Pokemon Editor'!$D:$D,"")="",1,INDEX('Type Chart'!$B:$S,MATCH(E936,'Type Chart'!$A:$A,0),MATCH(XLOOKUP('Boss Editor'!$C$4,'Pokemon Editor'!$A:$A,'Pokemon Editor'!$D:$D,""),'Type Chart'!$B$1:$S$1,0))))</f>
        <v/>
      </c>
      <c r="J936" s="3">
        <f>IFERROR(LET(mtype,XLOOKUP($D936,'Move Editor'!$B:$B,'Move Editor'!$C:$C,""),cat,XLOOKUP($D936,'Move Editor'!$B:$B,'Move Editor'!$D:$D,""),pow,XLOOKUP($D936,'Move Editor'!$B:$B,'Move Editor'!$E:$E,0),acc,XLOOKUP($D936,'Move Editor'!$B:$B,'Move Editor'!$F:$F,100),atk,IF(cat="Physical",FLOOR((FLOOR(((2*XLOOKUP(XLOOKUP($Q936,'Threshold Summary'!$Y:$Y,'Threshold Summary'!$K:$K,""),'Pokemon Editor'!$A:$A,'Pokemon Editor'!$F:$F,0)+31+FLOOR(XLOOKUP($Q936,'Threshold Summary'!$Y:$Y,'Threshold Summary'!$P:$P,"")/4))*XLOOKUP($Q936,'Threshold Summary'!$Y:$Y,'Threshold Summary'!$L:$L,""))/100)+5)*XLOOKUP(XLOOKUP($Q936,'Threshold Summary'!$Y:$Y,'Threshold Summary'!$M:$M,""),'Nature Editor'!$A:$A,'Nature Editor'!$B:$B,1)),FLOOR((FLOOR(((2*XLOOKUP(XLOOKUP($Q936,'Threshold Summary'!$Y:$Y,'Threshold Summary'!$K:$K,""),'Pokemon Editor'!$A:$A,'Pokemon Editor'!$H:$H,0)+31+FLOOR(XLOOKUP($Q936,'Threshold Summary'!$Y:$Y,'Threshold Summary'!$R:$R,"")/4))*XLOOKUP($Q936,'Threshold Summary'!$Y:$Y,'Threshold Summary'!$L:$L,""))/100)+5)*XLOOKUP(XLOOKUP($Q936,'Threshold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Editor'!$E:$E,1))),stab,IF(OR(mtype=XLOOKUP(XLOOKUP($Q936,'Threshold Summary'!$Y:$Y,'Threshold Summary'!$K:$K,""),'Pokemon Editor'!$A:$A,'Pokemon Editor'!$C:$C,""),mtype=XLOOKUP(XLOOKUP($Q936,'Threshold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Chart'!$B$1:$S$1,0)))),base,IF(OR(cat="Status",pow=0),0,FLOOR(FLOOR(FLOOR((2*XLOOKUP($Q936,'Threshold Summary'!$Y:$Y,'Threshold Summary'!$L:$L,"")/5+2)*pow*atk/def)/50)+2)),modifier,stab*eff,FLOOR(base*modifier*0.85)),0)</f>
        <v/>
      </c>
      <c r="K936" s="3">
        <f>IFERROR(LET(mtype,XLOOKUP($D936,'Move Editor'!$B:$B,'Move Editor'!$C:$C,""),cat,XLOOKUP($D936,'Move Editor'!$B:$B,'Move Editor'!$D:$D,""),pow,XLOOKUP($D936,'Move Editor'!$B:$B,'Move Editor'!$E:$E,0),acc,XLOOKUP($D936,'Move Editor'!$B:$B,'Move Editor'!$F:$F,100),atk,IF(cat="Physical",FLOOR((FLOOR(((2*XLOOKUP(XLOOKUP($Q936,'Threshold Summary'!$Y:$Y,'Threshold Summary'!$K:$K,""),'Pokemon Editor'!$A:$A,'Pokemon Editor'!$F:$F,0)+31+FLOOR(XLOOKUP($Q936,'Threshold Summary'!$Y:$Y,'Threshold Summary'!$P:$P,"")/4))*XLOOKUP($Q936,'Threshold Summary'!$Y:$Y,'Threshold Summary'!$L:$L,""))/100)+5)*XLOOKUP(XLOOKUP($Q936,'Threshold Summary'!$Y:$Y,'Threshold Summary'!$M:$M,""),'Nature Editor'!$A:$A,'Nature Editor'!$B:$B,1)),FLOOR((FLOOR(((2*XLOOKUP(XLOOKUP($Q936,'Threshold Summary'!$Y:$Y,'Threshold Summary'!$K:$K,""),'Pokemon Editor'!$A:$A,'Pokemon Editor'!$H:$H,0)+31+FLOOR(XLOOKUP($Q936,'Threshold Summary'!$Y:$Y,'Threshold Summary'!$R:$R,"")/4))*XLOOKUP($Q936,'Threshold Summary'!$Y:$Y,'Threshold Summary'!$L:$L,""))/100)+5)*XLOOKUP(XLOOKUP($Q936,'Threshold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Editor'!$E:$E,1))),stab,IF(OR(mtype=XLOOKUP(XLOOKUP($Q936,'Threshold Summary'!$Y:$Y,'Threshold Summary'!$K:$K,""),'Pokemon Editor'!$A:$A,'Pokemon Editor'!$C:$C,""),mtype=XLOOKUP(XLOOKUP($Q936,'Threshold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Chart'!$B$1:$S$1,0)))),base,IF(OR(cat="Status",pow=0),0,FLOOR(FLOOR(FLOOR((2*XLOOKUP($Q936,'Threshold Summary'!$Y:$Y,'Threshold Summary'!$L:$L,"")/5+2)*pow*atk/def)/50)+2)),modifier,stab*eff,FLOOR(base*modifier)),0)</f>
        <v/>
      </c>
      <c r="L936" s="3">
        <f>IFERROR(LET(mtype,XLOOKUP($D936,'Move Editor'!$B:$B,'Move Editor'!$C:$C,""),cat,XLOOKUP($D936,'Move Editor'!$B:$B,'Move Editor'!$D:$D,""),pow,XLOOKUP($D936,'Move Editor'!$B:$B,'Move Editor'!$E:$E,0),acc,XLOOKUP($D936,'Move Editor'!$B:$B,'Move Editor'!$F:$F,100),atk,IF(cat="Physical",FLOOR((FLOOR(((2*XLOOKUP(XLOOKUP($Q936,'Threshold Summary'!$Y:$Y,'Threshold Summary'!$K:$K,""),'Pokemon Editor'!$A:$A,'Pokemon Editor'!$F:$F,0)+31+FLOOR(XLOOKUP($Q936,'Threshold Summary'!$Y:$Y,'Threshold Summary'!$P:$P,"")/4))*XLOOKUP($Q936,'Threshold Summary'!$Y:$Y,'Threshold Summary'!$L:$L,""))/100)+5)*XLOOKUP(XLOOKUP($Q936,'Threshold Summary'!$Y:$Y,'Threshold Summary'!$M:$M,""),'Nature Editor'!$A:$A,'Nature Editor'!$B:$B,1)),FLOOR((FLOOR(((2*XLOOKUP(XLOOKUP($Q936,'Threshold Summary'!$Y:$Y,'Threshold Summary'!$K:$K,""),'Pokemon Editor'!$A:$A,'Pokemon Editor'!$H:$H,0)+31+FLOOR(XLOOKUP($Q936,'Threshold Summary'!$Y:$Y,'Threshold Summary'!$R:$R,"")/4))*XLOOKUP($Q936,'Threshold Summary'!$Y:$Y,'Threshold Summary'!$L:$L,""))/100)+5)*XLOOKUP(XLOOKUP($Q936,'Threshold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Editor'!$E:$E,1))),stab,IF(OR(mtype=XLOOKUP(XLOOKUP($Q936,'Threshold Summary'!$Y:$Y,'Threshold Summary'!$K:$K,""),'Pokemon Editor'!$A:$A,'Pokemon Editor'!$C:$C,""),mtype=XLOOKUP(XLOOKUP($Q936,'Threshold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Chart'!$B$1:$S$1,0)))),base,IF(OR(cat="Status",pow=0),0,FLOOR(FLOOR(FLOOR((2*XLOOKUP($Q936,'Threshold Summary'!$Y:$Y,'Threshold Summary'!$L:$L,"")/5+2)*pow*atk/def)/50)+2)),modifier,stab*eff,AVERAGE(ARRAYFORMULA(FLOOR(base*modifier*SEQUENCE(16,1,85,1)/100)))),0)</f>
        <v/>
      </c>
      <c r="M936" s="3">
        <f>IFERROR(LET(mtype,XLOOKUP($D936,'Move Editor'!$B:$B,'Move Editor'!$C:$C,""),cat,XLOOKUP($D936,'Move Editor'!$B:$B,'Move Editor'!$D:$D,""),pow,XLOOKUP($D936,'Move Editor'!$B:$B,'Move Editor'!$E:$E,0),acc,XLOOKUP($D936,'Move Editor'!$B:$B,'Move Editor'!$F:$F,100),atk,IF(cat="Physical",FLOOR((FLOOR(((2*XLOOKUP(XLOOKUP($Q936,'Threshold Summary'!$Y:$Y,'Threshold Summary'!$K:$K,""),'Pokemon Editor'!$A:$A,'Pokemon Editor'!$F:$F,0)+31+FLOOR(XLOOKUP($Q936,'Threshold Summary'!$Y:$Y,'Threshold Summary'!$P:$P,"")/4))*XLOOKUP($Q936,'Threshold Summary'!$Y:$Y,'Threshold Summary'!$L:$L,""))/100)+5)*XLOOKUP(XLOOKUP($Q936,'Threshold Summary'!$Y:$Y,'Threshold Summary'!$M:$M,""),'Nature Editor'!$A:$A,'Nature Editor'!$B:$B,1)),FLOOR((FLOOR(((2*XLOOKUP(XLOOKUP($Q936,'Threshold Summary'!$Y:$Y,'Threshold Summary'!$K:$K,""),'Pokemon Editor'!$A:$A,'Pokemon Editor'!$H:$H,0)+31+FLOOR(XLOOKUP($Q936,'Threshold Summary'!$Y:$Y,'Threshold Summary'!$R:$R,"")/4))*XLOOKUP($Q936,'Threshold Summary'!$Y:$Y,'Threshold Summary'!$L:$L,""))/100)+5)*XLOOKUP(XLOOKUP($Q936,'Threshold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Editor'!$E:$E,1))),stab,IF(OR(mtype=XLOOKUP(XLOOKUP($Q936,'Threshold Summary'!$Y:$Y,'Threshold Summary'!$K:$K,""),'Pokemon Editor'!$A:$A,'Pokemon Editor'!$C:$C,""),mtype=XLOOKUP(XLOOKUP($Q936,'Threshold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Chart'!$B$1:$S$1,0)))),base,IF(OR(cat="Status",pow=0),0,FLOOR(FLOOR(FLOOR((2*XLOOKUP($Q936,'Threshold Summary'!$Y:$Y,'Threshold Summary'!$L:$L,"")/5+2)*pow*atk/def)/50)+2)),modifier,stab*eff,AVERAGE(ARRAYFORMULA(FLOOR(base*modifier*SEQUENCE(16,1,85,1)/100)))*MIN(1,acc/100)),0)</f>
        <v/>
      </c>
      <c r="N936" s="4">
        <f>IFERROR(LET(mtype,XLOOKUP($D936,'Move Editor'!$B:$B,'Move Editor'!$C:$C,""),cat,XLOOKUP($D936,'Move Editor'!$B:$B,'Move Editor'!$D:$D,""),pow,XLOOKUP($D936,'Move Editor'!$B:$B,'Move Editor'!$E:$E,0),acc,XLOOKUP($D936,'Move Editor'!$B:$B,'Move Editor'!$F:$F,100),atk,IF(cat="Physical",FLOOR((FLOOR(((2*XLOOKUP(XLOOKUP($Q936,'Threshold Summary'!$Y:$Y,'Threshold Summary'!$K:$K,""),'Pokemon Editor'!$A:$A,'Pokemon Editor'!$F:$F,0)+31+FLOOR(XLOOKUP($Q936,'Threshold Summary'!$Y:$Y,'Threshold Summary'!$P:$P,"")/4))*XLOOKUP($Q936,'Threshold Summary'!$Y:$Y,'Threshold Summary'!$L:$L,""))/100)+5)*XLOOKUP(XLOOKUP($Q936,'Threshold Summary'!$Y:$Y,'Threshold Summary'!$M:$M,""),'Nature Editor'!$A:$A,'Nature Editor'!$B:$B,1)),FLOOR((FLOOR(((2*XLOOKUP(XLOOKUP($Q936,'Threshold Summary'!$Y:$Y,'Threshold Summary'!$K:$K,""),'Pokemon Editor'!$A:$A,'Pokemon Editor'!$H:$H,0)+31+FLOOR(XLOOKUP($Q936,'Threshold Summary'!$Y:$Y,'Threshold Summary'!$R:$R,"")/4))*XLOOKUP($Q936,'Threshold Summary'!$Y:$Y,'Threshold Summary'!$L:$L,""))/100)+5)*XLOOKUP(XLOOKUP($Q936,'Threshold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Editor'!$E:$E,1))),stab,IF(OR(mtype=XLOOKUP(XLOOKUP($Q936,'Threshold Summary'!$Y:$Y,'Threshold Summary'!$K:$K,""),'Pokemon Editor'!$A:$A,'Pokemon Editor'!$C:$C,""),mtype=XLOOKUP(XLOOKUP($Q936,'Threshold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Chart'!$B$1:$S$1,0)))),base,IF(OR(cat="Status",pow=0),0,FLOOR(FLOOR(FLOOR((2*XLOOKUP($Q936,'Threshold Summary'!$Y:$Y,'Threshold Summary'!$L:$L,"")/5+2)*pow*atk/def)/50)+2)),modifier,stab*eff,AVERAGE(ARRAYFORMULA(FLOOR(base*modifier*SEQUENCE(16,1,85,1)/100)))/(FLOOR(((2*XLOOKUP('Boss Editor'!$C$4,'Pokemon Editor'!$A:$A,'Pokemon Editor'!$E:$E,0)+31+FLOOR('Boss Editor'!$G$4/4))*'Boss Editor'!$D$4)/100)+'Boss Editor'!$D$4+10)),0)</f>
        <v/>
      </c>
      <c r="O936" s="3">
        <f>IF(N936&gt;=1,"OHKO",IF(N936&gt;=0.5,"2HKO",IF(N936&gt;=0.333,"3HKO",IF(N936&gt;=0.25,"4HKO","5HKO+"))))</f>
        <v/>
      </c>
      <c r="P936" s="3" t="inlineStr">
        <is>
          <t>Live from editable databases</t>
        </is>
      </c>
      <c r="Q936" s="3" t="inlineStr">
        <is>
          <t>SPECIES_CHARCADET</t>
        </is>
      </c>
      <c r="R936" s="3" t="n">
        <v>7</v>
      </c>
    </row>
    <row r="937">
      <c r="A937" s="3">
        <f>XLOOKUP($Q937,'Threshold Summary'!$Y:$Y,'Threshold Summary'!$A:$A,"")</f>
        <v/>
      </c>
      <c r="B937" s="3">
        <f>XLOOKUP($Q937,'Threshold Summary'!$Y:$Y,'Threshold Summary'!$M:$M,"")</f>
        <v/>
      </c>
      <c r="C937" s="3">
        <f>XLOOKUP($Q937,'Threshold Summary'!$Y:$Y,'Threshold Summary'!$N:$N,"")</f>
        <v/>
      </c>
      <c r="D937" s="3">
        <f>IFERROR(INDEX(FILTER('Learnset Editor'!$D$2:$D,'Learnset Editor'!$A$2:$A=XLOOKUP($Q937,'Threshold Summary'!$Y:$Y,'Threshold Summary'!$K:$K,""),'Learnset Editor'!$C$2:$C&lt;=XLOOKUP($Q937,'Threshold Summary'!$Y:$Y,'Threshold Summary'!$L:$L,"")),$R937),"")</f>
        <v/>
      </c>
      <c r="E937" s="3">
        <f>XLOOKUP(D937,'Move Editor'!$B:$B,'Move Editor'!$C:$C,"")</f>
        <v/>
      </c>
      <c r="F937" s="3">
        <f>XLOOKUP(D937,'Move Editor'!$B:$B,'Move Editor'!$D:$D,"")</f>
        <v/>
      </c>
      <c r="G937" s="3">
        <f>XLOOKUP(D937,'Move Editor'!$B:$B,'Move Editor'!$E:$E,0)</f>
        <v/>
      </c>
      <c r="H937" s="3">
        <f>XLOOKUP(D937,'Move Editor'!$B:$B,'Move Editor'!$F:$F,0)</f>
        <v/>
      </c>
      <c r="I937" s="3">
        <f>(INDEX('Type Chart'!$B:$S,MATCH(E937,'Type Chart'!$A:$A,0),MATCH(XLOOKUP('Boss Editor'!$C$4,'Pokemon Editor'!$A:$A,'Pokemon Editor'!$C:$C,""),'Type Chart'!$B$1:$S$1,0))*IF(XLOOKUP('Boss Editor'!$C$4,'Pokemon Editor'!$A:$A,'Pokemon Editor'!$D:$D,"")="",1,INDEX('Type Chart'!$B:$S,MATCH(E937,'Type Chart'!$A:$A,0),MATCH(XLOOKUP('Boss Editor'!$C$4,'Pokemon Editor'!$A:$A,'Pokemon Editor'!$D:$D,""),'Type Chart'!$B$1:$S$1,0))))</f>
        <v/>
      </c>
      <c r="J937" s="3">
        <f>IFERROR(LET(mtype,XLOOKUP($D937,'Move Editor'!$B:$B,'Move Editor'!$C:$C,""),cat,XLOOKUP($D937,'Move Editor'!$B:$B,'Move Editor'!$D:$D,""),pow,XLOOKUP($D937,'Move Editor'!$B:$B,'Move Editor'!$E:$E,0),acc,XLOOKUP($D937,'Move Editor'!$B:$B,'Move Editor'!$F:$F,100),atk,IF(cat="Physical",FLOOR((FLOOR(((2*XLOOKUP(XLOOKUP($Q937,'Threshold Summary'!$Y:$Y,'Threshold Summary'!$K:$K,""),'Pokemon Editor'!$A:$A,'Pokemon Editor'!$F:$F,0)+31+FLOOR(XLOOKUP($Q937,'Threshold Summary'!$Y:$Y,'Threshold Summary'!$P:$P,"")/4))*XLOOKUP($Q937,'Threshold Summary'!$Y:$Y,'Threshold Summary'!$L:$L,""))/100)+5)*XLOOKUP(XLOOKUP($Q937,'Threshold Summary'!$Y:$Y,'Threshold Summary'!$M:$M,""),'Nature Editor'!$A:$A,'Nature Editor'!$B:$B,1)),FLOOR((FLOOR(((2*XLOOKUP(XLOOKUP($Q937,'Threshold Summary'!$Y:$Y,'Threshold Summary'!$K:$K,""),'Pokemon Editor'!$A:$A,'Pokemon Editor'!$H:$H,0)+31+FLOOR(XLOOKUP($Q937,'Threshold Summary'!$Y:$Y,'Threshold Summary'!$R:$R,"")/4))*XLOOKUP($Q937,'Threshold Summary'!$Y:$Y,'Threshold Summary'!$L:$L,""))/100)+5)*XLOOKUP(XLOOKUP($Q937,'Threshold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Editor'!$E:$E,1))),stab,IF(OR(mtype=XLOOKUP(XLOOKUP($Q937,'Threshold Summary'!$Y:$Y,'Threshold Summary'!$K:$K,""),'Pokemon Editor'!$A:$A,'Pokemon Editor'!$C:$C,""),mtype=XLOOKUP(XLOOKUP($Q937,'Threshold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Chart'!$B$1:$S$1,0)))),base,IF(OR(cat="Status",pow=0),0,FLOOR(FLOOR(FLOOR((2*XLOOKUP($Q937,'Threshold Summary'!$Y:$Y,'Threshold Summary'!$L:$L,"")/5+2)*pow*atk/def)/50)+2)),modifier,stab*eff,FLOOR(base*modifier*0.85)),0)</f>
        <v/>
      </c>
      <c r="K937" s="3">
        <f>IFERROR(LET(mtype,XLOOKUP($D937,'Move Editor'!$B:$B,'Move Editor'!$C:$C,""),cat,XLOOKUP($D937,'Move Editor'!$B:$B,'Move Editor'!$D:$D,""),pow,XLOOKUP($D937,'Move Editor'!$B:$B,'Move Editor'!$E:$E,0),acc,XLOOKUP($D937,'Move Editor'!$B:$B,'Move Editor'!$F:$F,100),atk,IF(cat="Physical",FLOOR((FLOOR(((2*XLOOKUP(XLOOKUP($Q937,'Threshold Summary'!$Y:$Y,'Threshold Summary'!$K:$K,""),'Pokemon Editor'!$A:$A,'Pokemon Editor'!$F:$F,0)+31+FLOOR(XLOOKUP($Q937,'Threshold Summary'!$Y:$Y,'Threshold Summary'!$P:$P,"")/4))*XLOOKUP($Q937,'Threshold Summary'!$Y:$Y,'Threshold Summary'!$L:$L,""))/100)+5)*XLOOKUP(XLOOKUP($Q937,'Threshold Summary'!$Y:$Y,'Threshold Summary'!$M:$M,""),'Nature Editor'!$A:$A,'Nature Editor'!$B:$B,1)),FLOOR((FLOOR(((2*XLOOKUP(XLOOKUP($Q937,'Threshold Summary'!$Y:$Y,'Threshold Summary'!$K:$K,""),'Pokemon Editor'!$A:$A,'Pokemon Editor'!$H:$H,0)+31+FLOOR(XLOOKUP($Q937,'Threshold Summary'!$Y:$Y,'Threshold Summary'!$R:$R,"")/4))*XLOOKUP($Q937,'Threshold Summary'!$Y:$Y,'Threshold Summary'!$L:$L,""))/100)+5)*XLOOKUP(XLOOKUP($Q937,'Threshold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Editor'!$E:$E,1))),stab,IF(OR(mtype=XLOOKUP(XLOOKUP($Q937,'Threshold Summary'!$Y:$Y,'Threshold Summary'!$K:$K,""),'Pokemon Editor'!$A:$A,'Pokemon Editor'!$C:$C,""),mtype=XLOOKUP(XLOOKUP($Q937,'Threshold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Chart'!$B$1:$S$1,0)))),base,IF(OR(cat="Status",pow=0),0,FLOOR(FLOOR(FLOOR((2*XLOOKUP($Q937,'Threshold Summary'!$Y:$Y,'Threshold Summary'!$L:$L,"")/5+2)*pow*atk/def)/50)+2)),modifier,stab*eff,FLOOR(base*modifier)),0)</f>
        <v/>
      </c>
      <c r="L937" s="3">
        <f>IFERROR(LET(mtype,XLOOKUP($D937,'Move Editor'!$B:$B,'Move Editor'!$C:$C,""),cat,XLOOKUP($D937,'Move Editor'!$B:$B,'Move Editor'!$D:$D,""),pow,XLOOKUP($D937,'Move Editor'!$B:$B,'Move Editor'!$E:$E,0),acc,XLOOKUP($D937,'Move Editor'!$B:$B,'Move Editor'!$F:$F,100),atk,IF(cat="Physical",FLOOR((FLOOR(((2*XLOOKUP(XLOOKUP($Q937,'Threshold Summary'!$Y:$Y,'Threshold Summary'!$K:$K,""),'Pokemon Editor'!$A:$A,'Pokemon Editor'!$F:$F,0)+31+FLOOR(XLOOKUP($Q937,'Threshold Summary'!$Y:$Y,'Threshold Summary'!$P:$P,"")/4))*XLOOKUP($Q937,'Threshold Summary'!$Y:$Y,'Threshold Summary'!$L:$L,""))/100)+5)*XLOOKUP(XLOOKUP($Q937,'Threshold Summary'!$Y:$Y,'Threshold Summary'!$M:$M,""),'Nature Editor'!$A:$A,'Nature Editor'!$B:$B,1)),FLOOR((FLOOR(((2*XLOOKUP(XLOOKUP($Q937,'Threshold Summary'!$Y:$Y,'Threshold Summary'!$K:$K,""),'Pokemon Editor'!$A:$A,'Pokemon Editor'!$H:$H,0)+31+FLOOR(XLOOKUP($Q937,'Threshold Summary'!$Y:$Y,'Threshold Summary'!$R:$R,"")/4))*XLOOKUP($Q937,'Threshold Summary'!$Y:$Y,'Threshold Summary'!$L:$L,""))/100)+5)*XLOOKUP(XLOOKUP($Q937,'Threshold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Editor'!$E:$E,1))),stab,IF(OR(mtype=XLOOKUP(XLOOKUP($Q937,'Threshold Summary'!$Y:$Y,'Threshold Summary'!$K:$K,""),'Pokemon Editor'!$A:$A,'Pokemon Editor'!$C:$C,""),mtype=XLOOKUP(XLOOKUP($Q937,'Threshold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Chart'!$B$1:$S$1,0)))),base,IF(OR(cat="Status",pow=0),0,FLOOR(FLOOR(FLOOR((2*XLOOKUP($Q937,'Threshold Summary'!$Y:$Y,'Threshold Summary'!$L:$L,"")/5+2)*pow*atk/def)/50)+2)),modifier,stab*eff,AVERAGE(ARRAYFORMULA(FLOOR(base*modifier*SEQUENCE(16,1,85,1)/100)))),0)</f>
        <v/>
      </c>
      <c r="M937" s="3">
        <f>IFERROR(LET(mtype,XLOOKUP($D937,'Move Editor'!$B:$B,'Move Editor'!$C:$C,""),cat,XLOOKUP($D937,'Move Editor'!$B:$B,'Move Editor'!$D:$D,""),pow,XLOOKUP($D937,'Move Editor'!$B:$B,'Move Editor'!$E:$E,0),acc,XLOOKUP($D937,'Move Editor'!$B:$B,'Move Editor'!$F:$F,100),atk,IF(cat="Physical",FLOOR((FLOOR(((2*XLOOKUP(XLOOKUP($Q937,'Threshold Summary'!$Y:$Y,'Threshold Summary'!$K:$K,""),'Pokemon Editor'!$A:$A,'Pokemon Editor'!$F:$F,0)+31+FLOOR(XLOOKUP($Q937,'Threshold Summary'!$Y:$Y,'Threshold Summary'!$P:$P,"")/4))*XLOOKUP($Q937,'Threshold Summary'!$Y:$Y,'Threshold Summary'!$L:$L,""))/100)+5)*XLOOKUP(XLOOKUP($Q937,'Threshold Summary'!$Y:$Y,'Threshold Summary'!$M:$M,""),'Nature Editor'!$A:$A,'Nature Editor'!$B:$B,1)),FLOOR((FLOOR(((2*XLOOKUP(XLOOKUP($Q937,'Threshold Summary'!$Y:$Y,'Threshold Summary'!$K:$K,""),'Pokemon Editor'!$A:$A,'Pokemon Editor'!$H:$H,0)+31+FLOOR(XLOOKUP($Q937,'Threshold Summary'!$Y:$Y,'Threshold Summary'!$R:$R,"")/4))*XLOOKUP($Q937,'Threshold Summary'!$Y:$Y,'Threshold Summary'!$L:$L,""))/100)+5)*XLOOKUP(XLOOKUP($Q937,'Threshold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Editor'!$E:$E,1))),stab,IF(OR(mtype=XLOOKUP(XLOOKUP($Q937,'Threshold Summary'!$Y:$Y,'Threshold Summary'!$K:$K,""),'Pokemon Editor'!$A:$A,'Pokemon Editor'!$C:$C,""),mtype=XLOOKUP(XLOOKUP($Q937,'Threshold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Chart'!$B$1:$S$1,0)))),base,IF(OR(cat="Status",pow=0),0,FLOOR(FLOOR(FLOOR((2*XLOOKUP($Q937,'Threshold Summary'!$Y:$Y,'Threshold Summary'!$L:$L,"")/5+2)*pow*atk/def)/50)+2)),modifier,stab*eff,AVERAGE(ARRAYFORMULA(FLOOR(base*modifier*SEQUENCE(16,1,85,1)/100)))*MIN(1,acc/100)),0)</f>
        <v/>
      </c>
      <c r="N937" s="4">
        <f>IFERROR(LET(mtype,XLOOKUP($D937,'Move Editor'!$B:$B,'Move Editor'!$C:$C,""),cat,XLOOKUP($D937,'Move Editor'!$B:$B,'Move Editor'!$D:$D,""),pow,XLOOKUP($D937,'Move Editor'!$B:$B,'Move Editor'!$E:$E,0),acc,XLOOKUP($D937,'Move Editor'!$B:$B,'Move Editor'!$F:$F,100),atk,IF(cat="Physical",FLOOR((FLOOR(((2*XLOOKUP(XLOOKUP($Q937,'Threshold Summary'!$Y:$Y,'Threshold Summary'!$K:$K,""),'Pokemon Editor'!$A:$A,'Pokemon Editor'!$F:$F,0)+31+FLOOR(XLOOKUP($Q937,'Threshold Summary'!$Y:$Y,'Threshold Summary'!$P:$P,"")/4))*XLOOKUP($Q937,'Threshold Summary'!$Y:$Y,'Threshold Summary'!$L:$L,""))/100)+5)*XLOOKUP(XLOOKUP($Q937,'Threshold Summary'!$Y:$Y,'Threshold Summary'!$M:$M,""),'Nature Editor'!$A:$A,'Nature Editor'!$B:$B,1)),FLOOR((FLOOR(((2*XLOOKUP(XLOOKUP($Q937,'Threshold Summary'!$Y:$Y,'Threshold Summary'!$K:$K,""),'Pokemon Editor'!$A:$A,'Pokemon Editor'!$H:$H,0)+31+FLOOR(XLOOKUP($Q937,'Threshold Summary'!$Y:$Y,'Threshold Summary'!$R:$R,"")/4))*XLOOKUP($Q937,'Threshold Summary'!$Y:$Y,'Threshold Summary'!$L:$L,""))/100)+5)*XLOOKUP(XLOOKUP($Q937,'Threshold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Editor'!$E:$E,1))),stab,IF(OR(mtype=XLOOKUP(XLOOKUP($Q937,'Threshold Summary'!$Y:$Y,'Threshold Summary'!$K:$K,""),'Pokemon Editor'!$A:$A,'Pokemon Editor'!$C:$C,""),mtype=XLOOKUP(XLOOKUP($Q937,'Threshold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Chart'!$B$1:$S$1,0)))),base,IF(OR(cat="Status",pow=0),0,FLOOR(FLOOR(FLOOR((2*XLOOKUP($Q937,'Threshold Summary'!$Y:$Y,'Threshold Summary'!$L:$L,"")/5+2)*pow*atk/def)/50)+2)),modifier,stab*eff,AVERAGE(ARRAYFORMULA(FLOOR(base*modifier*SEQUENCE(16,1,85,1)/100)))/(FLOOR(((2*XLOOKUP('Boss Editor'!$C$4,'Pokemon Editor'!$A:$A,'Pokemon Editor'!$E:$E,0)+31+FLOOR('Boss Editor'!$G$4/4))*'Boss Editor'!$D$4)/100)+'Boss Editor'!$D$4+10)),0)</f>
        <v/>
      </c>
      <c r="O937" s="3">
        <f>IF(N937&gt;=1,"OHKO",IF(N937&gt;=0.5,"2HKO",IF(N937&gt;=0.333,"3HKO",IF(N937&gt;=0.25,"4HKO","5HKO+"))))</f>
        <v/>
      </c>
      <c r="P937" s="3" t="inlineStr">
        <is>
          <t>Live from editable databases</t>
        </is>
      </c>
      <c r="Q937" s="3" t="inlineStr">
        <is>
          <t>SPECIES_CHARCADET</t>
        </is>
      </c>
      <c r="R937" s="3" t="n">
        <v>8</v>
      </c>
    </row>
    <row r="938">
      <c r="A938" s="3">
        <f>XLOOKUP($Q938,'Threshold Summary'!$Y:$Y,'Threshold Summary'!$A:$A,"")</f>
        <v/>
      </c>
      <c r="B938" s="3">
        <f>XLOOKUP($Q938,'Threshold Summary'!$Y:$Y,'Threshold Summary'!$M:$M,"")</f>
        <v/>
      </c>
      <c r="C938" s="3">
        <f>XLOOKUP($Q938,'Threshold Summary'!$Y:$Y,'Threshold Summary'!$N:$N,"")</f>
        <v/>
      </c>
      <c r="D938" s="3">
        <f>IFERROR(INDEX(FILTER('Learnset Editor'!$D$2:$D,'Learnset Editor'!$A$2:$A=XLOOKUP($Q938,'Threshold Summary'!$Y:$Y,'Threshold Summary'!$K:$K,""),'Learnset Editor'!$C$2:$C&lt;=XLOOKUP($Q938,'Threshold Summary'!$Y:$Y,'Threshold Summary'!$L:$L,"")),$R938),"")</f>
        <v/>
      </c>
      <c r="E938" s="3">
        <f>XLOOKUP(D938,'Move Editor'!$B:$B,'Move Editor'!$C:$C,"")</f>
        <v/>
      </c>
      <c r="F938" s="3">
        <f>XLOOKUP(D938,'Move Editor'!$B:$B,'Move Editor'!$D:$D,"")</f>
        <v/>
      </c>
      <c r="G938" s="3">
        <f>XLOOKUP(D938,'Move Editor'!$B:$B,'Move Editor'!$E:$E,0)</f>
        <v/>
      </c>
      <c r="H938" s="3">
        <f>XLOOKUP(D938,'Move Editor'!$B:$B,'Move Editor'!$F:$F,0)</f>
        <v/>
      </c>
      <c r="I938" s="3">
        <f>(INDEX('Type Chart'!$B:$S,MATCH(E938,'Type Chart'!$A:$A,0),MATCH(XLOOKUP('Boss Editor'!$C$4,'Pokemon Editor'!$A:$A,'Pokemon Editor'!$C:$C,""),'Type Chart'!$B$1:$S$1,0))*IF(XLOOKUP('Boss Editor'!$C$4,'Pokemon Editor'!$A:$A,'Pokemon Editor'!$D:$D,"")="",1,INDEX('Type Chart'!$B:$S,MATCH(E938,'Type Chart'!$A:$A,0),MATCH(XLOOKUP('Boss Editor'!$C$4,'Pokemon Editor'!$A:$A,'Pokemon Editor'!$D:$D,""),'Type Chart'!$B$1:$S$1,0))))</f>
        <v/>
      </c>
      <c r="J938" s="3">
        <f>IFERROR(LET(mtype,XLOOKUP($D938,'Move Editor'!$B:$B,'Move Editor'!$C:$C,""),cat,XLOOKUP($D938,'Move Editor'!$B:$B,'Move Editor'!$D:$D,""),pow,XLOOKUP($D938,'Move Editor'!$B:$B,'Move Editor'!$E:$E,0),acc,XLOOKUP($D938,'Move Editor'!$B:$B,'Move Editor'!$F:$F,100),atk,IF(cat="Physical",FLOOR((FLOOR(((2*XLOOKUP(XLOOKUP($Q938,'Threshold Summary'!$Y:$Y,'Threshold Summary'!$K:$K,""),'Pokemon Editor'!$A:$A,'Pokemon Editor'!$F:$F,0)+31+FLOOR(XLOOKUP($Q938,'Threshold Summary'!$Y:$Y,'Threshold Summary'!$P:$P,"")/4))*XLOOKUP($Q938,'Threshold Summary'!$Y:$Y,'Threshold Summary'!$L:$L,""))/100)+5)*XLOOKUP(XLOOKUP($Q938,'Threshold Summary'!$Y:$Y,'Threshold Summary'!$M:$M,""),'Nature Editor'!$A:$A,'Nature Editor'!$B:$B,1)),FLOOR((FLOOR(((2*XLOOKUP(XLOOKUP($Q938,'Threshold Summary'!$Y:$Y,'Threshold Summary'!$K:$K,""),'Pokemon Editor'!$A:$A,'Pokemon Editor'!$H:$H,0)+31+FLOOR(XLOOKUP($Q938,'Threshold Summary'!$Y:$Y,'Threshold Summary'!$R:$R,"")/4))*XLOOKUP($Q938,'Threshold Summary'!$Y:$Y,'Threshold Summary'!$L:$L,""))/100)+5)*XLOOKUP(XLOOKUP($Q938,'Threshold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Editor'!$E:$E,1))),stab,IF(OR(mtype=XLOOKUP(XLOOKUP($Q938,'Threshold Summary'!$Y:$Y,'Threshold Summary'!$K:$K,""),'Pokemon Editor'!$A:$A,'Pokemon Editor'!$C:$C,""),mtype=XLOOKUP(XLOOKUP($Q938,'Threshold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Chart'!$B$1:$S$1,0)))),base,IF(OR(cat="Status",pow=0),0,FLOOR(FLOOR(FLOOR((2*XLOOKUP($Q938,'Threshold Summary'!$Y:$Y,'Threshold Summary'!$L:$L,"")/5+2)*pow*atk/def)/50)+2)),modifier,stab*eff,FLOOR(base*modifier*0.85)),0)</f>
        <v/>
      </c>
      <c r="K938" s="3">
        <f>IFERROR(LET(mtype,XLOOKUP($D938,'Move Editor'!$B:$B,'Move Editor'!$C:$C,""),cat,XLOOKUP($D938,'Move Editor'!$B:$B,'Move Editor'!$D:$D,""),pow,XLOOKUP($D938,'Move Editor'!$B:$B,'Move Editor'!$E:$E,0),acc,XLOOKUP($D938,'Move Editor'!$B:$B,'Move Editor'!$F:$F,100),atk,IF(cat="Physical",FLOOR((FLOOR(((2*XLOOKUP(XLOOKUP($Q938,'Threshold Summary'!$Y:$Y,'Threshold Summary'!$K:$K,""),'Pokemon Editor'!$A:$A,'Pokemon Editor'!$F:$F,0)+31+FLOOR(XLOOKUP($Q938,'Threshold Summary'!$Y:$Y,'Threshold Summary'!$P:$P,"")/4))*XLOOKUP($Q938,'Threshold Summary'!$Y:$Y,'Threshold Summary'!$L:$L,""))/100)+5)*XLOOKUP(XLOOKUP($Q938,'Threshold Summary'!$Y:$Y,'Threshold Summary'!$M:$M,""),'Nature Editor'!$A:$A,'Nature Editor'!$B:$B,1)),FLOOR((FLOOR(((2*XLOOKUP(XLOOKUP($Q938,'Threshold Summary'!$Y:$Y,'Threshold Summary'!$K:$K,""),'Pokemon Editor'!$A:$A,'Pokemon Editor'!$H:$H,0)+31+FLOOR(XLOOKUP($Q938,'Threshold Summary'!$Y:$Y,'Threshold Summary'!$R:$R,"")/4))*XLOOKUP($Q938,'Threshold Summary'!$Y:$Y,'Threshold Summary'!$L:$L,""))/100)+5)*XLOOKUP(XLOOKUP($Q938,'Threshold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Editor'!$E:$E,1))),stab,IF(OR(mtype=XLOOKUP(XLOOKUP($Q938,'Threshold Summary'!$Y:$Y,'Threshold Summary'!$K:$K,""),'Pokemon Editor'!$A:$A,'Pokemon Editor'!$C:$C,""),mtype=XLOOKUP(XLOOKUP($Q938,'Threshold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Chart'!$B$1:$S$1,0)))),base,IF(OR(cat="Status",pow=0),0,FLOOR(FLOOR(FLOOR((2*XLOOKUP($Q938,'Threshold Summary'!$Y:$Y,'Threshold Summary'!$L:$L,"")/5+2)*pow*atk/def)/50)+2)),modifier,stab*eff,FLOOR(base*modifier)),0)</f>
        <v/>
      </c>
      <c r="L938" s="3">
        <f>IFERROR(LET(mtype,XLOOKUP($D938,'Move Editor'!$B:$B,'Move Editor'!$C:$C,""),cat,XLOOKUP($D938,'Move Editor'!$B:$B,'Move Editor'!$D:$D,""),pow,XLOOKUP($D938,'Move Editor'!$B:$B,'Move Editor'!$E:$E,0),acc,XLOOKUP($D938,'Move Editor'!$B:$B,'Move Editor'!$F:$F,100),atk,IF(cat="Physical",FLOOR((FLOOR(((2*XLOOKUP(XLOOKUP($Q938,'Threshold Summary'!$Y:$Y,'Threshold Summary'!$K:$K,""),'Pokemon Editor'!$A:$A,'Pokemon Editor'!$F:$F,0)+31+FLOOR(XLOOKUP($Q938,'Threshold Summary'!$Y:$Y,'Threshold Summary'!$P:$P,"")/4))*XLOOKUP($Q938,'Threshold Summary'!$Y:$Y,'Threshold Summary'!$L:$L,""))/100)+5)*XLOOKUP(XLOOKUP($Q938,'Threshold Summary'!$Y:$Y,'Threshold Summary'!$M:$M,""),'Nature Editor'!$A:$A,'Nature Editor'!$B:$B,1)),FLOOR((FLOOR(((2*XLOOKUP(XLOOKUP($Q938,'Threshold Summary'!$Y:$Y,'Threshold Summary'!$K:$K,""),'Pokemon Editor'!$A:$A,'Pokemon Editor'!$H:$H,0)+31+FLOOR(XLOOKUP($Q938,'Threshold Summary'!$Y:$Y,'Threshold Summary'!$R:$R,"")/4))*XLOOKUP($Q938,'Threshold Summary'!$Y:$Y,'Threshold Summary'!$L:$L,""))/100)+5)*XLOOKUP(XLOOKUP($Q938,'Threshold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Editor'!$E:$E,1))),stab,IF(OR(mtype=XLOOKUP(XLOOKUP($Q938,'Threshold Summary'!$Y:$Y,'Threshold Summary'!$K:$K,""),'Pokemon Editor'!$A:$A,'Pokemon Editor'!$C:$C,""),mtype=XLOOKUP(XLOOKUP($Q938,'Threshold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Chart'!$B$1:$S$1,0)))),base,IF(OR(cat="Status",pow=0),0,FLOOR(FLOOR(FLOOR((2*XLOOKUP($Q938,'Threshold Summary'!$Y:$Y,'Threshold Summary'!$L:$L,"")/5+2)*pow*atk/def)/50)+2)),modifier,stab*eff,AVERAGE(ARRAYFORMULA(FLOOR(base*modifier*SEQUENCE(16,1,85,1)/100)))),0)</f>
        <v/>
      </c>
      <c r="M938" s="3">
        <f>IFERROR(LET(mtype,XLOOKUP($D938,'Move Editor'!$B:$B,'Move Editor'!$C:$C,""),cat,XLOOKUP($D938,'Move Editor'!$B:$B,'Move Editor'!$D:$D,""),pow,XLOOKUP($D938,'Move Editor'!$B:$B,'Move Editor'!$E:$E,0),acc,XLOOKUP($D938,'Move Editor'!$B:$B,'Move Editor'!$F:$F,100),atk,IF(cat="Physical",FLOOR((FLOOR(((2*XLOOKUP(XLOOKUP($Q938,'Threshold Summary'!$Y:$Y,'Threshold Summary'!$K:$K,""),'Pokemon Editor'!$A:$A,'Pokemon Editor'!$F:$F,0)+31+FLOOR(XLOOKUP($Q938,'Threshold Summary'!$Y:$Y,'Threshold Summary'!$P:$P,"")/4))*XLOOKUP($Q938,'Threshold Summary'!$Y:$Y,'Threshold Summary'!$L:$L,""))/100)+5)*XLOOKUP(XLOOKUP($Q938,'Threshold Summary'!$Y:$Y,'Threshold Summary'!$M:$M,""),'Nature Editor'!$A:$A,'Nature Editor'!$B:$B,1)),FLOOR((FLOOR(((2*XLOOKUP(XLOOKUP($Q938,'Threshold Summary'!$Y:$Y,'Threshold Summary'!$K:$K,""),'Pokemon Editor'!$A:$A,'Pokemon Editor'!$H:$H,0)+31+FLOOR(XLOOKUP($Q938,'Threshold Summary'!$Y:$Y,'Threshold Summary'!$R:$R,"")/4))*XLOOKUP($Q938,'Threshold Summary'!$Y:$Y,'Threshold Summary'!$L:$L,""))/100)+5)*XLOOKUP(XLOOKUP($Q938,'Threshold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Editor'!$E:$E,1))),stab,IF(OR(mtype=XLOOKUP(XLOOKUP($Q938,'Threshold Summary'!$Y:$Y,'Threshold Summary'!$K:$K,""),'Pokemon Editor'!$A:$A,'Pokemon Editor'!$C:$C,""),mtype=XLOOKUP(XLOOKUP($Q938,'Threshold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Chart'!$B$1:$S$1,0)))),base,IF(OR(cat="Status",pow=0),0,FLOOR(FLOOR(FLOOR((2*XLOOKUP($Q938,'Threshold Summary'!$Y:$Y,'Threshold Summary'!$L:$L,"")/5+2)*pow*atk/def)/50)+2)),modifier,stab*eff,AVERAGE(ARRAYFORMULA(FLOOR(base*modifier*SEQUENCE(16,1,85,1)/100)))*MIN(1,acc/100)),0)</f>
        <v/>
      </c>
      <c r="N938" s="4">
        <f>IFERROR(LET(mtype,XLOOKUP($D938,'Move Editor'!$B:$B,'Move Editor'!$C:$C,""),cat,XLOOKUP($D938,'Move Editor'!$B:$B,'Move Editor'!$D:$D,""),pow,XLOOKUP($D938,'Move Editor'!$B:$B,'Move Editor'!$E:$E,0),acc,XLOOKUP($D938,'Move Editor'!$B:$B,'Move Editor'!$F:$F,100),atk,IF(cat="Physical",FLOOR((FLOOR(((2*XLOOKUP(XLOOKUP($Q938,'Threshold Summary'!$Y:$Y,'Threshold Summary'!$K:$K,""),'Pokemon Editor'!$A:$A,'Pokemon Editor'!$F:$F,0)+31+FLOOR(XLOOKUP($Q938,'Threshold Summary'!$Y:$Y,'Threshold Summary'!$P:$P,"")/4))*XLOOKUP($Q938,'Threshold Summary'!$Y:$Y,'Threshold Summary'!$L:$L,""))/100)+5)*XLOOKUP(XLOOKUP($Q938,'Threshold Summary'!$Y:$Y,'Threshold Summary'!$M:$M,""),'Nature Editor'!$A:$A,'Nature Editor'!$B:$B,1)),FLOOR((FLOOR(((2*XLOOKUP(XLOOKUP($Q938,'Threshold Summary'!$Y:$Y,'Threshold Summary'!$K:$K,""),'Pokemon Editor'!$A:$A,'Pokemon Editor'!$H:$H,0)+31+FLOOR(XLOOKUP($Q938,'Threshold Summary'!$Y:$Y,'Threshold Summary'!$R:$R,"")/4))*XLOOKUP($Q938,'Threshold Summary'!$Y:$Y,'Threshold Summary'!$L:$L,""))/100)+5)*XLOOKUP(XLOOKUP($Q938,'Threshold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Editor'!$E:$E,1))),stab,IF(OR(mtype=XLOOKUP(XLOOKUP($Q938,'Threshold Summary'!$Y:$Y,'Threshold Summary'!$K:$K,""),'Pokemon Editor'!$A:$A,'Pokemon Editor'!$C:$C,""),mtype=XLOOKUP(XLOOKUP($Q938,'Threshold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Chart'!$B$1:$S$1,0)))),base,IF(OR(cat="Status",pow=0),0,FLOOR(FLOOR(FLOOR((2*XLOOKUP($Q938,'Threshold Summary'!$Y:$Y,'Threshold Summary'!$L:$L,"")/5+2)*pow*atk/def)/50)+2)),modifier,stab*eff,AVERAGE(ARRAYFORMULA(FLOOR(base*modifier*SEQUENCE(16,1,85,1)/100)))/(FLOOR(((2*XLOOKUP('Boss Editor'!$C$4,'Pokemon Editor'!$A:$A,'Pokemon Editor'!$E:$E,0)+31+FLOOR('Boss Editor'!$G$4/4))*'Boss Editor'!$D$4)/100)+'Boss Editor'!$D$4+10)),0)</f>
        <v/>
      </c>
      <c r="O938" s="3">
        <f>IF(N938&gt;=1,"OHKO",IF(N938&gt;=0.5,"2HKO",IF(N938&gt;=0.333,"3HKO",IF(N938&gt;=0.25,"4HKO","5HKO+"))))</f>
        <v/>
      </c>
      <c r="P938" s="3" t="inlineStr">
        <is>
          <t>Live from editable databases</t>
        </is>
      </c>
      <c r="Q938" s="3" t="inlineStr">
        <is>
          <t>SPECIES_CHARCADET</t>
        </is>
      </c>
      <c r="R938" s="3" t="n">
        <v>9</v>
      </c>
    </row>
    <row r="939">
      <c r="A939" s="3">
        <f>XLOOKUP($Q939,'Threshold Summary'!$Y:$Y,'Threshold Summary'!$A:$A,"")</f>
        <v/>
      </c>
      <c r="B939" s="3">
        <f>XLOOKUP($Q939,'Threshold Summary'!$Y:$Y,'Threshold Summary'!$M:$M,"")</f>
        <v/>
      </c>
      <c r="C939" s="3">
        <f>XLOOKUP($Q939,'Threshold Summary'!$Y:$Y,'Threshold Summary'!$N:$N,"")</f>
        <v/>
      </c>
      <c r="D939" s="3">
        <f>IFERROR(INDEX(FILTER('Learnset Editor'!$D$2:$D,'Learnset Editor'!$A$2:$A=XLOOKUP($Q939,'Threshold Summary'!$Y:$Y,'Threshold Summary'!$K:$K,""),'Learnset Editor'!$C$2:$C&lt;=XLOOKUP($Q939,'Threshold Summary'!$Y:$Y,'Threshold Summary'!$L:$L,"")),$R939),"")</f>
        <v/>
      </c>
      <c r="E939" s="3">
        <f>XLOOKUP(D939,'Move Editor'!$B:$B,'Move Editor'!$C:$C,"")</f>
        <v/>
      </c>
      <c r="F939" s="3">
        <f>XLOOKUP(D939,'Move Editor'!$B:$B,'Move Editor'!$D:$D,"")</f>
        <v/>
      </c>
      <c r="G939" s="3">
        <f>XLOOKUP(D939,'Move Editor'!$B:$B,'Move Editor'!$E:$E,0)</f>
        <v/>
      </c>
      <c r="H939" s="3">
        <f>XLOOKUP(D939,'Move Editor'!$B:$B,'Move Editor'!$F:$F,0)</f>
        <v/>
      </c>
      <c r="I939" s="3">
        <f>(INDEX('Type Chart'!$B:$S,MATCH(E939,'Type Chart'!$A:$A,0),MATCH(XLOOKUP('Boss Editor'!$C$4,'Pokemon Editor'!$A:$A,'Pokemon Editor'!$C:$C,""),'Type Chart'!$B$1:$S$1,0))*IF(XLOOKUP('Boss Editor'!$C$4,'Pokemon Editor'!$A:$A,'Pokemon Editor'!$D:$D,"")="",1,INDEX('Type Chart'!$B:$S,MATCH(E939,'Type Chart'!$A:$A,0),MATCH(XLOOKUP('Boss Editor'!$C$4,'Pokemon Editor'!$A:$A,'Pokemon Editor'!$D:$D,""),'Type Chart'!$B$1:$S$1,0))))</f>
        <v/>
      </c>
      <c r="J939" s="3">
        <f>IFERROR(LET(mtype,XLOOKUP($D939,'Move Editor'!$B:$B,'Move Editor'!$C:$C,""),cat,XLOOKUP($D939,'Move Editor'!$B:$B,'Move Editor'!$D:$D,""),pow,XLOOKUP($D939,'Move Editor'!$B:$B,'Move Editor'!$E:$E,0),acc,XLOOKUP($D939,'Move Editor'!$B:$B,'Move Editor'!$F:$F,100),atk,IF(cat="Physical",FLOOR((FLOOR(((2*XLOOKUP(XLOOKUP($Q939,'Threshold Summary'!$Y:$Y,'Threshold Summary'!$K:$K,""),'Pokemon Editor'!$A:$A,'Pokemon Editor'!$F:$F,0)+31+FLOOR(XLOOKUP($Q939,'Threshold Summary'!$Y:$Y,'Threshold Summary'!$P:$P,"")/4))*XLOOKUP($Q939,'Threshold Summary'!$Y:$Y,'Threshold Summary'!$L:$L,""))/100)+5)*XLOOKUP(XLOOKUP($Q939,'Threshold Summary'!$Y:$Y,'Threshold Summary'!$M:$M,""),'Nature Editor'!$A:$A,'Nature Editor'!$B:$B,1)),FLOOR((FLOOR(((2*XLOOKUP(XLOOKUP($Q939,'Threshold Summary'!$Y:$Y,'Threshold Summary'!$K:$K,""),'Pokemon Editor'!$A:$A,'Pokemon Editor'!$H:$H,0)+31+FLOOR(XLOOKUP($Q939,'Threshold Summary'!$Y:$Y,'Threshold Summary'!$R:$R,"")/4))*XLOOKUP($Q939,'Threshold Summary'!$Y:$Y,'Threshold Summary'!$L:$L,""))/100)+5)*XLOOKUP(XLOOKUP($Q939,'Threshold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Editor'!$E:$E,1))),stab,IF(OR(mtype=XLOOKUP(XLOOKUP($Q939,'Threshold Summary'!$Y:$Y,'Threshold Summary'!$K:$K,""),'Pokemon Editor'!$A:$A,'Pokemon Editor'!$C:$C,""),mtype=XLOOKUP(XLOOKUP($Q939,'Threshold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Chart'!$B$1:$S$1,0)))),base,IF(OR(cat="Status",pow=0),0,FLOOR(FLOOR(FLOOR((2*XLOOKUP($Q939,'Threshold Summary'!$Y:$Y,'Threshold Summary'!$L:$L,"")/5+2)*pow*atk/def)/50)+2)),modifier,stab*eff,FLOOR(base*modifier*0.85)),0)</f>
        <v/>
      </c>
      <c r="K939" s="3">
        <f>IFERROR(LET(mtype,XLOOKUP($D939,'Move Editor'!$B:$B,'Move Editor'!$C:$C,""),cat,XLOOKUP($D939,'Move Editor'!$B:$B,'Move Editor'!$D:$D,""),pow,XLOOKUP($D939,'Move Editor'!$B:$B,'Move Editor'!$E:$E,0),acc,XLOOKUP($D939,'Move Editor'!$B:$B,'Move Editor'!$F:$F,100),atk,IF(cat="Physical",FLOOR((FLOOR(((2*XLOOKUP(XLOOKUP($Q939,'Threshold Summary'!$Y:$Y,'Threshold Summary'!$K:$K,""),'Pokemon Editor'!$A:$A,'Pokemon Editor'!$F:$F,0)+31+FLOOR(XLOOKUP($Q939,'Threshold Summary'!$Y:$Y,'Threshold Summary'!$P:$P,"")/4))*XLOOKUP($Q939,'Threshold Summary'!$Y:$Y,'Threshold Summary'!$L:$L,""))/100)+5)*XLOOKUP(XLOOKUP($Q939,'Threshold Summary'!$Y:$Y,'Threshold Summary'!$M:$M,""),'Nature Editor'!$A:$A,'Nature Editor'!$B:$B,1)),FLOOR((FLOOR(((2*XLOOKUP(XLOOKUP($Q939,'Threshold Summary'!$Y:$Y,'Threshold Summary'!$K:$K,""),'Pokemon Editor'!$A:$A,'Pokemon Editor'!$H:$H,0)+31+FLOOR(XLOOKUP($Q939,'Threshold Summary'!$Y:$Y,'Threshold Summary'!$R:$R,"")/4))*XLOOKUP($Q939,'Threshold Summary'!$Y:$Y,'Threshold Summary'!$L:$L,""))/100)+5)*XLOOKUP(XLOOKUP($Q939,'Threshold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Editor'!$E:$E,1))),stab,IF(OR(mtype=XLOOKUP(XLOOKUP($Q939,'Threshold Summary'!$Y:$Y,'Threshold Summary'!$K:$K,""),'Pokemon Editor'!$A:$A,'Pokemon Editor'!$C:$C,""),mtype=XLOOKUP(XLOOKUP($Q939,'Threshold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Chart'!$B$1:$S$1,0)))),base,IF(OR(cat="Status",pow=0),0,FLOOR(FLOOR(FLOOR((2*XLOOKUP($Q939,'Threshold Summary'!$Y:$Y,'Threshold Summary'!$L:$L,"")/5+2)*pow*atk/def)/50)+2)),modifier,stab*eff,FLOOR(base*modifier)),0)</f>
        <v/>
      </c>
      <c r="L939" s="3">
        <f>IFERROR(LET(mtype,XLOOKUP($D939,'Move Editor'!$B:$B,'Move Editor'!$C:$C,""),cat,XLOOKUP($D939,'Move Editor'!$B:$B,'Move Editor'!$D:$D,""),pow,XLOOKUP($D939,'Move Editor'!$B:$B,'Move Editor'!$E:$E,0),acc,XLOOKUP($D939,'Move Editor'!$B:$B,'Move Editor'!$F:$F,100),atk,IF(cat="Physical",FLOOR((FLOOR(((2*XLOOKUP(XLOOKUP($Q939,'Threshold Summary'!$Y:$Y,'Threshold Summary'!$K:$K,""),'Pokemon Editor'!$A:$A,'Pokemon Editor'!$F:$F,0)+31+FLOOR(XLOOKUP($Q939,'Threshold Summary'!$Y:$Y,'Threshold Summary'!$P:$P,"")/4))*XLOOKUP($Q939,'Threshold Summary'!$Y:$Y,'Threshold Summary'!$L:$L,""))/100)+5)*XLOOKUP(XLOOKUP($Q939,'Threshold Summary'!$Y:$Y,'Threshold Summary'!$M:$M,""),'Nature Editor'!$A:$A,'Nature Editor'!$B:$B,1)),FLOOR((FLOOR(((2*XLOOKUP(XLOOKUP($Q939,'Threshold Summary'!$Y:$Y,'Threshold Summary'!$K:$K,""),'Pokemon Editor'!$A:$A,'Pokemon Editor'!$H:$H,0)+31+FLOOR(XLOOKUP($Q939,'Threshold Summary'!$Y:$Y,'Threshold Summary'!$R:$R,"")/4))*XLOOKUP($Q939,'Threshold Summary'!$Y:$Y,'Threshold Summary'!$L:$L,""))/100)+5)*XLOOKUP(XLOOKUP($Q939,'Threshold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Editor'!$E:$E,1))),stab,IF(OR(mtype=XLOOKUP(XLOOKUP($Q939,'Threshold Summary'!$Y:$Y,'Threshold Summary'!$K:$K,""),'Pokemon Editor'!$A:$A,'Pokemon Editor'!$C:$C,""),mtype=XLOOKUP(XLOOKUP($Q939,'Threshold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Chart'!$B$1:$S$1,0)))),base,IF(OR(cat="Status",pow=0),0,FLOOR(FLOOR(FLOOR((2*XLOOKUP($Q939,'Threshold Summary'!$Y:$Y,'Threshold Summary'!$L:$L,"")/5+2)*pow*atk/def)/50)+2)),modifier,stab*eff,AVERAGE(ARRAYFORMULA(FLOOR(base*modifier*SEQUENCE(16,1,85,1)/100)))),0)</f>
        <v/>
      </c>
      <c r="M939" s="3">
        <f>IFERROR(LET(mtype,XLOOKUP($D939,'Move Editor'!$B:$B,'Move Editor'!$C:$C,""),cat,XLOOKUP($D939,'Move Editor'!$B:$B,'Move Editor'!$D:$D,""),pow,XLOOKUP($D939,'Move Editor'!$B:$B,'Move Editor'!$E:$E,0),acc,XLOOKUP($D939,'Move Editor'!$B:$B,'Move Editor'!$F:$F,100),atk,IF(cat="Physical",FLOOR((FLOOR(((2*XLOOKUP(XLOOKUP($Q939,'Threshold Summary'!$Y:$Y,'Threshold Summary'!$K:$K,""),'Pokemon Editor'!$A:$A,'Pokemon Editor'!$F:$F,0)+31+FLOOR(XLOOKUP($Q939,'Threshold Summary'!$Y:$Y,'Threshold Summary'!$P:$P,"")/4))*XLOOKUP($Q939,'Threshold Summary'!$Y:$Y,'Threshold Summary'!$L:$L,""))/100)+5)*XLOOKUP(XLOOKUP($Q939,'Threshold Summary'!$Y:$Y,'Threshold Summary'!$M:$M,""),'Nature Editor'!$A:$A,'Nature Editor'!$B:$B,1)),FLOOR((FLOOR(((2*XLOOKUP(XLOOKUP($Q939,'Threshold Summary'!$Y:$Y,'Threshold Summary'!$K:$K,""),'Pokemon Editor'!$A:$A,'Pokemon Editor'!$H:$H,0)+31+FLOOR(XLOOKUP($Q939,'Threshold Summary'!$Y:$Y,'Threshold Summary'!$R:$R,"")/4))*XLOOKUP($Q939,'Threshold Summary'!$Y:$Y,'Threshold Summary'!$L:$L,""))/100)+5)*XLOOKUP(XLOOKUP($Q939,'Threshold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Editor'!$E:$E,1))),stab,IF(OR(mtype=XLOOKUP(XLOOKUP($Q939,'Threshold Summary'!$Y:$Y,'Threshold Summary'!$K:$K,""),'Pokemon Editor'!$A:$A,'Pokemon Editor'!$C:$C,""),mtype=XLOOKUP(XLOOKUP($Q939,'Threshold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Chart'!$B$1:$S$1,0)))),base,IF(OR(cat="Status",pow=0),0,FLOOR(FLOOR(FLOOR((2*XLOOKUP($Q939,'Threshold Summary'!$Y:$Y,'Threshold Summary'!$L:$L,"")/5+2)*pow*atk/def)/50)+2)),modifier,stab*eff,AVERAGE(ARRAYFORMULA(FLOOR(base*modifier*SEQUENCE(16,1,85,1)/100)))*MIN(1,acc/100)),0)</f>
        <v/>
      </c>
      <c r="N939" s="4">
        <f>IFERROR(LET(mtype,XLOOKUP($D939,'Move Editor'!$B:$B,'Move Editor'!$C:$C,""),cat,XLOOKUP($D939,'Move Editor'!$B:$B,'Move Editor'!$D:$D,""),pow,XLOOKUP($D939,'Move Editor'!$B:$B,'Move Editor'!$E:$E,0),acc,XLOOKUP($D939,'Move Editor'!$B:$B,'Move Editor'!$F:$F,100),atk,IF(cat="Physical",FLOOR((FLOOR(((2*XLOOKUP(XLOOKUP($Q939,'Threshold Summary'!$Y:$Y,'Threshold Summary'!$K:$K,""),'Pokemon Editor'!$A:$A,'Pokemon Editor'!$F:$F,0)+31+FLOOR(XLOOKUP($Q939,'Threshold Summary'!$Y:$Y,'Threshold Summary'!$P:$P,"")/4))*XLOOKUP($Q939,'Threshold Summary'!$Y:$Y,'Threshold Summary'!$L:$L,""))/100)+5)*XLOOKUP(XLOOKUP($Q939,'Threshold Summary'!$Y:$Y,'Threshold Summary'!$M:$M,""),'Nature Editor'!$A:$A,'Nature Editor'!$B:$B,1)),FLOOR((FLOOR(((2*XLOOKUP(XLOOKUP($Q939,'Threshold Summary'!$Y:$Y,'Threshold Summary'!$K:$K,""),'Pokemon Editor'!$A:$A,'Pokemon Editor'!$H:$H,0)+31+FLOOR(XLOOKUP($Q939,'Threshold Summary'!$Y:$Y,'Threshold Summary'!$R:$R,"")/4))*XLOOKUP($Q939,'Threshold Summary'!$Y:$Y,'Threshold Summary'!$L:$L,""))/100)+5)*XLOOKUP(XLOOKUP($Q939,'Threshold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Editor'!$E:$E,1))),stab,IF(OR(mtype=XLOOKUP(XLOOKUP($Q939,'Threshold Summary'!$Y:$Y,'Threshold Summary'!$K:$K,""),'Pokemon Editor'!$A:$A,'Pokemon Editor'!$C:$C,""),mtype=XLOOKUP(XLOOKUP($Q939,'Threshold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Chart'!$B$1:$S$1,0)))),base,IF(OR(cat="Status",pow=0),0,FLOOR(FLOOR(FLOOR((2*XLOOKUP($Q939,'Threshold Summary'!$Y:$Y,'Threshold Summary'!$L:$L,"")/5+2)*pow*atk/def)/50)+2)),modifier,stab*eff,AVERAGE(ARRAYFORMULA(FLOOR(base*modifier*SEQUENCE(16,1,85,1)/100)))/(FLOOR(((2*XLOOKUP('Boss Editor'!$C$4,'Pokemon Editor'!$A:$A,'Pokemon Editor'!$E:$E,0)+31+FLOOR('Boss Editor'!$G$4/4))*'Boss Editor'!$D$4)/100)+'Boss Editor'!$D$4+10)),0)</f>
        <v/>
      </c>
      <c r="O939" s="3">
        <f>IF(N939&gt;=1,"OHKO",IF(N939&gt;=0.5,"2HKO",IF(N939&gt;=0.333,"3HKO",IF(N939&gt;=0.25,"4HKO","5HKO+"))))</f>
        <v/>
      </c>
      <c r="P939" s="3" t="inlineStr">
        <is>
          <t>Live from editable databases</t>
        </is>
      </c>
      <c r="Q939" s="3" t="inlineStr">
        <is>
          <t>SPECIES_CHARCADET</t>
        </is>
      </c>
      <c r="R939" s="3" t="n">
        <v>10</v>
      </c>
    </row>
    <row r="940">
      <c r="A940" s="3">
        <f>XLOOKUP($Q940,'Threshold Summary'!$Y:$Y,'Threshold Summary'!$A:$A,"")</f>
        <v/>
      </c>
      <c r="B940" s="3">
        <f>XLOOKUP($Q940,'Threshold Summary'!$Y:$Y,'Threshold Summary'!$M:$M,"")</f>
        <v/>
      </c>
      <c r="C940" s="3">
        <f>XLOOKUP($Q940,'Threshold Summary'!$Y:$Y,'Threshold Summary'!$N:$N,"")</f>
        <v/>
      </c>
      <c r="D940" s="3">
        <f>IFERROR(INDEX(FILTER('Learnset Editor'!$D$2:$D,'Learnset Editor'!$A$2:$A=XLOOKUP($Q940,'Threshold Summary'!$Y:$Y,'Threshold Summary'!$K:$K,""),'Learnset Editor'!$C$2:$C&lt;=XLOOKUP($Q940,'Threshold Summary'!$Y:$Y,'Threshold Summary'!$L:$L,"")),$R940),"")</f>
        <v/>
      </c>
      <c r="E940" s="3">
        <f>XLOOKUP(D940,'Move Editor'!$B:$B,'Move Editor'!$C:$C,"")</f>
        <v/>
      </c>
      <c r="F940" s="3">
        <f>XLOOKUP(D940,'Move Editor'!$B:$B,'Move Editor'!$D:$D,"")</f>
        <v/>
      </c>
      <c r="G940" s="3">
        <f>XLOOKUP(D940,'Move Editor'!$B:$B,'Move Editor'!$E:$E,0)</f>
        <v/>
      </c>
      <c r="H940" s="3">
        <f>XLOOKUP(D940,'Move Editor'!$B:$B,'Move Editor'!$F:$F,0)</f>
        <v/>
      </c>
      <c r="I940" s="3">
        <f>(INDEX('Type Chart'!$B:$S,MATCH(E940,'Type Chart'!$A:$A,0),MATCH(XLOOKUP('Boss Editor'!$C$4,'Pokemon Editor'!$A:$A,'Pokemon Editor'!$C:$C,""),'Type Chart'!$B$1:$S$1,0))*IF(XLOOKUP('Boss Editor'!$C$4,'Pokemon Editor'!$A:$A,'Pokemon Editor'!$D:$D,"")="",1,INDEX('Type Chart'!$B:$S,MATCH(E940,'Type Chart'!$A:$A,0),MATCH(XLOOKUP('Boss Editor'!$C$4,'Pokemon Editor'!$A:$A,'Pokemon Editor'!$D:$D,""),'Type Chart'!$B$1:$S$1,0))))</f>
        <v/>
      </c>
      <c r="J940" s="3">
        <f>IFERROR(LET(mtype,XLOOKUP($D940,'Move Editor'!$B:$B,'Move Editor'!$C:$C,""),cat,XLOOKUP($D940,'Move Editor'!$B:$B,'Move Editor'!$D:$D,""),pow,XLOOKUP($D940,'Move Editor'!$B:$B,'Move Editor'!$E:$E,0),acc,XLOOKUP($D940,'Move Editor'!$B:$B,'Move Editor'!$F:$F,100),atk,IF(cat="Physical",FLOOR((FLOOR(((2*XLOOKUP(XLOOKUP($Q940,'Threshold Summary'!$Y:$Y,'Threshold Summary'!$K:$K,""),'Pokemon Editor'!$A:$A,'Pokemon Editor'!$F:$F,0)+31+FLOOR(XLOOKUP($Q940,'Threshold Summary'!$Y:$Y,'Threshold Summary'!$P:$P,"")/4))*XLOOKUP($Q940,'Threshold Summary'!$Y:$Y,'Threshold Summary'!$L:$L,""))/100)+5)*XLOOKUP(XLOOKUP($Q940,'Threshold Summary'!$Y:$Y,'Threshold Summary'!$M:$M,""),'Nature Editor'!$A:$A,'Nature Editor'!$B:$B,1)),FLOOR((FLOOR(((2*XLOOKUP(XLOOKUP($Q940,'Threshold Summary'!$Y:$Y,'Threshold Summary'!$K:$K,""),'Pokemon Editor'!$A:$A,'Pokemon Editor'!$H:$H,0)+31+FLOOR(XLOOKUP($Q940,'Threshold Summary'!$Y:$Y,'Threshold Summary'!$R:$R,"")/4))*XLOOKUP($Q940,'Threshold Summary'!$Y:$Y,'Threshold Summary'!$L:$L,""))/100)+5)*XLOOKUP(XLOOKUP($Q940,'Threshold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Editor'!$E:$E,1))),stab,IF(OR(mtype=XLOOKUP(XLOOKUP($Q940,'Threshold Summary'!$Y:$Y,'Threshold Summary'!$K:$K,""),'Pokemon Editor'!$A:$A,'Pokemon Editor'!$C:$C,""),mtype=XLOOKUP(XLOOKUP($Q940,'Threshold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Chart'!$B$1:$S$1,0)))),base,IF(OR(cat="Status",pow=0),0,FLOOR(FLOOR(FLOOR((2*XLOOKUP($Q940,'Threshold Summary'!$Y:$Y,'Threshold Summary'!$L:$L,"")/5+2)*pow*atk/def)/50)+2)),modifier,stab*eff,FLOOR(base*modifier*0.85)),0)</f>
        <v/>
      </c>
      <c r="K940" s="3">
        <f>IFERROR(LET(mtype,XLOOKUP($D940,'Move Editor'!$B:$B,'Move Editor'!$C:$C,""),cat,XLOOKUP($D940,'Move Editor'!$B:$B,'Move Editor'!$D:$D,""),pow,XLOOKUP($D940,'Move Editor'!$B:$B,'Move Editor'!$E:$E,0),acc,XLOOKUP($D940,'Move Editor'!$B:$B,'Move Editor'!$F:$F,100),atk,IF(cat="Physical",FLOOR((FLOOR(((2*XLOOKUP(XLOOKUP($Q940,'Threshold Summary'!$Y:$Y,'Threshold Summary'!$K:$K,""),'Pokemon Editor'!$A:$A,'Pokemon Editor'!$F:$F,0)+31+FLOOR(XLOOKUP($Q940,'Threshold Summary'!$Y:$Y,'Threshold Summary'!$P:$P,"")/4))*XLOOKUP($Q940,'Threshold Summary'!$Y:$Y,'Threshold Summary'!$L:$L,""))/100)+5)*XLOOKUP(XLOOKUP($Q940,'Threshold Summary'!$Y:$Y,'Threshold Summary'!$M:$M,""),'Nature Editor'!$A:$A,'Nature Editor'!$B:$B,1)),FLOOR((FLOOR(((2*XLOOKUP(XLOOKUP($Q940,'Threshold Summary'!$Y:$Y,'Threshold Summary'!$K:$K,""),'Pokemon Editor'!$A:$A,'Pokemon Editor'!$H:$H,0)+31+FLOOR(XLOOKUP($Q940,'Threshold Summary'!$Y:$Y,'Threshold Summary'!$R:$R,"")/4))*XLOOKUP($Q940,'Threshold Summary'!$Y:$Y,'Threshold Summary'!$L:$L,""))/100)+5)*XLOOKUP(XLOOKUP($Q940,'Threshold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Editor'!$E:$E,1))),stab,IF(OR(mtype=XLOOKUP(XLOOKUP($Q940,'Threshold Summary'!$Y:$Y,'Threshold Summary'!$K:$K,""),'Pokemon Editor'!$A:$A,'Pokemon Editor'!$C:$C,""),mtype=XLOOKUP(XLOOKUP($Q940,'Threshold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Chart'!$B$1:$S$1,0)))),base,IF(OR(cat="Status",pow=0),0,FLOOR(FLOOR(FLOOR((2*XLOOKUP($Q940,'Threshold Summary'!$Y:$Y,'Threshold Summary'!$L:$L,"")/5+2)*pow*atk/def)/50)+2)),modifier,stab*eff,FLOOR(base*modifier)),0)</f>
        <v/>
      </c>
      <c r="L940" s="3">
        <f>IFERROR(LET(mtype,XLOOKUP($D940,'Move Editor'!$B:$B,'Move Editor'!$C:$C,""),cat,XLOOKUP($D940,'Move Editor'!$B:$B,'Move Editor'!$D:$D,""),pow,XLOOKUP($D940,'Move Editor'!$B:$B,'Move Editor'!$E:$E,0),acc,XLOOKUP($D940,'Move Editor'!$B:$B,'Move Editor'!$F:$F,100),atk,IF(cat="Physical",FLOOR((FLOOR(((2*XLOOKUP(XLOOKUP($Q940,'Threshold Summary'!$Y:$Y,'Threshold Summary'!$K:$K,""),'Pokemon Editor'!$A:$A,'Pokemon Editor'!$F:$F,0)+31+FLOOR(XLOOKUP($Q940,'Threshold Summary'!$Y:$Y,'Threshold Summary'!$P:$P,"")/4))*XLOOKUP($Q940,'Threshold Summary'!$Y:$Y,'Threshold Summary'!$L:$L,""))/100)+5)*XLOOKUP(XLOOKUP($Q940,'Threshold Summary'!$Y:$Y,'Threshold Summary'!$M:$M,""),'Nature Editor'!$A:$A,'Nature Editor'!$B:$B,1)),FLOOR((FLOOR(((2*XLOOKUP(XLOOKUP($Q940,'Threshold Summary'!$Y:$Y,'Threshold Summary'!$K:$K,""),'Pokemon Editor'!$A:$A,'Pokemon Editor'!$H:$H,0)+31+FLOOR(XLOOKUP($Q940,'Threshold Summary'!$Y:$Y,'Threshold Summary'!$R:$R,"")/4))*XLOOKUP($Q940,'Threshold Summary'!$Y:$Y,'Threshold Summary'!$L:$L,""))/100)+5)*XLOOKUP(XLOOKUP($Q940,'Threshold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Editor'!$E:$E,1))),stab,IF(OR(mtype=XLOOKUP(XLOOKUP($Q940,'Threshold Summary'!$Y:$Y,'Threshold Summary'!$K:$K,""),'Pokemon Editor'!$A:$A,'Pokemon Editor'!$C:$C,""),mtype=XLOOKUP(XLOOKUP($Q940,'Threshold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Chart'!$B$1:$S$1,0)))),base,IF(OR(cat="Status",pow=0),0,FLOOR(FLOOR(FLOOR((2*XLOOKUP($Q940,'Threshold Summary'!$Y:$Y,'Threshold Summary'!$L:$L,"")/5+2)*pow*atk/def)/50)+2)),modifier,stab*eff,AVERAGE(ARRAYFORMULA(FLOOR(base*modifier*SEQUENCE(16,1,85,1)/100)))),0)</f>
        <v/>
      </c>
      <c r="M940" s="3">
        <f>IFERROR(LET(mtype,XLOOKUP($D940,'Move Editor'!$B:$B,'Move Editor'!$C:$C,""),cat,XLOOKUP($D940,'Move Editor'!$B:$B,'Move Editor'!$D:$D,""),pow,XLOOKUP($D940,'Move Editor'!$B:$B,'Move Editor'!$E:$E,0),acc,XLOOKUP($D940,'Move Editor'!$B:$B,'Move Editor'!$F:$F,100),atk,IF(cat="Physical",FLOOR((FLOOR(((2*XLOOKUP(XLOOKUP($Q940,'Threshold Summary'!$Y:$Y,'Threshold Summary'!$K:$K,""),'Pokemon Editor'!$A:$A,'Pokemon Editor'!$F:$F,0)+31+FLOOR(XLOOKUP($Q940,'Threshold Summary'!$Y:$Y,'Threshold Summary'!$P:$P,"")/4))*XLOOKUP($Q940,'Threshold Summary'!$Y:$Y,'Threshold Summary'!$L:$L,""))/100)+5)*XLOOKUP(XLOOKUP($Q940,'Threshold Summary'!$Y:$Y,'Threshold Summary'!$M:$M,""),'Nature Editor'!$A:$A,'Nature Editor'!$B:$B,1)),FLOOR((FLOOR(((2*XLOOKUP(XLOOKUP($Q940,'Threshold Summary'!$Y:$Y,'Threshold Summary'!$K:$K,""),'Pokemon Editor'!$A:$A,'Pokemon Editor'!$H:$H,0)+31+FLOOR(XLOOKUP($Q940,'Threshold Summary'!$Y:$Y,'Threshold Summary'!$R:$R,"")/4))*XLOOKUP($Q940,'Threshold Summary'!$Y:$Y,'Threshold Summary'!$L:$L,""))/100)+5)*XLOOKUP(XLOOKUP($Q940,'Threshold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Editor'!$E:$E,1))),stab,IF(OR(mtype=XLOOKUP(XLOOKUP($Q940,'Threshold Summary'!$Y:$Y,'Threshold Summary'!$K:$K,""),'Pokemon Editor'!$A:$A,'Pokemon Editor'!$C:$C,""),mtype=XLOOKUP(XLOOKUP($Q940,'Threshold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Chart'!$B$1:$S$1,0)))),base,IF(OR(cat="Status",pow=0),0,FLOOR(FLOOR(FLOOR((2*XLOOKUP($Q940,'Threshold Summary'!$Y:$Y,'Threshold Summary'!$L:$L,"")/5+2)*pow*atk/def)/50)+2)),modifier,stab*eff,AVERAGE(ARRAYFORMULA(FLOOR(base*modifier*SEQUENCE(16,1,85,1)/100)))*MIN(1,acc/100)),0)</f>
        <v/>
      </c>
      <c r="N940" s="4">
        <f>IFERROR(LET(mtype,XLOOKUP($D940,'Move Editor'!$B:$B,'Move Editor'!$C:$C,""),cat,XLOOKUP($D940,'Move Editor'!$B:$B,'Move Editor'!$D:$D,""),pow,XLOOKUP($D940,'Move Editor'!$B:$B,'Move Editor'!$E:$E,0),acc,XLOOKUP($D940,'Move Editor'!$B:$B,'Move Editor'!$F:$F,100),atk,IF(cat="Physical",FLOOR((FLOOR(((2*XLOOKUP(XLOOKUP($Q940,'Threshold Summary'!$Y:$Y,'Threshold Summary'!$K:$K,""),'Pokemon Editor'!$A:$A,'Pokemon Editor'!$F:$F,0)+31+FLOOR(XLOOKUP($Q940,'Threshold Summary'!$Y:$Y,'Threshold Summary'!$P:$P,"")/4))*XLOOKUP($Q940,'Threshold Summary'!$Y:$Y,'Threshold Summary'!$L:$L,""))/100)+5)*XLOOKUP(XLOOKUP($Q940,'Threshold Summary'!$Y:$Y,'Threshold Summary'!$M:$M,""),'Nature Editor'!$A:$A,'Nature Editor'!$B:$B,1)),FLOOR((FLOOR(((2*XLOOKUP(XLOOKUP($Q940,'Threshold Summary'!$Y:$Y,'Threshold Summary'!$K:$K,""),'Pokemon Editor'!$A:$A,'Pokemon Editor'!$H:$H,0)+31+FLOOR(XLOOKUP($Q940,'Threshold Summary'!$Y:$Y,'Threshold Summary'!$R:$R,"")/4))*XLOOKUP($Q940,'Threshold Summary'!$Y:$Y,'Threshold Summary'!$L:$L,""))/100)+5)*XLOOKUP(XLOOKUP($Q940,'Threshold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Editor'!$E:$E,1))),stab,IF(OR(mtype=XLOOKUP(XLOOKUP($Q940,'Threshold Summary'!$Y:$Y,'Threshold Summary'!$K:$K,""),'Pokemon Editor'!$A:$A,'Pokemon Editor'!$C:$C,""),mtype=XLOOKUP(XLOOKUP($Q940,'Threshold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Chart'!$B$1:$S$1,0)))),base,IF(OR(cat="Status",pow=0),0,FLOOR(FLOOR(FLOOR((2*XLOOKUP($Q940,'Threshold Summary'!$Y:$Y,'Threshold Summary'!$L:$L,"")/5+2)*pow*atk/def)/50)+2)),modifier,stab*eff,AVERAGE(ARRAYFORMULA(FLOOR(base*modifier*SEQUENCE(16,1,85,1)/100)))/(FLOOR(((2*XLOOKUP('Boss Editor'!$C$4,'Pokemon Editor'!$A:$A,'Pokemon Editor'!$E:$E,0)+31+FLOOR('Boss Editor'!$G$4/4))*'Boss Editor'!$D$4)/100)+'Boss Editor'!$D$4+10)),0)</f>
        <v/>
      </c>
      <c r="O940" s="3">
        <f>IF(N940&gt;=1,"OHKO",IF(N940&gt;=0.5,"2HKO",IF(N940&gt;=0.333,"3HKO",IF(N940&gt;=0.25,"4HKO","5HKO+"))))</f>
        <v/>
      </c>
      <c r="P940" s="3" t="inlineStr">
        <is>
          <t>Live from editable databases</t>
        </is>
      </c>
      <c r="Q940" s="3" t="inlineStr">
        <is>
          <t>SPECIES_CHARCADET</t>
        </is>
      </c>
      <c r="R940" s="3" t="n">
        <v>11</v>
      </c>
    </row>
    <row r="941">
      <c r="A941" s="3">
        <f>XLOOKUP($Q941,'Threshold Summary'!$Y:$Y,'Threshold Summary'!$A:$A,"")</f>
        <v/>
      </c>
      <c r="B941" s="3">
        <f>XLOOKUP($Q941,'Threshold Summary'!$Y:$Y,'Threshold Summary'!$M:$M,"")</f>
        <v/>
      </c>
      <c r="C941" s="3">
        <f>XLOOKUP($Q941,'Threshold Summary'!$Y:$Y,'Threshold Summary'!$N:$N,"")</f>
        <v/>
      </c>
      <c r="D941" s="3">
        <f>IFERROR(INDEX(FILTER('Learnset Editor'!$D$2:$D,'Learnset Editor'!$A$2:$A=XLOOKUP($Q941,'Threshold Summary'!$Y:$Y,'Threshold Summary'!$K:$K,""),'Learnset Editor'!$C$2:$C&lt;=XLOOKUP($Q941,'Threshold Summary'!$Y:$Y,'Threshold Summary'!$L:$L,"")),$R941),"")</f>
        <v/>
      </c>
      <c r="E941" s="3">
        <f>XLOOKUP(D941,'Move Editor'!$B:$B,'Move Editor'!$C:$C,"")</f>
        <v/>
      </c>
      <c r="F941" s="3">
        <f>XLOOKUP(D941,'Move Editor'!$B:$B,'Move Editor'!$D:$D,"")</f>
        <v/>
      </c>
      <c r="G941" s="3">
        <f>XLOOKUP(D941,'Move Editor'!$B:$B,'Move Editor'!$E:$E,0)</f>
        <v/>
      </c>
      <c r="H941" s="3">
        <f>XLOOKUP(D941,'Move Editor'!$B:$B,'Move Editor'!$F:$F,0)</f>
        <v/>
      </c>
      <c r="I941" s="3">
        <f>(INDEX('Type Chart'!$B:$S,MATCH(E941,'Type Chart'!$A:$A,0),MATCH(XLOOKUP('Boss Editor'!$C$4,'Pokemon Editor'!$A:$A,'Pokemon Editor'!$C:$C,""),'Type Chart'!$B$1:$S$1,0))*IF(XLOOKUP('Boss Editor'!$C$4,'Pokemon Editor'!$A:$A,'Pokemon Editor'!$D:$D,"")="",1,INDEX('Type Chart'!$B:$S,MATCH(E941,'Type Chart'!$A:$A,0),MATCH(XLOOKUP('Boss Editor'!$C$4,'Pokemon Editor'!$A:$A,'Pokemon Editor'!$D:$D,""),'Type Chart'!$B$1:$S$1,0))))</f>
        <v/>
      </c>
      <c r="J941" s="3">
        <f>IFERROR(LET(mtype,XLOOKUP($D941,'Move Editor'!$B:$B,'Move Editor'!$C:$C,""),cat,XLOOKUP($D941,'Move Editor'!$B:$B,'Move Editor'!$D:$D,""),pow,XLOOKUP($D941,'Move Editor'!$B:$B,'Move Editor'!$E:$E,0),acc,XLOOKUP($D941,'Move Editor'!$B:$B,'Move Editor'!$F:$F,100),atk,IF(cat="Physical",FLOOR((FLOOR(((2*XLOOKUP(XLOOKUP($Q941,'Threshold Summary'!$Y:$Y,'Threshold Summary'!$K:$K,""),'Pokemon Editor'!$A:$A,'Pokemon Editor'!$F:$F,0)+31+FLOOR(XLOOKUP($Q941,'Threshold Summary'!$Y:$Y,'Threshold Summary'!$P:$P,"")/4))*XLOOKUP($Q941,'Threshold Summary'!$Y:$Y,'Threshold Summary'!$L:$L,""))/100)+5)*XLOOKUP(XLOOKUP($Q941,'Threshold Summary'!$Y:$Y,'Threshold Summary'!$M:$M,""),'Nature Editor'!$A:$A,'Nature Editor'!$B:$B,1)),FLOOR((FLOOR(((2*XLOOKUP(XLOOKUP($Q941,'Threshold Summary'!$Y:$Y,'Threshold Summary'!$K:$K,""),'Pokemon Editor'!$A:$A,'Pokemon Editor'!$H:$H,0)+31+FLOOR(XLOOKUP($Q941,'Threshold Summary'!$Y:$Y,'Threshold Summary'!$R:$R,"")/4))*XLOOKUP($Q941,'Threshold Summary'!$Y:$Y,'Threshold Summary'!$L:$L,""))/100)+5)*XLOOKUP(XLOOKUP($Q941,'Threshold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Editor'!$E:$E,1))),stab,IF(OR(mtype=XLOOKUP(XLOOKUP($Q941,'Threshold Summary'!$Y:$Y,'Threshold Summary'!$K:$K,""),'Pokemon Editor'!$A:$A,'Pokemon Editor'!$C:$C,""),mtype=XLOOKUP(XLOOKUP($Q941,'Threshold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Chart'!$B$1:$S$1,0)))),base,IF(OR(cat="Status",pow=0),0,FLOOR(FLOOR(FLOOR((2*XLOOKUP($Q941,'Threshold Summary'!$Y:$Y,'Threshold Summary'!$L:$L,"")/5+2)*pow*atk/def)/50)+2)),modifier,stab*eff,FLOOR(base*modifier*0.85)),0)</f>
        <v/>
      </c>
      <c r="K941" s="3">
        <f>IFERROR(LET(mtype,XLOOKUP($D941,'Move Editor'!$B:$B,'Move Editor'!$C:$C,""),cat,XLOOKUP($D941,'Move Editor'!$B:$B,'Move Editor'!$D:$D,""),pow,XLOOKUP($D941,'Move Editor'!$B:$B,'Move Editor'!$E:$E,0),acc,XLOOKUP($D941,'Move Editor'!$B:$B,'Move Editor'!$F:$F,100),atk,IF(cat="Physical",FLOOR((FLOOR(((2*XLOOKUP(XLOOKUP($Q941,'Threshold Summary'!$Y:$Y,'Threshold Summary'!$K:$K,""),'Pokemon Editor'!$A:$A,'Pokemon Editor'!$F:$F,0)+31+FLOOR(XLOOKUP($Q941,'Threshold Summary'!$Y:$Y,'Threshold Summary'!$P:$P,"")/4))*XLOOKUP($Q941,'Threshold Summary'!$Y:$Y,'Threshold Summary'!$L:$L,""))/100)+5)*XLOOKUP(XLOOKUP($Q941,'Threshold Summary'!$Y:$Y,'Threshold Summary'!$M:$M,""),'Nature Editor'!$A:$A,'Nature Editor'!$B:$B,1)),FLOOR((FLOOR(((2*XLOOKUP(XLOOKUP($Q941,'Threshold Summary'!$Y:$Y,'Threshold Summary'!$K:$K,""),'Pokemon Editor'!$A:$A,'Pokemon Editor'!$H:$H,0)+31+FLOOR(XLOOKUP($Q941,'Threshold Summary'!$Y:$Y,'Threshold Summary'!$R:$R,"")/4))*XLOOKUP($Q941,'Threshold Summary'!$Y:$Y,'Threshold Summary'!$L:$L,""))/100)+5)*XLOOKUP(XLOOKUP($Q941,'Threshold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Editor'!$E:$E,1))),stab,IF(OR(mtype=XLOOKUP(XLOOKUP($Q941,'Threshold Summary'!$Y:$Y,'Threshold Summary'!$K:$K,""),'Pokemon Editor'!$A:$A,'Pokemon Editor'!$C:$C,""),mtype=XLOOKUP(XLOOKUP($Q941,'Threshold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Chart'!$B$1:$S$1,0)))),base,IF(OR(cat="Status",pow=0),0,FLOOR(FLOOR(FLOOR((2*XLOOKUP($Q941,'Threshold Summary'!$Y:$Y,'Threshold Summary'!$L:$L,"")/5+2)*pow*atk/def)/50)+2)),modifier,stab*eff,FLOOR(base*modifier)),0)</f>
        <v/>
      </c>
      <c r="L941" s="3">
        <f>IFERROR(LET(mtype,XLOOKUP($D941,'Move Editor'!$B:$B,'Move Editor'!$C:$C,""),cat,XLOOKUP($D941,'Move Editor'!$B:$B,'Move Editor'!$D:$D,""),pow,XLOOKUP($D941,'Move Editor'!$B:$B,'Move Editor'!$E:$E,0),acc,XLOOKUP($D941,'Move Editor'!$B:$B,'Move Editor'!$F:$F,100),atk,IF(cat="Physical",FLOOR((FLOOR(((2*XLOOKUP(XLOOKUP($Q941,'Threshold Summary'!$Y:$Y,'Threshold Summary'!$K:$K,""),'Pokemon Editor'!$A:$A,'Pokemon Editor'!$F:$F,0)+31+FLOOR(XLOOKUP($Q941,'Threshold Summary'!$Y:$Y,'Threshold Summary'!$P:$P,"")/4))*XLOOKUP($Q941,'Threshold Summary'!$Y:$Y,'Threshold Summary'!$L:$L,""))/100)+5)*XLOOKUP(XLOOKUP($Q941,'Threshold Summary'!$Y:$Y,'Threshold Summary'!$M:$M,""),'Nature Editor'!$A:$A,'Nature Editor'!$B:$B,1)),FLOOR((FLOOR(((2*XLOOKUP(XLOOKUP($Q941,'Threshold Summary'!$Y:$Y,'Threshold Summary'!$K:$K,""),'Pokemon Editor'!$A:$A,'Pokemon Editor'!$H:$H,0)+31+FLOOR(XLOOKUP($Q941,'Threshold Summary'!$Y:$Y,'Threshold Summary'!$R:$R,"")/4))*XLOOKUP($Q941,'Threshold Summary'!$Y:$Y,'Threshold Summary'!$L:$L,""))/100)+5)*XLOOKUP(XLOOKUP($Q941,'Threshold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Editor'!$E:$E,1))),stab,IF(OR(mtype=XLOOKUP(XLOOKUP($Q941,'Threshold Summary'!$Y:$Y,'Threshold Summary'!$K:$K,""),'Pokemon Editor'!$A:$A,'Pokemon Editor'!$C:$C,""),mtype=XLOOKUP(XLOOKUP($Q941,'Threshold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Chart'!$B$1:$S$1,0)))),base,IF(OR(cat="Status",pow=0),0,FLOOR(FLOOR(FLOOR((2*XLOOKUP($Q941,'Threshold Summary'!$Y:$Y,'Threshold Summary'!$L:$L,"")/5+2)*pow*atk/def)/50)+2)),modifier,stab*eff,AVERAGE(ARRAYFORMULA(FLOOR(base*modifier*SEQUENCE(16,1,85,1)/100)))),0)</f>
        <v/>
      </c>
      <c r="M941" s="3">
        <f>IFERROR(LET(mtype,XLOOKUP($D941,'Move Editor'!$B:$B,'Move Editor'!$C:$C,""),cat,XLOOKUP($D941,'Move Editor'!$B:$B,'Move Editor'!$D:$D,""),pow,XLOOKUP($D941,'Move Editor'!$B:$B,'Move Editor'!$E:$E,0),acc,XLOOKUP($D941,'Move Editor'!$B:$B,'Move Editor'!$F:$F,100),atk,IF(cat="Physical",FLOOR((FLOOR(((2*XLOOKUP(XLOOKUP($Q941,'Threshold Summary'!$Y:$Y,'Threshold Summary'!$K:$K,""),'Pokemon Editor'!$A:$A,'Pokemon Editor'!$F:$F,0)+31+FLOOR(XLOOKUP($Q941,'Threshold Summary'!$Y:$Y,'Threshold Summary'!$P:$P,"")/4))*XLOOKUP($Q941,'Threshold Summary'!$Y:$Y,'Threshold Summary'!$L:$L,""))/100)+5)*XLOOKUP(XLOOKUP($Q941,'Threshold Summary'!$Y:$Y,'Threshold Summary'!$M:$M,""),'Nature Editor'!$A:$A,'Nature Editor'!$B:$B,1)),FLOOR((FLOOR(((2*XLOOKUP(XLOOKUP($Q941,'Threshold Summary'!$Y:$Y,'Threshold Summary'!$K:$K,""),'Pokemon Editor'!$A:$A,'Pokemon Editor'!$H:$H,0)+31+FLOOR(XLOOKUP($Q941,'Threshold Summary'!$Y:$Y,'Threshold Summary'!$R:$R,"")/4))*XLOOKUP($Q941,'Threshold Summary'!$Y:$Y,'Threshold Summary'!$L:$L,""))/100)+5)*XLOOKUP(XLOOKUP($Q941,'Threshold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Editor'!$E:$E,1))),stab,IF(OR(mtype=XLOOKUP(XLOOKUP($Q941,'Threshold Summary'!$Y:$Y,'Threshold Summary'!$K:$K,""),'Pokemon Editor'!$A:$A,'Pokemon Editor'!$C:$C,""),mtype=XLOOKUP(XLOOKUP($Q941,'Threshold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Chart'!$B$1:$S$1,0)))),base,IF(OR(cat="Status",pow=0),0,FLOOR(FLOOR(FLOOR((2*XLOOKUP($Q941,'Threshold Summary'!$Y:$Y,'Threshold Summary'!$L:$L,"")/5+2)*pow*atk/def)/50)+2)),modifier,stab*eff,AVERAGE(ARRAYFORMULA(FLOOR(base*modifier*SEQUENCE(16,1,85,1)/100)))*MIN(1,acc/100)),0)</f>
        <v/>
      </c>
      <c r="N941" s="4">
        <f>IFERROR(LET(mtype,XLOOKUP($D941,'Move Editor'!$B:$B,'Move Editor'!$C:$C,""),cat,XLOOKUP($D941,'Move Editor'!$B:$B,'Move Editor'!$D:$D,""),pow,XLOOKUP($D941,'Move Editor'!$B:$B,'Move Editor'!$E:$E,0),acc,XLOOKUP($D941,'Move Editor'!$B:$B,'Move Editor'!$F:$F,100),atk,IF(cat="Physical",FLOOR((FLOOR(((2*XLOOKUP(XLOOKUP($Q941,'Threshold Summary'!$Y:$Y,'Threshold Summary'!$K:$K,""),'Pokemon Editor'!$A:$A,'Pokemon Editor'!$F:$F,0)+31+FLOOR(XLOOKUP($Q941,'Threshold Summary'!$Y:$Y,'Threshold Summary'!$P:$P,"")/4))*XLOOKUP($Q941,'Threshold Summary'!$Y:$Y,'Threshold Summary'!$L:$L,""))/100)+5)*XLOOKUP(XLOOKUP($Q941,'Threshold Summary'!$Y:$Y,'Threshold Summary'!$M:$M,""),'Nature Editor'!$A:$A,'Nature Editor'!$B:$B,1)),FLOOR((FLOOR(((2*XLOOKUP(XLOOKUP($Q941,'Threshold Summary'!$Y:$Y,'Threshold Summary'!$K:$K,""),'Pokemon Editor'!$A:$A,'Pokemon Editor'!$H:$H,0)+31+FLOOR(XLOOKUP($Q941,'Threshold Summary'!$Y:$Y,'Threshold Summary'!$R:$R,"")/4))*XLOOKUP($Q941,'Threshold Summary'!$Y:$Y,'Threshold Summary'!$L:$L,""))/100)+5)*XLOOKUP(XLOOKUP($Q941,'Threshold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Editor'!$E:$E,1))),stab,IF(OR(mtype=XLOOKUP(XLOOKUP($Q941,'Threshold Summary'!$Y:$Y,'Threshold Summary'!$K:$K,""),'Pokemon Editor'!$A:$A,'Pokemon Editor'!$C:$C,""),mtype=XLOOKUP(XLOOKUP($Q941,'Threshold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Chart'!$B$1:$S$1,0)))),base,IF(OR(cat="Status",pow=0),0,FLOOR(FLOOR(FLOOR((2*XLOOKUP($Q941,'Threshold Summary'!$Y:$Y,'Threshold Summary'!$L:$L,"")/5+2)*pow*atk/def)/50)+2)),modifier,stab*eff,AVERAGE(ARRAYFORMULA(FLOOR(base*modifier*SEQUENCE(16,1,85,1)/100)))/(FLOOR(((2*XLOOKUP('Boss Editor'!$C$4,'Pokemon Editor'!$A:$A,'Pokemon Editor'!$E:$E,0)+31+FLOOR('Boss Editor'!$G$4/4))*'Boss Editor'!$D$4)/100)+'Boss Editor'!$D$4+10)),0)</f>
        <v/>
      </c>
      <c r="O941" s="3">
        <f>IF(N941&gt;=1,"OHKO",IF(N941&gt;=0.5,"2HKO",IF(N941&gt;=0.333,"3HKO",IF(N941&gt;=0.25,"4HKO","5HKO+"))))</f>
        <v/>
      </c>
      <c r="P941" s="3" t="inlineStr">
        <is>
          <t>Live from editable databases</t>
        </is>
      </c>
      <c r="Q941" s="3" t="inlineStr">
        <is>
          <t>SPECIES_CHARCADET</t>
        </is>
      </c>
      <c r="R941" s="3" t="n">
        <v>12</v>
      </c>
    </row>
    <row r="942">
      <c r="A942" s="3">
        <f>XLOOKUP($Q942,'Threshold Summary'!$Y:$Y,'Threshold Summary'!$A:$A,"")</f>
        <v/>
      </c>
      <c r="B942" s="3">
        <f>XLOOKUP($Q942,'Threshold Summary'!$Y:$Y,'Threshold Summary'!$M:$M,"")</f>
        <v/>
      </c>
      <c r="C942" s="3">
        <f>XLOOKUP($Q942,'Threshold Summary'!$Y:$Y,'Threshold Summary'!$N:$N,"")</f>
        <v/>
      </c>
      <c r="D942" s="3">
        <f>IFERROR(INDEX(FILTER('Learnset Editor'!$D$2:$D,'Learnset Editor'!$A$2:$A=XLOOKUP($Q942,'Threshold Summary'!$Y:$Y,'Threshold Summary'!$K:$K,""),'Learnset Editor'!$C$2:$C&lt;=XLOOKUP($Q942,'Threshold Summary'!$Y:$Y,'Threshold Summary'!$L:$L,"")),$R942),"")</f>
        <v/>
      </c>
      <c r="E942" s="3">
        <f>XLOOKUP(D942,'Move Editor'!$B:$B,'Move Editor'!$C:$C,"")</f>
        <v/>
      </c>
      <c r="F942" s="3">
        <f>XLOOKUP(D942,'Move Editor'!$B:$B,'Move Editor'!$D:$D,"")</f>
        <v/>
      </c>
      <c r="G942" s="3">
        <f>XLOOKUP(D942,'Move Editor'!$B:$B,'Move Editor'!$E:$E,0)</f>
        <v/>
      </c>
      <c r="H942" s="3">
        <f>XLOOKUP(D942,'Move Editor'!$B:$B,'Move Editor'!$F:$F,0)</f>
        <v/>
      </c>
      <c r="I942" s="3">
        <f>(INDEX('Type Chart'!$B:$S,MATCH(E942,'Type Chart'!$A:$A,0),MATCH(XLOOKUP('Boss Editor'!$C$4,'Pokemon Editor'!$A:$A,'Pokemon Editor'!$C:$C,""),'Type Chart'!$B$1:$S$1,0))*IF(XLOOKUP('Boss Editor'!$C$4,'Pokemon Editor'!$A:$A,'Pokemon Editor'!$D:$D,"")="",1,INDEX('Type Chart'!$B:$S,MATCH(E942,'Type Chart'!$A:$A,0),MATCH(XLOOKUP('Boss Editor'!$C$4,'Pokemon Editor'!$A:$A,'Pokemon Editor'!$D:$D,""),'Type Chart'!$B$1:$S$1,0))))</f>
        <v/>
      </c>
      <c r="J942" s="3">
        <f>IFERROR(LET(mtype,XLOOKUP($D942,'Move Editor'!$B:$B,'Move Editor'!$C:$C,""),cat,XLOOKUP($D942,'Move Editor'!$B:$B,'Move Editor'!$D:$D,""),pow,XLOOKUP($D942,'Move Editor'!$B:$B,'Move Editor'!$E:$E,0),acc,XLOOKUP($D942,'Move Editor'!$B:$B,'Move Editor'!$F:$F,100),atk,IF(cat="Physical",FLOOR((FLOOR(((2*XLOOKUP(XLOOKUP($Q942,'Threshold Summary'!$Y:$Y,'Threshold Summary'!$K:$K,""),'Pokemon Editor'!$A:$A,'Pokemon Editor'!$F:$F,0)+31+FLOOR(XLOOKUP($Q942,'Threshold Summary'!$Y:$Y,'Threshold Summary'!$P:$P,"")/4))*XLOOKUP($Q942,'Threshold Summary'!$Y:$Y,'Threshold Summary'!$L:$L,""))/100)+5)*XLOOKUP(XLOOKUP($Q942,'Threshold Summary'!$Y:$Y,'Threshold Summary'!$M:$M,""),'Nature Editor'!$A:$A,'Nature Editor'!$B:$B,1)),FLOOR((FLOOR(((2*XLOOKUP(XLOOKUP($Q942,'Threshold Summary'!$Y:$Y,'Threshold Summary'!$K:$K,""),'Pokemon Editor'!$A:$A,'Pokemon Editor'!$H:$H,0)+31+FLOOR(XLOOKUP($Q942,'Threshold Summary'!$Y:$Y,'Threshold Summary'!$R:$R,"")/4))*XLOOKUP($Q942,'Threshold Summary'!$Y:$Y,'Threshold Summary'!$L:$L,""))/100)+5)*XLOOKUP(XLOOKUP($Q942,'Threshold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Editor'!$E:$E,1))),stab,IF(OR(mtype=XLOOKUP(XLOOKUP($Q942,'Threshold Summary'!$Y:$Y,'Threshold Summary'!$K:$K,""),'Pokemon Editor'!$A:$A,'Pokemon Editor'!$C:$C,""),mtype=XLOOKUP(XLOOKUP($Q942,'Threshold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Chart'!$B$1:$S$1,0)))),base,IF(OR(cat="Status",pow=0),0,FLOOR(FLOOR(FLOOR((2*XLOOKUP($Q942,'Threshold Summary'!$Y:$Y,'Threshold Summary'!$L:$L,"")/5+2)*pow*atk/def)/50)+2)),modifier,stab*eff,FLOOR(base*modifier*0.85)),0)</f>
        <v/>
      </c>
      <c r="K942" s="3">
        <f>IFERROR(LET(mtype,XLOOKUP($D942,'Move Editor'!$B:$B,'Move Editor'!$C:$C,""),cat,XLOOKUP($D942,'Move Editor'!$B:$B,'Move Editor'!$D:$D,""),pow,XLOOKUP($D942,'Move Editor'!$B:$B,'Move Editor'!$E:$E,0),acc,XLOOKUP($D942,'Move Editor'!$B:$B,'Move Editor'!$F:$F,100),atk,IF(cat="Physical",FLOOR((FLOOR(((2*XLOOKUP(XLOOKUP($Q942,'Threshold Summary'!$Y:$Y,'Threshold Summary'!$K:$K,""),'Pokemon Editor'!$A:$A,'Pokemon Editor'!$F:$F,0)+31+FLOOR(XLOOKUP($Q942,'Threshold Summary'!$Y:$Y,'Threshold Summary'!$P:$P,"")/4))*XLOOKUP($Q942,'Threshold Summary'!$Y:$Y,'Threshold Summary'!$L:$L,""))/100)+5)*XLOOKUP(XLOOKUP($Q942,'Threshold Summary'!$Y:$Y,'Threshold Summary'!$M:$M,""),'Nature Editor'!$A:$A,'Nature Editor'!$B:$B,1)),FLOOR((FLOOR(((2*XLOOKUP(XLOOKUP($Q942,'Threshold Summary'!$Y:$Y,'Threshold Summary'!$K:$K,""),'Pokemon Editor'!$A:$A,'Pokemon Editor'!$H:$H,0)+31+FLOOR(XLOOKUP($Q942,'Threshold Summary'!$Y:$Y,'Threshold Summary'!$R:$R,"")/4))*XLOOKUP($Q942,'Threshold Summary'!$Y:$Y,'Threshold Summary'!$L:$L,""))/100)+5)*XLOOKUP(XLOOKUP($Q942,'Threshold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Editor'!$E:$E,1))),stab,IF(OR(mtype=XLOOKUP(XLOOKUP($Q942,'Threshold Summary'!$Y:$Y,'Threshold Summary'!$K:$K,""),'Pokemon Editor'!$A:$A,'Pokemon Editor'!$C:$C,""),mtype=XLOOKUP(XLOOKUP($Q942,'Threshold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Chart'!$B$1:$S$1,0)))),base,IF(OR(cat="Status",pow=0),0,FLOOR(FLOOR(FLOOR((2*XLOOKUP($Q942,'Threshold Summary'!$Y:$Y,'Threshold Summary'!$L:$L,"")/5+2)*pow*atk/def)/50)+2)),modifier,stab*eff,FLOOR(base*modifier)),0)</f>
        <v/>
      </c>
      <c r="L942" s="3">
        <f>IFERROR(LET(mtype,XLOOKUP($D942,'Move Editor'!$B:$B,'Move Editor'!$C:$C,""),cat,XLOOKUP($D942,'Move Editor'!$B:$B,'Move Editor'!$D:$D,""),pow,XLOOKUP($D942,'Move Editor'!$B:$B,'Move Editor'!$E:$E,0),acc,XLOOKUP($D942,'Move Editor'!$B:$B,'Move Editor'!$F:$F,100),atk,IF(cat="Physical",FLOOR((FLOOR(((2*XLOOKUP(XLOOKUP($Q942,'Threshold Summary'!$Y:$Y,'Threshold Summary'!$K:$K,""),'Pokemon Editor'!$A:$A,'Pokemon Editor'!$F:$F,0)+31+FLOOR(XLOOKUP($Q942,'Threshold Summary'!$Y:$Y,'Threshold Summary'!$P:$P,"")/4))*XLOOKUP($Q942,'Threshold Summary'!$Y:$Y,'Threshold Summary'!$L:$L,""))/100)+5)*XLOOKUP(XLOOKUP($Q942,'Threshold Summary'!$Y:$Y,'Threshold Summary'!$M:$M,""),'Nature Editor'!$A:$A,'Nature Editor'!$B:$B,1)),FLOOR((FLOOR(((2*XLOOKUP(XLOOKUP($Q942,'Threshold Summary'!$Y:$Y,'Threshold Summary'!$K:$K,""),'Pokemon Editor'!$A:$A,'Pokemon Editor'!$H:$H,0)+31+FLOOR(XLOOKUP($Q942,'Threshold Summary'!$Y:$Y,'Threshold Summary'!$R:$R,"")/4))*XLOOKUP($Q942,'Threshold Summary'!$Y:$Y,'Threshold Summary'!$L:$L,""))/100)+5)*XLOOKUP(XLOOKUP($Q942,'Threshold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Editor'!$E:$E,1))),stab,IF(OR(mtype=XLOOKUP(XLOOKUP($Q942,'Threshold Summary'!$Y:$Y,'Threshold Summary'!$K:$K,""),'Pokemon Editor'!$A:$A,'Pokemon Editor'!$C:$C,""),mtype=XLOOKUP(XLOOKUP($Q942,'Threshold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Chart'!$B$1:$S$1,0)))),base,IF(OR(cat="Status",pow=0),0,FLOOR(FLOOR(FLOOR((2*XLOOKUP($Q942,'Threshold Summary'!$Y:$Y,'Threshold Summary'!$L:$L,"")/5+2)*pow*atk/def)/50)+2)),modifier,stab*eff,AVERAGE(ARRAYFORMULA(FLOOR(base*modifier*SEQUENCE(16,1,85,1)/100)))),0)</f>
        <v/>
      </c>
      <c r="M942" s="3">
        <f>IFERROR(LET(mtype,XLOOKUP($D942,'Move Editor'!$B:$B,'Move Editor'!$C:$C,""),cat,XLOOKUP($D942,'Move Editor'!$B:$B,'Move Editor'!$D:$D,""),pow,XLOOKUP($D942,'Move Editor'!$B:$B,'Move Editor'!$E:$E,0),acc,XLOOKUP($D942,'Move Editor'!$B:$B,'Move Editor'!$F:$F,100),atk,IF(cat="Physical",FLOOR((FLOOR(((2*XLOOKUP(XLOOKUP($Q942,'Threshold Summary'!$Y:$Y,'Threshold Summary'!$K:$K,""),'Pokemon Editor'!$A:$A,'Pokemon Editor'!$F:$F,0)+31+FLOOR(XLOOKUP($Q942,'Threshold Summary'!$Y:$Y,'Threshold Summary'!$P:$P,"")/4))*XLOOKUP($Q942,'Threshold Summary'!$Y:$Y,'Threshold Summary'!$L:$L,""))/100)+5)*XLOOKUP(XLOOKUP($Q942,'Threshold Summary'!$Y:$Y,'Threshold Summary'!$M:$M,""),'Nature Editor'!$A:$A,'Nature Editor'!$B:$B,1)),FLOOR((FLOOR(((2*XLOOKUP(XLOOKUP($Q942,'Threshold Summary'!$Y:$Y,'Threshold Summary'!$K:$K,""),'Pokemon Editor'!$A:$A,'Pokemon Editor'!$H:$H,0)+31+FLOOR(XLOOKUP($Q942,'Threshold Summary'!$Y:$Y,'Threshold Summary'!$R:$R,"")/4))*XLOOKUP($Q942,'Threshold Summary'!$Y:$Y,'Threshold Summary'!$L:$L,""))/100)+5)*XLOOKUP(XLOOKUP($Q942,'Threshold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Editor'!$E:$E,1))),stab,IF(OR(mtype=XLOOKUP(XLOOKUP($Q942,'Threshold Summary'!$Y:$Y,'Threshold Summary'!$K:$K,""),'Pokemon Editor'!$A:$A,'Pokemon Editor'!$C:$C,""),mtype=XLOOKUP(XLOOKUP($Q942,'Threshold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Chart'!$B$1:$S$1,0)))),base,IF(OR(cat="Status",pow=0),0,FLOOR(FLOOR(FLOOR((2*XLOOKUP($Q942,'Threshold Summary'!$Y:$Y,'Threshold Summary'!$L:$L,"")/5+2)*pow*atk/def)/50)+2)),modifier,stab*eff,AVERAGE(ARRAYFORMULA(FLOOR(base*modifier*SEQUENCE(16,1,85,1)/100)))*MIN(1,acc/100)),0)</f>
        <v/>
      </c>
      <c r="N942" s="4">
        <f>IFERROR(LET(mtype,XLOOKUP($D942,'Move Editor'!$B:$B,'Move Editor'!$C:$C,""),cat,XLOOKUP($D942,'Move Editor'!$B:$B,'Move Editor'!$D:$D,""),pow,XLOOKUP($D942,'Move Editor'!$B:$B,'Move Editor'!$E:$E,0),acc,XLOOKUP($D942,'Move Editor'!$B:$B,'Move Editor'!$F:$F,100),atk,IF(cat="Physical",FLOOR((FLOOR(((2*XLOOKUP(XLOOKUP($Q942,'Threshold Summary'!$Y:$Y,'Threshold Summary'!$K:$K,""),'Pokemon Editor'!$A:$A,'Pokemon Editor'!$F:$F,0)+31+FLOOR(XLOOKUP($Q942,'Threshold Summary'!$Y:$Y,'Threshold Summary'!$P:$P,"")/4))*XLOOKUP($Q942,'Threshold Summary'!$Y:$Y,'Threshold Summary'!$L:$L,""))/100)+5)*XLOOKUP(XLOOKUP($Q942,'Threshold Summary'!$Y:$Y,'Threshold Summary'!$M:$M,""),'Nature Editor'!$A:$A,'Nature Editor'!$B:$B,1)),FLOOR((FLOOR(((2*XLOOKUP(XLOOKUP($Q942,'Threshold Summary'!$Y:$Y,'Threshold Summary'!$K:$K,""),'Pokemon Editor'!$A:$A,'Pokemon Editor'!$H:$H,0)+31+FLOOR(XLOOKUP($Q942,'Threshold Summary'!$Y:$Y,'Threshold Summary'!$R:$R,"")/4))*XLOOKUP($Q942,'Threshold Summary'!$Y:$Y,'Threshold Summary'!$L:$L,""))/100)+5)*XLOOKUP(XLOOKUP($Q942,'Threshold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Editor'!$E:$E,1))),stab,IF(OR(mtype=XLOOKUP(XLOOKUP($Q942,'Threshold Summary'!$Y:$Y,'Threshold Summary'!$K:$K,""),'Pokemon Editor'!$A:$A,'Pokemon Editor'!$C:$C,""),mtype=XLOOKUP(XLOOKUP($Q942,'Threshold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Chart'!$B$1:$S$1,0)))),base,IF(OR(cat="Status",pow=0),0,FLOOR(FLOOR(FLOOR((2*XLOOKUP($Q942,'Threshold Summary'!$Y:$Y,'Threshold Summary'!$L:$L,"")/5+2)*pow*atk/def)/50)+2)),modifier,stab*eff,AVERAGE(ARRAYFORMULA(FLOOR(base*modifier*SEQUENCE(16,1,85,1)/100)))/(FLOOR(((2*XLOOKUP('Boss Editor'!$C$4,'Pokemon Editor'!$A:$A,'Pokemon Editor'!$E:$E,0)+31+FLOOR('Boss Editor'!$G$4/4))*'Boss Editor'!$D$4)/100)+'Boss Editor'!$D$4+10)),0)</f>
        <v/>
      </c>
      <c r="O942" s="3">
        <f>IF(N942&gt;=1,"OHKO",IF(N942&gt;=0.5,"2HKO",IF(N942&gt;=0.333,"3HKO",IF(N942&gt;=0.25,"4HKO","5HKO+"))))</f>
        <v/>
      </c>
      <c r="P942" s="3" t="inlineStr">
        <is>
          <t>Live from editable databases</t>
        </is>
      </c>
      <c r="Q942" s="3" t="inlineStr">
        <is>
          <t>SPECIES_CHARCADET</t>
        </is>
      </c>
      <c r="R942" s="3" t="n">
        <v>13</v>
      </c>
    </row>
    <row r="943">
      <c r="A943" s="3">
        <f>XLOOKUP($Q943,'Threshold Summary'!$Y:$Y,'Threshold Summary'!$A:$A,"")</f>
        <v/>
      </c>
      <c r="B943" s="3">
        <f>XLOOKUP($Q943,'Threshold Summary'!$Y:$Y,'Threshold Summary'!$M:$M,"")</f>
        <v/>
      </c>
      <c r="C943" s="3">
        <f>XLOOKUP($Q943,'Threshold Summary'!$Y:$Y,'Threshold Summary'!$N:$N,"")</f>
        <v/>
      </c>
      <c r="D943" s="3">
        <f>IFERROR(INDEX(FILTER('Learnset Editor'!$D$2:$D,'Learnset Editor'!$A$2:$A=XLOOKUP($Q943,'Threshold Summary'!$Y:$Y,'Threshold Summary'!$K:$K,""),'Learnset Editor'!$C$2:$C&lt;=XLOOKUP($Q943,'Threshold Summary'!$Y:$Y,'Threshold Summary'!$L:$L,"")),$R943),"")</f>
        <v/>
      </c>
      <c r="E943" s="3">
        <f>XLOOKUP(D943,'Move Editor'!$B:$B,'Move Editor'!$C:$C,"")</f>
        <v/>
      </c>
      <c r="F943" s="3">
        <f>XLOOKUP(D943,'Move Editor'!$B:$B,'Move Editor'!$D:$D,"")</f>
        <v/>
      </c>
      <c r="G943" s="3">
        <f>XLOOKUP(D943,'Move Editor'!$B:$B,'Move Editor'!$E:$E,0)</f>
        <v/>
      </c>
      <c r="H943" s="3">
        <f>XLOOKUP(D943,'Move Editor'!$B:$B,'Move Editor'!$F:$F,0)</f>
        <v/>
      </c>
      <c r="I943" s="3">
        <f>(INDEX('Type Chart'!$B:$S,MATCH(E943,'Type Chart'!$A:$A,0),MATCH(XLOOKUP('Boss Editor'!$C$4,'Pokemon Editor'!$A:$A,'Pokemon Editor'!$C:$C,""),'Type Chart'!$B$1:$S$1,0))*IF(XLOOKUP('Boss Editor'!$C$4,'Pokemon Editor'!$A:$A,'Pokemon Editor'!$D:$D,"")="",1,INDEX('Type Chart'!$B:$S,MATCH(E943,'Type Chart'!$A:$A,0),MATCH(XLOOKUP('Boss Editor'!$C$4,'Pokemon Editor'!$A:$A,'Pokemon Editor'!$D:$D,""),'Type Chart'!$B$1:$S$1,0))))</f>
        <v/>
      </c>
      <c r="J943" s="3">
        <f>IFERROR(LET(mtype,XLOOKUP($D943,'Move Editor'!$B:$B,'Move Editor'!$C:$C,""),cat,XLOOKUP($D943,'Move Editor'!$B:$B,'Move Editor'!$D:$D,""),pow,XLOOKUP($D943,'Move Editor'!$B:$B,'Move Editor'!$E:$E,0),acc,XLOOKUP($D943,'Move Editor'!$B:$B,'Move Editor'!$F:$F,100),atk,IF(cat="Physical",FLOOR((FLOOR(((2*XLOOKUP(XLOOKUP($Q943,'Threshold Summary'!$Y:$Y,'Threshold Summary'!$K:$K,""),'Pokemon Editor'!$A:$A,'Pokemon Editor'!$F:$F,0)+31+FLOOR(XLOOKUP($Q943,'Threshold Summary'!$Y:$Y,'Threshold Summary'!$P:$P,"")/4))*XLOOKUP($Q943,'Threshold Summary'!$Y:$Y,'Threshold Summary'!$L:$L,""))/100)+5)*XLOOKUP(XLOOKUP($Q943,'Threshold Summary'!$Y:$Y,'Threshold Summary'!$M:$M,""),'Nature Editor'!$A:$A,'Nature Editor'!$B:$B,1)),FLOOR((FLOOR(((2*XLOOKUP(XLOOKUP($Q943,'Threshold Summary'!$Y:$Y,'Threshold Summary'!$K:$K,""),'Pokemon Editor'!$A:$A,'Pokemon Editor'!$H:$H,0)+31+FLOOR(XLOOKUP($Q943,'Threshold Summary'!$Y:$Y,'Threshold Summary'!$R:$R,"")/4))*XLOOKUP($Q943,'Threshold Summary'!$Y:$Y,'Threshold Summary'!$L:$L,""))/100)+5)*XLOOKUP(XLOOKUP($Q943,'Threshold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Editor'!$E:$E,1))),stab,IF(OR(mtype=XLOOKUP(XLOOKUP($Q943,'Threshold Summary'!$Y:$Y,'Threshold Summary'!$K:$K,""),'Pokemon Editor'!$A:$A,'Pokemon Editor'!$C:$C,""),mtype=XLOOKUP(XLOOKUP($Q943,'Threshold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Chart'!$B$1:$S$1,0)))),base,IF(OR(cat="Status",pow=0),0,FLOOR(FLOOR(FLOOR((2*XLOOKUP($Q943,'Threshold Summary'!$Y:$Y,'Threshold Summary'!$L:$L,"")/5+2)*pow*atk/def)/50)+2)),modifier,stab*eff,FLOOR(base*modifier*0.85)),0)</f>
        <v/>
      </c>
      <c r="K943" s="3">
        <f>IFERROR(LET(mtype,XLOOKUP($D943,'Move Editor'!$B:$B,'Move Editor'!$C:$C,""),cat,XLOOKUP($D943,'Move Editor'!$B:$B,'Move Editor'!$D:$D,""),pow,XLOOKUP($D943,'Move Editor'!$B:$B,'Move Editor'!$E:$E,0),acc,XLOOKUP($D943,'Move Editor'!$B:$B,'Move Editor'!$F:$F,100),atk,IF(cat="Physical",FLOOR((FLOOR(((2*XLOOKUP(XLOOKUP($Q943,'Threshold Summary'!$Y:$Y,'Threshold Summary'!$K:$K,""),'Pokemon Editor'!$A:$A,'Pokemon Editor'!$F:$F,0)+31+FLOOR(XLOOKUP($Q943,'Threshold Summary'!$Y:$Y,'Threshold Summary'!$P:$P,"")/4))*XLOOKUP($Q943,'Threshold Summary'!$Y:$Y,'Threshold Summary'!$L:$L,""))/100)+5)*XLOOKUP(XLOOKUP($Q943,'Threshold Summary'!$Y:$Y,'Threshold Summary'!$M:$M,""),'Nature Editor'!$A:$A,'Nature Editor'!$B:$B,1)),FLOOR((FLOOR(((2*XLOOKUP(XLOOKUP($Q943,'Threshold Summary'!$Y:$Y,'Threshold Summary'!$K:$K,""),'Pokemon Editor'!$A:$A,'Pokemon Editor'!$H:$H,0)+31+FLOOR(XLOOKUP($Q943,'Threshold Summary'!$Y:$Y,'Threshold Summary'!$R:$R,"")/4))*XLOOKUP($Q943,'Threshold Summary'!$Y:$Y,'Threshold Summary'!$L:$L,""))/100)+5)*XLOOKUP(XLOOKUP($Q943,'Threshold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Editor'!$E:$E,1))),stab,IF(OR(mtype=XLOOKUP(XLOOKUP($Q943,'Threshold Summary'!$Y:$Y,'Threshold Summary'!$K:$K,""),'Pokemon Editor'!$A:$A,'Pokemon Editor'!$C:$C,""),mtype=XLOOKUP(XLOOKUP($Q943,'Threshold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Chart'!$B$1:$S$1,0)))),base,IF(OR(cat="Status",pow=0),0,FLOOR(FLOOR(FLOOR((2*XLOOKUP($Q943,'Threshold Summary'!$Y:$Y,'Threshold Summary'!$L:$L,"")/5+2)*pow*atk/def)/50)+2)),modifier,stab*eff,FLOOR(base*modifier)),0)</f>
        <v/>
      </c>
      <c r="L943" s="3">
        <f>IFERROR(LET(mtype,XLOOKUP($D943,'Move Editor'!$B:$B,'Move Editor'!$C:$C,""),cat,XLOOKUP($D943,'Move Editor'!$B:$B,'Move Editor'!$D:$D,""),pow,XLOOKUP($D943,'Move Editor'!$B:$B,'Move Editor'!$E:$E,0),acc,XLOOKUP($D943,'Move Editor'!$B:$B,'Move Editor'!$F:$F,100),atk,IF(cat="Physical",FLOOR((FLOOR(((2*XLOOKUP(XLOOKUP($Q943,'Threshold Summary'!$Y:$Y,'Threshold Summary'!$K:$K,""),'Pokemon Editor'!$A:$A,'Pokemon Editor'!$F:$F,0)+31+FLOOR(XLOOKUP($Q943,'Threshold Summary'!$Y:$Y,'Threshold Summary'!$P:$P,"")/4))*XLOOKUP($Q943,'Threshold Summary'!$Y:$Y,'Threshold Summary'!$L:$L,""))/100)+5)*XLOOKUP(XLOOKUP($Q943,'Threshold Summary'!$Y:$Y,'Threshold Summary'!$M:$M,""),'Nature Editor'!$A:$A,'Nature Editor'!$B:$B,1)),FLOOR((FLOOR(((2*XLOOKUP(XLOOKUP($Q943,'Threshold Summary'!$Y:$Y,'Threshold Summary'!$K:$K,""),'Pokemon Editor'!$A:$A,'Pokemon Editor'!$H:$H,0)+31+FLOOR(XLOOKUP($Q943,'Threshold Summary'!$Y:$Y,'Threshold Summary'!$R:$R,"")/4))*XLOOKUP($Q943,'Threshold Summary'!$Y:$Y,'Threshold Summary'!$L:$L,""))/100)+5)*XLOOKUP(XLOOKUP($Q943,'Threshold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Editor'!$E:$E,1))),stab,IF(OR(mtype=XLOOKUP(XLOOKUP($Q943,'Threshold Summary'!$Y:$Y,'Threshold Summary'!$K:$K,""),'Pokemon Editor'!$A:$A,'Pokemon Editor'!$C:$C,""),mtype=XLOOKUP(XLOOKUP($Q943,'Threshold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Chart'!$B$1:$S$1,0)))),base,IF(OR(cat="Status",pow=0),0,FLOOR(FLOOR(FLOOR((2*XLOOKUP($Q943,'Threshold Summary'!$Y:$Y,'Threshold Summary'!$L:$L,"")/5+2)*pow*atk/def)/50)+2)),modifier,stab*eff,AVERAGE(ARRAYFORMULA(FLOOR(base*modifier*SEQUENCE(16,1,85,1)/100)))),0)</f>
        <v/>
      </c>
      <c r="M943" s="3">
        <f>IFERROR(LET(mtype,XLOOKUP($D943,'Move Editor'!$B:$B,'Move Editor'!$C:$C,""),cat,XLOOKUP($D943,'Move Editor'!$B:$B,'Move Editor'!$D:$D,""),pow,XLOOKUP($D943,'Move Editor'!$B:$B,'Move Editor'!$E:$E,0),acc,XLOOKUP($D943,'Move Editor'!$B:$B,'Move Editor'!$F:$F,100),atk,IF(cat="Physical",FLOOR((FLOOR(((2*XLOOKUP(XLOOKUP($Q943,'Threshold Summary'!$Y:$Y,'Threshold Summary'!$K:$K,""),'Pokemon Editor'!$A:$A,'Pokemon Editor'!$F:$F,0)+31+FLOOR(XLOOKUP($Q943,'Threshold Summary'!$Y:$Y,'Threshold Summary'!$P:$P,"")/4))*XLOOKUP($Q943,'Threshold Summary'!$Y:$Y,'Threshold Summary'!$L:$L,""))/100)+5)*XLOOKUP(XLOOKUP($Q943,'Threshold Summary'!$Y:$Y,'Threshold Summary'!$M:$M,""),'Nature Editor'!$A:$A,'Nature Editor'!$B:$B,1)),FLOOR((FLOOR(((2*XLOOKUP(XLOOKUP($Q943,'Threshold Summary'!$Y:$Y,'Threshold Summary'!$K:$K,""),'Pokemon Editor'!$A:$A,'Pokemon Editor'!$H:$H,0)+31+FLOOR(XLOOKUP($Q943,'Threshold Summary'!$Y:$Y,'Threshold Summary'!$R:$R,"")/4))*XLOOKUP($Q943,'Threshold Summary'!$Y:$Y,'Threshold Summary'!$L:$L,""))/100)+5)*XLOOKUP(XLOOKUP($Q943,'Threshold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Editor'!$E:$E,1))),stab,IF(OR(mtype=XLOOKUP(XLOOKUP($Q943,'Threshold Summary'!$Y:$Y,'Threshold Summary'!$K:$K,""),'Pokemon Editor'!$A:$A,'Pokemon Editor'!$C:$C,""),mtype=XLOOKUP(XLOOKUP($Q943,'Threshold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Chart'!$B$1:$S$1,0)))),base,IF(OR(cat="Status",pow=0),0,FLOOR(FLOOR(FLOOR((2*XLOOKUP($Q943,'Threshold Summary'!$Y:$Y,'Threshold Summary'!$L:$L,"")/5+2)*pow*atk/def)/50)+2)),modifier,stab*eff,AVERAGE(ARRAYFORMULA(FLOOR(base*modifier*SEQUENCE(16,1,85,1)/100)))*MIN(1,acc/100)),0)</f>
        <v/>
      </c>
      <c r="N943" s="4">
        <f>IFERROR(LET(mtype,XLOOKUP($D943,'Move Editor'!$B:$B,'Move Editor'!$C:$C,""),cat,XLOOKUP($D943,'Move Editor'!$B:$B,'Move Editor'!$D:$D,""),pow,XLOOKUP($D943,'Move Editor'!$B:$B,'Move Editor'!$E:$E,0),acc,XLOOKUP($D943,'Move Editor'!$B:$B,'Move Editor'!$F:$F,100),atk,IF(cat="Physical",FLOOR((FLOOR(((2*XLOOKUP(XLOOKUP($Q943,'Threshold Summary'!$Y:$Y,'Threshold Summary'!$K:$K,""),'Pokemon Editor'!$A:$A,'Pokemon Editor'!$F:$F,0)+31+FLOOR(XLOOKUP($Q943,'Threshold Summary'!$Y:$Y,'Threshold Summary'!$P:$P,"")/4))*XLOOKUP($Q943,'Threshold Summary'!$Y:$Y,'Threshold Summary'!$L:$L,""))/100)+5)*XLOOKUP(XLOOKUP($Q943,'Threshold Summary'!$Y:$Y,'Threshold Summary'!$M:$M,""),'Nature Editor'!$A:$A,'Nature Editor'!$B:$B,1)),FLOOR((FLOOR(((2*XLOOKUP(XLOOKUP($Q943,'Threshold Summary'!$Y:$Y,'Threshold Summary'!$K:$K,""),'Pokemon Editor'!$A:$A,'Pokemon Editor'!$H:$H,0)+31+FLOOR(XLOOKUP($Q943,'Threshold Summary'!$Y:$Y,'Threshold Summary'!$R:$R,"")/4))*XLOOKUP($Q943,'Threshold Summary'!$Y:$Y,'Threshold Summary'!$L:$L,""))/100)+5)*XLOOKUP(XLOOKUP($Q943,'Threshold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Editor'!$E:$E,1))),stab,IF(OR(mtype=XLOOKUP(XLOOKUP($Q943,'Threshold Summary'!$Y:$Y,'Threshold Summary'!$K:$K,""),'Pokemon Editor'!$A:$A,'Pokemon Editor'!$C:$C,""),mtype=XLOOKUP(XLOOKUP($Q943,'Threshold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Chart'!$B$1:$S$1,0)))),base,IF(OR(cat="Status",pow=0),0,FLOOR(FLOOR(FLOOR((2*XLOOKUP($Q943,'Threshold Summary'!$Y:$Y,'Threshold Summary'!$L:$L,"")/5+2)*pow*atk/def)/50)+2)),modifier,stab*eff,AVERAGE(ARRAYFORMULA(FLOOR(base*modifier*SEQUENCE(16,1,85,1)/100)))/(FLOOR(((2*XLOOKUP('Boss Editor'!$C$4,'Pokemon Editor'!$A:$A,'Pokemon Editor'!$E:$E,0)+31+FLOOR('Boss Editor'!$G$4/4))*'Boss Editor'!$D$4)/100)+'Boss Editor'!$D$4+10)),0)</f>
        <v/>
      </c>
      <c r="O943" s="3">
        <f>IF(N943&gt;=1,"OHKO",IF(N943&gt;=0.5,"2HKO",IF(N943&gt;=0.333,"3HKO",IF(N943&gt;=0.25,"4HKO","5HKO+"))))</f>
        <v/>
      </c>
      <c r="P943" s="3" t="inlineStr">
        <is>
          <t>Live from editable databases</t>
        </is>
      </c>
      <c r="Q943" s="3" t="inlineStr">
        <is>
          <t>SPECIES_CHARCADET</t>
        </is>
      </c>
      <c r="R943" s="3" t="n">
        <v>14</v>
      </c>
    </row>
    <row r="944">
      <c r="A944" s="3">
        <f>XLOOKUP($Q944,'Threshold Summary'!$Y:$Y,'Threshold Summary'!$A:$A,"")</f>
        <v/>
      </c>
      <c r="B944" s="3">
        <f>XLOOKUP($Q944,'Threshold Summary'!$Y:$Y,'Threshold Summary'!$M:$M,"")</f>
        <v/>
      </c>
      <c r="C944" s="3">
        <f>XLOOKUP($Q944,'Threshold Summary'!$Y:$Y,'Threshold Summary'!$N:$N,"")</f>
        <v/>
      </c>
      <c r="D944" s="3">
        <f>IFERROR(INDEX(FILTER('Learnset Editor'!$D$2:$D,'Learnset Editor'!$A$2:$A=XLOOKUP($Q944,'Threshold Summary'!$Y:$Y,'Threshold Summary'!$K:$K,""),'Learnset Editor'!$C$2:$C&lt;=XLOOKUP($Q944,'Threshold Summary'!$Y:$Y,'Threshold Summary'!$L:$L,"")),$R944),"")</f>
        <v/>
      </c>
      <c r="E944" s="3">
        <f>XLOOKUP(D944,'Move Editor'!$B:$B,'Move Editor'!$C:$C,"")</f>
        <v/>
      </c>
      <c r="F944" s="3">
        <f>XLOOKUP(D944,'Move Editor'!$B:$B,'Move Editor'!$D:$D,"")</f>
        <v/>
      </c>
      <c r="G944" s="3">
        <f>XLOOKUP(D944,'Move Editor'!$B:$B,'Move Editor'!$E:$E,0)</f>
        <v/>
      </c>
      <c r="H944" s="3">
        <f>XLOOKUP(D944,'Move Editor'!$B:$B,'Move Editor'!$F:$F,0)</f>
        <v/>
      </c>
      <c r="I944" s="3">
        <f>(INDEX('Type Chart'!$B:$S,MATCH(E944,'Type Chart'!$A:$A,0),MATCH(XLOOKUP('Boss Editor'!$C$4,'Pokemon Editor'!$A:$A,'Pokemon Editor'!$C:$C,""),'Type Chart'!$B$1:$S$1,0))*IF(XLOOKUP('Boss Editor'!$C$4,'Pokemon Editor'!$A:$A,'Pokemon Editor'!$D:$D,"")="",1,INDEX('Type Chart'!$B:$S,MATCH(E944,'Type Chart'!$A:$A,0),MATCH(XLOOKUP('Boss Editor'!$C$4,'Pokemon Editor'!$A:$A,'Pokemon Editor'!$D:$D,""),'Type Chart'!$B$1:$S$1,0))))</f>
        <v/>
      </c>
      <c r="J944" s="3">
        <f>IFERROR(LET(mtype,XLOOKUP($D944,'Move Editor'!$B:$B,'Move Editor'!$C:$C,""),cat,XLOOKUP($D944,'Move Editor'!$B:$B,'Move Editor'!$D:$D,""),pow,XLOOKUP($D944,'Move Editor'!$B:$B,'Move Editor'!$E:$E,0),acc,XLOOKUP($D944,'Move Editor'!$B:$B,'Move Editor'!$F:$F,100),atk,IF(cat="Physical",FLOOR((FLOOR(((2*XLOOKUP(XLOOKUP($Q944,'Threshold Summary'!$Y:$Y,'Threshold Summary'!$K:$K,""),'Pokemon Editor'!$A:$A,'Pokemon Editor'!$F:$F,0)+31+FLOOR(XLOOKUP($Q944,'Threshold Summary'!$Y:$Y,'Threshold Summary'!$P:$P,"")/4))*XLOOKUP($Q944,'Threshold Summary'!$Y:$Y,'Threshold Summary'!$L:$L,""))/100)+5)*XLOOKUP(XLOOKUP($Q944,'Threshold Summary'!$Y:$Y,'Threshold Summary'!$M:$M,""),'Nature Editor'!$A:$A,'Nature Editor'!$B:$B,1)),FLOOR((FLOOR(((2*XLOOKUP(XLOOKUP($Q944,'Threshold Summary'!$Y:$Y,'Threshold Summary'!$K:$K,""),'Pokemon Editor'!$A:$A,'Pokemon Editor'!$H:$H,0)+31+FLOOR(XLOOKUP($Q944,'Threshold Summary'!$Y:$Y,'Threshold Summary'!$R:$R,"")/4))*XLOOKUP($Q944,'Threshold Summary'!$Y:$Y,'Threshold Summary'!$L:$L,""))/100)+5)*XLOOKUP(XLOOKUP($Q944,'Threshold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Editor'!$E:$E,1))),stab,IF(OR(mtype=XLOOKUP(XLOOKUP($Q944,'Threshold Summary'!$Y:$Y,'Threshold Summary'!$K:$K,""),'Pokemon Editor'!$A:$A,'Pokemon Editor'!$C:$C,""),mtype=XLOOKUP(XLOOKUP($Q944,'Threshold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Chart'!$B$1:$S$1,0)))),base,IF(OR(cat="Status",pow=0),0,FLOOR(FLOOR(FLOOR((2*XLOOKUP($Q944,'Threshold Summary'!$Y:$Y,'Threshold Summary'!$L:$L,"")/5+2)*pow*atk/def)/50)+2)),modifier,stab*eff,FLOOR(base*modifier*0.85)),0)</f>
        <v/>
      </c>
      <c r="K944" s="3">
        <f>IFERROR(LET(mtype,XLOOKUP($D944,'Move Editor'!$B:$B,'Move Editor'!$C:$C,""),cat,XLOOKUP($D944,'Move Editor'!$B:$B,'Move Editor'!$D:$D,""),pow,XLOOKUP($D944,'Move Editor'!$B:$B,'Move Editor'!$E:$E,0),acc,XLOOKUP($D944,'Move Editor'!$B:$B,'Move Editor'!$F:$F,100),atk,IF(cat="Physical",FLOOR((FLOOR(((2*XLOOKUP(XLOOKUP($Q944,'Threshold Summary'!$Y:$Y,'Threshold Summary'!$K:$K,""),'Pokemon Editor'!$A:$A,'Pokemon Editor'!$F:$F,0)+31+FLOOR(XLOOKUP($Q944,'Threshold Summary'!$Y:$Y,'Threshold Summary'!$P:$P,"")/4))*XLOOKUP($Q944,'Threshold Summary'!$Y:$Y,'Threshold Summary'!$L:$L,""))/100)+5)*XLOOKUP(XLOOKUP($Q944,'Threshold Summary'!$Y:$Y,'Threshold Summary'!$M:$M,""),'Nature Editor'!$A:$A,'Nature Editor'!$B:$B,1)),FLOOR((FLOOR(((2*XLOOKUP(XLOOKUP($Q944,'Threshold Summary'!$Y:$Y,'Threshold Summary'!$K:$K,""),'Pokemon Editor'!$A:$A,'Pokemon Editor'!$H:$H,0)+31+FLOOR(XLOOKUP($Q944,'Threshold Summary'!$Y:$Y,'Threshold Summary'!$R:$R,"")/4))*XLOOKUP($Q944,'Threshold Summary'!$Y:$Y,'Threshold Summary'!$L:$L,""))/100)+5)*XLOOKUP(XLOOKUP($Q944,'Threshold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Editor'!$E:$E,1))),stab,IF(OR(mtype=XLOOKUP(XLOOKUP($Q944,'Threshold Summary'!$Y:$Y,'Threshold Summary'!$K:$K,""),'Pokemon Editor'!$A:$A,'Pokemon Editor'!$C:$C,""),mtype=XLOOKUP(XLOOKUP($Q944,'Threshold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Chart'!$B$1:$S$1,0)))),base,IF(OR(cat="Status",pow=0),0,FLOOR(FLOOR(FLOOR((2*XLOOKUP($Q944,'Threshold Summary'!$Y:$Y,'Threshold Summary'!$L:$L,"")/5+2)*pow*atk/def)/50)+2)),modifier,stab*eff,FLOOR(base*modifier)),0)</f>
        <v/>
      </c>
      <c r="L944" s="3">
        <f>IFERROR(LET(mtype,XLOOKUP($D944,'Move Editor'!$B:$B,'Move Editor'!$C:$C,""),cat,XLOOKUP($D944,'Move Editor'!$B:$B,'Move Editor'!$D:$D,""),pow,XLOOKUP($D944,'Move Editor'!$B:$B,'Move Editor'!$E:$E,0),acc,XLOOKUP($D944,'Move Editor'!$B:$B,'Move Editor'!$F:$F,100),atk,IF(cat="Physical",FLOOR((FLOOR(((2*XLOOKUP(XLOOKUP($Q944,'Threshold Summary'!$Y:$Y,'Threshold Summary'!$K:$K,""),'Pokemon Editor'!$A:$A,'Pokemon Editor'!$F:$F,0)+31+FLOOR(XLOOKUP($Q944,'Threshold Summary'!$Y:$Y,'Threshold Summary'!$P:$P,"")/4))*XLOOKUP($Q944,'Threshold Summary'!$Y:$Y,'Threshold Summary'!$L:$L,""))/100)+5)*XLOOKUP(XLOOKUP($Q944,'Threshold Summary'!$Y:$Y,'Threshold Summary'!$M:$M,""),'Nature Editor'!$A:$A,'Nature Editor'!$B:$B,1)),FLOOR((FLOOR(((2*XLOOKUP(XLOOKUP($Q944,'Threshold Summary'!$Y:$Y,'Threshold Summary'!$K:$K,""),'Pokemon Editor'!$A:$A,'Pokemon Editor'!$H:$H,0)+31+FLOOR(XLOOKUP($Q944,'Threshold Summary'!$Y:$Y,'Threshold Summary'!$R:$R,"")/4))*XLOOKUP($Q944,'Threshold Summary'!$Y:$Y,'Threshold Summary'!$L:$L,""))/100)+5)*XLOOKUP(XLOOKUP($Q944,'Threshold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Editor'!$E:$E,1))),stab,IF(OR(mtype=XLOOKUP(XLOOKUP($Q944,'Threshold Summary'!$Y:$Y,'Threshold Summary'!$K:$K,""),'Pokemon Editor'!$A:$A,'Pokemon Editor'!$C:$C,""),mtype=XLOOKUP(XLOOKUP($Q944,'Threshold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Chart'!$B$1:$S$1,0)))),base,IF(OR(cat="Status",pow=0),0,FLOOR(FLOOR(FLOOR((2*XLOOKUP($Q944,'Threshold Summary'!$Y:$Y,'Threshold Summary'!$L:$L,"")/5+2)*pow*atk/def)/50)+2)),modifier,stab*eff,AVERAGE(ARRAYFORMULA(FLOOR(base*modifier*SEQUENCE(16,1,85,1)/100)))),0)</f>
        <v/>
      </c>
      <c r="M944" s="3">
        <f>IFERROR(LET(mtype,XLOOKUP($D944,'Move Editor'!$B:$B,'Move Editor'!$C:$C,""),cat,XLOOKUP($D944,'Move Editor'!$B:$B,'Move Editor'!$D:$D,""),pow,XLOOKUP($D944,'Move Editor'!$B:$B,'Move Editor'!$E:$E,0),acc,XLOOKUP($D944,'Move Editor'!$B:$B,'Move Editor'!$F:$F,100),atk,IF(cat="Physical",FLOOR((FLOOR(((2*XLOOKUP(XLOOKUP($Q944,'Threshold Summary'!$Y:$Y,'Threshold Summary'!$K:$K,""),'Pokemon Editor'!$A:$A,'Pokemon Editor'!$F:$F,0)+31+FLOOR(XLOOKUP($Q944,'Threshold Summary'!$Y:$Y,'Threshold Summary'!$P:$P,"")/4))*XLOOKUP($Q944,'Threshold Summary'!$Y:$Y,'Threshold Summary'!$L:$L,""))/100)+5)*XLOOKUP(XLOOKUP($Q944,'Threshold Summary'!$Y:$Y,'Threshold Summary'!$M:$M,""),'Nature Editor'!$A:$A,'Nature Editor'!$B:$B,1)),FLOOR((FLOOR(((2*XLOOKUP(XLOOKUP($Q944,'Threshold Summary'!$Y:$Y,'Threshold Summary'!$K:$K,""),'Pokemon Editor'!$A:$A,'Pokemon Editor'!$H:$H,0)+31+FLOOR(XLOOKUP($Q944,'Threshold Summary'!$Y:$Y,'Threshold Summary'!$R:$R,"")/4))*XLOOKUP($Q944,'Threshold Summary'!$Y:$Y,'Threshold Summary'!$L:$L,""))/100)+5)*XLOOKUP(XLOOKUP($Q944,'Threshold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Editor'!$E:$E,1))),stab,IF(OR(mtype=XLOOKUP(XLOOKUP($Q944,'Threshold Summary'!$Y:$Y,'Threshold Summary'!$K:$K,""),'Pokemon Editor'!$A:$A,'Pokemon Editor'!$C:$C,""),mtype=XLOOKUP(XLOOKUP($Q944,'Threshold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Chart'!$B$1:$S$1,0)))),base,IF(OR(cat="Status",pow=0),0,FLOOR(FLOOR(FLOOR((2*XLOOKUP($Q944,'Threshold Summary'!$Y:$Y,'Threshold Summary'!$L:$L,"")/5+2)*pow*atk/def)/50)+2)),modifier,stab*eff,AVERAGE(ARRAYFORMULA(FLOOR(base*modifier*SEQUENCE(16,1,85,1)/100)))*MIN(1,acc/100)),0)</f>
        <v/>
      </c>
      <c r="N944" s="4">
        <f>IFERROR(LET(mtype,XLOOKUP($D944,'Move Editor'!$B:$B,'Move Editor'!$C:$C,""),cat,XLOOKUP($D944,'Move Editor'!$B:$B,'Move Editor'!$D:$D,""),pow,XLOOKUP($D944,'Move Editor'!$B:$B,'Move Editor'!$E:$E,0),acc,XLOOKUP($D944,'Move Editor'!$B:$B,'Move Editor'!$F:$F,100),atk,IF(cat="Physical",FLOOR((FLOOR(((2*XLOOKUP(XLOOKUP($Q944,'Threshold Summary'!$Y:$Y,'Threshold Summary'!$K:$K,""),'Pokemon Editor'!$A:$A,'Pokemon Editor'!$F:$F,0)+31+FLOOR(XLOOKUP($Q944,'Threshold Summary'!$Y:$Y,'Threshold Summary'!$P:$P,"")/4))*XLOOKUP($Q944,'Threshold Summary'!$Y:$Y,'Threshold Summary'!$L:$L,""))/100)+5)*XLOOKUP(XLOOKUP($Q944,'Threshold Summary'!$Y:$Y,'Threshold Summary'!$M:$M,""),'Nature Editor'!$A:$A,'Nature Editor'!$B:$B,1)),FLOOR((FLOOR(((2*XLOOKUP(XLOOKUP($Q944,'Threshold Summary'!$Y:$Y,'Threshold Summary'!$K:$K,""),'Pokemon Editor'!$A:$A,'Pokemon Editor'!$H:$H,0)+31+FLOOR(XLOOKUP($Q944,'Threshold Summary'!$Y:$Y,'Threshold Summary'!$R:$R,"")/4))*XLOOKUP($Q944,'Threshold Summary'!$Y:$Y,'Threshold Summary'!$L:$L,""))/100)+5)*XLOOKUP(XLOOKUP($Q944,'Threshold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Editor'!$E:$E,1))),stab,IF(OR(mtype=XLOOKUP(XLOOKUP($Q944,'Threshold Summary'!$Y:$Y,'Threshold Summary'!$K:$K,""),'Pokemon Editor'!$A:$A,'Pokemon Editor'!$C:$C,""),mtype=XLOOKUP(XLOOKUP($Q944,'Threshold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Chart'!$B$1:$S$1,0)))),base,IF(OR(cat="Status",pow=0),0,FLOOR(FLOOR(FLOOR((2*XLOOKUP($Q944,'Threshold Summary'!$Y:$Y,'Threshold Summary'!$L:$L,"")/5+2)*pow*atk/def)/50)+2)),modifier,stab*eff,AVERAGE(ARRAYFORMULA(FLOOR(base*modifier*SEQUENCE(16,1,85,1)/100)))/(FLOOR(((2*XLOOKUP('Boss Editor'!$C$4,'Pokemon Editor'!$A:$A,'Pokemon Editor'!$E:$E,0)+31+FLOOR('Boss Editor'!$G$4/4))*'Boss Editor'!$D$4)/100)+'Boss Editor'!$D$4+10)),0)</f>
        <v/>
      </c>
      <c r="O944" s="3">
        <f>IF(N944&gt;=1,"OHKO",IF(N944&gt;=0.5,"2HKO",IF(N944&gt;=0.333,"3HKO",IF(N944&gt;=0.25,"4HKO","5HKO+"))))</f>
        <v/>
      </c>
      <c r="P944" s="3" t="inlineStr">
        <is>
          <t>Live from editable databases</t>
        </is>
      </c>
      <c r="Q944" s="3" t="inlineStr">
        <is>
          <t>SPECIES_CHARCADET</t>
        </is>
      </c>
      <c r="R944" s="3" t="n">
        <v>15</v>
      </c>
    </row>
    <row r="945">
      <c r="A945" s="3">
        <f>XLOOKUP($Q945,'Threshold Summary'!$Y:$Y,'Threshold Summary'!$A:$A,"")</f>
        <v/>
      </c>
      <c r="B945" s="3">
        <f>XLOOKUP($Q945,'Threshold Summary'!$Y:$Y,'Threshold Summary'!$M:$M,"")</f>
        <v/>
      </c>
      <c r="C945" s="3">
        <f>XLOOKUP($Q945,'Threshold Summary'!$Y:$Y,'Threshold Summary'!$N:$N,"")</f>
        <v/>
      </c>
      <c r="D945" s="3">
        <f>IFERROR(INDEX(FILTER('Learnset Editor'!$D$2:$D,'Learnset Editor'!$A$2:$A=XLOOKUP($Q945,'Threshold Summary'!$Y:$Y,'Threshold Summary'!$K:$K,""),'Learnset Editor'!$C$2:$C&lt;=XLOOKUP($Q945,'Threshold Summary'!$Y:$Y,'Threshold Summary'!$L:$L,"")),$R945),"")</f>
        <v/>
      </c>
      <c r="E945" s="3">
        <f>XLOOKUP(D945,'Move Editor'!$B:$B,'Move Editor'!$C:$C,"")</f>
        <v/>
      </c>
      <c r="F945" s="3">
        <f>XLOOKUP(D945,'Move Editor'!$B:$B,'Move Editor'!$D:$D,"")</f>
        <v/>
      </c>
      <c r="G945" s="3">
        <f>XLOOKUP(D945,'Move Editor'!$B:$B,'Move Editor'!$E:$E,0)</f>
        <v/>
      </c>
      <c r="H945" s="3">
        <f>XLOOKUP(D945,'Move Editor'!$B:$B,'Move Editor'!$F:$F,0)</f>
        <v/>
      </c>
      <c r="I945" s="3">
        <f>(INDEX('Type Chart'!$B:$S,MATCH(E945,'Type Chart'!$A:$A,0),MATCH(XLOOKUP('Boss Editor'!$C$4,'Pokemon Editor'!$A:$A,'Pokemon Editor'!$C:$C,""),'Type Chart'!$B$1:$S$1,0))*IF(XLOOKUP('Boss Editor'!$C$4,'Pokemon Editor'!$A:$A,'Pokemon Editor'!$D:$D,"")="",1,INDEX('Type Chart'!$B:$S,MATCH(E945,'Type Chart'!$A:$A,0),MATCH(XLOOKUP('Boss Editor'!$C$4,'Pokemon Editor'!$A:$A,'Pokemon Editor'!$D:$D,""),'Type Chart'!$B$1:$S$1,0))))</f>
        <v/>
      </c>
      <c r="J945" s="3">
        <f>IFERROR(LET(mtype,XLOOKUP($D945,'Move Editor'!$B:$B,'Move Editor'!$C:$C,""),cat,XLOOKUP($D945,'Move Editor'!$B:$B,'Move Editor'!$D:$D,""),pow,XLOOKUP($D945,'Move Editor'!$B:$B,'Move Editor'!$E:$E,0),acc,XLOOKUP($D945,'Move Editor'!$B:$B,'Move Editor'!$F:$F,100),atk,IF(cat="Physical",FLOOR((FLOOR(((2*XLOOKUP(XLOOKUP($Q945,'Threshold Summary'!$Y:$Y,'Threshold Summary'!$K:$K,""),'Pokemon Editor'!$A:$A,'Pokemon Editor'!$F:$F,0)+31+FLOOR(XLOOKUP($Q945,'Threshold Summary'!$Y:$Y,'Threshold Summary'!$P:$P,"")/4))*XLOOKUP($Q945,'Threshold Summary'!$Y:$Y,'Threshold Summary'!$L:$L,""))/100)+5)*XLOOKUP(XLOOKUP($Q945,'Threshold Summary'!$Y:$Y,'Threshold Summary'!$M:$M,""),'Nature Editor'!$A:$A,'Nature Editor'!$B:$B,1)),FLOOR((FLOOR(((2*XLOOKUP(XLOOKUP($Q945,'Threshold Summary'!$Y:$Y,'Threshold Summary'!$K:$K,""),'Pokemon Editor'!$A:$A,'Pokemon Editor'!$H:$H,0)+31+FLOOR(XLOOKUP($Q945,'Threshold Summary'!$Y:$Y,'Threshold Summary'!$R:$R,"")/4))*XLOOKUP($Q945,'Threshold Summary'!$Y:$Y,'Threshold Summary'!$L:$L,""))/100)+5)*XLOOKUP(XLOOKUP($Q945,'Threshold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Editor'!$E:$E,1))),stab,IF(OR(mtype=XLOOKUP(XLOOKUP($Q945,'Threshold Summary'!$Y:$Y,'Threshold Summary'!$K:$K,""),'Pokemon Editor'!$A:$A,'Pokemon Editor'!$C:$C,""),mtype=XLOOKUP(XLOOKUP($Q945,'Threshold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Chart'!$B$1:$S$1,0)))),base,IF(OR(cat="Status",pow=0),0,FLOOR(FLOOR(FLOOR((2*XLOOKUP($Q945,'Threshold Summary'!$Y:$Y,'Threshold Summary'!$L:$L,"")/5+2)*pow*atk/def)/50)+2)),modifier,stab*eff,FLOOR(base*modifier*0.85)),0)</f>
        <v/>
      </c>
      <c r="K945" s="3">
        <f>IFERROR(LET(mtype,XLOOKUP($D945,'Move Editor'!$B:$B,'Move Editor'!$C:$C,""),cat,XLOOKUP($D945,'Move Editor'!$B:$B,'Move Editor'!$D:$D,""),pow,XLOOKUP($D945,'Move Editor'!$B:$B,'Move Editor'!$E:$E,0),acc,XLOOKUP($D945,'Move Editor'!$B:$B,'Move Editor'!$F:$F,100),atk,IF(cat="Physical",FLOOR((FLOOR(((2*XLOOKUP(XLOOKUP($Q945,'Threshold Summary'!$Y:$Y,'Threshold Summary'!$K:$K,""),'Pokemon Editor'!$A:$A,'Pokemon Editor'!$F:$F,0)+31+FLOOR(XLOOKUP($Q945,'Threshold Summary'!$Y:$Y,'Threshold Summary'!$P:$P,"")/4))*XLOOKUP($Q945,'Threshold Summary'!$Y:$Y,'Threshold Summary'!$L:$L,""))/100)+5)*XLOOKUP(XLOOKUP($Q945,'Threshold Summary'!$Y:$Y,'Threshold Summary'!$M:$M,""),'Nature Editor'!$A:$A,'Nature Editor'!$B:$B,1)),FLOOR((FLOOR(((2*XLOOKUP(XLOOKUP($Q945,'Threshold Summary'!$Y:$Y,'Threshold Summary'!$K:$K,""),'Pokemon Editor'!$A:$A,'Pokemon Editor'!$H:$H,0)+31+FLOOR(XLOOKUP($Q945,'Threshold Summary'!$Y:$Y,'Threshold Summary'!$R:$R,"")/4))*XLOOKUP($Q945,'Threshold Summary'!$Y:$Y,'Threshold Summary'!$L:$L,""))/100)+5)*XLOOKUP(XLOOKUP($Q945,'Threshold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Editor'!$E:$E,1))),stab,IF(OR(mtype=XLOOKUP(XLOOKUP($Q945,'Threshold Summary'!$Y:$Y,'Threshold Summary'!$K:$K,""),'Pokemon Editor'!$A:$A,'Pokemon Editor'!$C:$C,""),mtype=XLOOKUP(XLOOKUP($Q945,'Threshold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Chart'!$B$1:$S$1,0)))),base,IF(OR(cat="Status",pow=0),0,FLOOR(FLOOR(FLOOR((2*XLOOKUP($Q945,'Threshold Summary'!$Y:$Y,'Threshold Summary'!$L:$L,"")/5+2)*pow*atk/def)/50)+2)),modifier,stab*eff,FLOOR(base*modifier)),0)</f>
        <v/>
      </c>
      <c r="L945" s="3">
        <f>IFERROR(LET(mtype,XLOOKUP($D945,'Move Editor'!$B:$B,'Move Editor'!$C:$C,""),cat,XLOOKUP($D945,'Move Editor'!$B:$B,'Move Editor'!$D:$D,""),pow,XLOOKUP($D945,'Move Editor'!$B:$B,'Move Editor'!$E:$E,0),acc,XLOOKUP($D945,'Move Editor'!$B:$B,'Move Editor'!$F:$F,100),atk,IF(cat="Physical",FLOOR((FLOOR(((2*XLOOKUP(XLOOKUP($Q945,'Threshold Summary'!$Y:$Y,'Threshold Summary'!$K:$K,""),'Pokemon Editor'!$A:$A,'Pokemon Editor'!$F:$F,0)+31+FLOOR(XLOOKUP($Q945,'Threshold Summary'!$Y:$Y,'Threshold Summary'!$P:$P,"")/4))*XLOOKUP($Q945,'Threshold Summary'!$Y:$Y,'Threshold Summary'!$L:$L,""))/100)+5)*XLOOKUP(XLOOKUP($Q945,'Threshold Summary'!$Y:$Y,'Threshold Summary'!$M:$M,""),'Nature Editor'!$A:$A,'Nature Editor'!$B:$B,1)),FLOOR((FLOOR(((2*XLOOKUP(XLOOKUP($Q945,'Threshold Summary'!$Y:$Y,'Threshold Summary'!$K:$K,""),'Pokemon Editor'!$A:$A,'Pokemon Editor'!$H:$H,0)+31+FLOOR(XLOOKUP($Q945,'Threshold Summary'!$Y:$Y,'Threshold Summary'!$R:$R,"")/4))*XLOOKUP($Q945,'Threshold Summary'!$Y:$Y,'Threshold Summary'!$L:$L,""))/100)+5)*XLOOKUP(XLOOKUP($Q945,'Threshold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Editor'!$E:$E,1))),stab,IF(OR(mtype=XLOOKUP(XLOOKUP($Q945,'Threshold Summary'!$Y:$Y,'Threshold Summary'!$K:$K,""),'Pokemon Editor'!$A:$A,'Pokemon Editor'!$C:$C,""),mtype=XLOOKUP(XLOOKUP($Q945,'Threshold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Chart'!$B$1:$S$1,0)))),base,IF(OR(cat="Status",pow=0),0,FLOOR(FLOOR(FLOOR((2*XLOOKUP($Q945,'Threshold Summary'!$Y:$Y,'Threshold Summary'!$L:$L,"")/5+2)*pow*atk/def)/50)+2)),modifier,stab*eff,AVERAGE(ARRAYFORMULA(FLOOR(base*modifier*SEQUENCE(16,1,85,1)/100)))),0)</f>
        <v/>
      </c>
      <c r="M945" s="3">
        <f>IFERROR(LET(mtype,XLOOKUP($D945,'Move Editor'!$B:$B,'Move Editor'!$C:$C,""),cat,XLOOKUP($D945,'Move Editor'!$B:$B,'Move Editor'!$D:$D,""),pow,XLOOKUP($D945,'Move Editor'!$B:$B,'Move Editor'!$E:$E,0),acc,XLOOKUP($D945,'Move Editor'!$B:$B,'Move Editor'!$F:$F,100),atk,IF(cat="Physical",FLOOR((FLOOR(((2*XLOOKUP(XLOOKUP($Q945,'Threshold Summary'!$Y:$Y,'Threshold Summary'!$K:$K,""),'Pokemon Editor'!$A:$A,'Pokemon Editor'!$F:$F,0)+31+FLOOR(XLOOKUP($Q945,'Threshold Summary'!$Y:$Y,'Threshold Summary'!$P:$P,"")/4))*XLOOKUP($Q945,'Threshold Summary'!$Y:$Y,'Threshold Summary'!$L:$L,""))/100)+5)*XLOOKUP(XLOOKUP($Q945,'Threshold Summary'!$Y:$Y,'Threshold Summary'!$M:$M,""),'Nature Editor'!$A:$A,'Nature Editor'!$B:$B,1)),FLOOR((FLOOR(((2*XLOOKUP(XLOOKUP($Q945,'Threshold Summary'!$Y:$Y,'Threshold Summary'!$K:$K,""),'Pokemon Editor'!$A:$A,'Pokemon Editor'!$H:$H,0)+31+FLOOR(XLOOKUP($Q945,'Threshold Summary'!$Y:$Y,'Threshold Summary'!$R:$R,"")/4))*XLOOKUP($Q945,'Threshold Summary'!$Y:$Y,'Threshold Summary'!$L:$L,""))/100)+5)*XLOOKUP(XLOOKUP($Q945,'Threshold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Editor'!$E:$E,1))),stab,IF(OR(mtype=XLOOKUP(XLOOKUP($Q945,'Threshold Summary'!$Y:$Y,'Threshold Summary'!$K:$K,""),'Pokemon Editor'!$A:$A,'Pokemon Editor'!$C:$C,""),mtype=XLOOKUP(XLOOKUP($Q945,'Threshold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Chart'!$B$1:$S$1,0)))),base,IF(OR(cat="Status",pow=0),0,FLOOR(FLOOR(FLOOR((2*XLOOKUP($Q945,'Threshold Summary'!$Y:$Y,'Threshold Summary'!$L:$L,"")/5+2)*pow*atk/def)/50)+2)),modifier,stab*eff,AVERAGE(ARRAYFORMULA(FLOOR(base*modifier*SEQUENCE(16,1,85,1)/100)))*MIN(1,acc/100)),0)</f>
        <v/>
      </c>
      <c r="N945" s="4">
        <f>IFERROR(LET(mtype,XLOOKUP($D945,'Move Editor'!$B:$B,'Move Editor'!$C:$C,""),cat,XLOOKUP($D945,'Move Editor'!$B:$B,'Move Editor'!$D:$D,""),pow,XLOOKUP($D945,'Move Editor'!$B:$B,'Move Editor'!$E:$E,0),acc,XLOOKUP($D945,'Move Editor'!$B:$B,'Move Editor'!$F:$F,100),atk,IF(cat="Physical",FLOOR((FLOOR(((2*XLOOKUP(XLOOKUP($Q945,'Threshold Summary'!$Y:$Y,'Threshold Summary'!$K:$K,""),'Pokemon Editor'!$A:$A,'Pokemon Editor'!$F:$F,0)+31+FLOOR(XLOOKUP($Q945,'Threshold Summary'!$Y:$Y,'Threshold Summary'!$P:$P,"")/4))*XLOOKUP($Q945,'Threshold Summary'!$Y:$Y,'Threshold Summary'!$L:$L,""))/100)+5)*XLOOKUP(XLOOKUP($Q945,'Threshold Summary'!$Y:$Y,'Threshold Summary'!$M:$M,""),'Nature Editor'!$A:$A,'Nature Editor'!$B:$B,1)),FLOOR((FLOOR(((2*XLOOKUP(XLOOKUP($Q945,'Threshold Summary'!$Y:$Y,'Threshold Summary'!$K:$K,""),'Pokemon Editor'!$A:$A,'Pokemon Editor'!$H:$H,0)+31+FLOOR(XLOOKUP($Q945,'Threshold Summary'!$Y:$Y,'Threshold Summary'!$R:$R,"")/4))*XLOOKUP($Q945,'Threshold Summary'!$Y:$Y,'Threshold Summary'!$L:$L,""))/100)+5)*XLOOKUP(XLOOKUP($Q945,'Threshold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Editor'!$E:$E,1))),stab,IF(OR(mtype=XLOOKUP(XLOOKUP($Q945,'Threshold Summary'!$Y:$Y,'Threshold Summary'!$K:$K,""),'Pokemon Editor'!$A:$A,'Pokemon Editor'!$C:$C,""),mtype=XLOOKUP(XLOOKUP($Q945,'Threshold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Chart'!$B$1:$S$1,0)))),base,IF(OR(cat="Status",pow=0),0,FLOOR(FLOOR(FLOOR((2*XLOOKUP($Q945,'Threshold Summary'!$Y:$Y,'Threshold Summary'!$L:$L,"")/5+2)*pow*atk/def)/50)+2)),modifier,stab*eff,AVERAGE(ARRAYFORMULA(FLOOR(base*modifier*SEQUENCE(16,1,85,1)/100)))/(FLOOR(((2*XLOOKUP('Boss Editor'!$C$4,'Pokemon Editor'!$A:$A,'Pokemon Editor'!$E:$E,0)+31+FLOOR('Boss Editor'!$G$4/4))*'Boss Editor'!$D$4)/100)+'Boss Editor'!$D$4+10)),0)</f>
        <v/>
      </c>
      <c r="O945" s="3">
        <f>IF(N945&gt;=1,"OHKO",IF(N945&gt;=0.5,"2HKO",IF(N945&gt;=0.333,"3HKO",IF(N945&gt;=0.25,"4HKO","5HKO+"))))</f>
        <v/>
      </c>
      <c r="P945" s="3" t="inlineStr">
        <is>
          <t>Live from editable databases</t>
        </is>
      </c>
      <c r="Q945" s="3" t="inlineStr">
        <is>
          <t>SPECIES_CHARCADET</t>
        </is>
      </c>
      <c r="R945" s="3" t="n">
        <v>16</v>
      </c>
    </row>
    <row r="946">
      <c r="A946" s="3">
        <f>XLOOKUP($Q946,'Threshold Summary'!$Y:$Y,'Threshold Summary'!$A:$A,"")</f>
        <v/>
      </c>
      <c r="B946" s="3">
        <f>XLOOKUP($Q946,'Threshold Summary'!$Y:$Y,'Threshold Summary'!$M:$M,"")</f>
        <v/>
      </c>
      <c r="C946" s="3">
        <f>XLOOKUP($Q946,'Threshold Summary'!$Y:$Y,'Threshold Summary'!$N:$N,"")</f>
        <v/>
      </c>
      <c r="D946" s="3">
        <f>IFERROR(INDEX(FILTER('Learnset Editor'!$D$2:$D,'Learnset Editor'!$A$2:$A=XLOOKUP($Q946,'Threshold Summary'!$Y:$Y,'Threshold Summary'!$K:$K,""),'Learnset Editor'!$C$2:$C&lt;=XLOOKUP($Q946,'Threshold Summary'!$Y:$Y,'Threshold Summary'!$L:$L,"")),$R946),"")</f>
        <v/>
      </c>
      <c r="E946" s="3">
        <f>XLOOKUP(D946,'Move Editor'!$B:$B,'Move Editor'!$C:$C,"")</f>
        <v/>
      </c>
      <c r="F946" s="3">
        <f>XLOOKUP(D946,'Move Editor'!$B:$B,'Move Editor'!$D:$D,"")</f>
        <v/>
      </c>
      <c r="G946" s="3">
        <f>XLOOKUP(D946,'Move Editor'!$B:$B,'Move Editor'!$E:$E,0)</f>
        <v/>
      </c>
      <c r="H946" s="3">
        <f>XLOOKUP(D946,'Move Editor'!$B:$B,'Move Editor'!$F:$F,0)</f>
        <v/>
      </c>
      <c r="I946" s="3">
        <f>(INDEX('Type Chart'!$B:$S,MATCH(E946,'Type Chart'!$A:$A,0),MATCH(XLOOKUP('Boss Editor'!$C$4,'Pokemon Editor'!$A:$A,'Pokemon Editor'!$C:$C,""),'Type Chart'!$B$1:$S$1,0))*IF(XLOOKUP('Boss Editor'!$C$4,'Pokemon Editor'!$A:$A,'Pokemon Editor'!$D:$D,"")="",1,INDEX('Type Chart'!$B:$S,MATCH(E946,'Type Chart'!$A:$A,0),MATCH(XLOOKUP('Boss Editor'!$C$4,'Pokemon Editor'!$A:$A,'Pokemon Editor'!$D:$D,""),'Type Chart'!$B$1:$S$1,0))))</f>
        <v/>
      </c>
      <c r="J946" s="3">
        <f>IFERROR(LET(mtype,XLOOKUP($D946,'Move Editor'!$B:$B,'Move Editor'!$C:$C,""),cat,XLOOKUP($D946,'Move Editor'!$B:$B,'Move Editor'!$D:$D,""),pow,XLOOKUP($D946,'Move Editor'!$B:$B,'Move Editor'!$E:$E,0),acc,XLOOKUP($D946,'Move Editor'!$B:$B,'Move Editor'!$F:$F,100),atk,IF(cat="Physical",FLOOR((FLOOR(((2*XLOOKUP(XLOOKUP($Q946,'Threshold Summary'!$Y:$Y,'Threshold Summary'!$K:$K,""),'Pokemon Editor'!$A:$A,'Pokemon Editor'!$F:$F,0)+31+FLOOR(XLOOKUP($Q946,'Threshold Summary'!$Y:$Y,'Threshold Summary'!$P:$P,"")/4))*XLOOKUP($Q946,'Threshold Summary'!$Y:$Y,'Threshold Summary'!$L:$L,""))/100)+5)*XLOOKUP(XLOOKUP($Q946,'Threshold Summary'!$Y:$Y,'Threshold Summary'!$M:$M,""),'Nature Editor'!$A:$A,'Nature Editor'!$B:$B,1)),FLOOR((FLOOR(((2*XLOOKUP(XLOOKUP($Q946,'Threshold Summary'!$Y:$Y,'Threshold Summary'!$K:$K,""),'Pokemon Editor'!$A:$A,'Pokemon Editor'!$H:$H,0)+31+FLOOR(XLOOKUP($Q946,'Threshold Summary'!$Y:$Y,'Threshold Summary'!$R:$R,"")/4))*XLOOKUP($Q946,'Threshold Summary'!$Y:$Y,'Threshold Summary'!$L:$L,""))/100)+5)*XLOOKUP(XLOOKUP($Q946,'Threshold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Editor'!$E:$E,1))),stab,IF(OR(mtype=XLOOKUP(XLOOKUP($Q946,'Threshold Summary'!$Y:$Y,'Threshold Summary'!$K:$K,""),'Pokemon Editor'!$A:$A,'Pokemon Editor'!$C:$C,""),mtype=XLOOKUP(XLOOKUP($Q946,'Threshold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Chart'!$B$1:$S$1,0)))),base,IF(OR(cat="Status",pow=0),0,FLOOR(FLOOR(FLOOR((2*XLOOKUP($Q946,'Threshold Summary'!$Y:$Y,'Threshold Summary'!$L:$L,"")/5+2)*pow*atk/def)/50)+2)),modifier,stab*eff,FLOOR(base*modifier*0.85)),0)</f>
        <v/>
      </c>
      <c r="K946" s="3">
        <f>IFERROR(LET(mtype,XLOOKUP($D946,'Move Editor'!$B:$B,'Move Editor'!$C:$C,""),cat,XLOOKUP($D946,'Move Editor'!$B:$B,'Move Editor'!$D:$D,""),pow,XLOOKUP($D946,'Move Editor'!$B:$B,'Move Editor'!$E:$E,0),acc,XLOOKUP($D946,'Move Editor'!$B:$B,'Move Editor'!$F:$F,100),atk,IF(cat="Physical",FLOOR((FLOOR(((2*XLOOKUP(XLOOKUP($Q946,'Threshold Summary'!$Y:$Y,'Threshold Summary'!$K:$K,""),'Pokemon Editor'!$A:$A,'Pokemon Editor'!$F:$F,0)+31+FLOOR(XLOOKUP($Q946,'Threshold Summary'!$Y:$Y,'Threshold Summary'!$P:$P,"")/4))*XLOOKUP($Q946,'Threshold Summary'!$Y:$Y,'Threshold Summary'!$L:$L,""))/100)+5)*XLOOKUP(XLOOKUP($Q946,'Threshold Summary'!$Y:$Y,'Threshold Summary'!$M:$M,""),'Nature Editor'!$A:$A,'Nature Editor'!$B:$B,1)),FLOOR((FLOOR(((2*XLOOKUP(XLOOKUP($Q946,'Threshold Summary'!$Y:$Y,'Threshold Summary'!$K:$K,""),'Pokemon Editor'!$A:$A,'Pokemon Editor'!$H:$H,0)+31+FLOOR(XLOOKUP($Q946,'Threshold Summary'!$Y:$Y,'Threshold Summary'!$R:$R,"")/4))*XLOOKUP($Q946,'Threshold Summary'!$Y:$Y,'Threshold Summary'!$L:$L,""))/100)+5)*XLOOKUP(XLOOKUP($Q946,'Threshold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Editor'!$E:$E,1))),stab,IF(OR(mtype=XLOOKUP(XLOOKUP($Q946,'Threshold Summary'!$Y:$Y,'Threshold Summary'!$K:$K,""),'Pokemon Editor'!$A:$A,'Pokemon Editor'!$C:$C,""),mtype=XLOOKUP(XLOOKUP($Q946,'Threshold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Chart'!$B$1:$S$1,0)))),base,IF(OR(cat="Status",pow=0),0,FLOOR(FLOOR(FLOOR((2*XLOOKUP($Q946,'Threshold Summary'!$Y:$Y,'Threshold Summary'!$L:$L,"")/5+2)*pow*atk/def)/50)+2)),modifier,stab*eff,FLOOR(base*modifier)),0)</f>
        <v/>
      </c>
      <c r="L946" s="3">
        <f>IFERROR(LET(mtype,XLOOKUP($D946,'Move Editor'!$B:$B,'Move Editor'!$C:$C,""),cat,XLOOKUP($D946,'Move Editor'!$B:$B,'Move Editor'!$D:$D,""),pow,XLOOKUP($D946,'Move Editor'!$B:$B,'Move Editor'!$E:$E,0),acc,XLOOKUP($D946,'Move Editor'!$B:$B,'Move Editor'!$F:$F,100),atk,IF(cat="Physical",FLOOR((FLOOR(((2*XLOOKUP(XLOOKUP($Q946,'Threshold Summary'!$Y:$Y,'Threshold Summary'!$K:$K,""),'Pokemon Editor'!$A:$A,'Pokemon Editor'!$F:$F,0)+31+FLOOR(XLOOKUP($Q946,'Threshold Summary'!$Y:$Y,'Threshold Summary'!$P:$P,"")/4))*XLOOKUP($Q946,'Threshold Summary'!$Y:$Y,'Threshold Summary'!$L:$L,""))/100)+5)*XLOOKUP(XLOOKUP($Q946,'Threshold Summary'!$Y:$Y,'Threshold Summary'!$M:$M,""),'Nature Editor'!$A:$A,'Nature Editor'!$B:$B,1)),FLOOR((FLOOR(((2*XLOOKUP(XLOOKUP($Q946,'Threshold Summary'!$Y:$Y,'Threshold Summary'!$K:$K,""),'Pokemon Editor'!$A:$A,'Pokemon Editor'!$H:$H,0)+31+FLOOR(XLOOKUP($Q946,'Threshold Summary'!$Y:$Y,'Threshold Summary'!$R:$R,"")/4))*XLOOKUP($Q946,'Threshold Summary'!$Y:$Y,'Threshold Summary'!$L:$L,""))/100)+5)*XLOOKUP(XLOOKUP($Q946,'Threshold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Editor'!$E:$E,1))),stab,IF(OR(mtype=XLOOKUP(XLOOKUP($Q946,'Threshold Summary'!$Y:$Y,'Threshold Summary'!$K:$K,""),'Pokemon Editor'!$A:$A,'Pokemon Editor'!$C:$C,""),mtype=XLOOKUP(XLOOKUP($Q946,'Threshold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Chart'!$B$1:$S$1,0)))),base,IF(OR(cat="Status",pow=0),0,FLOOR(FLOOR(FLOOR((2*XLOOKUP($Q946,'Threshold Summary'!$Y:$Y,'Threshold Summary'!$L:$L,"")/5+2)*pow*atk/def)/50)+2)),modifier,stab*eff,AVERAGE(ARRAYFORMULA(FLOOR(base*modifier*SEQUENCE(16,1,85,1)/100)))),0)</f>
        <v/>
      </c>
      <c r="M946" s="3">
        <f>IFERROR(LET(mtype,XLOOKUP($D946,'Move Editor'!$B:$B,'Move Editor'!$C:$C,""),cat,XLOOKUP($D946,'Move Editor'!$B:$B,'Move Editor'!$D:$D,""),pow,XLOOKUP($D946,'Move Editor'!$B:$B,'Move Editor'!$E:$E,0),acc,XLOOKUP($D946,'Move Editor'!$B:$B,'Move Editor'!$F:$F,100),atk,IF(cat="Physical",FLOOR((FLOOR(((2*XLOOKUP(XLOOKUP($Q946,'Threshold Summary'!$Y:$Y,'Threshold Summary'!$K:$K,""),'Pokemon Editor'!$A:$A,'Pokemon Editor'!$F:$F,0)+31+FLOOR(XLOOKUP($Q946,'Threshold Summary'!$Y:$Y,'Threshold Summary'!$P:$P,"")/4))*XLOOKUP($Q946,'Threshold Summary'!$Y:$Y,'Threshold Summary'!$L:$L,""))/100)+5)*XLOOKUP(XLOOKUP($Q946,'Threshold Summary'!$Y:$Y,'Threshold Summary'!$M:$M,""),'Nature Editor'!$A:$A,'Nature Editor'!$B:$B,1)),FLOOR((FLOOR(((2*XLOOKUP(XLOOKUP($Q946,'Threshold Summary'!$Y:$Y,'Threshold Summary'!$K:$K,""),'Pokemon Editor'!$A:$A,'Pokemon Editor'!$H:$H,0)+31+FLOOR(XLOOKUP($Q946,'Threshold Summary'!$Y:$Y,'Threshold Summary'!$R:$R,"")/4))*XLOOKUP($Q946,'Threshold Summary'!$Y:$Y,'Threshold Summary'!$L:$L,""))/100)+5)*XLOOKUP(XLOOKUP($Q946,'Threshold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Editor'!$E:$E,1))),stab,IF(OR(mtype=XLOOKUP(XLOOKUP($Q946,'Threshold Summary'!$Y:$Y,'Threshold Summary'!$K:$K,""),'Pokemon Editor'!$A:$A,'Pokemon Editor'!$C:$C,""),mtype=XLOOKUP(XLOOKUP($Q946,'Threshold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Chart'!$B$1:$S$1,0)))),base,IF(OR(cat="Status",pow=0),0,FLOOR(FLOOR(FLOOR((2*XLOOKUP($Q946,'Threshold Summary'!$Y:$Y,'Threshold Summary'!$L:$L,"")/5+2)*pow*atk/def)/50)+2)),modifier,stab*eff,AVERAGE(ARRAYFORMULA(FLOOR(base*modifier*SEQUENCE(16,1,85,1)/100)))*MIN(1,acc/100)),0)</f>
        <v/>
      </c>
      <c r="N946" s="4">
        <f>IFERROR(LET(mtype,XLOOKUP($D946,'Move Editor'!$B:$B,'Move Editor'!$C:$C,""),cat,XLOOKUP($D946,'Move Editor'!$B:$B,'Move Editor'!$D:$D,""),pow,XLOOKUP($D946,'Move Editor'!$B:$B,'Move Editor'!$E:$E,0),acc,XLOOKUP($D946,'Move Editor'!$B:$B,'Move Editor'!$F:$F,100),atk,IF(cat="Physical",FLOOR((FLOOR(((2*XLOOKUP(XLOOKUP($Q946,'Threshold Summary'!$Y:$Y,'Threshold Summary'!$K:$K,""),'Pokemon Editor'!$A:$A,'Pokemon Editor'!$F:$F,0)+31+FLOOR(XLOOKUP($Q946,'Threshold Summary'!$Y:$Y,'Threshold Summary'!$P:$P,"")/4))*XLOOKUP($Q946,'Threshold Summary'!$Y:$Y,'Threshold Summary'!$L:$L,""))/100)+5)*XLOOKUP(XLOOKUP($Q946,'Threshold Summary'!$Y:$Y,'Threshold Summary'!$M:$M,""),'Nature Editor'!$A:$A,'Nature Editor'!$B:$B,1)),FLOOR((FLOOR(((2*XLOOKUP(XLOOKUP($Q946,'Threshold Summary'!$Y:$Y,'Threshold Summary'!$K:$K,""),'Pokemon Editor'!$A:$A,'Pokemon Editor'!$H:$H,0)+31+FLOOR(XLOOKUP($Q946,'Threshold Summary'!$Y:$Y,'Threshold Summary'!$R:$R,"")/4))*XLOOKUP($Q946,'Threshold Summary'!$Y:$Y,'Threshold Summary'!$L:$L,""))/100)+5)*XLOOKUP(XLOOKUP($Q946,'Threshold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Editor'!$E:$E,1))),stab,IF(OR(mtype=XLOOKUP(XLOOKUP($Q946,'Threshold Summary'!$Y:$Y,'Threshold Summary'!$K:$K,""),'Pokemon Editor'!$A:$A,'Pokemon Editor'!$C:$C,""),mtype=XLOOKUP(XLOOKUP($Q946,'Threshold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Chart'!$B$1:$S$1,0)))),base,IF(OR(cat="Status",pow=0),0,FLOOR(FLOOR(FLOOR((2*XLOOKUP($Q946,'Threshold Summary'!$Y:$Y,'Threshold Summary'!$L:$L,"")/5+2)*pow*atk/def)/50)+2)),modifier,stab*eff,AVERAGE(ARRAYFORMULA(FLOOR(base*modifier*SEQUENCE(16,1,85,1)/100)))/(FLOOR(((2*XLOOKUP('Boss Editor'!$C$4,'Pokemon Editor'!$A:$A,'Pokemon Editor'!$E:$E,0)+31+FLOOR('Boss Editor'!$G$4/4))*'Boss Editor'!$D$4)/100)+'Boss Editor'!$D$4+10)),0)</f>
        <v/>
      </c>
      <c r="O946" s="3">
        <f>IF(N946&gt;=1,"OHKO",IF(N946&gt;=0.5,"2HKO",IF(N946&gt;=0.333,"3HKO",IF(N946&gt;=0.25,"4HKO","5HKO+"))))</f>
        <v/>
      </c>
      <c r="P946" s="3" t="inlineStr">
        <is>
          <t>Live from editable databases</t>
        </is>
      </c>
      <c r="Q946" s="3" t="inlineStr">
        <is>
          <t>SPECIES_CHARCADET</t>
        </is>
      </c>
      <c r="R946" s="3" t="n">
        <v>17</v>
      </c>
    </row>
    <row r="947">
      <c r="A947" s="3">
        <f>XLOOKUP($Q947,'Threshold Summary'!$Y:$Y,'Threshold Summary'!$A:$A,"")</f>
        <v/>
      </c>
      <c r="B947" s="3">
        <f>XLOOKUP($Q947,'Threshold Summary'!$Y:$Y,'Threshold Summary'!$M:$M,"")</f>
        <v/>
      </c>
      <c r="C947" s="3">
        <f>XLOOKUP($Q947,'Threshold Summary'!$Y:$Y,'Threshold Summary'!$N:$N,"")</f>
        <v/>
      </c>
      <c r="D947" s="3">
        <f>IFERROR(INDEX(FILTER('Learnset Editor'!$D$2:$D,'Learnset Editor'!$A$2:$A=XLOOKUP($Q947,'Threshold Summary'!$Y:$Y,'Threshold Summary'!$K:$K,""),'Learnset Editor'!$C$2:$C&lt;=XLOOKUP($Q947,'Threshold Summary'!$Y:$Y,'Threshold Summary'!$L:$L,"")),$R947),"")</f>
        <v/>
      </c>
      <c r="E947" s="3">
        <f>XLOOKUP(D947,'Move Editor'!$B:$B,'Move Editor'!$C:$C,"")</f>
        <v/>
      </c>
      <c r="F947" s="3">
        <f>XLOOKUP(D947,'Move Editor'!$B:$B,'Move Editor'!$D:$D,"")</f>
        <v/>
      </c>
      <c r="G947" s="3">
        <f>XLOOKUP(D947,'Move Editor'!$B:$B,'Move Editor'!$E:$E,0)</f>
        <v/>
      </c>
      <c r="H947" s="3">
        <f>XLOOKUP(D947,'Move Editor'!$B:$B,'Move Editor'!$F:$F,0)</f>
        <v/>
      </c>
      <c r="I947" s="3">
        <f>(INDEX('Type Chart'!$B:$S,MATCH(E947,'Type Chart'!$A:$A,0),MATCH(XLOOKUP('Boss Editor'!$C$4,'Pokemon Editor'!$A:$A,'Pokemon Editor'!$C:$C,""),'Type Chart'!$B$1:$S$1,0))*IF(XLOOKUP('Boss Editor'!$C$4,'Pokemon Editor'!$A:$A,'Pokemon Editor'!$D:$D,"")="",1,INDEX('Type Chart'!$B:$S,MATCH(E947,'Type Chart'!$A:$A,0),MATCH(XLOOKUP('Boss Editor'!$C$4,'Pokemon Editor'!$A:$A,'Pokemon Editor'!$D:$D,""),'Type Chart'!$B$1:$S$1,0))))</f>
        <v/>
      </c>
      <c r="J947" s="3">
        <f>IFERROR(LET(mtype,XLOOKUP($D947,'Move Editor'!$B:$B,'Move Editor'!$C:$C,""),cat,XLOOKUP($D947,'Move Editor'!$B:$B,'Move Editor'!$D:$D,""),pow,XLOOKUP($D947,'Move Editor'!$B:$B,'Move Editor'!$E:$E,0),acc,XLOOKUP($D947,'Move Editor'!$B:$B,'Move Editor'!$F:$F,100),atk,IF(cat="Physical",FLOOR((FLOOR(((2*XLOOKUP(XLOOKUP($Q947,'Threshold Summary'!$Y:$Y,'Threshold Summary'!$K:$K,""),'Pokemon Editor'!$A:$A,'Pokemon Editor'!$F:$F,0)+31+FLOOR(XLOOKUP($Q947,'Threshold Summary'!$Y:$Y,'Threshold Summary'!$P:$P,"")/4))*XLOOKUP($Q947,'Threshold Summary'!$Y:$Y,'Threshold Summary'!$L:$L,""))/100)+5)*XLOOKUP(XLOOKUP($Q947,'Threshold Summary'!$Y:$Y,'Threshold Summary'!$M:$M,""),'Nature Editor'!$A:$A,'Nature Editor'!$B:$B,1)),FLOOR((FLOOR(((2*XLOOKUP(XLOOKUP($Q947,'Threshold Summary'!$Y:$Y,'Threshold Summary'!$K:$K,""),'Pokemon Editor'!$A:$A,'Pokemon Editor'!$H:$H,0)+31+FLOOR(XLOOKUP($Q947,'Threshold Summary'!$Y:$Y,'Threshold Summary'!$R:$R,"")/4))*XLOOKUP($Q947,'Threshold Summary'!$Y:$Y,'Threshold Summary'!$L:$L,""))/100)+5)*XLOOKUP(XLOOKUP($Q947,'Threshold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Editor'!$E:$E,1))),stab,IF(OR(mtype=XLOOKUP(XLOOKUP($Q947,'Threshold Summary'!$Y:$Y,'Threshold Summary'!$K:$K,""),'Pokemon Editor'!$A:$A,'Pokemon Editor'!$C:$C,""),mtype=XLOOKUP(XLOOKUP($Q947,'Threshold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Chart'!$B$1:$S$1,0)))),base,IF(OR(cat="Status",pow=0),0,FLOOR(FLOOR(FLOOR((2*XLOOKUP($Q947,'Threshold Summary'!$Y:$Y,'Threshold Summary'!$L:$L,"")/5+2)*pow*atk/def)/50)+2)),modifier,stab*eff,FLOOR(base*modifier*0.85)),0)</f>
        <v/>
      </c>
      <c r="K947" s="3">
        <f>IFERROR(LET(mtype,XLOOKUP($D947,'Move Editor'!$B:$B,'Move Editor'!$C:$C,""),cat,XLOOKUP($D947,'Move Editor'!$B:$B,'Move Editor'!$D:$D,""),pow,XLOOKUP($D947,'Move Editor'!$B:$B,'Move Editor'!$E:$E,0),acc,XLOOKUP($D947,'Move Editor'!$B:$B,'Move Editor'!$F:$F,100),atk,IF(cat="Physical",FLOOR((FLOOR(((2*XLOOKUP(XLOOKUP($Q947,'Threshold Summary'!$Y:$Y,'Threshold Summary'!$K:$K,""),'Pokemon Editor'!$A:$A,'Pokemon Editor'!$F:$F,0)+31+FLOOR(XLOOKUP($Q947,'Threshold Summary'!$Y:$Y,'Threshold Summary'!$P:$P,"")/4))*XLOOKUP($Q947,'Threshold Summary'!$Y:$Y,'Threshold Summary'!$L:$L,""))/100)+5)*XLOOKUP(XLOOKUP($Q947,'Threshold Summary'!$Y:$Y,'Threshold Summary'!$M:$M,""),'Nature Editor'!$A:$A,'Nature Editor'!$B:$B,1)),FLOOR((FLOOR(((2*XLOOKUP(XLOOKUP($Q947,'Threshold Summary'!$Y:$Y,'Threshold Summary'!$K:$K,""),'Pokemon Editor'!$A:$A,'Pokemon Editor'!$H:$H,0)+31+FLOOR(XLOOKUP($Q947,'Threshold Summary'!$Y:$Y,'Threshold Summary'!$R:$R,"")/4))*XLOOKUP($Q947,'Threshold Summary'!$Y:$Y,'Threshold Summary'!$L:$L,""))/100)+5)*XLOOKUP(XLOOKUP($Q947,'Threshold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Editor'!$E:$E,1))),stab,IF(OR(mtype=XLOOKUP(XLOOKUP($Q947,'Threshold Summary'!$Y:$Y,'Threshold Summary'!$K:$K,""),'Pokemon Editor'!$A:$A,'Pokemon Editor'!$C:$C,""),mtype=XLOOKUP(XLOOKUP($Q947,'Threshold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Chart'!$B$1:$S$1,0)))),base,IF(OR(cat="Status",pow=0),0,FLOOR(FLOOR(FLOOR((2*XLOOKUP($Q947,'Threshold Summary'!$Y:$Y,'Threshold Summary'!$L:$L,"")/5+2)*pow*atk/def)/50)+2)),modifier,stab*eff,FLOOR(base*modifier)),0)</f>
        <v/>
      </c>
      <c r="L947" s="3">
        <f>IFERROR(LET(mtype,XLOOKUP($D947,'Move Editor'!$B:$B,'Move Editor'!$C:$C,""),cat,XLOOKUP($D947,'Move Editor'!$B:$B,'Move Editor'!$D:$D,""),pow,XLOOKUP($D947,'Move Editor'!$B:$B,'Move Editor'!$E:$E,0),acc,XLOOKUP($D947,'Move Editor'!$B:$B,'Move Editor'!$F:$F,100),atk,IF(cat="Physical",FLOOR((FLOOR(((2*XLOOKUP(XLOOKUP($Q947,'Threshold Summary'!$Y:$Y,'Threshold Summary'!$K:$K,""),'Pokemon Editor'!$A:$A,'Pokemon Editor'!$F:$F,0)+31+FLOOR(XLOOKUP($Q947,'Threshold Summary'!$Y:$Y,'Threshold Summary'!$P:$P,"")/4))*XLOOKUP($Q947,'Threshold Summary'!$Y:$Y,'Threshold Summary'!$L:$L,""))/100)+5)*XLOOKUP(XLOOKUP($Q947,'Threshold Summary'!$Y:$Y,'Threshold Summary'!$M:$M,""),'Nature Editor'!$A:$A,'Nature Editor'!$B:$B,1)),FLOOR((FLOOR(((2*XLOOKUP(XLOOKUP($Q947,'Threshold Summary'!$Y:$Y,'Threshold Summary'!$K:$K,""),'Pokemon Editor'!$A:$A,'Pokemon Editor'!$H:$H,0)+31+FLOOR(XLOOKUP($Q947,'Threshold Summary'!$Y:$Y,'Threshold Summary'!$R:$R,"")/4))*XLOOKUP($Q947,'Threshold Summary'!$Y:$Y,'Threshold Summary'!$L:$L,""))/100)+5)*XLOOKUP(XLOOKUP($Q947,'Threshold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Editor'!$E:$E,1))),stab,IF(OR(mtype=XLOOKUP(XLOOKUP($Q947,'Threshold Summary'!$Y:$Y,'Threshold Summary'!$K:$K,""),'Pokemon Editor'!$A:$A,'Pokemon Editor'!$C:$C,""),mtype=XLOOKUP(XLOOKUP($Q947,'Threshold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Chart'!$B$1:$S$1,0)))),base,IF(OR(cat="Status",pow=0),0,FLOOR(FLOOR(FLOOR((2*XLOOKUP($Q947,'Threshold Summary'!$Y:$Y,'Threshold Summary'!$L:$L,"")/5+2)*pow*atk/def)/50)+2)),modifier,stab*eff,AVERAGE(ARRAYFORMULA(FLOOR(base*modifier*SEQUENCE(16,1,85,1)/100)))),0)</f>
        <v/>
      </c>
      <c r="M947" s="3">
        <f>IFERROR(LET(mtype,XLOOKUP($D947,'Move Editor'!$B:$B,'Move Editor'!$C:$C,""),cat,XLOOKUP($D947,'Move Editor'!$B:$B,'Move Editor'!$D:$D,""),pow,XLOOKUP($D947,'Move Editor'!$B:$B,'Move Editor'!$E:$E,0),acc,XLOOKUP($D947,'Move Editor'!$B:$B,'Move Editor'!$F:$F,100),atk,IF(cat="Physical",FLOOR((FLOOR(((2*XLOOKUP(XLOOKUP($Q947,'Threshold Summary'!$Y:$Y,'Threshold Summary'!$K:$K,""),'Pokemon Editor'!$A:$A,'Pokemon Editor'!$F:$F,0)+31+FLOOR(XLOOKUP($Q947,'Threshold Summary'!$Y:$Y,'Threshold Summary'!$P:$P,"")/4))*XLOOKUP($Q947,'Threshold Summary'!$Y:$Y,'Threshold Summary'!$L:$L,""))/100)+5)*XLOOKUP(XLOOKUP($Q947,'Threshold Summary'!$Y:$Y,'Threshold Summary'!$M:$M,""),'Nature Editor'!$A:$A,'Nature Editor'!$B:$B,1)),FLOOR((FLOOR(((2*XLOOKUP(XLOOKUP($Q947,'Threshold Summary'!$Y:$Y,'Threshold Summary'!$K:$K,""),'Pokemon Editor'!$A:$A,'Pokemon Editor'!$H:$H,0)+31+FLOOR(XLOOKUP($Q947,'Threshold Summary'!$Y:$Y,'Threshold Summary'!$R:$R,"")/4))*XLOOKUP($Q947,'Threshold Summary'!$Y:$Y,'Threshold Summary'!$L:$L,""))/100)+5)*XLOOKUP(XLOOKUP($Q947,'Threshold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Editor'!$E:$E,1))),stab,IF(OR(mtype=XLOOKUP(XLOOKUP($Q947,'Threshold Summary'!$Y:$Y,'Threshold Summary'!$K:$K,""),'Pokemon Editor'!$A:$A,'Pokemon Editor'!$C:$C,""),mtype=XLOOKUP(XLOOKUP($Q947,'Threshold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Chart'!$B$1:$S$1,0)))),base,IF(OR(cat="Status",pow=0),0,FLOOR(FLOOR(FLOOR((2*XLOOKUP($Q947,'Threshold Summary'!$Y:$Y,'Threshold Summary'!$L:$L,"")/5+2)*pow*atk/def)/50)+2)),modifier,stab*eff,AVERAGE(ARRAYFORMULA(FLOOR(base*modifier*SEQUENCE(16,1,85,1)/100)))*MIN(1,acc/100)),0)</f>
        <v/>
      </c>
      <c r="N947" s="4">
        <f>IFERROR(LET(mtype,XLOOKUP($D947,'Move Editor'!$B:$B,'Move Editor'!$C:$C,""),cat,XLOOKUP($D947,'Move Editor'!$B:$B,'Move Editor'!$D:$D,""),pow,XLOOKUP($D947,'Move Editor'!$B:$B,'Move Editor'!$E:$E,0),acc,XLOOKUP($D947,'Move Editor'!$B:$B,'Move Editor'!$F:$F,100),atk,IF(cat="Physical",FLOOR((FLOOR(((2*XLOOKUP(XLOOKUP($Q947,'Threshold Summary'!$Y:$Y,'Threshold Summary'!$K:$K,""),'Pokemon Editor'!$A:$A,'Pokemon Editor'!$F:$F,0)+31+FLOOR(XLOOKUP($Q947,'Threshold Summary'!$Y:$Y,'Threshold Summary'!$P:$P,"")/4))*XLOOKUP($Q947,'Threshold Summary'!$Y:$Y,'Threshold Summary'!$L:$L,""))/100)+5)*XLOOKUP(XLOOKUP($Q947,'Threshold Summary'!$Y:$Y,'Threshold Summary'!$M:$M,""),'Nature Editor'!$A:$A,'Nature Editor'!$B:$B,1)),FLOOR((FLOOR(((2*XLOOKUP(XLOOKUP($Q947,'Threshold Summary'!$Y:$Y,'Threshold Summary'!$K:$K,""),'Pokemon Editor'!$A:$A,'Pokemon Editor'!$H:$H,0)+31+FLOOR(XLOOKUP($Q947,'Threshold Summary'!$Y:$Y,'Threshold Summary'!$R:$R,"")/4))*XLOOKUP($Q947,'Threshold Summary'!$Y:$Y,'Threshold Summary'!$L:$L,""))/100)+5)*XLOOKUP(XLOOKUP($Q947,'Threshold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Editor'!$E:$E,1))),stab,IF(OR(mtype=XLOOKUP(XLOOKUP($Q947,'Threshold Summary'!$Y:$Y,'Threshold Summary'!$K:$K,""),'Pokemon Editor'!$A:$A,'Pokemon Editor'!$C:$C,""),mtype=XLOOKUP(XLOOKUP($Q947,'Threshold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Chart'!$B$1:$S$1,0)))),base,IF(OR(cat="Status",pow=0),0,FLOOR(FLOOR(FLOOR((2*XLOOKUP($Q947,'Threshold Summary'!$Y:$Y,'Threshold Summary'!$L:$L,"")/5+2)*pow*atk/def)/50)+2)),modifier,stab*eff,AVERAGE(ARRAYFORMULA(FLOOR(base*modifier*SEQUENCE(16,1,85,1)/100)))/(FLOOR(((2*XLOOKUP('Boss Editor'!$C$4,'Pokemon Editor'!$A:$A,'Pokemon Editor'!$E:$E,0)+31+FLOOR('Boss Editor'!$G$4/4))*'Boss Editor'!$D$4)/100)+'Boss Editor'!$D$4+10)),0)</f>
        <v/>
      </c>
      <c r="O947" s="3">
        <f>IF(N947&gt;=1,"OHKO",IF(N947&gt;=0.5,"2HKO",IF(N947&gt;=0.333,"3HKO",IF(N947&gt;=0.25,"4HKO","5HKO+"))))</f>
        <v/>
      </c>
      <c r="P947" s="3" t="inlineStr">
        <is>
          <t>Live from editable databases</t>
        </is>
      </c>
      <c r="Q947" s="3" t="inlineStr">
        <is>
          <t>SPECIES_CHARCADET</t>
        </is>
      </c>
      <c r="R947" s="3" t="n">
        <v>18</v>
      </c>
    </row>
    <row r="948">
      <c r="A948" s="3">
        <f>XLOOKUP($Q948,'Threshold Summary'!$Y:$Y,'Threshold Summary'!$A:$A,"")</f>
        <v/>
      </c>
      <c r="B948" s="3">
        <f>XLOOKUP($Q948,'Threshold Summary'!$Y:$Y,'Threshold Summary'!$M:$M,"")</f>
        <v/>
      </c>
      <c r="C948" s="3">
        <f>XLOOKUP($Q948,'Threshold Summary'!$Y:$Y,'Threshold Summary'!$N:$N,"")</f>
        <v/>
      </c>
      <c r="D948" s="3">
        <f>IFERROR(INDEX(FILTER('Learnset Editor'!$D$2:$D,'Learnset Editor'!$A$2:$A=XLOOKUP($Q948,'Threshold Summary'!$Y:$Y,'Threshold Summary'!$K:$K,""),'Learnset Editor'!$C$2:$C&lt;=XLOOKUP($Q948,'Threshold Summary'!$Y:$Y,'Threshold Summary'!$L:$L,"")),$R948),"")</f>
        <v/>
      </c>
      <c r="E948" s="3">
        <f>XLOOKUP(D948,'Move Editor'!$B:$B,'Move Editor'!$C:$C,"")</f>
        <v/>
      </c>
      <c r="F948" s="3">
        <f>XLOOKUP(D948,'Move Editor'!$B:$B,'Move Editor'!$D:$D,"")</f>
        <v/>
      </c>
      <c r="G948" s="3">
        <f>XLOOKUP(D948,'Move Editor'!$B:$B,'Move Editor'!$E:$E,0)</f>
        <v/>
      </c>
      <c r="H948" s="3">
        <f>XLOOKUP(D948,'Move Editor'!$B:$B,'Move Editor'!$F:$F,0)</f>
        <v/>
      </c>
      <c r="I948" s="3">
        <f>(INDEX('Type Chart'!$B:$S,MATCH(E948,'Type Chart'!$A:$A,0),MATCH(XLOOKUP('Boss Editor'!$C$4,'Pokemon Editor'!$A:$A,'Pokemon Editor'!$C:$C,""),'Type Chart'!$B$1:$S$1,0))*IF(XLOOKUP('Boss Editor'!$C$4,'Pokemon Editor'!$A:$A,'Pokemon Editor'!$D:$D,"")="",1,INDEX('Type Chart'!$B:$S,MATCH(E948,'Type Chart'!$A:$A,0),MATCH(XLOOKUP('Boss Editor'!$C$4,'Pokemon Editor'!$A:$A,'Pokemon Editor'!$D:$D,""),'Type Chart'!$B$1:$S$1,0))))</f>
        <v/>
      </c>
      <c r="J948" s="3">
        <f>IFERROR(LET(mtype,XLOOKUP($D948,'Move Editor'!$B:$B,'Move Editor'!$C:$C,""),cat,XLOOKUP($D948,'Move Editor'!$B:$B,'Move Editor'!$D:$D,""),pow,XLOOKUP($D948,'Move Editor'!$B:$B,'Move Editor'!$E:$E,0),acc,XLOOKUP($D948,'Move Editor'!$B:$B,'Move Editor'!$F:$F,100),atk,IF(cat="Physical",FLOOR((FLOOR(((2*XLOOKUP(XLOOKUP($Q948,'Threshold Summary'!$Y:$Y,'Threshold Summary'!$K:$K,""),'Pokemon Editor'!$A:$A,'Pokemon Editor'!$F:$F,0)+31+FLOOR(XLOOKUP($Q948,'Threshold Summary'!$Y:$Y,'Threshold Summary'!$P:$P,"")/4))*XLOOKUP($Q948,'Threshold Summary'!$Y:$Y,'Threshold Summary'!$L:$L,""))/100)+5)*XLOOKUP(XLOOKUP($Q948,'Threshold Summary'!$Y:$Y,'Threshold Summary'!$M:$M,""),'Nature Editor'!$A:$A,'Nature Editor'!$B:$B,1)),FLOOR((FLOOR(((2*XLOOKUP(XLOOKUP($Q948,'Threshold Summary'!$Y:$Y,'Threshold Summary'!$K:$K,""),'Pokemon Editor'!$A:$A,'Pokemon Editor'!$H:$H,0)+31+FLOOR(XLOOKUP($Q948,'Threshold Summary'!$Y:$Y,'Threshold Summary'!$R:$R,"")/4))*XLOOKUP($Q948,'Threshold Summary'!$Y:$Y,'Threshold Summary'!$L:$L,""))/100)+5)*XLOOKUP(XLOOKUP($Q948,'Threshold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Editor'!$E:$E,1))),stab,IF(OR(mtype=XLOOKUP(XLOOKUP($Q948,'Threshold Summary'!$Y:$Y,'Threshold Summary'!$K:$K,""),'Pokemon Editor'!$A:$A,'Pokemon Editor'!$C:$C,""),mtype=XLOOKUP(XLOOKUP($Q948,'Threshold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Chart'!$B$1:$S$1,0)))),base,IF(OR(cat="Status",pow=0),0,FLOOR(FLOOR(FLOOR((2*XLOOKUP($Q948,'Threshold Summary'!$Y:$Y,'Threshold Summary'!$L:$L,"")/5+2)*pow*atk/def)/50)+2)),modifier,stab*eff,FLOOR(base*modifier*0.85)),0)</f>
        <v/>
      </c>
      <c r="K948" s="3">
        <f>IFERROR(LET(mtype,XLOOKUP($D948,'Move Editor'!$B:$B,'Move Editor'!$C:$C,""),cat,XLOOKUP($D948,'Move Editor'!$B:$B,'Move Editor'!$D:$D,""),pow,XLOOKUP($D948,'Move Editor'!$B:$B,'Move Editor'!$E:$E,0),acc,XLOOKUP($D948,'Move Editor'!$B:$B,'Move Editor'!$F:$F,100),atk,IF(cat="Physical",FLOOR((FLOOR(((2*XLOOKUP(XLOOKUP($Q948,'Threshold Summary'!$Y:$Y,'Threshold Summary'!$K:$K,""),'Pokemon Editor'!$A:$A,'Pokemon Editor'!$F:$F,0)+31+FLOOR(XLOOKUP($Q948,'Threshold Summary'!$Y:$Y,'Threshold Summary'!$P:$P,"")/4))*XLOOKUP($Q948,'Threshold Summary'!$Y:$Y,'Threshold Summary'!$L:$L,""))/100)+5)*XLOOKUP(XLOOKUP($Q948,'Threshold Summary'!$Y:$Y,'Threshold Summary'!$M:$M,""),'Nature Editor'!$A:$A,'Nature Editor'!$B:$B,1)),FLOOR((FLOOR(((2*XLOOKUP(XLOOKUP($Q948,'Threshold Summary'!$Y:$Y,'Threshold Summary'!$K:$K,""),'Pokemon Editor'!$A:$A,'Pokemon Editor'!$H:$H,0)+31+FLOOR(XLOOKUP($Q948,'Threshold Summary'!$Y:$Y,'Threshold Summary'!$R:$R,"")/4))*XLOOKUP($Q948,'Threshold Summary'!$Y:$Y,'Threshold Summary'!$L:$L,""))/100)+5)*XLOOKUP(XLOOKUP($Q948,'Threshold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Editor'!$E:$E,1))),stab,IF(OR(mtype=XLOOKUP(XLOOKUP($Q948,'Threshold Summary'!$Y:$Y,'Threshold Summary'!$K:$K,""),'Pokemon Editor'!$A:$A,'Pokemon Editor'!$C:$C,""),mtype=XLOOKUP(XLOOKUP($Q948,'Threshold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Chart'!$B$1:$S$1,0)))),base,IF(OR(cat="Status",pow=0),0,FLOOR(FLOOR(FLOOR((2*XLOOKUP($Q948,'Threshold Summary'!$Y:$Y,'Threshold Summary'!$L:$L,"")/5+2)*pow*atk/def)/50)+2)),modifier,stab*eff,FLOOR(base*modifier)),0)</f>
        <v/>
      </c>
      <c r="L948" s="3">
        <f>IFERROR(LET(mtype,XLOOKUP($D948,'Move Editor'!$B:$B,'Move Editor'!$C:$C,""),cat,XLOOKUP($D948,'Move Editor'!$B:$B,'Move Editor'!$D:$D,""),pow,XLOOKUP($D948,'Move Editor'!$B:$B,'Move Editor'!$E:$E,0),acc,XLOOKUP($D948,'Move Editor'!$B:$B,'Move Editor'!$F:$F,100),atk,IF(cat="Physical",FLOOR((FLOOR(((2*XLOOKUP(XLOOKUP($Q948,'Threshold Summary'!$Y:$Y,'Threshold Summary'!$K:$K,""),'Pokemon Editor'!$A:$A,'Pokemon Editor'!$F:$F,0)+31+FLOOR(XLOOKUP($Q948,'Threshold Summary'!$Y:$Y,'Threshold Summary'!$P:$P,"")/4))*XLOOKUP($Q948,'Threshold Summary'!$Y:$Y,'Threshold Summary'!$L:$L,""))/100)+5)*XLOOKUP(XLOOKUP($Q948,'Threshold Summary'!$Y:$Y,'Threshold Summary'!$M:$M,""),'Nature Editor'!$A:$A,'Nature Editor'!$B:$B,1)),FLOOR((FLOOR(((2*XLOOKUP(XLOOKUP($Q948,'Threshold Summary'!$Y:$Y,'Threshold Summary'!$K:$K,""),'Pokemon Editor'!$A:$A,'Pokemon Editor'!$H:$H,0)+31+FLOOR(XLOOKUP($Q948,'Threshold Summary'!$Y:$Y,'Threshold Summary'!$R:$R,"")/4))*XLOOKUP($Q948,'Threshold Summary'!$Y:$Y,'Threshold Summary'!$L:$L,""))/100)+5)*XLOOKUP(XLOOKUP($Q948,'Threshold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Editor'!$E:$E,1))),stab,IF(OR(mtype=XLOOKUP(XLOOKUP($Q948,'Threshold Summary'!$Y:$Y,'Threshold Summary'!$K:$K,""),'Pokemon Editor'!$A:$A,'Pokemon Editor'!$C:$C,""),mtype=XLOOKUP(XLOOKUP($Q948,'Threshold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Chart'!$B$1:$S$1,0)))),base,IF(OR(cat="Status",pow=0),0,FLOOR(FLOOR(FLOOR((2*XLOOKUP($Q948,'Threshold Summary'!$Y:$Y,'Threshold Summary'!$L:$L,"")/5+2)*pow*atk/def)/50)+2)),modifier,stab*eff,AVERAGE(ARRAYFORMULA(FLOOR(base*modifier*SEQUENCE(16,1,85,1)/100)))),0)</f>
        <v/>
      </c>
      <c r="M948" s="3">
        <f>IFERROR(LET(mtype,XLOOKUP($D948,'Move Editor'!$B:$B,'Move Editor'!$C:$C,""),cat,XLOOKUP($D948,'Move Editor'!$B:$B,'Move Editor'!$D:$D,""),pow,XLOOKUP($D948,'Move Editor'!$B:$B,'Move Editor'!$E:$E,0),acc,XLOOKUP($D948,'Move Editor'!$B:$B,'Move Editor'!$F:$F,100),atk,IF(cat="Physical",FLOOR((FLOOR(((2*XLOOKUP(XLOOKUP($Q948,'Threshold Summary'!$Y:$Y,'Threshold Summary'!$K:$K,""),'Pokemon Editor'!$A:$A,'Pokemon Editor'!$F:$F,0)+31+FLOOR(XLOOKUP($Q948,'Threshold Summary'!$Y:$Y,'Threshold Summary'!$P:$P,"")/4))*XLOOKUP($Q948,'Threshold Summary'!$Y:$Y,'Threshold Summary'!$L:$L,""))/100)+5)*XLOOKUP(XLOOKUP($Q948,'Threshold Summary'!$Y:$Y,'Threshold Summary'!$M:$M,""),'Nature Editor'!$A:$A,'Nature Editor'!$B:$B,1)),FLOOR((FLOOR(((2*XLOOKUP(XLOOKUP($Q948,'Threshold Summary'!$Y:$Y,'Threshold Summary'!$K:$K,""),'Pokemon Editor'!$A:$A,'Pokemon Editor'!$H:$H,0)+31+FLOOR(XLOOKUP($Q948,'Threshold Summary'!$Y:$Y,'Threshold Summary'!$R:$R,"")/4))*XLOOKUP($Q948,'Threshold Summary'!$Y:$Y,'Threshold Summary'!$L:$L,""))/100)+5)*XLOOKUP(XLOOKUP($Q948,'Threshold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Editor'!$E:$E,1))),stab,IF(OR(mtype=XLOOKUP(XLOOKUP($Q948,'Threshold Summary'!$Y:$Y,'Threshold Summary'!$K:$K,""),'Pokemon Editor'!$A:$A,'Pokemon Editor'!$C:$C,""),mtype=XLOOKUP(XLOOKUP($Q948,'Threshold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Chart'!$B$1:$S$1,0)))),base,IF(OR(cat="Status",pow=0),0,FLOOR(FLOOR(FLOOR((2*XLOOKUP($Q948,'Threshold Summary'!$Y:$Y,'Threshold Summary'!$L:$L,"")/5+2)*pow*atk/def)/50)+2)),modifier,stab*eff,AVERAGE(ARRAYFORMULA(FLOOR(base*modifier*SEQUENCE(16,1,85,1)/100)))*MIN(1,acc/100)),0)</f>
        <v/>
      </c>
      <c r="N948" s="4">
        <f>IFERROR(LET(mtype,XLOOKUP($D948,'Move Editor'!$B:$B,'Move Editor'!$C:$C,""),cat,XLOOKUP($D948,'Move Editor'!$B:$B,'Move Editor'!$D:$D,""),pow,XLOOKUP($D948,'Move Editor'!$B:$B,'Move Editor'!$E:$E,0),acc,XLOOKUP($D948,'Move Editor'!$B:$B,'Move Editor'!$F:$F,100),atk,IF(cat="Physical",FLOOR((FLOOR(((2*XLOOKUP(XLOOKUP($Q948,'Threshold Summary'!$Y:$Y,'Threshold Summary'!$K:$K,""),'Pokemon Editor'!$A:$A,'Pokemon Editor'!$F:$F,0)+31+FLOOR(XLOOKUP($Q948,'Threshold Summary'!$Y:$Y,'Threshold Summary'!$P:$P,"")/4))*XLOOKUP($Q948,'Threshold Summary'!$Y:$Y,'Threshold Summary'!$L:$L,""))/100)+5)*XLOOKUP(XLOOKUP($Q948,'Threshold Summary'!$Y:$Y,'Threshold Summary'!$M:$M,""),'Nature Editor'!$A:$A,'Nature Editor'!$B:$B,1)),FLOOR((FLOOR(((2*XLOOKUP(XLOOKUP($Q948,'Threshold Summary'!$Y:$Y,'Threshold Summary'!$K:$K,""),'Pokemon Editor'!$A:$A,'Pokemon Editor'!$H:$H,0)+31+FLOOR(XLOOKUP($Q948,'Threshold Summary'!$Y:$Y,'Threshold Summary'!$R:$R,"")/4))*XLOOKUP($Q948,'Threshold Summary'!$Y:$Y,'Threshold Summary'!$L:$L,""))/100)+5)*XLOOKUP(XLOOKUP($Q948,'Threshold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Editor'!$E:$E,1))),stab,IF(OR(mtype=XLOOKUP(XLOOKUP($Q948,'Threshold Summary'!$Y:$Y,'Threshold Summary'!$K:$K,""),'Pokemon Editor'!$A:$A,'Pokemon Editor'!$C:$C,""),mtype=XLOOKUP(XLOOKUP($Q948,'Threshold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Chart'!$B$1:$S$1,0)))),base,IF(OR(cat="Status",pow=0),0,FLOOR(FLOOR(FLOOR((2*XLOOKUP($Q948,'Threshold Summary'!$Y:$Y,'Threshold Summary'!$L:$L,"")/5+2)*pow*atk/def)/50)+2)),modifier,stab*eff,AVERAGE(ARRAYFORMULA(FLOOR(base*modifier*SEQUENCE(16,1,85,1)/100)))/(FLOOR(((2*XLOOKUP('Boss Editor'!$C$4,'Pokemon Editor'!$A:$A,'Pokemon Editor'!$E:$E,0)+31+FLOOR('Boss Editor'!$G$4/4))*'Boss Editor'!$D$4)/100)+'Boss Editor'!$D$4+10)),0)</f>
        <v/>
      </c>
      <c r="O948" s="3">
        <f>IF(N948&gt;=1,"OHKO",IF(N948&gt;=0.5,"2HKO",IF(N948&gt;=0.333,"3HKO",IF(N948&gt;=0.25,"4HKO","5HKO+"))))</f>
        <v/>
      </c>
      <c r="P948" s="3" t="inlineStr">
        <is>
          <t>Live from editable databases</t>
        </is>
      </c>
      <c r="Q948" s="3" t="inlineStr">
        <is>
          <t>SPECIES_CHARCADET</t>
        </is>
      </c>
      <c r="R948" s="3" t="n">
        <v>19</v>
      </c>
    </row>
    <row r="949">
      <c r="A949" s="3">
        <f>XLOOKUP($Q949,'Threshold Summary'!$Y:$Y,'Threshold Summary'!$A:$A,"")</f>
        <v/>
      </c>
      <c r="B949" s="3">
        <f>XLOOKUP($Q949,'Threshold Summary'!$Y:$Y,'Threshold Summary'!$M:$M,"")</f>
        <v/>
      </c>
      <c r="C949" s="3">
        <f>XLOOKUP($Q949,'Threshold Summary'!$Y:$Y,'Threshold Summary'!$N:$N,"")</f>
        <v/>
      </c>
      <c r="D949" s="3">
        <f>IFERROR(INDEX(FILTER('Learnset Editor'!$D$2:$D,'Learnset Editor'!$A$2:$A=XLOOKUP($Q949,'Threshold Summary'!$Y:$Y,'Threshold Summary'!$K:$K,""),'Learnset Editor'!$C$2:$C&lt;=XLOOKUP($Q949,'Threshold Summary'!$Y:$Y,'Threshold Summary'!$L:$L,"")),$R949),"")</f>
        <v/>
      </c>
      <c r="E949" s="3">
        <f>XLOOKUP(D949,'Move Editor'!$B:$B,'Move Editor'!$C:$C,"")</f>
        <v/>
      </c>
      <c r="F949" s="3">
        <f>XLOOKUP(D949,'Move Editor'!$B:$B,'Move Editor'!$D:$D,"")</f>
        <v/>
      </c>
      <c r="G949" s="3">
        <f>XLOOKUP(D949,'Move Editor'!$B:$B,'Move Editor'!$E:$E,0)</f>
        <v/>
      </c>
      <c r="H949" s="3">
        <f>XLOOKUP(D949,'Move Editor'!$B:$B,'Move Editor'!$F:$F,0)</f>
        <v/>
      </c>
      <c r="I949" s="3">
        <f>(INDEX('Type Chart'!$B:$S,MATCH(E949,'Type Chart'!$A:$A,0),MATCH(XLOOKUP('Boss Editor'!$C$4,'Pokemon Editor'!$A:$A,'Pokemon Editor'!$C:$C,""),'Type Chart'!$B$1:$S$1,0))*IF(XLOOKUP('Boss Editor'!$C$4,'Pokemon Editor'!$A:$A,'Pokemon Editor'!$D:$D,"")="",1,INDEX('Type Chart'!$B:$S,MATCH(E949,'Type Chart'!$A:$A,0),MATCH(XLOOKUP('Boss Editor'!$C$4,'Pokemon Editor'!$A:$A,'Pokemon Editor'!$D:$D,""),'Type Chart'!$B$1:$S$1,0))))</f>
        <v/>
      </c>
      <c r="J949" s="3">
        <f>IFERROR(LET(mtype,XLOOKUP($D949,'Move Editor'!$B:$B,'Move Editor'!$C:$C,""),cat,XLOOKUP($D949,'Move Editor'!$B:$B,'Move Editor'!$D:$D,""),pow,XLOOKUP($D949,'Move Editor'!$B:$B,'Move Editor'!$E:$E,0),acc,XLOOKUP($D949,'Move Editor'!$B:$B,'Move Editor'!$F:$F,100),atk,IF(cat="Physical",FLOOR((FLOOR(((2*XLOOKUP(XLOOKUP($Q949,'Threshold Summary'!$Y:$Y,'Threshold Summary'!$K:$K,""),'Pokemon Editor'!$A:$A,'Pokemon Editor'!$F:$F,0)+31+FLOOR(XLOOKUP($Q949,'Threshold Summary'!$Y:$Y,'Threshold Summary'!$P:$P,"")/4))*XLOOKUP($Q949,'Threshold Summary'!$Y:$Y,'Threshold Summary'!$L:$L,""))/100)+5)*XLOOKUP(XLOOKUP($Q949,'Threshold Summary'!$Y:$Y,'Threshold Summary'!$M:$M,""),'Nature Editor'!$A:$A,'Nature Editor'!$B:$B,1)),FLOOR((FLOOR(((2*XLOOKUP(XLOOKUP($Q949,'Threshold Summary'!$Y:$Y,'Threshold Summary'!$K:$K,""),'Pokemon Editor'!$A:$A,'Pokemon Editor'!$H:$H,0)+31+FLOOR(XLOOKUP($Q949,'Threshold Summary'!$Y:$Y,'Threshold Summary'!$R:$R,"")/4))*XLOOKUP($Q949,'Threshold Summary'!$Y:$Y,'Threshold Summary'!$L:$L,""))/100)+5)*XLOOKUP(XLOOKUP($Q949,'Threshold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Editor'!$E:$E,1))),stab,IF(OR(mtype=XLOOKUP(XLOOKUP($Q949,'Threshold Summary'!$Y:$Y,'Threshold Summary'!$K:$K,""),'Pokemon Editor'!$A:$A,'Pokemon Editor'!$C:$C,""),mtype=XLOOKUP(XLOOKUP($Q949,'Threshold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Chart'!$B$1:$S$1,0)))),base,IF(OR(cat="Status",pow=0),0,FLOOR(FLOOR(FLOOR((2*XLOOKUP($Q949,'Threshold Summary'!$Y:$Y,'Threshold Summary'!$L:$L,"")/5+2)*pow*atk/def)/50)+2)),modifier,stab*eff,FLOOR(base*modifier*0.85)),0)</f>
        <v/>
      </c>
      <c r="K949" s="3">
        <f>IFERROR(LET(mtype,XLOOKUP($D949,'Move Editor'!$B:$B,'Move Editor'!$C:$C,""),cat,XLOOKUP($D949,'Move Editor'!$B:$B,'Move Editor'!$D:$D,""),pow,XLOOKUP($D949,'Move Editor'!$B:$B,'Move Editor'!$E:$E,0),acc,XLOOKUP($D949,'Move Editor'!$B:$B,'Move Editor'!$F:$F,100),atk,IF(cat="Physical",FLOOR((FLOOR(((2*XLOOKUP(XLOOKUP($Q949,'Threshold Summary'!$Y:$Y,'Threshold Summary'!$K:$K,""),'Pokemon Editor'!$A:$A,'Pokemon Editor'!$F:$F,0)+31+FLOOR(XLOOKUP($Q949,'Threshold Summary'!$Y:$Y,'Threshold Summary'!$P:$P,"")/4))*XLOOKUP($Q949,'Threshold Summary'!$Y:$Y,'Threshold Summary'!$L:$L,""))/100)+5)*XLOOKUP(XLOOKUP($Q949,'Threshold Summary'!$Y:$Y,'Threshold Summary'!$M:$M,""),'Nature Editor'!$A:$A,'Nature Editor'!$B:$B,1)),FLOOR((FLOOR(((2*XLOOKUP(XLOOKUP($Q949,'Threshold Summary'!$Y:$Y,'Threshold Summary'!$K:$K,""),'Pokemon Editor'!$A:$A,'Pokemon Editor'!$H:$H,0)+31+FLOOR(XLOOKUP($Q949,'Threshold Summary'!$Y:$Y,'Threshold Summary'!$R:$R,"")/4))*XLOOKUP($Q949,'Threshold Summary'!$Y:$Y,'Threshold Summary'!$L:$L,""))/100)+5)*XLOOKUP(XLOOKUP($Q949,'Threshold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Editor'!$E:$E,1))),stab,IF(OR(mtype=XLOOKUP(XLOOKUP($Q949,'Threshold Summary'!$Y:$Y,'Threshold Summary'!$K:$K,""),'Pokemon Editor'!$A:$A,'Pokemon Editor'!$C:$C,""),mtype=XLOOKUP(XLOOKUP($Q949,'Threshold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Chart'!$B$1:$S$1,0)))),base,IF(OR(cat="Status",pow=0),0,FLOOR(FLOOR(FLOOR((2*XLOOKUP($Q949,'Threshold Summary'!$Y:$Y,'Threshold Summary'!$L:$L,"")/5+2)*pow*atk/def)/50)+2)),modifier,stab*eff,FLOOR(base*modifier)),0)</f>
        <v/>
      </c>
      <c r="L949" s="3">
        <f>IFERROR(LET(mtype,XLOOKUP($D949,'Move Editor'!$B:$B,'Move Editor'!$C:$C,""),cat,XLOOKUP($D949,'Move Editor'!$B:$B,'Move Editor'!$D:$D,""),pow,XLOOKUP($D949,'Move Editor'!$B:$B,'Move Editor'!$E:$E,0),acc,XLOOKUP($D949,'Move Editor'!$B:$B,'Move Editor'!$F:$F,100),atk,IF(cat="Physical",FLOOR((FLOOR(((2*XLOOKUP(XLOOKUP($Q949,'Threshold Summary'!$Y:$Y,'Threshold Summary'!$K:$K,""),'Pokemon Editor'!$A:$A,'Pokemon Editor'!$F:$F,0)+31+FLOOR(XLOOKUP($Q949,'Threshold Summary'!$Y:$Y,'Threshold Summary'!$P:$P,"")/4))*XLOOKUP($Q949,'Threshold Summary'!$Y:$Y,'Threshold Summary'!$L:$L,""))/100)+5)*XLOOKUP(XLOOKUP($Q949,'Threshold Summary'!$Y:$Y,'Threshold Summary'!$M:$M,""),'Nature Editor'!$A:$A,'Nature Editor'!$B:$B,1)),FLOOR((FLOOR(((2*XLOOKUP(XLOOKUP($Q949,'Threshold Summary'!$Y:$Y,'Threshold Summary'!$K:$K,""),'Pokemon Editor'!$A:$A,'Pokemon Editor'!$H:$H,0)+31+FLOOR(XLOOKUP($Q949,'Threshold Summary'!$Y:$Y,'Threshold Summary'!$R:$R,"")/4))*XLOOKUP($Q949,'Threshold Summary'!$Y:$Y,'Threshold Summary'!$L:$L,""))/100)+5)*XLOOKUP(XLOOKUP($Q949,'Threshold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Editor'!$E:$E,1))),stab,IF(OR(mtype=XLOOKUP(XLOOKUP($Q949,'Threshold Summary'!$Y:$Y,'Threshold Summary'!$K:$K,""),'Pokemon Editor'!$A:$A,'Pokemon Editor'!$C:$C,""),mtype=XLOOKUP(XLOOKUP($Q949,'Threshold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Chart'!$B$1:$S$1,0)))),base,IF(OR(cat="Status",pow=0),0,FLOOR(FLOOR(FLOOR((2*XLOOKUP($Q949,'Threshold Summary'!$Y:$Y,'Threshold Summary'!$L:$L,"")/5+2)*pow*atk/def)/50)+2)),modifier,stab*eff,AVERAGE(ARRAYFORMULA(FLOOR(base*modifier*SEQUENCE(16,1,85,1)/100)))),0)</f>
        <v/>
      </c>
      <c r="M949" s="3">
        <f>IFERROR(LET(mtype,XLOOKUP($D949,'Move Editor'!$B:$B,'Move Editor'!$C:$C,""),cat,XLOOKUP($D949,'Move Editor'!$B:$B,'Move Editor'!$D:$D,""),pow,XLOOKUP($D949,'Move Editor'!$B:$B,'Move Editor'!$E:$E,0),acc,XLOOKUP($D949,'Move Editor'!$B:$B,'Move Editor'!$F:$F,100),atk,IF(cat="Physical",FLOOR((FLOOR(((2*XLOOKUP(XLOOKUP($Q949,'Threshold Summary'!$Y:$Y,'Threshold Summary'!$K:$K,""),'Pokemon Editor'!$A:$A,'Pokemon Editor'!$F:$F,0)+31+FLOOR(XLOOKUP($Q949,'Threshold Summary'!$Y:$Y,'Threshold Summary'!$P:$P,"")/4))*XLOOKUP($Q949,'Threshold Summary'!$Y:$Y,'Threshold Summary'!$L:$L,""))/100)+5)*XLOOKUP(XLOOKUP($Q949,'Threshold Summary'!$Y:$Y,'Threshold Summary'!$M:$M,""),'Nature Editor'!$A:$A,'Nature Editor'!$B:$B,1)),FLOOR((FLOOR(((2*XLOOKUP(XLOOKUP($Q949,'Threshold Summary'!$Y:$Y,'Threshold Summary'!$K:$K,""),'Pokemon Editor'!$A:$A,'Pokemon Editor'!$H:$H,0)+31+FLOOR(XLOOKUP($Q949,'Threshold Summary'!$Y:$Y,'Threshold Summary'!$R:$R,"")/4))*XLOOKUP($Q949,'Threshold Summary'!$Y:$Y,'Threshold Summary'!$L:$L,""))/100)+5)*XLOOKUP(XLOOKUP($Q949,'Threshold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Editor'!$E:$E,1))),stab,IF(OR(mtype=XLOOKUP(XLOOKUP($Q949,'Threshold Summary'!$Y:$Y,'Threshold Summary'!$K:$K,""),'Pokemon Editor'!$A:$A,'Pokemon Editor'!$C:$C,""),mtype=XLOOKUP(XLOOKUP($Q949,'Threshold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Chart'!$B$1:$S$1,0)))),base,IF(OR(cat="Status",pow=0),0,FLOOR(FLOOR(FLOOR((2*XLOOKUP($Q949,'Threshold Summary'!$Y:$Y,'Threshold Summary'!$L:$L,"")/5+2)*pow*atk/def)/50)+2)),modifier,stab*eff,AVERAGE(ARRAYFORMULA(FLOOR(base*modifier*SEQUENCE(16,1,85,1)/100)))*MIN(1,acc/100)),0)</f>
        <v/>
      </c>
      <c r="N949" s="4">
        <f>IFERROR(LET(mtype,XLOOKUP($D949,'Move Editor'!$B:$B,'Move Editor'!$C:$C,""),cat,XLOOKUP($D949,'Move Editor'!$B:$B,'Move Editor'!$D:$D,""),pow,XLOOKUP($D949,'Move Editor'!$B:$B,'Move Editor'!$E:$E,0),acc,XLOOKUP($D949,'Move Editor'!$B:$B,'Move Editor'!$F:$F,100),atk,IF(cat="Physical",FLOOR((FLOOR(((2*XLOOKUP(XLOOKUP($Q949,'Threshold Summary'!$Y:$Y,'Threshold Summary'!$K:$K,""),'Pokemon Editor'!$A:$A,'Pokemon Editor'!$F:$F,0)+31+FLOOR(XLOOKUP($Q949,'Threshold Summary'!$Y:$Y,'Threshold Summary'!$P:$P,"")/4))*XLOOKUP($Q949,'Threshold Summary'!$Y:$Y,'Threshold Summary'!$L:$L,""))/100)+5)*XLOOKUP(XLOOKUP($Q949,'Threshold Summary'!$Y:$Y,'Threshold Summary'!$M:$M,""),'Nature Editor'!$A:$A,'Nature Editor'!$B:$B,1)),FLOOR((FLOOR(((2*XLOOKUP(XLOOKUP($Q949,'Threshold Summary'!$Y:$Y,'Threshold Summary'!$K:$K,""),'Pokemon Editor'!$A:$A,'Pokemon Editor'!$H:$H,0)+31+FLOOR(XLOOKUP($Q949,'Threshold Summary'!$Y:$Y,'Threshold Summary'!$R:$R,"")/4))*XLOOKUP($Q949,'Threshold Summary'!$Y:$Y,'Threshold Summary'!$L:$L,""))/100)+5)*XLOOKUP(XLOOKUP($Q949,'Threshold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Editor'!$E:$E,1))),stab,IF(OR(mtype=XLOOKUP(XLOOKUP($Q949,'Threshold Summary'!$Y:$Y,'Threshold Summary'!$K:$K,""),'Pokemon Editor'!$A:$A,'Pokemon Editor'!$C:$C,""),mtype=XLOOKUP(XLOOKUP($Q949,'Threshold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Chart'!$B$1:$S$1,0)))),base,IF(OR(cat="Status",pow=0),0,FLOOR(FLOOR(FLOOR((2*XLOOKUP($Q949,'Threshold Summary'!$Y:$Y,'Threshold Summary'!$L:$L,"")/5+2)*pow*atk/def)/50)+2)),modifier,stab*eff,AVERAGE(ARRAYFORMULA(FLOOR(base*modifier*SEQUENCE(16,1,85,1)/100)))/(FLOOR(((2*XLOOKUP('Boss Editor'!$C$4,'Pokemon Editor'!$A:$A,'Pokemon Editor'!$E:$E,0)+31+FLOOR('Boss Editor'!$G$4/4))*'Boss Editor'!$D$4)/100)+'Boss Editor'!$D$4+10)),0)</f>
        <v/>
      </c>
      <c r="O949" s="3">
        <f>IF(N949&gt;=1,"OHKO",IF(N949&gt;=0.5,"2HKO",IF(N949&gt;=0.333,"3HKO",IF(N949&gt;=0.25,"4HKO","5HKO+"))))</f>
        <v/>
      </c>
      <c r="P949" s="3" t="inlineStr">
        <is>
          <t>Live from editable databases</t>
        </is>
      </c>
      <c r="Q949" s="3" t="inlineStr">
        <is>
          <t>SPECIES_CHARCADET</t>
        </is>
      </c>
      <c r="R949" s="3" t="n">
        <v>20</v>
      </c>
    </row>
    <row r="950">
      <c r="A950" s="3">
        <f>XLOOKUP($Q950,'Threshold Summary'!$Y:$Y,'Threshold Summary'!$A:$A,"")</f>
        <v/>
      </c>
      <c r="B950" s="3">
        <f>XLOOKUP($Q950,'Threshold Summary'!$Y:$Y,'Threshold Summary'!$M:$M,"")</f>
        <v/>
      </c>
      <c r="C950" s="3">
        <f>XLOOKUP($Q950,'Threshold Summary'!$Y:$Y,'Threshold Summary'!$N:$N,"")</f>
        <v/>
      </c>
      <c r="D950" s="3">
        <f>IFERROR(INDEX(FILTER('Learnset Editor'!$D$2:$D,'Learnset Editor'!$A$2:$A=XLOOKUP($Q950,'Threshold Summary'!$Y:$Y,'Threshold Summary'!$K:$K,""),'Learnset Editor'!$C$2:$C&lt;=XLOOKUP($Q950,'Threshold Summary'!$Y:$Y,'Threshold Summary'!$L:$L,"")),$R950),"")</f>
        <v/>
      </c>
      <c r="E950" s="3">
        <f>XLOOKUP(D950,'Move Editor'!$B:$B,'Move Editor'!$C:$C,"")</f>
        <v/>
      </c>
      <c r="F950" s="3">
        <f>XLOOKUP(D950,'Move Editor'!$B:$B,'Move Editor'!$D:$D,"")</f>
        <v/>
      </c>
      <c r="G950" s="3">
        <f>XLOOKUP(D950,'Move Editor'!$B:$B,'Move Editor'!$E:$E,0)</f>
        <v/>
      </c>
      <c r="H950" s="3">
        <f>XLOOKUP(D950,'Move Editor'!$B:$B,'Move Editor'!$F:$F,0)</f>
        <v/>
      </c>
      <c r="I950" s="3">
        <f>(INDEX('Type Chart'!$B:$S,MATCH(E950,'Type Chart'!$A:$A,0),MATCH(XLOOKUP('Boss Editor'!$C$4,'Pokemon Editor'!$A:$A,'Pokemon Editor'!$C:$C,""),'Type Chart'!$B$1:$S$1,0))*IF(XLOOKUP('Boss Editor'!$C$4,'Pokemon Editor'!$A:$A,'Pokemon Editor'!$D:$D,"")="",1,INDEX('Type Chart'!$B:$S,MATCH(E950,'Type Chart'!$A:$A,0),MATCH(XLOOKUP('Boss Editor'!$C$4,'Pokemon Editor'!$A:$A,'Pokemon Editor'!$D:$D,""),'Type Chart'!$B$1:$S$1,0))))</f>
        <v/>
      </c>
      <c r="J950" s="3">
        <f>IFERROR(LET(mtype,XLOOKUP($D950,'Move Editor'!$B:$B,'Move Editor'!$C:$C,""),cat,XLOOKUP($D950,'Move Editor'!$B:$B,'Move Editor'!$D:$D,""),pow,XLOOKUP($D950,'Move Editor'!$B:$B,'Move Editor'!$E:$E,0),acc,XLOOKUP($D950,'Move Editor'!$B:$B,'Move Editor'!$F:$F,100),atk,IF(cat="Physical",FLOOR((FLOOR(((2*XLOOKUP(XLOOKUP($Q950,'Threshold Summary'!$Y:$Y,'Threshold Summary'!$K:$K,""),'Pokemon Editor'!$A:$A,'Pokemon Editor'!$F:$F,0)+31+FLOOR(XLOOKUP($Q950,'Threshold Summary'!$Y:$Y,'Threshold Summary'!$P:$P,"")/4))*XLOOKUP($Q950,'Threshold Summary'!$Y:$Y,'Threshold Summary'!$L:$L,""))/100)+5)*XLOOKUP(XLOOKUP($Q950,'Threshold Summary'!$Y:$Y,'Threshold Summary'!$M:$M,""),'Nature Editor'!$A:$A,'Nature Editor'!$B:$B,1)),FLOOR((FLOOR(((2*XLOOKUP(XLOOKUP($Q950,'Threshold Summary'!$Y:$Y,'Threshold Summary'!$K:$K,""),'Pokemon Editor'!$A:$A,'Pokemon Editor'!$H:$H,0)+31+FLOOR(XLOOKUP($Q950,'Threshold Summary'!$Y:$Y,'Threshold Summary'!$R:$R,"")/4))*XLOOKUP($Q950,'Threshold Summary'!$Y:$Y,'Threshold Summary'!$L:$L,""))/100)+5)*XLOOKUP(XLOOKUP($Q950,'Threshold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Editor'!$E:$E,1))),stab,IF(OR(mtype=XLOOKUP(XLOOKUP($Q950,'Threshold Summary'!$Y:$Y,'Threshold Summary'!$K:$K,""),'Pokemon Editor'!$A:$A,'Pokemon Editor'!$C:$C,""),mtype=XLOOKUP(XLOOKUP($Q950,'Threshold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Chart'!$B$1:$S$1,0)))),base,IF(OR(cat="Status",pow=0),0,FLOOR(FLOOR(FLOOR((2*XLOOKUP($Q950,'Threshold Summary'!$Y:$Y,'Threshold Summary'!$L:$L,"")/5+2)*pow*atk/def)/50)+2)),modifier,stab*eff,FLOOR(base*modifier*0.85)),0)</f>
        <v/>
      </c>
      <c r="K950" s="3">
        <f>IFERROR(LET(mtype,XLOOKUP($D950,'Move Editor'!$B:$B,'Move Editor'!$C:$C,""),cat,XLOOKUP($D950,'Move Editor'!$B:$B,'Move Editor'!$D:$D,""),pow,XLOOKUP($D950,'Move Editor'!$B:$B,'Move Editor'!$E:$E,0),acc,XLOOKUP($D950,'Move Editor'!$B:$B,'Move Editor'!$F:$F,100),atk,IF(cat="Physical",FLOOR((FLOOR(((2*XLOOKUP(XLOOKUP($Q950,'Threshold Summary'!$Y:$Y,'Threshold Summary'!$K:$K,""),'Pokemon Editor'!$A:$A,'Pokemon Editor'!$F:$F,0)+31+FLOOR(XLOOKUP($Q950,'Threshold Summary'!$Y:$Y,'Threshold Summary'!$P:$P,"")/4))*XLOOKUP($Q950,'Threshold Summary'!$Y:$Y,'Threshold Summary'!$L:$L,""))/100)+5)*XLOOKUP(XLOOKUP($Q950,'Threshold Summary'!$Y:$Y,'Threshold Summary'!$M:$M,""),'Nature Editor'!$A:$A,'Nature Editor'!$B:$B,1)),FLOOR((FLOOR(((2*XLOOKUP(XLOOKUP($Q950,'Threshold Summary'!$Y:$Y,'Threshold Summary'!$K:$K,""),'Pokemon Editor'!$A:$A,'Pokemon Editor'!$H:$H,0)+31+FLOOR(XLOOKUP($Q950,'Threshold Summary'!$Y:$Y,'Threshold Summary'!$R:$R,"")/4))*XLOOKUP($Q950,'Threshold Summary'!$Y:$Y,'Threshold Summary'!$L:$L,""))/100)+5)*XLOOKUP(XLOOKUP($Q950,'Threshold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Editor'!$E:$E,1))),stab,IF(OR(mtype=XLOOKUP(XLOOKUP($Q950,'Threshold Summary'!$Y:$Y,'Threshold Summary'!$K:$K,""),'Pokemon Editor'!$A:$A,'Pokemon Editor'!$C:$C,""),mtype=XLOOKUP(XLOOKUP($Q950,'Threshold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Chart'!$B$1:$S$1,0)))),base,IF(OR(cat="Status",pow=0),0,FLOOR(FLOOR(FLOOR((2*XLOOKUP($Q950,'Threshold Summary'!$Y:$Y,'Threshold Summary'!$L:$L,"")/5+2)*pow*atk/def)/50)+2)),modifier,stab*eff,FLOOR(base*modifier)),0)</f>
        <v/>
      </c>
      <c r="L950" s="3">
        <f>IFERROR(LET(mtype,XLOOKUP($D950,'Move Editor'!$B:$B,'Move Editor'!$C:$C,""),cat,XLOOKUP($D950,'Move Editor'!$B:$B,'Move Editor'!$D:$D,""),pow,XLOOKUP($D950,'Move Editor'!$B:$B,'Move Editor'!$E:$E,0),acc,XLOOKUP($D950,'Move Editor'!$B:$B,'Move Editor'!$F:$F,100),atk,IF(cat="Physical",FLOOR((FLOOR(((2*XLOOKUP(XLOOKUP($Q950,'Threshold Summary'!$Y:$Y,'Threshold Summary'!$K:$K,""),'Pokemon Editor'!$A:$A,'Pokemon Editor'!$F:$F,0)+31+FLOOR(XLOOKUP($Q950,'Threshold Summary'!$Y:$Y,'Threshold Summary'!$P:$P,"")/4))*XLOOKUP($Q950,'Threshold Summary'!$Y:$Y,'Threshold Summary'!$L:$L,""))/100)+5)*XLOOKUP(XLOOKUP($Q950,'Threshold Summary'!$Y:$Y,'Threshold Summary'!$M:$M,""),'Nature Editor'!$A:$A,'Nature Editor'!$B:$B,1)),FLOOR((FLOOR(((2*XLOOKUP(XLOOKUP($Q950,'Threshold Summary'!$Y:$Y,'Threshold Summary'!$K:$K,""),'Pokemon Editor'!$A:$A,'Pokemon Editor'!$H:$H,0)+31+FLOOR(XLOOKUP($Q950,'Threshold Summary'!$Y:$Y,'Threshold Summary'!$R:$R,"")/4))*XLOOKUP($Q950,'Threshold Summary'!$Y:$Y,'Threshold Summary'!$L:$L,""))/100)+5)*XLOOKUP(XLOOKUP($Q950,'Threshold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Editor'!$E:$E,1))),stab,IF(OR(mtype=XLOOKUP(XLOOKUP($Q950,'Threshold Summary'!$Y:$Y,'Threshold Summary'!$K:$K,""),'Pokemon Editor'!$A:$A,'Pokemon Editor'!$C:$C,""),mtype=XLOOKUP(XLOOKUP($Q950,'Threshold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Chart'!$B$1:$S$1,0)))),base,IF(OR(cat="Status",pow=0),0,FLOOR(FLOOR(FLOOR((2*XLOOKUP($Q950,'Threshold Summary'!$Y:$Y,'Threshold Summary'!$L:$L,"")/5+2)*pow*atk/def)/50)+2)),modifier,stab*eff,AVERAGE(ARRAYFORMULA(FLOOR(base*modifier*SEQUENCE(16,1,85,1)/100)))),0)</f>
        <v/>
      </c>
      <c r="M950" s="3">
        <f>IFERROR(LET(mtype,XLOOKUP($D950,'Move Editor'!$B:$B,'Move Editor'!$C:$C,""),cat,XLOOKUP($D950,'Move Editor'!$B:$B,'Move Editor'!$D:$D,""),pow,XLOOKUP($D950,'Move Editor'!$B:$B,'Move Editor'!$E:$E,0),acc,XLOOKUP($D950,'Move Editor'!$B:$B,'Move Editor'!$F:$F,100),atk,IF(cat="Physical",FLOOR((FLOOR(((2*XLOOKUP(XLOOKUP($Q950,'Threshold Summary'!$Y:$Y,'Threshold Summary'!$K:$K,""),'Pokemon Editor'!$A:$A,'Pokemon Editor'!$F:$F,0)+31+FLOOR(XLOOKUP($Q950,'Threshold Summary'!$Y:$Y,'Threshold Summary'!$P:$P,"")/4))*XLOOKUP($Q950,'Threshold Summary'!$Y:$Y,'Threshold Summary'!$L:$L,""))/100)+5)*XLOOKUP(XLOOKUP($Q950,'Threshold Summary'!$Y:$Y,'Threshold Summary'!$M:$M,""),'Nature Editor'!$A:$A,'Nature Editor'!$B:$B,1)),FLOOR((FLOOR(((2*XLOOKUP(XLOOKUP($Q950,'Threshold Summary'!$Y:$Y,'Threshold Summary'!$K:$K,""),'Pokemon Editor'!$A:$A,'Pokemon Editor'!$H:$H,0)+31+FLOOR(XLOOKUP($Q950,'Threshold Summary'!$Y:$Y,'Threshold Summary'!$R:$R,"")/4))*XLOOKUP($Q950,'Threshold Summary'!$Y:$Y,'Threshold Summary'!$L:$L,""))/100)+5)*XLOOKUP(XLOOKUP($Q950,'Threshold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Editor'!$E:$E,1))),stab,IF(OR(mtype=XLOOKUP(XLOOKUP($Q950,'Threshold Summary'!$Y:$Y,'Threshold Summary'!$K:$K,""),'Pokemon Editor'!$A:$A,'Pokemon Editor'!$C:$C,""),mtype=XLOOKUP(XLOOKUP($Q950,'Threshold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Chart'!$B$1:$S$1,0)))),base,IF(OR(cat="Status",pow=0),0,FLOOR(FLOOR(FLOOR((2*XLOOKUP($Q950,'Threshold Summary'!$Y:$Y,'Threshold Summary'!$L:$L,"")/5+2)*pow*atk/def)/50)+2)),modifier,stab*eff,AVERAGE(ARRAYFORMULA(FLOOR(base*modifier*SEQUENCE(16,1,85,1)/100)))*MIN(1,acc/100)),0)</f>
        <v/>
      </c>
      <c r="N950" s="4">
        <f>IFERROR(LET(mtype,XLOOKUP($D950,'Move Editor'!$B:$B,'Move Editor'!$C:$C,""),cat,XLOOKUP($D950,'Move Editor'!$B:$B,'Move Editor'!$D:$D,""),pow,XLOOKUP($D950,'Move Editor'!$B:$B,'Move Editor'!$E:$E,0),acc,XLOOKUP($D950,'Move Editor'!$B:$B,'Move Editor'!$F:$F,100),atk,IF(cat="Physical",FLOOR((FLOOR(((2*XLOOKUP(XLOOKUP($Q950,'Threshold Summary'!$Y:$Y,'Threshold Summary'!$K:$K,""),'Pokemon Editor'!$A:$A,'Pokemon Editor'!$F:$F,0)+31+FLOOR(XLOOKUP($Q950,'Threshold Summary'!$Y:$Y,'Threshold Summary'!$P:$P,"")/4))*XLOOKUP($Q950,'Threshold Summary'!$Y:$Y,'Threshold Summary'!$L:$L,""))/100)+5)*XLOOKUP(XLOOKUP($Q950,'Threshold Summary'!$Y:$Y,'Threshold Summary'!$M:$M,""),'Nature Editor'!$A:$A,'Nature Editor'!$B:$B,1)),FLOOR((FLOOR(((2*XLOOKUP(XLOOKUP($Q950,'Threshold Summary'!$Y:$Y,'Threshold Summary'!$K:$K,""),'Pokemon Editor'!$A:$A,'Pokemon Editor'!$H:$H,0)+31+FLOOR(XLOOKUP($Q950,'Threshold Summary'!$Y:$Y,'Threshold Summary'!$R:$R,"")/4))*XLOOKUP($Q950,'Threshold Summary'!$Y:$Y,'Threshold Summary'!$L:$L,""))/100)+5)*XLOOKUP(XLOOKUP($Q950,'Threshold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Editor'!$E:$E,1))),stab,IF(OR(mtype=XLOOKUP(XLOOKUP($Q950,'Threshold Summary'!$Y:$Y,'Threshold Summary'!$K:$K,""),'Pokemon Editor'!$A:$A,'Pokemon Editor'!$C:$C,""),mtype=XLOOKUP(XLOOKUP($Q950,'Threshold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Chart'!$B$1:$S$1,0)))),base,IF(OR(cat="Status",pow=0),0,FLOOR(FLOOR(FLOOR((2*XLOOKUP($Q950,'Threshold Summary'!$Y:$Y,'Threshold Summary'!$L:$L,"")/5+2)*pow*atk/def)/50)+2)),modifier,stab*eff,AVERAGE(ARRAYFORMULA(FLOOR(base*modifier*SEQUENCE(16,1,85,1)/100)))/(FLOOR(((2*XLOOKUP('Boss Editor'!$C$4,'Pokemon Editor'!$A:$A,'Pokemon Editor'!$E:$E,0)+31+FLOOR('Boss Editor'!$G$4/4))*'Boss Editor'!$D$4)/100)+'Boss Editor'!$D$4+10)),0)</f>
        <v/>
      </c>
      <c r="O950" s="3">
        <f>IF(N950&gt;=1,"OHKO",IF(N950&gt;=0.5,"2HKO",IF(N950&gt;=0.333,"3HKO",IF(N950&gt;=0.25,"4HKO","5HKO+"))))</f>
        <v/>
      </c>
      <c r="P950" s="3" t="inlineStr">
        <is>
          <t>Live from editable databases</t>
        </is>
      </c>
      <c r="Q950" s="3" t="inlineStr">
        <is>
          <t>SPECIES_CHARCADET</t>
        </is>
      </c>
      <c r="R950" s="3" t="n">
        <v>21</v>
      </c>
    </row>
    <row r="951">
      <c r="A951" s="3">
        <f>XLOOKUP($Q951,'Threshold Summary'!$Y:$Y,'Threshold Summary'!$A:$A,"")</f>
        <v/>
      </c>
      <c r="B951" s="3">
        <f>XLOOKUP($Q951,'Threshold Summary'!$Y:$Y,'Threshold Summary'!$M:$M,"")</f>
        <v/>
      </c>
      <c r="C951" s="3">
        <f>XLOOKUP($Q951,'Threshold Summary'!$Y:$Y,'Threshold Summary'!$N:$N,"")</f>
        <v/>
      </c>
      <c r="D951" s="3">
        <f>IFERROR(INDEX(FILTER('Learnset Editor'!$D$2:$D,'Learnset Editor'!$A$2:$A=XLOOKUP($Q951,'Threshold Summary'!$Y:$Y,'Threshold Summary'!$K:$K,""),'Learnset Editor'!$C$2:$C&lt;=XLOOKUP($Q951,'Threshold Summary'!$Y:$Y,'Threshold Summary'!$L:$L,"")),$R951),"")</f>
        <v/>
      </c>
      <c r="E951" s="3">
        <f>XLOOKUP(D951,'Move Editor'!$B:$B,'Move Editor'!$C:$C,"")</f>
        <v/>
      </c>
      <c r="F951" s="3">
        <f>XLOOKUP(D951,'Move Editor'!$B:$B,'Move Editor'!$D:$D,"")</f>
        <v/>
      </c>
      <c r="G951" s="3">
        <f>XLOOKUP(D951,'Move Editor'!$B:$B,'Move Editor'!$E:$E,0)</f>
        <v/>
      </c>
      <c r="H951" s="3">
        <f>XLOOKUP(D951,'Move Editor'!$B:$B,'Move Editor'!$F:$F,0)</f>
        <v/>
      </c>
      <c r="I951" s="3">
        <f>(INDEX('Type Chart'!$B:$S,MATCH(E951,'Type Chart'!$A:$A,0),MATCH(XLOOKUP('Boss Editor'!$C$4,'Pokemon Editor'!$A:$A,'Pokemon Editor'!$C:$C,""),'Type Chart'!$B$1:$S$1,0))*IF(XLOOKUP('Boss Editor'!$C$4,'Pokemon Editor'!$A:$A,'Pokemon Editor'!$D:$D,"")="",1,INDEX('Type Chart'!$B:$S,MATCH(E951,'Type Chart'!$A:$A,0),MATCH(XLOOKUP('Boss Editor'!$C$4,'Pokemon Editor'!$A:$A,'Pokemon Editor'!$D:$D,""),'Type Chart'!$B$1:$S$1,0))))</f>
        <v/>
      </c>
      <c r="J951" s="3">
        <f>IFERROR(LET(mtype,XLOOKUP($D951,'Move Editor'!$B:$B,'Move Editor'!$C:$C,""),cat,XLOOKUP($D951,'Move Editor'!$B:$B,'Move Editor'!$D:$D,""),pow,XLOOKUP($D951,'Move Editor'!$B:$B,'Move Editor'!$E:$E,0),acc,XLOOKUP($D951,'Move Editor'!$B:$B,'Move Editor'!$F:$F,100),atk,IF(cat="Physical",FLOOR((FLOOR(((2*XLOOKUP(XLOOKUP($Q951,'Threshold Summary'!$Y:$Y,'Threshold Summary'!$K:$K,""),'Pokemon Editor'!$A:$A,'Pokemon Editor'!$F:$F,0)+31+FLOOR(XLOOKUP($Q951,'Threshold Summary'!$Y:$Y,'Threshold Summary'!$P:$P,"")/4))*XLOOKUP($Q951,'Threshold Summary'!$Y:$Y,'Threshold Summary'!$L:$L,""))/100)+5)*XLOOKUP(XLOOKUP($Q951,'Threshold Summary'!$Y:$Y,'Threshold Summary'!$M:$M,""),'Nature Editor'!$A:$A,'Nature Editor'!$B:$B,1)),FLOOR((FLOOR(((2*XLOOKUP(XLOOKUP($Q951,'Threshold Summary'!$Y:$Y,'Threshold Summary'!$K:$K,""),'Pokemon Editor'!$A:$A,'Pokemon Editor'!$H:$H,0)+31+FLOOR(XLOOKUP($Q951,'Threshold Summary'!$Y:$Y,'Threshold Summary'!$R:$R,"")/4))*XLOOKUP($Q951,'Threshold Summary'!$Y:$Y,'Threshold Summary'!$L:$L,""))/100)+5)*XLOOKUP(XLOOKUP($Q951,'Threshold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Editor'!$E:$E,1))),stab,IF(OR(mtype=XLOOKUP(XLOOKUP($Q951,'Threshold Summary'!$Y:$Y,'Threshold Summary'!$K:$K,""),'Pokemon Editor'!$A:$A,'Pokemon Editor'!$C:$C,""),mtype=XLOOKUP(XLOOKUP($Q951,'Threshold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Chart'!$B$1:$S$1,0)))),base,IF(OR(cat="Status",pow=0),0,FLOOR(FLOOR(FLOOR((2*XLOOKUP($Q951,'Threshold Summary'!$Y:$Y,'Threshold Summary'!$L:$L,"")/5+2)*pow*atk/def)/50)+2)),modifier,stab*eff,FLOOR(base*modifier*0.85)),0)</f>
        <v/>
      </c>
      <c r="K951" s="3">
        <f>IFERROR(LET(mtype,XLOOKUP($D951,'Move Editor'!$B:$B,'Move Editor'!$C:$C,""),cat,XLOOKUP($D951,'Move Editor'!$B:$B,'Move Editor'!$D:$D,""),pow,XLOOKUP($D951,'Move Editor'!$B:$B,'Move Editor'!$E:$E,0),acc,XLOOKUP($D951,'Move Editor'!$B:$B,'Move Editor'!$F:$F,100),atk,IF(cat="Physical",FLOOR((FLOOR(((2*XLOOKUP(XLOOKUP($Q951,'Threshold Summary'!$Y:$Y,'Threshold Summary'!$K:$K,""),'Pokemon Editor'!$A:$A,'Pokemon Editor'!$F:$F,0)+31+FLOOR(XLOOKUP($Q951,'Threshold Summary'!$Y:$Y,'Threshold Summary'!$P:$P,"")/4))*XLOOKUP($Q951,'Threshold Summary'!$Y:$Y,'Threshold Summary'!$L:$L,""))/100)+5)*XLOOKUP(XLOOKUP($Q951,'Threshold Summary'!$Y:$Y,'Threshold Summary'!$M:$M,""),'Nature Editor'!$A:$A,'Nature Editor'!$B:$B,1)),FLOOR((FLOOR(((2*XLOOKUP(XLOOKUP($Q951,'Threshold Summary'!$Y:$Y,'Threshold Summary'!$K:$K,""),'Pokemon Editor'!$A:$A,'Pokemon Editor'!$H:$H,0)+31+FLOOR(XLOOKUP($Q951,'Threshold Summary'!$Y:$Y,'Threshold Summary'!$R:$R,"")/4))*XLOOKUP($Q951,'Threshold Summary'!$Y:$Y,'Threshold Summary'!$L:$L,""))/100)+5)*XLOOKUP(XLOOKUP($Q951,'Threshold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Editor'!$E:$E,1))),stab,IF(OR(mtype=XLOOKUP(XLOOKUP($Q951,'Threshold Summary'!$Y:$Y,'Threshold Summary'!$K:$K,""),'Pokemon Editor'!$A:$A,'Pokemon Editor'!$C:$C,""),mtype=XLOOKUP(XLOOKUP($Q951,'Threshold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Chart'!$B$1:$S$1,0)))),base,IF(OR(cat="Status",pow=0),0,FLOOR(FLOOR(FLOOR((2*XLOOKUP($Q951,'Threshold Summary'!$Y:$Y,'Threshold Summary'!$L:$L,"")/5+2)*pow*atk/def)/50)+2)),modifier,stab*eff,FLOOR(base*modifier)),0)</f>
        <v/>
      </c>
      <c r="L951" s="3">
        <f>IFERROR(LET(mtype,XLOOKUP($D951,'Move Editor'!$B:$B,'Move Editor'!$C:$C,""),cat,XLOOKUP($D951,'Move Editor'!$B:$B,'Move Editor'!$D:$D,""),pow,XLOOKUP($D951,'Move Editor'!$B:$B,'Move Editor'!$E:$E,0),acc,XLOOKUP($D951,'Move Editor'!$B:$B,'Move Editor'!$F:$F,100),atk,IF(cat="Physical",FLOOR((FLOOR(((2*XLOOKUP(XLOOKUP($Q951,'Threshold Summary'!$Y:$Y,'Threshold Summary'!$K:$K,""),'Pokemon Editor'!$A:$A,'Pokemon Editor'!$F:$F,0)+31+FLOOR(XLOOKUP($Q951,'Threshold Summary'!$Y:$Y,'Threshold Summary'!$P:$P,"")/4))*XLOOKUP($Q951,'Threshold Summary'!$Y:$Y,'Threshold Summary'!$L:$L,""))/100)+5)*XLOOKUP(XLOOKUP($Q951,'Threshold Summary'!$Y:$Y,'Threshold Summary'!$M:$M,""),'Nature Editor'!$A:$A,'Nature Editor'!$B:$B,1)),FLOOR((FLOOR(((2*XLOOKUP(XLOOKUP($Q951,'Threshold Summary'!$Y:$Y,'Threshold Summary'!$K:$K,""),'Pokemon Editor'!$A:$A,'Pokemon Editor'!$H:$H,0)+31+FLOOR(XLOOKUP($Q951,'Threshold Summary'!$Y:$Y,'Threshold Summary'!$R:$R,"")/4))*XLOOKUP($Q951,'Threshold Summary'!$Y:$Y,'Threshold Summary'!$L:$L,""))/100)+5)*XLOOKUP(XLOOKUP($Q951,'Threshold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Editor'!$E:$E,1))),stab,IF(OR(mtype=XLOOKUP(XLOOKUP($Q951,'Threshold Summary'!$Y:$Y,'Threshold Summary'!$K:$K,""),'Pokemon Editor'!$A:$A,'Pokemon Editor'!$C:$C,""),mtype=XLOOKUP(XLOOKUP($Q951,'Threshold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Chart'!$B$1:$S$1,0)))),base,IF(OR(cat="Status",pow=0),0,FLOOR(FLOOR(FLOOR((2*XLOOKUP($Q951,'Threshold Summary'!$Y:$Y,'Threshold Summary'!$L:$L,"")/5+2)*pow*atk/def)/50)+2)),modifier,stab*eff,AVERAGE(ARRAYFORMULA(FLOOR(base*modifier*SEQUENCE(16,1,85,1)/100)))),0)</f>
        <v/>
      </c>
      <c r="M951" s="3">
        <f>IFERROR(LET(mtype,XLOOKUP($D951,'Move Editor'!$B:$B,'Move Editor'!$C:$C,""),cat,XLOOKUP($D951,'Move Editor'!$B:$B,'Move Editor'!$D:$D,""),pow,XLOOKUP($D951,'Move Editor'!$B:$B,'Move Editor'!$E:$E,0),acc,XLOOKUP($D951,'Move Editor'!$B:$B,'Move Editor'!$F:$F,100),atk,IF(cat="Physical",FLOOR((FLOOR(((2*XLOOKUP(XLOOKUP($Q951,'Threshold Summary'!$Y:$Y,'Threshold Summary'!$K:$K,""),'Pokemon Editor'!$A:$A,'Pokemon Editor'!$F:$F,0)+31+FLOOR(XLOOKUP($Q951,'Threshold Summary'!$Y:$Y,'Threshold Summary'!$P:$P,"")/4))*XLOOKUP($Q951,'Threshold Summary'!$Y:$Y,'Threshold Summary'!$L:$L,""))/100)+5)*XLOOKUP(XLOOKUP($Q951,'Threshold Summary'!$Y:$Y,'Threshold Summary'!$M:$M,""),'Nature Editor'!$A:$A,'Nature Editor'!$B:$B,1)),FLOOR((FLOOR(((2*XLOOKUP(XLOOKUP($Q951,'Threshold Summary'!$Y:$Y,'Threshold Summary'!$K:$K,""),'Pokemon Editor'!$A:$A,'Pokemon Editor'!$H:$H,0)+31+FLOOR(XLOOKUP($Q951,'Threshold Summary'!$Y:$Y,'Threshold Summary'!$R:$R,"")/4))*XLOOKUP($Q951,'Threshold Summary'!$Y:$Y,'Threshold Summary'!$L:$L,""))/100)+5)*XLOOKUP(XLOOKUP($Q951,'Threshold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Editor'!$E:$E,1))),stab,IF(OR(mtype=XLOOKUP(XLOOKUP($Q951,'Threshold Summary'!$Y:$Y,'Threshold Summary'!$K:$K,""),'Pokemon Editor'!$A:$A,'Pokemon Editor'!$C:$C,""),mtype=XLOOKUP(XLOOKUP($Q951,'Threshold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Chart'!$B$1:$S$1,0)))),base,IF(OR(cat="Status",pow=0),0,FLOOR(FLOOR(FLOOR((2*XLOOKUP($Q951,'Threshold Summary'!$Y:$Y,'Threshold Summary'!$L:$L,"")/5+2)*pow*atk/def)/50)+2)),modifier,stab*eff,AVERAGE(ARRAYFORMULA(FLOOR(base*modifier*SEQUENCE(16,1,85,1)/100)))*MIN(1,acc/100)),0)</f>
        <v/>
      </c>
      <c r="N951" s="4">
        <f>IFERROR(LET(mtype,XLOOKUP($D951,'Move Editor'!$B:$B,'Move Editor'!$C:$C,""),cat,XLOOKUP($D951,'Move Editor'!$B:$B,'Move Editor'!$D:$D,""),pow,XLOOKUP($D951,'Move Editor'!$B:$B,'Move Editor'!$E:$E,0),acc,XLOOKUP($D951,'Move Editor'!$B:$B,'Move Editor'!$F:$F,100),atk,IF(cat="Physical",FLOOR((FLOOR(((2*XLOOKUP(XLOOKUP($Q951,'Threshold Summary'!$Y:$Y,'Threshold Summary'!$K:$K,""),'Pokemon Editor'!$A:$A,'Pokemon Editor'!$F:$F,0)+31+FLOOR(XLOOKUP($Q951,'Threshold Summary'!$Y:$Y,'Threshold Summary'!$P:$P,"")/4))*XLOOKUP($Q951,'Threshold Summary'!$Y:$Y,'Threshold Summary'!$L:$L,""))/100)+5)*XLOOKUP(XLOOKUP($Q951,'Threshold Summary'!$Y:$Y,'Threshold Summary'!$M:$M,""),'Nature Editor'!$A:$A,'Nature Editor'!$B:$B,1)),FLOOR((FLOOR(((2*XLOOKUP(XLOOKUP($Q951,'Threshold Summary'!$Y:$Y,'Threshold Summary'!$K:$K,""),'Pokemon Editor'!$A:$A,'Pokemon Editor'!$H:$H,0)+31+FLOOR(XLOOKUP($Q951,'Threshold Summary'!$Y:$Y,'Threshold Summary'!$R:$R,"")/4))*XLOOKUP($Q951,'Threshold Summary'!$Y:$Y,'Threshold Summary'!$L:$L,""))/100)+5)*XLOOKUP(XLOOKUP($Q951,'Threshold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Editor'!$E:$E,1))),stab,IF(OR(mtype=XLOOKUP(XLOOKUP($Q951,'Threshold Summary'!$Y:$Y,'Threshold Summary'!$K:$K,""),'Pokemon Editor'!$A:$A,'Pokemon Editor'!$C:$C,""),mtype=XLOOKUP(XLOOKUP($Q951,'Threshold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Chart'!$B$1:$S$1,0)))),base,IF(OR(cat="Status",pow=0),0,FLOOR(FLOOR(FLOOR((2*XLOOKUP($Q951,'Threshold Summary'!$Y:$Y,'Threshold Summary'!$L:$L,"")/5+2)*pow*atk/def)/50)+2)),modifier,stab*eff,AVERAGE(ARRAYFORMULA(FLOOR(base*modifier*SEQUENCE(16,1,85,1)/100)))/(FLOOR(((2*XLOOKUP('Boss Editor'!$C$4,'Pokemon Editor'!$A:$A,'Pokemon Editor'!$E:$E,0)+31+FLOOR('Boss Editor'!$G$4/4))*'Boss Editor'!$D$4)/100)+'Boss Editor'!$D$4+10)),0)</f>
        <v/>
      </c>
      <c r="O951" s="3">
        <f>IF(N951&gt;=1,"OHKO",IF(N951&gt;=0.5,"2HKO",IF(N951&gt;=0.333,"3HKO",IF(N951&gt;=0.25,"4HKO","5HKO+"))))</f>
        <v/>
      </c>
      <c r="P951" s="3" t="inlineStr">
        <is>
          <t>Live from editable databases</t>
        </is>
      </c>
      <c r="Q951" s="3" t="inlineStr">
        <is>
          <t>SPECIES_CHARCADET</t>
        </is>
      </c>
      <c r="R951" s="3" t="n">
        <v>22</v>
      </c>
    </row>
    <row r="952">
      <c r="A952" s="3">
        <f>XLOOKUP($Q952,'Threshold Summary'!$Y:$Y,'Threshold Summary'!$A:$A,"")</f>
        <v/>
      </c>
      <c r="B952" s="3">
        <f>XLOOKUP($Q952,'Threshold Summary'!$Y:$Y,'Threshold Summary'!$M:$M,"")</f>
        <v/>
      </c>
      <c r="C952" s="3">
        <f>XLOOKUP($Q952,'Threshold Summary'!$Y:$Y,'Threshold Summary'!$N:$N,"")</f>
        <v/>
      </c>
      <c r="D952" s="3">
        <f>IFERROR(INDEX(FILTER('Learnset Editor'!$D$2:$D,'Learnset Editor'!$A$2:$A=XLOOKUP($Q952,'Threshold Summary'!$Y:$Y,'Threshold Summary'!$K:$K,""),'Learnset Editor'!$C$2:$C&lt;=XLOOKUP($Q952,'Threshold Summary'!$Y:$Y,'Threshold Summary'!$L:$L,"")),$R952),"")</f>
        <v/>
      </c>
      <c r="E952" s="3">
        <f>XLOOKUP(D952,'Move Editor'!$B:$B,'Move Editor'!$C:$C,"")</f>
        <v/>
      </c>
      <c r="F952" s="3">
        <f>XLOOKUP(D952,'Move Editor'!$B:$B,'Move Editor'!$D:$D,"")</f>
        <v/>
      </c>
      <c r="G952" s="3">
        <f>XLOOKUP(D952,'Move Editor'!$B:$B,'Move Editor'!$E:$E,0)</f>
        <v/>
      </c>
      <c r="H952" s="3">
        <f>XLOOKUP(D952,'Move Editor'!$B:$B,'Move Editor'!$F:$F,0)</f>
        <v/>
      </c>
      <c r="I952" s="3">
        <f>(INDEX('Type Chart'!$B:$S,MATCH(E952,'Type Chart'!$A:$A,0),MATCH(XLOOKUP('Boss Editor'!$C$4,'Pokemon Editor'!$A:$A,'Pokemon Editor'!$C:$C,""),'Type Chart'!$B$1:$S$1,0))*IF(XLOOKUP('Boss Editor'!$C$4,'Pokemon Editor'!$A:$A,'Pokemon Editor'!$D:$D,"")="",1,INDEX('Type Chart'!$B:$S,MATCH(E952,'Type Chart'!$A:$A,0),MATCH(XLOOKUP('Boss Editor'!$C$4,'Pokemon Editor'!$A:$A,'Pokemon Editor'!$D:$D,""),'Type Chart'!$B$1:$S$1,0))))</f>
        <v/>
      </c>
      <c r="J952" s="3">
        <f>IFERROR(LET(mtype,XLOOKUP($D952,'Move Editor'!$B:$B,'Move Editor'!$C:$C,""),cat,XLOOKUP($D952,'Move Editor'!$B:$B,'Move Editor'!$D:$D,""),pow,XLOOKUP($D952,'Move Editor'!$B:$B,'Move Editor'!$E:$E,0),acc,XLOOKUP($D952,'Move Editor'!$B:$B,'Move Editor'!$F:$F,100),atk,IF(cat="Physical",FLOOR((FLOOR(((2*XLOOKUP(XLOOKUP($Q952,'Threshold Summary'!$Y:$Y,'Threshold Summary'!$K:$K,""),'Pokemon Editor'!$A:$A,'Pokemon Editor'!$F:$F,0)+31+FLOOR(XLOOKUP($Q952,'Threshold Summary'!$Y:$Y,'Threshold Summary'!$P:$P,"")/4))*XLOOKUP($Q952,'Threshold Summary'!$Y:$Y,'Threshold Summary'!$L:$L,""))/100)+5)*XLOOKUP(XLOOKUP($Q952,'Threshold Summary'!$Y:$Y,'Threshold Summary'!$M:$M,""),'Nature Editor'!$A:$A,'Nature Editor'!$B:$B,1)),FLOOR((FLOOR(((2*XLOOKUP(XLOOKUP($Q952,'Threshold Summary'!$Y:$Y,'Threshold Summary'!$K:$K,""),'Pokemon Editor'!$A:$A,'Pokemon Editor'!$H:$H,0)+31+FLOOR(XLOOKUP($Q952,'Threshold Summary'!$Y:$Y,'Threshold Summary'!$R:$R,"")/4))*XLOOKUP($Q952,'Threshold Summary'!$Y:$Y,'Threshold Summary'!$L:$L,""))/100)+5)*XLOOKUP(XLOOKUP($Q952,'Threshold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Editor'!$E:$E,1))),stab,IF(OR(mtype=XLOOKUP(XLOOKUP($Q952,'Threshold Summary'!$Y:$Y,'Threshold Summary'!$K:$K,""),'Pokemon Editor'!$A:$A,'Pokemon Editor'!$C:$C,""),mtype=XLOOKUP(XLOOKUP($Q952,'Threshold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Chart'!$B$1:$S$1,0)))),base,IF(OR(cat="Status",pow=0),0,FLOOR(FLOOR(FLOOR((2*XLOOKUP($Q952,'Threshold Summary'!$Y:$Y,'Threshold Summary'!$L:$L,"")/5+2)*pow*atk/def)/50)+2)),modifier,stab*eff,FLOOR(base*modifier*0.85)),0)</f>
        <v/>
      </c>
      <c r="K952" s="3">
        <f>IFERROR(LET(mtype,XLOOKUP($D952,'Move Editor'!$B:$B,'Move Editor'!$C:$C,""),cat,XLOOKUP($D952,'Move Editor'!$B:$B,'Move Editor'!$D:$D,""),pow,XLOOKUP($D952,'Move Editor'!$B:$B,'Move Editor'!$E:$E,0),acc,XLOOKUP($D952,'Move Editor'!$B:$B,'Move Editor'!$F:$F,100),atk,IF(cat="Physical",FLOOR((FLOOR(((2*XLOOKUP(XLOOKUP($Q952,'Threshold Summary'!$Y:$Y,'Threshold Summary'!$K:$K,""),'Pokemon Editor'!$A:$A,'Pokemon Editor'!$F:$F,0)+31+FLOOR(XLOOKUP($Q952,'Threshold Summary'!$Y:$Y,'Threshold Summary'!$P:$P,"")/4))*XLOOKUP($Q952,'Threshold Summary'!$Y:$Y,'Threshold Summary'!$L:$L,""))/100)+5)*XLOOKUP(XLOOKUP($Q952,'Threshold Summary'!$Y:$Y,'Threshold Summary'!$M:$M,""),'Nature Editor'!$A:$A,'Nature Editor'!$B:$B,1)),FLOOR((FLOOR(((2*XLOOKUP(XLOOKUP($Q952,'Threshold Summary'!$Y:$Y,'Threshold Summary'!$K:$K,""),'Pokemon Editor'!$A:$A,'Pokemon Editor'!$H:$H,0)+31+FLOOR(XLOOKUP($Q952,'Threshold Summary'!$Y:$Y,'Threshold Summary'!$R:$R,"")/4))*XLOOKUP($Q952,'Threshold Summary'!$Y:$Y,'Threshold Summary'!$L:$L,""))/100)+5)*XLOOKUP(XLOOKUP($Q952,'Threshold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Editor'!$E:$E,1))),stab,IF(OR(mtype=XLOOKUP(XLOOKUP($Q952,'Threshold Summary'!$Y:$Y,'Threshold Summary'!$K:$K,""),'Pokemon Editor'!$A:$A,'Pokemon Editor'!$C:$C,""),mtype=XLOOKUP(XLOOKUP($Q952,'Threshold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Chart'!$B$1:$S$1,0)))),base,IF(OR(cat="Status",pow=0),0,FLOOR(FLOOR(FLOOR((2*XLOOKUP($Q952,'Threshold Summary'!$Y:$Y,'Threshold Summary'!$L:$L,"")/5+2)*pow*atk/def)/50)+2)),modifier,stab*eff,FLOOR(base*modifier)),0)</f>
        <v/>
      </c>
      <c r="L952" s="3">
        <f>IFERROR(LET(mtype,XLOOKUP($D952,'Move Editor'!$B:$B,'Move Editor'!$C:$C,""),cat,XLOOKUP($D952,'Move Editor'!$B:$B,'Move Editor'!$D:$D,""),pow,XLOOKUP($D952,'Move Editor'!$B:$B,'Move Editor'!$E:$E,0),acc,XLOOKUP($D952,'Move Editor'!$B:$B,'Move Editor'!$F:$F,100),atk,IF(cat="Physical",FLOOR((FLOOR(((2*XLOOKUP(XLOOKUP($Q952,'Threshold Summary'!$Y:$Y,'Threshold Summary'!$K:$K,""),'Pokemon Editor'!$A:$A,'Pokemon Editor'!$F:$F,0)+31+FLOOR(XLOOKUP($Q952,'Threshold Summary'!$Y:$Y,'Threshold Summary'!$P:$P,"")/4))*XLOOKUP($Q952,'Threshold Summary'!$Y:$Y,'Threshold Summary'!$L:$L,""))/100)+5)*XLOOKUP(XLOOKUP($Q952,'Threshold Summary'!$Y:$Y,'Threshold Summary'!$M:$M,""),'Nature Editor'!$A:$A,'Nature Editor'!$B:$B,1)),FLOOR((FLOOR(((2*XLOOKUP(XLOOKUP($Q952,'Threshold Summary'!$Y:$Y,'Threshold Summary'!$K:$K,""),'Pokemon Editor'!$A:$A,'Pokemon Editor'!$H:$H,0)+31+FLOOR(XLOOKUP($Q952,'Threshold Summary'!$Y:$Y,'Threshold Summary'!$R:$R,"")/4))*XLOOKUP($Q952,'Threshold Summary'!$Y:$Y,'Threshold Summary'!$L:$L,""))/100)+5)*XLOOKUP(XLOOKUP($Q952,'Threshold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Editor'!$E:$E,1))),stab,IF(OR(mtype=XLOOKUP(XLOOKUP($Q952,'Threshold Summary'!$Y:$Y,'Threshold Summary'!$K:$K,""),'Pokemon Editor'!$A:$A,'Pokemon Editor'!$C:$C,""),mtype=XLOOKUP(XLOOKUP($Q952,'Threshold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Chart'!$B$1:$S$1,0)))),base,IF(OR(cat="Status",pow=0),0,FLOOR(FLOOR(FLOOR((2*XLOOKUP($Q952,'Threshold Summary'!$Y:$Y,'Threshold Summary'!$L:$L,"")/5+2)*pow*atk/def)/50)+2)),modifier,stab*eff,AVERAGE(ARRAYFORMULA(FLOOR(base*modifier*SEQUENCE(16,1,85,1)/100)))),0)</f>
        <v/>
      </c>
      <c r="M952" s="3">
        <f>IFERROR(LET(mtype,XLOOKUP($D952,'Move Editor'!$B:$B,'Move Editor'!$C:$C,""),cat,XLOOKUP($D952,'Move Editor'!$B:$B,'Move Editor'!$D:$D,""),pow,XLOOKUP($D952,'Move Editor'!$B:$B,'Move Editor'!$E:$E,0),acc,XLOOKUP($D952,'Move Editor'!$B:$B,'Move Editor'!$F:$F,100),atk,IF(cat="Physical",FLOOR((FLOOR(((2*XLOOKUP(XLOOKUP($Q952,'Threshold Summary'!$Y:$Y,'Threshold Summary'!$K:$K,""),'Pokemon Editor'!$A:$A,'Pokemon Editor'!$F:$F,0)+31+FLOOR(XLOOKUP($Q952,'Threshold Summary'!$Y:$Y,'Threshold Summary'!$P:$P,"")/4))*XLOOKUP($Q952,'Threshold Summary'!$Y:$Y,'Threshold Summary'!$L:$L,""))/100)+5)*XLOOKUP(XLOOKUP($Q952,'Threshold Summary'!$Y:$Y,'Threshold Summary'!$M:$M,""),'Nature Editor'!$A:$A,'Nature Editor'!$B:$B,1)),FLOOR((FLOOR(((2*XLOOKUP(XLOOKUP($Q952,'Threshold Summary'!$Y:$Y,'Threshold Summary'!$K:$K,""),'Pokemon Editor'!$A:$A,'Pokemon Editor'!$H:$H,0)+31+FLOOR(XLOOKUP($Q952,'Threshold Summary'!$Y:$Y,'Threshold Summary'!$R:$R,"")/4))*XLOOKUP($Q952,'Threshold Summary'!$Y:$Y,'Threshold Summary'!$L:$L,""))/100)+5)*XLOOKUP(XLOOKUP($Q952,'Threshold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Editor'!$E:$E,1))),stab,IF(OR(mtype=XLOOKUP(XLOOKUP($Q952,'Threshold Summary'!$Y:$Y,'Threshold Summary'!$K:$K,""),'Pokemon Editor'!$A:$A,'Pokemon Editor'!$C:$C,""),mtype=XLOOKUP(XLOOKUP($Q952,'Threshold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Chart'!$B$1:$S$1,0)))),base,IF(OR(cat="Status",pow=0),0,FLOOR(FLOOR(FLOOR((2*XLOOKUP($Q952,'Threshold Summary'!$Y:$Y,'Threshold Summary'!$L:$L,"")/5+2)*pow*atk/def)/50)+2)),modifier,stab*eff,AVERAGE(ARRAYFORMULA(FLOOR(base*modifier*SEQUENCE(16,1,85,1)/100)))*MIN(1,acc/100)),0)</f>
        <v/>
      </c>
      <c r="N952" s="4">
        <f>IFERROR(LET(mtype,XLOOKUP($D952,'Move Editor'!$B:$B,'Move Editor'!$C:$C,""),cat,XLOOKUP($D952,'Move Editor'!$B:$B,'Move Editor'!$D:$D,""),pow,XLOOKUP($D952,'Move Editor'!$B:$B,'Move Editor'!$E:$E,0),acc,XLOOKUP($D952,'Move Editor'!$B:$B,'Move Editor'!$F:$F,100),atk,IF(cat="Physical",FLOOR((FLOOR(((2*XLOOKUP(XLOOKUP($Q952,'Threshold Summary'!$Y:$Y,'Threshold Summary'!$K:$K,""),'Pokemon Editor'!$A:$A,'Pokemon Editor'!$F:$F,0)+31+FLOOR(XLOOKUP($Q952,'Threshold Summary'!$Y:$Y,'Threshold Summary'!$P:$P,"")/4))*XLOOKUP($Q952,'Threshold Summary'!$Y:$Y,'Threshold Summary'!$L:$L,""))/100)+5)*XLOOKUP(XLOOKUP($Q952,'Threshold Summary'!$Y:$Y,'Threshold Summary'!$M:$M,""),'Nature Editor'!$A:$A,'Nature Editor'!$B:$B,1)),FLOOR((FLOOR(((2*XLOOKUP(XLOOKUP($Q952,'Threshold Summary'!$Y:$Y,'Threshold Summary'!$K:$K,""),'Pokemon Editor'!$A:$A,'Pokemon Editor'!$H:$H,0)+31+FLOOR(XLOOKUP($Q952,'Threshold Summary'!$Y:$Y,'Threshold Summary'!$R:$R,"")/4))*XLOOKUP($Q952,'Threshold Summary'!$Y:$Y,'Threshold Summary'!$L:$L,""))/100)+5)*XLOOKUP(XLOOKUP($Q952,'Threshold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Editor'!$E:$E,1))),stab,IF(OR(mtype=XLOOKUP(XLOOKUP($Q952,'Threshold Summary'!$Y:$Y,'Threshold Summary'!$K:$K,""),'Pokemon Editor'!$A:$A,'Pokemon Editor'!$C:$C,""),mtype=XLOOKUP(XLOOKUP($Q952,'Threshold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Chart'!$B$1:$S$1,0)))),base,IF(OR(cat="Status",pow=0),0,FLOOR(FLOOR(FLOOR((2*XLOOKUP($Q952,'Threshold Summary'!$Y:$Y,'Threshold Summary'!$L:$L,"")/5+2)*pow*atk/def)/50)+2)),modifier,stab*eff,AVERAGE(ARRAYFORMULA(FLOOR(base*modifier*SEQUENCE(16,1,85,1)/100)))/(FLOOR(((2*XLOOKUP('Boss Editor'!$C$4,'Pokemon Editor'!$A:$A,'Pokemon Editor'!$E:$E,0)+31+FLOOR('Boss Editor'!$G$4/4))*'Boss Editor'!$D$4)/100)+'Boss Editor'!$D$4+10)),0)</f>
        <v/>
      </c>
      <c r="O952" s="3">
        <f>IF(N952&gt;=1,"OHKO",IF(N952&gt;=0.5,"2HKO",IF(N952&gt;=0.333,"3HKO",IF(N952&gt;=0.25,"4HKO","5HKO+"))))</f>
        <v/>
      </c>
      <c r="P952" s="3" t="inlineStr">
        <is>
          <t>Live from editable databases</t>
        </is>
      </c>
      <c r="Q952" s="3" t="inlineStr">
        <is>
          <t>SPECIES_CHARCADET</t>
        </is>
      </c>
      <c r="R952" s="3" t="n">
        <v>23</v>
      </c>
    </row>
    <row r="953">
      <c r="A953" s="3">
        <f>XLOOKUP($Q953,'Threshold Summary'!$Y:$Y,'Threshold Summary'!$A:$A,"")</f>
        <v/>
      </c>
      <c r="B953" s="3">
        <f>XLOOKUP($Q953,'Threshold Summary'!$Y:$Y,'Threshold Summary'!$M:$M,"")</f>
        <v/>
      </c>
      <c r="C953" s="3">
        <f>XLOOKUP($Q953,'Threshold Summary'!$Y:$Y,'Threshold Summary'!$N:$N,"")</f>
        <v/>
      </c>
      <c r="D953" s="3">
        <f>IFERROR(INDEX(FILTER('Learnset Editor'!$D$2:$D,'Learnset Editor'!$A$2:$A=XLOOKUP($Q953,'Threshold Summary'!$Y:$Y,'Threshold Summary'!$K:$K,""),'Learnset Editor'!$C$2:$C&lt;=XLOOKUP($Q953,'Threshold Summary'!$Y:$Y,'Threshold Summary'!$L:$L,"")),$R953),"")</f>
        <v/>
      </c>
      <c r="E953" s="3">
        <f>XLOOKUP(D953,'Move Editor'!$B:$B,'Move Editor'!$C:$C,"")</f>
        <v/>
      </c>
      <c r="F953" s="3">
        <f>XLOOKUP(D953,'Move Editor'!$B:$B,'Move Editor'!$D:$D,"")</f>
        <v/>
      </c>
      <c r="G953" s="3">
        <f>XLOOKUP(D953,'Move Editor'!$B:$B,'Move Editor'!$E:$E,0)</f>
        <v/>
      </c>
      <c r="H953" s="3">
        <f>XLOOKUP(D953,'Move Editor'!$B:$B,'Move Editor'!$F:$F,0)</f>
        <v/>
      </c>
      <c r="I953" s="3">
        <f>(INDEX('Type Chart'!$B:$S,MATCH(E953,'Type Chart'!$A:$A,0),MATCH(XLOOKUP('Boss Editor'!$C$4,'Pokemon Editor'!$A:$A,'Pokemon Editor'!$C:$C,""),'Type Chart'!$B$1:$S$1,0))*IF(XLOOKUP('Boss Editor'!$C$4,'Pokemon Editor'!$A:$A,'Pokemon Editor'!$D:$D,"")="",1,INDEX('Type Chart'!$B:$S,MATCH(E953,'Type Chart'!$A:$A,0),MATCH(XLOOKUP('Boss Editor'!$C$4,'Pokemon Editor'!$A:$A,'Pokemon Editor'!$D:$D,""),'Type Chart'!$B$1:$S$1,0))))</f>
        <v/>
      </c>
      <c r="J953" s="3">
        <f>IFERROR(LET(mtype,XLOOKUP($D953,'Move Editor'!$B:$B,'Move Editor'!$C:$C,""),cat,XLOOKUP($D953,'Move Editor'!$B:$B,'Move Editor'!$D:$D,""),pow,XLOOKUP($D953,'Move Editor'!$B:$B,'Move Editor'!$E:$E,0),acc,XLOOKUP($D953,'Move Editor'!$B:$B,'Move Editor'!$F:$F,100),atk,IF(cat="Physical",FLOOR((FLOOR(((2*XLOOKUP(XLOOKUP($Q953,'Threshold Summary'!$Y:$Y,'Threshold Summary'!$K:$K,""),'Pokemon Editor'!$A:$A,'Pokemon Editor'!$F:$F,0)+31+FLOOR(XLOOKUP($Q953,'Threshold Summary'!$Y:$Y,'Threshold Summary'!$P:$P,"")/4))*XLOOKUP($Q953,'Threshold Summary'!$Y:$Y,'Threshold Summary'!$L:$L,""))/100)+5)*XLOOKUP(XLOOKUP($Q953,'Threshold Summary'!$Y:$Y,'Threshold Summary'!$M:$M,""),'Nature Editor'!$A:$A,'Nature Editor'!$B:$B,1)),FLOOR((FLOOR(((2*XLOOKUP(XLOOKUP($Q953,'Threshold Summary'!$Y:$Y,'Threshold Summary'!$K:$K,""),'Pokemon Editor'!$A:$A,'Pokemon Editor'!$H:$H,0)+31+FLOOR(XLOOKUP($Q953,'Threshold Summary'!$Y:$Y,'Threshold Summary'!$R:$R,"")/4))*XLOOKUP($Q953,'Threshold Summary'!$Y:$Y,'Threshold Summary'!$L:$L,""))/100)+5)*XLOOKUP(XLOOKUP($Q953,'Threshold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Editor'!$E:$E,1))),stab,IF(OR(mtype=XLOOKUP(XLOOKUP($Q953,'Threshold Summary'!$Y:$Y,'Threshold Summary'!$K:$K,""),'Pokemon Editor'!$A:$A,'Pokemon Editor'!$C:$C,""),mtype=XLOOKUP(XLOOKUP($Q953,'Threshold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Chart'!$B$1:$S$1,0)))),base,IF(OR(cat="Status",pow=0),0,FLOOR(FLOOR(FLOOR((2*XLOOKUP($Q953,'Threshold Summary'!$Y:$Y,'Threshold Summary'!$L:$L,"")/5+2)*pow*atk/def)/50)+2)),modifier,stab*eff,FLOOR(base*modifier*0.85)),0)</f>
        <v/>
      </c>
      <c r="K953" s="3">
        <f>IFERROR(LET(mtype,XLOOKUP($D953,'Move Editor'!$B:$B,'Move Editor'!$C:$C,""),cat,XLOOKUP($D953,'Move Editor'!$B:$B,'Move Editor'!$D:$D,""),pow,XLOOKUP($D953,'Move Editor'!$B:$B,'Move Editor'!$E:$E,0),acc,XLOOKUP($D953,'Move Editor'!$B:$B,'Move Editor'!$F:$F,100),atk,IF(cat="Physical",FLOOR((FLOOR(((2*XLOOKUP(XLOOKUP($Q953,'Threshold Summary'!$Y:$Y,'Threshold Summary'!$K:$K,""),'Pokemon Editor'!$A:$A,'Pokemon Editor'!$F:$F,0)+31+FLOOR(XLOOKUP($Q953,'Threshold Summary'!$Y:$Y,'Threshold Summary'!$P:$P,"")/4))*XLOOKUP($Q953,'Threshold Summary'!$Y:$Y,'Threshold Summary'!$L:$L,""))/100)+5)*XLOOKUP(XLOOKUP($Q953,'Threshold Summary'!$Y:$Y,'Threshold Summary'!$M:$M,""),'Nature Editor'!$A:$A,'Nature Editor'!$B:$B,1)),FLOOR((FLOOR(((2*XLOOKUP(XLOOKUP($Q953,'Threshold Summary'!$Y:$Y,'Threshold Summary'!$K:$K,""),'Pokemon Editor'!$A:$A,'Pokemon Editor'!$H:$H,0)+31+FLOOR(XLOOKUP($Q953,'Threshold Summary'!$Y:$Y,'Threshold Summary'!$R:$R,"")/4))*XLOOKUP($Q953,'Threshold Summary'!$Y:$Y,'Threshold Summary'!$L:$L,""))/100)+5)*XLOOKUP(XLOOKUP($Q953,'Threshold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Editor'!$E:$E,1))),stab,IF(OR(mtype=XLOOKUP(XLOOKUP($Q953,'Threshold Summary'!$Y:$Y,'Threshold Summary'!$K:$K,""),'Pokemon Editor'!$A:$A,'Pokemon Editor'!$C:$C,""),mtype=XLOOKUP(XLOOKUP($Q953,'Threshold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Chart'!$B$1:$S$1,0)))),base,IF(OR(cat="Status",pow=0),0,FLOOR(FLOOR(FLOOR((2*XLOOKUP($Q953,'Threshold Summary'!$Y:$Y,'Threshold Summary'!$L:$L,"")/5+2)*pow*atk/def)/50)+2)),modifier,stab*eff,FLOOR(base*modifier)),0)</f>
        <v/>
      </c>
      <c r="L953" s="3">
        <f>IFERROR(LET(mtype,XLOOKUP($D953,'Move Editor'!$B:$B,'Move Editor'!$C:$C,""),cat,XLOOKUP($D953,'Move Editor'!$B:$B,'Move Editor'!$D:$D,""),pow,XLOOKUP($D953,'Move Editor'!$B:$B,'Move Editor'!$E:$E,0),acc,XLOOKUP($D953,'Move Editor'!$B:$B,'Move Editor'!$F:$F,100),atk,IF(cat="Physical",FLOOR((FLOOR(((2*XLOOKUP(XLOOKUP($Q953,'Threshold Summary'!$Y:$Y,'Threshold Summary'!$K:$K,""),'Pokemon Editor'!$A:$A,'Pokemon Editor'!$F:$F,0)+31+FLOOR(XLOOKUP($Q953,'Threshold Summary'!$Y:$Y,'Threshold Summary'!$P:$P,"")/4))*XLOOKUP($Q953,'Threshold Summary'!$Y:$Y,'Threshold Summary'!$L:$L,""))/100)+5)*XLOOKUP(XLOOKUP($Q953,'Threshold Summary'!$Y:$Y,'Threshold Summary'!$M:$M,""),'Nature Editor'!$A:$A,'Nature Editor'!$B:$B,1)),FLOOR((FLOOR(((2*XLOOKUP(XLOOKUP($Q953,'Threshold Summary'!$Y:$Y,'Threshold Summary'!$K:$K,""),'Pokemon Editor'!$A:$A,'Pokemon Editor'!$H:$H,0)+31+FLOOR(XLOOKUP($Q953,'Threshold Summary'!$Y:$Y,'Threshold Summary'!$R:$R,"")/4))*XLOOKUP($Q953,'Threshold Summary'!$Y:$Y,'Threshold Summary'!$L:$L,""))/100)+5)*XLOOKUP(XLOOKUP($Q953,'Threshold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Editor'!$E:$E,1))),stab,IF(OR(mtype=XLOOKUP(XLOOKUP($Q953,'Threshold Summary'!$Y:$Y,'Threshold Summary'!$K:$K,""),'Pokemon Editor'!$A:$A,'Pokemon Editor'!$C:$C,""),mtype=XLOOKUP(XLOOKUP($Q953,'Threshold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Chart'!$B$1:$S$1,0)))),base,IF(OR(cat="Status",pow=0),0,FLOOR(FLOOR(FLOOR((2*XLOOKUP($Q953,'Threshold Summary'!$Y:$Y,'Threshold Summary'!$L:$L,"")/5+2)*pow*atk/def)/50)+2)),modifier,stab*eff,AVERAGE(ARRAYFORMULA(FLOOR(base*modifier*SEQUENCE(16,1,85,1)/100)))),0)</f>
        <v/>
      </c>
      <c r="M953" s="3">
        <f>IFERROR(LET(mtype,XLOOKUP($D953,'Move Editor'!$B:$B,'Move Editor'!$C:$C,""),cat,XLOOKUP($D953,'Move Editor'!$B:$B,'Move Editor'!$D:$D,""),pow,XLOOKUP($D953,'Move Editor'!$B:$B,'Move Editor'!$E:$E,0),acc,XLOOKUP($D953,'Move Editor'!$B:$B,'Move Editor'!$F:$F,100),atk,IF(cat="Physical",FLOOR((FLOOR(((2*XLOOKUP(XLOOKUP($Q953,'Threshold Summary'!$Y:$Y,'Threshold Summary'!$K:$K,""),'Pokemon Editor'!$A:$A,'Pokemon Editor'!$F:$F,0)+31+FLOOR(XLOOKUP($Q953,'Threshold Summary'!$Y:$Y,'Threshold Summary'!$P:$P,"")/4))*XLOOKUP($Q953,'Threshold Summary'!$Y:$Y,'Threshold Summary'!$L:$L,""))/100)+5)*XLOOKUP(XLOOKUP($Q953,'Threshold Summary'!$Y:$Y,'Threshold Summary'!$M:$M,""),'Nature Editor'!$A:$A,'Nature Editor'!$B:$B,1)),FLOOR((FLOOR(((2*XLOOKUP(XLOOKUP($Q953,'Threshold Summary'!$Y:$Y,'Threshold Summary'!$K:$K,""),'Pokemon Editor'!$A:$A,'Pokemon Editor'!$H:$H,0)+31+FLOOR(XLOOKUP($Q953,'Threshold Summary'!$Y:$Y,'Threshold Summary'!$R:$R,"")/4))*XLOOKUP($Q953,'Threshold Summary'!$Y:$Y,'Threshold Summary'!$L:$L,""))/100)+5)*XLOOKUP(XLOOKUP($Q953,'Threshold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Editor'!$E:$E,1))),stab,IF(OR(mtype=XLOOKUP(XLOOKUP($Q953,'Threshold Summary'!$Y:$Y,'Threshold Summary'!$K:$K,""),'Pokemon Editor'!$A:$A,'Pokemon Editor'!$C:$C,""),mtype=XLOOKUP(XLOOKUP($Q953,'Threshold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Chart'!$B$1:$S$1,0)))),base,IF(OR(cat="Status",pow=0),0,FLOOR(FLOOR(FLOOR((2*XLOOKUP($Q953,'Threshold Summary'!$Y:$Y,'Threshold Summary'!$L:$L,"")/5+2)*pow*atk/def)/50)+2)),modifier,stab*eff,AVERAGE(ARRAYFORMULA(FLOOR(base*modifier*SEQUENCE(16,1,85,1)/100)))*MIN(1,acc/100)),0)</f>
        <v/>
      </c>
      <c r="N953" s="4">
        <f>IFERROR(LET(mtype,XLOOKUP($D953,'Move Editor'!$B:$B,'Move Editor'!$C:$C,""),cat,XLOOKUP($D953,'Move Editor'!$B:$B,'Move Editor'!$D:$D,""),pow,XLOOKUP($D953,'Move Editor'!$B:$B,'Move Editor'!$E:$E,0),acc,XLOOKUP($D953,'Move Editor'!$B:$B,'Move Editor'!$F:$F,100),atk,IF(cat="Physical",FLOOR((FLOOR(((2*XLOOKUP(XLOOKUP($Q953,'Threshold Summary'!$Y:$Y,'Threshold Summary'!$K:$K,""),'Pokemon Editor'!$A:$A,'Pokemon Editor'!$F:$F,0)+31+FLOOR(XLOOKUP($Q953,'Threshold Summary'!$Y:$Y,'Threshold Summary'!$P:$P,"")/4))*XLOOKUP($Q953,'Threshold Summary'!$Y:$Y,'Threshold Summary'!$L:$L,""))/100)+5)*XLOOKUP(XLOOKUP($Q953,'Threshold Summary'!$Y:$Y,'Threshold Summary'!$M:$M,""),'Nature Editor'!$A:$A,'Nature Editor'!$B:$B,1)),FLOOR((FLOOR(((2*XLOOKUP(XLOOKUP($Q953,'Threshold Summary'!$Y:$Y,'Threshold Summary'!$K:$K,""),'Pokemon Editor'!$A:$A,'Pokemon Editor'!$H:$H,0)+31+FLOOR(XLOOKUP($Q953,'Threshold Summary'!$Y:$Y,'Threshold Summary'!$R:$R,"")/4))*XLOOKUP($Q953,'Threshold Summary'!$Y:$Y,'Threshold Summary'!$L:$L,""))/100)+5)*XLOOKUP(XLOOKUP($Q953,'Threshold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Editor'!$E:$E,1))),stab,IF(OR(mtype=XLOOKUP(XLOOKUP($Q953,'Threshold Summary'!$Y:$Y,'Threshold Summary'!$K:$K,""),'Pokemon Editor'!$A:$A,'Pokemon Editor'!$C:$C,""),mtype=XLOOKUP(XLOOKUP($Q953,'Threshold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Chart'!$B$1:$S$1,0)))),base,IF(OR(cat="Status",pow=0),0,FLOOR(FLOOR(FLOOR((2*XLOOKUP($Q953,'Threshold Summary'!$Y:$Y,'Threshold Summary'!$L:$L,"")/5+2)*pow*atk/def)/50)+2)),modifier,stab*eff,AVERAGE(ARRAYFORMULA(FLOOR(base*modifier*SEQUENCE(16,1,85,1)/100)))/(FLOOR(((2*XLOOKUP('Boss Editor'!$C$4,'Pokemon Editor'!$A:$A,'Pokemon Editor'!$E:$E,0)+31+FLOOR('Boss Editor'!$G$4/4))*'Boss Editor'!$D$4)/100)+'Boss Editor'!$D$4+10)),0)</f>
        <v/>
      </c>
      <c r="O953" s="3">
        <f>IF(N953&gt;=1,"OHKO",IF(N953&gt;=0.5,"2HKO",IF(N953&gt;=0.333,"3HKO",IF(N953&gt;=0.25,"4HKO","5HKO+"))))</f>
        <v/>
      </c>
      <c r="P953" s="3" t="inlineStr">
        <is>
          <t>Live from editable databases</t>
        </is>
      </c>
      <c r="Q953" s="3" t="inlineStr">
        <is>
          <t>SPECIES_CHARCADET</t>
        </is>
      </c>
      <c r="R953" s="3" t="n">
        <v>24</v>
      </c>
    </row>
    <row r="954">
      <c r="A954" s="3">
        <f>XLOOKUP($Q954,'Threshold Summary'!$Y:$Y,'Threshold Summary'!$A:$A,"")</f>
        <v/>
      </c>
      <c r="B954" s="3">
        <f>XLOOKUP($Q954,'Threshold Summary'!$Y:$Y,'Threshold Summary'!$M:$M,"")</f>
        <v/>
      </c>
      <c r="C954" s="3">
        <f>XLOOKUP($Q954,'Threshold Summary'!$Y:$Y,'Threshold Summary'!$N:$N,"")</f>
        <v/>
      </c>
      <c r="D954" s="3">
        <f>IFERROR(INDEX(FILTER('Learnset Editor'!$D$2:$D,'Learnset Editor'!$A$2:$A=XLOOKUP($Q954,'Threshold Summary'!$Y:$Y,'Threshold Summary'!$K:$K,""),'Learnset Editor'!$C$2:$C&lt;=XLOOKUP($Q954,'Threshold Summary'!$Y:$Y,'Threshold Summary'!$L:$L,"")),$R954),"")</f>
        <v/>
      </c>
      <c r="E954" s="3">
        <f>XLOOKUP(D954,'Move Editor'!$B:$B,'Move Editor'!$C:$C,"")</f>
        <v/>
      </c>
      <c r="F954" s="3">
        <f>XLOOKUP(D954,'Move Editor'!$B:$B,'Move Editor'!$D:$D,"")</f>
        <v/>
      </c>
      <c r="G954" s="3">
        <f>XLOOKUP(D954,'Move Editor'!$B:$B,'Move Editor'!$E:$E,0)</f>
        <v/>
      </c>
      <c r="H954" s="3">
        <f>XLOOKUP(D954,'Move Editor'!$B:$B,'Move Editor'!$F:$F,0)</f>
        <v/>
      </c>
      <c r="I954" s="3">
        <f>(INDEX('Type Chart'!$B:$S,MATCH(E954,'Type Chart'!$A:$A,0),MATCH(XLOOKUP('Boss Editor'!$C$4,'Pokemon Editor'!$A:$A,'Pokemon Editor'!$C:$C,""),'Type Chart'!$B$1:$S$1,0))*IF(XLOOKUP('Boss Editor'!$C$4,'Pokemon Editor'!$A:$A,'Pokemon Editor'!$D:$D,"")="",1,INDEX('Type Chart'!$B:$S,MATCH(E954,'Type Chart'!$A:$A,0),MATCH(XLOOKUP('Boss Editor'!$C$4,'Pokemon Editor'!$A:$A,'Pokemon Editor'!$D:$D,""),'Type Chart'!$B$1:$S$1,0))))</f>
        <v/>
      </c>
      <c r="J954" s="3">
        <f>IFERROR(LET(mtype,XLOOKUP($D954,'Move Editor'!$B:$B,'Move Editor'!$C:$C,""),cat,XLOOKUP($D954,'Move Editor'!$B:$B,'Move Editor'!$D:$D,""),pow,XLOOKUP($D954,'Move Editor'!$B:$B,'Move Editor'!$E:$E,0),acc,XLOOKUP($D954,'Move Editor'!$B:$B,'Move Editor'!$F:$F,100),atk,IF(cat="Physical",FLOOR((FLOOR(((2*XLOOKUP(XLOOKUP($Q954,'Threshold Summary'!$Y:$Y,'Threshold Summary'!$K:$K,""),'Pokemon Editor'!$A:$A,'Pokemon Editor'!$F:$F,0)+31+FLOOR(XLOOKUP($Q954,'Threshold Summary'!$Y:$Y,'Threshold Summary'!$P:$P,"")/4))*XLOOKUP($Q954,'Threshold Summary'!$Y:$Y,'Threshold Summary'!$L:$L,""))/100)+5)*XLOOKUP(XLOOKUP($Q954,'Threshold Summary'!$Y:$Y,'Threshold Summary'!$M:$M,""),'Nature Editor'!$A:$A,'Nature Editor'!$B:$B,1)),FLOOR((FLOOR(((2*XLOOKUP(XLOOKUP($Q954,'Threshold Summary'!$Y:$Y,'Threshold Summary'!$K:$K,""),'Pokemon Editor'!$A:$A,'Pokemon Editor'!$H:$H,0)+31+FLOOR(XLOOKUP($Q954,'Threshold Summary'!$Y:$Y,'Threshold Summary'!$R:$R,"")/4))*XLOOKUP($Q954,'Threshold Summary'!$Y:$Y,'Threshold Summary'!$L:$L,""))/100)+5)*XLOOKUP(XLOOKUP($Q954,'Threshold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Editor'!$E:$E,1))),stab,IF(OR(mtype=XLOOKUP(XLOOKUP($Q954,'Threshold Summary'!$Y:$Y,'Threshold Summary'!$K:$K,""),'Pokemon Editor'!$A:$A,'Pokemon Editor'!$C:$C,""),mtype=XLOOKUP(XLOOKUP($Q954,'Threshold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Chart'!$B$1:$S$1,0)))),base,IF(OR(cat="Status",pow=0),0,FLOOR(FLOOR(FLOOR((2*XLOOKUP($Q954,'Threshold Summary'!$Y:$Y,'Threshold Summary'!$L:$L,"")/5+2)*pow*atk/def)/50)+2)),modifier,stab*eff,FLOOR(base*modifier*0.85)),0)</f>
        <v/>
      </c>
      <c r="K954" s="3">
        <f>IFERROR(LET(mtype,XLOOKUP($D954,'Move Editor'!$B:$B,'Move Editor'!$C:$C,""),cat,XLOOKUP($D954,'Move Editor'!$B:$B,'Move Editor'!$D:$D,""),pow,XLOOKUP($D954,'Move Editor'!$B:$B,'Move Editor'!$E:$E,0),acc,XLOOKUP($D954,'Move Editor'!$B:$B,'Move Editor'!$F:$F,100),atk,IF(cat="Physical",FLOOR((FLOOR(((2*XLOOKUP(XLOOKUP($Q954,'Threshold Summary'!$Y:$Y,'Threshold Summary'!$K:$K,""),'Pokemon Editor'!$A:$A,'Pokemon Editor'!$F:$F,0)+31+FLOOR(XLOOKUP($Q954,'Threshold Summary'!$Y:$Y,'Threshold Summary'!$P:$P,"")/4))*XLOOKUP($Q954,'Threshold Summary'!$Y:$Y,'Threshold Summary'!$L:$L,""))/100)+5)*XLOOKUP(XLOOKUP($Q954,'Threshold Summary'!$Y:$Y,'Threshold Summary'!$M:$M,""),'Nature Editor'!$A:$A,'Nature Editor'!$B:$B,1)),FLOOR((FLOOR(((2*XLOOKUP(XLOOKUP($Q954,'Threshold Summary'!$Y:$Y,'Threshold Summary'!$K:$K,""),'Pokemon Editor'!$A:$A,'Pokemon Editor'!$H:$H,0)+31+FLOOR(XLOOKUP($Q954,'Threshold Summary'!$Y:$Y,'Threshold Summary'!$R:$R,"")/4))*XLOOKUP($Q954,'Threshold Summary'!$Y:$Y,'Threshold Summary'!$L:$L,""))/100)+5)*XLOOKUP(XLOOKUP($Q954,'Threshold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Editor'!$E:$E,1))),stab,IF(OR(mtype=XLOOKUP(XLOOKUP($Q954,'Threshold Summary'!$Y:$Y,'Threshold Summary'!$K:$K,""),'Pokemon Editor'!$A:$A,'Pokemon Editor'!$C:$C,""),mtype=XLOOKUP(XLOOKUP($Q954,'Threshold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Chart'!$B$1:$S$1,0)))),base,IF(OR(cat="Status",pow=0),0,FLOOR(FLOOR(FLOOR((2*XLOOKUP($Q954,'Threshold Summary'!$Y:$Y,'Threshold Summary'!$L:$L,"")/5+2)*pow*atk/def)/50)+2)),modifier,stab*eff,FLOOR(base*modifier)),0)</f>
        <v/>
      </c>
      <c r="L954" s="3">
        <f>IFERROR(LET(mtype,XLOOKUP($D954,'Move Editor'!$B:$B,'Move Editor'!$C:$C,""),cat,XLOOKUP($D954,'Move Editor'!$B:$B,'Move Editor'!$D:$D,""),pow,XLOOKUP($D954,'Move Editor'!$B:$B,'Move Editor'!$E:$E,0),acc,XLOOKUP($D954,'Move Editor'!$B:$B,'Move Editor'!$F:$F,100),atk,IF(cat="Physical",FLOOR((FLOOR(((2*XLOOKUP(XLOOKUP($Q954,'Threshold Summary'!$Y:$Y,'Threshold Summary'!$K:$K,""),'Pokemon Editor'!$A:$A,'Pokemon Editor'!$F:$F,0)+31+FLOOR(XLOOKUP($Q954,'Threshold Summary'!$Y:$Y,'Threshold Summary'!$P:$P,"")/4))*XLOOKUP($Q954,'Threshold Summary'!$Y:$Y,'Threshold Summary'!$L:$L,""))/100)+5)*XLOOKUP(XLOOKUP($Q954,'Threshold Summary'!$Y:$Y,'Threshold Summary'!$M:$M,""),'Nature Editor'!$A:$A,'Nature Editor'!$B:$B,1)),FLOOR((FLOOR(((2*XLOOKUP(XLOOKUP($Q954,'Threshold Summary'!$Y:$Y,'Threshold Summary'!$K:$K,""),'Pokemon Editor'!$A:$A,'Pokemon Editor'!$H:$H,0)+31+FLOOR(XLOOKUP($Q954,'Threshold Summary'!$Y:$Y,'Threshold Summary'!$R:$R,"")/4))*XLOOKUP($Q954,'Threshold Summary'!$Y:$Y,'Threshold Summary'!$L:$L,""))/100)+5)*XLOOKUP(XLOOKUP($Q954,'Threshold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Editor'!$E:$E,1))),stab,IF(OR(mtype=XLOOKUP(XLOOKUP($Q954,'Threshold Summary'!$Y:$Y,'Threshold Summary'!$K:$K,""),'Pokemon Editor'!$A:$A,'Pokemon Editor'!$C:$C,""),mtype=XLOOKUP(XLOOKUP($Q954,'Threshold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Chart'!$B$1:$S$1,0)))),base,IF(OR(cat="Status",pow=0),0,FLOOR(FLOOR(FLOOR((2*XLOOKUP($Q954,'Threshold Summary'!$Y:$Y,'Threshold Summary'!$L:$L,"")/5+2)*pow*atk/def)/50)+2)),modifier,stab*eff,AVERAGE(ARRAYFORMULA(FLOOR(base*modifier*SEQUENCE(16,1,85,1)/100)))),0)</f>
        <v/>
      </c>
      <c r="M954" s="3">
        <f>IFERROR(LET(mtype,XLOOKUP($D954,'Move Editor'!$B:$B,'Move Editor'!$C:$C,""),cat,XLOOKUP($D954,'Move Editor'!$B:$B,'Move Editor'!$D:$D,""),pow,XLOOKUP($D954,'Move Editor'!$B:$B,'Move Editor'!$E:$E,0),acc,XLOOKUP($D954,'Move Editor'!$B:$B,'Move Editor'!$F:$F,100),atk,IF(cat="Physical",FLOOR((FLOOR(((2*XLOOKUP(XLOOKUP($Q954,'Threshold Summary'!$Y:$Y,'Threshold Summary'!$K:$K,""),'Pokemon Editor'!$A:$A,'Pokemon Editor'!$F:$F,0)+31+FLOOR(XLOOKUP($Q954,'Threshold Summary'!$Y:$Y,'Threshold Summary'!$P:$P,"")/4))*XLOOKUP($Q954,'Threshold Summary'!$Y:$Y,'Threshold Summary'!$L:$L,""))/100)+5)*XLOOKUP(XLOOKUP($Q954,'Threshold Summary'!$Y:$Y,'Threshold Summary'!$M:$M,""),'Nature Editor'!$A:$A,'Nature Editor'!$B:$B,1)),FLOOR((FLOOR(((2*XLOOKUP(XLOOKUP($Q954,'Threshold Summary'!$Y:$Y,'Threshold Summary'!$K:$K,""),'Pokemon Editor'!$A:$A,'Pokemon Editor'!$H:$H,0)+31+FLOOR(XLOOKUP($Q954,'Threshold Summary'!$Y:$Y,'Threshold Summary'!$R:$R,"")/4))*XLOOKUP($Q954,'Threshold Summary'!$Y:$Y,'Threshold Summary'!$L:$L,""))/100)+5)*XLOOKUP(XLOOKUP($Q954,'Threshold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Editor'!$E:$E,1))),stab,IF(OR(mtype=XLOOKUP(XLOOKUP($Q954,'Threshold Summary'!$Y:$Y,'Threshold Summary'!$K:$K,""),'Pokemon Editor'!$A:$A,'Pokemon Editor'!$C:$C,""),mtype=XLOOKUP(XLOOKUP($Q954,'Threshold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Chart'!$B$1:$S$1,0)))),base,IF(OR(cat="Status",pow=0),0,FLOOR(FLOOR(FLOOR((2*XLOOKUP($Q954,'Threshold Summary'!$Y:$Y,'Threshold Summary'!$L:$L,"")/5+2)*pow*atk/def)/50)+2)),modifier,stab*eff,AVERAGE(ARRAYFORMULA(FLOOR(base*modifier*SEQUENCE(16,1,85,1)/100)))*MIN(1,acc/100)),0)</f>
        <v/>
      </c>
      <c r="N954" s="4">
        <f>IFERROR(LET(mtype,XLOOKUP($D954,'Move Editor'!$B:$B,'Move Editor'!$C:$C,""),cat,XLOOKUP($D954,'Move Editor'!$B:$B,'Move Editor'!$D:$D,""),pow,XLOOKUP($D954,'Move Editor'!$B:$B,'Move Editor'!$E:$E,0),acc,XLOOKUP($D954,'Move Editor'!$B:$B,'Move Editor'!$F:$F,100),atk,IF(cat="Physical",FLOOR((FLOOR(((2*XLOOKUP(XLOOKUP($Q954,'Threshold Summary'!$Y:$Y,'Threshold Summary'!$K:$K,""),'Pokemon Editor'!$A:$A,'Pokemon Editor'!$F:$F,0)+31+FLOOR(XLOOKUP($Q954,'Threshold Summary'!$Y:$Y,'Threshold Summary'!$P:$P,"")/4))*XLOOKUP($Q954,'Threshold Summary'!$Y:$Y,'Threshold Summary'!$L:$L,""))/100)+5)*XLOOKUP(XLOOKUP($Q954,'Threshold Summary'!$Y:$Y,'Threshold Summary'!$M:$M,""),'Nature Editor'!$A:$A,'Nature Editor'!$B:$B,1)),FLOOR((FLOOR(((2*XLOOKUP(XLOOKUP($Q954,'Threshold Summary'!$Y:$Y,'Threshold Summary'!$K:$K,""),'Pokemon Editor'!$A:$A,'Pokemon Editor'!$H:$H,0)+31+FLOOR(XLOOKUP($Q954,'Threshold Summary'!$Y:$Y,'Threshold Summary'!$R:$R,"")/4))*XLOOKUP($Q954,'Threshold Summary'!$Y:$Y,'Threshold Summary'!$L:$L,""))/100)+5)*XLOOKUP(XLOOKUP($Q954,'Threshold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Editor'!$E:$E,1))),stab,IF(OR(mtype=XLOOKUP(XLOOKUP($Q954,'Threshold Summary'!$Y:$Y,'Threshold Summary'!$K:$K,""),'Pokemon Editor'!$A:$A,'Pokemon Editor'!$C:$C,""),mtype=XLOOKUP(XLOOKUP($Q954,'Threshold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Chart'!$B$1:$S$1,0)))),base,IF(OR(cat="Status",pow=0),0,FLOOR(FLOOR(FLOOR((2*XLOOKUP($Q954,'Threshold Summary'!$Y:$Y,'Threshold Summary'!$L:$L,"")/5+2)*pow*atk/def)/50)+2)),modifier,stab*eff,AVERAGE(ARRAYFORMULA(FLOOR(base*modifier*SEQUENCE(16,1,85,1)/100)))/(FLOOR(((2*XLOOKUP('Boss Editor'!$C$4,'Pokemon Editor'!$A:$A,'Pokemon Editor'!$E:$E,0)+31+FLOOR('Boss Editor'!$G$4/4))*'Boss Editor'!$D$4)/100)+'Boss Editor'!$D$4+10)),0)</f>
        <v/>
      </c>
      <c r="O954" s="3">
        <f>IF(N954&gt;=1,"OHKO",IF(N954&gt;=0.5,"2HKO",IF(N954&gt;=0.333,"3HKO",IF(N954&gt;=0.25,"4HKO","5HKO+"))))</f>
        <v/>
      </c>
      <c r="P954" s="3" t="inlineStr">
        <is>
          <t>Live from editable databases</t>
        </is>
      </c>
      <c r="Q954" s="3" t="inlineStr">
        <is>
          <t>SPECIES_CHARCADET</t>
        </is>
      </c>
      <c r="R954" s="3" t="n">
        <v>25</v>
      </c>
    </row>
    <row r="955">
      <c r="A955" s="3">
        <f>XLOOKUP($Q955,'Threshold Summary'!$Y:$Y,'Threshold Summary'!$A:$A,"")</f>
        <v/>
      </c>
      <c r="B955" s="3">
        <f>XLOOKUP($Q955,'Threshold Summary'!$Y:$Y,'Threshold Summary'!$M:$M,"")</f>
        <v/>
      </c>
      <c r="C955" s="3">
        <f>XLOOKUP($Q955,'Threshold Summary'!$Y:$Y,'Threshold Summary'!$N:$N,"")</f>
        <v/>
      </c>
      <c r="D955" s="3">
        <f>IFERROR(INDEX(FILTER('Learnset Editor'!$D$2:$D,'Learnset Editor'!$A$2:$A=XLOOKUP($Q955,'Threshold Summary'!$Y:$Y,'Threshold Summary'!$K:$K,""),'Learnset Editor'!$C$2:$C&lt;=XLOOKUP($Q955,'Threshold Summary'!$Y:$Y,'Threshold Summary'!$L:$L,"")),$R955),"")</f>
        <v/>
      </c>
      <c r="E955" s="3">
        <f>XLOOKUP(D955,'Move Editor'!$B:$B,'Move Editor'!$C:$C,"")</f>
        <v/>
      </c>
      <c r="F955" s="3">
        <f>XLOOKUP(D955,'Move Editor'!$B:$B,'Move Editor'!$D:$D,"")</f>
        <v/>
      </c>
      <c r="G955" s="3">
        <f>XLOOKUP(D955,'Move Editor'!$B:$B,'Move Editor'!$E:$E,0)</f>
        <v/>
      </c>
      <c r="H955" s="3">
        <f>XLOOKUP(D955,'Move Editor'!$B:$B,'Move Editor'!$F:$F,0)</f>
        <v/>
      </c>
      <c r="I955" s="3">
        <f>(INDEX('Type Chart'!$B:$S,MATCH(E955,'Type Chart'!$A:$A,0),MATCH(XLOOKUP('Boss Editor'!$C$4,'Pokemon Editor'!$A:$A,'Pokemon Editor'!$C:$C,""),'Type Chart'!$B$1:$S$1,0))*IF(XLOOKUP('Boss Editor'!$C$4,'Pokemon Editor'!$A:$A,'Pokemon Editor'!$D:$D,"")="",1,INDEX('Type Chart'!$B:$S,MATCH(E955,'Type Chart'!$A:$A,0),MATCH(XLOOKUP('Boss Editor'!$C$4,'Pokemon Editor'!$A:$A,'Pokemon Editor'!$D:$D,""),'Type Chart'!$B$1:$S$1,0))))</f>
        <v/>
      </c>
      <c r="J955" s="3">
        <f>IFERROR(LET(mtype,XLOOKUP($D955,'Move Editor'!$B:$B,'Move Editor'!$C:$C,""),cat,XLOOKUP($D955,'Move Editor'!$B:$B,'Move Editor'!$D:$D,""),pow,XLOOKUP($D955,'Move Editor'!$B:$B,'Move Editor'!$E:$E,0),acc,XLOOKUP($D955,'Move Editor'!$B:$B,'Move Editor'!$F:$F,100),atk,IF(cat="Physical",FLOOR((FLOOR(((2*XLOOKUP(XLOOKUP($Q955,'Threshold Summary'!$Y:$Y,'Threshold Summary'!$K:$K,""),'Pokemon Editor'!$A:$A,'Pokemon Editor'!$F:$F,0)+31+FLOOR(XLOOKUP($Q955,'Threshold Summary'!$Y:$Y,'Threshold Summary'!$P:$P,"")/4))*XLOOKUP($Q955,'Threshold Summary'!$Y:$Y,'Threshold Summary'!$L:$L,""))/100)+5)*XLOOKUP(XLOOKUP($Q955,'Threshold Summary'!$Y:$Y,'Threshold Summary'!$M:$M,""),'Nature Editor'!$A:$A,'Nature Editor'!$B:$B,1)),FLOOR((FLOOR(((2*XLOOKUP(XLOOKUP($Q955,'Threshold Summary'!$Y:$Y,'Threshold Summary'!$K:$K,""),'Pokemon Editor'!$A:$A,'Pokemon Editor'!$H:$H,0)+31+FLOOR(XLOOKUP($Q955,'Threshold Summary'!$Y:$Y,'Threshold Summary'!$R:$R,"")/4))*XLOOKUP($Q955,'Threshold Summary'!$Y:$Y,'Threshold Summary'!$L:$L,""))/100)+5)*XLOOKUP(XLOOKUP($Q955,'Threshold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Editor'!$E:$E,1))),stab,IF(OR(mtype=XLOOKUP(XLOOKUP($Q955,'Threshold Summary'!$Y:$Y,'Threshold Summary'!$K:$K,""),'Pokemon Editor'!$A:$A,'Pokemon Editor'!$C:$C,""),mtype=XLOOKUP(XLOOKUP($Q955,'Threshold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Chart'!$B$1:$S$1,0)))),base,IF(OR(cat="Status",pow=0),0,FLOOR(FLOOR(FLOOR((2*XLOOKUP($Q955,'Threshold Summary'!$Y:$Y,'Threshold Summary'!$L:$L,"")/5+2)*pow*atk/def)/50)+2)),modifier,stab*eff,FLOOR(base*modifier*0.85)),0)</f>
        <v/>
      </c>
      <c r="K955" s="3">
        <f>IFERROR(LET(mtype,XLOOKUP($D955,'Move Editor'!$B:$B,'Move Editor'!$C:$C,""),cat,XLOOKUP($D955,'Move Editor'!$B:$B,'Move Editor'!$D:$D,""),pow,XLOOKUP($D955,'Move Editor'!$B:$B,'Move Editor'!$E:$E,0),acc,XLOOKUP($D955,'Move Editor'!$B:$B,'Move Editor'!$F:$F,100),atk,IF(cat="Physical",FLOOR((FLOOR(((2*XLOOKUP(XLOOKUP($Q955,'Threshold Summary'!$Y:$Y,'Threshold Summary'!$K:$K,""),'Pokemon Editor'!$A:$A,'Pokemon Editor'!$F:$F,0)+31+FLOOR(XLOOKUP($Q955,'Threshold Summary'!$Y:$Y,'Threshold Summary'!$P:$P,"")/4))*XLOOKUP($Q955,'Threshold Summary'!$Y:$Y,'Threshold Summary'!$L:$L,""))/100)+5)*XLOOKUP(XLOOKUP($Q955,'Threshold Summary'!$Y:$Y,'Threshold Summary'!$M:$M,""),'Nature Editor'!$A:$A,'Nature Editor'!$B:$B,1)),FLOOR((FLOOR(((2*XLOOKUP(XLOOKUP($Q955,'Threshold Summary'!$Y:$Y,'Threshold Summary'!$K:$K,""),'Pokemon Editor'!$A:$A,'Pokemon Editor'!$H:$H,0)+31+FLOOR(XLOOKUP($Q955,'Threshold Summary'!$Y:$Y,'Threshold Summary'!$R:$R,"")/4))*XLOOKUP($Q955,'Threshold Summary'!$Y:$Y,'Threshold Summary'!$L:$L,""))/100)+5)*XLOOKUP(XLOOKUP($Q955,'Threshold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Editor'!$E:$E,1))),stab,IF(OR(mtype=XLOOKUP(XLOOKUP($Q955,'Threshold Summary'!$Y:$Y,'Threshold Summary'!$K:$K,""),'Pokemon Editor'!$A:$A,'Pokemon Editor'!$C:$C,""),mtype=XLOOKUP(XLOOKUP($Q955,'Threshold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Chart'!$B$1:$S$1,0)))),base,IF(OR(cat="Status",pow=0),0,FLOOR(FLOOR(FLOOR((2*XLOOKUP($Q955,'Threshold Summary'!$Y:$Y,'Threshold Summary'!$L:$L,"")/5+2)*pow*atk/def)/50)+2)),modifier,stab*eff,FLOOR(base*modifier)),0)</f>
        <v/>
      </c>
      <c r="L955" s="3">
        <f>IFERROR(LET(mtype,XLOOKUP($D955,'Move Editor'!$B:$B,'Move Editor'!$C:$C,""),cat,XLOOKUP($D955,'Move Editor'!$B:$B,'Move Editor'!$D:$D,""),pow,XLOOKUP($D955,'Move Editor'!$B:$B,'Move Editor'!$E:$E,0),acc,XLOOKUP($D955,'Move Editor'!$B:$B,'Move Editor'!$F:$F,100),atk,IF(cat="Physical",FLOOR((FLOOR(((2*XLOOKUP(XLOOKUP($Q955,'Threshold Summary'!$Y:$Y,'Threshold Summary'!$K:$K,""),'Pokemon Editor'!$A:$A,'Pokemon Editor'!$F:$F,0)+31+FLOOR(XLOOKUP($Q955,'Threshold Summary'!$Y:$Y,'Threshold Summary'!$P:$P,"")/4))*XLOOKUP($Q955,'Threshold Summary'!$Y:$Y,'Threshold Summary'!$L:$L,""))/100)+5)*XLOOKUP(XLOOKUP($Q955,'Threshold Summary'!$Y:$Y,'Threshold Summary'!$M:$M,""),'Nature Editor'!$A:$A,'Nature Editor'!$B:$B,1)),FLOOR((FLOOR(((2*XLOOKUP(XLOOKUP($Q955,'Threshold Summary'!$Y:$Y,'Threshold Summary'!$K:$K,""),'Pokemon Editor'!$A:$A,'Pokemon Editor'!$H:$H,0)+31+FLOOR(XLOOKUP($Q955,'Threshold Summary'!$Y:$Y,'Threshold Summary'!$R:$R,"")/4))*XLOOKUP($Q955,'Threshold Summary'!$Y:$Y,'Threshold Summary'!$L:$L,""))/100)+5)*XLOOKUP(XLOOKUP($Q955,'Threshold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Editor'!$E:$E,1))),stab,IF(OR(mtype=XLOOKUP(XLOOKUP($Q955,'Threshold Summary'!$Y:$Y,'Threshold Summary'!$K:$K,""),'Pokemon Editor'!$A:$A,'Pokemon Editor'!$C:$C,""),mtype=XLOOKUP(XLOOKUP($Q955,'Threshold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Chart'!$B$1:$S$1,0)))),base,IF(OR(cat="Status",pow=0),0,FLOOR(FLOOR(FLOOR((2*XLOOKUP($Q955,'Threshold Summary'!$Y:$Y,'Threshold Summary'!$L:$L,"")/5+2)*pow*atk/def)/50)+2)),modifier,stab*eff,AVERAGE(ARRAYFORMULA(FLOOR(base*modifier*SEQUENCE(16,1,85,1)/100)))),0)</f>
        <v/>
      </c>
      <c r="M955" s="3">
        <f>IFERROR(LET(mtype,XLOOKUP($D955,'Move Editor'!$B:$B,'Move Editor'!$C:$C,""),cat,XLOOKUP($D955,'Move Editor'!$B:$B,'Move Editor'!$D:$D,""),pow,XLOOKUP($D955,'Move Editor'!$B:$B,'Move Editor'!$E:$E,0),acc,XLOOKUP($D955,'Move Editor'!$B:$B,'Move Editor'!$F:$F,100),atk,IF(cat="Physical",FLOOR((FLOOR(((2*XLOOKUP(XLOOKUP($Q955,'Threshold Summary'!$Y:$Y,'Threshold Summary'!$K:$K,""),'Pokemon Editor'!$A:$A,'Pokemon Editor'!$F:$F,0)+31+FLOOR(XLOOKUP($Q955,'Threshold Summary'!$Y:$Y,'Threshold Summary'!$P:$P,"")/4))*XLOOKUP($Q955,'Threshold Summary'!$Y:$Y,'Threshold Summary'!$L:$L,""))/100)+5)*XLOOKUP(XLOOKUP($Q955,'Threshold Summary'!$Y:$Y,'Threshold Summary'!$M:$M,""),'Nature Editor'!$A:$A,'Nature Editor'!$B:$B,1)),FLOOR((FLOOR(((2*XLOOKUP(XLOOKUP($Q955,'Threshold Summary'!$Y:$Y,'Threshold Summary'!$K:$K,""),'Pokemon Editor'!$A:$A,'Pokemon Editor'!$H:$H,0)+31+FLOOR(XLOOKUP($Q955,'Threshold Summary'!$Y:$Y,'Threshold Summary'!$R:$R,"")/4))*XLOOKUP($Q955,'Threshold Summary'!$Y:$Y,'Threshold Summary'!$L:$L,""))/100)+5)*XLOOKUP(XLOOKUP($Q955,'Threshold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Editor'!$E:$E,1))),stab,IF(OR(mtype=XLOOKUP(XLOOKUP($Q955,'Threshold Summary'!$Y:$Y,'Threshold Summary'!$K:$K,""),'Pokemon Editor'!$A:$A,'Pokemon Editor'!$C:$C,""),mtype=XLOOKUP(XLOOKUP($Q955,'Threshold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Chart'!$B$1:$S$1,0)))),base,IF(OR(cat="Status",pow=0),0,FLOOR(FLOOR(FLOOR((2*XLOOKUP($Q955,'Threshold Summary'!$Y:$Y,'Threshold Summary'!$L:$L,"")/5+2)*pow*atk/def)/50)+2)),modifier,stab*eff,AVERAGE(ARRAYFORMULA(FLOOR(base*modifier*SEQUENCE(16,1,85,1)/100)))*MIN(1,acc/100)),0)</f>
        <v/>
      </c>
      <c r="N955" s="4">
        <f>IFERROR(LET(mtype,XLOOKUP($D955,'Move Editor'!$B:$B,'Move Editor'!$C:$C,""),cat,XLOOKUP($D955,'Move Editor'!$B:$B,'Move Editor'!$D:$D,""),pow,XLOOKUP($D955,'Move Editor'!$B:$B,'Move Editor'!$E:$E,0),acc,XLOOKUP($D955,'Move Editor'!$B:$B,'Move Editor'!$F:$F,100),atk,IF(cat="Physical",FLOOR((FLOOR(((2*XLOOKUP(XLOOKUP($Q955,'Threshold Summary'!$Y:$Y,'Threshold Summary'!$K:$K,""),'Pokemon Editor'!$A:$A,'Pokemon Editor'!$F:$F,0)+31+FLOOR(XLOOKUP($Q955,'Threshold Summary'!$Y:$Y,'Threshold Summary'!$P:$P,"")/4))*XLOOKUP($Q955,'Threshold Summary'!$Y:$Y,'Threshold Summary'!$L:$L,""))/100)+5)*XLOOKUP(XLOOKUP($Q955,'Threshold Summary'!$Y:$Y,'Threshold Summary'!$M:$M,""),'Nature Editor'!$A:$A,'Nature Editor'!$B:$B,1)),FLOOR((FLOOR(((2*XLOOKUP(XLOOKUP($Q955,'Threshold Summary'!$Y:$Y,'Threshold Summary'!$K:$K,""),'Pokemon Editor'!$A:$A,'Pokemon Editor'!$H:$H,0)+31+FLOOR(XLOOKUP($Q955,'Threshold Summary'!$Y:$Y,'Threshold Summary'!$R:$R,"")/4))*XLOOKUP($Q955,'Threshold Summary'!$Y:$Y,'Threshold Summary'!$L:$L,""))/100)+5)*XLOOKUP(XLOOKUP($Q955,'Threshold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Editor'!$E:$E,1))),stab,IF(OR(mtype=XLOOKUP(XLOOKUP($Q955,'Threshold Summary'!$Y:$Y,'Threshold Summary'!$K:$K,""),'Pokemon Editor'!$A:$A,'Pokemon Editor'!$C:$C,""),mtype=XLOOKUP(XLOOKUP($Q955,'Threshold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Chart'!$B$1:$S$1,0)))),base,IF(OR(cat="Status",pow=0),0,FLOOR(FLOOR(FLOOR((2*XLOOKUP($Q955,'Threshold Summary'!$Y:$Y,'Threshold Summary'!$L:$L,"")/5+2)*pow*atk/def)/50)+2)),modifier,stab*eff,AVERAGE(ARRAYFORMULA(FLOOR(base*modifier*SEQUENCE(16,1,85,1)/100)))/(FLOOR(((2*XLOOKUP('Boss Editor'!$C$4,'Pokemon Editor'!$A:$A,'Pokemon Editor'!$E:$E,0)+31+FLOOR('Boss Editor'!$G$4/4))*'Boss Editor'!$D$4)/100)+'Boss Editor'!$D$4+10)),0)</f>
        <v/>
      </c>
      <c r="O955" s="3">
        <f>IF(N955&gt;=1,"OHKO",IF(N955&gt;=0.5,"2HKO",IF(N955&gt;=0.333,"3HKO",IF(N955&gt;=0.25,"4HKO","5HKO+"))))</f>
        <v/>
      </c>
      <c r="P955" s="3" t="inlineStr">
        <is>
          <t>Live from editable databases</t>
        </is>
      </c>
      <c r="Q955" s="3" t="inlineStr">
        <is>
          <t>SPECIES_CHARCADET</t>
        </is>
      </c>
      <c r="R955" s="3" t="n">
        <v>26</v>
      </c>
    </row>
    <row r="956">
      <c r="A956" s="3">
        <f>XLOOKUP($Q956,'Threshold Summary'!$Y:$Y,'Threshold Summary'!$A:$A,"")</f>
        <v/>
      </c>
      <c r="B956" s="3">
        <f>XLOOKUP($Q956,'Threshold Summary'!$Y:$Y,'Threshold Summary'!$M:$M,"")</f>
        <v/>
      </c>
      <c r="C956" s="3">
        <f>XLOOKUP($Q956,'Threshold Summary'!$Y:$Y,'Threshold Summary'!$N:$N,"")</f>
        <v/>
      </c>
      <c r="D956" s="3">
        <f>IFERROR(INDEX(FILTER('Learnset Editor'!$D$2:$D,'Learnset Editor'!$A$2:$A=XLOOKUP($Q956,'Threshold Summary'!$Y:$Y,'Threshold Summary'!$K:$K,""),'Learnset Editor'!$C$2:$C&lt;=XLOOKUP($Q956,'Threshold Summary'!$Y:$Y,'Threshold Summary'!$L:$L,"")),$R956),"")</f>
        <v/>
      </c>
      <c r="E956" s="3">
        <f>XLOOKUP(D956,'Move Editor'!$B:$B,'Move Editor'!$C:$C,"")</f>
        <v/>
      </c>
      <c r="F956" s="3">
        <f>XLOOKUP(D956,'Move Editor'!$B:$B,'Move Editor'!$D:$D,"")</f>
        <v/>
      </c>
      <c r="G956" s="3">
        <f>XLOOKUP(D956,'Move Editor'!$B:$B,'Move Editor'!$E:$E,0)</f>
        <v/>
      </c>
      <c r="H956" s="3">
        <f>XLOOKUP(D956,'Move Editor'!$B:$B,'Move Editor'!$F:$F,0)</f>
        <v/>
      </c>
      <c r="I956" s="3">
        <f>(INDEX('Type Chart'!$B:$S,MATCH(E956,'Type Chart'!$A:$A,0),MATCH(XLOOKUP('Boss Editor'!$C$4,'Pokemon Editor'!$A:$A,'Pokemon Editor'!$C:$C,""),'Type Chart'!$B$1:$S$1,0))*IF(XLOOKUP('Boss Editor'!$C$4,'Pokemon Editor'!$A:$A,'Pokemon Editor'!$D:$D,"")="",1,INDEX('Type Chart'!$B:$S,MATCH(E956,'Type Chart'!$A:$A,0),MATCH(XLOOKUP('Boss Editor'!$C$4,'Pokemon Editor'!$A:$A,'Pokemon Editor'!$D:$D,""),'Type Chart'!$B$1:$S$1,0))))</f>
        <v/>
      </c>
      <c r="J956" s="3">
        <f>IFERROR(LET(mtype,XLOOKUP($D956,'Move Editor'!$B:$B,'Move Editor'!$C:$C,""),cat,XLOOKUP($D956,'Move Editor'!$B:$B,'Move Editor'!$D:$D,""),pow,XLOOKUP($D956,'Move Editor'!$B:$B,'Move Editor'!$E:$E,0),acc,XLOOKUP($D956,'Move Editor'!$B:$B,'Move Editor'!$F:$F,100),atk,IF(cat="Physical",FLOOR((FLOOR(((2*XLOOKUP(XLOOKUP($Q956,'Threshold Summary'!$Y:$Y,'Threshold Summary'!$K:$K,""),'Pokemon Editor'!$A:$A,'Pokemon Editor'!$F:$F,0)+31+FLOOR(XLOOKUP($Q956,'Threshold Summary'!$Y:$Y,'Threshold Summary'!$P:$P,"")/4))*XLOOKUP($Q956,'Threshold Summary'!$Y:$Y,'Threshold Summary'!$L:$L,""))/100)+5)*XLOOKUP(XLOOKUP($Q956,'Threshold Summary'!$Y:$Y,'Threshold Summary'!$M:$M,""),'Nature Editor'!$A:$A,'Nature Editor'!$B:$B,1)),FLOOR((FLOOR(((2*XLOOKUP(XLOOKUP($Q956,'Threshold Summary'!$Y:$Y,'Threshold Summary'!$K:$K,""),'Pokemon Editor'!$A:$A,'Pokemon Editor'!$H:$H,0)+31+FLOOR(XLOOKUP($Q956,'Threshold Summary'!$Y:$Y,'Threshold Summary'!$R:$R,"")/4))*XLOOKUP($Q956,'Threshold Summary'!$Y:$Y,'Threshold Summary'!$L:$L,""))/100)+5)*XLOOKUP(XLOOKUP($Q956,'Threshold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Editor'!$E:$E,1))),stab,IF(OR(mtype=XLOOKUP(XLOOKUP($Q956,'Threshold Summary'!$Y:$Y,'Threshold Summary'!$K:$K,""),'Pokemon Editor'!$A:$A,'Pokemon Editor'!$C:$C,""),mtype=XLOOKUP(XLOOKUP($Q956,'Threshold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Chart'!$B$1:$S$1,0)))),base,IF(OR(cat="Status",pow=0),0,FLOOR(FLOOR(FLOOR((2*XLOOKUP($Q956,'Threshold Summary'!$Y:$Y,'Threshold Summary'!$L:$L,"")/5+2)*pow*atk/def)/50)+2)),modifier,stab*eff,FLOOR(base*modifier*0.85)),0)</f>
        <v/>
      </c>
      <c r="K956" s="3">
        <f>IFERROR(LET(mtype,XLOOKUP($D956,'Move Editor'!$B:$B,'Move Editor'!$C:$C,""),cat,XLOOKUP($D956,'Move Editor'!$B:$B,'Move Editor'!$D:$D,""),pow,XLOOKUP($D956,'Move Editor'!$B:$B,'Move Editor'!$E:$E,0),acc,XLOOKUP($D956,'Move Editor'!$B:$B,'Move Editor'!$F:$F,100),atk,IF(cat="Physical",FLOOR((FLOOR(((2*XLOOKUP(XLOOKUP($Q956,'Threshold Summary'!$Y:$Y,'Threshold Summary'!$K:$K,""),'Pokemon Editor'!$A:$A,'Pokemon Editor'!$F:$F,0)+31+FLOOR(XLOOKUP($Q956,'Threshold Summary'!$Y:$Y,'Threshold Summary'!$P:$P,"")/4))*XLOOKUP($Q956,'Threshold Summary'!$Y:$Y,'Threshold Summary'!$L:$L,""))/100)+5)*XLOOKUP(XLOOKUP($Q956,'Threshold Summary'!$Y:$Y,'Threshold Summary'!$M:$M,""),'Nature Editor'!$A:$A,'Nature Editor'!$B:$B,1)),FLOOR((FLOOR(((2*XLOOKUP(XLOOKUP($Q956,'Threshold Summary'!$Y:$Y,'Threshold Summary'!$K:$K,""),'Pokemon Editor'!$A:$A,'Pokemon Editor'!$H:$H,0)+31+FLOOR(XLOOKUP($Q956,'Threshold Summary'!$Y:$Y,'Threshold Summary'!$R:$R,"")/4))*XLOOKUP($Q956,'Threshold Summary'!$Y:$Y,'Threshold Summary'!$L:$L,""))/100)+5)*XLOOKUP(XLOOKUP($Q956,'Threshold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Editor'!$E:$E,1))),stab,IF(OR(mtype=XLOOKUP(XLOOKUP($Q956,'Threshold Summary'!$Y:$Y,'Threshold Summary'!$K:$K,""),'Pokemon Editor'!$A:$A,'Pokemon Editor'!$C:$C,""),mtype=XLOOKUP(XLOOKUP($Q956,'Threshold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Chart'!$B$1:$S$1,0)))),base,IF(OR(cat="Status",pow=0),0,FLOOR(FLOOR(FLOOR((2*XLOOKUP($Q956,'Threshold Summary'!$Y:$Y,'Threshold Summary'!$L:$L,"")/5+2)*pow*atk/def)/50)+2)),modifier,stab*eff,FLOOR(base*modifier)),0)</f>
        <v/>
      </c>
      <c r="L956" s="3">
        <f>IFERROR(LET(mtype,XLOOKUP($D956,'Move Editor'!$B:$B,'Move Editor'!$C:$C,""),cat,XLOOKUP($D956,'Move Editor'!$B:$B,'Move Editor'!$D:$D,""),pow,XLOOKUP($D956,'Move Editor'!$B:$B,'Move Editor'!$E:$E,0),acc,XLOOKUP($D956,'Move Editor'!$B:$B,'Move Editor'!$F:$F,100),atk,IF(cat="Physical",FLOOR((FLOOR(((2*XLOOKUP(XLOOKUP($Q956,'Threshold Summary'!$Y:$Y,'Threshold Summary'!$K:$K,""),'Pokemon Editor'!$A:$A,'Pokemon Editor'!$F:$F,0)+31+FLOOR(XLOOKUP($Q956,'Threshold Summary'!$Y:$Y,'Threshold Summary'!$P:$P,"")/4))*XLOOKUP($Q956,'Threshold Summary'!$Y:$Y,'Threshold Summary'!$L:$L,""))/100)+5)*XLOOKUP(XLOOKUP($Q956,'Threshold Summary'!$Y:$Y,'Threshold Summary'!$M:$M,""),'Nature Editor'!$A:$A,'Nature Editor'!$B:$B,1)),FLOOR((FLOOR(((2*XLOOKUP(XLOOKUP($Q956,'Threshold Summary'!$Y:$Y,'Threshold Summary'!$K:$K,""),'Pokemon Editor'!$A:$A,'Pokemon Editor'!$H:$H,0)+31+FLOOR(XLOOKUP($Q956,'Threshold Summary'!$Y:$Y,'Threshold Summary'!$R:$R,"")/4))*XLOOKUP($Q956,'Threshold Summary'!$Y:$Y,'Threshold Summary'!$L:$L,""))/100)+5)*XLOOKUP(XLOOKUP($Q956,'Threshold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Editor'!$E:$E,1))),stab,IF(OR(mtype=XLOOKUP(XLOOKUP($Q956,'Threshold Summary'!$Y:$Y,'Threshold Summary'!$K:$K,""),'Pokemon Editor'!$A:$A,'Pokemon Editor'!$C:$C,""),mtype=XLOOKUP(XLOOKUP($Q956,'Threshold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Chart'!$B$1:$S$1,0)))),base,IF(OR(cat="Status",pow=0),0,FLOOR(FLOOR(FLOOR((2*XLOOKUP($Q956,'Threshold Summary'!$Y:$Y,'Threshold Summary'!$L:$L,"")/5+2)*pow*atk/def)/50)+2)),modifier,stab*eff,AVERAGE(ARRAYFORMULA(FLOOR(base*modifier*SEQUENCE(16,1,85,1)/100)))),0)</f>
        <v/>
      </c>
      <c r="M956" s="3">
        <f>IFERROR(LET(mtype,XLOOKUP($D956,'Move Editor'!$B:$B,'Move Editor'!$C:$C,""),cat,XLOOKUP($D956,'Move Editor'!$B:$B,'Move Editor'!$D:$D,""),pow,XLOOKUP($D956,'Move Editor'!$B:$B,'Move Editor'!$E:$E,0),acc,XLOOKUP($D956,'Move Editor'!$B:$B,'Move Editor'!$F:$F,100),atk,IF(cat="Physical",FLOOR((FLOOR(((2*XLOOKUP(XLOOKUP($Q956,'Threshold Summary'!$Y:$Y,'Threshold Summary'!$K:$K,""),'Pokemon Editor'!$A:$A,'Pokemon Editor'!$F:$F,0)+31+FLOOR(XLOOKUP($Q956,'Threshold Summary'!$Y:$Y,'Threshold Summary'!$P:$P,"")/4))*XLOOKUP($Q956,'Threshold Summary'!$Y:$Y,'Threshold Summary'!$L:$L,""))/100)+5)*XLOOKUP(XLOOKUP($Q956,'Threshold Summary'!$Y:$Y,'Threshold Summary'!$M:$M,""),'Nature Editor'!$A:$A,'Nature Editor'!$B:$B,1)),FLOOR((FLOOR(((2*XLOOKUP(XLOOKUP($Q956,'Threshold Summary'!$Y:$Y,'Threshold Summary'!$K:$K,""),'Pokemon Editor'!$A:$A,'Pokemon Editor'!$H:$H,0)+31+FLOOR(XLOOKUP($Q956,'Threshold Summary'!$Y:$Y,'Threshold Summary'!$R:$R,"")/4))*XLOOKUP($Q956,'Threshold Summary'!$Y:$Y,'Threshold Summary'!$L:$L,""))/100)+5)*XLOOKUP(XLOOKUP($Q956,'Threshold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Editor'!$E:$E,1))),stab,IF(OR(mtype=XLOOKUP(XLOOKUP($Q956,'Threshold Summary'!$Y:$Y,'Threshold Summary'!$K:$K,""),'Pokemon Editor'!$A:$A,'Pokemon Editor'!$C:$C,""),mtype=XLOOKUP(XLOOKUP($Q956,'Threshold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Chart'!$B$1:$S$1,0)))),base,IF(OR(cat="Status",pow=0),0,FLOOR(FLOOR(FLOOR((2*XLOOKUP($Q956,'Threshold Summary'!$Y:$Y,'Threshold Summary'!$L:$L,"")/5+2)*pow*atk/def)/50)+2)),modifier,stab*eff,AVERAGE(ARRAYFORMULA(FLOOR(base*modifier*SEQUENCE(16,1,85,1)/100)))*MIN(1,acc/100)),0)</f>
        <v/>
      </c>
      <c r="N956" s="4">
        <f>IFERROR(LET(mtype,XLOOKUP($D956,'Move Editor'!$B:$B,'Move Editor'!$C:$C,""),cat,XLOOKUP($D956,'Move Editor'!$B:$B,'Move Editor'!$D:$D,""),pow,XLOOKUP($D956,'Move Editor'!$B:$B,'Move Editor'!$E:$E,0),acc,XLOOKUP($D956,'Move Editor'!$B:$B,'Move Editor'!$F:$F,100),atk,IF(cat="Physical",FLOOR((FLOOR(((2*XLOOKUP(XLOOKUP($Q956,'Threshold Summary'!$Y:$Y,'Threshold Summary'!$K:$K,""),'Pokemon Editor'!$A:$A,'Pokemon Editor'!$F:$F,0)+31+FLOOR(XLOOKUP($Q956,'Threshold Summary'!$Y:$Y,'Threshold Summary'!$P:$P,"")/4))*XLOOKUP($Q956,'Threshold Summary'!$Y:$Y,'Threshold Summary'!$L:$L,""))/100)+5)*XLOOKUP(XLOOKUP($Q956,'Threshold Summary'!$Y:$Y,'Threshold Summary'!$M:$M,""),'Nature Editor'!$A:$A,'Nature Editor'!$B:$B,1)),FLOOR((FLOOR(((2*XLOOKUP(XLOOKUP($Q956,'Threshold Summary'!$Y:$Y,'Threshold Summary'!$K:$K,""),'Pokemon Editor'!$A:$A,'Pokemon Editor'!$H:$H,0)+31+FLOOR(XLOOKUP($Q956,'Threshold Summary'!$Y:$Y,'Threshold Summary'!$R:$R,"")/4))*XLOOKUP($Q956,'Threshold Summary'!$Y:$Y,'Threshold Summary'!$L:$L,""))/100)+5)*XLOOKUP(XLOOKUP($Q956,'Threshold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Editor'!$E:$E,1))),stab,IF(OR(mtype=XLOOKUP(XLOOKUP($Q956,'Threshold Summary'!$Y:$Y,'Threshold Summary'!$K:$K,""),'Pokemon Editor'!$A:$A,'Pokemon Editor'!$C:$C,""),mtype=XLOOKUP(XLOOKUP($Q956,'Threshold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Chart'!$B$1:$S$1,0)))),base,IF(OR(cat="Status",pow=0),0,FLOOR(FLOOR(FLOOR((2*XLOOKUP($Q956,'Threshold Summary'!$Y:$Y,'Threshold Summary'!$L:$L,"")/5+2)*pow*atk/def)/50)+2)),modifier,stab*eff,AVERAGE(ARRAYFORMULA(FLOOR(base*modifier*SEQUENCE(16,1,85,1)/100)))/(FLOOR(((2*XLOOKUP('Boss Editor'!$C$4,'Pokemon Editor'!$A:$A,'Pokemon Editor'!$E:$E,0)+31+FLOOR('Boss Editor'!$G$4/4))*'Boss Editor'!$D$4)/100)+'Boss Editor'!$D$4+10)),0)</f>
        <v/>
      </c>
      <c r="O956" s="3">
        <f>IF(N956&gt;=1,"OHKO",IF(N956&gt;=0.5,"2HKO",IF(N956&gt;=0.333,"3HKO",IF(N956&gt;=0.25,"4HKO","5HKO+"))))</f>
        <v/>
      </c>
      <c r="P956" s="3" t="inlineStr">
        <is>
          <t>Live from editable databases</t>
        </is>
      </c>
      <c r="Q956" s="3" t="inlineStr">
        <is>
          <t>SPECIES_CHARCADET</t>
        </is>
      </c>
      <c r="R956" s="3" t="n">
        <v>27</v>
      </c>
    </row>
    <row r="957">
      <c r="A957" s="3">
        <f>XLOOKUP($Q957,'Threshold Summary'!$Y:$Y,'Threshold Summary'!$A:$A,"")</f>
        <v/>
      </c>
      <c r="B957" s="3">
        <f>XLOOKUP($Q957,'Threshold Summary'!$Y:$Y,'Threshold Summary'!$M:$M,"")</f>
        <v/>
      </c>
      <c r="C957" s="3">
        <f>XLOOKUP($Q957,'Threshold Summary'!$Y:$Y,'Threshold Summary'!$N:$N,"")</f>
        <v/>
      </c>
      <c r="D957" s="3">
        <f>IFERROR(INDEX(FILTER('Learnset Editor'!$D$2:$D,'Learnset Editor'!$A$2:$A=XLOOKUP($Q957,'Threshold Summary'!$Y:$Y,'Threshold Summary'!$K:$K,""),'Learnset Editor'!$C$2:$C&lt;=XLOOKUP($Q957,'Threshold Summary'!$Y:$Y,'Threshold Summary'!$L:$L,"")),$R957),"")</f>
        <v/>
      </c>
      <c r="E957" s="3">
        <f>XLOOKUP(D957,'Move Editor'!$B:$B,'Move Editor'!$C:$C,"")</f>
        <v/>
      </c>
      <c r="F957" s="3">
        <f>XLOOKUP(D957,'Move Editor'!$B:$B,'Move Editor'!$D:$D,"")</f>
        <v/>
      </c>
      <c r="G957" s="3">
        <f>XLOOKUP(D957,'Move Editor'!$B:$B,'Move Editor'!$E:$E,0)</f>
        <v/>
      </c>
      <c r="H957" s="3">
        <f>XLOOKUP(D957,'Move Editor'!$B:$B,'Move Editor'!$F:$F,0)</f>
        <v/>
      </c>
      <c r="I957" s="3">
        <f>(INDEX('Type Chart'!$B:$S,MATCH(E957,'Type Chart'!$A:$A,0),MATCH(XLOOKUP('Boss Editor'!$C$4,'Pokemon Editor'!$A:$A,'Pokemon Editor'!$C:$C,""),'Type Chart'!$B$1:$S$1,0))*IF(XLOOKUP('Boss Editor'!$C$4,'Pokemon Editor'!$A:$A,'Pokemon Editor'!$D:$D,"")="",1,INDEX('Type Chart'!$B:$S,MATCH(E957,'Type Chart'!$A:$A,0),MATCH(XLOOKUP('Boss Editor'!$C$4,'Pokemon Editor'!$A:$A,'Pokemon Editor'!$D:$D,""),'Type Chart'!$B$1:$S$1,0))))</f>
        <v/>
      </c>
      <c r="J957" s="3">
        <f>IFERROR(LET(mtype,XLOOKUP($D957,'Move Editor'!$B:$B,'Move Editor'!$C:$C,""),cat,XLOOKUP($D957,'Move Editor'!$B:$B,'Move Editor'!$D:$D,""),pow,XLOOKUP($D957,'Move Editor'!$B:$B,'Move Editor'!$E:$E,0),acc,XLOOKUP($D957,'Move Editor'!$B:$B,'Move Editor'!$F:$F,100),atk,IF(cat="Physical",FLOOR((FLOOR(((2*XLOOKUP(XLOOKUP($Q957,'Threshold Summary'!$Y:$Y,'Threshold Summary'!$K:$K,""),'Pokemon Editor'!$A:$A,'Pokemon Editor'!$F:$F,0)+31+FLOOR(XLOOKUP($Q957,'Threshold Summary'!$Y:$Y,'Threshold Summary'!$P:$P,"")/4))*XLOOKUP($Q957,'Threshold Summary'!$Y:$Y,'Threshold Summary'!$L:$L,""))/100)+5)*XLOOKUP(XLOOKUP($Q957,'Threshold Summary'!$Y:$Y,'Threshold Summary'!$M:$M,""),'Nature Editor'!$A:$A,'Nature Editor'!$B:$B,1)),FLOOR((FLOOR(((2*XLOOKUP(XLOOKUP($Q957,'Threshold Summary'!$Y:$Y,'Threshold Summary'!$K:$K,""),'Pokemon Editor'!$A:$A,'Pokemon Editor'!$H:$H,0)+31+FLOOR(XLOOKUP($Q957,'Threshold Summary'!$Y:$Y,'Threshold Summary'!$R:$R,"")/4))*XLOOKUP($Q957,'Threshold Summary'!$Y:$Y,'Threshold Summary'!$L:$L,""))/100)+5)*XLOOKUP(XLOOKUP($Q957,'Threshold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Editor'!$E:$E,1))),stab,IF(OR(mtype=XLOOKUP(XLOOKUP($Q957,'Threshold Summary'!$Y:$Y,'Threshold Summary'!$K:$K,""),'Pokemon Editor'!$A:$A,'Pokemon Editor'!$C:$C,""),mtype=XLOOKUP(XLOOKUP($Q957,'Threshold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Chart'!$B$1:$S$1,0)))),base,IF(OR(cat="Status",pow=0),0,FLOOR(FLOOR(FLOOR((2*XLOOKUP($Q957,'Threshold Summary'!$Y:$Y,'Threshold Summary'!$L:$L,"")/5+2)*pow*atk/def)/50)+2)),modifier,stab*eff,FLOOR(base*modifier*0.85)),0)</f>
        <v/>
      </c>
      <c r="K957" s="3">
        <f>IFERROR(LET(mtype,XLOOKUP($D957,'Move Editor'!$B:$B,'Move Editor'!$C:$C,""),cat,XLOOKUP($D957,'Move Editor'!$B:$B,'Move Editor'!$D:$D,""),pow,XLOOKUP($D957,'Move Editor'!$B:$B,'Move Editor'!$E:$E,0),acc,XLOOKUP($D957,'Move Editor'!$B:$B,'Move Editor'!$F:$F,100),atk,IF(cat="Physical",FLOOR((FLOOR(((2*XLOOKUP(XLOOKUP($Q957,'Threshold Summary'!$Y:$Y,'Threshold Summary'!$K:$K,""),'Pokemon Editor'!$A:$A,'Pokemon Editor'!$F:$F,0)+31+FLOOR(XLOOKUP($Q957,'Threshold Summary'!$Y:$Y,'Threshold Summary'!$P:$P,"")/4))*XLOOKUP($Q957,'Threshold Summary'!$Y:$Y,'Threshold Summary'!$L:$L,""))/100)+5)*XLOOKUP(XLOOKUP($Q957,'Threshold Summary'!$Y:$Y,'Threshold Summary'!$M:$M,""),'Nature Editor'!$A:$A,'Nature Editor'!$B:$B,1)),FLOOR((FLOOR(((2*XLOOKUP(XLOOKUP($Q957,'Threshold Summary'!$Y:$Y,'Threshold Summary'!$K:$K,""),'Pokemon Editor'!$A:$A,'Pokemon Editor'!$H:$H,0)+31+FLOOR(XLOOKUP($Q957,'Threshold Summary'!$Y:$Y,'Threshold Summary'!$R:$R,"")/4))*XLOOKUP($Q957,'Threshold Summary'!$Y:$Y,'Threshold Summary'!$L:$L,""))/100)+5)*XLOOKUP(XLOOKUP($Q957,'Threshold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Editor'!$E:$E,1))),stab,IF(OR(mtype=XLOOKUP(XLOOKUP($Q957,'Threshold Summary'!$Y:$Y,'Threshold Summary'!$K:$K,""),'Pokemon Editor'!$A:$A,'Pokemon Editor'!$C:$C,""),mtype=XLOOKUP(XLOOKUP($Q957,'Threshold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Chart'!$B$1:$S$1,0)))),base,IF(OR(cat="Status",pow=0),0,FLOOR(FLOOR(FLOOR((2*XLOOKUP($Q957,'Threshold Summary'!$Y:$Y,'Threshold Summary'!$L:$L,"")/5+2)*pow*atk/def)/50)+2)),modifier,stab*eff,FLOOR(base*modifier)),0)</f>
        <v/>
      </c>
      <c r="L957" s="3">
        <f>IFERROR(LET(mtype,XLOOKUP($D957,'Move Editor'!$B:$B,'Move Editor'!$C:$C,""),cat,XLOOKUP($D957,'Move Editor'!$B:$B,'Move Editor'!$D:$D,""),pow,XLOOKUP($D957,'Move Editor'!$B:$B,'Move Editor'!$E:$E,0),acc,XLOOKUP($D957,'Move Editor'!$B:$B,'Move Editor'!$F:$F,100),atk,IF(cat="Physical",FLOOR((FLOOR(((2*XLOOKUP(XLOOKUP($Q957,'Threshold Summary'!$Y:$Y,'Threshold Summary'!$K:$K,""),'Pokemon Editor'!$A:$A,'Pokemon Editor'!$F:$F,0)+31+FLOOR(XLOOKUP($Q957,'Threshold Summary'!$Y:$Y,'Threshold Summary'!$P:$P,"")/4))*XLOOKUP($Q957,'Threshold Summary'!$Y:$Y,'Threshold Summary'!$L:$L,""))/100)+5)*XLOOKUP(XLOOKUP($Q957,'Threshold Summary'!$Y:$Y,'Threshold Summary'!$M:$M,""),'Nature Editor'!$A:$A,'Nature Editor'!$B:$B,1)),FLOOR((FLOOR(((2*XLOOKUP(XLOOKUP($Q957,'Threshold Summary'!$Y:$Y,'Threshold Summary'!$K:$K,""),'Pokemon Editor'!$A:$A,'Pokemon Editor'!$H:$H,0)+31+FLOOR(XLOOKUP($Q957,'Threshold Summary'!$Y:$Y,'Threshold Summary'!$R:$R,"")/4))*XLOOKUP($Q957,'Threshold Summary'!$Y:$Y,'Threshold Summary'!$L:$L,""))/100)+5)*XLOOKUP(XLOOKUP($Q957,'Threshold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Editor'!$E:$E,1))),stab,IF(OR(mtype=XLOOKUP(XLOOKUP($Q957,'Threshold Summary'!$Y:$Y,'Threshold Summary'!$K:$K,""),'Pokemon Editor'!$A:$A,'Pokemon Editor'!$C:$C,""),mtype=XLOOKUP(XLOOKUP($Q957,'Threshold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Chart'!$B$1:$S$1,0)))),base,IF(OR(cat="Status",pow=0),0,FLOOR(FLOOR(FLOOR((2*XLOOKUP($Q957,'Threshold Summary'!$Y:$Y,'Threshold Summary'!$L:$L,"")/5+2)*pow*atk/def)/50)+2)),modifier,stab*eff,AVERAGE(ARRAYFORMULA(FLOOR(base*modifier*SEQUENCE(16,1,85,1)/100)))),0)</f>
        <v/>
      </c>
      <c r="M957" s="3">
        <f>IFERROR(LET(mtype,XLOOKUP($D957,'Move Editor'!$B:$B,'Move Editor'!$C:$C,""),cat,XLOOKUP($D957,'Move Editor'!$B:$B,'Move Editor'!$D:$D,""),pow,XLOOKUP($D957,'Move Editor'!$B:$B,'Move Editor'!$E:$E,0),acc,XLOOKUP($D957,'Move Editor'!$B:$B,'Move Editor'!$F:$F,100),atk,IF(cat="Physical",FLOOR((FLOOR(((2*XLOOKUP(XLOOKUP($Q957,'Threshold Summary'!$Y:$Y,'Threshold Summary'!$K:$K,""),'Pokemon Editor'!$A:$A,'Pokemon Editor'!$F:$F,0)+31+FLOOR(XLOOKUP($Q957,'Threshold Summary'!$Y:$Y,'Threshold Summary'!$P:$P,"")/4))*XLOOKUP($Q957,'Threshold Summary'!$Y:$Y,'Threshold Summary'!$L:$L,""))/100)+5)*XLOOKUP(XLOOKUP($Q957,'Threshold Summary'!$Y:$Y,'Threshold Summary'!$M:$M,""),'Nature Editor'!$A:$A,'Nature Editor'!$B:$B,1)),FLOOR((FLOOR(((2*XLOOKUP(XLOOKUP($Q957,'Threshold Summary'!$Y:$Y,'Threshold Summary'!$K:$K,""),'Pokemon Editor'!$A:$A,'Pokemon Editor'!$H:$H,0)+31+FLOOR(XLOOKUP($Q957,'Threshold Summary'!$Y:$Y,'Threshold Summary'!$R:$R,"")/4))*XLOOKUP($Q957,'Threshold Summary'!$Y:$Y,'Threshold Summary'!$L:$L,""))/100)+5)*XLOOKUP(XLOOKUP($Q957,'Threshold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Editor'!$E:$E,1))),stab,IF(OR(mtype=XLOOKUP(XLOOKUP($Q957,'Threshold Summary'!$Y:$Y,'Threshold Summary'!$K:$K,""),'Pokemon Editor'!$A:$A,'Pokemon Editor'!$C:$C,""),mtype=XLOOKUP(XLOOKUP($Q957,'Threshold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Chart'!$B$1:$S$1,0)))),base,IF(OR(cat="Status",pow=0),0,FLOOR(FLOOR(FLOOR((2*XLOOKUP($Q957,'Threshold Summary'!$Y:$Y,'Threshold Summary'!$L:$L,"")/5+2)*pow*atk/def)/50)+2)),modifier,stab*eff,AVERAGE(ARRAYFORMULA(FLOOR(base*modifier*SEQUENCE(16,1,85,1)/100)))*MIN(1,acc/100)),0)</f>
        <v/>
      </c>
      <c r="N957" s="4">
        <f>IFERROR(LET(mtype,XLOOKUP($D957,'Move Editor'!$B:$B,'Move Editor'!$C:$C,""),cat,XLOOKUP($D957,'Move Editor'!$B:$B,'Move Editor'!$D:$D,""),pow,XLOOKUP($D957,'Move Editor'!$B:$B,'Move Editor'!$E:$E,0),acc,XLOOKUP($D957,'Move Editor'!$B:$B,'Move Editor'!$F:$F,100),atk,IF(cat="Physical",FLOOR((FLOOR(((2*XLOOKUP(XLOOKUP($Q957,'Threshold Summary'!$Y:$Y,'Threshold Summary'!$K:$K,""),'Pokemon Editor'!$A:$A,'Pokemon Editor'!$F:$F,0)+31+FLOOR(XLOOKUP($Q957,'Threshold Summary'!$Y:$Y,'Threshold Summary'!$P:$P,"")/4))*XLOOKUP($Q957,'Threshold Summary'!$Y:$Y,'Threshold Summary'!$L:$L,""))/100)+5)*XLOOKUP(XLOOKUP($Q957,'Threshold Summary'!$Y:$Y,'Threshold Summary'!$M:$M,""),'Nature Editor'!$A:$A,'Nature Editor'!$B:$B,1)),FLOOR((FLOOR(((2*XLOOKUP(XLOOKUP($Q957,'Threshold Summary'!$Y:$Y,'Threshold Summary'!$K:$K,""),'Pokemon Editor'!$A:$A,'Pokemon Editor'!$H:$H,0)+31+FLOOR(XLOOKUP($Q957,'Threshold Summary'!$Y:$Y,'Threshold Summary'!$R:$R,"")/4))*XLOOKUP($Q957,'Threshold Summary'!$Y:$Y,'Threshold Summary'!$L:$L,""))/100)+5)*XLOOKUP(XLOOKUP($Q957,'Threshold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Editor'!$E:$E,1))),stab,IF(OR(mtype=XLOOKUP(XLOOKUP($Q957,'Threshold Summary'!$Y:$Y,'Threshold Summary'!$K:$K,""),'Pokemon Editor'!$A:$A,'Pokemon Editor'!$C:$C,""),mtype=XLOOKUP(XLOOKUP($Q957,'Threshold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Chart'!$B$1:$S$1,0)))),base,IF(OR(cat="Status",pow=0),0,FLOOR(FLOOR(FLOOR((2*XLOOKUP($Q957,'Threshold Summary'!$Y:$Y,'Threshold Summary'!$L:$L,"")/5+2)*pow*atk/def)/50)+2)),modifier,stab*eff,AVERAGE(ARRAYFORMULA(FLOOR(base*modifier*SEQUENCE(16,1,85,1)/100)))/(FLOOR(((2*XLOOKUP('Boss Editor'!$C$4,'Pokemon Editor'!$A:$A,'Pokemon Editor'!$E:$E,0)+31+FLOOR('Boss Editor'!$G$4/4))*'Boss Editor'!$D$4)/100)+'Boss Editor'!$D$4+10)),0)</f>
        <v/>
      </c>
      <c r="O957" s="3">
        <f>IF(N957&gt;=1,"OHKO",IF(N957&gt;=0.5,"2HKO",IF(N957&gt;=0.333,"3HKO",IF(N957&gt;=0.25,"4HKO","5HKO+"))))</f>
        <v/>
      </c>
      <c r="P957" s="3" t="inlineStr">
        <is>
          <t>Live from editable databases</t>
        </is>
      </c>
      <c r="Q957" s="3" t="inlineStr">
        <is>
          <t>SPECIES_CHARCADET</t>
        </is>
      </c>
      <c r="R957" s="3" t="n">
        <v>28</v>
      </c>
    </row>
    <row r="958">
      <c r="A958" s="3">
        <f>XLOOKUP($Q958,'Threshold Summary'!$Y:$Y,'Threshold Summary'!$A:$A,"")</f>
        <v/>
      </c>
      <c r="B958" s="3">
        <f>XLOOKUP($Q958,'Threshold Summary'!$Y:$Y,'Threshold Summary'!$M:$M,"")</f>
        <v/>
      </c>
      <c r="C958" s="3">
        <f>XLOOKUP($Q958,'Threshold Summary'!$Y:$Y,'Threshold Summary'!$N:$N,"")</f>
        <v/>
      </c>
      <c r="D958" s="3">
        <f>IFERROR(INDEX(FILTER('Learnset Editor'!$D$2:$D,'Learnset Editor'!$A$2:$A=XLOOKUP($Q958,'Threshold Summary'!$Y:$Y,'Threshold Summary'!$K:$K,""),'Learnset Editor'!$C$2:$C&lt;=XLOOKUP($Q958,'Threshold Summary'!$Y:$Y,'Threshold Summary'!$L:$L,"")),$R958),"")</f>
        <v/>
      </c>
      <c r="E958" s="3">
        <f>XLOOKUP(D958,'Move Editor'!$B:$B,'Move Editor'!$C:$C,"")</f>
        <v/>
      </c>
      <c r="F958" s="3">
        <f>XLOOKUP(D958,'Move Editor'!$B:$B,'Move Editor'!$D:$D,"")</f>
        <v/>
      </c>
      <c r="G958" s="3">
        <f>XLOOKUP(D958,'Move Editor'!$B:$B,'Move Editor'!$E:$E,0)</f>
        <v/>
      </c>
      <c r="H958" s="3">
        <f>XLOOKUP(D958,'Move Editor'!$B:$B,'Move Editor'!$F:$F,0)</f>
        <v/>
      </c>
      <c r="I958" s="3">
        <f>(INDEX('Type Chart'!$B:$S,MATCH(E958,'Type Chart'!$A:$A,0),MATCH(XLOOKUP('Boss Editor'!$C$4,'Pokemon Editor'!$A:$A,'Pokemon Editor'!$C:$C,""),'Type Chart'!$B$1:$S$1,0))*IF(XLOOKUP('Boss Editor'!$C$4,'Pokemon Editor'!$A:$A,'Pokemon Editor'!$D:$D,"")="",1,INDEX('Type Chart'!$B:$S,MATCH(E958,'Type Chart'!$A:$A,0),MATCH(XLOOKUP('Boss Editor'!$C$4,'Pokemon Editor'!$A:$A,'Pokemon Editor'!$D:$D,""),'Type Chart'!$B$1:$S$1,0))))</f>
        <v/>
      </c>
      <c r="J958" s="3">
        <f>IFERROR(LET(mtype,XLOOKUP($D958,'Move Editor'!$B:$B,'Move Editor'!$C:$C,""),cat,XLOOKUP($D958,'Move Editor'!$B:$B,'Move Editor'!$D:$D,""),pow,XLOOKUP($D958,'Move Editor'!$B:$B,'Move Editor'!$E:$E,0),acc,XLOOKUP($D958,'Move Editor'!$B:$B,'Move Editor'!$F:$F,100),atk,IF(cat="Physical",FLOOR((FLOOR(((2*XLOOKUP(XLOOKUP($Q958,'Threshold Summary'!$Y:$Y,'Threshold Summary'!$K:$K,""),'Pokemon Editor'!$A:$A,'Pokemon Editor'!$F:$F,0)+31+FLOOR(XLOOKUP($Q958,'Threshold Summary'!$Y:$Y,'Threshold Summary'!$P:$P,"")/4))*XLOOKUP($Q958,'Threshold Summary'!$Y:$Y,'Threshold Summary'!$L:$L,""))/100)+5)*XLOOKUP(XLOOKUP($Q958,'Threshold Summary'!$Y:$Y,'Threshold Summary'!$M:$M,""),'Nature Editor'!$A:$A,'Nature Editor'!$B:$B,1)),FLOOR((FLOOR(((2*XLOOKUP(XLOOKUP($Q958,'Threshold Summary'!$Y:$Y,'Threshold Summary'!$K:$K,""),'Pokemon Editor'!$A:$A,'Pokemon Editor'!$H:$H,0)+31+FLOOR(XLOOKUP($Q958,'Threshold Summary'!$Y:$Y,'Threshold Summary'!$R:$R,"")/4))*XLOOKUP($Q958,'Threshold Summary'!$Y:$Y,'Threshold Summary'!$L:$L,""))/100)+5)*XLOOKUP(XLOOKUP($Q958,'Threshold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Editor'!$E:$E,1))),stab,IF(OR(mtype=XLOOKUP(XLOOKUP($Q958,'Threshold Summary'!$Y:$Y,'Threshold Summary'!$K:$K,""),'Pokemon Editor'!$A:$A,'Pokemon Editor'!$C:$C,""),mtype=XLOOKUP(XLOOKUP($Q958,'Threshold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Chart'!$B$1:$S$1,0)))),base,IF(OR(cat="Status",pow=0),0,FLOOR(FLOOR(FLOOR((2*XLOOKUP($Q958,'Threshold Summary'!$Y:$Y,'Threshold Summary'!$L:$L,"")/5+2)*pow*atk/def)/50)+2)),modifier,stab*eff,FLOOR(base*modifier*0.85)),0)</f>
        <v/>
      </c>
      <c r="K958" s="3">
        <f>IFERROR(LET(mtype,XLOOKUP($D958,'Move Editor'!$B:$B,'Move Editor'!$C:$C,""),cat,XLOOKUP($D958,'Move Editor'!$B:$B,'Move Editor'!$D:$D,""),pow,XLOOKUP($D958,'Move Editor'!$B:$B,'Move Editor'!$E:$E,0),acc,XLOOKUP($D958,'Move Editor'!$B:$B,'Move Editor'!$F:$F,100),atk,IF(cat="Physical",FLOOR((FLOOR(((2*XLOOKUP(XLOOKUP($Q958,'Threshold Summary'!$Y:$Y,'Threshold Summary'!$K:$K,""),'Pokemon Editor'!$A:$A,'Pokemon Editor'!$F:$F,0)+31+FLOOR(XLOOKUP($Q958,'Threshold Summary'!$Y:$Y,'Threshold Summary'!$P:$P,"")/4))*XLOOKUP($Q958,'Threshold Summary'!$Y:$Y,'Threshold Summary'!$L:$L,""))/100)+5)*XLOOKUP(XLOOKUP($Q958,'Threshold Summary'!$Y:$Y,'Threshold Summary'!$M:$M,""),'Nature Editor'!$A:$A,'Nature Editor'!$B:$B,1)),FLOOR((FLOOR(((2*XLOOKUP(XLOOKUP($Q958,'Threshold Summary'!$Y:$Y,'Threshold Summary'!$K:$K,""),'Pokemon Editor'!$A:$A,'Pokemon Editor'!$H:$H,0)+31+FLOOR(XLOOKUP($Q958,'Threshold Summary'!$Y:$Y,'Threshold Summary'!$R:$R,"")/4))*XLOOKUP($Q958,'Threshold Summary'!$Y:$Y,'Threshold Summary'!$L:$L,""))/100)+5)*XLOOKUP(XLOOKUP($Q958,'Threshold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Editor'!$E:$E,1))),stab,IF(OR(mtype=XLOOKUP(XLOOKUP($Q958,'Threshold Summary'!$Y:$Y,'Threshold Summary'!$K:$K,""),'Pokemon Editor'!$A:$A,'Pokemon Editor'!$C:$C,""),mtype=XLOOKUP(XLOOKUP($Q958,'Threshold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Chart'!$B$1:$S$1,0)))),base,IF(OR(cat="Status",pow=0),0,FLOOR(FLOOR(FLOOR((2*XLOOKUP($Q958,'Threshold Summary'!$Y:$Y,'Threshold Summary'!$L:$L,"")/5+2)*pow*atk/def)/50)+2)),modifier,stab*eff,FLOOR(base*modifier)),0)</f>
        <v/>
      </c>
      <c r="L958" s="3">
        <f>IFERROR(LET(mtype,XLOOKUP($D958,'Move Editor'!$B:$B,'Move Editor'!$C:$C,""),cat,XLOOKUP($D958,'Move Editor'!$B:$B,'Move Editor'!$D:$D,""),pow,XLOOKUP($D958,'Move Editor'!$B:$B,'Move Editor'!$E:$E,0),acc,XLOOKUP($D958,'Move Editor'!$B:$B,'Move Editor'!$F:$F,100),atk,IF(cat="Physical",FLOOR((FLOOR(((2*XLOOKUP(XLOOKUP($Q958,'Threshold Summary'!$Y:$Y,'Threshold Summary'!$K:$K,""),'Pokemon Editor'!$A:$A,'Pokemon Editor'!$F:$F,0)+31+FLOOR(XLOOKUP($Q958,'Threshold Summary'!$Y:$Y,'Threshold Summary'!$P:$P,"")/4))*XLOOKUP($Q958,'Threshold Summary'!$Y:$Y,'Threshold Summary'!$L:$L,""))/100)+5)*XLOOKUP(XLOOKUP($Q958,'Threshold Summary'!$Y:$Y,'Threshold Summary'!$M:$M,""),'Nature Editor'!$A:$A,'Nature Editor'!$B:$B,1)),FLOOR((FLOOR(((2*XLOOKUP(XLOOKUP($Q958,'Threshold Summary'!$Y:$Y,'Threshold Summary'!$K:$K,""),'Pokemon Editor'!$A:$A,'Pokemon Editor'!$H:$H,0)+31+FLOOR(XLOOKUP($Q958,'Threshold Summary'!$Y:$Y,'Threshold Summary'!$R:$R,"")/4))*XLOOKUP($Q958,'Threshold Summary'!$Y:$Y,'Threshold Summary'!$L:$L,""))/100)+5)*XLOOKUP(XLOOKUP($Q958,'Threshold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Editor'!$E:$E,1))),stab,IF(OR(mtype=XLOOKUP(XLOOKUP($Q958,'Threshold Summary'!$Y:$Y,'Threshold Summary'!$K:$K,""),'Pokemon Editor'!$A:$A,'Pokemon Editor'!$C:$C,""),mtype=XLOOKUP(XLOOKUP($Q958,'Threshold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Chart'!$B$1:$S$1,0)))),base,IF(OR(cat="Status",pow=0),0,FLOOR(FLOOR(FLOOR((2*XLOOKUP($Q958,'Threshold Summary'!$Y:$Y,'Threshold Summary'!$L:$L,"")/5+2)*pow*atk/def)/50)+2)),modifier,stab*eff,AVERAGE(ARRAYFORMULA(FLOOR(base*modifier*SEQUENCE(16,1,85,1)/100)))),0)</f>
        <v/>
      </c>
      <c r="M958" s="3">
        <f>IFERROR(LET(mtype,XLOOKUP($D958,'Move Editor'!$B:$B,'Move Editor'!$C:$C,""),cat,XLOOKUP($D958,'Move Editor'!$B:$B,'Move Editor'!$D:$D,""),pow,XLOOKUP($D958,'Move Editor'!$B:$B,'Move Editor'!$E:$E,0),acc,XLOOKUP($D958,'Move Editor'!$B:$B,'Move Editor'!$F:$F,100),atk,IF(cat="Physical",FLOOR((FLOOR(((2*XLOOKUP(XLOOKUP($Q958,'Threshold Summary'!$Y:$Y,'Threshold Summary'!$K:$K,""),'Pokemon Editor'!$A:$A,'Pokemon Editor'!$F:$F,0)+31+FLOOR(XLOOKUP($Q958,'Threshold Summary'!$Y:$Y,'Threshold Summary'!$P:$P,"")/4))*XLOOKUP($Q958,'Threshold Summary'!$Y:$Y,'Threshold Summary'!$L:$L,""))/100)+5)*XLOOKUP(XLOOKUP($Q958,'Threshold Summary'!$Y:$Y,'Threshold Summary'!$M:$M,""),'Nature Editor'!$A:$A,'Nature Editor'!$B:$B,1)),FLOOR((FLOOR(((2*XLOOKUP(XLOOKUP($Q958,'Threshold Summary'!$Y:$Y,'Threshold Summary'!$K:$K,""),'Pokemon Editor'!$A:$A,'Pokemon Editor'!$H:$H,0)+31+FLOOR(XLOOKUP($Q958,'Threshold Summary'!$Y:$Y,'Threshold Summary'!$R:$R,"")/4))*XLOOKUP($Q958,'Threshold Summary'!$Y:$Y,'Threshold Summary'!$L:$L,""))/100)+5)*XLOOKUP(XLOOKUP($Q958,'Threshold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Editor'!$E:$E,1))),stab,IF(OR(mtype=XLOOKUP(XLOOKUP($Q958,'Threshold Summary'!$Y:$Y,'Threshold Summary'!$K:$K,""),'Pokemon Editor'!$A:$A,'Pokemon Editor'!$C:$C,""),mtype=XLOOKUP(XLOOKUP($Q958,'Threshold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Chart'!$B$1:$S$1,0)))),base,IF(OR(cat="Status",pow=0),0,FLOOR(FLOOR(FLOOR((2*XLOOKUP($Q958,'Threshold Summary'!$Y:$Y,'Threshold Summary'!$L:$L,"")/5+2)*pow*atk/def)/50)+2)),modifier,stab*eff,AVERAGE(ARRAYFORMULA(FLOOR(base*modifier*SEQUENCE(16,1,85,1)/100)))*MIN(1,acc/100)),0)</f>
        <v/>
      </c>
      <c r="N958" s="4">
        <f>IFERROR(LET(mtype,XLOOKUP($D958,'Move Editor'!$B:$B,'Move Editor'!$C:$C,""),cat,XLOOKUP($D958,'Move Editor'!$B:$B,'Move Editor'!$D:$D,""),pow,XLOOKUP($D958,'Move Editor'!$B:$B,'Move Editor'!$E:$E,0),acc,XLOOKUP($D958,'Move Editor'!$B:$B,'Move Editor'!$F:$F,100),atk,IF(cat="Physical",FLOOR((FLOOR(((2*XLOOKUP(XLOOKUP($Q958,'Threshold Summary'!$Y:$Y,'Threshold Summary'!$K:$K,""),'Pokemon Editor'!$A:$A,'Pokemon Editor'!$F:$F,0)+31+FLOOR(XLOOKUP($Q958,'Threshold Summary'!$Y:$Y,'Threshold Summary'!$P:$P,"")/4))*XLOOKUP($Q958,'Threshold Summary'!$Y:$Y,'Threshold Summary'!$L:$L,""))/100)+5)*XLOOKUP(XLOOKUP($Q958,'Threshold Summary'!$Y:$Y,'Threshold Summary'!$M:$M,""),'Nature Editor'!$A:$A,'Nature Editor'!$B:$B,1)),FLOOR((FLOOR(((2*XLOOKUP(XLOOKUP($Q958,'Threshold Summary'!$Y:$Y,'Threshold Summary'!$K:$K,""),'Pokemon Editor'!$A:$A,'Pokemon Editor'!$H:$H,0)+31+FLOOR(XLOOKUP($Q958,'Threshold Summary'!$Y:$Y,'Threshold Summary'!$R:$R,"")/4))*XLOOKUP($Q958,'Threshold Summary'!$Y:$Y,'Threshold Summary'!$L:$L,""))/100)+5)*XLOOKUP(XLOOKUP($Q958,'Threshold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Editor'!$E:$E,1))),stab,IF(OR(mtype=XLOOKUP(XLOOKUP($Q958,'Threshold Summary'!$Y:$Y,'Threshold Summary'!$K:$K,""),'Pokemon Editor'!$A:$A,'Pokemon Editor'!$C:$C,""),mtype=XLOOKUP(XLOOKUP($Q958,'Threshold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Chart'!$B$1:$S$1,0)))),base,IF(OR(cat="Status",pow=0),0,FLOOR(FLOOR(FLOOR((2*XLOOKUP($Q958,'Threshold Summary'!$Y:$Y,'Threshold Summary'!$L:$L,"")/5+2)*pow*atk/def)/50)+2)),modifier,stab*eff,AVERAGE(ARRAYFORMULA(FLOOR(base*modifier*SEQUENCE(16,1,85,1)/100)))/(FLOOR(((2*XLOOKUP('Boss Editor'!$C$4,'Pokemon Editor'!$A:$A,'Pokemon Editor'!$E:$E,0)+31+FLOOR('Boss Editor'!$G$4/4))*'Boss Editor'!$D$4)/100)+'Boss Editor'!$D$4+10)),0)</f>
        <v/>
      </c>
      <c r="O958" s="3">
        <f>IF(N958&gt;=1,"OHKO",IF(N958&gt;=0.5,"2HKO",IF(N958&gt;=0.333,"3HKO",IF(N958&gt;=0.25,"4HKO","5HKO+"))))</f>
        <v/>
      </c>
      <c r="P958" s="3" t="inlineStr">
        <is>
          <t>Live from editable databases</t>
        </is>
      </c>
      <c r="Q958" s="3" t="inlineStr">
        <is>
          <t>SPECIES_CHARCADET</t>
        </is>
      </c>
      <c r="R958" s="3" t="n">
        <v>29</v>
      </c>
    </row>
    <row r="959">
      <c r="A959" s="3">
        <f>XLOOKUP($Q959,'Threshold Summary'!$Y:$Y,'Threshold Summary'!$A:$A,"")</f>
        <v/>
      </c>
      <c r="B959" s="3">
        <f>XLOOKUP($Q959,'Threshold Summary'!$Y:$Y,'Threshold Summary'!$M:$M,"")</f>
        <v/>
      </c>
      <c r="C959" s="3">
        <f>XLOOKUP($Q959,'Threshold Summary'!$Y:$Y,'Threshold Summary'!$N:$N,"")</f>
        <v/>
      </c>
      <c r="D959" s="3">
        <f>IFERROR(INDEX(FILTER('Learnset Editor'!$D$2:$D,'Learnset Editor'!$A$2:$A=XLOOKUP($Q959,'Threshold Summary'!$Y:$Y,'Threshold Summary'!$K:$K,""),'Learnset Editor'!$C$2:$C&lt;=XLOOKUP($Q959,'Threshold Summary'!$Y:$Y,'Threshold Summary'!$L:$L,"")),$R959),"")</f>
        <v/>
      </c>
      <c r="E959" s="3">
        <f>XLOOKUP(D959,'Move Editor'!$B:$B,'Move Editor'!$C:$C,"")</f>
        <v/>
      </c>
      <c r="F959" s="3">
        <f>XLOOKUP(D959,'Move Editor'!$B:$B,'Move Editor'!$D:$D,"")</f>
        <v/>
      </c>
      <c r="G959" s="3">
        <f>XLOOKUP(D959,'Move Editor'!$B:$B,'Move Editor'!$E:$E,0)</f>
        <v/>
      </c>
      <c r="H959" s="3">
        <f>XLOOKUP(D959,'Move Editor'!$B:$B,'Move Editor'!$F:$F,0)</f>
        <v/>
      </c>
      <c r="I959" s="3">
        <f>(INDEX('Type Chart'!$B:$S,MATCH(E959,'Type Chart'!$A:$A,0),MATCH(XLOOKUP('Boss Editor'!$C$4,'Pokemon Editor'!$A:$A,'Pokemon Editor'!$C:$C,""),'Type Chart'!$B$1:$S$1,0))*IF(XLOOKUP('Boss Editor'!$C$4,'Pokemon Editor'!$A:$A,'Pokemon Editor'!$D:$D,"")="",1,INDEX('Type Chart'!$B:$S,MATCH(E959,'Type Chart'!$A:$A,0),MATCH(XLOOKUP('Boss Editor'!$C$4,'Pokemon Editor'!$A:$A,'Pokemon Editor'!$D:$D,""),'Type Chart'!$B$1:$S$1,0))))</f>
        <v/>
      </c>
      <c r="J959" s="3">
        <f>IFERROR(LET(mtype,XLOOKUP($D959,'Move Editor'!$B:$B,'Move Editor'!$C:$C,""),cat,XLOOKUP($D959,'Move Editor'!$B:$B,'Move Editor'!$D:$D,""),pow,XLOOKUP($D959,'Move Editor'!$B:$B,'Move Editor'!$E:$E,0),acc,XLOOKUP($D959,'Move Editor'!$B:$B,'Move Editor'!$F:$F,100),atk,IF(cat="Physical",FLOOR((FLOOR(((2*XLOOKUP(XLOOKUP($Q959,'Threshold Summary'!$Y:$Y,'Threshold Summary'!$K:$K,""),'Pokemon Editor'!$A:$A,'Pokemon Editor'!$F:$F,0)+31+FLOOR(XLOOKUP($Q959,'Threshold Summary'!$Y:$Y,'Threshold Summary'!$P:$P,"")/4))*XLOOKUP($Q959,'Threshold Summary'!$Y:$Y,'Threshold Summary'!$L:$L,""))/100)+5)*XLOOKUP(XLOOKUP($Q959,'Threshold Summary'!$Y:$Y,'Threshold Summary'!$M:$M,""),'Nature Editor'!$A:$A,'Nature Editor'!$B:$B,1)),FLOOR((FLOOR(((2*XLOOKUP(XLOOKUP($Q959,'Threshold Summary'!$Y:$Y,'Threshold Summary'!$K:$K,""),'Pokemon Editor'!$A:$A,'Pokemon Editor'!$H:$H,0)+31+FLOOR(XLOOKUP($Q959,'Threshold Summary'!$Y:$Y,'Threshold Summary'!$R:$R,"")/4))*XLOOKUP($Q959,'Threshold Summary'!$Y:$Y,'Threshold Summary'!$L:$L,""))/100)+5)*XLOOKUP(XLOOKUP($Q959,'Threshold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Editor'!$E:$E,1))),stab,IF(OR(mtype=XLOOKUP(XLOOKUP($Q959,'Threshold Summary'!$Y:$Y,'Threshold Summary'!$K:$K,""),'Pokemon Editor'!$A:$A,'Pokemon Editor'!$C:$C,""),mtype=XLOOKUP(XLOOKUP($Q959,'Threshold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Chart'!$B$1:$S$1,0)))),base,IF(OR(cat="Status",pow=0),0,FLOOR(FLOOR(FLOOR((2*XLOOKUP($Q959,'Threshold Summary'!$Y:$Y,'Threshold Summary'!$L:$L,"")/5+2)*pow*atk/def)/50)+2)),modifier,stab*eff,FLOOR(base*modifier*0.85)),0)</f>
        <v/>
      </c>
      <c r="K959" s="3">
        <f>IFERROR(LET(mtype,XLOOKUP($D959,'Move Editor'!$B:$B,'Move Editor'!$C:$C,""),cat,XLOOKUP($D959,'Move Editor'!$B:$B,'Move Editor'!$D:$D,""),pow,XLOOKUP($D959,'Move Editor'!$B:$B,'Move Editor'!$E:$E,0),acc,XLOOKUP($D959,'Move Editor'!$B:$B,'Move Editor'!$F:$F,100),atk,IF(cat="Physical",FLOOR((FLOOR(((2*XLOOKUP(XLOOKUP($Q959,'Threshold Summary'!$Y:$Y,'Threshold Summary'!$K:$K,""),'Pokemon Editor'!$A:$A,'Pokemon Editor'!$F:$F,0)+31+FLOOR(XLOOKUP($Q959,'Threshold Summary'!$Y:$Y,'Threshold Summary'!$P:$P,"")/4))*XLOOKUP($Q959,'Threshold Summary'!$Y:$Y,'Threshold Summary'!$L:$L,""))/100)+5)*XLOOKUP(XLOOKUP($Q959,'Threshold Summary'!$Y:$Y,'Threshold Summary'!$M:$M,""),'Nature Editor'!$A:$A,'Nature Editor'!$B:$B,1)),FLOOR((FLOOR(((2*XLOOKUP(XLOOKUP($Q959,'Threshold Summary'!$Y:$Y,'Threshold Summary'!$K:$K,""),'Pokemon Editor'!$A:$A,'Pokemon Editor'!$H:$H,0)+31+FLOOR(XLOOKUP($Q959,'Threshold Summary'!$Y:$Y,'Threshold Summary'!$R:$R,"")/4))*XLOOKUP($Q959,'Threshold Summary'!$Y:$Y,'Threshold Summary'!$L:$L,""))/100)+5)*XLOOKUP(XLOOKUP($Q959,'Threshold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Editor'!$E:$E,1))),stab,IF(OR(mtype=XLOOKUP(XLOOKUP($Q959,'Threshold Summary'!$Y:$Y,'Threshold Summary'!$K:$K,""),'Pokemon Editor'!$A:$A,'Pokemon Editor'!$C:$C,""),mtype=XLOOKUP(XLOOKUP($Q959,'Threshold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Chart'!$B$1:$S$1,0)))),base,IF(OR(cat="Status",pow=0),0,FLOOR(FLOOR(FLOOR((2*XLOOKUP($Q959,'Threshold Summary'!$Y:$Y,'Threshold Summary'!$L:$L,"")/5+2)*pow*atk/def)/50)+2)),modifier,stab*eff,FLOOR(base*modifier)),0)</f>
        <v/>
      </c>
      <c r="L959" s="3">
        <f>IFERROR(LET(mtype,XLOOKUP($D959,'Move Editor'!$B:$B,'Move Editor'!$C:$C,""),cat,XLOOKUP($D959,'Move Editor'!$B:$B,'Move Editor'!$D:$D,""),pow,XLOOKUP($D959,'Move Editor'!$B:$B,'Move Editor'!$E:$E,0),acc,XLOOKUP($D959,'Move Editor'!$B:$B,'Move Editor'!$F:$F,100),atk,IF(cat="Physical",FLOOR((FLOOR(((2*XLOOKUP(XLOOKUP($Q959,'Threshold Summary'!$Y:$Y,'Threshold Summary'!$K:$K,""),'Pokemon Editor'!$A:$A,'Pokemon Editor'!$F:$F,0)+31+FLOOR(XLOOKUP($Q959,'Threshold Summary'!$Y:$Y,'Threshold Summary'!$P:$P,"")/4))*XLOOKUP($Q959,'Threshold Summary'!$Y:$Y,'Threshold Summary'!$L:$L,""))/100)+5)*XLOOKUP(XLOOKUP($Q959,'Threshold Summary'!$Y:$Y,'Threshold Summary'!$M:$M,""),'Nature Editor'!$A:$A,'Nature Editor'!$B:$B,1)),FLOOR((FLOOR(((2*XLOOKUP(XLOOKUP($Q959,'Threshold Summary'!$Y:$Y,'Threshold Summary'!$K:$K,""),'Pokemon Editor'!$A:$A,'Pokemon Editor'!$H:$H,0)+31+FLOOR(XLOOKUP($Q959,'Threshold Summary'!$Y:$Y,'Threshold Summary'!$R:$R,"")/4))*XLOOKUP($Q959,'Threshold Summary'!$Y:$Y,'Threshold Summary'!$L:$L,""))/100)+5)*XLOOKUP(XLOOKUP($Q959,'Threshold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Editor'!$E:$E,1))),stab,IF(OR(mtype=XLOOKUP(XLOOKUP($Q959,'Threshold Summary'!$Y:$Y,'Threshold Summary'!$K:$K,""),'Pokemon Editor'!$A:$A,'Pokemon Editor'!$C:$C,""),mtype=XLOOKUP(XLOOKUP($Q959,'Threshold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Chart'!$B$1:$S$1,0)))),base,IF(OR(cat="Status",pow=0),0,FLOOR(FLOOR(FLOOR((2*XLOOKUP($Q959,'Threshold Summary'!$Y:$Y,'Threshold Summary'!$L:$L,"")/5+2)*pow*atk/def)/50)+2)),modifier,stab*eff,AVERAGE(ARRAYFORMULA(FLOOR(base*modifier*SEQUENCE(16,1,85,1)/100)))),0)</f>
        <v/>
      </c>
      <c r="M959" s="3">
        <f>IFERROR(LET(mtype,XLOOKUP($D959,'Move Editor'!$B:$B,'Move Editor'!$C:$C,""),cat,XLOOKUP($D959,'Move Editor'!$B:$B,'Move Editor'!$D:$D,""),pow,XLOOKUP($D959,'Move Editor'!$B:$B,'Move Editor'!$E:$E,0),acc,XLOOKUP($D959,'Move Editor'!$B:$B,'Move Editor'!$F:$F,100),atk,IF(cat="Physical",FLOOR((FLOOR(((2*XLOOKUP(XLOOKUP($Q959,'Threshold Summary'!$Y:$Y,'Threshold Summary'!$K:$K,""),'Pokemon Editor'!$A:$A,'Pokemon Editor'!$F:$F,0)+31+FLOOR(XLOOKUP($Q959,'Threshold Summary'!$Y:$Y,'Threshold Summary'!$P:$P,"")/4))*XLOOKUP($Q959,'Threshold Summary'!$Y:$Y,'Threshold Summary'!$L:$L,""))/100)+5)*XLOOKUP(XLOOKUP($Q959,'Threshold Summary'!$Y:$Y,'Threshold Summary'!$M:$M,""),'Nature Editor'!$A:$A,'Nature Editor'!$B:$B,1)),FLOOR((FLOOR(((2*XLOOKUP(XLOOKUP($Q959,'Threshold Summary'!$Y:$Y,'Threshold Summary'!$K:$K,""),'Pokemon Editor'!$A:$A,'Pokemon Editor'!$H:$H,0)+31+FLOOR(XLOOKUP($Q959,'Threshold Summary'!$Y:$Y,'Threshold Summary'!$R:$R,"")/4))*XLOOKUP($Q959,'Threshold Summary'!$Y:$Y,'Threshold Summary'!$L:$L,""))/100)+5)*XLOOKUP(XLOOKUP($Q959,'Threshold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Editor'!$E:$E,1))),stab,IF(OR(mtype=XLOOKUP(XLOOKUP($Q959,'Threshold Summary'!$Y:$Y,'Threshold Summary'!$K:$K,""),'Pokemon Editor'!$A:$A,'Pokemon Editor'!$C:$C,""),mtype=XLOOKUP(XLOOKUP($Q959,'Threshold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Chart'!$B$1:$S$1,0)))),base,IF(OR(cat="Status",pow=0),0,FLOOR(FLOOR(FLOOR((2*XLOOKUP($Q959,'Threshold Summary'!$Y:$Y,'Threshold Summary'!$L:$L,"")/5+2)*pow*atk/def)/50)+2)),modifier,stab*eff,AVERAGE(ARRAYFORMULA(FLOOR(base*modifier*SEQUENCE(16,1,85,1)/100)))*MIN(1,acc/100)),0)</f>
        <v/>
      </c>
      <c r="N959" s="4">
        <f>IFERROR(LET(mtype,XLOOKUP($D959,'Move Editor'!$B:$B,'Move Editor'!$C:$C,""),cat,XLOOKUP($D959,'Move Editor'!$B:$B,'Move Editor'!$D:$D,""),pow,XLOOKUP($D959,'Move Editor'!$B:$B,'Move Editor'!$E:$E,0),acc,XLOOKUP($D959,'Move Editor'!$B:$B,'Move Editor'!$F:$F,100),atk,IF(cat="Physical",FLOOR((FLOOR(((2*XLOOKUP(XLOOKUP($Q959,'Threshold Summary'!$Y:$Y,'Threshold Summary'!$K:$K,""),'Pokemon Editor'!$A:$A,'Pokemon Editor'!$F:$F,0)+31+FLOOR(XLOOKUP($Q959,'Threshold Summary'!$Y:$Y,'Threshold Summary'!$P:$P,"")/4))*XLOOKUP($Q959,'Threshold Summary'!$Y:$Y,'Threshold Summary'!$L:$L,""))/100)+5)*XLOOKUP(XLOOKUP($Q959,'Threshold Summary'!$Y:$Y,'Threshold Summary'!$M:$M,""),'Nature Editor'!$A:$A,'Nature Editor'!$B:$B,1)),FLOOR((FLOOR(((2*XLOOKUP(XLOOKUP($Q959,'Threshold Summary'!$Y:$Y,'Threshold Summary'!$K:$K,""),'Pokemon Editor'!$A:$A,'Pokemon Editor'!$H:$H,0)+31+FLOOR(XLOOKUP($Q959,'Threshold Summary'!$Y:$Y,'Threshold Summary'!$R:$R,"")/4))*XLOOKUP($Q959,'Threshold Summary'!$Y:$Y,'Threshold Summary'!$L:$L,""))/100)+5)*XLOOKUP(XLOOKUP($Q959,'Threshold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Editor'!$E:$E,1))),stab,IF(OR(mtype=XLOOKUP(XLOOKUP($Q959,'Threshold Summary'!$Y:$Y,'Threshold Summary'!$K:$K,""),'Pokemon Editor'!$A:$A,'Pokemon Editor'!$C:$C,""),mtype=XLOOKUP(XLOOKUP($Q959,'Threshold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Chart'!$B$1:$S$1,0)))),base,IF(OR(cat="Status",pow=0),0,FLOOR(FLOOR(FLOOR((2*XLOOKUP($Q959,'Threshold Summary'!$Y:$Y,'Threshold Summary'!$L:$L,"")/5+2)*pow*atk/def)/50)+2)),modifier,stab*eff,AVERAGE(ARRAYFORMULA(FLOOR(base*modifier*SEQUENCE(16,1,85,1)/100)))/(FLOOR(((2*XLOOKUP('Boss Editor'!$C$4,'Pokemon Editor'!$A:$A,'Pokemon Editor'!$E:$E,0)+31+FLOOR('Boss Editor'!$G$4/4))*'Boss Editor'!$D$4)/100)+'Boss Editor'!$D$4+10)),0)</f>
        <v/>
      </c>
      <c r="O959" s="3">
        <f>IF(N959&gt;=1,"OHKO",IF(N959&gt;=0.5,"2HKO",IF(N959&gt;=0.333,"3HKO",IF(N959&gt;=0.25,"4HKO","5HKO+"))))</f>
        <v/>
      </c>
      <c r="P959" s="3" t="inlineStr">
        <is>
          <t>Live from editable databases</t>
        </is>
      </c>
      <c r="Q959" s="3" t="inlineStr">
        <is>
          <t>SPECIES_CHARCADET</t>
        </is>
      </c>
      <c r="R959" s="3" t="n">
        <v>30</v>
      </c>
    </row>
    <row r="960">
      <c r="A960" s="3">
        <f>XLOOKUP($Q960,'Threshold Summary'!$Y:$Y,'Threshold Summary'!$A:$A,"")</f>
        <v/>
      </c>
      <c r="B960" s="3">
        <f>XLOOKUP($Q960,'Threshold Summary'!$Y:$Y,'Threshold Summary'!$M:$M,"")</f>
        <v/>
      </c>
      <c r="C960" s="3">
        <f>XLOOKUP($Q960,'Threshold Summary'!$Y:$Y,'Threshold Summary'!$N:$N,"")</f>
        <v/>
      </c>
      <c r="D960" s="3">
        <f>IFERROR(INDEX(FILTER('Learnset Editor'!$D$2:$D,'Learnset Editor'!$A$2:$A=XLOOKUP($Q960,'Threshold Summary'!$Y:$Y,'Threshold Summary'!$K:$K,""),'Learnset Editor'!$C$2:$C&lt;=XLOOKUP($Q960,'Threshold Summary'!$Y:$Y,'Threshold Summary'!$L:$L,"")),$R960),"")</f>
        <v/>
      </c>
      <c r="E960" s="3">
        <f>XLOOKUP(D960,'Move Editor'!$B:$B,'Move Editor'!$C:$C,"")</f>
        <v/>
      </c>
      <c r="F960" s="3">
        <f>XLOOKUP(D960,'Move Editor'!$B:$B,'Move Editor'!$D:$D,"")</f>
        <v/>
      </c>
      <c r="G960" s="3">
        <f>XLOOKUP(D960,'Move Editor'!$B:$B,'Move Editor'!$E:$E,0)</f>
        <v/>
      </c>
      <c r="H960" s="3">
        <f>XLOOKUP(D960,'Move Editor'!$B:$B,'Move Editor'!$F:$F,0)</f>
        <v/>
      </c>
      <c r="I960" s="3">
        <f>(INDEX('Type Chart'!$B:$S,MATCH(E960,'Type Chart'!$A:$A,0),MATCH(XLOOKUP('Boss Editor'!$C$4,'Pokemon Editor'!$A:$A,'Pokemon Editor'!$C:$C,""),'Type Chart'!$B$1:$S$1,0))*IF(XLOOKUP('Boss Editor'!$C$4,'Pokemon Editor'!$A:$A,'Pokemon Editor'!$D:$D,"")="",1,INDEX('Type Chart'!$B:$S,MATCH(E960,'Type Chart'!$A:$A,0),MATCH(XLOOKUP('Boss Editor'!$C$4,'Pokemon Editor'!$A:$A,'Pokemon Editor'!$D:$D,""),'Type Chart'!$B$1:$S$1,0))))</f>
        <v/>
      </c>
      <c r="J960" s="3">
        <f>IFERROR(LET(mtype,XLOOKUP($D960,'Move Editor'!$B:$B,'Move Editor'!$C:$C,""),cat,XLOOKUP($D960,'Move Editor'!$B:$B,'Move Editor'!$D:$D,""),pow,XLOOKUP($D960,'Move Editor'!$B:$B,'Move Editor'!$E:$E,0),acc,XLOOKUP($D960,'Move Editor'!$B:$B,'Move Editor'!$F:$F,100),atk,IF(cat="Physical",FLOOR((FLOOR(((2*XLOOKUP(XLOOKUP($Q960,'Threshold Summary'!$Y:$Y,'Threshold Summary'!$K:$K,""),'Pokemon Editor'!$A:$A,'Pokemon Editor'!$F:$F,0)+31+FLOOR(XLOOKUP($Q960,'Threshold Summary'!$Y:$Y,'Threshold Summary'!$P:$P,"")/4))*XLOOKUP($Q960,'Threshold Summary'!$Y:$Y,'Threshold Summary'!$L:$L,""))/100)+5)*XLOOKUP(XLOOKUP($Q960,'Threshold Summary'!$Y:$Y,'Threshold Summary'!$M:$M,""),'Nature Editor'!$A:$A,'Nature Editor'!$B:$B,1)),FLOOR((FLOOR(((2*XLOOKUP(XLOOKUP($Q960,'Threshold Summary'!$Y:$Y,'Threshold Summary'!$K:$K,""),'Pokemon Editor'!$A:$A,'Pokemon Editor'!$H:$H,0)+31+FLOOR(XLOOKUP($Q960,'Threshold Summary'!$Y:$Y,'Threshold Summary'!$R:$R,"")/4))*XLOOKUP($Q960,'Threshold Summary'!$Y:$Y,'Threshold Summary'!$L:$L,""))/100)+5)*XLOOKUP(XLOOKUP($Q960,'Threshold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Editor'!$E:$E,1))),stab,IF(OR(mtype=XLOOKUP(XLOOKUP($Q960,'Threshold Summary'!$Y:$Y,'Threshold Summary'!$K:$K,""),'Pokemon Editor'!$A:$A,'Pokemon Editor'!$C:$C,""),mtype=XLOOKUP(XLOOKUP($Q960,'Threshold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Chart'!$B$1:$S$1,0)))),base,IF(OR(cat="Status",pow=0),0,FLOOR(FLOOR(FLOOR((2*XLOOKUP($Q960,'Threshold Summary'!$Y:$Y,'Threshold Summary'!$L:$L,"")/5+2)*pow*atk/def)/50)+2)),modifier,stab*eff,FLOOR(base*modifier*0.85)),0)</f>
        <v/>
      </c>
      <c r="K960" s="3">
        <f>IFERROR(LET(mtype,XLOOKUP($D960,'Move Editor'!$B:$B,'Move Editor'!$C:$C,""),cat,XLOOKUP($D960,'Move Editor'!$B:$B,'Move Editor'!$D:$D,""),pow,XLOOKUP($D960,'Move Editor'!$B:$B,'Move Editor'!$E:$E,0),acc,XLOOKUP($D960,'Move Editor'!$B:$B,'Move Editor'!$F:$F,100),atk,IF(cat="Physical",FLOOR((FLOOR(((2*XLOOKUP(XLOOKUP($Q960,'Threshold Summary'!$Y:$Y,'Threshold Summary'!$K:$K,""),'Pokemon Editor'!$A:$A,'Pokemon Editor'!$F:$F,0)+31+FLOOR(XLOOKUP($Q960,'Threshold Summary'!$Y:$Y,'Threshold Summary'!$P:$P,"")/4))*XLOOKUP($Q960,'Threshold Summary'!$Y:$Y,'Threshold Summary'!$L:$L,""))/100)+5)*XLOOKUP(XLOOKUP($Q960,'Threshold Summary'!$Y:$Y,'Threshold Summary'!$M:$M,""),'Nature Editor'!$A:$A,'Nature Editor'!$B:$B,1)),FLOOR((FLOOR(((2*XLOOKUP(XLOOKUP($Q960,'Threshold Summary'!$Y:$Y,'Threshold Summary'!$K:$K,""),'Pokemon Editor'!$A:$A,'Pokemon Editor'!$H:$H,0)+31+FLOOR(XLOOKUP($Q960,'Threshold Summary'!$Y:$Y,'Threshold Summary'!$R:$R,"")/4))*XLOOKUP($Q960,'Threshold Summary'!$Y:$Y,'Threshold Summary'!$L:$L,""))/100)+5)*XLOOKUP(XLOOKUP($Q960,'Threshold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Editor'!$E:$E,1))),stab,IF(OR(mtype=XLOOKUP(XLOOKUP($Q960,'Threshold Summary'!$Y:$Y,'Threshold Summary'!$K:$K,""),'Pokemon Editor'!$A:$A,'Pokemon Editor'!$C:$C,""),mtype=XLOOKUP(XLOOKUP($Q960,'Threshold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Chart'!$B$1:$S$1,0)))),base,IF(OR(cat="Status",pow=0),0,FLOOR(FLOOR(FLOOR((2*XLOOKUP($Q960,'Threshold Summary'!$Y:$Y,'Threshold Summary'!$L:$L,"")/5+2)*pow*atk/def)/50)+2)),modifier,stab*eff,FLOOR(base*modifier)),0)</f>
        <v/>
      </c>
      <c r="L960" s="3">
        <f>IFERROR(LET(mtype,XLOOKUP($D960,'Move Editor'!$B:$B,'Move Editor'!$C:$C,""),cat,XLOOKUP($D960,'Move Editor'!$B:$B,'Move Editor'!$D:$D,""),pow,XLOOKUP($D960,'Move Editor'!$B:$B,'Move Editor'!$E:$E,0),acc,XLOOKUP($D960,'Move Editor'!$B:$B,'Move Editor'!$F:$F,100),atk,IF(cat="Physical",FLOOR((FLOOR(((2*XLOOKUP(XLOOKUP($Q960,'Threshold Summary'!$Y:$Y,'Threshold Summary'!$K:$K,""),'Pokemon Editor'!$A:$A,'Pokemon Editor'!$F:$F,0)+31+FLOOR(XLOOKUP($Q960,'Threshold Summary'!$Y:$Y,'Threshold Summary'!$P:$P,"")/4))*XLOOKUP($Q960,'Threshold Summary'!$Y:$Y,'Threshold Summary'!$L:$L,""))/100)+5)*XLOOKUP(XLOOKUP($Q960,'Threshold Summary'!$Y:$Y,'Threshold Summary'!$M:$M,""),'Nature Editor'!$A:$A,'Nature Editor'!$B:$B,1)),FLOOR((FLOOR(((2*XLOOKUP(XLOOKUP($Q960,'Threshold Summary'!$Y:$Y,'Threshold Summary'!$K:$K,""),'Pokemon Editor'!$A:$A,'Pokemon Editor'!$H:$H,0)+31+FLOOR(XLOOKUP($Q960,'Threshold Summary'!$Y:$Y,'Threshold Summary'!$R:$R,"")/4))*XLOOKUP($Q960,'Threshold Summary'!$Y:$Y,'Threshold Summary'!$L:$L,""))/100)+5)*XLOOKUP(XLOOKUP($Q960,'Threshold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Editor'!$E:$E,1))),stab,IF(OR(mtype=XLOOKUP(XLOOKUP($Q960,'Threshold Summary'!$Y:$Y,'Threshold Summary'!$K:$K,""),'Pokemon Editor'!$A:$A,'Pokemon Editor'!$C:$C,""),mtype=XLOOKUP(XLOOKUP($Q960,'Threshold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Chart'!$B$1:$S$1,0)))),base,IF(OR(cat="Status",pow=0),0,FLOOR(FLOOR(FLOOR((2*XLOOKUP($Q960,'Threshold Summary'!$Y:$Y,'Threshold Summary'!$L:$L,"")/5+2)*pow*atk/def)/50)+2)),modifier,stab*eff,AVERAGE(ARRAYFORMULA(FLOOR(base*modifier*SEQUENCE(16,1,85,1)/100)))),0)</f>
        <v/>
      </c>
      <c r="M960" s="3">
        <f>IFERROR(LET(mtype,XLOOKUP($D960,'Move Editor'!$B:$B,'Move Editor'!$C:$C,""),cat,XLOOKUP($D960,'Move Editor'!$B:$B,'Move Editor'!$D:$D,""),pow,XLOOKUP($D960,'Move Editor'!$B:$B,'Move Editor'!$E:$E,0),acc,XLOOKUP($D960,'Move Editor'!$B:$B,'Move Editor'!$F:$F,100),atk,IF(cat="Physical",FLOOR((FLOOR(((2*XLOOKUP(XLOOKUP($Q960,'Threshold Summary'!$Y:$Y,'Threshold Summary'!$K:$K,""),'Pokemon Editor'!$A:$A,'Pokemon Editor'!$F:$F,0)+31+FLOOR(XLOOKUP($Q960,'Threshold Summary'!$Y:$Y,'Threshold Summary'!$P:$P,"")/4))*XLOOKUP($Q960,'Threshold Summary'!$Y:$Y,'Threshold Summary'!$L:$L,""))/100)+5)*XLOOKUP(XLOOKUP($Q960,'Threshold Summary'!$Y:$Y,'Threshold Summary'!$M:$M,""),'Nature Editor'!$A:$A,'Nature Editor'!$B:$B,1)),FLOOR((FLOOR(((2*XLOOKUP(XLOOKUP($Q960,'Threshold Summary'!$Y:$Y,'Threshold Summary'!$K:$K,""),'Pokemon Editor'!$A:$A,'Pokemon Editor'!$H:$H,0)+31+FLOOR(XLOOKUP($Q960,'Threshold Summary'!$Y:$Y,'Threshold Summary'!$R:$R,"")/4))*XLOOKUP($Q960,'Threshold Summary'!$Y:$Y,'Threshold Summary'!$L:$L,""))/100)+5)*XLOOKUP(XLOOKUP($Q960,'Threshold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Editor'!$E:$E,1))),stab,IF(OR(mtype=XLOOKUP(XLOOKUP($Q960,'Threshold Summary'!$Y:$Y,'Threshold Summary'!$K:$K,""),'Pokemon Editor'!$A:$A,'Pokemon Editor'!$C:$C,""),mtype=XLOOKUP(XLOOKUP($Q960,'Threshold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Chart'!$B$1:$S$1,0)))),base,IF(OR(cat="Status",pow=0),0,FLOOR(FLOOR(FLOOR((2*XLOOKUP($Q960,'Threshold Summary'!$Y:$Y,'Threshold Summary'!$L:$L,"")/5+2)*pow*atk/def)/50)+2)),modifier,stab*eff,AVERAGE(ARRAYFORMULA(FLOOR(base*modifier*SEQUENCE(16,1,85,1)/100)))*MIN(1,acc/100)),0)</f>
        <v/>
      </c>
      <c r="N960" s="4">
        <f>IFERROR(LET(mtype,XLOOKUP($D960,'Move Editor'!$B:$B,'Move Editor'!$C:$C,""),cat,XLOOKUP($D960,'Move Editor'!$B:$B,'Move Editor'!$D:$D,""),pow,XLOOKUP($D960,'Move Editor'!$B:$B,'Move Editor'!$E:$E,0),acc,XLOOKUP($D960,'Move Editor'!$B:$B,'Move Editor'!$F:$F,100),atk,IF(cat="Physical",FLOOR((FLOOR(((2*XLOOKUP(XLOOKUP($Q960,'Threshold Summary'!$Y:$Y,'Threshold Summary'!$K:$K,""),'Pokemon Editor'!$A:$A,'Pokemon Editor'!$F:$F,0)+31+FLOOR(XLOOKUP($Q960,'Threshold Summary'!$Y:$Y,'Threshold Summary'!$P:$P,"")/4))*XLOOKUP($Q960,'Threshold Summary'!$Y:$Y,'Threshold Summary'!$L:$L,""))/100)+5)*XLOOKUP(XLOOKUP($Q960,'Threshold Summary'!$Y:$Y,'Threshold Summary'!$M:$M,""),'Nature Editor'!$A:$A,'Nature Editor'!$B:$B,1)),FLOOR((FLOOR(((2*XLOOKUP(XLOOKUP($Q960,'Threshold Summary'!$Y:$Y,'Threshold Summary'!$K:$K,""),'Pokemon Editor'!$A:$A,'Pokemon Editor'!$H:$H,0)+31+FLOOR(XLOOKUP($Q960,'Threshold Summary'!$Y:$Y,'Threshold Summary'!$R:$R,"")/4))*XLOOKUP($Q960,'Threshold Summary'!$Y:$Y,'Threshold Summary'!$L:$L,""))/100)+5)*XLOOKUP(XLOOKUP($Q960,'Threshold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Editor'!$E:$E,1))),stab,IF(OR(mtype=XLOOKUP(XLOOKUP($Q960,'Threshold Summary'!$Y:$Y,'Threshold Summary'!$K:$K,""),'Pokemon Editor'!$A:$A,'Pokemon Editor'!$C:$C,""),mtype=XLOOKUP(XLOOKUP($Q960,'Threshold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Chart'!$B$1:$S$1,0)))),base,IF(OR(cat="Status",pow=0),0,FLOOR(FLOOR(FLOOR((2*XLOOKUP($Q960,'Threshold Summary'!$Y:$Y,'Threshold Summary'!$L:$L,"")/5+2)*pow*atk/def)/50)+2)),modifier,stab*eff,AVERAGE(ARRAYFORMULA(FLOOR(base*modifier*SEQUENCE(16,1,85,1)/100)))/(FLOOR(((2*XLOOKUP('Boss Editor'!$C$4,'Pokemon Editor'!$A:$A,'Pokemon Editor'!$E:$E,0)+31+FLOOR('Boss Editor'!$G$4/4))*'Boss Editor'!$D$4)/100)+'Boss Editor'!$D$4+10)),0)</f>
        <v/>
      </c>
      <c r="O960" s="3">
        <f>IF(N960&gt;=1,"OHKO",IF(N960&gt;=0.5,"2HKO",IF(N960&gt;=0.333,"3HKO",IF(N960&gt;=0.25,"4HKO","5HKO+"))))</f>
        <v/>
      </c>
      <c r="P960" s="3" t="inlineStr">
        <is>
          <t>Live from editable databases</t>
        </is>
      </c>
      <c r="Q960" s="3" t="inlineStr">
        <is>
          <t>SPECIES_CHARCADET</t>
        </is>
      </c>
      <c r="R960" s="3" t="n">
        <v>31</v>
      </c>
    </row>
    <row r="961">
      <c r="A961" s="3">
        <f>XLOOKUP($Q961,'Threshold Summary'!$Y:$Y,'Threshold Summary'!$A:$A,"")</f>
        <v/>
      </c>
      <c r="B961" s="3">
        <f>XLOOKUP($Q961,'Threshold Summary'!$Y:$Y,'Threshold Summary'!$M:$M,"")</f>
        <v/>
      </c>
      <c r="C961" s="3">
        <f>XLOOKUP($Q961,'Threshold Summary'!$Y:$Y,'Threshold Summary'!$N:$N,"")</f>
        <v/>
      </c>
      <c r="D961" s="3">
        <f>IFERROR(INDEX(FILTER('Learnset Editor'!$D$2:$D,'Learnset Editor'!$A$2:$A=XLOOKUP($Q961,'Threshold Summary'!$Y:$Y,'Threshold Summary'!$K:$K,""),'Learnset Editor'!$C$2:$C&lt;=XLOOKUP($Q961,'Threshold Summary'!$Y:$Y,'Threshold Summary'!$L:$L,"")),$R961),"")</f>
        <v/>
      </c>
      <c r="E961" s="3">
        <f>XLOOKUP(D961,'Move Editor'!$B:$B,'Move Editor'!$C:$C,"")</f>
        <v/>
      </c>
      <c r="F961" s="3">
        <f>XLOOKUP(D961,'Move Editor'!$B:$B,'Move Editor'!$D:$D,"")</f>
        <v/>
      </c>
      <c r="G961" s="3">
        <f>XLOOKUP(D961,'Move Editor'!$B:$B,'Move Editor'!$E:$E,0)</f>
        <v/>
      </c>
      <c r="H961" s="3">
        <f>XLOOKUP(D961,'Move Editor'!$B:$B,'Move Editor'!$F:$F,0)</f>
        <v/>
      </c>
      <c r="I961" s="3">
        <f>(INDEX('Type Chart'!$B:$S,MATCH(E961,'Type Chart'!$A:$A,0),MATCH(XLOOKUP('Boss Editor'!$C$4,'Pokemon Editor'!$A:$A,'Pokemon Editor'!$C:$C,""),'Type Chart'!$B$1:$S$1,0))*IF(XLOOKUP('Boss Editor'!$C$4,'Pokemon Editor'!$A:$A,'Pokemon Editor'!$D:$D,"")="",1,INDEX('Type Chart'!$B:$S,MATCH(E961,'Type Chart'!$A:$A,0),MATCH(XLOOKUP('Boss Editor'!$C$4,'Pokemon Editor'!$A:$A,'Pokemon Editor'!$D:$D,""),'Type Chart'!$B$1:$S$1,0))))</f>
        <v/>
      </c>
      <c r="J961" s="3">
        <f>IFERROR(LET(mtype,XLOOKUP($D961,'Move Editor'!$B:$B,'Move Editor'!$C:$C,""),cat,XLOOKUP($D961,'Move Editor'!$B:$B,'Move Editor'!$D:$D,""),pow,XLOOKUP($D961,'Move Editor'!$B:$B,'Move Editor'!$E:$E,0),acc,XLOOKUP($D961,'Move Editor'!$B:$B,'Move Editor'!$F:$F,100),atk,IF(cat="Physical",FLOOR((FLOOR(((2*XLOOKUP(XLOOKUP($Q961,'Threshold Summary'!$Y:$Y,'Threshold Summary'!$K:$K,""),'Pokemon Editor'!$A:$A,'Pokemon Editor'!$F:$F,0)+31+FLOOR(XLOOKUP($Q961,'Threshold Summary'!$Y:$Y,'Threshold Summary'!$P:$P,"")/4))*XLOOKUP($Q961,'Threshold Summary'!$Y:$Y,'Threshold Summary'!$L:$L,""))/100)+5)*XLOOKUP(XLOOKUP($Q961,'Threshold Summary'!$Y:$Y,'Threshold Summary'!$M:$M,""),'Nature Editor'!$A:$A,'Nature Editor'!$B:$B,1)),FLOOR((FLOOR(((2*XLOOKUP(XLOOKUP($Q961,'Threshold Summary'!$Y:$Y,'Threshold Summary'!$K:$K,""),'Pokemon Editor'!$A:$A,'Pokemon Editor'!$H:$H,0)+31+FLOOR(XLOOKUP($Q961,'Threshold Summary'!$Y:$Y,'Threshold Summary'!$R:$R,"")/4))*XLOOKUP($Q961,'Threshold Summary'!$Y:$Y,'Threshold Summary'!$L:$L,""))/100)+5)*XLOOKUP(XLOOKUP($Q961,'Threshold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Editor'!$E:$E,1))),stab,IF(OR(mtype=XLOOKUP(XLOOKUP($Q961,'Threshold Summary'!$Y:$Y,'Threshold Summary'!$K:$K,""),'Pokemon Editor'!$A:$A,'Pokemon Editor'!$C:$C,""),mtype=XLOOKUP(XLOOKUP($Q961,'Threshold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Chart'!$B$1:$S$1,0)))),base,IF(OR(cat="Status",pow=0),0,FLOOR(FLOOR(FLOOR((2*XLOOKUP($Q961,'Threshold Summary'!$Y:$Y,'Threshold Summary'!$L:$L,"")/5+2)*pow*atk/def)/50)+2)),modifier,stab*eff,FLOOR(base*modifier*0.85)),0)</f>
        <v/>
      </c>
      <c r="K961" s="3">
        <f>IFERROR(LET(mtype,XLOOKUP($D961,'Move Editor'!$B:$B,'Move Editor'!$C:$C,""),cat,XLOOKUP($D961,'Move Editor'!$B:$B,'Move Editor'!$D:$D,""),pow,XLOOKUP($D961,'Move Editor'!$B:$B,'Move Editor'!$E:$E,0),acc,XLOOKUP($D961,'Move Editor'!$B:$B,'Move Editor'!$F:$F,100),atk,IF(cat="Physical",FLOOR((FLOOR(((2*XLOOKUP(XLOOKUP($Q961,'Threshold Summary'!$Y:$Y,'Threshold Summary'!$K:$K,""),'Pokemon Editor'!$A:$A,'Pokemon Editor'!$F:$F,0)+31+FLOOR(XLOOKUP($Q961,'Threshold Summary'!$Y:$Y,'Threshold Summary'!$P:$P,"")/4))*XLOOKUP($Q961,'Threshold Summary'!$Y:$Y,'Threshold Summary'!$L:$L,""))/100)+5)*XLOOKUP(XLOOKUP($Q961,'Threshold Summary'!$Y:$Y,'Threshold Summary'!$M:$M,""),'Nature Editor'!$A:$A,'Nature Editor'!$B:$B,1)),FLOOR((FLOOR(((2*XLOOKUP(XLOOKUP($Q961,'Threshold Summary'!$Y:$Y,'Threshold Summary'!$K:$K,""),'Pokemon Editor'!$A:$A,'Pokemon Editor'!$H:$H,0)+31+FLOOR(XLOOKUP($Q961,'Threshold Summary'!$Y:$Y,'Threshold Summary'!$R:$R,"")/4))*XLOOKUP($Q961,'Threshold Summary'!$Y:$Y,'Threshold Summary'!$L:$L,""))/100)+5)*XLOOKUP(XLOOKUP($Q961,'Threshold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Editor'!$E:$E,1))),stab,IF(OR(mtype=XLOOKUP(XLOOKUP($Q961,'Threshold Summary'!$Y:$Y,'Threshold Summary'!$K:$K,""),'Pokemon Editor'!$A:$A,'Pokemon Editor'!$C:$C,""),mtype=XLOOKUP(XLOOKUP($Q961,'Threshold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Chart'!$B$1:$S$1,0)))),base,IF(OR(cat="Status",pow=0),0,FLOOR(FLOOR(FLOOR((2*XLOOKUP($Q961,'Threshold Summary'!$Y:$Y,'Threshold Summary'!$L:$L,"")/5+2)*pow*atk/def)/50)+2)),modifier,stab*eff,FLOOR(base*modifier)),0)</f>
        <v/>
      </c>
      <c r="L961" s="3">
        <f>IFERROR(LET(mtype,XLOOKUP($D961,'Move Editor'!$B:$B,'Move Editor'!$C:$C,""),cat,XLOOKUP($D961,'Move Editor'!$B:$B,'Move Editor'!$D:$D,""),pow,XLOOKUP($D961,'Move Editor'!$B:$B,'Move Editor'!$E:$E,0),acc,XLOOKUP($D961,'Move Editor'!$B:$B,'Move Editor'!$F:$F,100),atk,IF(cat="Physical",FLOOR((FLOOR(((2*XLOOKUP(XLOOKUP($Q961,'Threshold Summary'!$Y:$Y,'Threshold Summary'!$K:$K,""),'Pokemon Editor'!$A:$A,'Pokemon Editor'!$F:$F,0)+31+FLOOR(XLOOKUP($Q961,'Threshold Summary'!$Y:$Y,'Threshold Summary'!$P:$P,"")/4))*XLOOKUP($Q961,'Threshold Summary'!$Y:$Y,'Threshold Summary'!$L:$L,""))/100)+5)*XLOOKUP(XLOOKUP($Q961,'Threshold Summary'!$Y:$Y,'Threshold Summary'!$M:$M,""),'Nature Editor'!$A:$A,'Nature Editor'!$B:$B,1)),FLOOR((FLOOR(((2*XLOOKUP(XLOOKUP($Q961,'Threshold Summary'!$Y:$Y,'Threshold Summary'!$K:$K,""),'Pokemon Editor'!$A:$A,'Pokemon Editor'!$H:$H,0)+31+FLOOR(XLOOKUP($Q961,'Threshold Summary'!$Y:$Y,'Threshold Summary'!$R:$R,"")/4))*XLOOKUP($Q961,'Threshold Summary'!$Y:$Y,'Threshold Summary'!$L:$L,""))/100)+5)*XLOOKUP(XLOOKUP($Q961,'Threshold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Editor'!$E:$E,1))),stab,IF(OR(mtype=XLOOKUP(XLOOKUP($Q961,'Threshold Summary'!$Y:$Y,'Threshold Summary'!$K:$K,""),'Pokemon Editor'!$A:$A,'Pokemon Editor'!$C:$C,""),mtype=XLOOKUP(XLOOKUP($Q961,'Threshold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Chart'!$B$1:$S$1,0)))),base,IF(OR(cat="Status",pow=0),0,FLOOR(FLOOR(FLOOR((2*XLOOKUP($Q961,'Threshold Summary'!$Y:$Y,'Threshold Summary'!$L:$L,"")/5+2)*pow*atk/def)/50)+2)),modifier,stab*eff,AVERAGE(ARRAYFORMULA(FLOOR(base*modifier*SEQUENCE(16,1,85,1)/100)))),0)</f>
        <v/>
      </c>
      <c r="M961" s="3">
        <f>IFERROR(LET(mtype,XLOOKUP($D961,'Move Editor'!$B:$B,'Move Editor'!$C:$C,""),cat,XLOOKUP($D961,'Move Editor'!$B:$B,'Move Editor'!$D:$D,""),pow,XLOOKUP($D961,'Move Editor'!$B:$B,'Move Editor'!$E:$E,0),acc,XLOOKUP($D961,'Move Editor'!$B:$B,'Move Editor'!$F:$F,100),atk,IF(cat="Physical",FLOOR((FLOOR(((2*XLOOKUP(XLOOKUP($Q961,'Threshold Summary'!$Y:$Y,'Threshold Summary'!$K:$K,""),'Pokemon Editor'!$A:$A,'Pokemon Editor'!$F:$F,0)+31+FLOOR(XLOOKUP($Q961,'Threshold Summary'!$Y:$Y,'Threshold Summary'!$P:$P,"")/4))*XLOOKUP($Q961,'Threshold Summary'!$Y:$Y,'Threshold Summary'!$L:$L,""))/100)+5)*XLOOKUP(XLOOKUP($Q961,'Threshold Summary'!$Y:$Y,'Threshold Summary'!$M:$M,""),'Nature Editor'!$A:$A,'Nature Editor'!$B:$B,1)),FLOOR((FLOOR(((2*XLOOKUP(XLOOKUP($Q961,'Threshold Summary'!$Y:$Y,'Threshold Summary'!$K:$K,""),'Pokemon Editor'!$A:$A,'Pokemon Editor'!$H:$H,0)+31+FLOOR(XLOOKUP($Q961,'Threshold Summary'!$Y:$Y,'Threshold Summary'!$R:$R,"")/4))*XLOOKUP($Q961,'Threshold Summary'!$Y:$Y,'Threshold Summary'!$L:$L,""))/100)+5)*XLOOKUP(XLOOKUP($Q961,'Threshold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Editor'!$E:$E,1))),stab,IF(OR(mtype=XLOOKUP(XLOOKUP($Q961,'Threshold Summary'!$Y:$Y,'Threshold Summary'!$K:$K,""),'Pokemon Editor'!$A:$A,'Pokemon Editor'!$C:$C,""),mtype=XLOOKUP(XLOOKUP($Q961,'Threshold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Chart'!$B$1:$S$1,0)))),base,IF(OR(cat="Status",pow=0),0,FLOOR(FLOOR(FLOOR((2*XLOOKUP($Q961,'Threshold Summary'!$Y:$Y,'Threshold Summary'!$L:$L,"")/5+2)*pow*atk/def)/50)+2)),modifier,stab*eff,AVERAGE(ARRAYFORMULA(FLOOR(base*modifier*SEQUENCE(16,1,85,1)/100)))*MIN(1,acc/100)),0)</f>
        <v/>
      </c>
      <c r="N961" s="4">
        <f>IFERROR(LET(mtype,XLOOKUP($D961,'Move Editor'!$B:$B,'Move Editor'!$C:$C,""),cat,XLOOKUP($D961,'Move Editor'!$B:$B,'Move Editor'!$D:$D,""),pow,XLOOKUP($D961,'Move Editor'!$B:$B,'Move Editor'!$E:$E,0),acc,XLOOKUP($D961,'Move Editor'!$B:$B,'Move Editor'!$F:$F,100),atk,IF(cat="Physical",FLOOR((FLOOR(((2*XLOOKUP(XLOOKUP($Q961,'Threshold Summary'!$Y:$Y,'Threshold Summary'!$K:$K,""),'Pokemon Editor'!$A:$A,'Pokemon Editor'!$F:$F,0)+31+FLOOR(XLOOKUP($Q961,'Threshold Summary'!$Y:$Y,'Threshold Summary'!$P:$P,"")/4))*XLOOKUP($Q961,'Threshold Summary'!$Y:$Y,'Threshold Summary'!$L:$L,""))/100)+5)*XLOOKUP(XLOOKUP($Q961,'Threshold Summary'!$Y:$Y,'Threshold Summary'!$M:$M,""),'Nature Editor'!$A:$A,'Nature Editor'!$B:$B,1)),FLOOR((FLOOR(((2*XLOOKUP(XLOOKUP($Q961,'Threshold Summary'!$Y:$Y,'Threshold Summary'!$K:$K,""),'Pokemon Editor'!$A:$A,'Pokemon Editor'!$H:$H,0)+31+FLOOR(XLOOKUP($Q961,'Threshold Summary'!$Y:$Y,'Threshold Summary'!$R:$R,"")/4))*XLOOKUP($Q961,'Threshold Summary'!$Y:$Y,'Threshold Summary'!$L:$L,""))/100)+5)*XLOOKUP(XLOOKUP($Q961,'Threshold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Editor'!$E:$E,1))),stab,IF(OR(mtype=XLOOKUP(XLOOKUP($Q961,'Threshold Summary'!$Y:$Y,'Threshold Summary'!$K:$K,""),'Pokemon Editor'!$A:$A,'Pokemon Editor'!$C:$C,""),mtype=XLOOKUP(XLOOKUP($Q961,'Threshold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Chart'!$B$1:$S$1,0)))),base,IF(OR(cat="Status",pow=0),0,FLOOR(FLOOR(FLOOR((2*XLOOKUP($Q961,'Threshold Summary'!$Y:$Y,'Threshold Summary'!$L:$L,"")/5+2)*pow*atk/def)/50)+2)),modifier,stab*eff,AVERAGE(ARRAYFORMULA(FLOOR(base*modifier*SEQUENCE(16,1,85,1)/100)))/(FLOOR(((2*XLOOKUP('Boss Editor'!$C$4,'Pokemon Editor'!$A:$A,'Pokemon Editor'!$E:$E,0)+31+FLOOR('Boss Editor'!$G$4/4))*'Boss Editor'!$D$4)/100)+'Boss Editor'!$D$4+10)),0)</f>
        <v/>
      </c>
      <c r="O961" s="3">
        <f>IF(N961&gt;=1,"OHKO",IF(N961&gt;=0.5,"2HKO",IF(N961&gt;=0.333,"3HKO",IF(N961&gt;=0.25,"4HKO","5HKO+"))))</f>
        <v/>
      </c>
      <c r="P961" s="3" t="inlineStr">
        <is>
          <t>Live from editable databases</t>
        </is>
      </c>
      <c r="Q961" s="3" t="inlineStr">
        <is>
          <t>SPECIES_CHARCADET</t>
        </is>
      </c>
      <c r="R961" s="3" t="n">
        <v>32</v>
      </c>
    </row>
    <row r="962">
      <c r="A962" s="3">
        <f>XLOOKUP($Q962,'Threshold Summary'!$Y:$Y,'Threshold Summary'!$A:$A,"")</f>
        <v/>
      </c>
      <c r="B962" s="3">
        <f>XLOOKUP($Q962,'Threshold Summary'!$Y:$Y,'Threshold Summary'!$M:$M,"")</f>
        <v/>
      </c>
      <c r="C962" s="3">
        <f>XLOOKUP($Q962,'Threshold Summary'!$Y:$Y,'Threshold Summary'!$N:$N,"")</f>
        <v/>
      </c>
      <c r="D962" s="3">
        <f>IFERROR(INDEX(FILTER('Learnset Editor'!$D$2:$D,'Learnset Editor'!$A$2:$A=XLOOKUP($Q962,'Threshold Summary'!$Y:$Y,'Threshold Summary'!$K:$K,""),'Learnset Editor'!$C$2:$C&lt;=XLOOKUP($Q962,'Threshold Summary'!$Y:$Y,'Threshold Summary'!$L:$L,"")),$R962),"")</f>
        <v/>
      </c>
      <c r="E962" s="3">
        <f>XLOOKUP(D962,'Move Editor'!$B:$B,'Move Editor'!$C:$C,"")</f>
        <v/>
      </c>
      <c r="F962" s="3">
        <f>XLOOKUP(D962,'Move Editor'!$B:$B,'Move Editor'!$D:$D,"")</f>
        <v/>
      </c>
      <c r="G962" s="3">
        <f>XLOOKUP(D962,'Move Editor'!$B:$B,'Move Editor'!$E:$E,0)</f>
        <v/>
      </c>
      <c r="H962" s="3">
        <f>XLOOKUP(D962,'Move Editor'!$B:$B,'Move Editor'!$F:$F,0)</f>
        <v/>
      </c>
      <c r="I962" s="3">
        <f>(INDEX('Type Chart'!$B:$S,MATCH(E962,'Type Chart'!$A:$A,0),MATCH(XLOOKUP('Boss Editor'!$C$4,'Pokemon Editor'!$A:$A,'Pokemon Editor'!$C:$C,""),'Type Chart'!$B$1:$S$1,0))*IF(XLOOKUP('Boss Editor'!$C$4,'Pokemon Editor'!$A:$A,'Pokemon Editor'!$D:$D,"")="",1,INDEX('Type Chart'!$B:$S,MATCH(E962,'Type Chart'!$A:$A,0),MATCH(XLOOKUP('Boss Editor'!$C$4,'Pokemon Editor'!$A:$A,'Pokemon Editor'!$D:$D,""),'Type Chart'!$B$1:$S$1,0))))</f>
        <v/>
      </c>
      <c r="J962" s="3">
        <f>IFERROR(LET(mtype,XLOOKUP($D962,'Move Editor'!$B:$B,'Move Editor'!$C:$C,""),cat,XLOOKUP($D962,'Move Editor'!$B:$B,'Move Editor'!$D:$D,""),pow,XLOOKUP($D962,'Move Editor'!$B:$B,'Move Editor'!$E:$E,0),acc,XLOOKUP($D962,'Move Editor'!$B:$B,'Move Editor'!$F:$F,100),atk,IF(cat="Physical",FLOOR((FLOOR(((2*XLOOKUP(XLOOKUP($Q962,'Threshold Summary'!$Y:$Y,'Threshold Summary'!$K:$K,""),'Pokemon Editor'!$A:$A,'Pokemon Editor'!$F:$F,0)+31+FLOOR(XLOOKUP($Q962,'Threshold Summary'!$Y:$Y,'Threshold Summary'!$P:$P,"")/4))*XLOOKUP($Q962,'Threshold Summary'!$Y:$Y,'Threshold Summary'!$L:$L,""))/100)+5)*XLOOKUP(XLOOKUP($Q962,'Threshold Summary'!$Y:$Y,'Threshold Summary'!$M:$M,""),'Nature Editor'!$A:$A,'Nature Editor'!$B:$B,1)),FLOOR((FLOOR(((2*XLOOKUP(XLOOKUP($Q962,'Threshold Summary'!$Y:$Y,'Threshold Summary'!$K:$K,""),'Pokemon Editor'!$A:$A,'Pokemon Editor'!$H:$H,0)+31+FLOOR(XLOOKUP($Q962,'Threshold Summary'!$Y:$Y,'Threshold Summary'!$R:$R,"")/4))*XLOOKUP($Q962,'Threshold Summary'!$Y:$Y,'Threshold Summary'!$L:$L,""))/100)+5)*XLOOKUP(XLOOKUP($Q962,'Threshold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Editor'!$E:$E,1))),stab,IF(OR(mtype=XLOOKUP(XLOOKUP($Q962,'Threshold Summary'!$Y:$Y,'Threshold Summary'!$K:$K,""),'Pokemon Editor'!$A:$A,'Pokemon Editor'!$C:$C,""),mtype=XLOOKUP(XLOOKUP($Q962,'Threshold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Chart'!$B$1:$S$1,0)))),base,IF(OR(cat="Status",pow=0),0,FLOOR(FLOOR(FLOOR((2*XLOOKUP($Q962,'Threshold Summary'!$Y:$Y,'Threshold Summary'!$L:$L,"")/5+2)*pow*atk/def)/50)+2)),modifier,stab*eff,FLOOR(base*modifier*0.85)),0)</f>
        <v/>
      </c>
      <c r="K962" s="3">
        <f>IFERROR(LET(mtype,XLOOKUP($D962,'Move Editor'!$B:$B,'Move Editor'!$C:$C,""),cat,XLOOKUP($D962,'Move Editor'!$B:$B,'Move Editor'!$D:$D,""),pow,XLOOKUP($D962,'Move Editor'!$B:$B,'Move Editor'!$E:$E,0),acc,XLOOKUP($D962,'Move Editor'!$B:$B,'Move Editor'!$F:$F,100),atk,IF(cat="Physical",FLOOR((FLOOR(((2*XLOOKUP(XLOOKUP($Q962,'Threshold Summary'!$Y:$Y,'Threshold Summary'!$K:$K,""),'Pokemon Editor'!$A:$A,'Pokemon Editor'!$F:$F,0)+31+FLOOR(XLOOKUP($Q962,'Threshold Summary'!$Y:$Y,'Threshold Summary'!$P:$P,"")/4))*XLOOKUP($Q962,'Threshold Summary'!$Y:$Y,'Threshold Summary'!$L:$L,""))/100)+5)*XLOOKUP(XLOOKUP($Q962,'Threshold Summary'!$Y:$Y,'Threshold Summary'!$M:$M,""),'Nature Editor'!$A:$A,'Nature Editor'!$B:$B,1)),FLOOR((FLOOR(((2*XLOOKUP(XLOOKUP($Q962,'Threshold Summary'!$Y:$Y,'Threshold Summary'!$K:$K,""),'Pokemon Editor'!$A:$A,'Pokemon Editor'!$H:$H,0)+31+FLOOR(XLOOKUP($Q962,'Threshold Summary'!$Y:$Y,'Threshold Summary'!$R:$R,"")/4))*XLOOKUP($Q962,'Threshold Summary'!$Y:$Y,'Threshold Summary'!$L:$L,""))/100)+5)*XLOOKUP(XLOOKUP($Q962,'Threshold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Editor'!$E:$E,1))),stab,IF(OR(mtype=XLOOKUP(XLOOKUP($Q962,'Threshold Summary'!$Y:$Y,'Threshold Summary'!$K:$K,""),'Pokemon Editor'!$A:$A,'Pokemon Editor'!$C:$C,""),mtype=XLOOKUP(XLOOKUP($Q962,'Threshold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Chart'!$B$1:$S$1,0)))),base,IF(OR(cat="Status",pow=0),0,FLOOR(FLOOR(FLOOR((2*XLOOKUP($Q962,'Threshold Summary'!$Y:$Y,'Threshold Summary'!$L:$L,"")/5+2)*pow*atk/def)/50)+2)),modifier,stab*eff,FLOOR(base*modifier)),0)</f>
        <v/>
      </c>
      <c r="L962" s="3">
        <f>IFERROR(LET(mtype,XLOOKUP($D962,'Move Editor'!$B:$B,'Move Editor'!$C:$C,""),cat,XLOOKUP($D962,'Move Editor'!$B:$B,'Move Editor'!$D:$D,""),pow,XLOOKUP($D962,'Move Editor'!$B:$B,'Move Editor'!$E:$E,0),acc,XLOOKUP($D962,'Move Editor'!$B:$B,'Move Editor'!$F:$F,100),atk,IF(cat="Physical",FLOOR((FLOOR(((2*XLOOKUP(XLOOKUP($Q962,'Threshold Summary'!$Y:$Y,'Threshold Summary'!$K:$K,""),'Pokemon Editor'!$A:$A,'Pokemon Editor'!$F:$F,0)+31+FLOOR(XLOOKUP($Q962,'Threshold Summary'!$Y:$Y,'Threshold Summary'!$P:$P,"")/4))*XLOOKUP($Q962,'Threshold Summary'!$Y:$Y,'Threshold Summary'!$L:$L,""))/100)+5)*XLOOKUP(XLOOKUP($Q962,'Threshold Summary'!$Y:$Y,'Threshold Summary'!$M:$M,""),'Nature Editor'!$A:$A,'Nature Editor'!$B:$B,1)),FLOOR((FLOOR(((2*XLOOKUP(XLOOKUP($Q962,'Threshold Summary'!$Y:$Y,'Threshold Summary'!$K:$K,""),'Pokemon Editor'!$A:$A,'Pokemon Editor'!$H:$H,0)+31+FLOOR(XLOOKUP($Q962,'Threshold Summary'!$Y:$Y,'Threshold Summary'!$R:$R,"")/4))*XLOOKUP($Q962,'Threshold Summary'!$Y:$Y,'Threshold Summary'!$L:$L,""))/100)+5)*XLOOKUP(XLOOKUP($Q962,'Threshold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Editor'!$E:$E,1))),stab,IF(OR(mtype=XLOOKUP(XLOOKUP($Q962,'Threshold Summary'!$Y:$Y,'Threshold Summary'!$K:$K,""),'Pokemon Editor'!$A:$A,'Pokemon Editor'!$C:$C,""),mtype=XLOOKUP(XLOOKUP($Q962,'Threshold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Chart'!$B$1:$S$1,0)))),base,IF(OR(cat="Status",pow=0),0,FLOOR(FLOOR(FLOOR((2*XLOOKUP($Q962,'Threshold Summary'!$Y:$Y,'Threshold Summary'!$L:$L,"")/5+2)*pow*atk/def)/50)+2)),modifier,stab*eff,AVERAGE(ARRAYFORMULA(FLOOR(base*modifier*SEQUENCE(16,1,85,1)/100)))),0)</f>
        <v/>
      </c>
      <c r="M962" s="3">
        <f>IFERROR(LET(mtype,XLOOKUP($D962,'Move Editor'!$B:$B,'Move Editor'!$C:$C,""),cat,XLOOKUP($D962,'Move Editor'!$B:$B,'Move Editor'!$D:$D,""),pow,XLOOKUP($D962,'Move Editor'!$B:$B,'Move Editor'!$E:$E,0),acc,XLOOKUP($D962,'Move Editor'!$B:$B,'Move Editor'!$F:$F,100),atk,IF(cat="Physical",FLOOR((FLOOR(((2*XLOOKUP(XLOOKUP($Q962,'Threshold Summary'!$Y:$Y,'Threshold Summary'!$K:$K,""),'Pokemon Editor'!$A:$A,'Pokemon Editor'!$F:$F,0)+31+FLOOR(XLOOKUP($Q962,'Threshold Summary'!$Y:$Y,'Threshold Summary'!$P:$P,"")/4))*XLOOKUP($Q962,'Threshold Summary'!$Y:$Y,'Threshold Summary'!$L:$L,""))/100)+5)*XLOOKUP(XLOOKUP($Q962,'Threshold Summary'!$Y:$Y,'Threshold Summary'!$M:$M,""),'Nature Editor'!$A:$A,'Nature Editor'!$B:$B,1)),FLOOR((FLOOR(((2*XLOOKUP(XLOOKUP($Q962,'Threshold Summary'!$Y:$Y,'Threshold Summary'!$K:$K,""),'Pokemon Editor'!$A:$A,'Pokemon Editor'!$H:$H,0)+31+FLOOR(XLOOKUP($Q962,'Threshold Summary'!$Y:$Y,'Threshold Summary'!$R:$R,"")/4))*XLOOKUP($Q962,'Threshold Summary'!$Y:$Y,'Threshold Summary'!$L:$L,""))/100)+5)*XLOOKUP(XLOOKUP($Q962,'Threshold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Editor'!$E:$E,1))),stab,IF(OR(mtype=XLOOKUP(XLOOKUP($Q962,'Threshold Summary'!$Y:$Y,'Threshold Summary'!$K:$K,""),'Pokemon Editor'!$A:$A,'Pokemon Editor'!$C:$C,""),mtype=XLOOKUP(XLOOKUP($Q962,'Threshold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Chart'!$B$1:$S$1,0)))),base,IF(OR(cat="Status",pow=0),0,FLOOR(FLOOR(FLOOR((2*XLOOKUP($Q962,'Threshold Summary'!$Y:$Y,'Threshold Summary'!$L:$L,"")/5+2)*pow*atk/def)/50)+2)),modifier,stab*eff,AVERAGE(ARRAYFORMULA(FLOOR(base*modifier*SEQUENCE(16,1,85,1)/100)))*MIN(1,acc/100)),0)</f>
        <v/>
      </c>
      <c r="N962" s="4">
        <f>IFERROR(LET(mtype,XLOOKUP($D962,'Move Editor'!$B:$B,'Move Editor'!$C:$C,""),cat,XLOOKUP($D962,'Move Editor'!$B:$B,'Move Editor'!$D:$D,""),pow,XLOOKUP($D962,'Move Editor'!$B:$B,'Move Editor'!$E:$E,0),acc,XLOOKUP($D962,'Move Editor'!$B:$B,'Move Editor'!$F:$F,100),atk,IF(cat="Physical",FLOOR((FLOOR(((2*XLOOKUP(XLOOKUP($Q962,'Threshold Summary'!$Y:$Y,'Threshold Summary'!$K:$K,""),'Pokemon Editor'!$A:$A,'Pokemon Editor'!$F:$F,0)+31+FLOOR(XLOOKUP($Q962,'Threshold Summary'!$Y:$Y,'Threshold Summary'!$P:$P,"")/4))*XLOOKUP($Q962,'Threshold Summary'!$Y:$Y,'Threshold Summary'!$L:$L,""))/100)+5)*XLOOKUP(XLOOKUP($Q962,'Threshold Summary'!$Y:$Y,'Threshold Summary'!$M:$M,""),'Nature Editor'!$A:$A,'Nature Editor'!$B:$B,1)),FLOOR((FLOOR(((2*XLOOKUP(XLOOKUP($Q962,'Threshold Summary'!$Y:$Y,'Threshold Summary'!$K:$K,""),'Pokemon Editor'!$A:$A,'Pokemon Editor'!$H:$H,0)+31+FLOOR(XLOOKUP($Q962,'Threshold Summary'!$Y:$Y,'Threshold Summary'!$R:$R,"")/4))*XLOOKUP($Q962,'Threshold Summary'!$Y:$Y,'Threshold Summary'!$L:$L,""))/100)+5)*XLOOKUP(XLOOKUP($Q962,'Threshold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Editor'!$E:$E,1))),stab,IF(OR(mtype=XLOOKUP(XLOOKUP($Q962,'Threshold Summary'!$Y:$Y,'Threshold Summary'!$K:$K,""),'Pokemon Editor'!$A:$A,'Pokemon Editor'!$C:$C,""),mtype=XLOOKUP(XLOOKUP($Q962,'Threshold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Chart'!$B$1:$S$1,0)))),base,IF(OR(cat="Status",pow=0),0,FLOOR(FLOOR(FLOOR((2*XLOOKUP($Q962,'Threshold Summary'!$Y:$Y,'Threshold Summary'!$L:$L,"")/5+2)*pow*atk/def)/50)+2)),modifier,stab*eff,AVERAGE(ARRAYFORMULA(FLOOR(base*modifier*SEQUENCE(16,1,85,1)/100)))/(FLOOR(((2*XLOOKUP('Boss Editor'!$C$4,'Pokemon Editor'!$A:$A,'Pokemon Editor'!$E:$E,0)+31+FLOOR('Boss Editor'!$G$4/4))*'Boss Editor'!$D$4)/100)+'Boss Editor'!$D$4+10)),0)</f>
        <v/>
      </c>
      <c r="O962" s="3">
        <f>IF(N962&gt;=1,"OHKO",IF(N962&gt;=0.5,"2HKO",IF(N962&gt;=0.333,"3HKO",IF(N962&gt;=0.25,"4HKO","5HKO+"))))</f>
        <v/>
      </c>
      <c r="P962" s="3" t="inlineStr">
        <is>
          <t>Live from editable databases</t>
        </is>
      </c>
      <c r="Q962" s="3" t="inlineStr">
        <is>
          <t>SPECIES_WATTREL</t>
        </is>
      </c>
      <c r="R962" s="3" t="n">
        <v>1</v>
      </c>
    </row>
    <row r="963">
      <c r="A963" s="3">
        <f>XLOOKUP($Q963,'Threshold Summary'!$Y:$Y,'Threshold Summary'!$A:$A,"")</f>
        <v/>
      </c>
      <c r="B963" s="3">
        <f>XLOOKUP($Q963,'Threshold Summary'!$Y:$Y,'Threshold Summary'!$M:$M,"")</f>
        <v/>
      </c>
      <c r="C963" s="3">
        <f>XLOOKUP($Q963,'Threshold Summary'!$Y:$Y,'Threshold Summary'!$N:$N,"")</f>
        <v/>
      </c>
      <c r="D963" s="3">
        <f>IFERROR(INDEX(FILTER('Learnset Editor'!$D$2:$D,'Learnset Editor'!$A$2:$A=XLOOKUP($Q963,'Threshold Summary'!$Y:$Y,'Threshold Summary'!$K:$K,""),'Learnset Editor'!$C$2:$C&lt;=XLOOKUP($Q963,'Threshold Summary'!$Y:$Y,'Threshold Summary'!$L:$L,"")),$R963),"")</f>
        <v/>
      </c>
      <c r="E963" s="3">
        <f>XLOOKUP(D963,'Move Editor'!$B:$B,'Move Editor'!$C:$C,"")</f>
        <v/>
      </c>
      <c r="F963" s="3">
        <f>XLOOKUP(D963,'Move Editor'!$B:$B,'Move Editor'!$D:$D,"")</f>
        <v/>
      </c>
      <c r="G963" s="3">
        <f>XLOOKUP(D963,'Move Editor'!$B:$B,'Move Editor'!$E:$E,0)</f>
        <v/>
      </c>
      <c r="H963" s="3">
        <f>XLOOKUP(D963,'Move Editor'!$B:$B,'Move Editor'!$F:$F,0)</f>
        <v/>
      </c>
      <c r="I963" s="3">
        <f>(INDEX('Type Chart'!$B:$S,MATCH(E963,'Type Chart'!$A:$A,0),MATCH(XLOOKUP('Boss Editor'!$C$4,'Pokemon Editor'!$A:$A,'Pokemon Editor'!$C:$C,""),'Type Chart'!$B$1:$S$1,0))*IF(XLOOKUP('Boss Editor'!$C$4,'Pokemon Editor'!$A:$A,'Pokemon Editor'!$D:$D,"")="",1,INDEX('Type Chart'!$B:$S,MATCH(E963,'Type Chart'!$A:$A,0),MATCH(XLOOKUP('Boss Editor'!$C$4,'Pokemon Editor'!$A:$A,'Pokemon Editor'!$D:$D,""),'Type Chart'!$B$1:$S$1,0))))</f>
        <v/>
      </c>
      <c r="J963" s="3">
        <f>IFERROR(LET(mtype,XLOOKUP($D963,'Move Editor'!$B:$B,'Move Editor'!$C:$C,""),cat,XLOOKUP($D963,'Move Editor'!$B:$B,'Move Editor'!$D:$D,""),pow,XLOOKUP($D963,'Move Editor'!$B:$B,'Move Editor'!$E:$E,0),acc,XLOOKUP($D963,'Move Editor'!$B:$B,'Move Editor'!$F:$F,100),atk,IF(cat="Physical",FLOOR((FLOOR(((2*XLOOKUP(XLOOKUP($Q963,'Threshold Summary'!$Y:$Y,'Threshold Summary'!$K:$K,""),'Pokemon Editor'!$A:$A,'Pokemon Editor'!$F:$F,0)+31+FLOOR(XLOOKUP($Q963,'Threshold Summary'!$Y:$Y,'Threshold Summary'!$P:$P,"")/4))*XLOOKUP($Q963,'Threshold Summary'!$Y:$Y,'Threshold Summary'!$L:$L,""))/100)+5)*XLOOKUP(XLOOKUP($Q963,'Threshold Summary'!$Y:$Y,'Threshold Summary'!$M:$M,""),'Nature Editor'!$A:$A,'Nature Editor'!$B:$B,1)),FLOOR((FLOOR(((2*XLOOKUP(XLOOKUP($Q963,'Threshold Summary'!$Y:$Y,'Threshold Summary'!$K:$K,""),'Pokemon Editor'!$A:$A,'Pokemon Editor'!$H:$H,0)+31+FLOOR(XLOOKUP($Q963,'Threshold Summary'!$Y:$Y,'Threshold Summary'!$R:$R,"")/4))*XLOOKUP($Q963,'Threshold Summary'!$Y:$Y,'Threshold Summary'!$L:$L,""))/100)+5)*XLOOKUP(XLOOKUP($Q963,'Threshold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Editor'!$E:$E,1))),stab,IF(OR(mtype=XLOOKUP(XLOOKUP($Q963,'Threshold Summary'!$Y:$Y,'Threshold Summary'!$K:$K,""),'Pokemon Editor'!$A:$A,'Pokemon Editor'!$C:$C,""),mtype=XLOOKUP(XLOOKUP($Q963,'Threshold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Chart'!$B$1:$S$1,0)))),base,IF(OR(cat="Status",pow=0),0,FLOOR(FLOOR(FLOOR((2*XLOOKUP($Q963,'Threshold Summary'!$Y:$Y,'Threshold Summary'!$L:$L,"")/5+2)*pow*atk/def)/50)+2)),modifier,stab*eff,FLOOR(base*modifier*0.85)),0)</f>
        <v/>
      </c>
      <c r="K963" s="3">
        <f>IFERROR(LET(mtype,XLOOKUP($D963,'Move Editor'!$B:$B,'Move Editor'!$C:$C,""),cat,XLOOKUP($D963,'Move Editor'!$B:$B,'Move Editor'!$D:$D,""),pow,XLOOKUP($D963,'Move Editor'!$B:$B,'Move Editor'!$E:$E,0),acc,XLOOKUP($D963,'Move Editor'!$B:$B,'Move Editor'!$F:$F,100),atk,IF(cat="Physical",FLOOR((FLOOR(((2*XLOOKUP(XLOOKUP($Q963,'Threshold Summary'!$Y:$Y,'Threshold Summary'!$K:$K,""),'Pokemon Editor'!$A:$A,'Pokemon Editor'!$F:$F,0)+31+FLOOR(XLOOKUP($Q963,'Threshold Summary'!$Y:$Y,'Threshold Summary'!$P:$P,"")/4))*XLOOKUP($Q963,'Threshold Summary'!$Y:$Y,'Threshold Summary'!$L:$L,""))/100)+5)*XLOOKUP(XLOOKUP($Q963,'Threshold Summary'!$Y:$Y,'Threshold Summary'!$M:$M,""),'Nature Editor'!$A:$A,'Nature Editor'!$B:$B,1)),FLOOR((FLOOR(((2*XLOOKUP(XLOOKUP($Q963,'Threshold Summary'!$Y:$Y,'Threshold Summary'!$K:$K,""),'Pokemon Editor'!$A:$A,'Pokemon Editor'!$H:$H,0)+31+FLOOR(XLOOKUP($Q963,'Threshold Summary'!$Y:$Y,'Threshold Summary'!$R:$R,"")/4))*XLOOKUP($Q963,'Threshold Summary'!$Y:$Y,'Threshold Summary'!$L:$L,""))/100)+5)*XLOOKUP(XLOOKUP($Q963,'Threshold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Editor'!$E:$E,1))),stab,IF(OR(mtype=XLOOKUP(XLOOKUP($Q963,'Threshold Summary'!$Y:$Y,'Threshold Summary'!$K:$K,""),'Pokemon Editor'!$A:$A,'Pokemon Editor'!$C:$C,""),mtype=XLOOKUP(XLOOKUP($Q963,'Threshold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Chart'!$B$1:$S$1,0)))),base,IF(OR(cat="Status",pow=0),0,FLOOR(FLOOR(FLOOR((2*XLOOKUP($Q963,'Threshold Summary'!$Y:$Y,'Threshold Summary'!$L:$L,"")/5+2)*pow*atk/def)/50)+2)),modifier,stab*eff,FLOOR(base*modifier)),0)</f>
        <v/>
      </c>
      <c r="L963" s="3">
        <f>IFERROR(LET(mtype,XLOOKUP($D963,'Move Editor'!$B:$B,'Move Editor'!$C:$C,""),cat,XLOOKUP($D963,'Move Editor'!$B:$B,'Move Editor'!$D:$D,""),pow,XLOOKUP($D963,'Move Editor'!$B:$B,'Move Editor'!$E:$E,0),acc,XLOOKUP($D963,'Move Editor'!$B:$B,'Move Editor'!$F:$F,100),atk,IF(cat="Physical",FLOOR((FLOOR(((2*XLOOKUP(XLOOKUP($Q963,'Threshold Summary'!$Y:$Y,'Threshold Summary'!$K:$K,""),'Pokemon Editor'!$A:$A,'Pokemon Editor'!$F:$F,0)+31+FLOOR(XLOOKUP($Q963,'Threshold Summary'!$Y:$Y,'Threshold Summary'!$P:$P,"")/4))*XLOOKUP($Q963,'Threshold Summary'!$Y:$Y,'Threshold Summary'!$L:$L,""))/100)+5)*XLOOKUP(XLOOKUP($Q963,'Threshold Summary'!$Y:$Y,'Threshold Summary'!$M:$M,""),'Nature Editor'!$A:$A,'Nature Editor'!$B:$B,1)),FLOOR((FLOOR(((2*XLOOKUP(XLOOKUP($Q963,'Threshold Summary'!$Y:$Y,'Threshold Summary'!$K:$K,""),'Pokemon Editor'!$A:$A,'Pokemon Editor'!$H:$H,0)+31+FLOOR(XLOOKUP($Q963,'Threshold Summary'!$Y:$Y,'Threshold Summary'!$R:$R,"")/4))*XLOOKUP($Q963,'Threshold Summary'!$Y:$Y,'Threshold Summary'!$L:$L,""))/100)+5)*XLOOKUP(XLOOKUP($Q963,'Threshold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Editor'!$E:$E,1))),stab,IF(OR(mtype=XLOOKUP(XLOOKUP($Q963,'Threshold Summary'!$Y:$Y,'Threshold Summary'!$K:$K,""),'Pokemon Editor'!$A:$A,'Pokemon Editor'!$C:$C,""),mtype=XLOOKUP(XLOOKUP($Q963,'Threshold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Chart'!$B$1:$S$1,0)))),base,IF(OR(cat="Status",pow=0),0,FLOOR(FLOOR(FLOOR((2*XLOOKUP($Q963,'Threshold Summary'!$Y:$Y,'Threshold Summary'!$L:$L,"")/5+2)*pow*atk/def)/50)+2)),modifier,stab*eff,AVERAGE(ARRAYFORMULA(FLOOR(base*modifier*SEQUENCE(16,1,85,1)/100)))),0)</f>
        <v/>
      </c>
      <c r="M963" s="3">
        <f>IFERROR(LET(mtype,XLOOKUP($D963,'Move Editor'!$B:$B,'Move Editor'!$C:$C,""),cat,XLOOKUP($D963,'Move Editor'!$B:$B,'Move Editor'!$D:$D,""),pow,XLOOKUP($D963,'Move Editor'!$B:$B,'Move Editor'!$E:$E,0),acc,XLOOKUP($D963,'Move Editor'!$B:$B,'Move Editor'!$F:$F,100),atk,IF(cat="Physical",FLOOR((FLOOR(((2*XLOOKUP(XLOOKUP($Q963,'Threshold Summary'!$Y:$Y,'Threshold Summary'!$K:$K,""),'Pokemon Editor'!$A:$A,'Pokemon Editor'!$F:$F,0)+31+FLOOR(XLOOKUP($Q963,'Threshold Summary'!$Y:$Y,'Threshold Summary'!$P:$P,"")/4))*XLOOKUP($Q963,'Threshold Summary'!$Y:$Y,'Threshold Summary'!$L:$L,""))/100)+5)*XLOOKUP(XLOOKUP($Q963,'Threshold Summary'!$Y:$Y,'Threshold Summary'!$M:$M,""),'Nature Editor'!$A:$A,'Nature Editor'!$B:$B,1)),FLOOR((FLOOR(((2*XLOOKUP(XLOOKUP($Q963,'Threshold Summary'!$Y:$Y,'Threshold Summary'!$K:$K,""),'Pokemon Editor'!$A:$A,'Pokemon Editor'!$H:$H,0)+31+FLOOR(XLOOKUP($Q963,'Threshold Summary'!$Y:$Y,'Threshold Summary'!$R:$R,"")/4))*XLOOKUP($Q963,'Threshold Summary'!$Y:$Y,'Threshold Summary'!$L:$L,""))/100)+5)*XLOOKUP(XLOOKUP($Q963,'Threshold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Editor'!$E:$E,1))),stab,IF(OR(mtype=XLOOKUP(XLOOKUP($Q963,'Threshold Summary'!$Y:$Y,'Threshold Summary'!$K:$K,""),'Pokemon Editor'!$A:$A,'Pokemon Editor'!$C:$C,""),mtype=XLOOKUP(XLOOKUP($Q963,'Threshold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Chart'!$B$1:$S$1,0)))),base,IF(OR(cat="Status",pow=0),0,FLOOR(FLOOR(FLOOR((2*XLOOKUP($Q963,'Threshold Summary'!$Y:$Y,'Threshold Summary'!$L:$L,"")/5+2)*pow*atk/def)/50)+2)),modifier,stab*eff,AVERAGE(ARRAYFORMULA(FLOOR(base*modifier*SEQUENCE(16,1,85,1)/100)))*MIN(1,acc/100)),0)</f>
        <v/>
      </c>
      <c r="N963" s="4">
        <f>IFERROR(LET(mtype,XLOOKUP($D963,'Move Editor'!$B:$B,'Move Editor'!$C:$C,""),cat,XLOOKUP($D963,'Move Editor'!$B:$B,'Move Editor'!$D:$D,""),pow,XLOOKUP($D963,'Move Editor'!$B:$B,'Move Editor'!$E:$E,0),acc,XLOOKUP($D963,'Move Editor'!$B:$B,'Move Editor'!$F:$F,100),atk,IF(cat="Physical",FLOOR((FLOOR(((2*XLOOKUP(XLOOKUP($Q963,'Threshold Summary'!$Y:$Y,'Threshold Summary'!$K:$K,""),'Pokemon Editor'!$A:$A,'Pokemon Editor'!$F:$F,0)+31+FLOOR(XLOOKUP($Q963,'Threshold Summary'!$Y:$Y,'Threshold Summary'!$P:$P,"")/4))*XLOOKUP($Q963,'Threshold Summary'!$Y:$Y,'Threshold Summary'!$L:$L,""))/100)+5)*XLOOKUP(XLOOKUP($Q963,'Threshold Summary'!$Y:$Y,'Threshold Summary'!$M:$M,""),'Nature Editor'!$A:$A,'Nature Editor'!$B:$B,1)),FLOOR((FLOOR(((2*XLOOKUP(XLOOKUP($Q963,'Threshold Summary'!$Y:$Y,'Threshold Summary'!$K:$K,""),'Pokemon Editor'!$A:$A,'Pokemon Editor'!$H:$H,0)+31+FLOOR(XLOOKUP($Q963,'Threshold Summary'!$Y:$Y,'Threshold Summary'!$R:$R,"")/4))*XLOOKUP($Q963,'Threshold Summary'!$Y:$Y,'Threshold Summary'!$L:$L,""))/100)+5)*XLOOKUP(XLOOKUP($Q963,'Threshold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Editor'!$E:$E,1))),stab,IF(OR(mtype=XLOOKUP(XLOOKUP($Q963,'Threshold Summary'!$Y:$Y,'Threshold Summary'!$K:$K,""),'Pokemon Editor'!$A:$A,'Pokemon Editor'!$C:$C,""),mtype=XLOOKUP(XLOOKUP($Q963,'Threshold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Chart'!$B$1:$S$1,0)))),base,IF(OR(cat="Status",pow=0),0,FLOOR(FLOOR(FLOOR((2*XLOOKUP($Q963,'Threshold Summary'!$Y:$Y,'Threshold Summary'!$L:$L,"")/5+2)*pow*atk/def)/50)+2)),modifier,stab*eff,AVERAGE(ARRAYFORMULA(FLOOR(base*modifier*SEQUENCE(16,1,85,1)/100)))/(FLOOR(((2*XLOOKUP('Boss Editor'!$C$4,'Pokemon Editor'!$A:$A,'Pokemon Editor'!$E:$E,0)+31+FLOOR('Boss Editor'!$G$4/4))*'Boss Editor'!$D$4)/100)+'Boss Editor'!$D$4+10)),0)</f>
        <v/>
      </c>
      <c r="O963" s="3">
        <f>IF(N963&gt;=1,"OHKO",IF(N963&gt;=0.5,"2HKO",IF(N963&gt;=0.333,"3HKO",IF(N963&gt;=0.25,"4HKO","5HKO+"))))</f>
        <v/>
      </c>
      <c r="P963" s="3" t="inlineStr">
        <is>
          <t>Live from editable databases</t>
        </is>
      </c>
      <c r="Q963" s="3" t="inlineStr">
        <is>
          <t>SPECIES_WATTREL</t>
        </is>
      </c>
      <c r="R963" s="3" t="n">
        <v>2</v>
      </c>
    </row>
    <row r="964">
      <c r="A964" s="3">
        <f>XLOOKUP($Q964,'Threshold Summary'!$Y:$Y,'Threshold Summary'!$A:$A,"")</f>
        <v/>
      </c>
      <c r="B964" s="3">
        <f>XLOOKUP($Q964,'Threshold Summary'!$Y:$Y,'Threshold Summary'!$M:$M,"")</f>
        <v/>
      </c>
      <c r="C964" s="3">
        <f>XLOOKUP($Q964,'Threshold Summary'!$Y:$Y,'Threshold Summary'!$N:$N,"")</f>
        <v/>
      </c>
      <c r="D964" s="3">
        <f>IFERROR(INDEX(FILTER('Learnset Editor'!$D$2:$D,'Learnset Editor'!$A$2:$A=XLOOKUP($Q964,'Threshold Summary'!$Y:$Y,'Threshold Summary'!$K:$K,""),'Learnset Editor'!$C$2:$C&lt;=XLOOKUP($Q964,'Threshold Summary'!$Y:$Y,'Threshold Summary'!$L:$L,"")),$R964),"")</f>
        <v/>
      </c>
      <c r="E964" s="3">
        <f>XLOOKUP(D964,'Move Editor'!$B:$B,'Move Editor'!$C:$C,"")</f>
        <v/>
      </c>
      <c r="F964" s="3">
        <f>XLOOKUP(D964,'Move Editor'!$B:$B,'Move Editor'!$D:$D,"")</f>
        <v/>
      </c>
      <c r="G964" s="3">
        <f>XLOOKUP(D964,'Move Editor'!$B:$B,'Move Editor'!$E:$E,0)</f>
        <v/>
      </c>
      <c r="H964" s="3">
        <f>XLOOKUP(D964,'Move Editor'!$B:$B,'Move Editor'!$F:$F,0)</f>
        <v/>
      </c>
      <c r="I964" s="3">
        <f>(INDEX('Type Chart'!$B:$S,MATCH(E964,'Type Chart'!$A:$A,0),MATCH(XLOOKUP('Boss Editor'!$C$4,'Pokemon Editor'!$A:$A,'Pokemon Editor'!$C:$C,""),'Type Chart'!$B$1:$S$1,0))*IF(XLOOKUP('Boss Editor'!$C$4,'Pokemon Editor'!$A:$A,'Pokemon Editor'!$D:$D,"")="",1,INDEX('Type Chart'!$B:$S,MATCH(E964,'Type Chart'!$A:$A,0),MATCH(XLOOKUP('Boss Editor'!$C$4,'Pokemon Editor'!$A:$A,'Pokemon Editor'!$D:$D,""),'Type Chart'!$B$1:$S$1,0))))</f>
        <v/>
      </c>
      <c r="J964" s="3">
        <f>IFERROR(LET(mtype,XLOOKUP($D964,'Move Editor'!$B:$B,'Move Editor'!$C:$C,""),cat,XLOOKUP($D964,'Move Editor'!$B:$B,'Move Editor'!$D:$D,""),pow,XLOOKUP($D964,'Move Editor'!$B:$B,'Move Editor'!$E:$E,0),acc,XLOOKUP($D964,'Move Editor'!$B:$B,'Move Editor'!$F:$F,100),atk,IF(cat="Physical",FLOOR((FLOOR(((2*XLOOKUP(XLOOKUP($Q964,'Threshold Summary'!$Y:$Y,'Threshold Summary'!$K:$K,""),'Pokemon Editor'!$A:$A,'Pokemon Editor'!$F:$F,0)+31+FLOOR(XLOOKUP($Q964,'Threshold Summary'!$Y:$Y,'Threshold Summary'!$P:$P,"")/4))*XLOOKUP($Q964,'Threshold Summary'!$Y:$Y,'Threshold Summary'!$L:$L,""))/100)+5)*XLOOKUP(XLOOKUP($Q964,'Threshold Summary'!$Y:$Y,'Threshold Summary'!$M:$M,""),'Nature Editor'!$A:$A,'Nature Editor'!$B:$B,1)),FLOOR((FLOOR(((2*XLOOKUP(XLOOKUP($Q964,'Threshold Summary'!$Y:$Y,'Threshold Summary'!$K:$K,""),'Pokemon Editor'!$A:$A,'Pokemon Editor'!$H:$H,0)+31+FLOOR(XLOOKUP($Q964,'Threshold Summary'!$Y:$Y,'Threshold Summary'!$R:$R,"")/4))*XLOOKUP($Q964,'Threshold Summary'!$Y:$Y,'Threshold Summary'!$L:$L,""))/100)+5)*XLOOKUP(XLOOKUP($Q964,'Threshold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Editor'!$E:$E,1))),stab,IF(OR(mtype=XLOOKUP(XLOOKUP($Q964,'Threshold Summary'!$Y:$Y,'Threshold Summary'!$K:$K,""),'Pokemon Editor'!$A:$A,'Pokemon Editor'!$C:$C,""),mtype=XLOOKUP(XLOOKUP($Q964,'Threshold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Chart'!$B$1:$S$1,0)))),base,IF(OR(cat="Status",pow=0),0,FLOOR(FLOOR(FLOOR((2*XLOOKUP($Q964,'Threshold Summary'!$Y:$Y,'Threshold Summary'!$L:$L,"")/5+2)*pow*atk/def)/50)+2)),modifier,stab*eff,FLOOR(base*modifier*0.85)),0)</f>
        <v/>
      </c>
      <c r="K964" s="3">
        <f>IFERROR(LET(mtype,XLOOKUP($D964,'Move Editor'!$B:$B,'Move Editor'!$C:$C,""),cat,XLOOKUP($D964,'Move Editor'!$B:$B,'Move Editor'!$D:$D,""),pow,XLOOKUP($D964,'Move Editor'!$B:$B,'Move Editor'!$E:$E,0),acc,XLOOKUP($D964,'Move Editor'!$B:$B,'Move Editor'!$F:$F,100),atk,IF(cat="Physical",FLOOR((FLOOR(((2*XLOOKUP(XLOOKUP($Q964,'Threshold Summary'!$Y:$Y,'Threshold Summary'!$K:$K,""),'Pokemon Editor'!$A:$A,'Pokemon Editor'!$F:$F,0)+31+FLOOR(XLOOKUP($Q964,'Threshold Summary'!$Y:$Y,'Threshold Summary'!$P:$P,"")/4))*XLOOKUP($Q964,'Threshold Summary'!$Y:$Y,'Threshold Summary'!$L:$L,""))/100)+5)*XLOOKUP(XLOOKUP($Q964,'Threshold Summary'!$Y:$Y,'Threshold Summary'!$M:$M,""),'Nature Editor'!$A:$A,'Nature Editor'!$B:$B,1)),FLOOR((FLOOR(((2*XLOOKUP(XLOOKUP($Q964,'Threshold Summary'!$Y:$Y,'Threshold Summary'!$K:$K,""),'Pokemon Editor'!$A:$A,'Pokemon Editor'!$H:$H,0)+31+FLOOR(XLOOKUP($Q964,'Threshold Summary'!$Y:$Y,'Threshold Summary'!$R:$R,"")/4))*XLOOKUP($Q964,'Threshold Summary'!$Y:$Y,'Threshold Summary'!$L:$L,""))/100)+5)*XLOOKUP(XLOOKUP($Q964,'Threshold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Editor'!$E:$E,1))),stab,IF(OR(mtype=XLOOKUP(XLOOKUP($Q964,'Threshold Summary'!$Y:$Y,'Threshold Summary'!$K:$K,""),'Pokemon Editor'!$A:$A,'Pokemon Editor'!$C:$C,""),mtype=XLOOKUP(XLOOKUP($Q964,'Threshold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Chart'!$B$1:$S$1,0)))),base,IF(OR(cat="Status",pow=0),0,FLOOR(FLOOR(FLOOR((2*XLOOKUP($Q964,'Threshold Summary'!$Y:$Y,'Threshold Summary'!$L:$L,"")/5+2)*pow*atk/def)/50)+2)),modifier,stab*eff,FLOOR(base*modifier)),0)</f>
        <v/>
      </c>
      <c r="L964" s="3">
        <f>IFERROR(LET(mtype,XLOOKUP($D964,'Move Editor'!$B:$B,'Move Editor'!$C:$C,""),cat,XLOOKUP($D964,'Move Editor'!$B:$B,'Move Editor'!$D:$D,""),pow,XLOOKUP($D964,'Move Editor'!$B:$B,'Move Editor'!$E:$E,0),acc,XLOOKUP($D964,'Move Editor'!$B:$B,'Move Editor'!$F:$F,100),atk,IF(cat="Physical",FLOOR((FLOOR(((2*XLOOKUP(XLOOKUP($Q964,'Threshold Summary'!$Y:$Y,'Threshold Summary'!$K:$K,""),'Pokemon Editor'!$A:$A,'Pokemon Editor'!$F:$F,0)+31+FLOOR(XLOOKUP($Q964,'Threshold Summary'!$Y:$Y,'Threshold Summary'!$P:$P,"")/4))*XLOOKUP($Q964,'Threshold Summary'!$Y:$Y,'Threshold Summary'!$L:$L,""))/100)+5)*XLOOKUP(XLOOKUP($Q964,'Threshold Summary'!$Y:$Y,'Threshold Summary'!$M:$M,""),'Nature Editor'!$A:$A,'Nature Editor'!$B:$B,1)),FLOOR((FLOOR(((2*XLOOKUP(XLOOKUP($Q964,'Threshold Summary'!$Y:$Y,'Threshold Summary'!$K:$K,""),'Pokemon Editor'!$A:$A,'Pokemon Editor'!$H:$H,0)+31+FLOOR(XLOOKUP($Q964,'Threshold Summary'!$Y:$Y,'Threshold Summary'!$R:$R,"")/4))*XLOOKUP($Q964,'Threshold Summary'!$Y:$Y,'Threshold Summary'!$L:$L,""))/100)+5)*XLOOKUP(XLOOKUP($Q964,'Threshold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Editor'!$E:$E,1))),stab,IF(OR(mtype=XLOOKUP(XLOOKUP($Q964,'Threshold Summary'!$Y:$Y,'Threshold Summary'!$K:$K,""),'Pokemon Editor'!$A:$A,'Pokemon Editor'!$C:$C,""),mtype=XLOOKUP(XLOOKUP($Q964,'Threshold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Chart'!$B$1:$S$1,0)))),base,IF(OR(cat="Status",pow=0),0,FLOOR(FLOOR(FLOOR((2*XLOOKUP($Q964,'Threshold Summary'!$Y:$Y,'Threshold Summary'!$L:$L,"")/5+2)*pow*atk/def)/50)+2)),modifier,stab*eff,AVERAGE(ARRAYFORMULA(FLOOR(base*modifier*SEQUENCE(16,1,85,1)/100)))),0)</f>
        <v/>
      </c>
      <c r="M964" s="3">
        <f>IFERROR(LET(mtype,XLOOKUP($D964,'Move Editor'!$B:$B,'Move Editor'!$C:$C,""),cat,XLOOKUP($D964,'Move Editor'!$B:$B,'Move Editor'!$D:$D,""),pow,XLOOKUP($D964,'Move Editor'!$B:$B,'Move Editor'!$E:$E,0),acc,XLOOKUP($D964,'Move Editor'!$B:$B,'Move Editor'!$F:$F,100),atk,IF(cat="Physical",FLOOR((FLOOR(((2*XLOOKUP(XLOOKUP($Q964,'Threshold Summary'!$Y:$Y,'Threshold Summary'!$K:$K,""),'Pokemon Editor'!$A:$A,'Pokemon Editor'!$F:$F,0)+31+FLOOR(XLOOKUP($Q964,'Threshold Summary'!$Y:$Y,'Threshold Summary'!$P:$P,"")/4))*XLOOKUP($Q964,'Threshold Summary'!$Y:$Y,'Threshold Summary'!$L:$L,""))/100)+5)*XLOOKUP(XLOOKUP($Q964,'Threshold Summary'!$Y:$Y,'Threshold Summary'!$M:$M,""),'Nature Editor'!$A:$A,'Nature Editor'!$B:$B,1)),FLOOR((FLOOR(((2*XLOOKUP(XLOOKUP($Q964,'Threshold Summary'!$Y:$Y,'Threshold Summary'!$K:$K,""),'Pokemon Editor'!$A:$A,'Pokemon Editor'!$H:$H,0)+31+FLOOR(XLOOKUP($Q964,'Threshold Summary'!$Y:$Y,'Threshold Summary'!$R:$R,"")/4))*XLOOKUP($Q964,'Threshold Summary'!$Y:$Y,'Threshold Summary'!$L:$L,""))/100)+5)*XLOOKUP(XLOOKUP($Q964,'Threshold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Editor'!$E:$E,1))),stab,IF(OR(mtype=XLOOKUP(XLOOKUP($Q964,'Threshold Summary'!$Y:$Y,'Threshold Summary'!$K:$K,""),'Pokemon Editor'!$A:$A,'Pokemon Editor'!$C:$C,""),mtype=XLOOKUP(XLOOKUP($Q964,'Threshold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Chart'!$B$1:$S$1,0)))),base,IF(OR(cat="Status",pow=0),0,FLOOR(FLOOR(FLOOR((2*XLOOKUP($Q964,'Threshold Summary'!$Y:$Y,'Threshold Summary'!$L:$L,"")/5+2)*pow*atk/def)/50)+2)),modifier,stab*eff,AVERAGE(ARRAYFORMULA(FLOOR(base*modifier*SEQUENCE(16,1,85,1)/100)))*MIN(1,acc/100)),0)</f>
        <v/>
      </c>
      <c r="N964" s="4">
        <f>IFERROR(LET(mtype,XLOOKUP($D964,'Move Editor'!$B:$B,'Move Editor'!$C:$C,""),cat,XLOOKUP($D964,'Move Editor'!$B:$B,'Move Editor'!$D:$D,""),pow,XLOOKUP($D964,'Move Editor'!$B:$B,'Move Editor'!$E:$E,0),acc,XLOOKUP($D964,'Move Editor'!$B:$B,'Move Editor'!$F:$F,100),atk,IF(cat="Physical",FLOOR((FLOOR(((2*XLOOKUP(XLOOKUP($Q964,'Threshold Summary'!$Y:$Y,'Threshold Summary'!$K:$K,""),'Pokemon Editor'!$A:$A,'Pokemon Editor'!$F:$F,0)+31+FLOOR(XLOOKUP($Q964,'Threshold Summary'!$Y:$Y,'Threshold Summary'!$P:$P,"")/4))*XLOOKUP($Q964,'Threshold Summary'!$Y:$Y,'Threshold Summary'!$L:$L,""))/100)+5)*XLOOKUP(XLOOKUP($Q964,'Threshold Summary'!$Y:$Y,'Threshold Summary'!$M:$M,""),'Nature Editor'!$A:$A,'Nature Editor'!$B:$B,1)),FLOOR((FLOOR(((2*XLOOKUP(XLOOKUP($Q964,'Threshold Summary'!$Y:$Y,'Threshold Summary'!$K:$K,""),'Pokemon Editor'!$A:$A,'Pokemon Editor'!$H:$H,0)+31+FLOOR(XLOOKUP($Q964,'Threshold Summary'!$Y:$Y,'Threshold Summary'!$R:$R,"")/4))*XLOOKUP($Q964,'Threshold Summary'!$Y:$Y,'Threshold Summary'!$L:$L,""))/100)+5)*XLOOKUP(XLOOKUP($Q964,'Threshold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Editor'!$E:$E,1))),stab,IF(OR(mtype=XLOOKUP(XLOOKUP($Q964,'Threshold Summary'!$Y:$Y,'Threshold Summary'!$K:$K,""),'Pokemon Editor'!$A:$A,'Pokemon Editor'!$C:$C,""),mtype=XLOOKUP(XLOOKUP($Q964,'Threshold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Chart'!$B$1:$S$1,0)))),base,IF(OR(cat="Status",pow=0),0,FLOOR(FLOOR(FLOOR((2*XLOOKUP($Q964,'Threshold Summary'!$Y:$Y,'Threshold Summary'!$L:$L,"")/5+2)*pow*atk/def)/50)+2)),modifier,stab*eff,AVERAGE(ARRAYFORMULA(FLOOR(base*modifier*SEQUENCE(16,1,85,1)/100)))/(FLOOR(((2*XLOOKUP('Boss Editor'!$C$4,'Pokemon Editor'!$A:$A,'Pokemon Editor'!$E:$E,0)+31+FLOOR('Boss Editor'!$G$4/4))*'Boss Editor'!$D$4)/100)+'Boss Editor'!$D$4+10)),0)</f>
        <v/>
      </c>
      <c r="O964" s="3">
        <f>IF(N964&gt;=1,"OHKO",IF(N964&gt;=0.5,"2HKO",IF(N964&gt;=0.333,"3HKO",IF(N964&gt;=0.25,"4HKO","5HKO+"))))</f>
        <v/>
      </c>
      <c r="P964" s="3" t="inlineStr">
        <is>
          <t>Live from editable databases</t>
        </is>
      </c>
      <c r="Q964" s="3" t="inlineStr">
        <is>
          <t>SPECIES_WATTREL</t>
        </is>
      </c>
      <c r="R964" s="3" t="n">
        <v>3</v>
      </c>
    </row>
    <row r="965">
      <c r="A965" s="3">
        <f>XLOOKUP($Q965,'Threshold Summary'!$Y:$Y,'Threshold Summary'!$A:$A,"")</f>
        <v/>
      </c>
      <c r="B965" s="3">
        <f>XLOOKUP($Q965,'Threshold Summary'!$Y:$Y,'Threshold Summary'!$M:$M,"")</f>
        <v/>
      </c>
      <c r="C965" s="3">
        <f>XLOOKUP($Q965,'Threshold Summary'!$Y:$Y,'Threshold Summary'!$N:$N,"")</f>
        <v/>
      </c>
      <c r="D965" s="3">
        <f>IFERROR(INDEX(FILTER('Learnset Editor'!$D$2:$D,'Learnset Editor'!$A$2:$A=XLOOKUP($Q965,'Threshold Summary'!$Y:$Y,'Threshold Summary'!$K:$K,""),'Learnset Editor'!$C$2:$C&lt;=XLOOKUP($Q965,'Threshold Summary'!$Y:$Y,'Threshold Summary'!$L:$L,"")),$R965),"")</f>
        <v/>
      </c>
      <c r="E965" s="3">
        <f>XLOOKUP(D965,'Move Editor'!$B:$B,'Move Editor'!$C:$C,"")</f>
        <v/>
      </c>
      <c r="F965" s="3">
        <f>XLOOKUP(D965,'Move Editor'!$B:$B,'Move Editor'!$D:$D,"")</f>
        <v/>
      </c>
      <c r="G965" s="3">
        <f>XLOOKUP(D965,'Move Editor'!$B:$B,'Move Editor'!$E:$E,0)</f>
        <v/>
      </c>
      <c r="H965" s="3">
        <f>XLOOKUP(D965,'Move Editor'!$B:$B,'Move Editor'!$F:$F,0)</f>
        <v/>
      </c>
      <c r="I965" s="3">
        <f>(INDEX('Type Chart'!$B:$S,MATCH(E965,'Type Chart'!$A:$A,0),MATCH(XLOOKUP('Boss Editor'!$C$4,'Pokemon Editor'!$A:$A,'Pokemon Editor'!$C:$C,""),'Type Chart'!$B$1:$S$1,0))*IF(XLOOKUP('Boss Editor'!$C$4,'Pokemon Editor'!$A:$A,'Pokemon Editor'!$D:$D,"")="",1,INDEX('Type Chart'!$B:$S,MATCH(E965,'Type Chart'!$A:$A,0),MATCH(XLOOKUP('Boss Editor'!$C$4,'Pokemon Editor'!$A:$A,'Pokemon Editor'!$D:$D,""),'Type Chart'!$B$1:$S$1,0))))</f>
        <v/>
      </c>
      <c r="J965" s="3">
        <f>IFERROR(LET(mtype,XLOOKUP($D965,'Move Editor'!$B:$B,'Move Editor'!$C:$C,""),cat,XLOOKUP($D965,'Move Editor'!$B:$B,'Move Editor'!$D:$D,""),pow,XLOOKUP($D965,'Move Editor'!$B:$B,'Move Editor'!$E:$E,0),acc,XLOOKUP($D965,'Move Editor'!$B:$B,'Move Editor'!$F:$F,100),atk,IF(cat="Physical",FLOOR((FLOOR(((2*XLOOKUP(XLOOKUP($Q965,'Threshold Summary'!$Y:$Y,'Threshold Summary'!$K:$K,""),'Pokemon Editor'!$A:$A,'Pokemon Editor'!$F:$F,0)+31+FLOOR(XLOOKUP($Q965,'Threshold Summary'!$Y:$Y,'Threshold Summary'!$P:$P,"")/4))*XLOOKUP($Q965,'Threshold Summary'!$Y:$Y,'Threshold Summary'!$L:$L,""))/100)+5)*XLOOKUP(XLOOKUP($Q965,'Threshold Summary'!$Y:$Y,'Threshold Summary'!$M:$M,""),'Nature Editor'!$A:$A,'Nature Editor'!$B:$B,1)),FLOOR((FLOOR(((2*XLOOKUP(XLOOKUP($Q965,'Threshold Summary'!$Y:$Y,'Threshold Summary'!$K:$K,""),'Pokemon Editor'!$A:$A,'Pokemon Editor'!$H:$H,0)+31+FLOOR(XLOOKUP($Q965,'Threshold Summary'!$Y:$Y,'Threshold Summary'!$R:$R,"")/4))*XLOOKUP($Q965,'Threshold Summary'!$Y:$Y,'Threshold Summary'!$L:$L,""))/100)+5)*XLOOKUP(XLOOKUP($Q965,'Threshold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Editor'!$E:$E,1))),stab,IF(OR(mtype=XLOOKUP(XLOOKUP($Q965,'Threshold Summary'!$Y:$Y,'Threshold Summary'!$K:$K,""),'Pokemon Editor'!$A:$A,'Pokemon Editor'!$C:$C,""),mtype=XLOOKUP(XLOOKUP($Q965,'Threshold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Chart'!$B$1:$S$1,0)))),base,IF(OR(cat="Status",pow=0),0,FLOOR(FLOOR(FLOOR((2*XLOOKUP($Q965,'Threshold Summary'!$Y:$Y,'Threshold Summary'!$L:$L,"")/5+2)*pow*atk/def)/50)+2)),modifier,stab*eff,FLOOR(base*modifier*0.85)),0)</f>
        <v/>
      </c>
      <c r="K965" s="3">
        <f>IFERROR(LET(mtype,XLOOKUP($D965,'Move Editor'!$B:$B,'Move Editor'!$C:$C,""),cat,XLOOKUP($D965,'Move Editor'!$B:$B,'Move Editor'!$D:$D,""),pow,XLOOKUP($D965,'Move Editor'!$B:$B,'Move Editor'!$E:$E,0),acc,XLOOKUP($D965,'Move Editor'!$B:$B,'Move Editor'!$F:$F,100),atk,IF(cat="Physical",FLOOR((FLOOR(((2*XLOOKUP(XLOOKUP($Q965,'Threshold Summary'!$Y:$Y,'Threshold Summary'!$K:$K,""),'Pokemon Editor'!$A:$A,'Pokemon Editor'!$F:$F,0)+31+FLOOR(XLOOKUP($Q965,'Threshold Summary'!$Y:$Y,'Threshold Summary'!$P:$P,"")/4))*XLOOKUP($Q965,'Threshold Summary'!$Y:$Y,'Threshold Summary'!$L:$L,""))/100)+5)*XLOOKUP(XLOOKUP($Q965,'Threshold Summary'!$Y:$Y,'Threshold Summary'!$M:$M,""),'Nature Editor'!$A:$A,'Nature Editor'!$B:$B,1)),FLOOR((FLOOR(((2*XLOOKUP(XLOOKUP($Q965,'Threshold Summary'!$Y:$Y,'Threshold Summary'!$K:$K,""),'Pokemon Editor'!$A:$A,'Pokemon Editor'!$H:$H,0)+31+FLOOR(XLOOKUP($Q965,'Threshold Summary'!$Y:$Y,'Threshold Summary'!$R:$R,"")/4))*XLOOKUP($Q965,'Threshold Summary'!$Y:$Y,'Threshold Summary'!$L:$L,""))/100)+5)*XLOOKUP(XLOOKUP($Q965,'Threshold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Editor'!$E:$E,1))),stab,IF(OR(mtype=XLOOKUP(XLOOKUP($Q965,'Threshold Summary'!$Y:$Y,'Threshold Summary'!$K:$K,""),'Pokemon Editor'!$A:$A,'Pokemon Editor'!$C:$C,""),mtype=XLOOKUP(XLOOKUP($Q965,'Threshold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Chart'!$B$1:$S$1,0)))),base,IF(OR(cat="Status",pow=0),0,FLOOR(FLOOR(FLOOR((2*XLOOKUP($Q965,'Threshold Summary'!$Y:$Y,'Threshold Summary'!$L:$L,"")/5+2)*pow*atk/def)/50)+2)),modifier,stab*eff,FLOOR(base*modifier)),0)</f>
        <v/>
      </c>
      <c r="L965" s="3">
        <f>IFERROR(LET(mtype,XLOOKUP($D965,'Move Editor'!$B:$B,'Move Editor'!$C:$C,""),cat,XLOOKUP($D965,'Move Editor'!$B:$B,'Move Editor'!$D:$D,""),pow,XLOOKUP($D965,'Move Editor'!$B:$B,'Move Editor'!$E:$E,0),acc,XLOOKUP($D965,'Move Editor'!$B:$B,'Move Editor'!$F:$F,100),atk,IF(cat="Physical",FLOOR((FLOOR(((2*XLOOKUP(XLOOKUP($Q965,'Threshold Summary'!$Y:$Y,'Threshold Summary'!$K:$K,""),'Pokemon Editor'!$A:$A,'Pokemon Editor'!$F:$F,0)+31+FLOOR(XLOOKUP($Q965,'Threshold Summary'!$Y:$Y,'Threshold Summary'!$P:$P,"")/4))*XLOOKUP($Q965,'Threshold Summary'!$Y:$Y,'Threshold Summary'!$L:$L,""))/100)+5)*XLOOKUP(XLOOKUP($Q965,'Threshold Summary'!$Y:$Y,'Threshold Summary'!$M:$M,""),'Nature Editor'!$A:$A,'Nature Editor'!$B:$B,1)),FLOOR((FLOOR(((2*XLOOKUP(XLOOKUP($Q965,'Threshold Summary'!$Y:$Y,'Threshold Summary'!$K:$K,""),'Pokemon Editor'!$A:$A,'Pokemon Editor'!$H:$H,0)+31+FLOOR(XLOOKUP($Q965,'Threshold Summary'!$Y:$Y,'Threshold Summary'!$R:$R,"")/4))*XLOOKUP($Q965,'Threshold Summary'!$Y:$Y,'Threshold Summary'!$L:$L,""))/100)+5)*XLOOKUP(XLOOKUP($Q965,'Threshold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Editor'!$E:$E,1))),stab,IF(OR(mtype=XLOOKUP(XLOOKUP($Q965,'Threshold Summary'!$Y:$Y,'Threshold Summary'!$K:$K,""),'Pokemon Editor'!$A:$A,'Pokemon Editor'!$C:$C,""),mtype=XLOOKUP(XLOOKUP($Q965,'Threshold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Chart'!$B$1:$S$1,0)))),base,IF(OR(cat="Status",pow=0),0,FLOOR(FLOOR(FLOOR((2*XLOOKUP($Q965,'Threshold Summary'!$Y:$Y,'Threshold Summary'!$L:$L,"")/5+2)*pow*atk/def)/50)+2)),modifier,stab*eff,AVERAGE(ARRAYFORMULA(FLOOR(base*modifier*SEQUENCE(16,1,85,1)/100)))),0)</f>
        <v/>
      </c>
      <c r="M965" s="3">
        <f>IFERROR(LET(mtype,XLOOKUP($D965,'Move Editor'!$B:$B,'Move Editor'!$C:$C,""),cat,XLOOKUP($D965,'Move Editor'!$B:$B,'Move Editor'!$D:$D,""),pow,XLOOKUP($D965,'Move Editor'!$B:$B,'Move Editor'!$E:$E,0),acc,XLOOKUP($D965,'Move Editor'!$B:$B,'Move Editor'!$F:$F,100),atk,IF(cat="Physical",FLOOR((FLOOR(((2*XLOOKUP(XLOOKUP($Q965,'Threshold Summary'!$Y:$Y,'Threshold Summary'!$K:$K,""),'Pokemon Editor'!$A:$A,'Pokemon Editor'!$F:$F,0)+31+FLOOR(XLOOKUP($Q965,'Threshold Summary'!$Y:$Y,'Threshold Summary'!$P:$P,"")/4))*XLOOKUP($Q965,'Threshold Summary'!$Y:$Y,'Threshold Summary'!$L:$L,""))/100)+5)*XLOOKUP(XLOOKUP($Q965,'Threshold Summary'!$Y:$Y,'Threshold Summary'!$M:$M,""),'Nature Editor'!$A:$A,'Nature Editor'!$B:$B,1)),FLOOR((FLOOR(((2*XLOOKUP(XLOOKUP($Q965,'Threshold Summary'!$Y:$Y,'Threshold Summary'!$K:$K,""),'Pokemon Editor'!$A:$A,'Pokemon Editor'!$H:$H,0)+31+FLOOR(XLOOKUP($Q965,'Threshold Summary'!$Y:$Y,'Threshold Summary'!$R:$R,"")/4))*XLOOKUP($Q965,'Threshold Summary'!$Y:$Y,'Threshold Summary'!$L:$L,""))/100)+5)*XLOOKUP(XLOOKUP($Q965,'Threshold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Editor'!$E:$E,1))),stab,IF(OR(mtype=XLOOKUP(XLOOKUP($Q965,'Threshold Summary'!$Y:$Y,'Threshold Summary'!$K:$K,""),'Pokemon Editor'!$A:$A,'Pokemon Editor'!$C:$C,""),mtype=XLOOKUP(XLOOKUP($Q965,'Threshold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Chart'!$B$1:$S$1,0)))),base,IF(OR(cat="Status",pow=0),0,FLOOR(FLOOR(FLOOR((2*XLOOKUP($Q965,'Threshold Summary'!$Y:$Y,'Threshold Summary'!$L:$L,"")/5+2)*pow*atk/def)/50)+2)),modifier,stab*eff,AVERAGE(ARRAYFORMULA(FLOOR(base*modifier*SEQUENCE(16,1,85,1)/100)))*MIN(1,acc/100)),0)</f>
        <v/>
      </c>
      <c r="N965" s="4">
        <f>IFERROR(LET(mtype,XLOOKUP($D965,'Move Editor'!$B:$B,'Move Editor'!$C:$C,""),cat,XLOOKUP($D965,'Move Editor'!$B:$B,'Move Editor'!$D:$D,""),pow,XLOOKUP($D965,'Move Editor'!$B:$B,'Move Editor'!$E:$E,0),acc,XLOOKUP($D965,'Move Editor'!$B:$B,'Move Editor'!$F:$F,100),atk,IF(cat="Physical",FLOOR((FLOOR(((2*XLOOKUP(XLOOKUP($Q965,'Threshold Summary'!$Y:$Y,'Threshold Summary'!$K:$K,""),'Pokemon Editor'!$A:$A,'Pokemon Editor'!$F:$F,0)+31+FLOOR(XLOOKUP($Q965,'Threshold Summary'!$Y:$Y,'Threshold Summary'!$P:$P,"")/4))*XLOOKUP($Q965,'Threshold Summary'!$Y:$Y,'Threshold Summary'!$L:$L,""))/100)+5)*XLOOKUP(XLOOKUP($Q965,'Threshold Summary'!$Y:$Y,'Threshold Summary'!$M:$M,""),'Nature Editor'!$A:$A,'Nature Editor'!$B:$B,1)),FLOOR((FLOOR(((2*XLOOKUP(XLOOKUP($Q965,'Threshold Summary'!$Y:$Y,'Threshold Summary'!$K:$K,""),'Pokemon Editor'!$A:$A,'Pokemon Editor'!$H:$H,0)+31+FLOOR(XLOOKUP($Q965,'Threshold Summary'!$Y:$Y,'Threshold Summary'!$R:$R,"")/4))*XLOOKUP($Q965,'Threshold Summary'!$Y:$Y,'Threshold Summary'!$L:$L,""))/100)+5)*XLOOKUP(XLOOKUP($Q965,'Threshold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Editor'!$E:$E,1))),stab,IF(OR(mtype=XLOOKUP(XLOOKUP($Q965,'Threshold Summary'!$Y:$Y,'Threshold Summary'!$K:$K,""),'Pokemon Editor'!$A:$A,'Pokemon Editor'!$C:$C,""),mtype=XLOOKUP(XLOOKUP($Q965,'Threshold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Chart'!$B$1:$S$1,0)))),base,IF(OR(cat="Status",pow=0),0,FLOOR(FLOOR(FLOOR((2*XLOOKUP($Q965,'Threshold Summary'!$Y:$Y,'Threshold Summary'!$L:$L,"")/5+2)*pow*atk/def)/50)+2)),modifier,stab*eff,AVERAGE(ARRAYFORMULA(FLOOR(base*modifier*SEQUENCE(16,1,85,1)/100)))/(FLOOR(((2*XLOOKUP('Boss Editor'!$C$4,'Pokemon Editor'!$A:$A,'Pokemon Editor'!$E:$E,0)+31+FLOOR('Boss Editor'!$G$4/4))*'Boss Editor'!$D$4)/100)+'Boss Editor'!$D$4+10)),0)</f>
        <v/>
      </c>
      <c r="O965" s="3">
        <f>IF(N965&gt;=1,"OHKO",IF(N965&gt;=0.5,"2HKO",IF(N965&gt;=0.333,"3HKO",IF(N965&gt;=0.25,"4HKO","5HKO+"))))</f>
        <v/>
      </c>
      <c r="P965" s="3" t="inlineStr">
        <is>
          <t>Live from editable databases</t>
        </is>
      </c>
      <c r="Q965" s="3" t="inlineStr">
        <is>
          <t>SPECIES_WATTREL</t>
        </is>
      </c>
      <c r="R965" s="3" t="n">
        <v>4</v>
      </c>
    </row>
    <row r="966">
      <c r="A966" s="3">
        <f>XLOOKUP($Q966,'Threshold Summary'!$Y:$Y,'Threshold Summary'!$A:$A,"")</f>
        <v/>
      </c>
      <c r="B966" s="3">
        <f>XLOOKUP($Q966,'Threshold Summary'!$Y:$Y,'Threshold Summary'!$M:$M,"")</f>
        <v/>
      </c>
      <c r="C966" s="3">
        <f>XLOOKUP($Q966,'Threshold Summary'!$Y:$Y,'Threshold Summary'!$N:$N,"")</f>
        <v/>
      </c>
      <c r="D966" s="3">
        <f>IFERROR(INDEX(FILTER('Learnset Editor'!$D$2:$D,'Learnset Editor'!$A$2:$A=XLOOKUP($Q966,'Threshold Summary'!$Y:$Y,'Threshold Summary'!$K:$K,""),'Learnset Editor'!$C$2:$C&lt;=XLOOKUP($Q966,'Threshold Summary'!$Y:$Y,'Threshold Summary'!$L:$L,"")),$R966),"")</f>
        <v/>
      </c>
      <c r="E966" s="3">
        <f>XLOOKUP(D966,'Move Editor'!$B:$B,'Move Editor'!$C:$C,"")</f>
        <v/>
      </c>
      <c r="F966" s="3">
        <f>XLOOKUP(D966,'Move Editor'!$B:$B,'Move Editor'!$D:$D,"")</f>
        <v/>
      </c>
      <c r="G966" s="3">
        <f>XLOOKUP(D966,'Move Editor'!$B:$B,'Move Editor'!$E:$E,0)</f>
        <v/>
      </c>
      <c r="H966" s="3">
        <f>XLOOKUP(D966,'Move Editor'!$B:$B,'Move Editor'!$F:$F,0)</f>
        <v/>
      </c>
      <c r="I966" s="3">
        <f>(INDEX('Type Chart'!$B:$S,MATCH(E966,'Type Chart'!$A:$A,0),MATCH(XLOOKUP('Boss Editor'!$C$4,'Pokemon Editor'!$A:$A,'Pokemon Editor'!$C:$C,""),'Type Chart'!$B$1:$S$1,0))*IF(XLOOKUP('Boss Editor'!$C$4,'Pokemon Editor'!$A:$A,'Pokemon Editor'!$D:$D,"")="",1,INDEX('Type Chart'!$B:$S,MATCH(E966,'Type Chart'!$A:$A,0),MATCH(XLOOKUP('Boss Editor'!$C$4,'Pokemon Editor'!$A:$A,'Pokemon Editor'!$D:$D,""),'Type Chart'!$B$1:$S$1,0))))</f>
        <v/>
      </c>
      <c r="J966" s="3">
        <f>IFERROR(LET(mtype,XLOOKUP($D966,'Move Editor'!$B:$B,'Move Editor'!$C:$C,""),cat,XLOOKUP($D966,'Move Editor'!$B:$B,'Move Editor'!$D:$D,""),pow,XLOOKUP($D966,'Move Editor'!$B:$B,'Move Editor'!$E:$E,0),acc,XLOOKUP($D966,'Move Editor'!$B:$B,'Move Editor'!$F:$F,100),atk,IF(cat="Physical",FLOOR((FLOOR(((2*XLOOKUP(XLOOKUP($Q966,'Threshold Summary'!$Y:$Y,'Threshold Summary'!$K:$K,""),'Pokemon Editor'!$A:$A,'Pokemon Editor'!$F:$F,0)+31+FLOOR(XLOOKUP($Q966,'Threshold Summary'!$Y:$Y,'Threshold Summary'!$P:$P,"")/4))*XLOOKUP($Q966,'Threshold Summary'!$Y:$Y,'Threshold Summary'!$L:$L,""))/100)+5)*XLOOKUP(XLOOKUP($Q966,'Threshold Summary'!$Y:$Y,'Threshold Summary'!$M:$M,""),'Nature Editor'!$A:$A,'Nature Editor'!$B:$B,1)),FLOOR((FLOOR(((2*XLOOKUP(XLOOKUP($Q966,'Threshold Summary'!$Y:$Y,'Threshold Summary'!$K:$K,""),'Pokemon Editor'!$A:$A,'Pokemon Editor'!$H:$H,0)+31+FLOOR(XLOOKUP($Q966,'Threshold Summary'!$Y:$Y,'Threshold Summary'!$R:$R,"")/4))*XLOOKUP($Q966,'Threshold Summary'!$Y:$Y,'Threshold Summary'!$L:$L,""))/100)+5)*XLOOKUP(XLOOKUP($Q966,'Threshold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Editor'!$E:$E,1))),stab,IF(OR(mtype=XLOOKUP(XLOOKUP($Q966,'Threshold Summary'!$Y:$Y,'Threshold Summary'!$K:$K,""),'Pokemon Editor'!$A:$A,'Pokemon Editor'!$C:$C,""),mtype=XLOOKUP(XLOOKUP($Q966,'Threshold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Chart'!$B$1:$S$1,0)))),base,IF(OR(cat="Status",pow=0),0,FLOOR(FLOOR(FLOOR((2*XLOOKUP($Q966,'Threshold Summary'!$Y:$Y,'Threshold Summary'!$L:$L,"")/5+2)*pow*atk/def)/50)+2)),modifier,stab*eff,FLOOR(base*modifier*0.85)),0)</f>
        <v/>
      </c>
      <c r="K966" s="3">
        <f>IFERROR(LET(mtype,XLOOKUP($D966,'Move Editor'!$B:$B,'Move Editor'!$C:$C,""),cat,XLOOKUP($D966,'Move Editor'!$B:$B,'Move Editor'!$D:$D,""),pow,XLOOKUP($D966,'Move Editor'!$B:$B,'Move Editor'!$E:$E,0),acc,XLOOKUP($D966,'Move Editor'!$B:$B,'Move Editor'!$F:$F,100),atk,IF(cat="Physical",FLOOR((FLOOR(((2*XLOOKUP(XLOOKUP($Q966,'Threshold Summary'!$Y:$Y,'Threshold Summary'!$K:$K,""),'Pokemon Editor'!$A:$A,'Pokemon Editor'!$F:$F,0)+31+FLOOR(XLOOKUP($Q966,'Threshold Summary'!$Y:$Y,'Threshold Summary'!$P:$P,"")/4))*XLOOKUP($Q966,'Threshold Summary'!$Y:$Y,'Threshold Summary'!$L:$L,""))/100)+5)*XLOOKUP(XLOOKUP($Q966,'Threshold Summary'!$Y:$Y,'Threshold Summary'!$M:$M,""),'Nature Editor'!$A:$A,'Nature Editor'!$B:$B,1)),FLOOR((FLOOR(((2*XLOOKUP(XLOOKUP($Q966,'Threshold Summary'!$Y:$Y,'Threshold Summary'!$K:$K,""),'Pokemon Editor'!$A:$A,'Pokemon Editor'!$H:$H,0)+31+FLOOR(XLOOKUP($Q966,'Threshold Summary'!$Y:$Y,'Threshold Summary'!$R:$R,"")/4))*XLOOKUP($Q966,'Threshold Summary'!$Y:$Y,'Threshold Summary'!$L:$L,""))/100)+5)*XLOOKUP(XLOOKUP($Q966,'Threshold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Editor'!$E:$E,1))),stab,IF(OR(mtype=XLOOKUP(XLOOKUP($Q966,'Threshold Summary'!$Y:$Y,'Threshold Summary'!$K:$K,""),'Pokemon Editor'!$A:$A,'Pokemon Editor'!$C:$C,""),mtype=XLOOKUP(XLOOKUP($Q966,'Threshold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Chart'!$B$1:$S$1,0)))),base,IF(OR(cat="Status",pow=0),0,FLOOR(FLOOR(FLOOR((2*XLOOKUP($Q966,'Threshold Summary'!$Y:$Y,'Threshold Summary'!$L:$L,"")/5+2)*pow*atk/def)/50)+2)),modifier,stab*eff,FLOOR(base*modifier)),0)</f>
        <v/>
      </c>
      <c r="L966" s="3">
        <f>IFERROR(LET(mtype,XLOOKUP($D966,'Move Editor'!$B:$B,'Move Editor'!$C:$C,""),cat,XLOOKUP($D966,'Move Editor'!$B:$B,'Move Editor'!$D:$D,""),pow,XLOOKUP($D966,'Move Editor'!$B:$B,'Move Editor'!$E:$E,0),acc,XLOOKUP($D966,'Move Editor'!$B:$B,'Move Editor'!$F:$F,100),atk,IF(cat="Physical",FLOOR((FLOOR(((2*XLOOKUP(XLOOKUP($Q966,'Threshold Summary'!$Y:$Y,'Threshold Summary'!$K:$K,""),'Pokemon Editor'!$A:$A,'Pokemon Editor'!$F:$F,0)+31+FLOOR(XLOOKUP($Q966,'Threshold Summary'!$Y:$Y,'Threshold Summary'!$P:$P,"")/4))*XLOOKUP($Q966,'Threshold Summary'!$Y:$Y,'Threshold Summary'!$L:$L,""))/100)+5)*XLOOKUP(XLOOKUP($Q966,'Threshold Summary'!$Y:$Y,'Threshold Summary'!$M:$M,""),'Nature Editor'!$A:$A,'Nature Editor'!$B:$B,1)),FLOOR((FLOOR(((2*XLOOKUP(XLOOKUP($Q966,'Threshold Summary'!$Y:$Y,'Threshold Summary'!$K:$K,""),'Pokemon Editor'!$A:$A,'Pokemon Editor'!$H:$H,0)+31+FLOOR(XLOOKUP($Q966,'Threshold Summary'!$Y:$Y,'Threshold Summary'!$R:$R,"")/4))*XLOOKUP($Q966,'Threshold Summary'!$Y:$Y,'Threshold Summary'!$L:$L,""))/100)+5)*XLOOKUP(XLOOKUP($Q966,'Threshold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Editor'!$E:$E,1))),stab,IF(OR(mtype=XLOOKUP(XLOOKUP($Q966,'Threshold Summary'!$Y:$Y,'Threshold Summary'!$K:$K,""),'Pokemon Editor'!$A:$A,'Pokemon Editor'!$C:$C,""),mtype=XLOOKUP(XLOOKUP($Q966,'Threshold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Chart'!$B$1:$S$1,0)))),base,IF(OR(cat="Status",pow=0),0,FLOOR(FLOOR(FLOOR((2*XLOOKUP($Q966,'Threshold Summary'!$Y:$Y,'Threshold Summary'!$L:$L,"")/5+2)*pow*atk/def)/50)+2)),modifier,stab*eff,AVERAGE(ARRAYFORMULA(FLOOR(base*modifier*SEQUENCE(16,1,85,1)/100)))),0)</f>
        <v/>
      </c>
      <c r="M966" s="3">
        <f>IFERROR(LET(mtype,XLOOKUP($D966,'Move Editor'!$B:$B,'Move Editor'!$C:$C,""),cat,XLOOKUP($D966,'Move Editor'!$B:$B,'Move Editor'!$D:$D,""),pow,XLOOKUP($D966,'Move Editor'!$B:$B,'Move Editor'!$E:$E,0),acc,XLOOKUP($D966,'Move Editor'!$B:$B,'Move Editor'!$F:$F,100),atk,IF(cat="Physical",FLOOR((FLOOR(((2*XLOOKUP(XLOOKUP($Q966,'Threshold Summary'!$Y:$Y,'Threshold Summary'!$K:$K,""),'Pokemon Editor'!$A:$A,'Pokemon Editor'!$F:$F,0)+31+FLOOR(XLOOKUP($Q966,'Threshold Summary'!$Y:$Y,'Threshold Summary'!$P:$P,"")/4))*XLOOKUP($Q966,'Threshold Summary'!$Y:$Y,'Threshold Summary'!$L:$L,""))/100)+5)*XLOOKUP(XLOOKUP($Q966,'Threshold Summary'!$Y:$Y,'Threshold Summary'!$M:$M,""),'Nature Editor'!$A:$A,'Nature Editor'!$B:$B,1)),FLOOR((FLOOR(((2*XLOOKUP(XLOOKUP($Q966,'Threshold Summary'!$Y:$Y,'Threshold Summary'!$K:$K,""),'Pokemon Editor'!$A:$A,'Pokemon Editor'!$H:$H,0)+31+FLOOR(XLOOKUP($Q966,'Threshold Summary'!$Y:$Y,'Threshold Summary'!$R:$R,"")/4))*XLOOKUP($Q966,'Threshold Summary'!$Y:$Y,'Threshold Summary'!$L:$L,""))/100)+5)*XLOOKUP(XLOOKUP($Q966,'Threshold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Editor'!$E:$E,1))),stab,IF(OR(mtype=XLOOKUP(XLOOKUP($Q966,'Threshold Summary'!$Y:$Y,'Threshold Summary'!$K:$K,""),'Pokemon Editor'!$A:$A,'Pokemon Editor'!$C:$C,""),mtype=XLOOKUP(XLOOKUP($Q966,'Threshold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Chart'!$B$1:$S$1,0)))),base,IF(OR(cat="Status",pow=0),0,FLOOR(FLOOR(FLOOR((2*XLOOKUP($Q966,'Threshold Summary'!$Y:$Y,'Threshold Summary'!$L:$L,"")/5+2)*pow*atk/def)/50)+2)),modifier,stab*eff,AVERAGE(ARRAYFORMULA(FLOOR(base*modifier*SEQUENCE(16,1,85,1)/100)))*MIN(1,acc/100)),0)</f>
        <v/>
      </c>
      <c r="N966" s="4">
        <f>IFERROR(LET(mtype,XLOOKUP($D966,'Move Editor'!$B:$B,'Move Editor'!$C:$C,""),cat,XLOOKUP($D966,'Move Editor'!$B:$B,'Move Editor'!$D:$D,""),pow,XLOOKUP($D966,'Move Editor'!$B:$B,'Move Editor'!$E:$E,0),acc,XLOOKUP($D966,'Move Editor'!$B:$B,'Move Editor'!$F:$F,100),atk,IF(cat="Physical",FLOOR((FLOOR(((2*XLOOKUP(XLOOKUP($Q966,'Threshold Summary'!$Y:$Y,'Threshold Summary'!$K:$K,""),'Pokemon Editor'!$A:$A,'Pokemon Editor'!$F:$F,0)+31+FLOOR(XLOOKUP($Q966,'Threshold Summary'!$Y:$Y,'Threshold Summary'!$P:$P,"")/4))*XLOOKUP($Q966,'Threshold Summary'!$Y:$Y,'Threshold Summary'!$L:$L,""))/100)+5)*XLOOKUP(XLOOKUP($Q966,'Threshold Summary'!$Y:$Y,'Threshold Summary'!$M:$M,""),'Nature Editor'!$A:$A,'Nature Editor'!$B:$B,1)),FLOOR((FLOOR(((2*XLOOKUP(XLOOKUP($Q966,'Threshold Summary'!$Y:$Y,'Threshold Summary'!$K:$K,""),'Pokemon Editor'!$A:$A,'Pokemon Editor'!$H:$H,0)+31+FLOOR(XLOOKUP($Q966,'Threshold Summary'!$Y:$Y,'Threshold Summary'!$R:$R,"")/4))*XLOOKUP($Q966,'Threshold Summary'!$Y:$Y,'Threshold Summary'!$L:$L,""))/100)+5)*XLOOKUP(XLOOKUP($Q966,'Threshold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Editor'!$E:$E,1))),stab,IF(OR(mtype=XLOOKUP(XLOOKUP($Q966,'Threshold Summary'!$Y:$Y,'Threshold Summary'!$K:$K,""),'Pokemon Editor'!$A:$A,'Pokemon Editor'!$C:$C,""),mtype=XLOOKUP(XLOOKUP($Q966,'Threshold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Chart'!$B$1:$S$1,0)))),base,IF(OR(cat="Status",pow=0),0,FLOOR(FLOOR(FLOOR((2*XLOOKUP($Q966,'Threshold Summary'!$Y:$Y,'Threshold Summary'!$L:$L,"")/5+2)*pow*atk/def)/50)+2)),modifier,stab*eff,AVERAGE(ARRAYFORMULA(FLOOR(base*modifier*SEQUENCE(16,1,85,1)/100)))/(FLOOR(((2*XLOOKUP('Boss Editor'!$C$4,'Pokemon Editor'!$A:$A,'Pokemon Editor'!$E:$E,0)+31+FLOOR('Boss Editor'!$G$4/4))*'Boss Editor'!$D$4)/100)+'Boss Editor'!$D$4+10)),0)</f>
        <v/>
      </c>
      <c r="O966" s="3">
        <f>IF(N966&gt;=1,"OHKO",IF(N966&gt;=0.5,"2HKO",IF(N966&gt;=0.333,"3HKO",IF(N966&gt;=0.25,"4HKO","5HKO+"))))</f>
        <v/>
      </c>
      <c r="P966" s="3" t="inlineStr">
        <is>
          <t>Live from editable databases</t>
        </is>
      </c>
      <c r="Q966" s="3" t="inlineStr">
        <is>
          <t>SPECIES_WATTREL</t>
        </is>
      </c>
      <c r="R966" s="3" t="n">
        <v>5</v>
      </c>
    </row>
    <row r="967">
      <c r="A967" s="3">
        <f>XLOOKUP($Q967,'Threshold Summary'!$Y:$Y,'Threshold Summary'!$A:$A,"")</f>
        <v/>
      </c>
      <c r="B967" s="3">
        <f>XLOOKUP($Q967,'Threshold Summary'!$Y:$Y,'Threshold Summary'!$M:$M,"")</f>
        <v/>
      </c>
      <c r="C967" s="3">
        <f>XLOOKUP($Q967,'Threshold Summary'!$Y:$Y,'Threshold Summary'!$N:$N,"")</f>
        <v/>
      </c>
      <c r="D967" s="3">
        <f>IFERROR(INDEX(FILTER('Learnset Editor'!$D$2:$D,'Learnset Editor'!$A$2:$A=XLOOKUP($Q967,'Threshold Summary'!$Y:$Y,'Threshold Summary'!$K:$K,""),'Learnset Editor'!$C$2:$C&lt;=XLOOKUP($Q967,'Threshold Summary'!$Y:$Y,'Threshold Summary'!$L:$L,"")),$R967),"")</f>
        <v/>
      </c>
      <c r="E967" s="3">
        <f>XLOOKUP(D967,'Move Editor'!$B:$B,'Move Editor'!$C:$C,"")</f>
        <v/>
      </c>
      <c r="F967" s="3">
        <f>XLOOKUP(D967,'Move Editor'!$B:$B,'Move Editor'!$D:$D,"")</f>
        <v/>
      </c>
      <c r="G967" s="3">
        <f>XLOOKUP(D967,'Move Editor'!$B:$B,'Move Editor'!$E:$E,0)</f>
        <v/>
      </c>
      <c r="H967" s="3">
        <f>XLOOKUP(D967,'Move Editor'!$B:$B,'Move Editor'!$F:$F,0)</f>
        <v/>
      </c>
      <c r="I967" s="3">
        <f>(INDEX('Type Chart'!$B:$S,MATCH(E967,'Type Chart'!$A:$A,0),MATCH(XLOOKUP('Boss Editor'!$C$4,'Pokemon Editor'!$A:$A,'Pokemon Editor'!$C:$C,""),'Type Chart'!$B$1:$S$1,0))*IF(XLOOKUP('Boss Editor'!$C$4,'Pokemon Editor'!$A:$A,'Pokemon Editor'!$D:$D,"")="",1,INDEX('Type Chart'!$B:$S,MATCH(E967,'Type Chart'!$A:$A,0),MATCH(XLOOKUP('Boss Editor'!$C$4,'Pokemon Editor'!$A:$A,'Pokemon Editor'!$D:$D,""),'Type Chart'!$B$1:$S$1,0))))</f>
        <v/>
      </c>
      <c r="J967" s="3">
        <f>IFERROR(LET(mtype,XLOOKUP($D967,'Move Editor'!$B:$B,'Move Editor'!$C:$C,""),cat,XLOOKUP($D967,'Move Editor'!$B:$B,'Move Editor'!$D:$D,""),pow,XLOOKUP($D967,'Move Editor'!$B:$B,'Move Editor'!$E:$E,0),acc,XLOOKUP($D967,'Move Editor'!$B:$B,'Move Editor'!$F:$F,100),atk,IF(cat="Physical",FLOOR((FLOOR(((2*XLOOKUP(XLOOKUP($Q967,'Threshold Summary'!$Y:$Y,'Threshold Summary'!$K:$K,""),'Pokemon Editor'!$A:$A,'Pokemon Editor'!$F:$F,0)+31+FLOOR(XLOOKUP($Q967,'Threshold Summary'!$Y:$Y,'Threshold Summary'!$P:$P,"")/4))*XLOOKUP($Q967,'Threshold Summary'!$Y:$Y,'Threshold Summary'!$L:$L,""))/100)+5)*XLOOKUP(XLOOKUP($Q967,'Threshold Summary'!$Y:$Y,'Threshold Summary'!$M:$M,""),'Nature Editor'!$A:$A,'Nature Editor'!$B:$B,1)),FLOOR((FLOOR(((2*XLOOKUP(XLOOKUP($Q967,'Threshold Summary'!$Y:$Y,'Threshold Summary'!$K:$K,""),'Pokemon Editor'!$A:$A,'Pokemon Editor'!$H:$H,0)+31+FLOOR(XLOOKUP($Q967,'Threshold Summary'!$Y:$Y,'Threshold Summary'!$R:$R,"")/4))*XLOOKUP($Q967,'Threshold Summary'!$Y:$Y,'Threshold Summary'!$L:$L,""))/100)+5)*XLOOKUP(XLOOKUP($Q967,'Threshold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Editor'!$E:$E,1))),stab,IF(OR(mtype=XLOOKUP(XLOOKUP($Q967,'Threshold Summary'!$Y:$Y,'Threshold Summary'!$K:$K,""),'Pokemon Editor'!$A:$A,'Pokemon Editor'!$C:$C,""),mtype=XLOOKUP(XLOOKUP($Q967,'Threshold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Chart'!$B$1:$S$1,0)))),base,IF(OR(cat="Status",pow=0),0,FLOOR(FLOOR(FLOOR((2*XLOOKUP($Q967,'Threshold Summary'!$Y:$Y,'Threshold Summary'!$L:$L,"")/5+2)*pow*atk/def)/50)+2)),modifier,stab*eff,FLOOR(base*modifier*0.85)),0)</f>
        <v/>
      </c>
      <c r="K967" s="3">
        <f>IFERROR(LET(mtype,XLOOKUP($D967,'Move Editor'!$B:$B,'Move Editor'!$C:$C,""),cat,XLOOKUP($D967,'Move Editor'!$B:$B,'Move Editor'!$D:$D,""),pow,XLOOKUP($D967,'Move Editor'!$B:$B,'Move Editor'!$E:$E,0),acc,XLOOKUP($D967,'Move Editor'!$B:$B,'Move Editor'!$F:$F,100),atk,IF(cat="Physical",FLOOR((FLOOR(((2*XLOOKUP(XLOOKUP($Q967,'Threshold Summary'!$Y:$Y,'Threshold Summary'!$K:$K,""),'Pokemon Editor'!$A:$A,'Pokemon Editor'!$F:$F,0)+31+FLOOR(XLOOKUP($Q967,'Threshold Summary'!$Y:$Y,'Threshold Summary'!$P:$P,"")/4))*XLOOKUP($Q967,'Threshold Summary'!$Y:$Y,'Threshold Summary'!$L:$L,""))/100)+5)*XLOOKUP(XLOOKUP($Q967,'Threshold Summary'!$Y:$Y,'Threshold Summary'!$M:$M,""),'Nature Editor'!$A:$A,'Nature Editor'!$B:$B,1)),FLOOR((FLOOR(((2*XLOOKUP(XLOOKUP($Q967,'Threshold Summary'!$Y:$Y,'Threshold Summary'!$K:$K,""),'Pokemon Editor'!$A:$A,'Pokemon Editor'!$H:$H,0)+31+FLOOR(XLOOKUP($Q967,'Threshold Summary'!$Y:$Y,'Threshold Summary'!$R:$R,"")/4))*XLOOKUP($Q967,'Threshold Summary'!$Y:$Y,'Threshold Summary'!$L:$L,""))/100)+5)*XLOOKUP(XLOOKUP($Q967,'Threshold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Editor'!$E:$E,1))),stab,IF(OR(mtype=XLOOKUP(XLOOKUP($Q967,'Threshold Summary'!$Y:$Y,'Threshold Summary'!$K:$K,""),'Pokemon Editor'!$A:$A,'Pokemon Editor'!$C:$C,""),mtype=XLOOKUP(XLOOKUP($Q967,'Threshold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Chart'!$B$1:$S$1,0)))),base,IF(OR(cat="Status",pow=0),0,FLOOR(FLOOR(FLOOR((2*XLOOKUP($Q967,'Threshold Summary'!$Y:$Y,'Threshold Summary'!$L:$L,"")/5+2)*pow*atk/def)/50)+2)),modifier,stab*eff,FLOOR(base*modifier)),0)</f>
        <v/>
      </c>
      <c r="L967" s="3">
        <f>IFERROR(LET(mtype,XLOOKUP($D967,'Move Editor'!$B:$B,'Move Editor'!$C:$C,""),cat,XLOOKUP($D967,'Move Editor'!$B:$B,'Move Editor'!$D:$D,""),pow,XLOOKUP($D967,'Move Editor'!$B:$B,'Move Editor'!$E:$E,0),acc,XLOOKUP($D967,'Move Editor'!$B:$B,'Move Editor'!$F:$F,100),atk,IF(cat="Physical",FLOOR((FLOOR(((2*XLOOKUP(XLOOKUP($Q967,'Threshold Summary'!$Y:$Y,'Threshold Summary'!$K:$K,""),'Pokemon Editor'!$A:$A,'Pokemon Editor'!$F:$F,0)+31+FLOOR(XLOOKUP($Q967,'Threshold Summary'!$Y:$Y,'Threshold Summary'!$P:$P,"")/4))*XLOOKUP($Q967,'Threshold Summary'!$Y:$Y,'Threshold Summary'!$L:$L,""))/100)+5)*XLOOKUP(XLOOKUP($Q967,'Threshold Summary'!$Y:$Y,'Threshold Summary'!$M:$M,""),'Nature Editor'!$A:$A,'Nature Editor'!$B:$B,1)),FLOOR((FLOOR(((2*XLOOKUP(XLOOKUP($Q967,'Threshold Summary'!$Y:$Y,'Threshold Summary'!$K:$K,""),'Pokemon Editor'!$A:$A,'Pokemon Editor'!$H:$H,0)+31+FLOOR(XLOOKUP($Q967,'Threshold Summary'!$Y:$Y,'Threshold Summary'!$R:$R,"")/4))*XLOOKUP($Q967,'Threshold Summary'!$Y:$Y,'Threshold Summary'!$L:$L,""))/100)+5)*XLOOKUP(XLOOKUP($Q967,'Threshold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Editor'!$E:$E,1))),stab,IF(OR(mtype=XLOOKUP(XLOOKUP($Q967,'Threshold Summary'!$Y:$Y,'Threshold Summary'!$K:$K,""),'Pokemon Editor'!$A:$A,'Pokemon Editor'!$C:$C,""),mtype=XLOOKUP(XLOOKUP($Q967,'Threshold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Chart'!$B$1:$S$1,0)))),base,IF(OR(cat="Status",pow=0),0,FLOOR(FLOOR(FLOOR((2*XLOOKUP($Q967,'Threshold Summary'!$Y:$Y,'Threshold Summary'!$L:$L,"")/5+2)*pow*atk/def)/50)+2)),modifier,stab*eff,AVERAGE(ARRAYFORMULA(FLOOR(base*modifier*SEQUENCE(16,1,85,1)/100)))),0)</f>
        <v/>
      </c>
      <c r="M967" s="3">
        <f>IFERROR(LET(mtype,XLOOKUP($D967,'Move Editor'!$B:$B,'Move Editor'!$C:$C,""),cat,XLOOKUP($D967,'Move Editor'!$B:$B,'Move Editor'!$D:$D,""),pow,XLOOKUP($D967,'Move Editor'!$B:$B,'Move Editor'!$E:$E,0),acc,XLOOKUP($D967,'Move Editor'!$B:$B,'Move Editor'!$F:$F,100),atk,IF(cat="Physical",FLOOR((FLOOR(((2*XLOOKUP(XLOOKUP($Q967,'Threshold Summary'!$Y:$Y,'Threshold Summary'!$K:$K,""),'Pokemon Editor'!$A:$A,'Pokemon Editor'!$F:$F,0)+31+FLOOR(XLOOKUP($Q967,'Threshold Summary'!$Y:$Y,'Threshold Summary'!$P:$P,"")/4))*XLOOKUP($Q967,'Threshold Summary'!$Y:$Y,'Threshold Summary'!$L:$L,""))/100)+5)*XLOOKUP(XLOOKUP($Q967,'Threshold Summary'!$Y:$Y,'Threshold Summary'!$M:$M,""),'Nature Editor'!$A:$A,'Nature Editor'!$B:$B,1)),FLOOR((FLOOR(((2*XLOOKUP(XLOOKUP($Q967,'Threshold Summary'!$Y:$Y,'Threshold Summary'!$K:$K,""),'Pokemon Editor'!$A:$A,'Pokemon Editor'!$H:$H,0)+31+FLOOR(XLOOKUP($Q967,'Threshold Summary'!$Y:$Y,'Threshold Summary'!$R:$R,"")/4))*XLOOKUP($Q967,'Threshold Summary'!$Y:$Y,'Threshold Summary'!$L:$L,""))/100)+5)*XLOOKUP(XLOOKUP($Q967,'Threshold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Editor'!$E:$E,1))),stab,IF(OR(mtype=XLOOKUP(XLOOKUP($Q967,'Threshold Summary'!$Y:$Y,'Threshold Summary'!$K:$K,""),'Pokemon Editor'!$A:$A,'Pokemon Editor'!$C:$C,""),mtype=XLOOKUP(XLOOKUP($Q967,'Threshold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Chart'!$B$1:$S$1,0)))),base,IF(OR(cat="Status",pow=0),0,FLOOR(FLOOR(FLOOR((2*XLOOKUP($Q967,'Threshold Summary'!$Y:$Y,'Threshold Summary'!$L:$L,"")/5+2)*pow*atk/def)/50)+2)),modifier,stab*eff,AVERAGE(ARRAYFORMULA(FLOOR(base*modifier*SEQUENCE(16,1,85,1)/100)))*MIN(1,acc/100)),0)</f>
        <v/>
      </c>
      <c r="N967" s="4">
        <f>IFERROR(LET(mtype,XLOOKUP($D967,'Move Editor'!$B:$B,'Move Editor'!$C:$C,""),cat,XLOOKUP($D967,'Move Editor'!$B:$B,'Move Editor'!$D:$D,""),pow,XLOOKUP($D967,'Move Editor'!$B:$B,'Move Editor'!$E:$E,0),acc,XLOOKUP($D967,'Move Editor'!$B:$B,'Move Editor'!$F:$F,100),atk,IF(cat="Physical",FLOOR((FLOOR(((2*XLOOKUP(XLOOKUP($Q967,'Threshold Summary'!$Y:$Y,'Threshold Summary'!$K:$K,""),'Pokemon Editor'!$A:$A,'Pokemon Editor'!$F:$F,0)+31+FLOOR(XLOOKUP($Q967,'Threshold Summary'!$Y:$Y,'Threshold Summary'!$P:$P,"")/4))*XLOOKUP($Q967,'Threshold Summary'!$Y:$Y,'Threshold Summary'!$L:$L,""))/100)+5)*XLOOKUP(XLOOKUP($Q967,'Threshold Summary'!$Y:$Y,'Threshold Summary'!$M:$M,""),'Nature Editor'!$A:$A,'Nature Editor'!$B:$B,1)),FLOOR((FLOOR(((2*XLOOKUP(XLOOKUP($Q967,'Threshold Summary'!$Y:$Y,'Threshold Summary'!$K:$K,""),'Pokemon Editor'!$A:$A,'Pokemon Editor'!$H:$H,0)+31+FLOOR(XLOOKUP($Q967,'Threshold Summary'!$Y:$Y,'Threshold Summary'!$R:$R,"")/4))*XLOOKUP($Q967,'Threshold Summary'!$Y:$Y,'Threshold Summary'!$L:$L,""))/100)+5)*XLOOKUP(XLOOKUP($Q967,'Threshold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Editor'!$E:$E,1))),stab,IF(OR(mtype=XLOOKUP(XLOOKUP($Q967,'Threshold Summary'!$Y:$Y,'Threshold Summary'!$K:$K,""),'Pokemon Editor'!$A:$A,'Pokemon Editor'!$C:$C,""),mtype=XLOOKUP(XLOOKUP($Q967,'Threshold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Chart'!$B$1:$S$1,0)))),base,IF(OR(cat="Status",pow=0),0,FLOOR(FLOOR(FLOOR((2*XLOOKUP($Q967,'Threshold Summary'!$Y:$Y,'Threshold Summary'!$L:$L,"")/5+2)*pow*atk/def)/50)+2)),modifier,stab*eff,AVERAGE(ARRAYFORMULA(FLOOR(base*modifier*SEQUENCE(16,1,85,1)/100)))/(FLOOR(((2*XLOOKUP('Boss Editor'!$C$4,'Pokemon Editor'!$A:$A,'Pokemon Editor'!$E:$E,0)+31+FLOOR('Boss Editor'!$G$4/4))*'Boss Editor'!$D$4)/100)+'Boss Editor'!$D$4+10)),0)</f>
        <v/>
      </c>
      <c r="O967" s="3">
        <f>IF(N967&gt;=1,"OHKO",IF(N967&gt;=0.5,"2HKO",IF(N967&gt;=0.333,"3HKO",IF(N967&gt;=0.25,"4HKO","5HKO+"))))</f>
        <v/>
      </c>
      <c r="P967" s="3" t="inlineStr">
        <is>
          <t>Live from editable databases</t>
        </is>
      </c>
      <c r="Q967" s="3" t="inlineStr">
        <is>
          <t>SPECIES_WATTREL</t>
        </is>
      </c>
      <c r="R967" s="3" t="n">
        <v>6</v>
      </c>
    </row>
    <row r="968">
      <c r="A968" s="3">
        <f>XLOOKUP($Q968,'Threshold Summary'!$Y:$Y,'Threshold Summary'!$A:$A,"")</f>
        <v/>
      </c>
      <c r="B968" s="3">
        <f>XLOOKUP($Q968,'Threshold Summary'!$Y:$Y,'Threshold Summary'!$M:$M,"")</f>
        <v/>
      </c>
      <c r="C968" s="3">
        <f>XLOOKUP($Q968,'Threshold Summary'!$Y:$Y,'Threshold Summary'!$N:$N,"")</f>
        <v/>
      </c>
      <c r="D968" s="3">
        <f>IFERROR(INDEX(FILTER('Learnset Editor'!$D$2:$D,'Learnset Editor'!$A$2:$A=XLOOKUP($Q968,'Threshold Summary'!$Y:$Y,'Threshold Summary'!$K:$K,""),'Learnset Editor'!$C$2:$C&lt;=XLOOKUP($Q968,'Threshold Summary'!$Y:$Y,'Threshold Summary'!$L:$L,"")),$R968),"")</f>
        <v/>
      </c>
      <c r="E968" s="3">
        <f>XLOOKUP(D968,'Move Editor'!$B:$B,'Move Editor'!$C:$C,"")</f>
        <v/>
      </c>
      <c r="F968" s="3">
        <f>XLOOKUP(D968,'Move Editor'!$B:$B,'Move Editor'!$D:$D,"")</f>
        <v/>
      </c>
      <c r="G968" s="3">
        <f>XLOOKUP(D968,'Move Editor'!$B:$B,'Move Editor'!$E:$E,0)</f>
        <v/>
      </c>
      <c r="H968" s="3">
        <f>XLOOKUP(D968,'Move Editor'!$B:$B,'Move Editor'!$F:$F,0)</f>
        <v/>
      </c>
      <c r="I968" s="3">
        <f>(INDEX('Type Chart'!$B:$S,MATCH(E968,'Type Chart'!$A:$A,0),MATCH(XLOOKUP('Boss Editor'!$C$4,'Pokemon Editor'!$A:$A,'Pokemon Editor'!$C:$C,""),'Type Chart'!$B$1:$S$1,0))*IF(XLOOKUP('Boss Editor'!$C$4,'Pokemon Editor'!$A:$A,'Pokemon Editor'!$D:$D,"")="",1,INDEX('Type Chart'!$B:$S,MATCH(E968,'Type Chart'!$A:$A,0),MATCH(XLOOKUP('Boss Editor'!$C$4,'Pokemon Editor'!$A:$A,'Pokemon Editor'!$D:$D,""),'Type Chart'!$B$1:$S$1,0))))</f>
        <v/>
      </c>
      <c r="J968" s="3">
        <f>IFERROR(LET(mtype,XLOOKUP($D968,'Move Editor'!$B:$B,'Move Editor'!$C:$C,""),cat,XLOOKUP($D968,'Move Editor'!$B:$B,'Move Editor'!$D:$D,""),pow,XLOOKUP($D968,'Move Editor'!$B:$B,'Move Editor'!$E:$E,0),acc,XLOOKUP($D968,'Move Editor'!$B:$B,'Move Editor'!$F:$F,100),atk,IF(cat="Physical",FLOOR((FLOOR(((2*XLOOKUP(XLOOKUP($Q968,'Threshold Summary'!$Y:$Y,'Threshold Summary'!$K:$K,""),'Pokemon Editor'!$A:$A,'Pokemon Editor'!$F:$F,0)+31+FLOOR(XLOOKUP($Q968,'Threshold Summary'!$Y:$Y,'Threshold Summary'!$P:$P,"")/4))*XLOOKUP($Q968,'Threshold Summary'!$Y:$Y,'Threshold Summary'!$L:$L,""))/100)+5)*XLOOKUP(XLOOKUP($Q968,'Threshold Summary'!$Y:$Y,'Threshold Summary'!$M:$M,""),'Nature Editor'!$A:$A,'Nature Editor'!$B:$B,1)),FLOOR((FLOOR(((2*XLOOKUP(XLOOKUP($Q968,'Threshold Summary'!$Y:$Y,'Threshold Summary'!$K:$K,""),'Pokemon Editor'!$A:$A,'Pokemon Editor'!$H:$H,0)+31+FLOOR(XLOOKUP($Q968,'Threshold Summary'!$Y:$Y,'Threshold Summary'!$R:$R,"")/4))*XLOOKUP($Q968,'Threshold Summary'!$Y:$Y,'Threshold Summary'!$L:$L,""))/100)+5)*XLOOKUP(XLOOKUP($Q968,'Threshold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Editor'!$E:$E,1))),stab,IF(OR(mtype=XLOOKUP(XLOOKUP($Q968,'Threshold Summary'!$Y:$Y,'Threshold Summary'!$K:$K,""),'Pokemon Editor'!$A:$A,'Pokemon Editor'!$C:$C,""),mtype=XLOOKUP(XLOOKUP($Q968,'Threshold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Chart'!$B$1:$S$1,0)))),base,IF(OR(cat="Status",pow=0),0,FLOOR(FLOOR(FLOOR((2*XLOOKUP($Q968,'Threshold Summary'!$Y:$Y,'Threshold Summary'!$L:$L,"")/5+2)*pow*atk/def)/50)+2)),modifier,stab*eff,FLOOR(base*modifier*0.85)),0)</f>
        <v/>
      </c>
      <c r="K968" s="3">
        <f>IFERROR(LET(mtype,XLOOKUP($D968,'Move Editor'!$B:$B,'Move Editor'!$C:$C,""),cat,XLOOKUP($D968,'Move Editor'!$B:$B,'Move Editor'!$D:$D,""),pow,XLOOKUP($D968,'Move Editor'!$B:$B,'Move Editor'!$E:$E,0),acc,XLOOKUP($D968,'Move Editor'!$B:$B,'Move Editor'!$F:$F,100),atk,IF(cat="Physical",FLOOR((FLOOR(((2*XLOOKUP(XLOOKUP($Q968,'Threshold Summary'!$Y:$Y,'Threshold Summary'!$K:$K,""),'Pokemon Editor'!$A:$A,'Pokemon Editor'!$F:$F,0)+31+FLOOR(XLOOKUP($Q968,'Threshold Summary'!$Y:$Y,'Threshold Summary'!$P:$P,"")/4))*XLOOKUP($Q968,'Threshold Summary'!$Y:$Y,'Threshold Summary'!$L:$L,""))/100)+5)*XLOOKUP(XLOOKUP($Q968,'Threshold Summary'!$Y:$Y,'Threshold Summary'!$M:$M,""),'Nature Editor'!$A:$A,'Nature Editor'!$B:$B,1)),FLOOR((FLOOR(((2*XLOOKUP(XLOOKUP($Q968,'Threshold Summary'!$Y:$Y,'Threshold Summary'!$K:$K,""),'Pokemon Editor'!$A:$A,'Pokemon Editor'!$H:$H,0)+31+FLOOR(XLOOKUP($Q968,'Threshold Summary'!$Y:$Y,'Threshold Summary'!$R:$R,"")/4))*XLOOKUP($Q968,'Threshold Summary'!$Y:$Y,'Threshold Summary'!$L:$L,""))/100)+5)*XLOOKUP(XLOOKUP($Q968,'Threshold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Editor'!$E:$E,1))),stab,IF(OR(mtype=XLOOKUP(XLOOKUP($Q968,'Threshold Summary'!$Y:$Y,'Threshold Summary'!$K:$K,""),'Pokemon Editor'!$A:$A,'Pokemon Editor'!$C:$C,""),mtype=XLOOKUP(XLOOKUP($Q968,'Threshold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Chart'!$B$1:$S$1,0)))),base,IF(OR(cat="Status",pow=0),0,FLOOR(FLOOR(FLOOR((2*XLOOKUP($Q968,'Threshold Summary'!$Y:$Y,'Threshold Summary'!$L:$L,"")/5+2)*pow*atk/def)/50)+2)),modifier,stab*eff,FLOOR(base*modifier)),0)</f>
        <v/>
      </c>
      <c r="L968" s="3">
        <f>IFERROR(LET(mtype,XLOOKUP($D968,'Move Editor'!$B:$B,'Move Editor'!$C:$C,""),cat,XLOOKUP($D968,'Move Editor'!$B:$B,'Move Editor'!$D:$D,""),pow,XLOOKUP($D968,'Move Editor'!$B:$B,'Move Editor'!$E:$E,0),acc,XLOOKUP($D968,'Move Editor'!$B:$B,'Move Editor'!$F:$F,100),atk,IF(cat="Physical",FLOOR((FLOOR(((2*XLOOKUP(XLOOKUP($Q968,'Threshold Summary'!$Y:$Y,'Threshold Summary'!$K:$K,""),'Pokemon Editor'!$A:$A,'Pokemon Editor'!$F:$F,0)+31+FLOOR(XLOOKUP($Q968,'Threshold Summary'!$Y:$Y,'Threshold Summary'!$P:$P,"")/4))*XLOOKUP($Q968,'Threshold Summary'!$Y:$Y,'Threshold Summary'!$L:$L,""))/100)+5)*XLOOKUP(XLOOKUP($Q968,'Threshold Summary'!$Y:$Y,'Threshold Summary'!$M:$M,""),'Nature Editor'!$A:$A,'Nature Editor'!$B:$B,1)),FLOOR((FLOOR(((2*XLOOKUP(XLOOKUP($Q968,'Threshold Summary'!$Y:$Y,'Threshold Summary'!$K:$K,""),'Pokemon Editor'!$A:$A,'Pokemon Editor'!$H:$H,0)+31+FLOOR(XLOOKUP($Q968,'Threshold Summary'!$Y:$Y,'Threshold Summary'!$R:$R,"")/4))*XLOOKUP($Q968,'Threshold Summary'!$Y:$Y,'Threshold Summary'!$L:$L,""))/100)+5)*XLOOKUP(XLOOKUP($Q968,'Threshold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Editor'!$E:$E,1))),stab,IF(OR(mtype=XLOOKUP(XLOOKUP($Q968,'Threshold Summary'!$Y:$Y,'Threshold Summary'!$K:$K,""),'Pokemon Editor'!$A:$A,'Pokemon Editor'!$C:$C,""),mtype=XLOOKUP(XLOOKUP($Q968,'Threshold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Chart'!$B$1:$S$1,0)))),base,IF(OR(cat="Status",pow=0),0,FLOOR(FLOOR(FLOOR((2*XLOOKUP($Q968,'Threshold Summary'!$Y:$Y,'Threshold Summary'!$L:$L,"")/5+2)*pow*atk/def)/50)+2)),modifier,stab*eff,AVERAGE(ARRAYFORMULA(FLOOR(base*modifier*SEQUENCE(16,1,85,1)/100)))),0)</f>
        <v/>
      </c>
      <c r="M968" s="3">
        <f>IFERROR(LET(mtype,XLOOKUP($D968,'Move Editor'!$B:$B,'Move Editor'!$C:$C,""),cat,XLOOKUP($D968,'Move Editor'!$B:$B,'Move Editor'!$D:$D,""),pow,XLOOKUP($D968,'Move Editor'!$B:$B,'Move Editor'!$E:$E,0),acc,XLOOKUP($D968,'Move Editor'!$B:$B,'Move Editor'!$F:$F,100),atk,IF(cat="Physical",FLOOR((FLOOR(((2*XLOOKUP(XLOOKUP($Q968,'Threshold Summary'!$Y:$Y,'Threshold Summary'!$K:$K,""),'Pokemon Editor'!$A:$A,'Pokemon Editor'!$F:$F,0)+31+FLOOR(XLOOKUP($Q968,'Threshold Summary'!$Y:$Y,'Threshold Summary'!$P:$P,"")/4))*XLOOKUP($Q968,'Threshold Summary'!$Y:$Y,'Threshold Summary'!$L:$L,""))/100)+5)*XLOOKUP(XLOOKUP($Q968,'Threshold Summary'!$Y:$Y,'Threshold Summary'!$M:$M,""),'Nature Editor'!$A:$A,'Nature Editor'!$B:$B,1)),FLOOR((FLOOR(((2*XLOOKUP(XLOOKUP($Q968,'Threshold Summary'!$Y:$Y,'Threshold Summary'!$K:$K,""),'Pokemon Editor'!$A:$A,'Pokemon Editor'!$H:$H,0)+31+FLOOR(XLOOKUP($Q968,'Threshold Summary'!$Y:$Y,'Threshold Summary'!$R:$R,"")/4))*XLOOKUP($Q968,'Threshold Summary'!$Y:$Y,'Threshold Summary'!$L:$L,""))/100)+5)*XLOOKUP(XLOOKUP($Q968,'Threshold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Editor'!$E:$E,1))),stab,IF(OR(mtype=XLOOKUP(XLOOKUP($Q968,'Threshold Summary'!$Y:$Y,'Threshold Summary'!$K:$K,""),'Pokemon Editor'!$A:$A,'Pokemon Editor'!$C:$C,""),mtype=XLOOKUP(XLOOKUP($Q968,'Threshold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Chart'!$B$1:$S$1,0)))),base,IF(OR(cat="Status",pow=0),0,FLOOR(FLOOR(FLOOR((2*XLOOKUP($Q968,'Threshold Summary'!$Y:$Y,'Threshold Summary'!$L:$L,"")/5+2)*pow*atk/def)/50)+2)),modifier,stab*eff,AVERAGE(ARRAYFORMULA(FLOOR(base*modifier*SEQUENCE(16,1,85,1)/100)))*MIN(1,acc/100)),0)</f>
        <v/>
      </c>
      <c r="N968" s="4">
        <f>IFERROR(LET(mtype,XLOOKUP($D968,'Move Editor'!$B:$B,'Move Editor'!$C:$C,""),cat,XLOOKUP($D968,'Move Editor'!$B:$B,'Move Editor'!$D:$D,""),pow,XLOOKUP($D968,'Move Editor'!$B:$B,'Move Editor'!$E:$E,0),acc,XLOOKUP($D968,'Move Editor'!$B:$B,'Move Editor'!$F:$F,100),atk,IF(cat="Physical",FLOOR((FLOOR(((2*XLOOKUP(XLOOKUP($Q968,'Threshold Summary'!$Y:$Y,'Threshold Summary'!$K:$K,""),'Pokemon Editor'!$A:$A,'Pokemon Editor'!$F:$F,0)+31+FLOOR(XLOOKUP($Q968,'Threshold Summary'!$Y:$Y,'Threshold Summary'!$P:$P,"")/4))*XLOOKUP($Q968,'Threshold Summary'!$Y:$Y,'Threshold Summary'!$L:$L,""))/100)+5)*XLOOKUP(XLOOKUP($Q968,'Threshold Summary'!$Y:$Y,'Threshold Summary'!$M:$M,""),'Nature Editor'!$A:$A,'Nature Editor'!$B:$B,1)),FLOOR((FLOOR(((2*XLOOKUP(XLOOKUP($Q968,'Threshold Summary'!$Y:$Y,'Threshold Summary'!$K:$K,""),'Pokemon Editor'!$A:$A,'Pokemon Editor'!$H:$H,0)+31+FLOOR(XLOOKUP($Q968,'Threshold Summary'!$Y:$Y,'Threshold Summary'!$R:$R,"")/4))*XLOOKUP($Q968,'Threshold Summary'!$Y:$Y,'Threshold Summary'!$L:$L,""))/100)+5)*XLOOKUP(XLOOKUP($Q968,'Threshold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Editor'!$E:$E,1))),stab,IF(OR(mtype=XLOOKUP(XLOOKUP($Q968,'Threshold Summary'!$Y:$Y,'Threshold Summary'!$K:$K,""),'Pokemon Editor'!$A:$A,'Pokemon Editor'!$C:$C,""),mtype=XLOOKUP(XLOOKUP($Q968,'Threshold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Chart'!$B$1:$S$1,0)))),base,IF(OR(cat="Status",pow=0),0,FLOOR(FLOOR(FLOOR((2*XLOOKUP($Q968,'Threshold Summary'!$Y:$Y,'Threshold Summary'!$L:$L,"")/5+2)*pow*atk/def)/50)+2)),modifier,stab*eff,AVERAGE(ARRAYFORMULA(FLOOR(base*modifier*SEQUENCE(16,1,85,1)/100)))/(FLOOR(((2*XLOOKUP('Boss Editor'!$C$4,'Pokemon Editor'!$A:$A,'Pokemon Editor'!$E:$E,0)+31+FLOOR('Boss Editor'!$G$4/4))*'Boss Editor'!$D$4)/100)+'Boss Editor'!$D$4+10)),0)</f>
        <v/>
      </c>
      <c r="O968" s="3">
        <f>IF(N968&gt;=1,"OHKO",IF(N968&gt;=0.5,"2HKO",IF(N968&gt;=0.333,"3HKO",IF(N968&gt;=0.25,"4HKO","5HKO+"))))</f>
        <v/>
      </c>
      <c r="P968" s="3" t="inlineStr">
        <is>
          <t>Live from editable databases</t>
        </is>
      </c>
      <c r="Q968" s="3" t="inlineStr">
        <is>
          <t>SPECIES_WATTREL</t>
        </is>
      </c>
      <c r="R968" s="3" t="n">
        <v>7</v>
      </c>
    </row>
    <row r="969">
      <c r="A969" s="3">
        <f>XLOOKUP($Q969,'Threshold Summary'!$Y:$Y,'Threshold Summary'!$A:$A,"")</f>
        <v/>
      </c>
      <c r="B969" s="3">
        <f>XLOOKUP($Q969,'Threshold Summary'!$Y:$Y,'Threshold Summary'!$M:$M,"")</f>
        <v/>
      </c>
      <c r="C969" s="3">
        <f>XLOOKUP($Q969,'Threshold Summary'!$Y:$Y,'Threshold Summary'!$N:$N,"")</f>
        <v/>
      </c>
      <c r="D969" s="3">
        <f>IFERROR(INDEX(FILTER('Learnset Editor'!$D$2:$D,'Learnset Editor'!$A$2:$A=XLOOKUP($Q969,'Threshold Summary'!$Y:$Y,'Threshold Summary'!$K:$K,""),'Learnset Editor'!$C$2:$C&lt;=XLOOKUP($Q969,'Threshold Summary'!$Y:$Y,'Threshold Summary'!$L:$L,"")),$R969),"")</f>
        <v/>
      </c>
      <c r="E969" s="3">
        <f>XLOOKUP(D969,'Move Editor'!$B:$B,'Move Editor'!$C:$C,"")</f>
        <v/>
      </c>
      <c r="F969" s="3">
        <f>XLOOKUP(D969,'Move Editor'!$B:$B,'Move Editor'!$D:$D,"")</f>
        <v/>
      </c>
      <c r="G969" s="3">
        <f>XLOOKUP(D969,'Move Editor'!$B:$B,'Move Editor'!$E:$E,0)</f>
        <v/>
      </c>
      <c r="H969" s="3">
        <f>XLOOKUP(D969,'Move Editor'!$B:$B,'Move Editor'!$F:$F,0)</f>
        <v/>
      </c>
      <c r="I969" s="3">
        <f>(INDEX('Type Chart'!$B:$S,MATCH(E969,'Type Chart'!$A:$A,0),MATCH(XLOOKUP('Boss Editor'!$C$4,'Pokemon Editor'!$A:$A,'Pokemon Editor'!$C:$C,""),'Type Chart'!$B$1:$S$1,0))*IF(XLOOKUP('Boss Editor'!$C$4,'Pokemon Editor'!$A:$A,'Pokemon Editor'!$D:$D,"")="",1,INDEX('Type Chart'!$B:$S,MATCH(E969,'Type Chart'!$A:$A,0),MATCH(XLOOKUP('Boss Editor'!$C$4,'Pokemon Editor'!$A:$A,'Pokemon Editor'!$D:$D,""),'Type Chart'!$B$1:$S$1,0))))</f>
        <v/>
      </c>
      <c r="J969" s="3">
        <f>IFERROR(LET(mtype,XLOOKUP($D969,'Move Editor'!$B:$B,'Move Editor'!$C:$C,""),cat,XLOOKUP($D969,'Move Editor'!$B:$B,'Move Editor'!$D:$D,""),pow,XLOOKUP($D969,'Move Editor'!$B:$B,'Move Editor'!$E:$E,0),acc,XLOOKUP($D969,'Move Editor'!$B:$B,'Move Editor'!$F:$F,100),atk,IF(cat="Physical",FLOOR((FLOOR(((2*XLOOKUP(XLOOKUP($Q969,'Threshold Summary'!$Y:$Y,'Threshold Summary'!$K:$K,""),'Pokemon Editor'!$A:$A,'Pokemon Editor'!$F:$F,0)+31+FLOOR(XLOOKUP($Q969,'Threshold Summary'!$Y:$Y,'Threshold Summary'!$P:$P,"")/4))*XLOOKUP($Q969,'Threshold Summary'!$Y:$Y,'Threshold Summary'!$L:$L,""))/100)+5)*XLOOKUP(XLOOKUP($Q969,'Threshold Summary'!$Y:$Y,'Threshold Summary'!$M:$M,""),'Nature Editor'!$A:$A,'Nature Editor'!$B:$B,1)),FLOOR((FLOOR(((2*XLOOKUP(XLOOKUP($Q969,'Threshold Summary'!$Y:$Y,'Threshold Summary'!$K:$K,""),'Pokemon Editor'!$A:$A,'Pokemon Editor'!$H:$H,0)+31+FLOOR(XLOOKUP($Q969,'Threshold Summary'!$Y:$Y,'Threshold Summary'!$R:$R,"")/4))*XLOOKUP($Q969,'Threshold Summary'!$Y:$Y,'Threshold Summary'!$L:$L,""))/100)+5)*XLOOKUP(XLOOKUP($Q969,'Threshold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Editor'!$E:$E,1))),stab,IF(OR(mtype=XLOOKUP(XLOOKUP($Q969,'Threshold Summary'!$Y:$Y,'Threshold Summary'!$K:$K,""),'Pokemon Editor'!$A:$A,'Pokemon Editor'!$C:$C,""),mtype=XLOOKUP(XLOOKUP($Q969,'Threshold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Chart'!$B$1:$S$1,0)))),base,IF(OR(cat="Status",pow=0),0,FLOOR(FLOOR(FLOOR((2*XLOOKUP($Q969,'Threshold Summary'!$Y:$Y,'Threshold Summary'!$L:$L,"")/5+2)*pow*atk/def)/50)+2)),modifier,stab*eff,FLOOR(base*modifier*0.85)),0)</f>
        <v/>
      </c>
      <c r="K969" s="3">
        <f>IFERROR(LET(mtype,XLOOKUP($D969,'Move Editor'!$B:$B,'Move Editor'!$C:$C,""),cat,XLOOKUP($D969,'Move Editor'!$B:$B,'Move Editor'!$D:$D,""),pow,XLOOKUP($D969,'Move Editor'!$B:$B,'Move Editor'!$E:$E,0),acc,XLOOKUP($D969,'Move Editor'!$B:$B,'Move Editor'!$F:$F,100),atk,IF(cat="Physical",FLOOR((FLOOR(((2*XLOOKUP(XLOOKUP($Q969,'Threshold Summary'!$Y:$Y,'Threshold Summary'!$K:$K,""),'Pokemon Editor'!$A:$A,'Pokemon Editor'!$F:$F,0)+31+FLOOR(XLOOKUP($Q969,'Threshold Summary'!$Y:$Y,'Threshold Summary'!$P:$P,"")/4))*XLOOKUP($Q969,'Threshold Summary'!$Y:$Y,'Threshold Summary'!$L:$L,""))/100)+5)*XLOOKUP(XLOOKUP($Q969,'Threshold Summary'!$Y:$Y,'Threshold Summary'!$M:$M,""),'Nature Editor'!$A:$A,'Nature Editor'!$B:$B,1)),FLOOR((FLOOR(((2*XLOOKUP(XLOOKUP($Q969,'Threshold Summary'!$Y:$Y,'Threshold Summary'!$K:$K,""),'Pokemon Editor'!$A:$A,'Pokemon Editor'!$H:$H,0)+31+FLOOR(XLOOKUP($Q969,'Threshold Summary'!$Y:$Y,'Threshold Summary'!$R:$R,"")/4))*XLOOKUP($Q969,'Threshold Summary'!$Y:$Y,'Threshold Summary'!$L:$L,""))/100)+5)*XLOOKUP(XLOOKUP($Q969,'Threshold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Editor'!$E:$E,1))),stab,IF(OR(mtype=XLOOKUP(XLOOKUP($Q969,'Threshold Summary'!$Y:$Y,'Threshold Summary'!$K:$K,""),'Pokemon Editor'!$A:$A,'Pokemon Editor'!$C:$C,""),mtype=XLOOKUP(XLOOKUP($Q969,'Threshold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Chart'!$B$1:$S$1,0)))),base,IF(OR(cat="Status",pow=0),0,FLOOR(FLOOR(FLOOR((2*XLOOKUP($Q969,'Threshold Summary'!$Y:$Y,'Threshold Summary'!$L:$L,"")/5+2)*pow*atk/def)/50)+2)),modifier,stab*eff,FLOOR(base*modifier)),0)</f>
        <v/>
      </c>
      <c r="L969" s="3">
        <f>IFERROR(LET(mtype,XLOOKUP($D969,'Move Editor'!$B:$B,'Move Editor'!$C:$C,""),cat,XLOOKUP($D969,'Move Editor'!$B:$B,'Move Editor'!$D:$D,""),pow,XLOOKUP($D969,'Move Editor'!$B:$B,'Move Editor'!$E:$E,0),acc,XLOOKUP($D969,'Move Editor'!$B:$B,'Move Editor'!$F:$F,100),atk,IF(cat="Physical",FLOOR((FLOOR(((2*XLOOKUP(XLOOKUP($Q969,'Threshold Summary'!$Y:$Y,'Threshold Summary'!$K:$K,""),'Pokemon Editor'!$A:$A,'Pokemon Editor'!$F:$F,0)+31+FLOOR(XLOOKUP($Q969,'Threshold Summary'!$Y:$Y,'Threshold Summary'!$P:$P,"")/4))*XLOOKUP($Q969,'Threshold Summary'!$Y:$Y,'Threshold Summary'!$L:$L,""))/100)+5)*XLOOKUP(XLOOKUP($Q969,'Threshold Summary'!$Y:$Y,'Threshold Summary'!$M:$M,""),'Nature Editor'!$A:$A,'Nature Editor'!$B:$B,1)),FLOOR((FLOOR(((2*XLOOKUP(XLOOKUP($Q969,'Threshold Summary'!$Y:$Y,'Threshold Summary'!$K:$K,""),'Pokemon Editor'!$A:$A,'Pokemon Editor'!$H:$H,0)+31+FLOOR(XLOOKUP($Q969,'Threshold Summary'!$Y:$Y,'Threshold Summary'!$R:$R,"")/4))*XLOOKUP($Q969,'Threshold Summary'!$Y:$Y,'Threshold Summary'!$L:$L,""))/100)+5)*XLOOKUP(XLOOKUP($Q969,'Threshold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Editor'!$E:$E,1))),stab,IF(OR(mtype=XLOOKUP(XLOOKUP($Q969,'Threshold Summary'!$Y:$Y,'Threshold Summary'!$K:$K,""),'Pokemon Editor'!$A:$A,'Pokemon Editor'!$C:$C,""),mtype=XLOOKUP(XLOOKUP($Q969,'Threshold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Chart'!$B$1:$S$1,0)))),base,IF(OR(cat="Status",pow=0),0,FLOOR(FLOOR(FLOOR((2*XLOOKUP($Q969,'Threshold Summary'!$Y:$Y,'Threshold Summary'!$L:$L,"")/5+2)*pow*atk/def)/50)+2)),modifier,stab*eff,AVERAGE(ARRAYFORMULA(FLOOR(base*modifier*SEQUENCE(16,1,85,1)/100)))),0)</f>
        <v/>
      </c>
      <c r="M969" s="3">
        <f>IFERROR(LET(mtype,XLOOKUP($D969,'Move Editor'!$B:$B,'Move Editor'!$C:$C,""),cat,XLOOKUP($D969,'Move Editor'!$B:$B,'Move Editor'!$D:$D,""),pow,XLOOKUP($D969,'Move Editor'!$B:$B,'Move Editor'!$E:$E,0),acc,XLOOKUP($D969,'Move Editor'!$B:$B,'Move Editor'!$F:$F,100),atk,IF(cat="Physical",FLOOR((FLOOR(((2*XLOOKUP(XLOOKUP($Q969,'Threshold Summary'!$Y:$Y,'Threshold Summary'!$K:$K,""),'Pokemon Editor'!$A:$A,'Pokemon Editor'!$F:$F,0)+31+FLOOR(XLOOKUP($Q969,'Threshold Summary'!$Y:$Y,'Threshold Summary'!$P:$P,"")/4))*XLOOKUP($Q969,'Threshold Summary'!$Y:$Y,'Threshold Summary'!$L:$L,""))/100)+5)*XLOOKUP(XLOOKUP($Q969,'Threshold Summary'!$Y:$Y,'Threshold Summary'!$M:$M,""),'Nature Editor'!$A:$A,'Nature Editor'!$B:$B,1)),FLOOR((FLOOR(((2*XLOOKUP(XLOOKUP($Q969,'Threshold Summary'!$Y:$Y,'Threshold Summary'!$K:$K,""),'Pokemon Editor'!$A:$A,'Pokemon Editor'!$H:$H,0)+31+FLOOR(XLOOKUP($Q969,'Threshold Summary'!$Y:$Y,'Threshold Summary'!$R:$R,"")/4))*XLOOKUP($Q969,'Threshold Summary'!$Y:$Y,'Threshold Summary'!$L:$L,""))/100)+5)*XLOOKUP(XLOOKUP($Q969,'Threshold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Editor'!$E:$E,1))),stab,IF(OR(mtype=XLOOKUP(XLOOKUP($Q969,'Threshold Summary'!$Y:$Y,'Threshold Summary'!$K:$K,""),'Pokemon Editor'!$A:$A,'Pokemon Editor'!$C:$C,""),mtype=XLOOKUP(XLOOKUP($Q969,'Threshold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Chart'!$B$1:$S$1,0)))),base,IF(OR(cat="Status",pow=0),0,FLOOR(FLOOR(FLOOR((2*XLOOKUP($Q969,'Threshold Summary'!$Y:$Y,'Threshold Summary'!$L:$L,"")/5+2)*pow*atk/def)/50)+2)),modifier,stab*eff,AVERAGE(ARRAYFORMULA(FLOOR(base*modifier*SEQUENCE(16,1,85,1)/100)))*MIN(1,acc/100)),0)</f>
        <v/>
      </c>
      <c r="N969" s="4">
        <f>IFERROR(LET(mtype,XLOOKUP($D969,'Move Editor'!$B:$B,'Move Editor'!$C:$C,""),cat,XLOOKUP($D969,'Move Editor'!$B:$B,'Move Editor'!$D:$D,""),pow,XLOOKUP($D969,'Move Editor'!$B:$B,'Move Editor'!$E:$E,0),acc,XLOOKUP($D969,'Move Editor'!$B:$B,'Move Editor'!$F:$F,100),atk,IF(cat="Physical",FLOOR((FLOOR(((2*XLOOKUP(XLOOKUP($Q969,'Threshold Summary'!$Y:$Y,'Threshold Summary'!$K:$K,""),'Pokemon Editor'!$A:$A,'Pokemon Editor'!$F:$F,0)+31+FLOOR(XLOOKUP($Q969,'Threshold Summary'!$Y:$Y,'Threshold Summary'!$P:$P,"")/4))*XLOOKUP($Q969,'Threshold Summary'!$Y:$Y,'Threshold Summary'!$L:$L,""))/100)+5)*XLOOKUP(XLOOKUP($Q969,'Threshold Summary'!$Y:$Y,'Threshold Summary'!$M:$M,""),'Nature Editor'!$A:$A,'Nature Editor'!$B:$B,1)),FLOOR((FLOOR(((2*XLOOKUP(XLOOKUP($Q969,'Threshold Summary'!$Y:$Y,'Threshold Summary'!$K:$K,""),'Pokemon Editor'!$A:$A,'Pokemon Editor'!$H:$H,0)+31+FLOOR(XLOOKUP($Q969,'Threshold Summary'!$Y:$Y,'Threshold Summary'!$R:$R,"")/4))*XLOOKUP($Q969,'Threshold Summary'!$Y:$Y,'Threshold Summary'!$L:$L,""))/100)+5)*XLOOKUP(XLOOKUP($Q969,'Threshold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Editor'!$E:$E,1))),stab,IF(OR(mtype=XLOOKUP(XLOOKUP($Q969,'Threshold Summary'!$Y:$Y,'Threshold Summary'!$K:$K,""),'Pokemon Editor'!$A:$A,'Pokemon Editor'!$C:$C,""),mtype=XLOOKUP(XLOOKUP($Q969,'Threshold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Chart'!$B$1:$S$1,0)))),base,IF(OR(cat="Status",pow=0),0,FLOOR(FLOOR(FLOOR((2*XLOOKUP($Q969,'Threshold Summary'!$Y:$Y,'Threshold Summary'!$L:$L,"")/5+2)*pow*atk/def)/50)+2)),modifier,stab*eff,AVERAGE(ARRAYFORMULA(FLOOR(base*modifier*SEQUENCE(16,1,85,1)/100)))/(FLOOR(((2*XLOOKUP('Boss Editor'!$C$4,'Pokemon Editor'!$A:$A,'Pokemon Editor'!$E:$E,0)+31+FLOOR('Boss Editor'!$G$4/4))*'Boss Editor'!$D$4)/100)+'Boss Editor'!$D$4+10)),0)</f>
        <v/>
      </c>
      <c r="O969" s="3">
        <f>IF(N969&gt;=1,"OHKO",IF(N969&gt;=0.5,"2HKO",IF(N969&gt;=0.333,"3HKO",IF(N969&gt;=0.25,"4HKO","5HKO+"))))</f>
        <v/>
      </c>
      <c r="P969" s="3" t="inlineStr">
        <is>
          <t>Live from editable databases</t>
        </is>
      </c>
      <c r="Q969" s="3" t="inlineStr">
        <is>
          <t>SPECIES_WATTREL</t>
        </is>
      </c>
      <c r="R969" s="3" t="n">
        <v>8</v>
      </c>
    </row>
    <row r="970">
      <c r="A970" s="3">
        <f>XLOOKUP($Q970,'Threshold Summary'!$Y:$Y,'Threshold Summary'!$A:$A,"")</f>
        <v/>
      </c>
      <c r="B970" s="3">
        <f>XLOOKUP($Q970,'Threshold Summary'!$Y:$Y,'Threshold Summary'!$M:$M,"")</f>
        <v/>
      </c>
      <c r="C970" s="3">
        <f>XLOOKUP($Q970,'Threshold Summary'!$Y:$Y,'Threshold Summary'!$N:$N,"")</f>
        <v/>
      </c>
      <c r="D970" s="3">
        <f>IFERROR(INDEX(FILTER('Learnset Editor'!$D$2:$D,'Learnset Editor'!$A$2:$A=XLOOKUP($Q970,'Threshold Summary'!$Y:$Y,'Threshold Summary'!$K:$K,""),'Learnset Editor'!$C$2:$C&lt;=XLOOKUP($Q970,'Threshold Summary'!$Y:$Y,'Threshold Summary'!$L:$L,"")),$R970),"")</f>
        <v/>
      </c>
      <c r="E970" s="3">
        <f>XLOOKUP(D970,'Move Editor'!$B:$B,'Move Editor'!$C:$C,"")</f>
        <v/>
      </c>
      <c r="F970" s="3">
        <f>XLOOKUP(D970,'Move Editor'!$B:$B,'Move Editor'!$D:$D,"")</f>
        <v/>
      </c>
      <c r="G970" s="3">
        <f>XLOOKUP(D970,'Move Editor'!$B:$B,'Move Editor'!$E:$E,0)</f>
        <v/>
      </c>
      <c r="H970" s="3">
        <f>XLOOKUP(D970,'Move Editor'!$B:$B,'Move Editor'!$F:$F,0)</f>
        <v/>
      </c>
      <c r="I970" s="3">
        <f>(INDEX('Type Chart'!$B:$S,MATCH(E970,'Type Chart'!$A:$A,0),MATCH(XLOOKUP('Boss Editor'!$C$4,'Pokemon Editor'!$A:$A,'Pokemon Editor'!$C:$C,""),'Type Chart'!$B$1:$S$1,0))*IF(XLOOKUP('Boss Editor'!$C$4,'Pokemon Editor'!$A:$A,'Pokemon Editor'!$D:$D,"")="",1,INDEX('Type Chart'!$B:$S,MATCH(E970,'Type Chart'!$A:$A,0),MATCH(XLOOKUP('Boss Editor'!$C$4,'Pokemon Editor'!$A:$A,'Pokemon Editor'!$D:$D,""),'Type Chart'!$B$1:$S$1,0))))</f>
        <v/>
      </c>
      <c r="J970" s="3">
        <f>IFERROR(LET(mtype,XLOOKUP($D970,'Move Editor'!$B:$B,'Move Editor'!$C:$C,""),cat,XLOOKUP($D970,'Move Editor'!$B:$B,'Move Editor'!$D:$D,""),pow,XLOOKUP($D970,'Move Editor'!$B:$B,'Move Editor'!$E:$E,0),acc,XLOOKUP($D970,'Move Editor'!$B:$B,'Move Editor'!$F:$F,100),atk,IF(cat="Physical",FLOOR((FLOOR(((2*XLOOKUP(XLOOKUP($Q970,'Threshold Summary'!$Y:$Y,'Threshold Summary'!$K:$K,""),'Pokemon Editor'!$A:$A,'Pokemon Editor'!$F:$F,0)+31+FLOOR(XLOOKUP($Q970,'Threshold Summary'!$Y:$Y,'Threshold Summary'!$P:$P,"")/4))*XLOOKUP($Q970,'Threshold Summary'!$Y:$Y,'Threshold Summary'!$L:$L,""))/100)+5)*XLOOKUP(XLOOKUP($Q970,'Threshold Summary'!$Y:$Y,'Threshold Summary'!$M:$M,""),'Nature Editor'!$A:$A,'Nature Editor'!$B:$B,1)),FLOOR((FLOOR(((2*XLOOKUP(XLOOKUP($Q970,'Threshold Summary'!$Y:$Y,'Threshold Summary'!$K:$K,""),'Pokemon Editor'!$A:$A,'Pokemon Editor'!$H:$H,0)+31+FLOOR(XLOOKUP($Q970,'Threshold Summary'!$Y:$Y,'Threshold Summary'!$R:$R,"")/4))*XLOOKUP($Q970,'Threshold Summary'!$Y:$Y,'Threshold Summary'!$L:$L,""))/100)+5)*XLOOKUP(XLOOKUP($Q970,'Threshold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Editor'!$E:$E,1))),stab,IF(OR(mtype=XLOOKUP(XLOOKUP($Q970,'Threshold Summary'!$Y:$Y,'Threshold Summary'!$K:$K,""),'Pokemon Editor'!$A:$A,'Pokemon Editor'!$C:$C,""),mtype=XLOOKUP(XLOOKUP($Q970,'Threshold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Chart'!$B$1:$S$1,0)))),base,IF(OR(cat="Status",pow=0),0,FLOOR(FLOOR(FLOOR((2*XLOOKUP($Q970,'Threshold Summary'!$Y:$Y,'Threshold Summary'!$L:$L,"")/5+2)*pow*atk/def)/50)+2)),modifier,stab*eff,FLOOR(base*modifier*0.85)),0)</f>
        <v/>
      </c>
      <c r="K970" s="3">
        <f>IFERROR(LET(mtype,XLOOKUP($D970,'Move Editor'!$B:$B,'Move Editor'!$C:$C,""),cat,XLOOKUP($D970,'Move Editor'!$B:$B,'Move Editor'!$D:$D,""),pow,XLOOKUP($D970,'Move Editor'!$B:$B,'Move Editor'!$E:$E,0),acc,XLOOKUP($D970,'Move Editor'!$B:$B,'Move Editor'!$F:$F,100),atk,IF(cat="Physical",FLOOR((FLOOR(((2*XLOOKUP(XLOOKUP($Q970,'Threshold Summary'!$Y:$Y,'Threshold Summary'!$K:$K,""),'Pokemon Editor'!$A:$A,'Pokemon Editor'!$F:$F,0)+31+FLOOR(XLOOKUP($Q970,'Threshold Summary'!$Y:$Y,'Threshold Summary'!$P:$P,"")/4))*XLOOKUP($Q970,'Threshold Summary'!$Y:$Y,'Threshold Summary'!$L:$L,""))/100)+5)*XLOOKUP(XLOOKUP($Q970,'Threshold Summary'!$Y:$Y,'Threshold Summary'!$M:$M,""),'Nature Editor'!$A:$A,'Nature Editor'!$B:$B,1)),FLOOR((FLOOR(((2*XLOOKUP(XLOOKUP($Q970,'Threshold Summary'!$Y:$Y,'Threshold Summary'!$K:$K,""),'Pokemon Editor'!$A:$A,'Pokemon Editor'!$H:$H,0)+31+FLOOR(XLOOKUP($Q970,'Threshold Summary'!$Y:$Y,'Threshold Summary'!$R:$R,"")/4))*XLOOKUP($Q970,'Threshold Summary'!$Y:$Y,'Threshold Summary'!$L:$L,""))/100)+5)*XLOOKUP(XLOOKUP($Q970,'Threshold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Editor'!$E:$E,1))),stab,IF(OR(mtype=XLOOKUP(XLOOKUP($Q970,'Threshold Summary'!$Y:$Y,'Threshold Summary'!$K:$K,""),'Pokemon Editor'!$A:$A,'Pokemon Editor'!$C:$C,""),mtype=XLOOKUP(XLOOKUP($Q970,'Threshold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Chart'!$B$1:$S$1,0)))),base,IF(OR(cat="Status",pow=0),0,FLOOR(FLOOR(FLOOR((2*XLOOKUP($Q970,'Threshold Summary'!$Y:$Y,'Threshold Summary'!$L:$L,"")/5+2)*pow*atk/def)/50)+2)),modifier,stab*eff,FLOOR(base*modifier)),0)</f>
        <v/>
      </c>
      <c r="L970" s="3">
        <f>IFERROR(LET(mtype,XLOOKUP($D970,'Move Editor'!$B:$B,'Move Editor'!$C:$C,""),cat,XLOOKUP($D970,'Move Editor'!$B:$B,'Move Editor'!$D:$D,""),pow,XLOOKUP($D970,'Move Editor'!$B:$B,'Move Editor'!$E:$E,0),acc,XLOOKUP($D970,'Move Editor'!$B:$B,'Move Editor'!$F:$F,100),atk,IF(cat="Physical",FLOOR((FLOOR(((2*XLOOKUP(XLOOKUP($Q970,'Threshold Summary'!$Y:$Y,'Threshold Summary'!$K:$K,""),'Pokemon Editor'!$A:$A,'Pokemon Editor'!$F:$F,0)+31+FLOOR(XLOOKUP($Q970,'Threshold Summary'!$Y:$Y,'Threshold Summary'!$P:$P,"")/4))*XLOOKUP($Q970,'Threshold Summary'!$Y:$Y,'Threshold Summary'!$L:$L,""))/100)+5)*XLOOKUP(XLOOKUP($Q970,'Threshold Summary'!$Y:$Y,'Threshold Summary'!$M:$M,""),'Nature Editor'!$A:$A,'Nature Editor'!$B:$B,1)),FLOOR((FLOOR(((2*XLOOKUP(XLOOKUP($Q970,'Threshold Summary'!$Y:$Y,'Threshold Summary'!$K:$K,""),'Pokemon Editor'!$A:$A,'Pokemon Editor'!$H:$H,0)+31+FLOOR(XLOOKUP($Q970,'Threshold Summary'!$Y:$Y,'Threshold Summary'!$R:$R,"")/4))*XLOOKUP($Q970,'Threshold Summary'!$Y:$Y,'Threshold Summary'!$L:$L,""))/100)+5)*XLOOKUP(XLOOKUP($Q970,'Threshold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Editor'!$E:$E,1))),stab,IF(OR(mtype=XLOOKUP(XLOOKUP($Q970,'Threshold Summary'!$Y:$Y,'Threshold Summary'!$K:$K,""),'Pokemon Editor'!$A:$A,'Pokemon Editor'!$C:$C,""),mtype=XLOOKUP(XLOOKUP($Q970,'Threshold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Chart'!$B$1:$S$1,0)))),base,IF(OR(cat="Status",pow=0),0,FLOOR(FLOOR(FLOOR((2*XLOOKUP($Q970,'Threshold Summary'!$Y:$Y,'Threshold Summary'!$L:$L,"")/5+2)*pow*atk/def)/50)+2)),modifier,stab*eff,AVERAGE(ARRAYFORMULA(FLOOR(base*modifier*SEQUENCE(16,1,85,1)/100)))),0)</f>
        <v/>
      </c>
      <c r="M970" s="3">
        <f>IFERROR(LET(mtype,XLOOKUP($D970,'Move Editor'!$B:$B,'Move Editor'!$C:$C,""),cat,XLOOKUP($D970,'Move Editor'!$B:$B,'Move Editor'!$D:$D,""),pow,XLOOKUP($D970,'Move Editor'!$B:$B,'Move Editor'!$E:$E,0),acc,XLOOKUP($D970,'Move Editor'!$B:$B,'Move Editor'!$F:$F,100),atk,IF(cat="Physical",FLOOR((FLOOR(((2*XLOOKUP(XLOOKUP($Q970,'Threshold Summary'!$Y:$Y,'Threshold Summary'!$K:$K,""),'Pokemon Editor'!$A:$A,'Pokemon Editor'!$F:$F,0)+31+FLOOR(XLOOKUP($Q970,'Threshold Summary'!$Y:$Y,'Threshold Summary'!$P:$P,"")/4))*XLOOKUP($Q970,'Threshold Summary'!$Y:$Y,'Threshold Summary'!$L:$L,""))/100)+5)*XLOOKUP(XLOOKUP($Q970,'Threshold Summary'!$Y:$Y,'Threshold Summary'!$M:$M,""),'Nature Editor'!$A:$A,'Nature Editor'!$B:$B,1)),FLOOR((FLOOR(((2*XLOOKUP(XLOOKUP($Q970,'Threshold Summary'!$Y:$Y,'Threshold Summary'!$K:$K,""),'Pokemon Editor'!$A:$A,'Pokemon Editor'!$H:$H,0)+31+FLOOR(XLOOKUP($Q970,'Threshold Summary'!$Y:$Y,'Threshold Summary'!$R:$R,"")/4))*XLOOKUP($Q970,'Threshold Summary'!$Y:$Y,'Threshold Summary'!$L:$L,""))/100)+5)*XLOOKUP(XLOOKUP($Q970,'Threshold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Editor'!$E:$E,1))),stab,IF(OR(mtype=XLOOKUP(XLOOKUP($Q970,'Threshold Summary'!$Y:$Y,'Threshold Summary'!$K:$K,""),'Pokemon Editor'!$A:$A,'Pokemon Editor'!$C:$C,""),mtype=XLOOKUP(XLOOKUP($Q970,'Threshold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Chart'!$B$1:$S$1,0)))),base,IF(OR(cat="Status",pow=0),0,FLOOR(FLOOR(FLOOR((2*XLOOKUP($Q970,'Threshold Summary'!$Y:$Y,'Threshold Summary'!$L:$L,"")/5+2)*pow*atk/def)/50)+2)),modifier,stab*eff,AVERAGE(ARRAYFORMULA(FLOOR(base*modifier*SEQUENCE(16,1,85,1)/100)))*MIN(1,acc/100)),0)</f>
        <v/>
      </c>
      <c r="N970" s="4">
        <f>IFERROR(LET(mtype,XLOOKUP($D970,'Move Editor'!$B:$B,'Move Editor'!$C:$C,""),cat,XLOOKUP($D970,'Move Editor'!$B:$B,'Move Editor'!$D:$D,""),pow,XLOOKUP($D970,'Move Editor'!$B:$B,'Move Editor'!$E:$E,0),acc,XLOOKUP($D970,'Move Editor'!$B:$B,'Move Editor'!$F:$F,100),atk,IF(cat="Physical",FLOOR((FLOOR(((2*XLOOKUP(XLOOKUP($Q970,'Threshold Summary'!$Y:$Y,'Threshold Summary'!$K:$K,""),'Pokemon Editor'!$A:$A,'Pokemon Editor'!$F:$F,0)+31+FLOOR(XLOOKUP($Q970,'Threshold Summary'!$Y:$Y,'Threshold Summary'!$P:$P,"")/4))*XLOOKUP($Q970,'Threshold Summary'!$Y:$Y,'Threshold Summary'!$L:$L,""))/100)+5)*XLOOKUP(XLOOKUP($Q970,'Threshold Summary'!$Y:$Y,'Threshold Summary'!$M:$M,""),'Nature Editor'!$A:$A,'Nature Editor'!$B:$B,1)),FLOOR((FLOOR(((2*XLOOKUP(XLOOKUP($Q970,'Threshold Summary'!$Y:$Y,'Threshold Summary'!$K:$K,""),'Pokemon Editor'!$A:$A,'Pokemon Editor'!$H:$H,0)+31+FLOOR(XLOOKUP($Q970,'Threshold Summary'!$Y:$Y,'Threshold Summary'!$R:$R,"")/4))*XLOOKUP($Q970,'Threshold Summary'!$Y:$Y,'Threshold Summary'!$L:$L,""))/100)+5)*XLOOKUP(XLOOKUP($Q970,'Threshold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Editor'!$E:$E,1))),stab,IF(OR(mtype=XLOOKUP(XLOOKUP($Q970,'Threshold Summary'!$Y:$Y,'Threshold Summary'!$K:$K,""),'Pokemon Editor'!$A:$A,'Pokemon Editor'!$C:$C,""),mtype=XLOOKUP(XLOOKUP($Q970,'Threshold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Chart'!$B$1:$S$1,0)))),base,IF(OR(cat="Status",pow=0),0,FLOOR(FLOOR(FLOOR((2*XLOOKUP($Q970,'Threshold Summary'!$Y:$Y,'Threshold Summary'!$L:$L,"")/5+2)*pow*atk/def)/50)+2)),modifier,stab*eff,AVERAGE(ARRAYFORMULA(FLOOR(base*modifier*SEQUENCE(16,1,85,1)/100)))/(FLOOR(((2*XLOOKUP('Boss Editor'!$C$4,'Pokemon Editor'!$A:$A,'Pokemon Editor'!$E:$E,0)+31+FLOOR('Boss Editor'!$G$4/4))*'Boss Editor'!$D$4)/100)+'Boss Editor'!$D$4+10)),0)</f>
        <v/>
      </c>
      <c r="O970" s="3">
        <f>IF(N970&gt;=1,"OHKO",IF(N970&gt;=0.5,"2HKO",IF(N970&gt;=0.333,"3HKO",IF(N970&gt;=0.25,"4HKO","5HKO+"))))</f>
        <v/>
      </c>
      <c r="P970" s="3" t="inlineStr">
        <is>
          <t>Live from editable databases</t>
        </is>
      </c>
      <c r="Q970" s="3" t="inlineStr">
        <is>
          <t>SPECIES_WATTREL</t>
        </is>
      </c>
      <c r="R970" s="3" t="n">
        <v>9</v>
      </c>
    </row>
    <row r="971">
      <c r="A971" s="3">
        <f>XLOOKUP($Q971,'Threshold Summary'!$Y:$Y,'Threshold Summary'!$A:$A,"")</f>
        <v/>
      </c>
      <c r="B971" s="3">
        <f>XLOOKUP($Q971,'Threshold Summary'!$Y:$Y,'Threshold Summary'!$M:$M,"")</f>
        <v/>
      </c>
      <c r="C971" s="3">
        <f>XLOOKUP($Q971,'Threshold Summary'!$Y:$Y,'Threshold Summary'!$N:$N,"")</f>
        <v/>
      </c>
      <c r="D971" s="3">
        <f>IFERROR(INDEX(FILTER('Learnset Editor'!$D$2:$D,'Learnset Editor'!$A$2:$A=XLOOKUP($Q971,'Threshold Summary'!$Y:$Y,'Threshold Summary'!$K:$K,""),'Learnset Editor'!$C$2:$C&lt;=XLOOKUP($Q971,'Threshold Summary'!$Y:$Y,'Threshold Summary'!$L:$L,"")),$R971),"")</f>
        <v/>
      </c>
      <c r="E971" s="3">
        <f>XLOOKUP(D971,'Move Editor'!$B:$B,'Move Editor'!$C:$C,"")</f>
        <v/>
      </c>
      <c r="F971" s="3">
        <f>XLOOKUP(D971,'Move Editor'!$B:$B,'Move Editor'!$D:$D,"")</f>
        <v/>
      </c>
      <c r="G971" s="3">
        <f>XLOOKUP(D971,'Move Editor'!$B:$B,'Move Editor'!$E:$E,0)</f>
        <v/>
      </c>
      <c r="H971" s="3">
        <f>XLOOKUP(D971,'Move Editor'!$B:$B,'Move Editor'!$F:$F,0)</f>
        <v/>
      </c>
      <c r="I971" s="3">
        <f>(INDEX('Type Chart'!$B:$S,MATCH(E971,'Type Chart'!$A:$A,0),MATCH(XLOOKUP('Boss Editor'!$C$4,'Pokemon Editor'!$A:$A,'Pokemon Editor'!$C:$C,""),'Type Chart'!$B$1:$S$1,0))*IF(XLOOKUP('Boss Editor'!$C$4,'Pokemon Editor'!$A:$A,'Pokemon Editor'!$D:$D,"")="",1,INDEX('Type Chart'!$B:$S,MATCH(E971,'Type Chart'!$A:$A,0),MATCH(XLOOKUP('Boss Editor'!$C$4,'Pokemon Editor'!$A:$A,'Pokemon Editor'!$D:$D,""),'Type Chart'!$B$1:$S$1,0))))</f>
        <v/>
      </c>
      <c r="J971" s="3">
        <f>IFERROR(LET(mtype,XLOOKUP($D971,'Move Editor'!$B:$B,'Move Editor'!$C:$C,""),cat,XLOOKUP($D971,'Move Editor'!$B:$B,'Move Editor'!$D:$D,""),pow,XLOOKUP($D971,'Move Editor'!$B:$B,'Move Editor'!$E:$E,0),acc,XLOOKUP($D971,'Move Editor'!$B:$B,'Move Editor'!$F:$F,100),atk,IF(cat="Physical",FLOOR((FLOOR(((2*XLOOKUP(XLOOKUP($Q971,'Threshold Summary'!$Y:$Y,'Threshold Summary'!$K:$K,""),'Pokemon Editor'!$A:$A,'Pokemon Editor'!$F:$F,0)+31+FLOOR(XLOOKUP($Q971,'Threshold Summary'!$Y:$Y,'Threshold Summary'!$P:$P,"")/4))*XLOOKUP($Q971,'Threshold Summary'!$Y:$Y,'Threshold Summary'!$L:$L,""))/100)+5)*XLOOKUP(XLOOKUP($Q971,'Threshold Summary'!$Y:$Y,'Threshold Summary'!$M:$M,""),'Nature Editor'!$A:$A,'Nature Editor'!$B:$B,1)),FLOOR((FLOOR(((2*XLOOKUP(XLOOKUP($Q971,'Threshold Summary'!$Y:$Y,'Threshold Summary'!$K:$K,""),'Pokemon Editor'!$A:$A,'Pokemon Editor'!$H:$H,0)+31+FLOOR(XLOOKUP($Q971,'Threshold Summary'!$Y:$Y,'Threshold Summary'!$R:$R,"")/4))*XLOOKUP($Q971,'Threshold Summary'!$Y:$Y,'Threshold Summary'!$L:$L,""))/100)+5)*XLOOKUP(XLOOKUP($Q971,'Threshold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Editor'!$E:$E,1))),stab,IF(OR(mtype=XLOOKUP(XLOOKUP($Q971,'Threshold Summary'!$Y:$Y,'Threshold Summary'!$K:$K,""),'Pokemon Editor'!$A:$A,'Pokemon Editor'!$C:$C,""),mtype=XLOOKUP(XLOOKUP($Q971,'Threshold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Chart'!$B$1:$S$1,0)))),base,IF(OR(cat="Status",pow=0),0,FLOOR(FLOOR(FLOOR((2*XLOOKUP($Q971,'Threshold Summary'!$Y:$Y,'Threshold Summary'!$L:$L,"")/5+2)*pow*atk/def)/50)+2)),modifier,stab*eff,FLOOR(base*modifier*0.85)),0)</f>
        <v/>
      </c>
      <c r="K971" s="3">
        <f>IFERROR(LET(mtype,XLOOKUP($D971,'Move Editor'!$B:$B,'Move Editor'!$C:$C,""),cat,XLOOKUP($D971,'Move Editor'!$B:$B,'Move Editor'!$D:$D,""),pow,XLOOKUP($D971,'Move Editor'!$B:$B,'Move Editor'!$E:$E,0),acc,XLOOKUP($D971,'Move Editor'!$B:$B,'Move Editor'!$F:$F,100),atk,IF(cat="Physical",FLOOR((FLOOR(((2*XLOOKUP(XLOOKUP($Q971,'Threshold Summary'!$Y:$Y,'Threshold Summary'!$K:$K,""),'Pokemon Editor'!$A:$A,'Pokemon Editor'!$F:$F,0)+31+FLOOR(XLOOKUP($Q971,'Threshold Summary'!$Y:$Y,'Threshold Summary'!$P:$P,"")/4))*XLOOKUP($Q971,'Threshold Summary'!$Y:$Y,'Threshold Summary'!$L:$L,""))/100)+5)*XLOOKUP(XLOOKUP($Q971,'Threshold Summary'!$Y:$Y,'Threshold Summary'!$M:$M,""),'Nature Editor'!$A:$A,'Nature Editor'!$B:$B,1)),FLOOR((FLOOR(((2*XLOOKUP(XLOOKUP($Q971,'Threshold Summary'!$Y:$Y,'Threshold Summary'!$K:$K,""),'Pokemon Editor'!$A:$A,'Pokemon Editor'!$H:$H,0)+31+FLOOR(XLOOKUP($Q971,'Threshold Summary'!$Y:$Y,'Threshold Summary'!$R:$R,"")/4))*XLOOKUP($Q971,'Threshold Summary'!$Y:$Y,'Threshold Summary'!$L:$L,""))/100)+5)*XLOOKUP(XLOOKUP($Q971,'Threshold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Editor'!$E:$E,1))),stab,IF(OR(mtype=XLOOKUP(XLOOKUP($Q971,'Threshold Summary'!$Y:$Y,'Threshold Summary'!$K:$K,""),'Pokemon Editor'!$A:$A,'Pokemon Editor'!$C:$C,""),mtype=XLOOKUP(XLOOKUP($Q971,'Threshold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Chart'!$B$1:$S$1,0)))),base,IF(OR(cat="Status",pow=0),0,FLOOR(FLOOR(FLOOR((2*XLOOKUP($Q971,'Threshold Summary'!$Y:$Y,'Threshold Summary'!$L:$L,"")/5+2)*pow*atk/def)/50)+2)),modifier,stab*eff,FLOOR(base*modifier)),0)</f>
        <v/>
      </c>
      <c r="L971" s="3">
        <f>IFERROR(LET(mtype,XLOOKUP($D971,'Move Editor'!$B:$B,'Move Editor'!$C:$C,""),cat,XLOOKUP($D971,'Move Editor'!$B:$B,'Move Editor'!$D:$D,""),pow,XLOOKUP($D971,'Move Editor'!$B:$B,'Move Editor'!$E:$E,0),acc,XLOOKUP($D971,'Move Editor'!$B:$B,'Move Editor'!$F:$F,100),atk,IF(cat="Physical",FLOOR((FLOOR(((2*XLOOKUP(XLOOKUP($Q971,'Threshold Summary'!$Y:$Y,'Threshold Summary'!$K:$K,""),'Pokemon Editor'!$A:$A,'Pokemon Editor'!$F:$F,0)+31+FLOOR(XLOOKUP($Q971,'Threshold Summary'!$Y:$Y,'Threshold Summary'!$P:$P,"")/4))*XLOOKUP($Q971,'Threshold Summary'!$Y:$Y,'Threshold Summary'!$L:$L,""))/100)+5)*XLOOKUP(XLOOKUP($Q971,'Threshold Summary'!$Y:$Y,'Threshold Summary'!$M:$M,""),'Nature Editor'!$A:$A,'Nature Editor'!$B:$B,1)),FLOOR((FLOOR(((2*XLOOKUP(XLOOKUP($Q971,'Threshold Summary'!$Y:$Y,'Threshold Summary'!$K:$K,""),'Pokemon Editor'!$A:$A,'Pokemon Editor'!$H:$H,0)+31+FLOOR(XLOOKUP($Q971,'Threshold Summary'!$Y:$Y,'Threshold Summary'!$R:$R,"")/4))*XLOOKUP($Q971,'Threshold Summary'!$Y:$Y,'Threshold Summary'!$L:$L,""))/100)+5)*XLOOKUP(XLOOKUP($Q971,'Threshold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Editor'!$E:$E,1))),stab,IF(OR(mtype=XLOOKUP(XLOOKUP($Q971,'Threshold Summary'!$Y:$Y,'Threshold Summary'!$K:$K,""),'Pokemon Editor'!$A:$A,'Pokemon Editor'!$C:$C,""),mtype=XLOOKUP(XLOOKUP($Q971,'Threshold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Chart'!$B$1:$S$1,0)))),base,IF(OR(cat="Status",pow=0),0,FLOOR(FLOOR(FLOOR((2*XLOOKUP($Q971,'Threshold Summary'!$Y:$Y,'Threshold Summary'!$L:$L,"")/5+2)*pow*atk/def)/50)+2)),modifier,stab*eff,AVERAGE(ARRAYFORMULA(FLOOR(base*modifier*SEQUENCE(16,1,85,1)/100)))),0)</f>
        <v/>
      </c>
      <c r="M971" s="3">
        <f>IFERROR(LET(mtype,XLOOKUP($D971,'Move Editor'!$B:$B,'Move Editor'!$C:$C,""),cat,XLOOKUP($D971,'Move Editor'!$B:$B,'Move Editor'!$D:$D,""),pow,XLOOKUP($D971,'Move Editor'!$B:$B,'Move Editor'!$E:$E,0),acc,XLOOKUP($D971,'Move Editor'!$B:$B,'Move Editor'!$F:$F,100),atk,IF(cat="Physical",FLOOR((FLOOR(((2*XLOOKUP(XLOOKUP($Q971,'Threshold Summary'!$Y:$Y,'Threshold Summary'!$K:$K,""),'Pokemon Editor'!$A:$A,'Pokemon Editor'!$F:$F,0)+31+FLOOR(XLOOKUP($Q971,'Threshold Summary'!$Y:$Y,'Threshold Summary'!$P:$P,"")/4))*XLOOKUP($Q971,'Threshold Summary'!$Y:$Y,'Threshold Summary'!$L:$L,""))/100)+5)*XLOOKUP(XLOOKUP($Q971,'Threshold Summary'!$Y:$Y,'Threshold Summary'!$M:$M,""),'Nature Editor'!$A:$A,'Nature Editor'!$B:$B,1)),FLOOR((FLOOR(((2*XLOOKUP(XLOOKUP($Q971,'Threshold Summary'!$Y:$Y,'Threshold Summary'!$K:$K,""),'Pokemon Editor'!$A:$A,'Pokemon Editor'!$H:$H,0)+31+FLOOR(XLOOKUP($Q971,'Threshold Summary'!$Y:$Y,'Threshold Summary'!$R:$R,"")/4))*XLOOKUP($Q971,'Threshold Summary'!$Y:$Y,'Threshold Summary'!$L:$L,""))/100)+5)*XLOOKUP(XLOOKUP($Q971,'Threshold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Editor'!$E:$E,1))),stab,IF(OR(mtype=XLOOKUP(XLOOKUP($Q971,'Threshold Summary'!$Y:$Y,'Threshold Summary'!$K:$K,""),'Pokemon Editor'!$A:$A,'Pokemon Editor'!$C:$C,""),mtype=XLOOKUP(XLOOKUP($Q971,'Threshold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Chart'!$B$1:$S$1,0)))),base,IF(OR(cat="Status",pow=0),0,FLOOR(FLOOR(FLOOR((2*XLOOKUP($Q971,'Threshold Summary'!$Y:$Y,'Threshold Summary'!$L:$L,"")/5+2)*pow*atk/def)/50)+2)),modifier,stab*eff,AVERAGE(ARRAYFORMULA(FLOOR(base*modifier*SEQUENCE(16,1,85,1)/100)))*MIN(1,acc/100)),0)</f>
        <v/>
      </c>
      <c r="N971" s="4">
        <f>IFERROR(LET(mtype,XLOOKUP($D971,'Move Editor'!$B:$B,'Move Editor'!$C:$C,""),cat,XLOOKUP($D971,'Move Editor'!$B:$B,'Move Editor'!$D:$D,""),pow,XLOOKUP($D971,'Move Editor'!$B:$B,'Move Editor'!$E:$E,0),acc,XLOOKUP($D971,'Move Editor'!$B:$B,'Move Editor'!$F:$F,100),atk,IF(cat="Physical",FLOOR((FLOOR(((2*XLOOKUP(XLOOKUP($Q971,'Threshold Summary'!$Y:$Y,'Threshold Summary'!$K:$K,""),'Pokemon Editor'!$A:$A,'Pokemon Editor'!$F:$F,0)+31+FLOOR(XLOOKUP($Q971,'Threshold Summary'!$Y:$Y,'Threshold Summary'!$P:$P,"")/4))*XLOOKUP($Q971,'Threshold Summary'!$Y:$Y,'Threshold Summary'!$L:$L,""))/100)+5)*XLOOKUP(XLOOKUP($Q971,'Threshold Summary'!$Y:$Y,'Threshold Summary'!$M:$M,""),'Nature Editor'!$A:$A,'Nature Editor'!$B:$B,1)),FLOOR((FLOOR(((2*XLOOKUP(XLOOKUP($Q971,'Threshold Summary'!$Y:$Y,'Threshold Summary'!$K:$K,""),'Pokemon Editor'!$A:$A,'Pokemon Editor'!$H:$H,0)+31+FLOOR(XLOOKUP($Q971,'Threshold Summary'!$Y:$Y,'Threshold Summary'!$R:$R,"")/4))*XLOOKUP($Q971,'Threshold Summary'!$Y:$Y,'Threshold Summary'!$L:$L,""))/100)+5)*XLOOKUP(XLOOKUP($Q971,'Threshold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Editor'!$E:$E,1))),stab,IF(OR(mtype=XLOOKUP(XLOOKUP($Q971,'Threshold Summary'!$Y:$Y,'Threshold Summary'!$K:$K,""),'Pokemon Editor'!$A:$A,'Pokemon Editor'!$C:$C,""),mtype=XLOOKUP(XLOOKUP($Q971,'Threshold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Chart'!$B$1:$S$1,0)))),base,IF(OR(cat="Status",pow=0),0,FLOOR(FLOOR(FLOOR((2*XLOOKUP($Q971,'Threshold Summary'!$Y:$Y,'Threshold Summary'!$L:$L,"")/5+2)*pow*atk/def)/50)+2)),modifier,stab*eff,AVERAGE(ARRAYFORMULA(FLOOR(base*modifier*SEQUENCE(16,1,85,1)/100)))/(FLOOR(((2*XLOOKUP('Boss Editor'!$C$4,'Pokemon Editor'!$A:$A,'Pokemon Editor'!$E:$E,0)+31+FLOOR('Boss Editor'!$G$4/4))*'Boss Editor'!$D$4)/100)+'Boss Editor'!$D$4+10)),0)</f>
        <v/>
      </c>
      <c r="O971" s="3">
        <f>IF(N971&gt;=1,"OHKO",IF(N971&gt;=0.5,"2HKO",IF(N971&gt;=0.333,"3HKO",IF(N971&gt;=0.25,"4HKO","5HKO+"))))</f>
        <v/>
      </c>
      <c r="P971" s="3" t="inlineStr">
        <is>
          <t>Live from editable databases</t>
        </is>
      </c>
      <c r="Q971" s="3" t="inlineStr">
        <is>
          <t>SPECIES_WATTREL</t>
        </is>
      </c>
      <c r="R971" s="3" t="n">
        <v>10</v>
      </c>
    </row>
    <row r="972">
      <c r="A972" s="3">
        <f>XLOOKUP($Q972,'Threshold Summary'!$Y:$Y,'Threshold Summary'!$A:$A,"")</f>
        <v/>
      </c>
      <c r="B972" s="3">
        <f>XLOOKUP($Q972,'Threshold Summary'!$Y:$Y,'Threshold Summary'!$M:$M,"")</f>
        <v/>
      </c>
      <c r="C972" s="3">
        <f>XLOOKUP($Q972,'Threshold Summary'!$Y:$Y,'Threshold Summary'!$N:$N,"")</f>
        <v/>
      </c>
      <c r="D972" s="3">
        <f>IFERROR(INDEX(FILTER('Learnset Editor'!$D$2:$D,'Learnset Editor'!$A$2:$A=XLOOKUP($Q972,'Threshold Summary'!$Y:$Y,'Threshold Summary'!$K:$K,""),'Learnset Editor'!$C$2:$C&lt;=XLOOKUP($Q972,'Threshold Summary'!$Y:$Y,'Threshold Summary'!$L:$L,"")),$R972),"")</f>
        <v/>
      </c>
      <c r="E972" s="3">
        <f>XLOOKUP(D972,'Move Editor'!$B:$B,'Move Editor'!$C:$C,"")</f>
        <v/>
      </c>
      <c r="F972" s="3">
        <f>XLOOKUP(D972,'Move Editor'!$B:$B,'Move Editor'!$D:$D,"")</f>
        <v/>
      </c>
      <c r="G972" s="3">
        <f>XLOOKUP(D972,'Move Editor'!$B:$B,'Move Editor'!$E:$E,0)</f>
        <v/>
      </c>
      <c r="H972" s="3">
        <f>XLOOKUP(D972,'Move Editor'!$B:$B,'Move Editor'!$F:$F,0)</f>
        <v/>
      </c>
      <c r="I972" s="3">
        <f>(INDEX('Type Chart'!$B:$S,MATCH(E972,'Type Chart'!$A:$A,0),MATCH(XLOOKUP('Boss Editor'!$C$4,'Pokemon Editor'!$A:$A,'Pokemon Editor'!$C:$C,""),'Type Chart'!$B$1:$S$1,0))*IF(XLOOKUP('Boss Editor'!$C$4,'Pokemon Editor'!$A:$A,'Pokemon Editor'!$D:$D,"")="",1,INDEX('Type Chart'!$B:$S,MATCH(E972,'Type Chart'!$A:$A,0),MATCH(XLOOKUP('Boss Editor'!$C$4,'Pokemon Editor'!$A:$A,'Pokemon Editor'!$D:$D,""),'Type Chart'!$B$1:$S$1,0))))</f>
        <v/>
      </c>
      <c r="J972" s="3">
        <f>IFERROR(LET(mtype,XLOOKUP($D972,'Move Editor'!$B:$B,'Move Editor'!$C:$C,""),cat,XLOOKUP($D972,'Move Editor'!$B:$B,'Move Editor'!$D:$D,""),pow,XLOOKUP($D972,'Move Editor'!$B:$B,'Move Editor'!$E:$E,0),acc,XLOOKUP($D972,'Move Editor'!$B:$B,'Move Editor'!$F:$F,100),atk,IF(cat="Physical",FLOOR((FLOOR(((2*XLOOKUP(XLOOKUP($Q972,'Threshold Summary'!$Y:$Y,'Threshold Summary'!$K:$K,""),'Pokemon Editor'!$A:$A,'Pokemon Editor'!$F:$F,0)+31+FLOOR(XLOOKUP($Q972,'Threshold Summary'!$Y:$Y,'Threshold Summary'!$P:$P,"")/4))*XLOOKUP($Q972,'Threshold Summary'!$Y:$Y,'Threshold Summary'!$L:$L,""))/100)+5)*XLOOKUP(XLOOKUP($Q972,'Threshold Summary'!$Y:$Y,'Threshold Summary'!$M:$M,""),'Nature Editor'!$A:$A,'Nature Editor'!$B:$B,1)),FLOOR((FLOOR(((2*XLOOKUP(XLOOKUP($Q972,'Threshold Summary'!$Y:$Y,'Threshold Summary'!$K:$K,""),'Pokemon Editor'!$A:$A,'Pokemon Editor'!$H:$H,0)+31+FLOOR(XLOOKUP($Q972,'Threshold Summary'!$Y:$Y,'Threshold Summary'!$R:$R,"")/4))*XLOOKUP($Q972,'Threshold Summary'!$Y:$Y,'Threshold Summary'!$L:$L,""))/100)+5)*XLOOKUP(XLOOKUP($Q972,'Threshold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Editor'!$E:$E,1))),stab,IF(OR(mtype=XLOOKUP(XLOOKUP($Q972,'Threshold Summary'!$Y:$Y,'Threshold Summary'!$K:$K,""),'Pokemon Editor'!$A:$A,'Pokemon Editor'!$C:$C,""),mtype=XLOOKUP(XLOOKUP($Q972,'Threshold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Chart'!$B$1:$S$1,0)))),base,IF(OR(cat="Status",pow=0),0,FLOOR(FLOOR(FLOOR((2*XLOOKUP($Q972,'Threshold Summary'!$Y:$Y,'Threshold Summary'!$L:$L,"")/5+2)*pow*atk/def)/50)+2)),modifier,stab*eff,FLOOR(base*modifier*0.85)),0)</f>
        <v/>
      </c>
      <c r="K972" s="3">
        <f>IFERROR(LET(mtype,XLOOKUP($D972,'Move Editor'!$B:$B,'Move Editor'!$C:$C,""),cat,XLOOKUP($D972,'Move Editor'!$B:$B,'Move Editor'!$D:$D,""),pow,XLOOKUP($D972,'Move Editor'!$B:$B,'Move Editor'!$E:$E,0),acc,XLOOKUP($D972,'Move Editor'!$B:$B,'Move Editor'!$F:$F,100),atk,IF(cat="Physical",FLOOR((FLOOR(((2*XLOOKUP(XLOOKUP($Q972,'Threshold Summary'!$Y:$Y,'Threshold Summary'!$K:$K,""),'Pokemon Editor'!$A:$A,'Pokemon Editor'!$F:$F,0)+31+FLOOR(XLOOKUP($Q972,'Threshold Summary'!$Y:$Y,'Threshold Summary'!$P:$P,"")/4))*XLOOKUP($Q972,'Threshold Summary'!$Y:$Y,'Threshold Summary'!$L:$L,""))/100)+5)*XLOOKUP(XLOOKUP($Q972,'Threshold Summary'!$Y:$Y,'Threshold Summary'!$M:$M,""),'Nature Editor'!$A:$A,'Nature Editor'!$B:$B,1)),FLOOR((FLOOR(((2*XLOOKUP(XLOOKUP($Q972,'Threshold Summary'!$Y:$Y,'Threshold Summary'!$K:$K,""),'Pokemon Editor'!$A:$A,'Pokemon Editor'!$H:$H,0)+31+FLOOR(XLOOKUP($Q972,'Threshold Summary'!$Y:$Y,'Threshold Summary'!$R:$R,"")/4))*XLOOKUP($Q972,'Threshold Summary'!$Y:$Y,'Threshold Summary'!$L:$L,""))/100)+5)*XLOOKUP(XLOOKUP($Q972,'Threshold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Editor'!$E:$E,1))),stab,IF(OR(mtype=XLOOKUP(XLOOKUP($Q972,'Threshold Summary'!$Y:$Y,'Threshold Summary'!$K:$K,""),'Pokemon Editor'!$A:$A,'Pokemon Editor'!$C:$C,""),mtype=XLOOKUP(XLOOKUP($Q972,'Threshold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Chart'!$B$1:$S$1,0)))),base,IF(OR(cat="Status",pow=0),0,FLOOR(FLOOR(FLOOR((2*XLOOKUP($Q972,'Threshold Summary'!$Y:$Y,'Threshold Summary'!$L:$L,"")/5+2)*pow*atk/def)/50)+2)),modifier,stab*eff,FLOOR(base*modifier)),0)</f>
        <v/>
      </c>
      <c r="L972" s="3">
        <f>IFERROR(LET(mtype,XLOOKUP($D972,'Move Editor'!$B:$B,'Move Editor'!$C:$C,""),cat,XLOOKUP($D972,'Move Editor'!$B:$B,'Move Editor'!$D:$D,""),pow,XLOOKUP($D972,'Move Editor'!$B:$B,'Move Editor'!$E:$E,0),acc,XLOOKUP($D972,'Move Editor'!$B:$B,'Move Editor'!$F:$F,100),atk,IF(cat="Physical",FLOOR((FLOOR(((2*XLOOKUP(XLOOKUP($Q972,'Threshold Summary'!$Y:$Y,'Threshold Summary'!$K:$K,""),'Pokemon Editor'!$A:$A,'Pokemon Editor'!$F:$F,0)+31+FLOOR(XLOOKUP($Q972,'Threshold Summary'!$Y:$Y,'Threshold Summary'!$P:$P,"")/4))*XLOOKUP($Q972,'Threshold Summary'!$Y:$Y,'Threshold Summary'!$L:$L,""))/100)+5)*XLOOKUP(XLOOKUP($Q972,'Threshold Summary'!$Y:$Y,'Threshold Summary'!$M:$M,""),'Nature Editor'!$A:$A,'Nature Editor'!$B:$B,1)),FLOOR((FLOOR(((2*XLOOKUP(XLOOKUP($Q972,'Threshold Summary'!$Y:$Y,'Threshold Summary'!$K:$K,""),'Pokemon Editor'!$A:$A,'Pokemon Editor'!$H:$H,0)+31+FLOOR(XLOOKUP($Q972,'Threshold Summary'!$Y:$Y,'Threshold Summary'!$R:$R,"")/4))*XLOOKUP($Q972,'Threshold Summary'!$Y:$Y,'Threshold Summary'!$L:$L,""))/100)+5)*XLOOKUP(XLOOKUP($Q972,'Threshold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Editor'!$E:$E,1))),stab,IF(OR(mtype=XLOOKUP(XLOOKUP($Q972,'Threshold Summary'!$Y:$Y,'Threshold Summary'!$K:$K,""),'Pokemon Editor'!$A:$A,'Pokemon Editor'!$C:$C,""),mtype=XLOOKUP(XLOOKUP($Q972,'Threshold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Chart'!$B$1:$S$1,0)))),base,IF(OR(cat="Status",pow=0),0,FLOOR(FLOOR(FLOOR((2*XLOOKUP($Q972,'Threshold Summary'!$Y:$Y,'Threshold Summary'!$L:$L,"")/5+2)*pow*atk/def)/50)+2)),modifier,stab*eff,AVERAGE(ARRAYFORMULA(FLOOR(base*modifier*SEQUENCE(16,1,85,1)/100)))),0)</f>
        <v/>
      </c>
      <c r="M972" s="3">
        <f>IFERROR(LET(mtype,XLOOKUP($D972,'Move Editor'!$B:$B,'Move Editor'!$C:$C,""),cat,XLOOKUP($D972,'Move Editor'!$B:$B,'Move Editor'!$D:$D,""),pow,XLOOKUP($D972,'Move Editor'!$B:$B,'Move Editor'!$E:$E,0),acc,XLOOKUP($D972,'Move Editor'!$B:$B,'Move Editor'!$F:$F,100),atk,IF(cat="Physical",FLOOR((FLOOR(((2*XLOOKUP(XLOOKUP($Q972,'Threshold Summary'!$Y:$Y,'Threshold Summary'!$K:$K,""),'Pokemon Editor'!$A:$A,'Pokemon Editor'!$F:$F,0)+31+FLOOR(XLOOKUP($Q972,'Threshold Summary'!$Y:$Y,'Threshold Summary'!$P:$P,"")/4))*XLOOKUP($Q972,'Threshold Summary'!$Y:$Y,'Threshold Summary'!$L:$L,""))/100)+5)*XLOOKUP(XLOOKUP($Q972,'Threshold Summary'!$Y:$Y,'Threshold Summary'!$M:$M,""),'Nature Editor'!$A:$A,'Nature Editor'!$B:$B,1)),FLOOR((FLOOR(((2*XLOOKUP(XLOOKUP($Q972,'Threshold Summary'!$Y:$Y,'Threshold Summary'!$K:$K,""),'Pokemon Editor'!$A:$A,'Pokemon Editor'!$H:$H,0)+31+FLOOR(XLOOKUP($Q972,'Threshold Summary'!$Y:$Y,'Threshold Summary'!$R:$R,"")/4))*XLOOKUP($Q972,'Threshold Summary'!$Y:$Y,'Threshold Summary'!$L:$L,""))/100)+5)*XLOOKUP(XLOOKUP($Q972,'Threshold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Editor'!$E:$E,1))),stab,IF(OR(mtype=XLOOKUP(XLOOKUP($Q972,'Threshold Summary'!$Y:$Y,'Threshold Summary'!$K:$K,""),'Pokemon Editor'!$A:$A,'Pokemon Editor'!$C:$C,""),mtype=XLOOKUP(XLOOKUP($Q972,'Threshold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Chart'!$B$1:$S$1,0)))),base,IF(OR(cat="Status",pow=0),0,FLOOR(FLOOR(FLOOR((2*XLOOKUP($Q972,'Threshold Summary'!$Y:$Y,'Threshold Summary'!$L:$L,"")/5+2)*pow*atk/def)/50)+2)),modifier,stab*eff,AVERAGE(ARRAYFORMULA(FLOOR(base*modifier*SEQUENCE(16,1,85,1)/100)))*MIN(1,acc/100)),0)</f>
        <v/>
      </c>
      <c r="N972" s="4">
        <f>IFERROR(LET(mtype,XLOOKUP($D972,'Move Editor'!$B:$B,'Move Editor'!$C:$C,""),cat,XLOOKUP($D972,'Move Editor'!$B:$B,'Move Editor'!$D:$D,""),pow,XLOOKUP($D972,'Move Editor'!$B:$B,'Move Editor'!$E:$E,0),acc,XLOOKUP($D972,'Move Editor'!$B:$B,'Move Editor'!$F:$F,100),atk,IF(cat="Physical",FLOOR((FLOOR(((2*XLOOKUP(XLOOKUP($Q972,'Threshold Summary'!$Y:$Y,'Threshold Summary'!$K:$K,""),'Pokemon Editor'!$A:$A,'Pokemon Editor'!$F:$F,0)+31+FLOOR(XLOOKUP($Q972,'Threshold Summary'!$Y:$Y,'Threshold Summary'!$P:$P,"")/4))*XLOOKUP($Q972,'Threshold Summary'!$Y:$Y,'Threshold Summary'!$L:$L,""))/100)+5)*XLOOKUP(XLOOKUP($Q972,'Threshold Summary'!$Y:$Y,'Threshold Summary'!$M:$M,""),'Nature Editor'!$A:$A,'Nature Editor'!$B:$B,1)),FLOOR((FLOOR(((2*XLOOKUP(XLOOKUP($Q972,'Threshold Summary'!$Y:$Y,'Threshold Summary'!$K:$K,""),'Pokemon Editor'!$A:$A,'Pokemon Editor'!$H:$H,0)+31+FLOOR(XLOOKUP($Q972,'Threshold Summary'!$Y:$Y,'Threshold Summary'!$R:$R,"")/4))*XLOOKUP($Q972,'Threshold Summary'!$Y:$Y,'Threshold Summary'!$L:$L,""))/100)+5)*XLOOKUP(XLOOKUP($Q972,'Threshold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Editor'!$E:$E,1))),stab,IF(OR(mtype=XLOOKUP(XLOOKUP($Q972,'Threshold Summary'!$Y:$Y,'Threshold Summary'!$K:$K,""),'Pokemon Editor'!$A:$A,'Pokemon Editor'!$C:$C,""),mtype=XLOOKUP(XLOOKUP($Q972,'Threshold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Chart'!$B$1:$S$1,0)))),base,IF(OR(cat="Status",pow=0),0,FLOOR(FLOOR(FLOOR((2*XLOOKUP($Q972,'Threshold Summary'!$Y:$Y,'Threshold Summary'!$L:$L,"")/5+2)*pow*atk/def)/50)+2)),modifier,stab*eff,AVERAGE(ARRAYFORMULA(FLOOR(base*modifier*SEQUENCE(16,1,85,1)/100)))/(FLOOR(((2*XLOOKUP('Boss Editor'!$C$4,'Pokemon Editor'!$A:$A,'Pokemon Editor'!$E:$E,0)+31+FLOOR('Boss Editor'!$G$4/4))*'Boss Editor'!$D$4)/100)+'Boss Editor'!$D$4+10)),0)</f>
        <v/>
      </c>
      <c r="O972" s="3">
        <f>IF(N972&gt;=1,"OHKO",IF(N972&gt;=0.5,"2HKO",IF(N972&gt;=0.333,"3HKO",IF(N972&gt;=0.25,"4HKO","5HKO+"))))</f>
        <v/>
      </c>
      <c r="P972" s="3" t="inlineStr">
        <is>
          <t>Live from editable databases</t>
        </is>
      </c>
      <c r="Q972" s="3" t="inlineStr">
        <is>
          <t>SPECIES_WATTREL</t>
        </is>
      </c>
      <c r="R972" s="3" t="n">
        <v>11</v>
      </c>
    </row>
    <row r="973">
      <c r="A973" s="3">
        <f>XLOOKUP($Q973,'Threshold Summary'!$Y:$Y,'Threshold Summary'!$A:$A,"")</f>
        <v/>
      </c>
      <c r="B973" s="3">
        <f>XLOOKUP($Q973,'Threshold Summary'!$Y:$Y,'Threshold Summary'!$M:$M,"")</f>
        <v/>
      </c>
      <c r="C973" s="3">
        <f>XLOOKUP($Q973,'Threshold Summary'!$Y:$Y,'Threshold Summary'!$N:$N,"")</f>
        <v/>
      </c>
      <c r="D973" s="3">
        <f>IFERROR(INDEX(FILTER('Learnset Editor'!$D$2:$D,'Learnset Editor'!$A$2:$A=XLOOKUP($Q973,'Threshold Summary'!$Y:$Y,'Threshold Summary'!$K:$K,""),'Learnset Editor'!$C$2:$C&lt;=XLOOKUP($Q973,'Threshold Summary'!$Y:$Y,'Threshold Summary'!$L:$L,"")),$R973),"")</f>
        <v/>
      </c>
      <c r="E973" s="3">
        <f>XLOOKUP(D973,'Move Editor'!$B:$B,'Move Editor'!$C:$C,"")</f>
        <v/>
      </c>
      <c r="F973" s="3">
        <f>XLOOKUP(D973,'Move Editor'!$B:$B,'Move Editor'!$D:$D,"")</f>
        <v/>
      </c>
      <c r="G973" s="3">
        <f>XLOOKUP(D973,'Move Editor'!$B:$B,'Move Editor'!$E:$E,0)</f>
        <v/>
      </c>
      <c r="H973" s="3">
        <f>XLOOKUP(D973,'Move Editor'!$B:$B,'Move Editor'!$F:$F,0)</f>
        <v/>
      </c>
      <c r="I973" s="3">
        <f>(INDEX('Type Chart'!$B:$S,MATCH(E973,'Type Chart'!$A:$A,0),MATCH(XLOOKUP('Boss Editor'!$C$4,'Pokemon Editor'!$A:$A,'Pokemon Editor'!$C:$C,""),'Type Chart'!$B$1:$S$1,0))*IF(XLOOKUP('Boss Editor'!$C$4,'Pokemon Editor'!$A:$A,'Pokemon Editor'!$D:$D,"")="",1,INDEX('Type Chart'!$B:$S,MATCH(E973,'Type Chart'!$A:$A,0),MATCH(XLOOKUP('Boss Editor'!$C$4,'Pokemon Editor'!$A:$A,'Pokemon Editor'!$D:$D,""),'Type Chart'!$B$1:$S$1,0))))</f>
        <v/>
      </c>
      <c r="J973" s="3">
        <f>IFERROR(LET(mtype,XLOOKUP($D973,'Move Editor'!$B:$B,'Move Editor'!$C:$C,""),cat,XLOOKUP($D973,'Move Editor'!$B:$B,'Move Editor'!$D:$D,""),pow,XLOOKUP($D973,'Move Editor'!$B:$B,'Move Editor'!$E:$E,0),acc,XLOOKUP($D973,'Move Editor'!$B:$B,'Move Editor'!$F:$F,100),atk,IF(cat="Physical",FLOOR((FLOOR(((2*XLOOKUP(XLOOKUP($Q973,'Threshold Summary'!$Y:$Y,'Threshold Summary'!$K:$K,""),'Pokemon Editor'!$A:$A,'Pokemon Editor'!$F:$F,0)+31+FLOOR(XLOOKUP($Q973,'Threshold Summary'!$Y:$Y,'Threshold Summary'!$P:$P,"")/4))*XLOOKUP($Q973,'Threshold Summary'!$Y:$Y,'Threshold Summary'!$L:$L,""))/100)+5)*XLOOKUP(XLOOKUP($Q973,'Threshold Summary'!$Y:$Y,'Threshold Summary'!$M:$M,""),'Nature Editor'!$A:$A,'Nature Editor'!$B:$B,1)),FLOOR((FLOOR(((2*XLOOKUP(XLOOKUP($Q973,'Threshold Summary'!$Y:$Y,'Threshold Summary'!$K:$K,""),'Pokemon Editor'!$A:$A,'Pokemon Editor'!$H:$H,0)+31+FLOOR(XLOOKUP($Q973,'Threshold Summary'!$Y:$Y,'Threshold Summary'!$R:$R,"")/4))*XLOOKUP($Q973,'Threshold Summary'!$Y:$Y,'Threshold Summary'!$L:$L,""))/100)+5)*XLOOKUP(XLOOKUP($Q973,'Threshold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Editor'!$E:$E,1))),stab,IF(OR(mtype=XLOOKUP(XLOOKUP($Q973,'Threshold Summary'!$Y:$Y,'Threshold Summary'!$K:$K,""),'Pokemon Editor'!$A:$A,'Pokemon Editor'!$C:$C,""),mtype=XLOOKUP(XLOOKUP($Q973,'Threshold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Chart'!$B$1:$S$1,0)))),base,IF(OR(cat="Status",pow=0),0,FLOOR(FLOOR(FLOOR((2*XLOOKUP($Q973,'Threshold Summary'!$Y:$Y,'Threshold Summary'!$L:$L,"")/5+2)*pow*atk/def)/50)+2)),modifier,stab*eff,FLOOR(base*modifier*0.85)),0)</f>
        <v/>
      </c>
      <c r="K973" s="3">
        <f>IFERROR(LET(mtype,XLOOKUP($D973,'Move Editor'!$B:$B,'Move Editor'!$C:$C,""),cat,XLOOKUP($D973,'Move Editor'!$B:$B,'Move Editor'!$D:$D,""),pow,XLOOKUP($D973,'Move Editor'!$B:$B,'Move Editor'!$E:$E,0),acc,XLOOKUP($D973,'Move Editor'!$B:$B,'Move Editor'!$F:$F,100),atk,IF(cat="Physical",FLOOR((FLOOR(((2*XLOOKUP(XLOOKUP($Q973,'Threshold Summary'!$Y:$Y,'Threshold Summary'!$K:$K,""),'Pokemon Editor'!$A:$A,'Pokemon Editor'!$F:$F,0)+31+FLOOR(XLOOKUP($Q973,'Threshold Summary'!$Y:$Y,'Threshold Summary'!$P:$P,"")/4))*XLOOKUP($Q973,'Threshold Summary'!$Y:$Y,'Threshold Summary'!$L:$L,""))/100)+5)*XLOOKUP(XLOOKUP($Q973,'Threshold Summary'!$Y:$Y,'Threshold Summary'!$M:$M,""),'Nature Editor'!$A:$A,'Nature Editor'!$B:$B,1)),FLOOR((FLOOR(((2*XLOOKUP(XLOOKUP($Q973,'Threshold Summary'!$Y:$Y,'Threshold Summary'!$K:$K,""),'Pokemon Editor'!$A:$A,'Pokemon Editor'!$H:$H,0)+31+FLOOR(XLOOKUP($Q973,'Threshold Summary'!$Y:$Y,'Threshold Summary'!$R:$R,"")/4))*XLOOKUP($Q973,'Threshold Summary'!$Y:$Y,'Threshold Summary'!$L:$L,""))/100)+5)*XLOOKUP(XLOOKUP($Q973,'Threshold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Editor'!$E:$E,1))),stab,IF(OR(mtype=XLOOKUP(XLOOKUP($Q973,'Threshold Summary'!$Y:$Y,'Threshold Summary'!$K:$K,""),'Pokemon Editor'!$A:$A,'Pokemon Editor'!$C:$C,""),mtype=XLOOKUP(XLOOKUP($Q973,'Threshold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Chart'!$B$1:$S$1,0)))),base,IF(OR(cat="Status",pow=0),0,FLOOR(FLOOR(FLOOR((2*XLOOKUP($Q973,'Threshold Summary'!$Y:$Y,'Threshold Summary'!$L:$L,"")/5+2)*pow*atk/def)/50)+2)),modifier,stab*eff,FLOOR(base*modifier)),0)</f>
        <v/>
      </c>
      <c r="L973" s="3">
        <f>IFERROR(LET(mtype,XLOOKUP($D973,'Move Editor'!$B:$B,'Move Editor'!$C:$C,""),cat,XLOOKUP($D973,'Move Editor'!$B:$B,'Move Editor'!$D:$D,""),pow,XLOOKUP($D973,'Move Editor'!$B:$B,'Move Editor'!$E:$E,0),acc,XLOOKUP($D973,'Move Editor'!$B:$B,'Move Editor'!$F:$F,100),atk,IF(cat="Physical",FLOOR((FLOOR(((2*XLOOKUP(XLOOKUP($Q973,'Threshold Summary'!$Y:$Y,'Threshold Summary'!$K:$K,""),'Pokemon Editor'!$A:$A,'Pokemon Editor'!$F:$F,0)+31+FLOOR(XLOOKUP($Q973,'Threshold Summary'!$Y:$Y,'Threshold Summary'!$P:$P,"")/4))*XLOOKUP($Q973,'Threshold Summary'!$Y:$Y,'Threshold Summary'!$L:$L,""))/100)+5)*XLOOKUP(XLOOKUP($Q973,'Threshold Summary'!$Y:$Y,'Threshold Summary'!$M:$M,""),'Nature Editor'!$A:$A,'Nature Editor'!$B:$B,1)),FLOOR((FLOOR(((2*XLOOKUP(XLOOKUP($Q973,'Threshold Summary'!$Y:$Y,'Threshold Summary'!$K:$K,""),'Pokemon Editor'!$A:$A,'Pokemon Editor'!$H:$H,0)+31+FLOOR(XLOOKUP($Q973,'Threshold Summary'!$Y:$Y,'Threshold Summary'!$R:$R,"")/4))*XLOOKUP($Q973,'Threshold Summary'!$Y:$Y,'Threshold Summary'!$L:$L,""))/100)+5)*XLOOKUP(XLOOKUP($Q973,'Threshold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Editor'!$E:$E,1))),stab,IF(OR(mtype=XLOOKUP(XLOOKUP($Q973,'Threshold Summary'!$Y:$Y,'Threshold Summary'!$K:$K,""),'Pokemon Editor'!$A:$A,'Pokemon Editor'!$C:$C,""),mtype=XLOOKUP(XLOOKUP($Q973,'Threshold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Chart'!$B$1:$S$1,0)))),base,IF(OR(cat="Status",pow=0),0,FLOOR(FLOOR(FLOOR((2*XLOOKUP($Q973,'Threshold Summary'!$Y:$Y,'Threshold Summary'!$L:$L,"")/5+2)*pow*atk/def)/50)+2)),modifier,stab*eff,AVERAGE(ARRAYFORMULA(FLOOR(base*modifier*SEQUENCE(16,1,85,1)/100)))),0)</f>
        <v/>
      </c>
      <c r="M973" s="3">
        <f>IFERROR(LET(mtype,XLOOKUP($D973,'Move Editor'!$B:$B,'Move Editor'!$C:$C,""),cat,XLOOKUP($D973,'Move Editor'!$B:$B,'Move Editor'!$D:$D,""),pow,XLOOKUP($D973,'Move Editor'!$B:$B,'Move Editor'!$E:$E,0),acc,XLOOKUP($D973,'Move Editor'!$B:$B,'Move Editor'!$F:$F,100),atk,IF(cat="Physical",FLOOR((FLOOR(((2*XLOOKUP(XLOOKUP($Q973,'Threshold Summary'!$Y:$Y,'Threshold Summary'!$K:$K,""),'Pokemon Editor'!$A:$A,'Pokemon Editor'!$F:$F,0)+31+FLOOR(XLOOKUP($Q973,'Threshold Summary'!$Y:$Y,'Threshold Summary'!$P:$P,"")/4))*XLOOKUP($Q973,'Threshold Summary'!$Y:$Y,'Threshold Summary'!$L:$L,""))/100)+5)*XLOOKUP(XLOOKUP($Q973,'Threshold Summary'!$Y:$Y,'Threshold Summary'!$M:$M,""),'Nature Editor'!$A:$A,'Nature Editor'!$B:$B,1)),FLOOR((FLOOR(((2*XLOOKUP(XLOOKUP($Q973,'Threshold Summary'!$Y:$Y,'Threshold Summary'!$K:$K,""),'Pokemon Editor'!$A:$A,'Pokemon Editor'!$H:$H,0)+31+FLOOR(XLOOKUP($Q973,'Threshold Summary'!$Y:$Y,'Threshold Summary'!$R:$R,"")/4))*XLOOKUP($Q973,'Threshold Summary'!$Y:$Y,'Threshold Summary'!$L:$L,""))/100)+5)*XLOOKUP(XLOOKUP($Q973,'Threshold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Editor'!$E:$E,1))),stab,IF(OR(mtype=XLOOKUP(XLOOKUP($Q973,'Threshold Summary'!$Y:$Y,'Threshold Summary'!$K:$K,""),'Pokemon Editor'!$A:$A,'Pokemon Editor'!$C:$C,""),mtype=XLOOKUP(XLOOKUP($Q973,'Threshold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Chart'!$B$1:$S$1,0)))),base,IF(OR(cat="Status",pow=0),0,FLOOR(FLOOR(FLOOR((2*XLOOKUP($Q973,'Threshold Summary'!$Y:$Y,'Threshold Summary'!$L:$L,"")/5+2)*pow*atk/def)/50)+2)),modifier,stab*eff,AVERAGE(ARRAYFORMULA(FLOOR(base*modifier*SEQUENCE(16,1,85,1)/100)))*MIN(1,acc/100)),0)</f>
        <v/>
      </c>
      <c r="N973" s="4">
        <f>IFERROR(LET(mtype,XLOOKUP($D973,'Move Editor'!$B:$B,'Move Editor'!$C:$C,""),cat,XLOOKUP($D973,'Move Editor'!$B:$B,'Move Editor'!$D:$D,""),pow,XLOOKUP($D973,'Move Editor'!$B:$B,'Move Editor'!$E:$E,0),acc,XLOOKUP($D973,'Move Editor'!$B:$B,'Move Editor'!$F:$F,100),atk,IF(cat="Physical",FLOOR((FLOOR(((2*XLOOKUP(XLOOKUP($Q973,'Threshold Summary'!$Y:$Y,'Threshold Summary'!$K:$K,""),'Pokemon Editor'!$A:$A,'Pokemon Editor'!$F:$F,0)+31+FLOOR(XLOOKUP($Q973,'Threshold Summary'!$Y:$Y,'Threshold Summary'!$P:$P,"")/4))*XLOOKUP($Q973,'Threshold Summary'!$Y:$Y,'Threshold Summary'!$L:$L,""))/100)+5)*XLOOKUP(XLOOKUP($Q973,'Threshold Summary'!$Y:$Y,'Threshold Summary'!$M:$M,""),'Nature Editor'!$A:$A,'Nature Editor'!$B:$B,1)),FLOOR((FLOOR(((2*XLOOKUP(XLOOKUP($Q973,'Threshold Summary'!$Y:$Y,'Threshold Summary'!$K:$K,""),'Pokemon Editor'!$A:$A,'Pokemon Editor'!$H:$H,0)+31+FLOOR(XLOOKUP($Q973,'Threshold Summary'!$Y:$Y,'Threshold Summary'!$R:$R,"")/4))*XLOOKUP($Q973,'Threshold Summary'!$Y:$Y,'Threshold Summary'!$L:$L,""))/100)+5)*XLOOKUP(XLOOKUP($Q973,'Threshold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Editor'!$E:$E,1))),stab,IF(OR(mtype=XLOOKUP(XLOOKUP($Q973,'Threshold Summary'!$Y:$Y,'Threshold Summary'!$K:$K,""),'Pokemon Editor'!$A:$A,'Pokemon Editor'!$C:$C,""),mtype=XLOOKUP(XLOOKUP($Q973,'Threshold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Chart'!$B$1:$S$1,0)))),base,IF(OR(cat="Status",pow=0),0,FLOOR(FLOOR(FLOOR((2*XLOOKUP($Q973,'Threshold Summary'!$Y:$Y,'Threshold Summary'!$L:$L,"")/5+2)*pow*atk/def)/50)+2)),modifier,stab*eff,AVERAGE(ARRAYFORMULA(FLOOR(base*modifier*SEQUENCE(16,1,85,1)/100)))/(FLOOR(((2*XLOOKUP('Boss Editor'!$C$4,'Pokemon Editor'!$A:$A,'Pokemon Editor'!$E:$E,0)+31+FLOOR('Boss Editor'!$G$4/4))*'Boss Editor'!$D$4)/100)+'Boss Editor'!$D$4+10)),0)</f>
        <v/>
      </c>
      <c r="O973" s="3">
        <f>IF(N973&gt;=1,"OHKO",IF(N973&gt;=0.5,"2HKO",IF(N973&gt;=0.333,"3HKO",IF(N973&gt;=0.25,"4HKO","5HKO+"))))</f>
        <v/>
      </c>
      <c r="P973" s="3" t="inlineStr">
        <is>
          <t>Live from editable databases</t>
        </is>
      </c>
      <c r="Q973" s="3" t="inlineStr">
        <is>
          <t>SPECIES_WATTREL</t>
        </is>
      </c>
      <c r="R973" s="3" t="n">
        <v>12</v>
      </c>
    </row>
    <row r="974">
      <c r="A974" s="3">
        <f>XLOOKUP($Q974,'Threshold Summary'!$Y:$Y,'Threshold Summary'!$A:$A,"")</f>
        <v/>
      </c>
      <c r="B974" s="3">
        <f>XLOOKUP($Q974,'Threshold Summary'!$Y:$Y,'Threshold Summary'!$M:$M,"")</f>
        <v/>
      </c>
      <c r="C974" s="3">
        <f>XLOOKUP($Q974,'Threshold Summary'!$Y:$Y,'Threshold Summary'!$N:$N,"")</f>
        <v/>
      </c>
      <c r="D974" s="3">
        <f>IFERROR(INDEX(FILTER('Learnset Editor'!$D$2:$D,'Learnset Editor'!$A$2:$A=XLOOKUP($Q974,'Threshold Summary'!$Y:$Y,'Threshold Summary'!$K:$K,""),'Learnset Editor'!$C$2:$C&lt;=XLOOKUP($Q974,'Threshold Summary'!$Y:$Y,'Threshold Summary'!$L:$L,"")),$R974),"")</f>
        <v/>
      </c>
      <c r="E974" s="3">
        <f>XLOOKUP(D974,'Move Editor'!$B:$B,'Move Editor'!$C:$C,"")</f>
        <v/>
      </c>
      <c r="F974" s="3">
        <f>XLOOKUP(D974,'Move Editor'!$B:$B,'Move Editor'!$D:$D,"")</f>
        <v/>
      </c>
      <c r="G974" s="3">
        <f>XLOOKUP(D974,'Move Editor'!$B:$B,'Move Editor'!$E:$E,0)</f>
        <v/>
      </c>
      <c r="H974" s="3">
        <f>XLOOKUP(D974,'Move Editor'!$B:$B,'Move Editor'!$F:$F,0)</f>
        <v/>
      </c>
      <c r="I974" s="3">
        <f>(INDEX('Type Chart'!$B:$S,MATCH(E974,'Type Chart'!$A:$A,0),MATCH(XLOOKUP('Boss Editor'!$C$4,'Pokemon Editor'!$A:$A,'Pokemon Editor'!$C:$C,""),'Type Chart'!$B$1:$S$1,0))*IF(XLOOKUP('Boss Editor'!$C$4,'Pokemon Editor'!$A:$A,'Pokemon Editor'!$D:$D,"")="",1,INDEX('Type Chart'!$B:$S,MATCH(E974,'Type Chart'!$A:$A,0),MATCH(XLOOKUP('Boss Editor'!$C$4,'Pokemon Editor'!$A:$A,'Pokemon Editor'!$D:$D,""),'Type Chart'!$B$1:$S$1,0))))</f>
        <v/>
      </c>
      <c r="J974" s="3">
        <f>IFERROR(LET(mtype,XLOOKUP($D974,'Move Editor'!$B:$B,'Move Editor'!$C:$C,""),cat,XLOOKUP($D974,'Move Editor'!$B:$B,'Move Editor'!$D:$D,""),pow,XLOOKUP($D974,'Move Editor'!$B:$B,'Move Editor'!$E:$E,0),acc,XLOOKUP($D974,'Move Editor'!$B:$B,'Move Editor'!$F:$F,100),atk,IF(cat="Physical",FLOOR((FLOOR(((2*XLOOKUP(XLOOKUP($Q974,'Threshold Summary'!$Y:$Y,'Threshold Summary'!$K:$K,""),'Pokemon Editor'!$A:$A,'Pokemon Editor'!$F:$F,0)+31+FLOOR(XLOOKUP($Q974,'Threshold Summary'!$Y:$Y,'Threshold Summary'!$P:$P,"")/4))*XLOOKUP($Q974,'Threshold Summary'!$Y:$Y,'Threshold Summary'!$L:$L,""))/100)+5)*XLOOKUP(XLOOKUP($Q974,'Threshold Summary'!$Y:$Y,'Threshold Summary'!$M:$M,""),'Nature Editor'!$A:$A,'Nature Editor'!$B:$B,1)),FLOOR((FLOOR(((2*XLOOKUP(XLOOKUP($Q974,'Threshold Summary'!$Y:$Y,'Threshold Summary'!$K:$K,""),'Pokemon Editor'!$A:$A,'Pokemon Editor'!$H:$H,0)+31+FLOOR(XLOOKUP($Q974,'Threshold Summary'!$Y:$Y,'Threshold Summary'!$R:$R,"")/4))*XLOOKUP($Q974,'Threshold Summary'!$Y:$Y,'Threshold Summary'!$L:$L,""))/100)+5)*XLOOKUP(XLOOKUP($Q974,'Threshold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Editor'!$E:$E,1))),stab,IF(OR(mtype=XLOOKUP(XLOOKUP($Q974,'Threshold Summary'!$Y:$Y,'Threshold Summary'!$K:$K,""),'Pokemon Editor'!$A:$A,'Pokemon Editor'!$C:$C,""),mtype=XLOOKUP(XLOOKUP($Q974,'Threshold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Chart'!$B$1:$S$1,0)))),base,IF(OR(cat="Status",pow=0),0,FLOOR(FLOOR(FLOOR((2*XLOOKUP($Q974,'Threshold Summary'!$Y:$Y,'Threshold Summary'!$L:$L,"")/5+2)*pow*atk/def)/50)+2)),modifier,stab*eff,FLOOR(base*modifier*0.85)),0)</f>
        <v/>
      </c>
      <c r="K974" s="3">
        <f>IFERROR(LET(mtype,XLOOKUP($D974,'Move Editor'!$B:$B,'Move Editor'!$C:$C,""),cat,XLOOKUP($D974,'Move Editor'!$B:$B,'Move Editor'!$D:$D,""),pow,XLOOKUP($D974,'Move Editor'!$B:$B,'Move Editor'!$E:$E,0),acc,XLOOKUP($D974,'Move Editor'!$B:$B,'Move Editor'!$F:$F,100),atk,IF(cat="Physical",FLOOR((FLOOR(((2*XLOOKUP(XLOOKUP($Q974,'Threshold Summary'!$Y:$Y,'Threshold Summary'!$K:$K,""),'Pokemon Editor'!$A:$A,'Pokemon Editor'!$F:$F,0)+31+FLOOR(XLOOKUP($Q974,'Threshold Summary'!$Y:$Y,'Threshold Summary'!$P:$P,"")/4))*XLOOKUP($Q974,'Threshold Summary'!$Y:$Y,'Threshold Summary'!$L:$L,""))/100)+5)*XLOOKUP(XLOOKUP($Q974,'Threshold Summary'!$Y:$Y,'Threshold Summary'!$M:$M,""),'Nature Editor'!$A:$A,'Nature Editor'!$B:$B,1)),FLOOR((FLOOR(((2*XLOOKUP(XLOOKUP($Q974,'Threshold Summary'!$Y:$Y,'Threshold Summary'!$K:$K,""),'Pokemon Editor'!$A:$A,'Pokemon Editor'!$H:$H,0)+31+FLOOR(XLOOKUP($Q974,'Threshold Summary'!$Y:$Y,'Threshold Summary'!$R:$R,"")/4))*XLOOKUP($Q974,'Threshold Summary'!$Y:$Y,'Threshold Summary'!$L:$L,""))/100)+5)*XLOOKUP(XLOOKUP($Q974,'Threshold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Editor'!$E:$E,1))),stab,IF(OR(mtype=XLOOKUP(XLOOKUP($Q974,'Threshold Summary'!$Y:$Y,'Threshold Summary'!$K:$K,""),'Pokemon Editor'!$A:$A,'Pokemon Editor'!$C:$C,""),mtype=XLOOKUP(XLOOKUP($Q974,'Threshold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Chart'!$B$1:$S$1,0)))),base,IF(OR(cat="Status",pow=0),0,FLOOR(FLOOR(FLOOR((2*XLOOKUP($Q974,'Threshold Summary'!$Y:$Y,'Threshold Summary'!$L:$L,"")/5+2)*pow*atk/def)/50)+2)),modifier,stab*eff,FLOOR(base*modifier)),0)</f>
        <v/>
      </c>
      <c r="L974" s="3">
        <f>IFERROR(LET(mtype,XLOOKUP($D974,'Move Editor'!$B:$B,'Move Editor'!$C:$C,""),cat,XLOOKUP($D974,'Move Editor'!$B:$B,'Move Editor'!$D:$D,""),pow,XLOOKUP($D974,'Move Editor'!$B:$B,'Move Editor'!$E:$E,0),acc,XLOOKUP($D974,'Move Editor'!$B:$B,'Move Editor'!$F:$F,100),atk,IF(cat="Physical",FLOOR((FLOOR(((2*XLOOKUP(XLOOKUP($Q974,'Threshold Summary'!$Y:$Y,'Threshold Summary'!$K:$K,""),'Pokemon Editor'!$A:$A,'Pokemon Editor'!$F:$F,0)+31+FLOOR(XLOOKUP($Q974,'Threshold Summary'!$Y:$Y,'Threshold Summary'!$P:$P,"")/4))*XLOOKUP($Q974,'Threshold Summary'!$Y:$Y,'Threshold Summary'!$L:$L,""))/100)+5)*XLOOKUP(XLOOKUP($Q974,'Threshold Summary'!$Y:$Y,'Threshold Summary'!$M:$M,""),'Nature Editor'!$A:$A,'Nature Editor'!$B:$B,1)),FLOOR((FLOOR(((2*XLOOKUP(XLOOKUP($Q974,'Threshold Summary'!$Y:$Y,'Threshold Summary'!$K:$K,""),'Pokemon Editor'!$A:$A,'Pokemon Editor'!$H:$H,0)+31+FLOOR(XLOOKUP($Q974,'Threshold Summary'!$Y:$Y,'Threshold Summary'!$R:$R,"")/4))*XLOOKUP($Q974,'Threshold Summary'!$Y:$Y,'Threshold Summary'!$L:$L,""))/100)+5)*XLOOKUP(XLOOKUP($Q974,'Threshold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Editor'!$E:$E,1))),stab,IF(OR(mtype=XLOOKUP(XLOOKUP($Q974,'Threshold Summary'!$Y:$Y,'Threshold Summary'!$K:$K,""),'Pokemon Editor'!$A:$A,'Pokemon Editor'!$C:$C,""),mtype=XLOOKUP(XLOOKUP($Q974,'Threshold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Chart'!$B$1:$S$1,0)))),base,IF(OR(cat="Status",pow=0),0,FLOOR(FLOOR(FLOOR((2*XLOOKUP($Q974,'Threshold Summary'!$Y:$Y,'Threshold Summary'!$L:$L,"")/5+2)*pow*atk/def)/50)+2)),modifier,stab*eff,AVERAGE(ARRAYFORMULA(FLOOR(base*modifier*SEQUENCE(16,1,85,1)/100)))),0)</f>
        <v/>
      </c>
      <c r="M974" s="3">
        <f>IFERROR(LET(mtype,XLOOKUP($D974,'Move Editor'!$B:$B,'Move Editor'!$C:$C,""),cat,XLOOKUP($D974,'Move Editor'!$B:$B,'Move Editor'!$D:$D,""),pow,XLOOKUP($D974,'Move Editor'!$B:$B,'Move Editor'!$E:$E,0),acc,XLOOKUP($D974,'Move Editor'!$B:$B,'Move Editor'!$F:$F,100),atk,IF(cat="Physical",FLOOR((FLOOR(((2*XLOOKUP(XLOOKUP($Q974,'Threshold Summary'!$Y:$Y,'Threshold Summary'!$K:$K,""),'Pokemon Editor'!$A:$A,'Pokemon Editor'!$F:$F,0)+31+FLOOR(XLOOKUP($Q974,'Threshold Summary'!$Y:$Y,'Threshold Summary'!$P:$P,"")/4))*XLOOKUP($Q974,'Threshold Summary'!$Y:$Y,'Threshold Summary'!$L:$L,""))/100)+5)*XLOOKUP(XLOOKUP($Q974,'Threshold Summary'!$Y:$Y,'Threshold Summary'!$M:$M,""),'Nature Editor'!$A:$A,'Nature Editor'!$B:$B,1)),FLOOR((FLOOR(((2*XLOOKUP(XLOOKUP($Q974,'Threshold Summary'!$Y:$Y,'Threshold Summary'!$K:$K,""),'Pokemon Editor'!$A:$A,'Pokemon Editor'!$H:$H,0)+31+FLOOR(XLOOKUP($Q974,'Threshold Summary'!$Y:$Y,'Threshold Summary'!$R:$R,"")/4))*XLOOKUP($Q974,'Threshold Summary'!$Y:$Y,'Threshold Summary'!$L:$L,""))/100)+5)*XLOOKUP(XLOOKUP($Q974,'Threshold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Editor'!$E:$E,1))),stab,IF(OR(mtype=XLOOKUP(XLOOKUP($Q974,'Threshold Summary'!$Y:$Y,'Threshold Summary'!$K:$K,""),'Pokemon Editor'!$A:$A,'Pokemon Editor'!$C:$C,""),mtype=XLOOKUP(XLOOKUP($Q974,'Threshold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Chart'!$B$1:$S$1,0)))),base,IF(OR(cat="Status",pow=0),0,FLOOR(FLOOR(FLOOR((2*XLOOKUP($Q974,'Threshold Summary'!$Y:$Y,'Threshold Summary'!$L:$L,"")/5+2)*pow*atk/def)/50)+2)),modifier,stab*eff,AVERAGE(ARRAYFORMULA(FLOOR(base*modifier*SEQUENCE(16,1,85,1)/100)))*MIN(1,acc/100)),0)</f>
        <v/>
      </c>
      <c r="N974" s="4">
        <f>IFERROR(LET(mtype,XLOOKUP($D974,'Move Editor'!$B:$B,'Move Editor'!$C:$C,""),cat,XLOOKUP($D974,'Move Editor'!$B:$B,'Move Editor'!$D:$D,""),pow,XLOOKUP($D974,'Move Editor'!$B:$B,'Move Editor'!$E:$E,0),acc,XLOOKUP($D974,'Move Editor'!$B:$B,'Move Editor'!$F:$F,100),atk,IF(cat="Physical",FLOOR((FLOOR(((2*XLOOKUP(XLOOKUP($Q974,'Threshold Summary'!$Y:$Y,'Threshold Summary'!$K:$K,""),'Pokemon Editor'!$A:$A,'Pokemon Editor'!$F:$F,0)+31+FLOOR(XLOOKUP($Q974,'Threshold Summary'!$Y:$Y,'Threshold Summary'!$P:$P,"")/4))*XLOOKUP($Q974,'Threshold Summary'!$Y:$Y,'Threshold Summary'!$L:$L,""))/100)+5)*XLOOKUP(XLOOKUP($Q974,'Threshold Summary'!$Y:$Y,'Threshold Summary'!$M:$M,""),'Nature Editor'!$A:$A,'Nature Editor'!$B:$B,1)),FLOOR((FLOOR(((2*XLOOKUP(XLOOKUP($Q974,'Threshold Summary'!$Y:$Y,'Threshold Summary'!$K:$K,""),'Pokemon Editor'!$A:$A,'Pokemon Editor'!$H:$H,0)+31+FLOOR(XLOOKUP($Q974,'Threshold Summary'!$Y:$Y,'Threshold Summary'!$R:$R,"")/4))*XLOOKUP($Q974,'Threshold Summary'!$Y:$Y,'Threshold Summary'!$L:$L,""))/100)+5)*XLOOKUP(XLOOKUP($Q974,'Threshold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Editor'!$E:$E,1))),stab,IF(OR(mtype=XLOOKUP(XLOOKUP($Q974,'Threshold Summary'!$Y:$Y,'Threshold Summary'!$K:$K,""),'Pokemon Editor'!$A:$A,'Pokemon Editor'!$C:$C,""),mtype=XLOOKUP(XLOOKUP($Q974,'Threshold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Chart'!$B$1:$S$1,0)))),base,IF(OR(cat="Status",pow=0),0,FLOOR(FLOOR(FLOOR((2*XLOOKUP($Q974,'Threshold Summary'!$Y:$Y,'Threshold Summary'!$L:$L,"")/5+2)*pow*atk/def)/50)+2)),modifier,stab*eff,AVERAGE(ARRAYFORMULA(FLOOR(base*modifier*SEQUENCE(16,1,85,1)/100)))/(FLOOR(((2*XLOOKUP('Boss Editor'!$C$4,'Pokemon Editor'!$A:$A,'Pokemon Editor'!$E:$E,0)+31+FLOOR('Boss Editor'!$G$4/4))*'Boss Editor'!$D$4)/100)+'Boss Editor'!$D$4+10)),0)</f>
        <v/>
      </c>
      <c r="O974" s="3">
        <f>IF(N974&gt;=1,"OHKO",IF(N974&gt;=0.5,"2HKO",IF(N974&gt;=0.333,"3HKO",IF(N974&gt;=0.25,"4HKO","5HKO+"))))</f>
        <v/>
      </c>
      <c r="P974" s="3" t="inlineStr">
        <is>
          <t>Live from editable databases</t>
        </is>
      </c>
      <c r="Q974" s="3" t="inlineStr">
        <is>
          <t>SPECIES_WATTREL</t>
        </is>
      </c>
      <c r="R974" s="3" t="n">
        <v>13</v>
      </c>
    </row>
    <row r="975">
      <c r="A975" s="3">
        <f>XLOOKUP($Q975,'Threshold Summary'!$Y:$Y,'Threshold Summary'!$A:$A,"")</f>
        <v/>
      </c>
      <c r="B975" s="3">
        <f>XLOOKUP($Q975,'Threshold Summary'!$Y:$Y,'Threshold Summary'!$M:$M,"")</f>
        <v/>
      </c>
      <c r="C975" s="3">
        <f>XLOOKUP($Q975,'Threshold Summary'!$Y:$Y,'Threshold Summary'!$N:$N,"")</f>
        <v/>
      </c>
      <c r="D975" s="3">
        <f>IFERROR(INDEX(FILTER('Learnset Editor'!$D$2:$D,'Learnset Editor'!$A$2:$A=XLOOKUP($Q975,'Threshold Summary'!$Y:$Y,'Threshold Summary'!$K:$K,""),'Learnset Editor'!$C$2:$C&lt;=XLOOKUP($Q975,'Threshold Summary'!$Y:$Y,'Threshold Summary'!$L:$L,"")),$R975),"")</f>
        <v/>
      </c>
      <c r="E975" s="3">
        <f>XLOOKUP(D975,'Move Editor'!$B:$B,'Move Editor'!$C:$C,"")</f>
        <v/>
      </c>
      <c r="F975" s="3">
        <f>XLOOKUP(D975,'Move Editor'!$B:$B,'Move Editor'!$D:$D,"")</f>
        <v/>
      </c>
      <c r="G975" s="3">
        <f>XLOOKUP(D975,'Move Editor'!$B:$B,'Move Editor'!$E:$E,0)</f>
        <v/>
      </c>
      <c r="H975" s="3">
        <f>XLOOKUP(D975,'Move Editor'!$B:$B,'Move Editor'!$F:$F,0)</f>
        <v/>
      </c>
      <c r="I975" s="3">
        <f>(INDEX('Type Chart'!$B:$S,MATCH(E975,'Type Chart'!$A:$A,0),MATCH(XLOOKUP('Boss Editor'!$C$4,'Pokemon Editor'!$A:$A,'Pokemon Editor'!$C:$C,""),'Type Chart'!$B$1:$S$1,0))*IF(XLOOKUP('Boss Editor'!$C$4,'Pokemon Editor'!$A:$A,'Pokemon Editor'!$D:$D,"")="",1,INDEX('Type Chart'!$B:$S,MATCH(E975,'Type Chart'!$A:$A,0),MATCH(XLOOKUP('Boss Editor'!$C$4,'Pokemon Editor'!$A:$A,'Pokemon Editor'!$D:$D,""),'Type Chart'!$B$1:$S$1,0))))</f>
        <v/>
      </c>
      <c r="J975" s="3">
        <f>IFERROR(LET(mtype,XLOOKUP($D975,'Move Editor'!$B:$B,'Move Editor'!$C:$C,""),cat,XLOOKUP($D975,'Move Editor'!$B:$B,'Move Editor'!$D:$D,""),pow,XLOOKUP($D975,'Move Editor'!$B:$B,'Move Editor'!$E:$E,0),acc,XLOOKUP($D975,'Move Editor'!$B:$B,'Move Editor'!$F:$F,100),atk,IF(cat="Physical",FLOOR((FLOOR(((2*XLOOKUP(XLOOKUP($Q975,'Threshold Summary'!$Y:$Y,'Threshold Summary'!$K:$K,""),'Pokemon Editor'!$A:$A,'Pokemon Editor'!$F:$F,0)+31+FLOOR(XLOOKUP($Q975,'Threshold Summary'!$Y:$Y,'Threshold Summary'!$P:$P,"")/4))*XLOOKUP($Q975,'Threshold Summary'!$Y:$Y,'Threshold Summary'!$L:$L,""))/100)+5)*XLOOKUP(XLOOKUP($Q975,'Threshold Summary'!$Y:$Y,'Threshold Summary'!$M:$M,""),'Nature Editor'!$A:$A,'Nature Editor'!$B:$B,1)),FLOOR((FLOOR(((2*XLOOKUP(XLOOKUP($Q975,'Threshold Summary'!$Y:$Y,'Threshold Summary'!$K:$K,""),'Pokemon Editor'!$A:$A,'Pokemon Editor'!$H:$H,0)+31+FLOOR(XLOOKUP($Q975,'Threshold Summary'!$Y:$Y,'Threshold Summary'!$R:$R,"")/4))*XLOOKUP($Q975,'Threshold Summary'!$Y:$Y,'Threshold Summary'!$L:$L,""))/100)+5)*XLOOKUP(XLOOKUP($Q975,'Threshold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Editor'!$E:$E,1))),stab,IF(OR(mtype=XLOOKUP(XLOOKUP($Q975,'Threshold Summary'!$Y:$Y,'Threshold Summary'!$K:$K,""),'Pokemon Editor'!$A:$A,'Pokemon Editor'!$C:$C,""),mtype=XLOOKUP(XLOOKUP($Q975,'Threshold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Chart'!$B$1:$S$1,0)))),base,IF(OR(cat="Status",pow=0),0,FLOOR(FLOOR(FLOOR((2*XLOOKUP($Q975,'Threshold Summary'!$Y:$Y,'Threshold Summary'!$L:$L,"")/5+2)*pow*atk/def)/50)+2)),modifier,stab*eff,FLOOR(base*modifier*0.85)),0)</f>
        <v/>
      </c>
      <c r="K975" s="3">
        <f>IFERROR(LET(mtype,XLOOKUP($D975,'Move Editor'!$B:$B,'Move Editor'!$C:$C,""),cat,XLOOKUP($D975,'Move Editor'!$B:$B,'Move Editor'!$D:$D,""),pow,XLOOKUP($D975,'Move Editor'!$B:$B,'Move Editor'!$E:$E,0),acc,XLOOKUP($D975,'Move Editor'!$B:$B,'Move Editor'!$F:$F,100),atk,IF(cat="Physical",FLOOR((FLOOR(((2*XLOOKUP(XLOOKUP($Q975,'Threshold Summary'!$Y:$Y,'Threshold Summary'!$K:$K,""),'Pokemon Editor'!$A:$A,'Pokemon Editor'!$F:$F,0)+31+FLOOR(XLOOKUP($Q975,'Threshold Summary'!$Y:$Y,'Threshold Summary'!$P:$P,"")/4))*XLOOKUP($Q975,'Threshold Summary'!$Y:$Y,'Threshold Summary'!$L:$L,""))/100)+5)*XLOOKUP(XLOOKUP($Q975,'Threshold Summary'!$Y:$Y,'Threshold Summary'!$M:$M,""),'Nature Editor'!$A:$A,'Nature Editor'!$B:$B,1)),FLOOR((FLOOR(((2*XLOOKUP(XLOOKUP($Q975,'Threshold Summary'!$Y:$Y,'Threshold Summary'!$K:$K,""),'Pokemon Editor'!$A:$A,'Pokemon Editor'!$H:$H,0)+31+FLOOR(XLOOKUP($Q975,'Threshold Summary'!$Y:$Y,'Threshold Summary'!$R:$R,"")/4))*XLOOKUP($Q975,'Threshold Summary'!$Y:$Y,'Threshold Summary'!$L:$L,""))/100)+5)*XLOOKUP(XLOOKUP($Q975,'Threshold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Editor'!$E:$E,1))),stab,IF(OR(mtype=XLOOKUP(XLOOKUP($Q975,'Threshold Summary'!$Y:$Y,'Threshold Summary'!$K:$K,""),'Pokemon Editor'!$A:$A,'Pokemon Editor'!$C:$C,""),mtype=XLOOKUP(XLOOKUP($Q975,'Threshold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Chart'!$B$1:$S$1,0)))),base,IF(OR(cat="Status",pow=0),0,FLOOR(FLOOR(FLOOR((2*XLOOKUP($Q975,'Threshold Summary'!$Y:$Y,'Threshold Summary'!$L:$L,"")/5+2)*pow*atk/def)/50)+2)),modifier,stab*eff,FLOOR(base*modifier)),0)</f>
        <v/>
      </c>
      <c r="L975" s="3">
        <f>IFERROR(LET(mtype,XLOOKUP($D975,'Move Editor'!$B:$B,'Move Editor'!$C:$C,""),cat,XLOOKUP($D975,'Move Editor'!$B:$B,'Move Editor'!$D:$D,""),pow,XLOOKUP($D975,'Move Editor'!$B:$B,'Move Editor'!$E:$E,0),acc,XLOOKUP($D975,'Move Editor'!$B:$B,'Move Editor'!$F:$F,100),atk,IF(cat="Physical",FLOOR((FLOOR(((2*XLOOKUP(XLOOKUP($Q975,'Threshold Summary'!$Y:$Y,'Threshold Summary'!$K:$K,""),'Pokemon Editor'!$A:$A,'Pokemon Editor'!$F:$F,0)+31+FLOOR(XLOOKUP($Q975,'Threshold Summary'!$Y:$Y,'Threshold Summary'!$P:$P,"")/4))*XLOOKUP($Q975,'Threshold Summary'!$Y:$Y,'Threshold Summary'!$L:$L,""))/100)+5)*XLOOKUP(XLOOKUP($Q975,'Threshold Summary'!$Y:$Y,'Threshold Summary'!$M:$M,""),'Nature Editor'!$A:$A,'Nature Editor'!$B:$B,1)),FLOOR((FLOOR(((2*XLOOKUP(XLOOKUP($Q975,'Threshold Summary'!$Y:$Y,'Threshold Summary'!$K:$K,""),'Pokemon Editor'!$A:$A,'Pokemon Editor'!$H:$H,0)+31+FLOOR(XLOOKUP($Q975,'Threshold Summary'!$Y:$Y,'Threshold Summary'!$R:$R,"")/4))*XLOOKUP($Q975,'Threshold Summary'!$Y:$Y,'Threshold Summary'!$L:$L,""))/100)+5)*XLOOKUP(XLOOKUP($Q975,'Threshold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Editor'!$E:$E,1))),stab,IF(OR(mtype=XLOOKUP(XLOOKUP($Q975,'Threshold Summary'!$Y:$Y,'Threshold Summary'!$K:$K,""),'Pokemon Editor'!$A:$A,'Pokemon Editor'!$C:$C,""),mtype=XLOOKUP(XLOOKUP($Q975,'Threshold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Chart'!$B$1:$S$1,0)))),base,IF(OR(cat="Status",pow=0),0,FLOOR(FLOOR(FLOOR((2*XLOOKUP($Q975,'Threshold Summary'!$Y:$Y,'Threshold Summary'!$L:$L,"")/5+2)*pow*atk/def)/50)+2)),modifier,stab*eff,AVERAGE(ARRAYFORMULA(FLOOR(base*modifier*SEQUENCE(16,1,85,1)/100)))),0)</f>
        <v/>
      </c>
      <c r="M975" s="3">
        <f>IFERROR(LET(mtype,XLOOKUP($D975,'Move Editor'!$B:$B,'Move Editor'!$C:$C,""),cat,XLOOKUP($D975,'Move Editor'!$B:$B,'Move Editor'!$D:$D,""),pow,XLOOKUP($D975,'Move Editor'!$B:$B,'Move Editor'!$E:$E,0),acc,XLOOKUP($D975,'Move Editor'!$B:$B,'Move Editor'!$F:$F,100),atk,IF(cat="Physical",FLOOR((FLOOR(((2*XLOOKUP(XLOOKUP($Q975,'Threshold Summary'!$Y:$Y,'Threshold Summary'!$K:$K,""),'Pokemon Editor'!$A:$A,'Pokemon Editor'!$F:$F,0)+31+FLOOR(XLOOKUP($Q975,'Threshold Summary'!$Y:$Y,'Threshold Summary'!$P:$P,"")/4))*XLOOKUP($Q975,'Threshold Summary'!$Y:$Y,'Threshold Summary'!$L:$L,""))/100)+5)*XLOOKUP(XLOOKUP($Q975,'Threshold Summary'!$Y:$Y,'Threshold Summary'!$M:$M,""),'Nature Editor'!$A:$A,'Nature Editor'!$B:$B,1)),FLOOR((FLOOR(((2*XLOOKUP(XLOOKUP($Q975,'Threshold Summary'!$Y:$Y,'Threshold Summary'!$K:$K,""),'Pokemon Editor'!$A:$A,'Pokemon Editor'!$H:$H,0)+31+FLOOR(XLOOKUP($Q975,'Threshold Summary'!$Y:$Y,'Threshold Summary'!$R:$R,"")/4))*XLOOKUP($Q975,'Threshold Summary'!$Y:$Y,'Threshold Summary'!$L:$L,""))/100)+5)*XLOOKUP(XLOOKUP($Q975,'Threshold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Editor'!$E:$E,1))),stab,IF(OR(mtype=XLOOKUP(XLOOKUP($Q975,'Threshold Summary'!$Y:$Y,'Threshold Summary'!$K:$K,""),'Pokemon Editor'!$A:$A,'Pokemon Editor'!$C:$C,""),mtype=XLOOKUP(XLOOKUP($Q975,'Threshold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Chart'!$B$1:$S$1,0)))),base,IF(OR(cat="Status",pow=0),0,FLOOR(FLOOR(FLOOR((2*XLOOKUP($Q975,'Threshold Summary'!$Y:$Y,'Threshold Summary'!$L:$L,"")/5+2)*pow*atk/def)/50)+2)),modifier,stab*eff,AVERAGE(ARRAYFORMULA(FLOOR(base*modifier*SEQUENCE(16,1,85,1)/100)))*MIN(1,acc/100)),0)</f>
        <v/>
      </c>
      <c r="N975" s="4">
        <f>IFERROR(LET(mtype,XLOOKUP($D975,'Move Editor'!$B:$B,'Move Editor'!$C:$C,""),cat,XLOOKUP($D975,'Move Editor'!$B:$B,'Move Editor'!$D:$D,""),pow,XLOOKUP($D975,'Move Editor'!$B:$B,'Move Editor'!$E:$E,0),acc,XLOOKUP($D975,'Move Editor'!$B:$B,'Move Editor'!$F:$F,100),atk,IF(cat="Physical",FLOOR((FLOOR(((2*XLOOKUP(XLOOKUP($Q975,'Threshold Summary'!$Y:$Y,'Threshold Summary'!$K:$K,""),'Pokemon Editor'!$A:$A,'Pokemon Editor'!$F:$F,0)+31+FLOOR(XLOOKUP($Q975,'Threshold Summary'!$Y:$Y,'Threshold Summary'!$P:$P,"")/4))*XLOOKUP($Q975,'Threshold Summary'!$Y:$Y,'Threshold Summary'!$L:$L,""))/100)+5)*XLOOKUP(XLOOKUP($Q975,'Threshold Summary'!$Y:$Y,'Threshold Summary'!$M:$M,""),'Nature Editor'!$A:$A,'Nature Editor'!$B:$B,1)),FLOOR((FLOOR(((2*XLOOKUP(XLOOKUP($Q975,'Threshold Summary'!$Y:$Y,'Threshold Summary'!$K:$K,""),'Pokemon Editor'!$A:$A,'Pokemon Editor'!$H:$H,0)+31+FLOOR(XLOOKUP($Q975,'Threshold Summary'!$Y:$Y,'Threshold Summary'!$R:$R,"")/4))*XLOOKUP($Q975,'Threshold Summary'!$Y:$Y,'Threshold Summary'!$L:$L,""))/100)+5)*XLOOKUP(XLOOKUP($Q975,'Threshold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Editor'!$E:$E,1))),stab,IF(OR(mtype=XLOOKUP(XLOOKUP($Q975,'Threshold Summary'!$Y:$Y,'Threshold Summary'!$K:$K,""),'Pokemon Editor'!$A:$A,'Pokemon Editor'!$C:$C,""),mtype=XLOOKUP(XLOOKUP($Q975,'Threshold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Chart'!$B$1:$S$1,0)))),base,IF(OR(cat="Status",pow=0),0,FLOOR(FLOOR(FLOOR((2*XLOOKUP($Q975,'Threshold Summary'!$Y:$Y,'Threshold Summary'!$L:$L,"")/5+2)*pow*atk/def)/50)+2)),modifier,stab*eff,AVERAGE(ARRAYFORMULA(FLOOR(base*modifier*SEQUENCE(16,1,85,1)/100)))/(FLOOR(((2*XLOOKUP('Boss Editor'!$C$4,'Pokemon Editor'!$A:$A,'Pokemon Editor'!$E:$E,0)+31+FLOOR('Boss Editor'!$G$4/4))*'Boss Editor'!$D$4)/100)+'Boss Editor'!$D$4+10)),0)</f>
        <v/>
      </c>
      <c r="O975" s="3">
        <f>IF(N975&gt;=1,"OHKO",IF(N975&gt;=0.5,"2HKO",IF(N975&gt;=0.333,"3HKO",IF(N975&gt;=0.25,"4HKO","5HKO+"))))</f>
        <v/>
      </c>
      <c r="P975" s="3" t="inlineStr">
        <is>
          <t>Live from editable databases</t>
        </is>
      </c>
      <c r="Q975" s="3" t="inlineStr">
        <is>
          <t>SPECIES_WATTREL</t>
        </is>
      </c>
      <c r="R975" s="3" t="n">
        <v>14</v>
      </c>
    </row>
    <row r="976">
      <c r="A976" s="3">
        <f>XLOOKUP($Q976,'Threshold Summary'!$Y:$Y,'Threshold Summary'!$A:$A,"")</f>
        <v/>
      </c>
      <c r="B976" s="3">
        <f>XLOOKUP($Q976,'Threshold Summary'!$Y:$Y,'Threshold Summary'!$M:$M,"")</f>
        <v/>
      </c>
      <c r="C976" s="3">
        <f>XLOOKUP($Q976,'Threshold Summary'!$Y:$Y,'Threshold Summary'!$N:$N,"")</f>
        <v/>
      </c>
      <c r="D976" s="3">
        <f>IFERROR(INDEX(FILTER('Learnset Editor'!$D$2:$D,'Learnset Editor'!$A$2:$A=XLOOKUP($Q976,'Threshold Summary'!$Y:$Y,'Threshold Summary'!$K:$K,""),'Learnset Editor'!$C$2:$C&lt;=XLOOKUP($Q976,'Threshold Summary'!$Y:$Y,'Threshold Summary'!$L:$L,"")),$R976),"")</f>
        <v/>
      </c>
      <c r="E976" s="3">
        <f>XLOOKUP(D976,'Move Editor'!$B:$B,'Move Editor'!$C:$C,"")</f>
        <v/>
      </c>
      <c r="F976" s="3">
        <f>XLOOKUP(D976,'Move Editor'!$B:$B,'Move Editor'!$D:$D,"")</f>
        <v/>
      </c>
      <c r="G976" s="3">
        <f>XLOOKUP(D976,'Move Editor'!$B:$B,'Move Editor'!$E:$E,0)</f>
        <v/>
      </c>
      <c r="H976" s="3">
        <f>XLOOKUP(D976,'Move Editor'!$B:$B,'Move Editor'!$F:$F,0)</f>
        <v/>
      </c>
      <c r="I976" s="3">
        <f>(INDEX('Type Chart'!$B:$S,MATCH(E976,'Type Chart'!$A:$A,0),MATCH(XLOOKUP('Boss Editor'!$C$4,'Pokemon Editor'!$A:$A,'Pokemon Editor'!$C:$C,""),'Type Chart'!$B$1:$S$1,0))*IF(XLOOKUP('Boss Editor'!$C$4,'Pokemon Editor'!$A:$A,'Pokemon Editor'!$D:$D,"")="",1,INDEX('Type Chart'!$B:$S,MATCH(E976,'Type Chart'!$A:$A,0),MATCH(XLOOKUP('Boss Editor'!$C$4,'Pokemon Editor'!$A:$A,'Pokemon Editor'!$D:$D,""),'Type Chart'!$B$1:$S$1,0))))</f>
        <v/>
      </c>
      <c r="J976" s="3">
        <f>IFERROR(LET(mtype,XLOOKUP($D976,'Move Editor'!$B:$B,'Move Editor'!$C:$C,""),cat,XLOOKUP($D976,'Move Editor'!$B:$B,'Move Editor'!$D:$D,""),pow,XLOOKUP($D976,'Move Editor'!$B:$B,'Move Editor'!$E:$E,0),acc,XLOOKUP($D976,'Move Editor'!$B:$B,'Move Editor'!$F:$F,100),atk,IF(cat="Physical",FLOOR((FLOOR(((2*XLOOKUP(XLOOKUP($Q976,'Threshold Summary'!$Y:$Y,'Threshold Summary'!$K:$K,""),'Pokemon Editor'!$A:$A,'Pokemon Editor'!$F:$F,0)+31+FLOOR(XLOOKUP($Q976,'Threshold Summary'!$Y:$Y,'Threshold Summary'!$P:$P,"")/4))*XLOOKUP($Q976,'Threshold Summary'!$Y:$Y,'Threshold Summary'!$L:$L,""))/100)+5)*XLOOKUP(XLOOKUP($Q976,'Threshold Summary'!$Y:$Y,'Threshold Summary'!$M:$M,""),'Nature Editor'!$A:$A,'Nature Editor'!$B:$B,1)),FLOOR((FLOOR(((2*XLOOKUP(XLOOKUP($Q976,'Threshold Summary'!$Y:$Y,'Threshold Summary'!$K:$K,""),'Pokemon Editor'!$A:$A,'Pokemon Editor'!$H:$H,0)+31+FLOOR(XLOOKUP($Q976,'Threshold Summary'!$Y:$Y,'Threshold Summary'!$R:$R,"")/4))*XLOOKUP($Q976,'Threshold Summary'!$Y:$Y,'Threshold Summary'!$L:$L,""))/100)+5)*XLOOKUP(XLOOKUP($Q976,'Threshold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Editor'!$E:$E,1))),stab,IF(OR(mtype=XLOOKUP(XLOOKUP($Q976,'Threshold Summary'!$Y:$Y,'Threshold Summary'!$K:$K,""),'Pokemon Editor'!$A:$A,'Pokemon Editor'!$C:$C,""),mtype=XLOOKUP(XLOOKUP($Q976,'Threshold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Chart'!$B$1:$S$1,0)))),base,IF(OR(cat="Status",pow=0),0,FLOOR(FLOOR(FLOOR((2*XLOOKUP($Q976,'Threshold Summary'!$Y:$Y,'Threshold Summary'!$L:$L,"")/5+2)*pow*atk/def)/50)+2)),modifier,stab*eff,FLOOR(base*modifier*0.85)),0)</f>
        <v/>
      </c>
      <c r="K976" s="3">
        <f>IFERROR(LET(mtype,XLOOKUP($D976,'Move Editor'!$B:$B,'Move Editor'!$C:$C,""),cat,XLOOKUP($D976,'Move Editor'!$B:$B,'Move Editor'!$D:$D,""),pow,XLOOKUP($D976,'Move Editor'!$B:$B,'Move Editor'!$E:$E,0),acc,XLOOKUP($D976,'Move Editor'!$B:$B,'Move Editor'!$F:$F,100),atk,IF(cat="Physical",FLOOR((FLOOR(((2*XLOOKUP(XLOOKUP($Q976,'Threshold Summary'!$Y:$Y,'Threshold Summary'!$K:$K,""),'Pokemon Editor'!$A:$A,'Pokemon Editor'!$F:$F,0)+31+FLOOR(XLOOKUP($Q976,'Threshold Summary'!$Y:$Y,'Threshold Summary'!$P:$P,"")/4))*XLOOKUP($Q976,'Threshold Summary'!$Y:$Y,'Threshold Summary'!$L:$L,""))/100)+5)*XLOOKUP(XLOOKUP($Q976,'Threshold Summary'!$Y:$Y,'Threshold Summary'!$M:$M,""),'Nature Editor'!$A:$A,'Nature Editor'!$B:$B,1)),FLOOR((FLOOR(((2*XLOOKUP(XLOOKUP($Q976,'Threshold Summary'!$Y:$Y,'Threshold Summary'!$K:$K,""),'Pokemon Editor'!$A:$A,'Pokemon Editor'!$H:$H,0)+31+FLOOR(XLOOKUP($Q976,'Threshold Summary'!$Y:$Y,'Threshold Summary'!$R:$R,"")/4))*XLOOKUP($Q976,'Threshold Summary'!$Y:$Y,'Threshold Summary'!$L:$L,""))/100)+5)*XLOOKUP(XLOOKUP($Q976,'Threshold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Editor'!$E:$E,1))),stab,IF(OR(mtype=XLOOKUP(XLOOKUP($Q976,'Threshold Summary'!$Y:$Y,'Threshold Summary'!$K:$K,""),'Pokemon Editor'!$A:$A,'Pokemon Editor'!$C:$C,""),mtype=XLOOKUP(XLOOKUP($Q976,'Threshold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Chart'!$B$1:$S$1,0)))),base,IF(OR(cat="Status",pow=0),0,FLOOR(FLOOR(FLOOR((2*XLOOKUP($Q976,'Threshold Summary'!$Y:$Y,'Threshold Summary'!$L:$L,"")/5+2)*pow*atk/def)/50)+2)),modifier,stab*eff,FLOOR(base*modifier)),0)</f>
        <v/>
      </c>
      <c r="L976" s="3">
        <f>IFERROR(LET(mtype,XLOOKUP($D976,'Move Editor'!$B:$B,'Move Editor'!$C:$C,""),cat,XLOOKUP($D976,'Move Editor'!$B:$B,'Move Editor'!$D:$D,""),pow,XLOOKUP($D976,'Move Editor'!$B:$B,'Move Editor'!$E:$E,0),acc,XLOOKUP($D976,'Move Editor'!$B:$B,'Move Editor'!$F:$F,100),atk,IF(cat="Physical",FLOOR((FLOOR(((2*XLOOKUP(XLOOKUP($Q976,'Threshold Summary'!$Y:$Y,'Threshold Summary'!$K:$K,""),'Pokemon Editor'!$A:$A,'Pokemon Editor'!$F:$F,0)+31+FLOOR(XLOOKUP($Q976,'Threshold Summary'!$Y:$Y,'Threshold Summary'!$P:$P,"")/4))*XLOOKUP($Q976,'Threshold Summary'!$Y:$Y,'Threshold Summary'!$L:$L,""))/100)+5)*XLOOKUP(XLOOKUP($Q976,'Threshold Summary'!$Y:$Y,'Threshold Summary'!$M:$M,""),'Nature Editor'!$A:$A,'Nature Editor'!$B:$B,1)),FLOOR((FLOOR(((2*XLOOKUP(XLOOKUP($Q976,'Threshold Summary'!$Y:$Y,'Threshold Summary'!$K:$K,""),'Pokemon Editor'!$A:$A,'Pokemon Editor'!$H:$H,0)+31+FLOOR(XLOOKUP($Q976,'Threshold Summary'!$Y:$Y,'Threshold Summary'!$R:$R,"")/4))*XLOOKUP($Q976,'Threshold Summary'!$Y:$Y,'Threshold Summary'!$L:$L,""))/100)+5)*XLOOKUP(XLOOKUP($Q976,'Threshold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Editor'!$E:$E,1))),stab,IF(OR(mtype=XLOOKUP(XLOOKUP($Q976,'Threshold Summary'!$Y:$Y,'Threshold Summary'!$K:$K,""),'Pokemon Editor'!$A:$A,'Pokemon Editor'!$C:$C,""),mtype=XLOOKUP(XLOOKUP($Q976,'Threshold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Chart'!$B$1:$S$1,0)))),base,IF(OR(cat="Status",pow=0),0,FLOOR(FLOOR(FLOOR((2*XLOOKUP($Q976,'Threshold Summary'!$Y:$Y,'Threshold Summary'!$L:$L,"")/5+2)*pow*atk/def)/50)+2)),modifier,stab*eff,AVERAGE(ARRAYFORMULA(FLOOR(base*modifier*SEQUENCE(16,1,85,1)/100)))),0)</f>
        <v/>
      </c>
      <c r="M976" s="3">
        <f>IFERROR(LET(mtype,XLOOKUP($D976,'Move Editor'!$B:$B,'Move Editor'!$C:$C,""),cat,XLOOKUP($D976,'Move Editor'!$B:$B,'Move Editor'!$D:$D,""),pow,XLOOKUP($D976,'Move Editor'!$B:$B,'Move Editor'!$E:$E,0),acc,XLOOKUP($D976,'Move Editor'!$B:$B,'Move Editor'!$F:$F,100),atk,IF(cat="Physical",FLOOR((FLOOR(((2*XLOOKUP(XLOOKUP($Q976,'Threshold Summary'!$Y:$Y,'Threshold Summary'!$K:$K,""),'Pokemon Editor'!$A:$A,'Pokemon Editor'!$F:$F,0)+31+FLOOR(XLOOKUP($Q976,'Threshold Summary'!$Y:$Y,'Threshold Summary'!$P:$P,"")/4))*XLOOKUP($Q976,'Threshold Summary'!$Y:$Y,'Threshold Summary'!$L:$L,""))/100)+5)*XLOOKUP(XLOOKUP($Q976,'Threshold Summary'!$Y:$Y,'Threshold Summary'!$M:$M,""),'Nature Editor'!$A:$A,'Nature Editor'!$B:$B,1)),FLOOR((FLOOR(((2*XLOOKUP(XLOOKUP($Q976,'Threshold Summary'!$Y:$Y,'Threshold Summary'!$K:$K,""),'Pokemon Editor'!$A:$A,'Pokemon Editor'!$H:$H,0)+31+FLOOR(XLOOKUP($Q976,'Threshold Summary'!$Y:$Y,'Threshold Summary'!$R:$R,"")/4))*XLOOKUP($Q976,'Threshold Summary'!$Y:$Y,'Threshold Summary'!$L:$L,""))/100)+5)*XLOOKUP(XLOOKUP($Q976,'Threshold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Editor'!$E:$E,1))),stab,IF(OR(mtype=XLOOKUP(XLOOKUP($Q976,'Threshold Summary'!$Y:$Y,'Threshold Summary'!$K:$K,""),'Pokemon Editor'!$A:$A,'Pokemon Editor'!$C:$C,""),mtype=XLOOKUP(XLOOKUP($Q976,'Threshold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Chart'!$B$1:$S$1,0)))),base,IF(OR(cat="Status",pow=0),0,FLOOR(FLOOR(FLOOR((2*XLOOKUP($Q976,'Threshold Summary'!$Y:$Y,'Threshold Summary'!$L:$L,"")/5+2)*pow*atk/def)/50)+2)),modifier,stab*eff,AVERAGE(ARRAYFORMULA(FLOOR(base*modifier*SEQUENCE(16,1,85,1)/100)))*MIN(1,acc/100)),0)</f>
        <v/>
      </c>
      <c r="N976" s="4">
        <f>IFERROR(LET(mtype,XLOOKUP($D976,'Move Editor'!$B:$B,'Move Editor'!$C:$C,""),cat,XLOOKUP($D976,'Move Editor'!$B:$B,'Move Editor'!$D:$D,""),pow,XLOOKUP($D976,'Move Editor'!$B:$B,'Move Editor'!$E:$E,0),acc,XLOOKUP($D976,'Move Editor'!$B:$B,'Move Editor'!$F:$F,100),atk,IF(cat="Physical",FLOOR((FLOOR(((2*XLOOKUP(XLOOKUP($Q976,'Threshold Summary'!$Y:$Y,'Threshold Summary'!$K:$K,""),'Pokemon Editor'!$A:$A,'Pokemon Editor'!$F:$F,0)+31+FLOOR(XLOOKUP($Q976,'Threshold Summary'!$Y:$Y,'Threshold Summary'!$P:$P,"")/4))*XLOOKUP($Q976,'Threshold Summary'!$Y:$Y,'Threshold Summary'!$L:$L,""))/100)+5)*XLOOKUP(XLOOKUP($Q976,'Threshold Summary'!$Y:$Y,'Threshold Summary'!$M:$M,""),'Nature Editor'!$A:$A,'Nature Editor'!$B:$B,1)),FLOOR((FLOOR(((2*XLOOKUP(XLOOKUP($Q976,'Threshold Summary'!$Y:$Y,'Threshold Summary'!$K:$K,""),'Pokemon Editor'!$A:$A,'Pokemon Editor'!$H:$H,0)+31+FLOOR(XLOOKUP($Q976,'Threshold Summary'!$Y:$Y,'Threshold Summary'!$R:$R,"")/4))*XLOOKUP($Q976,'Threshold Summary'!$Y:$Y,'Threshold Summary'!$L:$L,""))/100)+5)*XLOOKUP(XLOOKUP($Q976,'Threshold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Editor'!$E:$E,1))),stab,IF(OR(mtype=XLOOKUP(XLOOKUP($Q976,'Threshold Summary'!$Y:$Y,'Threshold Summary'!$K:$K,""),'Pokemon Editor'!$A:$A,'Pokemon Editor'!$C:$C,""),mtype=XLOOKUP(XLOOKUP($Q976,'Threshold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Chart'!$B$1:$S$1,0)))),base,IF(OR(cat="Status",pow=0),0,FLOOR(FLOOR(FLOOR((2*XLOOKUP($Q976,'Threshold Summary'!$Y:$Y,'Threshold Summary'!$L:$L,"")/5+2)*pow*atk/def)/50)+2)),modifier,stab*eff,AVERAGE(ARRAYFORMULA(FLOOR(base*modifier*SEQUENCE(16,1,85,1)/100)))/(FLOOR(((2*XLOOKUP('Boss Editor'!$C$4,'Pokemon Editor'!$A:$A,'Pokemon Editor'!$E:$E,0)+31+FLOOR('Boss Editor'!$G$4/4))*'Boss Editor'!$D$4)/100)+'Boss Editor'!$D$4+10)),0)</f>
        <v/>
      </c>
      <c r="O976" s="3">
        <f>IF(N976&gt;=1,"OHKO",IF(N976&gt;=0.5,"2HKO",IF(N976&gt;=0.333,"3HKO",IF(N976&gt;=0.25,"4HKO","5HKO+"))))</f>
        <v/>
      </c>
      <c r="P976" s="3" t="inlineStr">
        <is>
          <t>Live from editable databases</t>
        </is>
      </c>
      <c r="Q976" s="3" t="inlineStr">
        <is>
          <t>SPECIES_WATTREL</t>
        </is>
      </c>
      <c r="R976" s="3" t="n">
        <v>15</v>
      </c>
    </row>
    <row r="977">
      <c r="A977" s="3">
        <f>XLOOKUP($Q977,'Threshold Summary'!$Y:$Y,'Threshold Summary'!$A:$A,"")</f>
        <v/>
      </c>
      <c r="B977" s="3">
        <f>XLOOKUP($Q977,'Threshold Summary'!$Y:$Y,'Threshold Summary'!$M:$M,"")</f>
        <v/>
      </c>
      <c r="C977" s="3">
        <f>XLOOKUP($Q977,'Threshold Summary'!$Y:$Y,'Threshold Summary'!$N:$N,"")</f>
        <v/>
      </c>
      <c r="D977" s="3">
        <f>IFERROR(INDEX(FILTER('Learnset Editor'!$D$2:$D,'Learnset Editor'!$A$2:$A=XLOOKUP($Q977,'Threshold Summary'!$Y:$Y,'Threshold Summary'!$K:$K,""),'Learnset Editor'!$C$2:$C&lt;=XLOOKUP($Q977,'Threshold Summary'!$Y:$Y,'Threshold Summary'!$L:$L,"")),$R977),"")</f>
        <v/>
      </c>
      <c r="E977" s="3">
        <f>XLOOKUP(D977,'Move Editor'!$B:$B,'Move Editor'!$C:$C,"")</f>
        <v/>
      </c>
      <c r="F977" s="3">
        <f>XLOOKUP(D977,'Move Editor'!$B:$B,'Move Editor'!$D:$D,"")</f>
        <v/>
      </c>
      <c r="G977" s="3">
        <f>XLOOKUP(D977,'Move Editor'!$B:$B,'Move Editor'!$E:$E,0)</f>
        <v/>
      </c>
      <c r="H977" s="3">
        <f>XLOOKUP(D977,'Move Editor'!$B:$B,'Move Editor'!$F:$F,0)</f>
        <v/>
      </c>
      <c r="I977" s="3">
        <f>(INDEX('Type Chart'!$B:$S,MATCH(E977,'Type Chart'!$A:$A,0),MATCH(XLOOKUP('Boss Editor'!$C$4,'Pokemon Editor'!$A:$A,'Pokemon Editor'!$C:$C,""),'Type Chart'!$B$1:$S$1,0))*IF(XLOOKUP('Boss Editor'!$C$4,'Pokemon Editor'!$A:$A,'Pokemon Editor'!$D:$D,"")="",1,INDEX('Type Chart'!$B:$S,MATCH(E977,'Type Chart'!$A:$A,0),MATCH(XLOOKUP('Boss Editor'!$C$4,'Pokemon Editor'!$A:$A,'Pokemon Editor'!$D:$D,""),'Type Chart'!$B$1:$S$1,0))))</f>
        <v/>
      </c>
      <c r="J977" s="3">
        <f>IFERROR(LET(mtype,XLOOKUP($D977,'Move Editor'!$B:$B,'Move Editor'!$C:$C,""),cat,XLOOKUP($D977,'Move Editor'!$B:$B,'Move Editor'!$D:$D,""),pow,XLOOKUP($D977,'Move Editor'!$B:$B,'Move Editor'!$E:$E,0),acc,XLOOKUP($D977,'Move Editor'!$B:$B,'Move Editor'!$F:$F,100),atk,IF(cat="Physical",FLOOR((FLOOR(((2*XLOOKUP(XLOOKUP($Q977,'Threshold Summary'!$Y:$Y,'Threshold Summary'!$K:$K,""),'Pokemon Editor'!$A:$A,'Pokemon Editor'!$F:$F,0)+31+FLOOR(XLOOKUP($Q977,'Threshold Summary'!$Y:$Y,'Threshold Summary'!$P:$P,"")/4))*XLOOKUP($Q977,'Threshold Summary'!$Y:$Y,'Threshold Summary'!$L:$L,""))/100)+5)*XLOOKUP(XLOOKUP($Q977,'Threshold Summary'!$Y:$Y,'Threshold Summary'!$M:$M,""),'Nature Editor'!$A:$A,'Nature Editor'!$B:$B,1)),FLOOR((FLOOR(((2*XLOOKUP(XLOOKUP($Q977,'Threshold Summary'!$Y:$Y,'Threshold Summary'!$K:$K,""),'Pokemon Editor'!$A:$A,'Pokemon Editor'!$H:$H,0)+31+FLOOR(XLOOKUP($Q977,'Threshold Summary'!$Y:$Y,'Threshold Summary'!$R:$R,"")/4))*XLOOKUP($Q977,'Threshold Summary'!$Y:$Y,'Threshold Summary'!$L:$L,""))/100)+5)*XLOOKUP(XLOOKUP($Q977,'Threshold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Editor'!$E:$E,1))),stab,IF(OR(mtype=XLOOKUP(XLOOKUP($Q977,'Threshold Summary'!$Y:$Y,'Threshold Summary'!$K:$K,""),'Pokemon Editor'!$A:$A,'Pokemon Editor'!$C:$C,""),mtype=XLOOKUP(XLOOKUP($Q977,'Threshold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Chart'!$B$1:$S$1,0)))),base,IF(OR(cat="Status",pow=0),0,FLOOR(FLOOR(FLOOR((2*XLOOKUP($Q977,'Threshold Summary'!$Y:$Y,'Threshold Summary'!$L:$L,"")/5+2)*pow*atk/def)/50)+2)),modifier,stab*eff,FLOOR(base*modifier*0.85)),0)</f>
        <v/>
      </c>
      <c r="K977" s="3">
        <f>IFERROR(LET(mtype,XLOOKUP($D977,'Move Editor'!$B:$B,'Move Editor'!$C:$C,""),cat,XLOOKUP($D977,'Move Editor'!$B:$B,'Move Editor'!$D:$D,""),pow,XLOOKUP($D977,'Move Editor'!$B:$B,'Move Editor'!$E:$E,0),acc,XLOOKUP($D977,'Move Editor'!$B:$B,'Move Editor'!$F:$F,100),atk,IF(cat="Physical",FLOOR((FLOOR(((2*XLOOKUP(XLOOKUP($Q977,'Threshold Summary'!$Y:$Y,'Threshold Summary'!$K:$K,""),'Pokemon Editor'!$A:$A,'Pokemon Editor'!$F:$F,0)+31+FLOOR(XLOOKUP($Q977,'Threshold Summary'!$Y:$Y,'Threshold Summary'!$P:$P,"")/4))*XLOOKUP($Q977,'Threshold Summary'!$Y:$Y,'Threshold Summary'!$L:$L,""))/100)+5)*XLOOKUP(XLOOKUP($Q977,'Threshold Summary'!$Y:$Y,'Threshold Summary'!$M:$M,""),'Nature Editor'!$A:$A,'Nature Editor'!$B:$B,1)),FLOOR((FLOOR(((2*XLOOKUP(XLOOKUP($Q977,'Threshold Summary'!$Y:$Y,'Threshold Summary'!$K:$K,""),'Pokemon Editor'!$A:$A,'Pokemon Editor'!$H:$H,0)+31+FLOOR(XLOOKUP($Q977,'Threshold Summary'!$Y:$Y,'Threshold Summary'!$R:$R,"")/4))*XLOOKUP($Q977,'Threshold Summary'!$Y:$Y,'Threshold Summary'!$L:$L,""))/100)+5)*XLOOKUP(XLOOKUP($Q977,'Threshold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Editor'!$E:$E,1))),stab,IF(OR(mtype=XLOOKUP(XLOOKUP($Q977,'Threshold Summary'!$Y:$Y,'Threshold Summary'!$K:$K,""),'Pokemon Editor'!$A:$A,'Pokemon Editor'!$C:$C,""),mtype=XLOOKUP(XLOOKUP($Q977,'Threshold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Chart'!$B$1:$S$1,0)))),base,IF(OR(cat="Status",pow=0),0,FLOOR(FLOOR(FLOOR((2*XLOOKUP($Q977,'Threshold Summary'!$Y:$Y,'Threshold Summary'!$L:$L,"")/5+2)*pow*atk/def)/50)+2)),modifier,stab*eff,FLOOR(base*modifier)),0)</f>
        <v/>
      </c>
      <c r="L977" s="3">
        <f>IFERROR(LET(mtype,XLOOKUP($D977,'Move Editor'!$B:$B,'Move Editor'!$C:$C,""),cat,XLOOKUP($D977,'Move Editor'!$B:$B,'Move Editor'!$D:$D,""),pow,XLOOKUP($D977,'Move Editor'!$B:$B,'Move Editor'!$E:$E,0),acc,XLOOKUP($D977,'Move Editor'!$B:$B,'Move Editor'!$F:$F,100),atk,IF(cat="Physical",FLOOR((FLOOR(((2*XLOOKUP(XLOOKUP($Q977,'Threshold Summary'!$Y:$Y,'Threshold Summary'!$K:$K,""),'Pokemon Editor'!$A:$A,'Pokemon Editor'!$F:$F,0)+31+FLOOR(XLOOKUP($Q977,'Threshold Summary'!$Y:$Y,'Threshold Summary'!$P:$P,"")/4))*XLOOKUP($Q977,'Threshold Summary'!$Y:$Y,'Threshold Summary'!$L:$L,""))/100)+5)*XLOOKUP(XLOOKUP($Q977,'Threshold Summary'!$Y:$Y,'Threshold Summary'!$M:$M,""),'Nature Editor'!$A:$A,'Nature Editor'!$B:$B,1)),FLOOR((FLOOR(((2*XLOOKUP(XLOOKUP($Q977,'Threshold Summary'!$Y:$Y,'Threshold Summary'!$K:$K,""),'Pokemon Editor'!$A:$A,'Pokemon Editor'!$H:$H,0)+31+FLOOR(XLOOKUP($Q977,'Threshold Summary'!$Y:$Y,'Threshold Summary'!$R:$R,"")/4))*XLOOKUP($Q977,'Threshold Summary'!$Y:$Y,'Threshold Summary'!$L:$L,""))/100)+5)*XLOOKUP(XLOOKUP($Q977,'Threshold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Editor'!$E:$E,1))),stab,IF(OR(mtype=XLOOKUP(XLOOKUP($Q977,'Threshold Summary'!$Y:$Y,'Threshold Summary'!$K:$K,""),'Pokemon Editor'!$A:$A,'Pokemon Editor'!$C:$C,""),mtype=XLOOKUP(XLOOKUP($Q977,'Threshold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Chart'!$B$1:$S$1,0)))),base,IF(OR(cat="Status",pow=0),0,FLOOR(FLOOR(FLOOR((2*XLOOKUP($Q977,'Threshold Summary'!$Y:$Y,'Threshold Summary'!$L:$L,"")/5+2)*pow*atk/def)/50)+2)),modifier,stab*eff,AVERAGE(ARRAYFORMULA(FLOOR(base*modifier*SEQUENCE(16,1,85,1)/100)))),0)</f>
        <v/>
      </c>
      <c r="M977" s="3">
        <f>IFERROR(LET(mtype,XLOOKUP($D977,'Move Editor'!$B:$B,'Move Editor'!$C:$C,""),cat,XLOOKUP($D977,'Move Editor'!$B:$B,'Move Editor'!$D:$D,""),pow,XLOOKUP($D977,'Move Editor'!$B:$B,'Move Editor'!$E:$E,0),acc,XLOOKUP($D977,'Move Editor'!$B:$B,'Move Editor'!$F:$F,100),atk,IF(cat="Physical",FLOOR((FLOOR(((2*XLOOKUP(XLOOKUP($Q977,'Threshold Summary'!$Y:$Y,'Threshold Summary'!$K:$K,""),'Pokemon Editor'!$A:$A,'Pokemon Editor'!$F:$F,0)+31+FLOOR(XLOOKUP($Q977,'Threshold Summary'!$Y:$Y,'Threshold Summary'!$P:$P,"")/4))*XLOOKUP($Q977,'Threshold Summary'!$Y:$Y,'Threshold Summary'!$L:$L,""))/100)+5)*XLOOKUP(XLOOKUP($Q977,'Threshold Summary'!$Y:$Y,'Threshold Summary'!$M:$M,""),'Nature Editor'!$A:$A,'Nature Editor'!$B:$B,1)),FLOOR((FLOOR(((2*XLOOKUP(XLOOKUP($Q977,'Threshold Summary'!$Y:$Y,'Threshold Summary'!$K:$K,""),'Pokemon Editor'!$A:$A,'Pokemon Editor'!$H:$H,0)+31+FLOOR(XLOOKUP($Q977,'Threshold Summary'!$Y:$Y,'Threshold Summary'!$R:$R,"")/4))*XLOOKUP($Q977,'Threshold Summary'!$Y:$Y,'Threshold Summary'!$L:$L,""))/100)+5)*XLOOKUP(XLOOKUP($Q977,'Threshold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Editor'!$E:$E,1))),stab,IF(OR(mtype=XLOOKUP(XLOOKUP($Q977,'Threshold Summary'!$Y:$Y,'Threshold Summary'!$K:$K,""),'Pokemon Editor'!$A:$A,'Pokemon Editor'!$C:$C,""),mtype=XLOOKUP(XLOOKUP($Q977,'Threshold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Chart'!$B$1:$S$1,0)))),base,IF(OR(cat="Status",pow=0),0,FLOOR(FLOOR(FLOOR((2*XLOOKUP($Q977,'Threshold Summary'!$Y:$Y,'Threshold Summary'!$L:$L,"")/5+2)*pow*atk/def)/50)+2)),modifier,stab*eff,AVERAGE(ARRAYFORMULA(FLOOR(base*modifier*SEQUENCE(16,1,85,1)/100)))*MIN(1,acc/100)),0)</f>
        <v/>
      </c>
      <c r="N977" s="4">
        <f>IFERROR(LET(mtype,XLOOKUP($D977,'Move Editor'!$B:$B,'Move Editor'!$C:$C,""),cat,XLOOKUP($D977,'Move Editor'!$B:$B,'Move Editor'!$D:$D,""),pow,XLOOKUP($D977,'Move Editor'!$B:$B,'Move Editor'!$E:$E,0),acc,XLOOKUP($D977,'Move Editor'!$B:$B,'Move Editor'!$F:$F,100),atk,IF(cat="Physical",FLOOR((FLOOR(((2*XLOOKUP(XLOOKUP($Q977,'Threshold Summary'!$Y:$Y,'Threshold Summary'!$K:$K,""),'Pokemon Editor'!$A:$A,'Pokemon Editor'!$F:$F,0)+31+FLOOR(XLOOKUP($Q977,'Threshold Summary'!$Y:$Y,'Threshold Summary'!$P:$P,"")/4))*XLOOKUP($Q977,'Threshold Summary'!$Y:$Y,'Threshold Summary'!$L:$L,""))/100)+5)*XLOOKUP(XLOOKUP($Q977,'Threshold Summary'!$Y:$Y,'Threshold Summary'!$M:$M,""),'Nature Editor'!$A:$A,'Nature Editor'!$B:$B,1)),FLOOR((FLOOR(((2*XLOOKUP(XLOOKUP($Q977,'Threshold Summary'!$Y:$Y,'Threshold Summary'!$K:$K,""),'Pokemon Editor'!$A:$A,'Pokemon Editor'!$H:$H,0)+31+FLOOR(XLOOKUP($Q977,'Threshold Summary'!$Y:$Y,'Threshold Summary'!$R:$R,"")/4))*XLOOKUP($Q977,'Threshold Summary'!$Y:$Y,'Threshold Summary'!$L:$L,""))/100)+5)*XLOOKUP(XLOOKUP($Q977,'Threshold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Editor'!$E:$E,1))),stab,IF(OR(mtype=XLOOKUP(XLOOKUP($Q977,'Threshold Summary'!$Y:$Y,'Threshold Summary'!$K:$K,""),'Pokemon Editor'!$A:$A,'Pokemon Editor'!$C:$C,""),mtype=XLOOKUP(XLOOKUP($Q977,'Threshold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Chart'!$B$1:$S$1,0)))),base,IF(OR(cat="Status",pow=0),0,FLOOR(FLOOR(FLOOR((2*XLOOKUP($Q977,'Threshold Summary'!$Y:$Y,'Threshold Summary'!$L:$L,"")/5+2)*pow*atk/def)/50)+2)),modifier,stab*eff,AVERAGE(ARRAYFORMULA(FLOOR(base*modifier*SEQUENCE(16,1,85,1)/100)))/(FLOOR(((2*XLOOKUP('Boss Editor'!$C$4,'Pokemon Editor'!$A:$A,'Pokemon Editor'!$E:$E,0)+31+FLOOR('Boss Editor'!$G$4/4))*'Boss Editor'!$D$4)/100)+'Boss Editor'!$D$4+10)),0)</f>
        <v/>
      </c>
      <c r="O977" s="3">
        <f>IF(N977&gt;=1,"OHKO",IF(N977&gt;=0.5,"2HKO",IF(N977&gt;=0.333,"3HKO",IF(N977&gt;=0.25,"4HKO","5HKO+"))))</f>
        <v/>
      </c>
      <c r="P977" s="3" t="inlineStr">
        <is>
          <t>Live from editable databases</t>
        </is>
      </c>
      <c r="Q977" s="3" t="inlineStr">
        <is>
          <t>SPECIES_WATTREL</t>
        </is>
      </c>
      <c r="R977" s="3" t="n">
        <v>16</v>
      </c>
    </row>
    <row r="978">
      <c r="A978" s="3">
        <f>XLOOKUP($Q978,'Threshold Summary'!$Y:$Y,'Threshold Summary'!$A:$A,"")</f>
        <v/>
      </c>
      <c r="B978" s="3">
        <f>XLOOKUP($Q978,'Threshold Summary'!$Y:$Y,'Threshold Summary'!$M:$M,"")</f>
        <v/>
      </c>
      <c r="C978" s="3">
        <f>XLOOKUP($Q978,'Threshold Summary'!$Y:$Y,'Threshold Summary'!$N:$N,"")</f>
        <v/>
      </c>
      <c r="D978" s="3">
        <f>IFERROR(INDEX(FILTER('Learnset Editor'!$D$2:$D,'Learnset Editor'!$A$2:$A=XLOOKUP($Q978,'Threshold Summary'!$Y:$Y,'Threshold Summary'!$K:$K,""),'Learnset Editor'!$C$2:$C&lt;=XLOOKUP($Q978,'Threshold Summary'!$Y:$Y,'Threshold Summary'!$L:$L,"")),$R978),"")</f>
        <v/>
      </c>
      <c r="E978" s="3">
        <f>XLOOKUP(D978,'Move Editor'!$B:$B,'Move Editor'!$C:$C,"")</f>
        <v/>
      </c>
      <c r="F978" s="3">
        <f>XLOOKUP(D978,'Move Editor'!$B:$B,'Move Editor'!$D:$D,"")</f>
        <v/>
      </c>
      <c r="G978" s="3">
        <f>XLOOKUP(D978,'Move Editor'!$B:$B,'Move Editor'!$E:$E,0)</f>
        <v/>
      </c>
      <c r="H978" s="3">
        <f>XLOOKUP(D978,'Move Editor'!$B:$B,'Move Editor'!$F:$F,0)</f>
        <v/>
      </c>
      <c r="I978" s="3">
        <f>(INDEX('Type Chart'!$B:$S,MATCH(E978,'Type Chart'!$A:$A,0),MATCH(XLOOKUP('Boss Editor'!$C$4,'Pokemon Editor'!$A:$A,'Pokemon Editor'!$C:$C,""),'Type Chart'!$B$1:$S$1,0))*IF(XLOOKUP('Boss Editor'!$C$4,'Pokemon Editor'!$A:$A,'Pokemon Editor'!$D:$D,"")="",1,INDEX('Type Chart'!$B:$S,MATCH(E978,'Type Chart'!$A:$A,0),MATCH(XLOOKUP('Boss Editor'!$C$4,'Pokemon Editor'!$A:$A,'Pokemon Editor'!$D:$D,""),'Type Chart'!$B$1:$S$1,0))))</f>
        <v/>
      </c>
      <c r="J978" s="3">
        <f>IFERROR(LET(mtype,XLOOKUP($D978,'Move Editor'!$B:$B,'Move Editor'!$C:$C,""),cat,XLOOKUP($D978,'Move Editor'!$B:$B,'Move Editor'!$D:$D,""),pow,XLOOKUP($D978,'Move Editor'!$B:$B,'Move Editor'!$E:$E,0),acc,XLOOKUP($D978,'Move Editor'!$B:$B,'Move Editor'!$F:$F,100),atk,IF(cat="Physical",FLOOR((FLOOR(((2*XLOOKUP(XLOOKUP($Q978,'Threshold Summary'!$Y:$Y,'Threshold Summary'!$K:$K,""),'Pokemon Editor'!$A:$A,'Pokemon Editor'!$F:$F,0)+31+FLOOR(XLOOKUP($Q978,'Threshold Summary'!$Y:$Y,'Threshold Summary'!$P:$P,"")/4))*XLOOKUP($Q978,'Threshold Summary'!$Y:$Y,'Threshold Summary'!$L:$L,""))/100)+5)*XLOOKUP(XLOOKUP($Q978,'Threshold Summary'!$Y:$Y,'Threshold Summary'!$M:$M,""),'Nature Editor'!$A:$A,'Nature Editor'!$B:$B,1)),FLOOR((FLOOR(((2*XLOOKUP(XLOOKUP($Q978,'Threshold Summary'!$Y:$Y,'Threshold Summary'!$K:$K,""),'Pokemon Editor'!$A:$A,'Pokemon Editor'!$H:$H,0)+31+FLOOR(XLOOKUP($Q978,'Threshold Summary'!$Y:$Y,'Threshold Summary'!$R:$R,"")/4))*XLOOKUP($Q978,'Threshold Summary'!$Y:$Y,'Threshold Summary'!$L:$L,""))/100)+5)*XLOOKUP(XLOOKUP($Q978,'Threshold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Editor'!$E:$E,1))),stab,IF(OR(mtype=XLOOKUP(XLOOKUP($Q978,'Threshold Summary'!$Y:$Y,'Threshold Summary'!$K:$K,""),'Pokemon Editor'!$A:$A,'Pokemon Editor'!$C:$C,""),mtype=XLOOKUP(XLOOKUP($Q978,'Threshold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Chart'!$B$1:$S$1,0)))),base,IF(OR(cat="Status",pow=0),0,FLOOR(FLOOR(FLOOR((2*XLOOKUP($Q978,'Threshold Summary'!$Y:$Y,'Threshold Summary'!$L:$L,"")/5+2)*pow*atk/def)/50)+2)),modifier,stab*eff,FLOOR(base*modifier*0.85)),0)</f>
        <v/>
      </c>
      <c r="K978" s="3">
        <f>IFERROR(LET(mtype,XLOOKUP($D978,'Move Editor'!$B:$B,'Move Editor'!$C:$C,""),cat,XLOOKUP($D978,'Move Editor'!$B:$B,'Move Editor'!$D:$D,""),pow,XLOOKUP($D978,'Move Editor'!$B:$B,'Move Editor'!$E:$E,0),acc,XLOOKUP($D978,'Move Editor'!$B:$B,'Move Editor'!$F:$F,100),atk,IF(cat="Physical",FLOOR((FLOOR(((2*XLOOKUP(XLOOKUP($Q978,'Threshold Summary'!$Y:$Y,'Threshold Summary'!$K:$K,""),'Pokemon Editor'!$A:$A,'Pokemon Editor'!$F:$F,0)+31+FLOOR(XLOOKUP($Q978,'Threshold Summary'!$Y:$Y,'Threshold Summary'!$P:$P,"")/4))*XLOOKUP($Q978,'Threshold Summary'!$Y:$Y,'Threshold Summary'!$L:$L,""))/100)+5)*XLOOKUP(XLOOKUP($Q978,'Threshold Summary'!$Y:$Y,'Threshold Summary'!$M:$M,""),'Nature Editor'!$A:$A,'Nature Editor'!$B:$B,1)),FLOOR((FLOOR(((2*XLOOKUP(XLOOKUP($Q978,'Threshold Summary'!$Y:$Y,'Threshold Summary'!$K:$K,""),'Pokemon Editor'!$A:$A,'Pokemon Editor'!$H:$H,0)+31+FLOOR(XLOOKUP($Q978,'Threshold Summary'!$Y:$Y,'Threshold Summary'!$R:$R,"")/4))*XLOOKUP($Q978,'Threshold Summary'!$Y:$Y,'Threshold Summary'!$L:$L,""))/100)+5)*XLOOKUP(XLOOKUP($Q978,'Threshold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Editor'!$E:$E,1))),stab,IF(OR(mtype=XLOOKUP(XLOOKUP($Q978,'Threshold Summary'!$Y:$Y,'Threshold Summary'!$K:$K,""),'Pokemon Editor'!$A:$A,'Pokemon Editor'!$C:$C,""),mtype=XLOOKUP(XLOOKUP($Q978,'Threshold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Chart'!$B$1:$S$1,0)))),base,IF(OR(cat="Status",pow=0),0,FLOOR(FLOOR(FLOOR((2*XLOOKUP($Q978,'Threshold Summary'!$Y:$Y,'Threshold Summary'!$L:$L,"")/5+2)*pow*atk/def)/50)+2)),modifier,stab*eff,FLOOR(base*modifier)),0)</f>
        <v/>
      </c>
      <c r="L978" s="3">
        <f>IFERROR(LET(mtype,XLOOKUP($D978,'Move Editor'!$B:$B,'Move Editor'!$C:$C,""),cat,XLOOKUP($D978,'Move Editor'!$B:$B,'Move Editor'!$D:$D,""),pow,XLOOKUP($D978,'Move Editor'!$B:$B,'Move Editor'!$E:$E,0),acc,XLOOKUP($D978,'Move Editor'!$B:$B,'Move Editor'!$F:$F,100),atk,IF(cat="Physical",FLOOR((FLOOR(((2*XLOOKUP(XLOOKUP($Q978,'Threshold Summary'!$Y:$Y,'Threshold Summary'!$K:$K,""),'Pokemon Editor'!$A:$A,'Pokemon Editor'!$F:$F,0)+31+FLOOR(XLOOKUP($Q978,'Threshold Summary'!$Y:$Y,'Threshold Summary'!$P:$P,"")/4))*XLOOKUP($Q978,'Threshold Summary'!$Y:$Y,'Threshold Summary'!$L:$L,""))/100)+5)*XLOOKUP(XLOOKUP($Q978,'Threshold Summary'!$Y:$Y,'Threshold Summary'!$M:$M,""),'Nature Editor'!$A:$A,'Nature Editor'!$B:$B,1)),FLOOR((FLOOR(((2*XLOOKUP(XLOOKUP($Q978,'Threshold Summary'!$Y:$Y,'Threshold Summary'!$K:$K,""),'Pokemon Editor'!$A:$A,'Pokemon Editor'!$H:$H,0)+31+FLOOR(XLOOKUP($Q978,'Threshold Summary'!$Y:$Y,'Threshold Summary'!$R:$R,"")/4))*XLOOKUP($Q978,'Threshold Summary'!$Y:$Y,'Threshold Summary'!$L:$L,""))/100)+5)*XLOOKUP(XLOOKUP($Q978,'Threshold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Editor'!$E:$E,1))),stab,IF(OR(mtype=XLOOKUP(XLOOKUP($Q978,'Threshold Summary'!$Y:$Y,'Threshold Summary'!$K:$K,""),'Pokemon Editor'!$A:$A,'Pokemon Editor'!$C:$C,""),mtype=XLOOKUP(XLOOKUP($Q978,'Threshold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Chart'!$B$1:$S$1,0)))),base,IF(OR(cat="Status",pow=0),0,FLOOR(FLOOR(FLOOR((2*XLOOKUP($Q978,'Threshold Summary'!$Y:$Y,'Threshold Summary'!$L:$L,"")/5+2)*pow*atk/def)/50)+2)),modifier,stab*eff,AVERAGE(ARRAYFORMULA(FLOOR(base*modifier*SEQUENCE(16,1,85,1)/100)))),0)</f>
        <v/>
      </c>
      <c r="M978" s="3">
        <f>IFERROR(LET(mtype,XLOOKUP($D978,'Move Editor'!$B:$B,'Move Editor'!$C:$C,""),cat,XLOOKUP($D978,'Move Editor'!$B:$B,'Move Editor'!$D:$D,""),pow,XLOOKUP($D978,'Move Editor'!$B:$B,'Move Editor'!$E:$E,0),acc,XLOOKUP($D978,'Move Editor'!$B:$B,'Move Editor'!$F:$F,100),atk,IF(cat="Physical",FLOOR((FLOOR(((2*XLOOKUP(XLOOKUP($Q978,'Threshold Summary'!$Y:$Y,'Threshold Summary'!$K:$K,""),'Pokemon Editor'!$A:$A,'Pokemon Editor'!$F:$F,0)+31+FLOOR(XLOOKUP($Q978,'Threshold Summary'!$Y:$Y,'Threshold Summary'!$P:$P,"")/4))*XLOOKUP($Q978,'Threshold Summary'!$Y:$Y,'Threshold Summary'!$L:$L,""))/100)+5)*XLOOKUP(XLOOKUP($Q978,'Threshold Summary'!$Y:$Y,'Threshold Summary'!$M:$M,""),'Nature Editor'!$A:$A,'Nature Editor'!$B:$B,1)),FLOOR((FLOOR(((2*XLOOKUP(XLOOKUP($Q978,'Threshold Summary'!$Y:$Y,'Threshold Summary'!$K:$K,""),'Pokemon Editor'!$A:$A,'Pokemon Editor'!$H:$H,0)+31+FLOOR(XLOOKUP($Q978,'Threshold Summary'!$Y:$Y,'Threshold Summary'!$R:$R,"")/4))*XLOOKUP($Q978,'Threshold Summary'!$Y:$Y,'Threshold Summary'!$L:$L,""))/100)+5)*XLOOKUP(XLOOKUP($Q978,'Threshold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Editor'!$E:$E,1))),stab,IF(OR(mtype=XLOOKUP(XLOOKUP($Q978,'Threshold Summary'!$Y:$Y,'Threshold Summary'!$K:$K,""),'Pokemon Editor'!$A:$A,'Pokemon Editor'!$C:$C,""),mtype=XLOOKUP(XLOOKUP($Q978,'Threshold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Chart'!$B$1:$S$1,0)))),base,IF(OR(cat="Status",pow=0),0,FLOOR(FLOOR(FLOOR((2*XLOOKUP($Q978,'Threshold Summary'!$Y:$Y,'Threshold Summary'!$L:$L,"")/5+2)*pow*atk/def)/50)+2)),modifier,stab*eff,AVERAGE(ARRAYFORMULA(FLOOR(base*modifier*SEQUENCE(16,1,85,1)/100)))*MIN(1,acc/100)),0)</f>
        <v/>
      </c>
      <c r="N978" s="4">
        <f>IFERROR(LET(mtype,XLOOKUP($D978,'Move Editor'!$B:$B,'Move Editor'!$C:$C,""),cat,XLOOKUP($D978,'Move Editor'!$B:$B,'Move Editor'!$D:$D,""),pow,XLOOKUP($D978,'Move Editor'!$B:$B,'Move Editor'!$E:$E,0),acc,XLOOKUP($D978,'Move Editor'!$B:$B,'Move Editor'!$F:$F,100),atk,IF(cat="Physical",FLOOR((FLOOR(((2*XLOOKUP(XLOOKUP($Q978,'Threshold Summary'!$Y:$Y,'Threshold Summary'!$K:$K,""),'Pokemon Editor'!$A:$A,'Pokemon Editor'!$F:$F,0)+31+FLOOR(XLOOKUP($Q978,'Threshold Summary'!$Y:$Y,'Threshold Summary'!$P:$P,"")/4))*XLOOKUP($Q978,'Threshold Summary'!$Y:$Y,'Threshold Summary'!$L:$L,""))/100)+5)*XLOOKUP(XLOOKUP($Q978,'Threshold Summary'!$Y:$Y,'Threshold Summary'!$M:$M,""),'Nature Editor'!$A:$A,'Nature Editor'!$B:$B,1)),FLOOR((FLOOR(((2*XLOOKUP(XLOOKUP($Q978,'Threshold Summary'!$Y:$Y,'Threshold Summary'!$K:$K,""),'Pokemon Editor'!$A:$A,'Pokemon Editor'!$H:$H,0)+31+FLOOR(XLOOKUP($Q978,'Threshold Summary'!$Y:$Y,'Threshold Summary'!$R:$R,"")/4))*XLOOKUP($Q978,'Threshold Summary'!$Y:$Y,'Threshold Summary'!$L:$L,""))/100)+5)*XLOOKUP(XLOOKUP($Q978,'Threshold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Editor'!$E:$E,1))),stab,IF(OR(mtype=XLOOKUP(XLOOKUP($Q978,'Threshold Summary'!$Y:$Y,'Threshold Summary'!$K:$K,""),'Pokemon Editor'!$A:$A,'Pokemon Editor'!$C:$C,""),mtype=XLOOKUP(XLOOKUP($Q978,'Threshold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Chart'!$B$1:$S$1,0)))),base,IF(OR(cat="Status",pow=0),0,FLOOR(FLOOR(FLOOR((2*XLOOKUP($Q978,'Threshold Summary'!$Y:$Y,'Threshold Summary'!$L:$L,"")/5+2)*pow*atk/def)/50)+2)),modifier,stab*eff,AVERAGE(ARRAYFORMULA(FLOOR(base*modifier*SEQUENCE(16,1,85,1)/100)))/(FLOOR(((2*XLOOKUP('Boss Editor'!$C$4,'Pokemon Editor'!$A:$A,'Pokemon Editor'!$E:$E,0)+31+FLOOR('Boss Editor'!$G$4/4))*'Boss Editor'!$D$4)/100)+'Boss Editor'!$D$4+10)),0)</f>
        <v/>
      </c>
      <c r="O978" s="3">
        <f>IF(N978&gt;=1,"OHKO",IF(N978&gt;=0.5,"2HKO",IF(N978&gt;=0.333,"3HKO",IF(N978&gt;=0.25,"4HKO","5HKO+"))))</f>
        <v/>
      </c>
      <c r="P978" s="3" t="inlineStr">
        <is>
          <t>Live from editable databases</t>
        </is>
      </c>
      <c r="Q978" s="3" t="inlineStr">
        <is>
          <t>SPECIES_WATTREL</t>
        </is>
      </c>
      <c r="R978" s="3" t="n">
        <v>17</v>
      </c>
    </row>
    <row r="979">
      <c r="A979" s="3">
        <f>XLOOKUP($Q979,'Threshold Summary'!$Y:$Y,'Threshold Summary'!$A:$A,"")</f>
        <v/>
      </c>
      <c r="B979" s="3">
        <f>XLOOKUP($Q979,'Threshold Summary'!$Y:$Y,'Threshold Summary'!$M:$M,"")</f>
        <v/>
      </c>
      <c r="C979" s="3">
        <f>XLOOKUP($Q979,'Threshold Summary'!$Y:$Y,'Threshold Summary'!$N:$N,"")</f>
        <v/>
      </c>
      <c r="D979" s="3">
        <f>IFERROR(INDEX(FILTER('Learnset Editor'!$D$2:$D,'Learnset Editor'!$A$2:$A=XLOOKUP($Q979,'Threshold Summary'!$Y:$Y,'Threshold Summary'!$K:$K,""),'Learnset Editor'!$C$2:$C&lt;=XLOOKUP($Q979,'Threshold Summary'!$Y:$Y,'Threshold Summary'!$L:$L,"")),$R979),"")</f>
        <v/>
      </c>
      <c r="E979" s="3">
        <f>XLOOKUP(D979,'Move Editor'!$B:$B,'Move Editor'!$C:$C,"")</f>
        <v/>
      </c>
      <c r="F979" s="3">
        <f>XLOOKUP(D979,'Move Editor'!$B:$B,'Move Editor'!$D:$D,"")</f>
        <v/>
      </c>
      <c r="G979" s="3">
        <f>XLOOKUP(D979,'Move Editor'!$B:$B,'Move Editor'!$E:$E,0)</f>
        <v/>
      </c>
      <c r="H979" s="3">
        <f>XLOOKUP(D979,'Move Editor'!$B:$B,'Move Editor'!$F:$F,0)</f>
        <v/>
      </c>
      <c r="I979" s="3">
        <f>(INDEX('Type Chart'!$B:$S,MATCH(E979,'Type Chart'!$A:$A,0),MATCH(XLOOKUP('Boss Editor'!$C$4,'Pokemon Editor'!$A:$A,'Pokemon Editor'!$C:$C,""),'Type Chart'!$B$1:$S$1,0))*IF(XLOOKUP('Boss Editor'!$C$4,'Pokemon Editor'!$A:$A,'Pokemon Editor'!$D:$D,"")="",1,INDEX('Type Chart'!$B:$S,MATCH(E979,'Type Chart'!$A:$A,0),MATCH(XLOOKUP('Boss Editor'!$C$4,'Pokemon Editor'!$A:$A,'Pokemon Editor'!$D:$D,""),'Type Chart'!$B$1:$S$1,0))))</f>
        <v/>
      </c>
      <c r="J979" s="3">
        <f>IFERROR(LET(mtype,XLOOKUP($D979,'Move Editor'!$B:$B,'Move Editor'!$C:$C,""),cat,XLOOKUP($D979,'Move Editor'!$B:$B,'Move Editor'!$D:$D,""),pow,XLOOKUP($D979,'Move Editor'!$B:$B,'Move Editor'!$E:$E,0),acc,XLOOKUP($D979,'Move Editor'!$B:$B,'Move Editor'!$F:$F,100),atk,IF(cat="Physical",FLOOR((FLOOR(((2*XLOOKUP(XLOOKUP($Q979,'Threshold Summary'!$Y:$Y,'Threshold Summary'!$K:$K,""),'Pokemon Editor'!$A:$A,'Pokemon Editor'!$F:$F,0)+31+FLOOR(XLOOKUP($Q979,'Threshold Summary'!$Y:$Y,'Threshold Summary'!$P:$P,"")/4))*XLOOKUP($Q979,'Threshold Summary'!$Y:$Y,'Threshold Summary'!$L:$L,""))/100)+5)*XLOOKUP(XLOOKUP($Q979,'Threshold Summary'!$Y:$Y,'Threshold Summary'!$M:$M,""),'Nature Editor'!$A:$A,'Nature Editor'!$B:$B,1)),FLOOR((FLOOR(((2*XLOOKUP(XLOOKUP($Q979,'Threshold Summary'!$Y:$Y,'Threshold Summary'!$K:$K,""),'Pokemon Editor'!$A:$A,'Pokemon Editor'!$H:$H,0)+31+FLOOR(XLOOKUP($Q979,'Threshold Summary'!$Y:$Y,'Threshold Summary'!$R:$R,"")/4))*XLOOKUP($Q979,'Threshold Summary'!$Y:$Y,'Threshold Summary'!$L:$L,""))/100)+5)*XLOOKUP(XLOOKUP($Q979,'Threshold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Editor'!$E:$E,1))),stab,IF(OR(mtype=XLOOKUP(XLOOKUP($Q979,'Threshold Summary'!$Y:$Y,'Threshold Summary'!$K:$K,""),'Pokemon Editor'!$A:$A,'Pokemon Editor'!$C:$C,""),mtype=XLOOKUP(XLOOKUP($Q979,'Threshold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Chart'!$B$1:$S$1,0)))),base,IF(OR(cat="Status",pow=0),0,FLOOR(FLOOR(FLOOR((2*XLOOKUP($Q979,'Threshold Summary'!$Y:$Y,'Threshold Summary'!$L:$L,"")/5+2)*pow*atk/def)/50)+2)),modifier,stab*eff,FLOOR(base*modifier*0.85)),0)</f>
        <v/>
      </c>
      <c r="K979" s="3">
        <f>IFERROR(LET(mtype,XLOOKUP($D979,'Move Editor'!$B:$B,'Move Editor'!$C:$C,""),cat,XLOOKUP($D979,'Move Editor'!$B:$B,'Move Editor'!$D:$D,""),pow,XLOOKUP($D979,'Move Editor'!$B:$B,'Move Editor'!$E:$E,0),acc,XLOOKUP($D979,'Move Editor'!$B:$B,'Move Editor'!$F:$F,100),atk,IF(cat="Physical",FLOOR((FLOOR(((2*XLOOKUP(XLOOKUP($Q979,'Threshold Summary'!$Y:$Y,'Threshold Summary'!$K:$K,""),'Pokemon Editor'!$A:$A,'Pokemon Editor'!$F:$F,0)+31+FLOOR(XLOOKUP($Q979,'Threshold Summary'!$Y:$Y,'Threshold Summary'!$P:$P,"")/4))*XLOOKUP($Q979,'Threshold Summary'!$Y:$Y,'Threshold Summary'!$L:$L,""))/100)+5)*XLOOKUP(XLOOKUP($Q979,'Threshold Summary'!$Y:$Y,'Threshold Summary'!$M:$M,""),'Nature Editor'!$A:$A,'Nature Editor'!$B:$B,1)),FLOOR((FLOOR(((2*XLOOKUP(XLOOKUP($Q979,'Threshold Summary'!$Y:$Y,'Threshold Summary'!$K:$K,""),'Pokemon Editor'!$A:$A,'Pokemon Editor'!$H:$H,0)+31+FLOOR(XLOOKUP($Q979,'Threshold Summary'!$Y:$Y,'Threshold Summary'!$R:$R,"")/4))*XLOOKUP($Q979,'Threshold Summary'!$Y:$Y,'Threshold Summary'!$L:$L,""))/100)+5)*XLOOKUP(XLOOKUP($Q979,'Threshold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Editor'!$E:$E,1))),stab,IF(OR(mtype=XLOOKUP(XLOOKUP($Q979,'Threshold Summary'!$Y:$Y,'Threshold Summary'!$K:$K,""),'Pokemon Editor'!$A:$A,'Pokemon Editor'!$C:$C,""),mtype=XLOOKUP(XLOOKUP($Q979,'Threshold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Chart'!$B$1:$S$1,0)))),base,IF(OR(cat="Status",pow=0),0,FLOOR(FLOOR(FLOOR((2*XLOOKUP($Q979,'Threshold Summary'!$Y:$Y,'Threshold Summary'!$L:$L,"")/5+2)*pow*atk/def)/50)+2)),modifier,stab*eff,FLOOR(base*modifier)),0)</f>
        <v/>
      </c>
      <c r="L979" s="3">
        <f>IFERROR(LET(mtype,XLOOKUP($D979,'Move Editor'!$B:$B,'Move Editor'!$C:$C,""),cat,XLOOKUP($D979,'Move Editor'!$B:$B,'Move Editor'!$D:$D,""),pow,XLOOKUP($D979,'Move Editor'!$B:$B,'Move Editor'!$E:$E,0),acc,XLOOKUP($D979,'Move Editor'!$B:$B,'Move Editor'!$F:$F,100),atk,IF(cat="Physical",FLOOR((FLOOR(((2*XLOOKUP(XLOOKUP($Q979,'Threshold Summary'!$Y:$Y,'Threshold Summary'!$K:$K,""),'Pokemon Editor'!$A:$A,'Pokemon Editor'!$F:$F,0)+31+FLOOR(XLOOKUP($Q979,'Threshold Summary'!$Y:$Y,'Threshold Summary'!$P:$P,"")/4))*XLOOKUP($Q979,'Threshold Summary'!$Y:$Y,'Threshold Summary'!$L:$L,""))/100)+5)*XLOOKUP(XLOOKUP($Q979,'Threshold Summary'!$Y:$Y,'Threshold Summary'!$M:$M,""),'Nature Editor'!$A:$A,'Nature Editor'!$B:$B,1)),FLOOR((FLOOR(((2*XLOOKUP(XLOOKUP($Q979,'Threshold Summary'!$Y:$Y,'Threshold Summary'!$K:$K,""),'Pokemon Editor'!$A:$A,'Pokemon Editor'!$H:$H,0)+31+FLOOR(XLOOKUP($Q979,'Threshold Summary'!$Y:$Y,'Threshold Summary'!$R:$R,"")/4))*XLOOKUP($Q979,'Threshold Summary'!$Y:$Y,'Threshold Summary'!$L:$L,""))/100)+5)*XLOOKUP(XLOOKUP($Q979,'Threshold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Editor'!$E:$E,1))),stab,IF(OR(mtype=XLOOKUP(XLOOKUP($Q979,'Threshold Summary'!$Y:$Y,'Threshold Summary'!$K:$K,""),'Pokemon Editor'!$A:$A,'Pokemon Editor'!$C:$C,""),mtype=XLOOKUP(XLOOKUP($Q979,'Threshold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Chart'!$B$1:$S$1,0)))),base,IF(OR(cat="Status",pow=0),0,FLOOR(FLOOR(FLOOR((2*XLOOKUP($Q979,'Threshold Summary'!$Y:$Y,'Threshold Summary'!$L:$L,"")/5+2)*pow*atk/def)/50)+2)),modifier,stab*eff,AVERAGE(ARRAYFORMULA(FLOOR(base*modifier*SEQUENCE(16,1,85,1)/100)))),0)</f>
        <v/>
      </c>
      <c r="M979" s="3">
        <f>IFERROR(LET(mtype,XLOOKUP($D979,'Move Editor'!$B:$B,'Move Editor'!$C:$C,""),cat,XLOOKUP($D979,'Move Editor'!$B:$B,'Move Editor'!$D:$D,""),pow,XLOOKUP($D979,'Move Editor'!$B:$B,'Move Editor'!$E:$E,0),acc,XLOOKUP($D979,'Move Editor'!$B:$B,'Move Editor'!$F:$F,100),atk,IF(cat="Physical",FLOOR((FLOOR(((2*XLOOKUP(XLOOKUP($Q979,'Threshold Summary'!$Y:$Y,'Threshold Summary'!$K:$K,""),'Pokemon Editor'!$A:$A,'Pokemon Editor'!$F:$F,0)+31+FLOOR(XLOOKUP($Q979,'Threshold Summary'!$Y:$Y,'Threshold Summary'!$P:$P,"")/4))*XLOOKUP($Q979,'Threshold Summary'!$Y:$Y,'Threshold Summary'!$L:$L,""))/100)+5)*XLOOKUP(XLOOKUP($Q979,'Threshold Summary'!$Y:$Y,'Threshold Summary'!$M:$M,""),'Nature Editor'!$A:$A,'Nature Editor'!$B:$B,1)),FLOOR((FLOOR(((2*XLOOKUP(XLOOKUP($Q979,'Threshold Summary'!$Y:$Y,'Threshold Summary'!$K:$K,""),'Pokemon Editor'!$A:$A,'Pokemon Editor'!$H:$H,0)+31+FLOOR(XLOOKUP($Q979,'Threshold Summary'!$Y:$Y,'Threshold Summary'!$R:$R,"")/4))*XLOOKUP($Q979,'Threshold Summary'!$Y:$Y,'Threshold Summary'!$L:$L,""))/100)+5)*XLOOKUP(XLOOKUP($Q979,'Threshold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Editor'!$E:$E,1))),stab,IF(OR(mtype=XLOOKUP(XLOOKUP($Q979,'Threshold Summary'!$Y:$Y,'Threshold Summary'!$K:$K,""),'Pokemon Editor'!$A:$A,'Pokemon Editor'!$C:$C,""),mtype=XLOOKUP(XLOOKUP($Q979,'Threshold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Chart'!$B$1:$S$1,0)))),base,IF(OR(cat="Status",pow=0),0,FLOOR(FLOOR(FLOOR((2*XLOOKUP($Q979,'Threshold Summary'!$Y:$Y,'Threshold Summary'!$L:$L,"")/5+2)*pow*atk/def)/50)+2)),modifier,stab*eff,AVERAGE(ARRAYFORMULA(FLOOR(base*modifier*SEQUENCE(16,1,85,1)/100)))*MIN(1,acc/100)),0)</f>
        <v/>
      </c>
      <c r="N979" s="4">
        <f>IFERROR(LET(mtype,XLOOKUP($D979,'Move Editor'!$B:$B,'Move Editor'!$C:$C,""),cat,XLOOKUP($D979,'Move Editor'!$B:$B,'Move Editor'!$D:$D,""),pow,XLOOKUP($D979,'Move Editor'!$B:$B,'Move Editor'!$E:$E,0),acc,XLOOKUP($D979,'Move Editor'!$B:$B,'Move Editor'!$F:$F,100),atk,IF(cat="Physical",FLOOR((FLOOR(((2*XLOOKUP(XLOOKUP($Q979,'Threshold Summary'!$Y:$Y,'Threshold Summary'!$K:$K,""),'Pokemon Editor'!$A:$A,'Pokemon Editor'!$F:$F,0)+31+FLOOR(XLOOKUP($Q979,'Threshold Summary'!$Y:$Y,'Threshold Summary'!$P:$P,"")/4))*XLOOKUP($Q979,'Threshold Summary'!$Y:$Y,'Threshold Summary'!$L:$L,""))/100)+5)*XLOOKUP(XLOOKUP($Q979,'Threshold Summary'!$Y:$Y,'Threshold Summary'!$M:$M,""),'Nature Editor'!$A:$A,'Nature Editor'!$B:$B,1)),FLOOR((FLOOR(((2*XLOOKUP(XLOOKUP($Q979,'Threshold Summary'!$Y:$Y,'Threshold Summary'!$K:$K,""),'Pokemon Editor'!$A:$A,'Pokemon Editor'!$H:$H,0)+31+FLOOR(XLOOKUP($Q979,'Threshold Summary'!$Y:$Y,'Threshold Summary'!$R:$R,"")/4))*XLOOKUP($Q979,'Threshold Summary'!$Y:$Y,'Threshold Summary'!$L:$L,""))/100)+5)*XLOOKUP(XLOOKUP($Q979,'Threshold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Editor'!$E:$E,1))),stab,IF(OR(mtype=XLOOKUP(XLOOKUP($Q979,'Threshold Summary'!$Y:$Y,'Threshold Summary'!$K:$K,""),'Pokemon Editor'!$A:$A,'Pokemon Editor'!$C:$C,""),mtype=XLOOKUP(XLOOKUP($Q979,'Threshold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Chart'!$B$1:$S$1,0)))),base,IF(OR(cat="Status",pow=0),0,FLOOR(FLOOR(FLOOR((2*XLOOKUP($Q979,'Threshold Summary'!$Y:$Y,'Threshold Summary'!$L:$L,"")/5+2)*pow*atk/def)/50)+2)),modifier,stab*eff,AVERAGE(ARRAYFORMULA(FLOOR(base*modifier*SEQUENCE(16,1,85,1)/100)))/(FLOOR(((2*XLOOKUP('Boss Editor'!$C$4,'Pokemon Editor'!$A:$A,'Pokemon Editor'!$E:$E,0)+31+FLOOR('Boss Editor'!$G$4/4))*'Boss Editor'!$D$4)/100)+'Boss Editor'!$D$4+10)),0)</f>
        <v/>
      </c>
      <c r="O979" s="3">
        <f>IF(N979&gt;=1,"OHKO",IF(N979&gt;=0.5,"2HKO",IF(N979&gt;=0.333,"3HKO",IF(N979&gt;=0.25,"4HKO","5HKO+"))))</f>
        <v/>
      </c>
      <c r="P979" s="3" t="inlineStr">
        <is>
          <t>Live from editable databases</t>
        </is>
      </c>
      <c r="Q979" s="3" t="inlineStr">
        <is>
          <t>SPECIES_WATTREL</t>
        </is>
      </c>
      <c r="R979" s="3" t="n">
        <v>18</v>
      </c>
    </row>
    <row r="980">
      <c r="A980" s="3">
        <f>XLOOKUP($Q980,'Threshold Summary'!$Y:$Y,'Threshold Summary'!$A:$A,"")</f>
        <v/>
      </c>
      <c r="B980" s="3">
        <f>XLOOKUP($Q980,'Threshold Summary'!$Y:$Y,'Threshold Summary'!$M:$M,"")</f>
        <v/>
      </c>
      <c r="C980" s="3">
        <f>XLOOKUP($Q980,'Threshold Summary'!$Y:$Y,'Threshold Summary'!$N:$N,"")</f>
        <v/>
      </c>
      <c r="D980" s="3">
        <f>IFERROR(INDEX(FILTER('Learnset Editor'!$D$2:$D,'Learnset Editor'!$A$2:$A=XLOOKUP($Q980,'Threshold Summary'!$Y:$Y,'Threshold Summary'!$K:$K,""),'Learnset Editor'!$C$2:$C&lt;=XLOOKUP($Q980,'Threshold Summary'!$Y:$Y,'Threshold Summary'!$L:$L,"")),$R980),"")</f>
        <v/>
      </c>
      <c r="E980" s="3">
        <f>XLOOKUP(D980,'Move Editor'!$B:$B,'Move Editor'!$C:$C,"")</f>
        <v/>
      </c>
      <c r="F980" s="3">
        <f>XLOOKUP(D980,'Move Editor'!$B:$B,'Move Editor'!$D:$D,"")</f>
        <v/>
      </c>
      <c r="G980" s="3">
        <f>XLOOKUP(D980,'Move Editor'!$B:$B,'Move Editor'!$E:$E,0)</f>
        <v/>
      </c>
      <c r="H980" s="3">
        <f>XLOOKUP(D980,'Move Editor'!$B:$B,'Move Editor'!$F:$F,0)</f>
        <v/>
      </c>
      <c r="I980" s="3">
        <f>(INDEX('Type Chart'!$B:$S,MATCH(E980,'Type Chart'!$A:$A,0),MATCH(XLOOKUP('Boss Editor'!$C$4,'Pokemon Editor'!$A:$A,'Pokemon Editor'!$C:$C,""),'Type Chart'!$B$1:$S$1,0))*IF(XLOOKUP('Boss Editor'!$C$4,'Pokemon Editor'!$A:$A,'Pokemon Editor'!$D:$D,"")="",1,INDEX('Type Chart'!$B:$S,MATCH(E980,'Type Chart'!$A:$A,0),MATCH(XLOOKUP('Boss Editor'!$C$4,'Pokemon Editor'!$A:$A,'Pokemon Editor'!$D:$D,""),'Type Chart'!$B$1:$S$1,0))))</f>
        <v/>
      </c>
      <c r="J980" s="3">
        <f>IFERROR(LET(mtype,XLOOKUP($D980,'Move Editor'!$B:$B,'Move Editor'!$C:$C,""),cat,XLOOKUP($D980,'Move Editor'!$B:$B,'Move Editor'!$D:$D,""),pow,XLOOKUP($D980,'Move Editor'!$B:$B,'Move Editor'!$E:$E,0),acc,XLOOKUP($D980,'Move Editor'!$B:$B,'Move Editor'!$F:$F,100),atk,IF(cat="Physical",FLOOR((FLOOR(((2*XLOOKUP(XLOOKUP($Q980,'Threshold Summary'!$Y:$Y,'Threshold Summary'!$K:$K,""),'Pokemon Editor'!$A:$A,'Pokemon Editor'!$F:$F,0)+31+FLOOR(XLOOKUP($Q980,'Threshold Summary'!$Y:$Y,'Threshold Summary'!$P:$P,"")/4))*XLOOKUP($Q980,'Threshold Summary'!$Y:$Y,'Threshold Summary'!$L:$L,""))/100)+5)*XLOOKUP(XLOOKUP($Q980,'Threshold Summary'!$Y:$Y,'Threshold Summary'!$M:$M,""),'Nature Editor'!$A:$A,'Nature Editor'!$B:$B,1)),FLOOR((FLOOR(((2*XLOOKUP(XLOOKUP($Q980,'Threshold Summary'!$Y:$Y,'Threshold Summary'!$K:$K,""),'Pokemon Editor'!$A:$A,'Pokemon Editor'!$H:$H,0)+31+FLOOR(XLOOKUP($Q980,'Threshold Summary'!$Y:$Y,'Threshold Summary'!$R:$R,"")/4))*XLOOKUP($Q980,'Threshold Summary'!$Y:$Y,'Threshold Summary'!$L:$L,""))/100)+5)*XLOOKUP(XLOOKUP($Q980,'Threshold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Editor'!$E:$E,1))),stab,IF(OR(mtype=XLOOKUP(XLOOKUP($Q980,'Threshold Summary'!$Y:$Y,'Threshold Summary'!$K:$K,""),'Pokemon Editor'!$A:$A,'Pokemon Editor'!$C:$C,""),mtype=XLOOKUP(XLOOKUP($Q980,'Threshold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Chart'!$B$1:$S$1,0)))),base,IF(OR(cat="Status",pow=0),0,FLOOR(FLOOR(FLOOR((2*XLOOKUP($Q980,'Threshold Summary'!$Y:$Y,'Threshold Summary'!$L:$L,"")/5+2)*pow*atk/def)/50)+2)),modifier,stab*eff,FLOOR(base*modifier*0.85)),0)</f>
        <v/>
      </c>
      <c r="K980" s="3">
        <f>IFERROR(LET(mtype,XLOOKUP($D980,'Move Editor'!$B:$B,'Move Editor'!$C:$C,""),cat,XLOOKUP($D980,'Move Editor'!$B:$B,'Move Editor'!$D:$D,""),pow,XLOOKUP($D980,'Move Editor'!$B:$B,'Move Editor'!$E:$E,0),acc,XLOOKUP($D980,'Move Editor'!$B:$B,'Move Editor'!$F:$F,100),atk,IF(cat="Physical",FLOOR((FLOOR(((2*XLOOKUP(XLOOKUP($Q980,'Threshold Summary'!$Y:$Y,'Threshold Summary'!$K:$K,""),'Pokemon Editor'!$A:$A,'Pokemon Editor'!$F:$F,0)+31+FLOOR(XLOOKUP($Q980,'Threshold Summary'!$Y:$Y,'Threshold Summary'!$P:$P,"")/4))*XLOOKUP($Q980,'Threshold Summary'!$Y:$Y,'Threshold Summary'!$L:$L,""))/100)+5)*XLOOKUP(XLOOKUP($Q980,'Threshold Summary'!$Y:$Y,'Threshold Summary'!$M:$M,""),'Nature Editor'!$A:$A,'Nature Editor'!$B:$B,1)),FLOOR((FLOOR(((2*XLOOKUP(XLOOKUP($Q980,'Threshold Summary'!$Y:$Y,'Threshold Summary'!$K:$K,""),'Pokemon Editor'!$A:$A,'Pokemon Editor'!$H:$H,0)+31+FLOOR(XLOOKUP($Q980,'Threshold Summary'!$Y:$Y,'Threshold Summary'!$R:$R,"")/4))*XLOOKUP($Q980,'Threshold Summary'!$Y:$Y,'Threshold Summary'!$L:$L,""))/100)+5)*XLOOKUP(XLOOKUP($Q980,'Threshold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Editor'!$E:$E,1))),stab,IF(OR(mtype=XLOOKUP(XLOOKUP($Q980,'Threshold Summary'!$Y:$Y,'Threshold Summary'!$K:$K,""),'Pokemon Editor'!$A:$A,'Pokemon Editor'!$C:$C,""),mtype=XLOOKUP(XLOOKUP($Q980,'Threshold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Chart'!$B$1:$S$1,0)))),base,IF(OR(cat="Status",pow=0),0,FLOOR(FLOOR(FLOOR((2*XLOOKUP($Q980,'Threshold Summary'!$Y:$Y,'Threshold Summary'!$L:$L,"")/5+2)*pow*atk/def)/50)+2)),modifier,stab*eff,FLOOR(base*modifier)),0)</f>
        <v/>
      </c>
      <c r="L980" s="3">
        <f>IFERROR(LET(mtype,XLOOKUP($D980,'Move Editor'!$B:$B,'Move Editor'!$C:$C,""),cat,XLOOKUP($D980,'Move Editor'!$B:$B,'Move Editor'!$D:$D,""),pow,XLOOKUP($D980,'Move Editor'!$B:$B,'Move Editor'!$E:$E,0),acc,XLOOKUP($D980,'Move Editor'!$B:$B,'Move Editor'!$F:$F,100),atk,IF(cat="Physical",FLOOR((FLOOR(((2*XLOOKUP(XLOOKUP($Q980,'Threshold Summary'!$Y:$Y,'Threshold Summary'!$K:$K,""),'Pokemon Editor'!$A:$A,'Pokemon Editor'!$F:$F,0)+31+FLOOR(XLOOKUP($Q980,'Threshold Summary'!$Y:$Y,'Threshold Summary'!$P:$P,"")/4))*XLOOKUP($Q980,'Threshold Summary'!$Y:$Y,'Threshold Summary'!$L:$L,""))/100)+5)*XLOOKUP(XLOOKUP($Q980,'Threshold Summary'!$Y:$Y,'Threshold Summary'!$M:$M,""),'Nature Editor'!$A:$A,'Nature Editor'!$B:$B,1)),FLOOR((FLOOR(((2*XLOOKUP(XLOOKUP($Q980,'Threshold Summary'!$Y:$Y,'Threshold Summary'!$K:$K,""),'Pokemon Editor'!$A:$A,'Pokemon Editor'!$H:$H,0)+31+FLOOR(XLOOKUP($Q980,'Threshold Summary'!$Y:$Y,'Threshold Summary'!$R:$R,"")/4))*XLOOKUP($Q980,'Threshold Summary'!$Y:$Y,'Threshold Summary'!$L:$L,""))/100)+5)*XLOOKUP(XLOOKUP($Q980,'Threshold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Editor'!$E:$E,1))),stab,IF(OR(mtype=XLOOKUP(XLOOKUP($Q980,'Threshold Summary'!$Y:$Y,'Threshold Summary'!$K:$K,""),'Pokemon Editor'!$A:$A,'Pokemon Editor'!$C:$C,""),mtype=XLOOKUP(XLOOKUP($Q980,'Threshold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Chart'!$B$1:$S$1,0)))),base,IF(OR(cat="Status",pow=0),0,FLOOR(FLOOR(FLOOR((2*XLOOKUP($Q980,'Threshold Summary'!$Y:$Y,'Threshold Summary'!$L:$L,"")/5+2)*pow*atk/def)/50)+2)),modifier,stab*eff,AVERAGE(ARRAYFORMULA(FLOOR(base*modifier*SEQUENCE(16,1,85,1)/100)))),0)</f>
        <v/>
      </c>
      <c r="M980" s="3">
        <f>IFERROR(LET(mtype,XLOOKUP($D980,'Move Editor'!$B:$B,'Move Editor'!$C:$C,""),cat,XLOOKUP($D980,'Move Editor'!$B:$B,'Move Editor'!$D:$D,""),pow,XLOOKUP($D980,'Move Editor'!$B:$B,'Move Editor'!$E:$E,0),acc,XLOOKUP($D980,'Move Editor'!$B:$B,'Move Editor'!$F:$F,100),atk,IF(cat="Physical",FLOOR((FLOOR(((2*XLOOKUP(XLOOKUP($Q980,'Threshold Summary'!$Y:$Y,'Threshold Summary'!$K:$K,""),'Pokemon Editor'!$A:$A,'Pokemon Editor'!$F:$F,0)+31+FLOOR(XLOOKUP($Q980,'Threshold Summary'!$Y:$Y,'Threshold Summary'!$P:$P,"")/4))*XLOOKUP($Q980,'Threshold Summary'!$Y:$Y,'Threshold Summary'!$L:$L,""))/100)+5)*XLOOKUP(XLOOKUP($Q980,'Threshold Summary'!$Y:$Y,'Threshold Summary'!$M:$M,""),'Nature Editor'!$A:$A,'Nature Editor'!$B:$B,1)),FLOOR((FLOOR(((2*XLOOKUP(XLOOKUP($Q980,'Threshold Summary'!$Y:$Y,'Threshold Summary'!$K:$K,""),'Pokemon Editor'!$A:$A,'Pokemon Editor'!$H:$H,0)+31+FLOOR(XLOOKUP($Q980,'Threshold Summary'!$Y:$Y,'Threshold Summary'!$R:$R,"")/4))*XLOOKUP($Q980,'Threshold Summary'!$Y:$Y,'Threshold Summary'!$L:$L,""))/100)+5)*XLOOKUP(XLOOKUP($Q980,'Threshold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Editor'!$E:$E,1))),stab,IF(OR(mtype=XLOOKUP(XLOOKUP($Q980,'Threshold Summary'!$Y:$Y,'Threshold Summary'!$K:$K,""),'Pokemon Editor'!$A:$A,'Pokemon Editor'!$C:$C,""),mtype=XLOOKUP(XLOOKUP($Q980,'Threshold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Chart'!$B$1:$S$1,0)))),base,IF(OR(cat="Status",pow=0),0,FLOOR(FLOOR(FLOOR((2*XLOOKUP($Q980,'Threshold Summary'!$Y:$Y,'Threshold Summary'!$L:$L,"")/5+2)*pow*atk/def)/50)+2)),modifier,stab*eff,AVERAGE(ARRAYFORMULA(FLOOR(base*modifier*SEQUENCE(16,1,85,1)/100)))*MIN(1,acc/100)),0)</f>
        <v/>
      </c>
      <c r="N980" s="4">
        <f>IFERROR(LET(mtype,XLOOKUP($D980,'Move Editor'!$B:$B,'Move Editor'!$C:$C,""),cat,XLOOKUP($D980,'Move Editor'!$B:$B,'Move Editor'!$D:$D,""),pow,XLOOKUP($D980,'Move Editor'!$B:$B,'Move Editor'!$E:$E,0),acc,XLOOKUP($D980,'Move Editor'!$B:$B,'Move Editor'!$F:$F,100),atk,IF(cat="Physical",FLOOR((FLOOR(((2*XLOOKUP(XLOOKUP($Q980,'Threshold Summary'!$Y:$Y,'Threshold Summary'!$K:$K,""),'Pokemon Editor'!$A:$A,'Pokemon Editor'!$F:$F,0)+31+FLOOR(XLOOKUP($Q980,'Threshold Summary'!$Y:$Y,'Threshold Summary'!$P:$P,"")/4))*XLOOKUP($Q980,'Threshold Summary'!$Y:$Y,'Threshold Summary'!$L:$L,""))/100)+5)*XLOOKUP(XLOOKUP($Q980,'Threshold Summary'!$Y:$Y,'Threshold Summary'!$M:$M,""),'Nature Editor'!$A:$A,'Nature Editor'!$B:$B,1)),FLOOR((FLOOR(((2*XLOOKUP(XLOOKUP($Q980,'Threshold Summary'!$Y:$Y,'Threshold Summary'!$K:$K,""),'Pokemon Editor'!$A:$A,'Pokemon Editor'!$H:$H,0)+31+FLOOR(XLOOKUP($Q980,'Threshold Summary'!$Y:$Y,'Threshold Summary'!$R:$R,"")/4))*XLOOKUP($Q980,'Threshold Summary'!$Y:$Y,'Threshold Summary'!$L:$L,""))/100)+5)*XLOOKUP(XLOOKUP($Q980,'Threshold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Editor'!$E:$E,1))),stab,IF(OR(mtype=XLOOKUP(XLOOKUP($Q980,'Threshold Summary'!$Y:$Y,'Threshold Summary'!$K:$K,""),'Pokemon Editor'!$A:$A,'Pokemon Editor'!$C:$C,""),mtype=XLOOKUP(XLOOKUP($Q980,'Threshold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Chart'!$B$1:$S$1,0)))),base,IF(OR(cat="Status",pow=0),0,FLOOR(FLOOR(FLOOR((2*XLOOKUP($Q980,'Threshold Summary'!$Y:$Y,'Threshold Summary'!$L:$L,"")/5+2)*pow*atk/def)/50)+2)),modifier,stab*eff,AVERAGE(ARRAYFORMULA(FLOOR(base*modifier*SEQUENCE(16,1,85,1)/100)))/(FLOOR(((2*XLOOKUP('Boss Editor'!$C$4,'Pokemon Editor'!$A:$A,'Pokemon Editor'!$E:$E,0)+31+FLOOR('Boss Editor'!$G$4/4))*'Boss Editor'!$D$4)/100)+'Boss Editor'!$D$4+10)),0)</f>
        <v/>
      </c>
      <c r="O980" s="3">
        <f>IF(N980&gt;=1,"OHKO",IF(N980&gt;=0.5,"2HKO",IF(N980&gt;=0.333,"3HKO",IF(N980&gt;=0.25,"4HKO","5HKO+"))))</f>
        <v/>
      </c>
      <c r="P980" s="3" t="inlineStr">
        <is>
          <t>Live from editable databases</t>
        </is>
      </c>
      <c r="Q980" s="3" t="inlineStr">
        <is>
          <t>SPECIES_WATTREL</t>
        </is>
      </c>
      <c r="R980" s="3" t="n">
        <v>19</v>
      </c>
    </row>
    <row r="981">
      <c r="A981" s="3">
        <f>XLOOKUP($Q981,'Threshold Summary'!$Y:$Y,'Threshold Summary'!$A:$A,"")</f>
        <v/>
      </c>
      <c r="B981" s="3">
        <f>XLOOKUP($Q981,'Threshold Summary'!$Y:$Y,'Threshold Summary'!$M:$M,"")</f>
        <v/>
      </c>
      <c r="C981" s="3">
        <f>XLOOKUP($Q981,'Threshold Summary'!$Y:$Y,'Threshold Summary'!$N:$N,"")</f>
        <v/>
      </c>
      <c r="D981" s="3">
        <f>IFERROR(INDEX(FILTER('Learnset Editor'!$D$2:$D,'Learnset Editor'!$A$2:$A=XLOOKUP($Q981,'Threshold Summary'!$Y:$Y,'Threshold Summary'!$K:$K,""),'Learnset Editor'!$C$2:$C&lt;=XLOOKUP($Q981,'Threshold Summary'!$Y:$Y,'Threshold Summary'!$L:$L,"")),$R981),"")</f>
        <v/>
      </c>
      <c r="E981" s="3">
        <f>XLOOKUP(D981,'Move Editor'!$B:$B,'Move Editor'!$C:$C,"")</f>
        <v/>
      </c>
      <c r="F981" s="3">
        <f>XLOOKUP(D981,'Move Editor'!$B:$B,'Move Editor'!$D:$D,"")</f>
        <v/>
      </c>
      <c r="G981" s="3">
        <f>XLOOKUP(D981,'Move Editor'!$B:$B,'Move Editor'!$E:$E,0)</f>
        <v/>
      </c>
      <c r="H981" s="3">
        <f>XLOOKUP(D981,'Move Editor'!$B:$B,'Move Editor'!$F:$F,0)</f>
        <v/>
      </c>
      <c r="I981" s="3">
        <f>(INDEX('Type Chart'!$B:$S,MATCH(E981,'Type Chart'!$A:$A,0),MATCH(XLOOKUP('Boss Editor'!$C$4,'Pokemon Editor'!$A:$A,'Pokemon Editor'!$C:$C,""),'Type Chart'!$B$1:$S$1,0))*IF(XLOOKUP('Boss Editor'!$C$4,'Pokemon Editor'!$A:$A,'Pokemon Editor'!$D:$D,"")="",1,INDEX('Type Chart'!$B:$S,MATCH(E981,'Type Chart'!$A:$A,0),MATCH(XLOOKUP('Boss Editor'!$C$4,'Pokemon Editor'!$A:$A,'Pokemon Editor'!$D:$D,""),'Type Chart'!$B$1:$S$1,0))))</f>
        <v/>
      </c>
      <c r="J981" s="3">
        <f>IFERROR(LET(mtype,XLOOKUP($D981,'Move Editor'!$B:$B,'Move Editor'!$C:$C,""),cat,XLOOKUP($D981,'Move Editor'!$B:$B,'Move Editor'!$D:$D,""),pow,XLOOKUP($D981,'Move Editor'!$B:$B,'Move Editor'!$E:$E,0),acc,XLOOKUP($D981,'Move Editor'!$B:$B,'Move Editor'!$F:$F,100),atk,IF(cat="Physical",FLOOR((FLOOR(((2*XLOOKUP(XLOOKUP($Q981,'Threshold Summary'!$Y:$Y,'Threshold Summary'!$K:$K,""),'Pokemon Editor'!$A:$A,'Pokemon Editor'!$F:$F,0)+31+FLOOR(XLOOKUP($Q981,'Threshold Summary'!$Y:$Y,'Threshold Summary'!$P:$P,"")/4))*XLOOKUP($Q981,'Threshold Summary'!$Y:$Y,'Threshold Summary'!$L:$L,""))/100)+5)*XLOOKUP(XLOOKUP($Q981,'Threshold Summary'!$Y:$Y,'Threshold Summary'!$M:$M,""),'Nature Editor'!$A:$A,'Nature Editor'!$B:$B,1)),FLOOR((FLOOR(((2*XLOOKUP(XLOOKUP($Q981,'Threshold Summary'!$Y:$Y,'Threshold Summary'!$K:$K,""),'Pokemon Editor'!$A:$A,'Pokemon Editor'!$H:$H,0)+31+FLOOR(XLOOKUP($Q981,'Threshold Summary'!$Y:$Y,'Threshold Summary'!$R:$R,"")/4))*XLOOKUP($Q981,'Threshold Summary'!$Y:$Y,'Threshold Summary'!$L:$L,""))/100)+5)*XLOOKUP(XLOOKUP($Q981,'Threshold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Editor'!$E:$E,1))),stab,IF(OR(mtype=XLOOKUP(XLOOKUP($Q981,'Threshold Summary'!$Y:$Y,'Threshold Summary'!$K:$K,""),'Pokemon Editor'!$A:$A,'Pokemon Editor'!$C:$C,""),mtype=XLOOKUP(XLOOKUP($Q981,'Threshold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Chart'!$B$1:$S$1,0)))),base,IF(OR(cat="Status",pow=0),0,FLOOR(FLOOR(FLOOR((2*XLOOKUP($Q981,'Threshold Summary'!$Y:$Y,'Threshold Summary'!$L:$L,"")/5+2)*pow*atk/def)/50)+2)),modifier,stab*eff,FLOOR(base*modifier*0.85)),0)</f>
        <v/>
      </c>
      <c r="K981" s="3">
        <f>IFERROR(LET(mtype,XLOOKUP($D981,'Move Editor'!$B:$B,'Move Editor'!$C:$C,""),cat,XLOOKUP($D981,'Move Editor'!$B:$B,'Move Editor'!$D:$D,""),pow,XLOOKUP($D981,'Move Editor'!$B:$B,'Move Editor'!$E:$E,0),acc,XLOOKUP($D981,'Move Editor'!$B:$B,'Move Editor'!$F:$F,100),atk,IF(cat="Physical",FLOOR((FLOOR(((2*XLOOKUP(XLOOKUP($Q981,'Threshold Summary'!$Y:$Y,'Threshold Summary'!$K:$K,""),'Pokemon Editor'!$A:$A,'Pokemon Editor'!$F:$F,0)+31+FLOOR(XLOOKUP($Q981,'Threshold Summary'!$Y:$Y,'Threshold Summary'!$P:$P,"")/4))*XLOOKUP($Q981,'Threshold Summary'!$Y:$Y,'Threshold Summary'!$L:$L,""))/100)+5)*XLOOKUP(XLOOKUP($Q981,'Threshold Summary'!$Y:$Y,'Threshold Summary'!$M:$M,""),'Nature Editor'!$A:$A,'Nature Editor'!$B:$B,1)),FLOOR((FLOOR(((2*XLOOKUP(XLOOKUP($Q981,'Threshold Summary'!$Y:$Y,'Threshold Summary'!$K:$K,""),'Pokemon Editor'!$A:$A,'Pokemon Editor'!$H:$H,0)+31+FLOOR(XLOOKUP($Q981,'Threshold Summary'!$Y:$Y,'Threshold Summary'!$R:$R,"")/4))*XLOOKUP($Q981,'Threshold Summary'!$Y:$Y,'Threshold Summary'!$L:$L,""))/100)+5)*XLOOKUP(XLOOKUP($Q981,'Threshold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Editor'!$E:$E,1))),stab,IF(OR(mtype=XLOOKUP(XLOOKUP($Q981,'Threshold Summary'!$Y:$Y,'Threshold Summary'!$K:$K,""),'Pokemon Editor'!$A:$A,'Pokemon Editor'!$C:$C,""),mtype=XLOOKUP(XLOOKUP($Q981,'Threshold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Chart'!$B$1:$S$1,0)))),base,IF(OR(cat="Status",pow=0),0,FLOOR(FLOOR(FLOOR((2*XLOOKUP($Q981,'Threshold Summary'!$Y:$Y,'Threshold Summary'!$L:$L,"")/5+2)*pow*atk/def)/50)+2)),modifier,stab*eff,FLOOR(base*modifier)),0)</f>
        <v/>
      </c>
      <c r="L981" s="3">
        <f>IFERROR(LET(mtype,XLOOKUP($D981,'Move Editor'!$B:$B,'Move Editor'!$C:$C,""),cat,XLOOKUP($D981,'Move Editor'!$B:$B,'Move Editor'!$D:$D,""),pow,XLOOKUP($D981,'Move Editor'!$B:$B,'Move Editor'!$E:$E,0),acc,XLOOKUP($D981,'Move Editor'!$B:$B,'Move Editor'!$F:$F,100),atk,IF(cat="Physical",FLOOR((FLOOR(((2*XLOOKUP(XLOOKUP($Q981,'Threshold Summary'!$Y:$Y,'Threshold Summary'!$K:$K,""),'Pokemon Editor'!$A:$A,'Pokemon Editor'!$F:$F,0)+31+FLOOR(XLOOKUP($Q981,'Threshold Summary'!$Y:$Y,'Threshold Summary'!$P:$P,"")/4))*XLOOKUP($Q981,'Threshold Summary'!$Y:$Y,'Threshold Summary'!$L:$L,""))/100)+5)*XLOOKUP(XLOOKUP($Q981,'Threshold Summary'!$Y:$Y,'Threshold Summary'!$M:$M,""),'Nature Editor'!$A:$A,'Nature Editor'!$B:$B,1)),FLOOR((FLOOR(((2*XLOOKUP(XLOOKUP($Q981,'Threshold Summary'!$Y:$Y,'Threshold Summary'!$K:$K,""),'Pokemon Editor'!$A:$A,'Pokemon Editor'!$H:$H,0)+31+FLOOR(XLOOKUP($Q981,'Threshold Summary'!$Y:$Y,'Threshold Summary'!$R:$R,"")/4))*XLOOKUP($Q981,'Threshold Summary'!$Y:$Y,'Threshold Summary'!$L:$L,""))/100)+5)*XLOOKUP(XLOOKUP($Q981,'Threshold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Editor'!$E:$E,1))),stab,IF(OR(mtype=XLOOKUP(XLOOKUP($Q981,'Threshold Summary'!$Y:$Y,'Threshold Summary'!$K:$K,""),'Pokemon Editor'!$A:$A,'Pokemon Editor'!$C:$C,""),mtype=XLOOKUP(XLOOKUP($Q981,'Threshold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Chart'!$B$1:$S$1,0)))),base,IF(OR(cat="Status",pow=0),0,FLOOR(FLOOR(FLOOR((2*XLOOKUP($Q981,'Threshold Summary'!$Y:$Y,'Threshold Summary'!$L:$L,"")/5+2)*pow*atk/def)/50)+2)),modifier,stab*eff,AVERAGE(ARRAYFORMULA(FLOOR(base*modifier*SEQUENCE(16,1,85,1)/100)))),0)</f>
        <v/>
      </c>
      <c r="M981" s="3">
        <f>IFERROR(LET(mtype,XLOOKUP($D981,'Move Editor'!$B:$B,'Move Editor'!$C:$C,""),cat,XLOOKUP($D981,'Move Editor'!$B:$B,'Move Editor'!$D:$D,""),pow,XLOOKUP($D981,'Move Editor'!$B:$B,'Move Editor'!$E:$E,0),acc,XLOOKUP($D981,'Move Editor'!$B:$B,'Move Editor'!$F:$F,100),atk,IF(cat="Physical",FLOOR((FLOOR(((2*XLOOKUP(XLOOKUP($Q981,'Threshold Summary'!$Y:$Y,'Threshold Summary'!$K:$K,""),'Pokemon Editor'!$A:$A,'Pokemon Editor'!$F:$F,0)+31+FLOOR(XLOOKUP($Q981,'Threshold Summary'!$Y:$Y,'Threshold Summary'!$P:$P,"")/4))*XLOOKUP($Q981,'Threshold Summary'!$Y:$Y,'Threshold Summary'!$L:$L,""))/100)+5)*XLOOKUP(XLOOKUP($Q981,'Threshold Summary'!$Y:$Y,'Threshold Summary'!$M:$M,""),'Nature Editor'!$A:$A,'Nature Editor'!$B:$B,1)),FLOOR((FLOOR(((2*XLOOKUP(XLOOKUP($Q981,'Threshold Summary'!$Y:$Y,'Threshold Summary'!$K:$K,""),'Pokemon Editor'!$A:$A,'Pokemon Editor'!$H:$H,0)+31+FLOOR(XLOOKUP($Q981,'Threshold Summary'!$Y:$Y,'Threshold Summary'!$R:$R,"")/4))*XLOOKUP($Q981,'Threshold Summary'!$Y:$Y,'Threshold Summary'!$L:$L,""))/100)+5)*XLOOKUP(XLOOKUP($Q981,'Threshold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Editor'!$E:$E,1))),stab,IF(OR(mtype=XLOOKUP(XLOOKUP($Q981,'Threshold Summary'!$Y:$Y,'Threshold Summary'!$K:$K,""),'Pokemon Editor'!$A:$A,'Pokemon Editor'!$C:$C,""),mtype=XLOOKUP(XLOOKUP($Q981,'Threshold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Chart'!$B$1:$S$1,0)))),base,IF(OR(cat="Status",pow=0),0,FLOOR(FLOOR(FLOOR((2*XLOOKUP($Q981,'Threshold Summary'!$Y:$Y,'Threshold Summary'!$L:$L,"")/5+2)*pow*atk/def)/50)+2)),modifier,stab*eff,AVERAGE(ARRAYFORMULA(FLOOR(base*modifier*SEQUENCE(16,1,85,1)/100)))*MIN(1,acc/100)),0)</f>
        <v/>
      </c>
      <c r="N981" s="4">
        <f>IFERROR(LET(mtype,XLOOKUP($D981,'Move Editor'!$B:$B,'Move Editor'!$C:$C,""),cat,XLOOKUP($D981,'Move Editor'!$B:$B,'Move Editor'!$D:$D,""),pow,XLOOKUP($D981,'Move Editor'!$B:$B,'Move Editor'!$E:$E,0),acc,XLOOKUP($D981,'Move Editor'!$B:$B,'Move Editor'!$F:$F,100),atk,IF(cat="Physical",FLOOR((FLOOR(((2*XLOOKUP(XLOOKUP($Q981,'Threshold Summary'!$Y:$Y,'Threshold Summary'!$K:$K,""),'Pokemon Editor'!$A:$A,'Pokemon Editor'!$F:$F,0)+31+FLOOR(XLOOKUP($Q981,'Threshold Summary'!$Y:$Y,'Threshold Summary'!$P:$P,"")/4))*XLOOKUP($Q981,'Threshold Summary'!$Y:$Y,'Threshold Summary'!$L:$L,""))/100)+5)*XLOOKUP(XLOOKUP($Q981,'Threshold Summary'!$Y:$Y,'Threshold Summary'!$M:$M,""),'Nature Editor'!$A:$A,'Nature Editor'!$B:$B,1)),FLOOR((FLOOR(((2*XLOOKUP(XLOOKUP($Q981,'Threshold Summary'!$Y:$Y,'Threshold Summary'!$K:$K,""),'Pokemon Editor'!$A:$A,'Pokemon Editor'!$H:$H,0)+31+FLOOR(XLOOKUP($Q981,'Threshold Summary'!$Y:$Y,'Threshold Summary'!$R:$R,"")/4))*XLOOKUP($Q981,'Threshold Summary'!$Y:$Y,'Threshold Summary'!$L:$L,""))/100)+5)*XLOOKUP(XLOOKUP($Q981,'Threshold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Editor'!$E:$E,1))),stab,IF(OR(mtype=XLOOKUP(XLOOKUP($Q981,'Threshold Summary'!$Y:$Y,'Threshold Summary'!$K:$K,""),'Pokemon Editor'!$A:$A,'Pokemon Editor'!$C:$C,""),mtype=XLOOKUP(XLOOKUP($Q981,'Threshold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Chart'!$B$1:$S$1,0)))),base,IF(OR(cat="Status",pow=0),0,FLOOR(FLOOR(FLOOR((2*XLOOKUP($Q981,'Threshold Summary'!$Y:$Y,'Threshold Summary'!$L:$L,"")/5+2)*pow*atk/def)/50)+2)),modifier,stab*eff,AVERAGE(ARRAYFORMULA(FLOOR(base*modifier*SEQUENCE(16,1,85,1)/100)))/(FLOOR(((2*XLOOKUP('Boss Editor'!$C$4,'Pokemon Editor'!$A:$A,'Pokemon Editor'!$E:$E,0)+31+FLOOR('Boss Editor'!$G$4/4))*'Boss Editor'!$D$4)/100)+'Boss Editor'!$D$4+10)),0)</f>
        <v/>
      </c>
      <c r="O981" s="3">
        <f>IF(N981&gt;=1,"OHKO",IF(N981&gt;=0.5,"2HKO",IF(N981&gt;=0.333,"3HKO",IF(N981&gt;=0.25,"4HKO","5HKO+"))))</f>
        <v/>
      </c>
      <c r="P981" s="3" t="inlineStr">
        <is>
          <t>Live from editable databases</t>
        </is>
      </c>
      <c r="Q981" s="3" t="inlineStr">
        <is>
          <t>SPECIES_WATTREL</t>
        </is>
      </c>
      <c r="R981" s="3" t="n">
        <v>20</v>
      </c>
    </row>
    <row r="982">
      <c r="A982" s="3">
        <f>XLOOKUP($Q982,'Threshold Summary'!$Y:$Y,'Threshold Summary'!$A:$A,"")</f>
        <v/>
      </c>
      <c r="B982" s="3">
        <f>XLOOKUP($Q982,'Threshold Summary'!$Y:$Y,'Threshold Summary'!$M:$M,"")</f>
        <v/>
      </c>
      <c r="C982" s="3">
        <f>XLOOKUP($Q982,'Threshold Summary'!$Y:$Y,'Threshold Summary'!$N:$N,"")</f>
        <v/>
      </c>
      <c r="D982" s="3">
        <f>IFERROR(INDEX(FILTER('Learnset Editor'!$D$2:$D,'Learnset Editor'!$A$2:$A=XLOOKUP($Q982,'Threshold Summary'!$Y:$Y,'Threshold Summary'!$K:$K,""),'Learnset Editor'!$C$2:$C&lt;=XLOOKUP($Q982,'Threshold Summary'!$Y:$Y,'Threshold Summary'!$L:$L,"")),$R982),"")</f>
        <v/>
      </c>
      <c r="E982" s="3">
        <f>XLOOKUP(D982,'Move Editor'!$B:$B,'Move Editor'!$C:$C,"")</f>
        <v/>
      </c>
      <c r="F982" s="3">
        <f>XLOOKUP(D982,'Move Editor'!$B:$B,'Move Editor'!$D:$D,"")</f>
        <v/>
      </c>
      <c r="G982" s="3">
        <f>XLOOKUP(D982,'Move Editor'!$B:$B,'Move Editor'!$E:$E,0)</f>
        <v/>
      </c>
      <c r="H982" s="3">
        <f>XLOOKUP(D982,'Move Editor'!$B:$B,'Move Editor'!$F:$F,0)</f>
        <v/>
      </c>
      <c r="I982" s="3">
        <f>(INDEX('Type Chart'!$B:$S,MATCH(E982,'Type Chart'!$A:$A,0),MATCH(XLOOKUP('Boss Editor'!$C$4,'Pokemon Editor'!$A:$A,'Pokemon Editor'!$C:$C,""),'Type Chart'!$B$1:$S$1,0))*IF(XLOOKUP('Boss Editor'!$C$4,'Pokemon Editor'!$A:$A,'Pokemon Editor'!$D:$D,"")="",1,INDEX('Type Chart'!$B:$S,MATCH(E982,'Type Chart'!$A:$A,0),MATCH(XLOOKUP('Boss Editor'!$C$4,'Pokemon Editor'!$A:$A,'Pokemon Editor'!$D:$D,""),'Type Chart'!$B$1:$S$1,0))))</f>
        <v/>
      </c>
      <c r="J982" s="3">
        <f>IFERROR(LET(mtype,XLOOKUP($D982,'Move Editor'!$B:$B,'Move Editor'!$C:$C,""),cat,XLOOKUP($D982,'Move Editor'!$B:$B,'Move Editor'!$D:$D,""),pow,XLOOKUP($D982,'Move Editor'!$B:$B,'Move Editor'!$E:$E,0),acc,XLOOKUP($D982,'Move Editor'!$B:$B,'Move Editor'!$F:$F,100),atk,IF(cat="Physical",FLOOR((FLOOR(((2*XLOOKUP(XLOOKUP($Q982,'Threshold Summary'!$Y:$Y,'Threshold Summary'!$K:$K,""),'Pokemon Editor'!$A:$A,'Pokemon Editor'!$F:$F,0)+31+FLOOR(XLOOKUP($Q982,'Threshold Summary'!$Y:$Y,'Threshold Summary'!$P:$P,"")/4))*XLOOKUP($Q982,'Threshold Summary'!$Y:$Y,'Threshold Summary'!$L:$L,""))/100)+5)*XLOOKUP(XLOOKUP($Q982,'Threshold Summary'!$Y:$Y,'Threshold Summary'!$M:$M,""),'Nature Editor'!$A:$A,'Nature Editor'!$B:$B,1)),FLOOR((FLOOR(((2*XLOOKUP(XLOOKUP($Q982,'Threshold Summary'!$Y:$Y,'Threshold Summary'!$K:$K,""),'Pokemon Editor'!$A:$A,'Pokemon Editor'!$H:$H,0)+31+FLOOR(XLOOKUP($Q982,'Threshold Summary'!$Y:$Y,'Threshold Summary'!$R:$R,"")/4))*XLOOKUP($Q982,'Threshold Summary'!$Y:$Y,'Threshold Summary'!$L:$L,""))/100)+5)*XLOOKUP(XLOOKUP($Q982,'Threshold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Editor'!$E:$E,1))),stab,IF(OR(mtype=XLOOKUP(XLOOKUP($Q982,'Threshold Summary'!$Y:$Y,'Threshold Summary'!$K:$K,""),'Pokemon Editor'!$A:$A,'Pokemon Editor'!$C:$C,""),mtype=XLOOKUP(XLOOKUP($Q982,'Threshold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Chart'!$B$1:$S$1,0)))),base,IF(OR(cat="Status",pow=0),0,FLOOR(FLOOR(FLOOR((2*XLOOKUP($Q982,'Threshold Summary'!$Y:$Y,'Threshold Summary'!$L:$L,"")/5+2)*pow*atk/def)/50)+2)),modifier,stab*eff,FLOOR(base*modifier*0.85)),0)</f>
        <v/>
      </c>
      <c r="K982" s="3">
        <f>IFERROR(LET(mtype,XLOOKUP($D982,'Move Editor'!$B:$B,'Move Editor'!$C:$C,""),cat,XLOOKUP($D982,'Move Editor'!$B:$B,'Move Editor'!$D:$D,""),pow,XLOOKUP($D982,'Move Editor'!$B:$B,'Move Editor'!$E:$E,0),acc,XLOOKUP($D982,'Move Editor'!$B:$B,'Move Editor'!$F:$F,100),atk,IF(cat="Physical",FLOOR((FLOOR(((2*XLOOKUP(XLOOKUP($Q982,'Threshold Summary'!$Y:$Y,'Threshold Summary'!$K:$K,""),'Pokemon Editor'!$A:$A,'Pokemon Editor'!$F:$F,0)+31+FLOOR(XLOOKUP($Q982,'Threshold Summary'!$Y:$Y,'Threshold Summary'!$P:$P,"")/4))*XLOOKUP($Q982,'Threshold Summary'!$Y:$Y,'Threshold Summary'!$L:$L,""))/100)+5)*XLOOKUP(XLOOKUP($Q982,'Threshold Summary'!$Y:$Y,'Threshold Summary'!$M:$M,""),'Nature Editor'!$A:$A,'Nature Editor'!$B:$B,1)),FLOOR((FLOOR(((2*XLOOKUP(XLOOKUP($Q982,'Threshold Summary'!$Y:$Y,'Threshold Summary'!$K:$K,""),'Pokemon Editor'!$A:$A,'Pokemon Editor'!$H:$H,0)+31+FLOOR(XLOOKUP($Q982,'Threshold Summary'!$Y:$Y,'Threshold Summary'!$R:$R,"")/4))*XLOOKUP($Q982,'Threshold Summary'!$Y:$Y,'Threshold Summary'!$L:$L,""))/100)+5)*XLOOKUP(XLOOKUP($Q982,'Threshold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Editor'!$E:$E,1))),stab,IF(OR(mtype=XLOOKUP(XLOOKUP($Q982,'Threshold Summary'!$Y:$Y,'Threshold Summary'!$K:$K,""),'Pokemon Editor'!$A:$A,'Pokemon Editor'!$C:$C,""),mtype=XLOOKUP(XLOOKUP($Q982,'Threshold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Chart'!$B$1:$S$1,0)))),base,IF(OR(cat="Status",pow=0),0,FLOOR(FLOOR(FLOOR((2*XLOOKUP($Q982,'Threshold Summary'!$Y:$Y,'Threshold Summary'!$L:$L,"")/5+2)*pow*atk/def)/50)+2)),modifier,stab*eff,FLOOR(base*modifier)),0)</f>
        <v/>
      </c>
      <c r="L982" s="3">
        <f>IFERROR(LET(mtype,XLOOKUP($D982,'Move Editor'!$B:$B,'Move Editor'!$C:$C,""),cat,XLOOKUP($D982,'Move Editor'!$B:$B,'Move Editor'!$D:$D,""),pow,XLOOKUP($D982,'Move Editor'!$B:$B,'Move Editor'!$E:$E,0),acc,XLOOKUP($D982,'Move Editor'!$B:$B,'Move Editor'!$F:$F,100),atk,IF(cat="Physical",FLOOR((FLOOR(((2*XLOOKUP(XLOOKUP($Q982,'Threshold Summary'!$Y:$Y,'Threshold Summary'!$K:$K,""),'Pokemon Editor'!$A:$A,'Pokemon Editor'!$F:$F,0)+31+FLOOR(XLOOKUP($Q982,'Threshold Summary'!$Y:$Y,'Threshold Summary'!$P:$P,"")/4))*XLOOKUP($Q982,'Threshold Summary'!$Y:$Y,'Threshold Summary'!$L:$L,""))/100)+5)*XLOOKUP(XLOOKUP($Q982,'Threshold Summary'!$Y:$Y,'Threshold Summary'!$M:$M,""),'Nature Editor'!$A:$A,'Nature Editor'!$B:$B,1)),FLOOR((FLOOR(((2*XLOOKUP(XLOOKUP($Q982,'Threshold Summary'!$Y:$Y,'Threshold Summary'!$K:$K,""),'Pokemon Editor'!$A:$A,'Pokemon Editor'!$H:$H,0)+31+FLOOR(XLOOKUP($Q982,'Threshold Summary'!$Y:$Y,'Threshold Summary'!$R:$R,"")/4))*XLOOKUP($Q982,'Threshold Summary'!$Y:$Y,'Threshold Summary'!$L:$L,""))/100)+5)*XLOOKUP(XLOOKUP($Q982,'Threshold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Editor'!$E:$E,1))),stab,IF(OR(mtype=XLOOKUP(XLOOKUP($Q982,'Threshold Summary'!$Y:$Y,'Threshold Summary'!$K:$K,""),'Pokemon Editor'!$A:$A,'Pokemon Editor'!$C:$C,""),mtype=XLOOKUP(XLOOKUP($Q982,'Threshold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Chart'!$B$1:$S$1,0)))),base,IF(OR(cat="Status",pow=0),0,FLOOR(FLOOR(FLOOR((2*XLOOKUP($Q982,'Threshold Summary'!$Y:$Y,'Threshold Summary'!$L:$L,"")/5+2)*pow*atk/def)/50)+2)),modifier,stab*eff,AVERAGE(ARRAYFORMULA(FLOOR(base*modifier*SEQUENCE(16,1,85,1)/100)))),0)</f>
        <v/>
      </c>
      <c r="M982" s="3">
        <f>IFERROR(LET(mtype,XLOOKUP($D982,'Move Editor'!$B:$B,'Move Editor'!$C:$C,""),cat,XLOOKUP($D982,'Move Editor'!$B:$B,'Move Editor'!$D:$D,""),pow,XLOOKUP($D982,'Move Editor'!$B:$B,'Move Editor'!$E:$E,0),acc,XLOOKUP($D982,'Move Editor'!$B:$B,'Move Editor'!$F:$F,100),atk,IF(cat="Physical",FLOOR((FLOOR(((2*XLOOKUP(XLOOKUP($Q982,'Threshold Summary'!$Y:$Y,'Threshold Summary'!$K:$K,""),'Pokemon Editor'!$A:$A,'Pokemon Editor'!$F:$F,0)+31+FLOOR(XLOOKUP($Q982,'Threshold Summary'!$Y:$Y,'Threshold Summary'!$P:$P,"")/4))*XLOOKUP($Q982,'Threshold Summary'!$Y:$Y,'Threshold Summary'!$L:$L,""))/100)+5)*XLOOKUP(XLOOKUP($Q982,'Threshold Summary'!$Y:$Y,'Threshold Summary'!$M:$M,""),'Nature Editor'!$A:$A,'Nature Editor'!$B:$B,1)),FLOOR((FLOOR(((2*XLOOKUP(XLOOKUP($Q982,'Threshold Summary'!$Y:$Y,'Threshold Summary'!$K:$K,""),'Pokemon Editor'!$A:$A,'Pokemon Editor'!$H:$H,0)+31+FLOOR(XLOOKUP($Q982,'Threshold Summary'!$Y:$Y,'Threshold Summary'!$R:$R,"")/4))*XLOOKUP($Q982,'Threshold Summary'!$Y:$Y,'Threshold Summary'!$L:$L,""))/100)+5)*XLOOKUP(XLOOKUP($Q982,'Threshold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Editor'!$E:$E,1))),stab,IF(OR(mtype=XLOOKUP(XLOOKUP($Q982,'Threshold Summary'!$Y:$Y,'Threshold Summary'!$K:$K,""),'Pokemon Editor'!$A:$A,'Pokemon Editor'!$C:$C,""),mtype=XLOOKUP(XLOOKUP($Q982,'Threshold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Chart'!$B$1:$S$1,0)))),base,IF(OR(cat="Status",pow=0),0,FLOOR(FLOOR(FLOOR((2*XLOOKUP($Q982,'Threshold Summary'!$Y:$Y,'Threshold Summary'!$L:$L,"")/5+2)*pow*atk/def)/50)+2)),modifier,stab*eff,AVERAGE(ARRAYFORMULA(FLOOR(base*modifier*SEQUENCE(16,1,85,1)/100)))*MIN(1,acc/100)),0)</f>
        <v/>
      </c>
      <c r="N982" s="4">
        <f>IFERROR(LET(mtype,XLOOKUP($D982,'Move Editor'!$B:$B,'Move Editor'!$C:$C,""),cat,XLOOKUP($D982,'Move Editor'!$B:$B,'Move Editor'!$D:$D,""),pow,XLOOKUP($D982,'Move Editor'!$B:$B,'Move Editor'!$E:$E,0),acc,XLOOKUP($D982,'Move Editor'!$B:$B,'Move Editor'!$F:$F,100),atk,IF(cat="Physical",FLOOR((FLOOR(((2*XLOOKUP(XLOOKUP($Q982,'Threshold Summary'!$Y:$Y,'Threshold Summary'!$K:$K,""),'Pokemon Editor'!$A:$A,'Pokemon Editor'!$F:$F,0)+31+FLOOR(XLOOKUP($Q982,'Threshold Summary'!$Y:$Y,'Threshold Summary'!$P:$P,"")/4))*XLOOKUP($Q982,'Threshold Summary'!$Y:$Y,'Threshold Summary'!$L:$L,""))/100)+5)*XLOOKUP(XLOOKUP($Q982,'Threshold Summary'!$Y:$Y,'Threshold Summary'!$M:$M,""),'Nature Editor'!$A:$A,'Nature Editor'!$B:$B,1)),FLOOR((FLOOR(((2*XLOOKUP(XLOOKUP($Q982,'Threshold Summary'!$Y:$Y,'Threshold Summary'!$K:$K,""),'Pokemon Editor'!$A:$A,'Pokemon Editor'!$H:$H,0)+31+FLOOR(XLOOKUP($Q982,'Threshold Summary'!$Y:$Y,'Threshold Summary'!$R:$R,"")/4))*XLOOKUP($Q982,'Threshold Summary'!$Y:$Y,'Threshold Summary'!$L:$L,""))/100)+5)*XLOOKUP(XLOOKUP($Q982,'Threshold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Editor'!$E:$E,1))),stab,IF(OR(mtype=XLOOKUP(XLOOKUP($Q982,'Threshold Summary'!$Y:$Y,'Threshold Summary'!$K:$K,""),'Pokemon Editor'!$A:$A,'Pokemon Editor'!$C:$C,""),mtype=XLOOKUP(XLOOKUP($Q982,'Threshold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Chart'!$B$1:$S$1,0)))),base,IF(OR(cat="Status",pow=0),0,FLOOR(FLOOR(FLOOR((2*XLOOKUP($Q982,'Threshold Summary'!$Y:$Y,'Threshold Summary'!$L:$L,"")/5+2)*pow*atk/def)/50)+2)),modifier,stab*eff,AVERAGE(ARRAYFORMULA(FLOOR(base*modifier*SEQUENCE(16,1,85,1)/100)))/(FLOOR(((2*XLOOKUP('Boss Editor'!$C$4,'Pokemon Editor'!$A:$A,'Pokemon Editor'!$E:$E,0)+31+FLOOR('Boss Editor'!$G$4/4))*'Boss Editor'!$D$4)/100)+'Boss Editor'!$D$4+10)),0)</f>
        <v/>
      </c>
      <c r="O982" s="3">
        <f>IF(N982&gt;=1,"OHKO",IF(N982&gt;=0.5,"2HKO",IF(N982&gt;=0.333,"3HKO",IF(N982&gt;=0.25,"4HKO","5HKO+"))))</f>
        <v/>
      </c>
      <c r="P982" s="3" t="inlineStr">
        <is>
          <t>Live from editable databases</t>
        </is>
      </c>
      <c r="Q982" s="3" t="inlineStr">
        <is>
          <t>SPECIES_WATTREL</t>
        </is>
      </c>
      <c r="R982" s="3" t="n">
        <v>21</v>
      </c>
    </row>
    <row r="983">
      <c r="A983" s="3">
        <f>XLOOKUP($Q983,'Threshold Summary'!$Y:$Y,'Threshold Summary'!$A:$A,"")</f>
        <v/>
      </c>
      <c r="B983" s="3">
        <f>XLOOKUP($Q983,'Threshold Summary'!$Y:$Y,'Threshold Summary'!$M:$M,"")</f>
        <v/>
      </c>
      <c r="C983" s="3">
        <f>XLOOKUP($Q983,'Threshold Summary'!$Y:$Y,'Threshold Summary'!$N:$N,"")</f>
        <v/>
      </c>
      <c r="D983" s="3">
        <f>IFERROR(INDEX(FILTER('Learnset Editor'!$D$2:$D,'Learnset Editor'!$A$2:$A=XLOOKUP($Q983,'Threshold Summary'!$Y:$Y,'Threshold Summary'!$K:$K,""),'Learnset Editor'!$C$2:$C&lt;=XLOOKUP($Q983,'Threshold Summary'!$Y:$Y,'Threshold Summary'!$L:$L,"")),$R983),"")</f>
        <v/>
      </c>
      <c r="E983" s="3">
        <f>XLOOKUP(D983,'Move Editor'!$B:$B,'Move Editor'!$C:$C,"")</f>
        <v/>
      </c>
      <c r="F983" s="3">
        <f>XLOOKUP(D983,'Move Editor'!$B:$B,'Move Editor'!$D:$D,"")</f>
        <v/>
      </c>
      <c r="G983" s="3">
        <f>XLOOKUP(D983,'Move Editor'!$B:$B,'Move Editor'!$E:$E,0)</f>
        <v/>
      </c>
      <c r="H983" s="3">
        <f>XLOOKUP(D983,'Move Editor'!$B:$B,'Move Editor'!$F:$F,0)</f>
        <v/>
      </c>
      <c r="I983" s="3">
        <f>(INDEX('Type Chart'!$B:$S,MATCH(E983,'Type Chart'!$A:$A,0),MATCH(XLOOKUP('Boss Editor'!$C$4,'Pokemon Editor'!$A:$A,'Pokemon Editor'!$C:$C,""),'Type Chart'!$B$1:$S$1,0))*IF(XLOOKUP('Boss Editor'!$C$4,'Pokemon Editor'!$A:$A,'Pokemon Editor'!$D:$D,"")="",1,INDEX('Type Chart'!$B:$S,MATCH(E983,'Type Chart'!$A:$A,0),MATCH(XLOOKUP('Boss Editor'!$C$4,'Pokemon Editor'!$A:$A,'Pokemon Editor'!$D:$D,""),'Type Chart'!$B$1:$S$1,0))))</f>
        <v/>
      </c>
      <c r="J983" s="3">
        <f>IFERROR(LET(mtype,XLOOKUP($D983,'Move Editor'!$B:$B,'Move Editor'!$C:$C,""),cat,XLOOKUP($D983,'Move Editor'!$B:$B,'Move Editor'!$D:$D,""),pow,XLOOKUP($D983,'Move Editor'!$B:$B,'Move Editor'!$E:$E,0),acc,XLOOKUP($D983,'Move Editor'!$B:$B,'Move Editor'!$F:$F,100),atk,IF(cat="Physical",FLOOR((FLOOR(((2*XLOOKUP(XLOOKUP($Q983,'Threshold Summary'!$Y:$Y,'Threshold Summary'!$K:$K,""),'Pokemon Editor'!$A:$A,'Pokemon Editor'!$F:$F,0)+31+FLOOR(XLOOKUP($Q983,'Threshold Summary'!$Y:$Y,'Threshold Summary'!$P:$P,"")/4))*XLOOKUP($Q983,'Threshold Summary'!$Y:$Y,'Threshold Summary'!$L:$L,""))/100)+5)*XLOOKUP(XLOOKUP($Q983,'Threshold Summary'!$Y:$Y,'Threshold Summary'!$M:$M,""),'Nature Editor'!$A:$A,'Nature Editor'!$B:$B,1)),FLOOR((FLOOR(((2*XLOOKUP(XLOOKUP($Q983,'Threshold Summary'!$Y:$Y,'Threshold Summary'!$K:$K,""),'Pokemon Editor'!$A:$A,'Pokemon Editor'!$H:$H,0)+31+FLOOR(XLOOKUP($Q983,'Threshold Summary'!$Y:$Y,'Threshold Summary'!$R:$R,"")/4))*XLOOKUP($Q983,'Threshold Summary'!$Y:$Y,'Threshold Summary'!$L:$L,""))/100)+5)*XLOOKUP(XLOOKUP($Q983,'Threshold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Editor'!$E:$E,1))),stab,IF(OR(mtype=XLOOKUP(XLOOKUP($Q983,'Threshold Summary'!$Y:$Y,'Threshold Summary'!$K:$K,""),'Pokemon Editor'!$A:$A,'Pokemon Editor'!$C:$C,""),mtype=XLOOKUP(XLOOKUP($Q983,'Threshold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Chart'!$B$1:$S$1,0)))),base,IF(OR(cat="Status",pow=0),0,FLOOR(FLOOR(FLOOR((2*XLOOKUP($Q983,'Threshold Summary'!$Y:$Y,'Threshold Summary'!$L:$L,"")/5+2)*pow*atk/def)/50)+2)),modifier,stab*eff,FLOOR(base*modifier*0.85)),0)</f>
        <v/>
      </c>
      <c r="K983" s="3">
        <f>IFERROR(LET(mtype,XLOOKUP($D983,'Move Editor'!$B:$B,'Move Editor'!$C:$C,""),cat,XLOOKUP($D983,'Move Editor'!$B:$B,'Move Editor'!$D:$D,""),pow,XLOOKUP($D983,'Move Editor'!$B:$B,'Move Editor'!$E:$E,0),acc,XLOOKUP($D983,'Move Editor'!$B:$B,'Move Editor'!$F:$F,100),atk,IF(cat="Physical",FLOOR((FLOOR(((2*XLOOKUP(XLOOKUP($Q983,'Threshold Summary'!$Y:$Y,'Threshold Summary'!$K:$K,""),'Pokemon Editor'!$A:$A,'Pokemon Editor'!$F:$F,0)+31+FLOOR(XLOOKUP($Q983,'Threshold Summary'!$Y:$Y,'Threshold Summary'!$P:$P,"")/4))*XLOOKUP($Q983,'Threshold Summary'!$Y:$Y,'Threshold Summary'!$L:$L,""))/100)+5)*XLOOKUP(XLOOKUP($Q983,'Threshold Summary'!$Y:$Y,'Threshold Summary'!$M:$M,""),'Nature Editor'!$A:$A,'Nature Editor'!$B:$B,1)),FLOOR((FLOOR(((2*XLOOKUP(XLOOKUP($Q983,'Threshold Summary'!$Y:$Y,'Threshold Summary'!$K:$K,""),'Pokemon Editor'!$A:$A,'Pokemon Editor'!$H:$H,0)+31+FLOOR(XLOOKUP($Q983,'Threshold Summary'!$Y:$Y,'Threshold Summary'!$R:$R,"")/4))*XLOOKUP($Q983,'Threshold Summary'!$Y:$Y,'Threshold Summary'!$L:$L,""))/100)+5)*XLOOKUP(XLOOKUP($Q983,'Threshold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Editor'!$E:$E,1))),stab,IF(OR(mtype=XLOOKUP(XLOOKUP($Q983,'Threshold Summary'!$Y:$Y,'Threshold Summary'!$K:$K,""),'Pokemon Editor'!$A:$A,'Pokemon Editor'!$C:$C,""),mtype=XLOOKUP(XLOOKUP($Q983,'Threshold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Chart'!$B$1:$S$1,0)))),base,IF(OR(cat="Status",pow=0),0,FLOOR(FLOOR(FLOOR((2*XLOOKUP($Q983,'Threshold Summary'!$Y:$Y,'Threshold Summary'!$L:$L,"")/5+2)*pow*atk/def)/50)+2)),modifier,stab*eff,FLOOR(base*modifier)),0)</f>
        <v/>
      </c>
      <c r="L983" s="3">
        <f>IFERROR(LET(mtype,XLOOKUP($D983,'Move Editor'!$B:$B,'Move Editor'!$C:$C,""),cat,XLOOKUP($D983,'Move Editor'!$B:$B,'Move Editor'!$D:$D,""),pow,XLOOKUP($D983,'Move Editor'!$B:$B,'Move Editor'!$E:$E,0),acc,XLOOKUP($D983,'Move Editor'!$B:$B,'Move Editor'!$F:$F,100),atk,IF(cat="Physical",FLOOR((FLOOR(((2*XLOOKUP(XLOOKUP($Q983,'Threshold Summary'!$Y:$Y,'Threshold Summary'!$K:$K,""),'Pokemon Editor'!$A:$A,'Pokemon Editor'!$F:$F,0)+31+FLOOR(XLOOKUP($Q983,'Threshold Summary'!$Y:$Y,'Threshold Summary'!$P:$P,"")/4))*XLOOKUP($Q983,'Threshold Summary'!$Y:$Y,'Threshold Summary'!$L:$L,""))/100)+5)*XLOOKUP(XLOOKUP($Q983,'Threshold Summary'!$Y:$Y,'Threshold Summary'!$M:$M,""),'Nature Editor'!$A:$A,'Nature Editor'!$B:$B,1)),FLOOR((FLOOR(((2*XLOOKUP(XLOOKUP($Q983,'Threshold Summary'!$Y:$Y,'Threshold Summary'!$K:$K,""),'Pokemon Editor'!$A:$A,'Pokemon Editor'!$H:$H,0)+31+FLOOR(XLOOKUP($Q983,'Threshold Summary'!$Y:$Y,'Threshold Summary'!$R:$R,"")/4))*XLOOKUP($Q983,'Threshold Summary'!$Y:$Y,'Threshold Summary'!$L:$L,""))/100)+5)*XLOOKUP(XLOOKUP($Q983,'Threshold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Editor'!$E:$E,1))),stab,IF(OR(mtype=XLOOKUP(XLOOKUP($Q983,'Threshold Summary'!$Y:$Y,'Threshold Summary'!$K:$K,""),'Pokemon Editor'!$A:$A,'Pokemon Editor'!$C:$C,""),mtype=XLOOKUP(XLOOKUP($Q983,'Threshold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Chart'!$B$1:$S$1,0)))),base,IF(OR(cat="Status",pow=0),0,FLOOR(FLOOR(FLOOR((2*XLOOKUP($Q983,'Threshold Summary'!$Y:$Y,'Threshold Summary'!$L:$L,"")/5+2)*pow*atk/def)/50)+2)),modifier,stab*eff,AVERAGE(ARRAYFORMULA(FLOOR(base*modifier*SEQUENCE(16,1,85,1)/100)))),0)</f>
        <v/>
      </c>
      <c r="M983" s="3">
        <f>IFERROR(LET(mtype,XLOOKUP($D983,'Move Editor'!$B:$B,'Move Editor'!$C:$C,""),cat,XLOOKUP($D983,'Move Editor'!$B:$B,'Move Editor'!$D:$D,""),pow,XLOOKUP($D983,'Move Editor'!$B:$B,'Move Editor'!$E:$E,0),acc,XLOOKUP($D983,'Move Editor'!$B:$B,'Move Editor'!$F:$F,100),atk,IF(cat="Physical",FLOOR((FLOOR(((2*XLOOKUP(XLOOKUP($Q983,'Threshold Summary'!$Y:$Y,'Threshold Summary'!$K:$K,""),'Pokemon Editor'!$A:$A,'Pokemon Editor'!$F:$F,0)+31+FLOOR(XLOOKUP($Q983,'Threshold Summary'!$Y:$Y,'Threshold Summary'!$P:$P,"")/4))*XLOOKUP($Q983,'Threshold Summary'!$Y:$Y,'Threshold Summary'!$L:$L,""))/100)+5)*XLOOKUP(XLOOKUP($Q983,'Threshold Summary'!$Y:$Y,'Threshold Summary'!$M:$M,""),'Nature Editor'!$A:$A,'Nature Editor'!$B:$B,1)),FLOOR((FLOOR(((2*XLOOKUP(XLOOKUP($Q983,'Threshold Summary'!$Y:$Y,'Threshold Summary'!$K:$K,""),'Pokemon Editor'!$A:$A,'Pokemon Editor'!$H:$H,0)+31+FLOOR(XLOOKUP($Q983,'Threshold Summary'!$Y:$Y,'Threshold Summary'!$R:$R,"")/4))*XLOOKUP($Q983,'Threshold Summary'!$Y:$Y,'Threshold Summary'!$L:$L,""))/100)+5)*XLOOKUP(XLOOKUP($Q983,'Threshold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Editor'!$E:$E,1))),stab,IF(OR(mtype=XLOOKUP(XLOOKUP($Q983,'Threshold Summary'!$Y:$Y,'Threshold Summary'!$K:$K,""),'Pokemon Editor'!$A:$A,'Pokemon Editor'!$C:$C,""),mtype=XLOOKUP(XLOOKUP($Q983,'Threshold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Chart'!$B$1:$S$1,0)))),base,IF(OR(cat="Status",pow=0),0,FLOOR(FLOOR(FLOOR((2*XLOOKUP($Q983,'Threshold Summary'!$Y:$Y,'Threshold Summary'!$L:$L,"")/5+2)*pow*atk/def)/50)+2)),modifier,stab*eff,AVERAGE(ARRAYFORMULA(FLOOR(base*modifier*SEQUENCE(16,1,85,1)/100)))*MIN(1,acc/100)),0)</f>
        <v/>
      </c>
      <c r="N983" s="4">
        <f>IFERROR(LET(mtype,XLOOKUP($D983,'Move Editor'!$B:$B,'Move Editor'!$C:$C,""),cat,XLOOKUP($D983,'Move Editor'!$B:$B,'Move Editor'!$D:$D,""),pow,XLOOKUP($D983,'Move Editor'!$B:$B,'Move Editor'!$E:$E,0),acc,XLOOKUP($D983,'Move Editor'!$B:$B,'Move Editor'!$F:$F,100),atk,IF(cat="Physical",FLOOR((FLOOR(((2*XLOOKUP(XLOOKUP($Q983,'Threshold Summary'!$Y:$Y,'Threshold Summary'!$K:$K,""),'Pokemon Editor'!$A:$A,'Pokemon Editor'!$F:$F,0)+31+FLOOR(XLOOKUP($Q983,'Threshold Summary'!$Y:$Y,'Threshold Summary'!$P:$P,"")/4))*XLOOKUP($Q983,'Threshold Summary'!$Y:$Y,'Threshold Summary'!$L:$L,""))/100)+5)*XLOOKUP(XLOOKUP($Q983,'Threshold Summary'!$Y:$Y,'Threshold Summary'!$M:$M,""),'Nature Editor'!$A:$A,'Nature Editor'!$B:$B,1)),FLOOR((FLOOR(((2*XLOOKUP(XLOOKUP($Q983,'Threshold Summary'!$Y:$Y,'Threshold Summary'!$K:$K,""),'Pokemon Editor'!$A:$A,'Pokemon Editor'!$H:$H,0)+31+FLOOR(XLOOKUP($Q983,'Threshold Summary'!$Y:$Y,'Threshold Summary'!$R:$R,"")/4))*XLOOKUP($Q983,'Threshold Summary'!$Y:$Y,'Threshold Summary'!$L:$L,""))/100)+5)*XLOOKUP(XLOOKUP($Q983,'Threshold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Editor'!$E:$E,1))),stab,IF(OR(mtype=XLOOKUP(XLOOKUP($Q983,'Threshold Summary'!$Y:$Y,'Threshold Summary'!$K:$K,""),'Pokemon Editor'!$A:$A,'Pokemon Editor'!$C:$C,""),mtype=XLOOKUP(XLOOKUP($Q983,'Threshold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Chart'!$B$1:$S$1,0)))),base,IF(OR(cat="Status",pow=0),0,FLOOR(FLOOR(FLOOR((2*XLOOKUP($Q983,'Threshold Summary'!$Y:$Y,'Threshold Summary'!$L:$L,"")/5+2)*pow*atk/def)/50)+2)),modifier,stab*eff,AVERAGE(ARRAYFORMULA(FLOOR(base*modifier*SEQUENCE(16,1,85,1)/100)))/(FLOOR(((2*XLOOKUP('Boss Editor'!$C$4,'Pokemon Editor'!$A:$A,'Pokemon Editor'!$E:$E,0)+31+FLOOR('Boss Editor'!$G$4/4))*'Boss Editor'!$D$4)/100)+'Boss Editor'!$D$4+10)),0)</f>
        <v/>
      </c>
      <c r="O983" s="3">
        <f>IF(N983&gt;=1,"OHKO",IF(N983&gt;=0.5,"2HKO",IF(N983&gt;=0.333,"3HKO",IF(N983&gt;=0.25,"4HKO","5HKO+"))))</f>
        <v/>
      </c>
      <c r="P983" s="3" t="inlineStr">
        <is>
          <t>Live from editable databases</t>
        </is>
      </c>
      <c r="Q983" s="3" t="inlineStr">
        <is>
          <t>SPECIES_WATTREL</t>
        </is>
      </c>
      <c r="R983" s="3" t="n">
        <v>22</v>
      </c>
    </row>
    <row r="984">
      <c r="A984" s="3">
        <f>XLOOKUP($Q984,'Threshold Summary'!$Y:$Y,'Threshold Summary'!$A:$A,"")</f>
        <v/>
      </c>
      <c r="B984" s="3">
        <f>XLOOKUP($Q984,'Threshold Summary'!$Y:$Y,'Threshold Summary'!$M:$M,"")</f>
        <v/>
      </c>
      <c r="C984" s="3">
        <f>XLOOKUP($Q984,'Threshold Summary'!$Y:$Y,'Threshold Summary'!$N:$N,"")</f>
        <v/>
      </c>
      <c r="D984" s="3">
        <f>IFERROR(INDEX(FILTER('Learnset Editor'!$D$2:$D,'Learnset Editor'!$A$2:$A=XLOOKUP($Q984,'Threshold Summary'!$Y:$Y,'Threshold Summary'!$K:$K,""),'Learnset Editor'!$C$2:$C&lt;=XLOOKUP($Q984,'Threshold Summary'!$Y:$Y,'Threshold Summary'!$L:$L,"")),$R984),"")</f>
        <v/>
      </c>
      <c r="E984" s="3">
        <f>XLOOKUP(D984,'Move Editor'!$B:$B,'Move Editor'!$C:$C,"")</f>
        <v/>
      </c>
      <c r="F984" s="3">
        <f>XLOOKUP(D984,'Move Editor'!$B:$B,'Move Editor'!$D:$D,"")</f>
        <v/>
      </c>
      <c r="G984" s="3">
        <f>XLOOKUP(D984,'Move Editor'!$B:$B,'Move Editor'!$E:$E,0)</f>
        <v/>
      </c>
      <c r="H984" s="3">
        <f>XLOOKUP(D984,'Move Editor'!$B:$B,'Move Editor'!$F:$F,0)</f>
        <v/>
      </c>
      <c r="I984" s="3">
        <f>(INDEX('Type Chart'!$B:$S,MATCH(E984,'Type Chart'!$A:$A,0),MATCH(XLOOKUP('Boss Editor'!$C$4,'Pokemon Editor'!$A:$A,'Pokemon Editor'!$C:$C,""),'Type Chart'!$B$1:$S$1,0))*IF(XLOOKUP('Boss Editor'!$C$4,'Pokemon Editor'!$A:$A,'Pokemon Editor'!$D:$D,"")="",1,INDEX('Type Chart'!$B:$S,MATCH(E984,'Type Chart'!$A:$A,0),MATCH(XLOOKUP('Boss Editor'!$C$4,'Pokemon Editor'!$A:$A,'Pokemon Editor'!$D:$D,""),'Type Chart'!$B$1:$S$1,0))))</f>
        <v/>
      </c>
      <c r="J984" s="3">
        <f>IFERROR(LET(mtype,XLOOKUP($D984,'Move Editor'!$B:$B,'Move Editor'!$C:$C,""),cat,XLOOKUP($D984,'Move Editor'!$B:$B,'Move Editor'!$D:$D,""),pow,XLOOKUP($D984,'Move Editor'!$B:$B,'Move Editor'!$E:$E,0),acc,XLOOKUP($D984,'Move Editor'!$B:$B,'Move Editor'!$F:$F,100),atk,IF(cat="Physical",FLOOR((FLOOR(((2*XLOOKUP(XLOOKUP($Q984,'Threshold Summary'!$Y:$Y,'Threshold Summary'!$K:$K,""),'Pokemon Editor'!$A:$A,'Pokemon Editor'!$F:$F,0)+31+FLOOR(XLOOKUP($Q984,'Threshold Summary'!$Y:$Y,'Threshold Summary'!$P:$P,"")/4))*XLOOKUP($Q984,'Threshold Summary'!$Y:$Y,'Threshold Summary'!$L:$L,""))/100)+5)*XLOOKUP(XLOOKUP($Q984,'Threshold Summary'!$Y:$Y,'Threshold Summary'!$M:$M,""),'Nature Editor'!$A:$A,'Nature Editor'!$B:$B,1)),FLOOR((FLOOR(((2*XLOOKUP(XLOOKUP($Q984,'Threshold Summary'!$Y:$Y,'Threshold Summary'!$K:$K,""),'Pokemon Editor'!$A:$A,'Pokemon Editor'!$H:$H,0)+31+FLOOR(XLOOKUP($Q984,'Threshold Summary'!$Y:$Y,'Threshold Summary'!$R:$R,"")/4))*XLOOKUP($Q984,'Threshold Summary'!$Y:$Y,'Threshold Summary'!$L:$L,""))/100)+5)*XLOOKUP(XLOOKUP($Q984,'Threshold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Editor'!$E:$E,1))),stab,IF(OR(mtype=XLOOKUP(XLOOKUP($Q984,'Threshold Summary'!$Y:$Y,'Threshold Summary'!$K:$K,""),'Pokemon Editor'!$A:$A,'Pokemon Editor'!$C:$C,""),mtype=XLOOKUP(XLOOKUP($Q984,'Threshold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Chart'!$B$1:$S$1,0)))),base,IF(OR(cat="Status",pow=0),0,FLOOR(FLOOR(FLOOR((2*XLOOKUP($Q984,'Threshold Summary'!$Y:$Y,'Threshold Summary'!$L:$L,"")/5+2)*pow*atk/def)/50)+2)),modifier,stab*eff,FLOOR(base*modifier*0.85)),0)</f>
        <v/>
      </c>
      <c r="K984" s="3">
        <f>IFERROR(LET(mtype,XLOOKUP($D984,'Move Editor'!$B:$B,'Move Editor'!$C:$C,""),cat,XLOOKUP($D984,'Move Editor'!$B:$B,'Move Editor'!$D:$D,""),pow,XLOOKUP($D984,'Move Editor'!$B:$B,'Move Editor'!$E:$E,0),acc,XLOOKUP($D984,'Move Editor'!$B:$B,'Move Editor'!$F:$F,100),atk,IF(cat="Physical",FLOOR((FLOOR(((2*XLOOKUP(XLOOKUP($Q984,'Threshold Summary'!$Y:$Y,'Threshold Summary'!$K:$K,""),'Pokemon Editor'!$A:$A,'Pokemon Editor'!$F:$F,0)+31+FLOOR(XLOOKUP($Q984,'Threshold Summary'!$Y:$Y,'Threshold Summary'!$P:$P,"")/4))*XLOOKUP($Q984,'Threshold Summary'!$Y:$Y,'Threshold Summary'!$L:$L,""))/100)+5)*XLOOKUP(XLOOKUP($Q984,'Threshold Summary'!$Y:$Y,'Threshold Summary'!$M:$M,""),'Nature Editor'!$A:$A,'Nature Editor'!$B:$B,1)),FLOOR((FLOOR(((2*XLOOKUP(XLOOKUP($Q984,'Threshold Summary'!$Y:$Y,'Threshold Summary'!$K:$K,""),'Pokemon Editor'!$A:$A,'Pokemon Editor'!$H:$H,0)+31+FLOOR(XLOOKUP($Q984,'Threshold Summary'!$Y:$Y,'Threshold Summary'!$R:$R,"")/4))*XLOOKUP($Q984,'Threshold Summary'!$Y:$Y,'Threshold Summary'!$L:$L,""))/100)+5)*XLOOKUP(XLOOKUP($Q984,'Threshold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Editor'!$E:$E,1))),stab,IF(OR(mtype=XLOOKUP(XLOOKUP($Q984,'Threshold Summary'!$Y:$Y,'Threshold Summary'!$K:$K,""),'Pokemon Editor'!$A:$A,'Pokemon Editor'!$C:$C,""),mtype=XLOOKUP(XLOOKUP($Q984,'Threshold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Chart'!$B$1:$S$1,0)))),base,IF(OR(cat="Status",pow=0),0,FLOOR(FLOOR(FLOOR((2*XLOOKUP($Q984,'Threshold Summary'!$Y:$Y,'Threshold Summary'!$L:$L,"")/5+2)*pow*atk/def)/50)+2)),modifier,stab*eff,FLOOR(base*modifier)),0)</f>
        <v/>
      </c>
      <c r="L984" s="3">
        <f>IFERROR(LET(mtype,XLOOKUP($D984,'Move Editor'!$B:$B,'Move Editor'!$C:$C,""),cat,XLOOKUP($D984,'Move Editor'!$B:$B,'Move Editor'!$D:$D,""),pow,XLOOKUP($D984,'Move Editor'!$B:$B,'Move Editor'!$E:$E,0),acc,XLOOKUP($D984,'Move Editor'!$B:$B,'Move Editor'!$F:$F,100),atk,IF(cat="Physical",FLOOR((FLOOR(((2*XLOOKUP(XLOOKUP($Q984,'Threshold Summary'!$Y:$Y,'Threshold Summary'!$K:$K,""),'Pokemon Editor'!$A:$A,'Pokemon Editor'!$F:$F,0)+31+FLOOR(XLOOKUP($Q984,'Threshold Summary'!$Y:$Y,'Threshold Summary'!$P:$P,"")/4))*XLOOKUP($Q984,'Threshold Summary'!$Y:$Y,'Threshold Summary'!$L:$L,""))/100)+5)*XLOOKUP(XLOOKUP($Q984,'Threshold Summary'!$Y:$Y,'Threshold Summary'!$M:$M,""),'Nature Editor'!$A:$A,'Nature Editor'!$B:$B,1)),FLOOR((FLOOR(((2*XLOOKUP(XLOOKUP($Q984,'Threshold Summary'!$Y:$Y,'Threshold Summary'!$K:$K,""),'Pokemon Editor'!$A:$A,'Pokemon Editor'!$H:$H,0)+31+FLOOR(XLOOKUP($Q984,'Threshold Summary'!$Y:$Y,'Threshold Summary'!$R:$R,"")/4))*XLOOKUP($Q984,'Threshold Summary'!$Y:$Y,'Threshold Summary'!$L:$L,""))/100)+5)*XLOOKUP(XLOOKUP($Q984,'Threshold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Editor'!$E:$E,1))),stab,IF(OR(mtype=XLOOKUP(XLOOKUP($Q984,'Threshold Summary'!$Y:$Y,'Threshold Summary'!$K:$K,""),'Pokemon Editor'!$A:$A,'Pokemon Editor'!$C:$C,""),mtype=XLOOKUP(XLOOKUP($Q984,'Threshold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Chart'!$B$1:$S$1,0)))),base,IF(OR(cat="Status",pow=0),0,FLOOR(FLOOR(FLOOR((2*XLOOKUP($Q984,'Threshold Summary'!$Y:$Y,'Threshold Summary'!$L:$L,"")/5+2)*pow*atk/def)/50)+2)),modifier,stab*eff,AVERAGE(ARRAYFORMULA(FLOOR(base*modifier*SEQUENCE(16,1,85,1)/100)))),0)</f>
        <v/>
      </c>
      <c r="M984" s="3">
        <f>IFERROR(LET(mtype,XLOOKUP($D984,'Move Editor'!$B:$B,'Move Editor'!$C:$C,""),cat,XLOOKUP($D984,'Move Editor'!$B:$B,'Move Editor'!$D:$D,""),pow,XLOOKUP($D984,'Move Editor'!$B:$B,'Move Editor'!$E:$E,0),acc,XLOOKUP($D984,'Move Editor'!$B:$B,'Move Editor'!$F:$F,100),atk,IF(cat="Physical",FLOOR((FLOOR(((2*XLOOKUP(XLOOKUP($Q984,'Threshold Summary'!$Y:$Y,'Threshold Summary'!$K:$K,""),'Pokemon Editor'!$A:$A,'Pokemon Editor'!$F:$F,0)+31+FLOOR(XLOOKUP($Q984,'Threshold Summary'!$Y:$Y,'Threshold Summary'!$P:$P,"")/4))*XLOOKUP($Q984,'Threshold Summary'!$Y:$Y,'Threshold Summary'!$L:$L,""))/100)+5)*XLOOKUP(XLOOKUP($Q984,'Threshold Summary'!$Y:$Y,'Threshold Summary'!$M:$M,""),'Nature Editor'!$A:$A,'Nature Editor'!$B:$B,1)),FLOOR((FLOOR(((2*XLOOKUP(XLOOKUP($Q984,'Threshold Summary'!$Y:$Y,'Threshold Summary'!$K:$K,""),'Pokemon Editor'!$A:$A,'Pokemon Editor'!$H:$H,0)+31+FLOOR(XLOOKUP($Q984,'Threshold Summary'!$Y:$Y,'Threshold Summary'!$R:$R,"")/4))*XLOOKUP($Q984,'Threshold Summary'!$Y:$Y,'Threshold Summary'!$L:$L,""))/100)+5)*XLOOKUP(XLOOKUP($Q984,'Threshold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Editor'!$E:$E,1))),stab,IF(OR(mtype=XLOOKUP(XLOOKUP($Q984,'Threshold Summary'!$Y:$Y,'Threshold Summary'!$K:$K,""),'Pokemon Editor'!$A:$A,'Pokemon Editor'!$C:$C,""),mtype=XLOOKUP(XLOOKUP($Q984,'Threshold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Chart'!$B$1:$S$1,0)))),base,IF(OR(cat="Status",pow=0),0,FLOOR(FLOOR(FLOOR((2*XLOOKUP($Q984,'Threshold Summary'!$Y:$Y,'Threshold Summary'!$L:$L,"")/5+2)*pow*atk/def)/50)+2)),modifier,stab*eff,AVERAGE(ARRAYFORMULA(FLOOR(base*modifier*SEQUENCE(16,1,85,1)/100)))*MIN(1,acc/100)),0)</f>
        <v/>
      </c>
      <c r="N984" s="4">
        <f>IFERROR(LET(mtype,XLOOKUP($D984,'Move Editor'!$B:$B,'Move Editor'!$C:$C,""),cat,XLOOKUP($D984,'Move Editor'!$B:$B,'Move Editor'!$D:$D,""),pow,XLOOKUP($D984,'Move Editor'!$B:$B,'Move Editor'!$E:$E,0),acc,XLOOKUP($D984,'Move Editor'!$B:$B,'Move Editor'!$F:$F,100),atk,IF(cat="Physical",FLOOR((FLOOR(((2*XLOOKUP(XLOOKUP($Q984,'Threshold Summary'!$Y:$Y,'Threshold Summary'!$K:$K,""),'Pokemon Editor'!$A:$A,'Pokemon Editor'!$F:$F,0)+31+FLOOR(XLOOKUP($Q984,'Threshold Summary'!$Y:$Y,'Threshold Summary'!$P:$P,"")/4))*XLOOKUP($Q984,'Threshold Summary'!$Y:$Y,'Threshold Summary'!$L:$L,""))/100)+5)*XLOOKUP(XLOOKUP($Q984,'Threshold Summary'!$Y:$Y,'Threshold Summary'!$M:$M,""),'Nature Editor'!$A:$A,'Nature Editor'!$B:$B,1)),FLOOR((FLOOR(((2*XLOOKUP(XLOOKUP($Q984,'Threshold Summary'!$Y:$Y,'Threshold Summary'!$K:$K,""),'Pokemon Editor'!$A:$A,'Pokemon Editor'!$H:$H,0)+31+FLOOR(XLOOKUP($Q984,'Threshold Summary'!$Y:$Y,'Threshold Summary'!$R:$R,"")/4))*XLOOKUP($Q984,'Threshold Summary'!$Y:$Y,'Threshold Summary'!$L:$L,""))/100)+5)*XLOOKUP(XLOOKUP($Q984,'Threshold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Editor'!$E:$E,1))),stab,IF(OR(mtype=XLOOKUP(XLOOKUP($Q984,'Threshold Summary'!$Y:$Y,'Threshold Summary'!$K:$K,""),'Pokemon Editor'!$A:$A,'Pokemon Editor'!$C:$C,""),mtype=XLOOKUP(XLOOKUP($Q984,'Threshold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Chart'!$B$1:$S$1,0)))),base,IF(OR(cat="Status",pow=0),0,FLOOR(FLOOR(FLOOR((2*XLOOKUP($Q984,'Threshold Summary'!$Y:$Y,'Threshold Summary'!$L:$L,"")/5+2)*pow*atk/def)/50)+2)),modifier,stab*eff,AVERAGE(ARRAYFORMULA(FLOOR(base*modifier*SEQUENCE(16,1,85,1)/100)))/(FLOOR(((2*XLOOKUP('Boss Editor'!$C$4,'Pokemon Editor'!$A:$A,'Pokemon Editor'!$E:$E,0)+31+FLOOR('Boss Editor'!$G$4/4))*'Boss Editor'!$D$4)/100)+'Boss Editor'!$D$4+10)),0)</f>
        <v/>
      </c>
      <c r="O984" s="3">
        <f>IF(N984&gt;=1,"OHKO",IF(N984&gt;=0.5,"2HKO",IF(N984&gt;=0.333,"3HKO",IF(N984&gt;=0.25,"4HKO","5HKO+"))))</f>
        <v/>
      </c>
      <c r="P984" s="3" t="inlineStr">
        <is>
          <t>Live from editable databases</t>
        </is>
      </c>
      <c r="Q984" s="3" t="inlineStr">
        <is>
          <t>SPECIES_WATTREL</t>
        </is>
      </c>
      <c r="R984" s="3" t="n">
        <v>23</v>
      </c>
    </row>
    <row r="985">
      <c r="A985" s="3">
        <f>XLOOKUP($Q985,'Threshold Summary'!$Y:$Y,'Threshold Summary'!$A:$A,"")</f>
        <v/>
      </c>
      <c r="B985" s="3">
        <f>XLOOKUP($Q985,'Threshold Summary'!$Y:$Y,'Threshold Summary'!$M:$M,"")</f>
        <v/>
      </c>
      <c r="C985" s="3">
        <f>XLOOKUP($Q985,'Threshold Summary'!$Y:$Y,'Threshold Summary'!$N:$N,"")</f>
        <v/>
      </c>
      <c r="D985" s="3">
        <f>IFERROR(INDEX(FILTER('Learnset Editor'!$D$2:$D,'Learnset Editor'!$A$2:$A=XLOOKUP($Q985,'Threshold Summary'!$Y:$Y,'Threshold Summary'!$K:$K,""),'Learnset Editor'!$C$2:$C&lt;=XLOOKUP($Q985,'Threshold Summary'!$Y:$Y,'Threshold Summary'!$L:$L,"")),$R985),"")</f>
        <v/>
      </c>
      <c r="E985" s="3">
        <f>XLOOKUP(D985,'Move Editor'!$B:$B,'Move Editor'!$C:$C,"")</f>
        <v/>
      </c>
      <c r="F985" s="3">
        <f>XLOOKUP(D985,'Move Editor'!$B:$B,'Move Editor'!$D:$D,"")</f>
        <v/>
      </c>
      <c r="G985" s="3">
        <f>XLOOKUP(D985,'Move Editor'!$B:$B,'Move Editor'!$E:$E,0)</f>
        <v/>
      </c>
      <c r="H985" s="3">
        <f>XLOOKUP(D985,'Move Editor'!$B:$B,'Move Editor'!$F:$F,0)</f>
        <v/>
      </c>
      <c r="I985" s="3">
        <f>(INDEX('Type Chart'!$B:$S,MATCH(E985,'Type Chart'!$A:$A,0),MATCH(XLOOKUP('Boss Editor'!$C$4,'Pokemon Editor'!$A:$A,'Pokemon Editor'!$C:$C,""),'Type Chart'!$B$1:$S$1,0))*IF(XLOOKUP('Boss Editor'!$C$4,'Pokemon Editor'!$A:$A,'Pokemon Editor'!$D:$D,"")="",1,INDEX('Type Chart'!$B:$S,MATCH(E985,'Type Chart'!$A:$A,0),MATCH(XLOOKUP('Boss Editor'!$C$4,'Pokemon Editor'!$A:$A,'Pokemon Editor'!$D:$D,""),'Type Chart'!$B$1:$S$1,0))))</f>
        <v/>
      </c>
      <c r="J985" s="3">
        <f>IFERROR(LET(mtype,XLOOKUP($D985,'Move Editor'!$B:$B,'Move Editor'!$C:$C,""),cat,XLOOKUP($D985,'Move Editor'!$B:$B,'Move Editor'!$D:$D,""),pow,XLOOKUP($D985,'Move Editor'!$B:$B,'Move Editor'!$E:$E,0),acc,XLOOKUP($D985,'Move Editor'!$B:$B,'Move Editor'!$F:$F,100),atk,IF(cat="Physical",FLOOR((FLOOR(((2*XLOOKUP(XLOOKUP($Q985,'Threshold Summary'!$Y:$Y,'Threshold Summary'!$K:$K,""),'Pokemon Editor'!$A:$A,'Pokemon Editor'!$F:$F,0)+31+FLOOR(XLOOKUP($Q985,'Threshold Summary'!$Y:$Y,'Threshold Summary'!$P:$P,"")/4))*XLOOKUP($Q985,'Threshold Summary'!$Y:$Y,'Threshold Summary'!$L:$L,""))/100)+5)*XLOOKUP(XLOOKUP($Q985,'Threshold Summary'!$Y:$Y,'Threshold Summary'!$M:$M,""),'Nature Editor'!$A:$A,'Nature Editor'!$B:$B,1)),FLOOR((FLOOR(((2*XLOOKUP(XLOOKUP($Q985,'Threshold Summary'!$Y:$Y,'Threshold Summary'!$K:$K,""),'Pokemon Editor'!$A:$A,'Pokemon Editor'!$H:$H,0)+31+FLOOR(XLOOKUP($Q985,'Threshold Summary'!$Y:$Y,'Threshold Summary'!$R:$R,"")/4))*XLOOKUP($Q985,'Threshold Summary'!$Y:$Y,'Threshold Summary'!$L:$L,""))/100)+5)*XLOOKUP(XLOOKUP($Q985,'Threshold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Editor'!$E:$E,1))),stab,IF(OR(mtype=XLOOKUP(XLOOKUP($Q985,'Threshold Summary'!$Y:$Y,'Threshold Summary'!$K:$K,""),'Pokemon Editor'!$A:$A,'Pokemon Editor'!$C:$C,""),mtype=XLOOKUP(XLOOKUP($Q985,'Threshold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Chart'!$B$1:$S$1,0)))),base,IF(OR(cat="Status",pow=0),0,FLOOR(FLOOR(FLOOR((2*XLOOKUP($Q985,'Threshold Summary'!$Y:$Y,'Threshold Summary'!$L:$L,"")/5+2)*pow*atk/def)/50)+2)),modifier,stab*eff,FLOOR(base*modifier*0.85)),0)</f>
        <v/>
      </c>
      <c r="K985" s="3">
        <f>IFERROR(LET(mtype,XLOOKUP($D985,'Move Editor'!$B:$B,'Move Editor'!$C:$C,""),cat,XLOOKUP($D985,'Move Editor'!$B:$B,'Move Editor'!$D:$D,""),pow,XLOOKUP($D985,'Move Editor'!$B:$B,'Move Editor'!$E:$E,0),acc,XLOOKUP($D985,'Move Editor'!$B:$B,'Move Editor'!$F:$F,100),atk,IF(cat="Physical",FLOOR((FLOOR(((2*XLOOKUP(XLOOKUP($Q985,'Threshold Summary'!$Y:$Y,'Threshold Summary'!$K:$K,""),'Pokemon Editor'!$A:$A,'Pokemon Editor'!$F:$F,0)+31+FLOOR(XLOOKUP($Q985,'Threshold Summary'!$Y:$Y,'Threshold Summary'!$P:$P,"")/4))*XLOOKUP($Q985,'Threshold Summary'!$Y:$Y,'Threshold Summary'!$L:$L,""))/100)+5)*XLOOKUP(XLOOKUP($Q985,'Threshold Summary'!$Y:$Y,'Threshold Summary'!$M:$M,""),'Nature Editor'!$A:$A,'Nature Editor'!$B:$B,1)),FLOOR((FLOOR(((2*XLOOKUP(XLOOKUP($Q985,'Threshold Summary'!$Y:$Y,'Threshold Summary'!$K:$K,""),'Pokemon Editor'!$A:$A,'Pokemon Editor'!$H:$H,0)+31+FLOOR(XLOOKUP($Q985,'Threshold Summary'!$Y:$Y,'Threshold Summary'!$R:$R,"")/4))*XLOOKUP($Q985,'Threshold Summary'!$Y:$Y,'Threshold Summary'!$L:$L,""))/100)+5)*XLOOKUP(XLOOKUP($Q985,'Threshold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Editor'!$E:$E,1))),stab,IF(OR(mtype=XLOOKUP(XLOOKUP($Q985,'Threshold Summary'!$Y:$Y,'Threshold Summary'!$K:$K,""),'Pokemon Editor'!$A:$A,'Pokemon Editor'!$C:$C,""),mtype=XLOOKUP(XLOOKUP($Q985,'Threshold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Chart'!$B$1:$S$1,0)))),base,IF(OR(cat="Status",pow=0),0,FLOOR(FLOOR(FLOOR((2*XLOOKUP($Q985,'Threshold Summary'!$Y:$Y,'Threshold Summary'!$L:$L,"")/5+2)*pow*atk/def)/50)+2)),modifier,stab*eff,FLOOR(base*modifier)),0)</f>
        <v/>
      </c>
      <c r="L985" s="3">
        <f>IFERROR(LET(mtype,XLOOKUP($D985,'Move Editor'!$B:$B,'Move Editor'!$C:$C,""),cat,XLOOKUP($D985,'Move Editor'!$B:$B,'Move Editor'!$D:$D,""),pow,XLOOKUP($D985,'Move Editor'!$B:$B,'Move Editor'!$E:$E,0),acc,XLOOKUP($D985,'Move Editor'!$B:$B,'Move Editor'!$F:$F,100),atk,IF(cat="Physical",FLOOR((FLOOR(((2*XLOOKUP(XLOOKUP($Q985,'Threshold Summary'!$Y:$Y,'Threshold Summary'!$K:$K,""),'Pokemon Editor'!$A:$A,'Pokemon Editor'!$F:$F,0)+31+FLOOR(XLOOKUP($Q985,'Threshold Summary'!$Y:$Y,'Threshold Summary'!$P:$P,"")/4))*XLOOKUP($Q985,'Threshold Summary'!$Y:$Y,'Threshold Summary'!$L:$L,""))/100)+5)*XLOOKUP(XLOOKUP($Q985,'Threshold Summary'!$Y:$Y,'Threshold Summary'!$M:$M,""),'Nature Editor'!$A:$A,'Nature Editor'!$B:$B,1)),FLOOR((FLOOR(((2*XLOOKUP(XLOOKUP($Q985,'Threshold Summary'!$Y:$Y,'Threshold Summary'!$K:$K,""),'Pokemon Editor'!$A:$A,'Pokemon Editor'!$H:$H,0)+31+FLOOR(XLOOKUP($Q985,'Threshold Summary'!$Y:$Y,'Threshold Summary'!$R:$R,"")/4))*XLOOKUP($Q985,'Threshold Summary'!$Y:$Y,'Threshold Summary'!$L:$L,""))/100)+5)*XLOOKUP(XLOOKUP($Q985,'Threshold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Editor'!$E:$E,1))),stab,IF(OR(mtype=XLOOKUP(XLOOKUP($Q985,'Threshold Summary'!$Y:$Y,'Threshold Summary'!$K:$K,""),'Pokemon Editor'!$A:$A,'Pokemon Editor'!$C:$C,""),mtype=XLOOKUP(XLOOKUP($Q985,'Threshold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Chart'!$B$1:$S$1,0)))),base,IF(OR(cat="Status",pow=0),0,FLOOR(FLOOR(FLOOR((2*XLOOKUP($Q985,'Threshold Summary'!$Y:$Y,'Threshold Summary'!$L:$L,"")/5+2)*pow*atk/def)/50)+2)),modifier,stab*eff,AVERAGE(ARRAYFORMULA(FLOOR(base*modifier*SEQUENCE(16,1,85,1)/100)))),0)</f>
        <v/>
      </c>
      <c r="M985" s="3">
        <f>IFERROR(LET(mtype,XLOOKUP($D985,'Move Editor'!$B:$B,'Move Editor'!$C:$C,""),cat,XLOOKUP($D985,'Move Editor'!$B:$B,'Move Editor'!$D:$D,""),pow,XLOOKUP($D985,'Move Editor'!$B:$B,'Move Editor'!$E:$E,0),acc,XLOOKUP($D985,'Move Editor'!$B:$B,'Move Editor'!$F:$F,100),atk,IF(cat="Physical",FLOOR((FLOOR(((2*XLOOKUP(XLOOKUP($Q985,'Threshold Summary'!$Y:$Y,'Threshold Summary'!$K:$K,""),'Pokemon Editor'!$A:$A,'Pokemon Editor'!$F:$F,0)+31+FLOOR(XLOOKUP($Q985,'Threshold Summary'!$Y:$Y,'Threshold Summary'!$P:$P,"")/4))*XLOOKUP($Q985,'Threshold Summary'!$Y:$Y,'Threshold Summary'!$L:$L,""))/100)+5)*XLOOKUP(XLOOKUP($Q985,'Threshold Summary'!$Y:$Y,'Threshold Summary'!$M:$M,""),'Nature Editor'!$A:$A,'Nature Editor'!$B:$B,1)),FLOOR((FLOOR(((2*XLOOKUP(XLOOKUP($Q985,'Threshold Summary'!$Y:$Y,'Threshold Summary'!$K:$K,""),'Pokemon Editor'!$A:$A,'Pokemon Editor'!$H:$H,0)+31+FLOOR(XLOOKUP($Q985,'Threshold Summary'!$Y:$Y,'Threshold Summary'!$R:$R,"")/4))*XLOOKUP($Q985,'Threshold Summary'!$Y:$Y,'Threshold Summary'!$L:$L,""))/100)+5)*XLOOKUP(XLOOKUP($Q985,'Threshold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Editor'!$E:$E,1))),stab,IF(OR(mtype=XLOOKUP(XLOOKUP($Q985,'Threshold Summary'!$Y:$Y,'Threshold Summary'!$K:$K,""),'Pokemon Editor'!$A:$A,'Pokemon Editor'!$C:$C,""),mtype=XLOOKUP(XLOOKUP($Q985,'Threshold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Chart'!$B$1:$S$1,0)))),base,IF(OR(cat="Status",pow=0),0,FLOOR(FLOOR(FLOOR((2*XLOOKUP($Q985,'Threshold Summary'!$Y:$Y,'Threshold Summary'!$L:$L,"")/5+2)*pow*atk/def)/50)+2)),modifier,stab*eff,AVERAGE(ARRAYFORMULA(FLOOR(base*modifier*SEQUENCE(16,1,85,1)/100)))*MIN(1,acc/100)),0)</f>
        <v/>
      </c>
      <c r="N985" s="4">
        <f>IFERROR(LET(mtype,XLOOKUP($D985,'Move Editor'!$B:$B,'Move Editor'!$C:$C,""),cat,XLOOKUP($D985,'Move Editor'!$B:$B,'Move Editor'!$D:$D,""),pow,XLOOKUP($D985,'Move Editor'!$B:$B,'Move Editor'!$E:$E,0),acc,XLOOKUP($D985,'Move Editor'!$B:$B,'Move Editor'!$F:$F,100),atk,IF(cat="Physical",FLOOR((FLOOR(((2*XLOOKUP(XLOOKUP($Q985,'Threshold Summary'!$Y:$Y,'Threshold Summary'!$K:$K,""),'Pokemon Editor'!$A:$A,'Pokemon Editor'!$F:$F,0)+31+FLOOR(XLOOKUP($Q985,'Threshold Summary'!$Y:$Y,'Threshold Summary'!$P:$P,"")/4))*XLOOKUP($Q985,'Threshold Summary'!$Y:$Y,'Threshold Summary'!$L:$L,""))/100)+5)*XLOOKUP(XLOOKUP($Q985,'Threshold Summary'!$Y:$Y,'Threshold Summary'!$M:$M,""),'Nature Editor'!$A:$A,'Nature Editor'!$B:$B,1)),FLOOR((FLOOR(((2*XLOOKUP(XLOOKUP($Q985,'Threshold Summary'!$Y:$Y,'Threshold Summary'!$K:$K,""),'Pokemon Editor'!$A:$A,'Pokemon Editor'!$H:$H,0)+31+FLOOR(XLOOKUP($Q985,'Threshold Summary'!$Y:$Y,'Threshold Summary'!$R:$R,"")/4))*XLOOKUP($Q985,'Threshold Summary'!$Y:$Y,'Threshold Summary'!$L:$L,""))/100)+5)*XLOOKUP(XLOOKUP($Q985,'Threshold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Editor'!$E:$E,1))),stab,IF(OR(mtype=XLOOKUP(XLOOKUP($Q985,'Threshold Summary'!$Y:$Y,'Threshold Summary'!$K:$K,""),'Pokemon Editor'!$A:$A,'Pokemon Editor'!$C:$C,""),mtype=XLOOKUP(XLOOKUP($Q985,'Threshold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Chart'!$B$1:$S$1,0)))),base,IF(OR(cat="Status",pow=0),0,FLOOR(FLOOR(FLOOR((2*XLOOKUP($Q985,'Threshold Summary'!$Y:$Y,'Threshold Summary'!$L:$L,"")/5+2)*pow*atk/def)/50)+2)),modifier,stab*eff,AVERAGE(ARRAYFORMULA(FLOOR(base*modifier*SEQUENCE(16,1,85,1)/100)))/(FLOOR(((2*XLOOKUP('Boss Editor'!$C$4,'Pokemon Editor'!$A:$A,'Pokemon Editor'!$E:$E,0)+31+FLOOR('Boss Editor'!$G$4/4))*'Boss Editor'!$D$4)/100)+'Boss Editor'!$D$4+10)),0)</f>
        <v/>
      </c>
      <c r="O985" s="3">
        <f>IF(N985&gt;=1,"OHKO",IF(N985&gt;=0.5,"2HKO",IF(N985&gt;=0.333,"3HKO",IF(N985&gt;=0.25,"4HKO","5HKO+"))))</f>
        <v/>
      </c>
      <c r="P985" s="3" t="inlineStr">
        <is>
          <t>Live from editable databases</t>
        </is>
      </c>
      <c r="Q985" s="3" t="inlineStr">
        <is>
          <t>SPECIES_WATTREL</t>
        </is>
      </c>
      <c r="R985" s="3" t="n">
        <v>24</v>
      </c>
    </row>
    <row r="986">
      <c r="A986" s="3">
        <f>XLOOKUP($Q986,'Threshold Summary'!$Y:$Y,'Threshold Summary'!$A:$A,"")</f>
        <v/>
      </c>
      <c r="B986" s="3">
        <f>XLOOKUP($Q986,'Threshold Summary'!$Y:$Y,'Threshold Summary'!$M:$M,"")</f>
        <v/>
      </c>
      <c r="C986" s="3">
        <f>XLOOKUP($Q986,'Threshold Summary'!$Y:$Y,'Threshold Summary'!$N:$N,"")</f>
        <v/>
      </c>
      <c r="D986" s="3">
        <f>IFERROR(INDEX(FILTER('Learnset Editor'!$D$2:$D,'Learnset Editor'!$A$2:$A=XLOOKUP($Q986,'Threshold Summary'!$Y:$Y,'Threshold Summary'!$K:$K,""),'Learnset Editor'!$C$2:$C&lt;=XLOOKUP($Q986,'Threshold Summary'!$Y:$Y,'Threshold Summary'!$L:$L,"")),$R986),"")</f>
        <v/>
      </c>
      <c r="E986" s="3">
        <f>XLOOKUP(D986,'Move Editor'!$B:$B,'Move Editor'!$C:$C,"")</f>
        <v/>
      </c>
      <c r="F986" s="3">
        <f>XLOOKUP(D986,'Move Editor'!$B:$B,'Move Editor'!$D:$D,"")</f>
        <v/>
      </c>
      <c r="G986" s="3">
        <f>XLOOKUP(D986,'Move Editor'!$B:$B,'Move Editor'!$E:$E,0)</f>
        <v/>
      </c>
      <c r="H986" s="3">
        <f>XLOOKUP(D986,'Move Editor'!$B:$B,'Move Editor'!$F:$F,0)</f>
        <v/>
      </c>
      <c r="I986" s="3">
        <f>(INDEX('Type Chart'!$B:$S,MATCH(E986,'Type Chart'!$A:$A,0),MATCH(XLOOKUP('Boss Editor'!$C$4,'Pokemon Editor'!$A:$A,'Pokemon Editor'!$C:$C,""),'Type Chart'!$B$1:$S$1,0))*IF(XLOOKUP('Boss Editor'!$C$4,'Pokemon Editor'!$A:$A,'Pokemon Editor'!$D:$D,"")="",1,INDEX('Type Chart'!$B:$S,MATCH(E986,'Type Chart'!$A:$A,0),MATCH(XLOOKUP('Boss Editor'!$C$4,'Pokemon Editor'!$A:$A,'Pokemon Editor'!$D:$D,""),'Type Chart'!$B$1:$S$1,0))))</f>
        <v/>
      </c>
      <c r="J986" s="3">
        <f>IFERROR(LET(mtype,XLOOKUP($D986,'Move Editor'!$B:$B,'Move Editor'!$C:$C,""),cat,XLOOKUP($D986,'Move Editor'!$B:$B,'Move Editor'!$D:$D,""),pow,XLOOKUP($D986,'Move Editor'!$B:$B,'Move Editor'!$E:$E,0),acc,XLOOKUP($D986,'Move Editor'!$B:$B,'Move Editor'!$F:$F,100),atk,IF(cat="Physical",FLOOR((FLOOR(((2*XLOOKUP(XLOOKUP($Q986,'Threshold Summary'!$Y:$Y,'Threshold Summary'!$K:$K,""),'Pokemon Editor'!$A:$A,'Pokemon Editor'!$F:$F,0)+31+FLOOR(XLOOKUP($Q986,'Threshold Summary'!$Y:$Y,'Threshold Summary'!$P:$P,"")/4))*XLOOKUP($Q986,'Threshold Summary'!$Y:$Y,'Threshold Summary'!$L:$L,""))/100)+5)*XLOOKUP(XLOOKUP($Q986,'Threshold Summary'!$Y:$Y,'Threshold Summary'!$M:$M,""),'Nature Editor'!$A:$A,'Nature Editor'!$B:$B,1)),FLOOR((FLOOR(((2*XLOOKUP(XLOOKUP($Q986,'Threshold Summary'!$Y:$Y,'Threshold Summary'!$K:$K,""),'Pokemon Editor'!$A:$A,'Pokemon Editor'!$H:$H,0)+31+FLOOR(XLOOKUP($Q986,'Threshold Summary'!$Y:$Y,'Threshold Summary'!$R:$R,"")/4))*XLOOKUP($Q986,'Threshold Summary'!$Y:$Y,'Threshold Summary'!$L:$L,""))/100)+5)*XLOOKUP(XLOOKUP($Q986,'Threshold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Editor'!$E:$E,1))),stab,IF(OR(mtype=XLOOKUP(XLOOKUP($Q986,'Threshold Summary'!$Y:$Y,'Threshold Summary'!$K:$K,""),'Pokemon Editor'!$A:$A,'Pokemon Editor'!$C:$C,""),mtype=XLOOKUP(XLOOKUP($Q986,'Threshold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Chart'!$B$1:$S$1,0)))),base,IF(OR(cat="Status",pow=0),0,FLOOR(FLOOR(FLOOR((2*XLOOKUP($Q986,'Threshold Summary'!$Y:$Y,'Threshold Summary'!$L:$L,"")/5+2)*pow*atk/def)/50)+2)),modifier,stab*eff,FLOOR(base*modifier*0.85)),0)</f>
        <v/>
      </c>
      <c r="K986" s="3">
        <f>IFERROR(LET(mtype,XLOOKUP($D986,'Move Editor'!$B:$B,'Move Editor'!$C:$C,""),cat,XLOOKUP($D986,'Move Editor'!$B:$B,'Move Editor'!$D:$D,""),pow,XLOOKUP($D986,'Move Editor'!$B:$B,'Move Editor'!$E:$E,0),acc,XLOOKUP($D986,'Move Editor'!$B:$B,'Move Editor'!$F:$F,100),atk,IF(cat="Physical",FLOOR((FLOOR(((2*XLOOKUP(XLOOKUP($Q986,'Threshold Summary'!$Y:$Y,'Threshold Summary'!$K:$K,""),'Pokemon Editor'!$A:$A,'Pokemon Editor'!$F:$F,0)+31+FLOOR(XLOOKUP($Q986,'Threshold Summary'!$Y:$Y,'Threshold Summary'!$P:$P,"")/4))*XLOOKUP($Q986,'Threshold Summary'!$Y:$Y,'Threshold Summary'!$L:$L,""))/100)+5)*XLOOKUP(XLOOKUP($Q986,'Threshold Summary'!$Y:$Y,'Threshold Summary'!$M:$M,""),'Nature Editor'!$A:$A,'Nature Editor'!$B:$B,1)),FLOOR((FLOOR(((2*XLOOKUP(XLOOKUP($Q986,'Threshold Summary'!$Y:$Y,'Threshold Summary'!$K:$K,""),'Pokemon Editor'!$A:$A,'Pokemon Editor'!$H:$H,0)+31+FLOOR(XLOOKUP($Q986,'Threshold Summary'!$Y:$Y,'Threshold Summary'!$R:$R,"")/4))*XLOOKUP($Q986,'Threshold Summary'!$Y:$Y,'Threshold Summary'!$L:$L,""))/100)+5)*XLOOKUP(XLOOKUP($Q986,'Threshold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Editor'!$E:$E,1))),stab,IF(OR(mtype=XLOOKUP(XLOOKUP($Q986,'Threshold Summary'!$Y:$Y,'Threshold Summary'!$K:$K,""),'Pokemon Editor'!$A:$A,'Pokemon Editor'!$C:$C,""),mtype=XLOOKUP(XLOOKUP($Q986,'Threshold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Chart'!$B$1:$S$1,0)))),base,IF(OR(cat="Status",pow=0),0,FLOOR(FLOOR(FLOOR((2*XLOOKUP($Q986,'Threshold Summary'!$Y:$Y,'Threshold Summary'!$L:$L,"")/5+2)*pow*atk/def)/50)+2)),modifier,stab*eff,FLOOR(base*modifier)),0)</f>
        <v/>
      </c>
      <c r="L986" s="3">
        <f>IFERROR(LET(mtype,XLOOKUP($D986,'Move Editor'!$B:$B,'Move Editor'!$C:$C,""),cat,XLOOKUP($D986,'Move Editor'!$B:$B,'Move Editor'!$D:$D,""),pow,XLOOKUP($D986,'Move Editor'!$B:$B,'Move Editor'!$E:$E,0),acc,XLOOKUP($D986,'Move Editor'!$B:$B,'Move Editor'!$F:$F,100),atk,IF(cat="Physical",FLOOR((FLOOR(((2*XLOOKUP(XLOOKUP($Q986,'Threshold Summary'!$Y:$Y,'Threshold Summary'!$K:$K,""),'Pokemon Editor'!$A:$A,'Pokemon Editor'!$F:$F,0)+31+FLOOR(XLOOKUP($Q986,'Threshold Summary'!$Y:$Y,'Threshold Summary'!$P:$P,"")/4))*XLOOKUP($Q986,'Threshold Summary'!$Y:$Y,'Threshold Summary'!$L:$L,""))/100)+5)*XLOOKUP(XLOOKUP($Q986,'Threshold Summary'!$Y:$Y,'Threshold Summary'!$M:$M,""),'Nature Editor'!$A:$A,'Nature Editor'!$B:$B,1)),FLOOR((FLOOR(((2*XLOOKUP(XLOOKUP($Q986,'Threshold Summary'!$Y:$Y,'Threshold Summary'!$K:$K,""),'Pokemon Editor'!$A:$A,'Pokemon Editor'!$H:$H,0)+31+FLOOR(XLOOKUP($Q986,'Threshold Summary'!$Y:$Y,'Threshold Summary'!$R:$R,"")/4))*XLOOKUP($Q986,'Threshold Summary'!$Y:$Y,'Threshold Summary'!$L:$L,""))/100)+5)*XLOOKUP(XLOOKUP($Q986,'Threshold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Editor'!$E:$E,1))),stab,IF(OR(mtype=XLOOKUP(XLOOKUP($Q986,'Threshold Summary'!$Y:$Y,'Threshold Summary'!$K:$K,""),'Pokemon Editor'!$A:$A,'Pokemon Editor'!$C:$C,""),mtype=XLOOKUP(XLOOKUP($Q986,'Threshold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Chart'!$B$1:$S$1,0)))),base,IF(OR(cat="Status",pow=0),0,FLOOR(FLOOR(FLOOR((2*XLOOKUP($Q986,'Threshold Summary'!$Y:$Y,'Threshold Summary'!$L:$L,"")/5+2)*pow*atk/def)/50)+2)),modifier,stab*eff,AVERAGE(ARRAYFORMULA(FLOOR(base*modifier*SEQUENCE(16,1,85,1)/100)))),0)</f>
        <v/>
      </c>
      <c r="M986" s="3">
        <f>IFERROR(LET(mtype,XLOOKUP($D986,'Move Editor'!$B:$B,'Move Editor'!$C:$C,""),cat,XLOOKUP($D986,'Move Editor'!$B:$B,'Move Editor'!$D:$D,""),pow,XLOOKUP($D986,'Move Editor'!$B:$B,'Move Editor'!$E:$E,0),acc,XLOOKUP($D986,'Move Editor'!$B:$B,'Move Editor'!$F:$F,100),atk,IF(cat="Physical",FLOOR((FLOOR(((2*XLOOKUP(XLOOKUP($Q986,'Threshold Summary'!$Y:$Y,'Threshold Summary'!$K:$K,""),'Pokemon Editor'!$A:$A,'Pokemon Editor'!$F:$F,0)+31+FLOOR(XLOOKUP($Q986,'Threshold Summary'!$Y:$Y,'Threshold Summary'!$P:$P,"")/4))*XLOOKUP($Q986,'Threshold Summary'!$Y:$Y,'Threshold Summary'!$L:$L,""))/100)+5)*XLOOKUP(XLOOKUP($Q986,'Threshold Summary'!$Y:$Y,'Threshold Summary'!$M:$M,""),'Nature Editor'!$A:$A,'Nature Editor'!$B:$B,1)),FLOOR((FLOOR(((2*XLOOKUP(XLOOKUP($Q986,'Threshold Summary'!$Y:$Y,'Threshold Summary'!$K:$K,""),'Pokemon Editor'!$A:$A,'Pokemon Editor'!$H:$H,0)+31+FLOOR(XLOOKUP($Q986,'Threshold Summary'!$Y:$Y,'Threshold Summary'!$R:$R,"")/4))*XLOOKUP($Q986,'Threshold Summary'!$Y:$Y,'Threshold Summary'!$L:$L,""))/100)+5)*XLOOKUP(XLOOKUP($Q986,'Threshold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Editor'!$E:$E,1))),stab,IF(OR(mtype=XLOOKUP(XLOOKUP($Q986,'Threshold Summary'!$Y:$Y,'Threshold Summary'!$K:$K,""),'Pokemon Editor'!$A:$A,'Pokemon Editor'!$C:$C,""),mtype=XLOOKUP(XLOOKUP($Q986,'Threshold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Chart'!$B$1:$S$1,0)))),base,IF(OR(cat="Status",pow=0),0,FLOOR(FLOOR(FLOOR((2*XLOOKUP($Q986,'Threshold Summary'!$Y:$Y,'Threshold Summary'!$L:$L,"")/5+2)*pow*atk/def)/50)+2)),modifier,stab*eff,AVERAGE(ARRAYFORMULA(FLOOR(base*modifier*SEQUENCE(16,1,85,1)/100)))*MIN(1,acc/100)),0)</f>
        <v/>
      </c>
      <c r="N986" s="4">
        <f>IFERROR(LET(mtype,XLOOKUP($D986,'Move Editor'!$B:$B,'Move Editor'!$C:$C,""),cat,XLOOKUP($D986,'Move Editor'!$B:$B,'Move Editor'!$D:$D,""),pow,XLOOKUP($D986,'Move Editor'!$B:$B,'Move Editor'!$E:$E,0),acc,XLOOKUP($D986,'Move Editor'!$B:$B,'Move Editor'!$F:$F,100),atk,IF(cat="Physical",FLOOR((FLOOR(((2*XLOOKUP(XLOOKUP($Q986,'Threshold Summary'!$Y:$Y,'Threshold Summary'!$K:$K,""),'Pokemon Editor'!$A:$A,'Pokemon Editor'!$F:$F,0)+31+FLOOR(XLOOKUP($Q986,'Threshold Summary'!$Y:$Y,'Threshold Summary'!$P:$P,"")/4))*XLOOKUP($Q986,'Threshold Summary'!$Y:$Y,'Threshold Summary'!$L:$L,""))/100)+5)*XLOOKUP(XLOOKUP($Q986,'Threshold Summary'!$Y:$Y,'Threshold Summary'!$M:$M,""),'Nature Editor'!$A:$A,'Nature Editor'!$B:$B,1)),FLOOR((FLOOR(((2*XLOOKUP(XLOOKUP($Q986,'Threshold Summary'!$Y:$Y,'Threshold Summary'!$K:$K,""),'Pokemon Editor'!$A:$A,'Pokemon Editor'!$H:$H,0)+31+FLOOR(XLOOKUP($Q986,'Threshold Summary'!$Y:$Y,'Threshold Summary'!$R:$R,"")/4))*XLOOKUP($Q986,'Threshold Summary'!$Y:$Y,'Threshold Summary'!$L:$L,""))/100)+5)*XLOOKUP(XLOOKUP($Q986,'Threshold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Editor'!$E:$E,1))),stab,IF(OR(mtype=XLOOKUP(XLOOKUP($Q986,'Threshold Summary'!$Y:$Y,'Threshold Summary'!$K:$K,""),'Pokemon Editor'!$A:$A,'Pokemon Editor'!$C:$C,""),mtype=XLOOKUP(XLOOKUP($Q986,'Threshold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Chart'!$B$1:$S$1,0)))),base,IF(OR(cat="Status",pow=0),0,FLOOR(FLOOR(FLOOR((2*XLOOKUP($Q986,'Threshold Summary'!$Y:$Y,'Threshold Summary'!$L:$L,"")/5+2)*pow*atk/def)/50)+2)),modifier,stab*eff,AVERAGE(ARRAYFORMULA(FLOOR(base*modifier*SEQUENCE(16,1,85,1)/100)))/(FLOOR(((2*XLOOKUP('Boss Editor'!$C$4,'Pokemon Editor'!$A:$A,'Pokemon Editor'!$E:$E,0)+31+FLOOR('Boss Editor'!$G$4/4))*'Boss Editor'!$D$4)/100)+'Boss Editor'!$D$4+10)),0)</f>
        <v/>
      </c>
      <c r="O986" s="3">
        <f>IF(N986&gt;=1,"OHKO",IF(N986&gt;=0.5,"2HKO",IF(N986&gt;=0.333,"3HKO",IF(N986&gt;=0.25,"4HKO","5HKO+"))))</f>
        <v/>
      </c>
      <c r="P986" s="3" t="inlineStr">
        <is>
          <t>Live from editable databases</t>
        </is>
      </c>
      <c r="Q986" s="3" t="inlineStr">
        <is>
          <t>SPECIES_WATTREL</t>
        </is>
      </c>
      <c r="R986" s="3" t="n">
        <v>25</v>
      </c>
    </row>
    <row r="987">
      <c r="A987" s="3">
        <f>XLOOKUP($Q987,'Threshold Summary'!$Y:$Y,'Threshold Summary'!$A:$A,"")</f>
        <v/>
      </c>
      <c r="B987" s="3">
        <f>XLOOKUP($Q987,'Threshold Summary'!$Y:$Y,'Threshold Summary'!$M:$M,"")</f>
        <v/>
      </c>
      <c r="C987" s="3">
        <f>XLOOKUP($Q987,'Threshold Summary'!$Y:$Y,'Threshold Summary'!$N:$N,"")</f>
        <v/>
      </c>
      <c r="D987" s="3">
        <f>IFERROR(INDEX(FILTER('Learnset Editor'!$D$2:$D,'Learnset Editor'!$A$2:$A=XLOOKUP($Q987,'Threshold Summary'!$Y:$Y,'Threshold Summary'!$K:$K,""),'Learnset Editor'!$C$2:$C&lt;=XLOOKUP($Q987,'Threshold Summary'!$Y:$Y,'Threshold Summary'!$L:$L,"")),$R987),"")</f>
        <v/>
      </c>
      <c r="E987" s="3">
        <f>XLOOKUP(D987,'Move Editor'!$B:$B,'Move Editor'!$C:$C,"")</f>
        <v/>
      </c>
      <c r="F987" s="3">
        <f>XLOOKUP(D987,'Move Editor'!$B:$B,'Move Editor'!$D:$D,"")</f>
        <v/>
      </c>
      <c r="G987" s="3">
        <f>XLOOKUP(D987,'Move Editor'!$B:$B,'Move Editor'!$E:$E,0)</f>
        <v/>
      </c>
      <c r="H987" s="3">
        <f>XLOOKUP(D987,'Move Editor'!$B:$B,'Move Editor'!$F:$F,0)</f>
        <v/>
      </c>
      <c r="I987" s="3">
        <f>(INDEX('Type Chart'!$B:$S,MATCH(E987,'Type Chart'!$A:$A,0),MATCH(XLOOKUP('Boss Editor'!$C$4,'Pokemon Editor'!$A:$A,'Pokemon Editor'!$C:$C,""),'Type Chart'!$B$1:$S$1,0))*IF(XLOOKUP('Boss Editor'!$C$4,'Pokemon Editor'!$A:$A,'Pokemon Editor'!$D:$D,"")="",1,INDEX('Type Chart'!$B:$S,MATCH(E987,'Type Chart'!$A:$A,0),MATCH(XLOOKUP('Boss Editor'!$C$4,'Pokemon Editor'!$A:$A,'Pokemon Editor'!$D:$D,""),'Type Chart'!$B$1:$S$1,0))))</f>
        <v/>
      </c>
      <c r="J987" s="3">
        <f>IFERROR(LET(mtype,XLOOKUP($D987,'Move Editor'!$B:$B,'Move Editor'!$C:$C,""),cat,XLOOKUP($D987,'Move Editor'!$B:$B,'Move Editor'!$D:$D,""),pow,XLOOKUP($D987,'Move Editor'!$B:$B,'Move Editor'!$E:$E,0),acc,XLOOKUP($D987,'Move Editor'!$B:$B,'Move Editor'!$F:$F,100),atk,IF(cat="Physical",FLOOR((FLOOR(((2*XLOOKUP(XLOOKUP($Q987,'Threshold Summary'!$Y:$Y,'Threshold Summary'!$K:$K,""),'Pokemon Editor'!$A:$A,'Pokemon Editor'!$F:$F,0)+31+FLOOR(XLOOKUP($Q987,'Threshold Summary'!$Y:$Y,'Threshold Summary'!$P:$P,"")/4))*XLOOKUP($Q987,'Threshold Summary'!$Y:$Y,'Threshold Summary'!$L:$L,""))/100)+5)*XLOOKUP(XLOOKUP($Q987,'Threshold Summary'!$Y:$Y,'Threshold Summary'!$M:$M,""),'Nature Editor'!$A:$A,'Nature Editor'!$B:$B,1)),FLOOR((FLOOR(((2*XLOOKUP(XLOOKUP($Q987,'Threshold Summary'!$Y:$Y,'Threshold Summary'!$K:$K,""),'Pokemon Editor'!$A:$A,'Pokemon Editor'!$H:$H,0)+31+FLOOR(XLOOKUP($Q987,'Threshold Summary'!$Y:$Y,'Threshold Summary'!$R:$R,"")/4))*XLOOKUP($Q987,'Threshold Summary'!$Y:$Y,'Threshold Summary'!$L:$L,""))/100)+5)*XLOOKUP(XLOOKUP($Q987,'Threshold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Editor'!$E:$E,1))),stab,IF(OR(mtype=XLOOKUP(XLOOKUP($Q987,'Threshold Summary'!$Y:$Y,'Threshold Summary'!$K:$K,""),'Pokemon Editor'!$A:$A,'Pokemon Editor'!$C:$C,""),mtype=XLOOKUP(XLOOKUP($Q987,'Threshold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Chart'!$B$1:$S$1,0)))),base,IF(OR(cat="Status",pow=0),0,FLOOR(FLOOR(FLOOR((2*XLOOKUP($Q987,'Threshold Summary'!$Y:$Y,'Threshold Summary'!$L:$L,"")/5+2)*pow*atk/def)/50)+2)),modifier,stab*eff,FLOOR(base*modifier*0.85)),0)</f>
        <v/>
      </c>
      <c r="K987" s="3">
        <f>IFERROR(LET(mtype,XLOOKUP($D987,'Move Editor'!$B:$B,'Move Editor'!$C:$C,""),cat,XLOOKUP($D987,'Move Editor'!$B:$B,'Move Editor'!$D:$D,""),pow,XLOOKUP($D987,'Move Editor'!$B:$B,'Move Editor'!$E:$E,0),acc,XLOOKUP($D987,'Move Editor'!$B:$B,'Move Editor'!$F:$F,100),atk,IF(cat="Physical",FLOOR((FLOOR(((2*XLOOKUP(XLOOKUP($Q987,'Threshold Summary'!$Y:$Y,'Threshold Summary'!$K:$K,""),'Pokemon Editor'!$A:$A,'Pokemon Editor'!$F:$F,0)+31+FLOOR(XLOOKUP($Q987,'Threshold Summary'!$Y:$Y,'Threshold Summary'!$P:$P,"")/4))*XLOOKUP($Q987,'Threshold Summary'!$Y:$Y,'Threshold Summary'!$L:$L,""))/100)+5)*XLOOKUP(XLOOKUP($Q987,'Threshold Summary'!$Y:$Y,'Threshold Summary'!$M:$M,""),'Nature Editor'!$A:$A,'Nature Editor'!$B:$B,1)),FLOOR((FLOOR(((2*XLOOKUP(XLOOKUP($Q987,'Threshold Summary'!$Y:$Y,'Threshold Summary'!$K:$K,""),'Pokemon Editor'!$A:$A,'Pokemon Editor'!$H:$H,0)+31+FLOOR(XLOOKUP($Q987,'Threshold Summary'!$Y:$Y,'Threshold Summary'!$R:$R,"")/4))*XLOOKUP($Q987,'Threshold Summary'!$Y:$Y,'Threshold Summary'!$L:$L,""))/100)+5)*XLOOKUP(XLOOKUP($Q987,'Threshold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Editor'!$E:$E,1))),stab,IF(OR(mtype=XLOOKUP(XLOOKUP($Q987,'Threshold Summary'!$Y:$Y,'Threshold Summary'!$K:$K,""),'Pokemon Editor'!$A:$A,'Pokemon Editor'!$C:$C,""),mtype=XLOOKUP(XLOOKUP($Q987,'Threshold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Chart'!$B$1:$S$1,0)))),base,IF(OR(cat="Status",pow=0),0,FLOOR(FLOOR(FLOOR((2*XLOOKUP($Q987,'Threshold Summary'!$Y:$Y,'Threshold Summary'!$L:$L,"")/5+2)*pow*atk/def)/50)+2)),modifier,stab*eff,FLOOR(base*modifier)),0)</f>
        <v/>
      </c>
      <c r="L987" s="3">
        <f>IFERROR(LET(mtype,XLOOKUP($D987,'Move Editor'!$B:$B,'Move Editor'!$C:$C,""),cat,XLOOKUP($D987,'Move Editor'!$B:$B,'Move Editor'!$D:$D,""),pow,XLOOKUP($D987,'Move Editor'!$B:$B,'Move Editor'!$E:$E,0),acc,XLOOKUP($D987,'Move Editor'!$B:$B,'Move Editor'!$F:$F,100),atk,IF(cat="Physical",FLOOR((FLOOR(((2*XLOOKUP(XLOOKUP($Q987,'Threshold Summary'!$Y:$Y,'Threshold Summary'!$K:$K,""),'Pokemon Editor'!$A:$A,'Pokemon Editor'!$F:$F,0)+31+FLOOR(XLOOKUP($Q987,'Threshold Summary'!$Y:$Y,'Threshold Summary'!$P:$P,"")/4))*XLOOKUP($Q987,'Threshold Summary'!$Y:$Y,'Threshold Summary'!$L:$L,""))/100)+5)*XLOOKUP(XLOOKUP($Q987,'Threshold Summary'!$Y:$Y,'Threshold Summary'!$M:$M,""),'Nature Editor'!$A:$A,'Nature Editor'!$B:$B,1)),FLOOR((FLOOR(((2*XLOOKUP(XLOOKUP($Q987,'Threshold Summary'!$Y:$Y,'Threshold Summary'!$K:$K,""),'Pokemon Editor'!$A:$A,'Pokemon Editor'!$H:$H,0)+31+FLOOR(XLOOKUP($Q987,'Threshold Summary'!$Y:$Y,'Threshold Summary'!$R:$R,"")/4))*XLOOKUP($Q987,'Threshold Summary'!$Y:$Y,'Threshold Summary'!$L:$L,""))/100)+5)*XLOOKUP(XLOOKUP($Q987,'Threshold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Editor'!$E:$E,1))),stab,IF(OR(mtype=XLOOKUP(XLOOKUP($Q987,'Threshold Summary'!$Y:$Y,'Threshold Summary'!$K:$K,""),'Pokemon Editor'!$A:$A,'Pokemon Editor'!$C:$C,""),mtype=XLOOKUP(XLOOKUP($Q987,'Threshold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Chart'!$B$1:$S$1,0)))),base,IF(OR(cat="Status",pow=0),0,FLOOR(FLOOR(FLOOR((2*XLOOKUP($Q987,'Threshold Summary'!$Y:$Y,'Threshold Summary'!$L:$L,"")/5+2)*pow*atk/def)/50)+2)),modifier,stab*eff,AVERAGE(ARRAYFORMULA(FLOOR(base*modifier*SEQUENCE(16,1,85,1)/100)))),0)</f>
        <v/>
      </c>
      <c r="M987" s="3">
        <f>IFERROR(LET(mtype,XLOOKUP($D987,'Move Editor'!$B:$B,'Move Editor'!$C:$C,""),cat,XLOOKUP($D987,'Move Editor'!$B:$B,'Move Editor'!$D:$D,""),pow,XLOOKUP($D987,'Move Editor'!$B:$B,'Move Editor'!$E:$E,0),acc,XLOOKUP($D987,'Move Editor'!$B:$B,'Move Editor'!$F:$F,100),atk,IF(cat="Physical",FLOOR((FLOOR(((2*XLOOKUP(XLOOKUP($Q987,'Threshold Summary'!$Y:$Y,'Threshold Summary'!$K:$K,""),'Pokemon Editor'!$A:$A,'Pokemon Editor'!$F:$F,0)+31+FLOOR(XLOOKUP($Q987,'Threshold Summary'!$Y:$Y,'Threshold Summary'!$P:$P,"")/4))*XLOOKUP($Q987,'Threshold Summary'!$Y:$Y,'Threshold Summary'!$L:$L,""))/100)+5)*XLOOKUP(XLOOKUP($Q987,'Threshold Summary'!$Y:$Y,'Threshold Summary'!$M:$M,""),'Nature Editor'!$A:$A,'Nature Editor'!$B:$B,1)),FLOOR((FLOOR(((2*XLOOKUP(XLOOKUP($Q987,'Threshold Summary'!$Y:$Y,'Threshold Summary'!$K:$K,""),'Pokemon Editor'!$A:$A,'Pokemon Editor'!$H:$H,0)+31+FLOOR(XLOOKUP($Q987,'Threshold Summary'!$Y:$Y,'Threshold Summary'!$R:$R,"")/4))*XLOOKUP($Q987,'Threshold Summary'!$Y:$Y,'Threshold Summary'!$L:$L,""))/100)+5)*XLOOKUP(XLOOKUP($Q987,'Threshold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Editor'!$E:$E,1))),stab,IF(OR(mtype=XLOOKUP(XLOOKUP($Q987,'Threshold Summary'!$Y:$Y,'Threshold Summary'!$K:$K,""),'Pokemon Editor'!$A:$A,'Pokemon Editor'!$C:$C,""),mtype=XLOOKUP(XLOOKUP($Q987,'Threshold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Chart'!$B$1:$S$1,0)))),base,IF(OR(cat="Status",pow=0),0,FLOOR(FLOOR(FLOOR((2*XLOOKUP($Q987,'Threshold Summary'!$Y:$Y,'Threshold Summary'!$L:$L,"")/5+2)*pow*atk/def)/50)+2)),modifier,stab*eff,AVERAGE(ARRAYFORMULA(FLOOR(base*modifier*SEQUENCE(16,1,85,1)/100)))*MIN(1,acc/100)),0)</f>
        <v/>
      </c>
      <c r="N987" s="4">
        <f>IFERROR(LET(mtype,XLOOKUP($D987,'Move Editor'!$B:$B,'Move Editor'!$C:$C,""),cat,XLOOKUP($D987,'Move Editor'!$B:$B,'Move Editor'!$D:$D,""),pow,XLOOKUP($D987,'Move Editor'!$B:$B,'Move Editor'!$E:$E,0),acc,XLOOKUP($D987,'Move Editor'!$B:$B,'Move Editor'!$F:$F,100),atk,IF(cat="Physical",FLOOR((FLOOR(((2*XLOOKUP(XLOOKUP($Q987,'Threshold Summary'!$Y:$Y,'Threshold Summary'!$K:$K,""),'Pokemon Editor'!$A:$A,'Pokemon Editor'!$F:$F,0)+31+FLOOR(XLOOKUP($Q987,'Threshold Summary'!$Y:$Y,'Threshold Summary'!$P:$P,"")/4))*XLOOKUP($Q987,'Threshold Summary'!$Y:$Y,'Threshold Summary'!$L:$L,""))/100)+5)*XLOOKUP(XLOOKUP($Q987,'Threshold Summary'!$Y:$Y,'Threshold Summary'!$M:$M,""),'Nature Editor'!$A:$A,'Nature Editor'!$B:$B,1)),FLOOR((FLOOR(((2*XLOOKUP(XLOOKUP($Q987,'Threshold Summary'!$Y:$Y,'Threshold Summary'!$K:$K,""),'Pokemon Editor'!$A:$A,'Pokemon Editor'!$H:$H,0)+31+FLOOR(XLOOKUP($Q987,'Threshold Summary'!$Y:$Y,'Threshold Summary'!$R:$R,"")/4))*XLOOKUP($Q987,'Threshold Summary'!$Y:$Y,'Threshold Summary'!$L:$L,""))/100)+5)*XLOOKUP(XLOOKUP($Q987,'Threshold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Editor'!$E:$E,1))),stab,IF(OR(mtype=XLOOKUP(XLOOKUP($Q987,'Threshold Summary'!$Y:$Y,'Threshold Summary'!$K:$K,""),'Pokemon Editor'!$A:$A,'Pokemon Editor'!$C:$C,""),mtype=XLOOKUP(XLOOKUP($Q987,'Threshold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Chart'!$B$1:$S$1,0)))),base,IF(OR(cat="Status",pow=0),0,FLOOR(FLOOR(FLOOR((2*XLOOKUP($Q987,'Threshold Summary'!$Y:$Y,'Threshold Summary'!$L:$L,"")/5+2)*pow*atk/def)/50)+2)),modifier,stab*eff,AVERAGE(ARRAYFORMULA(FLOOR(base*modifier*SEQUENCE(16,1,85,1)/100)))/(FLOOR(((2*XLOOKUP('Boss Editor'!$C$4,'Pokemon Editor'!$A:$A,'Pokemon Editor'!$E:$E,0)+31+FLOOR('Boss Editor'!$G$4/4))*'Boss Editor'!$D$4)/100)+'Boss Editor'!$D$4+10)),0)</f>
        <v/>
      </c>
      <c r="O987" s="3">
        <f>IF(N987&gt;=1,"OHKO",IF(N987&gt;=0.5,"2HKO",IF(N987&gt;=0.333,"3HKO",IF(N987&gt;=0.25,"4HKO","5HKO+"))))</f>
        <v/>
      </c>
      <c r="P987" s="3" t="inlineStr">
        <is>
          <t>Live from editable databases</t>
        </is>
      </c>
      <c r="Q987" s="3" t="inlineStr">
        <is>
          <t>SPECIES_WATTREL</t>
        </is>
      </c>
      <c r="R987" s="3" t="n">
        <v>26</v>
      </c>
    </row>
    <row r="988">
      <c r="A988" s="3">
        <f>XLOOKUP($Q988,'Threshold Summary'!$Y:$Y,'Threshold Summary'!$A:$A,"")</f>
        <v/>
      </c>
      <c r="B988" s="3">
        <f>XLOOKUP($Q988,'Threshold Summary'!$Y:$Y,'Threshold Summary'!$M:$M,"")</f>
        <v/>
      </c>
      <c r="C988" s="3">
        <f>XLOOKUP($Q988,'Threshold Summary'!$Y:$Y,'Threshold Summary'!$N:$N,"")</f>
        <v/>
      </c>
      <c r="D988" s="3">
        <f>IFERROR(INDEX(FILTER('Learnset Editor'!$D$2:$D,'Learnset Editor'!$A$2:$A=XLOOKUP($Q988,'Threshold Summary'!$Y:$Y,'Threshold Summary'!$K:$K,""),'Learnset Editor'!$C$2:$C&lt;=XLOOKUP($Q988,'Threshold Summary'!$Y:$Y,'Threshold Summary'!$L:$L,"")),$R988),"")</f>
        <v/>
      </c>
      <c r="E988" s="3">
        <f>XLOOKUP(D988,'Move Editor'!$B:$B,'Move Editor'!$C:$C,"")</f>
        <v/>
      </c>
      <c r="F988" s="3">
        <f>XLOOKUP(D988,'Move Editor'!$B:$B,'Move Editor'!$D:$D,"")</f>
        <v/>
      </c>
      <c r="G988" s="3">
        <f>XLOOKUP(D988,'Move Editor'!$B:$B,'Move Editor'!$E:$E,0)</f>
        <v/>
      </c>
      <c r="H988" s="3">
        <f>XLOOKUP(D988,'Move Editor'!$B:$B,'Move Editor'!$F:$F,0)</f>
        <v/>
      </c>
      <c r="I988" s="3">
        <f>(INDEX('Type Chart'!$B:$S,MATCH(E988,'Type Chart'!$A:$A,0),MATCH(XLOOKUP('Boss Editor'!$C$4,'Pokemon Editor'!$A:$A,'Pokemon Editor'!$C:$C,""),'Type Chart'!$B$1:$S$1,0))*IF(XLOOKUP('Boss Editor'!$C$4,'Pokemon Editor'!$A:$A,'Pokemon Editor'!$D:$D,"")="",1,INDEX('Type Chart'!$B:$S,MATCH(E988,'Type Chart'!$A:$A,0),MATCH(XLOOKUP('Boss Editor'!$C$4,'Pokemon Editor'!$A:$A,'Pokemon Editor'!$D:$D,""),'Type Chart'!$B$1:$S$1,0))))</f>
        <v/>
      </c>
      <c r="J988" s="3">
        <f>IFERROR(LET(mtype,XLOOKUP($D988,'Move Editor'!$B:$B,'Move Editor'!$C:$C,""),cat,XLOOKUP($D988,'Move Editor'!$B:$B,'Move Editor'!$D:$D,""),pow,XLOOKUP($D988,'Move Editor'!$B:$B,'Move Editor'!$E:$E,0),acc,XLOOKUP($D988,'Move Editor'!$B:$B,'Move Editor'!$F:$F,100),atk,IF(cat="Physical",FLOOR((FLOOR(((2*XLOOKUP(XLOOKUP($Q988,'Threshold Summary'!$Y:$Y,'Threshold Summary'!$K:$K,""),'Pokemon Editor'!$A:$A,'Pokemon Editor'!$F:$F,0)+31+FLOOR(XLOOKUP($Q988,'Threshold Summary'!$Y:$Y,'Threshold Summary'!$P:$P,"")/4))*XLOOKUP($Q988,'Threshold Summary'!$Y:$Y,'Threshold Summary'!$L:$L,""))/100)+5)*XLOOKUP(XLOOKUP($Q988,'Threshold Summary'!$Y:$Y,'Threshold Summary'!$M:$M,""),'Nature Editor'!$A:$A,'Nature Editor'!$B:$B,1)),FLOOR((FLOOR(((2*XLOOKUP(XLOOKUP($Q988,'Threshold Summary'!$Y:$Y,'Threshold Summary'!$K:$K,""),'Pokemon Editor'!$A:$A,'Pokemon Editor'!$H:$H,0)+31+FLOOR(XLOOKUP($Q988,'Threshold Summary'!$Y:$Y,'Threshold Summary'!$R:$R,"")/4))*XLOOKUP($Q988,'Threshold Summary'!$Y:$Y,'Threshold Summary'!$L:$L,""))/100)+5)*XLOOKUP(XLOOKUP($Q988,'Threshold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Editor'!$E:$E,1))),stab,IF(OR(mtype=XLOOKUP(XLOOKUP($Q988,'Threshold Summary'!$Y:$Y,'Threshold Summary'!$K:$K,""),'Pokemon Editor'!$A:$A,'Pokemon Editor'!$C:$C,""),mtype=XLOOKUP(XLOOKUP($Q988,'Threshold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Chart'!$B$1:$S$1,0)))),base,IF(OR(cat="Status",pow=0),0,FLOOR(FLOOR(FLOOR((2*XLOOKUP($Q988,'Threshold Summary'!$Y:$Y,'Threshold Summary'!$L:$L,"")/5+2)*pow*atk/def)/50)+2)),modifier,stab*eff,FLOOR(base*modifier*0.85)),0)</f>
        <v/>
      </c>
      <c r="K988" s="3">
        <f>IFERROR(LET(mtype,XLOOKUP($D988,'Move Editor'!$B:$B,'Move Editor'!$C:$C,""),cat,XLOOKUP($D988,'Move Editor'!$B:$B,'Move Editor'!$D:$D,""),pow,XLOOKUP($D988,'Move Editor'!$B:$B,'Move Editor'!$E:$E,0),acc,XLOOKUP($D988,'Move Editor'!$B:$B,'Move Editor'!$F:$F,100),atk,IF(cat="Physical",FLOOR((FLOOR(((2*XLOOKUP(XLOOKUP($Q988,'Threshold Summary'!$Y:$Y,'Threshold Summary'!$K:$K,""),'Pokemon Editor'!$A:$A,'Pokemon Editor'!$F:$F,0)+31+FLOOR(XLOOKUP($Q988,'Threshold Summary'!$Y:$Y,'Threshold Summary'!$P:$P,"")/4))*XLOOKUP($Q988,'Threshold Summary'!$Y:$Y,'Threshold Summary'!$L:$L,""))/100)+5)*XLOOKUP(XLOOKUP($Q988,'Threshold Summary'!$Y:$Y,'Threshold Summary'!$M:$M,""),'Nature Editor'!$A:$A,'Nature Editor'!$B:$B,1)),FLOOR((FLOOR(((2*XLOOKUP(XLOOKUP($Q988,'Threshold Summary'!$Y:$Y,'Threshold Summary'!$K:$K,""),'Pokemon Editor'!$A:$A,'Pokemon Editor'!$H:$H,0)+31+FLOOR(XLOOKUP($Q988,'Threshold Summary'!$Y:$Y,'Threshold Summary'!$R:$R,"")/4))*XLOOKUP($Q988,'Threshold Summary'!$Y:$Y,'Threshold Summary'!$L:$L,""))/100)+5)*XLOOKUP(XLOOKUP($Q988,'Threshold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Editor'!$E:$E,1))),stab,IF(OR(mtype=XLOOKUP(XLOOKUP($Q988,'Threshold Summary'!$Y:$Y,'Threshold Summary'!$K:$K,""),'Pokemon Editor'!$A:$A,'Pokemon Editor'!$C:$C,""),mtype=XLOOKUP(XLOOKUP($Q988,'Threshold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Chart'!$B$1:$S$1,0)))),base,IF(OR(cat="Status",pow=0),0,FLOOR(FLOOR(FLOOR((2*XLOOKUP($Q988,'Threshold Summary'!$Y:$Y,'Threshold Summary'!$L:$L,"")/5+2)*pow*atk/def)/50)+2)),modifier,stab*eff,FLOOR(base*modifier)),0)</f>
        <v/>
      </c>
      <c r="L988" s="3">
        <f>IFERROR(LET(mtype,XLOOKUP($D988,'Move Editor'!$B:$B,'Move Editor'!$C:$C,""),cat,XLOOKUP($D988,'Move Editor'!$B:$B,'Move Editor'!$D:$D,""),pow,XLOOKUP($D988,'Move Editor'!$B:$B,'Move Editor'!$E:$E,0),acc,XLOOKUP($D988,'Move Editor'!$B:$B,'Move Editor'!$F:$F,100),atk,IF(cat="Physical",FLOOR((FLOOR(((2*XLOOKUP(XLOOKUP($Q988,'Threshold Summary'!$Y:$Y,'Threshold Summary'!$K:$K,""),'Pokemon Editor'!$A:$A,'Pokemon Editor'!$F:$F,0)+31+FLOOR(XLOOKUP($Q988,'Threshold Summary'!$Y:$Y,'Threshold Summary'!$P:$P,"")/4))*XLOOKUP($Q988,'Threshold Summary'!$Y:$Y,'Threshold Summary'!$L:$L,""))/100)+5)*XLOOKUP(XLOOKUP($Q988,'Threshold Summary'!$Y:$Y,'Threshold Summary'!$M:$M,""),'Nature Editor'!$A:$A,'Nature Editor'!$B:$B,1)),FLOOR((FLOOR(((2*XLOOKUP(XLOOKUP($Q988,'Threshold Summary'!$Y:$Y,'Threshold Summary'!$K:$K,""),'Pokemon Editor'!$A:$A,'Pokemon Editor'!$H:$H,0)+31+FLOOR(XLOOKUP($Q988,'Threshold Summary'!$Y:$Y,'Threshold Summary'!$R:$R,"")/4))*XLOOKUP($Q988,'Threshold Summary'!$Y:$Y,'Threshold Summary'!$L:$L,""))/100)+5)*XLOOKUP(XLOOKUP($Q988,'Threshold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Editor'!$E:$E,1))),stab,IF(OR(mtype=XLOOKUP(XLOOKUP($Q988,'Threshold Summary'!$Y:$Y,'Threshold Summary'!$K:$K,""),'Pokemon Editor'!$A:$A,'Pokemon Editor'!$C:$C,""),mtype=XLOOKUP(XLOOKUP($Q988,'Threshold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Chart'!$B$1:$S$1,0)))),base,IF(OR(cat="Status",pow=0),0,FLOOR(FLOOR(FLOOR((2*XLOOKUP($Q988,'Threshold Summary'!$Y:$Y,'Threshold Summary'!$L:$L,"")/5+2)*pow*atk/def)/50)+2)),modifier,stab*eff,AVERAGE(ARRAYFORMULA(FLOOR(base*modifier*SEQUENCE(16,1,85,1)/100)))),0)</f>
        <v/>
      </c>
      <c r="M988" s="3">
        <f>IFERROR(LET(mtype,XLOOKUP($D988,'Move Editor'!$B:$B,'Move Editor'!$C:$C,""),cat,XLOOKUP($D988,'Move Editor'!$B:$B,'Move Editor'!$D:$D,""),pow,XLOOKUP($D988,'Move Editor'!$B:$B,'Move Editor'!$E:$E,0),acc,XLOOKUP($D988,'Move Editor'!$B:$B,'Move Editor'!$F:$F,100),atk,IF(cat="Physical",FLOOR((FLOOR(((2*XLOOKUP(XLOOKUP($Q988,'Threshold Summary'!$Y:$Y,'Threshold Summary'!$K:$K,""),'Pokemon Editor'!$A:$A,'Pokemon Editor'!$F:$F,0)+31+FLOOR(XLOOKUP($Q988,'Threshold Summary'!$Y:$Y,'Threshold Summary'!$P:$P,"")/4))*XLOOKUP($Q988,'Threshold Summary'!$Y:$Y,'Threshold Summary'!$L:$L,""))/100)+5)*XLOOKUP(XLOOKUP($Q988,'Threshold Summary'!$Y:$Y,'Threshold Summary'!$M:$M,""),'Nature Editor'!$A:$A,'Nature Editor'!$B:$B,1)),FLOOR((FLOOR(((2*XLOOKUP(XLOOKUP($Q988,'Threshold Summary'!$Y:$Y,'Threshold Summary'!$K:$K,""),'Pokemon Editor'!$A:$A,'Pokemon Editor'!$H:$H,0)+31+FLOOR(XLOOKUP($Q988,'Threshold Summary'!$Y:$Y,'Threshold Summary'!$R:$R,"")/4))*XLOOKUP($Q988,'Threshold Summary'!$Y:$Y,'Threshold Summary'!$L:$L,""))/100)+5)*XLOOKUP(XLOOKUP($Q988,'Threshold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Editor'!$E:$E,1))),stab,IF(OR(mtype=XLOOKUP(XLOOKUP($Q988,'Threshold Summary'!$Y:$Y,'Threshold Summary'!$K:$K,""),'Pokemon Editor'!$A:$A,'Pokemon Editor'!$C:$C,""),mtype=XLOOKUP(XLOOKUP($Q988,'Threshold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Chart'!$B$1:$S$1,0)))),base,IF(OR(cat="Status",pow=0),0,FLOOR(FLOOR(FLOOR((2*XLOOKUP($Q988,'Threshold Summary'!$Y:$Y,'Threshold Summary'!$L:$L,"")/5+2)*pow*atk/def)/50)+2)),modifier,stab*eff,AVERAGE(ARRAYFORMULA(FLOOR(base*modifier*SEQUENCE(16,1,85,1)/100)))*MIN(1,acc/100)),0)</f>
        <v/>
      </c>
      <c r="N988" s="4">
        <f>IFERROR(LET(mtype,XLOOKUP($D988,'Move Editor'!$B:$B,'Move Editor'!$C:$C,""),cat,XLOOKUP($D988,'Move Editor'!$B:$B,'Move Editor'!$D:$D,""),pow,XLOOKUP($D988,'Move Editor'!$B:$B,'Move Editor'!$E:$E,0),acc,XLOOKUP($D988,'Move Editor'!$B:$B,'Move Editor'!$F:$F,100),atk,IF(cat="Physical",FLOOR((FLOOR(((2*XLOOKUP(XLOOKUP($Q988,'Threshold Summary'!$Y:$Y,'Threshold Summary'!$K:$K,""),'Pokemon Editor'!$A:$A,'Pokemon Editor'!$F:$F,0)+31+FLOOR(XLOOKUP($Q988,'Threshold Summary'!$Y:$Y,'Threshold Summary'!$P:$P,"")/4))*XLOOKUP($Q988,'Threshold Summary'!$Y:$Y,'Threshold Summary'!$L:$L,""))/100)+5)*XLOOKUP(XLOOKUP($Q988,'Threshold Summary'!$Y:$Y,'Threshold Summary'!$M:$M,""),'Nature Editor'!$A:$A,'Nature Editor'!$B:$B,1)),FLOOR((FLOOR(((2*XLOOKUP(XLOOKUP($Q988,'Threshold Summary'!$Y:$Y,'Threshold Summary'!$K:$K,""),'Pokemon Editor'!$A:$A,'Pokemon Editor'!$H:$H,0)+31+FLOOR(XLOOKUP($Q988,'Threshold Summary'!$Y:$Y,'Threshold Summary'!$R:$R,"")/4))*XLOOKUP($Q988,'Threshold Summary'!$Y:$Y,'Threshold Summary'!$L:$L,""))/100)+5)*XLOOKUP(XLOOKUP($Q988,'Threshold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Editor'!$E:$E,1))),stab,IF(OR(mtype=XLOOKUP(XLOOKUP($Q988,'Threshold Summary'!$Y:$Y,'Threshold Summary'!$K:$K,""),'Pokemon Editor'!$A:$A,'Pokemon Editor'!$C:$C,""),mtype=XLOOKUP(XLOOKUP($Q988,'Threshold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Chart'!$B$1:$S$1,0)))),base,IF(OR(cat="Status",pow=0),0,FLOOR(FLOOR(FLOOR((2*XLOOKUP($Q988,'Threshold Summary'!$Y:$Y,'Threshold Summary'!$L:$L,"")/5+2)*pow*atk/def)/50)+2)),modifier,stab*eff,AVERAGE(ARRAYFORMULA(FLOOR(base*modifier*SEQUENCE(16,1,85,1)/100)))/(FLOOR(((2*XLOOKUP('Boss Editor'!$C$4,'Pokemon Editor'!$A:$A,'Pokemon Editor'!$E:$E,0)+31+FLOOR('Boss Editor'!$G$4/4))*'Boss Editor'!$D$4)/100)+'Boss Editor'!$D$4+10)),0)</f>
        <v/>
      </c>
      <c r="O988" s="3">
        <f>IF(N988&gt;=1,"OHKO",IF(N988&gt;=0.5,"2HKO",IF(N988&gt;=0.333,"3HKO",IF(N988&gt;=0.25,"4HKO","5HKO+"))))</f>
        <v/>
      </c>
      <c r="P988" s="3" t="inlineStr">
        <is>
          <t>Live from editable databases</t>
        </is>
      </c>
      <c r="Q988" s="3" t="inlineStr">
        <is>
          <t>SPECIES_WATTREL</t>
        </is>
      </c>
      <c r="R988" s="3" t="n">
        <v>27</v>
      </c>
    </row>
    <row r="989">
      <c r="A989" s="3">
        <f>XLOOKUP($Q989,'Threshold Summary'!$Y:$Y,'Threshold Summary'!$A:$A,"")</f>
        <v/>
      </c>
      <c r="B989" s="3">
        <f>XLOOKUP($Q989,'Threshold Summary'!$Y:$Y,'Threshold Summary'!$M:$M,"")</f>
        <v/>
      </c>
      <c r="C989" s="3">
        <f>XLOOKUP($Q989,'Threshold Summary'!$Y:$Y,'Threshold Summary'!$N:$N,"")</f>
        <v/>
      </c>
      <c r="D989" s="3">
        <f>IFERROR(INDEX(FILTER('Learnset Editor'!$D$2:$D,'Learnset Editor'!$A$2:$A=XLOOKUP($Q989,'Threshold Summary'!$Y:$Y,'Threshold Summary'!$K:$K,""),'Learnset Editor'!$C$2:$C&lt;=XLOOKUP($Q989,'Threshold Summary'!$Y:$Y,'Threshold Summary'!$L:$L,"")),$R989),"")</f>
        <v/>
      </c>
      <c r="E989" s="3">
        <f>XLOOKUP(D989,'Move Editor'!$B:$B,'Move Editor'!$C:$C,"")</f>
        <v/>
      </c>
      <c r="F989" s="3">
        <f>XLOOKUP(D989,'Move Editor'!$B:$B,'Move Editor'!$D:$D,"")</f>
        <v/>
      </c>
      <c r="G989" s="3">
        <f>XLOOKUP(D989,'Move Editor'!$B:$B,'Move Editor'!$E:$E,0)</f>
        <v/>
      </c>
      <c r="H989" s="3">
        <f>XLOOKUP(D989,'Move Editor'!$B:$B,'Move Editor'!$F:$F,0)</f>
        <v/>
      </c>
      <c r="I989" s="3">
        <f>(INDEX('Type Chart'!$B:$S,MATCH(E989,'Type Chart'!$A:$A,0),MATCH(XLOOKUP('Boss Editor'!$C$4,'Pokemon Editor'!$A:$A,'Pokemon Editor'!$C:$C,""),'Type Chart'!$B$1:$S$1,0))*IF(XLOOKUP('Boss Editor'!$C$4,'Pokemon Editor'!$A:$A,'Pokemon Editor'!$D:$D,"")="",1,INDEX('Type Chart'!$B:$S,MATCH(E989,'Type Chart'!$A:$A,0),MATCH(XLOOKUP('Boss Editor'!$C$4,'Pokemon Editor'!$A:$A,'Pokemon Editor'!$D:$D,""),'Type Chart'!$B$1:$S$1,0))))</f>
        <v/>
      </c>
      <c r="J989" s="3">
        <f>IFERROR(LET(mtype,XLOOKUP($D989,'Move Editor'!$B:$B,'Move Editor'!$C:$C,""),cat,XLOOKUP($D989,'Move Editor'!$B:$B,'Move Editor'!$D:$D,""),pow,XLOOKUP($D989,'Move Editor'!$B:$B,'Move Editor'!$E:$E,0),acc,XLOOKUP($D989,'Move Editor'!$B:$B,'Move Editor'!$F:$F,100),atk,IF(cat="Physical",FLOOR((FLOOR(((2*XLOOKUP(XLOOKUP($Q989,'Threshold Summary'!$Y:$Y,'Threshold Summary'!$K:$K,""),'Pokemon Editor'!$A:$A,'Pokemon Editor'!$F:$F,0)+31+FLOOR(XLOOKUP($Q989,'Threshold Summary'!$Y:$Y,'Threshold Summary'!$P:$P,"")/4))*XLOOKUP($Q989,'Threshold Summary'!$Y:$Y,'Threshold Summary'!$L:$L,""))/100)+5)*XLOOKUP(XLOOKUP($Q989,'Threshold Summary'!$Y:$Y,'Threshold Summary'!$M:$M,""),'Nature Editor'!$A:$A,'Nature Editor'!$B:$B,1)),FLOOR((FLOOR(((2*XLOOKUP(XLOOKUP($Q989,'Threshold Summary'!$Y:$Y,'Threshold Summary'!$K:$K,""),'Pokemon Editor'!$A:$A,'Pokemon Editor'!$H:$H,0)+31+FLOOR(XLOOKUP($Q989,'Threshold Summary'!$Y:$Y,'Threshold Summary'!$R:$R,"")/4))*XLOOKUP($Q989,'Threshold Summary'!$Y:$Y,'Threshold Summary'!$L:$L,""))/100)+5)*XLOOKUP(XLOOKUP($Q989,'Threshold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Editor'!$E:$E,1))),stab,IF(OR(mtype=XLOOKUP(XLOOKUP($Q989,'Threshold Summary'!$Y:$Y,'Threshold Summary'!$K:$K,""),'Pokemon Editor'!$A:$A,'Pokemon Editor'!$C:$C,""),mtype=XLOOKUP(XLOOKUP($Q989,'Threshold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Chart'!$B$1:$S$1,0)))),base,IF(OR(cat="Status",pow=0),0,FLOOR(FLOOR(FLOOR((2*XLOOKUP($Q989,'Threshold Summary'!$Y:$Y,'Threshold Summary'!$L:$L,"")/5+2)*pow*atk/def)/50)+2)),modifier,stab*eff,FLOOR(base*modifier*0.85)),0)</f>
        <v/>
      </c>
      <c r="K989" s="3">
        <f>IFERROR(LET(mtype,XLOOKUP($D989,'Move Editor'!$B:$B,'Move Editor'!$C:$C,""),cat,XLOOKUP($D989,'Move Editor'!$B:$B,'Move Editor'!$D:$D,""),pow,XLOOKUP($D989,'Move Editor'!$B:$B,'Move Editor'!$E:$E,0),acc,XLOOKUP($D989,'Move Editor'!$B:$B,'Move Editor'!$F:$F,100),atk,IF(cat="Physical",FLOOR((FLOOR(((2*XLOOKUP(XLOOKUP($Q989,'Threshold Summary'!$Y:$Y,'Threshold Summary'!$K:$K,""),'Pokemon Editor'!$A:$A,'Pokemon Editor'!$F:$F,0)+31+FLOOR(XLOOKUP($Q989,'Threshold Summary'!$Y:$Y,'Threshold Summary'!$P:$P,"")/4))*XLOOKUP($Q989,'Threshold Summary'!$Y:$Y,'Threshold Summary'!$L:$L,""))/100)+5)*XLOOKUP(XLOOKUP($Q989,'Threshold Summary'!$Y:$Y,'Threshold Summary'!$M:$M,""),'Nature Editor'!$A:$A,'Nature Editor'!$B:$B,1)),FLOOR((FLOOR(((2*XLOOKUP(XLOOKUP($Q989,'Threshold Summary'!$Y:$Y,'Threshold Summary'!$K:$K,""),'Pokemon Editor'!$A:$A,'Pokemon Editor'!$H:$H,0)+31+FLOOR(XLOOKUP($Q989,'Threshold Summary'!$Y:$Y,'Threshold Summary'!$R:$R,"")/4))*XLOOKUP($Q989,'Threshold Summary'!$Y:$Y,'Threshold Summary'!$L:$L,""))/100)+5)*XLOOKUP(XLOOKUP($Q989,'Threshold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Editor'!$E:$E,1))),stab,IF(OR(mtype=XLOOKUP(XLOOKUP($Q989,'Threshold Summary'!$Y:$Y,'Threshold Summary'!$K:$K,""),'Pokemon Editor'!$A:$A,'Pokemon Editor'!$C:$C,""),mtype=XLOOKUP(XLOOKUP($Q989,'Threshold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Chart'!$B$1:$S$1,0)))),base,IF(OR(cat="Status",pow=0),0,FLOOR(FLOOR(FLOOR((2*XLOOKUP($Q989,'Threshold Summary'!$Y:$Y,'Threshold Summary'!$L:$L,"")/5+2)*pow*atk/def)/50)+2)),modifier,stab*eff,FLOOR(base*modifier)),0)</f>
        <v/>
      </c>
      <c r="L989" s="3">
        <f>IFERROR(LET(mtype,XLOOKUP($D989,'Move Editor'!$B:$B,'Move Editor'!$C:$C,""),cat,XLOOKUP($D989,'Move Editor'!$B:$B,'Move Editor'!$D:$D,""),pow,XLOOKUP($D989,'Move Editor'!$B:$B,'Move Editor'!$E:$E,0),acc,XLOOKUP($D989,'Move Editor'!$B:$B,'Move Editor'!$F:$F,100),atk,IF(cat="Physical",FLOOR((FLOOR(((2*XLOOKUP(XLOOKUP($Q989,'Threshold Summary'!$Y:$Y,'Threshold Summary'!$K:$K,""),'Pokemon Editor'!$A:$A,'Pokemon Editor'!$F:$F,0)+31+FLOOR(XLOOKUP($Q989,'Threshold Summary'!$Y:$Y,'Threshold Summary'!$P:$P,"")/4))*XLOOKUP($Q989,'Threshold Summary'!$Y:$Y,'Threshold Summary'!$L:$L,""))/100)+5)*XLOOKUP(XLOOKUP($Q989,'Threshold Summary'!$Y:$Y,'Threshold Summary'!$M:$M,""),'Nature Editor'!$A:$A,'Nature Editor'!$B:$B,1)),FLOOR((FLOOR(((2*XLOOKUP(XLOOKUP($Q989,'Threshold Summary'!$Y:$Y,'Threshold Summary'!$K:$K,""),'Pokemon Editor'!$A:$A,'Pokemon Editor'!$H:$H,0)+31+FLOOR(XLOOKUP($Q989,'Threshold Summary'!$Y:$Y,'Threshold Summary'!$R:$R,"")/4))*XLOOKUP($Q989,'Threshold Summary'!$Y:$Y,'Threshold Summary'!$L:$L,""))/100)+5)*XLOOKUP(XLOOKUP($Q989,'Threshold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Editor'!$E:$E,1))),stab,IF(OR(mtype=XLOOKUP(XLOOKUP($Q989,'Threshold Summary'!$Y:$Y,'Threshold Summary'!$K:$K,""),'Pokemon Editor'!$A:$A,'Pokemon Editor'!$C:$C,""),mtype=XLOOKUP(XLOOKUP($Q989,'Threshold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Chart'!$B$1:$S$1,0)))),base,IF(OR(cat="Status",pow=0),0,FLOOR(FLOOR(FLOOR((2*XLOOKUP($Q989,'Threshold Summary'!$Y:$Y,'Threshold Summary'!$L:$L,"")/5+2)*pow*atk/def)/50)+2)),modifier,stab*eff,AVERAGE(ARRAYFORMULA(FLOOR(base*modifier*SEQUENCE(16,1,85,1)/100)))),0)</f>
        <v/>
      </c>
      <c r="M989" s="3">
        <f>IFERROR(LET(mtype,XLOOKUP($D989,'Move Editor'!$B:$B,'Move Editor'!$C:$C,""),cat,XLOOKUP($D989,'Move Editor'!$B:$B,'Move Editor'!$D:$D,""),pow,XLOOKUP($D989,'Move Editor'!$B:$B,'Move Editor'!$E:$E,0),acc,XLOOKUP($D989,'Move Editor'!$B:$B,'Move Editor'!$F:$F,100),atk,IF(cat="Physical",FLOOR((FLOOR(((2*XLOOKUP(XLOOKUP($Q989,'Threshold Summary'!$Y:$Y,'Threshold Summary'!$K:$K,""),'Pokemon Editor'!$A:$A,'Pokemon Editor'!$F:$F,0)+31+FLOOR(XLOOKUP($Q989,'Threshold Summary'!$Y:$Y,'Threshold Summary'!$P:$P,"")/4))*XLOOKUP($Q989,'Threshold Summary'!$Y:$Y,'Threshold Summary'!$L:$L,""))/100)+5)*XLOOKUP(XLOOKUP($Q989,'Threshold Summary'!$Y:$Y,'Threshold Summary'!$M:$M,""),'Nature Editor'!$A:$A,'Nature Editor'!$B:$B,1)),FLOOR((FLOOR(((2*XLOOKUP(XLOOKUP($Q989,'Threshold Summary'!$Y:$Y,'Threshold Summary'!$K:$K,""),'Pokemon Editor'!$A:$A,'Pokemon Editor'!$H:$H,0)+31+FLOOR(XLOOKUP($Q989,'Threshold Summary'!$Y:$Y,'Threshold Summary'!$R:$R,"")/4))*XLOOKUP($Q989,'Threshold Summary'!$Y:$Y,'Threshold Summary'!$L:$L,""))/100)+5)*XLOOKUP(XLOOKUP($Q989,'Threshold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Editor'!$E:$E,1))),stab,IF(OR(mtype=XLOOKUP(XLOOKUP($Q989,'Threshold Summary'!$Y:$Y,'Threshold Summary'!$K:$K,""),'Pokemon Editor'!$A:$A,'Pokemon Editor'!$C:$C,""),mtype=XLOOKUP(XLOOKUP($Q989,'Threshold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Chart'!$B$1:$S$1,0)))),base,IF(OR(cat="Status",pow=0),0,FLOOR(FLOOR(FLOOR((2*XLOOKUP($Q989,'Threshold Summary'!$Y:$Y,'Threshold Summary'!$L:$L,"")/5+2)*pow*atk/def)/50)+2)),modifier,stab*eff,AVERAGE(ARRAYFORMULA(FLOOR(base*modifier*SEQUENCE(16,1,85,1)/100)))*MIN(1,acc/100)),0)</f>
        <v/>
      </c>
      <c r="N989" s="4">
        <f>IFERROR(LET(mtype,XLOOKUP($D989,'Move Editor'!$B:$B,'Move Editor'!$C:$C,""),cat,XLOOKUP($D989,'Move Editor'!$B:$B,'Move Editor'!$D:$D,""),pow,XLOOKUP($D989,'Move Editor'!$B:$B,'Move Editor'!$E:$E,0),acc,XLOOKUP($D989,'Move Editor'!$B:$B,'Move Editor'!$F:$F,100),atk,IF(cat="Physical",FLOOR((FLOOR(((2*XLOOKUP(XLOOKUP($Q989,'Threshold Summary'!$Y:$Y,'Threshold Summary'!$K:$K,""),'Pokemon Editor'!$A:$A,'Pokemon Editor'!$F:$F,0)+31+FLOOR(XLOOKUP($Q989,'Threshold Summary'!$Y:$Y,'Threshold Summary'!$P:$P,"")/4))*XLOOKUP($Q989,'Threshold Summary'!$Y:$Y,'Threshold Summary'!$L:$L,""))/100)+5)*XLOOKUP(XLOOKUP($Q989,'Threshold Summary'!$Y:$Y,'Threshold Summary'!$M:$M,""),'Nature Editor'!$A:$A,'Nature Editor'!$B:$B,1)),FLOOR((FLOOR(((2*XLOOKUP(XLOOKUP($Q989,'Threshold Summary'!$Y:$Y,'Threshold Summary'!$K:$K,""),'Pokemon Editor'!$A:$A,'Pokemon Editor'!$H:$H,0)+31+FLOOR(XLOOKUP($Q989,'Threshold Summary'!$Y:$Y,'Threshold Summary'!$R:$R,"")/4))*XLOOKUP($Q989,'Threshold Summary'!$Y:$Y,'Threshold Summary'!$L:$L,""))/100)+5)*XLOOKUP(XLOOKUP($Q989,'Threshold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Editor'!$E:$E,1))),stab,IF(OR(mtype=XLOOKUP(XLOOKUP($Q989,'Threshold Summary'!$Y:$Y,'Threshold Summary'!$K:$K,""),'Pokemon Editor'!$A:$A,'Pokemon Editor'!$C:$C,""),mtype=XLOOKUP(XLOOKUP($Q989,'Threshold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Chart'!$B$1:$S$1,0)))),base,IF(OR(cat="Status",pow=0),0,FLOOR(FLOOR(FLOOR((2*XLOOKUP($Q989,'Threshold Summary'!$Y:$Y,'Threshold Summary'!$L:$L,"")/5+2)*pow*atk/def)/50)+2)),modifier,stab*eff,AVERAGE(ARRAYFORMULA(FLOOR(base*modifier*SEQUENCE(16,1,85,1)/100)))/(FLOOR(((2*XLOOKUP('Boss Editor'!$C$4,'Pokemon Editor'!$A:$A,'Pokemon Editor'!$E:$E,0)+31+FLOOR('Boss Editor'!$G$4/4))*'Boss Editor'!$D$4)/100)+'Boss Editor'!$D$4+10)),0)</f>
        <v/>
      </c>
      <c r="O989" s="3">
        <f>IF(N989&gt;=1,"OHKO",IF(N989&gt;=0.5,"2HKO",IF(N989&gt;=0.333,"3HKO",IF(N989&gt;=0.25,"4HKO","5HKO+"))))</f>
        <v/>
      </c>
      <c r="P989" s="3" t="inlineStr">
        <is>
          <t>Live from editable databases</t>
        </is>
      </c>
      <c r="Q989" s="3" t="inlineStr">
        <is>
          <t>SPECIES_WATTREL</t>
        </is>
      </c>
      <c r="R989" s="3" t="n">
        <v>28</v>
      </c>
    </row>
    <row r="990">
      <c r="A990" s="3">
        <f>XLOOKUP($Q990,'Threshold Summary'!$Y:$Y,'Threshold Summary'!$A:$A,"")</f>
        <v/>
      </c>
      <c r="B990" s="3">
        <f>XLOOKUP($Q990,'Threshold Summary'!$Y:$Y,'Threshold Summary'!$M:$M,"")</f>
        <v/>
      </c>
      <c r="C990" s="3">
        <f>XLOOKUP($Q990,'Threshold Summary'!$Y:$Y,'Threshold Summary'!$N:$N,"")</f>
        <v/>
      </c>
      <c r="D990" s="3">
        <f>IFERROR(INDEX(FILTER('Learnset Editor'!$D$2:$D,'Learnset Editor'!$A$2:$A=XLOOKUP($Q990,'Threshold Summary'!$Y:$Y,'Threshold Summary'!$K:$K,""),'Learnset Editor'!$C$2:$C&lt;=XLOOKUP($Q990,'Threshold Summary'!$Y:$Y,'Threshold Summary'!$L:$L,"")),$R990),"")</f>
        <v/>
      </c>
      <c r="E990" s="3">
        <f>XLOOKUP(D990,'Move Editor'!$B:$B,'Move Editor'!$C:$C,"")</f>
        <v/>
      </c>
      <c r="F990" s="3">
        <f>XLOOKUP(D990,'Move Editor'!$B:$B,'Move Editor'!$D:$D,"")</f>
        <v/>
      </c>
      <c r="G990" s="3">
        <f>XLOOKUP(D990,'Move Editor'!$B:$B,'Move Editor'!$E:$E,0)</f>
        <v/>
      </c>
      <c r="H990" s="3">
        <f>XLOOKUP(D990,'Move Editor'!$B:$B,'Move Editor'!$F:$F,0)</f>
        <v/>
      </c>
      <c r="I990" s="3">
        <f>(INDEX('Type Chart'!$B:$S,MATCH(E990,'Type Chart'!$A:$A,0),MATCH(XLOOKUP('Boss Editor'!$C$4,'Pokemon Editor'!$A:$A,'Pokemon Editor'!$C:$C,""),'Type Chart'!$B$1:$S$1,0))*IF(XLOOKUP('Boss Editor'!$C$4,'Pokemon Editor'!$A:$A,'Pokemon Editor'!$D:$D,"")="",1,INDEX('Type Chart'!$B:$S,MATCH(E990,'Type Chart'!$A:$A,0),MATCH(XLOOKUP('Boss Editor'!$C$4,'Pokemon Editor'!$A:$A,'Pokemon Editor'!$D:$D,""),'Type Chart'!$B$1:$S$1,0))))</f>
        <v/>
      </c>
      <c r="J990" s="3">
        <f>IFERROR(LET(mtype,XLOOKUP($D990,'Move Editor'!$B:$B,'Move Editor'!$C:$C,""),cat,XLOOKUP($D990,'Move Editor'!$B:$B,'Move Editor'!$D:$D,""),pow,XLOOKUP($D990,'Move Editor'!$B:$B,'Move Editor'!$E:$E,0),acc,XLOOKUP($D990,'Move Editor'!$B:$B,'Move Editor'!$F:$F,100),atk,IF(cat="Physical",FLOOR((FLOOR(((2*XLOOKUP(XLOOKUP($Q990,'Threshold Summary'!$Y:$Y,'Threshold Summary'!$K:$K,""),'Pokemon Editor'!$A:$A,'Pokemon Editor'!$F:$F,0)+31+FLOOR(XLOOKUP($Q990,'Threshold Summary'!$Y:$Y,'Threshold Summary'!$P:$P,"")/4))*XLOOKUP($Q990,'Threshold Summary'!$Y:$Y,'Threshold Summary'!$L:$L,""))/100)+5)*XLOOKUP(XLOOKUP($Q990,'Threshold Summary'!$Y:$Y,'Threshold Summary'!$M:$M,""),'Nature Editor'!$A:$A,'Nature Editor'!$B:$B,1)),FLOOR((FLOOR(((2*XLOOKUP(XLOOKUP($Q990,'Threshold Summary'!$Y:$Y,'Threshold Summary'!$K:$K,""),'Pokemon Editor'!$A:$A,'Pokemon Editor'!$H:$H,0)+31+FLOOR(XLOOKUP($Q990,'Threshold Summary'!$Y:$Y,'Threshold Summary'!$R:$R,"")/4))*XLOOKUP($Q990,'Threshold Summary'!$Y:$Y,'Threshold Summary'!$L:$L,""))/100)+5)*XLOOKUP(XLOOKUP($Q990,'Threshold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Editor'!$E:$E,1))),stab,IF(OR(mtype=XLOOKUP(XLOOKUP($Q990,'Threshold Summary'!$Y:$Y,'Threshold Summary'!$K:$K,""),'Pokemon Editor'!$A:$A,'Pokemon Editor'!$C:$C,""),mtype=XLOOKUP(XLOOKUP($Q990,'Threshold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Chart'!$B$1:$S$1,0)))),base,IF(OR(cat="Status",pow=0),0,FLOOR(FLOOR(FLOOR((2*XLOOKUP($Q990,'Threshold Summary'!$Y:$Y,'Threshold Summary'!$L:$L,"")/5+2)*pow*atk/def)/50)+2)),modifier,stab*eff,FLOOR(base*modifier*0.85)),0)</f>
        <v/>
      </c>
      <c r="K990" s="3">
        <f>IFERROR(LET(mtype,XLOOKUP($D990,'Move Editor'!$B:$B,'Move Editor'!$C:$C,""),cat,XLOOKUP($D990,'Move Editor'!$B:$B,'Move Editor'!$D:$D,""),pow,XLOOKUP($D990,'Move Editor'!$B:$B,'Move Editor'!$E:$E,0),acc,XLOOKUP($D990,'Move Editor'!$B:$B,'Move Editor'!$F:$F,100),atk,IF(cat="Physical",FLOOR((FLOOR(((2*XLOOKUP(XLOOKUP($Q990,'Threshold Summary'!$Y:$Y,'Threshold Summary'!$K:$K,""),'Pokemon Editor'!$A:$A,'Pokemon Editor'!$F:$F,0)+31+FLOOR(XLOOKUP($Q990,'Threshold Summary'!$Y:$Y,'Threshold Summary'!$P:$P,"")/4))*XLOOKUP($Q990,'Threshold Summary'!$Y:$Y,'Threshold Summary'!$L:$L,""))/100)+5)*XLOOKUP(XLOOKUP($Q990,'Threshold Summary'!$Y:$Y,'Threshold Summary'!$M:$M,""),'Nature Editor'!$A:$A,'Nature Editor'!$B:$B,1)),FLOOR((FLOOR(((2*XLOOKUP(XLOOKUP($Q990,'Threshold Summary'!$Y:$Y,'Threshold Summary'!$K:$K,""),'Pokemon Editor'!$A:$A,'Pokemon Editor'!$H:$H,0)+31+FLOOR(XLOOKUP($Q990,'Threshold Summary'!$Y:$Y,'Threshold Summary'!$R:$R,"")/4))*XLOOKUP($Q990,'Threshold Summary'!$Y:$Y,'Threshold Summary'!$L:$L,""))/100)+5)*XLOOKUP(XLOOKUP($Q990,'Threshold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Editor'!$E:$E,1))),stab,IF(OR(mtype=XLOOKUP(XLOOKUP($Q990,'Threshold Summary'!$Y:$Y,'Threshold Summary'!$K:$K,""),'Pokemon Editor'!$A:$A,'Pokemon Editor'!$C:$C,""),mtype=XLOOKUP(XLOOKUP($Q990,'Threshold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Chart'!$B$1:$S$1,0)))),base,IF(OR(cat="Status",pow=0),0,FLOOR(FLOOR(FLOOR((2*XLOOKUP($Q990,'Threshold Summary'!$Y:$Y,'Threshold Summary'!$L:$L,"")/5+2)*pow*atk/def)/50)+2)),modifier,stab*eff,FLOOR(base*modifier)),0)</f>
        <v/>
      </c>
      <c r="L990" s="3">
        <f>IFERROR(LET(mtype,XLOOKUP($D990,'Move Editor'!$B:$B,'Move Editor'!$C:$C,""),cat,XLOOKUP($D990,'Move Editor'!$B:$B,'Move Editor'!$D:$D,""),pow,XLOOKUP($D990,'Move Editor'!$B:$B,'Move Editor'!$E:$E,0),acc,XLOOKUP($D990,'Move Editor'!$B:$B,'Move Editor'!$F:$F,100),atk,IF(cat="Physical",FLOOR((FLOOR(((2*XLOOKUP(XLOOKUP($Q990,'Threshold Summary'!$Y:$Y,'Threshold Summary'!$K:$K,""),'Pokemon Editor'!$A:$A,'Pokemon Editor'!$F:$F,0)+31+FLOOR(XLOOKUP($Q990,'Threshold Summary'!$Y:$Y,'Threshold Summary'!$P:$P,"")/4))*XLOOKUP($Q990,'Threshold Summary'!$Y:$Y,'Threshold Summary'!$L:$L,""))/100)+5)*XLOOKUP(XLOOKUP($Q990,'Threshold Summary'!$Y:$Y,'Threshold Summary'!$M:$M,""),'Nature Editor'!$A:$A,'Nature Editor'!$B:$B,1)),FLOOR((FLOOR(((2*XLOOKUP(XLOOKUP($Q990,'Threshold Summary'!$Y:$Y,'Threshold Summary'!$K:$K,""),'Pokemon Editor'!$A:$A,'Pokemon Editor'!$H:$H,0)+31+FLOOR(XLOOKUP($Q990,'Threshold Summary'!$Y:$Y,'Threshold Summary'!$R:$R,"")/4))*XLOOKUP($Q990,'Threshold Summary'!$Y:$Y,'Threshold Summary'!$L:$L,""))/100)+5)*XLOOKUP(XLOOKUP($Q990,'Threshold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Editor'!$E:$E,1))),stab,IF(OR(mtype=XLOOKUP(XLOOKUP($Q990,'Threshold Summary'!$Y:$Y,'Threshold Summary'!$K:$K,""),'Pokemon Editor'!$A:$A,'Pokemon Editor'!$C:$C,""),mtype=XLOOKUP(XLOOKUP($Q990,'Threshold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Chart'!$B$1:$S$1,0)))),base,IF(OR(cat="Status",pow=0),0,FLOOR(FLOOR(FLOOR((2*XLOOKUP($Q990,'Threshold Summary'!$Y:$Y,'Threshold Summary'!$L:$L,"")/5+2)*pow*atk/def)/50)+2)),modifier,stab*eff,AVERAGE(ARRAYFORMULA(FLOOR(base*modifier*SEQUENCE(16,1,85,1)/100)))),0)</f>
        <v/>
      </c>
      <c r="M990" s="3">
        <f>IFERROR(LET(mtype,XLOOKUP($D990,'Move Editor'!$B:$B,'Move Editor'!$C:$C,""),cat,XLOOKUP($D990,'Move Editor'!$B:$B,'Move Editor'!$D:$D,""),pow,XLOOKUP($D990,'Move Editor'!$B:$B,'Move Editor'!$E:$E,0),acc,XLOOKUP($D990,'Move Editor'!$B:$B,'Move Editor'!$F:$F,100),atk,IF(cat="Physical",FLOOR((FLOOR(((2*XLOOKUP(XLOOKUP($Q990,'Threshold Summary'!$Y:$Y,'Threshold Summary'!$K:$K,""),'Pokemon Editor'!$A:$A,'Pokemon Editor'!$F:$F,0)+31+FLOOR(XLOOKUP($Q990,'Threshold Summary'!$Y:$Y,'Threshold Summary'!$P:$P,"")/4))*XLOOKUP($Q990,'Threshold Summary'!$Y:$Y,'Threshold Summary'!$L:$L,""))/100)+5)*XLOOKUP(XLOOKUP($Q990,'Threshold Summary'!$Y:$Y,'Threshold Summary'!$M:$M,""),'Nature Editor'!$A:$A,'Nature Editor'!$B:$B,1)),FLOOR((FLOOR(((2*XLOOKUP(XLOOKUP($Q990,'Threshold Summary'!$Y:$Y,'Threshold Summary'!$K:$K,""),'Pokemon Editor'!$A:$A,'Pokemon Editor'!$H:$H,0)+31+FLOOR(XLOOKUP($Q990,'Threshold Summary'!$Y:$Y,'Threshold Summary'!$R:$R,"")/4))*XLOOKUP($Q990,'Threshold Summary'!$Y:$Y,'Threshold Summary'!$L:$L,""))/100)+5)*XLOOKUP(XLOOKUP($Q990,'Threshold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Editor'!$E:$E,1))),stab,IF(OR(mtype=XLOOKUP(XLOOKUP($Q990,'Threshold Summary'!$Y:$Y,'Threshold Summary'!$K:$K,""),'Pokemon Editor'!$A:$A,'Pokemon Editor'!$C:$C,""),mtype=XLOOKUP(XLOOKUP($Q990,'Threshold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Chart'!$B$1:$S$1,0)))),base,IF(OR(cat="Status",pow=0),0,FLOOR(FLOOR(FLOOR((2*XLOOKUP($Q990,'Threshold Summary'!$Y:$Y,'Threshold Summary'!$L:$L,"")/5+2)*pow*atk/def)/50)+2)),modifier,stab*eff,AVERAGE(ARRAYFORMULA(FLOOR(base*modifier*SEQUENCE(16,1,85,1)/100)))*MIN(1,acc/100)),0)</f>
        <v/>
      </c>
      <c r="N990" s="4">
        <f>IFERROR(LET(mtype,XLOOKUP($D990,'Move Editor'!$B:$B,'Move Editor'!$C:$C,""),cat,XLOOKUP($D990,'Move Editor'!$B:$B,'Move Editor'!$D:$D,""),pow,XLOOKUP($D990,'Move Editor'!$B:$B,'Move Editor'!$E:$E,0),acc,XLOOKUP($D990,'Move Editor'!$B:$B,'Move Editor'!$F:$F,100),atk,IF(cat="Physical",FLOOR((FLOOR(((2*XLOOKUP(XLOOKUP($Q990,'Threshold Summary'!$Y:$Y,'Threshold Summary'!$K:$K,""),'Pokemon Editor'!$A:$A,'Pokemon Editor'!$F:$F,0)+31+FLOOR(XLOOKUP($Q990,'Threshold Summary'!$Y:$Y,'Threshold Summary'!$P:$P,"")/4))*XLOOKUP($Q990,'Threshold Summary'!$Y:$Y,'Threshold Summary'!$L:$L,""))/100)+5)*XLOOKUP(XLOOKUP($Q990,'Threshold Summary'!$Y:$Y,'Threshold Summary'!$M:$M,""),'Nature Editor'!$A:$A,'Nature Editor'!$B:$B,1)),FLOOR((FLOOR(((2*XLOOKUP(XLOOKUP($Q990,'Threshold Summary'!$Y:$Y,'Threshold Summary'!$K:$K,""),'Pokemon Editor'!$A:$A,'Pokemon Editor'!$H:$H,0)+31+FLOOR(XLOOKUP($Q990,'Threshold Summary'!$Y:$Y,'Threshold Summary'!$R:$R,"")/4))*XLOOKUP($Q990,'Threshold Summary'!$Y:$Y,'Threshold Summary'!$L:$L,""))/100)+5)*XLOOKUP(XLOOKUP($Q990,'Threshold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Editor'!$E:$E,1))),stab,IF(OR(mtype=XLOOKUP(XLOOKUP($Q990,'Threshold Summary'!$Y:$Y,'Threshold Summary'!$K:$K,""),'Pokemon Editor'!$A:$A,'Pokemon Editor'!$C:$C,""),mtype=XLOOKUP(XLOOKUP($Q990,'Threshold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Chart'!$B$1:$S$1,0)))),base,IF(OR(cat="Status",pow=0),0,FLOOR(FLOOR(FLOOR((2*XLOOKUP($Q990,'Threshold Summary'!$Y:$Y,'Threshold Summary'!$L:$L,"")/5+2)*pow*atk/def)/50)+2)),modifier,stab*eff,AVERAGE(ARRAYFORMULA(FLOOR(base*modifier*SEQUENCE(16,1,85,1)/100)))/(FLOOR(((2*XLOOKUP('Boss Editor'!$C$4,'Pokemon Editor'!$A:$A,'Pokemon Editor'!$E:$E,0)+31+FLOOR('Boss Editor'!$G$4/4))*'Boss Editor'!$D$4)/100)+'Boss Editor'!$D$4+10)),0)</f>
        <v/>
      </c>
      <c r="O990" s="3">
        <f>IF(N990&gt;=1,"OHKO",IF(N990&gt;=0.5,"2HKO",IF(N990&gt;=0.333,"3HKO",IF(N990&gt;=0.25,"4HKO","5HKO+"))))</f>
        <v/>
      </c>
      <c r="P990" s="3" t="inlineStr">
        <is>
          <t>Live from editable databases</t>
        </is>
      </c>
      <c r="Q990" s="3" t="inlineStr">
        <is>
          <t>SPECIES_WATTREL</t>
        </is>
      </c>
      <c r="R990" s="3" t="n">
        <v>29</v>
      </c>
    </row>
    <row r="991">
      <c r="A991" s="3">
        <f>XLOOKUP($Q991,'Threshold Summary'!$Y:$Y,'Threshold Summary'!$A:$A,"")</f>
        <v/>
      </c>
      <c r="B991" s="3">
        <f>XLOOKUP($Q991,'Threshold Summary'!$Y:$Y,'Threshold Summary'!$M:$M,"")</f>
        <v/>
      </c>
      <c r="C991" s="3">
        <f>XLOOKUP($Q991,'Threshold Summary'!$Y:$Y,'Threshold Summary'!$N:$N,"")</f>
        <v/>
      </c>
      <c r="D991" s="3">
        <f>IFERROR(INDEX(FILTER('Learnset Editor'!$D$2:$D,'Learnset Editor'!$A$2:$A=XLOOKUP($Q991,'Threshold Summary'!$Y:$Y,'Threshold Summary'!$K:$K,""),'Learnset Editor'!$C$2:$C&lt;=XLOOKUP($Q991,'Threshold Summary'!$Y:$Y,'Threshold Summary'!$L:$L,"")),$R991),"")</f>
        <v/>
      </c>
      <c r="E991" s="3">
        <f>XLOOKUP(D991,'Move Editor'!$B:$B,'Move Editor'!$C:$C,"")</f>
        <v/>
      </c>
      <c r="F991" s="3">
        <f>XLOOKUP(D991,'Move Editor'!$B:$B,'Move Editor'!$D:$D,"")</f>
        <v/>
      </c>
      <c r="G991" s="3">
        <f>XLOOKUP(D991,'Move Editor'!$B:$B,'Move Editor'!$E:$E,0)</f>
        <v/>
      </c>
      <c r="H991" s="3">
        <f>XLOOKUP(D991,'Move Editor'!$B:$B,'Move Editor'!$F:$F,0)</f>
        <v/>
      </c>
      <c r="I991" s="3">
        <f>(INDEX('Type Chart'!$B:$S,MATCH(E991,'Type Chart'!$A:$A,0),MATCH(XLOOKUP('Boss Editor'!$C$4,'Pokemon Editor'!$A:$A,'Pokemon Editor'!$C:$C,""),'Type Chart'!$B$1:$S$1,0))*IF(XLOOKUP('Boss Editor'!$C$4,'Pokemon Editor'!$A:$A,'Pokemon Editor'!$D:$D,"")="",1,INDEX('Type Chart'!$B:$S,MATCH(E991,'Type Chart'!$A:$A,0),MATCH(XLOOKUP('Boss Editor'!$C$4,'Pokemon Editor'!$A:$A,'Pokemon Editor'!$D:$D,""),'Type Chart'!$B$1:$S$1,0))))</f>
        <v/>
      </c>
      <c r="J991" s="3">
        <f>IFERROR(LET(mtype,XLOOKUP($D991,'Move Editor'!$B:$B,'Move Editor'!$C:$C,""),cat,XLOOKUP($D991,'Move Editor'!$B:$B,'Move Editor'!$D:$D,""),pow,XLOOKUP($D991,'Move Editor'!$B:$B,'Move Editor'!$E:$E,0),acc,XLOOKUP($D991,'Move Editor'!$B:$B,'Move Editor'!$F:$F,100),atk,IF(cat="Physical",FLOOR((FLOOR(((2*XLOOKUP(XLOOKUP($Q991,'Threshold Summary'!$Y:$Y,'Threshold Summary'!$K:$K,""),'Pokemon Editor'!$A:$A,'Pokemon Editor'!$F:$F,0)+31+FLOOR(XLOOKUP($Q991,'Threshold Summary'!$Y:$Y,'Threshold Summary'!$P:$P,"")/4))*XLOOKUP($Q991,'Threshold Summary'!$Y:$Y,'Threshold Summary'!$L:$L,""))/100)+5)*XLOOKUP(XLOOKUP($Q991,'Threshold Summary'!$Y:$Y,'Threshold Summary'!$M:$M,""),'Nature Editor'!$A:$A,'Nature Editor'!$B:$B,1)),FLOOR((FLOOR(((2*XLOOKUP(XLOOKUP($Q991,'Threshold Summary'!$Y:$Y,'Threshold Summary'!$K:$K,""),'Pokemon Editor'!$A:$A,'Pokemon Editor'!$H:$H,0)+31+FLOOR(XLOOKUP($Q991,'Threshold Summary'!$Y:$Y,'Threshold Summary'!$R:$R,"")/4))*XLOOKUP($Q991,'Threshold Summary'!$Y:$Y,'Threshold Summary'!$L:$L,""))/100)+5)*XLOOKUP(XLOOKUP($Q991,'Threshold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Editor'!$E:$E,1))),stab,IF(OR(mtype=XLOOKUP(XLOOKUP($Q991,'Threshold Summary'!$Y:$Y,'Threshold Summary'!$K:$K,""),'Pokemon Editor'!$A:$A,'Pokemon Editor'!$C:$C,""),mtype=XLOOKUP(XLOOKUP($Q991,'Threshold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Chart'!$B$1:$S$1,0)))),base,IF(OR(cat="Status",pow=0),0,FLOOR(FLOOR(FLOOR((2*XLOOKUP($Q991,'Threshold Summary'!$Y:$Y,'Threshold Summary'!$L:$L,"")/5+2)*pow*atk/def)/50)+2)),modifier,stab*eff,FLOOR(base*modifier*0.85)),0)</f>
        <v/>
      </c>
      <c r="K991" s="3">
        <f>IFERROR(LET(mtype,XLOOKUP($D991,'Move Editor'!$B:$B,'Move Editor'!$C:$C,""),cat,XLOOKUP($D991,'Move Editor'!$B:$B,'Move Editor'!$D:$D,""),pow,XLOOKUP($D991,'Move Editor'!$B:$B,'Move Editor'!$E:$E,0),acc,XLOOKUP($D991,'Move Editor'!$B:$B,'Move Editor'!$F:$F,100),atk,IF(cat="Physical",FLOOR((FLOOR(((2*XLOOKUP(XLOOKUP($Q991,'Threshold Summary'!$Y:$Y,'Threshold Summary'!$K:$K,""),'Pokemon Editor'!$A:$A,'Pokemon Editor'!$F:$F,0)+31+FLOOR(XLOOKUP($Q991,'Threshold Summary'!$Y:$Y,'Threshold Summary'!$P:$P,"")/4))*XLOOKUP($Q991,'Threshold Summary'!$Y:$Y,'Threshold Summary'!$L:$L,""))/100)+5)*XLOOKUP(XLOOKUP($Q991,'Threshold Summary'!$Y:$Y,'Threshold Summary'!$M:$M,""),'Nature Editor'!$A:$A,'Nature Editor'!$B:$B,1)),FLOOR((FLOOR(((2*XLOOKUP(XLOOKUP($Q991,'Threshold Summary'!$Y:$Y,'Threshold Summary'!$K:$K,""),'Pokemon Editor'!$A:$A,'Pokemon Editor'!$H:$H,0)+31+FLOOR(XLOOKUP($Q991,'Threshold Summary'!$Y:$Y,'Threshold Summary'!$R:$R,"")/4))*XLOOKUP($Q991,'Threshold Summary'!$Y:$Y,'Threshold Summary'!$L:$L,""))/100)+5)*XLOOKUP(XLOOKUP($Q991,'Threshold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Editor'!$E:$E,1))),stab,IF(OR(mtype=XLOOKUP(XLOOKUP($Q991,'Threshold Summary'!$Y:$Y,'Threshold Summary'!$K:$K,""),'Pokemon Editor'!$A:$A,'Pokemon Editor'!$C:$C,""),mtype=XLOOKUP(XLOOKUP($Q991,'Threshold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Chart'!$B$1:$S$1,0)))),base,IF(OR(cat="Status",pow=0),0,FLOOR(FLOOR(FLOOR((2*XLOOKUP($Q991,'Threshold Summary'!$Y:$Y,'Threshold Summary'!$L:$L,"")/5+2)*pow*atk/def)/50)+2)),modifier,stab*eff,FLOOR(base*modifier)),0)</f>
        <v/>
      </c>
      <c r="L991" s="3">
        <f>IFERROR(LET(mtype,XLOOKUP($D991,'Move Editor'!$B:$B,'Move Editor'!$C:$C,""),cat,XLOOKUP($D991,'Move Editor'!$B:$B,'Move Editor'!$D:$D,""),pow,XLOOKUP($D991,'Move Editor'!$B:$B,'Move Editor'!$E:$E,0),acc,XLOOKUP($D991,'Move Editor'!$B:$B,'Move Editor'!$F:$F,100),atk,IF(cat="Physical",FLOOR((FLOOR(((2*XLOOKUP(XLOOKUP($Q991,'Threshold Summary'!$Y:$Y,'Threshold Summary'!$K:$K,""),'Pokemon Editor'!$A:$A,'Pokemon Editor'!$F:$F,0)+31+FLOOR(XLOOKUP($Q991,'Threshold Summary'!$Y:$Y,'Threshold Summary'!$P:$P,"")/4))*XLOOKUP($Q991,'Threshold Summary'!$Y:$Y,'Threshold Summary'!$L:$L,""))/100)+5)*XLOOKUP(XLOOKUP($Q991,'Threshold Summary'!$Y:$Y,'Threshold Summary'!$M:$M,""),'Nature Editor'!$A:$A,'Nature Editor'!$B:$B,1)),FLOOR((FLOOR(((2*XLOOKUP(XLOOKUP($Q991,'Threshold Summary'!$Y:$Y,'Threshold Summary'!$K:$K,""),'Pokemon Editor'!$A:$A,'Pokemon Editor'!$H:$H,0)+31+FLOOR(XLOOKUP($Q991,'Threshold Summary'!$Y:$Y,'Threshold Summary'!$R:$R,"")/4))*XLOOKUP($Q991,'Threshold Summary'!$Y:$Y,'Threshold Summary'!$L:$L,""))/100)+5)*XLOOKUP(XLOOKUP($Q991,'Threshold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Editor'!$E:$E,1))),stab,IF(OR(mtype=XLOOKUP(XLOOKUP($Q991,'Threshold Summary'!$Y:$Y,'Threshold Summary'!$K:$K,""),'Pokemon Editor'!$A:$A,'Pokemon Editor'!$C:$C,""),mtype=XLOOKUP(XLOOKUP($Q991,'Threshold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Chart'!$B$1:$S$1,0)))),base,IF(OR(cat="Status",pow=0),0,FLOOR(FLOOR(FLOOR((2*XLOOKUP($Q991,'Threshold Summary'!$Y:$Y,'Threshold Summary'!$L:$L,"")/5+2)*pow*atk/def)/50)+2)),modifier,stab*eff,AVERAGE(ARRAYFORMULA(FLOOR(base*modifier*SEQUENCE(16,1,85,1)/100)))),0)</f>
        <v/>
      </c>
      <c r="M991" s="3">
        <f>IFERROR(LET(mtype,XLOOKUP($D991,'Move Editor'!$B:$B,'Move Editor'!$C:$C,""),cat,XLOOKUP($D991,'Move Editor'!$B:$B,'Move Editor'!$D:$D,""),pow,XLOOKUP($D991,'Move Editor'!$B:$B,'Move Editor'!$E:$E,0),acc,XLOOKUP($D991,'Move Editor'!$B:$B,'Move Editor'!$F:$F,100),atk,IF(cat="Physical",FLOOR((FLOOR(((2*XLOOKUP(XLOOKUP($Q991,'Threshold Summary'!$Y:$Y,'Threshold Summary'!$K:$K,""),'Pokemon Editor'!$A:$A,'Pokemon Editor'!$F:$F,0)+31+FLOOR(XLOOKUP($Q991,'Threshold Summary'!$Y:$Y,'Threshold Summary'!$P:$P,"")/4))*XLOOKUP($Q991,'Threshold Summary'!$Y:$Y,'Threshold Summary'!$L:$L,""))/100)+5)*XLOOKUP(XLOOKUP($Q991,'Threshold Summary'!$Y:$Y,'Threshold Summary'!$M:$M,""),'Nature Editor'!$A:$A,'Nature Editor'!$B:$B,1)),FLOOR((FLOOR(((2*XLOOKUP(XLOOKUP($Q991,'Threshold Summary'!$Y:$Y,'Threshold Summary'!$K:$K,""),'Pokemon Editor'!$A:$A,'Pokemon Editor'!$H:$H,0)+31+FLOOR(XLOOKUP($Q991,'Threshold Summary'!$Y:$Y,'Threshold Summary'!$R:$R,"")/4))*XLOOKUP($Q991,'Threshold Summary'!$Y:$Y,'Threshold Summary'!$L:$L,""))/100)+5)*XLOOKUP(XLOOKUP($Q991,'Threshold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Editor'!$E:$E,1))),stab,IF(OR(mtype=XLOOKUP(XLOOKUP($Q991,'Threshold Summary'!$Y:$Y,'Threshold Summary'!$K:$K,""),'Pokemon Editor'!$A:$A,'Pokemon Editor'!$C:$C,""),mtype=XLOOKUP(XLOOKUP($Q991,'Threshold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Chart'!$B$1:$S$1,0)))),base,IF(OR(cat="Status",pow=0),0,FLOOR(FLOOR(FLOOR((2*XLOOKUP($Q991,'Threshold Summary'!$Y:$Y,'Threshold Summary'!$L:$L,"")/5+2)*pow*atk/def)/50)+2)),modifier,stab*eff,AVERAGE(ARRAYFORMULA(FLOOR(base*modifier*SEQUENCE(16,1,85,1)/100)))*MIN(1,acc/100)),0)</f>
        <v/>
      </c>
      <c r="N991" s="4">
        <f>IFERROR(LET(mtype,XLOOKUP($D991,'Move Editor'!$B:$B,'Move Editor'!$C:$C,""),cat,XLOOKUP($D991,'Move Editor'!$B:$B,'Move Editor'!$D:$D,""),pow,XLOOKUP($D991,'Move Editor'!$B:$B,'Move Editor'!$E:$E,0),acc,XLOOKUP($D991,'Move Editor'!$B:$B,'Move Editor'!$F:$F,100),atk,IF(cat="Physical",FLOOR((FLOOR(((2*XLOOKUP(XLOOKUP($Q991,'Threshold Summary'!$Y:$Y,'Threshold Summary'!$K:$K,""),'Pokemon Editor'!$A:$A,'Pokemon Editor'!$F:$F,0)+31+FLOOR(XLOOKUP($Q991,'Threshold Summary'!$Y:$Y,'Threshold Summary'!$P:$P,"")/4))*XLOOKUP($Q991,'Threshold Summary'!$Y:$Y,'Threshold Summary'!$L:$L,""))/100)+5)*XLOOKUP(XLOOKUP($Q991,'Threshold Summary'!$Y:$Y,'Threshold Summary'!$M:$M,""),'Nature Editor'!$A:$A,'Nature Editor'!$B:$B,1)),FLOOR((FLOOR(((2*XLOOKUP(XLOOKUP($Q991,'Threshold Summary'!$Y:$Y,'Threshold Summary'!$K:$K,""),'Pokemon Editor'!$A:$A,'Pokemon Editor'!$H:$H,0)+31+FLOOR(XLOOKUP($Q991,'Threshold Summary'!$Y:$Y,'Threshold Summary'!$R:$R,"")/4))*XLOOKUP($Q991,'Threshold Summary'!$Y:$Y,'Threshold Summary'!$L:$L,""))/100)+5)*XLOOKUP(XLOOKUP($Q991,'Threshold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Editor'!$E:$E,1))),stab,IF(OR(mtype=XLOOKUP(XLOOKUP($Q991,'Threshold Summary'!$Y:$Y,'Threshold Summary'!$K:$K,""),'Pokemon Editor'!$A:$A,'Pokemon Editor'!$C:$C,""),mtype=XLOOKUP(XLOOKUP($Q991,'Threshold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Chart'!$B$1:$S$1,0)))),base,IF(OR(cat="Status",pow=0),0,FLOOR(FLOOR(FLOOR((2*XLOOKUP($Q991,'Threshold Summary'!$Y:$Y,'Threshold Summary'!$L:$L,"")/5+2)*pow*atk/def)/50)+2)),modifier,stab*eff,AVERAGE(ARRAYFORMULA(FLOOR(base*modifier*SEQUENCE(16,1,85,1)/100)))/(FLOOR(((2*XLOOKUP('Boss Editor'!$C$4,'Pokemon Editor'!$A:$A,'Pokemon Editor'!$E:$E,0)+31+FLOOR('Boss Editor'!$G$4/4))*'Boss Editor'!$D$4)/100)+'Boss Editor'!$D$4+10)),0)</f>
        <v/>
      </c>
      <c r="O991" s="3">
        <f>IF(N991&gt;=1,"OHKO",IF(N991&gt;=0.5,"2HKO",IF(N991&gt;=0.333,"3HKO",IF(N991&gt;=0.25,"4HKO","5HKO+"))))</f>
        <v/>
      </c>
      <c r="P991" s="3" t="inlineStr">
        <is>
          <t>Live from editable databases</t>
        </is>
      </c>
      <c r="Q991" s="3" t="inlineStr">
        <is>
          <t>SPECIES_WATTREL</t>
        </is>
      </c>
      <c r="R991" s="3" t="n">
        <v>30</v>
      </c>
    </row>
    <row r="992">
      <c r="A992" s="3">
        <f>XLOOKUP($Q992,'Threshold Summary'!$Y:$Y,'Threshold Summary'!$A:$A,"")</f>
        <v/>
      </c>
      <c r="B992" s="3">
        <f>XLOOKUP($Q992,'Threshold Summary'!$Y:$Y,'Threshold Summary'!$M:$M,"")</f>
        <v/>
      </c>
      <c r="C992" s="3">
        <f>XLOOKUP($Q992,'Threshold Summary'!$Y:$Y,'Threshold Summary'!$N:$N,"")</f>
        <v/>
      </c>
      <c r="D992" s="3">
        <f>IFERROR(INDEX(FILTER('Learnset Editor'!$D$2:$D,'Learnset Editor'!$A$2:$A=XLOOKUP($Q992,'Threshold Summary'!$Y:$Y,'Threshold Summary'!$K:$K,""),'Learnset Editor'!$C$2:$C&lt;=XLOOKUP($Q992,'Threshold Summary'!$Y:$Y,'Threshold Summary'!$L:$L,"")),$R992),"")</f>
        <v/>
      </c>
      <c r="E992" s="3">
        <f>XLOOKUP(D992,'Move Editor'!$B:$B,'Move Editor'!$C:$C,"")</f>
        <v/>
      </c>
      <c r="F992" s="3">
        <f>XLOOKUP(D992,'Move Editor'!$B:$B,'Move Editor'!$D:$D,"")</f>
        <v/>
      </c>
      <c r="G992" s="3">
        <f>XLOOKUP(D992,'Move Editor'!$B:$B,'Move Editor'!$E:$E,0)</f>
        <v/>
      </c>
      <c r="H992" s="3">
        <f>XLOOKUP(D992,'Move Editor'!$B:$B,'Move Editor'!$F:$F,0)</f>
        <v/>
      </c>
      <c r="I992" s="3">
        <f>(INDEX('Type Chart'!$B:$S,MATCH(E992,'Type Chart'!$A:$A,0),MATCH(XLOOKUP('Boss Editor'!$C$4,'Pokemon Editor'!$A:$A,'Pokemon Editor'!$C:$C,""),'Type Chart'!$B$1:$S$1,0))*IF(XLOOKUP('Boss Editor'!$C$4,'Pokemon Editor'!$A:$A,'Pokemon Editor'!$D:$D,"")="",1,INDEX('Type Chart'!$B:$S,MATCH(E992,'Type Chart'!$A:$A,0),MATCH(XLOOKUP('Boss Editor'!$C$4,'Pokemon Editor'!$A:$A,'Pokemon Editor'!$D:$D,""),'Type Chart'!$B$1:$S$1,0))))</f>
        <v/>
      </c>
      <c r="J992" s="3">
        <f>IFERROR(LET(mtype,XLOOKUP($D992,'Move Editor'!$B:$B,'Move Editor'!$C:$C,""),cat,XLOOKUP($D992,'Move Editor'!$B:$B,'Move Editor'!$D:$D,""),pow,XLOOKUP($D992,'Move Editor'!$B:$B,'Move Editor'!$E:$E,0),acc,XLOOKUP($D992,'Move Editor'!$B:$B,'Move Editor'!$F:$F,100),atk,IF(cat="Physical",FLOOR((FLOOR(((2*XLOOKUP(XLOOKUP($Q992,'Threshold Summary'!$Y:$Y,'Threshold Summary'!$K:$K,""),'Pokemon Editor'!$A:$A,'Pokemon Editor'!$F:$F,0)+31+FLOOR(XLOOKUP($Q992,'Threshold Summary'!$Y:$Y,'Threshold Summary'!$P:$P,"")/4))*XLOOKUP($Q992,'Threshold Summary'!$Y:$Y,'Threshold Summary'!$L:$L,""))/100)+5)*XLOOKUP(XLOOKUP($Q992,'Threshold Summary'!$Y:$Y,'Threshold Summary'!$M:$M,""),'Nature Editor'!$A:$A,'Nature Editor'!$B:$B,1)),FLOOR((FLOOR(((2*XLOOKUP(XLOOKUP($Q992,'Threshold Summary'!$Y:$Y,'Threshold Summary'!$K:$K,""),'Pokemon Editor'!$A:$A,'Pokemon Editor'!$H:$H,0)+31+FLOOR(XLOOKUP($Q992,'Threshold Summary'!$Y:$Y,'Threshold Summary'!$R:$R,"")/4))*XLOOKUP($Q992,'Threshold Summary'!$Y:$Y,'Threshold Summary'!$L:$L,""))/100)+5)*XLOOKUP(XLOOKUP($Q992,'Threshold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Editor'!$E:$E,1))),stab,IF(OR(mtype=XLOOKUP(XLOOKUP($Q992,'Threshold Summary'!$Y:$Y,'Threshold Summary'!$K:$K,""),'Pokemon Editor'!$A:$A,'Pokemon Editor'!$C:$C,""),mtype=XLOOKUP(XLOOKUP($Q992,'Threshold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Chart'!$B$1:$S$1,0)))),base,IF(OR(cat="Status",pow=0),0,FLOOR(FLOOR(FLOOR((2*XLOOKUP($Q992,'Threshold Summary'!$Y:$Y,'Threshold Summary'!$L:$L,"")/5+2)*pow*atk/def)/50)+2)),modifier,stab*eff,FLOOR(base*modifier*0.85)),0)</f>
        <v/>
      </c>
      <c r="K992" s="3">
        <f>IFERROR(LET(mtype,XLOOKUP($D992,'Move Editor'!$B:$B,'Move Editor'!$C:$C,""),cat,XLOOKUP($D992,'Move Editor'!$B:$B,'Move Editor'!$D:$D,""),pow,XLOOKUP($D992,'Move Editor'!$B:$B,'Move Editor'!$E:$E,0),acc,XLOOKUP($D992,'Move Editor'!$B:$B,'Move Editor'!$F:$F,100),atk,IF(cat="Physical",FLOOR((FLOOR(((2*XLOOKUP(XLOOKUP($Q992,'Threshold Summary'!$Y:$Y,'Threshold Summary'!$K:$K,""),'Pokemon Editor'!$A:$A,'Pokemon Editor'!$F:$F,0)+31+FLOOR(XLOOKUP($Q992,'Threshold Summary'!$Y:$Y,'Threshold Summary'!$P:$P,"")/4))*XLOOKUP($Q992,'Threshold Summary'!$Y:$Y,'Threshold Summary'!$L:$L,""))/100)+5)*XLOOKUP(XLOOKUP($Q992,'Threshold Summary'!$Y:$Y,'Threshold Summary'!$M:$M,""),'Nature Editor'!$A:$A,'Nature Editor'!$B:$B,1)),FLOOR((FLOOR(((2*XLOOKUP(XLOOKUP($Q992,'Threshold Summary'!$Y:$Y,'Threshold Summary'!$K:$K,""),'Pokemon Editor'!$A:$A,'Pokemon Editor'!$H:$H,0)+31+FLOOR(XLOOKUP($Q992,'Threshold Summary'!$Y:$Y,'Threshold Summary'!$R:$R,"")/4))*XLOOKUP($Q992,'Threshold Summary'!$Y:$Y,'Threshold Summary'!$L:$L,""))/100)+5)*XLOOKUP(XLOOKUP($Q992,'Threshold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Editor'!$E:$E,1))),stab,IF(OR(mtype=XLOOKUP(XLOOKUP($Q992,'Threshold Summary'!$Y:$Y,'Threshold Summary'!$K:$K,""),'Pokemon Editor'!$A:$A,'Pokemon Editor'!$C:$C,""),mtype=XLOOKUP(XLOOKUP($Q992,'Threshold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Chart'!$B$1:$S$1,0)))),base,IF(OR(cat="Status",pow=0),0,FLOOR(FLOOR(FLOOR((2*XLOOKUP($Q992,'Threshold Summary'!$Y:$Y,'Threshold Summary'!$L:$L,"")/5+2)*pow*atk/def)/50)+2)),modifier,stab*eff,FLOOR(base*modifier)),0)</f>
        <v/>
      </c>
      <c r="L992" s="3">
        <f>IFERROR(LET(mtype,XLOOKUP($D992,'Move Editor'!$B:$B,'Move Editor'!$C:$C,""),cat,XLOOKUP($D992,'Move Editor'!$B:$B,'Move Editor'!$D:$D,""),pow,XLOOKUP($D992,'Move Editor'!$B:$B,'Move Editor'!$E:$E,0),acc,XLOOKUP($D992,'Move Editor'!$B:$B,'Move Editor'!$F:$F,100),atk,IF(cat="Physical",FLOOR((FLOOR(((2*XLOOKUP(XLOOKUP($Q992,'Threshold Summary'!$Y:$Y,'Threshold Summary'!$K:$K,""),'Pokemon Editor'!$A:$A,'Pokemon Editor'!$F:$F,0)+31+FLOOR(XLOOKUP($Q992,'Threshold Summary'!$Y:$Y,'Threshold Summary'!$P:$P,"")/4))*XLOOKUP($Q992,'Threshold Summary'!$Y:$Y,'Threshold Summary'!$L:$L,""))/100)+5)*XLOOKUP(XLOOKUP($Q992,'Threshold Summary'!$Y:$Y,'Threshold Summary'!$M:$M,""),'Nature Editor'!$A:$A,'Nature Editor'!$B:$B,1)),FLOOR((FLOOR(((2*XLOOKUP(XLOOKUP($Q992,'Threshold Summary'!$Y:$Y,'Threshold Summary'!$K:$K,""),'Pokemon Editor'!$A:$A,'Pokemon Editor'!$H:$H,0)+31+FLOOR(XLOOKUP($Q992,'Threshold Summary'!$Y:$Y,'Threshold Summary'!$R:$R,"")/4))*XLOOKUP($Q992,'Threshold Summary'!$Y:$Y,'Threshold Summary'!$L:$L,""))/100)+5)*XLOOKUP(XLOOKUP($Q992,'Threshold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Editor'!$E:$E,1))),stab,IF(OR(mtype=XLOOKUP(XLOOKUP($Q992,'Threshold Summary'!$Y:$Y,'Threshold Summary'!$K:$K,""),'Pokemon Editor'!$A:$A,'Pokemon Editor'!$C:$C,""),mtype=XLOOKUP(XLOOKUP($Q992,'Threshold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Chart'!$B$1:$S$1,0)))),base,IF(OR(cat="Status",pow=0),0,FLOOR(FLOOR(FLOOR((2*XLOOKUP($Q992,'Threshold Summary'!$Y:$Y,'Threshold Summary'!$L:$L,"")/5+2)*pow*atk/def)/50)+2)),modifier,stab*eff,AVERAGE(ARRAYFORMULA(FLOOR(base*modifier*SEQUENCE(16,1,85,1)/100)))),0)</f>
        <v/>
      </c>
      <c r="M992" s="3">
        <f>IFERROR(LET(mtype,XLOOKUP($D992,'Move Editor'!$B:$B,'Move Editor'!$C:$C,""),cat,XLOOKUP($D992,'Move Editor'!$B:$B,'Move Editor'!$D:$D,""),pow,XLOOKUP($D992,'Move Editor'!$B:$B,'Move Editor'!$E:$E,0),acc,XLOOKUP($D992,'Move Editor'!$B:$B,'Move Editor'!$F:$F,100),atk,IF(cat="Physical",FLOOR((FLOOR(((2*XLOOKUP(XLOOKUP($Q992,'Threshold Summary'!$Y:$Y,'Threshold Summary'!$K:$K,""),'Pokemon Editor'!$A:$A,'Pokemon Editor'!$F:$F,0)+31+FLOOR(XLOOKUP($Q992,'Threshold Summary'!$Y:$Y,'Threshold Summary'!$P:$P,"")/4))*XLOOKUP($Q992,'Threshold Summary'!$Y:$Y,'Threshold Summary'!$L:$L,""))/100)+5)*XLOOKUP(XLOOKUP($Q992,'Threshold Summary'!$Y:$Y,'Threshold Summary'!$M:$M,""),'Nature Editor'!$A:$A,'Nature Editor'!$B:$B,1)),FLOOR((FLOOR(((2*XLOOKUP(XLOOKUP($Q992,'Threshold Summary'!$Y:$Y,'Threshold Summary'!$K:$K,""),'Pokemon Editor'!$A:$A,'Pokemon Editor'!$H:$H,0)+31+FLOOR(XLOOKUP($Q992,'Threshold Summary'!$Y:$Y,'Threshold Summary'!$R:$R,"")/4))*XLOOKUP($Q992,'Threshold Summary'!$Y:$Y,'Threshold Summary'!$L:$L,""))/100)+5)*XLOOKUP(XLOOKUP($Q992,'Threshold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Editor'!$E:$E,1))),stab,IF(OR(mtype=XLOOKUP(XLOOKUP($Q992,'Threshold Summary'!$Y:$Y,'Threshold Summary'!$K:$K,""),'Pokemon Editor'!$A:$A,'Pokemon Editor'!$C:$C,""),mtype=XLOOKUP(XLOOKUP($Q992,'Threshold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Chart'!$B$1:$S$1,0)))),base,IF(OR(cat="Status",pow=0),0,FLOOR(FLOOR(FLOOR((2*XLOOKUP($Q992,'Threshold Summary'!$Y:$Y,'Threshold Summary'!$L:$L,"")/5+2)*pow*atk/def)/50)+2)),modifier,stab*eff,AVERAGE(ARRAYFORMULA(FLOOR(base*modifier*SEQUENCE(16,1,85,1)/100)))*MIN(1,acc/100)),0)</f>
        <v/>
      </c>
      <c r="N992" s="4">
        <f>IFERROR(LET(mtype,XLOOKUP($D992,'Move Editor'!$B:$B,'Move Editor'!$C:$C,""),cat,XLOOKUP($D992,'Move Editor'!$B:$B,'Move Editor'!$D:$D,""),pow,XLOOKUP($D992,'Move Editor'!$B:$B,'Move Editor'!$E:$E,0),acc,XLOOKUP($D992,'Move Editor'!$B:$B,'Move Editor'!$F:$F,100),atk,IF(cat="Physical",FLOOR((FLOOR(((2*XLOOKUP(XLOOKUP($Q992,'Threshold Summary'!$Y:$Y,'Threshold Summary'!$K:$K,""),'Pokemon Editor'!$A:$A,'Pokemon Editor'!$F:$F,0)+31+FLOOR(XLOOKUP($Q992,'Threshold Summary'!$Y:$Y,'Threshold Summary'!$P:$P,"")/4))*XLOOKUP($Q992,'Threshold Summary'!$Y:$Y,'Threshold Summary'!$L:$L,""))/100)+5)*XLOOKUP(XLOOKUP($Q992,'Threshold Summary'!$Y:$Y,'Threshold Summary'!$M:$M,""),'Nature Editor'!$A:$A,'Nature Editor'!$B:$B,1)),FLOOR((FLOOR(((2*XLOOKUP(XLOOKUP($Q992,'Threshold Summary'!$Y:$Y,'Threshold Summary'!$K:$K,""),'Pokemon Editor'!$A:$A,'Pokemon Editor'!$H:$H,0)+31+FLOOR(XLOOKUP($Q992,'Threshold Summary'!$Y:$Y,'Threshold Summary'!$R:$R,"")/4))*XLOOKUP($Q992,'Threshold Summary'!$Y:$Y,'Threshold Summary'!$L:$L,""))/100)+5)*XLOOKUP(XLOOKUP($Q992,'Threshold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Editor'!$E:$E,1))),stab,IF(OR(mtype=XLOOKUP(XLOOKUP($Q992,'Threshold Summary'!$Y:$Y,'Threshold Summary'!$K:$K,""),'Pokemon Editor'!$A:$A,'Pokemon Editor'!$C:$C,""),mtype=XLOOKUP(XLOOKUP($Q992,'Threshold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Chart'!$B$1:$S$1,0)))),base,IF(OR(cat="Status",pow=0),0,FLOOR(FLOOR(FLOOR((2*XLOOKUP($Q992,'Threshold Summary'!$Y:$Y,'Threshold Summary'!$L:$L,"")/5+2)*pow*atk/def)/50)+2)),modifier,stab*eff,AVERAGE(ARRAYFORMULA(FLOOR(base*modifier*SEQUENCE(16,1,85,1)/100)))/(FLOOR(((2*XLOOKUP('Boss Editor'!$C$4,'Pokemon Editor'!$A:$A,'Pokemon Editor'!$E:$E,0)+31+FLOOR('Boss Editor'!$G$4/4))*'Boss Editor'!$D$4)/100)+'Boss Editor'!$D$4+10)),0)</f>
        <v/>
      </c>
      <c r="O992" s="3">
        <f>IF(N992&gt;=1,"OHKO",IF(N992&gt;=0.5,"2HKO",IF(N992&gt;=0.333,"3HKO",IF(N992&gt;=0.25,"4HKO","5HKO+"))))</f>
        <v/>
      </c>
      <c r="P992" s="3" t="inlineStr">
        <is>
          <t>Live from editable databases</t>
        </is>
      </c>
      <c r="Q992" s="3" t="inlineStr">
        <is>
          <t>SPECIES_WATTREL</t>
        </is>
      </c>
      <c r="R992" s="3" t="n">
        <v>31</v>
      </c>
    </row>
    <row r="993">
      <c r="A993" s="3">
        <f>XLOOKUP($Q993,'Threshold Summary'!$Y:$Y,'Threshold Summary'!$A:$A,"")</f>
        <v/>
      </c>
      <c r="B993" s="3">
        <f>XLOOKUP($Q993,'Threshold Summary'!$Y:$Y,'Threshold Summary'!$M:$M,"")</f>
        <v/>
      </c>
      <c r="C993" s="3">
        <f>XLOOKUP($Q993,'Threshold Summary'!$Y:$Y,'Threshold Summary'!$N:$N,"")</f>
        <v/>
      </c>
      <c r="D993" s="3">
        <f>IFERROR(INDEX(FILTER('Learnset Editor'!$D$2:$D,'Learnset Editor'!$A$2:$A=XLOOKUP($Q993,'Threshold Summary'!$Y:$Y,'Threshold Summary'!$K:$K,""),'Learnset Editor'!$C$2:$C&lt;=XLOOKUP($Q993,'Threshold Summary'!$Y:$Y,'Threshold Summary'!$L:$L,"")),$R993),"")</f>
        <v/>
      </c>
      <c r="E993" s="3">
        <f>XLOOKUP(D993,'Move Editor'!$B:$B,'Move Editor'!$C:$C,"")</f>
        <v/>
      </c>
      <c r="F993" s="3">
        <f>XLOOKUP(D993,'Move Editor'!$B:$B,'Move Editor'!$D:$D,"")</f>
        <v/>
      </c>
      <c r="G993" s="3">
        <f>XLOOKUP(D993,'Move Editor'!$B:$B,'Move Editor'!$E:$E,0)</f>
        <v/>
      </c>
      <c r="H993" s="3">
        <f>XLOOKUP(D993,'Move Editor'!$B:$B,'Move Editor'!$F:$F,0)</f>
        <v/>
      </c>
      <c r="I993" s="3">
        <f>(INDEX('Type Chart'!$B:$S,MATCH(E993,'Type Chart'!$A:$A,0),MATCH(XLOOKUP('Boss Editor'!$C$4,'Pokemon Editor'!$A:$A,'Pokemon Editor'!$C:$C,""),'Type Chart'!$B$1:$S$1,0))*IF(XLOOKUP('Boss Editor'!$C$4,'Pokemon Editor'!$A:$A,'Pokemon Editor'!$D:$D,"")="",1,INDEX('Type Chart'!$B:$S,MATCH(E993,'Type Chart'!$A:$A,0),MATCH(XLOOKUP('Boss Editor'!$C$4,'Pokemon Editor'!$A:$A,'Pokemon Editor'!$D:$D,""),'Type Chart'!$B$1:$S$1,0))))</f>
        <v/>
      </c>
      <c r="J993" s="3">
        <f>IFERROR(LET(mtype,XLOOKUP($D993,'Move Editor'!$B:$B,'Move Editor'!$C:$C,""),cat,XLOOKUP($D993,'Move Editor'!$B:$B,'Move Editor'!$D:$D,""),pow,XLOOKUP($D993,'Move Editor'!$B:$B,'Move Editor'!$E:$E,0),acc,XLOOKUP($D993,'Move Editor'!$B:$B,'Move Editor'!$F:$F,100),atk,IF(cat="Physical",FLOOR((FLOOR(((2*XLOOKUP(XLOOKUP($Q993,'Threshold Summary'!$Y:$Y,'Threshold Summary'!$K:$K,""),'Pokemon Editor'!$A:$A,'Pokemon Editor'!$F:$F,0)+31+FLOOR(XLOOKUP($Q993,'Threshold Summary'!$Y:$Y,'Threshold Summary'!$P:$P,"")/4))*XLOOKUP($Q993,'Threshold Summary'!$Y:$Y,'Threshold Summary'!$L:$L,""))/100)+5)*XLOOKUP(XLOOKUP($Q993,'Threshold Summary'!$Y:$Y,'Threshold Summary'!$M:$M,""),'Nature Editor'!$A:$A,'Nature Editor'!$B:$B,1)),FLOOR((FLOOR(((2*XLOOKUP(XLOOKUP($Q993,'Threshold Summary'!$Y:$Y,'Threshold Summary'!$K:$K,""),'Pokemon Editor'!$A:$A,'Pokemon Editor'!$H:$H,0)+31+FLOOR(XLOOKUP($Q993,'Threshold Summary'!$Y:$Y,'Threshold Summary'!$R:$R,"")/4))*XLOOKUP($Q993,'Threshold Summary'!$Y:$Y,'Threshold Summary'!$L:$L,""))/100)+5)*XLOOKUP(XLOOKUP($Q993,'Threshold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Editor'!$E:$E,1))),stab,IF(OR(mtype=XLOOKUP(XLOOKUP($Q993,'Threshold Summary'!$Y:$Y,'Threshold Summary'!$K:$K,""),'Pokemon Editor'!$A:$A,'Pokemon Editor'!$C:$C,""),mtype=XLOOKUP(XLOOKUP($Q993,'Threshold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Chart'!$B$1:$S$1,0)))),base,IF(OR(cat="Status",pow=0),0,FLOOR(FLOOR(FLOOR((2*XLOOKUP($Q993,'Threshold Summary'!$Y:$Y,'Threshold Summary'!$L:$L,"")/5+2)*pow*atk/def)/50)+2)),modifier,stab*eff,FLOOR(base*modifier*0.85)),0)</f>
        <v/>
      </c>
      <c r="K993" s="3">
        <f>IFERROR(LET(mtype,XLOOKUP($D993,'Move Editor'!$B:$B,'Move Editor'!$C:$C,""),cat,XLOOKUP($D993,'Move Editor'!$B:$B,'Move Editor'!$D:$D,""),pow,XLOOKUP($D993,'Move Editor'!$B:$B,'Move Editor'!$E:$E,0),acc,XLOOKUP($D993,'Move Editor'!$B:$B,'Move Editor'!$F:$F,100),atk,IF(cat="Physical",FLOOR((FLOOR(((2*XLOOKUP(XLOOKUP($Q993,'Threshold Summary'!$Y:$Y,'Threshold Summary'!$K:$K,""),'Pokemon Editor'!$A:$A,'Pokemon Editor'!$F:$F,0)+31+FLOOR(XLOOKUP($Q993,'Threshold Summary'!$Y:$Y,'Threshold Summary'!$P:$P,"")/4))*XLOOKUP($Q993,'Threshold Summary'!$Y:$Y,'Threshold Summary'!$L:$L,""))/100)+5)*XLOOKUP(XLOOKUP($Q993,'Threshold Summary'!$Y:$Y,'Threshold Summary'!$M:$M,""),'Nature Editor'!$A:$A,'Nature Editor'!$B:$B,1)),FLOOR((FLOOR(((2*XLOOKUP(XLOOKUP($Q993,'Threshold Summary'!$Y:$Y,'Threshold Summary'!$K:$K,""),'Pokemon Editor'!$A:$A,'Pokemon Editor'!$H:$H,0)+31+FLOOR(XLOOKUP($Q993,'Threshold Summary'!$Y:$Y,'Threshold Summary'!$R:$R,"")/4))*XLOOKUP($Q993,'Threshold Summary'!$Y:$Y,'Threshold Summary'!$L:$L,""))/100)+5)*XLOOKUP(XLOOKUP($Q993,'Threshold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Editor'!$E:$E,1))),stab,IF(OR(mtype=XLOOKUP(XLOOKUP($Q993,'Threshold Summary'!$Y:$Y,'Threshold Summary'!$K:$K,""),'Pokemon Editor'!$A:$A,'Pokemon Editor'!$C:$C,""),mtype=XLOOKUP(XLOOKUP($Q993,'Threshold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Chart'!$B$1:$S$1,0)))),base,IF(OR(cat="Status",pow=0),0,FLOOR(FLOOR(FLOOR((2*XLOOKUP($Q993,'Threshold Summary'!$Y:$Y,'Threshold Summary'!$L:$L,"")/5+2)*pow*atk/def)/50)+2)),modifier,stab*eff,FLOOR(base*modifier)),0)</f>
        <v/>
      </c>
      <c r="L993" s="3">
        <f>IFERROR(LET(mtype,XLOOKUP($D993,'Move Editor'!$B:$B,'Move Editor'!$C:$C,""),cat,XLOOKUP($D993,'Move Editor'!$B:$B,'Move Editor'!$D:$D,""),pow,XLOOKUP($D993,'Move Editor'!$B:$B,'Move Editor'!$E:$E,0),acc,XLOOKUP($D993,'Move Editor'!$B:$B,'Move Editor'!$F:$F,100),atk,IF(cat="Physical",FLOOR((FLOOR(((2*XLOOKUP(XLOOKUP($Q993,'Threshold Summary'!$Y:$Y,'Threshold Summary'!$K:$K,""),'Pokemon Editor'!$A:$A,'Pokemon Editor'!$F:$F,0)+31+FLOOR(XLOOKUP($Q993,'Threshold Summary'!$Y:$Y,'Threshold Summary'!$P:$P,"")/4))*XLOOKUP($Q993,'Threshold Summary'!$Y:$Y,'Threshold Summary'!$L:$L,""))/100)+5)*XLOOKUP(XLOOKUP($Q993,'Threshold Summary'!$Y:$Y,'Threshold Summary'!$M:$M,""),'Nature Editor'!$A:$A,'Nature Editor'!$B:$B,1)),FLOOR((FLOOR(((2*XLOOKUP(XLOOKUP($Q993,'Threshold Summary'!$Y:$Y,'Threshold Summary'!$K:$K,""),'Pokemon Editor'!$A:$A,'Pokemon Editor'!$H:$H,0)+31+FLOOR(XLOOKUP($Q993,'Threshold Summary'!$Y:$Y,'Threshold Summary'!$R:$R,"")/4))*XLOOKUP($Q993,'Threshold Summary'!$Y:$Y,'Threshold Summary'!$L:$L,""))/100)+5)*XLOOKUP(XLOOKUP($Q993,'Threshold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Editor'!$E:$E,1))),stab,IF(OR(mtype=XLOOKUP(XLOOKUP($Q993,'Threshold Summary'!$Y:$Y,'Threshold Summary'!$K:$K,""),'Pokemon Editor'!$A:$A,'Pokemon Editor'!$C:$C,""),mtype=XLOOKUP(XLOOKUP($Q993,'Threshold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Chart'!$B$1:$S$1,0)))),base,IF(OR(cat="Status",pow=0),0,FLOOR(FLOOR(FLOOR((2*XLOOKUP($Q993,'Threshold Summary'!$Y:$Y,'Threshold Summary'!$L:$L,"")/5+2)*pow*atk/def)/50)+2)),modifier,stab*eff,AVERAGE(ARRAYFORMULA(FLOOR(base*modifier*SEQUENCE(16,1,85,1)/100)))),0)</f>
        <v/>
      </c>
      <c r="M993" s="3">
        <f>IFERROR(LET(mtype,XLOOKUP($D993,'Move Editor'!$B:$B,'Move Editor'!$C:$C,""),cat,XLOOKUP($D993,'Move Editor'!$B:$B,'Move Editor'!$D:$D,""),pow,XLOOKUP($D993,'Move Editor'!$B:$B,'Move Editor'!$E:$E,0),acc,XLOOKUP($D993,'Move Editor'!$B:$B,'Move Editor'!$F:$F,100),atk,IF(cat="Physical",FLOOR((FLOOR(((2*XLOOKUP(XLOOKUP($Q993,'Threshold Summary'!$Y:$Y,'Threshold Summary'!$K:$K,""),'Pokemon Editor'!$A:$A,'Pokemon Editor'!$F:$F,0)+31+FLOOR(XLOOKUP($Q993,'Threshold Summary'!$Y:$Y,'Threshold Summary'!$P:$P,"")/4))*XLOOKUP($Q993,'Threshold Summary'!$Y:$Y,'Threshold Summary'!$L:$L,""))/100)+5)*XLOOKUP(XLOOKUP($Q993,'Threshold Summary'!$Y:$Y,'Threshold Summary'!$M:$M,""),'Nature Editor'!$A:$A,'Nature Editor'!$B:$B,1)),FLOOR((FLOOR(((2*XLOOKUP(XLOOKUP($Q993,'Threshold Summary'!$Y:$Y,'Threshold Summary'!$K:$K,""),'Pokemon Editor'!$A:$A,'Pokemon Editor'!$H:$H,0)+31+FLOOR(XLOOKUP($Q993,'Threshold Summary'!$Y:$Y,'Threshold Summary'!$R:$R,"")/4))*XLOOKUP($Q993,'Threshold Summary'!$Y:$Y,'Threshold Summary'!$L:$L,""))/100)+5)*XLOOKUP(XLOOKUP($Q993,'Threshold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Editor'!$E:$E,1))),stab,IF(OR(mtype=XLOOKUP(XLOOKUP($Q993,'Threshold Summary'!$Y:$Y,'Threshold Summary'!$K:$K,""),'Pokemon Editor'!$A:$A,'Pokemon Editor'!$C:$C,""),mtype=XLOOKUP(XLOOKUP($Q993,'Threshold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Chart'!$B$1:$S$1,0)))),base,IF(OR(cat="Status",pow=0),0,FLOOR(FLOOR(FLOOR((2*XLOOKUP($Q993,'Threshold Summary'!$Y:$Y,'Threshold Summary'!$L:$L,"")/5+2)*pow*atk/def)/50)+2)),modifier,stab*eff,AVERAGE(ARRAYFORMULA(FLOOR(base*modifier*SEQUENCE(16,1,85,1)/100)))*MIN(1,acc/100)),0)</f>
        <v/>
      </c>
      <c r="N993" s="4">
        <f>IFERROR(LET(mtype,XLOOKUP($D993,'Move Editor'!$B:$B,'Move Editor'!$C:$C,""),cat,XLOOKUP($D993,'Move Editor'!$B:$B,'Move Editor'!$D:$D,""),pow,XLOOKUP($D993,'Move Editor'!$B:$B,'Move Editor'!$E:$E,0),acc,XLOOKUP($D993,'Move Editor'!$B:$B,'Move Editor'!$F:$F,100),atk,IF(cat="Physical",FLOOR((FLOOR(((2*XLOOKUP(XLOOKUP($Q993,'Threshold Summary'!$Y:$Y,'Threshold Summary'!$K:$K,""),'Pokemon Editor'!$A:$A,'Pokemon Editor'!$F:$F,0)+31+FLOOR(XLOOKUP($Q993,'Threshold Summary'!$Y:$Y,'Threshold Summary'!$P:$P,"")/4))*XLOOKUP($Q993,'Threshold Summary'!$Y:$Y,'Threshold Summary'!$L:$L,""))/100)+5)*XLOOKUP(XLOOKUP($Q993,'Threshold Summary'!$Y:$Y,'Threshold Summary'!$M:$M,""),'Nature Editor'!$A:$A,'Nature Editor'!$B:$B,1)),FLOOR((FLOOR(((2*XLOOKUP(XLOOKUP($Q993,'Threshold Summary'!$Y:$Y,'Threshold Summary'!$K:$K,""),'Pokemon Editor'!$A:$A,'Pokemon Editor'!$H:$H,0)+31+FLOOR(XLOOKUP($Q993,'Threshold Summary'!$Y:$Y,'Threshold Summary'!$R:$R,"")/4))*XLOOKUP($Q993,'Threshold Summary'!$Y:$Y,'Threshold Summary'!$L:$L,""))/100)+5)*XLOOKUP(XLOOKUP($Q993,'Threshold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Editor'!$E:$E,1))),stab,IF(OR(mtype=XLOOKUP(XLOOKUP($Q993,'Threshold Summary'!$Y:$Y,'Threshold Summary'!$K:$K,""),'Pokemon Editor'!$A:$A,'Pokemon Editor'!$C:$C,""),mtype=XLOOKUP(XLOOKUP($Q993,'Threshold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Chart'!$B$1:$S$1,0)))),base,IF(OR(cat="Status",pow=0),0,FLOOR(FLOOR(FLOOR((2*XLOOKUP($Q993,'Threshold Summary'!$Y:$Y,'Threshold Summary'!$L:$L,"")/5+2)*pow*atk/def)/50)+2)),modifier,stab*eff,AVERAGE(ARRAYFORMULA(FLOOR(base*modifier*SEQUENCE(16,1,85,1)/100)))/(FLOOR(((2*XLOOKUP('Boss Editor'!$C$4,'Pokemon Editor'!$A:$A,'Pokemon Editor'!$E:$E,0)+31+FLOOR('Boss Editor'!$G$4/4))*'Boss Editor'!$D$4)/100)+'Boss Editor'!$D$4+10)),0)</f>
        <v/>
      </c>
      <c r="O993" s="3">
        <f>IF(N993&gt;=1,"OHKO",IF(N993&gt;=0.5,"2HKO",IF(N993&gt;=0.333,"3HKO",IF(N993&gt;=0.25,"4HKO","5HKO+"))))</f>
        <v/>
      </c>
      <c r="P993" s="3" t="inlineStr">
        <is>
          <t>Live from editable databases</t>
        </is>
      </c>
      <c r="Q993" s="3" t="inlineStr">
        <is>
          <t>SPECIES_WATTREL</t>
        </is>
      </c>
      <c r="R993" s="3" t="n">
        <v>32</v>
      </c>
    </row>
    <row r="994">
      <c r="A994" s="3">
        <f>XLOOKUP($Q994,'Threshold Summary'!$Y:$Y,'Threshold Summary'!$A:$A,"")</f>
        <v/>
      </c>
      <c r="B994" s="3">
        <f>XLOOKUP($Q994,'Threshold Summary'!$Y:$Y,'Threshold Summary'!$M:$M,"")</f>
        <v/>
      </c>
      <c r="C994" s="3">
        <f>XLOOKUP($Q994,'Threshold Summary'!$Y:$Y,'Threshold Summary'!$N:$N,"")</f>
        <v/>
      </c>
      <c r="D994" s="3">
        <f>IFERROR(INDEX(FILTER('Learnset Editor'!$D$2:$D,'Learnset Editor'!$A$2:$A=XLOOKUP($Q994,'Threshold Summary'!$Y:$Y,'Threshold Summary'!$K:$K,""),'Learnset Editor'!$C$2:$C&lt;=XLOOKUP($Q994,'Threshold Summary'!$Y:$Y,'Threshold Summary'!$L:$L,"")),$R994),"")</f>
        <v/>
      </c>
      <c r="E994" s="3">
        <f>XLOOKUP(D994,'Move Editor'!$B:$B,'Move Editor'!$C:$C,"")</f>
        <v/>
      </c>
      <c r="F994" s="3">
        <f>XLOOKUP(D994,'Move Editor'!$B:$B,'Move Editor'!$D:$D,"")</f>
        <v/>
      </c>
      <c r="G994" s="3">
        <f>XLOOKUP(D994,'Move Editor'!$B:$B,'Move Editor'!$E:$E,0)</f>
        <v/>
      </c>
      <c r="H994" s="3">
        <f>XLOOKUP(D994,'Move Editor'!$B:$B,'Move Editor'!$F:$F,0)</f>
        <v/>
      </c>
      <c r="I994" s="3">
        <f>(INDEX('Type Chart'!$B:$S,MATCH(E994,'Type Chart'!$A:$A,0),MATCH(XLOOKUP('Boss Editor'!$C$4,'Pokemon Editor'!$A:$A,'Pokemon Editor'!$C:$C,""),'Type Chart'!$B$1:$S$1,0))*IF(XLOOKUP('Boss Editor'!$C$4,'Pokemon Editor'!$A:$A,'Pokemon Editor'!$D:$D,"")="",1,INDEX('Type Chart'!$B:$S,MATCH(E994,'Type Chart'!$A:$A,0),MATCH(XLOOKUP('Boss Editor'!$C$4,'Pokemon Editor'!$A:$A,'Pokemon Editor'!$D:$D,""),'Type Chart'!$B$1:$S$1,0))))</f>
        <v/>
      </c>
      <c r="J994" s="3">
        <f>IFERROR(LET(mtype,XLOOKUP($D994,'Move Editor'!$B:$B,'Move Editor'!$C:$C,""),cat,XLOOKUP($D994,'Move Editor'!$B:$B,'Move Editor'!$D:$D,""),pow,XLOOKUP($D994,'Move Editor'!$B:$B,'Move Editor'!$E:$E,0),acc,XLOOKUP($D994,'Move Editor'!$B:$B,'Move Editor'!$F:$F,100),atk,IF(cat="Physical",FLOOR((FLOOR(((2*XLOOKUP(XLOOKUP($Q994,'Threshold Summary'!$Y:$Y,'Threshold Summary'!$K:$K,""),'Pokemon Editor'!$A:$A,'Pokemon Editor'!$F:$F,0)+31+FLOOR(XLOOKUP($Q994,'Threshold Summary'!$Y:$Y,'Threshold Summary'!$P:$P,"")/4))*XLOOKUP($Q994,'Threshold Summary'!$Y:$Y,'Threshold Summary'!$L:$L,""))/100)+5)*XLOOKUP(XLOOKUP($Q994,'Threshold Summary'!$Y:$Y,'Threshold Summary'!$M:$M,""),'Nature Editor'!$A:$A,'Nature Editor'!$B:$B,1)),FLOOR((FLOOR(((2*XLOOKUP(XLOOKUP($Q994,'Threshold Summary'!$Y:$Y,'Threshold Summary'!$K:$K,""),'Pokemon Editor'!$A:$A,'Pokemon Editor'!$H:$H,0)+31+FLOOR(XLOOKUP($Q994,'Threshold Summary'!$Y:$Y,'Threshold Summary'!$R:$R,"")/4))*XLOOKUP($Q994,'Threshold Summary'!$Y:$Y,'Threshold Summary'!$L:$L,""))/100)+5)*XLOOKUP(XLOOKUP($Q994,'Threshold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Editor'!$E:$E,1))),stab,IF(OR(mtype=XLOOKUP(XLOOKUP($Q994,'Threshold Summary'!$Y:$Y,'Threshold Summary'!$K:$K,""),'Pokemon Editor'!$A:$A,'Pokemon Editor'!$C:$C,""),mtype=XLOOKUP(XLOOKUP($Q994,'Threshold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Chart'!$B$1:$S$1,0)))),base,IF(OR(cat="Status",pow=0),0,FLOOR(FLOOR(FLOOR((2*XLOOKUP($Q994,'Threshold Summary'!$Y:$Y,'Threshold Summary'!$L:$L,"")/5+2)*pow*atk/def)/50)+2)),modifier,stab*eff,FLOOR(base*modifier*0.85)),0)</f>
        <v/>
      </c>
      <c r="K994" s="3">
        <f>IFERROR(LET(mtype,XLOOKUP($D994,'Move Editor'!$B:$B,'Move Editor'!$C:$C,""),cat,XLOOKUP($D994,'Move Editor'!$B:$B,'Move Editor'!$D:$D,""),pow,XLOOKUP($D994,'Move Editor'!$B:$B,'Move Editor'!$E:$E,0),acc,XLOOKUP($D994,'Move Editor'!$B:$B,'Move Editor'!$F:$F,100),atk,IF(cat="Physical",FLOOR((FLOOR(((2*XLOOKUP(XLOOKUP($Q994,'Threshold Summary'!$Y:$Y,'Threshold Summary'!$K:$K,""),'Pokemon Editor'!$A:$A,'Pokemon Editor'!$F:$F,0)+31+FLOOR(XLOOKUP($Q994,'Threshold Summary'!$Y:$Y,'Threshold Summary'!$P:$P,"")/4))*XLOOKUP($Q994,'Threshold Summary'!$Y:$Y,'Threshold Summary'!$L:$L,""))/100)+5)*XLOOKUP(XLOOKUP($Q994,'Threshold Summary'!$Y:$Y,'Threshold Summary'!$M:$M,""),'Nature Editor'!$A:$A,'Nature Editor'!$B:$B,1)),FLOOR((FLOOR(((2*XLOOKUP(XLOOKUP($Q994,'Threshold Summary'!$Y:$Y,'Threshold Summary'!$K:$K,""),'Pokemon Editor'!$A:$A,'Pokemon Editor'!$H:$H,0)+31+FLOOR(XLOOKUP($Q994,'Threshold Summary'!$Y:$Y,'Threshold Summary'!$R:$R,"")/4))*XLOOKUP($Q994,'Threshold Summary'!$Y:$Y,'Threshold Summary'!$L:$L,""))/100)+5)*XLOOKUP(XLOOKUP($Q994,'Threshold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Editor'!$E:$E,1))),stab,IF(OR(mtype=XLOOKUP(XLOOKUP($Q994,'Threshold Summary'!$Y:$Y,'Threshold Summary'!$K:$K,""),'Pokemon Editor'!$A:$A,'Pokemon Editor'!$C:$C,""),mtype=XLOOKUP(XLOOKUP($Q994,'Threshold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Chart'!$B$1:$S$1,0)))),base,IF(OR(cat="Status",pow=0),0,FLOOR(FLOOR(FLOOR((2*XLOOKUP($Q994,'Threshold Summary'!$Y:$Y,'Threshold Summary'!$L:$L,"")/5+2)*pow*atk/def)/50)+2)),modifier,stab*eff,FLOOR(base*modifier)),0)</f>
        <v/>
      </c>
      <c r="L994" s="3">
        <f>IFERROR(LET(mtype,XLOOKUP($D994,'Move Editor'!$B:$B,'Move Editor'!$C:$C,""),cat,XLOOKUP($D994,'Move Editor'!$B:$B,'Move Editor'!$D:$D,""),pow,XLOOKUP($D994,'Move Editor'!$B:$B,'Move Editor'!$E:$E,0),acc,XLOOKUP($D994,'Move Editor'!$B:$B,'Move Editor'!$F:$F,100),atk,IF(cat="Physical",FLOOR((FLOOR(((2*XLOOKUP(XLOOKUP($Q994,'Threshold Summary'!$Y:$Y,'Threshold Summary'!$K:$K,""),'Pokemon Editor'!$A:$A,'Pokemon Editor'!$F:$F,0)+31+FLOOR(XLOOKUP($Q994,'Threshold Summary'!$Y:$Y,'Threshold Summary'!$P:$P,"")/4))*XLOOKUP($Q994,'Threshold Summary'!$Y:$Y,'Threshold Summary'!$L:$L,""))/100)+5)*XLOOKUP(XLOOKUP($Q994,'Threshold Summary'!$Y:$Y,'Threshold Summary'!$M:$M,""),'Nature Editor'!$A:$A,'Nature Editor'!$B:$B,1)),FLOOR((FLOOR(((2*XLOOKUP(XLOOKUP($Q994,'Threshold Summary'!$Y:$Y,'Threshold Summary'!$K:$K,""),'Pokemon Editor'!$A:$A,'Pokemon Editor'!$H:$H,0)+31+FLOOR(XLOOKUP($Q994,'Threshold Summary'!$Y:$Y,'Threshold Summary'!$R:$R,"")/4))*XLOOKUP($Q994,'Threshold Summary'!$Y:$Y,'Threshold Summary'!$L:$L,""))/100)+5)*XLOOKUP(XLOOKUP($Q994,'Threshold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Editor'!$E:$E,1))),stab,IF(OR(mtype=XLOOKUP(XLOOKUP($Q994,'Threshold Summary'!$Y:$Y,'Threshold Summary'!$K:$K,""),'Pokemon Editor'!$A:$A,'Pokemon Editor'!$C:$C,""),mtype=XLOOKUP(XLOOKUP($Q994,'Threshold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Chart'!$B$1:$S$1,0)))),base,IF(OR(cat="Status",pow=0),0,FLOOR(FLOOR(FLOOR((2*XLOOKUP($Q994,'Threshold Summary'!$Y:$Y,'Threshold Summary'!$L:$L,"")/5+2)*pow*atk/def)/50)+2)),modifier,stab*eff,AVERAGE(ARRAYFORMULA(FLOOR(base*modifier*SEQUENCE(16,1,85,1)/100)))),0)</f>
        <v/>
      </c>
      <c r="M994" s="3">
        <f>IFERROR(LET(mtype,XLOOKUP($D994,'Move Editor'!$B:$B,'Move Editor'!$C:$C,""),cat,XLOOKUP($D994,'Move Editor'!$B:$B,'Move Editor'!$D:$D,""),pow,XLOOKUP($D994,'Move Editor'!$B:$B,'Move Editor'!$E:$E,0),acc,XLOOKUP($D994,'Move Editor'!$B:$B,'Move Editor'!$F:$F,100),atk,IF(cat="Physical",FLOOR((FLOOR(((2*XLOOKUP(XLOOKUP($Q994,'Threshold Summary'!$Y:$Y,'Threshold Summary'!$K:$K,""),'Pokemon Editor'!$A:$A,'Pokemon Editor'!$F:$F,0)+31+FLOOR(XLOOKUP($Q994,'Threshold Summary'!$Y:$Y,'Threshold Summary'!$P:$P,"")/4))*XLOOKUP($Q994,'Threshold Summary'!$Y:$Y,'Threshold Summary'!$L:$L,""))/100)+5)*XLOOKUP(XLOOKUP($Q994,'Threshold Summary'!$Y:$Y,'Threshold Summary'!$M:$M,""),'Nature Editor'!$A:$A,'Nature Editor'!$B:$B,1)),FLOOR((FLOOR(((2*XLOOKUP(XLOOKUP($Q994,'Threshold Summary'!$Y:$Y,'Threshold Summary'!$K:$K,""),'Pokemon Editor'!$A:$A,'Pokemon Editor'!$H:$H,0)+31+FLOOR(XLOOKUP($Q994,'Threshold Summary'!$Y:$Y,'Threshold Summary'!$R:$R,"")/4))*XLOOKUP($Q994,'Threshold Summary'!$Y:$Y,'Threshold Summary'!$L:$L,""))/100)+5)*XLOOKUP(XLOOKUP($Q994,'Threshold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Editor'!$E:$E,1))),stab,IF(OR(mtype=XLOOKUP(XLOOKUP($Q994,'Threshold Summary'!$Y:$Y,'Threshold Summary'!$K:$K,""),'Pokemon Editor'!$A:$A,'Pokemon Editor'!$C:$C,""),mtype=XLOOKUP(XLOOKUP($Q994,'Threshold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Chart'!$B$1:$S$1,0)))),base,IF(OR(cat="Status",pow=0),0,FLOOR(FLOOR(FLOOR((2*XLOOKUP($Q994,'Threshold Summary'!$Y:$Y,'Threshold Summary'!$L:$L,"")/5+2)*pow*atk/def)/50)+2)),modifier,stab*eff,AVERAGE(ARRAYFORMULA(FLOOR(base*modifier*SEQUENCE(16,1,85,1)/100)))*MIN(1,acc/100)),0)</f>
        <v/>
      </c>
      <c r="N994" s="4">
        <f>IFERROR(LET(mtype,XLOOKUP($D994,'Move Editor'!$B:$B,'Move Editor'!$C:$C,""),cat,XLOOKUP($D994,'Move Editor'!$B:$B,'Move Editor'!$D:$D,""),pow,XLOOKUP($D994,'Move Editor'!$B:$B,'Move Editor'!$E:$E,0),acc,XLOOKUP($D994,'Move Editor'!$B:$B,'Move Editor'!$F:$F,100),atk,IF(cat="Physical",FLOOR((FLOOR(((2*XLOOKUP(XLOOKUP($Q994,'Threshold Summary'!$Y:$Y,'Threshold Summary'!$K:$K,""),'Pokemon Editor'!$A:$A,'Pokemon Editor'!$F:$F,0)+31+FLOOR(XLOOKUP($Q994,'Threshold Summary'!$Y:$Y,'Threshold Summary'!$P:$P,"")/4))*XLOOKUP($Q994,'Threshold Summary'!$Y:$Y,'Threshold Summary'!$L:$L,""))/100)+5)*XLOOKUP(XLOOKUP($Q994,'Threshold Summary'!$Y:$Y,'Threshold Summary'!$M:$M,""),'Nature Editor'!$A:$A,'Nature Editor'!$B:$B,1)),FLOOR((FLOOR(((2*XLOOKUP(XLOOKUP($Q994,'Threshold Summary'!$Y:$Y,'Threshold Summary'!$K:$K,""),'Pokemon Editor'!$A:$A,'Pokemon Editor'!$H:$H,0)+31+FLOOR(XLOOKUP($Q994,'Threshold Summary'!$Y:$Y,'Threshold Summary'!$R:$R,"")/4))*XLOOKUP($Q994,'Threshold Summary'!$Y:$Y,'Threshold Summary'!$L:$L,""))/100)+5)*XLOOKUP(XLOOKUP($Q994,'Threshold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Editor'!$E:$E,1))),stab,IF(OR(mtype=XLOOKUP(XLOOKUP($Q994,'Threshold Summary'!$Y:$Y,'Threshold Summary'!$K:$K,""),'Pokemon Editor'!$A:$A,'Pokemon Editor'!$C:$C,""),mtype=XLOOKUP(XLOOKUP($Q994,'Threshold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Chart'!$B$1:$S$1,0)))),base,IF(OR(cat="Status",pow=0),0,FLOOR(FLOOR(FLOOR((2*XLOOKUP($Q994,'Threshold Summary'!$Y:$Y,'Threshold Summary'!$L:$L,"")/5+2)*pow*atk/def)/50)+2)),modifier,stab*eff,AVERAGE(ARRAYFORMULA(FLOOR(base*modifier*SEQUENCE(16,1,85,1)/100)))/(FLOOR(((2*XLOOKUP('Boss Editor'!$C$4,'Pokemon Editor'!$A:$A,'Pokemon Editor'!$E:$E,0)+31+FLOOR('Boss Editor'!$G$4/4))*'Boss Editor'!$D$4)/100)+'Boss Editor'!$D$4+10)),0)</f>
        <v/>
      </c>
      <c r="O994" s="3">
        <f>IF(N994&gt;=1,"OHKO",IF(N994&gt;=0.5,"2HKO",IF(N994&gt;=0.333,"3HKO",IF(N994&gt;=0.25,"4HKO","5HKO+"))))</f>
        <v/>
      </c>
      <c r="P994" s="3" t="inlineStr">
        <is>
          <t>Live from editable databases</t>
        </is>
      </c>
      <c r="Q994" s="3" t="inlineStr">
        <is>
          <t>SPECIES_TINKATINK</t>
        </is>
      </c>
      <c r="R994" s="3" t="n">
        <v>1</v>
      </c>
    </row>
    <row r="995">
      <c r="A995" s="3">
        <f>XLOOKUP($Q995,'Threshold Summary'!$Y:$Y,'Threshold Summary'!$A:$A,"")</f>
        <v/>
      </c>
      <c r="B995" s="3">
        <f>XLOOKUP($Q995,'Threshold Summary'!$Y:$Y,'Threshold Summary'!$M:$M,"")</f>
        <v/>
      </c>
      <c r="C995" s="3">
        <f>XLOOKUP($Q995,'Threshold Summary'!$Y:$Y,'Threshold Summary'!$N:$N,"")</f>
        <v/>
      </c>
      <c r="D995" s="3">
        <f>IFERROR(INDEX(FILTER('Learnset Editor'!$D$2:$D,'Learnset Editor'!$A$2:$A=XLOOKUP($Q995,'Threshold Summary'!$Y:$Y,'Threshold Summary'!$K:$K,""),'Learnset Editor'!$C$2:$C&lt;=XLOOKUP($Q995,'Threshold Summary'!$Y:$Y,'Threshold Summary'!$L:$L,"")),$R995),"")</f>
        <v/>
      </c>
      <c r="E995" s="3">
        <f>XLOOKUP(D995,'Move Editor'!$B:$B,'Move Editor'!$C:$C,"")</f>
        <v/>
      </c>
      <c r="F995" s="3">
        <f>XLOOKUP(D995,'Move Editor'!$B:$B,'Move Editor'!$D:$D,"")</f>
        <v/>
      </c>
      <c r="G995" s="3">
        <f>XLOOKUP(D995,'Move Editor'!$B:$B,'Move Editor'!$E:$E,0)</f>
        <v/>
      </c>
      <c r="H995" s="3">
        <f>XLOOKUP(D995,'Move Editor'!$B:$B,'Move Editor'!$F:$F,0)</f>
        <v/>
      </c>
      <c r="I995" s="3">
        <f>(INDEX('Type Chart'!$B:$S,MATCH(E995,'Type Chart'!$A:$A,0),MATCH(XLOOKUP('Boss Editor'!$C$4,'Pokemon Editor'!$A:$A,'Pokemon Editor'!$C:$C,""),'Type Chart'!$B$1:$S$1,0))*IF(XLOOKUP('Boss Editor'!$C$4,'Pokemon Editor'!$A:$A,'Pokemon Editor'!$D:$D,"")="",1,INDEX('Type Chart'!$B:$S,MATCH(E995,'Type Chart'!$A:$A,0),MATCH(XLOOKUP('Boss Editor'!$C$4,'Pokemon Editor'!$A:$A,'Pokemon Editor'!$D:$D,""),'Type Chart'!$B$1:$S$1,0))))</f>
        <v/>
      </c>
      <c r="J995" s="3">
        <f>IFERROR(LET(mtype,XLOOKUP($D995,'Move Editor'!$B:$B,'Move Editor'!$C:$C,""),cat,XLOOKUP($D995,'Move Editor'!$B:$B,'Move Editor'!$D:$D,""),pow,XLOOKUP($D995,'Move Editor'!$B:$B,'Move Editor'!$E:$E,0),acc,XLOOKUP($D995,'Move Editor'!$B:$B,'Move Editor'!$F:$F,100),atk,IF(cat="Physical",FLOOR((FLOOR(((2*XLOOKUP(XLOOKUP($Q995,'Threshold Summary'!$Y:$Y,'Threshold Summary'!$K:$K,""),'Pokemon Editor'!$A:$A,'Pokemon Editor'!$F:$F,0)+31+FLOOR(XLOOKUP($Q995,'Threshold Summary'!$Y:$Y,'Threshold Summary'!$P:$P,"")/4))*XLOOKUP($Q995,'Threshold Summary'!$Y:$Y,'Threshold Summary'!$L:$L,""))/100)+5)*XLOOKUP(XLOOKUP($Q995,'Threshold Summary'!$Y:$Y,'Threshold Summary'!$M:$M,""),'Nature Editor'!$A:$A,'Nature Editor'!$B:$B,1)),FLOOR((FLOOR(((2*XLOOKUP(XLOOKUP($Q995,'Threshold Summary'!$Y:$Y,'Threshold Summary'!$K:$K,""),'Pokemon Editor'!$A:$A,'Pokemon Editor'!$H:$H,0)+31+FLOOR(XLOOKUP($Q995,'Threshold Summary'!$Y:$Y,'Threshold Summary'!$R:$R,"")/4))*XLOOKUP($Q995,'Threshold Summary'!$Y:$Y,'Threshold Summary'!$L:$L,""))/100)+5)*XLOOKUP(XLOOKUP($Q995,'Threshold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Editor'!$E:$E,1))),stab,IF(OR(mtype=XLOOKUP(XLOOKUP($Q995,'Threshold Summary'!$Y:$Y,'Threshold Summary'!$K:$K,""),'Pokemon Editor'!$A:$A,'Pokemon Editor'!$C:$C,""),mtype=XLOOKUP(XLOOKUP($Q995,'Threshold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Chart'!$B$1:$S$1,0)))),base,IF(OR(cat="Status",pow=0),0,FLOOR(FLOOR(FLOOR((2*XLOOKUP($Q995,'Threshold Summary'!$Y:$Y,'Threshold Summary'!$L:$L,"")/5+2)*pow*atk/def)/50)+2)),modifier,stab*eff,FLOOR(base*modifier*0.85)),0)</f>
        <v/>
      </c>
      <c r="K995" s="3">
        <f>IFERROR(LET(mtype,XLOOKUP($D995,'Move Editor'!$B:$B,'Move Editor'!$C:$C,""),cat,XLOOKUP($D995,'Move Editor'!$B:$B,'Move Editor'!$D:$D,""),pow,XLOOKUP($D995,'Move Editor'!$B:$B,'Move Editor'!$E:$E,0),acc,XLOOKUP($D995,'Move Editor'!$B:$B,'Move Editor'!$F:$F,100),atk,IF(cat="Physical",FLOOR((FLOOR(((2*XLOOKUP(XLOOKUP($Q995,'Threshold Summary'!$Y:$Y,'Threshold Summary'!$K:$K,""),'Pokemon Editor'!$A:$A,'Pokemon Editor'!$F:$F,0)+31+FLOOR(XLOOKUP($Q995,'Threshold Summary'!$Y:$Y,'Threshold Summary'!$P:$P,"")/4))*XLOOKUP($Q995,'Threshold Summary'!$Y:$Y,'Threshold Summary'!$L:$L,""))/100)+5)*XLOOKUP(XLOOKUP($Q995,'Threshold Summary'!$Y:$Y,'Threshold Summary'!$M:$M,""),'Nature Editor'!$A:$A,'Nature Editor'!$B:$B,1)),FLOOR((FLOOR(((2*XLOOKUP(XLOOKUP($Q995,'Threshold Summary'!$Y:$Y,'Threshold Summary'!$K:$K,""),'Pokemon Editor'!$A:$A,'Pokemon Editor'!$H:$H,0)+31+FLOOR(XLOOKUP($Q995,'Threshold Summary'!$Y:$Y,'Threshold Summary'!$R:$R,"")/4))*XLOOKUP($Q995,'Threshold Summary'!$Y:$Y,'Threshold Summary'!$L:$L,""))/100)+5)*XLOOKUP(XLOOKUP($Q995,'Threshold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Editor'!$E:$E,1))),stab,IF(OR(mtype=XLOOKUP(XLOOKUP($Q995,'Threshold Summary'!$Y:$Y,'Threshold Summary'!$K:$K,""),'Pokemon Editor'!$A:$A,'Pokemon Editor'!$C:$C,""),mtype=XLOOKUP(XLOOKUP($Q995,'Threshold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Chart'!$B$1:$S$1,0)))),base,IF(OR(cat="Status",pow=0),0,FLOOR(FLOOR(FLOOR((2*XLOOKUP($Q995,'Threshold Summary'!$Y:$Y,'Threshold Summary'!$L:$L,"")/5+2)*pow*atk/def)/50)+2)),modifier,stab*eff,FLOOR(base*modifier)),0)</f>
        <v/>
      </c>
      <c r="L995" s="3">
        <f>IFERROR(LET(mtype,XLOOKUP($D995,'Move Editor'!$B:$B,'Move Editor'!$C:$C,""),cat,XLOOKUP($D995,'Move Editor'!$B:$B,'Move Editor'!$D:$D,""),pow,XLOOKUP($D995,'Move Editor'!$B:$B,'Move Editor'!$E:$E,0),acc,XLOOKUP($D995,'Move Editor'!$B:$B,'Move Editor'!$F:$F,100),atk,IF(cat="Physical",FLOOR((FLOOR(((2*XLOOKUP(XLOOKUP($Q995,'Threshold Summary'!$Y:$Y,'Threshold Summary'!$K:$K,""),'Pokemon Editor'!$A:$A,'Pokemon Editor'!$F:$F,0)+31+FLOOR(XLOOKUP($Q995,'Threshold Summary'!$Y:$Y,'Threshold Summary'!$P:$P,"")/4))*XLOOKUP($Q995,'Threshold Summary'!$Y:$Y,'Threshold Summary'!$L:$L,""))/100)+5)*XLOOKUP(XLOOKUP($Q995,'Threshold Summary'!$Y:$Y,'Threshold Summary'!$M:$M,""),'Nature Editor'!$A:$A,'Nature Editor'!$B:$B,1)),FLOOR((FLOOR(((2*XLOOKUP(XLOOKUP($Q995,'Threshold Summary'!$Y:$Y,'Threshold Summary'!$K:$K,""),'Pokemon Editor'!$A:$A,'Pokemon Editor'!$H:$H,0)+31+FLOOR(XLOOKUP($Q995,'Threshold Summary'!$Y:$Y,'Threshold Summary'!$R:$R,"")/4))*XLOOKUP($Q995,'Threshold Summary'!$Y:$Y,'Threshold Summary'!$L:$L,""))/100)+5)*XLOOKUP(XLOOKUP($Q995,'Threshold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Editor'!$E:$E,1))),stab,IF(OR(mtype=XLOOKUP(XLOOKUP($Q995,'Threshold Summary'!$Y:$Y,'Threshold Summary'!$K:$K,""),'Pokemon Editor'!$A:$A,'Pokemon Editor'!$C:$C,""),mtype=XLOOKUP(XLOOKUP($Q995,'Threshold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Chart'!$B$1:$S$1,0)))),base,IF(OR(cat="Status",pow=0),0,FLOOR(FLOOR(FLOOR((2*XLOOKUP($Q995,'Threshold Summary'!$Y:$Y,'Threshold Summary'!$L:$L,"")/5+2)*pow*atk/def)/50)+2)),modifier,stab*eff,AVERAGE(ARRAYFORMULA(FLOOR(base*modifier*SEQUENCE(16,1,85,1)/100)))),0)</f>
        <v/>
      </c>
      <c r="M995" s="3">
        <f>IFERROR(LET(mtype,XLOOKUP($D995,'Move Editor'!$B:$B,'Move Editor'!$C:$C,""),cat,XLOOKUP($D995,'Move Editor'!$B:$B,'Move Editor'!$D:$D,""),pow,XLOOKUP($D995,'Move Editor'!$B:$B,'Move Editor'!$E:$E,0),acc,XLOOKUP($D995,'Move Editor'!$B:$B,'Move Editor'!$F:$F,100),atk,IF(cat="Physical",FLOOR((FLOOR(((2*XLOOKUP(XLOOKUP($Q995,'Threshold Summary'!$Y:$Y,'Threshold Summary'!$K:$K,""),'Pokemon Editor'!$A:$A,'Pokemon Editor'!$F:$F,0)+31+FLOOR(XLOOKUP($Q995,'Threshold Summary'!$Y:$Y,'Threshold Summary'!$P:$P,"")/4))*XLOOKUP($Q995,'Threshold Summary'!$Y:$Y,'Threshold Summary'!$L:$L,""))/100)+5)*XLOOKUP(XLOOKUP($Q995,'Threshold Summary'!$Y:$Y,'Threshold Summary'!$M:$M,""),'Nature Editor'!$A:$A,'Nature Editor'!$B:$B,1)),FLOOR((FLOOR(((2*XLOOKUP(XLOOKUP($Q995,'Threshold Summary'!$Y:$Y,'Threshold Summary'!$K:$K,""),'Pokemon Editor'!$A:$A,'Pokemon Editor'!$H:$H,0)+31+FLOOR(XLOOKUP($Q995,'Threshold Summary'!$Y:$Y,'Threshold Summary'!$R:$R,"")/4))*XLOOKUP($Q995,'Threshold Summary'!$Y:$Y,'Threshold Summary'!$L:$L,""))/100)+5)*XLOOKUP(XLOOKUP($Q995,'Threshold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Editor'!$E:$E,1))),stab,IF(OR(mtype=XLOOKUP(XLOOKUP($Q995,'Threshold Summary'!$Y:$Y,'Threshold Summary'!$K:$K,""),'Pokemon Editor'!$A:$A,'Pokemon Editor'!$C:$C,""),mtype=XLOOKUP(XLOOKUP($Q995,'Threshold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Chart'!$B$1:$S$1,0)))),base,IF(OR(cat="Status",pow=0),0,FLOOR(FLOOR(FLOOR((2*XLOOKUP($Q995,'Threshold Summary'!$Y:$Y,'Threshold Summary'!$L:$L,"")/5+2)*pow*atk/def)/50)+2)),modifier,stab*eff,AVERAGE(ARRAYFORMULA(FLOOR(base*modifier*SEQUENCE(16,1,85,1)/100)))*MIN(1,acc/100)),0)</f>
        <v/>
      </c>
      <c r="N995" s="4">
        <f>IFERROR(LET(mtype,XLOOKUP($D995,'Move Editor'!$B:$B,'Move Editor'!$C:$C,""),cat,XLOOKUP($D995,'Move Editor'!$B:$B,'Move Editor'!$D:$D,""),pow,XLOOKUP($D995,'Move Editor'!$B:$B,'Move Editor'!$E:$E,0),acc,XLOOKUP($D995,'Move Editor'!$B:$B,'Move Editor'!$F:$F,100),atk,IF(cat="Physical",FLOOR((FLOOR(((2*XLOOKUP(XLOOKUP($Q995,'Threshold Summary'!$Y:$Y,'Threshold Summary'!$K:$K,""),'Pokemon Editor'!$A:$A,'Pokemon Editor'!$F:$F,0)+31+FLOOR(XLOOKUP($Q995,'Threshold Summary'!$Y:$Y,'Threshold Summary'!$P:$P,"")/4))*XLOOKUP($Q995,'Threshold Summary'!$Y:$Y,'Threshold Summary'!$L:$L,""))/100)+5)*XLOOKUP(XLOOKUP($Q995,'Threshold Summary'!$Y:$Y,'Threshold Summary'!$M:$M,""),'Nature Editor'!$A:$A,'Nature Editor'!$B:$B,1)),FLOOR((FLOOR(((2*XLOOKUP(XLOOKUP($Q995,'Threshold Summary'!$Y:$Y,'Threshold Summary'!$K:$K,""),'Pokemon Editor'!$A:$A,'Pokemon Editor'!$H:$H,0)+31+FLOOR(XLOOKUP($Q995,'Threshold Summary'!$Y:$Y,'Threshold Summary'!$R:$R,"")/4))*XLOOKUP($Q995,'Threshold Summary'!$Y:$Y,'Threshold Summary'!$L:$L,""))/100)+5)*XLOOKUP(XLOOKUP($Q995,'Threshold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Editor'!$E:$E,1))),stab,IF(OR(mtype=XLOOKUP(XLOOKUP($Q995,'Threshold Summary'!$Y:$Y,'Threshold Summary'!$K:$K,""),'Pokemon Editor'!$A:$A,'Pokemon Editor'!$C:$C,""),mtype=XLOOKUP(XLOOKUP($Q995,'Threshold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Chart'!$B$1:$S$1,0)))),base,IF(OR(cat="Status",pow=0),0,FLOOR(FLOOR(FLOOR((2*XLOOKUP($Q995,'Threshold Summary'!$Y:$Y,'Threshold Summary'!$L:$L,"")/5+2)*pow*atk/def)/50)+2)),modifier,stab*eff,AVERAGE(ARRAYFORMULA(FLOOR(base*modifier*SEQUENCE(16,1,85,1)/100)))/(FLOOR(((2*XLOOKUP('Boss Editor'!$C$4,'Pokemon Editor'!$A:$A,'Pokemon Editor'!$E:$E,0)+31+FLOOR('Boss Editor'!$G$4/4))*'Boss Editor'!$D$4)/100)+'Boss Editor'!$D$4+10)),0)</f>
        <v/>
      </c>
      <c r="O995" s="3">
        <f>IF(N995&gt;=1,"OHKO",IF(N995&gt;=0.5,"2HKO",IF(N995&gt;=0.333,"3HKO",IF(N995&gt;=0.25,"4HKO","5HKO+"))))</f>
        <v/>
      </c>
      <c r="P995" s="3" t="inlineStr">
        <is>
          <t>Live from editable databases</t>
        </is>
      </c>
      <c r="Q995" s="3" t="inlineStr">
        <is>
          <t>SPECIES_TINKATINK</t>
        </is>
      </c>
      <c r="R995" s="3" t="n">
        <v>2</v>
      </c>
    </row>
    <row r="996">
      <c r="A996" s="3">
        <f>XLOOKUP($Q996,'Threshold Summary'!$Y:$Y,'Threshold Summary'!$A:$A,"")</f>
        <v/>
      </c>
      <c r="B996" s="3">
        <f>XLOOKUP($Q996,'Threshold Summary'!$Y:$Y,'Threshold Summary'!$M:$M,"")</f>
        <v/>
      </c>
      <c r="C996" s="3">
        <f>XLOOKUP($Q996,'Threshold Summary'!$Y:$Y,'Threshold Summary'!$N:$N,"")</f>
        <v/>
      </c>
      <c r="D996" s="3">
        <f>IFERROR(INDEX(FILTER('Learnset Editor'!$D$2:$D,'Learnset Editor'!$A$2:$A=XLOOKUP($Q996,'Threshold Summary'!$Y:$Y,'Threshold Summary'!$K:$K,""),'Learnset Editor'!$C$2:$C&lt;=XLOOKUP($Q996,'Threshold Summary'!$Y:$Y,'Threshold Summary'!$L:$L,"")),$R996),"")</f>
        <v/>
      </c>
      <c r="E996" s="3">
        <f>XLOOKUP(D996,'Move Editor'!$B:$B,'Move Editor'!$C:$C,"")</f>
        <v/>
      </c>
      <c r="F996" s="3">
        <f>XLOOKUP(D996,'Move Editor'!$B:$B,'Move Editor'!$D:$D,"")</f>
        <v/>
      </c>
      <c r="G996" s="3">
        <f>XLOOKUP(D996,'Move Editor'!$B:$B,'Move Editor'!$E:$E,0)</f>
        <v/>
      </c>
      <c r="H996" s="3">
        <f>XLOOKUP(D996,'Move Editor'!$B:$B,'Move Editor'!$F:$F,0)</f>
        <v/>
      </c>
      <c r="I996" s="3">
        <f>(INDEX('Type Chart'!$B:$S,MATCH(E996,'Type Chart'!$A:$A,0),MATCH(XLOOKUP('Boss Editor'!$C$4,'Pokemon Editor'!$A:$A,'Pokemon Editor'!$C:$C,""),'Type Chart'!$B$1:$S$1,0))*IF(XLOOKUP('Boss Editor'!$C$4,'Pokemon Editor'!$A:$A,'Pokemon Editor'!$D:$D,"")="",1,INDEX('Type Chart'!$B:$S,MATCH(E996,'Type Chart'!$A:$A,0),MATCH(XLOOKUP('Boss Editor'!$C$4,'Pokemon Editor'!$A:$A,'Pokemon Editor'!$D:$D,""),'Type Chart'!$B$1:$S$1,0))))</f>
        <v/>
      </c>
      <c r="J996" s="3">
        <f>IFERROR(LET(mtype,XLOOKUP($D996,'Move Editor'!$B:$B,'Move Editor'!$C:$C,""),cat,XLOOKUP($D996,'Move Editor'!$B:$B,'Move Editor'!$D:$D,""),pow,XLOOKUP($D996,'Move Editor'!$B:$B,'Move Editor'!$E:$E,0),acc,XLOOKUP($D996,'Move Editor'!$B:$B,'Move Editor'!$F:$F,100),atk,IF(cat="Physical",FLOOR((FLOOR(((2*XLOOKUP(XLOOKUP($Q996,'Threshold Summary'!$Y:$Y,'Threshold Summary'!$K:$K,""),'Pokemon Editor'!$A:$A,'Pokemon Editor'!$F:$F,0)+31+FLOOR(XLOOKUP($Q996,'Threshold Summary'!$Y:$Y,'Threshold Summary'!$P:$P,"")/4))*XLOOKUP($Q996,'Threshold Summary'!$Y:$Y,'Threshold Summary'!$L:$L,""))/100)+5)*XLOOKUP(XLOOKUP($Q996,'Threshold Summary'!$Y:$Y,'Threshold Summary'!$M:$M,""),'Nature Editor'!$A:$A,'Nature Editor'!$B:$B,1)),FLOOR((FLOOR(((2*XLOOKUP(XLOOKUP($Q996,'Threshold Summary'!$Y:$Y,'Threshold Summary'!$K:$K,""),'Pokemon Editor'!$A:$A,'Pokemon Editor'!$H:$H,0)+31+FLOOR(XLOOKUP($Q996,'Threshold Summary'!$Y:$Y,'Threshold Summary'!$R:$R,"")/4))*XLOOKUP($Q996,'Threshold Summary'!$Y:$Y,'Threshold Summary'!$L:$L,""))/100)+5)*XLOOKUP(XLOOKUP($Q996,'Threshold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Editor'!$E:$E,1))),stab,IF(OR(mtype=XLOOKUP(XLOOKUP($Q996,'Threshold Summary'!$Y:$Y,'Threshold Summary'!$K:$K,""),'Pokemon Editor'!$A:$A,'Pokemon Editor'!$C:$C,""),mtype=XLOOKUP(XLOOKUP($Q996,'Threshold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Chart'!$B$1:$S$1,0)))),base,IF(OR(cat="Status",pow=0),0,FLOOR(FLOOR(FLOOR((2*XLOOKUP($Q996,'Threshold Summary'!$Y:$Y,'Threshold Summary'!$L:$L,"")/5+2)*pow*atk/def)/50)+2)),modifier,stab*eff,FLOOR(base*modifier*0.85)),0)</f>
        <v/>
      </c>
      <c r="K996" s="3">
        <f>IFERROR(LET(mtype,XLOOKUP($D996,'Move Editor'!$B:$B,'Move Editor'!$C:$C,""),cat,XLOOKUP($D996,'Move Editor'!$B:$B,'Move Editor'!$D:$D,""),pow,XLOOKUP($D996,'Move Editor'!$B:$B,'Move Editor'!$E:$E,0),acc,XLOOKUP($D996,'Move Editor'!$B:$B,'Move Editor'!$F:$F,100),atk,IF(cat="Physical",FLOOR((FLOOR(((2*XLOOKUP(XLOOKUP($Q996,'Threshold Summary'!$Y:$Y,'Threshold Summary'!$K:$K,""),'Pokemon Editor'!$A:$A,'Pokemon Editor'!$F:$F,0)+31+FLOOR(XLOOKUP($Q996,'Threshold Summary'!$Y:$Y,'Threshold Summary'!$P:$P,"")/4))*XLOOKUP($Q996,'Threshold Summary'!$Y:$Y,'Threshold Summary'!$L:$L,""))/100)+5)*XLOOKUP(XLOOKUP($Q996,'Threshold Summary'!$Y:$Y,'Threshold Summary'!$M:$M,""),'Nature Editor'!$A:$A,'Nature Editor'!$B:$B,1)),FLOOR((FLOOR(((2*XLOOKUP(XLOOKUP($Q996,'Threshold Summary'!$Y:$Y,'Threshold Summary'!$K:$K,""),'Pokemon Editor'!$A:$A,'Pokemon Editor'!$H:$H,0)+31+FLOOR(XLOOKUP($Q996,'Threshold Summary'!$Y:$Y,'Threshold Summary'!$R:$R,"")/4))*XLOOKUP($Q996,'Threshold Summary'!$Y:$Y,'Threshold Summary'!$L:$L,""))/100)+5)*XLOOKUP(XLOOKUP($Q996,'Threshold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Editor'!$E:$E,1))),stab,IF(OR(mtype=XLOOKUP(XLOOKUP($Q996,'Threshold Summary'!$Y:$Y,'Threshold Summary'!$K:$K,""),'Pokemon Editor'!$A:$A,'Pokemon Editor'!$C:$C,""),mtype=XLOOKUP(XLOOKUP($Q996,'Threshold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Chart'!$B$1:$S$1,0)))),base,IF(OR(cat="Status",pow=0),0,FLOOR(FLOOR(FLOOR((2*XLOOKUP($Q996,'Threshold Summary'!$Y:$Y,'Threshold Summary'!$L:$L,"")/5+2)*pow*atk/def)/50)+2)),modifier,stab*eff,FLOOR(base*modifier)),0)</f>
        <v/>
      </c>
      <c r="L996" s="3">
        <f>IFERROR(LET(mtype,XLOOKUP($D996,'Move Editor'!$B:$B,'Move Editor'!$C:$C,""),cat,XLOOKUP($D996,'Move Editor'!$B:$B,'Move Editor'!$D:$D,""),pow,XLOOKUP($D996,'Move Editor'!$B:$B,'Move Editor'!$E:$E,0),acc,XLOOKUP($D996,'Move Editor'!$B:$B,'Move Editor'!$F:$F,100),atk,IF(cat="Physical",FLOOR((FLOOR(((2*XLOOKUP(XLOOKUP($Q996,'Threshold Summary'!$Y:$Y,'Threshold Summary'!$K:$K,""),'Pokemon Editor'!$A:$A,'Pokemon Editor'!$F:$F,0)+31+FLOOR(XLOOKUP($Q996,'Threshold Summary'!$Y:$Y,'Threshold Summary'!$P:$P,"")/4))*XLOOKUP($Q996,'Threshold Summary'!$Y:$Y,'Threshold Summary'!$L:$L,""))/100)+5)*XLOOKUP(XLOOKUP($Q996,'Threshold Summary'!$Y:$Y,'Threshold Summary'!$M:$M,""),'Nature Editor'!$A:$A,'Nature Editor'!$B:$B,1)),FLOOR((FLOOR(((2*XLOOKUP(XLOOKUP($Q996,'Threshold Summary'!$Y:$Y,'Threshold Summary'!$K:$K,""),'Pokemon Editor'!$A:$A,'Pokemon Editor'!$H:$H,0)+31+FLOOR(XLOOKUP($Q996,'Threshold Summary'!$Y:$Y,'Threshold Summary'!$R:$R,"")/4))*XLOOKUP($Q996,'Threshold Summary'!$Y:$Y,'Threshold Summary'!$L:$L,""))/100)+5)*XLOOKUP(XLOOKUP($Q996,'Threshold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Editor'!$E:$E,1))),stab,IF(OR(mtype=XLOOKUP(XLOOKUP($Q996,'Threshold Summary'!$Y:$Y,'Threshold Summary'!$K:$K,""),'Pokemon Editor'!$A:$A,'Pokemon Editor'!$C:$C,""),mtype=XLOOKUP(XLOOKUP($Q996,'Threshold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Chart'!$B$1:$S$1,0)))),base,IF(OR(cat="Status",pow=0),0,FLOOR(FLOOR(FLOOR((2*XLOOKUP($Q996,'Threshold Summary'!$Y:$Y,'Threshold Summary'!$L:$L,"")/5+2)*pow*atk/def)/50)+2)),modifier,stab*eff,AVERAGE(ARRAYFORMULA(FLOOR(base*modifier*SEQUENCE(16,1,85,1)/100)))),0)</f>
        <v/>
      </c>
      <c r="M996" s="3">
        <f>IFERROR(LET(mtype,XLOOKUP($D996,'Move Editor'!$B:$B,'Move Editor'!$C:$C,""),cat,XLOOKUP($D996,'Move Editor'!$B:$B,'Move Editor'!$D:$D,""),pow,XLOOKUP($D996,'Move Editor'!$B:$B,'Move Editor'!$E:$E,0),acc,XLOOKUP($D996,'Move Editor'!$B:$B,'Move Editor'!$F:$F,100),atk,IF(cat="Physical",FLOOR((FLOOR(((2*XLOOKUP(XLOOKUP($Q996,'Threshold Summary'!$Y:$Y,'Threshold Summary'!$K:$K,""),'Pokemon Editor'!$A:$A,'Pokemon Editor'!$F:$F,0)+31+FLOOR(XLOOKUP($Q996,'Threshold Summary'!$Y:$Y,'Threshold Summary'!$P:$P,"")/4))*XLOOKUP($Q996,'Threshold Summary'!$Y:$Y,'Threshold Summary'!$L:$L,""))/100)+5)*XLOOKUP(XLOOKUP($Q996,'Threshold Summary'!$Y:$Y,'Threshold Summary'!$M:$M,""),'Nature Editor'!$A:$A,'Nature Editor'!$B:$B,1)),FLOOR((FLOOR(((2*XLOOKUP(XLOOKUP($Q996,'Threshold Summary'!$Y:$Y,'Threshold Summary'!$K:$K,""),'Pokemon Editor'!$A:$A,'Pokemon Editor'!$H:$H,0)+31+FLOOR(XLOOKUP($Q996,'Threshold Summary'!$Y:$Y,'Threshold Summary'!$R:$R,"")/4))*XLOOKUP($Q996,'Threshold Summary'!$Y:$Y,'Threshold Summary'!$L:$L,""))/100)+5)*XLOOKUP(XLOOKUP($Q996,'Threshold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Editor'!$E:$E,1))),stab,IF(OR(mtype=XLOOKUP(XLOOKUP($Q996,'Threshold Summary'!$Y:$Y,'Threshold Summary'!$K:$K,""),'Pokemon Editor'!$A:$A,'Pokemon Editor'!$C:$C,""),mtype=XLOOKUP(XLOOKUP($Q996,'Threshold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Chart'!$B$1:$S$1,0)))),base,IF(OR(cat="Status",pow=0),0,FLOOR(FLOOR(FLOOR((2*XLOOKUP($Q996,'Threshold Summary'!$Y:$Y,'Threshold Summary'!$L:$L,"")/5+2)*pow*atk/def)/50)+2)),modifier,stab*eff,AVERAGE(ARRAYFORMULA(FLOOR(base*modifier*SEQUENCE(16,1,85,1)/100)))*MIN(1,acc/100)),0)</f>
        <v/>
      </c>
      <c r="N996" s="4">
        <f>IFERROR(LET(mtype,XLOOKUP($D996,'Move Editor'!$B:$B,'Move Editor'!$C:$C,""),cat,XLOOKUP($D996,'Move Editor'!$B:$B,'Move Editor'!$D:$D,""),pow,XLOOKUP($D996,'Move Editor'!$B:$B,'Move Editor'!$E:$E,0),acc,XLOOKUP($D996,'Move Editor'!$B:$B,'Move Editor'!$F:$F,100),atk,IF(cat="Physical",FLOOR((FLOOR(((2*XLOOKUP(XLOOKUP($Q996,'Threshold Summary'!$Y:$Y,'Threshold Summary'!$K:$K,""),'Pokemon Editor'!$A:$A,'Pokemon Editor'!$F:$F,0)+31+FLOOR(XLOOKUP($Q996,'Threshold Summary'!$Y:$Y,'Threshold Summary'!$P:$P,"")/4))*XLOOKUP($Q996,'Threshold Summary'!$Y:$Y,'Threshold Summary'!$L:$L,""))/100)+5)*XLOOKUP(XLOOKUP($Q996,'Threshold Summary'!$Y:$Y,'Threshold Summary'!$M:$M,""),'Nature Editor'!$A:$A,'Nature Editor'!$B:$B,1)),FLOOR((FLOOR(((2*XLOOKUP(XLOOKUP($Q996,'Threshold Summary'!$Y:$Y,'Threshold Summary'!$K:$K,""),'Pokemon Editor'!$A:$A,'Pokemon Editor'!$H:$H,0)+31+FLOOR(XLOOKUP($Q996,'Threshold Summary'!$Y:$Y,'Threshold Summary'!$R:$R,"")/4))*XLOOKUP($Q996,'Threshold Summary'!$Y:$Y,'Threshold Summary'!$L:$L,""))/100)+5)*XLOOKUP(XLOOKUP($Q996,'Threshold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Editor'!$E:$E,1))),stab,IF(OR(mtype=XLOOKUP(XLOOKUP($Q996,'Threshold Summary'!$Y:$Y,'Threshold Summary'!$K:$K,""),'Pokemon Editor'!$A:$A,'Pokemon Editor'!$C:$C,""),mtype=XLOOKUP(XLOOKUP($Q996,'Threshold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Chart'!$B$1:$S$1,0)))),base,IF(OR(cat="Status",pow=0),0,FLOOR(FLOOR(FLOOR((2*XLOOKUP($Q996,'Threshold Summary'!$Y:$Y,'Threshold Summary'!$L:$L,"")/5+2)*pow*atk/def)/50)+2)),modifier,stab*eff,AVERAGE(ARRAYFORMULA(FLOOR(base*modifier*SEQUENCE(16,1,85,1)/100)))/(FLOOR(((2*XLOOKUP('Boss Editor'!$C$4,'Pokemon Editor'!$A:$A,'Pokemon Editor'!$E:$E,0)+31+FLOOR('Boss Editor'!$G$4/4))*'Boss Editor'!$D$4)/100)+'Boss Editor'!$D$4+10)),0)</f>
        <v/>
      </c>
      <c r="O996" s="3">
        <f>IF(N996&gt;=1,"OHKO",IF(N996&gt;=0.5,"2HKO",IF(N996&gt;=0.333,"3HKO",IF(N996&gt;=0.25,"4HKO","5HKO+"))))</f>
        <v/>
      </c>
      <c r="P996" s="3" t="inlineStr">
        <is>
          <t>Live from editable databases</t>
        </is>
      </c>
      <c r="Q996" s="3" t="inlineStr">
        <is>
          <t>SPECIES_TINKATINK</t>
        </is>
      </c>
      <c r="R996" s="3" t="n">
        <v>3</v>
      </c>
    </row>
    <row r="997">
      <c r="A997" s="3">
        <f>XLOOKUP($Q997,'Threshold Summary'!$Y:$Y,'Threshold Summary'!$A:$A,"")</f>
        <v/>
      </c>
      <c r="B997" s="3">
        <f>XLOOKUP($Q997,'Threshold Summary'!$Y:$Y,'Threshold Summary'!$M:$M,"")</f>
        <v/>
      </c>
      <c r="C997" s="3">
        <f>XLOOKUP($Q997,'Threshold Summary'!$Y:$Y,'Threshold Summary'!$N:$N,"")</f>
        <v/>
      </c>
      <c r="D997" s="3">
        <f>IFERROR(INDEX(FILTER('Learnset Editor'!$D$2:$D,'Learnset Editor'!$A$2:$A=XLOOKUP($Q997,'Threshold Summary'!$Y:$Y,'Threshold Summary'!$K:$K,""),'Learnset Editor'!$C$2:$C&lt;=XLOOKUP($Q997,'Threshold Summary'!$Y:$Y,'Threshold Summary'!$L:$L,"")),$R997),"")</f>
        <v/>
      </c>
      <c r="E997" s="3">
        <f>XLOOKUP(D997,'Move Editor'!$B:$B,'Move Editor'!$C:$C,"")</f>
        <v/>
      </c>
      <c r="F997" s="3">
        <f>XLOOKUP(D997,'Move Editor'!$B:$B,'Move Editor'!$D:$D,"")</f>
        <v/>
      </c>
      <c r="G997" s="3">
        <f>XLOOKUP(D997,'Move Editor'!$B:$B,'Move Editor'!$E:$E,0)</f>
        <v/>
      </c>
      <c r="H997" s="3">
        <f>XLOOKUP(D997,'Move Editor'!$B:$B,'Move Editor'!$F:$F,0)</f>
        <v/>
      </c>
      <c r="I997" s="3">
        <f>(INDEX('Type Chart'!$B:$S,MATCH(E997,'Type Chart'!$A:$A,0),MATCH(XLOOKUP('Boss Editor'!$C$4,'Pokemon Editor'!$A:$A,'Pokemon Editor'!$C:$C,""),'Type Chart'!$B$1:$S$1,0))*IF(XLOOKUP('Boss Editor'!$C$4,'Pokemon Editor'!$A:$A,'Pokemon Editor'!$D:$D,"")="",1,INDEX('Type Chart'!$B:$S,MATCH(E997,'Type Chart'!$A:$A,0),MATCH(XLOOKUP('Boss Editor'!$C$4,'Pokemon Editor'!$A:$A,'Pokemon Editor'!$D:$D,""),'Type Chart'!$B$1:$S$1,0))))</f>
        <v/>
      </c>
      <c r="J997" s="3">
        <f>IFERROR(LET(mtype,XLOOKUP($D997,'Move Editor'!$B:$B,'Move Editor'!$C:$C,""),cat,XLOOKUP($D997,'Move Editor'!$B:$B,'Move Editor'!$D:$D,""),pow,XLOOKUP($D997,'Move Editor'!$B:$B,'Move Editor'!$E:$E,0),acc,XLOOKUP($D997,'Move Editor'!$B:$B,'Move Editor'!$F:$F,100),atk,IF(cat="Physical",FLOOR((FLOOR(((2*XLOOKUP(XLOOKUP($Q997,'Threshold Summary'!$Y:$Y,'Threshold Summary'!$K:$K,""),'Pokemon Editor'!$A:$A,'Pokemon Editor'!$F:$F,0)+31+FLOOR(XLOOKUP($Q997,'Threshold Summary'!$Y:$Y,'Threshold Summary'!$P:$P,"")/4))*XLOOKUP($Q997,'Threshold Summary'!$Y:$Y,'Threshold Summary'!$L:$L,""))/100)+5)*XLOOKUP(XLOOKUP($Q997,'Threshold Summary'!$Y:$Y,'Threshold Summary'!$M:$M,""),'Nature Editor'!$A:$A,'Nature Editor'!$B:$B,1)),FLOOR((FLOOR(((2*XLOOKUP(XLOOKUP($Q997,'Threshold Summary'!$Y:$Y,'Threshold Summary'!$K:$K,""),'Pokemon Editor'!$A:$A,'Pokemon Editor'!$H:$H,0)+31+FLOOR(XLOOKUP($Q997,'Threshold Summary'!$Y:$Y,'Threshold Summary'!$R:$R,"")/4))*XLOOKUP($Q997,'Threshold Summary'!$Y:$Y,'Threshold Summary'!$L:$L,""))/100)+5)*XLOOKUP(XLOOKUP($Q997,'Threshold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Editor'!$E:$E,1))),stab,IF(OR(mtype=XLOOKUP(XLOOKUP($Q997,'Threshold Summary'!$Y:$Y,'Threshold Summary'!$K:$K,""),'Pokemon Editor'!$A:$A,'Pokemon Editor'!$C:$C,""),mtype=XLOOKUP(XLOOKUP($Q997,'Threshold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Chart'!$B$1:$S$1,0)))),base,IF(OR(cat="Status",pow=0),0,FLOOR(FLOOR(FLOOR((2*XLOOKUP($Q997,'Threshold Summary'!$Y:$Y,'Threshold Summary'!$L:$L,"")/5+2)*pow*atk/def)/50)+2)),modifier,stab*eff,FLOOR(base*modifier*0.85)),0)</f>
        <v/>
      </c>
      <c r="K997" s="3">
        <f>IFERROR(LET(mtype,XLOOKUP($D997,'Move Editor'!$B:$B,'Move Editor'!$C:$C,""),cat,XLOOKUP($D997,'Move Editor'!$B:$B,'Move Editor'!$D:$D,""),pow,XLOOKUP($D997,'Move Editor'!$B:$B,'Move Editor'!$E:$E,0),acc,XLOOKUP($D997,'Move Editor'!$B:$B,'Move Editor'!$F:$F,100),atk,IF(cat="Physical",FLOOR((FLOOR(((2*XLOOKUP(XLOOKUP($Q997,'Threshold Summary'!$Y:$Y,'Threshold Summary'!$K:$K,""),'Pokemon Editor'!$A:$A,'Pokemon Editor'!$F:$F,0)+31+FLOOR(XLOOKUP($Q997,'Threshold Summary'!$Y:$Y,'Threshold Summary'!$P:$P,"")/4))*XLOOKUP($Q997,'Threshold Summary'!$Y:$Y,'Threshold Summary'!$L:$L,""))/100)+5)*XLOOKUP(XLOOKUP($Q997,'Threshold Summary'!$Y:$Y,'Threshold Summary'!$M:$M,""),'Nature Editor'!$A:$A,'Nature Editor'!$B:$B,1)),FLOOR((FLOOR(((2*XLOOKUP(XLOOKUP($Q997,'Threshold Summary'!$Y:$Y,'Threshold Summary'!$K:$K,""),'Pokemon Editor'!$A:$A,'Pokemon Editor'!$H:$H,0)+31+FLOOR(XLOOKUP($Q997,'Threshold Summary'!$Y:$Y,'Threshold Summary'!$R:$R,"")/4))*XLOOKUP($Q997,'Threshold Summary'!$Y:$Y,'Threshold Summary'!$L:$L,""))/100)+5)*XLOOKUP(XLOOKUP($Q997,'Threshold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Editor'!$E:$E,1))),stab,IF(OR(mtype=XLOOKUP(XLOOKUP($Q997,'Threshold Summary'!$Y:$Y,'Threshold Summary'!$K:$K,""),'Pokemon Editor'!$A:$A,'Pokemon Editor'!$C:$C,""),mtype=XLOOKUP(XLOOKUP($Q997,'Threshold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Chart'!$B$1:$S$1,0)))),base,IF(OR(cat="Status",pow=0),0,FLOOR(FLOOR(FLOOR((2*XLOOKUP($Q997,'Threshold Summary'!$Y:$Y,'Threshold Summary'!$L:$L,"")/5+2)*pow*atk/def)/50)+2)),modifier,stab*eff,FLOOR(base*modifier)),0)</f>
        <v/>
      </c>
      <c r="L997" s="3">
        <f>IFERROR(LET(mtype,XLOOKUP($D997,'Move Editor'!$B:$B,'Move Editor'!$C:$C,""),cat,XLOOKUP($D997,'Move Editor'!$B:$B,'Move Editor'!$D:$D,""),pow,XLOOKUP($D997,'Move Editor'!$B:$B,'Move Editor'!$E:$E,0),acc,XLOOKUP($D997,'Move Editor'!$B:$B,'Move Editor'!$F:$F,100),atk,IF(cat="Physical",FLOOR((FLOOR(((2*XLOOKUP(XLOOKUP($Q997,'Threshold Summary'!$Y:$Y,'Threshold Summary'!$K:$K,""),'Pokemon Editor'!$A:$A,'Pokemon Editor'!$F:$F,0)+31+FLOOR(XLOOKUP($Q997,'Threshold Summary'!$Y:$Y,'Threshold Summary'!$P:$P,"")/4))*XLOOKUP($Q997,'Threshold Summary'!$Y:$Y,'Threshold Summary'!$L:$L,""))/100)+5)*XLOOKUP(XLOOKUP($Q997,'Threshold Summary'!$Y:$Y,'Threshold Summary'!$M:$M,""),'Nature Editor'!$A:$A,'Nature Editor'!$B:$B,1)),FLOOR((FLOOR(((2*XLOOKUP(XLOOKUP($Q997,'Threshold Summary'!$Y:$Y,'Threshold Summary'!$K:$K,""),'Pokemon Editor'!$A:$A,'Pokemon Editor'!$H:$H,0)+31+FLOOR(XLOOKUP($Q997,'Threshold Summary'!$Y:$Y,'Threshold Summary'!$R:$R,"")/4))*XLOOKUP($Q997,'Threshold Summary'!$Y:$Y,'Threshold Summary'!$L:$L,""))/100)+5)*XLOOKUP(XLOOKUP($Q997,'Threshold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Editor'!$E:$E,1))),stab,IF(OR(mtype=XLOOKUP(XLOOKUP($Q997,'Threshold Summary'!$Y:$Y,'Threshold Summary'!$K:$K,""),'Pokemon Editor'!$A:$A,'Pokemon Editor'!$C:$C,""),mtype=XLOOKUP(XLOOKUP($Q997,'Threshold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Chart'!$B$1:$S$1,0)))),base,IF(OR(cat="Status",pow=0),0,FLOOR(FLOOR(FLOOR((2*XLOOKUP($Q997,'Threshold Summary'!$Y:$Y,'Threshold Summary'!$L:$L,"")/5+2)*pow*atk/def)/50)+2)),modifier,stab*eff,AVERAGE(ARRAYFORMULA(FLOOR(base*modifier*SEQUENCE(16,1,85,1)/100)))),0)</f>
        <v/>
      </c>
      <c r="M997" s="3">
        <f>IFERROR(LET(mtype,XLOOKUP($D997,'Move Editor'!$B:$B,'Move Editor'!$C:$C,""),cat,XLOOKUP($D997,'Move Editor'!$B:$B,'Move Editor'!$D:$D,""),pow,XLOOKUP($D997,'Move Editor'!$B:$B,'Move Editor'!$E:$E,0),acc,XLOOKUP($D997,'Move Editor'!$B:$B,'Move Editor'!$F:$F,100),atk,IF(cat="Physical",FLOOR((FLOOR(((2*XLOOKUP(XLOOKUP($Q997,'Threshold Summary'!$Y:$Y,'Threshold Summary'!$K:$K,""),'Pokemon Editor'!$A:$A,'Pokemon Editor'!$F:$F,0)+31+FLOOR(XLOOKUP($Q997,'Threshold Summary'!$Y:$Y,'Threshold Summary'!$P:$P,"")/4))*XLOOKUP($Q997,'Threshold Summary'!$Y:$Y,'Threshold Summary'!$L:$L,""))/100)+5)*XLOOKUP(XLOOKUP($Q997,'Threshold Summary'!$Y:$Y,'Threshold Summary'!$M:$M,""),'Nature Editor'!$A:$A,'Nature Editor'!$B:$B,1)),FLOOR((FLOOR(((2*XLOOKUP(XLOOKUP($Q997,'Threshold Summary'!$Y:$Y,'Threshold Summary'!$K:$K,""),'Pokemon Editor'!$A:$A,'Pokemon Editor'!$H:$H,0)+31+FLOOR(XLOOKUP($Q997,'Threshold Summary'!$Y:$Y,'Threshold Summary'!$R:$R,"")/4))*XLOOKUP($Q997,'Threshold Summary'!$Y:$Y,'Threshold Summary'!$L:$L,""))/100)+5)*XLOOKUP(XLOOKUP($Q997,'Threshold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Editor'!$E:$E,1))),stab,IF(OR(mtype=XLOOKUP(XLOOKUP($Q997,'Threshold Summary'!$Y:$Y,'Threshold Summary'!$K:$K,""),'Pokemon Editor'!$A:$A,'Pokemon Editor'!$C:$C,""),mtype=XLOOKUP(XLOOKUP($Q997,'Threshold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Chart'!$B$1:$S$1,0)))),base,IF(OR(cat="Status",pow=0),0,FLOOR(FLOOR(FLOOR((2*XLOOKUP($Q997,'Threshold Summary'!$Y:$Y,'Threshold Summary'!$L:$L,"")/5+2)*pow*atk/def)/50)+2)),modifier,stab*eff,AVERAGE(ARRAYFORMULA(FLOOR(base*modifier*SEQUENCE(16,1,85,1)/100)))*MIN(1,acc/100)),0)</f>
        <v/>
      </c>
      <c r="N997" s="4">
        <f>IFERROR(LET(mtype,XLOOKUP($D997,'Move Editor'!$B:$B,'Move Editor'!$C:$C,""),cat,XLOOKUP($D997,'Move Editor'!$B:$B,'Move Editor'!$D:$D,""),pow,XLOOKUP($D997,'Move Editor'!$B:$B,'Move Editor'!$E:$E,0),acc,XLOOKUP($D997,'Move Editor'!$B:$B,'Move Editor'!$F:$F,100),atk,IF(cat="Physical",FLOOR((FLOOR(((2*XLOOKUP(XLOOKUP($Q997,'Threshold Summary'!$Y:$Y,'Threshold Summary'!$K:$K,""),'Pokemon Editor'!$A:$A,'Pokemon Editor'!$F:$F,0)+31+FLOOR(XLOOKUP($Q997,'Threshold Summary'!$Y:$Y,'Threshold Summary'!$P:$P,"")/4))*XLOOKUP($Q997,'Threshold Summary'!$Y:$Y,'Threshold Summary'!$L:$L,""))/100)+5)*XLOOKUP(XLOOKUP($Q997,'Threshold Summary'!$Y:$Y,'Threshold Summary'!$M:$M,""),'Nature Editor'!$A:$A,'Nature Editor'!$B:$B,1)),FLOOR((FLOOR(((2*XLOOKUP(XLOOKUP($Q997,'Threshold Summary'!$Y:$Y,'Threshold Summary'!$K:$K,""),'Pokemon Editor'!$A:$A,'Pokemon Editor'!$H:$H,0)+31+FLOOR(XLOOKUP($Q997,'Threshold Summary'!$Y:$Y,'Threshold Summary'!$R:$R,"")/4))*XLOOKUP($Q997,'Threshold Summary'!$Y:$Y,'Threshold Summary'!$L:$L,""))/100)+5)*XLOOKUP(XLOOKUP($Q997,'Threshold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Editor'!$E:$E,1))),stab,IF(OR(mtype=XLOOKUP(XLOOKUP($Q997,'Threshold Summary'!$Y:$Y,'Threshold Summary'!$K:$K,""),'Pokemon Editor'!$A:$A,'Pokemon Editor'!$C:$C,""),mtype=XLOOKUP(XLOOKUP($Q997,'Threshold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Chart'!$B$1:$S$1,0)))),base,IF(OR(cat="Status",pow=0),0,FLOOR(FLOOR(FLOOR((2*XLOOKUP($Q997,'Threshold Summary'!$Y:$Y,'Threshold Summary'!$L:$L,"")/5+2)*pow*atk/def)/50)+2)),modifier,stab*eff,AVERAGE(ARRAYFORMULA(FLOOR(base*modifier*SEQUENCE(16,1,85,1)/100)))/(FLOOR(((2*XLOOKUP('Boss Editor'!$C$4,'Pokemon Editor'!$A:$A,'Pokemon Editor'!$E:$E,0)+31+FLOOR('Boss Editor'!$G$4/4))*'Boss Editor'!$D$4)/100)+'Boss Editor'!$D$4+10)),0)</f>
        <v/>
      </c>
      <c r="O997" s="3">
        <f>IF(N997&gt;=1,"OHKO",IF(N997&gt;=0.5,"2HKO",IF(N997&gt;=0.333,"3HKO",IF(N997&gt;=0.25,"4HKO","5HKO+"))))</f>
        <v/>
      </c>
      <c r="P997" s="3" t="inlineStr">
        <is>
          <t>Live from editable databases</t>
        </is>
      </c>
      <c r="Q997" s="3" t="inlineStr">
        <is>
          <t>SPECIES_TINKATINK</t>
        </is>
      </c>
      <c r="R997" s="3" t="n">
        <v>4</v>
      </c>
    </row>
    <row r="998">
      <c r="A998" s="3">
        <f>XLOOKUP($Q998,'Threshold Summary'!$Y:$Y,'Threshold Summary'!$A:$A,"")</f>
        <v/>
      </c>
      <c r="B998" s="3">
        <f>XLOOKUP($Q998,'Threshold Summary'!$Y:$Y,'Threshold Summary'!$M:$M,"")</f>
        <v/>
      </c>
      <c r="C998" s="3">
        <f>XLOOKUP($Q998,'Threshold Summary'!$Y:$Y,'Threshold Summary'!$N:$N,"")</f>
        <v/>
      </c>
      <c r="D998" s="3">
        <f>IFERROR(INDEX(FILTER('Learnset Editor'!$D$2:$D,'Learnset Editor'!$A$2:$A=XLOOKUP($Q998,'Threshold Summary'!$Y:$Y,'Threshold Summary'!$K:$K,""),'Learnset Editor'!$C$2:$C&lt;=XLOOKUP($Q998,'Threshold Summary'!$Y:$Y,'Threshold Summary'!$L:$L,"")),$R998),"")</f>
        <v/>
      </c>
      <c r="E998" s="3">
        <f>XLOOKUP(D998,'Move Editor'!$B:$B,'Move Editor'!$C:$C,"")</f>
        <v/>
      </c>
      <c r="F998" s="3">
        <f>XLOOKUP(D998,'Move Editor'!$B:$B,'Move Editor'!$D:$D,"")</f>
        <v/>
      </c>
      <c r="G998" s="3">
        <f>XLOOKUP(D998,'Move Editor'!$B:$B,'Move Editor'!$E:$E,0)</f>
        <v/>
      </c>
      <c r="H998" s="3">
        <f>XLOOKUP(D998,'Move Editor'!$B:$B,'Move Editor'!$F:$F,0)</f>
        <v/>
      </c>
      <c r="I998" s="3">
        <f>(INDEX('Type Chart'!$B:$S,MATCH(E998,'Type Chart'!$A:$A,0),MATCH(XLOOKUP('Boss Editor'!$C$4,'Pokemon Editor'!$A:$A,'Pokemon Editor'!$C:$C,""),'Type Chart'!$B$1:$S$1,0))*IF(XLOOKUP('Boss Editor'!$C$4,'Pokemon Editor'!$A:$A,'Pokemon Editor'!$D:$D,"")="",1,INDEX('Type Chart'!$B:$S,MATCH(E998,'Type Chart'!$A:$A,0),MATCH(XLOOKUP('Boss Editor'!$C$4,'Pokemon Editor'!$A:$A,'Pokemon Editor'!$D:$D,""),'Type Chart'!$B$1:$S$1,0))))</f>
        <v/>
      </c>
      <c r="J998" s="3">
        <f>IFERROR(LET(mtype,XLOOKUP($D998,'Move Editor'!$B:$B,'Move Editor'!$C:$C,""),cat,XLOOKUP($D998,'Move Editor'!$B:$B,'Move Editor'!$D:$D,""),pow,XLOOKUP($D998,'Move Editor'!$B:$B,'Move Editor'!$E:$E,0),acc,XLOOKUP($D998,'Move Editor'!$B:$B,'Move Editor'!$F:$F,100),atk,IF(cat="Physical",FLOOR((FLOOR(((2*XLOOKUP(XLOOKUP($Q998,'Threshold Summary'!$Y:$Y,'Threshold Summary'!$K:$K,""),'Pokemon Editor'!$A:$A,'Pokemon Editor'!$F:$F,0)+31+FLOOR(XLOOKUP($Q998,'Threshold Summary'!$Y:$Y,'Threshold Summary'!$P:$P,"")/4))*XLOOKUP($Q998,'Threshold Summary'!$Y:$Y,'Threshold Summary'!$L:$L,""))/100)+5)*XLOOKUP(XLOOKUP($Q998,'Threshold Summary'!$Y:$Y,'Threshold Summary'!$M:$M,""),'Nature Editor'!$A:$A,'Nature Editor'!$B:$B,1)),FLOOR((FLOOR(((2*XLOOKUP(XLOOKUP($Q998,'Threshold Summary'!$Y:$Y,'Threshold Summary'!$K:$K,""),'Pokemon Editor'!$A:$A,'Pokemon Editor'!$H:$H,0)+31+FLOOR(XLOOKUP($Q998,'Threshold Summary'!$Y:$Y,'Threshold Summary'!$R:$R,"")/4))*XLOOKUP($Q998,'Threshold Summary'!$Y:$Y,'Threshold Summary'!$L:$L,""))/100)+5)*XLOOKUP(XLOOKUP($Q998,'Threshold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Editor'!$E:$E,1))),stab,IF(OR(mtype=XLOOKUP(XLOOKUP($Q998,'Threshold Summary'!$Y:$Y,'Threshold Summary'!$K:$K,""),'Pokemon Editor'!$A:$A,'Pokemon Editor'!$C:$C,""),mtype=XLOOKUP(XLOOKUP($Q998,'Threshold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Chart'!$B$1:$S$1,0)))),base,IF(OR(cat="Status",pow=0),0,FLOOR(FLOOR(FLOOR((2*XLOOKUP($Q998,'Threshold Summary'!$Y:$Y,'Threshold Summary'!$L:$L,"")/5+2)*pow*atk/def)/50)+2)),modifier,stab*eff,FLOOR(base*modifier*0.85)),0)</f>
        <v/>
      </c>
      <c r="K998" s="3">
        <f>IFERROR(LET(mtype,XLOOKUP($D998,'Move Editor'!$B:$B,'Move Editor'!$C:$C,""),cat,XLOOKUP($D998,'Move Editor'!$B:$B,'Move Editor'!$D:$D,""),pow,XLOOKUP($D998,'Move Editor'!$B:$B,'Move Editor'!$E:$E,0),acc,XLOOKUP($D998,'Move Editor'!$B:$B,'Move Editor'!$F:$F,100),atk,IF(cat="Physical",FLOOR((FLOOR(((2*XLOOKUP(XLOOKUP($Q998,'Threshold Summary'!$Y:$Y,'Threshold Summary'!$K:$K,""),'Pokemon Editor'!$A:$A,'Pokemon Editor'!$F:$F,0)+31+FLOOR(XLOOKUP($Q998,'Threshold Summary'!$Y:$Y,'Threshold Summary'!$P:$P,"")/4))*XLOOKUP($Q998,'Threshold Summary'!$Y:$Y,'Threshold Summary'!$L:$L,""))/100)+5)*XLOOKUP(XLOOKUP($Q998,'Threshold Summary'!$Y:$Y,'Threshold Summary'!$M:$M,""),'Nature Editor'!$A:$A,'Nature Editor'!$B:$B,1)),FLOOR((FLOOR(((2*XLOOKUP(XLOOKUP($Q998,'Threshold Summary'!$Y:$Y,'Threshold Summary'!$K:$K,""),'Pokemon Editor'!$A:$A,'Pokemon Editor'!$H:$H,0)+31+FLOOR(XLOOKUP($Q998,'Threshold Summary'!$Y:$Y,'Threshold Summary'!$R:$R,"")/4))*XLOOKUP($Q998,'Threshold Summary'!$Y:$Y,'Threshold Summary'!$L:$L,""))/100)+5)*XLOOKUP(XLOOKUP($Q998,'Threshold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Editor'!$E:$E,1))),stab,IF(OR(mtype=XLOOKUP(XLOOKUP($Q998,'Threshold Summary'!$Y:$Y,'Threshold Summary'!$K:$K,""),'Pokemon Editor'!$A:$A,'Pokemon Editor'!$C:$C,""),mtype=XLOOKUP(XLOOKUP($Q998,'Threshold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Chart'!$B$1:$S$1,0)))),base,IF(OR(cat="Status",pow=0),0,FLOOR(FLOOR(FLOOR((2*XLOOKUP($Q998,'Threshold Summary'!$Y:$Y,'Threshold Summary'!$L:$L,"")/5+2)*pow*atk/def)/50)+2)),modifier,stab*eff,FLOOR(base*modifier)),0)</f>
        <v/>
      </c>
      <c r="L998" s="3">
        <f>IFERROR(LET(mtype,XLOOKUP($D998,'Move Editor'!$B:$B,'Move Editor'!$C:$C,""),cat,XLOOKUP($D998,'Move Editor'!$B:$B,'Move Editor'!$D:$D,""),pow,XLOOKUP($D998,'Move Editor'!$B:$B,'Move Editor'!$E:$E,0),acc,XLOOKUP($D998,'Move Editor'!$B:$B,'Move Editor'!$F:$F,100),atk,IF(cat="Physical",FLOOR((FLOOR(((2*XLOOKUP(XLOOKUP($Q998,'Threshold Summary'!$Y:$Y,'Threshold Summary'!$K:$K,""),'Pokemon Editor'!$A:$A,'Pokemon Editor'!$F:$F,0)+31+FLOOR(XLOOKUP($Q998,'Threshold Summary'!$Y:$Y,'Threshold Summary'!$P:$P,"")/4))*XLOOKUP($Q998,'Threshold Summary'!$Y:$Y,'Threshold Summary'!$L:$L,""))/100)+5)*XLOOKUP(XLOOKUP($Q998,'Threshold Summary'!$Y:$Y,'Threshold Summary'!$M:$M,""),'Nature Editor'!$A:$A,'Nature Editor'!$B:$B,1)),FLOOR((FLOOR(((2*XLOOKUP(XLOOKUP($Q998,'Threshold Summary'!$Y:$Y,'Threshold Summary'!$K:$K,""),'Pokemon Editor'!$A:$A,'Pokemon Editor'!$H:$H,0)+31+FLOOR(XLOOKUP($Q998,'Threshold Summary'!$Y:$Y,'Threshold Summary'!$R:$R,"")/4))*XLOOKUP($Q998,'Threshold Summary'!$Y:$Y,'Threshold Summary'!$L:$L,""))/100)+5)*XLOOKUP(XLOOKUP($Q998,'Threshold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Editor'!$E:$E,1))),stab,IF(OR(mtype=XLOOKUP(XLOOKUP($Q998,'Threshold Summary'!$Y:$Y,'Threshold Summary'!$K:$K,""),'Pokemon Editor'!$A:$A,'Pokemon Editor'!$C:$C,""),mtype=XLOOKUP(XLOOKUP($Q998,'Threshold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Chart'!$B$1:$S$1,0)))),base,IF(OR(cat="Status",pow=0),0,FLOOR(FLOOR(FLOOR((2*XLOOKUP($Q998,'Threshold Summary'!$Y:$Y,'Threshold Summary'!$L:$L,"")/5+2)*pow*atk/def)/50)+2)),modifier,stab*eff,AVERAGE(ARRAYFORMULA(FLOOR(base*modifier*SEQUENCE(16,1,85,1)/100)))),0)</f>
        <v/>
      </c>
      <c r="M998" s="3">
        <f>IFERROR(LET(mtype,XLOOKUP($D998,'Move Editor'!$B:$B,'Move Editor'!$C:$C,""),cat,XLOOKUP($D998,'Move Editor'!$B:$B,'Move Editor'!$D:$D,""),pow,XLOOKUP($D998,'Move Editor'!$B:$B,'Move Editor'!$E:$E,0),acc,XLOOKUP($D998,'Move Editor'!$B:$B,'Move Editor'!$F:$F,100),atk,IF(cat="Physical",FLOOR((FLOOR(((2*XLOOKUP(XLOOKUP($Q998,'Threshold Summary'!$Y:$Y,'Threshold Summary'!$K:$K,""),'Pokemon Editor'!$A:$A,'Pokemon Editor'!$F:$F,0)+31+FLOOR(XLOOKUP($Q998,'Threshold Summary'!$Y:$Y,'Threshold Summary'!$P:$P,"")/4))*XLOOKUP($Q998,'Threshold Summary'!$Y:$Y,'Threshold Summary'!$L:$L,""))/100)+5)*XLOOKUP(XLOOKUP($Q998,'Threshold Summary'!$Y:$Y,'Threshold Summary'!$M:$M,""),'Nature Editor'!$A:$A,'Nature Editor'!$B:$B,1)),FLOOR((FLOOR(((2*XLOOKUP(XLOOKUP($Q998,'Threshold Summary'!$Y:$Y,'Threshold Summary'!$K:$K,""),'Pokemon Editor'!$A:$A,'Pokemon Editor'!$H:$H,0)+31+FLOOR(XLOOKUP($Q998,'Threshold Summary'!$Y:$Y,'Threshold Summary'!$R:$R,"")/4))*XLOOKUP($Q998,'Threshold Summary'!$Y:$Y,'Threshold Summary'!$L:$L,""))/100)+5)*XLOOKUP(XLOOKUP($Q998,'Threshold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Editor'!$E:$E,1))),stab,IF(OR(mtype=XLOOKUP(XLOOKUP($Q998,'Threshold Summary'!$Y:$Y,'Threshold Summary'!$K:$K,""),'Pokemon Editor'!$A:$A,'Pokemon Editor'!$C:$C,""),mtype=XLOOKUP(XLOOKUP($Q998,'Threshold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Chart'!$B$1:$S$1,0)))),base,IF(OR(cat="Status",pow=0),0,FLOOR(FLOOR(FLOOR((2*XLOOKUP($Q998,'Threshold Summary'!$Y:$Y,'Threshold Summary'!$L:$L,"")/5+2)*pow*atk/def)/50)+2)),modifier,stab*eff,AVERAGE(ARRAYFORMULA(FLOOR(base*modifier*SEQUENCE(16,1,85,1)/100)))*MIN(1,acc/100)),0)</f>
        <v/>
      </c>
      <c r="N998" s="4">
        <f>IFERROR(LET(mtype,XLOOKUP($D998,'Move Editor'!$B:$B,'Move Editor'!$C:$C,""),cat,XLOOKUP($D998,'Move Editor'!$B:$B,'Move Editor'!$D:$D,""),pow,XLOOKUP($D998,'Move Editor'!$B:$B,'Move Editor'!$E:$E,0),acc,XLOOKUP($D998,'Move Editor'!$B:$B,'Move Editor'!$F:$F,100),atk,IF(cat="Physical",FLOOR((FLOOR(((2*XLOOKUP(XLOOKUP($Q998,'Threshold Summary'!$Y:$Y,'Threshold Summary'!$K:$K,""),'Pokemon Editor'!$A:$A,'Pokemon Editor'!$F:$F,0)+31+FLOOR(XLOOKUP($Q998,'Threshold Summary'!$Y:$Y,'Threshold Summary'!$P:$P,"")/4))*XLOOKUP($Q998,'Threshold Summary'!$Y:$Y,'Threshold Summary'!$L:$L,""))/100)+5)*XLOOKUP(XLOOKUP($Q998,'Threshold Summary'!$Y:$Y,'Threshold Summary'!$M:$M,""),'Nature Editor'!$A:$A,'Nature Editor'!$B:$B,1)),FLOOR((FLOOR(((2*XLOOKUP(XLOOKUP($Q998,'Threshold Summary'!$Y:$Y,'Threshold Summary'!$K:$K,""),'Pokemon Editor'!$A:$A,'Pokemon Editor'!$H:$H,0)+31+FLOOR(XLOOKUP($Q998,'Threshold Summary'!$Y:$Y,'Threshold Summary'!$R:$R,"")/4))*XLOOKUP($Q998,'Threshold Summary'!$Y:$Y,'Threshold Summary'!$L:$L,""))/100)+5)*XLOOKUP(XLOOKUP($Q998,'Threshold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Editor'!$E:$E,1))),stab,IF(OR(mtype=XLOOKUP(XLOOKUP($Q998,'Threshold Summary'!$Y:$Y,'Threshold Summary'!$K:$K,""),'Pokemon Editor'!$A:$A,'Pokemon Editor'!$C:$C,""),mtype=XLOOKUP(XLOOKUP($Q998,'Threshold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Chart'!$B$1:$S$1,0)))),base,IF(OR(cat="Status",pow=0),0,FLOOR(FLOOR(FLOOR((2*XLOOKUP($Q998,'Threshold Summary'!$Y:$Y,'Threshold Summary'!$L:$L,"")/5+2)*pow*atk/def)/50)+2)),modifier,stab*eff,AVERAGE(ARRAYFORMULA(FLOOR(base*modifier*SEQUENCE(16,1,85,1)/100)))/(FLOOR(((2*XLOOKUP('Boss Editor'!$C$4,'Pokemon Editor'!$A:$A,'Pokemon Editor'!$E:$E,0)+31+FLOOR('Boss Editor'!$G$4/4))*'Boss Editor'!$D$4)/100)+'Boss Editor'!$D$4+10)),0)</f>
        <v/>
      </c>
      <c r="O998" s="3">
        <f>IF(N998&gt;=1,"OHKO",IF(N998&gt;=0.5,"2HKO",IF(N998&gt;=0.333,"3HKO",IF(N998&gt;=0.25,"4HKO","5HKO+"))))</f>
        <v/>
      </c>
      <c r="P998" s="3" t="inlineStr">
        <is>
          <t>Live from editable databases</t>
        </is>
      </c>
      <c r="Q998" s="3" t="inlineStr">
        <is>
          <t>SPECIES_TINKATINK</t>
        </is>
      </c>
      <c r="R998" s="3" t="n">
        <v>5</v>
      </c>
    </row>
    <row r="999">
      <c r="A999" s="3">
        <f>XLOOKUP($Q999,'Threshold Summary'!$Y:$Y,'Threshold Summary'!$A:$A,"")</f>
        <v/>
      </c>
      <c r="B999" s="3">
        <f>XLOOKUP($Q999,'Threshold Summary'!$Y:$Y,'Threshold Summary'!$M:$M,"")</f>
        <v/>
      </c>
      <c r="C999" s="3">
        <f>XLOOKUP($Q999,'Threshold Summary'!$Y:$Y,'Threshold Summary'!$N:$N,"")</f>
        <v/>
      </c>
      <c r="D999" s="3">
        <f>IFERROR(INDEX(FILTER('Learnset Editor'!$D$2:$D,'Learnset Editor'!$A$2:$A=XLOOKUP($Q999,'Threshold Summary'!$Y:$Y,'Threshold Summary'!$K:$K,""),'Learnset Editor'!$C$2:$C&lt;=XLOOKUP($Q999,'Threshold Summary'!$Y:$Y,'Threshold Summary'!$L:$L,"")),$R999),"")</f>
        <v/>
      </c>
      <c r="E999" s="3">
        <f>XLOOKUP(D999,'Move Editor'!$B:$B,'Move Editor'!$C:$C,"")</f>
        <v/>
      </c>
      <c r="F999" s="3">
        <f>XLOOKUP(D999,'Move Editor'!$B:$B,'Move Editor'!$D:$D,"")</f>
        <v/>
      </c>
      <c r="G999" s="3">
        <f>XLOOKUP(D999,'Move Editor'!$B:$B,'Move Editor'!$E:$E,0)</f>
        <v/>
      </c>
      <c r="H999" s="3">
        <f>XLOOKUP(D999,'Move Editor'!$B:$B,'Move Editor'!$F:$F,0)</f>
        <v/>
      </c>
      <c r="I999" s="3">
        <f>(INDEX('Type Chart'!$B:$S,MATCH(E999,'Type Chart'!$A:$A,0),MATCH(XLOOKUP('Boss Editor'!$C$4,'Pokemon Editor'!$A:$A,'Pokemon Editor'!$C:$C,""),'Type Chart'!$B$1:$S$1,0))*IF(XLOOKUP('Boss Editor'!$C$4,'Pokemon Editor'!$A:$A,'Pokemon Editor'!$D:$D,"")="",1,INDEX('Type Chart'!$B:$S,MATCH(E999,'Type Chart'!$A:$A,0),MATCH(XLOOKUP('Boss Editor'!$C$4,'Pokemon Editor'!$A:$A,'Pokemon Editor'!$D:$D,""),'Type Chart'!$B$1:$S$1,0))))</f>
        <v/>
      </c>
      <c r="J999" s="3">
        <f>IFERROR(LET(mtype,XLOOKUP($D999,'Move Editor'!$B:$B,'Move Editor'!$C:$C,""),cat,XLOOKUP($D999,'Move Editor'!$B:$B,'Move Editor'!$D:$D,""),pow,XLOOKUP($D999,'Move Editor'!$B:$B,'Move Editor'!$E:$E,0),acc,XLOOKUP($D999,'Move Editor'!$B:$B,'Move Editor'!$F:$F,100),atk,IF(cat="Physical",FLOOR((FLOOR(((2*XLOOKUP(XLOOKUP($Q999,'Threshold Summary'!$Y:$Y,'Threshold Summary'!$K:$K,""),'Pokemon Editor'!$A:$A,'Pokemon Editor'!$F:$F,0)+31+FLOOR(XLOOKUP($Q999,'Threshold Summary'!$Y:$Y,'Threshold Summary'!$P:$P,"")/4))*XLOOKUP($Q999,'Threshold Summary'!$Y:$Y,'Threshold Summary'!$L:$L,""))/100)+5)*XLOOKUP(XLOOKUP($Q999,'Threshold Summary'!$Y:$Y,'Threshold Summary'!$M:$M,""),'Nature Editor'!$A:$A,'Nature Editor'!$B:$B,1)),FLOOR((FLOOR(((2*XLOOKUP(XLOOKUP($Q999,'Threshold Summary'!$Y:$Y,'Threshold Summary'!$K:$K,""),'Pokemon Editor'!$A:$A,'Pokemon Editor'!$H:$H,0)+31+FLOOR(XLOOKUP($Q999,'Threshold Summary'!$Y:$Y,'Threshold Summary'!$R:$R,"")/4))*XLOOKUP($Q999,'Threshold Summary'!$Y:$Y,'Threshold Summary'!$L:$L,""))/100)+5)*XLOOKUP(XLOOKUP($Q999,'Threshold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Editor'!$E:$E,1))),stab,IF(OR(mtype=XLOOKUP(XLOOKUP($Q999,'Threshold Summary'!$Y:$Y,'Threshold Summary'!$K:$K,""),'Pokemon Editor'!$A:$A,'Pokemon Editor'!$C:$C,""),mtype=XLOOKUP(XLOOKUP($Q999,'Threshold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Chart'!$B$1:$S$1,0)))),base,IF(OR(cat="Status",pow=0),0,FLOOR(FLOOR(FLOOR((2*XLOOKUP($Q999,'Threshold Summary'!$Y:$Y,'Threshold Summary'!$L:$L,"")/5+2)*pow*atk/def)/50)+2)),modifier,stab*eff,FLOOR(base*modifier*0.85)),0)</f>
        <v/>
      </c>
      <c r="K999" s="3">
        <f>IFERROR(LET(mtype,XLOOKUP($D999,'Move Editor'!$B:$B,'Move Editor'!$C:$C,""),cat,XLOOKUP($D999,'Move Editor'!$B:$B,'Move Editor'!$D:$D,""),pow,XLOOKUP($D999,'Move Editor'!$B:$B,'Move Editor'!$E:$E,0),acc,XLOOKUP($D999,'Move Editor'!$B:$B,'Move Editor'!$F:$F,100),atk,IF(cat="Physical",FLOOR((FLOOR(((2*XLOOKUP(XLOOKUP($Q999,'Threshold Summary'!$Y:$Y,'Threshold Summary'!$K:$K,""),'Pokemon Editor'!$A:$A,'Pokemon Editor'!$F:$F,0)+31+FLOOR(XLOOKUP($Q999,'Threshold Summary'!$Y:$Y,'Threshold Summary'!$P:$P,"")/4))*XLOOKUP($Q999,'Threshold Summary'!$Y:$Y,'Threshold Summary'!$L:$L,""))/100)+5)*XLOOKUP(XLOOKUP($Q999,'Threshold Summary'!$Y:$Y,'Threshold Summary'!$M:$M,""),'Nature Editor'!$A:$A,'Nature Editor'!$B:$B,1)),FLOOR((FLOOR(((2*XLOOKUP(XLOOKUP($Q999,'Threshold Summary'!$Y:$Y,'Threshold Summary'!$K:$K,""),'Pokemon Editor'!$A:$A,'Pokemon Editor'!$H:$H,0)+31+FLOOR(XLOOKUP($Q999,'Threshold Summary'!$Y:$Y,'Threshold Summary'!$R:$R,"")/4))*XLOOKUP($Q999,'Threshold Summary'!$Y:$Y,'Threshold Summary'!$L:$L,""))/100)+5)*XLOOKUP(XLOOKUP($Q999,'Threshold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Editor'!$E:$E,1))),stab,IF(OR(mtype=XLOOKUP(XLOOKUP($Q999,'Threshold Summary'!$Y:$Y,'Threshold Summary'!$K:$K,""),'Pokemon Editor'!$A:$A,'Pokemon Editor'!$C:$C,""),mtype=XLOOKUP(XLOOKUP($Q999,'Threshold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Chart'!$B$1:$S$1,0)))),base,IF(OR(cat="Status",pow=0),0,FLOOR(FLOOR(FLOOR((2*XLOOKUP($Q999,'Threshold Summary'!$Y:$Y,'Threshold Summary'!$L:$L,"")/5+2)*pow*atk/def)/50)+2)),modifier,stab*eff,FLOOR(base*modifier)),0)</f>
        <v/>
      </c>
      <c r="L999" s="3">
        <f>IFERROR(LET(mtype,XLOOKUP($D999,'Move Editor'!$B:$B,'Move Editor'!$C:$C,""),cat,XLOOKUP($D999,'Move Editor'!$B:$B,'Move Editor'!$D:$D,""),pow,XLOOKUP($D999,'Move Editor'!$B:$B,'Move Editor'!$E:$E,0),acc,XLOOKUP($D999,'Move Editor'!$B:$B,'Move Editor'!$F:$F,100),atk,IF(cat="Physical",FLOOR((FLOOR(((2*XLOOKUP(XLOOKUP($Q999,'Threshold Summary'!$Y:$Y,'Threshold Summary'!$K:$K,""),'Pokemon Editor'!$A:$A,'Pokemon Editor'!$F:$F,0)+31+FLOOR(XLOOKUP($Q999,'Threshold Summary'!$Y:$Y,'Threshold Summary'!$P:$P,"")/4))*XLOOKUP($Q999,'Threshold Summary'!$Y:$Y,'Threshold Summary'!$L:$L,""))/100)+5)*XLOOKUP(XLOOKUP($Q999,'Threshold Summary'!$Y:$Y,'Threshold Summary'!$M:$M,""),'Nature Editor'!$A:$A,'Nature Editor'!$B:$B,1)),FLOOR((FLOOR(((2*XLOOKUP(XLOOKUP($Q999,'Threshold Summary'!$Y:$Y,'Threshold Summary'!$K:$K,""),'Pokemon Editor'!$A:$A,'Pokemon Editor'!$H:$H,0)+31+FLOOR(XLOOKUP($Q999,'Threshold Summary'!$Y:$Y,'Threshold Summary'!$R:$R,"")/4))*XLOOKUP($Q999,'Threshold Summary'!$Y:$Y,'Threshold Summary'!$L:$L,""))/100)+5)*XLOOKUP(XLOOKUP($Q999,'Threshold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Editor'!$E:$E,1))),stab,IF(OR(mtype=XLOOKUP(XLOOKUP($Q999,'Threshold Summary'!$Y:$Y,'Threshold Summary'!$K:$K,""),'Pokemon Editor'!$A:$A,'Pokemon Editor'!$C:$C,""),mtype=XLOOKUP(XLOOKUP($Q999,'Threshold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Chart'!$B$1:$S$1,0)))),base,IF(OR(cat="Status",pow=0),0,FLOOR(FLOOR(FLOOR((2*XLOOKUP($Q999,'Threshold Summary'!$Y:$Y,'Threshold Summary'!$L:$L,"")/5+2)*pow*atk/def)/50)+2)),modifier,stab*eff,AVERAGE(ARRAYFORMULA(FLOOR(base*modifier*SEQUENCE(16,1,85,1)/100)))),0)</f>
        <v/>
      </c>
      <c r="M999" s="3">
        <f>IFERROR(LET(mtype,XLOOKUP($D999,'Move Editor'!$B:$B,'Move Editor'!$C:$C,""),cat,XLOOKUP($D999,'Move Editor'!$B:$B,'Move Editor'!$D:$D,""),pow,XLOOKUP($D999,'Move Editor'!$B:$B,'Move Editor'!$E:$E,0),acc,XLOOKUP($D999,'Move Editor'!$B:$B,'Move Editor'!$F:$F,100),atk,IF(cat="Physical",FLOOR((FLOOR(((2*XLOOKUP(XLOOKUP($Q999,'Threshold Summary'!$Y:$Y,'Threshold Summary'!$K:$K,""),'Pokemon Editor'!$A:$A,'Pokemon Editor'!$F:$F,0)+31+FLOOR(XLOOKUP($Q999,'Threshold Summary'!$Y:$Y,'Threshold Summary'!$P:$P,"")/4))*XLOOKUP($Q999,'Threshold Summary'!$Y:$Y,'Threshold Summary'!$L:$L,""))/100)+5)*XLOOKUP(XLOOKUP($Q999,'Threshold Summary'!$Y:$Y,'Threshold Summary'!$M:$M,""),'Nature Editor'!$A:$A,'Nature Editor'!$B:$B,1)),FLOOR((FLOOR(((2*XLOOKUP(XLOOKUP($Q999,'Threshold Summary'!$Y:$Y,'Threshold Summary'!$K:$K,""),'Pokemon Editor'!$A:$A,'Pokemon Editor'!$H:$H,0)+31+FLOOR(XLOOKUP($Q999,'Threshold Summary'!$Y:$Y,'Threshold Summary'!$R:$R,"")/4))*XLOOKUP($Q999,'Threshold Summary'!$Y:$Y,'Threshold Summary'!$L:$L,""))/100)+5)*XLOOKUP(XLOOKUP($Q999,'Threshold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Editor'!$E:$E,1))),stab,IF(OR(mtype=XLOOKUP(XLOOKUP($Q999,'Threshold Summary'!$Y:$Y,'Threshold Summary'!$K:$K,""),'Pokemon Editor'!$A:$A,'Pokemon Editor'!$C:$C,""),mtype=XLOOKUP(XLOOKUP($Q999,'Threshold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Chart'!$B$1:$S$1,0)))),base,IF(OR(cat="Status",pow=0),0,FLOOR(FLOOR(FLOOR((2*XLOOKUP($Q999,'Threshold Summary'!$Y:$Y,'Threshold Summary'!$L:$L,"")/5+2)*pow*atk/def)/50)+2)),modifier,stab*eff,AVERAGE(ARRAYFORMULA(FLOOR(base*modifier*SEQUENCE(16,1,85,1)/100)))*MIN(1,acc/100)),0)</f>
        <v/>
      </c>
      <c r="N999" s="4">
        <f>IFERROR(LET(mtype,XLOOKUP($D999,'Move Editor'!$B:$B,'Move Editor'!$C:$C,""),cat,XLOOKUP($D999,'Move Editor'!$B:$B,'Move Editor'!$D:$D,""),pow,XLOOKUP($D999,'Move Editor'!$B:$B,'Move Editor'!$E:$E,0),acc,XLOOKUP($D999,'Move Editor'!$B:$B,'Move Editor'!$F:$F,100),atk,IF(cat="Physical",FLOOR((FLOOR(((2*XLOOKUP(XLOOKUP($Q999,'Threshold Summary'!$Y:$Y,'Threshold Summary'!$K:$K,""),'Pokemon Editor'!$A:$A,'Pokemon Editor'!$F:$F,0)+31+FLOOR(XLOOKUP($Q999,'Threshold Summary'!$Y:$Y,'Threshold Summary'!$P:$P,"")/4))*XLOOKUP($Q999,'Threshold Summary'!$Y:$Y,'Threshold Summary'!$L:$L,""))/100)+5)*XLOOKUP(XLOOKUP($Q999,'Threshold Summary'!$Y:$Y,'Threshold Summary'!$M:$M,""),'Nature Editor'!$A:$A,'Nature Editor'!$B:$B,1)),FLOOR((FLOOR(((2*XLOOKUP(XLOOKUP($Q999,'Threshold Summary'!$Y:$Y,'Threshold Summary'!$K:$K,""),'Pokemon Editor'!$A:$A,'Pokemon Editor'!$H:$H,0)+31+FLOOR(XLOOKUP($Q999,'Threshold Summary'!$Y:$Y,'Threshold Summary'!$R:$R,"")/4))*XLOOKUP($Q999,'Threshold Summary'!$Y:$Y,'Threshold Summary'!$L:$L,""))/100)+5)*XLOOKUP(XLOOKUP($Q999,'Threshold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Editor'!$E:$E,1))),stab,IF(OR(mtype=XLOOKUP(XLOOKUP($Q999,'Threshold Summary'!$Y:$Y,'Threshold Summary'!$K:$K,""),'Pokemon Editor'!$A:$A,'Pokemon Editor'!$C:$C,""),mtype=XLOOKUP(XLOOKUP($Q999,'Threshold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Chart'!$B$1:$S$1,0)))),base,IF(OR(cat="Status",pow=0),0,FLOOR(FLOOR(FLOOR((2*XLOOKUP($Q999,'Threshold Summary'!$Y:$Y,'Threshold Summary'!$L:$L,"")/5+2)*pow*atk/def)/50)+2)),modifier,stab*eff,AVERAGE(ARRAYFORMULA(FLOOR(base*modifier*SEQUENCE(16,1,85,1)/100)))/(FLOOR(((2*XLOOKUP('Boss Editor'!$C$4,'Pokemon Editor'!$A:$A,'Pokemon Editor'!$E:$E,0)+31+FLOOR('Boss Editor'!$G$4/4))*'Boss Editor'!$D$4)/100)+'Boss Editor'!$D$4+10)),0)</f>
        <v/>
      </c>
      <c r="O999" s="3">
        <f>IF(N999&gt;=1,"OHKO",IF(N999&gt;=0.5,"2HKO",IF(N999&gt;=0.333,"3HKO",IF(N999&gt;=0.25,"4HKO","5HKO+"))))</f>
        <v/>
      </c>
      <c r="P999" s="3" t="inlineStr">
        <is>
          <t>Live from editable databases</t>
        </is>
      </c>
      <c r="Q999" s="3" t="inlineStr">
        <is>
          <t>SPECIES_TINKATINK</t>
        </is>
      </c>
      <c r="R999" s="3" t="n">
        <v>6</v>
      </c>
    </row>
    <row r="1000">
      <c r="A1000" s="3">
        <f>XLOOKUP($Q1000,'Threshold Summary'!$Y:$Y,'Threshold Summary'!$A:$A,"")</f>
        <v/>
      </c>
      <c r="B1000" s="3">
        <f>XLOOKUP($Q1000,'Threshold Summary'!$Y:$Y,'Threshold Summary'!$M:$M,"")</f>
        <v/>
      </c>
      <c r="C1000" s="3">
        <f>XLOOKUP($Q1000,'Threshold Summary'!$Y:$Y,'Threshold Summary'!$N:$N,"")</f>
        <v/>
      </c>
      <c r="D1000" s="3">
        <f>IFERROR(INDEX(FILTER('Learnset Editor'!$D$2:$D,'Learnset Editor'!$A$2:$A=XLOOKUP($Q1000,'Threshold Summary'!$Y:$Y,'Threshold Summary'!$K:$K,""),'Learnset Editor'!$C$2:$C&lt;=XLOOKUP($Q1000,'Threshold Summary'!$Y:$Y,'Threshold Summary'!$L:$L,"")),$R1000),"")</f>
        <v/>
      </c>
      <c r="E1000" s="3">
        <f>XLOOKUP(D1000,'Move Editor'!$B:$B,'Move Editor'!$C:$C,"")</f>
        <v/>
      </c>
      <c r="F1000" s="3">
        <f>XLOOKUP(D1000,'Move Editor'!$B:$B,'Move Editor'!$D:$D,"")</f>
        <v/>
      </c>
      <c r="G1000" s="3">
        <f>XLOOKUP(D1000,'Move Editor'!$B:$B,'Move Editor'!$E:$E,0)</f>
        <v/>
      </c>
      <c r="H1000" s="3">
        <f>XLOOKUP(D1000,'Move Editor'!$B:$B,'Move Editor'!$F:$F,0)</f>
        <v/>
      </c>
      <c r="I1000" s="3">
        <f>(INDEX('Type Chart'!$B:$S,MATCH(E1000,'Type Chart'!$A:$A,0),MATCH(XLOOKUP('Boss Editor'!$C$4,'Pokemon Editor'!$A:$A,'Pokemon Editor'!$C:$C,""),'Type Chart'!$B$1:$S$1,0))*IF(XLOOKUP('Boss Editor'!$C$4,'Pokemon Editor'!$A:$A,'Pokemon Editor'!$D:$D,"")="",1,INDEX('Type Chart'!$B:$S,MATCH(E1000,'Type Chart'!$A:$A,0),MATCH(XLOOKUP('Boss Editor'!$C$4,'Pokemon Editor'!$A:$A,'Pokemon Editor'!$D:$D,""),'Type Chart'!$B$1:$S$1,0))))</f>
        <v/>
      </c>
      <c r="J1000" s="3">
        <f>IFERROR(LET(mtype,XLOOKUP($D1000,'Move Editor'!$B:$B,'Move Editor'!$C:$C,""),cat,XLOOKUP($D1000,'Move Editor'!$B:$B,'Move Editor'!$D:$D,""),pow,XLOOKUP($D1000,'Move Editor'!$B:$B,'Move Editor'!$E:$E,0),acc,XLOOKUP($D1000,'Move Editor'!$B:$B,'Move Editor'!$F:$F,100),atk,IF(cat="Physical",FLOOR((FLOOR(((2*XLOOKUP(XLOOKUP($Q1000,'Threshold Summary'!$Y:$Y,'Threshold Summary'!$K:$K,""),'Pokemon Editor'!$A:$A,'Pokemon Editor'!$F:$F,0)+31+FLOOR(XLOOKUP($Q1000,'Threshold Summary'!$Y:$Y,'Threshold Summary'!$P:$P,"")/4))*XLOOKUP($Q1000,'Threshold Summary'!$Y:$Y,'Threshold Summary'!$L:$L,""))/100)+5)*XLOOKUP(XLOOKUP($Q1000,'Threshold Summary'!$Y:$Y,'Threshold Summary'!$M:$M,""),'Nature Editor'!$A:$A,'Nature Editor'!$B:$B,1)),FLOOR((FLOOR(((2*XLOOKUP(XLOOKUP($Q1000,'Threshold Summary'!$Y:$Y,'Threshold Summary'!$K:$K,""),'Pokemon Editor'!$A:$A,'Pokemon Editor'!$H:$H,0)+31+FLOOR(XLOOKUP($Q1000,'Threshold Summary'!$Y:$Y,'Threshold Summary'!$R:$R,"")/4))*XLOOKUP($Q1000,'Threshold Summary'!$Y:$Y,'Threshold Summary'!$L:$L,""))/100)+5)*XLOOKUP(XLOOKUP($Q1000,'Threshold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Editor'!$E:$E,1))),stab,IF(OR(mtype=XLOOKUP(XLOOKUP($Q1000,'Threshold Summary'!$Y:$Y,'Threshold Summary'!$K:$K,""),'Pokemon Editor'!$A:$A,'Pokemon Editor'!$C:$C,""),mtype=XLOOKUP(XLOOKUP($Q1000,'Threshold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Chart'!$B$1:$S$1,0)))),base,IF(OR(cat="Status",pow=0),0,FLOOR(FLOOR(FLOOR((2*XLOOKUP($Q1000,'Threshold Summary'!$Y:$Y,'Threshold Summary'!$L:$L,"")/5+2)*pow*atk/def)/50)+2)),modifier,stab*eff,FLOOR(base*modifier*0.85)),0)</f>
        <v/>
      </c>
      <c r="K1000" s="3">
        <f>IFERROR(LET(mtype,XLOOKUP($D1000,'Move Editor'!$B:$B,'Move Editor'!$C:$C,""),cat,XLOOKUP($D1000,'Move Editor'!$B:$B,'Move Editor'!$D:$D,""),pow,XLOOKUP($D1000,'Move Editor'!$B:$B,'Move Editor'!$E:$E,0),acc,XLOOKUP($D1000,'Move Editor'!$B:$B,'Move Editor'!$F:$F,100),atk,IF(cat="Physical",FLOOR((FLOOR(((2*XLOOKUP(XLOOKUP($Q1000,'Threshold Summary'!$Y:$Y,'Threshold Summary'!$K:$K,""),'Pokemon Editor'!$A:$A,'Pokemon Editor'!$F:$F,0)+31+FLOOR(XLOOKUP($Q1000,'Threshold Summary'!$Y:$Y,'Threshold Summary'!$P:$P,"")/4))*XLOOKUP($Q1000,'Threshold Summary'!$Y:$Y,'Threshold Summary'!$L:$L,""))/100)+5)*XLOOKUP(XLOOKUP($Q1000,'Threshold Summary'!$Y:$Y,'Threshold Summary'!$M:$M,""),'Nature Editor'!$A:$A,'Nature Editor'!$B:$B,1)),FLOOR((FLOOR(((2*XLOOKUP(XLOOKUP($Q1000,'Threshold Summary'!$Y:$Y,'Threshold Summary'!$K:$K,""),'Pokemon Editor'!$A:$A,'Pokemon Editor'!$H:$H,0)+31+FLOOR(XLOOKUP($Q1000,'Threshold Summary'!$Y:$Y,'Threshold Summary'!$R:$R,"")/4))*XLOOKUP($Q1000,'Threshold Summary'!$Y:$Y,'Threshold Summary'!$L:$L,""))/100)+5)*XLOOKUP(XLOOKUP($Q1000,'Threshold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Editor'!$E:$E,1))),stab,IF(OR(mtype=XLOOKUP(XLOOKUP($Q1000,'Threshold Summary'!$Y:$Y,'Threshold Summary'!$K:$K,""),'Pokemon Editor'!$A:$A,'Pokemon Editor'!$C:$C,""),mtype=XLOOKUP(XLOOKUP($Q1000,'Threshold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Chart'!$B$1:$S$1,0)))),base,IF(OR(cat="Status",pow=0),0,FLOOR(FLOOR(FLOOR((2*XLOOKUP($Q1000,'Threshold Summary'!$Y:$Y,'Threshold Summary'!$L:$L,"")/5+2)*pow*atk/def)/50)+2)),modifier,stab*eff,FLOOR(base*modifier)),0)</f>
        <v/>
      </c>
      <c r="L1000" s="3">
        <f>IFERROR(LET(mtype,XLOOKUP($D1000,'Move Editor'!$B:$B,'Move Editor'!$C:$C,""),cat,XLOOKUP($D1000,'Move Editor'!$B:$B,'Move Editor'!$D:$D,""),pow,XLOOKUP($D1000,'Move Editor'!$B:$B,'Move Editor'!$E:$E,0),acc,XLOOKUP($D1000,'Move Editor'!$B:$B,'Move Editor'!$F:$F,100),atk,IF(cat="Physical",FLOOR((FLOOR(((2*XLOOKUP(XLOOKUP($Q1000,'Threshold Summary'!$Y:$Y,'Threshold Summary'!$K:$K,""),'Pokemon Editor'!$A:$A,'Pokemon Editor'!$F:$F,0)+31+FLOOR(XLOOKUP($Q1000,'Threshold Summary'!$Y:$Y,'Threshold Summary'!$P:$P,"")/4))*XLOOKUP($Q1000,'Threshold Summary'!$Y:$Y,'Threshold Summary'!$L:$L,""))/100)+5)*XLOOKUP(XLOOKUP($Q1000,'Threshold Summary'!$Y:$Y,'Threshold Summary'!$M:$M,""),'Nature Editor'!$A:$A,'Nature Editor'!$B:$B,1)),FLOOR((FLOOR(((2*XLOOKUP(XLOOKUP($Q1000,'Threshold Summary'!$Y:$Y,'Threshold Summary'!$K:$K,""),'Pokemon Editor'!$A:$A,'Pokemon Editor'!$H:$H,0)+31+FLOOR(XLOOKUP($Q1000,'Threshold Summary'!$Y:$Y,'Threshold Summary'!$R:$R,"")/4))*XLOOKUP($Q1000,'Threshold Summary'!$Y:$Y,'Threshold Summary'!$L:$L,""))/100)+5)*XLOOKUP(XLOOKUP($Q1000,'Threshold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Editor'!$E:$E,1))),stab,IF(OR(mtype=XLOOKUP(XLOOKUP($Q1000,'Threshold Summary'!$Y:$Y,'Threshold Summary'!$K:$K,""),'Pokemon Editor'!$A:$A,'Pokemon Editor'!$C:$C,""),mtype=XLOOKUP(XLOOKUP($Q1000,'Threshold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Chart'!$B$1:$S$1,0)))),base,IF(OR(cat="Status",pow=0),0,FLOOR(FLOOR(FLOOR((2*XLOOKUP($Q1000,'Threshold Summary'!$Y:$Y,'Threshold Summary'!$L:$L,"")/5+2)*pow*atk/def)/50)+2)),modifier,stab*eff,AVERAGE(ARRAYFORMULA(FLOOR(base*modifier*SEQUENCE(16,1,85,1)/100)))),0)</f>
        <v/>
      </c>
      <c r="M1000" s="3">
        <f>IFERROR(LET(mtype,XLOOKUP($D1000,'Move Editor'!$B:$B,'Move Editor'!$C:$C,""),cat,XLOOKUP($D1000,'Move Editor'!$B:$B,'Move Editor'!$D:$D,""),pow,XLOOKUP($D1000,'Move Editor'!$B:$B,'Move Editor'!$E:$E,0),acc,XLOOKUP($D1000,'Move Editor'!$B:$B,'Move Editor'!$F:$F,100),atk,IF(cat="Physical",FLOOR((FLOOR(((2*XLOOKUP(XLOOKUP($Q1000,'Threshold Summary'!$Y:$Y,'Threshold Summary'!$K:$K,""),'Pokemon Editor'!$A:$A,'Pokemon Editor'!$F:$F,0)+31+FLOOR(XLOOKUP($Q1000,'Threshold Summary'!$Y:$Y,'Threshold Summary'!$P:$P,"")/4))*XLOOKUP($Q1000,'Threshold Summary'!$Y:$Y,'Threshold Summary'!$L:$L,""))/100)+5)*XLOOKUP(XLOOKUP($Q1000,'Threshold Summary'!$Y:$Y,'Threshold Summary'!$M:$M,""),'Nature Editor'!$A:$A,'Nature Editor'!$B:$B,1)),FLOOR((FLOOR(((2*XLOOKUP(XLOOKUP($Q1000,'Threshold Summary'!$Y:$Y,'Threshold Summary'!$K:$K,""),'Pokemon Editor'!$A:$A,'Pokemon Editor'!$H:$H,0)+31+FLOOR(XLOOKUP($Q1000,'Threshold Summary'!$Y:$Y,'Threshold Summary'!$R:$R,"")/4))*XLOOKUP($Q1000,'Threshold Summary'!$Y:$Y,'Threshold Summary'!$L:$L,""))/100)+5)*XLOOKUP(XLOOKUP($Q1000,'Threshold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Editor'!$E:$E,1))),stab,IF(OR(mtype=XLOOKUP(XLOOKUP($Q1000,'Threshold Summary'!$Y:$Y,'Threshold Summary'!$K:$K,""),'Pokemon Editor'!$A:$A,'Pokemon Editor'!$C:$C,""),mtype=XLOOKUP(XLOOKUP($Q1000,'Threshold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Chart'!$B$1:$S$1,0)))),base,IF(OR(cat="Status",pow=0),0,FLOOR(FLOOR(FLOOR((2*XLOOKUP($Q1000,'Threshold Summary'!$Y:$Y,'Threshold Summary'!$L:$L,"")/5+2)*pow*atk/def)/50)+2)),modifier,stab*eff,AVERAGE(ARRAYFORMULA(FLOOR(base*modifier*SEQUENCE(16,1,85,1)/100)))*MIN(1,acc/100)),0)</f>
        <v/>
      </c>
      <c r="N1000" s="4">
        <f>IFERROR(LET(mtype,XLOOKUP($D1000,'Move Editor'!$B:$B,'Move Editor'!$C:$C,""),cat,XLOOKUP($D1000,'Move Editor'!$B:$B,'Move Editor'!$D:$D,""),pow,XLOOKUP($D1000,'Move Editor'!$B:$B,'Move Editor'!$E:$E,0),acc,XLOOKUP($D1000,'Move Editor'!$B:$B,'Move Editor'!$F:$F,100),atk,IF(cat="Physical",FLOOR((FLOOR(((2*XLOOKUP(XLOOKUP($Q1000,'Threshold Summary'!$Y:$Y,'Threshold Summary'!$K:$K,""),'Pokemon Editor'!$A:$A,'Pokemon Editor'!$F:$F,0)+31+FLOOR(XLOOKUP($Q1000,'Threshold Summary'!$Y:$Y,'Threshold Summary'!$P:$P,"")/4))*XLOOKUP($Q1000,'Threshold Summary'!$Y:$Y,'Threshold Summary'!$L:$L,""))/100)+5)*XLOOKUP(XLOOKUP($Q1000,'Threshold Summary'!$Y:$Y,'Threshold Summary'!$M:$M,""),'Nature Editor'!$A:$A,'Nature Editor'!$B:$B,1)),FLOOR((FLOOR(((2*XLOOKUP(XLOOKUP($Q1000,'Threshold Summary'!$Y:$Y,'Threshold Summary'!$K:$K,""),'Pokemon Editor'!$A:$A,'Pokemon Editor'!$H:$H,0)+31+FLOOR(XLOOKUP($Q1000,'Threshold Summary'!$Y:$Y,'Threshold Summary'!$R:$R,"")/4))*XLOOKUP($Q1000,'Threshold Summary'!$Y:$Y,'Threshold Summary'!$L:$L,""))/100)+5)*XLOOKUP(XLOOKUP($Q1000,'Threshold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Editor'!$E:$E,1))),stab,IF(OR(mtype=XLOOKUP(XLOOKUP($Q1000,'Threshold Summary'!$Y:$Y,'Threshold Summary'!$K:$K,""),'Pokemon Editor'!$A:$A,'Pokemon Editor'!$C:$C,""),mtype=XLOOKUP(XLOOKUP($Q1000,'Threshold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Chart'!$B$1:$S$1,0)))),base,IF(OR(cat="Status",pow=0),0,FLOOR(FLOOR(FLOOR((2*XLOOKUP($Q1000,'Threshold Summary'!$Y:$Y,'Threshold Summary'!$L:$L,"")/5+2)*pow*atk/def)/50)+2)),modifier,stab*eff,AVERAGE(ARRAYFORMULA(FLOOR(base*modifier*SEQUENCE(16,1,85,1)/100)))/(FLOOR(((2*XLOOKUP('Boss Editor'!$C$4,'Pokemon Editor'!$A:$A,'Pokemon Editor'!$E:$E,0)+31+FLOOR('Boss Editor'!$G$4/4))*'Boss Editor'!$D$4)/100)+'Boss Editor'!$D$4+10)),0)</f>
        <v/>
      </c>
      <c r="O1000" s="3">
        <f>IF(N1000&gt;=1,"OHKO",IF(N1000&gt;=0.5,"2HKO",IF(N1000&gt;=0.333,"3HKO",IF(N1000&gt;=0.25,"4HKO","5HKO+"))))</f>
        <v/>
      </c>
      <c r="P1000" s="3" t="inlineStr">
        <is>
          <t>Live from editable databases</t>
        </is>
      </c>
      <c r="Q1000" s="3" t="inlineStr">
        <is>
          <t>SPECIES_TINKATINK</t>
        </is>
      </c>
      <c r="R1000" s="3" t="n">
        <v>7</v>
      </c>
    </row>
    <row r="1001">
      <c r="A1001" s="3">
        <f>XLOOKUP($Q1001,'Threshold Summary'!$Y:$Y,'Threshold Summary'!$A:$A,"")</f>
        <v/>
      </c>
      <c r="B1001" s="3">
        <f>XLOOKUP($Q1001,'Threshold Summary'!$Y:$Y,'Threshold Summary'!$M:$M,"")</f>
        <v/>
      </c>
      <c r="C1001" s="3">
        <f>XLOOKUP($Q1001,'Threshold Summary'!$Y:$Y,'Threshold Summary'!$N:$N,"")</f>
        <v/>
      </c>
      <c r="D1001" s="3">
        <f>IFERROR(INDEX(FILTER('Learnset Editor'!$D$2:$D,'Learnset Editor'!$A$2:$A=XLOOKUP($Q1001,'Threshold Summary'!$Y:$Y,'Threshold Summary'!$K:$K,""),'Learnset Editor'!$C$2:$C&lt;=XLOOKUP($Q1001,'Threshold Summary'!$Y:$Y,'Threshold Summary'!$L:$L,"")),$R1001),"")</f>
        <v/>
      </c>
      <c r="E1001" s="3">
        <f>XLOOKUP(D1001,'Move Editor'!$B:$B,'Move Editor'!$C:$C,"")</f>
        <v/>
      </c>
      <c r="F1001" s="3">
        <f>XLOOKUP(D1001,'Move Editor'!$B:$B,'Move Editor'!$D:$D,"")</f>
        <v/>
      </c>
      <c r="G1001" s="3">
        <f>XLOOKUP(D1001,'Move Editor'!$B:$B,'Move Editor'!$E:$E,0)</f>
        <v/>
      </c>
      <c r="H1001" s="3">
        <f>XLOOKUP(D1001,'Move Editor'!$B:$B,'Move Editor'!$F:$F,0)</f>
        <v/>
      </c>
      <c r="I1001" s="3">
        <f>(INDEX('Type Chart'!$B:$S,MATCH(E1001,'Type Chart'!$A:$A,0),MATCH(XLOOKUP('Boss Editor'!$C$4,'Pokemon Editor'!$A:$A,'Pokemon Editor'!$C:$C,""),'Type Chart'!$B$1:$S$1,0))*IF(XLOOKUP('Boss Editor'!$C$4,'Pokemon Editor'!$A:$A,'Pokemon Editor'!$D:$D,"")="",1,INDEX('Type Chart'!$B:$S,MATCH(E1001,'Type Chart'!$A:$A,0),MATCH(XLOOKUP('Boss Editor'!$C$4,'Pokemon Editor'!$A:$A,'Pokemon Editor'!$D:$D,""),'Type Chart'!$B$1:$S$1,0))))</f>
        <v/>
      </c>
      <c r="J1001" s="3">
        <f>IFERROR(LET(mtype,XLOOKUP($D1001,'Move Editor'!$B:$B,'Move Editor'!$C:$C,""),cat,XLOOKUP($D1001,'Move Editor'!$B:$B,'Move Editor'!$D:$D,""),pow,XLOOKUP($D1001,'Move Editor'!$B:$B,'Move Editor'!$E:$E,0),acc,XLOOKUP($D1001,'Move Editor'!$B:$B,'Move Editor'!$F:$F,100),atk,IF(cat="Physical",FLOOR((FLOOR(((2*XLOOKUP(XLOOKUP($Q1001,'Threshold Summary'!$Y:$Y,'Threshold Summary'!$K:$K,""),'Pokemon Editor'!$A:$A,'Pokemon Editor'!$F:$F,0)+31+FLOOR(XLOOKUP($Q1001,'Threshold Summary'!$Y:$Y,'Threshold Summary'!$P:$P,"")/4))*XLOOKUP($Q1001,'Threshold Summary'!$Y:$Y,'Threshold Summary'!$L:$L,""))/100)+5)*XLOOKUP(XLOOKUP($Q1001,'Threshold Summary'!$Y:$Y,'Threshold Summary'!$M:$M,""),'Nature Editor'!$A:$A,'Nature Editor'!$B:$B,1)),FLOOR((FLOOR(((2*XLOOKUP(XLOOKUP($Q1001,'Threshold Summary'!$Y:$Y,'Threshold Summary'!$K:$K,""),'Pokemon Editor'!$A:$A,'Pokemon Editor'!$H:$H,0)+31+FLOOR(XLOOKUP($Q1001,'Threshold Summary'!$Y:$Y,'Threshold Summary'!$R:$R,"")/4))*XLOOKUP($Q1001,'Threshold Summary'!$Y:$Y,'Threshold Summary'!$L:$L,""))/100)+5)*XLOOKUP(XLOOKUP($Q1001,'Threshold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Editor'!$E:$E,1))),stab,IF(OR(mtype=XLOOKUP(XLOOKUP($Q1001,'Threshold Summary'!$Y:$Y,'Threshold Summary'!$K:$K,""),'Pokemon Editor'!$A:$A,'Pokemon Editor'!$C:$C,""),mtype=XLOOKUP(XLOOKUP($Q1001,'Threshold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Chart'!$B$1:$S$1,0)))),base,IF(OR(cat="Status",pow=0),0,FLOOR(FLOOR(FLOOR((2*XLOOKUP($Q1001,'Threshold Summary'!$Y:$Y,'Threshold Summary'!$L:$L,"")/5+2)*pow*atk/def)/50)+2)),modifier,stab*eff,FLOOR(base*modifier*0.85)),0)</f>
        <v/>
      </c>
      <c r="K1001" s="3">
        <f>IFERROR(LET(mtype,XLOOKUP($D1001,'Move Editor'!$B:$B,'Move Editor'!$C:$C,""),cat,XLOOKUP($D1001,'Move Editor'!$B:$B,'Move Editor'!$D:$D,""),pow,XLOOKUP($D1001,'Move Editor'!$B:$B,'Move Editor'!$E:$E,0),acc,XLOOKUP($D1001,'Move Editor'!$B:$B,'Move Editor'!$F:$F,100),atk,IF(cat="Physical",FLOOR((FLOOR(((2*XLOOKUP(XLOOKUP($Q1001,'Threshold Summary'!$Y:$Y,'Threshold Summary'!$K:$K,""),'Pokemon Editor'!$A:$A,'Pokemon Editor'!$F:$F,0)+31+FLOOR(XLOOKUP($Q1001,'Threshold Summary'!$Y:$Y,'Threshold Summary'!$P:$P,"")/4))*XLOOKUP($Q1001,'Threshold Summary'!$Y:$Y,'Threshold Summary'!$L:$L,""))/100)+5)*XLOOKUP(XLOOKUP($Q1001,'Threshold Summary'!$Y:$Y,'Threshold Summary'!$M:$M,""),'Nature Editor'!$A:$A,'Nature Editor'!$B:$B,1)),FLOOR((FLOOR(((2*XLOOKUP(XLOOKUP($Q1001,'Threshold Summary'!$Y:$Y,'Threshold Summary'!$K:$K,""),'Pokemon Editor'!$A:$A,'Pokemon Editor'!$H:$H,0)+31+FLOOR(XLOOKUP($Q1001,'Threshold Summary'!$Y:$Y,'Threshold Summary'!$R:$R,"")/4))*XLOOKUP($Q1001,'Threshold Summary'!$Y:$Y,'Threshold Summary'!$L:$L,""))/100)+5)*XLOOKUP(XLOOKUP($Q1001,'Threshold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Editor'!$E:$E,1))),stab,IF(OR(mtype=XLOOKUP(XLOOKUP($Q1001,'Threshold Summary'!$Y:$Y,'Threshold Summary'!$K:$K,""),'Pokemon Editor'!$A:$A,'Pokemon Editor'!$C:$C,""),mtype=XLOOKUP(XLOOKUP($Q1001,'Threshold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Chart'!$B$1:$S$1,0)))),base,IF(OR(cat="Status",pow=0),0,FLOOR(FLOOR(FLOOR((2*XLOOKUP($Q1001,'Threshold Summary'!$Y:$Y,'Threshold Summary'!$L:$L,"")/5+2)*pow*atk/def)/50)+2)),modifier,stab*eff,FLOOR(base*modifier)),0)</f>
        <v/>
      </c>
      <c r="L1001" s="3">
        <f>IFERROR(LET(mtype,XLOOKUP($D1001,'Move Editor'!$B:$B,'Move Editor'!$C:$C,""),cat,XLOOKUP($D1001,'Move Editor'!$B:$B,'Move Editor'!$D:$D,""),pow,XLOOKUP($D1001,'Move Editor'!$B:$B,'Move Editor'!$E:$E,0),acc,XLOOKUP($D1001,'Move Editor'!$B:$B,'Move Editor'!$F:$F,100),atk,IF(cat="Physical",FLOOR((FLOOR(((2*XLOOKUP(XLOOKUP($Q1001,'Threshold Summary'!$Y:$Y,'Threshold Summary'!$K:$K,""),'Pokemon Editor'!$A:$A,'Pokemon Editor'!$F:$F,0)+31+FLOOR(XLOOKUP($Q1001,'Threshold Summary'!$Y:$Y,'Threshold Summary'!$P:$P,"")/4))*XLOOKUP($Q1001,'Threshold Summary'!$Y:$Y,'Threshold Summary'!$L:$L,""))/100)+5)*XLOOKUP(XLOOKUP($Q1001,'Threshold Summary'!$Y:$Y,'Threshold Summary'!$M:$M,""),'Nature Editor'!$A:$A,'Nature Editor'!$B:$B,1)),FLOOR((FLOOR(((2*XLOOKUP(XLOOKUP($Q1001,'Threshold Summary'!$Y:$Y,'Threshold Summary'!$K:$K,""),'Pokemon Editor'!$A:$A,'Pokemon Editor'!$H:$H,0)+31+FLOOR(XLOOKUP($Q1001,'Threshold Summary'!$Y:$Y,'Threshold Summary'!$R:$R,"")/4))*XLOOKUP($Q1001,'Threshold Summary'!$Y:$Y,'Threshold Summary'!$L:$L,""))/100)+5)*XLOOKUP(XLOOKUP($Q1001,'Threshold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Editor'!$E:$E,1))),stab,IF(OR(mtype=XLOOKUP(XLOOKUP($Q1001,'Threshold Summary'!$Y:$Y,'Threshold Summary'!$K:$K,""),'Pokemon Editor'!$A:$A,'Pokemon Editor'!$C:$C,""),mtype=XLOOKUP(XLOOKUP($Q1001,'Threshold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Chart'!$B$1:$S$1,0)))),base,IF(OR(cat="Status",pow=0),0,FLOOR(FLOOR(FLOOR((2*XLOOKUP($Q1001,'Threshold Summary'!$Y:$Y,'Threshold Summary'!$L:$L,"")/5+2)*pow*atk/def)/50)+2)),modifier,stab*eff,AVERAGE(ARRAYFORMULA(FLOOR(base*modifier*SEQUENCE(16,1,85,1)/100)))),0)</f>
        <v/>
      </c>
      <c r="M1001" s="3">
        <f>IFERROR(LET(mtype,XLOOKUP($D1001,'Move Editor'!$B:$B,'Move Editor'!$C:$C,""),cat,XLOOKUP($D1001,'Move Editor'!$B:$B,'Move Editor'!$D:$D,""),pow,XLOOKUP($D1001,'Move Editor'!$B:$B,'Move Editor'!$E:$E,0),acc,XLOOKUP($D1001,'Move Editor'!$B:$B,'Move Editor'!$F:$F,100),atk,IF(cat="Physical",FLOOR((FLOOR(((2*XLOOKUP(XLOOKUP($Q1001,'Threshold Summary'!$Y:$Y,'Threshold Summary'!$K:$K,""),'Pokemon Editor'!$A:$A,'Pokemon Editor'!$F:$F,0)+31+FLOOR(XLOOKUP($Q1001,'Threshold Summary'!$Y:$Y,'Threshold Summary'!$P:$P,"")/4))*XLOOKUP($Q1001,'Threshold Summary'!$Y:$Y,'Threshold Summary'!$L:$L,""))/100)+5)*XLOOKUP(XLOOKUP($Q1001,'Threshold Summary'!$Y:$Y,'Threshold Summary'!$M:$M,""),'Nature Editor'!$A:$A,'Nature Editor'!$B:$B,1)),FLOOR((FLOOR(((2*XLOOKUP(XLOOKUP($Q1001,'Threshold Summary'!$Y:$Y,'Threshold Summary'!$K:$K,""),'Pokemon Editor'!$A:$A,'Pokemon Editor'!$H:$H,0)+31+FLOOR(XLOOKUP($Q1001,'Threshold Summary'!$Y:$Y,'Threshold Summary'!$R:$R,"")/4))*XLOOKUP($Q1001,'Threshold Summary'!$Y:$Y,'Threshold Summary'!$L:$L,""))/100)+5)*XLOOKUP(XLOOKUP($Q1001,'Threshold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Editor'!$E:$E,1))),stab,IF(OR(mtype=XLOOKUP(XLOOKUP($Q1001,'Threshold Summary'!$Y:$Y,'Threshold Summary'!$K:$K,""),'Pokemon Editor'!$A:$A,'Pokemon Editor'!$C:$C,""),mtype=XLOOKUP(XLOOKUP($Q1001,'Threshold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Chart'!$B$1:$S$1,0)))),base,IF(OR(cat="Status",pow=0),0,FLOOR(FLOOR(FLOOR((2*XLOOKUP($Q1001,'Threshold Summary'!$Y:$Y,'Threshold Summary'!$L:$L,"")/5+2)*pow*atk/def)/50)+2)),modifier,stab*eff,AVERAGE(ARRAYFORMULA(FLOOR(base*modifier*SEQUENCE(16,1,85,1)/100)))*MIN(1,acc/100)),0)</f>
        <v/>
      </c>
      <c r="N1001" s="4">
        <f>IFERROR(LET(mtype,XLOOKUP($D1001,'Move Editor'!$B:$B,'Move Editor'!$C:$C,""),cat,XLOOKUP($D1001,'Move Editor'!$B:$B,'Move Editor'!$D:$D,""),pow,XLOOKUP($D1001,'Move Editor'!$B:$B,'Move Editor'!$E:$E,0),acc,XLOOKUP($D1001,'Move Editor'!$B:$B,'Move Editor'!$F:$F,100),atk,IF(cat="Physical",FLOOR((FLOOR(((2*XLOOKUP(XLOOKUP($Q1001,'Threshold Summary'!$Y:$Y,'Threshold Summary'!$K:$K,""),'Pokemon Editor'!$A:$A,'Pokemon Editor'!$F:$F,0)+31+FLOOR(XLOOKUP($Q1001,'Threshold Summary'!$Y:$Y,'Threshold Summary'!$P:$P,"")/4))*XLOOKUP($Q1001,'Threshold Summary'!$Y:$Y,'Threshold Summary'!$L:$L,""))/100)+5)*XLOOKUP(XLOOKUP($Q1001,'Threshold Summary'!$Y:$Y,'Threshold Summary'!$M:$M,""),'Nature Editor'!$A:$A,'Nature Editor'!$B:$B,1)),FLOOR((FLOOR(((2*XLOOKUP(XLOOKUP($Q1001,'Threshold Summary'!$Y:$Y,'Threshold Summary'!$K:$K,""),'Pokemon Editor'!$A:$A,'Pokemon Editor'!$H:$H,0)+31+FLOOR(XLOOKUP($Q1001,'Threshold Summary'!$Y:$Y,'Threshold Summary'!$R:$R,"")/4))*XLOOKUP($Q1001,'Threshold Summary'!$Y:$Y,'Threshold Summary'!$L:$L,""))/100)+5)*XLOOKUP(XLOOKUP($Q1001,'Threshold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Editor'!$E:$E,1))),stab,IF(OR(mtype=XLOOKUP(XLOOKUP($Q1001,'Threshold Summary'!$Y:$Y,'Threshold Summary'!$K:$K,""),'Pokemon Editor'!$A:$A,'Pokemon Editor'!$C:$C,""),mtype=XLOOKUP(XLOOKUP($Q1001,'Threshold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Chart'!$B$1:$S$1,0)))),base,IF(OR(cat="Status",pow=0),0,FLOOR(FLOOR(FLOOR((2*XLOOKUP($Q1001,'Threshold Summary'!$Y:$Y,'Threshold Summary'!$L:$L,"")/5+2)*pow*atk/def)/50)+2)),modifier,stab*eff,AVERAGE(ARRAYFORMULA(FLOOR(base*modifier*SEQUENCE(16,1,85,1)/100)))/(FLOOR(((2*XLOOKUP('Boss Editor'!$C$4,'Pokemon Editor'!$A:$A,'Pokemon Editor'!$E:$E,0)+31+FLOOR('Boss Editor'!$G$4/4))*'Boss Editor'!$D$4)/100)+'Boss Editor'!$D$4+10)),0)</f>
        <v/>
      </c>
      <c r="O1001" s="3">
        <f>IF(N1001&gt;=1,"OHKO",IF(N1001&gt;=0.5,"2HKO",IF(N1001&gt;=0.333,"3HKO",IF(N1001&gt;=0.25,"4HKO","5HKO+"))))</f>
        <v/>
      </c>
      <c r="P1001" s="3" t="inlineStr">
        <is>
          <t>Live from editable databases</t>
        </is>
      </c>
      <c r="Q1001" s="3" t="inlineStr">
        <is>
          <t>SPECIES_TINKATINK</t>
        </is>
      </c>
      <c r="R1001" s="3" t="n">
        <v>8</v>
      </c>
    </row>
    <row r="1002">
      <c r="A1002" s="3">
        <f>XLOOKUP($Q1002,'Threshold Summary'!$Y:$Y,'Threshold Summary'!$A:$A,"")</f>
        <v/>
      </c>
      <c r="B1002" s="3">
        <f>XLOOKUP($Q1002,'Threshold Summary'!$Y:$Y,'Threshold Summary'!$M:$M,"")</f>
        <v/>
      </c>
      <c r="C1002" s="3">
        <f>XLOOKUP($Q1002,'Threshold Summary'!$Y:$Y,'Threshold Summary'!$N:$N,"")</f>
        <v/>
      </c>
      <c r="D1002" s="3">
        <f>IFERROR(INDEX(FILTER('Learnset Editor'!$D$2:$D,'Learnset Editor'!$A$2:$A=XLOOKUP($Q1002,'Threshold Summary'!$Y:$Y,'Threshold Summary'!$K:$K,""),'Learnset Editor'!$C$2:$C&lt;=XLOOKUP($Q1002,'Threshold Summary'!$Y:$Y,'Threshold Summary'!$L:$L,"")),$R1002),"")</f>
        <v/>
      </c>
      <c r="E1002" s="3">
        <f>XLOOKUP(D1002,'Move Editor'!$B:$B,'Move Editor'!$C:$C,"")</f>
        <v/>
      </c>
      <c r="F1002" s="3">
        <f>XLOOKUP(D1002,'Move Editor'!$B:$B,'Move Editor'!$D:$D,"")</f>
        <v/>
      </c>
      <c r="G1002" s="3">
        <f>XLOOKUP(D1002,'Move Editor'!$B:$B,'Move Editor'!$E:$E,0)</f>
        <v/>
      </c>
      <c r="H1002" s="3">
        <f>XLOOKUP(D1002,'Move Editor'!$B:$B,'Move Editor'!$F:$F,0)</f>
        <v/>
      </c>
      <c r="I1002" s="3">
        <f>(INDEX('Type Chart'!$B:$S,MATCH(E1002,'Type Chart'!$A:$A,0),MATCH(XLOOKUP('Boss Editor'!$C$4,'Pokemon Editor'!$A:$A,'Pokemon Editor'!$C:$C,""),'Type Chart'!$B$1:$S$1,0))*IF(XLOOKUP('Boss Editor'!$C$4,'Pokemon Editor'!$A:$A,'Pokemon Editor'!$D:$D,"")="",1,INDEX('Type Chart'!$B:$S,MATCH(E1002,'Type Chart'!$A:$A,0),MATCH(XLOOKUP('Boss Editor'!$C$4,'Pokemon Editor'!$A:$A,'Pokemon Editor'!$D:$D,""),'Type Chart'!$B$1:$S$1,0))))</f>
        <v/>
      </c>
      <c r="J1002" s="3">
        <f>IFERROR(LET(mtype,XLOOKUP($D1002,'Move Editor'!$B:$B,'Move Editor'!$C:$C,""),cat,XLOOKUP($D1002,'Move Editor'!$B:$B,'Move Editor'!$D:$D,""),pow,XLOOKUP($D1002,'Move Editor'!$B:$B,'Move Editor'!$E:$E,0),acc,XLOOKUP($D1002,'Move Editor'!$B:$B,'Move Editor'!$F:$F,100),atk,IF(cat="Physical",FLOOR((FLOOR(((2*XLOOKUP(XLOOKUP($Q1002,'Threshold Summary'!$Y:$Y,'Threshold Summary'!$K:$K,""),'Pokemon Editor'!$A:$A,'Pokemon Editor'!$F:$F,0)+31+FLOOR(XLOOKUP($Q1002,'Threshold Summary'!$Y:$Y,'Threshold Summary'!$P:$P,"")/4))*XLOOKUP($Q1002,'Threshold Summary'!$Y:$Y,'Threshold Summary'!$L:$L,""))/100)+5)*XLOOKUP(XLOOKUP($Q1002,'Threshold Summary'!$Y:$Y,'Threshold Summary'!$M:$M,""),'Nature Editor'!$A:$A,'Nature Editor'!$B:$B,1)),FLOOR((FLOOR(((2*XLOOKUP(XLOOKUP($Q1002,'Threshold Summary'!$Y:$Y,'Threshold Summary'!$K:$K,""),'Pokemon Editor'!$A:$A,'Pokemon Editor'!$H:$H,0)+31+FLOOR(XLOOKUP($Q1002,'Threshold Summary'!$Y:$Y,'Threshold Summary'!$R:$R,"")/4))*XLOOKUP($Q1002,'Threshold Summary'!$Y:$Y,'Threshold Summary'!$L:$L,""))/100)+5)*XLOOKUP(XLOOKUP($Q1002,'Threshold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Editor'!$E:$E,1))),stab,IF(OR(mtype=XLOOKUP(XLOOKUP($Q1002,'Threshold Summary'!$Y:$Y,'Threshold Summary'!$K:$K,""),'Pokemon Editor'!$A:$A,'Pokemon Editor'!$C:$C,""),mtype=XLOOKUP(XLOOKUP($Q1002,'Threshold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Chart'!$B$1:$S$1,0)))),base,IF(OR(cat="Status",pow=0),0,FLOOR(FLOOR(FLOOR((2*XLOOKUP($Q1002,'Threshold Summary'!$Y:$Y,'Threshold Summary'!$L:$L,"")/5+2)*pow*atk/def)/50)+2)),modifier,stab*eff,FLOOR(base*modifier*0.85)),0)</f>
        <v/>
      </c>
      <c r="K1002" s="3">
        <f>IFERROR(LET(mtype,XLOOKUP($D1002,'Move Editor'!$B:$B,'Move Editor'!$C:$C,""),cat,XLOOKUP($D1002,'Move Editor'!$B:$B,'Move Editor'!$D:$D,""),pow,XLOOKUP($D1002,'Move Editor'!$B:$B,'Move Editor'!$E:$E,0),acc,XLOOKUP($D1002,'Move Editor'!$B:$B,'Move Editor'!$F:$F,100),atk,IF(cat="Physical",FLOOR((FLOOR(((2*XLOOKUP(XLOOKUP($Q1002,'Threshold Summary'!$Y:$Y,'Threshold Summary'!$K:$K,""),'Pokemon Editor'!$A:$A,'Pokemon Editor'!$F:$F,0)+31+FLOOR(XLOOKUP($Q1002,'Threshold Summary'!$Y:$Y,'Threshold Summary'!$P:$P,"")/4))*XLOOKUP($Q1002,'Threshold Summary'!$Y:$Y,'Threshold Summary'!$L:$L,""))/100)+5)*XLOOKUP(XLOOKUP($Q1002,'Threshold Summary'!$Y:$Y,'Threshold Summary'!$M:$M,""),'Nature Editor'!$A:$A,'Nature Editor'!$B:$B,1)),FLOOR((FLOOR(((2*XLOOKUP(XLOOKUP($Q1002,'Threshold Summary'!$Y:$Y,'Threshold Summary'!$K:$K,""),'Pokemon Editor'!$A:$A,'Pokemon Editor'!$H:$H,0)+31+FLOOR(XLOOKUP($Q1002,'Threshold Summary'!$Y:$Y,'Threshold Summary'!$R:$R,"")/4))*XLOOKUP($Q1002,'Threshold Summary'!$Y:$Y,'Threshold Summary'!$L:$L,""))/100)+5)*XLOOKUP(XLOOKUP($Q1002,'Threshold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Editor'!$E:$E,1))),stab,IF(OR(mtype=XLOOKUP(XLOOKUP($Q1002,'Threshold Summary'!$Y:$Y,'Threshold Summary'!$K:$K,""),'Pokemon Editor'!$A:$A,'Pokemon Editor'!$C:$C,""),mtype=XLOOKUP(XLOOKUP($Q1002,'Threshold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Chart'!$B$1:$S$1,0)))),base,IF(OR(cat="Status",pow=0),0,FLOOR(FLOOR(FLOOR((2*XLOOKUP($Q1002,'Threshold Summary'!$Y:$Y,'Threshold Summary'!$L:$L,"")/5+2)*pow*atk/def)/50)+2)),modifier,stab*eff,FLOOR(base*modifier)),0)</f>
        <v/>
      </c>
      <c r="L1002" s="3">
        <f>IFERROR(LET(mtype,XLOOKUP($D1002,'Move Editor'!$B:$B,'Move Editor'!$C:$C,""),cat,XLOOKUP($D1002,'Move Editor'!$B:$B,'Move Editor'!$D:$D,""),pow,XLOOKUP($D1002,'Move Editor'!$B:$B,'Move Editor'!$E:$E,0),acc,XLOOKUP($D1002,'Move Editor'!$B:$B,'Move Editor'!$F:$F,100),atk,IF(cat="Physical",FLOOR((FLOOR(((2*XLOOKUP(XLOOKUP($Q1002,'Threshold Summary'!$Y:$Y,'Threshold Summary'!$K:$K,""),'Pokemon Editor'!$A:$A,'Pokemon Editor'!$F:$F,0)+31+FLOOR(XLOOKUP($Q1002,'Threshold Summary'!$Y:$Y,'Threshold Summary'!$P:$P,"")/4))*XLOOKUP($Q1002,'Threshold Summary'!$Y:$Y,'Threshold Summary'!$L:$L,""))/100)+5)*XLOOKUP(XLOOKUP($Q1002,'Threshold Summary'!$Y:$Y,'Threshold Summary'!$M:$M,""),'Nature Editor'!$A:$A,'Nature Editor'!$B:$B,1)),FLOOR((FLOOR(((2*XLOOKUP(XLOOKUP($Q1002,'Threshold Summary'!$Y:$Y,'Threshold Summary'!$K:$K,""),'Pokemon Editor'!$A:$A,'Pokemon Editor'!$H:$H,0)+31+FLOOR(XLOOKUP($Q1002,'Threshold Summary'!$Y:$Y,'Threshold Summary'!$R:$R,"")/4))*XLOOKUP($Q1002,'Threshold Summary'!$Y:$Y,'Threshold Summary'!$L:$L,""))/100)+5)*XLOOKUP(XLOOKUP($Q1002,'Threshold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Editor'!$E:$E,1))),stab,IF(OR(mtype=XLOOKUP(XLOOKUP($Q1002,'Threshold Summary'!$Y:$Y,'Threshold Summary'!$K:$K,""),'Pokemon Editor'!$A:$A,'Pokemon Editor'!$C:$C,""),mtype=XLOOKUP(XLOOKUP($Q1002,'Threshold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Chart'!$B$1:$S$1,0)))),base,IF(OR(cat="Status",pow=0),0,FLOOR(FLOOR(FLOOR((2*XLOOKUP($Q1002,'Threshold Summary'!$Y:$Y,'Threshold Summary'!$L:$L,"")/5+2)*pow*atk/def)/50)+2)),modifier,stab*eff,AVERAGE(ARRAYFORMULA(FLOOR(base*modifier*SEQUENCE(16,1,85,1)/100)))),0)</f>
        <v/>
      </c>
      <c r="M1002" s="3">
        <f>IFERROR(LET(mtype,XLOOKUP($D1002,'Move Editor'!$B:$B,'Move Editor'!$C:$C,""),cat,XLOOKUP($D1002,'Move Editor'!$B:$B,'Move Editor'!$D:$D,""),pow,XLOOKUP($D1002,'Move Editor'!$B:$B,'Move Editor'!$E:$E,0),acc,XLOOKUP($D1002,'Move Editor'!$B:$B,'Move Editor'!$F:$F,100),atk,IF(cat="Physical",FLOOR((FLOOR(((2*XLOOKUP(XLOOKUP($Q1002,'Threshold Summary'!$Y:$Y,'Threshold Summary'!$K:$K,""),'Pokemon Editor'!$A:$A,'Pokemon Editor'!$F:$F,0)+31+FLOOR(XLOOKUP($Q1002,'Threshold Summary'!$Y:$Y,'Threshold Summary'!$P:$P,"")/4))*XLOOKUP($Q1002,'Threshold Summary'!$Y:$Y,'Threshold Summary'!$L:$L,""))/100)+5)*XLOOKUP(XLOOKUP($Q1002,'Threshold Summary'!$Y:$Y,'Threshold Summary'!$M:$M,""),'Nature Editor'!$A:$A,'Nature Editor'!$B:$B,1)),FLOOR((FLOOR(((2*XLOOKUP(XLOOKUP($Q1002,'Threshold Summary'!$Y:$Y,'Threshold Summary'!$K:$K,""),'Pokemon Editor'!$A:$A,'Pokemon Editor'!$H:$H,0)+31+FLOOR(XLOOKUP($Q1002,'Threshold Summary'!$Y:$Y,'Threshold Summary'!$R:$R,"")/4))*XLOOKUP($Q1002,'Threshold Summary'!$Y:$Y,'Threshold Summary'!$L:$L,""))/100)+5)*XLOOKUP(XLOOKUP($Q1002,'Threshold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Editor'!$E:$E,1))),stab,IF(OR(mtype=XLOOKUP(XLOOKUP($Q1002,'Threshold Summary'!$Y:$Y,'Threshold Summary'!$K:$K,""),'Pokemon Editor'!$A:$A,'Pokemon Editor'!$C:$C,""),mtype=XLOOKUP(XLOOKUP($Q1002,'Threshold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Chart'!$B$1:$S$1,0)))),base,IF(OR(cat="Status",pow=0),0,FLOOR(FLOOR(FLOOR((2*XLOOKUP($Q1002,'Threshold Summary'!$Y:$Y,'Threshold Summary'!$L:$L,"")/5+2)*pow*atk/def)/50)+2)),modifier,stab*eff,AVERAGE(ARRAYFORMULA(FLOOR(base*modifier*SEQUENCE(16,1,85,1)/100)))*MIN(1,acc/100)),0)</f>
        <v/>
      </c>
      <c r="N1002" s="4">
        <f>IFERROR(LET(mtype,XLOOKUP($D1002,'Move Editor'!$B:$B,'Move Editor'!$C:$C,""),cat,XLOOKUP($D1002,'Move Editor'!$B:$B,'Move Editor'!$D:$D,""),pow,XLOOKUP($D1002,'Move Editor'!$B:$B,'Move Editor'!$E:$E,0),acc,XLOOKUP($D1002,'Move Editor'!$B:$B,'Move Editor'!$F:$F,100),atk,IF(cat="Physical",FLOOR((FLOOR(((2*XLOOKUP(XLOOKUP($Q1002,'Threshold Summary'!$Y:$Y,'Threshold Summary'!$K:$K,""),'Pokemon Editor'!$A:$A,'Pokemon Editor'!$F:$F,0)+31+FLOOR(XLOOKUP($Q1002,'Threshold Summary'!$Y:$Y,'Threshold Summary'!$P:$P,"")/4))*XLOOKUP($Q1002,'Threshold Summary'!$Y:$Y,'Threshold Summary'!$L:$L,""))/100)+5)*XLOOKUP(XLOOKUP($Q1002,'Threshold Summary'!$Y:$Y,'Threshold Summary'!$M:$M,""),'Nature Editor'!$A:$A,'Nature Editor'!$B:$B,1)),FLOOR((FLOOR(((2*XLOOKUP(XLOOKUP($Q1002,'Threshold Summary'!$Y:$Y,'Threshold Summary'!$K:$K,""),'Pokemon Editor'!$A:$A,'Pokemon Editor'!$H:$H,0)+31+FLOOR(XLOOKUP($Q1002,'Threshold Summary'!$Y:$Y,'Threshold Summary'!$R:$R,"")/4))*XLOOKUP($Q1002,'Threshold Summary'!$Y:$Y,'Threshold Summary'!$L:$L,""))/100)+5)*XLOOKUP(XLOOKUP($Q1002,'Threshold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Editor'!$E:$E,1))),stab,IF(OR(mtype=XLOOKUP(XLOOKUP($Q1002,'Threshold Summary'!$Y:$Y,'Threshold Summary'!$K:$K,""),'Pokemon Editor'!$A:$A,'Pokemon Editor'!$C:$C,""),mtype=XLOOKUP(XLOOKUP($Q1002,'Threshold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Chart'!$B$1:$S$1,0)))),base,IF(OR(cat="Status",pow=0),0,FLOOR(FLOOR(FLOOR((2*XLOOKUP($Q1002,'Threshold Summary'!$Y:$Y,'Threshold Summary'!$L:$L,"")/5+2)*pow*atk/def)/50)+2)),modifier,stab*eff,AVERAGE(ARRAYFORMULA(FLOOR(base*modifier*SEQUENCE(16,1,85,1)/100)))/(FLOOR(((2*XLOOKUP('Boss Editor'!$C$4,'Pokemon Editor'!$A:$A,'Pokemon Editor'!$E:$E,0)+31+FLOOR('Boss Editor'!$G$4/4))*'Boss Editor'!$D$4)/100)+'Boss Editor'!$D$4+10)),0)</f>
        <v/>
      </c>
      <c r="O1002" s="3">
        <f>IF(N1002&gt;=1,"OHKO",IF(N1002&gt;=0.5,"2HKO",IF(N1002&gt;=0.333,"3HKO",IF(N1002&gt;=0.25,"4HKO","5HKO+"))))</f>
        <v/>
      </c>
      <c r="P1002" s="3" t="inlineStr">
        <is>
          <t>Live from editable databases</t>
        </is>
      </c>
      <c r="Q1002" s="3" t="inlineStr">
        <is>
          <t>SPECIES_TINKATINK</t>
        </is>
      </c>
      <c r="R1002" s="3" t="n">
        <v>9</v>
      </c>
    </row>
    <row r="1003">
      <c r="A1003" s="3">
        <f>XLOOKUP($Q1003,'Threshold Summary'!$Y:$Y,'Threshold Summary'!$A:$A,"")</f>
        <v/>
      </c>
      <c r="B1003" s="3">
        <f>XLOOKUP($Q1003,'Threshold Summary'!$Y:$Y,'Threshold Summary'!$M:$M,"")</f>
        <v/>
      </c>
      <c r="C1003" s="3">
        <f>XLOOKUP($Q1003,'Threshold Summary'!$Y:$Y,'Threshold Summary'!$N:$N,"")</f>
        <v/>
      </c>
      <c r="D1003" s="3">
        <f>IFERROR(INDEX(FILTER('Learnset Editor'!$D$2:$D,'Learnset Editor'!$A$2:$A=XLOOKUP($Q1003,'Threshold Summary'!$Y:$Y,'Threshold Summary'!$K:$K,""),'Learnset Editor'!$C$2:$C&lt;=XLOOKUP($Q1003,'Threshold Summary'!$Y:$Y,'Threshold Summary'!$L:$L,"")),$R1003),"")</f>
        <v/>
      </c>
      <c r="E1003" s="3">
        <f>XLOOKUP(D1003,'Move Editor'!$B:$B,'Move Editor'!$C:$C,"")</f>
        <v/>
      </c>
      <c r="F1003" s="3">
        <f>XLOOKUP(D1003,'Move Editor'!$B:$B,'Move Editor'!$D:$D,"")</f>
        <v/>
      </c>
      <c r="G1003" s="3">
        <f>XLOOKUP(D1003,'Move Editor'!$B:$B,'Move Editor'!$E:$E,0)</f>
        <v/>
      </c>
      <c r="H1003" s="3">
        <f>XLOOKUP(D1003,'Move Editor'!$B:$B,'Move Editor'!$F:$F,0)</f>
        <v/>
      </c>
      <c r="I1003" s="3">
        <f>(INDEX('Type Chart'!$B:$S,MATCH(E1003,'Type Chart'!$A:$A,0),MATCH(XLOOKUP('Boss Editor'!$C$4,'Pokemon Editor'!$A:$A,'Pokemon Editor'!$C:$C,""),'Type Chart'!$B$1:$S$1,0))*IF(XLOOKUP('Boss Editor'!$C$4,'Pokemon Editor'!$A:$A,'Pokemon Editor'!$D:$D,"")="",1,INDEX('Type Chart'!$B:$S,MATCH(E1003,'Type Chart'!$A:$A,0),MATCH(XLOOKUP('Boss Editor'!$C$4,'Pokemon Editor'!$A:$A,'Pokemon Editor'!$D:$D,""),'Type Chart'!$B$1:$S$1,0))))</f>
        <v/>
      </c>
      <c r="J1003" s="3">
        <f>IFERROR(LET(mtype,XLOOKUP($D1003,'Move Editor'!$B:$B,'Move Editor'!$C:$C,""),cat,XLOOKUP($D1003,'Move Editor'!$B:$B,'Move Editor'!$D:$D,""),pow,XLOOKUP($D1003,'Move Editor'!$B:$B,'Move Editor'!$E:$E,0),acc,XLOOKUP($D1003,'Move Editor'!$B:$B,'Move Editor'!$F:$F,100),atk,IF(cat="Physical",FLOOR((FLOOR(((2*XLOOKUP(XLOOKUP($Q1003,'Threshold Summary'!$Y:$Y,'Threshold Summary'!$K:$K,""),'Pokemon Editor'!$A:$A,'Pokemon Editor'!$F:$F,0)+31+FLOOR(XLOOKUP($Q1003,'Threshold Summary'!$Y:$Y,'Threshold Summary'!$P:$P,"")/4))*XLOOKUP($Q1003,'Threshold Summary'!$Y:$Y,'Threshold Summary'!$L:$L,""))/100)+5)*XLOOKUP(XLOOKUP($Q1003,'Threshold Summary'!$Y:$Y,'Threshold Summary'!$M:$M,""),'Nature Editor'!$A:$A,'Nature Editor'!$B:$B,1)),FLOOR((FLOOR(((2*XLOOKUP(XLOOKUP($Q1003,'Threshold Summary'!$Y:$Y,'Threshold Summary'!$K:$K,""),'Pokemon Editor'!$A:$A,'Pokemon Editor'!$H:$H,0)+31+FLOOR(XLOOKUP($Q1003,'Threshold Summary'!$Y:$Y,'Threshold Summary'!$R:$R,"")/4))*XLOOKUP($Q1003,'Threshold Summary'!$Y:$Y,'Threshold Summary'!$L:$L,""))/100)+5)*XLOOKUP(XLOOKUP($Q1003,'Threshold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Editor'!$E:$E,1))),stab,IF(OR(mtype=XLOOKUP(XLOOKUP($Q1003,'Threshold Summary'!$Y:$Y,'Threshold Summary'!$K:$K,""),'Pokemon Editor'!$A:$A,'Pokemon Editor'!$C:$C,""),mtype=XLOOKUP(XLOOKUP($Q1003,'Threshold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Chart'!$B$1:$S$1,0)))),base,IF(OR(cat="Status",pow=0),0,FLOOR(FLOOR(FLOOR((2*XLOOKUP($Q1003,'Threshold Summary'!$Y:$Y,'Threshold Summary'!$L:$L,"")/5+2)*pow*atk/def)/50)+2)),modifier,stab*eff,FLOOR(base*modifier*0.85)),0)</f>
        <v/>
      </c>
      <c r="K1003" s="3">
        <f>IFERROR(LET(mtype,XLOOKUP($D1003,'Move Editor'!$B:$B,'Move Editor'!$C:$C,""),cat,XLOOKUP($D1003,'Move Editor'!$B:$B,'Move Editor'!$D:$D,""),pow,XLOOKUP($D1003,'Move Editor'!$B:$B,'Move Editor'!$E:$E,0),acc,XLOOKUP($D1003,'Move Editor'!$B:$B,'Move Editor'!$F:$F,100),atk,IF(cat="Physical",FLOOR((FLOOR(((2*XLOOKUP(XLOOKUP($Q1003,'Threshold Summary'!$Y:$Y,'Threshold Summary'!$K:$K,""),'Pokemon Editor'!$A:$A,'Pokemon Editor'!$F:$F,0)+31+FLOOR(XLOOKUP($Q1003,'Threshold Summary'!$Y:$Y,'Threshold Summary'!$P:$P,"")/4))*XLOOKUP($Q1003,'Threshold Summary'!$Y:$Y,'Threshold Summary'!$L:$L,""))/100)+5)*XLOOKUP(XLOOKUP($Q1003,'Threshold Summary'!$Y:$Y,'Threshold Summary'!$M:$M,""),'Nature Editor'!$A:$A,'Nature Editor'!$B:$B,1)),FLOOR((FLOOR(((2*XLOOKUP(XLOOKUP($Q1003,'Threshold Summary'!$Y:$Y,'Threshold Summary'!$K:$K,""),'Pokemon Editor'!$A:$A,'Pokemon Editor'!$H:$H,0)+31+FLOOR(XLOOKUP($Q1003,'Threshold Summary'!$Y:$Y,'Threshold Summary'!$R:$R,"")/4))*XLOOKUP($Q1003,'Threshold Summary'!$Y:$Y,'Threshold Summary'!$L:$L,""))/100)+5)*XLOOKUP(XLOOKUP($Q1003,'Threshold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Editor'!$E:$E,1))),stab,IF(OR(mtype=XLOOKUP(XLOOKUP($Q1003,'Threshold Summary'!$Y:$Y,'Threshold Summary'!$K:$K,""),'Pokemon Editor'!$A:$A,'Pokemon Editor'!$C:$C,""),mtype=XLOOKUP(XLOOKUP($Q1003,'Threshold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Chart'!$B$1:$S$1,0)))),base,IF(OR(cat="Status",pow=0),0,FLOOR(FLOOR(FLOOR((2*XLOOKUP($Q1003,'Threshold Summary'!$Y:$Y,'Threshold Summary'!$L:$L,"")/5+2)*pow*atk/def)/50)+2)),modifier,stab*eff,FLOOR(base*modifier)),0)</f>
        <v/>
      </c>
      <c r="L1003" s="3">
        <f>IFERROR(LET(mtype,XLOOKUP($D1003,'Move Editor'!$B:$B,'Move Editor'!$C:$C,""),cat,XLOOKUP($D1003,'Move Editor'!$B:$B,'Move Editor'!$D:$D,""),pow,XLOOKUP($D1003,'Move Editor'!$B:$B,'Move Editor'!$E:$E,0),acc,XLOOKUP($D1003,'Move Editor'!$B:$B,'Move Editor'!$F:$F,100),atk,IF(cat="Physical",FLOOR((FLOOR(((2*XLOOKUP(XLOOKUP($Q1003,'Threshold Summary'!$Y:$Y,'Threshold Summary'!$K:$K,""),'Pokemon Editor'!$A:$A,'Pokemon Editor'!$F:$F,0)+31+FLOOR(XLOOKUP($Q1003,'Threshold Summary'!$Y:$Y,'Threshold Summary'!$P:$P,"")/4))*XLOOKUP($Q1003,'Threshold Summary'!$Y:$Y,'Threshold Summary'!$L:$L,""))/100)+5)*XLOOKUP(XLOOKUP($Q1003,'Threshold Summary'!$Y:$Y,'Threshold Summary'!$M:$M,""),'Nature Editor'!$A:$A,'Nature Editor'!$B:$B,1)),FLOOR((FLOOR(((2*XLOOKUP(XLOOKUP($Q1003,'Threshold Summary'!$Y:$Y,'Threshold Summary'!$K:$K,""),'Pokemon Editor'!$A:$A,'Pokemon Editor'!$H:$H,0)+31+FLOOR(XLOOKUP($Q1003,'Threshold Summary'!$Y:$Y,'Threshold Summary'!$R:$R,"")/4))*XLOOKUP($Q1003,'Threshold Summary'!$Y:$Y,'Threshold Summary'!$L:$L,""))/100)+5)*XLOOKUP(XLOOKUP($Q1003,'Threshold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Editor'!$E:$E,1))),stab,IF(OR(mtype=XLOOKUP(XLOOKUP($Q1003,'Threshold Summary'!$Y:$Y,'Threshold Summary'!$K:$K,""),'Pokemon Editor'!$A:$A,'Pokemon Editor'!$C:$C,""),mtype=XLOOKUP(XLOOKUP($Q1003,'Threshold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Chart'!$B$1:$S$1,0)))),base,IF(OR(cat="Status",pow=0),0,FLOOR(FLOOR(FLOOR((2*XLOOKUP($Q1003,'Threshold Summary'!$Y:$Y,'Threshold Summary'!$L:$L,"")/5+2)*pow*atk/def)/50)+2)),modifier,stab*eff,AVERAGE(ARRAYFORMULA(FLOOR(base*modifier*SEQUENCE(16,1,85,1)/100)))),0)</f>
        <v/>
      </c>
      <c r="M1003" s="3">
        <f>IFERROR(LET(mtype,XLOOKUP($D1003,'Move Editor'!$B:$B,'Move Editor'!$C:$C,""),cat,XLOOKUP($D1003,'Move Editor'!$B:$B,'Move Editor'!$D:$D,""),pow,XLOOKUP($D1003,'Move Editor'!$B:$B,'Move Editor'!$E:$E,0),acc,XLOOKUP($D1003,'Move Editor'!$B:$B,'Move Editor'!$F:$F,100),atk,IF(cat="Physical",FLOOR((FLOOR(((2*XLOOKUP(XLOOKUP($Q1003,'Threshold Summary'!$Y:$Y,'Threshold Summary'!$K:$K,""),'Pokemon Editor'!$A:$A,'Pokemon Editor'!$F:$F,0)+31+FLOOR(XLOOKUP($Q1003,'Threshold Summary'!$Y:$Y,'Threshold Summary'!$P:$P,"")/4))*XLOOKUP($Q1003,'Threshold Summary'!$Y:$Y,'Threshold Summary'!$L:$L,""))/100)+5)*XLOOKUP(XLOOKUP($Q1003,'Threshold Summary'!$Y:$Y,'Threshold Summary'!$M:$M,""),'Nature Editor'!$A:$A,'Nature Editor'!$B:$B,1)),FLOOR((FLOOR(((2*XLOOKUP(XLOOKUP($Q1003,'Threshold Summary'!$Y:$Y,'Threshold Summary'!$K:$K,""),'Pokemon Editor'!$A:$A,'Pokemon Editor'!$H:$H,0)+31+FLOOR(XLOOKUP($Q1003,'Threshold Summary'!$Y:$Y,'Threshold Summary'!$R:$R,"")/4))*XLOOKUP($Q1003,'Threshold Summary'!$Y:$Y,'Threshold Summary'!$L:$L,""))/100)+5)*XLOOKUP(XLOOKUP($Q1003,'Threshold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Editor'!$E:$E,1))),stab,IF(OR(mtype=XLOOKUP(XLOOKUP($Q1003,'Threshold Summary'!$Y:$Y,'Threshold Summary'!$K:$K,""),'Pokemon Editor'!$A:$A,'Pokemon Editor'!$C:$C,""),mtype=XLOOKUP(XLOOKUP($Q1003,'Threshold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Chart'!$B$1:$S$1,0)))),base,IF(OR(cat="Status",pow=0),0,FLOOR(FLOOR(FLOOR((2*XLOOKUP($Q1003,'Threshold Summary'!$Y:$Y,'Threshold Summary'!$L:$L,"")/5+2)*pow*atk/def)/50)+2)),modifier,stab*eff,AVERAGE(ARRAYFORMULA(FLOOR(base*modifier*SEQUENCE(16,1,85,1)/100)))*MIN(1,acc/100)),0)</f>
        <v/>
      </c>
      <c r="N1003" s="4">
        <f>IFERROR(LET(mtype,XLOOKUP($D1003,'Move Editor'!$B:$B,'Move Editor'!$C:$C,""),cat,XLOOKUP($D1003,'Move Editor'!$B:$B,'Move Editor'!$D:$D,""),pow,XLOOKUP($D1003,'Move Editor'!$B:$B,'Move Editor'!$E:$E,0),acc,XLOOKUP($D1003,'Move Editor'!$B:$B,'Move Editor'!$F:$F,100),atk,IF(cat="Physical",FLOOR((FLOOR(((2*XLOOKUP(XLOOKUP($Q1003,'Threshold Summary'!$Y:$Y,'Threshold Summary'!$K:$K,""),'Pokemon Editor'!$A:$A,'Pokemon Editor'!$F:$F,0)+31+FLOOR(XLOOKUP($Q1003,'Threshold Summary'!$Y:$Y,'Threshold Summary'!$P:$P,"")/4))*XLOOKUP($Q1003,'Threshold Summary'!$Y:$Y,'Threshold Summary'!$L:$L,""))/100)+5)*XLOOKUP(XLOOKUP($Q1003,'Threshold Summary'!$Y:$Y,'Threshold Summary'!$M:$M,""),'Nature Editor'!$A:$A,'Nature Editor'!$B:$B,1)),FLOOR((FLOOR(((2*XLOOKUP(XLOOKUP($Q1003,'Threshold Summary'!$Y:$Y,'Threshold Summary'!$K:$K,""),'Pokemon Editor'!$A:$A,'Pokemon Editor'!$H:$H,0)+31+FLOOR(XLOOKUP($Q1003,'Threshold Summary'!$Y:$Y,'Threshold Summary'!$R:$R,"")/4))*XLOOKUP($Q1003,'Threshold Summary'!$Y:$Y,'Threshold Summary'!$L:$L,""))/100)+5)*XLOOKUP(XLOOKUP($Q1003,'Threshold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Editor'!$E:$E,1))),stab,IF(OR(mtype=XLOOKUP(XLOOKUP($Q1003,'Threshold Summary'!$Y:$Y,'Threshold Summary'!$K:$K,""),'Pokemon Editor'!$A:$A,'Pokemon Editor'!$C:$C,""),mtype=XLOOKUP(XLOOKUP($Q1003,'Threshold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Chart'!$B$1:$S$1,0)))),base,IF(OR(cat="Status",pow=0),0,FLOOR(FLOOR(FLOOR((2*XLOOKUP($Q1003,'Threshold Summary'!$Y:$Y,'Threshold Summary'!$L:$L,"")/5+2)*pow*atk/def)/50)+2)),modifier,stab*eff,AVERAGE(ARRAYFORMULA(FLOOR(base*modifier*SEQUENCE(16,1,85,1)/100)))/(FLOOR(((2*XLOOKUP('Boss Editor'!$C$4,'Pokemon Editor'!$A:$A,'Pokemon Editor'!$E:$E,0)+31+FLOOR('Boss Editor'!$G$4/4))*'Boss Editor'!$D$4)/100)+'Boss Editor'!$D$4+10)),0)</f>
        <v/>
      </c>
      <c r="O1003" s="3">
        <f>IF(N1003&gt;=1,"OHKO",IF(N1003&gt;=0.5,"2HKO",IF(N1003&gt;=0.333,"3HKO",IF(N1003&gt;=0.25,"4HKO","5HKO+"))))</f>
        <v/>
      </c>
      <c r="P1003" s="3" t="inlineStr">
        <is>
          <t>Live from editable databases</t>
        </is>
      </c>
      <c r="Q1003" s="3" t="inlineStr">
        <is>
          <t>SPECIES_TINKATINK</t>
        </is>
      </c>
      <c r="R1003" s="3" t="n">
        <v>10</v>
      </c>
    </row>
    <row r="1004">
      <c r="A1004" s="3">
        <f>XLOOKUP($Q1004,'Threshold Summary'!$Y:$Y,'Threshold Summary'!$A:$A,"")</f>
        <v/>
      </c>
      <c r="B1004" s="3">
        <f>XLOOKUP($Q1004,'Threshold Summary'!$Y:$Y,'Threshold Summary'!$M:$M,"")</f>
        <v/>
      </c>
      <c r="C1004" s="3">
        <f>XLOOKUP($Q1004,'Threshold Summary'!$Y:$Y,'Threshold Summary'!$N:$N,"")</f>
        <v/>
      </c>
      <c r="D1004" s="3">
        <f>IFERROR(INDEX(FILTER('Learnset Editor'!$D$2:$D,'Learnset Editor'!$A$2:$A=XLOOKUP($Q1004,'Threshold Summary'!$Y:$Y,'Threshold Summary'!$K:$K,""),'Learnset Editor'!$C$2:$C&lt;=XLOOKUP($Q1004,'Threshold Summary'!$Y:$Y,'Threshold Summary'!$L:$L,"")),$R1004),"")</f>
        <v/>
      </c>
      <c r="E1004" s="3">
        <f>XLOOKUP(D1004,'Move Editor'!$B:$B,'Move Editor'!$C:$C,"")</f>
        <v/>
      </c>
      <c r="F1004" s="3">
        <f>XLOOKUP(D1004,'Move Editor'!$B:$B,'Move Editor'!$D:$D,"")</f>
        <v/>
      </c>
      <c r="G1004" s="3">
        <f>XLOOKUP(D1004,'Move Editor'!$B:$B,'Move Editor'!$E:$E,0)</f>
        <v/>
      </c>
      <c r="H1004" s="3">
        <f>XLOOKUP(D1004,'Move Editor'!$B:$B,'Move Editor'!$F:$F,0)</f>
        <v/>
      </c>
      <c r="I1004" s="3">
        <f>(INDEX('Type Chart'!$B:$S,MATCH(E1004,'Type Chart'!$A:$A,0),MATCH(XLOOKUP('Boss Editor'!$C$4,'Pokemon Editor'!$A:$A,'Pokemon Editor'!$C:$C,""),'Type Chart'!$B$1:$S$1,0))*IF(XLOOKUP('Boss Editor'!$C$4,'Pokemon Editor'!$A:$A,'Pokemon Editor'!$D:$D,"")="",1,INDEX('Type Chart'!$B:$S,MATCH(E1004,'Type Chart'!$A:$A,0),MATCH(XLOOKUP('Boss Editor'!$C$4,'Pokemon Editor'!$A:$A,'Pokemon Editor'!$D:$D,""),'Type Chart'!$B$1:$S$1,0))))</f>
        <v/>
      </c>
      <c r="J1004" s="3">
        <f>IFERROR(LET(mtype,XLOOKUP($D1004,'Move Editor'!$B:$B,'Move Editor'!$C:$C,""),cat,XLOOKUP($D1004,'Move Editor'!$B:$B,'Move Editor'!$D:$D,""),pow,XLOOKUP($D1004,'Move Editor'!$B:$B,'Move Editor'!$E:$E,0),acc,XLOOKUP($D1004,'Move Editor'!$B:$B,'Move Editor'!$F:$F,100),atk,IF(cat="Physical",FLOOR((FLOOR(((2*XLOOKUP(XLOOKUP($Q1004,'Threshold Summary'!$Y:$Y,'Threshold Summary'!$K:$K,""),'Pokemon Editor'!$A:$A,'Pokemon Editor'!$F:$F,0)+31+FLOOR(XLOOKUP($Q1004,'Threshold Summary'!$Y:$Y,'Threshold Summary'!$P:$P,"")/4))*XLOOKUP($Q1004,'Threshold Summary'!$Y:$Y,'Threshold Summary'!$L:$L,""))/100)+5)*XLOOKUP(XLOOKUP($Q1004,'Threshold Summary'!$Y:$Y,'Threshold Summary'!$M:$M,""),'Nature Editor'!$A:$A,'Nature Editor'!$B:$B,1)),FLOOR((FLOOR(((2*XLOOKUP(XLOOKUP($Q1004,'Threshold Summary'!$Y:$Y,'Threshold Summary'!$K:$K,""),'Pokemon Editor'!$A:$A,'Pokemon Editor'!$H:$H,0)+31+FLOOR(XLOOKUP($Q1004,'Threshold Summary'!$Y:$Y,'Threshold Summary'!$R:$R,"")/4))*XLOOKUP($Q1004,'Threshold Summary'!$Y:$Y,'Threshold Summary'!$L:$L,""))/100)+5)*XLOOKUP(XLOOKUP($Q1004,'Threshold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Editor'!$E:$E,1))),stab,IF(OR(mtype=XLOOKUP(XLOOKUP($Q1004,'Threshold Summary'!$Y:$Y,'Threshold Summary'!$K:$K,""),'Pokemon Editor'!$A:$A,'Pokemon Editor'!$C:$C,""),mtype=XLOOKUP(XLOOKUP($Q1004,'Threshold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Chart'!$B$1:$S$1,0)))),base,IF(OR(cat="Status",pow=0),0,FLOOR(FLOOR(FLOOR((2*XLOOKUP($Q1004,'Threshold Summary'!$Y:$Y,'Threshold Summary'!$L:$L,"")/5+2)*pow*atk/def)/50)+2)),modifier,stab*eff,FLOOR(base*modifier*0.85)),0)</f>
        <v/>
      </c>
      <c r="K1004" s="3">
        <f>IFERROR(LET(mtype,XLOOKUP($D1004,'Move Editor'!$B:$B,'Move Editor'!$C:$C,""),cat,XLOOKUP($D1004,'Move Editor'!$B:$B,'Move Editor'!$D:$D,""),pow,XLOOKUP($D1004,'Move Editor'!$B:$B,'Move Editor'!$E:$E,0),acc,XLOOKUP($D1004,'Move Editor'!$B:$B,'Move Editor'!$F:$F,100),atk,IF(cat="Physical",FLOOR((FLOOR(((2*XLOOKUP(XLOOKUP($Q1004,'Threshold Summary'!$Y:$Y,'Threshold Summary'!$K:$K,""),'Pokemon Editor'!$A:$A,'Pokemon Editor'!$F:$F,0)+31+FLOOR(XLOOKUP($Q1004,'Threshold Summary'!$Y:$Y,'Threshold Summary'!$P:$P,"")/4))*XLOOKUP($Q1004,'Threshold Summary'!$Y:$Y,'Threshold Summary'!$L:$L,""))/100)+5)*XLOOKUP(XLOOKUP($Q1004,'Threshold Summary'!$Y:$Y,'Threshold Summary'!$M:$M,""),'Nature Editor'!$A:$A,'Nature Editor'!$B:$B,1)),FLOOR((FLOOR(((2*XLOOKUP(XLOOKUP($Q1004,'Threshold Summary'!$Y:$Y,'Threshold Summary'!$K:$K,""),'Pokemon Editor'!$A:$A,'Pokemon Editor'!$H:$H,0)+31+FLOOR(XLOOKUP($Q1004,'Threshold Summary'!$Y:$Y,'Threshold Summary'!$R:$R,"")/4))*XLOOKUP($Q1004,'Threshold Summary'!$Y:$Y,'Threshold Summary'!$L:$L,""))/100)+5)*XLOOKUP(XLOOKUP($Q1004,'Threshold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Editor'!$E:$E,1))),stab,IF(OR(mtype=XLOOKUP(XLOOKUP($Q1004,'Threshold Summary'!$Y:$Y,'Threshold Summary'!$K:$K,""),'Pokemon Editor'!$A:$A,'Pokemon Editor'!$C:$C,""),mtype=XLOOKUP(XLOOKUP($Q1004,'Threshold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Chart'!$B$1:$S$1,0)))),base,IF(OR(cat="Status",pow=0),0,FLOOR(FLOOR(FLOOR((2*XLOOKUP($Q1004,'Threshold Summary'!$Y:$Y,'Threshold Summary'!$L:$L,"")/5+2)*pow*atk/def)/50)+2)),modifier,stab*eff,FLOOR(base*modifier)),0)</f>
        <v/>
      </c>
      <c r="L1004" s="3">
        <f>IFERROR(LET(mtype,XLOOKUP($D1004,'Move Editor'!$B:$B,'Move Editor'!$C:$C,""),cat,XLOOKUP($D1004,'Move Editor'!$B:$B,'Move Editor'!$D:$D,""),pow,XLOOKUP($D1004,'Move Editor'!$B:$B,'Move Editor'!$E:$E,0),acc,XLOOKUP($D1004,'Move Editor'!$B:$B,'Move Editor'!$F:$F,100),atk,IF(cat="Physical",FLOOR((FLOOR(((2*XLOOKUP(XLOOKUP($Q1004,'Threshold Summary'!$Y:$Y,'Threshold Summary'!$K:$K,""),'Pokemon Editor'!$A:$A,'Pokemon Editor'!$F:$F,0)+31+FLOOR(XLOOKUP($Q1004,'Threshold Summary'!$Y:$Y,'Threshold Summary'!$P:$P,"")/4))*XLOOKUP($Q1004,'Threshold Summary'!$Y:$Y,'Threshold Summary'!$L:$L,""))/100)+5)*XLOOKUP(XLOOKUP($Q1004,'Threshold Summary'!$Y:$Y,'Threshold Summary'!$M:$M,""),'Nature Editor'!$A:$A,'Nature Editor'!$B:$B,1)),FLOOR((FLOOR(((2*XLOOKUP(XLOOKUP($Q1004,'Threshold Summary'!$Y:$Y,'Threshold Summary'!$K:$K,""),'Pokemon Editor'!$A:$A,'Pokemon Editor'!$H:$H,0)+31+FLOOR(XLOOKUP($Q1004,'Threshold Summary'!$Y:$Y,'Threshold Summary'!$R:$R,"")/4))*XLOOKUP($Q1004,'Threshold Summary'!$Y:$Y,'Threshold Summary'!$L:$L,""))/100)+5)*XLOOKUP(XLOOKUP($Q1004,'Threshold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Editor'!$E:$E,1))),stab,IF(OR(mtype=XLOOKUP(XLOOKUP($Q1004,'Threshold Summary'!$Y:$Y,'Threshold Summary'!$K:$K,""),'Pokemon Editor'!$A:$A,'Pokemon Editor'!$C:$C,""),mtype=XLOOKUP(XLOOKUP($Q1004,'Threshold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Chart'!$B$1:$S$1,0)))),base,IF(OR(cat="Status",pow=0),0,FLOOR(FLOOR(FLOOR((2*XLOOKUP($Q1004,'Threshold Summary'!$Y:$Y,'Threshold Summary'!$L:$L,"")/5+2)*pow*atk/def)/50)+2)),modifier,stab*eff,AVERAGE(ARRAYFORMULA(FLOOR(base*modifier*SEQUENCE(16,1,85,1)/100)))),0)</f>
        <v/>
      </c>
      <c r="M1004" s="3">
        <f>IFERROR(LET(mtype,XLOOKUP($D1004,'Move Editor'!$B:$B,'Move Editor'!$C:$C,""),cat,XLOOKUP($D1004,'Move Editor'!$B:$B,'Move Editor'!$D:$D,""),pow,XLOOKUP($D1004,'Move Editor'!$B:$B,'Move Editor'!$E:$E,0),acc,XLOOKUP($D1004,'Move Editor'!$B:$B,'Move Editor'!$F:$F,100),atk,IF(cat="Physical",FLOOR((FLOOR(((2*XLOOKUP(XLOOKUP($Q1004,'Threshold Summary'!$Y:$Y,'Threshold Summary'!$K:$K,""),'Pokemon Editor'!$A:$A,'Pokemon Editor'!$F:$F,0)+31+FLOOR(XLOOKUP($Q1004,'Threshold Summary'!$Y:$Y,'Threshold Summary'!$P:$P,"")/4))*XLOOKUP($Q1004,'Threshold Summary'!$Y:$Y,'Threshold Summary'!$L:$L,""))/100)+5)*XLOOKUP(XLOOKUP($Q1004,'Threshold Summary'!$Y:$Y,'Threshold Summary'!$M:$M,""),'Nature Editor'!$A:$A,'Nature Editor'!$B:$B,1)),FLOOR((FLOOR(((2*XLOOKUP(XLOOKUP($Q1004,'Threshold Summary'!$Y:$Y,'Threshold Summary'!$K:$K,""),'Pokemon Editor'!$A:$A,'Pokemon Editor'!$H:$H,0)+31+FLOOR(XLOOKUP($Q1004,'Threshold Summary'!$Y:$Y,'Threshold Summary'!$R:$R,"")/4))*XLOOKUP($Q1004,'Threshold Summary'!$Y:$Y,'Threshold Summary'!$L:$L,""))/100)+5)*XLOOKUP(XLOOKUP($Q1004,'Threshold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Editor'!$E:$E,1))),stab,IF(OR(mtype=XLOOKUP(XLOOKUP($Q1004,'Threshold Summary'!$Y:$Y,'Threshold Summary'!$K:$K,""),'Pokemon Editor'!$A:$A,'Pokemon Editor'!$C:$C,""),mtype=XLOOKUP(XLOOKUP($Q1004,'Threshold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Chart'!$B$1:$S$1,0)))),base,IF(OR(cat="Status",pow=0),0,FLOOR(FLOOR(FLOOR((2*XLOOKUP($Q1004,'Threshold Summary'!$Y:$Y,'Threshold Summary'!$L:$L,"")/5+2)*pow*atk/def)/50)+2)),modifier,stab*eff,AVERAGE(ARRAYFORMULA(FLOOR(base*modifier*SEQUENCE(16,1,85,1)/100)))*MIN(1,acc/100)),0)</f>
        <v/>
      </c>
      <c r="N1004" s="4">
        <f>IFERROR(LET(mtype,XLOOKUP($D1004,'Move Editor'!$B:$B,'Move Editor'!$C:$C,""),cat,XLOOKUP($D1004,'Move Editor'!$B:$B,'Move Editor'!$D:$D,""),pow,XLOOKUP($D1004,'Move Editor'!$B:$B,'Move Editor'!$E:$E,0),acc,XLOOKUP($D1004,'Move Editor'!$B:$B,'Move Editor'!$F:$F,100),atk,IF(cat="Physical",FLOOR((FLOOR(((2*XLOOKUP(XLOOKUP($Q1004,'Threshold Summary'!$Y:$Y,'Threshold Summary'!$K:$K,""),'Pokemon Editor'!$A:$A,'Pokemon Editor'!$F:$F,0)+31+FLOOR(XLOOKUP($Q1004,'Threshold Summary'!$Y:$Y,'Threshold Summary'!$P:$P,"")/4))*XLOOKUP($Q1004,'Threshold Summary'!$Y:$Y,'Threshold Summary'!$L:$L,""))/100)+5)*XLOOKUP(XLOOKUP($Q1004,'Threshold Summary'!$Y:$Y,'Threshold Summary'!$M:$M,""),'Nature Editor'!$A:$A,'Nature Editor'!$B:$B,1)),FLOOR((FLOOR(((2*XLOOKUP(XLOOKUP($Q1004,'Threshold Summary'!$Y:$Y,'Threshold Summary'!$K:$K,""),'Pokemon Editor'!$A:$A,'Pokemon Editor'!$H:$H,0)+31+FLOOR(XLOOKUP($Q1004,'Threshold Summary'!$Y:$Y,'Threshold Summary'!$R:$R,"")/4))*XLOOKUP($Q1004,'Threshold Summary'!$Y:$Y,'Threshold Summary'!$L:$L,""))/100)+5)*XLOOKUP(XLOOKUP($Q1004,'Threshold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Editor'!$E:$E,1))),stab,IF(OR(mtype=XLOOKUP(XLOOKUP($Q1004,'Threshold Summary'!$Y:$Y,'Threshold Summary'!$K:$K,""),'Pokemon Editor'!$A:$A,'Pokemon Editor'!$C:$C,""),mtype=XLOOKUP(XLOOKUP($Q1004,'Threshold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Chart'!$B$1:$S$1,0)))),base,IF(OR(cat="Status",pow=0),0,FLOOR(FLOOR(FLOOR((2*XLOOKUP($Q1004,'Threshold Summary'!$Y:$Y,'Threshold Summary'!$L:$L,"")/5+2)*pow*atk/def)/50)+2)),modifier,stab*eff,AVERAGE(ARRAYFORMULA(FLOOR(base*modifier*SEQUENCE(16,1,85,1)/100)))/(FLOOR(((2*XLOOKUP('Boss Editor'!$C$4,'Pokemon Editor'!$A:$A,'Pokemon Editor'!$E:$E,0)+31+FLOOR('Boss Editor'!$G$4/4))*'Boss Editor'!$D$4)/100)+'Boss Editor'!$D$4+10)),0)</f>
        <v/>
      </c>
      <c r="O1004" s="3">
        <f>IF(N1004&gt;=1,"OHKO",IF(N1004&gt;=0.5,"2HKO",IF(N1004&gt;=0.333,"3HKO",IF(N1004&gt;=0.25,"4HKO","5HKO+"))))</f>
        <v/>
      </c>
      <c r="P1004" s="3" t="inlineStr">
        <is>
          <t>Live from editable databases</t>
        </is>
      </c>
      <c r="Q1004" s="3" t="inlineStr">
        <is>
          <t>SPECIES_TINKATINK</t>
        </is>
      </c>
      <c r="R1004" s="3" t="n">
        <v>11</v>
      </c>
    </row>
    <row r="1005">
      <c r="A1005" s="3">
        <f>XLOOKUP($Q1005,'Threshold Summary'!$Y:$Y,'Threshold Summary'!$A:$A,"")</f>
        <v/>
      </c>
      <c r="B1005" s="3">
        <f>XLOOKUP($Q1005,'Threshold Summary'!$Y:$Y,'Threshold Summary'!$M:$M,"")</f>
        <v/>
      </c>
      <c r="C1005" s="3">
        <f>XLOOKUP($Q1005,'Threshold Summary'!$Y:$Y,'Threshold Summary'!$N:$N,"")</f>
        <v/>
      </c>
      <c r="D1005" s="3">
        <f>IFERROR(INDEX(FILTER('Learnset Editor'!$D$2:$D,'Learnset Editor'!$A$2:$A=XLOOKUP($Q1005,'Threshold Summary'!$Y:$Y,'Threshold Summary'!$K:$K,""),'Learnset Editor'!$C$2:$C&lt;=XLOOKUP($Q1005,'Threshold Summary'!$Y:$Y,'Threshold Summary'!$L:$L,"")),$R1005),"")</f>
        <v/>
      </c>
      <c r="E1005" s="3">
        <f>XLOOKUP(D1005,'Move Editor'!$B:$B,'Move Editor'!$C:$C,"")</f>
        <v/>
      </c>
      <c r="F1005" s="3">
        <f>XLOOKUP(D1005,'Move Editor'!$B:$B,'Move Editor'!$D:$D,"")</f>
        <v/>
      </c>
      <c r="G1005" s="3">
        <f>XLOOKUP(D1005,'Move Editor'!$B:$B,'Move Editor'!$E:$E,0)</f>
        <v/>
      </c>
      <c r="H1005" s="3">
        <f>XLOOKUP(D1005,'Move Editor'!$B:$B,'Move Editor'!$F:$F,0)</f>
        <v/>
      </c>
      <c r="I1005" s="3">
        <f>(INDEX('Type Chart'!$B:$S,MATCH(E1005,'Type Chart'!$A:$A,0),MATCH(XLOOKUP('Boss Editor'!$C$4,'Pokemon Editor'!$A:$A,'Pokemon Editor'!$C:$C,""),'Type Chart'!$B$1:$S$1,0))*IF(XLOOKUP('Boss Editor'!$C$4,'Pokemon Editor'!$A:$A,'Pokemon Editor'!$D:$D,"")="",1,INDEX('Type Chart'!$B:$S,MATCH(E1005,'Type Chart'!$A:$A,0),MATCH(XLOOKUP('Boss Editor'!$C$4,'Pokemon Editor'!$A:$A,'Pokemon Editor'!$D:$D,""),'Type Chart'!$B$1:$S$1,0))))</f>
        <v/>
      </c>
      <c r="J1005" s="3">
        <f>IFERROR(LET(mtype,XLOOKUP($D1005,'Move Editor'!$B:$B,'Move Editor'!$C:$C,""),cat,XLOOKUP($D1005,'Move Editor'!$B:$B,'Move Editor'!$D:$D,""),pow,XLOOKUP($D1005,'Move Editor'!$B:$B,'Move Editor'!$E:$E,0),acc,XLOOKUP($D1005,'Move Editor'!$B:$B,'Move Editor'!$F:$F,100),atk,IF(cat="Physical",FLOOR((FLOOR(((2*XLOOKUP(XLOOKUP($Q1005,'Threshold Summary'!$Y:$Y,'Threshold Summary'!$K:$K,""),'Pokemon Editor'!$A:$A,'Pokemon Editor'!$F:$F,0)+31+FLOOR(XLOOKUP($Q1005,'Threshold Summary'!$Y:$Y,'Threshold Summary'!$P:$P,"")/4))*XLOOKUP($Q1005,'Threshold Summary'!$Y:$Y,'Threshold Summary'!$L:$L,""))/100)+5)*XLOOKUP(XLOOKUP($Q1005,'Threshold Summary'!$Y:$Y,'Threshold Summary'!$M:$M,""),'Nature Editor'!$A:$A,'Nature Editor'!$B:$B,1)),FLOOR((FLOOR(((2*XLOOKUP(XLOOKUP($Q1005,'Threshold Summary'!$Y:$Y,'Threshold Summary'!$K:$K,""),'Pokemon Editor'!$A:$A,'Pokemon Editor'!$H:$H,0)+31+FLOOR(XLOOKUP($Q1005,'Threshold Summary'!$Y:$Y,'Threshold Summary'!$R:$R,"")/4))*XLOOKUP($Q1005,'Threshold Summary'!$Y:$Y,'Threshold Summary'!$L:$L,""))/100)+5)*XLOOKUP(XLOOKUP($Q1005,'Threshold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Editor'!$E:$E,1))),stab,IF(OR(mtype=XLOOKUP(XLOOKUP($Q1005,'Threshold Summary'!$Y:$Y,'Threshold Summary'!$K:$K,""),'Pokemon Editor'!$A:$A,'Pokemon Editor'!$C:$C,""),mtype=XLOOKUP(XLOOKUP($Q1005,'Threshold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Chart'!$B$1:$S$1,0)))),base,IF(OR(cat="Status",pow=0),0,FLOOR(FLOOR(FLOOR((2*XLOOKUP($Q1005,'Threshold Summary'!$Y:$Y,'Threshold Summary'!$L:$L,"")/5+2)*pow*atk/def)/50)+2)),modifier,stab*eff,FLOOR(base*modifier*0.85)),0)</f>
        <v/>
      </c>
      <c r="K1005" s="3">
        <f>IFERROR(LET(mtype,XLOOKUP($D1005,'Move Editor'!$B:$B,'Move Editor'!$C:$C,""),cat,XLOOKUP($D1005,'Move Editor'!$B:$B,'Move Editor'!$D:$D,""),pow,XLOOKUP($D1005,'Move Editor'!$B:$B,'Move Editor'!$E:$E,0),acc,XLOOKUP($D1005,'Move Editor'!$B:$B,'Move Editor'!$F:$F,100),atk,IF(cat="Physical",FLOOR((FLOOR(((2*XLOOKUP(XLOOKUP($Q1005,'Threshold Summary'!$Y:$Y,'Threshold Summary'!$K:$K,""),'Pokemon Editor'!$A:$A,'Pokemon Editor'!$F:$F,0)+31+FLOOR(XLOOKUP($Q1005,'Threshold Summary'!$Y:$Y,'Threshold Summary'!$P:$P,"")/4))*XLOOKUP($Q1005,'Threshold Summary'!$Y:$Y,'Threshold Summary'!$L:$L,""))/100)+5)*XLOOKUP(XLOOKUP($Q1005,'Threshold Summary'!$Y:$Y,'Threshold Summary'!$M:$M,""),'Nature Editor'!$A:$A,'Nature Editor'!$B:$B,1)),FLOOR((FLOOR(((2*XLOOKUP(XLOOKUP($Q1005,'Threshold Summary'!$Y:$Y,'Threshold Summary'!$K:$K,""),'Pokemon Editor'!$A:$A,'Pokemon Editor'!$H:$H,0)+31+FLOOR(XLOOKUP($Q1005,'Threshold Summary'!$Y:$Y,'Threshold Summary'!$R:$R,"")/4))*XLOOKUP($Q1005,'Threshold Summary'!$Y:$Y,'Threshold Summary'!$L:$L,""))/100)+5)*XLOOKUP(XLOOKUP($Q1005,'Threshold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Editor'!$E:$E,1))),stab,IF(OR(mtype=XLOOKUP(XLOOKUP($Q1005,'Threshold Summary'!$Y:$Y,'Threshold Summary'!$K:$K,""),'Pokemon Editor'!$A:$A,'Pokemon Editor'!$C:$C,""),mtype=XLOOKUP(XLOOKUP($Q1005,'Threshold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Chart'!$B$1:$S$1,0)))),base,IF(OR(cat="Status",pow=0),0,FLOOR(FLOOR(FLOOR((2*XLOOKUP($Q1005,'Threshold Summary'!$Y:$Y,'Threshold Summary'!$L:$L,"")/5+2)*pow*atk/def)/50)+2)),modifier,stab*eff,FLOOR(base*modifier)),0)</f>
        <v/>
      </c>
      <c r="L1005" s="3">
        <f>IFERROR(LET(mtype,XLOOKUP($D1005,'Move Editor'!$B:$B,'Move Editor'!$C:$C,""),cat,XLOOKUP($D1005,'Move Editor'!$B:$B,'Move Editor'!$D:$D,""),pow,XLOOKUP($D1005,'Move Editor'!$B:$B,'Move Editor'!$E:$E,0),acc,XLOOKUP($D1005,'Move Editor'!$B:$B,'Move Editor'!$F:$F,100),atk,IF(cat="Physical",FLOOR((FLOOR(((2*XLOOKUP(XLOOKUP($Q1005,'Threshold Summary'!$Y:$Y,'Threshold Summary'!$K:$K,""),'Pokemon Editor'!$A:$A,'Pokemon Editor'!$F:$F,0)+31+FLOOR(XLOOKUP($Q1005,'Threshold Summary'!$Y:$Y,'Threshold Summary'!$P:$P,"")/4))*XLOOKUP($Q1005,'Threshold Summary'!$Y:$Y,'Threshold Summary'!$L:$L,""))/100)+5)*XLOOKUP(XLOOKUP($Q1005,'Threshold Summary'!$Y:$Y,'Threshold Summary'!$M:$M,""),'Nature Editor'!$A:$A,'Nature Editor'!$B:$B,1)),FLOOR((FLOOR(((2*XLOOKUP(XLOOKUP($Q1005,'Threshold Summary'!$Y:$Y,'Threshold Summary'!$K:$K,""),'Pokemon Editor'!$A:$A,'Pokemon Editor'!$H:$H,0)+31+FLOOR(XLOOKUP($Q1005,'Threshold Summary'!$Y:$Y,'Threshold Summary'!$R:$R,"")/4))*XLOOKUP($Q1005,'Threshold Summary'!$Y:$Y,'Threshold Summary'!$L:$L,""))/100)+5)*XLOOKUP(XLOOKUP($Q1005,'Threshold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Editor'!$E:$E,1))),stab,IF(OR(mtype=XLOOKUP(XLOOKUP($Q1005,'Threshold Summary'!$Y:$Y,'Threshold Summary'!$K:$K,""),'Pokemon Editor'!$A:$A,'Pokemon Editor'!$C:$C,""),mtype=XLOOKUP(XLOOKUP($Q1005,'Threshold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Chart'!$B$1:$S$1,0)))),base,IF(OR(cat="Status",pow=0),0,FLOOR(FLOOR(FLOOR((2*XLOOKUP($Q1005,'Threshold Summary'!$Y:$Y,'Threshold Summary'!$L:$L,"")/5+2)*pow*atk/def)/50)+2)),modifier,stab*eff,AVERAGE(ARRAYFORMULA(FLOOR(base*modifier*SEQUENCE(16,1,85,1)/100)))),0)</f>
        <v/>
      </c>
      <c r="M1005" s="3">
        <f>IFERROR(LET(mtype,XLOOKUP($D1005,'Move Editor'!$B:$B,'Move Editor'!$C:$C,""),cat,XLOOKUP($D1005,'Move Editor'!$B:$B,'Move Editor'!$D:$D,""),pow,XLOOKUP($D1005,'Move Editor'!$B:$B,'Move Editor'!$E:$E,0),acc,XLOOKUP($D1005,'Move Editor'!$B:$B,'Move Editor'!$F:$F,100),atk,IF(cat="Physical",FLOOR((FLOOR(((2*XLOOKUP(XLOOKUP($Q1005,'Threshold Summary'!$Y:$Y,'Threshold Summary'!$K:$K,""),'Pokemon Editor'!$A:$A,'Pokemon Editor'!$F:$F,0)+31+FLOOR(XLOOKUP($Q1005,'Threshold Summary'!$Y:$Y,'Threshold Summary'!$P:$P,"")/4))*XLOOKUP($Q1005,'Threshold Summary'!$Y:$Y,'Threshold Summary'!$L:$L,""))/100)+5)*XLOOKUP(XLOOKUP($Q1005,'Threshold Summary'!$Y:$Y,'Threshold Summary'!$M:$M,""),'Nature Editor'!$A:$A,'Nature Editor'!$B:$B,1)),FLOOR((FLOOR(((2*XLOOKUP(XLOOKUP($Q1005,'Threshold Summary'!$Y:$Y,'Threshold Summary'!$K:$K,""),'Pokemon Editor'!$A:$A,'Pokemon Editor'!$H:$H,0)+31+FLOOR(XLOOKUP($Q1005,'Threshold Summary'!$Y:$Y,'Threshold Summary'!$R:$R,"")/4))*XLOOKUP($Q1005,'Threshold Summary'!$Y:$Y,'Threshold Summary'!$L:$L,""))/100)+5)*XLOOKUP(XLOOKUP($Q1005,'Threshold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Editor'!$E:$E,1))),stab,IF(OR(mtype=XLOOKUP(XLOOKUP($Q1005,'Threshold Summary'!$Y:$Y,'Threshold Summary'!$K:$K,""),'Pokemon Editor'!$A:$A,'Pokemon Editor'!$C:$C,""),mtype=XLOOKUP(XLOOKUP($Q1005,'Threshold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Chart'!$B$1:$S$1,0)))),base,IF(OR(cat="Status",pow=0),0,FLOOR(FLOOR(FLOOR((2*XLOOKUP($Q1005,'Threshold Summary'!$Y:$Y,'Threshold Summary'!$L:$L,"")/5+2)*pow*atk/def)/50)+2)),modifier,stab*eff,AVERAGE(ARRAYFORMULA(FLOOR(base*modifier*SEQUENCE(16,1,85,1)/100)))*MIN(1,acc/100)),0)</f>
        <v/>
      </c>
      <c r="N1005" s="4">
        <f>IFERROR(LET(mtype,XLOOKUP($D1005,'Move Editor'!$B:$B,'Move Editor'!$C:$C,""),cat,XLOOKUP($D1005,'Move Editor'!$B:$B,'Move Editor'!$D:$D,""),pow,XLOOKUP($D1005,'Move Editor'!$B:$B,'Move Editor'!$E:$E,0),acc,XLOOKUP($D1005,'Move Editor'!$B:$B,'Move Editor'!$F:$F,100),atk,IF(cat="Physical",FLOOR((FLOOR(((2*XLOOKUP(XLOOKUP($Q1005,'Threshold Summary'!$Y:$Y,'Threshold Summary'!$K:$K,""),'Pokemon Editor'!$A:$A,'Pokemon Editor'!$F:$F,0)+31+FLOOR(XLOOKUP($Q1005,'Threshold Summary'!$Y:$Y,'Threshold Summary'!$P:$P,"")/4))*XLOOKUP($Q1005,'Threshold Summary'!$Y:$Y,'Threshold Summary'!$L:$L,""))/100)+5)*XLOOKUP(XLOOKUP($Q1005,'Threshold Summary'!$Y:$Y,'Threshold Summary'!$M:$M,""),'Nature Editor'!$A:$A,'Nature Editor'!$B:$B,1)),FLOOR((FLOOR(((2*XLOOKUP(XLOOKUP($Q1005,'Threshold Summary'!$Y:$Y,'Threshold Summary'!$K:$K,""),'Pokemon Editor'!$A:$A,'Pokemon Editor'!$H:$H,0)+31+FLOOR(XLOOKUP($Q1005,'Threshold Summary'!$Y:$Y,'Threshold Summary'!$R:$R,"")/4))*XLOOKUP($Q1005,'Threshold Summary'!$Y:$Y,'Threshold Summary'!$L:$L,""))/100)+5)*XLOOKUP(XLOOKUP($Q1005,'Threshold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Editor'!$E:$E,1))),stab,IF(OR(mtype=XLOOKUP(XLOOKUP($Q1005,'Threshold Summary'!$Y:$Y,'Threshold Summary'!$K:$K,""),'Pokemon Editor'!$A:$A,'Pokemon Editor'!$C:$C,""),mtype=XLOOKUP(XLOOKUP($Q1005,'Threshold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Chart'!$B$1:$S$1,0)))),base,IF(OR(cat="Status",pow=0),0,FLOOR(FLOOR(FLOOR((2*XLOOKUP($Q1005,'Threshold Summary'!$Y:$Y,'Threshold Summary'!$L:$L,"")/5+2)*pow*atk/def)/50)+2)),modifier,stab*eff,AVERAGE(ARRAYFORMULA(FLOOR(base*modifier*SEQUENCE(16,1,85,1)/100)))/(FLOOR(((2*XLOOKUP('Boss Editor'!$C$4,'Pokemon Editor'!$A:$A,'Pokemon Editor'!$E:$E,0)+31+FLOOR('Boss Editor'!$G$4/4))*'Boss Editor'!$D$4)/100)+'Boss Editor'!$D$4+10)),0)</f>
        <v/>
      </c>
      <c r="O1005" s="3">
        <f>IF(N1005&gt;=1,"OHKO",IF(N1005&gt;=0.5,"2HKO",IF(N1005&gt;=0.333,"3HKO",IF(N1005&gt;=0.25,"4HKO","5HKO+"))))</f>
        <v/>
      </c>
      <c r="P1005" s="3" t="inlineStr">
        <is>
          <t>Live from editable databases</t>
        </is>
      </c>
      <c r="Q1005" s="3" t="inlineStr">
        <is>
          <t>SPECIES_TINKATINK</t>
        </is>
      </c>
      <c r="R1005" s="3" t="n">
        <v>12</v>
      </c>
    </row>
    <row r="1006">
      <c r="A1006" s="3">
        <f>XLOOKUP($Q1006,'Threshold Summary'!$Y:$Y,'Threshold Summary'!$A:$A,"")</f>
        <v/>
      </c>
      <c r="B1006" s="3">
        <f>XLOOKUP($Q1006,'Threshold Summary'!$Y:$Y,'Threshold Summary'!$M:$M,"")</f>
        <v/>
      </c>
      <c r="C1006" s="3">
        <f>XLOOKUP($Q1006,'Threshold Summary'!$Y:$Y,'Threshold Summary'!$N:$N,"")</f>
        <v/>
      </c>
      <c r="D1006" s="3">
        <f>IFERROR(INDEX(FILTER('Learnset Editor'!$D$2:$D,'Learnset Editor'!$A$2:$A=XLOOKUP($Q1006,'Threshold Summary'!$Y:$Y,'Threshold Summary'!$K:$K,""),'Learnset Editor'!$C$2:$C&lt;=XLOOKUP($Q1006,'Threshold Summary'!$Y:$Y,'Threshold Summary'!$L:$L,"")),$R1006),"")</f>
        <v/>
      </c>
      <c r="E1006" s="3">
        <f>XLOOKUP(D1006,'Move Editor'!$B:$B,'Move Editor'!$C:$C,"")</f>
        <v/>
      </c>
      <c r="F1006" s="3">
        <f>XLOOKUP(D1006,'Move Editor'!$B:$B,'Move Editor'!$D:$D,"")</f>
        <v/>
      </c>
      <c r="G1006" s="3">
        <f>XLOOKUP(D1006,'Move Editor'!$B:$B,'Move Editor'!$E:$E,0)</f>
        <v/>
      </c>
      <c r="H1006" s="3">
        <f>XLOOKUP(D1006,'Move Editor'!$B:$B,'Move Editor'!$F:$F,0)</f>
        <v/>
      </c>
      <c r="I1006" s="3">
        <f>(INDEX('Type Chart'!$B:$S,MATCH(E1006,'Type Chart'!$A:$A,0),MATCH(XLOOKUP('Boss Editor'!$C$4,'Pokemon Editor'!$A:$A,'Pokemon Editor'!$C:$C,""),'Type Chart'!$B$1:$S$1,0))*IF(XLOOKUP('Boss Editor'!$C$4,'Pokemon Editor'!$A:$A,'Pokemon Editor'!$D:$D,"")="",1,INDEX('Type Chart'!$B:$S,MATCH(E1006,'Type Chart'!$A:$A,0),MATCH(XLOOKUP('Boss Editor'!$C$4,'Pokemon Editor'!$A:$A,'Pokemon Editor'!$D:$D,""),'Type Chart'!$B$1:$S$1,0))))</f>
        <v/>
      </c>
      <c r="J1006" s="3">
        <f>IFERROR(LET(mtype,XLOOKUP($D1006,'Move Editor'!$B:$B,'Move Editor'!$C:$C,""),cat,XLOOKUP($D1006,'Move Editor'!$B:$B,'Move Editor'!$D:$D,""),pow,XLOOKUP($D1006,'Move Editor'!$B:$B,'Move Editor'!$E:$E,0),acc,XLOOKUP($D1006,'Move Editor'!$B:$B,'Move Editor'!$F:$F,100),atk,IF(cat="Physical",FLOOR((FLOOR(((2*XLOOKUP(XLOOKUP($Q1006,'Threshold Summary'!$Y:$Y,'Threshold Summary'!$K:$K,""),'Pokemon Editor'!$A:$A,'Pokemon Editor'!$F:$F,0)+31+FLOOR(XLOOKUP($Q1006,'Threshold Summary'!$Y:$Y,'Threshold Summary'!$P:$P,"")/4))*XLOOKUP($Q1006,'Threshold Summary'!$Y:$Y,'Threshold Summary'!$L:$L,""))/100)+5)*XLOOKUP(XLOOKUP($Q1006,'Threshold Summary'!$Y:$Y,'Threshold Summary'!$M:$M,""),'Nature Editor'!$A:$A,'Nature Editor'!$B:$B,1)),FLOOR((FLOOR(((2*XLOOKUP(XLOOKUP($Q1006,'Threshold Summary'!$Y:$Y,'Threshold Summary'!$K:$K,""),'Pokemon Editor'!$A:$A,'Pokemon Editor'!$H:$H,0)+31+FLOOR(XLOOKUP($Q1006,'Threshold Summary'!$Y:$Y,'Threshold Summary'!$R:$R,"")/4))*XLOOKUP($Q1006,'Threshold Summary'!$Y:$Y,'Threshold Summary'!$L:$L,""))/100)+5)*XLOOKUP(XLOOKUP($Q1006,'Threshold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Editor'!$E:$E,1))),stab,IF(OR(mtype=XLOOKUP(XLOOKUP($Q1006,'Threshold Summary'!$Y:$Y,'Threshold Summary'!$K:$K,""),'Pokemon Editor'!$A:$A,'Pokemon Editor'!$C:$C,""),mtype=XLOOKUP(XLOOKUP($Q1006,'Threshold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Chart'!$B$1:$S$1,0)))),base,IF(OR(cat="Status",pow=0),0,FLOOR(FLOOR(FLOOR((2*XLOOKUP($Q1006,'Threshold Summary'!$Y:$Y,'Threshold Summary'!$L:$L,"")/5+2)*pow*atk/def)/50)+2)),modifier,stab*eff,FLOOR(base*modifier*0.85)),0)</f>
        <v/>
      </c>
      <c r="K1006" s="3">
        <f>IFERROR(LET(mtype,XLOOKUP($D1006,'Move Editor'!$B:$B,'Move Editor'!$C:$C,""),cat,XLOOKUP($D1006,'Move Editor'!$B:$B,'Move Editor'!$D:$D,""),pow,XLOOKUP($D1006,'Move Editor'!$B:$B,'Move Editor'!$E:$E,0),acc,XLOOKUP($D1006,'Move Editor'!$B:$B,'Move Editor'!$F:$F,100),atk,IF(cat="Physical",FLOOR((FLOOR(((2*XLOOKUP(XLOOKUP($Q1006,'Threshold Summary'!$Y:$Y,'Threshold Summary'!$K:$K,""),'Pokemon Editor'!$A:$A,'Pokemon Editor'!$F:$F,0)+31+FLOOR(XLOOKUP($Q1006,'Threshold Summary'!$Y:$Y,'Threshold Summary'!$P:$P,"")/4))*XLOOKUP($Q1006,'Threshold Summary'!$Y:$Y,'Threshold Summary'!$L:$L,""))/100)+5)*XLOOKUP(XLOOKUP($Q1006,'Threshold Summary'!$Y:$Y,'Threshold Summary'!$M:$M,""),'Nature Editor'!$A:$A,'Nature Editor'!$B:$B,1)),FLOOR((FLOOR(((2*XLOOKUP(XLOOKUP($Q1006,'Threshold Summary'!$Y:$Y,'Threshold Summary'!$K:$K,""),'Pokemon Editor'!$A:$A,'Pokemon Editor'!$H:$H,0)+31+FLOOR(XLOOKUP($Q1006,'Threshold Summary'!$Y:$Y,'Threshold Summary'!$R:$R,"")/4))*XLOOKUP($Q1006,'Threshold Summary'!$Y:$Y,'Threshold Summary'!$L:$L,""))/100)+5)*XLOOKUP(XLOOKUP($Q1006,'Threshold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Editor'!$E:$E,1))),stab,IF(OR(mtype=XLOOKUP(XLOOKUP($Q1006,'Threshold Summary'!$Y:$Y,'Threshold Summary'!$K:$K,""),'Pokemon Editor'!$A:$A,'Pokemon Editor'!$C:$C,""),mtype=XLOOKUP(XLOOKUP($Q1006,'Threshold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Chart'!$B$1:$S$1,0)))),base,IF(OR(cat="Status",pow=0),0,FLOOR(FLOOR(FLOOR((2*XLOOKUP($Q1006,'Threshold Summary'!$Y:$Y,'Threshold Summary'!$L:$L,"")/5+2)*pow*atk/def)/50)+2)),modifier,stab*eff,FLOOR(base*modifier)),0)</f>
        <v/>
      </c>
      <c r="L1006" s="3">
        <f>IFERROR(LET(mtype,XLOOKUP($D1006,'Move Editor'!$B:$B,'Move Editor'!$C:$C,""),cat,XLOOKUP($D1006,'Move Editor'!$B:$B,'Move Editor'!$D:$D,""),pow,XLOOKUP($D1006,'Move Editor'!$B:$B,'Move Editor'!$E:$E,0),acc,XLOOKUP($D1006,'Move Editor'!$B:$B,'Move Editor'!$F:$F,100),atk,IF(cat="Physical",FLOOR((FLOOR(((2*XLOOKUP(XLOOKUP($Q1006,'Threshold Summary'!$Y:$Y,'Threshold Summary'!$K:$K,""),'Pokemon Editor'!$A:$A,'Pokemon Editor'!$F:$F,0)+31+FLOOR(XLOOKUP($Q1006,'Threshold Summary'!$Y:$Y,'Threshold Summary'!$P:$P,"")/4))*XLOOKUP($Q1006,'Threshold Summary'!$Y:$Y,'Threshold Summary'!$L:$L,""))/100)+5)*XLOOKUP(XLOOKUP($Q1006,'Threshold Summary'!$Y:$Y,'Threshold Summary'!$M:$M,""),'Nature Editor'!$A:$A,'Nature Editor'!$B:$B,1)),FLOOR((FLOOR(((2*XLOOKUP(XLOOKUP($Q1006,'Threshold Summary'!$Y:$Y,'Threshold Summary'!$K:$K,""),'Pokemon Editor'!$A:$A,'Pokemon Editor'!$H:$H,0)+31+FLOOR(XLOOKUP($Q1006,'Threshold Summary'!$Y:$Y,'Threshold Summary'!$R:$R,"")/4))*XLOOKUP($Q1006,'Threshold Summary'!$Y:$Y,'Threshold Summary'!$L:$L,""))/100)+5)*XLOOKUP(XLOOKUP($Q1006,'Threshold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Editor'!$E:$E,1))),stab,IF(OR(mtype=XLOOKUP(XLOOKUP($Q1006,'Threshold Summary'!$Y:$Y,'Threshold Summary'!$K:$K,""),'Pokemon Editor'!$A:$A,'Pokemon Editor'!$C:$C,""),mtype=XLOOKUP(XLOOKUP($Q1006,'Threshold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Chart'!$B$1:$S$1,0)))),base,IF(OR(cat="Status",pow=0),0,FLOOR(FLOOR(FLOOR((2*XLOOKUP($Q1006,'Threshold Summary'!$Y:$Y,'Threshold Summary'!$L:$L,"")/5+2)*pow*atk/def)/50)+2)),modifier,stab*eff,AVERAGE(ARRAYFORMULA(FLOOR(base*modifier*SEQUENCE(16,1,85,1)/100)))),0)</f>
        <v/>
      </c>
      <c r="M1006" s="3">
        <f>IFERROR(LET(mtype,XLOOKUP($D1006,'Move Editor'!$B:$B,'Move Editor'!$C:$C,""),cat,XLOOKUP($D1006,'Move Editor'!$B:$B,'Move Editor'!$D:$D,""),pow,XLOOKUP($D1006,'Move Editor'!$B:$B,'Move Editor'!$E:$E,0),acc,XLOOKUP($D1006,'Move Editor'!$B:$B,'Move Editor'!$F:$F,100),atk,IF(cat="Physical",FLOOR((FLOOR(((2*XLOOKUP(XLOOKUP($Q1006,'Threshold Summary'!$Y:$Y,'Threshold Summary'!$K:$K,""),'Pokemon Editor'!$A:$A,'Pokemon Editor'!$F:$F,0)+31+FLOOR(XLOOKUP($Q1006,'Threshold Summary'!$Y:$Y,'Threshold Summary'!$P:$P,"")/4))*XLOOKUP($Q1006,'Threshold Summary'!$Y:$Y,'Threshold Summary'!$L:$L,""))/100)+5)*XLOOKUP(XLOOKUP($Q1006,'Threshold Summary'!$Y:$Y,'Threshold Summary'!$M:$M,""),'Nature Editor'!$A:$A,'Nature Editor'!$B:$B,1)),FLOOR((FLOOR(((2*XLOOKUP(XLOOKUP($Q1006,'Threshold Summary'!$Y:$Y,'Threshold Summary'!$K:$K,""),'Pokemon Editor'!$A:$A,'Pokemon Editor'!$H:$H,0)+31+FLOOR(XLOOKUP($Q1006,'Threshold Summary'!$Y:$Y,'Threshold Summary'!$R:$R,"")/4))*XLOOKUP($Q1006,'Threshold Summary'!$Y:$Y,'Threshold Summary'!$L:$L,""))/100)+5)*XLOOKUP(XLOOKUP($Q1006,'Threshold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Editor'!$E:$E,1))),stab,IF(OR(mtype=XLOOKUP(XLOOKUP($Q1006,'Threshold Summary'!$Y:$Y,'Threshold Summary'!$K:$K,""),'Pokemon Editor'!$A:$A,'Pokemon Editor'!$C:$C,""),mtype=XLOOKUP(XLOOKUP($Q1006,'Threshold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Chart'!$B$1:$S$1,0)))),base,IF(OR(cat="Status",pow=0),0,FLOOR(FLOOR(FLOOR((2*XLOOKUP($Q1006,'Threshold Summary'!$Y:$Y,'Threshold Summary'!$L:$L,"")/5+2)*pow*atk/def)/50)+2)),modifier,stab*eff,AVERAGE(ARRAYFORMULA(FLOOR(base*modifier*SEQUENCE(16,1,85,1)/100)))*MIN(1,acc/100)),0)</f>
        <v/>
      </c>
      <c r="N1006" s="4">
        <f>IFERROR(LET(mtype,XLOOKUP($D1006,'Move Editor'!$B:$B,'Move Editor'!$C:$C,""),cat,XLOOKUP($D1006,'Move Editor'!$B:$B,'Move Editor'!$D:$D,""),pow,XLOOKUP($D1006,'Move Editor'!$B:$B,'Move Editor'!$E:$E,0),acc,XLOOKUP($D1006,'Move Editor'!$B:$B,'Move Editor'!$F:$F,100),atk,IF(cat="Physical",FLOOR((FLOOR(((2*XLOOKUP(XLOOKUP($Q1006,'Threshold Summary'!$Y:$Y,'Threshold Summary'!$K:$K,""),'Pokemon Editor'!$A:$A,'Pokemon Editor'!$F:$F,0)+31+FLOOR(XLOOKUP($Q1006,'Threshold Summary'!$Y:$Y,'Threshold Summary'!$P:$P,"")/4))*XLOOKUP($Q1006,'Threshold Summary'!$Y:$Y,'Threshold Summary'!$L:$L,""))/100)+5)*XLOOKUP(XLOOKUP($Q1006,'Threshold Summary'!$Y:$Y,'Threshold Summary'!$M:$M,""),'Nature Editor'!$A:$A,'Nature Editor'!$B:$B,1)),FLOOR((FLOOR(((2*XLOOKUP(XLOOKUP($Q1006,'Threshold Summary'!$Y:$Y,'Threshold Summary'!$K:$K,""),'Pokemon Editor'!$A:$A,'Pokemon Editor'!$H:$H,0)+31+FLOOR(XLOOKUP($Q1006,'Threshold Summary'!$Y:$Y,'Threshold Summary'!$R:$R,"")/4))*XLOOKUP($Q1006,'Threshold Summary'!$Y:$Y,'Threshold Summary'!$L:$L,""))/100)+5)*XLOOKUP(XLOOKUP($Q1006,'Threshold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Editor'!$E:$E,1))),stab,IF(OR(mtype=XLOOKUP(XLOOKUP($Q1006,'Threshold Summary'!$Y:$Y,'Threshold Summary'!$K:$K,""),'Pokemon Editor'!$A:$A,'Pokemon Editor'!$C:$C,""),mtype=XLOOKUP(XLOOKUP($Q1006,'Threshold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Chart'!$B$1:$S$1,0)))),base,IF(OR(cat="Status",pow=0),0,FLOOR(FLOOR(FLOOR((2*XLOOKUP($Q1006,'Threshold Summary'!$Y:$Y,'Threshold Summary'!$L:$L,"")/5+2)*pow*atk/def)/50)+2)),modifier,stab*eff,AVERAGE(ARRAYFORMULA(FLOOR(base*modifier*SEQUENCE(16,1,85,1)/100)))/(FLOOR(((2*XLOOKUP('Boss Editor'!$C$4,'Pokemon Editor'!$A:$A,'Pokemon Editor'!$E:$E,0)+31+FLOOR('Boss Editor'!$G$4/4))*'Boss Editor'!$D$4)/100)+'Boss Editor'!$D$4+10)),0)</f>
        <v/>
      </c>
      <c r="O1006" s="3">
        <f>IF(N1006&gt;=1,"OHKO",IF(N1006&gt;=0.5,"2HKO",IF(N1006&gt;=0.333,"3HKO",IF(N1006&gt;=0.25,"4HKO","5HKO+"))))</f>
        <v/>
      </c>
      <c r="P1006" s="3" t="inlineStr">
        <is>
          <t>Live from editable databases</t>
        </is>
      </c>
      <c r="Q1006" s="3" t="inlineStr">
        <is>
          <t>SPECIES_TINKATINK</t>
        </is>
      </c>
      <c r="R1006" s="3" t="n">
        <v>13</v>
      </c>
    </row>
    <row r="1007">
      <c r="A1007" s="3">
        <f>XLOOKUP($Q1007,'Threshold Summary'!$Y:$Y,'Threshold Summary'!$A:$A,"")</f>
        <v/>
      </c>
      <c r="B1007" s="3">
        <f>XLOOKUP($Q1007,'Threshold Summary'!$Y:$Y,'Threshold Summary'!$M:$M,"")</f>
        <v/>
      </c>
      <c r="C1007" s="3">
        <f>XLOOKUP($Q1007,'Threshold Summary'!$Y:$Y,'Threshold Summary'!$N:$N,"")</f>
        <v/>
      </c>
      <c r="D1007" s="3">
        <f>IFERROR(INDEX(FILTER('Learnset Editor'!$D$2:$D,'Learnset Editor'!$A$2:$A=XLOOKUP($Q1007,'Threshold Summary'!$Y:$Y,'Threshold Summary'!$K:$K,""),'Learnset Editor'!$C$2:$C&lt;=XLOOKUP($Q1007,'Threshold Summary'!$Y:$Y,'Threshold Summary'!$L:$L,"")),$R1007),"")</f>
        <v/>
      </c>
      <c r="E1007" s="3">
        <f>XLOOKUP(D1007,'Move Editor'!$B:$B,'Move Editor'!$C:$C,"")</f>
        <v/>
      </c>
      <c r="F1007" s="3">
        <f>XLOOKUP(D1007,'Move Editor'!$B:$B,'Move Editor'!$D:$D,"")</f>
        <v/>
      </c>
      <c r="G1007" s="3">
        <f>XLOOKUP(D1007,'Move Editor'!$B:$B,'Move Editor'!$E:$E,0)</f>
        <v/>
      </c>
      <c r="H1007" s="3">
        <f>XLOOKUP(D1007,'Move Editor'!$B:$B,'Move Editor'!$F:$F,0)</f>
        <v/>
      </c>
      <c r="I1007" s="3">
        <f>(INDEX('Type Chart'!$B:$S,MATCH(E1007,'Type Chart'!$A:$A,0),MATCH(XLOOKUP('Boss Editor'!$C$4,'Pokemon Editor'!$A:$A,'Pokemon Editor'!$C:$C,""),'Type Chart'!$B$1:$S$1,0))*IF(XLOOKUP('Boss Editor'!$C$4,'Pokemon Editor'!$A:$A,'Pokemon Editor'!$D:$D,"")="",1,INDEX('Type Chart'!$B:$S,MATCH(E1007,'Type Chart'!$A:$A,0),MATCH(XLOOKUP('Boss Editor'!$C$4,'Pokemon Editor'!$A:$A,'Pokemon Editor'!$D:$D,""),'Type Chart'!$B$1:$S$1,0))))</f>
        <v/>
      </c>
      <c r="J1007" s="3">
        <f>IFERROR(LET(mtype,XLOOKUP($D1007,'Move Editor'!$B:$B,'Move Editor'!$C:$C,""),cat,XLOOKUP($D1007,'Move Editor'!$B:$B,'Move Editor'!$D:$D,""),pow,XLOOKUP($D1007,'Move Editor'!$B:$B,'Move Editor'!$E:$E,0),acc,XLOOKUP($D1007,'Move Editor'!$B:$B,'Move Editor'!$F:$F,100),atk,IF(cat="Physical",FLOOR((FLOOR(((2*XLOOKUP(XLOOKUP($Q1007,'Threshold Summary'!$Y:$Y,'Threshold Summary'!$K:$K,""),'Pokemon Editor'!$A:$A,'Pokemon Editor'!$F:$F,0)+31+FLOOR(XLOOKUP($Q1007,'Threshold Summary'!$Y:$Y,'Threshold Summary'!$P:$P,"")/4))*XLOOKUP($Q1007,'Threshold Summary'!$Y:$Y,'Threshold Summary'!$L:$L,""))/100)+5)*XLOOKUP(XLOOKUP($Q1007,'Threshold Summary'!$Y:$Y,'Threshold Summary'!$M:$M,""),'Nature Editor'!$A:$A,'Nature Editor'!$B:$B,1)),FLOOR((FLOOR(((2*XLOOKUP(XLOOKUP($Q1007,'Threshold Summary'!$Y:$Y,'Threshold Summary'!$K:$K,""),'Pokemon Editor'!$A:$A,'Pokemon Editor'!$H:$H,0)+31+FLOOR(XLOOKUP($Q1007,'Threshold Summary'!$Y:$Y,'Threshold Summary'!$R:$R,"")/4))*XLOOKUP($Q1007,'Threshold Summary'!$Y:$Y,'Threshold Summary'!$L:$L,""))/100)+5)*XLOOKUP(XLOOKUP($Q1007,'Threshold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Editor'!$E:$E,1))),stab,IF(OR(mtype=XLOOKUP(XLOOKUP($Q1007,'Threshold Summary'!$Y:$Y,'Threshold Summary'!$K:$K,""),'Pokemon Editor'!$A:$A,'Pokemon Editor'!$C:$C,""),mtype=XLOOKUP(XLOOKUP($Q1007,'Threshold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Chart'!$B$1:$S$1,0)))),base,IF(OR(cat="Status",pow=0),0,FLOOR(FLOOR(FLOOR((2*XLOOKUP($Q1007,'Threshold Summary'!$Y:$Y,'Threshold Summary'!$L:$L,"")/5+2)*pow*atk/def)/50)+2)),modifier,stab*eff,FLOOR(base*modifier*0.85)),0)</f>
        <v/>
      </c>
      <c r="K1007" s="3">
        <f>IFERROR(LET(mtype,XLOOKUP($D1007,'Move Editor'!$B:$B,'Move Editor'!$C:$C,""),cat,XLOOKUP($D1007,'Move Editor'!$B:$B,'Move Editor'!$D:$D,""),pow,XLOOKUP($D1007,'Move Editor'!$B:$B,'Move Editor'!$E:$E,0),acc,XLOOKUP($D1007,'Move Editor'!$B:$B,'Move Editor'!$F:$F,100),atk,IF(cat="Physical",FLOOR((FLOOR(((2*XLOOKUP(XLOOKUP($Q1007,'Threshold Summary'!$Y:$Y,'Threshold Summary'!$K:$K,""),'Pokemon Editor'!$A:$A,'Pokemon Editor'!$F:$F,0)+31+FLOOR(XLOOKUP($Q1007,'Threshold Summary'!$Y:$Y,'Threshold Summary'!$P:$P,"")/4))*XLOOKUP($Q1007,'Threshold Summary'!$Y:$Y,'Threshold Summary'!$L:$L,""))/100)+5)*XLOOKUP(XLOOKUP($Q1007,'Threshold Summary'!$Y:$Y,'Threshold Summary'!$M:$M,""),'Nature Editor'!$A:$A,'Nature Editor'!$B:$B,1)),FLOOR((FLOOR(((2*XLOOKUP(XLOOKUP($Q1007,'Threshold Summary'!$Y:$Y,'Threshold Summary'!$K:$K,""),'Pokemon Editor'!$A:$A,'Pokemon Editor'!$H:$H,0)+31+FLOOR(XLOOKUP($Q1007,'Threshold Summary'!$Y:$Y,'Threshold Summary'!$R:$R,"")/4))*XLOOKUP($Q1007,'Threshold Summary'!$Y:$Y,'Threshold Summary'!$L:$L,""))/100)+5)*XLOOKUP(XLOOKUP($Q1007,'Threshold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Editor'!$E:$E,1))),stab,IF(OR(mtype=XLOOKUP(XLOOKUP($Q1007,'Threshold Summary'!$Y:$Y,'Threshold Summary'!$K:$K,""),'Pokemon Editor'!$A:$A,'Pokemon Editor'!$C:$C,""),mtype=XLOOKUP(XLOOKUP($Q1007,'Threshold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Chart'!$B$1:$S$1,0)))),base,IF(OR(cat="Status",pow=0),0,FLOOR(FLOOR(FLOOR((2*XLOOKUP($Q1007,'Threshold Summary'!$Y:$Y,'Threshold Summary'!$L:$L,"")/5+2)*pow*atk/def)/50)+2)),modifier,stab*eff,FLOOR(base*modifier)),0)</f>
        <v/>
      </c>
      <c r="L1007" s="3">
        <f>IFERROR(LET(mtype,XLOOKUP($D1007,'Move Editor'!$B:$B,'Move Editor'!$C:$C,""),cat,XLOOKUP($D1007,'Move Editor'!$B:$B,'Move Editor'!$D:$D,""),pow,XLOOKUP($D1007,'Move Editor'!$B:$B,'Move Editor'!$E:$E,0),acc,XLOOKUP($D1007,'Move Editor'!$B:$B,'Move Editor'!$F:$F,100),atk,IF(cat="Physical",FLOOR((FLOOR(((2*XLOOKUP(XLOOKUP($Q1007,'Threshold Summary'!$Y:$Y,'Threshold Summary'!$K:$K,""),'Pokemon Editor'!$A:$A,'Pokemon Editor'!$F:$F,0)+31+FLOOR(XLOOKUP($Q1007,'Threshold Summary'!$Y:$Y,'Threshold Summary'!$P:$P,"")/4))*XLOOKUP($Q1007,'Threshold Summary'!$Y:$Y,'Threshold Summary'!$L:$L,""))/100)+5)*XLOOKUP(XLOOKUP($Q1007,'Threshold Summary'!$Y:$Y,'Threshold Summary'!$M:$M,""),'Nature Editor'!$A:$A,'Nature Editor'!$B:$B,1)),FLOOR((FLOOR(((2*XLOOKUP(XLOOKUP($Q1007,'Threshold Summary'!$Y:$Y,'Threshold Summary'!$K:$K,""),'Pokemon Editor'!$A:$A,'Pokemon Editor'!$H:$H,0)+31+FLOOR(XLOOKUP($Q1007,'Threshold Summary'!$Y:$Y,'Threshold Summary'!$R:$R,"")/4))*XLOOKUP($Q1007,'Threshold Summary'!$Y:$Y,'Threshold Summary'!$L:$L,""))/100)+5)*XLOOKUP(XLOOKUP($Q1007,'Threshold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Editor'!$E:$E,1))),stab,IF(OR(mtype=XLOOKUP(XLOOKUP($Q1007,'Threshold Summary'!$Y:$Y,'Threshold Summary'!$K:$K,""),'Pokemon Editor'!$A:$A,'Pokemon Editor'!$C:$C,""),mtype=XLOOKUP(XLOOKUP($Q1007,'Threshold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Chart'!$B$1:$S$1,0)))),base,IF(OR(cat="Status",pow=0),0,FLOOR(FLOOR(FLOOR((2*XLOOKUP($Q1007,'Threshold Summary'!$Y:$Y,'Threshold Summary'!$L:$L,"")/5+2)*pow*atk/def)/50)+2)),modifier,stab*eff,AVERAGE(ARRAYFORMULA(FLOOR(base*modifier*SEQUENCE(16,1,85,1)/100)))),0)</f>
        <v/>
      </c>
      <c r="M1007" s="3">
        <f>IFERROR(LET(mtype,XLOOKUP($D1007,'Move Editor'!$B:$B,'Move Editor'!$C:$C,""),cat,XLOOKUP($D1007,'Move Editor'!$B:$B,'Move Editor'!$D:$D,""),pow,XLOOKUP($D1007,'Move Editor'!$B:$B,'Move Editor'!$E:$E,0),acc,XLOOKUP($D1007,'Move Editor'!$B:$B,'Move Editor'!$F:$F,100),atk,IF(cat="Physical",FLOOR((FLOOR(((2*XLOOKUP(XLOOKUP($Q1007,'Threshold Summary'!$Y:$Y,'Threshold Summary'!$K:$K,""),'Pokemon Editor'!$A:$A,'Pokemon Editor'!$F:$F,0)+31+FLOOR(XLOOKUP($Q1007,'Threshold Summary'!$Y:$Y,'Threshold Summary'!$P:$P,"")/4))*XLOOKUP($Q1007,'Threshold Summary'!$Y:$Y,'Threshold Summary'!$L:$L,""))/100)+5)*XLOOKUP(XLOOKUP($Q1007,'Threshold Summary'!$Y:$Y,'Threshold Summary'!$M:$M,""),'Nature Editor'!$A:$A,'Nature Editor'!$B:$B,1)),FLOOR((FLOOR(((2*XLOOKUP(XLOOKUP($Q1007,'Threshold Summary'!$Y:$Y,'Threshold Summary'!$K:$K,""),'Pokemon Editor'!$A:$A,'Pokemon Editor'!$H:$H,0)+31+FLOOR(XLOOKUP($Q1007,'Threshold Summary'!$Y:$Y,'Threshold Summary'!$R:$R,"")/4))*XLOOKUP($Q1007,'Threshold Summary'!$Y:$Y,'Threshold Summary'!$L:$L,""))/100)+5)*XLOOKUP(XLOOKUP($Q1007,'Threshold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Editor'!$E:$E,1))),stab,IF(OR(mtype=XLOOKUP(XLOOKUP($Q1007,'Threshold Summary'!$Y:$Y,'Threshold Summary'!$K:$K,""),'Pokemon Editor'!$A:$A,'Pokemon Editor'!$C:$C,""),mtype=XLOOKUP(XLOOKUP($Q1007,'Threshold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Chart'!$B$1:$S$1,0)))),base,IF(OR(cat="Status",pow=0),0,FLOOR(FLOOR(FLOOR((2*XLOOKUP($Q1007,'Threshold Summary'!$Y:$Y,'Threshold Summary'!$L:$L,"")/5+2)*pow*atk/def)/50)+2)),modifier,stab*eff,AVERAGE(ARRAYFORMULA(FLOOR(base*modifier*SEQUENCE(16,1,85,1)/100)))*MIN(1,acc/100)),0)</f>
        <v/>
      </c>
      <c r="N1007" s="4">
        <f>IFERROR(LET(mtype,XLOOKUP($D1007,'Move Editor'!$B:$B,'Move Editor'!$C:$C,""),cat,XLOOKUP($D1007,'Move Editor'!$B:$B,'Move Editor'!$D:$D,""),pow,XLOOKUP($D1007,'Move Editor'!$B:$B,'Move Editor'!$E:$E,0),acc,XLOOKUP($D1007,'Move Editor'!$B:$B,'Move Editor'!$F:$F,100),atk,IF(cat="Physical",FLOOR((FLOOR(((2*XLOOKUP(XLOOKUP($Q1007,'Threshold Summary'!$Y:$Y,'Threshold Summary'!$K:$K,""),'Pokemon Editor'!$A:$A,'Pokemon Editor'!$F:$F,0)+31+FLOOR(XLOOKUP($Q1007,'Threshold Summary'!$Y:$Y,'Threshold Summary'!$P:$P,"")/4))*XLOOKUP($Q1007,'Threshold Summary'!$Y:$Y,'Threshold Summary'!$L:$L,""))/100)+5)*XLOOKUP(XLOOKUP($Q1007,'Threshold Summary'!$Y:$Y,'Threshold Summary'!$M:$M,""),'Nature Editor'!$A:$A,'Nature Editor'!$B:$B,1)),FLOOR((FLOOR(((2*XLOOKUP(XLOOKUP($Q1007,'Threshold Summary'!$Y:$Y,'Threshold Summary'!$K:$K,""),'Pokemon Editor'!$A:$A,'Pokemon Editor'!$H:$H,0)+31+FLOOR(XLOOKUP($Q1007,'Threshold Summary'!$Y:$Y,'Threshold Summary'!$R:$R,"")/4))*XLOOKUP($Q1007,'Threshold Summary'!$Y:$Y,'Threshold Summary'!$L:$L,""))/100)+5)*XLOOKUP(XLOOKUP($Q1007,'Threshold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Editor'!$E:$E,1))),stab,IF(OR(mtype=XLOOKUP(XLOOKUP($Q1007,'Threshold Summary'!$Y:$Y,'Threshold Summary'!$K:$K,""),'Pokemon Editor'!$A:$A,'Pokemon Editor'!$C:$C,""),mtype=XLOOKUP(XLOOKUP($Q1007,'Threshold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Chart'!$B$1:$S$1,0)))),base,IF(OR(cat="Status",pow=0),0,FLOOR(FLOOR(FLOOR((2*XLOOKUP($Q1007,'Threshold Summary'!$Y:$Y,'Threshold Summary'!$L:$L,"")/5+2)*pow*atk/def)/50)+2)),modifier,stab*eff,AVERAGE(ARRAYFORMULA(FLOOR(base*modifier*SEQUENCE(16,1,85,1)/100)))/(FLOOR(((2*XLOOKUP('Boss Editor'!$C$4,'Pokemon Editor'!$A:$A,'Pokemon Editor'!$E:$E,0)+31+FLOOR('Boss Editor'!$G$4/4))*'Boss Editor'!$D$4)/100)+'Boss Editor'!$D$4+10)),0)</f>
        <v/>
      </c>
      <c r="O1007" s="3">
        <f>IF(N1007&gt;=1,"OHKO",IF(N1007&gt;=0.5,"2HKO",IF(N1007&gt;=0.333,"3HKO",IF(N1007&gt;=0.25,"4HKO","5HKO+"))))</f>
        <v/>
      </c>
      <c r="P1007" s="3" t="inlineStr">
        <is>
          <t>Live from editable databases</t>
        </is>
      </c>
      <c r="Q1007" s="3" t="inlineStr">
        <is>
          <t>SPECIES_TINKATINK</t>
        </is>
      </c>
      <c r="R1007" s="3" t="n">
        <v>14</v>
      </c>
    </row>
    <row r="1008">
      <c r="A1008" s="3">
        <f>XLOOKUP($Q1008,'Threshold Summary'!$Y:$Y,'Threshold Summary'!$A:$A,"")</f>
        <v/>
      </c>
      <c r="B1008" s="3">
        <f>XLOOKUP($Q1008,'Threshold Summary'!$Y:$Y,'Threshold Summary'!$M:$M,"")</f>
        <v/>
      </c>
      <c r="C1008" s="3">
        <f>XLOOKUP($Q1008,'Threshold Summary'!$Y:$Y,'Threshold Summary'!$N:$N,"")</f>
        <v/>
      </c>
      <c r="D1008" s="3">
        <f>IFERROR(INDEX(FILTER('Learnset Editor'!$D$2:$D,'Learnset Editor'!$A$2:$A=XLOOKUP($Q1008,'Threshold Summary'!$Y:$Y,'Threshold Summary'!$K:$K,""),'Learnset Editor'!$C$2:$C&lt;=XLOOKUP($Q1008,'Threshold Summary'!$Y:$Y,'Threshold Summary'!$L:$L,"")),$R1008),"")</f>
        <v/>
      </c>
      <c r="E1008" s="3">
        <f>XLOOKUP(D1008,'Move Editor'!$B:$B,'Move Editor'!$C:$C,"")</f>
        <v/>
      </c>
      <c r="F1008" s="3">
        <f>XLOOKUP(D1008,'Move Editor'!$B:$B,'Move Editor'!$D:$D,"")</f>
        <v/>
      </c>
      <c r="G1008" s="3">
        <f>XLOOKUP(D1008,'Move Editor'!$B:$B,'Move Editor'!$E:$E,0)</f>
        <v/>
      </c>
      <c r="H1008" s="3">
        <f>XLOOKUP(D1008,'Move Editor'!$B:$B,'Move Editor'!$F:$F,0)</f>
        <v/>
      </c>
      <c r="I1008" s="3">
        <f>(INDEX('Type Chart'!$B:$S,MATCH(E1008,'Type Chart'!$A:$A,0),MATCH(XLOOKUP('Boss Editor'!$C$4,'Pokemon Editor'!$A:$A,'Pokemon Editor'!$C:$C,""),'Type Chart'!$B$1:$S$1,0))*IF(XLOOKUP('Boss Editor'!$C$4,'Pokemon Editor'!$A:$A,'Pokemon Editor'!$D:$D,"")="",1,INDEX('Type Chart'!$B:$S,MATCH(E1008,'Type Chart'!$A:$A,0),MATCH(XLOOKUP('Boss Editor'!$C$4,'Pokemon Editor'!$A:$A,'Pokemon Editor'!$D:$D,""),'Type Chart'!$B$1:$S$1,0))))</f>
        <v/>
      </c>
      <c r="J1008" s="3">
        <f>IFERROR(LET(mtype,XLOOKUP($D1008,'Move Editor'!$B:$B,'Move Editor'!$C:$C,""),cat,XLOOKUP($D1008,'Move Editor'!$B:$B,'Move Editor'!$D:$D,""),pow,XLOOKUP($D1008,'Move Editor'!$B:$B,'Move Editor'!$E:$E,0),acc,XLOOKUP($D1008,'Move Editor'!$B:$B,'Move Editor'!$F:$F,100),atk,IF(cat="Physical",FLOOR((FLOOR(((2*XLOOKUP(XLOOKUP($Q1008,'Threshold Summary'!$Y:$Y,'Threshold Summary'!$K:$K,""),'Pokemon Editor'!$A:$A,'Pokemon Editor'!$F:$F,0)+31+FLOOR(XLOOKUP($Q1008,'Threshold Summary'!$Y:$Y,'Threshold Summary'!$P:$P,"")/4))*XLOOKUP($Q1008,'Threshold Summary'!$Y:$Y,'Threshold Summary'!$L:$L,""))/100)+5)*XLOOKUP(XLOOKUP($Q1008,'Threshold Summary'!$Y:$Y,'Threshold Summary'!$M:$M,""),'Nature Editor'!$A:$A,'Nature Editor'!$B:$B,1)),FLOOR((FLOOR(((2*XLOOKUP(XLOOKUP($Q1008,'Threshold Summary'!$Y:$Y,'Threshold Summary'!$K:$K,""),'Pokemon Editor'!$A:$A,'Pokemon Editor'!$H:$H,0)+31+FLOOR(XLOOKUP($Q1008,'Threshold Summary'!$Y:$Y,'Threshold Summary'!$R:$R,"")/4))*XLOOKUP($Q1008,'Threshold Summary'!$Y:$Y,'Threshold Summary'!$L:$L,""))/100)+5)*XLOOKUP(XLOOKUP($Q1008,'Threshold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Editor'!$E:$E,1))),stab,IF(OR(mtype=XLOOKUP(XLOOKUP($Q1008,'Threshold Summary'!$Y:$Y,'Threshold Summary'!$K:$K,""),'Pokemon Editor'!$A:$A,'Pokemon Editor'!$C:$C,""),mtype=XLOOKUP(XLOOKUP($Q1008,'Threshold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Chart'!$B$1:$S$1,0)))),base,IF(OR(cat="Status",pow=0),0,FLOOR(FLOOR(FLOOR((2*XLOOKUP($Q1008,'Threshold Summary'!$Y:$Y,'Threshold Summary'!$L:$L,"")/5+2)*pow*atk/def)/50)+2)),modifier,stab*eff,FLOOR(base*modifier*0.85)),0)</f>
        <v/>
      </c>
      <c r="K1008" s="3">
        <f>IFERROR(LET(mtype,XLOOKUP($D1008,'Move Editor'!$B:$B,'Move Editor'!$C:$C,""),cat,XLOOKUP($D1008,'Move Editor'!$B:$B,'Move Editor'!$D:$D,""),pow,XLOOKUP($D1008,'Move Editor'!$B:$B,'Move Editor'!$E:$E,0),acc,XLOOKUP($D1008,'Move Editor'!$B:$B,'Move Editor'!$F:$F,100),atk,IF(cat="Physical",FLOOR((FLOOR(((2*XLOOKUP(XLOOKUP($Q1008,'Threshold Summary'!$Y:$Y,'Threshold Summary'!$K:$K,""),'Pokemon Editor'!$A:$A,'Pokemon Editor'!$F:$F,0)+31+FLOOR(XLOOKUP($Q1008,'Threshold Summary'!$Y:$Y,'Threshold Summary'!$P:$P,"")/4))*XLOOKUP($Q1008,'Threshold Summary'!$Y:$Y,'Threshold Summary'!$L:$L,""))/100)+5)*XLOOKUP(XLOOKUP($Q1008,'Threshold Summary'!$Y:$Y,'Threshold Summary'!$M:$M,""),'Nature Editor'!$A:$A,'Nature Editor'!$B:$B,1)),FLOOR((FLOOR(((2*XLOOKUP(XLOOKUP($Q1008,'Threshold Summary'!$Y:$Y,'Threshold Summary'!$K:$K,""),'Pokemon Editor'!$A:$A,'Pokemon Editor'!$H:$H,0)+31+FLOOR(XLOOKUP($Q1008,'Threshold Summary'!$Y:$Y,'Threshold Summary'!$R:$R,"")/4))*XLOOKUP($Q1008,'Threshold Summary'!$Y:$Y,'Threshold Summary'!$L:$L,""))/100)+5)*XLOOKUP(XLOOKUP($Q1008,'Threshold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Editor'!$E:$E,1))),stab,IF(OR(mtype=XLOOKUP(XLOOKUP($Q1008,'Threshold Summary'!$Y:$Y,'Threshold Summary'!$K:$K,""),'Pokemon Editor'!$A:$A,'Pokemon Editor'!$C:$C,""),mtype=XLOOKUP(XLOOKUP($Q1008,'Threshold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Chart'!$B$1:$S$1,0)))),base,IF(OR(cat="Status",pow=0),0,FLOOR(FLOOR(FLOOR((2*XLOOKUP($Q1008,'Threshold Summary'!$Y:$Y,'Threshold Summary'!$L:$L,"")/5+2)*pow*atk/def)/50)+2)),modifier,stab*eff,FLOOR(base*modifier)),0)</f>
        <v/>
      </c>
      <c r="L1008" s="3">
        <f>IFERROR(LET(mtype,XLOOKUP($D1008,'Move Editor'!$B:$B,'Move Editor'!$C:$C,""),cat,XLOOKUP($D1008,'Move Editor'!$B:$B,'Move Editor'!$D:$D,""),pow,XLOOKUP($D1008,'Move Editor'!$B:$B,'Move Editor'!$E:$E,0),acc,XLOOKUP($D1008,'Move Editor'!$B:$B,'Move Editor'!$F:$F,100),atk,IF(cat="Physical",FLOOR((FLOOR(((2*XLOOKUP(XLOOKUP($Q1008,'Threshold Summary'!$Y:$Y,'Threshold Summary'!$K:$K,""),'Pokemon Editor'!$A:$A,'Pokemon Editor'!$F:$F,0)+31+FLOOR(XLOOKUP($Q1008,'Threshold Summary'!$Y:$Y,'Threshold Summary'!$P:$P,"")/4))*XLOOKUP($Q1008,'Threshold Summary'!$Y:$Y,'Threshold Summary'!$L:$L,""))/100)+5)*XLOOKUP(XLOOKUP($Q1008,'Threshold Summary'!$Y:$Y,'Threshold Summary'!$M:$M,""),'Nature Editor'!$A:$A,'Nature Editor'!$B:$B,1)),FLOOR((FLOOR(((2*XLOOKUP(XLOOKUP($Q1008,'Threshold Summary'!$Y:$Y,'Threshold Summary'!$K:$K,""),'Pokemon Editor'!$A:$A,'Pokemon Editor'!$H:$H,0)+31+FLOOR(XLOOKUP($Q1008,'Threshold Summary'!$Y:$Y,'Threshold Summary'!$R:$R,"")/4))*XLOOKUP($Q1008,'Threshold Summary'!$Y:$Y,'Threshold Summary'!$L:$L,""))/100)+5)*XLOOKUP(XLOOKUP($Q1008,'Threshold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Editor'!$E:$E,1))),stab,IF(OR(mtype=XLOOKUP(XLOOKUP($Q1008,'Threshold Summary'!$Y:$Y,'Threshold Summary'!$K:$K,""),'Pokemon Editor'!$A:$A,'Pokemon Editor'!$C:$C,""),mtype=XLOOKUP(XLOOKUP($Q1008,'Threshold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Chart'!$B$1:$S$1,0)))),base,IF(OR(cat="Status",pow=0),0,FLOOR(FLOOR(FLOOR((2*XLOOKUP($Q1008,'Threshold Summary'!$Y:$Y,'Threshold Summary'!$L:$L,"")/5+2)*pow*atk/def)/50)+2)),modifier,stab*eff,AVERAGE(ARRAYFORMULA(FLOOR(base*modifier*SEQUENCE(16,1,85,1)/100)))),0)</f>
        <v/>
      </c>
      <c r="M1008" s="3">
        <f>IFERROR(LET(mtype,XLOOKUP($D1008,'Move Editor'!$B:$B,'Move Editor'!$C:$C,""),cat,XLOOKUP($D1008,'Move Editor'!$B:$B,'Move Editor'!$D:$D,""),pow,XLOOKUP($D1008,'Move Editor'!$B:$B,'Move Editor'!$E:$E,0),acc,XLOOKUP($D1008,'Move Editor'!$B:$B,'Move Editor'!$F:$F,100),atk,IF(cat="Physical",FLOOR((FLOOR(((2*XLOOKUP(XLOOKUP($Q1008,'Threshold Summary'!$Y:$Y,'Threshold Summary'!$K:$K,""),'Pokemon Editor'!$A:$A,'Pokemon Editor'!$F:$F,0)+31+FLOOR(XLOOKUP($Q1008,'Threshold Summary'!$Y:$Y,'Threshold Summary'!$P:$P,"")/4))*XLOOKUP($Q1008,'Threshold Summary'!$Y:$Y,'Threshold Summary'!$L:$L,""))/100)+5)*XLOOKUP(XLOOKUP($Q1008,'Threshold Summary'!$Y:$Y,'Threshold Summary'!$M:$M,""),'Nature Editor'!$A:$A,'Nature Editor'!$B:$B,1)),FLOOR((FLOOR(((2*XLOOKUP(XLOOKUP($Q1008,'Threshold Summary'!$Y:$Y,'Threshold Summary'!$K:$K,""),'Pokemon Editor'!$A:$A,'Pokemon Editor'!$H:$H,0)+31+FLOOR(XLOOKUP($Q1008,'Threshold Summary'!$Y:$Y,'Threshold Summary'!$R:$R,"")/4))*XLOOKUP($Q1008,'Threshold Summary'!$Y:$Y,'Threshold Summary'!$L:$L,""))/100)+5)*XLOOKUP(XLOOKUP($Q1008,'Threshold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Editor'!$E:$E,1))),stab,IF(OR(mtype=XLOOKUP(XLOOKUP($Q1008,'Threshold Summary'!$Y:$Y,'Threshold Summary'!$K:$K,""),'Pokemon Editor'!$A:$A,'Pokemon Editor'!$C:$C,""),mtype=XLOOKUP(XLOOKUP($Q1008,'Threshold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Chart'!$B$1:$S$1,0)))),base,IF(OR(cat="Status",pow=0),0,FLOOR(FLOOR(FLOOR((2*XLOOKUP($Q1008,'Threshold Summary'!$Y:$Y,'Threshold Summary'!$L:$L,"")/5+2)*pow*atk/def)/50)+2)),modifier,stab*eff,AVERAGE(ARRAYFORMULA(FLOOR(base*modifier*SEQUENCE(16,1,85,1)/100)))*MIN(1,acc/100)),0)</f>
        <v/>
      </c>
      <c r="N1008" s="4">
        <f>IFERROR(LET(mtype,XLOOKUP($D1008,'Move Editor'!$B:$B,'Move Editor'!$C:$C,""),cat,XLOOKUP($D1008,'Move Editor'!$B:$B,'Move Editor'!$D:$D,""),pow,XLOOKUP($D1008,'Move Editor'!$B:$B,'Move Editor'!$E:$E,0),acc,XLOOKUP($D1008,'Move Editor'!$B:$B,'Move Editor'!$F:$F,100),atk,IF(cat="Physical",FLOOR((FLOOR(((2*XLOOKUP(XLOOKUP($Q1008,'Threshold Summary'!$Y:$Y,'Threshold Summary'!$K:$K,""),'Pokemon Editor'!$A:$A,'Pokemon Editor'!$F:$F,0)+31+FLOOR(XLOOKUP($Q1008,'Threshold Summary'!$Y:$Y,'Threshold Summary'!$P:$P,"")/4))*XLOOKUP($Q1008,'Threshold Summary'!$Y:$Y,'Threshold Summary'!$L:$L,""))/100)+5)*XLOOKUP(XLOOKUP($Q1008,'Threshold Summary'!$Y:$Y,'Threshold Summary'!$M:$M,""),'Nature Editor'!$A:$A,'Nature Editor'!$B:$B,1)),FLOOR((FLOOR(((2*XLOOKUP(XLOOKUP($Q1008,'Threshold Summary'!$Y:$Y,'Threshold Summary'!$K:$K,""),'Pokemon Editor'!$A:$A,'Pokemon Editor'!$H:$H,0)+31+FLOOR(XLOOKUP($Q1008,'Threshold Summary'!$Y:$Y,'Threshold Summary'!$R:$R,"")/4))*XLOOKUP($Q1008,'Threshold Summary'!$Y:$Y,'Threshold Summary'!$L:$L,""))/100)+5)*XLOOKUP(XLOOKUP($Q1008,'Threshold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Editor'!$E:$E,1))),stab,IF(OR(mtype=XLOOKUP(XLOOKUP($Q1008,'Threshold Summary'!$Y:$Y,'Threshold Summary'!$K:$K,""),'Pokemon Editor'!$A:$A,'Pokemon Editor'!$C:$C,""),mtype=XLOOKUP(XLOOKUP($Q1008,'Threshold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Chart'!$B$1:$S$1,0)))),base,IF(OR(cat="Status",pow=0),0,FLOOR(FLOOR(FLOOR((2*XLOOKUP($Q1008,'Threshold Summary'!$Y:$Y,'Threshold Summary'!$L:$L,"")/5+2)*pow*atk/def)/50)+2)),modifier,stab*eff,AVERAGE(ARRAYFORMULA(FLOOR(base*modifier*SEQUENCE(16,1,85,1)/100)))/(FLOOR(((2*XLOOKUP('Boss Editor'!$C$4,'Pokemon Editor'!$A:$A,'Pokemon Editor'!$E:$E,0)+31+FLOOR('Boss Editor'!$G$4/4))*'Boss Editor'!$D$4)/100)+'Boss Editor'!$D$4+10)),0)</f>
        <v/>
      </c>
      <c r="O1008" s="3">
        <f>IF(N1008&gt;=1,"OHKO",IF(N1008&gt;=0.5,"2HKO",IF(N1008&gt;=0.333,"3HKO",IF(N1008&gt;=0.25,"4HKO","5HKO+"))))</f>
        <v/>
      </c>
      <c r="P1008" s="3" t="inlineStr">
        <is>
          <t>Live from editable databases</t>
        </is>
      </c>
      <c r="Q1008" s="3" t="inlineStr">
        <is>
          <t>SPECIES_TINKATINK</t>
        </is>
      </c>
      <c r="R1008" s="3" t="n">
        <v>15</v>
      </c>
    </row>
    <row r="1009">
      <c r="A1009" s="3">
        <f>XLOOKUP($Q1009,'Threshold Summary'!$Y:$Y,'Threshold Summary'!$A:$A,"")</f>
        <v/>
      </c>
      <c r="B1009" s="3">
        <f>XLOOKUP($Q1009,'Threshold Summary'!$Y:$Y,'Threshold Summary'!$M:$M,"")</f>
        <v/>
      </c>
      <c r="C1009" s="3">
        <f>XLOOKUP($Q1009,'Threshold Summary'!$Y:$Y,'Threshold Summary'!$N:$N,"")</f>
        <v/>
      </c>
      <c r="D1009" s="3">
        <f>IFERROR(INDEX(FILTER('Learnset Editor'!$D$2:$D,'Learnset Editor'!$A$2:$A=XLOOKUP($Q1009,'Threshold Summary'!$Y:$Y,'Threshold Summary'!$K:$K,""),'Learnset Editor'!$C$2:$C&lt;=XLOOKUP($Q1009,'Threshold Summary'!$Y:$Y,'Threshold Summary'!$L:$L,"")),$R1009),"")</f>
        <v/>
      </c>
      <c r="E1009" s="3">
        <f>XLOOKUP(D1009,'Move Editor'!$B:$B,'Move Editor'!$C:$C,"")</f>
        <v/>
      </c>
      <c r="F1009" s="3">
        <f>XLOOKUP(D1009,'Move Editor'!$B:$B,'Move Editor'!$D:$D,"")</f>
        <v/>
      </c>
      <c r="G1009" s="3">
        <f>XLOOKUP(D1009,'Move Editor'!$B:$B,'Move Editor'!$E:$E,0)</f>
        <v/>
      </c>
      <c r="H1009" s="3">
        <f>XLOOKUP(D1009,'Move Editor'!$B:$B,'Move Editor'!$F:$F,0)</f>
        <v/>
      </c>
      <c r="I1009" s="3">
        <f>(INDEX('Type Chart'!$B:$S,MATCH(E1009,'Type Chart'!$A:$A,0),MATCH(XLOOKUP('Boss Editor'!$C$4,'Pokemon Editor'!$A:$A,'Pokemon Editor'!$C:$C,""),'Type Chart'!$B$1:$S$1,0))*IF(XLOOKUP('Boss Editor'!$C$4,'Pokemon Editor'!$A:$A,'Pokemon Editor'!$D:$D,"")="",1,INDEX('Type Chart'!$B:$S,MATCH(E1009,'Type Chart'!$A:$A,0),MATCH(XLOOKUP('Boss Editor'!$C$4,'Pokemon Editor'!$A:$A,'Pokemon Editor'!$D:$D,""),'Type Chart'!$B$1:$S$1,0))))</f>
        <v/>
      </c>
      <c r="J1009" s="3">
        <f>IFERROR(LET(mtype,XLOOKUP($D1009,'Move Editor'!$B:$B,'Move Editor'!$C:$C,""),cat,XLOOKUP($D1009,'Move Editor'!$B:$B,'Move Editor'!$D:$D,""),pow,XLOOKUP($D1009,'Move Editor'!$B:$B,'Move Editor'!$E:$E,0),acc,XLOOKUP($D1009,'Move Editor'!$B:$B,'Move Editor'!$F:$F,100),atk,IF(cat="Physical",FLOOR((FLOOR(((2*XLOOKUP(XLOOKUP($Q1009,'Threshold Summary'!$Y:$Y,'Threshold Summary'!$K:$K,""),'Pokemon Editor'!$A:$A,'Pokemon Editor'!$F:$F,0)+31+FLOOR(XLOOKUP($Q1009,'Threshold Summary'!$Y:$Y,'Threshold Summary'!$P:$P,"")/4))*XLOOKUP($Q1009,'Threshold Summary'!$Y:$Y,'Threshold Summary'!$L:$L,""))/100)+5)*XLOOKUP(XLOOKUP($Q1009,'Threshold Summary'!$Y:$Y,'Threshold Summary'!$M:$M,""),'Nature Editor'!$A:$A,'Nature Editor'!$B:$B,1)),FLOOR((FLOOR(((2*XLOOKUP(XLOOKUP($Q1009,'Threshold Summary'!$Y:$Y,'Threshold Summary'!$K:$K,""),'Pokemon Editor'!$A:$A,'Pokemon Editor'!$H:$H,0)+31+FLOOR(XLOOKUP($Q1009,'Threshold Summary'!$Y:$Y,'Threshold Summary'!$R:$R,"")/4))*XLOOKUP($Q1009,'Threshold Summary'!$Y:$Y,'Threshold Summary'!$L:$L,""))/100)+5)*XLOOKUP(XLOOKUP($Q1009,'Threshold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Editor'!$E:$E,1))),stab,IF(OR(mtype=XLOOKUP(XLOOKUP($Q1009,'Threshold Summary'!$Y:$Y,'Threshold Summary'!$K:$K,""),'Pokemon Editor'!$A:$A,'Pokemon Editor'!$C:$C,""),mtype=XLOOKUP(XLOOKUP($Q1009,'Threshold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Chart'!$B$1:$S$1,0)))),base,IF(OR(cat="Status",pow=0),0,FLOOR(FLOOR(FLOOR((2*XLOOKUP($Q1009,'Threshold Summary'!$Y:$Y,'Threshold Summary'!$L:$L,"")/5+2)*pow*atk/def)/50)+2)),modifier,stab*eff,FLOOR(base*modifier*0.85)),0)</f>
        <v/>
      </c>
      <c r="K1009" s="3">
        <f>IFERROR(LET(mtype,XLOOKUP($D1009,'Move Editor'!$B:$B,'Move Editor'!$C:$C,""),cat,XLOOKUP($D1009,'Move Editor'!$B:$B,'Move Editor'!$D:$D,""),pow,XLOOKUP($D1009,'Move Editor'!$B:$B,'Move Editor'!$E:$E,0),acc,XLOOKUP($D1009,'Move Editor'!$B:$B,'Move Editor'!$F:$F,100),atk,IF(cat="Physical",FLOOR((FLOOR(((2*XLOOKUP(XLOOKUP($Q1009,'Threshold Summary'!$Y:$Y,'Threshold Summary'!$K:$K,""),'Pokemon Editor'!$A:$A,'Pokemon Editor'!$F:$F,0)+31+FLOOR(XLOOKUP($Q1009,'Threshold Summary'!$Y:$Y,'Threshold Summary'!$P:$P,"")/4))*XLOOKUP($Q1009,'Threshold Summary'!$Y:$Y,'Threshold Summary'!$L:$L,""))/100)+5)*XLOOKUP(XLOOKUP($Q1009,'Threshold Summary'!$Y:$Y,'Threshold Summary'!$M:$M,""),'Nature Editor'!$A:$A,'Nature Editor'!$B:$B,1)),FLOOR((FLOOR(((2*XLOOKUP(XLOOKUP($Q1009,'Threshold Summary'!$Y:$Y,'Threshold Summary'!$K:$K,""),'Pokemon Editor'!$A:$A,'Pokemon Editor'!$H:$H,0)+31+FLOOR(XLOOKUP($Q1009,'Threshold Summary'!$Y:$Y,'Threshold Summary'!$R:$R,"")/4))*XLOOKUP($Q1009,'Threshold Summary'!$Y:$Y,'Threshold Summary'!$L:$L,""))/100)+5)*XLOOKUP(XLOOKUP($Q1009,'Threshold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Editor'!$E:$E,1))),stab,IF(OR(mtype=XLOOKUP(XLOOKUP($Q1009,'Threshold Summary'!$Y:$Y,'Threshold Summary'!$K:$K,""),'Pokemon Editor'!$A:$A,'Pokemon Editor'!$C:$C,""),mtype=XLOOKUP(XLOOKUP($Q1009,'Threshold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Chart'!$B$1:$S$1,0)))),base,IF(OR(cat="Status",pow=0),0,FLOOR(FLOOR(FLOOR((2*XLOOKUP($Q1009,'Threshold Summary'!$Y:$Y,'Threshold Summary'!$L:$L,"")/5+2)*pow*atk/def)/50)+2)),modifier,stab*eff,FLOOR(base*modifier)),0)</f>
        <v/>
      </c>
      <c r="L1009" s="3">
        <f>IFERROR(LET(mtype,XLOOKUP($D1009,'Move Editor'!$B:$B,'Move Editor'!$C:$C,""),cat,XLOOKUP($D1009,'Move Editor'!$B:$B,'Move Editor'!$D:$D,""),pow,XLOOKUP($D1009,'Move Editor'!$B:$B,'Move Editor'!$E:$E,0),acc,XLOOKUP($D1009,'Move Editor'!$B:$B,'Move Editor'!$F:$F,100),atk,IF(cat="Physical",FLOOR((FLOOR(((2*XLOOKUP(XLOOKUP($Q1009,'Threshold Summary'!$Y:$Y,'Threshold Summary'!$K:$K,""),'Pokemon Editor'!$A:$A,'Pokemon Editor'!$F:$F,0)+31+FLOOR(XLOOKUP($Q1009,'Threshold Summary'!$Y:$Y,'Threshold Summary'!$P:$P,"")/4))*XLOOKUP($Q1009,'Threshold Summary'!$Y:$Y,'Threshold Summary'!$L:$L,""))/100)+5)*XLOOKUP(XLOOKUP($Q1009,'Threshold Summary'!$Y:$Y,'Threshold Summary'!$M:$M,""),'Nature Editor'!$A:$A,'Nature Editor'!$B:$B,1)),FLOOR((FLOOR(((2*XLOOKUP(XLOOKUP($Q1009,'Threshold Summary'!$Y:$Y,'Threshold Summary'!$K:$K,""),'Pokemon Editor'!$A:$A,'Pokemon Editor'!$H:$H,0)+31+FLOOR(XLOOKUP($Q1009,'Threshold Summary'!$Y:$Y,'Threshold Summary'!$R:$R,"")/4))*XLOOKUP($Q1009,'Threshold Summary'!$Y:$Y,'Threshold Summary'!$L:$L,""))/100)+5)*XLOOKUP(XLOOKUP($Q1009,'Threshold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Editor'!$E:$E,1))),stab,IF(OR(mtype=XLOOKUP(XLOOKUP($Q1009,'Threshold Summary'!$Y:$Y,'Threshold Summary'!$K:$K,""),'Pokemon Editor'!$A:$A,'Pokemon Editor'!$C:$C,""),mtype=XLOOKUP(XLOOKUP($Q1009,'Threshold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Chart'!$B$1:$S$1,0)))),base,IF(OR(cat="Status",pow=0),0,FLOOR(FLOOR(FLOOR((2*XLOOKUP($Q1009,'Threshold Summary'!$Y:$Y,'Threshold Summary'!$L:$L,"")/5+2)*pow*atk/def)/50)+2)),modifier,stab*eff,AVERAGE(ARRAYFORMULA(FLOOR(base*modifier*SEQUENCE(16,1,85,1)/100)))),0)</f>
        <v/>
      </c>
      <c r="M1009" s="3">
        <f>IFERROR(LET(mtype,XLOOKUP($D1009,'Move Editor'!$B:$B,'Move Editor'!$C:$C,""),cat,XLOOKUP($D1009,'Move Editor'!$B:$B,'Move Editor'!$D:$D,""),pow,XLOOKUP($D1009,'Move Editor'!$B:$B,'Move Editor'!$E:$E,0),acc,XLOOKUP($D1009,'Move Editor'!$B:$B,'Move Editor'!$F:$F,100),atk,IF(cat="Physical",FLOOR((FLOOR(((2*XLOOKUP(XLOOKUP($Q1009,'Threshold Summary'!$Y:$Y,'Threshold Summary'!$K:$K,""),'Pokemon Editor'!$A:$A,'Pokemon Editor'!$F:$F,0)+31+FLOOR(XLOOKUP($Q1009,'Threshold Summary'!$Y:$Y,'Threshold Summary'!$P:$P,"")/4))*XLOOKUP($Q1009,'Threshold Summary'!$Y:$Y,'Threshold Summary'!$L:$L,""))/100)+5)*XLOOKUP(XLOOKUP($Q1009,'Threshold Summary'!$Y:$Y,'Threshold Summary'!$M:$M,""),'Nature Editor'!$A:$A,'Nature Editor'!$B:$B,1)),FLOOR((FLOOR(((2*XLOOKUP(XLOOKUP($Q1009,'Threshold Summary'!$Y:$Y,'Threshold Summary'!$K:$K,""),'Pokemon Editor'!$A:$A,'Pokemon Editor'!$H:$H,0)+31+FLOOR(XLOOKUP($Q1009,'Threshold Summary'!$Y:$Y,'Threshold Summary'!$R:$R,"")/4))*XLOOKUP($Q1009,'Threshold Summary'!$Y:$Y,'Threshold Summary'!$L:$L,""))/100)+5)*XLOOKUP(XLOOKUP($Q1009,'Threshold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Editor'!$E:$E,1))),stab,IF(OR(mtype=XLOOKUP(XLOOKUP($Q1009,'Threshold Summary'!$Y:$Y,'Threshold Summary'!$K:$K,""),'Pokemon Editor'!$A:$A,'Pokemon Editor'!$C:$C,""),mtype=XLOOKUP(XLOOKUP($Q1009,'Threshold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Chart'!$B$1:$S$1,0)))),base,IF(OR(cat="Status",pow=0),0,FLOOR(FLOOR(FLOOR((2*XLOOKUP($Q1009,'Threshold Summary'!$Y:$Y,'Threshold Summary'!$L:$L,"")/5+2)*pow*atk/def)/50)+2)),modifier,stab*eff,AVERAGE(ARRAYFORMULA(FLOOR(base*modifier*SEQUENCE(16,1,85,1)/100)))*MIN(1,acc/100)),0)</f>
        <v/>
      </c>
      <c r="N1009" s="4">
        <f>IFERROR(LET(mtype,XLOOKUP($D1009,'Move Editor'!$B:$B,'Move Editor'!$C:$C,""),cat,XLOOKUP($D1009,'Move Editor'!$B:$B,'Move Editor'!$D:$D,""),pow,XLOOKUP($D1009,'Move Editor'!$B:$B,'Move Editor'!$E:$E,0),acc,XLOOKUP($D1009,'Move Editor'!$B:$B,'Move Editor'!$F:$F,100),atk,IF(cat="Physical",FLOOR((FLOOR(((2*XLOOKUP(XLOOKUP($Q1009,'Threshold Summary'!$Y:$Y,'Threshold Summary'!$K:$K,""),'Pokemon Editor'!$A:$A,'Pokemon Editor'!$F:$F,0)+31+FLOOR(XLOOKUP($Q1009,'Threshold Summary'!$Y:$Y,'Threshold Summary'!$P:$P,"")/4))*XLOOKUP($Q1009,'Threshold Summary'!$Y:$Y,'Threshold Summary'!$L:$L,""))/100)+5)*XLOOKUP(XLOOKUP($Q1009,'Threshold Summary'!$Y:$Y,'Threshold Summary'!$M:$M,""),'Nature Editor'!$A:$A,'Nature Editor'!$B:$B,1)),FLOOR((FLOOR(((2*XLOOKUP(XLOOKUP($Q1009,'Threshold Summary'!$Y:$Y,'Threshold Summary'!$K:$K,""),'Pokemon Editor'!$A:$A,'Pokemon Editor'!$H:$H,0)+31+FLOOR(XLOOKUP($Q1009,'Threshold Summary'!$Y:$Y,'Threshold Summary'!$R:$R,"")/4))*XLOOKUP($Q1009,'Threshold Summary'!$Y:$Y,'Threshold Summary'!$L:$L,""))/100)+5)*XLOOKUP(XLOOKUP($Q1009,'Threshold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Editor'!$E:$E,1))),stab,IF(OR(mtype=XLOOKUP(XLOOKUP($Q1009,'Threshold Summary'!$Y:$Y,'Threshold Summary'!$K:$K,""),'Pokemon Editor'!$A:$A,'Pokemon Editor'!$C:$C,""),mtype=XLOOKUP(XLOOKUP($Q1009,'Threshold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Chart'!$B$1:$S$1,0)))),base,IF(OR(cat="Status",pow=0),0,FLOOR(FLOOR(FLOOR((2*XLOOKUP($Q1009,'Threshold Summary'!$Y:$Y,'Threshold Summary'!$L:$L,"")/5+2)*pow*atk/def)/50)+2)),modifier,stab*eff,AVERAGE(ARRAYFORMULA(FLOOR(base*modifier*SEQUENCE(16,1,85,1)/100)))/(FLOOR(((2*XLOOKUP('Boss Editor'!$C$4,'Pokemon Editor'!$A:$A,'Pokemon Editor'!$E:$E,0)+31+FLOOR('Boss Editor'!$G$4/4))*'Boss Editor'!$D$4)/100)+'Boss Editor'!$D$4+10)),0)</f>
        <v/>
      </c>
      <c r="O1009" s="3">
        <f>IF(N1009&gt;=1,"OHKO",IF(N1009&gt;=0.5,"2HKO",IF(N1009&gt;=0.333,"3HKO",IF(N1009&gt;=0.25,"4HKO","5HKO+"))))</f>
        <v/>
      </c>
      <c r="P1009" s="3" t="inlineStr">
        <is>
          <t>Live from editable databases</t>
        </is>
      </c>
      <c r="Q1009" s="3" t="inlineStr">
        <is>
          <t>SPECIES_TINKATINK</t>
        </is>
      </c>
      <c r="R1009" s="3" t="n">
        <v>16</v>
      </c>
    </row>
    <row r="1010">
      <c r="A1010" s="3">
        <f>XLOOKUP($Q1010,'Threshold Summary'!$Y:$Y,'Threshold Summary'!$A:$A,"")</f>
        <v/>
      </c>
      <c r="B1010" s="3">
        <f>XLOOKUP($Q1010,'Threshold Summary'!$Y:$Y,'Threshold Summary'!$M:$M,"")</f>
        <v/>
      </c>
      <c r="C1010" s="3">
        <f>XLOOKUP($Q1010,'Threshold Summary'!$Y:$Y,'Threshold Summary'!$N:$N,"")</f>
        <v/>
      </c>
      <c r="D1010" s="3">
        <f>IFERROR(INDEX(FILTER('Learnset Editor'!$D$2:$D,'Learnset Editor'!$A$2:$A=XLOOKUP($Q1010,'Threshold Summary'!$Y:$Y,'Threshold Summary'!$K:$K,""),'Learnset Editor'!$C$2:$C&lt;=XLOOKUP($Q1010,'Threshold Summary'!$Y:$Y,'Threshold Summary'!$L:$L,"")),$R1010),"")</f>
        <v/>
      </c>
      <c r="E1010" s="3">
        <f>XLOOKUP(D1010,'Move Editor'!$B:$B,'Move Editor'!$C:$C,"")</f>
        <v/>
      </c>
      <c r="F1010" s="3">
        <f>XLOOKUP(D1010,'Move Editor'!$B:$B,'Move Editor'!$D:$D,"")</f>
        <v/>
      </c>
      <c r="G1010" s="3">
        <f>XLOOKUP(D1010,'Move Editor'!$B:$B,'Move Editor'!$E:$E,0)</f>
        <v/>
      </c>
      <c r="H1010" s="3">
        <f>XLOOKUP(D1010,'Move Editor'!$B:$B,'Move Editor'!$F:$F,0)</f>
        <v/>
      </c>
      <c r="I1010" s="3">
        <f>(INDEX('Type Chart'!$B:$S,MATCH(E1010,'Type Chart'!$A:$A,0),MATCH(XLOOKUP('Boss Editor'!$C$4,'Pokemon Editor'!$A:$A,'Pokemon Editor'!$C:$C,""),'Type Chart'!$B$1:$S$1,0))*IF(XLOOKUP('Boss Editor'!$C$4,'Pokemon Editor'!$A:$A,'Pokemon Editor'!$D:$D,"")="",1,INDEX('Type Chart'!$B:$S,MATCH(E1010,'Type Chart'!$A:$A,0),MATCH(XLOOKUP('Boss Editor'!$C$4,'Pokemon Editor'!$A:$A,'Pokemon Editor'!$D:$D,""),'Type Chart'!$B$1:$S$1,0))))</f>
        <v/>
      </c>
      <c r="J1010" s="3">
        <f>IFERROR(LET(mtype,XLOOKUP($D1010,'Move Editor'!$B:$B,'Move Editor'!$C:$C,""),cat,XLOOKUP($D1010,'Move Editor'!$B:$B,'Move Editor'!$D:$D,""),pow,XLOOKUP($D1010,'Move Editor'!$B:$B,'Move Editor'!$E:$E,0),acc,XLOOKUP($D1010,'Move Editor'!$B:$B,'Move Editor'!$F:$F,100),atk,IF(cat="Physical",FLOOR((FLOOR(((2*XLOOKUP(XLOOKUP($Q1010,'Threshold Summary'!$Y:$Y,'Threshold Summary'!$K:$K,""),'Pokemon Editor'!$A:$A,'Pokemon Editor'!$F:$F,0)+31+FLOOR(XLOOKUP($Q1010,'Threshold Summary'!$Y:$Y,'Threshold Summary'!$P:$P,"")/4))*XLOOKUP($Q1010,'Threshold Summary'!$Y:$Y,'Threshold Summary'!$L:$L,""))/100)+5)*XLOOKUP(XLOOKUP($Q1010,'Threshold Summary'!$Y:$Y,'Threshold Summary'!$M:$M,""),'Nature Editor'!$A:$A,'Nature Editor'!$B:$B,1)),FLOOR((FLOOR(((2*XLOOKUP(XLOOKUP($Q1010,'Threshold Summary'!$Y:$Y,'Threshold Summary'!$K:$K,""),'Pokemon Editor'!$A:$A,'Pokemon Editor'!$H:$H,0)+31+FLOOR(XLOOKUP($Q1010,'Threshold Summary'!$Y:$Y,'Threshold Summary'!$R:$R,"")/4))*XLOOKUP($Q1010,'Threshold Summary'!$Y:$Y,'Threshold Summary'!$L:$L,""))/100)+5)*XLOOKUP(XLOOKUP($Q1010,'Threshold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Editor'!$E:$E,1))),stab,IF(OR(mtype=XLOOKUP(XLOOKUP($Q1010,'Threshold Summary'!$Y:$Y,'Threshold Summary'!$K:$K,""),'Pokemon Editor'!$A:$A,'Pokemon Editor'!$C:$C,""),mtype=XLOOKUP(XLOOKUP($Q1010,'Threshold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Chart'!$B$1:$S$1,0)))),base,IF(OR(cat="Status",pow=0),0,FLOOR(FLOOR(FLOOR((2*XLOOKUP($Q1010,'Threshold Summary'!$Y:$Y,'Threshold Summary'!$L:$L,"")/5+2)*pow*atk/def)/50)+2)),modifier,stab*eff,FLOOR(base*modifier*0.85)),0)</f>
        <v/>
      </c>
      <c r="K1010" s="3">
        <f>IFERROR(LET(mtype,XLOOKUP($D1010,'Move Editor'!$B:$B,'Move Editor'!$C:$C,""),cat,XLOOKUP($D1010,'Move Editor'!$B:$B,'Move Editor'!$D:$D,""),pow,XLOOKUP($D1010,'Move Editor'!$B:$B,'Move Editor'!$E:$E,0),acc,XLOOKUP($D1010,'Move Editor'!$B:$B,'Move Editor'!$F:$F,100),atk,IF(cat="Physical",FLOOR((FLOOR(((2*XLOOKUP(XLOOKUP($Q1010,'Threshold Summary'!$Y:$Y,'Threshold Summary'!$K:$K,""),'Pokemon Editor'!$A:$A,'Pokemon Editor'!$F:$F,0)+31+FLOOR(XLOOKUP($Q1010,'Threshold Summary'!$Y:$Y,'Threshold Summary'!$P:$P,"")/4))*XLOOKUP($Q1010,'Threshold Summary'!$Y:$Y,'Threshold Summary'!$L:$L,""))/100)+5)*XLOOKUP(XLOOKUP($Q1010,'Threshold Summary'!$Y:$Y,'Threshold Summary'!$M:$M,""),'Nature Editor'!$A:$A,'Nature Editor'!$B:$B,1)),FLOOR((FLOOR(((2*XLOOKUP(XLOOKUP($Q1010,'Threshold Summary'!$Y:$Y,'Threshold Summary'!$K:$K,""),'Pokemon Editor'!$A:$A,'Pokemon Editor'!$H:$H,0)+31+FLOOR(XLOOKUP($Q1010,'Threshold Summary'!$Y:$Y,'Threshold Summary'!$R:$R,"")/4))*XLOOKUP($Q1010,'Threshold Summary'!$Y:$Y,'Threshold Summary'!$L:$L,""))/100)+5)*XLOOKUP(XLOOKUP($Q1010,'Threshold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Editor'!$E:$E,1))),stab,IF(OR(mtype=XLOOKUP(XLOOKUP($Q1010,'Threshold Summary'!$Y:$Y,'Threshold Summary'!$K:$K,""),'Pokemon Editor'!$A:$A,'Pokemon Editor'!$C:$C,""),mtype=XLOOKUP(XLOOKUP($Q1010,'Threshold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Chart'!$B$1:$S$1,0)))),base,IF(OR(cat="Status",pow=0),0,FLOOR(FLOOR(FLOOR((2*XLOOKUP($Q1010,'Threshold Summary'!$Y:$Y,'Threshold Summary'!$L:$L,"")/5+2)*pow*atk/def)/50)+2)),modifier,stab*eff,FLOOR(base*modifier)),0)</f>
        <v/>
      </c>
      <c r="L1010" s="3">
        <f>IFERROR(LET(mtype,XLOOKUP($D1010,'Move Editor'!$B:$B,'Move Editor'!$C:$C,""),cat,XLOOKUP($D1010,'Move Editor'!$B:$B,'Move Editor'!$D:$D,""),pow,XLOOKUP($D1010,'Move Editor'!$B:$B,'Move Editor'!$E:$E,0),acc,XLOOKUP($D1010,'Move Editor'!$B:$B,'Move Editor'!$F:$F,100),atk,IF(cat="Physical",FLOOR((FLOOR(((2*XLOOKUP(XLOOKUP($Q1010,'Threshold Summary'!$Y:$Y,'Threshold Summary'!$K:$K,""),'Pokemon Editor'!$A:$A,'Pokemon Editor'!$F:$F,0)+31+FLOOR(XLOOKUP($Q1010,'Threshold Summary'!$Y:$Y,'Threshold Summary'!$P:$P,"")/4))*XLOOKUP($Q1010,'Threshold Summary'!$Y:$Y,'Threshold Summary'!$L:$L,""))/100)+5)*XLOOKUP(XLOOKUP($Q1010,'Threshold Summary'!$Y:$Y,'Threshold Summary'!$M:$M,""),'Nature Editor'!$A:$A,'Nature Editor'!$B:$B,1)),FLOOR((FLOOR(((2*XLOOKUP(XLOOKUP($Q1010,'Threshold Summary'!$Y:$Y,'Threshold Summary'!$K:$K,""),'Pokemon Editor'!$A:$A,'Pokemon Editor'!$H:$H,0)+31+FLOOR(XLOOKUP($Q1010,'Threshold Summary'!$Y:$Y,'Threshold Summary'!$R:$R,"")/4))*XLOOKUP($Q1010,'Threshold Summary'!$Y:$Y,'Threshold Summary'!$L:$L,""))/100)+5)*XLOOKUP(XLOOKUP($Q1010,'Threshold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Editor'!$E:$E,1))),stab,IF(OR(mtype=XLOOKUP(XLOOKUP($Q1010,'Threshold Summary'!$Y:$Y,'Threshold Summary'!$K:$K,""),'Pokemon Editor'!$A:$A,'Pokemon Editor'!$C:$C,""),mtype=XLOOKUP(XLOOKUP($Q1010,'Threshold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Chart'!$B$1:$S$1,0)))),base,IF(OR(cat="Status",pow=0),0,FLOOR(FLOOR(FLOOR((2*XLOOKUP($Q1010,'Threshold Summary'!$Y:$Y,'Threshold Summary'!$L:$L,"")/5+2)*pow*atk/def)/50)+2)),modifier,stab*eff,AVERAGE(ARRAYFORMULA(FLOOR(base*modifier*SEQUENCE(16,1,85,1)/100)))),0)</f>
        <v/>
      </c>
      <c r="M1010" s="3">
        <f>IFERROR(LET(mtype,XLOOKUP($D1010,'Move Editor'!$B:$B,'Move Editor'!$C:$C,""),cat,XLOOKUP($D1010,'Move Editor'!$B:$B,'Move Editor'!$D:$D,""),pow,XLOOKUP($D1010,'Move Editor'!$B:$B,'Move Editor'!$E:$E,0),acc,XLOOKUP($D1010,'Move Editor'!$B:$B,'Move Editor'!$F:$F,100),atk,IF(cat="Physical",FLOOR((FLOOR(((2*XLOOKUP(XLOOKUP($Q1010,'Threshold Summary'!$Y:$Y,'Threshold Summary'!$K:$K,""),'Pokemon Editor'!$A:$A,'Pokemon Editor'!$F:$F,0)+31+FLOOR(XLOOKUP($Q1010,'Threshold Summary'!$Y:$Y,'Threshold Summary'!$P:$P,"")/4))*XLOOKUP($Q1010,'Threshold Summary'!$Y:$Y,'Threshold Summary'!$L:$L,""))/100)+5)*XLOOKUP(XLOOKUP($Q1010,'Threshold Summary'!$Y:$Y,'Threshold Summary'!$M:$M,""),'Nature Editor'!$A:$A,'Nature Editor'!$B:$B,1)),FLOOR((FLOOR(((2*XLOOKUP(XLOOKUP($Q1010,'Threshold Summary'!$Y:$Y,'Threshold Summary'!$K:$K,""),'Pokemon Editor'!$A:$A,'Pokemon Editor'!$H:$H,0)+31+FLOOR(XLOOKUP($Q1010,'Threshold Summary'!$Y:$Y,'Threshold Summary'!$R:$R,"")/4))*XLOOKUP($Q1010,'Threshold Summary'!$Y:$Y,'Threshold Summary'!$L:$L,""))/100)+5)*XLOOKUP(XLOOKUP($Q1010,'Threshold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Editor'!$E:$E,1))),stab,IF(OR(mtype=XLOOKUP(XLOOKUP($Q1010,'Threshold Summary'!$Y:$Y,'Threshold Summary'!$K:$K,""),'Pokemon Editor'!$A:$A,'Pokemon Editor'!$C:$C,""),mtype=XLOOKUP(XLOOKUP($Q1010,'Threshold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Chart'!$B$1:$S$1,0)))),base,IF(OR(cat="Status",pow=0),0,FLOOR(FLOOR(FLOOR((2*XLOOKUP($Q1010,'Threshold Summary'!$Y:$Y,'Threshold Summary'!$L:$L,"")/5+2)*pow*atk/def)/50)+2)),modifier,stab*eff,AVERAGE(ARRAYFORMULA(FLOOR(base*modifier*SEQUENCE(16,1,85,1)/100)))*MIN(1,acc/100)),0)</f>
        <v/>
      </c>
      <c r="N1010" s="4">
        <f>IFERROR(LET(mtype,XLOOKUP($D1010,'Move Editor'!$B:$B,'Move Editor'!$C:$C,""),cat,XLOOKUP($D1010,'Move Editor'!$B:$B,'Move Editor'!$D:$D,""),pow,XLOOKUP($D1010,'Move Editor'!$B:$B,'Move Editor'!$E:$E,0),acc,XLOOKUP($D1010,'Move Editor'!$B:$B,'Move Editor'!$F:$F,100),atk,IF(cat="Physical",FLOOR((FLOOR(((2*XLOOKUP(XLOOKUP($Q1010,'Threshold Summary'!$Y:$Y,'Threshold Summary'!$K:$K,""),'Pokemon Editor'!$A:$A,'Pokemon Editor'!$F:$F,0)+31+FLOOR(XLOOKUP($Q1010,'Threshold Summary'!$Y:$Y,'Threshold Summary'!$P:$P,"")/4))*XLOOKUP($Q1010,'Threshold Summary'!$Y:$Y,'Threshold Summary'!$L:$L,""))/100)+5)*XLOOKUP(XLOOKUP($Q1010,'Threshold Summary'!$Y:$Y,'Threshold Summary'!$M:$M,""),'Nature Editor'!$A:$A,'Nature Editor'!$B:$B,1)),FLOOR((FLOOR(((2*XLOOKUP(XLOOKUP($Q1010,'Threshold Summary'!$Y:$Y,'Threshold Summary'!$K:$K,""),'Pokemon Editor'!$A:$A,'Pokemon Editor'!$H:$H,0)+31+FLOOR(XLOOKUP($Q1010,'Threshold Summary'!$Y:$Y,'Threshold Summary'!$R:$R,"")/4))*XLOOKUP($Q1010,'Threshold Summary'!$Y:$Y,'Threshold Summary'!$L:$L,""))/100)+5)*XLOOKUP(XLOOKUP($Q1010,'Threshold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Editor'!$E:$E,1))),stab,IF(OR(mtype=XLOOKUP(XLOOKUP($Q1010,'Threshold Summary'!$Y:$Y,'Threshold Summary'!$K:$K,""),'Pokemon Editor'!$A:$A,'Pokemon Editor'!$C:$C,""),mtype=XLOOKUP(XLOOKUP($Q1010,'Threshold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Chart'!$B$1:$S$1,0)))),base,IF(OR(cat="Status",pow=0),0,FLOOR(FLOOR(FLOOR((2*XLOOKUP($Q1010,'Threshold Summary'!$Y:$Y,'Threshold Summary'!$L:$L,"")/5+2)*pow*atk/def)/50)+2)),modifier,stab*eff,AVERAGE(ARRAYFORMULA(FLOOR(base*modifier*SEQUENCE(16,1,85,1)/100)))/(FLOOR(((2*XLOOKUP('Boss Editor'!$C$4,'Pokemon Editor'!$A:$A,'Pokemon Editor'!$E:$E,0)+31+FLOOR('Boss Editor'!$G$4/4))*'Boss Editor'!$D$4)/100)+'Boss Editor'!$D$4+10)),0)</f>
        <v/>
      </c>
      <c r="O1010" s="3">
        <f>IF(N1010&gt;=1,"OHKO",IF(N1010&gt;=0.5,"2HKO",IF(N1010&gt;=0.333,"3HKO",IF(N1010&gt;=0.25,"4HKO","5HKO+"))))</f>
        <v/>
      </c>
      <c r="P1010" s="3" t="inlineStr">
        <is>
          <t>Live from editable databases</t>
        </is>
      </c>
      <c r="Q1010" s="3" t="inlineStr">
        <is>
          <t>SPECIES_TINKATINK</t>
        </is>
      </c>
      <c r="R1010" s="3" t="n">
        <v>17</v>
      </c>
    </row>
    <row r="1011">
      <c r="A1011" s="3">
        <f>XLOOKUP($Q1011,'Threshold Summary'!$Y:$Y,'Threshold Summary'!$A:$A,"")</f>
        <v/>
      </c>
      <c r="B1011" s="3">
        <f>XLOOKUP($Q1011,'Threshold Summary'!$Y:$Y,'Threshold Summary'!$M:$M,"")</f>
        <v/>
      </c>
      <c r="C1011" s="3">
        <f>XLOOKUP($Q1011,'Threshold Summary'!$Y:$Y,'Threshold Summary'!$N:$N,"")</f>
        <v/>
      </c>
      <c r="D1011" s="3">
        <f>IFERROR(INDEX(FILTER('Learnset Editor'!$D$2:$D,'Learnset Editor'!$A$2:$A=XLOOKUP($Q1011,'Threshold Summary'!$Y:$Y,'Threshold Summary'!$K:$K,""),'Learnset Editor'!$C$2:$C&lt;=XLOOKUP($Q1011,'Threshold Summary'!$Y:$Y,'Threshold Summary'!$L:$L,"")),$R1011),"")</f>
        <v/>
      </c>
      <c r="E1011" s="3">
        <f>XLOOKUP(D1011,'Move Editor'!$B:$B,'Move Editor'!$C:$C,"")</f>
        <v/>
      </c>
      <c r="F1011" s="3">
        <f>XLOOKUP(D1011,'Move Editor'!$B:$B,'Move Editor'!$D:$D,"")</f>
        <v/>
      </c>
      <c r="G1011" s="3">
        <f>XLOOKUP(D1011,'Move Editor'!$B:$B,'Move Editor'!$E:$E,0)</f>
        <v/>
      </c>
      <c r="H1011" s="3">
        <f>XLOOKUP(D1011,'Move Editor'!$B:$B,'Move Editor'!$F:$F,0)</f>
        <v/>
      </c>
      <c r="I1011" s="3">
        <f>(INDEX('Type Chart'!$B:$S,MATCH(E1011,'Type Chart'!$A:$A,0),MATCH(XLOOKUP('Boss Editor'!$C$4,'Pokemon Editor'!$A:$A,'Pokemon Editor'!$C:$C,""),'Type Chart'!$B$1:$S$1,0))*IF(XLOOKUP('Boss Editor'!$C$4,'Pokemon Editor'!$A:$A,'Pokemon Editor'!$D:$D,"")="",1,INDEX('Type Chart'!$B:$S,MATCH(E1011,'Type Chart'!$A:$A,0),MATCH(XLOOKUP('Boss Editor'!$C$4,'Pokemon Editor'!$A:$A,'Pokemon Editor'!$D:$D,""),'Type Chart'!$B$1:$S$1,0))))</f>
        <v/>
      </c>
      <c r="J1011" s="3">
        <f>IFERROR(LET(mtype,XLOOKUP($D1011,'Move Editor'!$B:$B,'Move Editor'!$C:$C,""),cat,XLOOKUP($D1011,'Move Editor'!$B:$B,'Move Editor'!$D:$D,""),pow,XLOOKUP($D1011,'Move Editor'!$B:$B,'Move Editor'!$E:$E,0),acc,XLOOKUP($D1011,'Move Editor'!$B:$B,'Move Editor'!$F:$F,100),atk,IF(cat="Physical",FLOOR((FLOOR(((2*XLOOKUP(XLOOKUP($Q1011,'Threshold Summary'!$Y:$Y,'Threshold Summary'!$K:$K,""),'Pokemon Editor'!$A:$A,'Pokemon Editor'!$F:$F,0)+31+FLOOR(XLOOKUP($Q1011,'Threshold Summary'!$Y:$Y,'Threshold Summary'!$P:$P,"")/4))*XLOOKUP($Q1011,'Threshold Summary'!$Y:$Y,'Threshold Summary'!$L:$L,""))/100)+5)*XLOOKUP(XLOOKUP($Q1011,'Threshold Summary'!$Y:$Y,'Threshold Summary'!$M:$M,""),'Nature Editor'!$A:$A,'Nature Editor'!$B:$B,1)),FLOOR((FLOOR(((2*XLOOKUP(XLOOKUP($Q1011,'Threshold Summary'!$Y:$Y,'Threshold Summary'!$K:$K,""),'Pokemon Editor'!$A:$A,'Pokemon Editor'!$H:$H,0)+31+FLOOR(XLOOKUP($Q1011,'Threshold Summary'!$Y:$Y,'Threshold Summary'!$R:$R,"")/4))*XLOOKUP($Q1011,'Threshold Summary'!$Y:$Y,'Threshold Summary'!$L:$L,""))/100)+5)*XLOOKUP(XLOOKUP($Q1011,'Threshold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Editor'!$E:$E,1))),stab,IF(OR(mtype=XLOOKUP(XLOOKUP($Q1011,'Threshold Summary'!$Y:$Y,'Threshold Summary'!$K:$K,""),'Pokemon Editor'!$A:$A,'Pokemon Editor'!$C:$C,""),mtype=XLOOKUP(XLOOKUP($Q1011,'Threshold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Chart'!$B$1:$S$1,0)))),base,IF(OR(cat="Status",pow=0),0,FLOOR(FLOOR(FLOOR((2*XLOOKUP($Q1011,'Threshold Summary'!$Y:$Y,'Threshold Summary'!$L:$L,"")/5+2)*pow*atk/def)/50)+2)),modifier,stab*eff,FLOOR(base*modifier*0.85)),0)</f>
        <v/>
      </c>
      <c r="K1011" s="3">
        <f>IFERROR(LET(mtype,XLOOKUP($D1011,'Move Editor'!$B:$B,'Move Editor'!$C:$C,""),cat,XLOOKUP($D1011,'Move Editor'!$B:$B,'Move Editor'!$D:$D,""),pow,XLOOKUP($D1011,'Move Editor'!$B:$B,'Move Editor'!$E:$E,0),acc,XLOOKUP($D1011,'Move Editor'!$B:$B,'Move Editor'!$F:$F,100),atk,IF(cat="Physical",FLOOR((FLOOR(((2*XLOOKUP(XLOOKUP($Q1011,'Threshold Summary'!$Y:$Y,'Threshold Summary'!$K:$K,""),'Pokemon Editor'!$A:$A,'Pokemon Editor'!$F:$F,0)+31+FLOOR(XLOOKUP($Q1011,'Threshold Summary'!$Y:$Y,'Threshold Summary'!$P:$P,"")/4))*XLOOKUP($Q1011,'Threshold Summary'!$Y:$Y,'Threshold Summary'!$L:$L,""))/100)+5)*XLOOKUP(XLOOKUP($Q1011,'Threshold Summary'!$Y:$Y,'Threshold Summary'!$M:$M,""),'Nature Editor'!$A:$A,'Nature Editor'!$B:$B,1)),FLOOR((FLOOR(((2*XLOOKUP(XLOOKUP($Q1011,'Threshold Summary'!$Y:$Y,'Threshold Summary'!$K:$K,""),'Pokemon Editor'!$A:$A,'Pokemon Editor'!$H:$H,0)+31+FLOOR(XLOOKUP($Q1011,'Threshold Summary'!$Y:$Y,'Threshold Summary'!$R:$R,"")/4))*XLOOKUP($Q1011,'Threshold Summary'!$Y:$Y,'Threshold Summary'!$L:$L,""))/100)+5)*XLOOKUP(XLOOKUP($Q1011,'Threshold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Editor'!$E:$E,1))),stab,IF(OR(mtype=XLOOKUP(XLOOKUP($Q1011,'Threshold Summary'!$Y:$Y,'Threshold Summary'!$K:$K,""),'Pokemon Editor'!$A:$A,'Pokemon Editor'!$C:$C,""),mtype=XLOOKUP(XLOOKUP($Q1011,'Threshold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Chart'!$B$1:$S$1,0)))),base,IF(OR(cat="Status",pow=0),0,FLOOR(FLOOR(FLOOR((2*XLOOKUP($Q1011,'Threshold Summary'!$Y:$Y,'Threshold Summary'!$L:$L,"")/5+2)*pow*atk/def)/50)+2)),modifier,stab*eff,FLOOR(base*modifier)),0)</f>
        <v/>
      </c>
      <c r="L1011" s="3">
        <f>IFERROR(LET(mtype,XLOOKUP($D1011,'Move Editor'!$B:$B,'Move Editor'!$C:$C,""),cat,XLOOKUP($D1011,'Move Editor'!$B:$B,'Move Editor'!$D:$D,""),pow,XLOOKUP($D1011,'Move Editor'!$B:$B,'Move Editor'!$E:$E,0),acc,XLOOKUP($D1011,'Move Editor'!$B:$B,'Move Editor'!$F:$F,100),atk,IF(cat="Physical",FLOOR((FLOOR(((2*XLOOKUP(XLOOKUP($Q1011,'Threshold Summary'!$Y:$Y,'Threshold Summary'!$K:$K,""),'Pokemon Editor'!$A:$A,'Pokemon Editor'!$F:$F,0)+31+FLOOR(XLOOKUP($Q1011,'Threshold Summary'!$Y:$Y,'Threshold Summary'!$P:$P,"")/4))*XLOOKUP($Q1011,'Threshold Summary'!$Y:$Y,'Threshold Summary'!$L:$L,""))/100)+5)*XLOOKUP(XLOOKUP($Q1011,'Threshold Summary'!$Y:$Y,'Threshold Summary'!$M:$M,""),'Nature Editor'!$A:$A,'Nature Editor'!$B:$B,1)),FLOOR((FLOOR(((2*XLOOKUP(XLOOKUP($Q1011,'Threshold Summary'!$Y:$Y,'Threshold Summary'!$K:$K,""),'Pokemon Editor'!$A:$A,'Pokemon Editor'!$H:$H,0)+31+FLOOR(XLOOKUP($Q1011,'Threshold Summary'!$Y:$Y,'Threshold Summary'!$R:$R,"")/4))*XLOOKUP($Q1011,'Threshold Summary'!$Y:$Y,'Threshold Summary'!$L:$L,""))/100)+5)*XLOOKUP(XLOOKUP($Q1011,'Threshold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Editor'!$E:$E,1))),stab,IF(OR(mtype=XLOOKUP(XLOOKUP($Q1011,'Threshold Summary'!$Y:$Y,'Threshold Summary'!$K:$K,""),'Pokemon Editor'!$A:$A,'Pokemon Editor'!$C:$C,""),mtype=XLOOKUP(XLOOKUP($Q1011,'Threshold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Chart'!$B$1:$S$1,0)))),base,IF(OR(cat="Status",pow=0),0,FLOOR(FLOOR(FLOOR((2*XLOOKUP($Q1011,'Threshold Summary'!$Y:$Y,'Threshold Summary'!$L:$L,"")/5+2)*pow*atk/def)/50)+2)),modifier,stab*eff,AVERAGE(ARRAYFORMULA(FLOOR(base*modifier*SEQUENCE(16,1,85,1)/100)))),0)</f>
        <v/>
      </c>
      <c r="M1011" s="3">
        <f>IFERROR(LET(mtype,XLOOKUP($D1011,'Move Editor'!$B:$B,'Move Editor'!$C:$C,""),cat,XLOOKUP($D1011,'Move Editor'!$B:$B,'Move Editor'!$D:$D,""),pow,XLOOKUP($D1011,'Move Editor'!$B:$B,'Move Editor'!$E:$E,0),acc,XLOOKUP($D1011,'Move Editor'!$B:$B,'Move Editor'!$F:$F,100),atk,IF(cat="Physical",FLOOR((FLOOR(((2*XLOOKUP(XLOOKUP($Q1011,'Threshold Summary'!$Y:$Y,'Threshold Summary'!$K:$K,""),'Pokemon Editor'!$A:$A,'Pokemon Editor'!$F:$F,0)+31+FLOOR(XLOOKUP($Q1011,'Threshold Summary'!$Y:$Y,'Threshold Summary'!$P:$P,"")/4))*XLOOKUP($Q1011,'Threshold Summary'!$Y:$Y,'Threshold Summary'!$L:$L,""))/100)+5)*XLOOKUP(XLOOKUP($Q1011,'Threshold Summary'!$Y:$Y,'Threshold Summary'!$M:$M,""),'Nature Editor'!$A:$A,'Nature Editor'!$B:$B,1)),FLOOR((FLOOR(((2*XLOOKUP(XLOOKUP($Q1011,'Threshold Summary'!$Y:$Y,'Threshold Summary'!$K:$K,""),'Pokemon Editor'!$A:$A,'Pokemon Editor'!$H:$H,0)+31+FLOOR(XLOOKUP($Q1011,'Threshold Summary'!$Y:$Y,'Threshold Summary'!$R:$R,"")/4))*XLOOKUP($Q1011,'Threshold Summary'!$Y:$Y,'Threshold Summary'!$L:$L,""))/100)+5)*XLOOKUP(XLOOKUP($Q1011,'Threshold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Editor'!$E:$E,1))),stab,IF(OR(mtype=XLOOKUP(XLOOKUP($Q1011,'Threshold Summary'!$Y:$Y,'Threshold Summary'!$K:$K,""),'Pokemon Editor'!$A:$A,'Pokemon Editor'!$C:$C,""),mtype=XLOOKUP(XLOOKUP($Q1011,'Threshold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Chart'!$B$1:$S$1,0)))),base,IF(OR(cat="Status",pow=0),0,FLOOR(FLOOR(FLOOR((2*XLOOKUP($Q1011,'Threshold Summary'!$Y:$Y,'Threshold Summary'!$L:$L,"")/5+2)*pow*atk/def)/50)+2)),modifier,stab*eff,AVERAGE(ARRAYFORMULA(FLOOR(base*modifier*SEQUENCE(16,1,85,1)/100)))*MIN(1,acc/100)),0)</f>
        <v/>
      </c>
      <c r="N1011" s="4">
        <f>IFERROR(LET(mtype,XLOOKUP($D1011,'Move Editor'!$B:$B,'Move Editor'!$C:$C,""),cat,XLOOKUP($D1011,'Move Editor'!$B:$B,'Move Editor'!$D:$D,""),pow,XLOOKUP($D1011,'Move Editor'!$B:$B,'Move Editor'!$E:$E,0),acc,XLOOKUP($D1011,'Move Editor'!$B:$B,'Move Editor'!$F:$F,100),atk,IF(cat="Physical",FLOOR((FLOOR(((2*XLOOKUP(XLOOKUP($Q1011,'Threshold Summary'!$Y:$Y,'Threshold Summary'!$K:$K,""),'Pokemon Editor'!$A:$A,'Pokemon Editor'!$F:$F,0)+31+FLOOR(XLOOKUP($Q1011,'Threshold Summary'!$Y:$Y,'Threshold Summary'!$P:$P,"")/4))*XLOOKUP($Q1011,'Threshold Summary'!$Y:$Y,'Threshold Summary'!$L:$L,""))/100)+5)*XLOOKUP(XLOOKUP($Q1011,'Threshold Summary'!$Y:$Y,'Threshold Summary'!$M:$M,""),'Nature Editor'!$A:$A,'Nature Editor'!$B:$B,1)),FLOOR((FLOOR(((2*XLOOKUP(XLOOKUP($Q1011,'Threshold Summary'!$Y:$Y,'Threshold Summary'!$K:$K,""),'Pokemon Editor'!$A:$A,'Pokemon Editor'!$H:$H,0)+31+FLOOR(XLOOKUP($Q1011,'Threshold Summary'!$Y:$Y,'Threshold Summary'!$R:$R,"")/4))*XLOOKUP($Q1011,'Threshold Summary'!$Y:$Y,'Threshold Summary'!$L:$L,""))/100)+5)*XLOOKUP(XLOOKUP($Q1011,'Threshold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Editor'!$E:$E,1))),stab,IF(OR(mtype=XLOOKUP(XLOOKUP($Q1011,'Threshold Summary'!$Y:$Y,'Threshold Summary'!$K:$K,""),'Pokemon Editor'!$A:$A,'Pokemon Editor'!$C:$C,""),mtype=XLOOKUP(XLOOKUP($Q1011,'Threshold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Chart'!$B$1:$S$1,0)))),base,IF(OR(cat="Status",pow=0),0,FLOOR(FLOOR(FLOOR((2*XLOOKUP($Q1011,'Threshold Summary'!$Y:$Y,'Threshold Summary'!$L:$L,"")/5+2)*pow*atk/def)/50)+2)),modifier,stab*eff,AVERAGE(ARRAYFORMULA(FLOOR(base*modifier*SEQUENCE(16,1,85,1)/100)))/(FLOOR(((2*XLOOKUP('Boss Editor'!$C$4,'Pokemon Editor'!$A:$A,'Pokemon Editor'!$E:$E,0)+31+FLOOR('Boss Editor'!$G$4/4))*'Boss Editor'!$D$4)/100)+'Boss Editor'!$D$4+10)),0)</f>
        <v/>
      </c>
      <c r="O1011" s="3">
        <f>IF(N1011&gt;=1,"OHKO",IF(N1011&gt;=0.5,"2HKO",IF(N1011&gt;=0.333,"3HKO",IF(N1011&gt;=0.25,"4HKO","5HKO+"))))</f>
        <v/>
      </c>
      <c r="P1011" s="3" t="inlineStr">
        <is>
          <t>Live from editable databases</t>
        </is>
      </c>
      <c r="Q1011" s="3" t="inlineStr">
        <is>
          <t>SPECIES_TINKATINK</t>
        </is>
      </c>
      <c r="R1011" s="3" t="n">
        <v>18</v>
      </c>
    </row>
    <row r="1012">
      <c r="A1012" s="3">
        <f>XLOOKUP($Q1012,'Threshold Summary'!$Y:$Y,'Threshold Summary'!$A:$A,"")</f>
        <v/>
      </c>
      <c r="B1012" s="3">
        <f>XLOOKUP($Q1012,'Threshold Summary'!$Y:$Y,'Threshold Summary'!$M:$M,"")</f>
        <v/>
      </c>
      <c r="C1012" s="3">
        <f>XLOOKUP($Q1012,'Threshold Summary'!$Y:$Y,'Threshold Summary'!$N:$N,"")</f>
        <v/>
      </c>
      <c r="D1012" s="3">
        <f>IFERROR(INDEX(FILTER('Learnset Editor'!$D$2:$D,'Learnset Editor'!$A$2:$A=XLOOKUP($Q1012,'Threshold Summary'!$Y:$Y,'Threshold Summary'!$K:$K,""),'Learnset Editor'!$C$2:$C&lt;=XLOOKUP($Q1012,'Threshold Summary'!$Y:$Y,'Threshold Summary'!$L:$L,"")),$R1012),"")</f>
        <v/>
      </c>
      <c r="E1012" s="3">
        <f>XLOOKUP(D1012,'Move Editor'!$B:$B,'Move Editor'!$C:$C,"")</f>
        <v/>
      </c>
      <c r="F1012" s="3">
        <f>XLOOKUP(D1012,'Move Editor'!$B:$B,'Move Editor'!$D:$D,"")</f>
        <v/>
      </c>
      <c r="G1012" s="3">
        <f>XLOOKUP(D1012,'Move Editor'!$B:$B,'Move Editor'!$E:$E,0)</f>
        <v/>
      </c>
      <c r="H1012" s="3">
        <f>XLOOKUP(D1012,'Move Editor'!$B:$B,'Move Editor'!$F:$F,0)</f>
        <v/>
      </c>
      <c r="I1012" s="3">
        <f>(INDEX('Type Chart'!$B:$S,MATCH(E1012,'Type Chart'!$A:$A,0),MATCH(XLOOKUP('Boss Editor'!$C$4,'Pokemon Editor'!$A:$A,'Pokemon Editor'!$C:$C,""),'Type Chart'!$B$1:$S$1,0))*IF(XLOOKUP('Boss Editor'!$C$4,'Pokemon Editor'!$A:$A,'Pokemon Editor'!$D:$D,"")="",1,INDEX('Type Chart'!$B:$S,MATCH(E1012,'Type Chart'!$A:$A,0),MATCH(XLOOKUP('Boss Editor'!$C$4,'Pokemon Editor'!$A:$A,'Pokemon Editor'!$D:$D,""),'Type Chart'!$B$1:$S$1,0))))</f>
        <v/>
      </c>
      <c r="J1012" s="3">
        <f>IFERROR(LET(mtype,XLOOKUP($D1012,'Move Editor'!$B:$B,'Move Editor'!$C:$C,""),cat,XLOOKUP($D1012,'Move Editor'!$B:$B,'Move Editor'!$D:$D,""),pow,XLOOKUP($D1012,'Move Editor'!$B:$B,'Move Editor'!$E:$E,0),acc,XLOOKUP($D1012,'Move Editor'!$B:$B,'Move Editor'!$F:$F,100),atk,IF(cat="Physical",FLOOR((FLOOR(((2*XLOOKUP(XLOOKUP($Q1012,'Threshold Summary'!$Y:$Y,'Threshold Summary'!$K:$K,""),'Pokemon Editor'!$A:$A,'Pokemon Editor'!$F:$F,0)+31+FLOOR(XLOOKUP($Q1012,'Threshold Summary'!$Y:$Y,'Threshold Summary'!$P:$P,"")/4))*XLOOKUP($Q1012,'Threshold Summary'!$Y:$Y,'Threshold Summary'!$L:$L,""))/100)+5)*XLOOKUP(XLOOKUP($Q1012,'Threshold Summary'!$Y:$Y,'Threshold Summary'!$M:$M,""),'Nature Editor'!$A:$A,'Nature Editor'!$B:$B,1)),FLOOR((FLOOR(((2*XLOOKUP(XLOOKUP($Q1012,'Threshold Summary'!$Y:$Y,'Threshold Summary'!$K:$K,""),'Pokemon Editor'!$A:$A,'Pokemon Editor'!$H:$H,0)+31+FLOOR(XLOOKUP($Q1012,'Threshold Summary'!$Y:$Y,'Threshold Summary'!$R:$R,"")/4))*XLOOKUP($Q1012,'Threshold Summary'!$Y:$Y,'Threshold Summary'!$L:$L,""))/100)+5)*XLOOKUP(XLOOKUP($Q1012,'Threshold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Editor'!$E:$E,1))),stab,IF(OR(mtype=XLOOKUP(XLOOKUP($Q1012,'Threshold Summary'!$Y:$Y,'Threshold Summary'!$K:$K,""),'Pokemon Editor'!$A:$A,'Pokemon Editor'!$C:$C,""),mtype=XLOOKUP(XLOOKUP($Q1012,'Threshold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Chart'!$B$1:$S$1,0)))),base,IF(OR(cat="Status",pow=0),0,FLOOR(FLOOR(FLOOR((2*XLOOKUP($Q1012,'Threshold Summary'!$Y:$Y,'Threshold Summary'!$L:$L,"")/5+2)*pow*atk/def)/50)+2)),modifier,stab*eff,FLOOR(base*modifier*0.85)),0)</f>
        <v/>
      </c>
      <c r="K1012" s="3">
        <f>IFERROR(LET(mtype,XLOOKUP($D1012,'Move Editor'!$B:$B,'Move Editor'!$C:$C,""),cat,XLOOKUP($D1012,'Move Editor'!$B:$B,'Move Editor'!$D:$D,""),pow,XLOOKUP($D1012,'Move Editor'!$B:$B,'Move Editor'!$E:$E,0),acc,XLOOKUP($D1012,'Move Editor'!$B:$B,'Move Editor'!$F:$F,100),atk,IF(cat="Physical",FLOOR((FLOOR(((2*XLOOKUP(XLOOKUP($Q1012,'Threshold Summary'!$Y:$Y,'Threshold Summary'!$K:$K,""),'Pokemon Editor'!$A:$A,'Pokemon Editor'!$F:$F,0)+31+FLOOR(XLOOKUP($Q1012,'Threshold Summary'!$Y:$Y,'Threshold Summary'!$P:$P,"")/4))*XLOOKUP($Q1012,'Threshold Summary'!$Y:$Y,'Threshold Summary'!$L:$L,""))/100)+5)*XLOOKUP(XLOOKUP($Q1012,'Threshold Summary'!$Y:$Y,'Threshold Summary'!$M:$M,""),'Nature Editor'!$A:$A,'Nature Editor'!$B:$B,1)),FLOOR((FLOOR(((2*XLOOKUP(XLOOKUP($Q1012,'Threshold Summary'!$Y:$Y,'Threshold Summary'!$K:$K,""),'Pokemon Editor'!$A:$A,'Pokemon Editor'!$H:$H,0)+31+FLOOR(XLOOKUP($Q1012,'Threshold Summary'!$Y:$Y,'Threshold Summary'!$R:$R,"")/4))*XLOOKUP($Q1012,'Threshold Summary'!$Y:$Y,'Threshold Summary'!$L:$L,""))/100)+5)*XLOOKUP(XLOOKUP($Q1012,'Threshold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Editor'!$E:$E,1))),stab,IF(OR(mtype=XLOOKUP(XLOOKUP($Q1012,'Threshold Summary'!$Y:$Y,'Threshold Summary'!$K:$K,""),'Pokemon Editor'!$A:$A,'Pokemon Editor'!$C:$C,""),mtype=XLOOKUP(XLOOKUP($Q1012,'Threshold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Chart'!$B$1:$S$1,0)))),base,IF(OR(cat="Status",pow=0),0,FLOOR(FLOOR(FLOOR((2*XLOOKUP($Q1012,'Threshold Summary'!$Y:$Y,'Threshold Summary'!$L:$L,"")/5+2)*pow*atk/def)/50)+2)),modifier,stab*eff,FLOOR(base*modifier)),0)</f>
        <v/>
      </c>
      <c r="L1012" s="3">
        <f>IFERROR(LET(mtype,XLOOKUP($D1012,'Move Editor'!$B:$B,'Move Editor'!$C:$C,""),cat,XLOOKUP($D1012,'Move Editor'!$B:$B,'Move Editor'!$D:$D,""),pow,XLOOKUP($D1012,'Move Editor'!$B:$B,'Move Editor'!$E:$E,0),acc,XLOOKUP($D1012,'Move Editor'!$B:$B,'Move Editor'!$F:$F,100),atk,IF(cat="Physical",FLOOR((FLOOR(((2*XLOOKUP(XLOOKUP($Q1012,'Threshold Summary'!$Y:$Y,'Threshold Summary'!$K:$K,""),'Pokemon Editor'!$A:$A,'Pokemon Editor'!$F:$F,0)+31+FLOOR(XLOOKUP($Q1012,'Threshold Summary'!$Y:$Y,'Threshold Summary'!$P:$P,"")/4))*XLOOKUP($Q1012,'Threshold Summary'!$Y:$Y,'Threshold Summary'!$L:$L,""))/100)+5)*XLOOKUP(XLOOKUP($Q1012,'Threshold Summary'!$Y:$Y,'Threshold Summary'!$M:$M,""),'Nature Editor'!$A:$A,'Nature Editor'!$B:$B,1)),FLOOR((FLOOR(((2*XLOOKUP(XLOOKUP($Q1012,'Threshold Summary'!$Y:$Y,'Threshold Summary'!$K:$K,""),'Pokemon Editor'!$A:$A,'Pokemon Editor'!$H:$H,0)+31+FLOOR(XLOOKUP($Q1012,'Threshold Summary'!$Y:$Y,'Threshold Summary'!$R:$R,"")/4))*XLOOKUP($Q1012,'Threshold Summary'!$Y:$Y,'Threshold Summary'!$L:$L,""))/100)+5)*XLOOKUP(XLOOKUP($Q1012,'Threshold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Editor'!$E:$E,1))),stab,IF(OR(mtype=XLOOKUP(XLOOKUP($Q1012,'Threshold Summary'!$Y:$Y,'Threshold Summary'!$K:$K,""),'Pokemon Editor'!$A:$A,'Pokemon Editor'!$C:$C,""),mtype=XLOOKUP(XLOOKUP($Q1012,'Threshold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Chart'!$B$1:$S$1,0)))),base,IF(OR(cat="Status",pow=0),0,FLOOR(FLOOR(FLOOR((2*XLOOKUP($Q1012,'Threshold Summary'!$Y:$Y,'Threshold Summary'!$L:$L,"")/5+2)*pow*atk/def)/50)+2)),modifier,stab*eff,AVERAGE(ARRAYFORMULA(FLOOR(base*modifier*SEQUENCE(16,1,85,1)/100)))),0)</f>
        <v/>
      </c>
      <c r="M1012" s="3">
        <f>IFERROR(LET(mtype,XLOOKUP($D1012,'Move Editor'!$B:$B,'Move Editor'!$C:$C,""),cat,XLOOKUP($D1012,'Move Editor'!$B:$B,'Move Editor'!$D:$D,""),pow,XLOOKUP($D1012,'Move Editor'!$B:$B,'Move Editor'!$E:$E,0),acc,XLOOKUP($D1012,'Move Editor'!$B:$B,'Move Editor'!$F:$F,100),atk,IF(cat="Physical",FLOOR((FLOOR(((2*XLOOKUP(XLOOKUP($Q1012,'Threshold Summary'!$Y:$Y,'Threshold Summary'!$K:$K,""),'Pokemon Editor'!$A:$A,'Pokemon Editor'!$F:$F,0)+31+FLOOR(XLOOKUP($Q1012,'Threshold Summary'!$Y:$Y,'Threshold Summary'!$P:$P,"")/4))*XLOOKUP($Q1012,'Threshold Summary'!$Y:$Y,'Threshold Summary'!$L:$L,""))/100)+5)*XLOOKUP(XLOOKUP($Q1012,'Threshold Summary'!$Y:$Y,'Threshold Summary'!$M:$M,""),'Nature Editor'!$A:$A,'Nature Editor'!$B:$B,1)),FLOOR((FLOOR(((2*XLOOKUP(XLOOKUP($Q1012,'Threshold Summary'!$Y:$Y,'Threshold Summary'!$K:$K,""),'Pokemon Editor'!$A:$A,'Pokemon Editor'!$H:$H,0)+31+FLOOR(XLOOKUP($Q1012,'Threshold Summary'!$Y:$Y,'Threshold Summary'!$R:$R,"")/4))*XLOOKUP($Q1012,'Threshold Summary'!$Y:$Y,'Threshold Summary'!$L:$L,""))/100)+5)*XLOOKUP(XLOOKUP($Q1012,'Threshold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Editor'!$E:$E,1))),stab,IF(OR(mtype=XLOOKUP(XLOOKUP($Q1012,'Threshold Summary'!$Y:$Y,'Threshold Summary'!$K:$K,""),'Pokemon Editor'!$A:$A,'Pokemon Editor'!$C:$C,""),mtype=XLOOKUP(XLOOKUP($Q1012,'Threshold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Chart'!$B$1:$S$1,0)))),base,IF(OR(cat="Status",pow=0),0,FLOOR(FLOOR(FLOOR((2*XLOOKUP($Q1012,'Threshold Summary'!$Y:$Y,'Threshold Summary'!$L:$L,"")/5+2)*pow*atk/def)/50)+2)),modifier,stab*eff,AVERAGE(ARRAYFORMULA(FLOOR(base*modifier*SEQUENCE(16,1,85,1)/100)))*MIN(1,acc/100)),0)</f>
        <v/>
      </c>
      <c r="N1012" s="4">
        <f>IFERROR(LET(mtype,XLOOKUP($D1012,'Move Editor'!$B:$B,'Move Editor'!$C:$C,""),cat,XLOOKUP($D1012,'Move Editor'!$B:$B,'Move Editor'!$D:$D,""),pow,XLOOKUP($D1012,'Move Editor'!$B:$B,'Move Editor'!$E:$E,0),acc,XLOOKUP($D1012,'Move Editor'!$B:$B,'Move Editor'!$F:$F,100),atk,IF(cat="Physical",FLOOR((FLOOR(((2*XLOOKUP(XLOOKUP($Q1012,'Threshold Summary'!$Y:$Y,'Threshold Summary'!$K:$K,""),'Pokemon Editor'!$A:$A,'Pokemon Editor'!$F:$F,0)+31+FLOOR(XLOOKUP($Q1012,'Threshold Summary'!$Y:$Y,'Threshold Summary'!$P:$P,"")/4))*XLOOKUP($Q1012,'Threshold Summary'!$Y:$Y,'Threshold Summary'!$L:$L,""))/100)+5)*XLOOKUP(XLOOKUP($Q1012,'Threshold Summary'!$Y:$Y,'Threshold Summary'!$M:$M,""),'Nature Editor'!$A:$A,'Nature Editor'!$B:$B,1)),FLOOR((FLOOR(((2*XLOOKUP(XLOOKUP($Q1012,'Threshold Summary'!$Y:$Y,'Threshold Summary'!$K:$K,""),'Pokemon Editor'!$A:$A,'Pokemon Editor'!$H:$H,0)+31+FLOOR(XLOOKUP($Q1012,'Threshold Summary'!$Y:$Y,'Threshold Summary'!$R:$R,"")/4))*XLOOKUP($Q1012,'Threshold Summary'!$Y:$Y,'Threshold Summary'!$L:$L,""))/100)+5)*XLOOKUP(XLOOKUP($Q1012,'Threshold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Editor'!$E:$E,1))),stab,IF(OR(mtype=XLOOKUP(XLOOKUP($Q1012,'Threshold Summary'!$Y:$Y,'Threshold Summary'!$K:$K,""),'Pokemon Editor'!$A:$A,'Pokemon Editor'!$C:$C,""),mtype=XLOOKUP(XLOOKUP($Q1012,'Threshold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Chart'!$B$1:$S$1,0)))),base,IF(OR(cat="Status",pow=0),0,FLOOR(FLOOR(FLOOR((2*XLOOKUP($Q1012,'Threshold Summary'!$Y:$Y,'Threshold Summary'!$L:$L,"")/5+2)*pow*atk/def)/50)+2)),modifier,stab*eff,AVERAGE(ARRAYFORMULA(FLOOR(base*modifier*SEQUENCE(16,1,85,1)/100)))/(FLOOR(((2*XLOOKUP('Boss Editor'!$C$4,'Pokemon Editor'!$A:$A,'Pokemon Editor'!$E:$E,0)+31+FLOOR('Boss Editor'!$G$4/4))*'Boss Editor'!$D$4)/100)+'Boss Editor'!$D$4+10)),0)</f>
        <v/>
      </c>
      <c r="O1012" s="3">
        <f>IF(N1012&gt;=1,"OHKO",IF(N1012&gt;=0.5,"2HKO",IF(N1012&gt;=0.333,"3HKO",IF(N1012&gt;=0.25,"4HKO","5HKO+"))))</f>
        <v/>
      </c>
      <c r="P1012" s="3" t="inlineStr">
        <is>
          <t>Live from editable databases</t>
        </is>
      </c>
      <c r="Q1012" s="3" t="inlineStr">
        <is>
          <t>SPECIES_TINKATINK</t>
        </is>
      </c>
      <c r="R1012" s="3" t="n">
        <v>19</v>
      </c>
    </row>
    <row r="1013">
      <c r="A1013" s="3">
        <f>XLOOKUP($Q1013,'Threshold Summary'!$Y:$Y,'Threshold Summary'!$A:$A,"")</f>
        <v/>
      </c>
      <c r="B1013" s="3">
        <f>XLOOKUP($Q1013,'Threshold Summary'!$Y:$Y,'Threshold Summary'!$M:$M,"")</f>
        <v/>
      </c>
      <c r="C1013" s="3">
        <f>XLOOKUP($Q1013,'Threshold Summary'!$Y:$Y,'Threshold Summary'!$N:$N,"")</f>
        <v/>
      </c>
      <c r="D1013" s="3">
        <f>IFERROR(INDEX(FILTER('Learnset Editor'!$D$2:$D,'Learnset Editor'!$A$2:$A=XLOOKUP($Q1013,'Threshold Summary'!$Y:$Y,'Threshold Summary'!$K:$K,""),'Learnset Editor'!$C$2:$C&lt;=XLOOKUP($Q1013,'Threshold Summary'!$Y:$Y,'Threshold Summary'!$L:$L,"")),$R1013),"")</f>
        <v/>
      </c>
      <c r="E1013" s="3">
        <f>XLOOKUP(D1013,'Move Editor'!$B:$B,'Move Editor'!$C:$C,"")</f>
        <v/>
      </c>
      <c r="F1013" s="3">
        <f>XLOOKUP(D1013,'Move Editor'!$B:$B,'Move Editor'!$D:$D,"")</f>
        <v/>
      </c>
      <c r="G1013" s="3">
        <f>XLOOKUP(D1013,'Move Editor'!$B:$B,'Move Editor'!$E:$E,0)</f>
        <v/>
      </c>
      <c r="H1013" s="3">
        <f>XLOOKUP(D1013,'Move Editor'!$B:$B,'Move Editor'!$F:$F,0)</f>
        <v/>
      </c>
      <c r="I1013" s="3">
        <f>(INDEX('Type Chart'!$B:$S,MATCH(E1013,'Type Chart'!$A:$A,0),MATCH(XLOOKUP('Boss Editor'!$C$4,'Pokemon Editor'!$A:$A,'Pokemon Editor'!$C:$C,""),'Type Chart'!$B$1:$S$1,0))*IF(XLOOKUP('Boss Editor'!$C$4,'Pokemon Editor'!$A:$A,'Pokemon Editor'!$D:$D,"")="",1,INDEX('Type Chart'!$B:$S,MATCH(E1013,'Type Chart'!$A:$A,0),MATCH(XLOOKUP('Boss Editor'!$C$4,'Pokemon Editor'!$A:$A,'Pokemon Editor'!$D:$D,""),'Type Chart'!$B$1:$S$1,0))))</f>
        <v/>
      </c>
      <c r="J1013" s="3">
        <f>IFERROR(LET(mtype,XLOOKUP($D1013,'Move Editor'!$B:$B,'Move Editor'!$C:$C,""),cat,XLOOKUP($D1013,'Move Editor'!$B:$B,'Move Editor'!$D:$D,""),pow,XLOOKUP($D1013,'Move Editor'!$B:$B,'Move Editor'!$E:$E,0),acc,XLOOKUP($D1013,'Move Editor'!$B:$B,'Move Editor'!$F:$F,100),atk,IF(cat="Physical",FLOOR((FLOOR(((2*XLOOKUP(XLOOKUP($Q1013,'Threshold Summary'!$Y:$Y,'Threshold Summary'!$K:$K,""),'Pokemon Editor'!$A:$A,'Pokemon Editor'!$F:$F,0)+31+FLOOR(XLOOKUP($Q1013,'Threshold Summary'!$Y:$Y,'Threshold Summary'!$P:$P,"")/4))*XLOOKUP($Q1013,'Threshold Summary'!$Y:$Y,'Threshold Summary'!$L:$L,""))/100)+5)*XLOOKUP(XLOOKUP($Q1013,'Threshold Summary'!$Y:$Y,'Threshold Summary'!$M:$M,""),'Nature Editor'!$A:$A,'Nature Editor'!$B:$B,1)),FLOOR((FLOOR(((2*XLOOKUP(XLOOKUP($Q1013,'Threshold Summary'!$Y:$Y,'Threshold Summary'!$K:$K,""),'Pokemon Editor'!$A:$A,'Pokemon Editor'!$H:$H,0)+31+FLOOR(XLOOKUP($Q1013,'Threshold Summary'!$Y:$Y,'Threshold Summary'!$R:$R,"")/4))*XLOOKUP($Q1013,'Threshold Summary'!$Y:$Y,'Threshold Summary'!$L:$L,""))/100)+5)*XLOOKUP(XLOOKUP($Q1013,'Threshold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Editor'!$E:$E,1))),stab,IF(OR(mtype=XLOOKUP(XLOOKUP($Q1013,'Threshold Summary'!$Y:$Y,'Threshold Summary'!$K:$K,""),'Pokemon Editor'!$A:$A,'Pokemon Editor'!$C:$C,""),mtype=XLOOKUP(XLOOKUP($Q1013,'Threshold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Chart'!$B$1:$S$1,0)))),base,IF(OR(cat="Status",pow=0),0,FLOOR(FLOOR(FLOOR((2*XLOOKUP($Q1013,'Threshold Summary'!$Y:$Y,'Threshold Summary'!$L:$L,"")/5+2)*pow*atk/def)/50)+2)),modifier,stab*eff,FLOOR(base*modifier*0.85)),0)</f>
        <v/>
      </c>
      <c r="K1013" s="3">
        <f>IFERROR(LET(mtype,XLOOKUP($D1013,'Move Editor'!$B:$B,'Move Editor'!$C:$C,""),cat,XLOOKUP($D1013,'Move Editor'!$B:$B,'Move Editor'!$D:$D,""),pow,XLOOKUP($D1013,'Move Editor'!$B:$B,'Move Editor'!$E:$E,0),acc,XLOOKUP($D1013,'Move Editor'!$B:$B,'Move Editor'!$F:$F,100),atk,IF(cat="Physical",FLOOR((FLOOR(((2*XLOOKUP(XLOOKUP($Q1013,'Threshold Summary'!$Y:$Y,'Threshold Summary'!$K:$K,""),'Pokemon Editor'!$A:$A,'Pokemon Editor'!$F:$F,0)+31+FLOOR(XLOOKUP($Q1013,'Threshold Summary'!$Y:$Y,'Threshold Summary'!$P:$P,"")/4))*XLOOKUP($Q1013,'Threshold Summary'!$Y:$Y,'Threshold Summary'!$L:$L,""))/100)+5)*XLOOKUP(XLOOKUP($Q1013,'Threshold Summary'!$Y:$Y,'Threshold Summary'!$M:$M,""),'Nature Editor'!$A:$A,'Nature Editor'!$B:$B,1)),FLOOR((FLOOR(((2*XLOOKUP(XLOOKUP($Q1013,'Threshold Summary'!$Y:$Y,'Threshold Summary'!$K:$K,""),'Pokemon Editor'!$A:$A,'Pokemon Editor'!$H:$H,0)+31+FLOOR(XLOOKUP($Q1013,'Threshold Summary'!$Y:$Y,'Threshold Summary'!$R:$R,"")/4))*XLOOKUP($Q1013,'Threshold Summary'!$Y:$Y,'Threshold Summary'!$L:$L,""))/100)+5)*XLOOKUP(XLOOKUP($Q1013,'Threshold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Editor'!$E:$E,1))),stab,IF(OR(mtype=XLOOKUP(XLOOKUP($Q1013,'Threshold Summary'!$Y:$Y,'Threshold Summary'!$K:$K,""),'Pokemon Editor'!$A:$A,'Pokemon Editor'!$C:$C,""),mtype=XLOOKUP(XLOOKUP($Q1013,'Threshold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Chart'!$B$1:$S$1,0)))),base,IF(OR(cat="Status",pow=0),0,FLOOR(FLOOR(FLOOR((2*XLOOKUP($Q1013,'Threshold Summary'!$Y:$Y,'Threshold Summary'!$L:$L,"")/5+2)*pow*atk/def)/50)+2)),modifier,stab*eff,FLOOR(base*modifier)),0)</f>
        <v/>
      </c>
      <c r="L1013" s="3">
        <f>IFERROR(LET(mtype,XLOOKUP($D1013,'Move Editor'!$B:$B,'Move Editor'!$C:$C,""),cat,XLOOKUP($D1013,'Move Editor'!$B:$B,'Move Editor'!$D:$D,""),pow,XLOOKUP($D1013,'Move Editor'!$B:$B,'Move Editor'!$E:$E,0),acc,XLOOKUP($D1013,'Move Editor'!$B:$B,'Move Editor'!$F:$F,100),atk,IF(cat="Physical",FLOOR((FLOOR(((2*XLOOKUP(XLOOKUP($Q1013,'Threshold Summary'!$Y:$Y,'Threshold Summary'!$K:$K,""),'Pokemon Editor'!$A:$A,'Pokemon Editor'!$F:$F,0)+31+FLOOR(XLOOKUP($Q1013,'Threshold Summary'!$Y:$Y,'Threshold Summary'!$P:$P,"")/4))*XLOOKUP($Q1013,'Threshold Summary'!$Y:$Y,'Threshold Summary'!$L:$L,""))/100)+5)*XLOOKUP(XLOOKUP($Q1013,'Threshold Summary'!$Y:$Y,'Threshold Summary'!$M:$M,""),'Nature Editor'!$A:$A,'Nature Editor'!$B:$B,1)),FLOOR((FLOOR(((2*XLOOKUP(XLOOKUP($Q1013,'Threshold Summary'!$Y:$Y,'Threshold Summary'!$K:$K,""),'Pokemon Editor'!$A:$A,'Pokemon Editor'!$H:$H,0)+31+FLOOR(XLOOKUP($Q1013,'Threshold Summary'!$Y:$Y,'Threshold Summary'!$R:$R,"")/4))*XLOOKUP($Q1013,'Threshold Summary'!$Y:$Y,'Threshold Summary'!$L:$L,""))/100)+5)*XLOOKUP(XLOOKUP($Q1013,'Threshold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Editor'!$E:$E,1))),stab,IF(OR(mtype=XLOOKUP(XLOOKUP($Q1013,'Threshold Summary'!$Y:$Y,'Threshold Summary'!$K:$K,""),'Pokemon Editor'!$A:$A,'Pokemon Editor'!$C:$C,""),mtype=XLOOKUP(XLOOKUP($Q1013,'Threshold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Chart'!$B$1:$S$1,0)))),base,IF(OR(cat="Status",pow=0),0,FLOOR(FLOOR(FLOOR((2*XLOOKUP($Q1013,'Threshold Summary'!$Y:$Y,'Threshold Summary'!$L:$L,"")/5+2)*pow*atk/def)/50)+2)),modifier,stab*eff,AVERAGE(ARRAYFORMULA(FLOOR(base*modifier*SEQUENCE(16,1,85,1)/100)))),0)</f>
        <v/>
      </c>
      <c r="M1013" s="3">
        <f>IFERROR(LET(mtype,XLOOKUP($D1013,'Move Editor'!$B:$B,'Move Editor'!$C:$C,""),cat,XLOOKUP($D1013,'Move Editor'!$B:$B,'Move Editor'!$D:$D,""),pow,XLOOKUP($D1013,'Move Editor'!$B:$B,'Move Editor'!$E:$E,0),acc,XLOOKUP($D1013,'Move Editor'!$B:$B,'Move Editor'!$F:$F,100),atk,IF(cat="Physical",FLOOR((FLOOR(((2*XLOOKUP(XLOOKUP($Q1013,'Threshold Summary'!$Y:$Y,'Threshold Summary'!$K:$K,""),'Pokemon Editor'!$A:$A,'Pokemon Editor'!$F:$F,0)+31+FLOOR(XLOOKUP($Q1013,'Threshold Summary'!$Y:$Y,'Threshold Summary'!$P:$P,"")/4))*XLOOKUP($Q1013,'Threshold Summary'!$Y:$Y,'Threshold Summary'!$L:$L,""))/100)+5)*XLOOKUP(XLOOKUP($Q1013,'Threshold Summary'!$Y:$Y,'Threshold Summary'!$M:$M,""),'Nature Editor'!$A:$A,'Nature Editor'!$B:$B,1)),FLOOR((FLOOR(((2*XLOOKUP(XLOOKUP($Q1013,'Threshold Summary'!$Y:$Y,'Threshold Summary'!$K:$K,""),'Pokemon Editor'!$A:$A,'Pokemon Editor'!$H:$H,0)+31+FLOOR(XLOOKUP($Q1013,'Threshold Summary'!$Y:$Y,'Threshold Summary'!$R:$R,"")/4))*XLOOKUP($Q1013,'Threshold Summary'!$Y:$Y,'Threshold Summary'!$L:$L,""))/100)+5)*XLOOKUP(XLOOKUP($Q1013,'Threshold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Editor'!$E:$E,1))),stab,IF(OR(mtype=XLOOKUP(XLOOKUP($Q1013,'Threshold Summary'!$Y:$Y,'Threshold Summary'!$K:$K,""),'Pokemon Editor'!$A:$A,'Pokemon Editor'!$C:$C,""),mtype=XLOOKUP(XLOOKUP($Q1013,'Threshold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Chart'!$B$1:$S$1,0)))),base,IF(OR(cat="Status",pow=0),0,FLOOR(FLOOR(FLOOR((2*XLOOKUP($Q1013,'Threshold Summary'!$Y:$Y,'Threshold Summary'!$L:$L,"")/5+2)*pow*atk/def)/50)+2)),modifier,stab*eff,AVERAGE(ARRAYFORMULA(FLOOR(base*modifier*SEQUENCE(16,1,85,1)/100)))*MIN(1,acc/100)),0)</f>
        <v/>
      </c>
      <c r="N1013" s="4">
        <f>IFERROR(LET(mtype,XLOOKUP($D1013,'Move Editor'!$B:$B,'Move Editor'!$C:$C,""),cat,XLOOKUP($D1013,'Move Editor'!$B:$B,'Move Editor'!$D:$D,""),pow,XLOOKUP($D1013,'Move Editor'!$B:$B,'Move Editor'!$E:$E,0),acc,XLOOKUP($D1013,'Move Editor'!$B:$B,'Move Editor'!$F:$F,100),atk,IF(cat="Physical",FLOOR((FLOOR(((2*XLOOKUP(XLOOKUP($Q1013,'Threshold Summary'!$Y:$Y,'Threshold Summary'!$K:$K,""),'Pokemon Editor'!$A:$A,'Pokemon Editor'!$F:$F,0)+31+FLOOR(XLOOKUP($Q1013,'Threshold Summary'!$Y:$Y,'Threshold Summary'!$P:$P,"")/4))*XLOOKUP($Q1013,'Threshold Summary'!$Y:$Y,'Threshold Summary'!$L:$L,""))/100)+5)*XLOOKUP(XLOOKUP($Q1013,'Threshold Summary'!$Y:$Y,'Threshold Summary'!$M:$M,""),'Nature Editor'!$A:$A,'Nature Editor'!$B:$B,1)),FLOOR((FLOOR(((2*XLOOKUP(XLOOKUP($Q1013,'Threshold Summary'!$Y:$Y,'Threshold Summary'!$K:$K,""),'Pokemon Editor'!$A:$A,'Pokemon Editor'!$H:$H,0)+31+FLOOR(XLOOKUP($Q1013,'Threshold Summary'!$Y:$Y,'Threshold Summary'!$R:$R,"")/4))*XLOOKUP($Q1013,'Threshold Summary'!$Y:$Y,'Threshold Summary'!$L:$L,""))/100)+5)*XLOOKUP(XLOOKUP($Q1013,'Threshold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Editor'!$E:$E,1))),stab,IF(OR(mtype=XLOOKUP(XLOOKUP($Q1013,'Threshold Summary'!$Y:$Y,'Threshold Summary'!$K:$K,""),'Pokemon Editor'!$A:$A,'Pokemon Editor'!$C:$C,""),mtype=XLOOKUP(XLOOKUP($Q1013,'Threshold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Chart'!$B$1:$S$1,0)))),base,IF(OR(cat="Status",pow=0),0,FLOOR(FLOOR(FLOOR((2*XLOOKUP($Q1013,'Threshold Summary'!$Y:$Y,'Threshold Summary'!$L:$L,"")/5+2)*pow*atk/def)/50)+2)),modifier,stab*eff,AVERAGE(ARRAYFORMULA(FLOOR(base*modifier*SEQUENCE(16,1,85,1)/100)))/(FLOOR(((2*XLOOKUP('Boss Editor'!$C$4,'Pokemon Editor'!$A:$A,'Pokemon Editor'!$E:$E,0)+31+FLOOR('Boss Editor'!$G$4/4))*'Boss Editor'!$D$4)/100)+'Boss Editor'!$D$4+10)),0)</f>
        <v/>
      </c>
      <c r="O1013" s="3">
        <f>IF(N1013&gt;=1,"OHKO",IF(N1013&gt;=0.5,"2HKO",IF(N1013&gt;=0.333,"3HKO",IF(N1013&gt;=0.25,"4HKO","5HKO+"))))</f>
        <v/>
      </c>
      <c r="P1013" s="3" t="inlineStr">
        <is>
          <t>Live from editable databases</t>
        </is>
      </c>
      <c r="Q1013" s="3" t="inlineStr">
        <is>
          <t>SPECIES_TINKATINK</t>
        </is>
      </c>
      <c r="R1013" s="3" t="n">
        <v>20</v>
      </c>
    </row>
    <row r="1014">
      <c r="A1014" s="3">
        <f>XLOOKUP($Q1014,'Threshold Summary'!$Y:$Y,'Threshold Summary'!$A:$A,"")</f>
        <v/>
      </c>
      <c r="B1014" s="3">
        <f>XLOOKUP($Q1014,'Threshold Summary'!$Y:$Y,'Threshold Summary'!$M:$M,"")</f>
        <v/>
      </c>
      <c r="C1014" s="3">
        <f>XLOOKUP($Q1014,'Threshold Summary'!$Y:$Y,'Threshold Summary'!$N:$N,"")</f>
        <v/>
      </c>
      <c r="D1014" s="3">
        <f>IFERROR(INDEX(FILTER('Learnset Editor'!$D$2:$D,'Learnset Editor'!$A$2:$A=XLOOKUP($Q1014,'Threshold Summary'!$Y:$Y,'Threshold Summary'!$K:$K,""),'Learnset Editor'!$C$2:$C&lt;=XLOOKUP($Q1014,'Threshold Summary'!$Y:$Y,'Threshold Summary'!$L:$L,"")),$R1014),"")</f>
        <v/>
      </c>
      <c r="E1014" s="3">
        <f>XLOOKUP(D1014,'Move Editor'!$B:$B,'Move Editor'!$C:$C,"")</f>
        <v/>
      </c>
      <c r="F1014" s="3">
        <f>XLOOKUP(D1014,'Move Editor'!$B:$B,'Move Editor'!$D:$D,"")</f>
        <v/>
      </c>
      <c r="G1014" s="3">
        <f>XLOOKUP(D1014,'Move Editor'!$B:$B,'Move Editor'!$E:$E,0)</f>
        <v/>
      </c>
      <c r="H1014" s="3">
        <f>XLOOKUP(D1014,'Move Editor'!$B:$B,'Move Editor'!$F:$F,0)</f>
        <v/>
      </c>
      <c r="I1014" s="3">
        <f>(INDEX('Type Chart'!$B:$S,MATCH(E1014,'Type Chart'!$A:$A,0),MATCH(XLOOKUP('Boss Editor'!$C$4,'Pokemon Editor'!$A:$A,'Pokemon Editor'!$C:$C,""),'Type Chart'!$B$1:$S$1,0))*IF(XLOOKUP('Boss Editor'!$C$4,'Pokemon Editor'!$A:$A,'Pokemon Editor'!$D:$D,"")="",1,INDEX('Type Chart'!$B:$S,MATCH(E1014,'Type Chart'!$A:$A,0),MATCH(XLOOKUP('Boss Editor'!$C$4,'Pokemon Editor'!$A:$A,'Pokemon Editor'!$D:$D,""),'Type Chart'!$B$1:$S$1,0))))</f>
        <v/>
      </c>
      <c r="J1014" s="3">
        <f>IFERROR(LET(mtype,XLOOKUP($D1014,'Move Editor'!$B:$B,'Move Editor'!$C:$C,""),cat,XLOOKUP($D1014,'Move Editor'!$B:$B,'Move Editor'!$D:$D,""),pow,XLOOKUP($D1014,'Move Editor'!$B:$B,'Move Editor'!$E:$E,0),acc,XLOOKUP($D1014,'Move Editor'!$B:$B,'Move Editor'!$F:$F,100),atk,IF(cat="Physical",FLOOR((FLOOR(((2*XLOOKUP(XLOOKUP($Q1014,'Threshold Summary'!$Y:$Y,'Threshold Summary'!$K:$K,""),'Pokemon Editor'!$A:$A,'Pokemon Editor'!$F:$F,0)+31+FLOOR(XLOOKUP($Q1014,'Threshold Summary'!$Y:$Y,'Threshold Summary'!$P:$P,"")/4))*XLOOKUP($Q1014,'Threshold Summary'!$Y:$Y,'Threshold Summary'!$L:$L,""))/100)+5)*XLOOKUP(XLOOKUP($Q1014,'Threshold Summary'!$Y:$Y,'Threshold Summary'!$M:$M,""),'Nature Editor'!$A:$A,'Nature Editor'!$B:$B,1)),FLOOR((FLOOR(((2*XLOOKUP(XLOOKUP($Q1014,'Threshold Summary'!$Y:$Y,'Threshold Summary'!$K:$K,""),'Pokemon Editor'!$A:$A,'Pokemon Editor'!$H:$H,0)+31+FLOOR(XLOOKUP($Q1014,'Threshold Summary'!$Y:$Y,'Threshold Summary'!$R:$R,"")/4))*XLOOKUP($Q1014,'Threshold Summary'!$Y:$Y,'Threshold Summary'!$L:$L,""))/100)+5)*XLOOKUP(XLOOKUP($Q1014,'Threshold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Editor'!$E:$E,1))),stab,IF(OR(mtype=XLOOKUP(XLOOKUP($Q1014,'Threshold Summary'!$Y:$Y,'Threshold Summary'!$K:$K,""),'Pokemon Editor'!$A:$A,'Pokemon Editor'!$C:$C,""),mtype=XLOOKUP(XLOOKUP($Q1014,'Threshold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Chart'!$B$1:$S$1,0)))),base,IF(OR(cat="Status",pow=0),0,FLOOR(FLOOR(FLOOR((2*XLOOKUP($Q1014,'Threshold Summary'!$Y:$Y,'Threshold Summary'!$L:$L,"")/5+2)*pow*atk/def)/50)+2)),modifier,stab*eff,FLOOR(base*modifier*0.85)),0)</f>
        <v/>
      </c>
      <c r="K1014" s="3">
        <f>IFERROR(LET(mtype,XLOOKUP($D1014,'Move Editor'!$B:$B,'Move Editor'!$C:$C,""),cat,XLOOKUP($D1014,'Move Editor'!$B:$B,'Move Editor'!$D:$D,""),pow,XLOOKUP($D1014,'Move Editor'!$B:$B,'Move Editor'!$E:$E,0),acc,XLOOKUP($D1014,'Move Editor'!$B:$B,'Move Editor'!$F:$F,100),atk,IF(cat="Physical",FLOOR((FLOOR(((2*XLOOKUP(XLOOKUP($Q1014,'Threshold Summary'!$Y:$Y,'Threshold Summary'!$K:$K,""),'Pokemon Editor'!$A:$A,'Pokemon Editor'!$F:$F,0)+31+FLOOR(XLOOKUP($Q1014,'Threshold Summary'!$Y:$Y,'Threshold Summary'!$P:$P,"")/4))*XLOOKUP($Q1014,'Threshold Summary'!$Y:$Y,'Threshold Summary'!$L:$L,""))/100)+5)*XLOOKUP(XLOOKUP($Q1014,'Threshold Summary'!$Y:$Y,'Threshold Summary'!$M:$M,""),'Nature Editor'!$A:$A,'Nature Editor'!$B:$B,1)),FLOOR((FLOOR(((2*XLOOKUP(XLOOKUP($Q1014,'Threshold Summary'!$Y:$Y,'Threshold Summary'!$K:$K,""),'Pokemon Editor'!$A:$A,'Pokemon Editor'!$H:$H,0)+31+FLOOR(XLOOKUP($Q1014,'Threshold Summary'!$Y:$Y,'Threshold Summary'!$R:$R,"")/4))*XLOOKUP($Q1014,'Threshold Summary'!$Y:$Y,'Threshold Summary'!$L:$L,""))/100)+5)*XLOOKUP(XLOOKUP($Q1014,'Threshold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Editor'!$E:$E,1))),stab,IF(OR(mtype=XLOOKUP(XLOOKUP($Q1014,'Threshold Summary'!$Y:$Y,'Threshold Summary'!$K:$K,""),'Pokemon Editor'!$A:$A,'Pokemon Editor'!$C:$C,""),mtype=XLOOKUP(XLOOKUP($Q1014,'Threshold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Chart'!$B$1:$S$1,0)))),base,IF(OR(cat="Status",pow=0),0,FLOOR(FLOOR(FLOOR((2*XLOOKUP($Q1014,'Threshold Summary'!$Y:$Y,'Threshold Summary'!$L:$L,"")/5+2)*pow*atk/def)/50)+2)),modifier,stab*eff,FLOOR(base*modifier)),0)</f>
        <v/>
      </c>
      <c r="L1014" s="3">
        <f>IFERROR(LET(mtype,XLOOKUP($D1014,'Move Editor'!$B:$B,'Move Editor'!$C:$C,""),cat,XLOOKUP($D1014,'Move Editor'!$B:$B,'Move Editor'!$D:$D,""),pow,XLOOKUP($D1014,'Move Editor'!$B:$B,'Move Editor'!$E:$E,0),acc,XLOOKUP($D1014,'Move Editor'!$B:$B,'Move Editor'!$F:$F,100),atk,IF(cat="Physical",FLOOR((FLOOR(((2*XLOOKUP(XLOOKUP($Q1014,'Threshold Summary'!$Y:$Y,'Threshold Summary'!$K:$K,""),'Pokemon Editor'!$A:$A,'Pokemon Editor'!$F:$F,0)+31+FLOOR(XLOOKUP($Q1014,'Threshold Summary'!$Y:$Y,'Threshold Summary'!$P:$P,"")/4))*XLOOKUP($Q1014,'Threshold Summary'!$Y:$Y,'Threshold Summary'!$L:$L,""))/100)+5)*XLOOKUP(XLOOKUP($Q1014,'Threshold Summary'!$Y:$Y,'Threshold Summary'!$M:$M,""),'Nature Editor'!$A:$A,'Nature Editor'!$B:$B,1)),FLOOR((FLOOR(((2*XLOOKUP(XLOOKUP($Q1014,'Threshold Summary'!$Y:$Y,'Threshold Summary'!$K:$K,""),'Pokemon Editor'!$A:$A,'Pokemon Editor'!$H:$H,0)+31+FLOOR(XLOOKUP($Q1014,'Threshold Summary'!$Y:$Y,'Threshold Summary'!$R:$R,"")/4))*XLOOKUP($Q1014,'Threshold Summary'!$Y:$Y,'Threshold Summary'!$L:$L,""))/100)+5)*XLOOKUP(XLOOKUP($Q1014,'Threshold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Editor'!$E:$E,1))),stab,IF(OR(mtype=XLOOKUP(XLOOKUP($Q1014,'Threshold Summary'!$Y:$Y,'Threshold Summary'!$K:$K,""),'Pokemon Editor'!$A:$A,'Pokemon Editor'!$C:$C,""),mtype=XLOOKUP(XLOOKUP($Q1014,'Threshold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Chart'!$B$1:$S$1,0)))),base,IF(OR(cat="Status",pow=0),0,FLOOR(FLOOR(FLOOR((2*XLOOKUP($Q1014,'Threshold Summary'!$Y:$Y,'Threshold Summary'!$L:$L,"")/5+2)*pow*atk/def)/50)+2)),modifier,stab*eff,AVERAGE(ARRAYFORMULA(FLOOR(base*modifier*SEQUENCE(16,1,85,1)/100)))),0)</f>
        <v/>
      </c>
      <c r="M1014" s="3">
        <f>IFERROR(LET(mtype,XLOOKUP($D1014,'Move Editor'!$B:$B,'Move Editor'!$C:$C,""),cat,XLOOKUP($D1014,'Move Editor'!$B:$B,'Move Editor'!$D:$D,""),pow,XLOOKUP($D1014,'Move Editor'!$B:$B,'Move Editor'!$E:$E,0),acc,XLOOKUP($D1014,'Move Editor'!$B:$B,'Move Editor'!$F:$F,100),atk,IF(cat="Physical",FLOOR((FLOOR(((2*XLOOKUP(XLOOKUP($Q1014,'Threshold Summary'!$Y:$Y,'Threshold Summary'!$K:$K,""),'Pokemon Editor'!$A:$A,'Pokemon Editor'!$F:$F,0)+31+FLOOR(XLOOKUP($Q1014,'Threshold Summary'!$Y:$Y,'Threshold Summary'!$P:$P,"")/4))*XLOOKUP($Q1014,'Threshold Summary'!$Y:$Y,'Threshold Summary'!$L:$L,""))/100)+5)*XLOOKUP(XLOOKUP($Q1014,'Threshold Summary'!$Y:$Y,'Threshold Summary'!$M:$M,""),'Nature Editor'!$A:$A,'Nature Editor'!$B:$B,1)),FLOOR((FLOOR(((2*XLOOKUP(XLOOKUP($Q1014,'Threshold Summary'!$Y:$Y,'Threshold Summary'!$K:$K,""),'Pokemon Editor'!$A:$A,'Pokemon Editor'!$H:$H,0)+31+FLOOR(XLOOKUP($Q1014,'Threshold Summary'!$Y:$Y,'Threshold Summary'!$R:$R,"")/4))*XLOOKUP($Q1014,'Threshold Summary'!$Y:$Y,'Threshold Summary'!$L:$L,""))/100)+5)*XLOOKUP(XLOOKUP($Q1014,'Threshold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Editor'!$E:$E,1))),stab,IF(OR(mtype=XLOOKUP(XLOOKUP($Q1014,'Threshold Summary'!$Y:$Y,'Threshold Summary'!$K:$K,""),'Pokemon Editor'!$A:$A,'Pokemon Editor'!$C:$C,""),mtype=XLOOKUP(XLOOKUP($Q1014,'Threshold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Chart'!$B$1:$S$1,0)))),base,IF(OR(cat="Status",pow=0),0,FLOOR(FLOOR(FLOOR((2*XLOOKUP($Q1014,'Threshold Summary'!$Y:$Y,'Threshold Summary'!$L:$L,"")/5+2)*pow*atk/def)/50)+2)),modifier,stab*eff,AVERAGE(ARRAYFORMULA(FLOOR(base*modifier*SEQUENCE(16,1,85,1)/100)))*MIN(1,acc/100)),0)</f>
        <v/>
      </c>
      <c r="N1014" s="4">
        <f>IFERROR(LET(mtype,XLOOKUP($D1014,'Move Editor'!$B:$B,'Move Editor'!$C:$C,""),cat,XLOOKUP($D1014,'Move Editor'!$B:$B,'Move Editor'!$D:$D,""),pow,XLOOKUP($D1014,'Move Editor'!$B:$B,'Move Editor'!$E:$E,0),acc,XLOOKUP($D1014,'Move Editor'!$B:$B,'Move Editor'!$F:$F,100),atk,IF(cat="Physical",FLOOR((FLOOR(((2*XLOOKUP(XLOOKUP($Q1014,'Threshold Summary'!$Y:$Y,'Threshold Summary'!$K:$K,""),'Pokemon Editor'!$A:$A,'Pokemon Editor'!$F:$F,0)+31+FLOOR(XLOOKUP($Q1014,'Threshold Summary'!$Y:$Y,'Threshold Summary'!$P:$P,"")/4))*XLOOKUP($Q1014,'Threshold Summary'!$Y:$Y,'Threshold Summary'!$L:$L,""))/100)+5)*XLOOKUP(XLOOKUP($Q1014,'Threshold Summary'!$Y:$Y,'Threshold Summary'!$M:$M,""),'Nature Editor'!$A:$A,'Nature Editor'!$B:$B,1)),FLOOR((FLOOR(((2*XLOOKUP(XLOOKUP($Q1014,'Threshold Summary'!$Y:$Y,'Threshold Summary'!$K:$K,""),'Pokemon Editor'!$A:$A,'Pokemon Editor'!$H:$H,0)+31+FLOOR(XLOOKUP($Q1014,'Threshold Summary'!$Y:$Y,'Threshold Summary'!$R:$R,"")/4))*XLOOKUP($Q1014,'Threshold Summary'!$Y:$Y,'Threshold Summary'!$L:$L,""))/100)+5)*XLOOKUP(XLOOKUP($Q1014,'Threshold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Editor'!$E:$E,1))),stab,IF(OR(mtype=XLOOKUP(XLOOKUP($Q1014,'Threshold Summary'!$Y:$Y,'Threshold Summary'!$K:$K,""),'Pokemon Editor'!$A:$A,'Pokemon Editor'!$C:$C,""),mtype=XLOOKUP(XLOOKUP($Q1014,'Threshold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Chart'!$B$1:$S$1,0)))),base,IF(OR(cat="Status",pow=0),0,FLOOR(FLOOR(FLOOR((2*XLOOKUP($Q1014,'Threshold Summary'!$Y:$Y,'Threshold Summary'!$L:$L,"")/5+2)*pow*atk/def)/50)+2)),modifier,stab*eff,AVERAGE(ARRAYFORMULA(FLOOR(base*modifier*SEQUENCE(16,1,85,1)/100)))/(FLOOR(((2*XLOOKUP('Boss Editor'!$C$4,'Pokemon Editor'!$A:$A,'Pokemon Editor'!$E:$E,0)+31+FLOOR('Boss Editor'!$G$4/4))*'Boss Editor'!$D$4)/100)+'Boss Editor'!$D$4+10)),0)</f>
        <v/>
      </c>
      <c r="O1014" s="3">
        <f>IF(N1014&gt;=1,"OHKO",IF(N1014&gt;=0.5,"2HKO",IF(N1014&gt;=0.333,"3HKO",IF(N1014&gt;=0.25,"4HKO","5HKO+"))))</f>
        <v/>
      </c>
      <c r="P1014" s="3" t="inlineStr">
        <is>
          <t>Live from editable databases</t>
        </is>
      </c>
      <c r="Q1014" s="3" t="inlineStr">
        <is>
          <t>SPECIES_TINKATINK</t>
        </is>
      </c>
      <c r="R1014" s="3" t="n">
        <v>21</v>
      </c>
    </row>
    <row r="1015">
      <c r="A1015" s="3">
        <f>XLOOKUP($Q1015,'Threshold Summary'!$Y:$Y,'Threshold Summary'!$A:$A,"")</f>
        <v/>
      </c>
      <c r="B1015" s="3">
        <f>XLOOKUP($Q1015,'Threshold Summary'!$Y:$Y,'Threshold Summary'!$M:$M,"")</f>
        <v/>
      </c>
      <c r="C1015" s="3">
        <f>XLOOKUP($Q1015,'Threshold Summary'!$Y:$Y,'Threshold Summary'!$N:$N,"")</f>
        <v/>
      </c>
      <c r="D1015" s="3">
        <f>IFERROR(INDEX(FILTER('Learnset Editor'!$D$2:$D,'Learnset Editor'!$A$2:$A=XLOOKUP($Q1015,'Threshold Summary'!$Y:$Y,'Threshold Summary'!$K:$K,""),'Learnset Editor'!$C$2:$C&lt;=XLOOKUP($Q1015,'Threshold Summary'!$Y:$Y,'Threshold Summary'!$L:$L,"")),$R1015),"")</f>
        <v/>
      </c>
      <c r="E1015" s="3">
        <f>XLOOKUP(D1015,'Move Editor'!$B:$B,'Move Editor'!$C:$C,"")</f>
        <v/>
      </c>
      <c r="F1015" s="3">
        <f>XLOOKUP(D1015,'Move Editor'!$B:$B,'Move Editor'!$D:$D,"")</f>
        <v/>
      </c>
      <c r="G1015" s="3">
        <f>XLOOKUP(D1015,'Move Editor'!$B:$B,'Move Editor'!$E:$E,0)</f>
        <v/>
      </c>
      <c r="H1015" s="3">
        <f>XLOOKUP(D1015,'Move Editor'!$B:$B,'Move Editor'!$F:$F,0)</f>
        <v/>
      </c>
      <c r="I1015" s="3">
        <f>(INDEX('Type Chart'!$B:$S,MATCH(E1015,'Type Chart'!$A:$A,0),MATCH(XLOOKUP('Boss Editor'!$C$4,'Pokemon Editor'!$A:$A,'Pokemon Editor'!$C:$C,""),'Type Chart'!$B$1:$S$1,0))*IF(XLOOKUP('Boss Editor'!$C$4,'Pokemon Editor'!$A:$A,'Pokemon Editor'!$D:$D,"")="",1,INDEX('Type Chart'!$B:$S,MATCH(E1015,'Type Chart'!$A:$A,0),MATCH(XLOOKUP('Boss Editor'!$C$4,'Pokemon Editor'!$A:$A,'Pokemon Editor'!$D:$D,""),'Type Chart'!$B$1:$S$1,0))))</f>
        <v/>
      </c>
      <c r="J1015" s="3">
        <f>IFERROR(LET(mtype,XLOOKUP($D1015,'Move Editor'!$B:$B,'Move Editor'!$C:$C,""),cat,XLOOKUP($D1015,'Move Editor'!$B:$B,'Move Editor'!$D:$D,""),pow,XLOOKUP($D1015,'Move Editor'!$B:$B,'Move Editor'!$E:$E,0),acc,XLOOKUP($D1015,'Move Editor'!$B:$B,'Move Editor'!$F:$F,100),atk,IF(cat="Physical",FLOOR((FLOOR(((2*XLOOKUP(XLOOKUP($Q1015,'Threshold Summary'!$Y:$Y,'Threshold Summary'!$K:$K,""),'Pokemon Editor'!$A:$A,'Pokemon Editor'!$F:$F,0)+31+FLOOR(XLOOKUP($Q1015,'Threshold Summary'!$Y:$Y,'Threshold Summary'!$P:$P,"")/4))*XLOOKUP($Q1015,'Threshold Summary'!$Y:$Y,'Threshold Summary'!$L:$L,""))/100)+5)*XLOOKUP(XLOOKUP($Q1015,'Threshold Summary'!$Y:$Y,'Threshold Summary'!$M:$M,""),'Nature Editor'!$A:$A,'Nature Editor'!$B:$B,1)),FLOOR((FLOOR(((2*XLOOKUP(XLOOKUP($Q1015,'Threshold Summary'!$Y:$Y,'Threshold Summary'!$K:$K,""),'Pokemon Editor'!$A:$A,'Pokemon Editor'!$H:$H,0)+31+FLOOR(XLOOKUP($Q1015,'Threshold Summary'!$Y:$Y,'Threshold Summary'!$R:$R,"")/4))*XLOOKUP($Q1015,'Threshold Summary'!$Y:$Y,'Threshold Summary'!$L:$L,""))/100)+5)*XLOOKUP(XLOOKUP($Q1015,'Threshold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Editor'!$E:$E,1))),stab,IF(OR(mtype=XLOOKUP(XLOOKUP($Q1015,'Threshold Summary'!$Y:$Y,'Threshold Summary'!$K:$K,""),'Pokemon Editor'!$A:$A,'Pokemon Editor'!$C:$C,""),mtype=XLOOKUP(XLOOKUP($Q1015,'Threshold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Chart'!$B$1:$S$1,0)))),base,IF(OR(cat="Status",pow=0),0,FLOOR(FLOOR(FLOOR((2*XLOOKUP($Q1015,'Threshold Summary'!$Y:$Y,'Threshold Summary'!$L:$L,"")/5+2)*pow*atk/def)/50)+2)),modifier,stab*eff,FLOOR(base*modifier*0.85)),0)</f>
        <v/>
      </c>
      <c r="K1015" s="3">
        <f>IFERROR(LET(mtype,XLOOKUP($D1015,'Move Editor'!$B:$B,'Move Editor'!$C:$C,""),cat,XLOOKUP($D1015,'Move Editor'!$B:$B,'Move Editor'!$D:$D,""),pow,XLOOKUP($D1015,'Move Editor'!$B:$B,'Move Editor'!$E:$E,0),acc,XLOOKUP($D1015,'Move Editor'!$B:$B,'Move Editor'!$F:$F,100),atk,IF(cat="Physical",FLOOR((FLOOR(((2*XLOOKUP(XLOOKUP($Q1015,'Threshold Summary'!$Y:$Y,'Threshold Summary'!$K:$K,""),'Pokemon Editor'!$A:$A,'Pokemon Editor'!$F:$F,0)+31+FLOOR(XLOOKUP($Q1015,'Threshold Summary'!$Y:$Y,'Threshold Summary'!$P:$P,"")/4))*XLOOKUP($Q1015,'Threshold Summary'!$Y:$Y,'Threshold Summary'!$L:$L,""))/100)+5)*XLOOKUP(XLOOKUP($Q1015,'Threshold Summary'!$Y:$Y,'Threshold Summary'!$M:$M,""),'Nature Editor'!$A:$A,'Nature Editor'!$B:$B,1)),FLOOR((FLOOR(((2*XLOOKUP(XLOOKUP($Q1015,'Threshold Summary'!$Y:$Y,'Threshold Summary'!$K:$K,""),'Pokemon Editor'!$A:$A,'Pokemon Editor'!$H:$H,0)+31+FLOOR(XLOOKUP($Q1015,'Threshold Summary'!$Y:$Y,'Threshold Summary'!$R:$R,"")/4))*XLOOKUP($Q1015,'Threshold Summary'!$Y:$Y,'Threshold Summary'!$L:$L,""))/100)+5)*XLOOKUP(XLOOKUP($Q1015,'Threshold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Editor'!$E:$E,1))),stab,IF(OR(mtype=XLOOKUP(XLOOKUP($Q1015,'Threshold Summary'!$Y:$Y,'Threshold Summary'!$K:$K,""),'Pokemon Editor'!$A:$A,'Pokemon Editor'!$C:$C,""),mtype=XLOOKUP(XLOOKUP($Q1015,'Threshold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Chart'!$B$1:$S$1,0)))),base,IF(OR(cat="Status",pow=0),0,FLOOR(FLOOR(FLOOR((2*XLOOKUP($Q1015,'Threshold Summary'!$Y:$Y,'Threshold Summary'!$L:$L,"")/5+2)*pow*atk/def)/50)+2)),modifier,stab*eff,FLOOR(base*modifier)),0)</f>
        <v/>
      </c>
      <c r="L1015" s="3">
        <f>IFERROR(LET(mtype,XLOOKUP($D1015,'Move Editor'!$B:$B,'Move Editor'!$C:$C,""),cat,XLOOKUP($D1015,'Move Editor'!$B:$B,'Move Editor'!$D:$D,""),pow,XLOOKUP($D1015,'Move Editor'!$B:$B,'Move Editor'!$E:$E,0),acc,XLOOKUP($D1015,'Move Editor'!$B:$B,'Move Editor'!$F:$F,100),atk,IF(cat="Physical",FLOOR((FLOOR(((2*XLOOKUP(XLOOKUP($Q1015,'Threshold Summary'!$Y:$Y,'Threshold Summary'!$K:$K,""),'Pokemon Editor'!$A:$A,'Pokemon Editor'!$F:$F,0)+31+FLOOR(XLOOKUP($Q1015,'Threshold Summary'!$Y:$Y,'Threshold Summary'!$P:$P,"")/4))*XLOOKUP($Q1015,'Threshold Summary'!$Y:$Y,'Threshold Summary'!$L:$L,""))/100)+5)*XLOOKUP(XLOOKUP($Q1015,'Threshold Summary'!$Y:$Y,'Threshold Summary'!$M:$M,""),'Nature Editor'!$A:$A,'Nature Editor'!$B:$B,1)),FLOOR((FLOOR(((2*XLOOKUP(XLOOKUP($Q1015,'Threshold Summary'!$Y:$Y,'Threshold Summary'!$K:$K,""),'Pokemon Editor'!$A:$A,'Pokemon Editor'!$H:$H,0)+31+FLOOR(XLOOKUP($Q1015,'Threshold Summary'!$Y:$Y,'Threshold Summary'!$R:$R,"")/4))*XLOOKUP($Q1015,'Threshold Summary'!$Y:$Y,'Threshold Summary'!$L:$L,""))/100)+5)*XLOOKUP(XLOOKUP($Q1015,'Threshold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Editor'!$E:$E,1))),stab,IF(OR(mtype=XLOOKUP(XLOOKUP($Q1015,'Threshold Summary'!$Y:$Y,'Threshold Summary'!$K:$K,""),'Pokemon Editor'!$A:$A,'Pokemon Editor'!$C:$C,""),mtype=XLOOKUP(XLOOKUP($Q1015,'Threshold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Chart'!$B$1:$S$1,0)))),base,IF(OR(cat="Status",pow=0),0,FLOOR(FLOOR(FLOOR((2*XLOOKUP($Q1015,'Threshold Summary'!$Y:$Y,'Threshold Summary'!$L:$L,"")/5+2)*pow*atk/def)/50)+2)),modifier,stab*eff,AVERAGE(ARRAYFORMULA(FLOOR(base*modifier*SEQUENCE(16,1,85,1)/100)))),0)</f>
        <v/>
      </c>
      <c r="M1015" s="3">
        <f>IFERROR(LET(mtype,XLOOKUP($D1015,'Move Editor'!$B:$B,'Move Editor'!$C:$C,""),cat,XLOOKUP($D1015,'Move Editor'!$B:$B,'Move Editor'!$D:$D,""),pow,XLOOKUP($D1015,'Move Editor'!$B:$B,'Move Editor'!$E:$E,0),acc,XLOOKUP($D1015,'Move Editor'!$B:$B,'Move Editor'!$F:$F,100),atk,IF(cat="Physical",FLOOR((FLOOR(((2*XLOOKUP(XLOOKUP($Q1015,'Threshold Summary'!$Y:$Y,'Threshold Summary'!$K:$K,""),'Pokemon Editor'!$A:$A,'Pokemon Editor'!$F:$F,0)+31+FLOOR(XLOOKUP($Q1015,'Threshold Summary'!$Y:$Y,'Threshold Summary'!$P:$P,"")/4))*XLOOKUP($Q1015,'Threshold Summary'!$Y:$Y,'Threshold Summary'!$L:$L,""))/100)+5)*XLOOKUP(XLOOKUP($Q1015,'Threshold Summary'!$Y:$Y,'Threshold Summary'!$M:$M,""),'Nature Editor'!$A:$A,'Nature Editor'!$B:$B,1)),FLOOR((FLOOR(((2*XLOOKUP(XLOOKUP($Q1015,'Threshold Summary'!$Y:$Y,'Threshold Summary'!$K:$K,""),'Pokemon Editor'!$A:$A,'Pokemon Editor'!$H:$H,0)+31+FLOOR(XLOOKUP($Q1015,'Threshold Summary'!$Y:$Y,'Threshold Summary'!$R:$R,"")/4))*XLOOKUP($Q1015,'Threshold Summary'!$Y:$Y,'Threshold Summary'!$L:$L,""))/100)+5)*XLOOKUP(XLOOKUP($Q1015,'Threshold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Editor'!$E:$E,1))),stab,IF(OR(mtype=XLOOKUP(XLOOKUP($Q1015,'Threshold Summary'!$Y:$Y,'Threshold Summary'!$K:$K,""),'Pokemon Editor'!$A:$A,'Pokemon Editor'!$C:$C,""),mtype=XLOOKUP(XLOOKUP($Q1015,'Threshold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Chart'!$B$1:$S$1,0)))),base,IF(OR(cat="Status",pow=0),0,FLOOR(FLOOR(FLOOR((2*XLOOKUP($Q1015,'Threshold Summary'!$Y:$Y,'Threshold Summary'!$L:$L,"")/5+2)*pow*atk/def)/50)+2)),modifier,stab*eff,AVERAGE(ARRAYFORMULA(FLOOR(base*modifier*SEQUENCE(16,1,85,1)/100)))*MIN(1,acc/100)),0)</f>
        <v/>
      </c>
      <c r="N1015" s="4">
        <f>IFERROR(LET(mtype,XLOOKUP($D1015,'Move Editor'!$B:$B,'Move Editor'!$C:$C,""),cat,XLOOKUP($D1015,'Move Editor'!$B:$B,'Move Editor'!$D:$D,""),pow,XLOOKUP($D1015,'Move Editor'!$B:$B,'Move Editor'!$E:$E,0),acc,XLOOKUP($D1015,'Move Editor'!$B:$B,'Move Editor'!$F:$F,100),atk,IF(cat="Physical",FLOOR((FLOOR(((2*XLOOKUP(XLOOKUP($Q1015,'Threshold Summary'!$Y:$Y,'Threshold Summary'!$K:$K,""),'Pokemon Editor'!$A:$A,'Pokemon Editor'!$F:$F,0)+31+FLOOR(XLOOKUP($Q1015,'Threshold Summary'!$Y:$Y,'Threshold Summary'!$P:$P,"")/4))*XLOOKUP($Q1015,'Threshold Summary'!$Y:$Y,'Threshold Summary'!$L:$L,""))/100)+5)*XLOOKUP(XLOOKUP($Q1015,'Threshold Summary'!$Y:$Y,'Threshold Summary'!$M:$M,""),'Nature Editor'!$A:$A,'Nature Editor'!$B:$B,1)),FLOOR((FLOOR(((2*XLOOKUP(XLOOKUP($Q1015,'Threshold Summary'!$Y:$Y,'Threshold Summary'!$K:$K,""),'Pokemon Editor'!$A:$A,'Pokemon Editor'!$H:$H,0)+31+FLOOR(XLOOKUP($Q1015,'Threshold Summary'!$Y:$Y,'Threshold Summary'!$R:$R,"")/4))*XLOOKUP($Q1015,'Threshold Summary'!$Y:$Y,'Threshold Summary'!$L:$L,""))/100)+5)*XLOOKUP(XLOOKUP($Q1015,'Threshold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Editor'!$E:$E,1))),stab,IF(OR(mtype=XLOOKUP(XLOOKUP($Q1015,'Threshold Summary'!$Y:$Y,'Threshold Summary'!$K:$K,""),'Pokemon Editor'!$A:$A,'Pokemon Editor'!$C:$C,""),mtype=XLOOKUP(XLOOKUP($Q1015,'Threshold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Chart'!$B$1:$S$1,0)))),base,IF(OR(cat="Status",pow=0),0,FLOOR(FLOOR(FLOOR((2*XLOOKUP($Q1015,'Threshold Summary'!$Y:$Y,'Threshold Summary'!$L:$L,"")/5+2)*pow*atk/def)/50)+2)),modifier,stab*eff,AVERAGE(ARRAYFORMULA(FLOOR(base*modifier*SEQUENCE(16,1,85,1)/100)))/(FLOOR(((2*XLOOKUP('Boss Editor'!$C$4,'Pokemon Editor'!$A:$A,'Pokemon Editor'!$E:$E,0)+31+FLOOR('Boss Editor'!$G$4/4))*'Boss Editor'!$D$4)/100)+'Boss Editor'!$D$4+10)),0)</f>
        <v/>
      </c>
      <c r="O1015" s="3">
        <f>IF(N1015&gt;=1,"OHKO",IF(N1015&gt;=0.5,"2HKO",IF(N1015&gt;=0.333,"3HKO",IF(N1015&gt;=0.25,"4HKO","5HKO+"))))</f>
        <v/>
      </c>
      <c r="P1015" s="3" t="inlineStr">
        <is>
          <t>Live from editable databases</t>
        </is>
      </c>
      <c r="Q1015" s="3" t="inlineStr">
        <is>
          <t>SPECIES_TINKATINK</t>
        </is>
      </c>
      <c r="R1015" s="3" t="n">
        <v>22</v>
      </c>
    </row>
    <row r="1016">
      <c r="A1016" s="3">
        <f>XLOOKUP($Q1016,'Threshold Summary'!$Y:$Y,'Threshold Summary'!$A:$A,"")</f>
        <v/>
      </c>
      <c r="B1016" s="3">
        <f>XLOOKUP($Q1016,'Threshold Summary'!$Y:$Y,'Threshold Summary'!$M:$M,"")</f>
        <v/>
      </c>
      <c r="C1016" s="3">
        <f>XLOOKUP($Q1016,'Threshold Summary'!$Y:$Y,'Threshold Summary'!$N:$N,"")</f>
        <v/>
      </c>
      <c r="D1016" s="3">
        <f>IFERROR(INDEX(FILTER('Learnset Editor'!$D$2:$D,'Learnset Editor'!$A$2:$A=XLOOKUP($Q1016,'Threshold Summary'!$Y:$Y,'Threshold Summary'!$K:$K,""),'Learnset Editor'!$C$2:$C&lt;=XLOOKUP($Q1016,'Threshold Summary'!$Y:$Y,'Threshold Summary'!$L:$L,"")),$R1016),"")</f>
        <v/>
      </c>
      <c r="E1016" s="3">
        <f>XLOOKUP(D1016,'Move Editor'!$B:$B,'Move Editor'!$C:$C,"")</f>
        <v/>
      </c>
      <c r="F1016" s="3">
        <f>XLOOKUP(D1016,'Move Editor'!$B:$B,'Move Editor'!$D:$D,"")</f>
        <v/>
      </c>
      <c r="G1016" s="3">
        <f>XLOOKUP(D1016,'Move Editor'!$B:$B,'Move Editor'!$E:$E,0)</f>
        <v/>
      </c>
      <c r="H1016" s="3">
        <f>XLOOKUP(D1016,'Move Editor'!$B:$B,'Move Editor'!$F:$F,0)</f>
        <v/>
      </c>
      <c r="I1016" s="3">
        <f>(INDEX('Type Chart'!$B:$S,MATCH(E1016,'Type Chart'!$A:$A,0),MATCH(XLOOKUP('Boss Editor'!$C$4,'Pokemon Editor'!$A:$A,'Pokemon Editor'!$C:$C,""),'Type Chart'!$B$1:$S$1,0))*IF(XLOOKUP('Boss Editor'!$C$4,'Pokemon Editor'!$A:$A,'Pokemon Editor'!$D:$D,"")="",1,INDEX('Type Chart'!$B:$S,MATCH(E1016,'Type Chart'!$A:$A,0),MATCH(XLOOKUP('Boss Editor'!$C$4,'Pokemon Editor'!$A:$A,'Pokemon Editor'!$D:$D,""),'Type Chart'!$B$1:$S$1,0))))</f>
        <v/>
      </c>
      <c r="J1016" s="3">
        <f>IFERROR(LET(mtype,XLOOKUP($D1016,'Move Editor'!$B:$B,'Move Editor'!$C:$C,""),cat,XLOOKUP($D1016,'Move Editor'!$B:$B,'Move Editor'!$D:$D,""),pow,XLOOKUP($D1016,'Move Editor'!$B:$B,'Move Editor'!$E:$E,0),acc,XLOOKUP($D1016,'Move Editor'!$B:$B,'Move Editor'!$F:$F,100),atk,IF(cat="Physical",FLOOR((FLOOR(((2*XLOOKUP(XLOOKUP($Q1016,'Threshold Summary'!$Y:$Y,'Threshold Summary'!$K:$K,""),'Pokemon Editor'!$A:$A,'Pokemon Editor'!$F:$F,0)+31+FLOOR(XLOOKUP($Q1016,'Threshold Summary'!$Y:$Y,'Threshold Summary'!$P:$P,"")/4))*XLOOKUP($Q1016,'Threshold Summary'!$Y:$Y,'Threshold Summary'!$L:$L,""))/100)+5)*XLOOKUP(XLOOKUP($Q1016,'Threshold Summary'!$Y:$Y,'Threshold Summary'!$M:$M,""),'Nature Editor'!$A:$A,'Nature Editor'!$B:$B,1)),FLOOR((FLOOR(((2*XLOOKUP(XLOOKUP($Q1016,'Threshold Summary'!$Y:$Y,'Threshold Summary'!$K:$K,""),'Pokemon Editor'!$A:$A,'Pokemon Editor'!$H:$H,0)+31+FLOOR(XLOOKUP($Q1016,'Threshold Summary'!$Y:$Y,'Threshold Summary'!$R:$R,"")/4))*XLOOKUP($Q1016,'Threshold Summary'!$Y:$Y,'Threshold Summary'!$L:$L,""))/100)+5)*XLOOKUP(XLOOKUP($Q1016,'Threshold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Editor'!$E:$E,1))),stab,IF(OR(mtype=XLOOKUP(XLOOKUP($Q1016,'Threshold Summary'!$Y:$Y,'Threshold Summary'!$K:$K,""),'Pokemon Editor'!$A:$A,'Pokemon Editor'!$C:$C,""),mtype=XLOOKUP(XLOOKUP($Q1016,'Threshold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Chart'!$B$1:$S$1,0)))),base,IF(OR(cat="Status",pow=0),0,FLOOR(FLOOR(FLOOR((2*XLOOKUP($Q1016,'Threshold Summary'!$Y:$Y,'Threshold Summary'!$L:$L,"")/5+2)*pow*atk/def)/50)+2)),modifier,stab*eff,FLOOR(base*modifier*0.85)),0)</f>
        <v/>
      </c>
      <c r="K1016" s="3">
        <f>IFERROR(LET(mtype,XLOOKUP($D1016,'Move Editor'!$B:$B,'Move Editor'!$C:$C,""),cat,XLOOKUP($D1016,'Move Editor'!$B:$B,'Move Editor'!$D:$D,""),pow,XLOOKUP($D1016,'Move Editor'!$B:$B,'Move Editor'!$E:$E,0),acc,XLOOKUP($D1016,'Move Editor'!$B:$B,'Move Editor'!$F:$F,100),atk,IF(cat="Physical",FLOOR((FLOOR(((2*XLOOKUP(XLOOKUP($Q1016,'Threshold Summary'!$Y:$Y,'Threshold Summary'!$K:$K,""),'Pokemon Editor'!$A:$A,'Pokemon Editor'!$F:$F,0)+31+FLOOR(XLOOKUP($Q1016,'Threshold Summary'!$Y:$Y,'Threshold Summary'!$P:$P,"")/4))*XLOOKUP($Q1016,'Threshold Summary'!$Y:$Y,'Threshold Summary'!$L:$L,""))/100)+5)*XLOOKUP(XLOOKUP($Q1016,'Threshold Summary'!$Y:$Y,'Threshold Summary'!$M:$M,""),'Nature Editor'!$A:$A,'Nature Editor'!$B:$B,1)),FLOOR((FLOOR(((2*XLOOKUP(XLOOKUP($Q1016,'Threshold Summary'!$Y:$Y,'Threshold Summary'!$K:$K,""),'Pokemon Editor'!$A:$A,'Pokemon Editor'!$H:$H,0)+31+FLOOR(XLOOKUP($Q1016,'Threshold Summary'!$Y:$Y,'Threshold Summary'!$R:$R,"")/4))*XLOOKUP($Q1016,'Threshold Summary'!$Y:$Y,'Threshold Summary'!$L:$L,""))/100)+5)*XLOOKUP(XLOOKUP($Q1016,'Threshold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Editor'!$E:$E,1))),stab,IF(OR(mtype=XLOOKUP(XLOOKUP($Q1016,'Threshold Summary'!$Y:$Y,'Threshold Summary'!$K:$K,""),'Pokemon Editor'!$A:$A,'Pokemon Editor'!$C:$C,""),mtype=XLOOKUP(XLOOKUP($Q1016,'Threshold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Chart'!$B$1:$S$1,0)))),base,IF(OR(cat="Status",pow=0),0,FLOOR(FLOOR(FLOOR((2*XLOOKUP($Q1016,'Threshold Summary'!$Y:$Y,'Threshold Summary'!$L:$L,"")/5+2)*pow*atk/def)/50)+2)),modifier,stab*eff,FLOOR(base*modifier)),0)</f>
        <v/>
      </c>
      <c r="L1016" s="3">
        <f>IFERROR(LET(mtype,XLOOKUP($D1016,'Move Editor'!$B:$B,'Move Editor'!$C:$C,""),cat,XLOOKUP($D1016,'Move Editor'!$B:$B,'Move Editor'!$D:$D,""),pow,XLOOKUP($D1016,'Move Editor'!$B:$B,'Move Editor'!$E:$E,0),acc,XLOOKUP($D1016,'Move Editor'!$B:$B,'Move Editor'!$F:$F,100),atk,IF(cat="Physical",FLOOR((FLOOR(((2*XLOOKUP(XLOOKUP($Q1016,'Threshold Summary'!$Y:$Y,'Threshold Summary'!$K:$K,""),'Pokemon Editor'!$A:$A,'Pokemon Editor'!$F:$F,0)+31+FLOOR(XLOOKUP($Q1016,'Threshold Summary'!$Y:$Y,'Threshold Summary'!$P:$P,"")/4))*XLOOKUP($Q1016,'Threshold Summary'!$Y:$Y,'Threshold Summary'!$L:$L,""))/100)+5)*XLOOKUP(XLOOKUP($Q1016,'Threshold Summary'!$Y:$Y,'Threshold Summary'!$M:$M,""),'Nature Editor'!$A:$A,'Nature Editor'!$B:$B,1)),FLOOR((FLOOR(((2*XLOOKUP(XLOOKUP($Q1016,'Threshold Summary'!$Y:$Y,'Threshold Summary'!$K:$K,""),'Pokemon Editor'!$A:$A,'Pokemon Editor'!$H:$H,0)+31+FLOOR(XLOOKUP($Q1016,'Threshold Summary'!$Y:$Y,'Threshold Summary'!$R:$R,"")/4))*XLOOKUP($Q1016,'Threshold Summary'!$Y:$Y,'Threshold Summary'!$L:$L,""))/100)+5)*XLOOKUP(XLOOKUP($Q1016,'Threshold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Editor'!$E:$E,1))),stab,IF(OR(mtype=XLOOKUP(XLOOKUP($Q1016,'Threshold Summary'!$Y:$Y,'Threshold Summary'!$K:$K,""),'Pokemon Editor'!$A:$A,'Pokemon Editor'!$C:$C,""),mtype=XLOOKUP(XLOOKUP($Q1016,'Threshold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Chart'!$B$1:$S$1,0)))),base,IF(OR(cat="Status",pow=0),0,FLOOR(FLOOR(FLOOR((2*XLOOKUP($Q1016,'Threshold Summary'!$Y:$Y,'Threshold Summary'!$L:$L,"")/5+2)*pow*atk/def)/50)+2)),modifier,stab*eff,AVERAGE(ARRAYFORMULA(FLOOR(base*modifier*SEQUENCE(16,1,85,1)/100)))),0)</f>
        <v/>
      </c>
      <c r="M1016" s="3">
        <f>IFERROR(LET(mtype,XLOOKUP($D1016,'Move Editor'!$B:$B,'Move Editor'!$C:$C,""),cat,XLOOKUP($D1016,'Move Editor'!$B:$B,'Move Editor'!$D:$D,""),pow,XLOOKUP($D1016,'Move Editor'!$B:$B,'Move Editor'!$E:$E,0),acc,XLOOKUP($D1016,'Move Editor'!$B:$B,'Move Editor'!$F:$F,100),atk,IF(cat="Physical",FLOOR((FLOOR(((2*XLOOKUP(XLOOKUP($Q1016,'Threshold Summary'!$Y:$Y,'Threshold Summary'!$K:$K,""),'Pokemon Editor'!$A:$A,'Pokemon Editor'!$F:$F,0)+31+FLOOR(XLOOKUP($Q1016,'Threshold Summary'!$Y:$Y,'Threshold Summary'!$P:$P,"")/4))*XLOOKUP($Q1016,'Threshold Summary'!$Y:$Y,'Threshold Summary'!$L:$L,""))/100)+5)*XLOOKUP(XLOOKUP($Q1016,'Threshold Summary'!$Y:$Y,'Threshold Summary'!$M:$M,""),'Nature Editor'!$A:$A,'Nature Editor'!$B:$B,1)),FLOOR((FLOOR(((2*XLOOKUP(XLOOKUP($Q1016,'Threshold Summary'!$Y:$Y,'Threshold Summary'!$K:$K,""),'Pokemon Editor'!$A:$A,'Pokemon Editor'!$H:$H,0)+31+FLOOR(XLOOKUP($Q1016,'Threshold Summary'!$Y:$Y,'Threshold Summary'!$R:$R,"")/4))*XLOOKUP($Q1016,'Threshold Summary'!$Y:$Y,'Threshold Summary'!$L:$L,""))/100)+5)*XLOOKUP(XLOOKUP($Q1016,'Threshold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Editor'!$E:$E,1))),stab,IF(OR(mtype=XLOOKUP(XLOOKUP($Q1016,'Threshold Summary'!$Y:$Y,'Threshold Summary'!$K:$K,""),'Pokemon Editor'!$A:$A,'Pokemon Editor'!$C:$C,""),mtype=XLOOKUP(XLOOKUP($Q1016,'Threshold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Chart'!$B$1:$S$1,0)))),base,IF(OR(cat="Status",pow=0),0,FLOOR(FLOOR(FLOOR((2*XLOOKUP($Q1016,'Threshold Summary'!$Y:$Y,'Threshold Summary'!$L:$L,"")/5+2)*pow*atk/def)/50)+2)),modifier,stab*eff,AVERAGE(ARRAYFORMULA(FLOOR(base*modifier*SEQUENCE(16,1,85,1)/100)))*MIN(1,acc/100)),0)</f>
        <v/>
      </c>
      <c r="N1016" s="4">
        <f>IFERROR(LET(mtype,XLOOKUP($D1016,'Move Editor'!$B:$B,'Move Editor'!$C:$C,""),cat,XLOOKUP($D1016,'Move Editor'!$B:$B,'Move Editor'!$D:$D,""),pow,XLOOKUP($D1016,'Move Editor'!$B:$B,'Move Editor'!$E:$E,0),acc,XLOOKUP($D1016,'Move Editor'!$B:$B,'Move Editor'!$F:$F,100),atk,IF(cat="Physical",FLOOR((FLOOR(((2*XLOOKUP(XLOOKUP($Q1016,'Threshold Summary'!$Y:$Y,'Threshold Summary'!$K:$K,""),'Pokemon Editor'!$A:$A,'Pokemon Editor'!$F:$F,0)+31+FLOOR(XLOOKUP($Q1016,'Threshold Summary'!$Y:$Y,'Threshold Summary'!$P:$P,"")/4))*XLOOKUP($Q1016,'Threshold Summary'!$Y:$Y,'Threshold Summary'!$L:$L,""))/100)+5)*XLOOKUP(XLOOKUP($Q1016,'Threshold Summary'!$Y:$Y,'Threshold Summary'!$M:$M,""),'Nature Editor'!$A:$A,'Nature Editor'!$B:$B,1)),FLOOR((FLOOR(((2*XLOOKUP(XLOOKUP($Q1016,'Threshold Summary'!$Y:$Y,'Threshold Summary'!$K:$K,""),'Pokemon Editor'!$A:$A,'Pokemon Editor'!$H:$H,0)+31+FLOOR(XLOOKUP($Q1016,'Threshold Summary'!$Y:$Y,'Threshold Summary'!$R:$R,"")/4))*XLOOKUP($Q1016,'Threshold Summary'!$Y:$Y,'Threshold Summary'!$L:$L,""))/100)+5)*XLOOKUP(XLOOKUP($Q1016,'Threshold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Editor'!$E:$E,1))),stab,IF(OR(mtype=XLOOKUP(XLOOKUP($Q1016,'Threshold Summary'!$Y:$Y,'Threshold Summary'!$K:$K,""),'Pokemon Editor'!$A:$A,'Pokemon Editor'!$C:$C,""),mtype=XLOOKUP(XLOOKUP($Q1016,'Threshold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Chart'!$B$1:$S$1,0)))),base,IF(OR(cat="Status",pow=0),0,FLOOR(FLOOR(FLOOR((2*XLOOKUP($Q1016,'Threshold Summary'!$Y:$Y,'Threshold Summary'!$L:$L,"")/5+2)*pow*atk/def)/50)+2)),modifier,stab*eff,AVERAGE(ARRAYFORMULA(FLOOR(base*modifier*SEQUENCE(16,1,85,1)/100)))/(FLOOR(((2*XLOOKUP('Boss Editor'!$C$4,'Pokemon Editor'!$A:$A,'Pokemon Editor'!$E:$E,0)+31+FLOOR('Boss Editor'!$G$4/4))*'Boss Editor'!$D$4)/100)+'Boss Editor'!$D$4+10)),0)</f>
        <v/>
      </c>
      <c r="O1016" s="3">
        <f>IF(N1016&gt;=1,"OHKO",IF(N1016&gt;=0.5,"2HKO",IF(N1016&gt;=0.333,"3HKO",IF(N1016&gt;=0.25,"4HKO","5HKO+"))))</f>
        <v/>
      </c>
      <c r="P1016" s="3" t="inlineStr">
        <is>
          <t>Live from editable databases</t>
        </is>
      </c>
      <c r="Q1016" s="3" t="inlineStr">
        <is>
          <t>SPECIES_TINKATINK</t>
        </is>
      </c>
      <c r="R1016" s="3" t="n">
        <v>23</v>
      </c>
    </row>
    <row r="1017">
      <c r="A1017" s="3">
        <f>XLOOKUP($Q1017,'Threshold Summary'!$Y:$Y,'Threshold Summary'!$A:$A,"")</f>
        <v/>
      </c>
      <c r="B1017" s="3">
        <f>XLOOKUP($Q1017,'Threshold Summary'!$Y:$Y,'Threshold Summary'!$M:$M,"")</f>
        <v/>
      </c>
      <c r="C1017" s="3">
        <f>XLOOKUP($Q1017,'Threshold Summary'!$Y:$Y,'Threshold Summary'!$N:$N,"")</f>
        <v/>
      </c>
      <c r="D1017" s="3">
        <f>IFERROR(INDEX(FILTER('Learnset Editor'!$D$2:$D,'Learnset Editor'!$A$2:$A=XLOOKUP($Q1017,'Threshold Summary'!$Y:$Y,'Threshold Summary'!$K:$K,""),'Learnset Editor'!$C$2:$C&lt;=XLOOKUP($Q1017,'Threshold Summary'!$Y:$Y,'Threshold Summary'!$L:$L,"")),$R1017),"")</f>
        <v/>
      </c>
      <c r="E1017" s="3">
        <f>XLOOKUP(D1017,'Move Editor'!$B:$B,'Move Editor'!$C:$C,"")</f>
        <v/>
      </c>
      <c r="F1017" s="3">
        <f>XLOOKUP(D1017,'Move Editor'!$B:$B,'Move Editor'!$D:$D,"")</f>
        <v/>
      </c>
      <c r="G1017" s="3">
        <f>XLOOKUP(D1017,'Move Editor'!$B:$B,'Move Editor'!$E:$E,0)</f>
        <v/>
      </c>
      <c r="H1017" s="3">
        <f>XLOOKUP(D1017,'Move Editor'!$B:$B,'Move Editor'!$F:$F,0)</f>
        <v/>
      </c>
      <c r="I1017" s="3">
        <f>(INDEX('Type Chart'!$B:$S,MATCH(E1017,'Type Chart'!$A:$A,0),MATCH(XLOOKUP('Boss Editor'!$C$4,'Pokemon Editor'!$A:$A,'Pokemon Editor'!$C:$C,""),'Type Chart'!$B$1:$S$1,0))*IF(XLOOKUP('Boss Editor'!$C$4,'Pokemon Editor'!$A:$A,'Pokemon Editor'!$D:$D,"")="",1,INDEX('Type Chart'!$B:$S,MATCH(E1017,'Type Chart'!$A:$A,0),MATCH(XLOOKUP('Boss Editor'!$C$4,'Pokemon Editor'!$A:$A,'Pokemon Editor'!$D:$D,""),'Type Chart'!$B$1:$S$1,0))))</f>
        <v/>
      </c>
      <c r="J1017" s="3">
        <f>IFERROR(LET(mtype,XLOOKUP($D1017,'Move Editor'!$B:$B,'Move Editor'!$C:$C,""),cat,XLOOKUP($D1017,'Move Editor'!$B:$B,'Move Editor'!$D:$D,""),pow,XLOOKUP($D1017,'Move Editor'!$B:$B,'Move Editor'!$E:$E,0),acc,XLOOKUP($D1017,'Move Editor'!$B:$B,'Move Editor'!$F:$F,100),atk,IF(cat="Physical",FLOOR((FLOOR(((2*XLOOKUP(XLOOKUP($Q1017,'Threshold Summary'!$Y:$Y,'Threshold Summary'!$K:$K,""),'Pokemon Editor'!$A:$A,'Pokemon Editor'!$F:$F,0)+31+FLOOR(XLOOKUP($Q1017,'Threshold Summary'!$Y:$Y,'Threshold Summary'!$P:$P,"")/4))*XLOOKUP($Q1017,'Threshold Summary'!$Y:$Y,'Threshold Summary'!$L:$L,""))/100)+5)*XLOOKUP(XLOOKUP($Q1017,'Threshold Summary'!$Y:$Y,'Threshold Summary'!$M:$M,""),'Nature Editor'!$A:$A,'Nature Editor'!$B:$B,1)),FLOOR((FLOOR(((2*XLOOKUP(XLOOKUP($Q1017,'Threshold Summary'!$Y:$Y,'Threshold Summary'!$K:$K,""),'Pokemon Editor'!$A:$A,'Pokemon Editor'!$H:$H,0)+31+FLOOR(XLOOKUP($Q1017,'Threshold Summary'!$Y:$Y,'Threshold Summary'!$R:$R,"")/4))*XLOOKUP($Q1017,'Threshold Summary'!$Y:$Y,'Threshold Summary'!$L:$L,""))/100)+5)*XLOOKUP(XLOOKUP($Q1017,'Threshold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Editor'!$E:$E,1))),stab,IF(OR(mtype=XLOOKUP(XLOOKUP($Q1017,'Threshold Summary'!$Y:$Y,'Threshold Summary'!$K:$K,""),'Pokemon Editor'!$A:$A,'Pokemon Editor'!$C:$C,""),mtype=XLOOKUP(XLOOKUP($Q1017,'Threshold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Chart'!$B$1:$S$1,0)))),base,IF(OR(cat="Status",pow=0),0,FLOOR(FLOOR(FLOOR((2*XLOOKUP($Q1017,'Threshold Summary'!$Y:$Y,'Threshold Summary'!$L:$L,"")/5+2)*pow*atk/def)/50)+2)),modifier,stab*eff,FLOOR(base*modifier*0.85)),0)</f>
        <v/>
      </c>
      <c r="K1017" s="3">
        <f>IFERROR(LET(mtype,XLOOKUP($D1017,'Move Editor'!$B:$B,'Move Editor'!$C:$C,""),cat,XLOOKUP($D1017,'Move Editor'!$B:$B,'Move Editor'!$D:$D,""),pow,XLOOKUP($D1017,'Move Editor'!$B:$B,'Move Editor'!$E:$E,0),acc,XLOOKUP($D1017,'Move Editor'!$B:$B,'Move Editor'!$F:$F,100),atk,IF(cat="Physical",FLOOR((FLOOR(((2*XLOOKUP(XLOOKUP($Q1017,'Threshold Summary'!$Y:$Y,'Threshold Summary'!$K:$K,""),'Pokemon Editor'!$A:$A,'Pokemon Editor'!$F:$F,0)+31+FLOOR(XLOOKUP($Q1017,'Threshold Summary'!$Y:$Y,'Threshold Summary'!$P:$P,"")/4))*XLOOKUP($Q1017,'Threshold Summary'!$Y:$Y,'Threshold Summary'!$L:$L,""))/100)+5)*XLOOKUP(XLOOKUP($Q1017,'Threshold Summary'!$Y:$Y,'Threshold Summary'!$M:$M,""),'Nature Editor'!$A:$A,'Nature Editor'!$B:$B,1)),FLOOR((FLOOR(((2*XLOOKUP(XLOOKUP($Q1017,'Threshold Summary'!$Y:$Y,'Threshold Summary'!$K:$K,""),'Pokemon Editor'!$A:$A,'Pokemon Editor'!$H:$H,0)+31+FLOOR(XLOOKUP($Q1017,'Threshold Summary'!$Y:$Y,'Threshold Summary'!$R:$R,"")/4))*XLOOKUP($Q1017,'Threshold Summary'!$Y:$Y,'Threshold Summary'!$L:$L,""))/100)+5)*XLOOKUP(XLOOKUP($Q1017,'Threshold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Editor'!$E:$E,1))),stab,IF(OR(mtype=XLOOKUP(XLOOKUP($Q1017,'Threshold Summary'!$Y:$Y,'Threshold Summary'!$K:$K,""),'Pokemon Editor'!$A:$A,'Pokemon Editor'!$C:$C,""),mtype=XLOOKUP(XLOOKUP($Q1017,'Threshold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Chart'!$B$1:$S$1,0)))),base,IF(OR(cat="Status",pow=0),0,FLOOR(FLOOR(FLOOR((2*XLOOKUP($Q1017,'Threshold Summary'!$Y:$Y,'Threshold Summary'!$L:$L,"")/5+2)*pow*atk/def)/50)+2)),modifier,stab*eff,FLOOR(base*modifier)),0)</f>
        <v/>
      </c>
      <c r="L1017" s="3">
        <f>IFERROR(LET(mtype,XLOOKUP($D1017,'Move Editor'!$B:$B,'Move Editor'!$C:$C,""),cat,XLOOKUP($D1017,'Move Editor'!$B:$B,'Move Editor'!$D:$D,""),pow,XLOOKUP($D1017,'Move Editor'!$B:$B,'Move Editor'!$E:$E,0),acc,XLOOKUP($D1017,'Move Editor'!$B:$B,'Move Editor'!$F:$F,100),atk,IF(cat="Physical",FLOOR((FLOOR(((2*XLOOKUP(XLOOKUP($Q1017,'Threshold Summary'!$Y:$Y,'Threshold Summary'!$K:$K,""),'Pokemon Editor'!$A:$A,'Pokemon Editor'!$F:$F,0)+31+FLOOR(XLOOKUP($Q1017,'Threshold Summary'!$Y:$Y,'Threshold Summary'!$P:$P,"")/4))*XLOOKUP($Q1017,'Threshold Summary'!$Y:$Y,'Threshold Summary'!$L:$L,""))/100)+5)*XLOOKUP(XLOOKUP($Q1017,'Threshold Summary'!$Y:$Y,'Threshold Summary'!$M:$M,""),'Nature Editor'!$A:$A,'Nature Editor'!$B:$B,1)),FLOOR((FLOOR(((2*XLOOKUP(XLOOKUP($Q1017,'Threshold Summary'!$Y:$Y,'Threshold Summary'!$K:$K,""),'Pokemon Editor'!$A:$A,'Pokemon Editor'!$H:$H,0)+31+FLOOR(XLOOKUP($Q1017,'Threshold Summary'!$Y:$Y,'Threshold Summary'!$R:$R,"")/4))*XLOOKUP($Q1017,'Threshold Summary'!$Y:$Y,'Threshold Summary'!$L:$L,""))/100)+5)*XLOOKUP(XLOOKUP($Q1017,'Threshold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Editor'!$E:$E,1))),stab,IF(OR(mtype=XLOOKUP(XLOOKUP($Q1017,'Threshold Summary'!$Y:$Y,'Threshold Summary'!$K:$K,""),'Pokemon Editor'!$A:$A,'Pokemon Editor'!$C:$C,""),mtype=XLOOKUP(XLOOKUP($Q1017,'Threshold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Chart'!$B$1:$S$1,0)))),base,IF(OR(cat="Status",pow=0),0,FLOOR(FLOOR(FLOOR((2*XLOOKUP($Q1017,'Threshold Summary'!$Y:$Y,'Threshold Summary'!$L:$L,"")/5+2)*pow*atk/def)/50)+2)),modifier,stab*eff,AVERAGE(ARRAYFORMULA(FLOOR(base*modifier*SEQUENCE(16,1,85,1)/100)))),0)</f>
        <v/>
      </c>
      <c r="M1017" s="3">
        <f>IFERROR(LET(mtype,XLOOKUP($D1017,'Move Editor'!$B:$B,'Move Editor'!$C:$C,""),cat,XLOOKUP($D1017,'Move Editor'!$B:$B,'Move Editor'!$D:$D,""),pow,XLOOKUP($D1017,'Move Editor'!$B:$B,'Move Editor'!$E:$E,0),acc,XLOOKUP($D1017,'Move Editor'!$B:$B,'Move Editor'!$F:$F,100),atk,IF(cat="Physical",FLOOR((FLOOR(((2*XLOOKUP(XLOOKUP($Q1017,'Threshold Summary'!$Y:$Y,'Threshold Summary'!$K:$K,""),'Pokemon Editor'!$A:$A,'Pokemon Editor'!$F:$F,0)+31+FLOOR(XLOOKUP($Q1017,'Threshold Summary'!$Y:$Y,'Threshold Summary'!$P:$P,"")/4))*XLOOKUP($Q1017,'Threshold Summary'!$Y:$Y,'Threshold Summary'!$L:$L,""))/100)+5)*XLOOKUP(XLOOKUP($Q1017,'Threshold Summary'!$Y:$Y,'Threshold Summary'!$M:$M,""),'Nature Editor'!$A:$A,'Nature Editor'!$B:$B,1)),FLOOR((FLOOR(((2*XLOOKUP(XLOOKUP($Q1017,'Threshold Summary'!$Y:$Y,'Threshold Summary'!$K:$K,""),'Pokemon Editor'!$A:$A,'Pokemon Editor'!$H:$H,0)+31+FLOOR(XLOOKUP($Q1017,'Threshold Summary'!$Y:$Y,'Threshold Summary'!$R:$R,"")/4))*XLOOKUP($Q1017,'Threshold Summary'!$Y:$Y,'Threshold Summary'!$L:$L,""))/100)+5)*XLOOKUP(XLOOKUP($Q1017,'Threshold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Editor'!$E:$E,1))),stab,IF(OR(mtype=XLOOKUP(XLOOKUP($Q1017,'Threshold Summary'!$Y:$Y,'Threshold Summary'!$K:$K,""),'Pokemon Editor'!$A:$A,'Pokemon Editor'!$C:$C,""),mtype=XLOOKUP(XLOOKUP($Q1017,'Threshold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Chart'!$B$1:$S$1,0)))),base,IF(OR(cat="Status",pow=0),0,FLOOR(FLOOR(FLOOR((2*XLOOKUP($Q1017,'Threshold Summary'!$Y:$Y,'Threshold Summary'!$L:$L,"")/5+2)*pow*atk/def)/50)+2)),modifier,stab*eff,AVERAGE(ARRAYFORMULA(FLOOR(base*modifier*SEQUENCE(16,1,85,1)/100)))*MIN(1,acc/100)),0)</f>
        <v/>
      </c>
      <c r="N1017" s="4">
        <f>IFERROR(LET(mtype,XLOOKUP($D1017,'Move Editor'!$B:$B,'Move Editor'!$C:$C,""),cat,XLOOKUP($D1017,'Move Editor'!$B:$B,'Move Editor'!$D:$D,""),pow,XLOOKUP($D1017,'Move Editor'!$B:$B,'Move Editor'!$E:$E,0),acc,XLOOKUP($D1017,'Move Editor'!$B:$B,'Move Editor'!$F:$F,100),atk,IF(cat="Physical",FLOOR((FLOOR(((2*XLOOKUP(XLOOKUP($Q1017,'Threshold Summary'!$Y:$Y,'Threshold Summary'!$K:$K,""),'Pokemon Editor'!$A:$A,'Pokemon Editor'!$F:$F,0)+31+FLOOR(XLOOKUP($Q1017,'Threshold Summary'!$Y:$Y,'Threshold Summary'!$P:$P,"")/4))*XLOOKUP($Q1017,'Threshold Summary'!$Y:$Y,'Threshold Summary'!$L:$L,""))/100)+5)*XLOOKUP(XLOOKUP($Q1017,'Threshold Summary'!$Y:$Y,'Threshold Summary'!$M:$M,""),'Nature Editor'!$A:$A,'Nature Editor'!$B:$B,1)),FLOOR((FLOOR(((2*XLOOKUP(XLOOKUP($Q1017,'Threshold Summary'!$Y:$Y,'Threshold Summary'!$K:$K,""),'Pokemon Editor'!$A:$A,'Pokemon Editor'!$H:$H,0)+31+FLOOR(XLOOKUP($Q1017,'Threshold Summary'!$Y:$Y,'Threshold Summary'!$R:$R,"")/4))*XLOOKUP($Q1017,'Threshold Summary'!$Y:$Y,'Threshold Summary'!$L:$L,""))/100)+5)*XLOOKUP(XLOOKUP($Q1017,'Threshold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Editor'!$E:$E,1))),stab,IF(OR(mtype=XLOOKUP(XLOOKUP($Q1017,'Threshold Summary'!$Y:$Y,'Threshold Summary'!$K:$K,""),'Pokemon Editor'!$A:$A,'Pokemon Editor'!$C:$C,""),mtype=XLOOKUP(XLOOKUP($Q1017,'Threshold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Chart'!$B$1:$S$1,0)))),base,IF(OR(cat="Status",pow=0),0,FLOOR(FLOOR(FLOOR((2*XLOOKUP($Q1017,'Threshold Summary'!$Y:$Y,'Threshold Summary'!$L:$L,"")/5+2)*pow*atk/def)/50)+2)),modifier,stab*eff,AVERAGE(ARRAYFORMULA(FLOOR(base*modifier*SEQUENCE(16,1,85,1)/100)))/(FLOOR(((2*XLOOKUP('Boss Editor'!$C$4,'Pokemon Editor'!$A:$A,'Pokemon Editor'!$E:$E,0)+31+FLOOR('Boss Editor'!$G$4/4))*'Boss Editor'!$D$4)/100)+'Boss Editor'!$D$4+10)),0)</f>
        <v/>
      </c>
      <c r="O1017" s="3">
        <f>IF(N1017&gt;=1,"OHKO",IF(N1017&gt;=0.5,"2HKO",IF(N1017&gt;=0.333,"3HKO",IF(N1017&gt;=0.25,"4HKO","5HKO+"))))</f>
        <v/>
      </c>
      <c r="P1017" s="3" t="inlineStr">
        <is>
          <t>Live from editable databases</t>
        </is>
      </c>
      <c r="Q1017" s="3" t="inlineStr">
        <is>
          <t>SPECIES_TINKATINK</t>
        </is>
      </c>
      <c r="R1017" s="3" t="n">
        <v>24</v>
      </c>
    </row>
    <row r="1018">
      <c r="A1018" s="3">
        <f>XLOOKUP($Q1018,'Threshold Summary'!$Y:$Y,'Threshold Summary'!$A:$A,"")</f>
        <v/>
      </c>
      <c r="B1018" s="3">
        <f>XLOOKUP($Q1018,'Threshold Summary'!$Y:$Y,'Threshold Summary'!$M:$M,"")</f>
        <v/>
      </c>
      <c r="C1018" s="3">
        <f>XLOOKUP($Q1018,'Threshold Summary'!$Y:$Y,'Threshold Summary'!$N:$N,"")</f>
        <v/>
      </c>
      <c r="D1018" s="3">
        <f>IFERROR(INDEX(FILTER('Learnset Editor'!$D$2:$D,'Learnset Editor'!$A$2:$A=XLOOKUP($Q1018,'Threshold Summary'!$Y:$Y,'Threshold Summary'!$K:$K,""),'Learnset Editor'!$C$2:$C&lt;=XLOOKUP($Q1018,'Threshold Summary'!$Y:$Y,'Threshold Summary'!$L:$L,"")),$R1018),"")</f>
        <v/>
      </c>
      <c r="E1018" s="3">
        <f>XLOOKUP(D1018,'Move Editor'!$B:$B,'Move Editor'!$C:$C,"")</f>
        <v/>
      </c>
      <c r="F1018" s="3">
        <f>XLOOKUP(D1018,'Move Editor'!$B:$B,'Move Editor'!$D:$D,"")</f>
        <v/>
      </c>
      <c r="G1018" s="3">
        <f>XLOOKUP(D1018,'Move Editor'!$B:$B,'Move Editor'!$E:$E,0)</f>
        <v/>
      </c>
      <c r="H1018" s="3">
        <f>XLOOKUP(D1018,'Move Editor'!$B:$B,'Move Editor'!$F:$F,0)</f>
        <v/>
      </c>
      <c r="I1018" s="3">
        <f>(INDEX('Type Chart'!$B:$S,MATCH(E1018,'Type Chart'!$A:$A,0),MATCH(XLOOKUP('Boss Editor'!$C$4,'Pokemon Editor'!$A:$A,'Pokemon Editor'!$C:$C,""),'Type Chart'!$B$1:$S$1,0))*IF(XLOOKUP('Boss Editor'!$C$4,'Pokemon Editor'!$A:$A,'Pokemon Editor'!$D:$D,"")="",1,INDEX('Type Chart'!$B:$S,MATCH(E1018,'Type Chart'!$A:$A,0),MATCH(XLOOKUP('Boss Editor'!$C$4,'Pokemon Editor'!$A:$A,'Pokemon Editor'!$D:$D,""),'Type Chart'!$B$1:$S$1,0))))</f>
        <v/>
      </c>
      <c r="J1018" s="3">
        <f>IFERROR(LET(mtype,XLOOKUP($D1018,'Move Editor'!$B:$B,'Move Editor'!$C:$C,""),cat,XLOOKUP($D1018,'Move Editor'!$B:$B,'Move Editor'!$D:$D,""),pow,XLOOKUP($D1018,'Move Editor'!$B:$B,'Move Editor'!$E:$E,0),acc,XLOOKUP($D1018,'Move Editor'!$B:$B,'Move Editor'!$F:$F,100),atk,IF(cat="Physical",FLOOR((FLOOR(((2*XLOOKUP(XLOOKUP($Q1018,'Threshold Summary'!$Y:$Y,'Threshold Summary'!$K:$K,""),'Pokemon Editor'!$A:$A,'Pokemon Editor'!$F:$F,0)+31+FLOOR(XLOOKUP($Q1018,'Threshold Summary'!$Y:$Y,'Threshold Summary'!$P:$P,"")/4))*XLOOKUP($Q1018,'Threshold Summary'!$Y:$Y,'Threshold Summary'!$L:$L,""))/100)+5)*XLOOKUP(XLOOKUP($Q1018,'Threshold Summary'!$Y:$Y,'Threshold Summary'!$M:$M,""),'Nature Editor'!$A:$A,'Nature Editor'!$B:$B,1)),FLOOR((FLOOR(((2*XLOOKUP(XLOOKUP($Q1018,'Threshold Summary'!$Y:$Y,'Threshold Summary'!$K:$K,""),'Pokemon Editor'!$A:$A,'Pokemon Editor'!$H:$H,0)+31+FLOOR(XLOOKUP($Q1018,'Threshold Summary'!$Y:$Y,'Threshold Summary'!$R:$R,"")/4))*XLOOKUP($Q1018,'Threshold Summary'!$Y:$Y,'Threshold Summary'!$L:$L,""))/100)+5)*XLOOKUP(XLOOKUP($Q1018,'Threshold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Editor'!$E:$E,1))),stab,IF(OR(mtype=XLOOKUP(XLOOKUP($Q1018,'Threshold Summary'!$Y:$Y,'Threshold Summary'!$K:$K,""),'Pokemon Editor'!$A:$A,'Pokemon Editor'!$C:$C,""),mtype=XLOOKUP(XLOOKUP($Q1018,'Threshold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Chart'!$B$1:$S$1,0)))),base,IF(OR(cat="Status",pow=0),0,FLOOR(FLOOR(FLOOR((2*XLOOKUP($Q1018,'Threshold Summary'!$Y:$Y,'Threshold Summary'!$L:$L,"")/5+2)*pow*atk/def)/50)+2)),modifier,stab*eff,FLOOR(base*modifier*0.85)),0)</f>
        <v/>
      </c>
      <c r="K1018" s="3">
        <f>IFERROR(LET(mtype,XLOOKUP($D1018,'Move Editor'!$B:$B,'Move Editor'!$C:$C,""),cat,XLOOKUP($D1018,'Move Editor'!$B:$B,'Move Editor'!$D:$D,""),pow,XLOOKUP($D1018,'Move Editor'!$B:$B,'Move Editor'!$E:$E,0),acc,XLOOKUP($D1018,'Move Editor'!$B:$B,'Move Editor'!$F:$F,100),atk,IF(cat="Physical",FLOOR((FLOOR(((2*XLOOKUP(XLOOKUP($Q1018,'Threshold Summary'!$Y:$Y,'Threshold Summary'!$K:$K,""),'Pokemon Editor'!$A:$A,'Pokemon Editor'!$F:$F,0)+31+FLOOR(XLOOKUP($Q1018,'Threshold Summary'!$Y:$Y,'Threshold Summary'!$P:$P,"")/4))*XLOOKUP($Q1018,'Threshold Summary'!$Y:$Y,'Threshold Summary'!$L:$L,""))/100)+5)*XLOOKUP(XLOOKUP($Q1018,'Threshold Summary'!$Y:$Y,'Threshold Summary'!$M:$M,""),'Nature Editor'!$A:$A,'Nature Editor'!$B:$B,1)),FLOOR((FLOOR(((2*XLOOKUP(XLOOKUP($Q1018,'Threshold Summary'!$Y:$Y,'Threshold Summary'!$K:$K,""),'Pokemon Editor'!$A:$A,'Pokemon Editor'!$H:$H,0)+31+FLOOR(XLOOKUP($Q1018,'Threshold Summary'!$Y:$Y,'Threshold Summary'!$R:$R,"")/4))*XLOOKUP($Q1018,'Threshold Summary'!$Y:$Y,'Threshold Summary'!$L:$L,""))/100)+5)*XLOOKUP(XLOOKUP($Q1018,'Threshold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Editor'!$E:$E,1))),stab,IF(OR(mtype=XLOOKUP(XLOOKUP($Q1018,'Threshold Summary'!$Y:$Y,'Threshold Summary'!$K:$K,""),'Pokemon Editor'!$A:$A,'Pokemon Editor'!$C:$C,""),mtype=XLOOKUP(XLOOKUP($Q1018,'Threshold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Chart'!$B$1:$S$1,0)))),base,IF(OR(cat="Status",pow=0),0,FLOOR(FLOOR(FLOOR((2*XLOOKUP($Q1018,'Threshold Summary'!$Y:$Y,'Threshold Summary'!$L:$L,"")/5+2)*pow*atk/def)/50)+2)),modifier,stab*eff,FLOOR(base*modifier)),0)</f>
        <v/>
      </c>
      <c r="L1018" s="3">
        <f>IFERROR(LET(mtype,XLOOKUP($D1018,'Move Editor'!$B:$B,'Move Editor'!$C:$C,""),cat,XLOOKUP($D1018,'Move Editor'!$B:$B,'Move Editor'!$D:$D,""),pow,XLOOKUP($D1018,'Move Editor'!$B:$B,'Move Editor'!$E:$E,0),acc,XLOOKUP($D1018,'Move Editor'!$B:$B,'Move Editor'!$F:$F,100),atk,IF(cat="Physical",FLOOR((FLOOR(((2*XLOOKUP(XLOOKUP($Q1018,'Threshold Summary'!$Y:$Y,'Threshold Summary'!$K:$K,""),'Pokemon Editor'!$A:$A,'Pokemon Editor'!$F:$F,0)+31+FLOOR(XLOOKUP($Q1018,'Threshold Summary'!$Y:$Y,'Threshold Summary'!$P:$P,"")/4))*XLOOKUP($Q1018,'Threshold Summary'!$Y:$Y,'Threshold Summary'!$L:$L,""))/100)+5)*XLOOKUP(XLOOKUP($Q1018,'Threshold Summary'!$Y:$Y,'Threshold Summary'!$M:$M,""),'Nature Editor'!$A:$A,'Nature Editor'!$B:$B,1)),FLOOR((FLOOR(((2*XLOOKUP(XLOOKUP($Q1018,'Threshold Summary'!$Y:$Y,'Threshold Summary'!$K:$K,""),'Pokemon Editor'!$A:$A,'Pokemon Editor'!$H:$H,0)+31+FLOOR(XLOOKUP($Q1018,'Threshold Summary'!$Y:$Y,'Threshold Summary'!$R:$R,"")/4))*XLOOKUP($Q1018,'Threshold Summary'!$Y:$Y,'Threshold Summary'!$L:$L,""))/100)+5)*XLOOKUP(XLOOKUP($Q1018,'Threshold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Editor'!$E:$E,1))),stab,IF(OR(mtype=XLOOKUP(XLOOKUP($Q1018,'Threshold Summary'!$Y:$Y,'Threshold Summary'!$K:$K,""),'Pokemon Editor'!$A:$A,'Pokemon Editor'!$C:$C,""),mtype=XLOOKUP(XLOOKUP($Q1018,'Threshold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Chart'!$B$1:$S$1,0)))),base,IF(OR(cat="Status",pow=0),0,FLOOR(FLOOR(FLOOR((2*XLOOKUP($Q1018,'Threshold Summary'!$Y:$Y,'Threshold Summary'!$L:$L,"")/5+2)*pow*atk/def)/50)+2)),modifier,stab*eff,AVERAGE(ARRAYFORMULA(FLOOR(base*modifier*SEQUENCE(16,1,85,1)/100)))),0)</f>
        <v/>
      </c>
      <c r="M1018" s="3">
        <f>IFERROR(LET(mtype,XLOOKUP($D1018,'Move Editor'!$B:$B,'Move Editor'!$C:$C,""),cat,XLOOKUP($D1018,'Move Editor'!$B:$B,'Move Editor'!$D:$D,""),pow,XLOOKUP($D1018,'Move Editor'!$B:$B,'Move Editor'!$E:$E,0),acc,XLOOKUP($D1018,'Move Editor'!$B:$B,'Move Editor'!$F:$F,100),atk,IF(cat="Physical",FLOOR((FLOOR(((2*XLOOKUP(XLOOKUP($Q1018,'Threshold Summary'!$Y:$Y,'Threshold Summary'!$K:$K,""),'Pokemon Editor'!$A:$A,'Pokemon Editor'!$F:$F,0)+31+FLOOR(XLOOKUP($Q1018,'Threshold Summary'!$Y:$Y,'Threshold Summary'!$P:$P,"")/4))*XLOOKUP($Q1018,'Threshold Summary'!$Y:$Y,'Threshold Summary'!$L:$L,""))/100)+5)*XLOOKUP(XLOOKUP($Q1018,'Threshold Summary'!$Y:$Y,'Threshold Summary'!$M:$M,""),'Nature Editor'!$A:$A,'Nature Editor'!$B:$B,1)),FLOOR((FLOOR(((2*XLOOKUP(XLOOKUP($Q1018,'Threshold Summary'!$Y:$Y,'Threshold Summary'!$K:$K,""),'Pokemon Editor'!$A:$A,'Pokemon Editor'!$H:$H,0)+31+FLOOR(XLOOKUP($Q1018,'Threshold Summary'!$Y:$Y,'Threshold Summary'!$R:$R,"")/4))*XLOOKUP($Q1018,'Threshold Summary'!$Y:$Y,'Threshold Summary'!$L:$L,""))/100)+5)*XLOOKUP(XLOOKUP($Q1018,'Threshold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Editor'!$E:$E,1))),stab,IF(OR(mtype=XLOOKUP(XLOOKUP($Q1018,'Threshold Summary'!$Y:$Y,'Threshold Summary'!$K:$K,""),'Pokemon Editor'!$A:$A,'Pokemon Editor'!$C:$C,""),mtype=XLOOKUP(XLOOKUP($Q1018,'Threshold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Chart'!$B$1:$S$1,0)))),base,IF(OR(cat="Status",pow=0),0,FLOOR(FLOOR(FLOOR((2*XLOOKUP($Q1018,'Threshold Summary'!$Y:$Y,'Threshold Summary'!$L:$L,"")/5+2)*pow*atk/def)/50)+2)),modifier,stab*eff,AVERAGE(ARRAYFORMULA(FLOOR(base*modifier*SEQUENCE(16,1,85,1)/100)))*MIN(1,acc/100)),0)</f>
        <v/>
      </c>
      <c r="N1018" s="4">
        <f>IFERROR(LET(mtype,XLOOKUP($D1018,'Move Editor'!$B:$B,'Move Editor'!$C:$C,""),cat,XLOOKUP($D1018,'Move Editor'!$B:$B,'Move Editor'!$D:$D,""),pow,XLOOKUP($D1018,'Move Editor'!$B:$B,'Move Editor'!$E:$E,0),acc,XLOOKUP($D1018,'Move Editor'!$B:$B,'Move Editor'!$F:$F,100),atk,IF(cat="Physical",FLOOR((FLOOR(((2*XLOOKUP(XLOOKUP($Q1018,'Threshold Summary'!$Y:$Y,'Threshold Summary'!$K:$K,""),'Pokemon Editor'!$A:$A,'Pokemon Editor'!$F:$F,0)+31+FLOOR(XLOOKUP($Q1018,'Threshold Summary'!$Y:$Y,'Threshold Summary'!$P:$P,"")/4))*XLOOKUP($Q1018,'Threshold Summary'!$Y:$Y,'Threshold Summary'!$L:$L,""))/100)+5)*XLOOKUP(XLOOKUP($Q1018,'Threshold Summary'!$Y:$Y,'Threshold Summary'!$M:$M,""),'Nature Editor'!$A:$A,'Nature Editor'!$B:$B,1)),FLOOR((FLOOR(((2*XLOOKUP(XLOOKUP($Q1018,'Threshold Summary'!$Y:$Y,'Threshold Summary'!$K:$K,""),'Pokemon Editor'!$A:$A,'Pokemon Editor'!$H:$H,0)+31+FLOOR(XLOOKUP($Q1018,'Threshold Summary'!$Y:$Y,'Threshold Summary'!$R:$R,"")/4))*XLOOKUP($Q1018,'Threshold Summary'!$Y:$Y,'Threshold Summary'!$L:$L,""))/100)+5)*XLOOKUP(XLOOKUP($Q1018,'Threshold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Editor'!$E:$E,1))),stab,IF(OR(mtype=XLOOKUP(XLOOKUP($Q1018,'Threshold Summary'!$Y:$Y,'Threshold Summary'!$K:$K,""),'Pokemon Editor'!$A:$A,'Pokemon Editor'!$C:$C,""),mtype=XLOOKUP(XLOOKUP($Q1018,'Threshold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Chart'!$B$1:$S$1,0)))),base,IF(OR(cat="Status",pow=0),0,FLOOR(FLOOR(FLOOR((2*XLOOKUP($Q1018,'Threshold Summary'!$Y:$Y,'Threshold Summary'!$L:$L,"")/5+2)*pow*atk/def)/50)+2)),modifier,stab*eff,AVERAGE(ARRAYFORMULA(FLOOR(base*modifier*SEQUENCE(16,1,85,1)/100)))/(FLOOR(((2*XLOOKUP('Boss Editor'!$C$4,'Pokemon Editor'!$A:$A,'Pokemon Editor'!$E:$E,0)+31+FLOOR('Boss Editor'!$G$4/4))*'Boss Editor'!$D$4)/100)+'Boss Editor'!$D$4+10)),0)</f>
        <v/>
      </c>
      <c r="O1018" s="3">
        <f>IF(N1018&gt;=1,"OHKO",IF(N1018&gt;=0.5,"2HKO",IF(N1018&gt;=0.333,"3HKO",IF(N1018&gt;=0.25,"4HKO","5HKO+"))))</f>
        <v/>
      </c>
      <c r="P1018" s="3" t="inlineStr">
        <is>
          <t>Live from editable databases</t>
        </is>
      </c>
      <c r="Q1018" s="3" t="inlineStr">
        <is>
          <t>SPECIES_TINKATINK</t>
        </is>
      </c>
      <c r="R1018" s="3" t="n">
        <v>25</v>
      </c>
    </row>
    <row r="1019">
      <c r="A1019" s="3">
        <f>XLOOKUP($Q1019,'Threshold Summary'!$Y:$Y,'Threshold Summary'!$A:$A,"")</f>
        <v/>
      </c>
      <c r="B1019" s="3">
        <f>XLOOKUP($Q1019,'Threshold Summary'!$Y:$Y,'Threshold Summary'!$M:$M,"")</f>
        <v/>
      </c>
      <c r="C1019" s="3">
        <f>XLOOKUP($Q1019,'Threshold Summary'!$Y:$Y,'Threshold Summary'!$N:$N,"")</f>
        <v/>
      </c>
      <c r="D1019" s="3">
        <f>IFERROR(INDEX(FILTER('Learnset Editor'!$D$2:$D,'Learnset Editor'!$A$2:$A=XLOOKUP($Q1019,'Threshold Summary'!$Y:$Y,'Threshold Summary'!$K:$K,""),'Learnset Editor'!$C$2:$C&lt;=XLOOKUP($Q1019,'Threshold Summary'!$Y:$Y,'Threshold Summary'!$L:$L,"")),$R1019),"")</f>
        <v/>
      </c>
      <c r="E1019" s="3">
        <f>XLOOKUP(D1019,'Move Editor'!$B:$B,'Move Editor'!$C:$C,"")</f>
        <v/>
      </c>
      <c r="F1019" s="3">
        <f>XLOOKUP(D1019,'Move Editor'!$B:$B,'Move Editor'!$D:$D,"")</f>
        <v/>
      </c>
      <c r="G1019" s="3">
        <f>XLOOKUP(D1019,'Move Editor'!$B:$B,'Move Editor'!$E:$E,0)</f>
        <v/>
      </c>
      <c r="H1019" s="3">
        <f>XLOOKUP(D1019,'Move Editor'!$B:$B,'Move Editor'!$F:$F,0)</f>
        <v/>
      </c>
      <c r="I1019" s="3">
        <f>(INDEX('Type Chart'!$B:$S,MATCH(E1019,'Type Chart'!$A:$A,0),MATCH(XLOOKUP('Boss Editor'!$C$4,'Pokemon Editor'!$A:$A,'Pokemon Editor'!$C:$C,""),'Type Chart'!$B$1:$S$1,0))*IF(XLOOKUP('Boss Editor'!$C$4,'Pokemon Editor'!$A:$A,'Pokemon Editor'!$D:$D,"")="",1,INDEX('Type Chart'!$B:$S,MATCH(E1019,'Type Chart'!$A:$A,0),MATCH(XLOOKUP('Boss Editor'!$C$4,'Pokemon Editor'!$A:$A,'Pokemon Editor'!$D:$D,""),'Type Chart'!$B$1:$S$1,0))))</f>
        <v/>
      </c>
      <c r="J1019" s="3">
        <f>IFERROR(LET(mtype,XLOOKUP($D1019,'Move Editor'!$B:$B,'Move Editor'!$C:$C,""),cat,XLOOKUP($D1019,'Move Editor'!$B:$B,'Move Editor'!$D:$D,""),pow,XLOOKUP($D1019,'Move Editor'!$B:$B,'Move Editor'!$E:$E,0),acc,XLOOKUP($D1019,'Move Editor'!$B:$B,'Move Editor'!$F:$F,100),atk,IF(cat="Physical",FLOOR((FLOOR(((2*XLOOKUP(XLOOKUP($Q1019,'Threshold Summary'!$Y:$Y,'Threshold Summary'!$K:$K,""),'Pokemon Editor'!$A:$A,'Pokemon Editor'!$F:$F,0)+31+FLOOR(XLOOKUP($Q1019,'Threshold Summary'!$Y:$Y,'Threshold Summary'!$P:$P,"")/4))*XLOOKUP($Q1019,'Threshold Summary'!$Y:$Y,'Threshold Summary'!$L:$L,""))/100)+5)*XLOOKUP(XLOOKUP($Q1019,'Threshold Summary'!$Y:$Y,'Threshold Summary'!$M:$M,""),'Nature Editor'!$A:$A,'Nature Editor'!$B:$B,1)),FLOOR((FLOOR(((2*XLOOKUP(XLOOKUP($Q1019,'Threshold Summary'!$Y:$Y,'Threshold Summary'!$K:$K,""),'Pokemon Editor'!$A:$A,'Pokemon Editor'!$H:$H,0)+31+FLOOR(XLOOKUP($Q1019,'Threshold Summary'!$Y:$Y,'Threshold Summary'!$R:$R,"")/4))*XLOOKUP($Q1019,'Threshold Summary'!$Y:$Y,'Threshold Summary'!$L:$L,""))/100)+5)*XLOOKUP(XLOOKUP($Q1019,'Threshold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Editor'!$E:$E,1))),stab,IF(OR(mtype=XLOOKUP(XLOOKUP($Q1019,'Threshold Summary'!$Y:$Y,'Threshold Summary'!$K:$K,""),'Pokemon Editor'!$A:$A,'Pokemon Editor'!$C:$C,""),mtype=XLOOKUP(XLOOKUP($Q1019,'Threshold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Chart'!$B$1:$S$1,0)))),base,IF(OR(cat="Status",pow=0),0,FLOOR(FLOOR(FLOOR((2*XLOOKUP($Q1019,'Threshold Summary'!$Y:$Y,'Threshold Summary'!$L:$L,"")/5+2)*pow*atk/def)/50)+2)),modifier,stab*eff,FLOOR(base*modifier*0.85)),0)</f>
        <v/>
      </c>
      <c r="K1019" s="3">
        <f>IFERROR(LET(mtype,XLOOKUP($D1019,'Move Editor'!$B:$B,'Move Editor'!$C:$C,""),cat,XLOOKUP($D1019,'Move Editor'!$B:$B,'Move Editor'!$D:$D,""),pow,XLOOKUP($D1019,'Move Editor'!$B:$B,'Move Editor'!$E:$E,0),acc,XLOOKUP($D1019,'Move Editor'!$B:$B,'Move Editor'!$F:$F,100),atk,IF(cat="Physical",FLOOR((FLOOR(((2*XLOOKUP(XLOOKUP($Q1019,'Threshold Summary'!$Y:$Y,'Threshold Summary'!$K:$K,""),'Pokemon Editor'!$A:$A,'Pokemon Editor'!$F:$F,0)+31+FLOOR(XLOOKUP($Q1019,'Threshold Summary'!$Y:$Y,'Threshold Summary'!$P:$P,"")/4))*XLOOKUP($Q1019,'Threshold Summary'!$Y:$Y,'Threshold Summary'!$L:$L,""))/100)+5)*XLOOKUP(XLOOKUP($Q1019,'Threshold Summary'!$Y:$Y,'Threshold Summary'!$M:$M,""),'Nature Editor'!$A:$A,'Nature Editor'!$B:$B,1)),FLOOR((FLOOR(((2*XLOOKUP(XLOOKUP($Q1019,'Threshold Summary'!$Y:$Y,'Threshold Summary'!$K:$K,""),'Pokemon Editor'!$A:$A,'Pokemon Editor'!$H:$H,0)+31+FLOOR(XLOOKUP($Q1019,'Threshold Summary'!$Y:$Y,'Threshold Summary'!$R:$R,"")/4))*XLOOKUP($Q1019,'Threshold Summary'!$Y:$Y,'Threshold Summary'!$L:$L,""))/100)+5)*XLOOKUP(XLOOKUP($Q1019,'Threshold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Editor'!$E:$E,1))),stab,IF(OR(mtype=XLOOKUP(XLOOKUP($Q1019,'Threshold Summary'!$Y:$Y,'Threshold Summary'!$K:$K,""),'Pokemon Editor'!$A:$A,'Pokemon Editor'!$C:$C,""),mtype=XLOOKUP(XLOOKUP($Q1019,'Threshold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Chart'!$B$1:$S$1,0)))),base,IF(OR(cat="Status",pow=0),0,FLOOR(FLOOR(FLOOR((2*XLOOKUP($Q1019,'Threshold Summary'!$Y:$Y,'Threshold Summary'!$L:$L,"")/5+2)*pow*atk/def)/50)+2)),modifier,stab*eff,FLOOR(base*modifier)),0)</f>
        <v/>
      </c>
      <c r="L1019" s="3">
        <f>IFERROR(LET(mtype,XLOOKUP($D1019,'Move Editor'!$B:$B,'Move Editor'!$C:$C,""),cat,XLOOKUP($D1019,'Move Editor'!$B:$B,'Move Editor'!$D:$D,""),pow,XLOOKUP($D1019,'Move Editor'!$B:$B,'Move Editor'!$E:$E,0),acc,XLOOKUP($D1019,'Move Editor'!$B:$B,'Move Editor'!$F:$F,100),atk,IF(cat="Physical",FLOOR((FLOOR(((2*XLOOKUP(XLOOKUP($Q1019,'Threshold Summary'!$Y:$Y,'Threshold Summary'!$K:$K,""),'Pokemon Editor'!$A:$A,'Pokemon Editor'!$F:$F,0)+31+FLOOR(XLOOKUP($Q1019,'Threshold Summary'!$Y:$Y,'Threshold Summary'!$P:$P,"")/4))*XLOOKUP($Q1019,'Threshold Summary'!$Y:$Y,'Threshold Summary'!$L:$L,""))/100)+5)*XLOOKUP(XLOOKUP($Q1019,'Threshold Summary'!$Y:$Y,'Threshold Summary'!$M:$M,""),'Nature Editor'!$A:$A,'Nature Editor'!$B:$B,1)),FLOOR((FLOOR(((2*XLOOKUP(XLOOKUP($Q1019,'Threshold Summary'!$Y:$Y,'Threshold Summary'!$K:$K,""),'Pokemon Editor'!$A:$A,'Pokemon Editor'!$H:$H,0)+31+FLOOR(XLOOKUP($Q1019,'Threshold Summary'!$Y:$Y,'Threshold Summary'!$R:$R,"")/4))*XLOOKUP($Q1019,'Threshold Summary'!$Y:$Y,'Threshold Summary'!$L:$L,""))/100)+5)*XLOOKUP(XLOOKUP($Q1019,'Threshold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Editor'!$E:$E,1))),stab,IF(OR(mtype=XLOOKUP(XLOOKUP($Q1019,'Threshold Summary'!$Y:$Y,'Threshold Summary'!$K:$K,""),'Pokemon Editor'!$A:$A,'Pokemon Editor'!$C:$C,""),mtype=XLOOKUP(XLOOKUP($Q1019,'Threshold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Chart'!$B$1:$S$1,0)))),base,IF(OR(cat="Status",pow=0),0,FLOOR(FLOOR(FLOOR((2*XLOOKUP($Q1019,'Threshold Summary'!$Y:$Y,'Threshold Summary'!$L:$L,"")/5+2)*pow*atk/def)/50)+2)),modifier,stab*eff,AVERAGE(ARRAYFORMULA(FLOOR(base*modifier*SEQUENCE(16,1,85,1)/100)))),0)</f>
        <v/>
      </c>
      <c r="M1019" s="3">
        <f>IFERROR(LET(mtype,XLOOKUP($D1019,'Move Editor'!$B:$B,'Move Editor'!$C:$C,""),cat,XLOOKUP($D1019,'Move Editor'!$B:$B,'Move Editor'!$D:$D,""),pow,XLOOKUP($D1019,'Move Editor'!$B:$B,'Move Editor'!$E:$E,0),acc,XLOOKUP($D1019,'Move Editor'!$B:$B,'Move Editor'!$F:$F,100),atk,IF(cat="Physical",FLOOR((FLOOR(((2*XLOOKUP(XLOOKUP($Q1019,'Threshold Summary'!$Y:$Y,'Threshold Summary'!$K:$K,""),'Pokemon Editor'!$A:$A,'Pokemon Editor'!$F:$F,0)+31+FLOOR(XLOOKUP($Q1019,'Threshold Summary'!$Y:$Y,'Threshold Summary'!$P:$P,"")/4))*XLOOKUP($Q1019,'Threshold Summary'!$Y:$Y,'Threshold Summary'!$L:$L,""))/100)+5)*XLOOKUP(XLOOKUP($Q1019,'Threshold Summary'!$Y:$Y,'Threshold Summary'!$M:$M,""),'Nature Editor'!$A:$A,'Nature Editor'!$B:$B,1)),FLOOR((FLOOR(((2*XLOOKUP(XLOOKUP($Q1019,'Threshold Summary'!$Y:$Y,'Threshold Summary'!$K:$K,""),'Pokemon Editor'!$A:$A,'Pokemon Editor'!$H:$H,0)+31+FLOOR(XLOOKUP($Q1019,'Threshold Summary'!$Y:$Y,'Threshold Summary'!$R:$R,"")/4))*XLOOKUP($Q1019,'Threshold Summary'!$Y:$Y,'Threshold Summary'!$L:$L,""))/100)+5)*XLOOKUP(XLOOKUP($Q1019,'Threshold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Editor'!$E:$E,1))),stab,IF(OR(mtype=XLOOKUP(XLOOKUP($Q1019,'Threshold Summary'!$Y:$Y,'Threshold Summary'!$K:$K,""),'Pokemon Editor'!$A:$A,'Pokemon Editor'!$C:$C,""),mtype=XLOOKUP(XLOOKUP($Q1019,'Threshold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Chart'!$B$1:$S$1,0)))),base,IF(OR(cat="Status",pow=0),0,FLOOR(FLOOR(FLOOR((2*XLOOKUP($Q1019,'Threshold Summary'!$Y:$Y,'Threshold Summary'!$L:$L,"")/5+2)*pow*atk/def)/50)+2)),modifier,stab*eff,AVERAGE(ARRAYFORMULA(FLOOR(base*modifier*SEQUENCE(16,1,85,1)/100)))*MIN(1,acc/100)),0)</f>
        <v/>
      </c>
      <c r="N1019" s="4">
        <f>IFERROR(LET(mtype,XLOOKUP($D1019,'Move Editor'!$B:$B,'Move Editor'!$C:$C,""),cat,XLOOKUP($D1019,'Move Editor'!$B:$B,'Move Editor'!$D:$D,""),pow,XLOOKUP($D1019,'Move Editor'!$B:$B,'Move Editor'!$E:$E,0),acc,XLOOKUP($D1019,'Move Editor'!$B:$B,'Move Editor'!$F:$F,100),atk,IF(cat="Physical",FLOOR((FLOOR(((2*XLOOKUP(XLOOKUP($Q1019,'Threshold Summary'!$Y:$Y,'Threshold Summary'!$K:$K,""),'Pokemon Editor'!$A:$A,'Pokemon Editor'!$F:$F,0)+31+FLOOR(XLOOKUP($Q1019,'Threshold Summary'!$Y:$Y,'Threshold Summary'!$P:$P,"")/4))*XLOOKUP($Q1019,'Threshold Summary'!$Y:$Y,'Threshold Summary'!$L:$L,""))/100)+5)*XLOOKUP(XLOOKUP($Q1019,'Threshold Summary'!$Y:$Y,'Threshold Summary'!$M:$M,""),'Nature Editor'!$A:$A,'Nature Editor'!$B:$B,1)),FLOOR((FLOOR(((2*XLOOKUP(XLOOKUP($Q1019,'Threshold Summary'!$Y:$Y,'Threshold Summary'!$K:$K,""),'Pokemon Editor'!$A:$A,'Pokemon Editor'!$H:$H,0)+31+FLOOR(XLOOKUP($Q1019,'Threshold Summary'!$Y:$Y,'Threshold Summary'!$R:$R,"")/4))*XLOOKUP($Q1019,'Threshold Summary'!$Y:$Y,'Threshold Summary'!$L:$L,""))/100)+5)*XLOOKUP(XLOOKUP($Q1019,'Threshold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Editor'!$E:$E,1))),stab,IF(OR(mtype=XLOOKUP(XLOOKUP($Q1019,'Threshold Summary'!$Y:$Y,'Threshold Summary'!$K:$K,""),'Pokemon Editor'!$A:$A,'Pokemon Editor'!$C:$C,""),mtype=XLOOKUP(XLOOKUP($Q1019,'Threshold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Chart'!$B$1:$S$1,0)))),base,IF(OR(cat="Status",pow=0),0,FLOOR(FLOOR(FLOOR((2*XLOOKUP($Q1019,'Threshold Summary'!$Y:$Y,'Threshold Summary'!$L:$L,"")/5+2)*pow*atk/def)/50)+2)),modifier,stab*eff,AVERAGE(ARRAYFORMULA(FLOOR(base*modifier*SEQUENCE(16,1,85,1)/100)))/(FLOOR(((2*XLOOKUP('Boss Editor'!$C$4,'Pokemon Editor'!$A:$A,'Pokemon Editor'!$E:$E,0)+31+FLOOR('Boss Editor'!$G$4/4))*'Boss Editor'!$D$4)/100)+'Boss Editor'!$D$4+10)),0)</f>
        <v/>
      </c>
      <c r="O1019" s="3">
        <f>IF(N1019&gt;=1,"OHKO",IF(N1019&gt;=0.5,"2HKO",IF(N1019&gt;=0.333,"3HKO",IF(N1019&gt;=0.25,"4HKO","5HKO+"))))</f>
        <v/>
      </c>
      <c r="P1019" s="3" t="inlineStr">
        <is>
          <t>Live from editable databases</t>
        </is>
      </c>
      <c r="Q1019" s="3" t="inlineStr">
        <is>
          <t>SPECIES_TINKATINK</t>
        </is>
      </c>
      <c r="R1019" s="3" t="n">
        <v>26</v>
      </c>
    </row>
    <row r="1020">
      <c r="A1020" s="3">
        <f>XLOOKUP($Q1020,'Threshold Summary'!$Y:$Y,'Threshold Summary'!$A:$A,"")</f>
        <v/>
      </c>
      <c r="B1020" s="3">
        <f>XLOOKUP($Q1020,'Threshold Summary'!$Y:$Y,'Threshold Summary'!$M:$M,"")</f>
        <v/>
      </c>
      <c r="C1020" s="3">
        <f>XLOOKUP($Q1020,'Threshold Summary'!$Y:$Y,'Threshold Summary'!$N:$N,"")</f>
        <v/>
      </c>
      <c r="D1020" s="3">
        <f>IFERROR(INDEX(FILTER('Learnset Editor'!$D$2:$D,'Learnset Editor'!$A$2:$A=XLOOKUP($Q1020,'Threshold Summary'!$Y:$Y,'Threshold Summary'!$K:$K,""),'Learnset Editor'!$C$2:$C&lt;=XLOOKUP($Q1020,'Threshold Summary'!$Y:$Y,'Threshold Summary'!$L:$L,"")),$R1020),"")</f>
        <v/>
      </c>
      <c r="E1020" s="3">
        <f>XLOOKUP(D1020,'Move Editor'!$B:$B,'Move Editor'!$C:$C,"")</f>
        <v/>
      </c>
      <c r="F1020" s="3">
        <f>XLOOKUP(D1020,'Move Editor'!$B:$B,'Move Editor'!$D:$D,"")</f>
        <v/>
      </c>
      <c r="G1020" s="3">
        <f>XLOOKUP(D1020,'Move Editor'!$B:$B,'Move Editor'!$E:$E,0)</f>
        <v/>
      </c>
      <c r="H1020" s="3">
        <f>XLOOKUP(D1020,'Move Editor'!$B:$B,'Move Editor'!$F:$F,0)</f>
        <v/>
      </c>
      <c r="I1020" s="3">
        <f>(INDEX('Type Chart'!$B:$S,MATCH(E1020,'Type Chart'!$A:$A,0),MATCH(XLOOKUP('Boss Editor'!$C$4,'Pokemon Editor'!$A:$A,'Pokemon Editor'!$C:$C,""),'Type Chart'!$B$1:$S$1,0))*IF(XLOOKUP('Boss Editor'!$C$4,'Pokemon Editor'!$A:$A,'Pokemon Editor'!$D:$D,"")="",1,INDEX('Type Chart'!$B:$S,MATCH(E1020,'Type Chart'!$A:$A,0),MATCH(XLOOKUP('Boss Editor'!$C$4,'Pokemon Editor'!$A:$A,'Pokemon Editor'!$D:$D,""),'Type Chart'!$B$1:$S$1,0))))</f>
        <v/>
      </c>
      <c r="J1020" s="3">
        <f>IFERROR(LET(mtype,XLOOKUP($D1020,'Move Editor'!$B:$B,'Move Editor'!$C:$C,""),cat,XLOOKUP($D1020,'Move Editor'!$B:$B,'Move Editor'!$D:$D,""),pow,XLOOKUP($D1020,'Move Editor'!$B:$B,'Move Editor'!$E:$E,0),acc,XLOOKUP($D1020,'Move Editor'!$B:$B,'Move Editor'!$F:$F,100),atk,IF(cat="Physical",FLOOR((FLOOR(((2*XLOOKUP(XLOOKUP($Q1020,'Threshold Summary'!$Y:$Y,'Threshold Summary'!$K:$K,""),'Pokemon Editor'!$A:$A,'Pokemon Editor'!$F:$F,0)+31+FLOOR(XLOOKUP($Q1020,'Threshold Summary'!$Y:$Y,'Threshold Summary'!$P:$P,"")/4))*XLOOKUP($Q1020,'Threshold Summary'!$Y:$Y,'Threshold Summary'!$L:$L,""))/100)+5)*XLOOKUP(XLOOKUP($Q1020,'Threshold Summary'!$Y:$Y,'Threshold Summary'!$M:$M,""),'Nature Editor'!$A:$A,'Nature Editor'!$B:$B,1)),FLOOR((FLOOR(((2*XLOOKUP(XLOOKUP($Q1020,'Threshold Summary'!$Y:$Y,'Threshold Summary'!$K:$K,""),'Pokemon Editor'!$A:$A,'Pokemon Editor'!$H:$H,0)+31+FLOOR(XLOOKUP($Q1020,'Threshold Summary'!$Y:$Y,'Threshold Summary'!$R:$R,"")/4))*XLOOKUP($Q1020,'Threshold Summary'!$Y:$Y,'Threshold Summary'!$L:$L,""))/100)+5)*XLOOKUP(XLOOKUP($Q1020,'Threshold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Editor'!$E:$E,1))),stab,IF(OR(mtype=XLOOKUP(XLOOKUP($Q1020,'Threshold Summary'!$Y:$Y,'Threshold Summary'!$K:$K,""),'Pokemon Editor'!$A:$A,'Pokemon Editor'!$C:$C,""),mtype=XLOOKUP(XLOOKUP($Q1020,'Threshold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Chart'!$B$1:$S$1,0)))),base,IF(OR(cat="Status",pow=0),0,FLOOR(FLOOR(FLOOR((2*XLOOKUP($Q1020,'Threshold Summary'!$Y:$Y,'Threshold Summary'!$L:$L,"")/5+2)*pow*atk/def)/50)+2)),modifier,stab*eff,FLOOR(base*modifier*0.85)),0)</f>
        <v/>
      </c>
      <c r="K1020" s="3">
        <f>IFERROR(LET(mtype,XLOOKUP($D1020,'Move Editor'!$B:$B,'Move Editor'!$C:$C,""),cat,XLOOKUP($D1020,'Move Editor'!$B:$B,'Move Editor'!$D:$D,""),pow,XLOOKUP($D1020,'Move Editor'!$B:$B,'Move Editor'!$E:$E,0),acc,XLOOKUP($D1020,'Move Editor'!$B:$B,'Move Editor'!$F:$F,100),atk,IF(cat="Physical",FLOOR((FLOOR(((2*XLOOKUP(XLOOKUP($Q1020,'Threshold Summary'!$Y:$Y,'Threshold Summary'!$K:$K,""),'Pokemon Editor'!$A:$A,'Pokemon Editor'!$F:$F,0)+31+FLOOR(XLOOKUP($Q1020,'Threshold Summary'!$Y:$Y,'Threshold Summary'!$P:$P,"")/4))*XLOOKUP($Q1020,'Threshold Summary'!$Y:$Y,'Threshold Summary'!$L:$L,""))/100)+5)*XLOOKUP(XLOOKUP($Q1020,'Threshold Summary'!$Y:$Y,'Threshold Summary'!$M:$M,""),'Nature Editor'!$A:$A,'Nature Editor'!$B:$B,1)),FLOOR((FLOOR(((2*XLOOKUP(XLOOKUP($Q1020,'Threshold Summary'!$Y:$Y,'Threshold Summary'!$K:$K,""),'Pokemon Editor'!$A:$A,'Pokemon Editor'!$H:$H,0)+31+FLOOR(XLOOKUP($Q1020,'Threshold Summary'!$Y:$Y,'Threshold Summary'!$R:$R,"")/4))*XLOOKUP($Q1020,'Threshold Summary'!$Y:$Y,'Threshold Summary'!$L:$L,""))/100)+5)*XLOOKUP(XLOOKUP($Q1020,'Threshold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Editor'!$E:$E,1))),stab,IF(OR(mtype=XLOOKUP(XLOOKUP($Q1020,'Threshold Summary'!$Y:$Y,'Threshold Summary'!$K:$K,""),'Pokemon Editor'!$A:$A,'Pokemon Editor'!$C:$C,""),mtype=XLOOKUP(XLOOKUP($Q1020,'Threshold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Chart'!$B$1:$S$1,0)))),base,IF(OR(cat="Status",pow=0),0,FLOOR(FLOOR(FLOOR((2*XLOOKUP($Q1020,'Threshold Summary'!$Y:$Y,'Threshold Summary'!$L:$L,"")/5+2)*pow*atk/def)/50)+2)),modifier,stab*eff,FLOOR(base*modifier)),0)</f>
        <v/>
      </c>
      <c r="L1020" s="3">
        <f>IFERROR(LET(mtype,XLOOKUP($D1020,'Move Editor'!$B:$B,'Move Editor'!$C:$C,""),cat,XLOOKUP($D1020,'Move Editor'!$B:$B,'Move Editor'!$D:$D,""),pow,XLOOKUP($D1020,'Move Editor'!$B:$B,'Move Editor'!$E:$E,0),acc,XLOOKUP($D1020,'Move Editor'!$B:$B,'Move Editor'!$F:$F,100),atk,IF(cat="Physical",FLOOR((FLOOR(((2*XLOOKUP(XLOOKUP($Q1020,'Threshold Summary'!$Y:$Y,'Threshold Summary'!$K:$K,""),'Pokemon Editor'!$A:$A,'Pokemon Editor'!$F:$F,0)+31+FLOOR(XLOOKUP($Q1020,'Threshold Summary'!$Y:$Y,'Threshold Summary'!$P:$P,"")/4))*XLOOKUP($Q1020,'Threshold Summary'!$Y:$Y,'Threshold Summary'!$L:$L,""))/100)+5)*XLOOKUP(XLOOKUP($Q1020,'Threshold Summary'!$Y:$Y,'Threshold Summary'!$M:$M,""),'Nature Editor'!$A:$A,'Nature Editor'!$B:$B,1)),FLOOR((FLOOR(((2*XLOOKUP(XLOOKUP($Q1020,'Threshold Summary'!$Y:$Y,'Threshold Summary'!$K:$K,""),'Pokemon Editor'!$A:$A,'Pokemon Editor'!$H:$H,0)+31+FLOOR(XLOOKUP($Q1020,'Threshold Summary'!$Y:$Y,'Threshold Summary'!$R:$R,"")/4))*XLOOKUP($Q1020,'Threshold Summary'!$Y:$Y,'Threshold Summary'!$L:$L,""))/100)+5)*XLOOKUP(XLOOKUP($Q1020,'Threshold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Editor'!$E:$E,1))),stab,IF(OR(mtype=XLOOKUP(XLOOKUP($Q1020,'Threshold Summary'!$Y:$Y,'Threshold Summary'!$K:$K,""),'Pokemon Editor'!$A:$A,'Pokemon Editor'!$C:$C,""),mtype=XLOOKUP(XLOOKUP($Q1020,'Threshold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Chart'!$B$1:$S$1,0)))),base,IF(OR(cat="Status",pow=0),0,FLOOR(FLOOR(FLOOR((2*XLOOKUP($Q1020,'Threshold Summary'!$Y:$Y,'Threshold Summary'!$L:$L,"")/5+2)*pow*atk/def)/50)+2)),modifier,stab*eff,AVERAGE(ARRAYFORMULA(FLOOR(base*modifier*SEQUENCE(16,1,85,1)/100)))),0)</f>
        <v/>
      </c>
      <c r="M1020" s="3">
        <f>IFERROR(LET(mtype,XLOOKUP($D1020,'Move Editor'!$B:$B,'Move Editor'!$C:$C,""),cat,XLOOKUP($D1020,'Move Editor'!$B:$B,'Move Editor'!$D:$D,""),pow,XLOOKUP($D1020,'Move Editor'!$B:$B,'Move Editor'!$E:$E,0),acc,XLOOKUP($D1020,'Move Editor'!$B:$B,'Move Editor'!$F:$F,100),atk,IF(cat="Physical",FLOOR((FLOOR(((2*XLOOKUP(XLOOKUP($Q1020,'Threshold Summary'!$Y:$Y,'Threshold Summary'!$K:$K,""),'Pokemon Editor'!$A:$A,'Pokemon Editor'!$F:$F,0)+31+FLOOR(XLOOKUP($Q1020,'Threshold Summary'!$Y:$Y,'Threshold Summary'!$P:$P,"")/4))*XLOOKUP($Q1020,'Threshold Summary'!$Y:$Y,'Threshold Summary'!$L:$L,""))/100)+5)*XLOOKUP(XLOOKUP($Q1020,'Threshold Summary'!$Y:$Y,'Threshold Summary'!$M:$M,""),'Nature Editor'!$A:$A,'Nature Editor'!$B:$B,1)),FLOOR((FLOOR(((2*XLOOKUP(XLOOKUP($Q1020,'Threshold Summary'!$Y:$Y,'Threshold Summary'!$K:$K,""),'Pokemon Editor'!$A:$A,'Pokemon Editor'!$H:$H,0)+31+FLOOR(XLOOKUP($Q1020,'Threshold Summary'!$Y:$Y,'Threshold Summary'!$R:$R,"")/4))*XLOOKUP($Q1020,'Threshold Summary'!$Y:$Y,'Threshold Summary'!$L:$L,""))/100)+5)*XLOOKUP(XLOOKUP($Q1020,'Threshold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Editor'!$E:$E,1))),stab,IF(OR(mtype=XLOOKUP(XLOOKUP($Q1020,'Threshold Summary'!$Y:$Y,'Threshold Summary'!$K:$K,""),'Pokemon Editor'!$A:$A,'Pokemon Editor'!$C:$C,""),mtype=XLOOKUP(XLOOKUP($Q1020,'Threshold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Chart'!$B$1:$S$1,0)))),base,IF(OR(cat="Status",pow=0),0,FLOOR(FLOOR(FLOOR((2*XLOOKUP($Q1020,'Threshold Summary'!$Y:$Y,'Threshold Summary'!$L:$L,"")/5+2)*pow*atk/def)/50)+2)),modifier,stab*eff,AVERAGE(ARRAYFORMULA(FLOOR(base*modifier*SEQUENCE(16,1,85,1)/100)))*MIN(1,acc/100)),0)</f>
        <v/>
      </c>
      <c r="N1020" s="4">
        <f>IFERROR(LET(mtype,XLOOKUP($D1020,'Move Editor'!$B:$B,'Move Editor'!$C:$C,""),cat,XLOOKUP($D1020,'Move Editor'!$B:$B,'Move Editor'!$D:$D,""),pow,XLOOKUP($D1020,'Move Editor'!$B:$B,'Move Editor'!$E:$E,0),acc,XLOOKUP($D1020,'Move Editor'!$B:$B,'Move Editor'!$F:$F,100),atk,IF(cat="Physical",FLOOR((FLOOR(((2*XLOOKUP(XLOOKUP($Q1020,'Threshold Summary'!$Y:$Y,'Threshold Summary'!$K:$K,""),'Pokemon Editor'!$A:$A,'Pokemon Editor'!$F:$F,0)+31+FLOOR(XLOOKUP($Q1020,'Threshold Summary'!$Y:$Y,'Threshold Summary'!$P:$P,"")/4))*XLOOKUP($Q1020,'Threshold Summary'!$Y:$Y,'Threshold Summary'!$L:$L,""))/100)+5)*XLOOKUP(XLOOKUP($Q1020,'Threshold Summary'!$Y:$Y,'Threshold Summary'!$M:$M,""),'Nature Editor'!$A:$A,'Nature Editor'!$B:$B,1)),FLOOR((FLOOR(((2*XLOOKUP(XLOOKUP($Q1020,'Threshold Summary'!$Y:$Y,'Threshold Summary'!$K:$K,""),'Pokemon Editor'!$A:$A,'Pokemon Editor'!$H:$H,0)+31+FLOOR(XLOOKUP($Q1020,'Threshold Summary'!$Y:$Y,'Threshold Summary'!$R:$R,"")/4))*XLOOKUP($Q1020,'Threshold Summary'!$Y:$Y,'Threshold Summary'!$L:$L,""))/100)+5)*XLOOKUP(XLOOKUP($Q1020,'Threshold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Editor'!$E:$E,1))),stab,IF(OR(mtype=XLOOKUP(XLOOKUP($Q1020,'Threshold Summary'!$Y:$Y,'Threshold Summary'!$K:$K,""),'Pokemon Editor'!$A:$A,'Pokemon Editor'!$C:$C,""),mtype=XLOOKUP(XLOOKUP($Q1020,'Threshold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Chart'!$B$1:$S$1,0)))),base,IF(OR(cat="Status",pow=0),0,FLOOR(FLOOR(FLOOR((2*XLOOKUP($Q1020,'Threshold Summary'!$Y:$Y,'Threshold Summary'!$L:$L,"")/5+2)*pow*atk/def)/50)+2)),modifier,stab*eff,AVERAGE(ARRAYFORMULA(FLOOR(base*modifier*SEQUENCE(16,1,85,1)/100)))/(FLOOR(((2*XLOOKUP('Boss Editor'!$C$4,'Pokemon Editor'!$A:$A,'Pokemon Editor'!$E:$E,0)+31+FLOOR('Boss Editor'!$G$4/4))*'Boss Editor'!$D$4)/100)+'Boss Editor'!$D$4+10)),0)</f>
        <v/>
      </c>
      <c r="O1020" s="3">
        <f>IF(N1020&gt;=1,"OHKO",IF(N1020&gt;=0.5,"2HKO",IF(N1020&gt;=0.333,"3HKO",IF(N1020&gt;=0.25,"4HKO","5HKO+"))))</f>
        <v/>
      </c>
      <c r="P1020" s="3" t="inlineStr">
        <is>
          <t>Live from editable databases</t>
        </is>
      </c>
      <c r="Q1020" s="3" t="inlineStr">
        <is>
          <t>SPECIES_TINKATINK</t>
        </is>
      </c>
      <c r="R1020" s="3" t="n">
        <v>27</v>
      </c>
    </row>
    <row r="1021">
      <c r="A1021" s="3">
        <f>XLOOKUP($Q1021,'Threshold Summary'!$Y:$Y,'Threshold Summary'!$A:$A,"")</f>
        <v/>
      </c>
      <c r="B1021" s="3">
        <f>XLOOKUP($Q1021,'Threshold Summary'!$Y:$Y,'Threshold Summary'!$M:$M,"")</f>
        <v/>
      </c>
      <c r="C1021" s="3">
        <f>XLOOKUP($Q1021,'Threshold Summary'!$Y:$Y,'Threshold Summary'!$N:$N,"")</f>
        <v/>
      </c>
      <c r="D1021" s="3">
        <f>IFERROR(INDEX(FILTER('Learnset Editor'!$D$2:$D,'Learnset Editor'!$A$2:$A=XLOOKUP($Q1021,'Threshold Summary'!$Y:$Y,'Threshold Summary'!$K:$K,""),'Learnset Editor'!$C$2:$C&lt;=XLOOKUP($Q1021,'Threshold Summary'!$Y:$Y,'Threshold Summary'!$L:$L,"")),$R1021),"")</f>
        <v/>
      </c>
      <c r="E1021" s="3">
        <f>XLOOKUP(D1021,'Move Editor'!$B:$B,'Move Editor'!$C:$C,"")</f>
        <v/>
      </c>
      <c r="F1021" s="3">
        <f>XLOOKUP(D1021,'Move Editor'!$B:$B,'Move Editor'!$D:$D,"")</f>
        <v/>
      </c>
      <c r="G1021" s="3">
        <f>XLOOKUP(D1021,'Move Editor'!$B:$B,'Move Editor'!$E:$E,0)</f>
        <v/>
      </c>
      <c r="H1021" s="3">
        <f>XLOOKUP(D1021,'Move Editor'!$B:$B,'Move Editor'!$F:$F,0)</f>
        <v/>
      </c>
      <c r="I1021" s="3">
        <f>(INDEX('Type Chart'!$B:$S,MATCH(E1021,'Type Chart'!$A:$A,0),MATCH(XLOOKUP('Boss Editor'!$C$4,'Pokemon Editor'!$A:$A,'Pokemon Editor'!$C:$C,""),'Type Chart'!$B$1:$S$1,0))*IF(XLOOKUP('Boss Editor'!$C$4,'Pokemon Editor'!$A:$A,'Pokemon Editor'!$D:$D,"")="",1,INDEX('Type Chart'!$B:$S,MATCH(E1021,'Type Chart'!$A:$A,0),MATCH(XLOOKUP('Boss Editor'!$C$4,'Pokemon Editor'!$A:$A,'Pokemon Editor'!$D:$D,""),'Type Chart'!$B$1:$S$1,0))))</f>
        <v/>
      </c>
      <c r="J1021" s="3">
        <f>IFERROR(LET(mtype,XLOOKUP($D1021,'Move Editor'!$B:$B,'Move Editor'!$C:$C,""),cat,XLOOKUP($D1021,'Move Editor'!$B:$B,'Move Editor'!$D:$D,""),pow,XLOOKUP($D1021,'Move Editor'!$B:$B,'Move Editor'!$E:$E,0),acc,XLOOKUP($D1021,'Move Editor'!$B:$B,'Move Editor'!$F:$F,100),atk,IF(cat="Physical",FLOOR((FLOOR(((2*XLOOKUP(XLOOKUP($Q1021,'Threshold Summary'!$Y:$Y,'Threshold Summary'!$K:$K,""),'Pokemon Editor'!$A:$A,'Pokemon Editor'!$F:$F,0)+31+FLOOR(XLOOKUP($Q1021,'Threshold Summary'!$Y:$Y,'Threshold Summary'!$P:$P,"")/4))*XLOOKUP($Q1021,'Threshold Summary'!$Y:$Y,'Threshold Summary'!$L:$L,""))/100)+5)*XLOOKUP(XLOOKUP($Q1021,'Threshold Summary'!$Y:$Y,'Threshold Summary'!$M:$M,""),'Nature Editor'!$A:$A,'Nature Editor'!$B:$B,1)),FLOOR((FLOOR(((2*XLOOKUP(XLOOKUP($Q1021,'Threshold Summary'!$Y:$Y,'Threshold Summary'!$K:$K,""),'Pokemon Editor'!$A:$A,'Pokemon Editor'!$H:$H,0)+31+FLOOR(XLOOKUP($Q1021,'Threshold Summary'!$Y:$Y,'Threshold Summary'!$R:$R,"")/4))*XLOOKUP($Q1021,'Threshold Summary'!$Y:$Y,'Threshold Summary'!$L:$L,""))/100)+5)*XLOOKUP(XLOOKUP($Q1021,'Threshold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Editor'!$E:$E,1))),stab,IF(OR(mtype=XLOOKUP(XLOOKUP($Q1021,'Threshold Summary'!$Y:$Y,'Threshold Summary'!$K:$K,""),'Pokemon Editor'!$A:$A,'Pokemon Editor'!$C:$C,""),mtype=XLOOKUP(XLOOKUP($Q1021,'Threshold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Chart'!$B$1:$S$1,0)))),base,IF(OR(cat="Status",pow=0),0,FLOOR(FLOOR(FLOOR((2*XLOOKUP($Q1021,'Threshold Summary'!$Y:$Y,'Threshold Summary'!$L:$L,"")/5+2)*pow*atk/def)/50)+2)),modifier,stab*eff,FLOOR(base*modifier*0.85)),0)</f>
        <v/>
      </c>
      <c r="K1021" s="3">
        <f>IFERROR(LET(mtype,XLOOKUP($D1021,'Move Editor'!$B:$B,'Move Editor'!$C:$C,""),cat,XLOOKUP($D1021,'Move Editor'!$B:$B,'Move Editor'!$D:$D,""),pow,XLOOKUP($D1021,'Move Editor'!$B:$B,'Move Editor'!$E:$E,0),acc,XLOOKUP($D1021,'Move Editor'!$B:$B,'Move Editor'!$F:$F,100),atk,IF(cat="Physical",FLOOR((FLOOR(((2*XLOOKUP(XLOOKUP($Q1021,'Threshold Summary'!$Y:$Y,'Threshold Summary'!$K:$K,""),'Pokemon Editor'!$A:$A,'Pokemon Editor'!$F:$F,0)+31+FLOOR(XLOOKUP($Q1021,'Threshold Summary'!$Y:$Y,'Threshold Summary'!$P:$P,"")/4))*XLOOKUP($Q1021,'Threshold Summary'!$Y:$Y,'Threshold Summary'!$L:$L,""))/100)+5)*XLOOKUP(XLOOKUP($Q1021,'Threshold Summary'!$Y:$Y,'Threshold Summary'!$M:$M,""),'Nature Editor'!$A:$A,'Nature Editor'!$B:$B,1)),FLOOR((FLOOR(((2*XLOOKUP(XLOOKUP($Q1021,'Threshold Summary'!$Y:$Y,'Threshold Summary'!$K:$K,""),'Pokemon Editor'!$A:$A,'Pokemon Editor'!$H:$H,0)+31+FLOOR(XLOOKUP($Q1021,'Threshold Summary'!$Y:$Y,'Threshold Summary'!$R:$R,"")/4))*XLOOKUP($Q1021,'Threshold Summary'!$Y:$Y,'Threshold Summary'!$L:$L,""))/100)+5)*XLOOKUP(XLOOKUP($Q1021,'Threshold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Editor'!$E:$E,1))),stab,IF(OR(mtype=XLOOKUP(XLOOKUP($Q1021,'Threshold Summary'!$Y:$Y,'Threshold Summary'!$K:$K,""),'Pokemon Editor'!$A:$A,'Pokemon Editor'!$C:$C,""),mtype=XLOOKUP(XLOOKUP($Q1021,'Threshold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Chart'!$B$1:$S$1,0)))),base,IF(OR(cat="Status",pow=0),0,FLOOR(FLOOR(FLOOR((2*XLOOKUP($Q1021,'Threshold Summary'!$Y:$Y,'Threshold Summary'!$L:$L,"")/5+2)*pow*atk/def)/50)+2)),modifier,stab*eff,FLOOR(base*modifier)),0)</f>
        <v/>
      </c>
      <c r="L1021" s="3">
        <f>IFERROR(LET(mtype,XLOOKUP($D1021,'Move Editor'!$B:$B,'Move Editor'!$C:$C,""),cat,XLOOKUP($D1021,'Move Editor'!$B:$B,'Move Editor'!$D:$D,""),pow,XLOOKUP($D1021,'Move Editor'!$B:$B,'Move Editor'!$E:$E,0),acc,XLOOKUP($D1021,'Move Editor'!$B:$B,'Move Editor'!$F:$F,100),atk,IF(cat="Physical",FLOOR((FLOOR(((2*XLOOKUP(XLOOKUP($Q1021,'Threshold Summary'!$Y:$Y,'Threshold Summary'!$K:$K,""),'Pokemon Editor'!$A:$A,'Pokemon Editor'!$F:$F,0)+31+FLOOR(XLOOKUP($Q1021,'Threshold Summary'!$Y:$Y,'Threshold Summary'!$P:$P,"")/4))*XLOOKUP($Q1021,'Threshold Summary'!$Y:$Y,'Threshold Summary'!$L:$L,""))/100)+5)*XLOOKUP(XLOOKUP($Q1021,'Threshold Summary'!$Y:$Y,'Threshold Summary'!$M:$M,""),'Nature Editor'!$A:$A,'Nature Editor'!$B:$B,1)),FLOOR((FLOOR(((2*XLOOKUP(XLOOKUP($Q1021,'Threshold Summary'!$Y:$Y,'Threshold Summary'!$K:$K,""),'Pokemon Editor'!$A:$A,'Pokemon Editor'!$H:$H,0)+31+FLOOR(XLOOKUP($Q1021,'Threshold Summary'!$Y:$Y,'Threshold Summary'!$R:$R,"")/4))*XLOOKUP($Q1021,'Threshold Summary'!$Y:$Y,'Threshold Summary'!$L:$L,""))/100)+5)*XLOOKUP(XLOOKUP($Q1021,'Threshold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Editor'!$E:$E,1))),stab,IF(OR(mtype=XLOOKUP(XLOOKUP($Q1021,'Threshold Summary'!$Y:$Y,'Threshold Summary'!$K:$K,""),'Pokemon Editor'!$A:$A,'Pokemon Editor'!$C:$C,""),mtype=XLOOKUP(XLOOKUP($Q1021,'Threshold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Chart'!$B$1:$S$1,0)))),base,IF(OR(cat="Status",pow=0),0,FLOOR(FLOOR(FLOOR((2*XLOOKUP($Q1021,'Threshold Summary'!$Y:$Y,'Threshold Summary'!$L:$L,"")/5+2)*pow*atk/def)/50)+2)),modifier,stab*eff,AVERAGE(ARRAYFORMULA(FLOOR(base*modifier*SEQUENCE(16,1,85,1)/100)))),0)</f>
        <v/>
      </c>
      <c r="M1021" s="3">
        <f>IFERROR(LET(mtype,XLOOKUP($D1021,'Move Editor'!$B:$B,'Move Editor'!$C:$C,""),cat,XLOOKUP($D1021,'Move Editor'!$B:$B,'Move Editor'!$D:$D,""),pow,XLOOKUP($D1021,'Move Editor'!$B:$B,'Move Editor'!$E:$E,0),acc,XLOOKUP($D1021,'Move Editor'!$B:$B,'Move Editor'!$F:$F,100),atk,IF(cat="Physical",FLOOR((FLOOR(((2*XLOOKUP(XLOOKUP($Q1021,'Threshold Summary'!$Y:$Y,'Threshold Summary'!$K:$K,""),'Pokemon Editor'!$A:$A,'Pokemon Editor'!$F:$F,0)+31+FLOOR(XLOOKUP($Q1021,'Threshold Summary'!$Y:$Y,'Threshold Summary'!$P:$P,"")/4))*XLOOKUP($Q1021,'Threshold Summary'!$Y:$Y,'Threshold Summary'!$L:$L,""))/100)+5)*XLOOKUP(XLOOKUP($Q1021,'Threshold Summary'!$Y:$Y,'Threshold Summary'!$M:$M,""),'Nature Editor'!$A:$A,'Nature Editor'!$B:$B,1)),FLOOR((FLOOR(((2*XLOOKUP(XLOOKUP($Q1021,'Threshold Summary'!$Y:$Y,'Threshold Summary'!$K:$K,""),'Pokemon Editor'!$A:$A,'Pokemon Editor'!$H:$H,0)+31+FLOOR(XLOOKUP($Q1021,'Threshold Summary'!$Y:$Y,'Threshold Summary'!$R:$R,"")/4))*XLOOKUP($Q1021,'Threshold Summary'!$Y:$Y,'Threshold Summary'!$L:$L,""))/100)+5)*XLOOKUP(XLOOKUP($Q1021,'Threshold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Editor'!$E:$E,1))),stab,IF(OR(mtype=XLOOKUP(XLOOKUP($Q1021,'Threshold Summary'!$Y:$Y,'Threshold Summary'!$K:$K,""),'Pokemon Editor'!$A:$A,'Pokemon Editor'!$C:$C,""),mtype=XLOOKUP(XLOOKUP($Q1021,'Threshold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Chart'!$B$1:$S$1,0)))),base,IF(OR(cat="Status",pow=0),0,FLOOR(FLOOR(FLOOR((2*XLOOKUP($Q1021,'Threshold Summary'!$Y:$Y,'Threshold Summary'!$L:$L,"")/5+2)*pow*atk/def)/50)+2)),modifier,stab*eff,AVERAGE(ARRAYFORMULA(FLOOR(base*modifier*SEQUENCE(16,1,85,1)/100)))*MIN(1,acc/100)),0)</f>
        <v/>
      </c>
      <c r="N1021" s="4">
        <f>IFERROR(LET(mtype,XLOOKUP($D1021,'Move Editor'!$B:$B,'Move Editor'!$C:$C,""),cat,XLOOKUP($D1021,'Move Editor'!$B:$B,'Move Editor'!$D:$D,""),pow,XLOOKUP($D1021,'Move Editor'!$B:$B,'Move Editor'!$E:$E,0),acc,XLOOKUP($D1021,'Move Editor'!$B:$B,'Move Editor'!$F:$F,100),atk,IF(cat="Physical",FLOOR((FLOOR(((2*XLOOKUP(XLOOKUP($Q1021,'Threshold Summary'!$Y:$Y,'Threshold Summary'!$K:$K,""),'Pokemon Editor'!$A:$A,'Pokemon Editor'!$F:$F,0)+31+FLOOR(XLOOKUP($Q1021,'Threshold Summary'!$Y:$Y,'Threshold Summary'!$P:$P,"")/4))*XLOOKUP($Q1021,'Threshold Summary'!$Y:$Y,'Threshold Summary'!$L:$L,""))/100)+5)*XLOOKUP(XLOOKUP($Q1021,'Threshold Summary'!$Y:$Y,'Threshold Summary'!$M:$M,""),'Nature Editor'!$A:$A,'Nature Editor'!$B:$B,1)),FLOOR((FLOOR(((2*XLOOKUP(XLOOKUP($Q1021,'Threshold Summary'!$Y:$Y,'Threshold Summary'!$K:$K,""),'Pokemon Editor'!$A:$A,'Pokemon Editor'!$H:$H,0)+31+FLOOR(XLOOKUP($Q1021,'Threshold Summary'!$Y:$Y,'Threshold Summary'!$R:$R,"")/4))*XLOOKUP($Q1021,'Threshold Summary'!$Y:$Y,'Threshold Summary'!$L:$L,""))/100)+5)*XLOOKUP(XLOOKUP($Q1021,'Threshold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Editor'!$E:$E,1))),stab,IF(OR(mtype=XLOOKUP(XLOOKUP($Q1021,'Threshold Summary'!$Y:$Y,'Threshold Summary'!$K:$K,""),'Pokemon Editor'!$A:$A,'Pokemon Editor'!$C:$C,""),mtype=XLOOKUP(XLOOKUP($Q1021,'Threshold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Chart'!$B$1:$S$1,0)))),base,IF(OR(cat="Status",pow=0),0,FLOOR(FLOOR(FLOOR((2*XLOOKUP($Q1021,'Threshold Summary'!$Y:$Y,'Threshold Summary'!$L:$L,"")/5+2)*pow*atk/def)/50)+2)),modifier,stab*eff,AVERAGE(ARRAYFORMULA(FLOOR(base*modifier*SEQUENCE(16,1,85,1)/100)))/(FLOOR(((2*XLOOKUP('Boss Editor'!$C$4,'Pokemon Editor'!$A:$A,'Pokemon Editor'!$E:$E,0)+31+FLOOR('Boss Editor'!$G$4/4))*'Boss Editor'!$D$4)/100)+'Boss Editor'!$D$4+10)),0)</f>
        <v/>
      </c>
      <c r="O1021" s="3">
        <f>IF(N1021&gt;=1,"OHKO",IF(N1021&gt;=0.5,"2HKO",IF(N1021&gt;=0.333,"3HKO",IF(N1021&gt;=0.25,"4HKO","5HKO+"))))</f>
        <v/>
      </c>
      <c r="P1021" s="3" t="inlineStr">
        <is>
          <t>Live from editable databases</t>
        </is>
      </c>
      <c r="Q1021" s="3" t="inlineStr">
        <is>
          <t>SPECIES_TINKATINK</t>
        </is>
      </c>
      <c r="R1021" s="3" t="n">
        <v>28</v>
      </c>
    </row>
    <row r="1022">
      <c r="A1022" s="3">
        <f>XLOOKUP($Q1022,'Threshold Summary'!$Y:$Y,'Threshold Summary'!$A:$A,"")</f>
        <v/>
      </c>
      <c r="B1022" s="3">
        <f>XLOOKUP($Q1022,'Threshold Summary'!$Y:$Y,'Threshold Summary'!$M:$M,"")</f>
        <v/>
      </c>
      <c r="C1022" s="3">
        <f>XLOOKUP($Q1022,'Threshold Summary'!$Y:$Y,'Threshold Summary'!$N:$N,"")</f>
        <v/>
      </c>
      <c r="D1022" s="3">
        <f>IFERROR(INDEX(FILTER('Learnset Editor'!$D$2:$D,'Learnset Editor'!$A$2:$A=XLOOKUP($Q1022,'Threshold Summary'!$Y:$Y,'Threshold Summary'!$K:$K,""),'Learnset Editor'!$C$2:$C&lt;=XLOOKUP($Q1022,'Threshold Summary'!$Y:$Y,'Threshold Summary'!$L:$L,"")),$R1022),"")</f>
        <v/>
      </c>
      <c r="E1022" s="3">
        <f>XLOOKUP(D1022,'Move Editor'!$B:$B,'Move Editor'!$C:$C,"")</f>
        <v/>
      </c>
      <c r="F1022" s="3">
        <f>XLOOKUP(D1022,'Move Editor'!$B:$B,'Move Editor'!$D:$D,"")</f>
        <v/>
      </c>
      <c r="G1022" s="3">
        <f>XLOOKUP(D1022,'Move Editor'!$B:$B,'Move Editor'!$E:$E,0)</f>
        <v/>
      </c>
      <c r="H1022" s="3">
        <f>XLOOKUP(D1022,'Move Editor'!$B:$B,'Move Editor'!$F:$F,0)</f>
        <v/>
      </c>
      <c r="I1022" s="3">
        <f>(INDEX('Type Chart'!$B:$S,MATCH(E1022,'Type Chart'!$A:$A,0),MATCH(XLOOKUP('Boss Editor'!$C$4,'Pokemon Editor'!$A:$A,'Pokemon Editor'!$C:$C,""),'Type Chart'!$B$1:$S$1,0))*IF(XLOOKUP('Boss Editor'!$C$4,'Pokemon Editor'!$A:$A,'Pokemon Editor'!$D:$D,"")="",1,INDEX('Type Chart'!$B:$S,MATCH(E1022,'Type Chart'!$A:$A,0),MATCH(XLOOKUP('Boss Editor'!$C$4,'Pokemon Editor'!$A:$A,'Pokemon Editor'!$D:$D,""),'Type Chart'!$B$1:$S$1,0))))</f>
        <v/>
      </c>
      <c r="J1022" s="3">
        <f>IFERROR(LET(mtype,XLOOKUP($D1022,'Move Editor'!$B:$B,'Move Editor'!$C:$C,""),cat,XLOOKUP($D1022,'Move Editor'!$B:$B,'Move Editor'!$D:$D,""),pow,XLOOKUP($D1022,'Move Editor'!$B:$B,'Move Editor'!$E:$E,0),acc,XLOOKUP($D1022,'Move Editor'!$B:$B,'Move Editor'!$F:$F,100),atk,IF(cat="Physical",FLOOR((FLOOR(((2*XLOOKUP(XLOOKUP($Q1022,'Threshold Summary'!$Y:$Y,'Threshold Summary'!$K:$K,""),'Pokemon Editor'!$A:$A,'Pokemon Editor'!$F:$F,0)+31+FLOOR(XLOOKUP($Q1022,'Threshold Summary'!$Y:$Y,'Threshold Summary'!$P:$P,"")/4))*XLOOKUP($Q1022,'Threshold Summary'!$Y:$Y,'Threshold Summary'!$L:$L,""))/100)+5)*XLOOKUP(XLOOKUP($Q1022,'Threshold Summary'!$Y:$Y,'Threshold Summary'!$M:$M,""),'Nature Editor'!$A:$A,'Nature Editor'!$B:$B,1)),FLOOR((FLOOR(((2*XLOOKUP(XLOOKUP($Q1022,'Threshold Summary'!$Y:$Y,'Threshold Summary'!$K:$K,""),'Pokemon Editor'!$A:$A,'Pokemon Editor'!$H:$H,0)+31+FLOOR(XLOOKUP($Q1022,'Threshold Summary'!$Y:$Y,'Threshold Summary'!$R:$R,"")/4))*XLOOKUP($Q1022,'Threshold Summary'!$Y:$Y,'Threshold Summary'!$L:$L,""))/100)+5)*XLOOKUP(XLOOKUP($Q1022,'Threshold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Editor'!$E:$E,1))),stab,IF(OR(mtype=XLOOKUP(XLOOKUP($Q1022,'Threshold Summary'!$Y:$Y,'Threshold Summary'!$K:$K,""),'Pokemon Editor'!$A:$A,'Pokemon Editor'!$C:$C,""),mtype=XLOOKUP(XLOOKUP($Q1022,'Threshold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Chart'!$B$1:$S$1,0)))),base,IF(OR(cat="Status",pow=0),0,FLOOR(FLOOR(FLOOR((2*XLOOKUP($Q1022,'Threshold Summary'!$Y:$Y,'Threshold Summary'!$L:$L,"")/5+2)*pow*atk/def)/50)+2)),modifier,stab*eff,FLOOR(base*modifier*0.85)),0)</f>
        <v/>
      </c>
      <c r="K1022" s="3">
        <f>IFERROR(LET(mtype,XLOOKUP($D1022,'Move Editor'!$B:$B,'Move Editor'!$C:$C,""),cat,XLOOKUP($D1022,'Move Editor'!$B:$B,'Move Editor'!$D:$D,""),pow,XLOOKUP($D1022,'Move Editor'!$B:$B,'Move Editor'!$E:$E,0),acc,XLOOKUP($D1022,'Move Editor'!$B:$B,'Move Editor'!$F:$F,100),atk,IF(cat="Physical",FLOOR((FLOOR(((2*XLOOKUP(XLOOKUP($Q1022,'Threshold Summary'!$Y:$Y,'Threshold Summary'!$K:$K,""),'Pokemon Editor'!$A:$A,'Pokemon Editor'!$F:$F,0)+31+FLOOR(XLOOKUP($Q1022,'Threshold Summary'!$Y:$Y,'Threshold Summary'!$P:$P,"")/4))*XLOOKUP($Q1022,'Threshold Summary'!$Y:$Y,'Threshold Summary'!$L:$L,""))/100)+5)*XLOOKUP(XLOOKUP($Q1022,'Threshold Summary'!$Y:$Y,'Threshold Summary'!$M:$M,""),'Nature Editor'!$A:$A,'Nature Editor'!$B:$B,1)),FLOOR((FLOOR(((2*XLOOKUP(XLOOKUP($Q1022,'Threshold Summary'!$Y:$Y,'Threshold Summary'!$K:$K,""),'Pokemon Editor'!$A:$A,'Pokemon Editor'!$H:$H,0)+31+FLOOR(XLOOKUP($Q1022,'Threshold Summary'!$Y:$Y,'Threshold Summary'!$R:$R,"")/4))*XLOOKUP($Q1022,'Threshold Summary'!$Y:$Y,'Threshold Summary'!$L:$L,""))/100)+5)*XLOOKUP(XLOOKUP($Q1022,'Threshold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Editor'!$E:$E,1))),stab,IF(OR(mtype=XLOOKUP(XLOOKUP($Q1022,'Threshold Summary'!$Y:$Y,'Threshold Summary'!$K:$K,""),'Pokemon Editor'!$A:$A,'Pokemon Editor'!$C:$C,""),mtype=XLOOKUP(XLOOKUP($Q1022,'Threshold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Chart'!$B$1:$S$1,0)))),base,IF(OR(cat="Status",pow=0),0,FLOOR(FLOOR(FLOOR((2*XLOOKUP($Q1022,'Threshold Summary'!$Y:$Y,'Threshold Summary'!$L:$L,"")/5+2)*pow*atk/def)/50)+2)),modifier,stab*eff,FLOOR(base*modifier)),0)</f>
        <v/>
      </c>
      <c r="L1022" s="3">
        <f>IFERROR(LET(mtype,XLOOKUP($D1022,'Move Editor'!$B:$B,'Move Editor'!$C:$C,""),cat,XLOOKUP($D1022,'Move Editor'!$B:$B,'Move Editor'!$D:$D,""),pow,XLOOKUP($D1022,'Move Editor'!$B:$B,'Move Editor'!$E:$E,0),acc,XLOOKUP($D1022,'Move Editor'!$B:$B,'Move Editor'!$F:$F,100),atk,IF(cat="Physical",FLOOR((FLOOR(((2*XLOOKUP(XLOOKUP($Q1022,'Threshold Summary'!$Y:$Y,'Threshold Summary'!$K:$K,""),'Pokemon Editor'!$A:$A,'Pokemon Editor'!$F:$F,0)+31+FLOOR(XLOOKUP($Q1022,'Threshold Summary'!$Y:$Y,'Threshold Summary'!$P:$P,"")/4))*XLOOKUP($Q1022,'Threshold Summary'!$Y:$Y,'Threshold Summary'!$L:$L,""))/100)+5)*XLOOKUP(XLOOKUP($Q1022,'Threshold Summary'!$Y:$Y,'Threshold Summary'!$M:$M,""),'Nature Editor'!$A:$A,'Nature Editor'!$B:$B,1)),FLOOR((FLOOR(((2*XLOOKUP(XLOOKUP($Q1022,'Threshold Summary'!$Y:$Y,'Threshold Summary'!$K:$K,""),'Pokemon Editor'!$A:$A,'Pokemon Editor'!$H:$H,0)+31+FLOOR(XLOOKUP($Q1022,'Threshold Summary'!$Y:$Y,'Threshold Summary'!$R:$R,"")/4))*XLOOKUP($Q1022,'Threshold Summary'!$Y:$Y,'Threshold Summary'!$L:$L,""))/100)+5)*XLOOKUP(XLOOKUP($Q1022,'Threshold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Editor'!$E:$E,1))),stab,IF(OR(mtype=XLOOKUP(XLOOKUP($Q1022,'Threshold Summary'!$Y:$Y,'Threshold Summary'!$K:$K,""),'Pokemon Editor'!$A:$A,'Pokemon Editor'!$C:$C,""),mtype=XLOOKUP(XLOOKUP($Q1022,'Threshold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Chart'!$B$1:$S$1,0)))),base,IF(OR(cat="Status",pow=0),0,FLOOR(FLOOR(FLOOR((2*XLOOKUP($Q1022,'Threshold Summary'!$Y:$Y,'Threshold Summary'!$L:$L,"")/5+2)*pow*atk/def)/50)+2)),modifier,stab*eff,AVERAGE(ARRAYFORMULA(FLOOR(base*modifier*SEQUENCE(16,1,85,1)/100)))),0)</f>
        <v/>
      </c>
      <c r="M1022" s="3">
        <f>IFERROR(LET(mtype,XLOOKUP($D1022,'Move Editor'!$B:$B,'Move Editor'!$C:$C,""),cat,XLOOKUP($D1022,'Move Editor'!$B:$B,'Move Editor'!$D:$D,""),pow,XLOOKUP($D1022,'Move Editor'!$B:$B,'Move Editor'!$E:$E,0),acc,XLOOKUP($D1022,'Move Editor'!$B:$B,'Move Editor'!$F:$F,100),atk,IF(cat="Physical",FLOOR((FLOOR(((2*XLOOKUP(XLOOKUP($Q1022,'Threshold Summary'!$Y:$Y,'Threshold Summary'!$K:$K,""),'Pokemon Editor'!$A:$A,'Pokemon Editor'!$F:$F,0)+31+FLOOR(XLOOKUP($Q1022,'Threshold Summary'!$Y:$Y,'Threshold Summary'!$P:$P,"")/4))*XLOOKUP($Q1022,'Threshold Summary'!$Y:$Y,'Threshold Summary'!$L:$L,""))/100)+5)*XLOOKUP(XLOOKUP($Q1022,'Threshold Summary'!$Y:$Y,'Threshold Summary'!$M:$M,""),'Nature Editor'!$A:$A,'Nature Editor'!$B:$B,1)),FLOOR((FLOOR(((2*XLOOKUP(XLOOKUP($Q1022,'Threshold Summary'!$Y:$Y,'Threshold Summary'!$K:$K,""),'Pokemon Editor'!$A:$A,'Pokemon Editor'!$H:$H,0)+31+FLOOR(XLOOKUP($Q1022,'Threshold Summary'!$Y:$Y,'Threshold Summary'!$R:$R,"")/4))*XLOOKUP($Q1022,'Threshold Summary'!$Y:$Y,'Threshold Summary'!$L:$L,""))/100)+5)*XLOOKUP(XLOOKUP($Q1022,'Threshold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Editor'!$E:$E,1))),stab,IF(OR(mtype=XLOOKUP(XLOOKUP($Q1022,'Threshold Summary'!$Y:$Y,'Threshold Summary'!$K:$K,""),'Pokemon Editor'!$A:$A,'Pokemon Editor'!$C:$C,""),mtype=XLOOKUP(XLOOKUP($Q1022,'Threshold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Chart'!$B$1:$S$1,0)))),base,IF(OR(cat="Status",pow=0),0,FLOOR(FLOOR(FLOOR((2*XLOOKUP($Q1022,'Threshold Summary'!$Y:$Y,'Threshold Summary'!$L:$L,"")/5+2)*pow*atk/def)/50)+2)),modifier,stab*eff,AVERAGE(ARRAYFORMULA(FLOOR(base*modifier*SEQUENCE(16,1,85,1)/100)))*MIN(1,acc/100)),0)</f>
        <v/>
      </c>
      <c r="N1022" s="4">
        <f>IFERROR(LET(mtype,XLOOKUP($D1022,'Move Editor'!$B:$B,'Move Editor'!$C:$C,""),cat,XLOOKUP($D1022,'Move Editor'!$B:$B,'Move Editor'!$D:$D,""),pow,XLOOKUP($D1022,'Move Editor'!$B:$B,'Move Editor'!$E:$E,0),acc,XLOOKUP($D1022,'Move Editor'!$B:$B,'Move Editor'!$F:$F,100),atk,IF(cat="Physical",FLOOR((FLOOR(((2*XLOOKUP(XLOOKUP($Q1022,'Threshold Summary'!$Y:$Y,'Threshold Summary'!$K:$K,""),'Pokemon Editor'!$A:$A,'Pokemon Editor'!$F:$F,0)+31+FLOOR(XLOOKUP($Q1022,'Threshold Summary'!$Y:$Y,'Threshold Summary'!$P:$P,"")/4))*XLOOKUP($Q1022,'Threshold Summary'!$Y:$Y,'Threshold Summary'!$L:$L,""))/100)+5)*XLOOKUP(XLOOKUP($Q1022,'Threshold Summary'!$Y:$Y,'Threshold Summary'!$M:$M,""),'Nature Editor'!$A:$A,'Nature Editor'!$B:$B,1)),FLOOR((FLOOR(((2*XLOOKUP(XLOOKUP($Q1022,'Threshold Summary'!$Y:$Y,'Threshold Summary'!$K:$K,""),'Pokemon Editor'!$A:$A,'Pokemon Editor'!$H:$H,0)+31+FLOOR(XLOOKUP($Q1022,'Threshold Summary'!$Y:$Y,'Threshold Summary'!$R:$R,"")/4))*XLOOKUP($Q1022,'Threshold Summary'!$Y:$Y,'Threshold Summary'!$L:$L,""))/100)+5)*XLOOKUP(XLOOKUP($Q1022,'Threshold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Editor'!$E:$E,1))),stab,IF(OR(mtype=XLOOKUP(XLOOKUP($Q1022,'Threshold Summary'!$Y:$Y,'Threshold Summary'!$K:$K,""),'Pokemon Editor'!$A:$A,'Pokemon Editor'!$C:$C,""),mtype=XLOOKUP(XLOOKUP($Q1022,'Threshold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Chart'!$B$1:$S$1,0)))),base,IF(OR(cat="Status",pow=0),0,FLOOR(FLOOR(FLOOR((2*XLOOKUP($Q1022,'Threshold Summary'!$Y:$Y,'Threshold Summary'!$L:$L,"")/5+2)*pow*atk/def)/50)+2)),modifier,stab*eff,AVERAGE(ARRAYFORMULA(FLOOR(base*modifier*SEQUENCE(16,1,85,1)/100)))/(FLOOR(((2*XLOOKUP('Boss Editor'!$C$4,'Pokemon Editor'!$A:$A,'Pokemon Editor'!$E:$E,0)+31+FLOOR('Boss Editor'!$G$4/4))*'Boss Editor'!$D$4)/100)+'Boss Editor'!$D$4+10)),0)</f>
        <v/>
      </c>
      <c r="O1022" s="3">
        <f>IF(N1022&gt;=1,"OHKO",IF(N1022&gt;=0.5,"2HKO",IF(N1022&gt;=0.333,"3HKO",IF(N1022&gt;=0.25,"4HKO","5HKO+"))))</f>
        <v/>
      </c>
      <c r="P1022" s="3" t="inlineStr">
        <is>
          <t>Live from editable databases</t>
        </is>
      </c>
      <c r="Q1022" s="3" t="inlineStr">
        <is>
          <t>SPECIES_TINKATINK</t>
        </is>
      </c>
      <c r="R1022" s="3" t="n">
        <v>29</v>
      </c>
    </row>
    <row r="1023">
      <c r="A1023" s="3">
        <f>XLOOKUP($Q1023,'Threshold Summary'!$Y:$Y,'Threshold Summary'!$A:$A,"")</f>
        <v/>
      </c>
      <c r="B1023" s="3">
        <f>XLOOKUP($Q1023,'Threshold Summary'!$Y:$Y,'Threshold Summary'!$M:$M,"")</f>
        <v/>
      </c>
      <c r="C1023" s="3">
        <f>XLOOKUP($Q1023,'Threshold Summary'!$Y:$Y,'Threshold Summary'!$N:$N,"")</f>
        <v/>
      </c>
      <c r="D1023" s="3">
        <f>IFERROR(INDEX(FILTER('Learnset Editor'!$D$2:$D,'Learnset Editor'!$A$2:$A=XLOOKUP($Q1023,'Threshold Summary'!$Y:$Y,'Threshold Summary'!$K:$K,""),'Learnset Editor'!$C$2:$C&lt;=XLOOKUP($Q1023,'Threshold Summary'!$Y:$Y,'Threshold Summary'!$L:$L,"")),$R1023),"")</f>
        <v/>
      </c>
      <c r="E1023" s="3">
        <f>XLOOKUP(D1023,'Move Editor'!$B:$B,'Move Editor'!$C:$C,"")</f>
        <v/>
      </c>
      <c r="F1023" s="3">
        <f>XLOOKUP(D1023,'Move Editor'!$B:$B,'Move Editor'!$D:$D,"")</f>
        <v/>
      </c>
      <c r="G1023" s="3">
        <f>XLOOKUP(D1023,'Move Editor'!$B:$B,'Move Editor'!$E:$E,0)</f>
        <v/>
      </c>
      <c r="H1023" s="3">
        <f>XLOOKUP(D1023,'Move Editor'!$B:$B,'Move Editor'!$F:$F,0)</f>
        <v/>
      </c>
      <c r="I1023" s="3">
        <f>(INDEX('Type Chart'!$B:$S,MATCH(E1023,'Type Chart'!$A:$A,0),MATCH(XLOOKUP('Boss Editor'!$C$4,'Pokemon Editor'!$A:$A,'Pokemon Editor'!$C:$C,""),'Type Chart'!$B$1:$S$1,0))*IF(XLOOKUP('Boss Editor'!$C$4,'Pokemon Editor'!$A:$A,'Pokemon Editor'!$D:$D,"")="",1,INDEX('Type Chart'!$B:$S,MATCH(E1023,'Type Chart'!$A:$A,0),MATCH(XLOOKUP('Boss Editor'!$C$4,'Pokemon Editor'!$A:$A,'Pokemon Editor'!$D:$D,""),'Type Chart'!$B$1:$S$1,0))))</f>
        <v/>
      </c>
      <c r="J1023" s="3">
        <f>IFERROR(LET(mtype,XLOOKUP($D1023,'Move Editor'!$B:$B,'Move Editor'!$C:$C,""),cat,XLOOKUP($D1023,'Move Editor'!$B:$B,'Move Editor'!$D:$D,""),pow,XLOOKUP($D1023,'Move Editor'!$B:$B,'Move Editor'!$E:$E,0),acc,XLOOKUP($D1023,'Move Editor'!$B:$B,'Move Editor'!$F:$F,100),atk,IF(cat="Physical",FLOOR((FLOOR(((2*XLOOKUP(XLOOKUP($Q1023,'Threshold Summary'!$Y:$Y,'Threshold Summary'!$K:$K,""),'Pokemon Editor'!$A:$A,'Pokemon Editor'!$F:$F,0)+31+FLOOR(XLOOKUP($Q1023,'Threshold Summary'!$Y:$Y,'Threshold Summary'!$P:$P,"")/4))*XLOOKUP($Q1023,'Threshold Summary'!$Y:$Y,'Threshold Summary'!$L:$L,""))/100)+5)*XLOOKUP(XLOOKUP($Q1023,'Threshold Summary'!$Y:$Y,'Threshold Summary'!$M:$M,""),'Nature Editor'!$A:$A,'Nature Editor'!$B:$B,1)),FLOOR((FLOOR(((2*XLOOKUP(XLOOKUP($Q1023,'Threshold Summary'!$Y:$Y,'Threshold Summary'!$K:$K,""),'Pokemon Editor'!$A:$A,'Pokemon Editor'!$H:$H,0)+31+FLOOR(XLOOKUP($Q1023,'Threshold Summary'!$Y:$Y,'Threshold Summary'!$R:$R,"")/4))*XLOOKUP($Q1023,'Threshold Summary'!$Y:$Y,'Threshold Summary'!$L:$L,""))/100)+5)*XLOOKUP(XLOOKUP($Q1023,'Threshold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Editor'!$E:$E,1))),stab,IF(OR(mtype=XLOOKUP(XLOOKUP($Q1023,'Threshold Summary'!$Y:$Y,'Threshold Summary'!$K:$K,""),'Pokemon Editor'!$A:$A,'Pokemon Editor'!$C:$C,""),mtype=XLOOKUP(XLOOKUP($Q1023,'Threshold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Chart'!$B$1:$S$1,0)))),base,IF(OR(cat="Status",pow=0),0,FLOOR(FLOOR(FLOOR((2*XLOOKUP($Q1023,'Threshold Summary'!$Y:$Y,'Threshold Summary'!$L:$L,"")/5+2)*pow*atk/def)/50)+2)),modifier,stab*eff,FLOOR(base*modifier*0.85)),0)</f>
        <v/>
      </c>
      <c r="K1023" s="3">
        <f>IFERROR(LET(mtype,XLOOKUP($D1023,'Move Editor'!$B:$B,'Move Editor'!$C:$C,""),cat,XLOOKUP($D1023,'Move Editor'!$B:$B,'Move Editor'!$D:$D,""),pow,XLOOKUP($D1023,'Move Editor'!$B:$B,'Move Editor'!$E:$E,0),acc,XLOOKUP($D1023,'Move Editor'!$B:$B,'Move Editor'!$F:$F,100),atk,IF(cat="Physical",FLOOR((FLOOR(((2*XLOOKUP(XLOOKUP($Q1023,'Threshold Summary'!$Y:$Y,'Threshold Summary'!$K:$K,""),'Pokemon Editor'!$A:$A,'Pokemon Editor'!$F:$F,0)+31+FLOOR(XLOOKUP($Q1023,'Threshold Summary'!$Y:$Y,'Threshold Summary'!$P:$P,"")/4))*XLOOKUP($Q1023,'Threshold Summary'!$Y:$Y,'Threshold Summary'!$L:$L,""))/100)+5)*XLOOKUP(XLOOKUP($Q1023,'Threshold Summary'!$Y:$Y,'Threshold Summary'!$M:$M,""),'Nature Editor'!$A:$A,'Nature Editor'!$B:$B,1)),FLOOR((FLOOR(((2*XLOOKUP(XLOOKUP($Q1023,'Threshold Summary'!$Y:$Y,'Threshold Summary'!$K:$K,""),'Pokemon Editor'!$A:$A,'Pokemon Editor'!$H:$H,0)+31+FLOOR(XLOOKUP($Q1023,'Threshold Summary'!$Y:$Y,'Threshold Summary'!$R:$R,"")/4))*XLOOKUP($Q1023,'Threshold Summary'!$Y:$Y,'Threshold Summary'!$L:$L,""))/100)+5)*XLOOKUP(XLOOKUP($Q1023,'Threshold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Editor'!$E:$E,1))),stab,IF(OR(mtype=XLOOKUP(XLOOKUP($Q1023,'Threshold Summary'!$Y:$Y,'Threshold Summary'!$K:$K,""),'Pokemon Editor'!$A:$A,'Pokemon Editor'!$C:$C,""),mtype=XLOOKUP(XLOOKUP($Q1023,'Threshold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Chart'!$B$1:$S$1,0)))),base,IF(OR(cat="Status",pow=0),0,FLOOR(FLOOR(FLOOR((2*XLOOKUP($Q1023,'Threshold Summary'!$Y:$Y,'Threshold Summary'!$L:$L,"")/5+2)*pow*atk/def)/50)+2)),modifier,stab*eff,FLOOR(base*modifier)),0)</f>
        <v/>
      </c>
      <c r="L1023" s="3">
        <f>IFERROR(LET(mtype,XLOOKUP($D1023,'Move Editor'!$B:$B,'Move Editor'!$C:$C,""),cat,XLOOKUP($D1023,'Move Editor'!$B:$B,'Move Editor'!$D:$D,""),pow,XLOOKUP($D1023,'Move Editor'!$B:$B,'Move Editor'!$E:$E,0),acc,XLOOKUP($D1023,'Move Editor'!$B:$B,'Move Editor'!$F:$F,100),atk,IF(cat="Physical",FLOOR((FLOOR(((2*XLOOKUP(XLOOKUP($Q1023,'Threshold Summary'!$Y:$Y,'Threshold Summary'!$K:$K,""),'Pokemon Editor'!$A:$A,'Pokemon Editor'!$F:$F,0)+31+FLOOR(XLOOKUP($Q1023,'Threshold Summary'!$Y:$Y,'Threshold Summary'!$P:$P,"")/4))*XLOOKUP($Q1023,'Threshold Summary'!$Y:$Y,'Threshold Summary'!$L:$L,""))/100)+5)*XLOOKUP(XLOOKUP($Q1023,'Threshold Summary'!$Y:$Y,'Threshold Summary'!$M:$M,""),'Nature Editor'!$A:$A,'Nature Editor'!$B:$B,1)),FLOOR((FLOOR(((2*XLOOKUP(XLOOKUP($Q1023,'Threshold Summary'!$Y:$Y,'Threshold Summary'!$K:$K,""),'Pokemon Editor'!$A:$A,'Pokemon Editor'!$H:$H,0)+31+FLOOR(XLOOKUP($Q1023,'Threshold Summary'!$Y:$Y,'Threshold Summary'!$R:$R,"")/4))*XLOOKUP($Q1023,'Threshold Summary'!$Y:$Y,'Threshold Summary'!$L:$L,""))/100)+5)*XLOOKUP(XLOOKUP($Q1023,'Threshold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Editor'!$E:$E,1))),stab,IF(OR(mtype=XLOOKUP(XLOOKUP($Q1023,'Threshold Summary'!$Y:$Y,'Threshold Summary'!$K:$K,""),'Pokemon Editor'!$A:$A,'Pokemon Editor'!$C:$C,""),mtype=XLOOKUP(XLOOKUP($Q1023,'Threshold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Chart'!$B$1:$S$1,0)))),base,IF(OR(cat="Status",pow=0),0,FLOOR(FLOOR(FLOOR((2*XLOOKUP($Q1023,'Threshold Summary'!$Y:$Y,'Threshold Summary'!$L:$L,"")/5+2)*pow*atk/def)/50)+2)),modifier,stab*eff,AVERAGE(ARRAYFORMULA(FLOOR(base*modifier*SEQUENCE(16,1,85,1)/100)))),0)</f>
        <v/>
      </c>
      <c r="M1023" s="3">
        <f>IFERROR(LET(mtype,XLOOKUP($D1023,'Move Editor'!$B:$B,'Move Editor'!$C:$C,""),cat,XLOOKUP($D1023,'Move Editor'!$B:$B,'Move Editor'!$D:$D,""),pow,XLOOKUP($D1023,'Move Editor'!$B:$B,'Move Editor'!$E:$E,0),acc,XLOOKUP($D1023,'Move Editor'!$B:$B,'Move Editor'!$F:$F,100),atk,IF(cat="Physical",FLOOR((FLOOR(((2*XLOOKUP(XLOOKUP($Q1023,'Threshold Summary'!$Y:$Y,'Threshold Summary'!$K:$K,""),'Pokemon Editor'!$A:$A,'Pokemon Editor'!$F:$F,0)+31+FLOOR(XLOOKUP($Q1023,'Threshold Summary'!$Y:$Y,'Threshold Summary'!$P:$P,"")/4))*XLOOKUP($Q1023,'Threshold Summary'!$Y:$Y,'Threshold Summary'!$L:$L,""))/100)+5)*XLOOKUP(XLOOKUP($Q1023,'Threshold Summary'!$Y:$Y,'Threshold Summary'!$M:$M,""),'Nature Editor'!$A:$A,'Nature Editor'!$B:$B,1)),FLOOR((FLOOR(((2*XLOOKUP(XLOOKUP($Q1023,'Threshold Summary'!$Y:$Y,'Threshold Summary'!$K:$K,""),'Pokemon Editor'!$A:$A,'Pokemon Editor'!$H:$H,0)+31+FLOOR(XLOOKUP($Q1023,'Threshold Summary'!$Y:$Y,'Threshold Summary'!$R:$R,"")/4))*XLOOKUP($Q1023,'Threshold Summary'!$Y:$Y,'Threshold Summary'!$L:$L,""))/100)+5)*XLOOKUP(XLOOKUP($Q1023,'Threshold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Editor'!$E:$E,1))),stab,IF(OR(mtype=XLOOKUP(XLOOKUP($Q1023,'Threshold Summary'!$Y:$Y,'Threshold Summary'!$K:$K,""),'Pokemon Editor'!$A:$A,'Pokemon Editor'!$C:$C,""),mtype=XLOOKUP(XLOOKUP($Q1023,'Threshold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Chart'!$B$1:$S$1,0)))),base,IF(OR(cat="Status",pow=0),0,FLOOR(FLOOR(FLOOR((2*XLOOKUP($Q1023,'Threshold Summary'!$Y:$Y,'Threshold Summary'!$L:$L,"")/5+2)*pow*atk/def)/50)+2)),modifier,stab*eff,AVERAGE(ARRAYFORMULA(FLOOR(base*modifier*SEQUENCE(16,1,85,1)/100)))*MIN(1,acc/100)),0)</f>
        <v/>
      </c>
      <c r="N1023" s="4">
        <f>IFERROR(LET(mtype,XLOOKUP($D1023,'Move Editor'!$B:$B,'Move Editor'!$C:$C,""),cat,XLOOKUP($D1023,'Move Editor'!$B:$B,'Move Editor'!$D:$D,""),pow,XLOOKUP($D1023,'Move Editor'!$B:$B,'Move Editor'!$E:$E,0),acc,XLOOKUP($D1023,'Move Editor'!$B:$B,'Move Editor'!$F:$F,100),atk,IF(cat="Physical",FLOOR((FLOOR(((2*XLOOKUP(XLOOKUP($Q1023,'Threshold Summary'!$Y:$Y,'Threshold Summary'!$K:$K,""),'Pokemon Editor'!$A:$A,'Pokemon Editor'!$F:$F,0)+31+FLOOR(XLOOKUP($Q1023,'Threshold Summary'!$Y:$Y,'Threshold Summary'!$P:$P,"")/4))*XLOOKUP($Q1023,'Threshold Summary'!$Y:$Y,'Threshold Summary'!$L:$L,""))/100)+5)*XLOOKUP(XLOOKUP($Q1023,'Threshold Summary'!$Y:$Y,'Threshold Summary'!$M:$M,""),'Nature Editor'!$A:$A,'Nature Editor'!$B:$B,1)),FLOOR((FLOOR(((2*XLOOKUP(XLOOKUP($Q1023,'Threshold Summary'!$Y:$Y,'Threshold Summary'!$K:$K,""),'Pokemon Editor'!$A:$A,'Pokemon Editor'!$H:$H,0)+31+FLOOR(XLOOKUP($Q1023,'Threshold Summary'!$Y:$Y,'Threshold Summary'!$R:$R,"")/4))*XLOOKUP($Q1023,'Threshold Summary'!$Y:$Y,'Threshold Summary'!$L:$L,""))/100)+5)*XLOOKUP(XLOOKUP($Q1023,'Threshold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Editor'!$E:$E,1))),stab,IF(OR(mtype=XLOOKUP(XLOOKUP($Q1023,'Threshold Summary'!$Y:$Y,'Threshold Summary'!$K:$K,""),'Pokemon Editor'!$A:$A,'Pokemon Editor'!$C:$C,""),mtype=XLOOKUP(XLOOKUP($Q1023,'Threshold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Chart'!$B$1:$S$1,0)))),base,IF(OR(cat="Status",pow=0),0,FLOOR(FLOOR(FLOOR((2*XLOOKUP($Q1023,'Threshold Summary'!$Y:$Y,'Threshold Summary'!$L:$L,"")/5+2)*pow*atk/def)/50)+2)),modifier,stab*eff,AVERAGE(ARRAYFORMULA(FLOOR(base*modifier*SEQUENCE(16,1,85,1)/100)))/(FLOOR(((2*XLOOKUP('Boss Editor'!$C$4,'Pokemon Editor'!$A:$A,'Pokemon Editor'!$E:$E,0)+31+FLOOR('Boss Editor'!$G$4/4))*'Boss Editor'!$D$4)/100)+'Boss Editor'!$D$4+10)),0)</f>
        <v/>
      </c>
      <c r="O1023" s="3">
        <f>IF(N1023&gt;=1,"OHKO",IF(N1023&gt;=0.5,"2HKO",IF(N1023&gt;=0.333,"3HKO",IF(N1023&gt;=0.25,"4HKO","5HKO+"))))</f>
        <v/>
      </c>
      <c r="P1023" s="3" t="inlineStr">
        <is>
          <t>Live from editable databases</t>
        </is>
      </c>
      <c r="Q1023" s="3" t="inlineStr">
        <is>
          <t>SPECIES_TINKATINK</t>
        </is>
      </c>
      <c r="R1023" s="3" t="n">
        <v>30</v>
      </c>
    </row>
    <row r="1024">
      <c r="A1024" s="3">
        <f>XLOOKUP($Q1024,'Threshold Summary'!$Y:$Y,'Threshold Summary'!$A:$A,"")</f>
        <v/>
      </c>
      <c r="B1024" s="3">
        <f>XLOOKUP($Q1024,'Threshold Summary'!$Y:$Y,'Threshold Summary'!$M:$M,"")</f>
        <v/>
      </c>
      <c r="C1024" s="3">
        <f>XLOOKUP($Q1024,'Threshold Summary'!$Y:$Y,'Threshold Summary'!$N:$N,"")</f>
        <v/>
      </c>
      <c r="D1024" s="3">
        <f>IFERROR(INDEX(FILTER('Learnset Editor'!$D$2:$D,'Learnset Editor'!$A$2:$A=XLOOKUP($Q1024,'Threshold Summary'!$Y:$Y,'Threshold Summary'!$K:$K,""),'Learnset Editor'!$C$2:$C&lt;=XLOOKUP($Q1024,'Threshold Summary'!$Y:$Y,'Threshold Summary'!$L:$L,"")),$R1024),"")</f>
        <v/>
      </c>
      <c r="E1024" s="3">
        <f>XLOOKUP(D1024,'Move Editor'!$B:$B,'Move Editor'!$C:$C,"")</f>
        <v/>
      </c>
      <c r="F1024" s="3">
        <f>XLOOKUP(D1024,'Move Editor'!$B:$B,'Move Editor'!$D:$D,"")</f>
        <v/>
      </c>
      <c r="G1024" s="3">
        <f>XLOOKUP(D1024,'Move Editor'!$B:$B,'Move Editor'!$E:$E,0)</f>
        <v/>
      </c>
      <c r="H1024" s="3">
        <f>XLOOKUP(D1024,'Move Editor'!$B:$B,'Move Editor'!$F:$F,0)</f>
        <v/>
      </c>
      <c r="I1024" s="3">
        <f>(INDEX('Type Chart'!$B:$S,MATCH(E1024,'Type Chart'!$A:$A,0),MATCH(XLOOKUP('Boss Editor'!$C$4,'Pokemon Editor'!$A:$A,'Pokemon Editor'!$C:$C,""),'Type Chart'!$B$1:$S$1,0))*IF(XLOOKUP('Boss Editor'!$C$4,'Pokemon Editor'!$A:$A,'Pokemon Editor'!$D:$D,"")="",1,INDEX('Type Chart'!$B:$S,MATCH(E1024,'Type Chart'!$A:$A,0),MATCH(XLOOKUP('Boss Editor'!$C$4,'Pokemon Editor'!$A:$A,'Pokemon Editor'!$D:$D,""),'Type Chart'!$B$1:$S$1,0))))</f>
        <v/>
      </c>
      <c r="J1024" s="3">
        <f>IFERROR(LET(mtype,XLOOKUP($D1024,'Move Editor'!$B:$B,'Move Editor'!$C:$C,""),cat,XLOOKUP($D1024,'Move Editor'!$B:$B,'Move Editor'!$D:$D,""),pow,XLOOKUP($D1024,'Move Editor'!$B:$B,'Move Editor'!$E:$E,0),acc,XLOOKUP($D1024,'Move Editor'!$B:$B,'Move Editor'!$F:$F,100),atk,IF(cat="Physical",FLOOR((FLOOR(((2*XLOOKUP(XLOOKUP($Q1024,'Threshold Summary'!$Y:$Y,'Threshold Summary'!$K:$K,""),'Pokemon Editor'!$A:$A,'Pokemon Editor'!$F:$F,0)+31+FLOOR(XLOOKUP($Q1024,'Threshold Summary'!$Y:$Y,'Threshold Summary'!$P:$P,"")/4))*XLOOKUP($Q1024,'Threshold Summary'!$Y:$Y,'Threshold Summary'!$L:$L,""))/100)+5)*XLOOKUP(XLOOKUP($Q1024,'Threshold Summary'!$Y:$Y,'Threshold Summary'!$M:$M,""),'Nature Editor'!$A:$A,'Nature Editor'!$B:$B,1)),FLOOR((FLOOR(((2*XLOOKUP(XLOOKUP($Q1024,'Threshold Summary'!$Y:$Y,'Threshold Summary'!$K:$K,""),'Pokemon Editor'!$A:$A,'Pokemon Editor'!$H:$H,0)+31+FLOOR(XLOOKUP($Q1024,'Threshold Summary'!$Y:$Y,'Threshold Summary'!$R:$R,"")/4))*XLOOKUP($Q1024,'Threshold Summary'!$Y:$Y,'Threshold Summary'!$L:$L,""))/100)+5)*XLOOKUP(XLOOKUP($Q1024,'Threshold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Editor'!$E:$E,1))),stab,IF(OR(mtype=XLOOKUP(XLOOKUP($Q1024,'Threshold Summary'!$Y:$Y,'Threshold Summary'!$K:$K,""),'Pokemon Editor'!$A:$A,'Pokemon Editor'!$C:$C,""),mtype=XLOOKUP(XLOOKUP($Q1024,'Threshold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Chart'!$B$1:$S$1,0)))),base,IF(OR(cat="Status",pow=0),0,FLOOR(FLOOR(FLOOR((2*XLOOKUP($Q1024,'Threshold Summary'!$Y:$Y,'Threshold Summary'!$L:$L,"")/5+2)*pow*atk/def)/50)+2)),modifier,stab*eff,FLOOR(base*modifier*0.85)),0)</f>
        <v/>
      </c>
      <c r="K1024" s="3">
        <f>IFERROR(LET(mtype,XLOOKUP($D1024,'Move Editor'!$B:$B,'Move Editor'!$C:$C,""),cat,XLOOKUP($D1024,'Move Editor'!$B:$B,'Move Editor'!$D:$D,""),pow,XLOOKUP($D1024,'Move Editor'!$B:$B,'Move Editor'!$E:$E,0),acc,XLOOKUP($D1024,'Move Editor'!$B:$B,'Move Editor'!$F:$F,100),atk,IF(cat="Physical",FLOOR((FLOOR(((2*XLOOKUP(XLOOKUP($Q1024,'Threshold Summary'!$Y:$Y,'Threshold Summary'!$K:$K,""),'Pokemon Editor'!$A:$A,'Pokemon Editor'!$F:$F,0)+31+FLOOR(XLOOKUP($Q1024,'Threshold Summary'!$Y:$Y,'Threshold Summary'!$P:$P,"")/4))*XLOOKUP($Q1024,'Threshold Summary'!$Y:$Y,'Threshold Summary'!$L:$L,""))/100)+5)*XLOOKUP(XLOOKUP($Q1024,'Threshold Summary'!$Y:$Y,'Threshold Summary'!$M:$M,""),'Nature Editor'!$A:$A,'Nature Editor'!$B:$B,1)),FLOOR((FLOOR(((2*XLOOKUP(XLOOKUP($Q1024,'Threshold Summary'!$Y:$Y,'Threshold Summary'!$K:$K,""),'Pokemon Editor'!$A:$A,'Pokemon Editor'!$H:$H,0)+31+FLOOR(XLOOKUP($Q1024,'Threshold Summary'!$Y:$Y,'Threshold Summary'!$R:$R,"")/4))*XLOOKUP($Q1024,'Threshold Summary'!$Y:$Y,'Threshold Summary'!$L:$L,""))/100)+5)*XLOOKUP(XLOOKUP($Q1024,'Threshold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Editor'!$E:$E,1))),stab,IF(OR(mtype=XLOOKUP(XLOOKUP($Q1024,'Threshold Summary'!$Y:$Y,'Threshold Summary'!$K:$K,""),'Pokemon Editor'!$A:$A,'Pokemon Editor'!$C:$C,""),mtype=XLOOKUP(XLOOKUP($Q1024,'Threshold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Chart'!$B$1:$S$1,0)))),base,IF(OR(cat="Status",pow=0),0,FLOOR(FLOOR(FLOOR((2*XLOOKUP($Q1024,'Threshold Summary'!$Y:$Y,'Threshold Summary'!$L:$L,"")/5+2)*pow*atk/def)/50)+2)),modifier,stab*eff,FLOOR(base*modifier)),0)</f>
        <v/>
      </c>
      <c r="L1024" s="3">
        <f>IFERROR(LET(mtype,XLOOKUP($D1024,'Move Editor'!$B:$B,'Move Editor'!$C:$C,""),cat,XLOOKUP($D1024,'Move Editor'!$B:$B,'Move Editor'!$D:$D,""),pow,XLOOKUP($D1024,'Move Editor'!$B:$B,'Move Editor'!$E:$E,0),acc,XLOOKUP($D1024,'Move Editor'!$B:$B,'Move Editor'!$F:$F,100),atk,IF(cat="Physical",FLOOR((FLOOR(((2*XLOOKUP(XLOOKUP($Q1024,'Threshold Summary'!$Y:$Y,'Threshold Summary'!$K:$K,""),'Pokemon Editor'!$A:$A,'Pokemon Editor'!$F:$F,0)+31+FLOOR(XLOOKUP($Q1024,'Threshold Summary'!$Y:$Y,'Threshold Summary'!$P:$P,"")/4))*XLOOKUP($Q1024,'Threshold Summary'!$Y:$Y,'Threshold Summary'!$L:$L,""))/100)+5)*XLOOKUP(XLOOKUP($Q1024,'Threshold Summary'!$Y:$Y,'Threshold Summary'!$M:$M,""),'Nature Editor'!$A:$A,'Nature Editor'!$B:$B,1)),FLOOR((FLOOR(((2*XLOOKUP(XLOOKUP($Q1024,'Threshold Summary'!$Y:$Y,'Threshold Summary'!$K:$K,""),'Pokemon Editor'!$A:$A,'Pokemon Editor'!$H:$H,0)+31+FLOOR(XLOOKUP($Q1024,'Threshold Summary'!$Y:$Y,'Threshold Summary'!$R:$R,"")/4))*XLOOKUP($Q1024,'Threshold Summary'!$Y:$Y,'Threshold Summary'!$L:$L,""))/100)+5)*XLOOKUP(XLOOKUP($Q1024,'Threshold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Editor'!$E:$E,1))),stab,IF(OR(mtype=XLOOKUP(XLOOKUP($Q1024,'Threshold Summary'!$Y:$Y,'Threshold Summary'!$K:$K,""),'Pokemon Editor'!$A:$A,'Pokemon Editor'!$C:$C,""),mtype=XLOOKUP(XLOOKUP($Q1024,'Threshold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Chart'!$B$1:$S$1,0)))),base,IF(OR(cat="Status",pow=0),0,FLOOR(FLOOR(FLOOR((2*XLOOKUP($Q1024,'Threshold Summary'!$Y:$Y,'Threshold Summary'!$L:$L,"")/5+2)*pow*atk/def)/50)+2)),modifier,stab*eff,AVERAGE(ARRAYFORMULA(FLOOR(base*modifier*SEQUENCE(16,1,85,1)/100)))),0)</f>
        <v/>
      </c>
      <c r="M1024" s="3">
        <f>IFERROR(LET(mtype,XLOOKUP($D1024,'Move Editor'!$B:$B,'Move Editor'!$C:$C,""),cat,XLOOKUP($D1024,'Move Editor'!$B:$B,'Move Editor'!$D:$D,""),pow,XLOOKUP($D1024,'Move Editor'!$B:$B,'Move Editor'!$E:$E,0),acc,XLOOKUP($D1024,'Move Editor'!$B:$B,'Move Editor'!$F:$F,100),atk,IF(cat="Physical",FLOOR((FLOOR(((2*XLOOKUP(XLOOKUP($Q1024,'Threshold Summary'!$Y:$Y,'Threshold Summary'!$K:$K,""),'Pokemon Editor'!$A:$A,'Pokemon Editor'!$F:$F,0)+31+FLOOR(XLOOKUP($Q1024,'Threshold Summary'!$Y:$Y,'Threshold Summary'!$P:$P,"")/4))*XLOOKUP($Q1024,'Threshold Summary'!$Y:$Y,'Threshold Summary'!$L:$L,""))/100)+5)*XLOOKUP(XLOOKUP($Q1024,'Threshold Summary'!$Y:$Y,'Threshold Summary'!$M:$M,""),'Nature Editor'!$A:$A,'Nature Editor'!$B:$B,1)),FLOOR((FLOOR(((2*XLOOKUP(XLOOKUP($Q1024,'Threshold Summary'!$Y:$Y,'Threshold Summary'!$K:$K,""),'Pokemon Editor'!$A:$A,'Pokemon Editor'!$H:$H,0)+31+FLOOR(XLOOKUP($Q1024,'Threshold Summary'!$Y:$Y,'Threshold Summary'!$R:$R,"")/4))*XLOOKUP($Q1024,'Threshold Summary'!$Y:$Y,'Threshold Summary'!$L:$L,""))/100)+5)*XLOOKUP(XLOOKUP($Q1024,'Threshold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Editor'!$E:$E,1))),stab,IF(OR(mtype=XLOOKUP(XLOOKUP($Q1024,'Threshold Summary'!$Y:$Y,'Threshold Summary'!$K:$K,""),'Pokemon Editor'!$A:$A,'Pokemon Editor'!$C:$C,""),mtype=XLOOKUP(XLOOKUP($Q1024,'Threshold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Chart'!$B$1:$S$1,0)))),base,IF(OR(cat="Status",pow=0),0,FLOOR(FLOOR(FLOOR((2*XLOOKUP($Q1024,'Threshold Summary'!$Y:$Y,'Threshold Summary'!$L:$L,"")/5+2)*pow*atk/def)/50)+2)),modifier,stab*eff,AVERAGE(ARRAYFORMULA(FLOOR(base*modifier*SEQUENCE(16,1,85,1)/100)))*MIN(1,acc/100)),0)</f>
        <v/>
      </c>
      <c r="N1024" s="4">
        <f>IFERROR(LET(mtype,XLOOKUP($D1024,'Move Editor'!$B:$B,'Move Editor'!$C:$C,""),cat,XLOOKUP($D1024,'Move Editor'!$B:$B,'Move Editor'!$D:$D,""),pow,XLOOKUP($D1024,'Move Editor'!$B:$B,'Move Editor'!$E:$E,0),acc,XLOOKUP($D1024,'Move Editor'!$B:$B,'Move Editor'!$F:$F,100),atk,IF(cat="Physical",FLOOR((FLOOR(((2*XLOOKUP(XLOOKUP($Q1024,'Threshold Summary'!$Y:$Y,'Threshold Summary'!$K:$K,""),'Pokemon Editor'!$A:$A,'Pokemon Editor'!$F:$F,0)+31+FLOOR(XLOOKUP($Q1024,'Threshold Summary'!$Y:$Y,'Threshold Summary'!$P:$P,"")/4))*XLOOKUP($Q1024,'Threshold Summary'!$Y:$Y,'Threshold Summary'!$L:$L,""))/100)+5)*XLOOKUP(XLOOKUP($Q1024,'Threshold Summary'!$Y:$Y,'Threshold Summary'!$M:$M,""),'Nature Editor'!$A:$A,'Nature Editor'!$B:$B,1)),FLOOR((FLOOR(((2*XLOOKUP(XLOOKUP($Q1024,'Threshold Summary'!$Y:$Y,'Threshold Summary'!$K:$K,""),'Pokemon Editor'!$A:$A,'Pokemon Editor'!$H:$H,0)+31+FLOOR(XLOOKUP($Q1024,'Threshold Summary'!$Y:$Y,'Threshold Summary'!$R:$R,"")/4))*XLOOKUP($Q1024,'Threshold Summary'!$Y:$Y,'Threshold Summary'!$L:$L,""))/100)+5)*XLOOKUP(XLOOKUP($Q1024,'Threshold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Editor'!$E:$E,1))),stab,IF(OR(mtype=XLOOKUP(XLOOKUP($Q1024,'Threshold Summary'!$Y:$Y,'Threshold Summary'!$K:$K,""),'Pokemon Editor'!$A:$A,'Pokemon Editor'!$C:$C,""),mtype=XLOOKUP(XLOOKUP($Q1024,'Threshold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Chart'!$B$1:$S$1,0)))),base,IF(OR(cat="Status",pow=0),0,FLOOR(FLOOR(FLOOR((2*XLOOKUP($Q1024,'Threshold Summary'!$Y:$Y,'Threshold Summary'!$L:$L,"")/5+2)*pow*atk/def)/50)+2)),modifier,stab*eff,AVERAGE(ARRAYFORMULA(FLOOR(base*modifier*SEQUENCE(16,1,85,1)/100)))/(FLOOR(((2*XLOOKUP('Boss Editor'!$C$4,'Pokemon Editor'!$A:$A,'Pokemon Editor'!$E:$E,0)+31+FLOOR('Boss Editor'!$G$4/4))*'Boss Editor'!$D$4)/100)+'Boss Editor'!$D$4+10)),0)</f>
        <v/>
      </c>
      <c r="O1024" s="3">
        <f>IF(N1024&gt;=1,"OHKO",IF(N1024&gt;=0.5,"2HKO",IF(N1024&gt;=0.333,"3HKO",IF(N1024&gt;=0.25,"4HKO","5HKO+"))))</f>
        <v/>
      </c>
      <c r="P1024" s="3" t="inlineStr">
        <is>
          <t>Live from editable databases</t>
        </is>
      </c>
      <c r="Q1024" s="3" t="inlineStr">
        <is>
          <t>SPECIES_TINKATINK</t>
        </is>
      </c>
      <c r="R1024" s="3" t="n">
        <v>31</v>
      </c>
    </row>
    <row r="1025">
      <c r="A1025" s="3">
        <f>XLOOKUP($Q1025,'Threshold Summary'!$Y:$Y,'Threshold Summary'!$A:$A,"")</f>
        <v/>
      </c>
      <c r="B1025" s="3">
        <f>XLOOKUP($Q1025,'Threshold Summary'!$Y:$Y,'Threshold Summary'!$M:$M,"")</f>
        <v/>
      </c>
      <c r="C1025" s="3">
        <f>XLOOKUP($Q1025,'Threshold Summary'!$Y:$Y,'Threshold Summary'!$N:$N,"")</f>
        <v/>
      </c>
      <c r="D1025" s="3">
        <f>IFERROR(INDEX(FILTER('Learnset Editor'!$D$2:$D,'Learnset Editor'!$A$2:$A=XLOOKUP($Q1025,'Threshold Summary'!$Y:$Y,'Threshold Summary'!$K:$K,""),'Learnset Editor'!$C$2:$C&lt;=XLOOKUP($Q1025,'Threshold Summary'!$Y:$Y,'Threshold Summary'!$L:$L,"")),$R1025),"")</f>
        <v/>
      </c>
      <c r="E1025" s="3">
        <f>XLOOKUP(D1025,'Move Editor'!$B:$B,'Move Editor'!$C:$C,"")</f>
        <v/>
      </c>
      <c r="F1025" s="3">
        <f>XLOOKUP(D1025,'Move Editor'!$B:$B,'Move Editor'!$D:$D,"")</f>
        <v/>
      </c>
      <c r="G1025" s="3">
        <f>XLOOKUP(D1025,'Move Editor'!$B:$B,'Move Editor'!$E:$E,0)</f>
        <v/>
      </c>
      <c r="H1025" s="3">
        <f>XLOOKUP(D1025,'Move Editor'!$B:$B,'Move Editor'!$F:$F,0)</f>
        <v/>
      </c>
      <c r="I1025" s="3">
        <f>(INDEX('Type Chart'!$B:$S,MATCH(E1025,'Type Chart'!$A:$A,0),MATCH(XLOOKUP('Boss Editor'!$C$4,'Pokemon Editor'!$A:$A,'Pokemon Editor'!$C:$C,""),'Type Chart'!$B$1:$S$1,0))*IF(XLOOKUP('Boss Editor'!$C$4,'Pokemon Editor'!$A:$A,'Pokemon Editor'!$D:$D,"")="",1,INDEX('Type Chart'!$B:$S,MATCH(E1025,'Type Chart'!$A:$A,0),MATCH(XLOOKUP('Boss Editor'!$C$4,'Pokemon Editor'!$A:$A,'Pokemon Editor'!$D:$D,""),'Type Chart'!$B$1:$S$1,0))))</f>
        <v/>
      </c>
      <c r="J1025" s="3">
        <f>IFERROR(LET(mtype,XLOOKUP($D1025,'Move Editor'!$B:$B,'Move Editor'!$C:$C,""),cat,XLOOKUP($D1025,'Move Editor'!$B:$B,'Move Editor'!$D:$D,""),pow,XLOOKUP($D1025,'Move Editor'!$B:$B,'Move Editor'!$E:$E,0),acc,XLOOKUP($D1025,'Move Editor'!$B:$B,'Move Editor'!$F:$F,100),atk,IF(cat="Physical",FLOOR((FLOOR(((2*XLOOKUP(XLOOKUP($Q1025,'Threshold Summary'!$Y:$Y,'Threshold Summary'!$K:$K,""),'Pokemon Editor'!$A:$A,'Pokemon Editor'!$F:$F,0)+31+FLOOR(XLOOKUP($Q1025,'Threshold Summary'!$Y:$Y,'Threshold Summary'!$P:$P,"")/4))*XLOOKUP($Q1025,'Threshold Summary'!$Y:$Y,'Threshold Summary'!$L:$L,""))/100)+5)*XLOOKUP(XLOOKUP($Q1025,'Threshold Summary'!$Y:$Y,'Threshold Summary'!$M:$M,""),'Nature Editor'!$A:$A,'Nature Editor'!$B:$B,1)),FLOOR((FLOOR(((2*XLOOKUP(XLOOKUP($Q1025,'Threshold Summary'!$Y:$Y,'Threshold Summary'!$K:$K,""),'Pokemon Editor'!$A:$A,'Pokemon Editor'!$H:$H,0)+31+FLOOR(XLOOKUP($Q1025,'Threshold Summary'!$Y:$Y,'Threshold Summary'!$R:$R,"")/4))*XLOOKUP($Q1025,'Threshold Summary'!$Y:$Y,'Threshold Summary'!$L:$L,""))/100)+5)*XLOOKUP(XLOOKUP($Q1025,'Threshold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Editor'!$E:$E,1))),stab,IF(OR(mtype=XLOOKUP(XLOOKUP($Q1025,'Threshold Summary'!$Y:$Y,'Threshold Summary'!$K:$K,""),'Pokemon Editor'!$A:$A,'Pokemon Editor'!$C:$C,""),mtype=XLOOKUP(XLOOKUP($Q1025,'Threshold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Chart'!$B$1:$S$1,0)))),base,IF(OR(cat="Status",pow=0),0,FLOOR(FLOOR(FLOOR((2*XLOOKUP($Q1025,'Threshold Summary'!$Y:$Y,'Threshold Summary'!$L:$L,"")/5+2)*pow*atk/def)/50)+2)),modifier,stab*eff,FLOOR(base*modifier*0.85)),0)</f>
        <v/>
      </c>
      <c r="K1025" s="3">
        <f>IFERROR(LET(mtype,XLOOKUP($D1025,'Move Editor'!$B:$B,'Move Editor'!$C:$C,""),cat,XLOOKUP($D1025,'Move Editor'!$B:$B,'Move Editor'!$D:$D,""),pow,XLOOKUP($D1025,'Move Editor'!$B:$B,'Move Editor'!$E:$E,0),acc,XLOOKUP($D1025,'Move Editor'!$B:$B,'Move Editor'!$F:$F,100),atk,IF(cat="Physical",FLOOR((FLOOR(((2*XLOOKUP(XLOOKUP($Q1025,'Threshold Summary'!$Y:$Y,'Threshold Summary'!$K:$K,""),'Pokemon Editor'!$A:$A,'Pokemon Editor'!$F:$F,0)+31+FLOOR(XLOOKUP($Q1025,'Threshold Summary'!$Y:$Y,'Threshold Summary'!$P:$P,"")/4))*XLOOKUP($Q1025,'Threshold Summary'!$Y:$Y,'Threshold Summary'!$L:$L,""))/100)+5)*XLOOKUP(XLOOKUP($Q1025,'Threshold Summary'!$Y:$Y,'Threshold Summary'!$M:$M,""),'Nature Editor'!$A:$A,'Nature Editor'!$B:$B,1)),FLOOR((FLOOR(((2*XLOOKUP(XLOOKUP($Q1025,'Threshold Summary'!$Y:$Y,'Threshold Summary'!$K:$K,""),'Pokemon Editor'!$A:$A,'Pokemon Editor'!$H:$H,0)+31+FLOOR(XLOOKUP($Q1025,'Threshold Summary'!$Y:$Y,'Threshold Summary'!$R:$R,"")/4))*XLOOKUP($Q1025,'Threshold Summary'!$Y:$Y,'Threshold Summary'!$L:$L,""))/100)+5)*XLOOKUP(XLOOKUP($Q1025,'Threshold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Editor'!$E:$E,1))),stab,IF(OR(mtype=XLOOKUP(XLOOKUP($Q1025,'Threshold Summary'!$Y:$Y,'Threshold Summary'!$K:$K,""),'Pokemon Editor'!$A:$A,'Pokemon Editor'!$C:$C,""),mtype=XLOOKUP(XLOOKUP($Q1025,'Threshold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Chart'!$B$1:$S$1,0)))),base,IF(OR(cat="Status",pow=0),0,FLOOR(FLOOR(FLOOR((2*XLOOKUP($Q1025,'Threshold Summary'!$Y:$Y,'Threshold Summary'!$L:$L,"")/5+2)*pow*atk/def)/50)+2)),modifier,stab*eff,FLOOR(base*modifier)),0)</f>
        <v/>
      </c>
      <c r="L1025" s="3">
        <f>IFERROR(LET(mtype,XLOOKUP($D1025,'Move Editor'!$B:$B,'Move Editor'!$C:$C,""),cat,XLOOKUP($D1025,'Move Editor'!$B:$B,'Move Editor'!$D:$D,""),pow,XLOOKUP($D1025,'Move Editor'!$B:$B,'Move Editor'!$E:$E,0),acc,XLOOKUP($D1025,'Move Editor'!$B:$B,'Move Editor'!$F:$F,100),atk,IF(cat="Physical",FLOOR((FLOOR(((2*XLOOKUP(XLOOKUP($Q1025,'Threshold Summary'!$Y:$Y,'Threshold Summary'!$K:$K,""),'Pokemon Editor'!$A:$A,'Pokemon Editor'!$F:$F,0)+31+FLOOR(XLOOKUP($Q1025,'Threshold Summary'!$Y:$Y,'Threshold Summary'!$P:$P,"")/4))*XLOOKUP($Q1025,'Threshold Summary'!$Y:$Y,'Threshold Summary'!$L:$L,""))/100)+5)*XLOOKUP(XLOOKUP($Q1025,'Threshold Summary'!$Y:$Y,'Threshold Summary'!$M:$M,""),'Nature Editor'!$A:$A,'Nature Editor'!$B:$B,1)),FLOOR((FLOOR(((2*XLOOKUP(XLOOKUP($Q1025,'Threshold Summary'!$Y:$Y,'Threshold Summary'!$K:$K,""),'Pokemon Editor'!$A:$A,'Pokemon Editor'!$H:$H,0)+31+FLOOR(XLOOKUP($Q1025,'Threshold Summary'!$Y:$Y,'Threshold Summary'!$R:$R,"")/4))*XLOOKUP($Q1025,'Threshold Summary'!$Y:$Y,'Threshold Summary'!$L:$L,""))/100)+5)*XLOOKUP(XLOOKUP($Q1025,'Threshold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Editor'!$E:$E,1))),stab,IF(OR(mtype=XLOOKUP(XLOOKUP($Q1025,'Threshold Summary'!$Y:$Y,'Threshold Summary'!$K:$K,""),'Pokemon Editor'!$A:$A,'Pokemon Editor'!$C:$C,""),mtype=XLOOKUP(XLOOKUP($Q1025,'Threshold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Chart'!$B$1:$S$1,0)))),base,IF(OR(cat="Status",pow=0),0,FLOOR(FLOOR(FLOOR((2*XLOOKUP($Q1025,'Threshold Summary'!$Y:$Y,'Threshold Summary'!$L:$L,"")/5+2)*pow*atk/def)/50)+2)),modifier,stab*eff,AVERAGE(ARRAYFORMULA(FLOOR(base*modifier*SEQUENCE(16,1,85,1)/100)))),0)</f>
        <v/>
      </c>
      <c r="M1025" s="3">
        <f>IFERROR(LET(mtype,XLOOKUP($D1025,'Move Editor'!$B:$B,'Move Editor'!$C:$C,""),cat,XLOOKUP($D1025,'Move Editor'!$B:$B,'Move Editor'!$D:$D,""),pow,XLOOKUP($D1025,'Move Editor'!$B:$B,'Move Editor'!$E:$E,0),acc,XLOOKUP($D1025,'Move Editor'!$B:$B,'Move Editor'!$F:$F,100),atk,IF(cat="Physical",FLOOR((FLOOR(((2*XLOOKUP(XLOOKUP($Q1025,'Threshold Summary'!$Y:$Y,'Threshold Summary'!$K:$K,""),'Pokemon Editor'!$A:$A,'Pokemon Editor'!$F:$F,0)+31+FLOOR(XLOOKUP($Q1025,'Threshold Summary'!$Y:$Y,'Threshold Summary'!$P:$P,"")/4))*XLOOKUP($Q1025,'Threshold Summary'!$Y:$Y,'Threshold Summary'!$L:$L,""))/100)+5)*XLOOKUP(XLOOKUP($Q1025,'Threshold Summary'!$Y:$Y,'Threshold Summary'!$M:$M,""),'Nature Editor'!$A:$A,'Nature Editor'!$B:$B,1)),FLOOR((FLOOR(((2*XLOOKUP(XLOOKUP($Q1025,'Threshold Summary'!$Y:$Y,'Threshold Summary'!$K:$K,""),'Pokemon Editor'!$A:$A,'Pokemon Editor'!$H:$H,0)+31+FLOOR(XLOOKUP($Q1025,'Threshold Summary'!$Y:$Y,'Threshold Summary'!$R:$R,"")/4))*XLOOKUP($Q1025,'Threshold Summary'!$Y:$Y,'Threshold Summary'!$L:$L,""))/100)+5)*XLOOKUP(XLOOKUP($Q1025,'Threshold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Editor'!$E:$E,1))),stab,IF(OR(mtype=XLOOKUP(XLOOKUP($Q1025,'Threshold Summary'!$Y:$Y,'Threshold Summary'!$K:$K,""),'Pokemon Editor'!$A:$A,'Pokemon Editor'!$C:$C,""),mtype=XLOOKUP(XLOOKUP($Q1025,'Threshold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Chart'!$B$1:$S$1,0)))),base,IF(OR(cat="Status",pow=0),0,FLOOR(FLOOR(FLOOR((2*XLOOKUP($Q1025,'Threshold Summary'!$Y:$Y,'Threshold Summary'!$L:$L,"")/5+2)*pow*atk/def)/50)+2)),modifier,stab*eff,AVERAGE(ARRAYFORMULA(FLOOR(base*modifier*SEQUENCE(16,1,85,1)/100)))*MIN(1,acc/100)),0)</f>
        <v/>
      </c>
      <c r="N1025" s="4">
        <f>IFERROR(LET(mtype,XLOOKUP($D1025,'Move Editor'!$B:$B,'Move Editor'!$C:$C,""),cat,XLOOKUP($D1025,'Move Editor'!$B:$B,'Move Editor'!$D:$D,""),pow,XLOOKUP($D1025,'Move Editor'!$B:$B,'Move Editor'!$E:$E,0),acc,XLOOKUP($D1025,'Move Editor'!$B:$B,'Move Editor'!$F:$F,100),atk,IF(cat="Physical",FLOOR((FLOOR(((2*XLOOKUP(XLOOKUP($Q1025,'Threshold Summary'!$Y:$Y,'Threshold Summary'!$K:$K,""),'Pokemon Editor'!$A:$A,'Pokemon Editor'!$F:$F,0)+31+FLOOR(XLOOKUP($Q1025,'Threshold Summary'!$Y:$Y,'Threshold Summary'!$P:$P,"")/4))*XLOOKUP($Q1025,'Threshold Summary'!$Y:$Y,'Threshold Summary'!$L:$L,""))/100)+5)*XLOOKUP(XLOOKUP($Q1025,'Threshold Summary'!$Y:$Y,'Threshold Summary'!$M:$M,""),'Nature Editor'!$A:$A,'Nature Editor'!$B:$B,1)),FLOOR((FLOOR(((2*XLOOKUP(XLOOKUP($Q1025,'Threshold Summary'!$Y:$Y,'Threshold Summary'!$K:$K,""),'Pokemon Editor'!$A:$A,'Pokemon Editor'!$H:$H,0)+31+FLOOR(XLOOKUP($Q1025,'Threshold Summary'!$Y:$Y,'Threshold Summary'!$R:$R,"")/4))*XLOOKUP($Q1025,'Threshold Summary'!$Y:$Y,'Threshold Summary'!$L:$L,""))/100)+5)*XLOOKUP(XLOOKUP($Q1025,'Threshold Summary'!$Y:$Y,'Threshold Summary'!$M:$M,""),'Nature Editor'!$A:$A,'Nature Editor'!$D:$D,1))),def,IF(cat="Physical",FLOOR((FLOOR(((2*XLOOKUP('Boss Editor'!$C$4,'Pokemon Editor'!$A:$A,'Pokemon Editor'!$G:$G,0)+31+FLOOR('Boss Editor'!$I$4/4))*'Boss Editor'!$D$4)/100)+5)*XLOOKUP('Boss Editor'!$E$4,'Nature Editor'!$A:$A,'Nature Editor'!$C:$C,1)),FLOOR((FLOOR(((2*XLOOKUP('Boss Editor'!$C$4,'Pokemon Editor'!$A:$A,'Pokemon Editor'!$I:$I,0)+31+FLOOR('Boss Editor'!$K$4/4))*'Boss Editor'!$D$4)/100)+5)*XLOOKUP('Boss Editor'!$E$4,'Nature Editor'!$A:$A,'Nature Editor'!$E:$E,1))),stab,IF(OR(mtype=XLOOKUP(XLOOKUP($Q1025,'Threshold Summary'!$Y:$Y,'Threshold Summary'!$K:$K,""),'Pokemon Editor'!$A:$A,'Pokemon Editor'!$C:$C,""),mtype=XLOOKUP(XLOOKUP($Q1025,'Threshold Summary'!$Y:$Y,'Threshold Summary'!$K:$K,""),'Pokemon Editor'!$A:$A,'Pokemon Editor'!$D:$D,"")),1.5,1),eff,(INDEX('Type Chart'!$B:$S,MATCH(mtype,'Type Chart'!$A:$A,0),MATCH(XLOOKUP('Boss Editor'!$C$4,'Pokemon Editor'!$A:$A,'Pokemon Editor'!$C:$C,""),'Type Chart'!$B$1:$S$1,0))*IF(XLOOKUP('Boss Editor'!$C$4,'Pokemon Editor'!$A:$A,'Pokemon Editor'!$D:$D,"")="",1,INDEX('Type Chart'!$B:$S,MATCH(mtype,'Type Chart'!$A:$A,0),MATCH(XLOOKUP('Boss Editor'!$C$4,'Pokemon Editor'!$A:$A,'Pokemon Editor'!$D:$D,""),'Type Chart'!$B$1:$S$1,0)))),base,IF(OR(cat="Status",pow=0),0,FLOOR(FLOOR(FLOOR((2*XLOOKUP($Q1025,'Threshold Summary'!$Y:$Y,'Threshold Summary'!$L:$L,"")/5+2)*pow*atk/def)/50)+2)),modifier,stab*eff,AVERAGE(ARRAYFORMULA(FLOOR(base*modifier*SEQUENCE(16,1,85,1)/100)))/(FLOOR(((2*XLOOKUP('Boss Editor'!$C$4,'Pokemon Editor'!$A:$A,'Pokemon Editor'!$E:$E,0)+31+FLOOR('Boss Editor'!$G$4/4))*'Boss Editor'!$D$4)/100)+'Boss Editor'!$D$4+10)),0)</f>
        <v/>
      </c>
      <c r="O1025" s="3">
        <f>IF(N1025&gt;=1,"OHKO",IF(N1025&gt;=0.5,"2HKO",IF(N1025&gt;=0.333,"3HKO",IF(N1025&gt;=0.25,"4HKO","5HKO+"))))</f>
        <v/>
      </c>
      <c r="P1025" s="3" t="inlineStr">
        <is>
          <t>Live from editable databases</t>
        </is>
      </c>
      <c r="Q1025" s="3" t="inlineStr">
        <is>
          <t>SPECIES_TINKATINK</t>
        </is>
      </c>
      <c r="R1025" s="3" t="n">
        <v>32</v>
      </c>
    </row>
  </sheetData>
  <autoFilter ref="A1:R1025"/>
  <conditionalFormatting sqref="N2:N1025">
    <cfRule type="colorScale" priority="1">
      <colorScale>
        <cfvo type="min"/>
        <cfvo type="percentile" val="50"/>
        <cfvo type="max"/>
        <color rgb="0063BE7B"/>
        <color rgb="00FFEB84"/>
        <color rgb="00F8696B"/>
      </colorScale>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97"/>
  <sheetViews>
    <sheetView showGridLines="0" workbookViewId="0">
      <pane ySplit="1" topLeftCell="A2" activePane="bottomLeft" state="frozen"/>
      <selection pane="bottomLeft" activeCell="A1" sqref="A1"/>
    </sheetView>
  </sheetViews>
  <sheetFormatPr baseColWidth="8" defaultRowHeight="15"/>
  <cols>
    <col width="42" customWidth="1" min="1" max="1"/>
    <col width="14"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20" customWidth="1" min="11" max="11"/>
    <col width="18" customWidth="1" min="12" max="12"/>
  </cols>
  <sheetData>
    <row r="1" ht="32" customHeight="1">
      <c r="A1" s="1" t="inlineStr">
        <is>
          <t>Player Pokémon</t>
        </is>
      </c>
      <c r="B1" s="1" t="inlineStr">
        <is>
          <t>Boss Pokémon</t>
        </is>
      </c>
      <c r="C1" s="1" t="inlineStr">
        <is>
          <t>Boss level</t>
        </is>
      </c>
      <c r="D1" s="1" t="inlineStr">
        <is>
          <t>Best move</t>
        </is>
      </c>
      <c r="E1" s="1" t="inlineStr">
        <is>
          <t>Type</t>
        </is>
      </c>
      <c r="F1" s="1" t="inlineStr">
        <is>
          <t>Min damage</t>
        </is>
      </c>
      <c r="G1" s="1" t="inlineStr">
        <is>
          <t>Max damage</t>
        </is>
      </c>
      <c r="H1" s="1" t="inlineStr">
        <is>
          <t>Average damage</t>
        </is>
      </c>
      <c r="I1" s="1" t="inlineStr">
        <is>
          <t>Average % HP</t>
        </is>
      </c>
      <c r="J1" s="1" t="inlineStr">
        <is>
          <t>KO threshold</t>
        </is>
      </c>
      <c r="K1" s="1" t="inlineStr">
        <is>
          <t>Player Species ID</t>
        </is>
      </c>
      <c r="L1" s="1" t="inlineStr">
        <is>
          <t>Boss Species ID</t>
        </is>
      </c>
    </row>
    <row r="2">
      <c r="A2" s="3">
        <f>XLOOKUP($K2,'Threshold Summary'!$Y:$Y,'Threshold Summary'!$A:$A,"")</f>
        <v/>
      </c>
      <c r="B2" s="3" t="inlineStr">
        <is>
          <t>Tirtouga</t>
        </is>
      </c>
      <c r="C2" s="3">
        <f>XLOOKUP($L2,'Boss Editor'!$C:$C,'Boss Editor'!$D:$D,"")</f>
        <v/>
      </c>
      <c r="D2" s="3">
        <f>XLOOKUP($K2,'Threshold Summary'!$Y:$Y,'Threshold Summary'!$B:$B,"")</f>
        <v/>
      </c>
      <c r="E2" s="3">
        <f>XLOOKUP(D2,'Move Editor'!$B:$B,'Move Editor'!$C:$C,"")</f>
        <v/>
      </c>
      <c r="F2" s="3">
        <f>IFERROR(LET(mtype,XLOOKUP($D2,'Move Editor'!$B:$B,'Move Editor'!$C:$C,""),cat,XLOOKUP($D2,'Move Editor'!$B:$B,'Move Editor'!$D:$D,""),pow,XLOOKUP($D2,'Move Editor'!$B:$B,'Move Editor'!$E:$E,0),acc,XLOOKUP($D2,'Move Editor'!$B:$B,'Move Editor'!$F:$F,100),atk,IF(cat="Physical",FLOOR((FLOOR(((2*XLOOKUP(XLOOKUP($K2,'Threshold Summary'!$Y:$Y,'Threshold Summary'!$K:$K,""),'Pokemon Editor'!$A:$A,'Pokemon Editor'!$F:$F,0)+31+FLOOR(XLOOKUP($K2,'Threshold Summary'!$Y:$Y,'Threshold Summary'!$P:$P,"")/4))*XLOOKUP($K2,'Threshold Summary'!$Y:$Y,'Threshold Summary'!$L:$L,""))/100)+5)*XLOOKUP(XLOOKUP($K2,'Threshold Summary'!$Y:$Y,'Threshold Summary'!$M:$M,""),'Nature Editor'!$A:$A,'Nature Editor'!$B:$B,1)),FLOOR((FLOOR(((2*XLOOKUP(XLOOKUP($K2,'Threshold Summary'!$Y:$Y,'Threshold Summary'!$K:$K,""),'Pokemon Editor'!$A:$A,'Pokemon Editor'!$H:$H,0)+31+FLOOR(XLOOKUP($K2,'Threshold Summary'!$Y:$Y,'Threshold Summary'!$R:$R,"")/4))*XLOOKUP($K2,'Threshold Summary'!$Y:$Y,'Threshold Summary'!$L:$L,""))/100)+5)*XLOOKUP(XLOOKUP($K2,'Threshold Summary'!$Y:$Y,'Threshold Summary'!$M:$M,""),'Nature Editor'!$A:$A,'Nature Editor'!$D:$D,1))),def,IF(cat="Physical",FLOOR((FLOOR(((2*XLOOKUP($L2,'Pokemon Editor'!$A:$A,'Pokemon Editor'!$G:$G,0)+31+FLOOR(XLOOKUP($L2,'Boss Editor'!$C:$C,'Boss Editor'!$I:$I,"")/4))*XLOOKUP($L2,'Boss Editor'!$C:$C,'Boss Editor'!$D:$D,""))/100)+5)*XLOOKUP(XLOOKUP($L2,'Boss Editor'!$C:$C,'Boss Editor'!$E:$E,""),'Nature Editor'!$A:$A,'Nature Editor'!$C:$C,1)),FLOOR((FLOOR(((2*XLOOKUP($L2,'Pokemon Editor'!$A:$A,'Pokemon Editor'!$I:$I,0)+31+FLOOR(XLOOKUP($L2,'Boss Editor'!$C:$C,'Boss Editor'!$K:$K,"")/4))*XLOOKUP($L2,'Boss Editor'!$C:$C,'Boss Editor'!$D:$D,""))/100)+5)*XLOOKUP(XLOOKUP($L2,'Boss Editor'!$C:$C,'Boss Editor'!$E:$E,""),'Nature Editor'!$A:$A,'Nature Editor'!$E:$E,1))),stab,IF(OR(mtype=XLOOKUP(XLOOKUP($K2,'Threshold Summary'!$Y:$Y,'Threshold Summary'!$K:$K,""),'Pokemon Editor'!$A:$A,'Pokemon Editor'!$C:$C,""),mtype=XLOOKUP(XLOOKUP($K2,'Threshold Summary'!$Y:$Y,'Threshold Summary'!$K:$K,""),'Pokemon Editor'!$A:$A,'Pokemon Editor'!$D:$D,"")),1.5,1),eff,(INDEX('Type Chart'!$B:$S,MATCH(mtype,'Type Chart'!$A:$A,0),MATCH(XLOOKUP($L2,'Pokemon Editor'!$A:$A,'Pokemon Editor'!$C:$C,""),'Type Chart'!$B$1:$S$1,0))*IF(XLOOKUP($L2,'Pokemon Editor'!$A:$A,'Pokemon Editor'!$D:$D,"")="",1,INDEX('Type Chart'!$B:$S,MATCH(mtype,'Type Chart'!$A:$A,0),MATCH(XLOOKUP($L2,'Pokemon Editor'!$A:$A,'Pokemon Editor'!$D:$D,""),'Type Chart'!$B$1:$S$1,0)))),base,IF(OR(cat="Status",pow=0),0,FLOOR(FLOOR(FLOOR((2*XLOOKUP($K2,'Threshold Summary'!$Y:$Y,'Threshold Summary'!$L:$L,"")/5+2)*pow*atk/def)/50)+2)),modifier,stab*eff,FLOOR(base*modifier*0.85)),0)</f>
        <v/>
      </c>
      <c r="G2" s="3">
        <f>IFERROR(LET(mtype,XLOOKUP($D2,'Move Editor'!$B:$B,'Move Editor'!$C:$C,""),cat,XLOOKUP($D2,'Move Editor'!$B:$B,'Move Editor'!$D:$D,""),pow,XLOOKUP($D2,'Move Editor'!$B:$B,'Move Editor'!$E:$E,0),acc,XLOOKUP($D2,'Move Editor'!$B:$B,'Move Editor'!$F:$F,100),atk,IF(cat="Physical",FLOOR((FLOOR(((2*XLOOKUP(XLOOKUP($K2,'Threshold Summary'!$Y:$Y,'Threshold Summary'!$K:$K,""),'Pokemon Editor'!$A:$A,'Pokemon Editor'!$F:$F,0)+31+FLOOR(XLOOKUP($K2,'Threshold Summary'!$Y:$Y,'Threshold Summary'!$P:$P,"")/4))*XLOOKUP($K2,'Threshold Summary'!$Y:$Y,'Threshold Summary'!$L:$L,""))/100)+5)*XLOOKUP(XLOOKUP($K2,'Threshold Summary'!$Y:$Y,'Threshold Summary'!$M:$M,""),'Nature Editor'!$A:$A,'Nature Editor'!$B:$B,1)),FLOOR((FLOOR(((2*XLOOKUP(XLOOKUP($K2,'Threshold Summary'!$Y:$Y,'Threshold Summary'!$K:$K,""),'Pokemon Editor'!$A:$A,'Pokemon Editor'!$H:$H,0)+31+FLOOR(XLOOKUP($K2,'Threshold Summary'!$Y:$Y,'Threshold Summary'!$R:$R,"")/4))*XLOOKUP($K2,'Threshold Summary'!$Y:$Y,'Threshold Summary'!$L:$L,""))/100)+5)*XLOOKUP(XLOOKUP($K2,'Threshold Summary'!$Y:$Y,'Threshold Summary'!$M:$M,""),'Nature Editor'!$A:$A,'Nature Editor'!$D:$D,1))),def,IF(cat="Physical",FLOOR((FLOOR(((2*XLOOKUP($L2,'Pokemon Editor'!$A:$A,'Pokemon Editor'!$G:$G,0)+31+FLOOR(XLOOKUP($L2,'Boss Editor'!$C:$C,'Boss Editor'!$I:$I,"")/4))*XLOOKUP($L2,'Boss Editor'!$C:$C,'Boss Editor'!$D:$D,""))/100)+5)*XLOOKUP(XLOOKUP($L2,'Boss Editor'!$C:$C,'Boss Editor'!$E:$E,""),'Nature Editor'!$A:$A,'Nature Editor'!$C:$C,1)),FLOOR((FLOOR(((2*XLOOKUP($L2,'Pokemon Editor'!$A:$A,'Pokemon Editor'!$I:$I,0)+31+FLOOR(XLOOKUP($L2,'Boss Editor'!$C:$C,'Boss Editor'!$K:$K,"")/4))*XLOOKUP($L2,'Boss Editor'!$C:$C,'Boss Editor'!$D:$D,""))/100)+5)*XLOOKUP(XLOOKUP($L2,'Boss Editor'!$C:$C,'Boss Editor'!$E:$E,""),'Nature Editor'!$A:$A,'Nature Editor'!$E:$E,1))),stab,IF(OR(mtype=XLOOKUP(XLOOKUP($K2,'Threshold Summary'!$Y:$Y,'Threshold Summary'!$K:$K,""),'Pokemon Editor'!$A:$A,'Pokemon Editor'!$C:$C,""),mtype=XLOOKUP(XLOOKUP($K2,'Threshold Summary'!$Y:$Y,'Threshold Summary'!$K:$K,""),'Pokemon Editor'!$A:$A,'Pokemon Editor'!$D:$D,"")),1.5,1),eff,(INDEX('Type Chart'!$B:$S,MATCH(mtype,'Type Chart'!$A:$A,0),MATCH(XLOOKUP($L2,'Pokemon Editor'!$A:$A,'Pokemon Editor'!$C:$C,""),'Type Chart'!$B$1:$S$1,0))*IF(XLOOKUP($L2,'Pokemon Editor'!$A:$A,'Pokemon Editor'!$D:$D,"")="",1,INDEX('Type Chart'!$B:$S,MATCH(mtype,'Type Chart'!$A:$A,0),MATCH(XLOOKUP($L2,'Pokemon Editor'!$A:$A,'Pokemon Editor'!$D:$D,""),'Type Chart'!$B$1:$S$1,0)))),base,IF(OR(cat="Status",pow=0),0,FLOOR(FLOOR(FLOOR((2*XLOOKUP($K2,'Threshold Summary'!$Y:$Y,'Threshold Summary'!$L:$L,"")/5+2)*pow*atk/def)/50)+2)),modifier,stab*eff,FLOOR(base*modifier)),0)</f>
        <v/>
      </c>
      <c r="H2" s="3">
        <f>IFERROR(LET(mtype,XLOOKUP($D2,'Move Editor'!$B:$B,'Move Editor'!$C:$C,""),cat,XLOOKUP($D2,'Move Editor'!$B:$B,'Move Editor'!$D:$D,""),pow,XLOOKUP($D2,'Move Editor'!$B:$B,'Move Editor'!$E:$E,0),acc,XLOOKUP($D2,'Move Editor'!$B:$B,'Move Editor'!$F:$F,100),atk,IF(cat="Physical",FLOOR((FLOOR(((2*XLOOKUP(XLOOKUP($K2,'Threshold Summary'!$Y:$Y,'Threshold Summary'!$K:$K,""),'Pokemon Editor'!$A:$A,'Pokemon Editor'!$F:$F,0)+31+FLOOR(XLOOKUP($K2,'Threshold Summary'!$Y:$Y,'Threshold Summary'!$P:$P,"")/4))*XLOOKUP($K2,'Threshold Summary'!$Y:$Y,'Threshold Summary'!$L:$L,""))/100)+5)*XLOOKUP(XLOOKUP($K2,'Threshold Summary'!$Y:$Y,'Threshold Summary'!$M:$M,""),'Nature Editor'!$A:$A,'Nature Editor'!$B:$B,1)),FLOOR((FLOOR(((2*XLOOKUP(XLOOKUP($K2,'Threshold Summary'!$Y:$Y,'Threshold Summary'!$K:$K,""),'Pokemon Editor'!$A:$A,'Pokemon Editor'!$H:$H,0)+31+FLOOR(XLOOKUP($K2,'Threshold Summary'!$Y:$Y,'Threshold Summary'!$R:$R,"")/4))*XLOOKUP($K2,'Threshold Summary'!$Y:$Y,'Threshold Summary'!$L:$L,""))/100)+5)*XLOOKUP(XLOOKUP($K2,'Threshold Summary'!$Y:$Y,'Threshold Summary'!$M:$M,""),'Nature Editor'!$A:$A,'Nature Editor'!$D:$D,1))),def,IF(cat="Physical",FLOOR((FLOOR(((2*XLOOKUP($L2,'Pokemon Editor'!$A:$A,'Pokemon Editor'!$G:$G,0)+31+FLOOR(XLOOKUP($L2,'Boss Editor'!$C:$C,'Boss Editor'!$I:$I,"")/4))*XLOOKUP($L2,'Boss Editor'!$C:$C,'Boss Editor'!$D:$D,""))/100)+5)*XLOOKUP(XLOOKUP($L2,'Boss Editor'!$C:$C,'Boss Editor'!$E:$E,""),'Nature Editor'!$A:$A,'Nature Editor'!$C:$C,1)),FLOOR((FLOOR(((2*XLOOKUP($L2,'Pokemon Editor'!$A:$A,'Pokemon Editor'!$I:$I,0)+31+FLOOR(XLOOKUP($L2,'Boss Editor'!$C:$C,'Boss Editor'!$K:$K,"")/4))*XLOOKUP($L2,'Boss Editor'!$C:$C,'Boss Editor'!$D:$D,""))/100)+5)*XLOOKUP(XLOOKUP($L2,'Boss Editor'!$C:$C,'Boss Editor'!$E:$E,""),'Nature Editor'!$A:$A,'Nature Editor'!$E:$E,1))),stab,IF(OR(mtype=XLOOKUP(XLOOKUP($K2,'Threshold Summary'!$Y:$Y,'Threshold Summary'!$K:$K,""),'Pokemon Editor'!$A:$A,'Pokemon Editor'!$C:$C,""),mtype=XLOOKUP(XLOOKUP($K2,'Threshold Summary'!$Y:$Y,'Threshold Summary'!$K:$K,""),'Pokemon Editor'!$A:$A,'Pokemon Editor'!$D:$D,"")),1.5,1),eff,(INDEX('Type Chart'!$B:$S,MATCH(mtype,'Type Chart'!$A:$A,0),MATCH(XLOOKUP($L2,'Pokemon Editor'!$A:$A,'Pokemon Editor'!$C:$C,""),'Type Chart'!$B$1:$S$1,0))*IF(XLOOKUP($L2,'Pokemon Editor'!$A:$A,'Pokemon Editor'!$D:$D,"")="",1,INDEX('Type Chart'!$B:$S,MATCH(mtype,'Type Chart'!$A:$A,0),MATCH(XLOOKUP($L2,'Pokemon Editor'!$A:$A,'Pokemon Editor'!$D:$D,""),'Type Chart'!$B$1:$S$1,0)))),base,IF(OR(cat="Status",pow=0),0,FLOOR(FLOOR(FLOOR((2*XLOOKUP($K2,'Threshold Summary'!$Y:$Y,'Threshold Summary'!$L:$L,"")/5+2)*pow*atk/def)/50)+2)),modifier,stab*eff,AVERAGE(ARRAYFORMULA(FLOOR(base*modifier*SEQUENCE(16,1,85,1)/100)))),0)</f>
        <v/>
      </c>
      <c r="I2" s="4">
        <f>IFERROR(LET(mtype,XLOOKUP($D2,'Move Editor'!$B:$B,'Move Editor'!$C:$C,""),cat,XLOOKUP($D2,'Move Editor'!$B:$B,'Move Editor'!$D:$D,""),pow,XLOOKUP($D2,'Move Editor'!$B:$B,'Move Editor'!$E:$E,0),acc,XLOOKUP($D2,'Move Editor'!$B:$B,'Move Editor'!$F:$F,100),atk,IF(cat="Physical",FLOOR((FLOOR(((2*XLOOKUP(XLOOKUP($K2,'Threshold Summary'!$Y:$Y,'Threshold Summary'!$K:$K,""),'Pokemon Editor'!$A:$A,'Pokemon Editor'!$F:$F,0)+31+FLOOR(XLOOKUP($K2,'Threshold Summary'!$Y:$Y,'Threshold Summary'!$P:$P,"")/4))*XLOOKUP($K2,'Threshold Summary'!$Y:$Y,'Threshold Summary'!$L:$L,""))/100)+5)*XLOOKUP(XLOOKUP($K2,'Threshold Summary'!$Y:$Y,'Threshold Summary'!$M:$M,""),'Nature Editor'!$A:$A,'Nature Editor'!$B:$B,1)),FLOOR((FLOOR(((2*XLOOKUP(XLOOKUP($K2,'Threshold Summary'!$Y:$Y,'Threshold Summary'!$K:$K,""),'Pokemon Editor'!$A:$A,'Pokemon Editor'!$H:$H,0)+31+FLOOR(XLOOKUP($K2,'Threshold Summary'!$Y:$Y,'Threshold Summary'!$R:$R,"")/4))*XLOOKUP($K2,'Threshold Summary'!$Y:$Y,'Threshold Summary'!$L:$L,""))/100)+5)*XLOOKUP(XLOOKUP($K2,'Threshold Summary'!$Y:$Y,'Threshold Summary'!$M:$M,""),'Nature Editor'!$A:$A,'Nature Editor'!$D:$D,1))),def,IF(cat="Physical",FLOOR((FLOOR(((2*XLOOKUP($L2,'Pokemon Editor'!$A:$A,'Pokemon Editor'!$G:$G,0)+31+FLOOR(XLOOKUP($L2,'Boss Editor'!$C:$C,'Boss Editor'!$I:$I,"")/4))*XLOOKUP($L2,'Boss Editor'!$C:$C,'Boss Editor'!$D:$D,""))/100)+5)*XLOOKUP(XLOOKUP($L2,'Boss Editor'!$C:$C,'Boss Editor'!$E:$E,""),'Nature Editor'!$A:$A,'Nature Editor'!$C:$C,1)),FLOOR((FLOOR(((2*XLOOKUP($L2,'Pokemon Editor'!$A:$A,'Pokemon Editor'!$I:$I,0)+31+FLOOR(XLOOKUP($L2,'Boss Editor'!$C:$C,'Boss Editor'!$K:$K,"")/4))*XLOOKUP($L2,'Boss Editor'!$C:$C,'Boss Editor'!$D:$D,""))/100)+5)*XLOOKUP(XLOOKUP($L2,'Boss Editor'!$C:$C,'Boss Editor'!$E:$E,""),'Nature Editor'!$A:$A,'Nature Editor'!$E:$E,1))),stab,IF(OR(mtype=XLOOKUP(XLOOKUP($K2,'Threshold Summary'!$Y:$Y,'Threshold Summary'!$K:$K,""),'Pokemon Editor'!$A:$A,'Pokemon Editor'!$C:$C,""),mtype=XLOOKUP(XLOOKUP($K2,'Threshold Summary'!$Y:$Y,'Threshold Summary'!$K:$K,""),'Pokemon Editor'!$A:$A,'Pokemon Editor'!$D:$D,"")),1.5,1),eff,(INDEX('Type Chart'!$B:$S,MATCH(mtype,'Type Chart'!$A:$A,0),MATCH(XLOOKUP($L2,'Pokemon Editor'!$A:$A,'Pokemon Editor'!$C:$C,""),'Type Chart'!$B$1:$S$1,0))*IF(XLOOKUP($L2,'Pokemon Editor'!$A:$A,'Pokemon Editor'!$D:$D,"")="",1,INDEX('Type Chart'!$B:$S,MATCH(mtype,'Type Chart'!$A:$A,0),MATCH(XLOOKUP($L2,'Pokemon Editor'!$A:$A,'Pokemon Editor'!$D:$D,""),'Type Chart'!$B$1:$S$1,0)))),base,IF(OR(cat="Status",pow=0),0,FLOOR(FLOOR(FLOOR((2*XLOOKUP($K2,'Threshold Summary'!$Y:$Y,'Threshold Summary'!$L:$L,"")/5+2)*pow*atk/def)/50)+2)),modifier,stab*eff,AVERAGE(ARRAYFORMULA(FLOOR(base*modifier*SEQUENCE(16,1,85,1)/100)))/(FLOOR(((2*XLOOKUP($L2,'Pokemon Editor'!$A:$A,'Pokemon Editor'!$E:$E,0)+31+FLOOR(XLOOKUP($L2,'Boss Editor'!$C:$C,'Boss Editor'!$G:$G,"")/4))*XLOOKUP($L2,'Boss Editor'!$C:$C,'Boss Editor'!$D:$D,""))/100)+XLOOKUP($L2,'Boss Editor'!$C:$C,'Boss Editor'!$D:$D,"")+10)),0)</f>
        <v/>
      </c>
      <c r="J2" s="3">
        <f>IF(I2&gt;=1,"OHKO",IF(I2&gt;=0.5,"2HKO",IF(I2&gt;=0.333,"3HKO",IF(I2&gt;=0.25,"4HKO","5HKO+"))))</f>
        <v/>
      </c>
      <c r="K2" s="3" t="inlineStr">
        <is>
          <t>SPECIES_PARAS</t>
        </is>
      </c>
      <c r="L2" s="3" t="inlineStr">
        <is>
          <t>SPECIES_TIRTOUGA</t>
        </is>
      </c>
    </row>
    <row r="3">
      <c r="A3" s="3">
        <f>XLOOKUP($K3,'Threshold Summary'!$Y:$Y,'Threshold Summary'!$A:$A,"")</f>
        <v/>
      </c>
      <c r="B3" s="3" t="inlineStr">
        <is>
          <t>Anorith</t>
        </is>
      </c>
      <c r="C3" s="3">
        <f>XLOOKUP($L3,'Boss Editor'!$C:$C,'Boss Editor'!$D:$D,"")</f>
        <v/>
      </c>
      <c r="D3" s="3">
        <f>XLOOKUP($K3,'Threshold Summary'!$Y:$Y,'Threshold Summary'!$B:$B,"")</f>
        <v/>
      </c>
      <c r="E3" s="3">
        <f>XLOOKUP(D3,'Move Editor'!$B:$B,'Move Editor'!$C:$C,"")</f>
        <v/>
      </c>
      <c r="F3" s="3">
        <f>IFERROR(LET(mtype,XLOOKUP($D3,'Move Editor'!$B:$B,'Move Editor'!$C:$C,""),cat,XLOOKUP($D3,'Move Editor'!$B:$B,'Move Editor'!$D:$D,""),pow,XLOOKUP($D3,'Move Editor'!$B:$B,'Move Editor'!$E:$E,0),acc,XLOOKUP($D3,'Move Editor'!$B:$B,'Move Editor'!$F:$F,100),atk,IF(cat="Physical",FLOOR((FLOOR(((2*XLOOKUP(XLOOKUP($K3,'Threshold Summary'!$Y:$Y,'Threshold Summary'!$K:$K,""),'Pokemon Editor'!$A:$A,'Pokemon Editor'!$F:$F,0)+31+FLOOR(XLOOKUP($K3,'Threshold Summary'!$Y:$Y,'Threshold Summary'!$P:$P,"")/4))*XLOOKUP($K3,'Threshold Summary'!$Y:$Y,'Threshold Summary'!$L:$L,""))/100)+5)*XLOOKUP(XLOOKUP($K3,'Threshold Summary'!$Y:$Y,'Threshold Summary'!$M:$M,""),'Nature Editor'!$A:$A,'Nature Editor'!$B:$B,1)),FLOOR((FLOOR(((2*XLOOKUP(XLOOKUP($K3,'Threshold Summary'!$Y:$Y,'Threshold Summary'!$K:$K,""),'Pokemon Editor'!$A:$A,'Pokemon Editor'!$H:$H,0)+31+FLOOR(XLOOKUP($K3,'Threshold Summary'!$Y:$Y,'Threshold Summary'!$R:$R,"")/4))*XLOOKUP($K3,'Threshold Summary'!$Y:$Y,'Threshold Summary'!$L:$L,""))/100)+5)*XLOOKUP(XLOOKUP($K3,'Threshold Summary'!$Y:$Y,'Threshold Summary'!$M:$M,""),'Nature Editor'!$A:$A,'Nature Editor'!$D:$D,1))),def,IF(cat="Physical",FLOOR((FLOOR(((2*XLOOKUP($L3,'Pokemon Editor'!$A:$A,'Pokemon Editor'!$G:$G,0)+31+FLOOR(XLOOKUP($L3,'Boss Editor'!$C:$C,'Boss Editor'!$I:$I,"")/4))*XLOOKUP($L3,'Boss Editor'!$C:$C,'Boss Editor'!$D:$D,""))/100)+5)*XLOOKUP(XLOOKUP($L3,'Boss Editor'!$C:$C,'Boss Editor'!$E:$E,""),'Nature Editor'!$A:$A,'Nature Editor'!$C:$C,1)),FLOOR((FLOOR(((2*XLOOKUP($L3,'Pokemon Editor'!$A:$A,'Pokemon Editor'!$I:$I,0)+31+FLOOR(XLOOKUP($L3,'Boss Editor'!$C:$C,'Boss Editor'!$K:$K,"")/4))*XLOOKUP($L3,'Boss Editor'!$C:$C,'Boss Editor'!$D:$D,""))/100)+5)*XLOOKUP(XLOOKUP($L3,'Boss Editor'!$C:$C,'Boss Editor'!$E:$E,""),'Nature Editor'!$A:$A,'Nature Editor'!$E:$E,1))),stab,IF(OR(mtype=XLOOKUP(XLOOKUP($K3,'Threshold Summary'!$Y:$Y,'Threshold Summary'!$K:$K,""),'Pokemon Editor'!$A:$A,'Pokemon Editor'!$C:$C,""),mtype=XLOOKUP(XLOOKUP($K3,'Threshold Summary'!$Y:$Y,'Threshold Summary'!$K:$K,""),'Pokemon Editor'!$A:$A,'Pokemon Editor'!$D:$D,"")),1.5,1),eff,(INDEX('Type Chart'!$B:$S,MATCH(mtype,'Type Chart'!$A:$A,0),MATCH(XLOOKUP($L3,'Pokemon Editor'!$A:$A,'Pokemon Editor'!$C:$C,""),'Type Chart'!$B$1:$S$1,0))*IF(XLOOKUP($L3,'Pokemon Editor'!$A:$A,'Pokemon Editor'!$D:$D,"")="",1,INDEX('Type Chart'!$B:$S,MATCH(mtype,'Type Chart'!$A:$A,0),MATCH(XLOOKUP($L3,'Pokemon Editor'!$A:$A,'Pokemon Editor'!$D:$D,""),'Type Chart'!$B$1:$S$1,0)))),base,IF(OR(cat="Status",pow=0),0,FLOOR(FLOOR(FLOOR((2*XLOOKUP($K3,'Threshold Summary'!$Y:$Y,'Threshold Summary'!$L:$L,"")/5+2)*pow*atk/def)/50)+2)),modifier,stab*eff,FLOOR(base*modifier*0.85)),0)</f>
        <v/>
      </c>
      <c r="G3" s="3">
        <f>IFERROR(LET(mtype,XLOOKUP($D3,'Move Editor'!$B:$B,'Move Editor'!$C:$C,""),cat,XLOOKUP($D3,'Move Editor'!$B:$B,'Move Editor'!$D:$D,""),pow,XLOOKUP($D3,'Move Editor'!$B:$B,'Move Editor'!$E:$E,0),acc,XLOOKUP($D3,'Move Editor'!$B:$B,'Move Editor'!$F:$F,100),atk,IF(cat="Physical",FLOOR((FLOOR(((2*XLOOKUP(XLOOKUP($K3,'Threshold Summary'!$Y:$Y,'Threshold Summary'!$K:$K,""),'Pokemon Editor'!$A:$A,'Pokemon Editor'!$F:$F,0)+31+FLOOR(XLOOKUP($K3,'Threshold Summary'!$Y:$Y,'Threshold Summary'!$P:$P,"")/4))*XLOOKUP($K3,'Threshold Summary'!$Y:$Y,'Threshold Summary'!$L:$L,""))/100)+5)*XLOOKUP(XLOOKUP($K3,'Threshold Summary'!$Y:$Y,'Threshold Summary'!$M:$M,""),'Nature Editor'!$A:$A,'Nature Editor'!$B:$B,1)),FLOOR((FLOOR(((2*XLOOKUP(XLOOKUP($K3,'Threshold Summary'!$Y:$Y,'Threshold Summary'!$K:$K,""),'Pokemon Editor'!$A:$A,'Pokemon Editor'!$H:$H,0)+31+FLOOR(XLOOKUP($K3,'Threshold Summary'!$Y:$Y,'Threshold Summary'!$R:$R,"")/4))*XLOOKUP($K3,'Threshold Summary'!$Y:$Y,'Threshold Summary'!$L:$L,""))/100)+5)*XLOOKUP(XLOOKUP($K3,'Threshold Summary'!$Y:$Y,'Threshold Summary'!$M:$M,""),'Nature Editor'!$A:$A,'Nature Editor'!$D:$D,1))),def,IF(cat="Physical",FLOOR((FLOOR(((2*XLOOKUP($L3,'Pokemon Editor'!$A:$A,'Pokemon Editor'!$G:$G,0)+31+FLOOR(XLOOKUP($L3,'Boss Editor'!$C:$C,'Boss Editor'!$I:$I,"")/4))*XLOOKUP($L3,'Boss Editor'!$C:$C,'Boss Editor'!$D:$D,""))/100)+5)*XLOOKUP(XLOOKUP($L3,'Boss Editor'!$C:$C,'Boss Editor'!$E:$E,""),'Nature Editor'!$A:$A,'Nature Editor'!$C:$C,1)),FLOOR((FLOOR(((2*XLOOKUP($L3,'Pokemon Editor'!$A:$A,'Pokemon Editor'!$I:$I,0)+31+FLOOR(XLOOKUP($L3,'Boss Editor'!$C:$C,'Boss Editor'!$K:$K,"")/4))*XLOOKUP($L3,'Boss Editor'!$C:$C,'Boss Editor'!$D:$D,""))/100)+5)*XLOOKUP(XLOOKUP($L3,'Boss Editor'!$C:$C,'Boss Editor'!$E:$E,""),'Nature Editor'!$A:$A,'Nature Editor'!$E:$E,1))),stab,IF(OR(mtype=XLOOKUP(XLOOKUP($K3,'Threshold Summary'!$Y:$Y,'Threshold Summary'!$K:$K,""),'Pokemon Editor'!$A:$A,'Pokemon Editor'!$C:$C,""),mtype=XLOOKUP(XLOOKUP($K3,'Threshold Summary'!$Y:$Y,'Threshold Summary'!$K:$K,""),'Pokemon Editor'!$A:$A,'Pokemon Editor'!$D:$D,"")),1.5,1),eff,(INDEX('Type Chart'!$B:$S,MATCH(mtype,'Type Chart'!$A:$A,0),MATCH(XLOOKUP($L3,'Pokemon Editor'!$A:$A,'Pokemon Editor'!$C:$C,""),'Type Chart'!$B$1:$S$1,0))*IF(XLOOKUP($L3,'Pokemon Editor'!$A:$A,'Pokemon Editor'!$D:$D,"")="",1,INDEX('Type Chart'!$B:$S,MATCH(mtype,'Type Chart'!$A:$A,0),MATCH(XLOOKUP($L3,'Pokemon Editor'!$A:$A,'Pokemon Editor'!$D:$D,""),'Type Chart'!$B$1:$S$1,0)))),base,IF(OR(cat="Status",pow=0),0,FLOOR(FLOOR(FLOOR((2*XLOOKUP($K3,'Threshold Summary'!$Y:$Y,'Threshold Summary'!$L:$L,"")/5+2)*pow*atk/def)/50)+2)),modifier,stab*eff,FLOOR(base*modifier)),0)</f>
        <v/>
      </c>
      <c r="H3" s="3">
        <f>IFERROR(LET(mtype,XLOOKUP($D3,'Move Editor'!$B:$B,'Move Editor'!$C:$C,""),cat,XLOOKUP($D3,'Move Editor'!$B:$B,'Move Editor'!$D:$D,""),pow,XLOOKUP($D3,'Move Editor'!$B:$B,'Move Editor'!$E:$E,0),acc,XLOOKUP($D3,'Move Editor'!$B:$B,'Move Editor'!$F:$F,100),atk,IF(cat="Physical",FLOOR((FLOOR(((2*XLOOKUP(XLOOKUP($K3,'Threshold Summary'!$Y:$Y,'Threshold Summary'!$K:$K,""),'Pokemon Editor'!$A:$A,'Pokemon Editor'!$F:$F,0)+31+FLOOR(XLOOKUP($K3,'Threshold Summary'!$Y:$Y,'Threshold Summary'!$P:$P,"")/4))*XLOOKUP($K3,'Threshold Summary'!$Y:$Y,'Threshold Summary'!$L:$L,""))/100)+5)*XLOOKUP(XLOOKUP($K3,'Threshold Summary'!$Y:$Y,'Threshold Summary'!$M:$M,""),'Nature Editor'!$A:$A,'Nature Editor'!$B:$B,1)),FLOOR((FLOOR(((2*XLOOKUP(XLOOKUP($K3,'Threshold Summary'!$Y:$Y,'Threshold Summary'!$K:$K,""),'Pokemon Editor'!$A:$A,'Pokemon Editor'!$H:$H,0)+31+FLOOR(XLOOKUP($K3,'Threshold Summary'!$Y:$Y,'Threshold Summary'!$R:$R,"")/4))*XLOOKUP($K3,'Threshold Summary'!$Y:$Y,'Threshold Summary'!$L:$L,""))/100)+5)*XLOOKUP(XLOOKUP($K3,'Threshold Summary'!$Y:$Y,'Threshold Summary'!$M:$M,""),'Nature Editor'!$A:$A,'Nature Editor'!$D:$D,1))),def,IF(cat="Physical",FLOOR((FLOOR(((2*XLOOKUP($L3,'Pokemon Editor'!$A:$A,'Pokemon Editor'!$G:$G,0)+31+FLOOR(XLOOKUP($L3,'Boss Editor'!$C:$C,'Boss Editor'!$I:$I,"")/4))*XLOOKUP($L3,'Boss Editor'!$C:$C,'Boss Editor'!$D:$D,""))/100)+5)*XLOOKUP(XLOOKUP($L3,'Boss Editor'!$C:$C,'Boss Editor'!$E:$E,""),'Nature Editor'!$A:$A,'Nature Editor'!$C:$C,1)),FLOOR((FLOOR(((2*XLOOKUP($L3,'Pokemon Editor'!$A:$A,'Pokemon Editor'!$I:$I,0)+31+FLOOR(XLOOKUP($L3,'Boss Editor'!$C:$C,'Boss Editor'!$K:$K,"")/4))*XLOOKUP($L3,'Boss Editor'!$C:$C,'Boss Editor'!$D:$D,""))/100)+5)*XLOOKUP(XLOOKUP($L3,'Boss Editor'!$C:$C,'Boss Editor'!$E:$E,""),'Nature Editor'!$A:$A,'Nature Editor'!$E:$E,1))),stab,IF(OR(mtype=XLOOKUP(XLOOKUP($K3,'Threshold Summary'!$Y:$Y,'Threshold Summary'!$K:$K,""),'Pokemon Editor'!$A:$A,'Pokemon Editor'!$C:$C,""),mtype=XLOOKUP(XLOOKUP($K3,'Threshold Summary'!$Y:$Y,'Threshold Summary'!$K:$K,""),'Pokemon Editor'!$A:$A,'Pokemon Editor'!$D:$D,"")),1.5,1),eff,(INDEX('Type Chart'!$B:$S,MATCH(mtype,'Type Chart'!$A:$A,0),MATCH(XLOOKUP($L3,'Pokemon Editor'!$A:$A,'Pokemon Editor'!$C:$C,""),'Type Chart'!$B$1:$S$1,0))*IF(XLOOKUP($L3,'Pokemon Editor'!$A:$A,'Pokemon Editor'!$D:$D,"")="",1,INDEX('Type Chart'!$B:$S,MATCH(mtype,'Type Chart'!$A:$A,0),MATCH(XLOOKUP($L3,'Pokemon Editor'!$A:$A,'Pokemon Editor'!$D:$D,""),'Type Chart'!$B$1:$S$1,0)))),base,IF(OR(cat="Status",pow=0),0,FLOOR(FLOOR(FLOOR((2*XLOOKUP($K3,'Threshold Summary'!$Y:$Y,'Threshold Summary'!$L:$L,"")/5+2)*pow*atk/def)/50)+2)),modifier,stab*eff,AVERAGE(ARRAYFORMULA(FLOOR(base*modifier*SEQUENCE(16,1,85,1)/100)))),0)</f>
        <v/>
      </c>
      <c r="I3" s="4">
        <f>IFERROR(LET(mtype,XLOOKUP($D3,'Move Editor'!$B:$B,'Move Editor'!$C:$C,""),cat,XLOOKUP($D3,'Move Editor'!$B:$B,'Move Editor'!$D:$D,""),pow,XLOOKUP($D3,'Move Editor'!$B:$B,'Move Editor'!$E:$E,0),acc,XLOOKUP($D3,'Move Editor'!$B:$B,'Move Editor'!$F:$F,100),atk,IF(cat="Physical",FLOOR((FLOOR(((2*XLOOKUP(XLOOKUP($K3,'Threshold Summary'!$Y:$Y,'Threshold Summary'!$K:$K,""),'Pokemon Editor'!$A:$A,'Pokemon Editor'!$F:$F,0)+31+FLOOR(XLOOKUP($K3,'Threshold Summary'!$Y:$Y,'Threshold Summary'!$P:$P,"")/4))*XLOOKUP($K3,'Threshold Summary'!$Y:$Y,'Threshold Summary'!$L:$L,""))/100)+5)*XLOOKUP(XLOOKUP($K3,'Threshold Summary'!$Y:$Y,'Threshold Summary'!$M:$M,""),'Nature Editor'!$A:$A,'Nature Editor'!$B:$B,1)),FLOOR((FLOOR(((2*XLOOKUP(XLOOKUP($K3,'Threshold Summary'!$Y:$Y,'Threshold Summary'!$K:$K,""),'Pokemon Editor'!$A:$A,'Pokemon Editor'!$H:$H,0)+31+FLOOR(XLOOKUP($K3,'Threshold Summary'!$Y:$Y,'Threshold Summary'!$R:$R,"")/4))*XLOOKUP($K3,'Threshold Summary'!$Y:$Y,'Threshold Summary'!$L:$L,""))/100)+5)*XLOOKUP(XLOOKUP($K3,'Threshold Summary'!$Y:$Y,'Threshold Summary'!$M:$M,""),'Nature Editor'!$A:$A,'Nature Editor'!$D:$D,1))),def,IF(cat="Physical",FLOOR((FLOOR(((2*XLOOKUP($L3,'Pokemon Editor'!$A:$A,'Pokemon Editor'!$G:$G,0)+31+FLOOR(XLOOKUP($L3,'Boss Editor'!$C:$C,'Boss Editor'!$I:$I,"")/4))*XLOOKUP($L3,'Boss Editor'!$C:$C,'Boss Editor'!$D:$D,""))/100)+5)*XLOOKUP(XLOOKUP($L3,'Boss Editor'!$C:$C,'Boss Editor'!$E:$E,""),'Nature Editor'!$A:$A,'Nature Editor'!$C:$C,1)),FLOOR((FLOOR(((2*XLOOKUP($L3,'Pokemon Editor'!$A:$A,'Pokemon Editor'!$I:$I,0)+31+FLOOR(XLOOKUP($L3,'Boss Editor'!$C:$C,'Boss Editor'!$K:$K,"")/4))*XLOOKUP($L3,'Boss Editor'!$C:$C,'Boss Editor'!$D:$D,""))/100)+5)*XLOOKUP(XLOOKUP($L3,'Boss Editor'!$C:$C,'Boss Editor'!$E:$E,""),'Nature Editor'!$A:$A,'Nature Editor'!$E:$E,1))),stab,IF(OR(mtype=XLOOKUP(XLOOKUP($K3,'Threshold Summary'!$Y:$Y,'Threshold Summary'!$K:$K,""),'Pokemon Editor'!$A:$A,'Pokemon Editor'!$C:$C,""),mtype=XLOOKUP(XLOOKUP($K3,'Threshold Summary'!$Y:$Y,'Threshold Summary'!$K:$K,""),'Pokemon Editor'!$A:$A,'Pokemon Editor'!$D:$D,"")),1.5,1),eff,(INDEX('Type Chart'!$B:$S,MATCH(mtype,'Type Chart'!$A:$A,0),MATCH(XLOOKUP($L3,'Pokemon Editor'!$A:$A,'Pokemon Editor'!$C:$C,""),'Type Chart'!$B$1:$S$1,0))*IF(XLOOKUP($L3,'Pokemon Editor'!$A:$A,'Pokemon Editor'!$D:$D,"")="",1,INDEX('Type Chart'!$B:$S,MATCH(mtype,'Type Chart'!$A:$A,0),MATCH(XLOOKUP($L3,'Pokemon Editor'!$A:$A,'Pokemon Editor'!$D:$D,""),'Type Chart'!$B$1:$S$1,0)))),base,IF(OR(cat="Status",pow=0),0,FLOOR(FLOOR(FLOOR((2*XLOOKUP($K3,'Threshold Summary'!$Y:$Y,'Threshold Summary'!$L:$L,"")/5+2)*pow*atk/def)/50)+2)),modifier,stab*eff,AVERAGE(ARRAYFORMULA(FLOOR(base*modifier*SEQUENCE(16,1,85,1)/100)))/(FLOOR(((2*XLOOKUP($L3,'Pokemon Editor'!$A:$A,'Pokemon Editor'!$E:$E,0)+31+FLOOR(XLOOKUP($L3,'Boss Editor'!$C:$C,'Boss Editor'!$G:$G,"")/4))*XLOOKUP($L3,'Boss Editor'!$C:$C,'Boss Editor'!$D:$D,""))/100)+XLOOKUP($L3,'Boss Editor'!$C:$C,'Boss Editor'!$D:$D,"")+10)),0)</f>
        <v/>
      </c>
      <c r="J3" s="3">
        <f>IF(I3&gt;=1,"OHKO",IF(I3&gt;=0.5,"2HKO",IF(I3&gt;=0.333,"3HKO",IF(I3&gt;=0.25,"4HKO","5HKO+"))))</f>
        <v/>
      </c>
      <c r="K3" s="3" t="inlineStr">
        <is>
          <t>SPECIES_PARAS</t>
        </is>
      </c>
      <c r="L3" s="3" t="inlineStr">
        <is>
          <t>SPECIES_ANORITH</t>
        </is>
      </c>
    </row>
    <row r="4">
      <c r="A4" s="3">
        <f>XLOOKUP($K4,'Threshold Summary'!$Y:$Y,'Threshold Summary'!$A:$A,"")</f>
        <v/>
      </c>
      <c r="B4" s="3" t="inlineStr">
        <is>
          <t>Lileep</t>
        </is>
      </c>
      <c r="C4" s="3">
        <f>XLOOKUP($L4,'Boss Editor'!$C:$C,'Boss Editor'!$D:$D,"")</f>
        <v/>
      </c>
      <c r="D4" s="3">
        <f>XLOOKUP($K4,'Threshold Summary'!$Y:$Y,'Threshold Summary'!$B:$B,"")</f>
        <v/>
      </c>
      <c r="E4" s="3">
        <f>XLOOKUP(D4,'Move Editor'!$B:$B,'Move Editor'!$C:$C,"")</f>
        <v/>
      </c>
      <c r="F4" s="3">
        <f>IFERROR(LET(mtype,XLOOKUP($D4,'Move Editor'!$B:$B,'Move Editor'!$C:$C,""),cat,XLOOKUP($D4,'Move Editor'!$B:$B,'Move Editor'!$D:$D,""),pow,XLOOKUP($D4,'Move Editor'!$B:$B,'Move Editor'!$E:$E,0),acc,XLOOKUP($D4,'Move Editor'!$B:$B,'Move Editor'!$F:$F,100),atk,IF(cat="Physical",FLOOR((FLOOR(((2*XLOOKUP(XLOOKUP($K4,'Threshold Summary'!$Y:$Y,'Threshold Summary'!$K:$K,""),'Pokemon Editor'!$A:$A,'Pokemon Editor'!$F:$F,0)+31+FLOOR(XLOOKUP($K4,'Threshold Summary'!$Y:$Y,'Threshold Summary'!$P:$P,"")/4))*XLOOKUP($K4,'Threshold Summary'!$Y:$Y,'Threshold Summary'!$L:$L,""))/100)+5)*XLOOKUP(XLOOKUP($K4,'Threshold Summary'!$Y:$Y,'Threshold Summary'!$M:$M,""),'Nature Editor'!$A:$A,'Nature Editor'!$B:$B,1)),FLOOR((FLOOR(((2*XLOOKUP(XLOOKUP($K4,'Threshold Summary'!$Y:$Y,'Threshold Summary'!$K:$K,""),'Pokemon Editor'!$A:$A,'Pokemon Editor'!$H:$H,0)+31+FLOOR(XLOOKUP($K4,'Threshold Summary'!$Y:$Y,'Threshold Summary'!$R:$R,"")/4))*XLOOKUP($K4,'Threshold Summary'!$Y:$Y,'Threshold Summary'!$L:$L,""))/100)+5)*XLOOKUP(XLOOKUP($K4,'Threshold Summary'!$Y:$Y,'Threshold Summary'!$M:$M,""),'Nature Editor'!$A:$A,'Nature Editor'!$D:$D,1))),def,IF(cat="Physical",FLOOR((FLOOR(((2*XLOOKUP($L4,'Pokemon Editor'!$A:$A,'Pokemon Editor'!$G:$G,0)+31+FLOOR(XLOOKUP($L4,'Boss Editor'!$C:$C,'Boss Editor'!$I:$I,"")/4))*XLOOKUP($L4,'Boss Editor'!$C:$C,'Boss Editor'!$D:$D,""))/100)+5)*XLOOKUP(XLOOKUP($L4,'Boss Editor'!$C:$C,'Boss Editor'!$E:$E,""),'Nature Editor'!$A:$A,'Nature Editor'!$C:$C,1)),FLOOR((FLOOR(((2*XLOOKUP($L4,'Pokemon Editor'!$A:$A,'Pokemon Editor'!$I:$I,0)+31+FLOOR(XLOOKUP($L4,'Boss Editor'!$C:$C,'Boss Editor'!$K:$K,"")/4))*XLOOKUP($L4,'Boss Editor'!$C:$C,'Boss Editor'!$D:$D,""))/100)+5)*XLOOKUP(XLOOKUP($L4,'Boss Editor'!$C:$C,'Boss Editor'!$E:$E,""),'Nature Editor'!$A:$A,'Nature Editor'!$E:$E,1))),stab,IF(OR(mtype=XLOOKUP(XLOOKUP($K4,'Threshold Summary'!$Y:$Y,'Threshold Summary'!$K:$K,""),'Pokemon Editor'!$A:$A,'Pokemon Editor'!$C:$C,""),mtype=XLOOKUP(XLOOKUP($K4,'Threshold Summary'!$Y:$Y,'Threshold Summary'!$K:$K,""),'Pokemon Editor'!$A:$A,'Pokemon Editor'!$D:$D,"")),1.5,1),eff,(INDEX('Type Chart'!$B:$S,MATCH(mtype,'Type Chart'!$A:$A,0),MATCH(XLOOKUP($L4,'Pokemon Editor'!$A:$A,'Pokemon Editor'!$C:$C,""),'Type Chart'!$B$1:$S$1,0))*IF(XLOOKUP($L4,'Pokemon Editor'!$A:$A,'Pokemon Editor'!$D:$D,"")="",1,INDEX('Type Chart'!$B:$S,MATCH(mtype,'Type Chart'!$A:$A,0),MATCH(XLOOKUP($L4,'Pokemon Editor'!$A:$A,'Pokemon Editor'!$D:$D,""),'Type Chart'!$B$1:$S$1,0)))),base,IF(OR(cat="Status",pow=0),0,FLOOR(FLOOR(FLOOR((2*XLOOKUP($K4,'Threshold Summary'!$Y:$Y,'Threshold Summary'!$L:$L,"")/5+2)*pow*atk/def)/50)+2)),modifier,stab*eff,FLOOR(base*modifier*0.85)),0)</f>
        <v/>
      </c>
      <c r="G4" s="3">
        <f>IFERROR(LET(mtype,XLOOKUP($D4,'Move Editor'!$B:$B,'Move Editor'!$C:$C,""),cat,XLOOKUP($D4,'Move Editor'!$B:$B,'Move Editor'!$D:$D,""),pow,XLOOKUP($D4,'Move Editor'!$B:$B,'Move Editor'!$E:$E,0),acc,XLOOKUP($D4,'Move Editor'!$B:$B,'Move Editor'!$F:$F,100),atk,IF(cat="Physical",FLOOR((FLOOR(((2*XLOOKUP(XLOOKUP($K4,'Threshold Summary'!$Y:$Y,'Threshold Summary'!$K:$K,""),'Pokemon Editor'!$A:$A,'Pokemon Editor'!$F:$F,0)+31+FLOOR(XLOOKUP($K4,'Threshold Summary'!$Y:$Y,'Threshold Summary'!$P:$P,"")/4))*XLOOKUP($K4,'Threshold Summary'!$Y:$Y,'Threshold Summary'!$L:$L,""))/100)+5)*XLOOKUP(XLOOKUP($K4,'Threshold Summary'!$Y:$Y,'Threshold Summary'!$M:$M,""),'Nature Editor'!$A:$A,'Nature Editor'!$B:$B,1)),FLOOR((FLOOR(((2*XLOOKUP(XLOOKUP($K4,'Threshold Summary'!$Y:$Y,'Threshold Summary'!$K:$K,""),'Pokemon Editor'!$A:$A,'Pokemon Editor'!$H:$H,0)+31+FLOOR(XLOOKUP($K4,'Threshold Summary'!$Y:$Y,'Threshold Summary'!$R:$R,"")/4))*XLOOKUP($K4,'Threshold Summary'!$Y:$Y,'Threshold Summary'!$L:$L,""))/100)+5)*XLOOKUP(XLOOKUP($K4,'Threshold Summary'!$Y:$Y,'Threshold Summary'!$M:$M,""),'Nature Editor'!$A:$A,'Nature Editor'!$D:$D,1))),def,IF(cat="Physical",FLOOR((FLOOR(((2*XLOOKUP($L4,'Pokemon Editor'!$A:$A,'Pokemon Editor'!$G:$G,0)+31+FLOOR(XLOOKUP($L4,'Boss Editor'!$C:$C,'Boss Editor'!$I:$I,"")/4))*XLOOKUP($L4,'Boss Editor'!$C:$C,'Boss Editor'!$D:$D,""))/100)+5)*XLOOKUP(XLOOKUP($L4,'Boss Editor'!$C:$C,'Boss Editor'!$E:$E,""),'Nature Editor'!$A:$A,'Nature Editor'!$C:$C,1)),FLOOR((FLOOR(((2*XLOOKUP($L4,'Pokemon Editor'!$A:$A,'Pokemon Editor'!$I:$I,0)+31+FLOOR(XLOOKUP($L4,'Boss Editor'!$C:$C,'Boss Editor'!$K:$K,"")/4))*XLOOKUP($L4,'Boss Editor'!$C:$C,'Boss Editor'!$D:$D,""))/100)+5)*XLOOKUP(XLOOKUP($L4,'Boss Editor'!$C:$C,'Boss Editor'!$E:$E,""),'Nature Editor'!$A:$A,'Nature Editor'!$E:$E,1))),stab,IF(OR(mtype=XLOOKUP(XLOOKUP($K4,'Threshold Summary'!$Y:$Y,'Threshold Summary'!$K:$K,""),'Pokemon Editor'!$A:$A,'Pokemon Editor'!$C:$C,""),mtype=XLOOKUP(XLOOKUP($K4,'Threshold Summary'!$Y:$Y,'Threshold Summary'!$K:$K,""),'Pokemon Editor'!$A:$A,'Pokemon Editor'!$D:$D,"")),1.5,1),eff,(INDEX('Type Chart'!$B:$S,MATCH(mtype,'Type Chart'!$A:$A,0),MATCH(XLOOKUP($L4,'Pokemon Editor'!$A:$A,'Pokemon Editor'!$C:$C,""),'Type Chart'!$B$1:$S$1,0))*IF(XLOOKUP($L4,'Pokemon Editor'!$A:$A,'Pokemon Editor'!$D:$D,"")="",1,INDEX('Type Chart'!$B:$S,MATCH(mtype,'Type Chart'!$A:$A,0),MATCH(XLOOKUP($L4,'Pokemon Editor'!$A:$A,'Pokemon Editor'!$D:$D,""),'Type Chart'!$B$1:$S$1,0)))),base,IF(OR(cat="Status",pow=0),0,FLOOR(FLOOR(FLOOR((2*XLOOKUP($K4,'Threshold Summary'!$Y:$Y,'Threshold Summary'!$L:$L,"")/5+2)*pow*atk/def)/50)+2)),modifier,stab*eff,FLOOR(base*modifier)),0)</f>
        <v/>
      </c>
      <c r="H4" s="3">
        <f>IFERROR(LET(mtype,XLOOKUP($D4,'Move Editor'!$B:$B,'Move Editor'!$C:$C,""),cat,XLOOKUP($D4,'Move Editor'!$B:$B,'Move Editor'!$D:$D,""),pow,XLOOKUP($D4,'Move Editor'!$B:$B,'Move Editor'!$E:$E,0),acc,XLOOKUP($D4,'Move Editor'!$B:$B,'Move Editor'!$F:$F,100),atk,IF(cat="Physical",FLOOR((FLOOR(((2*XLOOKUP(XLOOKUP($K4,'Threshold Summary'!$Y:$Y,'Threshold Summary'!$K:$K,""),'Pokemon Editor'!$A:$A,'Pokemon Editor'!$F:$F,0)+31+FLOOR(XLOOKUP($K4,'Threshold Summary'!$Y:$Y,'Threshold Summary'!$P:$P,"")/4))*XLOOKUP($K4,'Threshold Summary'!$Y:$Y,'Threshold Summary'!$L:$L,""))/100)+5)*XLOOKUP(XLOOKUP($K4,'Threshold Summary'!$Y:$Y,'Threshold Summary'!$M:$M,""),'Nature Editor'!$A:$A,'Nature Editor'!$B:$B,1)),FLOOR((FLOOR(((2*XLOOKUP(XLOOKUP($K4,'Threshold Summary'!$Y:$Y,'Threshold Summary'!$K:$K,""),'Pokemon Editor'!$A:$A,'Pokemon Editor'!$H:$H,0)+31+FLOOR(XLOOKUP($K4,'Threshold Summary'!$Y:$Y,'Threshold Summary'!$R:$R,"")/4))*XLOOKUP($K4,'Threshold Summary'!$Y:$Y,'Threshold Summary'!$L:$L,""))/100)+5)*XLOOKUP(XLOOKUP($K4,'Threshold Summary'!$Y:$Y,'Threshold Summary'!$M:$M,""),'Nature Editor'!$A:$A,'Nature Editor'!$D:$D,1))),def,IF(cat="Physical",FLOOR((FLOOR(((2*XLOOKUP($L4,'Pokemon Editor'!$A:$A,'Pokemon Editor'!$G:$G,0)+31+FLOOR(XLOOKUP($L4,'Boss Editor'!$C:$C,'Boss Editor'!$I:$I,"")/4))*XLOOKUP($L4,'Boss Editor'!$C:$C,'Boss Editor'!$D:$D,""))/100)+5)*XLOOKUP(XLOOKUP($L4,'Boss Editor'!$C:$C,'Boss Editor'!$E:$E,""),'Nature Editor'!$A:$A,'Nature Editor'!$C:$C,1)),FLOOR((FLOOR(((2*XLOOKUP($L4,'Pokemon Editor'!$A:$A,'Pokemon Editor'!$I:$I,0)+31+FLOOR(XLOOKUP($L4,'Boss Editor'!$C:$C,'Boss Editor'!$K:$K,"")/4))*XLOOKUP($L4,'Boss Editor'!$C:$C,'Boss Editor'!$D:$D,""))/100)+5)*XLOOKUP(XLOOKUP($L4,'Boss Editor'!$C:$C,'Boss Editor'!$E:$E,""),'Nature Editor'!$A:$A,'Nature Editor'!$E:$E,1))),stab,IF(OR(mtype=XLOOKUP(XLOOKUP($K4,'Threshold Summary'!$Y:$Y,'Threshold Summary'!$K:$K,""),'Pokemon Editor'!$A:$A,'Pokemon Editor'!$C:$C,""),mtype=XLOOKUP(XLOOKUP($K4,'Threshold Summary'!$Y:$Y,'Threshold Summary'!$K:$K,""),'Pokemon Editor'!$A:$A,'Pokemon Editor'!$D:$D,"")),1.5,1),eff,(INDEX('Type Chart'!$B:$S,MATCH(mtype,'Type Chart'!$A:$A,0),MATCH(XLOOKUP($L4,'Pokemon Editor'!$A:$A,'Pokemon Editor'!$C:$C,""),'Type Chart'!$B$1:$S$1,0))*IF(XLOOKUP($L4,'Pokemon Editor'!$A:$A,'Pokemon Editor'!$D:$D,"")="",1,INDEX('Type Chart'!$B:$S,MATCH(mtype,'Type Chart'!$A:$A,0),MATCH(XLOOKUP($L4,'Pokemon Editor'!$A:$A,'Pokemon Editor'!$D:$D,""),'Type Chart'!$B$1:$S$1,0)))),base,IF(OR(cat="Status",pow=0),0,FLOOR(FLOOR(FLOOR((2*XLOOKUP($K4,'Threshold Summary'!$Y:$Y,'Threshold Summary'!$L:$L,"")/5+2)*pow*atk/def)/50)+2)),modifier,stab*eff,AVERAGE(ARRAYFORMULA(FLOOR(base*modifier*SEQUENCE(16,1,85,1)/100)))),0)</f>
        <v/>
      </c>
      <c r="I4" s="4">
        <f>IFERROR(LET(mtype,XLOOKUP($D4,'Move Editor'!$B:$B,'Move Editor'!$C:$C,""),cat,XLOOKUP($D4,'Move Editor'!$B:$B,'Move Editor'!$D:$D,""),pow,XLOOKUP($D4,'Move Editor'!$B:$B,'Move Editor'!$E:$E,0),acc,XLOOKUP($D4,'Move Editor'!$B:$B,'Move Editor'!$F:$F,100),atk,IF(cat="Physical",FLOOR((FLOOR(((2*XLOOKUP(XLOOKUP($K4,'Threshold Summary'!$Y:$Y,'Threshold Summary'!$K:$K,""),'Pokemon Editor'!$A:$A,'Pokemon Editor'!$F:$F,0)+31+FLOOR(XLOOKUP($K4,'Threshold Summary'!$Y:$Y,'Threshold Summary'!$P:$P,"")/4))*XLOOKUP($K4,'Threshold Summary'!$Y:$Y,'Threshold Summary'!$L:$L,""))/100)+5)*XLOOKUP(XLOOKUP($K4,'Threshold Summary'!$Y:$Y,'Threshold Summary'!$M:$M,""),'Nature Editor'!$A:$A,'Nature Editor'!$B:$B,1)),FLOOR((FLOOR(((2*XLOOKUP(XLOOKUP($K4,'Threshold Summary'!$Y:$Y,'Threshold Summary'!$K:$K,""),'Pokemon Editor'!$A:$A,'Pokemon Editor'!$H:$H,0)+31+FLOOR(XLOOKUP($K4,'Threshold Summary'!$Y:$Y,'Threshold Summary'!$R:$R,"")/4))*XLOOKUP($K4,'Threshold Summary'!$Y:$Y,'Threshold Summary'!$L:$L,""))/100)+5)*XLOOKUP(XLOOKUP($K4,'Threshold Summary'!$Y:$Y,'Threshold Summary'!$M:$M,""),'Nature Editor'!$A:$A,'Nature Editor'!$D:$D,1))),def,IF(cat="Physical",FLOOR((FLOOR(((2*XLOOKUP($L4,'Pokemon Editor'!$A:$A,'Pokemon Editor'!$G:$G,0)+31+FLOOR(XLOOKUP($L4,'Boss Editor'!$C:$C,'Boss Editor'!$I:$I,"")/4))*XLOOKUP($L4,'Boss Editor'!$C:$C,'Boss Editor'!$D:$D,""))/100)+5)*XLOOKUP(XLOOKUP($L4,'Boss Editor'!$C:$C,'Boss Editor'!$E:$E,""),'Nature Editor'!$A:$A,'Nature Editor'!$C:$C,1)),FLOOR((FLOOR(((2*XLOOKUP($L4,'Pokemon Editor'!$A:$A,'Pokemon Editor'!$I:$I,0)+31+FLOOR(XLOOKUP($L4,'Boss Editor'!$C:$C,'Boss Editor'!$K:$K,"")/4))*XLOOKUP($L4,'Boss Editor'!$C:$C,'Boss Editor'!$D:$D,""))/100)+5)*XLOOKUP(XLOOKUP($L4,'Boss Editor'!$C:$C,'Boss Editor'!$E:$E,""),'Nature Editor'!$A:$A,'Nature Editor'!$E:$E,1))),stab,IF(OR(mtype=XLOOKUP(XLOOKUP($K4,'Threshold Summary'!$Y:$Y,'Threshold Summary'!$K:$K,""),'Pokemon Editor'!$A:$A,'Pokemon Editor'!$C:$C,""),mtype=XLOOKUP(XLOOKUP($K4,'Threshold Summary'!$Y:$Y,'Threshold Summary'!$K:$K,""),'Pokemon Editor'!$A:$A,'Pokemon Editor'!$D:$D,"")),1.5,1),eff,(INDEX('Type Chart'!$B:$S,MATCH(mtype,'Type Chart'!$A:$A,0),MATCH(XLOOKUP($L4,'Pokemon Editor'!$A:$A,'Pokemon Editor'!$C:$C,""),'Type Chart'!$B$1:$S$1,0))*IF(XLOOKUP($L4,'Pokemon Editor'!$A:$A,'Pokemon Editor'!$D:$D,"")="",1,INDEX('Type Chart'!$B:$S,MATCH(mtype,'Type Chart'!$A:$A,0),MATCH(XLOOKUP($L4,'Pokemon Editor'!$A:$A,'Pokemon Editor'!$D:$D,""),'Type Chart'!$B$1:$S$1,0)))),base,IF(OR(cat="Status",pow=0),0,FLOOR(FLOOR(FLOOR((2*XLOOKUP($K4,'Threshold Summary'!$Y:$Y,'Threshold Summary'!$L:$L,"")/5+2)*pow*atk/def)/50)+2)),modifier,stab*eff,AVERAGE(ARRAYFORMULA(FLOOR(base*modifier*SEQUENCE(16,1,85,1)/100)))/(FLOOR(((2*XLOOKUP($L4,'Pokemon Editor'!$A:$A,'Pokemon Editor'!$E:$E,0)+31+FLOOR(XLOOKUP($L4,'Boss Editor'!$C:$C,'Boss Editor'!$G:$G,"")/4))*XLOOKUP($L4,'Boss Editor'!$C:$C,'Boss Editor'!$D:$D,""))/100)+XLOOKUP($L4,'Boss Editor'!$C:$C,'Boss Editor'!$D:$D,"")+10)),0)</f>
        <v/>
      </c>
      <c r="J4" s="3">
        <f>IF(I4&gt;=1,"OHKO",IF(I4&gt;=0.5,"2HKO",IF(I4&gt;=0.333,"3HKO",IF(I4&gt;=0.25,"4HKO","5HKO+"))))</f>
        <v/>
      </c>
      <c r="K4" s="3" t="inlineStr">
        <is>
          <t>SPECIES_PARAS</t>
        </is>
      </c>
      <c r="L4" s="3" t="inlineStr">
        <is>
          <t>SPECIES_LILEEP</t>
        </is>
      </c>
    </row>
    <row r="5">
      <c r="A5" s="3">
        <f>XLOOKUP($K5,'Threshold Summary'!$Y:$Y,'Threshold Summary'!$A:$A,"")</f>
        <v/>
      </c>
      <c r="B5" s="3" t="inlineStr">
        <is>
          <t>Tirtouga</t>
        </is>
      </c>
      <c r="C5" s="3">
        <f>XLOOKUP($L5,'Boss Editor'!$C:$C,'Boss Editor'!$D:$D,"")</f>
        <v/>
      </c>
      <c r="D5" s="3">
        <f>XLOOKUP($K5,'Threshold Summary'!$Y:$Y,'Threshold Summary'!$B:$B,"")</f>
        <v/>
      </c>
      <c r="E5" s="3">
        <f>XLOOKUP(D5,'Move Editor'!$B:$B,'Move Editor'!$C:$C,"")</f>
        <v/>
      </c>
      <c r="F5" s="3">
        <f>IFERROR(LET(mtype,XLOOKUP($D5,'Move Editor'!$B:$B,'Move Editor'!$C:$C,""),cat,XLOOKUP($D5,'Move Editor'!$B:$B,'Move Editor'!$D:$D,""),pow,XLOOKUP($D5,'Move Editor'!$B:$B,'Move Editor'!$E:$E,0),acc,XLOOKUP($D5,'Move Editor'!$B:$B,'Move Editor'!$F:$F,100),atk,IF(cat="Physical",FLOOR((FLOOR(((2*XLOOKUP(XLOOKUP($K5,'Threshold Summary'!$Y:$Y,'Threshold Summary'!$K:$K,""),'Pokemon Editor'!$A:$A,'Pokemon Editor'!$F:$F,0)+31+FLOOR(XLOOKUP($K5,'Threshold Summary'!$Y:$Y,'Threshold Summary'!$P:$P,"")/4))*XLOOKUP($K5,'Threshold Summary'!$Y:$Y,'Threshold Summary'!$L:$L,""))/100)+5)*XLOOKUP(XLOOKUP($K5,'Threshold Summary'!$Y:$Y,'Threshold Summary'!$M:$M,""),'Nature Editor'!$A:$A,'Nature Editor'!$B:$B,1)),FLOOR((FLOOR(((2*XLOOKUP(XLOOKUP($K5,'Threshold Summary'!$Y:$Y,'Threshold Summary'!$K:$K,""),'Pokemon Editor'!$A:$A,'Pokemon Editor'!$H:$H,0)+31+FLOOR(XLOOKUP($K5,'Threshold Summary'!$Y:$Y,'Threshold Summary'!$R:$R,"")/4))*XLOOKUP($K5,'Threshold Summary'!$Y:$Y,'Threshold Summary'!$L:$L,""))/100)+5)*XLOOKUP(XLOOKUP($K5,'Threshold Summary'!$Y:$Y,'Threshold Summary'!$M:$M,""),'Nature Editor'!$A:$A,'Nature Editor'!$D:$D,1))),def,IF(cat="Physical",FLOOR((FLOOR(((2*XLOOKUP($L5,'Pokemon Editor'!$A:$A,'Pokemon Editor'!$G:$G,0)+31+FLOOR(XLOOKUP($L5,'Boss Editor'!$C:$C,'Boss Editor'!$I:$I,"")/4))*XLOOKUP($L5,'Boss Editor'!$C:$C,'Boss Editor'!$D:$D,""))/100)+5)*XLOOKUP(XLOOKUP($L5,'Boss Editor'!$C:$C,'Boss Editor'!$E:$E,""),'Nature Editor'!$A:$A,'Nature Editor'!$C:$C,1)),FLOOR((FLOOR(((2*XLOOKUP($L5,'Pokemon Editor'!$A:$A,'Pokemon Editor'!$I:$I,0)+31+FLOOR(XLOOKUP($L5,'Boss Editor'!$C:$C,'Boss Editor'!$K:$K,"")/4))*XLOOKUP($L5,'Boss Editor'!$C:$C,'Boss Editor'!$D:$D,""))/100)+5)*XLOOKUP(XLOOKUP($L5,'Boss Editor'!$C:$C,'Boss Editor'!$E:$E,""),'Nature Editor'!$A:$A,'Nature Editor'!$E:$E,1))),stab,IF(OR(mtype=XLOOKUP(XLOOKUP($K5,'Threshold Summary'!$Y:$Y,'Threshold Summary'!$K:$K,""),'Pokemon Editor'!$A:$A,'Pokemon Editor'!$C:$C,""),mtype=XLOOKUP(XLOOKUP($K5,'Threshold Summary'!$Y:$Y,'Threshold Summary'!$K:$K,""),'Pokemon Editor'!$A:$A,'Pokemon Editor'!$D:$D,"")),1.5,1),eff,(INDEX('Type Chart'!$B:$S,MATCH(mtype,'Type Chart'!$A:$A,0),MATCH(XLOOKUP($L5,'Pokemon Editor'!$A:$A,'Pokemon Editor'!$C:$C,""),'Type Chart'!$B$1:$S$1,0))*IF(XLOOKUP($L5,'Pokemon Editor'!$A:$A,'Pokemon Editor'!$D:$D,"")="",1,INDEX('Type Chart'!$B:$S,MATCH(mtype,'Type Chart'!$A:$A,0),MATCH(XLOOKUP($L5,'Pokemon Editor'!$A:$A,'Pokemon Editor'!$D:$D,""),'Type Chart'!$B$1:$S$1,0)))),base,IF(OR(cat="Status",pow=0),0,FLOOR(FLOOR(FLOOR((2*XLOOKUP($K5,'Threshold Summary'!$Y:$Y,'Threshold Summary'!$L:$L,"")/5+2)*pow*atk/def)/50)+2)),modifier,stab*eff,FLOOR(base*modifier*0.85)),0)</f>
        <v/>
      </c>
      <c r="G5" s="3">
        <f>IFERROR(LET(mtype,XLOOKUP($D5,'Move Editor'!$B:$B,'Move Editor'!$C:$C,""),cat,XLOOKUP($D5,'Move Editor'!$B:$B,'Move Editor'!$D:$D,""),pow,XLOOKUP($D5,'Move Editor'!$B:$B,'Move Editor'!$E:$E,0),acc,XLOOKUP($D5,'Move Editor'!$B:$B,'Move Editor'!$F:$F,100),atk,IF(cat="Physical",FLOOR((FLOOR(((2*XLOOKUP(XLOOKUP($K5,'Threshold Summary'!$Y:$Y,'Threshold Summary'!$K:$K,""),'Pokemon Editor'!$A:$A,'Pokemon Editor'!$F:$F,0)+31+FLOOR(XLOOKUP($K5,'Threshold Summary'!$Y:$Y,'Threshold Summary'!$P:$P,"")/4))*XLOOKUP($K5,'Threshold Summary'!$Y:$Y,'Threshold Summary'!$L:$L,""))/100)+5)*XLOOKUP(XLOOKUP($K5,'Threshold Summary'!$Y:$Y,'Threshold Summary'!$M:$M,""),'Nature Editor'!$A:$A,'Nature Editor'!$B:$B,1)),FLOOR((FLOOR(((2*XLOOKUP(XLOOKUP($K5,'Threshold Summary'!$Y:$Y,'Threshold Summary'!$K:$K,""),'Pokemon Editor'!$A:$A,'Pokemon Editor'!$H:$H,0)+31+FLOOR(XLOOKUP($K5,'Threshold Summary'!$Y:$Y,'Threshold Summary'!$R:$R,"")/4))*XLOOKUP($K5,'Threshold Summary'!$Y:$Y,'Threshold Summary'!$L:$L,""))/100)+5)*XLOOKUP(XLOOKUP($K5,'Threshold Summary'!$Y:$Y,'Threshold Summary'!$M:$M,""),'Nature Editor'!$A:$A,'Nature Editor'!$D:$D,1))),def,IF(cat="Physical",FLOOR((FLOOR(((2*XLOOKUP($L5,'Pokemon Editor'!$A:$A,'Pokemon Editor'!$G:$G,0)+31+FLOOR(XLOOKUP($L5,'Boss Editor'!$C:$C,'Boss Editor'!$I:$I,"")/4))*XLOOKUP($L5,'Boss Editor'!$C:$C,'Boss Editor'!$D:$D,""))/100)+5)*XLOOKUP(XLOOKUP($L5,'Boss Editor'!$C:$C,'Boss Editor'!$E:$E,""),'Nature Editor'!$A:$A,'Nature Editor'!$C:$C,1)),FLOOR((FLOOR(((2*XLOOKUP($L5,'Pokemon Editor'!$A:$A,'Pokemon Editor'!$I:$I,0)+31+FLOOR(XLOOKUP($L5,'Boss Editor'!$C:$C,'Boss Editor'!$K:$K,"")/4))*XLOOKUP($L5,'Boss Editor'!$C:$C,'Boss Editor'!$D:$D,""))/100)+5)*XLOOKUP(XLOOKUP($L5,'Boss Editor'!$C:$C,'Boss Editor'!$E:$E,""),'Nature Editor'!$A:$A,'Nature Editor'!$E:$E,1))),stab,IF(OR(mtype=XLOOKUP(XLOOKUP($K5,'Threshold Summary'!$Y:$Y,'Threshold Summary'!$K:$K,""),'Pokemon Editor'!$A:$A,'Pokemon Editor'!$C:$C,""),mtype=XLOOKUP(XLOOKUP($K5,'Threshold Summary'!$Y:$Y,'Threshold Summary'!$K:$K,""),'Pokemon Editor'!$A:$A,'Pokemon Editor'!$D:$D,"")),1.5,1),eff,(INDEX('Type Chart'!$B:$S,MATCH(mtype,'Type Chart'!$A:$A,0),MATCH(XLOOKUP($L5,'Pokemon Editor'!$A:$A,'Pokemon Editor'!$C:$C,""),'Type Chart'!$B$1:$S$1,0))*IF(XLOOKUP($L5,'Pokemon Editor'!$A:$A,'Pokemon Editor'!$D:$D,"")="",1,INDEX('Type Chart'!$B:$S,MATCH(mtype,'Type Chart'!$A:$A,0),MATCH(XLOOKUP($L5,'Pokemon Editor'!$A:$A,'Pokemon Editor'!$D:$D,""),'Type Chart'!$B$1:$S$1,0)))),base,IF(OR(cat="Status",pow=0),0,FLOOR(FLOOR(FLOOR((2*XLOOKUP($K5,'Threshold Summary'!$Y:$Y,'Threshold Summary'!$L:$L,"")/5+2)*pow*atk/def)/50)+2)),modifier,stab*eff,FLOOR(base*modifier)),0)</f>
        <v/>
      </c>
      <c r="H5" s="3">
        <f>IFERROR(LET(mtype,XLOOKUP($D5,'Move Editor'!$B:$B,'Move Editor'!$C:$C,""),cat,XLOOKUP($D5,'Move Editor'!$B:$B,'Move Editor'!$D:$D,""),pow,XLOOKUP($D5,'Move Editor'!$B:$B,'Move Editor'!$E:$E,0),acc,XLOOKUP($D5,'Move Editor'!$B:$B,'Move Editor'!$F:$F,100),atk,IF(cat="Physical",FLOOR((FLOOR(((2*XLOOKUP(XLOOKUP($K5,'Threshold Summary'!$Y:$Y,'Threshold Summary'!$K:$K,""),'Pokemon Editor'!$A:$A,'Pokemon Editor'!$F:$F,0)+31+FLOOR(XLOOKUP($K5,'Threshold Summary'!$Y:$Y,'Threshold Summary'!$P:$P,"")/4))*XLOOKUP($K5,'Threshold Summary'!$Y:$Y,'Threshold Summary'!$L:$L,""))/100)+5)*XLOOKUP(XLOOKUP($K5,'Threshold Summary'!$Y:$Y,'Threshold Summary'!$M:$M,""),'Nature Editor'!$A:$A,'Nature Editor'!$B:$B,1)),FLOOR((FLOOR(((2*XLOOKUP(XLOOKUP($K5,'Threshold Summary'!$Y:$Y,'Threshold Summary'!$K:$K,""),'Pokemon Editor'!$A:$A,'Pokemon Editor'!$H:$H,0)+31+FLOOR(XLOOKUP($K5,'Threshold Summary'!$Y:$Y,'Threshold Summary'!$R:$R,"")/4))*XLOOKUP($K5,'Threshold Summary'!$Y:$Y,'Threshold Summary'!$L:$L,""))/100)+5)*XLOOKUP(XLOOKUP($K5,'Threshold Summary'!$Y:$Y,'Threshold Summary'!$M:$M,""),'Nature Editor'!$A:$A,'Nature Editor'!$D:$D,1))),def,IF(cat="Physical",FLOOR((FLOOR(((2*XLOOKUP($L5,'Pokemon Editor'!$A:$A,'Pokemon Editor'!$G:$G,0)+31+FLOOR(XLOOKUP($L5,'Boss Editor'!$C:$C,'Boss Editor'!$I:$I,"")/4))*XLOOKUP($L5,'Boss Editor'!$C:$C,'Boss Editor'!$D:$D,""))/100)+5)*XLOOKUP(XLOOKUP($L5,'Boss Editor'!$C:$C,'Boss Editor'!$E:$E,""),'Nature Editor'!$A:$A,'Nature Editor'!$C:$C,1)),FLOOR((FLOOR(((2*XLOOKUP($L5,'Pokemon Editor'!$A:$A,'Pokemon Editor'!$I:$I,0)+31+FLOOR(XLOOKUP($L5,'Boss Editor'!$C:$C,'Boss Editor'!$K:$K,"")/4))*XLOOKUP($L5,'Boss Editor'!$C:$C,'Boss Editor'!$D:$D,""))/100)+5)*XLOOKUP(XLOOKUP($L5,'Boss Editor'!$C:$C,'Boss Editor'!$E:$E,""),'Nature Editor'!$A:$A,'Nature Editor'!$E:$E,1))),stab,IF(OR(mtype=XLOOKUP(XLOOKUP($K5,'Threshold Summary'!$Y:$Y,'Threshold Summary'!$K:$K,""),'Pokemon Editor'!$A:$A,'Pokemon Editor'!$C:$C,""),mtype=XLOOKUP(XLOOKUP($K5,'Threshold Summary'!$Y:$Y,'Threshold Summary'!$K:$K,""),'Pokemon Editor'!$A:$A,'Pokemon Editor'!$D:$D,"")),1.5,1),eff,(INDEX('Type Chart'!$B:$S,MATCH(mtype,'Type Chart'!$A:$A,0),MATCH(XLOOKUP($L5,'Pokemon Editor'!$A:$A,'Pokemon Editor'!$C:$C,""),'Type Chart'!$B$1:$S$1,0))*IF(XLOOKUP($L5,'Pokemon Editor'!$A:$A,'Pokemon Editor'!$D:$D,"")="",1,INDEX('Type Chart'!$B:$S,MATCH(mtype,'Type Chart'!$A:$A,0),MATCH(XLOOKUP($L5,'Pokemon Editor'!$A:$A,'Pokemon Editor'!$D:$D,""),'Type Chart'!$B$1:$S$1,0)))),base,IF(OR(cat="Status",pow=0),0,FLOOR(FLOOR(FLOOR((2*XLOOKUP($K5,'Threshold Summary'!$Y:$Y,'Threshold Summary'!$L:$L,"")/5+2)*pow*atk/def)/50)+2)),modifier,stab*eff,AVERAGE(ARRAYFORMULA(FLOOR(base*modifier*SEQUENCE(16,1,85,1)/100)))),0)</f>
        <v/>
      </c>
      <c r="I5" s="4">
        <f>IFERROR(LET(mtype,XLOOKUP($D5,'Move Editor'!$B:$B,'Move Editor'!$C:$C,""),cat,XLOOKUP($D5,'Move Editor'!$B:$B,'Move Editor'!$D:$D,""),pow,XLOOKUP($D5,'Move Editor'!$B:$B,'Move Editor'!$E:$E,0),acc,XLOOKUP($D5,'Move Editor'!$B:$B,'Move Editor'!$F:$F,100),atk,IF(cat="Physical",FLOOR((FLOOR(((2*XLOOKUP(XLOOKUP($K5,'Threshold Summary'!$Y:$Y,'Threshold Summary'!$K:$K,""),'Pokemon Editor'!$A:$A,'Pokemon Editor'!$F:$F,0)+31+FLOOR(XLOOKUP($K5,'Threshold Summary'!$Y:$Y,'Threshold Summary'!$P:$P,"")/4))*XLOOKUP($K5,'Threshold Summary'!$Y:$Y,'Threshold Summary'!$L:$L,""))/100)+5)*XLOOKUP(XLOOKUP($K5,'Threshold Summary'!$Y:$Y,'Threshold Summary'!$M:$M,""),'Nature Editor'!$A:$A,'Nature Editor'!$B:$B,1)),FLOOR((FLOOR(((2*XLOOKUP(XLOOKUP($K5,'Threshold Summary'!$Y:$Y,'Threshold Summary'!$K:$K,""),'Pokemon Editor'!$A:$A,'Pokemon Editor'!$H:$H,0)+31+FLOOR(XLOOKUP($K5,'Threshold Summary'!$Y:$Y,'Threshold Summary'!$R:$R,"")/4))*XLOOKUP($K5,'Threshold Summary'!$Y:$Y,'Threshold Summary'!$L:$L,""))/100)+5)*XLOOKUP(XLOOKUP($K5,'Threshold Summary'!$Y:$Y,'Threshold Summary'!$M:$M,""),'Nature Editor'!$A:$A,'Nature Editor'!$D:$D,1))),def,IF(cat="Physical",FLOOR((FLOOR(((2*XLOOKUP($L5,'Pokemon Editor'!$A:$A,'Pokemon Editor'!$G:$G,0)+31+FLOOR(XLOOKUP($L5,'Boss Editor'!$C:$C,'Boss Editor'!$I:$I,"")/4))*XLOOKUP($L5,'Boss Editor'!$C:$C,'Boss Editor'!$D:$D,""))/100)+5)*XLOOKUP(XLOOKUP($L5,'Boss Editor'!$C:$C,'Boss Editor'!$E:$E,""),'Nature Editor'!$A:$A,'Nature Editor'!$C:$C,1)),FLOOR((FLOOR(((2*XLOOKUP($L5,'Pokemon Editor'!$A:$A,'Pokemon Editor'!$I:$I,0)+31+FLOOR(XLOOKUP($L5,'Boss Editor'!$C:$C,'Boss Editor'!$K:$K,"")/4))*XLOOKUP($L5,'Boss Editor'!$C:$C,'Boss Editor'!$D:$D,""))/100)+5)*XLOOKUP(XLOOKUP($L5,'Boss Editor'!$C:$C,'Boss Editor'!$E:$E,""),'Nature Editor'!$A:$A,'Nature Editor'!$E:$E,1))),stab,IF(OR(mtype=XLOOKUP(XLOOKUP($K5,'Threshold Summary'!$Y:$Y,'Threshold Summary'!$K:$K,""),'Pokemon Editor'!$A:$A,'Pokemon Editor'!$C:$C,""),mtype=XLOOKUP(XLOOKUP($K5,'Threshold Summary'!$Y:$Y,'Threshold Summary'!$K:$K,""),'Pokemon Editor'!$A:$A,'Pokemon Editor'!$D:$D,"")),1.5,1),eff,(INDEX('Type Chart'!$B:$S,MATCH(mtype,'Type Chart'!$A:$A,0),MATCH(XLOOKUP($L5,'Pokemon Editor'!$A:$A,'Pokemon Editor'!$C:$C,""),'Type Chart'!$B$1:$S$1,0))*IF(XLOOKUP($L5,'Pokemon Editor'!$A:$A,'Pokemon Editor'!$D:$D,"")="",1,INDEX('Type Chart'!$B:$S,MATCH(mtype,'Type Chart'!$A:$A,0),MATCH(XLOOKUP($L5,'Pokemon Editor'!$A:$A,'Pokemon Editor'!$D:$D,""),'Type Chart'!$B$1:$S$1,0)))),base,IF(OR(cat="Status",pow=0),0,FLOOR(FLOOR(FLOOR((2*XLOOKUP($K5,'Threshold Summary'!$Y:$Y,'Threshold Summary'!$L:$L,"")/5+2)*pow*atk/def)/50)+2)),modifier,stab*eff,AVERAGE(ARRAYFORMULA(FLOOR(base*modifier*SEQUENCE(16,1,85,1)/100)))/(FLOOR(((2*XLOOKUP($L5,'Pokemon Editor'!$A:$A,'Pokemon Editor'!$E:$E,0)+31+FLOOR(XLOOKUP($L5,'Boss Editor'!$C:$C,'Boss Editor'!$G:$G,"")/4))*XLOOKUP($L5,'Boss Editor'!$C:$C,'Boss Editor'!$D:$D,""))/100)+XLOOKUP($L5,'Boss Editor'!$C:$C,'Boss Editor'!$D:$D,"")+10)),0)</f>
        <v/>
      </c>
      <c r="J5" s="3">
        <f>IF(I5&gt;=1,"OHKO",IF(I5&gt;=0.5,"2HKO",IF(I5&gt;=0.333,"3HKO",IF(I5&gt;=0.25,"4HKO","5HKO+"))))</f>
        <v/>
      </c>
      <c r="K5" s="3" t="inlineStr">
        <is>
          <t>SPECIES_SENTRET</t>
        </is>
      </c>
      <c r="L5" s="3" t="inlineStr">
        <is>
          <t>SPECIES_TIRTOUGA</t>
        </is>
      </c>
    </row>
    <row r="6">
      <c r="A6" s="3">
        <f>XLOOKUP($K6,'Threshold Summary'!$Y:$Y,'Threshold Summary'!$A:$A,"")</f>
        <v/>
      </c>
      <c r="B6" s="3" t="inlineStr">
        <is>
          <t>Anorith</t>
        </is>
      </c>
      <c r="C6" s="3">
        <f>XLOOKUP($L6,'Boss Editor'!$C:$C,'Boss Editor'!$D:$D,"")</f>
        <v/>
      </c>
      <c r="D6" s="3">
        <f>XLOOKUP($K6,'Threshold Summary'!$Y:$Y,'Threshold Summary'!$B:$B,"")</f>
        <v/>
      </c>
      <c r="E6" s="3">
        <f>XLOOKUP(D6,'Move Editor'!$B:$B,'Move Editor'!$C:$C,"")</f>
        <v/>
      </c>
      <c r="F6" s="3">
        <f>IFERROR(LET(mtype,XLOOKUP($D6,'Move Editor'!$B:$B,'Move Editor'!$C:$C,""),cat,XLOOKUP($D6,'Move Editor'!$B:$B,'Move Editor'!$D:$D,""),pow,XLOOKUP($D6,'Move Editor'!$B:$B,'Move Editor'!$E:$E,0),acc,XLOOKUP($D6,'Move Editor'!$B:$B,'Move Editor'!$F:$F,100),atk,IF(cat="Physical",FLOOR((FLOOR(((2*XLOOKUP(XLOOKUP($K6,'Threshold Summary'!$Y:$Y,'Threshold Summary'!$K:$K,""),'Pokemon Editor'!$A:$A,'Pokemon Editor'!$F:$F,0)+31+FLOOR(XLOOKUP($K6,'Threshold Summary'!$Y:$Y,'Threshold Summary'!$P:$P,"")/4))*XLOOKUP($K6,'Threshold Summary'!$Y:$Y,'Threshold Summary'!$L:$L,""))/100)+5)*XLOOKUP(XLOOKUP($K6,'Threshold Summary'!$Y:$Y,'Threshold Summary'!$M:$M,""),'Nature Editor'!$A:$A,'Nature Editor'!$B:$B,1)),FLOOR((FLOOR(((2*XLOOKUP(XLOOKUP($K6,'Threshold Summary'!$Y:$Y,'Threshold Summary'!$K:$K,""),'Pokemon Editor'!$A:$A,'Pokemon Editor'!$H:$H,0)+31+FLOOR(XLOOKUP($K6,'Threshold Summary'!$Y:$Y,'Threshold Summary'!$R:$R,"")/4))*XLOOKUP($K6,'Threshold Summary'!$Y:$Y,'Threshold Summary'!$L:$L,""))/100)+5)*XLOOKUP(XLOOKUP($K6,'Threshold Summary'!$Y:$Y,'Threshold Summary'!$M:$M,""),'Nature Editor'!$A:$A,'Nature Editor'!$D:$D,1))),def,IF(cat="Physical",FLOOR((FLOOR(((2*XLOOKUP($L6,'Pokemon Editor'!$A:$A,'Pokemon Editor'!$G:$G,0)+31+FLOOR(XLOOKUP($L6,'Boss Editor'!$C:$C,'Boss Editor'!$I:$I,"")/4))*XLOOKUP($L6,'Boss Editor'!$C:$C,'Boss Editor'!$D:$D,""))/100)+5)*XLOOKUP(XLOOKUP($L6,'Boss Editor'!$C:$C,'Boss Editor'!$E:$E,""),'Nature Editor'!$A:$A,'Nature Editor'!$C:$C,1)),FLOOR((FLOOR(((2*XLOOKUP($L6,'Pokemon Editor'!$A:$A,'Pokemon Editor'!$I:$I,0)+31+FLOOR(XLOOKUP($L6,'Boss Editor'!$C:$C,'Boss Editor'!$K:$K,"")/4))*XLOOKUP($L6,'Boss Editor'!$C:$C,'Boss Editor'!$D:$D,""))/100)+5)*XLOOKUP(XLOOKUP($L6,'Boss Editor'!$C:$C,'Boss Editor'!$E:$E,""),'Nature Editor'!$A:$A,'Nature Editor'!$E:$E,1))),stab,IF(OR(mtype=XLOOKUP(XLOOKUP($K6,'Threshold Summary'!$Y:$Y,'Threshold Summary'!$K:$K,""),'Pokemon Editor'!$A:$A,'Pokemon Editor'!$C:$C,""),mtype=XLOOKUP(XLOOKUP($K6,'Threshold Summary'!$Y:$Y,'Threshold Summary'!$K:$K,""),'Pokemon Editor'!$A:$A,'Pokemon Editor'!$D:$D,"")),1.5,1),eff,(INDEX('Type Chart'!$B:$S,MATCH(mtype,'Type Chart'!$A:$A,0),MATCH(XLOOKUP($L6,'Pokemon Editor'!$A:$A,'Pokemon Editor'!$C:$C,""),'Type Chart'!$B$1:$S$1,0))*IF(XLOOKUP($L6,'Pokemon Editor'!$A:$A,'Pokemon Editor'!$D:$D,"")="",1,INDEX('Type Chart'!$B:$S,MATCH(mtype,'Type Chart'!$A:$A,0),MATCH(XLOOKUP($L6,'Pokemon Editor'!$A:$A,'Pokemon Editor'!$D:$D,""),'Type Chart'!$B$1:$S$1,0)))),base,IF(OR(cat="Status",pow=0),0,FLOOR(FLOOR(FLOOR((2*XLOOKUP($K6,'Threshold Summary'!$Y:$Y,'Threshold Summary'!$L:$L,"")/5+2)*pow*atk/def)/50)+2)),modifier,stab*eff,FLOOR(base*modifier*0.85)),0)</f>
        <v/>
      </c>
      <c r="G6" s="3">
        <f>IFERROR(LET(mtype,XLOOKUP($D6,'Move Editor'!$B:$B,'Move Editor'!$C:$C,""),cat,XLOOKUP($D6,'Move Editor'!$B:$B,'Move Editor'!$D:$D,""),pow,XLOOKUP($D6,'Move Editor'!$B:$B,'Move Editor'!$E:$E,0),acc,XLOOKUP($D6,'Move Editor'!$B:$B,'Move Editor'!$F:$F,100),atk,IF(cat="Physical",FLOOR((FLOOR(((2*XLOOKUP(XLOOKUP($K6,'Threshold Summary'!$Y:$Y,'Threshold Summary'!$K:$K,""),'Pokemon Editor'!$A:$A,'Pokemon Editor'!$F:$F,0)+31+FLOOR(XLOOKUP($K6,'Threshold Summary'!$Y:$Y,'Threshold Summary'!$P:$P,"")/4))*XLOOKUP($K6,'Threshold Summary'!$Y:$Y,'Threshold Summary'!$L:$L,""))/100)+5)*XLOOKUP(XLOOKUP($K6,'Threshold Summary'!$Y:$Y,'Threshold Summary'!$M:$M,""),'Nature Editor'!$A:$A,'Nature Editor'!$B:$B,1)),FLOOR((FLOOR(((2*XLOOKUP(XLOOKUP($K6,'Threshold Summary'!$Y:$Y,'Threshold Summary'!$K:$K,""),'Pokemon Editor'!$A:$A,'Pokemon Editor'!$H:$H,0)+31+FLOOR(XLOOKUP($K6,'Threshold Summary'!$Y:$Y,'Threshold Summary'!$R:$R,"")/4))*XLOOKUP($K6,'Threshold Summary'!$Y:$Y,'Threshold Summary'!$L:$L,""))/100)+5)*XLOOKUP(XLOOKUP($K6,'Threshold Summary'!$Y:$Y,'Threshold Summary'!$M:$M,""),'Nature Editor'!$A:$A,'Nature Editor'!$D:$D,1))),def,IF(cat="Physical",FLOOR((FLOOR(((2*XLOOKUP($L6,'Pokemon Editor'!$A:$A,'Pokemon Editor'!$G:$G,0)+31+FLOOR(XLOOKUP($L6,'Boss Editor'!$C:$C,'Boss Editor'!$I:$I,"")/4))*XLOOKUP($L6,'Boss Editor'!$C:$C,'Boss Editor'!$D:$D,""))/100)+5)*XLOOKUP(XLOOKUP($L6,'Boss Editor'!$C:$C,'Boss Editor'!$E:$E,""),'Nature Editor'!$A:$A,'Nature Editor'!$C:$C,1)),FLOOR((FLOOR(((2*XLOOKUP($L6,'Pokemon Editor'!$A:$A,'Pokemon Editor'!$I:$I,0)+31+FLOOR(XLOOKUP($L6,'Boss Editor'!$C:$C,'Boss Editor'!$K:$K,"")/4))*XLOOKUP($L6,'Boss Editor'!$C:$C,'Boss Editor'!$D:$D,""))/100)+5)*XLOOKUP(XLOOKUP($L6,'Boss Editor'!$C:$C,'Boss Editor'!$E:$E,""),'Nature Editor'!$A:$A,'Nature Editor'!$E:$E,1))),stab,IF(OR(mtype=XLOOKUP(XLOOKUP($K6,'Threshold Summary'!$Y:$Y,'Threshold Summary'!$K:$K,""),'Pokemon Editor'!$A:$A,'Pokemon Editor'!$C:$C,""),mtype=XLOOKUP(XLOOKUP($K6,'Threshold Summary'!$Y:$Y,'Threshold Summary'!$K:$K,""),'Pokemon Editor'!$A:$A,'Pokemon Editor'!$D:$D,"")),1.5,1),eff,(INDEX('Type Chart'!$B:$S,MATCH(mtype,'Type Chart'!$A:$A,0),MATCH(XLOOKUP($L6,'Pokemon Editor'!$A:$A,'Pokemon Editor'!$C:$C,""),'Type Chart'!$B$1:$S$1,0))*IF(XLOOKUP($L6,'Pokemon Editor'!$A:$A,'Pokemon Editor'!$D:$D,"")="",1,INDEX('Type Chart'!$B:$S,MATCH(mtype,'Type Chart'!$A:$A,0),MATCH(XLOOKUP($L6,'Pokemon Editor'!$A:$A,'Pokemon Editor'!$D:$D,""),'Type Chart'!$B$1:$S$1,0)))),base,IF(OR(cat="Status",pow=0),0,FLOOR(FLOOR(FLOOR((2*XLOOKUP($K6,'Threshold Summary'!$Y:$Y,'Threshold Summary'!$L:$L,"")/5+2)*pow*atk/def)/50)+2)),modifier,stab*eff,FLOOR(base*modifier)),0)</f>
        <v/>
      </c>
      <c r="H6" s="3">
        <f>IFERROR(LET(mtype,XLOOKUP($D6,'Move Editor'!$B:$B,'Move Editor'!$C:$C,""),cat,XLOOKUP($D6,'Move Editor'!$B:$B,'Move Editor'!$D:$D,""),pow,XLOOKUP($D6,'Move Editor'!$B:$B,'Move Editor'!$E:$E,0),acc,XLOOKUP($D6,'Move Editor'!$B:$B,'Move Editor'!$F:$F,100),atk,IF(cat="Physical",FLOOR((FLOOR(((2*XLOOKUP(XLOOKUP($K6,'Threshold Summary'!$Y:$Y,'Threshold Summary'!$K:$K,""),'Pokemon Editor'!$A:$A,'Pokemon Editor'!$F:$F,0)+31+FLOOR(XLOOKUP($K6,'Threshold Summary'!$Y:$Y,'Threshold Summary'!$P:$P,"")/4))*XLOOKUP($K6,'Threshold Summary'!$Y:$Y,'Threshold Summary'!$L:$L,""))/100)+5)*XLOOKUP(XLOOKUP($K6,'Threshold Summary'!$Y:$Y,'Threshold Summary'!$M:$M,""),'Nature Editor'!$A:$A,'Nature Editor'!$B:$B,1)),FLOOR((FLOOR(((2*XLOOKUP(XLOOKUP($K6,'Threshold Summary'!$Y:$Y,'Threshold Summary'!$K:$K,""),'Pokemon Editor'!$A:$A,'Pokemon Editor'!$H:$H,0)+31+FLOOR(XLOOKUP($K6,'Threshold Summary'!$Y:$Y,'Threshold Summary'!$R:$R,"")/4))*XLOOKUP($K6,'Threshold Summary'!$Y:$Y,'Threshold Summary'!$L:$L,""))/100)+5)*XLOOKUP(XLOOKUP($K6,'Threshold Summary'!$Y:$Y,'Threshold Summary'!$M:$M,""),'Nature Editor'!$A:$A,'Nature Editor'!$D:$D,1))),def,IF(cat="Physical",FLOOR((FLOOR(((2*XLOOKUP($L6,'Pokemon Editor'!$A:$A,'Pokemon Editor'!$G:$G,0)+31+FLOOR(XLOOKUP($L6,'Boss Editor'!$C:$C,'Boss Editor'!$I:$I,"")/4))*XLOOKUP($L6,'Boss Editor'!$C:$C,'Boss Editor'!$D:$D,""))/100)+5)*XLOOKUP(XLOOKUP($L6,'Boss Editor'!$C:$C,'Boss Editor'!$E:$E,""),'Nature Editor'!$A:$A,'Nature Editor'!$C:$C,1)),FLOOR((FLOOR(((2*XLOOKUP($L6,'Pokemon Editor'!$A:$A,'Pokemon Editor'!$I:$I,0)+31+FLOOR(XLOOKUP($L6,'Boss Editor'!$C:$C,'Boss Editor'!$K:$K,"")/4))*XLOOKUP($L6,'Boss Editor'!$C:$C,'Boss Editor'!$D:$D,""))/100)+5)*XLOOKUP(XLOOKUP($L6,'Boss Editor'!$C:$C,'Boss Editor'!$E:$E,""),'Nature Editor'!$A:$A,'Nature Editor'!$E:$E,1))),stab,IF(OR(mtype=XLOOKUP(XLOOKUP($K6,'Threshold Summary'!$Y:$Y,'Threshold Summary'!$K:$K,""),'Pokemon Editor'!$A:$A,'Pokemon Editor'!$C:$C,""),mtype=XLOOKUP(XLOOKUP($K6,'Threshold Summary'!$Y:$Y,'Threshold Summary'!$K:$K,""),'Pokemon Editor'!$A:$A,'Pokemon Editor'!$D:$D,"")),1.5,1),eff,(INDEX('Type Chart'!$B:$S,MATCH(mtype,'Type Chart'!$A:$A,0),MATCH(XLOOKUP($L6,'Pokemon Editor'!$A:$A,'Pokemon Editor'!$C:$C,""),'Type Chart'!$B$1:$S$1,0))*IF(XLOOKUP($L6,'Pokemon Editor'!$A:$A,'Pokemon Editor'!$D:$D,"")="",1,INDEX('Type Chart'!$B:$S,MATCH(mtype,'Type Chart'!$A:$A,0),MATCH(XLOOKUP($L6,'Pokemon Editor'!$A:$A,'Pokemon Editor'!$D:$D,""),'Type Chart'!$B$1:$S$1,0)))),base,IF(OR(cat="Status",pow=0),0,FLOOR(FLOOR(FLOOR((2*XLOOKUP($K6,'Threshold Summary'!$Y:$Y,'Threshold Summary'!$L:$L,"")/5+2)*pow*atk/def)/50)+2)),modifier,stab*eff,AVERAGE(ARRAYFORMULA(FLOOR(base*modifier*SEQUENCE(16,1,85,1)/100)))),0)</f>
        <v/>
      </c>
      <c r="I6" s="4">
        <f>IFERROR(LET(mtype,XLOOKUP($D6,'Move Editor'!$B:$B,'Move Editor'!$C:$C,""),cat,XLOOKUP($D6,'Move Editor'!$B:$B,'Move Editor'!$D:$D,""),pow,XLOOKUP($D6,'Move Editor'!$B:$B,'Move Editor'!$E:$E,0),acc,XLOOKUP($D6,'Move Editor'!$B:$B,'Move Editor'!$F:$F,100),atk,IF(cat="Physical",FLOOR((FLOOR(((2*XLOOKUP(XLOOKUP($K6,'Threshold Summary'!$Y:$Y,'Threshold Summary'!$K:$K,""),'Pokemon Editor'!$A:$A,'Pokemon Editor'!$F:$F,0)+31+FLOOR(XLOOKUP($K6,'Threshold Summary'!$Y:$Y,'Threshold Summary'!$P:$P,"")/4))*XLOOKUP($K6,'Threshold Summary'!$Y:$Y,'Threshold Summary'!$L:$L,""))/100)+5)*XLOOKUP(XLOOKUP($K6,'Threshold Summary'!$Y:$Y,'Threshold Summary'!$M:$M,""),'Nature Editor'!$A:$A,'Nature Editor'!$B:$B,1)),FLOOR((FLOOR(((2*XLOOKUP(XLOOKUP($K6,'Threshold Summary'!$Y:$Y,'Threshold Summary'!$K:$K,""),'Pokemon Editor'!$A:$A,'Pokemon Editor'!$H:$H,0)+31+FLOOR(XLOOKUP($K6,'Threshold Summary'!$Y:$Y,'Threshold Summary'!$R:$R,"")/4))*XLOOKUP($K6,'Threshold Summary'!$Y:$Y,'Threshold Summary'!$L:$L,""))/100)+5)*XLOOKUP(XLOOKUP($K6,'Threshold Summary'!$Y:$Y,'Threshold Summary'!$M:$M,""),'Nature Editor'!$A:$A,'Nature Editor'!$D:$D,1))),def,IF(cat="Physical",FLOOR((FLOOR(((2*XLOOKUP($L6,'Pokemon Editor'!$A:$A,'Pokemon Editor'!$G:$G,0)+31+FLOOR(XLOOKUP($L6,'Boss Editor'!$C:$C,'Boss Editor'!$I:$I,"")/4))*XLOOKUP($L6,'Boss Editor'!$C:$C,'Boss Editor'!$D:$D,""))/100)+5)*XLOOKUP(XLOOKUP($L6,'Boss Editor'!$C:$C,'Boss Editor'!$E:$E,""),'Nature Editor'!$A:$A,'Nature Editor'!$C:$C,1)),FLOOR((FLOOR(((2*XLOOKUP($L6,'Pokemon Editor'!$A:$A,'Pokemon Editor'!$I:$I,0)+31+FLOOR(XLOOKUP($L6,'Boss Editor'!$C:$C,'Boss Editor'!$K:$K,"")/4))*XLOOKUP($L6,'Boss Editor'!$C:$C,'Boss Editor'!$D:$D,""))/100)+5)*XLOOKUP(XLOOKUP($L6,'Boss Editor'!$C:$C,'Boss Editor'!$E:$E,""),'Nature Editor'!$A:$A,'Nature Editor'!$E:$E,1))),stab,IF(OR(mtype=XLOOKUP(XLOOKUP($K6,'Threshold Summary'!$Y:$Y,'Threshold Summary'!$K:$K,""),'Pokemon Editor'!$A:$A,'Pokemon Editor'!$C:$C,""),mtype=XLOOKUP(XLOOKUP($K6,'Threshold Summary'!$Y:$Y,'Threshold Summary'!$K:$K,""),'Pokemon Editor'!$A:$A,'Pokemon Editor'!$D:$D,"")),1.5,1),eff,(INDEX('Type Chart'!$B:$S,MATCH(mtype,'Type Chart'!$A:$A,0),MATCH(XLOOKUP($L6,'Pokemon Editor'!$A:$A,'Pokemon Editor'!$C:$C,""),'Type Chart'!$B$1:$S$1,0))*IF(XLOOKUP($L6,'Pokemon Editor'!$A:$A,'Pokemon Editor'!$D:$D,"")="",1,INDEX('Type Chart'!$B:$S,MATCH(mtype,'Type Chart'!$A:$A,0),MATCH(XLOOKUP($L6,'Pokemon Editor'!$A:$A,'Pokemon Editor'!$D:$D,""),'Type Chart'!$B$1:$S$1,0)))),base,IF(OR(cat="Status",pow=0),0,FLOOR(FLOOR(FLOOR((2*XLOOKUP($K6,'Threshold Summary'!$Y:$Y,'Threshold Summary'!$L:$L,"")/5+2)*pow*atk/def)/50)+2)),modifier,stab*eff,AVERAGE(ARRAYFORMULA(FLOOR(base*modifier*SEQUENCE(16,1,85,1)/100)))/(FLOOR(((2*XLOOKUP($L6,'Pokemon Editor'!$A:$A,'Pokemon Editor'!$E:$E,0)+31+FLOOR(XLOOKUP($L6,'Boss Editor'!$C:$C,'Boss Editor'!$G:$G,"")/4))*XLOOKUP($L6,'Boss Editor'!$C:$C,'Boss Editor'!$D:$D,""))/100)+XLOOKUP($L6,'Boss Editor'!$C:$C,'Boss Editor'!$D:$D,"")+10)),0)</f>
        <v/>
      </c>
      <c r="J6" s="3">
        <f>IF(I6&gt;=1,"OHKO",IF(I6&gt;=0.5,"2HKO",IF(I6&gt;=0.333,"3HKO",IF(I6&gt;=0.25,"4HKO","5HKO+"))))</f>
        <v/>
      </c>
      <c r="K6" s="3" t="inlineStr">
        <is>
          <t>SPECIES_SENTRET</t>
        </is>
      </c>
      <c r="L6" s="3" t="inlineStr">
        <is>
          <t>SPECIES_ANORITH</t>
        </is>
      </c>
    </row>
    <row r="7">
      <c r="A7" s="3">
        <f>XLOOKUP($K7,'Threshold Summary'!$Y:$Y,'Threshold Summary'!$A:$A,"")</f>
        <v/>
      </c>
      <c r="B7" s="3" t="inlineStr">
        <is>
          <t>Lileep</t>
        </is>
      </c>
      <c r="C7" s="3">
        <f>XLOOKUP($L7,'Boss Editor'!$C:$C,'Boss Editor'!$D:$D,"")</f>
        <v/>
      </c>
      <c r="D7" s="3">
        <f>XLOOKUP($K7,'Threshold Summary'!$Y:$Y,'Threshold Summary'!$B:$B,"")</f>
        <v/>
      </c>
      <c r="E7" s="3">
        <f>XLOOKUP(D7,'Move Editor'!$B:$B,'Move Editor'!$C:$C,"")</f>
        <v/>
      </c>
      <c r="F7" s="3">
        <f>IFERROR(LET(mtype,XLOOKUP($D7,'Move Editor'!$B:$B,'Move Editor'!$C:$C,""),cat,XLOOKUP($D7,'Move Editor'!$B:$B,'Move Editor'!$D:$D,""),pow,XLOOKUP($D7,'Move Editor'!$B:$B,'Move Editor'!$E:$E,0),acc,XLOOKUP($D7,'Move Editor'!$B:$B,'Move Editor'!$F:$F,100),atk,IF(cat="Physical",FLOOR((FLOOR(((2*XLOOKUP(XLOOKUP($K7,'Threshold Summary'!$Y:$Y,'Threshold Summary'!$K:$K,""),'Pokemon Editor'!$A:$A,'Pokemon Editor'!$F:$F,0)+31+FLOOR(XLOOKUP($K7,'Threshold Summary'!$Y:$Y,'Threshold Summary'!$P:$P,"")/4))*XLOOKUP($K7,'Threshold Summary'!$Y:$Y,'Threshold Summary'!$L:$L,""))/100)+5)*XLOOKUP(XLOOKUP($K7,'Threshold Summary'!$Y:$Y,'Threshold Summary'!$M:$M,""),'Nature Editor'!$A:$A,'Nature Editor'!$B:$B,1)),FLOOR((FLOOR(((2*XLOOKUP(XLOOKUP($K7,'Threshold Summary'!$Y:$Y,'Threshold Summary'!$K:$K,""),'Pokemon Editor'!$A:$A,'Pokemon Editor'!$H:$H,0)+31+FLOOR(XLOOKUP($K7,'Threshold Summary'!$Y:$Y,'Threshold Summary'!$R:$R,"")/4))*XLOOKUP($K7,'Threshold Summary'!$Y:$Y,'Threshold Summary'!$L:$L,""))/100)+5)*XLOOKUP(XLOOKUP($K7,'Threshold Summary'!$Y:$Y,'Threshold Summary'!$M:$M,""),'Nature Editor'!$A:$A,'Nature Editor'!$D:$D,1))),def,IF(cat="Physical",FLOOR((FLOOR(((2*XLOOKUP($L7,'Pokemon Editor'!$A:$A,'Pokemon Editor'!$G:$G,0)+31+FLOOR(XLOOKUP($L7,'Boss Editor'!$C:$C,'Boss Editor'!$I:$I,"")/4))*XLOOKUP($L7,'Boss Editor'!$C:$C,'Boss Editor'!$D:$D,""))/100)+5)*XLOOKUP(XLOOKUP($L7,'Boss Editor'!$C:$C,'Boss Editor'!$E:$E,""),'Nature Editor'!$A:$A,'Nature Editor'!$C:$C,1)),FLOOR((FLOOR(((2*XLOOKUP($L7,'Pokemon Editor'!$A:$A,'Pokemon Editor'!$I:$I,0)+31+FLOOR(XLOOKUP($L7,'Boss Editor'!$C:$C,'Boss Editor'!$K:$K,"")/4))*XLOOKUP($L7,'Boss Editor'!$C:$C,'Boss Editor'!$D:$D,""))/100)+5)*XLOOKUP(XLOOKUP($L7,'Boss Editor'!$C:$C,'Boss Editor'!$E:$E,""),'Nature Editor'!$A:$A,'Nature Editor'!$E:$E,1))),stab,IF(OR(mtype=XLOOKUP(XLOOKUP($K7,'Threshold Summary'!$Y:$Y,'Threshold Summary'!$K:$K,""),'Pokemon Editor'!$A:$A,'Pokemon Editor'!$C:$C,""),mtype=XLOOKUP(XLOOKUP($K7,'Threshold Summary'!$Y:$Y,'Threshold Summary'!$K:$K,""),'Pokemon Editor'!$A:$A,'Pokemon Editor'!$D:$D,"")),1.5,1),eff,(INDEX('Type Chart'!$B:$S,MATCH(mtype,'Type Chart'!$A:$A,0),MATCH(XLOOKUP($L7,'Pokemon Editor'!$A:$A,'Pokemon Editor'!$C:$C,""),'Type Chart'!$B$1:$S$1,0))*IF(XLOOKUP($L7,'Pokemon Editor'!$A:$A,'Pokemon Editor'!$D:$D,"")="",1,INDEX('Type Chart'!$B:$S,MATCH(mtype,'Type Chart'!$A:$A,0),MATCH(XLOOKUP($L7,'Pokemon Editor'!$A:$A,'Pokemon Editor'!$D:$D,""),'Type Chart'!$B$1:$S$1,0)))),base,IF(OR(cat="Status",pow=0),0,FLOOR(FLOOR(FLOOR((2*XLOOKUP($K7,'Threshold Summary'!$Y:$Y,'Threshold Summary'!$L:$L,"")/5+2)*pow*atk/def)/50)+2)),modifier,stab*eff,FLOOR(base*modifier*0.85)),0)</f>
        <v/>
      </c>
      <c r="G7" s="3">
        <f>IFERROR(LET(mtype,XLOOKUP($D7,'Move Editor'!$B:$B,'Move Editor'!$C:$C,""),cat,XLOOKUP($D7,'Move Editor'!$B:$B,'Move Editor'!$D:$D,""),pow,XLOOKUP($D7,'Move Editor'!$B:$B,'Move Editor'!$E:$E,0),acc,XLOOKUP($D7,'Move Editor'!$B:$B,'Move Editor'!$F:$F,100),atk,IF(cat="Physical",FLOOR((FLOOR(((2*XLOOKUP(XLOOKUP($K7,'Threshold Summary'!$Y:$Y,'Threshold Summary'!$K:$K,""),'Pokemon Editor'!$A:$A,'Pokemon Editor'!$F:$F,0)+31+FLOOR(XLOOKUP($K7,'Threshold Summary'!$Y:$Y,'Threshold Summary'!$P:$P,"")/4))*XLOOKUP($K7,'Threshold Summary'!$Y:$Y,'Threshold Summary'!$L:$L,""))/100)+5)*XLOOKUP(XLOOKUP($K7,'Threshold Summary'!$Y:$Y,'Threshold Summary'!$M:$M,""),'Nature Editor'!$A:$A,'Nature Editor'!$B:$B,1)),FLOOR((FLOOR(((2*XLOOKUP(XLOOKUP($K7,'Threshold Summary'!$Y:$Y,'Threshold Summary'!$K:$K,""),'Pokemon Editor'!$A:$A,'Pokemon Editor'!$H:$H,0)+31+FLOOR(XLOOKUP($K7,'Threshold Summary'!$Y:$Y,'Threshold Summary'!$R:$R,"")/4))*XLOOKUP($K7,'Threshold Summary'!$Y:$Y,'Threshold Summary'!$L:$L,""))/100)+5)*XLOOKUP(XLOOKUP($K7,'Threshold Summary'!$Y:$Y,'Threshold Summary'!$M:$M,""),'Nature Editor'!$A:$A,'Nature Editor'!$D:$D,1))),def,IF(cat="Physical",FLOOR((FLOOR(((2*XLOOKUP($L7,'Pokemon Editor'!$A:$A,'Pokemon Editor'!$G:$G,0)+31+FLOOR(XLOOKUP($L7,'Boss Editor'!$C:$C,'Boss Editor'!$I:$I,"")/4))*XLOOKUP($L7,'Boss Editor'!$C:$C,'Boss Editor'!$D:$D,""))/100)+5)*XLOOKUP(XLOOKUP($L7,'Boss Editor'!$C:$C,'Boss Editor'!$E:$E,""),'Nature Editor'!$A:$A,'Nature Editor'!$C:$C,1)),FLOOR((FLOOR(((2*XLOOKUP($L7,'Pokemon Editor'!$A:$A,'Pokemon Editor'!$I:$I,0)+31+FLOOR(XLOOKUP($L7,'Boss Editor'!$C:$C,'Boss Editor'!$K:$K,"")/4))*XLOOKUP($L7,'Boss Editor'!$C:$C,'Boss Editor'!$D:$D,""))/100)+5)*XLOOKUP(XLOOKUP($L7,'Boss Editor'!$C:$C,'Boss Editor'!$E:$E,""),'Nature Editor'!$A:$A,'Nature Editor'!$E:$E,1))),stab,IF(OR(mtype=XLOOKUP(XLOOKUP($K7,'Threshold Summary'!$Y:$Y,'Threshold Summary'!$K:$K,""),'Pokemon Editor'!$A:$A,'Pokemon Editor'!$C:$C,""),mtype=XLOOKUP(XLOOKUP($K7,'Threshold Summary'!$Y:$Y,'Threshold Summary'!$K:$K,""),'Pokemon Editor'!$A:$A,'Pokemon Editor'!$D:$D,"")),1.5,1),eff,(INDEX('Type Chart'!$B:$S,MATCH(mtype,'Type Chart'!$A:$A,0),MATCH(XLOOKUP($L7,'Pokemon Editor'!$A:$A,'Pokemon Editor'!$C:$C,""),'Type Chart'!$B$1:$S$1,0))*IF(XLOOKUP($L7,'Pokemon Editor'!$A:$A,'Pokemon Editor'!$D:$D,"")="",1,INDEX('Type Chart'!$B:$S,MATCH(mtype,'Type Chart'!$A:$A,0),MATCH(XLOOKUP($L7,'Pokemon Editor'!$A:$A,'Pokemon Editor'!$D:$D,""),'Type Chart'!$B$1:$S$1,0)))),base,IF(OR(cat="Status",pow=0),0,FLOOR(FLOOR(FLOOR((2*XLOOKUP($K7,'Threshold Summary'!$Y:$Y,'Threshold Summary'!$L:$L,"")/5+2)*pow*atk/def)/50)+2)),modifier,stab*eff,FLOOR(base*modifier)),0)</f>
        <v/>
      </c>
      <c r="H7" s="3">
        <f>IFERROR(LET(mtype,XLOOKUP($D7,'Move Editor'!$B:$B,'Move Editor'!$C:$C,""),cat,XLOOKUP($D7,'Move Editor'!$B:$B,'Move Editor'!$D:$D,""),pow,XLOOKUP($D7,'Move Editor'!$B:$B,'Move Editor'!$E:$E,0),acc,XLOOKUP($D7,'Move Editor'!$B:$B,'Move Editor'!$F:$F,100),atk,IF(cat="Physical",FLOOR((FLOOR(((2*XLOOKUP(XLOOKUP($K7,'Threshold Summary'!$Y:$Y,'Threshold Summary'!$K:$K,""),'Pokemon Editor'!$A:$A,'Pokemon Editor'!$F:$F,0)+31+FLOOR(XLOOKUP($K7,'Threshold Summary'!$Y:$Y,'Threshold Summary'!$P:$P,"")/4))*XLOOKUP($K7,'Threshold Summary'!$Y:$Y,'Threshold Summary'!$L:$L,""))/100)+5)*XLOOKUP(XLOOKUP($K7,'Threshold Summary'!$Y:$Y,'Threshold Summary'!$M:$M,""),'Nature Editor'!$A:$A,'Nature Editor'!$B:$B,1)),FLOOR((FLOOR(((2*XLOOKUP(XLOOKUP($K7,'Threshold Summary'!$Y:$Y,'Threshold Summary'!$K:$K,""),'Pokemon Editor'!$A:$A,'Pokemon Editor'!$H:$H,0)+31+FLOOR(XLOOKUP($K7,'Threshold Summary'!$Y:$Y,'Threshold Summary'!$R:$R,"")/4))*XLOOKUP($K7,'Threshold Summary'!$Y:$Y,'Threshold Summary'!$L:$L,""))/100)+5)*XLOOKUP(XLOOKUP($K7,'Threshold Summary'!$Y:$Y,'Threshold Summary'!$M:$M,""),'Nature Editor'!$A:$A,'Nature Editor'!$D:$D,1))),def,IF(cat="Physical",FLOOR((FLOOR(((2*XLOOKUP($L7,'Pokemon Editor'!$A:$A,'Pokemon Editor'!$G:$G,0)+31+FLOOR(XLOOKUP($L7,'Boss Editor'!$C:$C,'Boss Editor'!$I:$I,"")/4))*XLOOKUP($L7,'Boss Editor'!$C:$C,'Boss Editor'!$D:$D,""))/100)+5)*XLOOKUP(XLOOKUP($L7,'Boss Editor'!$C:$C,'Boss Editor'!$E:$E,""),'Nature Editor'!$A:$A,'Nature Editor'!$C:$C,1)),FLOOR((FLOOR(((2*XLOOKUP($L7,'Pokemon Editor'!$A:$A,'Pokemon Editor'!$I:$I,0)+31+FLOOR(XLOOKUP($L7,'Boss Editor'!$C:$C,'Boss Editor'!$K:$K,"")/4))*XLOOKUP($L7,'Boss Editor'!$C:$C,'Boss Editor'!$D:$D,""))/100)+5)*XLOOKUP(XLOOKUP($L7,'Boss Editor'!$C:$C,'Boss Editor'!$E:$E,""),'Nature Editor'!$A:$A,'Nature Editor'!$E:$E,1))),stab,IF(OR(mtype=XLOOKUP(XLOOKUP($K7,'Threshold Summary'!$Y:$Y,'Threshold Summary'!$K:$K,""),'Pokemon Editor'!$A:$A,'Pokemon Editor'!$C:$C,""),mtype=XLOOKUP(XLOOKUP($K7,'Threshold Summary'!$Y:$Y,'Threshold Summary'!$K:$K,""),'Pokemon Editor'!$A:$A,'Pokemon Editor'!$D:$D,"")),1.5,1),eff,(INDEX('Type Chart'!$B:$S,MATCH(mtype,'Type Chart'!$A:$A,0),MATCH(XLOOKUP($L7,'Pokemon Editor'!$A:$A,'Pokemon Editor'!$C:$C,""),'Type Chart'!$B$1:$S$1,0))*IF(XLOOKUP($L7,'Pokemon Editor'!$A:$A,'Pokemon Editor'!$D:$D,"")="",1,INDEX('Type Chart'!$B:$S,MATCH(mtype,'Type Chart'!$A:$A,0),MATCH(XLOOKUP($L7,'Pokemon Editor'!$A:$A,'Pokemon Editor'!$D:$D,""),'Type Chart'!$B$1:$S$1,0)))),base,IF(OR(cat="Status",pow=0),0,FLOOR(FLOOR(FLOOR((2*XLOOKUP($K7,'Threshold Summary'!$Y:$Y,'Threshold Summary'!$L:$L,"")/5+2)*pow*atk/def)/50)+2)),modifier,stab*eff,AVERAGE(ARRAYFORMULA(FLOOR(base*modifier*SEQUENCE(16,1,85,1)/100)))),0)</f>
        <v/>
      </c>
      <c r="I7" s="4">
        <f>IFERROR(LET(mtype,XLOOKUP($D7,'Move Editor'!$B:$B,'Move Editor'!$C:$C,""),cat,XLOOKUP($D7,'Move Editor'!$B:$B,'Move Editor'!$D:$D,""),pow,XLOOKUP($D7,'Move Editor'!$B:$B,'Move Editor'!$E:$E,0),acc,XLOOKUP($D7,'Move Editor'!$B:$B,'Move Editor'!$F:$F,100),atk,IF(cat="Physical",FLOOR((FLOOR(((2*XLOOKUP(XLOOKUP($K7,'Threshold Summary'!$Y:$Y,'Threshold Summary'!$K:$K,""),'Pokemon Editor'!$A:$A,'Pokemon Editor'!$F:$F,0)+31+FLOOR(XLOOKUP($K7,'Threshold Summary'!$Y:$Y,'Threshold Summary'!$P:$P,"")/4))*XLOOKUP($K7,'Threshold Summary'!$Y:$Y,'Threshold Summary'!$L:$L,""))/100)+5)*XLOOKUP(XLOOKUP($K7,'Threshold Summary'!$Y:$Y,'Threshold Summary'!$M:$M,""),'Nature Editor'!$A:$A,'Nature Editor'!$B:$B,1)),FLOOR((FLOOR(((2*XLOOKUP(XLOOKUP($K7,'Threshold Summary'!$Y:$Y,'Threshold Summary'!$K:$K,""),'Pokemon Editor'!$A:$A,'Pokemon Editor'!$H:$H,0)+31+FLOOR(XLOOKUP($K7,'Threshold Summary'!$Y:$Y,'Threshold Summary'!$R:$R,"")/4))*XLOOKUP($K7,'Threshold Summary'!$Y:$Y,'Threshold Summary'!$L:$L,""))/100)+5)*XLOOKUP(XLOOKUP($K7,'Threshold Summary'!$Y:$Y,'Threshold Summary'!$M:$M,""),'Nature Editor'!$A:$A,'Nature Editor'!$D:$D,1))),def,IF(cat="Physical",FLOOR((FLOOR(((2*XLOOKUP($L7,'Pokemon Editor'!$A:$A,'Pokemon Editor'!$G:$G,0)+31+FLOOR(XLOOKUP($L7,'Boss Editor'!$C:$C,'Boss Editor'!$I:$I,"")/4))*XLOOKUP($L7,'Boss Editor'!$C:$C,'Boss Editor'!$D:$D,""))/100)+5)*XLOOKUP(XLOOKUP($L7,'Boss Editor'!$C:$C,'Boss Editor'!$E:$E,""),'Nature Editor'!$A:$A,'Nature Editor'!$C:$C,1)),FLOOR((FLOOR(((2*XLOOKUP($L7,'Pokemon Editor'!$A:$A,'Pokemon Editor'!$I:$I,0)+31+FLOOR(XLOOKUP($L7,'Boss Editor'!$C:$C,'Boss Editor'!$K:$K,"")/4))*XLOOKUP($L7,'Boss Editor'!$C:$C,'Boss Editor'!$D:$D,""))/100)+5)*XLOOKUP(XLOOKUP($L7,'Boss Editor'!$C:$C,'Boss Editor'!$E:$E,""),'Nature Editor'!$A:$A,'Nature Editor'!$E:$E,1))),stab,IF(OR(mtype=XLOOKUP(XLOOKUP($K7,'Threshold Summary'!$Y:$Y,'Threshold Summary'!$K:$K,""),'Pokemon Editor'!$A:$A,'Pokemon Editor'!$C:$C,""),mtype=XLOOKUP(XLOOKUP($K7,'Threshold Summary'!$Y:$Y,'Threshold Summary'!$K:$K,""),'Pokemon Editor'!$A:$A,'Pokemon Editor'!$D:$D,"")),1.5,1),eff,(INDEX('Type Chart'!$B:$S,MATCH(mtype,'Type Chart'!$A:$A,0),MATCH(XLOOKUP($L7,'Pokemon Editor'!$A:$A,'Pokemon Editor'!$C:$C,""),'Type Chart'!$B$1:$S$1,0))*IF(XLOOKUP($L7,'Pokemon Editor'!$A:$A,'Pokemon Editor'!$D:$D,"")="",1,INDEX('Type Chart'!$B:$S,MATCH(mtype,'Type Chart'!$A:$A,0),MATCH(XLOOKUP($L7,'Pokemon Editor'!$A:$A,'Pokemon Editor'!$D:$D,""),'Type Chart'!$B$1:$S$1,0)))),base,IF(OR(cat="Status",pow=0),0,FLOOR(FLOOR(FLOOR((2*XLOOKUP($K7,'Threshold Summary'!$Y:$Y,'Threshold Summary'!$L:$L,"")/5+2)*pow*atk/def)/50)+2)),modifier,stab*eff,AVERAGE(ARRAYFORMULA(FLOOR(base*modifier*SEQUENCE(16,1,85,1)/100)))/(FLOOR(((2*XLOOKUP($L7,'Pokemon Editor'!$A:$A,'Pokemon Editor'!$E:$E,0)+31+FLOOR(XLOOKUP($L7,'Boss Editor'!$C:$C,'Boss Editor'!$G:$G,"")/4))*XLOOKUP($L7,'Boss Editor'!$C:$C,'Boss Editor'!$D:$D,""))/100)+XLOOKUP($L7,'Boss Editor'!$C:$C,'Boss Editor'!$D:$D,"")+10)),0)</f>
        <v/>
      </c>
      <c r="J7" s="3">
        <f>IF(I7&gt;=1,"OHKO",IF(I7&gt;=0.5,"2HKO",IF(I7&gt;=0.333,"3HKO",IF(I7&gt;=0.25,"4HKO","5HKO+"))))</f>
        <v/>
      </c>
      <c r="K7" s="3" t="inlineStr">
        <is>
          <t>SPECIES_SENTRET</t>
        </is>
      </c>
      <c r="L7" s="3" t="inlineStr">
        <is>
          <t>SPECIES_LILEEP</t>
        </is>
      </c>
    </row>
    <row r="8">
      <c r="A8" s="3">
        <f>XLOOKUP($K8,'Threshold Summary'!$Y:$Y,'Threshold Summary'!$A:$A,"")</f>
        <v/>
      </c>
      <c r="B8" s="3" t="inlineStr">
        <is>
          <t>Tirtouga</t>
        </is>
      </c>
      <c r="C8" s="3">
        <f>XLOOKUP($L8,'Boss Editor'!$C:$C,'Boss Editor'!$D:$D,"")</f>
        <v/>
      </c>
      <c r="D8" s="3">
        <f>XLOOKUP($K8,'Threshold Summary'!$Y:$Y,'Threshold Summary'!$B:$B,"")</f>
        <v/>
      </c>
      <c r="E8" s="3">
        <f>XLOOKUP(D8,'Move Editor'!$B:$B,'Move Editor'!$C:$C,"")</f>
        <v/>
      </c>
      <c r="F8" s="3">
        <f>IFERROR(LET(mtype,XLOOKUP($D8,'Move Editor'!$B:$B,'Move Editor'!$C:$C,""),cat,XLOOKUP($D8,'Move Editor'!$B:$B,'Move Editor'!$D:$D,""),pow,XLOOKUP($D8,'Move Editor'!$B:$B,'Move Editor'!$E:$E,0),acc,XLOOKUP($D8,'Move Editor'!$B:$B,'Move Editor'!$F:$F,100),atk,IF(cat="Physical",FLOOR((FLOOR(((2*XLOOKUP(XLOOKUP($K8,'Threshold Summary'!$Y:$Y,'Threshold Summary'!$K:$K,""),'Pokemon Editor'!$A:$A,'Pokemon Editor'!$F:$F,0)+31+FLOOR(XLOOKUP($K8,'Threshold Summary'!$Y:$Y,'Threshold Summary'!$P:$P,"")/4))*XLOOKUP($K8,'Threshold Summary'!$Y:$Y,'Threshold Summary'!$L:$L,""))/100)+5)*XLOOKUP(XLOOKUP($K8,'Threshold Summary'!$Y:$Y,'Threshold Summary'!$M:$M,""),'Nature Editor'!$A:$A,'Nature Editor'!$B:$B,1)),FLOOR((FLOOR(((2*XLOOKUP(XLOOKUP($K8,'Threshold Summary'!$Y:$Y,'Threshold Summary'!$K:$K,""),'Pokemon Editor'!$A:$A,'Pokemon Editor'!$H:$H,0)+31+FLOOR(XLOOKUP($K8,'Threshold Summary'!$Y:$Y,'Threshold Summary'!$R:$R,"")/4))*XLOOKUP($K8,'Threshold Summary'!$Y:$Y,'Threshold Summary'!$L:$L,""))/100)+5)*XLOOKUP(XLOOKUP($K8,'Threshold Summary'!$Y:$Y,'Threshold Summary'!$M:$M,""),'Nature Editor'!$A:$A,'Nature Editor'!$D:$D,1))),def,IF(cat="Physical",FLOOR((FLOOR(((2*XLOOKUP($L8,'Pokemon Editor'!$A:$A,'Pokemon Editor'!$G:$G,0)+31+FLOOR(XLOOKUP($L8,'Boss Editor'!$C:$C,'Boss Editor'!$I:$I,"")/4))*XLOOKUP($L8,'Boss Editor'!$C:$C,'Boss Editor'!$D:$D,""))/100)+5)*XLOOKUP(XLOOKUP($L8,'Boss Editor'!$C:$C,'Boss Editor'!$E:$E,""),'Nature Editor'!$A:$A,'Nature Editor'!$C:$C,1)),FLOOR((FLOOR(((2*XLOOKUP($L8,'Pokemon Editor'!$A:$A,'Pokemon Editor'!$I:$I,0)+31+FLOOR(XLOOKUP($L8,'Boss Editor'!$C:$C,'Boss Editor'!$K:$K,"")/4))*XLOOKUP($L8,'Boss Editor'!$C:$C,'Boss Editor'!$D:$D,""))/100)+5)*XLOOKUP(XLOOKUP($L8,'Boss Editor'!$C:$C,'Boss Editor'!$E:$E,""),'Nature Editor'!$A:$A,'Nature Editor'!$E:$E,1))),stab,IF(OR(mtype=XLOOKUP(XLOOKUP($K8,'Threshold Summary'!$Y:$Y,'Threshold Summary'!$K:$K,""),'Pokemon Editor'!$A:$A,'Pokemon Editor'!$C:$C,""),mtype=XLOOKUP(XLOOKUP($K8,'Threshold Summary'!$Y:$Y,'Threshold Summary'!$K:$K,""),'Pokemon Editor'!$A:$A,'Pokemon Editor'!$D:$D,"")),1.5,1),eff,(INDEX('Type Chart'!$B:$S,MATCH(mtype,'Type Chart'!$A:$A,0),MATCH(XLOOKUP($L8,'Pokemon Editor'!$A:$A,'Pokemon Editor'!$C:$C,""),'Type Chart'!$B$1:$S$1,0))*IF(XLOOKUP($L8,'Pokemon Editor'!$A:$A,'Pokemon Editor'!$D:$D,"")="",1,INDEX('Type Chart'!$B:$S,MATCH(mtype,'Type Chart'!$A:$A,0),MATCH(XLOOKUP($L8,'Pokemon Editor'!$A:$A,'Pokemon Editor'!$D:$D,""),'Type Chart'!$B$1:$S$1,0)))),base,IF(OR(cat="Status",pow=0),0,FLOOR(FLOOR(FLOOR((2*XLOOKUP($K8,'Threshold Summary'!$Y:$Y,'Threshold Summary'!$L:$L,"")/5+2)*pow*atk/def)/50)+2)),modifier,stab*eff,FLOOR(base*modifier*0.85)),0)</f>
        <v/>
      </c>
      <c r="G8" s="3">
        <f>IFERROR(LET(mtype,XLOOKUP($D8,'Move Editor'!$B:$B,'Move Editor'!$C:$C,""),cat,XLOOKUP($D8,'Move Editor'!$B:$B,'Move Editor'!$D:$D,""),pow,XLOOKUP($D8,'Move Editor'!$B:$B,'Move Editor'!$E:$E,0),acc,XLOOKUP($D8,'Move Editor'!$B:$B,'Move Editor'!$F:$F,100),atk,IF(cat="Physical",FLOOR((FLOOR(((2*XLOOKUP(XLOOKUP($K8,'Threshold Summary'!$Y:$Y,'Threshold Summary'!$K:$K,""),'Pokemon Editor'!$A:$A,'Pokemon Editor'!$F:$F,0)+31+FLOOR(XLOOKUP($K8,'Threshold Summary'!$Y:$Y,'Threshold Summary'!$P:$P,"")/4))*XLOOKUP($K8,'Threshold Summary'!$Y:$Y,'Threshold Summary'!$L:$L,""))/100)+5)*XLOOKUP(XLOOKUP($K8,'Threshold Summary'!$Y:$Y,'Threshold Summary'!$M:$M,""),'Nature Editor'!$A:$A,'Nature Editor'!$B:$B,1)),FLOOR((FLOOR(((2*XLOOKUP(XLOOKUP($K8,'Threshold Summary'!$Y:$Y,'Threshold Summary'!$K:$K,""),'Pokemon Editor'!$A:$A,'Pokemon Editor'!$H:$H,0)+31+FLOOR(XLOOKUP($K8,'Threshold Summary'!$Y:$Y,'Threshold Summary'!$R:$R,"")/4))*XLOOKUP($K8,'Threshold Summary'!$Y:$Y,'Threshold Summary'!$L:$L,""))/100)+5)*XLOOKUP(XLOOKUP($K8,'Threshold Summary'!$Y:$Y,'Threshold Summary'!$M:$M,""),'Nature Editor'!$A:$A,'Nature Editor'!$D:$D,1))),def,IF(cat="Physical",FLOOR((FLOOR(((2*XLOOKUP($L8,'Pokemon Editor'!$A:$A,'Pokemon Editor'!$G:$G,0)+31+FLOOR(XLOOKUP($L8,'Boss Editor'!$C:$C,'Boss Editor'!$I:$I,"")/4))*XLOOKUP($L8,'Boss Editor'!$C:$C,'Boss Editor'!$D:$D,""))/100)+5)*XLOOKUP(XLOOKUP($L8,'Boss Editor'!$C:$C,'Boss Editor'!$E:$E,""),'Nature Editor'!$A:$A,'Nature Editor'!$C:$C,1)),FLOOR((FLOOR(((2*XLOOKUP($L8,'Pokemon Editor'!$A:$A,'Pokemon Editor'!$I:$I,0)+31+FLOOR(XLOOKUP($L8,'Boss Editor'!$C:$C,'Boss Editor'!$K:$K,"")/4))*XLOOKUP($L8,'Boss Editor'!$C:$C,'Boss Editor'!$D:$D,""))/100)+5)*XLOOKUP(XLOOKUP($L8,'Boss Editor'!$C:$C,'Boss Editor'!$E:$E,""),'Nature Editor'!$A:$A,'Nature Editor'!$E:$E,1))),stab,IF(OR(mtype=XLOOKUP(XLOOKUP($K8,'Threshold Summary'!$Y:$Y,'Threshold Summary'!$K:$K,""),'Pokemon Editor'!$A:$A,'Pokemon Editor'!$C:$C,""),mtype=XLOOKUP(XLOOKUP($K8,'Threshold Summary'!$Y:$Y,'Threshold Summary'!$K:$K,""),'Pokemon Editor'!$A:$A,'Pokemon Editor'!$D:$D,"")),1.5,1),eff,(INDEX('Type Chart'!$B:$S,MATCH(mtype,'Type Chart'!$A:$A,0),MATCH(XLOOKUP($L8,'Pokemon Editor'!$A:$A,'Pokemon Editor'!$C:$C,""),'Type Chart'!$B$1:$S$1,0))*IF(XLOOKUP($L8,'Pokemon Editor'!$A:$A,'Pokemon Editor'!$D:$D,"")="",1,INDEX('Type Chart'!$B:$S,MATCH(mtype,'Type Chart'!$A:$A,0),MATCH(XLOOKUP($L8,'Pokemon Editor'!$A:$A,'Pokemon Editor'!$D:$D,""),'Type Chart'!$B$1:$S$1,0)))),base,IF(OR(cat="Status",pow=0),0,FLOOR(FLOOR(FLOOR((2*XLOOKUP($K8,'Threshold Summary'!$Y:$Y,'Threshold Summary'!$L:$L,"")/5+2)*pow*atk/def)/50)+2)),modifier,stab*eff,FLOOR(base*modifier)),0)</f>
        <v/>
      </c>
      <c r="H8" s="3">
        <f>IFERROR(LET(mtype,XLOOKUP($D8,'Move Editor'!$B:$B,'Move Editor'!$C:$C,""),cat,XLOOKUP($D8,'Move Editor'!$B:$B,'Move Editor'!$D:$D,""),pow,XLOOKUP($D8,'Move Editor'!$B:$B,'Move Editor'!$E:$E,0),acc,XLOOKUP($D8,'Move Editor'!$B:$B,'Move Editor'!$F:$F,100),atk,IF(cat="Physical",FLOOR((FLOOR(((2*XLOOKUP(XLOOKUP($K8,'Threshold Summary'!$Y:$Y,'Threshold Summary'!$K:$K,""),'Pokemon Editor'!$A:$A,'Pokemon Editor'!$F:$F,0)+31+FLOOR(XLOOKUP($K8,'Threshold Summary'!$Y:$Y,'Threshold Summary'!$P:$P,"")/4))*XLOOKUP($K8,'Threshold Summary'!$Y:$Y,'Threshold Summary'!$L:$L,""))/100)+5)*XLOOKUP(XLOOKUP($K8,'Threshold Summary'!$Y:$Y,'Threshold Summary'!$M:$M,""),'Nature Editor'!$A:$A,'Nature Editor'!$B:$B,1)),FLOOR((FLOOR(((2*XLOOKUP(XLOOKUP($K8,'Threshold Summary'!$Y:$Y,'Threshold Summary'!$K:$K,""),'Pokemon Editor'!$A:$A,'Pokemon Editor'!$H:$H,0)+31+FLOOR(XLOOKUP($K8,'Threshold Summary'!$Y:$Y,'Threshold Summary'!$R:$R,"")/4))*XLOOKUP($K8,'Threshold Summary'!$Y:$Y,'Threshold Summary'!$L:$L,""))/100)+5)*XLOOKUP(XLOOKUP($K8,'Threshold Summary'!$Y:$Y,'Threshold Summary'!$M:$M,""),'Nature Editor'!$A:$A,'Nature Editor'!$D:$D,1))),def,IF(cat="Physical",FLOOR((FLOOR(((2*XLOOKUP($L8,'Pokemon Editor'!$A:$A,'Pokemon Editor'!$G:$G,0)+31+FLOOR(XLOOKUP($L8,'Boss Editor'!$C:$C,'Boss Editor'!$I:$I,"")/4))*XLOOKUP($L8,'Boss Editor'!$C:$C,'Boss Editor'!$D:$D,""))/100)+5)*XLOOKUP(XLOOKUP($L8,'Boss Editor'!$C:$C,'Boss Editor'!$E:$E,""),'Nature Editor'!$A:$A,'Nature Editor'!$C:$C,1)),FLOOR((FLOOR(((2*XLOOKUP($L8,'Pokemon Editor'!$A:$A,'Pokemon Editor'!$I:$I,0)+31+FLOOR(XLOOKUP($L8,'Boss Editor'!$C:$C,'Boss Editor'!$K:$K,"")/4))*XLOOKUP($L8,'Boss Editor'!$C:$C,'Boss Editor'!$D:$D,""))/100)+5)*XLOOKUP(XLOOKUP($L8,'Boss Editor'!$C:$C,'Boss Editor'!$E:$E,""),'Nature Editor'!$A:$A,'Nature Editor'!$E:$E,1))),stab,IF(OR(mtype=XLOOKUP(XLOOKUP($K8,'Threshold Summary'!$Y:$Y,'Threshold Summary'!$K:$K,""),'Pokemon Editor'!$A:$A,'Pokemon Editor'!$C:$C,""),mtype=XLOOKUP(XLOOKUP($K8,'Threshold Summary'!$Y:$Y,'Threshold Summary'!$K:$K,""),'Pokemon Editor'!$A:$A,'Pokemon Editor'!$D:$D,"")),1.5,1),eff,(INDEX('Type Chart'!$B:$S,MATCH(mtype,'Type Chart'!$A:$A,0),MATCH(XLOOKUP($L8,'Pokemon Editor'!$A:$A,'Pokemon Editor'!$C:$C,""),'Type Chart'!$B$1:$S$1,0))*IF(XLOOKUP($L8,'Pokemon Editor'!$A:$A,'Pokemon Editor'!$D:$D,"")="",1,INDEX('Type Chart'!$B:$S,MATCH(mtype,'Type Chart'!$A:$A,0),MATCH(XLOOKUP($L8,'Pokemon Editor'!$A:$A,'Pokemon Editor'!$D:$D,""),'Type Chart'!$B$1:$S$1,0)))),base,IF(OR(cat="Status",pow=0),0,FLOOR(FLOOR(FLOOR((2*XLOOKUP($K8,'Threshold Summary'!$Y:$Y,'Threshold Summary'!$L:$L,"")/5+2)*pow*atk/def)/50)+2)),modifier,stab*eff,AVERAGE(ARRAYFORMULA(FLOOR(base*modifier*SEQUENCE(16,1,85,1)/100)))),0)</f>
        <v/>
      </c>
      <c r="I8" s="4">
        <f>IFERROR(LET(mtype,XLOOKUP($D8,'Move Editor'!$B:$B,'Move Editor'!$C:$C,""),cat,XLOOKUP($D8,'Move Editor'!$B:$B,'Move Editor'!$D:$D,""),pow,XLOOKUP($D8,'Move Editor'!$B:$B,'Move Editor'!$E:$E,0),acc,XLOOKUP($D8,'Move Editor'!$B:$B,'Move Editor'!$F:$F,100),atk,IF(cat="Physical",FLOOR((FLOOR(((2*XLOOKUP(XLOOKUP($K8,'Threshold Summary'!$Y:$Y,'Threshold Summary'!$K:$K,""),'Pokemon Editor'!$A:$A,'Pokemon Editor'!$F:$F,0)+31+FLOOR(XLOOKUP($K8,'Threshold Summary'!$Y:$Y,'Threshold Summary'!$P:$P,"")/4))*XLOOKUP($K8,'Threshold Summary'!$Y:$Y,'Threshold Summary'!$L:$L,""))/100)+5)*XLOOKUP(XLOOKUP($K8,'Threshold Summary'!$Y:$Y,'Threshold Summary'!$M:$M,""),'Nature Editor'!$A:$A,'Nature Editor'!$B:$B,1)),FLOOR((FLOOR(((2*XLOOKUP(XLOOKUP($K8,'Threshold Summary'!$Y:$Y,'Threshold Summary'!$K:$K,""),'Pokemon Editor'!$A:$A,'Pokemon Editor'!$H:$H,0)+31+FLOOR(XLOOKUP($K8,'Threshold Summary'!$Y:$Y,'Threshold Summary'!$R:$R,"")/4))*XLOOKUP($K8,'Threshold Summary'!$Y:$Y,'Threshold Summary'!$L:$L,""))/100)+5)*XLOOKUP(XLOOKUP($K8,'Threshold Summary'!$Y:$Y,'Threshold Summary'!$M:$M,""),'Nature Editor'!$A:$A,'Nature Editor'!$D:$D,1))),def,IF(cat="Physical",FLOOR((FLOOR(((2*XLOOKUP($L8,'Pokemon Editor'!$A:$A,'Pokemon Editor'!$G:$G,0)+31+FLOOR(XLOOKUP($L8,'Boss Editor'!$C:$C,'Boss Editor'!$I:$I,"")/4))*XLOOKUP($L8,'Boss Editor'!$C:$C,'Boss Editor'!$D:$D,""))/100)+5)*XLOOKUP(XLOOKUP($L8,'Boss Editor'!$C:$C,'Boss Editor'!$E:$E,""),'Nature Editor'!$A:$A,'Nature Editor'!$C:$C,1)),FLOOR((FLOOR(((2*XLOOKUP($L8,'Pokemon Editor'!$A:$A,'Pokemon Editor'!$I:$I,0)+31+FLOOR(XLOOKUP($L8,'Boss Editor'!$C:$C,'Boss Editor'!$K:$K,"")/4))*XLOOKUP($L8,'Boss Editor'!$C:$C,'Boss Editor'!$D:$D,""))/100)+5)*XLOOKUP(XLOOKUP($L8,'Boss Editor'!$C:$C,'Boss Editor'!$E:$E,""),'Nature Editor'!$A:$A,'Nature Editor'!$E:$E,1))),stab,IF(OR(mtype=XLOOKUP(XLOOKUP($K8,'Threshold Summary'!$Y:$Y,'Threshold Summary'!$K:$K,""),'Pokemon Editor'!$A:$A,'Pokemon Editor'!$C:$C,""),mtype=XLOOKUP(XLOOKUP($K8,'Threshold Summary'!$Y:$Y,'Threshold Summary'!$K:$K,""),'Pokemon Editor'!$A:$A,'Pokemon Editor'!$D:$D,"")),1.5,1),eff,(INDEX('Type Chart'!$B:$S,MATCH(mtype,'Type Chart'!$A:$A,0),MATCH(XLOOKUP($L8,'Pokemon Editor'!$A:$A,'Pokemon Editor'!$C:$C,""),'Type Chart'!$B$1:$S$1,0))*IF(XLOOKUP($L8,'Pokemon Editor'!$A:$A,'Pokemon Editor'!$D:$D,"")="",1,INDEX('Type Chart'!$B:$S,MATCH(mtype,'Type Chart'!$A:$A,0),MATCH(XLOOKUP($L8,'Pokemon Editor'!$A:$A,'Pokemon Editor'!$D:$D,""),'Type Chart'!$B$1:$S$1,0)))),base,IF(OR(cat="Status",pow=0),0,FLOOR(FLOOR(FLOOR((2*XLOOKUP($K8,'Threshold Summary'!$Y:$Y,'Threshold Summary'!$L:$L,"")/5+2)*pow*atk/def)/50)+2)),modifier,stab*eff,AVERAGE(ARRAYFORMULA(FLOOR(base*modifier*SEQUENCE(16,1,85,1)/100)))/(FLOOR(((2*XLOOKUP($L8,'Pokemon Editor'!$A:$A,'Pokemon Editor'!$E:$E,0)+31+FLOOR(XLOOKUP($L8,'Boss Editor'!$C:$C,'Boss Editor'!$G:$G,"")/4))*XLOOKUP($L8,'Boss Editor'!$C:$C,'Boss Editor'!$D:$D,""))/100)+XLOOKUP($L8,'Boss Editor'!$C:$C,'Boss Editor'!$D:$D,"")+10)),0)</f>
        <v/>
      </c>
      <c r="J8" s="3">
        <f>IF(I8&gt;=1,"OHKO",IF(I8&gt;=0.5,"2HKO",IF(I8&gt;=0.333,"3HKO",IF(I8&gt;=0.25,"4HKO","5HKO+"))))</f>
        <v/>
      </c>
      <c r="K8" s="3" t="inlineStr">
        <is>
          <t>SPECIES_MAREEP</t>
        </is>
      </c>
      <c r="L8" s="3" t="inlineStr">
        <is>
          <t>SPECIES_TIRTOUGA</t>
        </is>
      </c>
    </row>
    <row r="9">
      <c r="A9" s="3">
        <f>XLOOKUP($K9,'Threshold Summary'!$Y:$Y,'Threshold Summary'!$A:$A,"")</f>
        <v/>
      </c>
      <c r="B9" s="3" t="inlineStr">
        <is>
          <t>Anorith</t>
        </is>
      </c>
      <c r="C9" s="3">
        <f>XLOOKUP($L9,'Boss Editor'!$C:$C,'Boss Editor'!$D:$D,"")</f>
        <v/>
      </c>
      <c r="D9" s="3">
        <f>XLOOKUP($K9,'Threshold Summary'!$Y:$Y,'Threshold Summary'!$B:$B,"")</f>
        <v/>
      </c>
      <c r="E9" s="3">
        <f>XLOOKUP(D9,'Move Editor'!$B:$B,'Move Editor'!$C:$C,"")</f>
        <v/>
      </c>
      <c r="F9" s="3">
        <f>IFERROR(LET(mtype,XLOOKUP($D9,'Move Editor'!$B:$B,'Move Editor'!$C:$C,""),cat,XLOOKUP($D9,'Move Editor'!$B:$B,'Move Editor'!$D:$D,""),pow,XLOOKUP($D9,'Move Editor'!$B:$B,'Move Editor'!$E:$E,0),acc,XLOOKUP($D9,'Move Editor'!$B:$B,'Move Editor'!$F:$F,100),atk,IF(cat="Physical",FLOOR((FLOOR(((2*XLOOKUP(XLOOKUP($K9,'Threshold Summary'!$Y:$Y,'Threshold Summary'!$K:$K,""),'Pokemon Editor'!$A:$A,'Pokemon Editor'!$F:$F,0)+31+FLOOR(XLOOKUP($K9,'Threshold Summary'!$Y:$Y,'Threshold Summary'!$P:$P,"")/4))*XLOOKUP($K9,'Threshold Summary'!$Y:$Y,'Threshold Summary'!$L:$L,""))/100)+5)*XLOOKUP(XLOOKUP($K9,'Threshold Summary'!$Y:$Y,'Threshold Summary'!$M:$M,""),'Nature Editor'!$A:$A,'Nature Editor'!$B:$B,1)),FLOOR((FLOOR(((2*XLOOKUP(XLOOKUP($K9,'Threshold Summary'!$Y:$Y,'Threshold Summary'!$K:$K,""),'Pokemon Editor'!$A:$A,'Pokemon Editor'!$H:$H,0)+31+FLOOR(XLOOKUP($K9,'Threshold Summary'!$Y:$Y,'Threshold Summary'!$R:$R,"")/4))*XLOOKUP($K9,'Threshold Summary'!$Y:$Y,'Threshold Summary'!$L:$L,""))/100)+5)*XLOOKUP(XLOOKUP($K9,'Threshold Summary'!$Y:$Y,'Threshold Summary'!$M:$M,""),'Nature Editor'!$A:$A,'Nature Editor'!$D:$D,1))),def,IF(cat="Physical",FLOOR((FLOOR(((2*XLOOKUP($L9,'Pokemon Editor'!$A:$A,'Pokemon Editor'!$G:$G,0)+31+FLOOR(XLOOKUP($L9,'Boss Editor'!$C:$C,'Boss Editor'!$I:$I,"")/4))*XLOOKUP($L9,'Boss Editor'!$C:$C,'Boss Editor'!$D:$D,""))/100)+5)*XLOOKUP(XLOOKUP($L9,'Boss Editor'!$C:$C,'Boss Editor'!$E:$E,""),'Nature Editor'!$A:$A,'Nature Editor'!$C:$C,1)),FLOOR((FLOOR(((2*XLOOKUP($L9,'Pokemon Editor'!$A:$A,'Pokemon Editor'!$I:$I,0)+31+FLOOR(XLOOKUP($L9,'Boss Editor'!$C:$C,'Boss Editor'!$K:$K,"")/4))*XLOOKUP($L9,'Boss Editor'!$C:$C,'Boss Editor'!$D:$D,""))/100)+5)*XLOOKUP(XLOOKUP($L9,'Boss Editor'!$C:$C,'Boss Editor'!$E:$E,""),'Nature Editor'!$A:$A,'Nature Editor'!$E:$E,1))),stab,IF(OR(mtype=XLOOKUP(XLOOKUP($K9,'Threshold Summary'!$Y:$Y,'Threshold Summary'!$K:$K,""),'Pokemon Editor'!$A:$A,'Pokemon Editor'!$C:$C,""),mtype=XLOOKUP(XLOOKUP($K9,'Threshold Summary'!$Y:$Y,'Threshold Summary'!$K:$K,""),'Pokemon Editor'!$A:$A,'Pokemon Editor'!$D:$D,"")),1.5,1),eff,(INDEX('Type Chart'!$B:$S,MATCH(mtype,'Type Chart'!$A:$A,0),MATCH(XLOOKUP($L9,'Pokemon Editor'!$A:$A,'Pokemon Editor'!$C:$C,""),'Type Chart'!$B$1:$S$1,0))*IF(XLOOKUP($L9,'Pokemon Editor'!$A:$A,'Pokemon Editor'!$D:$D,"")="",1,INDEX('Type Chart'!$B:$S,MATCH(mtype,'Type Chart'!$A:$A,0),MATCH(XLOOKUP($L9,'Pokemon Editor'!$A:$A,'Pokemon Editor'!$D:$D,""),'Type Chart'!$B$1:$S$1,0)))),base,IF(OR(cat="Status",pow=0),0,FLOOR(FLOOR(FLOOR((2*XLOOKUP($K9,'Threshold Summary'!$Y:$Y,'Threshold Summary'!$L:$L,"")/5+2)*pow*atk/def)/50)+2)),modifier,stab*eff,FLOOR(base*modifier*0.85)),0)</f>
        <v/>
      </c>
      <c r="G9" s="3">
        <f>IFERROR(LET(mtype,XLOOKUP($D9,'Move Editor'!$B:$B,'Move Editor'!$C:$C,""),cat,XLOOKUP($D9,'Move Editor'!$B:$B,'Move Editor'!$D:$D,""),pow,XLOOKUP($D9,'Move Editor'!$B:$B,'Move Editor'!$E:$E,0),acc,XLOOKUP($D9,'Move Editor'!$B:$B,'Move Editor'!$F:$F,100),atk,IF(cat="Physical",FLOOR((FLOOR(((2*XLOOKUP(XLOOKUP($K9,'Threshold Summary'!$Y:$Y,'Threshold Summary'!$K:$K,""),'Pokemon Editor'!$A:$A,'Pokemon Editor'!$F:$F,0)+31+FLOOR(XLOOKUP($K9,'Threshold Summary'!$Y:$Y,'Threshold Summary'!$P:$P,"")/4))*XLOOKUP($K9,'Threshold Summary'!$Y:$Y,'Threshold Summary'!$L:$L,""))/100)+5)*XLOOKUP(XLOOKUP($K9,'Threshold Summary'!$Y:$Y,'Threshold Summary'!$M:$M,""),'Nature Editor'!$A:$A,'Nature Editor'!$B:$B,1)),FLOOR((FLOOR(((2*XLOOKUP(XLOOKUP($K9,'Threshold Summary'!$Y:$Y,'Threshold Summary'!$K:$K,""),'Pokemon Editor'!$A:$A,'Pokemon Editor'!$H:$H,0)+31+FLOOR(XLOOKUP($K9,'Threshold Summary'!$Y:$Y,'Threshold Summary'!$R:$R,"")/4))*XLOOKUP($K9,'Threshold Summary'!$Y:$Y,'Threshold Summary'!$L:$L,""))/100)+5)*XLOOKUP(XLOOKUP($K9,'Threshold Summary'!$Y:$Y,'Threshold Summary'!$M:$M,""),'Nature Editor'!$A:$A,'Nature Editor'!$D:$D,1))),def,IF(cat="Physical",FLOOR((FLOOR(((2*XLOOKUP($L9,'Pokemon Editor'!$A:$A,'Pokemon Editor'!$G:$G,0)+31+FLOOR(XLOOKUP($L9,'Boss Editor'!$C:$C,'Boss Editor'!$I:$I,"")/4))*XLOOKUP($L9,'Boss Editor'!$C:$C,'Boss Editor'!$D:$D,""))/100)+5)*XLOOKUP(XLOOKUP($L9,'Boss Editor'!$C:$C,'Boss Editor'!$E:$E,""),'Nature Editor'!$A:$A,'Nature Editor'!$C:$C,1)),FLOOR((FLOOR(((2*XLOOKUP($L9,'Pokemon Editor'!$A:$A,'Pokemon Editor'!$I:$I,0)+31+FLOOR(XLOOKUP($L9,'Boss Editor'!$C:$C,'Boss Editor'!$K:$K,"")/4))*XLOOKUP($L9,'Boss Editor'!$C:$C,'Boss Editor'!$D:$D,""))/100)+5)*XLOOKUP(XLOOKUP($L9,'Boss Editor'!$C:$C,'Boss Editor'!$E:$E,""),'Nature Editor'!$A:$A,'Nature Editor'!$E:$E,1))),stab,IF(OR(mtype=XLOOKUP(XLOOKUP($K9,'Threshold Summary'!$Y:$Y,'Threshold Summary'!$K:$K,""),'Pokemon Editor'!$A:$A,'Pokemon Editor'!$C:$C,""),mtype=XLOOKUP(XLOOKUP($K9,'Threshold Summary'!$Y:$Y,'Threshold Summary'!$K:$K,""),'Pokemon Editor'!$A:$A,'Pokemon Editor'!$D:$D,"")),1.5,1),eff,(INDEX('Type Chart'!$B:$S,MATCH(mtype,'Type Chart'!$A:$A,0),MATCH(XLOOKUP($L9,'Pokemon Editor'!$A:$A,'Pokemon Editor'!$C:$C,""),'Type Chart'!$B$1:$S$1,0))*IF(XLOOKUP($L9,'Pokemon Editor'!$A:$A,'Pokemon Editor'!$D:$D,"")="",1,INDEX('Type Chart'!$B:$S,MATCH(mtype,'Type Chart'!$A:$A,0),MATCH(XLOOKUP($L9,'Pokemon Editor'!$A:$A,'Pokemon Editor'!$D:$D,""),'Type Chart'!$B$1:$S$1,0)))),base,IF(OR(cat="Status",pow=0),0,FLOOR(FLOOR(FLOOR((2*XLOOKUP($K9,'Threshold Summary'!$Y:$Y,'Threshold Summary'!$L:$L,"")/5+2)*pow*atk/def)/50)+2)),modifier,stab*eff,FLOOR(base*modifier)),0)</f>
        <v/>
      </c>
      <c r="H9" s="3">
        <f>IFERROR(LET(mtype,XLOOKUP($D9,'Move Editor'!$B:$B,'Move Editor'!$C:$C,""),cat,XLOOKUP($D9,'Move Editor'!$B:$B,'Move Editor'!$D:$D,""),pow,XLOOKUP($D9,'Move Editor'!$B:$B,'Move Editor'!$E:$E,0),acc,XLOOKUP($D9,'Move Editor'!$B:$B,'Move Editor'!$F:$F,100),atk,IF(cat="Physical",FLOOR((FLOOR(((2*XLOOKUP(XLOOKUP($K9,'Threshold Summary'!$Y:$Y,'Threshold Summary'!$K:$K,""),'Pokemon Editor'!$A:$A,'Pokemon Editor'!$F:$F,0)+31+FLOOR(XLOOKUP($K9,'Threshold Summary'!$Y:$Y,'Threshold Summary'!$P:$P,"")/4))*XLOOKUP($K9,'Threshold Summary'!$Y:$Y,'Threshold Summary'!$L:$L,""))/100)+5)*XLOOKUP(XLOOKUP($K9,'Threshold Summary'!$Y:$Y,'Threshold Summary'!$M:$M,""),'Nature Editor'!$A:$A,'Nature Editor'!$B:$B,1)),FLOOR((FLOOR(((2*XLOOKUP(XLOOKUP($K9,'Threshold Summary'!$Y:$Y,'Threshold Summary'!$K:$K,""),'Pokemon Editor'!$A:$A,'Pokemon Editor'!$H:$H,0)+31+FLOOR(XLOOKUP($K9,'Threshold Summary'!$Y:$Y,'Threshold Summary'!$R:$R,"")/4))*XLOOKUP($K9,'Threshold Summary'!$Y:$Y,'Threshold Summary'!$L:$L,""))/100)+5)*XLOOKUP(XLOOKUP($K9,'Threshold Summary'!$Y:$Y,'Threshold Summary'!$M:$M,""),'Nature Editor'!$A:$A,'Nature Editor'!$D:$D,1))),def,IF(cat="Physical",FLOOR((FLOOR(((2*XLOOKUP($L9,'Pokemon Editor'!$A:$A,'Pokemon Editor'!$G:$G,0)+31+FLOOR(XLOOKUP($L9,'Boss Editor'!$C:$C,'Boss Editor'!$I:$I,"")/4))*XLOOKUP($L9,'Boss Editor'!$C:$C,'Boss Editor'!$D:$D,""))/100)+5)*XLOOKUP(XLOOKUP($L9,'Boss Editor'!$C:$C,'Boss Editor'!$E:$E,""),'Nature Editor'!$A:$A,'Nature Editor'!$C:$C,1)),FLOOR((FLOOR(((2*XLOOKUP($L9,'Pokemon Editor'!$A:$A,'Pokemon Editor'!$I:$I,0)+31+FLOOR(XLOOKUP($L9,'Boss Editor'!$C:$C,'Boss Editor'!$K:$K,"")/4))*XLOOKUP($L9,'Boss Editor'!$C:$C,'Boss Editor'!$D:$D,""))/100)+5)*XLOOKUP(XLOOKUP($L9,'Boss Editor'!$C:$C,'Boss Editor'!$E:$E,""),'Nature Editor'!$A:$A,'Nature Editor'!$E:$E,1))),stab,IF(OR(mtype=XLOOKUP(XLOOKUP($K9,'Threshold Summary'!$Y:$Y,'Threshold Summary'!$K:$K,""),'Pokemon Editor'!$A:$A,'Pokemon Editor'!$C:$C,""),mtype=XLOOKUP(XLOOKUP($K9,'Threshold Summary'!$Y:$Y,'Threshold Summary'!$K:$K,""),'Pokemon Editor'!$A:$A,'Pokemon Editor'!$D:$D,"")),1.5,1),eff,(INDEX('Type Chart'!$B:$S,MATCH(mtype,'Type Chart'!$A:$A,0),MATCH(XLOOKUP($L9,'Pokemon Editor'!$A:$A,'Pokemon Editor'!$C:$C,""),'Type Chart'!$B$1:$S$1,0))*IF(XLOOKUP($L9,'Pokemon Editor'!$A:$A,'Pokemon Editor'!$D:$D,"")="",1,INDEX('Type Chart'!$B:$S,MATCH(mtype,'Type Chart'!$A:$A,0),MATCH(XLOOKUP($L9,'Pokemon Editor'!$A:$A,'Pokemon Editor'!$D:$D,""),'Type Chart'!$B$1:$S$1,0)))),base,IF(OR(cat="Status",pow=0),0,FLOOR(FLOOR(FLOOR((2*XLOOKUP($K9,'Threshold Summary'!$Y:$Y,'Threshold Summary'!$L:$L,"")/5+2)*pow*atk/def)/50)+2)),modifier,stab*eff,AVERAGE(ARRAYFORMULA(FLOOR(base*modifier*SEQUENCE(16,1,85,1)/100)))),0)</f>
        <v/>
      </c>
      <c r="I9" s="4">
        <f>IFERROR(LET(mtype,XLOOKUP($D9,'Move Editor'!$B:$B,'Move Editor'!$C:$C,""),cat,XLOOKUP($D9,'Move Editor'!$B:$B,'Move Editor'!$D:$D,""),pow,XLOOKUP($D9,'Move Editor'!$B:$B,'Move Editor'!$E:$E,0),acc,XLOOKUP($D9,'Move Editor'!$B:$B,'Move Editor'!$F:$F,100),atk,IF(cat="Physical",FLOOR((FLOOR(((2*XLOOKUP(XLOOKUP($K9,'Threshold Summary'!$Y:$Y,'Threshold Summary'!$K:$K,""),'Pokemon Editor'!$A:$A,'Pokemon Editor'!$F:$F,0)+31+FLOOR(XLOOKUP($K9,'Threshold Summary'!$Y:$Y,'Threshold Summary'!$P:$P,"")/4))*XLOOKUP($K9,'Threshold Summary'!$Y:$Y,'Threshold Summary'!$L:$L,""))/100)+5)*XLOOKUP(XLOOKUP($K9,'Threshold Summary'!$Y:$Y,'Threshold Summary'!$M:$M,""),'Nature Editor'!$A:$A,'Nature Editor'!$B:$B,1)),FLOOR((FLOOR(((2*XLOOKUP(XLOOKUP($K9,'Threshold Summary'!$Y:$Y,'Threshold Summary'!$K:$K,""),'Pokemon Editor'!$A:$A,'Pokemon Editor'!$H:$H,0)+31+FLOOR(XLOOKUP($K9,'Threshold Summary'!$Y:$Y,'Threshold Summary'!$R:$R,"")/4))*XLOOKUP($K9,'Threshold Summary'!$Y:$Y,'Threshold Summary'!$L:$L,""))/100)+5)*XLOOKUP(XLOOKUP($K9,'Threshold Summary'!$Y:$Y,'Threshold Summary'!$M:$M,""),'Nature Editor'!$A:$A,'Nature Editor'!$D:$D,1))),def,IF(cat="Physical",FLOOR((FLOOR(((2*XLOOKUP($L9,'Pokemon Editor'!$A:$A,'Pokemon Editor'!$G:$G,0)+31+FLOOR(XLOOKUP($L9,'Boss Editor'!$C:$C,'Boss Editor'!$I:$I,"")/4))*XLOOKUP($L9,'Boss Editor'!$C:$C,'Boss Editor'!$D:$D,""))/100)+5)*XLOOKUP(XLOOKUP($L9,'Boss Editor'!$C:$C,'Boss Editor'!$E:$E,""),'Nature Editor'!$A:$A,'Nature Editor'!$C:$C,1)),FLOOR((FLOOR(((2*XLOOKUP($L9,'Pokemon Editor'!$A:$A,'Pokemon Editor'!$I:$I,0)+31+FLOOR(XLOOKUP($L9,'Boss Editor'!$C:$C,'Boss Editor'!$K:$K,"")/4))*XLOOKUP($L9,'Boss Editor'!$C:$C,'Boss Editor'!$D:$D,""))/100)+5)*XLOOKUP(XLOOKUP($L9,'Boss Editor'!$C:$C,'Boss Editor'!$E:$E,""),'Nature Editor'!$A:$A,'Nature Editor'!$E:$E,1))),stab,IF(OR(mtype=XLOOKUP(XLOOKUP($K9,'Threshold Summary'!$Y:$Y,'Threshold Summary'!$K:$K,""),'Pokemon Editor'!$A:$A,'Pokemon Editor'!$C:$C,""),mtype=XLOOKUP(XLOOKUP($K9,'Threshold Summary'!$Y:$Y,'Threshold Summary'!$K:$K,""),'Pokemon Editor'!$A:$A,'Pokemon Editor'!$D:$D,"")),1.5,1),eff,(INDEX('Type Chart'!$B:$S,MATCH(mtype,'Type Chart'!$A:$A,0),MATCH(XLOOKUP($L9,'Pokemon Editor'!$A:$A,'Pokemon Editor'!$C:$C,""),'Type Chart'!$B$1:$S$1,0))*IF(XLOOKUP($L9,'Pokemon Editor'!$A:$A,'Pokemon Editor'!$D:$D,"")="",1,INDEX('Type Chart'!$B:$S,MATCH(mtype,'Type Chart'!$A:$A,0),MATCH(XLOOKUP($L9,'Pokemon Editor'!$A:$A,'Pokemon Editor'!$D:$D,""),'Type Chart'!$B$1:$S$1,0)))),base,IF(OR(cat="Status",pow=0),0,FLOOR(FLOOR(FLOOR((2*XLOOKUP($K9,'Threshold Summary'!$Y:$Y,'Threshold Summary'!$L:$L,"")/5+2)*pow*atk/def)/50)+2)),modifier,stab*eff,AVERAGE(ARRAYFORMULA(FLOOR(base*modifier*SEQUENCE(16,1,85,1)/100)))/(FLOOR(((2*XLOOKUP($L9,'Pokemon Editor'!$A:$A,'Pokemon Editor'!$E:$E,0)+31+FLOOR(XLOOKUP($L9,'Boss Editor'!$C:$C,'Boss Editor'!$G:$G,"")/4))*XLOOKUP($L9,'Boss Editor'!$C:$C,'Boss Editor'!$D:$D,""))/100)+XLOOKUP($L9,'Boss Editor'!$C:$C,'Boss Editor'!$D:$D,"")+10)),0)</f>
        <v/>
      </c>
      <c r="J9" s="3">
        <f>IF(I9&gt;=1,"OHKO",IF(I9&gt;=0.5,"2HKO",IF(I9&gt;=0.333,"3HKO",IF(I9&gt;=0.25,"4HKO","5HKO+"))))</f>
        <v/>
      </c>
      <c r="K9" s="3" t="inlineStr">
        <is>
          <t>SPECIES_MAREEP</t>
        </is>
      </c>
      <c r="L9" s="3" t="inlineStr">
        <is>
          <t>SPECIES_ANORITH</t>
        </is>
      </c>
    </row>
    <row r="10">
      <c r="A10" s="3">
        <f>XLOOKUP($K10,'Threshold Summary'!$Y:$Y,'Threshold Summary'!$A:$A,"")</f>
        <v/>
      </c>
      <c r="B10" s="3" t="inlineStr">
        <is>
          <t>Lileep</t>
        </is>
      </c>
      <c r="C10" s="3">
        <f>XLOOKUP($L10,'Boss Editor'!$C:$C,'Boss Editor'!$D:$D,"")</f>
        <v/>
      </c>
      <c r="D10" s="3">
        <f>XLOOKUP($K10,'Threshold Summary'!$Y:$Y,'Threshold Summary'!$B:$B,"")</f>
        <v/>
      </c>
      <c r="E10" s="3">
        <f>XLOOKUP(D10,'Move Editor'!$B:$B,'Move Editor'!$C:$C,"")</f>
        <v/>
      </c>
      <c r="F10" s="3">
        <f>IFERROR(LET(mtype,XLOOKUP($D10,'Move Editor'!$B:$B,'Move Editor'!$C:$C,""),cat,XLOOKUP($D10,'Move Editor'!$B:$B,'Move Editor'!$D:$D,""),pow,XLOOKUP($D10,'Move Editor'!$B:$B,'Move Editor'!$E:$E,0),acc,XLOOKUP($D10,'Move Editor'!$B:$B,'Move Editor'!$F:$F,100),atk,IF(cat="Physical",FLOOR((FLOOR(((2*XLOOKUP(XLOOKUP($K10,'Threshold Summary'!$Y:$Y,'Threshold Summary'!$K:$K,""),'Pokemon Editor'!$A:$A,'Pokemon Editor'!$F:$F,0)+31+FLOOR(XLOOKUP($K10,'Threshold Summary'!$Y:$Y,'Threshold Summary'!$P:$P,"")/4))*XLOOKUP($K10,'Threshold Summary'!$Y:$Y,'Threshold Summary'!$L:$L,""))/100)+5)*XLOOKUP(XLOOKUP($K10,'Threshold Summary'!$Y:$Y,'Threshold Summary'!$M:$M,""),'Nature Editor'!$A:$A,'Nature Editor'!$B:$B,1)),FLOOR((FLOOR(((2*XLOOKUP(XLOOKUP($K10,'Threshold Summary'!$Y:$Y,'Threshold Summary'!$K:$K,""),'Pokemon Editor'!$A:$A,'Pokemon Editor'!$H:$H,0)+31+FLOOR(XLOOKUP($K10,'Threshold Summary'!$Y:$Y,'Threshold Summary'!$R:$R,"")/4))*XLOOKUP($K10,'Threshold Summary'!$Y:$Y,'Threshold Summary'!$L:$L,""))/100)+5)*XLOOKUP(XLOOKUP($K10,'Threshold Summary'!$Y:$Y,'Threshold Summary'!$M:$M,""),'Nature Editor'!$A:$A,'Nature Editor'!$D:$D,1))),def,IF(cat="Physical",FLOOR((FLOOR(((2*XLOOKUP($L10,'Pokemon Editor'!$A:$A,'Pokemon Editor'!$G:$G,0)+31+FLOOR(XLOOKUP($L10,'Boss Editor'!$C:$C,'Boss Editor'!$I:$I,"")/4))*XLOOKUP($L10,'Boss Editor'!$C:$C,'Boss Editor'!$D:$D,""))/100)+5)*XLOOKUP(XLOOKUP($L10,'Boss Editor'!$C:$C,'Boss Editor'!$E:$E,""),'Nature Editor'!$A:$A,'Nature Editor'!$C:$C,1)),FLOOR((FLOOR(((2*XLOOKUP($L10,'Pokemon Editor'!$A:$A,'Pokemon Editor'!$I:$I,0)+31+FLOOR(XLOOKUP($L10,'Boss Editor'!$C:$C,'Boss Editor'!$K:$K,"")/4))*XLOOKUP($L10,'Boss Editor'!$C:$C,'Boss Editor'!$D:$D,""))/100)+5)*XLOOKUP(XLOOKUP($L10,'Boss Editor'!$C:$C,'Boss Editor'!$E:$E,""),'Nature Editor'!$A:$A,'Nature Editor'!$E:$E,1))),stab,IF(OR(mtype=XLOOKUP(XLOOKUP($K10,'Threshold Summary'!$Y:$Y,'Threshold Summary'!$K:$K,""),'Pokemon Editor'!$A:$A,'Pokemon Editor'!$C:$C,""),mtype=XLOOKUP(XLOOKUP($K10,'Threshold Summary'!$Y:$Y,'Threshold Summary'!$K:$K,""),'Pokemon Editor'!$A:$A,'Pokemon Editor'!$D:$D,"")),1.5,1),eff,(INDEX('Type Chart'!$B:$S,MATCH(mtype,'Type Chart'!$A:$A,0),MATCH(XLOOKUP($L10,'Pokemon Editor'!$A:$A,'Pokemon Editor'!$C:$C,""),'Type Chart'!$B$1:$S$1,0))*IF(XLOOKUP($L10,'Pokemon Editor'!$A:$A,'Pokemon Editor'!$D:$D,"")="",1,INDEX('Type Chart'!$B:$S,MATCH(mtype,'Type Chart'!$A:$A,0),MATCH(XLOOKUP($L10,'Pokemon Editor'!$A:$A,'Pokemon Editor'!$D:$D,""),'Type Chart'!$B$1:$S$1,0)))),base,IF(OR(cat="Status",pow=0),0,FLOOR(FLOOR(FLOOR((2*XLOOKUP($K10,'Threshold Summary'!$Y:$Y,'Threshold Summary'!$L:$L,"")/5+2)*pow*atk/def)/50)+2)),modifier,stab*eff,FLOOR(base*modifier*0.85)),0)</f>
        <v/>
      </c>
      <c r="G10" s="3">
        <f>IFERROR(LET(mtype,XLOOKUP($D10,'Move Editor'!$B:$B,'Move Editor'!$C:$C,""),cat,XLOOKUP($D10,'Move Editor'!$B:$B,'Move Editor'!$D:$D,""),pow,XLOOKUP($D10,'Move Editor'!$B:$B,'Move Editor'!$E:$E,0),acc,XLOOKUP($D10,'Move Editor'!$B:$B,'Move Editor'!$F:$F,100),atk,IF(cat="Physical",FLOOR((FLOOR(((2*XLOOKUP(XLOOKUP($K10,'Threshold Summary'!$Y:$Y,'Threshold Summary'!$K:$K,""),'Pokemon Editor'!$A:$A,'Pokemon Editor'!$F:$F,0)+31+FLOOR(XLOOKUP($K10,'Threshold Summary'!$Y:$Y,'Threshold Summary'!$P:$P,"")/4))*XLOOKUP($K10,'Threshold Summary'!$Y:$Y,'Threshold Summary'!$L:$L,""))/100)+5)*XLOOKUP(XLOOKUP($K10,'Threshold Summary'!$Y:$Y,'Threshold Summary'!$M:$M,""),'Nature Editor'!$A:$A,'Nature Editor'!$B:$B,1)),FLOOR((FLOOR(((2*XLOOKUP(XLOOKUP($K10,'Threshold Summary'!$Y:$Y,'Threshold Summary'!$K:$K,""),'Pokemon Editor'!$A:$A,'Pokemon Editor'!$H:$H,0)+31+FLOOR(XLOOKUP($K10,'Threshold Summary'!$Y:$Y,'Threshold Summary'!$R:$R,"")/4))*XLOOKUP($K10,'Threshold Summary'!$Y:$Y,'Threshold Summary'!$L:$L,""))/100)+5)*XLOOKUP(XLOOKUP($K10,'Threshold Summary'!$Y:$Y,'Threshold Summary'!$M:$M,""),'Nature Editor'!$A:$A,'Nature Editor'!$D:$D,1))),def,IF(cat="Physical",FLOOR((FLOOR(((2*XLOOKUP($L10,'Pokemon Editor'!$A:$A,'Pokemon Editor'!$G:$G,0)+31+FLOOR(XLOOKUP($L10,'Boss Editor'!$C:$C,'Boss Editor'!$I:$I,"")/4))*XLOOKUP($L10,'Boss Editor'!$C:$C,'Boss Editor'!$D:$D,""))/100)+5)*XLOOKUP(XLOOKUP($L10,'Boss Editor'!$C:$C,'Boss Editor'!$E:$E,""),'Nature Editor'!$A:$A,'Nature Editor'!$C:$C,1)),FLOOR((FLOOR(((2*XLOOKUP($L10,'Pokemon Editor'!$A:$A,'Pokemon Editor'!$I:$I,0)+31+FLOOR(XLOOKUP($L10,'Boss Editor'!$C:$C,'Boss Editor'!$K:$K,"")/4))*XLOOKUP($L10,'Boss Editor'!$C:$C,'Boss Editor'!$D:$D,""))/100)+5)*XLOOKUP(XLOOKUP($L10,'Boss Editor'!$C:$C,'Boss Editor'!$E:$E,""),'Nature Editor'!$A:$A,'Nature Editor'!$E:$E,1))),stab,IF(OR(mtype=XLOOKUP(XLOOKUP($K10,'Threshold Summary'!$Y:$Y,'Threshold Summary'!$K:$K,""),'Pokemon Editor'!$A:$A,'Pokemon Editor'!$C:$C,""),mtype=XLOOKUP(XLOOKUP($K10,'Threshold Summary'!$Y:$Y,'Threshold Summary'!$K:$K,""),'Pokemon Editor'!$A:$A,'Pokemon Editor'!$D:$D,"")),1.5,1),eff,(INDEX('Type Chart'!$B:$S,MATCH(mtype,'Type Chart'!$A:$A,0),MATCH(XLOOKUP($L10,'Pokemon Editor'!$A:$A,'Pokemon Editor'!$C:$C,""),'Type Chart'!$B$1:$S$1,0))*IF(XLOOKUP($L10,'Pokemon Editor'!$A:$A,'Pokemon Editor'!$D:$D,"")="",1,INDEX('Type Chart'!$B:$S,MATCH(mtype,'Type Chart'!$A:$A,0),MATCH(XLOOKUP($L10,'Pokemon Editor'!$A:$A,'Pokemon Editor'!$D:$D,""),'Type Chart'!$B$1:$S$1,0)))),base,IF(OR(cat="Status",pow=0),0,FLOOR(FLOOR(FLOOR((2*XLOOKUP($K10,'Threshold Summary'!$Y:$Y,'Threshold Summary'!$L:$L,"")/5+2)*pow*atk/def)/50)+2)),modifier,stab*eff,FLOOR(base*modifier)),0)</f>
        <v/>
      </c>
      <c r="H10" s="3">
        <f>IFERROR(LET(mtype,XLOOKUP($D10,'Move Editor'!$B:$B,'Move Editor'!$C:$C,""),cat,XLOOKUP($D10,'Move Editor'!$B:$B,'Move Editor'!$D:$D,""),pow,XLOOKUP($D10,'Move Editor'!$B:$B,'Move Editor'!$E:$E,0),acc,XLOOKUP($D10,'Move Editor'!$B:$B,'Move Editor'!$F:$F,100),atk,IF(cat="Physical",FLOOR((FLOOR(((2*XLOOKUP(XLOOKUP($K10,'Threshold Summary'!$Y:$Y,'Threshold Summary'!$K:$K,""),'Pokemon Editor'!$A:$A,'Pokemon Editor'!$F:$F,0)+31+FLOOR(XLOOKUP($K10,'Threshold Summary'!$Y:$Y,'Threshold Summary'!$P:$P,"")/4))*XLOOKUP($K10,'Threshold Summary'!$Y:$Y,'Threshold Summary'!$L:$L,""))/100)+5)*XLOOKUP(XLOOKUP($K10,'Threshold Summary'!$Y:$Y,'Threshold Summary'!$M:$M,""),'Nature Editor'!$A:$A,'Nature Editor'!$B:$B,1)),FLOOR((FLOOR(((2*XLOOKUP(XLOOKUP($K10,'Threshold Summary'!$Y:$Y,'Threshold Summary'!$K:$K,""),'Pokemon Editor'!$A:$A,'Pokemon Editor'!$H:$H,0)+31+FLOOR(XLOOKUP($K10,'Threshold Summary'!$Y:$Y,'Threshold Summary'!$R:$R,"")/4))*XLOOKUP($K10,'Threshold Summary'!$Y:$Y,'Threshold Summary'!$L:$L,""))/100)+5)*XLOOKUP(XLOOKUP($K10,'Threshold Summary'!$Y:$Y,'Threshold Summary'!$M:$M,""),'Nature Editor'!$A:$A,'Nature Editor'!$D:$D,1))),def,IF(cat="Physical",FLOOR((FLOOR(((2*XLOOKUP($L10,'Pokemon Editor'!$A:$A,'Pokemon Editor'!$G:$G,0)+31+FLOOR(XLOOKUP($L10,'Boss Editor'!$C:$C,'Boss Editor'!$I:$I,"")/4))*XLOOKUP($L10,'Boss Editor'!$C:$C,'Boss Editor'!$D:$D,""))/100)+5)*XLOOKUP(XLOOKUP($L10,'Boss Editor'!$C:$C,'Boss Editor'!$E:$E,""),'Nature Editor'!$A:$A,'Nature Editor'!$C:$C,1)),FLOOR((FLOOR(((2*XLOOKUP($L10,'Pokemon Editor'!$A:$A,'Pokemon Editor'!$I:$I,0)+31+FLOOR(XLOOKUP($L10,'Boss Editor'!$C:$C,'Boss Editor'!$K:$K,"")/4))*XLOOKUP($L10,'Boss Editor'!$C:$C,'Boss Editor'!$D:$D,""))/100)+5)*XLOOKUP(XLOOKUP($L10,'Boss Editor'!$C:$C,'Boss Editor'!$E:$E,""),'Nature Editor'!$A:$A,'Nature Editor'!$E:$E,1))),stab,IF(OR(mtype=XLOOKUP(XLOOKUP($K10,'Threshold Summary'!$Y:$Y,'Threshold Summary'!$K:$K,""),'Pokemon Editor'!$A:$A,'Pokemon Editor'!$C:$C,""),mtype=XLOOKUP(XLOOKUP($K10,'Threshold Summary'!$Y:$Y,'Threshold Summary'!$K:$K,""),'Pokemon Editor'!$A:$A,'Pokemon Editor'!$D:$D,"")),1.5,1),eff,(INDEX('Type Chart'!$B:$S,MATCH(mtype,'Type Chart'!$A:$A,0),MATCH(XLOOKUP($L10,'Pokemon Editor'!$A:$A,'Pokemon Editor'!$C:$C,""),'Type Chart'!$B$1:$S$1,0))*IF(XLOOKUP($L10,'Pokemon Editor'!$A:$A,'Pokemon Editor'!$D:$D,"")="",1,INDEX('Type Chart'!$B:$S,MATCH(mtype,'Type Chart'!$A:$A,0),MATCH(XLOOKUP($L10,'Pokemon Editor'!$A:$A,'Pokemon Editor'!$D:$D,""),'Type Chart'!$B$1:$S$1,0)))),base,IF(OR(cat="Status",pow=0),0,FLOOR(FLOOR(FLOOR((2*XLOOKUP($K10,'Threshold Summary'!$Y:$Y,'Threshold Summary'!$L:$L,"")/5+2)*pow*atk/def)/50)+2)),modifier,stab*eff,AVERAGE(ARRAYFORMULA(FLOOR(base*modifier*SEQUENCE(16,1,85,1)/100)))),0)</f>
        <v/>
      </c>
      <c r="I10" s="4">
        <f>IFERROR(LET(mtype,XLOOKUP($D10,'Move Editor'!$B:$B,'Move Editor'!$C:$C,""),cat,XLOOKUP($D10,'Move Editor'!$B:$B,'Move Editor'!$D:$D,""),pow,XLOOKUP($D10,'Move Editor'!$B:$B,'Move Editor'!$E:$E,0),acc,XLOOKUP($D10,'Move Editor'!$B:$B,'Move Editor'!$F:$F,100),atk,IF(cat="Physical",FLOOR((FLOOR(((2*XLOOKUP(XLOOKUP($K10,'Threshold Summary'!$Y:$Y,'Threshold Summary'!$K:$K,""),'Pokemon Editor'!$A:$A,'Pokemon Editor'!$F:$F,0)+31+FLOOR(XLOOKUP($K10,'Threshold Summary'!$Y:$Y,'Threshold Summary'!$P:$P,"")/4))*XLOOKUP($K10,'Threshold Summary'!$Y:$Y,'Threshold Summary'!$L:$L,""))/100)+5)*XLOOKUP(XLOOKUP($K10,'Threshold Summary'!$Y:$Y,'Threshold Summary'!$M:$M,""),'Nature Editor'!$A:$A,'Nature Editor'!$B:$B,1)),FLOOR((FLOOR(((2*XLOOKUP(XLOOKUP($K10,'Threshold Summary'!$Y:$Y,'Threshold Summary'!$K:$K,""),'Pokemon Editor'!$A:$A,'Pokemon Editor'!$H:$H,0)+31+FLOOR(XLOOKUP($K10,'Threshold Summary'!$Y:$Y,'Threshold Summary'!$R:$R,"")/4))*XLOOKUP($K10,'Threshold Summary'!$Y:$Y,'Threshold Summary'!$L:$L,""))/100)+5)*XLOOKUP(XLOOKUP($K10,'Threshold Summary'!$Y:$Y,'Threshold Summary'!$M:$M,""),'Nature Editor'!$A:$A,'Nature Editor'!$D:$D,1))),def,IF(cat="Physical",FLOOR((FLOOR(((2*XLOOKUP($L10,'Pokemon Editor'!$A:$A,'Pokemon Editor'!$G:$G,0)+31+FLOOR(XLOOKUP($L10,'Boss Editor'!$C:$C,'Boss Editor'!$I:$I,"")/4))*XLOOKUP($L10,'Boss Editor'!$C:$C,'Boss Editor'!$D:$D,""))/100)+5)*XLOOKUP(XLOOKUP($L10,'Boss Editor'!$C:$C,'Boss Editor'!$E:$E,""),'Nature Editor'!$A:$A,'Nature Editor'!$C:$C,1)),FLOOR((FLOOR(((2*XLOOKUP($L10,'Pokemon Editor'!$A:$A,'Pokemon Editor'!$I:$I,0)+31+FLOOR(XLOOKUP($L10,'Boss Editor'!$C:$C,'Boss Editor'!$K:$K,"")/4))*XLOOKUP($L10,'Boss Editor'!$C:$C,'Boss Editor'!$D:$D,""))/100)+5)*XLOOKUP(XLOOKUP($L10,'Boss Editor'!$C:$C,'Boss Editor'!$E:$E,""),'Nature Editor'!$A:$A,'Nature Editor'!$E:$E,1))),stab,IF(OR(mtype=XLOOKUP(XLOOKUP($K10,'Threshold Summary'!$Y:$Y,'Threshold Summary'!$K:$K,""),'Pokemon Editor'!$A:$A,'Pokemon Editor'!$C:$C,""),mtype=XLOOKUP(XLOOKUP($K10,'Threshold Summary'!$Y:$Y,'Threshold Summary'!$K:$K,""),'Pokemon Editor'!$A:$A,'Pokemon Editor'!$D:$D,"")),1.5,1),eff,(INDEX('Type Chart'!$B:$S,MATCH(mtype,'Type Chart'!$A:$A,0),MATCH(XLOOKUP($L10,'Pokemon Editor'!$A:$A,'Pokemon Editor'!$C:$C,""),'Type Chart'!$B$1:$S$1,0))*IF(XLOOKUP($L10,'Pokemon Editor'!$A:$A,'Pokemon Editor'!$D:$D,"")="",1,INDEX('Type Chart'!$B:$S,MATCH(mtype,'Type Chart'!$A:$A,0),MATCH(XLOOKUP($L10,'Pokemon Editor'!$A:$A,'Pokemon Editor'!$D:$D,""),'Type Chart'!$B$1:$S$1,0)))),base,IF(OR(cat="Status",pow=0),0,FLOOR(FLOOR(FLOOR((2*XLOOKUP($K10,'Threshold Summary'!$Y:$Y,'Threshold Summary'!$L:$L,"")/5+2)*pow*atk/def)/50)+2)),modifier,stab*eff,AVERAGE(ARRAYFORMULA(FLOOR(base*modifier*SEQUENCE(16,1,85,1)/100)))/(FLOOR(((2*XLOOKUP($L10,'Pokemon Editor'!$A:$A,'Pokemon Editor'!$E:$E,0)+31+FLOOR(XLOOKUP($L10,'Boss Editor'!$C:$C,'Boss Editor'!$G:$G,"")/4))*XLOOKUP($L10,'Boss Editor'!$C:$C,'Boss Editor'!$D:$D,""))/100)+XLOOKUP($L10,'Boss Editor'!$C:$C,'Boss Editor'!$D:$D,"")+10)),0)</f>
        <v/>
      </c>
      <c r="J10" s="3">
        <f>IF(I10&gt;=1,"OHKO",IF(I10&gt;=0.5,"2HKO",IF(I10&gt;=0.333,"3HKO",IF(I10&gt;=0.25,"4HKO","5HKO+"))))</f>
        <v/>
      </c>
      <c r="K10" s="3" t="inlineStr">
        <is>
          <t>SPECIES_MAREEP</t>
        </is>
      </c>
      <c r="L10" s="3" t="inlineStr">
        <is>
          <t>SPECIES_LILEEP</t>
        </is>
      </c>
    </row>
    <row r="11">
      <c r="A11" s="3">
        <f>XLOOKUP($K11,'Threshold Summary'!$Y:$Y,'Threshold Summary'!$A:$A,"")</f>
        <v/>
      </c>
      <c r="B11" s="3" t="inlineStr">
        <is>
          <t>Tirtouga</t>
        </is>
      </c>
      <c r="C11" s="3">
        <f>XLOOKUP($L11,'Boss Editor'!$C:$C,'Boss Editor'!$D:$D,"")</f>
        <v/>
      </c>
      <c r="D11" s="3">
        <f>XLOOKUP($K11,'Threshold Summary'!$Y:$Y,'Threshold Summary'!$B:$B,"")</f>
        <v/>
      </c>
      <c r="E11" s="3">
        <f>XLOOKUP(D11,'Move Editor'!$B:$B,'Move Editor'!$C:$C,"")</f>
        <v/>
      </c>
      <c r="F11" s="3">
        <f>IFERROR(LET(mtype,XLOOKUP($D11,'Move Editor'!$B:$B,'Move Editor'!$C:$C,""),cat,XLOOKUP($D11,'Move Editor'!$B:$B,'Move Editor'!$D:$D,""),pow,XLOOKUP($D11,'Move Editor'!$B:$B,'Move Editor'!$E:$E,0),acc,XLOOKUP($D11,'Move Editor'!$B:$B,'Move Editor'!$F:$F,100),atk,IF(cat="Physical",FLOOR((FLOOR(((2*XLOOKUP(XLOOKUP($K11,'Threshold Summary'!$Y:$Y,'Threshold Summary'!$K:$K,""),'Pokemon Editor'!$A:$A,'Pokemon Editor'!$F:$F,0)+31+FLOOR(XLOOKUP($K11,'Threshold Summary'!$Y:$Y,'Threshold Summary'!$P:$P,"")/4))*XLOOKUP($K11,'Threshold Summary'!$Y:$Y,'Threshold Summary'!$L:$L,""))/100)+5)*XLOOKUP(XLOOKUP($K11,'Threshold Summary'!$Y:$Y,'Threshold Summary'!$M:$M,""),'Nature Editor'!$A:$A,'Nature Editor'!$B:$B,1)),FLOOR((FLOOR(((2*XLOOKUP(XLOOKUP($K11,'Threshold Summary'!$Y:$Y,'Threshold Summary'!$K:$K,""),'Pokemon Editor'!$A:$A,'Pokemon Editor'!$H:$H,0)+31+FLOOR(XLOOKUP($K11,'Threshold Summary'!$Y:$Y,'Threshold Summary'!$R:$R,"")/4))*XLOOKUP($K11,'Threshold Summary'!$Y:$Y,'Threshold Summary'!$L:$L,""))/100)+5)*XLOOKUP(XLOOKUP($K11,'Threshold Summary'!$Y:$Y,'Threshold Summary'!$M:$M,""),'Nature Editor'!$A:$A,'Nature Editor'!$D:$D,1))),def,IF(cat="Physical",FLOOR((FLOOR(((2*XLOOKUP($L11,'Pokemon Editor'!$A:$A,'Pokemon Editor'!$G:$G,0)+31+FLOOR(XLOOKUP($L11,'Boss Editor'!$C:$C,'Boss Editor'!$I:$I,"")/4))*XLOOKUP($L11,'Boss Editor'!$C:$C,'Boss Editor'!$D:$D,""))/100)+5)*XLOOKUP(XLOOKUP($L11,'Boss Editor'!$C:$C,'Boss Editor'!$E:$E,""),'Nature Editor'!$A:$A,'Nature Editor'!$C:$C,1)),FLOOR((FLOOR(((2*XLOOKUP($L11,'Pokemon Editor'!$A:$A,'Pokemon Editor'!$I:$I,0)+31+FLOOR(XLOOKUP($L11,'Boss Editor'!$C:$C,'Boss Editor'!$K:$K,"")/4))*XLOOKUP($L11,'Boss Editor'!$C:$C,'Boss Editor'!$D:$D,""))/100)+5)*XLOOKUP(XLOOKUP($L11,'Boss Editor'!$C:$C,'Boss Editor'!$E:$E,""),'Nature Editor'!$A:$A,'Nature Editor'!$E:$E,1))),stab,IF(OR(mtype=XLOOKUP(XLOOKUP($K11,'Threshold Summary'!$Y:$Y,'Threshold Summary'!$K:$K,""),'Pokemon Editor'!$A:$A,'Pokemon Editor'!$C:$C,""),mtype=XLOOKUP(XLOOKUP($K11,'Threshold Summary'!$Y:$Y,'Threshold Summary'!$K:$K,""),'Pokemon Editor'!$A:$A,'Pokemon Editor'!$D:$D,"")),1.5,1),eff,(INDEX('Type Chart'!$B:$S,MATCH(mtype,'Type Chart'!$A:$A,0),MATCH(XLOOKUP($L11,'Pokemon Editor'!$A:$A,'Pokemon Editor'!$C:$C,""),'Type Chart'!$B$1:$S$1,0))*IF(XLOOKUP($L11,'Pokemon Editor'!$A:$A,'Pokemon Editor'!$D:$D,"")="",1,INDEX('Type Chart'!$B:$S,MATCH(mtype,'Type Chart'!$A:$A,0),MATCH(XLOOKUP($L11,'Pokemon Editor'!$A:$A,'Pokemon Editor'!$D:$D,""),'Type Chart'!$B$1:$S$1,0)))),base,IF(OR(cat="Status",pow=0),0,FLOOR(FLOOR(FLOOR((2*XLOOKUP($K11,'Threshold Summary'!$Y:$Y,'Threshold Summary'!$L:$L,"")/5+2)*pow*atk/def)/50)+2)),modifier,stab*eff,FLOOR(base*modifier*0.85)),0)</f>
        <v/>
      </c>
      <c r="G11" s="3">
        <f>IFERROR(LET(mtype,XLOOKUP($D11,'Move Editor'!$B:$B,'Move Editor'!$C:$C,""),cat,XLOOKUP($D11,'Move Editor'!$B:$B,'Move Editor'!$D:$D,""),pow,XLOOKUP($D11,'Move Editor'!$B:$B,'Move Editor'!$E:$E,0),acc,XLOOKUP($D11,'Move Editor'!$B:$B,'Move Editor'!$F:$F,100),atk,IF(cat="Physical",FLOOR((FLOOR(((2*XLOOKUP(XLOOKUP($K11,'Threshold Summary'!$Y:$Y,'Threshold Summary'!$K:$K,""),'Pokemon Editor'!$A:$A,'Pokemon Editor'!$F:$F,0)+31+FLOOR(XLOOKUP($K11,'Threshold Summary'!$Y:$Y,'Threshold Summary'!$P:$P,"")/4))*XLOOKUP($K11,'Threshold Summary'!$Y:$Y,'Threshold Summary'!$L:$L,""))/100)+5)*XLOOKUP(XLOOKUP($K11,'Threshold Summary'!$Y:$Y,'Threshold Summary'!$M:$M,""),'Nature Editor'!$A:$A,'Nature Editor'!$B:$B,1)),FLOOR((FLOOR(((2*XLOOKUP(XLOOKUP($K11,'Threshold Summary'!$Y:$Y,'Threshold Summary'!$K:$K,""),'Pokemon Editor'!$A:$A,'Pokemon Editor'!$H:$H,0)+31+FLOOR(XLOOKUP($K11,'Threshold Summary'!$Y:$Y,'Threshold Summary'!$R:$R,"")/4))*XLOOKUP($K11,'Threshold Summary'!$Y:$Y,'Threshold Summary'!$L:$L,""))/100)+5)*XLOOKUP(XLOOKUP($K11,'Threshold Summary'!$Y:$Y,'Threshold Summary'!$M:$M,""),'Nature Editor'!$A:$A,'Nature Editor'!$D:$D,1))),def,IF(cat="Physical",FLOOR((FLOOR(((2*XLOOKUP($L11,'Pokemon Editor'!$A:$A,'Pokemon Editor'!$G:$G,0)+31+FLOOR(XLOOKUP($L11,'Boss Editor'!$C:$C,'Boss Editor'!$I:$I,"")/4))*XLOOKUP($L11,'Boss Editor'!$C:$C,'Boss Editor'!$D:$D,""))/100)+5)*XLOOKUP(XLOOKUP($L11,'Boss Editor'!$C:$C,'Boss Editor'!$E:$E,""),'Nature Editor'!$A:$A,'Nature Editor'!$C:$C,1)),FLOOR((FLOOR(((2*XLOOKUP($L11,'Pokemon Editor'!$A:$A,'Pokemon Editor'!$I:$I,0)+31+FLOOR(XLOOKUP($L11,'Boss Editor'!$C:$C,'Boss Editor'!$K:$K,"")/4))*XLOOKUP($L11,'Boss Editor'!$C:$C,'Boss Editor'!$D:$D,""))/100)+5)*XLOOKUP(XLOOKUP($L11,'Boss Editor'!$C:$C,'Boss Editor'!$E:$E,""),'Nature Editor'!$A:$A,'Nature Editor'!$E:$E,1))),stab,IF(OR(mtype=XLOOKUP(XLOOKUP($K11,'Threshold Summary'!$Y:$Y,'Threshold Summary'!$K:$K,""),'Pokemon Editor'!$A:$A,'Pokemon Editor'!$C:$C,""),mtype=XLOOKUP(XLOOKUP($K11,'Threshold Summary'!$Y:$Y,'Threshold Summary'!$K:$K,""),'Pokemon Editor'!$A:$A,'Pokemon Editor'!$D:$D,"")),1.5,1),eff,(INDEX('Type Chart'!$B:$S,MATCH(mtype,'Type Chart'!$A:$A,0),MATCH(XLOOKUP($L11,'Pokemon Editor'!$A:$A,'Pokemon Editor'!$C:$C,""),'Type Chart'!$B$1:$S$1,0))*IF(XLOOKUP($L11,'Pokemon Editor'!$A:$A,'Pokemon Editor'!$D:$D,"")="",1,INDEX('Type Chart'!$B:$S,MATCH(mtype,'Type Chart'!$A:$A,0),MATCH(XLOOKUP($L11,'Pokemon Editor'!$A:$A,'Pokemon Editor'!$D:$D,""),'Type Chart'!$B$1:$S$1,0)))),base,IF(OR(cat="Status",pow=0),0,FLOOR(FLOOR(FLOOR((2*XLOOKUP($K11,'Threshold Summary'!$Y:$Y,'Threshold Summary'!$L:$L,"")/5+2)*pow*atk/def)/50)+2)),modifier,stab*eff,FLOOR(base*modifier)),0)</f>
        <v/>
      </c>
      <c r="H11" s="3">
        <f>IFERROR(LET(mtype,XLOOKUP($D11,'Move Editor'!$B:$B,'Move Editor'!$C:$C,""),cat,XLOOKUP($D11,'Move Editor'!$B:$B,'Move Editor'!$D:$D,""),pow,XLOOKUP($D11,'Move Editor'!$B:$B,'Move Editor'!$E:$E,0),acc,XLOOKUP($D11,'Move Editor'!$B:$B,'Move Editor'!$F:$F,100),atk,IF(cat="Physical",FLOOR((FLOOR(((2*XLOOKUP(XLOOKUP($K11,'Threshold Summary'!$Y:$Y,'Threshold Summary'!$K:$K,""),'Pokemon Editor'!$A:$A,'Pokemon Editor'!$F:$F,0)+31+FLOOR(XLOOKUP($K11,'Threshold Summary'!$Y:$Y,'Threshold Summary'!$P:$P,"")/4))*XLOOKUP($K11,'Threshold Summary'!$Y:$Y,'Threshold Summary'!$L:$L,""))/100)+5)*XLOOKUP(XLOOKUP($K11,'Threshold Summary'!$Y:$Y,'Threshold Summary'!$M:$M,""),'Nature Editor'!$A:$A,'Nature Editor'!$B:$B,1)),FLOOR((FLOOR(((2*XLOOKUP(XLOOKUP($K11,'Threshold Summary'!$Y:$Y,'Threshold Summary'!$K:$K,""),'Pokemon Editor'!$A:$A,'Pokemon Editor'!$H:$H,0)+31+FLOOR(XLOOKUP($K11,'Threshold Summary'!$Y:$Y,'Threshold Summary'!$R:$R,"")/4))*XLOOKUP($K11,'Threshold Summary'!$Y:$Y,'Threshold Summary'!$L:$L,""))/100)+5)*XLOOKUP(XLOOKUP($K11,'Threshold Summary'!$Y:$Y,'Threshold Summary'!$M:$M,""),'Nature Editor'!$A:$A,'Nature Editor'!$D:$D,1))),def,IF(cat="Physical",FLOOR((FLOOR(((2*XLOOKUP($L11,'Pokemon Editor'!$A:$A,'Pokemon Editor'!$G:$G,0)+31+FLOOR(XLOOKUP($L11,'Boss Editor'!$C:$C,'Boss Editor'!$I:$I,"")/4))*XLOOKUP($L11,'Boss Editor'!$C:$C,'Boss Editor'!$D:$D,""))/100)+5)*XLOOKUP(XLOOKUP($L11,'Boss Editor'!$C:$C,'Boss Editor'!$E:$E,""),'Nature Editor'!$A:$A,'Nature Editor'!$C:$C,1)),FLOOR((FLOOR(((2*XLOOKUP($L11,'Pokemon Editor'!$A:$A,'Pokemon Editor'!$I:$I,0)+31+FLOOR(XLOOKUP($L11,'Boss Editor'!$C:$C,'Boss Editor'!$K:$K,"")/4))*XLOOKUP($L11,'Boss Editor'!$C:$C,'Boss Editor'!$D:$D,""))/100)+5)*XLOOKUP(XLOOKUP($L11,'Boss Editor'!$C:$C,'Boss Editor'!$E:$E,""),'Nature Editor'!$A:$A,'Nature Editor'!$E:$E,1))),stab,IF(OR(mtype=XLOOKUP(XLOOKUP($K11,'Threshold Summary'!$Y:$Y,'Threshold Summary'!$K:$K,""),'Pokemon Editor'!$A:$A,'Pokemon Editor'!$C:$C,""),mtype=XLOOKUP(XLOOKUP($K11,'Threshold Summary'!$Y:$Y,'Threshold Summary'!$K:$K,""),'Pokemon Editor'!$A:$A,'Pokemon Editor'!$D:$D,"")),1.5,1),eff,(INDEX('Type Chart'!$B:$S,MATCH(mtype,'Type Chart'!$A:$A,0),MATCH(XLOOKUP($L11,'Pokemon Editor'!$A:$A,'Pokemon Editor'!$C:$C,""),'Type Chart'!$B$1:$S$1,0))*IF(XLOOKUP($L11,'Pokemon Editor'!$A:$A,'Pokemon Editor'!$D:$D,"")="",1,INDEX('Type Chart'!$B:$S,MATCH(mtype,'Type Chart'!$A:$A,0),MATCH(XLOOKUP($L11,'Pokemon Editor'!$A:$A,'Pokemon Editor'!$D:$D,""),'Type Chart'!$B$1:$S$1,0)))),base,IF(OR(cat="Status",pow=0),0,FLOOR(FLOOR(FLOOR((2*XLOOKUP($K11,'Threshold Summary'!$Y:$Y,'Threshold Summary'!$L:$L,"")/5+2)*pow*atk/def)/50)+2)),modifier,stab*eff,AVERAGE(ARRAYFORMULA(FLOOR(base*modifier*SEQUENCE(16,1,85,1)/100)))),0)</f>
        <v/>
      </c>
      <c r="I11" s="4">
        <f>IFERROR(LET(mtype,XLOOKUP($D11,'Move Editor'!$B:$B,'Move Editor'!$C:$C,""),cat,XLOOKUP($D11,'Move Editor'!$B:$B,'Move Editor'!$D:$D,""),pow,XLOOKUP($D11,'Move Editor'!$B:$B,'Move Editor'!$E:$E,0),acc,XLOOKUP($D11,'Move Editor'!$B:$B,'Move Editor'!$F:$F,100),atk,IF(cat="Physical",FLOOR((FLOOR(((2*XLOOKUP(XLOOKUP($K11,'Threshold Summary'!$Y:$Y,'Threshold Summary'!$K:$K,""),'Pokemon Editor'!$A:$A,'Pokemon Editor'!$F:$F,0)+31+FLOOR(XLOOKUP($K11,'Threshold Summary'!$Y:$Y,'Threshold Summary'!$P:$P,"")/4))*XLOOKUP($K11,'Threshold Summary'!$Y:$Y,'Threshold Summary'!$L:$L,""))/100)+5)*XLOOKUP(XLOOKUP($K11,'Threshold Summary'!$Y:$Y,'Threshold Summary'!$M:$M,""),'Nature Editor'!$A:$A,'Nature Editor'!$B:$B,1)),FLOOR((FLOOR(((2*XLOOKUP(XLOOKUP($K11,'Threshold Summary'!$Y:$Y,'Threshold Summary'!$K:$K,""),'Pokemon Editor'!$A:$A,'Pokemon Editor'!$H:$H,0)+31+FLOOR(XLOOKUP($K11,'Threshold Summary'!$Y:$Y,'Threshold Summary'!$R:$R,"")/4))*XLOOKUP($K11,'Threshold Summary'!$Y:$Y,'Threshold Summary'!$L:$L,""))/100)+5)*XLOOKUP(XLOOKUP($K11,'Threshold Summary'!$Y:$Y,'Threshold Summary'!$M:$M,""),'Nature Editor'!$A:$A,'Nature Editor'!$D:$D,1))),def,IF(cat="Physical",FLOOR((FLOOR(((2*XLOOKUP($L11,'Pokemon Editor'!$A:$A,'Pokemon Editor'!$G:$G,0)+31+FLOOR(XLOOKUP($L11,'Boss Editor'!$C:$C,'Boss Editor'!$I:$I,"")/4))*XLOOKUP($L11,'Boss Editor'!$C:$C,'Boss Editor'!$D:$D,""))/100)+5)*XLOOKUP(XLOOKUP($L11,'Boss Editor'!$C:$C,'Boss Editor'!$E:$E,""),'Nature Editor'!$A:$A,'Nature Editor'!$C:$C,1)),FLOOR((FLOOR(((2*XLOOKUP($L11,'Pokemon Editor'!$A:$A,'Pokemon Editor'!$I:$I,0)+31+FLOOR(XLOOKUP($L11,'Boss Editor'!$C:$C,'Boss Editor'!$K:$K,"")/4))*XLOOKUP($L11,'Boss Editor'!$C:$C,'Boss Editor'!$D:$D,""))/100)+5)*XLOOKUP(XLOOKUP($L11,'Boss Editor'!$C:$C,'Boss Editor'!$E:$E,""),'Nature Editor'!$A:$A,'Nature Editor'!$E:$E,1))),stab,IF(OR(mtype=XLOOKUP(XLOOKUP($K11,'Threshold Summary'!$Y:$Y,'Threshold Summary'!$K:$K,""),'Pokemon Editor'!$A:$A,'Pokemon Editor'!$C:$C,""),mtype=XLOOKUP(XLOOKUP($K11,'Threshold Summary'!$Y:$Y,'Threshold Summary'!$K:$K,""),'Pokemon Editor'!$A:$A,'Pokemon Editor'!$D:$D,"")),1.5,1),eff,(INDEX('Type Chart'!$B:$S,MATCH(mtype,'Type Chart'!$A:$A,0),MATCH(XLOOKUP($L11,'Pokemon Editor'!$A:$A,'Pokemon Editor'!$C:$C,""),'Type Chart'!$B$1:$S$1,0))*IF(XLOOKUP($L11,'Pokemon Editor'!$A:$A,'Pokemon Editor'!$D:$D,"")="",1,INDEX('Type Chart'!$B:$S,MATCH(mtype,'Type Chart'!$A:$A,0),MATCH(XLOOKUP($L11,'Pokemon Editor'!$A:$A,'Pokemon Editor'!$D:$D,""),'Type Chart'!$B$1:$S$1,0)))),base,IF(OR(cat="Status",pow=0),0,FLOOR(FLOOR(FLOOR((2*XLOOKUP($K11,'Threshold Summary'!$Y:$Y,'Threshold Summary'!$L:$L,"")/5+2)*pow*atk/def)/50)+2)),modifier,stab*eff,AVERAGE(ARRAYFORMULA(FLOOR(base*modifier*SEQUENCE(16,1,85,1)/100)))/(FLOOR(((2*XLOOKUP($L11,'Pokemon Editor'!$A:$A,'Pokemon Editor'!$E:$E,0)+31+FLOOR(XLOOKUP($L11,'Boss Editor'!$C:$C,'Boss Editor'!$G:$G,"")/4))*XLOOKUP($L11,'Boss Editor'!$C:$C,'Boss Editor'!$D:$D,""))/100)+XLOOKUP($L11,'Boss Editor'!$C:$C,'Boss Editor'!$D:$D,"")+10)),0)</f>
        <v/>
      </c>
      <c r="J11" s="3">
        <f>IF(I11&gt;=1,"OHKO",IF(I11&gt;=0.5,"2HKO",IF(I11&gt;=0.333,"3HKO",IF(I11&gt;=0.25,"4HKO","5HKO+"))))</f>
        <v/>
      </c>
      <c r="K11" s="3" t="inlineStr">
        <is>
          <t>SPECIES_TREECKO</t>
        </is>
      </c>
      <c r="L11" s="3" t="inlineStr">
        <is>
          <t>SPECIES_TIRTOUGA</t>
        </is>
      </c>
    </row>
    <row r="12">
      <c r="A12" s="3">
        <f>XLOOKUP($K12,'Threshold Summary'!$Y:$Y,'Threshold Summary'!$A:$A,"")</f>
        <v/>
      </c>
      <c r="B12" s="3" t="inlineStr">
        <is>
          <t>Anorith</t>
        </is>
      </c>
      <c r="C12" s="3">
        <f>XLOOKUP($L12,'Boss Editor'!$C:$C,'Boss Editor'!$D:$D,"")</f>
        <v/>
      </c>
      <c r="D12" s="3">
        <f>XLOOKUP($K12,'Threshold Summary'!$Y:$Y,'Threshold Summary'!$B:$B,"")</f>
        <v/>
      </c>
      <c r="E12" s="3">
        <f>XLOOKUP(D12,'Move Editor'!$B:$B,'Move Editor'!$C:$C,"")</f>
        <v/>
      </c>
      <c r="F12" s="3">
        <f>IFERROR(LET(mtype,XLOOKUP($D12,'Move Editor'!$B:$B,'Move Editor'!$C:$C,""),cat,XLOOKUP($D12,'Move Editor'!$B:$B,'Move Editor'!$D:$D,""),pow,XLOOKUP($D12,'Move Editor'!$B:$B,'Move Editor'!$E:$E,0),acc,XLOOKUP($D12,'Move Editor'!$B:$B,'Move Editor'!$F:$F,100),atk,IF(cat="Physical",FLOOR((FLOOR(((2*XLOOKUP(XLOOKUP($K12,'Threshold Summary'!$Y:$Y,'Threshold Summary'!$K:$K,""),'Pokemon Editor'!$A:$A,'Pokemon Editor'!$F:$F,0)+31+FLOOR(XLOOKUP($K12,'Threshold Summary'!$Y:$Y,'Threshold Summary'!$P:$P,"")/4))*XLOOKUP($K12,'Threshold Summary'!$Y:$Y,'Threshold Summary'!$L:$L,""))/100)+5)*XLOOKUP(XLOOKUP($K12,'Threshold Summary'!$Y:$Y,'Threshold Summary'!$M:$M,""),'Nature Editor'!$A:$A,'Nature Editor'!$B:$B,1)),FLOOR((FLOOR(((2*XLOOKUP(XLOOKUP($K12,'Threshold Summary'!$Y:$Y,'Threshold Summary'!$K:$K,""),'Pokemon Editor'!$A:$A,'Pokemon Editor'!$H:$H,0)+31+FLOOR(XLOOKUP($K12,'Threshold Summary'!$Y:$Y,'Threshold Summary'!$R:$R,"")/4))*XLOOKUP($K12,'Threshold Summary'!$Y:$Y,'Threshold Summary'!$L:$L,""))/100)+5)*XLOOKUP(XLOOKUP($K12,'Threshold Summary'!$Y:$Y,'Threshold Summary'!$M:$M,""),'Nature Editor'!$A:$A,'Nature Editor'!$D:$D,1))),def,IF(cat="Physical",FLOOR((FLOOR(((2*XLOOKUP($L12,'Pokemon Editor'!$A:$A,'Pokemon Editor'!$G:$G,0)+31+FLOOR(XLOOKUP($L12,'Boss Editor'!$C:$C,'Boss Editor'!$I:$I,"")/4))*XLOOKUP($L12,'Boss Editor'!$C:$C,'Boss Editor'!$D:$D,""))/100)+5)*XLOOKUP(XLOOKUP($L12,'Boss Editor'!$C:$C,'Boss Editor'!$E:$E,""),'Nature Editor'!$A:$A,'Nature Editor'!$C:$C,1)),FLOOR((FLOOR(((2*XLOOKUP($L12,'Pokemon Editor'!$A:$A,'Pokemon Editor'!$I:$I,0)+31+FLOOR(XLOOKUP($L12,'Boss Editor'!$C:$C,'Boss Editor'!$K:$K,"")/4))*XLOOKUP($L12,'Boss Editor'!$C:$C,'Boss Editor'!$D:$D,""))/100)+5)*XLOOKUP(XLOOKUP($L12,'Boss Editor'!$C:$C,'Boss Editor'!$E:$E,""),'Nature Editor'!$A:$A,'Nature Editor'!$E:$E,1))),stab,IF(OR(mtype=XLOOKUP(XLOOKUP($K12,'Threshold Summary'!$Y:$Y,'Threshold Summary'!$K:$K,""),'Pokemon Editor'!$A:$A,'Pokemon Editor'!$C:$C,""),mtype=XLOOKUP(XLOOKUP($K12,'Threshold Summary'!$Y:$Y,'Threshold Summary'!$K:$K,""),'Pokemon Editor'!$A:$A,'Pokemon Editor'!$D:$D,"")),1.5,1),eff,(INDEX('Type Chart'!$B:$S,MATCH(mtype,'Type Chart'!$A:$A,0),MATCH(XLOOKUP($L12,'Pokemon Editor'!$A:$A,'Pokemon Editor'!$C:$C,""),'Type Chart'!$B$1:$S$1,0))*IF(XLOOKUP($L12,'Pokemon Editor'!$A:$A,'Pokemon Editor'!$D:$D,"")="",1,INDEX('Type Chart'!$B:$S,MATCH(mtype,'Type Chart'!$A:$A,0),MATCH(XLOOKUP($L12,'Pokemon Editor'!$A:$A,'Pokemon Editor'!$D:$D,""),'Type Chart'!$B$1:$S$1,0)))),base,IF(OR(cat="Status",pow=0),0,FLOOR(FLOOR(FLOOR((2*XLOOKUP($K12,'Threshold Summary'!$Y:$Y,'Threshold Summary'!$L:$L,"")/5+2)*pow*atk/def)/50)+2)),modifier,stab*eff,FLOOR(base*modifier*0.85)),0)</f>
        <v/>
      </c>
      <c r="G12" s="3">
        <f>IFERROR(LET(mtype,XLOOKUP($D12,'Move Editor'!$B:$B,'Move Editor'!$C:$C,""),cat,XLOOKUP($D12,'Move Editor'!$B:$B,'Move Editor'!$D:$D,""),pow,XLOOKUP($D12,'Move Editor'!$B:$B,'Move Editor'!$E:$E,0),acc,XLOOKUP($D12,'Move Editor'!$B:$B,'Move Editor'!$F:$F,100),atk,IF(cat="Physical",FLOOR((FLOOR(((2*XLOOKUP(XLOOKUP($K12,'Threshold Summary'!$Y:$Y,'Threshold Summary'!$K:$K,""),'Pokemon Editor'!$A:$A,'Pokemon Editor'!$F:$F,0)+31+FLOOR(XLOOKUP($K12,'Threshold Summary'!$Y:$Y,'Threshold Summary'!$P:$P,"")/4))*XLOOKUP($K12,'Threshold Summary'!$Y:$Y,'Threshold Summary'!$L:$L,""))/100)+5)*XLOOKUP(XLOOKUP($K12,'Threshold Summary'!$Y:$Y,'Threshold Summary'!$M:$M,""),'Nature Editor'!$A:$A,'Nature Editor'!$B:$B,1)),FLOOR((FLOOR(((2*XLOOKUP(XLOOKUP($K12,'Threshold Summary'!$Y:$Y,'Threshold Summary'!$K:$K,""),'Pokemon Editor'!$A:$A,'Pokemon Editor'!$H:$H,0)+31+FLOOR(XLOOKUP($K12,'Threshold Summary'!$Y:$Y,'Threshold Summary'!$R:$R,"")/4))*XLOOKUP($K12,'Threshold Summary'!$Y:$Y,'Threshold Summary'!$L:$L,""))/100)+5)*XLOOKUP(XLOOKUP($K12,'Threshold Summary'!$Y:$Y,'Threshold Summary'!$M:$M,""),'Nature Editor'!$A:$A,'Nature Editor'!$D:$D,1))),def,IF(cat="Physical",FLOOR((FLOOR(((2*XLOOKUP($L12,'Pokemon Editor'!$A:$A,'Pokemon Editor'!$G:$G,0)+31+FLOOR(XLOOKUP($L12,'Boss Editor'!$C:$C,'Boss Editor'!$I:$I,"")/4))*XLOOKUP($L12,'Boss Editor'!$C:$C,'Boss Editor'!$D:$D,""))/100)+5)*XLOOKUP(XLOOKUP($L12,'Boss Editor'!$C:$C,'Boss Editor'!$E:$E,""),'Nature Editor'!$A:$A,'Nature Editor'!$C:$C,1)),FLOOR((FLOOR(((2*XLOOKUP($L12,'Pokemon Editor'!$A:$A,'Pokemon Editor'!$I:$I,0)+31+FLOOR(XLOOKUP($L12,'Boss Editor'!$C:$C,'Boss Editor'!$K:$K,"")/4))*XLOOKUP($L12,'Boss Editor'!$C:$C,'Boss Editor'!$D:$D,""))/100)+5)*XLOOKUP(XLOOKUP($L12,'Boss Editor'!$C:$C,'Boss Editor'!$E:$E,""),'Nature Editor'!$A:$A,'Nature Editor'!$E:$E,1))),stab,IF(OR(mtype=XLOOKUP(XLOOKUP($K12,'Threshold Summary'!$Y:$Y,'Threshold Summary'!$K:$K,""),'Pokemon Editor'!$A:$A,'Pokemon Editor'!$C:$C,""),mtype=XLOOKUP(XLOOKUP($K12,'Threshold Summary'!$Y:$Y,'Threshold Summary'!$K:$K,""),'Pokemon Editor'!$A:$A,'Pokemon Editor'!$D:$D,"")),1.5,1),eff,(INDEX('Type Chart'!$B:$S,MATCH(mtype,'Type Chart'!$A:$A,0),MATCH(XLOOKUP($L12,'Pokemon Editor'!$A:$A,'Pokemon Editor'!$C:$C,""),'Type Chart'!$B$1:$S$1,0))*IF(XLOOKUP($L12,'Pokemon Editor'!$A:$A,'Pokemon Editor'!$D:$D,"")="",1,INDEX('Type Chart'!$B:$S,MATCH(mtype,'Type Chart'!$A:$A,0),MATCH(XLOOKUP($L12,'Pokemon Editor'!$A:$A,'Pokemon Editor'!$D:$D,""),'Type Chart'!$B$1:$S$1,0)))),base,IF(OR(cat="Status",pow=0),0,FLOOR(FLOOR(FLOOR((2*XLOOKUP($K12,'Threshold Summary'!$Y:$Y,'Threshold Summary'!$L:$L,"")/5+2)*pow*atk/def)/50)+2)),modifier,stab*eff,FLOOR(base*modifier)),0)</f>
        <v/>
      </c>
      <c r="H12" s="3">
        <f>IFERROR(LET(mtype,XLOOKUP($D12,'Move Editor'!$B:$B,'Move Editor'!$C:$C,""),cat,XLOOKUP($D12,'Move Editor'!$B:$B,'Move Editor'!$D:$D,""),pow,XLOOKUP($D12,'Move Editor'!$B:$B,'Move Editor'!$E:$E,0),acc,XLOOKUP($D12,'Move Editor'!$B:$B,'Move Editor'!$F:$F,100),atk,IF(cat="Physical",FLOOR((FLOOR(((2*XLOOKUP(XLOOKUP($K12,'Threshold Summary'!$Y:$Y,'Threshold Summary'!$K:$K,""),'Pokemon Editor'!$A:$A,'Pokemon Editor'!$F:$F,0)+31+FLOOR(XLOOKUP($K12,'Threshold Summary'!$Y:$Y,'Threshold Summary'!$P:$P,"")/4))*XLOOKUP($K12,'Threshold Summary'!$Y:$Y,'Threshold Summary'!$L:$L,""))/100)+5)*XLOOKUP(XLOOKUP($K12,'Threshold Summary'!$Y:$Y,'Threshold Summary'!$M:$M,""),'Nature Editor'!$A:$A,'Nature Editor'!$B:$B,1)),FLOOR((FLOOR(((2*XLOOKUP(XLOOKUP($K12,'Threshold Summary'!$Y:$Y,'Threshold Summary'!$K:$K,""),'Pokemon Editor'!$A:$A,'Pokemon Editor'!$H:$H,0)+31+FLOOR(XLOOKUP($K12,'Threshold Summary'!$Y:$Y,'Threshold Summary'!$R:$R,"")/4))*XLOOKUP($K12,'Threshold Summary'!$Y:$Y,'Threshold Summary'!$L:$L,""))/100)+5)*XLOOKUP(XLOOKUP($K12,'Threshold Summary'!$Y:$Y,'Threshold Summary'!$M:$M,""),'Nature Editor'!$A:$A,'Nature Editor'!$D:$D,1))),def,IF(cat="Physical",FLOOR((FLOOR(((2*XLOOKUP($L12,'Pokemon Editor'!$A:$A,'Pokemon Editor'!$G:$G,0)+31+FLOOR(XLOOKUP($L12,'Boss Editor'!$C:$C,'Boss Editor'!$I:$I,"")/4))*XLOOKUP($L12,'Boss Editor'!$C:$C,'Boss Editor'!$D:$D,""))/100)+5)*XLOOKUP(XLOOKUP($L12,'Boss Editor'!$C:$C,'Boss Editor'!$E:$E,""),'Nature Editor'!$A:$A,'Nature Editor'!$C:$C,1)),FLOOR((FLOOR(((2*XLOOKUP($L12,'Pokemon Editor'!$A:$A,'Pokemon Editor'!$I:$I,0)+31+FLOOR(XLOOKUP($L12,'Boss Editor'!$C:$C,'Boss Editor'!$K:$K,"")/4))*XLOOKUP($L12,'Boss Editor'!$C:$C,'Boss Editor'!$D:$D,""))/100)+5)*XLOOKUP(XLOOKUP($L12,'Boss Editor'!$C:$C,'Boss Editor'!$E:$E,""),'Nature Editor'!$A:$A,'Nature Editor'!$E:$E,1))),stab,IF(OR(mtype=XLOOKUP(XLOOKUP($K12,'Threshold Summary'!$Y:$Y,'Threshold Summary'!$K:$K,""),'Pokemon Editor'!$A:$A,'Pokemon Editor'!$C:$C,""),mtype=XLOOKUP(XLOOKUP($K12,'Threshold Summary'!$Y:$Y,'Threshold Summary'!$K:$K,""),'Pokemon Editor'!$A:$A,'Pokemon Editor'!$D:$D,"")),1.5,1),eff,(INDEX('Type Chart'!$B:$S,MATCH(mtype,'Type Chart'!$A:$A,0),MATCH(XLOOKUP($L12,'Pokemon Editor'!$A:$A,'Pokemon Editor'!$C:$C,""),'Type Chart'!$B$1:$S$1,0))*IF(XLOOKUP($L12,'Pokemon Editor'!$A:$A,'Pokemon Editor'!$D:$D,"")="",1,INDEX('Type Chart'!$B:$S,MATCH(mtype,'Type Chart'!$A:$A,0),MATCH(XLOOKUP($L12,'Pokemon Editor'!$A:$A,'Pokemon Editor'!$D:$D,""),'Type Chart'!$B$1:$S$1,0)))),base,IF(OR(cat="Status",pow=0),0,FLOOR(FLOOR(FLOOR((2*XLOOKUP($K12,'Threshold Summary'!$Y:$Y,'Threshold Summary'!$L:$L,"")/5+2)*pow*atk/def)/50)+2)),modifier,stab*eff,AVERAGE(ARRAYFORMULA(FLOOR(base*modifier*SEQUENCE(16,1,85,1)/100)))),0)</f>
        <v/>
      </c>
      <c r="I12" s="4">
        <f>IFERROR(LET(mtype,XLOOKUP($D12,'Move Editor'!$B:$B,'Move Editor'!$C:$C,""),cat,XLOOKUP($D12,'Move Editor'!$B:$B,'Move Editor'!$D:$D,""),pow,XLOOKUP($D12,'Move Editor'!$B:$B,'Move Editor'!$E:$E,0),acc,XLOOKUP($D12,'Move Editor'!$B:$B,'Move Editor'!$F:$F,100),atk,IF(cat="Physical",FLOOR((FLOOR(((2*XLOOKUP(XLOOKUP($K12,'Threshold Summary'!$Y:$Y,'Threshold Summary'!$K:$K,""),'Pokemon Editor'!$A:$A,'Pokemon Editor'!$F:$F,0)+31+FLOOR(XLOOKUP($K12,'Threshold Summary'!$Y:$Y,'Threshold Summary'!$P:$P,"")/4))*XLOOKUP($K12,'Threshold Summary'!$Y:$Y,'Threshold Summary'!$L:$L,""))/100)+5)*XLOOKUP(XLOOKUP($K12,'Threshold Summary'!$Y:$Y,'Threshold Summary'!$M:$M,""),'Nature Editor'!$A:$A,'Nature Editor'!$B:$B,1)),FLOOR((FLOOR(((2*XLOOKUP(XLOOKUP($K12,'Threshold Summary'!$Y:$Y,'Threshold Summary'!$K:$K,""),'Pokemon Editor'!$A:$A,'Pokemon Editor'!$H:$H,0)+31+FLOOR(XLOOKUP($K12,'Threshold Summary'!$Y:$Y,'Threshold Summary'!$R:$R,"")/4))*XLOOKUP($K12,'Threshold Summary'!$Y:$Y,'Threshold Summary'!$L:$L,""))/100)+5)*XLOOKUP(XLOOKUP($K12,'Threshold Summary'!$Y:$Y,'Threshold Summary'!$M:$M,""),'Nature Editor'!$A:$A,'Nature Editor'!$D:$D,1))),def,IF(cat="Physical",FLOOR((FLOOR(((2*XLOOKUP($L12,'Pokemon Editor'!$A:$A,'Pokemon Editor'!$G:$G,0)+31+FLOOR(XLOOKUP($L12,'Boss Editor'!$C:$C,'Boss Editor'!$I:$I,"")/4))*XLOOKUP($L12,'Boss Editor'!$C:$C,'Boss Editor'!$D:$D,""))/100)+5)*XLOOKUP(XLOOKUP($L12,'Boss Editor'!$C:$C,'Boss Editor'!$E:$E,""),'Nature Editor'!$A:$A,'Nature Editor'!$C:$C,1)),FLOOR((FLOOR(((2*XLOOKUP($L12,'Pokemon Editor'!$A:$A,'Pokemon Editor'!$I:$I,0)+31+FLOOR(XLOOKUP($L12,'Boss Editor'!$C:$C,'Boss Editor'!$K:$K,"")/4))*XLOOKUP($L12,'Boss Editor'!$C:$C,'Boss Editor'!$D:$D,""))/100)+5)*XLOOKUP(XLOOKUP($L12,'Boss Editor'!$C:$C,'Boss Editor'!$E:$E,""),'Nature Editor'!$A:$A,'Nature Editor'!$E:$E,1))),stab,IF(OR(mtype=XLOOKUP(XLOOKUP($K12,'Threshold Summary'!$Y:$Y,'Threshold Summary'!$K:$K,""),'Pokemon Editor'!$A:$A,'Pokemon Editor'!$C:$C,""),mtype=XLOOKUP(XLOOKUP($K12,'Threshold Summary'!$Y:$Y,'Threshold Summary'!$K:$K,""),'Pokemon Editor'!$A:$A,'Pokemon Editor'!$D:$D,"")),1.5,1),eff,(INDEX('Type Chart'!$B:$S,MATCH(mtype,'Type Chart'!$A:$A,0),MATCH(XLOOKUP($L12,'Pokemon Editor'!$A:$A,'Pokemon Editor'!$C:$C,""),'Type Chart'!$B$1:$S$1,0))*IF(XLOOKUP($L12,'Pokemon Editor'!$A:$A,'Pokemon Editor'!$D:$D,"")="",1,INDEX('Type Chart'!$B:$S,MATCH(mtype,'Type Chart'!$A:$A,0),MATCH(XLOOKUP($L12,'Pokemon Editor'!$A:$A,'Pokemon Editor'!$D:$D,""),'Type Chart'!$B$1:$S$1,0)))),base,IF(OR(cat="Status",pow=0),0,FLOOR(FLOOR(FLOOR((2*XLOOKUP($K12,'Threshold Summary'!$Y:$Y,'Threshold Summary'!$L:$L,"")/5+2)*pow*atk/def)/50)+2)),modifier,stab*eff,AVERAGE(ARRAYFORMULA(FLOOR(base*modifier*SEQUENCE(16,1,85,1)/100)))/(FLOOR(((2*XLOOKUP($L12,'Pokemon Editor'!$A:$A,'Pokemon Editor'!$E:$E,0)+31+FLOOR(XLOOKUP($L12,'Boss Editor'!$C:$C,'Boss Editor'!$G:$G,"")/4))*XLOOKUP($L12,'Boss Editor'!$C:$C,'Boss Editor'!$D:$D,""))/100)+XLOOKUP($L12,'Boss Editor'!$C:$C,'Boss Editor'!$D:$D,"")+10)),0)</f>
        <v/>
      </c>
      <c r="J12" s="3">
        <f>IF(I12&gt;=1,"OHKO",IF(I12&gt;=0.5,"2HKO",IF(I12&gt;=0.333,"3HKO",IF(I12&gt;=0.25,"4HKO","5HKO+"))))</f>
        <v/>
      </c>
      <c r="K12" s="3" t="inlineStr">
        <is>
          <t>SPECIES_TREECKO</t>
        </is>
      </c>
      <c r="L12" s="3" t="inlineStr">
        <is>
          <t>SPECIES_ANORITH</t>
        </is>
      </c>
    </row>
    <row r="13">
      <c r="A13" s="3">
        <f>XLOOKUP($K13,'Threshold Summary'!$Y:$Y,'Threshold Summary'!$A:$A,"")</f>
        <v/>
      </c>
      <c r="B13" s="3" t="inlineStr">
        <is>
          <t>Lileep</t>
        </is>
      </c>
      <c r="C13" s="3">
        <f>XLOOKUP($L13,'Boss Editor'!$C:$C,'Boss Editor'!$D:$D,"")</f>
        <v/>
      </c>
      <c r="D13" s="3">
        <f>XLOOKUP($K13,'Threshold Summary'!$Y:$Y,'Threshold Summary'!$B:$B,"")</f>
        <v/>
      </c>
      <c r="E13" s="3">
        <f>XLOOKUP(D13,'Move Editor'!$B:$B,'Move Editor'!$C:$C,"")</f>
        <v/>
      </c>
      <c r="F13" s="3">
        <f>IFERROR(LET(mtype,XLOOKUP($D13,'Move Editor'!$B:$B,'Move Editor'!$C:$C,""),cat,XLOOKUP($D13,'Move Editor'!$B:$B,'Move Editor'!$D:$D,""),pow,XLOOKUP($D13,'Move Editor'!$B:$B,'Move Editor'!$E:$E,0),acc,XLOOKUP($D13,'Move Editor'!$B:$B,'Move Editor'!$F:$F,100),atk,IF(cat="Physical",FLOOR((FLOOR(((2*XLOOKUP(XLOOKUP($K13,'Threshold Summary'!$Y:$Y,'Threshold Summary'!$K:$K,""),'Pokemon Editor'!$A:$A,'Pokemon Editor'!$F:$F,0)+31+FLOOR(XLOOKUP($K13,'Threshold Summary'!$Y:$Y,'Threshold Summary'!$P:$P,"")/4))*XLOOKUP($K13,'Threshold Summary'!$Y:$Y,'Threshold Summary'!$L:$L,""))/100)+5)*XLOOKUP(XLOOKUP($K13,'Threshold Summary'!$Y:$Y,'Threshold Summary'!$M:$M,""),'Nature Editor'!$A:$A,'Nature Editor'!$B:$B,1)),FLOOR((FLOOR(((2*XLOOKUP(XLOOKUP($K13,'Threshold Summary'!$Y:$Y,'Threshold Summary'!$K:$K,""),'Pokemon Editor'!$A:$A,'Pokemon Editor'!$H:$H,0)+31+FLOOR(XLOOKUP($K13,'Threshold Summary'!$Y:$Y,'Threshold Summary'!$R:$R,"")/4))*XLOOKUP($K13,'Threshold Summary'!$Y:$Y,'Threshold Summary'!$L:$L,""))/100)+5)*XLOOKUP(XLOOKUP($K13,'Threshold Summary'!$Y:$Y,'Threshold Summary'!$M:$M,""),'Nature Editor'!$A:$A,'Nature Editor'!$D:$D,1))),def,IF(cat="Physical",FLOOR((FLOOR(((2*XLOOKUP($L13,'Pokemon Editor'!$A:$A,'Pokemon Editor'!$G:$G,0)+31+FLOOR(XLOOKUP($L13,'Boss Editor'!$C:$C,'Boss Editor'!$I:$I,"")/4))*XLOOKUP($L13,'Boss Editor'!$C:$C,'Boss Editor'!$D:$D,""))/100)+5)*XLOOKUP(XLOOKUP($L13,'Boss Editor'!$C:$C,'Boss Editor'!$E:$E,""),'Nature Editor'!$A:$A,'Nature Editor'!$C:$C,1)),FLOOR((FLOOR(((2*XLOOKUP($L13,'Pokemon Editor'!$A:$A,'Pokemon Editor'!$I:$I,0)+31+FLOOR(XLOOKUP($L13,'Boss Editor'!$C:$C,'Boss Editor'!$K:$K,"")/4))*XLOOKUP($L13,'Boss Editor'!$C:$C,'Boss Editor'!$D:$D,""))/100)+5)*XLOOKUP(XLOOKUP($L13,'Boss Editor'!$C:$C,'Boss Editor'!$E:$E,""),'Nature Editor'!$A:$A,'Nature Editor'!$E:$E,1))),stab,IF(OR(mtype=XLOOKUP(XLOOKUP($K13,'Threshold Summary'!$Y:$Y,'Threshold Summary'!$K:$K,""),'Pokemon Editor'!$A:$A,'Pokemon Editor'!$C:$C,""),mtype=XLOOKUP(XLOOKUP($K13,'Threshold Summary'!$Y:$Y,'Threshold Summary'!$K:$K,""),'Pokemon Editor'!$A:$A,'Pokemon Editor'!$D:$D,"")),1.5,1),eff,(INDEX('Type Chart'!$B:$S,MATCH(mtype,'Type Chart'!$A:$A,0),MATCH(XLOOKUP($L13,'Pokemon Editor'!$A:$A,'Pokemon Editor'!$C:$C,""),'Type Chart'!$B$1:$S$1,0))*IF(XLOOKUP($L13,'Pokemon Editor'!$A:$A,'Pokemon Editor'!$D:$D,"")="",1,INDEX('Type Chart'!$B:$S,MATCH(mtype,'Type Chart'!$A:$A,0),MATCH(XLOOKUP($L13,'Pokemon Editor'!$A:$A,'Pokemon Editor'!$D:$D,""),'Type Chart'!$B$1:$S$1,0)))),base,IF(OR(cat="Status",pow=0),0,FLOOR(FLOOR(FLOOR((2*XLOOKUP($K13,'Threshold Summary'!$Y:$Y,'Threshold Summary'!$L:$L,"")/5+2)*pow*atk/def)/50)+2)),modifier,stab*eff,FLOOR(base*modifier*0.85)),0)</f>
        <v/>
      </c>
      <c r="G13" s="3">
        <f>IFERROR(LET(mtype,XLOOKUP($D13,'Move Editor'!$B:$B,'Move Editor'!$C:$C,""),cat,XLOOKUP($D13,'Move Editor'!$B:$B,'Move Editor'!$D:$D,""),pow,XLOOKUP($D13,'Move Editor'!$B:$B,'Move Editor'!$E:$E,0),acc,XLOOKUP($D13,'Move Editor'!$B:$B,'Move Editor'!$F:$F,100),atk,IF(cat="Physical",FLOOR((FLOOR(((2*XLOOKUP(XLOOKUP($K13,'Threshold Summary'!$Y:$Y,'Threshold Summary'!$K:$K,""),'Pokemon Editor'!$A:$A,'Pokemon Editor'!$F:$F,0)+31+FLOOR(XLOOKUP($K13,'Threshold Summary'!$Y:$Y,'Threshold Summary'!$P:$P,"")/4))*XLOOKUP($K13,'Threshold Summary'!$Y:$Y,'Threshold Summary'!$L:$L,""))/100)+5)*XLOOKUP(XLOOKUP($K13,'Threshold Summary'!$Y:$Y,'Threshold Summary'!$M:$M,""),'Nature Editor'!$A:$A,'Nature Editor'!$B:$B,1)),FLOOR((FLOOR(((2*XLOOKUP(XLOOKUP($K13,'Threshold Summary'!$Y:$Y,'Threshold Summary'!$K:$K,""),'Pokemon Editor'!$A:$A,'Pokemon Editor'!$H:$H,0)+31+FLOOR(XLOOKUP($K13,'Threshold Summary'!$Y:$Y,'Threshold Summary'!$R:$R,"")/4))*XLOOKUP($K13,'Threshold Summary'!$Y:$Y,'Threshold Summary'!$L:$L,""))/100)+5)*XLOOKUP(XLOOKUP($K13,'Threshold Summary'!$Y:$Y,'Threshold Summary'!$M:$M,""),'Nature Editor'!$A:$A,'Nature Editor'!$D:$D,1))),def,IF(cat="Physical",FLOOR((FLOOR(((2*XLOOKUP($L13,'Pokemon Editor'!$A:$A,'Pokemon Editor'!$G:$G,0)+31+FLOOR(XLOOKUP($L13,'Boss Editor'!$C:$C,'Boss Editor'!$I:$I,"")/4))*XLOOKUP($L13,'Boss Editor'!$C:$C,'Boss Editor'!$D:$D,""))/100)+5)*XLOOKUP(XLOOKUP($L13,'Boss Editor'!$C:$C,'Boss Editor'!$E:$E,""),'Nature Editor'!$A:$A,'Nature Editor'!$C:$C,1)),FLOOR((FLOOR(((2*XLOOKUP($L13,'Pokemon Editor'!$A:$A,'Pokemon Editor'!$I:$I,0)+31+FLOOR(XLOOKUP($L13,'Boss Editor'!$C:$C,'Boss Editor'!$K:$K,"")/4))*XLOOKUP($L13,'Boss Editor'!$C:$C,'Boss Editor'!$D:$D,""))/100)+5)*XLOOKUP(XLOOKUP($L13,'Boss Editor'!$C:$C,'Boss Editor'!$E:$E,""),'Nature Editor'!$A:$A,'Nature Editor'!$E:$E,1))),stab,IF(OR(mtype=XLOOKUP(XLOOKUP($K13,'Threshold Summary'!$Y:$Y,'Threshold Summary'!$K:$K,""),'Pokemon Editor'!$A:$A,'Pokemon Editor'!$C:$C,""),mtype=XLOOKUP(XLOOKUP($K13,'Threshold Summary'!$Y:$Y,'Threshold Summary'!$K:$K,""),'Pokemon Editor'!$A:$A,'Pokemon Editor'!$D:$D,"")),1.5,1),eff,(INDEX('Type Chart'!$B:$S,MATCH(mtype,'Type Chart'!$A:$A,0),MATCH(XLOOKUP($L13,'Pokemon Editor'!$A:$A,'Pokemon Editor'!$C:$C,""),'Type Chart'!$B$1:$S$1,0))*IF(XLOOKUP($L13,'Pokemon Editor'!$A:$A,'Pokemon Editor'!$D:$D,"")="",1,INDEX('Type Chart'!$B:$S,MATCH(mtype,'Type Chart'!$A:$A,0),MATCH(XLOOKUP($L13,'Pokemon Editor'!$A:$A,'Pokemon Editor'!$D:$D,""),'Type Chart'!$B$1:$S$1,0)))),base,IF(OR(cat="Status",pow=0),0,FLOOR(FLOOR(FLOOR((2*XLOOKUP($K13,'Threshold Summary'!$Y:$Y,'Threshold Summary'!$L:$L,"")/5+2)*pow*atk/def)/50)+2)),modifier,stab*eff,FLOOR(base*modifier)),0)</f>
        <v/>
      </c>
      <c r="H13" s="3">
        <f>IFERROR(LET(mtype,XLOOKUP($D13,'Move Editor'!$B:$B,'Move Editor'!$C:$C,""),cat,XLOOKUP($D13,'Move Editor'!$B:$B,'Move Editor'!$D:$D,""),pow,XLOOKUP($D13,'Move Editor'!$B:$B,'Move Editor'!$E:$E,0),acc,XLOOKUP($D13,'Move Editor'!$B:$B,'Move Editor'!$F:$F,100),atk,IF(cat="Physical",FLOOR((FLOOR(((2*XLOOKUP(XLOOKUP($K13,'Threshold Summary'!$Y:$Y,'Threshold Summary'!$K:$K,""),'Pokemon Editor'!$A:$A,'Pokemon Editor'!$F:$F,0)+31+FLOOR(XLOOKUP($K13,'Threshold Summary'!$Y:$Y,'Threshold Summary'!$P:$P,"")/4))*XLOOKUP($K13,'Threshold Summary'!$Y:$Y,'Threshold Summary'!$L:$L,""))/100)+5)*XLOOKUP(XLOOKUP($K13,'Threshold Summary'!$Y:$Y,'Threshold Summary'!$M:$M,""),'Nature Editor'!$A:$A,'Nature Editor'!$B:$B,1)),FLOOR((FLOOR(((2*XLOOKUP(XLOOKUP($K13,'Threshold Summary'!$Y:$Y,'Threshold Summary'!$K:$K,""),'Pokemon Editor'!$A:$A,'Pokemon Editor'!$H:$H,0)+31+FLOOR(XLOOKUP($K13,'Threshold Summary'!$Y:$Y,'Threshold Summary'!$R:$R,"")/4))*XLOOKUP($K13,'Threshold Summary'!$Y:$Y,'Threshold Summary'!$L:$L,""))/100)+5)*XLOOKUP(XLOOKUP($K13,'Threshold Summary'!$Y:$Y,'Threshold Summary'!$M:$M,""),'Nature Editor'!$A:$A,'Nature Editor'!$D:$D,1))),def,IF(cat="Physical",FLOOR((FLOOR(((2*XLOOKUP($L13,'Pokemon Editor'!$A:$A,'Pokemon Editor'!$G:$G,0)+31+FLOOR(XLOOKUP($L13,'Boss Editor'!$C:$C,'Boss Editor'!$I:$I,"")/4))*XLOOKUP($L13,'Boss Editor'!$C:$C,'Boss Editor'!$D:$D,""))/100)+5)*XLOOKUP(XLOOKUP($L13,'Boss Editor'!$C:$C,'Boss Editor'!$E:$E,""),'Nature Editor'!$A:$A,'Nature Editor'!$C:$C,1)),FLOOR((FLOOR(((2*XLOOKUP($L13,'Pokemon Editor'!$A:$A,'Pokemon Editor'!$I:$I,0)+31+FLOOR(XLOOKUP($L13,'Boss Editor'!$C:$C,'Boss Editor'!$K:$K,"")/4))*XLOOKUP($L13,'Boss Editor'!$C:$C,'Boss Editor'!$D:$D,""))/100)+5)*XLOOKUP(XLOOKUP($L13,'Boss Editor'!$C:$C,'Boss Editor'!$E:$E,""),'Nature Editor'!$A:$A,'Nature Editor'!$E:$E,1))),stab,IF(OR(mtype=XLOOKUP(XLOOKUP($K13,'Threshold Summary'!$Y:$Y,'Threshold Summary'!$K:$K,""),'Pokemon Editor'!$A:$A,'Pokemon Editor'!$C:$C,""),mtype=XLOOKUP(XLOOKUP($K13,'Threshold Summary'!$Y:$Y,'Threshold Summary'!$K:$K,""),'Pokemon Editor'!$A:$A,'Pokemon Editor'!$D:$D,"")),1.5,1),eff,(INDEX('Type Chart'!$B:$S,MATCH(mtype,'Type Chart'!$A:$A,0),MATCH(XLOOKUP($L13,'Pokemon Editor'!$A:$A,'Pokemon Editor'!$C:$C,""),'Type Chart'!$B$1:$S$1,0))*IF(XLOOKUP($L13,'Pokemon Editor'!$A:$A,'Pokemon Editor'!$D:$D,"")="",1,INDEX('Type Chart'!$B:$S,MATCH(mtype,'Type Chart'!$A:$A,0),MATCH(XLOOKUP($L13,'Pokemon Editor'!$A:$A,'Pokemon Editor'!$D:$D,""),'Type Chart'!$B$1:$S$1,0)))),base,IF(OR(cat="Status",pow=0),0,FLOOR(FLOOR(FLOOR((2*XLOOKUP($K13,'Threshold Summary'!$Y:$Y,'Threshold Summary'!$L:$L,"")/5+2)*pow*atk/def)/50)+2)),modifier,stab*eff,AVERAGE(ARRAYFORMULA(FLOOR(base*modifier*SEQUENCE(16,1,85,1)/100)))),0)</f>
        <v/>
      </c>
      <c r="I13" s="4">
        <f>IFERROR(LET(mtype,XLOOKUP($D13,'Move Editor'!$B:$B,'Move Editor'!$C:$C,""),cat,XLOOKUP($D13,'Move Editor'!$B:$B,'Move Editor'!$D:$D,""),pow,XLOOKUP($D13,'Move Editor'!$B:$B,'Move Editor'!$E:$E,0),acc,XLOOKUP($D13,'Move Editor'!$B:$B,'Move Editor'!$F:$F,100),atk,IF(cat="Physical",FLOOR((FLOOR(((2*XLOOKUP(XLOOKUP($K13,'Threshold Summary'!$Y:$Y,'Threshold Summary'!$K:$K,""),'Pokemon Editor'!$A:$A,'Pokemon Editor'!$F:$F,0)+31+FLOOR(XLOOKUP($K13,'Threshold Summary'!$Y:$Y,'Threshold Summary'!$P:$P,"")/4))*XLOOKUP($K13,'Threshold Summary'!$Y:$Y,'Threshold Summary'!$L:$L,""))/100)+5)*XLOOKUP(XLOOKUP($K13,'Threshold Summary'!$Y:$Y,'Threshold Summary'!$M:$M,""),'Nature Editor'!$A:$A,'Nature Editor'!$B:$B,1)),FLOOR((FLOOR(((2*XLOOKUP(XLOOKUP($K13,'Threshold Summary'!$Y:$Y,'Threshold Summary'!$K:$K,""),'Pokemon Editor'!$A:$A,'Pokemon Editor'!$H:$H,0)+31+FLOOR(XLOOKUP($K13,'Threshold Summary'!$Y:$Y,'Threshold Summary'!$R:$R,"")/4))*XLOOKUP($K13,'Threshold Summary'!$Y:$Y,'Threshold Summary'!$L:$L,""))/100)+5)*XLOOKUP(XLOOKUP($K13,'Threshold Summary'!$Y:$Y,'Threshold Summary'!$M:$M,""),'Nature Editor'!$A:$A,'Nature Editor'!$D:$D,1))),def,IF(cat="Physical",FLOOR((FLOOR(((2*XLOOKUP($L13,'Pokemon Editor'!$A:$A,'Pokemon Editor'!$G:$G,0)+31+FLOOR(XLOOKUP($L13,'Boss Editor'!$C:$C,'Boss Editor'!$I:$I,"")/4))*XLOOKUP($L13,'Boss Editor'!$C:$C,'Boss Editor'!$D:$D,""))/100)+5)*XLOOKUP(XLOOKUP($L13,'Boss Editor'!$C:$C,'Boss Editor'!$E:$E,""),'Nature Editor'!$A:$A,'Nature Editor'!$C:$C,1)),FLOOR((FLOOR(((2*XLOOKUP($L13,'Pokemon Editor'!$A:$A,'Pokemon Editor'!$I:$I,0)+31+FLOOR(XLOOKUP($L13,'Boss Editor'!$C:$C,'Boss Editor'!$K:$K,"")/4))*XLOOKUP($L13,'Boss Editor'!$C:$C,'Boss Editor'!$D:$D,""))/100)+5)*XLOOKUP(XLOOKUP($L13,'Boss Editor'!$C:$C,'Boss Editor'!$E:$E,""),'Nature Editor'!$A:$A,'Nature Editor'!$E:$E,1))),stab,IF(OR(mtype=XLOOKUP(XLOOKUP($K13,'Threshold Summary'!$Y:$Y,'Threshold Summary'!$K:$K,""),'Pokemon Editor'!$A:$A,'Pokemon Editor'!$C:$C,""),mtype=XLOOKUP(XLOOKUP($K13,'Threshold Summary'!$Y:$Y,'Threshold Summary'!$K:$K,""),'Pokemon Editor'!$A:$A,'Pokemon Editor'!$D:$D,"")),1.5,1),eff,(INDEX('Type Chart'!$B:$S,MATCH(mtype,'Type Chart'!$A:$A,0),MATCH(XLOOKUP($L13,'Pokemon Editor'!$A:$A,'Pokemon Editor'!$C:$C,""),'Type Chart'!$B$1:$S$1,0))*IF(XLOOKUP($L13,'Pokemon Editor'!$A:$A,'Pokemon Editor'!$D:$D,"")="",1,INDEX('Type Chart'!$B:$S,MATCH(mtype,'Type Chart'!$A:$A,0),MATCH(XLOOKUP($L13,'Pokemon Editor'!$A:$A,'Pokemon Editor'!$D:$D,""),'Type Chart'!$B$1:$S$1,0)))),base,IF(OR(cat="Status",pow=0),0,FLOOR(FLOOR(FLOOR((2*XLOOKUP($K13,'Threshold Summary'!$Y:$Y,'Threshold Summary'!$L:$L,"")/5+2)*pow*atk/def)/50)+2)),modifier,stab*eff,AVERAGE(ARRAYFORMULA(FLOOR(base*modifier*SEQUENCE(16,1,85,1)/100)))/(FLOOR(((2*XLOOKUP($L13,'Pokemon Editor'!$A:$A,'Pokemon Editor'!$E:$E,0)+31+FLOOR(XLOOKUP($L13,'Boss Editor'!$C:$C,'Boss Editor'!$G:$G,"")/4))*XLOOKUP($L13,'Boss Editor'!$C:$C,'Boss Editor'!$D:$D,""))/100)+XLOOKUP($L13,'Boss Editor'!$C:$C,'Boss Editor'!$D:$D,"")+10)),0)</f>
        <v/>
      </c>
      <c r="J13" s="3">
        <f>IF(I13&gt;=1,"OHKO",IF(I13&gt;=0.5,"2HKO",IF(I13&gt;=0.333,"3HKO",IF(I13&gt;=0.25,"4HKO","5HKO+"))))</f>
        <v/>
      </c>
      <c r="K13" s="3" t="inlineStr">
        <is>
          <t>SPECIES_TREECKO</t>
        </is>
      </c>
      <c r="L13" s="3" t="inlineStr">
        <is>
          <t>SPECIES_LILEEP</t>
        </is>
      </c>
    </row>
    <row r="14">
      <c r="A14" s="3">
        <f>XLOOKUP($K14,'Threshold Summary'!$Y:$Y,'Threshold Summary'!$A:$A,"")</f>
        <v/>
      </c>
      <c r="B14" s="3" t="inlineStr">
        <is>
          <t>Tirtouga</t>
        </is>
      </c>
      <c r="C14" s="3">
        <f>XLOOKUP($L14,'Boss Editor'!$C:$C,'Boss Editor'!$D:$D,"")</f>
        <v/>
      </c>
      <c r="D14" s="3">
        <f>XLOOKUP($K14,'Threshold Summary'!$Y:$Y,'Threshold Summary'!$B:$B,"")</f>
        <v/>
      </c>
      <c r="E14" s="3">
        <f>XLOOKUP(D14,'Move Editor'!$B:$B,'Move Editor'!$C:$C,"")</f>
        <v/>
      </c>
      <c r="F14" s="3">
        <f>IFERROR(LET(mtype,XLOOKUP($D14,'Move Editor'!$B:$B,'Move Editor'!$C:$C,""),cat,XLOOKUP($D14,'Move Editor'!$B:$B,'Move Editor'!$D:$D,""),pow,XLOOKUP($D14,'Move Editor'!$B:$B,'Move Editor'!$E:$E,0),acc,XLOOKUP($D14,'Move Editor'!$B:$B,'Move Editor'!$F:$F,100),atk,IF(cat="Physical",FLOOR((FLOOR(((2*XLOOKUP(XLOOKUP($K14,'Threshold Summary'!$Y:$Y,'Threshold Summary'!$K:$K,""),'Pokemon Editor'!$A:$A,'Pokemon Editor'!$F:$F,0)+31+FLOOR(XLOOKUP($K14,'Threshold Summary'!$Y:$Y,'Threshold Summary'!$P:$P,"")/4))*XLOOKUP($K14,'Threshold Summary'!$Y:$Y,'Threshold Summary'!$L:$L,""))/100)+5)*XLOOKUP(XLOOKUP($K14,'Threshold Summary'!$Y:$Y,'Threshold Summary'!$M:$M,""),'Nature Editor'!$A:$A,'Nature Editor'!$B:$B,1)),FLOOR((FLOOR(((2*XLOOKUP(XLOOKUP($K14,'Threshold Summary'!$Y:$Y,'Threshold Summary'!$K:$K,""),'Pokemon Editor'!$A:$A,'Pokemon Editor'!$H:$H,0)+31+FLOOR(XLOOKUP($K14,'Threshold Summary'!$Y:$Y,'Threshold Summary'!$R:$R,"")/4))*XLOOKUP($K14,'Threshold Summary'!$Y:$Y,'Threshold Summary'!$L:$L,""))/100)+5)*XLOOKUP(XLOOKUP($K14,'Threshold Summary'!$Y:$Y,'Threshold Summary'!$M:$M,""),'Nature Editor'!$A:$A,'Nature Editor'!$D:$D,1))),def,IF(cat="Physical",FLOOR((FLOOR(((2*XLOOKUP($L14,'Pokemon Editor'!$A:$A,'Pokemon Editor'!$G:$G,0)+31+FLOOR(XLOOKUP($L14,'Boss Editor'!$C:$C,'Boss Editor'!$I:$I,"")/4))*XLOOKUP($L14,'Boss Editor'!$C:$C,'Boss Editor'!$D:$D,""))/100)+5)*XLOOKUP(XLOOKUP($L14,'Boss Editor'!$C:$C,'Boss Editor'!$E:$E,""),'Nature Editor'!$A:$A,'Nature Editor'!$C:$C,1)),FLOOR((FLOOR(((2*XLOOKUP($L14,'Pokemon Editor'!$A:$A,'Pokemon Editor'!$I:$I,0)+31+FLOOR(XLOOKUP($L14,'Boss Editor'!$C:$C,'Boss Editor'!$K:$K,"")/4))*XLOOKUP($L14,'Boss Editor'!$C:$C,'Boss Editor'!$D:$D,""))/100)+5)*XLOOKUP(XLOOKUP($L14,'Boss Editor'!$C:$C,'Boss Editor'!$E:$E,""),'Nature Editor'!$A:$A,'Nature Editor'!$E:$E,1))),stab,IF(OR(mtype=XLOOKUP(XLOOKUP($K14,'Threshold Summary'!$Y:$Y,'Threshold Summary'!$K:$K,""),'Pokemon Editor'!$A:$A,'Pokemon Editor'!$C:$C,""),mtype=XLOOKUP(XLOOKUP($K14,'Threshold Summary'!$Y:$Y,'Threshold Summary'!$K:$K,""),'Pokemon Editor'!$A:$A,'Pokemon Editor'!$D:$D,"")),1.5,1),eff,(INDEX('Type Chart'!$B:$S,MATCH(mtype,'Type Chart'!$A:$A,0),MATCH(XLOOKUP($L14,'Pokemon Editor'!$A:$A,'Pokemon Editor'!$C:$C,""),'Type Chart'!$B$1:$S$1,0))*IF(XLOOKUP($L14,'Pokemon Editor'!$A:$A,'Pokemon Editor'!$D:$D,"")="",1,INDEX('Type Chart'!$B:$S,MATCH(mtype,'Type Chart'!$A:$A,0),MATCH(XLOOKUP($L14,'Pokemon Editor'!$A:$A,'Pokemon Editor'!$D:$D,""),'Type Chart'!$B$1:$S$1,0)))),base,IF(OR(cat="Status",pow=0),0,FLOOR(FLOOR(FLOOR((2*XLOOKUP($K14,'Threshold Summary'!$Y:$Y,'Threshold Summary'!$L:$L,"")/5+2)*pow*atk/def)/50)+2)),modifier,stab*eff,FLOOR(base*modifier*0.85)),0)</f>
        <v/>
      </c>
      <c r="G14" s="3">
        <f>IFERROR(LET(mtype,XLOOKUP($D14,'Move Editor'!$B:$B,'Move Editor'!$C:$C,""),cat,XLOOKUP($D14,'Move Editor'!$B:$B,'Move Editor'!$D:$D,""),pow,XLOOKUP($D14,'Move Editor'!$B:$B,'Move Editor'!$E:$E,0),acc,XLOOKUP($D14,'Move Editor'!$B:$B,'Move Editor'!$F:$F,100),atk,IF(cat="Physical",FLOOR((FLOOR(((2*XLOOKUP(XLOOKUP($K14,'Threshold Summary'!$Y:$Y,'Threshold Summary'!$K:$K,""),'Pokemon Editor'!$A:$A,'Pokemon Editor'!$F:$F,0)+31+FLOOR(XLOOKUP($K14,'Threshold Summary'!$Y:$Y,'Threshold Summary'!$P:$P,"")/4))*XLOOKUP($K14,'Threshold Summary'!$Y:$Y,'Threshold Summary'!$L:$L,""))/100)+5)*XLOOKUP(XLOOKUP($K14,'Threshold Summary'!$Y:$Y,'Threshold Summary'!$M:$M,""),'Nature Editor'!$A:$A,'Nature Editor'!$B:$B,1)),FLOOR((FLOOR(((2*XLOOKUP(XLOOKUP($K14,'Threshold Summary'!$Y:$Y,'Threshold Summary'!$K:$K,""),'Pokemon Editor'!$A:$A,'Pokemon Editor'!$H:$H,0)+31+FLOOR(XLOOKUP($K14,'Threshold Summary'!$Y:$Y,'Threshold Summary'!$R:$R,"")/4))*XLOOKUP($K14,'Threshold Summary'!$Y:$Y,'Threshold Summary'!$L:$L,""))/100)+5)*XLOOKUP(XLOOKUP($K14,'Threshold Summary'!$Y:$Y,'Threshold Summary'!$M:$M,""),'Nature Editor'!$A:$A,'Nature Editor'!$D:$D,1))),def,IF(cat="Physical",FLOOR((FLOOR(((2*XLOOKUP($L14,'Pokemon Editor'!$A:$A,'Pokemon Editor'!$G:$G,0)+31+FLOOR(XLOOKUP($L14,'Boss Editor'!$C:$C,'Boss Editor'!$I:$I,"")/4))*XLOOKUP($L14,'Boss Editor'!$C:$C,'Boss Editor'!$D:$D,""))/100)+5)*XLOOKUP(XLOOKUP($L14,'Boss Editor'!$C:$C,'Boss Editor'!$E:$E,""),'Nature Editor'!$A:$A,'Nature Editor'!$C:$C,1)),FLOOR((FLOOR(((2*XLOOKUP($L14,'Pokemon Editor'!$A:$A,'Pokemon Editor'!$I:$I,0)+31+FLOOR(XLOOKUP($L14,'Boss Editor'!$C:$C,'Boss Editor'!$K:$K,"")/4))*XLOOKUP($L14,'Boss Editor'!$C:$C,'Boss Editor'!$D:$D,""))/100)+5)*XLOOKUP(XLOOKUP($L14,'Boss Editor'!$C:$C,'Boss Editor'!$E:$E,""),'Nature Editor'!$A:$A,'Nature Editor'!$E:$E,1))),stab,IF(OR(mtype=XLOOKUP(XLOOKUP($K14,'Threshold Summary'!$Y:$Y,'Threshold Summary'!$K:$K,""),'Pokemon Editor'!$A:$A,'Pokemon Editor'!$C:$C,""),mtype=XLOOKUP(XLOOKUP($K14,'Threshold Summary'!$Y:$Y,'Threshold Summary'!$K:$K,""),'Pokemon Editor'!$A:$A,'Pokemon Editor'!$D:$D,"")),1.5,1),eff,(INDEX('Type Chart'!$B:$S,MATCH(mtype,'Type Chart'!$A:$A,0),MATCH(XLOOKUP($L14,'Pokemon Editor'!$A:$A,'Pokemon Editor'!$C:$C,""),'Type Chart'!$B$1:$S$1,0))*IF(XLOOKUP($L14,'Pokemon Editor'!$A:$A,'Pokemon Editor'!$D:$D,"")="",1,INDEX('Type Chart'!$B:$S,MATCH(mtype,'Type Chart'!$A:$A,0),MATCH(XLOOKUP($L14,'Pokemon Editor'!$A:$A,'Pokemon Editor'!$D:$D,""),'Type Chart'!$B$1:$S$1,0)))),base,IF(OR(cat="Status",pow=0),0,FLOOR(FLOOR(FLOOR((2*XLOOKUP($K14,'Threshold Summary'!$Y:$Y,'Threshold Summary'!$L:$L,"")/5+2)*pow*atk/def)/50)+2)),modifier,stab*eff,FLOOR(base*modifier)),0)</f>
        <v/>
      </c>
      <c r="H14" s="3">
        <f>IFERROR(LET(mtype,XLOOKUP($D14,'Move Editor'!$B:$B,'Move Editor'!$C:$C,""),cat,XLOOKUP($D14,'Move Editor'!$B:$B,'Move Editor'!$D:$D,""),pow,XLOOKUP($D14,'Move Editor'!$B:$B,'Move Editor'!$E:$E,0),acc,XLOOKUP($D14,'Move Editor'!$B:$B,'Move Editor'!$F:$F,100),atk,IF(cat="Physical",FLOOR((FLOOR(((2*XLOOKUP(XLOOKUP($K14,'Threshold Summary'!$Y:$Y,'Threshold Summary'!$K:$K,""),'Pokemon Editor'!$A:$A,'Pokemon Editor'!$F:$F,0)+31+FLOOR(XLOOKUP($K14,'Threshold Summary'!$Y:$Y,'Threshold Summary'!$P:$P,"")/4))*XLOOKUP($K14,'Threshold Summary'!$Y:$Y,'Threshold Summary'!$L:$L,""))/100)+5)*XLOOKUP(XLOOKUP($K14,'Threshold Summary'!$Y:$Y,'Threshold Summary'!$M:$M,""),'Nature Editor'!$A:$A,'Nature Editor'!$B:$B,1)),FLOOR((FLOOR(((2*XLOOKUP(XLOOKUP($K14,'Threshold Summary'!$Y:$Y,'Threshold Summary'!$K:$K,""),'Pokemon Editor'!$A:$A,'Pokemon Editor'!$H:$H,0)+31+FLOOR(XLOOKUP($K14,'Threshold Summary'!$Y:$Y,'Threshold Summary'!$R:$R,"")/4))*XLOOKUP($K14,'Threshold Summary'!$Y:$Y,'Threshold Summary'!$L:$L,""))/100)+5)*XLOOKUP(XLOOKUP($K14,'Threshold Summary'!$Y:$Y,'Threshold Summary'!$M:$M,""),'Nature Editor'!$A:$A,'Nature Editor'!$D:$D,1))),def,IF(cat="Physical",FLOOR((FLOOR(((2*XLOOKUP($L14,'Pokemon Editor'!$A:$A,'Pokemon Editor'!$G:$G,0)+31+FLOOR(XLOOKUP($L14,'Boss Editor'!$C:$C,'Boss Editor'!$I:$I,"")/4))*XLOOKUP($L14,'Boss Editor'!$C:$C,'Boss Editor'!$D:$D,""))/100)+5)*XLOOKUP(XLOOKUP($L14,'Boss Editor'!$C:$C,'Boss Editor'!$E:$E,""),'Nature Editor'!$A:$A,'Nature Editor'!$C:$C,1)),FLOOR((FLOOR(((2*XLOOKUP($L14,'Pokemon Editor'!$A:$A,'Pokemon Editor'!$I:$I,0)+31+FLOOR(XLOOKUP($L14,'Boss Editor'!$C:$C,'Boss Editor'!$K:$K,"")/4))*XLOOKUP($L14,'Boss Editor'!$C:$C,'Boss Editor'!$D:$D,""))/100)+5)*XLOOKUP(XLOOKUP($L14,'Boss Editor'!$C:$C,'Boss Editor'!$E:$E,""),'Nature Editor'!$A:$A,'Nature Editor'!$E:$E,1))),stab,IF(OR(mtype=XLOOKUP(XLOOKUP($K14,'Threshold Summary'!$Y:$Y,'Threshold Summary'!$K:$K,""),'Pokemon Editor'!$A:$A,'Pokemon Editor'!$C:$C,""),mtype=XLOOKUP(XLOOKUP($K14,'Threshold Summary'!$Y:$Y,'Threshold Summary'!$K:$K,""),'Pokemon Editor'!$A:$A,'Pokemon Editor'!$D:$D,"")),1.5,1),eff,(INDEX('Type Chart'!$B:$S,MATCH(mtype,'Type Chart'!$A:$A,0),MATCH(XLOOKUP($L14,'Pokemon Editor'!$A:$A,'Pokemon Editor'!$C:$C,""),'Type Chart'!$B$1:$S$1,0))*IF(XLOOKUP($L14,'Pokemon Editor'!$A:$A,'Pokemon Editor'!$D:$D,"")="",1,INDEX('Type Chart'!$B:$S,MATCH(mtype,'Type Chart'!$A:$A,0),MATCH(XLOOKUP($L14,'Pokemon Editor'!$A:$A,'Pokemon Editor'!$D:$D,""),'Type Chart'!$B$1:$S$1,0)))),base,IF(OR(cat="Status",pow=0),0,FLOOR(FLOOR(FLOOR((2*XLOOKUP($K14,'Threshold Summary'!$Y:$Y,'Threshold Summary'!$L:$L,"")/5+2)*pow*atk/def)/50)+2)),modifier,stab*eff,AVERAGE(ARRAYFORMULA(FLOOR(base*modifier*SEQUENCE(16,1,85,1)/100)))),0)</f>
        <v/>
      </c>
      <c r="I14" s="4">
        <f>IFERROR(LET(mtype,XLOOKUP($D14,'Move Editor'!$B:$B,'Move Editor'!$C:$C,""),cat,XLOOKUP($D14,'Move Editor'!$B:$B,'Move Editor'!$D:$D,""),pow,XLOOKUP($D14,'Move Editor'!$B:$B,'Move Editor'!$E:$E,0),acc,XLOOKUP($D14,'Move Editor'!$B:$B,'Move Editor'!$F:$F,100),atk,IF(cat="Physical",FLOOR((FLOOR(((2*XLOOKUP(XLOOKUP($K14,'Threshold Summary'!$Y:$Y,'Threshold Summary'!$K:$K,""),'Pokemon Editor'!$A:$A,'Pokemon Editor'!$F:$F,0)+31+FLOOR(XLOOKUP($K14,'Threshold Summary'!$Y:$Y,'Threshold Summary'!$P:$P,"")/4))*XLOOKUP($K14,'Threshold Summary'!$Y:$Y,'Threshold Summary'!$L:$L,""))/100)+5)*XLOOKUP(XLOOKUP($K14,'Threshold Summary'!$Y:$Y,'Threshold Summary'!$M:$M,""),'Nature Editor'!$A:$A,'Nature Editor'!$B:$B,1)),FLOOR((FLOOR(((2*XLOOKUP(XLOOKUP($K14,'Threshold Summary'!$Y:$Y,'Threshold Summary'!$K:$K,""),'Pokemon Editor'!$A:$A,'Pokemon Editor'!$H:$H,0)+31+FLOOR(XLOOKUP($K14,'Threshold Summary'!$Y:$Y,'Threshold Summary'!$R:$R,"")/4))*XLOOKUP($K14,'Threshold Summary'!$Y:$Y,'Threshold Summary'!$L:$L,""))/100)+5)*XLOOKUP(XLOOKUP($K14,'Threshold Summary'!$Y:$Y,'Threshold Summary'!$M:$M,""),'Nature Editor'!$A:$A,'Nature Editor'!$D:$D,1))),def,IF(cat="Physical",FLOOR((FLOOR(((2*XLOOKUP($L14,'Pokemon Editor'!$A:$A,'Pokemon Editor'!$G:$G,0)+31+FLOOR(XLOOKUP($L14,'Boss Editor'!$C:$C,'Boss Editor'!$I:$I,"")/4))*XLOOKUP($L14,'Boss Editor'!$C:$C,'Boss Editor'!$D:$D,""))/100)+5)*XLOOKUP(XLOOKUP($L14,'Boss Editor'!$C:$C,'Boss Editor'!$E:$E,""),'Nature Editor'!$A:$A,'Nature Editor'!$C:$C,1)),FLOOR((FLOOR(((2*XLOOKUP($L14,'Pokemon Editor'!$A:$A,'Pokemon Editor'!$I:$I,0)+31+FLOOR(XLOOKUP($L14,'Boss Editor'!$C:$C,'Boss Editor'!$K:$K,"")/4))*XLOOKUP($L14,'Boss Editor'!$C:$C,'Boss Editor'!$D:$D,""))/100)+5)*XLOOKUP(XLOOKUP($L14,'Boss Editor'!$C:$C,'Boss Editor'!$E:$E,""),'Nature Editor'!$A:$A,'Nature Editor'!$E:$E,1))),stab,IF(OR(mtype=XLOOKUP(XLOOKUP($K14,'Threshold Summary'!$Y:$Y,'Threshold Summary'!$K:$K,""),'Pokemon Editor'!$A:$A,'Pokemon Editor'!$C:$C,""),mtype=XLOOKUP(XLOOKUP($K14,'Threshold Summary'!$Y:$Y,'Threshold Summary'!$K:$K,""),'Pokemon Editor'!$A:$A,'Pokemon Editor'!$D:$D,"")),1.5,1),eff,(INDEX('Type Chart'!$B:$S,MATCH(mtype,'Type Chart'!$A:$A,0),MATCH(XLOOKUP($L14,'Pokemon Editor'!$A:$A,'Pokemon Editor'!$C:$C,""),'Type Chart'!$B$1:$S$1,0))*IF(XLOOKUP($L14,'Pokemon Editor'!$A:$A,'Pokemon Editor'!$D:$D,"")="",1,INDEX('Type Chart'!$B:$S,MATCH(mtype,'Type Chart'!$A:$A,0),MATCH(XLOOKUP($L14,'Pokemon Editor'!$A:$A,'Pokemon Editor'!$D:$D,""),'Type Chart'!$B$1:$S$1,0)))),base,IF(OR(cat="Status",pow=0),0,FLOOR(FLOOR(FLOOR((2*XLOOKUP($K14,'Threshold Summary'!$Y:$Y,'Threshold Summary'!$L:$L,"")/5+2)*pow*atk/def)/50)+2)),modifier,stab*eff,AVERAGE(ARRAYFORMULA(FLOOR(base*modifier*SEQUENCE(16,1,85,1)/100)))/(FLOOR(((2*XLOOKUP($L14,'Pokemon Editor'!$A:$A,'Pokemon Editor'!$E:$E,0)+31+FLOOR(XLOOKUP($L14,'Boss Editor'!$C:$C,'Boss Editor'!$G:$G,"")/4))*XLOOKUP($L14,'Boss Editor'!$C:$C,'Boss Editor'!$D:$D,""))/100)+XLOOKUP($L14,'Boss Editor'!$C:$C,'Boss Editor'!$D:$D,"")+10)),0)</f>
        <v/>
      </c>
      <c r="J14" s="3">
        <f>IF(I14&gt;=1,"OHKO",IF(I14&gt;=0.5,"2HKO",IF(I14&gt;=0.333,"3HKO",IF(I14&gt;=0.25,"4HKO","5HKO+"))))</f>
        <v/>
      </c>
      <c r="K14" s="3" t="inlineStr">
        <is>
          <t>SPECIES_TORCHIC</t>
        </is>
      </c>
      <c r="L14" s="3" t="inlineStr">
        <is>
          <t>SPECIES_TIRTOUGA</t>
        </is>
      </c>
    </row>
    <row r="15">
      <c r="A15" s="3">
        <f>XLOOKUP($K15,'Threshold Summary'!$Y:$Y,'Threshold Summary'!$A:$A,"")</f>
        <v/>
      </c>
      <c r="B15" s="3" t="inlineStr">
        <is>
          <t>Anorith</t>
        </is>
      </c>
      <c r="C15" s="3">
        <f>XLOOKUP($L15,'Boss Editor'!$C:$C,'Boss Editor'!$D:$D,"")</f>
        <v/>
      </c>
      <c r="D15" s="3">
        <f>XLOOKUP($K15,'Threshold Summary'!$Y:$Y,'Threshold Summary'!$B:$B,"")</f>
        <v/>
      </c>
      <c r="E15" s="3">
        <f>XLOOKUP(D15,'Move Editor'!$B:$B,'Move Editor'!$C:$C,"")</f>
        <v/>
      </c>
      <c r="F15" s="3">
        <f>IFERROR(LET(mtype,XLOOKUP($D15,'Move Editor'!$B:$B,'Move Editor'!$C:$C,""),cat,XLOOKUP($D15,'Move Editor'!$B:$B,'Move Editor'!$D:$D,""),pow,XLOOKUP($D15,'Move Editor'!$B:$B,'Move Editor'!$E:$E,0),acc,XLOOKUP($D15,'Move Editor'!$B:$B,'Move Editor'!$F:$F,100),atk,IF(cat="Physical",FLOOR((FLOOR(((2*XLOOKUP(XLOOKUP($K15,'Threshold Summary'!$Y:$Y,'Threshold Summary'!$K:$K,""),'Pokemon Editor'!$A:$A,'Pokemon Editor'!$F:$F,0)+31+FLOOR(XLOOKUP($K15,'Threshold Summary'!$Y:$Y,'Threshold Summary'!$P:$P,"")/4))*XLOOKUP($K15,'Threshold Summary'!$Y:$Y,'Threshold Summary'!$L:$L,""))/100)+5)*XLOOKUP(XLOOKUP($K15,'Threshold Summary'!$Y:$Y,'Threshold Summary'!$M:$M,""),'Nature Editor'!$A:$A,'Nature Editor'!$B:$B,1)),FLOOR((FLOOR(((2*XLOOKUP(XLOOKUP($K15,'Threshold Summary'!$Y:$Y,'Threshold Summary'!$K:$K,""),'Pokemon Editor'!$A:$A,'Pokemon Editor'!$H:$H,0)+31+FLOOR(XLOOKUP($K15,'Threshold Summary'!$Y:$Y,'Threshold Summary'!$R:$R,"")/4))*XLOOKUP($K15,'Threshold Summary'!$Y:$Y,'Threshold Summary'!$L:$L,""))/100)+5)*XLOOKUP(XLOOKUP($K15,'Threshold Summary'!$Y:$Y,'Threshold Summary'!$M:$M,""),'Nature Editor'!$A:$A,'Nature Editor'!$D:$D,1))),def,IF(cat="Physical",FLOOR((FLOOR(((2*XLOOKUP($L15,'Pokemon Editor'!$A:$A,'Pokemon Editor'!$G:$G,0)+31+FLOOR(XLOOKUP($L15,'Boss Editor'!$C:$C,'Boss Editor'!$I:$I,"")/4))*XLOOKUP($L15,'Boss Editor'!$C:$C,'Boss Editor'!$D:$D,""))/100)+5)*XLOOKUP(XLOOKUP($L15,'Boss Editor'!$C:$C,'Boss Editor'!$E:$E,""),'Nature Editor'!$A:$A,'Nature Editor'!$C:$C,1)),FLOOR((FLOOR(((2*XLOOKUP($L15,'Pokemon Editor'!$A:$A,'Pokemon Editor'!$I:$I,0)+31+FLOOR(XLOOKUP($L15,'Boss Editor'!$C:$C,'Boss Editor'!$K:$K,"")/4))*XLOOKUP($L15,'Boss Editor'!$C:$C,'Boss Editor'!$D:$D,""))/100)+5)*XLOOKUP(XLOOKUP($L15,'Boss Editor'!$C:$C,'Boss Editor'!$E:$E,""),'Nature Editor'!$A:$A,'Nature Editor'!$E:$E,1))),stab,IF(OR(mtype=XLOOKUP(XLOOKUP($K15,'Threshold Summary'!$Y:$Y,'Threshold Summary'!$K:$K,""),'Pokemon Editor'!$A:$A,'Pokemon Editor'!$C:$C,""),mtype=XLOOKUP(XLOOKUP($K15,'Threshold Summary'!$Y:$Y,'Threshold Summary'!$K:$K,""),'Pokemon Editor'!$A:$A,'Pokemon Editor'!$D:$D,"")),1.5,1),eff,(INDEX('Type Chart'!$B:$S,MATCH(mtype,'Type Chart'!$A:$A,0),MATCH(XLOOKUP($L15,'Pokemon Editor'!$A:$A,'Pokemon Editor'!$C:$C,""),'Type Chart'!$B$1:$S$1,0))*IF(XLOOKUP($L15,'Pokemon Editor'!$A:$A,'Pokemon Editor'!$D:$D,"")="",1,INDEX('Type Chart'!$B:$S,MATCH(mtype,'Type Chart'!$A:$A,0),MATCH(XLOOKUP($L15,'Pokemon Editor'!$A:$A,'Pokemon Editor'!$D:$D,""),'Type Chart'!$B$1:$S$1,0)))),base,IF(OR(cat="Status",pow=0),0,FLOOR(FLOOR(FLOOR((2*XLOOKUP($K15,'Threshold Summary'!$Y:$Y,'Threshold Summary'!$L:$L,"")/5+2)*pow*atk/def)/50)+2)),modifier,stab*eff,FLOOR(base*modifier*0.85)),0)</f>
        <v/>
      </c>
      <c r="G15" s="3">
        <f>IFERROR(LET(mtype,XLOOKUP($D15,'Move Editor'!$B:$B,'Move Editor'!$C:$C,""),cat,XLOOKUP($D15,'Move Editor'!$B:$B,'Move Editor'!$D:$D,""),pow,XLOOKUP($D15,'Move Editor'!$B:$B,'Move Editor'!$E:$E,0),acc,XLOOKUP($D15,'Move Editor'!$B:$B,'Move Editor'!$F:$F,100),atk,IF(cat="Physical",FLOOR((FLOOR(((2*XLOOKUP(XLOOKUP($K15,'Threshold Summary'!$Y:$Y,'Threshold Summary'!$K:$K,""),'Pokemon Editor'!$A:$A,'Pokemon Editor'!$F:$F,0)+31+FLOOR(XLOOKUP($K15,'Threshold Summary'!$Y:$Y,'Threshold Summary'!$P:$P,"")/4))*XLOOKUP($K15,'Threshold Summary'!$Y:$Y,'Threshold Summary'!$L:$L,""))/100)+5)*XLOOKUP(XLOOKUP($K15,'Threshold Summary'!$Y:$Y,'Threshold Summary'!$M:$M,""),'Nature Editor'!$A:$A,'Nature Editor'!$B:$B,1)),FLOOR((FLOOR(((2*XLOOKUP(XLOOKUP($K15,'Threshold Summary'!$Y:$Y,'Threshold Summary'!$K:$K,""),'Pokemon Editor'!$A:$A,'Pokemon Editor'!$H:$H,0)+31+FLOOR(XLOOKUP($K15,'Threshold Summary'!$Y:$Y,'Threshold Summary'!$R:$R,"")/4))*XLOOKUP($K15,'Threshold Summary'!$Y:$Y,'Threshold Summary'!$L:$L,""))/100)+5)*XLOOKUP(XLOOKUP($K15,'Threshold Summary'!$Y:$Y,'Threshold Summary'!$M:$M,""),'Nature Editor'!$A:$A,'Nature Editor'!$D:$D,1))),def,IF(cat="Physical",FLOOR((FLOOR(((2*XLOOKUP($L15,'Pokemon Editor'!$A:$A,'Pokemon Editor'!$G:$G,0)+31+FLOOR(XLOOKUP($L15,'Boss Editor'!$C:$C,'Boss Editor'!$I:$I,"")/4))*XLOOKUP($L15,'Boss Editor'!$C:$C,'Boss Editor'!$D:$D,""))/100)+5)*XLOOKUP(XLOOKUP($L15,'Boss Editor'!$C:$C,'Boss Editor'!$E:$E,""),'Nature Editor'!$A:$A,'Nature Editor'!$C:$C,1)),FLOOR((FLOOR(((2*XLOOKUP($L15,'Pokemon Editor'!$A:$A,'Pokemon Editor'!$I:$I,0)+31+FLOOR(XLOOKUP($L15,'Boss Editor'!$C:$C,'Boss Editor'!$K:$K,"")/4))*XLOOKUP($L15,'Boss Editor'!$C:$C,'Boss Editor'!$D:$D,""))/100)+5)*XLOOKUP(XLOOKUP($L15,'Boss Editor'!$C:$C,'Boss Editor'!$E:$E,""),'Nature Editor'!$A:$A,'Nature Editor'!$E:$E,1))),stab,IF(OR(mtype=XLOOKUP(XLOOKUP($K15,'Threshold Summary'!$Y:$Y,'Threshold Summary'!$K:$K,""),'Pokemon Editor'!$A:$A,'Pokemon Editor'!$C:$C,""),mtype=XLOOKUP(XLOOKUP($K15,'Threshold Summary'!$Y:$Y,'Threshold Summary'!$K:$K,""),'Pokemon Editor'!$A:$A,'Pokemon Editor'!$D:$D,"")),1.5,1),eff,(INDEX('Type Chart'!$B:$S,MATCH(mtype,'Type Chart'!$A:$A,0),MATCH(XLOOKUP($L15,'Pokemon Editor'!$A:$A,'Pokemon Editor'!$C:$C,""),'Type Chart'!$B$1:$S$1,0))*IF(XLOOKUP($L15,'Pokemon Editor'!$A:$A,'Pokemon Editor'!$D:$D,"")="",1,INDEX('Type Chart'!$B:$S,MATCH(mtype,'Type Chart'!$A:$A,0),MATCH(XLOOKUP($L15,'Pokemon Editor'!$A:$A,'Pokemon Editor'!$D:$D,""),'Type Chart'!$B$1:$S$1,0)))),base,IF(OR(cat="Status",pow=0),0,FLOOR(FLOOR(FLOOR((2*XLOOKUP($K15,'Threshold Summary'!$Y:$Y,'Threshold Summary'!$L:$L,"")/5+2)*pow*atk/def)/50)+2)),modifier,stab*eff,FLOOR(base*modifier)),0)</f>
        <v/>
      </c>
      <c r="H15" s="3">
        <f>IFERROR(LET(mtype,XLOOKUP($D15,'Move Editor'!$B:$B,'Move Editor'!$C:$C,""),cat,XLOOKUP($D15,'Move Editor'!$B:$B,'Move Editor'!$D:$D,""),pow,XLOOKUP($D15,'Move Editor'!$B:$B,'Move Editor'!$E:$E,0),acc,XLOOKUP($D15,'Move Editor'!$B:$B,'Move Editor'!$F:$F,100),atk,IF(cat="Physical",FLOOR((FLOOR(((2*XLOOKUP(XLOOKUP($K15,'Threshold Summary'!$Y:$Y,'Threshold Summary'!$K:$K,""),'Pokemon Editor'!$A:$A,'Pokemon Editor'!$F:$F,0)+31+FLOOR(XLOOKUP($K15,'Threshold Summary'!$Y:$Y,'Threshold Summary'!$P:$P,"")/4))*XLOOKUP($K15,'Threshold Summary'!$Y:$Y,'Threshold Summary'!$L:$L,""))/100)+5)*XLOOKUP(XLOOKUP($K15,'Threshold Summary'!$Y:$Y,'Threshold Summary'!$M:$M,""),'Nature Editor'!$A:$A,'Nature Editor'!$B:$B,1)),FLOOR((FLOOR(((2*XLOOKUP(XLOOKUP($K15,'Threshold Summary'!$Y:$Y,'Threshold Summary'!$K:$K,""),'Pokemon Editor'!$A:$A,'Pokemon Editor'!$H:$H,0)+31+FLOOR(XLOOKUP($K15,'Threshold Summary'!$Y:$Y,'Threshold Summary'!$R:$R,"")/4))*XLOOKUP($K15,'Threshold Summary'!$Y:$Y,'Threshold Summary'!$L:$L,""))/100)+5)*XLOOKUP(XLOOKUP($K15,'Threshold Summary'!$Y:$Y,'Threshold Summary'!$M:$M,""),'Nature Editor'!$A:$A,'Nature Editor'!$D:$D,1))),def,IF(cat="Physical",FLOOR((FLOOR(((2*XLOOKUP($L15,'Pokemon Editor'!$A:$A,'Pokemon Editor'!$G:$G,0)+31+FLOOR(XLOOKUP($L15,'Boss Editor'!$C:$C,'Boss Editor'!$I:$I,"")/4))*XLOOKUP($L15,'Boss Editor'!$C:$C,'Boss Editor'!$D:$D,""))/100)+5)*XLOOKUP(XLOOKUP($L15,'Boss Editor'!$C:$C,'Boss Editor'!$E:$E,""),'Nature Editor'!$A:$A,'Nature Editor'!$C:$C,1)),FLOOR((FLOOR(((2*XLOOKUP($L15,'Pokemon Editor'!$A:$A,'Pokemon Editor'!$I:$I,0)+31+FLOOR(XLOOKUP($L15,'Boss Editor'!$C:$C,'Boss Editor'!$K:$K,"")/4))*XLOOKUP($L15,'Boss Editor'!$C:$C,'Boss Editor'!$D:$D,""))/100)+5)*XLOOKUP(XLOOKUP($L15,'Boss Editor'!$C:$C,'Boss Editor'!$E:$E,""),'Nature Editor'!$A:$A,'Nature Editor'!$E:$E,1))),stab,IF(OR(mtype=XLOOKUP(XLOOKUP($K15,'Threshold Summary'!$Y:$Y,'Threshold Summary'!$K:$K,""),'Pokemon Editor'!$A:$A,'Pokemon Editor'!$C:$C,""),mtype=XLOOKUP(XLOOKUP($K15,'Threshold Summary'!$Y:$Y,'Threshold Summary'!$K:$K,""),'Pokemon Editor'!$A:$A,'Pokemon Editor'!$D:$D,"")),1.5,1),eff,(INDEX('Type Chart'!$B:$S,MATCH(mtype,'Type Chart'!$A:$A,0),MATCH(XLOOKUP($L15,'Pokemon Editor'!$A:$A,'Pokemon Editor'!$C:$C,""),'Type Chart'!$B$1:$S$1,0))*IF(XLOOKUP($L15,'Pokemon Editor'!$A:$A,'Pokemon Editor'!$D:$D,"")="",1,INDEX('Type Chart'!$B:$S,MATCH(mtype,'Type Chart'!$A:$A,0),MATCH(XLOOKUP($L15,'Pokemon Editor'!$A:$A,'Pokemon Editor'!$D:$D,""),'Type Chart'!$B$1:$S$1,0)))),base,IF(OR(cat="Status",pow=0),0,FLOOR(FLOOR(FLOOR((2*XLOOKUP($K15,'Threshold Summary'!$Y:$Y,'Threshold Summary'!$L:$L,"")/5+2)*pow*atk/def)/50)+2)),modifier,stab*eff,AVERAGE(ARRAYFORMULA(FLOOR(base*modifier*SEQUENCE(16,1,85,1)/100)))),0)</f>
        <v/>
      </c>
      <c r="I15" s="4">
        <f>IFERROR(LET(mtype,XLOOKUP($D15,'Move Editor'!$B:$B,'Move Editor'!$C:$C,""),cat,XLOOKUP($D15,'Move Editor'!$B:$B,'Move Editor'!$D:$D,""),pow,XLOOKUP($D15,'Move Editor'!$B:$B,'Move Editor'!$E:$E,0),acc,XLOOKUP($D15,'Move Editor'!$B:$B,'Move Editor'!$F:$F,100),atk,IF(cat="Physical",FLOOR((FLOOR(((2*XLOOKUP(XLOOKUP($K15,'Threshold Summary'!$Y:$Y,'Threshold Summary'!$K:$K,""),'Pokemon Editor'!$A:$A,'Pokemon Editor'!$F:$F,0)+31+FLOOR(XLOOKUP($K15,'Threshold Summary'!$Y:$Y,'Threshold Summary'!$P:$P,"")/4))*XLOOKUP($K15,'Threshold Summary'!$Y:$Y,'Threshold Summary'!$L:$L,""))/100)+5)*XLOOKUP(XLOOKUP($K15,'Threshold Summary'!$Y:$Y,'Threshold Summary'!$M:$M,""),'Nature Editor'!$A:$A,'Nature Editor'!$B:$B,1)),FLOOR((FLOOR(((2*XLOOKUP(XLOOKUP($K15,'Threshold Summary'!$Y:$Y,'Threshold Summary'!$K:$K,""),'Pokemon Editor'!$A:$A,'Pokemon Editor'!$H:$H,0)+31+FLOOR(XLOOKUP($K15,'Threshold Summary'!$Y:$Y,'Threshold Summary'!$R:$R,"")/4))*XLOOKUP($K15,'Threshold Summary'!$Y:$Y,'Threshold Summary'!$L:$L,""))/100)+5)*XLOOKUP(XLOOKUP($K15,'Threshold Summary'!$Y:$Y,'Threshold Summary'!$M:$M,""),'Nature Editor'!$A:$A,'Nature Editor'!$D:$D,1))),def,IF(cat="Physical",FLOOR((FLOOR(((2*XLOOKUP($L15,'Pokemon Editor'!$A:$A,'Pokemon Editor'!$G:$G,0)+31+FLOOR(XLOOKUP($L15,'Boss Editor'!$C:$C,'Boss Editor'!$I:$I,"")/4))*XLOOKUP($L15,'Boss Editor'!$C:$C,'Boss Editor'!$D:$D,""))/100)+5)*XLOOKUP(XLOOKUP($L15,'Boss Editor'!$C:$C,'Boss Editor'!$E:$E,""),'Nature Editor'!$A:$A,'Nature Editor'!$C:$C,1)),FLOOR((FLOOR(((2*XLOOKUP($L15,'Pokemon Editor'!$A:$A,'Pokemon Editor'!$I:$I,0)+31+FLOOR(XLOOKUP($L15,'Boss Editor'!$C:$C,'Boss Editor'!$K:$K,"")/4))*XLOOKUP($L15,'Boss Editor'!$C:$C,'Boss Editor'!$D:$D,""))/100)+5)*XLOOKUP(XLOOKUP($L15,'Boss Editor'!$C:$C,'Boss Editor'!$E:$E,""),'Nature Editor'!$A:$A,'Nature Editor'!$E:$E,1))),stab,IF(OR(mtype=XLOOKUP(XLOOKUP($K15,'Threshold Summary'!$Y:$Y,'Threshold Summary'!$K:$K,""),'Pokemon Editor'!$A:$A,'Pokemon Editor'!$C:$C,""),mtype=XLOOKUP(XLOOKUP($K15,'Threshold Summary'!$Y:$Y,'Threshold Summary'!$K:$K,""),'Pokemon Editor'!$A:$A,'Pokemon Editor'!$D:$D,"")),1.5,1),eff,(INDEX('Type Chart'!$B:$S,MATCH(mtype,'Type Chart'!$A:$A,0),MATCH(XLOOKUP($L15,'Pokemon Editor'!$A:$A,'Pokemon Editor'!$C:$C,""),'Type Chart'!$B$1:$S$1,0))*IF(XLOOKUP($L15,'Pokemon Editor'!$A:$A,'Pokemon Editor'!$D:$D,"")="",1,INDEX('Type Chart'!$B:$S,MATCH(mtype,'Type Chart'!$A:$A,0),MATCH(XLOOKUP($L15,'Pokemon Editor'!$A:$A,'Pokemon Editor'!$D:$D,""),'Type Chart'!$B$1:$S$1,0)))),base,IF(OR(cat="Status",pow=0),0,FLOOR(FLOOR(FLOOR((2*XLOOKUP($K15,'Threshold Summary'!$Y:$Y,'Threshold Summary'!$L:$L,"")/5+2)*pow*atk/def)/50)+2)),modifier,stab*eff,AVERAGE(ARRAYFORMULA(FLOOR(base*modifier*SEQUENCE(16,1,85,1)/100)))/(FLOOR(((2*XLOOKUP($L15,'Pokemon Editor'!$A:$A,'Pokemon Editor'!$E:$E,0)+31+FLOOR(XLOOKUP($L15,'Boss Editor'!$C:$C,'Boss Editor'!$G:$G,"")/4))*XLOOKUP($L15,'Boss Editor'!$C:$C,'Boss Editor'!$D:$D,""))/100)+XLOOKUP($L15,'Boss Editor'!$C:$C,'Boss Editor'!$D:$D,"")+10)),0)</f>
        <v/>
      </c>
      <c r="J15" s="3">
        <f>IF(I15&gt;=1,"OHKO",IF(I15&gt;=0.5,"2HKO",IF(I15&gt;=0.333,"3HKO",IF(I15&gt;=0.25,"4HKO","5HKO+"))))</f>
        <v/>
      </c>
      <c r="K15" s="3" t="inlineStr">
        <is>
          <t>SPECIES_TORCHIC</t>
        </is>
      </c>
      <c r="L15" s="3" t="inlineStr">
        <is>
          <t>SPECIES_ANORITH</t>
        </is>
      </c>
    </row>
    <row r="16">
      <c r="A16" s="3">
        <f>XLOOKUP($K16,'Threshold Summary'!$Y:$Y,'Threshold Summary'!$A:$A,"")</f>
        <v/>
      </c>
      <c r="B16" s="3" t="inlineStr">
        <is>
          <t>Lileep</t>
        </is>
      </c>
      <c r="C16" s="3">
        <f>XLOOKUP($L16,'Boss Editor'!$C:$C,'Boss Editor'!$D:$D,"")</f>
        <v/>
      </c>
      <c r="D16" s="3">
        <f>XLOOKUP($K16,'Threshold Summary'!$Y:$Y,'Threshold Summary'!$B:$B,"")</f>
        <v/>
      </c>
      <c r="E16" s="3">
        <f>XLOOKUP(D16,'Move Editor'!$B:$B,'Move Editor'!$C:$C,"")</f>
        <v/>
      </c>
      <c r="F16" s="3">
        <f>IFERROR(LET(mtype,XLOOKUP($D16,'Move Editor'!$B:$B,'Move Editor'!$C:$C,""),cat,XLOOKUP($D16,'Move Editor'!$B:$B,'Move Editor'!$D:$D,""),pow,XLOOKUP($D16,'Move Editor'!$B:$B,'Move Editor'!$E:$E,0),acc,XLOOKUP($D16,'Move Editor'!$B:$B,'Move Editor'!$F:$F,100),atk,IF(cat="Physical",FLOOR((FLOOR(((2*XLOOKUP(XLOOKUP($K16,'Threshold Summary'!$Y:$Y,'Threshold Summary'!$K:$K,""),'Pokemon Editor'!$A:$A,'Pokemon Editor'!$F:$F,0)+31+FLOOR(XLOOKUP($K16,'Threshold Summary'!$Y:$Y,'Threshold Summary'!$P:$P,"")/4))*XLOOKUP($K16,'Threshold Summary'!$Y:$Y,'Threshold Summary'!$L:$L,""))/100)+5)*XLOOKUP(XLOOKUP($K16,'Threshold Summary'!$Y:$Y,'Threshold Summary'!$M:$M,""),'Nature Editor'!$A:$A,'Nature Editor'!$B:$B,1)),FLOOR((FLOOR(((2*XLOOKUP(XLOOKUP($K16,'Threshold Summary'!$Y:$Y,'Threshold Summary'!$K:$K,""),'Pokemon Editor'!$A:$A,'Pokemon Editor'!$H:$H,0)+31+FLOOR(XLOOKUP($K16,'Threshold Summary'!$Y:$Y,'Threshold Summary'!$R:$R,"")/4))*XLOOKUP($K16,'Threshold Summary'!$Y:$Y,'Threshold Summary'!$L:$L,""))/100)+5)*XLOOKUP(XLOOKUP($K16,'Threshold Summary'!$Y:$Y,'Threshold Summary'!$M:$M,""),'Nature Editor'!$A:$A,'Nature Editor'!$D:$D,1))),def,IF(cat="Physical",FLOOR((FLOOR(((2*XLOOKUP($L16,'Pokemon Editor'!$A:$A,'Pokemon Editor'!$G:$G,0)+31+FLOOR(XLOOKUP($L16,'Boss Editor'!$C:$C,'Boss Editor'!$I:$I,"")/4))*XLOOKUP($L16,'Boss Editor'!$C:$C,'Boss Editor'!$D:$D,""))/100)+5)*XLOOKUP(XLOOKUP($L16,'Boss Editor'!$C:$C,'Boss Editor'!$E:$E,""),'Nature Editor'!$A:$A,'Nature Editor'!$C:$C,1)),FLOOR((FLOOR(((2*XLOOKUP($L16,'Pokemon Editor'!$A:$A,'Pokemon Editor'!$I:$I,0)+31+FLOOR(XLOOKUP($L16,'Boss Editor'!$C:$C,'Boss Editor'!$K:$K,"")/4))*XLOOKUP($L16,'Boss Editor'!$C:$C,'Boss Editor'!$D:$D,""))/100)+5)*XLOOKUP(XLOOKUP($L16,'Boss Editor'!$C:$C,'Boss Editor'!$E:$E,""),'Nature Editor'!$A:$A,'Nature Editor'!$E:$E,1))),stab,IF(OR(mtype=XLOOKUP(XLOOKUP($K16,'Threshold Summary'!$Y:$Y,'Threshold Summary'!$K:$K,""),'Pokemon Editor'!$A:$A,'Pokemon Editor'!$C:$C,""),mtype=XLOOKUP(XLOOKUP($K16,'Threshold Summary'!$Y:$Y,'Threshold Summary'!$K:$K,""),'Pokemon Editor'!$A:$A,'Pokemon Editor'!$D:$D,"")),1.5,1),eff,(INDEX('Type Chart'!$B:$S,MATCH(mtype,'Type Chart'!$A:$A,0),MATCH(XLOOKUP($L16,'Pokemon Editor'!$A:$A,'Pokemon Editor'!$C:$C,""),'Type Chart'!$B$1:$S$1,0))*IF(XLOOKUP($L16,'Pokemon Editor'!$A:$A,'Pokemon Editor'!$D:$D,"")="",1,INDEX('Type Chart'!$B:$S,MATCH(mtype,'Type Chart'!$A:$A,0),MATCH(XLOOKUP($L16,'Pokemon Editor'!$A:$A,'Pokemon Editor'!$D:$D,""),'Type Chart'!$B$1:$S$1,0)))),base,IF(OR(cat="Status",pow=0),0,FLOOR(FLOOR(FLOOR((2*XLOOKUP($K16,'Threshold Summary'!$Y:$Y,'Threshold Summary'!$L:$L,"")/5+2)*pow*atk/def)/50)+2)),modifier,stab*eff,FLOOR(base*modifier*0.85)),0)</f>
        <v/>
      </c>
      <c r="G16" s="3">
        <f>IFERROR(LET(mtype,XLOOKUP($D16,'Move Editor'!$B:$B,'Move Editor'!$C:$C,""),cat,XLOOKUP($D16,'Move Editor'!$B:$B,'Move Editor'!$D:$D,""),pow,XLOOKUP($D16,'Move Editor'!$B:$B,'Move Editor'!$E:$E,0),acc,XLOOKUP($D16,'Move Editor'!$B:$B,'Move Editor'!$F:$F,100),atk,IF(cat="Physical",FLOOR((FLOOR(((2*XLOOKUP(XLOOKUP($K16,'Threshold Summary'!$Y:$Y,'Threshold Summary'!$K:$K,""),'Pokemon Editor'!$A:$A,'Pokemon Editor'!$F:$F,0)+31+FLOOR(XLOOKUP($K16,'Threshold Summary'!$Y:$Y,'Threshold Summary'!$P:$P,"")/4))*XLOOKUP($K16,'Threshold Summary'!$Y:$Y,'Threshold Summary'!$L:$L,""))/100)+5)*XLOOKUP(XLOOKUP($K16,'Threshold Summary'!$Y:$Y,'Threshold Summary'!$M:$M,""),'Nature Editor'!$A:$A,'Nature Editor'!$B:$B,1)),FLOOR((FLOOR(((2*XLOOKUP(XLOOKUP($K16,'Threshold Summary'!$Y:$Y,'Threshold Summary'!$K:$K,""),'Pokemon Editor'!$A:$A,'Pokemon Editor'!$H:$H,0)+31+FLOOR(XLOOKUP($K16,'Threshold Summary'!$Y:$Y,'Threshold Summary'!$R:$R,"")/4))*XLOOKUP($K16,'Threshold Summary'!$Y:$Y,'Threshold Summary'!$L:$L,""))/100)+5)*XLOOKUP(XLOOKUP($K16,'Threshold Summary'!$Y:$Y,'Threshold Summary'!$M:$M,""),'Nature Editor'!$A:$A,'Nature Editor'!$D:$D,1))),def,IF(cat="Physical",FLOOR((FLOOR(((2*XLOOKUP($L16,'Pokemon Editor'!$A:$A,'Pokemon Editor'!$G:$G,0)+31+FLOOR(XLOOKUP($L16,'Boss Editor'!$C:$C,'Boss Editor'!$I:$I,"")/4))*XLOOKUP($L16,'Boss Editor'!$C:$C,'Boss Editor'!$D:$D,""))/100)+5)*XLOOKUP(XLOOKUP($L16,'Boss Editor'!$C:$C,'Boss Editor'!$E:$E,""),'Nature Editor'!$A:$A,'Nature Editor'!$C:$C,1)),FLOOR((FLOOR(((2*XLOOKUP($L16,'Pokemon Editor'!$A:$A,'Pokemon Editor'!$I:$I,0)+31+FLOOR(XLOOKUP($L16,'Boss Editor'!$C:$C,'Boss Editor'!$K:$K,"")/4))*XLOOKUP($L16,'Boss Editor'!$C:$C,'Boss Editor'!$D:$D,""))/100)+5)*XLOOKUP(XLOOKUP($L16,'Boss Editor'!$C:$C,'Boss Editor'!$E:$E,""),'Nature Editor'!$A:$A,'Nature Editor'!$E:$E,1))),stab,IF(OR(mtype=XLOOKUP(XLOOKUP($K16,'Threshold Summary'!$Y:$Y,'Threshold Summary'!$K:$K,""),'Pokemon Editor'!$A:$A,'Pokemon Editor'!$C:$C,""),mtype=XLOOKUP(XLOOKUP($K16,'Threshold Summary'!$Y:$Y,'Threshold Summary'!$K:$K,""),'Pokemon Editor'!$A:$A,'Pokemon Editor'!$D:$D,"")),1.5,1),eff,(INDEX('Type Chart'!$B:$S,MATCH(mtype,'Type Chart'!$A:$A,0),MATCH(XLOOKUP($L16,'Pokemon Editor'!$A:$A,'Pokemon Editor'!$C:$C,""),'Type Chart'!$B$1:$S$1,0))*IF(XLOOKUP($L16,'Pokemon Editor'!$A:$A,'Pokemon Editor'!$D:$D,"")="",1,INDEX('Type Chart'!$B:$S,MATCH(mtype,'Type Chart'!$A:$A,0),MATCH(XLOOKUP($L16,'Pokemon Editor'!$A:$A,'Pokemon Editor'!$D:$D,""),'Type Chart'!$B$1:$S$1,0)))),base,IF(OR(cat="Status",pow=0),0,FLOOR(FLOOR(FLOOR((2*XLOOKUP($K16,'Threshold Summary'!$Y:$Y,'Threshold Summary'!$L:$L,"")/5+2)*pow*atk/def)/50)+2)),modifier,stab*eff,FLOOR(base*modifier)),0)</f>
        <v/>
      </c>
      <c r="H16" s="3">
        <f>IFERROR(LET(mtype,XLOOKUP($D16,'Move Editor'!$B:$B,'Move Editor'!$C:$C,""),cat,XLOOKUP($D16,'Move Editor'!$B:$B,'Move Editor'!$D:$D,""),pow,XLOOKUP($D16,'Move Editor'!$B:$B,'Move Editor'!$E:$E,0),acc,XLOOKUP($D16,'Move Editor'!$B:$B,'Move Editor'!$F:$F,100),atk,IF(cat="Physical",FLOOR((FLOOR(((2*XLOOKUP(XLOOKUP($K16,'Threshold Summary'!$Y:$Y,'Threshold Summary'!$K:$K,""),'Pokemon Editor'!$A:$A,'Pokemon Editor'!$F:$F,0)+31+FLOOR(XLOOKUP($K16,'Threshold Summary'!$Y:$Y,'Threshold Summary'!$P:$P,"")/4))*XLOOKUP($K16,'Threshold Summary'!$Y:$Y,'Threshold Summary'!$L:$L,""))/100)+5)*XLOOKUP(XLOOKUP($K16,'Threshold Summary'!$Y:$Y,'Threshold Summary'!$M:$M,""),'Nature Editor'!$A:$A,'Nature Editor'!$B:$B,1)),FLOOR((FLOOR(((2*XLOOKUP(XLOOKUP($K16,'Threshold Summary'!$Y:$Y,'Threshold Summary'!$K:$K,""),'Pokemon Editor'!$A:$A,'Pokemon Editor'!$H:$H,0)+31+FLOOR(XLOOKUP($K16,'Threshold Summary'!$Y:$Y,'Threshold Summary'!$R:$R,"")/4))*XLOOKUP($K16,'Threshold Summary'!$Y:$Y,'Threshold Summary'!$L:$L,""))/100)+5)*XLOOKUP(XLOOKUP($K16,'Threshold Summary'!$Y:$Y,'Threshold Summary'!$M:$M,""),'Nature Editor'!$A:$A,'Nature Editor'!$D:$D,1))),def,IF(cat="Physical",FLOOR((FLOOR(((2*XLOOKUP($L16,'Pokemon Editor'!$A:$A,'Pokemon Editor'!$G:$G,0)+31+FLOOR(XLOOKUP($L16,'Boss Editor'!$C:$C,'Boss Editor'!$I:$I,"")/4))*XLOOKUP($L16,'Boss Editor'!$C:$C,'Boss Editor'!$D:$D,""))/100)+5)*XLOOKUP(XLOOKUP($L16,'Boss Editor'!$C:$C,'Boss Editor'!$E:$E,""),'Nature Editor'!$A:$A,'Nature Editor'!$C:$C,1)),FLOOR((FLOOR(((2*XLOOKUP($L16,'Pokemon Editor'!$A:$A,'Pokemon Editor'!$I:$I,0)+31+FLOOR(XLOOKUP($L16,'Boss Editor'!$C:$C,'Boss Editor'!$K:$K,"")/4))*XLOOKUP($L16,'Boss Editor'!$C:$C,'Boss Editor'!$D:$D,""))/100)+5)*XLOOKUP(XLOOKUP($L16,'Boss Editor'!$C:$C,'Boss Editor'!$E:$E,""),'Nature Editor'!$A:$A,'Nature Editor'!$E:$E,1))),stab,IF(OR(mtype=XLOOKUP(XLOOKUP($K16,'Threshold Summary'!$Y:$Y,'Threshold Summary'!$K:$K,""),'Pokemon Editor'!$A:$A,'Pokemon Editor'!$C:$C,""),mtype=XLOOKUP(XLOOKUP($K16,'Threshold Summary'!$Y:$Y,'Threshold Summary'!$K:$K,""),'Pokemon Editor'!$A:$A,'Pokemon Editor'!$D:$D,"")),1.5,1),eff,(INDEX('Type Chart'!$B:$S,MATCH(mtype,'Type Chart'!$A:$A,0),MATCH(XLOOKUP($L16,'Pokemon Editor'!$A:$A,'Pokemon Editor'!$C:$C,""),'Type Chart'!$B$1:$S$1,0))*IF(XLOOKUP($L16,'Pokemon Editor'!$A:$A,'Pokemon Editor'!$D:$D,"")="",1,INDEX('Type Chart'!$B:$S,MATCH(mtype,'Type Chart'!$A:$A,0),MATCH(XLOOKUP($L16,'Pokemon Editor'!$A:$A,'Pokemon Editor'!$D:$D,""),'Type Chart'!$B$1:$S$1,0)))),base,IF(OR(cat="Status",pow=0),0,FLOOR(FLOOR(FLOOR((2*XLOOKUP($K16,'Threshold Summary'!$Y:$Y,'Threshold Summary'!$L:$L,"")/5+2)*pow*atk/def)/50)+2)),modifier,stab*eff,AVERAGE(ARRAYFORMULA(FLOOR(base*modifier*SEQUENCE(16,1,85,1)/100)))),0)</f>
        <v/>
      </c>
      <c r="I16" s="4">
        <f>IFERROR(LET(mtype,XLOOKUP($D16,'Move Editor'!$B:$B,'Move Editor'!$C:$C,""),cat,XLOOKUP($D16,'Move Editor'!$B:$B,'Move Editor'!$D:$D,""),pow,XLOOKUP($D16,'Move Editor'!$B:$B,'Move Editor'!$E:$E,0),acc,XLOOKUP($D16,'Move Editor'!$B:$B,'Move Editor'!$F:$F,100),atk,IF(cat="Physical",FLOOR((FLOOR(((2*XLOOKUP(XLOOKUP($K16,'Threshold Summary'!$Y:$Y,'Threshold Summary'!$K:$K,""),'Pokemon Editor'!$A:$A,'Pokemon Editor'!$F:$F,0)+31+FLOOR(XLOOKUP($K16,'Threshold Summary'!$Y:$Y,'Threshold Summary'!$P:$P,"")/4))*XLOOKUP($K16,'Threshold Summary'!$Y:$Y,'Threshold Summary'!$L:$L,""))/100)+5)*XLOOKUP(XLOOKUP($K16,'Threshold Summary'!$Y:$Y,'Threshold Summary'!$M:$M,""),'Nature Editor'!$A:$A,'Nature Editor'!$B:$B,1)),FLOOR((FLOOR(((2*XLOOKUP(XLOOKUP($K16,'Threshold Summary'!$Y:$Y,'Threshold Summary'!$K:$K,""),'Pokemon Editor'!$A:$A,'Pokemon Editor'!$H:$H,0)+31+FLOOR(XLOOKUP($K16,'Threshold Summary'!$Y:$Y,'Threshold Summary'!$R:$R,"")/4))*XLOOKUP($K16,'Threshold Summary'!$Y:$Y,'Threshold Summary'!$L:$L,""))/100)+5)*XLOOKUP(XLOOKUP($K16,'Threshold Summary'!$Y:$Y,'Threshold Summary'!$M:$M,""),'Nature Editor'!$A:$A,'Nature Editor'!$D:$D,1))),def,IF(cat="Physical",FLOOR((FLOOR(((2*XLOOKUP($L16,'Pokemon Editor'!$A:$A,'Pokemon Editor'!$G:$G,0)+31+FLOOR(XLOOKUP($L16,'Boss Editor'!$C:$C,'Boss Editor'!$I:$I,"")/4))*XLOOKUP($L16,'Boss Editor'!$C:$C,'Boss Editor'!$D:$D,""))/100)+5)*XLOOKUP(XLOOKUP($L16,'Boss Editor'!$C:$C,'Boss Editor'!$E:$E,""),'Nature Editor'!$A:$A,'Nature Editor'!$C:$C,1)),FLOOR((FLOOR(((2*XLOOKUP($L16,'Pokemon Editor'!$A:$A,'Pokemon Editor'!$I:$I,0)+31+FLOOR(XLOOKUP($L16,'Boss Editor'!$C:$C,'Boss Editor'!$K:$K,"")/4))*XLOOKUP($L16,'Boss Editor'!$C:$C,'Boss Editor'!$D:$D,""))/100)+5)*XLOOKUP(XLOOKUP($L16,'Boss Editor'!$C:$C,'Boss Editor'!$E:$E,""),'Nature Editor'!$A:$A,'Nature Editor'!$E:$E,1))),stab,IF(OR(mtype=XLOOKUP(XLOOKUP($K16,'Threshold Summary'!$Y:$Y,'Threshold Summary'!$K:$K,""),'Pokemon Editor'!$A:$A,'Pokemon Editor'!$C:$C,""),mtype=XLOOKUP(XLOOKUP($K16,'Threshold Summary'!$Y:$Y,'Threshold Summary'!$K:$K,""),'Pokemon Editor'!$A:$A,'Pokemon Editor'!$D:$D,"")),1.5,1),eff,(INDEX('Type Chart'!$B:$S,MATCH(mtype,'Type Chart'!$A:$A,0),MATCH(XLOOKUP($L16,'Pokemon Editor'!$A:$A,'Pokemon Editor'!$C:$C,""),'Type Chart'!$B$1:$S$1,0))*IF(XLOOKUP($L16,'Pokemon Editor'!$A:$A,'Pokemon Editor'!$D:$D,"")="",1,INDEX('Type Chart'!$B:$S,MATCH(mtype,'Type Chart'!$A:$A,0),MATCH(XLOOKUP($L16,'Pokemon Editor'!$A:$A,'Pokemon Editor'!$D:$D,""),'Type Chart'!$B$1:$S$1,0)))),base,IF(OR(cat="Status",pow=0),0,FLOOR(FLOOR(FLOOR((2*XLOOKUP($K16,'Threshold Summary'!$Y:$Y,'Threshold Summary'!$L:$L,"")/5+2)*pow*atk/def)/50)+2)),modifier,stab*eff,AVERAGE(ARRAYFORMULA(FLOOR(base*modifier*SEQUENCE(16,1,85,1)/100)))/(FLOOR(((2*XLOOKUP($L16,'Pokemon Editor'!$A:$A,'Pokemon Editor'!$E:$E,0)+31+FLOOR(XLOOKUP($L16,'Boss Editor'!$C:$C,'Boss Editor'!$G:$G,"")/4))*XLOOKUP($L16,'Boss Editor'!$C:$C,'Boss Editor'!$D:$D,""))/100)+XLOOKUP($L16,'Boss Editor'!$C:$C,'Boss Editor'!$D:$D,"")+10)),0)</f>
        <v/>
      </c>
      <c r="J16" s="3">
        <f>IF(I16&gt;=1,"OHKO",IF(I16&gt;=0.5,"2HKO",IF(I16&gt;=0.333,"3HKO",IF(I16&gt;=0.25,"4HKO","5HKO+"))))</f>
        <v/>
      </c>
      <c r="K16" s="3" t="inlineStr">
        <is>
          <t>SPECIES_TORCHIC</t>
        </is>
      </c>
      <c r="L16" s="3" t="inlineStr">
        <is>
          <t>SPECIES_LILEEP</t>
        </is>
      </c>
    </row>
    <row r="17">
      <c r="A17" s="3">
        <f>XLOOKUP($K17,'Threshold Summary'!$Y:$Y,'Threshold Summary'!$A:$A,"")</f>
        <v/>
      </c>
      <c r="B17" s="3" t="inlineStr">
        <is>
          <t>Tirtouga</t>
        </is>
      </c>
      <c r="C17" s="3">
        <f>XLOOKUP($L17,'Boss Editor'!$C:$C,'Boss Editor'!$D:$D,"")</f>
        <v/>
      </c>
      <c r="D17" s="3">
        <f>XLOOKUP($K17,'Threshold Summary'!$Y:$Y,'Threshold Summary'!$B:$B,"")</f>
        <v/>
      </c>
      <c r="E17" s="3">
        <f>XLOOKUP(D17,'Move Editor'!$B:$B,'Move Editor'!$C:$C,"")</f>
        <v/>
      </c>
      <c r="F17" s="3">
        <f>IFERROR(LET(mtype,XLOOKUP($D17,'Move Editor'!$B:$B,'Move Editor'!$C:$C,""),cat,XLOOKUP($D17,'Move Editor'!$B:$B,'Move Editor'!$D:$D,""),pow,XLOOKUP($D17,'Move Editor'!$B:$B,'Move Editor'!$E:$E,0),acc,XLOOKUP($D17,'Move Editor'!$B:$B,'Move Editor'!$F:$F,100),atk,IF(cat="Physical",FLOOR((FLOOR(((2*XLOOKUP(XLOOKUP($K17,'Threshold Summary'!$Y:$Y,'Threshold Summary'!$K:$K,""),'Pokemon Editor'!$A:$A,'Pokemon Editor'!$F:$F,0)+31+FLOOR(XLOOKUP($K17,'Threshold Summary'!$Y:$Y,'Threshold Summary'!$P:$P,"")/4))*XLOOKUP($K17,'Threshold Summary'!$Y:$Y,'Threshold Summary'!$L:$L,""))/100)+5)*XLOOKUP(XLOOKUP($K17,'Threshold Summary'!$Y:$Y,'Threshold Summary'!$M:$M,""),'Nature Editor'!$A:$A,'Nature Editor'!$B:$B,1)),FLOOR((FLOOR(((2*XLOOKUP(XLOOKUP($K17,'Threshold Summary'!$Y:$Y,'Threshold Summary'!$K:$K,""),'Pokemon Editor'!$A:$A,'Pokemon Editor'!$H:$H,0)+31+FLOOR(XLOOKUP($K17,'Threshold Summary'!$Y:$Y,'Threshold Summary'!$R:$R,"")/4))*XLOOKUP($K17,'Threshold Summary'!$Y:$Y,'Threshold Summary'!$L:$L,""))/100)+5)*XLOOKUP(XLOOKUP($K17,'Threshold Summary'!$Y:$Y,'Threshold Summary'!$M:$M,""),'Nature Editor'!$A:$A,'Nature Editor'!$D:$D,1))),def,IF(cat="Physical",FLOOR((FLOOR(((2*XLOOKUP($L17,'Pokemon Editor'!$A:$A,'Pokemon Editor'!$G:$G,0)+31+FLOOR(XLOOKUP($L17,'Boss Editor'!$C:$C,'Boss Editor'!$I:$I,"")/4))*XLOOKUP($L17,'Boss Editor'!$C:$C,'Boss Editor'!$D:$D,""))/100)+5)*XLOOKUP(XLOOKUP($L17,'Boss Editor'!$C:$C,'Boss Editor'!$E:$E,""),'Nature Editor'!$A:$A,'Nature Editor'!$C:$C,1)),FLOOR((FLOOR(((2*XLOOKUP($L17,'Pokemon Editor'!$A:$A,'Pokemon Editor'!$I:$I,0)+31+FLOOR(XLOOKUP($L17,'Boss Editor'!$C:$C,'Boss Editor'!$K:$K,"")/4))*XLOOKUP($L17,'Boss Editor'!$C:$C,'Boss Editor'!$D:$D,""))/100)+5)*XLOOKUP(XLOOKUP($L17,'Boss Editor'!$C:$C,'Boss Editor'!$E:$E,""),'Nature Editor'!$A:$A,'Nature Editor'!$E:$E,1))),stab,IF(OR(mtype=XLOOKUP(XLOOKUP($K17,'Threshold Summary'!$Y:$Y,'Threshold Summary'!$K:$K,""),'Pokemon Editor'!$A:$A,'Pokemon Editor'!$C:$C,""),mtype=XLOOKUP(XLOOKUP($K17,'Threshold Summary'!$Y:$Y,'Threshold Summary'!$K:$K,""),'Pokemon Editor'!$A:$A,'Pokemon Editor'!$D:$D,"")),1.5,1),eff,(INDEX('Type Chart'!$B:$S,MATCH(mtype,'Type Chart'!$A:$A,0),MATCH(XLOOKUP($L17,'Pokemon Editor'!$A:$A,'Pokemon Editor'!$C:$C,""),'Type Chart'!$B$1:$S$1,0))*IF(XLOOKUP($L17,'Pokemon Editor'!$A:$A,'Pokemon Editor'!$D:$D,"")="",1,INDEX('Type Chart'!$B:$S,MATCH(mtype,'Type Chart'!$A:$A,0),MATCH(XLOOKUP($L17,'Pokemon Editor'!$A:$A,'Pokemon Editor'!$D:$D,""),'Type Chart'!$B$1:$S$1,0)))),base,IF(OR(cat="Status",pow=0),0,FLOOR(FLOOR(FLOOR((2*XLOOKUP($K17,'Threshold Summary'!$Y:$Y,'Threshold Summary'!$L:$L,"")/5+2)*pow*atk/def)/50)+2)),modifier,stab*eff,FLOOR(base*modifier*0.85)),0)</f>
        <v/>
      </c>
      <c r="G17" s="3">
        <f>IFERROR(LET(mtype,XLOOKUP($D17,'Move Editor'!$B:$B,'Move Editor'!$C:$C,""),cat,XLOOKUP($D17,'Move Editor'!$B:$B,'Move Editor'!$D:$D,""),pow,XLOOKUP($D17,'Move Editor'!$B:$B,'Move Editor'!$E:$E,0),acc,XLOOKUP($D17,'Move Editor'!$B:$B,'Move Editor'!$F:$F,100),atk,IF(cat="Physical",FLOOR((FLOOR(((2*XLOOKUP(XLOOKUP($K17,'Threshold Summary'!$Y:$Y,'Threshold Summary'!$K:$K,""),'Pokemon Editor'!$A:$A,'Pokemon Editor'!$F:$F,0)+31+FLOOR(XLOOKUP($K17,'Threshold Summary'!$Y:$Y,'Threshold Summary'!$P:$P,"")/4))*XLOOKUP($K17,'Threshold Summary'!$Y:$Y,'Threshold Summary'!$L:$L,""))/100)+5)*XLOOKUP(XLOOKUP($K17,'Threshold Summary'!$Y:$Y,'Threshold Summary'!$M:$M,""),'Nature Editor'!$A:$A,'Nature Editor'!$B:$B,1)),FLOOR((FLOOR(((2*XLOOKUP(XLOOKUP($K17,'Threshold Summary'!$Y:$Y,'Threshold Summary'!$K:$K,""),'Pokemon Editor'!$A:$A,'Pokemon Editor'!$H:$H,0)+31+FLOOR(XLOOKUP($K17,'Threshold Summary'!$Y:$Y,'Threshold Summary'!$R:$R,"")/4))*XLOOKUP($K17,'Threshold Summary'!$Y:$Y,'Threshold Summary'!$L:$L,""))/100)+5)*XLOOKUP(XLOOKUP($K17,'Threshold Summary'!$Y:$Y,'Threshold Summary'!$M:$M,""),'Nature Editor'!$A:$A,'Nature Editor'!$D:$D,1))),def,IF(cat="Physical",FLOOR((FLOOR(((2*XLOOKUP($L17,'Pokemon Editor'!$A:$A,'Pokemon Editor'!$G:$G,0)+31+FLOOR(XLOOKUP($L17,'Boss Editor'!$C:$C,'Boss Editor'!$I:$I,"")/4))*XLOOKUP($L17,'Boss Editor'!$C:$C,'Boss Editor'!$D:$D,""))/100)+5)*XLOOKUP(XLOOKUP($L17,'Boss Editor'!$C:$C,'Boss Editor'!$E:$E,""),'Nature Editor'!$A:$A,'Nature Editor'!$C:$C,1)),FLOOR((FLOOR(((2*XLOOKUP($L17,'Pokemon Editor'!$A:$A,'Pokemon Editor'!$I:$I,0)+31+FLOOR(XLOOKUP($L17,'Boss Editor'!$C:$C,'Boss Editor'!$K:$K,"")/4))*XLOOKUP($L17,'Boss Editor'!$C:$C,'Boss Editor'!$D:$D,""))/100)+5)*XLOOKUP(XLOOKUP($L17,'Boss Editor'!$C:$C,'Boss Editor'!$E:$E,""),'Nature Editor'!$A:$A,'Nature Editor'!$E:$E,1))),stab,IF(OR(mtype=XLOOKUP(XLOOKUP($K17,'Threshold Summary'!$Y:$Y,'Threshold Summary'!$K:$K,""),'Pokemon Editor'!$A:$A,'Pokemon Editor'!$C:$C,""),mtype=XLOOKUP(XLOOKUP($K17,'Threshold Summary'!$Y:$Y,'Threshold Summary'!$K:$K,""),'Pokemon Editor'!$A:$A,'Pokemon Editor'!$D:$D,"")),1.5,1),eff,(INDEX('Type Chart'!$B:$S,MATCH(mtype,'Type Chart'!$A:$A,0),MATCH(XLOOKUP($L17,'Pokemon Editor'!$A:$A,'Pokemon Editor'!$C:$C,""),'Type Chart'!$B$1:$S$1,0))*IF(XLOOKUP($L17,'Pokemon Editor'!$A:$A,'Pokemon Editor'!$D:$D,"")="",1,INDEX('Type Chart'!$B:$S,MATCH(mtype,'Type Chart'!$A:$A,0),MATCH(XLOOKUP($L17,'Pokemon Editor'!$A:$A,'Pokemon Editor'!$D:$D,""),'Type Chart'!$B$1:$S$1,0)))),base,IF(OR(cat="Status",pow=0),0,FLOOR(FLOOR(FLOOR((2*XLOOKUP($K17,'Threshold Summary'!$Y:$Y,'Threshold Summary'!$L:$L,"")/5+2)*pow*atk/def)/50)+2)),modifier,stab*eff,FLOOR(base*modifier)),0)</f>
        <v/>
      </c>
      <c r="H17" s="3">
        <f>IFERROR(LET(mtype,XLOOKUP($D17,'Move Editor'!$B:$B,'Move Editor'!$C:$C,""),cat,XLOOKUP($D17,'Move Editor'!$B:$B,'Move Editor'!$D:$D,""),pow,XLOOKUP($D17,'Move Editor'!$B:$B,'Move Editor'!$E:$E,0),acc,XLOOKUP($D17,'Move Editor'!$B:$B,'Move Editor'!$F:$F,100),atk,IF(cat="Physical",FLOOR((FLOOR(((2*XLOOKUP(XLOOKUP($K17,'Threshold Summary'!$Y:$Y,'Threshold Summary'!$K:$K,""),'Pokemon Editor'!$A:$A,'Pokemon Editor'!$F:$F,0)+31+FLOOR(XLOOKUP($K17,'Threshold Summary'!$Y:$Y,'Threshold Summary'!$P:$P,"")/4))*XLOOKUP($K17,'Threshold Summary'!$Y:$Y,'Threshold Summary'!$L:$L,""))/100)+5)*XLOOKUP(XLOOKUP($K17,'Threshold Summary'!$Y:$Y,'Threshold Summary'!$M:$M,""),'Nature Editor'!$A:$A,'Nature Editor'!$B:$B,1)),FLOOR((FLOOR(((2*XLOOKUP(XLOOKUP($K17,'Threshold Summary'!$Y:$Y,'Threshold Summary'!$K:$K,""),'Pokemon Editor'!$A:$A,'Pokemon Editor'!$H:$H,0)+31+FLOOR(XLOOKUP($K17,'Threshold Summary'!$Y:$Y,'Threshold Summary'!$R:$R,"")/4))*XLOOKUP($K17,'Threshold Summary'!$Y:$Y,'Threshold Summary'!$L:$L,""))/100)+5)*XLOOKUP(XLOOKUP($K17,'Threshold Summary'!$Y:$Y,'Threshold Summary'!$M:$M,""),'Nature Editor'!$A:$A,'Nature Editor'!$D:$D,1))),def,IF(cat="Physical",FLOOR((FLOOR(((2*XLOOKUP($L17,'Pokemon Editor'!$A:$A,'Pokemon Editor'!$G:$G,0)+31+FLOOR(XLOOKUP($L17,'Boss Editor'!$C:$C,'Boss Editor'!$I:$I,"")/4))*XLOOKUP($L17,'Boss Editor'!$C:$C,'Boss Editor'!$D:$D,""))/100)+5)*XLOOKUP(XLOOKUP($L17,'Boss Editor'!$C:$C,'Boss Editor'!$E:$E,""),'Nature Editor'!$A:$A,'Nature Editor'!$C:$C,1)),FLOOR((FLOOR(((2*XLOOKUP($L17,'Pokemon Editor'!$A:$A,'Pokemon Editor'!$I:$I,0)+31+FLOOR(XLOOKUP($L17,'Boss Editor'!$C:$C,'Boss Editor'!$K:$K,"")/4))*XLOOKUP($L17,'Boss Editor'!$C:$C,'Boss Editor'!$D:$D,""))/100)+5)*XLOOKUP(XLOOKUP($L17,'Boss Editor'!$C:$C,'Boss Editor'!$E:$E,""),'Nature Editor'!$A:$A,'Nature Editor'!$E:$E,1))),stab,IF(OR(mtype=XLOOKUP(XLOOKUP($K17,'Threshold Summary'!$Y:$Y,'Threshold Summary'!$K:$K,""),'Pokemon Editor'!$A:$A,'Pokemon Editor'!$C:$C,""),mtype=XLOOKUP(XLOOKUP($K17,'Threshold Summary'!$Y:$Y,'Threshold Summary'!$K:$K,""),'Pokemon Editor'!$A:$A,'Pokemon Editor'!$D:$D,"")),1.5,1),eff,(INDEX('Type Chart'!$B:$S,MATCH(mtype,'Type Chart'!$A:$A,0),MATCH(XLOOKUP($L17,'Pokemon Editor'!$A:$A,'Pokemon Editor'!$C:$C,""),'Type Chart'!$B$1:$S$1,0))*IF(XLOOKUP($L17,'Pokemon Editor'!$A:$A,'Pokemon Editor'!$D:$D,"")="",1,INDEX('Type Chart'!$B:$S,MATCH(mtype,'Type Chart'!$A:$A,0),MATCH(XLOOKUP($L17,'Pokemon Editor'!$A:$A,'Pokemon Editor'!$D:$D,""),'Type Chart'!$B$1:$S$1,0)))),base,IF(OR(cat="Status",pow=0),0,FLOOR(FLOOR(FLOOR((2*XLOOKUP($K17,'Threshold Summary'!$Y:$Y,'Threshold Summary'!$L:$L,"")/5+2)*pow*atk/def)/50)+2)),modifier,stab*eff,AVERAGE(ARRAYFORMULA(FLOOR(base*modifier*SEQUENCE(16,1,85,1)/100)))),0)</f>
        <v/>
      </c>
      <c r="I17" s="4">
        <f>IFERROR(LET(mtype,XLOOKUP($D17,'Move Editor'!$B:$B,'Move Editor'!$C:$C,""),cat,XLOOKUP($D17,'Move Editor'!$B:$B,'Move Editor'!$D:$D,""),pow,XLOOKUP($D17,'Move Editor'!$B:$B,'Move Editor'!$E:$E,0),acc,XLOOKUP($D17,'Move Editor'!$B:$B,'Move Editor'!$F:$F,100),atk,IF(cat="Physical",FLOOR((FLOOR(((2*XLOOKUP(XLOOKUP($K17,'Threshold Summary'!$Y:$Y,'Threshold Summary'!$K:$K,""),'Pokemon Editor'!$A:$A,'Pokemon Editor'!$F:$F,0)+31+FLOOR(XLOOKUP($K17,'Threshold Summary'!$Y:$Y,'Threshold Summary'!$P:$P,"")/4))*XLOOKUP($K17,'Threshold Summary'!$Y:$Y,'Threshold Summary'!$L:$L,""))/100)+5)*XLOOKUP(XLOOKUP($K17,'Threshold Summary'!$Y:$Y,'Threshold Summary'!$M:$M,""),'Nature Editor'!$A:$A,'Nature Editor'!$B:$B,1)),FLOOR((FLOOR(((2*XLOOKUP(XLOOKUP($K17,'Threshold Summary'!$Y:$Y,'Threshold Summary'!$K:$K,""),'Pokemon Editor'!$A:$A,'Pokemon Editor'!$H:$H,0)+31+FLOOR(XLOOKUP($K17,'Threshold Summary'!$Y:$Y,'Threshold Summary'!$R:$R,"")/4))*XLOOKUP($K17,'Threshold Summary'!$Y:$Y,'Threshold Summary'!$L:$L,""))/100)+5)*XLOOKUP(XLOOKUP($K17,'Threshold Summary'!$Y:$Y,'Threshold Summary'!$M:$M,""),'Nature Editor'!$A:$A,'Nature Editor'!$D:$D,1))),def,IF(cat="Physical",FLOOR((FLOOR(((2*XLOOKUP($L17,'Pokemon Editor'!$A:$A,'Pokemon Editor'!$G:$G,0)+31+FLOOR(XLOOKUP($L17,'Boss Editor'!$C:$C,'Boss Editor'!$I:$I,"")/4))*XLOOKUP($L17,'Boss Editor'!$C:$C,'Boss Editor'!$D:$D,""))/100)+5)*XLOOKUP(XLOOKUP($L17,'Boss Editor'!$C:$C,'Boss Editor'!$E:$E,""),'Nature Editor'!$A:$A,'Nature Editor'!$C:$C,1)),FLOOR((FLOOR(((2*XLOOKUP($L17,'Pokemon Editor'!$A:$A,'Pokemon Editor'!$I:$I,0)+31+FLOOR(XLOOKUP($L17,'Boss Editor'!$C:$C,'Boss Editor'!$K:$K,"")/4))*XLOOKUP($L17,'Boss Editor'!$C:$C,'Boss Editor'!$D:$D,""))/100)+5)*XLOOKUP(XLOOKUP($L17,'Boss Editor'!$C:$C,'Boss Editor'!$E:$E,""),'Nature Editor'!$A:$A,'Nature Editor'!$E:$E,1))),stab,IF(OR(mtype=XLOOKUP(XLOOKUP($K17,'Threshold Summary'!$Y:$Y,'Threshold Summary'!$K:$K,""),'Pokemon Editor'!$A:$A,'Pokemon Editor'!$C:$C,""),mtype=XLOOKUP(XLOOKUP($K17,'Threshold Summary'!$Y:$Y,'Threshold Summary'!$K:$K,""),'Pokemon Editor'!$A:$A,'Pokemon Editor'!$D:$D,"")),1.5,1),eff,(INDEX('Type Chart'!$B:$S,MATCH(mtype,'Type Chart'!$A:$A,0),MATCH(XLOOKUP($L17,'Pokemon Editor'!$A:$A,'Pokemon Editor'!$C:$C,""),'Type Chart'!$B$1:$S$1,0))*IF(XLOOKUP($L17,'Pokemon Editor'!$A:$A,'Pokemon Editor'!$D:$D,"")="",1,INDEX('Type Chart'!$B:$S,MATCH(mtype,'Type Chart'!$A:$A,0),MATCH(XLOOKUP($L17,'Pokemon Editor'!$A:$A,'Pokemon Editor'!$D:$D,""),'Type Chart'!$B$1:$S$1,0)))),base,IF(OR(cat="Status",pow=0),0,FLOOR(FLOOR(FLOOR((2*XLOOKUP($K17,'Threshold Summary'!$Y:$Y,'Threshold Summary'!$L:$L,"")/5+2)*pow*atk/def)/50)+2)),modifier,stab*eff,AVERAGE(ARRAYFORMULA(FLOOR(base*modifier*SEQUENCE(16,1,85,1)/100)))/(FLOOR(((2*XLOOKUP($L17,'Pokemon Editor'!$A:$A,'Pokemon Editor'!$E:$E,0)+31+FLOOR(XLOOKUP($L17,'Boss Editor'!$C:$C,'Boss Editor'!$G:$G,"")/4))*XLOOKUP($L17,'Boss Editor'!$C:$C,'Boss Editor'!$D:$D,""))/100)+XLOOKUP($L17,'Boss Editor'!$C:$C,'Boss Editor'!$D:$D,"")+10)),0)</f>
        <v/>
      </c>
      <c r="J17" s="3">
        <f>IF(I17&gt;=1,"OHKO",IF(I17&gt;=0.5,"2HKO",IF(I17&gt;=0.333,"3HKO",IF(I17&gt;=0.25,"4HKO","5HKO+"))))</f>
        <v/>
      </c>
      <c r="K17" s="3" t="inlineStr">
        <is>
          <t>SPECIES_MUDKIP</t>
        </is>
      </c>
      <c r="L17" s="3" t="inlineStr">
        <is>
          <t>SPECIES_TIRTOUGA</t>
        </is>
      </c>
    </row>
    <row r="18">
      <c r="A18" s="3">
        <f>XLOOKUP($K18,'Threshold Summary'!$Y:$Y,'Threshold Summary'!$A:$A,"")</f>
        <v/>
      </c>
      <c r="B18" s="3" t="inlineStr">
        <is>
          <t>Anorith</t>
        </is>
      </c>
      <c r="C18" s="3">
        <f>XLOOKUP($L18,'Boss Editor'!$C:$C,'Boss Editor'!$D:$D,"")</f>
        <v/>
      </c>
      <c r="D18" s="3">
        <f>XLOOKUP($K18,'Threshold Summary'!$Y:$Y,'Threshold Summary'!$B:$B,"")</f>
        <v/>
      </c>
      <c r="E18" s="3">
        <f>XLOOKUP(D18,'Move Editor'!$B:$B,'Move Editor'!$C:$C,"")</f>
        <v/>
      </c>
      <c r="F18" s="3">
        <f>IFERROR(LET(mtype,XLOOKUP($D18,'Move Editor'!$B:$B,'Move Editor'!$C:$C,""),cat,XLOOKUP($D18,'Move Editor'!$B:$B,'Move Editor'!$D:$D,""),pow,XLOOKUP($D18,'Move Editor'!$B:$B,'Move Editor'!$E:$E,0),acc,XLOOKUP($D18,'Move Editor'!$B:$B,'Move Editor'!$F:$F,100),atk,IF(cat="Physical",FLOOR((FLOOR(((2*XLOOKUP(XLOOKUP($K18,'Threshold Summary'!$Y:$Y,'Threshold Summary'!$K:$K,""),'Pokemon Editor'!$A:$A,'Pokemon Editor'!$F:$F,0)+31+FLOOR(XLOOKUP($K18,'Threshold Summary'!$Y:$Y,'Threshold Summary'!$P:$P,"")/4))*XLOOKUP($K18,'Threshold Summary'!$Y:$Y,'Threshold Summary'!$L:$L,""))/100)+5)*XLOOKUP(XLOOKUP($K18,'Threshold Summary'!$Y:$Y,'Threshold Summary'!$M:$M,""),'Nature Editor'!$A:$A,'Nature Editor'!$B:$B,1)),FLOOR((FLOOR(((2*XLOOKUP(XLOOKUP($K18,'Threshold Summary'!$Y:$Y,'Threshold Summary'!$K:$K,""),'Pokemon Editor'!$A:$A,'Pokemon Editor'!$H:$H,0)+31+FLOOR(XLOOKUP($K18,'Threshold Summary'!$Y:$Y,'Threshold Summary'!$R:$R,"")/4))*XLOOKUP($K18,'Threshold Summary'!$Y:$Y,'Threshold Summary'!$L:$L,""))/100)+5)*XLOOKUP(XLOOKUP($K18,'Threshold Summary'!$Y:$Y,'Threshold Summary'!$M:$M,""),'Nature Editor'!$A:$A,'Nature Editor'!$D:$D,1))),def,IF(cat="Physical",FLOOR((FLOOR(((2*XLOOKUP($L18,'Pokemon Editor'!$A:$A,'Pokemon Editor'!$G:$G,0)+31+FLOOR(XLOOKUP($L18,'Boss Editor'!$C:$C,'Boss Editor'!$I:$I,"")/4))*XLOOKUP($L18,'Boss Editor'!$C:$C,'Boss Editor'!$D:$D,""))/100)+5)*XLOOKUP(XLOOKUP($L18,'Boss Editor'!$C:$C,'Boss Editor'!$E:$E,""),'Nature Editor'!$A:$A,'Nature Editor'!$C:$C,1)),FLOOR((FLOOR(((2*XLOOKUP($L18,'Pokemon Editor'!$A:$A,'Pokemon Editor'!$I:$I,0)+31+FLOOR(XLOOKUP($L18,'Boss Editor'!$C:$C,'Boss Editor'!$K:$K,"")/4))*XLOOKUP($L18,'Boss Editor'!$C:$C,'Boss Editor'!$D:$D,""))/100)+5)*XLOOKUP(XLOOKUP($L18,'Boss Editor'!$C:$C,'Boss Editor'!$E:$E,""),'Nature Editor'!$A:$A,'Nature Editor'!$E:$E,1))),stab,IF(OR(mtype=XLOOKUP(XLOOKUP($K18,'Threshold Summary'!$Y:$Y,'Threshold Summary'!$K:$K,""),'Pokemon Editor'!$A:$A,'Pokemon Editor'!$C:$C,""),mtype=XLOOKUP(XLOOKUP($K18,'Threshold Summary'!$Y:$Y,'Threshold Summary'!$K:$K,""),'Pokemon Editor'!$A:$A,'Pokemon Editor'!$D:$D,"")),1.5,1),eff,(INDEX('Type Chart'!$B:$S,MATCH(mtype,'Type Chart'!$A:$A,0),MATCH(XLOOKUP($L18,'Pokemon Editor'!$A:$A,'Pokemon Editor'!$C:$C,""),'Type Chart'!$B$1:$S$1,0))*IF(XLOOKUP($L18,'Pokemon Editor'!$A:$A,'Pokemon Editor'!$D:$D,"")="",1,INDEX('Type Chart'!$B:$S,MATCH(mtype,'Type Chart'!$A:$A,0),MATCH(XLOOKUP($L18,'Pokemon Editor'!$A:$A,'Pokemon Editor'!$D:$D,""),'Type Chart'!$B$1:$S$1,0)))),base,IF(OR(cat="Status",pow=0),0,FLOOR(FLOOR(FLOOR((2*XLOOKUP($K18,'Threshold Summary'!$Y:$Y,'Threshold Summary'!$L:$L,"")/5+2)*pow*atk/def)/50)+2)),modifier,stab*eff,FLOOR(base*modifier*0.85)),0)</f>
        <v/>
      </c>
      <c r="G18" s="3">
        <f>IFERROR(LET(mtype,XLOOKUP($D18,'Move Editor'!$B:$B,'Move Editor'!$C:$C,""),cat,XLOOKUP($D18,'Move Editor'!$B:$B,'Move Editor'!$D:$D,""),pow,XLOOKUP($D18,'Move Editor'!$B:$B,'Move Editor'!$E:$E,0),acc,XLOOKUP($D18,'Move Editor'!$B:$B,'Move Editor'!$F:$F,100),atk,IF(cat="Physical",FLOOR((FLOOR(((2*XLOOKUP(XLOOKUP($K18,'Threshold Summary'!$Y:$Y,'Threshold Summary'!$K:$K,""),'Pokemon Editor'!$A:$A,'Pokemon Editor'!$F:$F,0)+31+FLOOR(XLOOKUP($K18,'Threshold Summary'!$Y:$Y,'Threshold Summary'!$P:$P,"")/4))*XLOOKUP($K18,'Threshold Summary'!$Y:$Y,'Threshold Summary'!$L:$L,""))/100)+5)*XLOOKUP(XLOOKUP($K18,'Threshold Summary'!$Y:$Y,'Threshold Summary'!$M:$M,""),'Nature Editor'!$A:$A,'Nature Editor'!$B:$B,1)),FLOOR((FLOOR(((2*XLOOKUP(XLOOKUP($K18,'Threshold Summary'!$Y:$Y,'Threshold Summary'!$K:$K,""),'Pokemon Editor'!$A:$A,'Pokemon Editor'!$H:$H,0)+31+FLOOR(XLOOKUP($K18,'Threshold Summary'!$Y:$Y,'Threshold Summary'!$R:$R,"")/4))*XLOOKUP($K18,'Threshold Summary'!$Y:$Y,'Threshold Summary'!$L:$L,""))/100)+5)*XLOOKUP(XLOOKUP($K18,'Threshold Summary'!$Y:$Y,'Threshold Summary'!$M:$M,""),'Nature Editor'!$A:$A,'Nature Editor'!$D:$D,1))),def,IF(cat="Physical",FLOOR((FLOOR(((2*XLOOKUP($L18,'Pokemon Editor'!$A:$A,'Pokemon Editor'!$G:$G,0)+31+FLOOR(XLOOKUP($L18,'Boss Editor'!$C:$C,'Boss Editor'!$I:$I,"")/4))*XLOOKUP($L18,'Boss Editor'!$C:$C,'Boss Editor'!$D:$D,""))/100)+5)*XLOOKUP(XLOOKUP($L18,'Boss Editor'!$C:$C,'Boss Editor'!$E:$E,""),'Nature Editor'!$A:$A,'Nature Editor'!$C:$C,1)),FLOOR((FLOOR(((2*XLOOKUP($L18,'Pokemon Editor'!$A:$A,'Pokemon Editor'!$I:$I,0)+31+FLOOR(XLOOKUP($L18,'Boss Editor'!$C:$C,'Boss Editor'!$K:$K,"")/4))*XLOOKUP($L18,'Boss Editor'!$C:$C,'Boss Editor'!$D:$D,""))/100)+5)*XLOOKUP(XLOOKUP($L18,'Boss Editor'!$C:$C,'Boss Editor'!$E:$E,""),'Nature Editor'!$A:$A,'Nature Editor'!$E:$E,1))),stab,IF(OR(mtype=XLOOKUP(XLOOKUP($K18,'Threshold Summary'!$Y:$Y,'Threshold Summary'!$K:$K,""),'Pokemon Editor'!$A:$A,'Pokemon Editor'!$C:$C,""),mtype=XLOOKUP(XLOOKUP($K18,'Threshold Summary'!$Y:$Y,'Threshold Summary'!$K:$K,""),'Pokemon Editor'!$A:$A,'Pokemon Editor'!$D:$D,"")),1.5,1),eff,(INDEX('Type Chart'!$B:$S,MATCH(mtype,'Type Chart'!$A:$A,0),MATCH(XLOOKUP($L18,'Pokemon Editor'!$A:$A,'Pokemon Editor'!$C:$C,""),'Type Chart'!$B$1:$S$1,0))*IF(XLOOKUP($L18,'Pokemon Editor'!$A:$A,'Pokemon Editor'!$D:$D,"")="",1,INDEX('Type Chart'!$B:$S,MATCH(mtype,'Type Chart'!$A:$A,0),MATCH(XLOOKUP($L18,'Pokemon Editor'!$A:$A,'Pokemon Editor'!$D:$D,""),'Type Chart'!$B$1:$S$1,0)))),base,IF(OR(cat="Status",pow=0),0,FLOOR(FLOOR(FLOOR((2*XLOOKUP($K18,'Threshold Summary'!$Y:$Y,'Threshold Summary'!$L:$L,"")/5+2)*pow*atk/def)/50)+2)),modifier,stab*eff,FLOOR(base*modifier)),0)</f>
        <v/>
      </c>
      <c r="H18" s="3">
        <f>IFERROR(LET(mtype,XLOOKUP($D18,'Move Editor'!$B:$B,'Move Editor'!$C:$C,""),cat,XLOOKUP($D18,'Move Editor'!$B:$B,'Move Editor'!$D:$D,""),pow,XLOOKUP($D18,'Move Editor'!$B:$B,'Move Editor'!$E:$E,0),acc,XLOOKUP($D18,'Move Editor'!$B:$B,'Move Editor'!$F:$F,100),atk,IF(cat="Physical",FLOOR((FLOOR(((2*XLOOKUP(XLOOKUP($K18,'Threshold Summary'!$Y:$Y,'Threshold Summary'!$K:$K,""),'Pokemon Editor'!$A:$A,'Pokemon Editor'!$F:$F,0)+31+FLOOR(XLOOKUP($K18,'Threshold Summary'!$Y:$Y,'Threshold Summary'!$P:$P,"")/4))*XLOOKUP($K18,'Threshold Summary'!$Y:$Y,'Threshold Summary'!$L:$L,""))/100)+5)*XLOOKUP(XLOOKUP($K18,'Threshold Summary'!$Y:$Y,'Threshold Summary'!$M:$M,""),'Nature Editor'!$A:$A,'Nature Editor'!$B:$B,1)),FLOOR((FLOOR(((2*XLOOKUP(XLOOKUP($K18,'Threshold Summary'!$Y:$Y,'Threshold Summary'!$K:$K,""),'Pokemon Editor'!$A:$A,'Pokemon Editor'!$H:$H,0)+31+FLOOR(XLOOKUP($K18,'Threshold Summary'!$Y:$Y,'Threshold Summary'!$R:$R,"")/4))*XLOOKUP($K18,'Threshold Summary'!$Y:$Y,'Threshold Summary'!$L:$L,""))/100)+5)*XLOOKUP(XLOOKUP($K18,'Threshold Summary'!$Y:$Y,'Threshold Summary'!$M:$M,""),'Nature Editor'!$A:$A,'Nature Editor'!$D:$D,1))),def,IF(cat="Physical",FLOOR((FLOOR(((2*XLOOKUP($L18,'Pokemon Editor'!$A:$A,'Pokemon Editor'!$G:$G,0)+31+FLOOR(XLOOKUP($L18,'Boss Editor'!$C:$C,'Boss Editor'!$I:$I,"")/4))*XLOOKUP($L18,'Boss Editor'!$C:$C,'Boss Editor'!$D:$D,""))/100)+5)*XLOOKUP(XLOOKUP($L18,'Boss Editor'!$C:$C,'Boss Editor'!$E:$E,""),'Nature Editor'!$A:$A,'Nature Editor'!$C:$C,1)),FLOOR((FLOOR(((2*XLOOKUP($L18,'Pokemon Editor'!$A:$A,'Pokemon Editor'!$I:$I,0)+31+FLOOR(XLOOKUP($L18,'Boss Editor'!$C:$C,'Boss Editor'!$K:$K,"")/4))*XLOOKUP($L18,'Boss Editor'!$C:$C,'Boss Editor'!$D:$D,""))/100)+5)*XLOOKUP(XLOOKUP($L18,'Boss Editor'!$C:$C,'Boss Editor'!$E:$E,""),'Nature Editor'!$A:$A,'Nature Editor'!$E:$E,1))),stab,IF(OR(mtype=XLOOKUP(XLOOKUP($K18,'Threshold Summary'!$Y:$Y,'Threshold Summary'!$K:$K,""),'Pokemon Editor'!$A:$A,'Pokemon Editor'!$C:$C,""),mtype=XLOOKUP(XLOOKUP($K18,'Threshold Summary'!$Y:$Y,'Threshold Summary'!$K:$K,""),'Pokemon Editor'!$A:$A,'Pokemon Editor'!$D:$D,"")),1.5,1),eff,(INDEX('Type Chart'!$B:$S,MATCH(mtype,'Type Chart'!$A:$A,0),MATCH(XLOOKUP($L18,'Pokemon Editor'!$A:$A,'Pokemon Editor'!$C:$C,""),'Type Chart'!$B$1:$S$1,0))*IF(XLOOKUP($L18,'Pokemon Editor'!$A:$A,'Pokemon Editor'!$D:$D,"")="",1,INDEX('Type Chart'!$B:$S,MATCH(mtype,'Type Chart'!$A:$A,0),MATCH(XLOOKUP($L18,'Pokemon Editor'!$A:$A,'Pokemon Editor'!$D:$D,""),'Type Chart'!$B$1:$S$1,0)))),base,IF(OR(cat="Status",pow=0),0,FLOOR(FLOOR(FLOOR((2*XLOOKUP($K18,'Threshold Summary'!$Y:$Y,'Threshold Summary'!$L:$L,"")/5+2)*pow*atk/def)/50)+2)),modifier,stab*eff,AVERAGE(ARRAYFORMULA(FLOOR(base*modifier*SEQUENCE(16,1,85,1)/100)))),0)</f>
        <v/>
      </c>
      <c r="I18" s="4">
        <f>IFERROR(LET(mtype,XLOOKUP($D18,'Move Editor'!$B:$B,'Move Editor'!$C:$C,""),cat,XLOOKUP($D18,'Move Editor'!$B:$B,'Move Editor'!$D:$D,""),pow,XLOOKUP($D18,'Move Editor'!$B:$B,'Move Editor'!$E:$E,0),acc,XLOOKUP($D18,'Move Editor'!$B:$B,'Move Editor'!$F:$F,100),atk,IF(cat="Physical",FLOOR((FLOOR(((2*XLOOKUP(XLOOKUP($K18,'Threshold Summary'!$Y:$Y,'Threshold Summary'!$K:$K,""),'Pokemon Editor'!$A:$A,'Pokemon Editor'!$F:$F,0)+31+FLOOR(XLOOKUP($K18,'Threshold Summary'!$Y:$Y,'Threshold Summary'!$P:$P,"")/4))*XLOOKUP($K18,'Threshold Summary'!$Y:$Y,'Threshold Summary'!$L:$L,""))/100)+5)*XLOOKUP(XLOOKUP($K18,'Threshold Summary'!$Y:$Y,'Threshold Summary'!$M:$M,""),'Nature Editor'!$A:$A,'Nature Editor'!$B:$B,1)),FLOOR((FLOOR(((2*XLOOKUP(XLOOKUP($K18,'Threshold Summary'!$Y:$Y,'Threshold Summary'!$K:$K,""),'Pokemon Editor'!$A:$A,'Pokemon Editor'!$H:$H,0)+31+FLOOR(XLOOKUP($K18,'Threshold Summary'!$Y:$Y,'Threshold Summary'!$R:$R,"")/4))*XLOOKUP($K18,'Threshold Summary'!$Y:$Y,'Threshold Summary'!$L:$L,""))/100)+5)*XLOOKUP(XLOOKUP($K18,'Threshold Summary'!$Y:$Y,'Threshold Summary'!$M:$M,""),'Nature Editor'!$A:$A,'Nature Editor'!$D:$D,1))),def,IF(cat="Physical",FLOOR((FLOOR(((2*XLOOKUP($L18,'Pokemon Editor'!$A:$A,'Pokemon Editor'!$G:$G,0)+31+FLOOR(XLOOKUP($L18,'Boss Editor'!$C:$C,'Boss Editor'!$I:$I,"")/4))*XLOOKUP($L18,'Boss Editor'!$C:$C,'Boss Editor'!$D:$D,""))/100)+5)*XLOOKUP(XLOOKUP($L18,'Boss Editor'!$C:$C,'Boss Editor'!$E:$E,""),'Nature Editor'!$A:$A,'Nature Editor'!$C:$C,1)),FLOOR((FLOOR(((2*XLOOKUP($L18,'Pokemon Editor'!$A:$A,'Pokemon Editor'!$I:$I,0)+31+FLOOR(XLOOKUP($L18,'Boss Editor'!$C:$C,'Boss Editor'!$K:$K,"")/4))*XLOOKUP($L18,'Boss Editor'!$C:$C,'Boss Editor'!$D:$D,""))/100)+5)*XLOOKUP(XLOOKUP($L18,'Boss Editor'!$C:$C,'Boss Editor'!$E:$E,""),'Nature Editor'!$A:$A,'Nature Editor'!$E:$E,1))),stab,IF(OR(mtype=XLOOKUP(XLOOKUP($K18,'Threshold Summary'!$Y:$Y,'Threshold Summary'!$K:$K,""),'Pokemon Editor'!$A:$A,'Pokemon Editor'!$C:$C,""),mtype=XLOOKUP(XLOOKUP($K18,'Threshold Summary'!$Y:$Y,'Threshold Summary'!$K:$K,""),'Pokemon Editor'!$A:$A,'Pokemon Editor'!$D:$D,"")),1.5,1),eff,(INDEX('Type Chart'!$B:$S,MATCH(mtype,'Type Chart'!$A:$A,0),MATCH(XLOOKUP($L18,'Pokemon Editor'!$A:$A,'Pokemon Editor'!$C:$C,""),'Type Chart'!$B$1:$S$1,0))*IF(XLOOKUP($L18,'Pokemon Editor'!$A:$A,'Pokemon Editor'!$D:$D,"")="",1,INDEX('Type Chart'!$B:$S,MATCH(mtype,'Type Chart'!$A:$A,0),MATCH(XLOOKUP($L18,'Pokemon Editor'!$A:$A,'Pokemon Editor'!$D:$D,""),'Type Chart'!$B$1:$S$1,0)))),base,IF(OR(cat="Status",pow=0),0,FLOOR(FLOOR(FLOOR((2*XLOOKUP($K18,'Threshold Summary'!$Y:$Y,'Threshold Summary'!$L:$L,"")/5+2)*pow*atk/def)/50)+2)),modifier,stab*eff,AVERAGE(ARRAYFORMULA(FLOOR(base*modifier*SEQUENCE(16,1,85,1)/100)))/(FLOOR(((2*XLOOKUP($L18,'Pokemon Editor'!$A:$A,'Pokemon Editor'!$E:$E,0)+31+FLOOR(XLOOKUP($L18,'Boss Editor'!$C:$C,'Boss Editor'!$G:$G,"")/4))*XLOOKUP($L18,'Boss Editor'!$C:$C,'Boss Editor'!$D:$D,""))/100)+XLOOKUP($L18,'Boss Editor'!$C:$C,'Boss Editor'!$D:$D,"")+10)),0)</f>
        <v/>
      </c>
      <c r="J18" s="3">
        <f>IF(I18&gt;=1,"OHKO",IF(I18&gt;=0.5,"2HKO",IF(I18&gt;=0.333,"3HKO",IF(I18&gt;=0.25,"4HKO","5HKO+"))))</f>
        <v/>
      </c>
      <c r="K18" s="3" t="inlineStr">
        <is>
          <t>SPECIES_MUDKIP</t>
        </is>
      </c>
      <c r="L18" s="3" t="inlineStr">
        <is>
          <t>SPECIES_ANORITH</t>
        </is>
      </c>
    </row>
    <row r="19">
      <c r="A19" s="3">
        <f>XLOOKUP($K19,'Threshold Summary'!$Y:$Y,'Threshold Summary'!$A:$A,"")</f>
        <v/>
      </c>
      <c r="B19" s="3" t="inlineStr">
        <is>
          <t>Lileep</t>
        </is>
      </c>
      <c r="C19" s="3">
        <f>XLOOKUP($L19,'Boss Editor'!$C:$C,'Boss Editor'!$D:$D,"")</f>
        <v/>
      </c>
      <c r="D19" s="3">
        <f>XLOOKUP($K19,'Threshold Summary'!$Y:$Y,'Threshold Summary'!$B:$B,"")</f>
        <v/>
      </c>
      <c r="E19" s="3">
        <f>XLOOKUP(D19,'Move Editor'!$B:$B,'Move Editor'!$C:$C,"")</f>
        <v/>
      </c>
      <c r="F19" s="3">
        <f>IFERROR(LET(mtype,XLOOKUP($D19,'Move Editor'!$B:$B,'Move Editor'!$C:$C,""),cat,XLOOKUP($D19,'Move Editor'!$B:$B,'Move Editor'!$D:$D,""),pow,XLOOKUP($D19,'Move Editor'!$B:$B,'Move Editor'!$E:$E,0),acc,XLOOKUP($D19,'Move Editor'!$B:$B,'Move Editor'!$F:$F,100),atk,IF(cat="Physical",FLOOR((FLOOR(((2*XLOOKUP(XLOOKUP($K19,'Threshold Summary'!$Y:$Y,'Threshold Summary'!$K:$K,""),'Pokemon Editor'!$A:$A,'Pokemon Editor'!$F:$F,0)+31+FLOOR(XLOOKUP($K19,'Threshold Summary'!$Y:$Y,'Threshold Summary'!$P:$P,"")/4))*XLOOKUP($K19,'Threshold Summary'!$Y:$Y,'Threshold Summary'!$L:$L,""))/100)+5)*XLOOKUP(XLOOKUP($K19,'Threshold Summary'!$Y:$Y,'Threshold Summary'!$M:$M,""),'Nature Editor'!$A:$A,'Nature Editor'!$B:$B,1)),FLOOR((FLOOR(((2*XLOOKUP(XLOOKUP($K19,'Threshold Summary'!$Y:$Y,'Threshold Summary'!$K:$K,""),'Pokemon Editor'!$A:$A,'Pokemon Editor'!$H:$H,0)+31+FLOOR(XLOOKUP($K19,'Threshold Summary'!$Y:$Y,'Threshold Summary'!$R:$R,"")/4))*XLOOKUP($K19,'Threshold Summary'!$Y:$Y,'Threshold Summary'!$L:$L,""))/100)+5)*XLOOKUP(XLOOKUP($K19,'Threshold Summary'!$Y:$Y,'Threshold Summary'!$M:$M,""),'Nature Editor'!$A:$A,'Nature Editor'!$D:$D,1))),def,IF(cat="Physical",FLOOR((FLOOR(((2*XLOOKUP($L19,'Pokemon Editor'!$A:$A,'Pokemon Editor'!$G:$G,0)+31+FLOOR(XLOOKUP($L19,'Boss Editor'!$C:$C,'Boss Editor'!$I:$I,"")/4))*XLOOKUP($L19,'Boss Editor'!$C:$C,'Boss Editor'!$D:$D,""))/100)+5)*XLOOKUP(XLOOKUP($L19,'Boss Editor'!$C:$C,'Boss Editor'!$E:$E,""),'Nature Editor'!$A:$A,'Nature Editor'!$C:$C,1)),FLOOR((FLOOR(((2*XLOOKUP($L19,'Pokemon Editor'!$A:$A,'Pokemon Editor'!$I:$I,0)+31+FLOOR(XLOOKUP($L19,'Boss Editor'!$C:$C,'Boss Editor'!$K:$K,"")/4))*XLOOKUP($L19,'Boss Editor'!$C:$C,'Boss Editor'!$D:$D,""))/100)+5)*XLOOKUP(XLOOKUP($L19,'Boss Editor'!$C:$C,'Boss Editor'!$E:$E,""),'Nature Editor'!$A:$A,'Nature Editor'!$E:$E,1))),stab,IF(OR(mtype=XLOOKUP(XLOOKUP($K19,'Threshold Summary'!$Y:$Y,'Threshold Summary'!$K:$K,""),'Pokemon Editor'!$A:$A,'Pokemon Editor'!$C:$C,""),mtype=XLOOKUP(XLOOKUP($K19,'Threshold Summary'!$Y:$Y,'Threshold Summary'!$K:$K,""),'Pokemon Editor'!$A:$A,'Pokemon Editor'!$D:$D,"")),1.5,1),eff,(INDEX('Type Chart'!$B:$S,MATCH(mtype,'Type Chart'!$A:$A,0),MATCH(XLOOKUP($L19,'Pokemon Editor'!$A:$A,'Pokemon Editor'!$C:$C,""),'Type Chart'!$B$1:$S$1,0))*IF(XLOOKUP($L19,'Pokemon Editor'!$A:$A,'Pokemon Editor'!$D:$D,"")="",1,INDEX('Type Chart'!$B:$S,MATCH(mtype,'Type Chart'!$A:$A,0),MATCH(XLOOKUP($L19,'Pokemon Editor'!$A:$A,'Pokemon Editor'!$D:$D,""),'Type Chart'!$B$1:$S$1,0)))),base,IF(OR(cat="Status",pow=0),0,FLOOR(FLOOR(FLOOR((2*XLOOKUP($K19,'Threshold Summary'!$Y:$Y,'Threshold Summary'!$L:$L,"")/5+2)*pow*atk/def)/50)+2)),modifier,stab*eff,FLOOR(base*modifier*0.85)),0)</f>
        <v/>
      </c>
      <c r="G19" s="3">
        <f>IFERROR(LET(mtype,XLOOKUP($D19,'Move Editor'!$B:$B,'Move Editor'!$C:$C,""),cat,XLOOKUP($D19,'Move Editor'!$B:$B,'Move Editor'!$D:$D,""),pow,XLOOKUP($D19,'Move Editor'!$B:$B,'Move Editor'!$E:$E,0),acc,XLOOKUP($D19,'Move Editor'!$B:$B,'Move Editor'!$F:$F,100),atk,IF(cat="Physical",FLOOR((FLOOR(((2*XLOOKUP(XLOOKUP($K19,'Threshold Summary'!$Y:$Y,'Threshold Summary'!$K:$K,""),'Pokemon Editor'!$A:$A,'Pokemon Editor'!$F:$F,0)+31+FLOOR(XLOOKUP($K19,'Threshold Summary'!$Y:$Y,'Threshold Summary'!$P:$P,"")/4))*XLOOKUP($K19,'Threshold Summary'!$Y:$Y,'Threshold Summary'!$L:$L,""))/100)+5)*XLOOKUP(XLOOKUP($K19,'Threshold Summary'!$Y:$Y,'Threshold Summary'!$M:$M,""),'Nature Editor'!$A:$A,'Nature Editor'!$B:$B,1)),FLOOR((FLOOR(((2*XLOOKUP(XLOOKUP($K19,'Threshold Summary'!$Y:$Y,'Threshold Summary'!$K:$K,""),'Pokemon Editor'!$A:$A,'Pokemon Editor'!$H:$H,0)+31+FLOOR(XLOOKUP($K19,'Threshold Summary'!$Y:$Y,'Threshold Summary'!$R:$R,"")/4))*XLOOKUP($K19,'Threshold Summary'!$Y:$Y,'Threshold Summary'!$L:$L,""))/100)+5)*XLOOKUP(XLOOKUP($K19,'Threshold Summary'!$Y:$Y,'Threshold Summary'!$M:$M,""),'Nature Editor'!$A:$A,'Nature Editor'!$D:$D,1))),def,IF(cat="Physical",FLOOR((FLOOR(((2*XLOOKUP($L19,'Pokemon Editor'!$A:$A,'Pokemon Editor'!$G:$G,0)+31+FLOOR(XLOOKUP($L19,'Boss Editor'!$C:$C,'Boss Editor'!$I:$I,"")/4))*XLOOKUP($L19,'Boss Editor'!$C:$C,'Boss Editor'!$D:$D,""))/100)+5)*XLOOKUP(XLOOKUP($L19,'Boss Editor'!$C:$C,'Boss Editor'!$E:$E,""),'Nature Editor'!$A:$A,'Nature Editor'!$C:$C,1)),FLOOR((FLOOR(((2*XLOOKUP($L19,'Pokemon Editor'!$A:$A,'Pokemon Editor'!$I:$I,0)+31+FLOOR(XLOOKUP($L19,'Boss Editor'!$C:$C,'Boss Editor'!$K:$K,"")/4))*XLOOKUP($L19,'Boss Editor'!$C:$C,'Boss Editor'!$D:$D,""))/100)+5)*XLOOKUP(XLOOKUP($L19,'Boss Editor'!$C:$C,'Boss Editor'!$E:$E,""),'Nature Editor'!$A:$A,'Nature Editor'!$E:$E,1))),stab,IF(OR(mtype=XLOOKUP(XLOOKUP($K19,'Threshold Summary'!$Y:$Y,'Threshold Summary'!$K:$K,""),'Pokemon Editor'!$A:$A,'Pokemon Editor'!$C:$C,""),mtype=XLOOKUP(XLOOKUP($K19,'Threshold Summary'!$Y:$Y,'Threshold Summary'!$K:$K,""),'Pokemon Editor'!$A:$A,'Pokemon Editor'!$D:$D,"")),1.5,1),eff,(INDEX('Type Chart'!$B:$S,MATCH(mtype,'Type Chart'!$A:$A,0),MATCH(XLOOKUP($L19,'Pokemon Editor'!$A:$A,'Pokemon Editor'!$C:$C,""),'Type Chart'!$B$1:$S$1,0))*IF(XLOOKUP($L19,'Pokemon Editor'!$A:$A,'Pokemon Editor'!$D:$D,"")="",1,INDEX('Type Chart'!$B:$S,MATCH(mtype,'Type Chart'!$A:$A,0),MATCH(XLOOKUP($L19,'Pokemon Editor'!$A:$A,'Pokemon Editor'!$D:$D,""),'Type Chart'!$B$1:$S$1,0)))),base,IF(OR(cat="Status",pow=0),0,FLOOR(FLOOR(FLOOR((2*XLOOKUP($K19,'Threshold Summary'!$Y:$Y,'Threshold Summary'!$L:$L,"")/5+2)*pow*atk/def)/50)+2)),modifier,stab*eff,FLOOR(base*modifier)),0)</f>
        <v/>
      </c>
      <c r="H19" s="3">
        <f>IFERROR(LET(mtype,XLOOKUP($D19,'Move Editor'!$B:$B,'Move Editor'!$C:$C,""),cat,XLOOKUP($D19,'Move Editor'!$B:$B,'Move Editor'!$D:$D,""),pow,XLOOKUP($D19,'Move Editor'!$B:$B,'Move Editor'!$E:$E,0),acc,XLOOKUP($D19,'Move Editor'!$B:$B,'Move Editor'!$F:$F,100),atk,IF(cat="Physical",FLOOR((FLOOR(((2*XLOOKUP(XLOOKUP($K19,'Threshold Summary'!$Y:$Y,'Threshold Summary'!$K:$K,""),'Pokemon Editor'!$A:$A,'Pokemon Editor'!$F:$F,0)+31+FLOOR(XLOOKUP($K19,'Threshold Summary'!$Y:$Y,'Threshold Summary'!$P:$P,"")/4))*XLOOKUP($K19,'Threshold Summary'!$Y:$Y,'Threshold Summary'!$L:$L,""))/100)+5)*XLOOKUP(XLOOKUP($K19,'Threshold Summary'!$Y:$Y,'Threshold Summary'!$M:$M,""),'Nature Editor'!$A:$A,'Nature Editor'!$B:$B,1)),FLOOR((FLOOR(((2*XLOOKUP(XLOOKUP($K19,'Threshold Summary'!$Y:$Y,'Threshold Summary'!$K:$K,""),'Pokemon Editor'!$A:$A,'Pokemon Editor'!$H:$H,0)+31+FLOOR(XLOOKUP($K19,'Threshold Summary'!$Y:$Y,'Threshold Summary'!$R:$R,"")/4))*XLOOKUP($K19,'Threshold Summary'!$Y:$Y,'Threshold Summary'!$L:$L,""))/100)+5)*XLOOKUP(XLOOKUP($K19,'Threshold Summary'!$Y:$Y,'Threshold Summary'!$M:$M,""),'Nature Editor'!$A:$A,'Nature Editor'!$D:$D,1))),def,IF(cat="Physical",FLOOR((FLOOR(((2*XLOOKUP($L19,'Pokemon Editor'!$A:$A,'Pokemon Editor'!$G:$G,0)+31+FLOOR(XLOOKUP($L19,'Boss Editor'!$C:$C,'Boss Editor'!$I:$I,"")/4))*XLOOKUP($L19,'Boss Editor'!$C:$C,'Boss Editor'!$D:$D,""))/100)+5)*XLOOKUP(XLOOKUP($L19,'Boss Editor'!$C:$C,'Boss Editor'!$E:$E,""),'Nature Editor'!$A:$A,'Nature Editor'!$C:$C,1)),FLOOR((FLOOR(((2*XLOOKUP($L19,'Pokemon Editor'!$A:$A,'Pokemon Editor'!$I:$I,0)+31+FLOOR(XLOOKUP($L19,'Boss Editor'!$C:$C,'Boss Editor'!$K:$K,"")/4))*XLOOKUP($L19,'Boss Editor'!$C:$C,'Boss Editor'!$D:$D,""))/100)+5)*XLOOKUP(XLOOKUP($L19,'Boss Editor'!$C:$C,'Boss Editor'!$E:$E,""),'Nature Editor'!$A:$A,'Nature Editor'!$E:$E,1))),stab,IF(OR(mtype=XLOOKUP(XLOOKUP($K19,'Threshold Summary'!$Y:$Y,'Threshold Summary'!$K:$K,""),'Pokemon Editor'!$A:$A,'Pokemon Editor'!$C:$C,""),mtype=XLOOKUP(XLOOKUP($K19,'Threshold Summary'!$Y:$Y,'Threshold Summary'!$K:$K,""),'Pokemon Editor'!$A:$A,'Pokemon Editor'!$D:$D,"")),1.5,1),eff,(INDEX('Type Chart'!$B:$S,MATCH(mtype,'Type Chart'!$A:$A,0),MATCH(XLOOKUP($L19,'Pokemon Editor'!$A:$A,'Pokemon Editor'!$C:$C,""),'Type Chart'!$B$1:$S$1,0))*IF(XLOOKUP($L19,'Pokemon Editor'!$A:$A,'Pokemon Editor'!$D:$D,"")="",1,INDEX('Type Chart'!$B:$S,MATCH(mtype,'Type Chart'!$A:$A,0),MATCH(XLOOKUP($L19,'Pokemon Editor'!$A:$A,'Pokemon Editor'!$D:$D,""),'Type Chart'!$B$1:$S$1,0)))),base,IF(OR(cat="Status",pow=0),0,FLOOR(FLOOR(FLOOR((2*XLOOKUP($K19,'Threshold Summary'!$Y:$Y,'Threshold Summary'!$L:$L,"")/5+2)*pow*atk/def)/50)+2)),modifier,stab*eff,AVERAGE(ARRAYFORMULA(FLOOR(base*modifier*SEQUENCE(16,1,85,1)/100)))),0)</f>
        <v/>
      </c>
      <c r="I19" s="4">
        <f>IFERROR(LET(mtype,XLOOKUP($D19,'Move Editor'!$B:$B,'Move Editor'!$C:$C,""),cat,XLOOKUP($D19,'Move Editor'!$B:$B,'Move Editor'!$D:$D,""),pow,XLOOKUP($D19,'Move Editor'!$B:$B,'Move Editor'!$E:$E,0),acc,XLOOKUP($D19,'Move Editor'!$B:$B,'Move Editor'!$F:$F,100),atk,IF(cat="Physical",FLOOR((FLOOR(((2*XLOOKUP(XLOOKUP($K19,'Threshold Summary'!$Y:$Y,'Threshold Summary'!$K:$K,""),'Pokemon Editor'!$A:$A,'Pokemon Editor'!$F:$F,0)+31+FLOOR(XLOOKUP($K19,'Threshold Summary'!$Y:$Y,'Threshold Summary'!$P:$P,"")/4))*XLOOKUP($K19,'Threshold Summary'!$Y:$Y,'Threshold Summary'!$L:$L,""))/100)+5)*XLOOKUP(XLOOKUP($K19,'Threshold Summary'!$Y:$Y,'Threshold Summary'!$M:$M,""),'Nature Editor'!$A:$A,'Nature Editor'!$B:$B,1)),FLOOR((FLOOR(((2*XLOOKUP(XLOOKUP($K19,'Threshold Summary'!$Y:$Y,'Threshold Summary'!$K:$K,""),'Pokemon Editor'!$A:$A,'Pokemon Editor'!$H:$H,0)+31+FLOOR(XLOOKUP($K19,'Threshold Summary'!$Y:$Y,'Threshold Summary'!$R:$R,"")/4))*XLOOKUP($K19,'Threshold Summary'!$Y:$Y,'Threshold Summary'!$L:$L,""))/100)+5)*XLOOKUP(XLOOKUP($K19,'Threshold Summary'!$Y:$Y,'Threshold Summary'!$M:$M,""),'Nature Editor'!$A:$A,'Nature Editor'!$D:$D,1))),def,IF(cat="Physical",FLOOR((FLOOR(((2*XLOOKUP($L19,'Pokemon Editor'!$A:$A,'Pokemon Editor'!$G:$G,0)+31+FLOOR(XLOOKUP($L19,'Boss Editor'!$C:$C,'Boss Editor'!$I:$I,"")/4))*XLOOKUP($L19,'Boss Editor'!$C:$C,'Boss Editor'!$D:$D,""))/100)+5)*XLOOKUP(XLOOKUP($L19,'Boss Editor'!$C:$C,'Boss Editor'!$E:$E,""),'Nature Editor'!$A:$A,'Nature Editor'!$C:$C,1)),FLOOR((FLOOR(((2*XLOOKUP($L19,'Pokemon Editor'!$A:$A,'Pokemon Editor'!$I:$I,0)+31+FLOOR(XLOOKUP($L19,'Boss Editor'!$C:$C,'Boss Editor'!$K:$K,"")/4))*XLOOKUP($L19,'Boss Editor'!$C:$C,'Boss Editor'!$D:$D,""))/100)+5)*XLOOKUP(XLOOKUP($L19,'Boss Editor'!$C:$C,'Boss Editor'!$E:$E,""),'Nature Editor'!$A:$A,'Nature Editor'!$E:$E,1))),stab,IF(OR(mtype=XLOOKUP(XLOOKUP($K19,'Threshold Summary'!$Y:$Y,'Threshold Summary'!$K:$K,""),'Pokemon Editor'!$A:$A,'Pokemon Editor'!$C:$C,""),mtype=XLOOKUP(XLOOKUP($K19,'Threshold Summary'!$Y:$Y,'Threshold Summary'!$K:$K,""),'Pokemon Editor'!$A:$A,'Pokemon Editor'!$D:$D,"")),1.5,1),eff,(INDEX('Type Chart'!$B:$S,MATCH(mtype,'Type Chart'!$A:$A,0),MATCH(XLOOKUP($L19,'Pokemon Editor'!$A:$A,'Pokemon Editor'!$C:$C,""),'Type Chart'!$B$1:$S$1,0))*IF(XLOOKUP($L19,'Pokemon Editor'!$A:$A,'Pokemon Editor'!$D:$D,"")="",1,INDEX('Type Chart'!$B:$S,MATCH(mtype,'Type Chart'!$A:$A,0),MATCH(XLOOKUP($L19,'Pokemon Editor'!$A:$A,'Pokemon Editor'!$D:$D,""),'Type Chart'!$B$1:$S$1,0)))),base,IF(OR(cat="Status",pow=0),0,FLOOR(FLOOR(FLOOR((2*XLOOKUP($K19,'Threshold Summary'!$Y:$Y,'Threshold Summary'!$L:$L,"")/5+2)*pow*atk/def)/50)+2)),modifier,stab*eff,AVERAGE(ARRAYFORMULA(FLOOR(base*modifier*SEQUENCE(16,1,85,1)/100)))/(FLOOR(((2*XLOOKUP($L19,'Pokemon Editor'!$A:$A,'Pokemon Editor'!$E:$E,0)+31+FLOOR(XLOOKUP($L19,'Boss Editor'!$C:$C,'Boss Editor'!$G:$G,"")/4))*XLOOKUP($L19,'Boss Editor'!$C:$C,'Boss Editor'!$D:$D,""))/100)+XLOOKUP($L19,'Boss Editor'!$C:$C,'Boss Editor'!$D:$D,"")+10)),0)</f>
        <v/>
      </c>
      <c r="J19" s="3">
        <f>IF(I19&gt;=1,"OHKO",IF(I19&gt;=0.5,"2HKO",IF(I19&gt;=0.333,"3HKO",IF(I19&gt;=0.25,"4HKO","5HKO+"))))</f>
        <v/>
      </c>
      <c r="K19" s="3" t="inlineStr">
        <is>
          <t>SPECIES_MUDKIP</t>
        </is>
      </c>
      <c r="L19" s="3" t="inlineStr">
        <is>
          <t>SPECIES_LILEEP</t>
        </is>
      </c>
    </row>
    <row r="20">
      <c r="A20" s="3">
        <f>XLOOKUP($K20,'Threshold Summary'!$Y:$Y,'Threshold Summary'!$A:$A,"")</f>
        <v/>
      </c>
      <c r="B20" s="3" t="inlineStr">
        <is>
          <t>Tirtouga</t>
        </is>
      </c>
      <c r="C20" s="3">
        <f>XLOOKUP($L20,'Boss Editor'!$C:$C,'Boss Editor'!$D:$D,"")</f>
        <v/>
      </c>
      <c r="D20" s="3">
        <f>XLOOKUP($K20,'Threshold Summary'!$Y:$Y,'Threshold Summary'!$B:$B,"")</f>
        <v/>
      </c>
      <c r="E20" s="3">
        <f>XLOOKUP(D20,'Move Editor'!$B:$B,'Move Editor'!$C:$C,"")</f>
        <v/>
      </c>
      <c r="F20" s="3">
        <f>IFERROR(LET(mtype,XLOOKUP($D20,'Move Editor'!$B:$B,'Move Editor'!$C:$C,""),cat,XLOOKUP($D20,'Move Editor'!$B:$B,'Move Editor'!$D:$D,""),pow,XLOOKUP($D20,'Move Editor'!$B:$B,'Move Editor'!$E:$E,0),acc,XLOOKUP($D20,'Move Editor'!$B:$B,'Move Editor'!$F:$F,100),atk,IF(cat="Physical",FLOOR((FLOOR(((2*XLOOKUP(XLOOKUP($K20,'Threshold Summary'!$Y:$Y,'Threshold Summary'!$K:$K,""),'Pokemon Editor'!$A:$A,'Pokemon Editor'!$F:$F,0)+31+FLOOR(XLOOKUP($K20,'Threshold Summary'!$Y:$Y,'Threshold Summary'!$P:$P,"")/4))*XLOOKUP($K20,'Threshold Summary'!$Y:$Y,'Threshold Summary'!$L:$L,""))/100)+5)*XLOOKUP(XLOOKUP($K20,'Threshold Summary'!$Y:$Y,'Threshold Summary'!$M:$M,""),'Nature Editor'!$A:$A,'Nature Editor'!$B:$B,1)),FLOOR((FLOOR(((2*XLOOKUP(XLOOKUP($K20,'Threshold Summary'!$Y:$Y,'Threshold Summary'!$K:$K,""),'Pokemon Editor'!$A:$A,'Pokemon Editor'!$H:$H,0)+31+FLOOR(XLOOKUP($K20,'Threshold Summary'!$Y:$Y,'Threshold Summary'!$R:$R,"")/4))*XLOOKUP($K20,'Threshold Summary'!$Y:$Y,'Threshold Summary'!$L:$L,""))/100)+5)*XLOOKUP(XLOOKUP($K20,'Threshold Summary'!$Y:$Y,'Threshold Summary'!$M:$M,""),'Nature Editor'!$A:$A,'Nature Editor'!$D:$D,1))),def,IF(cat="Physical",FLOOR((FLOOR(((2*XLOOKUP($L20,'Pokemon Editor'!$A:$A,'Pokemon Editor'!$G:$G,0)+31+FLOOR(XLOOKUP($L20,'Boss Editor'!$C:$C,'Boss Editor'!$I:$I,"")/4))*XLOOKUP($L20,'Boss Editor'!$C:$C,'Boss Editor'!$D:$D,""))/100)+5)*XLOOKUP(XLOOKUP($L20,'Boss Editor'!$C:$C,'Boss Editor'!$E:$E,""),'Nature Editor'!$A:$A,'Nature Editor'!$C:$C,1)),FLOOR((FLOOR(((2*XLOOKUP($L20,'Pokemon Editor'!$A:$A,'Pokemon Editor'!$I:$I,0)+31+FLOOR(XLOOKUP($L20,'Boss Editor'!$C:$C,'Boss Editor'!$K:$K,"")/4))*XLOOKUP($L20,'Boss Editor'!$C:$C,'Boss Editor'!$D:$D,""))/100)+5)*XLOOKUP(XLOOKUP($L20,'Boss Editor'!$C:$C,'Boss Editor'!$E:$E,""),'Nature Editor'!$A:$A,'Nature Editor'!$E:$E,1))),stab,IF(OR(mtype=XLOOKUP(XLOOKUP($K20,'Threshold Summary'!$Y:$Y,'Threshold Summary'!$K:$K,""),'Pokemon Editor'!$A:$A,'Pokemon Editor'!$C:$C,""),mtype=XLOOKUP(XLOOKUP($K20,'Threshold Summary'!$Y:$Y,'Threshold Summary'!$K:$K,""),'Pokemon Editor'!$A:$A,'Pokemon Editor'!$D:$D,"")),1.5,1),eff,(INDEX('Type Chart'!$B:$S,MATCH(mtype,'Type Chart'!$A:$A,0),MATCH(XLOOKUP($L20,'Pokemon Editor'!$A:$A,'Pokemon Editor'!$C:$C,""),'Type Chart'!$B$1:$S$1,0))*IF(XLOOKUP($L20,'Pokemon Editor'!$A:$A,'Pokemon Editor'!$D:$D,"")="",1,INDEX('Type Chart'!$B:$S,MATCH(mtype,'Type Chart'!$A:$A,0),MATCH(XLOOKUP($L20,'Pokemon Editor'!$A:$A,'Pokemon Editor'!$D:$D,""),'Type Chart'!$B$1:$S$1,0)))),base,IF(OR(cat="Status",pow=0),0,FLOOR(FLOOR(FLOOR((2*XLOOKUP($K20,'Threshold Summary'!$Y:$Y,'Threshold Summary'!$L:$L,"")/5+2)*pow*atk/def)/50)+2)),modifier,stab*eff,FLOOR(base*modifier*0.85)),0)</f>
        <v/>
      </c>
      <c r="G20" s="3">
        <f>IFERROR(LET(mtype,XLOOKUP($D20,'Move Editor'!$B:$B,'Move Editor'!$C:$C,""),cat,XLOOKUP($D20,'Move Editor'!$B:$B,'Move Editor'!$D:$D,""),pow,XLOOKUP($D20,'Move Editor'!$B:$B,'Move Editor'!$E:$E,0),acc,XLOOKUP($D20,'Move Editor'!$B:$B,'Move Editor'!$F:$F,100),atk,IF(cat="Physical",FLOOR((FLOOR(((2*XLOOKUP(XLOOKUP($K20,'Threshold Summary'!$Y:$Y,'Threshold Summary'!$K:$K,""),'Pokemon Editor'!$A:$A,'Pokemon Editor'!$F:$F,0)+31+FLOOR(XLOOKUP($K20,'Threshold Summary'!$Y:$Y,'Threshold Summary'!$P:$P,"")/4))*XLOOKUP($K20,'Threshold Summary'!$Y:$Y,'Threshold Summary'!$L:$L,""))/100)+5)*XLOOKUP(XLOOKUP($K20,'Threshold Summary'!$Y:$Y,'Threshold Summary'!$M:$M,""),'Nature Editor'!$A:$A,'Nature Editor'!$B:$B,1)),FLOOR((FLOOR(((2*XLOOKUP(XLOOKUP($K20,'Threshold Summary'!$Y:$Y,'Threshold Summary'!$K:$K,""),'Pokemon Editor'!$A:$A,'Pokemon Editor'!$H:$H,0)+31+FLOOR(XLOOKUP($K20,'Threshold Summary'!$Y:$Y,'Threshold Summary'!$R:$R,"")/4))*XLOOKUP($K20,'Threshold Summary'!$Y:$Y,'Threshold Summary'!$L:$L,""))/100)+5)*XLOOKUP(XLOOKUP($K20,'Threshold Summary'!$Y:$Y,'Threshold Summary'!$M:$M,""),'Nature Editor'!$A:$A,'Nature Editor'!$D:$D,1))),def,IF(cat="Physical",FLOOR((FLOOR(((2*XLOOKUP($L20,'Pokemon Editor'!$A:$A,'Pokemon Editor'!$G:$G,0)+31+FLOOR(XLOOKUP($L20,'Boss Editor'!$C:$C,'Boss Editor'!$I:$I,"")/4))*XLOOKUP($L20,'Boss Editor'!$C:$C,'Boss Editor'!$D:$D,""))/100)+5)*XLOOKUP(XLOOKUP($L20,'Boss Editor'!$C:$C,'Boss Editor'!$E:$E,""),'Nature Editor'!$A:$A,'Nature Editor'!$C:$C,1)),FLOOR((FLOOR(((2*XLOOKUP($L20,'Pokemon Editor'!$A:$A,'Pokemon Editor'!$I:$I,0)+31+FLOOR(XLOOKUP($L20,'Boss Editor'!$C:$C,'Boss Editor'!$K:$K,"")/4))*XLOOKUP($L20,'Boss Editor'!$C:$C,'Boss Editor'!$D:$D,""))/100)+5)*XLOOKUP(XLOOKUP($L20,'Boss Editor'!$C:$C,'Boss Editor'!$E:$E,""),'Nature Editor'!$A:$A,'Nature Editor'!$E:$E,1))),stab,IF(OR(mtype=XLOOKUP(XLOOKUP($K20,'Threshold Summary'!$Y:$Y,'Threshold Summary'!$K:$K,""),'Pokemon Editor'!$A:$A,'Pokemon Editor'!$C:$C,""),mtype=XLOOKUP(XLOOKUP($K20,'Threshold Summary'!$Y:$Y,'Threshold Summary'!$K:$K,""),'Pokemon Editor'!$A:$A,'Pokemon Editor'!$D:$D,"")),1.5,1),eff,(INDEX('Type Chart'!$B:$S,MATCH(mtype,'Type Chart'!$A:$A,0),MATCH(XLOOKUP($L20,'Pokemon Editor'!$A:$A,'Pokemon Editor'!$C:$C,""),'Type Chart'!$B$1:$S$1,0))*IF(XLOOKUP($L20,'Pokemon Editor'!$A:$A,'Pokemon Editor'!$D:$D,"")="",1,INDEX('Type Chart'!$B:$S,MATCH(mtype,'Type Chart'!$A:$A,0),MATCH(XLOOKUP($L20,'Pokemon Editor'!$A:$A,'Pokemon Editor'!$D:$D,""),'Type Chart'!$B$1:$S$1,0)))),base,IF(OR(cat="Status",pow=0),0,FLOOR(FLOOR(FLOOR((2*XLOOKUP($K20,'Threshold Summary'!$Y:$Y,'Threshold Summary'!$L:$L,"")/5+2)*pow*atk/def)/50)+2)),modifier,stab*eff,FLOOR(base*modifier)),0)</f>
        <v/>
      </c>
      <c r="H20" s="3">
        <f>IFERROR(LET(mtype,XLOOKUP($D20,'Move Editor'!$B:$B,'Move Editor'!$C:$C,""),cat,XLOOKUP($D20,'Move Editor'!$B:$B,'Move Editor'!$D:$D,""),pow,XLOOKUP($D20,'Move Editor'!$B:$B,'Move Editor'!$E:$E,0),acc,XLOOKUP($D20,'Move Editor'!$B:$B,'Move Editor'!$F:$F,100),atk,IF(cat="Physical",FLOOR((FLOOR(((2*XLOOKUP(XLOOKUP($K20,'Threshold Summary'!$Y:$Y,'Threshold Summary'!$K:$K,""),'Pokemon Editor'!$A:$A,'Pokemon Editor'!$F:$F,0)+31+FLOOR(XLOOKUP($K20,'Threshold Summary'!$Y:$Y,'Threshold Summary'!$P:$P,"")/4))*XLOOKUP($K20,'Threshold Summary'!$Y:$Y,'Threshold Summary'!$L:$L,""))/100)+5)*XLOOKUP(XLOOKUP($K20,'Threshold Summary'!$Y:$Y,'Threshold Summary'!$M:$M,""),'Nature Editor'!$A:$A,'Nature Editor'!$B:$B,1)),FLOOR((FLOOR(((2*XLOOKUP(XLOOKUP($K20,'Threshold Summary'!$Y:$Y,'Threshold Summary'!$K:$K,""),'Pokemon Editor'!$A:$A,'Pokemon Editor'!$H:$H,0)+31+FLOOR(XLOOKUP($K20,'Threshold Summary'!$Y:$Y,'Threshold Summary'!$R:$R,"")/4))*XLOOKUP($K20,'Threshold Summary'!$Y:$Y,'Threshold Summary'!$L:$L,""))/100)+5)*XLOOKUP(XLOOKUP($K20,'Threshold Summary'!$Y:$Y,'Threshold Summary'!$M:$M,""),'Nature Editor'!$A:$A,'Nature Editor'!$D:$D,1))),def,IF(cat="Physical",FLOOR((FLOOR(((2*XLOOKUP($L20,'Pokemon Editor'!$A:$A,'Pokemon Editor'!$G:$G,0)+31+FLOOR(XLOOKUP($L20,'Boss Editor'!$C:$C,'Boss Editor'!$I:$I,"")/4))*XLOOKUP($L20,'Boss Editor'!$C:$C,'Boss Editor'!$D:$D,""))/100)+5)*XLOOKUP(XLOOKUP($L20,'Boss Editor'!$C:$C,'Boss Editor'!$E:$E,""),'Nature Editor'!$A:$A,'Nature Editor'!$C:$C,1)),FLOOR((FLOOR(((2*XLOOKUP($L20,'Pokemon Editor'!$A:$A,'Pokemon Editor'!$I:$I,0)+31+FLOOR(XLOOKUP($L20,'Boss Editor'!$C:$C,'Boss Editor'!$K:$K,"")/4))*XLOOKUP($L20,'Boss Editor'!$C:$C,'Boss Editor'!$D:$D,""))/100)+5)*XLOOKUP(XLOOKUP($L20,'Boss Editor'!$C:$C,'Boss Editor'!$E:$E,""),'Nature Editor'!$A:$A,'Nature Editor'!$E:$E,1))),stab,IF(OR(mtype=XLOOKUP(XLOOKUP($K20,'Threshold Summary'!$Y:$Y,'Threshold Summary'!$K:$K,""),'Pokemon Editor'!$A:$A,'Pokemon Editor'!$C:$C,""),mtype=XLOOKUP(XLOOKUP($K20,'Threshold Summary'!$Y:$Y,'Threshold Summary'!$K:$K,""),'Pokemon Editor'!$A:$A,'Pokemon Editor'!$D:$D,"")),1.5,1),eff,(INDEX('Type Chart'!$B:$S,MATCH(mtype,'Type Chart'!$A:$A,0),MATCH(XLOOKUP($L20,'Pokemon Editor'!$A:$A,'Pokemon Editor'!$C:$C,""),'Type Chart'!$B$1:$S$1,0))*IF(XLOOKUP($L20,'Pokemon Editor'!$A:$A,'Pokemon Editor'!$D:$D,"")="",1,INDEX('Type Chart'!$B:$S,MATCH(mtype,'Type Chart'!$A:$A,0),MATCH(XLOOKUP($L20,'Pokemon Editor'!$A:$A,'Pokemon Editor'!$D:$D,""),'Type Chart'!$B$1:$S$1,0)))),base,IF(OR(cat="Status",pow=0),0,FLOOR(FLOOR(FLOOR((2*XLOOKUP($K20,'Threshold Summary'!$Y:$Y,'Threshold Summary'!$L:$L,"")/5+2)*pow*atk/def)/50)+2)),modifier,stab*eff,AVERAGE(ARRAYFORMULA(FLOOR(base*modifier*SEQUENCE(16,1,85,1)/100)))),0)</f>
        <v/>
      </c>
      <c r="I20" s="4">
        <f>IFERROR(LET(mtype,XLOOKUP($D20,'Move Editor'!$B:$B,'Move Editor'!$C:$C,""),cat,XLOOKUP($D20,'Move Editor'!$B:$B,'Move Editor'!$D:$D,""),pow,XLOOKUP($D20,'Move Editor'!$B:$B,'Move Editor'!$E:$E,0),acc,XLOOKUP($D20,'Move Editor'!$B:$B,'Move Editor'!$F:$F,100),atk,IF(cat="Physical",FLOOR((FLOOR(((2*XLOOKUP(XLOOKUP($K20,'Threshold Summary'!$Y:$Y,'Threshold Summary'!$K:$K,""),'Pokemon Editor'!$A:$A,'Pokemon Editor'!$F:$F,0)+31+FLOOR(XLOOKUP($K20,'Threshold Summary'!$Y:$Y,'Threshold Summary'!$P:$P,"")/4))*XLOOKUP($K20,'Threshold Summary'!$Y:$Y,'Threshold Summary'!$L:$L,""))/100)+5)*XLOOKUP(XLOOKUP($K20,'Threshold Summary'!$Y:$Y,'Threshold Summary'!$M:$M,""),'Nature Editor'!$A:$A,'Nature Editor'!$B:$B,1)),FLOOR((FLOOR(((2*XLOOKUP(XLOOKUP($K20,'Threshold Summary'!$Y:$Y,'Threshold Summary'!$K:$K,""),'Pokemon Editor'!$A:$A,'Pokemon Editor'!$H:$H,0)+31+FLOOR(XLOOKUP($K20,'Threshold Summary'!$Y:$Y,'Threshold Summary'!$R:$R,"")/4))*XLOOKUP($K20,'Threshold Summary'!$Y:$Y,'Threshold Summary'!$L:$L,""))/100)+5)*XLOOKUP(XLOOKUP($K20,'Threshold Summary'!$Y:$Y,'Threshold Summary'!$M:$M,""),'Nature Editor'!$A:$A,'Nature Editor'!$D:$D,1))),def,IF(cat="Physical",FLOOR((FLOOR(((2*XLOOKUP($L20,'Pokemon Editor'!$A:$A,'Pokemon Editor'!$G:$G,0)+31+FLOOR(XLOOKUP($L20,'Boss Editor'!$C:$C,'Boss Editor'!$I:$I,"")/4))*XLOOKUP($L20,'Boss Editor'!$C:$C,'Boss Editor'!$D:$D,""))/100)+5)*XLOOKUP(XLOOKUP($L20,'Boss Editor'!$C:$C,'Boss Editor'!$E:$E,""),'Nature Editor'!$A:$A,'Nature Editor'!$C:$C,1)),FLOOR((FLOOR(((2*XLOOKUP($L20,'Pokemon Editor'!$A:$A,'Pokemon Editor'!$I:$I,0)+31+FLOOR(XLOOKUP($L20,'Boss Editor'!$C:$C,'Boss Editor'!$K:$K,"")/4))*XLOOKUP($L20,'Boss Editor'!$C:$C,'Boss Editor'!$D:$D,""))/100)+5)*XLOOKUP(XLOOKUP($L20,'Boss Editor'!$C:$C,'Boss Editor'!$E:$E,""),'Nature Editor'!$A:$A,'Nature Editor'!$E:$E,1))),stab,IF(OR(mtype=XLOOKUP(XLOOKUP($K20,'Threshold Summary'!$Y:$Y,'Threshold Summary'!$K:$K,""),'Pokemon Editor'!$A:$A,'Pokemon Editor'!$C:$C,""),mtype=XLOOKUP(XLOOKUP($K20,'Threshold Summary'!$Y:$Y,'Threshold Summary'!$K:$K,""),'Pokemon Editor'!$A:$A,'Pokemon Editor'!$D:$D,"")),1.5,1),eff,(INDEX('Type Chart'!$B:$S,MATCH(mtype,'Type Chart'!$A:$A,0),MATCH(XLOOKUP($L20,'Pokemon Editor'!$A:$A,'Pokemon Editor'!$C:$C,""),'Type Chart'!$B$1:$S$1,0))*IF(XLOOKUP($L20,'Pokemon Editor'!$A:$A,'Pokemon Editor'!$D:$D,"")="",1,INDEX('Type Chart'!$B:$S,MATCH(mtype,'Type Chart'!$A:$A,0),MATCH(XLOOKUP($L20,'Pokemon Editor'!$A:$A,'Pokemon Editor'!$D:$D,""),'Type Chart'!$B$1:$S$1,0)))),base,IF(OR(cat="Status",pow=0),0,FLOOR(FLOOR(FLOOR((2*XLOOKUP($K20,'Threshold Summary'!$Y:$Y,'Threshold Summary'!$L:$L,"")/5+2)*pow*atk/def)/50)+2)),modifier,stab*eff,AVERAGE(ARRAYFORMULA(FLOOR(base*modifier*SEQUENCE(16,1,85,1)/100)))/(FLOOR(((2*XLOOKUP($L20,'Pokemon Editor'!$A:$A,'Pokemon Editor'!$E:$E,0)+31+FLOOR(XLOOKUP($L20,'Boss Editor'!$C:$C,'Boss Editor'!$G:$G,"")/4))*XLOOKUP($L20,'Boss Editor'!$C:$C,'Boss Editor'!$D:$D,""))/100)+XLOOKUP($L20,'Boss Editor'!$C:$C,'Boss Editor'!$D:$D,"")+10)),0)</f>
        <v/>
      </c>
      <c r="J20" s="3">
        <f>IF(I20&gt;=1,"OHKO",IF(I20&gt;=0.5,"2HKO",IF(I20&gt;=0.333,"3HKO",IF(I20&gt;=0.25,"4HKO","5HKO+"))))</f>
        <v/>
      </c>
      <c r="K20" s="3" t="inlineStr">
        <is>
          <t>SPECIES_TAILLOW</t>
        </is>
      </c>
      <c r="L20" s="3" t="inlineStr">
        <is>
          <t>SPECIES_TIRTOUGA</t>
        </is>
      </c>
    </row>
    <row r="21">
      <c r="A21" s="3">
        <f>XLOOKUP($K21,'Threshold Summary'!$Y:$Y,'Threshold Summary'!$A:$A,"")</f>
        <v/>
      </c>
      <c r="B21" s="3" t="inlineStr">
        <is>
          <t>Anorith</t>
        </is>
      </c>
      <c r="C21" s="3">
        <f>XLOOKUP($L21,'Boss Editor'!$C:$C,'Boss Editor'!$D:$D,"")</f>
        <v/>
      </c>
      <c r="D21" s="3">
        <f>XLOOKUP($K21,'Threshold Summary'!$Y:$Y,'Threshold Summary'!$B:$B,"")</f>
        <v/>
      </c>
      <c r="E21" s="3">
        <f>XLOOKUP(D21,'Move Editor'!$B:$B,'Move Editor'!$C:$C,"")</f>
        <v/>
      </c>
      <c r="F21" s="3">
        <f>IFERROR(LET(mtype,XLOOKUP($D21,'Move Editor'!$B:$B,'Move Editor'!$C:$C,""),cat,XLOOKUP($D21,'Move Editor'!$B:$B,'Move Editor'!$D:$D,""),pow,XLOOKUP($D21,'Move Editor'!$B:$B,'Move Editor'!$E:$E,0),acc,XLOOKUP($D21,'Move Editor'!$B:$B,'Move Editor'!$F:$F,100),atk,IF(cat="Physical",FLOOR((FLOOR(((2*XLOOKUP(XLOOKUP($K21,'Threshold Summary'!$Y:$Y,'Threshold Summary'!$K:$K,""),'Pokemon Editor'!$A:$A,'Pokemon Editor'!$F:$F,0)+31+FLOOR(XLOOKUP($K21,'Threshold Summary'!$Y:$Y,'Threshold Summary'!$P:$P,"")/4))*XLOOKUP($K21,'Threshold Summary'!$Y:$Y,'Threshold Summary'!$L:$L,""))/100)+5)*XLOOKUP(XLOOKUP($K21,'Threshold Summary'!$Y:$Y,'Threshold Summary'!$M:$M,""),'Nature Editor'!$A:$A,'Nature Editor'!$B:$B,1)),FLOOR((FLOOR(((2*XLOOKUP(XLOOKUP($K21,'Threshold Summary'!$Y:$Y,'Threshold Summary'!$K:$K,""),'Pokemon Editor'!$A:$A,'Pokemon Editor'!$H:$H,0)+31+FLOOR(XLOOKUP($K21,'Threshold Summary'!$Y:$Y,'Threshold Summary'!$R:$R,"")/4))*XLOOKUP($K21,'Threshold Summary'!$Y:$Y,'Threshold Summary'!$L:$L,""))/100)+5)*XLOOKUP(XLOOKUP($K21,'Threshold Summary'!$Y:$Y,'Threshold Summary'!$M:$M,""),'Nature Editor'!$A:$A,'Nature Editor'!$D:$D,1))),def,IF(cat="Physical",FLOOR((FLOOR(((2*XLOOKUP($L21,'Pokemon Editor'!$A:$A,'Pokemon Editor'!$G:$G,0)+31+FLOOR(XLOOKUP($L21,'Boss Editor'!$C:$C,'Boss Editor'!$I:$I,"")/4))*XLOOKUP($L21,'Boss Editor'!$C:$C,'Boss Editor'!$D:$D,""))/100)+5)*XLOOKUP(XLOOKUP($L21,'Boss Editor'!$C:$C,'Boss Editor'!$E:$E,""),'Nature Editor'!$A:$A,'Nature Editor'!$C:$C,1)),FLOOR((FLOOR(((2*XLOOKUP($L21,'Pokemon Editor'!$A:$A,'Pokemon Editor'!$I:$I,0)+31+FLOOR(XLOOKUP($L21,'Boss Editor'!$C:$C,'Boss Editor'!$K:$K,"")/4))*XLOOKUP($L21,'Boss Editor'!$C:$C,'Boss Editor'!$D:$D,""))/100)+5)*XLOOKUP(XLOOKUP($L21,'Boss Editor'!$C:$C,'Boss Editor'!$E:$E,""),'Nature Editor'!$A:$A,'Nature Editor'!$E:$E,1))),stab,IF(OR(mtype=XLOOKUP(XLOOKUP($K21,'Threshold Summary'!$Y:$Y,'Threshold Summary'!$K:$K,""),'Pokemon Editor'!$A:$A,'Pokemon Editor'!$C:$C,""),mtype=XLOOKUP(XLOOKUP($K21,'Threshold Summary'!$Y:$Y,'Threshold Summary'!$K:$K,""),'Pokemon Editor'!$A:$A,'Pokemon Editor'!$D:$D,"")),1.5,1),eff,(INDEX('Type Chart'!$B:$S,MATCH(mtype,'Type Chart'!$A:$A,0),MATCH(XLOOKUP($L21,'Pokemon Editor'!$A:$A,'Pokemon Editor'!$C:$C,""),'Type Chart'!$B$1:$S$1,0))*IF(XLOOKUP($L21,'Pokemon Editor'!$A:$A,'Pokemon Editor'!$D:$D,"")="",1,INDEX('Type Chart'!$B:$S,MATCH(mtype,'Type Chart'!$A:$A,0),MATCH(XLOOKUP($L21,'Pokemon Editor'!$A:$A,'Pokemon Editor'!$D:$D,""),'Type Chart'!$B$1:$S$1,0)))),base,IF(OR(cat="Status",pow=0),0,FLOOR(FLOOR(FLOOR((2*XLOOKUP($K21,'Threshold Summary'!$Y:$Y,'Threshold Summary'!$L:$L,"")/5+2)*pow*atk/def)/50)+2)),modifier,stab*eff,FLOOR(base*modifier*0.85)),0)</f>
        <v/>
      </c>
      <c r="G21" s="3">
        <f>IFERROR(LET(mtype,XLOOKUP($D21,'Move Editor'!$B:$B,'Move Editor'!$C:$C,""),cat,XLOOKUP($D21,'Move Editor'!$B:$B,'Move Editor'!$D:$D,""),pow,XLOOKUP($D21,'Move Editor'!$B:$B,'Move Editor'!$E:$E,0),acc,XLOOKUP($D21,'Move Editor'!$B:$B,'Move Editor'!$F:$F,100),atk,IF(cat="Physical",FLOOR((FLOOR(((2*XLOOKUP(XLOOKUP($K21,'Threshold Summary'!$Y:$Y,'Threshold Summary'!$K:$K,""),'Pokemon Editor'!$A:$A,'Pokemon Editor'!$F:$F,0)+31+FLOOR(XLOOKUP($K21,'Threshold Summary'!$Y:$Y,'Threshold Summary'!$P:$P,"")/4))*XLOOKUP($K21,'Threshold Summary'!$Y:$Y,'Threshold Summary'!$L:$L,""))/100)+5)*XLOOKUP(XLOOKUP($K21,'Threshold Summary'!$Y:$Y,'Threshold Summary'!$M:$M,""),'Nature Editor'!$A:$A,'Nature Editor'!$B:$B,1)),FLOOR((FLOOR(((2*XLOOKUP(XLOOKUP($K21,'Threshold Summary'!$Y:$Y,'Threshold Summary'!$K:$K,""),'Pokemon Editor'!$A:$A,'Pokemon Editor'!$H:$H,0)+31+FLOOR(XLOOKUP($K21,'Threshold Summary'!$Y:$Y,'Threshold Summary'!$R:$R,"")/4))*XLOOKUP($K21,'Threshold Summary'!$Y:$Y,'Threshold Summary'!$L:$L,""))/100)+5)*XLOOKUP(XLOOKUP($K21,'Threshold Summary'!$Y:$Y,'Threshold Summary'!$M:$M,""),'Nature Editor'!$A:$A,'Nature Editor'!$D:$D,1))),def,IF(cat="Physical",FLOOR((FLOOR(((2*XLOOKUP($L21,'Pokemon Editor'!$A:$A,'Pokemon Editor'!$G:$G,0)+31+FLOOR(XLOOKUP($L21,'Boss Editor'!$C:$C,'Boss Editor'!$I:$I,"")/4))*XLOOKUP($L21,'Boss Editor'!$C:$C,'Boss Editor'!$D:$D,""))/100)+5)*XLOOKUP(XLOOKUP($L21,'Boss Editor'!$C:$C,'Boss Editor'!$E:$E,""),'Nature Editor'!$A:$A,'Nature Editor'!$C:$C,1)),FLOOR((FLOOR(((2*XLOOKUP($L21,'Pokemon Editor'!$A:$A,'Pokemon Editor'!$I:$I,0)+31+FLOOR(XLOOKUP($L21,'Boss Editor'!$C:$C,'Boss Editor'!$K:$K,"")/4))*XLOOKUP($L21,'Boss Editor'!$C:$C,'Boss Editor'!$D:$D,""))/100)+5)*XLOOKUP(XLOOKUP($L21,'Boss Editor'!$C:$C,'Boss Editor'!$E:$E,""),'Nature Editor'!$A:$A,'Nature Editor'!$E:$E,1))),stab,IF(OR(mtype=XLOOKUP(XLOOKUP($K21,'Threshold Summary'!$Y:$Y,'Threshold Summary'!$K:$K,""),'Pokemon Editor'!$A:$A,'Pokemon Editor'!$C:$C,""),mtype=XLOOKUP(XLOOKUP($K21,'Threshold Summary'!$Y:$Y,'Threshold Summary'!$K:$K,""),'Pokemon Editor'!$A:$A,'Pokemon Editor'!$D:$D,"")),1.5,1),eff,(INDEX('Type Chart'!$B:$S,MATCH(mtype,'Type Chart'!$A:$A,0),MATCH(XLOOKUP($L21,'Pokemon Editor'!$A:$A,'Pokemon Editor'!$C:$C,""),'Type Chart'!$B$1:$S$1,0))*IF(XLOOKUP($L21,'Pokemon Editor'!$A:$A,'Pokemon Editor'!$D:$D,"")="",1,INDEX('Type Chart'!$B:$S,MATCH(mtype,'Type Chart'!$A:$A,0),MATCH(XLOOKUP($L21,'Pokemon Editor'!$A:$A,'Pokemon Editor'!$D:$D,""),'Type Chart'!$B$1:$S$1,0)))),base,IF(OR(cat="Status",pow=0),0,FLOOR(FLOOR(FLOOR((2*XLOOKUP($K21,'Threshold Summary'!$Y:$Y,'Threshold Summary'!$L:$L,"")/5+2)*pow*atk/def)/50)+2)),modifier,stab*eff,FLOOR(base*modifier)),0)</f>
        <v/>
      </c>
      <c r="H21" s="3">
        <f>IFERROR(LET(mtype,XLOOKUP($D21,'Move Editor'!$B:$B,'Move Editor'!$C:$C,""),cat,XLOOKUP($D21,'Move Editor'!$B:$B,'Move Editor'!$D:$D,""),pow,XLOOKUP($D21,'Move Editor'!$B:$B,'Move Editor'!$E:$E,0),acc,XLOOKUP($D21,'Move Editor'!$B:$B,'Move Editor'!$F:$F,100),atk,IF(cat="Physical",FLOOR((FLOOR(((2*XLOOKUP(XLOOKUP($K21,'Threshold Summary'!$Y:$Y,'Threshold Summary'!$K:$K,""),'Pokemon Editor'!$A:$A,'Pokemon Editor'!$F:$F,0)+31+FLOOR(XLOOKUP($K21,'Threshold Summary'!$Y:$Y,'Threshold Summary'!$P:$P,"")/4))*XLOOKUP($K21,'Threshold Summary'!$Y:$Y,'Threshold Summary'!$L:$L,""))/100)+5)*XLOOKUP(XLOOKUP($K21,'Threshold Summary'!$Y:$Y,'Threshold Summary'!$M:$M,""),'Nature Editor'!$A:$A,'Nature Editor'!$B:$B,1)),FLOOR((FLOOR(((2*XLOOKUP(XLOOKUP($K21,'Threshold Summary'!$Y:$Y,'Threshold Summary'!$K:$K,""),'Pokemon Editor'!$A:$A,'Pokemon Editor'!$H:$H,0)+31+FLOOR(XLOOKUP($K21,'Threshold Summary'!$Y:$Y,'Threshold Summary'!$R:$R,"")/4))*XLOOKUP($K21,'Threshold Summary'!$Y:$Y,'Threshold Summary'!$L:$L,""))/100)+5)*XLOOKUP(XLOOKUP($K21,'Threshold Summary'!$Y:$Y,'Threshold Summary'!$M:$M,""),'Nature Editor'!$A:$A,'Nature Editor'!$D:$D,1))),def,IF(cat="Physical",FLOOR((FLOOR(((2*XLOOKUP($L21,'Pokemon Editor'!$A:$A,'Pokemon Editor'!$G:$G,0)+31+FLOOR(XLOOKUP($L21,'Boss Editor'!$C:$C,'Boss Editor'!$I:$I,"")/4))*XLOOKUP($L21,'Boss Editor'!$C:$C,'Boss Editor'!$D:$D,""))/100)+5)*XLOOKUP(XLOOKUP($L21,'Boss Editor'!$C:$C,'Boss Editor'!$E:$E,""),'Nature Editor'!$A:$A,'Nature Editor'!$C:$C,1)),FLOOR((FLOOR(((2*XLOOKUP($L21,'Pokemon Editor'!$A:$A,'Pokemon Editor'!$I:$I,0)+31+FLOOR(XLOOKUP($L21,'Boss Editor'!$C:$C,'Boss Editor'!$K:$K,"")/4))*XLOOKUP($L21,'Boss Editor'!$C:$C,'Boss Editor'!$D:$D,""))/100)+5)*XLOOKUP(XLOOKUP($L21,'Boss Editor'!$C:$C,'Boss Editor'!$E:$E,""),'Nature Editor'!$A:$A,'Nature Editor'!$E:$E,1))),stab,IF(OR(mtype=XLOOKUP(XLOOKUP($K21,'Threshold Summary'!$Y:$Y,'Threshold Summary'!$K:$K,""),'Pokemon Editor'!$A:$A,'Pokemon Editor'!$C:$C,""),mtype=XLOOKUP(XLOOKUP($K21,'Threshold Summary'!$Y:$Y,'Threshold Summary'!$K:$K,""),'Pokemon Editor'!$A:$A,'Pokemon Editor'!$D:$D,"")),1.5,1),eff,(INDEX('Type Chart'!$B:$S,MATCH(mtype,'Type Chart'!$A:$A,0),MATCH(XLOOKUP($L21,'Pokemon Editor'!$A:$A,'Pokemon Editor'!$C:$C,""),'Type Chart'!$B$1:$S$1,0))*IF(XLOOKUP($L21,'Pokemon Editor'!$A:$A,'Pokemon Editor'!$D:$D,"")="",1,INDEX('Type Chart'!$B:$S,MATCH(mtype,'Type Chart'!$A:$A,0),MATCH(XLOOKUP($L21,'Pokemon Editor'!$A:$A,'Pokemon Editor'!$D:$D,""),'Type Chart'!$B$1:$S$1,0)))),base,IF(OR(cat="Status",pow=0),0,FLOOR(FLOOR(FLOOR((2*XLOOKUP($K21,'Threshold Summary'!$Y:$Y,'Threshold Summary'!$L:$L,"")/5+2)*pow*atk/def)/50)+2)),modifier,stab*eff,AVERAGE(ARRAYFORMULA(FLOOR(base*modifier*SEQUENCE(16,1,85,1)/100)))),0)</f>
        <v/>
      </c>
      <c r="I21" s="4">
        <f>IFERROR(LET(mtype,XLOOKUP($D21,'Move Editor'!$B:$B,'Move Editor'!$C:$C,""),cat,XLOOKUP($D21,'Move Editor'!$B:$B,'Move Editor'!$D:$D,""),pow,XLOOKUP($D21,'Move Editor'!$B:$B,'Move Editor'!$E:$E,0),acc,XLOOKUP($D21,'Move Editor'!$B:$B,'Move Editor'!$F:$F,100),atk,IF(cat="Physical",FLOOR((FLOOR(((2*XLOOKUP(XLOOKUP($K21,'Threshold Summary'!$Y:$Y,'Threshold Summary'!$K:$K,""),'Pokemon Editor'!$A:$A,'Pokemon Editor'!$F:$F,0)+31+FLOOR(XLOOKUP($K21,'Threshold Summary'!$Y:$Y,'Threshold Summary'!$P:$P,"")/4))*XLOOKUP($K21,'Threshold Summary'!$Y:$Y,'Threshold Summary'!$L:$L,""))/100)+5)*XLOOKUP(XLOOKUP($K21,'Threshold Summary'!$Y:$Y,'Threshold Summary'!$M:$M,""),'Nature Editor'!$A:$A,'Nature Editor'!$B:$B,1)),FLOOR((FLOOR(((2*XLOOKUP(XLOOKUP($K21,'Threshold Summary'!$Y:$Y,'Threshold Summary'!$K:$K,""),'Pokemon Editor'!$A:$A,'Pokemon Editor'!$H:$H,0)+31+FLOOR(XLOOKUP($K21,'Threshold Summary'!$Y:$Y,'Threshold Summary'!$R:$R,"")/4))*XLOOKUP($K21,'Threshold Summary'!$Y:$Y,'Threshold Summary'!$L:$L,""))/100)+5)*XLOOKUP(XLOOKUP($K21,'Threshold Summary'!$Y:$Y,'Threshold Summary'!$M:$M,""),'Nature Editor'!$A:$A,'Nature Editor'!$D:$D,1))),def,IF(cat="Physical",FLOOR((FLOOR(((2*XLOOKUP($L21,'Pokemon Editor'!$A:$A,'Pokemon Editor'!$G:$G,0)+31+FLOOR(XLOOKUP($L21,'Boss Editor'!$C:$C,'Boss Editor'!$I:$I,"")/4))*XLOOKUP($L21,'Boss Editor'!$C:$C,'Boss Editor'!$D:$D,""))/100)+5)*XLOOKUP(XLOOKUP($L21,'Boss Editor'!$C:$C,'Boss Editor'!$E:$E,""),'Nature Editor'!$A:$A,'Nature Editor'!$C:$C,1)),FLOOR((FLOOR(((2*XLOOKUP($L21,'Pokemon Editor'!$A:$A,'Pokemon Editor'!$I:$I,0)+31+FLOOR(XLOOKUP($L21,'Boss Editor'!$C:$C,'Boss Editor'!$K:$K,"")/4))*XLOOKUP($L21,'Boss Editor'!$C:$C,'Boss Editor'!$D:$D,""))/100)+5)*XLOOKUP(XLOOKUP($L21,'Boss Editor'!$C:$C,'Boss Editor'!$E:$E,""),'Nature Editor'!$A:$A,'Nature Editor'!$E:$E,1))),stab,IF(OR(mtype=XLOOKUP(XLOOKUP($K21,'Threshold Summary'!$Y:$Y,'Threshold Summary'!$K:$K,""),'Pokemon Editor'!$A:$A,'Pokemon Editor'!$C:$C,""),mtype=XLOOKUP(XLOOKUP($K21,'Threshold Summary'!$Y:$Y,'Threshold Summary'!$K:$K,""),'Pokemon Editor'!$A:$A,'Pokemon Editor'!$D:$D,"")),1.5,1),eff,(INDEX('Type Chart'!$B:$S,MATCH(mtype,'Type Chart'!$A:$A,0),MATCH(XLOOKUP($L21,'Pokemon Editor'!$A:$A,'Pokemon Editor'!$C:$C,""),'Type Chart'!$B$1:$S$1,0))*IF(XLOOKUP($L21,'Pokemon Editor'!$A:$A,'Pokemon Editor'!$D:$D,"")="",1,INDEX('Type Chart'!$B:$S,MATCH(mtype,'Type Chart'!$A:$A,0),MATCH(XLOOKUP($L21,'Pokemon Editor'!$A:$A,'Pokemon Editor'!$D:$D,""),'Type Chart'!$B$1:$S$1,0)))),base,IF(OR(cat="Status",pow=0),0,FLOOR(FLOOR(FLOOR((2*XLOOKUP($K21,'Threshold Summary'!$Y:$Y,'Threshold Summary'!$L:$L,"")/5+2)*pow*atk/def)/50)+2)),modifier,stab*eff,AVERAGE(ARRAYFORMULA(FLOOR(base*modifier*SEQUENCE(16,1,85,1)/100)))/(FLOOR(((2*XLOOKUP($L21,'Pokemon Editor'!$A:$A,'Pokemon Editor'!$E:$E,0)+31+FLOOR(XLOOKUP($L21,'Boss Editor'!$C:$C,'Boss Editor'!$G:$G,"")/4))*XLOOKUP($L21,'Boss Editor'!$C:$C,'Boss Editor'!$D:$D,""))/100)+XLOOKUP($L21,'Boss Editor'!$C:$C,'Boss Editor'!$D:$D,"")+10)),0)</f>
        <v/>
      </c>
      <c r="J21" s="3">
        <f>IF(I21&gt;=1,"OHKO",IF(I21&gt;=0.5,"2HKO",IF(I21&gt;=0.333,"3HKO",IF(I21&gt;=0.25,"4HKO","5HKO+"))))</f>
        <v/>
      </c>
      <c r="K21" s="3" t="inlineStr">
        <is>
          <t>SPECIES_TAILLOW</t>
        </is>
      </c>
      <c r="L21" s="3" t="inlineStr">
        <is>
          <t>SPECIES_ANORITH</t>
        </is>
      </c>
    </row>
    <row r="22">
      <c r="A22" s="3">
        <f>XLOOKUP($K22,'Threshold Summary'!$Y:$Y,'Threshold Summary'!$A:$A,"")</f>
        <v/>
      </c>
      <c r="B22" s="3" t="inlineStr">
        <is>
          <t>Lileep</t>
        </is>
      </c>
      <c r="C22" s="3">
        <f>XLOOKUP($L22,'Boss Editor'!$C:$C,'Boss Editor'!$D:$D,"")</f>
        <v/>
      </c>
      <c r="D22" s="3">
        <f>XLOOKUP($K22,'Threshold Summary'!$Y:$Y,'Threshold Summary'!$B:$B,"")</f>
        <v/>
      </c>
      <c r="E22" s="3">
        <f>XLOOKUP(D22,'Move Editor'!$B:$B,'Move Editor'!$C:$C,"")</f>
        <v/>
      </c>
      <c r="F22" s="3">
        <f>IFERROR(LET(mtype,XLOOKUP($D22,'Move Editor'!$B:$B,'Move Editor'!$C:$C,""),cat,XLOOKUP($D22,'Move Editor'!$B:$B,'Move Editor'!$D:$D,""),pow,XLOOKUP($D22,'Move Editor'!$B:$B,'Move Editor'!$E:$E,0),acc,XLOOKUP($D22,'Move Editor'!$B:$B,'Move Editor'!$F:$F,100),atk,IF(cat="Physical",FLOOR((FLOOR(((2*XLOOKUP(XLOOKUP($K22,'Threshold Summary'!$Y:$Y,'Threshold Summary'!$K:$K,""),'Pokemon Editor'!$A:$A,'Pokemon Editor'!$F:$F,0)+31+FLOOR(XLOOKUP($K22,'Threshold Summary'!$Y:$Y,'Threshold Summary'!$P:$P,"")/4))*XLOOKUP($K22,'Threshold Summary'!$Y:$Y,'Threshold Summary'!$L:$L,""))/100)+5)*XLOOKUP(XLOOKUP($K22,'Threshold Summary'!$Y:$Y,'Threshold Summary'!$M:$M,""),'Nature Editor'!$A:$A,'Nature Editor'!$B:$B,1)),FLOOR((FLOOR(((2*XLOOKUP(XLOOKUP($K22,'Threshold Summary'!$Y:$Y,'Threshold Summary'!$K:$K,""),'Pokemon Editor'!$A:$A,'Pokemon Editor'!$H:$H,0)+31+FLOOR(XLOOKUP($K22,'Threshold Summary'!$Y:$Y,'Threshold Summary'!$R:$R,"")/4))*XLOOKUP($K22,'Threshold Summary'!$Y:$Y,'Threshold Summary'!$L:$L,""))/100)+5)*XLOOKUP(XLOOKUP($K22,'Threshold Summary'!$Y:$Y,'Threshold Summary'!$M:$M,""),'Nature Editor'!$A:$A,'Nature Editor'!$D:$D,1))),def,IF(cat="Physical",FLOOR((FLOOR(((2*XLOOKUP($L22,'Pokemon Editor'!$A:$A,'Pokemon Editor'!$G:$G,0)+31+FLOOR(XLOOKUP($L22,'Boss Editor'!$C:$C,'Boss Editor'!$I:$I,"")/4))*XLOOKUP($L22,'Boss Editor'!$C:$C,'Boss Editor'!$D:$D,""))/100)+5)*XLOOKUP(XLOOKUP($L22,'Boss Editor'!$C:$C,'Boss Editor'!$E:$E,""),'Nature Editor'!$A:$A,'Nature Editor'!$C:$C,1)),FLOOR((FLOOR(((2*XLOOKUP($L22,'Pokemon Editor'!$A:$A,'Pokemon Editor'!$I:$I,0)+31+FLOOR(XLOOKUP($L22,'Boss Editor'!$C:$C,'Boss Editor'!$K:$K,"")/4))*XLOOKUP($L22,'Boss Editor'!$C:$C,'Boss Editor'!$D:$D,""))/100)+5)*XLOOKUP(XLOOKUP($L22,'Boss Editor'!$C:$C,'Boss Editor'!$E:$E,""),'Nature Editor'!$A:$A,'Nature Editor'!$E:$E,1))),stab,IF(OR(mtype=XLOOKUP(XLOOKUP($K22,'Threshold Summary'!$Y:$Y,'Threshold Summary'!$K:$K,""),'Pokemon Editor'!$A:$A,'Pokemon Editor'!$C:$C,""),mtype=XLOOKUP(XLOOKUP($K22,'Threshold Summary'!$Y:$Y,'Threshold Summary'!$K:$K,""),'Pokemon Editor'!$A:$A,'Pokemon Editor'!$D:$D,"")),1.5,1),eff,(INDEX('Type Chart'!$B:$S,MATCH(mtype,'Type Chart'!$A:$A,0),MATCH(XLOOKUP($L22,'Pokemon Editor'!$A:$A,'Pokemon Editor'!$C:$C,""),'Type Chart'!$B$1:$S$1,0))*IF(XLOOKUP($L22,'Pokemon Editor'!$A:$A,'Pokemon Editor'!$D:$D,"")="",1,INDEX('Type Chart'!$B:$S,MATCH(mtype,'Type Chart'!$A:$A,0),MATCH(XLOOKUP($L22,'Pokemon Editor'!$A:$A,'Pokemon Editor'!$D:$D,""),'Type Chart'!$B$1:$S$1,0)))),base,IF(OR(cat="Status",pow=0),0,FLOOR(FLOOR(FLOOR((2*XLOOKUP($K22,'Threshold Summary'!$Y:$Y,'Threshold Summary'!$L:$L,"")/5+2)*pow*atk/def)/50)+2)),modifier,stab*eff,FLOOR(base*modifier*0.85)),0)</f>
        <v/>
      </c>
      <c r="G22" s="3">
        <f>IFERROR(LET(mtype,XLOOKUP($D22,'Move Editor'!$B:$B,'Move Editor'!$C:$C,""),cat,XLOOKUP($D22,'Move Editor'!$B:$B,'Move Editor'!$D:$D,""),pow,XLOOKUP($D22,'Move Editor'!$B:$B,'Move Editor'!$E:$E,0),acc,XLOOKUP($D22,'Move Editor'!$B:$B,'Move Editor'!$F:$F,100),atk,IF(cat="Physical",FLOOR((FLOOR(((2*XLOOKUP(XLOOKUP($K22,'Threshold Summary'!$Y:$Y,'Threshold Summary'!$K:$K,""),'Pokemon Editor'!$A:$A,'Pokemon Editor'!$F:$F,0)+31+FLOOR(XLOOKUP($K22,'Threshold Summary'!$Y:$Y,'Threshold Summary'!$P:$P,"")/4))*XLOOKUP($K22,'Threshold Summary'!$Y:$Y,'Threshold Summary'!$L:$L,""))/100)+5)*XLOOKUP(XLOOKUP($K22,'Threshold Summary'!$Y:$Y,'Threshold Summary'!$M:$M,""),'Nature Editor'!$A:$A,'Nature Editor'!$B:$B,1)),FLOOR((FLOOR(((2*XLOOKUP(XLOOKUP($K22,'Threshold Summary'!$Y:$Y,'Threshold Summary'!$K:$K,""),'Pokemon Editor'!$A:$A,'Pokemon Editor'!$H:$H,0)+31+FLOOR(XLOOKUP($K22,'Threshold Summary'!$Y:$Y,'Threshold Summary'!$R:$R,"")/4))*XLOOKUP($K22,'Threshold Summary'!$Y:$Y,'Threshold Summary'!$L:$L,""))/100)+5)*XLOOKUP(XLOOKUP($K22,'Threshold Summary'!$Y:$Y,'Threshold Summary'!$M:$M,""),'Nature Editor'!$A:$A,'Nature Editor'!$D:$D,1))),def,IF(cat="Physical",FLOOR((FLOOR(((2*XLOOKUP($L22,'Pokemon Editor'!$A:$A,'Pokemon Editor'!$G:$G,0)+31+FLOOR(XLOOKUP($L22,'Boss Editor'!$C:$C,'Boss Editor'!$I:$I,"")/4))*XLOOKUP($L22,'Boss Editor'!$C:$C,'Boss Editor'!$D:$D,""))/100)+5)*XLOOKUP(XLOOKUP($L22,'Boss Editor'!$C:$C,'Boss Editor'!$E:$E,""),'Nature Editor'!$A:$A,'Nature Editor'!$C:$C,1)),FLOOR((FLOOR(((2*XLOOKUP($L22,'Pokemon Editor'!$A:$A,'Pokemon Editor'!$I:$I,0)+31+FLOOR(XLOOKUP($L22,'Boss Editor'!$C:$C,'Boss Editor'!$K:$K,"")/4))*XLOOKUP($L22,'Boss Editor'!$C:$C,'Boss Editor'!$D:$D,""))/100)+5)*XLOOKUP(XLOOKUP($L22,'Boss Editor'!$C:$C,'Boss Editor'!$E:$E,""),'Nature Editor'!$A:$A,'Nature Editor'!$E:$E,1))),stab,IF(OR(mtype=XLOOKUP(XLOOKUP($K22,'Threshold Summary'!$Y:$Y,'Threshold Summary'!$K:$K,""),'Pokemon Editor'!$A:$A,'Pokemon Editor'!$C:$C,""),mtype=XLOOKUP(XLOOKUP($K22,'Threshold Summary'!$Y:$Y,'Threshold Summary'!$K:$K,""),'Pokemon Editor'!$A:$A,'Pokemon Editor'!$D:$D,"")),1.5,1),eff,(INDEX('Type Chart'!$B:$S,MATCH(mtype,'Type Chart'!$A:$A,0),MATCH(XLOOKUP($L22,'Pokemon Editor'!$A:$A,'Pokemon Editor'!$C:$C,""),'Type Chart'!$B$1:$S$1,0))*IF(XLOOKUP($L22,'Pokemon Editor'!$A:$A,'Pokemon Editor'!$D:$D,"")="",1,INDEX('Type Chart'!$B:$S,MATCH(mtype,'Type Chart'!$A:$A,0),MATCH(XLOOKUP($L22,'Pokemon Editor'!$A:$A,'Pokemon Editor'!$D:$D,""),'Type Chart'!$B$1:$S$1,0)))),base,IF(OR(cat="Status",pow=0),0,FLOOR(FLOOR(FLOOR((2*XLOOKUP($K22,'Threshold Summary'!$Y:$Y,'Threshold Summary'!$L:$L,"")/5+2)*pow*atk/def)/50)+2)),modifier,stab*eff,FLOOR(base*modifier)),0)</f>
        <v/>
      </c>
      <c r="H22" s="3">
        <f>IFERROR(LET(mtype,XLOOKUP($D22,'Move Editor'!$B:$B,'Move Editor'!$C:$C,""),cat,XLOOKUP($D22,'Move Editor'!$B:$B,'Move Editor'!$D:$D,""),pow,XLOOKUP($D22,'Move Editor'!$B:$B,'Move Editor'!$E:$E,0),acc,XLOOKUP($D22,'Move Editor'!$B:$B,'Move Editor'!$F:$F,100),atk,IF(cat="Physical",FLOOR((FLOOR(((2*XLOOKUP(XLOOKUP($K22,'Threshold Summary'!$Y:$Y,'Threshold Summary'!$K:$K,""),'Pokemon Editor'!$A:$A,'Pokemon Editor'!$F:$F,0)+31+FLOOR(XLOOKUP($K22,'Threshold Summary'!$Y:$Y,'Threshold Summary'!$P:$P,"")/4))*XLOOKUP($K22,'Threshold Summary'!$Y:$Y,'Threshold Summary'!$L:$L,""))/100)+5)*XLOOKUP(XLOOKUP($K22,'Threshold Summary'!$Y:$Y,'Threshold Summary'!$M:$M,""),'Nature Editor'!$A:$A,'Nature Editor'!$B:$B,1)),FLOOR((FLOOR(((2*XLOOKUP(XLOOKUP($K22,'Threshold Summary'!$Y:$Y,'Threshold Summary'!$K:$K,""),'Pokemon Editor'!$A:$A,'Pokemon Editor'!$H:$H,0)+31+FLOOR(XLOOKUP($K22,'Threshold Summary'!$Y:$Y,'Threshold Summary'!$R:$R,"")/4))*XLOOKUP($K22,'Threshold Summary'!$Y:$Y,'Threshold Summary'!$L:$L,""))/100)+5)*XLOOKUP(XLOOKUP($K22,'Threshold Summary'!$Y:$Y,'Threshold Summary'!$M:$M,""),'Nature Editor'!$A:$A,'Nature Editor'!$D:$D,1))),def,IF(cat="Physical",FLOOR((FLOOR(((2*XLOOKUP($L22,'Pokemon Editor'!$A:$A,'Pokemon Editor'!$G:$G,0)+31+FLOOR(XLOOKUP($L22,'Boss Editor'!$C:$C,'Boss Editor'!$I:$I,"")/4))*XLOOKUP($L22,'Boss Editor'!$C:$C,'Boss Editor'!$D:$D,""))/100)+5)*XLOOKUP(XLOOKUP($L22,'Boss Editor'!$C:$C,'Boss Editor'!$E:$E,""),'Nature Editor'!$A:$A,'Nature Editor'!$C:$C,1)),FLOOR((FLOOR(((2*XLOOKUP($L22,'Pokemon Editor'!$A:$A,'Pokemon Editor'!$I:$I,0)+31+FLOOR(XLOOKUP($L22,'Boss Editor'!$C:$C,'Boss Editor'!$K:$K,"")/4))*XLOOKUP($L22,'Boss Editor'!$C:$C,'Boss Editor'!$D:$D,""))/100)+5)*XLOOKUP(XLOOKUP($L22,'Boss Editor'!$C:$C,'Boss Editor'!$E:$E,""),'Nature Editor'!$A:$A,'Nature Editor'!$E:$E,1))),stab,IF(OR(mtype=XLOOKUP(XLOOKUP($K22,'Threshold Summary'!$Y:$Y,'Threshold Summary'!$K:$K,""),'Pokemon Editor'!$A:$A,'Pokemon Editor'!$C:$C,""),mtype=XLOOKUP(XLOOKUP($K22,'Threshold Summary'!$Y:$Y,'Threshold Summary'!$K:$K,""),'Pokemon Editor'!$A:$A,'Pokemon Editor'!$D:$D,"")),1.5,1),eff,(INDEX('Type Chart'!$B:$S,MATCH(mtype,'Type Chart'!$A:$A,0),MATCH(XLOOKUP($L22,'Pokemon Editor'!$A:$A,'Pokemon Editor'!$C:$C,""),'Type Chart'!$B$1:$S$1,0))*IF(XLOOKUP($L22,'Pokemon Editor'!$A:$A,'Pokemon Editor'!$D:$D,"")="",1,INDEX('Type Chart'!$B:$S,MATCH(mtype,'Type Chart'!$A:$A,0),MATCH(XLOOKUP($L22,'Pokemon Editor'!$A:$A,'Pokemon Editor'!$D:$D,""),'Type Chart'!$B$1:$S$1,0)))),base,IF(OR(cat="Status",pow=0),0,FLOOR(FLOOR(FLOOR((2*XLOOKUP($K22,'Threshold Summary'!$Y:$Y,'Threshold Summary'!$L:$L,"")/5+2)*pow*atk/def)/50)+2)),modifier,stab*eff,AVERAGE(ARRAYFORMULA(FLOOR(base*modifier*SEQUENCE(16,1,85,1)/100)))),0)</f>
        <v/>
      </c>
      <c r="I22" s="4">
        <f>IFERROR(LET(mtype,XLOOKUP($D22,'Move Editor'!$B:$B,'Move Editor'!$C:$C,""),cat,XLOOKUP($D22,'Move Editor'!$B:$B,'Move Editor'!$D:$D,""),pow,XLOOKUP($D22,'Move Editor'!$B:$B,'Move Editor'!$E:$E,0),acc,XLOOKUP($D22,'Move Editor'!$B:$B,'Move Editor'!$F:$F,100),atk,IF(cat="Physical",FLOOR((FLOOR(((2*XLOOKUP(XLOOKUP($K22,'Threshold Summary'!$Y:$Y,'Threshold Summary'!$K:$K,""),'Pokemon Editor'!$A:$A,'Pokemon Editor'!$F:$F,0)+31+FLOOR(XLOOKUP($K22,'Threshold Summary'!$Y:$Y,'Threshold Summary'!$P:$P,"")/4))*XLOOKUP($K22,'Threshold Summary'!$Y:$Y,'Threshold Summary'!$L:$L,""))/100)+5)*XLOOKUP(XLOOKUP($K22,'Threshold Summary'!$Y:$Y,'Threshold Summary'!$M:$M,""),'Nature Editor'!$A:$A,'Nature Editor'!$B:$B,1)),FLOOR((FLOOR(((2*XLOOKUP(XLOOKUP($K22,'Threshold Summary'!$Y:$Y,'Threshold Summary'!$K:$K,""),'Pokemon Editor'!$A:$A,'Pokemon Editor'!$H:$H,0)+31+FLOOR(XLOOKUP($K22,'Threshold Summary'!$Y:$Y,'Threshold Summary'!$R:$R,"")/4))*XLOOKUP($K22,'Threshold Summary'!$Y:$Y,'Threshold Summary'!$L:$L,""))/100)+5)*XLOOKUP(XLOOKUP($K22,'Threshold Summary'!$Y:$Y,'Threshold Summary'!$M:$M,""),'Nature Editor'!$A:$A,'Nature Editor'!$D:$D,1))),def,IF(cat="Physical",FLOOR((FLOOR(((2*XLOOKUP($L22,'Pokemon Editor'!$A:$A,'Pokemon Editor'!$G:$G,0)+31+FLOOR(XLOOKUP($L22,'Boss Editor'!$C:$C,'Boss Editor'!$I:$I,"")/4))*XLOOKUP($L22,'Boss Editor'!$C:$C,'Boss Editor'!$D:$D,""))/100)+5)*XLOOKUP(XLOOKUP($L22,'Boss Editor'!$C:$C,'Boss Editor'!$E:$E,""),'Nature Editor'!$A:$A,'Nature Editor'!$C:$C,1)),FLOOR((FLOOR(((2*XLOOKUP($L22,'Pokemon Editor'!$A:$A,'Pokemon Editor'!$I:$I,0)+31+FLOOR(XLOOKUP($L22,'Boss Editor'!$C:$C,'Boss Editor'!$K:$K,"")/4))*XLOOKUP($L22,'Boss Editor'!$C:$C,'Boss Editor'!$D:$D,""))/100)+5)*XLOOKUP(XLOOKUP($L22,'Boss Editor'!$C:$C,'Boss Editor'!$E:$E,""),'Nature Editor'!$A:$A,'Nature Editor'!$E:$E,1))),stab,IF(OR(mtype=XLOOKUP(XLOOKUP($K22,'Threshold Summary'!$Y:$Y,'Threshold Summary'!$K:$K,""),'Pokemon Editor'!$A:$A,'Pokemon Editor'!$C:$C,""),mtype=XLOOKUP(XLOOKUP($K22,'Threshold Summary'!$Y:$Y,'Threshold Summary'!$K:$K,""),'Pokemon Editor'!$A:$A,'Pokemon Editor'!$D:$D,"")),1.5,1),eff,(INDEX('Type Chart'!$B:$S,MATCH(mtype,'Type Chart'!$A:$A,0),MATCH(XLOOKUP($L22,'Pokemon Editor'!$A:$A,'Pokemon Editor'!$C:$C,""),'Type Chart'!$B$1:$S$1,0))*IF(XLOOKUP($L22,'Pokemon Editor'!$A:$A,'Pokemon Editor'!$D:$D,"")="",1,INDEX('Type Chart'!$B:$S,MATCH(mtype,'Type Chart'!$A:$A,0),MATCH(XLOOKUP($L22,'Pokemon Editor'!$A:$A,'Pokemon Editor'!$D:$D,""),'Type Chart'!$B$1:$S$1,0)))),base,IF(OR(cat="Status",pow=0),0,FLOOR(FLOOR(FLOOR((2*XLOOKUP($K22,'Threshold Summary'!$Y:$Y,'Threshold Summary'!$L:$L,"")/5+2)*pow*atk/def)/50)+2)),modifier,stab*eff,AVERAGE(ARRAYFORMULA(FLOOR(base*modifier*SEQUENCE(16,1,85,1)/100)))/(FLOOR(((2*XLOOKUP($L22,'Pokemon Editor'!$A:$A,'Pokemon Editor'!$E:$E,0)+31+FLOOR(XLOOKUP($L22,'Boss Editor'!$C:$C,'Boss Editor'!$G:$G,"")/4))*XLOOKUP($L22,'Boss Editor'!$C:$C,'Boss Editor'!$D:$D,""))/100)+XLOOKUP($L22,'Boss Editor'!$C:$C,'Boss Editor'!$D:$D,"")+10)),0)</f>
        <v/>
      </c>
      <c r="J22" s="3">
        <f>IF(I22&gt;=1,"OHKO",IF(I22&gt;=0.5,"2HKO",IF(I22&gt;=0.333,"3HKO",IF(I22&gt;=0.25,"4HKO","5HKO+"))))</f>
        <v/>
      </c>
      <c r="K22" s="3" t="inlineStr">
        <is>
          <t>SPECIES_TAILLOW</t>
        </is>
      </c>
      <c r="L22" s="3" t="inlineStr">
        <is>
          <t>SPECIES_LILEEP</t>
        </is>
      </c>
    </row>
    <row r="23">
      <c r="A23" s="3">
        <f>XLOOKUP($K23,'Threshold Summary'!$Y:$Y,'Threshold Summary'!$A:$A,"")</f>
        <v/>
      </c>
      <c r="B23" s="3" t="inlineStr">
        <is>
          <t>Tirtouga</t>
        </is>
      </c>
      <c r="C23" s="3">
        <f>XLOOKUP($L23,'Boss Editor'!$C:$C,'Boss Editor'!$D:$D,"")</f>
        <v/>
      </c>
      <c r="D23" s="3">
        <f>XLOOKUP($K23,'Threshold Summary'!$Y:$Y,'Threshold Summary'!$B:$B,"")</f>
        <v/>
      </c>
      <c r="E23" s="3">
        <f>XLOOKUP(D23,'Move Editor'!$B:$B,'Move Editor'!$C:$C,"")</f>
        <v/>
      </c>
      <c r="F23" s="3">
        <f>IFERROR(LET(mtype,XLOOKUP($D23,'Move Editor'!$B:$B,'Move Editor'!$C:$C,""),cat,XLOOKUP($D23,'Move Editor'!$B:$B,'Move Editor'!$D:$D,""),pow,XLOOKUP($D23,'Move Editor'!$B:$B,'Move Editor'!$E:$E,0),acc,XLOOKUP($D23,'Move Editor'!$B:$B,'Move Editor'!$F:$F,100),atk,IF(cat="Physical",FLOOR((FLOOR(((2*XLOOKUP(XLOOKUP($K23,'Threshold Summary'!$Y:$Y,'Threshold Summary'!$K:$K,""),'Pokemon Editor'!$A:$A,'Pokemon Editor'!$F:$F,0)+31+FLOOR(XLOOKUP($K23,'Threshold Summary'!$Y:$Y,'Threshold Summary'!$P:$P,"")/4))*XLOOKUP($K23,'Threshold Summary'!$Y:$Y,'Threshold Summary'!$L:$L,""))/100)+5)*XLOOKUP(XLOOKUP($K23,'Threshold Summary'!$Y:$Y,'Threshold Summary'!$M:$M,""),'Nature Editor'!$A:$A,'Nature Editor'!$B:$B,1)),FLOOR((FLOOR(((2*XLOOKUP(XLOOKUP($K23,'Threshold Summary'!$Y:$Y,'Threshold Summary'!$K:$K,""),'Pokemon Editor'!$A:$A,'Pokemon Editor'!$H:$H,0)+31+FLOOR(XLOOKUP($K23,'Threshold Summary'!$Y:$Y,'Threshold Summary'!$R:$R,"")/4))*XLOOKUP($K23,'Threshold Summary'!$Y:$Y,'Threshold Summary'!$L:$L,""))/100)+5)*XLOOKUP(XLOOKUP($K23,'Threshold Summary'!$Y:$Y,'Threshold Summary'!$M:$M,""),'Nature Editor'!$A:$A,'Nature Editor'!$D:$D,1))),def,IF(cat="Physical",FLOOR((FLOOR(((2*XLOOKUP($L23,'Pokemon Editor'!$A:$A,'Pokemon Editor'!$G:$G,0)+31+FLOOR(XLOOKUP($L23,'Boss Editor'!$C:$C,'Boss Editor'!$I:$I,"")/4))*XLOOKUP($L23,'Boss Editor'!$C:$C,'Boss Editor'!$D:$D,""))/100)+5)*XLOOKUP(XLOOKUP($L23,'Boss Editor'!$C:$C,'Boss Editor'!$E:$E,""),'Nature Editor'!$A:$A,'Nature Editor'!$C:$C,1)),FLOOR((FLOOR(((2*XLOOKUP($L23,'Pokemon Editor'!$A:$A,'Pokemon Editor'!$I:$I,0)+31+FLOOR(XLOOKUP($L23,'Boss Editor'!$C:$C,'Boss Editor'!$K:$K,"")/4))*XLOOKUP($L23,'Boss Editor'!$C:$C,'Boss Editor'!$D:$D,""))/100)+5)*XLOOKUP(XLOOKUP($L23,'Boss Editor'!$C:$C,'Boss Editor'!$E:$E,""),'Nature Editor'!$A:$A,'Nature Editor'!$E:$E,1))),stab,IF(OR(mtype=XLOOKUP(XLOOKUP($K23,'Threshold Summary'!$Y:$Y,'Threshold Summary'!$K:$K,""),'Pokemon Editor'!$A:$A,'Pokemon Editor'!$C:$C,""),mtype=XLOOKUP(XLOOKUP($K23,'Threshold Summary'!$Y:$Y,'Threshold Summary'!$K:$K,""),'Pokemon Editor'!$A:$A,'Pokemon Editor'!$D:$D,"")),1.5,1),eff,(INDEX('Type Chart'!$B:$S,MATCH(mtype,'Type Chart'!$A:$A,0),MATCH(XLOOKUP($L23,'Pokemon Editor'!$A:$A,'Pokemon Editor'!$C:$C,""),'Type Chart'!$B$1:$S$1,0))*IF(XLOOKUP($L23,'Pokemon Editor'!$A:$A,'Pokemon Editor'!$D:$D,"")="",1,INDEX('Type Chart'!$B:$S,MATCH(mtype,'Type Chart'!$A:$A,0),MATCH(XLOOKUP($L23,'Pokemon Editor'!$A:$A,'Pokemon Editor'!$D:$D,""),'Type Chart'!$B$1:$S$1,0)))),base,IF(OR(cat="Status",pow=0),0,FLOOR(FLOOR(FLOOR((2*XLOOKUP($K23,'Threshold Summary'!$Y:$Y,'Threshold Summary'!$L:$L,"")/5+2)*pow*atk/def)/50)+2)),modifier,stab*eff,FLOOR(base*modifier*0.85)),0)</f>
        <v/>
      </c>
      <c r="G23" s="3">
        <f>IFERROR(LET(mtype,XLOOKUP($D23,'Move Editor'!$B:$B,'Move Editor'!$C:$C,""),cat,XLOOKUP($D23,'Move Editor'!$B:$B,'Move Editor'!$D:$D,""),pow,XLOOKUP($D23,'Move Editor'!$B:$B,'Move Editor'!$E:$E,0),acc,XLOOKUP($D23,'Move Editor'!$B:$B,'Move Editor'!$F:$F,100),atk,IF(cat="Physical",FLOOR((FLOOR(((2*XLOOKUP(XLOOKUP($K23,'Threshold Summary'!$Y:$Y,'Threshold Summary'!$K:$K,""),'Pokemon Editor'!$A:$A,'Pokemon Editor'!$F:$F,0)+31+FLOOR(XLOOKUP($K23,'Threshold Summary'!$Y:$Y,'Threshold Summary'!$P:$P,"")/4))*XLOOKUP($K23,'Threshold Summary'!$Y:$Y,'Threshold Summary'!$L:$L,""))/100)+5)*XLOOKUP(XLOOKUP($K23,'Threshold Summary'!$Y:$Y,'Threshold Summary'!$M:$M,""),'Nature Editor'!$A:$A,'Nature Editor'!$B:$B,1)),FLOOR((FLOOR(((2*XLOOKUP(XLOOKUP($K23,'Threshold Summary'!$Y:$Y,'Threshold Summary'!$K:$K,""),'Pokemon Editor'!$A:$A,'Pokemon Editor'!$H:$H,0)+31+FLOOR(XLOOKUP($K23,'Threshold Summary'!$Y:$Y,'Threshold Summary'!$R:$R,"")/4))*XLOOKUP($K23,'Threshold Summary'!$Y:$Y,'Threshold Summary'!$L:$L,""))/100)+5)*XLOOKUP(XLOOKUP($K23,'Threshold Summary'!$Y:$Y,'Threshold Summary'!$M:$M,""),'Nature Editor'!$A:$A,'Nature Editor'!$D:$D,1))),def,IF(cat="Physical",FLOOR((FLOOR(((2*XLOOKUP($L23,'Pokemon Editor'!$A:$A,'Pokemon Editor'!$G:$G,0)+31+FLOOR(XLOOKUP($L23,'Boss Editor'!$C:$C,'Boss Editor'!$I:$I,"")/4))*XLOOKUP($L23,'Boss Editor'!$C:$C,'Boss Editor'!$D:$D,""))/100)+5)*XLOOKUP(XLOOKUP($L23,'Boss Editor'!$C:$C,'Boss Editor'!$E:$E,""),'Nature Editor'!$A:$A,'Nature Editor'!$C:$C,1)),FLOOR((FLOOR(((2*XLOOKUP($L23,'Pokemon Editor'!$A:$A,'Pokemon Editor'!$I:$I,0)+31+FLOOR(XLOOKUP($L23,'Boss Editor'!$C:$C,'Boss Editor'!$K:$K,"")/4))*XLOOKUP($L23,'Boss Editor'!$C:$C,'Boss Editor'!$D:$D,""))/100)+5)*XLOOKUP(XLOOKUP($L23,'Boss Editor'!$C:$C,'Boss Editor'!$E:$E,""),'Nature Editor'!$A:$A,'Nature Editor'!$E:$E,1))),stab,IF(OR(mtype=XLOOKUP(XLOOKUP($K23,'Threshold Summary'!$Y:$Y,'Threshold Summary'!$K:$K,""),'Pokemon Editor'!$A:$A,'Pokemon Editor'!$C:$C,""),mtype=XLOOKUP(XLOOKUP($K23,'Threshold Summary'!$Y:$Y,'Threshold Summary'!$K:$K,""),'Pokemon Editor'!$A:$A,'Pokemon Editor'!$D:$D,"")),1.5,1),eff,(INDEX('Type Chart'!$B:$S,MATCH(mtype,'Type Chart'!$A:$A,0),MATCH(XLOOKUP($L23,'Pokemon Editor'!$A:$A,'Pokemon Editor'!$C:$C,""),'Type Chart'!$B$1:$S$1,0))*IF(XLOOKUP($L23,'Pokemon Editor'!$A:$A,'Pokemon Editor'!$D:$D,"")="",1,INDEX('Type Chart'!$B:$S,MATCH(mtype,'Type Chart'!$A:$A,0),MATCH(XLOOKUP($L23,'Pokemon Editor'!$A:$A,'Pokemon Editor'!$D:$D,""),'Type Chart'!$B$1:$S$1,0)))),base,IF(OR(cat="Status",pow=0),0,FLOOR(FLOOR(FLOOR((2*XLOOKUP($K23,'Threshold Summary'!$Y:$Y,'Threshold Summary'!$L:$L,"")/5+2)*pow*atk/def)/50)+2)),modifier,stab*eff,FLOOR(base*modifier)),0)</f>
        <v/>
      </c>
      <c r="H23" s="3">
        <f>IFERROR(LET(mtype,XLOOKUP($D23,'Move Editor'!$B:$B,'Move Editor'!$C:$C,""),cat,XLOOKUP($D23,'Move Editor'!$B:$B,'Move Editor'!$D:$D,""),pow,XLOOKUP($D23,'Move Editor'!$B:$B,'Move Editor'!$E:$E,0),acc,XLOOKUP($D23,'Move Editor'!$B:$B,'Move Editor'!$F:$F,100),atk,IF(cat="Physical",FLOOR((FLOOR(((2*XLOOKUP(XLOOKUP($K23,'Threshold Summary'!$Y:$Y,'Threshold Summary'!$K:$K,""),'Pokemon Editor'!$A:$A,'Pokemon Editor'!$F:$F,0)+31+FLOOR(XLOOKUP($K23,'Threshold Summary'!$Y:$Y,'Threshold Summary'!$P:$P,"")/4))*XLOOKUP($K23,'Threshold Summary'!$Y:$Y,'Threshold Summary'!$L:$L,""))/100)+5)*XLOOKUP(XLOOKUP($K23,'Threshold Summary'!$Y:$Y,'Threshold Summary'!$M:$M,""),'Nature Editor'!$A:$A,'Nature Editor'!$B:$B,1)),FLOOR((FLOOR(((2*XLOOKUP(XLOOKUP($K23,'Threshold Summary'!$Y:$Y,'Threshold Summary'!$K:$K,""),'Pokemon Editor'!$A:$A,'Pokemon Editor'!$H:$H,0)+31+FLOOR(XLOOKUP($K23,'Threshold Summary'!$Y:$Y,'Threshold Summary'!$R:$R,"")/4))*XLOOKUP($K23,'Threshold Summary'!$Y:$Y,'Threshold Summary'!$L:$L,""))/100)+5)*XLOOKUP(XLOOKUP($K23,'Threshold Summary'!$Y:$Y,'Threshold Summary'!$M:$M,""),'Nature Editor'!$A:$A,'Nature Editor'!$D:$D,1))),def,IF(cat="Physical",FLOOR((FLOOR(((2*XLOOKUP($L23,'Pokemon Editor'!$A:$A,'Pokemon Editor'!$G:$G,0)+31+FLOOR(XLOOKUP($L23,'Boss Editor'!$C:$C,'Boss Editor'!$I:$I,"")/4))*XLOOKUP($L23,'Boss Editor'!$C:$C,'Boss Editor'!$D:$D,""))/100)+5)*XLOOKUP(XLOOKUP($L23,'Boss Editor'!$C:$C,'Boss Editor'!$E:$E,""),'Nature Editor'!$A:$A,'Nature Editor'!$C:$C,1)),FLOOR((FLOOR(((2*XLOOKUP($L23,'Pokemon Editor'!$A:$A,'Pokemon Editor'!$I:$I,0)+31+FLOOR(XLOOKUP($L23,'Boss Editor'!$C:$C,'Boss Editor'!$K:$K,"")/4))*XLOOKUP($L23,'Boss Editor'!$C:$C,'Boss Editor'!$D:$D,""))/100)+5)*XLOOKUP(XLOOKUP($L23,'Boss Editor'!$C:$C,'Boss Editor'!$E:$E,""),'Nature Editor'!$A:$A,'Nature Editor'!$E:$E,1))),stab,IF(OR(mtype=XLOOKUP(XLOOKUP($K23,'Threshold Summary'!$Y:$Y,'Threshold Summary'!$K:$K,""),'Pokemon Editor'!$A:$A,'Pokemon Editor'!$C:$C,""),mtype=XLOOKUP(XLOOKUP($K23,'Threshold Summary'!$Y:$Y,'Threshold Summary'!$K:$K,""),'Pokemon Editor'!$A:$A,'Pokemon Editor'!$D:$D,"")),1.5,1),eff,(INDEX('Type Chart'!$B:$S,MATCH(mtype,'Type Chart'!$A:$A,0),MATCH(XLOOKUP($L23,'Pokemon Editor'!$A:$A,'Pokemon Editor'!$C:$C,""),'Type Chart'!$B$1:$S$1,0))*IF(XLOOKUP($L23,'Pokemon Editor'!$A:$A,'Pokemon Editor'!$D:$D,"")="",1,INDEX('Type Chart'!$B:$S,MATCH(mtype,'Type Chart'!$A:$A,0),MATCH(XLOOKUP($L23,'Pokemon Editor'!$A:$A,'Pokemon Editor'!$D:$D,""),'Type Chart'!$B$1:$S$1,0)))),base,IF(OR(cat="Status",pow=0),0,FLOOR(FLOOR(FLOOR((2*XLOOKUP($K23,'Threshold Summary'!$Y:$Y,'Threshold Summary'!$L:$L,"")/5+2)*pow*atk/def)/50)+2)),modifier,stab*eff,AVERAGE(ARRAYFORMULA(FLOOR(base*modifier*SEQUENCE(16,1,85,1)/100)))),0)</f>
        <v/>
      </c>
      <c r="I23" s="4">
        <f>IFERROR(LET(mtype,XLOOKUP($D23,'Move Editor'!$B:$B,'Move Editor'!$C:$C,""),cat,XLOOKUP($D23,'Move Editor'!$B:$B,'Move Editor'!$D:$D,""),pow,XLOOKUP($D23,'Move Editor'!$B:$B,'Move Editor'!$E:$E,0),acc,XLOOKUP($D23,'Move Editor'!$B:$B,'Move Editor'!$F:$F,100),atk,IF(cat="Physical",FLOOR((FLOOR(((2*XLOOKUP(XLOOKUP($K23,'Threshold Summary'!$Y:$Y,'Threshold Summary'!$K:$K,""),'Pokemon Editor'!$A:$A,'Pokemon Editor'!$F:$F,0)+31+FLOOR(XLOOKUP($K23,'Threshold Summary'!$Y:$Y,'Threshold Summary'!$P:$P,"")/4))*XLOOKUP($K23,'Threshold Summary'!$Y:$Y,'Threshold Summary'!$L:$L,""))/100)+5)*XLOOKUP(XLOOKUP($K23,'Threshold Summary'!$Y:$Y,'Threshold Summary'!$M:$M,""),'Nature Editor'!$A:$A,'Nature Editor'!$B:$B,1)),FLOOR((FLOOR(((2*XLOOKUP(XLOOKUP($K23,'Threshold Summary'!$Y:$Y,'Threshold Summary'!$K:$K,""),'Pokemon Editor'!$A:$A,'Pokemon Editor'!$H:$H,0)+31+FLOOR(XLOOKUP($K23,'Threshold Summary'!$Y:$Y,'Threshold Summary'!$R:$R,"")/4))*XLOOKUP($K23,'Threshold Summary'!$Y:$Y,'Threshold Summary'!$L:$L,""))/100)+5)*XLOOKUP(XLOOKUP($K23,'Threshold Summary'!$Y:$Y,'Threshold Summary'!$M:$M,""),'Nature Editor'!$A:$A,'Nature Editor'!$D:$D,1))),def,IF(cat="Physical",FLOOR((FLOOR(((2*XLOOKUP($L23,'Pokemon Editor'!$A:$A,'Pokemon Editor'!$G:$G,0)+31+FLOOR(XLOOKUP($L23,'Boss Editor'!$C:$C,'Boss Editor'!$I:$I,"")/4))*XLOOKUP($L23,'Boss Editor'!$C:$C,'Boss Editor'!$D:$D,""))/100)+5)*XLOOKUP(XLOOKUP($L23,'Boss Editor'!$C:$C,'Boss Editor'!$E:$E,""),'Nature Editor'!$A:$A,'Nature Editor'!$C:$C,1)),FLOOR((FLOOR(((2*XLOOKUP($L23,'Pokemon Editor'!$A:$A,'Pokemon Editor'!$I:$I,0)+31+FLOOR(XLOOKUP($L23,'Boss Editor'!$C:$C,'Boss Editor'!$K:$K,"")/4))*XLOOKUP($L23,'Boss Editor'!$C:$C,'Boss Editor'!$D:$D,""))/100)+5)*XLOOKUP(XLOOKUP($L23,'Boss Editor'!$C:$C,'Boss Editor'!$E:$E,""),'Nature Editor'!$A:$A,'Nature Editor'!$E:$E,1))),stab,IF(OR(mtype=XLOOKUP(XLOOKUP($K23,'Threshold Summary'!$Y:$Y,'Threshold Summary'!$K:$K,""),'Pokemon Editor'!$A:$A,'Pokemon Editor'!$C:$C,""),mtype=XLOOKUP(XLOOKUP($K23,'Threshold Summary'!$Y:$Y,'Threshold Summary'!$K:$K,""),'Pokemon Editor'!$A:$A,'Pokemon Editor'!$D:$D,"")),1.5,1),eff,(INDEX('Type Chart'!$B:$S,MATCH(mtype,'Type Chart'!$A:$A,0),MATCH(XLOOKUP($L23,'Pokemon Editor'!$A:$A,'Pokemon Editor'!$C:$C,""),'Type Chart'!$B$1:$S$1,0))*IF(XLOOKUP($L23,'Pokemon Editor'!$A:$A,'Pokemon Editor'!$D:$D,"")="",1,INDEX('Type Chart'!$B:$S,MATCH(mtype,'Type Chart'!$A:$A,0),MATCH(XLOOKUP($L23,'Pokemon Editor'!$A:$A,'Pokemon Editor'!$D:$D,""),'Type Chart'!$B$1:$S$1,0)))),base,IF(OR(cat="Status",pow=0),0,FLOOR(FLOOR(FLOOR((2*XLOOKUP($K23,'Threshold Summary'!$Y:$Y,'Threshold Summary'!$L:$L,"")/5+2)*pow*atk/def)/50)+2)),modifier,stab*eff,AVERAGE(ARRAYFORMULA(FLOOR(base*modifier*SEQUENCE(16,1,85,1)/100)))/(FLOOR(((2*XLOOKUP($L23,'Pokemon Editor'!$A:$A,'Pokemon Editor'!$E:$E,0)+31+FLOOR(XLOOKUP($L23,'Boss Editor'!$C:$C,'Boss Editor'!$G:$G,"")/4))*XLOOKUP($L23,'Boss Editor'!$C:$C,'Boss Editor'!$D:$D,""))/100)+XLOOKUP($L23,'Boss Editor'!$C:$C,'Boss Editor'!$D:$D,"")+10)),0)</f>
        <v/>
      </c>
      <c r="J23" s="3">
        <f>IF(I23&gt;=1,"OHKO",IF(I23&gt;=0.5,"2HKO",IF(I23&gt;=0.333,"3HKO",IF(I23&gt;=0.25,"4HKO","5HKO+"))))</f>
        <v/>
      </c>
      <c r="K23" s="3" t="inlineStr">
        <is>
          <t>SPECIES_RALTS</t>
        </is>
      </c>
      <c r="L23" s="3" t="inlineStr">
        <is>
          <t>SPECIES_TIRTOUGA</t>
        </is>
      </c>
    </row>
    <row r="24">
      <c r="A24" s="3">
        <f>XLOOKUP($K24,'Threshold Summary'!$Y:$Y,'Threshold Summary'!$A:$A,"")</f>
        <v/>
      </c>
      <c r="B24" s="3" t="inlineStr">
        <is>
          <t>Anorith</t>
        </is>
      </c>
      <c r="C24" s="3">
        <f>XLOOKUP($L24,'Boss Editor'!$C:$C,'Boss Editor'!$D:$D,"")</f>
        <v/>
      </c>
      <c r="D24" s="3">
        <f>XLOOKUP($K24,'Threshold Summary'!$Y:$Y,'Threshold Summary'!$B:$B,"")</f>
        <v/>
      </c>
      <c r="E24" s="3">
        <f>XLOOKUP(D24,'Move Editor'!$B:$B,'Move Editor'!$C:$C,"")</f>
        <v/>
      </c>
      <c r="F24" s="3">
        <f>IFERROR(LET(mtype,XLOOKUP($D24,'Move Editor'!$B:$B,'Move Editor'!$C:$C,""),cat,XLOOKUP($D24,'Move Editor'!$B:$B,'Move Editor'!$D:$D,""),pow,XLOOKUP($D24,'Move Editor'!$B:$B,'Move Editor'!$E:$E,0),acc,XLOOKUP($D24,'Move Editor'!$B:$B,'Move Editor'!$F:$F,100),atk,IF(cat="Physical",FLOOR((FLOOR(((2*XLOOKUP(XLOOKUP($K24,'Threshold Summary'!$Y:$Y,'Threshold Summary'!$K:$K,""),'Pokemon Editor'!$A:$A,'Pokemon Editor'!$F:$F,0)+31+FLOOR(XLOOKUP($K24,'Threshold Summary'!$Y:$Y,'Threshold Summary'!$P:$P,"")/4))*XLOOKUP($K24,'Threshold Summary'!$Y:$Y,'Threshold Summary'!$L:$L,""))/100)+5)*XLOOKUP(XLOOKUP($K24,'Threshold Summary'!$Y:$Y,'Threshold Summary'!$M:$M,""),'Nature Editor'!$A:$A,'Nature Editor'!$B:$B,1)),FLOOR((FLOOR(((2*XLOOKUP(XLOOKUP($K24,'Threshold Summary'!$Y:$Y,'Threshold Summary'!$K:$K,""),'Pokemon Editor'!$A:$A,'Pokemon Editor'!$H:$H,0)+31+FLOOR(XLOOKUP($K24,'Threshold Summary'!$Y:$Y,'Threshold Summary'!$R:$R,"")/4))*XLOOKUP($K24,'Threshold Summary'!$Y:$Y,'Threshold Summary'!$L:$L,""))/100)+5)*XLOOKUP(XLOOKUP($K24,'Threshold Summary'!$Y:$Y,'Threshold Summary'!$M:$M,""),'Nature Editor'!$A:$A,'Nature Editor'!$D:$D,1))),def,IF(cat="Physical",FLOOR((FLOOR(((2*XLOOKUP($L24,'Pokemon Editor'!$A:$A,'Pokemon Editor'!$G:$G,0)+31+FLOOR(XLOOKUP($L24,'Boss Editor'!$C:$C,'Boss Editor'!$I:$I,"")/4))*XLOOKUP($L24,'Boss Editor'!$C:$C,'Boss Editor'!$D:$D,""))/100)+5)*XLOOKUP(XLOOKUP($L24,'Boss Editor'!$C:$C,'Boss Editor'!$E:$E,""),'Nature Editor'!$A:$A,'Nature Editor'!$C:$C,1)),FLOOR((FLOOR(((2*XLOOKUP($L24,'Pokemon Editor'!$A:$A,'Pokemon Editor'!$I:$I,0)+31+FLOOR(XLOOKUP($L24,'Boss Editor'!$C:$C,'Boss Editor'!$K:$K,"")/4))*XLOOKUP($L24,'Boss Editor'!$C:$C,'Boss Editor'!$D:$D,""))/100)+5)*XLOOKUP(XLOOKUP($L24,'Boss Editor'!$C:$C,'Boss Editor'!$E:$E,""),'Nature Editor'!$A:$A,'Nature Editor'!$E:$E,1))),stab,IF(OR(mtype=XLOOKUP(XLOOKUP($K24,'Threshold Summary'!$Y:$Y,'Threshold Summary'!$K:$K,""),'Pokemon Editor'!$A:$A,'Pokemon Editor'!$C:$C,""),mtype=XLOOKUP(XLOOKUP($K24,'Threshold Summary'!$Y:$Y,'Threshold Summary'!$K:$K,""),'Pokemon Editor'!$A:$A,'Pokemon Editor'!$D:$D,"")),1.5,1),eff,(INDEX('Type Chart'!$B:$S,MATCH(mtype,'Type Chart'!$A:$A,0),MATCH(XLOOKUP($L24,'Pokemon Editor'!$A:$A,'Pokemon Editor'!$C:$C,""),'Type Chart'!$B$1:$S$1,0))*IF(XLOOKUP($L24,'Pokemon Editor'!$A:$A,'Pokemon Editor'!$D:$D,"")="",1,INDEX('Type Chart'!$B:$S,MATCH(mtype,'Type Chart'!$A:$A,0),MATCH(XLOOKUP($L24,'Pokemon Editor'!$A:$A,'Pokemon Editor'!$D:$D,""),'Type Chart'!$B$1:$S$1,0)))),base,IF(OR(cat="Status",pow=0),0,FLOOR(FLOOR(FLOOR((2*XLOOKUP($K24,'Threshold Summary'!$Y:$Y,'Threshold Summary'!$L:$L,"")/5+2)*pow*atk/def)/50)+2)),modifier,stab*eff,FLOOR(base*modifier*0.85)),0)</f>
        <v/>
      </c>
      <c r="G24" s="3">
        <f>IFERROR(LET(mtype,XLOOKUP($D24,'Move Editor'!$B:$B,'Move Editor'!$C:$C,""),cat,XLOOKUP($D24,'Move Editor'!$B:$B,'Move Editor'!$D:$D,""),pow,XLOOKUP($D24,'Move Editor'!$B:$B,'Move Editor'!$E:$E,0),acc,XLOOKUP($D24,'Move Editor'!$B:$B,'Move Editor'!$F:$F,100),atk,IF(cat="Physical",FLOOR((FLOOR(((2*XLOOKUP(XLOOKUP($K24,'Threshold Summary'!$Y:$Y,'Threshold Summary'!$K:$K,""),'Pokemon Editor'!$A:$A,'Pokemon Editor'!$F:$F,0)+31+FLOOR(XLOOKUP($K24,'Threshold Summary'!$Y:$Y,'Threshold Summary'!$P:$P,"")/4))*XLOOKUP($K24,'Threshold Summary'!$Y:$Y,'Threshold Summary'!$L:$L,""))/100)+5)*XLOOKUP(XLOOKUP($K24,'Threshold Summary'!$Y:$Y,'Threshold Summary'!$M:$M,""),'Nature Editor'!$A:$A,'Nature Editor'!$B:$B,1)),FLOOR((FLOOR(((2*XLOOKUP(XLOOKUP($K24,'Threshold Summary'!$Y:$Y,'Threshold Summary'!$K:$K,""),'Pokemon Editor'!$A:$A,'Pokemon Editor'!$H:$H,0)+31+FLOOR(XLOOKUP($K24,'Threshold Summary'!$Y:$Y,'Threshold Summary'!$R:$R,"")/4))*XLOOKUP($K24,'Threshold Summary'!$Y:$Y,'Threshold Summary'!$L:$L,""))/100)+5)*XLOOKUP(XLOOKUP($K24,'Threshold Summary'!$Y:$Y,'Threshold Summary'!$M:$M,""),'Nature Editor'!$A:$A,'Nature Editor'!$D:$D,1))),def,IF(cat="Physical",FLOOR((FLOOR(((2*XLOOKUP($L24,'Pokemon Editor'!$A:$A,'Pokemon Editor'!$G:$G,0)+31+FLOOR(XLOOKUP($L24,'Boss Editor'!$C:$C,'Boss Editor'!$I:$I,"")/4))*XLOOKUP($L24,'Boss Editor'!$C:$C,'Boss Editor'!$D:$D,""))/100)+5)*XLOOKUP(XLOOKUP($L24,'Boss Editor'!$C:$C,'Boss Editor'!$E:$E,""),'Nature Editor'!$A:$A,'Nature Editor'!$C:$C,1)),FLOOR((FLOOR(((2*XLOOKUP($L24,'Pokemon Editor'!$A:$A,'Pokemon Editor'!$I:$I,0)+31+FLOOR(XLOOKUP($L24,'Boss Editor'!$C:$C,'Boss Editor'!$K:$K,"")/4))*XLOOKUP($L24,'Boss Editor'!$C:$C,'Boss Editor'!$D:$D,""))/100)+5)*XLOOKUP(XLOOKUP($L24,'Boss Editor'!$C:$C,'Boss Editor'!$E:$E,""),'Nature Editor'!$A:$A,'Nature Editor'!$E:$E,1))),stab,IF(OR(mtype=XLOOKUP(XLOOKUP($K24,'Threshold Summary'!$Y:$Y,'Threshold Summary'!$K:$K,""),'Pokemon Editor'!$A:$A,'Pokemon Editor'!$C:$C,""),mtype=XLOOKUP(XLOOKUP($K24,'Threshold Summary'!$Y:$Y,'Threshold Summary'!$K:$K,""),'Pokemon Editor'!$A:$A,'Pokemon Editor'!$D:$D,"")),1.5,1),eff,(INDEX('Type Chart'!$B:$S,MATCH(mtype,'Type Chart'!$A:$A,0),MATCH(XLOOKUP($L24,'Pokemon Editor'!$A:$A,'Pokemon Editor'!$C:$C,""),'Type Chart'!$B$1:$S$1,0))*IF(XLOOKUP($L24,'Pokemon Editor'!$A:$A,'Pokemon Editor'!$D:$D,"")="",1,INDEX('Type Chart'!$B:$S,MATCH(mtype,'Type Chart'!$A:$A,0),MATCH(XLOOKUP($L24,'Pokemon Editor'!$A:$A,'Pokemon Editor'!$D:$D,""),'Type Chart'!$B$1:$S$1,0)))),base,IF(OR(cat="Status",pow=0),0,FLOOR(FLOOR(FLOOR((2*XLOOKUP($K24,'Threshold Summary'!$Y:$Y,'Threshold Summary'!$L:$L,"")/5+2)*pow*atk/def)/50)+2)),modifier,stab*eff,FLOOR(base*modifier)),0)</f>
        <v/>
      </c>
      <c r="H24" s="3">
        <f>IFERROR(LET(mtype,XLOOKUP($D24,'Move Editor'!$B:$B,'Move Editor'!$C:$C,""),cat,XLOOKUP($D24,'Move Editor'!$B:$B,'Move Editor'!$D:$D,""),pow,XLOOKUP($D24,'Move Editor'!$B:$B,'Move Editor'!$E:$E,0),acc,XLOOKUP($D24,'Move Editor'!$B:$B,'Move Editor'!$F:$F,100),atk,IF(cat="Physical",FLOOR((FLOOR(((2*XLOOKUP(XLOOKUP($K24,'Threshold Summary'!$Y:$Y,'Threshold Summary'!$K:$K,""),'Pokemon Editor'!$A:$A,'Pokemon Editor'!$F:$F,0)+31+FLOOR(XLOOKUP($K24,'Threshold Summary'!$Y:$Y,'Threshold Summary'!$P:$P,"")/4))*XLOOKUP($K24,'Threshold Summary'!$Y:$Y,'Threshold Summary'!$L:$L,""))/100)+5)*XLOOKUP(XLOOKUP($K24,'Threshold Summary'!$Y:$Y,'Threshold Summary'!$M:$M,""),'Nature Editor'!$A:$A,'Nature Editor'!$B:$B,1)),FLOOR((FLOOR(((2*XLOOKUP(XLOOKUP($K24,'Threshold Summary'!$Y:$Y,'Threshold Summary'!$K:$K,""),'Pokemon Editor'!$A:$A,'Pokemon Editor'!$H:$H,0)+31+FLOOR(XLOOKUP($K24,'Threshold Summary'!$Y:$Y,'Threshold Summary'!$R:$R,"")/4))*XLOOKUP($K24,'Threshold Summary'!$Y:$Y,'Threshold Summary'!$L:$L,""))/100)+5)*XLOOKUP(XLOOKUP($K24,'Threshold Summary'!$Y:$Y,'Threshold Summary'!$M:$M,""),'Nature Editor'!$A:$A,'Nature Editor'!$D:$D,1))),def,IF(cat="Physical",FLOOR((FLOOR(((2*XLOOKUP($L24,'Pokemon Editor'!$A:$A,'Pokemon Editor'!$G:$G,0)+31+FLOOR(XLOOKUP($L24,'Boss Editor'!$C:$C,'Boss Editor'!$I:$I,"")/4))*XLOOKUP($L24,'Boss Editor'!$C:$C,'Boss Editor'!$D:$D,""))/100)+5)*XLOOKUP(XLOOKUP($L24,'Boss Editor'!$C:$C,'Boss Editor'!$E:$E,""),'Nature Editor'!$A:$A,'Nature Editor'!$C:$C,1)),FLOOR((FLOOR(((2*XLOOKUP($L24,'Pokemon Editor'!$A:$A,'Pokemon Editor'!$I:$I,0)+31+FLOOR(XLOOKUP($L24,'Boss Editor'!$C:$C,'Boss Editor'!$K:$K,"")/4))*XLOOKUP($L24,'Boss Editor'!$C:$C,'Boss Editor'!$D:$D,""))/100)+5)*XLOOKUP(XLOOKUP($L24,'Boss Editor'!$C:$C,'Boss Editor'!$E:$E,""),'Nature Editor'!$A:$A,'Nature Editor'!$E:$E,1))),stab,IF(OR(mtype=XLOOKUP(XLOOKUP($K24,'Threshold Summary'!$Y:$Y,'Threshold Summary'!$K:$K,""),'Pokemon Editor'!$A:$A,'Pokemon Editor'!$C:$C,""),mtype=XLOOKUP(XLOOKUP($K24,'Threshold Summary'!$Y:$Y,'Threshold Summary'!$K:$K,""),'Pokemon Editor'!$A:$A,'Pokemon Editor'!$D:$D,"")),1.5,1),eff,(INDEX('Type Chart'!$B:$S,MATCH(mtype,'Type Chart'!$A:$A,0),MATCH(XLOOKUP($L24,'Pokemon Editor'!$A:$A,'Pokemon Editor'!$C:$C,""),'Type Chart'!$B$1:$S$1,0))*IF(XLOOKUP($L24,'Pokemon Editor'!$A:$A,'Pokemon Editor'!$D:$D,"")="",1,INDEX('Type Chart'!$B:$S,MATCH(mtype,'Type Chart'!$A:$A,0),MATCH(XLOOKUP($L24,'Pokemon Editor'!$A:$A,'Pokemon Editor'!$D:$D,""),'Type Chart'!$B$1:$S$1,0)))),base,IF(OR(cat="Status",pow=0),0,FLOOR(FLOOR(FLOOR((2*XLOOKUP($K24,'Threshold Summary'!$Y:$Y,'Threshold Summary'!$L:$L,"")/5+2)*pow*atk/def)/50)+2)),modifier,stab*eff,AVERAGE(ARRAYFORMULA(FLOOR(base*modifier*SEQUENCE(16,1,85,1)/100)))),0)</f>
        <v/>
      </c>
      <c r="I24" s="4">
        <f>IFERROR(LET(mtype,XLOOKUP($D24,'Move Editor'!$B:$B,'Move Editor'!$C:$C,""),cat,XLOOKUP($D24,'Move Editor'!$B:$B,'Move Editor'!$D:$D,""),pow,XLOOKUP($D24,'Move Editor'!$B:$B,'Move Editor'!$E:$E,0),acc,XLOOKUP($D24,'Move Editor'!$B:$B,'Move Editor'!$F:$F,100),atk,IF(cat="Physical",FLOOR((FLOOR(((2*XLOOKUP(XLOOKUP($K24,'Threshold Summary'!$Y:$Y,'Threshold Summary'!$K:$K,""),'Pokemon Editor'!$A:$A,'Pokemon Editor'!$F:$F,0)+31+FLOOR(XLOOKUP($K24,'Threshold Summary'!$Y:$Y,'Threshold Summary'!$P:$P,"")/4))*XLOOKUP($K24,'Threshold Summary'!$Y:$Y,'Threshold Summary'!$L:$L,""))/100)+5)*XLOOKUP(XLOOKUP($K24,'Threshold Summary'!$Y:$Y,'Threshold Summary'!$M:$M,""),'Nature Editor'!$A:$A,'Nature Editor'!$B:$B,1)),FLOOR((FLOOR(((2*XLOOKUP(XLOOKUP($K24,'Threshold Summary'!$Y:$Y,'Threshold Summary'!$K:$K,""),'Pokemon Editor'!$A:$A,'Pokemon Editor'!$H:$H,0)+31+FLOOR(XLOOKUP($K24,'Threshold Summary'!$Y:$Y,'Threshold Summary'!$R:$R,"")/4))*XLOOKUP($K24,'Threshold Summary'!$Y:$Y,'Threshold Summary'!$L:$L,""))/100)+5)*XLOOKUP(XLOOKUP($K24,'Threshold Summary'!$Y:$Y,'Threshold Summary'!$M:$M,""),'Nature Editor'!$A:$A,'Nature Editor'!$D:$D,1))),def,IF(cat="Physical",FLOOR((FLOOR(((2*XLOOKUP($L24,'Pokemon Editor'!$A:$A,'Pokemon Editor'!$G:$G,0)+31+FLOOR(XLOOKUP($L24,'Boss Editor'!$C:$C,'Boss Editor'!$I:$I,"")/4))*XLOOKUP($L24,'Boss Editor'!$C:$C,'Boss Editor'!$D:$D,""))/100)+5)*XLOOKUP(XLOOKUP($L24,'Boss Editor'!$C:$C,'Boss Editor'!$E:$E,""),'Nature Editor'!$A:$A,'Nature Editor'!$C:$C,1)),FLOOR((FLOOR(((2*XLOOKUP($L24,'Pokemon Editor'!$A:$A,'Pokemon Editor'!$I:$I,0)+31+FLOOR(XLOOKUP($L24,'Boss Editor'!$C:$C,'Boss Editor'!$K:$K,"")/4))*XLOOKUP($L24,'Boss Editor'!$C:$C,'Boss Editor'!$D:$D,""))/100)+5)*XLOOKUP(XLOOKUP($L24,'Boss Editor'!$C:$C,'Boss Editor'!$E:$E,""),'Nature Editor'!$A:$A,'Nature Editor'!$E:$E,1))),stab,IF(OR(mtype=XLOOKUP(XLOOKUP($K24,'Threshold Summary'!$Y:$Y,'Threshold Summary'!$K:$K,""),'Pokemon Editor'!$A:$A,'Pokemon Editor'!$C:$C,""),mtype=XLOOKUP(XLOOKUP($K24,'Threshold Summary'!$Y:$Y,'Threshold Summary'!$K:$K,""),'Pokemon Editor'!$A:$A,'Pokemon Editor'!$D:$D,"")),1.5,1),eff,(INDEX('Type Chart'!$B:$S,MATCH(mtype,'Type Chart'!$A:$A,0),MATCH(XLOOKUP($L24,'Pokemon Editor'!$A:$A,'Pokemon Editor'!$C:$C,""),'Type Chart'!$B$1:$S$1,0))*IF(XLOOKUP($L24,'Pokemon Editor'!$A:$A,'Pokemon Editor'!$D:$D,"")="",1,INDEX('Type Chart'!$B:$S,MATCH(mtype,'Type Chart'!$A:$A,0),MATCH(XLOOKUP($L24,'Pokemon Editor'!$A:$A,'Pokemon Editor'!$D:$D,""),'Type Chart'!$B$1:$S$1,0)))),base,IF(OR(cat="Status",pow=0),0,FLOOR(FLOOR(FLOOR((2*XLOOKUP($K24,'Threshold Summary'!$Y:$Y,'Threshold Summary'!$L:$L,"")/5+2)*pow*atk/def)/50)+2)),modifier,stab*eff,AVERAGE(ARRAYFORMULA(FLOOR(base*modifier*SEQUENCE(16,1,85,1)/100)))/(FLOOR(((2*XLOOKUP($L24,'Pokemon Editor'!$A:$A,'Pokemon Editor'!$E:$E,0)+31+FLOOR(XLOOKUP($L24,'Boss Editor'!$C:$C,'Boss Editor'!$G:$G,"")/4))*XLOOKUP($L24,'Boss Editor'!$C:$C,'Boss Editor'!$D:$D,""))/100)+XLOOKUP($L24,'Boss Editor'!$C:$C,'Boss Editor'!$D:$D,"")+10)),0)</f>
        <v/>
      </c>
      <c r="J24" s="3">
        <f>IF(I24&gt;=1,"OHKO",IF(I24&gt;=0.5,"2HKO",IF(I24&gt;=0.333,"3HKO",IF(I24&gt;=0.25,"4HKO","5HKO+"))))</f>
        <v/>
      </c>
      <c r="K24" s="3" t="inlineStr">
        <is>
          <t>SPECIES_RALTS</t>
        </is>
      </c>
      <c r="L24" s="3" t="inlineStr">
        <is>
          <t>SPECIES_ANORITH</t>
        </is>
      </c>
    </row>
    <row r="25">
      <c r="A25" s="3">
        <f>XLOOKUP($K25,'Threshold Summary'!$Y:$Y,'Threshold Summary'!$A:$A,"")</f>
        <v/>
      </c>
      <c r="B25" s="3" t="inlineStr">
        <is>
          <t>Lileep</t>
        </is>
      </c>
      <c r="C25" s="3">
        <f>XLOOKUP($L25,'Boss Editor'!$C:$C,'Boss Editor'!$D:$D,"")</f>
        <v/>
      </c>
      <c r="D25" s="3">
        <f>XLOOKUP($K25,'Threshold Summary'!$Y:$Y,'Threshold Summary'!$B:$B,"")</f>
        <v/>
      </c>
      <c r="E25" s="3">
        <f>XLOOKUP(D25,'Move Editor'!$B:$B,'Move Editor'!$C:$C,"")</f>
        <v/>
      </c>
      <c r="F25" s="3">
        <f>IFERROR(LET(mtype,XLOOKUP($D25,'Move Editor'!$B:$B,'Move Editor'!$C:$C,""),cat,XLOOKUP($D25,'Move Editor'!$B:$B,'Move Editor'!$D:$D,""),pow,XLOOKUP($D25,'Move Editor'!$B:$B,'Move Editor'!$E:$E,0),acc,XLOOKUP($D25,'Move Editor'!$B:$B,'Move Editor'!$F:$F,100),atk,IF(cat="Physical",FLOOR((FLOOR(((2*XLOOKUP(XLOOKUP($K25,'Threshold Summary'!$Y:$Y,'Threshold Summary'!$K:$K,""),'Pokemon Editor'!$A:$A,'Pokemon Editor'!$F:$F,0)+31+FLOOR(XLOOKUP($K25,'Threshold Summary'!$Y:$Y,'Threshold Summary'!$P:$P,"")/4))*XLOOKUP($K25,'Threshold Summary'!$Y:$Y,'Threshold Summary'!$L:$L,""))/100)+5)*XLOOKUP(XLOOKUP($K25,'Threshold Summary'!$Y:$Y,'Threshold Summary'!$M:$M,""),'Nature Editor'!$A:$A,'Nature Editor'!$B:$B,1)),FLOOR((FLOOR(((2*XLOOKUP(XLOOKUP($K25,'Threshold Summary'!$Y:$Y,'Threshold Summary'!$K:$K,""),'Pokemon Editor'!$A:$A,'Pokemon Editor'!$H:$H,0)+31+FLOOR(XLOOKUP($K25,'Threshold Summary'!$Y:$Y,'Threshold Summary'!$R:$R,"")/4))*XLOOKUP($K25,'Threshold Summary'!$Y:$Y,'Threshold Summary'!$L:$L,""))/100)+5)*XLOOKUP(XLOOKUP($K25,'Threshold Summary'!$Y:$Y,'Threshold Summary'!$M:$M,""),'Nature Editor'!$A:$A,'Nature Editor'!$D:$D,1))),def,IF(cat="Physical",FLOOR((FLOOR(((2*XLOOKUP($L25,'Pokemon Editor'!$A:$A,'Pokemon Editor'!$G:$G,0)+31+FLOOR(XLOOKUP($L25,'Boss Editor'!$C:$C,'Boss Editor'!$I:$I,"")/4))*XLOOKUP($L25,'Boss Editor'!$C:$C,'Boss Editor'!$D:$D,""))/100)+5)*XLOOKUP(XLOOKUP($L25,'Boss Editor'!$C:$C,'Boss Editor'!$E:$E,""),'Nature Editor'!$A:$A,'Nature Editor'!$C:$C,1)),FLOOR((FLOOR(((2*XLOOKUP($L25,'Pokemon Editor'!$A:$A,'Pokemon Editor'!$I:$I,0)+31+FLOOR(XLOOKUP($L25,'Boss Editor'!$C:$C,'Boss Editor'!$K:$K,"")/4))*XLOOKUP($L25,'Boss Editor'!$C:$C,'Boss Editor'!$D:$D,""))/100)+5)*XLOOKUP(XLOOKUP($L25,'Boss Editor'!$C:$C,'Boss Editor'!$E:$E,""),'Nature Editor'!$A:$A,'Nature Editor'!$E:$E,1))),stab,IF(OR(mtype=XLOOKUP(XLOOKUP($K25,'Threshold Summary'!$Y:$Y,'Threshold Summary'!$K:$K,""),'Pokemon Editor'!$A:$A,'Pokemon Editor'!$C:$C,""),mtype=XLOOKUP(XLOOKUP($K25,'Threshold Summary'!$Y:$Y,'Threshold Summary'!$K:$K,""),'Pokemon Editor'!$A:$A,'Pokemon Editor'!$D:$D,"")),1.5,1),eff,(INDEX('Type Chart'!$B:$S,MATCH(mtype,'Type Chart'!$A:$A,0),MATCH(XLOOKUP($L25,'Pokemon Editor'!$A:$A,'Pokemon Editor'!$C:$C,""),'Type Chart'!$B$1:$S$1,0))*IF(XLOOKUP($L25,'Pokemon Editor'!$A:$A,'Pokemon Editor'!$D:$D,"")="",1,INDEX('Type Chart'!$B:$S,MATCH(mtype,'Type Chart'!$A:$A,0),MATCH(XLOOKUP($L25,'Pokemon Editor'!$A:$A,'Pokemon Editor'!$D:$D,""),'Type Chart'!$B$1:$S$1,0)))),base,IF(OR(cat="Status",pow=0),0,FLOOR(FLOOR(FLOOR((2*XLOOKUP($K25,'Threshold Summary'!$Y:$Y,'Threshold Summary'!$L:$L,"")/5+2)*pow*atk/def)/50)+2)),modifier,stab*eff,FLOOR(base*modifier*0.85)),0)</f>
        <v/>
      </c>
      <c r="G25" s="3">
        <f>IFERROR(LET(mtype,XLOOKUP($D25,'Move Editor'!$B:$B,'Move Editor'!$C:$C,""),cat,XLOOKUP($D25,'Move Editor'!$B:$B,'Move Editor'!$D:$D,""),pow,XLOOKUP($D25,'Move Editor'!$B:$B,'Move Editor'!$E:$E,0),acc,XLOOKUP($D25,'Move Editor'!$B:$B,'Move Editor'!$F:$F,100),atk,IF(cat="Physical",FLOOR((FLOOR(((2*XLOOKUP(XLOOKUP($K25,'Threshold Summary'!$Y:$Y,'Threshold Summary'!$K:$K,""),'Pokemon Editor'!$A:$A,'Pokemon Editor'!$F:$F,0)+31+FLOOR(XLOOKUP($K25,'Threshold Summary'!$Y:$Y,'Threshold Summary'!$P:$P,"")/4))*XLOOKUP($K25,'Threshold Summary'!$Y:$Y,'Threshold Summary'!$L:$L,""))/100)+5)*XLOOKUP(XLOOKUP($K25,'Threshold Summary'!$Y:$Y,'Threshold Summary'!$M:$M,""),'Nature Editor'!$A:$A,'Nature Editor'!$B:$B,1)),FLOOR((FLOOR(((2*XLOOKUP(XLOOKUP($K25,'Threshold Summary'!$Y:$Y,'Threshold Summary'!$K:$K,""),'Pokemon Editor'!$A:$A,'Pokemon Editor'!$H:$H,0)+31+FLOOR(XLOOKUP($K25,'Threshold Summary'!$Y:$Y,'Threshold Summary'!$R:$R,"")/4))*XLOOKUP($K25,'Threshold Summary'!$Y:$Y,'Threshold Summary'!$L:$L,""))/100)+5)*XLOOKUP(XLOOKUP($K25,'Threshold Summary'!$Y:$Y,'Threshold Summary'!$M:$M,""),'Nature Editor'!$A:$A,'Nature Editor'!$D:$D,1))),def,IF(cat="Physical",FLOOR((FLOOR(((2*XLOOKUP($L25,'Pokemon Editor'!$A:$A,'Pokemon Editor'!$G:$G,0)+31+FLOOR(XLOOKUP($L25,'Boss Editor'!$C:$C,'Boss Editor'!$I:$I,"")/4))*XLOOKUP($L25,'Boss Editor'!$C:$C,'Boss Editor'!$D:$D,""))/100)+5)*XLOOKUP(XLOOKUP($L25,'Boss Editor'!$C:$C,'Boss Editor'!$E:$E,""),'Nature Editor'!$A:$A,'Nature Editor'!$C:$C,1)),FLOOR((FLOOR(((2*XLOOKUP($L25,'Pokemon Editor'!$A:$A,'Pokemon Editor'!$I:$I,0)+31+FLOOR(XLOOKUP($L25,'Boss Editor'!$C:$C,'Boss Editor'!$K:$K,"")/4))*XLOOKUP($L25,'Boss Editor'!$C:$C,'Boss Editor'!$D:$D,""))/100)+5)*XLOOKUP(XLOOKUP($L25,'Boss Editor'!$C:$C,'Boss Editor'!$E:$E,""),'Nature Editor'!$A:$A,'Nature Editor'!$E:$E,1))),stab,IF(OR(mtype=XLOOKUP(XLOOKUP($K25,'Threshold Summary'!$Y:$Y,'Threshold Summary'!$K:$K,""),'Pokemon Editor'!$A:$A,'Pokemon Editor'!$C:$C,""),mtype=XLOOKUP(XLOOKUP($K25,'Threshold Summary'!$Y:$Y,'Threshold Summary'!$K:$K,""),'Pokemon Editor'!$A:$A,'Pokemon Editor'!$D:$D,"")),1.5,1),eff,(INDEX('Type Chart'!$B:$S,MATCH(mtype,'Type Chart'!$A:$A,0),MATCH(XLOOKUP($L25,'Pokemon Editor'!$A:$A,'Pokemon Editor'!$C:$C,""),'Type Chart'!$B$1:$S$1,0))*IF(XLOOKUP($L25,'Pokemon Editor'!$A:$A,'Pokemon Editor'!$D:$D,"")="",1,INDEX('Type Chart'!$B:$S,MATCH(mtype,'Type Chart'!$A:$A,0),MATCH(XLOOKUP($L25,'Pokemon Editor'!$A:$A,'Pokemon Editor'!$D:$D,""),'Type Chart'!$B$1:$S$1,0)))),base,IF(OR(cat="Status",pow=0),0,FLOOR(FLOOR(FLOOR((2*XLOOKUP($K25,'Threshold Summary'!$Y:$Y,'Threshold Summary'!$L:$L,"")/5+2)*pow*atk/def)/50)+2)),modifier,stab*eff,FLOOR(base*modifier)),0)</f>
        <v/>
      </c>
      <c r="H25" s="3">
        <f>IFERROR(LET(mtype,XLOOKUP($D25,'Move Editor'!$B:$B,'Move Editor'!$C:$C,""),cat,XLOOKUP($D25,'Move Editor'!$B:$B,'Move Editor'!$D:$D,""),pow,XLOOKUP($D25,'Move Editor'!$B:$B,'Move Editor'!$E:$E,0),acc,XLOOKUP($D25,'Move Editor'!$B:$B,'Move Editor'!$F:$F,100),atk,IF(cat="Physical",FLOOR((FLOOR(((2*XLOOKUP(XLOOKUP($K25,'Threshold Summary'!$Y:$Y,'Threshold Summary'!$K:$K,""),'Pokemon Editor'!$A:$A,'Pokemon Editor'!$F:$F,0)+31+FLOOR(XLOOKUP($K25,'Threshold Summary'!$Y:$Y,'Threshold Summary'!$P:$P,"")/4))*XLOOKUP($K25,'Threshold Summary'!$Y:$Y,'Threshold Summary'!$L:$L,""))/100)+5)*XLOOKUP(XLOOKUP($K25,'Threshold Summary'!$Y:$Y,'Threshold Summary'!$M:$M,""),'Nature Editor'!$A:$A,'Nature Editor'!$B:$B,1)),FLOOR((FLOOR(((2*XLOOKUP(XLOOKUP($K25,'Threshold Summary'!$Y:$Y,'Threshold Summary'!$K:$K,""),'Pokemon Editor'!$A:$A,'Pokemon Editor'!$H:$H,0)+31+FLOOR(XLOOKUP($K25,'Threshold Summary'!$Y:$Y,'Threshold Summary'!$R:$R,"")/4))*XLOOKUP($K25,'Threshold Summary'!$Y:$Y,'Threshold Summary'!$L:$L,""))/100)+5)*XLOOKUP(XLOOKUP($K25,'Threshold Summary'!$Y:$Y,'Threshold Summary'!$M:$M,""),'Nature Editor'!$A:$A,'Nature Editor'!$D:$D,1))),def,IF(cat="Physical",FLOOR((FLOOR(((2*XLOOKUP($L25,'Pokemon Editor'!$A:$A,'Pokemon Editor'!$G:$G,0)+31+FLOOR(XLOOKUP($L25,'Boss Editor'!$C:$C,'Boss Editor'!$I:$I,"")/4))*XLOOKUP($L25,'Boss Editor'!$C:$C,'Boss Editor'!$D:$D,""))/100)+5)*XLOOKUP(XLOOKUP($L25,'Boss Editor'!$C:$C,'Boss Editor'!$E:$E,""),'Nature Editor'!$A:$A,'Nature Editor'!$C:$C,1)),FLOOR((FLOOR(((2*XLOOKUP($L25,'Pokemon Editor'!$A:$A,'Pokemon Editor'!$I:$I,0)+31+FLOOR(XLOOKUP($L25,'Boss Editor'!$C:$C,'Boss Editor'!$K:$K,"")/4))*XLOOKUP($L25,'Boss Editor'!$C:$C,'Boss Editor'!$D:$D,""))/100)+5)*XLOOKUP(XLOOKUP($L25,'Boss Editor'!$C:$C,'Boss Editor'!$E:$E,""),'Nature Editor'!$A:$A,'Nature Editor'!$E:$E,1))),stab,IF(OR(mtype=XLOOKUP(XLOOKUP($K25,'Threshold Summary'!$Y:$Y,'Threshold Summary'!$K:$K,""),'Pokemon Editor'!$A:$A,'Pokemon Editor'!$C:$C,""),mtype=XLOOKUP(XLOOKUP($K25,'Threshold Summary'!$Y:$Y,'Threshold Summary'!$K:$K,""),'Pokemon Editor'!$A:$A,'Pokemon Editor'!$D:$D,"")),1.5,1),eff,(INDEX('Type Chart'!$B:$S,MATCH(mtype,'Type Chart'!$A:$A,0),MATCH(XLOOKUP($L25,'Pokemon Editor'!$A:$A,'Pokemon Editor'!$C:$C,""),'Type Chart'!$B$1:$S$1,0))*IF(XLOOKUP($L25,'Pokemon Editor'!$A:$A,'Pokemon Editor'!$D:$D,"")="",1,INDEX('Type Chart'!$B:$S,MATCH(mtype,'Type Chart'!$A:$A,0),MATCH(XLOOKUP($L25,'Pokemon Editor'!$A:$A,'Pokemon Editor'!$D:$D,""),'Type Chart'!$B$1:$S$1,0)))),base,IF(OR(cat="Status",pow=0),0,FLOOR(FLOOR(FLOOR((2*XLOOKUP($K25,'Threshold Summary'!$Y:$Y,'Threshold Summary'!$L:$L,"")/5+2)*pow*atk/def)/50)+2)),modifier,stab*eff,AVERAGE(ARRAYFORMULA(FLOOR(base*modifier*SEQUENCE(16,1,85,1)/100)))),0)</f>
        <v/>
      </c>
      <c r="I25" s="4">
        <f>IFERROR(LET(mtype,XLOOKUP($D25,'Move Editor'!$B:$B,'Move Editor'!$C:$C,""),cat,XLOOKUP($D25,'Move Editor'!$B:$B,'Move Editor'!$D:$D,""),pow,XLOOKUP($D25,'Move Editor'!$B:$B,'Move Editor'!$E:$E,0),acc,XLOOKUP($D25,'Move Editor'!$B:$B,'Move Editor'!$F:$F,100),atk,IF(cat="Physical",FLOOR((FLOOR(((2*XLOOKUP(XLOOKUP($K25,'Threshold Summary'!$Y:$Y,'Threshold Summary'!$K:$K,""),'Pokemon Editor'!$A:$A,'Pokemon Editor'!$F:$F,0)+31+FLOOR(XLOOKUP($K25,'Threshold Summary'!$Y:$Y,'Threshold Summary'!$P:$P,"")/4))*XLOOKUP($K25,'Threshold Summary'!$Y:$Y,'Threshold Summary'!$L:$L,""))/100)+5)*XLOOKUP(XLOOKUP($K25,'Threshold Summary'!$Y:$Y,'Threshold Summary'!$M:$M,""),'Nature Editor'!$A:$A,'Nature Editor'!$B:$B,1)),FLOOR((FLOOR(((2*XLOOKUP(XLOOKUP($K25,'Threshold Summary'!$Y:$Y,'Threshold Summary'!$K:$K,""),'Pokemon Editor'!$A:$A,'Pokemon Editor'!$H:$H,0)+31+FLOOR(XLOOKUP($K25,'Threshold Summary'!$Y:$Y,'Threshold Summary'!$R:$R,"")/4))*XLOOKUP($K25,'Threshold Summary'!$Y:$Y,'Threshold Summary'!$L:$L,""))/100)+5)*XLOOKUP(XLOOKUP($K25,'Threshold Summary'!$Y:$Y,'Threshold Summary'!$M:$M,""),'Nature Editor'!$A:$A,'Nature Editor'!$D:$D,1))),def,IF(cat="Physical",FLOOR((FLOOR(((2*XLOOKUP($L25,'Pokemon Editor'!$A:$A,'Pokemon Editor'!$G:$G,0)+31+FLOOR(XLOOKUP($L25,'Boss Editor'!$C:$C,'Boss Editor'!$I:$I,"")/4))*XLOOKUP($L25,'Boss Editor'!$C:$C,'Boss Editor'!$D:$D,""))/100)+5)*XLOOKUP(XLOOKUP($L25,'Boss Editor'!$C:$C,'Boss Editor'!$E:$E,""),'Nature Editor'!$A:$A,'Nature Editor'!$C:$C,1)),FLOOR((FLOOR(((2*XLOOKUP($L25,'Pokemon Editor'!$A:$A,'Pokemon Editor'!$I:$I,0)+31+FLOOR(XLOOKUP($L25,'Boss Editor'!$C:$C,'Boss Editor'!$K:$K,"")/4))*XLOOKUP($L25,'Boss Editor'!$C:$C,'Boss Editor'!$D:$D,""))/100)+5)*XLOOKUP(XLOOKUP($L25,'Boss Editor'!$C:$C,'Boss Editor'!$E:$E,""),'Nature Editor'!$A:$A,'Nature Editor'!$E:$E,1))),stab,IF(OR(mtype=XLOOKUP(XLOOKUP($K25,'Threshold Summary'!$Y:$Y,'Threshold Summary'!$K:$K,""),'Pokemon Editor'!$A:$A,'Pokemon Editor'!$C:$C,""),mtype=XLOOKUP(XLOOKUP($K25,'Threshold Summary'!$Y:$Y,'Threshold Summary'!$K:$K,""),'Pokemon Editor'!$A:$A,'Pokemon Editor'!$D:$D,"")),1.5,1),eff,(INDEX('Type Chart'!$B:$S,MATCH(mtype,'Type Chart'!$A:$A,0),MATCH(XLOOKUP($L25,'Pokemon Editor'!$A:$A,'Pokemon Editor'!$C:$C,""),'Type Chart'!$B$1:$S$1,0))*IF(XLOOKUP($L25,'Pokemon Editor'!$A:$A,'Pokemon Editor'!$D:$D,"")="",1,INDEX('Type Chart'!$B:$S,MATCH(mtype,'Type Chart'!$A:$A,0),MATCH(XLOOKUP($L25,'Pokemon Editor'!$A:$A,'Pokemon Editor'!$D:$D,""),'Type Chart'!$B$1:$S$1,0)))),base,IF(OR(cat="Status",pow=0),0,FLOOR(FLOOR(FLOOR((2*XLOOKUP($K25,'Threshold Summary'!$Y:$Y,'Threshold Summary'!$L:$L,"")/5+2)*pow*atk/def)/50)+2)),modifier,stab*eff,AVERAGE(ARRAYFORMULA(FLOOR(base*modifier*SEQUENCE(16,1,85,1)/100)))/(FLOOR(((2*XLOOKUP($L25,'Pokemon Editor'!$A:$A,'Pokemon Editor'!$E:$E,0)+31+FLOOR(XLOOKUP($L25,'Boss Editor'!$C:$C,'Boss Editor'!$G:$G,"")/4))*XLOOKUP($L25,'Boss Editor'!$C:$C,'Boss Editor'!$D:$D,""))/100)+XLOOKUP($L25,'Boss Editor'!$C:$C,'Boss Editor'!$D:$D,"")+10)),0)</f>
        <v/>
      </c>
      <c r="J25" s="3">
        <f>IF(I25&gt;=1,"OHKO",IF(I25&gt;=0.5,"2HKO",IF(I25&gt;=0.333,"3HKO",IF(I25&gt;=0.25,"4HKO","5HKO+"))))</f>
        <v/>
      </c>
      <c r="K25" s="3" t="inlineStr">
        <is>
          <t>SPECIES_RALTS</t>
        </is>
      </c>
      <c r="L25" s="3" t="inlineStr">
        <is>
          <t>SPECIES_LILEEP</t>
        </is>
      </c>
    </row>
    <row r="26">
      <c r="A26" s="3">
        <f>XLOOKUP($K26,'Threshold Summary'!$Y:$Y,'Threshold Summary'!$A:$A,"")</f>
        <v/>
      </c>
      <c r="B26" s="3" t="inlineStr">
        <is>
          <t>Tirtouga</t>
        </is>
      </c>
      <c r="C26" s="3">
        <f>XLOOKUP($L26,'Boss Editor'!$C:$C,'Boss Editor'!$D:$D,"")</f>
        <v/>
      </c>
      <c r="D26" s="3">
        <f>XLOOKUP($K26,'Threshold Summary'!$Y:$Y,'Threshold Summary'!$B:$B,"")</f>
        <v/>
      </c>
      <c r="E26" s="3">
        <f>XLOOKUP(D26,'Move Editor'!$B:$B,'Move Editor'!$C:$C,"")</f>
        <v/>
      </c>
      <c r="F26" s="3">
        <f>IFERROR(LET(mtype,XLOOKUP($D26,'Move Editor'!$B:$B,'Move Editor'!$C:$C,""),cat,XLOOKUP($D26,'Move Editor'!$B:$B,'Move Editor'!$D:$D,""),pow,XLOOKUP($D26,'Move Editor'!$B:$B,'Move Editor'!$E:$E,0),acc,XLOOKUP($D26,'Move Editor'!$B:$B,'Move Editor'!$F:$F,100),atk,IF(cat="Physical",FLOOR((FLOOR(((2*XLOOKUP(XLOOKUP($K26,'Threshold Summary'!$Y:$Y,'Threshold Summary'!$K:$K,""),'Pokemon Editor'!$A:$A,'Pokemon Editor'!$F:$F,0)+31+FLOOR(XLOOKUP($K26,'Threshold Summary'!$Y:$Y,'Threshold Summary'!$P:$P,"")/4))*XLOOKUP($K26,'Threshold Summary'!$Y:$Y,'Threshold Summary'!$L:$L,""))/100)+5)*XLOOKUP(XLOOKUP($K26,'Threshold Summary'!$Y:$Y,'Threshold Summary'!$M:$M,""),'Nature Editor'!$A:$A,'Nature Editor'!$B:$B,1)),FLOOR((FLOOR(((2*XLOOKUP(XLOOKUP($K26,'Threshold Summary'!$Y:$Y,'Threshold Summary'!$K:$K,""),'Pokemon Editor'!$A:$A,'Pokemon Editor'!$H:$H,0)+31+FLOOR(XLOOKUP($K26,'Threshold Summary'!$Y:$Y,'Threshold Summary'!$R:$R,"")/4))*XLOOKUP($K26,'Threshold Summary'!$Y:$Y,'Threshold Summary'!$L:$L,""))/100)+5)*XLOOKUP(XLOOKUP($K26,'Threshold Summary'!$Y:$Y,'Threshold Summary'!$M:$M,""),'Nature Editor'!$A:$A,'Nature Editor'!$D:$D,1))),def,IF(cat="Physical",FLOOR((FLOOR(((2*XLOOKUP($L26,'Pokemon Editor'!$A:$A,'Pokemon Editor'!$G:$G,0)+31+FLOOR(XLOOKUP($L26,'Boss Editor'!$C:$C,'Boss Editor'!$I:$I,"")/4))*XLOOKUP($L26,'Boss Editor'!$C:$C,'Boss Editor'!$D:$D,""))/100)+5)*XLOOKUP(XLOOKUP($L26,'Boss Editor'!$C:$C,'Boss Editor'!$E:$E,""),'Nature Editor'!$A:$A,'Nature Editor'!$C:$C,1)),FLOOR((FLOOR(((2*XLOOKUP($L26,'Pokemon Editor'!$A:$A,'Pokemon Editor'!$I:$I,0)+31+FLOOR(XLOOKUP($L26,'Boss Editor'!$C:$C,'Boss Editor'!$K:$K,"")/4))*XLOOKUP($L26,'Boss Editor'!$C:$C,'Boss Editor'!$D:$D,""))/100)+5)*XLOOKUP(XLOOKUP($L26,'Boss Editor'!$C:$C,'Boss Editor'!$E:$E,""),'Nature Editor'!$A:$A,'Nature Editor'!$E:$E,1))),stab,IF(OR(mtype=XLOOKUP(XLOOKUP($K26,'Threshold Summary'!$Y:$Y,'Threshold Summary'!$K:$K,""),'Pokemon Editor'!$A:$A,'Pokemon Editor'!$C:$C,""),mtype=XLOOKUP(XLOOKUP($K26,'Threshold Summary'!$Y:$Y,'Threshold Summary'!$K:$K,""),'Pokemon Editor'!$A:$A,'Pokemon Editor'!$D:$D,"")),1.5,1),eff,(INDEX('Type Chart'!$B:$S,MATCH(mtype,'Type Chart'!$A:$A,0),MATCH(XLOOKUP($L26,'Pokemon Editor'!$A:$A,'Pokemon Editor'!$C:$C,""),'Type Chart'!$B$1:$S$1,0))*IF(XLOOKUP($L26,'Pokemon Editor'!$A:$A,'Pokemon Editor'!$D:$D,"")="",1,INDEX('Type Chart'!$B:$S,MATCH(mtype,'Type Chart'!$A:$A,0),MATCH(XLOOKUP($L26,'Pokemon Editor'!$A:$A,'Pokemon Editor'!$D:$D,""),'Type Chart'!$B$1:$S$1,0)))),base,IF(OR(cat="Status",pow=0),0,FLOOR(FLOOR(FLOOR((2*XLOOKUP($K26,'Threshold Summary'!$Y:$Y,'Threshold Summary'!$L:$L,"")/5+2)*pow*atk/def)/50)+2)),modifier,stab*eff,FLOOR(base*modifier*0.85)),0)</f>
        <v/>
      </c>
      <c r="G26" s="3">
        <f>IFERROR(LET(mtype,XLOOKUP($D26,'Move Editor'!$B:$B,'Move Editor'!$C:$C,""),cat,XLOOKUP($D26,'Move Editor'!$B:$B,'Move Editor'!$D:$D,""),pow,XLOOKUP($D26,'Move Editor'!$B:$B,'Move Editor'!$E:$E,0),acc,XLOOKUP($D26,'Move Editor'!$B:$B,'Move Editor'!$F:$F,100),atk,IF(cat="Physical",FLOOR((FLOOR(((2*XLOOKUP(XLOOKUP($K26,'Threshold Summary'!$Y:$Y,'Threshold Summary'!$K:$K,""),'Pokemon Editor'!$A:$A,'Pokemon Editor'!$F:$F,0)+31+FLOOR(XLOOKUP($K26,'Threshold Summary'!$Y:$Y,'Threshold Summary'!$P:$P,"")/4))*XLOOKUP($K26,'Threshold Summary'!$Y:$Y,'Threshold Summary'!$L:$L,""))/100)+5)*XLOOKUP(XLOOKUP($K26,'Threshold Summary'!$Y:$Y,'Threshold Summary'!$M:$M,""),'Nature Editor'!$A:$A,'Nature Editor'!$B:$B,1)),FLOOR((FLOOR(((2*XLOOKUP(XLOOKUP($K26,'Threshold Summary'!$Y:$Y,'Threshold Summary'!$K:$K,""),'Pokemon Editor'!$A:$A,'Pokemon Editor'!$H:$H,0)+31+FLOOR(XLOOKUP($K26,'Threshold Summary'!$Y:$Y,'Threshold Summary'!$R:$R,"")/4))*XLOOKUP($K26,'Threshold Summary'!$Y:$Y,'Threshold Summary'!$L:$L,""))/100)+5)*XLOOKUP(XLOOKUP($K26,'Threshold Summary'!$Y:$Y,'Threshold Summary'!$M:$M,""),'Nature Editor'!$A:$A,'Nature Editor'!$D:$D,1))),def,IF(cat="Physical",FLOOR((FLOOR(((2*XLOOKUP($L26,'Pokemon Editor'!$A:$A,'Pokemon Editor'!$G:$G,0)+31+FLOOR(XLOOKUP($L26,'Boss Editor'!$C:$C,'Boss Editor'!$I:$I,"")/4))*XLOOKUP($L26,'Boss Editor'!$C:$C,'Boss Editor'!$D:$D,""))/100)+5)*XLOOKUP(XLOOKUP($L26,'Boss Editor'!$C:$C,'Boss Editor'!$E:$E,""),'Nature Editor'!$A:$A,'Nature Editor'!$C:$C,1)),FLOOR((FLOOR(((2*XLOOKUP($L26,'Pokemon Editor'!$A:$A,'Pokemon Editor'!$I:$I,0)+31+FLOOR(XLOOKUP($L26,'Boss Editor'!$C:$C,'Boss Editor'!$K:$K,"")/4))*XLOOKUP($L26,'Boss Editor'!$C:$C,'Boss Editor'!$D:$D,""))/100)+5)*XLOOKUP(XLOOKUP($L26,'Boss Editor'!$C:$C,'Boss Editor'!$E:$E,""),'Nature Editor'!$A:$A,'Nature Editor'!$E:$E,1))),stab,IF(OR(mtype=XLOOKUP(XLOOKUP($K26,'Threshold Summary'!$Y:$Y,'Threshold Summary'!$K:$K,""),'Pokemon Editor'!$A:$A,'Pokemon Editor'!$C:$C,""),mtype=XLOOKUP(XLOOKUP($K26,'Threshold Summary'!$Y:$Y,'Threshold Summary'!$K:$K,""),'Pokemon Editor'!$A:$A,'Pokemon Editor'!$D:$D,"")),1.5,1),eff,(INDEX('Type Chart'!$B:$S,MATCH(mtype,'Type Chart'!$A:$A,0),MATCH(XLOOKUP($L26,'Pokemon Editor'!$A:$A,'Pokemon Editor'!$C:$C,""),'Type Chart'!$B$1:$S$1,0))*IF(XLOOKUP($L26,'Pokemon Editor'!$A:$A,'Pokemon Editor'!$D:$D,"")="",1,INDEX('Type Chart'!$B:$S,MATCH(mtype,'Type Chart'!$A:$A,0),MATCH(XLOOKUP($L26,'Pokemon Editor'!$A:$A,'Pokemon Editor'!$D:$D,""),'Type Chart'!$B$1:$S$1,0)))),base,IF(OR(cat="Status",pow=0),0,FLOOR(FLOOR(FLOOR((2*XLOOKUP($K26,'Threshold Summary'!$Y:$Y,'Threshold Summary'!$L:$L,"")/5+2)*pow*atk/def)/50)+2)),modifier,stab*eff,FLOOR(base*modifier)),0)</f>
        <v/>
      </c>
      <c r="H26" s="3">
        <f>IFERROR(LET(mtype,XLOOKUP($D26,'Move Editor'!$B:$B,'Move Editor'!$C:$C,""),cat,XLOOKUP($D26,'Move Editor'!$B:$B,'Move Editor'!$D:$D,""),pow,XLOOKUP($D26,'Move Editor'!$B:$B,'Move Editor'!$E:$E,0),acc,XLOOKUP($D26,'Move Editor'!$B:$B,'Move Editor'!$F:$F,100),atk,IF(cat="Physical",FLOOR((FLOOR(((2*XLOOKUP(XLOOKUP($K26,'Threshold Summary'!$Y:$Y,'Threshold Summary'!$K:$K,""),'Pokemon Editor'!$A:$A,'Pokemon Editor'!$F:$F,0)+31+FLOOR(XLOOKUP($K26,'Threshold Summary'!$Y:$Y,'Threshold Summary'!$P:$P,"")/4))*XLOOKUP($K26,'Threshold Summary'!$Y:$Y,'Threshold Summary'!$L:$L,""))/100)+5)*XLOOKUP(XLOOKUP($K26,'Threshold Summary'!$Y:$Y,'Threshold Summary'!$M:$M,""),'Nature Editor'!$A:$A,'Nature Editor'!$B:$B,1)),FLOOR((FLOOR(((2*XLOOKUP(XLOOKUP($K26,'Threshold Summary'!$Y:$Y,'Threshold Summary'!$K:$K,""),'Pokemon Editor'!$A:$A,'Pokemon Editor'!$H:$H,0)+31+FLOOR(XLOOKUP($K26,'Threshold Summary'!$Y:$Y,'Threshold Summary'!$R:$R,"")/4))*XLOOKUP($K26,'Threshold Summary'!$Y:$Y,'Threshold Summary'!$L:$L,""))/100)+5)*XLOOKUP(XLOOKUP($K26,'Threshold Summary'!$Y:$Y,'Threshold Summary'!$M:$M,""),'Nature Editor'!$A:$A,'Nature Editor'!$D:$D,1))),def,IF(cat="Physical",FLOOR((FLOOR(((2*XLOOKUP($L26,'Pokemon Editor'!$A:$A,'Pokemon Editor'!$G:$G,0)+31+FLOOR(XLOOKUP($L26,'Boss Editor'!$C:$C,'Boss Editor'!$I:$I,"")/4))*XLOOKUP($L26,'Boss Editor'!$C:$C,'Boss Editor'!$D:$D,""))/100)+5)*XLOOKUP(XLOOKUP($L26,'Boss Editor'!$C:$C,'Boss Editor'!$E:$E,""),'Nature Editor'!$A:$A,'Nature Editor'!$C:$C,1)),FLOOR((FLOOR(((2*XLOOKUP($L26,'Pokemon Editor'!$A:$A,'Pokemon Editor'!$I:$I,0)+31+FLOOR(XLOOKUP($L26,'Boss Editor'!$C:$C,'Boss Editor'!$K:$K,"")/4))*XLOOKUP($L26,'Boss Editor'!$C:$C,'Boss Editor'!$D:$D,""))/100)+5)*XLOOKUP(XLOOKUP($L26,'Boss Editor'!$C:$C,'Boss Editor'!$E:$E,""),'Nature Editor'!$A:$A,'Nature Editor'!$E:$E,1))),stab,IF(OR(mtype=XLOOKUP(XLOOKUP($K26,'Threshold Summary'!$Y:$Y,'Threshold Summary'!$K:$K,""),'Pokemon Editor'!$A:$A,'Pokemon Editor'!$C:$C,""),mtype=XLOOKUP(XLOOKUP($K26,'Threshold Summary'!$Y:$Y,'Threshold Summary'!$K:$K,""),'Pokemon Editor'!$A:$A,'Pokemon Editor'!$D:$D,"")),1.5,1),eff,(INDEX('Type Chart'!$B:$S,MATCH(mtype,'Type Chart'!$A:$A,0),MATCH(XLOOKUP($L26,'Pokemon Editor'!$A:$A,'Pokemon Editor'!$C:$C,""),'Type Chart'!$B$1:$S$1,0))*IF(XLOOKUP($L26,'Pokemon Editor'!$A:$A,'Pokemon Editor'!$D:$D,"")="",1,INDEX('Type Chart'!$B:$S,MATCH(mtype,'Type Chart'!$A:$A,0),MATCH(XLOOKUP($L26,'Pokemon Editor'!$A:$A,'Pokemon Editor'!$D:$D,""),'Type Chart'!$B$1:$S$1,0)))),base,IF(OR(cat="Status",pow=0),0,FLOOR(FLOOR(FLOOR((2*XLOOKUP($K26,'Threshold Summary'!$Y:$Y,'Threshold Summary'!$L:$L,"")/5+2)*pow*atk/def)/50)+2)),modifier,stab*eff,AVERAGE(ARRAYFORMULA(FLOOR(base*modifier*SEQUENCE(16,1,85,1)/100)))),0)</f>
        <v/>
      </c>
      <c r="I26" s="4">
        <f>IFERROR(LET(mtype,XLOOKUP($D26,'Move Editor'!$B:$B,'Move Editor'!$C:$C,""),cat,XLOOKUP($D26,'Move Editor'!$B:$B,'Move Editor'!$D:$D,""),pow,XLOOKUP($D26,'Move Editor'!$B:$B,'Move Editor'!$E:$E,0),acc,XLOOKUP($D26,'Move Editor'!$B:$B,'Move Editor'!$F:$F,100),atk,IF(cat="Physical",FLOOR((FLOOR(((2*XLOOKUP(XLOOKUP($K26,'Threshold Summary'!$Y:$Y,'Threshold Summary'!$K:$K,""),'Pokemon Editor'!$A:$A,'Pokemon Editor'!$F:$F,0)+31+FLOOR(XLOOKUP($K26,'Threshold Summary'!$Y:$Y,'Threshold Summary'!$P:$P,"")/4))*XLOOKUP($K26,'Threshold Summary'!$Y:$Y,'Threshold Summary'!$L:$L,""))/100)+5)*XLOOKUP(XLOOKUP($K26,'Threshold Summary'!$Y:$Y,'Threshold Summary'!$M:$M,""),'Nature Editor'!$A:$A,'Nature Editor'!$B:$B,1)),FLOOR((FLOOR(((2*XLOOKUP(XLOOKUP($K26,'Threshold Summary'!$Y:$Y,'Threshold Summary'!$K:$K,""),'Pokemon Editor'!$A:$A,'Pokemon Editor'!$H:$H,0)+31+FLOOR(XLOOKUP($K26,'Threshold Summary'!$Y:$Y,'Threshold Summary'!$R:$R,"")/4))*XLOOKUP($K26,'Threshold Summary'!$Y:$Y,'Threshold Summary'!$L:$L,""))/100)+5)*XLOOKUP(XLOOKUP($K26,'Threshold Summary'!$Y:$Y,'Threshold Summary'!$M:$M,""),'Nature Editor'!$A:$A,'Nature Editor'!$D:$D,1))),def,IF(cat="Physical",FLOOR((FLOOR(((2*XLOOKUP($L26,'Pokemon Editor'!$A:$A,'Pokemon Editor'!$G:$G,0)+31+FLOOR(XLOOKUP($L26,'Boss Editor'!$C:$C,'Boss Editor'!$I:$I,"")/4))*XLOOKUP($L26,'Boss Editor'!$C:$C,'Boss Editor'!$D:$D,""))/100)+5)*XLOOKUP(XLOOKUP($L26,'Boss Editor'!$C:$C,'Boss Editor'!$E:$E,""),'Nature Editor'!$A:$A,'Nature Editor'!$C:$C,1)),FLOOR((FLOOR(((2*XLOOKUP($L26,'Pokemon Editor'!$A:$A,'Pokemon Editor'!$I:$I,0)+31+FLOOR(XLOOKUP($L26,'Boss Editor'!$C:$C,'Boss Editor'!$K:$K,"")/4))*XLOOKUP($L26,'Boss Editor'!$C:$C,'Boss Editor'!$D:$D,""))/100)+5)*XLOOKUP(XLOOKUP($L26,'Boss Editor'!$C:$C,'Boss Editor'!$E:$E,""),'Nature Editor'!$A:$A,'Nature Editor'!$E:$E,1))),stab,IF(OR(mtype=XLOOKUP(XLOOKUP($K26,'Threshold Summary'!$Y:$Y,'Threshold Summary'!$K:$K,""),'Pokemon Editor'!$A:$A,'Pokemon Editor'!$C:$C,""),mtype=XLOOKUP(XLOOKUP($K26,'Threshold Summary'!$Y:$Y,'Threshold Summary'!$K:$K,""),'Pokemon Editor'!$A:$A,'Pokemon Editor'!$D:$D,"")),1.5,1),eff,(INDEX('Type Chart'!$B:$S,MATCH(mtype,'Type Chart'!$A:$A,0),MATCH(XLOOKUP($L26,'Pokemon Editor'!$A:$A,'Pokemon Editor'!$C:$C,""),'Type Chart'!$B$1:$S$1,0))*IF(XLOOKUP($L26,'Pokemon Editor'!$A:$A,'Pokemon Editor'!$D:$D,"")="",1,INDEX('Type Chart'!$B:$S,MATCH(mtype,'Type Chart'!$A:$A,0),MATCH(XLOOKUP($L26,'Pokemon Editor'!$A:$A,'Pokemon Editor'!$D:$D,""),'Type Chart'!$B$1:$S$1,0)))),base,IF(OR(cat="Status",pow=0),0,FLOOR(FLOOR(FLOOR((2*XLOOKUP($K26,'Threshold Summary'!$Y:$Y,'Threshold Summary'!$L:$L,"")/5+2)*pow*atk/def)/50)+2)),modifier,stab*eff,AVERAGE(ARRAYFORMULA(FLOOR(base*modifier*SEQUENCE(16,1,85,1)/100)))/(FLOOR(((2*XLOOKUP($L26,'Pokemon Editor'!$A:$A,'Pokemon Editor'!$E:$E,0)+31+FLOOR(XLOOKUP($L26,'Boss Editor'!$C:$C,'Boss Editor'!$G:$G,"")/4))*XLOOKUP($L26,'Boss Editor'!$C:$C,'Boss Editor'!$D:$D,""))/100)+XLOOKUP($L26,'Boss Editor'!$C:$C,'Boss Editor'!$D:$D,"")+10)),0)</f>
        <v/>
      </c>
      <c r="J26" s="3">
        <f>IF(I26&gt;=1,"OHKO",IF(I26&gt;=0.5,"2HKO",IF(I26&gt;=0.333,"3HKO",IF(I26&gt;=0.25,"4HKO","5HKO+"))))</f>
        <v/>
      </c>
      <c r="K26" s="3" t="inlineStr">
        <is>
          <t>SPECIES_BUDEW</t>
        </is>
      </c>
      <c r="L26" s="3" t="inlineStr">
        <is>
          <t>SPECIES_TIRTOUGA</t>
        </is>
      </c>
    </row>
    <row r="27">
      <c r="A27" s="3">
        <f>XLOOKUP($K27,'Threshold Summary'!$Y:$Y,'Threshold Summary'!$A:$A,"")</f>
        <v/>
      </c>
      <c r="B27" s="3" t="inlineStr">
        <is>
          <t>Anorith</t>
        </is>
      </c>
      <c r="C27" s="3">
        <f>XLOOKUP($L27,'Boss Editor'!$C:$C,'Boss Editor'!$D:$D,"")</f>
        <v/>
      </c>
      <c r="D27" s="3">
        <f>XLOOKUP($K27,'Threshold Summary'!$Y:$Y,'Threshold Summary'!$B:$B,"")</f>
        <v/>
      </c>
      <c r="E27" s="3">
        <f>XLOOKUP(D27,'Move Editor'!$B:$B,'Move Editor'!$C:$C,"")</f>
        <v/>
      </c>
      <c r="F27" s="3">
        <f>IFERROR(LET(mtype,XLOOKUP($D27,'Move Editor'!$B:$B,'Move Editor'!$C:$C,""),cat,XLOOKUP($D27,'Move Editor'!$B:$B,'Move Editor'!$D:$D,""),pow,XLOOKUP($D27,'Move Editor'!$B:$B,'Move Editor'!$E:$E,0),acc,XLOOKUP($D27,'Move Editor'!$B:$B,'Move Editor'!$F:$F,100),atk,IF(cat="Physical",FLOOR((FLOOR(((2*XLOOKUP(XLOOKUP($K27,'Threshold Summary'!$Y:$Y,'Threshold Summary'!$K:$K,""),'Pokemon Editor'!$A:$A,'Pokemon Editor'!$F:$F,0)+31+FLOOR(XLOOKUP($K27,'Threshold Summary'!$Y:$Y,'Threshold Summary'!$P:$P,"")/4))*XLOOKUP($K27,'Threshold Summary'!$Y:$Y,'Threshold Summary'!$L:$L,""))/100)+5)*XLOOKUP(XLOOKUP($K27,'Threshold Summary'!$Y:$Y,'Threshold Summary'!$M:$M,""),'Nature Editor'!$A:$A,'Nature Editor'!$B:$B,1)),FLOOR((FLOOR(((2*XLOOKUP(XLOOKUP($K27,'Threshold Summary'!$Y:$Y,'Threshold Summary'!$K:$K,""),'Pokemon Editor'!$A:$A,'Pokemon Editor'!$H:$H,0)+31+FLOOR(XLOOKUP($K27,'Threshold Summary'!$Y:$Y,'Threshold Summary'!$R:$R,"")/4))*XLOOKUP($K27,'Threshold Summary'!$Y:$Y,'Threshold Summary'!$L:$L,""))/100)+5)*XLOOKUP(XLOOKUP($K27,'Threshold Summary'!$Y:$Y,'Threshold Summary'!$M:$M,""),'Nature Editor'!$A:$A,'Nature Editor'!$D:$D,1))),def,IF(cat="Physical",FLOOR((FLOOR(((2*XLOOKUP($L27,'Pokemon Editor'!$A:$A,'Pokemon Editor'!$G:$G,0)+31+FLOOR(XLOOKUP($L27,'Boss Editor'!$C:$C,'Boss Editor'!$I:$I,"")/4))*XLOOKUP($L27,'Boss Editor'!$C:$C,'Boss Editor'!$D:$D,""))/100)+5)*XLOOKUP(XLOOKUP($L27,'Boss Editor'!$C:$C,'Boss Editor'!$E:$E,""),'Nature Editor'!$A:$A,'Nature Editor'!$C:$C,1)),FLOOR((FLOOR(((2*XLOOKUP($L27,'Pokemon Editor'!$A:$A,'Pokemon Editor'!$I:$I,0)+31+FLOOR(XLOOKUP($L27,'Boss Editor'!$C:$C,'Boss Editor'!$K:$K,"")/4))*XLOOKUP($L27,'Boss Editor'!$C:$C,'Boss Editor'!$D:$D,""))/100)+5)*XLOOKUP(XLOOKUP($L27,'Boss Editor'!$C:$C,'Boss Editor'!$E:$E,""),'Nature Editor'!$A:$A,'Nature Editor'!$E:$E,1))),stab,IF(OR(mtype=XLOOKUP(XLOOKUP($K27,'Threshold Summary'!$Y:$Y,'Threshold Summary'!$K:$K,""),'Pokemon Editor'!$A:$A,'Pokemon Editor'!$C:$C,""),mtype=XLOOKUP(XLOOKUP($K27,'Threshold Summary'!$Y:$Y,'Threshold Summary'!$K:$K,""),'Pokemon Editor'!$A:$A,'Pokemon Editor'!$D:$D,"")),1.5,1),eff,(INDEX('Type Chart'!$B:$S,MATCH(mtype,'Type Chart'!$A:$A,0),MATCH(XLOOKUP($L27,'Pokemon Editor'!$A:$A,'Pokemon Editor'!$C:$C,""),'Type Chart'!$B$1:$S$1,0))*IF(XLOOKUP($L27,'Pokemon Editor'!$A:$A,'Pokemon Editor'!$D:$D,"")="",1,INDEX('Type Chart'!$B:$S,MATCH(mtype,'Type Chart'!$A:$A,0),MATCH(XLOOKUP($L27,'Pokemon Editor'!$A:$A,'Pokemon Editor'!$D:$D,""),'Type Chart'!$B$1:$S$1,0)))),base,IF(OR(cat="Status",pow=0),0,FLOOR(FLOOR(FLOOR((2*XLOOKUP($K27,'Threshold Summary'!$Y:$Y,'Threshold Summary'!$L:$L,"")/5+2)*pow*atk/def)/50)+2)),modifier,stab*eff,FLOOR(base*modifier*0.85)),0)</f>
        <v/>
      </c>
      <c r="G27" s="3">
        <f>IFERROR(LET(mtype,XLOOKUP($D27,'Move Editor'!$B:$B,'Move Editor'!$C:$C,""),cat,XLOOKUP($D27,'Move Editor'!$B:$B,'Move Editor'!$D:$D,""),pow,XLOOKUP($D27,'Move Editor'!$B:$B,'Move Editor'!$E:$E,0),acc,XLOOKUP($D27,'Move Editor'!$B:$B,'Move Editor'!$F:$F,100),atk,IF(cat="Physical",FLOOR((FLOOR(((2*XLOOKUP(XLOOKUP($K27,'Threshold Summary'!$Y:$Y,'Threshold Summary'!$K:$K,""),'Pokemon Editor'!$A:$A,'Pokemon Editor'!$F:$F,0)+31+FLOOR(XLOOKUP($K27,'Threshold Summary'!$Y:$Y,'Threshold Summary'!$P:$P,"")/4))*XLOOKUP($K27,'Threshold Summary'!$Y:$Y,'Threshold Summary'!$L:$L,""))/100)+5)*XLOOKUP(XLOOKUP($K27,'Threshold Summary'!$Y:$Y,'Threshold Summary'!$M:$M,""),'Nature Editor'!$A:$A,'Nature Editor'!$B:$B,1)),FLOOR((FLOOR(((2*XLOOKUP(XLOOKUP($K27,'Threshold Summary'!$Y:$Y,'Threshold Summary'!$K:$K,""),'Pokemon Editor'!$A:$A,'Pokemon Editor'!$H:$H,0)+31+FLOOR(XLOOKUP($K27,'Threshold Summary'!$Y:$Y,'Threshold Summary'!$R:$R,"")/4))*XLOOKUP($K27,'Threshold Summary'!$Y:$Y,'Threshold Summary'!$L:$L,""))/100)+5)*XLOOKUP(XLOOKUP($K27,'Threshold Summary'!$Y:$Y,'Threshold Summary'!$M:$M,""),'Nature Editor'!$A:$A,'Nature Editor'!$D:$D,1))),def,IF(cat="Physical",FLOOR((FLOOR(((2*XLOOKUP($L27,'Pokemon Editor'!$A:$A,'Pokemon Editor'!$G:$G,0)+31+FLOOR(XLOOKUP($L27,'Boss Editor'!$C:$C,'Boss Editor'!$I:$I,"")/4))*XLOOKUP($L27,'Boss Editor'!$C:$C,'Boss Editor'!$D:$D,""))/100)+5)*XLOOKUP(XLOOKUP($L27,'Boss Editor'!$C:$C,'Boss Editor'!$E:$E,""),'Nature Editor'!$A:$A,'Nature Editor'!$C:$C,1)),FLOOR((FLOOR(((2*XLOOKUP($L27,'Pokemon Editor'!$A:$A,'Pokemon Editor'!$I:$I,0)+31+FLOOR(XLOOKUP($L27,'Boss Editor'!$C:$C,'Boss Editor'!$K:$K,"")/4))*XLOOKUP($L27,'Boss Editor'!$C:$C,'Boss Editor'!$D:$D,""))/100)+5)*XLOOKUP(XLOOKUP($L27,'Boss Editor'!$C:$C,'Boss Editor'!$E:$E,""),'Nature Editor'!$A:$A,'Nature Editor'!$E:$E,1))),stab,IF(OR(mtype=XLOOKUP(XLOOKUP($K27,'Threshold Summary'!$Y:$Y,'Threshold Summary'!$K:$K,""),'Pokemon Editor'!$A:$A,'Pokemon Editor'!$C:$C,""),mtype=XLOOKUP(XLOOKUP($K27,'Threshold Summary'!$Y:$Y,'Threshold Summary'!$K:$K,""),'Pokemon Editor'!$A:$A,'Pokemon Editor'!$D:$D,"")),1.5,1),eff,(INDEX('Type Chart'!$B:$S,MATCH(mtype,'Type Chart'!$A:$A,0),MATCH(XLOOKUP($L27,'Pokemon Editor'!$A:$A,'Pokemon Editor'!$C:$C,""),'Type Chart'!$B$1:$S$1,0))*IF(XLOOKUP($L27,'Pokemon Editor'!$A:$A,'Pokemon Editor'!$D:$D,"")="",1,INDEX('Type Chart'!$B:$S,MATCH(mtype,'Type Chart'!$A:$A,0),MATCH(XLOOKUP($L27,'Pokemon Editor'!$A:$A,'Pokemon Editor'!$D:$D,""),'Type Chart'!$B$1:$S$1,0)))),base,IF(OR(cat="Status",pow=0),0,FLOOR(FLOOR(FLOOR((2*XLOOKUP($K27,'Threshold Summary'!$Y:$Y,'Threshold Summary'!$L:$L,"")/5+2)*pow*atk/def)/50)+2)),modifier,stab*eff,FLOOR(base*modifier)),0)</f>
        <v/>
      </c>
      <c r="H27" s="3">
        <f>IFERROR(LET(mtype,XLOOKUP($D27,'Move Editor'!$B:$B,'Move Editor'!$C:$C,""),cat,XLOOKUP($D27,'Move Editor'!$B:$B,'Move Editor'!$D:$D,""),pow,XLOOKUP($D27,'Move Editor'!$B:$B,'Move Editor'!$E:$E,0),acc,XLOOKUP($D27,'Move Editor'!$B:$B,'Move Editor'!$F:$F,100),atk,IF(cat="Physical",FLOOR((FLOOR(((2*XLOOKUP(XLOOKUP($K27,'Threshold Summary'!$Y:$Y,'Threshold Summary'!$K:$K,""),'Pokemon Editor'!$A:$A,'Pokemon Editor'!$F:$F,0)+31+FLOOR(XLOOKUP($K27,'Threshold Summary'!$Y:$Y,'Threshold Summary'!$P:$P,"")/4))*XLOOKUP($K27,'Threshold Summary'!$Y:$Y,'Threshold Summary'!$L:$L,""))/100)+5)*XLOOKUP(XLOOKUP($K27,'Threshold Summary'!$Y:$Y,'Threshold Summary'!$M:$M,""),'Nature Editor'!$A:$A,'Nature Editor'!$B:$B,1)),FLOOR((FLOOR(((2*XLOOKUP(XLOOKUP($K27,'Threshold Summary'!$Y:$Y,'Threshold Summary'!$K:$K,""),'Pokemon Editor'!$A:$A,'Pokemon Editor'!$H:$H,0)+31+FLOOR(XLOOKUP($K27,'Threshold Summary'!$Y:$Y,'Threshold Summary'!$R:$R,"")/4))*XLOOKUP($K27,'Threshold Summary'!$Y:$Y,'Threshold Summary'!$L:$L,""))/100)+5)*XLOOKUP(XLOOKUP($K27,'Threshold Summary'!$Y:$Y,'Threshold Summary'!$M:$M,""),'Nature Editor'!$A:$A,'Nature Editor'!$D:$D,1))),def,IF(cat="Physical",FLOOR((FLOOR(((2*XLOOKUP($L27,'Pokemon Editor'!$A:$A,'Pokemon Editor'!$G:$G,0)+31+FLOOR(XLOOKUP($L27,'Boss Editor'!$C:$C,'Boss Editor'!$I:$I,"")/4))*XLOOKUP($L27,'Boss Editor'!$C:$C,'Boss Editor'!$D:$D,""))/100)+5)*XLOOKUP(XLOOKUP($L27,'Boss Editor'!$C:$C,'Boss Editor'!$E:$E,""),'Nature Editor'!$A:$A,'Nature Editor'!$C:$C,1)),FLOOR((FLOOR(((2*XLOOKUP($L27,'Pokemon Editor'!$A:$A,'Pokemon Editor'!$I:$I,0)+31+FLOOR(XLOOKUP($L27,'Boss Editor'!$C:$C,'Boss Editor'!$K:$K,"")/4))*XLOOKUP($L27,'Boss Editor'!$C:$C,'Boss Editor'!$D:$D,""))/100)+5)*XLOOKUP(XLOOKUP($L27,'Boss Editor'!$C:$C,'Boss Editor'!$E:$E,""),'Nature Editor'!$A:$A,'Nature Editor'!$E:$E,1))),stab,IF(OR(mtype=XLOOKUP(XLOOKUP($K27,'Threshold Summary'!$Y:$Y,'Threshold Summary'!$K:$K,""),'Pokemon Editor'!$A:$A,'Pokemon Editor'!$C:$C,""),mtype=XLOOKUP(XLOOKUP($K27,'Threshold Summary'!$Y:$Y,'Threshold Summary'!$K:$K,""),'Pokemon Editor'!$A:$A,'Pokemon Editor'!$D:$D,"")),1.5,1),eff,(INDEX('Type Chart'!$B:$S,MATCH(mtype,'Type Chart'!$A:$A,0),MATCH(XLOOKUP($L27,'Pokemon Editor'!$A:$A,'Pokemon Editor'!$C:$C,""),'Type Chart'!$B$1:$S$1,0))*IF(XLOOKUP($L27,'Pokemon Editor'!$A:$A,'Pokemon Editor'!$D:$D,"")="",1,INDEX('Type Chart'!$B:$S,MATCH(mtype,'Type Chart'!$A:$A,0),MATCH(XLOOKUP($L27,'Pokemon Editor'!$A:$A,'Pokemon Editor'!$D:$D,""),'Type Chart'!$B$1:$S$1,0)))),base,IF(OR(cat="Status",pow=0),0,FLOOR(FLOOR(FLOOR((2*XLOOKUP($K27,'Threshold Summary'!$Y:$Y,'Threshold Summary'!$L:$L,"")/5+2)*pow*atk/def)/50)+2)),modifier,stab*eff,AVERAGE(ARRAYFORMULA(FLOOR(base*modifier*SEQUENCE(16,1,85,1)/100)))),0)</f>
        <v/>
      </c>
      <c r="I27" s="4">
        <f>IFERROR(LET(mtype,XLOOKUP($D27,'Move Editor'!$B:$B,'Move Editor'!$C:$C,""),cat,XLOOKUP($D27,'Move Editor'!$B:$B,'Move Editor'!$D:$D,""),pow,XLOOKUP($D27,'Move Editor'!$B:$B,'Move Editor'!$E:$E,0),acc,XLOOKUP($D27,'Move Editor'!$B:$B,'Move Editor'!$F:$F,100),atk,IF(cat="Physical",FLOOR((FLOOR(((2*XLOOKUP(XLOOKUP($K27,'Threshold Summary'!$Y:$Y,'Threshold Summary'!$K:$K,""),'Pokemon Editor'!$A:$A,'Pokemon Editor'!$F:$F,0)+31+FLOOR(XLOOKUP($K27,'Threshold Summary'!$Y:$Y,'Threshold Summary'!$P:$P,"")/4))*XLOOKUP($K27,'Threshold Summary'!$Y:$Y,'Threshold Summary'!$L:$L,""))/100)+5)*XLOOKUP(XLOOKUP($K27,'Threshold Summary'!$Y:$Y,'Threshold Summary'!$M:$M,""),'Nature Editor'!$A:$A,'Nature Editor'!$B:$B,1)),FLOOR((FLOOR(((2*XLOOKUP(XLOOKUP($K27,'Threshold Summary'!$Y:$Y,'Threshold Summary'!$K:$K,""),'Pokemon Editor'!$A:$A,'Pokemon Editor'!$H:$H,0)+31+FLOOR(XLOOKUP($K27,'Threshold Summary'!$Y:$Y,'Threshold Summary'!$R:$R,"")/4))*XLOOKUP($K27,'Threshold Summary'!$Y:$Y,'Threshold Summary'!$L:$L,""))/100)+5)*XLOOKUP(XLOOKUP($K27,'Threshold Summary'!$Y:$Y,'Threshold Summary'!$M:$M,""),'Nature Editor'!$A:$A,'Nature Editor'!$D:$D,1))),def,IF(cat="Physical",FLOOR((FLOOR(((2*XLOOKUP($L27,'Pokemon Editor'!$A:$A,'Pokemon Editor'!$G:$G,0)+31+FLOOR(XLOOKUP($L27,'Boss Editor'!$C:$C,'Boss Editor'!$I:$I,"")/4))*XLOOKUP($L27,'Boss Editor'!$C:$C,'Boss Editor'!$D:$D,""))/100)+5)*XLOOKUP(XLOOKUP($L27,'Boss Editor'!$C:$C,'Boss Editor'!$E:$E,""),'Nature Editor'!$A:$A,'Nature Editor'!$C:$C,1)),FLOOR((FLOOR(((2*XLOOKUP($L27,'Pokemon Editor'!$A:$A,'Pokemon Editor'!$I:$I,0)+31+FLOOR(XLOOKUP($L27,'Boss Editor'!$C:$C,'Boss Editor'!$K:$K,"")/4))*XLOOKUP($L27,'Boss Editor'!$C:$C,'Boss Editor'!$D:$D,""))/100)+5)*XLOOKUP(XLOOKUP($L27,'Boss Editor'!$C:$C,'Boss Editor'!$E:$E,""),'Nature Editor'!$A:$A,'Nature Editor'!$E:$E,1))),stab,IF(OR(mtype=XLOOKUP(XLOOKUP($K27,'Threshold Summary'!$Y:$Y,'Threshold Summary'!$K:$K,""),'Pokemon Editor'!$A:$A,'Pokemon Editor'!$C:$C,""),mtype=XLOOKUP(XLOOKUP($K27,'Threshold Summary'!$Y:$Y,'Threshold Summary'!$K:$K,""),'Pokemon Editor'!$A:$A,'Pokemon Editor'!$D:$D,"")),1.5,1),eff,(INDEX('Type Chart'!$B:$S,MATCH(mtype,'Type Chart'!$A:$A,0),MATCH(XLOOKUP($L27,'Pokemon Editor'!$A:$A,'Pokemon Editor'!$C:$C,""),'Type Chart'!$B$1:$S$1,0))*IF(XLOOKUP($L27,'Pokemon Editor'!$A:$A,'Pokemon Editor'!$D:$D,"")="",1,INDEX('Type Chart'!$B:$S,MATCH(mtype,'Type Chart'!$A:$A,0),MATCH(XLOOKUP($L27,'Pokemon Editor'!$A:$A,'Pokemon Editor'!$D:$D,""),'Type Chart'!$B$1:$S$1,0)))),base,IF(OR(cat="Status",pow=0),0,FLOOR(FLOOR(FLOOR((2*XLOOKUP($K27,'Threshold Summary'!$Y:$Y,'Threshold Summary'!$L:$L,"")/5+2)*pow*atk/def)/50)+2)),modifier,stab*eff,AVERAGE(ARRAYFORMULA(FLOOR(base*modifier*SEQUENCE(16,1,85,1)/100)))/(FLOOR(((2*XLOOKUP($L27,'Pokemon Editor'!$A:$A,'Pokemon Editor'!$E:$E,0)+31+FLOOR(XLOOKUP($L27,'Boss Editor'!$C:$C,'Boss Editor'!$G:$G,"")/4))*XLOOKUP($L27,'Boss Editor'!$C:$C,'Boss Editor'!$D:$D,""))/100)+XLOOKUP($L27,'Boss Editor'!$C:$C,'Boss Editor'!$D:$D,"")+10)),0)</f>
        <v/>
      </c>
      <c r="J27" s="3">
        <f>IF(I27&gt;=1,"OHKO",IF(I27&gt;=0.5,"2HKO",IF(I27&gt;=0.333,"3HKO",IF(I27&gt;=0.25,"4HKO","5HKO+"))))</f>
        <v/>
      </c>
      <c r="K27" s="3" t="inlineStr">
        <is>
          <t>SPECIES_BUDEW</t>
        </is>
      </c>
      <c r="L27" s="3" t="inlineStr">
        <is>
          <t>SPECIES_ANORITH</t>
        </is>
      </c>
    </row>
    <row r="28">
      <c r="A28" s="3">
        <f>XLOOKUP($K28,'Threshold Summary'!$Y:$Y,'Threshold Summary'!$A:$A,"")</f>
        <v/>
      </c>
      <c r="B28" s="3" t="inlineStr">
        <is>
          <t>Lileep</t>
        </is>
      </c>
      <c r="C28" s="3">
        <f>XLOOKUP($L28,'Boss Editor'!$C:$C,'Boss Editor'!$D:$D,"")</f>
        <v/>
      </c>
      <c r="D28" s="3">
        <f>XLOOKUP($K28,'Threshold Summary'!$Y:$Y,'Threshold Summary'!$B:$B,"")</f>
        <v/>
      </c>
      <c r="E28" s="3">
        <f>XLOOKUP(D28,'Move Editor'!$B:$B,'Move Editor'!$C:$C,"")</f>
        <v/>
      </c>
      <c r="F28" s="3">
        <f>IFERROR(LET(mtype,XLOOKUP($D28,'Move Editor'!$B:$B,'Move Editor'!$C:$C,""),cat,XLOOKUP($D28,'Move Editor'!$B:$B,'Move Editor'!$D:$D,""),pow,XLOOKUP($D28,'Move Editor'!$B:$B,'Move Editor'!$E:$E,0),acc,XLOOKUP($D28,'Move Editor'!$B:$B,'Move Editor'!$F:$F,100),atk,IF(cat="Physical",FLOOR((FLOOR(((2*XLOOKUP(XLOOKUP($K28,'Threshold Summary'!$Y:$Y,'Threshold Summary'!$K:$K,""),'Pokemon Editor'!$A:$A,'Pokemon Editor'!$F:$F,0)+31+FLOOR(XLOOKUP($K28,'Threshold Summary'!$Y:$Y,'Threshold Summary'!$P:$P,"")/4))*XLOOKUP($K28,'Threshold Summary'!$Y:$Y,'Threshold Summary'!$L:$L,""))/100)+5)*XLOOKUP(XLOOKUP($K28,'Threshold Summary'!$Y:$Y,'Threshold Summary'!$M:$M,""),'Nature Editor'!$A:$A,'Nature Editor'!$B:$B,1)),FLOOR((FLOOR(((2*XLOOKUP(XLOOKUP($K28,'Threshold Summary'!$Y:$Y,'Threshold Summary'!$K:$K,""),'Pokemon Editor'!$A:$A,'Pokemon Editor'!$H:$H,0)+31+FLOOR(XLOOKUP($K28,'Threshold Summary'!$Y:$Y,'Threshold Summary'!$R:$R,"")/4))*XLOOKUP($K28,'Threshold Summary'!$Y:$Y,'Threshold Summary'!$L:$L,""))/100)+5)*XLOOKUP(XLOOKUP($K28,'Threshold Summary'!$Y:$Y,'Threshold Summary'!$M:$M,""),'Nature Editor'!$A:$A,'Nature Editor'!$D:$D,1))),def,IF(cat="Physical",FLOOR((FLOOR(((2*XLOOKUP($L28,'Pokemon Editor'!$A:$A,'Pokemon Editor'!$G:$G,0)+31+FLOOR(XLOOKUP($L28,'Boss Editor'!$C:$C,'Boss Editor'!$I:$I,"")/4))*XLOOKUP($L28,'Boss Editor'!$C:$C,'Boss Editor'!$D:$D,""))/100)+5)*XLOOKUP(XLOOKUP($L28,'Boss Editor'!$C:$C,'Boss Editor'!$E:$E,""),'Nature Editor'!$A:$A,'Nature Editor'!$C:$C,1)),FLOOR((FLOOR(((2*XLOOKUP($L28,'Pokemon Editor'!$A:$A,'Pokemon Editor'!$I:$I,0)+31+FLOOR(XLOOKUP($L28,'Boss Editor'!$C:$C,'Boss Editor'!$K:$K,"")/4))*XLOOKUP($L28,'Boss Editor'!$C:$C,'Boss Editor'!$D:$D,""))/100)+5)*XLOOKUP(XLOOKUP($L28,'Boss Editor'!$C:$C,'Boss Editor'!$E:$E,""),'Nature Editor'!$A:$A,'Nature Editor'!$E:$E,1))),stab,IF(OR(mtype=XLOOKUP(XLOOKUP($K28,'Threshold Summary'!$Y:$Y,'Threshold Summary'!$K:$K,""),'Pokemon Editor'!$A:$A,'Pokemon Editor'!$C:$C,""),mtype=XLOOKUP(XLOOKUP($K28,'Threshold Summary'!$Y:$Y,'Threshold Summary'!$K:$K,""),'Pokemon Editor'!$A:$A,'Pokemon Editor'!$D:$D,"")),1.5,1),eff,(INDEX('Type Chart'!$B:$S,MATCH(mtype,'Type Chart'!$A:$A,0),MATCH(XLOOKUP($L28,'Pokemon Editor'!$A:$A,'Pokemon Editor'!$C:$C,""),'Type Chart'!$B$1:$S$1,0))*IF(XLOOKUP($L28,'Pokemon Editor'!$A:$A,'Pokemon Editor'!$D:$D,"")="",1,INDEX('Type Chart'!$B:$S,MATCH(mtype,'Type Chart'!$A:$A,0),MATCH(XLOOKUP($L28,'Pokemon Editor'!$A:$A,'Pokemon Editor'!$D:$D,""),'Type Chart'!$B$1:$S$1,0)))),base,IF(OR(cat="Status",pow=0),0,FLOOR(FLOOR(FLOOR((2*XLOOKUP($K28,'Threshold Summary'!$Y:$Y,'Threshold Summary'!$L:$L,"")/5+2)*pow*atk/def)/50)+2)),modifier,stab*eff,FLOOR(base*modifier*0.85)),0)</f>
        <v/>
      </c>
      <c r="G28" s="3">
        <f>IFERROR(LET(mtype,XLOOKUP($D28,'Move Editor'!$B:$B,'Move Editor'!$C:$C,""),cat,XLOOKUP($D28,'Move Editor'!$B:$B,'Move Editor'!$D:$D,""),pow,XLOOKUP($D28,'Move Editor'!$B:$B,'Move Editor'!$E:$E,0),acc,XLOOKUP($D28,'Move Editor'!$B:$B,'Move Editor'!$F:$F,100),atk,IF(cat="Physical",FLOOR((FLOOR(((2*XLOOKUP(XLOOKUP($K28,'Threshold Summary'!$Y:$Y,'Threshold Summary'!$K:$K,""),'Pokemon Editor'!$A:$A,'Pokemon Editor'!$F:$F,0)+31+FLOOR(XLOOKUP($K28,'Threshold Summary'!$Y:$Y,'Threshold Summary'!$P:$P,"")/4))*XLOOKUP($K28,'Threshold Summary'!$Y:$Y,'Threshold Summary'!$L:$L,""))/100)+5)*XLOOKUP(XLOOKUP($K28,'Threshold Summary'!$Y:$Y,'Threshold Summary'!$M:$M,""),'Nature Editor'!$A:$A,'Nature Editor'!$B:$B,1)),FLOOR((FLOOR(((2*XLOOKUP(XLOOKUP($K28,'Threshold Summary'!$Y:$Y,'Threshold Summary'!$K:$K,""),'Pokemon Editor'!$A:$A,'Pokemon Editor'!$H:$H,0)+31+FLOOR(XLOOKUP($K28,'Threshold Summary'!$Y:$Y,'Threshold Summary'!$R:$R,"")/4))*XLOOKUP($K28,'Threshold Summary'!$Y:$Y,'Threshold Summary'!$L:$L,""))/100)+5)*XLOOKUP(XLOOKUP($K28,'Threshold Summary'!$Y:$Y,'Threshold Summary'!$M:$M,""),'Nature Editor'!$A:$A,'Nature Editor'!$D:$D,1))),def,IF(cat="Physical",FLOOR((FLOOR(((2*XLOOKUP($L28,'Pokemon Editor'!$A:$A,'Pokemon Editor'!$G:$G,0)+31+FLOOR(XLOOKUP($L28,'Boss Editor'!$C:$C,'Boss Editor'!$I:$I,"")/4))*XLOOKUP($L28,'Boss Editor'!$C:$C,'Boss Editor'!$D:$D,""))/100)+5)*XLOOKUP(XLOOKUP($L28,'Boss Editor'!$C:$C,'Boss Editor'!$E:$E,""),'Nature Editor'!$A:$A,'Nature Editor'!$C:$C,1)),FLOOR((FLOOR(((2*XLOOKUP($L28,'Pokemon Editor'!$A:$A,'Pokemon Editor'!$I:$I,0)+31+FLOOR(XLOOKUP($L28,'Boss Editor'!$C:$C,'Boss Editor'!$K:$K,"")/4))*XLOOKUP($L28,'Boss Editor'!$C:$C,'Boss Editor'!$D:$D,""))/100)+5)*XLOOKUP(XLOOKUP($L28,'Boss Editor'!$C:$C,'Boss Editor'!$E:$E,""),'Nature Editor'!$A:$A,'Nature Editor'!$E:$E,1))),stab,IF(OR(mtype=XLOOKUP(XLOOKUP($K28,'Threshold Summary'!$Y:$Y,'Threshold Summary'!$K:$K,""),'Pokemon Editor'!$A:$A,'Pokemon Editor'!$C:$C,""),mtype=XLOOKUP(XLOOKUP($K28,'Threshold Summary'!$Y:$Y,'Threshold Summary'!$K:$K,""),'Pokemon Editor'!$A:$A,'Pokemon Editor'!$D:$D,"")),1.5,1),eff,(INDEX('Type Chart'!$B:$S,MATCH(mtype,'Type Chart'!$A:$A,0),MATCH(XLOOKUP($L28,'Pokemon Editor'!$A:$A,'Pokemon Editor'!$C:$C,""),'Type Chart'!$B$1:$S$1,0))*IF(XLOOKUP($L28,'Pokemon Editor'!$A:$A,'Pokemon Editor'!$D:$D,"")="",1,INDEX('Type Chart'!$B:$S,MATCH(mtype,'Type Chart'!$A:$A,0),MATCH(XLOOKUP($L28,'Pokemon Editor'!$A:$A,'Pokemon Editor'!$D:$D,""),'Type Chart'!$B$1:$S$1,0)))),base,IF(OR(cat="Status",pow=0),0,FLOOR(FLOOR(FLOOR((2*XLOOKUP($K28,'Threshold Summary'!$Y:$Y,'Threshold Summary'!$L:$L,"")/5+2)*pow*atk/def)/50)+2)),modifier,stab*eff,FLOOR(base*modifier)),0)</f>
        <v/>
      </c>
      <c r="H28" s="3">
        <f>IFERROR(LET(mtype,XLOOKUP($D28,'Move Editor'!$B:$B,'Move Editor'!$C:$C,""),cat,XLOOKUP($D28,'Move Editor'!$B:$B,'Move Editor'!$D:$D,""),pow,XLOOKUP($D28,'Move Editor'!$B:$B,'Move Editor'!$E:$E,0),acc,XLOOKUP($D28,'Move Editor'!$B:$B,'Move Editor'!$F:$F,100),atk,IF(cat="Physical",FLOOR((FLOOR(((2*XLOOKUP(XLOOKUP($K28,'Threshold Summary'!$Y:$Y,'Threshold Summary'!$K:$K,""),'Pokemon Editor'!$A:$A,'Pokemon Editor'!$F:$F,0)+31+FLOOR(XLOOKUP($K28,'Threshold Summary'!$Y:$Y,'Threshold Summary'!$P:$P,"")/4))*XLOOKUP($K28,'Threshold Summary'!$Y:$Y,'Threshold Summary'!$L:$L,""))/100)+5)*XLOOKUP(XLOOKUP($K28,'Threshold Summary'!$Y:$Y,'Threshold Summary'!$M:$M,""),'Nature Editor'!$A:$A,'Nature Editor'!$B:$B,1)),FLOOR((FLOOR(((2*XLOOKUP(XLOOKUP($K28,'Threshold Summary'!$Y:$Y,'Threshold Summary'!$K:$K,""),'Pokemon Editor'!$A:$A,'Pokemon Editor'!$H:$H,0)+31+FLOOR(XLOOKUP($K28,'Threshold Summary'!$Y:$Y,'Threshold Summary'!$R:$R,"")/4))*XLOOKUP($K28,'Threshold Summary'!$Y:$Y,'Threshold Summary'!$L:$L,""))/100)+5)*XLOOKUP(XLOOKUP($K28,'Threshold Summary'!$Y:$Y,'Threshold Summary'!$M:$M,""),'Nature Editor'!$A:$A,'Nature Editor'!$D:$D,1))),def,IF(cat="Physical",FLOOR((FLOOR(((2*XLOOKUP($L28,'Pokemon Editor'!$A:$A,'Pokemon Editor'!$G:$G,0)+31+FLOOR(XLOOKUP($L28,'Boss Editor'!$C:$C,'Boss Editor'!$I:$I,"")/4))*XLOOKUP($L28,'Boss Editor'!$C:$C,'Boss Editor'!$D:$D,""))/100)+5)*XLOOKUP(XLOOKUP($L28,'Boss Editor'!$C:$C,'Boss Editor'!$E:$E,""),'Nature Editor'!$A:$A,'Nature Editor'!$C:$C,1)),FLOOR((FLOOR(((2*XLOOKUP($L28,'Pokemon Editor'!$A:$A,'Pokemon Editor'!$I:$I,0)+31+FLOOR(XLOOKUP($L28,'Boss Editor'!$C:$C,'Boss Editor'!$K:$K,"")/4))*XLOOKUP($L28,'Boss Editor'!$C:$C,'Boss Editor'!$D:$D,""))/100)+5)*XLOOKUP(XLOOKUP($L28,'Boss Editor'!$C:$C,'Boss Editor'!$E:$E,""),'Nature Editor'!$A:$A,'Nature Editor'!$E:$E,1))),stab,IF(OR(mtype=XLOOKUP(XLOOKUP($K28,'Threshold Summary'!$Y:$Y,'Threshold Summary'!$K:$K,""),'Pokemon Editor'!$A:$A,'Pokemon Editor'!$C:$C,""),mtype=XLOOKUP(XLOOKUP($K28,'Threshold Summary'!$Y:$Y,'Threshold Summary'!$K:$K,""),'Pokemon Editor'!$A:$A,'Pokemon Editor'!$D:$D,"")),1.5,1),eff,(INDEX('Type Chart'!$B:$S,MATCH(mtype,'Type Chart'!$A:$A,0),MATCH(XLOOKUP($L28,'Pokemon Editor'!$A:$A,'Pokemon Editor'!$C:$C,""),'Type Chart'!$B$1:$S$1,0))*IF(XLOOKUP($L28,'Pokemon Editor'!$A:$A,'Pokemon Editor'!$D:$D,"")="",1,INDEX('Type Chart'!$B:$S,MATCH(mtype,'Type Chart'!$A:$A,0),MATCH(XLOOKUP($L28,'Pokemon Editor'!$A:$A,'Pokemon Editor'!$D:$D,""),'Type Chart'!$B$1:$S$1,0)))),base,IF(OR(cat="Status",pow=0),0,FLOOR(FLOOR(FLOOR((2*XLOOKUP($K28,'Threshold Summary'!$Y:$Y,'Threshold Summary'!$L:$L,"")/5+2)*pow*atk/def)/50)+2)),modifier,stab*eff,AVERAGE(ARRAYFORMULA(FLOOR(base*modifier*SEQUENCE(16,1,85,1)/100)))),0)</f>
        <v/>
      </c>
      <c r="I28" s="4">
        <f>IFERROR(LET(mtype,XLOOKUP($D28,'Move Editor'!$B:$B,'Move Editor'!$C:$C,""),cat,XLOOKUP($D28,'Move Editor'!$B:$B,'Move Editor'!$D:$D,""),pow,XLOOKUP($D28,'Move Editor'!$B:$B,'Move Editor'!$E:$E,0),acc,XLOOKUP($D28,'Move Editor'!$B:$B,'Move Editor'!$F:$F,100),atk,IF(cat="Physical",FLOOR((FLOOR(((2*XLOOKUP(XLOOKUP($K28,'Threshold Summary'!$Y:$Y,'Threshold Summary'!$K:$K,""),'Pokemon Editor'!$A:$A,'Pokemon Editor'!$F:$F,0)+31+FLOOR(XLOOKUP($K28,'Threshold Summary'!$Y:$Y,'Threshold Summary'!$P:$P,"")/4))*XLOOKUP($K28,'Threshold Summary'!$Y:$Y,'Threshold Summary'!$L:$L,""))/100)+5)*XLOOKUP(XLOOKUP($K28,'Threshold Summary'!$Y:$Y,'Threshold Summary'!$M:$M,""),'Nature Editor'!$A:$A,'Nature Editor'!$B:$B,1)),FLOOR((FLOOR(((2*XLOOKUP(XLOOKUP($K28,'Threshold Summary'!$Y:$Y,'Threshold Summary'!$K:$K,""),'Pokemon Editor'!$A:$A,'Pokemon Editor'!$H:$H,0)+31+FLOOR(XLOOKUP($K28,'Threshold Summary'!$Y:$Y,'Threshold Summary'!$R:$R,"")/4))*XLOOKUP($K28,'Threshold Summary'!$Y:$Y,'Threshold Summary'!$L:$L,""))/100)+5)*XLOOKUP(XLOOKUP($K28,'Threshold Summary'!$Y:$Y,'Threshold Summary'!$M:$M,""),'Nature Editor'!$A:$A,'Nature Editor'!$D:$D,1))),def,IF(cat="Physical",FLOOR((FLOOR(((2*XLOOKUP($L28,'Pokemon Editor'!$A:$A,'Pokemon Editor'!$G:$G,0)+31+FLOOR(XLOOKUP($L28,'Boss Editor'!$C:$C,'Boss Editor'!$I:$I,"")/4))*XLOOKUP($L28,'Boss Editor'!$C:$C,'Boss Editor'!$D:$D,""))/100)+5)*XLOOKUP(XLOOKUP($L28,'Boss Editor'!$C:$C,'Boss Editor'!$E:$E,""),'Nature Editor'!$A:$A,'Nature Editor'!$C:$C,1)),FLOOR((FLOOR(((2*XLOOKUP($L28,'Pokemon Editor'!$A:$A,'Pokemon Editor'!$I:$I,0)+31+FLOOR(XLOOKUP($L28,'Boss Editor'!$C:$C,'Boss Editor'!$K:$K,"")/4))*XLOOKUP($L28,'Boss Editor'!$C:$C,'Boss Editor'!$D:$D,""))/100)+5)*XLOOKUP(XLOOKUP($L28,'Boss Editor'!$C:$C,'Boss Editor'!$E:$E,""),'Nature Editor'!$A:$A,'Nature Editor'!$E:$E,1))),stab,IF(OR(mtype=XLOOKUP(XLOOKUP($K28,'Threshold Summary'!$Y:$Y,'Threshold Summary'!$K:$K,""),'Pokemon Editor'!$A:$A,'Pokemon Editor'!$C:$C,""),mtype=XLOOKUP(XLOOKUP($K28,'Threshold Summary'!$Y:$Y,'Threshold Summary'!$K:$K,""),'Pokemon Editor'!$A:$A,'Pokemon Editor'!$D:$D,"")),1.5,1),eff,(INDEX('Type Chart'!$B:$S,MATCH(mtype,'Type Chart'!$A:$A,0),MATCH(XLOOKUP($L28,'Pokemon Editor'!$A:$A,'Pokemon Editor'!$C:$C,""),'Type Chart'!$B$1:$S$1,0))*IF(XLOOKUP($L28,'Pokemon Editor'!$A:$A,'Pokemon Editor'!$D:$D,"")="",1,INDEX('Type Chart'!$B:$S,MATCH(mtype,'Type Chart'!$A:$A,0),MATCH(XLOOKUP($L28,'Pokemon Editor'!$A:$A,'Pokemon Editor'!$D:$D,""),'Type Chart'!$B$1:$S$1,0)))),base,IF(OR(cat="Status",pow=0),0,FLOOR(FLOOR(FLOOR((2*XLOOKUP($K28,'Threshold Summary'!$Y:$Y,'Threshold Summary'!$L:$L,"")/5+2)*pow*atk/def)/50)+2)),modifier,stab*eff,AVERAGE(ARRAYFORMULA(FLOOR(base*modifier*SEQUENCE(16,1,85,1)/100)))/(FLOOR(((2*XLOOKUP($L28,'Pokemon Editor'!$A:$A,'Pokemon Editor'!$E:$E,0)+31+FLOOR(XLOOKUP($L28,'Boss Editor'!$C:$C,'Boss Editor'!$G:$G,"")/4))*XLOOKUP($L28,'Boss Editor'!$C:$C,'Boss Editor'!$D:$D,""))/100)+XLOOKUP($L28,'Boss Editor'!$C:$C,'Boss Editor'!$D:$D,"")+10)),0)</f>
        <v/>
      </c>
      <c r="J28" s="3">
        <f>IF(I28&gt;=1,"OHKO",IF(I28&gt;=0.5,"2HKO",IF(I28&gt;=0.333,"3HKO",IF(I28&gt;=0.25,"4HKO","5HKO+"))))</f>
        <v/>
      </c>
      <c r="K28" s="3" t="inlineStr">
        <is>
          <t>SPECIES_BUDEW</t>
        </is>
      </c>
      <c r="L28" s="3" t="inlineStr">
        <is>
          <t>SPECIES_LILEEP</t>
        </is>
      </c>
    </row>
    <row r="29">
      <c r="A29" s="3">
        <f>XLOOKUP($K29,'Threshold Summary'!$Y:$Y,'Threshold Summary'!$A:$A,"")</f>
        <v/>
      </c>
      <c r="B29" s="3" t="inlineStr">
        <is>
          <t>Tirtouga</t>
        </is>
      </c>
      <c r="C29" s="3">
        <f>XLOOKUP($L29,'Boss Editor'!$C:$C,'Boss Editor'!$D:$D,"")</f>
        <v/>
      </c>
      <c r="D29" s="3">
        <f>XLOOKUP($K29,'Threshold Summary'!$Y:$Y,'Threshold Summary'!$B:$B,"")</f>
        <v/>
      </c>
      <c r="E29" s="3">
        <f>XLOOKUP(D29,'Move Editor'!$B:$B,'Move Editor'!$C:$C,"")</f>
        <v/>
      </c>
      <c r="F29" s="3">
        <f>IFERROR(LET(mtype,XLOOKUP($D29,'Move Editor'!$B:$B,'Move Editor'!$C:$C,""),cat,XLOOKUP($D29,'Move Editor'!$B:$B,'Move Editor'!$D:$D,""),pow,XLOOKUP($D29,'Move Editor'!$B:$B,'Move Editor'!$E:$E,0),acc,XLOOKUP($D29,'Move Editor'!$B:$B,'Move Editor'!$F:$F,100),atk,IF(cat="Physical",FLOOR((FLOOR(((2*XLOOKUP(XLOOKUP($K29,'Threshold Summary'!$Y:$Y,'Threshold Summary'!$K:$K,""),'Pokemon Editor'!$A:$A,'Pokemon Editor'!$F:$F,0)+31+FLOOR(XLOOKUP($K29,'Threshold Summary'!$Y:$Y,'Threshold Summary'!$P:$P,"")/4))*XLOOKUP($K29,'Threshold Summary'!$Y:$Y,'Threshold Summary'!$L:$L,""))/100)+5)*XLOOKUP(XLOOKUP($K29,'Threshold Summary'!$Y:$Y,'Threshold Summary'!$M:$M,""),'Nature Editor'!$A:$A,'Nature Editor'!$B:$B,1)),FLOOR((FLOOR(((2*XLOOKUP(XLOOKUP($K29,'Threshold Summary'!$Y:$Y,'Threshold Summary'!$K:$K,""),'Pokemon Editor'!$A:$A,'Pokemon Editor'!$H:$H,0)+31+FLOOR(XLOOKUP($K29,'Threshold Summary'!$Y:$Y,'Threshold Summary'!$R:$R,"")/4))*XLOOKUP($K29,'Threshold Summary'!$Y:$Y,'Threshold Summary'!$L:$L,""))/100)+5)*XLOOKUP(XLOOKUP($K29,'Threshold Summary'!$Y:$Y,'Threshold Summary'!$M:$M,""),'Nature Editor'!$A:$A,'Nature Editor'!$D:$D,1))),def,IF(cat="Physical",FLOOR((FLOOR(((2*XLOOKUP($L29,'Pokemon Editor'!$A:$A,'Pokemon Editor'!$G:$G,0)+31+FLOOR(XLOOKUP($L29,'Boss Editor'!$C:$C,'Boss Editor'!$I:$I,"")/4))*XLOOKUP($L29,'Boss Editor'!$C:$C,'Boss Editor'!$D:$D,""))/100)+5)*XLOOKUP(XLOOKUP($L29,'Boss Editor'!$C:$C,'Boss Editor'!$E:$E,""),'Nature Editor'!$A:$A,'Nature Editor'!$C:$C,1)),FLOOR((FLOOR(((2*XLOOKUP($L29,'Pokemon Editor'!$A:$A,'Pokemon Editor'!$I:$I,0)+31+FLOOR(XLOOKUP($L29,'Boss Editor'!$C:$C,'Boss Editor'!$K:$K,"")/4))*XLOOKUP($L29,'Boss Editor'!$C:$C,'Boss Editor'!$D:$D,""))/100)+5)*XLOOKUP(XLOOKUP($L29,'Boss Editor'!$C:$C,'Boss Editor'!$E:$E,""),'Nature Editor'!$A:$A,'Nature Editor'!$E:$E,1))),stab,IF(OR(mtype=XLOOKUP(XLOOKUP($K29,'Threshold Summary'!$Y:$Y,'Threshold Summary'!$K:$K,""),'Pokemon Editor'!$A:$A,'Pokemon Editor'!$C:$C,""),mtype=XLOOKUP(XLOOKUP($K29,'Threshold Summary'!$Y:$Y,'Threshold Summary'!$K:$K,""),'Pokemon Editor'!$A:$A,'Pokemon Editor'!$D:$D,"")),1.5,1),eff,(INDEX('Type Chart'!$B:$S,MATCH(mtype,'Type Chart'!$A:$A,0),MATCH(XLOOKUP($L29,'Pokemon Editor'!$A:$A,'Pokemon Editor'!$C:$C,""),'Type Chart'!$B$1:$S$1,0))*IF(XLOOKUP($L29,'Pokemon Editor'!$A:$A,'Pokemon Editor'!$D:$D,"")="",1,INDEX('Type Chart'!$B:$S,MATCH(mtype,'Type Chart'!$A:$A,0),MATCH(XLOOKUP($L29,'Pokemon Editor'!$A:$A,'Pokemon Editor'!$D:$D,""),'Type Chart'!$B$1:$S$1,0)))),base,IF(OR(cat="Status",pow=0),0,FLOOR(FLOOR(FLOOR((2*XLOOKUP($K29,'Threshold Summary'!$Y:$Y,'Threshold Summary'!$L:$L,"")/5+2)*pow*atk/def)/50)+2)),modifier,stab*eff,FLOOR(base*modifier*0.85)),0)</f>
        <v/>
      </c>
      <c r="G29" s="3">
        <f>IFERROR(LET(mtype,XLOOKUP($D29,'Move Editor'!$B:$B,'Move Editor'!$C:$C,""),cat,XLOOKUP($D29,'Move Editor'!$B:$B,'Move Editor'!$D:$D,""),pow,XLOOKUP($D29,'Move Editor'!$B:$B,'Move Editor'!$E:$E,0),acc,XLOOKUP($D29,'Move Editor'!$B:$B,'Move Editor'!$F:$F,100),atk,IF(cat="Physical",FLOOR((FLOOR(((2*XLOOKUP(XLOOKUP($K29,'Threshold Summary'!$Y:$Y,'Threshold Summary'!$K:$K,""),'Pokemon Editor'!$A:$A,'Pokemon Editor'!$F:$F,0)+31+FLOOR(XLOOKUP($K29,'Threshold Summary'!$Y:$Y,'Threshold Summary'!$P:$P,"")/4))*XLOOKUP($K29,'Threshold Summary'!$Y:$Y,'Threshold Summary'!$L:$L,""))/100)+5)*XLOOKUP(XLOOKUP($K29,'Threshold Summary'!$Y:$Y,'Threshold Summary'!$M:$M,""),'Nature Editor'!$A:$A,'Nature Editor'!$B:$B,1)),FLOOR((FLOOR(((2*XLOOKUP(XLOOKUP($K29,'Threshold Summary'!$Y:$Y,'Threshold Summary'!$K:$K,""),'Pokemon Editor'!$A:$A,'Pokemon Editor'!$H:$H,0)+31+FLOOR(XLOOKUP($K29,'Threshold Summary'!$Y:$Y,'Threshold Summary'!$R:$R,"")/4))*XLOOKUP($K29,'Threshold Summary'!$Y:$Y,'Threshold Summary'!$L:$L,""))/100)+5)*XLOOKUP(XLOOKUP($K29,'Threshold Summary'!$Y:$Y,'Threshold Summary'!$M:$M,""),'Nature Editor'!$A:$A,'Nature Editor'!$D:$D,1))),def,IF(cat="Physical",FLOOR((FLOOR(((2*XLOOKUP($L29,'Pokemon Editor'!$A:$A,'Pokemon Editor'!$G:$G,0)+31+FLOOR(XLOOKUP($L29,'Boss Editor'!$C:$C,'Boss Editor'!$I:$I,"")/4))*XLOOKUP($L29,'Boss Editor'!$C:$C,'Boss Editor'!$D:$D,""))/100)+5)*XLOOKUP(XLOOKUP($L29,'Boss Editor'!$C:$C,'Boss Editor'!$E:$E,""),'Nature Editor'!$A:$A,'Nature Editor'!$C:$C,1)),FLOOR((FLOOR(((2*XLOOKUP($L29,'Pokemon Editor'!$A:$A,'Pokemon Editor'!$I:$I,0)+31+FLOOR(XLOOKUP($L29,'Boss Editor'!$C:$C,'Boss Editor'!$K:$K,"")/4))*XLOOKUP($L29,'Boss Editor'!$C:$C,'Boss Editor'!$D:$D,""))/100)+5)*XLOOKUP(XLOOKUP($L29,'Boss Editor'!$C:$C,'Boss Editor'!$E:$E,""),'Nature Editor'!$A:$A,'Nature Editor'!$E:$E,1))),stab,IF(OR(mtype=XLOOKUP(XLOOKUP($K29,'Threshold Summary'!$Y:$Y,'Threshold Summary'!$K:$K,""),'Pokemon Editor'!$A:$A,'Pokemon Editor'!$C:$C,""),mtype=XLOOKUP(XLOOKUP($K29,'Threshold Summary'!$Y:$Y,'Threshold Summary'!$K:$K,""),'Pokemon Editor'!$A:$A,'Pokemon Editor'!$D:$D,"")),1.5,1),eff,(INDEX('Type Chart'!$B:$S,MATCH(mtype,'Type Chart'!$A:$A,0),MATCH(XLOOKUP($L29,'Pokemon Editor'!$A:$A,'Pokemon Editor'!$C:$C,""),'Type Chart'!$B$1:$S$1,0))*IF(XLOOKUP($L29,'Pokemon Editor'!$A:$A,'Pokemon Editor'!$D:$D,"")="",1,INDEX('Type Chart'!$B:$S,MATCH(mtype,'Type Chart'!$A:$A,0),MATCH(XLOOKUP($L29,'Pokemon Editor'!$A:$A,'Pokemon Editor'!$D:$D,""),'Type Chart'!$B$1:$S$1,0)))),base,IF(OR(cat="Status",pow=0),0,FLOOR(FLOOR(FLOOR((2*XLOOKUP($K29,'Threshold Summary'!$Y:$Y,'Threshold Summary'!$L:$L,"")/5+2)*pow*atk/def)/50)+2)),modifier,stab*eff,FLOOR(base*modifier)),0)</f>
        <v/>
      </c>
      <c r="H29" s="3">
        <f>IFERROR(LET(mtype,XLOOKUP($D29,'Move Editor'!$B:$B,'Move Editor'!$C:$C,""),cat,XLOOKUP($D29,'Move Editor'!$B:$B,'Move Editor'!$D:$D,""),pow,XLOOKUP($D29,'Move Editor'!$B:$B,'Move Editor'!$E:$E,0),acc,XLOOKUP($D29,'Move Editor'!$B:$B,'Move Editor'!$F:$F,100),atk,IF(cat="Physical",FLOOR((FLOOR(((2*XLOOKUP(XLOOKUP($K29,'Threshold Summary'!$Y:$Y,'Threshold Summary'!$K:$K,""),'Pokemon Editor'!$A:$A,'Pokemon Editor'!$F:$F,0)+31+FLOOR(XLOOKUP($K29,'Threshold Summary'!$Y:$Y,'Threshold Summary'!$P:$P,"")/4))*XLOOKUP($K29,'Threshold Summary'!$Y:$Y,'Threshold Summary'!$L:$L,""))/100)+5)*XLOOKUP(XLOOKUP($K29,'Threshold Summary'!$Y:$Y,'Threshold Summary'!$M:$M,""),'Nature Editor'!$A:$A,'Nature Editor'!$B:$B,1)),FLOOR((FLOOR(((2*XLOOKUP(XLOOKUP($K29,'Threshold Summary'!$Y:$Y,'Threshold Summary'!$K:$K,""),'Pokemon Editor'!$A:$A,'Pokemon Editor'!$H:$H,0)+31+FLOOR(XLOOKUP($K29,'Threshold Summary'!$Y:$Y,'Threshold Summary'!$R:$R,"")/4))*XLOOKUP($K29,'Threshold Summary'!$Y:$Y,'Threshold Summary'!$L:$L,""))/100)+5)*XLOOKUP(XLOOKUP($K29,'Threshold Summary'!$Y:$Y,'Threshold Summary'!$M:$M,""),'Nature Editor'!$A:$A,'Nature Editor'!$D:$D,1))),def,IF(cat="Physical",FLOOR((FLOOR(((2*XLOOKUP($L29,'Pokemon Editor'!$A:$A,'Pokemon Editor'!$G:$G,0)+31+FLOOR(XLOOKUP($L29,'Boss Editor'!$C:$C,'Boss Editor'!$I:$I,"")/4))*XLOOKUP($L29,'Boss Editor'!$C:$C,'Boss Editor'!$D:$D,""))/100)+5)*XLOOKUP(XLOOKUP($L29,'Boss Editor'!$C:$C,'Boss Editor'!$E:$E,""),'Nature Editor'!$A:$A,'Nature Editor'!$C:$C,1)),FLOOR((FLOOR(((2*XLOOKUP($L29,'Pokemon Editor'!$A:$A,'Pokemon Editor'!$I:$I,0)+31+FLOOR(XLOOKUP($L29,'Boss Editor'!$C:$C,'Boss Editor'!$K:$K,"")/4))*XLOOKUP($L29,'Boss Editor'!$C:$C,'Boss Editor'!$D:$D,""))/100)+5)*XLOOKUP(XLOOKUP($L29,'Boss Editor'!$C:$C,'Boss Editor'!$E:$E,""),'Nature Editor'!$A:$A,'Nature Editor'!$E:$E,1))),stab,IF(OR(mtype=XLOOKUP(XLOOKUP($K29,'Threshold Summary'!$Y:$Y,'Threshold Summary'!$K:$K,""),'Pokemon Editor'!$A:$A,'Pokemon Editor'!$C:$C,""),mtype=XLOOKUP(XLOOKUP($K29,'Threshold Summary'!$Y:$Y,'Threshold Summary'!$K:$K,""),'Pokemon Editor'!$A:$A,'Pokemon Editor'!$D:$D,"")),1.5,1),eff,(INDEX('Type Chart'!$B:$S,MATCH(mtype,'Type Chart'!$A:$A,0),MATCH(XLOOKUP($L29,'Pokemon Editor'!$A:$A,'Pokemon Editor'!$C:$C,""),'Type Chart'!$B$1:$S$1,0))*IF(XLOOKUP($L29,'Pokemon Editor'!$A:$A,'Pokemon Editor'!$D:$D,"")="",1,INDEX('Type Chart'!$B:$S,MATCH(mtype,'Type Chart'!$A:$A,0),MATCH(XLOOKUP($L29,'Pokemon Editor'!$A:$A,'Pokemon Editor'!$D:$D,""),'Type Chart'!$B$1:$S$1,0)))),base,IF(OR(cat="Status",pow=0),0,FLOOR(FLOOR(FLOOR((2*XLOOKUP($K29,'Threshold Summary'!$Y:$Y,'Threshold Summary'!$L:$L,"")/5+2)*pow*atk/def)/50)+2)),modifier,stab*eff,AVERAGE(ARRAYFORMULA(FLOOR(base*modifier*SEQUENCE(16,1,85,1)/100)))),0)</f>
        <v/>
      </c>
      <c r="I29" s="4">
        <f>IFERROR(LET(mtype,XLOOKUP($D29,'Move Editor'!$B:$B,'Move Editor'!$C:$C,""),cat,XLOOKUP($D29,'Move Editor'!$B:$B,'Move Editor'!$D:$D,""),pow,XLOOKUP($D29,'Move Editor'!$B:$B,'Move Editor'!$E:$E,0),acc,XLOOKUP($D29,'Move Editor'!$B:$B,'Move Editor'!$F:$F,100),atk,IF(cat="Physical",FLOOR((FLOOR(((2*XLOOKUP(XLOOKUP($K29,'Threshold Summary'!$Y:$Y,'Threshold Summary'!$K:$K,""),'Pokemon Editor'!$A:$A,'Pokemon Editor'!$F:$F,0)+31+FLOOR(XLOOKUP($K29,'Threshold Summary'!$Y:$Y,'Threshold Summary'!$P:$P,"")/4))*XLOOKUP($K29,'Threshold Summary'!$Y:$Y,'Threshold Summary'!$L:$L,""))/100)+5)*XLOOKUP(XLOOKUP($K29,'Threshold Summary'!$Y:$Y,'Threshold Summary'!$M:$M,""),'Nature Editor'!$A:$A,'Nature Editor'!$B:$B,1)),FLOOR((FLOOR(((2*XLOOKUP(XLOOKUP($K29,'Threshold Summary'!$Y:$Y,'Threshold Summary'!$K:$K,""),'Pokemon Editor'!$A:$A,'Pokemon Editor'!$H:$H,0)+31+FLOOR(XLOOKUP($K29,'Threshold Summary'!$Y:$Y,'Threshold Summary'!$R:$R,"")/4))*XLOOKUP($K29,'Threshold Summary'!$Y:$Y,'Threshold Summary'!$L:$L,""))/100)+5)*XLOOKUP(XLOOKUP($K29,'Threshold Summary'!$Y:$Y,'Threshold Summary'!$M:$M,""),'Nature Editor'!$A:$A,'Nature Editor'!$D:$D,1))),def,IF(cat="Physical",FLOOR((FLOOR(((2*XLOOKUP($L29,'Pokemon Editor'!$A:$A,'Pokemon Editor'!$G:$G,0)+31+FLOOR(XLOOKUP($L29,'Boss Editor'!$C:$C,'Boss Editor'!$I:$I,"")/4))*XLOOKUP($L29,'Boss Editor'!$C:$C,'Boss Editor'!$D:$D,""))/100)+5)*XLOOKUP(XLOOKUP($L29,'Boss Editor'!$C:$C,'Boss Editor'!$E:$E,""),'Nature Editor'!$A:$A,'Nature Editor'!$C:$C,1)),FLOOR((FLOOR(((2*XLOOKUP($L29,'Pokemon Editor'!$A:$A,'Pokemon Editor'!$I:$I,0)+31+FLOOR(XLOOKUP($L29,'Boss Editor'!$C:$C,'Boss Editor'!$K:$K,"")/4))*XLOOKUP($L29,'Boss Editor'!$C:$C,'Boss Editor'!$D:$D,""))/100)+5)*XLOOKUP(XLOOKUP($L29,'Boss Editor'!$C:$C,'Boss Editor'!$E:$E,""),'Nature Editor'!$A:$A,'Nature Editor'!$E:$E,1))),stab,IF(OR(mtype=XLOOKUP(XLOOKUP($K29,'Threshold Summary'!$Y:$Y,'Threshold Summary'!$K:$K,""),'Pokemon Editor'!$A:$A,'Pokemon Editor'!$C:$C,""),mtype=XLOOKUP(XLOOKUP($K29,'Threshold Summary'!$Y:$Y,'Threshold Summary'!$K:$K,""),'Pokemon Editor'!$A:$A,'Pokemon Editor'!$D:$D,"")),1.5,1),eff,(INDEX('Type Chart'!$B:$S,MATCH(mtype,'Type Chart'!$A:$A,0),MATCH(XLOOKUP($L29,'Pokemon Editor'!$A:$A,'Pokemon Editor'!$C:$C,""),'Type Chart'!$B$1:$S$1,0))*IF(XLOOKUP($L29,'Pokemon Editor'!$A:$A,'Pokemon Editor'!$D:$D,"")="",1,INDEX('Type Chart'!$B:$S,MATCH(mtype,'Type Chart'!$A:$A,0),MATCH(XLOOKUP($L29,'Pokemon Editor'!$A:$A,'Pokemon Editor'!$D:$D,""),'Type Chart'!$B$1:$S$1,0)))),base,IF(OR(cat="Status",pow=0),0,FLOOR(FLOOR(FLOOR((2*XLOOKUP($K29,'Threshold Summary'!$Y:$Y,'Threshold Summary'!$L:$L,"")/5+2)*pow*atk/def)/50)+2)),modifier,stab*eff,AVERAGE(ARRAYFORMULA(FLOOR(base*modifier*SEQUENCE(16,1,85,1)/100)))/(FLOOR(((2*XLOOKUP($L29,'Pokemon Editor'!$A:$A,'Pokemon Editor'!$E:$E,0)+31+FLOOR(XLOOKUP($L29,'Boss Editor'!$C:$C,'Boss Editor'!$G:$G,"")/4))*XLOOKUP($L29,'Boss Editor'!$C:$C,'Boss Editor'!$D:$D,""))/100)+XLOOKUP($L29,'Boss Editor'!$C:$C,'Boss Editor'!$D:$D,"")+10)),0)</f>
        <v/>
      </c>
      <c r="J29" s="3">
        <f>IF(I29&gt;=1,"OHKO",IF(I29&gt;=0.5,"2HKO",IF(I29&gt;=0.333,"3HKO",IF(I29&gt;=0.25,"4HKO","5HKO+"))))</f>
        <v/>
      </c>
      <c r="K29" s="3" t="inlineStr">
        <is>
          <t>SPECIES_STARLY</t>
        </is>
      </c>
      <c r="L29" s="3" t="inlineStr">
        <is>
          <t>SPECIES_TIRTOUGA</t>
        </is>
      </c>
    </row>
    <row r="30">
      <c r="A30" s="3">
        <f>XLOOKUP($K30,'Threshold Summary'!$Y:$Y,'Threshold Summary'!$A:$A,"")</f>
        <v/>
      </c>
      <c r="B30" s="3" t="inlineStr">
        <is>
          <t>Anorith</t>
        </is>
      </c>
      <c r="C30" s="3">
        <f>XLOOKUP($L30,'Boss Editor'!$C:$C,'Boss Editor'!$D:$D,"")</f>
        <v/>
      </c>
      <c r="D30" s="3">
        <f>XLOOKUP($K30,'Threshold Summary'!$Y:$Y,'Threshold Summary'!$B:$B,"")</f>
        <v/>
      </c>
      <c r="E30" s="3">
        <f>XLOOKUP(D30,'Move Editor'!$B:$B,'Move Editor'!$C:$C,"")</f>
        <v/>
      </c>
      <c r="F30" s="3">
        <f>IFERROR(LET(mtype,XLOOKUP($D30,'Move Editor'!$B:$B,'Move Editor'!$C:$C,""),cat,XLOOKUP($D30,'Move Editor'!$B:$B,'Move Editor'!$D:$D,""),pow,XLOOKUP($D30,'Move Editor'!$B:$B,'Move Editor'!$E:$E,0),acc,XLOOKUP($D30,'Move Editor'!$B:$B,'Move Editor'!$F:$F,100),atk,IF(cat="Physical",FLOOR((FLOOR(((2*XLOOKUP(XLOOKUP($K30,'Threshold Summary'!$Y:$Y,'Threshold Summary'!$K:$K,""),'Pokemon Editor'!$A:$A,'Pokemon Editor'!$F:$F,0)+31+FLOOR(XLOOKUP($K30,'Threshold Summary'!$Y:$Y,'Threshold Summary'!$P:$P,"")/4))*XLOOKUP($K30,'Threshold Summary'!$Y:$Y,'Threshold Summary'!$L:$L,""))/100)+5)*XLOOKUP(XLOOKUP($K30,'Threshold Summary'!$Y:$Y,'Threshold Summary'!$M:$M,""),'Nature Editor'!$A:$A,'Nature Editor'!$B:$B,1)),FLOOR((FLOOR(((2*XLOOKUP(XLOOKUP($K30,'Threshold Summary'!$Y:$Y,'Threshold Summary'!$K:$K,""),'Pokemon Editor'!$A:$A,'Pokemon Editor'!$H:$H,0)+31+FLOOR(XLOOKUP($K30,'Threshold Summary'!$Y:$Y,'Threshold Summary'!$R:$R,"")/4))*XLOOKUP($K30,'Threshold Summary'!$Y:$Y,'Threshold Summary'!$L:$L,""))/100)+5)*XLOOKUP(XLOOKUP($K30,'Threshold Summary'!$Y:$Y,'Threshold Summary'!$M:$M,""),'Nature Editor'!$A:$A,'Nature Editor'!$D:$D,1))),def,IF(cat="Physical",FLOOR((FLOOR(((2*XLOOKUP($L30,'Pokemon Editor'!$A:$A,'Pokemon Editor'!$G:$G,0)+31+FLOOR(XLOOKUP($L30,'Boss Editor'!$C:$C,'Boss Editor'!$I:$I,"")/4))*XLOOKUP($L30,'Boss Editor'!$C:$C,'Boss Editor'!$D:$D,""))/100)+5)*XLOOKUP(XLOOKUP($L30,'Boss Editor'!$C:$C,'Boss Editor'!$E:$E,""),'Nature Editor'!$A:$A,'Nature Editor'!$C:$C,1)),FLOOR((FLOOR(((2*XLOOKUP($L30,'Pokemon Editor'!$A:$A,'Pokemon Editor'!$I:$I,0)+31+FLOOR(XLOOKUP($L30,'Boss Editor'!$C:$C,'Boss Editor'!$K:$K,"")/4))*XLOOKUP($L30,'Boss Editor'!$C:$C,'Boss Editor'!$D:$D,""))/100)+5)*XLOOKUP(XLOOKUP($L30,'Boss Editor'!$C:$C,'Boss Editor'!$E:$E,""),'Nature Editor'!$A:$A,'Nature Editor'!$E:$E,1))),stab,IF(OR(mtype=XLOOKUP(XLOOKUP($K30,'Threshold Summary'!$Y:$Y,'Threshold Summary'!$K:$K,""),'Pokemon Editor'!$A:$A,'Pokemon Editor'!$C:$C,""),mtype=XLOOKUP(XLOOKUP($K30,'Threshold Summary'!$Y:$Y,'Threshold Summary'!$K:$K,""),'Pokemon Editor'!$A:$A,'Pokemon Editor'!$D:$D,"")),1.5,1),eff,(INDEX('Type Chart'!$B:$S,MATCH(mtype,'Type Chart'!$A:$A,0),MATCH(XLOOKUP($L30,'Pokemon Editor'!$A:$A,'Pokemon Editor'!$C:$C,""),'Type Chart'!$B$1:$S$1,0))*IF(XLOOKUP($L30,'Pokemon Editor'!$A:$A,'Pokemon Editor'!$D:$D,"")="",1,INDEX('Type Chart'!$B:$S,MATCH(mtype,'Type Chart'!$A:$A,0),MATCH(XLOOKUP($L30,'Pokemon Editor'!$A:$A,'Pokemon Editor'!$D:$D,""),'Type Chart'!$B$1:$S$1,0)))),base,IF(OR(cat="Status",pow=0),0,FLOOR(FLOOR(FLOOR((2*XLOOKUP($K30,'Threshold Summary'!$Y:$Y,'Threshold Summary'!$L:$L,"")/5+2)*pow*atk/def)/50)+2)),modifier,stab*eff,FLOOR(base*modifier*0.85)),0)</f>
        <v/>
      </c>
      <c r="G30" s="3">
        <f>IFERROR(LET(mtype,XLOOKUP($D30,'Move Editor'!$B:$B,'Move Editor'!$C:$C,""),cat,XLOOKUP($D30,'Move Editor'!$B:$B,'Move Editor'!$D:$D,""),pow,XLOOKUP($D30,'Move Editor'!$B:$B,'Move Editor'!$E:$E,0),acc,XLOOKUP($D30,'Move Editor'!$B:$B,'Move Editor'!$F:$F,100),atk,IF(cat="Physical",FLOOR((FLOOR(((2*XLOOKUP(XLOOKUP($K30,'Threshold Summary'!$Y:$Y,'Threshold Summary'!$K:$K,""),'Pokemon Editor'!$A:$A,'Pokemon Editor'!$F:$F,0)+31+FLOOR(XLOOKUP($K30,'Threshold Summary'!$Y:$Y,'Threshold Summary'!$P:$P,"")/4))*XLOOKUP($K30,'Threshold Summary'!$Y:$Y,'Threshold Summary'!$L:$L,""))/100)+5)*XLOOKUP(XLOOKUP($K30,'Threshold Summary'!$Y:$Y,'Threshold Summary'!$M:$M,""),'Nature Editor'!$A:$A,'Nature Editor'!$B:$B,1)),FLOOR((FLOOR(((2*XLOOKUP(XLOOKUP($K30,'Threshold Summary'!$Y:$Y,'Threshold Summary'!$K:$K,""),'Pokemon Editor'!$A:$A,'Pokemon Editor'!$H:$H,0)+31+FLOOR(XLOOKUP($K30,'Threshold Summary'!$Y:$Y,'Threshold Summary'!$R:$R,"")/4))*XLOOKUP($K30,'Threshold Summary'!$Y:$Y,'Threshold Summary'!$L:$L,""))/100)+5)*XLOOKUP(XLOOKUP($K30,'Threshold Summary'!$Y:$Y,'Threshold Summary'!$M:$M,""),'Nature Editor'!$A:$A,'Nature Editor'!$D:$D,1))),def,IF(cat="Physical",FLOOR((FLOOR(((2*XLOOKUP($L30,'Pokemon Editor'!$A:$A,'Pokemon Editor'!$G:$G,0)+31+FLOOR(XLOOKUP($L30,'Boss Editor'!$C:$C,'Boss Editor'!$I:$I,"")/4))*XLOOKUP($L30,'Boss Editor'!$C:$C,'Boss Editor'!$D:$D,""))/100)+5)*XLOOKUP(XLOOKUP($L30,'Boss Editor'!$C:$C,'Boss Editor'!$E:$E,""),'Nature Editor'!$A:$A,'Nature Editor'!$C:$C,1)),FLOOR((FLOOR(((2*XLOOKUP($L30,'Pokemon Editor'!$A:$A,'Pokemon Editor'!$I:$I,0)+31+FLOOR(XLOOKUP($L30,'Boss Editor'!$C:$C,'Boss Editor'!$K:$K,"")/4))*XLOOKUP($L30,'Boss Editor'!$C:$C,'Boss Editor'!$D:$D,""))/100)+5)*XLOOKUP(XLOOKUP($L30,'Boss Editor'!$C:$C,'Boss Editor'!$E:$E,""),'Nature Editor'!$A:$A,'Nature Editor'!$E:$E,1))),stab,IF(OR(mtype=XLOOKUP(XLOOKUP($K30,'Threshold Summary'!$Y:$Y,'Threshold Summary'!$K:$K,""),'Pokemon Editor'!$A:$A,'Pokemon Editor'!$C:$C,""),mtype=XLOOKUP(XLOOKUP($K30,'Threshold Summary'!$Y:$Y,'Threshold Summary'!$K:$K,""),'Pokemon Editor'!$A:$A,'Pokemon Editor'!$D:$D,"")),1.5,1),eff,(INDEX('Type Chart'!$B:$S,MATCH(mtype,'Type Chart'!$A:$A,0),MATCH(XLOOKUP($L30,'Pokemon Editor'!$A:$A,'Pokemon Editor'!$C:$C,""),'Type Chart'!$B$1:$S$1,0))*IF(XLOOKUP($L30,'Pokemon Editor'!$A:$A,'Pokemon Editor'!$D:$D,"")="",1,INDEX('Type Chart'!$B:$S,MATCH(mtype,'Type Chart'!$A:$A,0),MATCH(XLOOKUP($L30,'Pokemon Editor'!$A:$A,'Pokemon Editor'!$D:$D,""),'Type Chart'!$B$1:$S$1,0)))),base,IF(OR(cat="Status",pow=0),0,FLOOR(FLOOR(FLOOR((2*XLOOKUP($K30,'Threshold Summary'!$Y:$Y,'Threshold Summary'!$L:$L,"")/5+2)*pow*atk/def)/50)+2)),modifier,stab*eff,FLOOR(base*modifier)),0)</f>
        <v/>
      </c>
      <c r="H30" s="3">
        <f>IFERROR(LET(mtype,XLOOKUP($D30,'Move Editor'!$B:$B,'Move Editor'!$C:$C,""),cat,XLOOKUP($D30,'Move Editor'!$B:$B,'Move Editor'!$D:$D,""),pow,XLOOKUP($D30,'Move Editor'!$B:$B,'Move Editor'!$E:$E,0),acc,XLOOKUP($D30,'Move Editor'!$B:$B,'Move Editor'!$F:$F,100),atk,IF(cat="Physical",FLOOR((FLOOR(((2*XLOOKUP(XLOOKUP($K30,'Threshold Summary'!$Y:$Y,'Threshold Summary'!$K:$K,""),'Pokemon Editor'!$A:$A,'Pokemon Editor'!$F:$F,0)+31+FLOOR(XLOOKUP($K30,'Threshold Summary'!$Y:$Y,'Threshold Summary'!$P:$P,"")/4))*XLOOKUP($K30,'Threshold Summary'!$Y:$Y,'Threshold Summary'!$L:$L,""))/100)+5)*XLOOKUP(XLOOKUP($K30,'Threshold Summary'!$Y:$Y,'Threshold Summary'!$M:$M,""),'Nature Editor'!$A:$A,'Nature Editor'!$B:$B,1)),FLOOR((FLOOR(((2*XLOOKUP(XLOOKUP($K30,'Threshold Summary'!$Y:$Y,'Threshold Summary'!$K:$K,""),'Pokemon Editor'!$A:$A,'Pokemon Editor'!$H:$H,0)+31+FLOOR(XLOOKUP($K30,'Threshold Summary'!$Y:$Y,'Threshold Summary'!$R:$R,"")/4))*XLOOKUP($K30,'Threshold Summary'!$Y:$Y,'Threshold Summary'!$L:$L,""))/100)+5)*XLOOKUP(XLOOKUP($K30,'Threshold Summary'!$Y:$Y,'Threshold Summary'!$M:$M,""),'Nature Editor'!$A:$A,'Nature Editor'!$D:$D,1))),def,IF(cat="Physical",FLOOR((FLOOR(((2*XLOOKUP($L30,'Pokemon Editor'!$A:$A,'Pokemon Editor'!$G:$G,0)+31+FLOOR(XLOOKUP($L30,'Boss Editor'!$C:$C,'Boss Editor'!$I:$I,"")/4))*XLOOKUP($L30,'Boss Editor'!$C:$C,'Boss Editor'!$D:$D,""))/100)+5)*XLOOKUP(XLOOKUP($L30,'Boss Editor'!$C:$C,'Boss Editor'!$E:$E,""),'Nature Editor'!$A:$A,'Nature Editor'!$C:$C,1)),FLOOR((FLOOR(((2*XLOOKUP($L30,'Pokemon Editor'!$A:$A,'Pokemon Editor'!$I:$I,0)+31+FLOOR(XLOOKUP($L30,'Boss Editor'!$C:$C,'Boss Editor'!$K:$K,"")/4))*XLOOKUP($L30,'Boss Editor'!$C:$C,'Boss Editor'!$D:$D,""))/100)+5)*XLOOKUP(XLOOKUP($L30,'Boss Editor'!$C:$C,'Boss Editor'!$E:$E,""),'Nature Editor'!$A:$A,'Nature Editor'!$E:$E,1))),stab,IF(OR(mtype=XLOOKUP(XLOOKUP($K30,'Threshold Summary'!$Y:$Y,'Threshold Summary'!$K:$K,""),'Pokemon Editor'!$A:$A,'Pokemon Editor'!$C:$C,""),mtype=XLOOKUP(XLOOKUP($K30,'Threshold Summary'!$Y:$Y,'Threshold Summary'!$K:$K,""),'Pokemon Editor'!$A:$A,'Pokemon Editor'!$D:$D,"")),1.5,1),eff,(INDEX('Type Chart'!$B:$S,MATCH(mtype,'Type Chart'!$A:$A,0),MATCH(XLOOKUP($L30,'Pokemon Editor'!$A:$A,'Pokemon Editor'!$C:$C,""),'Type Chart'!$B$1:$S$1,0))*IF(XLOOKUP($L30,'Pokemon Editor'!$A:$A,'Pokemon Editor'!$D:$D,"")="",1,INDEX('Type Chart'!$B:$S,MATCH(mtype,'Type Chart'!$A:$A,0),MATCH(XLOOKUP($L30,'Pokemon Editor'!$A:$A,'Pokemon Editor'!$D:$D,""),'Type Chart'!$B$1:$S$1,0)))),base,IF(OR(cat="Status",pow=0),0,FLOOR(FLOOR(FLOOR((2*XLOOKUP($K30,'Threshold Summary'!$Y:$Y,'Threshold Summary'!$L:$L,"")/5+2)*pow*atk/def)/50)+2)),modifier,stab*eff,AVERAGE(ARRAYFORMULA(FLOOR(base*modifier*SEQUENCE(16,1,85,1)/100)))),0)</f>
        <v/>
      </c>
      <c r="I30" s="4">
        <f>IFERROR(LET(mtype,XLOOKUP($D30,'Move Editor'!$B:$B,'Move Editor'!$C:$C,""),cat,XLOOKUP($D30,'Move Editor'!$B:$B,'Move Editor'!$D:$D,""),pow,XLOOKUP($D30,'Move Editor'!$B:$B,'Move Editor'!$E:$E,0),acc,XLOOKUP($D30,'Move Editor'!$B:$B,'Move Editor'!$F:$F,100),atk,IF(cat="Physical",FLOOR((FLOOR(((2*XLOOKUP(XLOOKUP($K30,'Threshold Summary'!$Y:$Y,'Threshold Summary'!$K:$K,""),'Pokemon Editor'!$A:$A,'Pokemon Editor'!$F:$F,0)+31+FLOOR(XLOOKUP($K30,'Threshold Summary'!$Y:$Y,'Threshold Summary'!$P:$P,"")/4))*XLOOKUP($K30,'Threshold Summary'!$Y:$Y,'Threshold Summary'!$L:$L,""))/100)+5)*XLOOKUP(XLOOKUP($K30,'Threshold Summary'!$Y:$Y,'Threshold Summary'!$M:$M,""),'Nature Editor'!$A:$A,'Nature Editor'!$B:$B,1)),FLOOR((FLOOR(((2*XLOOKUP(XLOOKUP($K30,'Threshold Summary'!$Y:$Y,'Threshold Summary'!$K:$K,""),'Pokemon Editor'!$A:$A,'Pokemon Editor'!$H:$H,0)+31+FLOOR(XLOOKUP($K30,'Threshold Summary'!$Y:$Y,'Threshold Summary'!$R:$R,"")/4))*XLOOKUP($K30,'Threshold Summary'!$Y:$Y,'Threshold Summary'!$L:$L,""))/100)+5)*XLOOKUP(XLOOKUP($K30,'Threshold Summary'!$Y:$Y,'Threshold Summary'!$M:$M,""),'Nature Editor'!$A:$A,'Nature Editor'!$D:$D,1))),def,IF(cat="Physical",FLOOR((FLOOR(((2*XLOOKUP($L30,'Pokemon Editor'!$A:$A,'Pokemon Editor'!$G:$G,0)+31+FLOOR(XLOOKUP($L30,'Boss Editor'!$C:$C,'Boss Editor'!$I:$I,"")/4))*XLOOKUP($L30,'Boss Editor'!$C:$C,'Boss Editor'!$D:$D,""))/100)+5)*XLOOKUP(XLOOKUP($L30,'Boss Editor'!$C:$C,'Boss Editor'!$E:$E,""),'Nature Editor'!$A:$A,'Nature Editor'!$C:$C,1)),FLOOR((FLOOR(((2*XLOOKUP($L30,'Pokemon Editor'!$A:$A,'Pokemon Editor'!$I:$I,0)+31+FLOOR(XLOOKUP($L30,'Boss Editor'!$C:$C,'Boss Editor'!$K:$K,"")/4))*XLOOKUP($L30,'Boss Editor'!$C:$C,'Boss Editor'!$D:$D,""))/100)+5)*XLOOKUP(XLOOKUP($L30,'Boss Editor'!$C:$C,'Boss Editor'!$E:$E,""),'Nature Editor'!$A:$A,'Nature Editor'!$E:$E,1))),stab,IF(OR(mtype=XLOOKUP(XLOOKUP($K30,'Threshold Summary'!$Y:$Y,'Threshold Summary'!$K:$K,""),'Pokemon Editor'!$A:$A,'Pokemon Editor'!$C:$C,""),mtype=XLOOKUP(XLOOKUP($K30,'Threshold Summary'!$Y:$Y,'Threshold Summary'!$K:$K,""),'Pokemon Editor'!$A:$A,'Pokemon Editor'!$D:$D,"")),1.5,1),eff,(INDEX('Type Chart'!$B:$S,MATCH(mtype,'Type Chart'!$A:$A,0),MATCH(XLOOKUP($L30,'Pokemon Editor'!$A:$A,'Pokemon Editor'!$C:$C,""),'Type Chart'!$B$1:$S$1,0))*IF(XLOOKUP($L30,'Pokemon Editor'!$A:$A,'Pokemon Editor'!$D:$D,"")="",1,INDEX('Type Chart'!$B:$S,MATCH(mtype,'Type Chart'!$A:$A,0),MATCH(XLOOKUP($L30,'Pokemon Editor'!$A:$A,'Pokemon Editor'!$D:$D,""),'Type Chart'!$B$1:$S$1,0)))),base,IF(OR(cat="Status",pow=0),0,FLOOR(FLOOR(FLOOR((2*XLOOKUP($K30,'Threshold Summary'!$Y:$Y,'Threshold Summary'!$L:$L,"")/5+2)*pow*atk/def)/50)+2)),modifier,stab*eff,AVERAGE(ARRAYFORMULA(FLOOR(base*modifier*SEQUENCE(16,1,85,1)/100)))/(FLOOR(((2*XLOOKUP($L30,'Pokemon Editor'!$A:$A,'Pokemon Editor'!$E:$E,0)+31+FLOOR(XLOOKUP($L30,'Boss Editor'!$C:$C,'Boss Editor'!$G:$G,"")/4))*XLOOKUP($L30,'Boss Editor'!$C:$C,'Boss Editor'!$D:$D,""))/100)+XLOOKUP($L30,'Boss Editor'!$C:$C,'Boss Editor'!$D:$D,"")+10)),0)</f>
        <v/>
      </c>
      <c r="J30" s="3">
        <f>IF(I30&gt;=1,"OHKO",IF(I30&gt;=0.5,"2HKO",IF(I30&gt;=0.333,"3HKO",IF(I30&gt;=0.25,"4HKO","5HKO+"))))</f>
        <v/>
      </c>
      <c r="K30" s="3" t="inlineStr">
        <is>
          <t>SPECIES_STARLY</t>
        </is>
      </c>
      <c r="L30" s="3" t="inlineStr">
        <is>
          <t>SPECIES_ANORITH</t>
        </is>
      </c>
    </row>
    <row r="31">
      <c r="A31" s="3">
        <f>XLOOKUP($K31,'Threshold Summary'!$Y:$Y,'Threshold Summary'!$A:$A,"")</f>
        <v/>
      </c>
      <c r="B31" s="3" t="inlineStr">
        <is>
          <t>Lileep</t>
        </is>
      </c>
      <c r="C31" s="3">
        <f>XLOOKUP($L31,'Boss Editor'!$C:$C,'Boss Editor'!$D:$D,"")</f>
        <v/>
      </c>
      <c r="D31" s="3">
        <f>XLOOKUP($K31,'Threshold Summary'!$Y:$Y,'Threshold Summary'!$B:$B,"")</f>
        <v/>
      </c>
      <c r="E31" s="3">
        <f>XLOOKUP(D31,'Move Editor'!$B:$B,'Move Editor'!$C:$C,"")</f>
        <v/>
      </c>
      <c r="F31" s="3">
        <f>IFERROR(LET(mtype,XLOOKUP($D31,'Move Editor'!$B:$B,'Move Editor'!$C:$C,""),cat,XLOOKUP($D31,'Move Editor'!$B:$B,'Move Editor'!$D:$D,""),pow,XLOOKUP($D31,'Move Editor'!$B:$B,'Move Editor'!$E:$E,0),acc,XLOOKUP($D31,'Move Editor'!$B:$B,'Move Editor'!$F:$F,100),atk,IF(cat="Physical",FLOOR((FLOOR(((2*XLOOKUP(XLOOKUP($K31,'Threshold Summary'!$Y:$Y,'Threshold Summary'!$K:$K,""),'Pokemon Editor'!$A:$A,'Pokemon Editor'!$F:$F,0)+31+FLOOR(XLOOKUP($K31,'Threshold Summary'!$Y:$Y,'Threshold Summary'!$P:$P,"")/4))*XLOOKUP($K31,'Threshold Summary'!$Y:$Y,'Threshold Summary'!$L:$L,""))/100)+5)*XLOOKUP(XLOOKUP($K31,'Threshold Summary'!$Y:$Y,'Threshold Summary'!$M:$M,""),'Nature Editor'!$A:$A,'Nature Editor'!$B:$B,1)),FLOOR((FLOOR(((2*XLOOKUP(XLOOKUP($K31,'Threshold Summary'!$Y:$Y,'Threshold Summary'!$K:$K,""),'Pokemon Editor'!$A:$A,'Pokemon Editor'!$H:$H,0)+31+FLOOR(XLOOKUP($K31,'Threshold Summary'!$Y:$Y,'Threshold Summary'!$R:$R,"")/4))*XLOOKUP($K31,'Threshold Summary'!$Y:$Y,'Threshold Summary'!$L:$L,""))/100)+5)*XLOOKUP(XLOOKUP($K31,'Threshold Summary'!$Y:$Y,'Threshold Summary'!$M:$M,""),'Nature Editor'!$A:$A,'Nature Editor'!$D:$D,1))),def,IF(cat="Physical",FLOOR((FLOOR(((2*XLOOKUP($L31,'Pokemon Editor'!$A:$A,'Pokemon Editor'!$G:$G,0)+31+FLOOR(XLOOKUP($L31,'Boss Editor'!$C:$C,'Boss Editor'!$I:$I,"")/4))*XLOOKUP($L31,'Boss Editor'!$C:$C,'Boss Editor'!$D:$D,""))/100)+5)*XLOOKUP(XLOOKUP($L31,'Boss Editor'!$C:$C,'Boss Editor'!$E:$E,""),'Nature Editor'!$A:$A,'Nature Editor'!$C:$C,1)),FLOOR((FLOOR(((2*XLOOKUP($L31,'Pokemon Editor'!$A:$A,'Pokemon Editor'!$I:$I,0)+31+FLOOR(XLOOKUP($L31,'Boss Editor'!$C:$C,'Boss Editor'!$K:$K,"")/4))*XLOOKUP($L31,'Boss Editor'!$C:$C,'Boss Editor'!$D:$D,""))/100)+5)*XLOOKUP(XLOOKUP($L31,'Boss Editor'!$C:$C,'Boss Editor'!$E:$E,""),'Nature Editor'!$A:$A,'Nature Editor'!$E:$E,1))),stab,IF(OR(mtype=XLOOKUP(XLOOKUP($K31,'Threshold Summary'!$Y:$Y,'Threshold Summary'!$K:$K,""),'Pokemon Editor'!$A:$A,'Pokemon Editor'!$C:$C,""),mtype=XLOOKUP(XLOOKUP($K31,'Threshold Summary'!$Y:$Y,'Threshold Summary'!$K:$K,""),'Pokemon Editor'!$A:$A,'Pokemon Editor'!$D:$D,"")),1.5,1),eff,(INDEX('Type Chart'!$B:$S,MATCH(mtype,'Type Chart'!$A:$A,0),MATCH(XLOOKUP($L31,'Pokemon Editor'!$A:$A,'Pokemon Editor'!$C:$C,""),'Type Chart'!$B$1:$S$1,0))*IF(XLOOKUP($L31,'Pokemon Editor'!$A:$A,'Pokemon Editor'!$D:$D,"")="",1,INDEX('Type Chart'!$B:$S,MATCH(mtype,'Type Chart'!$A:$A,0),MATCH(XLOOKUP($L31,'Pokemon Editor'!$A:$A,'Pokemon Editor'!$D:$D,""),'Type Chart'!$B$1:$S$1,0)))),base,IF(OR(cat="Status",pow=0),0,FLOOR(FLOOR(FLOOR((2*XLOOKUP($K31,'Threshold Summary'!$Y:$Y,'Threshold Summary'!$L:$L,"")/5+2)*pow*atk/def)/50)+2)),modifier,stab*eff,FLOOR(base*modifier*0.85)),0)</f>
        <v/>
      </c>
      <c r="G31" s="3">
        <f>IFERROR(LET(mtype,XLOOKUP($D31,'Move Editor'!$B:$B,'Move Editor'!$C:$C,""),cat,XLOOKUP($D31,'Move Editor'!$B:$B,'Move Editor'!$D:$D,""),pow,XLOOKUP($D31,'Move Editor'!$B:$B,'Move Editor'!$E:$E,0),acc,XLOOKUP($D31,'Move Editor'!$B:$B,'Move Editor'!$F:$F,100),atk,IF(cat="Physical",FLOOR((FLOOR(((2*XLOOKUP(XLOOKUP($K31,'Threshold Summary'!$Y:$Y,'Threshold Summary'!$K:$K,""),'Pokemon Editor'!$A:$A,'Pokemon Editor'!$F:$F,0)+31+FLOOR(XLOOKUP($K31,'Threshold Summary'!$Y:$Y,'Threshold Summary'!$P:$P,"")/4))*XLOOKUP($K31,'Threshold Summary'!$Y:$Y,'Threshold Summary'!$L:$L,""))/100)+5)*XLOOKUP(XLOOKUP($K31,'Threshold Summary'!$Y:$Y,'Threshold Summary'!$M:$M,""),'Nature Editor'!$A:$A,'Nature Editor'!$B:$B,1)),FLOOR((FLOOR(((2*XLOOKUP(XLOOKUP($K31,'Threshold Summary'!$Y:$Y,'Threshold Summary'!$K:$K,""),'Pokemon Editor'!$A:$A,'Pokemon Editor'!$H:$H,0)+31+FLOOR(XLOOKUP($K31,'Threshold Summary'!$Y:$Y,'Threshold Summary'!$R:$R,"")/4))*XLOOKUP($K31,'Threshold Summary'!$Y:$Y,'Threshold Summary'!$L:$L,""))/100)+5)*XLOOKUP(XLOOKUP($K31,'Threshold Summary'!$Y:$Y,'Threshold Summary'!$M:$M,""),'Nature Editor'!$A:$A,'Nature Editor'!$D:$D,1))),def,IF(cat="Physical",FLOOR((FLOOR(((2*XLOOKUP($L31,'Pokemon Editor'!$A:$A,'Pokemon Editor'!$G:$G,0)+31+FLOOR(XLOOKUP($L31,'Boss Editor'!$C:$C,'Boss Editor'!$I:$I,"")/4))*XLOOKUP($L31,'Boss Editor'!$C:$C,'Boss Editor'!$D:$D,""))/100)+5)*XLOOKUP(XLOOKUP($L31,'Boss Editor'!$C:$C,'Boss Editor'!$E:$E,""),'Nature Editor'!$A:$A,'Nature Editor'!$C:$C,1)),FLOOR((FLOOR(((2*XLOOKUP($L31,'Pokemon Editor'!$A:$A,'Pokemon Editor'!$I:$I,0)+31+FLOOR(XLOOKUP($L31,'Boss Editor'!$C:$C,'Boss Editor'!$K:$K,"")/4))*XLOOKUP($L31,'Boss Editor'!$C:$C,'Boss Editor'!$D:$D,""))/100)+5)*XLOOKUP(XLOOKUP($L31,'Boss Editor'!$C:$C,'Boss Editor'!$E:$E,""),'Nature Editor'!$A:$A,'Nature Editor'!$E:$E,1))),stab,IF(OR(mtype=XLOOKUP(XLOOKUP($K31,'Threshold Summary'!$Y:$Y,'Threshold Summary'!$K:$K,""),'Pokemon Editor'!$A:$A,'Pokemon Editor'!$C:$C,""),mtype=XLOOKUP(XLOOKUP($K31,'Threshold Summary'!$Y:$Y,'Threshold Summary'!$K:$K,""),'Pokemon Editor'!$A:$A,'Pokemon Editor'!$D:$D,"")),1.5,1),eff,(INDEX('Type Chart'!$B:$S,MATCH(mtype,'Type Chart'!$A:$A,0),MATCH(XLOOKUP($L31,'Pokemon Editor'!$A:$A,'Pokemon Editor'!$C:$C,""),'Type Chart'!$B$1:$S$1,0))*IF(XLOOKUP($L31,'Pokemon Editor'!$A:$A,'Pokemon Editor'!$D:$D,"")="",1,INDEX('Type Chart'!$B:$S,MATCH(mtype,'Type Chart'!$A:$A,0),MATCH(XLOOKUP($L31,'Pokemon Editor'!$A:$A,'Pokemon Editor'!$D:$D,""),'Type Chart'!$B$1:$S$1,0)))),base,IF(OR(cat="Status",pow=0),0,FLOOR(FLOOR(FLOOR((2*XLOOKUP($K31,'Threshold Summary'!$Y:$Y,'Threshold Summary'!$L:$L,"")/5+2)*pow*atk/def)/50)+2)),modifier,stab*eff,FLOOR(base*modifier)),0)</f>
        <v/>
      </c>
      <c r="H31" s="3">
        <f>IFERROR(LET(mtype,XLOOKUP($D31,'Move Editor'!$B:$B,'Move Editor'!$C:$C,""),cat,XLOOKUP($D31,'Move Editor'!$B:$B,'Move Editor'!$D:$D,""),pow,XLOOKUP($D31,'Move Editor'!$B:$B,'Move Editor'!$E:$E,0),acc,XLOOKUP($D31,'Move Editor'!$B:$B,'Move Editor'!$F:$F,100),atk,IF(cat="Physical",FLOOR((FLOOR(((2*XLOOKUP(XLOOKUP($K31,'Threshold Summary'!$Y:$Y,'Threshold Summary'!$K:$K,""),'Pokemon Editor'!$A:$A,'Pokemon Editor'!$F:$F,0)+31+FLOOR(XLOOKUP($K31,'Threshold Summary'!$Y:$Y,'Threshold Summary'!$P:$P,"")/4))*XLOOKUP($K31,'Threshold Summary'!$Y:$Y,'Threshold Summary'!$L:$L,""))/100)+5)*XLOOKUP(XLOOKUP($K31,'Threshold Summary'!$Y:$Y,'Threshold Summary'!$M:$M,""),'Nature Editor'!$A:$A,'Nature Editor'!$B:$B,1)),FLOOR((FLOOR(((2*XLOOKUP(XLOOKUP($K31,'Threshold Summary'!$Y:$Y,'Threshold Summary'!$K:$K,""),'Pokemon Editor'!$A:$A,'Pokemon Editor'!$H:$H,0)+31+FLOOR(XLOOKUP($K31,'Threshold Summary'!$Y:$Y,'Threshold Summary'!$R:$R,"")/4))*XLOOKUP($K31,'Threshold Summary'!$Y:$Y,'Threshold Summary'!$L:$L,""))/100)+5)*XLOOKUP(XLOOKUP($K31,'Threshold Summary'!$Y:$Y,'Threshold Summary'!$M:$M,""),'Nature Editor'!$A:$A,'Nature Editor'!$D:$D,1))),def,IF(cat="Physical",FLOOR((FLOOR(((2*XLOOKUP($L31,'Pokemon Editor'!$A:$A,'Pokemon Editor'!$G:$G,0)+31+FLOOR(XLOOKUP($L31,'Boss Editor'!$C:$C,'Boss Editor'!$I:$I,"")/4))*XLOOKUP($L31,'Boss Editor'!$C:$C,'Boss Editor'!$D:$D,""))/100)+5)*XLOOKUP(XLOOKUP($L31,'Boss Editor'!$C:$C,'Boss Editor'!$E:$E,""),'Nature Editor'!$A:$A,'Nature Editor'!$C:$C,1)),FLOOR((FLOOR(((2*XLOOKUP($L31,'Pokemon Editor'!$A:$A,'Pokemon Editor'!$I:$I,0)+31+FLOOR(XLOOKUP($L31,'Boss Editor'!$C:$C,'Boss Editor'!$K:$K,"")/4))*XLOOKUP($L31,'Boss Editor'!$C:$C,'Boss Editor'!$D:$D,""))/100)+5)*XLOOKUP(XLOOKUP($L31,'Boss Editor'!$C:$C,'Boss Editor'!$E:$E,""),'Nature Editor'!$A:$A,'Nature Editor'!$E:$E,1))),stab,IF(OR(mtype=XLOOKUP(XLOOKUP($K31,'Threshold Summary'!$Y:$Y,'Threshold Summary'!$K:$K,""),'Pokemon Editor'!$A:$A,'Pokemon Editor'!$C:$C,""),mtype=XLOOKUP(XLOOKUP($K31,'Threshold Summary'!$Y:$Y,'Threshold Summary'!$K:$K,""),'Pokemon Editor'!$A:$A,'Pokemon Editor'!$D:$D,"")),1.5,1),eff,(INDEX('Type Chart'!$B:$S,MATCH(mtype,'Type Chart'!$A:$A,0),MATCH(XLOOKUP($L31,'Pokemon Editor'!$A:$A,'Pokemon Editor'!$C:$C,""),'Type Chart'!$B$1:$S$1,0))*IF(XLOOKUP($L31,'Pokemon Editor'!$A:$A,'Pokemon Editor'!$D:$D,"")="",1,INDEX('Type Chart'!$B:$S,MATCH(mtype,'Type Chart'!$A:$A,0),MATCH(XLOOKUP($L31,'Pokemon Editor'!$A:$A,'Pokemon Editor'!$D:$D,""),'Type Chart'!$B$1:$S$1,0)))),base,IF(OR(cat="Status",pow=0),0,FLOOR(FLOOR(FLOOR((2*XLOOKUP($K31,'Threshold Summary'!$Y:$Y,'Threshold Summary'!$L:$L,"")/5+2)*pow*atk/def)/50)+2)),modifier,stab*eff,AVERAGE(ARRAYFORMULA(FLOOR(base*modifier*SEQUENCE(16,1,85,1)/100)))),0)</f>
        <v/>
      </c>
      <c r="I31" s="4">
        <f>IFERROR(LET(mtype,XLOOKUP($D31,'Move Editor'!$B:$B,'Move Editor'!$C:$C,""),cat,XLOOKUP($D31,'Move Editor'!$B:$B,'Move Editor'!$D:$D,""),pow,XLOOKUP($D31,'Move Editor'!$B:$B,'Move Editor'!$E:$E,0),acc,XLOOKUP($D31,'Move Editor'!$B:$B,'Move Editor'!$F:$F,100),atk,IF(cat="Physical",FLOOR((FLOOR(((2*XLOOKUP(XLOOKUP($K31,'Threshold Summary'!$Y:$Y,'Threshold Summary'!$K:$K,""),'Pokemon Editor'!$A:$A,'Pokemon Editor'!$F:$F,0)+31+FLOOR(XLOOKUP($K31,'Threshold Summary'!$Y:$Y,'Threshold Summary'!$P:$P,"")/4))*XLOOKUP($K31,'Threshold Summary'!$Y:$Y,'Threshold Summary'!$L:$L,""))/100)+5)*XLOOKUP(XLOOKUP($K31,'Threshold Summary'!$Y:$Y,'Threshold Summary'!$M:$M,""),'Nature Editor'!$A:$A,'Nature Editor'!$B:$B,1)),FLOOR((FLOOR(((2*XLOOKUP(XLOOKUP($K31,'Threshold Summary'!$Y:$Y,'Threshold Summary'!$K:$K,""),'Pokemon Editor'!$A:$A,'Pokemon Editor'!$H:$H,0)+31+FLOOR(XLOOKUP($K31,'Threshold Summary'!$Y:$Y,'Threshold Summary'!$R:$R,"")/4))*XLOOKUP($K31,'Threshold Summary'!$Y:$Y,'Threshold Summary'!$L:$L,""))/100)+5)*XLOOKUP(XLOOKUP($K31,'Threshold Summary'!$Y:$Y,'Threshold Summary'!$M:$M,""),'Nature Editor'!$A:$A,'Nature Editor'!$D:$D,1))),def,IF(cat="Physical",FLOOR((FLOOR(((2*XLOOKUP($L31,'Pokemon Editor'!$A:$A,'Pokemon Editor'!$G:$G,0)+31+FLOOR(XLOOKUP($L31,'Boss Editor'!$C:$C,'Boss Editor'!$I:$I,"")/4))*XLOOKUP($L31,'Boss Editor'!$C:$C,'Boss Editor'!$D:$D,""))/100)+5)*XLOOKUP(XLOOKUP($L31,'Boss Editor'!$C:$C,'Boss Editor'!$E:$E,""),'Nature Editor'!$A:$A,'Nature Editor'!$C:$C,1)),FLOOR((FLOOR(((2*XLOOKUP($L31,'Pokemon Editor'!$A:$A,'Pokemon Editor'!$I:$I,0)+31+FLOOR(XLOOKUP($L31,'Boss Editor'!$C:$C,'Boss Editor'!$K:$K,"")/4))*XLOOKUP($L31,'Boss Editor'!$C:$C,'Boss Editor'!$D:$D,""))/100)+5)*XLOOKUP(XLOOKUP($L31,'Boss Editor'!$C:$C,'Boss Editor'!$E:$E,""),'Nature Editor'!$A:$A,'Nature Editor'!$E:$E,1))),stab,IF(OR(mtype=XLOOKUP(XLOOKUP($K31,'Threshold Summary'!$Y:$Y,'Threshold Summary'!$K:$K,""),'Pokemon Editor'!$A:$A,'Pokemon Editor'!$C:$C,""),mtype=XLOOKUP(XLOOKUP($K31,'Threshold Summary'!$Y:$Y,'Threshold Summary'!$K:$K,""),'Pokemon Editor'!$A:$A,'Pokemon Editor'!$D:$D,"")),1.5,1),eff,(INDEX('Type Chart'!$B:$S,MATCH(mtype,'Type Chart'!$A:$A,0),MATCH(XLOOKUP($L31,'Pokemon Editor'!$A:$A,'Pokemon Editor'!$C:$C,""),'Type Chart'!$B$1:$S$1,0))*IF(XLOOKUP($L31,'Pokemon Editor'!$A:$A,'Pokemon Editor'!$D:$D,"")="",1,INDEX('Type Chart'!$B:$S,MATCH(mtype,'Type Chart'!$A:$A,0),MATCH(XLOOKUP($L31,'Pokemon Editor'!$A:$A,'Pokemon Editor'!$D:$D,""),'Type Chart'!$B$1:$S$1,0)))),base,IF(OR(cat="Status",pow=0),0,FLOOR(FLOOR(FLOOR((2*XLOOKUP($K31,'Threshold Summary'!$Y:$Y,'Threshold Summary'!$L:$L,"")/5+2)*pow*atk/def)/50)+2)),modifier,stab*eff,AVERAGE(ARRAYFORMULA(FLOOR(base*modifier*SEQUENCE(16,1,85,1)/100)))/(FLOOR(((2*XLOOKUP($L31,'Pokemon Editor'!$A:$A,'Pokemon Editor'!$E:$E,0)+31+FLOOR(XLOOKUP($L31,'Boss Editor'!$C:$C,'Boss Editor'!$G:$G,"")/4))*XLOOKUP($L31,'Boss Editor'!$C:$C,'Boss Editor'!$D:$D,""))/100)+XLOOKUP($L31,'Boss Editor'!$C:$C,'Boss Editor'!$D:$D,"")+10)),0)</f>
        <v/>
      </c>
      <c r="J31" s="3">
        <f>IF(I31&gt;=1,"OHKO",IF(I31&gt;=0.5,"2HKO",IF(I31&gt;=0.333,"3HKO",IF(I31&gt;=0.25,"4HKO","5HKO+"))))</f>
        <v/>
      </c>
      <c r="K31" s="3" t="inlineStr">
        <is>
          <t>SPECIES_STARLY</t>
        </is>
      </c>
      <c r="L31" s="3" t="inlineStr">
        <is>
          <t>SPECIES_LILEEP</t>
        </is>
      </c>
    </row>
    <row r="32">
      <c r="A32" s="3">
        <f>XLOOKUP($K32,'Threshold Summary'!$Y:$Y,'Threshold Summary'!$A:$A,"")</f>
        <v/>
      </c>
      <c r="B32" s="3" t="inlineStr">
        <is>
          <t>Tirtouga</t>
        </is>
      </c>
      <c r="C32" s="3">
        <f>XLOOKUP($L32,'Boss Editor'!$C:$C,'Boss Editor'!$D:$D,"")</f>
        <v/>
      </c>
      <c r="D32" s="3">
        <f>XLOOKUP($K32,'Threshold Summary'!$Y:$Y,'Threshold Summary'!$B:$B,"")</f>
        <v/>
      </c>
      <c r="E32" s="3">
        <f>XLOOKUP(D32,'Move Editor'!$B:$B,'Move Editor'!$C:$C,"")</f>
        <v/>
      </c>
      <c r="F32" s="3">
        <f>IFERROR(LET(mtype,XLOOKUP($D32,'Move Editor'!$B:$B,'Move Editor'!$C:$C,""),cat,XLOOKUP($D32,'Move Editor'!$B:$B,'Move Editor'!$D:$D,""),pow,XLOOKUP($D32,'Move Editor'!$B:$B,'Move Editor'!$E:$E,0),acc,XLOOKUP($D32,'Move Editor'!$B:$B,'Move Editor'!$F:$F,100),atk,IF(cat="Physical",FLOOR((FLOOR(((2*XLOOKUP(XLOOKUP($K32,'Threshold Summary'!$Y:$Y,'Threshold Summary'!$K:$K,""),'Pokemon Editor'!$A:$A,'Pokemon Editor'!$F:$F,0)+31+FLOOR(XLOOKUP($K32,'Threshold Summary'!$Y:$Y,'Threshold Summary'!$P:$P,"")/4))*XLOOKUP($K32,'Threshold Summary'!$Y:$Y,'Threshold Summary'!$L:$L,""))/100)+5)*XLOOKUP(XLOOKUP($K32,'Threshold Summary'!$Y:$Y,'Threshold Summary'!$M:$M,""),'Nature Editor'!$A:$A,'Nature Editor'!$B:$B,1)),FLOOR((FLOOR(((2*XLOOKUP(XLOOKUP($K32,'Threshold Summary'!$Y:$Y,'Threshold Summary'!$K:$K,""),'Pokemon Editor'!$A:$A,'Pokemon Editor'!$H:$H,0)+31+FLOOR(XLOOKUP($K32,'Threshold Summary'!$Y:$Y,'Threshold Summary'!$R:$R,"")/4))*XLOOKUP($K32,'Threshold Summary'!$Y:$Y,'Threshold Summary'!$L:$L,""))/100)+5)*XLOOKUP(XLOOKUP($K32,'Threshold Summary'!$Y:$Y,'Threshold Summary'!$M:$M,""),'Nature Editor'!$A:$A,'Nature Editor'!$D:$D,1))),def,IF(cat="Physical",FLOOR((FLOOR(((2*XLOOKUP($L32,'Pokemon Editor'!$A:$A,'Pokemon Editor'!$G:$G,0)+31+FLOOR(XLOOKUP($L32,'Boss Editor'!$C:$C,'Boss Editor'!$I:$I,"")/4))*XLOOKUP($L32,'Boss Editor'!$C:$C,'Boss Editor'!$D:$D,""))/100)+5)*XLOOKUP(XLOOKUP($L32,'Boss Editor'!$C:$C,'Boss Editor'!$E:$E,""),'Nature Editor'!$A:$A,'Nature Editor'!$C:$C,1)),FLOOR((FLOOR(((2*XLOOKUP($L32,'Pokemon Editor'!$A:$A,'Pokemon Editor'!$I:$I,0)+31+FLOOR(XLOOKUP($L32,'Boss Editor'!$C:$C,'Boss Editor'!$K:$K,"")/4))*XLOOKUP($L32,'Boss Editor'!$C:$C,'Boss Editor'!$D:$D,""))/100)+5)*XLOOKUP(XLOOKUP($L32,'Boss Editor'!$C:$C,'Boss Editor'!$E:$E,""),'Nature Editor'!$A:$A,'Nature Editor'!$E:$E,1))),stab,IF(OR(mtype=XLOOKUP(XLOOKUP($K32,'Threshold Summary'!$Y:$Y,'Threshold Summary'!$K:$K,""),'Pokemon Editor'!$A:$A,'Pokemon Editor'!$C:$C,""),mtype=XLOOKUP(XLOOKUP($K32,'Threshold Summary'!$Y:$Y,'Threshold Summary'!$K:$K,""),'Pokemon Editor'!$A:$A,'Pokemon Editor'!$D:$D,"")),1.5,1),eff,(INDEX('Type Chart'!$B:$S,MATCH(mtype,'Type Chart'!$A:$A,0),MATCH(XLOOKUP($L32,'Pokemon Editor'!$A:$A,'Pokemon Editor'!$C:$C,""),'Type Chart'!$B$1:$S$1,0))*IF(XLOOKUP($L32,'Pokemon Editor'!$A:$A,'Pokemon Editor'!$D:$D,"")="",1,INDEX('Type Chart'!$B:$S,MATCH(mtype,'Type Chart'!$A:$A,0),MATCH(XLOOKUP($L32,'Pokemon Editor'!$A:$A,'Pokemon Editor'!$D:$D,""),'Type Chart'!$B$1:$S$1,0)))),base,IF(OR(cat="Status",pow=0),0,FLOOR(FLOOR(FLOOR((2*XLOOKUP($K32,'Threshold Summary'!$Y:$Y,'Threshold Summary'!$L:$L,"")/5+2)*pow*atk/def)/50)+2)),modifier,stab*eff,FLOOR(base*modifier*0.85)),0)</f>
        <v/>
      </c>
      <c r="G32" s="3">
        <f>IFERROR(LET(mtype,XLOOKUP($D32,'Move Editor'!$B:$B,'Move Editor'!$C:$C,""),cat,XLOOKUP($D32,'Move Editor'!$B:$B,'Move Editor'!$D:$D,""),pow,XLOOKUP($D32,'Move Editor'!$B:$B,'Move Editor'!$E:$E,0),acc,XLOOKUP($D32,'Move Editor'!$B:$B,'Move Editor'!$F:$F,100),atk,IF(cat="Physical",FLOOR((FLOOR(((2*XLOOKUP(XLOOKUP($K32,'Threshold Summary'!$Y:$Y,'Threshold Summary'!$K:$K,""),'Pokemon Editor'!$A:$A,'Pokemon Editor'!$F:$F,0)+31+FLOOR(XLOOKUP($K32,'Threshold Summary'!$Y:$Y,'Threshold Summary'!$P:$P,"")/4))*XLOOKUP($K32,'Threshold Summary'!$Y:$Y,'Threshold Summary'!$L:$L,""))/100)+5)*XLOOKUP(XLOOKUP($K32,'Threshold Summary'!$Y:$Y,'Threshold Summary'!$M:$M,""),'Nature Editor'!$A:$A,'Nature Editor'!$B:$B,1)),FLOOR((FLOOR(((2*XLOOKUP(XLOOKUP($K32,'Threshold Summary'!$Y:$Y,'Threshold Summary'!$K:$K,""),'Pokemon Editor'!$A:$A,'Pokemon Editor'!$H:$H,0)+31+FLOOR(XLOOKUP($K32,'Threshold Summary'!$Y:$Y,'Threshold Summary'!$R:$R,"")/4))*XLOOKUP($K32,'Threshold Summary'!$Y:$Y,'Threshold Summary'!$L:$L,""))/100)+5)*XLOOKUP(XLOOKUP($K32,'Threshold Summary'!$Y:$Y,'Threshold Summary'!$M:$M,""),'Nature Editor'!$A:$A,'Nature Editor'!$D:$D,1))),def,IF(cat="Physical",FLOOR((FLOOR(((2*XLOOKUP($L32,'Pokemon Editor'!$A:$A,'Pokemon Editor'!$G:$G,0)+31+FLOOR(XLOOKUP($L32,'Boss Editor'!$C:$C,'Boss Editor'!$I:$I,"")/4))*XLOOKUP($L32,'Boss Editor'!$C:$C,'Boss Editor'!$D:$D,""))/100)+5)*XLOOKUP(XLOOKUP($L32,'Boss Editor'!$C:$C,'Boss Editor'!$E:$E,""),'Nature Editor'!$A:$A,'Nature Editor'!$C:$C,1)),FLOOR((FLOOR(((2*XLOOKUP($L32,'Pokemon Editor'!$A:$A,'Pokemon Editor'!$I:$I,0)+31+FLOOR(XLOOKUP($L32,'Boss Editor'!$C:$C,'Boss Editor'!$K:$K,"")/4))*XLOOKUP($L32,'Boss Editor'!$C:$C,'Boss Editor'!$D:$D,""))/100)+5)*XLOOKUP(XLOOKUP($L32,'Boss Editor'!$C:$C,'Boss Editor'!$E:$E,""),'Nature Editor'!$A:$A,'Nature Editor'!$E:$E,1))),stab,IF(OR(mtype=XLOOKUP(XLOOKUP($K32,'Threshold Summary'!$Y:$Y,'Threshold Summary'!$K:$K,""),'Pokemon Editor'!$A:$A,'Pokemon Editor'!$C:$C,""),mtype=XLOOKUP(XLOOKUP($K32,'Threshold Summary'!$Y:$Y,'Threshold Summary'!$K:$K,""),'Pokemon Editor'!$A:$A,'Pokemon Editor'!$D:$D,"")),1.5,1),eff,(INDEX('Type Chart'!$B:$S,MATCH(mtype,'Type Chart'!$A:$A,0),MATCH(XLOOKUP($L32,'Pokemon Editor'!$A:$A,'Pokemon Editor'!$C:$C,""),'Type Chart'!$B$1:$S$1,0))*IF(XLOOKUP($L32,'Pokemon Editor'!$A:$A,'Pokemon Editor'!$D:$D,"")="",1,INDEX('Type Chart'!$B:$S,MATCH(mtype,'Type Chart'!$A:$A,0),MATCH(XLOOKUP($L32,'Pokemon Editor'!$A:$A,'Pokemon Editor'!$D:$D,""),'Type Chart'!$B$1:$S$1,0)))),base,IF(OR(cat="Status",pow=0),0,FLOOR(FLOOR(FLOOR((2*XLOOKUP($K32,'Threshold Summary'!$Y:$Y,'Threshold Summary'!$L:$L,"")/5+2)*pow*atk/def)/50)+2)),modifier,stab*eff,FLOOR(base*modifier)),0)</f>
        <v/>
      </c>
      <c r="H32" s="3">
        <f>IFERROR(LET(mtype,XLOOKUP($D32,'Move Editor'!$B:$B,'Move Editor'!$C:$C,""),cat,XLOOKUP($D32,'Move Editor'!$B:$B,'Move Editor'!$D:$D,""),pow,XLOOKUP($D32,'Move Editor'!$B:$B,'Move Editor'!$E:$E,0),acc,XLOOKUP($D32,'Move Editor'!$B:$B,'Move Editor'!$F:$F,100),atk,IF(cat="Physical",FLOOR((FLOOR(((2*XLOOKUP(XLOOKUP($K32,'Threshold Summary'!$Y:$Y,'Threshold Summary'!$K:$K,""),'Pokemon Editor'!$A:$A,'Pokemon Editor'!$F:$F,0)+31+FLOOR(XLOOKUP($K32,'Threshold Summary'!$Y:$Y,'Threshold Summary'!$P:$P,"")/4))*XLOOKUP($K32,'Threshold Summary'!$Y:$Y,'Threshold Summary'!$L:$L,""))/100)+5)*XLOOKUP(XLOOKUP($K32,'Threshold Summary'!$Y:$Y,'Threshold Summary'!$M:$M,""),'Nature Editor'!$A:$A,'Nature Editor'!$B:$B,1)),FLOOR((FLOOR(((2*XLOOKUP(XLOOKUP($K32,'Threshold Summary'!$Y:$Y,'Threshold Summary'!$K:$K,""),'Pokemon Editor'!$A:$A,'Pokemon Editor'!$H:$H,0)+31+FLOOR(XLOOKUP($K32,'Threshold Summary'!$Y:$Y,'Threshold Summary'!$R:$R,"")/4))*XLOOKUP($K32,'Threshold Summary'!$Y:$Y,'Threshold Summary'!$L:$L,""))/100)+5)*XLOOKUP(XLOOKUP($K32,'Threshold Summary'!$Y:$Y,'Threshold Summary'!$M:$M,""),'Nature Editor'!$A:$A,'Nature Editor'!$D:$D,1))),def,IF(cat="Physical",FLOOR((FLOOR(((2*XLOOKUP($L32,'Pokemon Editor'!$A:$A,'Pokemon Editor'!$G:$G,0)+31+FLOOR(XLOOKUP($L32,'Boss Editor'!$C:$C,'Boss Editor'!$I:$I,"")/4))*XLOOKUP($L32,'Boss Editor'!$C:$C,'Boss Editor'!$D:$D,""))/100)+5)*XLOOKUP(XLOOKUP($L32,'Boss Editor'!$C:$C,'Boss Editor'!$E:$E,""),'Nature Editor'!$A:$A,'Nature Editor'!$C:$C,1)),FLOOR((FLOOR(((2*XLOOKUP($L32,'Pokemon Editor'!$A:$A,'Pokemon Editor'!$I:$I,0)+31+FLOOR(XLOOKUP($L32,'Boss Editor'!$C:$C,'Boss Editor'!$K:$K,"")/4))*XLOOKUP($L32,'Boss Editor'!$C:$C,'Boss Editor'!$D:$D,""))/100)+5)*XLOOKUP(XLOOKUP($L32,'Boss Editor'!$C:$C,'Boss Editor'!$E:$E,""),'Nature Editor'!$A:$A,'Nature Editor'!$E:$E,1))),stab,IF(OR(mtype=XLOOKUP(XLOOKUP($K32,'Threshold Summary'!$Y:$Y,'Threshold Summary'!$K:$K,""),'Pokemon Editor'!$A:$A,'Pokemon Editor'!$C:$C,""),mtype=XLOOKUP(XLOOKUP($K32,'Threshold Summary'!$Y:$Y,'Threshold Summary'!$K:$K,""),'Pokemon Editor'!$A:$A,'Pokemon Editor'!$D:$D,"")),1.5,1),eff,(INDEX('Type Chart'!$B:$S,MATCH(mtype,'Type Chart'!$A:$A,0),MATCH(XLOOKUP($L32,'Pokemon Editor'!$A:$A,'Pokemon Editor'!$C:$C,""),'Type Chart'!$B$1:$S$1,0))*IF(XLOOKUP($L32,'Pokemon Editor'!$A:$A,'Pokemon Editor'!$D:$D,"")="",1,INDEX('Type Chart'!$B:$S,MATCH(mtype,'Type Chart'!$A:$A,0),MATCH(XLOOKUP($L32,'Pokemon Editor'!$A:$A,'Pokemon Editor'!$D:$D,""),'Type Chart'!$B$1:$S$1,0)))),base,IF(OR(cat="Status",pow=0),0,FLOOR(FLOOR(FLOOR((2*XLOOKUP($K32,'Threshold Summary'!$Y:$Y,'Threshold Summary'!$L:$L,"")/5+2)*pow*atk/def)/50)+2)),modifier,stab*eff,AVERAGE(ARRAYFORMULA(FLOOR(base*modifier*SEQUENCE(16,1,85,1)/100)))),0)</f>
        <v/>
      </c>
      <c r="I32" s="4">
        <f>IFERROR(LET(mtype,XLOOKUP($D32,'Move Editor'!$B:$B,'Move Editor'!$C:$C,""),cat,XLOOKUP($D32,'Move Editor'!$B:$B,'Move Editor'!$D:$D,""),pow,XLOOKUP($D32,'Move Editor'!$B:$B,'Move Editor'!$E:$E,0),acc,XLOOKUP($D32,'Move Editor'!$B:$B,'Move Editor'!$F:$F,100),atk,IF(cat="Physical",FLOOR((FLOOR(((2*XLOOKUP(XLOOKUP($K32,'Threshold Summary'!$Y:$Y,'Threshold Summary'!$K:$K,""),'Pokemon Editor'!$A:$A,'Pokemon Editor'!$F:$F,0)+31+FLOOR(XLOOKUP($K32,'Threshold Summary'!$Y:$Y,'Threshold Summary'!$P:$P,"")/4))*XLOOKUP($K32,'Threshold Summary'!$Y:$Y,'Threshold Summary'!$L:$L,""))/100)+5)*XLOOKUP(XLOOKUP($K32,'Threshold Summary'!$Y:$Y,'Threshold Summary'!$M:$M,""),'Nature Editor'!$A:$A,'Nature Editor'!$B:$B,1)),FLOOR((FLOOR(((2*XLOOKUP(XLOOKUP($K32,'Threshold Summary'!$Y:$Y,'Threshold Summary'!$K:$K,""),'Pokemon Editor'!$A:$A,'Pokemon Editor'!$H:$H,0)+31+FLOOR(XLOOKUP($K32,'Threshold Summary'!$Y:$Y,'Threshold Summary'!$R:$R,"")/4))*XLOOKUP($K32,'Threshold Summary'!$Y:$Y,'Threshold Summary'!$L:$L,""))/100)+5)*XLOOKUP(XLOOKUP($K32,'Threshold Summary'!$Y:$Y,'Threshold Summary'!$M:$M,""),'Nature Editor'!$A:$A,'Nature Editor'!$D:$D,1))),def,IF(cat="Physical",FLOOR((FLOOR(((2*XLOOKUP($L32,'Pokemon Editor'!$A:$A,'Pokemon Editor'!$G:$G,0)+31+FLOOR(XLOOKUP($L32,'Boss Editor'!$C:$C,'Boss Editor'!$I:$I,"")/4))*XLOOKUP($L32,'Boss Editor'!$C:$C,'Boss Editor'!$D:$D,""))/100)+5)*XLOOKUP(XLOOKUP($L32,'Boss Editor'!$C:$C,'Boss Editor'!$E:$E,""),'Nature Editor'!$A:$A,'Nature Editor'!$C:$C,1)),FLOOR((FLOOR(((2*XLOOKUP($L32,'Pokemon Editor'!$A:$A,'Pokemon Editor'!$I:$I,0)+31+FLOOR(XLOOKUP($L32,'Boss Editor'!$C:$C,'Boss Editor'!$K:$K,"")/4))*XLOOKUP($L32,'Boss Editor'!$C:$C,'Boss Editor'!$D:$D,""))/100)+5)*XLOOKUP(XLOOKUP($L32,'Boss Editor'!$C:$C,'Boss Editor'!$E:$E,""),'Nature Editor'!$A:$A,'Nature Editor'!$E:$E,1))),stab,IF(OR(mtype=XLOOKUP(XLOOKUP($K32,'Threshold Summary'!$Y:$Y,'Threshold Summary'!$K:$K,""),'Pokemon Editor'!$A:$A,'Pokemon Editor'!$C:$C,""),mtype=XLOOKUP(XLOOKUP($K32,'Threshold Summary'!$Y:$Y,'Threshold Summary'!$K:$K,""),'Pokemon Editor'!$A:$A,'Pokemon Editor'!$D:$D,"")),1.5,1),eff,(INDEX('Type Chart'!$B:$S,MATCH(mtype,'Type Chart'!$A:$A,0),MATCH(XLOOKUP($L32,'Pokemon Editor'!$A:$A,'Pokemon Editor'!$C:$C,""),'Type Chart'!$B$1:$S$1,0))*IF(XLOOKUP($L32,'Pokemon Editor'!$A:$A,'Pokemon Editor'!$D:$D,"")="",1,INDEX('Type Chart'!$B:$S,MATCH(mtype,'Type Chart'!$A:$A,0),MATCH(XLOOKUP($L32,'Pokemon Editor'!$A:$A,'Pokemon Editor'!$D:$D,""),'Type Chart'!$B$1:$S$1,0)))),base,IF(OR(cat="Status",pow=0),0,FLOOR(FLOOR(FLOOR((2*XLOOKUP($K32,'Threshold Summary'!$Y:$Y,'Threshold Summary'!$L:$L,"")/5+2)*pow*atk/def)/50)+2)),modifier,stab*eff,AVERAGE(ARRAYFORMULA(FLOOR(base*modifier*SEQUENCE(16,1,85,1)/100)))/(FLOOR(((2*XLOOKUP($L32,'Pokemon Editor'!$A:$A,'Pokemon Editor'!$E:$E,0)+31+FLOOR(XLOOKUP($L32,'Boss Editor'!$C:$C,'Boss Editor'!$G:$G,"")/4))*XLOOKUP($L32,'Boss Editor'!$C:$C,'Boss Editor'!$D:$D,""))/100)+XLOOKUP($L32,'Boss Editor'!$C:$C,'Boss Editor'!$D:$D,"")+10)),0)</f>
        <v/>
      </c>
      <c r="J32" s="3">
        <f>IF(I32&gt;=1,"OHKO",IF(I32&gt;=0.5,"2HKO",IF(I32&gt;=0.333,"3HKO",IF(I32&gt;=0.25,"4HKO","5HKO+"))))</f>
        <v/>
      </c>
      <c r="K32" s="3" t="inlineStr">
        <is>
          <t>SPECIES_SHINX</t>
        </is>
      </c>
      <c r="L32" s="3" t="inlineStr">
        <is>
          <t>SPECIES_TIRTOUGA</t>
        </is>
      </c>
    </row>
    <row r="33">
      <c r="A33" s="3">
        <f>XLOOKUP($K33,'Threshold Summary'!$Y:$Y,'Threshold Summary'!$A:$A,"")</f>
        <v/>
      </c>
      <c r="B33" s="3" t="inlineStr">
        <is>
          <t>Anorith</t>
        </is>
      </c>
      <c r="C33" s="3">
        <f>XLOOKUP($L33,'Boss Editor'!$C:$C,'Boss Editor'!$D:$D,"")</f>
        <v/>
      </c>
      <c r="D33" s="3">
        <f>XLOOKUP($K33,'Threshold Summary'!$Y:$Y,'Threshold Summary'!$B:$B,"")</f>
        <v/>
      </c>
      <c r="E33" s="3">
        <f>XLOOKUP(D33,'Move Editor'!$B:$B,'Move Editor'!$C:$C,"")</f>
        <v/>
      </c>
      <c r="F33" s="3">
        <f>IFERROR(LET(mtype,XLOOKUP($D33,'Move Editor'!$B:$B,'Move Editor'!$C:$C,""),cat,XLOOKUP($D33,'Move Editor'!$B:$B,'Move Editor'!$D:$D,""),pow,XLOOKUP($D33,'Move Editor'!$B:$B,'Move Editor'!$E:$E,0),acc,XLOOKUP($D33,'Move Editor'!$B:$B,'Move Editor'!$F:$F,100),atk,IF(cat="Physical",FLOOR((FLOOR(((2*XLOOKUP(XLOOKUP($K33,'Threshold Summary'!$Y:$Y,'Threshold Summary'!$K:$K,""),'Pokemon Editor'!$A:$A,'Pokemon Editor'!$F:$F,0)+31+FLOOR(XLOOKUP($K33,'Threshold Summary'!$Y:$Y,'Threshold Summary'!$P:$P,"")/4))*XLOOKUP($K33,'Threshold Summary'!$Y:$Y,'Threshold Summary'!$L:$L,""))/100)+5)*XLOOKUP(XLOOKUP($K33,'Threshold Summary'!$Y:$Y,'Threshold Summary'!$M:$M,""),'Nature Editor'!$A:$A,'Nature Editor'!$B:$B,1)),FLOOR((FLOOR(((2*XLOOKUP(XLOOKUP($K33,'Threshold Summary'!$Y:$Y,'Threshold Summary'!$K:$K,""),'Pokemon Editor'!$A:$A,'Pokemon Editor'!$H:$H,0)+31+FLOOR(XLOOKUP($K33,'Threshold Summary'!$Y:$Y,'Threshold Summary'!$R:$R,"")/4))*XLOOKUP($K33,'Threshold Summary'!$Y:$Y,'Threshold Summary'!$L:$L,""))/100)+5)*XLOOKUP(XLOOKUP($K33,'Threshold Summary'!$Y:$Y,'Threshold Summary'!$M:$M,""),'Nature Editor'!$A:$A,'Nature Editor'!$D:$D,1))),def,IF(cat="Physical",FLOOR((FLOOR(((2*XLOOKUP($L33,'Pokemon Editor'!$A:$A,'Pokemon Editor'!$G:$G,0)+31+FLOOR(XLOOKUP($L33,'Boss Editor'!$C:$C,'Boss Editor'!$I:$I,"")/4))*XLOOKUP($L33,'Boss Editor'!$C:$C,'Boss Editor'!$D:$D,""))/100)+5)*XLOOKUP(XLOOKUP($L33,'Boss Editor'!$C:$C,'Boss Editor'!$E:$E,""),'Nature Editor'!$A:$A,'Nature Editor'!$C:$C,1)),FLOOR((FLOOR(((2*XLOOKUP($L33,'Pokemon Editor'!$A:$A,'Pokemon Editor'!$I:$I,0)+31+FLOOR(XLOOKUP($L33,'Boss Editor'!$C:$C,'Boss Editor'!$K:$K,"")/4))*XLOOKUP($L33,'Boss Editor'!$C:$C,'Boss Editor'!$D:$D,""))/100)+5)*XLOOKUP(XLOOKUP($L33,'Boss Editor'!$C:$C,'Boss Editor'!$E:$E,""),'Nature Editor'!$A:$A,'Nature Editor'!$E:$E,1))),stab,IF(OR(mtype=XLOOKUP(XLOOKUP($K33,'Threshold Summary'!$Y:$Y,'Threshold Summary'!$K:$K,""),'Pokemon Editor'!$A:$A,'Pokemon Editor'!$C:$C,""),mtype=XLOOKUP(XLOOKUP($K33,'Threshold Summary'!$Y:$Y,'Threshold Summary'!$K:$K,""),'Pokemon Editor'!$A:$A,'Pokemon Editor'!$D:$D,"")),1.5,1),eff,(INDEX('Type Chart'!$B:$S,MATCH(mtype,'Type Chart'!$A:$A,0),MATCH(XLOOKUP($L33,'Pokemon Editor'!$A:$A,'Pokemon Editor'!$C:$C,""),'Type Chart'!$B$1:$S$1,0))*IF(XLOOKUP($L33,'Pokemon Editor'!$A:$A,'Pokemon Editor'!$D:$D,"")="",1,INDEX('Type Chart'!$B:$S,MATCH(mtype,'Type Chart'!$A:$A,0),MATCH(XLOOKUP($L33,'Pokemon Editor'!$A:$A,'Pokemon Editor'!$D:$D,""),'Type Chart'!$B$1:$S$1,0)))),base,IF(OR(cat="Status",pow=0),0,FLOOR(FLOOR(FLOOR((2*XLOOKUP($K33,'Threshold Summary'!$Y:$Y,'Threshold Summary'!$L:$L,"")/5+2)*pow*atk/def)/50)+2)),modifier,stab*eff,FLOOR(base*modifier*0.85)),0)</f>
        <v/>
      </c>
      <c r="G33" s="3">
        <f>IFERROR(LET(mtype,XLOOKUP($D33,'Move Editor'!$B:$B,'Move Editor'!$C:$C,""),cat,XLOOKUP($D33,'Move Editor'!$B:$B,'Move Editor'!$D:$D,""),pow,XLOOKUP($D33,'Move Editor'!$B:$B,'Move Editor'!$E:$E,0),acc,XLOOKUP($D33,'Move Editor'!$B:$B,'Move Editor'!$F:$F,100),atk,IF(cat="Physical",FLOOR((FLOOR(((2*XLOOKUP(XLOOKUP($K33,'Threshold Summary'!$Y:$Y,'Threshold Summary'!$K:$K,""),'Pokemon Editor'!$A:$A,'Pokemon Editor'!$F:$F,0)+31+FLOOR(XLOOKUP($K33,'Threshold Summary'!$Y:$Y,'Threshold Summary'!$P:$P,"")/4))*XLOOKUP($K33,'Threshold Summary'!$Y:$Y,'Threshold Summary'!$L:$L,""))/100)+5)*XLOOKUP(XLOOKUP($K33,'Threshold Summary'!$Y:$Y,'Threshold Summary'!$M:$M,""),'Nature Editor'!$A:$A,'Nature Editor'!$B:$B,1)),FLOOR((FLOOR(((2*XLOOKUP(XLOOKUP($K33,'Threshold Summary'!$Y:$Y,'Threshold Summary'!$K:$K,""),'Pokemon Editor'!$A:$A,'Pokemon Editor'!$H:$H,0)+31+FLOOR(XLOOKUP($K33,'Threshold Summary'!$Y:$Y,'Threshold Summary'!$R:$R,"")/4))*XLOOKUP($K33,'Threshold Summary'!$Y:$Y,'Threshold Summary'!$L:$L,""))/100)+5)*XLOOKUP(XLOOKUP($K33,'Threshold Summary'!$Y:$Y,'Threshold Summary'!$M:$M,""),'Nature Editor'!$A:$A,'Nature Editor'!$D:$D,1))),def,IF(cat="Physical",FLOOR((FLOOR(((2*XLOOKUP($L33,'Pokemon Editor'!$A:$A,'Pokemon Editor'!$G:$G,0)+31+FLOOR(XLOOKUP($L33,'Boss Editor'!$C:$C,'Boss Editor'!$I:$I,"")/4))*XLOOKUP($L33,'Boss Editor'!$C:$C,'Boss Editor'!$D:$D,""))/100)+5)*XLOOKUP(XLOOKUP($L33,'Boss Editor'!$C:$C,'Boss Editor'!$E:$E,""),'Nature Editor'!$A:$A,'Nature Editor'!$C:$C,1)),FLOOR((FLOOR(((2*XLOOKUP($L33,'Pokemon Editor'!$A:$A,'Pokemon Editor'!$I:$I,0)+31+FLOOR(XLOOKUP($L33,'Boss Editor'!$C:$C,'Boss Editor'!$K:$K,"")/4))*XLOOKUP($L33,'Boss Editor'!$C:$C,'Boss Editor'!$D:$D,""))/100)+5)*XLOOKUP(XLOOKUP($L33,'Boss Editor'!$C:$C,'Boss Editor'!$E:$E,""),'Nature Editor'!$A:$A,'Nature Editor'!$E:$E,1))),stab,IF(OR(mtype=XLOOKUP(XLOOKUP($K33,'Threshold Summary'!$Y:$Y,'Threshold Summary'!$K:$K,""),'Pokemon Editor'!$A:$A,'Pokemon Editor'!$C:$C,""),mtype=XLOOKUP(XLOOKUP($K33,'Threshold Summary'!$Y:$Y,'Threshold Summary'!$K:$K,""),'Pokemon Editor'!$A:$A,'Pokemon Editor'!$D:$D,"")),1.5,1),eff,(INDEX('Type Chart'!$B:$S,MATCH(mtype,'Type Chart'!$A:$A,0),MATCH(XLOOKUP($L33,'Pokemon Editor'!$A:$A,'Pokemon Editor'!$C:$C,""),'Type Chart'!$B$1:$S$1,0))*IF(XLOOKUP($L33,'Pokemon Editor'!$A:$A,'Pokemon Editor'!$D:$D,"")="",1,INDEX('Type Chart'!$B:$S,MATCH(mtype,'Type Chart'!$A:$A,0),MATCH(XLOOKUP($L33,'Pokemon Editor'!$A:$A,'Pokemon Editor'!$D:$D,""),'Type Chart'!$B$1:$S$1,0)))),base,IF(OR(cat="Status",pow=0),0,FLOOR(FLOOR(FLOOR((2*XLOOKUP($K33,'Threshold Summary'!$Y:$Y,'Threshold Summary'!$L:$L,"")/5+2)*pow*atk/def)/50)+2)),modifier,stab*eff,FLOOR(base*modifier)),0)</f>
        <v/>
      </c>
      <c r="H33" s="3">
        <f>IFERROR(LET(mtype,XLOOKUP($D33,'Move Editor'!$B:$B,'Move Editor'!$C:$C,""),cat,XLOOKUP($D33,'Move Editor'!$B:$B,'Move Editor'!$D:$D,""),pow,XLOOKUP($D33,'Move Editor'!$B:$B,'Move Editor'!$E:$E,0),acc,XLOOKUP($D33,'Move Editor'!$B:$B,'Move Editor'!$F:$F,100),atk,IF(cat="Physical",FLOOR((FLOOR(((2*XLOOKUP(XLOOKUP($K33,'Threshold Summary'!$Y:$Y,'Threshold Summary'!$K:$K,""),'Pokemon Editor'!$A:$A,'Pokemon Editor'!$F:$F,0)+31+FLOOR(XLOOKUP($K33,'Threshold Summary'!$Y:$Y,'Threshold Summary'!$P:$P,"")/4))*XLOOKUP($K33,'Threshold Summary'!$Y:$Y,'Threshold Summary'!$L:$L,""))/100)+5)*XLOOKUP(XLOOKUP($K33,'Threshold Summary'!$Y:$Y,'Threshold Summary'!$M:$M,""),'Nature Editor'!$A:$A,'Nature Editor'!$B:$B,1)),FLOOR((FLOOR(((2*XLOOKUP(XLOOKUP($K33,'Threshold Summary'!$Y:$Y,'Threshold Summary'!$K:$K,""),'Pokemon Editor'!$A:$A,'Pokemon Editor'!$H:$H,0)+31+FLOOR(XLOOKUP($K33,'Threshold Summary'!$Y:$Y,'Threshold Summary'!$R:$R,"")/4))*XLOOKUP($K33,'Threshold Summary'!$Y:$Y,'Threshold Summary'!$L:$L,""))/100)+5)*XLOOKUP(XLOOKUP($K33,'Threshold Summary'!$Y:$Y,'Threshold Summary'!$M:$M,""),'Nature Editor'!$A:$A,'Nature Editor'!$D:$D,1))),def,IF(cat="Physical",FLOOR((FLOOR(((2*XLOOKUP($L33,'Pokemon Editor'!$A:$A,'Pokemon Editor'!$G:$G,0)+31+FLOOR(XLOOKUP($L33,'Boss Editor'!$C:$C,'Boss Editor'!$I:$I,"")/4))*XLOOKUP($L33,'Boss Editor'!$C:$C,'Boss Editor'!$D:$D,""))/100)+5)*XLOOKUP(XLOOKUP($L33,'Boss Editor'!$C:$C,'Boss Editor'!$E:$E,""),'Nature Editor'!$A:$A,'Nature Editor'!$C:$C,1)),FLOOR((FLOOR(((2*XLOOKUP($L33,'Pokemon Editor'!$A:$A,'Pokemon Editor'!$I:$I,0)+31+FLOOR(XLOOKUP($L33,'Boss Editor'!$C:$C,'Boss Editor'!$K:$K,"")/4))*XLOOKUP($L33,'Boss Editor'!$C:$C,'Boss Editor'!$D:$D,""))/100)+5)*XLOOKUP(XLOOKUP($L33,'Boss Editor'!$C:$C,'Boss Editor'!$E:$E,""),'Nature Editor'!$A:$A,'Nature Editor'!$E:$E,1))),stab,IF(OR(mtype=XLOOKUP(XLOOKUP($K33,'Threshold Summary'!$Y:$Y,'Threshold Summary'!$K:$K,""),'Pokemon Editor'!$A:$A,'Pokemon Editor'!$C:$C,""),mtype=XLOOKUP(XLOOKUP($K33,'Threshold Summary'!$Y:$Y,'Threshold Summary'!$K:$K,""),'Pokemon Editor'!$A:$A,'Pokemon Editor'!$D:$D,"")),1.5,1),eff,(INDEX('Type Chart'!$B:$S,MATCH(mtype,'Type Chart'!$A:$A,0),MATCH(XLOOKUP($L33,'Pokemon Editor'!$A:$A,'Pokemon Editor'!$C:$C,""),'Type Chart'!$B$1:$S$1,0))*IF(XLOOKUP($L33,'Pokemon Editor'!$A:$A,'Pokemon Editor'!$D:$D,"")="",1,INDEX('Type Chart'!$B:$S,MATCH(mtype,'Type Chart'!$A:$A,0),MATCH(XLOOKUP($L33,'Pokemon Editor'!$A:$A,'Pokemon Editor'!$D:$D,""),'Type Chart'!$B$1:$S$1,0)))),base,IF(OR(cat="Status",pow=0),0,FLOOR(FLOOR(FLOOR((2*XLOOKUP($K33,'Threshold Summary'!$Y:$Y,'Threshold Summary'!$L:$L,"")/5+2)*pow*atk/def)/50)+2)),modifier,stab*eff,AVERAGE(ARRAYFORMULA(FLOOR(base*modifier*SEQUENCE(16,1,85,1)/100)))),0)</f>
        <v/>
      </c>
      <c r="I33" s="4">
        <f>IFERROR(LET(mtype,XLOOKUP($D33,'Move Editor'!$B:$B,'Move Editor'!$C:$C,""),cat,XLOOKUP($D33,'Move Editor'!$B:$B,'Move Editor'!$D:$D,""),pow,XLOOKUP($D33,'Move Editor'!$B:$B,'Move Editor'!$E:$E,0),acc,XLOOKUP($D33,'Move Editor'!$B:$B,'Move Editor'!$F:$F,100),atk,IF(cat="Physical",FLOOR((FLOOR(((2*XLOOKUP(XLOOKUP($K33,'Threshold Summary'!$Y:$Y,'Threshold Summary'!$K:$K,""),'Pokemon Editor'!$A:$A,'Pokemon Editor'!$F:$F,0)+31+FLOOR(XLOOKUP($K33,'Threshold Summary'!$Y:$Y,'Threshold Summary'!$P:$P,"")/4))*XLOOKUP($K33,'Threshold Summary'!$Y:$Y,'Threshold Summary'!$L:$L,""))/100)+5)*XLOOKUP(XLOOKUP($K33,'Threshold Summary'!$Y:$Y,'Threshold Summary'!$M:$M,""),'Nature Editor'!$A:$A,'Nature Editor'!$B:$B,1)),FLOOR((FLOOR(((2*XLOOKUP(XLOOKUP($K33,'Threshold Summary'!$Y:$Y,'Threshold Summary'!$K:$K,""),'Pokemon Editor'!$A:$A,'Pokemon Editor'!$H:$H,0)+31+FLOOR(XLOOKUP($K33,'Threshold Summary'!$Y:$Y,'Threshold Summary'!$R:$R,"")/4))*XLOOKUP($K33,'Threshold Summary'!$Y:$Y,'Threshold Summary'!$L:$L,""))/100)+5)*XLOOKUP(XLOOKUP($K33,'Threshold Summary'!$Y:$Y,'Threshold Summary'!$M:$M,""),'Nature Editor'!$A:$A,'Nature Editor'!$D:$D,1))),def,IF(cat="Physical",FLOOR((FLOOR(((2*XLOOKUP($L33,'Pokemon Editor'!$A:$A,'Pokemon Editor'!$G:$G,0)+31+FLOOR(XLOOKUP($L33,'Boss Editor'!$C:$C,'Boss Editor'!$I:$I,"")/4))*XLOOKUP($L33,'Boss Editor'!$C:$C,'Boss Editor'!$D:$D,""))/100)+5)*XLOOKUP(XLOOKUP($L33,'Boss Editor'!$C:$C,'Boss Editor'!$E:$E,""),'Nature Editor'!$A:$A,'Nature Editor'!$C:$C,1)),FLOOR((FLOOR(((2*XLOOKUP($L33,'Pokemon Editor'!$A:$A,'Pokemon Editor'!$I:$I,0)+31+FLOOR(XLOOKUP($L33,'Boss Editor'!$C:$C,'Boss Editor'!$K:$K,"")/4))*XLOOKUP($L33,'Boss Editor'!$C:$C,'Boss Editor'!$D:$D,""))/100)+5)*XLOOKUP(XLOOKUP($L33,'Boss Editor'!$C:$C,'Boss Editor'!$E:$E,""),'Nature Editor'!$A:$A,'Nature Editor'!$E:$E,1))),stab,IF(OR(mtype=XLOOKUP(XLOOKUP($K33,'Threshold Summary'!$Y:$Y,'Threshold Summary'!$K:$K,""),'Pokemon Editor'!$A:$A,'Pokemon Editor'!$C:$C,""),mtype=XLOOKUP(XLOOKUP($K33,'Threshold Summary'!$Y:$Y,'Threshold Summary'!$K:$K,""),'Pokemon Editor'!$A:$A,'Pokemon Editor'!$D:$D,"")),1.5,1),eff,(INDEX('Type Chart'!$B:$S,MATCH(mtype,'Type Chart'!$A:$A,0),MATCH(XLOOKUP($L33,'Pokemon Editor'!$A:$A,'Pokemon Editor'!$C:$C,""),'Type Chart'!$B$1:$S$1,0))*IF(XLOOKUP($L33,'Pokemon Editor'!$A:$A,'Pokemon Editor'!$D:$D,"")="",1,INDEX('Type Chart'!$B:$S,MATCH(mtype,'Type Chart'!$A:$A,0),MATCH(XLOOKUP($L33,'Pokemon Editor'!$A:$A,'Pokemon Editor'!$D:$D,""),'Type Chart'!$B$1:$S$1,0)))),base,IF(OR(cat="Status",pow=0),0,FLOOR(FLOOR(FLOOR((2*XLOOKUP($K33,'Threshold Summary'!$Y:$Y,'Threshold Summary'!$L:$L,"")/5+2)*pow*atk/def)/50)+2)),modifier,stab*eff,AVERAGE(ARRAYFORMULA(FLOOR(base*modifier*SEQUENCE(16,1,85,1)/100)))/(FLOOR(((2*XLOOKUP($L33,'Pokemon Editor'!$A:$A,'Pokemon Editor'!$E:$E,0)+31+FLOOR(XLOOKUP($L33,'Boss Editor'!$C:$C,'Boss Editor'!$G:$G,"")/4))*XLOOKUP($L33,'Boss Editor'!$C:$C,'Boss Editor'!$D:$D,""))/100)+XLOOKUP($L33,'Boss Editor'!$C:$C,'Boss Editor'!$D:$D,"")+10)),0)</f>
        <v/>
      </c>
      <c r="J33" s="3">
        <f>IF(I33&gt;=1,"OHKO",IF(I33&gt;=0.5,"2HKO",IF(I33&gt;=0.333,"3HKO",IF(I33&gt;=0.25,"4HKO","5HKO+"))))</f>
        <v/>
      </c>
      <c r="K33" s="3" t="inlineStr">
        <is>
          <t>SPECIES_SHINX</t>
        </is>
      </c>
      <c r="L33" s="3" t="inlineStr">
        <is>
          <t>SPECIES_ANORITH</t>
        </is>
      </c>
    </row>
    <row r="34">
      <c r="A34" s="3">
        <f>XLOOKUP($K34,'Threshold Summary'!$Y:$Y,'Threshold Summary'!$A:$A,"")</f>
        <v/>
      </c>
      <c r="B34" s="3" t="inlineStr">
        <is>
          <t>Lileep</t>
        </is>
      </c>
      <c r="C34" s="3">
        <f>XLOOKUP($L34,'Boss Editor'!$C:$C,'Boss Editor'!$D:$D,"")</f>
        <v/>
      </c>
      <c r="D34" s="3">
        <f>XLOOKUP($K34,'Threshold Summary'!$Y:$Y,'Threshold Summary'!$B:$B,"")</f>
        <v/>
      </c>
      <c r="E34" s="3">
        <f>XLOOKUP(D34,'Move Editor'!$B:$B,'Move Editor'!$C:$C,"")</f>
        <v/>
      </c>
      <c r="F34" s="3">
        <f>IFERROR(LET(mtype,XLOOKUP($D34,'Move Editor'!$B:$B,'Move Editor'!$C:$C,""),cat,XLOOKUP($D34,'Move Editor'!$B:$B,'Move Editor'!$D:$D,""),pow,XLOOKUP($D34,'Move Editor'!$B:$B,'Move Editor'!$E:$E,0),acc,XLOOKUP($D34,'Move Editor'!$B:$B,'Move Editor'!$F:$F,100),atk,IF(cat="Physical",FLOOR((FLOOR(((2*XLOOKUP(XLOOKUP($K34,'Threshold Summary'!$Y:$Y,'Threshold Summary'!$K:$K,""),'Pokemon Editor'!$A:$A,'Pokemon Editor'!$F:$F,0)+31+FLOOR(XLOOKUP($K34,'Threshold Summary'!$Y:$Y,'Threshold Summary'!$P:$P,"")/4))*XLOOKUP($K34,'Threshold Summary'!$Y:$Y,'Threshold Summary'!$L:$L,""))/100)+5)*XLOOKUP(XLOOKUP($K34,'Threshold Summary'!$Y:$Y,'Threshold Summary'!$M:$M,""),'Nature Editor'!$A:$A,'Nature Editor'!$B:$B,1)),FLOOR((FLOOR(((2*XLOOKUP(XLOOKUP($K34,'Threshold Summary'!$Y:$Y,'Threshold Summary'!$K:$K,""),'Pokemon Editor'!$A:$A,'Pokemon Editor'!$H:$H,0)+31+FLOOR(XLOOKUP($K34,'Threshold Summary'!$Y:$Y,'Threshold Summary'!$R:$R,"")/4))*XLOOKUP($K34,'Threshold Summary'!$Y:$Y,'Threshold Summary'!$L:$L,""))/100)+5)*XLOOKUP(XLOOKUP($K34,'Threshold Summary'!$Y:$Y,'Threshold Summary'!$M:$M,""),'Nature Editor'!$A:$A,'Nature Editor'!$D:$D,1))),def,IF(cat="Physical",FLOOR((FLOOR(((2*XLOOKUP($L34,'Pokemon Editor'!$A:$A,'Pokemon Editor'!$G:$G,0)+31+FLOOR(XLOOKUP($L34,'Boss Editor'!$C:$C,'Boss Editor'!$I:$I,"")/4))*XLOOKUP($L34,'Boss Editor'!$C:$C,'Boss Editor'!$D:$D,""))/100)+5)*XLOOKUP(XLOOKUP($L34,'Boss Editor'!$C:$C,'Boss Editor'!$E:$E,""),'Nature Editor'!$A:$A,'Nature Editor'!$C:$C,1)),FLOOR((FLOOR(((2*XLOOKUP($L34,'Pokemon Editor'!$A:$A,'Pokemon Editor'!$I:$I,0)+31+FLOOR(XLOOKUP($L34,'Boss Editor'!$C:$C,'Boss Editor'!$K:$K,"")/4))*XLOOKUP($L34,'Boss Editor'!$C:$C,'Boss Editor'!$D:$D,""))/100)+5)*XLOOKUP(XLOOKUP($L34,'Boss Editor'!$C:$C,'Boss Editor'!$E:$E,""),'Nature Editor'!$A:$A,'Nature Editor'!$E:$E,1))),stab,IF(OR(mtype=XLOOKUP(XLOOKUP($K34,'Threshold Summary'!$Y:$Y,'Threshold Summary'!$K:$K,""),'Pokemon Editor'!$A:$A,'Pokemon Editor'!$C:$C,""),mtype=XLOOKUP(XLOOKUP($K34,'Threshold Summary'!$Y:$Y,'Threshold Summary'!$K:$K,""),'Pokemon Editor'!$A:$A,'Pokemon Editor'!$D:$D,"")),1.5,1),eff,(INDEX('Type Chart'!$B:$S,MATCH(mtype,'Type Chart'!$A:$A,0),MATCH(XLOOKUP($L34,'Pokemon Editor'!$A:$A,'Pokemon Editor'!$C:$C,""),'Type Chart'!$B$1:$S$1,0))*IF(XLOOKUP($L34,'Pokemon Editor'!$A:$A,'Pokemon Editor'!$D:$D,"")="",1,INDEX('Type Chart'!$B:$S,MATCH(mtype,'Type Chart'!$A:$A,0),MATCH(XLOOKUP($L34,'Pokemon Editor'!$A:$A,'Pokemon Editor'!$D:$D,""),'Type Chart'!$B$1:$S$1,0)))),base,IF(OR(cat="Status",pow=0),0,FLOOR(FLOOR(FLOOR((2*XLOOKUP($K34,'Threshold Summary'!$Y:$Y,'Threshold Summary'!$L:$L,"")/5+2)*pow*atk/def)/50)+2)),modifier,stab*eff,FLOOR(base*modifier*0.85)),0)</f>
        <v/>
      </c>
      <c r="G34" s="3">
        <f>IFERROR(LET(mtype,XLOOKUP($D34,'Move Editor'!$B:$B,'Move Editor'!$C:$C,""),cat,XLOOKUP($D34,'Move Editor'!$B:$B,'Move Editor'!$D:$D,""),pow,XLOOKUP($D34,'Move Editor'!$B:$B,'Move Editor'!$E:$E,0),acc,XLOOKUP($D34,'Move Editor'!$B:$B,'Move Editor'!$F:$F,100),atk,IF(cat="Physical",FLOOR((FLOOR(((2*XLOOKUP(XLOOKUP($K34,'Threshold Summary'!$Y:$Y,'Threshold Summary'!$K:$K,""),'Pokemon Editor'!$A:$A,'Pokemon Editor'!$F:$F,0)+31+FLOOR(XLOOKUP($K34,'Threshold Summary'!$Y:$Y,'Threshold Summary'!$P:$P,"")/4))*XLOOKUP($K34,'Threshold Summary'!$Y:$Y,'Threshold Summary'!$L:$L,""))/100)+5)*XLOOKUP(XLOOKUP($K34,'Threshold Summary'!$Y:$Y,'Threshold Summary'!$M:$M,""),'Nature Editor'!$A:$A,'Nature Editor'!$B:$B,1)),FLOOR((FLOOR(((2*XLOOKUP(XLOOKUP($K34,'Threshold Summary'!$Y:$Y,'Threshold Summary'!$K:$K,""),'Pokemon Editor'!$A:$A,'Pokemon Editor'!$H:$H,0)+31+FLOOR(XLOOKUP($K34,'Threshold Summary'!$Y:$Y,'Threshold Summary'!$R:$R,"")/4))*XLOOKUP($K34,'Threshold Summary'!$Y:$Y,'Threshold Summary'!$L:$L,""))/100)+5)*XLOOKUP(XLOOKUP($K34,'Threshold Summary'!$Y:$Y,'Threshold Summary'!$M:$M,""),'Nature Editor'!$A:$A,'Nature Editor'!$D:$D,1))),def,IF(cat="Physical",FLOOR((FLOOR(((2*XLOOKUP($L34,'Pokemon Editor'!$A:$A,'Pokemon Editor'!$G:$G,0)+31+FLOOR(XLOOKUP($L34,'Boss Editor'!$C:$C,'Boss Editor'!$I:$I,"")/4))*XLOOKUP($L34,'Boss Editor'!$C:$C,'Boss Editor'!$D:$D,""))/100)+5)*XLOOKUP(XLOOKUP($L34,'Boss Editor'!$C:$C,'Boss Editor'!$E:$E,""),'Nature Editor'!$A:$A,'Nature Editor'!$C:$C,1)),FLOOR((FLOOR(((2*XLOOKUP($L34,'Pokemon Editor'!$A:$A,'Pokemon Editor'!$I:$I,0)+31+FLOOR(XLOOKUP($L34,'Boss Editor'!$C:$C,'Boss Editor'!$K:$K,"")/4))*XLOOKUP($L34,'Boss Editor'!$C:$C,'Boss Editor'!$D:$D,""))/100)+5)*XLOOKUP(XLOOKUP($L34,'Boss Editor'!$C:$C,'Boss Editor'!$E:$E,""),'Nature Editor'!$A:$A,'Nature Editor'!$E:$E,1))),stab,IF(OR(mtype=XLOOKUP(XLOOKUP($K34,'Threshold Summary'!$Y:$Y,'Threshold Summary'!$K:$K,""),'Pokemon Editor'!$A:$A,'Pokemon Editor'!$C:$C,""),mtype=XLOOKUP(XLOOKUP($K34,'Threshold Summary'!$Y:$Y,'Threshold Summary'!$K:$K,""),'Pokemon Editor'!$A:$A,'Pokemon Editor'!$D:$D,"")),1.5,1),eff,(INDEX('Type Chart'!$B:$S,MATCH(mtype,'Type Chart'!$A:$A,0),MATCH(XLOOKUP($L34,'Pokemon Editor'!$A:$A,'Pokemon Editor'!$C:$C,""),'Type Chart'!$B$1:$S$1,0))*IF(XLOOKUP($L34,'Pokemon Editor'!$A:$A,'Pokemon Editor'!$D:$D,"")="",1,INDEX('Type Chart'!$B:$S,MATCH(mtype,'Type Chart'!$A:$A,0),MATCH(XLOOKUP($L34,'Pokemon Editor'!$A:$A,'Pokemon Editor'!$D:$D,""),'Type Chart'!$B$1:$S$1,0)))),base,IF(OR(cat="Status",pow=0),0,FLOOR(FLOOR(FLOOR((2*XLOOKUP($K34,'Threshold Summary'!$Y:$Y,'Threshold Summary'!$L:$L,"")/5+2)*pow*atk/def)/50)+2)),modifier,stab*eff,FLOOR(base*modifier)),0)</f>
        <v/>
      </c>
      <c r="H34" s="3">
        <f>IFERROR(LET(mtype,XLOOKUP($D34,'Move Editor'!$B:$B,'Move Editor'!$C:$C,""),cat,XLOOKUP($D34,'Move Editor'!$B:$B,'Move Editor'!$D:$D,""),pow,XLOOKUP($D34,'Move Editor'!$B:$B,'Move Editor'!$E:$E,0),acc,XLOOKUP($D34,'Move Editor'!$B:$B,'Move Editor'!$F:$F,100),atk,IF(cat="Physical",FLOOR((FLOOR(((2*XLOOKUP(XLOOKUP($K34,'Threshold Summary'!$Y:$Y,'Threshold Summary'!$K:$K,""),'Pokemon Editor'!$A:$A,'Pokemon Editor'!$F:$F,0)+31+FLOOR(XLOOKUP($K34,'Threshold Summary'!$Y:$Y,'Threshold Summary'!$P:$P,"")/4))*XLOOKUP($K34,'Threshold Summary'!$Y:$Y,'Threshold Summary'!$L:$L,""))/100)+5)*XLOOKUP(XLOOKUP($K34,'Threshold Summary'!$Y:$Y,'Threshold Summary'!$M:$M,""),'Nature Editor'!$A:$A,'Nature Editor'!$B:$B,1)),FLOOR((FLOOR(((2*XLOOKUP(XLOOKUP($K34,'Threshold Summary'!$Y:$Y,'Threshold Summary'!$K:$K,""),'Pokemon Editor'!$A:$A,'Pokemon Editor'!$H:$H,0)+31+FLOOR(XLOOKUP($K34,'Threshold Summary'!$Y:$Y,'Threshold Summary'!$R:$R,"")/4))*XLOOKUP($K34,'Threshold Summary'!$Y:$Y,'Threshold Summary'!$L:$L,""))/100)+5)*XLOOKUP(XLOOKUP($K34,'Threshold Summary'!$Y:$Y,'Threshold Summary'!$M:$M,""),'Nature Editor'!$A:$A,'Nature Editor'!$D:$D,1))),def,IF(cat="Physical",FLOOR((FLOOR(((2*XLOOKUP($L34,'Pokemon Editor'!$A:$A,'Pokemon Editor'!$G:$G,0)+31+FLOOR(XLOOKUP($L34,'Boss Editor'!$C:$C,'Boss Editor'!$I:$I,"")/4))*XLOOKUP($L34,'Boss Editor'!$C:$C,'Boss Editor'!$D:$D,""))/100)+5)*XLOOKUP(XLOOKUP($L34,'Boss Editor'!$C:$C,'Boss Editor'!$E:$E,""),'Nature Editor'!$A:$A,'Nature Editor'!$C:$C,1)),FLOOR((FLOOR(((2*XLOOKUP($L34,'Pokemon Editor'!$A:$A,'Pokemon Editor'!$I:$I,0)+31+FLOOR(XLOOKUP($L34,'Boss Editor'!$C:$C,'Boss Editor'!$K:$K,"")/4))*XLOOKUP($L34,'Boss Editor'!$C:$C,'Boss Editor'!$D:$D,""))/100)+5)*XLOOKUP(XLOOKUP($L34,'Boss Editor'!$C:$C,'Boss Editor'!$E:$E,""),'Nature Editor'!$A:$A,'Nature Editor'!$E:$E,1))),stab,IF(OR(mtype=XLOOKUP(XLOOKUP($K34,'Threshold Summary'!$Y:$Y,'Threshold Summary'!$K:$K,""),'Pokemon Editor'!$A:$A,'Pokemon Editor'!$C:$C,""),mtype=XLOOKUP(XLOOKUP($K34,'Threshold Summary'!$Y:$Y,'Threshold Summary'!$K:$K,""),'Pokemon Editor'!$A:$A,'Pokemon Editor'!$D:$D,"")),1.5,1),eff,(INDEX('Type Chart'!$B:$S,MATCH(mtype,'Type Chart'!$A:$A,0),MATCH(XLOOKUP($L34,'Pokemon Editor'!$A:$A,'Pokemon Editor'!$C:$C,""),'Type Chart'!$B$1:$S$1,0))*IF(XLOOKUP($L34,'Pokemon Editor'!$A:$A,'Pokemon Editor'!$D:$D,"")="",1,INDEX('Type Chart'!$B:$S,MATCH(mtype,'Type Chart'!$A:$A,0),MATCH(XLOOKUP($L34,'Pokemon Editor'!$A:$A,'Pokemon Editor'!$D:$D,""),'Type Chart'!$B$1:$S$1,0)))),base,IF(OR(cat="Status",pow=0),0,FLOOR(FLOOR(FLOOR((2*XLOOKUP($K34,'Threshold Summary'!$Y:$Y,'Threshold Summary'!$L:$L,"")/5+2)*pow*atk/def)/50)+2)),modifier,stab*eff,AVERAGE(ARRAYFORMULA(FLOOR(base*modifier*SEQUENCE(16,1,85,1)/100)))),0)</f>
        <v/>
      </c>
      <c r="I34" s="4">
        <f>IFERROR(LET(mtype,XLOOKUP($D34,'Move Editor'!$B:$B,'Move Editor'!$C:$C,""),cat,XLOOKUP($D34,'Move Editor'!$B:$B,'Move Editor'!$D:$D,""),pow,XLOOKUP($D34,'Move Editor'!$B:$B,'Move Editor'!$E:$E,0),acc,XLOOKUP($D34,'Move Editor'!$B:$B,'Move Editor'!$F:$F,100),atk,IF(cat="Physical",FLOOR((FLOOR(((2*XLOOKUP(XLOOKUP($K34,'Threshold Summary'!$Y:$Y,'Threshold Summary'!$K:$K,""),'Pokemon Editor'!$A:$A,'Pokemon Editor'!$F:$F,0)+31+FLOOR(XLOOKUP($K34,'Threshold Summary'!$Y:$Y,'Threshold Summary'!$P:$P,"")/4))*XLOOKUP($K34,'Threshold Summary'!$Y:$Y,'Threshold Summary'!$L:$L,""))/100)+5)*XLOOKUP(XLOOKUP($K34,'Threshold Summary'!$Y:$Y,'Threshold Summary'!$M:$M,""),'Nature Editor'!$A:$A,'Nature Editor'!$B:$B,1)),FLOOR((FLOOR(((2*XLOOKUP(XLOOKUP($K34,'Threshold Summary'!$Y:$Y,'Threshold Summary'!$K:$K,""),'Pokemon Editor'!$A:$A,'Pokemon Editor'!$H:$H,0)+31+FLOOR(XLOOKUP($K34,'Threshold Summary'!$Y:$Y,'Threshold Summary'!$R:$R,"")/4))*XLOOKUP($K34,'Threshold Summary'!$Y:$Y,'Threshold Summary'!$L:$L,""))/100)+5)*XLOOKUP(XLOOKUP($K34,'Threshold Summary'!$Y:$Y,'Threshold Summary'!$M:$M,""),'Nature Editor'!$A:$A,'Nature Editor'!$D:$D,1))),def,IF(cat="Physical",FLOOR((FLOOR(((2*XLOOKUP($L34,'Pokemon Editor'!$A:$A,'Pokemon Editor'!$G:$G,0)+31+FLOOR(XLOOKUP($L34,'Boss Editor'!$C:$C,'Boss Editor'!$I:$I,"")/4))*XLOOKUP($L34,'Boss Editor'!$C:$C,'Boss Editor'!$D:$D,""))/100)+5)*XLOOKUP(XLOOKUP($L34,'Boss Editor'!$C:$C,'Boss Editor'!$E:$E,""),'Nature Editor'!$A:$A,'Nature Editor'!$C:$C,1)),FLOOR((FLOOR(((2*XLOOKUP($L34,'Pokemon Editor'!$A:$A,'Pokemon Editor'!$I:$I,0)+31+FLOOR(XLOOKUP($L34,'Boss Editor'!$C:$C,'Boss Editor'!$K:$K,"")/4))*XLOOKUP($L34,'Boss Editor'!$C:$C,'Boss Editor'!$D:$D,""))/100)+5)*XLOOKUP(XLOOKUP($L34,'Boss Editor'!$C:$C,'Boss Editor'!$E:$E,""),'Nature Editor'!$A:$A,'Nature Editor'!$E:$E,1))),stab,IF(OR(mtype=XLOOKUP(XLOOKUP($K34,'Threshold Summary'!$Y:$Y,'Threshold Summary'!$K:$K,""),'Pokemon Editor'!$A:$A,'Pokemon Editor'!$C:$C,""),mtype=XLOOKUP(XLOOKUP($K34,'Threshold Summary'!$Y:$Y,'Threshold Summary'!$K:$K,""),'Pokemon Editor'!$A:$A,'Pokemon Editor'!$D:$D,"")),1.5,1),eff,(INDEX('Type Chart'!$B:$S,MATCH(mtype,'Type Chart'!$A:$A,0),MATCH(XLOOKUP($L34,'Pokemon Editor'!$A:$A,'Pokemon Editor'!$C:$C,""),'Type Chart'!$B$1:$S$1,0))*IF(XLOOKUP($L34,'Pokemon Editor'!$A:$A,'Pokemon Editor'!$D:$D,"")="",1,INDEX('Type Chart'!$B:$S,MATCH(mtype,'Type Chart'!$A:$A,0),MATCH(XLOOKUP($L34,'Pokemon Editor'!$A:$A,'Pokemon Editor'!$D:$D,""),'Type Chart'!$B$1:$S$1,0)))),base,IF(OR(cat="Status",pow=0),0,FLOOR(FLOOR(FLOOR((2*XLOOKUP($K34,'Threshold Summary'!$Y:$Y,'Threshold Summary'!$L:$L,"")/5+2)*pow*atk/def)/50)+2)),modifier,stab*eff,AVERAGE(ARRAYFORMULA(FLOOR(base*modifier*SEQUENCE(16,1,85,1)/100)))/(FLOOR(((2*XLOOKUP($L34,'Pokemon Editor'!$A:$A,'Pokemon Editor'!$E:$E,0)+31+FLOOR(XLOOKUP($L34,'Boss Editor'!$C:$C,'Boss Editor'!$G:$G,"")/4))*XLOOKUP($L34,'Boss Editor'!$C:$C,'Boss Editor'!$D:$D,""))/100)+XLOOKUP($L34,'Boss Editor'!$C:$C,'Boss Editor'!$D:$D,"")+10)),0)</f>
        <v/>
      </c>
      <c r="J34" s="3">
        <f>IF(I34&gt;=1,"OHKO",IF(I34&gt;=0.5,"2HKO",IF(I34&gt;=0.333,"3HKO",IF(I34&gt;=0.25,"4HKO","5HKO+"))))</f>
        <v/>
      </c>
      <c r="K34" s="3" t="inlineStr">
        <is>
          <t>SPECIES_SHINX</t>
        </is>
      </c>
      <c r="L34" s="3" t="inlineStr">
        <is>
          <t>SPECIES_LILEEP</t>
        </is>
      </c>
    </row>
    <row r="35">
      <c r="A35" s="3">
        <f>XLOOKUP($K35,'Threshold Summary'!$Y:$Y,'Threshold Summary'!$A:$A,"")</f>
        <v/>
      </c>
      <c r="B35" s="3" t="inlineStr">
        <is>
          <t>Tirtouga</t>
        </is>
      </c>
      <c r="C35" s="3">
        <f>XLOOKUP($L35,'Boss Editor'!$C:$C,'Boss Editor'!$D:$D,"")</f>
        <v/>
      </c>
      <c r="D35" s="3">
        <f>XLOOKUP($K35,'Threshold Summary'!$Y:$Y,'Threshold Summary'!$B:$B,"")</f>
        <v/>
      </c>
      <c r="E35" s="3">
        <f>XLOOKUP(D35,'Move Editor'!$B:$B,'Move Editor'!$C:$C,"")</f>
        <v/>
      </c>
      <c r="F35" s="3">
        <f>IFERROR(LET(mtype,XLOOKUP($D35,'Move Editor'!$B:$B,'Move Editor'!$C:$C,""),cat,XLOOKUP($D35,'Move Editor'!$B:$B,'Move Editor'!$D:$D,""),pow,XLOOKUP($D35,'Move Editor'!$B:$B,'Move Editor'!$E:$E,0),acc,XLOOKUP($D35,'Move Editor'!$B:$B,'Move Editor'!$F:$F,100),atk,IF(cat="Physical",FLOOR((FLOOR(((2*XLOOKUP(XLOOKUP($K35,'Threshold Summary'!$Y:$Y,'Threshold Summary'!$K:$K,""),'Pokemon Editor'!$A:$A,'Pokemon Editor'!$F:$F,0)+31+FLOOR(XLOOKUP($K35,'Threshold Summary'!$Y:$Y,'Threshold Summary'!$P:$P,"")/4))*XLOOKUP($K35,'Threshold Summary'!$Y:$Y,'Threshold Summary'!$L:$L,""))/100)+5)*XLOOKUP(XLOOKUP($K35,'Threshold Summary'!$Y:$Y,'Threshold Summary'!$M:$M,""),'Nature Editor'!$A:$A,'Nature Editor'!$B:$B,1)),FLOOR((FLOOR(((2*XLOOKUP(XLOOKUP($K35,'Threshold Summary'!$Y:$Y,'Threshold Summary'!$K:$K,""),'Pokemon Editor'!$A:$A,'Pokemon Editor'!$H:$H,0)+31+FLOOR(XLOOKUP($K35,'Threshold Summary'!$Y:$Y,'Threshold Summary'!$R:$R,"")/4))*XLOOKUP($K35,'Threshold Summary'!$Y:$Y,'Threshold Summary'!$L:$L,""))/100)+5)*XLOOKUP(XLOOKUP($K35,'Threshold Summary'!$Y:$Y,'Threshold Summary'!$M:$M,""),'Nature Editor'!$A:$A,'Nature Editor'!$D:$D,1))),def,IF(cat="Physical",FLOOR((FLOOR(((2*XLOOKUP($L35,'Pokemon Editor'!$A:$A,'Pokemon Editor'!$G:$G,0)+31+FLOOR(XLOOKUP($L35,'Boss Editor'!$C:$C,'Boss Editor'!$I:$I,"")/4))*XLOOKUP($L35,'Boss Editor'!$C:$C,'Boss Editor'!$D:$D,""))/100)+5)*XLOOKUP(XLOOKUP($L35,'Boss Editor'!$C:$C,'Boss Editor'!$E:$E,""),'Nature Editor'!$A:$A,'Nature Editor'!$C:$C,1)),FLOOR((FLOOR(((2*XLOOKUP($L35,'Pokemon Editor'!$A:$A,'Pokemon Editor'!$I:$I,0)+31+FLOOR(XLOOKUP($L35,'Boss Editor'!$C:$C,'Boss Editor'!$K:$K,"")/4))*XLOOKUP($L35,'Boss Editor'!$C:$C,'Boss Editor'!$D:$D,""))/100)+5)*XLOOKUP(XLOOKUP($L35,'Boss Editor'!$C:$C,'Boss Editor'!$E:$E,""),'Nature Editor'!$A:$A,'Nature Editor'!$E:$E,1))),stab,IF(OR(mtype=XLOOKUP(XLOOKUP($K35,'Threshold Summary'!$Y:$Y,'Threshold Summary'!$K:$K,""),'Pokemon Editor'!$A:$A,'Pokemon Editor'!$C:$C,""),mtype=XLOOKUP(XLOOKUP($K35,'Threshold Summary'!$Y:$Y,'Threshold Summary'!$K:$K,""),'Pokemon Editor'!$A:$A,'Pokemon Editor'!$D:$D,"")),1.5,1),eff,(INDEX('Type Chart'!$B:$S,MATCH(mtype,'Type Chart'!$A:$A,0),MATCH(XLOOKUP($L35,'Pokemon Editor'!$A:$A,'Pokemon Editor'!$C:$C,""),'Type Chart'!$B$1:$S$1,0))*IF(XLOOKUP($L35,'Pokemon Editor'!$A:$A,'Pokemon Editor'!$D:$D,"")="",1,INDEX('Type Chart'!$B:$S,MATCH(mtype,'Type Chart'!$A:$A,0),MATCH(XLOOKUP($L35,'Pokemon Editor'!$A:$A,'Pokemon Editor'!$D:$D,""),'Type Chart'!$B$1:$S$1,0)))),base,IF(OR(cat="Status",pow=0),0,FLOOR(FLOOR(FLOOR((2*XLOOKUP($K35,'Threshold Summary'!$Y:$Y,'Threshold Summary'!$L:$L,"")/5+2)*pow*atk/def)/50)+2)),modifier,stab*eff,FLOOR(base*modifier*0.85)),0)</f>
        <v/>
      </c>
      <c r="G35" s="3">
        <f>IFERROR(LET(mtype,XLOOKUP($D35,'Move Editor'!$B:$B,'Move Editor'!$C:$C,""),cat,XLOOKUP($D35,'Move Editor'!$B:$B,'Move Editor'!$D:$D,""),pow,XLOOKUP($D35,'Move Editor'!$B:$B,'Move Editor'!$E:$E,0),acc,XLOOKUP($D35,'Move Editor'!$B:$B,'Move Editor'!$F:$F,100),atk,IF(cat="Physical",FLOOR((FLOOR(((2*XLOOKUP(XLOOKUP($K35,'Threshold Summary'!$Y:$Y,'Threshold Summary'!$K:$K,""),'Pokemon Editor'!$A:$A,'Pokemon Editor'!$F:$F,0)+31+FLOOR(XLOOKUP($K35,'Threshold Summary'!$Y:$Y,'Threshold Summary'!$P:$P,"")/4))*XLOOKUP($K35,'Threshold Summary'!$Y:$Y,'Threshold Summary'!$L:$L,""))/100)+5)*XLOOKUP(XLOOKUP($K35,'Threshold Summary'!$Y:$Y,'Threshold Summary'!$M:$M,""),'Nature Editor'!$A:$A,'Nature Editor'!$B:$B,1)),FLOOR((FLOOR(((2*XLOOKUP(XLOOKUP($K35,'Threshold Summary'!$Y:$Y,'Threshold Summary'!$K:$K,""),'Pokemon Editor'!$A:$A,'Pokemon Editor'!$H:$H,0)+31+FLOOR(XLOOKUP($K35,'Threshold Summary'!$Y:$Y,'Threshold Summary'!$R:$R,"")/4))*XLOOKUP($K35,'Threshold Summary'!$Y:$Y,'Threshold Summary'!$L:$L,""))/100)+5)*XLOOKUP(XLOOKUP($K35,'Threshold Summary'!$Y:$Y,'Threshold Summary'!$M:$M,""),'Nature Editor'!$A:$A,'Nature Editor'!$D:$D,1))),def,IF(cat="Physical",FLOOR((FLOOR(((2*XLOOKUP($L35,'Pokemon Editor'!$A:$A,'Pokemon Editor'!$G:$G,0)+31+FLOOR(XLOOKUP($L35,'Boss Editor'!$C:$C,'Boss Editor'!$I:$I,"")/4))*XLOOKUP($L35,'Boss Editor'!$C:$C,'Boss Editor'!$D:$D,""))/100)+5)*XLOOKUP(XLOOKUP($L35,'Boss Editor'!$C:$C,'Boss Editor'!$E:$E,""),'Nature Editor'!$A:$A,'Nature Editor'!$C:$C,1)),FLOOR((FLOOR(((2*XLOOKUP($L35,'Pokemon Editor'!$A:$A,'Pokemon Editor'!$I:$I,0)+31+FLOOR(XLOOKUP($L35,'Boss Editor'!$C:$C,'Boss Editor'!$K:$K,"")/4))*XLOOKUP($L35,'Boss Editor'!$C:$C,'Boss Editor'!$D:$D,""))/100)+5)*XLOOKUP(XLOOKUP($L35,'Boss Editor'!$C:$C,'Boss Editor'!$E:$E,""),'Nature Editor'!$A:$A,'Nature Editor'!$E:$E,1))),stab,IF(OR(mtype=XLOOKUP(XLOOKUP($K35,'Threshold Summary'!$Y:$Y,'Threshold Summary'!$K:$K,""),'Pokemon Editor'!$A:$A,'Pokemon Editor'!$C:$C,""),mtype=XLOOKUP(XLOOKUP($K35,'Threshold Summary'!$Y:$Y,'Threshold Summary'!$K:$K,""),'Pokemon Editor'!$A:$A,'Pokemon Editor'!$D:$D,"")),1.5,1),eff,(INDEX('Type Chart'!$B:$S,MATCH(mtype,'Type Chart'!$A:$A,0),MATCH(XLOOKUP($L35,'Pokemon Editor'!$A:$A,'Pokemon Editor'!$C:$C,""),'Type Chart'!$B$1:$S$1,0))*IF(XLOOKUP($L35,'Pokemon Editor'!$A:$A,'Pokemon Editor'!$D:$D,"")="",1,INDEX('Type Chart'!$B:$S,MATCH(mtype,'Type Chart'!$A:$A,0),MATCH(XLOOKUP($L35,'Pokemon Editor'!$A:$A,'Pokemon Editor'!$D:$D,""),'Type Chart'!$B$1:$S$1,0)))),base,IF(OR(cat="Status",pow=0),0,FLOOR(FLOOR(FLOOR((2*XLOOKUP($K35,'Threshold Summary'!$Y:$Y,'Threshold Summary'!$L:$L,"")/5+2)*pow*atk/def)/50)+2)),modifier,stab*eff,FLOOR(base*modifier)),0)</f>
        <v/>
      </c>
      <c r="H35" s="3">
        <f>IFERROR(LET(mtype,XLOOKUP($D35,'Move Editor'!$B:$B,'Move Editor'!$C:$C,""),cat,XLOOKUP($D35,'Move Editor'!$B:$B,'Move Editor'!$D:$D,""),pow,XLOOKUP($D35,'Move Editor'!$B:$B,'Move Editor'!$E:$E,0),acc,XLOOKUP($D35,'Move Editor'!$B:$B,'Move Editor'!$F:$F,100),atk,IF(cat="Physical",FLOOR((FLOOR(((2*XLOOKUP(XLOOKUP($K35,'Threshold Summary'!$Y:$Y,'Threshold Summary'!$K:$K,""),'Pokemon Editor'!$A:$A,'Pokemon Editor'!$F:$F,0)+31+FLOOR(XLOOKUP($K35,'Threshold Summary'!$Y:$Y,'Threshold Summary'!$P:$P,"")/4))*XLOOKUP($K35,'Threshold Summary'!$Y:$Y,'Threshold Summary'!$L:$L,""))/100)+5)*XLOOKUP(XLOOKUP($K35,'Threshold Summary'!$Y:$Y,'Threshold Summary'!$M:$M,""),'Nature Editor'!$A:$A,'Nature Editor'!$B:$B,1)),FLOOR((FLOOR(((2*XLOOKUP(XLOOKUP($K35,'Threshold Summary'!$Y:$Y,'Threshold Summary'!$K:$K,""),'Pokemon Editor'!$A:$A,'Pokemon Editor'!$H:$H,0)+31+FLOOR(XLOOKUP($K35,'Threshold Summary'!$Y:$Y,'Threshold Summary'!$R:$R,"")/4))*XLOOKUP($K35,'Threshold Summary'!$Y:$Y,'Threshold Summary'!$L:$L,""))/100)+5)*XLOOKUP(XLOOKUP($K35,'Threshold Summary'!$Y:$Y,'Threshold Summary'!$M:$M,""),'Nature Editor'!$A:$A,'Nature Editor'!$D:$D,1))),def,IF(cat="Physical",FLOOR((FLOOR(((2*XLOOKUP($L35,'Pokemon Editor'!$A:$A,'Pokemon Editor'!$G:$G,0)+31+FLOOR(XLOOKUP($L35,'Boss Editor'!$C:$C,'Boss Editor'!$I:$I,"")/4))*XLOOKUP($L35,'Boss Editor'!$C:$C,'Boss Editor'!$D:$D,""))/100)+5)*XLOOKUP(XLOOKUP($L35,'Boss Editor'!$C:$C,'Boss Editor'!$E:$E,""),'Nature Editor'!$A:$A,'Nature Editor'!$C:$C,1)),FLOOR((FLOOR(((2*XLOOKUP($L35,'Pokemon Editor'!$A:$A,'Pokemon Editor'!$I:$I,0)+31+FLOOR(XLOOKUP($L35,'Boss Editor'!$C:$C,'Boss Editor'!$K:$K,"")/4))*XLOOKUP($L35,'Boss Editor'!$C:$C,'Boss Editor'!$D:$D,""))/100)+5)*XLOOKUP(XLOOKUP($L35,'Boss Editor'!$C:$C,'Boss Editor'!$E:$E,""),'Nature Editor'!$A:$A,'Nature Editor'!$E:$E,1))),stab,IF(OR(mtype=XLOOKUP(XLOOKUP($K35,'Threshold Summary'!$Y:$Y,'Threshold Summary'!$K:$K,""),'Pokemon Editor'!$A:$A,'Pokemon Editor'!$C:$C,""),mtype=XLOOKUP(XLOOKUP($K35,'Threshold Summary'!$Y:$Y,'Threshold Summary'!$K:$K,""),'Pokemon Editor'!$A:$A,'Pokemon Editor'!$D:$D,"")),1.5,1),eff,(INDEX('Type Chart'!$B:$S,MATCH(mtype,'Type Chart'!$A:$A,0),MATCH(XLOOKUP($L35,'Pokemon Editor'!$A:$A,'Pokemon Editor'!$C:$C,""),'Type Chart'!$B$1:$S$1,0))*IF(XLOOKUP($L35,'Pokemon Editor'!$A:$A,'Pokemon Editor'!$D:$D,"")="",1,INDEX('Type Chart'!$B:$S,MATCH(mtype,'Type Chart'!$A:$A,0),MATCH(XLOOKUP($L35,'Pokemon Editor'!$A:$A,'Pokemon Editor'!$D:$D,""),'Type Chart'!$B$1:$S$1,0)))),base,IF(OR(cat="Status",pow=0),0,FLOOR(FLOOR(FLOOR((2*XLOOKUP($K35,'Threshold Summary'!$Y:$Y,'Threshold Summary'!$L:$L,"")/5+2)*pow*atk/def)/50)+2)),modifier,stab*eff,AVERAGE(ARRAYFORMULA(FLOOR(base*modifier*SEQUENCE(16,1,85,1)/100)))),0)</f>
        <v/>
      </c>
      <c r="I35" s="4">
        <f>IFERROR(LET(mtype,XLOOKUP($D35,'Move Editor'!$B:$B,'Move Editor'!$C:$C,""),cat,XLOOKUP($D35,'Move Editor'!$B:$B,'Move Editor'!$D:$D,""),pow,XLOOKUP($D35,'Move Editor'!$B:$B,'Move Editor'!$E:$E,0),acc,XLOOKUP($D35,'Move Editor'!$B:$B,'Move Editor'!$F:$F,100),atk,IF(cat="Physical",FLOOR((FLOOR(((2*XLOOKUP(XLOOKUP($K35,'Threshold Summary'!$Y:$Y,'Threshold Summary'!$K:$K,""),'Pokemon Editor'!$A:$A,'Pokemon Editor'!$F:$F,0)+31+FLOOR(XLOOKUP($K35,'Threshold Summary'!$Y:$Y,'Threshold Summary'!$P:$P,"")/4))*XLOOKUP($K35,'Threshold Summary'!$Y:$Y,'Threshold Summary'!$L:$L,""))/100)+5)*XLOOKUP(XLOOKUP($K35,'Threshold Summary'!$Y:$Y,'Threshold Summary'!$M:$M,""),'Nature Editor'!$A:$A,'Nature Editor'!$B:$B,1)),FLOOR((FLOOR(((2*XLOOKUP(XLOOKUP($K35,'Threshold Summary'!$Y:$Y,'Threshold Summary'!$K:$K,""),'Pokemon Editor'!$A:$A,'Pokemon Editor'!$H:$H,0)+31+FLOOR(XLOOKUP($K35,'Threshold Summary'!$Y:$Y,'Threshold Summary'!$R:$R,"")/4))*XLOOKUP($K35,'Threshold Summary'!$Y:$Y,'Threshold Summary'!$L:$L,""))/100)+5)*XLOOKUP(XLOOKUP($K35,'Threshold Summary'!$Y:$Y,'Threshold Summary'!$M:$M,""),'Nature Editor'!$A:$A,'Nature Editor'!$D:$D,1))),def,IF(cat="Physical",FLOOR((FLOOR(((2*XLOOKUP($L35,'Pokemon Editor'!$A:$A,'Pokemon Editor'!$G:$G,0)+31+FLOOR(XLOOKUP($L35,'Boss Editor'!$C:$C,'Boss Editor'!$I:$I,"")/4))*XLOOKUP($L35,'Boss Editor'!$C:$C,'Boss Editor'!$D:$D,""))/100)+5)*XLOOKUP(XLOOKUP($L35,'Boss Editor'!$C:$C,'Boss Editor'!$E:$E,""),'Nature Editor'!$A:$A,'Nature Editor'!$C:$C,1)),FLOOR((FLOOR(((2*XLOOKUP($L35,'Pokemon Editor'!$A:$A,'Pokemon Editor'!$I:$I,0)+31+FLOOR(XLOOKUP($L35,'Boss Editor'!$C:$C,'Boss Editor'!$K:$K,"")/4))*XLOOKUP($L35,'Boss Editor'!$C:$C,'Boss Editor'!$D:$D,""))/100)+5)*XLOOKUP(XLOOKUP($L35,'Boss Editor'!$C:$C,'Boss Editor'!$E:$E,""),'Nature Editor'!$A:$A,'Nature Editor'!$E:$E,1))),stab,IF(OR(mtype=XLOOKUP(XLOOKUP($K35,'Threshold Summary'!$Y:$Y,'Threshold Summary'!$K:$K,""),'Pokemon Editor'!$A:$A,'Pokemon Editor'!$C:$C,""),mtype=XLOOKUP(XLOOKUP($K35,'Threshold Summary'!$Y:$Y,'Threshold Summary'!$K:$K,""),'Pokemon Editor'!$A:$A,'Pokemon Editor'!$D:$D,"")),1.5,1),eff,(INDEX('Type Chart'!$B:$S,MATCH(mtype,'Type Chart'!$A:$A,0),MATCH(XLOOKUP($L35,'Pokemon Editor'!$A:$A,'Pokemon Editor'!$C:$C,""),'Type Chart'!$B$1:$S$1,0))*IF(XLOOKUP($L35,'Pokemon Editor'!$A:$A,'Pokemon Editor'!$D:$D,"")="",1,INDEX('Type Chart'!$B:$S,MATCH(mtype,'Type Chart'!$A:$A,0),MATCH(XLOOKUP($L35,'Pokemon Editor'!$A:$A,'Pokemon Editor'!$D:$D,""),'Type Chart'!$B$1:$S$1,0)))),base,IF(OR(cat="Status",pow=0),0,FLOOR(FLOOR(FLOOR((2*XLOOKUP($K35,'Threshold Summary'!$Y:$Y,'Threshold Summary'!$L:$L,"")/5+2)*pow*atk/def)/50)+2)),modifier,stab*eff,AVERAGE(ARRAYFORMULA(FLOOR(base*modifier*SEQUENCE(16,1,85,1)/100)))/(FLOOR(((2*XLOOKUP($L35,'Pokemon Editor'!$A:$A,'Pokemon Editor'!$E:$E,0)+31+FLOOR(XLOOKUP($L35,'Boss Editor'!$C:$C,'Boss Editor'!$G:$G,"")/4))*XLOOKUP($L35,'Boss Editor'!$C:$C,'Boss Editor'!$D:$D,""))/100)+XLOOKUP($L35,'Boss Editor'!$C:$C,'Boss Editor'!$D:$D,"")+10)),0)</f>
        <v/>
      </c>
      <c r="J35" s="3">
        <f>IF(I35&gt;=1,"OHKO",IF(I35&gt;=0.5,"2HKO",IF(I35&gt;=0.333,"3HKO",IF(I35&gt;=0.25,"4HKO","5HKO+"))))</f>
        <v/>
      </c>
      <c r="K35" s="3" t="inlineStr">
        <is>
          <t>SPECIES_COMBEE</t>
        </is>
      </c>
      <c r="L35" s="3" t="inlineStr">
        <is>
          <t>SPECIES_TIRTOUGA</t>
        </is>
      </c>
    </row>
    <row r="36">
      <c r="A36" s="3">
        <f>XLOOKUP($K36,'Threshold Summary'!$Y:$Y,'Threshold Summary'!$A:$A,"")</f>
        <v/>
      </c>
      <c r="B36" s="3" t="inlineStr">
        <is>
          <t>Anorith</t>
        </is>
      </c>
      <c r="C36" s="3">
        <f>XLOOKUP($L36,'Boss Editor'!$C:$C,'Boss Editor'!$D:$D,"")</f>
        <v/>
      </c>
      <c r="D36" s="3">
        <f>XLOOKUP($K36,'Threshold Summary'!$Y:$Y,'Threshold Summary'!$B:$B,"")</f>
        <v/>
      </c>
      <c r="E36" s="3">
        <f>XLOOKUP(D36,'Move Editor'!$B:$B,'Move Editor'!$C:$C,"")</f>
        <v/>
      </c>
      <c r="F36" s="3">
        <f>IFERROR(LET(mtype,XLOOKUP($D36,'Move Editor'!$B:$B,'Move Editor'!$C:$C,""),cat,XLOOKUP($D36,'Move Editor'!$B:$B,'Move Editor'!$D:$D,""),pow,XLOOKUP($D36,'Move Editor'!$B:$B,'Move Editor'!$E:$E,0),acc,XLOOKUP($D36,'Move Editor'!$B:$B,'Move Editor'!$F:$F,100),atk,IF(cat="Physical",FLOOR((FLOOR(((2*XLOOKUP(XLOOKUP($K36,'Threshold Summary'!$Y:$Y,'Threshold Summary'!$K:$K,""),'Pokemon Editor'!$A:$A,'Pokemon Editor'!$F:$F,0)+31+FLOOR(XLOOKUP($K36,'Threshold Summary'!$Y:$Y,'Threshold Summary'!$P:$P,"")/4))*XLOOKUP($K36,'Threshold Summary'!$Y:$Y,'Threshold Summary'!$L:$L,""))/100)+5)*XLOOKUP(XLOOKUP($K36,'Threshold Summary'!$Y:$Y,'Threshold Summary'!$M:$M,""),'Nature Editor'!$A:$A,'Nature Editor'!$B:$B,1)),FLOOR((FLOOR(((2*XLOOKUP(XLOOKUP($K36,'Threshold Summary'!$Y:$Y,'Threshold Summary'!$K:$K,""),'Pokemon Editor'!$A:$A,'Pokemon Editor'!$H:$H,0)+31+FLOOR(XLOOKUP($K36,'Threshold Summary'!$Y:$Y,'Threshold Summary'!$R:$R,"")/4))*XLOOKUP($K36,'Threshold Summary'!$Y:$Y,'Threshold Summary'!$L:$L,""))/100)+5)*XLOOKUP(XLOOKUP($K36,'Threshold Summary'!$Y:$Y,'Threshold Summary'!$M:$M,""),'Nature Editor'!$A:$A,'Nature Editor'!$D:$D,1))),def,IF(cat="Physical",FLOOR((FLOOR(((2*XLOOKUP($L36,'Pokemon Editor'!$A:$A,'Pokemon Editor'!$G:$G,0)+31+FLOOR(XLOOKUP($L36,'Boss Editor'!$C:$C,'Boss Editor'!$I:$I,"")/4))*XLOOKUP($L36,'Boss Editor'!$C:$C,'Boss Editor'!$D:$D,""))/100)+5)*XLOOKUP(XLOOKUP($L36,'Boss Editor'!$C:$C,'Boss Editor'!$E:$E,""),'Nature Editor'!$A:$A,'Nature Editor'!$C:$C,1)),FLOOR((FLOOR(((2*XLOOKUP($L36,'Pokemon Editor'!$A:$A,'Pokemon Editor'!$I:$I,0)+31+FLOOR(XLOOKUP($L36,'Boss Editor'!$C:$C,'Boss Editor'!$K:$K,"")/4))*XLOOKUP($L36,'Boss Editor'!$C:$C,'Boss Editor'!$D:$D,""))/100)+5)*XLOOKUP(XLOOKUP($L36,'Boss Editor'!$C:$C,'Boss Editor'!$E:$E,""),'Nature Editor'!$A:$A,'Nature Editor'!$E:$E,1))),stab,IF(OR(mtype=XLOOKUP(XLOOKUP($K36,'Threshold Summary'!$Y:$Y,'Threshold Summary'!$K:$K,""),'Pokemon Editor'!$A:$A,'Pokemon Editor'!$C:$C,""),mtype=XLOOKUP(XLOOKUP($K36,'Threshold Summary'!$Y:$Y,'Threshold Summary'!$K:$K,""),'Pokemon Editor'!$A:$A,'Pokemon Editor'!$D:$D,"")),1.5,1),eff,(INDEX('Type Chart'!$B:$S,MATCH(mtype,'Type Chart'!$A:$A,0),MATCH(XLOOKUP($L36,'Pokemon Editor'!$A:$A,'Pokemon Editor'!$C:$C,""),'Type Chart'!$B$1:$S$1,0))*IF(XLOOKUP($L36,'Pokemon Editor'!$A:$A,'Pokemon Editor'!$D:$D,"")="",1,INDEX('Type Chart'!$B:$S,MATCH(mtype,'Type Chart'!$A:$A,0),MATCH(XLOOKUP($L36,'Pokemon Editor'!$A:$A,'Pokemon Editor'!$D:$D,""),'Type Chart'!$B$1:$S$1,0)))),base,IF(OR(cat="Status",pow=0),0,FLOOR(FLOOR(FLOOR((2*XLOOKUP($K36,'Threshold Summary'!$Y:$Y,'Threshold Summary'!$L:$L,"")/5+2)*pow*atk/def)/50)+2)),modifier,stab*eff,FLOOR(base*modifier*0.85)),0)</f>
        <v/>
      </c>
      <c r="G36" s="3">
        <f>IFERROR(LET(mtype,XLOOKUP($D36,'Move Editor'!$B:$B,'Move Editor'!$C:$C,""),cat,XLOOKUP($D36,'Move Editor'!$B:$B,'Move Editor'!$D:$D,""),pow,XLOOKUP($D36,'Move Editor'!$B:$B,'Move Editor'!$E:$E,0),acc,XLOOKUP($D36,'Move Editor'!$B:$B,'Move Editor'!$F:$F,100),atk,IF(cat="Physical",FLOOR((FLOOR(((2*XLOOKUP(XLOOKUP($K36,'Threshold Summary'!$Y:$Y,'Threshold Summary'!$K:$K,""),'Pokemon Editor'!$A:$A,'Pokemon Editor'!$F:$F,0)+31+FLOOR(XLOOKUP($K36,'Threshold Summary'!$Y:$Y,'Threshold Summary'!$P:$P,"")/4))*XLOOKUP($K36,'Threshold Summary'!$Y:$Y,'Threshold Summary'!$L:$L,""))/100)+5)*XLOOKUP(XLOOKUP($K36,'Threshold Summary'!$Y:$Y,'Threshold Summary'!$M:$M,""),'Nature Editor'!$A:$A,'Nature Editor'!$B:$B,1)),FLOOR((FLOOR(((2*XLOOKUP(XLOOKUP($K36,'Threshold Summary'!$Y:$Y,'Threshold Summary'!$K:$K,""),'Pokemon Editor'!$A:$A,'Pokemon Editor'!$H:$H,0)+31+FLOOR(XLOOKUP($K36,'Threshold Summary'!$Y:$Y,'Threshold Summary'!$R:$R,"")/4))*XLOOKUP($K36,'Threshold Summary'!$Y:$Y,'Threshold Summary'!$L:$L,""))/100)+5)*XLOOKUP(XLOOKUP($K36,'Threshold Summary'!$Y:$Y,'Threshold Summary'!$M:$M,""),'Nature Editor'!$A:$A,'Nature Editor'!$D:$D,1))),def,IF(cat="Physical",FLOOR((FLOOR(((2*XLOOKUP($L36,'Pokemon Editor'!$A:$A,'Pokemon Editor'!$G:$G,0)+31+FLOOR(XLOOKUP($L36,'Boss Editor'!$C:$C,'Boss Editor'!$I:$I,"")/4))*XLOOKUP($L36,'Boss Editor'!$C:$C,'Boss Editor'!$D:$D,""))/100)+5)*XLOOKUP(XLOOKUP($L36,'Boss Editor'!$C:$C,'Boss Editor'!$E:$E,""),'Nature Editor'!$A:$A,'Nature Editor'!$C:$C,1)),FLOOR((FLOOR(((2*XLOOKUP($L36,'Pokemon Editor'!$A:$A,'Pokemon Editor'!$I:$I,0)+31+FLOOR(XLOOKUP($L36,'Boss Editor'!$C:$C,'Boss Editor'!$K:$K,"")/4))*XLOOKUP($L36,'Boss Editor'!$C:$C,'Boss Editor'!$D:$D,""))/100)+5)*XLOOKUP(XLOOKUP($L36,'Boss Editor'!$C:$C,'Boss Editor'!$E:$E,""),'Nature Editor'!$A:$A,'Nature Editor'!$E:$E,1))),stab,IF(OR(mtype=XLOOKUP(XLOOKUP($K36,'Threshold Summary'!$Y:$Y,'Threshold Summary'!$K:$K,""),'Pokemon Editor'!$A:$A,'Pokemon Editor'!$C:$C,""),mtype=XLOOKUP(XLOOKUP($K36,'Threshold Summary'!$Y:$Y,'Threshold Summary'!$K:$K,""),'Pokemon Editor'!$A:$A,'Pokemon Editor'!$D:$D,"")),1.5,1),eff,(INDEX('Type Chart'!$B:$S,MATCH(mtype,'Type Chart'!$A:$A,0),MATCH(XLOOKUP($L36,'Pokemon Editor'!$A:$A,'Pokemon Editor'!$C:$C,""),'Type Chart'!$B$1:$S$1,0))*IF(XLOOKUP($L36,'Pokemon Editor'!$A:$A,'Pokemon Editor'!$D:$D,"")="",1,INDEX('Type Chart'!$B:$S,MATCH(mtype,'Type Chart'!$A:$A,0),MATCH(XLOOKUP($L36,'Pokemon Editor'!$A:$A,'Pokemon Editor'!$D:$D,""),'Type Chart'!$B$1:$S$1,0)))),base,IF(OR(cat="Status",pow=0),0,FLOOR(FLOOR(FLOOR((2*XLOOKUP($K36,'Threshold Summary'!$Y:$Y,'Threshold Summary'!$L:$L,"")/5+2)*pow*atk/def)/50)+2)),modifier,stab*eff,FLOOR(base*modifier)),0)</f>
        <v/>
      </c>
      <c r="H36" s="3">
        <f>IFERROR(LET(mtype,XLOOKUP($D36,'Move Editor'!$B:$B,'Move Editor'!$C:$C,""),cat,XLOOKUP($D36,'Move Editor'!$B:$B,'Move Editor'!$D:$D,""),pow,XLOOKUP($D36,'Move Editor'!$B:$B,'Move Editor'!$E:$E,0),acc,XLOOKUP($D36,'Move Editor'!$B:$B,'Move Editor'!$F:$F,100),atk,IF(cat="Physical",FLOOR((FLOOR(((2*XLOOKUP(XLOOKUP($K36,'Threshold Summary'!$Y:$Y,'Threshold Summary'!$K:$K,""),'Pokemon Editor'!$A:$A,'Pokemon Editor'!$F:$F,0)+31+FLOOR(XLOOKUP($K36,'Threshold Summary'!$Y:$Y,'Threshold Summary'!$P:$P,"")/4))*XLOOKUP($K36,'Threshold Summary'!$Y:$Y,'Threshold Summary'!$L:$L,""))/100)+5)*XLOOKUP(XLOOKUP($K36,'Threshold Summary'!$Y:$Y,'Threshold Summary'!$M:$M,""),'Nature Editor'!$A:$A,'Nature Editor'!$B:$B,1)),FLOOR((FLOOR(((2*XLOOKUP(XLOOKUP($K36,'Threshold Summary'!$Y:$Y,'Threshold Summary'!$K:$K,""),'Pokemon Editor'!$A:$A,'Pokemon Editor'!$H:$H,0)+31+FLOOR(XLOOKUP($K36,'Threshold Summary'!$Y:$Y,'Threshold Summary'!$R:$R,"")/4))*XLOOKUP($K36,'Threshold Summary'!$Y:$Y,'Threshold Summary'!$L:$L,""))/100)+5)*XLOOKUP(XLOOKUP($K36,'Threshold Summary'!$Y:$Y,'Threshold Summary'!$M:$M,""),'Nature Editor'!$A:$A,'Nature Editor'!$D:$D,1))),def,IF(cat="Physical",FLOOR((FLOOR(((2*XLOOKUP($L36,'Pokemon Editor'!$A:$A,'Pokemon Editor'!$G:$G,0)+31+FLOOR(XLOOKUP($L36,'Boss Editor'!$C:$C,'Boss Editor'!$I:$I,"")/4))*XLOOKUP($L36,'Boss Editor'!$C:$C,'Boss Editor'!$D:$D,""))/100)+5)*XLOOKUP(XLOOKUP($L36,'Boss Editor'!$C:$C,'Boss Editor'!$E:$E,""),'Nature Editor'!$A:$A,'Nature Editor'!$C:$C,1)),FLOOR((FLOOR(((2*XLOOKUP($L36,'Pokemon Editor'!$A:$A,'Pokemon Editor'!$I:$I,0)+31+FLOOR(XLOOKUP($L36,'Boss Editor'!$C:$C,'Boss Editor'!$K:$K,"")/4))*XLOOKUP($L36,'Boss Editor'!$C:$C,'Boss Editor'!$D:$D,""))/100)+5)*XLOOKUP(XLOOKUP($L36,'Boss Editor'!$C:$C,'Boss Editor'!$E:$E,""),'Nature Editor'!$A:$A,'Nature Editor'!$E:$E,1))),stab,IF(OR(mtype=XLOOKUP(XLOOKUP($K36,'Threshold Summary'!$Y:$Y,'Threshold Summary'!$K:$K,""),'Pokemon Editor'!$A:$A,'Pokemon Editor'!$C:$C,""),mtype=XLOOKUP(XLOOKUP($K36,'Threshold Summary'!$Y:$Y,'Threshold Summary'!$K:$K,""),'Pokemon Editor'!$A:$A,'Pokemon Editor'!$D:$D,"")),1.5,1),eff,(INDEX('Type Chart'!$B:$S,MATCH(mtype,'Type Chart'!$A:$A,0),MATCH(XLOOKUP($L36,'Pokemon Editor'!$A:$A,'Pokemon Editor'!$C:$C,""),'Type Chart'!$B$1:$S$1,0))*IF(XLOOKUP($L36,'Pokemon Editor'!$A:$A,'Pokemon Editor'!$D:$D,"")="",1,INDEX('Type Chart'!$B:$S,MATCH(mtype,'Type Chart'!$A:$A,0),MATCH(XLOOKUP($L36,'Pokemon Editor'!$A:$A,'Pokemon Editor'!$D:$D,""),'Type Chart'!$B$1:$S$1,0)))),base,IF(OR(cat="Status",pow=0),0,FLOOR(FLOOR(FLOOR((2*XLOOKUP($K36,'Threshold Summary'!$Y:$Y,'Threshold Summary'!$L:$L,"")/5+2)*pow*atk/def)/50)+2)),modifier,stab*eff,AVERAGE(ARRAYFORMULA(FLOOR(base*modifier*SEQUENCE(16,1,85,1)/100)))),0)</f>
        <v/>
      </c>
      <c r="I36" s="4">
        <f>IFERROR(LET(mtype,XLOOKUP($D36,'Move Editor'!$B:$B,'Move Editor'!$C:$C,""),cat,XLOOKUP($D36,'Move Editor'!$B:$B,'Move Editor'!$D:$D,""),pow,XLOOKUP($D36,'Move Editor'!$B:$B,'Move Editor'!$E:$E,0),acc,XLOOKUP($D36,'Move Editor'!$B:$B,'Move Editor'!$F:$F,100),atk,IF(cat="Physical",FLOOR((FLOOR(((2*XLOOKUP(XLOOKUP($K36,'Threshold Summary'!$Y:$Y,'Threshold Summary'!$K:$K,""),'Pokemon Editor'!$A:$A,'Pokemon Editor'!$F:$F,0)+31+FLOOR(XLOOKUP($K36,'Threshold Summary'!$Y:$Y,'Threshold Summary'!$P:$P,"")/4))*XLOOKUP($K36,'Threshold Summary'!$Y:$Y,'Threshold Summary'!$L:$L,""))/100)+5)*XLOOKUP(XLOOKUP($K36,'Threshold Summary'!$Y:$Y,'Threshold Summary'!$M:$M,""),'Nature Editor'!$A:$A,'Nature Editor'!$B:$B,1)),FLOOR((FLOOR(((2*XLOOKUP(XLOOKUP($K36,'Threshold Summary'!$Y:$Y,'Threshold Summary'!$K:$K,""),'Pokemon Editor'!$A:$A,'Pokemon Editor'!$H:$H,0)+31+FLOOR(XLOOKUP($K36,'Threshold Summary'!$Y:$Y,'Threshold Summary'!$R:$R,"")/4))*XLOOKUP($K36,'Threshold Summary'!$Y:$Y,'Threshold Summary'!$L:$L,""))/100)+5)*XLOOKUP(XLOOKUP($K36,'Threshold Summary'!$Y:$Y,'Threshold Summary'!$M:$M,""),'Nature Editor'!$A:$A,'Nature Editor'!$D:$D,1))),def,IF(cat="Physical",FLOOR((FLOOR(((2*XLOOKUP($L36,'Pokemon Editor'!$A:$A,'Pokemon Editor'!$G:$G,0)+31+FLOOR(XLOOKUP($L36,'Boss Editor'!$C:$C,'Boss Editor'!$I:$I,"")/4))*XLOOKUP($L36,'Boss Editor'!$C:$C,'Boss Editor'!$D:$D,""))/100)+5)*XLOOKUP(XLOOKUP($L36,'Boss Editor'!$C:$C,'Boss Editor'!$E:$E,""),'Nature Editor'!$A:$A,'Nature Editor'!$C:$C,1)),FLOOR((FLOOR(((2*XLOOKUP($L36,'Pokemon Editor'!$A:$A,'Pokemon Editor'!$I:$I,0)+31+FLOOR(XLOOKUP($L36,'Boss Editor'!$C:$C,'Boss Editor'!$K:$K,"")/4))*XLOOKUP($L36,'Boss Editor'!$C:$C,'Boss Editor'!$D:$D,""))/100)+5)*XLOOKUP(XLOOKUP($L36,'Boss Editor'!$C:$C,'Boss Editor'!$E:$E,""),'Nature Editor'!$A:$A,'Nature Editor'!$E:$E,1))),stab,IF(OR(mtype=XLOOKUP(XLOOKUP($K36,'Threshold Summary'!$Y:$Y,'Threshold Summary'!$K:$K,""),'Pokemon Editor'!$A:$A,'Pokemon Editor'!$C:$C,""),mtype=XLOOKUP(XLOOKUP($K36,'Threshold Summary'!$Y:$Y,'Threshold Summary'!$K:$K,""),'Pokemon Editor'!$A:$A,'Pokemon Editor'!$D:$D,"")),1.5,1),eff,(INDEX('Type Chart'!$B:$S,MATCH(mtype,'Type Chart'!$A:$A,0),MATCH(XLOOKUP($L36,'Pokemon Editor'!$A:$A,'Pokemon Editor'!$C:$C,""),'Type Chart'!$B$1:$S$1,0))*IF(XLOOKUP($L36,'Pokemon Editor'!$A:$A,'Pokemon Editor'!$D:$D,"")="",1,INDEX('Type Chart'!$B:$S,MATCH(mtype,'Type Chart'!$A:$A,0),MATCH(XLOOKUP($L36,'Pokemon Editor'!$A:$A,'Pokemon Editor'!$D:$D,""),'Type Chart'!$B$1:$S$1,0)))),base,IF(OR(cat="Status",pow=0),0,FLOOR(FLOOR(FLOOR((2*XLOOKUP($K36,'Threshold Summary'!$Y:$Y,'Threshold Summary'!$L:$L,"")/5+2)*pow*atk/def)/50)+2)),modifier,stab*eff,AVERAGE(ARRAYFORMULA(FLOOR(base*modifier*SEQUENCE(16,1,85,1)/100)))/(FLOOR(((2*XLOOKUP($L36,'Pokemon Editor'!$A:$A,'Pokemon Editor'!$E:$E,0)+31+FLOOR(XLOOKUP($L36,'Boss Editor'!$C:$C,'Boss Editor'!$G:$G,"")/4))*XLOOKUP($L36,'Boss Editor'!$C:$C,'Boss Editor'!$D:$D,""))/100)+XLOOKUP($L36,'Boss Editor'!$C:$C,'Boss Editor'!$D:$D,"")+10)),0)</f>
        <v/>
      </c>
      <c r="J36" s="3">
        <f>IF(I36&gt;=1,"OHKO",IF(I36&gt;=0.5,"2HKO",IF(I36&gt;=0.333,"3HKO",IF(I36&gt;=0.25,"4HKO","5HKO+"))))</f>
        <v/>
      </c>
      <c r="K36" s="3" t="inlineStr">
        <is>
          <t>SPECIES_COMBEE</t>
        </is>
      </c>
      <c r="L36" s="3" t="inlineStr">
        <is>
          <t>SPECIES_ANORITH</t>
        </is>
      </c>
    </row>
    <row r="37">
      <c r="A37" s="3">
        <f>XLOOKUP($K37,'Threshold Summary'!$Y:$Y,'Threshold Summary'!$A:$A,"")</f>
        <v/>
      </c>
      <c r="B37" s="3" t="inlineStr">
        <is>
          <t>Lileep</t>
        </is>
      </c>
      <c r="C37" s="3">
        <f>XLOOKUP($L37,'Boss Editor'!$C:$C,'Boss Editor'!$D:$D,"")</f>
        <v/>
      </c>
      <c r="D37" s="3">
        <f>XLOOKUP($K37,'Threshold Summary'!$Y:$Y,'Threshold Summary'!$B:$B,"")</f>
        <v/>
      </c>
      <c r="E37" s="3">
        <f>XLOOKUP(D37,'Move Editor'!$B:$B,'Move Editor'!$C:$C,"")</f>
        <v/>
      </c>
      <c r="F37" s="3">
        <f>IFERROR(LET(mtype,XLOOKUP($D37,'Move Editor'!$B:$B,'Move Editor'!$C:$C,""),cat,XLOOKUP($D37,'Move Editor'!$B:$B,'Move Editor'!$D:$D,""),pow,XLOOKUP($D37,'Move Editor'!$B:$B,'Move Editor'!$E:$E,0),acc,XLOOKUP($D37,'Move Editor'!$B:$B,'Move Editor'!$F:$F,100),atk,IF(cat="Physical",FLOOR((FLOOR(((2*XLOOKUP(XLOOKUP($K37,'Threshold Summary'!$Y:$Y,'Threshold Summary'!$K:$K,""),'Pokemon Editor'!$A:$A,'Pokemon Editor'!$F:$F,0)+31+FLOOR(XLOOKUP($K37,'Threshold Summary'!$Y:$Y,'Threshold Summary'!$P:$P,"")/4))*XLOOKUP($K37,'Threshold Summary'!$Y:$Y,'Threshold Summary'!$L:$L,""))/100)+5)*XLOOKUP(XLOOKUP($K37,'Threshold Summary'!$Y:$Y,'Threshold Summary'!$M:$M,""),'Nature Editor'!$A:$A,'Nature Editor'!$B:$B,1)),FLOOR((FLOOR(((2*XLOOKUP(XLOOKUP($K37,'Threshold Summary'!$Y:$Y,'Threshold Summary'!$K:$K,""),'Pokemon Editor'!$A:$A,'Pokemon Editor'!$H:$H,0)+31+FLOOR(XLOOKUP($K37,'Threshold Summary'!$Y:$Y,'Threshold Summary'!$R:$R,"")/4))*XLOOKUP($K37,'Threshold Summary'!$Y:$Y,'Threshold Summary'!$L:$L,""))/100)+5)*XLOOKUP(XLOOKUP($K37,'Threshold Summary'!$Y:$Y,'Threshold Summary'!$M:$M,""),'Nature Editor'!$A:$A,'Nature Editor'!$D:$D,1))),def,IF(cat="Physical",FLOOR((FLOOR(((2*XLOOKUP($L37,'Pokemon Editor'!$A:$A,'Pokemon Editor'!$G:$G,0)+31+FLOOR(XLOOKUP($L37,'Boss Editor'!$C:$C,'Boss Editor'!$I:$I,"")/4))*XLOOKUP($L37,'Boss Editor'!$C:$C,'Boss Editor'!$D:$D,""))/100)+5)*XLOOKUP(XLOOKUP($L37,'Boss Editor'!$C:$C,'Boss Editor'!$E:$E,""),'Nature Editor'!$A:$A,'Nature Editor'!$C:$C,1)),FLOOR((FLOOR(((2*XLOOKUP($L37,'Pokemon Editor'!$A:$A,'Pokemon Editor'!$I:$I,0)+31+FLOOR(XLOOKUP($L37,'Boss Editor'!$C:$C,'Boss Editor'!$K:$K,"")/4))*XLOOKUP($L37,'Boss Editor'!$C:$C,'Boss Editor'!$D:$D,""))/100)+5)*XLOOKUP(XLOOKUP($L37,'Boss Editor'!$C:$C,'Boss Editor'!$E:$E,""),'Nature Editor'!$A:$A,'Nature Editor'!$E:$E,1))),stab,IF(OR(mtype=XLOOKUP(XLOOKUP($K37,'Threshold Summary'!$Y:$Y,'Threshold Summary'!$K:$K,""),'Pokemon Editor'!$A:$A,'Pokemon Editor'!$C:$C,""),mtype=XLOOKUP(XLOOKUP($K37,'Threshold Summary'!$Y:$Y,'Threshold Summary'!$K:$K,""),'Pokemon Editor'!$A:$A,'Pokemon Editor'!$D:$D,"")),1.5,1),eff,(INDEX('Type Chart'!$B:$S,MATCH(mtype,'Type Chart'!$A:$A,0),MATCH(XLOOKUP($L37,'Pokemon Editor'!$A:$A,'Pokemon Editor'!$C:$C,""),'Type Chart'!$B$1:$S$1,0))*IF(XLOOKUP($L37,'Pokemon Editor'!$A:$A,'Pokemon Editor'!$D:$D,"")="",1,INDEX('Type Chart'!$B:$S,MATCH(mtype,'Type Chart'!$A:$A,0),MATCH(XLOOKUP($L37,'Pokemon Editor'!$A:$A,'Pokemon Editor'!$D:$D,""),'Type Chart'!$B$1:$S$1,0)))),base,IF(OR(cat="Status",pow=0),0,FLOOR(FLOOR(FLOOR((2*XLOOKUP($K37,'Threshold Summary'!$Y:$Y,'Threshold Summary'!$L:$L,"")/5+2)*pow*atk/def)/50)+2)),modifier,stab*eff,FLOOR(base*modifier*0.85)),0)</f>
        <v/>
      </c>
      <c r="G37" s="3">
        <f>IFERROR(LET(mtype,XLOOKUP($D37,'Move Editor'!$B:$B,'Move Editor'!$C:$C,""),cat,XLOOKUP($D37,'Move Editor'!$B:$B,'Move Editor'!$D:$D,""),pow,XLOOKUP($D37,'Move Editor'!$B:$B,'Move Editor'!$E:$E,0),acc,XLOOKUP($D37,'Move Editor'!$B:$B,'Move Editor'!$F:$F,100),atk,IF(cat="Physical",FLOOR((FLOOR(((2*XLOOKUP(XLOOKUP($K37,'Threshold Summary'!$Y:$Y,'Threshold Summary'!$K:$K,""),'Pokemon Editor'!$A:$A,'Pokemon Editor'!$F:$F,0)+31+FLOOR(XLOOKUP($K37,'Threshold Summary'!$Y:$Y,'Threshold Summary'!$P:$P,"")/4))*XLOOKUP($K37,'Threshold Summary'!$Y:$Y,'Threshold Summary'!$L:$L,""))/100)+5)*XLOOKUP(XLOOKUP($K37,'Threshold Summary'!$Y:$Y,'Threshold Summary'!$M:$M,""),'Nature Editor'!$A:$A,'Nature Editor'!$B:$B,1)),FLOOR((FLOOR(((2*XLOOKUP(XLOOKUP($K37,'Threshold Summary'!$Y:$Y,'Threshold Summary'!$K:$K,""),'Pokemon Editor'!$A:$A,'Pokemon Editor'!$H:$H,0)+31+FLOOR(XLOOKUP($K37,'Threshold Summary'!$Y:$Y,'Threshold Summary'!$R:$R,"")/4))*XLOOKUP($K37,'Threshold Summary'!$Y:$Y,'Threshold Summary'!$L:$L,""))/100)+5)*XLOOKUP(XLOOKUP($K37,'Threshold Summary'!$Y:$Y,'Threshold Summary'!$M:$M,""),'Nature Editor'!$A:$A,'Nature Editor'!$D:$D,1))),def,IF(cat="Physical",FLOOR((FLOOR(((2*XLOOKUP($L37,'Pokemon Editor'!$A:$A,'Pokemon Editor'!$G:$G,0)+31+FLOOR(XLOOKUP($L37,'Boss Editor'!$C:$C,'Boss Editor'!$I:$I,"")/4))*XLOOKUP($L37,'Boss Editor'!$C:$C,'Boss Editor'!$D:$D,""))/100)+5)*XLOOKUP(XLOOKUP($L37,'Boss Editor'!$C:$C,'Boss Editor'!$E:$E,""),'Nature Editor'!$A:$A,'Nature Editor'!$C:$C,1)),FLOOR((FLOOR(((2*XLOOKUP($L37,'Pokemon Editor'!$A:$A,'Pokemon Editor'!$I:$I,0)+31+FLOOR(XLOOKUP($L37,'Boss Editor'!$C:$C,'Boss Editor'!$K:$K,"")/4))*XLOOKUP($L37,'Boss Editor'!$C:$C,'Boss Editor'!$D:$D,""))/100)+5)*XLOOKUP(XLOOKUP($L37,'Boss Editor'!$C:$C,'Boss Editor'!$E:$E,""),'Nature Editor'!$A:$A,'Nature Editor'!$E:$E,1))),stab,IF(OR(mtype=XLOOKUP(XLOOKUP($K37,'Threshold Summary'!$Y:$Y,'Threshold Summary'!$K:$K,""),'Pokemon Editor'!$A:$A,'Pokemon Editor'!$C:$C,""),mtype=XLOOKUP(XLOOKUP($K37,'Threshold Summary'!$Y:$Y,'Threshold Summary'!$K:$K,""),'Pokemon Editor'!$A:$A,'Pokemon Editor'!$D:$D,"")),1.5,1),eff,(INDEX('Type Chart'!$B:$S,MATCH(mtype,'Type Chart'!$A:$A,0),MATCH(XLOOKUP($L37,'Pokemon Editor'!$A:$A,'Pokemon Editor'!$C:$C,""),'Type Chart'!$B$1:$S$1,0))*IF(XLOOKUP($L37,'Pokemon Editor'!$A:$A,'Pokemon Editor'!$D:$D,"")="",1,INDEX('Type Chart'!$B:$S,MATCH(mtype,'Type Chart'!$A:$A,0),MATCH(XLOOKUP($L37,'Pokemon Editor'!$A:$A,'Pokemon Editor'!$D:$D,""),'Type Chart'!$B$1:$S$1,0)))),base,IF(OR(cat="Status",pow=0),0,FLOOR(FLOOR(FLOOR((2*XLOOKUP($K37,'Threshold Summary'!$Y:$Y,'Threshold Summary'!$L:$L,"")/5+2)*pow*atk/def)/50)+2)),modifier,stab*eff,FLOOR(base*modifier)),0)</f>
        <v/>
      </c>
      <c r="H37" s="3">
        <f>IFERROR(LET(mtype,XLOOKUP($D37,'Move Editor'!$B:$B,'Move Editor'!$C:$C,""),cat,XLOOKUP($D37,'Move Editor'!$B:$B,'Move Editor'!$D:$D,""),pow,XLOOKUP($D37,'Move Editor'!$B:$B,'Move Editor'!$E:$E,0),acc,XLOOKUP($D37,'Move Editor'!$B:$B,'Move Editor'!$F:$F,100),atk,IF(cat="Physical",FLOOR((FLOOR(((2*XLOOKUP(XLOOKUP($K37,'Threshold Summary'!$Y:$Y,'Threshold Summary'!$K:$K,""),'Pokemon Editor'!$A:$A,'Pokemon Editor'!$F:$F,0)+31+FLOOR(XLOOKUP($K37,'Threshold Summary'!$Y:$Y,'Threshold Summary'!$P:$P,"")/4))*XLOOKUP($K37,'Threshold Summary'!$Y:$Y,'Threshold Summary'!$L:$L,""))/100)+5)*XLOOKUP(XLOOKUP($K37,'Threshold Summary'!$Y:$Y,'Threshold Summary'!$M:$M,""),'Nature Editor'!$A:$A,'Nature Editor'!$B:$B,1)),FLOOR((FLOOR(((2*XLOOKUP(XLOOKUP($K37,'Threshold Summary'!$Y:$Y,'Threshold Summary'!$K:$K,""),'Pokemon Editor'!$A:$A,'Pokemon Editor'!$H:$H,0)+31+FLOOR(XLOOKUP($K37,'Threshold Summary'!$Y:$Y,'Threshold Summary'!$R:$R,"")/4))*XLOOKUP($K37,'Threshold Summary'!$Y:$Y,'Threshold Summary'!$L:$L,""))/100)+5)*XLOOKUP(XLOOKUP($K37,'Threshold Summary'!$Y:$Y,'Threshold Summary'!$M:$M,""),'Nature Editor'!$A:$A,'Nature Editor'!$D:$D,1))),def,IF(cat="Physical",FLOOR((FLOOR(((2*XLOOKUP($L37,'Pokemon Editor'!$A:$A,'Pokemon Editor'!$G:$G,0)+31+FLOOR(XLOOKUP($L37,'Boss Editor'!$C:$C,'Boss Editor'!$I:$I,"")/4))*XLOOKUP($L37,'Boss Editor'!$C:$C,'Boss Editor'!$D:$D,""))/100)+5)*XLOOKUP(XLOOKUP($L37,'Boss Editor'!$C:$C,'Boss Editor'!$E:$E,""),'Nature Editor'!$A:$A,'Nature Editor'!$C:$C,1)),FLOOR((FLOOR(((2*XLOOKUP($L37,'Pokemon Editor'!$A:$A,'Pokemon Editor'!$I:$I,0)+31+FLOOR(XLOOKUP($L37,'Boss Editor'!$C:$C,'Boss Editor'!$K:$K,"")/4))*XLOOKUP($L37,'Boss Editor'!$C:$C,'Boss Editor'!$D:$D,""))/100)+5)*XLOOKUP(XLOOKUP($L37,'Boss Editor'!$C:$C,'Boss Editor'!$E:$E,""),'Nature Editor'!$A:$A,'Nature Editor'!$E:$E,1))),stab,IF(OR(mtype=XLOOKUP(XLOOKUP($K37,'Threshold Summary'!$Y:$Y,'Threshold Summary'!$K:$K,""),'Pokemon Editor'!$A:$A,'Pokemon Editor'!$C:$C,""),mtype=XLOOKUP(XLOOKUP($K37,'Threshold Summary'!$Y:$Y,'Threshold Summary'!$K:$K,""),'Pokemon Editor'!$A:$A,'Pokemon Editor'!$D:$D,"")),1.5,1),eff,(INDEX('Type Chart'!$B:$S,MATCH(mtype,'Type Chart'!$A:$A,0),MATCH(XLOOKUP($L37,'Pokemon Editor'!$A:$A,'Pokemon Editor'!$C:$C,""),'Type Chart'!$B$1:$S$1,0))*IF(XLOOKUP($L37,'Pokemon Editor'!$A:$A,'Pokemon Editor'!$D:$D,"")="",1,INDEX('Type Chart'!$B:$S,MATCH(mtype,'Type Chart'!$A:$A,0),MATCH(XLOOKUP($L37,'Pokemon Editor'!$A:$A,'Pokemon Editor'!$D:$D,""),'Type Chart'!$B$1:$S$1,0)))),base,IF(OR(cat="Status",pow=0),0,FLOOR(FLOOR(FLOOR((2*XLOOKUP($K37,'Threshold Summary'!$Y:$Y,'Threshold Summary'!$L:$L,"")/5+2)*pow*atk/def)/50)+2)),modifier,stab*eff,AVERAGE(ARRAYFORMULA(FLOOR(base*modifier*SEQUENCE(16,1,85,1)/100)))),0)</f>
        <v/>
      </c>
      <c r="I37" s="4">
        <f>IFERROR(LET(mtype,XLOOKUP($D37,'Move Editor'!$B:$B,'Move Editor'!$C:$C,""),cat,XLOOKUP($D37,'Move Editor'!$B:$B,'Move Editor'!$D:$D,""),pow,XLOOKUP($D37,'Move Editor'!$B:$B,'Move Editor'!$E:$E,0),acc,XLOOKUP($D37,'Move Editor'!$B:$B,'Move Editor'!$F:$F,100),atk,IF(cat="Physical",FLOOR((FLOOR(((2*XLOOKUP(XLOOKUP($K37,'Threshold Summary'!$Y:$Y,'Threshold Summary'!$K:$K,""),'Pokemon Editor'!$A:$A,'Pokemon Editor'!$F:$F,0)+31+FLOOR(XLOOKUP($K37,'Threshold Summary'!$Y:$Y,'Threshold Summary'!$P:$P,"")/4))*XLOOKUP($K37,'Threshold Summary'!$Y:$Y,'Threshold Summary'!$L:$L,""))/100)+5)*XLOOKUP(XLOOKUP($K37,'Threshold Summary'!$Y:$Y,'Threshold Summary'!$M:$M,""),'Nature Editor'!$A:$A,'Nature Editor'!$B:$B,1)),FLOOR((FLOOR(((2*XLOOKUP(XLOOKUP($K37,'Threshold Summary'!$Y:$Y,'Threshold Summary'!$K:$K,""),'Pokemon Editor'!$A:$A,'Pokemon Editor'!$H:$H,0)+31+FLOOR(XLOOKUP($K37,'Threshold Summary'!$Y:$Y,'Threshold Summary'!$R:$R,"")/4))*XLOOKUP($K37,'Threshold Summary'!$Y:$Y,'Threshold Summary'!$L:$L,""))/100)+5)*XLOOKUP(XLOOKUP($K37,'Threshold Summary'!$Y:$Y,'Threshold Summary'!$M:$M,""),'Nature Editor'!$A:$A,'Nature Editor'!$D:$D,1))),def,IF(cat="Physical",FLOOR((FLOOR(((2*XLOOKUP($L37,'Pokemon Editor'!$A:$A,'Pokemon Editor'!$G:$G,0)+31+FLOOR(XLOOKUP($L37,'Boss Editor'!$C:$C,'Boss Editor'!$I:$I,"")/4))*XLOOKUP($L37,'Boss Editor'!$C:$C,'Boss Editor'!$D:$D,""))/100)+5)*XLOOKUP(XLOOKUP($L37,'Boss Editor'!$C:$C,'Boss Editor'!$E:$E,""),'Nature Editor'!$A:$A,'Nature Editor'!$C:$C,1)),FLOOR((FLOOR(((2*XLOOKUP($L37,'Pokemon Editor'!$A:$A,'Pokemon Editor'!$I:$I,0)+31+FLOOR(XLOOKUP($L37,'Boss Editor'!$C:$C,'Boss Editor'!$K:$K,"")/4))*XLOOKUP($L37,'Boss Editor'!$C:$C,'Boss Editor'!$D:$D,""))/100)+5)*XLOOKUP(XLOOKUP($L37,'Boss Editor'!$C:$C,'Boss Editor'!$E:$E,""),'Nature Editor'!$A:$A,'Nature Editor'!$E:$E,1))),stab,IF(OR(mtype=XLOOKUP(XLOOKUP($K37,'Threshold Summary'!$Y:$Y,'Threshold Summary'!$K:$K,""),'Pokemon Editor'!$A:$A,'Pokemon Editor'!$C:$C,""),mtype=XLOOKUP(XLOOKUP($K37,'Threshold Summary'!$Y:$Y,'Threshold Summary'!$K:$K,""),'Pokemon Editor'!$A:$A,'Pokemon Editor'!$D:$D,"")),1.5,1),eff,(INDEX('Type Chart'!$B:$S,MATCH(mtype,'Type Chart'!$A:$A,0),MATCH(XLOOKUP($L37,'Pokemon Editor'!$A:$A,'Pokemon Editor'!$C:$C,""),'Type Chart'!$B$1:$S$1,0))*IF(XLOOKUP($L37,'Pokemon Editor'!$A:$A,'Pokemon Editor'!$D:$D,"")="",1,INDEX('Type Chart'!$B:$S,MATCH(mtype,'Type Chart'!$A:$A,0),MATCH(XLOOKUP($L37,'Pokemon Editor'!$A:$A,'Pokemon Editor'!$D:$D,""),'Type Chart'!$B$1:$S$1,0)))),base,IF(OR(cat="Status",pow=0),0,FLOOR(FLOOR(FLOOR((2*XLOOKUP($K37,'Threshold Summary'!$Y:$Y,'Threshold Summary'!$L:$L,"")/5+2)*pow*atk/def)/50)+2)),modifier,stab*eff,AVERAGE(ARRAYFORMULA(FLOOR(base*modifier*SEQUENCE(16,1,85,1)/100)))/(FLOOR(((2*XLOOKUP($L37,'Pokemon Editor'!$A:$A,'Pokemon Editor'!$E:$E,0)+31+FLOOR(XLOOKUP($L37,'Boss Editor'!$C:$C,'Boss Editor'!$G:$G,"")/4))*XLOOKUP($L37,'Boss Editor'!$C:$C,'Boss Editor'!$D:$D,""))/100)+XLOOKUP($L37,'Boss Editor'!$C:$C,'Boss Editor'!$D:$D,"")+10)),0)</f>
        <v/>
      </c>
      <c r="J37" s="3">
        <f>IF(I37&gt;=1,"OHKO",IF(I37&gt;=0.5,"2HKO",IF(I37&gt;=0.333,"3HKO",IF(I37&gt;=0.25,"4HKO","5HKO+"))))</f>
        <v/>
      </c>
      <c r="K37" s="3" t="inlineStr">
        <is>
          <t>SPECIES_COMBEE</t>
        </is>
      </c>
      <c r="L37" s="3" t="inlineStr">
        <is>
          <t>SPECIES_LILEEP</t>
        </is>
      </c>
    </row>
    <row r="38">
      <c r="A38" s="3">
        <f>XLOOKUP($K38,'Threshold Summary'!$Y:$Y,'Threshold Summary'!$A:$A,"")</f>
        <v/>
      </c>
      <c r="B38" s="3" t="inlineStr">
        <is>
          <t>Tirtouga</t>
        </is>
      </c>
      <c r="C38" s="3">
        <f>XLOOKUP($L38,'Boss Editor'!$C:$C,'Boss Editor'!$D:$D,"")</f>
        <v/>
      </c>
      <c r="D38" s="3">
        <f>XLOOKUP($K38,'Threshold Summary'!$Y:$Y,'Threshold Summary'!$B:$B,"")</f>
        <v/>
      </c>
      <c r="E38" s="3">
        <f>XLOOKUP(D38,'Move Editor'!$B:$B,'Move Editor'!$C:$C,"")</f>
        <v/>
      </c>
      <c r="F38" s="3">
        <f>IFERROR(LET(mtype,XLOOKUP($D38,'Move Editor'!$B:$B,'Move Editor'!$C:$C,""),cat,XLOOKUP($D38,'Move Editor'!$B:$B,'Move Editor'!$D:$D,""),pow,XLOOKUP($D38,'Move Editor'!$B:$B,'Move Editor'!$E:$E,0),acc,XLOOKUP($D38,'Move Editor'!$B:$B,'Move Editor'!$F:$F,100),atk,IF(cat="Physical",FLOOR((FLOOR(((2*XLOOKUP(XLOOKUP($K38,'Threshold Summary'!$Y:$Y,'Threshold Summary'!$K:$K,""),'Pokemon Editor'!$A:$A,'Pokemon Editor'!$F:$F,0)+31+FLOOR(XLOOKUP($K38,'Threshold Summary'!$Y:$Y,'Threshold Summary'!$P:$P,"")/4))*XLOOKUP($K38,'Threshold Summary'!$Y:$Y,'Threshold Summary'!$L:$L,""))/100)+5)*XLOOKUP(XLOOKUP($K38,'Threshold Summary'!$Y:$Y,'Threshold Summary'!$M:$M,""),'Nature Editor'!$A:$A,'Nature Editor'!$B:$B,1)),FLOOR((FLOOR(((2*XLOOKUP(XLOOKUP($K38,'Threshold Summary'!$Y:$Y,'Threshold Summary'!$K:$K,""),'Pokemon Editor'!$A:$A,'Pokemon Editor'!$H:$H,0)+31+FLOOR(XLOOKUP($K38,'Threshold Summary'!$Y:$Y,'Threshold Summary'!$R:$R,"")/4))*XLOOKUP($K38,'Threshold Summary'!$Y:$Y,'Threshold Summary'!$L:$L,""))/100)+5)*XLOOKUP(XLOOKUP($K38,'Threshold Summary'!$Y:$Y,'Threshold Summary'!$M:$M,""),'Nature Editor'!$A:$A,'Nature Editor'!$D:$D,1))),def,IF(cat="Physical",FLOOR((FLOOR(((2*XLOOKUP($L38,'Pokemon Editor'!$A:$A,'Pokemon Editor'!$G:$G,0)+31+FLOOR(XLOOKUP($L38,'Boss Editor'!$C:$C,'Boss Editor'!$I:$I,"")/4))*XLOOKUP($L38,'Boss Editor'!$C:$C,'Boss Editor'!$D:$D,""))/100)+5)*XLOOKUP(XLOOKUP($L38,'Boss Editor'!$C:$C,'Boss Editor'!$E:$E,""),'Nature Editor'!$A:$A,'Nature Editor'!$C:$C,1)),FLOOR((FLOOR(((2*XLOOKUP($L38,'Pokemon Editor'!$A:$A,'Pokemon Editor'!$I:$I,0)+31+FLOOR(XLOOKUP($L38,'Boss Editor'!$C:$C,'Boss Editor'!$K:$K,"")/4))*XLOOKUP($L38,'Boss Editor'!$C:$C,'Boss Editor'!$D:$D,""))/100)+5)*XLOOKUP(XLOOKUP($L38,'Boss Editor'!$C:$C,'Boss Editor'!$E:$E,""),'Nature Editor'!$A:$A,'Nature Editor'!$E:$E,1))),stab,IF(OR(mtype=XLOOKUP(XLOOKUP($K38,'Threshold Summary'!$Y:$Y,'Threshold Summary'!$K:$K,""),'Pokemon Editor'!$A:$A,'Pokemon Editor'!$C:$C,""),mtype=XLOOKUP(XLOOKUP($K38,'Threshold Summary'!$Y:$Y,'Threshold Summary'!$K:$K,""),'Pokemon Editor'!$A:$A,'Pokemon Editor'!$D:$D,"")),1.5,1),eff,(INDEX('Type Chart'!$B:$S,MATCH(mtype,'Type Chart'!$A:$A,0),MATCH(XLOOKUP($L38,'Pokemon Editor'!$A:$A,'Pokemon Editor'!$C:$C,""),'Type Chart'!$B$1:$S$1,0))*IF(XLOOKUP($L38,'Pokemon Editor'!$A:$A,'Pokemon Editor'!$D:$D,"")="",1,INDEX('Type Chart'!$B:$S,MATCH(mtype,'Type Chart'!$A:$A,0),MATCH(XLOOKUP($L38,'Pokemon Editor'!$A:$A,'Pokemon Editor'!$D:$D,""),'Type Chart'!$B$1:$S$1,0)))),base,IF(OR(cat="Status",pow=0),0,FLOOR(FLOOR(FLOOR((2*XLOOKUP($K38,'Threshold Summary'!$Y:$Y,'Threshold Summary'!$L:$L,"")/5+2)*pow*atk/def)/50)+2)),modifier,stab*eff,FLOOR(base*modifier*0.85)),0)</f>
        <v/>
      </c>
      <c r="G38" s="3">
        <f>IFERROR(LET(mtype,XLOOKUP($D38,'Move Editor'!$B:$B,'Move Editor'!$C:$C,""),cat,XLOOKUP($D38,'Move Editor'!$B:$B,'Move Editor'!$D:$D,""),pow,XLOOKUP($D38,'Move Editor'!$B:$B,'Move Editor'!$E:$E,0),acc,XLOOKUP($D38,'Move Editor'!$B:$B,'Move Editor'!$F:$F,100),atk,IF(cat="Physical",FLOOR((FLOOR(((2*XLOOKUP(XLOOKUP($K38,'Threshold Summary'!$Y:$Y,'Threshold Summary'!$K:$K,""),'Pokemon Editor'!$A:$A,'Pokemon Editor'!$F:$F,0)+31+FLOOR(XLOOKUP($K38,'Threshold Summary'!$Y:$Y,'Threshold Summary'!$P:$P,"")/4))*XLOOKUP($K38,'Threshold Summary'!$Y:$Y,'Threshold Summary'!$L:$L,""))/100)+5)*XLOOKUP(XLOOKUP($K38,'Threshold Summary'!$Y:$Y,'Threshold Summary'!$M:$M,""),'Nature Editor'!$A:$A,'Nature Editor'!$B:$B,1)),FLOOR((FLOOR(((2*XLOOKUP(XLOOKUP($K38,'Threshold Summary'!$Y:$Y,'Threshold Summary'!$K:$K,""),'Pokemon Editor'!$A:$A,'Pokemon Editor'!$H:$H,0)+31+FLOOR(XLOOKUP($K38,'Threshold Summary'!$Y:$Y,'Threshold Summary'!$R:$R,"")/4))*XLOOKUP($K38,'Threshold Summary'!$Y:$Y,'Threshold Summary'!$L:$L,""))/100)+5)*XLOOKUP(XLOOKUP($K38,'Threshold Summary'!$Y:$Y,'Threshold Summary'!$M:$M,""),'Nature Editor'!$A:$A,'Nature Editor'!$D:$D,1))),def,IF(cat="Physical",FLOOR((FLOOR(((2*XLOOKUP($L38,'Pokemon Editor'!$A:$A,'Pokemon Editor'!$G:$G,0)+31+FLOOR(XLOOKUP($L38,'Boss Editor'!$C:$C,'Boss Editor'!$I:$I,"")/4))*XLOOKUP($L38,'Boss Editor'!$C:$C,'Boss Editor'!$D:$D,""))/100)+5)*XLOOKUP(XLOOKUP($L38,'Boss Editor'!$C:$C,'Boss Editor'!$E:$E,""),'Nature Editor'!$A:$A,'Nature Editor'!$C:$C,1)),FLOOR((FLOOR(((2*XLOOKUP($L38,'Pokemon Editor'!$A:$A,'Pokemon Editor'!$I:$I,0)+31+FLOOR(XLOOKUP($L38,'Boss Editor'!$C:$C,'Boss Editor'!$K:$K,"")/4))*XLOOKUP($L38,'Boss Editor'!$C:$C,'Boss Editor'!$D:$D,""))/100)+5)*XLOOKUP(XLOOKUP($L38,'Boss Editor'!$C:$C,'Boss Editor'!$E:$E,""),'Nature Editor'!$A:$A,'Nature Editor'!$E:$E,1))),stab,IF(OR(mtype=XLOOKUP(XLOOKUP($K38,'Threshold Summary'!$Y:$Y,'Threshold Summary'!$K:$K,""),'Pokemon Editor'!$A:$A,'Pokemon Editor'!$C:$C,""),mtype=XLOOKUP(XLOOKUP($K38,'Threshold Summary'!$Y:$Y,'Threshold Summary'!$K:$K,""),'Pokemon Editor'!$A:$A,'Pokemon Editor'!$D:$D,"")),1.5,1),eff,(INDEX('Type Chart'!$B:$S,MATCH(mtype,'Type Chart'!$A:$A,0),MATCH(XLOOKUP($L38,'Pokemon Editor'!$A:$A,'Pokemon Editor'!$C:$C,""),'Type Chart'!$B$1:$S$1,0))*IF(XLOOKUP($L38,'Pokemon Editor'!$A:$A,'Pokemon Editor'!$D:$D,"")="",1,INDEX('Type Chart'!$B:$S,MATCH(mtype,'Type Chart'!$A:$A,0),MATCH(XLOOKUP($L38,'Pokemon Editor'!$A:$A,'Pokemon Editor'!$D:$D,""),'Type Chart'!$B$1:$S$1,0)))),base,IF(OR(cat="Status",pow=0),0,FLOOR(FLOOR(FLOOR((2*XLOOKUP($K38,'Threshold Summary'!$Y:$Y,'Threshold Summary'!$L:$L,"")/5+2)*pow*atk/def)/50)+2)),modifier,stab*eff,FLOOR(base*modifier)),0)</f>
        <v/>
      </c>
      <c r="H38" s="3">
        <f>IFERROR(LET(mtype,XLOOKUP($D38,'Move Editor'!$B:$B,'Move Editor'!$C:$C,""),cat,XLOOKUP($D38,'Move Editor'!$B:$B,'Move Editor'!$D:$D,""),pow,XLOOKUP($D38,'Move Editor'!$B:$B,'Move Editor'!$E:$E,0),acc,XLOOKUP($D38,'Move Editor'!$B:$B,'Move Editor'!$F:$F,100),atk,IF(cat="Physical",FLOOR((FLOOR(((2*XLOOKUP(XLOOKUP($K38,'Threshold Summary'!$Y:$Y,'Threshold Summary'!$K:$K,""),'Pokemon Editor'!$A:$A,'Pokemon Editor'!$F:$F,0)+31+FLOOR(XLOOKUP($K38,'Threshold Summary'!$Y:$Y,'Threshold Summary'!$P:$P,"")/4))*XLOOKUP($K38,'Threshold Summary'!$Y:$Y,'Threshold Summary'!$L:$L,""))/100)+5)*XLOOKUP(XLOOKUP($K38,'Threshold Summary'!$Y:$Y,'Threshold Summary'!$M:$M,""),'Nature Editor'!$A:$A,'Nature Editor'!$B:$B,1)),FLOOR((FLOOR(((2*XLOOKUP(XLOOKUP($K38,'Threshold Summary'!$Y:$Y,'Threshold Summary'!$K:$K,""),'Pokemon Editor'!$A:$A,'Pokemon Editor'!$H:$H,0)+31+FLOOR(XLOOKUP($K38,'Threshold Summary'!$Y:$Y,'Threshold Summary'!$R:$R,"")/4))*XLOOKUP($K38,'Threshold Summary'!$Y:$Y,'Threshold Summary'!$L:$L,""))/100)+5)*XLOOKUP(XLOOKUP($K38,'Threshold Summary'!$Y:$Y,'Threshold Summary'!$M:$M,""),'Nature Editor'!$A:$A,'Nature Editor'!$D:$D,1))),def,IF(cat="Physical",FLOOR((FLOOR(((2*XLOOKUP($L38,'Pokemon Editor'!$A:$A,'Pokemon Editor'!$G:$G,0)+31+FLOOR(XLOOKUP($L38,'Boss Editor'!$C:$C,'Boss Editor'!$I:$I,"")/4))*XLOOKUP($L38,'Boss Editor'!$C:$C,'Boss Editor'!$D:$D,""))/100)+5)*XLOOKUP(XLOOKUP($L38,'Boss Editor'!$C:$C,'Boss Editor'!$E:$E,""),'Nature Editor'!$A:$A,'Nature Editor'!$C:$C,1)),FLOOR((FLOOR(((2*XLOOKUP($L38,'Pokemon Editor'!$A:$A,'Pokemon Editor'!$I:$I,0)+31+FLOOR(XLOOKUP($L38,'Boss Editor'!$C:$C,'Boss Editor'!$K:$K,"")/4))*XLOOKUP($L38,'Boss Editor'!$C:$C,'Boss Editor'!$D:$D,""))/100)+5)*XLOOKUP(XLOOKUP($L38,'Boss Editor'!$C:$C,'Boss Editor'!$E:$E,""),'Nature Editor'!$A:$A,'Nature Editor'!$E:$E,1))),stab,IF(OR(mtype=XLOOKUP(XLOOKUP($K38,'Threshold Summary'!$Y:$Y,'Threshold Summary'!$K:$K,""),'Pokemon Editor'!$A:$A,'Pokemon Editor'!$C:$C,""),mtype=XLOOKUP(XLOOKUP($K38,'Threshold Summary'!$Y:$Y,'Threshold Summary'!$K:$K,""),'Pokemon Editor'!$A:$A,'Pokemon Editor'!$D:$D,"")),1.5,1),eff,(INDEX('Type Chart'!$B:$S,MATCH(mtype,'Type Chart'!$A:$A,0),MATCH(XLOOKUP($L38,'Pokemon Editor'!$A:$A,'Pokemon Editor'!$C:$C,""),'Type Chart'!$B$1:$S$1,0))*IF(XLOOKUP($L38,'Pokemon Editor'!$A:$A,'Pokemon Editor'!$D:$D,"")="",1,INDEX('Type Chart'!$B:$S,MATCH(mtype,'Type Chart'!$A:$A,0),MATCH(XLOOKUP($L38,'Pokemon Editor'!$A:$A,'Pokemon Editor'!$D:$D,""),'Type Chart'!$B$1:$S$1,0)))),base,IF(OR(cat="Status",pow=0),0,FLOOR(FLOOR(FLOOR((2*XLOOKUP($K38,'Threshold Summary'!$Y:$Y,'Threshold Summary'!$L:$L,"")/5+2)*pow*atk/def)/50)+2)),modifier,stab*eff,AVERAGE(ARRAYFORMULA(FLOOR(base*modifier*SEQUENCE(16,1,85,1)/100)))),0)</f>
        <v/>
      </c>
      <c r="I38" s="4">
        <f>IFERROR(LET(mtype,XLOOKUP($D38,'Move Editor'!$B:$B,'Move Editor'!$C:$C,""),cat,XLOOKUP($D38,'Move Editor'!$B:$B,'Move Editor'!$D:$D,""),pow,XLOOKUP($D38,'Move Editor'!$B:$B,'Move Editor'!$E:$E,0),acc,XLOOKUP($D38,'Move Editor'!$B:$B,'Move Editor'!$F:$F,100),atk,IF(cat="Physical",FLOOR((FLOOR(((2*XLOOKUP(XLOOKUP($K38,'Threshold Summary'!$Y:$Y,'Threshold Summary'!$K:$K,""),'Pokemon Editor'!$A:$A,'Pokemon Editor'!$F:$F,0)+31+FLOOR(XLOOKUP($K38,'Threshold Summary'!$Y:$Y,'Threshold Summary'!$P:$P,"")/4))*XLOOKUP($K38,'Threshold Summary'!$Y:$Y,'Threshold Summary'!$L:$L,""))/100)+5)*XLOOKUP(XLOOKUP($K38,'Threshold Summary'!$Y:$Y,'Threshold Summary'!$M:$M,""),'Nature Editor'!$A:$A,'Nature Editor'!$B:$B,1)),FLOOR((FLOOR(((2*XLOOKUP(XLOOKUP($K38,'Threshold Summary'!$Y:$Y,'Threshold Summary'!$K:$K,""),'Pokemon Editor'!$A:$A,'Pokemon Editor'!$H:$H,0)+31+FLOOR(XLOOKUP($K38,'Threshold Summary'!$Y:$Y,'Threshold Summary'!$R:$R,"")/4))*XLOOKUP($K38,'Threshold Summary'!$Y:$Y,'Threshold Summary'!$L:$L,""))/100)+5)*XLOOKUP(XLOOKUP($K38,'Threshold Summary'!$Y:$Y,'Threshold Summary'!$M:$M,""),'Nature Editor'!$A:$A,'Nature Editor'!$D:$D,1))),def,IF(cat="Physical",FLOOR((FLOOR(((2*XLOOKUP($L38,'Pokemon Editor'!$A:$A,'Pokemon Editor'!$G:$G,0)+31+FLOOR(XLOOKUP($L38,'Boss Editor'!$C:$C,'Boss Editor'!$I:$I,"")/4))*XLOOKUP($L38,'Boss Editor'!$C:$C,'Boss Editor'!$D:$D,""))/100)+5)*XLOOKUP(XLOOKUP($L38,'Boss Editor'!$C:$C,'Boss Editor'!$E:$E,""),'Nature Editor'!$A:$A,'Nature Editor'!$C:$C,1)),FLOOR((FLOOR(((2*XLOOKUP($L38,'Pokemon Editor'!$A:$A,'Pokemon Editor'!$I:$I,0)+31+FLOOR(XLOOKUP($L38,'Boss Editor'!$C:$C,'Boss Editor'!$K:$K,"")/4))*XLOOKUP($L38,'Boss Editor'!$C:$C,'Boss Editor'!$D:$D,""))/100)+5)*XLOOKUP(XLOOKUP($L38,'Boss Editor'!$C:$C,'Boss Editor'!$E:$E,""),'Nature Editor'!$A:$A,'Nature Editor'!$E:$E,1))),stab,IF(OR(mtype=XLOOKUP(XLOOKUP($K38,'Threshold Summary'!$Y:$Y,'Threshold Summary'!$K:$K,""),'Pokemon Editor'!$A:$A,'Pokemon Editor'!$C:$C,""),mtype=XLOOKUP(XLOOKUP($K38,'Threshold Summary'!$Y:$Y,'Threshold Summary'!$K:$K,""),'Pokemon Editor'!$A:$A,'Pokemon Editor'!$D:$D,"")),1.5,1),eff,(INDEX('Type Chart'!$B:$S,MATCH(mtype,'Type Chart'!$A:$A,0),MATCH(XLOOKUP($L38,'Pokemon Editor'!$A:$A,'Pokemon Editor'!$C:$C,""),'Type Chart'!$B$1:$S$1,0))*IF(XLOOKUP($L38,'Pokemon Editor'!$A:$A,'Pokemon Editor'!$D:$D,"")="",1,INDEX('Type Chart'!$B:$S,MATCH(mtype,'Type Chart'!$A:$A,0),MATCH(XLOOKUP($L38,'Pokemon Editor'!$A:$A,'Pokemon Editor'!$D:$D,""),'Type Chart'!$B$1:$S$1,0)))),base,IF(OR(cat="Status",pow=0),0,FLOOR(FLOOR(FLOOR((2*XLOOKUP($K38,'Threshold Summary'!$Y:$Y,'Threshold Summary'!$L:$L,"")/5+2)*pow*atk/def)/50)+2)),modifier,stab*eff,AVERAGE(ARRAYFORMULA(FLOOR(base*modifier*SEQUENCE(16,1,85,1)/100)))/(FLOOR(((2*XLOOKUP($L38,'Pokemon Editor'!$A:$A,'Pokemon Editor'!$E:$E,0)+31+FLOOR(XLOOKUP($L38,'Boss Editor'!$C:$C,'Boss Editor'!$G:$G,"")/4))*XLOOKUP($L38,'Boss Editor'!$C:$C,'Boss Editor'!$D:$D,""))/100)+XLOOKUP($L38,'Boss Editor'!$C:$C,'Boss Editor'!$D:$D,"")+10)),0)</f>
        <v/>
      </c>
      <c r="J38" s="3">
        <f>IF(I38&gt;=1,"OHKO",IF(I38&gt;=0.5,"2HKO",IF(I38&gt;=0.333,"3HKO",IF(I38&gt;=0.25,"4HKO","5HKO+"))))</f>
        <v/>
      </c>
      <c r="K38" s="3" t="inlineStr">
        <is>
          <t>SPECIES_DRIFLOON</t>
        </is>
      </c>
      <c r="L38" s="3" t="inlineStr">
        <is>
          <t>SPECIES_TIRTOUGA</t>
        </is>
      </c>
    </row>
    <row r="39">
      <c r="A39" s="3">
        <f>XLOOKUP($K39,'Threshold Summary'!$Y:$Y,'Threshold Summary'!$A:$A,"")</f>
        <v/>
      </c>
      <c r="B39" s="3" t="inlineStr">
        <is>
          <t>Anorith</t>
        </is>
      </c>
      <c r="C39" s="3">
        <f>XLOOKUP($L39,'Boss Editor'!$C:$C,'Boss Editor'!$D:$D,"")</f>
        <v/>
      </c>
      <c r="D39" s="3">
        <f>XLOOKUP($K39,'Threshold Summary'!$Y:$Y,'Threshold Summary'!$B:$B,"")</f>
        <v/>
      </c>
      <c r="E39" s="3">
        <f>XLOOKUP(D39,'Move Editor'!$B:$B,'Move Editor'!$C:$C,"")</f>
        <v/>
      </c>
      <c r="F39" s="3">
        <f>IFERROR(LET(mtype,XLOOKUP($D39,'Move Editor'!$B:$B,'Move Editor'!$C:$C,""),cat,XLOOKUP($D39,'Move Editor'!$B:$B,'Move Editor'!$D:$D,""),pow,XLOOKUP($D39,'Move Editor'!$B:$B,'Move Editor'!$E:$E,0),acc,XLOOKUP($D39,'Move Editor'!$B:$B,'Move Editor'!$F:$F,100),atk,IF(cat="Physical",FLOOR((FLOOR(((2*XLOOKUP(XLOOKUP($K39,'Threshold Summary'!$Y:$Y,'Threshold Summary'!$K:$K,""),'Pokemon Editor'!$A:$A,'Pokemon Editor'!$F:$F,0)+31+FLOOR(XLOOKUP($K39,'Threshold Summary'!$Y:$Y,'Threshold Summary'!$P:$P,"")/4))*XLOOKUP($K39,'Threshold Summary'!$Y:$Y,'Threshold Summary'!$L:$L,""))/100)+5)*XLOOKUP(XLOOKUP($K39,'Threshold Summary'!$Y:$Y,'Threshold Summary'!$M:$M,""),'Nature Editor'!$A:$A,'Nature Editor'!$B:$B,1)),FLOOR((FLOOR(((2*XLOOKUP(XLOOKUP($K39,'Threshold Summary'!$Y:$Y,'Threshold Summary'!$K:$K,""),'Pokemon Editor'!$A:$A,'Pokemon Editor'!$H:$H,0)+31+FLOOR(XLOOKUP($K39,'Threshold Summary'!$Y:$Y,'Threshold Summary'!$R:$R,"")/4))*XLOOKUP($K39,'Threshold Summary'!$Y:$Y,'Threshold Summary'!$L:$L,""))/100)+5)*XLOOKUP(XLOOKUP($K39,'Threshold Summary'!$Y:$Y,'Threshold Summary'!$M:$M,""),'Nature Editor'!$A:$A,'Nature Editor'!$D:$D,1))),def,IF(cat="Physical",FLOOR((FLOOR(((2*XLOOKUP($L39,'Pokemon Editor'!$A:$A,'Pokemon Editor'!$G:$G,0)+31+FLOOR(XLOOKUP($L39,'Boss Editor'!$C:$C,'Boss Editor'!$I:$I,"")/4))*XLOOKUP($L39,'Boss Editor'!$C:$C,'Boss Editor'!$D:$D,""))/100)+5)*XLOOKUP(XLOOKUP($L39,'Boss Editor'!$C:$C,'Boss Editor'!$E:$E,""),'Nature Editor'!$A:$A,'Nature Editor'!$C:$C,1)),FLOOR((FLOOR(((2*XLOOKUP($L39,'Pokemon Editor'!$A:$A,'Pokemon Editor'!$I:$I,0)+31+FLOOR(XLOOKUP($L39,'Boss Editor'!$C:$C,'Boss Editor'!$K:$K,"")/4))*XLOOKUP($L39,'Boss Editor'!$C:$C,'Boss Editor'!$D:$D,""))/100)+5)*XLOOKUP(XLOOKUP($L39,'Boss Editor'!$C:$C,'Boss Editor'!$E:$E,""),'Nature Editor'!$A:$A,'Nature Editor'!$E:$E,1))),stab,IF(OR(mtype=XLOOKUP(XLOOKUP($K39,'Threshold Summary'!$Y:$Y,'Threshold Summary'!$K:$K,""),'Pokemon Editor'!$A:$A,'Pokemon Editor'!$C:$C,""),mtype=XLOOKUP(XLOOKUP($K39,'Threshold Summary'!$Y:$Y,'Threshold Summary'!$K:$K,""),'Pokemon Editor'!$A:$A,'Pokemon Editor'!$D:$D,"")),1.5,1),eff,(INDEX('Type Chart'!$B:$S,MATCH(mtype,'Type Chart'!$A:$A,0),MATCH(XLOOKUP($L39,'Pokemon Editor'!$A:$A,'Pokemon Editor'!$C:$C,""),'Type Chart'!$B$1:$S$1,0))*IF(XLOOKUP($L39,'Pokemon Editor'!$A:$A,'Pokemon Editor'!$D:$D,"")="",1,INDEX('Type Chart'!$B:$S,MATCH(mtype,'Type Chart'!$A:$A,0),MATCH(XLOOKUP($L39,'Pokemon Editor'!$A:$A,'Pokemon Editor'!$D:$D,""),'Type Chart'!$B$1:$S$1,0)))),base,IF(OR(cat="Status",pow=0),0,FLOOR(FLOOR(FLOOR((2*XLOOKUP($K39,'Threshold Summary'!$Y:$Y,'Threshold Summary'!$L:$L,"")/5+2)*pow*atk/def)/50)+2)),modifier,stab*eff,FLOOR(base*modifier*0.85)),0)</f>
        <v/>
      </c>
      <c r="G39" s="3">
        <f>IFERROR(LET(mtype,XLOOKUP($D39,'Move Editor'!$B:$B,'Move Editor'!$C:$C,""),cat,XLOOKUP($D39,'Move Editor'!$B:$B,'Move Editor'!$D:$D,""),pow,XLOOKUP($D39,'Move Editor'!$B:$B,'Move Editor'!$E:$E,0),acc,XLOOKUP($D39,'Move Editor'!$B:$B,'Move Editor'!$F:$F,100),atk,IF(cat="Physical",FLOOR((FLOOR(((2*XLOOKUP(XLOOKUP($K39,'Threshold Summary'!$Y:$Y,'Threshold Summary'!$K:$K,""),'Pokemon Editor'!$A:$A,'Pokemon Editor'!$F:$F,0)+31+FLOOR(XLOOKUP($K39,'Threshold Summary'!$Y:$Y,'Threshold Summary'!$P:$P,"")/4))*XLOOKUP($K39,'Threshold Summary'!$Y:$Y,'Threshold Summary'!$L:$L,""))/100)+5)*XLOOKUP(XLOOKUP($K39,'Threshold Summary'!$Y:$Y,'Threshold Summary'!$M:$M,""),'Nature Editor'!$A:$A,'Nature Editor'!$B:$B,1)),FLOOR((FLOOR(((2*XLOOKUP(XLOOKUP($K39,'Threshold Summary'!$Y:$Y,'Threshold Summary'!$K:$K,""),'Pokemon Editor'!$A:$A,'Pokemon Editor'!$H:$H,0)+31+FLOOR(XLOOKUP($K39,'Threshold Summary'!$Y:$Y,'Threshold Summary'!$R:$R,"")/4))*XLOOKUP($K39,'Threshold Summary'!$Y:$Y,'Threshold Summary'!$L:$L,""))/100)+5)*XLOOKUP(XLOOKUP($K39,'Threshold Summary'!$Y:$Y,'Threshold Summary'!$M:$M,""),'Nature Editor'!$A:$A,'Nature Editor'!$D:$D,1))),def,IF(cat="Physical",FLOOR((FLOOR(((2*XLOOKUP($L39,'Pokemon Editor'!$A:$A,'Pokemon Editor'!$G:$G,0)+31+FLOOR(XLOOKUP($L39,'Boss Editor'!$C:$C,'Boss Editor'!$I:$I,"")/4))*XLOOKUP($L39,'Boss Editor'!$C:$C,'Boss Editor'!$D:$D,""))/100)+5)*XLOOKUP(XLOOKUP($L39,'Boss Editor'!$C:$C,'Boss Editor'!$E:$E,""),'Nature Editor'!$A:$A,'Nature Editor'!$C:$C,1)),FLOOR((FLOOR(((2*XLOOKUP($L39,'Pokemon Editor'!$A:$A,'Pokemon Editor'!$I:$I,0)+31+FLOOR(XLOOKUP($L39,'Boss Editor'!$C:$C,'Boss Editor'!$K:$K,"")/4))*XLOOKUP($L39,'Boss Editor'!$C:$C,'Boss Editor'!$D:$D,""))/100)+5)*XLOOKUP(XLOOKUP($L39,'Boss Editor'!$C:$C,'Boss Editor'!$E:$E,""),'Nature Editor'!$A:$A,'Nature Editor'!$E:$E,1))),stab,IF(OR(mtype=XLOOKUP(XLOOKUP($K39,'Threshold Summary'!$Y:$Y,'Threshold Summary'!$K:$K,""),'Pokemon Editor'!$A:$A,'Pokemon Editor'!$C:$C,""),mtype=XLOOKUP(XLOOKUP($K39,'Threshold Summary'!$Y:$Y,'Threshold Summary'!$K:$K,""),'Pokemon Editor'!$A:$A,'Pokemon Editor'!$D:$D,"")),1.5,1),eff,(INDEX('Type Chart'!$B:$S,MATCH(mtype,'Type Chart'!$A:$A,0),MATCH(XLOOKUP($L39,'Pokemon Editor'!$A:$A,'Pokemon Editor'!$C:$C,""),'Type Chart'!$B$1:$S$1,0))*IF(XLOOKUP($L39,'Pokemon Editor'!$A:$A,'Pokemon Editor'!$D:$D,"")="",1,INDEX('Type Chart'!$B:$S,MATCH(mtype,'Type Chart'!$A:$A,0),MATCH(XLOOKUP($L39,'Pokemon Editor'!$A:$A,'Pokemon Editor'!$D:$D,""),'Type Chart'!$B$1:$S$1,0)))),base,IF(OR(cat="Status",pow=0),0,FLOOR(FLOOR(FLOOR((2*XLOOKUP($K39,'Threshold Summary'!$Y:$Y,'Threshold Summary'!$L:$L,"")/5+2)*pow*atk/def)/50)+2)),modifier,stab*eff,FLOOR(base*modifier)),0)</f>
        <v/>
      </c>
      <c r="H39" s="3">
        <f>IFERROR(LET(mtype,XLOOKUP($D39,'Move Editor'!$B:$B,'Move Editor'!$C:$C,""),cat,XLOOKUP($D39,'Move Editor'!$B:$B,'Move Editor'!$D:$D,""),pow,XLOOKUP($D39,'Move Editor'!$B:$B,'Move Editor'!$E:$E,0),acc,XLOOKUP($D39,'Move Editor'!$B:$B,'Move Editor'!$F:$F,100),atk,IF(cat="Physical",FLOOR((FLOOR(((2*XLOOKUP(XLOOKUP($K39,'Threshold Summary'!$Y:$Y,'Threshold Summary'!$K:$K,""),'Pokemon Editor'!$A:$A,'Pokemon Editor'!$F:$F,0)+31+FLOOR(XLOOKUP($K39,'Threshold Summary'!$Y:$Y,'Threshold Summary'!$P:$P,"")/4))*XLOOKUP($K39,'Threshold Summary'!$Y:$Y,'Threshold Summary'!$L:$L,""))/100)+5)*XLOOKUP(XLOOKUP($K39,'Threshold Summary'!$Y:$Y,'Threshold Summary'!$M:$M,""),'Nature Editor'!$A:$A,'Nature Editor'!$B:$B,1)),FLOOR((FLOOR(((2*XLOOKUP(XLOOKUP($K39,'Threshold Summary'!$Y:$Y,'Threshold Summary'!$K:$K,""),'Pokemon Editor'!$A:$A,'Pokemon Editor'!$H:$H,0)+31+FLOOR(XLOOKUP($K39,'Threshold Summary'!$Y:$Y,'Threshold Summary'!$R:$R,"")/4))*XLOOKUP($K39,'Threshold Summary'!$Y:$Y,'Threshold Summary'!$L:$L,""))/100)+5)*XLOOKUP(XLOOKUP($K39,'Threshold Summary'!$Y:$Y,'Threshold Summary'!$M:$M,""),'Nature Editor'!$A:$A,'Nature Editor'!$D:$D,1))),def,IF(cat="Physical",FLOOR((FLOOR(((2*XLOOKUP($L39,'Pokemon Editor'!$A:$A,'Pokemon Editor'!$G:$G,0)+31+FLOOR(XLOOKUP($L39,'Boss Editor'!$C:$C,'Boss Editor'!$I:$I,"")/4))*XLOOKUP($L39,'Boss Editor'!$C:$C,'Boss Editor'!$D:$D,""))/100)+5)*XLOOKUP(XLOOKUP($L39,'Boss Editor'!$C:$C,'Boss Editor'!$E:$E,""),'Nature Editor'!$A:$A,'Nature Editor'!$C:$C,1)),FLOOR((FLOOR(((2*XLOOKUP($L39,'Pokemon Editor'!$A:$A,'Pokemon Editor'!$I:$I,0)+31+FLOOR(XLOOKUP($L39,'Boss Editor'!$C:$C,'Boss Editor'!$K:$K,"")/4))*XLOOKUP($L39,'Boss Editor'!$C:$C,'Boss Editor'!$D:$D,""))/100)+5)*XLOOKUP(XLOOKUP($L39,'Boss Editor'!$C:$C,'Boss Editor'!$E:$E,""),'Nature Editor'!$A:$A,'Nature Editor'!$E:$E,1))),stab,IF(OR(mtype=XLOOKUP(XLOOKUP($K39,'Threshold Summary'!$Y:$Y,'Threshold Summary'!$K:$K,""),'Pokemon Editor'!$A:$A,'Pokemon Editor'!$C:$C,""),mtype=XLOOKUP(XLOOKUP($K39,'Threshold Summary'!$Y:$Y,'Threshold Summary'!$K:$K,""),'Pokemon Editor'!$A:$A,'Pokemon Editor'!$D:$D,"")),1.5,1),eff,(INDEX('Type Chart'!$B:$S,MATCH(mtype,'Type Chart'!$A:$A,0),MATCH(XLOOKUP($L39,'Pokemon Editor'!$A:$A,'Pokemon Editor'!$C:$C,""),'Type Chart'!$B$1:$S$1,0))*IF(XLOOKUP($L39,'Pokemon Editor'!$A:$A,'Pokemon Editor'!$D:$D,"")="",1,INDEX('Type Chart'!$B:$S,MATCH(mtype,'Type Chart'!$A:$A,0),MATCH(XLOOKUP($L39,'Pokemon Editor'!$A:$A,'Pokemon Editor'!$D:$D,""),'Type Chart'!$B$1:$S$1,0)))),base,IF(OR(cat="Status",pow=0),0,FLOOR(FLOOR(FLOOR((2*XLOOKUP($K39,'Threshold Summary'!$Y:$Y,'Threshold Summary'!$L:$L,"")/5+2)*pow*atk/def)/50)+2)),modifier,stab*eff,AVERAGE(ARRAYFORMULA(FLOOR(base*modifier*SEQUENCE(16,1,85,1)/100)))),0)</f>
        <v/>
      </c>
      <c r="I39" s="4">
        <f>IFERROR(LET(mtype,XLOOKUP($D39,'Move Editor'!$B:$B,'Move Editor'!$C:$C,""),cat,XLOOKUP($D39,'Move Editor'!$B:$B,'Move Editor'!$D:$D,""),pow,XLOOKUP($D39,'Move Editor'!$B:$B,'Move Editor'!$E:$E,0),acc,XLOOKUP($D39,'Move Editor'!$B:$B,'Move Editor'!$F:$F,100),atk,IF(cat="Physical",FLOOR((FLOOR(((2*XLOOKUP(XLOOKUP($K39,'Threshold Summary'!$Y:$Y,'Threshold Summary'!$K:$K,""),'Pokemon Editor'!$A:$A,'Pokemon Editor'!$F:$F,0)+31+FLOOR(XLOOKUP($K39,'Threshold Summary'!$Y:$Y,'Threshold Summary'!$P:$P,"")/4))*XLOOKUP($K39,'Threshold Summary'!$Y:$Y,'Threshold Summary'!$L:$L,""))/100)+5)*XLOOKUP(XLOOKUP($K39,'Threshold Summary'!$Y:$Y,'Threshold Summary'!$M:$M,""),'Nature Editor'!$A:$A,'Nature Editor'!$B:$B,1)),FLOOR((FLOOR(((2*XLOOKUP(XLOOKUP($K39,'Threshold Summary'!$Y:$Y,'Threshold Summary'!$K:$K,""),'Pokemon Editor'!$A:$A,'Pokemon Editor'!$H:$H,0)+31+FLOOR(XLOOKUP($K39,'Threshold Summary'!$Y:$Y,'Threshold Summary'!$R:$R,"")/4))*XLOOKUP($K39,'Threshold Summary'!$Y:$Y,'Threshold Summary'!$L:$L,""))/100)+5)*XLOOKUP(XLOOKUP($K39,'Threshold Summary'!$Y:$Y,'Threshold Summary'!$M:$M,""),'Nature Editor'!$A:$A,'Nature Editor'!$D:$D,1))),def,IF(cat="Physical",FLOOR((FLOOR(((2*XLOOKUP($L39,'Pokemon Editor'!$A:$A,'Pokemon Editor'!$G:$G,0)+31+FLOOR(XLOOKUP($L39,'Boss Editor'!$C:$C,'Boss Editor'!$I:$I,"")/4))*XLOOKUP($L39,'Boss Editor'!$C:$C,'Boss Editor'!$D:$D,""))/100)+5)*XLOOKUP(XLOOKUP($L39,'Boss Editor'!$C:$C,'Boss Editor'!$E:$E,""),'Nature Editor'!$A:$A,'Nature Editor'!$C:$C,1)),FLOOR((FLOOR(((2*XLOOKUP($L39,'Pokemon Editor'!$A:$A,'Pokemon Editor'!$I:$I,0)+31+FLOOR(XLOOKUP($L39,'Boss Editor'!$C:$C,'Boss Editor'!$K:$K,"")/4))*XLOOKUP($L39,'Boss Editor'!$C:$C,'Boss Editor'!$D:$D,""))/100)+5)*XLOOKUP(XLOOKUP($L39,'Boss Editor'!$C:$C,'Boss Editor'!$E:$E,""),'Nature Editor'!$A:$A,'Nature Editor'!$E:$E,1))),stab,IF(OR(mtype=XLOOKUP(XLOOKUP($K39,'Threshold Summary'!$Y:$Y,'Threshold Summary'!$K:$K,""),'Pokemon Editor'!$A:$A,'Pokemon Editor'!$C:$C,""),mtype=XLOOKUP(XLOOKUP($K39,'Threshold Summary'!$Y:$Y,'Threshold Summary'!$K:$K,""),'Pokemon Editor'!$A:$A,'Pokemon Editor'!$D:$D,"")),1.5,1),eff,(INDEX('Type Chart'!$B:$S,MATCH(mtype,'Type Chart'!$A:$A,0),MATCH(XLOOKUP($L39,'Pokemon Editor'!$A:$A,'Pokemon Editor'!$C:$C,""),'Type Chart'!$B$1:$S$1,0))*IF(XLOOKUP($L39,'Pokemon Editor'!$A:$A,'Pokemon Editor'!$D:$D,"")="",1,INDEX('Type Chart'!$B:$S,MATCH(mtype,'Type Chart'!$A:$A,0),MATCH(XLOOKUP($L39,'Pokemon Editor'!$A:$A,'Pokemon Editor'!$D:$D,""),'Type Chart'!$B$1:$S$1,0)))),base,IF(OR(cat="Status",pow=0),0,FLOOR(FLOOR(FLOOR((2*XLOOKUP($K39,'Threshold Summary'!$Y:$Y,'Threshold Summary'!$L:$L,"")/5+2)*pow*atk/def)/50)+2)),modifier,stab*eff,AVERAGE(ARRAYFORMULA(FLOOR(base*modifier*SEQUENCE(16,1,85,1)/100)))/(FLOOR(((2*XLOOKUP($L39,'Pokemon Editor'!$A:$A,'Pokemon Editor'!$E:$E,0)+31+FLOOR(XLOOKUP($L39,'Boss Editor'!$C:$C,'Boss Editor'!$G:$G,"")/4))*XLOOKUP($L39,'Boss Editor'!$C:$C,'Boss Editor'!$D:$D,""))/100)+XLOOKUP($L39,'Boss Editor'!$C:$C,'Boss Editor'!$D:$D,"")+10)),0)</f>
        <v/>
      </c>
      <c r="J39" s="3">
        <f>IF(I39&gt;=1,"OHKO",IF(I39&gt;=0.5,"2HKO",IF(I39&gt;=0.333,"3HKO",IF(I39&gt;=0.25,"4HKO","5HKO+"))))</f>
        <v/>
      </c>
      <c r="K39" s="3" t="inlineStr">
        <is>
          <t>SPECIES_DRIFLOON</t>
        </is>
      </c>
      <c r="L39" s="3" t="inlineStr">
        <is>
          <t>SPECIES_ANORITH</t>
        </is>
      </c>
    </row>
    <row r="40">
      <c r="A40" s="3">
        <f>XLOOKUP($K40,'Threshold Summary'!$Y:$Y,'Threshold Summary'!$A:$A,"")</f>
        <v/>
      </c>
      <c r="B40" s="3" t="inlineStr">
        <is>
          <t>Lileep</t>
        </is>
      </c>
      <c r="C40" s="3">
        <f>XLOOKUP($L40,'Boss Editor'!$C:$C,'Boss Editor'!$D:$D,"")</f>
        <v/>
      </c>
      <c r="D40" s="3">
        <f>XLOOKUP($K40,'Threshold Summary'!$Y:$Y,'Threshold Summary'!$B:$B,"")</f>
        <v/>
      </c>
      <c r="E40" s="3">
        <f>XLOOKUP(D40,'Move Editor'!$B:$B,'Move Editor'!$C:$C,"")</f>
        <v/>
      </c>
      <c r="F40" s="3">
        <f>IFERROR(LET(mtype,XLOOKUP($D40,'Move Editor'!$B:$B,'Move Editor'!$C:$C,""),cat,XLOOKUP($D40,'Move Editor'!$B:$B,'Move Editor'!$D:$D,""),pow,XLOOKUP($D40,'Move Editor'!$B:$B,'Move Editor'!$E:$E,0),acc,XLOOKUP($D40,'Move Editor'!$B:$B,'Move Editor'!$F:$F,100),atk,IF(cat="Physical",FLOOR((FLOOR(((2*XLOOKUP(XLOOKUP($K40,'Threshold Summary'!$Y:$Y,'Threshold Summary'!$K:$K,""),'Pokemon Editor'!$A:$A,'Pokemon Editor'!$F:$F,0)+31+FLOOR(XLOOKUP($K40,'Threshold Summary'!$Y:$Y,'Threshold Summary'!$P:$P,"")/4))*XLOOKUP($K40,'Threshold Summary'!$Y:$Y,'Threshold Summary'!$L:$L,""))/100)+5)*XLOOKUP(XLOOKUP($K40,'Threshold Summary'!$Y:$Y,'Threshold Summary'!$M:$M,""),'Nature Editor'!$A:$A,'Nature Editor'!$B:$B,1)),FLOOR((FLOOR(((2*XLOOKUP(XLOOKUP($K40,'Threshold Summary'!$Y:$Y,'Threshold Summary'!$K:$K,""),'Pokemon Editor'!$A:$A,'Pokemon Editor'!$H:$H,0)+31+FLOOR(XLOOKUP($K40,'Threshold Summary'!$Y:$Y,'Threshold Summary'!$R:$R,"")/4))*XLOOKUP($K40,'Threshold Summary'!$Y:$Y,'Threshold Summary'!$L:$L,""))/100)+5)*XLOOKUP(XLOOKUP($K40,'Threshold Summary'!$Y:$Y,'Threshold Summary'!$M:$M,""),'Nature Editor'!$A:$A,'Nature Editor'!$D:$D,1))),def,IF(cat="Physical",FLOOR((FLOOR(((2*XLOOKUP($L40,'Pokemon Editor'!$A:$A,'Pokemon Editor'!$G:$G,0)+31+FLOOR(XLOOKUP($L40,'Boss Editor'!$C:$C,'Boss Editor'!$I:$I,"")/4))*XLOOKUP($L40,'Boss Editor'!$C:$C,'Boss Editor'!$D:$D,""))/100)+5)*XLOOKUP(XLOOKUP($L40,'Boss Editor'!$C:$C,'Boss Editor'!$E:$E,""),'Nature Editor'!$A:$A,'Nature Editor'!$C:$C,1)),FLOOR((FLOOR(((2*XLOOKUP($L40,'Pokemon Editor'!$A:$A,'Pokemon Editor'!$I:$I,0)+31+FLOOR(XLOOKUP($L40,'Boss Editor'!$C:$C,'Boss Editor'!$K:$K,"")/4))*XLOOKUP($L40,'Boss Editor'!$C:$C,'Boss Editor'!$D:$D,""))/100)+5)*XLOOKUP(XLOOKUP($L40,'Boss Editor'!$C:$C,'Boss Editor'!$E:$E,""),'Nature Editor'!$A:$A,'Nature Editor'!$E:$E,1))),stab,IF(OR(mtype=XLOOKUP(XLOOKUP($K40,'Threshold Summary'!$Y:$Y,'Threshold Summary'!$K:$K,""),'Pokemon Editor'!$A:$A,'Pokemon Editor'!$C:$C,""),mtype=XLOOKUP(XLOOKUP($K40,'Threshold Summary'!$Y:$Y,'Threshold Summary'!$K:$K,""),'Pokemon Editor'!$A:$A,'Pokemon Editor'!$D:$D,"")),1.5,1),eff,(INDEX('Type Chart'!$B:$S,MATCH(mtype,'Type Chart'!$A:$A,0),MATCH(XLOOKUP($L40,'Pokemon Editor'!$A:$A,'Pokemon Editor'!$C:$C,""),'Type Chart'!$B$1:$S$1,0))*IF(XLOOKUP($L40,'Pokemon Editor'!$A:$A,'Pokemon Editor'!$D:$D,"")="",1,INDEX('Type Chart'!$B:$S,MATCH(mtype,'Type Chart'!$A:$A,0),MATCH(XLOOKUP($L40,'Pokemon Editor'!$A:$A,'Pokemon Editor'!$D:$D,""),'Type Chart'!$B$1:$S$1,0)))),base,IF(OR(cat="Status",pow=0),0,FLOOR(FLOOR(FLOOR((2*XLOOKUP($K40,'Threshold Summary'!$Y:$Y,'Threshold Summary'!$L:$L,"")/5+2)*pow*atk/def)/50)+2)),modifier,stab*eff,FLOOR(base*modifier*0.85)),0)</f>
        <v/>
      </c>
      <c r="G40" s="3">
        <f>IFERROR(LET(mtype,XLOOKUP($D40,'Move Editor'!$B:$B,'Move Editor'!$C:$C,""),cat,XLOOKUP($D40,'Move Editor'!$B:$B,'Move Editor'!$D:$D,""),pow,XLOOKUP($D40,'Move Editor'!$B:$B,'Move Editor'!$E:$E,0),acc,XLOOKUP($D40,'Move Editor'!$B:$B,'Move Editor'!$F:$F,100),atk,IF(cat="Physical",FLOOR((FLOOR(((2*XLOOKUP(XLOOKUP($K40,'Threshold Summary'!$Y:$Y,'Threshold Summary'!$K:$K,""),'Pokemon Editor'!$A:$A,'Pokemon Editor'!$F:$F,0)+31+FLOOR(XLOOKUP($K40,'Threshold Summary'!$Y:$Y,'Threshold Summary'!$P:$P,"")/4))*XLOOKUP($K40,'Threshold Summary'!$Y:$Y,'Threshold Summary'!$L:$L,""))/100)+5)*XLOOKUP(XLOOKUP($K40,'Threshold Summary'!$Y:$Y,'Threshold Summary'!$M:$M,""),'Nature Editor'!$A:$A,'Nature Editor'!$B:$B,1)),FLOOR((FLOOR(((2*XLOOKUP(XLOOKUP($K40,'Threshold Summary'!$Y:$Y,'Threshold Summary'!$K:$K,""),'Pokemon Editor'!$A:$A,'Pokemon Editor'!$H:$H,0)+31+FLOOR(XLOOKUP($K40,'Threshold Summary'!$Y:$Y,'Threshold Summary'!$R:$R,"")/4))*XLOOKUP($K40,'Threshold Summary'!$Y:$Y,'Threshold Summary'!$L:$L,""))/100)+5)*XLOOKUP(XLOOKUP($K40,'Threshold Summary'!$Y:$Y,'Threshold Summary'!$M:$M,""),'Nature Editor'!$A:$A,'Nature Editor'!$D:$D,1))),def,IF(cat="Physical",FLOOR((FLOOR(((2*XLOOKUP($L40,'Pokemon Editor'!$A:$A,'Pokemon Editor'!$G:$G,0)+31+FLOOR(XLOOKUP($L40,'Boss Editor'!$C:$C,'Boss Editor'!$I:$I,"")/4))*XLOOKUP($L40,'Boss Editor'!$C:$C,'Boss Editor'!$D:$D,""))/100)+5)*XLOOKUP(XLOOKUP($L40,'Boss Editor'!$C:$C,'Boss Editor'!$E:$E,""),'Nature Editor'!$A:$A,'Nature Editor'!$C:$C,1)),FLOOR((FLOOR(((2*XLOOKUP($L40,'Pokemon Editor'!$A:$A,'Pokemon Editor'!$I:$I,0)+31+FLOOR(XLOOKUP($L40,'Boss Editor'!$C:$C,'Boss Editor'!$K:$K,"")/4))*XLOOKUP($L40,'Boss Editor'!$C:$C,'Boss Editor'!$D:$D,""))/100)+5)*XLOOKUP(XLOOKUP($L40,'Boss Editor'!$C:$C,'Boss Editor'!$E:$E,""),'Nature Editor'!$A:$A,'Nature Editor'!$E:$E,1))),stab,IF(OR(mtype=XLOOKUP(XLOOKUP($K40,'Threshold Summary'!$Y:$Y,'Threshold Summary'!$K:$K,""),'Pokemon Editor'!$A:$A,'Pokemon Editor'!$C:$C,""),mtype=XLOOKUP(XLOOKUP($K40,'Threshold Summary'!$Y:$Y,'Threshold Summary'!$K:$K,""),'Pokemon Editor'!$A:$A,'Pokemon Editor'!$D:$D,"")),1.5,1),eff,(INDEX('Type Chart'!$B:$S,MATCH(mtype,'Type Chart'!$A:$A,0),MATCH(XLOOKUP($L40,'Pokemon Editor'!$A:$A,'Pokemon Editor'!$C:$C,""),'Type Chart'!$B$1:$S$1,0))*IF(XLOOKUP($L40,'Pokemon Editor'!$A:$A,'Pokemon Editor'!$D:$D,"")="",1,INDEX('Type Chart'!$B:$S,MATCH(mtype,'Type Chart'!$A:$A,0),MATCH(XLOOKUP($L40,'Pokemon Editor'!$A:$A,'Pokemon Editor'!$D:$D,""),'Type Chart'!$B$1:$S$1,0)))),base,IF(OR(cat="Status",pow=0),0,FLOOR(FLOOR(FLOOR((2*XLOOKUP($K40,'Threshold Summary'!$Y:$Y,'Threshold Summary'!$L:$L,"")/5+2)*pow*atk/def)/50)+2)),modifier,stab*eff,FLOOR(base*modifier)),0)</f>
        <v/>
      </c>
      <c r="H40" s="3">
        <f>IFERROR(LET(mtype,XLOOKUP($D40,'Move Editor'!$B:$B,'Move Editor'!$C:$C,""),cat,XLOOKUP($D40,'Move Editor'!$B:$B,'Move Editor'!$D:$D,""),pow,XLOOKUP($D40,'Move Editor'!$B:$B,'Move Editor'!$E:$E,0),acc,XLOOKUP($D40,'Move Editor'!$B:$B,'Move Editor'!$F:$F,100),atk,IF(cat="Physical",FLOOR((FLOOR(((2*XLOOKUP(XLOOKUP($K40,'Threshold Summary'!$Y:$Y,'Threshold Summary'!$K:$K,""),'Pokemon Editor'!$A:$A,'Pokemon Editor'!$F:$F,0)+31+FLOOR(XLOOKUP($K40,'Threshold Summary'!$Y:$Y,'Threshold Summary'!$P:$P,"")/4))*XLOOKUP($K40,'Threshold Summary'!$Y:$Y,'Threshold Summary'!$L:$L,""))/100)+5)*XLOOKUP(XLOOKUP($K40,'Threshold Summary'!$Y:$Y,'Threshold Summary'!$M:$M,""),'Nature Editor'!$A:$A,'Nature Editor'!$B:$B,1)),FLOOR((FLOOR(((2*XLOOKUP(XLOOKUP($K40,'Threshold Summary'!$Y:$Y,'Threshold Summary'!$K:$K,""),'Pokemon Editor'!$A:$A,'Pokemon Editor'!$H:$H,0)+31+FLOOR(XLOOKUP($K40,'Threshold Summary'!$Y:$Y,'Threshold Summary'!$R:$R,"")/4))*XLOOKUP($K40,'Threshold Summary'!$Y:$Y,'Threshold Summary'!$L:$L,""))/100)+5)*XLOOKUP(XLOOKUP($K40,'Threshold Summary'!$Y:$Y,'Threshold Summary'!$M:$M,""),'Nature Editor'!$A:$A,'Nature Editor'!$D:$D,1))),def,IF(cat="Physical",FLOOR((FLOOR(((2*XLOOKUP($L40,'Pokemon Editor'!$A:$A,'Pokemon Editor'!$G:$G,0)+31+FLOOR(XLOOKUP($L40,'Boss Editor'!$C:$C,'Boss Editor'!$I:$I,"")/4))*XLOOKUP($L40,'Boss Editor'!$C:$C,'Boss Editor'!$D:$D,""))/100)+5)*XLOOKUP(XLOOKUP($L40,'Boss Editor'!$C:$C,'Boss Editor'!$E:$E,""),'Nature Editor'!$A:$A,'Nature Editor'!$C:$C,1)),FLOOR((FLOOR(((2*XLOOKUP($L40,'Pokemon Editor'!$A:$A,'Pokemon Editor'!$I:$I,0)+31+FLOOR(XLOOKUP($L40,'Boss Editor'!$C:$C,'Boss Editor'!$K:$K,"")/4))*XLOOKUP($L40,'Boss Editor'!$C:$C,'Boss Editor'!$D:$D,""))/100)+5)*XLOOKUP(XLOOKUP($L40,'Boss Editor'!$C:$C,'Boss Editor'!$E:$E,""),'Nature Editor'!$A:$A,'Nature Editor'!$E:$E,1))),stab,IF(OR(mtype=XLOOKUP(XLOOKUP($K40,'Threshold Summary'!$Y:$Y,'Threshold Summary'!$K:$K,""),'Pokemon Editor'!$A:$A,'Pokemon Editor'!$C:$C,""),mtype=XLOOKUP(XLOOKUP($K40,'Threshold Summary'!$Y:$Y,'Threshold Summary'!$K:$K,""),'Pokemon Editor'!$A:$A,'Pokemon Editor'!$D:$D,"")),1.5,1),eff,(INDEX('Type Chart'!$B:$S,MATCH(mtype,'Type Chart'!$A:$A,0),MATCH(XLOOKUP($L40,'Pokemon Editor'!$A:$A,'Pokemon Editor'!$C:$C,""),'Type Chart'!$B$1:$S$1,0))*IF(XLOOKUP($L40,'Pokemon Editor'!$A:$A,'Pokemon Editor'!$D:$D,"")="",1,INDEX('Type Chart'!$B:$S,MATCH(mtype,'Type Chart'!$A:$A,0),MATCH(XLOOKUP($L40,'Pokemon Editor'!$A:$A,'Pokemon Editor'!$D:$D,""),'Type Chart'!$B$1:$S$1,0)))),base,IF(OR(cat="Status",pow=0),0,FLOOR(FLOOR(FLOOR((2*XLOOKUP($K40,'Threshold Summary'!$Y:$Y,'Threshold Summary'!$L:$L,"")/5+2)*pow*atk/def)/50)+2)),modifier,stab*eff,AVERAGE(ARRAYFORMULA(FLOOR(base*modifier*SEQUENCE(16,1,85,1)/100)))),0)</f>
        <v/>
      </c>
      <c r="I40" s="4">
        <f>IFERROR(LET(mtype,XLOOKUP($D40,'Move Editor'!$B:$B,'Move Editor'!$C:$C,""),cat,XLOOKUP($D40,'Move Editor'!$B:$B,'Move Editor'!$D:$D,""),pow,XLOOKUP($D40,'Move Editor'!$B:$B,'Move Editor'!$E:$E,0),acc,XLOOKUP($D40,'Move Editor'!$B:$B,'Move Editor'!$F:$F,100),atk,IF(cat="Physical",FLOOR((FLOOR(((2*XLOOKUP(XLOOKUP($K40,'Threshold Summary'!$Y:$Y,'Threshold Summary'!$K:$K,""),'Pokemon Editor'!$A:$A,'Pokemon Editor'!$F:$F,0)+31+FLOOR(XLOOKUP($K40,'Threshold Summary'!$Y:$Y,'Threshold Summary'!$P:$P,"")/4))*XLOOKUP($K40,'Threshold Summary'!$Y:$Y,'Threshold Summary'!$L:$L,""))/100)+5)*XLOOKUP(XLOOKUP($K40,'Threshold Summary'!$Y:$Y,'Threshold Summary'!$M:$M,""),'Nature Editor'!$A:$A,'Nature Editor'!$B:$B,1)),FLOOR((FLOOR(((2*XLOOKUP(XLOOKUP($K40,'Threshold Summary'!$Y:$Y,'Threshold Summary'!$K:$K,""),'Pokemon Editor'!$A:$A,'Pokemon Editor'!$H:$H,0)+31+FLOOR(XLOOKUP($K40,'Threshold Summary'!$Y:$Y,'Threshold Summary'!$R:$R,"")/4))*XLOOKUP($K40,'Threshold Summary'!$Y:$Y,'Threshold Summary'!$L:$L,""))/100)+5)*XLOOKUP(XLOOKUP($K40,'Threshold Summary'!$Y:$Y,'Threshold Summary'!$M:$M,""),'Nature Editor'!$A:$A,'Nature Editor'!$D:$D,1))),def,IF(cat="Physical",FLOOR((FLOOR(((2*XLOOKUP($L40,'Pokemon Editor'!$A:$A,'Pokemon Editor'!$G:$G,0)+31+FLOOR(XLOOKUP($L40,'Boss Editor'!$C:$C,'Boss Editor'!$I:$I,"")/4))*XLOOKUP($L40,'Boss Editor'!$C:$C,'Boss Editor'!$D:$D,""))/100)+5)*XLOOKUP(XLOOKUP($L40,'Boss Editor'!$C:$C,'Boss Editor'!$E:$E,""),'Nature Editor'!$A:$A,'Nature Editor'!$C:$C,1)),FLOOR((FLOOR(((2*XLOOKUP($L40,'Pokemon Editor'!$A:$A,'Pokemon Editor'!$I:$I,0)+31+FLOOR(XLOOKUP($L40,'Boss Editor'!$C:$C,'Boss Editor'!$K:$K,"")/4))*XLOOKUP($L40,'Boss Editor'!$C:$C,'Boss Editor'!$D:$D,""))/100)+5)*XLOOKUP(XLOOKUP($L40,'Boss Editor'!$C:$C,'Boss Editor'!$E:$E,""),'Nature Editor'!$A:$A,'Nature Editor'!$E:$E,1))),stab,IF(OR(mtype=XLOOKUP(XLOOKUP($K40,'Threshold Summary'!$Y:$Y,'Threshold Summary'!$K:$K,""),'Pokemon Editor'!$A:$A,'Pokemon Editor'!$C:$C,""),mtype=XLOOKUP(XLOOKUP($K40,'Threshold Summary'!$Y:$Y,'Threshold Summary'!$K:$K,""),'Pokemon Editor'!$A:$A,'Pokemon Editor'!$D:$D,"")),1.5,1),eff,(INDEX('Type Chart'!$B:$S,MATCH(mtype,'Type Chart'!$A:$A,0),MATCH(XLOOKUP($L40,'Pokemon Editor'!$A:$A,'Pokemon Editor'!$C:$C,""),'Type Chart'!$B$1:$S$1,0))*IF(XLOOKUP($L40,'Pokemon Editor'!$A:$A,'Pokemon Editor'!$D:$D,"")="",1,INDEX('Type Chart'!$B:$S,MATCH(mtype,'Type Chart'!$A:$A,0),MATCH(XLOOKUP($L40,'Pokemon Editor'!$A:$A,'Pokemon Editor'!$D:$D,""),'Type Chart'!$B$1:$S$1,0)))),base,IF(OR(cat="Status",pow=0),0,FLOOR(FLOOR(FLOOR((2*XLOOKUP($K40,'Threshold Summary'!$Y:$Y,'Threshold Summary'!$L:$L,"")/5+2)*pow*atk/def)/50)+2)),modifier,stab*eff,AVERAGE(ARRAYFORMULA(FLOOR(base*modifier*SEQUENCE(16,1,85,1)/100)))/(FLOOR(((2*XLOOKUP($L40,'Pokemon Editor'!$A:$A,'Pokemon Editor'!$E:$E,0)+31+FLOOR(XLOOKUP($L40,'Boss Editor'!$C:$C,'Boss Editor'!$G:$G,"")/4))*XLOOKUP($L40,'Boss Editor'!$C:$C,'Boss Editor'!$D:$D,""))/100)+XLOOKUP($L40,'Boss Editor'!$C:$C,'Boss Editor'!$D:$D,"")+10)),0)</f>
        <v/>
      </c>
      <c r="J40" s="3">
        <f>IF(I40&gt;=1,"OHKO",IF(I40&gt;=0.5,"2HKO",IF(I40&gt;=0.333,"3HKO",IF(I40&gt;=0.25,"4HKO","5HKO+"))))</f>
        <v/>
      </c>
      <c r="K40" s="3" t="inlineStr">
        <is>
          <t>SPECIES_DRIFLOON</t>
        </is>
      </c>
      <c r="L40" s="3" t="inlineStr">
        <is>
          <t>SPECIES_LILEEP</t>
        </is>
      </c>
    </row>
    <row r="41">
      <c r="A41" s="3">
        <f>XLOOKUP($K41,'Threshold Summary'!$Y:$Y,'Threshold Summary'!$A:$A,"")</f>
        <v/>
      </c>
      <c r="B41" s="3" t="inlineStr">
        <is>
          <t>Tirtouga</t>
        </is>
      </c>
      <c r="C41" s="3">
        <f>XLOOKUP($L41,'Boss Editor'!$C:$C,'Boss Editor'!$D:$D,"")</f>
        <v/>
      </c>
      <c r="D41" s="3">
        <f>XLOOKUP($K41,'Threshold Summary'!$Y:$Y,'Threshold Summary'!$B:$B,"")</f>
        <v/>
      </c>
      <c r="E41" s="3">
        <f>XLOOKUP(D41,'Move Editor'!$B:$B,'Move Editor'!$C:$C,"")</f>
        <v/>
      </c>
      <c r="F41" s="3">
        <f>IFERROR(LET(mtype,XLOOKUP($D41,'Move Editor'!$B:$B,'Move Editor'!$C:$C,""),cat,XLOOKUP($D41,'Move Editor'!$B:$B,'Move Editor'!$D:$D,""),pow,XLOOKUP($D41,'Move Editor'!$B:$B,'Move Editor'!$E:$E,0),acc,XLOOKUP($D41,'Move Editor'!$B:$B,'Move Editor'!$F:$F,100),atk,IF(cat="Physical",FLOOR((FLOOR(((2*XLOOKUP(XLOOKUP($K41,'Threshold Summary'!$Y:$Y,'Threshold Summary'!$K:$K,""),'Pokemon Editor'!$A:$A,'Pokemon Editor'!$F:$F,0)+31+FLOOR(XLOOKUP($K41,'Threshold Summary'!$Y:$Y,'Threshold Summary'!$P:$P,"")/4))*XLOOKUP($K41,'Threshold Summary'!$Y:$Y,'Threshold Summary'!$L:$L,""))/100)+5)*XLOOKUP(XLOOKUP($K41,'Threshold Summary'!$Y:$Y,'Threshold Summary'!$M:$M,""),'Nature Editor'!$A:$A,'Nature Editor'!$B:$B,1)),FLOOR((FLOOR(((2*XLOOKUP(XLOOKUP($K41,'Threshold Summary'!$Y:$Y,'Threshold Summary'!$K:$K,""),'Pokemon Editor'!$A:$A,'Pokemon Editor'!$H:$H,0)+31+FLOOR(XLOOKUP($K41,'Threshold Summary'!$Y:$Y,'Threshold Summary'!$R:$R,"")/4))*XLOOKUP($K41,'Threshold Summary'!$Y:$Y,'Threshold Summary'!$L:$L,""))/100)+5)*XLOOKUP(XLOOKUP($K41,'Threshold Summary'!$Y:$Y,'Threshold Summary'!$M:$M,""),'Nature Editor'!$A:$A,'Nature Editor'!$D:$D,1))),def,IF(cat="Physical",FLOOR((FLOOR(((2*XLOOKUP($L41,'Pokemon Editor'!$A:$A,'Pokemon Editor'!$G:$G,0)+31+FLOOR(XLOOKUP($L41,'Boss Editor'!$C:$C,'Boss Editor'!$I:$I,"")/4))*XLOOKUP($L41,'Boss Editor'!$C:$C,'Boss Editor'!$D:$D,""))/100)+5)*XLOOKUP(XLOOKUP($L41,'Boss Editor'!$C:$C,'Boss Editor'!$E:$E,""),'Nature Editor'!$A:$A,'Nature Editor'!$C:$C,1)),FLOOR((FLOOR(((2*XLOOKUP($L41,'Pokemon Editor'!$A:$A,'Pokemon Editor'!$I:$I,0)+31+FLOOR(XLOOKUP($L41,'Boss Editor'!$C:$C,'Boss Editor'!$K:$K,"")/4))*XLOOKUP($L41,'Boss Editor'!$C:$C,'Boss Editor'!$D:$D,""))/100)+5)*XLOOKUP(XLOOKUP($L41,'Boss Editor'!$C:$C,'Boss Editor'!$E:$E,""),'Nature Editor'!$A:$A,'Nature Editor'!$E:$E,1))),stab,IF(OR(mtype=XLOOKUP(XLOOKUP($K41,'Threshold Summary'!$Y:$Y,'Threshold Summary'!$K:$K,""),'Pokemon Editor'!$A:$A,'Pokemon Editor'!$C:$C,""),mtype=XLOOKUP(XLOOKUP($K41,'Threshold Summary'!$Y:$Y,'Threshold Summary'!$K:$K,""),'Pokemon Editor'!$A:$A,'Pokemon Editor'!$D:$D,"")),1.5,1),eff,(INDEX('Type Chart'!$B:$S,MATCH(mtype,'Type Chart'!$A:$A,0),MATCH(XLOOKUP($L41,'Pokemon Editor'!$A:$A,'Pokemon Editor'!$C:$C,""),'Type Chart'!$B$1:$S$1,0))*IF(XLOOKUP($L41,'Pokemon Editor'!$A:$A,'Pokemon Editor'!$D:$D,"")="",1,INDEX('Type Chart'!$B:$S,MATCH(mtype,'Type Chart'!$A:$A,0),MATCH(XLOOKUP($L41,'Pokemon Editor'!$A:$A,'Pokemon Editor'!$D:$D,""),'Type Chart'!$B$1:$S$1,0)))),base,IF(OR(cat="Status",pow=0),0,FLOOR(FLOOR(FLOOR((2*XLOOKUP($K41,'Threshold Summary'!$Y:$Y,'Threshold Summary'!$L:$L,"")/5+2)*pow*atk/def)/50)+2)),modifier,stab*eff,FLOOR(base*modifier*0.85)),0)</f>
        <v/>
      </c>
      <c r="G41" s="3">
        <f>IFERROR(LET(mtype,XLOOKUP($D41,'Move Editor'!$B:$B,'Move Editor'!$C:$C,""),cat,XLOOKUP($D41,'Move Editor'!$B:$B,'Move Editor'!$D:$D,""),pow,XLOOKUP($D41,'Move Editor'!$B:$B,'Move Editor'!$E:$E,0),acc,XLOOKUP($D41,'Move Editor'!$B:$B,'Move Editor'!$F:$F,100),atk,IF(cat="Physical",FLOOR((FLOOR(((2*XLOOKUP(XLOOKUP($K41,'Threshold Summary'!$Y:$Y,'Threshold Summary'!$K:$K,""),'Pokemon Editor'!$A:$A,'Pokemon Editor'!$F:$F,0)+31+FLOOR(XLOOKUP($K41,'Threshold Summary'!$Y:$Y,'Threshold Summary'!$P:$P,"")/4))*XLOOKUP($K41,'Threshold Summary'!$Y:$Y,'Threshold Summary'!$L:$L,""))/100)+5)*XLOOKUP(XLOOKUP($K41,'Threshold Summary'!$Y:$Y,'Threshold Summary'!$M:$M,""),'Nature Editor'!$A:$A,'Nature Editor'!$B:$B,1)),FLOOR((FLOOR(((2*XLOOKUP(XLOOKUP($K41,'Threshold Summary'!$Y:$Y,'Threshold Summary'!$K:$K,""),'Pokemon Editor'!$A:$A,'Pokemon Editor'!$H:$H,0)+31+FLOOR(XLOOKUP($K41,'Threshold Summary'!$Y:$Y,'Threshold Summary'!$R:$R,"")/4))*XLOOKUP($K41,'Threshold Summary'!$Y:$Y,'Threshold Summary'!$L:$L,""))/100)+5)*XLOOKUP(XLOOKUP($K41,'Threshold Summary'!$Y:$Y,'Threshold Summary'!$M:$M,""),'Nature Editor'!$A:$A,'Nature Editor'!$D:$D,1))),def,IF(cat="Physical",FLOOR((FLOOR(((2*XLOOKUP($L41,'Pokemon Editor'!$A:$A,'Pokemon Editor'!$G:$G,0)+31+FLOOR(XLOOKUP($L41,'Boss Editor'!$C:$C,'Boss Editor'!$I:$I,"")/4))*XLOOKUP($L41,'Boss Editor'!$C:$C,'Boss Editor'!$D:$D,""))/100)+5)*XLOOKUP(XLOOKUP($L41,'Boss Editor'!$C:$C,'Boss Editor'!$E:$E,""),'Nature Editor'!$A:$A,'Nature Editor'!$C:$C,1)),FLOOR((FLOOR(((2*XLOOKUP($L41,'Pokemon Editor'!$A:$A,'Pokemon Editor'!$I:$I,0)+31+FLOOR(XLOOKUP($L41,'Boss Editor'!$C:$C,'Boss Editor'!$K:$K,"")/4))*XLOOKUP($L41,'Boss Editor'!$C:$C,'Boss Editor'!$D:$D,""))/100)+5)*XLOOKUP(XLOOKUP($L41,'Boss Editor'!$C:$C,'Boss Editor'!$E:$E,""),'Nature Editor'!$A:$A,'Nature Editor'!$E:$E,1))),stab,IF(OR(mtype=XLOOKUP(XLOOKUP($K41,'Threshold Summary'!$Y:$Y,'Threshold Summary'!$K:$K,""),'Pokemon Editor'!$A:$A,'Pokemon Editor'!$C:$C,""),mtype=XLOOKUP(XLOOKUP($K41,'Threshold Summary'!$Y:$Y,'Threshold Summary'!$K:$K,""),'Pokemon Editor'!$A:$A,'Pokemon Editor'!$D:$D,"")),1.5,1),eff,(INDEX('Type Chart'!$B:$S,MATCH(mtype,'Type Chart'!$A:$A,0),MATCH(XLOOKUP($L41,'Pokemon Editor'!$A:$A,'Pokemon Editor'!$C:$C,""),'Type Chart'!$B$1:$S$1,0))*IF(XLOOKUP($L41,'Pokemon Editor'!$A:$A,'Pokemon Editor'!$D:$D,"")="",1,INDEX('Type Chart'!$B:$S,MATCH(mtype,'Type Chart'!$A:$A,0),MATCH(XLOOKUP($L41,'Pokemon Editor'!$A:$A,'Pokemon Editor'!$D:$D,""),'Type Chart'!$B$1:$S$1,0)))),base,IF(OR(cat="Status",pow=0),0,FLOOR(FLOOR(FLOOR((2*XLOOKUP($K41,'Threshold Summary'!$Y:$Y,'Threshold Summary'!$L:$L,"")/5+2)*pow*atk/def)/50)+2)),modifier,stab*eff,FLOOR(base*modifier)),0)</f>
        <v/>
      </c>
      <c r="H41" s="3">
        <f>IFERROR(LET(mtype,XLOOKUP($D41,'Move Editor'!$B:$B,'Move Editor'!$C:$C,""),cat,XLOOKUP($D41,'Move Editor'!$B:$B,'Move Editor'!$D:$D,""),pow,XLOOKUP($D41,'Move Editor'!$B:$B,'Move Editor'!$E:$E,0),acc,XLOOKUP($D41,'Move Editor'!$B:$B,'Move Editor'!$F:$F,100),atk,IF(cat="Physical",FLOOR((FLOOR(((2*XLOOKUP(XLOOKUP($K41,'Threshold Summary'!$Y:$Y,'Threshold Summary'!$K:$K,""),'Pokemon Editor'!$A:$A,'Pokemon Editor'!$F:$F,0)+31+FLOOR(XLOOKUP($K41,'Threshold Summary'!$Y:$Y,'Threshold Summary'!$P:$P,"")/4))*XLOOKUP($K41,'Threshold Summary'!$Y:$Y,'Threshold Summary'!$L:$L,""))/100)+5)*XLOOKUP(XLOOKUP($K41,'Threshold Summary'!$Y:$Y,'Threshold Summary'!$M:$M,""),'Nature Editor'!$A:$A,'Nature Editor'!$B:$B,1)),FLOOR((FLOOR(((2*XLOOKUP(XLOOKUP($K41,'Threshold Summary'!$Y:$Y,'Threshold Summary'!$K:$K,""),'Pokemon Editor'!$A:$A,'Pokemon Editor'!$H:$H,0)+31+FLOOR(XLOOKUP($K41,'Threshold Summary'!$Y:$Y,'Threshold Summary'!$R:$R,"")/4))*XLOOKUP($K41,'Threshold Summary'!$Y:$Y,'Threshold Summary'!$L:$L,""))/100)+5)*XLOOKUP(XLOOKUP($K41,'Threshold Summary'!$Y:$Y,'Threshold Summary'!$M:$M,""),'Nature Editor'!$A:$A,'Nature Editor'!$D:$D,1))),def,IF(cat="Physical",FLOOR((FLOOR(((2*XLOOKUP($L41,'Pokemon Editor'!$A:$A,'Pokemon Editor'!$G:$G,0)+31+FLOOR(XLOOKUP($L41,'Boss Editor'!$C:$C,'Boss Editor'!$I:$I,"")/4))*XLOOKUP($L41,'Boss Editor'!$C:$C,'Boss Editor'!$D:$D,""))/100)+5)*XLOOKUP(XLOOKUP($L41,'Boss Editor'!$C:$C,'Boss Editor'!$E:$E,""),'Nature Editor'!$A:$A,'Nature Editor'!$C:$C,1)),FLOOR((FLOOR(((2*XLOOKUP($L41,'Pokemon Editor'!$A:$A,'Pokemon Editor'!$I:$I,0)+31+FLOOR(XLOOKUP($L41,'Boss Editor'!$C:$C,'Boss Editor'!$K:$K,"")/4))*XLOOKUP($L41,'Boss Editor'!$C:$C,'Boss Editor'!$D:$D,""))/100)+5)*XLOOKUP(XLOOKUP($L41,'Boss Editor'!$C:$C,'Boss Editor'!$E:$E,""),'Nature Editor'!$A:$A,'Nature Editor'!$E:$E,1))),stab,IF(OR(mtype=XLOOKUP(XLOOKUP($K41,'Threshold Summary'!$Y:$Y,'Threshold Summary'!$K:$K,""),'Pokemon Editor'!$A:$A,'Pokemon Editor'!$C:$C,""),mtype=XLOOKUP(XLOOKUP($K41,'Threshold Summary'!$Y:$Y,'Threshold Summary'!$K:$K,""),'Pokemon Editor'!$A:$A,'Pokemon Editor'!$D:$D,"")),1.5,1),eff,(INDEX('Type Chart'!$B:$S,MATCH(mtype,'Type Chart'!$A:$A,0),MATCH(XLOOKUP($L41,'Pokemon Editor'!$A:$A,'Pokemon Editor'!$C:$C,""),'Type Chart'!$B$1:$S$1,0))*IF(XLOOKUP($L41,'Pokemon Editor'!$A:$A,'Pokemon Editor'!$D:$D,"")="",1,INDEX('Type Chart'!$B:$S,MATCH(mtype,'Type Chart'!$A:$A,0),MATCH(XLOOKUP($L41,'Pokemon Editor'!$A:$A,'Pokemon Editor'!$D:$D,""),'Type Chart'!$B$1:$S$1,0)))),base,IF(OR(cat="Status",pow=0),0,FLOOR(FLOOR(FLOOR((2*XLOOKUP($K41,'Threshold Summary'!$Y:$Y,'Threshold Summary'!$L:$L,"")/5+2)*pow*atk/def)/50)+2)),modifier,stab*eff,AVERAGE(ARRAYFORMULA(FLOOR(base*modifier*SEQUENCE(16,1,85,1)/100)))),0)</f>
        <v/>
      </c>
      <c r="I41" s="4">
        <f>IFERROR(LET(mtype,XLOOKUP($D41,'Move Editor'!$B:$B,'Move Editor'!$C:$C,""),cat,XLOOKUP($D41,'Move Editor'!$B:$B,'Move Editor'!$D:$D,""),pow,XLOOKUP($D41,'Move Editor'!$B:$B,'Move Editor'!$E:$E,0),acc,XLOOKUP($D41,'Move Editor'!$B:$B,'Move Editor'!$F:$F,100),atk,IF(cat="Physical",FLOOR((FLOOR(((2*XLOOKUP(XLOOKUP($K41,'Threshold Summary'!$Y:$Y,'Threshold Summary'!$K:$K,""),'Pokemon Editor'!$A:$A,'Pokemon Editor'!$F:$F,0)+31+FLOOR(XLOOKUP($K41,'Threshold Summary'!$Y:$Y,'Threshold Summary'!$P:$P,"")/4))*XLOOKUP($K41,'Threshold Summary'!$Y:$Y,'Threshold Summary'!$L:$L,""))/100)+5)*XLOOKUP(XLOOKUP($K41,'Threshold Summary'!$Y:$Y,'Threshold Summary'!$M:$M,""),'Nature Editor'!$A:$A,'Nature Editor'!$B:$B,1)),FLOOR((FLOOR(((2*XLOOKUP(XLOOKUP($K41,'Threshold Summary'!$Y:$Y,'Threshold Summary'!$K:$K,""),'Pokemon Editor'!$A:$A,'Pokemon Editor'!$H:$H,0)+31+FLOOR(XLOOKUP($K41,'Threshold Summary'!$Y:$Y,'Threshold Summary'!$R:$R,"")/4))*XLOOKUP($K41,'Threshold Summary'!$Y:$Y,'Threshold Summary'!$L:$L,""))/100)+5)*XLOOKUP(XLOOKUP($K41,'Threshold Summary'!$Y:$Y,'Threshold Summary'!$M:$M,""),'Nature Editor'!$A:$A,'Nature Editor'!$D:$D,1))),def,IF(cat="Physical",FLOOR((FLOOR(((2*XLOOKUP($L41,'Pokemon Editor'!$A:$A,'Pokemon Editor'!$G:$G,0)+31+FLOOR(XLOOKUP($L41,'Boss Editor'!$C:$C,'Boss Editor'!$I:$I,"")/4))*XLOOKUP($L41,'Boss Editor'!$C:$C,'Boss Editor'!$D:$D,""))/100)+5)*XLOOKUP(XLOOKUP($L41,'Boss Editor'!$C:$C,'Boss Editor'!$E:$E,""),'Nature Editor'!$A:$A,'Nature Editor'!$C:$C,1)),FLOOR((FLOOR(((2*XLOOKUP($L41,'Pokemon Editor'!$A:$A,'Pokemon Editor'!$I:$I,0)+31+FLOOR(XLOOKUP($L41,'Boss Editor'!$C:$C,'Boss Editor'!$K:$K,"")/4))*XLOOKUP($L41,'Boss Editor'!$C:$C,'Boss Editor'!$D:$D,""))/100)+5)*XLOOKUP(XLOOKUP($L41,'Boss Editor'!$C:$C,'Boss Editor'!$E:$E,""),'Nature Editor'!$A:$A,'Nature Editor'!$E:$E,1))),stab,IF(OR(mtype=XLOOKUP(XLOOKUP($K41,'Threshold Summary'!$Y:$Y,'Threshold Summary'!$K:$K,""),'Pokemon Editor'!$A:$A,'Pokemon Editor'!$C:$C,""),mtype=XLOOKUP(XLOOKUP($K41,'Threshold Summary'!$Y:$Y,'Threshold Summary'!$K:$K,""),'Pokemon Editor'!$A:$A,'Pokemon Editor'!$D:$D,"")),1.5,1),eff,(INDEX('Type Chart'!$B:$S,MATCH(mtype,'Type Chart'!$A:$A,0),MATCH(XLOOKUP($L41,'Pokemon Editor'!$A:$A,'Pokemon Editor'!$C:$C,""),'Type Chart'!$B$1:$S$1,0))*IF(XLOOKUP($L41,'Pokemon Editor'!$A:$A,'Pokemon Editor'!$D:$D,"")="",1,INDEX('Type Chart'!$B:$S,MATCH(mtype,'Type Chart'!$A:$A,0),MATCH(XLOOKUP($L41,'Pokemon Editor'!$A:$A,'Pokemon Editor'!$D:$D,""),'Type Chart'!$B$1:$S$1,0)))),base,IF(OR(cat="Status",pow=0),0,FLOOR(FLOOR(FLOOR((2*XLOOKUP($K41,'Threshold Summary'!$Y:$Y,'Threshold Summary'!$L:$L,"")/5+2)*pow*atk/def)/50)+2)),modifier,stab*eff,AVERAGE(ARRAYFORMULA(FLOOR(base*modifier*SEQUENCE(16,1,85,1)/100)))/(FLOOR(((2*XLOOKUP($L41,'Pokemon Editor'!$A:$A,'Pokemon Editor'!$E:$E,0)+31+FLOOR(XLOOKUP($L41,'Boss Editor'!$C:$C,'Boss Editor'!$G:$G,"")/4))*XLOOKUP($L41,'Boss Editor'!$C:$C,'Boss Editor'!$D:$D,""))/100)+XLOOKUP($L41,'Boss Editor'!$C:$C,'Boss Editor'!$D:$D,"")+10)),0)</f>
        <v/>
      </c>
      <c r="J41" s="3">
        <f>IF(I41&gt;=1,"OHKO",IF(I41&gt;=0.5,"2HKO",IF(I41&gt;=0.333,"3HKO",IF(I41&gt;=0.25,"4HKO","5HKO+"))))</f>
        <v/>
      </c>
      <c r="K41" s="3" t="inlineStr">
        <is>
          <t>SPECIES_BUNEARY</t>
        </is>
      </c>
      <c r="L41" s="3" t="inlineStr">
        <is>
          <t>SPECIES_TIRTOUGA</t>
        </is>
      </c>
    </row>
    <row r="42">
      <c r="A42" s="3">
        <f>XLOOKUP($K42,'Threshold Summary'!$Y:$Y,'Threshold Summary'!$A:$A,"")</f>
        <v/>
      </c>
      <c r="B42" s="3" t="inlineStr">
        <is>
          <t>Anorith</t>
        </is>
      </c>
      <c r="C42" s="3">
        <f>XLOOKUP($L42,'Boss Editor'!$C:$C,'Boss Editor'!$D:$D,"")</f>
        <v/>
      </c>
      <c r="D42" s="3">
        <f>XLOOKUP($K42,'Threshold Summary'!$Y:$Y,'Threshold Summary'!$B:$B,"")</f>
        <v/>
      </c>
      <c r="E42" s="3">
        <f>XLOOKUP(D42,'Move Editor'!$B:$B,'Move Editor'!$C:$C,"")</f>
        <v/>
      </c>
      <c r="F42" s="3">
        <f>IFERROR(LET(mtype,XLOOKUP($D42,'Move Editor'!$B:$B,'Move Editor'!$C:$C,""),cat,XLOOKUP($D42,'Move Editor'!$B:$B,'Move Editor'!$D:$D,""),pow,XLOOKUP($D42,'Move Editor'!$B:$B,'Move Editor'!$E:$E,0),acc,XLOOKUP($D42,'Move Editor'!$B:$B,'Move Editor'!$F:$F,100),atk,IF(cat="Physical",FLOOR((FLOOR(((2*XLOOKUP(XLOOKUP($K42,'Threshold Summary'!$Y:$Y,'Threshold Summary'!$K:$K,""),'Pokemon Editor'!$A:$A,'Pokemon Editor'!$F:$F,0)+31+FLOOR(XLOOKUP($K42,'Threshold Summary'!$Y:$Y,'Threshold Summary'!$P:$P,"")/4))*XLOOKUP($K42,'Threshold Summary'!$Y:$Y,'Threshold Summary'!$L:$L,""))/100)+5)*XLOOKUP(XLOOKUP($K42,'Threshold Summary'!$Y:$Y,'Threshold Summary'!$M:$M,""),'Nature Editor'!$A:$A,'Nature Editor'!$B:$B,1)),FLOOR((FLOOR(((2*XLOOKUP(XLOOKUP($K42,'Threshold Summary'!$Y:$Y,'Threshold Summary'!$K:$K,""),'Pokemon Editor'!$A:$A,'Pokemon Editor'!$H:$H,0)+31+FLOOR(XLOOKUP($K42,'Threshold Summary'!$Y:$Y,'Threshold Summary'!$R:$R,"")/4))*XLOOKUP($K42,'Threshold Summary'!$Y:$Y,'Threshold Summary'!$L:$L,""))/100)+5)*XLOOKUP(XLOOKUP($K42,'Threshold Summary'!$Y:$Y,'Threshold Summary'!$M:$M,""),'Nature Editor'!$A:$A,'Nature Editor'!$D:$D,1))),def,IF(cat="Physical",FLOOR((FLOOR(((2*XLOOKUP($L42,'Pokemon Editor'!$A:$A,'Pokemon Editor'!$G:$G,0)+31+FLOOR(XLOOKUP($L42,'Boss Editor'!$C:$C,'Boss Editor'!$I:$I,"")/4))*XLOOKUP($L42,'Boss Editor'!$C:$C,'Boss Editor'!$D:$D,""))/100)+5)*XLOOKUP(XLOOKUP($L42,'Boss Editor'!$C:$C,'Boss Editor'!$E:$E,""),'Nature Editor'!$A:$A,'Nature Editor'!$C:$C,1)),FLOOR((FLOOR(((2*XLOOKUP($L42,'Pokemon Editor'!$A:$A,'Pokemon Editor'!$I:$I,0)+31+FLOOR(XLOOKUP($L42,'Boss Editor'!$C:$C,'Boss Editor'!$K:$K,"")/4))*XLOOKUP($L42,'Boss Editor'!$C:$C,'Boss Editor'!$D:$D,""))/100)+5)*XLOOKUP(XLOOKUP($L42,'Boss Editor'!$C:$C,'Boss Editor'!$E:$E,""),'Nature Editor'!$A:$A,'Nature Editor'!$E:$E,1))),stab,IF(OR(mtype=XLOOKUP(XLOOKUP($K42,'Threshold Summary'!$Y:$Y,'Threshold Summary'!$K:$K,""),'Pokemon Editor'!$A:$A,'Pokemon Editor'!$C:$C,""),mtype=XLOOKUP(XLOOKUP($K42,'Threshold Summary'!$Y:$Y,'Threshold Summary'!$K:$K,""),'Pokemon Editor'!$A:$A,'Pokemon Editor'!$D:$D,"")),1.5,1),eff,(INDEX('Type Chart'!$B:$S,MATCH(mtype,'Type Chart'!$A:$A,0),MATCH(XLOOKUP($L42,'Pokemon Editor'!$A:$A,'Pokemon Editor'!$C:$C,""),'Type Chart'!$B$1:$S$1,0))*IF(XLOOKUP($L42,'Pokemon Editor'!$A:$A,'Pokemon Editor'!$D:$D,"")="",1,INDEX('Type Chart'!$B:$S,MATCH(mtype,'Type Chart'!$A:$A,0),MATCH(XLOOKUP($L42,'Pokemon Editor'!$A:$A,'Pokemon Editor'!$D:$D,""),'Type Chart'!$B$1:$S$1,0)))),base,IF(OR(cat="Status",pow=0),0,FLOOR(FLOOR(FLOOR((2*XLOOKUP($K42,'Threshold Summary'!$Y:$Y,'Threshold Summary'!$L:$L,"")/5+2)*pow*atk/def)/50)+2)),modifier,stab*eff,FLOOR(base*modifier*0.85)),0)</f>
        <v/>
      </c>
      <c r="G42" s="3">
        <f>IFERROR(LET(mtype,XLOOKUP($D42,'Move Editor'!$B:$B,'Move Editor'!$C:$C,""),cat,XLOOKUP($D42,'Move Editor'!$B:$B,'Move Editor'!$D:$D,""),pow,XLOOKUP($D42,'Move Editor'!$B:$B,'Move Editor'!$E:$E,0),acc,XLOOKUP($D42,'Move Editor'!$B:$B,'Move Editor'!$F:$F,100),atk,IF(cat="Physical",FLOOR((FLOOR(((2*XLOOKUP(XLOOKUP($K42,'Threshold Summary'!$Y:$Y,'Threshold Summary'!$K:$K,""),'Pokemon Editor'!$A:$A,'Pokemon Editor'!$F:$F,0)+31+FLOOR(XLOOKUP($K42,'Threshold Summary'!$Y:$Y,'Threshold Summary'!$P:$P,"")/4))*XLOOKUP($K42,'Threshold Summary'!$Y:$Y,'Threshold Summary'!$L:$L,""))/100)+5)*XLOOKUP(XLOOKUP($K42,'Threshold Summary'!$Y:$Y,'Threshold Summary'!$M:$M,""),'Nature Editor'!$A:$A,'Nature Editor'!$B:$B,1)),FLOOR((FLOOR(((2*XLOOKUP(XLOOKUP($K42,'Threshold Summary'!$Y:$Y,'Threshold Summary'!$K:$K,""),'Pokemon Editor'!$A:$A,'Pokemon Editor'!$H:$H,0)+31+FLOOR(XLOOKUP($K42,'Threshold Summary'!$Y:$Y,'Threshold Summary'!$R:$R,"")/4))*XLOOKUP($K42,'Threshold Summary'!$Y:$Y,'Threshold Summary'!$L:$L,""))/100)+5)*XLOOKUP(XLOOKUP($K42,'Threshold Summary'!$Y:$Y,'Threshold Summary'!$M:$M,""),'Nature Editor'!$A:$A,'Nature Editor'!$D:$D,1))),def,IF(cat="Physical",FLOOR((FLOOR(((2*XLOOKUP($L42,'Pokemon Editor'!$A:$A,'Pokemon Editor'!$G:$G,0)+31+FLOOR(XLOOKUP($L42,'Boss Editor'!$C:$C,'Boss Editor'!$I:$I,"")/4))*XLOOKUP($L42,'Boss Editor'!$C:$C,'Boss Editor'!$D:$D,""))/100)+5)*XLOOKUP(XLOOKUP($L42,'Boss Editor'!$C:$C,'Boss Editor'!$E:$E,""),'Nature Editor'!$A:$A,'Nature Editor'!$C:$C,1)),FLOOR((FLOOR(((2*XLOOKUP($L42,'Pokemon Editor'!$A:$A,'Pokemon Editor'!$I:$I,0)+31+FLOOR(XLOOKUP($L42,'Boss Editor'!$C:$C,'Boss Editor'!$K:$K,"")/4))*XLOOKUP($L42,'Boss Editor'!$C:$C,'Boss Editor'!$D:$D,""))/100)+5)*XLOOKUP(XLOOKUP($L42,'Boss Editor'!$C:$C,'Boss Editor'!$E:$E,""),'Nature Editor'!$A:$A,'Nature Editor'!$E:$E,1))),stab,IF(OR(mtype=XLOOKUP(XLOOKUP($K42,'Threshold Summary'!$Y:$Y,'Threshold Summary'!$K:$K,""),'Pokemon Editor'!$A:$A,'Pokemon Editor'!$C:$C,""),mtype=XLOOKUP(XLOOKUP($K42,'Threshold Summary'!$Y:$Y,'Threshold Summary'!$K:$K,""),'Pokemon Editor'!$A:$A,'Pokemon Editor'!$D:$D,"")),1.5,1),eff,(INDEX('Type Chart'!$B:$S,MATCH(mtype,'Type Chart'!$A:$A,0),MATCH(XLOOKUP($L42,'Pokemon Editor'!$A:$A,'Pokemon Editor'!$C:$C,""),'Type Chart'!$B$1:$S$1,0))*IF(XLOOKUP($L42,'Pokemon Editor'!$A:$A,'Pokemon Editor'!$D:$D,"")="",1,INDEX('Type Chart'!$B:$S,MATCH(mtype,'Type Chart'!$A:$A,0),MATCH(XLOOKUP($L42,'Pokemon Editor'!$A:$A,'Pokemon Editor'!$D:$D,""),'Type Chart'!$B$1:$S$1,0)))),base,IF(OR(cat="Status",pow=0),0,FLOOR(FLOOR(FLOOR((2*XLOOKUP($K42,'Threshold Summary'!$Y:$Y,'Threshold Summary'!$L:$L,"")/5+2)*pow*atk/def)/50)+2)),modifier,stab*eff,FLOOR(base*modifier)),0)</f>
        <v/>
      </c>
      <c r="H42" s="3">
        <f>IFERROR(LET(mtype,XLOOKUP($D42,'Move Editor'!$B:$B,'Move Editor'!$C:$C,""),cat,XLOOKUP($D42,'Move Editor'!$B:$B,'Move Editor'!$D:$D,""),pow,XLOOKUP($D42,'Move Editor'!$B:$B,'Move Editor'!$E:$E,0),acc,XLOOKUP($D42,'Move Editor'!$B:$B,'Move Editor'!$F:$F,100),atk,IF(cat="Physical",FLOOR((FLOOR(((2*XLOOKUP(XLOOKUP($K42,'Threshold Summary'!$Y:$Y,'Threshold Summary'!$K:$K,""),'Pokemon Editor'!$A:$A,'Pokemon Editor'!$F:$F,0)+31+FLOOR(XLOOKUP($K42,'Threshold Summary'!$Y:$Y,'Threshold Summary'!$P:$P,"")/4))*XLOOKUP($K42,'Threshold Summary'!$Y:$Y,'Threshold Summary'!$L:$L,""))/100)+5)*XLOOKUP(XLOOKUP($K42,'Threshold Summary'!$Y:$Y,'Threshold Summary'!$M:$M,""),'Nature Editor'!$A:$A,'Nature Editor'!$B:$B,1)),FLOOR((FLOOR(((2*XLOOKUP(XLOOKUP($K42,'Threshold Summary'!$Y:$Y,'Threshold Summary'!$K:$K,""),'Pokemon Editor'!$A:$A,'Pokemon Editor'!$H:$H,0)+31+FLOOR(XLOOKUP($K42,'Threshold Summary'!$Y:$Y,'Threshold Summary'!$R:$R,"")/4))*XLOOKUP($K42,'Threshold Summary'!$Y:$Y,'Threshold Summary'!$L:$L,""))/100)+5)*XLOOKUP(XLOOKUP($K42,'Threshold Summary'!$Y:$Y,'Threshold Summary'!$M:$M,""),'Nature Editor'!$A:$A,'Nature Editor'!$D:$D,1))),def,IF(cat="Physical",FLOOR((FLOOR(((2*XLOOKUP($L42,'Pokemon Editor'!$A:$A,'Pokemon Editor'!$G:$G,0)+31+FLOOR(XLOOKUP($L42,'Boss Editor'!$C:$C,'Boss Editor'!$I:$I,"")/4))*XLOOKUP($L42,'Boss Editor'!$C:$C,'Boss Editor'!$D:$D,""))/100)+5)*XLOOKUP(XLOOKUP($L42,'Boss Editor'!$C:$C,'Boss Editor'!$E:$E,""),'Nature Editor'!$A:$A,'Nature Editor'!$C:$C,1)),FLOOR((FLOOR(((2*XLOOKUP($L42,'Pokemon Editor'!$A:$A,'Pokemon Editor'!$I:$I,0)+31+FLOOR(XLOOKUP($L42,'Boss Editor'!$C:$C,'Boss Editor'!$K:$K,"")/4))*XLOOKUP($L42,'Boss Editor'!$C:$C,'Boss Editor'!$D:$D,""))/100)+5)*XLOOKUP(XLOOKUP($L42,'Boss Editor'!$C:$C,'Boss Editor'!$E:$E,""),'Nature Editor'!$A:$A,'Nature Editor'!$E:$E,1))),stab,IF(OR(mtype=XLOOKUP(XLOOKUP($K42,'Threshold Summary'!$Y:$Y,'Threshold Summary'!$K:$K,""),'Pokemon Editor'!$A:$A,'Pokemon Editor'!$C:$C,""),mtype=XLOOKUP(XLOOKUP($K42,'Threshold Summary'!$Y:$Y,'Threshold Summary'!$K:$K,""),'Pokemon Editor'!$A:$A,'Pokemon Editor'!$D:$D,"")),1.5,1),eff,(INDEX('Type Chart'!$B:$S,MATCH(mtype,'Type Chart'!$A:$A,0),MATCH(XLOOKUP($L42,'Pokemon Editor'!$A:$A,'Pokemon Editor'!$C:$C,""),'Type Chart'!$B$1:$S$1,0))*IF(XLOOKUP($L42,'Pokemon Editor'!$A:$A,'Pokemon Editor'!$D:$D,"")="",1,INDEX('Type Chart'!$B:$S,MATCH(mtype,'Type Chart'!$A:$A,0),MATCH(XLOOKUP($L42,'Pokemon Editor'!$A:$A,'Pokemon Editor'!$D:$D,""),'Type Chart'!$B$1:$S$1,0)))),base,IF(OR(cat="Status",pow=0),0,FLOOR(FLOOR(FLOOR((2*XLOOKUP($K42,'Threshold Summary'!$Y:$Y,'Threshold Summary'!$L:$L,"")/5+2)*pow*atk/def)/50)+2)),modifier,stab*eff,AVERAGE(ARRAYFORMULA(FLOOR(base*modifier*SEQUENCE(16,1,85,1)/100)))),0)</f>
        <v/>
      </c>
      <c r="I42" s="4">
        <f>IFERROR(LET(mtype,XLOOKUP($D42,'Move Editor'!$B:$B,'Move Editor'!$C:$C,""),cat,XLOOKUP($D42,'Move Editor'!$B:$B,'Move Editor'!$D:$D,""),pow,XLOOKUP($D42,'Move Editor'!$B:$B,'Move Editor'!$E:$E,0),acc,XLOOKUP($D42,'Move Editor'!$B:$B,'Move Editor'!$F:$F,100),atk,IF(cat="Physical",FLOOR((FLOOR(((2*XLOOKUP(XLOOKUP($K42,'Threshold Summary'!$Y:$Y,'Threshold Summary'!$K:$K,""),'Pokemon Editor'!$A:$A,'Pokemon Editor'!$F:$F,0)+31+FLOOR(XLOOKUP($K42,'Threshold Summary'!$Y:$Y,'Threshold Summary'!$P:$P,"")/4))*XLOOKUP($K42,'Threshold Summary'!$Y:$Y,'Threshold Summary'!$L:$L,""))/100)+5)*XLOOKUP(XLOOKUP($K42,'Threshold Summary'!$Y:$Y,'Threshold Summary'!$M:$M,""),'Nature Editor'!$A:$A,'Nature Editor'!$B:$B,1)),FLOOR((FLOOR(((2*XLOOKUP(XLOOKUP($K42,'Threshold Summary'!$Y:$Y,'Threshold Summary'!$K:$K,""),'Pokemon Editor'!$A:$A,'Pokemon Editor'!$H:$H,0)+31+FLOOR(XLOOKUP($K42,'Threshold Summary'!$Y:$Y,'Threshold Summary'!$R:$R,"")/4))*XLOOKUP($K42,'Threshold Summary'!$Y:$Y,'Threshold Summary'!$L:$L,""))/100)+5)*XLOOKUP(XLOOKUP($K42,'Threshold Summary'!$Y:$Y,'Threshold Summary'!$M:$M,""),'Nature Editor'!$A:$A,'Nature Editor'!$D:$D,1))),def,IF(cat="Physical",FLOOR((FLOOR(((2*XLOOKUP($L42,'Pokemon Editor'!$A:$A,'Pokemon Editor'!$G:$G,0)+31+FLOOR(XLOOKUP($L42,'Boss Editor'!$C:$C,'Boss Editor'!$I:$I,"")/4))*XLOOKUP($L42,'Boss Editor'!$C:$C,'Boss Editor'!$D:$D,""))/100)+5)*XLOOKUP(XLOOKUP($L42,'Boss Editor'!$C:$C,'Boss Editor'!$E:$E,""),'Nature Editor'!$A:$A,'Nature Editor'!$C:$C,1)),FLOOR((FLOOR(((2*XLOOKUP($L42,'Pokemon Editor'!$A:$A,'Pokemon Editor'!$I:$I,0)+31+FLOOR(XLOOKUP($L42,'Boss Editor'!$C:$C,'Boss Editor'!$K:$K,"")/4))*XLOOKUP($L42,'Boss Editor'!$C:$C,'Boss Editor'!$D:$D,""))/100)+5)*XLOOKUP(XLOOKUP($L42,'Boss Editor'!$C:$C,'Boss Editor'!$E:$E,""),'Nature Editor'!$A:$A,'Nature Editor'!$E:$E,1))),stab,IF(OR(mtype=XLOOKUP(XLOOKUP($K42,'Threshold Summary'!$Y:$Y,'Threshold Summary'!$K:$K,""),'Pokemon Editor'!$A:$A,'Pokemon Editor'!$C:$C,""),mtype=XLOOKUP(XLOOKUP($K42,'Threshold Summary'!$Y:$Y,'Threshold Summary'!$K:$K,""),'Pokemon Editor'!$A:$A,'Pokemon Editor'!$D:$D,"")),1.5,1),eff,(INDEX('Type Chart'!$B:$S,MATCH(mtype,'Type Chart'!$A:$A,0),MATCH(XLOOKUP($L42,'Pokemon Editor'!$A:$A,'Pokemon Editor'!$C:$C,""),'Type Chart'!$B$1:$S$1,0))*IF(XLOOKUP($L42,'Pokemon Editor'!$A:$A,'Pokemon Editor'!$D:$D,"")="",1,INDEX('Type Chart'!$B:$S,MATCH(mtype,'Type Chart'!$A:$A,0),MATCH(XLOOKUP($L42,'Pokemon Editor'!$A:$A,'Pokemon Editor'!$D:$D,""),'Type Chart'!$B$1:$S$1,0)))),base,IF(OR(cat="Status",pow=0),0,FLOOR(FLOOR(FLOOR((2*XLOOKUP($K42,'Threshold Summary'!$Y:$Y,'Threshold Summary'!$L:$L,"")/5+2)*pow*atk/def)/50)+2)),modifier,stab*eff,AVERAGE(ARRAYFORMULA(FLOOR(base*modifier*SEQUENCE(16,1,85,1)/100)))/(FLOOR(((2*XLOOKUP($L42,'Pokemon Editor'!$A:$A,'Pokemon Editor'!$E:$E,0)+31+FLOOR(XLOOKUP($L42,'Boss Editor'!$C:$C,'Boss Editor'!$G:$G,"")/4))*XLOOKUP($L42,'Boss Editor'!$C:$C,'Boss Editor'!$D:$D,""))/100)+XLOOKUP($L42,'Boss Editor'!$C:$C,'Boss Editor'!$D:$D,"")+10)),0)</f>
        <v/>
      </c>
      <c r="J42" s="3">
        <f>IF(I42&gt;=1,"OHKO",IF(I42&gt;=0.5,"2HKO",IF(I42&gt;=0.333,"3HKO",IF(I42&gt;=0.25,"4HKO","5HKO+"))))</f>
        <v/>
      </c>
      <c r="K42" s="3" t="inlineStr">
        <is>
          <t>SPECIES_BUNEARY</t>
        </is>
      </c>
      <c r="L42" s="3" t="inlineStr">
        <is>
          <t>SPECIES_ANORITH</t>
        </is>
      </c>
    </row>
    <row r="43">
      <c r="A43" s="3">
        <f>XLOOKUP($K43,'Threshold Summary'!$Y:$Y,'Threshold Summary'!$A:$A,"")</f>
        <v/>
      </c>
      <c r="B43" s="3" t="inlineStr">
        <is>
          <t>Lileep</t>
        </is>
      </c>
      <c r="C43" s="3">
        <f>XLOOKUP($L43,'Boss Editor'!$C:$C,'Boss Editor'!$D:$D,"")</f>
        <v/>
      </c>
      <c r="D43" s="3">
        <f>XLOOKUP($K43,'Threshold Summary'!$Y:$Y,'Threshold Summary'!$B:$B,"")</f>
        <v/>
      </c>
      <c r="E43" s="3">
        <f>XLOOKUP(D43,'Move Editor'!$B:$B,'Move Editor'!$C:$C,"")</f>
        <v/>
      </c>
      <c r="F43" s="3">
        <f>IFERROR(LET(mtype,XLOOKUP($D43,'Move Editor'!$B:$B,'Move Editor'!$C:$C,""),cat,XLOOKUP($D43,'Move Editor'!$B:$B,'Move Editor'!$D:$D,""),pow,XLOOKUP($D43,'Move Editor'!$B:$B,'Move Editor'!$E:$E,0),acc,XLOOKUP($D43,'Move Editor'!$B:$B,'Move Editor'!$F:$F,100),atk,IF(cat="Physical",FLOOR((FLOOR(((2*XLOOKUP(XLOOKUP($K43,'Threshold Summary'!$Y:$Y,'Threshold Summary'!$K:$K,""),'Pokemon Editor'!$A:$A,'Pokemon Editor'!$F:$F,0)+31+FLOOR(XLOOKUP($K43,'Threshold Summary'!$Y:$Y,'Threshold Summary'!$P:$P,"")/4))*XLOOKUP($K43,'Threshold Summary'!$Y:$Y,'Threshold Summary'!$L:$L,""))/100)+5)*XLOOKUP(XLOOKUP($K43,'Threshold Summary'!$Y:$Y,'Threshold Summary'!$M:$M,""),'Nature Editor'!$A:$A,'Nature Editor'!$B:$B,1)),FLOOR((FLOOR(((2*XLOOKUP(XLOOKUP($K43,'Threshold Summary'!$Y:$Y,'Threshold Summary'!$K:$K,""),'Pokemon Editor'!$A:$A,'Pokemon Editor'!$H:$H,0)+31+FLOOR(XLOOKUP($K43,'Threshold Summary'!$Y:$Y,'Threshold Summary'!$R:$R,"")/4))*XLOOKUP($K43,'Threshold Summary'!$Y:$Y,'Threshold Summary'!$L:$L,""))/100)+5)*XLOOKUP(XLOOKUP($K43,'Threshold Summary'!$Y:$Y,'Threshold Summary'!$M:$M,""),'Nature Editor'!$A:$A,'Nature Editor'!$D:$D,1))),def,IF(cat="Physical",FLOOR((FLOOR(((2*XLOOKUP($L43,'Pokemon Editor'!$A:$A,'Pokemon Editor'!$G:$G,0)+31+FLOOR(XLOOKUP($L43,'Boss Editor'!$C:$C,'Boss Editor'!$I:$I,"")/4))*XLOOKUP($L43,'Boss Editor'!$C:$C,'Boss Editor'!$D:$D,""))/100)+5)*XLOOKUP(XLOOKUP($L43,'Boss Editor'!$C:$C,'Boss Editor'!$E:$E,""),'Nature Editor'!$A:$A,'Nature Editor'!$C:$C,1)),FLOOR((FLOOR(((2*XLOOKUP($L43,'Pokemon Editor'!$A:$A,'Pokemon Editor'!$I:$I,0)+31+FLOOR(XLOOKUP($L43,'Boss Editor'!$C:$C,'Boss Editor'!$K:$K,"")/4))*XLOOKUP($L43,'Boss Editor'!$C:$C,'Boss Editor'!$D:$D,""))/100)+5)*XLOOKUP(XLOOKUP($L43,'Boss Editor'!$C:$C,'Boss Editor'!$E:$E,""),'Nature Editor'!$A:$A,'Nature Editor'!$E:$E,1))),stab,IF(OR(mtype=XLOOKUP(XLOOKUP($K43,'Threshold Summary'!$Y:$Y,'Threshold Summary'!$K:$K,""),'Pokemon Editor'!$A:$A,'Pokemon Editor'!$C:$C,""),mtype=XLOOKUP(XLOOKUP($K43,'Threshold Summary'!$Y:$Y,'Threshold Summary'!$K:$K,""),'Pokemon Editor'!$A:$A,'Pokemon Editor'!$D:$D,"")),1.5,1),eff,(INDEX('Type Chart'!$B:$S,MATCH(mtype,'Type Chart'!$A:$A,0),MATCH(XLOOKUP($L43,'Pokemon Editor'!$A:$A,'Pokemon Editor'!$C:$C,""),'Type Chart'!$B$1:$S$1,0))*IF(XLOOKUP($L43,'Pokemon Editor'!$A:$A,'Pokemon Editor'!$D:$D,"")="",1,INDEX('Type Chart'!$B:$S,MATCH(mtype,'Type Chart'!$A:$A,0),MATCH(XLOOKUP($L43,'Pokemon Editor'!$A:$A,'Pokemon Editor'!$D:$D,""),'Type Chart'!$B$1:$S$1,0)))),base,IF(OR(cat="Status",pow=0),0,FLOOR(FLOOR(FLOOR((2*XLOOKUP($K43,'Threshold Summary'!$Y:$Y,'Threshold Summary'!$L:$L,"")/5+2)*pow*atk/def)/50)+2)),modifier,stab*eff,FLOOR(base*modifier*0.85)),0)</f>
        <v/>
      </c>
      <c r="G43" s="3">
        <f>IFERROR(LET(mtype,XLOOKUP($D43,'Move Editor'!$B:$B,'Move Editor'!$C:$C,""),cat,XLOOKUP($D43,'Move Editor'!$B:$B,'Move Editor'!$D:$D,""),pow,XLOOKUP($D43,'Move Editor'!$B:$B,'Move Editor'!$E:$E,0),acc,XLOOKUP($D43,'Move Editor'!$B:$B,'Move Editor'!$F:$F,100),atk,IF(cat="Physical",FLOOR((FLOOR(((2*XLOOKUP(XLOOKUP($K43,'Threshold Summary'!$Y:$Y,'Threshold Summary'!$K:$K,""),'Pokemon Editor'!$A:$A,'Pokemon Editor'!$F:$F,0)+31+FLOOR(XLOOKUP($K43,'Threshold Summary'!$Y:$Y,'Threshold Summary'!$P:$P,"")/4))*XLOOKUP($K43,'Threshold Summary'!$Y:$Y,'Threshold Summary'!$L:$L,""))/100)+5)*XLOOKUP(XLOOKUP($K43,'Threshold Summary'!$Y:$Y,'Threshold Summary'!$M:$M,""),'Nature Editor'!$A:$A,'Nature Editor'!$B:$B,1)),FLOOR((FLOOR(((2*XLOOKUP(XLOOKUP($K43,'Threshold Summary'!$Y:$Y,'Threshold Summary'!$K:$K,""),'Pokemon Editor'!$A:$A,'Pokemon Editor'!$H:$H,0)+31+FLOOR(XLOOKUP($K43,'Threshold Summary'!$Y:$Y,'Threshold Summary'!$R:$R,"")/4))*XLOOKUP($K43,'Threshold Summary'!$Y:$Y,'Threshold Summary'!$L:$L,""))/100)+5)*XLOOKUP(XLOOKUP($K43,'Threshold Summary'!$Y:$Y,'Threshold Summary'!$M:$M,""),'Nature Editor'!$A:$A,'Nature Editor'!$D:$D,1))),def,IF(cat="Physical",FLOOR((FLOOR(((2*XLOOKUP($L43,'Pokemon Editor'!$A:$A,'Pokemon Editor'!$G:$G,0)+31+FLOOR(XLOOKUP($L43,'Boss Editor'!$C:$C,'Boss Editor'!$I:$I,"")/4))*XLOOKUP($L43,'Boss Editor'!$C:$C,'Boss Editor'!$D:$D,""))/100)+5)*XLOOKUP(XLOOKUP($L43,'Boss Editor'!$C:$C,'Boss Editor'!$E:$E,""),'Nature Editor'!$A:$A,'Nature Editor'!$C:$C,1)),FLOOR((FLOOR(((2*XLOOKUP($L43,'Pokemon Editor'!$A:$A,'Pokemon Editor'!$I:$I,0)+31+FLOOR(XLOOKUP($L43,'Boss Editor'!$C:$C,'Boss Editor'!$K:$K,"")/4))*XLOOKUP($L43,'Boss Editor'!$C:$C,'Boss Editor'!$D:$D,""))/100)+5)*XLOOKUP(XLOOKUP($L43,'Boss Editor'!$C:$C,'Boss Editor'!$E:$E,""),'Nature Editor'!$A:$A,'Nature Editor'!$E:$E,1))),stab,IF(OR(mtype=XLOOKUP(XLOOKUP($K43,'Threshold Summary'!$Y:$Y,'Threshold Summary'!$K:$K,""),'Pokemon Editor'!$A:$A,'Pokemon Editor'!$C:$C,""),mtype=XLOOKUP(XLOOKUP($K43,'Threshold Summary'!$Y:$Y,'Threshold Summary'!$K:$K,""),'Pokemon Editor'!$A:$A,'Pokemon Editor'!$D:$D,"")),1.5,1),eff,(INDEX('Type Chart'!$B:$S,MATCH(mtype,'Type Chart'!$A:$A,0),MATCH(XLOOKUP($L43,'Pokemon Editor'!$A:$A,'Pokemon Editor'!$C:$C,""),'Type Chart'!$B$1:$S$1,0))*IF(XLOOKUP($L43,'Pokemon Editor'!$A:$A,'Pokemon Editor'!$D:$D,"")="",1,INDEX('Type Chart'!$B:$S,MATCH(mtype,'Type Chart'!$A:$A,0),MATCH(XLOOKUP($L43,'Pokemon Editor'!$A:$A,'Pokemon Editor'!$D:$D,""),'Type Chart'!$B$1:$S$1,0)))),base,IF(OR(cat="Status",pow=0),0,FLOOR(FLOOR(FLOOR((2*XLOOKUP($K43,'Threshold Summary'!$Y:$Y,'Threshold Summary'!$L:$L,"")/5+2)*pow*atk/def)/50)+2)),modifier,stab*eff,FLOOR(base*modifier)),0)</f>
        <v/>
      </c>
      <c r="H43" s="3">
        <f>IFERROR(LET(mtype,XLOOKUP($D43,'Move Editor'!$B:$B,'Move Editor'!$C:$C,""),cat,XLOOKUP($D43,'Move Editor'!$B:$B,'Move Editor'!$D:$D,""),pow,XLOOKUP($D43,'Move Editor'!$B:$B,'Move Editor'!$E:$E,0),acc,XLOOKUP($D43,'Move Editor'!$B:$B,'Move Editor'!$F:$F,100),atk,IF(cat="Physical",FLOOR((FLOOR(((2*XLOOKUP(XLOOKUP($K43,'Threshold Summary'!$Y:$Y,'Threshold Summary'!$K:$K,""),'Pokemon Editor'!$A:$A,'Pokemon Editor'!$F:$F,0)+31+FLOOR(XLOOKUP($K43,'Threshold Summary'!$Y:$Y,'Threshold Summary'!$P:$P,"")/4))*XLOOKUP($K43,'Threshold Summary'!$Y:$Y,'Threshold Summary'!$L:$L,""))/100)+5)*XLOOKUP(XLOOKUP($K43,'Threshold Summary'!$Y:$Y,'Threshold Summary'!$M:$M,""),'Nature Editor'!$A:$A,'Nature Editor'!$B:$B,1)),FLOOR((FLOOR(((2*XLOOKUP(XLOOKUP($K43,'Threshold Summary'!$Y:$Y,'Threshold Summary'!$K:$K,""),'Pokemon Editor'!$A:$A,'Pokemon Editor'!$H:$H,0)+31+FLOOR(XLOOKUP($K43,'Threshold Summary'!$Y:$Y,'Threshold Summary'!$R:$R,"")/4))*XLOOKUP($K43,'Threshold Summary'!$Y:$Y,'Threshold Summary'!$L:$L,""))/100)+5)*XLOOKUP(XLOOKUP($K43,'Threshold Summary'!$Y:$Y,'Threshold Summary'!$M:$M,""),'Nature Editor'!$A:$A,'Nature Editor'!$D:$D,1))),def,IF(cat="Physical",FLOOR((FLOOR(((2*XLOOKUP($L43,'Pokemon Editor'!$A:$A,'Pokemon Editor'!$G:$G,0)+31+FLOOR(XLOOKUP($L43,'Boss Editor'!$C:$C,'Boss Editor'!$I:$I,"")/4))*XLOOKUP($L43,'Boss Editor'!$C:$C,'Boss Editor'!$D:$D,""))/100)+5)*XLOOKUP(XLOOKUP($L43,'Boss Editor'!$C:$C,'Boss Editor'!$E:$E,""),'Nature Editor'!$A:$A,'Nature Editor'!$C:$C,1)),FLOOR((FLOOR(((2*XLOOKUP($L43,'Pokemon Editor'!$A:$A,'Pokemon Editor'!$I:$I,0)+31+FLOOR(XLOOKUP($L43,'Boss Editor'!$C:$C,'Boss Editor'!$K:$K,"")/4))*XLOOKUP($L43,'Boss Editor'!$C:$C,'Boss Editor'!$D:$D,""))/100)+5)*XLOOKUP(XLOOKUP($L43,'Boss Editor'!$C:$C,'Boss Editor'!$E:$E,""),'Nature Editor'!$A:$A,'Nature Editor'!$E:$E,1))),stab,IF(OR(mtype=XLOOKUP(XLOOKUP($K43,'Threshold Summary'!$Y:$Y,'Threshold Summary'!$K:$K,""),'Pokemon Editor'!$A:$A,'Pokemon Editor'!$C:$C,""),mtype=XLOOKUP(XLOOKUP($K43,'Threshold Summary'!$Y:$Y,'Threshold Summary'!$K:$K,""),'Pokemon Editor'!$A:$A,'Pokemon Editor'!$D:$D,"")),1.5,1),eff,(INDEX('Type Chart'!$B:$S,MATCH(mtype,'Type Chart'!$A:$A,0),MATCH(XLOOKUP($L43,'Pokemon Editor'!$A:$A,'Pokemon Editor'!$C:$C,""),'Type Chart'!$B$1:$S$1,0))*IF(XLOOKUP($L43,'Pokemon Editor'!$A:$A,'Pokemon Editor'!$D:$D,"")="",1,INDEX('Type Chart'!$B:$S,MATCH(mtype,'Type Chart'!$A:$A,0),MATCH(XLOOKUP($L43,'Pokemon Editor'!$A:$A,'Pokemon Editor'!$D:$D,""),'Type Chart'!$B$1:$S$1,0)))),base,IF(OR(cat="Status",pow=0),0,FLOOR(FLOOR(FLOOR((2*XLOOKUP($K43,'Threshold Summary'!$Y:$Y,'Threshold Summary'!$L:$L,"")/5+2)*pow*atk/def)/50)+2)),modifier,stab*eff,AVERAGE(ARRAYFORMULA(FLOOR(base*modifier*SEQUENCE(16,1,85,1)/100)))),0)</f>
        <v/>
      </c>
      <c r="I43" s="4">
        <f>IFERROR(LET(mtype,XLOOKUP($D43,'Move Editor'!$B:$B,'Move Editor'!$C:$C,""),cat,XLOOKUP($D43,'Move Editor'!$B:$B,'Move Editor'!$D:$D,""),pow,XLOOKUP($D43,'Move Editor'!$B:$B,'Move Editor'!$E:$E,0),acc,XLOOKUP($D43,'Move Editor'!$B:$B,'Move Editor'!$F:$F,100),atk,IF(cat="Physical",FLOOR((FLOOR(((2*XLOOKUP(XLOOKUP($K43,'Threshold Summary'!$Y:$Y,'Threshold Summary'!$K:$K,""),'Pokemon Editor'!$A:$A,'Pokemon Editor'!$F:$F,0)+31+FLOOR(XLOOKUP($K43,'Threshold Summary'!$Y:$Y,'Threshold Summary'!$P:$P,"")/4))*XLOOKUP($K43,'Threshold Summary'!$Y:$Y,'Threshold Summary'!$L:$L,""))/100)+5)*XLOOKUP(XLOOKUP($K43,'Threshold Summary'!$Y:$Y,'Threshold Summary'!$M:$M,""),'Nature Editor'!$A:$A,'Nature Editor'!$B:$B,1)),FLOOR((FLOOR(((2*XLOOKUP(XLOOKUP($K43,'Threshold Summary'!$Y:$Y,'Threshold Summary'!$K:$K,""),'Pokemon Editor'!$A:$A,'Pokemon Editor'!$H:$H,0)+31+FLOOR(XLOOKUP($K43,'Threshold Summary'!$Y:$Y,'Threshold Summary'!$R:$R,"")/4))*XLOOKUP($K43,'Threshold Summary'!$Y:$Y,'Threshold Summary'!$L:$L,""))/100)+5)*XLOOKUP(XLOOKUP($K43,'Threshold Summary'!$Y:$Y,'Threshold Summary'!$M:$M,""),'Nature Editor'!$A:$A,'Nature Editor'!$D:$D,1))),def,IF(cat="Physical",FLOOR((FLOOR(((2*XLOOKUP($L43,'Pokemon Editor'!$A:$A,'Pokemon Editor'!$G:$G,0)+31+FLOOR(XLOOKUP($L43,'Boss Editor'!$C:$C,'Boss Editor'!$I:$I,"")/4))*XLOOKUP($L43,'Boss Editor'!$C:$C,'Boss Editor'!$D:$D,""))/100)+5)*XLOOKUP(XLOOKUP($L43,'Boss Editor'!$C:$C,'Boss Editor'!$E:$E,""),'Nature Editor'!$A:$A,'Nature Editor'!$C:$C,1)),FLOOR((FLOOR(((2*XLOOKUP($L43,'Pokemon Editor'!$A:$A,'Pokemon Editor'!$I:$I,0)+31+FLOOR(XLOOKUP($L43,'Boss Editor'!$C:$C,'Boss Editor'!$K:$K,"")/4))*XLOOKUP($L43,'Boss Editor'!$C:$C,'Boss Editor'!$D:$D,""))/100)+5)*XLOOKUP(XLOOKUP($L43,'Boss Editor'!$C:$C,'Boss Editor'!$E:$E,""),'Nature Editor'!$A:$A,'Nature Editor'!$E:$E,1))),stab,IF(OR(mtype=XLOOKUP(XLOOKUP($K43,'Threshold Summary'!$Y:$Y,'Threshold Summary'!$K:$K,""),'Pokemon Editor'!$A:$A,'Pokemon Editor'!$C:$C,""),mtype=XLOOKUP(XLOOKUP($K43,'Threshold Summary'!$Y:$Y,'Threshold Summary'!$K:$K,""),'Pokemon Editor'!$A:$A,'Pokemon Editor'!$D:$D,"")),1.5,1),eff,(INDEX('Type Chart'!$B:$S,MATCH(mtype,'Type Chart'!$A:$A,0),MATCH(XLOOKUP($L43,'Pokemon Editor'!$A:$A,'Pokemon Editor'!$C:$C,""),'Type Chart'!$B$1:$S$1,0))*IF(XLOOKUP($L43,'Pokemon Editor'!$A:$A,'Pokemon Editor'!$D:$D,"")="",1,INDEX('Type Chart'!$B:$S,MATCH(mtype,'Type Chart'!$A:$A,0),MATCH(XLOOKUP($L43,'Pokemon Editor'!$A:$A,'Pokemon Editor'!$D:$D,""),'Type Chart'!$B$1:$S$1,0)))),base,IF(OR(cat="Status",pow=0),0,FLOOR(FLOOR(FLOOR((2*XLOOKUP($K43,'Threshold Summary'!$Y:$Y,'Threshold Summary'!$L:$L,"")/5+2)*pow*atk/def)/50)+2)),modifier,stab*eff,AVERAGE(ARRAYFORMULA(FLOOR(base*modifier*SEQUENCE(16,1,85,1)/100)))/(FLOOR(((2*XLOOKUP($L43,'Pokemon Editor'!$A:$A,'Pokemon Editor'!$E:$E,0)+31+FLOOR(XLOOKUP($L43,'Boss Editor'!$C:$C,'Boss Editor'!$G:$G,"")/4))*XLOOKUP($L43,'Boss Editor'!$C:$C,'Boss Editor'!$D:$D,""))/100)+XLOOKUP($L43,'Boss Editor'!$C:$C,'Boss Editor'!$D:$D,"")+10)),0)</f>
        <v/>
      </c>
      <c r="J43" s="3">
        <f>IF(I43&gt;=1,"OHKO",IF(I43&gt;=0.5,"2HKO",IF(I43&gt;=0.333,"3HKO",IF(I43&gt;=0.25,"4HKO","5HKO+"))))</f>
        <v/>
      </c>
      <c r="K43" s="3" t="inlineStr">
        <is>
          <t>SPECIES_BUNEARY</t>
        </is>
      </c>
      <c r="L43" s="3" t="inlineStr">
        <is>
          <t>SPECIES_LILEEP</t>
        </is>
      </c>
    </row>
    <row r="44">
      <c r="A44" s="3">
        <f>XLOOKUP($K44,'Threshold Summary'!$Y:$Y,'Threshold Summary'!$A:$A,"")</f>
        <v/>
      </c>
      <c r="B44" s="3" t="inlineStr">
        <is>
          <t>Tirtouga</t>
        </is>
      </c>
      <c r="C44" s="3">
        <f>XLOOKUP($L44,'Boss Editor'!$C:$C,'Boss Editor'!$D:$D,"")</f>
        <v/>
      </c>
      <c r="D44" s="3">
        <f>XLOOKUP($K44,'Threshold Summary'!$Y:$Y,'Threshold Summary'!$B:$B,"")</f>
        <v/>
      </c>
      <c r="E44" s="3">
        <f>XLOOKUP(D44,'Move Editor'!$B:$B,'Move Editor'!$C:$C,"")</f>
        <v/>
      </c>
      <c r="F44" s="3">
        <f>IFERROR(LET(mtype,XLOOKUP($D44,'Move Editor'!$B:$B,'Move Editor'!$C:$C,""),cat,XLOOKUP($D44,'Move Editor'!$B:$B,'Move Editor'!$D:$D,""),pow,XLOOKUP($D44,'Move Editor'!$B:$B,'Move Editor'!$E:$E,0),acc,XLOOKUP($D44,'Move Editor'!$B:$B,'Move Editor'!$F:$F,100),atk,IF(cat="Physical",FLOOR((FLOOR(((2*XLOOKUP(XLOOKUP($K44,'Threshold Summary'!$Y:$Y,'Threshold Summary'!$K:$K,""),'Pokemon Editor'!$A:$A,'Pokemon Editor'!$F:$F,0)+31+FLOOR(XLOOKUP($K44,'Threshold Summary'!$Y:$Y,'Threshold Summary'!$P:$P,"")/4))*XLOOKUP($K44,'Threshold Summary'!$Y:$Y,'Threshold Summary'!$L:$L,""))/100)+5)*XLOOKUP(XLOOKUP($K44,'Threshold Summary'!$Y:$Y,'Threshold Summary'!$M:$M,""),'Nature Editor'!$A:$A,'Nature Editor'!$B:$B,1)),FLOOR((FLOOR(((2*XLOOKUP(XLOOKUP($K44,'Threshold Summary'!$Y:$Y,'Threshold Summary'!$K:$K,""),'Pokemon Editor'!$A:$A,'Pokemon Editor'!$H:$H,0)+31+FLOOR(XLOOKUP($K44,'Threshold Summary'!$Y:$Y,'Threshold Summary'!$R:$R,"")/4))*XLOOKUP($K44,'Threshold Summary'!$Y:$Y,'Threshold Summary'!$L:$L,""))/100)+5)*XLOOKUP(XLOOKUP($K44,'Threshold Summary'!$Y:$Y,'Threshold Summary'!$M:$M,""),'Nature Editor'!$A:$A,'Nature Editor'!$D:$D,1))),def,IF(cat="Physical",FLOOR((FLOOR(((2*XLOOKUP($L44,'Pokemon Editor'!$A:$A,'Pokemon Editor'!$G:$G,0)+31+FLOOR(XLOOKUP($L44,'Boss Editor'!$C:$C,'Boss Editor'!$I:$I,"")/4))*XLOOKUP($L44,'Boss Editor'!$C:$C,'Boss Editor'!$D:$D,""))/100)+5)*XLOOKUP(XLOOKUP($L44,'Boss Editor'!$C:$C,'Boss Editor'!$E:$E,""),'Nature Editor'!$A:$A,'Nature Editor'!$C:$C,1)),FLOOR((FLOOR(((2*XLOOKUP($L44,'Pokemon Editor'!$A:$A,'Pokemon Editor'!$I:$I,0)+31+FLOOR(XLOOKUP($L44,'Boss Editor'!$C:$C,'Boss Editor'!$K:$K,"")/4))*XLOOKUP($L44,'Boss Editor'!$C:$C,'Boss Editor'!$D:$D,""))/100)+5)*XLOOKUP(XLOOKUP($L44,'Boss Editor'!$C:$C,'Boss Editor'!$E:$E,""),'Nature Editor'!$A:$A,'Nature Editor'!$E:$E,1))),stab,IF(OR(mtype=XLOOKUP(XLOOKUP($K44,'Threshold Summary'!$Y:$Y,'Threshold Summary'!$K:$K,""),'Pokemon Editor'!$A:$A,'Pokemon Editor'!$C:$C,""),mtype=XLOOKUP(XLOOKUP($K44,'Threshold Summary'!$Y:$Y,'Threshold Summary'!$K:$K,""),'Pokemon Editor'!$A:$A,'Pokemon Editor'!$D:$D,"")),1.5,1),eff,(INDEX('Type Chart'!$B:$S,MATCH(mtype,'Type Chart'!$A:$A,0),MATCH(XLOOKUP($L44,'Pokemon Editor'!$A:$A,'Pokemon Editor'!$C:$C,""),'Type Chart'!$B$1:$S$1,0))*IF(XLOOKUP($L44,'Pokemon Editor'!$A:$A,'Pokemon Editor'!$D:$D,"")="",1,INDEX('Type Chart'!$B:$S,MATCH(mtype,'Type Chart'!$A:$A,0),MATCH(XLOOKUP($L44,'Pokemon Editor'!$A:$A,'Pokemon Editor'!$D:$D,""),'Type Chart'!$B$1:$S$1,0)))),base,IF(OR(cat="Status",pow=0),0,FLOOR(FLOOR(FLOOR((2*XLOOKUP($K44,'Threshold Summary'!$Y:$Y,'Threshold Summary'!$L:$L,"")/5+2)*pow*atk/def)/50)+2)),modifier,stab*eff,FLOOR(base*modifier*0.85)),0)</f>
        <v/>
      </c>
      <c r="G44" s="3">
        <f>IFERROR(LET(mtype,XLOOKUP($D44,'Move Editor'!$B:$B,'Move Editor'!$C:$C,""),cat,XLOOKUP($D44,'Move Editor'!$B:$B,'Move Editor'!$D:$D,""),pow,XLOOKUP($D44,'Move Editor'!$B:$B,'Move Editor'!$E:$E,0),acc,XLOOKUP($D44,'Move Editor'!$B:$B,'Move Editor'!$F:$F,100),atk,IF(cat="Physical",FLOOR((FLOOR(((2*XLOOKUP(XLOOKUP($K44,'Threshold Summary'!$Y:$Y,'Threshold Summary'!$K:$K,""),'Pokemon Editor'!$A:$A,'Pokemon Editor'!$F:$F,0)+31+FLOOR(XLOOKUP($K44,'Threshold Summary'!$Y:$Y,'Threshold Summary'!$P:$P,"")/4))*XLOOKUP($K44,'Threshold Summary'!$Y:$Y,'Threshold Summary'!$L:$L,""))/100)+5)*XLOOKUP(XLOOKUP($K44,'Threshold Summary'!$Y:$Y,'Threshold Summary'!$M:$M,""),'Nature Editor'!$A:$A,'Nature Editor'!$B:$B,1)),FLOOR((FLOOR(((2*XLOOKUP(XLOOKUP($K44,'Threshold Summary'!$Y:$Y,'Threshold Summary'!$K:$K,""),'Pokemon Editor'!$A:$A,'Pokemon Editor'!$H:$H,0)+31+FLOOR(XLOOKUP($K44,'Threshold Summary'!$Y:$Y,'Threshold Summary'!$R:$R,"")/4))*XLOOKUP($K44,'Threshold Summary'!$Y:$Y,'Threshold Summary'!$L:$L,""))/100)+5)*XLOOKUP(XLOOKUP($K44,'Threshold Summary'!$Y:$Y,'Threshold Summary'!$M:$M,""),'Nature Editor'!$A:$A,'Nature Editor'!$D:$D,1))),def,IF(cat="Physical",FLOOR((FLOOR(((2*XLOOKUP($L44,'Pokemon Editor'!$A:$A,'Pokemon Editor'!$G:$G,0)+31+FLOOR(XLOOKUP($L44,'Boss Editor'!$C:$C,'Boss Editor'!$I:$I,"")/4))*XLOOKUP($L44,'Boss Editor'!$C:$C,'Boss Editor'!$D:$D,""))/100)+5)*XLOOKUP(XLOOKUP($L44,'Boss Editor'!$C:$C,'Boss Editor'!$E:$E,""),'Nature Editor'!$A:$A,'Nature Editor'!$C:$C,1)),FLOOR((FLOOR(((2*XLOOKUP($L44,'Pokemon Editor'!$A:$A,'Pokemon Editor'!$I:$I,0)+31+FLOOR(XLOOKUP($L44,'Boss Editor'!$C:$C,'Boss Editor'!$K:$K,"")/4))*XLOOKUP($L44,'Boss Editor'!$C:$C,'Boss Editor'!$D:$D,""))/100)+5)*XLOOKUP(XLOOKUP($L44,'Boss Editor'!$C:$C,'Boss Editor'!$E:$E,""),'Nature Editor'!$A:$A,'Nature Editor'!$E:$E,1))),stab,IF(OR(mtype=XLOOKUP(XLOOKUP($K44,'Threshold Summary'!$Y:$Y,'Threshold Summary'!$K:$K,""),'Pokemon Editor'!$A:$A,'Pokemon Editor'!$C:$C,""),mtype=XLOOKUP(XLOOKUP($K44,'Threshold Summary'!$Y:$Y,'Threshold Summary'!$K:$K,""),'Pokemon Editor'!$A:$A,'Pokemon Editor'!$D:$D,"")),1.5,1),eff,(INDEX('Type Chart'!$B:$S,MATCH(mtype,'Type Chart'!$A:$A,0),MATCH(XLOOKUP($L44,'Pokemon Editor'!$A:$A,'Pokemon Editor'!$C:$C,""),'Type Chart'!$B$1:$S$1,0))*IF(XLOOKUP($L44,'Pokemon Editor'!$A:$A,'Pokemon Editor'!$D:$D,"")="",1,INDEX('Type Chart'!$B:$S,MATCH(mtype,'Type Chart'!$A:$A,0),MATCH(XLOOKUP($L44,'Pokemon Editor'!$A:$A,'Pokemon Editor'!$D:$D,""),'Type Chart'!$B$1:$S$1,0)))),base,IF(OR(cat="Status",pow=0),0,FLOOR(FLOOR(FLOOR((2*XLOOKUP($K44,'Threshold Summary'!$Y:$Y,'Threshold Summary'!$L:$L,"")/5+2)*pow*atk/def)/50)+2)),modifier,stab*eff,FLOOR(base*modifier)),0)</f>
        <v/>
      </c>
      <c r="H44" s="3">
        <f>IFERROR(LET(mtype,XLOOKUP($D44,'Move Editor'!$B:$B,'Move Editor'!$C:$C,""),cat,XLOOKUP($D44,'Move Editor'!$B:$B,'Move Editor'!$D:$D,""),pow,XLOOKUP($D44,'Move Editor'!$B:$B,'Move Editor'!$E:$E,0),acc,XLOOKUP($D44,'Move Editor'!$B:$B,'Move Editor'!$F:$F,100),atk,IF(cat="Physical",FLOOR((FLOOR(((2*XLOOKUP(XLOOKUP($K44,'Threshold Summary'!$Y:$Y,'Threshold Summary'!$K:$K,""),'Pokemon Editor'!$A:$A,'Pokemon Editor'!$F:$F,0)+31+FLOOR(XLOOKUP($K44,'Threshold Summary'!$Y:$Y,'Threshold Summary'!$P:$P,"")/4))*XLOOKUP($K44,'Threshold Summary'!$Y:$Y,'Threshold Summary'!$L:$L,""))/100)+5)*XLOOKUP(XLOOKUP($K44,'Threshold Summary'!$Y:$Y,'Threshold Summary'!$M:$M,""),'Nature Editor'!$A:$A,'Nature Editor'!$B:$B,1)),FLOOR((FLOOR(((2*XLOOKUP(XLOOKUP($K44,'Threshold Summary'!$Y:$Y,'Threshold Summary'!$K:$K,""),'Pokemon Editor'!$A:$A,'Pokemon Editor'!$H:$H,0)+31+FLOOR(XLOOKUP($K44,'Threshold Summary'!$Y:$Y,'Threshold Summary'!$R:$R,"")/4))*XLOOKUP($K44,'Threshold Summary'!$Y:$Y,'Threshold Summary'!$L:$L,""))/100)+5)*XLOOKUP(XLOOKUP($K44,'Threshold Summary'!$Y:$Y,'Threshold Summary'!$M:$M,""),'Nature Editor'!$A:$A,'Nature Editor'!$D:$D,1))),def,IF(cat="Physical",FLOOR((FLOOR(((2*XLOOKUP($L44,'Pokemon Editor'!$A:$A,'Pokemon Editor'!$G:$G,0)+31+FLOOR(XLOOKUP($L44,'Boss Editor'!$C:$C,'Boss Editor'!$I:$I,"")/4))*XLOOKUP($L44,'Boss Editor'!$C:$C,'Boss Editor'!$D:$D,""))/100)+5)*XLOOKUP(XLOOKUP($L44,'Boss Editor'!$C:$C,'Boss Editor'!$E:$E,""),'Nature Editor'!$A:$A,'Nature Editor'!$C:$C,1)),FLOOR((FLOOR(((2*XLOOKUP($L44,'Pokemon Editor'!$A:$A,'Pokemon Editor'!$I:$I,0)+31+FLOOR(XLOOKUP($L44,'Boss Editor'!$C:$C,'Boss Editor'!$K:$K,"")/4))*XLOOKUP($L44,'Boss Editor'!$C:$C,'Boss Editor'!$D:$D,""))/100)+5)*XLOOKUP(XLOOKUP($L44,'Boss Editor'!$C:$C,'Boss Editor'!$E:$E,""),'Nature Editor'!$A:$A,'Nature Editor'!$E:$E,1))),stab,IF(OR(mtype=XLOOKUP(XLOOKUP($K44,'Threshold Summary'!$Y:$Y,'Threshold Summary'!$K:$K,""),'Pokemon Editor'!$A:$A,'Pokemon Editor'!$C:$C,""),mtype=XLOOKUP(XLOOKUP($K44,'Threshold Summary'!$Y:$Y,'Threshold Summary'!$K:$K,""),'Pokemon Editor'!$A:$A,'Pokemon Editor'!$D:$D,"")),1.5,1),eff,(INDEX('Type Chart'!$B:$S,MATCH(mtype,'Type Chart'!$A:$A,0),MATCH(XLOOKUP($L44,'Pokemon Editor'!$A:$A,'Pokemon Editor'!$C:$C,""),'Type Chart'!$B$1:$S$1,0))*IF(XLOOKUP($L44,'Pokemon Editor'!$A:$A,'Pokemon Editor'!$D:$D,"")="",1,INDEX('Type Chart'!$B:$S,MATCH(mtype,'Type Chart'!$A:$A,0),MATCH(XLOOKUP($L44,'Pokemon Editor'!$A:$A,'Pokemon Editor'!$D:$D,""),'Type Chart'!$B$1:$S$1,0)))),base,IF(OR(cat="Status",pow=0),0,FLOOR(FLOOR(FLOOR((2*XLOOKUP($K44,'Threshold Summary'!$Y:$Y,'Threshold Summary'!$L:$L,"")/5+2)*pow*atk/def)/50)+2)),modifier,stab*eff,AVERAGE(ARRAYFORMULA(FLOOR(base*modifier*SEQUENCE(16,1,85,1)/100)))),0)</f>
        <v/>
      </c>
      <c r="I44" s="4">
        <f>IFERROR(LET(mtype,XLOOKUP($D44,'Move Editor'!$B:$B,'Move Editor'!$C:$C,""),cat,XLOOKUP($D44,'Move Editor'!$B:$B,'Move Editor'!$D:$D,""),pow,XLOOKUP($D44,'Move Editor'!$B:$B,'Move Editor'!$E:$E,0),acc,XLOOKUP($D44,'Move Editor'!$B:$B,'Move Editor'!$F:$F,100),atk,IF(cat="Physical",FLOOR((FLOOR(((2*XLOOKUP(XLOOKUP($K44,'Threshold Summary'!$Y:$Y,'Threshold Summary'!$K:$K,""),'Pokemon Editor'!$A:$A,'Pokemon Editor'!$F:$F,0)+31+FLOOR(XLOOKUP($K44,'Threshold Summary'!$Y:$Y,'Threshold Summary'!$P:$P,"")/4))*XLOOKUP($K44,'Threshold Summary'!$Y:$Y,'Threshold Summary'!$L:$L,""))/100)+5)*XLOOKUP(XLOOKUP($K44,'Threshold Summary'!$Y:$Y,'Threshold Summary'!$M:$M,""),'Nature Editor'!$A:$A,'Nature Editor'!$B:$B,1)),FLOOR((FLOOR(((2*XLOOKUP(XLOOKUP($K44,'Threshold Summary'!$Y:$Y,'Threshold Summary'!$K:$K,""),'Pokemon Editor'!$A:$A,'Pokemon Editor'!$H:$H,0)+31+FLOOR(XLOOKUP($K44,'Threshold Summary'!$Y:$Y,'Threshold Summary'!$R:$R,"")/4))*XLOOKUP($K44,'Threshold Summary'!$Y:$Y,'Threshold Summary'!$L:$L,""))/100)+5)*XLOOKUP(XLOOKUP($K44,'Threshold Summary'!$Y:$Y,'Threshold Summary'!$M:$M,""),'Nature Editor'!$A:$A,'Nature Editor'!$D:$D,1))),def,IF(cat="Physical",FLOOR((FLOOR(((2*XLOOKUP($L44,'Pokemon Editor'!$A:$A,'Pokemon Editor'!$G:$G,0)+31+FLOOR(XLOOKUP($L44,'Boss Editor'!$C:$C,'Boss Editor'!$I:$I,"")/4))*XLOOKUP($L44,'Boss Editor'!$C:$C,'Boss Editor'!$D:$D,""))/100)+5)*XLOOKUP(XLOOKUP($L44,'Boss Editor'!$C:$C,'Boss Editor'!$E:$E,""),'Nature Editor'!$A:$A,'Nature Editor'!$C:$C,1)),FLOOR((FLOOR(((2*XLOOKUP($L44,'Pokemon Editor'!$A:$A,'Pokemon Editor'!$I:$I,0)+31+FLOOR(XLOOKUP($L44,'Boss Editor'!$C:$C,'Boss Editor'!$K:$K,"")/4))*XLOOKUP($L44,'Boss Editor'!$C:$C,'Boss Editor'!$D:$D,""))/100)+5)*XLOOKUP(XLOOKUP($L44,'Boss Editor'!$C:$C,'Boss Editor'!$E:$E,""),'Nature Editor'!$A:$A,'Nature Editor'!$E:$E,1))),stab,IF(OR(mtype=XLOOKUP(XLOOKUP($K44,'Threshold Summary'!$Y:$Y,'Threshold Summary'!$K:$K,""),'Pokemon Editor'!$A:$A,'Pokemon Editor'!$C:$C,""),mtype=XLOOKUP(XLOOKUP($K44,'Threshold Summary'!$Y:$Y,'Threshold Summary'!$K:$K,""),'Pokemon Editor'!$A:$A,'Pokemon Editor'!$D:$D,"")),1.5,1),eff,(INDEX('Type Chart'!$B:$S,MATCH(mtype,'Type Chart'!$A:$A,0),MATCH(XLOOKUP($L44,'Pokemon Editor'!$A:$A,'Pokemon Editor'!$C:$C,""),'Type Chart'!$B$1:$S$1,0))*IF(XLOOKUP($L44,'Pokemon Editor'!$A:$A,'Pokemon Editor'!$D:$D,"")="",1,INDEX('Type Chart'!$B:$S,MATCH(mtype,'Type Chart'!$A:$A,0),MATCH(XLOOKUP($L44,'Pokemon Editor'!$A:$A,'Pokemon Editor'!$D:$D,""),'Type Chart'!$B$1:$S$1,0)))),base,IF(OR(cat="Status",pow=0),0,FLOOR(FLOOR(FLOOR((2*XLOOKUP($K44,'Threshold Summary'!$Y:$Y,'Threshold Summary'!$L:$L,"")/5+2)*pow*atk/def)/50)+2)),modifier,stab*eff,AVERAGE(ARRAYFORMULA(FLOOR(base*modifier*SEQUENCE(16,1,85,1)/100)))/(FLOOR(((2*XLOOKUP($L44,'Pokemon Editor'!$A:$A,'Pokemon Editor'!$E:$E,0)+31+FLOOR(XLOOKUP($L44,'Boss Editor'!$C:$C,'Boss Editor'!$G:$G,"")/4))*XLOOKUP($L44,'Boss Editor'!$C:$C,'Boss Editor'!$D:$D,""))/100)+XLOOKUP($L44,'Boss Editor'!$C:$C,'Boss Editor'!$D:$D,"")+10)),0)</f>
        <v/>
      </c>
      <c r="J44" s="3">
        <f>IF(I44&gt;=1,"OHKO",IF(I44&gt;=0.5,"2HKO",IF(I44&gt;=0.333,"3HKO",IF(I44&gt;=0.25,"4HKO","5HKO+"))))</f>
        <v/>
      </c>
      <c r="K44" s="3" t="inlineStr">
        <is>
          <t>SPECIES_SEWADDLE</t>
        </is>
      </c>
      <c r="L44" s="3" t="inlineStr">
        <is>
          <t>SPECIES_TIRTOUGA</t>
        </is>
      </c>
    </row>
    <row r="45">
      <c r="A45" s="3">
        <f>XLOOKUP($K45,'Threshold Summary'!$Y:$Y,'Threshold Summary'!$A:$A,"")</f>
        <v/>
      </c>
      <c r="B45" s="3" t="inlineStr">
        <is>
          <t>Anorith</t>
        </is>
      </c>
      <c r="C45" s="3">
        <f>XLOOKUP($L45,'Boss Editor'!$C:$C,'Boss Editor'!$D:$D,"")</f>
        <v/>
      </c>
      <c r="D45" s="3">
        <f>XLOOKUP($K45,'Threshold Summary'!$Y:$Y,'Threshold Summary'!$B:$B,"")</f>
        <v/>
      </c>
      <c r="E45" s="3">
        <f>XLOOKUP(D45,'Move Editor'!$B:$B,'Move Editor'!$C:$C,"")</f>
        <v/>
      </c>
      <c r="F45" s="3">
        <f>IFERROR(LET(mtype,XLOOKUP($D45,'Move Editor'!$B:$B,'Move Editor'!$C:$C,""),cat,XLOOKUP($D45,'Move Editor'!$B:$B,'Move Editor'!$D:$D,""),pow,XLOOKUP($D45,'Move Editor'!$B:$B,'Move Editor'!$E:$E,0),acc,XLOOKUP($D45,'Move Editor'!$B:$B,'Move Editor'!$F:$F,100),atk,IF(cat="Physical",FLOOR((FLOOR(((2*XLOOKUP(XLOOKUP($K45,'Threshold Summary'!$Y:$Y,'Threshold Summary'!$K:$K,""),'Pokemon Editor'!$A:$A,'Pokemon Editor'!$F:$F,0)+31+FLOOR(XLOOKUP($K45,'Threshold Summary'!$Y:$Y,'Threshold Summary'!$P:$P,"")/4))*XLOOKUP($K45,'Threshold Summary'!$Y:$Y,'Threshold Summary'!$L:$L,""))/100)+5)*XLOOKUP(XLOOKUP($K45,'Threshold Summary'!$Y:$Y,'Threshold Summary'!$M:$M,""),'Nature Editor'!$A:$A,'Nature Editor'!$B:$B,1)),FLOOR((FLOOR(((2*XLOOKUP(XLOOKUP($K45,'Threshold Summary'!$Y:$Y,'Threshold Summary'!$K:$K,""),'Pokemon Editor'!$A:$A,'Pokemon Editor'!$H:$H,0)+31+FLOOR(XLOOKUP($K45,'Threshold Summary'!$Y:$Y,'Threshold Summary'!$R:$R,"")/4))*XLOOKUP($K45,'Threshold Summary'!$Y:$Y,'Threshold Summary'!$L:$L,""))/100)+5)*XLOOKUP(XLOOKUP($K45,'Threshold Summary'!$Y:$Y,'Threshold Summary'!$M:$M,""),'Nature Editor'!$A:$A,'Nature Editor'!$D:$D,1))),def,IF(cat="Physical",FLOOR((FLOOR(((2*XLOOKUP($L45,'Pokemon Editor'!$A:$A,'Pokemon Editor'!$G:$G,0)+31+FLOOR(XLOOKUP($L45,'Boss Editor'!$C:$C,'Boss Editor'!$I:$I,"")/4))*XLOOKUP($L45,'Boss Editor'!$C:$C,'Boss Editor'!$D:$D,""))/100)+5)*XLOOKUP(XLOOKUP($L45,'Boss Editor'!$C:$C,'Boss Editor'!$E:$E,""),'Nature Editor'!$A:$A,'Nature Editor'!$C:$C,1)),FLOOR((FLOOR(((2*XLOOKUP($L45,'Pokemon Editor'!$A:$A,'Pokemon Editor'!$I:$I,0)+31+FLOOR(XLOOKUP($L45,'Boss Editor'!$C:$C,'Boss Editor'!$K:$K,"")/4))*XLOOKUP($L45,'Boss Editor'!$C:$C,'Boss Editor'!$D:$D,""))/100)+5)*XLOOKUP(XLOOKUP($L45,'Boss Editor'!$C:$C,'Boss Editor'!$E:$E,""),'Nature Editor'!$A:$A,'Nature Editor'!$E:$E,1))),stab,IF(OR(mtype=XLOOKUP(XLOOKUP($K45,'Threshold Summary'!$Y:$Y,'Threshold Summary'!$K:$K,""),'Pokemon Editor'!$A:$A,'Pokemon Editor'!$C:$C,""),mtype=XLOOKUP(XLOOKUP($K45,'Threshold Summary'!$Y:$Y,'Threshold Summary'!$K:$K,""),'Pokemon Editor'!$A:$A,'Pokemon Editor'!$D:$D,"")),1.5,1),eff,(INDEX('Type Chart'!$B:$S,MATCH(mtype,'Type Chart'!$A:$A,0),MATCH(XLOOKUP($L45,'Pokemon Editor'!$A:$A,'Pokemon Editor'!$C:$C,""),'Type Chart'!$B$1:$S$1,0))*IF(XLOOKUP($L45,'Pokemon Editor'!$A:$A,'Pokemon Editor'!$D:$D,"")="",1,INDEX('Type Chart'!$B:$S,MATCH(mtype,'Type Chart'!$A:$A,0),MATCH(XLOOKUP($L45,'Pokemon Editor'!$A:$A,'Pokemon Editor'!$D:$D,""),'Type Chart'!$B$1:$S$1,0)))),base,IF(OR(cat="Status",pow=0),0,FLOOR(FLOOR(FLOOR((2*XLOOKUP($K45,'Threshold Summary'!$Y:$Y,'Threshold Summary'!$L:$L,"")/5+2)*pow*atk/def)/50)+2)),modifier,stab*eff,FLOOR(base*modifier*0.85)),0)</f>
        <v/>
      </c>
      <c r="G45" s="3">
        <f>IFERROR(LET(mtype,XLOOKUP($D45,'Move Editor'!$B:$B,'Move Editor'!$C:$C,""),cat,XLOOKUP($D45,'Move Editor'!$B:$B,'Move Editor'!$D:$D,""),pow,XLOOKUP($D45,'Move Editor'!$B:$B,'Move Editor'!$E:$E,0),acc,XLOOKUP($D45,'Move Editor'!$B:$B,'Move Editor'!$F:$F,100),atk,IF(cat="Physical",FLOOR((FLOOR(((2*XLOOKUP(XLOOKUP($K45,'Threshold Summary'!$Y:$Y,'Threshold Summary'!$K:$K,""),'Pokemon Editor'!$A:$A,'Pokemon Editor'!$F:$F,0)+31+FLOOR(XLOOKUP($K45,'Threshold Summary'!$Y:$Y,'Threshold Summary'!$P:$P,"")/4))*XLOOKUP($K45,'Threshold Summary'!$Y:$Y,'Threshold Summary'!$L:$L,""))/100)+5)*XLOOKUP(XLOOKUP($K45,'Threshold Summary'!$Y:$Y,'Threshold Summary'!$M:$M,""),'Nature Editor'!$A:$A,'Nature Editor'!$B:$B,1)),FLOOR((FLOOR(((2*XLOOKUP(XLOOKUP($K45,'Threshold Summary'!$Y:$Y,'Threshold Summary'!$K:$K,""),'Pokemon Editor'!$A:$A,'Pokemon Editor'!$H:$H,0)+31+FLOOR(XLOOKUP($K45,'Threshold Summary'!$Y:$Y,'Threshold Summary'!$R:$R,"")/4))*XLOOKUP($K45,'Threshold Summary'!$Y:$Y,'Threshold Summary'!$L:$L,""))/100)+5)*XLOOKUP(XLOOKUP($K45,'Threshold Summary'!$Y:$Y,'Threshold Summary'!$M:$M,""),'Nature Editor'!$A:$A,'Nature Editor'!$D:$D,1))),def,IF(cat="Physical",FLOOR((FLOOR(((2*XLOOKUP($L45,'Pokemon Editor'!$A:$A,'Pokemon Editor'!$G:$G,0)+31+FLOOR(XLOOKUP($L45,'Boss Editor'!$C:$C,'Boss Editor'!$I:$I,"")/4))*XLOOKUP($L45,'Boss Editor'!$C:$C,'Boss Editor'!$D:$D,""))/100)+5)*XLOOKUP(XLOOKUP($L45,'Boss Editor'!$C:$C,'Boss Editor'!$E:$E,""),'Nature Editor'!$A:$A,'Nature Editor'!$C:$C,1)),FLOOR((FLOOR(((2*XLOOKUP($L45,'Pokemon Editor'!$A:$A,'Pokemon Editor'!$I:$I,0)+31+FLOOR(XLOOKUP($L45,'Boss Editor'!$C:$C,'Boss Editor'!$K:$K,"")/4))*XLOOKUP($L45,'Boss Editor'!$C:$C,'Boss Editor'!$D:$D,""))/100)+5)*XLOOKUP(XLOOKUP($L45,'Boss Editor'!$C:$C,'Boss Editor'!$E:$E,""),'Nature Editor'!$A:$A,'Nature Editor'!$E:$E,1))),stab,IF(OR(mtype=XLOOKUP(XLOOKUP($K45,'Threshold Summary'!$Y:$Y,'Threshold Summary'!$K:$K,""),'Pokemon Editor'!$A:$A,'Pokemon Editor'!$C:$C,""),mtype=XLOOKUP(XLOOKUP($K45,'Threshold Summary'!$Y:$Y,'Threshold Summary'!$K:$K,""),'Pokemon Editor'!$A:$A,'Pokemon Editor'!$D:$D,"")),1.5,1),eff,(INDEX('Type Chart'!$B:$S,MATCH(mtype,'Type Chart'!$A:$A,0),MATCH(XLOOKUP($L45,'Pokemon Editor'!$A:$A,'Pokemon Editor'!$C:$C,""),'Type Chart'!$B$1:$S$1,0))*IF(XLOOKUP($L45,'Pokemon Editor'!$A:$A,'Pokemon Editor'!$D:$D,"")="",1,INDEX('Type Chart'!$B:$S,MATCH(mtype,'Type Chart'!$A:$A,0),MATCH(XLOOKUP($L45,'Pokemon Editor'!$A:$A,'Pokemon Editor'!$D:$D,""),'Type Chart'!$B$1:$S$1,0)))),base,IF(OR(cat="Status",pow=0),0,FLOOR(FLOOR(FLOOR((2*XLOOKUP($K45,'Threshold Summary'!$Y:$Y,'Threshold Summary'!$L:$L,"")/5+2)*pow*atk/def)/50)+2)),modifier,stab*eff,FLOOR(base*modifier)),0)</f>
        <v/>
      </c>
      <c r="H45" s="3">
        <f>IFERROR(LET(mtype,XLOOKUP($D45,'Move Editor'!$B:$B,'Move Editor'!$C:$C,""),cat,XLOOKUP($D45,'Move Editor'!$B:$B,'Move Editor'!$D:$D,""),pow,XLOOKUP($D45,'Move Editor'!$B:$B,'Move Editor'!$E:$E,0),acc,XLOOKUP($D45,'Move Editor'!$B:$B,'Move Editor'!$F:$F,100),atk,IF(cat="Physical",FLOOR((FLOOR(((2*XLOOKUP(XLOOKUP($K45,'Threshold Summary'!$Y:$Y,'Threshold Summary'!$K:$K,""),'Pokemon Editor'!$A:$A,'Pokemon Editor'!$F:$F,0)+31+FLOOR(XLOOKUP($K45,'Threshold Summary'!$Y:$Y,'Threshold Summary'!$P:$P,"")/4))*XLOOKUP($K45,'Threshold Summary'!$Y:$Y,'Threshold Summary'!$L:$L,""))/100)+5)*XLOOKUP(XLOOKUP($K45,'Threshold Summary'!$Y:$Y,'Threshold Summary'!$M:$M,""),'Nature Editor'!$A:$A,'Nature Editor'!$B:$B,1)),FLOOR((FLOOR(((2*XLOOKUP(XLOOKUP($K45,'Threshold Summary'!$Y:$Y,'Threshold Summary'!$K:$K,""),'Pokemon Editor'!$A:$A,'Pokemon Editor'!$H:$H,0)+31+FLOOR(XLOOKUP($K45,'Threshold Summary'!$Y:$Y,'Threshold Summary'!$R:$R,"")/4))*XLOOKUP($K45,'Threshold Summary'!$Y:$Y,'Threshold Summary'!$L:$L,""))/100)+5)*XLOOKUP(XLOOKUP($K45,'Threshold Summary'!$Y:$Y,'Threshold Summary'!$M:$M,""),'Nature Editor'!$A:$A,'Nature Editor'!$D:$D,1))),def,IF(cat="Physical",FLOOR((FLOOR(((2*XLOOKUP($L45,'Pokemon Editor'!$A:$A,'Pokemon Editor'!$G:$G,0)+31+FLOOR(XLOOKUP($L45,'Boss Editor'!$C:$C,'Boss Editor'!$I:$I,"")/4))*XLOOKUP($L45,'Boss Editor'!$C:$C,'Boss Editor'!$D:$D,""))/100)+5)*XLOOKUP(XLOOKUP($L45,'Boss Editor'!$C:$C,'Boss Editor'!$E:$E,""),'Nature Editor'!$A:$A,'Nature Editor'!$C:$C,1)),FLOOR((FLOOR(((2*XLOOKUP($L45,'Pokemon Editor'!$A:$A,'Pokemon Editor'!$I:$I,0)+31+FLOOR(XLOOKUP($L45,'Boss Editor'!$C:$C,'Boss Editor'!$K:$K,"")/4))*XLOOKUP($L45,'Boss Editor'!$C:$C,'Boss Editor'!$D:$D,""))/100)+5)*XLOOKUP(XLOOKUP($L45,'Boss Editor'!$C:$C,'Boss Editor'!$E:$E,""),'Nature Editor'!$A:$A,'Nature Editor'!$E:$E,1))),stab,IF(OR(mtype=XLOOKUP(XLOOKUP($K45,'Threshold Summary'!$Y:$Y,'Threshold Summary'!$K:$K,""),'Pokemon Editor'!$A:$A,'Pokemon Editor'!$C:$C,""),mtype=XLOOKUP(XLOOKUP($K45,'Threshold Summary'!$Y:$Y,'Threshold Summary'!$K:$K,""),'Pokemon Editor'!$A:$A,'Pokemon Editor'!$D:$D,"")),1.5,1),eff,(INDEX('Type Chart'!$B:$S,MATCH(mtype,'Type Chart'!$A:$A,0),MATCH(XLOOKUP($L45,'Pokemon Editor'!$A:$A,'Pokemon Editor'!$C:$C,""),'Type Chart'!$B$1:$S$1,0))*IF(XLOOKUP($L45,'Pokemon Editor'!$A:$A,'Pokemon Editor'!$D:$D,"")="",1,INDEX('Type Chart'!$B:$S,MATCH(mtype,'Type Chart'!$A:$A,0),MATCH(XLOOKUP($L45,'Pokemon Editor'!$A:$A,'Pokemon Editor'!$D:$D,""),'Type Chart'!$B$1:$S$1,0)))),base,IF(OR(cat="Status",pow=0),0,FLOOR(FLOOR(FLOOR((2*XLOOKUP($K45,'Threshold Summary'!$Y:$Y,'Threshold Summary'!$L:$L,"")/5+2)*pow*atk/def)/50)+2)),modifier,stab*eff,AVERAGE(ARRAYFORMULA(FLOOR(base*modifier*SEQUENCE(16,1,85,1)/100)))),0)</f>
        <v/>
      </c>
      <c r="I45" s="4">
        <f>IFERROR(LET(mtype,XLOOKUP($D45,'Move Editor'!$B:$B,'Move Editor'!$C:$C,""),cat,XLOOKUP($D45,'Move Editor'!$B:$B,'Move Editor'!$D:$D,""),pow,XLOOKUP($D45,'Move Editor'!$B:$B,'Move Editor'!$E:$E,0),acc,XLOOKUP($D45,'Move Editor'!$B:$B,'Move Editor'!$F:$F,100),atk,IF(cat="Physical",FLOOR((FLOOR(((2*XLOOKUP(XLOOKUP($K45,'Threshold Summary'!$Y:$Y,'Threshold Summary'!$K:$K,""),'Pokemon Editor'!$A:$A,'Pokemon Editor'!$F:$F,0)+31+FLOOR(XLOOKUP($K45,'Threshold Summary'!$Y:$Y,'Threshold Summary'!$P:$P,"")/4))*XLOOKUP($K45,'Threshold Summary'!$Y:$Y,'Threshold Summary'!$L:$L,""))/100)+5)*XLOOKUP(XLOOKUP($K45,'Threshold Summary'!$Y:$Y,'Threshold Summary'!$M:$M,""),'Nature Editor'!$A:$A,'Nature Editor'!$B:$B,1)),FLOOR((FLOOR(((2*XLOOKUP(XLOOKUP($K45,'Threshold Summary'!$Y:$Y,'Threshold Summary'!$K:$K,""),'Pokemon Editor'!$A:$A,'Pokemon Editor'!$H:$H,0)+31+FLOOR(XLOOKUP($K45,'Threshold Summary'!$Y:$Y,'Threshold Summary'!$R:$R,"")/4))*XLOOKUP($K45,'Threshold Summary'!$Y:$Y,'Threshold Summary'!$L:$L,""))/100)+5)*XLOOKUP(XLOOKUP($K45,'Threshold Summary'!$Y:$Y,'Threshold Summary'!$M:$M,""),'Nature Editor'!$A:$A,'Nature Editor'!$D:$D,1))),def,IF(cat="Physical",FLOOR((FLOOR(((2*XLOOKUP($L45,'Pokemon Editor'!$A:$A,'Pokemon Editor'!$G:$G,0)+31+FLOOR(XLOOKUP($L45,'Boss Editor'!$C:$C,'Boss Editor'!$I:$I,"")/4))*XLOOKUP($L45,'Boss Editor'!$C:$C,'Boss Editor'!$D:$D,""))/100)+5)*XLOOKUP(XLOOKUP($L45,'Boss Editor'!$C:$C,'Boss Editor'!$E:$E,""),'Nature Editor'!$A:$A,'Nature Editor'!$C:$C,1)),FLOOR((FLOOR(((2*XLOOKUP($L45,'Pokemon Editor'!$A:$A,'Pokemon Editor'!$I:$I,0)+31+FLOOR(XLOOKUP($L45,'Boss Editor'!$C:$C,'Boss Editor'!$K:$K,"")/4))*XLOOKUP($L45,'Boss Editor'!$C:$C,'Boss Editor'!$D:$D,""))/100)+5)*XLOOKUP(XLOOKUP($L45,'Boss Editor'!$C:$C,'Boss Editor'!$E:$E,""),'Nature Editor'!$A:$A,'Nature Editor'!$E:$E,1))),stab,IF(OR(mtype=XLOOKUP(XLOOKUP($K45,'Threshold Summary'!$Y:$Y,'Threshold Summary'!$K:$K,""),'Pokemon Editor'!$A:$A,'Pokemon Editor'!$C:$C,""),mtype=XLOOKUP(XLOOKUP($K45,'Threshold Summary'!$Y:$Y,'Threshold Summary'!$K:$K,""),'Pokemon Editor'!$A:$A,'Pokemon Editor'!$D:$D,"")),1.5,1),eff,(INDEX('Type Chart'!$B:$S,MATCH(mtype,'Type Chart'!$A:$A,0),MATCH(XLOOKUP($L45,'Pokemon Editor'!$A:$A,'Pokemon Editor'!$C:$C,""),'Type Chart'!$B$1:$S$1,0))*IF(XLOOKUP($L45,'Pokemon Editor'!$A:$A,'Pokemon Editor'!$D:$D,"")="",1,INDEX('Type Chart'!$B:$S,MATCH(mtype,'Type Chart'!$A:$A,0),MATCH(XLOOKUP($L45,'Pokemon Editor'!$A:$A,'Pokemon Editor'!$D:$D,""),'Type Chart'!$B$1:$S$1,0)))),base,IF(OR(cat="Status",pow=0),0,FLOOR(FLOOR(FLOOR((2*XLOOKUP($K45,'Threshold Summary'!$Y:$Y,'Threshold Summary'!$L:$L,"")/5+2)*pow*atk/def)/50)+2)),modifier,stab*eff,AVERAGE(ARRAYFORMULA(FLOOR(base*modifier*SEQUENCE(16,1,85,1)/100)))/(FLOOR(((2*XLOOKUP($L45,'Pokemon Editor'!$A:$A,'Pokemon Editor'!$E:$E,0)+31+FLOOR(XLOOKUP($L45,'Boss Editor'!$C:$C,'Boss Editor'!$G:$G,"")/4))*XLOOKUP($L45,'Boss Editor'!$C:$C,'Boss Editor'!$D:$D,""))/100)+XLOOKUP($L45,'Boss Editor'!$C:$C,'Boss Editor'!$D:$D,"")+10)),0)</f>
        <v/>
      </c>
      <c r="J45" s="3">
        <f>IF(I45&gt;=1,"OHKO",IF(I45&gt;=0.5,"2HKO",IF(I45&gt;=0.333,"3HKO",IF(I45&gt;=0.25,"4HKO","5HKO+"))))</f>
        <v/>
      </c>
      <c r="K45" s="3" t="inlineStr">
        <is>
          <t>SPECIES_SEWADDLE</t>
        </is>
      </c>
      <c r="L45" s="3" t="inlineStr">
        <is>
          <t>SPECIES_ANORITH</t>
        </is>
      </c>
    </row>
    <row r="46">
      <c r="A46" s="3">
        <f>XLOOKUP($K46,'Threshold Summary'!$Y:$Y,'Threshold Summary'!$A:$A,"")</f>
        <v/>
      </c>
      <c r="B46" s="3" t="inlineStr">
        <is>
          <t>Lileep</t>
        </is>
      </c>
      <c r="C46" s="3">
        <f>XLOOKUP($L46,'Boss Editor'!$C:$C,'Boss Editor'!$D:$D,"")</f>
        <v/>
      </c>
      <c r="D46" s="3">
        <f>XLOOKUP($K46,'Threshold Summary'!$Y:$Y,'Threshold Summary'!$B:$B,"")</f>
        <v/>
      </c>
      <c r="E46" s="3">
        <f>XLOOKUP(D46,'Move Editor'!$B:$B,'Move Editor'!$C:$C,"")</f>
        <v/>
      </c>
      <c r="F46" s="3">
        <f>IFERROR(LET(mtype,XLOOKUP($D46,'Move Editor'!$B:$B,'Move Editor'!$C:$C,""),cat,XLOOKUP($D46,'Move Editor'!$B:$B,'Move Editor'!$D:$D,""),pow,XLOOKUP($D46,'Move Editor'!$B:$B,'Move Editor'!$E:$E,0),acc,XLOOKUP($D46,'Move Editor'!$B:$B,'Move Editor'!$F:$F,100),atk,IF(cat="Physical",FLOOR((FLOOR(((2*XLOOKUP(XLOOKUP($K46,'Threshold Summary'!$Y:$Y,'Threshold Summary'!$K:$K,""),'Pokemon Editor'!$A:$A,'Pokemon Editor'!$F:$F,0)+31+FLOOR(XLOOKUP($K46,'Threshold Summary'!$Y:$Y,'Threshold Summary'!$P:$P,"")/4))*XLOOKUP($K46,'Threshold Summary'!$Y:$Y,'Threshold Summary'!$L:$L,""))/100)+5)*XLOOKUP(XLOOKUP($K46,'Threshold Summary'!$Y:$Y,'Threshold Summary'!$M:$M,""),'Nature Editor'!$A:$A,'Nature Editor'!$B:$B,1)),FLOOR((FLOOR(((2*XLOOKUP(XLOOKUP($K46,'Threshold Summary'!$Y:$Y,'Threshold Summary'!$K:$K,""),'Pokemon Editor'!$A:$A,'Pokemon Editor'!$H:$H,0)+31+FLOOR(XLOOKUP($K46,'Threshold Summary'!$Y:$Y,'Threshold Summary'!$R:$R,"")/4))*XLOOKUP($K46,'Threshold Summary'!$Y:$Y,'Threshold Summary'!$L:$L,""))/100)+5)*XLOOKUP(XLOOKUP($K46,'Threshold Summary'!$Y:$Y,'Threshold Summary'!$M:$M,""),'Nature Editor'!$A:$A,'Nature Editor'!$D:$D,1))),def,IF(cat="Physical",FLOOR((FLOOR(((2*XLOOKUP($L46,'Pokemon Editor'!$A:$A,'Pokemon Editor'!$G:$G,0)+31+FLOOR(XLOOKUP($L46,'Boss Editor'!$C:$C,'Boss Editor'!$I:$I,"")/4))*XLOOKUP($L46,'Boss Editor'!$C:$C,'Boss Editor'!$D:$D,""))/100)+5)*XLOOKUP(XLOOKUP($L46,'Boss Editor'!$C:$C,'Boss Editor'!$E:$E,""),'Nature Editor'!$A:$A,'Nature Editor'!$C:$C,1)),FLOOR((FLOOR(((2*XLOOKUP($L46,'Pokemon Editor'!$A:$A,'Pokemon Editor'!$I:$I,0)+31+FLOOR(XLOOKUP($L46,'Boss Editor'!$C:$C,'Boss Editor'!$K:$K,"")/4))*XLOOKUP($L46,'Boss Editor'!$C:$C,'Boss Editor'!$D:$D,""))/100)+5)*XLOOKUP(XLOOKUP($L46,'Boss Editor'!$C:$C,'Boss Editor'!$E:$E,""),'Nature Editor'!$A:$A,'Nature Editor'!$E:$E,1))),stab,IF(OR(mtype=XLOOKUP(XLOOKUP($K46,'Threshold Summary'!$Y:$Y,'Threshold Summary'!$K:$K,""),'Pokemon Editor'!$A:$A,'Pokemon Editor'!$C:$C,""),mtype=XLOOKUP(XLOOKUP($K46,'Threshold Summary'!$Y:$Y,'Threshold Summary'!$K:$K,""),'Pokemon Editor'!$A:$A,'Pokemon Editor'!$D:$D,"")),1.5,1),eff,(INDEX('Type Chart'!$B:$S,MATCH(mtype,'Type Chart'!$A:$A,0),MATCH(XLOOKUP($L46,'Pokemon Editor'!$A:$A,'Pokemon Editor'!$C:$C,""),'Type Chart'!$B$1:$S$1,0))*IF(XLOOKUP($L46,'Pokemon Editor'!$A:$A,'Pokemon Editor'!$D:$D,"")="",1,INDEX('Type Chart'!$B:$S,MATCH(mtype,'Type Chart'!$A:$A,0),MATCH(XLOOKUP($L46,'Pokemon Editor'!$A:$A,'Pokemon Editor'!$D:$D,""),'Type Chart'!$B$1:$S$1,0)))),base,IF(OR(cat="Status",pow=0),0,FLOOR(FLOOR(FLOOR((2*XLOOKUP($K46,'Threshold Summary'!$Y:$Y,'Threshold Summary'!$L:$L,"")/5+2)*pow*atk/def)/50)+2)),modifier,stab*eff,FLOOR(base*modifier*0.85)),0)</f>
        <v/>
      </c>
      <c r="G46" s="3">
        <f>IFERROR(LET(mtype,XLOOKUP($D46,'Move Editor'!$B:$B,'Move Editor'!$C:$C,""),cat,XLOOKUP($D46,'Move Editor'!$B:$B,'Move Editor'!$D:$D,""),pow,XLOOKUP($D46,'Move Editor'!$B:$B,'Move Editor'!$E:$E,0),acc,XLOOKUP($D46,'Move Editor'!$B:$B,'Move Editor'!$F:$F,100),atk,IF(cat="Physical",FLOOR((FLOOR(((2*XLOOKUP(XLOOKUP($K46,'Threshold Summary'!$Y:$Y,'Threshold Summary'!$K:$K,""),'Pokemon Editor'!$A:$A,'Pokemon Editor'!$F:$F,0)+31+FLOOR(XLOOKUP($K46,'Threshold Summary'!$Y:$Y,'Threshold Summary'!$P:$P,"")/4))*XLOOKUP($K46,'Threshold Summary'!$Y:$Y,'Threshold Summary'!$L:$L,""))/100)+5)*XLOOKUP(XLOOKUP($K46,'Threshold Summary'!$Y:$Y,'Threshold Summary'!$M:$M,""),'Nature Editor'!$A:$A,'Nature Editor'!$B:$B,1)),FLOOR((FLOOR(((2*XLOOKUP(XLOOKUP($K46,'Threshold Summary'!$Y:$Y,'Threshold Summary'!$K:$K,""),'Pokemon Editor'!$A:$A,'Pokemon Editor'!$H:$H,0)+31+FLOOR(XLOOKUP($K46,'Threshold Summary'!$Y:$Y,'Threshold Summary'!$R:$R,"")/4))*XLOOKUP($K46,'Threshold Summary'!$Y:$Y,'Threshold Summary'!$L:$L,""))/100)+5)*XLOOKUP(XLOOKUP($K46,'Threshold Summary'!$Y:$Y,'Threshold Summary'!$M:$M,""),'Nature Editor'!$A:$A,'Nature Editor'!$D:$D,1))),def,IF(cat="Physical",FLOOR((FLOOR(((2*XLOOKUP($L46,'Pokemon Editor'!$A:$A,'Pokemon Editor'!$G:$G,0)+31+FLOOR(XLOOKUP($L46,'Boss Editor'!$C:$C,'Boss Editor'!$I:$I,"")/4))*XLOOKUP($L46,'Boss Editor'!$C:$C,'Boss Editor'!$D:$D,""))/100)+5)*XLOOKUP(XLOOKUP($L46,'Boss Editor'!$C:$C,'Boss Editor'!$E:$E,""),'Nature Editor'!$A:$A,'Nature Editor'!$C:$C,1)),FLOOR((FLOOR(((2*XLOOKUP($L46,'Pokemon Editor'!$A:$A,'Pokemon Editor'!$I:$I,0)+31+FLOOR(XLOOKUP($L46,'Boss Editor'!$C:$C,'Boss Editor'!$K:$K,"")/4))*XLOOKUP($L46,'Boss Editor'!$C:$C,'Boss Editor'!$D:$D,""))/100)+5)*XLOOKUP(XLOOKUP($L46,'Boss Editor'!$C:$C,'Boss Editor'!$E:$E,""),'Nature Editor'!$A:$A,'Nature Editor'!$E:$E,1))),stab,IF(OR(mtype=XLOOKUP(XLOOKUP($K46,'Threshold Summary'!$Y:$Y,'Threshold Summary'!$K:$K,""),'Pokemon Editor'!$A:$A,'Pokemon Editor'!$C:$C,""),mtype=XLOOKUP(XLOOKUP($K46,'Threshold Summary'!$Y:$Y,'Threshold Summary'!$K:$K,""),'Pokemon Editor'!$A:$A,'Pokemon Editor'!$D:$D,"")),1.5,1),eff,(INDEX('Type Chart'!$B:$S,MATCH(mtype,'Type Chart'!$A:$A,0),MATCH(XLOOKUP($L46,'Pokemon Editor'!$A:$A,'Pokemon Editor'!$C:$C,""),'Type Chart'!$B$1:$S$1,0))*IF(XLOOKUP($L46,'Pokemon Editor'!$A:$A,'Pokemon Editor'!$D:$D,"")="",1,INDEX('Type Chart'!$B:$S,MATCH(mtype,'Type Chart'!$A:$A,0),MATCH(XLOOKUP($L46,'Pokemon Editor'!$A:$A,'Pokemon Editor'!$D:$D,""),'Type Chart'!$B$1:$S$1,0)))),base,IF(OR(cat="Status",pow=0),0,FLOOR(FLOOR(FLOOR((2*XLOOKUP($K46,'Threshold Summary'!$Y:$Y,'Threshold Summary'!$L:$L,"")/5+2)*pow*atk/def)/50)+2)),modifier,stab*eff,FLOOR(base*modifier)),0)</f>
        <v/>
      </c>
      <c r="H46" s="3">
        <f>IFERROR(LET(mtype,XLOOKUP($D46,'Move Editor'!$B:$B,'Move Editor'!$C:$C,""),cat,XLOOKUP($D46,'Move Editor'!$B:$B,'Move Editor'!$D:$D,""),pow,XLOOKUP($D46,'Move Editor'!$B:$B,'Move Editor'!$E:$E,0),acc,XLOOKUP($D46,'Move Editor'!$B:$B,'Move Editor'!$F:$F,100),atk,IF(cat="Physical",FLOOR((FLOOR(((2*XLOOKUP(XLOOKUP($K46,'Threshold Summary'!$Y:$Y,'Threshold Summary'!$K:$K,""),'Pokemon Editor'!$A:$A,'Pokemon Editor'!$F:$F,0)+31+FLOOR(XLOOKUP($K46,'Threshold Summary'!$Y:$Y,'Threshold Summary'!$P:$P,"")/4))*XLOOKUP($K46,'Threshold Summary'!$Y:$Y,'Threshold Summary'!$L:$L,""))/100)+5)*XLOOKUP(XLOOKUP($K46,'Threshold Summary'!$Y:$Y,'Threshold Summary'!$M:$M,""),'Nature Editor'!$A:$A,'Nature Editor'!$B:$B,1)),FLOOR((FLOOR(((2*XLOOKUP(XLOOKUP($K46,'Threshold Summary'!$Y:$Y,'Threshold Summary'!$K:$K,""),'Pokemon Editor'!$A:$A,'Pokemon Editor'!$H:$H,0)+31+FLOOR(XLOOKUP($K46,'Threshold Summary'!$Y:$Y,'Threshold Summary'!$R:$R,"")/4))*XLOOKUP($K46,'Threshold Summary'!$Y:$Y,'Threshold Summary'!$L:$L,""))/100)+5)*XLOOKUP(XLOOKUP($K46,'Threshold Summary'!$Y:$Y,'Threshold Summary'!$M:$M,""),'Nature Editor'!$A:$A,'Nature Editor'!$D:$D,1))),def,IF(cat="Physical",FLOOR((FLOOR(((2*XLOOKUP($L46,'Pokemon Editor'!$A:$A,'Pokemon Editor'!$G:$G,0)+31+FLOOR(XLOOKUP($L46,'Boss Editor'!$C:$C,'Boss Editor'!$I:$I,"")/4))*XLOOKUP($L46,'Boss Editor'!$C:$C,'Boss Editor'!$D:$D,""))/100)+5)*XLOOKUP(XLOOKUP($L46,'Boss Editor'!$C:$C,'Boss Editor'!$E:$E,""),'Nature Editor'!$A:$A,'Nature Editor'!$C:$C,1)),FLOOR((FLOOR(((2*XLOOKUP($L46,'Pokemon Editor'!$A:$A,'Pokemon Editor'!$I:$I,0)+31+FLOOR(XLOOKUP($L46,'Boss Editor'!$C:$C,'Boss Editor'!$K:$K,"")/4))*XLOOKUP($L46,'Boss Editor'!$C:$C,'Boss Editor'!$D:$D,""))/100)+5)*XLOOKUP(XLOOKUP($L46,'Boss Editor'!$C:$C,'Boss Editor'!$E:$E,""),'Nature Editor'!$A:$A,'Nature Editor'!$E:$E,1))),stab,IF(OR(mtype=XLOOKUP(XLOOKUP($K46,'Threshold Summary'!$Y:$Y,'Threshold Summary'!$K:$K,""),'Pokemon Editor'!$A:$A,'Pokemon Editor'!$C:$C,""),mtype=XLOOKUP(XLOOKUP($K46,'Threshold Summary'!$Y:$Y,'Threshold Summary'!$K:$K,""),'Pokemon Editor'!$A:$A,'Pokemon Editor'!$D:$D,"")),1.5,1),eff,(INDEX('Type Chart'!$B:$S,MATCH(mtype,'Type Chart'!$A:$A,0),MATCH(XLOOKUP($L46,'Pokemon Editor'!$A:$A,'Pokemon Editor'!$C:$C,""),'Type Chart'!$B$1:$S$1,0))*IF(XLOOKUP($L46,'Pokemon Editor'!$A:$A,'Pokemon Editor'!$D:$D,"")="",1,INDEX('Type Chart'!$B:$S,MATCH(mtype,'Type Chart'!$A:$A,0),MATCH(XLOOKUP($L46,'Pokemon Editor'!$A:$A,'Pokemon Editor'!$D:$D,""),'Type Chart'!$B$1:$S$1,0)))),base,IF(OR(cat="Status",pow=0),0,FLOOR(FLOOR(FLOOR((2*XLOOKUP($K46,'Threshold Summary'!$Y:$Y,'Threshold Summary'!$L:$L,"")/5+2)*pow*atk/def)/50)+2)),modifier,stab*eff,AVERAGE(ARRAYFORMULA(FLOOR(base*modifier*SEQUENCE(16,1,85,1)/100)))),0)</f>
        <v/>
      </c>
      <c r="I46" s="4">
        <f>IFERROR(LET(mtype,XLOOKUP($D46,'Move Editor'!$B:$B,'Move Editor'!$C:$C,""),cat,XLOOKUP($D46,'Move Editor'!$B:$B,'Move Editor'!$D:$D,""),pow,XLOOKUP($D46,'Move Editor'!$B:$B,'Move Editor'!$E:$E,0),acc,XLOOKUP($D46,'Move Editor'!$B:$B,'Move Editor'!$F:$F,100),atk,IF(cat="Physical",FLOOR((FLOOR(((2*XLOOKUP(XLOOKUP($K46,'Threshold Summary'!$Y:$Y,'Threshold Summary'!$K:$K,""),'Pokemon Editor'!$A:$A,'Pokemon Editor'!$F:$F,0)+31+FLOOR(XLOOKUP($K46,'Threshold Summary'!$Y:$Y,'Threshold Summary'!$P:$P,"")/4))*XLOOKUP($K46,'Threshold Summary'!$Y:$Y,'Threshold Summary'!$L:$L,""))/100)+5)*XLOOKUP(XLOOKUP($K46,'Threshold Summary'!$Y:$Y,'Threshold Summary'!$M:$M,""),'Nature Editor'!$A:$A,'Nature Editor'!$B:$B,1)),FLOOR((FLOOR(((2*XLOOKUP(XLOOKUP($K46,'Threshold Summary'!$Y:$Y,'Threshold Summary'!$K:$K,""),'Pokemon Editor'!$A:$A,'Pokemon Editor'!$H:$H,0)+31+FLOOR(XLOOKUP($K46,'Threshold Summary'!$Y:$Y,'Threshold Summary'!$R:$R,"")/4))*XLOOKUP($K46,'Threshold Summary'!$Y:$Y,'Threshold Summary'!$L:$L,""))/100)+5)*XLOOKUP(XLOOKUP($K46,'Threshold Summary'!$Y:$Y,'Threshold Summary'!$M:$M,""),'Nature Editor'!$A:$A,'Nature Editor'!$D:$D,1))),def,IF(cat="Physical",FLOOR((FLOOR(((2*XLOOKUP($L46,'Pokemon Editor'!$A:$A,'Pokemon Editor'!$G:$G,0)+31+FLOOR(XLOOKUP($L46,'Boss Editor'!$C:$C,'Boss Editor'!$I:$I,"")/4))*XLOOKUP($L46,'Boss Editor'!$C:$C,'Boss Editor'!$D:$D,""))/100)+5)*XLOOKUP(XLOOKUP($L46,'Boss Editor'!$C:$C,'Boss Editor'!$E:$E,""),'Nature Editor'!$A:$A,'Nature Editor'!$C:$C,1)),FLOOR((FLOOR(((2*XLOOKUP($L46,'Pokemon Editor'!$A:$A,'Pokemon Editor'!$I:$I,0)+31+FLOOR(XLOOKUP($L46,'Boss Editor'!$C:$C,'Boss Editor'!$K:$K,"")/4))*XLOOKUP($L46,'Boss Editor'!$C:$C,'Boss Editor'!$D:$D,""))/100)+5)*XLOOKUP(XLOOKUP($L46,'Boss Editor'!$C:$C,'Boss Editor'!$E:$E,""),'Nature Editor'!$A:$A,'Nature Editor'!$E:$E,1))),stab,IF(OR(mtype=XLOOKUP(XLOOKUP($K46,'Threshold Summary'!$Y:$Y,'Threshold Summary'!$K:$K,""),'Pokemon Editor'!$A:$A,'Pokemon Editor'!$C:$C,""),mtype=XLOOKUP(XLOOKUP($K46,'Threshold Summary'!$Y:$Y,'Threshold Summary'!$K:$K,""),'Pokemon Editor'!$A:$A,'Pokemon Editor'!$D:$D,"")),1.5,1),eff,(INDEX('Type Chart'!$B:$S,MATCH(mtype,'Type Chart'!$A:$A,0),MATCH(XLOOKUP($L46,'Pokemon Editor'!$A:$A,'Pokemon Editor'!$C:$C,""),'Type Chart'!$B$1:$S$1,0))*IF(XLOOKUP($L46,'Pokemon Editor'!$A:$A,'Pokemon Editor'!$D:$D,"")="",1,INDEX('Type Chart'!$B:$S,MATCH(mtype,'Type Chart'!$A:$A,0),MATCH(XLOOKUP($L46,'Pokemon Editor'!$A:$A,'Pokemon Editor'!$D:$D,""),'Type Chart'!$B$1:$S$1,0)))),base,IF(OR(cat="Status",pow=0),0,FLOOR(FLOOR(FLOOR((2*XLOOKUP($K46,'Threshold Summary'!$Y:$Y,'Threshold Summary'!$L:$L,"")/5+2)*pow*atk/def)/50)+2)),modifier,stab*eff,AVERAGE(ARRAYFORMULA(FLOOR(base*modifier*SEQUENCE(16,1,85,1)/100)))/(FLOOR(((2*XLOOKUP($L46,'Pokemon Editor'!$A:$A,'Pokemon Editor'!$E:$E,0)+31+FLOOR(XLOOKUP($L46,'Boss Editor'!$C:$C,'Boss Editor'!$G:$G,"")/4))*XLOOKUP($L46,'Boss Editor'!$C:$C,'Boss Editor'!$D:$D,""))/100)+XLOOKUP($L46,'Boss Editor'!$C:$C,'Boss Editor'!$D:$D,"")+10)),0)</f>
        <v/>
      </c>
      <c r="J46" s="3">
        <f>IF(I46&gt;=1,"OHKO",IF(I46&gt;=0.5,"2HKO",IF(I46&gt;=0.333,"3HKO",IF(I46&gt;=0.25,"4HKO","5HKO+"))))</f>
        <v/>
      </c>
      <c r="K46" s="3" t="inlineStr">
        <is>
          <t>SPECIES_SEWADDLE</t>
        </is>
      </c>
      <c r="L46" s="3" t="inlineStr">
        <is>
          <t>SPECIES_LILEEP</t>
        </is>
      </c>
    </row>
    <row r="47">
      <c r="A47" s="3">
        <f>XLOOKUP($K47,'Threshold Summary'!$Y:$Y,'Threshold Summary'!$A:$A,"")</f>
        <v/>
      </c>
      <c r="B47" s="3" t="inlineStr">
        <is>
          <t>Tirtouga</t>
        </is>
      </c>
      <c r="C47" s="3">
        <f>XLOOKUP($L47,'Boss Editor'!$C:$C,'Boss Editor'!$D:$D,"")</f>
        <v/>
      </c>
      <c r="D47" s="3">
        <f>XLOOKUP($K47,'Threshold Summary'!$Y:$Y,'Threshold Summary'!$B:$B,"")</f>
        <v/>
      </c>
      <c r="E47" s="3">
        <f>XLOOKUP(D47,'Move Editor'!$B:$B,'Move Editor'!$C:$C,"")</f>
        <v/>
      </c>
      <c r="F47" s="3">
        <f>IFERROR(LET(mtype,XLOOKUP($D47,'Move Editor'!$B:$B,'Move Editor'!$C:$C,""),cat,XLOOKUP($D47,'Move Editor'!$B:$B,'Move Editor'!$D:$D,""),pow,XLOOKUP($D47,'Move Editor'!$B:$B,'Move Editor'!$E:$E,0),acc,XLOOKUP($D47,'Move Editor'!$B:$B,'Move Editor'!$F:$F,100),atk,IF(cat="Physical",FLOOR((FLOOR(((2*XLOOKUP(XLOOKUP($K47,'Threshold Summary'!$Y:$Y,'Threshold Summary'!$K:$K,""),'Pokemon Editor'!$A:$A,'Pokemon Editor'!$F:$F,0)+31+FLOOR(XLOOKUP($K47,'Threshold Summary'!$Y:$Y,'Threshold Summary'!$P:$P,"")/4))*XLOOKUP($K47,'Threshold Summary'!$Y:$Y,'Threshold Summary'!$L:$L,""))/100)+5)*XLOOKUP(XLOOKUP($K47,'Threshold Summary'!$Y:$Y,'Threshold Summary'!$M:$M,""),'Nature Editor'!$A:$A,'Nature Editor'!$B:$B,1)),FLOOR((FLOOR(((2*XLOOKUP(XLOOKUP($K47,'Threshold Summary'!$Y:$Y,'Threshold Summary'!$K:$K,""),'Pokemon Editor'!$A:$A,'Pokemon Editor'!$H:$H,0)+31+FLOOR(XLOOKUP($K47,'Threshold Summary'!$Y:$Y,'Threshold Summary'!$R:$R,"")/4))*XLOOKUP($K47,'Threshold Summary'!$Y:$Y,'Threshold Summary'!$L:$L,""))/100)+5)*XLOOKUP(XLOOKUP($K47,'Threshold Summary'!$Y:$Y,'Threshold Summary'!$M:$M,""),'Nature Editor'!$A:$A,'Nature Editor'!$D:$D,1))),def,IF(cat="Physical",FLOOR((FLOOR(((2*XLOOKUP($L47,'Pokemon Editor'!$A:$A,'Pokemon Editor'!$G:$G,0)+31+FLOOR(XLOOKUP($L47,'Boss Editor'!$C:$C,'Boss Editor'!$I:$I,"")/4))*XLOOKUP($L47,'Boss Editor'!$C:$C,'Boss Editor'!$D:$D,""))/100)+5)*XLOOKUP(XLOOKUP($L47,'Boss Editor'!$C:$C,'Boss Editor'!$E:$E,""),'Nature Editor'!$A:$A,'Nature Editor'!$C:$C,1)),FLOOR((FLOOR(((2*XLOOKUP($L47,'Pokemon Editor'!$A:$A,'Pokemon Editor'!$I:$I,0)+31+FLOOR(XLOOKUP($L47,'Boss Editor'!$C:$C,'Boss Editor'!$K:$K,"")/4))*XLOOKUP($L47,'Boss Editor'!$C:$C,'Boss Editor'!$D:$D,""))/100)+5)*XLOOKUP(XLOOKUP($L47,'Boss Editor'!$C:$C,'Boss Editor'!$E:$E,""),'Nature Editor'!$A:$A,'Nature Editor'!$E:$E,1))),stab,IF(OR(mtype=XLOOKUP(XLOOKUP($K47,'Threshold Summary'!$Y:$Y,'Threshold Summary'!$K:$K,""),'Pokemon Editor'!$A:$A,'Pokemon Editor'!$C:$C,""),mtype=XLOOKUP(XLOOKUP($K47,'Threshold Summary'!$Y:$Y,'Threshold Summary'!$K:$K,""),'Pokemon Editor'!$A:$A,'Pokemon Editor'!$D:$D,"")),1.5,1),eff,(INDEX('Type Chart'!$B:$S,MATCH(mtype,'Type Chart'!$A:$A,0),MATCH(XLOOKUP($L47,'Pokemon Editor'!$A:$A,'Pokemon Editor'!$C:$C,""),'Type Chart'!$B$1:$S$1,0))*IF(XLOOKUP($L47,'Pokemon Editor'!$A:$A,'Pokemon Editor'!$D:$D,"")="",1,INDEX('Type Chart'!$B:$S,MATCH(mtype,'Type Chart'!$A:$A,0),MATCH(XLOOKUP($L47,'Pokemon Editor'!$A:$A,'Pokemon Editor'!$D:$D,""),'Type Chart'!$B$1:$S$1,0)))),base,IF(OR(cat="Status",pow=0),0,FLOOR(FLOOR(FLOOR((2*XLOOKUP($K47,'Threshold Summary'!$Y:$Y,'Threshold Summary'!$L:$L,"")/5+2)*pow*atk/def)/50)+2)),modifier,stab*eff,FLOOR(base*modifier*0.85)),0)</f>
        <v/>
      </c>
      <c r="G47" s="3">
        <f>IFERROR(LET(mtype,XLOOKUP($D47,'Move Editor'!$B:$B,'Move Editor'!$C:$C,""),cat,XLOOKUP($D47,'Move Editor'!$B:$B,'Move Editor'!$D:$D,""),pow,XLOOKUP($D47,'Move Editor'!$B:$B,'Move Editor'!$E:$E,0),acc,XLOOKUP($D47,'Move Editor'!$B:$B,'Move Editor'!$F:$F,100),atk,IF(cat="Physical",FLOOR((FLOOR(((2*XLOOKUP(XLOOKUP($K47,'Threshold Summary'!$Y:$Y,'Threshold Summary'!$K:$K,""),'Pokemon Editor'!$A:$A,'Pokemon Editor'!$F:$F,0)+31+FLOOR(XLOOKUP($K47,'Threshold Summary'!$Y:$Y,'Threshold Summary'!$P:$P,"")/4))*XLOOKUP($K47,'Threshold Summary'!$Y:$Y,'Threshold Summary'!$L:$L,""))/100)+5)*XLOOKUP(XLOOKUP($K47,'Threshold Summary'!$Y:$Y,'Threshold Summary'!$M:$M,""),'Nature Editor'!$A:$A,'Nature Editor'!$B:$B,1)),FLOOR((FLOOR(((2*XLOOKUP(XLOOKUP($K47,'Threshold Summary'!$Y:$Y,'Threshold Summary'!$K:$K,""),'Pokemon Editor'!$A:$A,'Pokemon Editor'!$H:$H,0)+31+FLOOR(XLOOKUP($K47,'Threshold Summary'!$Y:$Y,'Threshold Summary'!$R:$R,"")/4))*XLOOKUP($K47,'Threshold Summary'!$Y:$Y,'Threshold Summary'!$L:$L,""))/100)+5)*XLOOKUP(XLOOKUP($K47,'Threshold Summary'!$Y:$Y,'Threshold Summary'!$M:$M,""),'Nature Editor'!$A:$A,'Nature Editor'!$D:$D,1))),def,IF(cat="Physical",FLOOR((FLOOR(((2*XLOOKUP($L47,'Pokemon Editor'!$A:$A,'Pokemon Editor'!$G:$G,0)+31+FLOOR(XLOOKUP($L47,'Boss Editor'!$C:$C,'Boss Editor'!$I:$I,"")/4))*XLOOKUP($L47,'Boss Editor'!$C:$C,'Boss Editor'!$D:$D,""))/100)+5)*XLOOKUP(XLOOKUP($L47,'Boss Editor'!$C:$C,'Boss Editor'!$E:$E,""),'Nature Editor'!$A:$A,'Nature Editor'!$C:$C,1)),FLOOR((FLOOR(((2*XLOOKUP($L47,'Pokemon Editor'!$A:$A,'Pokemon Editor'!$I:$I,0)+31+FLOOR(XLOOKUP($L47,'Boss Editor'!$C:$C,'Boss Editor'!$K:$K,"")/4))*XLOOKUP($L47,'Boss Editor'!$C:$C,'Boss Editor'!$D:$D,""))/100)+5)*XLOOKUP(XLOOKUP($L47,'Boss Editor'!$C:$C,'Boss Editor'!$E:$E,""),'Nature Editor'!$A:$A,'Nature Editor'!$E:$E,1))),stab,IF(OR(mtype=XLOOKUP(XLOOKUP($K47,'Threshold Summary'!$Y:$Y,'Threshold Summary'!$K:$K,""),'Pokemon Editor'!$A:$A,'Pokemon Editor'!$C:$C,""),mtype=XLOOKUP(XLOOKUP($K47,'Threshold Summary'!$Y:$Y,'Threshold Summary'!$K:$K,""),'Pokemon Editor'!$A:$A,'Pokemon Editor'!$D:$D,"")),1.5,1),eff,(INDEX('Type Chart'!$B:$S,MATCH(mtype,'Type Chart'!$A:$A,0),MATCH(XLOOKUP($L47,'Pokemon Editor'!$A:$A,'Pokemon Editor'!$C:$C,""),'Type Chart'!$B$1:$S$1,0))*IF(XLOOKUP($L47,'Pokemon Editor'!$A:$A,'Pokemon Editor'!$D:$D,"")="",1,INDEX('Type Chart'!$B:$S,MATCH(mtype,'Type Chart'!$A:$A,0),MATCH(XLOOKUP($L47,'Pokemon Editor'!$A:$A,'Pokemon Editor'!$D:$D,""),'Type Chart'!$B$1:$S$1,0)))),base,IF(OR(cat="Status",pow=0),0,FLOOR(FLOOR(FLOOR((2*XLOOKUP($K47,'Threshold Summary'!$Y:$Y,'Threshold Summary'!$L:$L,"")/5+2)*pow*atk/def)/50)+2)),modifier,stab*eff,FLOOR(base*modifier)),0)</f>
        <v/>
      </c>
      <c r="H47" s="3">
        <f>IFERROR(LET(mtype,XLOOKUP($D47,'Move Editor'!$B:$B,'Move Editor'!$C:$C,""),cat,XLOOKUP($D47,'Move Editor'!$B:$B,'Move Editor'!$D:$D,""),pow,XLOOKUP($D47,'Move Editor'!$B:$B,'Move Editor'!$E:$E,0),acc,XLOOKUP($D47,'Move Editor'!$B:$B,'Move Editor'!$F:$F,100),atk,IF(cat="Physical",FLOOR((FLOOR(((2*XLOOKUP(XLOOKUP($K47,'Threshold Summary'!$Y:$Y,'Threshold Summary'!$K:$K,""),'Pokemon Editor'!$A:$A,'Pokemon Editor'!$F:$F,0)+31+FLOOR(XLOOKUP($K47,'Threshold Summary'!$Y:$Y,'Threshold Summary'!$P:$P,"")/4))*XLOOKUP($K47,'Threshold Summary'!$Y:$Y,'Threshold Summary'!$L:$L,""))/100)+5)*XLOOKUP(XLOOKUP($K47,'Threshold Summary'!$Y:$Y,'Threshold Summary'!$M:$M,""),'Nature Editor'!$A:$A,'Nature Editor'!$B:$B,1)),FLOOR((FLOOR(((2*XLOOKUP(XLOOKUP($K47,'Threshold Summary'!$Y:$Y,'Threshold Summary'!$K:$K,""),'Pokemon Editor'!$A:$A,'Pokemon Editor'!$H:$H,0)+31+FLOOR(XLOOKUP($K47,'Threshold Summary'!$Y:$Y,'Threshold Summary'!$R:$R,"")/4))*XLOOKUP($K47,'Threshold Summary'!$Y:$Y,'Threshold Summary'!$L:$L,""))/100)+5)*XLOOKUP(XLOOKUP($K47,'Threshold Summary'!$Y:$Y,'Threshold Summary'!$M:$M,""),'Nature Editor'!$A:$A,'Nature Editor'!$D:$D,1))),def,IF(cat="Physical",FLOOR((FLOOR(((2*XLOOKUP($L47,'Pokemon Editor'!$A:$A,'Pokemon Editor'!$G:$G,0)+31+FLOOR(XLOOKUP($L47,'Boss Editor'!$C:$C,'Boss Editor'!$I:$I,"")/4))*XLOOKUP($L47,'Boss Editor'!$C:$C,'Boss Editor'!$D:$D,""))/100)+5)*XLOOKUP(XLOOKUP($L47,'Boss Editor'!$C:$C,'Boss Editor'!$E:$E,""),'Nature Editor'!$A:$A,'Nature Editor'!$C:$C,1)),FLOOR((FLOOR(((2*XLOOKUP($L47,'Pokemon Editor'!$A:$A,'Pokemon Editor'!$I:$I,0)+31+FLOOR(XLOOKUP($L47,'Boss Editor'!$C:$C,'Boss Editor'!$K:$K,"")/4))*XLOOKUP($L47,'Boss Editor'!$C:$C,'Boss Editor'!$D:$D,""))/100)+5)*XLOOKUP(XLOOKUP($L47,'Boss Editor'!$C:$C,'Boss Editor'!$E:$E,""),'Nature Editor'!$A:$A,'Nature Editor'!$E:$E,1))),stab,IF(OR(mtype=XLOOKUP(XLOOKUP($K47,'Threshold Summary'!$Y:$Y,'Threshold Summary'!$K:$K,""),'Pokemon Editor'!$A:$A,'Pokemon Editor'!$C:$C,""),mtype=XLOOKUP(XLOOKUP($K47,'Threshold Summary'!$Y:$Y,'Threshold Summary'!$K:$K,""),'Pokemon Editor'!$A:$A,'Pokemon Editor'!$D:$D,"")),1.5,1),eff,(INDEX('Type Chart'!$B:$S,MATCH(mtype,'Type Chart'!$A:$A,0),MATCH(XLOOKUP($L47,'Pokemon Editor'!$A:$A,'Pokemon Editor'!$C:$C,""),'Type Chart'!$B$1:$S$1,0))*IF(XLOOKUP($L47,'Pokemon Editor'!$A:$A,'Pokemon Editor'!$D:$D,"")="",1,INDEX('Type Chart'!$B:$S,MATCH(mtype,'Type Chart'!$A:$A,0),MATCH(XLOOKUP($L47,'Pokemon Editor'!$A:$A,'Pokemon Editor'!$D:$D,""),'Type Chart'!$B$1:$S$1,0)))),base,IF(OR(cat="Status",pow=0),0,FLOOR(FLOOR(FLOOR((2*XLOOKUP($K47,'Threshold Summary'!$Y:$Y,'Threshold Summary'!$L:$L,"")/5+2)*pow*atk/def)/50)+2)),modifier,stab*eff,AVERAGE(ARRAYFORMULA(FLOOR(base*modifier*SEQUENCE(16,1,85,1)/100)))),0)</f>
        <v/>
      </c>
      <c r="I47" s="4">
        <f>IFERROR(LET(mtype,XLOOKUP($D47,'Move Editor'!$B:$B,'Move Editor'!$C:$C,""),cat,XLOOKUP($D47,'Move Editor'!$B:$B,'Move Editor'!$D:$D,""),pow,XLOOKUP($D47,'Move Editor'!$B:$B,'Move Editor'!$E:$E,0),acc,XLOOKUP($D47,'Move Editor'!$B:$B,'Move Editor'!$F:$F,100),atk,IF(cat="Physical",FLOOR((FLOOR(((2*XLOOKUP(XLOOKUP($K47,'Threshold Summary'!$Y:$Y,'Threshold Summary'!$K:$K,""),'Pokemon Editor'!$A:$A,'Pokemon Editor'!$F:$F,0)+31+FLOOR(XLOOKUP($K47,'Threshold Summary'!$Y:$Y,'Threshold Summary'!$P:$P,"")/4))*XLOOKUP($K47,'Threshold Summary'!$Y:$Y,'Threshold Summary'!$L:$L,""))/100)+5)*XLOOKUP(XLOOKUP($K47,'Threshold Summary'!$Y:$Y,'Threshold Summary'!$M:$M,""),'Nature Editor'!$A:$A,'Nature Editor'!$B:$B,1)),FLOOR((FLOOR(((2*XLOOKUP(XLOOKUP($K47,'Threshold Summary'!$Y:$Y,'Threshold Summary'!$K:$K,""),'Pokemon Editor'!$A:$A,'Pokemon Editor'!$H:$H,0)+31+FLOOR(XLOOKUP($K47,'Threshold Summary'!$Y:$Y,'Threshold Summary'!$R:$R,"")/4))*XLOOKUP($K47,'Threshold Summary'!$Y:$Y,'Threshold Summary'!$L:$L,""))/100)+5)*XLOOKUP(XLOOKUP($K47,'Threshold Summary'!$Y:$Y,'Threshold Summary'!$M:$M,""),'Nature Editor'!$A:$A,'Nature Editor'!$D:$D,1))),def,IF(cat="Physical",FLOOR((FLOOR(((2*XLOOKUP($L47,'Pokemon Editor'!$A:$A,'Pokemon Editor'!$G:$G,0)+31+FLOOR(XLOOKUP($L47,'Boss Editor'!$C:$C,'Boss Editor'!$I:$I,"")/4))*XLOOKUP($L47,'Boss Editor'!$C:$C,'Boss Editor'!$D:$D,""))/100)+5)*XLOOKUP(XLOOKUP($L47,'Boss Editor'!$C:$C,'Boss Editor'!$E:$E,""),'Nature Editor'!$A:$A,'Nature Editor'!$C:$C,1)),FLOOR((FLOOR(((2*XLOOKUP($L47,'Pokemon Editor'!$A:$A,'Pokemon Editor'!$I:$I,0)+31+FLOOR(XLOOKUP($L47,'Boss Editor'!$C:$C,'Boss Editor'!$K:$K,"")/4))*XLOOKUP($L47,'Boss Editor'!$C:$C,'Boss Editor'!$D:$D,""))/100)+5)*XLOOKUP(XLOOKUP($L47,'Boss Editor'!$C:$C,'Boss Editor'!$E:$E,""),'Nature Editor'!$A:$A,'Nature Editor'!$E:$E,1))),stab,IF(OR(mtype=XLOOKUP(XLOOKUP($K47,'Threshold Summary'!$Y:$Y,'Threshold Summary'!$K:$K,""),'Pokemon Editor'!$A:$A,'Pokemon Editor'!$C:$C,""),mtype=XLOOKUP(XLOOKUP($K47,'Threshold Summary'!$Y:$Y,'Threshold Summary'!$K:$K,""),'Pokemon Editor'!$A:$A,'Pokemon Editor'!$D:$D,"")),1.5,1),eff,(INDEX('Type Chart'!$B:$S,MATCH(mtype,'Type Chart'!$A:$A,0),MATCH(XLOOKUP($L47,'Pokemon Editor'!$A:$A,'Pokemon Editor'!$C:$C,""),'Type Chart'!$B$1:$S$1,0))*IF(XLOOKUP($L47,'Pokemon Editor'!$A:$A,'Pokemon Editor'!$D:$D,"")="",1,INDEX('Type Chart'!$B:$S,MATCH(mtype,'Type Chart'!$A:$A,0),MATCH(XLOOKUP($L47,'Pokemon Editor'!$A:$A,'Pokemon Editor'!$D:$D,""),'Type Chart'!$B$1:$S$1,0)))),base,IF(OR(cat="Status",pow=0),0,FLOOR(FLOOR(FLOOR((2*XLOOKUP($K47,'Threshold Summary'!$Y:$Y,'Threshold Summary'!$L:$L,"")/5+2)*pow*atk/def)/50)+2)),modifier,stab*eff,AVERAGE(ARRAYFORMULA(FLOOR(base*modifier*SEQUENCE(16,1,85,1)/100)))/(FLOOR(((2*XLOOKUP($L47,'Pokemon Editor'!$A:$A,'Pokemon Editor'!$E:$E,0)+31+FLOOR(XLOOKUP($L47,'Boss Editor'!$C:$C,'Boss Editor'!$G:$G,"")/4))*XLOOKUP($L47,'Boss Editor'!$C:$C,'Boss Editor'!$D:$D,""))/100)+XLOOKUP($L47,'Boss Editor'!$C:$C,'Boss Editor'!$D:$D,"")+10)),0)</f>
        <v/>
      </c>
      <c r="J47" s="3">
        <f>IF(I47&gt;=1,"OHKO",IF(I47&gt;=0.5,"2HKO",IF(I47&gt;=0.333,"3HKO",IF(I47&gt;=0.25,"4HKO","5HKO+"))))</f>
        <v/>
      </c>
      <c r="K47" s="3" t="inlineStr">
        <is>
          <t>SPECIES_VENIPEDE</t>
        </is>
      </c>
      <c r="L47" s="3" t="inlineStr">
        <is>
          <t>SPECIES_TIRTOUGA</t>
        </is>
      </c>
    </row>
    <row r="48">
      <c r="A48" s="3">
        <f>XLOOKUP($K48,'Threshold Summary'!$Y:$Y,'Threshold Summary'!$A:$A,"")</f>
        <v/>
      </c>
      <c r="B48" s="3" t="inlineStr">
        <is>
          <t>Anorith</t>
        </is>
      </c>
      <c r="C48" s="3">
        <f>XLOOKUP($L48,'Boss Editor'!$C:$C,'Boss Editor'!$D:$D,"")</f>
        <v/>
      </c>
      <c r="D48" s="3">
        <f>XLOOKUP($K48,'Threshold Summary'!$Y:$Y,'Threshold Summary'!$B:$B,"")</f>
        <v/>
      </c>
      <c r="E48" s="3">
        <f>XLOOKUP(D48,'Move Editor'!$B:$B,'Move Editor'!$C:$C,"")</f>
        <v/>
      </c>
      <c r="F48" s="3">
        <f>IFERROR(LET(mtype,XLOOKUP($D48,'Move Editor'!$B:$B,'Move Editor'!$C:$C,""),cat,XLOOKUP($D48,'Move Editor'!$B:$B,'Move Editor'!$D:$D,""),pow,XLOOKUP($D48,'Move Editor'!$B:$B,'Move Editor'!$E:$E,0),acc,XLOOKUP($D48,'Move Editor'!$B:$B,'Move Editor'!$F:$F,100),atk,IF(cat="Physical",FLOOR((FLOOR(((2*XLOOKUP(XLOOKUP($K48,'Threshold Summary'!$Y:$Y,'Threshold Summary'!$K:$K,""),'Pokemon Editor'!$A:$A,'Pokemon Editor'!$F:$F,0)+31+FLOOR(XLOOKUP($K48,'Threshold Summary'!$Y:$Y,'Threshold Summary'!$P:$P,"")/4))*XLOOKUP($K48,'Threshold Summary'!$Y:$Y,'Threshold Summary'!$L:$L,""))/100)+5)*XLOOKUP(XLOOKUP($K48,'Threshold Summary'!$Y:$Y,'Threshold Summary'!$M:$M,""),'Nature Editor'!$A:$A,'Nature Editor'!$B:$B,1)),FLOOR((FLOOR(((2*XLOOKUP(XLOOKUP($K48,'Threshold Summary'!$Y:$Y,'Threshold Summary'!$K:$K,""),'Pokemon Editor'!$A:$A,'Pokemon Editor'!$H:$H,0)+31+FLOOR(XLOOKUP($K48,'Threshold Summary'!$Y:$Y,'Threshold Summary'!$R:$R,"")/4))*XLOOKUP($K48,'Threshold Summary'!$Y:$Y,'Threshold Summary'!$L:$L,""))/100)+5)*XLOOKUP(XLOOKUP($K48,'Threshold Summary'!$Y:$Y,'Threshold Summary'!$M:$M,""),'Nature Editor'!$A:$A,'Nature Editor'!$D:$D,1))),def,IF(cat="Physical",FLOOR((FLOOR(((2*XLOOKUP($L48,'Pokemon Editor'!$A:$A,'Pokemon Editor'!$G:$G,0)+31+FLOOR(XLOOKUP($L48,'Boss Editor'!$C:$C,'Boss Editor'!$I:$I,"")/4))*XLOOKUP($L48,'Boss Editor'!$C:$C,'Boss Editor'!$D:$D,""))/100)+5)*XLOOKUP(XLOOKUP($L48,'Boss Editor'!$C:$C,'Boss Editor'!$E:$E,""),'Nature Editor'!$A:$A,'Nature Editor'!$C:$C,1)),FLOOR((FLOOR(((2*XLOOKUP($L48,'Pokemon Editor'!$A:$A,'Pokemon Editor'!$I:$I,0)+31+FLOOR(XLOOKUP($L48,'Boss Editor'!$C:$C,'Boss Editor'!$K:$K,"")/4))*XLOOKUP($L48,'Boss Editor'!$C:$C,'Boss Editor'!$D:$D,""))/100)+5)*XLOOKUP(XLOOKUP($L48,'Boss Editor'!$C:$C,'Boss Editor'!$E:$E,""),'Nature Editor'!$A:$A,'Nature Editor'!$E:$E,1))),stab,IF(OR(mtype=XLOOKUP(XLOOKUP($K48,'Threshold Summary'!$Y:$Y,'Threshold Summary'!$K:$K,""),'Pokemon Editor'!$A:$A,'Pokemon Editor'!$C:$C,""),mtype=XLOOKUP(XLOOKUP($K48,'Threshold Summary'!$Y:$Y,'Threshold Summary'!$K:$K,""),'Pokemon Editor'!$A:$A,'Pokemon Editor'!$D:$D,"")),1.5,1),eff,(INDEX('Type Chart'!$B:$S,MATCH(mtype,'Type Chart'!$A:$A,0),MATCH(XLOOKUP($L48,'Pokemon Editor'!$A:$A,'Pokemon Editor'!$C:$C,""),'Type Chart'!$B$1:$S$1,0))*IF(XLOOKUP($L48,'Pokemon Editor'!$A:$A,'Pokemon Editor'!$D:$D,"")="",1,INDEX('Type Chart'!$B:$S,MATCH(mtype,'Type Chart'!$A:$A,0),MATCH(XLOOKUP($L48,'Pokemon Editor'!$A:$A,'Pokemon Editor'!$D:$D,""),'Type Chart'!$B$1:$S$1,0)))),base,IF(OR(cat="Status",pow=0),0,FLOOR(FLOOR(FLOOR((2*XLOOKUP($K48,'Threshold Summary'!$Y:$Y,'Threshold Summary'!$L:$L,"")/5+2)*pow*atk/def)/50)+2)),modifier,stab*eff,FLOOR(base*modifier*0.85)),0)</f>
        <v/>
      </c>
      <c r="G48" s="3">
        <f>IFERROR(LET(mtype,XLOOKUP($D48,'Move Editor'!$B:$B,'Move Editor'!$C:$C,""),cat,XLOOKUP($D48,'Move Editor'!$B:$B,'Move Editor'!$D:$D,""),pow,XLOOKUP($D48,'Move Editor'!$B:$B,'Move Editor'!$E:$E,0),acc,XLOOKUP($D48,'Move Editor'!$B:$B,'Move Editor'!$F:$F,100),atk,IF(cat="Physical",FLOOR((FLOOR(((2*XLOOKUP(XLOOKUP($K48,'Threshold Summary'!$Y:$Y,'Threshold Summary'!$K:$K,""),'Pokemon Editor'!$A:$A,'Pokemon Editor'!$F:$F,0)+31+FLOOR(XLOOKUP($K48,'Threshold Summary'!$Y:$Y,'Threshold Summary'!$P:$P,"")/4))*XLOOKUP($K48,'Threshold Summary'!$Y:$Y,'Threshold Summary'!$L:$L,""))/100)+5)*XLOOKUP(XLOOKUP($K48,'Threshold Summary'!$Y:$Y,'Threshold Summary'!$M:$M,""),'Nature Editor'!$A:$A,'Nature Editor'!$B:$B,1)),FLOOR((FLOOR(((2*XLOOKUP(XLOOKUP($K48,'Threshold Summary'!$Y:$Y,'Threshold Summary'!$K:$K,""),'Pokemon Editor'!$A:$A,'Pokemon Editor'!$H:$H,0)+31+FLOOR(XLOOKUP($K48,'Threshold Summary'!$Y:$Y,'Threshold Summary'!$R:$R,"")/4))*XLOOKUP($K48,'Threshold Summary'!$Y:$Y,'Threshold Summary'!$L:$L,""))/100)+5)*XLOOKUP(XLOOKUP($K48,'Threshold Summary'!$Y:$Y,'Threshold Summary'!$M:$M,""),'Nature Editor'!$A:$A,'Nature Editor'!$D:$D,1))),def,IF(cat="Physical",FLOOR((FLOOR(((2*XLOOKUP($L48,'Pokemon Editor'!$A:$A,'Pokemon Editor'!$G:$G,0)+31+FLOOR(XLOOKUP($L48,'Boss Editor'!$C:$C,'Boss Editor'!$I:$I,"")/4))*XLOOKUP($L48,'Boss Editor'!$C:$C,'Boss Editor'!$D:$D,""))/100)+5)*XLOOKUP(XLOOKUP($L48,'Boss Editor'!$C:$C,'Boss Editor'!$E:$E,""),'Nature Editor'!$A:$A,'Nature Editor'!$C:$C,1)),FLOOR((FLOOR(((2*XLOOKUP($L48,'Pokemon Editor'!$A:$A,'Pokemon Editor'!$I:$I,0)+31+FLOOR(XLOOKUP($L48,'Boss Editor'!$C:$C,'Boss Editor'!$K:$K,"")/4))*XLOOKUP($L48,'Boss Editor'!$C:$C,'Boss Editor'!$D:$D,""))/100)+5)*XLOOKUP(XLOOKUP($L48,'Boss Editor'!$C:$C,'Boss Editor'!$E:$E,""),'Nature Editor'!$A:$A,'Nature Editor'!$E:$E,1))),stab,IF(OR(mtype=XLOOKUP(XLOOKUP($K48,'Threshold Summary'!$Y:$Y,'Threshold Summary'!$K:$K,""),'Pokemon Editor'!$A:$A,'Pokemon Editor'!$C:$C,""),mtype=XLOOKUP(XLOOKUP($K48,'Threshold Summary'!$Y:$Y,'Threshold Summary'!$K:$K,""),'Pokemon Editor'!$A:$A,'Pokemon Editor'!$D:$D,"")),1.5,1),eff,(INDEX('Type Chart'!$B:$S,MATCH(mtype,'Type Chart'!$A:$A,0),MATCH(XLOOKUP($L48,'Pokemon Editor'!$A:$A,'Pokemon Editor'!$C:$C,""),'Type Chart'!$B$1:$S$1,0))*IF(XLOOKUP($L48,'Pokemon Editor'!$A:$A,'Pokemon Editor'!$D:$D,"")="",1,INDEX('Type Chart'!$B:$S,MATCH(mtype,'Type Chart'!$A:$A,0),MATCH(XLOOKUP($L48,'Pokemon Editor'!$A:$A,'Pokemon Editor'!$D:$D,""),'Type Chart'!$B$1:$S$1,0)))),base,IF(OR(cat="Status",pow=0),0,FLOOR(FLOOR(FLOOR((2*XLOOKUP($K48,'Threshold Summary'!$Y:$Y,'Threshold Summary'!$L:$L,"")/5+2)*pow*atk/def)/50)+2)),modifier,stab*eff,FLOOR(base*modifier)),0)</f>
        <v/>
      </c>
      <c r="H48" s="3">
        <f>IFERROR(LET(mtype,XLOOKUP($D48,'Move Editor'!$B:$B,'Move Editor'!$C:$C,""),cat,XLOOKUP($D48,'Move Editor'!$B:$B,'Move Editor'!$D:$D,""),pow,XLOOKUP($D48,'Move Editor'!$B:$B,'Move Editor'!$E:$E,0),acc,XLOOKUP($D48,'Move Editor'!$B:$B,'Move Editor'!$F:$F,100),atk,IF(cat="Physical",FLOOR((FLOOR(((2*XLOOKUP(XLOOKUP($K48,'Threshold Summary'!$Y:$Y,'Threshold Summary'!$K:$K,""),'Pokemon Editor'!$A:$A,'Pokemon Editor'!$F:$F,0)+31+FLOOR(XLOOKUP($K48,'Threshold Summary'!$Y:$Y,'Threshold Summary'!$P:$P,"")/4))*XLOOKUP($K48,'Threshold Summary'!$Y:$Y,'Threshold Summary'!$L:$L,""))/100)+5)*XLOOKUP(XLOOKUP($K48,'Threshold Summary'!$Y:$Y,'Threshold Summary'!$M:$M,""),'Nature Editor'!$A:$A,'Nature Editor'!$B:$B,1)),FLOOR((FLOOR(((2*XLOOKUP(XLOOKUP($K48,'Threshold Summary'!$Y:$Y,'Threshold Summary'!$K:$K,""),'Pokemon Editor'!$A:$A,'Pokemon Editor'!$H:$H,0)+31+FLOOR(XLOOKUP($K48,'Threshold Summary'!$Y:$Y,'Threshold Summary'!$R:$R,"")/4))*XLOOKUP($K48,'Threshold Summary'!$Y:$Y,'Threshold Summary'!$L:$L,""))/100)+5)*XLOOKUP(XLOOKUP($K48,'Threshold Summary'!$Y:$Y,'Threshold Summary'!$M:$M,""),'Nature Editor'!$A:$A,'Nature Editor'!$D:$D,1))),def,IF(cat="Physical",FLOOR((FLOOR(((2*XLOOKUP($L48,'Pokemon Editor'!$A:$A,'Pokemon Editor'!$G:$G,0)+31+FLOOR(XLOOKUP($L48,'Boss Editor'!$C:$C,'Boss Editor'!$I:$I,"")/4))*XLOOKUP($L48,'Boss Editor'!$C:$C,'Boss Editor'!$D:$D,""))/100)+5)*XLOOKUP(XLOOKUP($L48,'Boss Editor'!$C:$C,'Boss Editor'!$E:$E,""),'Nature Editor'!$A:$A,'Nature Editor'!$C:$C,1)),FLOOR((FLOOR(((2*XLOOKUP($L48,'Pokemon Editor'!$A:$A,'Pokemon Editor'!$I:$I,0)+31+FLOOR(XLOOKUP($L48,'Boss Editor'!$C:$C,'Boss Editor'!$K:$K,"")/4))*XLOOKUP($L48,'Boss Editor'!$C:$C,'Boss Editor'!$D:$D,""))/100)+5)*XLOOKUP(XLOOKUP($L48,'Boss Editor'!$C:$C,'Boss Editor'!$E:$E,""),'Nature Editor'!$A:$A,'Nature Editor'!$E:$E,1))),stab,IF(OR(mtype=XLOOKUP(XLOOKUP($K48,'Threshold Summary'!$Y:$Y,'Threshold Summary'!$K:$K,""),'Pokemon Editor'!$A:$A,'Pokemon Editor'!$C:$C,""),mtype=XLOOKUP(XLOOKUP($K48,'Threshold Summary'!$Y:$Y,'Threshold Summary'!$K:$K,""),'Pokemon Editor'!$A:$A,'Pokemon Editor'!$D:$D,"")),1.5,1),eff,(INDEX('Type Chart'!$B:$S,MATCH(mtype,'Type Chart'!$A:$A,0),MATCH(XLOOKUP($L48,'Pokemon Editor'!$A:$A,'Pokemon Editor'!$C:$C,""),'Type Chart'!$B$1:$S$1,0))*IF(XLOOKUP($L48,'Pokemon Editor'!$A:$A,'Pokemon Editor'!$D:$D,"")="",1,INDEX('Type Chart'!$B:$S,MATCH(mtype,'Type Chart'!$A:$A,0),MATCH(XLOOKUP($L48,'Pokemon Editor'!$A:$A,'Pokemon Editor'!$D:$D,""),'Type Chart'!$B$1:$S$1,0)))),base,IF(OR(cat="Status",pow=0),0,FLOOR(FLOOR(FLOOR((2*XLOOKUP($K48,'Threshold Summary'!$Y:$Y,'Threshold Summary'!$L:$L,"")/5+2)*pow*atk/def)/50)+2)),modifier,stab*eff,AVERAGE(ARRAYFORMULA(FLOOR(base*modifier*SEQUENCE(16,1,85,1)/100)))),0)</f>
        <v/>
      </c>
      <c r="I48" s="4">
        <f>IFERROR(LET(mtype,XLOOKUP($D48,'Move Editor'!$B:$B,'Move Editor'!$C:$C,""),cat,XLOOKUP($D48,'Move Editor'!$B:$B,'Move Editor'!$D:$D,""),pow,XLOOKUP($D48,'Move Editor'!$B:$B,'Move Editor'!$E:$E,0),acc,XLOOKUP($D48,'Move Editor'!$B:$B,'Move Editor'!$F:$F,100),atk,IF(cat="Physical",FLOOR((FLOOR(((2*XLOOKUP(XLOOKUP($K48,'Threshold Summary'!$Y:$Y,'Threshold Summary'!$K:$K,""),'Pokemon Editor'!$A:$A,'Pokemon Editor'!$F:$F,0)+31+FLOOR(XLOOKUP($K48,'Threshold Summary'!$Y:$Y,'Threshold Summary'!$P:$P,"")/4))*XLOOKUP($K48,'Threshold Summary'!$Y:$Y,'Threshold Summary'!$L:$L,""))/100)+5)*XLOOKUP(XLOOKUP($K48,'Threshold Summary'!$Y:$Y,'Threshold Summary'!$M:$M,""),'Nature Editor'!$A:$A,'Nature Editor'!$B:$B,1)),FLOOR((FLOOR(((2*XLOOKUP(XLOOKUP($K48,'Threshold Summary'!$Y:$Y,'Threshold Summary'!$K:$K,""),'Pokemon Editor'!$A:$A,'Pokemon Editor'!$H:$H,0)+31+FLOOR(XLOOKUP($K48,'Threshold Summary'!$Y:$Y,'Threshold Summary'!$R:$R,"")/4))*XLOOKUP($K48,'Threshold Summary'!$Y:$Y,'Threshold Summary'!$L:$L,""))/100)+5)*XLOOKUP(XLOOKUP($K48,'Threshold Summary'!$Y:$Y,'Threshold Summary'!$M:$M,""),'Nature Editor'!$A:$A,'Nature Editor'!$D:$D,1))),def,IF(cat="Physical",FLOOR((FLOOR(((2*XLOOKUP($L48,'Pokemon Editor'!$A:$A,'Pokemon Editor'!$G:$G,0)+31+FLOOR(XLOOKUP($L48,'Boss Editor'!$C:$C,'Boss Editor'!$I:$I,"")/4))*XLOOKUP($L48,'Boss Editor'!$C:$C,'Boss Editor'!$D:$D,""))/100)+5)*XLOOKUP(XLOOKUP($L48,'Boss Editor'!$C:$C,'Boss Editor'!$E:$E,""),'Nature Editor'!$A:$A,'Nature Editor'!$C:$C,1)),FLOOR((FLOOR(((2*XLOOKUP($L48,'Pokemon Editor'!$A:$A,'Pokemon Editor'!$I:$I,0)+31+FLOOR(XLOOKUP($L48,'Boss Editor'!$C:$C,'Boss Editor'!$K:$K,"")/4))*XLOOKUP($L48,'Boss Editor'!$C:$C,'Boss Editor'!$D:$D,""))/100)+5)*XLOOKUP(XLOOKUP($L48,'Boss Editor'!$C:$C,'Boss Editor'!$E:$E,""),'Nature Editor'!$A:$A,'Nature Editor'!$E:$E,1))),stab,IF(OR(mtype=XLOOKUP(XLOOKUP($K48,'Threshold Summary'!$Y:$Y,'Threshold Summary'!$K:$K,""),'Pokemon Editor'!$A:$A,'Pokemon Editor'!$C:$C,""),mtype=XLOOKUP(XLOOKUP($K48,'Threshold Summary'!$Y:$Y,'Threshold Summary'!$K:$K,""),'Pokemon Editor'!$A:$A,'Pokemon Editor'!$D:$D,"")),1.5,1),eff,(INDEX('Type Chart'!$B:$S,MATCH(mtype,'Type Chart'!$A:$A,0),MATCH(XLOOKUP($L48,'Pokemon Editor'!$A:$A,'Pokemon Editor'!$C:$C,""),'Type Chart'!$B$1:$S$1,0))*IF(XLOOKUP($L48,'Pokemon Editor'!$A:$A,'Pokemon Editor'!$D:$D,"")="",1,INDEX('Type Chart'!$B:$S,MATCH(mtype,'Type Chart'!$A:$A,0),MATCH(XLOOKUP($L48,'Pokemon Editor'!$A:$A,'Pokemon Editor'!$D:$D,""),'Type Chart'!$B$1:$S$1,0)))),base,IF(OR(cat="Status",pow=0),0,FLOOR(FLOOR(FLOOR((2*XLOOKUP($K48,'Threshold Summary'!$Y:$Y,'Threshold Summary'!$L:$L,"")/5+2)*pow*atk/def)/50)+2)),modifier,stab*eff,AVERAGE(ARRAYFORMULA(FLOOR(base*modifier*SEQUENCE(16,1,85,1)/100)))/(FLOOR(((2*XLOOKUP($L48,'Pokemon Editor'!$A:$A,'Pokemon Editor'!$E:$E,0)+31+FLOOR(XLOOKUP($L48,'Boss Editor'!$C:$C,'Boss Editor'!$G:$G,"")/4))*XLOOKUP($L48,'Boss Editor'!$C:$C,'Boss Editor'!$D:$D,""))/100)+XLOOKUP($L48,'Boss Editor'!$C:$C,'Boss Editor'!$D:$D,"")+10)),0)</f>
        <v/>
      </c>
      <c r="J48" s="3">
        <f>IF(I48&gt;=1,"OHKO",IF(I48&gt;=0.5,"2HKO",IF(I48&gt;=0.333,"3HKO",IF(I48&gt;=0.25,"4HKO","5HKO+"))))</f>
        <v/>
      </c>
      <c r="K48" s="3" t="inlineStr">
        <is>
          <t>SPECIES_VENIPEDE</t>
        </is>
      </c>
      <c r="L48" s="3" t="inlineStr">
        <is>
          <t>SPECIES_ANORITH</t>
        </is>
      </c>
    </row>
    <row r="49">
      <c r="A49" s="3">
        <f>XLOOKUP($K49,'Threshold Summary'!$Y:$Y,'Threshold Summary'!$A:$A,"")</f>
        <v/>
      </c>
      <c r="B49" s="3" t="inlineStr">
        <is>
          <t>Lileep</t>
        </is>
      </c>
      <c r="C49" s="3">
        <f>XLOOKUP($L49,'Boss Editor'!$C:$C,'Boss Editor'!$D:$D,"")</f>
        <v/>
      </c>
      <c r="D49" s="3">
        <f>XLOOKUP($K49,'Threshold Summary'!$Y:$Y,'Threshold Summary'!$B:$B,"")</f>
        <v/>
      </c>
      <c r="E49" s="3">
        <f>XLOOKUP(D49,'Move Editor'!$B:$B,'Move Editor'!$C:$C,"")</f>
        <v/>
      </c>
      <c r="F49" s="3">
        <f>IFERROR(LET(mtype,XLOOKUP($D49,'Move Editor'!$B:$B,'Move Editor'!$C:$C,""),cat,XLOOKUP($D49,'Move Editor'!$B:$B,'Move Editor'!$D:$D,""),pow,XLOOKUP($D49,'Move Editor'!$B:$B,'Move Editor'!$E:$E,0),acc,XLOOKUP($D49,'Move Editor'!$B:$B,'Move Editor'!$F:$F,100),atk,IF(cat="Physical",FLOOR((FLOOR(((2*XLOOKUP(XLOOKUP($K49,'Threshold Summary'!$Y:$Y,'Threshold Summary'!$K:$K,""),'Pokemon Editor'!$A:$A,'Pokemon Editor'!$F:$F,0)+31+FLOOR(XLOOKUP($K49,'Threshold Summary'!$Y:$Y,'Threshold Summary'!$P:$P,"")/4))*XLOOKUP($K49,'Threshold Summary'!$Y:$Y,'Threshold Summary'!$L:$L,""))/100)+5)*XLOOKUP(XLOOKUP($K49,'Threshold Summary'!$Y:$Y,'Threshold Summary'!$M:$M,""),'Nature Editor'!$A:$A,'Nature Editor'!$B:$B,1)),FLOOR((FLOOR(((2*XLOOKUP(XLOOKUP($K49,'Threshold Summary'!$Y:$Y,'Threshold Summary'!$K:$K,""),'Pokemon Editor'!$A:$A,'Pokemon Editor'!$H:$H,0)+31+FLOOR(XLOOKUP($K49,'Threshold Summary'!$Y:$Y,'Threshold Summary'!$R:$R,"")/4))*XLOOKUP($K49,'Threshold Summary'!$Y:$Y,'Threshold Summary'!$L:$L,""))/100)+5)*XLOOKUP(XLOOKUP($K49,'Threshold Summary'!$Y:$Y,'Threshold Summary'!$M:$M,""),'Nature Editor'!$A:$A,'Nature Editor'!$D:$D,1))),def,IF(cat="Physical",FLOOR((FLOOR(((2*XLOOKUP($L49,'Pokemon Editor'!$A:$A,'Pokemon Editor'!$G:$G,0)+31+FLOOR(XLOOKUP($L49,'Boss Editor'!$C:$C,'Boss Editor'!$I:$I,"")/4))*XLOOKUP($L49,'Boss Editor'!$C:$C,'Boss Editor'!$D:$D,""))/100)+5)*XLOOKUP(XLOOKUP($L49,'Boss Editor'!$C:$C,'Boss Editor'!$E:$E,""),'Nature Editor'!$A:$A,'Nature Editor'!$C:$C,1)),FLOOR((FLOOR(((2*XLOOKUP($L49,'Pokemon Editor'!$A:$A,'Pokemon Editor'!$I:$I,0)+31+FLOOR(XLOOKUP($L49,'Boss Editor'!$C:$C,'Boss Editor'!$K:$K,"")/4))*XLOOKUP($L49,'Boss Editor'!$C:$C,'Boss Editor'!$D:$D,""))/100)+5)*XLOOKUP(XLOOKUP($L49,'Boss Editor'!$C:$C,'Boss Editor'!$E:$E,""),'Nature Editor'!$A:$A,'Nature Editor'!$E:$E,1))),stab,IF(OR(mtype=XLOOKUP(XLOOKUP($K49,'Threshold Summary'!$Y:$Y,'Threshold Summary'!$K:$K,""),'Pokemon Editor'!$A:$A,'Pokemon Editor'!$C:$C,""),mtype=XLOOKUP(XLOOKUP($K49,'Threshold Summary'!$Y:$Y,'Threshold Summary'!$K:$K,""),'Pokemon Editor'!$A:$A,'Pokemon Editor'!$D:$D,"")),1.5,1),eff,(INDEX('Type Chart'!$B:$S,MATCH(mtype,'Type Chart'!$A:$A,0),MATCH(XLOOKUP($L49,'Pokemon Editor'!$A:$A,'Pokemon Editor'!$C:$C,""),'Type Chart'!$B$1:$S$1,0))*IF(XLOOKUP($L49,'Pokemon Editor'!$A:$A,'Pokemon Editor'!$D:$D,"")="",1,INDEX('Type Chart'!$B:$S,MATCH(mtype,'Type Chart'!$A:$A,0),MATCH(XLOOKUP($L49,'Pokemon Editor'!$A:$A,'Pokemon Editor'!$D:$D,""),'Type Chart'!$B$1:$S$1,0)))),base,IF(OR(cat="Status",pow=0),0,FLOOR(FLOOR(FLOOR((2*XLOOKUP($K49,'Threshold Summary'!$Y:$Y,'Threshold Summary'!$L:$L,"")/5+2)*pow*atk/def)/50)+2)),modifier,stab*eff,FLOOR(base*modifier*0.85)),0)</f>
        <v/>
      </c>
      <c r="G49" s="3">
        <f>IFERROR(LET(mtype,XLOOKUP($D49,'Move Editor'!$B:$B,'Move Editor'!$C:$C,""),cat,XLOOKUP($D49,'Move Editor'!$B:$B,'Move Editor'!$D:$D,""),pow,XLOOKUP($D49,'Move Editor'!$B:$B,'Move Editor'!$E:$E,0),acc,XLOOKUP($D49,'Move Editor'!$B:$B,'Move Editor'!$F:$F,100),atk,IF(cat="Physical",FLOOR((FLOOR(((2*XLOOKUP(XLOOKUP($K49,'Threshold Summary'!$Y:$Y,'Threshold Summary'!$K:$K,""),'Pokemon Editor'!$A:$A,'Pokemon Editor'!$F:$F,0)+31+FLOOR(XLOOKUP($K49,'Threshold Summary'!$Y:$Y,'Threshold Summary'!$P:$P,"")/4))*XLOOKUP($K49,'Threshold Summary'!$Y:$Y,'Threshold Summary'!$L:$L,""))/100)+5)*XLOOKUP(XLOOKUP($K49,'Threshold Summary'!$Y:$Y,'Threshold Summary'!$M:$M,""),'Nature Editor'!$A:$A,'Nature Editor'!$B:$B,1)),FLOOR((FLOOR(((2*XLOOKUP(XLOOKUP($K49,'Threshold Summary'!$Y:$Y,'Threshold Summary'!$K:$K,""),'Pokemon Editor'!$A:$A,'Pokemon Editor'!$H:$H,0)+31+FLOOR(XLOOKUP($K49,'Threshold Summary'!$Y:$Y,'Threshold Summary'!$R:$R,"")/4))*XLOOKUP($K49,'Threshold Summary'!$Y:$Y,'Threshold Summary'!$L:$L,""))/100)+5)*XLOOKUP(XLOOKUP($K49,'Threshold Summary'!$Y:$Y,'Threshold Summary'!$M:$M,""),'Nature Editor'!$A:$A,'Nature Editor'!$D:$D,1))),def,IF(cat="Physical",FLOOR((FLOOR(((2*XLOOKUP($L49,'Pokemon Editor'!$A:$A,'Pokemon Editor'!$G:$G,0)+31+FLOOR(XLOOKUP($L49,'Boss Editor'!$C:$C,'Boss Editor'!$I:$I,"")/4))*XLOOKUP($L49,'Boss Editor'!$C:$C,'Boss Editor'!$D:$D,""))/100)+5)*XLOOKUP(XLOOKUP($L49,'Boss Editor'!$C:$C,'Boss Editor'!$E:$E,""),'Nature Editor'!$A:$A,'Nature Editor'!$C:$C,1)),FLOOR((FLOOR(((2*XLOOKUP($L49,'Pokemon Editor'!$A:$A,'Pokemon Editor'!$I:$I,0)+31+FLOOR(XLOOKUP($L49,'Boss Editor'!$C:$C,'Boss Editor'!$K:$K,"")/4))*XLOOKUP($L49,'Boss Editor'!$C:$C,'Boss Editor'!$D:$D,""))/100)+5)*XLOOKUP(XLOOKUP($L49,'Boss Editor'!$C:$C,'Boss Editor'!$E:$E,""),'Nature Editor'!$A:$A,'Nature Editor'!$E:$E,1))),stab,IF(OR(mtype=XLOOKUP(XLOOKUP($K49,'Threshold Summary'!$Y:$Y,'Threshold Summary'!$K:$K,""),'Pokemon Editor'!$A:$A,'Pokemon Editor'!$C:$C,""),mtype=XLOOKUP(XLOOKUP($K49,'Threshold Summary'!$Y:$Y,'Threshold Summary'!$K:$K,""),'Pokemon Editor'!$A:$A,'Pokemon Editor'!$D:$D,"")),1.5,1),eff,(INDEX('Type Chart'!$B:$S,MATCH(mtype,'Type Chart'!$A:$A,0),MATCH(XLOOKUP($L49,'Pokemon Editor'!$A:$A,'Pokemon Editor'!$C:$C,""),'Type Chart'!$B$1:$S$1,0))*IF(XLOOKUP($L49,'Pokemon Editor'!$A:$A,'Pokemon Editor'!$D:$D,"")="",1,INDEX('Type Chart'!$B:$S,MATCH(mtype,'Type Chart'!$A:$A,0),MATCH(XLOOKUP($L49,'Pokemon Editor'!$A:$A,'Pokemon Editor'!$D:$D,""),'Type Chart'!$B$1:$S$1,0)))),base,IF(OR(cat="Status",pow=0),0,FLOOR(FLOOR(FLOOR((2*XLOOKUP($K49,'Threshold Summary'!$Y:$Y,'Threshold Summary'!$L:$L,"")/5+2)*pow*atk/def)/50)+2)),modifier,stab*eff,FLOOR(base*modifier)),0)</f>
        <v/>
      </c>
      <c r="H49" s="3">
        <f>IFERROR(LET(mtype,XLOOKUP($D49,'Move Editor'!$B:$B,'Move Editor'!$C:$C,""),cat,XLOOKUP($D49,'Move Editor'!$B:$B,'Move Editor'!$D:$D,""),pow,XLOOKUP($D49,'Move Editor'!$B:$B,'Move Editor'!$E:$E,0),acc,XLOOKUP($D49,'Move Editor'!$B:$B,'Move Editor'!$F:$F,100),atk,IF(cat="Physical",FLOOR((FLOOR(((2*XLOOKUP(XLOOKUP($K49,'Threshold Summary'!$Y:$Y,'Threshold Summary'!$K:$K,""),'Pokemon Editor'!$A:$A,'Pokemon Editor'!$F:$F,0)+31+FLOOR(XLOOKUP($K49,'Threshold Summary'!$Y:$Y,'Threshold Summary'!$P:$P,"")/4))*XLOOKUP($K49,'Threshold Summary'!$Y:$Y,'Threshold Summary'!$L:$L,""))/100)+5)*XLOOKUP(XLOOKUP($K49,'Threshold Summary'!$Y:$Y,'Threshold Summary'!$M:$M,""),'Nature Editor'!$A:$A,'Nature Editor'!$B:$B,1)),FLOOR((FLOOR(((2*XLOOKUP(XLOOKUP($K49,'Threshold Summary'!$Y:$Y,'Threshold Summary'!$K:$K,""),'Pokemon Editor'!$A:$A,'Pokemon Editor'!$H:$H,0)+31+FLOOR(XLOOKUP($K49,'Threshold Summary'!$Y:$Y,'Threshold Summary'!$R:$R,"")/4))*XLOOKUP($K49,'Threshold Summary'!$Y:$Y,'Threshold Summary'!$L:$L,""))/100)+5)*XLOOKUP(XLOOKUP($K49,'Threshold Summary'!$Y:$Y,'Threshold Summary'!$M:$M,""),'Nature Editor'!$A:$A,'Nature Editor'!$D:$D,1))),def,IF(cat="Physical",FLOOR((FLOOR(((2*XLOOKUP($L49,'Pokemon Editor'!$A:$A,'Pokemon Editor'!$G:$G,0)+31+FLOOR(XLOOKUP($L49,'Boss Editor'!$C:$C,'Boss Editor'!$I:$I,"")/4))*XLOOKUP($L49,'Boss Editor'!$C:$C,'Boss Editor'!$D:$D,""))/100)+5)*XLOOKUP(XLOOKUP($L49,'Boss Editor'!$C:$C,'Boss Editor'!$E:$E,""),'Nature Editor'!$A:$A,'Nature Editor'!$C:$C,1)),FLOOR((FLOOR(((2*XLOOKUP($L49,'Pokemon Editor'!$A:$A,'Pokemon Editor'!$I:$I,0)+31+FLOOR(XLOOKUP($L49,'Boss Editor'!$C:$C,'Boss Editor'!$K:$K,"")/4))*XLOOKUP($L49,'Boss Editor'!$C:$C,'Boss Editor'!$D:$D,""))/100)+5)*XLOOKUP(XLOOKUP($L49,'Boss Editor'!$C:$C,'Boss Editor'!$E:$E,""),'Nature Editor'!$A:$A,'Nature Editor'!$E:$E,1))),stab,IF(OR(mtype=XLOOKUP(XLOOKUP($K49,'Threshold Summary'!$Y:$Y,'Threshold Summary'!$K:$K,""),'Pokemon Editor'!$A:$A,'Pokemon Editor'!$C:$C,""),mtype=XLOOKUP(XLOOKUP($K49,'Threshold Summary'!$Y:$Y,'Threshold Summary'!$K:$K,""),'Pokemon Editor'!$A:$A,'Pokemon Editor'!$D:$D,"")),1.5,1),eff,(INDEX('Type Chart'!$B:$S,MATCH(mtype,'Type Chart'!$A:$A,0),MATCH(XLOOKUP($L49,'Pokemon Editor'!$A:$A,'Pokemon Editor'!$C:$C,""),'Type Chart'!$B$1:$S$1,0))*IF(XLOOKUP($L49,'Pokemon Editor'!$A:$A,'Pokemon Editor'!$D:$D,"")="",1,INDEX('Type Chart'!$B:$S,MATCH(mtype,'Type Chart'!$A:$A,0),MATCH(XLOOKUP($L49,'Pokemon Editor'!$A:$A,'Pokemon Editor'!$D:$D,""),'Type Chart'!$B$1:$S$1,0)))),base,IF(OR(cat="Status",pow=0),0,FLOOR(FLOOR(FLOOR((2*XLOOKUP($K49,'Threshold Summary'!$Y:$Y,'Threshold Summary'!$L:$L,"")/5+2)*pow*atk/def)/50)+2)),modifier,stab*eff,AVERAGE(ARRAYFORMULA(FLOOR(base*modifier*SEQUENCE(16,1,85,1)/100)))),0)</f>
        <v/>
      </c>
      <c r="I49" s="4">
        <f>IFERROR(LET(mtype,XLOOKUP($D49,'Move Editor'!$B:$B,'Move Editor'!$C:$C,""),cat,XLOOKUP($D49,'Move Editor'!$B:$B,'Move Editor'!$D:$D,""),pow,XLOOKUP($D49,'Move Editor'!$B:$B,'Move Editor'!$E:$E,0),acc,XLOOKUP($D49,'Move Editor'!$B:$B,'Move Editor'!$F:$F,100),atk,IF(cat="Physical",FLOOR((FLOOR(((2*XLOOKUP(XLOOKUP($K49,'Threshold Summary'!$Y:$Y,'Threshold Summary'!$K:$K,""),'Pokemon Editor'!$A:$A,'Pokemon Editor'!$F:$F,0)+31+FLOOR(XLOOKUP($K49,'Threshold Summary'!$Y:$Y,'Threshold Summary'!$P:$P,"")/4))*XLOOKUP($K49,'Threshold Summary'!$Y:$Y,'Threshold Summary'!$L:$L,""))/100)+5)*XLOOKUP(XLOOKUP($K49,'Threshold Summary'!$Y:$Y,'Threshold Summary'!$M:$M,""),'Nature Editor'!$A:$A,'Nature Editor'!$B:$B,1)),FLOOR((FLOOR(((2*XLOOKUP(XLOOKUP($K49,'Threshold Summary'!$Y:$Y,'Threshold Summary'!$K:$K,""),'Pokemon Editor'!$A:$A,'Pokemon Editor'!$H:$H,0)+31+FLOOR(XLOOKUP($K49,'Threshold Summary'!$Y:$Y,'Threshold Summary'!$R:$R,"")/4))*XLOOKUP($K49,'Threshold Summary'!$Y:$Y,'Threshold Summary'!$L:$L,""))/100)+5)*XLOOKUP(XLOOKUP($K49,'Threshold Summary'!$Y:$Y,'Threshold Summary'!$M:$M,""),'Nature Editor'!$A:$A,'Nature Editor'!$D:$D,1))),def,IF(cat="Physical",FLOOR((FLOOR(((2*XLOOKUP($L49,'Pokemon Editor'!$A:$A,'Pokemon Editor'!$G:$G,0)+31+FLOOR(XLOOKUP($L49,'Boss Editor'!$C:$C,'Boss Editor'!$I:$I,"")/4))*XLOOKUP($L49,'Boss Editor'!$C:$C,'Boss Editor'!$D:$D,""))/100)+5)*XLOOKUP(XLOOKUP($L49,'Boss Editor'!$C:$C,'Boss Editor'!$E:$E,""),'Nature Editor'!$A:$A,'Nature Editor'!$C:$C,1)),FLOOR((FLOOR(((2*XLOOKUP($L49,'Pokemon Editor'!$A:$A,'Pokemon Editor'!$I:$I,0)+31+FLOOR(XLOOKUP($L49,'Boss Editor'!$C:$C,'Boss Editor'!$K:$K,"")/4))*XLOOKUP($L49,'Boss Editor'!$C:$C,'Boss Editor'!$D:$D,""))/100)+5)*XLOOKUP(XLOOKUP($L49,'Boss Editor'!$C:$C,'Boss Editor'!$E:$E,""),'Nature Editor'!$A:$A,'Nature Editor'!$E:$E,1))),stab,IF(OR(mtype=XLOOKUP(XLOOKUP($K49,'Threshold Summary'!$Y:$Y,'Threshold Summary'!$K:$K,""),'Pokemon Editor'!$A:$A,'Pokemon Editor'!$C:$C,""),mtype=XLOOKUP(XLOOKUP($K49,'Threshold Summary'!$Y:$Y,'Threshold Summary'!$K:$K,""),'Pokemon Editor'!$A:$A,'Pokemon Editor'!$D:$D,"")),1.5,1),eff,(INDEX('Type Chart'!$B:$S,MATCH(mtype,'Type Chart'!$A:$A,0),MATCH(XLOOKUP($L49,'Pokemon Editor'!$A:$A,'Pokemon Editor'!$C:$C,""),'Type Chart'!$B$1:$S$1,0))*IF(XLOOKUP($L49,'Pokemon Editor'!$A:$A,'Pokemon Editor'!$D:$D,"")="",1,INDEX('Type Chart'!$B:$S,MATCH(mtype,'Type Chart'!$A:$A,0),MATCH(XLOOKUP($L49,'Pokemon Editor'!$A:$A,'Pokemon Editor'!$D:$D,""),'Type Chart'!$B$1:$S$1,0)))),base,IF(OR(cat="Status",pow=0),0,FLOOR(FLOOR(FLOOR((2*XLOOKUP($K49,'Threshold Summary'!$Y:$Y,'Threshold Summary'!$L:$L,"")/5+2)*pow*atk/def)/50)+2)),modifier,stab*eff,AVERAGE(ARRAYFORMULA(FLOOR(base*modifier*SEQUENCE(16,1,85,1)/100)))/(FLOOR(((2*XLOOKUP($L49,'Pokemon Editor'!$A:$A,'Pokemon Editor'!$E:$E,0)+31+FLOOR(XLOOKUP($L49,'Boss Editor'!$C:$C,'Boss Editor'!$G:$G,"")/4))*XLOOKUP($L49,'Boss Editor'!$C:$C,'Boss Editor'!$D:$D,""))/100)+XLOOKUP($L49,'Boss Editor'!$C:$C,'Boss Editor'!$D:$D,"")+10)),0)</f>
        <v/>
      </c>
      <c r="J49" s="3">
        <f>IF(I49&gt;=1,"OHKO",IF(I49&gt;=0.5,"2HKO",IF(I49&gt;=0.333,"3HKO",IF(I49&gt;=0.25,"4HKO","5HKO+"))))</f>
        <v/>
      </c>
      <c r="K49" s="3" t="inlineStr">
        <is>
          <t>SPECIES_VENIPEDE</t>
        </is>
      </c>
      <c r="L49" s="3" t="inlineStr">
        <is>
          <t>SPECIES_LILEEP</t>
        </is>
      </c>
    </row>
    <row r="50">
      <c r="A50" s="3">
        <f>XLOOKUP($K50,'Threshold Summary'!$Y:$Y,'Threshold Summary'!$A:$A,"")</f>
        <v/>
      </c>
      <c r="B50" s="3" t="inlineStr">
        <is>
          <t>Tirtouga</t>
        </is>
      </c>
      <c r="C50" s="3">
        <f>XLOOKUP($L50,'Boss Editor'!$C:$C,'Boss Editor'!$D:$D,"")</f>
        <v/>
      </c>
      <c r="D50" s="3">
        <f>XLOOKUP($K50,'Threshold Summary'!$Y:$Y,'Threshold Summary'!$B:$B,"")</f>
        <v/>
      </c>
      <c r="E50" s="3">
        <f>XLOOKUP(D50,'Move Editor'!$B:$B,'Move Editor'!$C:$C,"")</f>
        <v/>
      </c>
      <c r="F50" s="3">
        <f>IFERROR(LET(mtype,XLOOKUP($D50,'Move Editor'!$B:$B,'Move Editor'!$C:$C,""),cat,XLOOKUP($D50,'Move Editor'!$B:$B,'Move Editor'!$D:$D,""),pow,XLOOKUP($D50,'Move Editor'!$B:$B,'Move Editor'!$E:$E,0),acc,XLOOKUP($D50,'Move Editor'!$B:$B,'Move Editor'!$F:$F,100),atk,IF(cat="Physical",FLOOR((FLOOR(((2*XLOOKUP(XLOOKUP($K50,'Threshold Summary'!$Y:$Y,'Threshold Summary'!$K:$K,""),'Pokemon Editor'!$A:$A,'Pokemon Editor'!$F:$F,0)+31+FLOOR(XLOOKUP($K50,'Threshold Summary'!$Y:$Y,'Threshold Summary'!$P:$P,"")/4))*XLOOKUP($K50,'Threshold Summary'!$Y:$Y,'Threshold Summary'!$L:$L,""))/100)+5)*XLOOKUP(XLOOKUP($K50,'Threshold Summary'!$Y:$Y,'Threshold Summary'!$M:$M,""),'Nature Editor'!$A:$A,'Nature Editor'!$B:$B,1)),FLOOR((FLOOR(((2*XLOOKUP(XLOOKUP($K50,'Threshold Summary'!$Y:$Y,'Threshold Summary'!$K:$K,""),'Pokemon Editor'!$A:$A,'Pokemon Editor'!$H:$H,0)+31+FLOOR(XLOOKUP($K50,'Threshold Summary'!$Y:$Y,'Threshold Summary'!$R:$R,"")/4))*XLOOKUP($K50,'Threshold Summary'!$Y:$Y,'Threshold Summary'!$L:$L,""))/100)+5)*XLOOKUP(XLOOKUP($K50,'Threshold Summary'!$Y:$Y,'Threshold Summary'!$M:$M,""),'Nature Editor'!$A:$A,'Nature Editor'!$D:$D,1))),def,IF(cat="Physical",FLOOR((FLOOR(((2*XLOOKUP($L50,'Pokemon Editor'!$A:$A,'Pokemon Editor'!$G:$G,0)+31+FLOOR(XLOOKUP($L50,'Boss Editor'!$C:$C,'Boss Editor'!$I:$I,"")/4))*XLOOKUP($L50,'Boss Editor'!$C:$C,'Boss Editor'!$D:$D,""))/100)+5)*XLOOKUP(XLOOKUP($L50,'Boss Editor'!$C:$C,'Boss Editor'!$E:$E,""),'Nature Editor'!$A:$A,'Nature Editor'!$C:$C,1)),FLOOR((FLOOR(((2*XLOOKUP($L50,'Pokemon Editor'!$A:$A,'Pokemon Editor'!$I:$I,0)+31+FLOOR(XLOOKUP($L50,'Boss Editor'!$C:$C,'Boss Editor'!$K:$K,"")/4))*XLOOKUP($L50,'Boss Editor'!$C:$C,'Boss Editor'!$D:$D,""))/100)+5)*XLOOKUP(XLOOKUP($L50,'Boss Editor'!$C:$C,'Boss Editor'!$E:$E,""),'Nature Editor'!$A:$A,'Nature Editor'!$E:$E,1))),stab,IF(OR(mtype=XLOOKUP(XLOOKUP($K50,'Threshold Summary'!$Y:$Y,'Threshold Summary'!$K:$K,""),'Pokemon Editor'!$A:$A,'Pokemon Editor'!$C:$C,""),mtype=XLOOKUP(XLOOKUP($K50,'Threshold Summary'!$Y:$Y,'Threshold Summary'!$K:$K,""),'Pokemon Editor'!$A:$A,'Pokemon Editor'!$D:$D,"")),1.5,1),eff,(INDEX('Type Chart'!$B:$S,MATCH(mtype,'Type Chart'!$A:$A,0),MATCH(XLOOKUP($L50,'Pokemon Editor'!$A:$A,'Pokemon Editor'!$C:$C,""),'Type Chart'!$B$1:$S$1,0))*IF(XLOOKUP($L50,'Pokemon Editor'!$A:$A,'Pokemon Editor'!$D:$D,"")="",1,INDEX('Type Chart'!$B:$S,MATCH(mtype,'Type Chart'!$A:$A,0),MATCH(XLOOKUP($L50,'Pokemon Editor'!$A:$A,'Pokemon Editor'!$D:$D,""),'Type Chart'!$B$1:$S$1,0)))),base,IF(OR(cat="Status",pow=0),0,FLOOR(FLOOR(FLOOR((2*XLOOKUP($K50,'Threshold Summary'!$Y:$Y,'Threshold Summary'!$L:$L,"")/5+2)*pow*atk/def)/50)+2)),modifier,stab*eff,FLOOR(base*modifier*0.85)),0)</f>
        <v/>
      </c>
      <c r="G50" s="3">
        <f>IFERROR(LET(mtype,XLOOKUP($D50,'Move Editor'!$B:$B,'Move Editor'!$C:$C,""),cat,XLOOKUP($D50,'Move Editor'!$B:$B,'Move Editor'!$D:$D,""),pow,XLOOKUP($D50,'Move Editor'!$B:$B,'Move Editor'!$E:$E,0),acc,XLOOKUP($D50,'Move Editor'!$B:$B,'Move Editor'!$F:$F,100),atk,IF(cat="Physical",FLOOR((FLOOR(((2*XLOOKUP(XLOOKUP($K50,'Threshold Summary'!$Y:$Y,'Threshold Summary'!$K:$K,""),'Pokemon Editor'!$A:$A,'Pokemon Editor'!$F:$F,0)+31+FLOOR(XLOOKUP($K50,'Threshold Summary'!$Y:$Y,'Threshold Summary'!$P:$P,"")/4))*XLOOKUP($K50,'Threshold Summary'!$Y:$Y,'Threshold Summary'!$L:$L,""))/100)+5)*XLOOKUP(XLOOKUP($K50,'Threshold Summary'!$Y:$Y,'Threshold Summary'!$M:$M,""),'Nature Editor'!$A:$A,'Nature Editor'!$B:$B,1)),FLOOR((FLOOR(((2*XLOOKUP(XLOOKUP($K50,'Threshold Summary'!$Y:$Y,'Threshold Summary'!$K:$K,""),'Pokemon Editor'!$A:$A,'Pokemon Editor'!$H:$H,0)+31+FLOOR(XLOOKUP($K50,'Threshold Summary'!$Y:$Y,'Threshold Summary'!$R:$R,"")/4))*XLOOKUP($K50,'Threshold Summary'!$Y:$Y,'Threshold Summary'!$L:$L,""))/100)+5)*XLOOKUP(XLOOKUP($K50,'Threshold Summary'!$Y:$Y,'Threshold Summary'!$M:$M,""),'Nature Editor'!$A:$A,'Nature Editor'!$D:$D,1))),def,IF(cat="Physical",FLOOR((FLOOR(((2*XLOOKUP($L50,'Pokemon Editor'!$A:$A,'Pokemon Editor'!$G:$G,0)+31+FLOOR(XLOOKUP($L50,'Boss Editor'!$C:$C,'Boss Editor'!$I:$I,"")/4))*XLOOKUP($L50,'Boss Editor'!$C:$C,'Boss Editor'!$D:$D,""))/100)+5)*XLOOKUP(XLOOKUP($L50,'Boss Editor'!$C:$C,'Boss Editor'!$E:$E,""),'Nature Editor'!$A:$A,'Nature Editor'!$C:$C,1)),FLOOR((FLOOR(((2*XLOOKUP($L50,'Pokemon Editor'!$A:$A,'Pokemon Editor'!$I:$I,0)+31+FLOOR(XLOOKUP($L50,'Boss Editor'!$C:$C,'Boss Editor'!$K:$K,"")/4))*XLOOKUP($L50,'Boss Editor'!$C:$C,'Boss Editor'!$D:$D,""))/100)+5)*XLOOKUP(XLOOKUP($L50,'Boss Editor'!$C:$C,'Boss Editor'!$E:$E,""),'Nature Editor'!$A:$A,'Nature Editor'!$E:$E,1))),stab,IF(OR(mtype=XLOOKUP(XLOOKUP($K50,'Threshold Summary'!$Y:$Y,'Threshold Summary'!$K:$K,""),'Pokemon Editor'!$A:$A,'Pokemon Editor'!$C:$C,""),mtype=XLOOKUP(XLOOKUP($K50,'Threshold Summary'!$Y:$Y,'Threshold Summary'!$K:$K,""),'Pokemon Editor'!$A:$A,'Pokemon Editor'!$D:$D,"")),1.5,1),eff,(INDEX('Type Chart'!$B:$S,MATCH(mtype,'Type Chart'!$A:$A,0),MATCH(XLOOKUP($L50,'Pokemon Editor'!$A:$A,'Pokemon Editor'!$C:$C,""),'Type Chart'!$B$1:$S$1,0))*IF(XLOOKUP($L50,'Pokemon Editor'!$A:$A,'Pokemon Editor'!$D:$D,"")="",1,INDEX('Type Chart'!$B:$S,MATCH(mtype,'Type Chart'!$A:$A,0),MATCH(XLOOKUP($L50,'Pokemon Editor'!$A:$A,'Pokemon Editor'!$D:$D,""),'Type Chart'!$B$1:$S$1,0)))),base,IF(OR(cat="Status",pow=0),0,FLOOR(FLOOR(FLOOR((2*XLOOKUP($K50,'Threshold Summary'!$Y:$Y,'Threshold Summary'!$L:$L,"")/5+2)*pow*atk/def)/50)+2)),modifier,stab*eff,FLOOR(base*modifier)),0)</f>
        <v/>
      </c>
      <c r="H50" s="3">
        <f>IFERROR(LET(mtype,XLOOKUP($D50,'Move Editor'!$B:$B,'Move Editor'!$C:$C,""),cat,XLOOKUP($D50,'Move Editor'!$B:$B,'Move Editor'!$D:$D,""),pow,XLOOKUP($D50,'Move Editor'!$B:$B,'Move Editor'!$E:$E,0),acc,XLOOKUP($D50,'Move Editor'!$B:$B,'Move Editor'!$F:$F,100),atk,IF(cat="Physical",FLOOR((FLOOR(((2*XLOOKUP(XLOOKUP($K50,'Threshold Summary'!$Y:$Y,'Threshold Summary'!$K:$K,""),'Pokemon Editor'!$A:$A,'Pokemon Editor'!$F:$F,0)+31+FLOOR(XLOOKUP($K50,'Threshold Summary'!$Y:$Y,'Threshold Summary'!$P:$P,"")/4))*XLOOKUP($K50,'Threshold Summary'!$Y:$Y,'Threshold Summary'!$L:$L,""))/100)+5)*XLOOKUP(XLOOKUP($K50,'Threshold Summary'!$Y:$Y,'Threshold Summary'!$M:$M,""),'Nature Editor'!$A:$A,'Nature Editor'!$B:$B,1)),FLOOR((FLOOR(((2*XLOOKUP(XLOOKUP($K50,'Threshold Summary'!$Y:$Y,'Threshold Summary'!$K:$K,""),'Pokemon Editor'!$A:$A,'Pokemon Editor'!$H:$H,0)+31+FLOOR(XLOOKUP($K50,'Threshold Summary'!$Y:$Y,'Threshold Summary'!$R:$R,"")/4))*XLOOKUP($K50,'Threshold Summary'!$Y:$Y,'Threshold Summary'!$L:$L,""))/100)+5)*XLOOKUP(XLOOKUP($K50,'Threshold Summary'!$Y:$Y,'Threshold Summary'!$M:$M,""),'Nature Editor'!$A:$A,'Nature Editor'!$D:$D,1))),def,IF(cat="Physical",FLOOR((FLOOR(((2*XLOOKUP($L50,'Pokemon Editor'!$A:$A,'Pokemon Editor'!$G:$G,0)+31+FLOOR(XLOOKUP($L50,'Boss Editor'!$C:$C,'Boss Editor'!$I:$I,"")/4))*XLOOKUP($L50,'Boss Editor'!$C:$C,'Boss Editor'!$D:$D,""))/100)+5)*XLOOKUP(XLOOKUP($L50,'Boss Editor'!$C:$C,'Boss Editor'!$E:$E,""),'Nature Editor'!$A:$A,'Nature Editor'!$C:$C,1)),FLOOR((FLOOR(((2*XLOOKUP($L50,'Pokemon Editor'!$A:$A,'Pokemon Editor'!$I:$I,0)+31+FLOOR(XLOOKUP($L50,'Boss Editor'!$C:$C,'Boss Editor'!$K:$K,"")/4))*XLOOKUP($L50,'Boss Editor'!$C:$C,'Boss Editor'!$D:$D,""))/100)+5)*XLOOKUP(XLOOKUP($L50,'Boss Editor'!$C:$C,'Boss Editor'!$E:$E,""),'Nature Editor'!$A:$A,'Nature Editor'!$E:$E,1))),stab,IF(OR(mtype=XLOOKUP(XLOOKUP($K50,'Threshold Summary'!$Y:$Y,'Threshold Summary'!$K:$K,""),'Pokemon Editor'!$A:$A,'Pokemon Editor'!$C:$C,""),mtype=XLOOKUP(XLOOKUP($K50,'Threshold Summary'!$Y:$Y,'Threshold Summary'!$K:$K,""),'Pokemon Editor'!$A:$A,'Pokemon Editor'!$D:$D,"")),1.5,1),eff,(INDEX('Type Chart'!$B:$S,MATCH(mtype,'Type Chart'!$A:$A,0),MATCH(XLOOKUP($L50,'Pokemon Editor'!$A:$A,'Pokemon Editor'!$C:$C,""),'Type Chart'!$B$1:$S$1,0))*IF(XLOOKUP($L50,'Pokemon Editor'!$A:$A,'Pokemon Editor'!$D:$D,"")="",1,INDEX('Type Chart'!$B:$S,MATCH(mtype,'Type Chart'!$A:$A,0),MATCH(XLOOKUP($L50,'Pokemon Editor'!$A:$A,'Pokemon Editor'!$D:$D,""),'Type Chart'!$B$1:$S$1,0)))),base,IF(OR(cat="Status",pow=0),0,FLOOR(FLOOR(FLOOR((2*XLOOKUP($K50,'Threshold Summary'!$Y:$Y,'Threshold Summary'!$L:$L,"")/5+2)*pow*atk/def)/50)+2)),modifier,stab*eff,AVERAGE(ARRAYFORMULA(FLOOR(base*modifier*SEQUENCE(16,1,85,1)/100)))),0)</f>
        <v/>
      </c>
      <c r="I50" s="4">
        <f>IFERROR(LET(mtype,XLOOKUP($D50,'Move Editor'!$B:$B,'Move Editor'!$C:$C,""),cat,XLOOKUP($D50,'Move Editor'!$B:$B,'Move Editor'!$D:$D,""),pow,XLOOKUP($D50,'Move Editor'!$B:$B,'Move Editor'!$E:$E,0),acc,XLOOKUP($D50,'Move Editor'!$B:$B,'Move Editor'!$F:$F,100),atk,IF(cat="Physical",FLOOR((FLOOR(((2*XLOOKUP(XLOOKUP($K50,'Threshold Summary'!$Y:$Y,'Threshold Summary'!$K:$K,""),'Pokemon Editor'!$A:$A,'Pokemon Editor'!$F:$F,0)+31+FLOOR(XLOOKUP($K50,'Threshold Summary'!$Y:$Y,'Threshold Summary'!$P:$P,"")/4))*XLOOKUP($K50,'Threshold Summary'!$Y:$Y,'Threshold Summary'!$L:$L,""))/100)+5)*XLOOKUP(XLOOKUP($K50,'Threshold Summary'!$Y:$Y,'Threshold Summary'!$M:$M,""),'Nature Editor'!$A:$A,'Nature Editor'!$B:$B,1)),FLOOR((FLOOR(((2*XLOOKUP(XLOOKUP($K50,'Threshold Summary'!$Y:$Y,'Threshold Summary'!$K:$K,""),'Pokemon Editor'!$A:$A,'Pokemon Editor'!$H:$H,0)+31+FLOOR(XLOOKUP($K50,'Threshold Summary'!$Y:$Y,'Threshold Summary'!$R:$R,"")/4))*XLOOKUP($K50,'Threshold Summary'!$Y:$Y,'Threshold Summary'!$L:$L,""))/100)+5)*XLOOKUP(XLOOKUP($K50,'Threshold Summary'!$Y:$Y,'Threshold Summary'!$M:$M,""),'Nature Editor'!$A:$A,'Nature Editor'!$D:$D,1))),def,IF(cat="Physical",FLOOR((FLOOR(((2*XLOOKUP($L50,'Pokemon Editor'!$A:$A,'Pokemon Editor'!$G:$G,0)+31+FLOOR(XLOOKUP($L50,'Boss Editor'!$C:$C,'Boss Editor'!$I:$I,"")/4))*XLOOKUP($L50,'Boss Editor'!$C:$C,'Boss Editor'!$D:$D,""))/100)+5)*XLOOKUP(XLOOKUP($L50,'Boss Editor'!$C:$C,'Boss Editor'!$E:$E,""),'Nature Editor'!$A:$A,'Nature Editor'!$C:$C,1)),FLOOR((FLOOR(((2*XLOOKUP($L50,'Pokemon Editor'!$A:$A,'Pokemon Editor'!$I:$I,0)+31+FLOOR(XLOOKUP($L50,'Boss Editor'!$C:$C,'Boss Editor'!$K:$K,"")/4))*XLOOKUP($L50,'Boss Editor'!$C:$C,'Boss Editor'!$D:$D,""))/100)+5)*XLOOKUP(XLOOKUP($L50,'Boss Editor'!$C:$C,'Boss Editor'!$E:$E,""),'Nature Editor'!$A:$A,'Nature Editor'!$E:$E,1))),stab,IF(OR(mtype=XLOOKUP(XLOOKUP($K50,'Threshold Summary'!$Y:$Y,'Threshold Summary'!$K:$K,""),'Pokemon Editor'!$A:$A,'Pokemon Editor'!$C:$C,""),mtype=XLOOKUP(XLOOKUP($K50,'Threshold Summary'!$Y:$Y,'Threshold Summary'!$K:$K,""),'Pokemon Editor'!$A:$A,'Pokemon Editor'!$D:$D,"")),1.5,1),eff,(INDEX('Type Chart'!$B:$S,MATCH(mtype,'Type Chart'!$A:$A,0),MATCH(XLOOKUP($L50,'Pokemon Editor'!$A:$A,'Pokemon Editor'!$C:$C,""),'Type Chart'!$B$1:$S$1,0))*IF(XLOOKUP($L50,'Pokemon Editor'!$A:$A,'Pokemon Editor'!$D:$D,"")="",1,INDEX('Type Chart'!$B:$S,MATCH(mtype,'Type Chart'!$A:$A,0),MATCH(XLOOKUP($L50,'Pokemon Editor'!$A:$A,'Pokemon Editor'!$D:$D,""),'Type Chart'!$B$1:$S$1,0)))),base,IF(OR(cat="Status",pow=0),0,FLOOR(FLOOR(FLOOR((2*XLOOKUP($K50,'Threshold Summary'!$Y:$Y,'Threshold Summary'!$L:$L,"")/5+2)*pow*atk/def)/50)+2)),modifier,stab*eff,AVERAGE(ARRAYFORMULA(FLOOR(base*modifier*SEQUENCE(16,1,85,1)/100)))/(FLOOR(((2*XLOOKUP($L50,'Pokemon Editor'!$A:$A,'Pokemon Editor'!$E:$E,0)+31+FLOOR(XLOOKUP($L50,'Boss Editor'!$C:$C,'Boss Editor'!$G:$G,"")/4))*XLOOKUP($L50,'Boss Editor'!$C:$C,'Boss Editor'!$D:$D,""))/100)+XLOOKUP($L50,'Boss Editor'!$C:$C,'Boss Editor'!$D:$D,"")+10)),0)</f>
        <v/>
      </c>
      <c r="J50" s="3">
        <f>IF(I50&gt;=1,"OHKO",IF(I50&gt;=0.5,"2HKO",IF(I50&gt;=0.333,"3HKO",IF(I50&gt;=0.25,"4HKO","5HKO+"))))</f>
        <v/>
      </c>
      <c r="K50" s="3" t="inlineStr">
        <is>
          <t>SPECIES_MINCCINO</t>
        </is>
      </c>
      <c r="L50" s="3" t="inlineStr">
        <is>
          <t>SPECIES_TIRTOUGA</t>
        </is>
      </c>
    </row>
    <row r="51">
      <c r="A51" s="3">
        <f>XLOOKUP($K51,'Threshold Summary'!$Y:$Y,'Threshold Summary'!$A:$A,"")</f>
        <v/>
      </c>
      <c r="B51" s="3" t="inlineStr">
        <is>
          <t>Anorith</t>
        </is>
      </c>
      <c r="C51" s="3">
        <f>XLOOKUP($L51,'Boss Editor'!$C:$C,'Boss Editor'!$D:$D,"")</f>
        <v/>
      </c>
      <c r="D51" s="3">
        <f>XLOOKUP($K51,'Threshold Summary'!$Y:$Y,'Threshold Summary'!$B:$B,"")</f>
        <v/>
      </c>
      <c r="E51" s="3">
        <f>XLOOKUP(D51,'Move Editor'!$B:$B,'Move Editor'!$C:$C,"")</f>
        <v/>
      </c>
      <c r="F51" s="3">
        <f>IFERROR(LET(mtype,XLOOKUP($D51,'Move Editor'!$B:$B,'Move Editor'!$C:$C,""),cat,XLOOKUP($D51,'Move Editor'!$B:$B,'Move Editor'!$D:$D,""),pow,XLOOKUP($D51,'Move Editor'!$B:$B,'Move Editor'!$E:$E,0),acc,XLOOKUP($D51,'Move Editor'!$B:$B,'Move Editor'!$F:$F,100),atk,IF(cat="Physical",FLOOR((FLOOR(((2*XLOOKUP(XLOOKUP($K51,'Threshold Summary'!$Y:$Y,'Threshold Summary'!$K:$K,""),'Pokemon Editor'!$A:$A,'Pokemon Editor'!$F:$F,0)+31+FLOOR(XLOOKUP($K51,'Threshold Summary'!$Y:$Y,'Threshold Summary'!$P:$P,"")/4))*XLOOKUP($K51,'Threshold Summary'!$Y:$Y,'Threshold Summary'!$L:$L,""))/100)+5)*XLOOKUP(XLOOKUP($K51,'Threshold Summary'!$Y:$Y,'Threshold Summary'!$M:$M,""),'Nature Editor'!$A:$A,'Nature Editor'!$B:$B,1)),FLOOR((FLOOR(((2*XLOOKUP(XLOOKUP($K51,'Threshold Summary'!$Y:$Y,'Threshold Summary'!$K:$K,""),'Pokemon Editor'!$A:$A,'Pokemon Editor'!$H:$H,0)+31+FLOOR(XLOOKUP($K51,'Threshold Summary'!$Y:$Y,'Threshold Summary'!$R:$R,"")/4))*XLOOKUP($K51,'Threshold Summary'!$Y:$Y,'Threshold Summary'!$L:$L,""))/100)+5)*XLOOKUP(XLOOKUP($K51,'Threshold Summary'!$Y:$Y,'Threshold Summary'!$M:$M,""),'Nature Editor'!$A:$A,'Nature Editor'!$D:$D,1))),def,IF(cat="Physical",FLOOR((FLOOR(((2*XLOOKUP($L51,'Pokemon Editor'!$A:$A,'Pokemon Editor'!$G:$G,0)+31+FLOOR(XLOOKUP($L51,'Boss Editor'!$C:$C,'Boss Editor'!$I:$I,"")/4))*XLOOKUP($L51,'Boss Editor'!$C:$C,'Boss Editor'!$D:$D,""))/100)+5)*XLOOKUP(XLOOKUP($L51,'Boss Editor'!$C:$C,'Boss Editor'!$E:$E,""),'Nature Editor'!$A:$A,'Nature Editor'!$C:$C,1)),FLOOR((FLOOR(((2*XLOOKUP($L51,'Pokemon Editor'!$A:$A,'Pokemon Editor'!$I:$I,0)+31+FLOOR(XLOOKUP($L51,'Boss Editor'!$C:$C,'Boss Editor'!$K:$K,"")/4))*XLOOKUP($L51,'Boss Editor'!$C:$C,'Boss Editor'!$D:$D,""))/100)+5)*XLOOKUP(XLOOKUP($L51,'Boss Editor'!$C:$C,'Boss Editor'!$E:$E,""),'Nature Editor'!$A:$A,'Nature Editor'!$E:$E,1))),stab,IF(OR(mtype=XLOOKUP(XLOOKUP($K51,'Threshold Summary'!$Y:$Y,'Threshold Summary'!$K:$K,""),'Pokemon Editor'!$A:$A,'Pokemon Editor'!$C:$C,""),mtype=XLOOKUP(XLOOKUP($K51,'Threshold Summary'!$Y:$Y,'Threshold Summary'!$K:$K,""),'Pokemon Editor'!$A:$A,'Pokemon Editor'!$D:$D,"")),1.5,1),eff,(INDEX('Type Chart'!$B:$S,MATCH(mtype,'Type Chart'!$A:$A,0),MATCH(XLOOKUP($L51,'Pokemon Editor'!$A:$A,'Pokemon Editor'!$C:$C,""),'Type Chart'!$B$1:$S$1,0))*IF(XLOOKUP($L51,'Pokemon Editor'!$A:$A,'Pokemon Editor'!$D:$D,"")="",1,INDEX('Type Chart'!$B:$S,MATCH(mtype,'Type Chart'!$A:$A,0),MATCH(XLOOKUP($L51,'Pokemon Editor'!$A:$A,'Pokemon Editor'!$D:$D,""),'Type Chart'!$B$1:$S$1,0)))),base,IF(OR(cat="Status",pow=0),0,FLOOR(FLOOR(FLOOR((2*XLOOKUP($K51,'Threshold Summary'!$Y:$Y,'Threshold Summary'!$L:$L,"")/5+2)*pow*atk/def)/50)+2)),modifier,stab*eff,FLOOR(base*modifier*0.85)),0)</f>
        <v/>
      </c>
      <c r="G51" s="3">
        <f>IFERROR(LET(mtype,XLOOKUP($D51,'Move Editor'!$B:$B,'Move Editor'!$C:$C,""),cat,XLOOKUP($D51,'Move Editor'!$B:$B,'Move Editor'!$D:$D,""),pow,XLOOKUP($D51,'Move Editor'!$B:$B,'Move Editor'!$E:$E,0),acc,XLOOKUP($D51,'Move Editor'!$B:$B,'Move Editor'!$F:$F,100),atk,IF(cat="Physical",FLOOR((FLOOR(((2*XLOOKUP(XLOOKUP($K51,'Threshold Summary'!$Y:$Y,'Threshold Summary'!$K:$K,""),'Pokemon Editor'!$A:$A,'Pokemon Editor'!$F:$F,0)+31+FLOOR(XLOOKUP($K51,'Threshold Summary'!$Y:$Y,'Threshold Summary'!$P:$P,"")/4))*XLOOKUP($K51,'Threshold Summary'!$Y:$Y,'Threshold Summary'!$L:$L,""))/100)+5)*XLOOKUP(XLOOKUP($K51,'Threshold Summary'!$Y:$Y,'Threshold Summary'!$M:$M,""),'Nature Editor'!$A:$A,'Nature Editor'!$B:$B,1)),FLOOR((FLOOR(((2*XLOOKUP(XLOOKUP($K51,'Threshold Summary'!$Y:$Y,'Threshold Summary'!$K:$K,""),'Pokemon Editor'!$A:$A,'Pokemon Editor'!$H:$H,0)+31+FLOOR(XLOOKUP($K51,'Threshold Summary'!$Y:$Y,'Threshold Summary'!$R:$R,"")/4))*XLOOKUP($K51,'Threshold Summary'!$Y:$Y,'Threshold Summary'!$L:$L,""))/100)+5)*XLOOKUP(XLOOKUP($K51,'Threshold Summary'!$Y:$Y,'Threshold Summary'!$M:$M,""),'Nature Editor'!$A:$A,'Nature Editor'!$D:$D,1))),def,IF(cat="Physical",FLOOR((FLOOR(((2*XLOOKUP($L51,'Pokemon Editor'!$A:$A,'Pokemon Editor'!$G:$G,0)+31+FLOOR(XLOOKUP($L51,'Boss Editor'!$C:$C,'Boss Editor'!$I:$I,"")/4))*XLOOKUP($L51,'Boss Editor'!$C:$C,'Boss Editor'!$D:$D,""))/100)+5)*XLOOKUP(XLOOKUP($L51,'Boss Editor'!$C:$C,'Boss Editor'!$E:$E,""),'Nature Editor'!$A:$A,'Nature Editor'!$C:$C,1)),FLOOR((FLOOR(((2*XLOOKUP($L51,'Pokemon Editor'!$A:$A,'Pokemon Editor'!$I:$I,0)+31+FLOOR(XLOOKUP($L51,'Boss Editor'!$C:$C,'Boss Editor'!$K:$K,"")/4))*XLOOKUP($L51,'Boss Editor'!$C:$C,'Boss Editor'!$D:$D,""))/100)+5)*XLOOKUP(XLOOKUP($L51,'Boss Editor'!$C:$C,'Boss Editor'!$E:$E,""),'Nature Editor'!$A:$A,'Nature Editor'!$E:$E,1))),stab,IF(OR(mtype=XLOOKUP(XLOOKUP($K51,'Threshold Summary'!$Y:$Y,'Threshold Summary'!$K:$K,""),'Pokemon Editor'!$A:$A,'Pokemon Editor'!$C:$C,""),mtype=XLOOKUP(XLOOKUP($K51,'Threshold Summary'!$Y:$Y,'Threshold Summary'!$K:$K,""),'Pokemon Editor'!$A:$A,'Pokemon Editor'!$D:$D,"")),1.5,1),eff,(INDEX('Type Chart'!$B:$S,MATCH(mtype,'Type Chart'!$A:$A,0),MATCH(XLOOKUP($L51,'Pokemon Editor'!$A:$A,'Pokemon Editor'!$C:$C,""),'Type Chart'!$B$1:$S$1,0))*IF(XLOOKUP($L51,'Pokemon Editor'!$A:$A,'Pokemon Editor'!$D:$D,"")="",1,INDEX('Type Chart'!$B:$S,MATCH(mtype,'Type Chart'!$A:$A,0),MATCH(XLOOKUP($L51,'Pokemon Editor'!$A:$A,'Pokemon Editor'!$D:$D,""),'Type Chart'!$B$1:$S$1,0)))),base,IF(OR(cat="Status",pow=0),0,FLOOR(FLOOR(FLOOR((2*XLOOKUP($K51,'Threshold Summary'!$Y:$Y,'Threshold Summary'!$L:$L,"")/5+2)*pow*atk/def)/50)+2)),modifier,stab*eff,FLOOR(base*modifier)),0)</f>
        <v/>
      </c>
      <c r="H51" s="3">
        <f>IFERROR(LET(mtype,XLOOKUP($D51,'Move Editor'!$B:$B,'Move Editor'!$C:$C,""),cat,XLOOKUP($D51,'Move Editor'!$B:$B,'Move Editor'!$D:$D,""),pow,XLOOKUP($D51,'Move Editor'!$B:$B,'Move Editor'!$E:$E,0),acc,XLOOKUP($D51,'Move Editor'!$B:$B,'Move Editor'!$F:$F,100),atk,IF(cat="Physical",FLOOR((FLOOR(((2*XLOOKUP(XLOOKUP($K51,'Threshold Summary'!$Y:$Y,'Threshold Summary'!$K:$K,""),'Pokemon Editor'!$A:$A,'Pokemon Editor'!$F:$F,0)+31+FLOOR(XLOOKUP($K51,'Threshold Summary'!$Y:$Y,'Threshold Summary'!$P:$P,"")/4))*XLOOKUP($K51,'Threshold Summary'!$Y:$Y,'Threshold Summary'!$L:$L,""))/100)+5)*XLOOKUP(XLOOKUP($K51,'Threshold Summary'!$Y:$Y,'Threshold Summary'!$M:$M,""),'Nature Editor'!$A:$A,'Nature Editor'!$B:$B,1)),FLOOR((FLOOR(((2*XLOOKUP(XLOOKUP($K51,'Threshold Summary'!$Y:$Y,'Threshold Summary'!$K:$K,""),'Pokemon Editor'!$A:$A,'Pokemon Editor'!$H:$H,0)+31+FLOOR(XLOOKUP($K51,'Threshold Summary'!$Y:$Y,'Threshold Summary'!$R:$R,"")/4))*XLOOKUP($K51,'Threshold Summary'!$Y:$Y,'Threshold Summary'!$L:$L,""))/100)+5)*XLOOKUP(XLOOKUP($K51,'Threshold Summary'!$Y:$Y,'Threshold Summary'!$M:$M,""),'Nature Editor'!$A:$A,'Nature Editor'!$D:$D,1))),def,IF(cat="Physical",FLOOR((FLOOR(((2*XLOOKUP($L51,'Pokemon Editor'!$A:$A,'Pokemon Editor'!$G:$G,0)+31+FLOOR(XLOOKUP($L51,'Boss Editor'!$C:$C,'Boss Editor'!$I:$I,"")/4))*XLOOKUP($L51,'Boss Editor'!$C:$C,'Boss Editor'!$D:$D,""))/100)+5)*XLOOKUP(XLOOKUP($L51,'Boss Editor'!$C:$C,'Boss Editor'!$E:$E,""),'Nature Editor'!$A:$A,'Nature Editor'!$C:$C,1)),FLOOR((FLOOR(((2*XLOOKUP($L51,'Pokemon Editor'!$A:$A,'Pokemon Editor'!$I:$I,0)+31+FLOOR(XLOOKUP($L51,'Boss Editor'!$C:$C,'Boss Editor'!$K:$K,"")/4))*XLOOKUP($L51,'Boss Editor'!$C:$C,'Boss Editor'!$D:$D,""))/100)+5)*XLOOKUP(XLOOKUP($L51,'Boss Editor'!$C:$C,'Boss Editor'!$E:$E,""),'Nature Editor'!$A:$A,'Nature Editor'!$E:$E,1))),stab,IF(OR(mtype=XLOOKUP(XLOOKUP($K51,'Threshold Summary'!$Y:$Y,'Threshold Summary'!$K:$K,""),'Pokemon Editor'!$A:$A,'Pokemon Editor'!$C:$C,""),mtype=XLOOKUP(XLOOKUP($K51,'Threshold Summary'!$Y:$Y,'Threshold Summary'!$K:$K,""),'Pokemon Editor'!$A:$A,'Pokemon Editor'!$D:$D,"")),1.5,1),eff,(INDEX('Type Chart'!$B:$S,MATCH(mtype,'Type Chart'!$A:$A,0),MATCH(XLOOKUP($L51,'Pokemon Editor'!$A:$A,'Pokemon Editor'!$C:$C,""),'Type Chart'!$B$1:$S$1,0))*IF(XLOOKUP($L51,'Pokemon Editor'!$A:$A,'Pokemon Editor'!$D:$D,"")="",1,INDEX('Type Chart'!$B:$S,MATCH(mtype,'Type Chart'!$A:$A,0),MATCH(XLOOKUP($L51,'Pokemon Editor'!$A:$A,'Pokemon Editor'!$D:$D,""),'Type Chart'!$B$1:$S$1,0)))),base,IF(OR(cat="Status",pow=0),0,FLOOR(FLOOR(FLOOR((2*XLOOKUP($K51,'Threshold Summary'!$Y:$Y,'Threshold Summary'!$L:$L,"")/5+2)*pow*atk/def)/50)+2)),modifier,stab*eff,AVERAGE(ARRAYFORMULA(FLOOR(base*modifier*SEQUENCE(16,1,85,1)/100)))),0)</f>
        <v/>
      </c>
      <c r="I51" s="4">
        <f>IFERROR(LET(mtype,XLOOKUP($D51,'Move Editor'!$B:$B,'Move Editor'!$C:$C,""),cat,XLOOKUP($D51,'Move Editor'!$B:$B,'Move Editor'!$D:$D,""),pow,XLOOKUP($D51,'Move Editor'!$B:$B,'Move Editor'!$E:$E,0),acc,XLOOKUP($D51,'Move Editor'!$B:$B,'Move Editor'!$F:$F,100),atk,IF(cat="Physical",FLOOR((FLOOR(((2*XLOOKUP(XLOOKUP($K51,'Threshold Summary'!$Y:$Y,'Threshold Summary'!$K:$K,""),'Pokemon Editor'!$A:$A,'Pokemon Editor'!$F:$F,0)+31+FLOOR(XLOOKUP($K51,'Threshold Summary'!$Y:$Y,'Threshold Summary'!$P:$P,"")/4))*XLOOKUP($K51,'Threshold Summary'!$Y:$Y,'Threshold Summary'!$L:$L,""))/100)+5)*XLOOKUP(XLOOKUP($K51,'Threshold Summary'!$Y:$Y,'Threshold Summary'!$M:$M,""),'Nature Editor'!$A:$A,'Nature Editor'!$B:$B,1)),FLOOR((FLOOR(((2*XLOOKUP(XLOOKUP($K51,'Threshold Summary'!$Y:$Y,'Threshold Summary'!$K:$K,""),'Pokemon Editor'!$A:$A,'Pokemon Editor'!$H:$H,0)+31+FLOOR(XLOOKUP($K51,'Threshold Summary'!$Y:$Y,'Threshold Summary'!$R:$R,"")/4))*XLOOKUP($K51,'Threshold Summary'!$Y:$Y,'Threshold Summary'!$L:$L,""))/100)+5)*XLOOKUP(XLOOKUP($K51,'Threshold Summary'!$Y:$Y,'Threshold Summary'!$M:$M,""),'Nature Editor'!$A:$A,'Nature Editor'!$D:$D,1))),def,IF(cat="Physical",FLOOR((FLOOR(((2*XLOOKUP($L51,'Pokemon Editor'!$A:$A,'Pokemon Editor'!$G:$G,0)+31+FLOOR(XLOOKUP($L51,'Boss Editor'!$C:$C,'Boss Editor'!$I:$I,"")/4))*XLOOKUP($L51,'Boss Editor'!$C:$C,'Boss Editor'!$D:$D,""))/100)+5)*XLOOKUP(XLOOKUP($L51,'Boss Editor'!$C:$C,'Boss Editor'!$E:$E,""),'Nature Editor'!$A:$A,'Nature Editor'!$C:$C,1)),FLOOR((FLOOR(((2*XLOOKUP($L51,'Pokemon Editor'!$A:$A,'Pokemon Editor'!$I:$I,0)+31+FLOOR(XLOOKUP($L51,'Boss Editor'!$C:$C,'Boss Editor'!$K:$K,"")/4))*XLOOKUP($L51,'Boss Editor'!$C:$C,'Boss Editor'!$D:$D,""))/100)+5)*XLOOKUP(XLOOKUP($L51,'Boss Editor'!$C:$C,'Boss Editor'!$E:$E,""),'Nature Editor'!$A:$A,'Nature Editor'!$E:$E,1))),stab,IF(OR(mtype=XLOOKUP(XLOOKUP($K51,'Threshold Summary'!$Y:$Y,'Threshold Summary'!$K:$K,""),'Pokemon Editor'!$A:$A,'Pokemon Editor'!$C:$C,""),mtype=XLOOKUP(XLOOKUP($K51,'Threshold Summary'!$Y:$Y,'Threshold Summary'!$K:$K,""),'Pokemon Editor'!$A:$A,'Pokemon Editor'!$D:$D,"")),1.5,1),eff,(INDEX('Type Chart'!$B:$S,MATCH(mtype,'Type Chart'!$A:$A,0),MATCH(XLOOKUP($L51,'Pokemon Editor'!$A:$A,'Pokemon Editor'!$C:$C,""),'Type Chart'!$B$1:$S$1,0))*IF(XLOOKUP($L51,'Pokemon Editor'!$A:$A,'Pokemon Editor'!$D:$D,"")="",1,INDEX('Type Chart'!$B:$S,MATCH(mtype,'Type Chart'!$A:$A,0),MATCH(XLOOKUP($L51,'Pokemon Editor'!$A:$A,'Pokemon Editor'!$D:$D,""),'Type Chart'!$B$1:$S$1,0)))),base,IF(OR(cat="Status",pow=0),0,FLOOR(FLOOR(FLOOR((2*XLOOKUP($K51,'Threshold Summary'!$Y:$Y,'Threshold Summary'!$L:$L,"")/5+2)*pow*atk/def)/50)+2)),modifier,stab*eff,AVERAGE(ARRAYFORMULA(FLOOR(base*modifier*SEQUENCE(16,1,85,1)/100)))/(FLOOR(((2*XLOOKUP($L51,'Pokemon Editor'!$A:$A,'Pokemon Editor'!$E:$E,0)+31+FLOOR(XLOOKUP($L51,'Boss Editor'!$C:$C,'Boss Editor'!$G:$G,"")/4))*XLOOKUP($L51,'Boss Editor'!$C:$C,'Boss Editor'!$D:$D,""))/100)+XLOOKUP($L51,'Boss Editor'!$C:$C,'Boss Editor'!$D:$D,"")+10)),0)</f>
        <v/>
      </c>
      <c r="J51" s="3">
        <f>IF(I51&gt;=1,"OHKO",IF(I51&gt;=0.5,"2HKO",IF(I51&gt;=0.333,"3HKO",IF(I51&gt;=0.25,"4HKO","5HKO+"))))</f>
        <v/>
      </c>
      <c r="K51" s="3" t="inlineStr">
        <is>
          <t>SPECIES_MINCCINO</t>
        </is>
      </c>
      <c r="L51" s="3" t="inlineStr">
        <is>
          <t>SPECIES_ANORITH</t>
        </is>
      </c>
    </row>
    <row r="52">
      <c r="A52" s="3">
        <f>XLOOKUP($K52,'Threshold Summary'!$Y:$Y,'Threshold Summary'!$A:$A,"")</f>
        <v/>
      </c>
      <c r="B52" s="3" t="inlineStr">
        <is>
          <t>Lileep</t>
        </is>
      </c>
      <c r="C52" s="3">
        <f>XLOOKUP($L52,'Boss Editor'!$C:$C,'Boss Editor'!$D:$D,"")</f>
        <v/>
      </c>
      <c r="D52" s="3">
        <f>XLOOKUP($K52,'Threshold Summary'!$Y:$Y,'Threshold Summary'!$B:$B,"")</f>
        <v/>
      </c>
      <c r="E52" s="3">
        <f>XLOOKUP(D52,'Move Editor'!$B:$B,'Move Editor'!$C:$C,"")</f>
        <v/>
      </c>
      <c r="F52" s="3">
        <f>IFERROR(LET(mtype,XLOOKUP($D52,'Move Editor'!$B:$B,'Move Editor'!$C:$C,""),cat,XLOOKUP($D52,'Move Editor'!$B:$B,'Move Editor'!$D:$D,""),pow,XLOOKUP($D52,'Move Editor'!$B:$B,'Move Editor'!$E:$E,0),acc,XLOOKUP($D52,'Move Editor'!$B:$B,'Move Editor'!$F:$F,100),atk,IF(cat="Physical",FLOOR((FLOOR(((2*XLOOKUP(XLOOKUP($K52,'Threshold Summary'!$Y:$Y,'Threshold Summary'!$K:$K,""),'Pokemon Editor'!$A:$A,'Pokemon Editor'!$F:$F,0)+31+FLOOR(XLOOKUP($K52,'Threshold Summary'!$Y:$Y,'Threshold Summary'!$P:$P,"")/4))*XLOOKUP($K52,'Threshold Summary'!$Y:$Y,'Threshold Summary'!$L:$L,""))/100)+5)*XLOOKUP(XLOOKUP($K52,'Threshold Summary'!$Y:$Y,'Threshold Summary'!$M:$M,""),'Nature Editor'!$A:$A,'Nature Editor'!$B:$B,1)),FLOOR((FLOOR(((2*XLOOKUP(XLOOKUP($K52,'Threshold Summary'!$Y:$Y,'Threshold Summary'!$K:$K,""),'Pokemon Editor'!$A:$A,'Pokemon Editor'!$H:$H,0)+31+FLOOR(XLOOKUP($K52,'Threshold Summary'!$Y:$Y,'Threshold Summary'!$R:$R,"")/4))*XLOOKUP($K52,'Threshold Summary'!$Y:$Y,'Threshold Summary'!$L:$L,""))/100)+5)*XLOOKUP(XLOOKUP($K52,'Threshold Summary'!$Y:$Y,'Threshold Summary'!$M:$M,""),'Nature Editor'!$A:$A,'Nature Editor'!$D:$D,1))),def,IF(cat="Physical",FLOOR((FLOOR(((2*XLOOKUP($L52,'Pokemon Editor'!$A:$A,'Pokemon Editor'!$G:$G,0)+31+FLOOR(XLOOKUP($L52,'Boss Editor'!$C:$C,'Boss Editor'!$I:$I,"")/4))*XLOOKUP($L52,'Boss Editor'!$C:$C,'Boss Editor'!$D:$D,""))/100)+5)*XLOOKUP(XLOOKUP($L52,'Boss Editor'!$C:$C,'Boss Editor'!$E:$E,""),'Nature Editor'!$A:$A,'Nature Editor'!$C:$C,1)),FLOOR((FLOOR(((2*XLOOKUP($L52,'Pokemon Editor'!$A:$A,'Pokemon Editor'!$I:$I,0)+31+FLOOR(XLOOKUP($L52,'Boss Editor'!$C:$C,'Boss Editor'!$K:$K,"")/4))*XLOOKUP($L52,'Boss Editor'!$C:$C,'Boss Editor'!$D:$D,""))/100)+5)*XLOOKUP(XLOOKUP($L52,'Boss Editor'!$C:$C,'Boss Editor'!$E:$E,""),'Nature Editor'!$A:$A,'Nature Editor'!$E:$E,1))),stab,IF(OR(mtype=XLOOKUP(XLOOKUP($K52,'Threshold Summary'!$Y:$Y,'Threshold Summary'!$K:$K,""),'Pokemon Editor'!$A:$A,'Pokemon Editor'!$C:$C,""),mtype=XLOOKUP(XLOOKUP($K52,'Threshold Summary'!$Y:$Y,'Threshold Summary'!$K:$K,""),'Pokemon Editor'!$A:$A,'Pokemon Editor'!$D:$D,"")),1.5,1),eff,(INDEX('Type Chart'!$B:$S,MATCH(mtype,'Type Chart'!$A:$A,0),MATCH(XLOOKUP($L52,'Pokemon Editor'!$A:$A,'Pokemon Editor'!$C:$C,""),'Type Chart'!$B$1:$S$1,0))*IF(XLOOKUP($L52,'Pokemon Editor'!$A:$A,'Pokemon Editor'!$D:$D,"")="",1,INDEX('Type Chart'!$B:$S,MATCH(mtype,'Type Chart'!$A:$A,0),MATCH(XLOOKUP($L52,'Pokemon Editor'!$A:$A,'Pokemon Editor'!$D:$D,""),'Type Chart'!$B$1:$S$1,0)))),base,IF(OR(cat="Status",pow=0),0,FLOOR(FLOOR(FLOOR((2*XLOOKUP($K52,'Threshold Summary'!$Y:$Y,'Threshold Summary'!$L:$L,"")/5+2)*pow*atk/def)/50)+2)),modifier,stab*eff,FLOOR(base*modifier*0.85)),0)</f>
        <v/>
      </c>
      <c r="G52" s="3">
        <f>IFERROR(LET(mtype,XLOOKUP($D52,'Move Editor'!$B:$B,'Move Editor'!$C:$C,""),cat,XLOOKUP($D52,'Move Editor'!$B:$B,'Move Editor'!$D:$D,""),pow,XLOOKUP($D52,'Move Editor'!$B:$B,'Move Editor'!$E:$E,0),acc,XLOOKUP($D52,'Move Editor'!$B:$B,'Move Editor'!$F:$F,100),atk,IF(cat="Physical",FLOOR((FLOOR(((2*XLOOKUP(XLOOKUP($K52,'Threshold Summary'!$Y:$Y,'Threshold Summary'!$K:$K,""),'Pokemon Editor'!$A:$A,'Pokemon Editor'!$F:$F,0)+31+FLOOR(XLOOKUP($K52,'Threshold Summary'!$Y:$Y,'Threshold Summary'!$P:$P,"")/4))*XLOOKUP($K52,'Threshold Summary'!$Y:$Y,'Threshold Summary'!$L:$L,""))/100)+5)*XLOOKUP(XLOOKUP($K52,'Threshold Summary'!$Y:$Y,'Threshold Summary'!$M:$M,""),'Nature Editor'!$A:$A,'Nature Editor'!$B:$B,1)),FLOOR((FLOOR(((2*XLOOKUP(XLOOKUP($K52,'Threshold Summary'!$Y:$Y,'Threshold Summary'!$K:$K,""),'Pokemon Editor'!$A:$A,'Pokemon Editor'!$H:$H,0)+31+FLOOR(XLOOKUP($K52,'Threshold Summary'!$Y:$Y,'Threshold Summary'!$R:$R,"")/4))*XLOOKUP($K52,'Threshold Summary'!$Y:$Y,'Threshold Summary'!$L:$L,""))/100)+5)*XLOOKUP(XLOOKUP($K52,'Threshold Summary'!$Y:$Y,'Threshold Summary'!$M:$M,""),'Nature Editor'!$A:$A,'Nature Editor'!$D:$D,1))),def,IF(cat="Physical",FLOOR((FLOOR(((2*XLOOKUP($L52,'Pokemon Editor'!$A:$A,'Pokemon Editor'!$G:$G,0)+31+FLOOR(XLOOKUP($L52,'Boss Editor'!$C:$C,'Boss Editor'!$I:$I,"")/4))*XLOOKUP($L52,'Boss Editor'!$C:$C,'Boss Editor'!$D:$D,""))/100)+5)*XLOOKUP(XLOOKUP($L52,'Boss Editor'!$C:$C,'Boss Editor'!$E:$E,""),'Nature Editor'!$A:$A,'Nature Editor'!$C:$C,1)),FLOOR((FLOOR(((2*XLOOKUP($L52,'Pokemon Editor'!$A:$A,'Pokemon Editor'!$I:$I,0)+31+FLOOR(XLOOKUP($L52,'Boss Editor'!$C:$C,'Boss Editor'!$K:$K,"")/4))*XLOOKUP($L52,'Boss Editor'!$C:$C,'Boss Editor'!$D:$D,""))/100)+5)*XLOOKUP(XLOOKUP($L52,'Boss Editor'!$C:$C,'Boss Editor'!$E:$E,""),'Nature Editor'!$A:$A,'Nature Editor'!$E:$E,1))),stab,IF(OR(mtype=XLOOKUP(XLOOKUP($K52,'Threshold Summary'!$Y:$Y,'Threshold Summary'!$K:$K,""),'Pokemon Editor'!$A:$A,'Pokemon Editor'!$C:$C,""),mtype=XLOOKUP(XLOOKUP($K52,'Threshold Summary'!$Y:$Y,'Threshold Summary'!$K:$K,""),'Pokemon Editor'!$A:$A,'Pokemon Editor'!$D:$D,"")),1.5,1),eff,(INDEX('Type Chart'!$B:$S,MATCH(mtype,'Type Chart'!$A:$A,0),MATCH(XLOOKUP($L52,'Pokemon Editor'!$A:$A,'Pokemon Editor'!$C:$C,""),'Type Chart'!$B$1:$S$1,0))*IF(XLOOKUP($L52,'Pokemon Editor'!$A:$A,'Pokemon Editor'!$D:$D,"")="",1,INDEX('Type Chart'!$B:$S,MATCH(mtype,'Type Chart'!$A:$A,0),MATCH(XLOOKUP($L52,'Pokemon Editor'!$A:$A,'Pokemon Editor'!$D:$D,""),'Type Chart'!$B$1:$S$1,0)))),base,IF(OR(cat="Status",pow=0),0,FLOOR(FLOOR(FLOOR((2*XLOOKUP($K52,'Threshold Summary'!$Y:$Y,'Threshold Summary'!$L:$L,"")/5+2)*pow*atk/def)/50)+2)),modifier,stab*eff,FLOOR(base*modifier)),0)</f>
        <v/>
      </c>
      <c r="H52" s="3">
        <f>IFERROR(LET(mtype,XLOOKUP($D52,'Move Editor'!$B:$B,'Move Editor'!$C:$C,""),cat,XLOOKUP($D52,'Move Editor'!$B:$B,'Move Editor'!$D:$D,""),pow,XLOOKUP($D52,'Move Editor'!$B:$B,'Move Editor'!$E:$E,0),acc,XLOOKUP($D52,'Move Editor'!$B:$B,'Move Editor'!$F:$F,100),atk,IF(cat="Physical",FLOOR((FLOOR(((2*XLOOKUP(XLOOKUP($K52,'Threshold Summary'!$Y:$Y,'Threshold Summary'!$K:$K,""),'Pokemon Editor'!$A:$A,'Pokemon Editor'!$F:$F,0)+31+FLOOR(XLOOKUP($K52,'Threshold Summary'!$Y:$Y,'Threshold Summary'!$P:$P,"")/4))*XLOOKUP($K52,'Threshold Summary'!$Y:$Y,'Threshold Summary'!$L:$L,""))/100)+5)*XLOOKUP(XLOOKUP($K52,'Threshold Summary'!$Y:$Y,'Threshold Summary'!$M:$M,""),'Nature Editor'!$A:$A,'Nature Editor'!$B:$B,1)),FLOOR((FLOOR(((2*XLOOKUP(XLOOKUP($K52,'Threshold Summary'!$Y:$Y,'Threshold Summary'!$K:$K,""),'Pokemon Editor'!$A:$A,'Pokemon Editor'!$H:$H,0)+31+FLOOR(XLOOKUP($K52,'Threshold Summary'!$Y:$Y,'Threshold Summary'!$R:$R,"")/4))*XLOOKUP($K52,'Threshold Summary'!$Y:$Y,'Threshold Summary'!$L:$L,""))/100)+5)*XLOOKUP(XLOOKUP($K52,'Threshold Summary'!$Y:$Y,'Threshold Summary'!$M:$M,""),'Nature Editor'!$A:$A,'Nature Editor'!$D:$D,1))),def,IF(cat="Physical",FLOOR((FLOOR(((2*XLOOKUP($L52,'Pokemon Editor'!$A:$A,'Pokemon Editor'!$G:$G,0)+31+FLOOR(XLOOKUP($L52,'Boss Editor'!$C:$C,'Boss Editor'!$I:$I,"")/4))*XLOOKUP($L52,'Boss Editor'!$C:$C,'Boss Editor'!$D:$D,""))/100)+5)*XLOOKUP(XLOOKUP($L52,'Boss Editor'!$C:$C,'Boss Editor'!$E:$E,""),'Nature Editor'!$A:$A,'Nature Editor'!$C:$C,1)),FLOOR((FLOOR(((2*XLOOKUP($L52,'Pokemon Editor'!$A:$A,'Pokemon Editor'!$I:$I,0)+31+FLOOR(XLOOKUP($L52,'Boss Editor'!$C:$C,'Boss Editor'!$K:$K,"")/4))*XLOOKUP($L52,'Boss Editor'!$C:$C,'Boss Editor'!$D:$D,""))/100)+5)*XLOOKUP(XLOOKUP($L52,'Boss Editor'!$C:$C,'Boss Editor'!$E:$E,""),'Nature Editor'!$A:$A,'Nature Editor'!$E:$E,1))),stab,IF(OR(mtype=XLOOKUP(XLOOKUP($K52,'Threshold Summary'!$Y:$Y,'Threshold Summary'!$K:$K,""),'Pokemon Editor'!$A:$A,'Pokemon Editor'!$C:$C,""),mtype=XLOOKUP(XLOOKUP($K52,'Threshold Summary'!$Y:$Y,'Threshold Summary'!$K:$K,""),'Pokemon Editor'!$A:$A,'Pokemon Editor'!$D:$D,"")),1.5,1),eff,(INDEX('Type Chart'!$B:$S,MATCH(mtype,'Type Chart'!$A:$A,0),MATCH(XLOOKUP($L52,'Pokemon Editor'!$A:$A,'Pokemon Editor'!$C:$C,""),'Type Chart'!$B$1:$S$1,0))*IF(XLOOKUP($L52,'Pokemon Editor'!$A:$A,'Pokemon Editor'!$D:$D,"")="",1,INDEX('Type Chart'!$B:$S,MATCH(mtype,'Type Chart'!$A:$A,0),MATCH(XLOOKUP($L52,'Pokemon Editor'!$A:$A,'Pokemon Editor'!$D:$D,""),'Type Chart'!$B$1:$S$1,0)))),base,IF(OR(cat="Status",pow=0),0,FLOOR(FLOOR(FLOOR((2*XLOOKUP($K52,'Threshold Summary'!$Y:$Y,'Threshold Summary'!$L:$L,"")/5+2)*pow*atk/def)/50)+2)),modifier,stab*eff,AVERAGE(ARRAYFORMULA(FLOOR(base*modifier*SEQUENCE(16,1,85,1)/100)))),0)</f>
        <v/>
      </c>
      <c r="I52" s="4">
        <f>IFERROR(LET(mtype,XLOOKUP($D52,'Move Editor'!$B:$B,'Move Editor'!$C:$C,""),cat,XLOOKUP($D52,'Move Editor'!$B:$B,'Move Editor'!$D:$D,""),pow,XLOOKUP($D52,'Move Editor'!$B:$B,'Move Editor'!$E:$E,0),acc,XLOOKUP($D52,'Move Editor'!$B:$B,'Move Editor'!$F:$F,100),atk,IF(cat="Physical",FLOOR((FLOOR(((2*XLOOKUP(XLOOKUP($K52,'Threshold Summary'!$Y:$Y,'Threshold Summary'!$K:$K,""),'Pokemon Editor'!$A:$A,'Pokemon Editor'!$F:$F,0)+31+FLOOR(XLOOKUP($K52,'Threshold Summary'!$Y:$Y,'Threshold Summary'!$P:$P,"")/4))*XLOOKUP($K52,'Threshold Summary'!$Y:$Y,'Threshold Summary'!$L:$L,""))/100)+5)*XLOOKUP(XLOOKUP($K52,'Threshold Summary'!$Y:$Y,'Threshold Summary'!$M:$M,""),'Nature Editor'!$A:$A,'Nature Editor'!$B:$B,1)),FLOOR((FLOOR(((2*XLOOKUP(XLOOKUP($K52,'Threshold Summary'!$Y:$Y,'Threshold Summary'!$K:$K,""),'Pokemon Editor'!$A:$A,'Pokemon Editor'!$H:$H,0)+31+FLOOR(XLOOKUP($K52,'Threshold Summary'!$Y:$Y,'Threshold Summary'!$R:$R,"")/4))*XLOOKUP($K52,'Threshold Summary'!$Y:$Y,'Threshold Summary'!$L:$L,""))/100)+5)*XLOOKUP(XLOOKUP($K52,'Threshold Summary'!$Y:$Y,'Threshold Summary'!$M:$M,""),'Nature Editor'!$A:$A,'Nature Editor'!$D:$D,1))),def,IF(cat="Physical",FLOOR((FLOOR(((2*XLOOKUP($L52,'Pokemon Editor'!$A:$A,'Pokemon Editor'!$G:$G,0)+31+FLOOR(XLOOKUP($L52,'Boss Editor'!$C:$C,'Boss Editor'!$I:$I,"")/4))*XLOOKUP($L52,'Boss Editor'!$C:$C,'Boss Editor'!$D:$D,""))/100)+5)*XLOOKUP(XLOOKUP($L52,'Boss Editor'!$C:$C,'Boss Editor'!$E:$E,""),'Nature Editor'!$A:$A,'Nature Editor'!$C:$C,1)),FLOOR((FLOOR(((2*XLOOKUP($L52,'Pokemon Editor'!$A:$A,'Pokemon Editor'!$I:$I,0)+31+FLOOR(XLOOKUP($L52,'Boss Editor'!$C:$C,'Boss Editor'!$K:$K,"")/4))*XLOOKUP($L52,'Boss Editor'!$C:$C,'Boss Editor'!$D:$D,""))/100)+5)*XLOOKUP(XLOOKUP($L52,'Boss Editor'!$C:$C,'Boss Editor'!$E:$E,""),'Nature Editor'!$A:$A,'Nature Editor'!$E:$E,1))),stab,IF(OR(mtype=XLOOKUP(XLOOKUP($K52,'Threshold Summary'!$Y:$Y,'Threshold Summary'!$K:$K,""),'Pokemon Editor'!$A:$A,'Pokemon Editor'!$C:$C,""),mtype=XLOOKUP(XLOOKUP($K52,'Threshold Summary'!$Y:$Y,'Threshold Summary'!$K:$K,""),'Pokemon Editor'!$A:$A,'Pokemon Editor'!$D:$D,"")),1.5,1),eff,(INDEX('Type Chart'!$B:$S,MATCH(mtype,'Type Chart'!$A:$A,0),MATCH(XLOOKUP($L52,'Pokemon Editor'!$A:$A,'Pokemon Editor'!$C:$C,""),'Type Chart'!$B$1:$S$1,0))*IF(XLOOKUP($L52,'Pokemon Editor'!$A:$A,'Pokemon Editor'!$D:$D,"")="",1,INDEX('Type Chart'!$B:$S,MATCH(mtype,'Type Chart'!$A:$A,0),MATCH(XLOOKUP($L52,'Pokemon Editor'!$A:$A,'Pokemon Editor'!$D:$D,""),'Type Chart'!$B$1:$S$1,0)))),base,IF(OR(cat="Status",pow=0),0,FLOOR(FLOOR(FLOOR((2*XLOOKUP($K52,'Threshold Summary'!$Y:$Y,'Threshold Summary'!$L:$L,"")/5+2)*pow*atk/def)/50)+2)),modifier,stab*eff,AVERAGE(ARRAYFORMULA(FLOOR(base*modifier*SEQUENCE(16,1,85,1)/100)))/(FLOOR(((2*XLOOKUP($L52,'Pokemon Editor'!$A:$A,'Pokemon Editor'!$E:$E,0)+31+FLOOR(XLOOKUP($L52,'Boss Editor'!$C:$C,'Boss Editor'!$G:$G,"")/4))*XLOOKUP($L52,'Boss Editor'!$C:$C,'Boss Editor'!$D:$D,""))/100)+XLOOKUP($L52,'Boss Editor'!$C:$C,'Boss Editor'!$D:$D,"")+10)),0)</f>
        <v/>
      </c>
      <c r="J52" s="3">
        <f>IF(I52&gt;=1,"OHKO",IF(I52&gt;=0.5,"2HKO",IF(I52&gt;=0.333,"3HKO",IF(I52&gt;=0.25,"4HKO","5HKO+"))))</f>
        <v/>
      </c>
      <c r="K52" s="3" t="inlineStr">
        <is>
          <t>SPECIES_MINCCINO</t>
        </is>
      </c>
      <c r="L52" s="3" t="inlineStr">
        <is>
          <t>SPECIES_LILEEP</t>
        </is>
      </c>
    </row>
    <row r="53">
      <c r="A53" s="3">
        <f>XLOOKUP($K53,'Threshold Summary'!$Y:$Y,'Threshold Summary'!$A:$A,"")</f>
        <v/>
      </c>
      <c r="B53" s="3" t="inlineStr">
        <is>
          <t>Tirtouga</t>
        </is>
      </c>
      <c r="C53" s="3">
        <f>XLOOKUP($L53,'Boss Editor'!$C:$C,'Boss Editor'!$D:$D,"")</f>
        <v/>
      </c>
      <c r="D53" s="3">
        <f>XLOOKUP($K53,'Threshold Summary'!$Y:$Y,'Threshold Summary'!$B:$B,"")</f>
        <v/>
      </c>
      <c r="E53" s="3">
        <f>XLOOKUP(D53,'Move Editor'!$B:$B,'Move Editor'!$C:$C,"")</f>
        <v/>
      </c>
      <c r="F53" s="3">
        <f>IFERROR(LET(mtype,XLOOKUP($D53,'Move Editor'!$B:$B,'Move Editor'!$C:$C,""),cat,XLOOKUP($D53,'Move Editor'!$B:$B,'Move Editor'!$D:$D,""),pow,XLOOKUP($D53,'Move Editor'!$B:$B,'Move Editor'!$E:$E,0),acc,XLOOKUP($D53,'Move Editor'!$B:$B,'Move Editor'!$F:$F,100),atk,IF(cat="Physical",FLOOR((FLOOR(((2*XLOOKUP(XLOOKUP($K53,'Threshold Summary'!$Y:$Y,'Threshold Summary'!$K:$K,""),'Pokemon Editor'!$A:$A,'Pokemon Editor'!$F:$F,0)+31+FLOOR(XLOOKUP($K53,'Threshold Summary'!$Y:$Y,'Threshold Summary'!$P:$P,"")/4))*XLOOKUP($K53,'Threshold Summary'!$Y:$Y,'Threshold Summary'!$L:$L,""))/100)+5)*XLOOKUP(XLOOKUP($K53,'Threshold Summary'!$Y:$Y,'Threshold Summary'!$M:$M,""),'Nature Editor'!$A:$A,'Nature Editor'!$B:$B,1)),FLOOR((FLOOR(((2*XLOOKUP(XLOOKUP($K53,'Threshold Summary'!$Y:$Y,'Threshold Summary'!$K:$K,""),'Pokemon Editor'!$A:$A,'Pokemon Editor'!$H:$H,0)+31+FLOOR(XLOOKUP($K53,'Threshold Summary'!$Y:$Y,'Threshold Summary'!$R:$R,"")/4))*XLOOKUP($K53,'Threshold Summary'!$Y:$Y,'Threshold Summary'!$L:$L,""))/100)+5)*XLOOKUP(XLOOKUP($K53,'Threshold Summary'!$Y:$Y,'Threshold Summary'!$M:$M,""),'Nature Editor'!$A:$A,'Nature Editor'!$D:$D,1))),def,IF(cat="Physical",FLOOR((FLOOR(((2*XLOOKUP($L53,'Pokemon Editor'!$A:$A,'Pokemon Editor'!$G:$G,0)+31+FLOOR(XLOOKUP($L53,'Boss Editor'!$C:$C,'Boss Editor'!$I:$I,"")/4))*XLOOKUP($L53,'Boss Editor'!$C:$C,'Boss Editor'!$D:$D,""))/100)+5)*XLOOKUP(XLOOKUP($L53,'Boss Editor'!$C:$C,'Boss Editor'!$E:$E,""),'Nature Editor'!$A:$A,'Nature Editor'!$C:$C,1)),FLOOR((FLOOR(((2*XLOOKUP($L53,'Pokemon Editor'!$A:$A,'Pokemon Editor'!$I:$I,0)+31+FLOOR(XLOOKUP($L53,'Boss Editor'!$C:$C,'Boss Editor'!$K:$K,"")/4))*XLOOKUP($L53,'Boss Editor'!$C:$C,'Boss Editor'!$D:$D,""))/100)+5)*XLOOKUP(XLOOKUP($L53,'Boss Editor'!$C:$C,'Boss Editor'!$E:$E,""),'Nature Editor'!$A:$A,'Nature Editor'!$E:$E,1))),stab,IF(OR(mtype=XLOOKUP(XLOOKUP($K53,'Threshold Summary'!$Y:$Y,'Threshold Summary'!$K:$K,""),'Pokemon Editor'!$A:$A,'Pokemon Editor'!$C:$C,""),mtype=XLOOKUP(XLOOKUP($K53,'Threshold Summary'!$Y:$Y,'Threshold Summary'!$K:$K,""),'Pokemon Editor'!$A:$A,'Pokemon Editor'!$D:$D,"")),1.5,1),eff,(INDEX('Type Chart'!$B:$S,MATCH(mtype,'Type Chart'!$A:$A,0),MATCH(XLOOKUP($L53,'Pokemon Editor'!$A:$A,'Pokemon Editor'!$C:$C,""),'Type Chart'!$B$1:$S$1,0))*IF(XLOOKUP($L53,'Pokemon Editor'!$A:$A,'Pokemon Editor'!$D:$D,"")="",1,INDEX('Type Chart'!$B:$S,MATCH(mtype,'Type Chart'!$A:$A,0),MATCH(XLOOKUP($L53,'Pokemon Editor'!$A:$A,'Pokemon Editor'!$D:$D,""),'Type Chart'!$B$1:$S$1,0)))),base,IF(OR(cat="Status",pow=0),0,FLOOR(FLOOR(FLOOR((2*XLOOKUP($K53,'Threshold Summary'!$Y:$Y,'Threshold Summary'!$L:$L,"")/5+2)*pow*atk/def)/50)+2)),modifier,stab*eff,FLOOR(base*modifier*0.85)),0)</f>
        <v/>
      </c>
      <c r="G53" s="3">
        <f>IFERROR(LET(mtype,XLOOKUP($D53,'Move Editor'!$B:$B,'Move Editor'!$C:$C,""),cat,XLOOKUP($D53,'Move Editor'!$B:$B,'Move Editor'!$D:$D,""),pow,XLOOKUP($D53,'Move Editor'!$B:$B,'Move Editor'!$E:$E,0),acc,XLOOKUP($D53,'Move Editor'!$B:$B,'Move Editor'!$F:$F,100),atk,IF(cat="Physical",FLOOR((FLOOR(((2*XLOOKUP(XLOOKUP($K53,'Threshold Summary'!$Y:$Y,'Threshold Summary'!$K:$K,""),'Pokemon Editor'!$A:$A,'Pokemon Editor'!$F:$F,0)+31+FLOOR(XLOOKUP($K53,'Threshold Summary'!$Y:$Y,'Threshold Summary'!$P:$P,"")/4))*XLOOKUP($K53,'Threshold Summary'!$Y:$Y,'Threshold Summary'!$L:$L,""))/100)+5)*XLOOKUP(XLOOKUP($K53,'Threshold Summary'!$Y:$Y,'Threshold Summary'!$M:$M,""),'Nature Editor'!$A:$A,'Nature Editor'!$B:$B,1)),FLOOR((FLOOR(((2*XLOOKUP(XLOOKUP($K53,'Threshold Summary'!$Y:$Y,'Threshold Summary'!$K:$K,""),'Pokemon Editor'!$A:$A,'Pokemon Editor'!$H:$H,0)+31+FLOOR(XLOOKUP($K53,'Threshold Summary'!$Y:$Y,'Threshold Summary'!$R:$R,"")/4))*XLOOKUP($K53,'Threshold Summary'!$Y:$Y,'Threshold Summary'!$L:$L,""))/100)+5)*XLOOKUP(XLOOKUP($K53,'Threshold Summary'!$Y:$Y,'Threshold Summary'!$M:$M,""),'Nature Editor'!$A:$A,'Nature Editor'!$D:$D,1))),def,IF(cat="Physical",FLOOR((FLOOR(((2*XLOOKUP($L53,'Pokemon Editor'!$A:$A,'Pokemon Editor'!$G:$G,0)+31+FLOOR(XLOOKUP($L53,'Boss Editor'!$C:$C,'Boss Editor'!$I:$I,"")/4))*XLOOKUP($L53,'Boss Editor'!$C:$C,'Boss Editor'!$D:$D,""))/100)+5)*XLOOKUP(XLOOKUP($L53,'Boss Editor'!$C:$C,'Boss Editor'!$E:$E,""),'Nature Editor'!$A:$A,'Nature Editor'!$C:$C,1)),FLOOR((FLOOR(((2*XLOOKUP($L53,'Pokemon Editor'!$A:$A,'Pokemon Editor'!$I:$I,0)+31+FLOOR(XLOOKUP($L53,'Boss Editor'!$C:$C,'Boss Editor'!$K:$K,"")/4))*XLOOKUP($L53,'Boss Editor'!$C:$C,'Boss Editor'!$D:$D,""))/100)+5)*XLOOKUP(XLOOKUP($L53,'Boss Editor'!$C:$C,'Boss Editor'!$E:$E,""),'Nature Editor'!$A:$A,'Nature Editor'!$E:$E,1))),stab,IF(OR(mtype=XLOOKUP(XLOOKUP($K53,'Threshold Summary'!$Y:$Y,'Threshold Summary'!$K:$K,""),'Pokemon Editor'!$A:$A,'Pokemon Editor'!$C:$C,""),mtype=XLOOKUP(XLOOKUP($K53,'Threshold Summary'!$Y:$Y,'Threshold Summary'!$K:$K,""),'Pokemon Editor'!$A:$A,'Pokemon Editor'!$D:$D,"")),1.5,1),eff,(INDEX('Type Chart'!$B:$S,MATCH(mtype,'Type Chart'!$A:$A,0),MATCH(XLOOKUP($L53,'Pokemon Editor'!$A:$A,'Pokemon Editor'!$C:$C,""),'Type Chart'!$B$1:$S$1,0))*IF(XLOOKUP($L53,'Pokemon Editor'!$A:$A,'Pokemon Editor'!$D:$D,"")="",1,INDEX('Type Chart'!$B:$S,MATCH(mtype,'Type Chart'!$A:$A,0),MATCH(XLOOKUP($L53,'Pokemon Editor'!$A:$A,'Pokemon Editor'!$D:$D,""),'Type Chart'!$B$1:$S$1,0)))),base,IF(OR(cat="Status",pow=0),0,FLOOR(FLOOR(FLOOR((2*XLOOKUP($K53,'Threshold Summary'!$Y:$Y,'Threshold Summary'!$L:$L,"")/5+2)*pow*atk/def)/50)+2)),modifier,stab*eff,FLOOR(base*modifier)),0)</f>
        <v/>
      </c>
      <c r="H53" s="3">
        <f>IFERROR(LET(mtype,XLOOKUP($D53,'Move Editor'!$B:$B,'Move Editor'!$C:$C,""),cat,XLOOKUP($D53,'Move Editor'!$B:$B,'Move Editor'!$D:$D,""),pow,XLOOKUP($D53,'Move Editor'!$B:$B,'Move Editor'!$E:$E,0),acc,XLOOKUP($D53,'Move Editor'!$B:$B,'Move Editor'!$F:$F,100),atk,IF(cat="Physical",FLOOR((FLOOR(((2*XLOOKUP(XLOOKUP($K53,'Threshold Summary'!$Y:$Y,'Threshold Summary'!$K:$K,""),'Pokemon Editor'!$A:$A,'Pokemon Editor'!$F:$F,0)+31+FLOOR(XLOOKUP($K53,'Threshold Summary'!$Y:$Y,'Threshold Summary'!$P:$P,"")/4))*XLOOKUP($K53,'Threshold Summary'!$Y:$Y,'Threshold Summary'!$L:$L,""))/100)+5)*XLOOKUP(XLOOKUP($K53,'Threshold Summary'!$Y:$Y,'Threshold Summary'!$M:$M,""),'Nature Editor'!$A:$A,'Nature Editor'!$B:$B,1)),FLOOR((FLOOR(((2*XLOOKUP(XLOOKUP($K53,'Threshold Summary'!$Y:$Y,'Threshold Summary'!$K:$K,""),'Pokemon Editor'!$A:$A,'Pokemon Editor'!$H:$H,0)+31+FLOOR(XLOOKUP($K53,'Threshold Summary'!$Y:$Y,'Threshold Summary'!$R:$R,"")/4))*XLOOKUP($K53,'Threshold Summary'!$Y:$Y,'Threshold Summary'!$L:$L,""))/100)+5)*XLOOKUP(XLOOKUP($K53,'Threshold Summary'!$Y:$Y,'Threshold Summary'!$M:$M,""),'Nature Editor'!$A:$A,'Nature Editor'!$D:$D,1))),def,IF(cat="Physical",FLOOR((FLOOR(((2*XLOOKUP($L53,'Pokemon Editor'!$A:$A,'Pokemon Editor'!$G:$G,0)+31+FLOOR(XLOOKUP($L53,'Boss Editor'!$C:$C,'Boss Editor'!$I:$I,"")/4))*XLOOKUP($L53,'Boss Editor'!$C:$C,'Boss Editor'!$D:$D,""))/100)+5)*XLOOKUP(XLOOKUP($L53,'Boss Editor'!$C:$C,'Boss Editor'!$E:$E,""),'Nature Editor'!$A:$A,'Nature Editor'!$C:$C,1)),FLOOR((FLOOR(((2*XLOOKUP($L53,'Pokemon Editor'!$A:$A,'Pokemon Editor'!$I:$I,0)+31+FLOOR(XLOOKUP($L53,'Boss Editor'!$C:$C,'Boss Editor'!$K:$K,"")/4))*XLOOKUP($L53,'Boss Editor'!$C:$C,'Boss Editor'!$D:$D,""))/100)+5)*XLOOKUP(XLOOKUP($L53,'Boss Editor'!$C:$C,'Boss Editor'!$E:$E,""),'Nature Editor'!$A:$A,'Nature Editor'!$E:$E,1))),stab,IF(OR(mtype=XLOOKUP(XLOOKUP($K53,'Threshold Summary'!$Y:$Y,'Threshold Summary'!$K:$K,""),'Pokemon Editor'!$A:$A,'Pokemon Editor'!$C:$C,""),mtype=XLOOKUP(XLOOKUP($K53,'Threshold Summary'!$Y:$Y,'Threshold Summary'!$K:$K,""),'Pokemon Editor'!$A:$A,'Pokemon Editor'!$D:$D,"")),1.5,1),eff,(INDEX('Type Chart'!$B:$S,MATCH(mtype,'Type Chart'!$A:$A,0),MATCH(XLOOKUP($L53,'Pokemon Editor'!$A:$A,'Pokemon Editor'!$C:$C,""),'Type Chart'!$B$1:$S$1,0))*IF(XLOOKUP($L53,'Pokemon Editor'!$A:$A,'Pokemon Editor'!$D:$D,"")="",1,INDEX('Type Chart'!$B:$S,MATCH(mtype,'Type Chart'!$A:$A,0),MATCH(XLOOKUP($L53,'Pokemon Editor'!$A:$A,'Pokemon Editor'!$D:$D,""),'Type Chart'!$B$1:$S$1,0)))),base,IF(OR(cat="Status",pow=0),0,FLOOR(FLOOR(FLOOR((2*XLOOKUP($K53,'Threshold Summary'!$Y:$Y,'Threshold Summary'!$L:$L,"")/5+2)*pow*atk/def)/50)+2)),modifier,stab*eff,AVERAGE(ARRAYFORMULA(FLOOR(base*modifier*SEQUENCE(16,1,85,1)/100)))),0)</f>
        <v/>
      </c>
      <c r="I53" s="4">
        <f>IFERROR(LET(mtype,XLOOKUP($D53,'Move Editor'!$B:$B,'Move Editor'!$C:$C,""),cat,XLOOKUP($D53,'Move Editor'!$B:$B,'Move Editor'!$D:$D,""),pow,XLOOKUP($D53,'Move Editor'!$B:$B,'Move Editor'!$E:$E,0),acc,XLOOKUP($D53,'Move Editor'!$B:$B,'Move Editor'!$F:$F,100),atk,IF(cat="Physical",FLOOR((FLOOR(((2*XLOOKUP(XLOOKUP($K53,'Threshold Summary'!$Y:$Y,'Threshold Summary'!$K:$K,""),'Pokemon Editor'!$A:$A,'Pokemon Editor'!$F:$F,0)+31+FLOOR(XLOOKUP($K53,'Threshold Summary'!$Y:$Y,'Threshold Summary'!$P:$P,"")/4))*XLOOKUP($K53,'Threshold Summary'!$Y:$Y,'Threshold Summary'!$L:$L,""))/100)+5)*XLOOKUP(XLOOKUP($K53,'Threshold Summary'!$Y:$Y,'Threshold Summary'!$M:$M,""),'Nature Editor'!$A:$A,'Nature Editor'!$B:$B,1)),FLOOR((FLOOR(((2*XLOOKUP(XLOOKUP($K53,'Threshold Summary'!$Y:$Y,'Threshold Summary'!$K:$K,""),'Pokemon Editor'!$A:$A,'Pokemon Editor'!$H:$H,0)+31+FLOOR(XLOOKUP($K53,'Threshold Summary'!$Y:$Y,'Threshold Summary'!$R:$R,"")/4))*XLOOKUP($K53,'Threshold Summary'!$Y:$Y,'Threshold Summary'!$L:$L,""))/100)+5)*XLOOKUP(XLOOKUP($K53,'Threshold Summary'!$Y:$Y,'Threshold Summary'!$M:$M,""),'Nature Editor'!$A:$A,'Nature Editor'!$D:$D,1))),def,IF(cat="Physical",FLOOR((FLOOR(((2*XLOOKUP($L53,'Pokemon Editor'!$A:$A,'Pokemon Editor'!$G:$G,0)+31+FLOOR(XLOOKUP($L53,'Boss Editor'!$C:$C,'Boss Editor'!$I:$I,"")/4))*XLOOKUP($L53,'Boss Editor'!$C:$C,'Boss Editor'!$D:$D,""))/100)+5)*XLOOKUP(XLOOKUP($L53,'Boss Editor'!$C:$C,'Boss Editor'!$E:$E,""),'Nature Editor'!$A:$A,'Nature Editor'!$C:$C,1)),FLOOR((FLOOR(((2*XLOOKUP($L53,'Pokemon Editor'!$A:$A,'Pokemon Editor'!$I:$I,0)+31+FLOOR(XLOOKUP($L53,'Boss Editor'!$C:$C,'Boss Editor'!$K:$K,"")/4))*XLOOKUP($L53,'Boss Editor'!$C:$C,'Boss Editor'!$D:$D,""))/100)+5)*XLOOKUP(XLOOKUP($L53,'Boss Editor'!$C:$C,'Boss Editor'!$E:$E,""),'Nature Editor'!$A:$A,'Nature Editor'!$E:$E,1))),stab,IF(OR(mtype=XLOOKUP(XLOOKUP($K53,'Threshold Summary'!$Y:$Y,'Threshold Summary'!$K:$K,""),'Pokemon Editor'!$A:$A,'Pokemon Editor'!$C:$C,""),mtype=XLOOKUP(XLOOKUP($K53,'Threshold Summary'!$Y:$Y,'Threshold Summary'!$K:$K,""),'Pokemon Editor'!$A:$A,'Pokemon Editor'!$D:$D,"")),1.5,1),eff,(INDEX('Type Chart'!$B:$S,MATCH(mtype,'Type Chart'!$A:$A,0),MATCH(XLOOKUP($L53,'Pokemon Editor'!$A:$A,'Pokemon Editor'!$C:$C,""),'Type Chart'!$B$1:$S$1,0))*IF(XLOOKUP($L53,'Pokemon Editor'!$A:$A,'Pokemon Editor'!$D:$D,"")="",1,INDEX('Type Chart'!$B:$S,MATCH(mtype,'Type Chart'!$A:$A,0),MATCH(XLOOKUP($L53,'Pokemon Editor'!$A:$A,'Pokemon Editor'!$D:$D,""),'Type Chart'!$B$1:$S$1,0)))),base,IF(OR(cat="Status",pow=0),0,FLOOR(FLOOR(FLOOR((2*XLOOKUP($K53,'Threshold Summary'!$Y:$Y,'Threshold Summary'!$L:$L,"")/5+2)*pow*atk/def)/50)+2)),modifier,stab*eff,AVERAGE(ARRAYFORMULA(FLOOR(base*modifier*SEQUENCE(16,1,85,1)/100)))/(FLOOR(((2*XLOOKUP($L53,'Pokemon Editor'!$A:$A,'Pokemon Editor'!$E:$E,0)+31+FLOOR(XLOOKUP($L53,'Boss Editor'!$C:$C,'Boss Editor'!$G:$G,"")/4))*XLOOKUP($L53,'Boss Editor'!$C:$C,'Boss Editor'!$D:$D,""))/100)+XLOOKUP($L53,'Boss Editor'!$C:$C,'Boss Editor'!$D:$D,"")+10)),0)</f>
        <v/>
      </c>
      <c r="J53" s="3">
        <f>IF(I53&gt;=1,"OHKO",IF(I53&gt;=0.5,"2HKO",IF(I53&gt;=0.333,"3HKO",IF(I53&gt;=0.25,"4HKO","5HKO+"))))</f>
        <v/>
      </c>
      <c r="K53" s="3" t="inlineStr">
        <is>
          <t>SPECIES_DUCKLETT</t>
        </is>
      </c>
      <c r="L53" s="3" t="inlineStr">
        <is>
          <t>SPECIES_TIRTOUGA</t>
        </is>
      </c>
    </row>
    <row r="54">
      <c r="A54" s="3">
        <f>XLOOKUP($K54,'Threshold Summary'!$Y:$Y,'Threshold Summary'!$A:$A,"")</f>
        <v/>
      </c>
      <c r="B54" s="3" t="inlineStr">
        <is>
          <t>Anorith</t>
        </is>
      </c>
      <c r="C54" s="3">
        <f>XLOOKUP($L54,'Boss Editor'!$C:$C,'Boss Editor'!$D:$D,"")</f>
        <v/>
      </c>
      <c r="D54" s="3">
        <f>XLOOKUP($K54,'Threshold Summary'!$Y:$Y,'Threshold Summary'!$B:$B,"")</f>
        <v/>
      </c>
      <c r="E54" s="3">
        <f>XLOOKUP(D54,'Move Editor'!$B:$B,'Move Editor'!$C:$C,"")</f>
        <v/>
      </c>
      <c r="F54" s="3">
        <f>IFERROR(LET(mtype,XLOOKUP($D54,'Move Editor'!$B:$B,'Move Editor'!$C:$C,""),cat,XLOOKUP($D54,'Move Editor'!$B:$B,'Move Editor'!$D:$D,""),pow,XLOOKUP($D54,'Move Editor'!$B:$B,'Move Editor'!$E:$E,0),acc,XLOOKUP($D54,'Move Editor'!$B:$B,'Move Editor'!$F:$F,100),atk,IF(cat="Physical",FLOOR((FLOOR(((2*XLOOKUP(XLOOKUP($K54,'Threshold Summary'!$Y:$Y,'Threshold Summary'!$K:$K,""),'Pokemon Editor'!$A:$A,'Pokemon Editor'!$F:$F,0)+31+FLOOR(XLOOKUP($K54,'Threshold Summary'!$Y:$Y,'Threshold Summary'!$P:$P,"")/4))*XLOOKUP($K54,'Threshold Summary'!$Y:$Y,'Threshold Summary'!$L:$L,""))/100)+5)*XLOOKUP(XLOOKUP($K54,'Threshold Summary'!$Y:$Y,'Threshold Summary'!$M:$M,""),'Nature Editor'!$A:$A,'Nature Editor'!$B:$B,1)),FLOOR((FLOOR(((2*XLOOKUP(XLOOKUP($K54,'Threshold Summary'!$Y:$Y,'Threshold Summary'!$K:$K,""),'Pokemon Editor'!$A:$A,'Pokemon Editor'!$H:$H,0)+31+FLOOR(XLOOKUP($K54,'Threshold Summary'!$Y:$Y,'Threshold Summary'!$R:$R,"")/4))*XLOOKUP($K54,'Threshold Summary'!$Y:$Y,'Threshold Summary'!$L:$L,""))/100)+5)*XLOOKUP(XLOOKUP($K54,'Threshold Summary'!$Y:$Y,'Threshold Summary'!$M:$M,""),'Nature Editor'!$A:$A,'Nature Editor'!$D:$D,1))),def,IF(cat="Physical",FLOOR((FLOOR(((2*XLOOKUP($L54,'Pokemon Editor'!$A:$A,'Pokemon Editor'!$G:$G,0)+31+FLOOR(XLOOKUP($L54,'Boss Editor'!$C:$C,'Boss Editor'!$I:$I,"")/4))*XLOOKUP($L54,'Boss Editor'!$C:$C,'Boss Editor'!$D:$D,""))/100)+5)*XLOOKUP(XLOOKUP($L54,'Boss Editor'!$C:$C,'Boss Editor'!$E:$E,""),'Nature Editor'!$A:$A,'Nature Editor'!$C:$C,1)),FLOOR((FLOOR(((2*XLOOKUP($L54,'Pokemon Editor'!$A:$A,'Pokemon Editor'!$I:$I,0)+31+FLOOR(XLOOKUP($L54,'Boss Editor'!$C:$C,'Boss Editor'!$K:$K,"")/4))*XLOOKUP($L54,'Boss Editor'!$C:$C,'Boss Editor'!$D:$D,""))/100)+5)*XLOOKUP(XLOOKUP($L54,'Boss Editor'!$C:$C,'Boss Editor'!$E:$E,""),'Nature Editor'!$A:$A,'Nature Editor'!$E:$E,1))),stab,IF(OR(mtype=XLOOKUP(XLOOKUP($K54,'Threshold Summary'!$Y:$Y,'Threshold Summary'!$K:$K,""),'Pokemon Editor'!$A:$A,'Pokemon Editor'!$C:$C,""),mtype=XLOOKUP(XLOOKUP($K54,'Threshold Summary'!$Y:$Y,'Threshold Summary'!$K:$K,""),'Pokemon Editor'!$A:$A,'Pokemon Editor'!$D:$D,"")),1.5,1),eff,(INDEX('Type Chart'!$B:$S,MATCH(mtype,'Type Chart'!$A:$A,0),MATCH(XLOOKUP($L54,'Pokemon Editor'!$A:$A,'Pokemon Editor'!$C:$C,""),'Type Chart'!$B$1:$S$1,0))*IF(XLOOKUP($L54,'Pokemon Editor'!$A:$A,'Pokemon Editor'!$D:$D,"")="",1,INDEX('Type Chart'!$B:$S,MATCH(mtype,'Type Chart'!$A:$A,0),MATCH(XLOOKUP($L54,'Pokemon Editor'!$A:$A,'Pokemon Editor'!$D:$D,""),'Type Chart'!$B$1:$S$1,0)))),base,IF(OR(cat="Status",pow=0),0,FLOOR(FLOOR(FLOOR((2*XLOOKUP($K54,'Threshold Summary'!$Y:$Y,'Threshold Summary'!$L:$L,"")/5+2)*pow*atk/def)/50)+2)),modifier,stab*eff,FLOOR(base*modifier*0.85)),0)</f>
        <v/>
      </c>
      <c r="G54" s="3">
        <f>IFERROR(LET(mtype,XLOOKUP($D54,'Move Editor'!$B:$B,'Move Editor'!$C:$C,""),cat,XLOOKUP($D54,'Move Editor'!$B:$B,'Move Editor'!$D:$D,""),pow,XLOOKUP($D54,'Move Editor'!$B:$B,'Move Editor'!$E:$E,0),acc,XLOOKUP($D54,'Move Editor'!$B:$B,'Move Editor'!$F:$F,100),atk,IF(cat="Physical",FLOOR((FLOOR(((2*XLOOKUP(XLOOKUP($K54,'Threshold Summary'!$Y:$Y,'Threshold Summary'!$K:$K,""),'Pokemon Editor'!$A:$A,'Pokemon Editor'!$F:$F,0)+31+FLOOR(XLOOKUP($K54,'Threshold Summary'!$Y:$Y,'Threshold Summary'!$P:$P,"")/4))*XLOOKUP($K54,'Threshold Summary'!$Y:$Y,'Threshold Summary'!$L:$L,""))/100)+5)*XLOOKUP(XLOOKUP($K54,'Threshold Summary'!$Y:$Y,'Threshold Summary'!$M:$M,""),'Nature Editor'!$A:$A,'Nature Editor'!$B:$B,1)),FLOOR((FLOOR(((2*XLOOKUP(XLOOKUP($K54,'Threshold Summary'!$Y:$Y,'Threshold Summary'!$K:$K,""),'Pokemon Editor'!$A:$A,'Pokemon Editor'!$H:$H,0)+31+FLOOR(XLOOKUP($K54,'Threshold Summary'!$Y:$Y,'Threshold Summary'!$R:$R,"")/4))*XLOOKUP($K54,'Threshold Summary'!$Y:$Y,'Threshold Summary'!$L:$L,""))/100)+5)*XLOOKUP(XLOOKUP($K54,'Threshold Summary'!$Y:$Y,'Threshold Summary'!$M:$M,""),'Nature Editor'!$A:$A,'Nature Editor'!$D:$D,1))),def,IF(cat="Physical",FLOOR((FLOOR(((2*XLOOKUP($L54,'Pokemon Editor'!$A:$A,'Pokemon Editor'!$G:$G,0)+31+FLOOR(XLOOKUP($L54,'Boss Editor'!$C:$C,'Boss Editor'!$I:$I,"")/4))*XLOOKUP($L54,'Boss Editor'!$C:$C,'Boss Editor'!$D:$D,""))/100)+5)*XLOOKUP(XLOOKUP($L54,'Boss Editor'!$C:$C,'Boss Editor'!$E:$E,""),'Nature Editor'!$A:$A,'Nature Editor'!$C:$C,1)),FLOOR((FLOOR(((2*XLOOKUP($L54,'Pokemon Editor'!$A:$A,'Pokemon Editor'!$I:$I,0)+31+FLOOR(XLOOKUP($L54,'Boss Editor'!$C:$C,'Boss Editor'!$K:$K,"")/4))*XLOOKUP($L54,'Boss Editor'!$C:$C,'Boss Editor'!$D:$D,""))/100)+5)*XLOOKUP(XLOOKUP($L54,'Boss Editor'!$C:$C,'Boss Editor'!$E:$E,""),'Nature Editor'!$A:$A,'Nature Editor'!$E:$E,1))),stab,IF(OR(mtype=XLOOKUP(XLOOKUP($K54,'Threshold Summary'!$Y:$Y,'Threshold Summary'!$K:$K,""),'Pokemon Editor'!$A:$A,'Pokemon Editor'!$C:$C,""),mtype=XLOOKUP(XLOOKUP($K54,'Threshold Summary'!$Y:$Y,'Threshold Summary'!$K:$K,""),'Pokemon Editor'!$A:$A,'Pokemon Editor'!$D:$D,"")),1.5,1),eff,(INDEX('Type Chart'!$B:$S,MATCH(mtype,'Type Chart'!$A:$A,0),MATCH(XLOOKUP($L54,'Pokemon Editor'!$A:$A,'Pokemon Editor'!$C:$C,""),'Type Chart'!$B$1:$S$1,0))*IF(XLOOKUP($L54,'Pokemon Editor'!$A:$A,'Pokemon Editor'!$D:$D,"")="",1,INDEX('Type Chart'!$B:$S,MATCH(mtype,'Type Chart'!$A:$A,0),MATCH(XLOOKUP($L54,'Pokemon Editor'!$A:$A,'Pokemon Editor'!$D:$D,""),'Type Chart'!$B$1:$S$1,0)))),base,IF(OR(cat="Status",pow=0),0,FLOOR(FLOOR(FLOOR((2*XLOOKUP($K54,'Threshold Summary'!$Y:$Y,'Threshold Summary'!$L:$L,"")/5+2)*pow*atk/def)/50)+2)),modifier,stab*eff,FLOOR(base*modifier)),0)</f>
        <v/>
      </c>
      <c r="H54" s="3">
        <f>IFERROR(LET(mtype,XLOOKUP($D54,'Move Editor'!$B:$B,'Move Editor'!$C:$C,""),cat,XLOOKUP($D54,'Move Editor'!$B:$B,'Move Editor'!$D:$D,""),pow,XLOOKUP($D54,'Move Editor'!$B:$B,'Move Editor'!$E:$E,0),acc,XLOOKUP($D54,'Move Editor'!$B:$B,'Move Editor'!$F:$F,100),atk,IF(cat="Physical",FLOOR((FLOOR(((2*XLOOKUP(XLOOKUP($K54,'Threshold Summary'!$Y:$Y,'Threshold Summary'!$K:$K,""),'Pokemon Editor'!$A:$A,'Pokemon Editor'!$F:$F,0)+31+FLOOR(XLOOKUP($K54,'Threshold Summary'!$Y:$Y,'Threshold Summary'!$P:$P,"")/4))*XLOOKUP($K54,'Threshold Summary'!$Y:$Y,'Threshold Summary'!$L:$L,""))/100)+5)*XLOOKUP(XLOOKUP($K54,'Threshold Summary'!$Y:$Y,'Threshold Summary'!$M:$M,""),'Nature Editor'!$A:$A,'Nature Editor'!$B:$B,1)),FLOOR((FLOOR(((2*XLOOKUP(XLOOKUP($K54,'Threshold Summary'!$Y:$Y,'Threshold Summary'!$K:$K,""),'Pokemon Editor'!$A:$A,'Pokemon Editor'!$H:$H,0)+31+FLOOR(XLOOKUP($K54,'Threshold Summary'!$Y:$Y,'Threshold Summary'!$R:$R,"")/4))*XLOOKUP($K54,'Threshold Summary'!$Y:$Y,'Threshold Summary'!$L:$L,""))/100)+5)*XLOOKUP(XLOOKUP($K54,'Threshold Summary'!$Y:$Y,'Threshold Summary'!$M:$M,""),'Nature Editor'!$A:$A,'Nature Editor'!$D:$D,1))),def,IF(cat="Physical",FLOOR((FLOOR(((2*XLOOKUP($L54,'Pokemon Editor'!$A:$A,'Pokemon Editor'!$G:$G,0)+31+FLOOR(XLOOKUP($L54,'Boss Editor'!$C:$C,'Boss Editor'!$I:$I,"")/4))*XLOOKUP($L54,'Boss Editor'!$C:$C,'Boss Editor'!$D:$D,""))/100)+5)*XLOOKUP(XLOOKUP($L54,'Boss Editor'!$C:$C,'Boss Editor'!$E:$E,""),'Nature Editor'!$A:$A,'Nature Editor'!$C:$C,1)),FLOOR((FLOOR(((2*XLOOKUP($L54,'Pokemon Editor'!$A:$A,'Pokemon Editor'!$I:$I,0)+31+FLOOR(XLOOKUP($L54,'Boss Editor'!$C:$C,'Boss Editor'!$K:$K,"")/4))*XLOOKUP($L54,'Boss Editor'!$C:$C,'Boss Editor'!$D:$D,""))/100)+5)*XLOOKUP(XLOOKUP($L54,'Boss Editor'!$C:$C,'Boss Editor'!$E:$E,""),'Nature Editor'!$A:$A,'Nature Editor'!$E:$E,1))),stab,IF(OR(mtype=XLOOKUP(XLOOKUP($K54,'Threshold Summary'!$Y:$Y,'Threshold Summary'!$K:$K,""),'Pokemon Editor'!$A:$A,'Pokemon Editor'!$C:$C,""),mtype=XLOOKUP(XLOOKUP($K54,'Threshold Summary'!$Y:$Y,'Threshold Summary'!$K:$K,""),'Pokemon Editor'!$A:$A,'Pokemon Editor'!$D:$D,"")),1.5,1),eff,(INDEX('Type Chart'!$B:$S,MATCH(mtype,'Type Chart'!$A:$A,0),MATCH(XLOOKUP($L54,'Pokemon Editor'!$A:$A,'Pokemon Editor'!$C:$C,""),'Type Chart'!$B$1:$S$1,0))*IF(XLOOKUP($L54,'Pokemon Editor'!$A:$A,'Pokemon Editor'!$D:$D,"")="",1,INDEX('Type Chart'!$B:$S,MATCH(mtype,'Type Chart'!$A:$A,0),MATCH(XLOOKUP($L54,'Pokemon Editor'!$A:$A,'Pokemon Editor'!$D:$D,""),'Type Chart'!$B$1:$S$1,0)))),base,IF(OR(cat="Status",pow=0),0,FLOOR(FLOOR(FLOOR((2*XLOOKUP($K54,'Threshold Summary'!$Y:$Y,'Threshold Summary'!$L:$L,"")/5+2)*pow*atk/def)/50)+2)),modifier,stab*eff,AVERAGE(ARRAYFORMULA(FLOOR(base*modifier*SEQUENCE(16,1,85,1)/100)))),0)</f>
        <v/>
      </c>
      <c r="I54" s="4">
        <f>IFERROR(LET(mtype,XLOOKUP($D54,'Move Editor'!$B:$B,'Move Editor'!$C:$C,""),cat,XLOOKUP($D54,'Move Editor'!$B:$B,'Move Editor'!$D:$D,""),pow,XLOOKUP($D54,'Move Editor'!$B:$B,'Move Editor'!$E:$E,0),acc,XLOOKUP($D54,'Move Editor'!$B:$B,'Move Editor'!$F:$F,100),atk,IF(cat="Physical",FLOOR((FLOOR(((2*XLOOKUP(XLOOKUP($K54,'Threshold Summary'!$Y:$Y,'Threshold Summary'!$K:$K,""),'Pokemon Editor'!$A:$A,'Pokemon Editor'!$F:$F,0)+31+FLOOR(XLOOKUP($K54,'Threshold Summary'!$Y:$Y,'Threshold Summary'!$P:$P,"")/4))*XLOOKUP($K54,'Threshold Summary'!$Y:$Y,'Threshold Summary'!$L:$L,""))/100)+5)*XLOOKUP(XLOOKUP($K54,'Threshold Summary'!$Y:$Y,'Threshold Summary'!$M:$M,""),'Nature Editor'!$A:$A,'Nature Editor'!$B:$B,1)),FLOOR((FLOOR(((2*XLOOKUP(XLOOKUP($K54,'Threshold Summary'!$Y:$Y,'Threshold Summary'!$K:$K,""),'Pokemon Editor'!$A:$A,'Pokemon Editor'!$H:$H,0)+31+FLOOR(XLOOKUP($K54,'Threshold Summary'!$Y:$Y,'Threshold Summary'!$R:$R,"")/4))*XLOOKUP($K54,'Threshold Summary'!$Y:$Y,'Threshold Summary'!$L:$L,""))/100)+5)*XLOOKUP(XLOOKUP($K54,'Threshold Summary'!$Y:$Y,'Threshold Summary'!$M:$M,""),'Nature Editor'!$A:$A,'Nature Editor'!$D:$D,1))),def,IF(cat="Physical",FLOOR((FLOOR(((2*XLOOKUP($L54,'Pokemon Editor'!$A:$A,'Pokemon Editor'!$G:$G,0)+31+FLOOR(XLOOKUP($L54,'Boss Editor'!$C:$C,'Boss Editor'!$I:$I,"")/4))*XLOOKUP($L54,'Boss Editor'!$C:$C,'Boss Editor'!$D:$D,""))/100)+5)*XLOOKUP(XLOOKUP($L54,'Boss Editor'!$C:$C,'Boss Editor'!$E:$E,""),'Nature Editor'!$A:$A,'Nature Editor'!$C:$C,1)),FLOOR((FLOOR(((2*XLOOKUP($L54,'Pokemon Editor'!$A:$A,'Pokemon Editor'!$I:$I,0)+31+FLOOR(XLOOKUP($L54,'Boss Editor'!$C:$C,'Boss Editor'!$K:$K,"")/4))*XLOOKUP($L54,'Boss Editor'!$C:$C,'Boss Editor'!$D:$D,""))/100)+5)*XLOOKUP(XLOOKUP($L54,'Boss Editor'!$C:$C,'Boss Editor'!$E:$E,""),'Nature Editor'!$A:$A,'Nature Editor'!$E:$E,1))),stab,IF(OR(mtype=XLOOKUP(XLOOKUP($K54,'Threshold Summary'!$Y:$Y,'Threshold Summary'!$K:$K,""),'Pokemon Editor'!$A:$A,'Pokemon Editor'!$C:$C,""),mtype=XLOOKUP(XLOOKUP($K54,'Threshold Summary'!$Y:$Y,'Threshold Summary'!$K:$K,""),'Pokemon Editor'!$A:$A,'Pokemon Editor'!$D:$D,"")),1.5,1),eff,(INDEX('Type Chart'!$B:$S,MATCH(mtype,'Type Chart'!$A:$A,0),MATCH(XLOOKUP($L54,'Pokemon Editor'!$A:$A,'Pokemon Editor'!$C:$C,""),'Type Chart'!$B$1:$S$1,0))*IF(XLOOKUP($L54,'Pokemon Editor'!$A:$A,'Pokemon Editor'!$D:$D,"")="",1,INDEX('Type Chart'!$B:$S,MATCH(mtype,'Type Chart'!$A:$A,0),MATCH(XLOOKUP($L54,'Pokemon Editor'!$A:$A,'Pokemon Editor'!$D:$D,""),'Type Chart'!$B$1:$S$1,0)))),base,IF(OR(cat="Status",pow=0),0,FLOOR(FLOOR(FLOOR((2*XLOOKUP($K54,'Threshold Summary'!$Y:$Y,'Threshold Summary'!$L:$L,"")/5+2)*pow*atk/def)/50)+2)),modifier,stab*eff,AVERAGE(ARRAYFORMULA(FLOOR(base*modifier*SEQUENCE(16,1,85,1)/100)))/(FLOOR(((2*XLOOKUP($L54,'Pokemon Editor'!$A:$A,'Pokemon Editor'!$E:$E,0)+31+FLOOR(XLOOKUP($L54,'Boss Editor'!$C:$C,'Boss Editor'!$G:$G,"")/4))*XLOOKUP($L54,'Boss Editor'!$C:$C,'Boss Editor'!$D:$D,""))/100)+XLOOKUP($L54,'Boss Editor'!$C:$C,'Boss Editor'!$D:$D,"")+10)),0)</f>
        <v/>
      </c>
      <c r="J54" s="3">
        <f>IF(I54&gt;=1,"OHKO",IF(I54&gt;=0.5,"2HKO",IF(I54&gt;=0.333,"3HKO",IF(I54&gt;=0.25,"4HKO","5HKO+"))))</f>
        <v/>
      </c>
      <c r="K54" s="3" t="inlineStr">
        <is>
          <t>SPECIES_DUCKLETT</t>
        </is>
      </c>
      <c r="L54" s="3" t="inlineStr">
        <is>
          <t>SPECIES_ANORITH</t>
        </is>
      </c>
    </row>
    <row r="55">
      <c r="A55" s="3">
        <f>XLOOKUP($K55,'Threshold Summary'!$Y:$Y,'Threshold Summary'!$A:$A,"")</f>
        <v/>
      </c>
      <c r="B55" s="3" t="inlineStr">
        <is>
          <t>Lileep</t>
        </is>
      </c>
      <c r="C55" s="3">
        <f>XLOOKUP($L55,'Boss Editor'!$C:$C,'Boss Editor'!$D:$D,"")</f>
        <v/>
      </c>
      <c r="D55" s="3">
        <f>XLOOKUP($K55,'Threshold Summary'!$Y:$Y,'Threshold Summary'!$B:$B,"")</f>
        <v/>
      </c>
      <c r="E55" s="3">
        <f>XLOOKUP(D55,'Move Editor'!$B:$B,'Move Editor'!$C:$C,"")</f>
        <v/>
      </c>
      <c r="F55" s="3">
        <f>IFERROR(LET(mtype,XLOOKUP($D55,'Move Editor'!$B:$B,'Move Editor'!$C:$C,""),cat,XLOOKUP($D55,'Move Editor'!$B:$B,'Move Editor'!$D:$D,""),pow,XLOOKUP($D55,'Move Editor'!$B:$B,'Move Editor'!$E:$E,0),acc,XLOOKUP($D55,'Move Editor'!$B:$B,'Move Editor'!$F:$F,100),atk,IF(cat="Physical",FLOOR((FLOOR(((2*XLOOKUP(XLOOKUP($K55,'Threshold Summary'!$Y:$Y,'Threshold Summary'!$K:$K,""),'Pokemon Editor'!$A:$A,'Pokemon Editor'!$F:$F,0)+31+FLOOR(XLOOKUP($K55,'Threshold Summary'!$Y:$Y,'Threshold Summary'!$P:$P,"")/4))*XLOOKUP($K55,'Threshold Summary'!$Y:$Y,'Threshold Summary'!$L:$L,""))/100)+5)*XLOOKUP(XLOOKUP($K55,'Threshold Summary'!$Y:$Y,'Threshold Summary'!$M:$M,""),'Nature Editor'!$A:$A,'Nature Editor'!$B:$B,1)),FLOOR((FLOOR(((2*XLOOKUP(XLOOKUP($K55,'Threshold Summary'!$Y:$Y,'Threshold Summary'!$K:$K,""),'Pokemon Editor'!$A:$A,'Pokemon Editor'!$H:$H,0)+31+FLOOR(XLOOKUP($K55,'Threshold Summary'!$Y:$Y,'Threshold Summary'!$R:$R,"")/4))*XLOOKUP($K55,'Threshold Summary'!$Y:$Y,'Threshold Summary'!$L:$L,""))/100)+5)*XLOOKUP(XLOOKUP($K55,'Threshold Summary'!$Y:$Y,'Threshold Summary'!$M:$M,""),'Nature Editor'!$A:$A,'Nature Editor'!$D:$D,1))),def,IF(cat="Physical",FLOOR((FLOOR(((2*XLOOKUP($L55,'Pokemon Editor'!$A:$A,'Pokemon Editor'!$G:$G,0)+31+FLOOR(XLOOKUP($L55,'Boss Editor'!$C:$C,'Boss Editor'!$I:$I,"")/4))*XLOOKUP($L55,'Boss Editor'!$C:$C,'Boss Editor'!$D:$D,""))/100)+5)*XLOOKUP(XLOOKUP($L55,'Boss Editor'!$C:$C,'Boss Editor'!$E:$E,""),'Nature Editor'!$A:$A,'Nature Editor'!$C:$C,1)),FLOOR((FLOOR(((2*XLOOKUP($L55,'Pokemon Editor'!$A:$A,'Pokemon Editor'!$I:$I,0)+31+FLOOR(XLOOKUP($L55,'Boss Editor'!$C:$C,'Boss Editor'!$K:$K,"")/4))*XLOOKUP($L55,'Boss Editor'!$C:$C,'Boss Editor'!$D:$D,""))/100)+5)*XLOOKUP(XLOOKUP($L55,'Boss Editor'!$C:$C,'Boss Editor'!$E:$E,""),'Nature Editor'!$A:$A,'Nature Editor'!$E:$E,1))),stab,IF(OR(mtype=XLOOKUP(XLOOKUP($K55,'Threshold Summary'!$Y:$Y,'Threshold Summary'!$K:$K,""),'Pokemon Editor'!$A:$A,'Pokemon Editor'!$C:$C,""),mtype=XLOOKUP(XLOOKUP($K55,'Threshold Summary'!$Y:$Y,'Threshold Summary'!$K:$K,""),'Pokemon Editor'!$A:$A,'Pokemon Editor'!$D:$D,"")),1.5,1),eff,(INDEX('Type Chart'!$B:$S,MATCH(mtype,'Type Chart'!$A:$A,0),MATCH(XLOOKUP($L55,'Pokemon Editor'!$A:$A,'Pokemon Editor'!$C:$C,""),'Type Chart'!$B$1:$S$1,0))*IF(XLOOKUP($L55,'Pokemon Editor'!$A:$A,'Pokemon Editor'!$D:$D,"")="",1,INDEX('Type Chart'!$B:$S,MATCH(mtype,'Type Chart'!$A:$A,0),MATCH(XLOOKUP($L55,'Pokemon Editor'!$A:$A,'Pokemon Editor'!$D:$D,""),'Type Chart'!$B$1:$S$1,0)))),base,IF(OR(cat="Status",pow=0),0,FLOOR(FLOOR(FLOOR((2*XLOOKUP($K55,'Threshold Summary'!$Y:$Y,'Threshold Summary'!$L:$L,"")/5+2)*pow*atk/def)/50)+2)),modifier,stab*eff,FLOOR(base*modifier*0.85)),0)</f>
        <v/>
      </c>
      <c r="G55" s="3">
        <f>IFERROR(LET(mtype,XLOOKUP($D55,'Move Editor'!$B:$B,'Move Editor'!$C:$C,""),cat,XLOOKUP($D55,'Move Editor'!$B:$B,'Move Editor'!$D:$D,""),pow,XLOOKUP($D55,'Move Editor'!$B:$B,'Move Editor'!$E:$E,0),acc,XLOOKUP($D55,'Move Editor'!$B:$B,'Move Editor'!$F:$F,100),atk,IF(cat="Physical",FLOOR((FLOOR(((2*XLOOKUP(XLOOKUP($K55,'Threshold Summary'!$Y:$Y,'Threshold Summary'!$K:$K,""),'Pokemon Editor'!$A:$A,'Pokemon Editor'!$F:$F,0)+31+FLOOR(XLOOKUP($K55,'Threshold Summary'!$Y:$Y,'Threshold Summary'!$P:$P,"")/4))*XLOOKUP($K55,'Threshold Summary'!$Y:$Y,'Threshold Summary'!$L:$L,""))/100)+5)*XLOOKUP(XLOOKUP($K55,'Threshold Summary'!$Y:$Y,'Threshold Summary'!$M:$M,""),'Nature Editor'!$A:$A,'Nature Editor'!$B:$B,1)),FLOOR((FLOOR(((2*XLOOKUP(XLOOKUP($K55,'Threshold Summary'!$Y:$Y,'Threshold Summary'!$K:$K,""),'Pokemon Editor'!$A:$A,'Pokemon Editor'!$H:$H,0)+31+FLOOR(XLOOKUP($K55,'Threshold Summary'!$Y:$Y,'Threshold Summary'!$R:$R,"")/4))*XLOOKUP($K55,'Threshold Summary'!$Y:$Y,'Threshold Summary'!$L:$L,""))/100)+5)*XLOOKUP(XLOOKUP($K55,'Threshold Summary'!$Y:$Y,'Threshold Summary'!$M:$M,""),'Nature Editor'!$A:$A,'Nature Editor'!$D:$D,1))),def,IF(cat="Physical",FLOOR((FLOOR(((2*XLOOKUP($L55,'Pokemon Editor'!$A:$A,'Pokemon Editor'!$G:$G,0)+31+FLOOR(XLOOKUP($L55,'Boss Editor'!$C:$C,'Boss Editor'!$I:$I,"")/4))*XLOOKUP($L55,'Boss Editor'!$C:$C,'Boss Editor'!$D:$D,""))/100)+5)*XLOOKUP(XLOOKUP($L55,'Boss Editor'!$C:$C,'Boss Editor'!$E:$E,""),'Nature Editor'!$A:$A,'Nature Editor'!$C:$C,1)),FLOOR((FLOOR(((2*XLOOKUP($L55,'Pokemon Editor'!$A:$A,'Pokemon Editor'!$I:$I,0)+31+FLOOR(XLOOKUP($L55,'Boss Editor'!$C:$C,'Boss Editor'!$K:$K,"")/4))*XLOOKUP($L55,'Boss Editor'!$C:$C,'Boss Editor'!$D:$D,""))/100)+5)*XLOOKUP(XLOOKUP($L55,'Boss Editor'!$C:$C,'Boss Editor'!$E:$E,""),'Nature Editor'!$A:$A,'Nature Editor'!$E:$E,1))),stab,IF(OR(mtype=XLOOKUP(XLOOKUP($K55,'Threshold Summary'!$Y:$Y,'Threshold Summary'!$K:$K,""),'Pokemon Editor'!$A:$A,'Pokemon Editor'!$C:$C,""),mtype=XLOOKUP(XLOOKUP($K55,'Threshold Summary'!$Y:$Y,'Threshold Summary'!$K:$K,""),'Pokemon Editor'!$A:$A,'Pokemon Editor'!$D:$D,"")),1.5,1),eff,(INDEX('Type Chart'!$B:$S,MATCH(mtype,'Type Chart'!$A:$A,0),MATCH(XLOOKUP($L55,'Pokemon Editor'!$A:$A,'Pokemon Editor'!$C:$C,""),'Type Chart'!$B$1:$S$1,0))*IF(XLOOKUP($L55,'Pokemon Editor'!$A:$A,'Pokemon Editor'!$D:$D,"")="",1,INDEX('Type Chart'!$B:$S,MATCH(mtype,'Type Chart'!$A:$A,0),MATCH(XLOOKUP($L55,'Pokemon Editor'!$A:$A,'Pokemon Editor'!$D:$D,""),'Type Chart'!$B$1:$S$1,0)))),base,IF(OR(cat="Status",pow=0),0,FLOOR(FLOOR(FLOOR((2*XLOOKUP($K55,'Threshold Summary'!$Y:$Y,'Threshold Summary'!$L:$L,"")/5+2)*pow*atk/def)/50)+2)),modifier,stab*eff,FLOOR(base*modifier)),0)</f>
        <v/>
      </c>
      <c r="H55" s="3">
        <f>IFERROR(LET(mtype,XLOOKUP($D55,'Move Editor'!$B:$B,'Move Editor'!$C:$C,""),cat,XLOOKUP($D55,'Move Editor'!$B:$B,'Move Editor'!$D:$D,""),pow,XLOOKUP($D55,'Move Editor'!$B:$B,'Move Editor'!$E:$E,0),acc,XLOOKUP($D55,'Move Editor'!$B:$B,'Move Editor'!$F:$F,100),atk,IF(cat="Physical",FLOOR((FLOOR(((2*XLOOKUP(XLOOKUP($K55,'Threshold Summary'!$Y:$Y,'Threshold Summary'!$K:$K,""),'Pokemon Editor'!$A:$A,'Pokemon Editor'!$F:$F,0)+31+FLOOR(XLOOKUP($K55,'Threshold Summary'!$Y:$Y,'Threshold Summary'!$P:$P,"")/4))*XLOOKUP($K55,'Threshold Summary'!$Y:$Y,'Threshold Summary'!$L:$L,""))/100)+5)*XLOOKUP(XLOOKUP($K55,'Threshold Summary'!$Y:$Y,'Threshold Summary'!$M:$M,""),'Nature Editor'!$A:$A,'Nature Editor'!$B:$B,1)),FLOOR((FLOOR(((2*XLOOKUP(XLOOKUP($K55,'Threshold Summary'!$Y:$Y,'Threshold Summary'!$K:$K,""),'Pokemon Editor'!$A:$A,'Pokemon Editor'!$H:$H,0)+31+FLOOR(XLOOKUP($K55,'Threshold Summary'!$Y:$Y,'Threshold Summary'!$R:$R,"")/4))*XLOOKUP($K55,'Threshold Summary'!$Y:$Y,'Threshold Summary'!$L:$L,""))/100)+5)*XLOOKUP(XLOOKUP($K55,'Threshold Summary'!$Y:$Y,'Threshold Summary'!$M:$M,""),'Nature Editor'!$A:$A,'Nature Editor'!$D:$D,1))),def,IF(cat="Physical",FLOOR((FLOOR(((2*XLOOKUP($L55,'Pokemon Editor'!$A:$A,'Pokemon Editor'!$G:$G,0)+31+FLOOR(XLOOKUP($L55,'Boss Editor'!$C:$C,'Boss Editor'!$I:$I,"")/4))*XLOOKUP($L55,'Boss Editor'!$C:$C,'Boss Editor'!$D:$D,""))/100)+5)*XLOOKUP(XLOOKUP($L55,'Boss Editor'!$C:$C,'Boss Editor'!$E:$E,""),'Nature Editor'!$A:$A,'Nature Editor'!$C:$C,1)),FLOOR((FLOOR(((2*XLOOKUP($L55,'Pokemon Editor'!$A:$A,'Pokemon Editor'!$I:$I,0)+31+FLOOR(XLOOKUP($L55,'Boss Editor'!$C:$C,'Boss Editor'!$K:$K,"")/4))*XLOOKUP($L55,'Boss Editor'!$C:$C,'Boss Editor'!$D:$D,""))/100)+5)*XLOOKUP(XLOOKUP($L55,'Boss Editor'!$C:$C,'Boss Editor'!$E:$E,""),'Nature Editor'!$A:$A,'Nature Editor'!$E:$E,1))),stab,IF(OR(mtype=XLOOKUP(XLOOKUP($K55,'Threshold Summary'!$Y:$Y,'Threshold Summary'!$K:$K,""),'Pokemon Editor'!$A:$A,'Pokemon Editor'!$C:$C,""),mtype=XLOOKUP(XLOOKUP($K55,'Threshold Summary'!$Y:$Y,'Threshold Summary'!$K:$K,""),'Pokemon Editor'!$A:$A,'Pokemon Editor'!$D:$D,"")),1.5,1),eff,(INDEX('Type Chart'!$B:$S,MATCH(mtype,'Type Chart'!$A:$A,0),MATCH(XLOOKUP($L55,'Pokemon Editor'!$A:$A,'Pokemon Editor'!$C:$C,""),'Type Chart'!$B$1:$S$1,0))*IF(XLOOKUP($L55,'Pokemon Editor'!$A:$A,'Pokemon Editor'!$D:$D,"")="",1,INDEX('Type Chart'!$B:$S,MATCH(mtype,'Type Chart'!$A:$A,0),MATCH(XLOOKUP($L55,'Pokemon Editor'!$A:$A,'Pokemon Editor'!$D:$D,""),'Type Chart'!$B$1:$S$1,0)))),base,IF(OR(cat="Status",pow=0),0,FLOOR(FLOOR(FLOOR((2*XLOOKUP($K55,'Threshold Summary'!$Y:$Y,'Threshold Summary'!$L:$L,"")/5+2)*pow*atk/def)/50)+2)),modifier,stab*eff,AVERAGE(ARRAYFORMULA(FLOOR(base*modifier*SEQUENCE(16,1,85,1)/100)))),0)</f>
        <v/>
      </c>
      <c r="I55" s="4">
        <f>IFERROR(LET(mtype,XLOOKUP($D55,'Move Editor'!$B:$B,'Move Editor'!$C:$C,""),cat,XLOOKUP($D55,'Move Editor'!$B:$B,'Move Editor'!$D:$D,""),pow,XLOOKUP($D55,'Move Editor'!$B:$B,'Move Editor'!$E:$E,0),acc,XLOOKUP($D55,'Move Editor'!$B:$B,'Move Editor'!$F:$F,100),atk,IF(cat="Physical",FLOOR((FLOOR(((2*XLOOKUP(XLOOKUP($K55,'Threshold Summary'!$Y:$Y,'Threshold Summary'!$K:$K,""),'Pokemon Editor'!$A:$A,'Pokemon Editor'!$F:$F,0)+31+FLOOR(XLOOKUP($K55,'Threshold Summary'!$Y:$Y,'Threshold Summary'!$P:$P,"")/4))*XLOOKUP($K55,'Threshold Summary'!$Y:$Y,'Threshold Summary'!$L:$L,""))/100)+5)*XLOOKUP(XLOOKUP($K55,'Threshold Summary'!$Y:$Y,'Threshold Summary'!$M:$M,""),'Nature Editor'!$A:$A,'Nature Editor'!$B:$B,1)),FLOOR((FLOOR(((2*XLOOKUP(XLOOKUP($K55,'Threshold Summary'!$Y:$Y,'Threshold Summary'!$K:$K,""),'Pokemon Editor'!$A:$A,'Pokemon Editor'!$H:$H,0)+31+FLOOR(XLOOKUP($K55,'Threshold Summary'!$Y:$Y,'Threshold Summary'!$R:$R,"")/4))*XLOOKUP($K55,'Threshold Summary'!$Y:$Y,'Threshold Summary'!$L:$L,""))/100)+5)*XLOOKUP(XLOOKUP($K55,'Threshold Summary'!$Y:$Y,'Threshold Summary'!$M:$M,""),'Nature Editor'!$A:$A,'Nature Editor'!$D:$D,1))),def,IF(cat="Physical",FLOOR((FLOOR(((2*XLOOKUP($L55,'Pokemon Editor'!$A:$A,'Pokemon Editor'!$G:$G,0)+31+FLOOR(XLOOKUP($L55,'Boss Editor'!$C:$C,'Boss Editor'!$I:$I,"")/4))*XLOOKUP($L55,'Boss Editor'!$C:$C,'Boss Editor'!$D:$D,""))/100)+5)*XLOOKUP(XLOOKUP($L55,'Boss Editor'!$C:$C,'Boss Editor'!$E:$E,""),'Nature Editor'!$A:$A,'Nature Editor'!$C:$C,1)),FLOOR((FLOOR(((2*XLOOKUP($L55,'Pokemon Editor'!$A:$A,'Pokemon Editor'!$I:$I,0)+31+FLOOR(XLOOKUP($L55,'Boss Editor'!$C:$C,'Boss Editor'!$K:$K,"")/4))*XLOOKUP($L55,'Boss Editor'!$C:$C,'Boss Editor'!$D:$D,""))/100)+5)*XLOOKUP(XLOOKUP($L55,'Boss Editor'!$C:$C,'Boss Editor'!$E:$E,""),'Nature Editor'!$A:$A,'Nature Editor'!$E:$E,1))),stab,IF(OR(mtype=XLOOKUP(XLOOKUP($K55,'Threshold Summary'!$Y:$Y,'Threshold Summary'!$K:$K,""),'Pokemon Editor'!$A:$A,'Pokemon Editor'!$C:$C,""),mtype=XLOOKUP(XLOOKUP($K55,'Threshold Summary'!$Y:$Y,'Threshold Summary'!$K:$K,""),'Pokemon Editor'!$A:$A,'Pokemon Editor'!$D:$D,"")),1.5,1),eff,(INDEX('Type Chart'!$B:$S,MATCH(mtype,'Type Chart'!$A:$A,0),MATCH(XLOOKUP($L55,'Pokemon Editor'!$A:$A,'Pokemon Editor'!$C:$C,""),'Type Chart'!$B$1:$S$1,0))*IF(XLOOKUP($L55,'Pokemon Editor'!$A:$A,'Pokemon Editor'!$D:$D,"")="",1,INDEX('Type Chart'!$B:$S,MATCH(mtype,'Type Chart'!$A:$A,0),MATCH(XLOOKUP($L55,'Pokemon Editor'!$A:$A,'Pokemon Editor'!$D:$D,""),'Type Chart'!$B$1:$S$1,0)))),base,IF(OR(cat="Status",pow=0),0,FLOOR(FLOOR(FLOOR((2*XLOOKUP($K55,'Threshold Summary'!$Y:$Y,'Threshold Summary'!$L:$L,"")/5+2)*pow*atk/def)/50)+2)),modifier,stab*eff,AVERAGE(ARRAYFORMULA(FLOOR(base*modifier*SEQUENCE(16,1,85,1)/100)))/(FLOOR(((2*XLOOKUP($L55,'Pokemon Editor'!$A:$A,'Pokemon Editor'!$E:$E,0)+31+FLOOR(XLOOKUP($L55,'Boss Editor'!$C:$C,'Boss Editor'!$G:$G,"")/4))*XLOOKUP($L55,'Boss Editor'!$C:$C,'Boss Editor'!$D:$D,""))/100)+XLOOKUP($L55,'Boss Editor'!$C:$C,'Boss Editor'!$D:$D,"")+10)),0)</f>
        <v/>
      </c>
      <c r="J55" s="3">
        <f>IF(I55&gt;=1,"OHKO",IF(I55&gt;=0.5,"2HKO",IF(I55&gt;=0.333,"3HKO",IF(I55&gt;=0.25,"4HKO","5HKO+"))))</f>
        <v/>
      </c>
      <c r="K55" s="3" t="inlineStr">
        <is>
          <t>SPECIES_DUCKLETT</t>
        </is>
      </c>
      <c r="L55" s="3" t="inlineStr">
        <is>
          <t>SPECIES_LILEEP</t>
        </is>
      </c>
    </row>
    <row r="56">
      <c r="A56" s="3">
        <f>XLOOKUP($K56,'Threshold Summary'!$Y:$Y,'Threshold Summary'!$A:$A,"")</f>
        <v/>
      </c>
      <c r="B56" s="3" t="inlineStr">
        <is>
          <t>Tirtouga</t>
        </is>
      </c>
      <c r="C56" s="3">
        <f>XLOOKUP($L56,'Boss Editor'!$C:$C,'Boss Editor'!$D:$D,"")</f>
        <v/>
      </c>
      <c r="D56" s="3">
        <f>XLOOKUP($K56,'Threshold Summary'!$Y:$Y,'Threshold Summary'!$B:$B,"")</f>
        <v/>
      </c>
      <c r="E56" s="3">
        <f>XLOOKUP(D56,'Move Editor'!$B:$B,'Move Editor'!$C:$C,"")</f>
        <v/>
      </c>
      <c r="F56" s="3">
        <f>IFERROR(LET(mtype,XLOOKUP($D56,'Move Editor'!$B:$B,'Move Editor'!$C:$C,""),cat,XLOOKUP($D56,'Move Editor'!$B:$B,'Move Editor'!$D:$D,""),pow,XLOOKUP($D56,'Move Editor'!$B:$B,'Move Editor'!$E:$E,0),acc,XLOOKUP($D56,'Move Editor'!$B:$B,'Move Editor'!$F:$F,100),atk,IF(cat="Physical",FLOOR((FLOOR(((2*XLOOKUP(XLOOKUP($K56,'Threshold Summary'!$Y:$Y,'Threshold Summary'!$K:$K,""),'Pokemon Editor'!$A:$A,'Pokemon Editor'!$F:$F,0)+31+FLOOR(XLOOKUP($K56,'Threshold Summary'!$Y:$Y,'Threshold Summary'!$P:$P,"")/4))*XLOOKUP($K56,'Threshold Summary'!$Y:$Y,'Threshold Summary'!$L:$L,""))/100)+5)*XLOOKUP(XLOOKUP($K56,'Threshold Summary'!$Y:$Y,'Threshold Summary'!$M:$M,""),'Nature Editor'!$A:$A,'Nature Editor'!$B:$B,1)),FLOOR((FLOOR(((2*XLOOKUP(XLOOKUP($K56,'Threshold Summary'!$Y:$Y,'Threshold Summary'!$K:$K,""),'Pokemon Editor'!$A:$A,'Pokemon Editor'!$H:$H,0)+31+FLOOR(XLOOKUP($K56,'Threshold Summary'!$Y:$Y,'Threshold Summary'!$R:$R,"")/4))*XLOOKUP($K56,'Threshold Summary'!$Y:$Y,'Threshold Summary'!$L:$L,""))/100)+5)*XLOOKUP(XLOOKUP($K56,'Threshold Summary'!$Y:$Y,'Threshold Summary'!$M:$M,""),'Nature Editor'!$A:$A,'Nature Editor'!$D:$D,1))),def,IF(cat="Physical",FLOOR((FLOOR(((2*XLOOKUP($L56,'Pokemon Editor'!$A:$A,'Pokemon Editor'!$G:$G,0)+31+FLOOR(XLOOKUP($L56,'Boss Editor'!$C:$C,'Boss Editor'!$I:$I,"")/4))*XLOOKUP($L56,'Boss Editor'!$C:$C,'Boss Editor'!$D:$D,""))/100)+5)*XLOOKUP(XLOOKUP($L56,'Boss Editor'!$C:$C,'Boss Editor'!$E:$E,""),'Nature Editor'!$A:$A,'Nature Editor'!$C:$C,1)),FLOOR((FLOOR(((2*XLOOKUP($L56,'Pokemon Editor'!$A:$A,'Pokemon Editor'!$I:$I,0)+31+FLOOR(XLOOKUP($L56,'Boss Editor'!$C:$C,'Boss Editor'!$K:$K,"")/4))*XLOOKUP($L56,'Boss Editor'!$C:$C,'Boss Editor'!$D:$D,""))/100)+5)*XLOOKUP(XLOOKUP($L56,'Boss Editor'!$C:$C,'Boss Editor'!$E:$E,""),'Nature Editor'!$A:$A,'Nature Editor'!$E:$E,1))),stab,IF(OR(mtype=XLOOKUP(XLOOKUP($K56,'Threshold Summary'!$Y:$Y,'Threshold Summary'!$K:$K,""),'Pokemon Editor'!$A:$A,'Pokemon Editor'!$C:$C,""),mtype=XLOOKUP(XLOOKUP($K56,'Threshold Summary'!$Y:$Y,'Threshold Summary'!$K:$K,""),'Pokemon Editor'!$A:$A,'Pokemon Editor'!$D:$D,"")),1.5,1),eff,(INDEX('Type Chart'!$B:$S,MATCH(mtype,'Type Chart'!$A:$A,0),MATCH(XLOOKUP($L56,'Pokemon Editor'!$A:$A,'Pokemon Editor'!$C:$C,""),'Type Chart'!$B$1:$S$1,0))*IF(XLOOKUP($L56,'Pokemon Editor'!$A:$A,'Pokemon Editor'!$D:$D,"")="",1,INDEX('Type Chart'!$B:$S,MATCH(mtype,'Type Chart'!$A:$A,0),MATCH(XLOOKUP($L56,'Pokemon Editor'!$A:$A,'Pokemon Editor'!$D:$D,""),'Type Chart'!$B$1:$S$1,0)))),base,IF(OR(cat="Status",pow=0),0,FLOOR(FLOOR(FLOOR((2*XLOOKUP($K56,'Threshold Summary'!$Y:$Y,'Threshold Summary'!$L:$L,"")/5+2)*pow*atk/def)/50)+2)),modifier,stab*eff,FLOOR(base*modifier*0.85)),0)</f>
        <v/>
      </c>
      <c r="G56" s="3">
        <f>IFERROR(LET(mtype,XLOOKUP($D56,'Move Editor'!$B:$B,'Move Editor'!$C:$C,""),cat,XLOOKUP($D56,'Move Editor'!$B:$B,'Move Editor'!$D:$D,""),pow,XLOOKUP($D56,'Move Editor'!$B:$B,'Move Editor'!$E:$E,0),acc,XLOOKUP($D56,'Move Editor'!$B:$B,'Move Editor'!$F:$F,100),atk,IF(cat="Physical",FLOOR((FLOOR(((2*XLOOKUP(XLOOKUP($K56,'Threshold Summary'!$Y:$Y,'Threshold Summary'!$K:$K,""),'Pokemon Editor'!$A:$A,'Pokemon Editor'!$F:$F,0)+31+FLOOR(XLOOKUP($K56,'Threshold Summary'!$Y:$Y,'Threshold Summary'!$P:$P,"")/4))*XLOOKUP($K56,'Threshold Summary'!$Y:$Y,'Threshold Summary'!$L:$L,""))/100)+5)*XLOOKUP(XLOOKUP($K56,'Threshold Summary'!$Y:$Y,'Threshold Summary'!$M:$M,""),'Nature Editor'!$A:$A,'Nature Editor'!$B:$B,1)),FLOOR((FLOOR(((2*XLOOKUP(XLOOKUP($K56,'Threshold Summary'!$Y:$Y,'Threshold Summary'!$K:$K,""),'Pokemon Editor'!$A:$A,'Pokemon Editor'!$H:$H,0)+31+FLOOR(XLOOKUP($K56,'Threshold Summary'!$Y:$Y,'Threshold Summary'!$R:$R,"")/4))*XLOOKUP($K56,'Threshold Summary'!$Y:$Y,'Threshold Summary'!$L:$L,""))/100)+5)*XLOOKUP(XLOOKUP($K56,'Threshold Summary'!$Y:$Y,'Threshold Summary'!$M:$M,""),'Nature Editor'!$A:$A,'Nature Editor'!$D:$D,1))),def,IF(cat="Physical",FLOOR((FLOOR(((2*XLOOKUP($L56,'Pokemon Editor'!$A:$A,'Pokemon Editor'!$G:$G,0)+31+FLOOR(XLOOKUP($L56,'Boss Editor'!$C:$C,'Boss Editor'!$I:$I,"")/4))*XLOOKUP($L56,'Boss Editor'!$C:$C,'Boss Editor'!$D:$D,""))/100)+5)*XLOOKUP(XLOOKUP($L56,'Boss Editor'!$C:$C,'Boss Editor'!$E:$E,""),'Nature Editor'!$A:$A,'Nature Editor'!$C:$C,1)),FLOOR((FLOOR(((2*XLOOKUP($L56,'Pokemon Editor'!$A:$A,'Pokemon Editor'!$I:$I,0)+31+FLOOR(XLOOKUP($L56,'Boss Editor'!$C:$C,'Boss Editor'!$K:$K,"")/4))*XLOOKUP($L56,'Boss Editor'!$C:$C,'Boss Editor'!$D:$D,""))/100)+5)*XLOOKUP(XLOOKUP($L56,'Boss Editor'!$C:$C,'Boss Editor'!$E:$E,""),'Nature Editor'!$A:$A,'Nature Editor'!$E:$E,1))),stab,IF(OR(mtype=XLOOKUP(XLOOKUP($K56,'Threshold Summary'!$Y:$Y,'Threshold Summary'!$K:$K,""),'Pokemon Editor'!$A:$A,'Pokemon Editor'!$C:$C,""),mtype=XLOOKUP(XLOOKUP($K56,'Threshold Summary'!$Y:$Y,'Threshold Summary'!$K:$K,""),'Pokemon Editor'!$A:$A,'Pokemon Editor'!$D:$D,"")),1.5,1),eff,(INDEX('Type Chart'!$B:$S,MATCH(mtype,'Type Chart'!$A:$A,0),MATCH(XLOOKUP($L56,'Pokemon Editor'!$A:$A,'Pokemon Editor'!$C:$C,""),'Type Chart'!$B$1:$S$1,0))*IF(XLOOKUP($L56,'Pokemon Editor'!$A:$A,'Pokemon Editor'!$D:$D,"")="",1,INDEX('Type Chart'!$B:$S,MATCH(mtype,'Type Chart'!$A:$A,0),MATCH(XLOOKUP($L56,'Pokemon Editor'!$A:$A,'Pokemon Editor'!$D:$D,""),'Type Chart'!$B$1:$S$1,0)))),base,IF(OR(cat="Status",pow=0),0,FLOOR(FLOOR(FLOOR((2*XLOOKUP($K56,'Threshold Summary'!$Y:$Y,'Threshold Summary'!$L:$L,"")/5+2)*pow*atk/def)/50)+2)),modifier,stab*eff,FLOOR(base*modifier)),0)</f>
        <v/>
      </c>
      <c r="H56" s="3">
        <f>IFERROR(LET(mtype,XLOOKUP($D56,'Move Editor'!$B:$B,'Move Editor'!$C:$C,""),cat,XLOOKUP($D56,'Move Editor'!$B:$B,'Move Editor'!$D:$D,""),pow,XLOOKUP($D56,'Move Editor'!$B:$B,'Move Editor'!$E:$E,0),acc,XLOOKUP($D56,'Move Editor'!$B:$B,'Move Editor'!$F:$F,100),atk,IF(cat="Physical",FLOOR((FLOOR(((2*XLOOKUP(XLOOKUP($K56,'Threshold Summary'!$Y:$Y,'Threshold Summary'!$K:$K,""),'Pokemon Editor'!$A:$A,'Pokemon Editor'!$F:$F,0)+31+FLOOR(XLOOKUP($K56,'Threshold Summary'!$Y:$Y,'Threshold Summary'!$P:$P,"")/4))*XLOOKUP($K56,'Threshold Summary'!$Y:$Y,'Threshold Summary'!$L:$L,""))/100)+5)*XLOOKUP(XLOOKUP($K56,'Threshold Summary'!$Y:$Y,'Threshold Summary'!$M:$M,""),'Nature Editor'!$A:$A,'Nature Editor'!$B:$B,1)),FLOOR((FLOOR(((2*XLOOKUP(XLOOKUP($K56,'Threshold Summary'!$Y:$Y,'Threshold Summary'!$K:$K,""),'Pokemon Editor'!$A:$A,'Pokemon Editor'!$H:$H,0)+31+FLOOR(XLOOKUP($K56,'Threshold Summary'!$Y:$Y,'Threshold Summary'!$R:$R,"")/4))*XLOOKUP($K56,'Threshold Summary'!$Y:$Y,'Threshold Summary'!$L:$L,""))/100)+5)*XLOOKUP(XLOOKUP($K56,'Threshold Summary'!$Y:$Y,'Threshold Summary'!$M:$M,""),'Nature Editor'!$A:$A,'Nature Editor'!$D:$D,1))),def,IF(cat="Physical",FLOOR((FLOOR(((2*XLOOKUP($L56,'Pokemon Editor'!$A:$A,'Pokemon Editor'!$G:$G,0)+31+FLOOR(XLOOKUP($L56,'Boss Editor'!$C:$C,'Boss Editor'!$I:$I,"")/4))*XLOOKUP($L56,'Boss Editor'!$C:$C,'Boss Editor'!$D:$D,""))/100)+5)*XLOOKUP(XLOOKUP($L56,'Boss Editor'!$C:$C,'Boss Editor'!$E:$E,""),'Nature Editor'!$A:$A,'Nature Editor'!$C:$C,1)),FLOOR((FLOOR(((2*XLOOKUP($L56,'Pokemon Editor'!$A:$A,'Pokemon Editor'!$I:$I,0)+31+FLOOR(XLOOKUP($L56,'Boss Editor'!$C:$C,'Boss Editor'!$K:$K,"")/4))*XLOOKUP($L56,'Boss Editor'!$C:$C,'Boss Editor'!$D:$D,""))/100)+5)*XLOOKUP(XLOOKUP($L56,'Boss Editor'!$C:$C,'Boss Editor'!$E:$E,""),'Nature Editor'!$A:$A,'Nature Editor'!$E:$E,1))),stab,IF(OR(mtype=XLOOKUP(XLOOKUP($K56,'Threshold Summary'!$Y:$Y,'Threshold Summary'!$K:$K,""),'Pokemon Editor'!$A:$A,'Pokemon Editor'!$C:$C,""),mtype=XLOOKUP(XLOOKUP($K56,'Threshold Summary'!$Y:$Y,'Threshold Summary'!$K:$K,""),'Pokemon Editor'!$A:$A,'Pokemon Editor'!$D:$D,"")),1.5,1),eff,(INDEX('Type Chart'!$B:$S,MATCH(mtype,'Type Chart'!$A:$A,0),MATCH(XLOOKUP($L56,'Pokemon Editor'!$A:$A,'Pokemon Editor'!$C:$C,""),'Type Chart'!$B$1:$S$1,0))*IF(XLOOKUP($L56,'Pokemon Editor'!$A:$A,'Pokemon Editor'!$D:$D,"")="",1,INDEX('Type Chart'!$B:$S,MATCH(mtype,'Type Chart'!$A:$A,0),MATCH(XLOOKUP($L56,'Pokemon Editor'!$A:$A,'Pokemon Editor'!$D:$D,""),'Type Chart'!$B$1:$S$1,0)))),base,IF(OR(cat="Status",pow=0),0,FLOOR(FLOOR(FLOOR((2*XLOOKUP($K56,'Threshold Summary'!$Y:$Y,'Threshold Summary'!$L:$L,"")/5+2)*pow*atk/def)/50)+2)),modifier,stab*eff,AVERAGE(ARRAYFORMULA(FLOOR(base*modifier*SEQUENCE(16,1,85,1)/100)))),0)</f>
        <v/>
      </c>
      <c r="I56" s="4">
        <f>IFERROR(LET(mtype,XLOOKUP($D56,'Move Editor'!$B:$B,'Move Editor'!$C:$C,""),cat,XLOOKUP($D56,'Move Editor'!$B:$B,'Move Editor'!$D:$D,""),pow,XLOOKUP($D56,'Move Editor'!$B:$B,'Move Editor'!$E:$E,0),acc,XLOOKUP($D56,'Move Editor'!$B:$B,'Move Editor'!$F:$F,100),atk,IF(cat="Physical",FLOOR((FLOOR(((2*XLOOKUP(XLOOKUP($K56,'Threshold Summary'!$Y:$Y,'Threshold Summary'!$K:$K,""),'Pokemon Editor'!$A:$A,'Pokemon Editor'!$F:$F,0)+31+FLOOR(XLOOKUP($K56,'Threshold Summary'!$Y:$Y,'Threshold Summary'!$P:$P,"")/4))*XLOOKUP($K56,'Threshold Summary'!$Y:$Y,'Threshold Summary'!$L:$L,""))/100)+5)*XLOOKUP(XLOOKUP($K56,'Threshold Summary'!$Y:$Y,'Threshold Summary'!$M:$M,""),'Nature Editor'!$A:$A,'Nature Editor'!$B:$B,1)),FLOOR((FLOOR(((2*XLOOKUP(XLOOKUP($K56,'Threshold Summary'!$Y:$Y,'Threshold Summary'!$K:$K,""),'Pokemon Editor'!$A:$A,'Pokemon Editor'!$H:$H,0)+31+FLOOR(XLOOKUP($K56,'Threshold Summary'!$Y:$Y,'Threshold Summary'!$R:$R,"")/4))*XLOOKUP($K56,'Threshold Summary'!$Y:$Y,'Threshold Summary'!$L:$L,""))/100)+5)*XLOOKUP(XLOOKUP($K56,'Threshold Summary'!$Y:$Y,'Threshold Summary'!$M:$M,""),'Nature Editor'!$A:$A,'Nature Editor'!$D:$D,1))),def,IF(cat="Physical",FLOOR((FLOOR(((2*XLOOKUP($L56,'Pokemon Editor'!$A:$A,'Pokemon Editor'!$G:$G,0)+31+FLOOR(XLOOKUP($L56,'Boss Editor'!$C:$C,'Boss Editor'!$I:$I,"")/4))*XLOOKUP($L56,'Boss Editor'!$C:$C,'Boss Editor'!$D:$D,""))/100)+5)*XLOOKUP(XLOOKUP($L56,'Boss Editor'!$C:$C,'Boss Editor'!$E:$E,""),'Nature Editor'!$A:$A,'Nature Editor'!$C:$C,1)),FLOOR((FLOOR(((2*XLOOKUP($L56,'Pokemon Editor'!$A:$A,'Pokemon Editor'!$I:$I,0)+31+FLOOR(XLOOKUP($L56,'Boss Editor'!$C:$C,'Boss Editor'!$K:$K,"")/4))*XLOOKUP($L56,'Boss Editor'!$C:$C,'Boss Editor'!$D:$D,""))/100)+5)*XLOOKUP(XLOOKUP($L56,'Boss Editor'!$C:$C,'Boss Editor'!$E:$E,""),'Nature Editor'!$A:$A,'Nature Editor'!$E:$E,1))),stab,IF(OR(mtype=XLOOKUP(XLOOKUP($K56,'Threshold Summary'!$Y:$Y,'Threshold Summary'!$K:$K,""),'Pokemon Editor'!$A:$A,'Pokemon Editor'!$C:$C,""),mtype=XLOOKUP(XLOOKUP($K56,'Threshold Summary'!$Y:$Y,'Threshold Summary'!$K:$K,""),'Pokemon Editor'!$A:$A,'Pokemon Editor'!$D:$D,"")),1.5,1),eff,(INDEX('Type Chart'!$B:$S,MATCH(mtype,'Type Chart'!$A:$A,0),MATCH(XLOOKUP($L56,'Pokemon Editor'!$A:$A,'Pokemon Editor'!$C:$C,""),'Type Chart'!$B$1:$S$1,0))*IF(XLOOKUP($L56,'Pokemon Editor'!$A:$A,'Pokemon Editor'!$D:$D,"")="",1,INDEX('Type Chart'!$B:$S,MATCH(mtype,'Type Chart'!$A:$A,0),MATCH(XLOOKUP($L56,'Pokemon Editor'!$A:$A,'Pokemon Editor'!$D:$D,""),'Type Chart'!$B$1:$S$1,0)))),base,IF(OR(cat="Status",pow=0),0,FLOOR(FLOOR(FLOOR((2*XLOOKUP($K56,'Threshold Summary'!$Y:$Y,'Threshold Summary'!$L:$L,"")/5+2)*pow*atk/def)/50)+2)),modifier,stab*eff,AVERAGE(ARRAYFORMULA(FLOOR(base*modifier*SEQUENCE(16,1,85,1)/100)))/(FLOOR(((2*XLOOKUP($L56,'Pokemon Editor'!$A:$A,'Pokemon Editor'!$E:$E,0)+31+FLOOR(XLOOKUP($L56,'Boss Editor'!$C:$C,'Boss Editor'!$G:$G,"")/4))*XLOOKUP($L56,'Boss Editor'!$C:$C,'Boss Editor'!$D:$D,""))/100)+XLOOKUP($L56,'Boss Editor'!$C:$C,'Boss Editor'!$D:$D,"")+10)),0)</f>
        <v/>
      </c>
      <c r="J56" s="3">
        <f>IF(I56&gt;=1,"OHKO",IF(I56&gt;=0.5,"2HKO",IF(I56&gt;=0.333,"3HKO",IF(I56&gt;=0.25,"4HKO","5HKO+"))))</f>
        <v/>
      </c>
      <c r="K56" s="3" t="inlineStr">
        <is>
          <t>SPECIES_FLETCHLING</t>
        </is>
      </c>
      <c r="L56" s="3" t="inlineStr">
        <is>
          <t>SPECIES_TIRTOUGA</t>
        </is>
      </c>
    </row>
    <row r="57">
      <c r="A57" s="3">
        <f>XLOOKUP($K57,'Threshold Summary'!$Y:$Y,'Threshold Summary'!$A:$A,"")</f>
        <v/>
      </c>
      <c r="B57" s="3" t="inlineStr">
        <is>
          <t>Anorith</t>
        </is>
      </c>
      <c r="C57" s="3">
        <f>XLOOKUP($L57,'Boss Editor'!$C:$C,'Boss Editor'!$D:$D,"")</f>
        <v/>
      </c>
      <c r="D57" s="3">
        <f>XLOOKUP($K57,'Threshold Summary'!$Y:$Y,'Threshold Summary'!$B:$B,"")</f>
        <v/>
      </c>
      <c r="E57" s="3">
        <f>XLOOKUP(D57,'Move Editor'!$B:$B,'Move Editor'!$C:$C,"")</f>
        <v/>
      </c>
      <c r="F57" s="3">
        <f>IFERROR(LET(mtype,XLOOKUP($D57,'Move Editor'!$B:$B,'Move Editor'!$C:$C,""),cat,XLOOKUP($D57,'Move Editor'!$B:$B,'Move Editor'!$D:$D,""),pow,XLOOKUP($D57,'Move Editor'!$B:$B,'Move Editor'!$E:$E,0),acc,XLOOKUP($D57,'Move Editor'!$B:$B,'Move Editor'!$F:$F,100),atk,IF(cat="Physical",FLOOR((FLOOR(((2*XLOOKUP(XLOOKUP($K57,'Threshold Summary'!$Y:$Y,'Threshold Summary'!$K:$K,""),'Pokemon Editor'!$A:$A,'Pokemon Editor'!$F:$F,0)+31+FLOOR(XLOOKUP($K57,'Threshold Summary'!$Y:$Y,'Threshold Summary'!$P:$P,"")/4))*XLOOKUP($K57,'Threshold Summary'!$Y:$Y,'Threshold Summary'!$L:$L,""))/100)+5)*XLOOKUP(XLOOKUP($K57,'Threshold Summary'!$Y:$Y,'Threshold Summary'!$M:$M,""),'Nature Editor'!$A:$A,'Nature Editor'!$B:$B,1)),FLOOR((FLOOR(((2*XLOOKUP(XLOOKUP($K57,'Threshold Summary'!$Y:$Y,'Threshold Summary'!$K:$K,""),'Pokemon Editor'!$A:$A,'Pokemon Editor'!$H:$H,0)+31+FLOOR(XLOOKUP($K57,'Threshold Summary'!$Y:$Y,'Threshold Summary'!$R:$R,"")/4))*XLOOKUP($K57,'Threshold Summary'!$Y:$Y,'Threshold Summary'!$L:$L,""))/100)+5)*XLOOKUP(XLOOKUP($K57,'Threshold Summary'!$Y:$Y,'Threshold Summary'!$M:$M,""),'Nature Editor'!$A:$A,'Nature Editor'!$D:$D,1))),def,IF(cat="Physical",FLOOR((FLOOR(((2*XLOOKUP($L57,'Pokemon Editor'!$A:$A,'Pokemon Editor'!$G:$G,0)+31+FLOOR(XLOOKUP($L57,'Boss Editor'!$C:$C,'Boss Editor'!$I:$I,"")/4))*XLOOKUP($L57,'Boss Editor'!$C:$C,'Boss Editor'!$D:$D,""))/100)+5)*XLOOKUP(XLOOKUP($L57,'Boss Editor'!$C:$C,'Boss Editor'!$E:$E,""),'Nature Editor'!$A:$A,'Nature Editor'!$C:$C,1)),FLOOR((FLOOR(((2*XLOOKUP($L57,'Pokemon Editor'!$A:$A,'Pokemon Editor'!$I:$I,0)+31+FLOOR(XLOOKUP($L57,'Boss Editor'!$C:$C,'Boss Editor'!$K:$K,"")/4))*XLOOKUP($L57,'Boss Editor'!$C:$C,'Boss Editor'!$D:$D,""))/100)+5)*XLOOKUP(XLOOKUP($L57,'Boss Editor'!$C:$C,'Boss Editor'!$E:$E,""),'Nature Editor'!$A:$A,'Nature Editor'!$E:$E,1))),stab,IF(OR(mtype=XLOOKUP(XLOOKUP($K57,'Threshold Summary'!$Y:$Y,'Threshold Summary'!$K:$K,""),'Pokemon Editor'!$A:$A,'Pokemon Editor'!$C:$C,""),mtype=XLOOKUP(XLOOKUP($K57,'Threshold Summary'!$Y:$Y,'Threshold Summary'!$K:$K,""),'Pokemon Editor'!$A:$A,'Pokemon Editor'!$D:$D,"")),1.5,1),eff,(INDEX('Type Chart'!$B:$S,MATCH(mtype,'Type Chart'!$A:$A,0),MATCH(XLOOKUP($L57,'Pokemon Editor'!$A:$A,'Pokemon Editor'!$C:$C,""),'Type Chart'!$B$1:$S$1,0))*IF(XLOOKUP($L57,'Pokemon Editor'!$A:$A,'Pokemon Editor'!$D:$D,"")="",1,INDEX('Type Chart'!$B:$S,MATCH(mtype,'Type Chart'!$A:$A,0),MATCH(XLOOKUP($L57,'Pokemon Editor'!$A:$A,'Pokemon Editor'!$D:$D,""),'Type Chart'!$B$1:$S$1,0)))),base,IF(OR(cat="Status",pow=0),0,FLOOR(FLOOR(FLOOR((2*XLOOKUP($K57,'Threshold Summary'!$Y:$Y,'Threshold Summary'!$L:$L,"")/5+2)*pow*atk/def)/50)+2)),modifier,stab*eff,FLOOR(base*modifier*0.85)),0)</f>
        <v/>
      </c>
      <c r="G57" s="3">
        <f>IFERROR(LET(mtype,XLOOKUP($D57,'Move Editor'!$B:$B,'Move Editor'!$C:$C,""),cat,XLOOKUP($D57,'Move Editor'!$B:$B,'Move Editor'!$D:$D,""),pow,XLOOKUP($D57,'Move Editor'!$B:$B,'Move Editor'!$E:$E,0),acc,XLOOKUP($D57,'Move Editor'!$B:$B,'Move Editor'!$F:$F,100),atk,IF(cat="Physical",FLOOR((FLOOR(((2*XLOOKUP(XLOOKUP($K57,'Threshold Summary'!$Y:$Y,'Threshold Summary'!$K:$K,""),'Pokemon Editor'!$A:$A,'Pokemon Editor'!$F:$F,0)+31+FLOOR(XLOOKUP($K57,'Threshold Summary'!$Y:$Y,'Threshold Summary'!$P:$P,"")/4))*XLOOKUP($K57,'Threshold Summary'!$Y:$Y,'Threshold Summary'!$L:$L,""))/100)+5)*XLOOKUP(XLOOKUP($K57,'Threshold Summary'!$Y:$Y,'Threshold Summary'!$M:$M,""),'Nature Editor'!$A:$A,'Nature Editor'!$B:$B,1)),FLOOR((FLOOR(((2*XLOOKUP(XLOOKUP($K57,'Threshold Summary'!$Y:$Y,'Threshold Summary'!$K:$K,""),'Pokemon Editor'!$A:$A,'Pokemon Editor'!$H:$H,0)+31+FLOOR(XLOOKUP($K57,'Threshold Summary'!$Y:$Y,'Threshold Summary'!$R:$R,"")/4))*XLOOKUP($K57,'Threshold Summary'!$Y:$Y,'Threshold Summary'!$L:$L,""))/100)+5)*XLOOKUP(XLOOKUP($K57,'Threshold Summary'!$Y:$Y,'Threshold Summary'!$M:$M,""),'Nature Editor'!$A:$A,'Nature Editor'!$D:$D,1))),def,IF(cat="Physical",FLOOR((FLOOR(((2*XLOOKUP($L57,'Pokemon Editor'!$A:$A,'Pokemon Editor'!$G:$G,0)+31+FLOOR(XLOOKUP($L57,'Boss Editor'!$C:$C,'Boss Editor'!$I:$I,"")/4))*XLOOKUP($L57,'Boss Editor'!$C:$C,'Boss Editor'!$D:$D,""))/100)+5)*XLOOKUP(XLOOKUP($L57,'Boss Editor'!$C:$C,'Boss Editor'!$E:$E,""),'Nature Editor'!$A:$A,'Nature Editor'!$C:$C,1)),FLOOR((FLOOR(((2*XLOOKUP($L57,'Pokemon Editor'!$A:$A,'Pokemon Editor'!$I:$I,0)+31+FLOOR(XLOOKUP($L57,'Boss Editor'!$C:$C,'Boss Editor'!$K:$K,"")/4))*XLOOKUP($L57,'Boss Editor'!$C:$C,'Boss Editor'!$D:$D,""))/100)+5)*XLOOKUP(XLOOKUP($L57,'Boss Editor'!$C:$C,'Boss Editor'!$E:$E,""),'Nature Editor'!$A:$A,'Nature Editor'!$E:$E,1))),stab,IF(OR(mtype=XLOOKUP(XLOOKUP($K57,'Threshold Summary'!$Y:$Y,'Threshold Summary'!$K:$K,""),'Pokemon Editor'!$A:$A,'Pokemon Editor'!$C:$C,""),mtype=XLOOKUP(XLOOKUP($K57,'Threshold Summary'!$Y:$Y,'Threshold Summary'!$K:$K,""),'Pokemon Editor'!$A:$A,'Pokemon Editor'!$D:$D,"")),1.5,1),eff,(INDEX('Type Chart'!$B:$S,MATCH(mtype,'Type Chart'!$A:$A,0),MATCH(XLOOKUP($L57,'Pokemon Editor'!$A:$A,'Pokemon Editor'!$C:$C,""),'Type Chart'!$B$1:$S$1,0))*IF(XLOOKUP($L57,'Pokemon Editor'!$A:$A,'Pokemon Editor'!$D:$D,"")="",1,INDEX('Type Chart'!$B:$S,MATCH(mtype,'Type Chart'!$A:$A,0),MATCH(XLOOKUP($L57,'Pokemon Editor'!$A:$A,'Pokemon Editor'!$D:$D,""),'Type Chart'!$B$1:$S$1,0)))),base,IF(OR(cat="Status",pow=0),0,FLOOR(FLOOR(FLOOR((2*XLOOKUP($K57,'Threshold Summary'!$Y:$Y,'Threshold Summary'!$L:$L,"")/5+2)*pow*atk/def)/50)+2)),modifier,stab*eff,FLOOR(base*modifier)),0)</f>
        <v/>
      </c>
      <c r="H57" s="3">
        <f>IFERROR(LET(mtype,XLOOKUP($D57,'Move Editor'!$B:$B,'Move Editor'!$C:$C,""),cat,XLOOKUP($D57,'Move Editor'!$B:$B,'Move Editor'!$D:$D,""),pow,XLOOKUP($D57,'Move Editor'!$B:$B,'Move Editor'!$E:$E,0),acc,XLOOKUP($D57,'Move Editor'!$B:$B,'Move Editor'!$F:$F,100),atk,IF(cat="Physical",FLOOR((FLOOR(((2*XLOOKUP(XLOOKUP($K57,'Threshold Summary'!$Y:$Y,'Threshold Summary'!$K:$K,""),'Pokemon Editor'!$A:$A,'Pokemon Editor'!$F:$F,0)+31+FLOOR(XLOOKUP($K57,'Threshold Summary'!$Y:$Y,'Threshold Summary'!$P:$P,"")/4))*XLOOKUP($K57,'Threshold Summary'!$Y:$Y,'Threshold Summary'!$L:$L,""))/100)+5)*XLOOKUP(XLOOKUP($K57,'Threshold Summary'!$Y:$Y,'Threshold Summary'!$M:$M,""),'Nature Editor'!$A:$A,'Nature Editor'!$B:$B,1)),FLOOR((FLOOR(((2*XLOOKUP(XLOOKUP($K57,'Threshold Summary'!$Y:$Y,'Threshold Summary'!$K:$K,""),'Pokemon Editor'!$A:$A,'Pokemon Editor'!$H:$H,0)+31+FLOOR(XLOOKUP($K57,'Threshold Summary'!$Y:$Y,'Threshold Summary'!$R:$R,"")/4))*XLOOKUP($K57,'Threshold Summary'!$Y:$Y,'Threshold Summary'!$L:$L,""))/100)+5)*XLOOKUP(XLOOKUP($K57,'Threshold Summary'!$Y:$Y,'Threshold Summary'!$M:$M,""),'Nature Editor'!$A:$A,'Nature Editor'!$D:$D,1))),def,IF(cat="Physical",FLOOR((FLOOR(((2*XLOOKUP($L57,'Pokemon Editor'!$A:$A,'Pokemon Editor'!$G:$G,0)+31+FLOOR(XLOOKUP($L57,'Boss Editor'!$C:$C,'Boss Editor'!$I:$I,"")/4))*XLOOKUP($L57,'Boss Editor'!$C:$C,'Boss Editor'!$D:$D,""))/100)+5)*XLOOKUP(XLOOKUP($L57,'Boss Editor'!$C:$C,'Boss Editor'!$E:$E,""),'Nature Editor'!$A:$A,'Nature Editor'!$C:$C,1)),FLOOR((FLOOR(((2*XLOOKUP($L57,'Pokemon Editor'!$A:$A,'Pokemon Editor'!$I:$I,0)+31+FLOOR(XLOOKUP($L57,'Boss Editor'!$C:$C,'Boss Editor'!$K:$K,"")/4))*XLOOKUP($L57,'Boss Editor'!$C:$C,'Boss Editor'!$D:$D,""))/100)+5)*XLOOKUP(XLOOKUP($L57,'Boss Editor'!$C:$C,'Boss Editor'!$E:$E,""),'Nature Editor'!$A:$A,'Nature Editor'!$E:$E,1))),stab,IF(OR(mtype=XLOOKUP(XLOOKUP($K57,'Threshold Summary'!$Y:$Y,'Threshold Summary'!$K:$K,""),'Pokemon Editor'!$A:$A,'Pokemon Editor'!$C:$C,""),mtype=XLOOKUP(XLOOKUP($K57,'Threshold Summary'!$Y:$Y,'Threshold Summary'!$K:$K,""),'Pokemon Editor'!$A:$A,'Pokemon Editor'!$D:$D,"")),1.5,1),eff,(INDEX('Type Chart'!$B:$S,MATCH(mtype,'Type Chart'!$A:$A,0),MATCH(XLOOKUP($L57,'Pokemon Editor'!$A:$A,'Pokemon Editor'!$C:$C,""),'Type Chart'!$B$1:$S$1,0))*IF(XLOOKUP($L57,'Pokemon Editor'!$A:$A,'Pokemon Editor'!$D:$D,"")="",1,INDEX('Type Chart'!$B:$S,MATCH(mtype,'Type Chart'!$A:$A,0),MATCH(XLOOKUP($L57,'Pokemon Editor'!$A:$A,'Pokemon Editor'!$D:$D,""),'Type Chart'!$B$1:$S$1,0)))),base,IF(OR(cat="Status",pow=0),0,FLOOR(FLOOR(FLOOR((2*XLOOKUP($K57,'Threshold Summary'!$Y:$Y,'Threshold Summary'!$L:$L,"")/5+2)*pow*atk/def)/50)+2)),modifier,stab*eff,AVERAGE(ARRAYFORMULA(FLOOR(base*modifier*SEQUENCE(16,1,85,1)/100)))),0)</f>
        <v/>
      </c>
      <c r="I57" s="4">
        <f>IFERROR(LET(mtype,XLOOKUP($D57,'Move Editor'!$B:$B,'Move Editor'!$C:$C,""),cat,XLOOKUP($D57,'Move Editor'!$B:$B,'Move Editor'!$D:$D,""),pow,XLOOKUP($D57,'Move Editor'!$B:$B,'Move Editor'!$E:$E,0),acc,XLOOKUP($D57,'Move Editor'!$B:$B,'Move Editor'!$F:$F,100),atk,IF(cat="Physical",FLOOR((FLOOR(((2*XLOOKUP(XLOOKUP($K57,'Threshold Summary'!$Y:$Y,'Threshold Summary'!$K:$K,""),'Pokemon Editor'!$A:$A,'Pokemon Editor'!$F:$F,0)+31+FLOOR(XLOOKUP($K57,'Threshold Summary'!$Y:$Y,'Threshold Summary'!$P:$P,"")/4))*XLOOKUP($K57,'Threshold Summary'!$Y:$Y,'Threshold Summary'!$L:$L,""))/100)+5)*XLOOKUP(XLOOKUP($K57,'Threshold Summary'!$Y:$Y,'Threshold Summary'!$M:$M,""),'Nature Editor'!$A:$A,'Nature Editor'!$B:$B,1)),FLOOR((FLOOR(((2*XLOOKUP(XLOOKUP($K57,'Threshold Summary'!$Y:$Y,'Threshold Summary'!$K:$K,""),'Pokemon Editor'!$A:$A,'Pokemon Editor'!$H:$H,0)+31+FLOOR(XLOOKUP($K57,'Threshold Summary'!$Y:$Y,'Threshold Summary'!$R:$R,"")/4))*XLOOKUP($K57,'Threshold Summary'!$Y:$Y,'Threshold Summary'!$L:$L,""))/100)+5)*XLOOKUP(XLOOKUP($K57,'Threshold Summary'!$Y:$Y,'Threshold Summary'!$M:$M,""),'Nature Editor'!$A:$A,'Nature Editor'!$D:$D,1))),def,IF(cat="Physical",FLOOR((FLOOR(((2*XLOOKUP($L57,'Pokemon Editor'!$A:$A,'Pokemon Editor'!$G:$G,0)+31+FLOOR(XLOOKUP($L57,'Boss Editor'!$C:$C,'Boss Editor'!$I:$I,"")/4))*XLOOKUP($L57,'Boss Editor'!$C:$C,'Boss Editor'!$D:$D,""))/100)+5)*XLOOKUP(XLOOKUP($L57,'Boss Editor'!$C:$C,'Boss Editor'!$E:$E,""),'Nature Editor'!$A:$A,'Nature Editor'!$C:$C,1)),FLOOR((FLOOR(((2*XLOOKUP($L57,'Pokemon Editor'!$A:$A,'Pokemon Editor'!$I:$I,0)+31+FLOOR(XLOOKUP($L57,'Boss Editor'!$C:$C,'Boss Editor'!$K:$K,"")/4))*XLOOKUP($L57,'Boss Editor'!$C:$C,'Boss Editor'!$D:$D,""))/100)+5)*XLOOKUP(XLOOKUP($L57,'Boss Editor'!$C:$C,'Boss Editor'!$E:$E,""),'Nature Editor'!$A:$A,'Nature Editor'!$E:$E,1))),stab,IF(OR(mtype=XLOOKUP(XLOOKUP($K57,'Threshold Summary'!$Y:$Y,'Threshold Summary'!$K:$K,""),'Pokemon Editor'!$A:$A,'Pokemon Editor'!$C:$C,""),mtype=XLOOKUP(XLOOKUP($K57,'Threshold Summary'!$Y:$Y,'Threshold Summary'!$K:$K,""),'Pokemon Editor'!$A:$A,'Pokemon Editor'!$D:$D,"")),1.5,1),eff,(INDEX('Type Chart'!$B:$S,MATCH(mtype,'Type Chart'!$A:$A,0),MATCH(XLOOKUP($L57,'Pokemon Editor'!$A:$A,'Pokemon Editor'!$C:$C,""),'Type Chart'!$B$1:$S$1,0))*IF(XLOOKUP($L57,'Pokemon Editor'!$A:$A,'Pokemon Editor'!$D:$D,"")="",1,INDEX('Type Chart'!$B:$S,MATCH(mtype,'Type Chart'!$A:$A,0),MATCH(XLOOKUP($L57,'Pokemon Editor'!$A:$A,'Pokemon Editor'!$D:$D,""),'Type Chart'!$B$1:$S$1,0)))),base,IF(OR(cat="Status",pow=0),0,FLOOR(FLOOR(FLOOR((2*XLOOKUP($K57,'Threshold Summary'!$Y:$Y,'Threshold Summary'!$L:$L,"")/5+2)*pow*atk/def)/50)+2)),modifier,stab*eff,AVERAGE(ARRAYFORMULA(FLOOR(base*modifier*SEQUENCE(16,1,85,1)/100)))/(FLOOR(((2*XLOOKUP($L57,'Pokemon Editor'!$A:$A,'Pokemon Editor'!$E:$E,0)+31+FLOOR(XLOOKUP($L57,'Boss Editor'!$C:$C,'Boss Editor'!$G:$G,"")/4))*XLOOKUP($L57,'Boss Editor'!$C:$C,'Boss Editor'!$D:$D,""))/100)+XLOOKUP($L57,'Boss Editor'!$C:$C,'Boss Editor'!$D:$D,"")+10)),0)</f>
        <v/>
      </c>
      <c r="J57" s="3">
        <f>IF(I57&gt;=1,"OHKO",IF(I57&gt;=0.5,"2HKO",IF(I57&gt;=0.333,"3HKO",IF(I57&gt;=0.25,"4HKO","5HKO+"))))</f>
        <v/>
      </c>
      <c r="K57" s="3" t="inlineStr">
        <is>
          <t>SPECIES_FLETCHLING</t>
        </is>
      </c>
      <c r="L57" s="3" t="inlineStr">
        <is>
          <t>SPECIES_ANORITH</t>
        </is>
      </c>
    </row>
    <row r="58">
      <c r="A58" s="3">
        <f>XLOOKUP($K58,'Threshold Summary'!$Y:$Y,'Threshold Summary'!$A:$A,"")</f>
        <v/>
      </c>
      <c r="B58" s="3" t="inlineStr">
        <is>
          <t>Lileep</t>
        </is>
      </c>
      <c r="C58" s="3">
        <f>XLOOKUP($L58,'Boss Editor'!$C:$C,'Boss Editor'!$D:$D,"")</f>
        <v/>
      </c>
      <c r="D58" s="3">
        <f>XLOOKUP($K58,'Threshold Summary'!$Y:$Y,'Threshold Summary'!$B:$B,"")</f>
        <v/>
      </c>
      <c r="E58" s="3">
        <f>XLOOKUP(D58,'Move Editor'!$B:$B,'Move Editor'!$C:$C,"")</f>
        <v/>
      </c>
      <c r="F58" s="3">
        <f>IFERROR(LET(mtype,XLOOKUP($D58,'Move Editor'!$B:$B,'Move Editor'!$C:$C,""),cat,XLOOKUP($D58,'Move Editor'!$B:$B,'Move Editor'!$D:$D,""),pow,XLOOKUP($D58,'Move Editor'!$B:$B,'Move Editor'!$E:$E,0),acc,XLOOKUP($D58,'Move Editor'!$B:$B,'Move Editor'!$F:$F,100),atk,IF(cat="Physical",FLOOR((FLOOR(((2*XLOOKUP(XLOOKUP($K58,'Threshold Summary'!$Y:$Y,'Threshold Summary'!$K:$K,""),'Pokemon Editor'!$A:$A,'Pokemon Editor'!$F:$F,0)+31+FLOOR(XLOOKUP($K58,'Threshold Summary'!$Y:$Y,'Threshold Summary'!$P:$P,"")/4))*XLOOKUP($K58,'Threshold Summary'!$Y:$Y,'Threshold Summary'!$L:$L,""))/100)+5)*XLOOKUP(XLOOKUP($K58,'Threshold Summary'!$Y:$Y,'Threshold Summary'!$M:$M,""),'Nature Editor'!$A:$A,'Nature Editor'!$B:$B,1)),FLOOR((FLOOR(((2*XLOOKUP(XLOOKUP($K58,'Threshold Summary'!$Y:$Y,'Threshold Summary'!$K:$K,""),'Pokemon Editor'!$A:$A,'Pokemon Editor'!$H:$H,0)+31+FLOOR(XLOOKUP($K58,'Threshold Summary'!$Y:$Y,'Threshold Summary'!$R:$R,"")/4))*XLOOKUP($K58,'Threshold Summary'!$Y:$Y,'Threshold Summary'!$L:$L,""))/100)+5)*XLOOKUP(XLOOKUP($K58,'Threshold Summary'!$Y:$Y,'Threshold Summary'!$M:$M,""),'Nature Editor'!$A:$A,'Nature Editor'!$D:$D,1))),def,IF(cat="Physical",FLOOR((FLOOR(((2*XLOOKUP($L58,'Pokemon Editor'!$A:$A,'Pokemon Editor'!$G:$G,0)+31+FLOOR(XLOOKUP($L58,'Boss Editor'!$C:$C,'Boss Editor'!$I:$I,"")/4))*XLOOKUP($L58,'Boss Editor'!$C:$C,'Boss Editor'!$D:$D,""))/100)+5)*XLOOKUP(XLOOKUP($L58,'Boss Editor'!$C:$C,'Boss Editor'!$E:$E,""),'Nature Editor'!$A:$A,'Nature Editor'!$C:$C,1)),FLOOR((FLOOR(((2*XLOOKUP($L58,'Pokemon Editor'!$A:$A,'Pokemon Editor'!$I:$I,0)+31+FLOOR(XLOOKUP($L58,'Boss Editor'!$C:$C,'Boss Editor'!$K:$K,"")/4))*XLOOKUP($L58,'Boss Editor'!$C:$C,'Boss Editor'!$D:$D,""))/100)+5)*XLOOKUP(XLOOKUP($L58,'Boss Editor'!$C:$C,'Boss Editor'!$E:$E,""),'Nature Editor'!$A:$A,'Nature Editor'!$E:$E,1))),stab,IF(OR(mtype=XLOOKUP(XLOOKUP($K58,'Threshold Summary'!$Y:$Y,'Threshold Summary'!$K:$K,""),'Pokemon Editor'!$A:$A,'Pokemon Editor'!$C:$C,""),mtype=XLOOKUP(XLOOKUP($K58,'Threshold Summary'!$Y:$Y,'Threshold Summary'!$K:$K,""),'Pokemon Editor'!$A:$A,'Pokemon Editor'!$D:$D,"")),1.5,1),eff,(INDEX('Type Chart'!$B:$S,MATCH(mtype,'Type Chart'!$A:$A,0),MATCH(XLOOKUP($L58,'Pokemon Editor'!$A:$A,'Pokemon Editor'!$C:$C,""),'Type Chart'!$B$1:$S$1,0))*IF(XLOOKUP($L58,'Pokemon Editor'!$A:$A,'Pokemon Editor'!$D:$D,"")="",1,INDEX('Type Chart'!$B:$S,MATCH(mtype,'Type Chart'!$A:$A,0),MATCH(XLOOKUP($L58,'Pokemon Editor'!$A:$A,'Pokemon Editor'!$D:$D,""),'Type Chart'!$B$1:$S$1,0)))),base,IF(OR(cat="Status",pow=0),0,FLOOR(FLOOR(FLOOR((2*XLOOKUP($K58,'Threshold Summary'!$Y:$Y,'Threshold Summary'!$L:$L,"")/5+2)*pow*atk/def)/50)+2)),modifier,stab*eff,FLOOR(base*modifier*0.85)),0)</f>
        <v/>
      </c>
      <c r="G58" s="3">
        <f>IFERROR(LET(mtype,XLOOKUP($D58,'Move Editor'!$B:$B,'Move Editor'!$C:$C,""),cat,XLOOKUP($D58,'Move Editor'!$B:$B,'Move Editor'!$D:$D,""),pow,XLOOKUP($D58,'Move Editor'!$B:$B,'Move Editor'!$E:$E,0),acc,XLOOKUP($D58,'Move Editor'!$B:$B,'Move Editor'!$F:$F,100),atk,IF(cat="Physical",FLOOR((FLOOR(((2*XLOOKUP(XLOOKUP($K58,'Threshold Summary'!$Y:$Y,'Threshold Summary'!$K:$K,""),'Pokemon Editor'!$A:$A,'Pokemon Editor'!$F:$F,0)+31+FLOOR(XLOOKUP($K58,'Threshold Summary'!$Y:$Y,'Threshold Summary'!$P:$P,"")/4))*XLOOKUP($K58,'Threshold Summary'!$Y:$Y,'Threshold Summary'!$L:$L,""))/100)+5)*XLOOKUP(XLOOKUP($K58,'Threshold Summary'!$Y:$Y,'Threshold Summary'!$M:$M,""),'Nature Editor'!$A:$A,'Nature Editor'!$B:$B,1)),FLOOR((FLOOR(((2*XLOOKUP(XLOOKUP($K58,'Threshold Summary'!$Y:$Y,'Threshold Summary'!$K:$K,""),'Pokemon Editor'!$A:$A,'Pokemon Editor'!$H:$H,0)+31+FLOOR(XLOOKUP($K58,'Threshold Summary'!$Y:$Y,'Threshold Summary'!$R:$R,"")/4))*XLOOKUP($K58,'Threshold Summary'!$Y:$Y,'Threshold Summary'!$L:$L,""))/100)+5)*XLOOKUP(XLOOKUP($K58,'Threshold Summary'!$Y:$Y,'Threshold Summary'!$M:$M,""),'Nature Editor'!$A:$A,'Nature Editor'!$D:$D,1))),def,IF(cat="Physical",FLOOR((FLOOR(((2*XLOOKUP($L58,'Pokemon Editor'!$A:$A,'Pokemon Editor'!$G:$G,0)+31+FLOOR(XLOOKUP($L58,'Boss Editor'!$C:$C,'Boss Editor'!$I:$I,"")/4))*XLOOKUP($L58,'Boss Editor'!$C:$C,'Boss Editor'!$D:$D,""))/100)+5)*XLOOKUP(XLOOKUP($L58,'Boss Editor'!$C:$C,'Boss Editor'!$E:$E,""),'Nature Editor'!$A:$A,'Nature Editor'!$C:$C,1)),FLOOR((FLOOR(((2*XLOOKUP($L58,'Pokemon Editor'!$A:$A,'Pokemon Editor'!$I:$I,0)+31+FLOOR(XLOOKUP($L58,'Boss Editor'!$C:$C,'Boss Editor'!$K:$K,"")/4))*XLOOKUP($L58,'Boss Editor'!$C:$C,'Boss Editor'!$D:$D,""))/100)+5)*XLOOKUP(XLOOKUP($L58,'Boss Editor'!$C:$C,'Boss Editor'!$E:$E,""),'Nature Editor'!$A:$A,'Nature Editor'!$E:$E,1))),stab,IF(OR(mtype=XLOOKUP(XLOOKUP($K58,'Threshold Summary'!$Y:$Y,'Threshold Summary'!$K:$K,""),'Pokemon Editor'!$A:$A,'Pokemon Editor'!$C:$C,""),mtype=XLOOKUP(XLOOKUP($K58,'Threshold Summary'!$Y:$Y,'Threshold Summary'!$K:$K,""),'Pokemon Editor'!$A:$A,'Pokemon Editor'!$D:$D,"")),1.5,1),eff,(INDEX('Type Chart'!$B:$S,MATCH(mtype,'Type Chart'!$A:$A,0),MATCH(XLOOKUP($L58,'Pokemon Editor'!$A:$A,'Pokemon Editor'!$C:$C,""),'Type Chart'!$B$1:$S$1,0))*IF(XLOOKUP($L58,'Pokemon Editor'!$A:$A,'Pokemon Editor'!$D:$D,"")="",1,INDEX('Type Chart'!$B:$S,MATCH(mtype,'Type Chart'!$A:$A,0),MATCH(XLOOKUP($L58,'Pokemon Editor'!$A:$A,'Pokemon Editor'!$D:$D,""),'Type Chart'!$B$1:$S$1,0)))),base,IF(OR(cat="Status",pow=0),0,FLOOR(FLOOR(FLOOR((2*XLOOKUP($K58,'Threshold Summary'!$Y:$Y,'Threshold Summary'!$L:$L,"")/5+2)*pow*atk/def)/50)+2)),modifier,stab*eff,FLOOR(base*modifier)),0)</f>
        <v/>
      </c>
      <c r="H58" s="3">
        <f>IFERROR(LET(mtype,XLOOKUP($D58,'Move Editor'!$B:$B,'Move Editor'!$C:$C,""),cat,XLOOKUP($D58,'Move Editor'!$B:$B,'Move Editor'!$D:$D,""),pow,XLOOKUP($D58,'Move Editor'!$B:$B,'Move Editor'!$E:$E,0),acc,XLOOKUP($D58,'Move Editor'!$B:$B,'Move Editor'!$F:$F,100),atk,IF(cat="Physical",FLOOR((FLOOR(((2*XLOOKUP(XLOOKUP($K58,'Threshold Summary'!$Y:$Y,'Threshold Summary'!$K:$K,""),'Pokemon Editor'!$A:$A,'Pokemon Editor'!$F:$F,0)+31+FLOOR(XLOOKUP($K58,'Threshold Summary'!$Y:$Y,'Threshold Summary'!$P:$P,"")/4))*XLOOKUP($K58,'Threshold Summary'!$Y:$Y,'Threshold Summary'!$L:$L,""))/100)+5)*XLOOKUP(XLOOKUP($K58,'Threshold Summary'!$Y:$Y,'Threshold Summary'!$M:$M,""),'Nature Editor'!$A:$A,'Nature Editor'!$B:$B,1)),FLOOR((FLOOR(((2*XLOOKUP(XLOOKUP($K58,'Threshold Summary'!$Y:$Y,'Threshold Summary'!$K:$K,""),'Pokemon Editor'!$A:$A,'Pokemon Editor'!$H:$H,0)+31+FLOOR(XLOOKUP($K58,'Threshold Summary'!$Y:$Y,'Threshold Summary'!$R:$R,"")/4))*XLOOKUP($K58,'Threshold Summary'!$Y:$Y,'Threshold Summary'!$L:$L,""))/100)+5)*XLOOKUP(XLOOKUP($K58,'Threshold Summary'!$Y:$Y,'Threshold Summary'!$M:$M,""),'Nature Editor'!$A:$A,'Nature Editor'!$D:$D,1))),def,IF(cat="Physical",FLOOR((FLOOR(((2*XLOOKUP($L58,'Pokemon Editor'!$A:$A,'Pokemon Editor'!$G:$G,0)+31+FLOOR(XLOOKUP($L58,'Boss Editor'!$C:$C,'Boss Editor'!$I:$I,"")/4))*XLOOKUP($L58,'Boss Editor'!$C:$C,'Boss Editor'!$D:$D,""))/100)+5)*XLOOKUP(XLOOKUP($L58,'Boss Editor'!$C:$C,'Boss Editor'!$E:$E,""),'Nature Editor'!$A:$A,'Nature Editor'!$C:$C,1)),FLOOR((FLOOR(((2*XLOOKUP($L58,'Pokemon Editor'!$A:$A,'Pokemon Editor'!$I:$I,0)+31+FLOOR(XLOOKUP($L58,'Boss Editor'!$C:$C,'Boss Editor'!$K:$K,"")/4))*XLOOKUP($L58,'Boss Editor'!$C:$C,'Boss Editor'!$D:$D,""))/100)+5)*XLOOKUP(XLOOKUP($L58,'Boss Editor'!$C:$C,'Boss Editor'!$E:$E,""),'Nature Editor'!$A:$A,'Nature Editor'!$E:$E,1))),stab,IF(OR(mtype=XLOOKUP(XLOOKUP($K58,'Threshold Summary'!$Y:$Y,'Threshold Summary'!$K:$K,""),'Pokemon Editor'!$A:$A,'Pokemon Editor'!$C:$C,""),mtype=XLOOKUP(XLOOKUP($K58,'Threshold Summary'!$Y:$Y,'Threshold Summary'!$K:$K,""),'Pokemon Editor'!$A:$A,'Pokemon Editor'!$D:$D,"")),1.5,1),eff,(INDEX('Type Chart'!$B:$S,MATCH(mtype,'Type Chart'!$A:$A,0),MATCH(XLOOKUP($L58,'Pokemon Editor'!$A:$A,'Pokemon Editor'!$C:$C,""),'Type Chart'!$B$1:$S$1,0))*IF(XLOOKUP($L58,'Pokemon Editor'!$A:$A,'Pokemon Editor'!$D:$D,"")="",1,INDEX('Type Chart'!$B:$S,MATCH(mtype,'Type Chart'!$A:$A,0),MATCH(XLOOKUP($L58,'Pokemon Editor'!$A:$A,'Pokemon Editor'!$D:$D,""),'Type Chart'!$B$1:$S$1,0)))),base,IF(OR(cat="Status",pow=0),0,FLOOR(FLOOR(FLOOR((2*XLOOKUP($K58,'Threshold Summary'!$Y:$Y,'Threshold Summary'!$L:$L,"")/5+2)*pow*atk/def)/50)+2)),modifier,stab*eff,AVERAGE(ARRAYFORMULA(FLOOR(base*modifier*SEQUENCE(16,1,85,1)/100)))),0)</f>
        <v/>
      </c>
      <c r="I58" s="4">
        <f>IFERROR(LET(mtype,XLOOKUP($D58,'Move Editor'!$B:$B,'Move Editor'!$C:$C,""),cat,XLOOKUP($D58,'Move Editor'!$B:$B,'Move Editor'!$D:$D,""),pow,XLOOKUP($D58,'Move Editor'!$B:$B,'Move Editor'!$E:$E,0),acc,XLOOKUP($D58,'Move Editor'!$B:$B,'Move Editor'!$F:$F,100),atk,IF(cat="Physical",FLOOR((FLOOR(((2*XLOOKUP(XLOOKUP($K58,'Threshold Summary'!$Y:$Y,'Threshold Summary'!$K:$K,""),'Pokemon Editor'!$A:$A,'Pokemon Editor'!$F:$F,0)+31+FLOOR(XLOOKUP($K58,'Threshold Summary'!$Y:$Y,'Threshold Summary'!$P:$P,"")/4))*XLOOKUP($K58,'Threshold Summary'!$Y:$Y,'Threshold Summary'!$L:$L,""))/100)+5)*XLOOKUP(XLOOKUP($K58,'Threshold Summary'!$Y:$Y,'Threshold Summary'!$M:$M,""),'Nature Editor'!$A:$A,'Nature Editor'!$B:$B,1)),FLOOR((FLOOR(((2*XLOOKUP(XLOOKUP($K58,'Threshold Summary'!$Y:$Y,'Threshold Summary'!$K:$K,""),'Pokemon Editor'!$A:$A,'Pokemon Editor'!$H:$H,0)+31+FLOOR(XLOOKUP($K58,'Threshold Summary'!$Y:$Y,'Threshold Summary'!$R:$R,"")/4))*XLOOKUP($K58,'Threshold Summary'!$Y:$Y,'Threshold Summary'!$L:$L,""))/100)+5)*XLOOKUP(XLOOKUP($K58,'Threshold Summary'!$Y:$Y,'Threshold Summary'!$M:$M,""),'Nature Editor'!$A:$A,'Nature Editor'!$D:$D,1))),def,IF(cat="Physical",FLOOR((FLOOR(((2*XLOOKUP($L58,'Pokemon Editor'!$A:$A,'Pokemon Editor'!$G:$G,0)+31+FLOOR(XLOOKUP($L58,'Boss Editor'!$C:$C,'Boss Editor'!$I:$I,"")/4))*XLOOKUP($L58,'Boss Editor'!$C:$C,'Boss Editor'!$D:$D,""))/100)+5)*XLOOKUP(XLOOKUP($L58,'Boss Editor'!$C:$C,'Boss Editor'!$E:$E,""),'Nature Editor'!$A:$A,'Nature Editor'!$C:$C,1)),FLOOR((FLOOR(((2*XLOOKUP($L58,'Pokemon Editor'!$A:$A,'Pokemon Editor'!$I:$I,0)+31+FLOOR(XLOOKUP($L58,'Boss Editor'!$C:$C,'Boss Editor'!$K:$K,"")/4))*XLOOKUP($L58,'Boss Editor'!$C:$C,'Boss Editor'!$D:$D,""))/100)+5)*XLOOKUP(XLOOKUP($L58,'Boss Editor'!$C:$C,'Boss Editor'!$E:$E,""),'Nature Editor'!$A:$A,'Nature Editor'!$E:$E,1))),stab,IF(OR(mtype=XLOOKUP(XLOOKUP($K58,'Threshold Summary'!$Y:$Y,'Threshold Summary'!$K:$K,""),'Pokemon Editor'!$A:$A,'Pokemon Editor'!$C:$C,""),mtype=XLOOKUP(XLOOKUP($K58,'Threshold Summary'!$Y:$Y,'Threshold Summary'!$K:$K,""),'Pokemon Editor'!$A:$A,'Pokemon Editor'!$D:$D,"")),1.5,1),eff,(INDEX('Type Chart'!$B:$S,MATCH(mtype,'Type Chart'!$A:$A,0),MATCH(XLOOKUP($L58,'Pokemon Editor'!$A:$A,'Pokemon Editor'!$C:$C,""),'Type Chart'!$B$1:$S$1,0))*IF(XLOOKUP($L58,'Pokemon Editor'!$A:$A,'Pokemon Editor'!$D:$D,"")="",1,INDEX('Type Chart'!$B:$S,MATCH(mtype,'Type Chart'!$A:$A,0),MATCH(XLOOKUP($L58,'Pokemon Editor'!$A:$A,'Pokemon Editor'!$D:$D,""),'Type Chart'!$B$1:$S$1,0)))),base,IF(OR(cat="Status",pow=0),0,FLOOR(FLOOR(FLOOR((2*XLOOKUP($K58,'Threshold Summary'!$Y:$Y,'Threshold Summary'!$L:$L,"")/5+2)*pow*atk/def)/50)+2)),modifier,stab*eff,AVERAGE(ARRAYFORMULA(FLOOR(base*modifier*SEQUENCE(16,1,85,1)/100)))/(FLOOR(((2*XLOOKUP($L58,'Pokemon Editor'!$A:$A,'Pokemon Editor'!$E:$E,0)+31+FLOOR(XLOOKUP($L58,'Boss Editor'!$C:$C,'Boss Editor'!$G:$G,"")/4))*XLOOKUP($L58,'Boss Editor'!$C:$C,'Boss Editor'!$D:$D,""))/100)+XLOOKUP($L58,'Boss Editor'!$C:$C,'Boss Editor'!$D:$D,"")+10)),0)</f>
        <v/>
      </c>
      <c r="J58" s="3">
        <f>IF(I58&gt;=1,"OHKO",IF(I58&gt;=0.5,"2HKO",IF(I58&gt;=0.333,"3HKO",IF(I58&gt;=0.25,"4HKO","5HKO+"))))</f>
        <v/>
      </c>
      <c r="K58" s="3" t="inlineStr">
        <is>
          <t>SPECIES_FLETCHLING</t>
        </is>
      </c>
      <c r="L58" s="3" t="inlineStr">
        <is>
          <t>SPECIES_LILEEP</t>
        </is>
      </c>
    </row>
    <row r="59">
      <c r="A59" s="3">
        <f>XLOOKUP($K59,'Threshold Summary'!$Y:$Y,'Threshold Summary'!$A:$A,"")</f>
        <v/>
      </c>
      <c r="B59" s="3" t="inlineStr">
        <is>
          <t>Tirtouga</t>
        </is>
      </c>
      <c r="C59" s="3">
        <f>XLOOKUP($L59,'Boss Editor'!$C:$C,'Boss Editor'!$D:$D,"")</f>
        <v/>
      </c>
      <c r="D59" s="3">
        <f>XLOOKUP($K59,'Threshold Summary'!$Y:$Y,'Threshold Summary'!$B:$B,"")</f>
        <v/>
      </c>
      <c r="E59" s="3">
        <f>XLOOKUP(D59,'Move Editor'!$B:$B,'Move Editor'!$C:$C,"")</f>
        <v/>
      </c>
      <c r="F59" s="3">
        <f>IFERROR(LET(mtype,XLOOKUP($D59,'Move Editor'!$B:$B,'Move Editor'!$C:$C,""),cat,XLOOKUP($D59,'Move Editor'!$B:$B,'Move Editor'!$D:$D,""),pow,XLOOKUP($D59,'Move Editor'!$B:$B,'Move Editor'!$E:$E,0),acc,XLOOKUP($D59,'Move Editor'!$B:$B,'Move Editor'!$F:$F,100),atk,IF(cat="Physical",FLOOR((FLOOR(((2*XLOOKUP(XLOOKUP($K59,'Threshold Summary'!$Y:$Y,'Threshold Summary'!$K:$K,""),'Pokemon Editor'!$A:$A,'Pokemon Editor'!$F:$F,0)+31+FLOOR(XLOOKUP($K59,'Threshold Summary'!$Y:$Y,'Threshold Summary'!$P:$P,"")/4))*XLOOKUP($K59,'Threshold Summary'!$Y:$Y,'Threshold Summary'!$L:$L,""))/100)+5)*XLOOKUP(XLOOKUP($K59,'Threshold Summary'!$Y:$Y,'Threshold Summary'!$M:$M,""),'Nature Editor'!$A:$A,'Nature Editor'!$B:$B,1)),FLOOR((FLOOR(((2*XLOOKUP(XLOOKUP($K59,'Threshold Summary'!$Y:$Y,'Threshold Summary'!$K:$K,""),'Pokemon Editor'!$A:$A,'Pokemon Editor'!$H:$H,0)+31+FLOOR(XLOOKUP($K59,'Threshold Summary'!$Y:$Y,'Threshold Summary'!$R:$R,"")/4))*XLOOKUP($K59,'Threshold Summary'!$Y:$Y,'Threshold Summary'!$L:$L,""))/100)+5)*XLOOKUP(XLOOKUP($K59,'Threshold Summary'!$Y:$Y,'Threshold Summary'!$M:$M,""),'Nature Editor'!$A:$A,'Nature Editor'!$D:$D,1))),def,IF(cat="Physical",FLOOR((FLOOR(((2*XLOOKUP($L59,'Pokemon Editor'!$A:$A,'Pokemon Editor'!$G:$G,0)+31+FLOOR(XLOOKUP($L59,'Boss Editor'!$C:$C,'Boss Editor'!$I:$I,"")/4))*XLOOKUP($L59,'Boss Editor'!$C:$C,'Boss Editor'!$D:$D,""))/100)+5)*XLOOKUP(XLOOKUP($L59,'Boss Editor'!$C:$C,'Boss Editor'!$E:$E,""),'Nature Editor'!$A:$A,'Nature Editor'!$C:$C,1)),FLOOR((FLOOR(((2*XLOOKUP($L59,'Pokemon Editor'!$A:$A,'Pokemon Editor'!$I:$I,0)+31+FLOOR(XLOOKUP($L59,'Boss Editor'!$C:$C,'Boss Editor'!$K:$K,"")/4))*XLOOKUP($L59,'Boss Editor'!$C:$C,'Boss Editor'!$D:$D,""))/100)+5)*XLOOKUP(XLOOKUP($L59,'Boss Editor'!$C:$C,'Boss Editor'!$E:$E,""),'Nature Editor'!$A:$A,'Nature Editor'!$E:$E,1))),stab,IF(OR(mtype=XLOOKUP(XLOOKUP($K59,'Threshold Summary'!$Y:$Y,'Threshold Summary'!$K:$K,""),'Pokemon Editor'!$A:$A,'Pokemon Editor'!$C:$C,""),mtype=XLOOKUP(XLOOKUP($K59,'Threshold Summary'!$Y:$Y,'Threshold Summary'!$K:$K,""),'Pokemon Editor'!$A:$A,'Pokemon Editor'!$D:$D,"")),1.5,1),eff,(INDEX('Type Chart'!$B:$S,MATCH(mtype,'Type Chart'!$A:$A,0),MATCH(XLOOKUP($L59,'Pokemon Editor'!$A:$A,'Pokemon Editor'!$C:$C,""),'Type Chart'!$B$1:$S$1,0))*IF(XLOOKUP($L59,'Pokemon Editor'!$A:$A,'Pokemon Editor'!$D:$D,"")="",1,INDEX('Type Chart'!$B:$S,MATCH(mtype,'Type Chart'!$A:$A,0),MATCH(XLOOKUP($L59,'Pokemon Editor'!$A:$A,'Pokemon Editor'!$D:$D,""),'Type Chart'!$B$1:$S$1,0)))),base,IF(OR(cat="Status",pow=0),0,FLOOR(FLOOR(FLOOR((2*XLOOKUP($K59,'Threshold Summary'!$Y:$Y,'Threshold Summary'!$L:$L,"")/5+2)*pow*atk/def)/50)+2)),modifier,stab*eff,FLOOR(base*modifier*0.85)),0)</f>
        <v/>
      </c>
      <c r="G59" s="3">
        <f>IFERROR(LET(mtype,XLOOKUP($D59,'Move Editor'!$B:$B,'Move Editor'!$C:$C,""),cat,XLOOKUP($D59,'Move Editor'!$B:$B,'Move Editor'!$D:$D,""),pow,XLOOKUP($D59,'Move Editor'!$B:$B,'Move Editor'!$E:$E,0),acc,XLOOKUP($D59,'Move Editor'!$B:$B,'Move Editor'!$F:$F,100),atk,IF(cat="Physical",FLOOR((FLOOR(((2*XLOOKUP(XLOOKUP($K59,'Threshold Summary'!$Y:$Y,'Threshold Summary'!$K:$K,""),'Pokemon Editor'!$A:$A,'Pokemon Editor'!$F:$F,0)+31+FLOOR(XLOOKUP($K59,'Threshold Summary'!$Y:$Y,'Threshold Summary'!$P:$P,"")/4))*XLOOKUP($K59,'Threshold Summary'!$Y:$Y,'Threshold Summary'!$L:$L,""))/100)+5)*XLOOKUP(XLOOKUP($K59,'Threshold Summary'!$Y:$Y,'Threshold Summary'!$M:$M,""),'Nature Editor'!$A:$A,'Nature Editor'!$B:$B,1)),FLOOR((FLOOR(((2*XLOOKUP(XLOOKUP($K59,'Threshold Summary'!$Y:$Y,'Threshold Summary'!$K:$K,""),'Pokemon Editor'!$A:$A,'Pokemon Editor'!$H:$H,0)+31+FLOOR(XLOOKUP($K59,'Threshold Summary'!$Y:$Y,'Threshold Summary'!$R:$R,"")/4))*XLOOKUP($K59,'Threshold Summary'!$Y:$Y,'Threshold Summary'!$L:$L,""))/100)+5)*XLOOKUP(XLOOKUP($K59,'Threshold Summary'!$Y:$Y,'Threshold Summary'!$M:$M,""),'Nature Editor'!$A:$A,'Nature Editor'!$D:$D,1))),def,IF(cat="Physical",FLOOR((FLOOR(((2*XLOOKUP($L59,'Pokemon Editor'!$A:$A,'Pokemon Editor'!$G:$G,0)+31+FLOOR(XLOOKUP($L59,'Boss Editor'!$C:$C,'Boss Editor'!$I:$I,"")/4))*XLOOKUP($L59,'Boss Editor'!$C:$C,'Boss Editor'!$D:$D,""))/100)+5)*XLOOKUP(XLOOKUP($L59,'Boss Editor'!$C:$C,'Boss Editor'!$E:$E,""),'Nature Editor'!$A:$A,'Nature Editor'!$C:$C,1)),FLOOR((FLOOR(((2*XLOOKUP($L59,'Pokemon Editor'!$A:$A,'Pokemon Editor'!$I:$I,0)+31+FLOOR(XLOOKUP($L59,'Boss Editor'!$C:$C,'Boss Editor'!$K:$K,"")/4))*XLOOKUP($L59,'Boss Editor'!$C:$C,'Boss Editor'!$D:$D,""))/100)+5)*XLOOKUP(XLOOKUP($L59,'Boss Editor'!$C:$C,'Boss Editor'!$E:$E,""),'Nature Editor'!$A:$A,'Nature Editor'!$E:$E,1))),stab,IF(OR(mtype=XLOOKUP(XLOOKUP($K59,'Threshold Summary'!$Y:$Y,'Threshold Summary'!$K:$K,""),'Pokemon Editor'!$A:$A,'Pokemon Editor'!$C:$C,""),mtype=XLOOKUP(XLOOKUP($K59,'Threshold Summary'!$Y:$Y,'Threshold Summary'!$K:$K,""),'Pokemon Editor'!$A:$A,'Pokemon Editor'!$D:$D,"")),1.5,1),eff,(INDEX('Type Chart'!$B:$S,MATCH(mtype,'Type Chart'!$A:$A,0),MATCH(XLOOKUP($L59,'Pokemon Editor'!$A:$A,'Pokemon Editor'!$C:$C,""),'Type Chart'!$B$1:$S$1,0))*IF(XLOOKUP($L59,'Pokemon Editor'!$A:$A,'Pokemon Editor'!$D:$D,"")="",1,INDEX('Type Chart'!$B:$S,MATCH(mtype,'Type Chart'!$A:$A,0),MATCH(XLOOKUP($L59,'Pokemon Editor'!$A:$A,'Pokemon Editor'!$D:$D,""),'Type Chart'!$B$1:$S$1,0)))),base,IF(OR(cat="Status",pow=0),0,FLOOR(FLOOR(FLOOR((2*XLOOKUP($K59,'Threshold Summary'!$Y:$Y,'Threshold Summary'!$L:$L,"")/5+2)*pow*atk/def)/50)+2)),modifier,stab*eff,FLOOR(base*modifier)),0)</f>
        <v/>
      </c>
      <c r="H59" s="3">
        <f>IFERROR(LET(mtype,XLOOKUP($D59,'Move Editor'!$B:$B,'Move Editor'!$C:$C,""),cat,XLOOKUP($D59,'Move Editor'!$B:$B,'Move Editor'!$D:$D,""),pow,XLOOKUP($D59,'Move Editor'!$B:$B,'Move Editor'!$E:$E,0),acc,XLOOKUP($D59,'Move Editor'!$B:$B,'Move Editor'!$F:$F,100),atk,IF(cat="Physical",FLOOR((FLOOR(((2*XLOOKUP(XLOOKUP($K59,'Threshold Summary'!$Y:$Y,'Threshold Summary'!$K:$K,""),'Pokemon Editor'!$A:$A,'Pokemon Editor'!$F:$F,0)+31+FLOOR(XLOOKUP($K59,'Threshold Summary'!$Y:$Y,'Threshold Summary'!$P:$P,"")/4))*XLOOKUP($K59,'Threshold Summary'!$Y:$Y,'Threshold Summary'!$L:$L,""))/100)+5)*XLOOKUP(XLOOKUP($K59,'Threshold Summary'!$Y:$Y,'Threshold Summary'!$M:$M,""),'Nature Editor'!$A:$A,'Nature Editor'!$B:$B,1)),FLOOR((FLOOR(((2*XLOOKUP(XLOOKUP($K59,'Threshold Summary'!$Y:$Y,'Threshold Summary'!$K:$K,""),'Pokemon Editor'!$A:$A,'Pokemon Editor'!$H:$H,0)+31+FLOOR(XLOOKUP($K59,'Threshold Summary'!$Y:$Y,'Threshold Summary'!$R:$R,"")/4))*XLOOKUP($K59,'Threshold Summary'!$Y:$Y,'Threshold Summary'!$L:$L,""))/100)+5)*XLOOKUP(XLOOKUP($K59,'Threshold Summary'!$Y:$Y,'Threshold Summary'!$M:$M,""),'Nature Editor'!$A:$A,'Nature Editor'!$D:$D,1))),def,IF(cat="Physical",FLOOR((FLOOR(((2*XLOOKUP($L59,'Pokemon Editor'!$A:$A,'Pokemon Editor'!$G:$G,0)+31+FLOOR(XLOOKUP($L59,'Boss Editor'!$C:$C,'Boss Editor'!$I:$I,"")/4))*XLOOKUP($L59,'Boss Editor'!$C:$C,'Boss Editor'!$D:$D,""))/100)+5)*XLOOKUP(XLOOKUP($L59,'Boss Editor'!$C:$C,'Boss Editor'!$E:$E,""),'Nature Editor'!$A:$A,'Nature Editor'!$C:$C,1)),FLOOR((FLOOR(((2*XLOOKUP($L59,'Pokemon Editor'!$A:$A,'Pokemon Editor'!$I:$I,0)+31+FLOOR(XLOOKUP($L59,'Boss Editor'!$C:$C,'Boss Editor'!$K:$K,"")/4))*XLOOKUP($L59,'Boss Editor'!$C:$C,'Boss Editor'!$D:$D,""))/100)+5)*XLOOKUP(XLOOKUP($L59,'Boss Editor'!$C:$C,'Boss Editor'!$E:$E,""),'Nature Editor'!$A:$A,'Nature Editor'!$E:$E,1))),stab,IF(OR(mtype=XLOOKUP(XLOOKUP($K59,'Threshold Summary'!$Y:$Y,'Threshold Summary'!$K:$K,""),'Pokemon Editor'!$A:$A,'Pokemon Editor'!$C:$C,""),mtype=XLOOKUP(XLOOKUP($K59,'Threshold Summary'!$Y:$Y,'Threshold Summary'!$K:$K,""),'Pokemon Editor'!$A:$A,'Pokemon Editor'!$D:$D,"")),1.5,1),eff,(INDEX('Type Chart'!$B:$S,MATCH(mtype,'Type Chart'!$A:$A,0),MATCH(XLOOKUP($L59,'Pokemon Editor'!$A:$A,'Pokemon Editor'!$C:$C,""),'Type Chart'!$B$1:$S$1,0))*IF(XLOOKUP($L59,'Pokemon Editor'!$A:$A,'Pokemon Editor'!$D:$D,"")="",1,INDEX('Type Chart'!$B:$S,MATCH(mtype,'Type Chart'!$A:$A,0),MATCH(XLOOKUP($L59,'Pokemon Editor'!$A:$A,'Pokemon Editor'!$D:$D,""),'Type Chart'!$B$1:$S$1,0)))),base,IF(OR(cat="Status",pow=0),0,FLOOR(FLOOR(FLOOR((2*XLOOKUP($K59,'Threshold Summary'!$Y:$Y,'Threshold Summary'!$L:$L,"")/5+2)*pow*atk/def)/50)+2)),modifier,stab*eff,AVERAGE(ARRAYFORMULA(FLOOR(base*modifier*SEQUENCE(16,1,85,1)/100)))),0)</f>
        <v/>
      </c>
      <c r="I59" s="4">
        <f>IFERROR(LET(mtype,XLOOKUP($D59,'Move Editor'!$B:$B,'Move Editor'!$C:$C,""),cat,XLOOKUP($D59,'Move Editor'!$B:$B,'Move Editor'!$D:$D,""),pow,XLOOKUP($D59,'Move Editor'!$B:$B,'Move Editor'!$E:$E,0),acc,XLOOKUP($D59,'Move Editor'!$B:$B,'Move Editor'!$F:$F,100),atk,IF(cat="Physical",FLOOR((FLOOR(((2*XLOOKUP(XLOOKUP($K59,'Threshold Summary'!$Y:$Y,'Threshold Summary'!$K:$K,""),'Pokemon Editor'!$A:$A,'Pokemon Editor'!$F:$F,0)+31+FLOOR(XLOOKUP($K59,'Threshold Summary'!$Y:$Y,'Threshold Summary'!$P:$P,"")/4))*XLOOKUP($K59,'Threshold Summary'!$Y:$Y,'Threshold Summary'!$L:$L,""))/100)+5)*XLOOKUP(XLOOKUP($K59,'Threshold Summary'!$Y:$Y,'Threshold Summary'!$M:$M,""),'Nature Editor'!$A:$A,'Nature Editor'!$B:$B,1)),FLOOR((FLOOR(((2*XLOOKUP(XLOOKUP($K59,'Threshold Summary'!$Y:$Y,'Threshold Summary'!$K:$K,""),'Pokemon Editor'!$A:$A,'Pokemon Editor'!$H:$H,0)+31+FLOOR(XLOOKUP($K59,'Threshold Summary'!$Y:$Y,'Threshold Summary'!$R:$R,"")/4))*XLOOKUP($K59,'Threshold Summary'!$Y:$Y,'Threshold Summary'!$L:$L,""))/100)+5)*XLOOKUP(XLOOKUP($K59,'Threshold Summary'!$Y:$Y,'Threshold Summary'!$M:$M,""),'Nature Editor'!$A:$A,'Nature Editor'!$D:$D,1))),def,IF(cat="Physical",FLOOR((FLOOR(((2*XLOOKUP($L59,'Pokemon Editor'!$A:$A,'Pokemon Editor'!$G:$G,0)+31+FLOOR(XLOOKUP($L59,'Boss Editor'!$C:$C,'Boss Editor'!$I:$I,"")/4))*XLOOKUP($L59,'Boss Editor'!$C:$C,'Boss Editor'!$D:$D,""))/100)+5)*XLOOKUP(XLOOKUP($L59,'Boss Editor'!$C:$C,'Boss Editor'!$E:$E,""),'Nature Editor'!$A:$A,'Nature Editor'!$C:$C,1)),FLOOR((FLOOR(((2*XLOOKUP($L59,'Pokemon Editor'!$A:$A,'Pokemon Editor'!$I:$I,0)+31+FLOOR(XLOOKUP($L59,'Boss Editor'!$C:$C,'Boss Editor'!$K:$K,"")/4))*XLOOKUP($L59,'Boss Editor'!$C:$C,'Boss Editor'!$D:$D,""))/100)+5)*XLOOKUP(XLOOKUP($L59,'Boss Editor'!$C:$C,'Boss Editor'!$E:$E,""),'Nature Editor'!$A:$A,'Nature Editor'!$E:$E,1))),stab,IF(OR(mtype=XLOOKUP(XLOOKUP($K59,'Threshold Summary'!$Y:$Y,'Threshold Summary'!$K:$K,""),'Pokemon Editor'!$A:$A,'Pokemon Editor'!$C:$C,""),mtype=XLOOKUP(XLOOKUP($K59,'Threshold Summary'!$Y:$Y,'Threshold Summary'!$K:$K,""),'Pokemon Editor'!$A:$A,'Pokemon Editor'!$D:$D,"")),1.5,1),eff,(INDEX('Type Chart'!$B:$S,MATCH(mtype,'Type Chart'!$A:$A,0),MATCH(XLOOKUP($L59,'Pokemon Editor'!$A:$A,'Pokemon Editor'!$C:$C,""),'Type Chart'!$B$1:$S$1,0))*IF(XLOOKUP($L59,'Pokemon Editor'!$A:$A,'Pokemon Editor'!$D:$D,"")="",1,INDEX('Type Chart'!$B:$S,MATCH(mtype,'Type Chart'!$A:$A,0),MATCH(XLOOKUP($L59,'Pokemon Editor'!$A:$A,'Pokemon Editor'!$D:$D,""),'Type Chart'!$B$1:$S$1,0)))),base,IF(OR(cat="Status",pow=0),0,FLOOR(FLOOR(FLOOR((2*XLOOKUP($K59,'Threshold Summary'!$Y:$Y,'Threshold Summary'!$L:$L,"")/5+2)*pow*atk/def)/50)+2)),modifier,stab*eff,AVERAGE(ARRAYFORMULA(FLOOR(base*modifier*SEQUENCE(16,1,85,1)/100)))/(FLOOR(((2*XLOOKUP($L59,'Pokemon Editor'!$A:$A,'Pokemon Editor'!$E:$E,0)+31+FLOOR(XLOOKUP($L59,'Boss Editor'!$C:$C,'Boss Editor'!$G:$G,"")/4))*XLOOKUP($L59,'Boss Editor'!$C:$C,'Boss Editor'!$D:$D,""))/100)+XLOOKUP($L59,'Boss Editor'!$C:$C,'Boss Editor'!$D:$D,"")+10)),0)</f>
        <v/>
      </c>
      <c r="J59" s="3">
        <f>IF(I59&gt;=1,"OHKO",IF(I59&gt;=0.5,"2HKO",IF(I59&gt;=0.333,"3HKO",IF(I59&gt;=0.25,"4HKO","5HKO+"))))</f>
        <v/>
      </c>
      <c r="K59" s="3" t="inlineStr">
        <is>
          <t>SPECIES_LITLEO</t>
        </is>
      </c>
      <c r="L59" s="3" t="inlineStr">
        <is>
          <t>SPECIES_TIRTOUGA</t>
        </is>
      </c>
    </row>
    <row r="60">
      <c r="A60" s="3">
        <f>XLOOKUP($K60,'Threshold Summary'!$Y:$Y,'Threshold Summary'!$A:$A,"")</f>
        <v/>
      </c>
      <c r="B60" s="3" t="inlineStr">
        <is>
          <t>Anorith</t>
        </is>
      </c>
      <c r="C60" s="3">
        <f>XLOOKUP($L60,'Boss Editor'!$C:$C,'Boss Editor'!$D:$D,"")</f>
        <v/>
      </c>
      <c r="D60" s="3">
        <f>XLOOKUP($K60,'Threshold Summary'!$Y:$Y,'Threshold Summary'!$B:$B,"")</f>
        <v/>
      </c>
      <c r="E60" s="3">
        <f>XLOOKUP(D60,'Move Editor'!$B:$B,'Move Editor'!$C:$C,"")</f>
        <v/>
      </c>
      <c r="F60" s="3">
        <f>IFERROR(LET(mtype,XLOOKUP($D60,'Move Editor'!$B:$B,'Move Editor'!$C:$C,""),cat,XLOOKUP($D60,'Move Editor'!$B:$B,'Move Editor'!$D:$D,""),pow,XLOOKUP($D60,'Move Editor'!$B:$B,'Move Editor'!$E:$E,0),acc,XLOOKUP($D60,'Move Editor'!$B:$B,'Move Editor'!$F:$F,100),atk,IF(cat="Physical",FLOOR((FLOOR(((2*XLOOKUP(XLOOKUP($K60,'Threshold Summary'!$Y:$Y,'Threshold Summary'!$K:$K,""),'Pokemon Editor'!$A:$A,'Pokemon Editor'!$F:$F,0)+31+FLOOR(XLOOKUP($K60,'Threshold Summary'!$Y:$Y,'Threshold Summary'!$P:$P,"")/4))*XLOOKUP($K60,'Threshold Summary'!$Y:$Y,'Threshold Summary'!$L:$L,""))/100)+5)*XLOOKUP(XLOOKUP($K60,'Threshold Summary'!$Y:$Y,'Threshold Summary'!$M:$M,""),'Nature Editor'!$A:$A,'Nature Editor'!$B:$B,1)),FLOOR((FLOOR(((2*XLOOKUP(XLOOKUP($K60,'Threshold Summary'!$Y:$Y,'Threshold Summary'!$K:$K,""),'Pokemon Editor'!$A:$A,'Pokemon Editor'!$H:$H,0)+31+FLOOR(XLOOKUP($K60,'Threshold Summary'!$Y:$Y,'Threshold Summary'!$R:$R,"")/4))*XLOOKUP($K60,'Threshold Summary'!$Y:$Y,'Threshold Summary'!$L:$L,""))/100)+5)*XLOOKUP(XLOOKUP($K60,'Threshold Summary'!$Y:$Y,'Threshold Summary'!$M:$M,""),'Nature Editor'!$A:$A,'Nature Editor'!$D:$D,1))),def,IF(cat="Physical",FLOOR((FLOOR(((2*XLOOKUP($L60,'Pokemon Editor'!$A:$A,'Pokemon Editor'!$G:$G,0)+31+FLOOR(XLOOKUP($L60,'Boss Editor'!$C:$C,'Boss Editor'!$I:$I,"")/4))*XLOOKUP($L60,'Boss Editor'!$C:$C,'Boss Editor'!$D:$D,""))/100)+5)*XLOOKUP(XLOOKUP($L60,'Boss Editor'!$C:$C,'Boss Editor'!$E:$E,""),'Nature Editor'!$A:$A,'Nature Editor'!$C:$C,1)),FLOOR((FLOOR(((2*XLOOKUP($L60,'Pokemon Editor'!$A:$A,'Pokemon Editor'!$I:$I,0)+31+FLOOR(XLOOKUP($L60,'Boss Editor'!$C:$C,'Boss Editor'!$K:$K,"")/4))*XLOOKUP($L60,'Boss Editor'!$C:$C,'Boss Editor'!$D:$D,""))/100)+5)*XLOOKUP(XLOOKUP($L60,'Boss Editor'!$C:$C,'Boss Editor'!$E:$E,""),'Nature Editor'!$A:$A,'Nature Editor'!$E:$E,1))),stab,IF(OR(mtype=XLOOKUP(XLOOKUP($K60,'Threshold Summary'!$Y:$Y,'Threshold Summary'!$K:$K,""),'Pokemon Editor'!$A:$A,'Pokemon Editor'!$C:$C,""),mtype=XLOOKUP(XLOOKUP($K60,'Threshold Summary'!$Y:$Y,'Threshold Summary'!$K:$K,""),'Pokemon Editor'!$A:$A,'Pokemon Editor'!$D:$D,"")),1.5,1),eff,(INDEX('Type Chart'!$B:$S,MATCH(mtype,'Type Chart'!$A:$A,0),MATCH(XLOOKUP($L60,'Pokemon Editor'!$A:$A,'Pokemon Editor'!$C:$C,""),'Type Chart'!$B$1:$S$1,0))*IF(XLOOKUP($L60,'Pokemon Editor'!$A:$A,'Pokemon Editor'!$D:$D,"")="",1,INDEX('Type Chart'!$B:$S,MATCH(mtype,'Type Chart'!$A:$A,0),MATCH(XLOOKUP($L60,'Pokemon Editor'!$A:$A,'Pokemon Editor'!$D:$D,""),'Type Chart'!$B$1:$S$1,0)))),base,IF(OR(cat="Status",pow=0),0,FLOOR(FLOOR(FLOOR((2*XLOOKUP($K60,'Threshold Summary'!$Y:$Y,'Threshold Summary'!$L:$L,"")/5+2)*pow*atk/def)/50)+2)),modifier,stab*eff,FLOOR(base*modifier*0.85)),0)</f>
        <v/>
      </c>
      <c r="G60" s="3">
        <f>IFERROR(LET(mtype,XLOOKUP($D60,'Move Editor'!$B:$B,'Move Editor'!$C:$C,""),cat,XLOOKUP($D60,'Move Editor'!$B:$B,'Move Editor'!$D:$D,""),pow,XLOOKUP($D60,'Move Editor'!$B:$B,'Move Editor'!$E:$E,0),acc,XLOOKUP($D60,'Move Editor'!$B:$B,'Move Editor'!$F:$F,100),atk,IF(cat="Physical",FLOOR((FLOOR(((2*XLOOKUP(XLOOKUP($K60,'Threshold Summary'!$Y:$Y,'Threshold Summary'!$K:$K,""),'Pokemon Editor'!$A:$A,'Pokemon Editor'!$F:$F,0)+31+FLOOR(XLOOKUP($K60,'Threshold Summary'!$Y:$Y,'Threshold Summary'!$P:$P,"")/4))*XLOOKUP($K60,'Threshold Summary'!$Y:$Y,'Threshold Summary'!$L:$L,""))/100)+5)*XLOOKUP(XLOOKUP($K60,'Threshold Summary'!$Y:$Y,'Threshold Summary'!$M:$M,""),'Nature Editor'!$A:$A,'Nature Editor'!$B:$B,1)),FLOOR((FLOOR(((2*XLOOKUP(XLOOKUP($K60,'Threshold Summary'!$Y:$Y,'Threshold Summary'!$K:$K,""),'Pokemon Editor'!$A:$A,'Pokemon Editor'!$H:$H,0)+31+FLOOR(XLOOKUP($K60,'Threshold Summary'!$Y:$Y,'Threshold Summary'!$R:$R,"")/4))*XLOOKUP($K60,'Threshold Summary'!$Y:$Y,'Threshold Summary'!$L:$L,""))/100)+5)*XLOOKUP(XLOOKUP($K60,'Threshold Summary'!$Y:$Y,'Threshold Summary'!$M:$M,""),'Nature Editor'!$A:$A,'Nature Editor'!$D:$D,1))),def,IF(cat="Physical",FLOOR((FLOOR(((2*XLOOKUP($L60,'Pokemon Editor'!$A:$A,'Pokemon Editor'!$G:$G,0)+31+FLOOR(XLOOKUP($L60,'Boss Editor'!$C:$C,'Boss Editor'!$I:$I,"")/4))*XLOOKUP($L60,'Boss Editor'!$C:$C,'Boss Editor'!$D:$D,""))/100)+5)*XLOOKUP(XLOOKUP($L60,'Boss Editor'!$C:$C,'Boss Editor'!$E:$E,""),'Nature Editor'!$A:$A,'Nature Editor'!$C:$C,1)),FLOOR((FLOOR(((2*XLOOKUP($L60,'Pokemon Editor'!$A:$A,'Pokemon Editor'!$I:$I,0)+31+FLOOR(XLOOKUP($L60,'Boss Editor'!$C:$C,'Boss Editor'!$K:$K,"")/4))*XLOOKUP($L60,'Boss Editor'!$C:$C,'Boss Editor'!$D:$D,""))/100)+5)*XLOOKUP(XLOOKUP($L60,'Boss Editor'!$C:$C,'Boss Editor'!$E:$E,""),'Nature Editor'!$A:$A,'Nature Editor'!$E:$E,1))),stab,IF(OR(mtype=XLOOKUP(XLOOKUP($K60,'Threshold Summary'!$Y:$Y,'Threshold Summary'!$K:$K,""),'Pokemon Editor'!$A:$A,'Pokemon Editor'!$C:$C,""),mtype=XLOOKUP(XLOOKUP($K60,'Threshold Summary'!$Y:$Y,'Threshold Summary'!$K:$K,""),'Pokemon Editor'!$A:$A,'Pokemon Editor'!$D:$D,"")),1.5,1),eff,(INDEX('Type Chart'!$B:$S,MATCH(mtype,'Type Chart'!$A:$A,0),MATCH(XLOOKUP($L60,'Pokemon Editor'!$A:$A,'Pokemon Editor'!$C:$C,""),'Type Chart'!$B$1:$S$1,0))*IF(XLOOKUP($L60,'Pokemon Editor'!$A:$A,'Pokemon Editor'!$D:$D,"")="",1,INDEX('Type Chart'!$B:$S,MATCH(mtype,'Type Chart'!$A:$A,0),MATCH(XLOOKUP($L60,'Pokemon Editor'!$A:$A,'Pokemon Editor'!$D:$D,""),'Type Chart'!$B$1:$S$1,0)))),base,IF(OR(cat="Status",pow=0),0,FLOOR(FLOOR(FLOOR((2*XLOOKUP($K60,'Threshold Summary'!$Y:$Y,'Threshold Summary'!$L:$L,"")/5+2)*pow*atk/def)/50)+2)),modifier,stab*eff,FLOOR(base*modifier)),0)</f>
        <v/>
      </c>
      <c r="H60" s="3">
        <f>IFERROR(LET(mtype,XLOOKUP($D60,'Move Editor'!$B:$B,'Move Editor'!$C:$C,""),cat,XLOOKUP($D60,'Move Editor'!$B:$B,'Move Editor'!$D:$D,""),pow,XLOOKUP($D60,'Move Editor'!$B:$B,'Move Editor'!$E:$E,0),acc,XLOOKUP($D60,'Move Editor'!$B:$B,'Move Editor'!$F:$F,100),atk,IF(cat="Physical",FLOOR((FLOOR(((2*XLOOKUP(XLOOKUP($K60,'Threshold Summary'!$Y:$Y,'Threshold Summary'!$K:$K,""),'Pokemon Editor'!$A:$A,'Pokemon Editor'!$F:$F,0)+31+FLOOR(XLOOKUP($K60,'Threshold Summary'!$Y:$Y,'Threshold Summary'!$P:$P,"")/4))*XLOOKUP($K60,'Threshold Summary'!$Y:$Y,'Threshold Summary'!$L:$L,""))/100)+5)*XLOOKUP(XLOOKUP($K60,'Threshold Summary'!$Y:$Y,'Threshold Summary'!$M:$M,""),'Nature Editor'!$A:$A,'Nature Editor'!$B:$B,1)),FLOOR((FLOOR(((2*XLOOKUP(XLOOKUP($K60,'Threshold Summary'!$Y:$Y,'Threshold Summary'!$K:$K,""),'Pokemon Editor'!$A:$A,'Pokemon Editor'!$H:$H,0)+31+FLOOR(XLOOKUP($K60,'Threshold Summary'!$Y:$Y,'Threshold Summary'!$R:$R,"")/4))*XLOOKUP($K60,'Threshold Summary'!$Y:$Y,'Threshold Summary'!$L:$L,""))/100)+5)*XLOOKUP(XLOOKUP($K60,'Threshold Summary'!$Y:$Y,'Threshold Summary'!$M:$M,""),'Nature Editor'!$A:$A,'Nature Editor'!$D:$D,1))),def,IF(cat="Physical",FLOOR((FLOOR(((2*XLOOKUP($L60,'Pokemon Editor'!$A:$A,'Pokemon Editor'!$G:$G,0)+31+FLOOR(XLOOKUP($L60,'Boss Editor'!$C:$C,'Boss Editor'!$I:$I,"")/4))*XLOOKUP($L60,'Boss Editor'!$C:$C,'Boss Editor'!$D:$D,""))/100)+5)*XLOOKUP(XLOOKUP($L60,'Boss Editor'!$C:$C,'Boss Editor'!$E:$E,""),'Nature Editor'!$A:$A,'Nature Editor'!$C:$C,1)),FLOOR((FLOOR(((2*XLOOKUP($L60,'Pokemon Editor'!$A:$A,'Pokemon Editor'!$I:$I,0)+31+FLOOR(XLOOKUP($L60,'Boss Editor'!$C:$C,'Boss Editor'!$K:$K,"")/4))*XLOOKUP($L60,'Boss Editor'!$C:$C,'Boss Editor'!$D:$D,""))/100)+5)*XLOOKUP(XLOOKUP($L60,'Boss Editor'!$C:$C,'Boss Editor'!$E:$E,""),'Nature Editor'!$A:$A,'Nature Editor'!$E:$E,1))),stab,IF(OR(mtype=XLOOKUP(XLOOKUP($K60,'Threshold Summary'!$Y:$Y,'Threshold Summary'!$K:$K,""),'Pokemon Editor'!$A:$A,'Pokemon Editor'!$C:$C,""),mtype=XLOOKUP(XLOOKUP($K60,'Threshold Summary'!$Y:$Y,'Threshold Summary'!$K:$K,""),'Pokemon Editor'!$A:$A,'Pokemon Editor'!$D:$D,"")),1.5,1),eff,(INDEX('Type Chart'!$B:$S,MATCH(mtype,'Type Chart'!$A:$A,0),MATCH(XLOOKUP($L60,'Pokemon Editor'!$A:$A,'Pokemon Editor'!$C:$C,""),'Type Chart'!$B$1:$S$1,0))*IF(XLOOKUP($L60,'Pokemon Editor'!$A:$A,'Pokemon Editor'!$D:$D,"")="",1,INDEX('Type Chart'!$B:$S,MATCH(mtype,'Type Chart'!$A:$A,0),MATCH(XLOOKUP($L60,'Pokemon Editor'!$A:$A,'Pokemon Editor'!$D:$D,""),'Type Chart'!$B$1:$S$1,0)))),base,IF(OR(cat="Status",pow=0),0,FLOOR(FLOOR(FLOOR((2*XLOOKUP($K60,'Threshold Summary'!$Y:$Y,'Threshold Summary'!$L:$L,"")/5+2)*pow*atk/def)/50)+2)),modifier,stab*eff,AVERAGE(ARRAYFORMULA(FLOOR(base*modifier*SEQUENCE(16,1,85,1)/100)))),0)</f>
        <v/>
      </c>
      <c r="I60" s="4">
        <f>IFERROR(LET(mtype,XLOOKUP($D60,'Move Editor'!$B:$B,'Move Editor'!$C:$C,""),cat,XLOOKUP($D60,'Move Editor'!$B:$B,'Move Editor'!$D:$D,""),pow,XLOOKUP($D60,'Move Editor'!$B:$B,'Move Editor'!$E:$E,0),acc,XLOOKUP($D60,'Move Editor'!$B:$B,'Move Editor'!$F:$F,100),atk,IF(cat="Physical",FLOOR((FLOOR(((2*XLOOKUP(XLOOKUP($K60,'Threshold Summary'!$Y:$Y,'Threshold Summary'!$K:$K,""),'Pokemon Editor'!$A:$A,'Pokemon Editor'!$F:$F,0)+31+FLOOR(XLOOKUP($K60,'Threshold Summary'!$Y:$Y,'Threshold Summary'!$P:$P,"")/4))*XLOOKUP($K60,'Threshold Summary'!$Y:$Y,'Threshold Summary'!$L:$L,""))/100)+5)*XLOOKUP(XLOOKUP($K60,'Threshold Summary'!$Y:$Y,'Threshold Summary'!$M:$M,""),'Nature Editor'!$A:$A,'Nature Editor'!$B:$B,1)),FLOOR((FLOOR(((2*XLOOKUP(XLOOKUP($K60,'Threshold Summary'!$Y:$Y,'Threshold Summary'!$K:$K,""),'Pokemon Editor'!$A:$A,'Pokemon Editor'!$H:$H,0)+31+FLOOR(XLOOKUP($K60,'Threshold Summary'!$Y:$Y,'Threshold Summary'!$R:$R,"")/4))*XLOOKUP($K60,'Threshold Summary'!$Y:$Y,'Threshold Summary'!$L:$L,""))/100)+5)*XLOOKUP(XLOOKUP($K60,'Threshold Summary'!$Y:$Y,'Threshold Summary'!$M:$M,""),'Nature Editor'!$A:$A,'Nature Editor'!$D:$D,1))),def,IF(cat="Physical",FLOOR((FLOOR(((2*XLOOKUP($L60,'Pokemon Editor'!$A:$A,'Pokemon Editor'!$G:$G,0)+31+FLOOR(XLOOKUP($L60,'Boss Editor'!$C:$C,'Boss Editor'!$I:$I,"")/4))*XLOOKUP($L60,'Boss Editor'!$C:$C,'Boss Editor'!$D:$D,""))/100)+5)*XLOOKUP(XLOOKUP($L60,'Boss Editor'!$C:$C,'Boss Editor'!$E:$E,""),'Nature Editor'!$A:$A,'Nature Editor'!$C:$C,1)),FLOOR((FLOOR(((2*XLOOKUP($L60,'Pokemon Editor'!$A:$A,'Pokemon Editor'!$I:$I,0)+31+FLOOR(XLOOKUP($L60,'Boss Editor'!$C:$C,'Boss Editor'!$K:$K,"")/4))*XLOOKUP($L60,'Boss Editor'!$C:$C,'Boss Editor'!$D:$D,""))/100)+5)*XLOOKUP(XLOOKUP($L60,'Boss Editor'!$C:$C,'Boss Editor'!$E:$E,""),'Nature Editor'!$A:$A,'Nature Editor'!$E:$E,1))),stab,IF(OR(mtype=XLOOKUP(XLOOKUP($K60,'Threshold Summary'!$Y:$Y,'Threshold Summary'!$K:$K,""),'Pokemon Editor'!$A:$A,'Pokemon Editor'!$C:$C,""),mtype=XLOOKUP(XLOOKUP($K60,'Threshold Summary'!$Y:$Y,'Threshold Summary'!$K:$K,""),'Pokemon Editor'!$A:$A,'Pokemon Editor'!$D:$D,"")),1.5,1),eff,(INDEX('Type Chart'!$B:$S,MATCH(mtype,'Type Chart'!$A:$A,0),MATCH(XLOOKUP($L60,'Pokemon Editor'!$A:$A,'Pokemon Editor'!$C:$C,""),'Type Chart'!$B$1:$S$1,0))*IF(XLOOKUP($L60,'Pokemon Editor'!$A:$A,'Pokemon Editor'!$D:$D,"")="",1,INDEX('Type Chart'!$B:$S,MATCH(mtype,'Type Chart'!$A:$A,0),MATCH(XLOOKUP($L60,'Pokemon Editor'!$A:$A,'Pokemon Editor'!$D:$D,""),'Type Chart'!$B$1:$S$1,0)))),base,IF(OR(cat="Status",pow=0),0,FLOOR(FLOOR(FLOOR((2*XLOOKUP($K60,'Threshold Summary'!$Y:$Y,'Threshold Summary'!$L:$L,"")/5+2)*pow*atk/def)/50)+2)),modifier,stab*eff,AVERAGE(ARRAYFORMULA(FLOOR(base*modifier*SEQUENCE(16,1,85,1)/100)))/(FLOOR(((2*XLOOKUP($L60,'Pokemon Editor'!$A:$A,'Pokemon Editor'!$E:$E,0)+31+FLOOR(XLOOKUP($L60,'Boss Editor'!$C:$C,'Boss Editor'!$G:$G,"")/4))*XLOOKUP($L60,'Boss Editor'!$C:$C,'Boss Editor'!$D:$D,""))/100)+XLOOKUP($L60,'Boss Editor'!$C:$C,'Boss Editor'!$D:$D,"")+10)),0)</f>
        <v/>
      </c>
      <c r="J60" s="3">
        <f>IF(I60&gt;=1,"OHKO",IF(I60&gt;=0.5,"2HKO",IF(I60&gt;=0.333,"3HKO",IF(I60&gt;=0.25,"4HKO","5HKO+"))))</f>
        <v/>
      </c>
      <c r="K60" s="3" t="inlineStr">
        <is>
          <t>SPECIES_LITLEO</t>
        </is>
      </c>
      <c r="L60" s="3" t="inlineStr">
        <is>
          <t>SPECIES_ANORITH</t>
        </is>
      </c>
    </row>
    <row r="61">
      <c r="A61" s="3">
        <f>XLOOKUP($K61,'Threshold Summary'!$Y:$Y,'Threshold Summary'!$A:$A,"")</f>
        <v/>
      </c>
      <c r="B61" s="3" t="inlineStr">
        <is>
          <t>Lileep</t>
        </is>
      </c>
      <c r="C61" s="3">
        <f>XLOOKUP($L61,'Boss Editor'!$C:$C,'Boss Editor'!$D:$D,"")</f>
        <v/>
      </c>
      <c r="D61" s="3">
        <f>XLOOKUP($K61,'Threshold Summary'!$Y:$Y,'Threshold Summary'!$B:$B,"")</f>
        <v/>
      </c>
      <c r="E61" s="3">
        <f>XLOOKUP(D61,'Move Editor'!$B:$B,'Move Editor'!$C:$C,"")</f>
        <v/>
      </c>
      <c r="F61" s="3">
        <f>IFERROR(LET(mtype,XLOOKUP($D61,'Move Editor'!$B:$B,'Move Editor'!$C:$C,""),cat,XLOOKUP($D61,'Move Editor'!$B:$B,'Move Editor'!$D:$D,""),pow,XLOOKUP($D61,'Move Editor'!$B:$B,'Move Editor'!$E:$E,0),acc,XLOOKUP($D61,'Move Editor'!$B:$B,'Move Editor'!$F:$F,100),atk,IF(cat="Physical",FLOOR((FLOOR(((2*XLOOKUP(XLOOKUP($K61,'Threshold Summary'!$Y:$Y,'Threshold Summary'!$K:$K,""),'Pokemon Editor'!$A:$A,'Pokemon Editor'!$F:$F,0)+31+FLOOR(XLOOKUP($K61,'Threshold Summary'!$Y:$Y,'Threshold Summary'!$P:$P,"")/4))*XLOOKUP($K61,'Threshold Summary'!$Y:$Y,'Threshold Summary'!$L:$L,""))/100)+5)*XLOOKUP(XLOOKUP($K61,'Threshold Summary'!$Y:$Y,'Threshold Summary'!$M:$M,""),'Nature Editor'!$A:$A,'Nature Editor'!$B:$B,1)),FLOOR((FLOOR(((2*XLOOKUP(XLOOKUP($K61,'Threshold Summary'!$Y:$Y,'Threshold Summary'!$K:$K,""),'Pokemon Editor'!$A:$A,'Pokemon Editor'!$H:$H,0)+31+FLOOR(XLOOKUP($K61,'Threshold Summary'!$Y:$Y,'Threshold Summary'!$R:$R,"")/4))*XLOOKUP($K61,'Threshold Summary'!$Y:$Y,'Threshold Summary'!$L:$L,""))/100)+5)*XLOOKUP(XLOOKUP($K61,'Threshold Summary'!$Y:$Y,'Threshold Summary'!$M:$M,""),'Nature Editor'!$A:$A,'Nature Editor'!$D:$D,1))),def,IF(cat="Physical",FLOOR((FLOOR(((2*XLOOKUP($L61,'Pokemon Editor'!$A:$A,'Pokemon Editor'!$G:$G,0)+31+FLOOR(XLOOKUP($L61,'Boss Editor'!$C:$C,'Boss Editor'!$I:$I,"")/4))*XLOOKUP($L61,'Boss Editor'!$C:$C,'Boss Editor'!$D:$D,""))/100)+5)*XLOOKUP(XLOOKUP($L61,'Boss Editor'!$C:$C,'Boss Editor'!$E:$E,""),'Nature Editor'!$A:$A,'Nature Editor'!$C:$C,1)),FLOOR((FLOOR(((2*XLOOKUP($L61,'Pokemon Editor'!$A:$A,'Pokemon Editor'!$I:$I,0)+31+FLOOR(XLOOKUP($L61,'Boss Editor'!$C:$C,'Boss Editor'!$K:$K,"")/4))*XLOOKUP($L61,'Boss Editor'!$C:$C,'Boss Editor'!$D:$D,""))/100)+5)*XLOOKUP(XLOOKUP($L61,'Boss Editor'!$C:$C,'Boss Editor'!$E:$E,""),'Nature Editor'!$A:$A,'Nature Editor'!$E:$E,1))),stab,IF(OR(mtype=XLOOKUP(XLOOKUP($K61,'Threshold Summary'!$Y:$Y,'Threshold Summary'!$K:$K,""),'Pokemon Editor'!$A:$A,'Pokemon Editor'!$C:$C,""),mtype=XLOOKUP(XLOOKUP($K61,'Threshold Summary'!$Y:$Y,'Threshold Summary'!$K:$K,""),'Pokemon Editor'!$A:$A,'Pokemon Editor'!$D:$D,"")),1.5,1),eff,(INDEX('Type Chart'!$B:$S,MATCH(mtype,'Type Chart'!$A:$A,0),MATCH(XLOOKUP($L61,'Pokemon Editor'!$A:$A,'Pokemon Editor'!$C:$C,""),'Type Chart'!$B$1:$S$1,0))*IF(XLOOKUP($L61,'Pokemon Editor'!$A:$A,'Pokemon Editor'!$D:$D,"")="",1,INDEX('Type Chart'!$B:$S,MATCH(mtype,'Type Chart'!$A:$A,0),MATCH(XLOOKUP($L61,'Pokemon Editor'!$A:$A,'Pokemon Editor'!$D:$D,""),'Type Chart'!$B$1:$S$1,0)))),base,IF(OR(cat="Status",pow=0),0,FLOOR(FLOOR(FLOOR((2*XLOOKUP($K61,'Threshold Summary'!$Y:$Y,'Threshold Summary'!$L:$L,"")/5+2)*pow*atk/def)/50)+2)),modifier,stab*eff,FLOOR(base*modifier*0.85)),0)</f>
        <v/>
      </c>
      <c r="G61" s="3">
        <f>IFERROR(LET(mtype,XLOOKUP($D61,'Move Editor'!$B:$B,'Move Editor'!$C:$C,""),cat,XLOOKUP($D61,'Move Editor'!$B:$B,'Move Editor'!$D:$D,""),pow,XLOOKUP($D61,'Move Editor'!$B:$B,'Move Editor'!$E:$E,0),acc,XLOOKUP($D61,'Move Editor'!$B:$B,'Move Editor'!$F:$F,100),atk,IF(cat="Physical",FLOOR((FLOOR(((2*XLOOKUP(XLOOKUP($K61,'Threshold Summary'!$Y:$Y,'Threshold Summary'!$K:$K,""),'Pokemon Editor'!$A:$A,'Pokemon Editor'!$F:$F,0)+31+FLOOR(XLOOKUP($K61,'Threshold Summary'!$Y:$Y,'Threshold Summary'!$P:$P,"")/4))*XLOOKUP($K61,'Threshold Summary'!$Y:$Y,'Threshold Summary'!$L:$L,""))/100)+5)*XLOOKUP(XLOOKUP($K61,'Threshold Summary'!$Y:$Y,'Threshold Summary'!$M:$M,""),'Nature Editor'!$A:$A,'Nature Editor'!$B:$B,1)),FLOOR((FLOOR(((2*XLOOKUP(XLOOKUP($K61,'Threshold Summary'!$Y:$Y,'Threshold Summary'!$K:$K,""),'Pokemon Editor'!$A:$A,'Pokemon Editor'!$H:$H,0)+31+FLOOR(XLOOKUP($K61,'Threshold Summary'!$Y:$Y,'Threshold Summary'!$R:$R,"")/4))*XLOOKUP($K61,'Threshold Summary'!$Y:$Y,'Threshold Summary'!$L:$L,""))/100)+5)*XLOOKUP(XLOOKUP($K61,'Threshold Summary'!$Y:$Y,'Threshold Summary'!$M:$M,""),'Nature Editor'!$A:$A,'Nature Editor'!$D:$D,1))),def,IF(cat="Physical",FLOOR((FLOOR(((2*XLOOKUP($L61,'Pokemon Editor'!$A:$A,'Pokemon Editor'!$G:$G,0)+31+FLOOR(XLOOKUP($L61,'Boss Editor'!$C:$C,'Boss Editor'!$I:$I,"")/4))*XLOOKUP($L61,'Boss Editor'!$C:$C,'Boss Editor'!$D:$D,""))/100)+5)*XLOOKUP(XLOOKUP($L61,'Boss Editor'!$C:$C,'Boss Editor'!$E:$E,""),'Nature Editor'!$A:$A,'Nature Editor'!$C:$C,1)),FLOOR((FLOOR(((2*XLOOKUP($L61,'Pokemon Editor'!$A:$A,'Pokemon Editor'!$I:$I,0)+31+FLOOR(XLOOKUP($L61,'Boss Editor'!$C:$C,'Boss Editor'!$K:$K,"")/4))*XLOOKUP($L61,'Boss Editor'!$C:$C,'Boss Editor'!$D:$D,""))/100)+5)*XLOOKUP(XLOOKUP($L61,'Boss Editor'!$C:$C,'Boss Editor'!$E:$E,""),'Nature Editor'!$A:$A,'Nature Editor'!$E:$E,1))),stab,IF(OR(mtype=XLOOKUP(XLOOKUP($K61,'Threshold Summary'!$Y:$Y,'Threshold Summary'!$K:$K,""),'Pokemon Editor'!$A:$A,'Pokemon Editor'!$C:$C,""),mtype=XLOOKUP(XLOOKUP($K61,'Threshold Summary'!$Y:$Y,'Threshold Summary'!$K:$K,""),'Pokemon Editor'!$A:$A,'Pokemon Editor'!$D:$D,"")),1.5,1),eff,(INDEX('Type Chart'!$B:$S,MATCH(mtype,'Type Chart'!$A:$A,0),MATCH(XLOOKUP($L61,'Pokemon Editor'!$A:$A,'Pokemon Editor'!$C:$C,""),'Type Chart'!$B$1:$S$1,0))*IF(XLOOKUP($L61,'Pokemon Editor'!$A:$A,'Pokemon Editor'!$D:$D,"")="",1,INDEX('Type Chart'!$B:$S,MATCH(mtype,'Type Chart'!$A:$A,0),MATCH(XLOOKUP($L61,'Pokemon Editor'!$A:$A,'Pokemon Editor'!$D:$D,""),'Type Chart'!$B$1:$S$1,0)))),base,IF(OR(cat="Status",pow=0),0,FLOOR(FLOOR(FLOOR((2*XLOOKUP($K61,'Threshold Summary'!$Y:$Y,'Threshold Summary'!$L:$L,"")/5+2)*pow*atk/def)/50)+2)),modifier,stab*eff,FLOOR(base*modifier)),0)</f>
        <v/>
      </c>
      <c r="H61" s="3">
        <f>IFERROR(LET(mtype,XLOOKUP($D61,'Move Editor'!$B:$B,'Move Editor'!$C:$C,""),cat,XLOOKUP($D61,'Move Editor'!$B:$B,'Move Editor'!$D:$D,""),pow,XLOOKUP($D61,'Move Editor'!$B:$B,'Move Editor'!$E:$E,0),acc,XLOOKUP($D61,'Move Editor'!$B:$B,'Move Editor'!$F:$F,100),atk,IF(cat="Physical",FLOOR((FLOOR(((2*XLOOKUP(XLOOKUP($K61,'Threshold Summary'!$Y:$Y,'Threshold Summary'!$K:$K,""),'Pokemon Editor'!$A:$A,'Pokemon Editor'!$F:$F,0)+31+FLOOR(XLOOKUP($K61,'Threshold Summary'!$Y:$Y,'Threshold Summary'!$P:$P,"")/4))*XLOOKUP($K61,'Threshold Summary'!$Y:$Y,'Threshold Summary'!$L:$L,""))/100)+5)*XLOOKUP(XLOOKUP($K61,'Threshold Summary'!$Y:$Y,'Threshold Summary'!$M:$M,""),'Nature Editor'!$A:$A,'Nature Editor'!$B:$B,1)),FLOOR((FLOOR(((2*XLOOKUP(XLOOKUP($K61,'Threshold Summary'!$Y:$Y,'Threshold Summary'!$K:$K,""),'Pokemon Editor'!$A:$A,'Pokemon Editor'!$H:$H,0)+31+FLOOR(XLOOKUP($K61,'Threshold Summary'!$Y:$Y,'Threshold Summary'!$R:$R,"")/4))*XLOOKUP($K61,'Threshold Summary'!$Y:$Y,'Threshold Summary'!$L:$L,""))/100)+5)*XLOOKUP(XLOOKUP($K61,'Threshold Summary'!$Y:$Y,'Threshold Summary'!$M:$M,""),'Nature Editor'!$A:$A,'Nature Editor'!$D:$D,1))),def,IF(cat="Physical",FLOOR((FLOOR(((2*XLOOKUP($L61,'Pokemon Editor'!$A:$A,'Pokemon Editor'!$G:$G,0)+31+FLOOR(XLOOKUP($L61,'Boss Editor'!$C:$C,'Boss Editor'!$I:$I,"")/4))*XLOOKUP($L61,'Boss Editor'!$C:$C,'Boss Editor'!$D:$D,""))/100)+5)*XLOOKUP(XLOOKUP($L61,'Boss Editor'!$C:$C,'Boss Editor'!$E:$E,""),'Nature Editor'!$A:$A,'Nature Editor'!$C:$C,1)),FLOOR((FLOOR(((2*XLOOKUP($L61,'Pokemon Editor'!$A:$A,'Pokemon Editor'!$I:$I,0)+31+FLOOR(XLOOKUP($L61,'Boss Editor'!$C:$C,'Boss Editor'!$K:$K,"")/4))*XLOOKUP($L61,'Boss Editor'!$C:$C,'Boss Editor'!$D:$D,""))/100)+5)*XLOOKUP(XLOOKUP($L61,'Boss Editor'!$C:$C,'Boss Editor'!$E:$E,""),'Nature Editor'!$A:$A,'Nature Editor'!$E:$E,1))),stab,IF(OR(mtype=XLOOKUP(XLOOKUP($K61,'Threshold Summary'!$Y:$Y,'Threshold Summary'!$K:$K,""),'Pokemon Editor'!$A:$A,'Pokemon Editor'!$C:$C,""),mtype=XLOOKUP(XLOOKUP($K61,'Threshold Summary'!$Y:$Y,'Threshold Summary'!$K:$K,""),'Pokemon Editor'!$A:$A,'Pokemon Editor'!$D:$D,"")),1.5,1),eff,(INDEX('Type Chart'!$B:$S,MATCH(mtype,'Type Chart'!$A:$A,0),MATCH(XLOOKUP($L61,'Pokemon Editor'!$A:$A,'Pokemon Editor'!$C:$C,""),'Type Chart'!$B$1:$S$1,0))*IF(XLOOKUP($L61,'Pokemon Editor'!$A:$A,'Pokemon Editor'!$D:$D,"")="",1,INDEX('Type Chart'!$B:$S,MATCH(mtype,'Type Chart'!$A:$A,0),MATCH(XLOOKUP($L61,'Pokemon Editor'!$A:$A,'Pokemon Editor'!$D:$D,""),'Type Chart'!$B$1:$S$1,0)))),base,IF(OR(cat="Status",pow=0),0,FLOOR(FLOOR(FLOOR((2*XLOOKUP($K61,'Threshold Summary'!$Y:$Y,'Threshold Summary'!$L:$L,"")/5+2)*pow*atk/def)/50)+2)),modifier,stab*eff,AVERAGE(ARRAYFORMULA(FLOOR(base*modifier*SEQUENCE(16,1,85,1)/100)))),0)</f>
        <v/>
      </c>
      <c r="I61" s="4">
        <f>IFERROR(LET(mtype,XLOOKUP($D61,'Move Editor'!$B:$B,'Move Editor'!$C:$C,""),cat,XLOOKUP($D61,'Move Editor'!$B:$B,'Move Editor'!$D:$D,""),pow,XLOOKUP($D61,'Move Editor'!$B:$B,'Move Editor'!$E:$E,0),acc,XLOOKUP($D61,'Move Editor'!$B:$B,'Move Editor'!$F:$F,100),atk,IF(cat="Physical",FLOOR((FLOOR(((2*XLOOKUP(XLOOKUP($K61,'Threshold Summary'!$Y:$Y,'Threshold Summary'!$K:$K,""),'Pokemon Editor'!$A:$A,'Pokemon Editor'!$F:$F,0)+31+FLOOR(XLOOKUP($K61,'Threshold Summary'!$Y:$Y,'Threshold Summary'!$P:$P,"")/4))*XLOOKUP($K61,'Threshold Summary'!$Y:$Y,'Threshold Summary'!$L:$L,""))/100)+5)*XLOOKUP(XLOOKUP($K61,'Threshold Summary'!$Y:$Y,'Threshold Summary'!$M:$M,""),'Nature Editor'!$A:$A,'Nature Editor'!$B:$B,1)),FLOOR((FLOOR(((2*XLOOKUP(XLOOKUP($K61,'Threshold Summary'!$Y:$Y,'Threshold Summary'!$K:$K,""),'Pokemon Editor'!$A:$A,'Pokemon Editor'!$H:$H,0)+31+FLOOR(XLOOKUP($K61,'Threshold Summary'!$Y:$Y,'Threshold Summary'!$R:$R,"")/4))*XLOOKUP($K61,'Threshold Summary'!$Y:$Y,'Threshold Summary'!$L:$L,""))/100)+5)*XLOOKUP(XLOOKUP($K61,'Threshold Summary'!$Y:$Y,'Threshold Summary'!$M:$M,""),'Nature Editor'!$A:$A,'Nature Editor'!$D:$D,1))),def,IF(cat="Physical",FLOOR((FLOOR(((2*XLOOKUP($L61,'Pokemon Editor'!$A:$A,'Pokemon Editor'!$G:$G,0)+31+FLOOR(XLOOKUP($L61,'Boss Editor'!$C:$C,'Boss Editor'!$I:$I,"")/4))*XLOOKUP($L61,'Boss Editor'!$C:$C,'Boss Editor'!$D:$D,""))/100)+5)*XLOOKUP(XLOOKUP($L61,'Boss Editor'!$C:$C,'Boss Editor'!$E:$E,""),'Nature Editor'!$A:$A,'Nature Editor'!$C:$C,1)),FLOOR((FLOOR(((2*XLOOKUP($L61,'Pokemon Editor'!$A:$A,'Pokemon Editor'!$I:$I,0)+31+FLOOR(XLOOKUP($L61,'Boss Editor'!$C:$C,'Boss Editor'!$K:$K,"")/4))*XLOOKUP($L61,'Boss Editor'!$C:$C,'Boss Editor'!$D:$D,""))/100)+5)*XLOOKUP(XLOOKUP($L61,'Boss Editor'!$C:$C,'Boss Editor'!$E:$E,""),'Nature Editor'!$A:$A,'Nature Editor'!$E:$E,1))),stab,IF(OR(mtype=XLOOKUP(XLOOKUP($K61,'Threshold Summary'!$Y:$Y,'Threshold Summary'!$K:$K,""),'Pokemon Editor'!$A:$A,'Pokemon Editor'!$C:$C,""),mtype=XLOOKUP(XLOOKUP($K61,'Threshold Summary'!$Y:$Y,'Threshold Summary'!$K:$K,""),'Pokemon Editor'!$A:$A,'Pokemon Editor'!$D:$D,"")),1.5,1),eff,(INDEX('Type Chart'!$B:$S,MATCH(mtype,'Type Chart'!$A:$A,0),MATCH(XLOOKUP($L61,'Pokemon Editor'!$A:$A,'Pokemon Editor'!$C:$C,""),'Type Chart'!$B$1:$S$1,0))*IF(XLOOKUP($L61,'Pokemon Editor'!$A:$A,'Pokemon Editor'!$D:$D,"")="",1,INDEX('Type Chart'!$B:$S,MATCH(mtype,'Type Chart'!$A:$A,0),MATCH(XLOOKUP($L61,'Pokemon Editor'!$A:$A,'Pokemon Editor'!$D:$D,""),'Type Chart'!$B$1:$S$1,0)))),base,IF(OR(cat="Status",pow=0),0,FLOOR(FLOOR(FLOOR((2*XLOOKUP($K61,'Threshold Summary'!$Y:$Y,'Threshold Summary'!$L:$L,"")/5+2)*pow*atk/def)/50)+2)),modifier,stab*eff,AVERAGE(ARRAYFORMULA(FLOOR(base*modifier*SEQUENCE(16,1,85,1)/100)))/(FLOOR(((2*XLOOKUP($L61,'Pokemon Editor'!$A:$A,'Pokemon Editor'!$E:$E,0)+31+FLOOR(XLOOKUP($L61,'Boss Editor'!$C:$C,'Boss Editor'!$G:$G,"")/4))*XLOOKUP($L61,'Boss Editor'!$C:$C,'Boss Editor'!$D:$D,""))/100)+XLOOKUP($L61,'Boss Editor'!$C:$C,'Boss Editor'!$D:$D,"")+10)),0)</f>
        <v/>
      </c>
      <c r="J61" s="3">
        <f>IF(I61&gt;=1,"OHKO",IF(I61&gt;=0.5,"2HKO",IF(I61&gt;=0.333,"3HKO",IF(I61&gt;=0.25,"4HKO","5HKO+"))))</f>
        <v/>
      </c>
      <c r="K61" s="3" t="inlineStr">
        <is>
          <t>SPECIES_LITLEO</t>
        </is>
      </c>
      <c r="L61" s="3" t="inlineStr">
        <is>
          <t>SPECIES_LILEEP</t>
        </is>
      </c>
    </row>
    <row r="62">
      <c r="A62" s="3">
        <f>XLOOKUP($K62,'Threshold Summary'!$Y:$Y,'Threshold Summary'!$A:$A,"")</f>
        <v/>
      </c>
      <c r="B62" s="3" t="inlineStr">
        <is>
          <t>Tirtouga</t>
        </is>
      </c>
      <c r="C62" s="3">
        <f>XLOOKUP($L62,'Boss Editor'!$C:$C,'Boss Editor'!$D:$D,"")</f>
        <v/>
      </c>
      <c r="D62" s="3">
        <f>XLOOKUP($K62,'Threshold Summary'!$Y:$Y,'Threshold Summary'!$B:$B,"")</f>
        <v/>
      </c>
      <c r="E62" s="3">
        <f>XLOOKUP(D62,'Move Editor'!$B:$B,'Move Editor'!$C:$C,"")</f>
        <v/>
      </c>
      <c r="F62" s="3">
        <f>IFERROR(LET(mtype,XLOOKUP($D62,'Move Editor'!$B:$B,'Move Editor'!$C:$C,""),cat,XLOOKUP($D62,'Move Editor'!$B:$B,'Move Editor'!$D:$D,""),pow,XLOOKUP($D62,'Move Editor'!$B:$B,'Move Editor'!$E:$E,0),acc,XLOOKUP($D62,'Move Editor'!$B:$B,'Move Editor'!$F:$F,100),atk,IF(cat="Physical",FLOOR((FLOOR(((2*XLOOKUP(XLOOKUP($K62,'Threshold Summary'!$Y:$Y,'Threshold Summary'!$K:$K,""),'Pokemon Editor'!$A:$A,'Pokemon Editor'!$F:$F,0)+31+FLOOR(XLOOKUP($K62,'Threshold Summary'!$Y:$Y,'Threshold Summary'!$P:$P,"")/4))*XLOOKUP($K62,'Threshold Summary'!$Y:$Y,'Threshold Summary'!$L:$L,""))/100)+5)*XLOOKUP(XLOOKUP($K62,'Threshold Summary'!$Y:$Y,'Threshold Summary'!$M:$M,""),'Nature Editor'!$A:$A,'Nature Editor'!$B:$B,1)),FLOOR((FLOOR(((2*XLOOKUP(XLOOKUP($K62,'Threshold Summary'!$Y:$Y,'Threshold Summary'!$K:$K,""),'Pokemon Editor'!$A:$A,'Pokemon Editor'!$H:$H,0)+31+FLOOR(XLOOKUP($K62,'Threshold Summary'!$Y:$Y,'Threshold Summary'!$R:$R,"")/4))*XLOOKUP($K62,'Threshold Summary'!$Y:$Y,'Threshold Summary'!$L:$L,""))/100)+5)*XLOOKUP(XLOOKUP($K62,'Threshold Summary'!$Y:$Y,'Threshold Summary'!$M:$M,""),'Nature Editor'!$A:$A,'Nature Editor'!$D:$D,1))),def,IF(cat="Physical",FLOOR((FLOOR(((2*XLOOKUP($L62,'Pokemon Editor'!$A:$A,'Pokemon Editor'!$G:$G,0)+31+FLOOR(XLOOKUP($L62,'Boss Editor'!$C:$C,'Boss Editor'!$I:$I,"")/4))*XLOOKUP($L62,'Boss Editor'!$C:$C,'Boss Editor'!$D:$D,""))/100)+5)*XLOOKUP(XLOOKUP($L62,'Boss Editor'!$C:$C,'Boss Editor'!$E:$E,""),'Nature Editor'!$A:$A,'Nature Editor'!$C:$C,1)),FLOOR((FLOOR(((2*XLOOKUP($L62,'Pokemon Editor'!$A:$A,'Pokemon Editor'!$I:$I,0)+31+FLOOR(XLOOKUP($L62,'Boss Editor'!$C:$C,'Boss Editor'!$K:$K,"")/4))*XLOOKUP($L62,'Boss Editor'!$C:$C,'Boss Editor'!$D:$D,""))/100)+5)*XLOOKUP(XLOOKUP($L62,'Boss Editor'!$C:$C,'Boss Editor'!$E:$E,""),'Nature Editor'!$A:$A,'Nature Editor'!$E:$E,1))),stab,IF(OR(mtype=XLOOKUP(XLOOKUP($K62,'Threshold Summary'!$Y:$Y,'Threshold Summary'!$K:$K,""),'Pokemon Editor'!$A:$A,'Pokemon Editor'!$C:$C,""),mtype=XLOOKUP(XLOOKUP($K62,'Threshold Summary'!$Y:$Y,'Threshold Summary'!$K:$K,""),'Pokemon Editor'!$A:$A,'Pokemon Editor'!$D:$D,"")),1.5,1),eff,(INDEX('Type Chart'!$B:$S,MATCH(mtype,'Type Chart'!$A:$A,0),MATCH(XLOOKUP($L62,'Pokemon Editor'!$A:$A,'Pokemon Editor'!$C:$C,""),'Type Chart'!$B$1:$S$1,0))*IF(XLOOKUP($L62,'Pokemon Editor'!$A:$A,'Pokemon Editor'!$D:$D,"")="",1,INDEX('Type Chart'!$B:$S,MATCH(mtype,'Type Chart'!$A:$A,0),MATCH(XLOOKUP($L62,'Pokemon Editor'!$A:$A,'Pokemon Editor'!$D:$D,""),'Type Chart'!$B$1:$S$1,0)))),base,IF(OR(cat="Status",pow=0),0,FLOOR(FLOOR(FLOOR((2*XLOOKUP($K62,'Threshold Summary'!$Y:$Y,'Threshold Summary'!$L:$L,"")/5+2)*pow*atk/def)/50)+2)),modifier,stab*eff,FLOOR(base*modifier*0.85)),0)</f>
        <v/>
      </c>
      <c r="G62" s="3">
        <f>IFERROR(LET(mtype,XLOOKUP($D62,'Move Editor'!$B:$B,'Move Editor'!$C:$C,""),cat,XLOOKUP($D62,'Move Editor'!$B:$B,'Move Editor'!$D:$D,""),pow,XLOOKUP($D62,'Move Editor'!$B:$B,'Move Editor'!$E:$E,0),acc,XLOOKUP($D62,'Move Editor'!$B:$B,'Move Editor'!$F:$F,100),atk,IF(cat="Physical",FLOOR((FLOOR(((2*XLOOKUP(XLOOKUP($K62,'Threshold Summary'!$Y:$Y,'Threshold Summary'!$K:$K,""),'Pokemon Editor'!$A:$A,'Pokemon Editor'!$F:$F,0)+31+FLOOR(XLOOKUP($K62,'Threshold Summary'!$Y:$Y,'Threshold Summary'!$P:$P,"")/4))*XLOOKUP($K62,'Threshold Summary'!$Y:$Y,'Threshold Summary'!$L:$L,""))/100)+5)*XLOOKUP(XLOOKUP($K62,'Threshold Summary'!$Y:$Y,'Threshold Summary'!$M:$M,""),'Nature Editor'!$A:$A,'Nature Editor'!$B:$B,1)),FLOOR((FLOOR(((2*XLOOKUP(XLOOKUP($K62,'Threshold Summary'!$Y:$Y,'Threshold Summary'!$K:$K,""),'Pokemon Editor'!$A:$A,'Pokemon Editor'!$H:$H,0)+31+FLOOR(XLOOKUP($K62,'Threshold Summary'!$Y:$Y,'Threshold Summary'!$R:$R,"")/4))*XLOOKUP($K62,'Threshold Summary'!$Y:$Y,'Threshold Summary'!$L:$L,""))/100)+5)*XLOOKUP(XLOOKUP($K62,'Threshold Summary'!$Y:$Y,'Threshold Summary'!$M:$M,""),'Nature Editor'!$A:$A,'Nature Editor'!$D:$D,1))),def,IF(cat="Physical",FLOOR((FLOOR(((2*XLOOKUP($L62,'Pokemon Editor'!$A:$A,'Pokemon Editor'!$G:$G,0)+31+FLOOR(XLOOKUP($L62,'Boss Editor'!$C:$C,'Boss Editor'!$I:$I,"")/4))*XLOOKUP($L62,'Boss Editor'!$C:$C,'Boss Editor'!$D:$D,""))/100)+5)*XLOOKUP(XLOOKUP($L62,'Boss Editor'!$C:$C,'Boss Editor'!$E:$E,""),'Nature Editor'!$A:$A,'Nature Editor'!$C:$C,1)),FLOOR((FLOOR(((2*XLOOKUP($L62,'Pokemon Editor'!$A:$A,'Pokemon Editor'!$I:$I,0)+31+FLOOR(XLOOKUP($L62,'Boss Editor'!$C:$C,'Boss Editor'!$K:$K,"")/4))*XLOOKUP($L62,'Boss Editor'!$C:$C,'Boss Editor'!$D:$D,""))/100)+5)*XLOOKUP(XLOOKUP($L62,'Boss Editor'!$C:$C,'Boss Editor'!$E:$E,""),'Nature Editor'!$A:$A,'Nature Editor'!$E:$E,1))),stab,IF(OR(mtype=XLOOKUP(XLOOKUP($K62,'Threshold Summary'!$Y:$Y,'Threshold Summary'!$K:$K,""),'Pokemon Editor'!$A:$A,'Pokemon Editor'!$C:$C,""),mtype=XLOOKUP(XLOOKUP($K62,'Threshold Summary'!$Y:$Y,'Threshold Summary'!$K:$K,""),'Pokemon Editor'!$A:$A,'Pokemon Editor'!$D:$D,"")),1.5,1),eff,(INDEX('Type Chart'!$B:$S,MATCH(mtype,'Type Chart'!$A:$A,0),MATCH(XLOOKUP($L62,'Pokemon Editor'!$A:$A,'Pokemon Editor'!$C:$C,""),'Type Chart'!$B$1:$S$1,0))*IF(XLOOKUP($L62,'Pokemon Editor'!$A:$A,'Pokemon Editor'!$D:$D,"")="",1,INDEX('Type Chart'!$B:$S,MATCH(mtype,'Type Chart'!$A:$A,0),MATCH(XLOOKUP($L62,'Pokemon Editor'!$A:$A,'Pokemon Editor'!$D:$D,""),'Type Chart'!$B$1:$S$1,0)))),base,IF(OR(cat="Status",pow=0),0,FLOOR(FLOOR(FLOOR((2*XLOOKUP($K62,'Threshold Summary'!$Y:$Y,'Threshold Summary'!$L:$L,"")/5+2)*pow*atk/def)/50)+2)),modifier,stab*eff,FLOOR(base*modifier)),0)</f>
        <v/>
      </c>
      <c r="H62" s="3">
        <f>IFERROR(LET(mtype,XLOOKUP($D62,'Move Editor'!$B:$B,'Move Editor'!$C:$C,""),cat,XLOOKUP($D62,'Move Editor'!$B:$B,'Move Editor'!$D:$D,""),pow,XLOOKUP($D62,'Move Editor'!$B:$B,'Move Editor'!$E:$E,0),acc,XLOOKUP($D62,'Move Editor'!$B:$B,'Move Editor'!$F:$F,100),atk,IF(cat="Physical",FLOOR((FLOOR(((2*XLOOKUP(XLOOKUP($K62,'Threshold Summary'!$Y:$Y,'Threshold Summary'!$K:$K,""),'Pokemon Editor'!$A:$A,'Pokemon Editor'!$F:$F,0)+31+FLOOR(XLOOKUP($K62,'Threshold Summary'!$Y:$Y,'Threshold Summary'!$P:$P,"")/4))*XLOOKUP($K62,'Threshold Summary'!$Y:$Y,'Threshold Summary'!$L:$L,""))/100)+5)*XLOOKUP(XLOOKUP($K62,'Threshold Summary'!$Y:$Y,'Threshold Summary'!$M:$M,""),'Nature Editor'!$A:$A,'Nature Editor'!$B:$B,1)),FLOOR((FLOOR(((2*XLOOKUP(XLOOKUP($K62,'Threshold Summary'!$Y:$Y,'Threshold Summary'!$K:$K,""),'Pokemon Editor'!$A:$A,'Pokemon Editor'!$H:$H,0)+31+FLOOR(XLOOKUP($K62,'Threshold Summary'!$Y:$Y,'Threshold Summary'!$R:$R,"")/4))*XLOOKUP($K62,'Threshold Summary'!$Y:$Y,'Threshold Summary'!$L:$L,""))/100)+5)*XLOOKUP(XLOOKUP($K62,'Threshold Summary'!$Y:$Y,'Threshold Summary'!$M:$M,""),'Nature Editor'!$A:$A,'Nature Editor'!$D:$D,1))),def,IF(cat="Physical",FLOOR((FLOOR(((2*XLOOKUP($L62,'Pokemon Editor'!$A:$A,'Pokemon Editor'!$G:$G,0)+31+FLOOR(XLOOKUP($L62,'Boss Editor'!$C:$C,'Boss Editor'!$I:$I,"")/4))*XLOOKUP($L62,'Boss Editor'!$C:$C,'Boss Editor'!$D:$D,""))/100)+5)*XLOOKUP(XLOOKUP($L62,'Boss Editor'!$C:$C,'Boss Editor'!$E:$E,""),'Nature Editor'!$A:$A,'Nature Editor'!$C:$C,1)),FLOOR((FLOOR(((2*XLOOKUP($L62,'Pokemon Editor'!$A:$A,'Pokemon Editor'!$I:$I,0)+31+FLOOR(XLOOKUP($L62,'Boss Editor'!$C:$C,'Boss Editor'!$K:$K,"")/4))*XLOOKUP($L62,'Boss Editor'!$C:$C,'Boss Editor'!$D:$D,""))/100)+5)*XLOOKUP(XLOOKUP($L62,'Boss Editor'!$C:$C,'Boss Editor'!$E:$E,""),'Nature Editor'!$A:$A,'Nature Editor'!$E:$E,1))),stab,IF(OR(mtype=XLOOKUP(XLOOKUP($K62,'Threshold Summary'!$Y:$Y,'Threshold Summary'!$K:$K,""),'Pokemon Editor'!$A:$A,'Pokemon Editor'!$C:$C,""),mtype=XLOOKUP(XLOOKUP($K62,'Threshold Summary'!$Y:$Y,'Threshold Summary'!$K:$K,""),'Pokemon Editor'!$A:$A,'Pokemon Editor'!$D:$D,"")),1.5,1),eff,(INDEX('Type Chart'!$B:$S,MATCH(mtype,'Type Chart'!$A:$A,0),MATCH(XLOOKUP($L62,'Pokemon Editor'!$A:$A,'Pokemon Editor'!$C:$C,""),'Type Chart'!$B$1:$S$1,0))*IF(XLOOKUP($L62,'Pokemon Editor'!$A:$A,'Pokemon Editor'!$D:$D,"")="",1,INDEX('Type Chart'!$B:$S,MATCH(mtype,'Type Chart'!$A:$A,0),MATCH(XLOOKUP($L62,'Pokemon Editor'!$A:$A,'Pokemon Editor'!$D:$D,""),'Type Chart'!$B$1:$S$1,0)))),base,IF(OR(cat="Status",pow=0),0,FLOOR(FLOOR(FLOOR((2*XLOOKUP($K62,'Threshold Summary'!$Y:$Y,'Threshold Summary'!$L:$L,"")/5+2)*pow*atk/def)/50)+2)),modifier,stab*eff,AVERAGE(ARRAYFORMULA(FLOOR(base*modifier*SEQUENCE(16,1,85,1)/100)))),0)</f>
        <v/>
      </c>
      <c r="I62" s="4">
        <f>IFERROR(LET(mtype,XLOOKUP($D62,'Move Editor'!$B:$B,'Move Editor'!$C:$C,""),cat,XLOOKUP($D62,'Move Editor'!$B:$B,'Move Editor'!$D:$D,""),pow,XLOOKUP($D62,'Move Editor'!$B:$B,'Move Editor'!$E:$E,0),acc,XLOOKUP($D62,'Move Editor'!$B:$B,'Move Editor'!$F:$F,100),atk,IF(cat="Physical",FLOOR((FLOOR(((2*XLOOKUP(XLOOKUP($K62,'Threshold Summary'!$Y:$Y,'Threshold Summary'!$K:$K,""),'Pokemon Editor'!$A:$A,'Pokemon Editor'!$F:$F,0)+31+FLOOR(XLOOKUP($K62,'Threshold Summary'!$Y:$Y,'Threshold Summary'!$P:$P,"")/4))*XLOOKUP($K62,'Threshold Summary'!$Y:$Y,'Threshold Summary'!$L:$L,""))/100)+5)*XLOOKUP(XLOOKUP($K62,'Threshold Summary'!$Y:$Y,'Threshold Summary'!$M:$M,""),'Nature Editor'!$A:$A,'Nature Editor'!$B:$B,1)),FLOOR((FLOOR(((2*XLOOKUP(XLOOKUP($K62,'Threshold Summary'!$Y:$Y,'Threshold Summary'!$K:$K,""),'Pokemon Editor'!$A:$A,'Pokemon Editor'!$H:$H,0)+31+FLOOR(XLOOKUP($K62,'Threshold Summary'!$Y:$Y,'Threshold Summary'!$R:$R,"")/4))*XLOOKUP($K62,'Threshold Summary'!$Y:$Y,'Threshold Summary'!$L:$L,""))/100)+5)*XLOOKUP(XLOOKUP($K62,'Threshold Summary'!$Y:$Y,'Threshold Summary'!$M:$M,""),'Nature Editor'!$A:$A,'Nature Editor'!$D:$D,1))),def,IF(cat="Physical",FLOOR((FLOOR(((2*XLOOKUP($L62,'Pokemon Editor'!$A:$A,'Pokemon Editor'!$G:$G,0)+31+FLOOR(XLOOKUP($L62,'Boss Editor'!$C:$C,'Boss Editor'!$I:$I,"")/4))*XLOOKUP($L62,'Boss Editor'!$C:$C,'Boss Editor'!$D:$D,""))/100)+5)*XLOOKUP(XLOOKUP($L62,'Boss Editor'!$C:$C,'Boss Editor'!$E:$E,""),'Nature Editor'!$A:$A,'Nature Editor'!$C:$C,1)),FLOOR((FLOOR(((2*XLOOKUP($L62,'Pokemon Editor'!$A:$A,'Pokemon Editor'!$I:$I,0)+31+FLOOR(XLOOKUP($L62,'Boss Editor'!$C:$C,'Boss Editor'!$K:$K,"")/4))*XLOOKUP($L62,'Boss Editor'!$C:$C,'Boss Editor'!$D:$D,""))/100)+5)*XLOOKUP(XLOOKUP($L62,'Boss Editor'!$C:$C,'Boss Editor'!$E:$E,""),'Nature Editor'!$A:$A,'Nature Editor'!$E:$E,1))),stab,IF(OR(mtype=XLOOKUP(XLOOKUP($K62,'Threshold Summary'!$Y:$Y,'Threshold Summary'!$K:$K,""),'Pokemon Editor'!$A:$A,'Pokemon Editor'!$C:$C,""),mtype=XLOOKUP(XLOOKUP($K62,'Threshold Summary'!$Y:$Y,'Threshold Summary'!$K:$K,""),'Pokemon Editor'!$A:$A,'Pokemon Editor'!$D:$D,"")),1.5,1),eff,(INDEX('Type Chart'!$B:$S,MATCH(mtype,'Type Chart'!$A:$A,0),MATCH(XLOOKUP($L62,'Pokemon Editor'!$A:$A,'Pokemon Editor'!$C:$C,""),'Type Chart'!$B$1:$S$1,0))*IF(XLOOKUP($L62,'Pokemon Editor'!$A:$A,'Pokemon Editor'!$D:$D,"")="",1,INDEX('Type Chart'!$B:$S,MATCH(mtype,'Type Chart'!$A:$A,0),MATCH(XLOOKUP($L62,'Pokemon Editor'!$A:$A,'Pokemon Editor'!$D:$D,""),'Type Chart'!$B$1:$S$1,0)))),base,IF(OR(cat="Status",pow=0),0,FLOOR(FLOOR(FLOOR((2*XLOOKUP($K62,'Threshold Summary'!$Y:$Y,'Threshold Summary'!$L:$L,"")/5+2)*pow*atk/def)/50)+2)),modifier,stab*eff,AVERAGE(ARRAYFORMULA(FLOOR(base*modifier*SEQUENCE(16,1,85,1)/100)))/(FLOOR(((2*XLOOKUP($L62,'Pokemon Editor'!$A:$A,'Pokemon Editor'!$E:$E,0)+31+FLOOR(XLOOKUP($L62,'Boss Editor'!$C:$C,'Boss Editor'!$G:$G,"")/4))*XLOOKUP($L62,'Boss Editor'!$C:$C,'Boss Editor'!$D:$D,""))/100)+XLOOKUP($L62,'Boss Editor'!$C:$C,'Boss Editor'!$D:$D,"")+10)),0)</f>
        <v/>
      </c>
      <c r="J62" s="3">
        <f>IF(I62&gt;=1,"OHKO",IF(I62&gt;=0.5,"2HKO",IF(I62&gt;=0.333,"3HKO",IF(I62&gt;=0.25,"4HKO","5HKO+"))))</f>
        <v/>
      </c>
      <c r="K62" s="3" t="inlineStr">
        <is>
          <t>SPECIES_PANCHAM</t>
        </is>
      </c>
      <c r="L62" s="3" t="inlineStr">
        <is>
          <t>SPECIES_TIRTOUGA</t>
        </is>
      </c>
    </row>
    <row r="63">
      <c r="A63" s="3">
        <f>XLOOKUP($K63,'Threshold Summary'!$Y:$Y,'Threshold Summary'!$A:$A,"")</f>
        <v/>
      </c>
      <c r="B63" s="3" t="inlineStr">
        <is>
          <t>Anorith</t>
        </is>
      </c>
      <c r="C63" s="3">
        <f>XLOOKUP($L63,'Boss Editor'!$C:$C,'Boss Editor'!$D:$D,"")</f>
        <v/>
      </c>
      <c r="D63" s="3">
        <f>XLOOKUP($K63,'Threshold Summary'!$Y:$Y,'Threshold Summary'!$B:$B,"")</f>
        <v/>
      </c>
      <c r="E63" s="3">
        <f>XLOOKUP(D63,'Move Editor'!$B:$B,'Move Editor'!$C:$C,"")</f>
        <v/>
      </c>
      <c r="F63" s="3">
        <f>IFERROR(LET(mtype,XLOOKUP($D63,'Move Editor'!$B:$B,'Move Editor'!$C:$C,""),cat,XLOOKUP($D63,'Move Editor'!$B:$B,'Move Editor'!$D:$D,""),pow,XLOOKUP($D63,'Move Editor'!$B:$B,'Move Editor'!$E:$E,0),acc,XLOOKUP($D63,'Move Editor'!$B:$B,'Move Editor'!$F:$F,100),atk,IF(cat="Physical",FLOOR((FLOOR(((2*XLOOKUP(XLOOKUP($K63,'Threshold Summary'!$Y:$Y,'Threshold Summary'!$K:$K,""),'Pokemon Editor'!$A:$A,'Pokemon Editor'!$F:$F,0)+31+FLOOR(XLOOKUP($K63,'Threshold Summary'!$Y:$Y,'Threshold Summary'!$P:$P,"")/4))*XLOOKUP($K63,'Threshold Summary'!$Y:$Y,'Threshold Summary'!$L:$L,""))/100)+5)*XLOOKUP(XLOOKUP($K63,'Threshold Summary'!$Y:$Y,'Threshold Summary'!$M:$M,""),'Nature Editor'!$A:$A,'Nature Editor'!$B:$B,1)),FLOOR((FLOOR(((2*XLOOKUP(XLOOKUP($K63,'Threshold Summary'!$Y:$Y,'Threshold Summary'!$K:$K,""),'Pokemon Editor'!$A:$A,'Pokemon Editor'!$H:$H,0)+31+FLOOR(XLOOKUP($K63,'Threshold Summary'!$Y:$Y,'Threshold Summary'!$R:$R,"")/4))*XLOOKUP($K63,'Threshold Summary'!$Y:$Y,'Threshold Summary'!$L:$L,""))/100)+5)*XLOOKUP(XLOOKUP($K63,'Threshold Summary'!$Y:$Y,'Threshold Summary'!$M:$M,""),'Nature Editor'!$A:$A,'Nature Editor'!$D:$D,1))),def,IF(cat="Physical",FLOOR((FLOOR(((2*XLOOKUP($L63,'Pokemon Editor'!$A:$A,'Pokemon Editor'!$G:$G,0)+31+FLOOR(XLOOKUP($L63,'Boss Editor'!$C:$C,'Boss Editor'!$I:$I,"")/4))*XLOOKUP($L63,'Boss Editor'!$C:$C,'Boss Editor'!$D:$D,""))/100)+5)*XLOOKUP(XLOOKUP($L63,'Boss Editor'!$C:$C,'Boss Editor'!$E:$E,""),'Nature Editor'!$A:$A,'Nature Editor'!$C:$C,1)),FLOOR((FLOOR(((2*XLOOKUP($L63,'Pokemon Editor'!$A:$A,'Pokemon Editor'!$I:$I,0)+31+FLOOR(XLOOKUP($L63,'Boss Editor'!$C:$C,'Boss Editor'!$K:$K,"")/4))*XLOOKUP($L63,'Boss Editor'!$C:$C,'Boss Editor'!$D:$D,""))/100)+5)*XLOOKUP(XLOOKUP($L63,'Boss Editor'!$C:$C,'Boss Editor'!$E:$E,""),'Nature Editor'!$A:$A,'Nature Editor'!$E:$E,1))),stab,IF(OR(mtype=XLOOKUP(XLOOKUP($K63,'Threshold Summary'!$Y:$Y,'Threshold Summary'!$K:$K,""),'Pokemon Editor'!$A:$A,'Pokemon Editor'!$C:$C,""),mtype=XLOOKUP(XLOOKUP($K63,'Threshold Summary'!$Y:$Y,'Threshold Summary'!$K:$K,""),'Pokemon Editor'!$A:$A,'Pokemon Editor'!$D:$D,"")),1.5,1),eff,(INDEX('Type Chart'!$B:$S,MATCH(mtype,'Type Chart'!$A:$A,0),MATCH(XLOOKUP($L63,'Pokemon Editor'!$A:$A,'Pokemon Editor'!$C:$C,""),'Type Chart'!$B$1:$S$1,0))*IF(XLOOKUP($L63,'Pokemon Editor'!$A:$A,'Pokemon Editor'!$D:$D,"")="",1,INDEX('Type Chart'!$B:$S,MATCH(mtype,'Type Chart'!$A:$A,0),MATCH(XLOOKUP($L63,'Pokemon Editor'!$A:$A,'Pokemon Editor'!$D:$D,""),'Type Chart'!$B$1:$S$1,0)))),base,IF(OR(cat="Status",pow=0),0,FLOOR(FLOOR(FLOOR((2*XLOOKUP($K63,'Threshold Summary'!$Y:$Y,'Threshold Summary'!$L:$L,"")/5+2)*pow*atk/def)/50)+2)),modifier,stab*eff,FLOOR(base*modifier*0.85)),0)</f>
        <v/>
      </c>
      <c r="G63" s="3">
        <f>IFERROR(LET(mtype,XLOOKUP($D63,'Move Editor'!$B:$B,'Move Editor'!$C:$C,""),cat,XLOOKUP($D63,'Move Editor'!$B:$B,'Move Editor'!$D:$D,""),pow,XLOOKUP($D63,'Move Editor'!$B:$B,'Move Editor'!$E:$E,0),acc,XLOOKUP($D63,'Move Editor'!$B:$B,'Move Editor'!$F:$F,100),atk,IF(cat="Physical",FLOOR((FLOOR(((2*XLOOKUP(XLOOKUP($K63,'Threshold Summary'!$Y:$Y,'Threshold Summary'!$K:$K,""),'Pokemon Editor'!$A:$A,'Pokemon Editor'!$F:$F,0)+31+FLOOR(XLOOKUP($K63,'Threshold Summary'!$Y:$Y,'Threshold Summary'!$P:$P,"")/4))*XLOOKUP($K63,'Threshold Summary'!$Y:$Y,'Threshold Summary'!$L:$L,""))/100)+5)*XLOOKUP(XLOOKUP($K63,'Threshold Summary'!$Y:$Y,'Threshold Summary'!$M:$M,""),'Nature Editor'!$A:$A,'Nature Editor'!$B:$B,1)),FLOOR((FLOOR(((2*XLOOKUP(XLOOKUP($K63,'Threshold Summary'!$Y:$Y,'Threshold Summary'!$K:$K,""),'Pokemon Editor'!$A:$A,'Pokemon Editor'!$H:$H,0)+31+FLOOR(XLOOKUP($K63,'Threshold Summary'!$Y:$Y,'Threshold Summary'!$R:$R,"")/4))*XLOOKUP($K63,'Threshold Summary'!$Y:$Y,'Threshold Summary'!$L:$L,""))/100)+5)*XLOOKUP(XLOOKUP($K63,'Threshold Summary'!$Y:$Y,'Threshold Summary'!$M:$M,""),'Nature Editor'!$A:$A,'Nature Editor'!$D:$D,1))),def,IF(cat="Physical",FLOOR((FLOOR(((2*XLOOKUP($L63,'Pokemon Editor'!$A:$A,'Pokemon Editor'!$G:$G,0)+31+FLOOR(XLOOKUP($L63,'Boss Editor'!$C:$C,'Boss Editor'!$I:$I,"")/4))*XLOOKUP($L63,'Boss Editor'!$C:$C,'Boss Editor'!$D:$D,""))/100)+5)*XLOOKUP(XLOOKUP($L63,'Boss Editor'!$C:$C,'Boss Editor'!$E:$E,""),'Nature Editor'!$A:$A,'Nature Editor'!$C:$C,1)),FLOOR((FLOOR(((2*XLOOKUP($L63,'Pokemon Editor'!$A:$A,'Pokemon Editor'!$I:$I,0)+31+FLOOR(XLOOKUP($L63,'Boss Editor'!$C:$C,'Boss Editor'!$K:$K,"")/4))*XLOOKUP($L63,'Boss Editor'!$C:$C,'Boss Editor'!$D:$D,""))/100)+5)*XLOOKUP(XLOOKUP($L63,'Boss Editor'!$C:$C,'Boss Editor'!$E:$E,""),'Nature Editor'!$A:$A,'Nature Editor'!$E:$E,1))),stab,IF(OR(mtype=XLOOKUP(XLOOKUP($K63,'Threshold Summary'!$Y:$Y,'Threshold Summary'!$K:$K,""),'Pokemon Editor'!$A:$A,'Pokemon Editor'!$C:$C,""),mtype=XLOOKUP(XLOOKUP($K63,'Threshold Summary'!$Y:$Y,'Threshold Summary'!$K:$K,""),'Pokemon Editor'!$A:$A,'Pokemon Editor'!$D:$D,"")),1.5,1),eff,(INDEX('Type Chart'!$B:$S,MATCH(mtype,'Type Chart'!$A:$A,0),MATCH(XLOOKUP($L63,'Pokemon Editor'!$A:$A,'Pokemon Editor'!$C:$C,""),'Type Chart'!$B$1:$S$1,0))*IF(XLOOKUP($L63,'Pokemon Editor'!$A:$A,'Pokemon Editor'!$D:$D,"")="",1,INDEX('Type Chart'!$B:$S,MATCH(mtype,'Type Chart'!$A:$A,0),MATCH(XLOOKUP($L63,'Pokemon Editor'!$A:$A,'Pokemon Editor'!$D:$D,""),'Type Chart'!$B$1:$S$1,0)))),base,IF(OR(cat="Status",pow=0),0,FLOOR(FLOOR(FLOOR((2*XLOOKUP($K63,'Threshold Summary'!$Y:$Y,'Threshold Summary'!$L:$L,"")/5+2)*pow*atk/def)/50)+2)),modifier,stab*eff,FLOOR(base*modifier)),0)</f>
        <v/>
      </c>
      <c r="H63" s="3">
        <f>IFERROR(LET(mtype,XLOOKUP($D63,'Move Editor'!$B:$B,'Move Editor'!$C:$C,""),cat,XLOOKUP($D63,'Move Editor'!$B:$B,'Move Editor'!$D:$D,""),pow,XLOOKUP($D63,'Move Editor'!$B:$B,'Move Editor'!$E:$E,0),acc,XLOOKUP($D63,'Move Editor'!$B:$B,'Move Editor'!$F:$F,100),atk,IF(cat="Physical",FLOOR((FLOOR(((2*XLOOKUP(XLOOKUP($K63,'Threshold Summary'!$Y:$Y,'Threshold Summary'!$K:$K,""),'Pokemon Editor'!$A:$A,'Pokemon Editor'!$F:$F,0)+31+FLOOR(XLOOKUP($K63,'Threshold Summary'!$Y:$Y,'Threshold Summary'!$P:$P,"")/4))*XLOOKUP($K63,'Threshold Summary'!$Y:$Y,'Threshold Summary'!$L:$L,""))/100)+5)*XLOOKUP(XLOOKUP($K63,'Threshold Summary'!$Y:$Y,'Threshold Summary'!$M:$M,""),'Nature Editor'!$A:$A,'Nature Editor'!$B:$B,1)),FLOOR((FLOOR(((2*XLOOKUP(XLOOKUP($K63,'Threshold Summary'!$Y:$Y,'Threshold Summary'!$K:$K,""),'Pokemon Editor'!$A:$A,'Pokemon Editor'!$H:$H,0)+31+FLOOR(XLOOKUP($K63,'Threshold Summary'!$Y:$Y,'Threshold Summary'!$R:$R,"")/4))*XLOOKUP($K63,'Threshold Summary'!$Y:$Y,'Threshold Summary'!$L:$L,""))/100)+5)*XLOOKUP(XLOOKUP($K63,'Threshold Summary'!$Y:$Y,'Threshold Summary'!$M:$M,""),'Nature Editor'!$A:$A,'Nature Editor'!$D:$D,1))),def,IF(cat="Physical",FLOOR((FLOOR(((2*XLOOKUP($L63,'Pokemon Editor'!$A:$A,'Pokemon Editor'!$G:$G,0)+31+FLOOR(XLOOKUP($L63,'Boss Editor'!$C:$C,'Boss Editor'!$I:$I,"")/4))*XLOOKUP($L63,'Boss Editor'!$C:$C,'Boss Editor'!$D:$D,""))/100)+5)*XLOOKUP(XLOOKUP($L63,'Boss Editor'!$C:$C,'Boss Editor'!$E:$E,""),'Nature Editor'!$A:$A,'Nature Editor'!$C:$C,1)),FLOOR((FLOOR(((2*XLOOKUP($L63,'Pokemon Editor'!$A:$A,'Pokemon Editor'!$I:$I,0)+31+FLOOR(XLOOKUP($L63,'Boss Editor'!$C:$C,'Boss Editor'!$K:$K,"")/4))*XLOOKUP($L63,'Boss Editor'!$C:$C,'Boss Editor'!$D:$D,""))/100)+5)*XLOOKUP(XLOOKUP($L63,'Boss Editor'!$C:$C,'Boss Editor'!$E:$E,""),'Nature Editor'!$A:$A,'Nature Editor'!$E:$E,1))),stab,IF(OR(mtype=XLOOKUP(XLOOKUP($K63,'Threshold Summary'!$Y:$Y,'Threshold Summary'!$K:$K,""),'Pokemon Editor'!$A:$A,'Pokemon Editor'!$C:$C,""),mtype=XLOOKUP(XLOOKUP($K63,'Threshold Summary'!$Y:$Y,'Threshold Summary'!$K:$K,""),'Pokemon Editor'!$A:$A,'Pokemon Editor'!$D:$D,"")),1.5,1),eff,(INDEX('Type Chart'!$B:$S,MATCH(mtype,'Type Chart'!$A:$A,0),MATCH(XLOOKUP($L63,'Pokemon Editor'!$A:$A,'Pokemon Editor'!$C:$C,""),'Type Chart'!$B$1:$S$1,0))*IF(XLOOKUP($L63,'Pokemon Editor'!$A:$A,'Pokemon Editor'!$D:$D,"")="",1,INDEX('Type Chart'!$B:$S,MATCH(mtype,'Type Chart'!$A:$A,0),MATCH(XLOOKUP($L63,'Pokemon Editor'!$A:$A,'Pokemon Editor'!$D:$D,""),'Type Chart'!$B$1:$S$1,0)))),base,IF(OR(cat="Status",pow=0),0,FLOOR(FLOOR(FLOOR((2*XLOOKUP($K63,'Threshold Summary'!$Y:$Y,'Threshold Summary'!$L:$L,"")/5+2)*pow*atk/def)/50)+2)),modifier,stab*eff,AVERAGE(ARRAYFORMULA(FLOOR(base*modifier*SEQUENCE(16,1,85,1)/100)))),0)</f>
        <v/>
      </c>
      <c r="I63" s="4">
        <f>IFERROR(LET(mtype,XLOOKUP($D63,'Move Editor'!$B:$B,'Move Editor'!$C:$C,""),cat,XLOOKUP($D63,'Move Editor'!$B:$B,'Move Editor'!$D:$D,""),pow,XLOOKUP($D63,'Move Editor'!$B:$B,'Move Editor'!$E:$E,0),acc,XLOOKUP($D63,'Move Editor'!$B:$B,'Move Editor'!$F:$F,100),atk,IF(cat="Physical",FLOOR((FLOOR(((2*XLOOKUP(XLOOKUP($K63,'Threshold Summary'!$Y:$Y,'Threshold Summary'!$K:$K,""),'Pokemon Editor'!$A:$A,'Pokemon Editor'!$F:$F,0)+31+FLOOR(XLOOKUP($K63,'Threshold Summary'!$Y:$Y,'Threshold Summary'!$P:$P,"")/4))*XLOOKUP($K63,'Threshold Summary'!$Y:$Y,'Threshold Summary'!$L:$L,""))/100)+5)*XLOOKUP(XLOOKUP($K63,'Threshold Summary'!$Y:$Y,'Threshold Summary'!$M:$M,""),'Nature Editor'!$A:$A,'Nature Editor'!$B:$B,1)),FLOOR((FLOOR(((2*XLOOKUP(XLOOKUP($K63,'Threshold Summary'!$Y:$Y,'Threshold Summary'!$K:$K,""),'Pokemon Editor'!$A:$A,'Pokemon Editor'!$H:$H,0)+31+FLOOR(XLOOKUP($K63,'Threshold Summary'!$Y:$Y,'Threshold Summary'!$R:$R,"")/4))*XLOOKUP($K63,'Threshold Summary'!$Y:$Y,'Threshold Summary'!$L:$L,""))/100)+5)*XLOOKUP(XLOOKUP($K63,'Threshold Summary'!$Y:$Y,'Threshold Summary'!$M:$M,""),'Nature Editor'!$A:$A,'Nature Editor'!$D:$D,1))),def,IF(cat="Physical",FLOOR((FLOOR(((2*XLOOKUP($L63,'Pokemon Editor'!$A:$A,'Pokemon Editor'!$G:$G,0)+31+FLOOR(XLOOKUP($L63,'Boss Editor'!$C:$C,'Boss Editor'!$I:$I,"")/4))*XLOOKUP($L63,'Boss Editor'!$C:$C,'Boss Editor'!$D:$D,""))/100)+5)*XLOOKUP(XLOOKUP($L63,'Boss Editor'!$C:$C,'Boss Editor'!$E:$E,""),'Nature Editor'!$A:$A,'Nature Editor'!$C:$C,1)),FLOOR((FLOOR(((2*XLOOKUP($L63,'Pokemon Editor'!$A:$A,'Pokemon Editor'!$I:$I,0)+31+FLOOR(XLOOKUP($L63,'Boss Editor'!$C:$C,'Boss Editor'!$K:$K,"")/4))*XLOOKUP($L63,'Boss Editor'!$C:$C,'Boss Editor'!$D:$D,""))/100)+5)*XLOOKUP(XLOOKUP($L63,'Boss Editor'!$C:$C,'Boss Editor'!$E:$E,""),'Nature Editor'!$A:$A,'Nature Editor'!$E:$E,1))),stab,IF(OR(mtype=XLOOKUP(XLOOKUP($K63,'Threshold Summary'!$Y:$Y,'Threshold Summary'!$K:$K,""),'Pokemon Editor'!$A:$A,'Pokemon Editor'!$C:$C,""),mtype=XLOOKUP(XLOOKUP($K63,'Threshold Summary'!$Y:$Y,'Threshold Summary'!$K:$K,""),'Pokemon Editor'!$A:$A,'Pokemon Editor'!$D:$D,"")),1.5,1),eff,(INDEX('Type Chart'!$B:$S,MATCH(mtype,'Type Chart'!$A:$A,0),MATCH(XLOOKUP($L63,'Pokemon Editor'!$A:$A,'Pokemon Editor'!$C:$C,""),'Type Chart'!$B$1:$S$1,0))*IF(XLOOKUP($L63,'Pokemon Editor'!$A:$A,'Pokemon Editor'!$D:$D,"")="",1,INDEX('Type Chart'!$B:$S,MATCH(mtype,'Type Chart'!$A:$A,0),MATCH(XLOOKUP($L63,'Pokemon Editor'!$A:$A,'Pokemon Editor'!$D:$D,""),'Type Chart'!$B$1:$S$1,0)))),base,IF(OR(cat="Status",pow=0),0,FLOOR(FLOOR(FLOOR((2*XLOOKUP($K63,'Threshold Summary'!$Y:$Y,'Threshold Summary'!$L:$L,"")/5+2)*pow*atk/def)/50)+2)),modifier,stab*eff,AVERAGE(ARRAYFORMULA(FLOOR(base*modifier*SEQUENCE(16,1,85,1)/100)))/(FLOOR(((2*XLOOKUP($L63,'Pokemon Editor'!$A:$A,'Pokemon Editor'!$E:$E,0)+31+FLOOR(XLOOKUP($L63,'Boss Editor'!$C:$C,'Boss Editor'!$G:$G,"")/4))*XLOOKUP($L63,'Boss Editor'!$C:$C,'Boss Editor'!$D:$D,""))/100)+XLOOKUP($L63,'Boss Editor'!$C:$C,'Boss Editor'!$D:$D,"")+10)),0)</f>
        <v/>
      </c>
      <c r="J63" s="3">
        <f>IF(I63&gt;=1,"OHKO",IF(I63&gt;=0.5,"2HKO",IF(I63&gt;=0.333,"3HKO",IF(I63&gt;=0.25,"4HKO","5HKO+"))))</f>
        <v/>
      </c>
      <c r="K63" s="3" t="inlineStr">
        <is>
          <t>SPECIES_PANCHAM</t>
        </is>
      </c>
      <c r="L63" s="3" t="inlineStr">
        <is>
          <t>SPECIES_ANORITH</t>
        </is>
      </c>
    </row>
    <row r="64">
      <c r="A64" s="3">
        <f>XLOOKUP($K64,'Threshold Summary'!$Y:$Y,'Threshold Summary'!$A:$A,"")</f>
        <v/>
      </c>
      <c r="B64" s="3" t="inlineStr">
        <is>
          <t>Lileep</t>
        </is>
      </c>
      <c r="C64" s="3">
        <f>XLOOKUP($L64,'Boss Editor'!$C:$C,'Boss Editor'!$D:$D,"")</f>
        <v/>
      </c>
      <c r="D64" s="3">
        <f>XLOOKUP($K64,'Threshold Summary'!$Y:$Y,'Threshold Summary'!$B:$B,"")</f>
        <v/>
      </c>
      <c r="E64" s="3">
        <f>XLOOKUP(D64,'Move Editor'!$B:$B,'Move Editor'!$C:$C,"")</f>
        <v/>
      </c>
      <c r="F64" s="3">
        <f>IFERROR(LET(mtype,XLOOKUP($D64,'Move Editor'!$B:$B,'Move Editor'!$C:$C,""),cat,XLOOKUP($D64,'Move Editor'!$B:$B,'Move Editor'!$D:$D,""),pow,XLOOKUP($D64,'Move Editor'!$B:$B,'Move Editor'!$E:$E,0),acc,XLOOKUP($D64,'Move Editor'!$B:$B,'Move Editor'!$F:$F,100),atk,IF(cat="Physical",FLOOR((FLOOR(((2*XLOOKUP(XLOOKUP($K64,'Threshold Summary'!$Y:$Y,'Threshold Summary'!$K:$K,""),'Pokemon Editor'!$A:$A,'Pokemon Editor'!$F:$F,0)+31+FLOOR(XLOOKUP($K64,'Threshold Summary'!$Y:$Y,'Threshold Summary'!$P:$P,"")/4))*XLOOKUP($K64,'Threshold Summary'!$Y:$Y,'Threshold Summary'!$L:$L,""))/100)+5)*XLOOKUP(XLOOKUP($K64,'Threshold Summary'!$Y:$Y,'Threshold Summary'!$M:$M,""),'Nature Editor'!$A:$A,'Nature Editor'!$B:$B,1)),FLOOR((FLOOR(((2*XLOOKUP(XLOOKUP($K64,'Threshold Summary'!$Y:$Y,'Threshold Summary'!$K:$K,""),'Pokemon Editor'!$A:$A,'Pokemon Editor'!$H:$H,0)+31+FLOOR(XLOOKUP($K64,'Threshold Summary'!$Y:$Y,'Threshold Summary'!$R:$R,"")/4))*XLOOKUP($K64,'Threshold Summary'!$Y:$Y,'Threshold Summary'!$L:$L,""))/100)+5)*XLOOKUP(XLOOKUP($K64,'Threshold Summary'!$Y:$Y,'Threshold Summary'!$M:$M,""),'Nature Editor'!$A:$A,'Nature Editor'!$D:$D,1))),def,IF(cat="Physical",FLOOR((FLOOR(((2*XLOOKUP($L64,'Pokemon Editor'!$A:$A,'Pokemon Editor'!$G:$G,0)+31+FLOOR(XLOOKUP($L64,'Boss Editor'!$C:$C,'Boss Editor'!$I:$I,"")/4))*XLOOKUP($L64,'Boss Editor'!$C:$C,'Boss Editor'!$D:$D,""))/100)+5)*XLOOKUP(XLOOKUP($L64,'Boss Editor'!$C:$C,'Boss Editor'!$E:$E,""),'Nature Editor'!$A:$A,'Nature Editor'!$C:$C,1)),FLOOR((FLOOR(((2*XLOOKUP($L64,'Pokemon Editor'!$A:$A,'Pokemon Editor'!$I:$I,0)+31+FLOOR(XLOOKUP($L64,'Boss Editor'!$C:$C,'Boss Editor'!$K:$K,"")/4))*XLOOKUP($L64,'Boss Editor'!$C:$C,'Boss Editor'!$D:$D,""))/100)+5)*XLOOKUP(XLOOKUP($L64,'Boss Editor'!$C:$C,'Boss Editor'!$E:$E,""),'Nature Editor'!$A:$A,'Nature Editor'!$E:$E,1))),stab,IF(OR(mtype=XLOOKUP(XLOOKUP($K64,'Threshold Summary'!$Y:$Y,'Threshold Summary'!$K:$K,""),'Pokemon Editor'!$A:$A,'Pokemon Editor'!$C:$C,""),mtype=XLOOKUP(XLOOKUP($K64,'Threshold Summary'!$Y:$Y,'Threshold Summary'!$K:$K,""),'Pokemon Editor'!$A:$A,'Pokemon Editor'!$D:$D,"")),1.5,1),eff,(INDEX('Type Chart'!$B:$S,MATCH(mtype,'Type Chart'!$A:$A,0),MATCH(XLOOKUP($L64,'Pokemon Editor'!$A:$A,'Pokemon Editor'!$C:$C,""),'Type Chart'!$B$1:$S$1,0))*IF(XLOOKUP($L64,'Pokemon Editor'!$A:$A,'Pokemon Editor'!$D:$D,"")="",1,INDEX('Type Chart'!$B:$S,MATCH(mtype,'Type Chart'!$A:$A,0),MATCH(XLOOKUP($L64,'Pokemon Editor'!$A:$A,'Pokemon Editor'!$D:$D,""),'Type Chart'!$B$1:$S$1,0)))),base,IF(OR(cat="Status",pow=0),0,FLOOR(FLOOR(FLOOR((2*XLOOKUP($K64,'Threshold Summary'!$Y:$Y,'Threshold Summary'!$L:$L,"")/5+2)*pow*atk/def)/50)+2)),modifier,stab*eff,FLOOR(base*modifier*0.85)),0)</f>
        <v/>
      </c>
      <c r="G64" s="3">
        <f>IFERROR(LET(mtype,XLOOKUP($D64,'Move Editor'!$B:$B,'Move Editor'!$C:$C,""),cat,XLOOKUP($D64,'Move Editor'!$B:$B,'Move Editor'!$D:$D,""),pow,XLOOKUP($D64,'Move Editor'!$B:$B,'Move Editor'!$E:$E,0),acc,XLOOKUP($D64,'Move Editor'!$B:$B,'Move Editor'!$F:$F,100),atk,IF(cat="Physical",FLOOR((FLOOR(((2*XLOOKUP(XLOOKUP($K64,'Threshold Summary'!$Y:$Y,'Threshold Summary'!$K:$K,""),'Pokemon Editor'!$A:$A,'Pokemon Editor'!$F:$F,0)+31+FLOOR(XLOOKUP($K64,'Threshold Summary'!$Y:$Y,'Threshold Summary'!$P:$P,"")/4))*XLOOKUP($K64,'Threshold Summary'!$Y:$Y,'Threshold Summary'!$L:$L,""))/100)+5)*XLOOKUP(XLOOKUP($K64,'Threshold Summary'!$Y:$Y,'Threshold Summary'!$M:$M,""),'Nature Editor'!$A:$A,'Nature Editor'!$B:$B,1)),FLOOR((FLOOR(((2*XLOOKUP(XLOOKUP($K64,'Threshold Summary'!$Y:$Y,'Threshold Summary'!$K:$K,""),'Pokemon Editor'!$A:$A,'Pokemon Editor'!$H:$H,0)+31+FLOOR(XLOOKUP($K64,'Threshold Summary'!$Y:$Y,'Threshold Summary'!$R:$R,"")/4))*XLOOKUP($K64,'Threshold Summary'!$Y:$Y,'Threshold Summary'!$L:$L,""))/100)+5)*XLOOKUP(XLOOKUP($K64,'Threshold Summary'!$Y:$Y,'Threshold Summary'!$M:$M,""),'Nature Editor'!$A:$A,'Nature Editor'!$D:$D,1))),def,IF(cat="Physical",FLOOR((FLOOR(((2*XLOOKUP($L64,'Pokemon Editor'!$A:$A,'Pokemon Editor'!$G:$G,0)+31+FLOOR(XLOOKUP($L64,'Boss Editor'!$C:$C,'Boss Editor'!$I:$I,"")/4))*XLOOKUP($L64,'Boss Editor'!$C:$C,'Boss Editor'!$D:$D,""))/100)+5)*XLOOKUP(XLOOKUP($L64,'Boss Editor'!$C:$C,'Boss Editor'!$E:$E,""),'Nature Editor'!$A:$A,'Nature Editor'!$C:$C,1)),FLOOR((FLOOR(((2*XLOOKUP($L64,'Pokemon Editor'!$A:$A,'Pokemon Editor'!$I:$I,0)+31+FLOOR(XLOOKUP($L64,'Boss Editor'!$C:$C,'Boss Editor'!$K:$K,"")/4))*XLOOKUP($L64,'Boss Editor'!$C:$C,'Boss Editor'!$D:$D,""))/100)+5)*XLOOKUP(XLOOKUP($L64,'Boss Editor'!$C:$C,'Boss Editor'!$E:$E,""),'Nature Editor'!$A:$A,'Nature Editor'!$E:$E,1))),stab,IF(OR(mtype=XLOOKUP(XLOOKUP($K64,'Threshold Summary'!$Y:$Y,'Threshold Summary'!$K:$K,""),'Pokemon Editor'!$A:$A,'Pokemon Editor'!$C:$C,""),mtype=XLOOKUP(XLOOKUP($K64,'Threshold Summary'!$Y:$Y,'Threshold Summary'!$K:$K,""),'Pokemon Editor'!$A:$A,'Pokemon Editor'!$D:$D,"")),1.5,1),eff,(INDEX('Type Chart'!$B:$S,MATCH(mtype,'Type Chart'!$A:$A,0),MATCH(XLOOKUP($L64,'Pokemon Editor'!$A:$A,'Pokemon Editor'!$C:$C,""),'Type Chart'!$B$1:$S$1,0))*IF(XLOOKUP($L64,'Pokemon Editor'!$A:$A,'Pokemon Editor'!$D:$D,"")="",1,INDEX('Type Chart'!$B:$S,MATCH(mtype,'Type Chart'!$A:$A,0),MATCH(XLOOKUP($L64,'Pokemon Editor'!$A:$A,'Pokemon Editor'!$D:$D,""),'Type Chart'!$B$1:$S$1,0)))),base,IF(OR(cat="Status",pow=0),0,FLOOR(FLOOR(FLOOR((2*XLOOKUP($K64,'Threshold Summary'!$Y:$Y,'Threshold Summary'!$L:$L,"")/5+2)*pow*atk/def)/50)+2)),modifier,stab*eff,FLOOR(base*modifier)),0)</f>
        <v/>
      </c>
      <c r="H64" s="3">
        <f>IFERROR(LET(mtype,XLOOKUP($D64,'Move Editor'!$B:$B,'Move Editor'!$C:$C,""),cat,XLOOKUP($D64,'Move Editor'!$B:$B,'Move Editor'!$D:$D,""),pow,XLOOKUP($D64,'Move Editor'!$B:$B,'Move Editor'!$E:$E,0),acc,XLOOKUP($D64,'Move Editor'!$B:$B,'Move Editor'!$F:$F,100),atk,IF(cat="Physical",FLOOR((FLOOR(((2*XLOOKUP(XLOOKUP($K64,'Threshold Summary'!$Y:$Y,'Threshold Summary'!$K:$K,""),'Pokemon Editor'!$A:$A,'Pokemon Editor'!$F:$F,0)+31+FLOOR(XLOOKUP($K64,'Threshold Summary'!$Y:$Y,'Threshold Summary'!$P:$P,"")/4))*XLOOKUP($K64,'Threshold Summary'!$Y:$Y,'Threshold Summary'!$L:$L,""))/100)+5)*XLOOKUP(XLOOKUP($K64,'Threshold Summary'!$Y:$Y,'Threshold Summary'!$M:$M,""),'Nature Editor'!$A:$A,'Nature Editor'!$B:$B,1)),FLOOR((FLOOR(((2*XLOOKUP(XLOOKUP($K64,'Threshold Summary'!$Y:$Y,'Threshold Summary'!$K:$K,""),'Pokemon Editor'!$A:$A,'Pokemon Editor'!$H:$H,0)+31+FLOOR(XLOOKUP($K64,'Threshold Summary'!$Y:$Y,'Threshold Summary'!$R:$R,"")/4))*XLOOKUP($K64,'Threshold Summary'!$Y:$Y,'Threshold Summary'!$L:$L,""))/100)+5)*XLOOKUP(XLOOKUP($K64,'Threshold Summary'!$Y:$Y,'Threshold Summary'!$M:$M,""),'Nature Editor'!$A:$A,'Nature Editor'!$D:$D,1))),def,IF(cat="Physical",FLOOR((FLOOR(((2*XLOOKUP($L64,'Pokemon Editor'!$A:$A,'Pokemon Editor'!$G:$G,0)+31+FLOOR(XLOOKUP($L64,'Boss Editor'!$C:$C,'Boss Editor'!$I:$I,"")/4))*XLOOKUP($L64,'Boss Editor'!$C:$C,'Boss Editor'!$D:$D,""))/100)+5)*XLOOKUP(XLOOKUP($L64,'Boss Editor'!$C:$C,'Boss Editor'!$E:$E,""),'Nature Editor'!$A:$A,'Nature Editor'!$C:$C,1)),FLOOR((FLOOR(((2*XLOOKUP($L64,'Pokemon Editor'!$A:$A,'Pokemon Editor'!$I:$I,0)+31+FLOOR(XLOOKUP($L64,'Boss Editor'!$C:$C,'Boss Editor'!$K:$K,"")/4))*XLOOKUP($L64,'Boss Editor'!$C:$C,'Boss Editor'!$D:$D,""))/100)+5)*XLOOKUP(XLOOKUP($L64,'Boss Editor'!$C:$C,'Boss Editor'!$E:$E,""),'Nature Editor'!$A:$A,'Nature Editor'!$E:$E,1))),stab,IF(OR(mtype=XLOOKUP(XLOOKUP($K64,'Threshold Summary'!$Y:$Y,'Threshold Summary'!$K:$K,""),'Pokemon Editor'!$A:$A,'Pokemon Editor'!$C:$C,""),mtype=XLOOKUP(XLOOKUP($K64,'Threshold Summary'!$Y:$Y,'Threshold Summary'!$K:$K,""),'Pokemon Editor'!$A:$A,'Pokemon Editor'!$D:$D,"")),1.5,1),eff,(INDEX('Type Chart'!$B:$S,MATCH(mtype,'Type Chart'!$A:$A,0),MATCH(XLOOKUP($L64,'Pokemon Editor'!$A:$A,'Pokemon Editor'!$C:$C,""),'Type Chart'!$B$1:$S$1,0))*IF(XLOOKUP($L64,'Pokemon Editor'!$A:$A,'Pokemon Editor'!$D:$D,"")="",1,INDEX('Type Chart'!$B:$S,MATCH(mtype,'Type Chart'!$A:$A,0),MATCH(XLOOKUP($L64,'Pokemon Editor'!$A:$A,'Pokemon Editor'!$D:$D,""),'Type Chart'!$B$1:$S$1,0)))),base,IF(OR(cat="Status",pow=0),0,FLOOR(FLOOR(FLOOR((2*XLOOKUP($K64,'Threshold Summary'!$Y:$Y,'Threshold Summary'!$L:$L,"")/5+2)*pow*atk/def)/50)+2)),modifier,stab*eff,AVERAGE(ARRAYFORMULA(FLOOR(base*modifier*SEQUENCE(16,1,85,1)/100)))),0)</f>
        <v/>
      </c>
      <c r="I64" s="4">
        <f>IFERROR(LET(mtype,XLOOKUP($D64,'Move Editor'!$B:$B,'Move Editor'!$C:$C,""),cat,XLOOKUP($D64,'Move Editor'!$B:$B,'Move Editor'!$D:$D,""),pow,XLOOKUP($D64,'Move Editor'!$B:$B,'Move Editor'!$E:$E,0),acc,XLOOKUP($D64,'Move Editor'!$B:$B,'Move Editor'!$F:$F,100),atk,IF(cat="Physical",FLOOR((FLOOR(((2*XLOOKUP(XLOOKUP($K64,'Threshold Summary'!$Y:$Y,'Threshold Summary'!$K:$K,""),'Pokemon Editor'!$A:$A,'Pokemon Editor'!$F:$F,0)+31+FLOOR(XLOOKUP($K64,'Threshold Summary'!$Y:$Y,'Threshold Summary'!$P:$P,"")/4))*XLOOKUP($K64,'Threshold Summary'!$Y:$Y,'Threshold Summary'!$L:$L,""))/100)+5)*XLOOKUP(XLOOKUP($K64,'Threshold Summary'!$Y:$Y,'Threshold Summary'!$M:$M,""),'Nature Editor'!$A:$A,'Nature Editor'!$B:$B,1)),FLOOR((FLOOR(((2*XLOOKUP(XLOOKUP($K64,'Threshold Summary'!$Y:$Y,'Threshold Summary'!$K:$K,""),'Pokemon Editor'!$A:$A,'Pokemon Editor'!$H:$H,0)+31+FLOOR(XLOOKUP($K64,'Threshold Summary'!$Y:$Y,'Threshold Summary'!$R:$R,"")/4))*XLOOKUP($K64,'Threshold Summary'!$Y:$Y,'Threshold Summary'!$L:$L,""))/100)+5)*XLOOKUP(XLOOKUP($K64,'Threshold Summary'!$Y:$Y,'Threshold Summary'!$M:$M,""),'Nature Editor'!$A:$A,'Nature Editor'!$D:$D,1))),def,IF(cat="Physical",FLOOR((FLOOR(((2*XLOOKUP($L64,'Pokemon Editor'!$A:$A,'Pokemon Editor'!$G:$G,0)+31+FLOOR(XLOOKUP($L64,'Boss Editor'!$C:$C,'Boss Editor'!$I:$I,"")/4))*XLOOKUP($L64,'Boss Editor'!$C:$C,'Boss Editor'!$D:$D,""))/100)+5)*XLOOKUP(XLOOKUP($L64,'Boss Editor'!$C:$C,'Boss Editor'!$E:$E,""),'Nature Editor'!$A:$A,'Nature Editor'!$C:$C,1)),FLOOR((FLOOR(((2*XLOOKUP($L64,'Pokemon Editor'!$A:$A,'Pokemon Editor'!$I:$I,0)+31+FLOOR(XLOOKUP($L64,'Boss Editor'!$C:$C,'Boss Editor'!$K:$K,"")/4))*XLOOKUP($L64,'Boss Editor'!$C:$C,'Boss Editor'!$D:$D,""))/100)+5)*XLOOKUP(XLOOKUP($L64,'Boss Editor'!$C:$C,'Boss Editor'!$E:$E,""),'Nature Editor'!$A:$A,'Nature Editor'!$E:$E,1))),stab,IF(OR(mtype=XLOOKUP(XLOOKUP($K64,'Threshold Summary'!$Y:$Y,'Threshold Summary'!$K:$K,""),'Pokemon Editor'!$A:$A,'Pokemon Editor'!$C:$C,""),mtype=XLOOKUP(XLOOKUP($K64,'Threshold Summary'!$Y:$Y,'Threshold Summary'!$K:$K,""),'Pokemon Editor'!$A:$A,'Pokemon Editor'!$D:$D,"")),1.5,1),eff,(INDEX('Type Chart'!$B:$S,MATCH(mtype,'Type Chart'!$A:$A,0),MATCH(XLOOKUP($L64,'Pokemon Editor'!$A:$A,'Pokemon Editor'!$C:$C,""),'Type Chart'!$B$1:$S$1,0))*IF(XLOOKUP($L64,'Pokemon Editor'!$A:$A,'Pokemon Editor'!$D:$D,"")="",1,INDEX('Type Chart'!$B:$S,MATCH(mtype,'Type Chart'!$A:$A,0),MATCH(XLOOKUP($L64,'Pokemon Editor'!$A:$A,'Pokemon Editor'!$D:$D,""),'Type Chart'!$B$1:$S$1,0)))),base,IF(OR(cat="Status",pow=0),0,FLOOR(FLOOR(FLOOR((2*XLOOKUP($K64,'Threshold Summary'!$Y:$Y,'Threshold Summary'!$L:$L,"")/5+2)*pow*atk/def)/50)+2)),modifier,stab*eff,AVERAGE(ARRAYFORMULA(FLOOR(base*modifier*SEQUENCE(16,1,85,1)/100)))/(FLOOR(((2*XLOOKUP($L64,'Pokemon Editor'!$A:$A,'Pokemon Editor'!$E:$E,0)+31+FLOOR(XLOOKUP($L64,'Boss Editor'!$C:$C,'Boss Editor'!$G:$G,"")/4))*XLOOKUP($L64,'Boss Editor'!$C:$C,'Boss Editor'!$D:$D,""))/100)+XLOOKUP($L64,'Boss Editor'!$C:$C,'Boss Editor'!$D:$D,"")+10)),0)</f>
        <v/>
      </c>
      <c r="J64" s="3">
        <f>IF(I64&gt;=1,"OHKO",IF(I64&gt;=0.5,"2HKO",IF(I64&gt;=0.333,"3HKO",IF(I64&gt;=0.25,"4HKO","5HKO+"))))</f>
        <v/>
      </c>
      <c r="K64" s="3" t="inlineStr">
        <is>
          <t>SPECIES_PANCHAM</t>
        </is>
      </c>
      <c r="L64" s="3" t="inlineStr">
        <is>
          <t>SPECIES_LILEEP</t>
        </is>
      </c>
    </row>
    <row r="65">
      <c r="A65" s="3">
        <f>XLOOKUP($K65,'Threshold Summary'!$Y:$Y,'Threshold Summary'!$A:$A,"")</f>
        <v/>
      </c>
      <c r="B65" s="3" t="inlineStr">
        <is>
          <t>Tirtouga</t>
        </is>
      </c>
      <c r="C65" s="3">
        <f>XLOOKUP($L65,'Boss Editor'!$C:$C,'Boss Editor'!$D:$D,"")</f>
        <v/>
      </c>
      <c r="D65" s="3">
        <f>XLOOKUP($K65,'Threshold Summary'!$Y:$Y,'Threshold Summary'!$B:$B,"")</f>
        <v/>
      </c>
      <c r="E65" s="3">
        <f>XLOOKUP(D65,'Move Editor'!$B:$B,'Move Editor'!$C:$C,"")</f>
        <v/>
      </c>
      <c r="F65" s="3">
        <f>IFERROR(LET(mtype,XLOOKUP($D65,'Move Editor'!$B:$B,'Move Editor'!$C:$C,""),cat,XLOOKUP($D65,'Move Editor'!$B:$B,'Move Editor'!$D:$D,""),pow,XLOOKUP($D65,'Move Editor'!$B:$B,'Move Editor'!$E:$E,0),acc,XLOOKUP($D65,'Move Editor'!$B:$B,'Move Editor'!$F:$F,100),atk,IF(cat="Physical",FLOOR((FLOOR(((2*XLOOKUP(XLOOKUP($K65,'Threshold Summary'!$Y:$Y,'Threshold Summary'!$K:$K,""),'Pokemon Editor'!$A:$A,'Pokemon Editor'!$F:$F,0)+31+FLOOR(XLOOKUP($K65,'Threshold Summary'!$Y:$Y,'Threshold Summary'!$P:$P,"")/4))*XLOOKUP($K65,'Threshold Summary'!$Y:$Y,'Threshold Summary'!$L:$L,""))/100)+5)*XLOOKUP(XLOOKUP($K65,'Threshold Summary'!$Y:$Y,'Threshold Summary'!$M:$M,""),'Nature Editor'!$A:$A,'Nature Editor'!$B:$B,1)),FLOOR((FLOOR(((2*XLOOKUP(XLOOKUP($K65,'Threshold Summary'!$Y:$Y,'Threshold Summary'!$K:$K,""),'Pokemon Editor'!$A:$A,'Pokemon Editor'!$H:$H,0)+31+FLOOR(XLOOKUP($K65,'Threshold Summary'!$Y:$Y,'Threshold Summary'!$R:$R,"")/4))*XLOOKUP($K65,'Threshold Summary'!$Y:$Y,'Threshold Summary'!$L:$L,""))/100)+5)*XLOOKUP(XLOOKUP($K65,'Threshold Summary'!$Y:$Y,'Threshold Summary'!$M:$M,""),'Nature Editor'!$A:$A,'Nature Editor'!$D:$D,1))),def,IF(cat="Physical",FLOOR((FLOOR(((2*XLOOKUP($L65,'Pokemon Editor'!$A:$A,'Pokemon Editor'!$G:$G,0)+31+FLOOR(XLOOKUP($L65,'Boss Editor'!$C:$C,'Boss Editor'!$I:$I,"")/4))*XLOOKUP($L65,'Boss Editor'!$C:$C,'Boss Editor'!$D:$D,""))/100)+5)*XLOOKUP(XLOOKUP($L65,'Boss Editor'!$C:$C,'Boss Editor'!$E:$E,""),'Nature Editor'!$A:$A,'Nature Editor'!$C:$C,1)),FLOOR((FLOOR(((2*XLOOKUP($L65,'Pokemon Editor'!$A:$A,'Pokemon Editor'!$I:$I,0)+31+FLOOR(XLOOKUP($L65,'Boss Editor'!$C:$C,'Boss Editor'!$K:$K,"")/4))*XLOOKUP($L65,'Boss Editor'!$C:$C,'Boss Editor'!$D:$D,""))/100)+5)*XLOOKUP(XLOOKUP($L65,'Boss Editor'!$C:$C,'Boss Editor'!$E:$E,""),'Nature Editor'!$A:$A,'Nature Editor'!$E:$E,1))),stab,IF(OR(mtype=XLOOKUP(XLOOKUP($K65,'Threshold Summary'!$Y:$Y,'Threshold Summary'!$K:$K,""),'Pokemon Editor'!$A:$A,'Pokemon Editor'!$C:$C,""),mtype=XLOOKUP(XLOOKUP($K65,'Threshold Summary'!$Y:$Y,'Threshold Summary'!$K:$K,""),'Pokemon Editor'!$A:$A,'Pokemon Editor'!$D:$D,"")),1.5,1),eff,(INDEX('Type Chart'!$B:$S,MATCH(mtype,'Type Chart'!$A:$A,0),MATCH(XLOOKUP($L65,'Pokemon Editor'!$A:$A,'Pokemon Editor'!$C:$C,""),'Type Chart'!$B$1:$S$1,0))*IF(XLOOKUP($L65,'Pokemon Editor'!$A:$A,'Pokemon Editor'!$D:$D,"")="",1,INDEX('Type Chart'!$B:$S,MATCH(mtype,'Type Chart'!$A:$A,0),MATCH(XLOOKUP($L65,'Pokemon Editor'!$A:$A,'Pokemon Editor'!$D:$D,""),'Type Chart'!$B$1:$S$1,0)))),base,IF(OR(cat="Status",pow=0),0,FLOOR(FLOOR(FLOOR((2*XLOOKUP($K65,'Threshold Summary'!$Y:$Y,'Threshold Summary'!$L:$L,"")/5+2)*pow*atk/def)/50)+2)),modifier,stab*eff,FLOOR(base*modifier*0.85)),0)</f>
        <v/>
      </c>
      <c r="G65" s="3">
        <f>IFERROR(LET(mtype,XLOOKUP($D65,'Move Editor'!$B:$B,'Move Editor'!$C:$C,""),cat,XLOOKUP($D65,'Move Editor'!$B:$B,'Move Editor'!$D:$D,""),pow,XLOOKUP($D65,'Move Editor'!$B:$B,'Move Editor'!$E:$E,0),acc,XLOOKUP($D65,'Move Editor'!$B:$B,'Move Editor'!$F:$F,100),atk,IF(cat="Physical",FLOOR((FLOOR(((2*XLOOKUP(XLOOKUP($K65,'Threshold Summary'!$Y:$Y,'Threshold Summary'!$K:$K,""),'Pokemon Editor'!$A:$A,'Pokemon Editor'!$F:$F,0)+31+FLOOR(XLOOKUP($K65,'Threshold Summary'!$Y:$Y,'Threshold Summary'!$P:$P,"")/4))*XLOOKUP($K65,'Threshold Summary'!$Y:$Y,'Threshold Summary'!$L:$L,""))/100)+5)*XLOOKUP(XLOOKUP($K65,'Threshold Summary'!$Y:$Y,'Threshold Summary'!$M:$M,""),'Nature Editor'!$A:$A,'Nature Editor'!$B:$B,1)),FLOOR((FLOOR(((2*XLOOKUP(XLOOKUP($K65,'Threshold Summary'!$Y:$Y,'Threshold Summary'!$K:$K,""),'Pokemon Editor'!$A:$A,'Pokemon Editor'!$H:$H,0)+31+FLOOR(XLOOKUP($K65,'Threshold Summary'!$Y:$Y,'Threshold Summary'!$R:$R,"")/4))*XLOOKUP($K65,'Threshold Summary'!$Y:$Y,'Threshold Summary'!$L:$L,""))/100)+5)*XLOOKUP(XLOOKUP($K65,'Threshold Summary'!$Y:$Y,'Threshold Summary'!$M:$M,""),'Nature Editor'!$A:$A,'Nature Editor'!$D:$D,1))),def,IF(cat="Physical",FLOOR((FLOOR(((2*XLOOKUP($L65,'Pokemon Editor'!$A:$A,'Pokemon Editor'!$G:$G,0)+31+FLOOR(XLOOKUP($L65,'Boss Editor'!$C:$C,'Boss Editor'!$I:$I,"")/4))*XLOOKUP($L65,'Boss Editor'!$C:$C,'Boss Editor'!$D:$D,""))/100)+5)*XLOOKUP(XLOOKUP($L65,'Boss Editor'!$C:$C,'Boss Editor'!$E:$E,""),'Nature Editor'!$A:$A,'Nature Editor'!$C:$C,1)),FLOOR((FLOOR(((2*XLOOKUP($L65,'Pokemon Editor'!$A:$A,'Pokemon Editor'!$I:$I,0)+31+FLOOR(XLOOKUP($L65,'Boss Editor'!$C:$C,'Boss Editor'!$K:$K,"")/4))*XLOOKUP($L65,'Boss Editor'!$C:$C,'Boss Editor'!$D:$D,""))/100)+5)*XLOOKUP(XLOOKUP($L65,'Boss Editor'!$C:$C,'Boss Editor'!$E:$E,""),'Nature Editor'!$A:$A,'Nature Editor'!$E:$E,1))),stab,IF(OR(mtype=XLOOKUP(XLOOKUP($K65,'Threshold Summary'!$Y:$Y,'Threshold Summary'!$K:$K,""),'Pokemon Editor'!$A:$A,'Pokemon Editor'!$C:$C,""),mtype=XLOOKUP(XLOOKUP($K65,'Threshold Summary'!$Y:$Y,'Threshold Summary'!$K:$K,""),'Pokemon Editor'!$A:$A,'Pokemon Editor'!$D:$D,"")),1.5,1),eff,(INDEX('Type Chart'!$B:$S,MATCH(mtype,'Type Chart'!$A:$A,0),MATCH(XLOOKUP($L65,'Pokemon Editor'!$A:$A,'Pokemon Editor'!$C:$C,""),'Type Chart'!$B$1:$S$1,0))*IF(XLOOKUP($L65,'Pokemon Editor'!$A:$A,'Pokemon Editor'!$D:$D,"")="",1,INDEX('Type Chart'!$B:$S,MATCH(mtype,'Type Chart'!$A:$A,0),MATCH(XLOOKUP($L65,'Pokemon Editor'!$A:$A,'Pokemon Editor'!$D:$D,""),'Type Chart'!$B$1:$S$1,0)))),base,IF(OR(cat="Status",pow=0),0,FLOOR(FLOOR(FLOOR((2*XLOOKUP($K65,'Threshold Summary'!$Y:$Y,'Threshold Summary'!$L:$L,"")/5+2)*pow*atk/def)/50)+2)),modifier,stab*eff,FLOOR(base*modifier)),0)</f>
        <v/>
      </c>
      <c r="H65" s="3">
        <f>IFERROR(LET(mtype,XLOOKUP($D65,'Move Editor'!$B:$B,'Move Editor'!$C:$C,""),cat,XLOOKUP($D65,'Move Editor'!$B:$B,'Move Editor'!$D:$D,""),pow,XLOOKUP($D65,'Move Editor'!$B:$B,'Move Editor'!$E:$E,0),acc,XLOOKUP($D65,'Move Editor'!$B:$B,'Move Editor'!$F:$F,100),atk,IF(cat="Physical",FLOOR((FLOOR(((2*XLOOKUP(XLOOKUP($K65,'Threshold Summary'!$Y:$Y,'Threshold Summary'!$K:$K,""),'Pokemon Editor'!$A:$A,'Pokemon Editor'!$F:$F,0)+31+FLOOR(XLOOKUP($K65,'Threshold Summary'!$Y:$Y,'Threshold Summary'!$P:$P,"")/4))*XLOOKUP($K65,'Threshold Summary'!$Y:$Y,'Threshold Summary'!$L:$L,""))/100)+5)*XLOOKUP(XLOOKUP($K65,'Threshold Summary'!$Y:$Y,'Threshold Summary'!$M:$M,""),'Nature Editor'!$A:$A,'Nature Editor'!$B:$B,1)),FLOOR((FLOOR(((2*XLOOKUP(XLOOKUP($K65,'Threshold Summary'!$Y:$Y,'Threshold Summary'!$K:$K,""),'Pokemon Editor'!$A:$A,'Pokemon Editor'!$H:$H,0)+31+FLOOR(XLOOKUP($K65,'Threshold Summary'!$Y:$Y,'Threshold Summary'!$R:$R,"")/4))*XLOOKUP($K65,'Threshold Summary'!$Y:$Y,'Threshold Summary'!$L:$L,""))/100)+5)*XLOOKUP(XLOOKUP($K65,'Threshold Summary'!$Y:$Y,'Threshold Summary'!$M:$M,""),'Nature Editor'!$A:$A,'Nature Editor'!$D:$D,1))),def,IF(cat="Physical",FLOOR((FLOOR(((2*XLOOKUP($L65,'Pokemon Editor'!$A:$A,'Pokemon Editor'!$G:$G,0)+31+FLOOR(XLOOKUP($L65,'Boss Editor'!$C:$C,'Boss Editor'!$I:$I,"")/4))*XLOOKUP($L65,'Boss Editor'!$C:$C,'Boss Editor'!$D:$D,""))/100)+5)*XLOOKUP(XLOOKUP($L65,'Boss Editor'!$C:$C,'Boss Editor'!$E:$E,""),'Nature Editor'!$A:$A,'Nature Editor'!$C:$C,1)),FLOOR((FLOOR(((2*XLOOKUP($L65,'Pokemon Editor'!$A:$A,'Pokemon Editor'!$I:$I,0)+31+FLOOR(XLOOKUP($L65,'Boss Editor'!$C:$C,'Boss Editor'!$K:$K,"")/4))*XLOOKUP($L65,'Boss Editor'!$C:$C,'Boss Editor'!$D:$D,""))/100)+5)*XLOOKUP(XLOOKUP($L65,'Boss Editor'!$C:$C,'Boss Editor'!$E:$E,""),'Nature Editor'!$A:$A,'Nature Editor'!$E:$E,1))),stab,IF(OR(mtype=XLOOKUP(XLOOKUP($K65,'Threshold Summary'!$Y:$Y,'Threshold Summary'!$K:$K,""),'Pokemon Editor'!$A:$A,'Pokemon Editor'!$C:$C,""),mtype=XLOOKUP(XLOOKUP($K65,'Threshold Summary'!$Y:$Y,'Threshold Summary'!$K:$K,""),'Pokemon Editor'!$A:$A,'Pokemon Editor'!$D:$D,"")),1.5,1),eff,(INDEX('Type Chart'!$B:$S,MATCH(mtype,'Type Chart'!$A:$A,0),MATCH(XLOOKUP($L65,'Pokemon Editor'!$A:$A,'Pokemon Editor'!$C:$C,""),'Type Chart'!$B$1:$S$1,0))*IF(XLOOKUP($L65,'Pokemon Editor'!$A:$A,'Pokemon Editor'!$D:$D,"")="",1,INDEX('Type Chart'!$B:$S,MATCH(mtype,'Type Chart'!$A:$A,0),MATCH(XLOOKUP($L65,'Pokemon Editor'!$A:$A,'Pokemon Editor'!$D:$D,""),'Type Chart'!$B$1:$S$1,0)))),base,IF(OR(cat="Status",pow=0),0,FLOOR(FLOOR(FLOOR((2*XLOOKUP($K65,'Threshold Summary'!$Y:$Y,'Threshold Summary'!$L:$L,"")/5+2)*pow*atk/def)/50)+2)),modifier,stab*eff,AVERAGE(ARRAYFORMULA(FLOOR(base*modifier*SEQUENCE(16,1,85,1)/100)))),0)</f>
        <v/>
      </c>
      <c r="I65" s="4">
        <f>IFERROR(LET(mtype,XLOOKUP($D65,'Move Editor'!$B:$B,'Move Editor'!$C:$C,""),cat,XLOOKUP($D65,'Move Editor'!$B:$B,'Move Editor'!$D:$D,""),pow,XLOOKUP($D65,'Move Editor'!$B:$B,'Move Editor'!$E:$E,0),acc,XLOOKUP($D65,'Move Editor'!$B:$B,'Move Editor'!$F:$F,100),atk,IF(cat="Physical",FLOOR((FLOOR(((2*XLOOKUP(XLOOKUP($K65,'Threshold Summary'!$Y:$Y,'Threshold Summary'!$K:$K,""),'Pokemon Editor'!$A:$A,'Pokemon Editor'!$F:$F,0)+31+FLOOR(XLOOKUP($K65,'Threshold Summary'!$Y:$Y,'Threshold Summary'!$P:$P,"")/4))*XLOOKUP($K65,'Threshold Summary'!$Y:$Y,'Threshold Summary'!$L:$L,""))/100)+5)*XLOOKUP(XLOOKUP($K65,'Threshold Summary'!$Y:$Y,'Threshold Summary'!$M:$M,""),'Nature Editor'!$A:$A,'Nature Editor'!$B:$B,1)),FLOOR((FLOOR(((2*XLOOKUP(XLOOKUP($K65,'Threshold Summary'!$Y:$Y,'Threshold Summary'!$K:$K,""),'Pokemon Editor'!$A:$A,'Pokemon Editor'!$H:$H,0)+31+FLOOR(XLOOKUP($K65,'Threshold Summary'!$Y:$Y,'Threshold Summary'!$R:$R,"")/4))*XLOOKUP($K65,'Threshold Summary'!$Y:$Y,'Threshold Summary'!$L:$L,""))/100)+5)*XLOOKUP(XLOOKUP($K65,'Threshold Summary'!$Y:$Y,'Threshold Summary'!$M:$M,""),'Nature Editor'!$A:$A,'Nature Editor'!$D:$D,1))),def,IF(cat="Physical",FLOOR((FLOOR(((2*XLOOKUP($L65,'Pokemon Editor'!$A:$A,'Pokemon Editor'!$G:$G,0)+31+FLOOR(XLOOKUP($L65,'Boss Editor'!$C:$C,'Boss Editor'!$I:$I,"")/4))*XLOOKUP($L65,'Boss Editor'!$C:$C,'Boss Editor'!$D:$D,""))/100)+5)*XLOOKUP(XLOOKUP($L65,'Boss Editor'!$C:$C,'Boss Editor'!$E:$E,""),'Nature Editor'!$A:$A,'Nature Editor'!$C:$C,1)),FLOOR((FLOOR(((2*XLOOKUP($L65,'Pokemon Editor'!$A:$A,'Pokemon Editor'!$I:$I,0)+31+FLOOR(XLOOKUP($L65,'Boss Editor'!$C:$C,'Boss Editor'!$K:$K,"")/4))*XLOOKUP($L65,'Boss Editor'!$C:$C,'Boss Editor'!$D:$D,""))/100)+5)*XLOOKUP(XLOOKUP($L65,'Boss Editor'!$C:$C,'Boss Editor'!$E:$E,""),'Nature Editor'!$A:$A,'Nature Editor'!$E:$E,1))),stab,IF(OR(mtype=XLOOKUP(XLOOKUP($K65,'Threshold Summary'!$Y:$Y,'Threshold Summary'!$K:$K,""),'Pokemon Editor'!$A:$A,'Pokemon Editor'!$C:$C,""),mtype=XLOOKUP(XLOOKUP($K65,'Threshold Summary'!$Y:$Y,'Threshold Summary'!$K:$K,""),'Pokemon Editor'!$A:$A,'Pokemon Editor'!$D:$D,"")),1.5,1),eff,(INDEX('Type Chart'!$B:$S,MATCH(mtype,'Type Chart'!$A:$A,0),MATCH(XLOOKUP($L65,'Pokemon Editor'!$A:$A,'Pokemon Editor'!$C:$C,""),'Type Chart'!$B$1:$S$1,0))*IF(XLOOKUP($L65,'Pokemon Editor'!$A:$A,'Pokemon Editor'!$D:$D,"")="",1,INDEX('Type Chart'!$B:$S,MATCH(mtype,'Type Chart'!$A:$A,0),MATCH(XLOOKUP($L65,'Pokemon Editor'!$A:$A,'Pokemon Editor'!$D:$D,""),'Type Chart'!$B$1:$S$1,0)))),base,IF(OR(cat="Status",pow=0),0,FLOOR(FLOOR(FLOOR((2*XLOOKUP($K65,'Threshold Summary'!$Y:$Y,'Threshold Summary'!$L:$L,"")/5+2)*pow*atk/def)/50)+2)),modifier,stab*eff,AVERAGE(ARRAYFORMULA(FLOOR(base*modifier*SEQUENCE(16,1,85,1)/100)))/(FLOOR(((2*XLOOKUP($L65,'Pokemon Editor'!$A:$A,'Pokemon Editor'!$E:$E,0)+31+FLOOR(XLOOKUP($L65,'Boss Editor'!$C:$C,'Boss Editor'!$G:$G,"")/4))*XLOOKUP($L65,'Boss Editor'!$C:$C,'Boss Editor'!$D:$D,""))/100)+XLOOKUP($L65,'Boss Editor'!$C:$C,'Boss Editor'!$D:$D,"")+10)),0)</f>
        <v/>
      </c>
      <c r="J65" s="3">
        <f>IF(I65&gt;=1,"OHKO",IF(I65&gt;=0.5,"2HKO",IF(I65&gt;=0.333,"3HKO",IF(I65&gt;=0.25,"4HKO","5HKO+"))))</f>
        <v/>
      </c>
      <c r="K65" s="3" t="inlineStr">
        <is>
          <t>SPECIES_PHANTUMP</t>
        </is>
      </c>
      <c r="L65" s="3" t="inlineStr">
        <is>
          <t>SPECIES_TIRTOUGA</t>
        </is>
      </c>
    </row>
    <row r="66">
      <c r="A66" s="3">
        <f>XLOOKUP($K66,'Threshold Summary'!$Y:$Y,'Threshold Summary'!$A:$A,"")</f>
        <v/>
      </c>
      <c r="B66" s="3" t="inlineStr">
        <is>
          <t>Anorith</t>
        </is>
      </c>
      <c r="C66" s="3">
        <f>XLOOKUP($L66,'Boss Editor'!$C:$C,'Boss Editor'!$D:$D,"")</f>
        <v/>
      </c>
      <c r="D66" s="3">
        <f>XLOOKUP($K66,'Threshold Summary'!$Y:$Y,'Threshold Summary'!$B:$B,"")</f>
        <v/>
      </c>
      <c r="E66" s="3">
        <f>XLOOKUP(D66,'Move Editor'!$B:$B,'Move Editor'!$C:$C,"")</f>
        <v/>
      </c>
      <c r="F66" s="3">
        <f>IFERROR(LET(mtype,XLOOKUP($D66,'Move Editor'!$B:$B,'Move Editor'!$C:$C,""),cat,XLOOKUP($D66,'Move Editor'!$B:$B,'Move Editor'!$D:$D,""),pow,XLOOKUP($D66,'Move Editor'!$B:$B,'Move Editor'!$E:$E,0),acc,XLOOKUP($D66,'Move Editor'!$B:$B,'Move Editor'!$F:$F,100),atk,IF(cat="Physical",FLOOR((FLOOR(((2*XLOOKUP(XLOOKUP($K66,'Threshold Summary'!$Y:$Y,'Threshold Summary'!$K:$K,""),'Pokemon Editor'!$A:$A,'Pokemon Editor'!$F:$F,0)+31+FLOOR(XLOOKUP($K66,'Threshold Summary'!$Y:$Y,'Threshold Summary'!$P:$P,"")/4))*XLOOKUP($K66,'Threshold Summary'!$Y:$Y,'Threshold Summary'!$L:$L,""))/100)+5)*XLOOKUP(XLOOKUP($K66,'Threshold Summary'!$Y:$Y,'Threshold Summary'!$M:$M,""),'Nature Editor'!$A:$A,'Nature Editor'!$B:$B,1)),FLOOR((FLOOR(((2*XLOOKUP(XLOOKUP($K66,'Threshold Summary'!$Y:$Y,'Threshold Summary'!$K:$K,""),'Pokemon Editor'!$A:$A,'Pokemon Editor'!$H:$H,0)+31+FLOOR(XLOOKUP($K66,'Threshold Summary'!$Y:$Y,'Threshold Summary'!$R:$R,"")/4))*XLOOKUP($K66,'Threshold Summary'!$Y:$Y,'Threshold Summary'!$L:$L,""))/100)+5)*XLOOKUP(XLOOKUP($K66,'Threshold Summary'!$Y:$Y,'Threshold Summary'!$M:$M,""),'Nature Editor'!$A:$A,'Nature Editor'!$D:$D,1))),def,IF(cat="Physical",FLOOR((FLOOR(((2*XLOOKUP($L66,'Pokemon Editor'!$A:$A,'Pokemon Editor'!$G:$G,0)+31+FLOOR(XLOOKUP($L66,'Boss Editor'!$C:$C,'Boss Editor'!$I:$I,"")/4))*XLOOKUP($L66,'Boss Editor'!$C:$C,'Boss Editor'!$D:$D,""))/100)+5)*XLOOKUP(XLOOKUP($L66,'Boss Editor'!$C:$C,'Boss Editor'!$E:$E,""),'Nature Editor'!$A:$A,'Nature Editor'!$C:$C,1)),FLOOR((FLOOR(((2*XLOOKUP($L66,'Pokemon Editor'!$A:$A,'Pokemon Editor'!$I:$I,0)+31+FLOOR(XLOOKUP($L66,'Boss Editor'!$C:$C,'Boss Editor'!$K:$K,"")/4))*XLOOKUP($L66,'Boss Editor'!$C:$C,'Boss Editor'!$D:$D,""))/100)+5)*XLOOKUP(XLOOKUP($L66,'Boss Editor'!$C:$C,'Boss Editor'!$E:$E,""),'Nature Editor'!$A:$A,'Nature Editor'!$E:$E,1))),stab,IF(OR(mtype=XLOOKUP(XLOOKUP($K66,'Threshold Summary'!$Y:$Y,'Threshold Summary'!$K:$K,""),'Pokemon Editor'!$A:$A,'Pokemon Editor'!$C:$C,""),mtype=XLOOKUP(XLOOKUP($K66,'Threshold Summary'!$Y:$Y,'Threshold Summary'!$K:$K,""),'Pokemon Editor'!$A:$A,'Pokemon Editor'!$D:$D,"")),1.5,1),eff,(INDEX('Type Chart'!$B:$S,MATCH(mtype,'Type Chart'!$A:$A,0),MATCH(XLOOKUP($L66,'Pokemon Editor'!$A:$A,'Pokemon Editor'!$C:$C,""),'Type Chart'!$B$1:$S$1,0))*IF(XLOOKUP($L66,'Pokemon Editor'!$A:$A,'Pokemon Editor'!$D:$D,"")="",1,INDEX('Type Chart'!$B:$S,MATCH(mtype,'Type Chart'!$A:$A,0),MATCH(XLOOKUP($L66,'Pokemon Editor'!$A:$A,'Pokemon Editor'!$D:$D,""),'Type Chart'!$B$1:$S$1,0)))),base,IF(OR(cat="Status",pow=0),0,FLOOR(FLOOR(FLOOR((2*XLOOKUP($K66,'Threshold Summary'!$Y:$Y,'Threshold Summary'!$L:$L,"")/5+2)*pow*atk/def)/50)+2)),modifier,stab*eff,FLOOR(base*modifier*0.85)),0)</f>
        <v/>
      </c>
      <c r="G66" s="3">
        <f>IFERROR(LET(mtype,XLOOKUP($D66,'Move Editor'!$B:$B,'Move Editor'!$C:$C,""),cat,XLOOKUP($D66,'Move Editor'!$B:$B,'Move Editor'!$D:$D,""),pow,XLOOKUP($D66,'Move Editor'!$B:$B,'Move Editor'!$E:$E,0),acc,XLOOKUP($D66,'Move Editor'!$B:$B,'Move Editor'!$F:$F,100),atk,IF(cat="Physical",FLOOR((FLOOR(((2*XLOOKUP(XLOOKUP($K66,'Threshold Summary'!$Y:$Y,'Threshold Summary'!$K:$K,""),'Pokemon Editor'!$A:$A,'Pokemon Editor'!$F:$F,0)+31+FLOOR(XLOOKUP($K66,'Threshold Summary'!$Y:$Y,'Threshold Summary'!$P:$P,"")/4))*XLOOKUP($K66,'Threshold Summary'!$Y:$Y,'Threshold Summary'!$L:$L,""))/100)+5)*XLOOKUP(XLOOKUP($K66,'Threshold Summary'!$Y:$Y,'Threshold Summary'!$M:$M,""),'Nature Editor'!$A:$A,'Nature Editor'!$B:$B,1)),FLOOR((FLOOR(((2*XLOOKUP(XLOOKUP($K66,'Threshold Summary'!$Y:$Y,'Threshold Summary'!$K:$K,""),'Pokemon Editor'!$A:$A,'Pokemon Editor'!$H:$H,0)+31+FLOOR(XLOOKUP($K66,'Threshold Summary'!$Y:$Y,'Threshold Summary'!$R:$R,"")/4))*XLOOKUP($K66,'Threshold Summary'!$Y:$Y,'Threshold Summary'!$L:$L,""))/100)+5)*XLOOKUP(XLOOKUP($K66,'Threshold Summary'!$Y:$Y,'Threshold Summary'!$M:$M,""),'Nature Editor'!$A:$A,'Nature Editor'!$D:$D,1))),def,IF(cat="Physical",FLOOR((FLOOR(((2*XLOOKUP($L66,'Pokemon Editor'!$A:$A,'Pokemon Editor'!$G:$G,0)+31+FLOOR(XLOOKUP($L66,'Boss Editor'!$C:$C,'Boss Editor'!$I:$I,"")/4))*XLOOKUP($L66,'Boss Editor'!$C:$C,'Boss Editor'!$D:$D,""))/100)+5)*XLOOKUP(XLOOKUP($L66,'Boss Editor'!$C:$C,'Boss Editor'!$E:$E,""),'Nature Editor'!$A:$A,'Nature Editor'!$C:$C,1)),FLOOR((FLOOR(((2*XLOOKUP($L66,'Pokemon Editor'!$A:$A,'Pokemon Editor'!$I:$I,0)+31+FLOOR(XLOOKUP($L66,'Boss Editor'!$C:$C,'Boss Editor'!$K:$K,"")/4))*XLOOKUP($L66,'Boss Editor'!$C:$C,'Boss Editor'!$D:$D,""))/100)+5)*XLOOKUP(XLOOKUP($L66,'Boss Editor'!$C:$C,'Boss Editor'!$E:$E,""),'Nature Editor'!$A:$A,'Nature Editor'!$E:$E,1))),stab,IF(OR(mtype=XLOOKUP(XLOOKUP($K66,'Threshold Summary'!$Y:$Y,'Threshold Summary'!$K:$K,""),'Pokemon Editor'!$A:$A,'Pokemon Editor'!$C:$C,""),mtype=XLOOKUP(XLOOKUP($K66,'Threshold Summary'!$Y:$Y,'Threshold Summary'!$K:$K,""),'Pokemon Editor'!$A:$A,'Pokemon Editor'!$D:$D,"")),1.5,1),eff,(INDEX('Type Chart'!$B:$S,MATCH(mtype,'Type Chart'!$A:$A,0),MATCH(XLOOKUP($L66,'Pokemon Editor'!$A:$A,'Pokemon Editor'!$C:$C,""),'Type Chart'!$B$1:$S$1,0))*IF(XLOOKUP($L66,'Pokemon Editor'!$A:$A,'Pokemon Editor'!$D:$D,"")="",1,INDEX('Type Chart'!$B:$S,MATCH(mtype,'Type Chart'!$A:$A,0),MATCH(XLOOKUP($L66,'Pokemon Editor'!$A:$A,'Pokemon Editor'!$D:$D,""),'Type Chart'!$B$1:$S$1,0)))),base,IF(OR(cat="Status",pow=0),0,FLOOR(FLOOR(FLOOR((2*XLOOKUP($K66,'Threshold Summary'!$Y:$Y,'Threshold Summary'!$L:$L,"")/5+2)*pow*atk/def)/50)+2)),modifier,stab*eff,FLOOR(base*modifier)),0)</f>
        <v/>
      </c>
      <c r="H66" s="3">
        <f>IFERROR(LET(mtype,XLOOKUP($D66,'Move Editor'!$B:$B,'Move Editor'!$C:$C,""),cat,XLOOKUP($D66,'Move Editor'!$B:$B,'Move Editor'!$D:$D,""),pow,XLOOKUP($D66,'Move Editor'!$B:$B,'Move Editor'!$E:$E,0),acc,XLOOKUP($D66,'Move Editor'!$B:$B,'Move Editor'!$F:$F,100),atk,IF(cat="Physical",FLOOR((FLOOR(((2*XLOOKUP(XLOOKUP($K66,'Threshold Summary'!$Y:$Y,'Threshold Summary'!$K:$K,""),'Pokemon Editor'!$A:$A,'Pokemon Editor'!$F:$F,0)+31+FLOOR(XLOOKUP($K66,'Threshold Summary'!$Y:$Y,'Threshold Summary'!$P:$P,"")/4))*XLOOKUP($K66,'Threshold Summary'!$Y:$Y,'Threshold Summary'!$L:$L,""))/100)+5)*XLOOKUP(XLOOKUP($K66,'Threshold Summary'!$Y:$Y,'Threshold Summary'!$M:$M,""),'Nature Editor'!$A:$A,'Nature Editor'!$B:$B,1)),FLOOR((FLOOR(((2*XLOOKUP(XLOOKUP($K66,'Threshold Summary'!$Y:$Y,'Threshold Summary'!$K:$K,""),'Pokemon Editor'!$A:$A,'Pokemon Editor'!$H:$H,0)+31+FLOOR(XLOOKUP($K66,'Threshold Summary'!$Y:$Y,'Threshold Summary'!$R:$R,"")/4))*XLOOKUP($K66,'Threshold Summary'!$Y:$Y,'Threshold Summary'!$L:$L,""))/100)+5)*XLOOKUP(XLOOKUP($K66,'Threshold Summary'!$Y:$Y,'Threshold Summary'!$M:$M,""),'Nature Editor'!$A:$A,'Nature Editor'!$D:$D,1))),def,IF(cat="Physical",FLOOR((FLOOR(((2*XLOOKUP($L66,'Pokemon Editor'!$A:$A,'Pokemon Editor'!$G:$G,0)+31+FLOOR(XLOOKUP($L66,'Boss Editor'!$C:$C,'Boss Editor'!$I:$I,"")/4))*XLOOKUP($L66,'Boss Editor'!$C:$C,'Boss Editor'!$D:$D,""))/100)+5)*XLOOKUP(XLOOKUP($L66,'Boss Editor'!$C:$C,'Boss Editor'!$E:$E,""),'Nature Editor'!$A:$A,'Nature Editor'!$C:$C,1)),FLOOR((FLOOR(((2*XLOOKUP($L66,'Pokemon Editor'!$A:$A,'Pokemon Editor'!$I:$I,0)+31+FLOOR(XLOOKUP($L66,'Boss Editor'!$C:$C,'Boss Editor'!$K:$K,"")/4))*XLOOKUP($L66,'Boss Editor'!$C:$C,'Boss Editor'!$D:$D,""))/100)+5)*XLOOKUP(XLOOKUP($L66,'Boss Editor'!$C:$C,'Boss Editor'!$E:$E,""),'Nature Editor'!$A:$A,'Nature Editor'!$E:$E,1))),stab,IF(OR(mtype=XLOOKUP(XLOOKUP($K66,'Threshold Summary'!$Y:$Y,'Threshold Summary'!$K:$K,""),'Pokemon Editor'!$A:$A,'Pokemon Editor'!$C:$C,""),mtype=XLOOKUP(XLOOKUP($K66,'Threshold Summary'!$Y:$Y,'Threshold Summary'!$K:$K,""),'Pokemon Editor'!$A:$A,'Pokemon Editor'!$D:$D,"")),1.5,1),eff,(INDEX('Type Chart'!$B:$S,MATCH(mtype,'Type Chart'!$A:$A,0),MATCH(XLOOKUP($L66,'Pokemon Editor'!$A:$A,'Pokemon Editor'!$C:$C,""),'Type Chart'!$B$1:$S$1,0))*IF(XLOOKUP($L66,'Pokemon Editor'!$A:$A,'Pokemon Editor'!$D:$D,"")="",1,INDEX('Type Chart'!$B:$S,MATCH(mtype,'Type Chart'!$A:$A,0),MATCH(XLOOKUP($L66,'Pokemon Editor'!$A:$A,'Pokemon Editor'!$D:$D,""),'Type Chart'!$B$1:$S$1,0)))),base,IF(OR(cat="Status",pow=0),0,FLOOR(FLOOR(FLOOR((2*XLOOKUP($K66,'Threshold Summary'!$Y:$Y,'Threshold Summary'!$L:$L,"")/5+2)*pow*atk/def)/50)+2)),modifier,stab*eff,AVERAGE(ARRAYFORMULA(FLOOR(base*modifier*SEQUENCE(16,1,85,1)/100)))),0)</f>
        <v/>
      </c>
      <c r="I66" s="4">
        <f>IFERROR(LET(mtype,XLOOKUP($D66,'Move Editor'!$B:$B,'Move Editor'!$C:$C,""),cat,XLOOKUP($D66,'Move Editor'!$B:$B,'Move Editor'!$D:$D,""),pow,XLOOKUP($D66,'Move Editor'!$B:$B,'Move Editor'!$E:$E,0),acc,XLOOKUP($D66,'Move Editor'!$B:$B,'Move Editor'!$F:$F,100),atk,IF(cat="Physical",FLOOR((FLOOR(((2*XLOOKUP(XLOOKUP($K66,'Threshold Summary'!$Y:$Y,'Threshold Summary'!$K:$K,""),'Pokemon Editor'!$A:$A,'Pokemon Editor'!$F:$F,0)+31+FLOOR(XLOOKUP($K66,'Threshold Summary'!$Y:$Y,'Threshold Summary'!$P:$P,"")/4))*XLOOKUP($K66,'Threshold Summary'!$Y:$Y,'Threshold Summary'!$L:$L,""))/100)+5)*XLOOKUP(XLOOKUP($K66,'Threshold Summary'!$Y:$Y,'Threshold Summary'!$M:$M,""),'Nature Editor'!$A:$A,'Nature Editor'!$B:$B,1)),FLOOR((FLOOR(((2*XLOOKUP(XLOOKUP($K66,'Threshold Summary'!$Y:$Y,'Threshold Summary'!$K:$K,""),'Pokemon Editor'!$A:$A,'Pokemon Editor'!$H:$H,0)+31+FLOOR(XLOOKUP($K66,'Threshold Summary'!$Y:$Y,'Threshold Summary'!$R:$R,"")/4))*XLOOKUP($K66,'Threshold Summary'!$Y:$Y,'Threshold Summary'!$L:$L,""))/100)+5)*XLOOKUP(XLOOKUP($K66,'Threshold Summary'!$Y:$Y,'Threshold Summary'!$M:$M,""),'Nature Editor'!$A:$A,'Nature Editor'!$D:$D,1))),def,IF(cat="Physical",FLOOR((FLOOR(((2*XLOOKUP($L66,'Pokemon Editor'!$A:$A,'Pokemon Editor'!$G:$G,0)+31+FLOOR(XLOOKUP($L66,'Boss Editor'!$C:$C,'Boss Editor'!$I:$I,"")/4))*XLOOKUP($L66,'Boss Editor'!$C:$C,'Boss Editor'!$D:$D,""))/100)+5)*XLOOKUP(XLOOKUP($L66,'Boss Editor'!$C:$C,'Boss Editor'!$E:$E,""),'Nature Editor'!$A:$A,'Nature Editor'!$C:$C,1)),FLOOR((FLOOR(((2*XLOOKUP($L66,'Pokemon Editor'!$A:$A,'Pokemon Editor'!$I:$I,0)+31+FLOOR(XLOOKUP($L66,'Boss Editor'!$C:$C,'Boss Editor'!$K:$K,"")/4))*XLOOKUP($L66,'Boss Editor'!$C:$C,'Boss Editor'!$D:$D,""))/100)+5)*XLOOKUP(XLOOKUP($L66,'Boss Editor'!$C:$C,'Boss Editor'!$E:$E,""),'Nature Editor'!$A:$A,'Nature Editor'!$E:$E,1))),stab,IF(OR(mtype=XLOOKUP(XLOOKUP($K66,'Threshold Summary'!$Y:$Y,'Threshold Summary'!$K:$K,""),'Pokemon Editor'!$A:$A,'Pokemon Editor'!$C:$C,""),mtype=XLOOKUP(XLOOKUP($K66,'Threshold Summary'!$Y:$Y,'Threshold Summary'!$K:$K,""),'Pokemon Editor'!$A:$A,'Pokemon Editor'!$D:$D,"")),1.5,1),eff,(INDEX('Type Chart'!$B:$S,MATCH(mtype,'Type Chart'!$A:$A,0),MATCH(XLOOKUP($L66,'Pokemon Editor'!$A:$A,'Pokemon Editor'!$C:$C,""),'Type Chart'!$B$1:$S$1,0))*IF(XLOOKUP($L66,'Pokemon Editor'!$A:$A,'Pokemon Editor'!$D:$D,"")="",1,INDEX('Type Chart'!$B:$S,MATCH(mtype,'Type Chart'!$A:$A,0),MATCH(XLOOKUP($L66,'Pokemon Editor'!$A:$A,'Pokemon Editor'!$D:$D,""),'Type Chart'!$B$1:$S$1,0)))),base,IF(OR(cat="Status",pow=0),0,FLOOR(FLOOR(FLOOR((2*XLOOKUP($K66,'Threshold Summary'!$Y:$Y,'Threshold Summary'!$L:$L,"")/5+2)*pow*atk/def)/50)+2)),modifier,stab*eff,AVERAGE(ARRAYFORMULA(FLOOR(base*modifier*SEQUENCE(16,1,85,1)/100)))/(FLOOR(((2*XLOOKUP($L66,'Pokemon Editor'!$A:$A,'Pokemon Editor'!$E:$E,0)+31+FLOOR(XLOOKUP($L66,'Boss Editor'!$C:$C,'Boss Editor'!$G:$G,"")/4))*XLOOKUP($L66,'Boss Editor'!$C:$C,'Boss Editor'!$D:$D,""))/100)+XLOOKUP($L66,'Boss Editor'!$C:$C,'Boss Editor'!$D:$D,"")+10)),0)</f>
        <v/>
      </c>
      <c r="J66" s="3">
        <f>IF(I66&gt;=1,"OHKO",IF(I66&gt;=0.5,"2HKO",IF(I66&gt;=0.333,"3HKO",IF(I66&gt;=0.25,"4HKO","5HKO+"))))</f>
        <v/>
      </c>
      <c r="K66" s="3" t="inlineStr">
        <is>
          <t>SPECIES_PHANTUMP</t>
        </is>
      </c>
      <c r="L66" s="3" t="inlineStr">
        <is>
          <t>SPECIES_ANORITH</t>
        </is>
      </c>
    </row>
    <row r="67">
      <c r="A67" s="3">
        <f>XLOOKUP($K67,'Threshold Summary'!$Y:$Y,'Threshold Summary'!$A:$A,"")</f>
        <v/>
      </c>
      <c r="B67" s="3" t="inlineStr">
        <is>
          <t>Lileep</t>
        </is>
      </c>
      <c r="C67" s="3">
        <f>XLOOKUP($L67,'Boss Editor'!$C:$C,'Boss Editor'!$D:$D,"")</f>
        <v/>
      </c>
      <c r="D67" s="3">
        <f>XLOOKUP($K67,'Threshold Summary'!$Y:$Y,'Threshold Summary'!$B:$B,"")</f>
        <v/>
      </c>
      <c r="E67" s="3">
        <f>XLOOKUP(D67,'Move Editor'!$B:$B,'Move Editor'!$C:$C,"")</f>
        <v/>
      </c>
      <c r="F67" s="3">
        <f>IFERROR(LET(mtype,XLOOKUP($D67,'Move Editor'!$B:$B,'Move Editor'!$C:$C,""),cat,XLOOKUP($D67,'Move Editor'!$B:$B,'Move Editor'!$D:$D,""),pow,XLOOKUP($D67,'Move Editor'!$B:$B,'Move Editor'!$E:$E,0),acc,XLOOKUP($D67,'Move Editor'!$B:$B,'Move Editor'!$F:$F,100),atk,IF(cat="Physical",FLOOR((FLOOR(((2*XLOOKUP(XLOOKUP($K67,'Threshold Summary'!$Y:$Y,'Threshold Summary'!$K:$K,""),'Pokemon Editor'!$A:$A,'Pokemon Editor'!$F:$F,0)+31+FLOOR(XLOOKUP($K67,'Threshold Summary'!$Y:$Y,'Threshold Summary'!$P:$P,"")/4))*XLOOKUP($K67,'Threshold Summary'!$Y:$Y,'Threshold Summary'!$L:$L,""))/100)+5)*XLOOKUP(XLOOKUP($K67,'Threshold Summary'!$Y:$Y,'Threshold Summary'!$M:$M,""),'Nature Editor'!$A:$A,'Nature Editor'!$B:$B,1)),FLOOR((FLOOR(((2*XLOOKUP(XLOOKUP($K67,'Threshold Summary'!$Y:$Y,'Threshold Summary'!$K:$K,""),'Pokemon Editor'!$A:$A,'Pokemon Editor'!$H:$H,0)+31+FLOOR(XLOOKUP($K67,'Threshold Summary'!$Y:$Y,'Threshold Summary'!$R:$R,"")/4))*XLOOKUP($K67,'Threshold Summary'!$Y:$Y,'Threshold Summary'!$L:$L,""))/100)+5)*XLOOKUP(XLOOKUP($K67,'Threshold Summary'!$Y:$Y,'Threshold Summary'!$M:$M,""),'Nature Editor'!$A:$A,'Nature Editor'!$D:$D,1))),def,IF(cat="Physical",FLOOR((FLOOR(((2*XLOOKUP($L67,'Pokemon Editor'!$A:$A,'Pokemon Editor'!$G:$G,0)+31+FLOOR(XLOOKUP($L67,'Boss Editor'!$C:$C,'Boss Editor'!$I:$I,"")/4))*XLOOKUP($L67,'Boss Editor'!$C:$C,'Boss Editor'!$D:$D,""))/100)+5)*XLOOKUP(XLOOKUP($L67,'Boss Editor'!$C:$C,'Boss Editor'!$E:$E,""),'Nature Editor'!$A:$A,'Nature Editor'!$C:$C,1)),FLOOR((FLOOR(((2*XLOOKUP($L67,'Pokemon Editor'!$A:$A,'Pokemon Editor'!$I:$I,0)+31+FLOOR(XLOOKUP($L67,'Boss Editor'!$C:$C,'Boss Editor'!$K:$K,"")/4))*XLOOKUP($L67,'Boss Editor'!$C:$C,'Boss Editor'!$D:$D,""))/100)+5)*XLOOKUP(XLOOKUP($L67,'Boss Editor'!$C:$C,'Boss Editor'!$E:$E,""),'Nature Editor'!$A:$A,'Nature Editor'!$E:$E,1))),stab,IF(OR(mtype=XLOOKUP(XLOOKUP($K67,'Threshold Summary'!$Y:$Y,'Threshold Summary'!$K:$K,""),'Pokemon Editor'!$A:$A,'Pokemon Editor'!$C:$C,""),mtype=XLOOKUP(XLOOKUP($K67,'Threshold Summary'!$Y:$Y,'Threshold Summary'!$K:$K,""),'Pokemon Editor'!$A:$A,'Pokemon Editor'!$D:$D,"")),1.5,1),eff,(INDEX('Type Chart'!$B:$S,MATCH(mtype,'Type Chart'!$A:$A,0),MATCH(XLOOKUP($L67,'Pokemon Editor'!$A:$A,'Pokemon Editor'!$C:$C,""),'Type Chart'!$B$1:$S$1,0))*IF(XLOOKUP($L67,'Pokemon Editor'!$A:$A,'Pokemon Editor'!$D:$D,"")="",1,INDEX('Type Chart'!$B:$S,MATCH(mtype,'Type Chart'!$A:$A,0),MATCH(XLOOKUP($L67,'Pokemon Editor'!$A:$A,'Pokemon Editor'!$D:$D,""),'Type Chart'!$B$1:$S$1,0)))),base,IF(OR(cat="Status",pow=0),0,FLOOR(FLOOR(FLOOR((2*XLOOKUP($K67,'Threshold Summary'!$Y:$Y,'Threshold Summary'!$L:$L,"")/5+2)*pow*atk/def)/50)+2)),modifier,stab*eff,FLOOR(base*modifier*0.85)),0)</f>
        <v/>
      </c>
      <c r="G67" s="3">
        <f>IFERROR(LET(mtype,XLOOKUP($D67,'Move Editor'!$B:$B,'Move Editor'!$C:$C,""),cat,XLOOKUP($D67,'Move Editor'!$B:$B,'Move Editor'!$D:$D,""),pow,XLOOKUP($D67,'Move Editor'!$B:$B,'Move Editor'!$E:$E,0),acc,XLOOKUP($D67,'Move Editor'!$B:$B,'Move Editor'!$F:$F,100),atk,IF(cat="Physical",FLOOR((FLOOR(((2*XLOOKUP(XLOOKUP($K67,'Threshold Summary'!$Y:$Y,'Threshold Summary'!$K:$K,""),'Pokemon Editor'!$A:$A,'Pokemon Editor'!$F:$F,0)+31+FLOOR(XLOOKUP($K67,'Threshold Summary'!$Y:$Y,'Threshold Summary'!$P:$P,"")/4))*XLOOKUP($K67,'Threshold Summary'!$Y:$Y,'Threshold Summary'!$L:$L,""))/100)+5)*XLOOKUP(XLOOKUP($K67,'Threshold Summary'!$Y:$Y,'Threshold Summary'!$M:$M,""),'Nature Editor'!$A:$A,'Nature Editor'!$B:$B,1)),FLOOR((FLOOR(((2*XLOOKUP(XLOOKUP($K67,'Threshold Summary'!$Y:$Y,'Threshold Summary'!$K:$K,""),'Pokemon Editor'!$A:$A,'Pokemon Editor'!$H:$H,0)+31+FLOOR(XLOOKUP($K67,'Threshold Summary'!$Y:$Y,'Threshold Summary'!$R:$R,"")/4))*XLOOKUP($K67,'Threshold Summary'!$Y:$Y,'Threshold Summary'!$L:$L,""))/100)+5)*XLOOKUP(XLOOKUP($K67,'Threshold Summary'!$Y:$Y,'Threshold Summary'!$M:$M,""),'Nature Editor'!$A:$A,'Nature Editor'!$D:$D,1))),def,IF(cat="Physical",FLOOR((FLOOR(((2*XLOOKUP($L67,'Pokemon Editor'!$A:$A,'Pokemon Editor'!$G:$G,0)+31+FLOOR(XLOOKUP($L67,'Boss Editor'!$C:$C,'Boss Editor'!$I:$I,"")/4))*XLOOKUP($L67,'Boss Editor'!$C:$C,'Boss Editor'!$D:$D,""))/100)+5)*XLOOKUP(XLOOKUP($L67,'Boss Editor'!$C:$C,'Boss Editor'!$E:$E,""),'Nature Editor'!$A:$A,'Nature Editor'!$C:$C,1)),FLOOR((FLOOR(((2*XLOOKUP($L67,'Pokemon Editor'!$A:$A,'Pokemon Editor'!$I:$I,0)+31+FLOOR(XLOOKUP($L67,'Boss Editor'!$C:$C,'Boss Editor'!$K:$K,"")/4))*XLOOKUP($L67,'Boss Editor'!$C:$C,'Boss Editor'!$D:$D,""))/100)+5)*XLOOKUP(XLOOKUP($L67,'Boss Editor'!$C:$C,'Boss Editor'!$E:$E,""),'Nature Editor'!$A:$A,'Nature Editor'!$E:$E,1))),stab,IF(OR(mtype=XLOOKUP(XLOOKUP($K67,'Threshold Summary'!$Y:$Y,'Threshold Summary'!$K:$K,""),'Pokemon Editor'!$A:$A,'Pokemon Editor'!$C:$C,""),mtype=XLOOKUP(XLOOKUP($K67,'Threshold Summary'!$Y:$Y,'Threshold Summary'!$K:$K,""),'Pokemon Editor'!$A:$A,'Pokemon Editor'!$D:$D,"")),1.5,1),eff,(INDEX('Type Chart'!$B:$S,MATCH(mtype,'Type Chart'!$A:$A,0),MATCH(XLOOKUP($L67,'Pokemon Editor'!$A:$A,'Pokemon Editor'!$C:$C,""),'Type Chart'!$B$1:$S$1,0))*IF(XLOOKUP($L67,'Pokemon Editor'!$A:$A,'Pokemon Editor'!$D:$D,"")="",1,INDEX('Type Chart'!$B:$S,MATCH(mtype,'Type Chart'!$A:$A,0),MATCH(XLOOKUP($L67,'Pokemon Editor'!$A:$A,'Pokemon Editor'!$D:$D,""),'Type Chart'!$B$1:$S$1,0)))),base,IF(OR(cat="Status",pow=0),0,FLOOR(FLOOR(FLOOR((2*XLOOKUP($K67,'Threshold Summary'!$Y:$Y,'Threshold Summary'!$L:$L,"")/5+2)*pow*atk/def)/50)+2)),modifier,stab*eff,FLOOR(base*modifier)),0)</f>
        <v/>
      </c>
      <c r="H67" s="3">
        <f>IFERROR(LET(mtype,XLOOKUP($D67,'Move Editor'!$B:$B,'Move Editor'!$C:$C,""),cat,XLOOKUP($D67,'Move Editor'!$B:$B,'Move Editor'!$D:$D,""),pow,XLOOKUP($D67,'Move Editor'!$B:$B,'Move Editor'!$E:$E,0),acc,XLOOKUP($D67,'Move Editor'!$B:$B,'Move Editor'!$F:$F,100),atk,IF(cat="Physical",FLOOR((FLOOR(((2*XLOOKUP(XLOOKUP($K67,'Threshold Summary'!$Y:$Y,'Threshold Summary'!$K:$K,""),'Pokemon Editor'!$A:$A,'Pokemon Editor'!$F:$F,0)+31+FLOOR(XLOOKUP($K67,'Threshold Summary'!$Y:$Y,'Threshold Summary'!$P:$P,"")/4))*XLOOKUP($K67,'Threshold Summary'!$Y:$Y,'Threshold Summary'!$L:$L,""))/100)+5)*XLOOKUP(XLOOKUP($K67,'Threshold Summary'!$Y:$Y,'Threshold Summary'!$M:$M,""),'Nature Editor'!$A:$A,'Nature Editor'!$B:$B,1)),FLOOR((FLOOR(((2*XLOOKUP(XLOOKUP($K67,'Threshold Summary'!$Y:$Y,'Threshold Summary'!$K:$K,""),'Pokemon Editor'!$A:$A,'Pokemon Editor'!$H:$H,0)+31+FLOOR(XLOOKUP($K67,'Threshold Summary'!$Y:$Y,'Threshold Summary'!$R:$R,"")/4))*XLOOKUP($K67,'Threshold Summary'!$Y:$Y,'Threshold Summary'!$L:$L,""))/100)+5)*XLOOKUP(XLOOKUP($K67,'Threshold Summary'!$Y:$Y,'Threshold Summary'!$M:$M,""),'Nature Editor'!$A:$A,'Nature Editor'!$D:$D,1))),def,IF(cat="Physical",FLOOR((FLOOR(((2*XLOOKUP($L67,'Pokemon Editor'!$A:$A,'Pokemon Editor'!$G:$G,0)+31+FLOOR(XLOOKUP($L67,'Boss Editor'!$C:$C,'Boss Editor'!$I:$I,"")/4))*XLOOKUP($L67,'Boss Editor'!$C:$C,'Boss Editor'!$D:$D,""))/100)+5)*XLOOKUP(XLOOKUP($L67,'Boss Editor'!$C:$C,'Boss Editor'!$E:$E,""),'Nature Editor'!$A:$A,'Nature Editor'!$C:$C,1)),FLOOR((FLOOR(((2*XLOOKUP($L67,'Pokemon Editor'!$A:$A,'Pokemon Editor'!$I:$I,0)+31+FLOOR(XLOOKUP($L67,'Boss Editor'!$C:$C,'Boss Editor'!$K:$K,"")/4))*XLOOKUP($L67,'Boss Editor'!$C:$C,'Boss Editor'!$D:$D,""))/100)+5)*XLOOKUP(XLOOKUP($L67,'Boss Editor'!$C:$C,'Boss Editor'!$E:$E,""),'Nature Editor'!$A:$A,'Nature Editor'!$E:$E,1))),stab,IF(OR(mtype=XLOOKUP(XLOOKUP($K67,'Threshold Summary'!$Y:$Y,'Threshold Summary'!$K:$K,""),'Pokemon Editor'!$A:$A,'Pokemon Editor'!$C:$C,""),mtype=XLOOKUP(XLOOKUP($K67,'Threshold Summary'!$Y:$Y,'Threshold Summary'!$K:$K,""),'Pokemon Editor'!$A:$A,'Pokemon Editor'!$D:$D,"")),1.5,1),eff,(INDEX('Type Chart'!$B:$S,MATCH(mtype,'Type Chart'!$A:$A,0),MATCH(XLOOKUP($L67,'Pokemon Editor'!$A:$A,'Pokemon Editor'!$C:$C,""),'Type Chart'!$B$1:$S$1,0))*IF(XLOOKUP($L67,'Pokemon Editor'!$A:$A,'Pokemon Editor'!$D:$D,"")="",1,INDEX('Type Chart'!$B:$S,MATCH(mtype,'Type Chart'!$A:$A,0),MATCH(XLOOKUP($L67,'Pokemon Editor'!$A:$A,'Pokemon Editor'!$D:$D,""),'Type Chart'!$B$1:$S$1,0)))),base,IF(OR(cat="Status",pow=0),0,FLOOR(FLOOR(FLOOR((2*XLOOKUP($K67,'Threshold Summary'!$Y:$Y,'Threshold Summary'!$L:$L,"")/5+2)*pow*atk/def)/50)+2)),modifier,stab*eff,AVERAGE(ARRAYFORMULA(FLOOR(base*modifier*SEQUENCE(16,1,85,1)/100)))),0)</f>
        <v/>
      </c>
      <c r="I67" s="4">
        <f>IFERROR(LET(mtype,XLOOKUP($D67,'Move Editor'!$B:$B,'Move Editor'!$C:$C,""),cat,XLOOKUP($D67,'Move Editor'!$B:$B,'Move Editor'!$D:$D,""),pow,XLOOKUP($D67,'Move Editor'!$B:$B,'Move Editor'!$E:$E,0),acc,XLOOKUP($D67,'Move Editor'!$B:$B,'Move Editor'!$F:$F,100),atk,IF(cat="Physical",FLOOR((FLOOR(((2*XLOOKUP(XLOOKUP($K67,'Threshold Summary'!$Y:$Y,'Threshold Summary'!$K:$K,""),'Pokemon Editor'!$A:$A,'Pokemon Editor'!$F:$F,0)+31+FLOOR(XLOOKUP($K67,'Threshold Summary'!$Y:$Y,'Threshold Summary'!$P:$P,"")/4))*XLOOKUP($K67,'Threshold Summary'!$Y:$Y,'Threshold Summary'!$L:$L,""))/100)+5)*XLOOKUP(XLOOKUP($K67,'Threshold Summary'!$Y:$Y,'Threshold Summary'!$M:$M,""),'Nature Editor'!$A:$A,'Nature Editor'!$B:$B,1)),FLOOR((FLOOR(((2*XLOOKUP(XLOOKUP($K67,'Threshold Summary'!$Y:$Y,'Threshold Summary'!$K:$K,""),'Pokemon Editor'!$A:$A,'Pokemon Editor'!$H:$H,0)+31+FLOOR(XLOOKUP($K67,'Threshold Summary'!$Y:$Y,'Threshold Summary'!$R:$R,"")/4))*XLOOKUP($K67,'Threshold Summary'!$Y:$Y,'Threshold Summary'!$L:$L,""))/100)+5)*XLOOKUP(XLOOKUP($K67,'Threshold Summary'!$Y:$Y,'Threshold Summary'!$M:$M,""),'Nature Editor'!$A:$A,'Nature Editor'!$D:$D,1))),def,IF(cat="Physical",FLOOR((FLOOR(((2*XLOOKUP($L67,'Pokemon Editor'!$A:$A,'Pokemon Editor'!$G:$G,0)+31+FLOOR(XLOOKUP($L67,'Boss Editor'!$C:$C,'Boss Editor'!$I:$I,"")/4))*XLOOKUP($L67,'Boss Editor'!$C:$C,'Boss Editor'!$D:$D,""))/100)+5)*XLOOKUP(XLOOKUP($L67,'Boss Editor'!$C:$C,'Boss Editor'!$E:$E,""),'Nature Editor'!$A:$A,'Nature Editor'!$C:$C,1)),FLOOR((FLOOR(((2*XLOOKUP($L67,'Pokemon Editor'!$A:$A,'Pokemon Editor'!$I:$I,0)+31+FLOOR(XLOOKUP($L67,'Boss Editor'!$C:$C,'Boss Editor'!$K:$K,"")/4))*XLOOKUP($L67,'Boss Editor'!$C:$C,'Boss Editor'!$D:$D,""))/100)+5)*XLOOKUP(XLOOKUP($L67,'Boss Editor'!$C:$C,'Boss Editor'!$E:$E,""),'Nature Editor'!$A:$A,'Nature Editor'!$E:$E,1))),stab,IF(OR(mtype=XLOOKUP(XLOOKUP($K67,'Threshold Summary'!$Y:$Y,'Threshold Summary'!$K:$K,""),'Pokemon Editor'!$A:$A,'Pokemon Editor'!$C:$C,""),mtype=XLOOKUP(XLOOKUP($K67,'Threshold Summary'!$Y:$Y,'Threshold Summary'!$K:$K,""),'Pokemon Editor'!$A:$A,'Pokemon Editor'!$D:$D,"")),1.5,1),eff,(INDEX('Type Chart'!$B:$S,MATCH(mtype,'Type Chart'!$A:$A,0),MATCH(XLOOKUP($L67,'Pokemon Editor'!$A:$A,'Pokemon Editor'!$C:$C,""),'Type Chart'!$B$1:$S$1,0))*IF(XLOOKUP($L67,'Pokemon Editor'!$A:$A,'Pokemon Editor'!$D:$D,"")="",1,INDEX('Type Chart'!$B:$S,MATCH(mtype,'Type Chart'!$A:$A,0),MATCH(XLOOKUP($L67,'Pokemon Editor'!$A:$A,'Pokemon Editor'!$D:$D,""),'Type Chart'!$B$1:$S$1,0)))),base,IF(OR(cat="Status",pow=0),0,FLOOR(FLOOR(FLOOR((2*XLOOKUP($K67,'Threshold Summary'!$Y:$Y,'Threshold Summary'!$L:$L,"")/5+2)*pow*atk/def)/50)+2)),modifier,stab*eff,AVERAGE(ARRAYFORMULA(FLOOR(base*modifier*SEQUENCE(16,1,85,1)/100)))/(FLOOR(((2*XLOOKUP($L67,'Pokemon Editor'!$A:$A,'Pokemon Editor'!$E:$E,0)+31+FLOOR(XLOOKUP($L67,'Boss Editor'!$C:$C,'Boss Editor'!$G:$G,"")/4))*XLOOKUP($L67,'Boss Editor'!$C:$C,'Boss Editor'!$D:$D,""))/100)+XLOOKUP($L67,'Boss Editor'!$C:$C,'Boss Editor'!$D:$D,"")+10)),0)</f>
        <v/>
      </c>
      <c r="J67" s="3">
        <f>IF(I67&gt;=1,"OHKO",IF(I67&gt;=0.5,"2HKO",IF(I67&gt;=0.333,"3HKO",IF(I67&gt;=0.25,"4HKO","5HKO+"))))</f>
        <v/>
      </c>
      <c r="K67" s="3" t="inlineStr">
        <is>
          <t>SPECIES_PHANTUMP</t>
        </is>
      </c>
      <c r="L67" s="3" t="inlineStr">
        <is>
          <t>SPECIES_LILEEP</t>
        </is>
      </c>
    </row>
    <row r="68">
      <c r="A68" s="3">
        <f>XLOOKUP($K68,'Threshold Summary'!$Y:$Y,'Threshold Summary'!$A:$A,"")</f>
        <v/>
      </c>
      <c r="B68" s="3" t="inlineStr">
        <is>
          <t>Tirtouga</t>
        </is>
      </c>
      <c r="C68" s="3">
        <f>XLOOKUP($L68,'Boss Editor'!$C:$C,'Boss Editor'!$D:$D,"")</f>
        <v/>
      </c>
      <c r="D68" s="3">
        <f>XLOOKUP($K68,'Threshold Summary'!$Y:$Y,'Threshold Summary'!$B:$B,"")</f>
        <v/>
      </c>
      <c r="E68" s="3">
        <f>XLOOKUP(D68,'Move Editor'!$B:$B,'Move Editor'!$C:$C,"")</f>
        <v/>
      </c>
      <c r="F68" s="3">
        <f>IFERROR(LET(mtype,XLOOKUP($D68,'Move Editor'!$B:$B,'Move Editor'!$C:$C,""),cat,XLOOKUP($D68,'Move Editor'!$B:$B,'Move Editor'!$D:$D,""),pow,XLOOKUP($D68,'Move Editor'!$B:$B,'Move Editor'!$E:$E,0),acc,XLOOKUP($D68,'Move Editor'!$B:$B,'Move Editor'!$F:$F,100),atk,IF(cat="Physical",FLOOR((FLOOR(((2*XLOOKUP(XLOOKUP($K68,'Threshold Summary'!$Y:$Y,'Threshold Summary'!$K:$K,""),'Pokemon Editor'!$A:$A,'Pokemon Editor'!$F:$F,0)+31+FLOOR(XLOOKUP($K68,'Threshold Summary'!$Y:$Y,'Threshold Summary'!$P:$P,"")/4))*XLOOKUP($K68,'Threshold Summary'!$Y:$Y,'Threshold Summary'!$L:$L,""))/100)+5)*XLOOKUP(XLOOKUP($K68,'Threshold Summary'!$Y:$Y,'Threshold Summary'!$M:$M,""),'Nature Editor'!$A:$A,'Nature Editor'!$B:$B,1)),FLOOR((FLOOR(((2*XLOOKUP(XLOOKUP($K68,'Threshold Summary'!$Y:$Y,'Threshold Summary'!$K:$K,""),'Pokemon Editor'!$A:$A,'Pokemon Editor'!$H:$H,0)+31+FLOOR(XLOOKUP($K68,'Threshold Summary'!$Y:$Y,'Threshold Summary'!$R:$R,"")/4))*XLOOKUP($K68,'Threshold Summary'!$Y:$Y,'Threshold Summary'!$L:$L,""))/100)+5)*XLOOKUP(XLOOKUP($K68,'Threshold Summary'!$Y:$Y,'Threshold Summary'!$M:$M,""),'Nature Editor'!$A:$A,'Nature Editor'!$D:$D,1))),def,IF(cat="Physical",FLOOR((FLOOR(((2*XLOOKUP($L68,'Pokemon Editor'!$A:$A,'Pokemon Editor'!$G:$G,0)+31+FLOOR(XLOOKUP($L68,'Boss Editor'!$C:$C,'Boss Editor'!$I:$I,"")/4))*XLOOKUP($L68,'Boss Editor'!$C:$C,'Boss Editor'!$D:$D,""))/100)+5)*XLOOKUP(XLOOKUP($L68,'Boss Editor'!$C:$C,'Boss Editor'!$E:$E,""),'Nature Editor'!$A:$A,'Nature Editor'!$C:$C,1)),FLOOR((FLOOR(((2*XLOOKUP($L68,'Pokemon Editor'!$A:$A,'Pokemon Editor'!$I:$I,0)+31+FLOOR(XLOOKUP($L68,'Boss Editor'!$C:$C,'Boss Editor'!$K:$K,"")/4))*XLOOKUP($L68,'Boss Editor'!$C:$C,'Boss Editor'!$D:$D,""))/100)+5)*XLOOKUP(XLOOKUP($L68,'Boss Editor'!$C:$C,'Boss Editor'!$E:$E,""),'Nature Editor'!$A:$A,'Nature Editor'!$E:$E,1))),stab,IF(OR(mtype=XLOOKUP(XLOOKUP($K68,'Threshold Summary'!$Y:$Y,'Threshold Summary'!$K:$K,""),'Pokemon Editor'!$A:$A,'Pokemon Editor'!$C:$C,""),mtype=XLOOKUP(XLOOKUP($K68,'Threshold Summary'!$Y:$Y,'Threshold Summary'!$K:$K,""),'Pokemon Editor'!$A:$A,'Pokemon Editor'!$D:$D,"")),1.5,1),eff,(INDEX('Type Chart'!$B:$S,MATCH(mtype,'Type Chart'!$A:$A,0),MATCH(XLOOKUP($L68,'Pokemon Editor'!$A:$A,'Pokemon Editor'!$C:$C,""),'Type Chart'!$B$1:$S$1,0))*IF(XLOOKUP($L68,'Pokemon Editor'!$A:$A,'Pokemon Editor'!$D:$D,"")="",1,INDEX('Type Chart'!$B:$S,MATCH(mtype,'Type Chart'!$A:$A,0),MATCH(XLOOKUP($L68,'Pokemon Editor'!$A:$A,'Pokemon Editor'!$D:$D,""),'Type Chart'!$B$1:$S$1,0)))),base,IF(OR(cat="Status",pow=0),0,FLOOR(FLOOR(FLOOR((2*XLOOKUP($K68,'Threshold Summary'!$Y:$Y,'Threshold Summary'!$L:$L,"")/5+2)*pow*atk/def)/50)+2)),modifier,stab*eff,FLOOR(base*modifier*0.85)),0)</f>
        <v/>
      </c>
      <c r="G68" s="3">
        <f>IFERROR(LET(mtype,XLOOKUP($D68,'Move Editor'!$B:$B,'Move Editor'!$C:$C,""),cat,XLOOKUP($D68,'Move Editor'!$B:$B,'Move Editor'!$D:$D,""),pow,XLOOKUP($D68,'Move Editor'!$B:$B,'Move Editor'!$E:$E,0),acc,XLOOKUP($D68,'Move Editor'!$B:$B,'Move Editor'!$F:$F,100),atk,IF(cat="Physical",FLOOR((FLOOR(((2*XLOOKUP(XLOOKUP($K68,'Threshold Summary'!$Y:$Y,'Threshold Summary'!$K:$K,""),'Pokemon Editor'!$A:$A,'Pokemon Editor'!$F:$F,0)+31+FLOOR(XLOOKUP($K68,'Threshold Summary'!$Y:$Y,'Threshold Summary'!$P:$P,"")/4))*XLOOKUP($K68,'Threshold Summary'!$Y:$Y,'Threshold Summary'!$L:$L,""))/100)+5)*XLOOKUP(XLOOKUP($K68,'Threshold Summary'!$Y:$Y,'Threshold Summary'!$M:$M,""),'Nature Editor'!$A:$A,'Nature Editor'!$B:$B,1)),FLOOR((FLOOR(((2*XLOOKUP(XLOOKUP($K68,'Threshold Summary'!$Y:$Y,'Threshold Summary'!$K:$K,""),'Pokemon Editor'!$A:$A,'Pokemon Editor'!$H:$H,0)+31+FLOOR(XLOOKUP($K68,'Threshold Summary'!$Y:$Y,'Threshold Summary'!$R:$R,"")/4))*XLOOKUP($K68,'Threshold Summary'!$Y:$Y,'Threshold Summary'!$L:$L,""))/100)+5)*XLOOKUP(XLOOKUP($K68,'Threshold Summary'!$Y:$Y,'Threshold Summary'!$M:$M,""),'Nature Editor'!$A:$A,'Nature Editor'!$D:$D,1))),def,IF(cat="Physical",FLOOR((FLOOR(((2*XLOOKUP($L68,'Pokemon Editor'!$A:$A,'Pokemon Editor'!$G:$G,0)+31+FLOOR(XLOOKUP($L68,'Boss Editor'!$C:$C,'Boss Editor'!$I:$I,"")/4))*XLOOKUP($L68,'Boss Editor'!$C:$C,'Boss Editor'!$D:$D,""))/100)+5)*XLOOKUP(XLOOKUP($L68,'Boss Editor'!$C:$C,'Boss Editor'!$E:$E,""),'Nature Editor'!$A:$A,'Nature Editor'!$C:$C,1)),FLOOR((FLOOR(((2*XLOOKUP($L68,'Pokemon Editor'!$A:$A,'Pokemon Editor'!$I:$I,0)+31+FLOOR(XLOOKUP($L68,'Boss Editor'!$C:$C,'Boss Editor'!$K:$K,"")/4))*XLOOKUP($L68,'Boss Editor'!$C:$C,'Boss Editor'!$D:$D,""))/100)+5)*XLOOKUP(XLOOKUP($L68,'Boss Editor'!$C:$C,'Boss Editor'!$E:$E,""),'Nature Editor'!$A:$A,'Nature Editor'!$E:$E,1))),stab,IF(OR(mtype=XLOOKUP(XLOOKUP($K68,'Threshold Summary'!$Y:$Y,'Threshold Summary'!$K:$K,""),'Pokemon Editor'!$A:$A,'Pokemon Editor'!$C:$C,""),mtype=XLOOKUP(XLOOKUP($K68,'Threshold Summary'!$Y:$Y,'Threshold Summary'!$K:$K,""),'Pokemon Editor'!$A:$A,'Pokemon Editor'!$D:$D,"")),1.5,1),eff,(INDEX('Type Chart'!$B:$S,MATCH(mtype,'Type Chart'!$A:$A,0),MATCH(XLOOKUP($L68,'Pokemon Editor'!$A:$A,'Pokemon Editor'!$C:$C,""),'Type Chart'!$B$1:$S$1,0))*IF(XLOOKUP($L68,'Pokemon Editor'!$A:$A,'Pokemon Editor'!$D:$D,"")="",1,INDEX('Type Chart'!$B:$S,MATCH(mtype,'Type Chart'!$A:$A,0),MATCH(XLOOKUP($L68,'Pokemon Editor'!$A:$A,'Pokemon Editor'!$D:$D,""),'Type Chart'!$B$1:$S$1,0)))),base,IF(OR(cat="Status",pow=0),0,FLOOR(FLOOR(FLOOR((2*XLOOKUP($K68,'Threshold Summary'!$Y:$Y,'Threshold Summary'!$L:$L,"")/5+2)*pow*atk/def)/50)+2)),modifier,stab*eff,FLOOR(base*modifier)),0)</f>
        <v/>
      </c>
      <c r="H68" s="3">
        <f>IFERROR(LET(mtype,XLOOKUP($D68,'Move Editor'!$B:$B,'Move Editor'!$C:$C,""),cat,XLOOKUP($D68,'Move Editor'!$B:$B,'Move Editor'!$D:$D,""),pow,XLOOKUP($D68,'Move Editor'!$B:$B,'Move Editor'!$E:$E,0),acc,XLOOKUP($D68,'Move Editor'!$B:$B,'Move Editor'!$F:$F,100),atk,IF(cat="Physical",FLOOR((FLOOR(((2*XLOOKUP(XLOOKUP($K68,'Threshold Summary'!$Y:$Y,'Threshold Summary'!$K:$K,""),'Pokemon Editor'!$A:$A,'Pokemon Editor'!$F:$F,0)+31+FLOOR(XLOOKUP($K68,'Threshold Summary'!$Y:$Y,'Threshold Summary'!$P:$P,"")/4))*XLOOKUP($K68,'Threshold Summary'!$Y:$Y,'Threshold Summary'!$L:$L,""))/100)+5)*XLOOKUP(XLOOKUP($K68,'Threshold Summary'!$Y:$Y,'Threshold Summary'!$M:$M,""),'Nature Editor'!$A:$A,'Nature Editor'!$B:$B,1)),FLOOR((FLOOR(((2*XLOOKUP(XLOOKUP($K68,'Threshold Summary'!$Y:$Y,'Threshold Summary'!$K:$K,""),'Pokemon Editor'!$A:$A,'Pokemon Editor'!$H:$H,0)+31+FLOOR(XLOOKUP($K68,'Threshold Summary'!$Y:$Y,'Threshold Summary'!$R:$R,"")/4))*XLOOKUP($K68,'Threshold Summary'!$Y:$Y,'Threshold Summary'!$L:$L,""))/100)+5)*XLOOKUP(XLOOKUP($K68,'Threshold Summary'!$Y:$Y,'Threshold Summary'!$M:$M,""),'Nature Editor'!$A:$A,'Nature Editor'!$D:$D,1))),def,IF(cat="Physical",FLOOR((FLOOR(((2*XLOOKUP($L68,'Pokemon Editor'!$A:$A,'Pokemon Editor'!$G:$G,0)+31+FLOOR(XLOOKUP($L68,'Boss Editor'!$C:$C,'Boss Editor'!$I:$I,"")/4))*XLOOKUP($L68,'Boss Editor'!$C:$C,'Boss Editor'!$D:$D,""))/100)+5)*XLOOKUP(XLOOKUP($L68,'Boss Editor'!$C:$C,'Boss Editor'!$E:$E,""),'Nature Editor'!$A:$A,'Nature Editor'!$C:$C,1)),FLOOR((FLOOR(((2*XLOOKUP($L68,'Pokemon Editor'!$A:$A,'Pokemon Editor'!$I:$I,0)+31+FLOOR(XLOOKUP($L68,'Boss Editor'!$C:$C,'Boss Editor'!$K:$K,"")/4))*XLOOKUP($L68,'Boss Editor'!$C:$C,'Boss Editor'!$D:$D,""))/100)+5)*XLOOKUP(XLOOKUP($L68,'Boss Editor'!$C:$C,'Boss Editor'!$E:$E,""),'Nature Editor'!$A:$A,'Nature Editor'!$E:$E,1))),stab,IF(OR(mtype=XLOOKUP(XLOOKUP($K68,'Threshold Summary'!$Y:$Y,'Threshold Summary'!$K:$K,""),'Pokemon Editor'!$A:$A,'Pokemon Editor'!$C:$C,""),mtype=XLOOKUP(XLOOKUP($K68,'Threshold Summary'!$Y:$Y,'Threshold Summary'!$K:$K,""),'Pokemon Editor'!$A:$A,'Pokemon Editor'!$D:$D,"")),1.5,1),eff,(INDEX('Type Chart'!$B:$S,MATCH(mtype,'Type Chart'!$A:$A,0),MATCH(XLOOKUP($L68,'Pokemon Editor'!$A:$A,'Pokemon Editor'!$C:$C,""),'Type Chart'!$B$1:$S$1,0))*IF(XLOOKUP($L68,'Pokemon Editor'!$A:$A,'Pokemon Editor'!$D:$D,"")="",1,INDEX('Type Chart'!$B:$S,MATCH(mtype,'Type Chart'!$A:$A,0),MATCH(XLOOKUP($L68,'Pokemon Editor'!$A:$A,'Pokemon Editor'!$D:$D,""),'Type Chart'!$B$1:$S$1,0)))),base,IF(OR(cat="Status",pow=0),0,FLOOR(FLOOR(FLOOR((2*XLOOKUP($K68,'Threshold Summary'!$Y:$Y,'Threshold Summary'!$L:$L,"")/5+2)*pow*atk/def)/50)+2)),modifier,stab*eff,AVERAGE(ARRAYFORMULA(FLOOR(base*modifier*SEQUENCE(16,1,85,1)/100)))),0)</f>
        <v/>
      </c>
      <c r="I68" s="4">
        <f>IFERROR(LET(mtype,XLOOKUP($D68,'Move Editor'!$B:$B,'Move Editor'!$C:$C,""),cat,XLOOKUP($D68,'Move Editor'!$B:$B,'Move Editor'!$D:$D,""),pow,XLOOKUP($D68,'Move Editor'!$B:$B,'Move Editor'!$E:$E,0),acc,XLOOKUP($D68,'Move Editor'!$B:$B,'Move Editor'!$F:$F,100),atk,IF(cat="Physical",FLOOR((FLOOR(((2*XLOOKUP(XLOOKUP($K68,'Threshold Summary'!$Y:$Y,'Threshold Summary'!$K:$K,""),'Pokemon Editor'!$A:$A,'Pokemon Editor'!$F:$F,0)+31+FLOOR(XLOOKUP($K68,'Threshold Summary'!$Y:$Y,'Threshold Summary'!$P:$P,"")/4))*XLOOKUP($K68,'Threshold Summary'!$Y:$Y,'Threshold Summary'!$L:$L,""))/100)+5)*XLOOKUP(XLOOKUP($K68,'Threshold Summary'!$Y:$Y,'Threshold Summary'!$M:$M,""),'Nature Editor'!$A:$A,'Nature Editor'!$B:$B,1)),FLOOR((FLOOR(((2*XLOOKUP(XLOOKUP($K68,'Threshold Summary'!$Y:$Y,'Threshold Summary'!$K:$K,""),'Pokemon Editor'!$A:$A,'Pokemon Editor'!$H:$H,0)+31+FLOOR(XLOOKUP($K68,'Threshold Summary'!$Y:$Y,'Threshold Summary'!$R:$R,"")/4))*XLOOKUP($K68,'Threshold Summary'!$Y:$Y,'Threshold Summary'!$L:$L,""))/100)+5)*XLOOKUP(XLOOKUP($K68,'Threshold Summary'!$Y:$Y,'Threshold Summary'!$M:$M,""),'Nature Editor'!$A:$A,'Nature Editor'!$D:$D,1))),def,IF(cat="Physical",FLOOR((FLOOR(((2*XLOOKUP($L68,'Pokemon Editor'!$A:$A,'Pokemon Editor'!$G:$G,0)+31+FLOOR(XLOOKUP($L68,'Boss Editor'!$C:$C,'Boss Editor'!$I:$I,"")/4))*XLOOKUP($L68,'Boss Editor'!$C:$C,'Boss Editor'!$D:$D,""))/100)+5)*XLOOKUP(XLOOKUP($L68,'Boss Editor'!$C:$C,'Boss Editor'!$E:$E,""),'Nature Editor'!$A:$A,'Nature Editor'!$C:$C,1)),FLOOR((FLOOR(((2*XLOOKUP($L68,'Pokemon Editor'!$A:$A,'Pokemon Editor'!$I:$I,0)+31+FLOOR(XLOOKUP($L68,'Boss Editor'!$C:$C,'Boss Editor'!$K:$K,"")/4))*XLOOKUP($L68,'Boss Editor'!$C:$C,'Boss Editor'!$D:$D,""))/100)+5)*XLOOKUP(XLOOKUP($L68,'Boss Editor'!$C:$C,'Boss Editor'!$E:$E,""),'Nature Editor'!$A:$A,'Nature Editor'!$E:$E,1))),stab,IF(OR(mtype=XLOOKUP(XLOOKUP($K68,'Threshold Summary'!$Y:$Y,'Threshold Summary'!$K:$K,""),'Pokemon Editor'!$A:$A,'Pokemon Editor'!$C:$C,""),mtype=XLOOKUP(XLOOKUP($K68,'Threshold Summary'!$Y:$Y,'Threshold Summary'!$K:$K,""),'Pokemon Editor'!$A:$A,'Pokemon Editor'!$D:$D,"")),1.5,1),eff,(INDEX('Type Chart'!$B:$S,MATCH(mtype,'Type Chart'!$A:$A,0),MATCH(XLOOKUP($L68,'Pokemon Editor'!$A:$A,'Pokemon Editor'!$C:$C,""),'Type Chart'!$B$1:$S$1,0))*IF(XLOOKUP($L68,'Pokemon Editor'!$A:$A,'Pokemon Editor'!$D:$D,"")="",1,INDEX('Type Chart'!$B:$S,MATCH(mtype,'Type Chart'!$A:$A,0),MATCH(XLOOKUP($L68,'Pokemon Editor'!$A:$A,'Pokemon Editor'!$D:$D,""),'Type Chart'!$B$1:$S$1,0)))),base,IF(OR(cat="Status",pow=0),0,FLOOR(FLOOR(FLOOR((2*XLOOKUP($K68,'Threshold Summary'!$Y:$Y,'Threshold Summary'!$L:$L,"")/5+2)*pow*atk/def)/50)+2)),modifier,stab*eff,AVERAGE(ARRAYFORMULA(FLOOR(base*modifier*SEQUENCE(16,1,85,1)/100)))/(FLOOR(((2*XLOOKUP($L68,'Pokemon Editor'!$A:$A,'Pokemon Editor'!$E:$E,0)+31+FLOOR(XLOOKUP($L68,'Boss Editor'!$C:$C,'Boss Editor'!$G:$G,"")/4))*XLOOKUP($L68,'Boss Editor'!$C:$C,'Boss Editor'!$D:$D,""))/100)+XLOOKUP($L68,'Boss Editor'!$C:$C,'Boss Editor'!$D:$D,"")+10)),0)</f>
        <v/>
      </c>
      <c r="J68" s="3">
        <f>IF(I68&gt;=1,"OHKO",IF(I68&gt;=0.5,"2HKO",IF(I68&gt;=0.333,"3HKO",IF(I68&gt;=0.25,"4HKO","5HKO+"))))</f>
        <v/>
      </c>
      <c r="K68" s="3" t="inlineStr">
        <is>
          <t>SPECIES_CUTIEFLY</t>
        </is>
      </c>
      <c r="L68" s="3" t="inlineStr">
        <is>
          <t>SPECIES_TIRTOUGA</t>
        </is>
      </c>
    </row>
    <row r="69">
      <c r="A69" s="3">
        <f>XLOOKUP($K69,'Threshold Summary'!$Y:$Y,'Threshold Summary'!$A:$A,"")</f>
        <v/>
      </c>
      <c r="B69" s="3" t="inlineStr">
        <is>
          <t>Anorith</t>
        </is>
      </c>
      <c r="C69" s="3">
        <f>XLOOKUP($L69,'Boss Editor'!$C:$C,'Boss Editor'!$D:$D,"")</f>
        <v/>
      </c>
      <c r="D69" s="3">
        <f>XLOOKUP($K69,'Threshold Summary'!$Y:$Y,'Threshold Summary'!$B:$B,"")</f>
        <v/>
      </c>
      <c r="E69" s="3">
        <f>XLOOKUP(D69,'Move Editor'!$B:$B,'Move Editor'!$C:$C,"")</f>
        <v/>
      </c>
      <c r="F69" s="3">
        <f>IFERROR(LET(mtype,XLOOKUP($D69,'Move Editor'!$B:$B,'Move Editor'!$C:$C,""),cat,XLOOKUP($D69,'Move Editor'!$B:$B,'Move Editor'!$D:$D,""),pow,XLOOKUP($D69,'Move Editor'!$B:$B,'Move Editor'!$E:$E,0),acc,XLOOKUP($D69,'Move Editor'!$B:$B,'Move Editor'!$F:$F,100),atk,IF(cat="Physical",FLOOR((FLOOR(((2*XLOOKUP(XLOOKUP($K69,'Threshold Summary'!$Y:$Y,'Threshold Summary'!$K:$K,""),'Pokemon Editor'!$A:$A,'Pokemon Editor'!$F:$F,0)+31+FLOOR(XLOOKUP($K69,'Threshold Summary'!$Y:$Y,'Threshold Summary'!$P:$P,"")/4))*XLOOKUP($K69,'Threshold Summary'!$Y:$Y,'Threshold Summary'!$L:$L,""))/100)+5)*XLOOKUP(XLOOKUP($K69,'Threshold Summary'!$Y:$Y,'Threshold Summary'!$M:$M,""),'Nature Editor'!$A:$A,'Nature Editor'!$B:$B,1)),FLOOR((FLOOR(((2*XLOOKUP(XLOOKUP($K69,'Threshold Summary'!$Y:$Y,'Threshold Summary'!$K:$K,""),'Pokemon Editor'!$A:$A,'Pokemon Editor'!$H:$H,0)+31+FLOOR(XLOOKUP($K69,'Threshold Summary'!$Y:$Y,'Threshold Summary'!$R:$R,"")/4))*XLOOKUP($K69,'Threshold Summary'!$Y:$Y,'Threshold Summary'!$L:$L,""))/100)+5)*XLOOKUP(XLOOKUP($K69,'Threshold Summary'!$Y:$Y,'Threshold Summary'!$M:$M,""),'Nature Editor'!$A:$A,'Nature Editor'!$D:$D,1))),def,IF(cat="Physical",FLOOR((FLOOR(((2*XLOOKUP($L69,'Pokemon Editor'!$A:$A,'Pokemon Editor'!$G:$G,0)+31+FLOOR(XLOOKUP($L69,'Boss Editor'!$C:$C,'Boss Editor'!$I:$I,"")/4))*XLOOKUP($L69,'Boss Editor'!$C:$C,'Boss Editor'!$D:$D,""))/100)+5)*XLOOKUP(XLOOKUP($L69,'Boss Editor'!$C:$C,'Boss Editor'!$E:$E,""),'Nature Editor'!$A:$A,'Nature Editor'!$C:$C,1)),FLOOR((FLOOR(((2*XLOOKUP($L69,'Pokemon Editor'!$A:$A,'Pokemon Editor'!$I:$I,0)+31+FLOOR(XLOOKUP($L69,'Boss Editor'!$C:$C,'Boss Editor'!$K:$K,"")/4))*XLOOKUP($L69,'Boss Editor'!$C:$C,'Boss Editor'!$D:$D,""))/100)+5)*XLOOKUP(XLOOKUP($L69,'Boss Editor'!$C:$C,'Boss Editor'!$E:$E,""),'Nature Editor'!$A:$A,'Nature Editor'!$E:$E,1))),stab,IF(OR(mtype=XLOOKUP(XLOOKUP($K69,'Threshold Summary'!$Y:$Y,'Threshold Summary'!$K:$K,""),'Pokemon Editor'!$A:$A,'Pokemon Editor'!$C:$C,""),mtype=XLOOKUP(XLOOKUP($K69,'Threshold Summary'!$Y:$Y,'Threshold Summary'!$K:$K,""),'Pokemon Editor'!$A:$A,'Pokemon Editor'!$D:$D,"")),1.5,1),eff,(INDEX('Type Chart'!$B:$S,MATCH(mtype,'Type Chart'!$A:$A,0),MATCH(XLOOKUP($L69,'Pokemon Editor'!$A:$A,'Pokemon Editor'!$C:$C,""),'Type Chart'!$B$1:$S$1,0))*IF(XLOOKUP($L69,'Pokemon Editor'!$A:$A,'Pokemon Editor'!$D:$D,"")="",1,INDEX('Type Chart'!$B:$S,MATCH(mtype,'Type Chart'!$A:$A,0),MATCH(XLOOKUP($L69,'Pokemon Editor'!$A:$A,'Pokemon Editor'!$D:$D,""),'Type Chart'!$B$1:$S$1,0)))),base,IF(OR(cat="Status",pow=0),0,FLOOR(FLOOR(FLOOR((2*XLOOKUP($K69,'Threshold Summary'!$Y:$Y,'Threshold Summary'!$L:$L,"")/5+2)*pow*atk/def)/50)+2)),modifier,stab*eff,FLOOR(base*modifier*0.85)),0)</f>
        <v/>
      </c>
      <c r="G69" s="3">
        <f>IFERROR(LET(mtype,XLOOKUP($D69,'Move Editor'!$B:$B,'Move Editor'!$C:$C,""),cat,XLOOKUP($D69,'Move Editor'!$B:$B,'Move Editor'!$D:$D,""),pow,XLOOKUP($D69,'Move Editor'!$B:$B,'Move Editor'!$E:$E,0),acc,XLOOKUP($D69,'Move Editor'!$B:$B,'Move Editor'!$F:$F,100),atk,IF(cat="Physical",FLOOR((FLOOR(((2*XLOOKUP(XLOOKUP($K69,'Threshold Summary'!$Y:$Y,'Threshold Summary'!$K:$K,""),'Pokemon Editor'!$A:$A,'Pokemon Editor'!$F:$F,0)+31+FLOOR(XLOOKUP($K69,'Threshold Summary'!$Y:$Y,'Threshold Summary'!$P:$P,"")/4))*XLOOKUP($K69,'Threshold Summary'!$Y:$Y,'Threshold Summary'!$L:$L,""))/100)+5)*XLOOKUP(XLOOKUP($K69,'Threshold Summary'!$Y:$Y,'Threshold Summary'!$M:$M,""),'Nature Editor'!$A:$A,'Nature Editor'!$B:$B,1)),FLOOR((FLOOR(((2*XLOOKUP(XLOOKUP($K69,'Threshold Summary'!$Y:$Y,'Threshold Summary'!$K:$K,""),'Pokemon Editor'!$A:$A,'Pokemon Editor'!$H:$H,0)+31+FLOOR(XLOOKUP($K69,'Threshold Summary'!$Y:$Y,'Threshold Summary'!$R:$R,"")/4))*XLOOKUP($K69,'Threshold Summary'!$Y:$Y,'Threshold Summary'!$L:$L,""))/100)+5)*XLOOKUP(XLOOKUP($K69,'Threshold Summary'!$Y:$Y,'Threshold Summary'!$M:$M,""),'Nature Editor'!$A:$A,'Nature Editor'!$D:$D,1))),def,IF(cat="Physical",FLOOR((FLOOR(((2*XLOOKUP($L69,'Pokemon Editor'!$A:$A,'Pokemon Editor'!$G:$G,0)+31+FLOOR(XLOOKUP($L69,'Boss Editor'!$C:$C,'Boss Editor'!$I:$I,"")/4))*XLOOKUP($L69,'Boss Editor'!$C:$C,'Boss Editor'!$D:$D,""))/100)+5)*XLOOKUP(XLOOKUP($L69,'Boss Editor'!$C:$C,'Boss Editor'!$E:$E,""),'Nature Editor'!$A:$A,'Nature Editor'!$C:$C,1)),FLOOR((FLOOR(((2*XLOOKUP($L69,'Pokemon Editor'!$A:$A,'Pokemon Editor'!$I:$I,0)+31+FLOOR(XLOOKUP($L69,'Boss Editor'!$C:$C,'Boss Editor'!$K:$K,"")/4))*XLOOKUP($L69,'Boss Editor'!$C:$C,'Boss Editor'!$D:$D,""))/100)+5)*XLOOKUP(XLOOKUP($L69,'Boss Editor'!$C:$C,'Boss Editor'!$E:$E,""),'Nature Editor'!$A:$A,'Nature Editor'!$E:$E,1))),stab,IF(OR(mtype=XLOOKUP(XLOOKUP($K69,'Threshold Summary'!$Y:$Y,'Threshold Summary'!$K:$K,""),'Pokemon Editor'!$A:$A,'Pokemon Editor'!$C:$C,""),mtype=XLOOKUP(XLOOKUP($K69,'Threshold Summary'!$Y:$Y,'Threshold Summary'!$K:$K,""),'Pokemon Editor'!$A:$A,'Pokemon Editor'!$D:$D,"")),1.5,1),eff,(INDEX('Type Chart'!$B:$S,MATCH(mtype,'Type Chart'!$A:$A,0),MATCH(XLOOKUP($L69,'Pokemon Editor'!$A:$A,'Pokemon Editor'!$C:$C,""),'Type Chart'!$B$1:$S$1,0))*IF(XLOOKUP($L69,'Pokemon Editor'!$A:$A,'Pokemon Editor'!$D:$D,"")="",1,INDEX('Type Chart'!$B:$S,MATCH(mtype,'Type Chart'!$A:$A,0),MATCH(XLOOKUP($L69,'Pokemon Editor'!$A:$A,'Pokemon Editor'!$D:$D,""),'Type Chart'!$B$1:$S$1,0)))),base,IF(OR(cat="Status",pow=0),0,FLOOR(FLOOR(FLOOR((2*XLOOKUP($K69,'Threshold Summary'!$Y:$Y,'Threshold Summary'!$L:$L,"")/5+2)*pow*atk/def)/50)+2)),modifier,stab*eff,FLOOR(base*modifier)),0)</f>
        <v/>
      </c>
      <c r="H69" s="3">
        <f>IFERROR(LET(mtype,XLOOKUP($D69,'Move Editor'!$B:$B,'Move Editor'!$C:$C,""),cat,XLOOKUP($D69,'Move Editor'!$B:$B,'Move Editor'!$D:$D,""),pow,XLOOKUP($D69,'Move Editor'!$B:$B,'Move Editor'!$E:$E,0),acc,XLOOKUP($D69,'Move Editor'!$B:$B,'Move Editor'!$F:$F,100),atk,IF(cat="Physical",FLOOR((FLOOR(((2*XLOOKUP(XLOOKUP($K69,'Threshold Summary'!$Y:$Y,'Threshold Summary'!$K:$K,""),'Pokemon Editor'!$A:$A,'Pokemon Editor'!$F:$F,0)+31+FLOOR(XLOOKUP($K69,'Threshold Summary'!$Y:$Y,'Threshold Summary'!$P:$P,"")/4))*XLOOKUP($K69,'Threshold Summary'!$Y:$Y,'Threshold Summary'!$L:$L,""))/100)+5)*XLOOKUP(XLOOKUP($K69,'Threshold Summary'!$Y:$Y,'Threshold Summary'!$M:$M,""),'Nature Editor'!$A:$A,'Nature Editor'!$B:$B,1)),FLOOR((FLOOR(((2*XLOOKUP(XLOOKUP($K69,'Threshold Summary'!$Y:$Y,'Threshold Summary'!$K:$K,""),'Pokemon Editor'!$A:$A,'Pokemon Editor'!$H:$H,0)+31+FLOOR(XLOOKUP($K69,'Threshold Summary'!$Y:$Y,'Threshold Summary'!$R:$R,"")/4))*XLOOKUP($K69,'Threshold Summary'!$Y:$Y,'Threshold Summary'!$L:$L,""))/100)+5)*XLOOKUP(XLOOKUP($K69,'Threshold Summary'!$Y:$Y,'Threshold Summary'!$M:$M,""),'Nature Editor'!$A:$A,'Nature Editor'!$D:$D,1))),def,IF(cat="Physical",FLOOR((FLOOR(((2*XLOOKUP($L69,'Pokemon Editor'!$A:$A,'Pokemon Editor'!$G:$G,0)+31+FLOOR(XLOOKUP($L69,'Boss Editor'!$C:$C,'Boss Editor'!$I:$I,"")/4))*XLOOKUP($L69,'Boss Editor'!$C:$C,'Boss Editor'!$D:$D,""))/100)+5)*XLOOKUP(XLOOKUP($L69,'Boss Editor'!$C:$C,'Boss Editor'!$E:$E,""),'Nature Editor'!$A:$A,'Nature Editor'!$C:$C,1)),FLOOR((FLOOR(((2*XLOOKUP($L69,'Pokemon Editor'!$A:$A,'Pokemon Editor'!$I:$I,0)+31+FLOOR(XLOOKUP($L69,'Boss Editor'!$C:$C,'Boss Editor'!$K:$K,"")/4))*XLOOKUP($L69,'Boss Editor'!$C:$C,'Boss Editor'!$D:$D,""))/100)+5)*XLOOKUP(XLOOKUP($L69,'Boss Editor'!$C:$C,'Boss Editor'!$E:$E,""),'Nature Editor'!$A:$A,'Nature Editor'!$E:$E,1))),stab,IF(OR(mtype=XLOOKUP(XLOOKUP($K69,'Threshold Summary'!$Y:$Y,'Threshold Summary'!$K:$K,""),'Pokemon Editor'!$A:$A,'Pokemon Editor'!$C:$C,""),mtype=XLOOKUP(XLOOKUP($K69,'Threshold Summary'!$Y:$Y,'Threshold Summary'!$K:$K,""),'Pokemon Editor'!$A:$A,'Pokemon Editor'!$D:$D,"")),1.5,1),eff,(INDEX('Type Chart'!$B:$S,MATCH(mtype,'Type Chart'!$A:$A,0),MATCH(XLOOKUP($L69,'Pokemon Editor'!$A:$A,'Pokemon Editor'!$C:$C,""),'Type Chart'!$B$1:$S$1,0))*IF(XLOOKUP($L69,'Pokemon Editor'!$A:$A,'Pokemon Editor'!$D:$D,"")="",1,INDEX('Type Chart'!$B:$S,MATCH(mtype,'Type Chart'!$A:$A,0),MATCH(XLOOKUP($L69,'Pokemon Editor'!$A:$A,'Pokemon Editor'!$D:$D,""),'Type Chart'!$B$1:$S$1,0)))),base,IF(OR(cat="Status",pow=0),0,FLOOR(FLOOR(FLOOR((2*XLOOKUP($K69,'Threshold Summary'!$Y:$Y,'Threshold Summary'!$L:$L,"")/5+2)*pow*atk/def)/50)+2)),modifier,stab*eff,AVERAGE(ARRAYFORMULA(FLOOR(base*modifier*SEQUENCE(16,1,85,1)/100)))),0)</f>
        <v/>
      </c>
      <c r="I69" s="4">
        <f>IFERROR(LET(mtype,XLOOKUP($D69,'Move Editor'!$B:$B,'Move Editor'!$C:$C,""),cat,XLOOKUP($D69,'Move Editor'!$B:$B,'Move Editor'!$D:$D,""),pow,XLOOKUP($D69,'Move Editor'!$B:$B,'Move Editor'!$E:$E,0),acc,XLOOKUP($D69,'Move Editor'!$B:$B,'Move Editor'!$F:$F,100),atk,IF(cat="Physical",FLOOR((FLOOR(((2*XLOOKUP(XLOOKUP($K69,'Threshold Summary'!$Y:$Y,'Threshold Summary'!$K:$K,""),'Pokemon Editor'!$A:$A,'Pokemon Editor'!$F:$F,0)+31+FLOOR(XLOOKUP($K69,'Threshold Summary'!$Y:$Y,'Threshold Summary'!$P:$P,"")/4))*XLOOKUP($K69,'Threshold Summary'!$Y:$Y,'Threshold Summary'!$L:$L,""))/100)+5)*XLOOKUP(XLOOKUP($K69,'Threshold Summary'!$Y:$Y,'Threshold Summary'!$M:$M,""),'Nature Editor'!$A:$A,'Nature Editor'!$B:$B,1)),FLOOR((FLOOR(((2*XLOOKUP(XLOOKUP($K69,'Threshold Summary'!$Y:$Y,'Threshold Summary'!$K:$K,""),'Pokemon Editor'!$A:$A,'Pokemon Editor'!$H:$H,0)+31+FLOOR(XLOOKUP($K69,'Threshold Summary'!$Y:$Y,'Threshold Summary'!$R:$R,"")/4))*XLOOKUP($K69,'Threshold Summary'!$Y:$Y,'Threshold Summary'!$L:$L,""))/100)+5)*XLOOKUP(XLOOKUP($K69,'Threshold Summary'!$Y:$Y,'Threshold Summary'!$M:$M,""),'Nature Editor'!$A:$A,'Nature Editor'!$D:$D,1))),def,IF(cat="Physical",FLOOR((FLOOR(((2*XLOOKUP($L69,'Pokemon Editor'!$A:$A,'Pokemon Editor'!$G:$G,0)+31+FLOOR(XLOOKUP($L69,'Boss Editor'!$C:$C,'Boss Editor'!$I:$I,"")/4))*XLOOKUP($L69,'Boss Editor'!$C:$C,'Boss Editor'!$D:$D,""))/100)+5)*XLOOKUP(XLOOKUP($L69,'Boss Editor'!$C:$C,'Boss Editor'!$E:$E,""),'Nature Editor'!$A:$A,'Nature Editor'!$C:$C,1)),FLOOR((FLOOR(((2*XLOOKUP($L69,'Pokemon Editor'!$A:$A,'Pokemon Editor'!$I:$I,0)+31+FLOOR(XLOOKUP($L69,'Boss Editor'!$C:$C,'Boss Editor'!$K:$K,"")/4))*XLOOKUP($L69,'Boss Editor'!$C:$C,'Boss Editor'!$D:$D,""))/100)+5)*XLOOKUP(XLOOKUP($L69,'Boss Editor'!$C:$C,'Boss Editor'!$E:$E,""),'Nature Editor'!$A:$A,'Nature Editor'!$E:$E,1))),stab,IF(OR(mtype=XLOOKUP(XLOOKUP($K69,'Threshold Summary'!$Y:$Y,'Threshold Summary'!$K:$K,""),'Pokemon Editor'!$A:$A,'Pokemon Editor'!$C:$C,""),mtype=XLOOKUP(XLOOKUP($K69,'Threshold Summary'!$Y:$Y,'Threshold Summary'!$K:$K,""),'Pokemon Editor'!$A:$A,'Pokemon Editor'!$D:$D,"")),1.5,1),eff,(INDEX('Type Chart'!$B:$S,MATCH(mtype,'Type Chart'!$A:$A,0),MATCH(XLOOKUP($L69,'Pokemon Editor'!$A:$A,'Pokemon Editor'!$C:$C,""),'Type Chart'!$B$1:$S$1,0))*IF(XLOOKUP($L69,'Pokemon Editor'!$A:$A,'Pokemon Editor'!$D:$D,"")="",1,INDEX('Type Chart'!$B:$S,MATCH(mtype,'Type Chart'!$A:$A,0),MATCH(XLOOKUP($L69,'Pokemon Editor'!$A:$A,'Pokemon Editor'!$D:$D,""),'Type Chart'!$B$1:$S$1,0)))),base,IF(OR(cat="Status",pow=0),0,FLOOR(FLOOR(FLOOR((2*XLOOKUP($K69,'Threshold Summary'!$Y:$Y,'Threshold Summary'!$L:$L,"")/5+2)*pow*atk/def)/50)+2)),modifier,stab*eff,AVERAGE(ARRAYFORMULA(FLOOR(base*modifier*SEQUENCE(16,1,85,1)/100)))/(FLOOR(((2*XLOOKUP($L69,'Pokemon Editor'!$A:$A,'Pokemon Editor'!$E:$E,0)+31+FLOOR(XLOOKUP($L69,'Boss Editor'!$C:$C,'Boss Editor'!$G:$G,"")/4))*XLOOKUP($L69,'Boss Editor'!$C:$C,'Boss Editor'!$D:$D,""))/100)+XLOOKUP($L69,'Boss Editor'!$C:$C,'Boss Editor'!$D:$D,"")+10)),0)</f>
        <v/>
      </c>
      <c r="J69" s="3">
        <f>IF(I69&gt;=1,"OHKO",IF(I69&gt;=0.5,"2HKO",IF(I69&gt;=0.333,"3HKO",IF(I69&gt;=0.25,"4HKO","5HKO+"))))</f>
        <v/>
      </c>
      <c r="K69" s="3" t="inlineStr">
        <is>
          <t>SPECIES_CUTIEFLY</t>
        </is>
      </c>
      <c r="L69" s="3" t="inlineStr">
        <is>
          <t>SPECIES_ANORITH</t>
        </is>
      </c>
    </row>
    <row r="70">
      <c r="A70" s="3">
        <f>XLOOKUP($K70,'Threshold Summary'!$Y:$Y,'Threshold Summary'!$A:$A,"")</f>
        <v/>
      </c>
      <c r="B70" s="3" t="inlineStr">
        <is>
          <t>Lileep</t>
        </is>
      </c>
      <c r="C70" s="3">
        <f>XLOOKUP($L70,'Boss Editor'!$C:$C,'Boss Editor'!$D:$D,"")</f>
        <v/>
      </c>
      <c r="D70" s="3">
        <f>XLOOKUP($K70,'Threshold Summary'!$Y:$Y,'Threshold Summary'!$B:$B,"")</f>
        <v/>
      </c>
      <c r="E70" s="3">
        <f>XLOOKUP(D70,'Move Editor'!$B:$B,'Move Editor'!$C:$C,"")</f>
        <v/>
      </c>
      <c r="F70" s="3">
        <f>IFERROR(LET(mtype,XLOOKUP($D70,'Move Editor'!$B:$B,'Move Editor'!$C:$C,""),cat,XLOOKUP($D70,'Move Editor'!$B:$B,'Move Editor'!$D:$D,""),pow,XLOOKUP($D70,'Move Editor'!$B:$B,'Move Editor'!$E:$E,0),acc,XLOOKUP($D70,'Move Editor'!$B:$B,'Move Editor'!$F:$F,100),atk,IF(cat="Physical",FLOOR((FLOOR(((2*XLOOKUP(XLOOKUP($K70,'Threshold Summary'!$Y:$Y,'Threshold Summary'!$K:$K,""),'Pokemon Editor'!$A:$A,'Pokemon Editor'!$F:$F,0)+31+FLOOR(XLOOKUP($K70,'Threshold Summary'!$Y:$Y,'Threshold Summary'!$P:$P,"")/4))*XLOOKUP($K70,'Threshold Summary'!$Y:$Y,'Threshold Summary'!$L:$L,""))/100)+5)*XLOOKUP(XLOOKUP($K70,'Threshold Summary'!$Y:$Y,'Threshold Summary'!$M:$M,""),'Nature Editor'!$A:$A,'Nature Editor'!$B:$B,1)),FLOOR((FLOOR(((2*XLOOKUP(XLOOKUP($K70,'Threshold Summary'!$Y:$Y,'Threshold Summary'!$K:$K,""),'Pokemon Editor'!$A:$A,'Pokemon Editor'!$H:$H,0)+31+FLOOR(XLOOKUP($K70,'Threshold Summary'!$Y:$Y,'Threshold Summary'!$R:$R,"")/4))*XLOOKUP($K70,'Threshold Summary'!$Y:$Y,'Threshold Summary'!$L:$L,""))/100)+5)*XLOOKUP(XLOOKUP($K70,'Threshold Summary'!$Y:$Y,'Threshold Summary'!$M:$M,""),'Nature Editor'!$A:$A,'Nature Editor'!$D:$D,1))),def,IF(cat="Physical",FLOOR((FLOOR(((2*XLOOKUP($L70,'Pokemon Editor'!$A:$A,'Pokemon Editor'!$G:$G,0)+31+FLOOR(XLOOKUP($L70,'Boss Editor'!$C:$C,'Boss Editor'!$I:$I,"")/4))*XLOOKUP($L70,'Boss Editor'!$C:$C,'Boss Editor'!$D:$D,""))/100)+5)*XLOOKUP(XLOOKUP($L70,'Boss Editor'!$C:$C,'Boss Editor'!$E:$E,""),'Nature Editor'!$A:$A,'Nature Editor'!$C:$C,1)),FLOOR((FLOOR(((2*XLOOKUP($L70,'Pokemon Editor'!$A:$A,'Pokemon Editor'!$I:$I,0)+31+FLOOR(XLOOKUP($L70,'Boss Editor'!$C:$C,'Boss Editor'!$K:$K,"")/4))*XLOOKUP($L70,'Boss Editor'!$C:$C,'Boss Editor'!$D:$D,""))/100)+5)*XLOOKUP(XLOOKUP($L70,'Boss Editor'!$C:$C,'Boss Editor'!$E:$E,""),'Nature Editor'!$A:$A,'Nature Editor'!$E:$E,1))),stab,IF(OR(mtype=XLOOKUP(XLOOKUP($K70,'Threshold Summary'!$Y:$Y,'Threshold Summary'!$K:$K,""),'Pokemon Editor'!$A:$A,'Pokemon Editor'!$C:$C,""),mtype=XLOOKUP(XLOOKUP($K70,'Threshold Summary'!$Y:$Y,'Threshold Summary'!$K:$K,""),'Pokemon Editor'!$A:$A,'Pokemon Editor'!$D:$D,"")),1.5,1),eff,(INDEX('Type Chart'!$B:$S,MATCH(mtype,'Type Chart'!$A:$A,0),MATCH(XLOOKUP($L70,'Pokemon Editor'!$A:$A,'Pokemon Editor'!$C:$C,""),'Type Chart'!$B$1:$S$1,0))*IF(XLOOKUP($L70,'Pokemon Editor'!$A:$A,'Pokemon Editor'!$D:$D,"")="",1,INDEX('Type Chart'!$B:$S,MATCH(mtype,'Type Chart'!$A:$A,0),MATCH(XLOOKUP($L70,'Pokemon Editor'!$A:$A,'Pokemon Editor'!$D:$D,""),'Type Chart'!$B$1:$S$1,0)))),base,IF(OR(cat="Status",pow=0),0,FLOOR(FLOOR(FLOOR((2*XLOOKUP($K70,'Threshold Summary'!$Y:$Y,'Threshold Summary'!$L:$L,"")/5+2)*pow*atk/def)/50)+2)),modifier,stab*eff,FLOOR(base*modifier*0.85)),0)</f>
        <v/>
      </c>
      <c r="G70" s="3">
        <f>IFERROR(LET(mtype,XLOOKUP($D70,'Move Editor'!$B:$B,'Move Editor'!$C:$C,""),cat,XLOOKUP($D70,'Move Editor'!$B:$B,'Move Editor'!$D:$D,""),pow,XLOOKUP($D70,'Move Editor'!$B:$B,'Move Editor'!$E:$E,0),acc,XLOOKUP($D70,'Move Editor'!$B:$B,'Move Editor'!$F:$F,100),atk,IF(cat="Physical",FLOOR((FLOOR(((2*XLOOKUP(XLOOKUP($K70,'Threshold Summary'!$Y:$Y,'Threshold Summary'!$K:$K,""),'Pokemon Editor'!$A:$A,'Pokemon Editor'!$F:$F,0)+31+FLOOR(XLOOKUP($K70,'Threshold Summary'!$Y:$Y,'Threshold Summary'!$P:$P,"")/4))*XLOOKUP($K70,'Threshold Summary'!$Y:$Y,'Threshold Summary'!$L:$L,""))/100)+5)*XLOOKUP(XLOOKUP($K70,'Threshold Summary'!$Y:$Y,'Threshold Summary'!$M:$M,""),'Nature Editor'!$A:$A,'Nature Editor'!$B:$B,1)),FLOOR((FLOOR(((2*XLOOKUP(XLOOKUP($K70,'Threshold Summary'!$Y:$Y,'Threshold Summary'!$K:$K,""),'Pokemon Editor'!$A:$A,'Pokemon Editor'!$H:$H,0)+31+FLOOR(XLOOKUP($K70,'Threshold Summary'!$Y:$Y,'Threshold Summary'!$R:$R,"")/4))*XLOOKUP($K70,'Threshold Summary'!$Y:$Y,'Threshold Summary'!$L:$L,""))/100)+5)*XLOOKUP(XLOOKUP($K70,'Threshold Summary'!$Y:$Y,'Threshold Summary'!$M:$M,""),'Nature Editor'!$A:$A,'Nature Editor'!$D:$D,1))),def,IF(cat="Physical",FLOOR((FLOOR(((2*XLOOKUP($L70,'Pokemon Editor'!$A:$A,'Pokemon Editor'!$G:$G,0)+31+FLOOR(XLOOKUP($L70,'Boss Editor'!$C:$C,'Boss Editor'!$I:$I,"")/4))*XLOOKUP($L70,'Boss Editor'!$C:$C,'Boss Editor'!$D:$D,""))/100)+5)*XLOOKUP(XLOOKUP($L70,'Boss Editor'!$C:$C,'Boss Editor'!$E:$E,""),'Nature Editor'!$A:$A,'Nature Editor'!$C:$C,1)),FLOOR((FLOOR(((2*XLOOKUP($L70,'Pokemon Editor'!$A:$A,'Pokemon Editor'!$I:$I,0)+31+FLOOR(XLOOKUP($L70,'Boss Editor'!$C:$C,'Boss Editor'!$K:$K,"")/4))*XLOOKUP($L70,'Boss Editor'!$C:$C,'Boss Editor'!$D:$D,""))/100)+5)*XLOOKUP(XLOOKUP($L70,'Boss Editor'!$C:$C,'Boss Editor'!$E:$E,""),'Nature Editor'!$A:$A,'Nature Editor'!$E:$E,1))),stab,IF(OR(mtype=XLOOKUP(XLOOKUP($K70,'Threshold Summary'!$Y:$Y,'Threshold Summary'!$K:$K,""),'Pokemon Editor'!$A:$A,'Pokemon Editor'!$C:$C,""),mtype=XLOOKUP(XLOOKUP($K70,'Threshold Summary'!$Y:$Y,'Threshold Summary'!$K:$K,""),'Pokemon Editor'!$A:$A,'Pokemon Editor'!$D:$D,"")),1.5,1),eff,(INDEX('Type Chart'!$B:$S,MATCH(mtype,'Type Chart'!$A:$A,0),MATCH(XLOOKUP($L70,'Pokemon Editor'!$A:$A,'Pokemon Editor'!$C:$C,""),'Type Chart'!$B$1:$S$1,0))*IF(XLOOKUP($L70,'Pokemon Editor'!$A:$A,'Pokemon Editor'!$D:$D,"")="",1,INDEX('Type Chart'!$B:$S,MATCH(mtype,'Type Chart'!$A:$A,0),MATCH(XLOOKUP($L70,'Pokemon Editor'!$A:$A,'Pokemon Editor'!$D:$D,""),'Type Chart'!$B$1:$S$1,0)))),base,IF(OR(cat="Status",pow=0),0,FLOOR(FLOOR(FLOOR((2*XLOOKUP($K70,'Threshold Summary'!$Y:$Y,'Threshold Summary'!$L:$L,"")/5+2)*pow*atk/def)/50)+2)),modifier,stab*eff,FLOOR(base*modifier)),0)</f>
        <v/>
      </c>
      <c r="H70" s="3">
        <f>IFERROR(LET(mtype,XLOOKUP($D70,'Move Editor'!$B:$B,'Move Editor'!$C:$C,""),cat,XLOOKUP($D70,'Move Editor'!$B:$B,'Move Editor'!$D:$D,""),pow,XLOOKUP($D70,'Move Editor'!$B:$B,'Move Editor'!$E:$E,0),acc,XLOOKUP($D70,'Move Editor'!$B:$B,'Move Editor'!$F:$F,100),atk,IF(cat="Physical",FLOOR((FLOOR(((2*XLOOKUP(XLOOKUP($K70,'Threshold Summary'!$Y:$Y,'Threshold Summary'!$K:$K,""),'Pokemon Editor'!$A:$A,'Pokemon Editor'!$F:$F,0)+31+FLOOR(XLOOKUP($K70,'Threshold Summary'!$Y:$Y,'Threshold Summary'!$P:$P,"")/4))*XLOOKUP($K70,'Threshold Summary'!$Y:$Y,'Threshold Summary'!$L:$L,""))/100)+5)*XLOOKUP(XLOOKUP($K70,'Threshold Summary'!$Y:$Y,'Threshold Summary'!$M:$M,""),'Nature Editor'!$A:$A,'Nature Editor'!$B:$B,1)),FLOOR((FLOOR(((2*XLOOKUP(XLOOKUP($K70,'Threshold Summary'!$Y:$Y,'Threshold Summary'!$K:$K,""),'Pokemon Editor'!$A:$A,'Pokemon Editor'!$H:$H,0)+31+FLOOR(XLOOKUP($K70,'Threshold Summary'!$Y:$Y,'Threshold Summary'!$R:$R,"")/4))*XLOOKUP($K70,'Threshold Summary'!$Y:$Y,'Threshold Summary'!$L:$L,""))/100)+5)*XLOOKUP(XLOOKUP($K70,'Threshold Summary'!$Y:$Y,'Threshold Summary'!$M:$M,""),'Nature Editor'!$A:$A,'Nature Editor'!$D:$D,1))),def,IF(cat="Physical",FLOOR((FLOOR(((2*XLOOKUP($L70,'Pokemon Editor'!$A:$A,'Pokemon Editor'!$G:$G,0)+31+FLOOR(XLOOKUP($L70,'Boss Editor'!$C:$C,'Boss Editor'!$I:$I,"")/4))*XLOOKUP($L70,'Boss Editor'!$C:$C,'Boss Editor'!$D:$D,""))/100)+5)*XLOOKUP(XLOOKUP($L70,'Boss Editor'!$C:$C,'Boss Editor'!$E:$E,""),'Nature Editor'!$A:$A,'Nature Editor'!$C:$C,1)),FLOOR((FLOOR(((2*XLOOKUP($L70,'Pokemon Editor'!$A:$A,'Pokemon Editor'!$I:$I,0)+31+FLOOR(XLOOKUP($L70,'Boss Editor'!$C:$C,'Boss Editor'!$K:$K,"")/4))*XLOOKUP($L70,'Boss Editor'!$C:$C,'Boss Editor'!$D:$D,""))/100)+5)*XLOOKUP(XLOOKUP($L70,'Boss Editor'!$C:$C,'Boss Editor'!$E:$E,""),'Nature Editor'!$A:$A,'Nature Editor'!$E:$E,1))),stab,IF(OR(mtype=XLOOKUP(XLOOKUP($K70,'Threshold Summary'!$Y:$Y,'Threshold Summary'!$K:$K,""),'Pokemon Editor'!$A:$A,'Pokemon Editor'!$C:$C,""),mtype=XLOOKUP(XLOOKUP($K70,'Threshold Summary'!$Y:$Y,'Threshold Summary'!$K:$K,""),'Pokemon Editor'!$A:$A,'Pokemon Editor'!$D:$D,"")),1.5,1),eff,(INDEX('Type Chart'!$B:$S,MATCH(mtype,'Type Chart'!$A:$A,0),MATCH(XLOOKUP($L70,'Pokemon Editor'!$A:$A,'Pokemon Editor'!$C:$C,""),'Type Chart'!$B$1:$S$1,0))*IF(XLOOKUP($L70,'Pokemon Editor'!$A:$A,'Pokemon Editor'!$D:$D,"")="",1,INDEX('Type Chart'!$B:$S,MATCH(mtype,'Type Chart'!$A:$A,0),MATCH(XLOOKUP($L70,'Pokemon Editor'!$A:$A,'Pokemon Editor'!$D:$D,""),'Type Chart'!$B$1:$S$1,0)))),base,IF(OR(cat="Status",pow=0),0,FLOOR(FLOOR(FLOOR((2*XLOOKUP($K70,'Threshold Summary'!$Y:$Y,'Threshold Summary'!$L:$L,"")/5+2)*pow*atk/def)/50)+2)),modifier,stab*eff,AVERAGE(ARRAYFORMULA(FLOOR(base*modifier*SEQUENCE(16,1,85,1)/100)))),0)</f>
        <v/>
      </c>
      <c r="I70" s="4">
        <f>IFERROR(LET(mtype,XLOOKUP($D70,'Move Editor'!$B:$B,'Move Editor'!$C:$C,""),cat,XLOOKUP($D70,'Move Editor'!$B:$B,'Move Editor'!$D:$D,""),pow,XLOOKUP($D70,'Move Editor'!$B:$B,'Move Editor'!$E:$E,0),acc,XLOOKUP($D70,'Move Editor'!$B:$B,'Move Editor'!$F:$F,100),atk,IF(cat="Physical",FLOOR((FLOOR(((2*XLOOKUP(XLOOKUP($K70,'Threshold Summary'!$Y:$Y,'Threshold Summary'!$K:$K,""),'Pokemon Editor'!$A:$A,'Pokemon Editor'!$F:$F,0)+31+FLOOR(XLOOKUP($K70,'Threshold Summary'!$Y:$Y,'Threshold Summary'!$P:$P,"")/4))*XLOOKUP($K70,'Threshold Summary'!$Y:$Y,'Threshold Summary'!$L:$L,""))/100)+5)*XLOOKUP(XLOOKUP($K70,'Threshold Summary'!$Y:$Y,'Threshold Summary'!$M:$M,""),'Nature Editor'!$A:$A,'Nature Editor'!$B:$B,1)),FLOOR((FLOOR(((2*XLOOKUP(XLOOKUP($K70,'Threshold Summary'!$Y:$Y,'Threshold Summary'!$K:$K,""),'Pokemon Editor'!$A:$A,'Pokemon Editor'!$H:$H,0)+31+FLOOR(XLOOKUP($K70,'Threshold Summary'!$Y:$Y,'Threshold Summary'!$R:$R,"")/4))*XLOOKUP($K70,'Threshold Summary'!$Y:$Y,'Threshold Summary'!$L:$L,""))/100)+5)*XLOOKUP(XLOOKUP($K70,'Threshold Summary'!$Y:$Y,'Threshold Summary'!$M:$M,""),'Nature Editor'!$A:$A,'Nature Editor'!$D:$D,1))),def,IF(cat="Physical",FLOOR((FLOOR(((2*XLOOKUP($L70,'Pokemon Editor'!$A:$A,'Pokemon Editor'!$G:$G,0)+31+FLOOR(XLOOKUP($L70,'Boss Editor'!$C:$C,'Boss Editor'!$I:$I,"")/4))*XLOOKUP($L70,'Boss Editor'!$C:$C,'Boss Editor'!$D:$D,""))/100)+5)*XLOOKUP(XLOOKUP($L70,'Boss Editor'!$C:$C,'Boss Editor'!$E:$E,""),'Nature Editor'!$A:$A,'Nature Editor'!$C:$C,1)),FLOOR((FLOOR(((2*XLOOKUP($L70,'Pokemon Editor'!$A:$A,'Pokemon Editor'!$I:$I,0)+31+FLOOR(XLOOKUP($L70,'Boss Editor'!$C:$C,'Boss Editor'!$K:$K,"")/4))*XLOOKUP($L70,'Boss Editor'!$C:$C,'Boss Editor'!$D:$D,""))/100)+5)*XLOOKUP(XLOOKUP($L70,'Boss Editor'!$C:$C,'Boss Editor'!$E:$E,""),'Nature Editor'!$A:$A,'Nature Editor'!$E:$E,1))),stab,IF(OR(mtype=XLOOKUP(XLOOKUP($K70,'Threshold Summary'!$Y:$Y,'Threshold Summary'!$K:$K,""),'Pokemon Editor'!$A:$A,'Pokemon Editor'!$C:$C,""),mtype=XLOOKUP(XLOOKUP($K70,'Threshold Summary'!$Y:$Y,'Threshold Summary'!$K:$K,""),'Pokemon Editor'!$A:$A,'Pokemon Editor'!$D:$D,"")),1.5,1),eff,(INDEX('Type Chart'!$B:$S,MATCH(mtype,'Type Chart'!$A:$A,0),MATCH(XLOOKUP($L70,'Pokemon Editor'!$A:$A,'Pokemon Editor'!$C:$C,""),'Type Chart'!$B$1:$S$1,0))*IF(XLOOKUP($L70,'Pokemon Editor'!$A:$A,'Pokemon Editor'!$D:$D,"")="",1,INDEX('Type Chart'!$B:$S,MATCH(mtype,'Type Chart'!$A:$A,0),MATCH(XLOOKUP($L70,'Pokemon Editor'!$A:$A,'Pokemon Editor'!$D:$D,""),'Type Chart'!$B$1:$S$1,0)))),base,IF(OR(cat="Status",pow=0),0,FLOOR(FLOOR(FLOOR((2*XLOOKUP($K70,'Threshold Summary'!$Y:$Y,'Threshold Summary'!$L:$L,"")/5+2)*pow*atk/def)/50)+2)),modifier,stab*eff,AVERAGE(ARRAYFORMULA(FLOOR(base*modifier*SEQUENCE(16,1,85,1)/100)))/(FLOOR(((2*XLOOKUP($L70,'Pokemon Editor'!$A:$A,'Pokemon Editor'!$E:$E,0)+31+FLOOR(XLOOKUP($L70,'Boss Editor'!$C:$C,'Boss Editor'!$G:$G,"")/4))*XLOOKUP($L70,'Boss Editor'!$C:$C,'Boss Editor'!$D:$D,""))/100)+XLOOKUP($L70,'Boss Editor'!$C:$C,'Boss Editor'!$D:$D,"")+10)),0)</f>
        <v/>
      </c>
      <c r="J70" s="3">
        <f>IF(I70&gt;=1,"OHKO",IF(I70&gt;=0.5,"2HKO",IF(I70&gt;=0.333,"3HKO",IF(I70&gt;=0.25,"4HKO","5HKO+"))))</f>
        <v/>
      </c>
      <c r="K70" s="3" t="inlineStr">
        <is>
          <t>SPECIES_CUTIEFLY</t>
        </is>
      </c>
      <c r="L70" s="3" t="inlineStr">
        <is>
          <t>SPECIES_LILEEP</t>
        </is>
      </c>
    </row>
    <row r="71">
      <c r="A71" s="3">
        <f>XLOOKUP($K71,'Threshold Summary'!$Y:$Y,'Threshold Summary'!$A:$A,"")</f>
        <v/>
      </c>
      <c r="B71" s="3" t="inlineStr">
        <is>
          <t>Tirtouga</t>
        </is>
      </c>
      <c r="C71" s="3">
        <f>XLOOKUP($L71,'Boss Editor'!$C:$C,'Boss Editor'!$D:$D,"")</f>
        <v/>
      </c>
      <c r="D71" s="3">
        <f>XLOOKUP($K71,'Threshold Summary'!$Y:$Y,'Threshold Summary'!$B:$B,"")</f>
        <v/>
      </c>
      <c r="E71" s="3">
        <f>XLOOKUP(D71,'Move Editor'!$B:$B,'Move Editor'!$C:$C,"")</f>
        <v/>
      </c>
      <c r="F71" s="3">
        <f>IFERROR(LET(mtype,XLOOKUP($D71,'Move Editor'!$B:$B,'Move Editor'!$C:$C,""),cat,XLOOKUP($D71,'Move Editor'!$B:$B,'Move Editor'!$D:$D,""),pow,XLOOKUP($D71,'Move Editor'!$B:$B,'Move Editor'!$E:$E,0),acc,XLOOKUP($D71,'Move Editor'!$B:$B,'Move Editor'!$F:$F,100),atk,IF(cat="Physical",FLOOR((FLOOR(((2*XLOOKUP(XLOOKUP($K71,'Threshold Summary'!$Y:$Y,'Threshold Summary'!$K:$K,""),'Pokemon Editor'!$A:$A,'Pokemon Editor'!$F:$F,0)+31+FLOOR(XLOOKUP($K71,'Threshold Summary'!$Y:$Y,'Threshold Summary'!$P:$P,"")/4))*XLOOKUP($K71,'Threshold Summary'!$Y:$Y,'Threshold Summary'!$L:$L,""))/100)+5)*XLOOKUP(XLOOKUP($K71,'Threshold Summary'!$Y:$Y,'Threshold Summary'!$M:$M,""),'Nature Editor'!$A:$A,'Nature Editor'!$B:$B,1)),FLOOR((FLOOR(((2*XLOOKUP(XLOOKUP($K71,'Threshold Summary'!$Y:$Y,'Threshold Summary'!$K:$K,""),'Pokemon Editor'!$A:$A,'Pokemon Editor'!$H:$H,0)+31+FLOOR(XLOOKUP($K71,'Threshold Summary'!$Y:$Y,'Threshold Summary'!$R:$R,"")/4))*XLOOKUP($K71,'Threshold Summary'!$Y:$Y,'Threshold Summary'!$L:$L,""))/100)+5)*XLOOKUP(XLOOKUP($K71,'Threshold Summary'!$Y:$Y,'Threshold Summary'!$M:$M,""),'Nature Editor'!$A:$A,'Nature Editor'!$D:$D,1))),def,IF(cat="Physical",FLOOR((FLOOR(((2*XLOOKUP($L71,'Pokemon Editor'!$A:$A,'Pokemon Editor'!$G:$G,0)+31+FLOOR(XLOOKUP($L71,'Boss Editor'!$C:$C,'Boss Editor'!$I:$I,"")/4))*XLOOKUP($L71,'Boss Editor'!$C:$C,'Boss Editor'!$D:$D,""))/100)+5)*XLOOKUP(XLOOKUP($L71,'Boss Editor'!$C:$C,'Boss Editor'!$E:$E,""),'Nature Editor'!$A:$A,'Nature Editor'!$C:$C,1)),FLOOR((FLOOR(((2*XLOOKUP($L71,'Pokemon Editor'!$A:$A,'Pokemon Editor'!$I:$I,0)+31+FLOOR(XLOOKUP($L71,'Boss Editor'!$C:$C,'Boss Editor'!$K:$K,"")/4))*XLOOKUP($L71,'Boss Editor'!$C:$C,'Boss Editor'!$D:$D,""))/100)+5)*XLOOKUP(XLOOKUP($L71,'Boss Editor'!$C:$C,'Boss Editor'!$E:$E,""),'Nature Editor'!$A:$A,'Nature Editor'!$E:$E,1))),stab,IF(OR(mtype=XLOOKUP(XLOOKUP($K71,'Threshold Summary'!$Y:$Y,'Threshold Summary'!$K:$K,""),'Pokemon Editor'!$A:$A,'Pokemon Editor'!$C:$C,""),mtype=XLOOKUP(XLOOKUP($K71,'Threshold Summary'!$Y:$Y,'Threshold Summary'!$K:$K,""),'Pokemon Editor'!$A:$A,'Pokemon Editor'!$D:$D,"")),1.5,1),eff,(INDEX('Type Chart'!$B:$S,MATCH(mtype,'Type Chart'!$A:$A,0),MATCH(XLOOKUP($L71,'Pokemon Editor'!$A:$A,'Pokemon Editor'!$C:$C,""),'Type Chart'!$B$1:$S$1,0))*IF(XLOOKUP($L71,'Pokemon Editor'!$A:$A,'Pokemon Editor'!$D:$D,"")="",1,INDEX('Type Chart'!$B:$S,MATCH(mtype,'Type Chart'!$A:$A,0),MATCH(XLOOKUP($L71,'Pokemon Editor'!$A:$A,'Pokemon Editor'!$D:$D,""),'Type Chart'!$B$1:$S$1,0)))),base,IF(OR(cat="Status",pow=0),0,FLOOR(FLOOR(FLOOR((2*XLOOKUP($K71,'Threshold Summary'!$Y:$Y,'Threshold Summary'!$L:$L,"")/5+2)*pow*atk/def)/50)+2)),modifier,stab*eff,FLOOR(base*modifier*0.85)),0)</f>
        <v/>
      </c>
      <c r="G71" s="3">
        <f>IFERROR(LET(mtype,XLOOKUP($D71,'Move Editor'!$B:$B,'Move Editor'!$C:$C,""),cat,XLOOKUP($D71,'Move Editor'!$B:$B,'Move Editor'!$D:$D,""),pow,XLOOKUP($D71,'Move Editor'!$B:$B,'Move Editor'!$E:$E,0),acc,XLOOKUP($D71,'Move Editor'!$B:$B,'Move Editor'!$F:$F,100),atk,IF(cat="Physical",FLOOR((FLOOR(((2*XLOOKUP(XLOOKUP($K71,'Threshold Summary'!$Y:$Y,'Threshold Summary'!$K:$K,""),'Pokemon Editor'!$A:$A,'Pokemon Editor'!$F:$F,0)+31+FLOOR(XLOOKUP($K71,'Threshold Summary'!$Y:$Y,'Threshold Summary'!$P:$P,"")/4))*XLOOKUP($K71,'Threshold Summary'!$Y:$Y,'Threshold Summary'!$L:$L,""))/100)+5)*XLOOKUP(XLOOKUP($K71,'Threshold Summary'!$Y:$Y,'Threshold Summary'!$M:$M,""),'Nature Editor'!$A:$A,'Nature Editor'!$B:$B,1)),FLOOR((FLOOR(((2*XLOOKUP(XLOOKUP($K71,'Threshold Summary'!$Y:$Y,'Threshold Summary'!$K:$K,""),'Pokemon Editor'!$A:$A,'Pokemon Editor'!$H:$H,0)+31+FLOOR(XLOOKUP($K71,'Threshold Summary'!$Y:$Y,'Threshold Summary'!$R:$R,"")/4))*XLOOKUP($K71,'Threshold Summary'!$Y:$Y,'Threshold Summary'!$L:$L,""))/100)+5)*XLOOKUP(XLOOKUP($K71,'Threshold Summary'!$Y:$Y,'Threshold Summary'!$M:$M,""),'Nature Editor'!$A:$A,'Nature Editor'!$D:$D,1))),def,IF(cat="Physical",FLOOR((FLOOR(((2*XLOOKUP($L71,'Pokemon Editor'!$A:$A,'Pokemon Editor'!$G:$G,0)+31+FLOOR(XLOOKUP($L71,'Boss Editor'!$C:$C,'Boss Editor'!$I:$I,"")/4))*XLOOKUP($L71,'Boss Editor'!$C:$C,'Boss Editor'!$D:$D,""))/100)+5)*XLOOKUP(XLOOKUP($L71,'Boss Editor'!$C:$C,'Boss Editor'!$E:$E,""),'Nature Editor'!$A:$A,'Nature Editor'!$C:$C,1)),FLOOR((FLOOR(((2*XLOOKUP($L71,'Pokemon Editor'!$A:$A,'Pokemon Editor'!$I:$I,0)+31+FLOOR(XLOOKUP($L71,'Boss Editor'!$C:$C,'Boss Editor'!$K:$K,"")/4))*XLOOKUP($L71,'Boss Editor'!$C:$C,'Boss Editor'!$D:$D,""))/100)+5)*XLOOKUP(XLOOKUP($L71,'Boss Editor'!$C:$C,'Boss Editor'!$E:$E,""),'Nature Editor'!$A:$A,'Nature Editor'!$E:$E,1))),stab,IF(OR(mtype=XLOOKUP(XLOOKUP($K71,'Threshold Summary'!$Y:$Y,'Threshold Summary'!$K:$K,""),'Pokemon Editor'!$A:$A,'Pokemon Editor'!$C:$C,""),mtype=XLOOKUP(XLOOKUP($K71,'Threshold Summary'!$Y:$Y,'Threshold Summary'!$K:$K,""),'Pokemon Editor'!$A:$A,'Pokemon Editor'!$D:$D,"")),1.5,1),eff,(INDEX('Type Chart'!$B:$S,MATCH(mtype,'Type Chart'!$A:$A,0),MATCH(XLOOKUP($L71,'Pokemon Editor'!$A:$A,'Pokemon Editor'!$C:$C,""),'Type Chart'!$B$1:$S$1,0))*IF(XLOOKUP($L71,'Pokemon Editor'!$A:$A,'Pokemon Editor'!$D:$D,"")="",1,INDEX('Type Chart'!$B:$S,MATCH(mtype,'Type Chart'!$A:$A,0),MATCH(XLOOKUP($L71,'Pokemon Editor'!$A:$A,'Pokemon Editor'!$D:$D,""),'Type Chart'!$B$1:$S$1,0)))),base,IF(OR(cat="Status",pow=0),0,FLOOR(FLOOR(FLOOR((2*XLOOKUP($K71,'Threshold Summary'!$Y:$Y,'Threshold Summary'!$L:$L,"")/5+2)*pow*atk/def)/50)+2)),modifier,stab*eff,FLOOR(base*modifier)),0)</f>
        <v/>
      </c>
      <c r="H71" s="3">
        <f>IFERROR(LET(mtype,XLOOKUP($D71,'Move Editor'!$B:$B,'Move Editor'!$C:$C,""),cat,XLOOKUP($D71,'Move Editor'!$B:$B,'Move Editor'!$D:$D,""),pow,XLOOKUP($D71,'Move Editor'!$B:$B,'Move Editor'!$E:$E,0),acc,XLOOKUP($D71,'Move Editor'!$B:$B,'Move Editor'!$F:$F,100),atk,IF(cat="Physical",FLOOR((FLOOR(((2*XLOOKUP(XLOOKUP($K71,'Threshold Summary'!$Y:$Y,'Threshold Summary'!$K:$K,""),'Pokemon Editor'!$A:$A,'Pokemon Editor'!$F:$F,0)+31+FLOOR(XLOOKUP($K71,'Threshold Summary'!$Y:$Y,'Threshold Summary'!$P:$P,"")/4))*XLOOKUP($K71,'Threshold Summary'!$Y:$Y,'Threshold Summary'!$L:$L,""))/100)+5)*XLOOKUP(XLOOKUP($K71,'Threshold Summary'!$Y:$Y,'Threshold Summary'!$M:$M,""),'Nature Editor'!$A:$A,'Nature Editor'!$B:$B,1)),FLOOR((FLOOR(((2*XLOOKUP(XLOOKUP($K71,'Threshold Summary'!$Y:$Y,'Threshold Summary'!$K:$K,""),'Pokemon Editor'!$A:$A,'Pokemon Editor'!$H:$H,0)+31+FLOOR(XLOOKUP($K71,'Threshold Summary'!$Y:$Y,'Threshold Summary'!$R:$R,"")/4))*XLOOKUP($K71,'Threshold Summary'!$Y:$Y,'Threshold Summary'!$L:$L,""))/100)+5)*XLOOKUP(XLOOKUP($K71,'Threshold Summary'!$Y:$Y,'Threshold Summary'!$M:$M,""),'Nature Editor'!$A:$A,'Nature Editor'!$D:$D,1))),def,IF(cat="Physical",FLOOR((FLOOR(((2*XLOOKUP($L71,'Pokemon Editor'!$A:$A,'Pokemon Editor'!$G:$G,0)+31+FLOOR(XLOOKUP($L71,'Boss Editor'!$C:$C,'Boss Editor'!$I:$I,"")/4))*XLOOKUP($L71,'Boss Editor'!$C:$C,'Boss Editor'!$D:$D,""))/100)+5)*XLOOKUP(XLOOKUP($L71,'Boss Editor'!$C:$C,'Boss Editor'!$E:$E,""),'Nature Editor'!$A:$A,'Nature Editor'!$C:$C,1)),FLOOR((FLOOR(((2*XLOOKUP($L71,'Pokemon Editor'!$A:$A,'Pokemon Editor'!$I:$I,0)+31+FLOOR(XLOOKUP($L71,'Boss Editor'!$C:$C,'Boss Editor'!$K:$K,"")/4))*XLOOKUP($L71,'Boss Editor'!$C:$C,'Boss Editor'!$D:$D,""))/100)+5)*XLOOKUP(XLOOKUP($L71,'Boss Editor'!$C:$C,'Boss Editor'!$E:$E,""),'Nature Editor'!$A:$A,'Nature Editor'!$E:$E,1))),stab,IF(OR(mtype=XLOOKUP(XLOOKUP($K71,'Threshold Summary'!$Y:$Y,'Threshold Summary'!$K:$K,""),'Pokemon Editor'!$A:$A,'Pokemon Editor'!$C:$C,""),mtype=XLOOKUP(XLOOKUP($K71,'Threshold Summary'!$Y:$Y,'Threshold Summary'!$K:$K,""),'Pokemon Editor'!$A:$A,'Pokemon Editor'!$D:$D,"")),1.5,1),eff,(INDEX('Type Chart'!$B:$S,MATCH(mtype,'Type Chart'!$A:$A,0),MATCH(XLOOKUP($L71,'Pokemon Editor'!$A:$A,'Pokemon Editor'!$C:$C,""),'Type Chart'!$B$1:$S$1,0))*IF(XLOOKUP($L71,'Pokemon Editor'!$A:$A,'Pokemon Editor'!$D:$D,"")="",1,INDEX('Type Chart'!$B:$S,MATCH(mtype,'Type Chart'!$A:$A,0),MATCH(XLOOKUP($L71,'Pokemon Editor'!$A:$A,'Pokemon Editor'!$D:$D,""),'Type Chart'!$B$1:$S$1,0)))),base,IF(OR(cat="Status",pow=0),0,FLOOR(FLOOR(FLOOR((2*XLOOKUP($K71,'Threshold Summary'!$Y:$Y,'Threshold Summary'!$L:$L,"")/5+2)*pow*atk/def)/50)+2)),modifier,stab*eff,AVERAGE(ARRAYFORMULA(FLOOR(base*modifier*SEQUENCE(16,1,85,1)/100)))),0)</f>
        <v/>
      </c>
      <c r="I71" s="4">
        <f>IFERROR(LET(mtype,XLOOKUP($D71,'Move Editor'!$B:$B,'Move Editor'!$C:$C,""),cat,XLOOKUP($D71,'Move Editor'!$B:$B,'Move Editor'!$D:$D,""),pow,XLOOKUP($D71,'Move Editor'!$B:$B,'Move Editor'!$E:$E,0),acc,XLOOKUP($D71,'Move Editor'!$B:$B,'Move Editor'!$F:$F,100),atk,IF(cat="Physical",FLOOR((FLOOR(((2*XLOOKUP(XLOOKUP($K71,'Threshold Summary'!$Y:$Y,'Threshold Summary'!$K:$K,""),'Pokemon Editor'!$A:$A,'Pokemon Editor'!$F:$F,0)+31+FLOOR(XLOOKUP($K71,'Threshold Summary'!$Y:$Y,'Threshold Summary'!$P:$P,"")/4))*XLOOKUP($K71,'Threshold Summary'!$Y:$Y,'Threshold Summary'!$L:$L,""))/100)+5)*XLOOKUP(XLOOKUP($K71,'Threshold Summary'!$Y:$Y,'Threshold Summary'!$M:$M,""),'Nature Editor'!$A:$A,'Nature Editor'!$B:$B,1)),FLOOR((FLOOR(((2*XLOOKUP(XLOOKUP($K71,'Threshold Summary'!$Y:$Y,'Threshold Summary'!$K:$K,""),'Pokemon Editor'!$A:$A,'Pokemon Editor'!$H:$H,0)+31+FLOOR(XLOOKUP($K71,'Threshold Summary'!$Y:$Y,'Threshold Summary'!$R:$R,"")/4))*XLOOKUP($K71,'Threshold Summary'!$Y:$Y,'Threshold Summary'!$L:$L,""))/100)+5)*XLOOKUP(XLOOKUP($K71,'Threshold Summary'!$Y:$Y,'Threshold Summary'!$M:$M,""),'Nature Editor'!$A:$A,'Nature Editor'!$D:$D,1))),def,IF(cat="Physical",FLOOR((FLOOR(((2*XLOOKUP($L71,'Pokemon Editor'!$A:$A,'Pokemon Editor'!$G:$G,0)+31+FLOOR(XLOOKUP($L71,'Boss Editor'!$C:$C,'Boss Editor'!$I:$I,"")/4))*XLOOKUP($L71,'Boss Editor'!$C:$C,'Boss Editor'!$D:$D,""))/100)+5)*XLOOKUP(XLOOKUP($L71,'Boss Editor'!$C:$C,'Boss Editor'!$E:$E,""),'Nature Editor'!$A:$A,'Nature Editor'!$C:$C,1)),FLOOR((FLOOR(((2*XLOOKUP($L71,'Pokemon Editor'!$A:$A,'Pokemon Editor'!$I:$I,0)+31+FLOOR(XLOOKUP($L71,'Boss Editor'!$C:$C,'Boss Editor'!$K:$K,"")/4))*XLOOKUP($L71,'Boss Editor'!$C:$C,'Boss Editor'!$D:$D,""))/100)+5)*XLOOKUP(XLOOKUP($L71,'Boss Editor'!$C:$C,'Boss Editor'!$E:$E,""),'Nature Editor'!$A:$A,'Nature Editor'!$E:$E,1))),stab,IF(OR(mtype=XLOOKUP(XLOOKUP($K71,'Threshold Summary'!$Y:$Y,'Threshold Summary'!$K:$K,""),'Pokemon Editor'!$A:$A,'Pokemon Editor'!$C:$C,""),mtype=XLOOKUP(XLOOKUP($K71,'Threshold Summary'!$Y:$Y,'Threshold Summary'!$K:$K,""),'Pokemon Editor'!$A:$A,'Pokemon Editor'!$D:$D,"")),1.5,1),eff,(INDEX('Type Chart'!$B:$S,MATCH(mtype,'Type Chart'!$A:$A,0),MATCH(XLOOKUP($L71,'Pokemon Editor'!$A:$A,'Pokemon Editor'!$C:$C,""),'Type Chart'!$B$1:$S$1,0))*IF(XLOOKUP($L71,'Pokemon Editor'!$A:$A,'Pokemon Editor'!$D:$D,"")="",1,INDEX('Type Chart'!$B:$S,MATCH(mtype,'Type Chart'!$A:$A,0),MATCH(XLOOKUP($L71,'Pokemon Editor'!$A:$A,'Pokemon Editor'!$D:$D,""),'Type Chart'!$B$1:$S$1,0)))),base,IF(OR(cat="Status",pow=0),0,FLOOR(FLOOR(FLOOR((2*XLOOKUP($K71,'Threshold Summary'!$Y:$Y,'Threshold Summary'!$L:$L,"")/5+2)*pow*atk/def)/50)+2)),modifier,stab*eff,AVERAGE(ARRAYFORMULA(FLOOR(base*modifier*SEQUENCE(16,1,85,1)/100)))/(FLOOR(((2*XLOOKUP($L71,'Pokemon Editor'!$A:$A,'Pokemon Editor'!$E:$E,0)+31+FLOOR(XLOOKUP($L71,'Boss Editor'!$C:$C,'Boss Editor'!$G:$G,"")/4))*XLOOKUP($L71,'Boss Editor'!$C:$C,'Boss Editor'!$D:$D,""))/100)+XLOOKUP($L71,'Boss Editor'!$C:$C,'Boss Editor'!$D:$D,"")+10)),0)</f>
        <v/>
      </c>
      <c r="J71" s="3">
        <f>IF(I71&gt;=1,"OHKO",IF(I71&gt;=0.5,"2HKO",IF(I71&gt;=0.333,"3HKO",IF(I71&gt;=0.25,"4HKO","5HKO+"))))</f>
        <v/>
      </c>
      <c r="K71" s="3" t="inlineStr">
        <is>
          <t>SPECIES_STUFFUL</t>
        </is>
      </c>
      <c r="L71" s="3" t="inlineStr">
        <is>
          <t>SPECIES_TIRTOUGA</t>
        </is>
      </c>
    </row>
    <row r="72">
      <c r="A72" s="3">
        <f>XLOOKUP($K72,'Threshold Summary'!$Y:$Y,'Threshold Summary'!$A:$A,"")</f>
        <v/>
      </c>
      <c r="B72" s="3" t="inlineStr">
        <is>
          <t>Anorith</t>
        </is>
      </c>
      <c r="C72" s="3">
        <f>XLOOKUP($L72,'Boss Editor'!$C:$C,'Boss Editor'!$D:$D,"")</f>
        <v/>
      </c>
      <c r="D72" s="3">
        <f>XLOOKUP($K72,'Threshold Summary'!$Y:$Y,'Threshold Summary'!$B:$B,"")</f>
        <v/>
      </c>
      <c r="E72" s="3">
        <f>XLOOKUP(D72,'Move Editor'!$B:$B,'Move Editor'!$C:$C,"")</f>
        <v/>
      </c>
      <c r="F72" s="3">
        <f>IFERROR(LET(mtype,XLOOKUP($D72,'Move Editor'!$B:$B,'Move Editor'!$C:$C,""),cat,XLOOKUP($D72,'Move Editor'!$B:$B,'Move Editor'!$D:$D,""),pow,XLOOKUP($D72,'Move Editor'!$B:$B,'Move Editor'!$E:$E,0),acc,XLOOKUP($D72,'Move Editor'!$B:$B,'Move Editor'!$F:$F,100),atk,IF(cat="Physical",FLOOR((FLOOR(((2*XLOOKUP(XLOOKUP($K72,'Threshold Summary'!$Y:$Y,'Threshold Summary'!$K:$K,""),'Pokemon Editor'!$A:$A,'Pokemon Editor'!$F:$F,0)+31+FLOOR(XLOOKUP($K72,'Threshold Summary'!$Y:$Y,'Threshold Summary'!$P:$P,"")/4))*XLOOKUP($K72,'Threshold Summary'!$Y:$Y,'Threshold Summary'!$L:$L,""))/100)+5)*XLOOKUP(XLOOKUP($K72,'Threshold Summary'!$Y:$Y,'Threshold Summary'!$M:$M,""),'Nature Editor'!$A:$A,'Nature Editor'!$B:$B,1)),FLOOR((FLOOR(((2*XLOOKUP(XLOOKUP($K72,'Threshold Summary'!$Y:$Y,'Threshold Summary'!$K:$K,""),'Pokemon Editor'!$A:$A,'Pokemon Editor'!$H:$H,0)+31+FLOOR(XLOOKUP($K72,'Threshold Summary'!$Y:$Y,'Threshold Summary'!$R:$R,"")/4))*XLOOKUP($K72,'Threshold Summary'!$Y:$Y,'Threshold Summary'!$L:$L,""))/100)+5)*XLOOKUP(XLOOKUP($K72,'Threshold Summary'!$Y:$Y,'Threshold Summary'!$M:$M,""),'Nature Editor'!$A:$A,'Nature Editor'!$D:$D,1))),def,IF(cat="Physical",FLOOR((FLOOR(((2*XLOOKUP($L72,'Pokemon Editor'!$A:$A,'Pokemon Editor'!$G:$G,0)+31+FLOOR(XLOOKUP($L72,'Boss Editor'!$C:$C,'Boss Editor'!$I:$I,"")/4))*XLOOKUP($L72,'Boss Editor'!$C:$C,'Boss Editor'!$D:$D,""))/100)+5)*XLOOKUP(XLOOKUP($L72,'Boss Editor'!$C:$C,'Boss Editor'!$E:$E,""),'Nature Editor'!$A:$A,'Nature Editor'!$C:$C,1)),FLOOR((FLOOR(((2*XLOOKUP($L72,'Pokemon Editor'!$A:$A,'Pokemon Editor'!$I:$I,0)+31+FLOOR(XLOOKUP($L72,'Boss Editor'!$C:$C,'Boss Editor'!$K:$K,"")/4))*XLOOKUP($L72,'Boss Editor'!$C:$C,'Boss Editor'!$D:$D,""))/100)+5)*XLOOKUP(XLOOKUP($L72,'Boss Editor'!$C:$C,'Boss Editor'!$E:$E,""),'Nature Editor'!$A:$A,'Nature Editor'!$E:$E,1))),stab,IF(OR(mtype=XLOOKUP(XLOOKUP($K72,'Threshold Summary'!$Y:$Y,'Threshold Summary'!$K:$K,""),'Pokemon Editor'!$A:$A,'Pokemon Editor'!$C:$C,""),mtype=XLOOKUP(XLOOKUP($K72,'Threshold Summary'!$Y:$Y,'Threshold Summary'!$K:$K,""),'Pokemon Editor'!$A:$A,'Pokemon Editor'!$D:$D,"")),1.5,1),eff,(INDEX('Type Chart'!$B:$S,MATCH(mtype,'Type Chart'!$A:$A,0),MATCH(XLOOKUP($L72,'Pokemon Editor'!$A:$A,'Pokemon Editor'!$C:$C,""),'Type Chart'!$B$1:$S$1,0))*IF(XLOOKUP($L72,'Pokemon Editor'!$A:$A,'Pokemon Editor'!$D:$D,"")="",1,INDEX('Type Chart'!$B:$S,MATCH(mtype,'Type Chart'!$A:$A,0),MATCH(XLOOKUP($L72,'Pokemon Editor'!$A:$A,'Pokemon Editor'!$D:$D,""),'Type Chart'!$B$1:$S$1,0)))),base,IF(OR(cat="Status",pow=0),0,FLOOR(FLOOR(FLOOR((2*XLOOKUP($K72,'Threshold Summary'!$Y:$Y,'Threshold Summary'!$L:$L,"")/5+2)*pow*atk/def)/50)+2)),modifier,stab*eff,FLOOR(base*modifier*0.85)),0)</f>
        <v/>
      </c>
      <c r="G72" s="3">
        <f>IFERROR(LET(mtype,XLOOKUP($D72,'Move Editor'!$B:$B,'Move Editor'!$C:$C,""),cat,XLOOKUP($D72,'Move Editor'!$B:$B,'Move Editor'!$D:$D,""),pow,XLOOKUP($D72,'Move Editor'!$B:$B,'Move Editor'!$E:$E,0),acc,XLOOKUP($D72,'Move Editor'!$B:$B,'Move Editor'!$F:$F,100),atk,IF(cat="Physical",FLOOR((FLOOR(((2*XLOOKUP(XLOOKUP($K72,'Threshold Summary'!$Y:$Y,'Threshold Summary'!$K:$K,""),'Pokemon Editor'!$A:$A,'Pokemon Editor'!$F:$F,0)+31+FLOOR(XLOOKUP($K72,'Threshold Summary'!$Y:$Y,'Threshold Summary'!$P:$P,"")/4))*XLOOKUP($K72,'Threshold Summary'!$Y:$Y,'Threshold Summary'!$L:$L,""))/100)+5)*XLOOKUP(XLOOKUP($K72,'Threshold Summary'!$Y:$Y,'Threshold Summary'!$M:$M,""),'Nature Editor'!$A:$A,'Nature Editor'!$B:$B,1)),FLOOR((FLOOR(((2*XLOOKUP(XLOOKUP($K72,'Threshold Summary'!$Y:$Y,'Threshold Summary'!$K:$K,""),'Pokemon Editor'!$A:$A,'Pokemon Editor'!$H:$H,0)+31+FLOOR(XLOOKUP($K72,'Threshold Summary'!$Y:$Y,'Threshold Summary'!$R:$R,"")/4))*XLOOKUP($K72,'Threshold Summary'!$Y:$Y,'Threshold Summary'!$L:$L,""))/100)+5)*XLOOKUP(XLOOKUP($K72,'Threshold Summary'!$Y:$Y,'Threshold Summary'!$M:$M,""),'Nature Editor'!$A:$A,'Nature Editor'!$D:$D,1))),def,IF(cat="Physical",FLOOR((FLOOR(((2*XLOOKUP($L72,'Pokemon Editor'!$A:$A,'Pokemon Editor'!$G:$G,0)+31+FLOOR(XLOOKUP($L72,'Boss Editor'!$C:$C,'Boss Editor'!$I:$I,"")/4))*XLOOKUP($L72,'Boss Editor'!$C:$C,'Boss Editor'!$D:$D,""))/100)+5)*XLOOKUP(XLOOKUP($L72,'Boss Editor'!$C:$C,'Boss Editor'!$E:$E,""),'Nature Editor'!$A:$A,'Nature Editor'!$C:$C,1)),FLOOR((FLOOR(((2*XLOOKUP($L72,'Pokemon Editor'!$A:$A,'Pokemon Editor'!$I:$I,0)+31+FLOOR(XLOOKUP($L72,'Boss Editor'!$C:$C,'Boss Editor'!$K:$K,"")/4))*XLOOKUP($L72,'Boss Editor'!$C:$C,'Boss Editor'!$D:$D,""))/100)+5)*XLOOKUP(XLOOKUP($L72,'Boss Editor'!$C:$C,'Boss Editor'!$E:$E,""),'Nature Editor'!$A:$A,'Nature Editor'!$E:$E,1))),stab,IF(OR(mtype=XLOOKUP(XLOOKUP($K72,'Threshold Summary'!$Y:$Y,'Threshold Summary'!$K:$K,""),'Pokemon Editor'!$A:$A,'Pokemon Editor'!$C:$C,""),mtype=XLOOKUP(XLOOKUP($K72,'Threshold Summary'!$Y:$Y,'Threshold Summary'!$K:$K,""),'Pokemon Editor'!$A:$A,'Pokemon Editor'!$D:$D,"")),1.5,1),eff,(INDEX('Type Chart'!$B:$S,MATCH(mtype,'Type Chart'!$A:$A,0),MATCH(XLOOKUP($L72,'Pokemon Editor'!$A:$A,'Pokemon Editor'!$C:$C,""),'Type Chart'!$B$1:$S$1,0))*IF(XLOOKUP($L72,'Pokemon Editor'!$A:$A,'Pokemon Editor'!$D:$D,"")="",1,INDEX('Type Chart'!$B:$S,MATCH(mtype,'Type Chart'!$A:$A,0),MATCH(XLOOKUP($L72,'Pokemon Editor'!$A:$A,'Pokemon Editor'!$D:$D,""),'Type Chart'!$B$1:$S$1,0)))),base,IF(OR(cat="Status",pow=0),0,FLOOR(FLOOR(FLOOR((2*XLOOKUP($K72,'Threshold Summary'!$Y:$Y,'Threshold Summary'!$L:$L,"")/5+2)*pow*atk/def)/50)+2)),modifier,stab*eff,FLOOR(base*modifier)),0)</f>
        <v/>
      </c>
      <c r="H72" s="3">
        <f>IFERROR(LET(mtype,XLOOKUP($D72,'Move Editor'!$B:$B,'Move Editor'!$C:$C,""),cat,XLOOKUP($D72,'Move Editor'!$B:$B,'Move Editor'!$D:$D,""),pow,XLOOKUP($D72,'Move Editor'!$B:$B,'Move Editor'!$E:$E,0),acc,XLOOKUP($D72,'Move Editor'!$B:$B,'Move Editor'!$F:$F,100),atk,IF(cat="Physical",FLOOR((FLOOR(((2*XLOOKUP(XLOOKUP($K72,'Threshold Summary'!$Y:$Y,'Threshold Summary'!$K:$K,""),'Pokemon Editor'!$A:$A,'Pokemon Editor'!$F:$F,0)+31+FLOOR(XLOOKUP($K72,'Threshold Summary'!$Y:$Y,'Threshold Summary'!$P:$P,"")/4))*XLOOKUP($K72,'Threshold Summary'!$Y:$Y,'Threshold Summary'!$L:$L,""))/100)+5)*XLOOKUP(XLOOKUP($K72,'Threshold Summary'!$Y:$Y,'Threshold Summary'!$M:$M,""),'Nature Editor'!$A:$A,'Nature Editor'!$B:$B,1)),FLOOR((FLOOR(((2*XLOOKUP(XLOOKUP($K72,'Threshold Summary'!$Y:$Y,'Threshold Summary'!$K:$K,""),'Pokemon Editor'!$A:$A,'Pokemon Editor'!$H:$H,0)+31+FLOOR(XLOOKUP($K72,'Threshold Summary'!$Y:$Y,'Threshold Summary'!$R:$R,"")/4))*XLOOKUP($K72,'Threshold Summary'!$Y:$Y,'Threshold Summary'!$L:$L,""))/100)+5)*XLOOKUP(XLOOKUP($K72,'Threshold Summary'!$Y:$Y,'Threshold Summary'!$M:$M,""),'Nature Editor'!$A:$A,'Nature Editor'!$D:$D,1))),def,IF(cat="Physical",FLOOR((FLOOR(((2*XLOOKUP($L72,'Pokemon Editor'!$A:$A,'Pokemon Editor'!$G:$G,0)+31+FLOOR(XLOOKUP($L72,'Boss Editor'!$C:$C,'Boss Editor'!$I:$I,"")/4))*XLOOKUP($L72,'Boss Editor'!$C:$C,'Boss Editor'!$D:$D,""))/100)+5)*XLOOKUP(XLOOKUP($L72,'Boss Editor'!$C:$C,'Boss Editor'!$E:$E,""),'Nature Editor'!$A:$A,'Nature Editor'!$C:$C,1)),FLOOR((FLOOR(((2*XLOOKUP($L72,'Pokemon Editor'!$A:$A,'Pokemon Editor'!$I:$I,0)+31+FLOOR(XLOOKUP($L72,'Boss Editor'!$C:$C,'Boss Editor'!$K:$K,"")/4))*XLOOKUP($L72,'Boss Editor'!$C:$C,'Boss Editor'!$D:$D,""))/100)+5)*XLOOKUP(XLOOKUP($L72,'Boss Editor'!$C:$C,'Boss Editor'!$E:$E,""),'Nature Editor'!$A:$A,'Nature Editor'!$E:$E,1))),stab,IF(OR(mtype=XLOOKUP(XLOOKUP($K72,'Threshold Summary'!$Y:$Y,'Threshold Summary'!$K:$K,""),'Pokemon Editor'!$A:$A,'Pokemon Editor'!$C:$C,""),mtype=XLOOKUP(XLOOKUP($K72,'Threshold Summary'!$Y:$Y,'Threshold Summary'!$K:$K,""),'Pokemon Editor'!$A:$A,'Pokemon Editor'!$D:$D,"")),1.5,1),eff,(INDEX('Type Chart'!$B:$S,MATCH(mtype,'Type Chart'!$A:$A,0),MATCH(XLOOKUP($L72,'Pokemon Editor'!$A:$A,'Pokemon Editor'!$C:$C,""),'Type Chart'!$B$1:$S$1,0))*IF(XLOOKUP($L72,'Pokemon Editor'!$A:$A,'Pokemon Editor'!$D:$D,"")="",1,INDEX('Type Chart'!$B:$S,MATCH(mtype,'Type Chart'!$A:$A,0),MATCH(XLOOKUP($L72,'Pokemon Editor'!$A:$A,'Pokemon Editor'!$D:$D,""),'Type Chart'!$B$1:$S$1,0)))),base,IF(OR(cat="Status",pow=0),0,FLOOR(FLOOR(FLOOR((2*XLOOKUP($K72,'Threshold Summary'!$Y:$Y,'Threshold Summary'!$L:$L,"")/5+2)*pow*atk/def)/50)+2)),modifier,stab*eff,AVERAGE(ARRAYFORMULA(FLOOR(base*modifier*SEQUENCE(16,1,85,1)/100)))),0)</f>
        <v/>
      </c>
      <c r="I72" s="4">
        <f>IFERROR(LET(mtype,XLOOKUP($D72,'Move Editor'!$B:$B,'Move Editor'!$C:$C,""),cat,XLOOKUP($D72,'Move Editor'!$B:$B,'Move Editor'!$D:$D,""),pow,XLOOKUP($D72,'Move Editor'!$B:$B,'Move Editor'!$E:$E,0),acc,XLOOKUP($D72,'Move Editor'!$B:$B,'Move Editor'!$F:$F,100),atk,IF(cat="Physical",FLOOR((FLOOR(((2*XLOOKUP(XLOOKUP($K72,'Threshold Summary'!$Y:$Y,'Threshold Summary'!$K:$K,""),'Pokemon Editor'!$A:$A,'Pokemon Editor'!$F:$F,0)+31+FLOOR(XLOOKUP($K72,'Threshold Summary'!$Y:$Y,'Threshold Summary'!$P:$P,"")/4))*XLOOKUP($K72,'Threshold Summary'!$Y:$Y,'Threshold Summary'!$L:$L,""))/100)+5)*XLOOKUP(XLOOKUP($K72,'Threshold Summary'!$Y:$Y,'Threshold Summary'!$M:$M,""),'Nature Editor'!$A:$A,'Nature Editor'!$B:$B,1)),FLOOR((FLOOR(((2*XLOOKUP(XLOOKUP($K72,'Threshold Summary'!$Y:$Y,'Threshold Summary'!$K:$K,""),'Pokemon Editor'!$A:$A,'Pokemon Editor'!$H:$H,0)+31+FLOOR(XLOOKUP($K72,'Threshold Summary'!$Y:$Y,'Threshold Summary'!$R:$R,"")/4))*XLOOKUP($K72,'Threshold Summary'!$Y:$Y,'Threshold Summary'!$L:$L,""))/100)+5)*XLOOKUP(XLOOKUP($K72,'Threshold Summary'!$Y:$Y,'Threshold Summary'!$M:$M,""),'Nature Editor'!$A:$A,'Nature Editor'!$D:$D,1))),def,IF(cat="Physical",FLOOR((FLOOR(((2*XLOOKUP($L72,'Pokemon Editor'!$A:$A,'Pokemon Editor'!$G:$G,0)+31+FLOOR(XLOOKUP($L72,'Boss Editor'!$C:$C,'Boss Editor'!$I:$I,"")/4))*XLOOKUP($L72,'Boss Editor'!$C:$C,'Boss Editor'!$D:$D,""))/100)+5)*XLOOKUP(XLOOKUP($L72,'Boss Editor'!$C:$C,'Boss Editor'!$E:$E,""),'Nature Editor'!$A:$A,'Nature Editor'!$C:$C,1)),FLOOR((FLOOR(((2*XLOOKUP($L72,'Pokemon Editor'!$A:$A,'Pokemon Editor'!$I:$I,0)+31+FLOOR(XLOOKUP($L72,'Boss Editor'!$C:$C,'Boss Editor'!$K:$K,"")/4))*XLOOKUP($L72,'Boss Editor'!$C:$C,'Boss Editor'!$D:$D,""))/100)+5)*XLOOKUP(XLOOKUP($L72,'Boss Editor'!$C:$C,'Boss Editor'!$E:$E,""),'Nature Editor'!$A:$A,'Nature Editor'!$E:$E,1))),stab,IF(OR(mtype=XLOOKUP(XLOOKUP($K72,'Threshold Summary'!$Y:$Y,'Threshold Summary'!$K:$K,""),'Pokemon Editor'!$A:$A,'Pokemon Editor'!$C:$C,""),mtype=XLOOKUP(XLOOKUP($K72,'Threshold Summary'!$Y:$Y,'Threshold Summary'!$K:$K,""),'Pokemon Editor'!$A:$A,'Pokemon Editor'!$D:$D,"")),1.5,1),eff,(INDEX('Type Chart'!$B:$S,MATCH(mtype,'Type Chart'!$A:$A,0),MATCH(XLOOKUP($L72,'Pokemon Editor'!$A:$A,'Pokemon Editor'!$C:$C,""),'Type Chart'!$B$1:$S$1,0))*IF(XLOOKUP($L72,'Pokemon Editor'!$A:$A,'Pokemon Editor'!$D:$D,"")="",1,INDEX('Type Chart'!$B:$S,MATCH(mtype,'Type Chart'!$A:$A,0),MATCH(XLOOKUP($L72,'Pokemon Editor'!$A:$A,'Pokemon Editor'!$D:$D,""),'Type Chart'!$B$1:$S$1,0)))),base,IF(OR(cat="Status",pow=0),0,FLOOR(FLOOR(FLOOR((2*XLOOKUP($K72,'Threshold Summary'!$Y:$Y,'Threshold Summary'!$L:$L,"")/5+2)*pow*atk/def)/50)+2)),modifier,stab*eff,AVERAGE(ARRAYFORMULA(FLOOR(base*modifier*SEQUENCE(16,1,85,1)/100)))/(FLOOR(((2*XLOOKUP($L72,'Pokemon Editor'!$A:$A,'Pokemon Editor'!$E:$E,0)+31+FLOOR(XLOOKUP($L72,'Boss Editor'!$C:$C,'Boss Editor'!$G:$G,"")/4))*XLOOKUP($L72,'Boss Editor'!$C:$C,'Boss Editor'!$D:$D,""))/100)+XLOOKUP($L72,'Boss Editor'!$C:$C,'Boss Editor'!$D:$D,"")+10)),0)</f>
        <v/>
      </c>
      <c r="J72" s="3">
        <f>IF(I72&gt;=1,"OHKO",IF(I72&gt;=0.5,"2HKO",IF(I72&gt;=0.333,"3HKO",IF(I72&gt;=0.25,"4HKO","5HKO+"))))</f>
        <v/>
      </c>
      <c r="K72" s="3" t="inlineStr">
        <is>
          <t>SPECIES_STUFFUL</t>
        </is>
      </c>
      <c r="L72" s="3" t="inlineStr">
        <is>
          <t>SPECIES_ANORITH</t>
        </is>
      </c>
    </row>
    <row r="73">
      <c r="A73" s="3">
        <f>XLOOKUP($K73,'Threshold Summary'!$Y:$Y,'Threshold Summary'!$A:$A,"")</f>
        <v/>
      </c>
      <c r="B73" s="3" t="inlineStr">
        <is>
          <t>Lileep</t>
        </is>
      </c>
      <c r="C73" s="3">
        <f>XLOOKUP($L73,'Boss Editor'!$C:$C,'Boss Editor'!$D:$D,"")</f>
        <v/>
      </c>
      <c r="D73" s="3">
        <f>XLOOKUP($K73,'Threshold Summary'!$Y:$Y,'Threshold Summary'!$B:$B,"")</f>
        <v/>
      </c>
      <c r="E73" s="3">
        <f>XLOOKUP(D73,'Move Editor'!$B:$B,'Move Editor'!$C:$C,"")</f>
        <v/>
      </c>
      <c r="F73" s="3">
        <f>IFERROR(LET(mtype,XLOOKUP($D73,'Move Editor'!$B:$B,'Move Editor'!$C:$C,""),cat,XLOOKUP($D73,'Move Editor'!$B:$B,'Move Editor'!$D:$D,""),pow,XLOOKUP($D73,'Move Editor'!$B:$B,'Move Editor'!$E:$E,0),acc,XLOOKUP($D73,'Move Editor'!$B:$B,'Move Editor'!$F:$F,100),atk,IF(cat="Physical",FLOOR((FLOOR(((2*XLOOKUP(XLOOKUP($K73,'Threshold Summary'!$Y:$Y,'Threshold Summary'!$K:$K,""),'Pokemon Editor'!$A:$A,'Pokemon Editor'!$F:$F,0)+31+FLOOR(XLOOKUP($K73,'Threshold Summary'!$Y:$Y,'Threshold Summary'!$P:$P,"")/4))*XLOOKUP($K73,'Threshold Summary'!$Y:$Y,'Threshold Summary'!$L:$L,""))/100)+5)*XLOOKUP(XLOOKUP($K73,'Threshold Summary'!$Y:$Y,'Threshold Summary'!$M:$M,""),'Nature Editor'!$A:$A,'Nature Editor'!$B:$B,1)),FLOOR((FLOOR(((2*XLOOKUP(XLOOKUP($K73,'Threshold Summary'!$Y:$Y,'Threshold Summary'!$K:$K,""),'Pokemon Editor'!$A:$A,'Pokemon Editor'!$H:$H,0)+31+FLOOR(XLOOKUP($K73,'Threshold Summary'!$Y:$Y,'Threshold Summary'!$R:$R,"")/4))*XLOOKUP($K73,'Threshold Summary'!$Y:$Y,'Threshold Summary'!$L:$L,""))/100)+5)*XLOOKUP(XLOOKUP($K73,'Threshold Summary'!$Y:$Y,'Threshold Summary'!$M:$M,""),'Nature Editor'!$A:$A,'Nature Editor'!$D:$D,1))),def,IF(cat="Physical",FLOOR((FLOOR(((2*XLOOKUP($L73,'Pokemon Editor'!$A:$A,'Pokemon Editor'!$G:$G,0)+31+FLOOR(XLOOKUP($L73,'Boss Editor'!$C:$C,'Boss Editor'!$I:$I,"")/4))*XLOOKUP($L73,'Boss Editor'!$C:$C,'Boss Editor'!$D:$D,""))/100)+5)*XLOOKUP(XLOOKUP($L73,'Boss Editor'!$C:$C,'Boss Editor'!$E:$E,""),'Nature Editor'!$A:$A,'Nature Editor'!$C:$C,1)),FLOOR((FLOOR(((2*XLOOKUP($L73,'Pokemon Editor'!$A:$A,'Pokemon Editor'!$I:$I,0)+31+FLOOR(XLOOKUP($L73,'Boss Editor'!$C:$C,'Boss Editor'!$K:$K,"")/4))*XLOOKUP($L73,'Boss Editor'!$C:$C,'Boss Editor'!$D:$D,""))/100)+5)*XLOOKUP(XLOOKUP($L73,'Boss Editor'!$C:$C,'Boss Editor'!$E:$E,""),'Nature Editor'!$A:$A,'Nature Editor'!$E:$E,1))),stab,IF(OR(mtype=XLOOKUP(XLOOKUP($K73,'Threshold Summary'!$Y:$Y,'Threshold Summary'!$K:$K,""),'Pokemon Editor'!$A:$A,'Pokemon Editor'!$C:$C,""),mtype=XLOOKUP(XLOOKUP($K73,'Threshold Summary'!$Y:$Y,'Threshold Summary'!$K:$K,""),'Pokemon Editor'!$A:$A,'Pokemon Editor'!$D:$D,"")),1.5,1),eff,(INDEX('Type Chart'!$B:$S,MATCH(mtype,'Type Chart'!$A:$A,0),MATCH(XLOOKUP($L73,'Pokemon Editor'!$A:$A,'Pokemon Editor'!$C:$C,""),'Type Chart'!$B$1:$S$1,0))*IF(XLOOKUP($L73,'Pokemon Editor'!$A:$A,'Pokemon Editor'!$D:$D,"")="",1,INDEX('Type Chart'!$B:$S,MATCH(mtype,'Type Chart'!$A:$A,0),MATCH(XLOOKUP($L73,'Pokemon Editor'!$A:$A,'Pokemon Editor'!$D:$D,""),'Type Chart'!$B$1:$S$1,0)))),base,IF(OR(cat="Status",pow=0),0,FLOOR(FLOOR(FLOOR((2*XLOOKUP($K73,'Threshold Summary'!$Y:$Y,'Threshold Summary'!$L:$L,"")/5+2)*pow*atk/def)/50)+2)),modifier,stab*eff,FLOOR(base*modifier*0.85)),0)</f>
        <v/>
      </c>
      <c r="G73" s="3">
        <f>IFERROR(LET(mtype,XLOOKUP($D73,'Move Editor'!$B:$B,'Move Editor'!$C:$C,""),cat,XLOOKUP($D73,'Move Editor'!$B:$B,'Move Editor'!$D:$D,""),pow,XLOOKUP($D73,'Move Editor'!$B:$B,'Move Editor'!$E:$E,0),acc,XLOOKUP($D73,'Move Editor'!$B:$B,'Move Editor'!$F:$F,100),atk,IF(cat="Physical",FLOOR((FLOOR(((2*XLOOKUP(XLOOKUP($K73,'Threshold Summary'!$Y:$Y,'Threshold Summary'!$K:$K,""),'Pokemon Editor'!$A:$A,'Pokemon Editor'!$F:$F,0)+31+FLOOR(XLOOKUP($K73,'Threshold Summary'!$Y:$Y,'Threshold Summary'!$P:$P,"")/4))*XLOOKUP($K73,'Threshold Summary'!$Y:$Y,'Threshold Summary'!$L:$L,""))/100)+5)*XLOOKUP(XLOOKUP($K73,'Threshold Summary'!$Y:$Y,'Threshold Summary'!$M:$M,""),'Nature Editor'!$A:$A,'Nature Editor'!$B:$B,1)),FLOOR((FLOOR(((2*XLOOKUP(XLOOKUP($K73,'Threshold Summary'!$Y:$Y,'Threshold Summary'!$K:$K,""),'Pokemon Editor'!$A:$A,'Pokemon Editor'!$H:$H,0)+31+FLOOR(XLOOKUP($K73,'Threshold Summary'!$Y:$Y,'Threshold Summary'!$R:$R,"")/4))*XLOOKUP($K73,'Threshold Summary'!$Y:$Y,'Threshold Summary'!$L:$L,""))/100)+5)*XLOOKUP(XLOOKUP($K73,'Threshold Summary'!$Y:$Y,'Threshold Summary'!$M:$M,""),'Nature Editor'!$A:$A,'Nature Editor'!$D:$D,1))),def,IF(cat="Physical",FLOOR((FLOOR(((2*XLOOKUP($L73,'Pokemon Editor'!$A:$A,'Pokemon Editor'!$G:$G,0)+31+FLOOR(XLOOKUP($L73,'Boss Editor'!$C:$C,'Boss Editor'!$I:$I,"")/4))*XLOOKUP($L73,'Boss Editor'!$C:$C,'Boss Editor'!$D:$D,""))/100)+5)*XLOOKUP(XLOOKUP($L73,'Boss Editor'!$C:$C,'Boss Editor'!$E:$E,""),'Nature Editor'!$A:$A,'Nature Editor'!$C:$C,1)),FLOOR((FLOOR(((2*XLOOKUP($L73,'Pokemon Editor'!$A:$A,'Pokemon Editor'!$I:$I,0)+31+FLOOR(XLOOKUP($L73,'Boss Editor'!$C:$C,'Boss Editor'!$K:$K,"")/4))*XLOOKUP($L73,'Boss Editor'!$C:$C,'Boss Editor'!$D:$D,""))/100)+5)*XLOOKUP(XLOOKUP($L73,'Boss Editor'!$C:$C,'Boss Editor'!$E:$E,""),'Nature Editor'!$A:$A,'Nature Editor'!$E:$E,1))),stab,IF(OR(mtype=XLOOKUP(XLOOKUP($K73,'Threshold Summary'!$Y:$Y,'Threshold Summary'!$K:$K,""),'Pokemon Editor'!$A:$A,'Pokemon Editor'!$C:$C,""),mtype=XLOOKUP(XLOOKUP($K73,'Threshold Summary'!$Y:$Y,'Threshold Summary'!$K:$K,""),'Pokemon Editor'!$A:$A,'Pokemon Editor'!$D:$D,"")),1.5,1),eff,(INDEX('Type Chart'!$B:$S,MATCH(mtype,'Type Chart'!$A:$A,0),MATCH(XLOOKUP($L73,'Pokemon Editor'!$A:$A,'Pokemon Editor'!$C:$C,""),'Type Chart'!$B$1:$S$1,0))*IF(XLOOKUP($L73,'Pokemon Editor'!$A:$A,'Pokemon Editor'!$D:$D,"")="",1,INDEX('Type Chart'!$B:$S,MATCH(mtype,'Type Chart'!$A:$A,0),MATCH(XLOOKUP($L73,'Pokemon Editor'!$A:$A,'Pokemon Editor'!$D:$D,""),'Type Chart'!$B$1:$S$1,0)))),base,IF(OR(cat="Status",pow=0),0,FLOOR(FLOOR(FLOOR((2*XLOOKUP($K73,'Threshold Summary'!$Y:$Y,'Threshold Summary'!$L:$L,"")/5+2)*pow*atk/def)/50)+2)),modifier,stab*eff,FLOOR(base*modifier)),0)</f>
        <v/>
      </c>
      <c r="H73" s="3">
        <f>IFERROR(LET(mtype,XLOOKUP($D73,'Move Editor'!$B:$B,'Move Editor'!$C:$C,""),cat,XLOOKUP($D73,'Move Editor'!$B:$B,'Move Editor'!$D:$D,""),pow,XLOOKUP($D73,'Move Editor'!$B:$B,'Move Editor'!$E:$E,0),acc,XLOOKUP($D73,'Move Editor'!$B:$B,'Move Editor'!$F:$F,100),atk,IF(cat="Physical",FLOOR((FLOOR(((2*XLOOKUP(XLOOKUP($K73,'Threshold Summary'!$Y:$Y,'Threshold Summary'!$K:$K,""),'Pokemon Editor'!$A:$A,'Pokemon Editor'!$F:$F,0)+31+FLOOR(XLOOKUP($K73,'Threshold Summary'!$Y:$Y,'Threshold Summary'!$P:$P,"")/4))*XLOOKUP($K73,'Threshold Summary'!$Y:$Y,'Threshold Summary'!$L:$L,""))/100)+5)*XLOOKUP(XLOOKUP($K73,'Threshold Summary'!$Y:$Y,'Threshold Summary'!$M:$M,""),'Nature Editor'!$A:$A,'Nature Editor'!$B:$B,1)),FLOOR((FLOOR(((2*XLOOKUP(XLOOKUP($K73,'Threshold Summary'!$Y:$Y,'Threshold Summary'!$K:$K,""),'Pokemon Editor'!$A:$A,'Pokemon Editor'!$H:$H,0)+31+FLOOR(XLOOKUP($K73,'Threshold Summary'!$Y:$Y,'Threshold Summary'!$R:$R,"")/4))*XLOOKUP($K73,'Threshold Summary'!$Y:$Y,'Threshold Summary'!$L:$L,""))/100)+5)*XLOOKUP(XLOOKUP($K73,'Threshold Summary'!$Y:$Y,'Threshold Summary'!$M:$M,""),'Nature Editor'!$A:$A,'Nature Editor'!$D:$D,1))),def,IF(cat="Physical",FLOOR((FLOOR(((2*XLOOKUP($L73,'Pokemon Editor'!$A:$A,'Pokemon Editor'!$G:$G,0)+31+FLOOR(XLOOKUP($L73,'Boss Editor'!$C:$C,'Boss Editor'!$I:$I,"")/4))*XLOOKUP($L73,'Boss Editor'!$C:$C,'Boss Editor'!$D:$D,""))/100)+5)*XLOOKUP(XLOOKUP($L73,'Boss Editor'!$C:$C,'Boss Editor'!$E:$E,""),'Nature Editor'!$A:$A,'Nature Editor'!$C:$C,1)),FLOOR((FLOOR(((2*XLOOKUP($L73,'Pokemon Editor'!$A:$A,'Pokemon Editor'!$I:$I,0)+31+FLOOR(XLOOKUP($L73,'Boss Editor'!$C:$C,'Boss Editor'!$K:$K,"")/4))*XLOOKUP($L73,'Boss Editor'!$C:$C,'Boss Editor'!$D:$D,""))/100)+5)*XLOOKUP(XLOOKUP($L73,'Boss Editor'!$C:$C,'Boss Editor'!$E:$E,""),'Nature Editor'!$A:$A,'Nature Editor'!$E:$E,1))),stab,IF(OR(mtype=XLOOKUP(XLOOKUP($K73,'Threshold Summary'!$Y:$Y,'Threshold Summary'!$K:$K,""),'Pokemon Editor'!$A:$A,'Pokemon Editor'!$C:$C,""),mtype=XLOOKUP(XLOOKUP($K73,'Threshold Summary'!$Y:$Y,'Threshold Summary'!$K:$K,""),'Pokemon Editor'!$A:$A,'Pokemon Editor'!$D:$D,"")),1.5,1),eff,(INDEX('Type Chart'!$B:$S,MATCH(mtype,'Type Chart'!$A:$A,0),MATCH(XLOOKUP($L73,'Pokemon Editor'!$A:$A,'Pokemon Editor'!$C:$C,""),'Type Chart'!$B$1:$S$1,0))*IF(XLOOKUP($L73,'Pokemon Editor'!$A:$A,'Pokemon Editor'!$D:$D,"")="",1,INDEX('Type Chart'!$B:$S,MATCH(mtype,'Type Chart'!$A:$A,0),MATCH(XLOOKUP($L73,'Pokemon Editor'!$A:$A,'Pokemon Editor'!$D:$D,""),'Type Chart'!$B$1:$S$1,0)))),base,IF(OR(cat="Status",pow=0),0,FLOOR(FLOOR(FLOOR((2*XLOOKUP($K73,'Threshold Summary'!$Y:$Y,'Threshold Summary'!$L:$L,"")/5+2)*pow*atk/def)/50)+2)),modifier,stab*eff,AVERAGE(ARRAYFORMULA(FLOOR(base*modifier*SEQUENCE(16,1,85,1)/100)))),0)</f>
        <v/>
      </c>
      <c r="I73" s="4">
        <f>IFERROR(LET(mtype,XLOOKUP($D73,'Move Editor'!$B:$B,'Move Editor'!$C:$C,""),cat,XLOOKUP($D73,'Move Editor'!$B:$B,'Move Editor'!$D:$D,""),pow,XLOOKUP($D73,'Move Editor'!$B:$B,'Move Editor'!$E:$E,0),acc,XLOOKUP($D73,'Move Editor'!$B:$B,'Move Editor'!$F:$F,100),atk,IF(cat="Physical",FLOOR((FLOOR(((2*XLOOKUP(XLOOKUP($K73,'Threshold Summary'!$Y:$Y,'Threshold Summary'!$K:$K,""),'Pokemon Editor'!$A:$A,'Pokemon Editor'!$F:$F,0)+31+FLOOR(XLOOKUP($K73,'Threshold Summary'!$Y:$Y,'Threshold Summary'!$P:$P,"")/4))*XLOOKUP($K73,'Threshold Summary'!$Y:$Y,'Threshold Summary'!$L:$L,""))/100)+5)*XLOOKUP(XLOOKUP($K73,'Threshold Summary'!$Y:$Y,'Threshold Summary'!$M:$M,""),'Nature Editor'!$A:$A,'Nature Editor'!$B:$B,1)),FLOOR((FLOOR(((2*XLOOKUP(XLOOKUP($K73,'Threshold Summary'!$Y:$Y,'Threshold Summary'!$K:$K,""),'Pokemon Editor'!$A:$A,'Pokemon Editor'!$H:$H,0)+31+FLOOR(XLOOKUP($K73,'Threshold Summary'!$Y:$Y,'Threshold Summary'!$R:$R,"")/4))*XLOOKUP($K73,'Threshold Summary'!$Y:$Y,'Threshold Summary'!$L:$L,""))/100)+5)*XLOOKUP(XLOOKUP($K73,'Threshold Summary'!$Y:$Y,'Threshold Summary'!$M:$M,""),'Nature Editor'!$A:$A,'Nature Editor'!$D:$D,1))),def,IF(cat="Physical",FLOOR((FLOOR(((2*XLOOKUP($L73,'Pokemon Editor'!$A:$A,'Pokemon Editor'!$G:$G,0)+31+FLOOR(XLOOKUP($L73,'Boss Editor'!$C:$C,'Boss Editor'!$I:$I,"")/4))*XLOOKUP($L73,'Boss Editor'!$C:$C,'Boss Editor'!$D:$D,""))/100)+5)*XLOOKUP(XLOOKUP($L73,'Boss Editor'!$C:$C,'Boss Editor'!$E:$E,""),'Nature Editor'!$A:$A,'Nature Editor'!$C:$C,1)),FLOOR((FLOOR(((2*XLOOKUP($L73,'Pokemon Editor'!$A:$A,'Pokemon Editor'!$I:$I,0)+31+FLOOR(XLOOKUP($L73,'Boss Editor'!$C:$C,'Boss Editor'!$K:$K,"")/4))*XLOOKUP($L73,'Boss Editor'!$C:$C,'Boss Editor'!$D:$D,""))/100)+5)*XLOOKUP(XLOOKUP($L73,'Boss Editor'!$C:$C,'Boss Editor'!$E:$E,""),'Nature Editor'!$A:$A,'Nature Editor'!$E:$E,1))),stab,IF(OR(mtype=XLOOKUP(XLOOKUP($K73,'Threshold Summary'!$Y:$Y,'Threshold Summary'!$K:$K,""),'Pokemon Editor'!$A:$A,'Pokemon Editor'!$C:$C,""),mtype=XLOOKUP(XLOOKUP($K73,'Threshold Summary'!$Y:$Y,'Threshold Summary'!$K:$K,""),'Pokemon Editor'!$A:$A,'Pokemon Editor'!$D:$D,"")),1.5,1),eff,(INDEX('Type Chart'!$B:$S,MATCH(mtype,'Type Chart'!$A:$A,0),MATCH(XLOOKUP($L73,'Pokemon Editor'!$A:$A,'Pokemon Editor'!$C:$C,""),'Type Chart'!$B$1:$S$1,0))*IF(XLOOKUP($L73,'Pokemon Editor'!$A:$A,'Pokemon Editor'!$D:$D,"")="",1,INDEX('Type Chart'!$B:$S,MATCH(mtype,'Type Chart'!$A:$A,0),MATCH(XLOOKUP($L73,'Pokemon Editor'!$A:$A,'Pokemon Editor'!$D:$D,""),'Type Chart'!$B$1:$S$1,0)))),base,IF(OR(cat="Status",pow=0),0,FLOOR(FLOOR(FLOOR((2*XLOOKUP($K73,'Threshold Summary'!$Y:$Y,'Threshold Summary'!$L:$L,"")/5+2)*pow*atk/def)/50)+2)),modifier,stab*eff,AVERAGE(ARRAYFORMULA(FLOOR(base*modifier*SEQUENCE(16,1,85,1)/100)))/(FLOOR(((2*XLOOKUP($L73,'Pokemon Editor'!$A:$A,'Pokemon Editor'!$E:$E,0)+31+FLOOR(XLOOKUP($L73,'Boss Editor'!$C:$C,'Boss Editor'!$G:$G,"")/4))*XLOOKUP($L73,'Boss Editor'!$C:$C,'Boss Editor'!$D:$D,""))/100)+XLOOKUP($L73,'Boss Editor'!$C:$C,'Boss Editor'!$D:$D,"")+10)),0)</f>
        <v/>
      </c>
      <c r="J73" s="3">
        <f>IF(I73&gt;=1,"OHKO",IF(I73&gt;=0.5,"2HKO",IF(I73&gt;=0.333,"3HKO",IF(I73&gt;=0.25,"4HKO","5HKO+"))))</f>
        <v/>
      </c>
      <c r="K73" s="3" t="inlineStr">
        <is>
          <t>SPECIES_STUFFUL</t>
        </is>
      </c>
      <c r="L73" s="3" t="inlineStr">
        <is>
          <t>SPECIES_LILEEP</t>
        </is>
      </c>
    </row>
    <row r="74">
      <c r="A74" s="3">
        <f>XLOOKUP($K74,'Threshold Summary'!$Y:$Y,'Threshold Summary'!$A:$A,"")</f>
        <v/>
      </c>
      <c r="B74" s="3" t="inlineStr">
        <is>
          <t>Tirtouga</t>
        </is>
      </c>
      <c r="C74" s="3">
        <f>XLOOKUP($L74,'Boss Editor'!$C:$C,'Boss Editor'!$D:$D,"")</f>
        <v/>
      </c>
      <c r="D74" s="3">
        <f>XLOOKUP($K74,'Threshold Summary'!$Y:$Y,'Threshold Summary'!$B:$B,"")</f>
        <v/>
      </c>
      <c r="E74" s="3">
        <f>XLOOKUP(D74,'Move Editor'!$B:$B,'Move Editor'!$C:$C,"")</f>
        <v/>
      </c>
      <c r="F74" s="3">
        <f>IFERROR(LET(mtype,XLOOKUP($D74,'Move Editor'!$B:$B,'Move Editor'!$C:$C,""),cat,XLOOKUP($D74,'Move Editor'!$B:$B,'Move Editor'!$D:$D,""),pow,XLOOKUP($D74,'Move Editor'!$B:$B,'Move Editor'!$E:$E,0),acc,XLOOKUP($D74,'Move Editor'!$B:$B,'Move Editor'!$F:$F,100),atk,IF(cat="Physical",FLOOR((FLOOR(((2*XLOOKUP(XLOOKUP($K74,'Threshold Summary'!$Y:$Y,'Threshold Summary'!$K:$K,""),'Pokemon Editor'!$A:$A,'Pokemon Editor'!$F:$F,0)+31+FLOOR(XLOOKUP($K74,'Threshold Summary'!$Y:$Y,'Threshold Summary'!$P:$P,"")/4))*XLOOKUP($K74,'Threshold Summary'!$Y:$Y,'Threshold Summary'!$L:$L,""))/100)+5)*XLOOKUP(XLOOKUP($K74,'Threshold Summary'!$Y:$Y,'Threshold Summary'!$M:$M,""),'Nature Editor'!$A:$A,'Nature Editor'!$B:$B,1)),FLOOR((FLOOR(((2*XLOOKUP(XLOOKUP($K74,'Threshold Summary'!$Y:$Y,'Threshold Summary'!$K:$K,""),'Pokemon Editor'!$A:$A,'Pokemon Editor'!$H:$H,0)+31+FLOOR(XLOOKUP($K74,'Threshold Summary'!$Y:$Y,'Threshold Summary'!$R:$R,"")/4))*XLOOKUP($K74,'Threshold Summary'!$Y:$Y,'Threshold Summary'!$L:$L,""))/100)+5)*XLOOKUP(XLOOKUP($K74,'Threshold Summary'!$Y:$Y,'Threshold Summary'!$M:$M,""),'Nature Editor'!$A:$A,'Nature Editor'!$D:$D,1))),def,IF(cat="Physical",FLOOR((FLOOR(((2*XLOOKUP($L74,'Pokemon Editor'!$A:$A,'Pokemon Editor'!$G:$G,0)+31+FLOOR(XLOOKUP($L74,'Boss Editor'!$C:$C,'Boss Editor'!$I:$I,"")/4))*XLOOKUP($L74,'Boss Editor'!$C:$C,'Boss Editor'!$D:$D,""))/100)+5)*XLOOKUP(XLOOKUP($L74,'Boss Editor'!$C:$C,'Boss Editor'!$E:$E,""),'Nature Editor'!$A:$A,'Nature Editor'!$C:$C,1)),FLOOR((FLOOR(((2*XLOOKUP($L74,'Pokemon Editor'!$A:$A,'Pokemon Editor'!$I:$I,0)+31+FLOOR(XLOOKUP($L74,'Boss Editor'!$C:$C,'Boss Editor'!$K:$K,"")/4))*XLOOKUP($L74,'Boss Editor'!$C:$C,'Boss Editor'!$D:$D,""))/100)+5)*XLOOKUP(XLOOKUP($L74,'Boss Editor'!$C:$C,'Boss Editor'!$E:$E,""),'Nature Editor'!$A:$A,'Nature Editor'!$E:$E,1))),stab,IF(OR(mtype=XLOOKUP(XLOOKUP($K74,'Threshold Summary'!$Y:$Y,'Threshold Summary'!$K:$K,""),'Pokemon Editor'!$A:$A,'Pokemon Editor'!$C:$C,""),mtype=XLOOKUP(XLOOKUP($K74,'Threshold Summary'!$Y:$Y,'Threshold Summary'!$K:$K,""),'Pokemon Editor'!$A:$A,'Pokemon Editor'!$D:$D,"")),1.5,1),eff,(INDEX('Type Chart'!$B:$S,MATCH(mtype,'Type Chart'!$A:$A,0),MATCH(XLOOKUP($L74,'Pokemon Editor'!$A:$A,'Pokemon Editor'!$C:$C,""),'Type Chart'!$B$1:$S$1,0))*IF(XLOOKUP($L74,'Pokemon Editor'!$A:$A,'Pokemon Editor'!$D:$D,"")="",1,INDEX('Type Chart'!$B:$S,MATCH(mtype,'Type Chart'!$A:$A,0),MATCH(XLOOKUP($L74,'Pokemon Editor'!$A:$A,'Pokemon Editor'!$D:$D,""),'Type Chart'!$B$1:$S$1,0)))),base,IF(OR(cat="Status",pow=0),0,FLOOR(FLOOR(FLOOR((2*XLOOKUP($K74,'Threshold Summary'!$Y:$Y,'Threshold Summary'!$L:$L,"")/5+2)*pow*atk/def)/50)+2)),modifier,stab*eff,FLOOR(base*modifier*0.85)),0)</f>
        <v/>
      </c>
      <c r="G74" s="3">
        <f>IFERROR(LET(mtype,XLOOKUP($D74,'Move Editor'!$B:$B,'Move Editor'!$C:$C,""),cat,XLOOKUP($D74,'Move Editor'!$B:$B,'Move Editor'!$D:$D,""),pow,XLOOKUP($D74,'Move Editor'!$B:$B,'Move Editor'!$E:$E,0),acc,XLOOKUP($D74,'Move Editor'!$B:$B,'Move Editor'!$F:$F,100),atk,IF(cat="Physical",FLOOR((FLOOR(((2*XLOOKUP(XLOOKUP($K74,'Threshold Summary'!$Y:$Y,'Threshold Summary'!$K:$K,""),'Pokemon Editor'!$A:$A,'Pokemon Editor'!$F:$F,0)+31+FLOOR(XLOOKUP($K74,'Threshold Summary'!$Y:$Y,'Threshold Summary'!$P:$P,"")/4))*XLOOKUP($K74,'Threshold Summary'!$Y:$Y,'Threshold Summary'!$L:$L,""))/100)+5)*XLOOKUP(XLOOKUP($K74,'Threshold Summary'!$Y:$Y,'Threshold Summary'!$M:$M,""),'Nature Editor'!$A:$A,'Nature Editor'!$B:$B,1)),FLOOR((FLOOR(((2*XLOOKUP(XLOOKUP($K74,'Threshold Summary'!$Y:$Y,'Threshold Summary'!$K:$K,""),'Pokemon Editor'!$A:$A,'Pokemon Editor'!$H:$H,0)+31+FLOOR(XLOOKUP($K74,'Threshold Summary'!$Y:$Y,'Threshold Summary'!$R:$R,"")/4))*XLOOKUP($K74,'Threshold Summary'!$Y:$Y,'Threshold Summary'!$L:$L,""))/100)+5)*XLOOKUP(XLOOKUP($K74,'Threshold Summary'!$Y:$Y,'Threshold Summary'!$M:$M,""),'Nature Editor'!$A:$A,'Nature Editor'!$D:$D,1))),def,IF(cat="Physical",FLOOR((FLOOR(((2*XLOOKUP($L74,'Pokemon Editor'!$A:$A,'Pokemon Editor'!$G:$G,0)+31+FLOOR(XLOOKUP($L74,'Boss Editor'!$C:$C,'Boss Editor'!$I:$I,"")/4))*XLOOKUP($L74,'Boss Editor'!$C:$C,'Boss Editor'!$D:$D,""))/100)+5)*XLOOKUP(XLOOKUP($L74,'Boss Editor'!$C:$C,'Boss Editor'!$E:$E,""),'Nature Editor'!$A:$A,'Nature Editor'!$C:$C,1)),FLOOR((FLOOR(((2*XLOOKUP($L74,'Pokemon Editor'!$A:$A,'Pokemon Editor'!$I:$I,0)+31+FLOOR(XLOOKUP($L74,'Boss Editor'!$C:$C,'Boss Editor'!$K:$K,"")/4))*XLOOKUP($L74,'Boss Editor'!$C:$C,'Boss Editor'!$D:$D,""))/100)+5)*XLOOKUP(XLOOKUP($L74,'Boss Editor'!$C:$C,'Boss Editor'!$E:$E,""),'Nature Editor'!$A:$A,'Nature Editor'!$E:$E,1))),stab,IF(OR(mtype=XLOOKUP(XLOOKUP($K74,'Threshold Summary'!$Y:$Y,'Threshold Summary'!$K:$K,""),'Pokemon Editor'!$A:$A,'Pokemon Editor'!$C:$C,""),mtype=XLOOKUP(XLOOKUP($K74,'Threshold Summary'!$Y:$Y,'Threshold Summary'!$K:$K,""),'Pokemon Editor'!$A:$A,'Pokemon Editor'!$D:$D,"")),1.5,1),eff,(INDEX('Type Chart'!$B:$S,MATCH(mtype,'Type Chart'!$A:$A,0),MATCH(XLOOKUP($L74,'Pokemon Editor'!$A:$A,'Pokemon Editor'!$C:$C,""),'Type Chart'!$B$1:$S$1,0))*IF(XLOOKUP($L74,'Pokemon Editor'!$A:$A,'Pokemon Editor'!$D:$D,"")="",1,INDEX('Type Chart'!$B:$S,MATCH(mtype,'Type Chart'!$A:$A,0),MATCH(XLOOKUP($L74,'Pokemon Editor'!$A:$A,'Pokemon Editor'!$D:$D,""),'Type Chart'!$B$1:$S$1,0)))),base,IF(OR(cat="Status",pow=0),0,FLOOR(FLOOR(FLOOR((2*XLOOKUP($K74,'Threshold Summary'!$Y:$Y,'Threshold Summary'!$L:$L,"")/5+2)*pow*atk/def)/50)+2)),modifier,stab*eff,FLOOR(base*modifier)),0)</f>
        <v/>
      </c>
      <c r="H74" s="3">
        <f>IFERROR(LET(mtype,XLOOKUP($D74,'Move Editor'!$B:$B,'Move Editor'!$C:$C,""),cat,XLOOKUP($D74,'Move Editor'!$B:$B,'Move Editor'!$D:$D,""),pow,XLOOKUP($D74,'Move Editor'!$B:$B,'Move Editor'!$E:$E,0),acc,XLOOKUP($D74,'Move Editor'!$B:$B,'Move Editor'!$F:$F,100),atk,IF(cat="Physical",FLOOR((FLOOR(((2*XLOOKUP(XLOOKUP($K74,'Threshold Summary'!$Y:$Y,'Threshold Summary'!$K:$K,""),'Pokemon Editor'!$A:$A,'Pokemon Editor'!$F:$F,0)+31+FLOOR(XLOOKUP($K74,'Threshold Summary'!$Y:$Y,'Threshold Summary'!$P:$P,"")/4))*XLOOKUP($K74,'Threshold Summary'!$Y:$Y,'Threshold Summary'!$L:$L,""))/100)+5)*XLOOKUP(XLOOKUP($K74,'Threshold Summary'!$Y:$Y,'Threshold Summary'!$M:$M,""),'Nature Editor'!$A:$A,'Nature Editor'!$B:$B,1)),FLOOR((FLOOR(((2*XLOOKUP(XLOOKUP($K74,'Threshold Summary'!$Y:$Y,'Threshold Summary'!$K:$K,""),'Pokemon Editor'!$A:$A,'Pokemon Editor'!$H:$H,0)+31+FLOOR(XLOOKUP($K74,'Threshold Summary'!$Y:$Y,'Threshold Summary'!$R:$R,"")/4))*XLOOKUP($K74,'Threshold Summary'!$Y:$Y,'Threshold Summary'!$L:$L,""))/100)+5)*XLOOKUP(XLOOKUP($K74,'Threshold Summary'!$Y:$Y,'Threshold Summary'!$M:$M,""),'Nature Editor'!$A:$A,'Nature Editor'!$D:$D,1))),def,IF(cat="Physical",FLOOR((FLOOR(((2*XLOOKUP($L74,'Pokemon Editor'!$A:$A,'Pokemon Editor'!$G:$G,0)+31+FLOOR(XLOOKUP($L74,'Boss Editor'!$C:$C,'Boss Editor'!$I:$I,"")/4))*XLOOKUP($L74,'Boss Editor'!$C:$C,'Boss Editor'!$D:$D,""))/100)+5)*XLOOKUP(XLOOKUP($L74,'Boss Editor'!$C:$C,'Boss Editor'!$E:$E,""),'Nature Editor'!$A:$A,'Nature Editor'!$C:$C,1)),FLOOR((FLOOR(((2*XLOOKUP($L74,'Pokemon Editor'!$A:$A,'Pokemon Editor'!$I:$I,0)+31+FLOOR(XLOOKUP($L74,'Boss Editor'!$C:$C,'Boss Editor'!$K:$K,"")/4))*XLOOKUP($L74,'Boss Editor'!$C:$C,'Boss Editor'!$D:$D,""))/100)+5)*XLOOKUP(XLOOKUP($L74,'Boss Editor'!$C:$C,'Boss Editor'!$E:$E,""),'Nature Editor'!$A:$A,'Nature Editor'!$E:$E,1))),stab,IF(OR(mtype=XLOOKUP(XLOOKUP($K74,'Threshold Summary'!$Y:$Y,'Threshold Summary'!$K:$K,""),'Pokemon Editor'!$A:$A,'Pokemon Editor'!$C:$C,""),mtype=XLOOKUP(XLOOKUP($K74,'Threshold Summary'!$Y:$Y,'Threshold Summary'!$K:$K,""),'Pokemon Editor'!$A:$A,'Pokemon Editor'!$D:$D,"")),1.5,1),eff,(INDEX('Type Chart'!$B:$S,MATCH(mtype,'Type Chart'!$A:$A,0),MATCH(XLOOKUP($L74,'Pokemon Editor'!$A:$A,'Pokemon Editor'!$C:$C,""),'Type Chart'!$B$1:$S$1,0))*IF(XLOOKUP($L74,'Pokemon Editor'!$A:$A,'Pokemon Editor'!$D:$D,"")="",1,INDEX('Type Chart'!$B:$S,MATCH(mtype,'Type Chart'!$A:$A,0),MATCH(XLOOKUP($L74,'Pokemon Editor'!$A:$A,'Pokemon Editor'!$D:$D,""),'Type Chart'!$B$1:$S$1,0)))),base,IF(OR(cat="Status",pow=0),0,FLOOR(FLOOR(FLOOR((2*XLOOKUP($K74,'Threshold Summary'!$Y:$Y,'Threshold Summary'!$L:$L,"")/5+2)*pow*atk/def)/50)+2)),modifier,stab*eff,AVERAGE(ARRAYFORMULA(FLOOR(base*modifier*SEQUENCE(16,1,85,1)/100)))),0)</f>
        <v/>
      </c>
      <c r="I74" s="4">
        <f>IFERROR(LET(mtype,XLOOKUP($D74,'Move Editor'!$B:$B,'Move Editor'!$C:$C,""),cat,XLOOKUP($D74,'Move Editor'!$B:$B,'Move Editor'!$D:$D,""),pow,XLOOKUP($D74,'Move Editor'!$B:$B,'Move Editor'!$E:$E,0),acc,XLOOKUP($D74,'Move Editor'!$B:$B,'Move Editor'!$F:$F,100),atk,IF(cat="Physical",FLOOR((FLOOR(((2*XLOOKUP(XLOOKUP($K74,'Threshold Summary'!$Y:$Y,'Threshold Summary'!$K:$K,""),'Pokemon Editor'!$A:$A,'Pokemon Editor'!$F:$F,0)+31+FLOOR(XLOOKUP($K74,'Threshold Summary'!$Y:$Y,'Threshold Summary'!$P:$P,"")/4))*XLOOKUP($K74,'Threshold Summary'!$Y:$Y,'Threshold Summary'!$L:$L,""))/100)+5)*XLOOKUP(XLOOKUP($K74,'Threshold Summary'!$Y:$Y,'Threshold Summary'!$M:$M,""),'Nature Editor'!$A:$A,'Nature Editor'!$B:$B,1)),FLOOR((FLOOR(((2*XLOOKUP(XLOOKUP($K74,'Threshold Summary'!$Y:$Y,'Threshold Summary'!$K:$K,""),'Pokemon Editor'!$A:$A,'Pokemon Editor'!$H:$H,0)+31+FLOOR(XLOOKUP($K74,'Threshold Summary'!$Y:$Y,'Threshold Summary'!$R:$R,"")/4))*XLOOKUP($K74,'Threshold Summary'!$Y:$Y,'Threshold Summary'!$L:$L,""))/100)+5)*XLOOKUP(XLOOKUP($K74,'Threshold Summary'!$Y:$Y,'Threshold Summary'!$M:$M,""),'Nature Editor'!$A:$A,'Nature Editor'!$D:$D,1))),def,IF(cat="Physical",FLOOR((FLOOR(((2*XLOOKUP($L74,'Pokemon Editor'!$A:$A,'Pokemon Editor'!$G:$G,0)+31+FLOOR(XLOOKUP($L74,'Boss Editor'!$C:$C,'Boss Editor'!$I:$I,"")/4))*XLOOKUP($L74,'Boss Editor'!$C:$C,'Boss Editor'!$D:$D,""))/100)+5)*XLOOKUP(XLOOKUP($L74,'Boss Editor'!$C:$C,'Boss Editor'!$E:$E,""),'Nature Editor'!$A:$A,'Nature Editor'!$C:$C,1)),FLOOR((FLOOR(((2*XLOOKUP($L74,'Pokemon Editor'!$A:$A,'Pokemon Editor'!$I:$I,0)+31+FLOOR(XLOOKUP($L74,'Boss Editor'!$C:$C,'Boss Editor'!$K:$K,"")/4))*XLOOKUP($L74,'Boss Editor'!$C:$C,'Boss Editor'!$D:$D,""))/100)+5)*XLOOKUP(XLOOKUP($L74,'Boss Editor'!$C:$C,'Boss Editor'!$E:$E,""),'Nature Editor'!$A:$A,'Nature Editor'!$E:$E,1))),stab,IF(OR(mtype=XLOOKUP(XLOOKUP($K74,'Threshold Summary'!$Y:$Y,'Threshold Summary'!$K:$K,""),'Pokemon Editor'!$A:$A,'Pokemon Editor'!$C:$C,""),mtype=XLOOKUP(XLOOKUP($K74,'Threshold Summary'!$Y:$Y,'Threshold Summary'!$K:$K,""),'Pokemon Editor'!$A:$A,'Pokemon Editor'!$D:$D,"")),1.5,1),eff,(INDEX('Type Chart'!$B:$S,MATCH(mtype,'Type Chart'!$A:$A,0),MATCH(XLOOKUP($L74,'Pokemon Editor'!$A:$A,'Pokemon Editor'!$C:$C,""),'Type Chart'!$B$1:$S$1,0))*IF(XLOOKUP($L74,'Pokemon Editor'!$A:$A,'Pokemon Editor'!$D:$D,"")="",1,INDEX('Type Chart'!$B:$S,MATCH(mtype,'Type Chart'!$A:$A,0),MATCH(XLOOKUP($L74,'Pokemon Editor'!$A:$A,'Pokemon Editor'!$D:$D,""),'Type Chart'!$B$1:$S$1,0)))),base,IF(OR(cat="Status",pow=0),0,FLOOR(FLOOR(FLOOR((2*XLOOKUP($K74,'Threshold Summary'!$Y:$Y,'Threshold Summary'!$L:$L,"")/5+2)*pow*atk/def)/50)+2)),modifier,stab*eff,AVERAGE(ARRAYFORMULA(FLOOR(base*modifier*SEQUENCE(16,1,85,1)/100)))/(FLOOR(((2*XLOOKUP($L74,'Pokemon Editor'!$A:$A,'Pokemon Editor'!$E:$E,0)+31+FLOOR(XLOOKUP($L74,'Boss Editor'!$C:$C,'Boss Editor'!$G:$G,"")/4))*XLOOKUP($L74,'Boss Editor'!$C:$C,'Boss Editor'!$D:$D,""))/100)+XLOOKUP($L74,'Boss Editor'!$C:$C,'Boss Editor'!$D:$D,"")+10)),0)</f>
        <v/>
      </c>
      <c r="J74" s="3">
        <f>IF(I74&gt;=1,"OHKO",IF(I74&gt;=0.5,"2HKO",IF(I74&gt;=0.333,"3HKO",IF(I74&gt;=0.25,"4HKO","5HKO+"))))</f>
        <v/>
      </c>
      <c r="K74" s="3" t="inlineStr">
        <is>
          <t>SPECIES_BOUNSWEET</t>
        </is>
      </c>
      <c r="L74" s="3" t="inlineStr">
        <is>
          <t>SPECIES_TIRTOUGA</t>
        </is>
      </c>
    </row>
    <row r="75">
      <c r="A75" s="3">
        <f>XLOOKUP($K75,'Threshold Summary'!$Y:$Y,'Threshold Summary'!$A:$A,"")</f>
        <v/>
      </c>
      <c r="B75" s="3" t="inlineStr">
        <is>
          <t>Anorith</t>
        </is>
      </c>
      <c r="C75" s="3">
        <f>XLOOKUP($L75,'Boss Editor'!$C:$C,'Boss Editor'!$D:$D,"")</f>
        <v/>
      </c>
      <c r="D75" s="3">
        <f>XLOOKUP($K75,'Threshold Summary'!$Y:$Y,'Threshold Summary'!$B:$B,"")</f>
        <v/>
      </c>
      <c r="E75" s="3">
        <f>XLOOKUP(D75,'Move Editor'!$B:$B,'Move Editor'!$C:$C,"")</f>
        <v/>
      </c>
      <c r="F75" s="3">
        <f>IFERROR(LET(mtype,XLOOKUP($D75,'Move Editor'!$B:$B,'Move Editor'!$C:$C,""),cat,XLOOKUP($D75,'Move Editor'!$B:$B,'Move Editor'!$D:$D,""),pow,XLOOKUP($D75,'Move Editor'!$B:$B,'Move Editor'!$E:$E,0),acc,XLOOKUP($D75,'Move Editor'!$B:$B,'Move Editor'!$F:$F,100),atk,IF(cat="Physical",FLOOR((FLOOR(((2*XLOOKUP(XLOOKUP($K75,'Threshold Summary'!$Y:$Y,'Threshold Summary'!$K:$K,""),'Pokemon Editor'!$A:$A,'Pokemon Editor'!$F:$F,0)+31+FLOOR(XLOOKUP($K75,'Threshold Summary'!$Y:$Y,'Threshold Summary'!$P:$P,"")/4))*XLOOKUP($K75,'Threshold Summary'!$Y:$Y,'Threshold Summary'!$L:$L,""))/100)+5)*XLOOKUP(XLOOKUP($K75,'Threshold Summary'!$Y:$Y,'Threshold Summary'!$M:$M,""),'Nature Editor'!$A:$A,'Nature Editor'!$B:$B,1)),FLOOR((FLOOR(((2*XLOOKUP(XLOOKUP($K75,'Threshold Summary'!$Y:$Y,'Threshold Summary'!$K:$K,""),'Pokemon Editor'!$A:$A,'Pokemon Editor'!$H:$H,0)+31+FLOOR(XLOOKUP($K75,'Threshold Summary'!$Y:$Y,'Threshold Summary'!$R:$R,"")/4))*XLOOKUP($K75,'Threshold Summary'!$Y:$Y,'Threshold Summary'!$L:$L,""))/100)+5)*XLOOKUP(XLOOKUP($K75,'Threshold Summary'!$Y:$Y,'Threshold Summary'!$M:$M,""),'Nature Editor'!$A:$A,'Nature Editor'!$D:$D,1))),def,IF(cat="Physical",FLOOR((FLOOR(((2*XLOOKUP($L75,'Pokemon Editor'!$A:$A,'Pokemon Editor'!$G:$G,0)+31+FLOOR(XLOOKUP($L75,'Boss Editor'!$C:$C,'Boss Editor'!$I:$I,"")/4))*XLOOKUP($L75,'Boss Editor'!$C:$C,'Boss Editor'!$D:$D,""))/100)+5)*XLOOKUP(XLOOKUP($L75,'Boss Editor'!$C:$C,'Boss Editor'!$E:$E,""),'Nature Editor'!$A:$A,'Nature Editor'!$C:$C,1)),FLOOR((FLOOR(((2*XLOOKUP($L75,'Pokemon Editor'!$A:$A,'Pokemon Editor'!$I:$I,0)+31+FLOOR(XLOOKUP($L75,'Boss Editor'!$C:$C,'Boss Editor'!$K:$K,"")/4))*XLOOKUP($L75,'Boss Editor'!$C:$C,'Boss Editor'!$D:$D,""))/100)+5)*XLOOKUP(XLOOKUP($L75,'Boss Editor'!$C:$C,'Boss Editor'!$E:$E,""),'Nature Editor'!$A:$A,'Nature Editor'!$E:$E,1))),stab,IF(OR(mtype=XLOOKUP(XLOOKUP($K75,'Threshold Summary'!$Y:$Y,'Threshold Summary'!$K:$K,""),'Pokemon Editor'!$A:$A,'Pokemon Editor'!$C:$C,""),mtype=XLOOKUP(XLOOKUP($K75,'Threshold Summary'!$Y:$Y,'Threshold Summary'!$K:$K,""),'Pokemon Editor'!$A:$A,'Pokemon Editor'!$D:$D,"")),1.5,1),eff,(INDEX('Type Chart'!$B:$S,MATCH(mtype,'Type Chart'!$A:$A,0),MATCH(XLOOKUP($L75,'Pokemon Editor'!$A:$A,'Pokemon Editor'!$C:$C,""),'Type Chart'!$B$1:$S$1,0))*IF(XLOOKUP($L75,'Pokemon Editor'!$A:$A,'Pokemon Editor'!$D:$D,"")="",1,INDEX('Type Chart'!$B:$S,MATCH(mtype,'Type Chart'!$A:$A,0),MATCH(XLOOKUP($L75,'Pokemon Editor'!$A:$A,'Pokemon Editor'!$D:$D,""),'Type Chart'!$B$1:$S$1,0)))),base,IF(OR(cat="Status",pow=0),0,FLOOR(FLOOR(FLOOR((2*XLOOKUP($K75,'Threshold Summary'!$Y:$Y,'Threshold Summary'!$L:$L,"")/5+2)*pow*atk/def)/50)+2)),modifier,stab*eff,FLOOR(base*modifier*0.85)),0)</f>
        <v/>
      </c>
      <c r="G75" s="3">
        <f>IFERROR(LET(mtype,XLOOKUP($D75,'Move Editor'!$B:$B,'Move Editor'!$C:$C,""),cat,XLOOKUP($D75,'Move Editor'!$B:$B,'Move Editor'!$D:$D,""),pow,XLOOKUP($D75,'Move Editor'!$B:$B,'Move Editor'!$E:$E,0),acc,XLOOKUP($D75,'Move Editor'!$B:$B,'Move Editor'!$F:$F,100),atk,IF(cat="Physical",FLOOR((FLOOR(((2*XLOOKUP(XLOOKUP($K75,'Threshold Summary'!$Y:$Y,'Threshold Summary'!$K:$K,""),'Pokemon Editor'!$A:$A,'Pokemon Editor'!$F:$F,0)+31+FLOOR(XLOOKUP($K75,'Threshold Summary'!$Y:$Y,'Threshold Summary'!$P:$P,"")/4))*XLOOKUP($K75,'Threshold Summary'!$Y:$Y,'Threshold Summary'!$L:$L,""))/100)+5)*XLOOKUP(XLOOKUP($K75,'Threshold Summary'!$Y:$Y,'Threshold Summary'!$M:$M,""),'Nature Editor'!$A:$A,'Nature Editor'!$B:$B,1)),FLOOR((FLOOR(((2*XLOOKUP(XLOOKUP($K75,'Threshold Summary'!$Y:$Y,'Threshold Summary'!$K:$K,""),'Pokemon Editor'!$A:$A,'Pokemon Editor'!$H:$H,0)+31+FLOOR(XLOOKUP($K75,'Threshold Summary'!$Y:$Y,'Threshold Summary'!$R:$R,"")/4))*XLOOKUP($K75,'Threshold Summary'!$Y:$Y,'Threshold Summary'!$L:$L,""))/100)+5)*XLOOKUP(XLOOKUP($K75,'Threshold Summary'!$Y:$Y,'Threshold Summary'!$M:$M,""),'Nature Editor'!$A:$A,'Nature Editor'!$D:$D,1))),def,IF(cat="Physical",FLOOR((FLOOR(((2*XLOOKUP($L75,'Pokemon Editor'!$A:$A,'Pokemon Editor'!$G:$G,0)+31+FLOOR(XLOOKUP($L75,'Boss Editor'!$C:$C,'Boss Editor'!$I:$I,"")/4))*XLOOKUP($L75,'Boss Editor'!$C:$C,'Boss Editor'!$D:$D,""))/100)+5)*XLOOKUP(XLOOKUP($L75,'Boss Editor'!$C:$C,'Boss Editor'!$E:$E,""),'Nature Editor'!$A:$A,'Nature Editor'!$C:$C,1)),FLOOR((FLOOR(((2*XLOOKUP($L75,'Pokemon Editor'!$A:$A,'Pokemon Editor'!$I:$I,0)+31+FLOOR(XLOOKUP($L75,'Boss Editor'!$C:$C,'Boss Editor'!$K:$K,"")/4))*XLOOKUP($L75,'Boss Editor'!$C:$C,'Boss Editor'!$D:$D,""))/100)+5)*XLOOKUP(XLOOKUP($L75,'Boss Editor'!$C:$C,'Boss Editor'!$E:$E,""),'Nature Editor'!$A:$A,'Nature Editor'!$E:$E,1))),stab,IF(OR(mtype=XLOOKUP(XLOOKUP($K75,'Threshold Summary'!$Y:$Y,'Threshold Summary'!$K:$K,""),'Pokemon Editor'!$A:$A,'Pokemon Editor'!$C:$C,""),mtype=XLOOKUP(XLOOKUP($K75,'Threshold Summary'!$Y:$Y,'Threshold Summary'!$K:$K,""),'Pokemon Editor'!$A:$A,'Pokemon Editor'!$D:$D,"")),1.5,1),eff,(INDEX('Type Chart'!$B:$S,MATCH(mtype,'Type Chart'!$A:$A,0),MATCH(XLOOKUP($L75,'Pokemon Editor'!$A:$A,'Pokemon Editor'!$C:$C,""),'Type Chart'!$B$1:$S$1,0))*IF(XLOOKUP($L75,'Pokemon Editor'!$A:$A,'Pokemon Editor'!$D:$D,"")="",1,INDEX('Type Chart'!$B:$S,MATCH(mtype,'Type Chart'!$A:$A,0),MATCH(XLOOKUP($L75,'Pokemon Editor'!$A:$A,'Pokemon Editor'!$D:$D,""),'Type Chart'!$B$1:$S$1,0)))),base,IF(OR(cat="Status",pow=0),0,FLOOR(FLOOR(FLOOR((2*XLOOKUP($K75,'Threshold Summary'!$Y:$Y,'Threshold Summary'!$L:$L,"")/5+2)*pow*atk/def)/50)+2)),modifier,stab*eff,FLOOR(base*modifier)),0)</f>
        <v/>
      </c>
      <c r="H75" s="3">
        <f>IFERROR(LET(mtype,XLOOKUP($D75,'Move Editor'!$B:$B,'Move Editor'!$C:$C,""),cat,XLOOKUP($D75,'Move Editor'!$B:$B,'Move Editor'!$D:$D,""),pow,XLOOKUP($D75,'Move Editor'!$B:$B,'Move Editor'!$E:$E,0),acc,XLOOKUP($D75,'Move Editor'!$B:$B,'Move Editor'!$F:$F,100),atk,IF(cat="Physical",FLOOR((FLOOR(((2*XLOOKUP(XLOOKUP($K75,'Threshold Summary'!$Y:$Y,'Threshold Summary'!$K:$K,""),'Pokemon Editor'!$A:$A,'Pokemon Editor'!$F:$F,0)+31+FLOOR(XLOOKUP($K75,'Threshold Summary'!$Y:$Y,'Threshold Summary'!$P:$P,"")/4))*XLOOKUP($K75,'Threshold Summary'!$Y:$Y,'Threshold Summary'!$L:$L,""))/100)+5)*XLOOKUP(XLOOKUP($K75,'Threshold Summary'!$Y:$Y,'Threshold Summary'!$M:$M,""),'Nature Editor'!$A:$A,'Nature Editor'!$B:$B,1)),FLOOR((FLOOR(((2*XLOOKUP(XLOOKUP($K75,'Threshold Summary'!$Y:$Y,'Threshold Summary'!$K:$K,""),'Pokemon Editor'!$A:$A,'Pokemon Editor'!$H:$H,0)+31+FLOOR(XLOOKUP($K75,'Threshold Summary'!$Y:$Y,'Threshold Summary'!$R:$R,"")/4))*XLOOKUP($K75,'Threshold Summary'!$Y:$Y,'Threshold Summary'!$L:$L,""))/100)+5)*XLOOKUP(XLOOKUP($K75,'Threshold Summary'!$Y:$Y,'Threshold Summary'!$M:$M,""),'Nature Editor'!$A:$A,'Nature Editor'!$D:$D,1))),def,IF(cat="Physical",FLOOR((FLOOR(((2*XLOOKUP($L75,'Pokemon Editor'!$A:$A,'Pokemon Editor'!$G:$G,0)+31+FLOOR(XLOOKUP($L75,'Boss Editor'!$C:$C,'Boss Editor'!$I:$I,"")/4))*XLOOKUP($L75,'Boss Editor'!$C:$C,'Boss Editor'!$D:$D,""))/100)+5)*XLOOKUP(XLOOKUP($L75,'Boss Editor'!$C:$C,'Boss Editor'!$E:$E,""),'Nature Editor'!$A:$A,'Nature Editor'!$C:$C,1)),FLOOR((FLOOR(((2*XLOOKUP($L75,'Pokemon Editor'!$A:$A,'Pokemon Editor'!$I:$I,0)+31+FLOOR(XLOOKUP($L75,'Boss Editor'!$C:$C,'Boss Editor'!$K:$K,"")/4))*XLOOKUP($L75,'Boss Editor'!$C:$C,'Boss Editor'!$D:$D,""))/100)+5)*XLOOKUP(XLOOKUP($L75,'Boss Editor'!$C:$C,'Boss Editor'!$E:$E,""),'Nature Editor'!$A:$A,'Nature Editor'!$E:$E,1))),stab,IF(OR(mtype=XLOOKUP(XLOOKUP($K75,'Threshold Summary'!$Y:$Y,'Threshold Summary'!$K:$K,""),'Pokemon Editor'!$A:$A,'Pokemon Editor'!$C:$C,""),mtype=XLOOKUP(XLOOKUP($K75,'Threshold Summary'!$Y:$Y,'Threshold Summary'!$K:$K,""),'Pokemon Editor'!$A:$A,'Pokemon Editor'!$D:$D,"")),1.5,1),eff,(INDEX('Type Chart'!$B:$S,MATCH(mtype,'Type Chart'!$A:$A,0),MATCH(XLOOKUP($L75,'Pokemon Editor'!$A:$A,'Pokemon Editor'!$C:$C,""),'Type Chart'!$B$1:$S$1,0))*IF(XLOOKUP($L75,'Pokemon Editor'!$A:$A,'Pokemon Editor'!$D:$D,"")="",1,INDEX('Type Chart'!$B:$S,MATCH(mtype,'Type Chart'!$A:$A,0),MATCH(XLOOKUP($L75,'Pokemon Editor'!$A:$A,'Pokemon Editor'!$D:$D,""),'Type Chart'!$B$1:$S$1,0)))),base,IF(OR(cat="Status",pow=0),0,FLOOR(FLOOR(FLOOR((2*XLOOKUP($K75,'Threshold Summary'!$Y:$Y,'Threshold Summary'!$L:$L,"")/5+2)*pow*atk/def)/50)+2)),modifier,stab*eff,AVERAGE(ARRAYFORMULA(FLOOR(base*modifier*SEQUENCE(16,1,85,1)/100)))),0)</f>
        <v/>
      </c>
      <c r="I75" s="4">
        <f>IFERROR(LET(mtype,XLOOKUP($D75,'Move Editor'!$B:$B,'Move Editor'!$C:$C,""),cat,XLOOKUP($D75,'Move Editor'!$B:$B,'Move Editor'!$D:$D,""),pow,XLOOKUP($D75,'Move Editor'!$B:$B,'Move Editor'!$E:$E,0),acc,XLOOKUP($D75,'Move Editor'!$B:$B,'Move Editor'!$F:$F,100),atk,IF(cat="Physical",FLOOR((FLOOR(((2*XLOOKUP(XLOOKUP($K75,'Threshold Summary'!$Y:$Y,'Threshold Summary'!$K:$K,""),'Pokemon Editor'!$A:$A,'Pokemon Editor'!$F:$F,0)+31+FLOOR(XLOOKUP($K75,'Threshold Summary'!$Y:$Y,'Threshold Summary'!$P:$P,"")/4))*XLOOKUP($K75,'Threshold Summary'!$Y:$Y,'Threshold Summary'!$L:$L,""))/100)+5)*XLOOKUP(XLOOKUP($K75,'Threshold Summary'!$Y:$Y,'Threshold Summary'!$M:$M,""),'Nature Editor'!$A:$A,'Nature Editor'!$B:$B,1)),FLOOR((FLOOR(((2*XLOOKUP(XLOOKUP($K75,'Threshold Summary'!$Y:$Y,'Threshold Summary'!$K:$K,""),'Pokemon Editor'!$A:$A,'Pokemon Editor'!$H:$H,0)+31+FLOOR(XLOOKUP($K75,'Threshold Summary'!$Y:$Y,'Threshold Summary'!$R:$R,"")/4))*XLOOKUP($K75,'Threshold Summary'!$Y:$Y,'Threshold Summary'!$L:$L,""))/100)+5)*XLOOKUP(XLOOKUP($K75,'Threshold Summary'!$Y:$Y,'Threshold Summary'!$M:$M,""),'Nature Editor'!$A:$A,'Nature Editor'!$D:$D,1))),def,IF(cat="Physical",FLOOR((FLOOR(((2*XLOOKUP($L75,'Pokemon Editor'!$A:$A,'Pokemon Editor'!$G:$G,0)+31+FLOOR(XLOOKUP($L75,'Boss Editor'!$C:$C,'Boss Editor'!$I:$I,"")/4))*XLOOKUP($L75,'Boss Editor'!$C:$C,'Boss Editor'!$D:$D,""))/100)+5)*XLOOKUP(XLOOKUP($L75,'Boss Editor'!$C:$C,'Boss Editor'!$E:$E,""),'Nature Editor'!$A:$A,'Nature Editor'!$C:$C,1)),FLOOR((FLOOR(((2*XLOOKUP($L75,'Pokemon Editor'!$A:$A,'Pokemon Editor'!$I:$I,0)+31+FLOOR(XLOOKUP($L75,'Boss Editor'!$C:$C,'Boss Editor'!$K:$K,"")/4))*XLOOKUP($L75,'Boss Editor'!$C:$C,'Boss Editor'!$D:$D,""))/100)+5)*XLOOKUP(XLOOKUP($L75,'Boss Editor'!$C:$C,'Boss Editor'!$E:$E,""),'Nature Editor'!$A:$A,'Nature Editor'!$E:$E,1))),stab,IF(OR(mtype=XLOOKUP(XLOOKUP($K75,'Threshold Summary'!$Y:$Y,'Threshold Summary'!$K:$K,""),'Pokemon Editor'!$A:$A,'Pokemon Editor'!$C:$C,""),mtype=XLOOKUP(XLOOKUP($K75,'Threshold Summary'!$Y:$Y,'Threshold Summary'!$K:$K,""),'Pokemon Editor'!$A:$A,'Pokemon Editor'!$D:$D,"")),1.5,1),eff,(INDEX('Type Chart'!$B:$S,MATCH(mtype,'Type Chart'!$A:$A,0),MATCH(XLOOKUP($L75,'Pokemon Editor'!$A:$A,'Pokemon Editor'!$C:$C,""),'Type Chart'!$B$1:$S$1,0))*IF(XLOOKUP($L75,'Pokemon Editor'!$A:$A,'Pokemon Editor'!$D:$D,"")="",1,INDEX('Type Chart'!$B:$S,MATCH(mtype,'Type Chart'!$A:$A,0),MATCH(XLOOKUP($L75,'Pokemon Editor'!$A:$A,'Pokemon Editor'!$D:$D,""),'Type Chart'!$B$1:$S$1,0)))),base,IF(OR(cat="Status",pow=0),0,FLOOR(FLOOR(FLOOR((2*XLOOKUP($K75,'Threshold Summary'!$Y:$Y,'Threshold Summary'!$L:$L,"")/5+2)*pow*atk/def)/50)+2)),modifier,stab*eff,AVERAGE(ARRAYFORMULA(FLOOR(base*modifier*SEQUENCE(16,1,85,1)/100)))/(FLOOR(((2*XLOOKUP($L75,'Pokemon Editor'!$A:$A,'Pokemon Editor'!$E:$E,0)+31+FLOOR(XLOOKUP($L75,'Boss Editor'!$C:$C,'Boss Editor'!$G:$G,"")/4))*XLOOKUP($L75,'Boss Editor'!$C:$C,'Boss Editor'!$D:$D,""))/100)+XLOOKUP($L75,'Boss Editor'!$C:$C,'Boss Editor'!$D:$D,"")+10)),0)</f>
        <v/>
      </c>
      <c r="J75" s="3">
        <f>IF(I75&gt;=1,"OHKO",IF(I75&gt;=0.5,"2HKO",IF(I75&gt;=0.333,"3HKO",IF(I75&gt;=0.25,"4HKO","5HKO+"))))</f>
        <v/>
      </c>
      <c r="K75" s="3" t="inlineStr">
        <is>
          <t>SPECIES_BOUNSWEET</t>
        </is>
      </c>
      <c r="L75" s="3" t="inlineStr">
        <is>
          <t>SPECIES_ANORITH</t>
        </is>
      </c>
    </row>
    <row r="76">
      <c r="A76" s="3">
        <f>XLOOKUP($K76,'Threshold Summary'!$Y:$Y,'Threshold Summary'!$A:$A,"")</f>
        <v/>
      </c>
      <c r="B76" s="3" t="inlineStr">
        <is>
          <t>Lileep</t>
        </is>
      </c>
      <c r="C76" s="3">
        <f>XLOOKUP($L76,'Boss Editor'!$C:$C,'Boss Editor'!$D:$D,"")</f>
        <v/>
      </c>
      <c r="D76" s="3">
        <f>XLOOKUP($K76,'Threshold Summary'!$Y:$Y,'Threshold Summary'!$B:$B,"")</f>
        <v/>
      </c>
      <c r="E76" s="3">
        <f>XLOOKUP(D76,'Move Editor'!$B:$B,'Move Editor'!$C:$C,"")</f>
        <v/>
      </c>
      <c r="F76" s="3">
        <f>IFERROR(LET(mtype,XLOOKUP($D76,'Move Editor'!$B:$B,'Move Editor'!$C:$C,""),cat,XLOOKUP($D76,'Move Editor'!$B:$B,'Move Editor'!$D:$D,""),pow,XLOOKUP($D76,'Move Editor'!$B:$B,'Move Editor'!$E:$E,0),acc,XLOOKUP($D76,'Move Editor'!$B:$B,'Move Editor'!$F:$F,100),atk,IF(cat="Physical",FLOOR((FLOOR(((2*XLOOKUP(XLOOKUP($K76,'Threshold Summary'!$Y:$Y,'Threshold Summary'!$K:$K,""),'Pokemon Editor'!$A:$A,'Pokemon Editor'!$F:$F,0)+31+FLOOR(XLOOKUP($K76,'Threshold Summary'!$Y:$Y,'Threshold Summary'!$P:$P,"")/4))*XLOOKUP($K76,'Threshold Summary'!$Y:$Y,'Threshold Summary'!$L:$L,""))/100)+5)*XLOOKUP(XLOOKUP($K76,'Threshold Summary'!$Y:$Y,'Threshold Summary'!$M:$M,""),'Nature Editor'!$A:$A,'Nature Editor'!$B:$B,1)),FLOOR((FLOOR(((2*XLOOKUP(XLOOKUP($K76,'Threshold Summary'!$Y:$Y,'Threshold Summary'!$K:$K,""),'Pokemon Editor'!$A:$A,'Pokemon Editor'!$H:$H,0)+31+FLOOR(XLOOKUP($K76,'Threshold Summary'!$Y:$Y,'Threshold Summary'!$R:$R,"")/4))*XLOOKUP($K76,'Threshold Summary'!$Y:$Y,'Threshold Summary'!$L:$L,""))/100)+5)*XLOOKUP(XLOOKUP($K76,'Threshold Summary'!$Y:$Y,'Threshold Summary'!$M:$M,""),'Nature Editor'!$A:$A,'Nature Editor'!$D:$D,1))),def,IF(cat="Physical",FLOOR((FLOOR(((2*XLOOKUP($L76,'Pokemon Editor'!$A:$A,'Pokemon Editor'!$G:$G,0)+31+FLOOR(XLOOKUP($L76,'Boss Editor'!$C:$C,'Boss Editor'!$I:$I,"")/4))*XLOOKUP($L76,'Boss Editor'!$C:$C,'Boss Editor'!$D:$D,""))/100)+5)*XLOOKUP(XLOOKUP($L76,'Boss Editor'!$C:$C,'Boss Editor'!$E:$E,""),'Nature Editor'!$A:$A,'Nature Editor'!$C:$C,1)),FLOOR((FLOOR(((2*XLOOKUP($L76,'Pokemon Editor'!$A:$A,'Pokemon Editor'!$I:$I,0)+31+FLOOR(XLOOKUP($L76,'Boss Editor'!$C:$C,'Boss Editor'!$K:$K,"")/4))*XLOOKUP($L76,'Boss Editor'!$C:$C,'Boss Editor'!$D:$D,""))/100)+5)*XLOOKUP(XLOOKUP($L76,'Boss Editor'!$C:$C,'Boss Editor'!$E:$E,""),'Nature Editor'!$A:$A,'Nature Editor'!$E:$E,1))),stab,IF(OR(mtype=XLOOKUP(XLOOKUP($K76,'Threshold Summary'!$Y:$Y,'Threshold Summary'!$K:$K,""),'Pokemon Editor'!$A:$A,'Pokemon Editor'!$C:$C,""),mtype=XLOOKUP(XLOOKUP($K76,'Threshold Summary'!$Y:$Y,'Threshold Summary'!$K:$K,""),'Pokemon Editor'!$A:$A,'Pokemon Editor'!$D:$D,"")),1.5,1),eff,(INDEX('Type Chart'!$B:$S,MATCH(mtype,'Type Chart'!$A:$A,0),MATCH(XLOOKUP($L76,'Pokemon Editor'!$A:$A,'Pokemon Editor'!$C:$C,""),'Type Chart'!$B$1:$S$1,0))*IF(XLOOKUP($L76,'Pokemon Editor'!$A:$A,'Pokemon Editor'!$D:$D,"")="",1,INDEX('Type Chart'!$B:$S,MATCH(mtype,'Type Chart'!$A:$A,0),MATCH(XLOOKUP($L76,'Pokemon Editor'!$A:$A,'Pokemon Editor'!$D:$D,""),'Type Chart'!$B$1:$S$1,0)))),base,IF(OR(cat="Status",pow=0),0,FLOOR(FLOOR(FLOOR((2*XLOOKUP($K76,'Threshold Summary'!$Y:$Y,'Threshold Summary'!$L:$L,"")/5+2)*pow*atk/def)/50)+2)),modifier,stab*eff,FLOOR(base*modifier*0.85)),0)</f>
        <v/>
      </c>
      <c r="G76" s="3">
        <f>IFERROR(LET(mtype,XLOOKUP($D76,'Move Editor'!$B:$B,'Move Editor'!$C:$C,""),cat,XLOOKUP($D76,'Move Editor'!$B:$B,'Move Editor'!$D:$D,""),pow,XLOOKUP($D76,'Move Editor'!$B:$B,'Move Editor'!$E:$E,0),acc,XLOOKUP($D76,'Move Editor'!$B:$B,'Move Editor'!$F:$F,100),atk,IF(cat="Physical",FLOOR((FLOOR(((2*XLOOKUP(XLOOKUP($K76,'Threshold Summary'!$Y:$Y,'Threshold Summary'!$K:$K,""),'Pokemon Editor'!$A:$A,'Pokemon Editor'!$F:$F,0)+31+FLOOR(XLOOKUP($K76,'Threshold Summary'!$Y:$Y,'Threshold Summary'!$P:$P,"")/4))*XLOOKUP($K76,'Threshold Summary'!$Y:$Y,'Threshold Summary'!$L:$L,""))/100)+5)*XLOOKUP(XLOOKUP($K76,'Threshold Summary'!$Y:$Y,'Threshold Summary'!$M:$M,""),'Nature Editor'!$A:$A,'Nature Editor'!$B:$B,1)),FLOOR((FLOOR(((2*XLOOKUP(XLOOKUP($K76,'Threshold Summary'!$Y:$Y,'Threshold Summary'!$K:$K,""),'Pokemon Editor'!$A:$A,'Pokemon Editor'!$H:$H,0)+31+FLOOR(XLOOKUP($K76,'Threshold Summary'!$Y:$Y,'Threshold Summary'!$R:$R,"")/4))*XLOOKUP($K76,'Threshold Summary'!$Y:$Y,'Threshold Summary'!$L:$L,""))/100)+5)*XLOOKUP(XLOOKUP($K76,'Threshold Summary'!$Y:$Y,'Threshold Summary'!$M:$M,""),'Nature Editor'!$A:$A,'Nature Editor'!$D:$D,1))),def,IF(cat="Physical",FLOOR((FLOOR(((2*XLOOKUP($L76,'Pokemon Editor'!$A:$A,'Pokemon Editor'!$G:$G,0)+31+FLOOR(XLOOKUP($L76,'Boss Editor'!$C:$C,'Boss Editor'!$I:$I,"")/4))*XLOOKUP($L76,'Boss Editor'!$C:$C,'Boss Editor'!$D:$D,""))/100)+5)*XLOOKUP(XLOOKUP($L76,'Boss Editor'!$C:$C,'Boss Editor'!$E:$E,""),'Nature Editor'!$A:$A,'Nature Editor'!$C:$C,1)),FLOOR((FLOOR(((2*XLOOKUP($L76,'Pokemon Editor'!$A:$A,'Pokemon Editor'!$I:$I,0)+31+FLOOR(XLOOKUP($L76,'Boss Editor'!$C:$C,'Boss Editor'!$K:$K,"")/4))*XLOOKUP($L76,'Boss Editor'!$C:$C,'Boss Editor'!$D:$D,""))/100)+5)*XLOOKUP(XLOOKUP($L76,'Boss Editor'!$C:$C,'Boss Editor'!$E:$E,""),'Nature Editor'!$A:$A,'Nature Editor'!$E:$E,1))),stab,IF(OR(mtype=XLOOKUP(XLOOKUP($K76,'Threshold Summary'!$Y:$Y,'Threshold Summary'!$K:$K,""),'Pokemon Editor'!$A:$A,'Pokemon Editor'!$C:$C,""),mtype=XLOOKUP(XLOOKUP($K76,'Threshold Summary'!$Y:$Y,'Threshold Summary'!$K:$K,""),'Pokemon Editor'!$A:$A,'Pokemon Editor'!$D:$D,"")),1.5,1),eff,(INDEX('Type Chart'!$B:$S,MATCH(mtype,'Type Chart'!$A:$A,0),MATCH(XLOOKUP($L76,'Pokemon Editor'!$A:$A,'Pokemon Editor'!$C:$C,""),'Type Chart'!$B$1:$S$1,0))*IF(XLOOKUP($L76,'Pokemon Editor'!$A:$A,'Pokemon Editor'!$D:$D,"")="",1,INDEX('Type Chart'!$B:$S,MATCH(mtype,'Type Chart'!$A:$A,0),MATCH(XLOOKUP($L76,'Pokemon Editor'!$A:$A,'Pokemon Editor'!$D:$D,""),'Type Chart'!$B$1:$S$1,0)))),base,IF(OR(cat="Status",pow=0),0,FLOOR(FLOOR(FLOOR((2*XLOOKUP($K76,'Threshold Summary'!$Y:$Y,'Threshold Summary'!$L:$L,"")/5+2)*pow*atk/def)/50)+2)),modifier,stab*eff,FLOOR(base*modifier)),0)</f>
        <v/>
      </c>
      <c r="H76" s="3">
        <f>IFERROR(LET(mtype,XLOOKUP($D76,'Move Editor'!$B:$B,'Move Editor'!$C:$C,""),cat,XLOOKUP($D76,'Move Editor'!$B:$B,'Move Editor'!$D:$D,""),pow,XLOOKUP($D76,'Move Editor'!$B:$B,'Move Editor'!$E:$E,0),acc,XLOOKUP($D76,'Move Editor'!$B:$B,'Move Editor'!$F:$F,100),atk,IF(cat="Physical",FLOOR((FLOOR(((2*XLOOKUP(XLOOKUP($K76,'Threshold Summary'!$Y:$Y,'Threshold Summary'!$K:$K,""),'Pokemon Editor'!$A:$A,'Pokemon Editor'!$F:$F,0)+31+FLOOR(XLOOKUP($K76,'Threshold Summary'!$Y:$Y,'Threshold Summary'!$P:$P,"")/4))*XLOOKUP($K76,'Threshold Summary'!$Y:$Y,'Threshold Summary'!$L:$L,""))/100)+5)*XLOOKUP(XLOOKUP($K76,'Threshold Summary'!$Y:$Y,'Threshold Summary'!$M:$M,""),'Nature Editor'!$A:$A,'Nature Editor'!$B:$B,1)),FLOOR((FLOOR(((2*XLOOKUP(XLOOKUP($K76,'Threshold Summary'!$Y:$Y,'Threshold Summary'!$K:$K,""),'Pokemon Editor'!$A:$A,'Pokemon Editor'!$H:$H,0)+31+FLOOR(XLOOKUP($K76,'Threshold Summary'!$Y:$Y,'Threshold Summary'!$R:$R,"")/4))*XLOOKUP($K76,'Threshold Summary'!$Y:$Y,'Threshold Summary'!$L:$L,""))/100)+5)*XLOOKUP(XLOOKUP($K76,'Threshold Summary'!$Y:$Y,'Threshold Summary'!$M:$M,""),'Nature Editor'!$A:$A,'Nature Editor'!$D:$D,1))),def,IF(cat="Physical",FLOOR((FLOOR(((2*XLOOKUP($L76,'Pokemon Editor'!$A:$A,'Pokemon Editor'!$G:$G,0)+31+FLOOR(XLOOKUP($L76,'Boss Editor'!$C:$C,'Boss Editor'!$I:$I,"")/4))*XLOOKUP($L76,'Boss Editor'!$C:$C,'Boss Editor'!$D:$D,""))/100)+5)*XLOOKUP(XLOOKUP($L76,'Boss Editor'!$C:$C,'Boss Editor'!$E:$E,""),'Nature Editor'!$A:$A,'Nature Editor'!$C:$C,1)),FLOOR((FLOOR(((2*XLOOKUP($L76,'Pokemon Editor'!$A:$A,'Pokemon Editor'!$I:$I,0)+31+FLOOR(XLOOKUP($L76,'Boss Editor'!$C:$C,'Boss Editor'!$K:$K,"")/4))*XLOOKUP($L76,'Boss Editor'!$C:$C,'Boss Editor'!$D:$D,""))/100)+5)*XLOOKUP(XLOOKUP($L76,'Boss Editor'!$C:$C,'Boss Editor'!$E:$E,""),'Nature Editor'!$A:$A,'Nature Editor'!$E:$E,1))),stab,IF(OR(mtype=XLOOKUP(XLOOKUP($K76,'Threshold Summary'!$Y:$Y,'Threshold Summary'!$K:$K,""),'Pokemon Editor'!$A:$A,'Pokemon Editor'!$C:$C,""),mtype=XLOOKUP(XLOOKUP($K76,'Threshold Summary'!$Y:$Y,'Threshold Summary'!$K:$K,""),'Pokemon Editor'!$A:$A,'Pokemon Editor'!$D:$D,"")),1.5,1),eff,(INDEX('Type Chart'!$B:$S,MATCH(mtype,'Type Chart'!$A:$A,0),MATCH(XLOOKUP($L76,'Pokemon Editor'!$A:$A,'Pokemon Editor'!$C:$C,""),'Type Chart'!$B$1:$S$1,0))*IF(XLOOKUP($L76,'Pokemon Editor'!$A:$A,'Pokemon Editor'!$D:$D,"")="",1,INDEX('Type Chart'!$B:$S,MATCH(mtype,'Type Chart'!$A:$A,0),MATCH(XLOOKUP($L76,'Pokemon Editor'!$A:$A,'Pokemon Editor'!$D:$D,""),'Type Chart'!$B$1:$S$1,0)))),base,IF(OR(cat="Status",pow=0),0,FLOOR(FLOOR(FLOOR((2*XLOOKUP($K76,'Threshold Summary'!$Y:$Y,'Threshold Summary'!$L:$L,"")/5+2)*pow*atk/def)/50)+2)),modifier,stab*eff,AVERAGE(ARRAYFORMULA(FLOOR(base*modifier*SEQUENCE(16,1,85,1)/100)))),0)</f>
        <v/>
      </c>
      <c r="I76" s="4">
        <f>IFERROR(LET(mtype,XLOOKUP($D76,'Move Editor'!$B:$B,'Move Editor'!$C:$C,""),cat,XLOOKUP($D76,'Move Editor'!$B:$B,'Move Editor'!$D:$D,""),pow,XLOOKUP($D76,'Move Editor'!$B:$B,'Move Editor'!$E:$E,0),acc,XLOOKUP($D76,'Move Editor'!$B:$B,'Move Editor'!$F:$F,100),atk,IF(cat="Physical",FLOOR((FLOOR(((2*XLOOKUP(XLOOKUP($K76,'Threshold Summary'!$Y:$Y,'Threshold Summary'!$K:$K,""),'Pokemon Editor'!$A:$A,'Pokemon Editor'!$F:$F,0)+31+FLOOR(XLOOKUP($K76,'Threshold Summary'!$Y:$Y,'Threshold Summary'!$P:$P,"")/4))*XLOOKUP($K76,'Threshold Summary'!$Y:$Y,'Threshold Summary'!$L:$L,""))/100)+5)*XLOOKUP(XLOOKUP($K76,'Threshold Summary'!$Y:$Y,'Threshold Summary'!$M:$M,""),'Nature Editor'!$A:$A,'Nature Editor'!$B:$B,1)),FLOOR((FLOOR(((2*XLOOKUP(XLOOKUP($K76,'Threshold Summary'!$Y:$Y,'Threshold Summary'!$K:$K,""),'Pokemon Editor'!$A:$A,'Pokemon Editor'!$H:$H,0)+31+FLOOR(XLOOKUP($K76,'Threshold Summary'!$Y:$Y,'Threshold Summary'!$R:$R,"")/4))*XLOOKUP($K76,'Threshold Summary'!$Y:$Y,'Threshold Summary'!$L:$L,""))/100)+5)*XLOOKUP(XLOOKUP($K76,'Threshold Summary'!$Y:$Y,'Threshold Summary'!$M:$M,""),'Nature Editor'!$A:$A,'Nature Editor'!$D:$D,1))),def,IF(cat="Physical",FLOOR((FLOOR(((2*XLOOKUP($L76,'Pokemon Editor'!$A:$A,'Pokemon Editor'!$G:$G,0)+31+FLOOR(XLOOKUP($L76,'Boss Editor'!$C:$C,'Boss Editor'!$I:$I,"")/4))*XLOOKUP($L76,'Boss Editor'!$C:$C,'Boss Editor'!$D:$D,""))/100)+5)*XLOOKUP(XLOOKUP($L76,'Boss Editor'!$C:$C,'Boss Editor'!$E:$E,""),'Nature Editor'!$A:$A,'Nature Editor'!$C:$C,1)),FLOOR((FLOOR(((2*XLOOKUP($L76,'Pokemon Editor'!$A:$A,'Pokemon Editor'!$I:$I,0)+31+FLOOR(XLOOKUP($L76,'Boss Editor'!$C:$C,'Boss Editor'!$K:$K,"")/4))*XLOOKUP($L76,'Boss Editor'!$C:$C,'Boss Editor'!$D:$D,""))/100)+5)*XLOOKUP(XLOOKUP($L76,'Boss Editor'!$C:$C,'Boss Editor'!$E:$E,""),'Nature Editor'!$A:$A,'Nature Editor'!$E:$E,1))),stab,IF(OR(mtype=XLOOKUP(XLOOKUP($K76,'Threshold Summary'!$Y:$Y,'Threshold Summary'!$K:$K,""),'Pokemon Editor'!$A:$A,'Pokemon Editor'!$C:$C,""),mtype=XLOOKUP(XLOOKUP($K76,'Threshold Summary'!$Y:$Y,'Threshold Summary'!$K:$K,""),'Pokemon Editor'!$A:$A,'Pokemon Editor'!$D:$D,"")),1.5,1),eff,(INDEX('Type Chart'!$B:$S,MATCH(mtype,'Type Chart'!$A:$A,0),MATCH(XLOOKUP($L76,'Pokemon Editor'!$A:$A,'Pokemon Editor'!$C:$C,""),'Type Chart'!$B$1:$S$1,0))*IF(XLOOKUP($L76,'Pokemon Editor'!$A:$A,'Pokemon Editor'!$D:$D,"")="",1,INDEX('Type Chart'!$B:$S,MATCH(mtype,'Type Chart'!$A:$A,0),MATCH(XLOOKUP($L76,'Pokemon Editor'!$A:$A,'Pokemon Editor'!$D:$D,""),'Type Chart'!$B$1:$S$1,0)))),base,IF(OR(cat="Status",pow=0),0,FLOOR(FLOOR(FLOOR((2*XLOOKUP($K76,'Threshold Summary'!$Y:$Y,'Threshold Summary'!$L:$L,"")/5+2)*pow*atk/def)/50)+2)),modifier,stab*eff,AVERAGE(ARRAYFORMULA(FLOOR(base*modifier*SEQUENCE(16,1,85,1)/100)))/(FLOOR(((2*XLOOKUP($L76,'Pokemon Editor'!$A:$A,'Pokemon Editor'!$E:$E,0)+31+FLOOR(XLOOKUP($L76,'Boss Editor'!$C:$C,'Boss Editor'!$G:$G,"")/4))*XLOOKUP($L76,'Boss Editor'!$C:$C,'Boss Editor'!$D:$D,""))/100)+XLOOKUP($L76,'Boss Editor'!$C:$C,'Boss Editor'!$D:$D,"")+10)),0)</f>
        <v/>
      </c>
      <c r="J76" s="3">
        <f>IF(I76&gt;=1,"OHKO",IF(I76&gt;=0.5,"2HKO",IF(I76&gt;=0.333,"3HKO",IF(I76&gt;=0.25,"4HKO","5HKO+"))))</f>
        <v/>
      </c>
      <c r="K76" s="3" t="inlineStr">
        <is>
          <t>SPECIES_BOUNSWEET</t>
        </is>
      </c>
      <c r="L76" s="3" t="inlineStr">
        <is>
          <t>SPECIES_LILEEP</t>
        </is>
      </c>
    </row>
    <row r="77">
      <c r="A77" s="3">
        <f>XLOOKUP($K77,'Threshold Summary'!$Y:$Y,'Threshold Summary'!$A:$A,"")</f>
        <v/>
      </c>
      <c r="B77" s="3" t="inlineStr">
        <is>
          <t>Tirtouga</t>
        </is>
      </c>
      <c r="C77" s="3">
        <f>XLOOKUP($L77,'Boss Editor'!$C:$C,'Boss Editor'!$D:$D,"")</f>
        <v/>
      </c>
      <c r="D77" s="3">
        <f>XLOOKUP($K77,'Threshold Summary'!$Y:$Y,'Threshold Summary'!$B:$B,"")</f>
        <v/>
      </c>
      <c r="E77" s="3">
        <f>XLOOKUP(D77,'Move Editor'!$B:$B,'Move Editor'!$C:$C,"")</f>
        <v/>
      </c>
      <c r="F77" s="3">
        <f>IFERROR(LET(mtype,XLOOKUP($D77,'Move Editor'!$B:$B,'Move Editor'!$C:$C,""),cat,XLOOKUP($D77,'Move Editor'!$B:$B,'Move Editor'!$D:$D,""),pow,XLOOKUP($D77,'Move Editor'!$B:$B,'Move Editor'!$E:$E,0),acc,XLOOKUP($D77,'Move Editor'!$B:$B,'Move Editor'!$F:$F,100),atk,IF(cat="Physical",FLOOR((FLOOR(((2*XLOOKUP(XLOOKUP($K77,'Threshold Summary'!$Y:$Y,'Threshold Summary'!$K:$K,""),'Pokemon Editor'!$A:$A,'Pokemon Editor'!$F:$F,0)+31+FLOOR(XLOOKUP($K77,'Threshold Summary'!$Y:$Y,'Threshold Summary'!$P:$P,"")/4))*XLOOKUP($K77,'Threshold Summary'!$Y:$Y,'Threshold Summary'!$L:$L,""))/100)+5)*XLOOKUP(XLOOKUP($K77,'Threshold Summary'!$Y:$Y,'Threshold Summary'!$M:$M,""),'Nature Editor'!$A:$A,'Nature Editor'!$B:$B,1)),FLOOR((FLOOR(((2*XLOOKUP(XLOOKUP($K77,'Threshold Summary'!$Y:$Y,'Threshold Summary'!$K:$K,""),'Pokemon Editor'!$A:$A,'Pokemon Editor'!$H:$H,0)+31+FLOOR(XLOOKUP($K77,'Threshold Summary'!$Y:$Y,'Threshold Summary'!$R:$R,"")/4))*XLOOKUP($K77,'Threshold Summary'!$Y:$Y,'Threshold Summary'!$L:$L,""))/100)+5)*XLOOKUP(XLOOKUP($K77,'Threshold Summary'!$Y:$Y,'Threshold Summary'!$M:$M,""),'Nature Editor'!$A:$A,'Nature Editor'!$D:$D,1))),def,IF(cat="Physical",FLOOR((FLOOR(((2*XLOOKUP($L77,'Pokemon Editor'!$A:$A,'Pokemon Editor'!$G:$G,0)+31+FLOOR(XLOOKUP($L77,'Boss Editor'!$C:$C,'Boss Editor'!$I:$I,"")/4))*XLOOKUP($L77,'Boss Editor'!$C:$C,'Boss Editor'!$D:$D,""))/100)+5)*XLOOKUP(XLOOKUP($L77,'Boss Editor'!$C:$C,'Boss Editor'!$E:$E,""),'Nature Editor'!$A:$A,'Nature Editor'!$C:$C,1)),FLOOR((FLOOR(((2*XLOOKUP($L77,'Pokemon Editor'!$A:$A,'Pokemon Editor'!$I:$I,0)+31+FLOOR(XLOOKUP($L77,'Boss Editor'!$C:$C,'Boss Editor'!$K:$K,"")/4))*XLOOKUP($L77,'Boss Editor'!$C:$C,'Boss Editor'!$D:$D,""))/100)+5)*XLOOKUP(XLOOKUP($L77,'Boss Editor'!$C:$C,'Boss Editor'!$E:$E,""),'Nature Editor'!$A:$A,'Nature Editor'!$E:$E,1))),stab,IF(OR(mtype=XLOOKUP(XLOOKUP($K77,'Threshold Summary'!$Y:$Y,'Threshold Summary'!$K:$K,""),'Pokemon Editor'!$A:$A,'Pokemon Editor'!$C:$C,""),mtype=XLOOKUP(XLOOKUP($K77,'Threshold Summary'!$Y:$Y,'Threshold Summary'!$K:$K,""),'Pokemon Editor'!$A:$A,'Pokemon Editor'!$D:$D,"")),1.5,1),eff,(INDEX('Type Chart'!$B:$S,MATCH(mtype,'Type Chart'!$A:$A,0),MATCH(XLOOKUP($L77,'Pokemon Editor'!$A:$A,'Pokemon Editor'!$C:$C,""),'Type Chart'!$B$1:$S$1,0))*IF(XLOOKUP($L77,'Pokemon Editor'!$A:$A,'Pokemon Editor'!$D:$D,"")="",1,INDEX('Type Chart'!$B:$S,MATCH(mtype,'Type Chart'!$A:$A,0),MATCH(XLOOKUP($L77,'Pokemon Editor'!$A:$A,'Pokemon Editor'!$D:$D,""),'Type Chart'!$B$1:$S$1,0)))),base,IF(OR(cat="Status",pow=0),0,FLOOR(FLOOR(FLOOR((2*XLOOKUP($K77,'Threshold Summary'!$Y:$Y,'Threshold Summary'!$L:$L,"")/5+2)*pow*atk/def)/50)+2)),modifier,stab*eff,FLOOR(base*modifier*0.85)),0)</f>
        <v/>
      </c>
      <c r="G77" s="3">
        <f>IFERROR(LET(mtype,XLOOKUP($D77,'Move Editor'!$B:$B,'Move Editor'!$C:$C,""),cat,XLOOKUP($D77,'Move Editor'!$B:$B,'Move Editor'!$D:$D,""),pow,XLOOKUP($D77,'Move Editor'!$B:$B,'Move Editor'!$E:$E,0),acc,XLOOKUP($D77,'Move Editor'!$B:$B,'Move Editor'!$F:$F,100),atk,IF(cat="Physical",FLOOR((FLOOR(((2*XLOOKUP(XLOOKUP($K77,'Threshold Summary'!$Y:$Y,'Threshold Summary'!$K:$K,""),'Pokemon Editor'!$A:$A,'Pokemon Editor'!$F:$F,0)+31+FLOOR(XLOOKUP($K77,'Threshold Summary'!$Y:$Y,'Threshold Summary'!$P:$P,"")/4))*XLOOKUP($K77,'Threshold Summary'!$Y:$Y,'Threshold Summary'!$L:$L,""))/100)+5)*XLOOKUP(XLOOKUP($K77,'Threshold Summary'!$Y:$Y,'Threshold Summary'!$M:$M,""),'Nature Editor'!$A:$A,'Nature Editor'!$B:$B,1)),FLOOR((FLOOR(((2*XLOOKUP(XLOOKUP($K77,'Threshold Summary'!$Y:$Y,'Threshold Summary'!$K:$K,""),'Pokemon Editor'!$A:$A,'Pokemon Editor'!$H:$H,0)+31+FLOOR(XLOOKUP($K77,'Threshold Summary'!$Y:$Y,'Threshold Summary'!$R:$R,"")/4))*XLOOKUP($K77,'Threshold Summary'!$Y:$Y,'Threshold Summary'!$L:$L,""))/100)+5)*XLOOKUP(XLOOKUP($K77,'Threshold Summary'!$Y:$Y,'Threshold Summary'!$M:$M,""),'Nature Editor'!$A:$A,'Nature Editor'!$D:$D,1))),def,IF(cat="Physical",FLOOR((FLOOR(((2*XLOOKUP($L77,'Pokemon Editor'!$A:$A,'Pokemon Editor'!$G:$G,0)+31+FLOOR(XLOOKUP($L77,'Boss Editor'!$C:$C,'Boss Editor'!$I:$I,"")/4))*XLOOKUP($L77,'Boss Editor'!$C:$C,'Boss Editor'!$D:$D,""))/100)+5)*XLOOKUP(XLOOKUP($L77,'Boss Editor'!$C:$C,'Boss Editor'!$E:$E,""),'Nature Editor'!$A:$A,'Nature Editor'!$C:$C,1)),FLOOR((FLOOR(((2*XLOOKUP($L77,'Pokemon Editor'!$A:$A,'Pokemon Editor'!$I:$I,0)+31+FLOOR(XLOOKUP($L77,'Boss Editor'!$C:$C,'Boss Editor'!$K:$K,"")/4))*XLOOKUP($L77,'Boss Editor'!$C:$C,'Boss Editor'!$D:$D,""))/100)+5)*XLOOKUP(XLOOKUP($L77,'Boss Editor'!$C:$C,'Boss Editor'!$E:$E,""),'Nature Editor'!$A:$A,'Nature Editor'!$E:$E,1))),stab,IF(OR(mtype=XLOOKUP(XLOOKUP($K77,'Threshold Summary'!$Y:$Y,'Threshold Summary'!$K:$K,""),'Pokemon Editor'!$A:$A,'Pokemon Editor'!$C:$C,""),mtype=XLOOKUP(XLOOKUP($K77,'Threshold Summary'!$Y:$Y,'Threshold Summary'!$K:$K,""),'Pokemon Editor'!$A:$A,'Pokemon Editor'!$D:$D,"")),1.5,1),eff,(INDEX('Type Chart'!$B:$S,MATCH(mtype,'Type Chart'!$A:$A,0),MATCH(XLOOKUP($L77,'Pokemon Editor'!$A:$A,'Pokemon Editor'!$C:$C,""),'Type Chart'!$B$1:$S$1,0))*IF(XLOOKUP($L77,'Pokemon Editor'!$A:$A,'Pokemon Editor'!$D:$D,"")="",1,INDEX('Type Chart'!$B:$S,MATCH(mtype,'Type Chart'!$A:$A,0),MATCH(XLOOKUP($L77,'Pokemon Editor'!$A:$A,'Pokemon Editor'!$D:$D,""),'Type Chart'!$B$1:$S$1,0)))),base,IF(OR(cat="Status",pow=0),0,FLOOR(FLOOR(FLOOR((2*XLOOKUP($K77,'Threshold Summary'!$Y:$Y,'Threshold Summary'!$L:$L,"")/5+2)*pow*atk/def)/50)+2)),modifier,stab*eff,FLOOR(base*modifier)),0)</f>
        <v/>
      </c>
      <c r="H77" s="3">
        <f>IFERROR(LET(mtype,XLOOKUP($D77,'Move Editor'!$B:$B,'Move Editor'!$C:$C,""),cat,XLOOKUP($D77,'Move Editor'!$B:$B,'Move Editor'!$D:$D,""),pow,XLOOKUP($D77,'Move Editor'!$B:$B,'Move Editor'!$E:$E,0),acc,XLOOKUP($D77,'Move Editor'!$B:$B,'Move Editor'!$F:$F,100),atk,IF(cat="Physical",FLOOR((FLOOR(((2*XLOOKUP(XLOOKUP($K77,'Threshold Summary'!$Y:$Y,'Threshold Summary'!$K:$K,""),'Pokemon Editor'!$A:$A,'Pokemon Editor'!$F:$F,0)+31+FLOOR(XLOOKUP($K77,'Threshold Summary'!$Y:$Y,'Threshold Summary'!$P:$P,"")/4))*XLOOKUP($K77,'Threshold Summary'!$Y:$Y,'Threshold Summary'!$L:$L,""))/100)+5)*XLOOKUP(XLOOKUP($K77,'Threshold Summary'!$Y:$Y,'Threshold Summary'!$M:$M,""),'Nature Editor'!$A:$A,'Nature Editor'!$B:$B,1)),FLOOR((FLOOR(((2*XLOOKUP(XLOOKUP($K77,'Threshold Summary'!$Y:$Y,'Threshold Summary'!$K:$K,""),'Pokemon Editor'!$A:$A,'Pokemon Editor'!$H:$H,0)+31+FLOOR(XLOOKUP($K77,'Threshold Summary'!$Y:$Y,'Threshold Summary'!$R:$R,"")/4))*XLOOKUP($K77,'Threshold Summary'!$Y:$Y,'Threshold Summary'!$L:$L,""))/100)+5)*XLOOKUP(XLOOKUP($K77,'Threshold Summary'!$Y:$Y,'Threshold Summary'!$M:$M,""),'Nature Editor'!$A:$A,'Nature Editor'!$D:$D,1))),def,IF(cat="Physical",FLOOR((FLOOR(((2*XLOOKUP($L77,'Pokemon Editor'!$A:$A,'Pokemon Editor'!$G:$G,0)+31+FLOOR(XLOOKUP($L77,'Boss Editor'!$C:$C,'Boss Editor'!$I:$I,"")/4))*XLOOKUP($L77,'Boss Editor'!$C:$C,'Boss Editor'!$D:$D,""))/100)+5)*XLOOKUP(XLOOKUP($L77,'Boss Editor'!$C:$C,'Boss Editor'!$E:$E,""),'Nature Editor'!$A:$A,'Nature Editor'!$C:$C,1)),FLOOR((FLOOR(((2*XLOOKUP($L77,'Pokemon Editor'!$A:$A,'Pokemon Editor'!$I:$I,0)+31+FLOOR(XLOOKUP($L77,'Boss Editor'!$C:$C,'Boss Editor'!$K:$K,"")/4))*XLOOKUP($L77,'Boss Editor'!$C:$C,'Boss Editor'!$D:$D,""))/100)+5)*XLOOKUP(XLOOKUP($L77,'Boss Editor'!$C:$C,'Boss Editor'!$E:$E,""),'Nature Editor'!$A:$A,'Nature Editor'!$E:$E,1))),stab,IF(OR(mtype=XLOOKUP(XLOOKUP($K77,'Threshold Summary'!$Y:$Y,'Threshold Summary'!$K:$K,""),'Pokemon Editor'!$A:$A,'Pokemon Editor'!$C:$C,""),mtype=XLOOKUP(XLOOKUP($K77,'Threshold Summary'!$Y:$Y,'Threshold Summary'!$K:$K,""),'Pokemon Editor'!$A:$A,'Pokemon Editor'!$D:$D,"")),1.5,1),eff,(INDEX('Type Chart'!$B:$S,MATCH(mtype,'Type Chart'!$A:$A,0),MATCH(XLOOKUP($L77,'Pokemon Editor'!$A:$A,'Pokemon Editor'!$C:$C,""),'Type Chart'!$B$1:$S$1,0))*IF(XLOOKUP($L77,'Pokemon Editor'!$A:$A,'Pokemon Editor'!$D:$D,"")="",1,INDEX('Type Chart'!$B:$S,MATCH(mtype,'Type Chart'!$A:$A,0),MATCH(XLOOKUP($L77,'Pokemon Editor'!$A:$A,'Pokemon Editor'!$D:$D,""),'Type Chart'!$B$1:$S$1,0)))),base,IF(OR(cat="Status",pow=0),0,FLOOR(FLOOR(FLOOR((2*XLOOKUP($K77,'Threshold Summary'!$Y:$Y,'Threshold Summary'!$L:$L,"")/5+2)*pow*atk/def)/50)+2)),modifier,stab*eff,AVERAGE(ARRAYFORMULA(FLOOR(base*modifier*SEQUENCE(16,1,85,1)/100)))),0)</f>
        <v/>
      </c>
      <c r="I77" s="4">
        <f>IFERROR(LET(mtype,XLOOKUP($D77,'Move Editor'!$B:$B,'Move Editor'!$C:$C,""),cat,XLOOKUP($D77,'Move Editor'!$B:$B,'Move Editor'!$D:$D,""),pow,XLOOKUP($D77,'Move Editor'!$B:$B,'Move Editor'!$E:$E,0),acc,XLOOKUP($D77,'Move Editor'!$B:$B,'Move Editor'!$F:$F,100),atk,IF(cat="Physical",FLOOR((FLOOR(((2*XLOOKUP(XLOOKUP($K77,'Threshold Summary'!$Y:$Y,'Threshold Summary'!$K:$K,""),'Pokemon Editor'!$A:$A,'Pokemon Editor'!$F:$F,0)+31+FLOOR(XLOOKUP($K77,'Threshold Summary'!$Y:$Y,'Threshold Summary'!$P:$P,"")/4))*XLOOKUP($K77,'Threshold Summary'!$Y:$Y,'Threshold Summary'!$L:$L,""))/100)+5)*XLOOKUP(XLOOKUP($K77,'Threshold Summary'!$Y:$Y,'Threshold Summary'!$M:$M,""),'Nature Editor'!$A:$A,'Nature Editor'!$B:$B,1)),FLOOR((FLOOR(((2*XLOOKUP(XLOOKUP($K77,'Threshold Summary'!$Y:$Y,'Threshold Summary'!$K:$K,""),'Pokemon Editor'!$A:$A,'Pokemon Editor'!$H:$H,0)+31+FLOOR(XLOOKUP($K77,'Threshold Summary'!$Y:$Y,'Threshold Summary'!$R:$R,"")/4))*XLOOKUP($K77,'Threshold Summary'!$Y:$Y,'Threshold Summary'!$L:$L,""))/100)+5)*XLOOKUP(XLOOKUP($K77,'Threshold Summary'!$Y:$Y,'Threshold Summary'!$M:$M,""),'Nature Editor'!$A:$A,'Nature Editor'!$D:$D,1))),def,IF(cat="Physical",FLOOR((FLOOR(((2*XLOOKUP($L77,'Pokemon Editor'!$A:$A,'Pokemon Editor'!$G:$G,0)+31+FLOOR(XLOOKUP($L77,'Boss Editor'!$C:$C,'Boss Editor'!$I:$I,"")/4))*XLOOKUP($L77,'Boss Editor'!$C:$C,'Boss Editor'!$D:$D,""))/100)+5)*XLOOKUP(XLOOKUP($L77,'Boss Editor'!$C:$C,'Boss Editor'!$E:$E,""),'Nature Editor'!$A:$A,'Nature Editor'!$C:$C,1)),FLOOR((FLOOR(((2*XLOOKUP($L77,'Pokemon Editor'!$A:$A,'Pokemon Editor'!$I:$I,0)+31+FLOOR(XLOOKUP($L77,'Boss Editor'!$C:$C,'Boss Editor'!$K:$K,"")/4))*XLOOKUP($L77,'Boss Editor'!$C:$C,'Boss Editor'!$D:$D,""))/100)+5)*XLOOKUP(XLOOKUP($L77,'Boss Editor'!$C:$C,'Boss Editor'!$E:$E,""),'Nature Editor'!$A:$A,'Nature Editor'!$E:$E,1))),stab,IF(OR(mtype=XLOOKUP(XLOOKUP($K77,'Threshold Summary'!$Y:$Y,'Threshold Summary'!$K:$K,""),'Pokemon Editor'!$A:$A,'Pokemon Editor'!$C:$C,""),mtype=XLOOKUP(XLOOKUP($K77,'Threshold Summary'!$Y:$Y,'Threshold Summary'!$K:$K,""),'Pokemon Editor'!$A:$A,'Pokemon Editor'!$D:$D,"")),1.5,1),eff,(INDEX('Type Chart'!$B:$S,MATCH(mtype,'Type Chart'!$A:$A,0),MATCH(XLOOKUP($L77,'Pokemon Editor'!$A:$A,'Pokemon Editor'!$C:$C,""),'Type Chart'!$B$1:$S$1,0))*IF(XLOOKUP($L77,'Pokemon Editor'!$A:$A,'Pokemon Editor'!$D:$D,"")="",1,INDEX('Type Chart'!$B:$S,MATCH(mtype,'Type Chart'!$A:$A,0),MATCH(XLOOKUP($L77,'Pokemon Editor'!$A:$A,'Pokemon Editor'!$D:$D,""),'Type Chart'!$B$1:$S$1,0)))),base,IF(OR(cat="Status",pow=0),0,FLOOR(FLOOR(FLOOR((2*XLOOKUP($K77,'Threshold Summary'!$Y:$Y,'Threshold Summary'!$L:$L,"")/5+2)*pow*atk/def)/50)+2)),modifier,stab*eff,AVERAGE(ARRAYFORMULA(FLOOR(base*modifier*SEQUENCE(16,1,85,1)/100)))/(FLOOR(((2*XLOOKUP($L77,'Pokemon Editor'!$A:$A,'Pokemon Editor'!$E:$E,0)+31+FLOOR(XLOOKUP($L77,'Boss Editor'!$C:$C,'Boss Editor'!$G:$G,"")/4))*XLOOKUP($L77,'Boss Editor'!$C:$C,'Boss Editor'!$D:$D,""))/100)+XLOOKUP($L77,'Boss Editor'!$C:$C,'Boss Editor'!$D:$D,"")+10)),0)</f>
        <v/>
      </c>
      <c r="J77" s="3">
        <f>IF(I77&gt;=1,"OHKO",IF(I77&gt;=0.5,"2HKO",IF(I77&gt;=0.333,"3HKO",IF(I77&gt;=0.25,"4HKO","5HKO+"))))</f>
        <v/>
      </c>
      <c r="K77" s="3" t="inlineStr">
        <is>
          <t>SPECIES_BLIPBUG</t>
        </is>
      </c>
      <c r="L77" s="3" t="inlineStr">
        <is>
          <t>SPECIES_TIRTOUGA</t>
        </is>
      </c>
    </row>
    <row r="78">
      <c r="A78" s="3">
        <f>XLOOKUP($K78,'Threshold Summary'!$Y:$Y,'Threshold Summary'!$A:$A,"")</f>
        <v/>
      </c>
      <c r="B78" s="3" t="inlineStr">
        <is>
          <t>Anorith</t>
        </is>
      </c>
      <c r="C78" s="3">
        <f>XLOOKUP($L78,'Boss Editor'!$C:$C,'Boss Editor'!$D:$D,"")</f>
        <v/>
      </c>
      <c r="D78" s="3">
        <f>XLOOKUP($K78,'Threshold Summary'!$Y:$Y,'Threshold Summary'!$B:$B,"")</f>
        <v/>
      </c>
      <c r="E78" s="3">
        <f>XLOOKUP(D78,'Move Editor'!$B:$B,'Move Editor'!$C:$C,"")</f>
        <v/>
      </c>
      <c r="F78" s="3">
        <f>IFERROR(LET(mtype,XLOOKUP($D78,'Move Editor'!$B:$B,'Move Editor'!$C:$C,""),cat,XLOOKUP($D78,'Move Editor'!$B:$B,'Move Editor'!$D:$D,""),pow,XLOOKUP($D78,'Move Editor'!$B:$B,'Move Editor'!$E:$E,0),acc,XLOOKUP($D78,'Move Editor'!$B:$B,'Move Editor'!$F:$F,100),atk,IF(cat="Physical",FLOOR((FLOOR(((2*XLOOKUP(XLOOKUP($K78,'Threshold Summary'!$Y:$Y,'Threshold Summary'!$K:$K,""),'Pokemon Editor'!$A:$A,'Pokemon Editor'!$F:$F,0)+31+FLOOR(XLOOKUP($K78,'Threshold Summary'!$Y:$Y,'Threshold Summary'!$P:$P,"")/4))*XLOOKUP($K78,'Threshold Summary'!$Y:$Y,'Threshold Summary'!$L:$L,""))/100)+5)*XLOOKUP(XLOOKUP($K78,'Threshold Summary'!$Y:$Y,'Threshold Summary'!$M:$M,""),'Nature Editor'!$A:$A,'Nature Editor'!$B:$B,1)),FLOOR((FLOOR(((2*XLOOKUP(XLOOKUP($K78,'Threshold Summary'!$Y:$Y,'Threshold Summary'!$K:$K,""),'Pokemon Editor'!$A:$A,'Pokemon Editor'!$H:$H,0)+31+FLOOR(XLOOKUP($K78,'Threshold Summary'!$Y:$Y,'Threshold Summary'!$R:$R,"")/4))*XLOOKUP($K78,'Threshold Summary'!$Y:$Y,'Threshold Summary'!$L:$L,""))/100)+5)*XLOOKUP(XLOOKUP($K78,'Threshold Summary'!$Y:$Y,'Threshold Summary'!$M:$M,""),'Nature Editor'!$A:$A,'Nature Editor'!$D:$D,1))),def,IF(cat="Physical",FLOOR((FLOOR(((2*XLOOKUP($L78,'Pokemon Editor'!$A:$A,'Pokemon Editor'!$G:$G,0)+31+FLOOR(XLOOKUP($L78,'Boss Editor'!$C:$C,'Boss Editor'!$I:$I,"")/4))*XLOOKUP($L78,'Boss Editor'!$C:$C,'Boss Editor'!$D:$D,""))/100)+5)*XLOOKUP(XLOOKUP($L78,'Boss Editor'!$C:$C,'Boss Editor'!$E:$E,""),'Nature Editor'!$A:$A,'Nature Editor'!$C:$C,1)),FLOOR((FLOOR(((2*XLOOKUP($L78,'Pokemon Editor'!$A:$A,'Pokemon Editor'!$I:$I,0)+31+FLOOR(XLOOKUP($L78,'Boss Editor'!$C:$C,'Boss Editor'!$K:$K,"")/4))*XLOOKUP($L78,'Boss Editor'!$C:$C,'Boss Editor'!$D:$D,""))/100)+5)*XLOOKUP(XLOOKUP($L78,'Boss Editor'!$C:$C,'Boss Editor'!$E:$E,""),'Nature Editor'!$A:$A,'Nature Editor'!$E:$E,1))),stab,IF(OR(mtype=XLOOKUP(XLOOKUP($K78,'Threshold Summary'!$Y:$Y,'Threshold Summary'!$K:$K,""),'Pokemon Editor'!$A:$A,'Pokemon Editor'!$C:$C,""),mtype=XLOOKUP(XLOOKUP($K78,'Threshold Summary'!$Y:$Y,'Threshold Summary'!$K:$K,""),'Pokemon Editor'!$A:$A,'Pokemon Editor'!$D:$D,"")),1.5,1),eff,(INDEX('Type Chart'!$B:$S,MATCH(mtype,'Type Chart'!$A:$A,0),MATCH(XLOOKUP($L78,'Pokemon Editor'!$A:$A,'Pokemon Editor'!$C:$C,""),'Type Chart'!$B$1:$S$1,0))*IF(XLOOKUP($L78,'Pokemon Editor'!$A:$A,'Pokemon Editor'!$D:$D,"")="",1,INDEX('Type Chart'!$B:$S,MATCH(mtype,'Type Chart'!$A:$A,0),MATCH(XLOOKUP($L78,'Pokemon Editor'!$A:$A,'Pokemon Editor'!$D:$D,""),'Type Chart'!$B$1:$S$1,0)))),base,IF(OR(cat="Status",pow=0),0,FLOOR(FLOOR(FLOOR((2*XLOOKUP($K78,'Threshold Summary'!$Y:$Y,'Threshold Summary'!$L:$L,"")/5+2)*pow*atk/def)/50)+2)),modifier,stab*eff,FLOOR(base*modifier*0.85)),0)</f>
        <v/>
      </c>
      <c r="G78" s="3">
        <f>IFERROR(LET(mtype,XLOOKUP($D78,'Move Editor'!$B:$B,'Move Editor'!$C:$C,""),cat,XLOOKUP($D78,'Move Editor'!$B:$B,'Move Editor'!$D:$D,""),pow,XLOOKUP($D78,'Move Editor'!$B:$B,'Move Editor'!$E:$E,0),acc,XLOOKUP($D78,'Move Editor'!$B:$B,'Move Editor'!$F:$F,100),atk,IF(cat="Physical",FLOOR((FLOOR(((2*XLOOKUP(XLOOKUP($K78,'Threshold Summary'!$Y:$Y,'Threshold Summary'!$K:$K,""),'Pokemon Editor'!$A:$A,'Pokemon Editor'!$F:$F,0)+31+FLOOR(XLOOKUP($K78,'Threshold Summary'!$Y:$Y,'Threshold Summary'!$P:$P,"")/4))*XLOOKUP($K78,'Threshold Summary'!$Y:$Y,'Threshold Summary'!$L:$L,""))/100)+5)*XLOOKUP(XLOOKUP($K78,'Threshold Summary'!$Y:$Y,'Threshold Summary'!$M:$M,""),'Nature Editor'!$A:$A,'Nature Editor'!$B:$B,1)),FLOOR((FLOOR(((2*XLOOKUP(XLOOKUP($K78,'Threshold Summary'!$Y:$Y,'Threshold Summary'!$K:$K,""),'Pokemon Editor'!$A:$A,'Pokemon Editor'!$H:$H,0)+31+FLOOR(XLOOKUP($K78,'Threshold Summary'!$Y:$Y,'Threshold Summary'!$R:$R,"")/4))*XLOOKUP($K78,'Threshold Summary'!$Y:$Y,'Threshold Summary'!$L:$L,""))/100)+5)*XLOOKUP(XLOOKUP($K78,'Threshold Summary'!$Y:$Y,'Threshold Summary'!$M:$M,""),'Nature Editor'!$A:$A,'Nature Editor'!$D:$D,1))),def,IF(cat="Physical",FLOOR((FLOOR(((2*XLOOKUP($L78,'Pokemon Editor'!$A:$A,'Pokemon Editor'!$G:$G,0)+31+FLOOR(XLOOKUP($L78,'Boss Editor'!$C:$C,'Boss Editor'!$I:$I,"")/4))*XLOOKUP($L78,'Boss Editor'!$C:$C,'Boss Editor'!$D:$D,""))/100)+5)*XLOOKUP(XLOOKUP($L78,'Boss Editor'!$C:$C,'Boss Editor'!$E:$E,""),'Nature Editor'!$A:$A,'Nature Editor'!$C:$C,1)),FLOOR((FLOOR(((2*XLOOKUP($L78,'Pokemon Editor'!$A:$A,'Pokemon Editor'!$I:$I,0)+31+FLOOR(XLOOKUP($L78,'Boss Editor'!$C:$C,'Boss Editor'!$K:$K,"")/4))*XLOOKUP($L78,'Boss Editor'!$C:$C,'Boss Editor'!$D:$D,""))/100)+5)*XLOOKUP(XLOOKUP($L78,'Boss Editor'!$C:$C,'Boss Editor'!$E:$E,""),'Nature Editor'!$A:$A,'Nature Editor'!$E:$E,1))),stab,IF(OR(mtype=XLOOKUP(XLOOKUP($K78,'Threshold Summary'!$Y:$Y,'Threshold Summary'!$K:$K,""),'Pokemon Editor'!$A:$A,'Pokemon Editor'!$C:$C,""),mtype=XLOOKUP(XLOOKUP($K78,'Threshold Summary'!$Y:$Y,'Threshold Summary'!$K:$K,""),'Pokemon Editor'!$A:$A,'Pokemon Editor'!$D:$D,"")),1.5,1),eff,(INDEX('Type Chart'!$B:$S,MATCH(mtype,'Type Chart'!$A:$A,0),MATCH(XLOOKUP($L78,'Pokemon Editor'!$A:$A,'Pokemon Editor'!$C:$C,""),'Type Chart'!$B$1:$S$1,0))*IF(XLOOKUP($L78,'Pokemon Editor'!$A:$A,'Pokemon Editor'!$D:$D,"")="",1,INDEX('Type Chart'!$B:$S,MATCH(mtype,'Type Chart'!$A:$A,0),MATCH(XLOOKUP($L78,'Pokemon Editor'!$A:$A,'Pokemon Editor'!$D:$D,""),'Type Chart'!$B$1:$S$1,0)))),base,IF(OR(cat="Status",pow=0),0,FLOOR(FLOOR(FLOOR((2*XLOOKUP($K78,'Threshold Summary'!$Y:$Y,'Threshold Summary'!$L:$L,"")/5+2)*pow*atk/def)/50)+2)),modifier,stab*eff,FLOOR(base*modifier)),0)</f>
        <v/>
      </c>
      <c r="H78" s="3">
        <f>IFERROR(LET(mtype,XLOOKUP($D78,'Move Editor'!$B:$B,'Move Editor'!$C:$C,""),cat,XLOOKUP($D78,'Move Editor'!$B:$B,'Move Editor'!$D:$D,""),pow,XLOOKUP($D78,'Move Editor'!$B:$B,'Move Editor'!$E:$E,0),acc,XLOOKUP($D78,'Move Editor'!$B:$B,'Move Editor'!$F:$F,100),atk,IF(cat="Physical",FLOOR((FLOOR(((2*XLOOKUP(XLOOKUP($K78,'Threshold Summary'!$Y:$Y,'Threshold Summary'!$K:$K,""),'Pokemon Editor'!$A:$A,'Pokemon Editor'!$F:$F,0)+31+FLOOR(XLOOKUP($K78,'Threshold Summary'!$Y:$Y,'Threshold Summary'!$P:$P,"")/4))*XLOOKUP($K78,'Threshold Summary'!$Y:$Y,'Threshold Summary'!$L:$L,""))/100)+5)*XLOOKUP(XLOOKUP($K78,'Threshold Summary'!$Y:$Y,'Threshold Summary'!$M:$M,""),'Nature Editor'!$A:$A,'Nature Editor'!$B:$B,1)),FLOOR((FLOOR(((2*XLOOKUP(XLOOKUP($K78,'Threshold Summary'!$Y:$Y,'Threshold Summary'!$K:$K,""),'Pokemon Editor'!$A:$A,'Pokemon Editor'!$H:$H,0)+31+FLOOR(XLOOKUP($K78,'Threshold Summary'!$Y:$Y,'Threshold Summary'!$R:$R,"")/4))*XLOOKUP($K78,'Threshold Summary'!$Y:$Y,'Threshold Summary'!$L:$L,""))/100)+5)*XLOOKUP(XLOOKUP($K78,'Threshold Summary'!$Y:$Y,'Threshold Summary'!$M:$M,""),'Nature Editor'!$A:$A,'Nature Editor'!$D:$D,1))),def,IF(cat="Physical",FLOOR((FLOOR(((2*XLOOKUP($L78,'Pokemon Editor'!$A:$A,'Pokemon Editor'!$G:$G,0)+31+FLOOR(XLOOKUP($L78,'Boss Editor'!$C:$C,'Boss Editor'!$I:$I,"")/4))*XLOOKUP($L78,'Boss Editor'!$C:$C,'Boss Editor'!$D:$D,""))/100)+5)*XLOOKUP(XLOOKUP($L78,'Boss Editor'!$C:$C,'Boss Editor'!$E:$E,""),'Nature Editor'!$A:$A,'Nature Editor'!$C:$C,1)),FLOOR((FLOOR(((2*XLOOKUP($L78,'Pokemon Editor'!$A:$A,'Pokemon Editor'!$I:$I,0)+31+FLOOR(XLOOKUP($L78,'Boss Editor'!$C:$C,'Boss Editor'!$K:$K,"")/4))*XLOOKUP($L78,'Boss Editor'!$C:$C,'Boss Editor'!$D:$D,""))/100)+5)*XLOOKUP(XLOOKUP($L78,'Boss Editor'!$C:$C,'Boss Editor'!$E:$E,""),'Nature Editor'!$A:$A,'Nature Editor'!$E:$E,1))),stab,IF(OR(mtype=XLOOKUP(XLOOKUP($K78,'Threshold Summary'!$Y:$Y,'Threshold Summary'!$K:$K,""),'Pokemon Editor'!$A:$A,'Pokemon Editor'!$C:$C,""),mtype=XLOOKUP(XLOOKUP($K78,'Threshold Summary'!$Y:$Y,'Threshold Summary'!$K:$K,""),'Pokemon Editor'!$A:$A,'Pokemon Editor'!$D:$D,"")),1.5,1),eff,(INDEX('Type Chart'!$B:$S,MATCH(mtype,'Type Chart'!$A:$A,0),MATCH(XLOOKUP($L78,'Pokemon Editor'!$A:$A,'Pokemon Editor'!$C:$C,""),'Type Chart'!$B$1:$S$1,0))*IF(XLOOKUP($L78,'Pokemon Editor'!$A:$A,'Pokemon Editor'!$D:$D,"")="",1,INDEX('Type Chart'!$B:$S,MATCH(mtype,'Type Chart'!$A:$A,0),MATCH(XLOOKUP($L78,'Pokemon Editor'!$A:$A,'Pokemon Editor'!$D:$D,""),'Type Chart'!$B$1:$S$1,0)))),base,IF(OR(cat="Status",pow=0),0,FLOOR(FLOOR(FLOOR((2*XLOOKUP($K78,'Threshold Summary'!$Y:$Y,'Threshold Summary'!$L:$L,"")/5+2)*pow*atk/def)/50)+2)),modifier,stab*eff,AVERAGE(ARRAYFORMULA(FLOOR(base*modifier*SEQUENCE(16,1,85,1)/100)))),0)</f>
        <v/>
      </c>
      <c r="I78" s="4">
        <f>IFERROR(LET(mtype,XLOOKUP($D78,'Move Editor'!$B:$B,'Move Editor'!$C:$C,""),cat,XLOOKUP($D78,'Move Editor'!$B:$B,'Move Editor'!$D:$D,""),pow,XLOOKUP($D78,'Move Editor'!$B:$B,'Move Editor'!$E:$E,0),acc,XLOOKUP($D78,'Move Editor'!$B:$B,'Move Editor'!$F:$F,100),atk,IF(cat="Physical",FLOOR((FLOOR(((2*XLOOKUP(XLOOKUP($K78,'Threshold Summary'!$Y:$Y,'Threshold Summary'!$K:$K,""),'Pokemon Editor'!$A:$A,'Pokemon Editor'!$F:$F,0)+31+FLOOR(XLOOKUP($K78,'Threshold Summary'!$Y:$Y,'Threshold Summary'!$P:$P,"")/4))*XLOOKUP($K78,'Threshold Summary'!$Y:$Y,'Threshold Summary'!$L:$L,""))/100)+5)*XLOOKUP(XLOOKUP($K78,'Threshold Summary'!$Y:$Y,'Threshold Summary'!$M:$M,""),'Nature Editor'!$A:$A,'Nature Editor'!$B:$B,1)),FLOOR((FLOOR(((2*XLOOKUP(XLOOKUP($K78,'Threshold Summary'!$Y:$Y,'Threshold Summary'!$K:$K,""),'Pokemon Editor'!$A:$A,'Pokemon Editor'!$H:$H,0)+31+FLOOR(XLOOKUP($K78,'Threshold Summary'!$Y:$Y,'Threshold Summary'!$R:$R,"")/4))*XLOOKUP($K78,'Threshold Summary'!$Y:$Y,'Threshold Summary'!$L:$L,""))/100)+5)*XLOOKUP(XLOOKUP($K78,'Threshold Summary'!$Y:$Y,'Threshold Summary'!$M:$M,""),'Nature Editor'!$A:$A,'Nature Editor'!$D:$D,1))),def,IF(cat="Physical",FLOOR((FLOOR(((2*XLOOKUP($L78,'Pokemon Editor'!$A:$A,'Pokemon Editor'!$G:$G,0)+31+FLOOR(XLOOKUP($L78,'Boss Editor'!$C:$C,'Boss Editor'!$I:$I,"")/4))*XLOOKUP($L78,'Boss Editor'!$C:$C,'Boss Editor'!$D:$D,""))/100)+5)*XLOOKUP(XLOOKUP($L78,'Boss Editor'!$C:$C,'Boss Editor'!$E:$E,""),'Nature Editor'!$A:$A,'Nature Editor'!$C:$C,1)),FLOOR((FLOOR(((2*XLOOKUP($L78,'Pokemon Editor'!$A:$A,'Pokemon Editor'!$I:$I,0)+31+FLOOR(XLOOKUP($L78,'Boss Editor'!$C:$C,'Boss Editor'!$K:$K,"")/4))*XLOOKUP($L78,'Boss Editor'!$C:$C,'Boss Editor'!$D:$D,""))/100)+5)*XLOOKUP(XLOOKUP($L78,'Boss Editor'!$C:$C,'Boss Editor'!$E:$E,""),'Nature Editor'!$A:$A,'Nature Editor'!$E:$E,1))),stab,IF(OR(mtype=XLOOKUP(XLOOKUP($K78,'Threshold Summary'!$Y:$Y,'Threshold Summary'!$K:$K,""),'Pokemon Editor'!$A:$A,'Pokemon Editor'!$C:$C,""),mtype=XLOOKUP(XLOOKUP($K78,'Threshold Summary'!$Y:$Y,'Threshold Summary'!$K:$K,""),'Pokemon Editor'!$A:$A,'Pokemon Editor'!$D:$D,"")),1.5,1),eff,(INDEX('Type Chart'!$B:$S,MATCH(mtype,'Type Chart'!$A:$A,0),MATCH(XLOOKUP($L78,'Pokemon Editor'!$A:$A,'Pokemon Editor'!$C:$C,""),'Type Chart'!$B$1:$S$1,0))*IF(XLOOKUP($L78,'Pokemon Editor'!$A:$A,'Pokemon Editor'!$D:$D,"")="",1,INDEX('Type Chart'!$B:$S,MATCH(mtype,'Type Chart'!$A:$A,0),MATCH(XLOOKUP($L78,'Pokemon Editor'!$A:$A,'Pokemon Editor'!$D:$D,""),'Type Chart'!$B$1:$S$1,0)))),base,IF(OR(cat="Status",pow=0),0,FLOOR(FLOOR(FLOOR((2*XLOOKUP($K78,'Threshold Summary'!$Y:$Y,'Threshold Summary'!$L:$L,"")/5+2)*pow*atk/def)/50)+2)),modifier,stab*eff,AVERAGE(ARRAYFORMULA(FLOOR(base*modifier*SEQUENCE(16,1,85,1)/100)))/(FLOOR(((2*XLOOKUP($L78,'Pokemon Editor'!$A:$A,'Pokemon Editor'!$E:$E,0)+31+FLOOR(XLOOKUP($L78,'Boss Editor'!$C:$C,'Boss Editor'!$G:$G,"")/4))*XLOOKUP($L78,'Boss Editor'!$C:$C,'Boss Editor'!$D:$D,""))/100)+XLOOKUP($L78,'Boss Editor'!$C:$C,'Boss Editor'!$D:$D,"")+10)),0)</f>
        <v/>
      </c>
      <c r="J78" s="3">
        <f>IF(I78&gt;=1,"OHKO",IF(I78&gt;=0.5,"2HKO",IF(I78&gt;=0.333,"3HKO",IF(I78&gt;=0.25,"4HKO","5HKO+"))))</f>
        <v/>
      </c>
      <c r="K78" s="3" t="inlineStr">
        <is>
          <t>SPECIES_BLIPBUG</t>
        </is>
      </c>
      <c r="L78" s="3" t="inlineStr">
        <is>
          <t>SPECIES_ANORITH</t>
        </is>
      </c>
    </row>
    <row r="79">
      <c r="A79" s="3">
        <f>XLOOKUP($K79,'Threshold Summary'!$Y:$Y,'Threshold Summary'!$A:$A,"")</f>
        <v/>
      </c>
      <c r="B79" s="3" t="inlineStr">
        <is>
          <t>Lileep</t>
        </is>
      </c>
      <c r="C79" s="3">
        <f>XLOOKUP($L79,'Boss Editor'!$C:$C,'Boss Editor'!$D:$D,"")</f>
        <v/>
      </c>
      <c r="D79" s="3">
        <f>XLOOKUP($K79,'Threshold Summary'!$Y:$Y,'Threshold Summary'!$B:$B,"")</f>
        <v/>
      </c>
      <c r="E79" s="3">
        <f>XLOOKUP(D79,'Move Editor'!$B:$B,'Move Editor'!$C:$C,"")</f>
        <v/>
      </c>
      <c r="F79" s="3">
        <f>IFERROR(LET(mtype,XLOOKUP($D79,'Move Editor'!$B:$B,'Move Editor'!$C:$C,""),cat,XLOOKUP($D79,'Move Editor'!$B:$B,'Move Editor'!$D:$D,""),pow,XLOOKUP($D79,'Move Editor'!$B:$B,'Move Editor'!$E:$E,0),acc,XLOOKUP($D79,'Move Editor'!$B:$B,'Move Editor'!$F:$F,100),atk,IF(cat="Physical",FLOOR((FLOOR(((2*XLOOKUP(XLOOKUP($K79,'Threshold Summary'!$Y:$Y,'Threshold Summary'!$K:$K,""),'Pokemon Editor'!$A:$A,'Pokemon Editor'!$F:$F,0)+31+FLOOR(XLOOKUP($K79,'Threshold Summary'!$Y:$Y,'Threshold Summary'!$P:$P,"")/4))*XLOOKUP($K79,'Threshold Summary'!$Y:$Y,'Threshold Summary'!$L:$L,""))/100)+5)*XLOOKUP(XLOOKUP($K79,'Threshold Summary'!$Y:$Y,'Threshold Summary'!$M:$M,""),'Nature Editor'!$A:$A,'Nature Editor'!$B:$B,1)),FLOOR((FLOOR(((2*XLOOKUP(XLOOKUP($K79,'Threshold Summary'!$Y:$Y,'Threshold Summary'!$K:$K,""),'Pokemon Editor'!$A:$A,'Pokemon Editor'!$H:$H,0)+31+FLOOR(XLOOKUP($K79,'Threshold Summary'!$Y:$Y,'Threshold Summary'!$R:$R,"")/4))*XLOOKUP($K79,'Threshold Summary'!$Y:$Y,'Threshold Summary'!$L:$L,""))/100)+5)*XLOOKUP(XLOOKUP($K79,'Threshold Summary'!$Y:$Y,'Threshold Summary'!$M:$M,""),'Nature Editor'!$A:$A,'Nature Editor'!$D:$D,1))),def,IF(cat="Physical",FLOOR((FLOOR(((2*XLOOKUP($L79,'Pokemon Editor'!$A:$A,'Pokemon Editor'!$G:$G,0)+31+FLOOR(XLOOKUP($L79,'Boss Editor'!$C:$C,'Boss Editor'!$I:$I,"")/4))*XLOOKUP($L79,'Boss Editor'!$C:$C,'Boss Editor'!$D:$D,""))/100)+5)*XLOOKUP(XLOOKUP($L79,'Boss Editor'!$C:$C,'Boss Editor'!$E:$E,""),'Nature Editor'!$A:$A,'Nature Editor'!$C:$C,1)),FLOOR((FLOOR(((2*XLOOKUP($L79,'Pokemon Editor'!$A:$A,'Pokemon Editor'!$I:$I,0)+31+FLOOR(XLOOKUP($L79,'Boss Editor'!$C:$C,'Boss Editor'!$K:$K,"")/4))*XLOOKUP($L79,'Boss Editor'!$C:$C,'Boss Editor'!$D:$D,""))/100)+5)*XLOOKUP(XLOOKUP($L79,'Boss Editor'!$C:$C,'Boss Editor'!$E:$E,""),'Nature Editor'!$A:$A,'Nature Editor'!$E:$E,1))),stab,IF(OR(mtype=XLOOKUP(XLOOKUP($K79,'Threshold Summary'!$Y:$Y,'Threshold Summary'!$K:$K,""),'Pokemon Editor'!$A:$A,'Pokemon Editor'!$C:$C,""),mtype=XLOOKUP(XLOOKUP($K79,'Threshold Summary'!$Y:$Y,'Threshold Summary'!$K:$K,""),'Pokemon Editor'!$A:$A,'Pokemon Editor'!$D:$D,"")),1.5,1),eff,(INDEX('Type Chart'!$B:$S,MATCH(mtype,'Type Chart'!$A:$A,0),MATCH(XLOOKUP($L79,'Pokemon Editor'!$A:$A,'Pokemon Editor'!$C:$C,""),'Type Chart'!$B$1:$S$1,0))*IF(XLOOKUP($L79,'Pokemon Editor'!$A:$A,'Pokemon Editor'!$D:$D,"")="",1,INDEX('Type Chart'!$B:$S,MATCH(mtype,'Type Chart'!$A:$A,0),MATCH(XLOOKUP($L79,'Pokemon Editor'!$A:$A,'Pokemon Editor'!$D:$D,""),'Type Chart'!$B$1:$S$1,0)))),base,IF(OR(cat="Status",pow=0),0,FLOOR(FLOOR(FLOOR((2*XLOOKUP($K79,'Threshold Summary'!$Y:$Y,'Threshold Summary'!$L:$L,"")/5+2)*pow*atk/def)/50)+2)),modifier,stab*eff,FLOOR(base*modifier*0.85)),0)</f>
        <v/>
      </c>
      <c r="G79" s="3">
        <f>IFERROR(LET(mtype,XLOOKUP($D79,'Move Editor'!$B:$B,'Move Editor'!$C:$C,""),cat,XLOOKUP($D79,'Move Editor'!$B:$B,'Move Editor'!$D:$D,""),pow,XLOOKUP($D79,'Move Editor'!$B:$B,'Move Editor'!$E:$E,0),acc,XLOOKUP($D79,'Move Editor'!$B:$B,'Move Editor'!$F:$F,100),atk,IF(cat="Physical",FLOOR((FLOOR(((2*XLOOKUP(XLOOKUP($K79,'Threshold Summary'!$Y:$Y,'Threshold Summary'!$K:$K,""),'Pokemon Editor'!$A:$A,'Pokemon Editor'!$F:$F,0)+31+FLOOR(XLOOKUP($K79,'Threshold Summary'!$Y:$Y,'Threshold Summary'!$P:$P,"")/4))*XLOOKUP($K79,'Threshold Summary'!$Y:$Y,'Threshold Summary'!$L:$L,""))/100)+5)*XLOOKUP(XLOOKUP($K79,'Threshold Summary'!$Y:$Y,'Threshold Summary'!$M:$M,""),'Nature Editor'!$A:$A,'Nature Editor'!$B:$B,1)),FLOOR((FLOOR(((2*XLOOKUP(XLOOKUP($K79,'Threshold Summary'!$Y:$Y,'Threshold Summary'!$K:$K,""),'Pokemon Editor'!$A:$A,'Pokemon Editor'!$H:$H,0)+31+FLOOR(XLOOKUP($K79,'Threshold Summary'!$Y:$Y,'Threshold Summary'!$R:$R,"")/4))*XLOOKUP($K79,'Threshold Summary'!$Y:$Y,'Threshold Summary'!$L:$L,""))/100)+5)*XLOOKUP(XLOOKUP($K79,'Threshold Summary'!$Y:$Y,'Threshold Summary'!$M:$M,""),'Nature Editor'!$A:$A,'Nature Editor'!$D:$D,1))),def,IF(cat="Physical",FLOOR((FLOOR(((2*XLOOKUP($L79,'Pokemon Editor'!$A:$A,'Pokemon Editor'!$G:$G,0)+31+FLOOR(XLOOKUP($L79,'Boss Editor'!$C:$C,'Boss Editor'!$I:$I,"")/4))*XLOOKUP($L79,'Boss Editor'!$C:$C,'Boss Editor'!$D:$D,""))/100)+5)*XLOOKUP(XLOOKUP($L79,'Boss Editor'!$C:$C,'Boss Editor'!$E:$E,""),'Nature Editor'!$A:$A,'Nature Editor'!$C:$C,1)),FLOOR((FLOOR(((2*XLOOKUP($L79,'Pokemon Editor'!$A:$A,'Pokemon Editor'!$I:$I,0)+31+FLOOR(XLOOKUP($L79,'Boss Editor'!$C:$C,'Boss Editor'!$K:$K,"")/4))*XLOOKUP($L79,'Boss Editor'!$C:$C,'Boss Editor'!$D:$D,""))/100)+5)*XLOOKUP(XLOOKUP($L79,'Boss Editor'!$C:$C,'Boss Editor'!$E:$E,""),'Nature Editor'!$A:$A,'Nature Editor'!$E:$E,1))),stab,IF(OR(mtype=XLOOKUP(XLOOKUP($K79,'Threshold Summary'!$Y:$Y,'Threshold Summary'!$K:$K,""),'Pokemon Editor'!$A:$A,'Pokemon Editor'!$C:$C,""),mtype=XLOOKUP(XLOOKUP($K79,'Threshold Summary'!$Y:$Y,'Threshold Summary'!$K:$K,""),'Pokemon Editor'!$A:$A,'Pokemon Editor'!$D:$D,"")),1.5,1),eff,(INDEX('Type Chart'!$B:$S,MATCH(mtype,'Type Chart'!$A:$A,0),MATCH(XLOOKUP($L79,'Pokemon Editor'!$A:$A,'Pokemon Editor'!$C:$C,""),'Type Chart'!$B$1:$S$1,0))*IF(XLOOKUP($L79,'Pokemon Editor'!$A:$A,'Pokemon Editor'!$D:$D,"")="",1,INDEX('Type Chart'!$B:$S,MATCH(mtype,'Type Chart'!$A:$A,0),MATCH(XLOOKUP($L79,'Pokemon Editor'!$A:$A,'Pokemon Editor'!$D:$D,""),'Type Chart'!$B$1:$S$1,0)))),base,IF(OR(cat="Status",pow=0),0,FLOOR(FLOOR(FLOOR((2*XLOOKUP($K79,'Threshold Summary'!$Y:$Y,'Threshold Summary'!$L:$L,"")/5+2)*pow*atk/def)/50)+2)),modifier,stab*eff,FLOOR(base*modifier)),0)</f>
        <v/>
      </c>
      <c r="H79" s="3">
        <f>IFERROR(LET(mtype,XLOOKUP($D79,'Move Editor'!$B:$B,'Move Editor'!$C:$C,""),cat,XLOOKUP($D79,'Move Editor'!$B:$B,'Move Editor'!$D:$D,""),pow,XLOOKUP($D79,'Move Editor'!$B:$B,'Move Editor'!$E:$E,0),acc,XLOOKUP($D79,'Move Editor'!$B:$B,'Move Editor'!$F:$F,100),atk,IF(cat="Physical",FLOOR((FLOOR(((2*XLOOKUP(XLOOKUP($K79,'Threshold Summary'!$Y:$Y,'Threshold Summary'!$K:$K,""),'Pokemon Editor'!$A:$A,'Pokemon Editor'!$F:$F,0)+31+FLOOR(XLOOKUP($K79,'Threshold Summary'!$Y:$Y,'Threshold Summary'!$P:$P,"")/4))*XLOOKUP($K79,'Threshold Summary'!$Y:$Y,'Threshold Summary'!$L:$L,""))/100)+5)*XLOOKUP(XLOOKUP($K79,'Threshold Summary'!$Y:$Y,'Threshold Summary'!$M:$M,""),'Nature Editor'!$A:$A,'Nature Editor'!$B:$B,1)),FLOOR((FLOOR(((2*XLOOKUP(XLOOKUP($K79,'Threshold Summary'!$Y:$Y,'Threshold Summary'!$K:$K,""),'Pokemon Editor'!$A:$A,'Pokemon Editor'!$H:$H,0)+31+FLOOR(XLOOKUP($K79,'Threshold Summary'!$Y:$Y,'Threshold Summary'!$R:$R,"")/4))*XLOOKUP($K79,'Threshold Summary'!$Y:$Y,'Threshold Summary'!$L:$L,""))/100)+5)*XLOOKUP(XLOOKUP($K79,'Threshold Summary'!$Y:$Y,'Threshold Summary'!$M:$M,""),'Nature Editor'!$A:$A,'Nature Editor'!$D:$D,1))),def,IF(cat="Physical",FLOOR((FLOOR(((2*XLOOKUP($L79,'Pokemon Editor'!$A:$A,'Pokemon Editor'!$G:$G,0)+31+FLOOR(XLOOKUP($L79,'Boss Editor'!$C:$C,'Boss Editor'!$I:$I,"")/4))*XLOOKUP($L79,'Boss Editor'!$C:$C,'Boss Editor'!$D:$D,""))/100)+5)*XLOOKUP(XLOOKUP($L79,'Boss Editor'!$C:$C,'Boss Editor'!$E:$E,""),'Nature Editor'!$A:$A,'Nature Editor'!$C:$C,1)),FLOOR((FLOOR(((2*XLOOKUP($L79,'Pokemon Editor'!$A:$A,'Pokemon Editor'!$I:$I,0)+31+FLOOR(XLOOKUP($L79,'Boss Editor'!$C:$C,'Boss Editor'!$K:$K,"")/4))*XLOOKUP($L79,'Boss Editor'!$C:$C,'Boss Editor'!$D:$D,""))/100)+5)*XLOOKUP(XLOOKUP($L79,'Boss Editor'!$C:$C,'Boss Editor'!$E:$E,""),'Nature Editor'!$A:$A,'Nature Editor'!$E:$E,1))),stab,IF(OR(mtype=XLOOKUP(XLOOKUP($K79,'Threshold Summary'!$Y:$Y,'Threshold Summary'!$K:$K,""),'Pokemon Editor'!$A:$A,'Pokemon Editor'!$C:$C,""),mtype=XLOOKUP(XLOOKUP($K79,'Threshold Summary'!$Y:$Y,'Threshold Summary'!$K:$K,""),'Pokemon Editor'!$A:$A,'Pokemon Editor'!$D:$D,"")),1.5,1),eff,(INDEX('Type Chart'!$B:$S,MATCH(mtype,'Type Chart'!$A:$A,0),MATCH(XLOOKUP($L79,'Pokemon Editor'!$A:$A,'Pokemon Editor'!$C:$C,""),'Type Chart'!$B$1:$S$1,0))*IF(XLOOKUP($L79,'Pokemon Editor'!$A:$A,'Pokemon Editor'!$D:$D,"")="",1,INDEX('Type Chart'!$B:$S,MATCH(mtype,'Type Chart'!$A:$A,0),MATCH(XLOOKUP($L79,'Pokemon Editor'!$A:$A,'Pokemon Editor'!$D:$D,""),'Type Chart'!$B$1:$S$1,0)))),base,IF(OR(cat="Status",pow=0),0,FLOOR(FLOOR(FLOOR((2*XLOOKUP($K79,'Threshold Summary'!$Y:$Y,'Threshold Summary'!$L:$L,"")/5+2)*pow*atk/def)/50)+2)),modifier,stab*eff,AVERAGE(ARRAYFORMULA(FLOOR(base*modifier*SEQUENCE(16,1,85,1)/100)))),0)</f>
        <v/>
      </c>
      <c r="I79" s="4">
        <f>IFERROR(LET(mtype,XLOOKUP($D79,'Move Editor'!$B:$B,'Move Editor'!$C:$C,""),cat,XLOOKUP($D79,'Move Editor'!$B:$B,'Move Editor'!$D:$D,""),pow,XLOOKUP($D79,'Move Editor'!$B:$B,'Move Editor'!$E:$E,0),acc,XLOOKUP($D79,'Move Editor'!$B:$B,'Move Editor'!$F:$F,100),atk,IF(cat="Physical",FLOOR((FLOOR(((2*XLOOKUP(XLOOKUP($K79,'Threshold Summary'!$Y:$Y,'Threshold Summary'!$K:$K,""),'Pokemon Editor'!$A:$A,'Pokemon Editor'!$F:$F,0)+31+FLOOR(XLOOKUP($K79,'Threshold Summary'!$Y:$Y,'Threshold Summary'!$P:$P,"")/4))*XLOOKUP($K79,'Threshold Summary'!$Y:$Y,'Threshold Summary'!$L:$L,""))/100)+5)*XLOOKUP(XLOOKUP($K79,'Threshold Summary'!$Y:$Y,'Threshold Summary'!$M:$M,""),'Nature Editor'!$A:$A,'Nature Editor'!$B:$B,1)),FLOOR((FLOOR(((2*XLOOKUP(XLOOKUP($K79,'Threshold Summary'!$Y:$Y,'Threshold Summary'!$K:$K,""),'Pokemon Editor'!$A:$A,'Pokemon Editor'!$H:$H,0)+31+FLOOR(XLOOKUP($K79,'Threshold Summary'!$Y:$Y,'Threshold Summary'!$R:$R,"")/4))*XLOOKUP($K79,'Threshold Summary'!$Y:$Y,'Threshold Summary'!$L:$L,""))/100)+5)*XLOOKUP(XLOOKUP($K79,'Threshold Summary'!$Y:$Y,'Threshold Summary'!$M:$M,""),'Nature Editor'!$A:$A,'Nature Editor'!$D:$D,1))),def,IF(cat="Physical",FLOOR((FLOOR(((2*XLOOKUP($L79,'Pokemon Editor'!$A:$A,'Pokemon Editor'!$G:$G,0)+31+FLOOR(XLOOKUP($L79,'Boss Editor'!$C:$C,'Boss Editor'!$I:$I,"")/4))*XLOOKUP($L79,'Boss Editor'!$C:$C,'Boss Editor'!$D:$D,""))/100)+5)*XLOOKUP(XLOOKUP($L79,'Boss Editor'!$C:$C,'Boss Editor'!$E:$E,""),'Nature Editor'!$A:$A,'Nature Editor'!$C:$C,1)),FLOOR((FLOOR(((2*XLOOKUP($L79,'Pokemon Editor'!$A:$A,'Pokemon Editor'!$I:$I,0)+31+FLOOR(XLOOKUP($L79,'Boss Editor'!$C:$C,'Boss Editor'!$K:$K,"")/4))*XLOOKUP($L79,'Boss Editor'!$C:$C,'Boss Editor'!$D:$D,""))/100)+5)*XLOOKUP(XLOOKUP($L79,'Boss Editor'!$C:$C,'Boss Editor'!$E:$E,""),'Nature Editor'!$A:$A,'Nature Editor'!$E:$E,1))),stab,IF(OR(mtype=XLOOKUP(XLOOKUP($K79,'Threshold Summary'!$Y:$Y,'Threshold Summary'!$K:$K,""),'Pokemon Editor'!$A:$A,'Pokemon Editor'!$C:$C,""),mtype=XLOOKUP(XLOOKUP($K79,'Threshold Summary'!$Y:$Y,'Threshold Summary'!$K:$K,""),'Pokemon Editor'!$A:$A,'Pokemon Editor'!$D:$D,"")),1.5,1),eff,(INDEX('Type Chart'!$B:$S,MATCH(mtype,'Type Chart'!$A:$A,0),MATCH(XLOOKUP($L79,'Pokemon Editor'!$A:$A,'Pokemon Editor'!$C:$C,""),'Type Chart'!$B$1:$S$1,0))*IF(XLOOKUP($L79,'Pokemon Editor'!$A:$A,'Pokemon Editor'!$D:$D,"")="",1,INDEX('Type Chart'!$B:$S,MATCH(mtype,'Type Chart'!$A:$A,0),MATCH(XLOOKUP($L79,'Pokemon Editor'!$A:$A,'Pokemon Editor'!$D:$D,""),'Type Chart'!$B$1:$S$1,0)))),base,IF(OR(cat="Status",pow=0),0,FLOOR(FLOOR(FLOOR((2*XLOOKUP($K79,'Threshold Summary'!$Y:$Y,'Threshold Summary'!$L:$L,"")/5+2)*pow*atk/def)/50)+2)),modifier,stab*eff,AVERAGE(ARRAYFORMULA(FLOOR(base*modifier*SEQUENCE(16,1,85,1)/100)))/(FLOOR(((2*XLOOKUP($L79,'Pokemon Editor'!$A:$A,'Pokemon Editor'!$E:$E,0)+31+FLOOR(XLOOKUP($L79,'Boss Editor'!$C:$C,'Boss Editor'!$G:$G,"")/4))*XLOOKUP($L79,'Boss Editor'!$C:$C,'Boss Editor'!$D:$D,""))/100)+XLOOKUP($L79,'Boss Editor'!$C:$C,'Boss Editor'!$D:$D,"")+10)),0)</f>
        <v/>
      </c>
      <c r="J79" s="3">
        <f>IF(I79&gt;=1,"OHKO",IF(I79&gt;=0.5,"2HKO",IF(I79&gt;=0.333,"3HKO",IF(I79&gt;=0.25,"4HKO","5HKO+"))))</f>
        <v/>
      </c>
      <c r="K79" s="3" t="inlineStr">
        <is>
          <t>SPECIES_BLIPBUG</t>
        </is>
      </c>
      <c r="L79" s="3" t="inlineStr">
        <is>
          <t>SPECIES_LILEEP</t>
        </is>
      </c>
    </row>
    <row r="80">
      <c r="A80" s="3">
        <f>XLOOKUP($K80,'Threshold Summary'!$Y:$Y,'Threshold Summary'!$A:$A,"")</f>
        <v/>
      </c>
      <c r="B80" s="3" t="inlineStr">
        <is>
          <t>Tirtouga</t>
        </is>
      </c>
      <c r="C80" s="3">
        <f>XLOOKUP($L80,'Boss Editor'!$C:$C,'Boss Editor'!$D:$D,"")</f>
        <v/>
      </c>
      <c r="D80" s="3">
        <f>XLOOKUP($K80,'Threshold Summary'!$Y:$Y,'Threshold Summary'!$B:$B,"")</f>
        <v/>
      </c>
      <c r="E80" s="3">
        <f>XLOOKUP(D80,'Move Editor'!$B:$B,'Move Editor'!$C:$C,"")</f>
        <v/>
      </c>
      <c r="F80" s="3">
        <f>IFERROR(LET(mtype,XLOOKUP($D80,'Move Editor'!$B:$B,'Move Editor'!$C:$C,""),cat,XLOOKUP($D80,'Move Editor'!$B:$B,'Move Editor'!$D:$D,""),pow,XLOOKUP($D80,'Move Editor'!$B:$B,'Move Editor'!$E:$E,0),acc,XLOOKUP($D80,'Move Editor'!$B:$B,'Move Editor'!$F:$F,100),atk,IF(cat="Physical",FLOOR((FLOOR(((2*XLOOKUP(XLOOKUP($K80,'Threshold Summary'!$Y:$Y,'Threshold Summary'!$K:$K,""),'Pokemon Editor'!$A:$A,'Pokemon Editor'!$F:$F,0)+31+FLOOR(XLOOKUP($K80,'Threshold Summary'!$Y:$Y,'Threshold Summary'!$P:$P,"")/4))*XLOOKUP($K80,'Threshold Summary'!$Y:$Y,'Threshold Summary'!$L:$L,""))/100)+5)*XLOOKUP(XLOOKUP($K80,'Threshold Summary'!$Y:$Y,'Threshold Summary'!$M:$M,""),'Nature Editor'!$A:$A,'Nature Editor'!$B:$B,1)),FLOOR((FLOOR(((2*XLOOKUP(XLOOKUP($K80,'Threshold Summary'!$Y:$Y,'Threshold Summary'!$K:$K,""),'Pokemon Editor'!$A:$A,'Pokemon Editor'!$H:$H,0)+31+FLOOR(XLOOKUP($K80,'Threshold Summary'!$Y:$Y,'Threshold Summary'!$R:$R,"")/4))*XLOOKUP($K80,'Threshold Summary'!$Y:$Y,'Threshold Summary'!$L:$L,""))/100)+5)*XLOOKUP(XLOOKUP($K80,'Threshold Summary'!$Y:$Y,'Threshold Summary'!$M:$M,""),'Nature Editor'!$A:$A,'Nature Editor'!$D:$D,1))),def,IF(cat="Physical",FLOOR((FLOOR(((2*XLOOKUP($L80,'Pokemon Editor'!$A:$A,'Pokemon Editor'!$G:$G,0)+31+FLOOR(XLOOKUP($L80,'Boss Editor'!$C:$C,'Boss Editor'!$I:$I,"")/4))*XLOOKUP($L80,'Boss Editor'!$C:$C,'Boss Editor'!$D:$D,""))/100)+5)*XLOOKUP(XLOOKUP($L80,'Boss Editor'!$C:$C,'Boss Editor'!$E:$E,""),'Nature Editor'!$A:$A,'Nature Editor'!$C:$C,1)),FLOOR((FLOOR(((2*XLOOKUP($L80,'Pokemon Editor'!$A:$A,'Pokemon Editor'!$I:$I,0)+31+FLOOR(XLOOKUP($L80,'Boss Editor'!$C:$C,'Boss Editor'!$K:$K,"")/4))*XLOOKUP($L80,'Boss Editor'!$C:$C,'Boss Editor'!$D:$D,""))/100)+5)*XLOOKUP(XLOOKUP($L80,'Boss Editor'!$C:$C,'Boss Editor'!$E:$E,""),'Nature Editor'!$A:$A,'Nature Editor'!$E:$E,1))),stab,IF(OR(mtype=XLOOKUP(XLOOKUP($K80,'Threshold Summary'!$Y:$Y,'Threshold Summary'!$K:$K,""),'Pokemon Editor'!$A:$A,'Pokemon Editor'!$C:$C,""),mtype=XLOOKUP(XLOOKUP($K80,'Threshold Summary'!$Y:$Y,'Threshold Summary'!$K:$K,""),'Pokemon Editor'!$A:$A,'Pokemon Editor'!$D:$D,"")),1.5,1),eff,(INDEX('Type Chart'!$B:$S,MATCH(mtype,'Type Chart'!$A:$A,0),MATCH(XLOOKUP($L80,'Pokemon Editor'!$A:$A,'Pokemon Editor'!$C:$C,""),'Type Chart'!$B$1:$S$1,0))*IF(XLOOKUP($L80,'Pokemon Editor'!$A:$A,'Pokemon Editor'!$D:$D,"")="",1,INDEX('Type Chart'!$B:$S,MATCH(mtype,'Type Chart'!$A:$A,0),MATCH(XLOOKUP($L80,'Pokemon Editor'!$A:$A,'Pokemon Editor'!$D:$D,""),'Type Chart'!$B$1:$S$1,0)))),base,IF(OR(cat="Status",pow=0),0,FLOOR(FLOOR(FLOOR((2*XLOOKUP($K80,'Threshold Summary'!$Y:$Y,'Threshold Summary'!$L:$L,"")/5+2)*pow*atk/def)/50)+2)),modifier,stab*eff,FLOOR(base*modifier*0.85)),0)</f>
        <v/>
      </c>
      <c r="G80" s="3">
        <f>IFERROR(LET(mtype,XLOOKUP($D80,'Move Editor'!$B:$B,'Move Editor'!$C:$C,""),cat,XLOOKUP($D80,'Move Editor'!$B:$B,'Move Editor'!$D:$D,""),pow,XLOOKUP($D80,'Move Editor'!$B:$B,'Move Editor'!$E:$E,0),acc,XLOOKUP($D80,'Move Editor'!$B:$B,'Move Editor'!$F:$F,100),atk,IF(cat="Physical",FLOOR((FLOOR(((2*XLOOKUP(XLOOKUP($K80,'Threshold Summary'!$Y:$Y,'Threshold Summary'!$K:$K,""),'Pokemon Editor'!$A:$A,'Pokemon Editor'!$F:$F,0)+31+FLOOR(XLOOKUP($K80,'Threshold Summary'!$Y:$Y,'Threshold Summary'!$P:$P,"")/4))*XLOOKUP($K80,'Threshold Summary'!$Y:$Y,'Threshold Summary'!$L:$L,""))/100)+5)*XLOOKUP(XLOOKUP($K80,'Threshold Summary'!$Y:$Y,'Threshold Summary'!$M:$M,""),'Nature Editor'!$A:$A,'Nature Editor'!$B:$B,1)),FLOOR((FLOOR(((2*XLOOKUP(XLOOKUP($K80,'Threshold Summary'!$Y:$Y,'Threshold Summary'!$K:$K,""),'Pokemon Editor'!$A:$A,'Pokemon Editor'!$H:$H,0)+31+FLOOR(XLOOKUP($K80,'Threshold Summary'!$Y:$Y,'Threshold Summary'!$R:$R,"")/4))*XLOOKUP($K80,'Threshold Summary'!$Y:$Y,'Threshold Summary'!$L:$L,""))/100)+5)*XLOOKUP(XLOOKUP($K80,'Threshold Summary'!$Y:$Y,'Threshold Summary'!$M:$M,""),'Nature Editor'!$A:$A,'Nature Editor'!$D:$D,1))),def,IF(cat="Physical",FLOOR((FLOOR(((2*XLOOKUP($L80,'Pokemon Editor'!$A:$A,'Pokemon Editor'!$G:$G,0)+31+FLOOR(XLOOKUP($L80,'Boss Editor'!$C:$C,'Boss Editor'!$I:$I,"")/4))*XLOOKUP($L80,'Boss Editor'!$C:$C,'Boss Editor'!$D:$D,""))/100)+5)*XLOOKUP(XLOOKUP($L80,'Boss Editor'!$C:$C,'Boss Editor'!$E:$E,""),'Nature Editor'!$A:$A,'Nature Editor'!$C:$C,1)),FLOOR((FLOOR(((2*XLOOKUP($L80,'Pokemon Editor'!$A:$A,'Pokemon Editor'!$I:$I,0)+31+FLOOR(XLOOKUP($L80,'Boss Editor'!$C:$C,'Boss Editor'!$K:$K,"")/4))*XLOOKUP($L80,'Boss Editor'!$C:$C,'Boss Editor'!$D:$D,""))/100)+5)*XLOOKUP(XLOOKUP($L80,'Boss Editor'!$C:$C,'Boss Editor'!$E:$E,""),'Nature Editor'!$A:$A,'Nature Editor'!$E:$E,1))),stab,IF(OR(mtype=XLOOKUP(XLOOKUP($K80,'Threshold Summary'!$Y:$Y,'Threshold Summary'!$K:$K,""),'Pokemon Editor'!$A:$A,'Pokemon Editor'!$C:$C,""),mtype=XLOOKUP(XLOOKUP($K80,'Threshold Summary'!$Y:$Y,'Threshold Summary'!$K:$K,""),'Pokemon Editor'!$A:$A,'Pokemon Editor'!$D:$D,"")),1.5,1),eff,(INDEX('Type Chart'!$B:$S,MATCH(mtype,'Type Chart'!$A:$A,0),MATCH(XLOOKUP($L80,'Pokemon Editor'!$A:$A,'Pokemon Editor'!$C:$C,""),'Type Chart'!$B$1:$S$1,0))*IF(XLOOKUP($L80,'Pokemon Editor'!$A:$A,'Pokemon Editor'!$D:$D,"")="",1,INDEX('Type Chart'!$B:$S,MATCH(mtype,'Type Chart'!$A:$A,0),MATCH(XLOOKUP($L80,'Pokemon Editor'!$A:$A,'Pokemon Editor'!$D:$D,""),'Type Chart'!$B$1:$S$1,0)))),base,IF(OR(cat="Status",pow=0),0,FLOOR(FLOOR(FLOOR((2*XLOOKUP($K80,'Threshold Summary'!$Y:$Y,'Threshold Summary'!$L:$L,"")/5+2)*pow*atk/def)/50)+2)),modifier,stab*eff,FLOOR(base*modifier)),0)</f>
        <v/>
      </c>
      <c r="H80" s="3">
        <f>IFERROR(LET(mtype,XLOOKUP($D80,'Move Editor'!$B:$B,'Move Editor'!$C:$C,""),cat,XLOOKUP($D80,'Move Editor'!$B:$B,'Move Editor'!$D:$D,""),pow,XLOOKUP($D80,'Move Editor'!$B:$B,'Move Editor'!$E:$E,0),acc,XLOOKUP($D80,'Move Editor'!$B:$B,'Move Editor'!$F:$F,100),atk,IF(cat="Physical",FLOOR((FLOOR(((2*XLOOKUP(XLOOKUP($K80,'Threshold Summary'!$Y:$Y,'Threshold Summary'!$K:$K,""),'Pokemon Editor'!$A:$A,'Pokemon Editor'!$F:$F,0)+31+FLOOR(XLOOKUP($K80,'Threshold Summary'!$Y:$Y,'Threshold Summary'!$P:$P,"")/4))*XLOOKUP($K80,'Threshold Summary'!$Y:$Y,'Threshold Summary'!$L:$L,""))/100)+5)*XLOOKUP(XLOOKUP($K80,'Threshold Summary'!$Y:$Y,'Threshold Summary'!$M:$M,""),'Nature Editor'!$A:$A,'Nature Editor'!$B:$B,1)),FLOOR((FLOOR(((2*XLOOKUP(XLOOKUP($K80,'Threshold Summary'!$Y:$Y,'Threshold Summary'!$K:$K,""),'Pokemon Editor'!$A:$A,'Pokemon Editor'!$H:$H,0)+31+FLOOR(XLOOKUP($K80,'Threshold Summary'!$Y:$Y,'Threshold Summary'!$R:$R,"")/4))*XLOOKUP($K80,'Threshold Summary'!$Y:$Y,'Threshold Summary'!$L:$L,""))/100)+5)*XLOOKUP(XLOOKUP($K80,'Threshold Summary'!$Y:$Y,'Threshold Summary'!$M:$M,""),'Nature Editor'!$A:$A,'Nature Editor'!$D:$D,1))),def,IF(cat="Physical",FLOOR((FLOOR(((2*XLOOKUP($L80,'Pokemon Editor'!$A:$A,'Pokemon Editor'!$G:$G,0)+31+FLOOR(XLOOKUP($L80,'Boss Editor'!$C:$C,'Boss Editor'!$I:$I,"")/4))*XLOOKUP($L80,'Boss Editor'!$C:$C,'Boss Editor'!$D:$D,""))/100)+5)*XLOOKUP(XLOOKUP($L80,'Boss Editor'!$C:$C,'Boss Editor'!$E:$E,""),'Nature Editor'!$A:$A,'Nature Editor'!$C:$C,1)),FLOOR((FLOOR(((2*XLOOKUP($L80,'Pokemon Editor'!$A:$A,'Pokemon Editor'!$I:$I,0)+31+FLOOR(XLOOKUP($L80,'Boss Editor'!$C:$C,'Boss Editor'!$K:$K,"")/4))*XLOOKUP($L80,'Boss Editor'!$C:$C,'Boss Editor'!$D:$D,""))/100)+5)*XLOOKUP(XLOOKUP($L80,'Boss Editor'!$C:$C,'Boss Editor'!$E:$E,""),'Nature Editor'!$A:$A,'Nature Editor'!$E:$E,1))),stab,IF(OR(mtype=XLOOKUP(XLOOKUP($K80,'Threshold Summary'!$Y:$Y,'Threshold Summary'!$K:$K,""),'Pokemon Editor'!$A:$A,'Pokemon Editor'!$C:$C,""),mtype=XLOOKUP(XLOOKUP($K80,'Threshold Summary'!$Y:$Y,'Threshold Summary'!$K:$K,""),'Pokemon Editor'!$A:$A,'Pokemon Editor'!$D:$D,"")),1.5,1),eff,(INDEX('Type Chart'!$B:$S,MATCH(mtype,'Type Chart'!$A:$A,0),MATCH(XLOOKUP($L80,'Pokemon Editor'!$A:$A,'Pokemon Editor'!$C:$C,""),'Type Chart'!$B$1:$S$1,0))*IF(XLOOKUP($L80,'Pokemon Editor'!$A:$A,'Pokemon Editor'!$D:$D,"")="",1,INDEX('Type Chart'!$B:$S,MATCH(mtype,'Type Chart'!$A:$A,0),MATCH(XLOOKUP($L80,'Pokemon Editor'!$A:$A,'Pokemon Editor'!$D:$D,""),'Type Chart'!$B$1:$S$1,0)))),base,IF(OR(cat="Status",pow=0),0,FLOOR(FLOOR(FLOOR((2*XLOOKUP($K80,'Threshold Summary'!$Y:$Y,'Threshold Summary'!$L:$L,"")/5+2)*pow*atk/def)/50)+2)),modifier,stab*eff,AVERAGE(ARRAYFORMULA(FLOOR(base*modifier*SEQUENCE(16,1,85,1)/100)))),0)</f>
        <v/>
      </c>
      <c r="I80" s="4">
        <f>IFERROR(LET(mtype,XLOOKUP($D80,'Move Editor'!$B:$B,'Move Editor'!$C:$C,""),cat,XLOOKUP($D80,'Move Editor'!$B:$B,'Move Editor'!$D:$D,""),pow,XLOOKUP($D80,'Move Editor'!$B:$B,'Move Editor'!$E:$E,0),acc,XLOOKUP($D80,'Move Editor'!$B:$B,'Move Editor'!$F:$F,100),atk,IF(cat="Physical",FLOOR((FLOOR(((2*XLOOKUP(XLOOKUP($K80,'Threshold Summary'!$Y:$Y,'Threshold Summary'!$K:$K,""),'Pokemon Editor'!$A:$A,'Pokemon Editor'!$F:$F,0)+31+FLOOR(XLOOKUP($K80,'Threshold Summary'!$Y:$Y,'Threshold Summary'!$P:$P,"")/4))*XLOOKUP($K80,'Threshold Summary'!$Y:$Y,'Threshold Summary'!$L:$L,""))/100)+5)*XLOOKUP(XLOOKUP($K80,'Threshold Summary'!$Y:$Y,'Threshold Summary'!$M:$M,""),'Nature Editor'!$A:$A,'Nature Editor'!$B:$B,1)),FLOOR((FLOOR(((2*XLOOKUP(XLOOKUP($K80,'Threshold Summary'!$Y:$Y,'Threshold Summary'!$K:$K,""),'Pokemon Editor'!$A:$A,'Pokemon Editor'!$H:$H,0)+31+FLOOR(XLOOKUP($K80,'Threshold Summary'!$Y:$Y,'Threshold Summary'!$R:$R,"")/4))*XLOOKUP($K80,'Threshold Summary'!$Y:$Y,'Threshold Summary'!$L:$L,""))/100)+5)*XLOOKUP(XLOOKUP($K80,'Threshold Summary'!$Y:$Y,'Threshold Summary'!$M:$M,""),'Nature Editor'!$A:$A,'Nature Editor'!$D:$D,1))),def,IF(cat="Physical",FLOOR((FLOOR(((2*XLOOKUP($L80,'Pokemon Editor'!$A:$A,'Pokemon Editor'!$G:$G,0)+31+FLOOR(XLOOKUP($L80,'Boss Editor'!$C:$C,'Boss Editor'!$I:$I,"")/4))*XLOOKUP($L80,'Boss Editor'!$C:$C,'Boss Editor'!$D:$D,""))/100)+5)*XLOOKUP(XLOOKUP($L80,'Boss Editor'!$C:$C,'Boss Editor'!$E:$E,""),'Nature Editor'!$A:$A,'Nature Editor'!$C:$C,1)),FLOOR((FLOOR(((2*XLOOKUP($L80,'Pokemon Editor'!$A:$A,'Pokemon Editor'!$I:$I,0)+31+FLOOR(XLOOKUP($L80,'Boss Editor'!$C:$C,'Boss Editor'!$K:$K,"")/4))*XLOOKUP($L80,'Boss Editor'!$C:$C,'Boss Editor'!$D:$D,""))/100)+5)*XLOOKUP(XLOOKUP($L80,'Boss Editor'!$C:$C,'Boss Editor'!$E:$E,""),'Nature Editor'!$A:$A,'Nature Editor'!$E:$E,1))),stab,IF(OR(mtype=XLOOKUP(XLOOKUP($K80,'Threshold Summary'!$Y:$Y,'Threshold Summary'!$K:$K,""),'Pokemon Editor'!$A:$A,'Pokemon Editor'!$C:$C,""),mtype=XLOOKUP(XLOOKUP($K80,'Threshold Summary'!$Y:$Y,'Threshold Summary'!$K:$K,""),'Pokemon Editor'!$A:$A,'Pokemon Editor'!$D:$D,"")),1.5,1),eff,(INDEX('Type Chart'!$B:$S,MATCH(mtype,'Type Chart'!$A:$A,0),MATCH(XLOOKUP($L80,'Pokemon Editor'!$A:$A,'Pokemon Editor'!$C:$C,""),'Type Chart'!$B$1:$S$1,0))*IF(XLOOKUP($L80,'Pokemon Editor'!$A:$A,'Pokemon Editor'!$D:$D,"")="",1,INDEX('Type Chart'!$B:$S,MATCH(mtype,'Type Chart'!$A:$A,0),MATCH(XLOOKUP($L80,'Pokemon Editor'!$A:$A,'Pokemon Editor'!$D:$D,""),'Type Chart'!$B$1:$S$1,0)))),base,IF(OR(cat="Status",pow=0),0,FLOOR(FLOOR(FLOOR((2*XLOOKUP($K80,'Threshold Summary'!$Y:$Y,'Threshold Summary'!$L:$L,"")/5+2)*pow*atk/def)/50)+2)),modifier,stab*eff,AVERAGE(ARRAYFORMULA(FLOOR(base*modifier*SEQUENCE(16,1,85,1)/100)))/(FLOOR(((2*XLOOKUP($L80,'Pokemon Editor'!$A:$A,'Pokemon Editor'!$E:$E,0)+31+FLOOR(XLOOKUP($L80,'Boss Editor'!$C:$C,'Boss Editor'!$G:$G,"")/4))*XLOOKUP($L80,'Boss Editor'!$C:$C,'Boss Editor'!$D:$D,""))/100)+XLOOKUP($L80,'Boss Editor'!$C:$C,'Boss Editor'!$D:$D,"")+10)),0)</f>
        <v/>
      </c>
      <c r="J80" s="3">
        <f>IF(I80&gt;=1,"OHKO",IF(I80&gt;=0.5,"2HKO",IF(I80&gt;=0.333,"3HKO",IF(I80&gt;=0.25,"4HKO","5HKO+"))))</f>
        <v/>
      </c>
      <c r="K80" s="3" t="inlineStr">
        <is>
          <t>SPECIES_TOXEL</t>
        </is>
      </c>
      <c r="L80" s="3" t="inlineStr">
        <is>
          <t>SPECIES_TIRTOUGA</t>
        </is>
      </c>
    </row>
    <row r="81">
      <c r="A81" s="3">
        <f>XLOOKUP($K81,'Threshold Summary'!$Y:$Y,'Threshold Summary'!$A:$A,"")</f>
        <v/>
      </c>
      <c r="B81" s="3" t="inlineStr">
        <is>
          <t>Anorith</t>
        </is>
      </c>
      <c r="C81" s="3">
        <f>XLOOKUP($L81,'Boss Editor'!$C:$C,'Boss Editor'!$D:$D,"")</f>
        <v/>
      </c>
      <c r="D81" s="3">
        <f>XLOOKUP($K81,'Threshold Summary'!$Y:$Y,'Threshold Summary'!$B:$B,"")</f>
        <v/>
      </c>
      <c r="E81" s="3">
        <f>XLOOKUP(D81,'Move Editor'!$B:$B,'Move Editor'!$C:$C,"")</f>
        <v/>
      </c>
      <c r="F81" s="3">
        <f>IFERROR(LET(mtype,XLOOKUP($D81,'Move Editor'!$B:$B,'Move Editor'!$C:$C,""),cat,XLOOKUP($D81,'Move Editor'!$B:$B,'Move Editor'!$D:$D,""),pow,XLOOKUP($D81,'Move Editor'!$B:$B,'Move Editor'!$E:$E,0),acc,XLOOKUP($D81,'Move Editor'!$B:$B,'Move Editor'!$F:$F,100),atk,IF(cat="Physical",FLOOR((FLOOR(((2*XLOOKUP(XLOOKUP($K81,'Threshold Summary'!$Y:$Y,'Threshold Summary'!$K:$K,""),'Pokemon Editor'!$A:$A,'Pokemon Editor'!$F:$F,0)+31+FLOOR(XLOOKUP($K81,'Threshold Summary'!$Y:$Y,'Threshold Summary'!$P:$P,"")/4))*XLOOKUP($K81,'Threshold Summary'!$Y:$Y,'Threshold Summary'!$L:$L,""))/100)+5)*XLOOKUP(XLOOKUP($K81,'Threshold Summary'!$Y:$Y,'Threshold Summary'!$M:$M,""),'Nature Editor'!$A:$A,'Nature Editor'!$B:$B,1)),FLOOR((FLOOR(((2*XLOOKUP(XLOOKUP($K81,'Threshold Summary'!$Y:$Y,'Threshold Summary'!$K:$K,""),'Pokemon Editor'!$A:$A,'Pokemon Editor'!$H:$H,0)+31+FLOOR(XLOOKUP($K81,'Threshold Summary'!$Y:$Y,'Threshold Summary'!$R:$R,"")/4))*XLOOKUP($K81,'Threshold Summary'!$Y:$Y,'Threshold Summary'!$L:$L,""))/100)+5)*XLOOKUP(XLOOKUP($K81,'Threshold Summary'!$Y:$Y,'Threshold Summary'!$M:$M,""),'Nature Editor'!$A:$A,'Nature Editor'!$D:$D,1))),def,IF(cat="Physical",FLOOR((FLOOR(((2*XLOOKUP($L81,'Pokemon Editor'!$A:$A,'Pokemon Editor'!$G:$G,0)+31+FLOOR(XLOOKUP($L81,'Boss Editor'!$C:$C,'Boss Editor'!$I:$I,"")/4))*XLOOKUP($L81,'Boss Editor'!$C:$C,'Boss Editor'!$D:$D,""))/100)+5)*XLOOKUP(XLOOKUP($L81,'Boss Editor'!$C:$C,'Boss Editor'!$E:$E,""),'Nature Editor'!$A:$A,'Nature Editor'!$C:$C,1)),FLOOR((FLOOR(((2*XLOOKUP($L81,'Pokemon Editor'!$A:$A,'Pokemon Editor'!$I:$I,0)+31+FLOOR(XLOOKUP($L81,'Boss Editor'!$C:$C,'Boss Editor'!$K:$K,"")/4))*XLOOKUP($L81,'Boss Editor'!$C:$C,'Boss Editor'!$D:$D,""))/100)+5)*XLOOKUP(XLOOKUP($L81,'Boss Editor'!$C:$C,'Boss Editor'!$E:$E,""),'Nature Editor'!$A:$A,'Nature Editor'!$E:$E,1))),stab,IF(OR(mtype=XLOOKUP(XLOOKUP($K81,'Threshold Summary'!$Y:$Y,'Threshold Summary'!$K:$K,""),'Pokemon Editor'!$A:$A,'Pokemon Editor'!$C:$C,""),mtype=XLOOKUP(XLOOKUP($K81,'Threshold Summary'!$Y:$Y,'Threshold Summary'!$K:$K,""),'Pokemon Editor'!$A:$A,'Pokemon Editor'!$D:$D,"")),1.5,1),eff,(INDEX('Type Chart'!$B:$S,MATCH(mtype,'Type Chart'!$A:$A,0),MATCH(XLOOKUP($L81,'Pokemon Editor'!$A:$A,'Pokemon Editor'!$C:$C,""),'Type Chart'!$B$1:$S$1,0))*IF(XLOOKUP($L81,'Pokemon Editor'!$A:$A,'Pokemon Editor'!$D:$D,"")="",1,INDEX('Type Chart'!$B:$S,MATCH(mtype,'Type Chart'!$A:$A,0),MATCH(XLOOKUP($L81,'Pokemon Editor'!$A:$A,'Pokemon Editor'!$D:$D,""),'Type Chart'!$B$1:$S$1,0)))),base,IF(OR(cat="Status",pow=0),0,FLOOR(FLOOR(FLOOR((2*XLOOKUP($K81,'Threshold Summary'!$Y:$Y,'Threshold Summary'!$L:$L,"")/5+2)*pow*atk/def)/50)+2)),modifier,stab*eff,FLOOR(base*modifier*0.85)),0)</f>
        <v/>
      </c>
      <c r="G81" s="3">
        <f>IFERROR(LET(mtype,XLOOKUP($D81,'Move Editor'!$B:$B,'Move Editor'!$C:$C,""),cat,XLOOKUP($D81,'Move Editor'!$B:$B,'Move Editor'!$D:$D,""),pow,XLOOKUP($D81,'Move Editor'!$B:$B,'Move Editor'!$E:$E,0),acc,XLOOKUP($D81,'Move Editor'!$B:$B,'Move Editor'!$F:$F,100),atk,IF(cat="Physical",FLOOR((FLOOR(((2*XLOOKUP(XLOOKUP($K81,'Threshold Summary'!$Y:$Y,'Threshold Summary'!$K:$K,""),'Pokemon Editor'!$A:$A,'Pokemon Editor'!$F:$F,0)+31+FLOOR(XLOOKUP($K81,'Threshold Summary'!$Y:$Y,'Threshold Summary'!$P:$P,"")/4))*XLOOKUP($K81,'Threshold Summary'!$Y:$Y,'Threshold Summary'!$L:$L,""))/100)+5)*XLOOKUP(XLOOKUP($K81,'Threshold Summary'!$Y:$Y,'Threshold Summary'!$M:$M,""),'Nature Editor'!$A:$A,'Nature Editor'!$B:$B,1)),FLOOR((FLOOR(((2*XLOOKUP(XLOOKUP($K81,'Threshold Summary'!$Y:$Y,'Threshold Summary'!$K:$K,""),'Pokemon Editor'!$A:$A,'Pokemon Editor'!$H:$H,0)+31+FLOOR(XLOOKUP($K81,'Threshold Summary'!$Y:$Y,'Threshold Summary'!$R:$R,"")/4))*XLOOKUP($K81,'Threshold Summary'!$Y:$Y,'Threshold Summary'!$L:$L,""))/100)+5)*XLOOKUP(XLOOKUP($K81,'Threshold Summary'!$Y:$Y,'Threshold Summary'!$M:$M,""),'Nature Editor'!$A:$A,'Nature Editor'!$D:$D,1))),def,IF(cat="Physical",FLOOR((FLOOR(((2*XLOOKUP($L81,'Pokemon Editor'!$A:$A,'Pokemon Editor'!$G:$G,0)+31+FLOOR(XLOOKUP($L81,'Boss Editor'!$C:$C,'Boss Editor'!$I:$I,"")/4))*XLOOKUP($L81,'Boss Editor'!$C:$C,'Boss Editor'!$D:$D,""))/100)+5)*XLOOKUP(XLOOKUP($L81,'Boss Editor'!$C:$C,'Boss Editor'!$E:$E,""),'Nature Editor'!$A:$A,'Nature Editor'!$C:$C,1)),FLOOR((FLOOR(((2*XLOOKUP($L81,'Pokemon Editor'!$A:$A,'Pokemon Editor'!$I:$I,0)+31+FLOOR(XLOOKUP($L81,'Boss Editor'!$C:$C,'Boss Editor'!$K:$K,"")/4))*XLOOKUP($L81,'Boss Editor'!$C:$C,'Boss Editor'!$D:$D,""))/100)+5)*XLOOKUP(XLOOKUP($L81,'Boss Editor'!$C:$C,'Boss Editor'!$E:$E,""),'Nature Editor'!$A:$A,'Nature Editor'!$E:$E,1))),stab,IF(OR(mtype=XLOOKUP(XLOOKUP($K81,'Threshold Summary'!$Y:$Y,'Threshold Summary'!$K:$K,""),'Pokemon Editor'!$A:$A,'Pokemon Editor'!$C:$C,""),mtype=XLOOKUP(XLOOKUP($K81,'Threshold Summary'!$Y:$Y,'Threshold Summary'!$K:$K,""),'Pokemon Editor'!$A:$A,'Pokemon Editor'!$D:$D,"")),1.5,1),eff,(INDEX('Type Chart'!$B:$S,MATCH(mtype,'Type Chart'!$A:$A,0),MATCH(XLOOKUP($L81,'Pokemon Editor'!$A:$A,'Pokemon Editor'!$C:$C,""),'Type Chart'!$B$1:$S$1,0))*IF(XLOOKUP($L81,'Pokemon Editor'!$A:$A,'Pokemon Editor'!$D:$D,"")="",1,INDEX('Type Chart'!$B:$S,MATCH(mtype,'Type Chart'!$A:$A,0),MATCH(XLOOKUP($L81,'Pokemon Editor'!$A:$A,'Pokemon Editor'!$D:$D,""),'Type Chart'!$B$1:$S$1,0)))),base,IF(OR(cat="Status",pow=0),0,FLOOR(FLOOR(FLOOR((2*XLOOKUP($K81,'Threshold Summary'!$Y:$Y,'Threshold Summary'!$L:$L,"")/5+2)*pow*atk/def)/50)+2)),modifier,stab*eff,FLOOR(base*modifier)),0)</f>
        <v/>
      </c>
      <c r="H81" s="3">
        <f>IFERROR(LET(mtype,XLOOKUP($D81,'Move Editor'!$B:$B,'Move Editor'!$C:$C,""),cat,XLOOKUP($D81,'Move Editor'!$B:$B,'Move Editor'!$D:$D,""),pow,XLOOKUP($D81,'Move Editor'!$B:$B,'Move Editor'!$E:$E,0),acc,XLOOKUP($D81,'Move Editor'!$B:$B,'Move Editor'!$F:$F,100),atk,IF(cat="Physical",FLOOR((FLOOR(((2*XLOOKUP(XLOOKUP($K81,'Threshold Summary'!$Y:$Y,'Threshold Summary'!$K:$K,""),'Pokemon Editor'!$A:$A,'Pokemon Editor'!$F:$F,0)+31+FLOOR(XLOOKUP($K81,'Threshold Summary'!$Y:$Y,'Threshold Summary'!$P:$P,"")/4))*XLOOKUP($K81,'Threshold Summary'!$Y:$Y,'Threshold Summary'!$L:$L,""))/100)+5)*XLOOKUP(XLOOKUP($K81,'Threshold Summary'!$Y:$Y,'Threshold Summary'!$M:$M,""),'Nature Editor'!$A:$A,'Nature Editor'!$B:$B,1)),FLOOR((FLOOR(((2*XLOOKUP(XLOOKUP($K81,'Threshold Summary'!$Y:$Y,'Threshold Summary'!$K:$K,""),'Pokemon Editor'!$A:$A,'Pokemon Editor'!$H:$H,0)+31+FLOOR(XLOOKUP($K81,'Threshold Summary'!$Y:$Y,'Threshold Summary'!$R:$R,"")/4))*XLOOKUP($K81,'Threshold Summary'!$Y:$Y,'Threshold Summary'!$L:$L,""))/100)+5)*XLOOKUP(XLOOKUP($K81,'Threshold Summary'!$Y:$Y,'Threshold Summary'!$M:$M,""),'Nature Editor'!$A:$A,'Nature Editor'!$D:$D,1))),def,IF(cat="Physical",FLOOR((FLOOR(((2*XLOOKUP($L81,'Pokemon Editor'!$A:$A,'Pokemon Editor'!$G:$G,0)+31+FLOOR(XLOOKUP($L81,'Boss Editor'!$C:$C,'Boss Editor'!$I:$I,"")/4))*XLOOKUP($L81,'Boss Editor'!$C:$C,'Boss Editor'!$D:$D,""))/100)+5)*XLOOKUP(XLOOKUP($L81,'Boss Editor'!$C:$C,'Boss Editor'!$E:$E,""),'Nature Editor'!$A:$A,'Nature Editor'!$C:$C,1)),FLOOR((FLOOR(((2*XLOOKUP($L81,'Pokemon Editor'!$A:$A,'Pokemon Editor'!$I:$I,0)+31+FLOOR(XLOOKUP($L81,'Boss Editor'!$C:$C,'Boss Editor'!$K:$K,"")/4))*XLOOKUP($L81,'Boss Editor'!$C:$C,'Boss Editor'!$D:$D,""))/100)+5)*XLOOKUP(XLOOKUP($L81,'Boss Editor'!$C:$C,'Boss Editor'!$E:$E,""),'Nature Editor'!$A:$A,'Nature Editor'!$E:$E,1))),stab,IF(OR(mtype=XLOOKUP(XLOOKUP($K81,'Threshold Summary'!$Y:$Y,'Threshold Summary'!$K:$K,""),'Pokemon Editor'!$A:$A,'Pokemon Editor'!$C:$C,""),mtype=XLOOKUP(XLOOKUP($K81,'Threshold Summary'!$Y:$Y,'Threshold Summary'!$K:$K,""),'Pokemon Editor'!$A:$A,'Pokemon Editor'!$D:$D,"")),1.5,1),eff,(INDEX('Type Chart'!$B:$S,MATCH(mtype,'Type Chart'!$A:$A,0),MATCH(XLOOKUP($L81,'Pokemon Editor'!$A:$A,'Pokemon Editor'!$C:$C,""),'Type Chart'!$B$1:$S$1,0))*IF(XLOOKUP($L81,'Pokemon Editor'!$A:$A,'Pokemon Editor'!$D:$D,"")="",1,INDEX('Type Chart'!$B:$S,MATCH(mtype,'Type Chart'!$A:$A,0),MATCH(XLOOKUP($L81,'Pokemon Editor'!$A:$A,'Pokemon Editor'!$D:$D,""),'Type Chart'!$B$1:$S$1,0)))),base,IF(OR(cat="Status",pow=0),0,FLOOR(FLOOR(FLOOR((2*XLOOKUP($K81,'Threshold Summary'!$Y:$Y,'Threshold Summary'!$L:$L,"")/5+2)*pow*atk/def)/50)+2)),modifier,stab*eff,AVERAGE(ARRAYFORMULA(FLOOR(base*modifier*SEQUENCE(16,1,85,1)/100)))),0)</f>
        <v/>
      </c>
      <c r="I81" s="4">
        <f>IFERROR(LET(mtype,XLOOKUP($D81,'Move Editor'!$B:$B,'Move Editor'!$C:$C,""),cat,XLOOKUP($D81,'Move Editor'!$B:$B,'Move Editor'!$D:$D,""),pow,XLOOKUP($D81,'Move Editor'!$B:$B,'Move Editor'!$E:$E,0),acc,XLOOKUP($D81,'Move Editor'!$B:$B,'Move Editor'!$F:$F,100),atk,IF(cat="Physical",FLOOR((FLOOR(((2*XLOOKUP(XLOOKUP($K81,'Threshold Summary'!$Y:$Y,'Threshold Summary'!$K:$K,""),'Pokemon Editor'!$A:$A,'Pokemon Editor'!$F:$F,0)+31+FLOOR(XLOOKUP($K81,'Threshold Summary'!$Y:$Y,'Threshold Summary'!$P:$P,"")/4))*XLOOKUP($K81,'Threshold Summary'!$Y:$Y,'Threshold Summary'!$L:$L,""))/100)+5)*XLOOKUP(XLOOKUP($K81,'Threshold Summary'!$Y:$Y,'Threshold Summary'!$M:$M,""),'Nature Editor'!$A:$A,'Nature Editor'!$B:$B,1)),FLOOR((FLOOR(((2*XLOOKUP(XLOOKUP($K81,'Threshold Summary'!$Y:$Y,'Threshold Summary'!$K:$K,""),'Pokemon Editor'!$A:$A,'Pokemon Editor'!$H:$H,0)+31+FLOOR(XLOOKUP($K81,'Threshold Summary'!$Y:$Y,'Threshold Summary'!$R:$R,"")/4))*XLOOKUP($K81,'Threshold Summary'!$Y:$Y,'Threshold Summary'!$L:$L,""))/100)+5)*XLOOKUP(XLOOKUP($K81,'Threshold Summary'!$Y:$Y,'Threshold Summary'!$M:$M,""),'Nature Editor'!$A:$A,'Nature Editor'!$D:$D,1))),def,IF(cat="Physical",FLOOR((FLOOR(((2*XLOOKUP($L81,'Pokemon Editor'!$A:$A,'Pokemon Editor'!$G:$G,0)+31+FLOOR(XLOOKUP($L81,'Boss Editor'!$C:$C,'Boss Editor'!$I:$I,"")/4))*XLOOKUP($L81,'Boss Editor'!$C:$C,'Boss Editor'!$D:$D,""))/100)+5)*XLOOKUP(XLOOKUP($L81,'Boss Editor'!$C:$C,'Boss Editor'!$E:$E,""),'Nature Editor'!$A:$A,'Nature Editor'!$C:$C,1)),FLOOR((FLOOR(((2*XLOOKUP($L81,'Pokemon Editor'!$A:$A,'Pokemon Editor'!$I:$I,0)+31+FLOOR(XLOOKUP($L81,'Boss Editor'!$C:$C,'Boss Editor'!$K:$K,"")/4))*XLOOKUP($L81,'Boss Editor'!$C:$C,'Boss Editor'!$D:$D,""))/100)+5)*XLOOKUP(XLOOKUP($L81,'Boss Editor'!$C:$C,'Boss Editor'!$E:$E,""),'Nature Editor'!$A:$A,'Nature Editor'!$E:$E,1))),stab,IF(OR(mtype=XLOOKUP(XLOOKUP($K81,'Threshold Summary'!$Y:$Y,'Threshold Summary'!$K:$K,""),'Pokemon Editor'!$A:$A,'Pokemon Editor'!$C:$C,""),mtype=XLOOKUP(XLOOKUP($K81,'Threshold Summary'!$Y:$Y,'Threshold Summary'!$K:$K,""),'Pokemon Editor'!$A:$A,'Pokemon Editor'!$D:$D,"")),1.5,1),eff,(INDEX('Type Chart'!$B:$S,MATCH(mtype,'Type Chart'!$A:$A,0),MATCH(XLOOKUP($L81,'Pokemon Editor'!$A:$A,'Pokemon Editor'!$C:$C,""),'Type Chart'!$B$1:$S$1,0))*IF(XLOOKUP($L81,'Pokemon Editor'!$A:$A,'Pokemon Editor'!$D:$D,"")="",1,INDEX('Type Chart'!$B:$S,MATCH(mtype,'Type Chart'!$A:$A,0),MATCH(XLOOKUP($L81,'Pokemon Editor'!$A:$A,'Pokemon Editor'!$D:$D,""),'Type Chart'!$B$1:$S$1,0)))),base,IF(OR(cat="Status",pow=0),0,FLOOR(FLOOR(FLOOR((2*XLOOKUP($K81,'Threshold Summary'!$Y:$Y,'Threshold Summary'!$L:$L,"")/5+2)*pow*atk/def)/50)+2)),modifier,stab*eff,AVERAGE(ARRAYFORMULA(FLOOR(base*modifier*SEQUENCE(16,1,85,1)/100)))/(FLOOR(((2*XLOOKUP($L81,'Pokemon Editor'!$A:$A,'Pokemon Editor'!$E:$E,0)+31+FLOOR(XLOOKUP($L81,'Boss Editor'!$C:$C,'Boss Editor'!$G:$G,"")/4))*XLOOKUP($L81,'Boss Editor'!$C:$C,'Boss Editor'!$D:$D,""))/100)+XLOOKUP($L81,'Boss Editor'!$C:$C,'Boss Editor'!$D:$D,"")+10)),0)</f>
        <v/>
      </c>
      <c r="J81" s="3">
        <f>IF(I81&gt;=1,"OHKO",IF(I81&gt;=0.5,"2HKO",IF(I81&gt;=0.333,"3HKO",IF(I81&gt;=0.25,"4HKO","5HKO+"))))</f>
        <v/>
      </c>
      <c r="K81" s="3" t="inlineStr">
        <is>
          <t>SPECIES_TOXEL</t>
        </is>
      </c>
      <c r="L81" s="3" t="inlineStr">
        <is>
          <t>SPECIES_ANORITH</t>
        </is>
      </c>
    </row>
    <row r="82">
      <c r="A82" s="3">
        <f>XLOOKUP($K82,'Threshold Summary'!$Y:$Y,'Threshold Summary'!$A:$A,"")</f>
        <v/>
      </c>
      <c r="B82" s="3" t="inlineStr">
        <is>
          <t>Lileep</t>
        </is>
      </c>
      <c r="C82" s="3">
        <f>XLOOKUP($L82,'Boss Editor'!$C:$C,'Boss Editor'!$D:$D,"")</f>
        <v/>
      </c>
      <c r="D82" s="3">
        <f>XLOOKUP($K82,'Threshold Summary'!$Y:$Y,'Threshold Summary'!$B:$B,"")</f>
        <v/>
      </c>
      <c r="E82" s="3">
        <f>XLOOKUP(D82,'Move Editor'!$B:$B,'Move Editor'!$C:$C,"")</f>
        <v/>
      </c>
      <c r="F82" s="3">
        <f>IFERROR(LET(mtype,XLOOKUP($D82,'Move Editor'!$B:$B,'Move Editor'!$C:$C,""),cat,XLOOKUP($D82,'Move Editor'!$B:$B,'Move Editor'!$D:$D,""),pow,XLOOKUP($D82,'Move Editor'!$B:$B,'Move Editor'!$E:$E,0),acc,XLOOKUP($D82,'Move Editor'!$B:$B,'Move Editor'!$F:$F,100),atk,IF(cat="Physical",FLOOR((FLOOR(((2*XLOOKUP(XLOOKUP($K82,'Threshold Summary'!$Y:$Y,'Threshold Summary'!$K:$K,""),'Pokemon Editor'!$A:$A,'Pokemon Editor'!$F:$F,0)+31+FLOOR(XLOOKUP($K82,'Threshold Summary'!$Y:$Y,'Threshold Summary'!$P:$P,"")/4))*XLOOKUP($K82,'Threshold Summary'!$Y:$Y,'Threshold Summary'!$L:$L,""))/100)+5)*XLOOKUP(XLOOKUP($K82,'Threshold Summary'!$Y:$Y,'Threshold Summary'!$M:$M,""),'Nature Editor'!$A:$A,'Nature Editor'!$B:$B,1)),FLOOR((FLOOR(((2*XLOOKUP(XLOOKUP($K82,'Threshold Summary'!$Y:$Y,'Threshold Summary'!$K:$K,""),'Pokemon Editor'!$A:$A,'Pokemon Editor'!$H:$H,0)+31+FLOOR(XLOOKUP($K82,'Threshold Summary'!$Y:$Y,'Threshold Summary'!$R:$R,"")/4))*XLOOKUP($K82,'Threshold Summary'!$Y:$Y,'Threshold Summary'!$L:$L,""))/100)+5)*XLOOKUP(XLOOKUP($K82,'Threshold Summary'!$Y:$Y,'Threshold Summary'!$M:$M,""),'Nature Editor'!$A:$A,'Nature Editor'!$D:$D,1))),def,IF(cat="Physical",FLOOR((FLOOR(((2*XLOOKUP($L82,'Pokemon Editor'!$A:$A,'Pokemon Editor'!$G:$G,0)+31+FLOOR(XLOOKUP($L82,'Boss Editor'!$C:$C,'Boss Editor'!$I:$I,"")/4))*XLOOKUP($L82,'Boss Editor'!$C:$C,'Boss Editor'!$D:$D,""))/100)+5)*XLOOKUP(XLOOKUP($L82,'Boss Editor'!$C:$C,'Boss Editor'!$E:$E,""),'Nature Editor'!$A:$A,'Nature Editor'!$C:$C,1)),FLOOR((FLOOR(((2*XLOOKUP($L82,'Pokemon Editor'!$A:$A,'Pokemon Editor'!$I:$I,0)+31+FLOOR(XLOOKUP($L82,'Boss Editor'!$C:$C,'Boss Editor'!$K:$K,"")/4))*XLOOKUP($L82,'Boss Editor'!$C:$C,'Boss Editor'!$D:$D,""))/100)+5)*XLOOKUP(XLOOKUP($L82,'Boss Editor'!$C:$C,'Boss Editor'!$E:$E,""),'Nature Editor'!$A:$A,'Nature Editor'!$E:$E,1))),stab,IF(OR(mtype=XLOOKUP(XLOOKUP($K82,'Threshold Summary'!$Y:$Y,'Threshold Summary'!$K:$K,""),'Pokemon Editor'!$A:$A,'Pokemon Editor'!$C:$C,""),mtype=XLOOKUP(XLOOKUP($K82,'Threshold Summary'!$Y:$Y,'Threshold Summary'!$K:$K,""),'Pokemon Editor'!$A:$A,'Pokemon Editor'!$D:$D,"")),1.5,1),eff,(INDEX('Type Chart'!$B:$S,MATCH(mtype,'Type Chart'!$A:$A,0),MATCH(XLOOKUP($L82,'Pokemon Editor'!$A:$A,'Pokemon Editor'!$C:$C,""),'Type Chart'!$B$1:$S$1,0))*IF(XLOOKUP($L82,'Pokemon Editor'!$A:$A,'Pokemon Editor'!$D:$D,"")="",1,INDEX('Type Chart'!$B:$S,MATCH(mtype,'Type Chart'!$A:$A,0),MATCH(XLOOKUP($L82,'Pokemon Editor'!$A:$A,'Pokemon Editor'!$D:$D,""),'Type Chart'!$B$1:$S$1,0)))),base,IF(OR(cat="Status",pow=0),0,FLOOR(FLOOR(FLOOR((2*XLOOKUP($K82,'Threshold Summary'!$Y:$Y,'Threshold Summary'!$L:$L,"")/5+2)*pow*atk/def)/50)+2)),modifier,stab*eff,FLOOR(base*modifier*0.85)),0)</f>
        <v/>
      </c>
      <c r="G82" s="3">
        <f>IFERROR(LET(mtype,XLOOKUP($D82,'Move Editor'!$B:$B,'Move Editor'!$C:$C,""),cat,XLOOKUP($D82,'Move Editor'!$B:$B,'Move Editor'!$D:$D,""),pow,XLOOKUP($D82,'Move Editor'!$B:$B,'Move Editor'!$E:$E,0),acc,XLOOKUP($D82,'Move Editor'!$B:$B,'Move Editor'!$F:$F,100),atk,IF(cat="Physical",FLOOR((FLOOR(((2*XLOOKUP(XLOOKUP($K82,'Threshold Summary'!$Y:$Y,'Threshold Summary'!$K:$K,""),'Pokemon Editor'!$A:$A,'Pokemon Editor'!$F:$F,0)+31+FLOOR(XLOOKUP($K82,'Threshold Summary'!$Y:$Y,'Threshold Summary'!$P:$P,"")/4))*XLOOKUP($K82,'Threshold Summary'!$Y:$Y,'Threshold Summary'!$L:$L,""))/100)+5)*XLOOKUP(XLOOKUP($K82,'Threshold Summary'!$Y:$Y,'Threshold Summary'!$M:$M,""),'Nature Editor'!$A:$A,'Nature Editor'!$B:$B,1)),FLOOR((FLOOR(((2*XLOOKUP(XLOOKUP($K82,'Threshold Summary'!$Y:$Y,'Threshold Summary'!$K:$K,""),'Pokemon Editor'!$A:$A,'Pokemon Editor'!$H:$H,0)+31+FLOOR(XLOOKUP($K82,'Threshold Summary'!$Y:$Y,'Threshold Summary'!$R:$R,"")/4))*XLOOKUP($K82,'Threshold Summary'!$Y:$Y,'Threshold Summary'!$L:$L,""))/100)+5)*XLOOKUP(XLOOKUP($K82,'Threshold Summary'!$Y:$Y,'Threshold Summary'!$M:$M,""),'Nature Editor'!$A:$A,'Nature Editor'!$D:$D,1))),def,IF(cat="Physical",FLOOR((FLOOR(((2*XLOOKUP($L82,'Pokemon Editor'!$A:$A,'Pokemon Editor'!$G:$G,0)+31+FLOOR(XLOOKUP($L82,'Boss Editor'!$C:$C,'Boss Editor'!$I:$I,"")/4))*XLOOKUP($L82,'Boss Editor'!$C:$C,'Boss Editor'!$D:$D,""))/100)+5)*XLOOKUP(XLOOKUP($L82,'Boss Editor'!$C:$C,'Boss Editor'!$E:$E,""),'Nature Editor'!$A:$A,'Nature Editor'!$C:$C,1)),FLOOR((FLOOR(((2*XLOOKUP($L82,'Pokemon Editor'!$A:$A,'Pokemon Editor'!$I:$I,0)+31+FLOOR(XLOOKUP($L82,'Boss Editor'!$C:$C,'Boss Editor'!$K:$K,"")/4))*XLOOKUP($L82,'Boss Editor'!$C:$C,'Boss Editor'!$D:$D,""))/100)+5)*XLOOKUP(XLOOKUP($L82,'Boss Editor'!$C:$C,'Boss Editor'!$E:$E,""),'Nature Editor'!$A:$A,'Nature Editor'!$E:$E,1))),stab,IF(OR(mtype=XLOOKUP(XLOOKUP($K82,'Threshold Summary'!$Y:$Y,'Threshold Summary'!$K:$K,""),'Pokemon Editor'!$A:$A,'Pokemon Editor'!$C:$C,""),mtype=XLOOKUP(XLOOKUP($K82,'Threshold Summary'!$Y:$Y,'Threshold Summary'!$K:$K,""),'Pokemon Editor'!$A:$A,'Pokemon Editor'!$D:$D,"")),1.5,1),eff,(INDEX('Type Chart'!$B:$S,MATCH(mtype,'Type Chart'!$A:$A,0),MATCH(XLOOKUP($L82,'Pokemon Editor'!$A:$A,'Pokemon Editor'!$C:$C,""),'Type Chart'!$B$1:$S$1,0))*IF(XLOOKUP($L82,'Pokemon Editor'!$A:$A,'Pokemon Editor'!$D:$D,"")="",1,INDEX('Type Chart'!$B:$S,MATCH(mtype,'Type Chart'!$A:$A,0),MATCH(XLOOKUP($L82,'Pokemon Editor'!$A:$A,'Pokemon Editor'!$D:$D,""),'Type Chart'!$B$1:$S$1,0)))),base,IF(OR(cat="Status",pow=0),0,FLOOR(FLOOR(FLOOR((2*XLOOKUP($K82,'Threshold Summary'!$Y:$Y,'Threshold Summary'!$L:$L,"")/5+2)*pow*atk/def)/50)+2)),modifier,stab*eff,FLOOR(base*modifier)),0)</f>
        <v/>
      </c>
      <c r="H82" s="3">
        <f>IFERROR(LET(mtype,XLOOKUP($D82,'Move Editor'!$B:$B,'Move Editor'!$C:$C,""),cat,XLOOKUP($D82,'Move Editor'!$B:$B,'Move Editor'!$D:$D,""),pow,XLOOKUP($D82,'Move Editor'!$B:$B,'Move Editor'!$E:$E,0),acc,XLOOKUP($D82,'Move Editor'!$B:$B,'Move Editor'!$F:$F,100),atk,IF(cat="Physical",FLOOR((FLOOR(((2*XLOOKUP(XLOOKUP($K82,'Threshold Summary'!$Y:$Y,'Threshold Summary'!$K:$K,""),'Pokemon Editor'!$A:$A,'Pokemon Editor'!$F:$F,0)+31+FLOOR(XLOOKUP($K82,'Threshold Summary'!$Y:$Y,'Threshold Summary'!$P:$P,"")/4))*XLOOKUP($K82,'Threshold Summary'!$Y:$Y,'Threshold Summary'!$L:$L,""))/100)+5)*XLOOKUP(XLOOKUP($K82,'Threshold Summary'!$Y:$Y,'Threshold Summary'!$M:$M,""),'Nature Editor'!$A:$A,'Nature Editor'!$B:$B,1)),FLOOR((FLOOR(((2*XLOOKUP(XLOOKUP($K82,'Threshold Summary'!$Y:$Y,'Threshold Summary'!$K:$K,""),'Pokemon Editor'!$A:$A,'Pokemon Editor'!$H:$H,0)+31+FLOOR(XLOOKUP($K82,'Threshold Summary'!$Y:$Y,'Threshold Summary'!$R:$R,"")/4))*XLOOKUP($K82,'Threshold Summary'!$Y:$Y,'Threshold Summary'!$L:$L,""))/100)+5)*XLOOKUP(XLOOKUP($K82,'Threshold Summary'!$Y:$Y,'Threshold Summary'!$M:$M,""),'Nature Editor'!$A:$A,'Nature Editor'!$D:$D,1))),def,IF(cat="Physical",FLOOR((FLOOR(((2*XLOOKUP($L82,'Pokemon Editor'!$A:$A,'Pokemon Editor'!$G:$G,0)+31+FLOOR(XLOOKUP($L82,'Boss Editor'!$C:$C,'Boss Editor'!$I:$I,"")/4))*XLOOKUP($L82,'Boss Editor'!$C:$C,'Boss Editor'!$D:$D,""))/100)+5)*XLOOKUP(XLOOKUP($L82,'Boss Editor'!$C:$C,'Boss Editor'!$E:$E,""),'Nature Editor'!$A:$A,'Nature Editor'!$C:$C,1)),FLOOR((FLOOR(((2*XLOOKUP($L82,'Pokemon Editor'!$A:$A,'Pokemon Editor'!$I:$I,0)+31+FLOOR(XLOOKUP($L82,'Boss Editor'!$C:$C,'Boss Editor'!$K:$K,"")/4))*XLOOKUP($L82,'Boss Editor'!$C:$C,'Boss Editor'!$D:$D,""))/100)+5)*XLOOKUP(XLOOKUP($L82,'Boss Editor'!$C:$C,'Boss Editor'!$E:$E,""),'Nature Editor'!$A:$A,'Nature Editor'!$E:$E,1))),stab,IF(OR(mtype=XLOOKUP(XLOOKUP($K82,'Threshold Summary'!$Y:$Y,'Threshold Summary'!$K:$K,""),'Pokemon Editor'!$A:$A,'Pokemon Editor'!$C:$C,""),mtype=XLOOKUP(XLOOKUP($K82,'Threshold Summary'!$Y:$Y,'Threshold Summary'!$K:$K,""),'Pokemon Editor'!$A:$A,'Pokemon Editor'!$D:$D,"")),1.5,1),eff,(INDEX('Type Chart'!$B:$S,MATCH(mtype,'Type Chart'!$A:$A,0),MATCH(XLOOKUP($L82,'Pokemon Editor'!$A:$A,'Pokemon Editor'!$C:$C,""),'Type Chart'!$B$1:$S$1,0))*IF(XLOOKUP($L82,'Pokemon Editor'!$A:$A,'Pokemon Editor'!$D:$D,"")="",1,INDEX('Type Chart'!$B:$S,MATCH(mtype,'Type Chart'!$A:$A,0),MATCH(XLOOKUP($L82,'Pokemon Editor'!$A:$A,'Pokemon Editor'!$D:$D,""),'Type Chart'!$B$1:$S$1,0)))),base,IF(OR(cat="Status",pow=0),0,FLOOR(FLOOR(FLOOR((2*XLOOKUP($K82,'Threshold Summary'!$Y:$Y,'Threshold Summary'!$L:$L,"")/5+2)*pow*atk/def)/50)+2)),modifier,stab*eff,AVERAGE(ARRAYFORMULA(FLOOR(base*modifier*SEQUENCE(16,1,85,1)/100)))),0)</f>
        <v/>
      </c>
      <c r="I82" s="4">
        <f>IFERROR(LET(mtype,XLOOKUP($D82,'Move Editor'!$B:$B,'Move Editor'!$C:$C,""),cat,XLOOKUP($D82,'Move Editor'!$B:$B,'Move Editor'!$D:$D,""),pow,XLOOKUP($D82,'Move Editor'!$B:$B,'Move Editor'!$E:$E,0),acc,XLOOKUP($D82,'Move Editor'!$B:$B,'Move Editor'!$F:$F,100),atk,IF(cat="Physical",FLOOR((FLOOR(((2*XLOOKUP(XLOOKUP($K82,'Threshold Summary'!$Y:$Y,'Threshold Summary'!$K:$K,""),'Pokemon Editor'!$A:$A,'Pokemon Editor'!$F:$F,0)+31+FLOOR(XLOOKUP($K82,'Threshold Summary'!$Y:$Y,'Threshold Summary'!$P:$P,"")/4))*XLOOKUP($K82,'Threshold Summary'!$Y:$Y,'Threshold Summary'!$L:$L,""))/100)+5)*XLOOKUP(XLOOKUP($K82,'Threshold Summary'!$Y:$Y,'Threshold Summary'!$M:$M,""),'Nature Editor'!$A:$A,'Nature Editor'!$B:$B,1)),FLOOR((FLOOR(((2*XLOOKUP(XLOOKUP($K82,'Threshold Summary'!$Y:$Y,'Threshold Summary'!$K:$K,""),'Pokemon Editor'!$A:$A,'Pokemon Editor'!$H:$H,0)+31+FLOOR(XLOOKUP($K82,'Threshold Summary'!$Y:$Y,'Threshold Summary'!$R:$R,"")/4))*XLOOKUP($K82,'Threshold Summary'!$Y:$Y,'Threshold Summary'!$L:$L,""))/100)+5)*XLOOKUP(XLOOKUP($K82,'Threshold Summary'!$Y:$Y,'Threshold Summary'!$M:$M,""),'Nature Editor'!$A:$A,'Nature Editor'!$D:$D,1))),def,IF(cat="Physical",FLOOR((FLOOR(((2*XLOOKUP($L82,'Pokemon Editor'!$A:$A,'Pokemon Editor'!$G:$G,0)+31+FLOOR(XLOOKUP($L82,'Boss Editor'!$C:$C,'Boss Editor'!$I:$I,"")/4))*XLOOKUP($L82,'Boss Editor'!$C:$C,'Boss Editor'!$D:$D,""))/100)+5)*XLOOKUP(XLOOKUP($L82,'Boss Editor'!$C:$C,'Boss Editor'!$E:$E,""),'Nature Editor'!$A:$A,'Nature Editor'!$C:$C,1)),FLOOR((FLOOR(((2*XLOOKUP($L82,'Pokemon Editor'!$A:$A,'Pokemon Editor'!$I:$I,0)+31+FLOOR(XLOOKUP($L82,'Boss Editor'!$C:$C,'Boss Editor'!$K:$K,"")/4))*XLOOKUP($L82,'Boss Editor'!$C:$C,'Boss Editor'!$D:$D,""))/100)+5)*XLOOKUP(XLOOKUP($L82,'Boss Editor'!$C:$C,'Boss Editor'!$E:$E,""),'Nature Editor'!$A:$A,'Nature Editor'!$E:$E,1))),stab,IF(OR(mtype=XLOOKUP(XLOOKUP($K82,'Threshold Summary'!$Y:$Y,'Threshold Summary'!$K:$K,""),'Pokemon Editor'!$A:$A,'Pokemon Editor'!$C:$C,""),mtype=XLOOKUP(XLOOKUP($K82,'Threshold Summary'!$Y:$Y,'Threshold Summary'!$K:$K,""),'Pokemon Editor'!$A:$A,'Pokemon Editor'!$D:$D,"")),1.5,1),eff,(INDEX('Type Chart'!$B:$S,MATCH(mtype,'Type Chart'!$A:$A,0),MATCH(XLOOKUP($L82,'Pokemon Editor'!$A:$A,'Pokemon Editor'!$C:$C,""),'Type Chart'!$B$1:$S$1,0))*IF(XLOOKUP($L82,'Pokemon Editor'!$A:$A,'Pokemon Editor'!$D:$D,"")="",1,INDEX('Type Chart'!$B:$S,MATCH(mtype,'Type Chart'!$A:$A,0),MATCH(XLOOKUP($L82,'Pokemon Editor'!$A:$A,'Pokemon Editor'!$D:$D,""),'Type Chart'!$B$1:$S$1,0)))),base,IF(OR(cat="Status",pow=0),0,FLOOR(FLOOR(FLOOR((2*XLOOKUP($K82,'Threshold Summary'!$Y:$Y,'Threshold Summary'!$L:$L,"")/5+2)*pow*atk/def)/50)+2)),modifier,stab*eff,AVERAGE(ARRAYFORMULA(FLOOR(base*modifier*SEQUENCE(16,1,85,1)/100)))/(FLOOR(((2*XLOOKUP($L82,'Pokemon Editor'!$A:$A,'Pokemon Editor'!$E:$E,0)+31+FLOOR(XLOOKUP($L82,'Boss Editor'!$C:$C,'Boss Editor'!$G:$G,"")/4))*XLOOKUP($L82,'Boss Editor'!$C:$C,'Boss Editor'!$D:$D,""))/100)+XLOOKUP($L82,'Boss Editor'!$C:$C,'Boss Editor'!$D:$D,"")+10)),0)</f>
        <v/>
      </c>
      <c r="J82" s="3">
        <f>IF(I82&gt;=1,"OHKO",IF(I82&gt;=0.5,"2HKO",IF(I82&gt;=0.333,"3HKO",IF(I82&gt;=0.25,"4HKO","5HKO+"))))</f>
        <v/>
      </c>
      <c r="K82" s="3" t="inlineStr">
        <is>
          <t>SPECIES_TOXEL</t>
        </is>
      </c>
      <c r="L82" s="3" t="inlineStr">
        <is>
          <t>SPECIES_LILEEP</t>
        </is>
      </c>
    </row>
    <row r="83">
      <c r="A83" s="3">
        <f>XLOOKUP($K83,'Threshold Summary'!$Y:$Y,'Threshold Summary'!$A:$A,"")</f>
        <v/>
      </c>
      <c r="B83" s="3" t="inlineStr">
        <is>
          <t>Tirtouga</t>
        </is>
      </c>
      <c r="C83" s="3">
        <f>XLOOKUP($L83,'Boss Editor'!$C:$C,'Boss Editor'!$D:$D,"")</f>
        <v/>
      </c>
      <c r="D83" s="3">
        <f>XLOOKUP($K83,'Threshold Summary'!$Y:$Y,'Threshold Summary'!$B:$B,"")</f>
        <v/>
      </c>
      <c r="E83" s="3">
        <f>XLOOKUP(D83,'Move Editor'!$B:$B,'Move Editor'!$C:$C,"")</f>
        <v/>
      </c>
      <c r="F83" s="3">
        <f>IFERROR(LET(mtype,XLOOKUP($D83,'Move Editor'!$B:$B,'Move Editor'!$C:$C,""),cat,XLOOKUP($D83,'Move Editor'!$B:$B,'Move Editor'!$D:$D,""),pow,XLOOKUP($D83,'Move Editor'!$B:$B,'Move Editor'!$E:$E,0),acc,XLOOKUP($D83,'Move Editor'!$B:$B,'Move Editor'!$F:$F,100),atk,IF(cat="Physical",FLOOR((FLOOR(((2*XLOOKUP(XLOOKUP($K83,'Threshold Summary'!$Y:$Y,'Threshold Summary'!$K:$K,""),'Pokemon Editor'!$A:$A,'Pokemon Editor'!$F:$F,0)+31+FLOOR(XLOOKUP($K83,'Threshold Summary'!$Y:$Y,'Threshold Summary'!$P:$P,"")/4))*XLOOKUP($K83,'Threshold Summary'!$Y:$Y,'Threshold Summary'!$L:$L,""))/100)+5)*XLOOKUP(XLOOKUP($K83,'Threshold Summary'!$Y:$Y,'Threshold Summary'!$M:$M,""),'Nature Editor'!$A:$A,'Nature Editor'!$B:$B,1)),FLOOR((FLOOR(((2*XLOOKUP(XLOOKUP($K83,'Threshold Summary'!$Y:$Y,'Threshold Summary'!$K:$K,""),'Pokemon Editor'!$A:$A,'Pokemon Editor'!$H:$H,0)+31+FLOOR(XLOOKUP($K83,'Threshold Summary'!$Y:$Y,'Threshold Summary'!$R:$R,"")/4))*XLOOKUP($K83,'Threshold Summary'!$Y:$Y,'Threshold Summary'!$L:$L,""))/100)+5)*XLOOKUP(XLOOKUP($K83,'Threshold Summary'!$Y:$Y,'Threshold Summary'!$M:$M,""),'Nature Editor'!$A:$A,'Nature Editor'!$D:$D,1))),def,IF(cat="Physical",FLOOR((FLOOR(((2*XLOOKUP($L83,'Pokemon Editor'!$A:$A,'Pokemon Editor'!$G:$G,0)+31+FLOOR(XLOOKUP($L83,'Boss Editor'!$C:$C,'Boss Editor'!$I:$I,"")/4))*XLOOKUP($L83,'Boss Editor'!$C:$C,'Boss Editor'!$D:$D,""))/100)+5)*XLOOKUP(XLOOKUP($L83,'Boss Editor'!$C:$C,'Boss Editor'!$E:$E,""),'Nature Editor'!$A:$A,'Nature Editor'!$C:$C,1)),FLOOR((FLOOR(((2*XLOOKUP($L83,'Pokemon Editor'!$A:$A,'Pokemon Editor'!$I:$I,0)+31+FLOOR(XLOOKUP($L83,'Boss Editor'!$C:$C,'Boss Editor'!$K:$K,"")/4))*XLOOKUP($L83,'Boss Editor'!$C:$C,'Boss Editor'!$D:$D,""))/100)+5)*XLOOKUP(XLOOKUP($L83,'Boss Editor'!$C:$C,'Boss Editor'!$E:$E,""),'Nature Editor'!$A:$A,'Nature Editor'!$E:$E,1))),stab,IF(OR(mtype=XLOOKUP(XLOOKUP($K83,'Threshold Summary'!$Y:$Y,'Threshold Summary'!$K:$K,""),'Pokemon Editor'!$A:$A,'Pokemon Editor'!$C:$C,""),mtype=XLOOKUP(XLOOKUP($K83,'Threshold Summary'!$Y:$Y,'Threshold Summary'!$K:$K,""),'Pokemon Editor'!$A:$A,'Pokemon Editor'!$D:$D,"")),1.5,1),eff,(INDEX('Type Chart'!$B:$S,MATCH(mtype,'Type Chart'!$A:$A,0),MATCH(XLOOKUP($L83,'Pokemon Editor'!$A:$A,'Pokemon Editor'!$C:$C,""),'Type Chart'!$B$1:$S$1,0))*IF(XLOOKUP($L83,'Pokemon Editor'!$A:$A,'Pokemon Editor'!$D:$D,"")="",1,INDEX('Type Chart'!$B:$S,MATCH(mtype,'Type Chart'!$A:$A,0),MATCH(XLOOKUP($L83,'Pokemon Editor'!$A:$A,'Pokemon Editor'!$D:$D,""),'Type Chart'!$B$1:$S$1,0)))),base,IF(OR(cat="Status",pow=0),0,FLOOR(FLOOR(FLOOR((2*XLOOKUP($K83,'Threshold Summary'!$Y:$Y,'Threshold Summary'!$L:$L,"")/5+2)*pow*atk/def)/50)+2)),modifier,stab*eff,FLOOR(base*modifier*0.85)),0)</f>
        <v/>
      </c>
      <c r="G83" s="3">
        <f>IFERROR(LET(mtype,XLOOKUP($D83,'Move Editor'!$B:$B,'Move Editor'!$C:$C,""),cat,XLOOKUP($D83,'Move Editor'!$B:$B,'Move Editor'!$D:$D,""),pow,XLOOKUP($D83,'Move Editor'!$B:$B,'Move Editor'!$E:$E,0),acc,XLOOKUP($D83,'Move Editor'!$B:$B,'Move Editor'!$F:$F,100),atk,IF(cat="Physical",FLOOR((FLOOR(((2*XLOOKUP(XLOOKUP($K83,'Threshold Summary'!$Y:$Y,'Threshold Summary'!$K:$K,""),'Pokemon Editor'!$A:$A,'Pokemon Editor'!$F:$F,0)+31+FLOOR(XLOOKUP($K83,'Threshold Summary'!$Y:$Y,'Threshold Summary'!$P:$P,"")/4))*XLOOKUP($K83,'Threshold Summary'!$Y:$Y,'Threshold Summary'!$L:$L,""))/100)+5)*XLOOKUP(XLOOKUP($K83,'Threshold Summary'!$Y:$Y,'Threshold Summary'!$M:$M,""),'Nature Editor'!$A:$A,'Nature Editor'!$B:$B,1)),FLOOR((FLOOR(((2*XLOOKUP(XLOOKUP($K83,'Threshold Summary'!$Y:$Y,'Threshold Summary'!$K:$K,""),'Pokemon Editor'!$A:$A,'Pokemon Editor'!$H:$H,0)+31+FLOOR(XLOOKUP($K83,'Threshold Summary'!$Y:$Y,'Threshold Summary'!$R:$R,"")/4))*XLOOKUP($K83,'Threshold Summary'!$Y:$Y,'Threshold Summary'!$L:$L,""))/100)+5)*XLOOKUP(XLOOKUP($K83,'Threshold Summary'!$Y:$Y,'Threshold Summary'!$M:$M,""),'Nature Editor'!$A:$A,'Nature Editor'!$D:$D,1))),def,IF(cat="Physical",FLOOR((FLOOR(((2*XLOOKUP($L83,'Pokemon Editor'!$A:$A,'Pokemon Editor'!$G:$G,0)+31+FLOOR(XLOOKUP($L83,'Boss Editor'!$C:$C,'Boss Editor'!$I:$I,"")/4))*XLOOKUP($L83,'Boss Editor'!$C:$C,'Boss Editor'!$D:$D,""))/100)+5)*XLOOKUP(XLOOKUP($L83,'Boss Editor'!$C:$C,'Boss Editor'!$E:$E,""),'Nature Editor'!$A:$A,'Nature Editor'!$C:$C,1)),FLOOR((FLOOR(((2*XLOOKUP($L83,'Pokemon Editor'!$A:$A,'Pokemon Editor'!$I:$I,0)+31+FLOOR(XLOOKUP($L83,'Boss Editor'!$C:$C,'Boss Editor'!$K:$K,"")/4))*XLOOKUP($L83,'Boss Editor'!$C:$C,'Boss Editor'!$D:$D,""))/100)+5)*XLOOKUP(XLOOKUP($L83,'Boss Editor'!$C:$C,'Boss Editor'!$E:$E,""),'Nature Editor'!$A:$A,'Nature Editor'!$E:$E,1))),stab,IF(OR(mtype=XLOOKUP(XLOOKUP($K83,'Threshold Summary'!$Y:$Y,'Threshold Summary'!$K:$K,""),'Pokemon Editor'!$A:$A,'Pokemon Editor'!$C:$C,""),mtype=XLOOKUP(XLOOKUP($K83,'Threshold Summary'!$Y:$Y,'Threshold Summary'!$K:$K,""),'Pokemon Editor'!$A:$A,'Pokemon Editor'!$D:$D,"")),1.5,1),eff,(INDEX('Type Chart'!$B:$S,MATCH(mtype,'Type Chart'!$A:$A,0),MATCH(XLOOKUP($L83,'Pokemon Editor'!$A:$A,'Pokemon Editor'!$C:$C,""),'Type Chart'!$B$1:$S$1,0))*IF(XLOOKUP($L83,'Pokemon Editor'!$A:$A,'Pokemon Editor'!$D:$D,"")="",1,INDEX('Type Chart'!$B:$S,MATCH(mtype,'Type Chart'!$A:$A,0),MATCH(XLOOKUP($L83,'Pokemon Editor'!$A:$A,'Pokemon Editor'!$D:$D,""),'Type Chart'!$B$1:$S$1,0)))),base,IF(OR(cat="Status",pow=0),0,FLOOR(FLOOR(FLOOR((2*XLOOKUP($K83,'Threshold Summary'!$Y:$Y,'Threshold Summary'!$L:$L,"")/5+2)*pow*atk/def)/50)+2)),modifier,stab*eff,FLOOR(base*modifier)),0)</f>
        <v/>
      </c>
      <c r="H83" s="3">
        <f>IFERROR(LET(mtype,XLOOKUP($D83,'Move Editor'!$B:$B,'Move Editor'!$C:$C,""),cat,XLOOKUP($D83,'Move Editor'!$B:$B,'Move Editor'!$D:$D,""),pow,XLOOKUP($D83,'Move Editor'!$B:$B,'Move Editor'!$E:$E,0),acc,XLOOKUP($D83,'Move Editor'!$B:$B,'Move Editor'!$F:$F,100),atk,IF(cat="Physical",FLOOR((FLOOR(((2*XLOOKUP(XLOOKUP($K83,'Threshold Summary'!$Y:$Y,'Threshold Summary'!$K:$K,""),'Pokemon Editor'!$A:$A,'Pokemon Editor'!$F:$F,0)+31+FLOOR(XLOOKUP($K83,'Threshold Summary'!$Y:$Y,'Threshold Summary'!$P:$P,"")/4))*XLOOKUP($K83,'Threshold Summary'!$Y:$Y,'Threshold Summary'!$L:$L,""))/100)+5)*XLOOKUP(XLOOKUP($K83,'Threshold Summary'!$Y:$Y,'Threshold Summary'!$M:$M,""),'Nature Editor'!$A:$A,'Nature Editor'!$B:$B,1)),FLOOR((FLOOR(((2*XLOOKUP(XLOOKUP($K83,'Threshold Summary'!$Y:$Y,'Threshold Summary'!$K:$K,""),'Pokemon Editor'!$A:$A,'Pokemon Editor'!$H:$H,0)+31+FLOOR(XLOOKUP($K83,'Threshold Summary'!$Y:$Y,'Threshold Summary'!$R:$R,"")/4))*XLOOKUP($K83,'Threshold Summary'!$Y:$Y,'Threshold Summary'!$L:$L,""))/100)+5)*XLOOKUP(XLOOKUP($K83,'Threshold Summary'!$Y:$Y,'Threshold Summary'!$M:$M,""),'Nature Editor'!$A:$A,'Nature Editor'!$D:$D,1))),def,IF(cat="Physical",FLOOR((FLOOR(((2*XLOOKUP($L83,'Pokemon Editor'!$A:$A,'Pokemon Editor'!$G:$G,0)+31+FLOOR(XLOOKUP($L83,'Boss Editor'!$C:$C,'Boss Editor'!$I:$I,"")/4))*XLOOKUP($L83,'Boss Editor'!$C:$C,'Boss Editor'!$D:$D,""))/100)+5)*XLOOKUP(XLOOKUP($L83,'Boss Editor'!$C:$C,'Boss Editor'!$E:$E,""),'Nature Editor'!$A:$A,'Nature Editor'!$C:$C,1)),FLOOR((FLOOR(((2*XLOOKUP($L83,'Pokemon Editor'!$A:$A,'Pokemon Editor'!$I:$I,0)+31+FLOOR(XLOOKUP($L83,'Boss Editor'!$C:$C,'Boss Editor'!$K:$K,"")/4))*XLOOKUP($L83,'Boss Editor'!$C:$C,'Boss Editor'!$D:$D,""))/100)+5)*XLOOKUP(XLOOKUP($L83,'Boss Editor'!$C:$C,'Boss Editor'!$E:$E,""),'Nature Editor'!$A:$A,'Nature Editor'!$E:$E,1))),stab,IF(OR(mtype=XLOOKUP(XLOOKUP($K83,'Threshold Summary'!$Y:$Y,'Threshold Summary'!$K:$K,""),'Pokemon Editor'!$A:$A,'Pokemon Editor'!$C:$C,""),mtype=XLOOKUP(XLOOKUP($K83,'Threshold Summary'!$Y:$Y,'Threshold Summary'!$K:$K,""),'Pokemon Editor'!$A:$A,'Pokemon Editor'!$D:$D,"")),1.5,1),eff,(INDEX('Type Chart'!$B:$S,MATCH(mtype,'Type Chart'!$A:$A,0),MATCH(XLOOKUP($L83,'Pokemon Editor'!$A:$A,'Pokemon Editor'!$C:$C,""),'Type Chart'!$B$1:$S$1,0))*IF(XLOOKUP($L83,'Pokemon Editor'!$A:$A,'Pokemon Editor'!$D:$D,"")="",1,INDEX('Type Chart'!$B:$S,MATCH(mtype,'Type Chart'!$A:$A,0),MATCH(XLOOKUP($L83,'Pokemon Editor'!$A:$A,'Pokemon Editor'!$D:$D,""),'Type Chart'!$B$1:$S$1,0)))),base,IF(OR(cat="Status",pow=0),0,FLOOR(FLOOR(FLOOR((2*XLOOKUP($K83,'Threshold Summary'!$Y:$Y,'Threshold Summary'!$L:$L,"")/5+2)*pow*atk/def)/50)+2)),modifier,stab*eff,AVERAGE(ARRAYFORMULA(FLOOR(base*modifier*SEQUENCE(16,1,85,1)/100)))),0)</f>
        <v/>
      </c>
      <c r="I83" s="4">
        <f>IFERROR(LET(mtype,XLOOKUP($D83,'Move Editor'!$B:$B,'Move Editor'!$C:$C,""),cat,XLOOKUP($D83,'Move Editor'!$B:$B,'Move Editor'!$D:$D,""),pow,XLOOKUP($D83,'Move Editor'!$B:$B,'Move Editor'!$E:$E,0),acc,XLOOKUP($D83,'Move Editor'!$B:$B,'Move Editor'!$F:$F,100),atk,IF(cat="Physical",FLOOR((FLOOR(((2*XLOOKUP(XLOOKUP($K83,'Threshold Summary'!$Y:$Y,'Threshold Summary'!$K:$K,""),'Pokemon Editor'!$A:$A,'Pokemon Editor'!$F:$F,0)+31+FLOOR(XLOOKUP($K83,'Threshold Summary'!$Y:$Y,'Threshold Summary'!$P:$P,"")/4))*XLOOKUP($K83,'Threshold Summary'!$Y:$Y,'Threshold Summary'!$L:$L,""))/100)+5)*XLOOKUP(XLOOKUP($K83,'Threshold Summary'!$Y:$Y,'Threshold Summary'!$M:$M,""),'Nature Editor'!$A:$A,'Nature Editor'!$B:$B,1)),FLOOR((FLOOR(((2*XLOOKUP(XLOOKUP($K83,'Threshold Summary'!$Y:$Y,'Threshold Summary'!$K:$K,""),'Pokemon Editor'!$A:$A,'Pokemon Editor'!$H:$H,0)+31+FLOOR(XLOOKUP($K83,'Threshold Summary'!$Y:$Y,'Threshold Summary'!$R:$R,"")/4))*XLOOKUP($K83,'Threshold Summary'!$Y:$Y,'Threshold Summary'!$L:$L,""))/100)+5)*XLOOKUP(XLOOKUP($K83,'Threshold Summary'!$Y:$Y,'Threshold Summary'!$M:$M,""),'Nature Editor'!$A:$A,'Nature Editor'!$D:$D,1))),def,IF(cat="Physical",FLOOR((FLOOR(((2*XLOOKUP($L83,'Pokemon Editor'!$A:$A,'Pokemon Editor'!$G:$G,0)+31+FLOOR(XLOOKUP($L83,'Boss Editor'!$C:$C,'Boss Editor'!$I:$I,"")/4))*XLOOKUP($L83,'Boss Editor'!$C:$C,'Boss Editor'!$D:$D,""))/100)+5)*XLOOKUP(XLOOKUP($L83,'Boss Editor'!$C:$C,'Boss Editor'!$E:$E,""),'Nature Editor'!$A:$A,'Nature Editor'!$C:$C,1)),FLOOR((FLOOR(((2*XLOOKUP($L83,'Pokemon Editor'!$A:$A,'Pokemon Editor'!$I:$I,0)+31+FLOOR(XLOOKUP($L83,'Boss Editor'!$C:$C,'Boss Editor'!$K:$K,"")/4))*XLOOKUP($L83,'Boss Editor'!$C:$C,'Boss Editor'!$D:$D,""))/100)+5)*XLOOKUP(XLOOKUP($L83,'Boss Editor'!$C:$C,'Boss Editor'!$E:$E,""),'Nature Editor'!$A:$A,'Nature Editor'!$E:$E,1))),stab,IF(OR(mtype=XLOOKUP(XLOOKUP($K83,'Threshold Summary'!$Y:$Y,'Threshold Summary'!$K:$K,""),'Pokemon Editor'!$A:$A,'Pokemon Editor'!$C:$C,""),mtype=XLOOKUP(XLOOKUP($K83,'Threshold Summary'!$Y:$Y,'Threshold Summary'!$K:$K,""),'Pokemon Editor'!$A:$A,'Pokemon Editor'!$D:$D,"")),1.5,1),eff,(INDEX('Type Chart'!$B:$S,MATCH(mtype,'Type Chart'!$A:$A,0),MATCH(XLOOKUP($L83,'Pokemon Editor'!$A:$A,'Pokemon Editor'!$C:$C,""),'Type Chart'!$B$1:$S$1,0))*IF(XLOOKUP($L83,'Pokemon Editor'!$A:$A,'Pokemon Editor'!$D:$D,"")="",1,INDEX('Type Chart'!$B:$S,MATCH(mtype,'Type Chart'!$A:$A,0),MATCH(XLOOKUP($L83,'Pokemon Editor'!$A:$A,'Pokemon Editor'!$D:$D,""),'Type Chart'!$B$1:$S$1,0)))),base,IF(OR(cat="Status",pow=0),0,FLOOR(FLOOR(FLOOR((2*XLOOKUP($K83,'Threshold Summary'!$Y:$Y,'Threshold Summary'!$L:$L,"")/5+2)*pow*atk/def)/50)+2)),modifier,stab*eff,AVERAGE(ARRAYFORMULA(FLOOR(base*modifier*SEQUENCE(16,1,85,1)/100)))/(FLOOR(((2*XLOOKUP($L83,'Pokemon Editor'!$A:$A,'Pokemon Editor'!$E:$E,0)+31+FLOOR(XLOOKUP($L83,'Boss Editor'!$C:$C,'Boss Editor'!$G:$G,"")/4))*XLOOKUP($L83,'Boss Editor'!$C:$C,'Boss Editor'!$D:$D,""))/100)+XLOOKUP($L83,'Boss Editor'!$C:$C,'Boss Editor'!$D:$D,"")+10)),0)</f>
        <v/>
      </c>
      <c r="J83" s="3">
        <f>IF(I83&gt;=1,"OHKO",IF(I83&gt;=0.5,"2HKO",IF(I83&gt;=0.333,"3HKO",IF(I83&gt;=0.25,"4HKO","5HKO+"))))</f>
        <v/>
      </c>
      <c r="K83" s="3" t="inlineStr">
        <is>
          <t>SPECIES_NYMBLE</t>
        </is>
      </c>
      <c r="L83" s="3" t="inlineStr">
        <is>
          <t>SPECIES_TIRTOUGA</t>
        </is>
      </c>
    </row>
    <row r="84">
      <c r="A84" s="3">
        <f>XLOOKUP($K84,'Threshold Summary'!$Y:$Y,'Threshold Summary'!$A:$A,"")</f>
        <v/>
      </c>
      <c r="B84" s="3" t="inlineStr">
        <is>
          <t>Anorith</t>
        </is>
      </c>
      <c r="C84" s="3">
        <f>XLOOKUP($L84,'Boss Editor'!$C:$C,'Boss Editor'!$D:$D,"")</f>
        <v/>
      </c>
      <c r="D84" s="3">
        <f>XLOOKUP($K84,'Threshold Summary'!$Y:$Y,'Threshold Summary'!$B:$B,"")</f>
        <v/>
      </c>
      <c r="E84" s="3">
        <f>XLOOKUP(D84,'Move Editor'!$B:$B,'Move Editor'!$C:$C,"")</f>
        <v/>
      </c>
      <c r="F84" s="3">
        <f>IFERROR(LET(mtype,XLOOKUP($D84,'Move Editor'!$B:$B,'Move Editor'!$C:$C,""),cat,XLOOKUP($D84,'Move Editor'!$B:$B,'Move Editor'!$D:$D,""),pow,XLOOKUP($D84,'Move Editor'!$B:$B,'Move Editor'!$E:$E,0),acc,XLOOKUP($D84,'Move Editor'!$B:$B,'Move Editor'!$F:$F,100),atk,IF(cat="Physical",FLOOR((FLOOR(((2*XLOOKUP(XLOOKUP($K84,'Threshold Summary'!$Y:$Y,'Threshold Summary'!$K:$K,""),'Pokemon Editor'!$A:$A,'Pokemon Editor'!$F:$F,0)+31+FLOOR(XLOOKUP($K84,'Threshold Summary'!$Y:$Y,'Threshold Summary'!$P:$P,"")/4))*XLOOKUP($K84,'Threshold Summary'!$Y:$Y,'Threshold Summary'!$L:$L,""))/100)+5)*XLOOKUP(XLOOKUP($K84,'Threshold Summary'!$Y:$Y,'Threshold Summary'!$M:$M,""),'Nature Editor'!$A:$A,'Nature Editor'!$B:$B,1)),FLOOR((FLOOR(((2*XLOOKUP(XLOOKUP($K84,'Threshold Summary'!$Y:$Y,'Threshold Summary'!$K:$K,""),'Pokemon Editor'!$A:$A,'Pokemon Editor'!$H:$H,0)+31+FLOOR(XLOOKUP($K84,'Threshold Summary'!$Y:$Y,'Threshold Summary'!$R:$R,"")/4))*XLOOKUP($K84,'Threshold Summary'!$Y:$Y,'Threshold Summary'!$L:$L,""))/100)+5)*XLOOKUP(XLOOKUP($K84,'Threshold Summary'!$Y:$Y,'Threshold Summary'!$M:$M,""),'Nature Editor'!$A:$A,'Nature Editor'!$D:$D,1))),def,IF(cat="Physical",FLOOR((FLOOR(((2*XLOOKUP($L84,'Pokemon Editor'!$A:$A,'Pokemon Editor'!$G:$G,0)+31+FLOOR(XLOOKUP($L84,'Boss Editor'!$C:$C,'Boss Editor'!$I:$I,"")/4))*XLOOKUP($L84,'Boss Editor'!$C:$C,'Boss Editor'!$D:$D,""))/100)+5)*XLOOKUP(XLOOKUP($L84,'Boss Editor'!$C:$C,'Boss Editor'!$E:$E,""),'Nature Editor'!$A:$A,'Nature Editor'!$C:$C,1)),FLOOR((FLOOR(((2*XLOOKUP($L84,'Pokemon Editor'!$A:$A,'Pokemon Editor'!$I:$I,0)+31+FLOOR(XLOOKUP($L84,'Boss Editor'!$C:$C,'Boss Editor'!$K:$K,"")/4))*XLOOKUP($L84,'Boss Editor'!$C:$C,'Boss Editor'!$D:$D,""))/100)+5)*XLOOKUP(XLOOKUP($L84,'Boss Editor'!$C:$C,'Boss Editor'!$E:$E,""),'Nature Editor'!$A:$A,'Nature Editor'!$E:$E,1))),stab,IF(OR(mtype=XLOOKUP(XLOOKUP($K84,'Threshold Summary'!$Y:$Y,'Threshold Summary'!$K:$K,""),'Pokemon Editor'!$A:$A,'Pokemon Editor'!$C:$C,""),mtype=XLOOKUP(XLOOKUP($K84,'Threshold Summary'!$Y:$Y,'Threshold Summary'!$K:$K,""),'Pokemon Editor'!$A:$A,'Pokemon Editor'!$D:$D,"")),1.5,1),eff,(INDEX('Type Chart'!$B:$S,MATCH(mtype,'Type Chart'!$A:$A,0),MATCH(XLOOKUP($L84,'Pokemon Editor'!$A:$A,'Pokemon Editor'!$C:$C,""),'Type Chart'!$B$1:$S$1,0))*IF(XLOOKUP($L84,'Pokemon Editor'!$A:$A,'Pokemon Editor'!$D:$D,"")="",1,INDEX('Type Chart'!$B:$S,MATCH(mtype,'Type Chart'!$A:$A,0),MATCH(XLOOKUP($L84,'Pokemon Editor'!$A:$A,'Pokemon Editor'!$D:$D,""),'Type Chart'!$B$1:$S$1,0)))),base,IF(OR(cat="Status",pow=0),0,FLOOR(FLOOR(FLOOR((2*XLOOKUP($K84,'Threshold Summary'!$Y:$Y,'Threshold Summary'!$L:$L,"")/5+2)*pow*atk/def)/50)+2)),modifier,stab*eff,FLOOR(base*modifier*0.85)),0)</f>
        <v/>
      </c>
      <c r="G84" s="3">
        <f>IFERROR(LET(mtype,XLOOKUP($D84,'Move Editor'!$B:$B,'Move Editor'!$C:$C,""),cat,XLOOKUP($D84,'Move Editor'!$B:$B,'Move Editor'!$D:$D,""),pow,XLOOKUP($D84,'Move Editor'!$B:$B,'Move Editor'!$E:$E,0),acc,XLOOKUP($D84,'Move Editor'!$B:$B,'Move Editor'!$F:$F,100),atk,IF(cat="Physical",FLOOR((FLOOR(((2*XLOOKUP(XLOOKUP($K84,'Threshold Summary'!$Y:$Y,'Threshold Summary'!$K:$K,""),'Pokemon Editor'!$A:$A,'Pokemon Editor'!$F:$F,0)+31+FLOOR(XLOOKUP($K84,'Threshold Summary'!$Y:$Y,'Threshold Summary'!$P:$P,"")/4))*XLOOKUP($K84,'Threshold Summary'!$Y:$Y,'Threshold Summary'!$L:$L,""))/100)+5)*XLOOKUP(XLOOKUP($K84,'Threshold Summary'!$Y:$Y,'Threshold Summary'!$M:$M,""),'Nature Editor'!$A:$A,'Nature Editor'!$B:$B,1)),FLOOR((FLOOR(((2*XLOOKUP(XLOOKUP($K84,'Threshold Summary'!$Y:$Y,'Threshold Summary'!$K:$K,""),'Pokemon Editor'!$A:$A,'Pokemon Editor'!$H:$H,0)+31+FLOOR(XLOOKUP($K84,'Threshold Summary'!$Y:$Y,'Threshold Summary'!$R:$R,"")/4))*XLOOKUP($K84,'Threshold Summary'!$Y:$Y,'Threshold Summary'!$L:$L,""))/100)+5)*XLOOKUP(XLOOKUP($K84,'Threshold Summary'!$Y:$Y,'Threshold Summary'!$M:$M,""),'Nature Editor'!$A:$A,'Nature Editor'!$D:$D,1))),def,IF(cat="Physical",FLOOR((FLOOR(((2*XLOOKUP($L84,'Pokemon Editor'!$A:$A,'Pokemon Editor'!$G:$G,0)+31+FLOOR(XLOOKUP($L84,'Boss Editor'!$C:$C,'Boss Editor'!$I:$I,"")/4))*XLOOKUP($L84,'Boss Editor'!$C:$C,'Boss Editor'!$D:$D,""))/100)+5)*XLOOKUP(XLOOKUP($L84,'Boss Editor'!$C:$C,'Boss Editor'!$E:$E,""),'Nature Editor'!$A:$A,'Nature Editor'!$C:$C,1)),FLOOR((FLOOR(((2*XLOOKUP($L84,'Pokemon Editor'!$A:$A,'Pokemon Editor'!$I:$I,0)+31+FLOOR(XLOOKUP($L84,'Boss Editor'!$C:$C,'Boss Editor'!$K:$K,"")/4))*XLOOKUP($L84,'Boss Editor'!$C:$C,'Boss Editor'!$D:$D,""))/100)+5)*XLOOKUP(XLOOKUP($L84,'Boss Editor'!$C:$C,'Boss Editor'!$E:$E,""),'Nature Editor'!$A:$A,'Nature Editor'!$E:$E,1))),stab,IF(OR(mtype=XLOOKUP(XLOOKUP($K84,'Threshold Summary'!$Y:$Y,'Threshold Summary'!$K:$K,""),'Pokemon Editor'!$A:$A,'Pokemon Editor'!$C:$C,""),mtype=XLOOKUP(XLOOKUP($K84,'Threshold Summary'!$Y:$Y,'Threshold Summary'!$K:$K,""),'Pokemon Editor'!$A:$A,'Pokemon Editor'!$D:$D,"")),1.5,1),eff,(INDEX('Type Chart'!$B:$S,MATCH(mtype,'Type Chart'!$A:$A,0),MATCH(XLOOKUP($L84,'Pokemon Editor'!$A:$A,'Pokemon Editor'!$C:$C,""),'Type Chart'!$B$1:$S$1,0))*IF(XLOOKUP($L84,'Pokemon Editor'!$A:$A,'Pokemon Editor'!$D:$D,"")="",1,INDEX('Type Chart'!$B:$S,MATCH(mtype,'Type Chart'!$A:$A,0),MATCH(XLOOKUP($L84,'Pokemon Editor'!$A:$A,'Pokemon Editor'!$D:$D,""),'Type Chart'!$B$1:$S$1,0)))),base,IF(OR(cat="Status",pow=0),0,FLOOR(FLOOR(FLOOR((2*XLOOKUP($K84,'Threshold Summary'!$Y:$Y,'Threshold Summary'!$L:$L,"")/5+2)*pow*atk/def)/50)+2)),modifier,stab*eff,FLOOR(base*modifier)),0)</f>
        <v/>
      </c>
      <c r="H84" s="3">
        <f>IFERROR(LET(mtype,XLOOKUP($D84,'Move Editor'!$B:$B,'Move Editor'!$C:$C,""),cat,XLOOKUP($D84,'Move Editor'!$B:$B,'Move Editor'!$D:$D,""),pow,XLOOKUP($D84,'Move Editor'!$B:$B,'Move Editor'!$E:$E,0),acc,XLOOKUP($D84,'Move Editor'!$B:$B,'Move Editor'!$F:$F,100),atk,IF(cat="Physical",FLOOR((FLOOR(((2*XLOOKUP(XLOOKUP($K84,'Threshold Summary'!$Y:$Y,'Threshold Summary'!$K:$K,""),'Pokemon Editor'!$A:$A,'Pokemon Editor'!$F:$F,0)+31+FLOOR(XLOOKUP($K84,'Threshold Summary'!$Y:$Y,'Threshold Summary'!$P:$P,"")/4))*XLOOKUP($K84,'Threshold Summary'!$Y:$Y,'Threshold Summary'!$L:$L,""))/100)+5)*XLOOKUP(XLOOKUP($K84,'Threshold Summary'!$Y:$Y,'Threshold Summary'!$M:$M,""),'Nature Editor'!$A:$A,'Nature Editor'!$B:$B,1)),FLOOR((FLOOR(((2*XLOOKUP(XLOOKUP($K84,'Threshold Summary'!$Y:$Y,'Threshold Summary'!$K:$K,""),'Pokemon Editor'!$A:$A,'Pokemon Editor'!$H:$H,0)+31+FLOOR(XLOOKUP($K84,'Threshold Summary'!$Y:$Y,'Threshold Summary'!$R:$R,"")/4))*XLOOKUP($K84,'Threshold Summary'!$Y:$Y,'Threshold Summary'!$L:$L,""))/100)+5)*XLOOKUP(XLOOKUP($K84,'Threshold Summary'!$Y:$Y,'Threshold Summary'!$M:$M,""),'Nature Editor'!$A:$A,'Nature Editor'!$D:$D,1))),def,IF(cat="Physical",FLOOR((FLOOR(((2*XLOOKUP($L84,'Pokemon Editor'!$A:$A,'Pokemon Editor'!$G:$G,0)+31+FLOOR(XLOOKUP($L84,'Boss Editor'!$C:$C,'Boss Editor'!$I:$I,"")/4))*XLOOKUP($L84,'Boss Editor'!$C:$C,'Boss Editor'!$D:$D,""))/100)+5)*XLOOKUP(XLOOKUP($L84,'Boss Editor'!$C:$C,'Boss Editor'!$E:$E,""),'Nature Editor'!$A:$A,'Nature Editor'!$C:$C,1)),FLOOR((FLOOR(((2*XLOOKUP($L84,'Pokemon Editor'!$A:$A,'Pokemon Editor'!$I:$I,0)+31+FLOOR(XLOOKUP($L84,'Boss Editor'!$C:$C,'Boss Editor'!$K:$K,"")/4))*XLOOKUP($L84,'Boss Editor'!$C:$C,'Boss Editor'!$D:$D,""))/100)+5)*XLOOKUP(XLOOKUP($L84,'Boss Editor'!$C:$C,'Boss Editor'!$E:$E,""),'Nature Editor'!$A:$A,'Nature Editor'!$E:$E,1))),stab,IF(OR(mtype=XLOOKUP(XLOOKUP($K84,'Threshold Summary'!$Y:$Y,'Threshold Summary'!$K:$K,""),'Pokemon Editor'!$A:$A,'Pokemon Editor'!$C:$C,""),mtype=XLOOKUP(XLOOKUP($K84,'Threshold Summary'!$Y:$Y,'Threshold Summary'!$K:$K,""),'Pokemon Editor'!$A:$A,'Pokemon Editor'!$D:$D,"")),1.5,1),eff,(INDEX('Type Chart'!$B:$S,MATCH(mtype,'Type Chart'!$A:$A,0),MATCH(XLOOKUP($L84,'Pokemon Editor'!$A:$A,'Pokemon Editor'!$C:$C,""),'Type Chart'!$B$1:$S$1,0))*IF(XLOOKUP($L84,'Pokemon Editor'!$A:$A,'Pokemon Editor'!$D:$D,"")="",1,INDEX('Type Chart'!$B:$S,MATCH(mtype,'Type Chart'!$A:$A,0),MATCH(XLOOKUP($L84,'Pokemon Editor'!$A:$A,'Pokemon Editor'!$D:$D,""),'Type Chart'!$B$1:$S$1,0)))),base,IF(OR(cat="Status",pow=0),0,FLOOR(FLOOR(FLOOR((2*XLOOKUP($K84,'Threshold Summary'!$Y:$Y,'Threshold Summary'!$L:$L,"")/5+2)*pow*atk/def)/50)+2)),modifier,stab*eff,AVERAGE(ARRAYFORMULA(FLOOR(base*modifier*SEQUENCE(16,1,85,1)/100)))),0)</f>
        <v/>
      </c>
      <c r="I84" s="4">
        <f>IFERROR(LET(mtype,XLOOKUP($D84,'Move Editor'!$B:$B,'Move Editor'!$C:$C,""),cat,XLOOKUP($D84,'Move Editor'!$B:$B,'Move Editor'!$D:$D,""),pow,XLOOKUP($D84,'Move Editor'!$B:$B,'Move Editor'!$E:$E,0),acc,XLOOKUP($D84,'Move Editor'!$B:$B,'Move Editor'!$F:$F,100),atk,IF(cat="Physical",FLOOR((FLOOR(((2*XLOOKUP(XLOOKUP($K84,'Threshold Summary'!$Y:$Y,'Threshold Summary'!$K:$K,""),'Pokemon Editor'!$A:$A,'Pokemon Editor'!$F:$F,0)+31+FLOOR(XLOOKUP($K84,'Threshold Summary'!$Y:$Y,'Threshold Summary'!$P:$P,"")/4))*XLOOKUP($K84,'Threshold Summary'!$Y:$Y,'Threshold Summary'!$L:$L,""))/100)+5)*XLOOKUP(XLOOKUP($K84,'Threshold Summary'!$Y:$Y,'Threshold Summary'!$M:$M,""),'Nature Editor'!$A:$A,'Nature Editor'!$B:$B,1)),FLOOR((FLOOR(((2*XLOOKUP(XLOOKUP($K84,'Threshold Summary'!$Y:$Y,'Threshold Summary'!$K:$K,""),'Pokemon Editor'!$A:$A,'Pokemon Editor'!$H:$H,0)+31+FLOOR(XLOOKUP($K84,'Threshold Summary'!$Y:$Y,'Threshold Summary'!$R:$R,"")/4))*XLOOKUP($K84,'Threshold Summary'!$Y:$Y,'Threshold Summary'!$L:$L,""))/100)+5)*XLOOKUP(XLOOKUP($K84,'Threshold Summary'!$Y:$Y,'Threshold Summary'!$M:$M,""),'Nature Editor'!$A:$A,'Nature Editor'!$D:$D,1))),def,IF(cat="Physical",FLOOR((FLOOR(((2*XLOOKUP($L84,'Pokemon Editor'!$A:$A,'Pokemon Editor'!$G:$G,0)+31+FLOOR(XLOOKUP($L84,'Boss Editor'!$C:$C,'Boss Editor'!$I:$I,"")/4))*XLOOKUP($L84,'Boss Editor'!$C:$C,'Boss Editor'!$D:$D,""))/100)+5)*XLOOKUP(XLOOKUP($L84,'Boss Editor'!$C:$C,'Boss Editor'!$E:$E,""),'Nature Editor'!$A:$A,'Nature Editor'!$C:$C,1)),FLOOR((FLOOR(((2*XLOOKUP($L84,'Pokemon Editor'!$A:$A,'Pokemon Editor'!$I:$I,0)+31+FLOOR(XLOOKUP($L84,'Boss Editor'!$C:$C,'Boss Editor'!$K:$K,"")/4))*XLOOKUP($L84,'Boss Editor'!$C:$C,'Boss Editor'!$D:$D,""))/100)+5)*XLOOKUP(XLOOKUP($L84,'Boss Editor'!$C:$C,'Boss Editor'!$E:$E,""),'Nature Editor'!$A:$A,'Nature Editor'!$E:$E,1))),stab,IF(OR(mtype=XLOOKUP(XLOOKUP($K84,'Threshold Summary'!$Y:$Y,'Threshold Summary'!$K:$K,""),'Pokemon Editor'!$A:$A,'Pokemon Editor'!$C:$C,""),mtype=XLOOKUP(XLOOKUP($K84,'Threshold Summary'!$Y:$Y,'Threshold Summary'!$K:$K,""),'Pokemon Editor'!$A:$A,'Pokemon Editor'!$D:$D,"")),1.5,1),eff,(INDEX('Type Chart'!$B:$S,MATCH(mtype,'Type Chart'!$A:$A,0),MATCH(XLOOKUP($L84,'Pokemon Editor'!$A:$A,'Pokemon Editor'!$C:$C,""),'Type Chart'!$B$1:$S$1,0))*IF(XLOOKUP($L84,'Pokemon Editor'!$A:$A,'Pokemon Editor'!$D:$D,"")="",1,INDEX('Type Chart'!$B:$S,MATCH(mtype,'Type Chart'!$A:$A,0),MATCH(XLOOKUP($L84,'Pokemon Editor'!$A:$A,'Pokemon Editor'!$D:$D,""),'Type Chart'!$B$1:$S$1,0)))),base,IF(OR(cat="Status",pow=0),0,FLOOR(FLOOR(FLOOR((2*XLOOKUP($K84,'Threshold Summary'!$Y:$Y,'Threshold Summary'!$L:$L,"")/5+2)*pow*atk/def)/50)+2)),modifier,stab*eff,AVERAGE(ARRAYFORMULA(FLOOR(base*modifier*SEQUENCE(16,1,85,1)/100)))/(FLOOR(((2*XLOOKUP($L84,'Pokemon Editor'!$A:$A,'Pokemon Editor'!$E:$E,0)+31+FLOOR(XLOOKUP($L84,'Boss Editor'!$C:$C,'Boss Editor'!$G:$G,"")/4))*XLOOKUP($L84,'Boss Editor'!$C:$C,'Boss Editor'!$D:$D,""))/100)+XLOOKUP($L84,'Boss Editor'!$C:$C,'Boss Editor'!$D:$D,"")+10)),0)</f>
        <v/>
      </c>
      <c r="J84" s="3">
        <f>IF(I84&gt;=1,"OHKO",IF(I84&gt;=0.5,"2HKO",IF(I84&gt;=0.333,"3HKO",IF(I84&gt;=0.25,"4HKO","5HKO+"))))</f>
        <v/>
      </c>
      <c r="K84" s="3" t="inlineStr">
        <is>
          <t>SPECIES_NYMBLE</t>
        </is>
      </c>
      <c r="L84" s="3" t="inlineStr">
        <is>
          <t>SPECIES_ANORITH</t>
        </is>
      </c>
    </row>
    <row r="85">
      <c r="A85" s="3">
        <f>XLOOKUP($K85,'Threshold Summary'!$Y:$Y,'Threshold Summary'!$A:$A,"")</f>
        <v/>
      </c>
      <c r="B85" s="3" t="inlineStr">
        <is>
          <t>Lileep</t>
        </is>
      </c>
      <c r="C85" s="3">
        <f>XLOOKUP($L85,'Boss Editor'!$C:$C,'Boss Editor'!$D:$D,"")</f>
        <v/>
      </c>
      <c r="D85" s="3">
        <f>XLOOKUP($K85,'Threshold Summary'!$Y:$Y,'Threshold Summary'!$B:$B,"")</f>
        <v/>
      </c>
      <c r="E85" s="3">
        <f>XLOOKUP(D85,'Move Editor'!$B:$B,'Move Editor'!$C:$C,"")</f>
        <v/>
      </c>
      <c r="F85" s="3">
        <f>IFERROR(LET(mtype,XLOOKUP($D85,'Move Editor'!$B:$B,'Move Editor'!$C:$C,""),cat,XLOOKUP($D85,'Move Editor'!$B:$B,'Move Editor'!$D:$D,""),pow,XLOOKUP($D85,'Move Editor'!$B:$B,'Move Editor'!$E:$E,0),acc,XLOOKUP($D85,'Move Editor'!$B:$B,'Move Editor'!$F:$F,100),atk,IF(cat="Physical",FLOOR((FLOOR(((2*XLOOKUP(XLOOKUP($K85,'Threshold Summary'!$Y:$Y,'Threshold Summary'!$K:$K,""),'Pokemon Editor'!$A:$A,'Pokemon Editor'!$F:$F,0)+31+FLOOR(XLOOKUP($K85,'Threshold Summary'!$Y:$Y,'Threshold Summary'!$P:$P,"")/4))*XLOOKUP($K85,'Threshold Summary'!$Y:$Y,'Threshold Summary'!$L:$L,""))/100)+5)*XLOOKUP(XLOOKUP($K85,'Threshold Summary'!$Y:$Y,'Threshold Summary'!$M:$M,""),'Nature Editor'!$A:$A,'Nature Editor'!$B:$B,1)),FLOOR((FLOOR(((2*XLOOKUP(XLOOKUP($K85,'Threshold Summary'!$Y:$Y,'Threshold Summary'!$K:$K,""),'Pokemon Editor'!$A:$A,'Pokemon Editor'!$H:$H,0)+31+FLOOR(XLOOKUP($K85,'Threshold Summary'!$Y:$Y,'Threshold Summary'!$R:$R,"")/4))*XLOOKUP($K85,'Threshold Summary'!$Y:$Y,'Threshold Summary'!$L:$L,""))/100)+5)*XLOOKUP(XLOOKUP($K85,'Threshold Summary'!$Y:$Y,'Threshold Summary'!$M:$M,""),'Nature Editor'!$A:$A,'Nature Editor'!$D:$D,1))),def,IF(cat="Physical",FLOOR((FLOOR(((2*XLOOKUP($L85,'Pokemon Editor'!$A:$A,'Pokemon Editor'!$G:$G,0)+31+FLOOR(XLOOKUP($L85,'Boss Editor'!$C:$C,'Boss Editor'!$I:$I,"")/4))*XLOOKUP($L85,'Boss Editor'!$C:$C,'Boss Editor'!$D:$D,""))/100)+5)*XLOOKUP(XLOOKUP($L85,'Boss Editor'!$C:$C,'Boss Editor'!$E:$E,""),'Nature Editor'!$A:$A,'Nature Editor'!$C:$C,1)),FLOOR((FLOOR(((2*XLOOKUP($L85,'Pokemon Editor'!$A:$A,'Pokemon Editor'!$I:$I,0)+31+FLOOR(XLOOKUP($L85,'Boss Editor'!$C:$C,'Boss Editor'!$K:$K,"")/4))*XLOOKUP($L85,'Boss Editor'!$C:$C,'Boss Editor'!$D:$D,""))/100)+5)*XLOOKUP(XLOOKUP($L85,'Boss Editor'!$C:$C,'Boss Editor'!$E:$E,""),'Nature Editor'!$A:$A,'Nature Editor'!$E:$E,1))),stab,IF(OR(mtype=XLOOKUP(XLOOKUP($K85,'Threshold Summary'!$Y:$Y,'Threshold Summary'!$K:$K,""),'Pokemon Editor'!$A:$A,'Pokemon Editor'!$C:$C,""),mtype=XLOOKUP(XLOOKUP($K85,'Threshold Summary'!$Y:$Y,'Threshold Summary'!$K:$K,""),'Pokemon Editor'!$A:$A,'Pokemon Editor'!$D:$D,"")),1.5,1),eff,(INDEX('Type Chart'!$B:$S,MATCH(mtype,'Type Chart'!$A:$A,0),MATCH(XLOOKUP($L85,'Pokemon Editor'!$A:$A,'Pokemon Editor'!$C:$C,""),'Type Chart'!$B$1:$S$1,0))*IF(XLOOKUP($L85,'Pokemon Editor'!$A:$A,'Pokemon Editor'!$D:$D,"")="",1,INDEX('Type Chart'!$B:$S,MATCH(mtype,'Type Chart'!$A:$A,0),MATCH(XLOOKUP($L85,'Pokemon Editor'!$A:$A,'Pokemon Editor'!$D:$D,""),'Type Chart'!$B$1:$S$1,0)))),base,IF(OR(cat="Status",pow=0),0,FLOOR(FLOOR(FLOOR((2*XLOOKUP($K85,'Threshold Summary'!$Y:$Y,'Threshold Summary'!$L:$L,"")/5+2)*pow*atk/def)/50)+2)),modifier,stab*eff,FLOOR(base*modifier*0.85)),0)</f>
        <v/>
      </c>
      <c r="G85" s="3">
        <f>IFERROR(LET(mtype,XLOOKUP($D85,'Move Editor'!$B:$B,'Move Editor'!$C:$C,""),cat,XLOOKUP($D85,'Move Editor'!$B:$B,'Move Editor'!$D:$D,""),pow,XLOOKUP($D85,'Move Editor'!$B:$B,'Move Editor'!$E:$E,0),acc,XLOOKUP($D85,'Move Editor'!$B:$B,'Move Editor'!$F:$F,100),atk,IF(cat="Physical",FLOOR((FLOOR(((2*XLOOKUP(XLOOKUP($K85,'Threshold Summary'!$Y:$Y,'Threshold Summary'!$K:$K,""),'Pokemon Editor'!$A:$A,'Pokemon Editor'!$F:$F,0)+31+FLOOR(XLOOKUP($K85,'Threshold Summary'!$Y:$Y,'Threshold Summary'!$P:$P,"")/4))*XLOOKUP($K85,'Threshold Summary'!$Y:$Y,'Threshold Summary'!$L:$L,""))/100)+5)*XLOOKUP(XLOOKUP($K85,'Threshold Summary'!$Y:$Y,'Threshold Summary'!$M:$M,""),'Nature Editor'!$A:$A,'Nature Editor'!$B:$B,1)),FLOOR((FLOOR(((2*XLOOKUP(XLOOKUP($K85,'Threshold Summary'!$Y:$Y,'Threshold Summary'!$K:$K,""),'Pokemon Editor'!$A:$A,'Pokemon Editor'!$H:$H,0)+31+FLOOR(XLOOKUP($K85,'Threshold Summary'!$Y:$Y,'Threshold Summary'!$R:$R,"")/4))*XLOOKUP($K85,'Threshold Summary'!$Y:$Y,'Threshold Summary'!$L:$L,""))/100)+5)*XLOOKUP(XLOOKUP($K85,'Threshold Summary'!$Y:$Y,'Threshold Summary'!$M:$M,""),'Nature Editor'!$A:$A,'Nature Editor'!$D:$D,1))),def,IF(cat="Physical",FLOOR((FLOOR(((2*XLOOKUP($L85,'Pokemon Editor'!$A:$A,'Pokemon Editor'!$G:$G,0)+31+FLOOR(XLOOKUP($L85,'Boss Editor'!$C:$C,'Boss Editor'!$I:$I,"")/4))*XLOOKUP($L85,'Boss Editor'!$C:$C,'Boss Editor'!$D:$D,""))/100)+5)*XLOOKUP(XLOOKUP($L85,'Boss Editor'!$C:$C,'Boss Editor'!$E:$E,""),'Nature Editor'!$A:$A,'Nature Editor'!$C:$C,1)),FLOOR((FLOOR(((2*XLOOKUP($L85,'Pokemon Editor'!$A:$A,'Pokemon Editor'!$I:$I,0)+31+FLOOR(XLOOKUP($L85,'Boss Editor'!$C:$C,'Boss Editor'!$K:$K,"")/4))*XLOOKUP($L85,'Boss Editor'!$C:$C,'Boss Editor'!$D:$D,""))/100)+5)*XLOOKUP(XLOOKUP($L85,'Boss Editor'!$C:$C,'Boss Editor'!$E:$E,""),'Nature Editor'!$A:$A,'Nature Editor'!$E:$E,1))),stab,IF(OR(mtype=XLOOKUP(XLOOKUP($K85,'Threshold Summary'!$Y:$Y,'Threshold Summary'!$K:$K,""),'Pokemon Editor'!$A:$A,'Pokemon Editor'!$C:$C,""),mtype=XLOOKUP(XLOOKUP($K85,'Threshold Summary'!$Y:$Y,'Threshold Summary'!$K:$K,""),'Pokemon Editor'!$A:$A,'Pokemon Editor'!$D:$D,"")),1.5,1),eff,(INDEX('Type Chart'!$B:$S,MATCH(mtype,'Type Chart'!$A:$A,0),MATCH(XLOOKUP($L85,'Pokemon Editor'!$A:$A,'Pokemon Editor'!$C:$C,""),'Type Chart'!$B$1:$S$1,0))*IF(XLOOKUP($L85,'Pokemon Editor'!$A:$A,'Pokemon Editor'!$D:$D,"")="",1,INDEX('Type Chart'!$B:$S,MATCH(mtype,'Type Chart'!$A:$A,0),MATCH(XLOOKUP($L85,'Pokemon Editor'!$A:$A,'Pokemon Editor'!$D:$D,""),'Type Chart'!$B$1:$S$1,0)))),base,IF(OR(cat="Status",pow=0),0,FLOOR(FLOOR(FLOOR((2*XLOOKUP($K85,'Threshold Summary'!$Y:$Y,'Threshold Summary'!$L:$L,"")/5+2)*pow*atk/def)/50)+2)),modifier,stab*eff,FLOOR(base*modifier)),0)</f>
        <v/>
      </c>
      <c r="H85" s="3">
        <f>IFERROR(LET(mtype,XLOOKUP($D85,'Move Editor'!$B:$B,'Move Editor'!$C:$C,""),cat,XLOOKUP($D85,'Move Editor'!$B:$B,'Move Editor'!$D:$D,""),pow,XLOOKUP($D85,'Move Editor'!$B:$B,'Move Editor'!$E:$E,0),acc,XLOOKUP($D85,'Move Editor'!$B:$B,'Move Editor'!$F:$F,100),atk,IF(cat="Physical",FLOOR((FLOOR(((2*XLOOKUP(XLOOKUP($K85,'Threshold Summary'!$Y:$Y,'Threshold Summary'!$K:$K,""),'Pokemon Editor'!$A:$A,'Pokemon Editor'!$F:$F,0)+31+FLOOR(XLOOKUP($K85,'Threshold Summary'!$Y:$Y,'Threshold Summary'!$P:$P,"")/4))*XLOOKUP($K85,'Threshold Summary'!$Y:$Y,'Threshold Summary'!$L:$L,""))/100)+5)*XLOOKUP(XLOOKUP($K85,'Threshold Summary'!$Y:$Y,'Threshold Summary'!$M:$M,""),'Nature Editor'!$A:$A,'Nature Editor'!$B:$B,1)),FLOOR((FLOOR(((2*XLOOKUP(XLOOKUP($K85,'Threshold Summary'!$Y:$Y,'Threshold Summary'!$K:$K,""),'Pokemon Editor'!$A:$A,'Pokemon Editor'!$H:$H,0)+31+FLOOR(XLOOKUP($K85,'Threshold Summary'!$Y:$Y,'Threshold Summary'!$R:$R,"")/4))*XLOOKUP($K85,'Threshold Summary'!$Y:$Y,'Threshold Summary'!$L:$L,""))/100)+5)*XLOOKUP(XLOOKUP($K85,'Threshold Summary'!$Y:$Y,'Threshold Summary'!$M:$M,""),'Nature Editor'!$A:$A,'Nature Editor'!$D:$D,1))),def,IF(cat="Physical",FLOOR((FLOOR(((2*XLOOKUP($L85,'Pokemon Editor'!$A:$A,'Pokemon Editor'!$G:$G,0)+31+FLOOR(XLOOKUP($L85,'Boss Editor'!$C:$C,'Boss Editor'!$I:$I,"")/4))*XLOOKUP($L85,'Boss Editor'!$C:$C,'Boss Editor'!$D:$D,""))/100)+5)*XLOOKUP(XLOOKUP($L85,'Boss Editor'!$C:$C,'Boss Editor'!$E:$E,""),'Nature Editor'!$A:$A,'Nature Editor'!$C:$C,1)),FLOOR((FLOOR(((2*XLOOKUP($L85,'Pokemon Editor'!$A:$A,'Pokemon Editor'!$I:$I,0)+31+FLOOR(XLOOKUP($L85,'Boss Editor'!$C:$C,'Boss Editor'!$K:$K,"")/4))*XLOOKUP($L85,'Boss Editor'!$C:$C,'Boss Editor'!$D:$D,""))/100)+5)*XLOOKUP(XLOOKUP($L85,'Boss Editor'!$C:$C,'Boss Editor'!$E:$E,""),'Nature Editor'!$A:$A,'Nature Editor'!$E:$E,1))),stab,IF(OR(mtype=XLOOKUP(XLOOKUP($K85,'Threshold Summary'!$Y:$Y,'Threshold Summary'!$K:$K,""),'Pokemon Editor'!$A:$A,'Pokemon Editor'!$C:$C,""),mtype=XLOOKUP(XLOOKUP($K85,'Threshold Summary'!$Y:$Y,'Threshold Summary'!$K:$K,""),'Pokemon Editor'!$A:$A,'Pokemon Editor'!$D:$D,"")),1.5,1),eff,(INDEX('Type Chart'!$B:$S,MATCH(mtype,'Type Chart'!$A:$A,0),MATCH(XLOOKUP($L85,'Pokemon Editor'!$A:$A,'Pokemon Editor'!$C:$C,""),'Type Chart'!$B$1:$S$1,0))*IF(XLOOKUP($L85,'Pokemon Editor'!$A:$A,'Pokemon Editor'!$D:$D,"")="",1,INDEX('Type Chart'!$B:$S,MATCH(mtype,'Type Chart'!$A:$A,0),MATCH(XLOOKUP($L85,'Pokemon Editor'!$A:$A,'Pokemon Editor'!$D:$D,""),'Type Chart'!$B$1:$S$1,0)))),base,IF(OR(cat="Status",pow=0),0,FLOOR(FLOOR(FLOOR((2*XLOOKUP($K85,'Threshold Summary'!$Y:$Y,'Threshold Summary'!$L:$L,"")/5+2)*pow*atk/def)/50)+2)),modifier,stab*eff,AVERAGE(ARRAYFORMULA(FLOOR(base*modifier*SEQUENCE(16,1,85,1)/100)))),0)</f>
        <v/>
      </c>
      <c r="I85" s="4">
        <f>IFERROR(LET(mtype,XLOOKUP($D85,'Move Editor'!$B:$B,'Move Editor'!$C:$C,""),cat,XLOOKUP($D85,'Move Editor'!$B:$B,'Move Editor'!$D:$D,""),pow,XLOOKUP($D85,'Move Editor'!$B:$B,'Move Editor'!$E:$E,0),acc,XLOOKUP($D85,'Move Editor'!$B:$B,'Move Editor'!$F:$F,100),atk,IF(cat="Physical",FLOOR((FLOOR(((2*XLOOKUP(XLOOKUP($K85,'Threshold Summary'!$Y:$Y,'Threshold Summary'!$K:$K,""),'Pokemon Editor'!$A:$A,'Pokemon Editor'!$F:$F,0)+31+FLOOR(XLOOKUP($K85,'Threshold Summary'!$Y:$Y,'Threshold Summary'!$P:$P,"")/4))*XLOOKUP($K85,'Threshold Summary'!$Y:$Y,'Threshold Summary'!$L:$L,""))/100)+5)*XLOOKUP(XLOOKUP($K85,'Threshold Summary'!$Y:$Y,'Threshold Summary'!$M:$M,""),'Nature Editor'!$A:$A,'Nature Editor'!$B:$B,1)),FLOOR((FLOOR(((2*XLOOKUP(XLOOKUP($K85,'Threshold Summary'!$Y:$Y,'Threshold Summary'!$K:$K,""),'Pokemon Editor'!$A:$A,'Pokemon Editor'!$H:$H,0)+31+FLOOR(XLOOKUP($K85,'Threshold Summary'!$Y:$Y,'Threshold Summary'!$R:$R,"")/4))*XLOOKUP($K85,'Threshold Summary'!$Y:$Y,'Threshold Summary'!$L:$L,""))/100)+5)*XLOOKUP(XLOOKUP($K85,'Threshold Summary'!$Y:$Y,'Threshold Summary'!$M:$M,""),'Nature Editor'!$A:$A,'Nature Editor'!$D:$D,1))),def,IF(cat="Physical",FLOOR((FLOOR(((2*XLOOKUP($L85,'Pokemon Editor'!$A:$A,'Pokemon Editor'!$G:$G,0)+31+FLOOR(XLOOKUP($L85,'Boss Editor'!$C:$C,'Boss Editor'!$I:$I,"")/4))*XLOOKUP($L85,'Boss Editor'!$C:$C,'Boss Editor'!$D:$D,""))/100)+5)*XLOOKUP(XLOOKUP($L85,'Boss Editor'!$C:$C,'Boss Editor'!$E:$E,""),'Nature Editor'!$A:$A,'Nature Editor'!$C:$C,1)),FLOOR((FLOOR(((2*XLOOKUP($L85,'Pokemon Editor'!$A:$A,'Pokemon Editor'!$I:$I,0)+31+FLOOR(XLOOKUP($L85,'Boss Editor'!$C:$C,'Boss Editor'!$K:$K,"")/4))*XLOOKUP($L85,'Boss Editor'!$C:$C,'Boss Editor'!$D:$D,""))/100)+5)*XLOOKUP(XLOOKUP($L85,'Boss Editor'!$C:$C,'Boss Editor'!$E:$E,""),'Nature Editor'!$A:$A,'Nature Editor'!$E:$E,1))),stab,IF(OR(mtype=XLOOKUP(XLOOKUP($K85,'Threshold Summary'!$Y:$Y,'Threshold Summary'!$K:$K,""),'Pokemon Editor'!$A:$A,'Pokemon Editor'!$C:$C,""),mtype=XLOOKUP(XLOOKUP($K85,'Threshold Summary'!$Y:$Y,'Threshold Summary'!$K:$K,""),'Pokemon Editor'!$A:$A,'Pokemon Editor'!$D:$D,"")),1.5,1),eff,(INDEX('Type Chart'!$B:$S,MATCH(mtype,'Type Chart'!$A:$A,0),MATCH(XLOOKUP($L85,'Pokemon Editor'!$A:$A,'Pokemon Editor'!$C:$C,""),'Type Chart'!$B$1:$S$1,0))*IF(XLOOKUP($L85,'Pokemon Editor'!$A:$A,'Pokemon Editor'!$D:$D,"")="",1,INDEX('Type Chart'!$B:$S,MATCH(mtype,'Type Chart'!$A:$A,0),MATCH(XLOOKUP($L85,'Pokemon Editor'!$A:$A,'Pokemon Editor'!$D:$D,""),'Type Chart'!$B$1:$S$1,0)))),base,IF(OR(cat="Status",pow=0),0,FLOOR(FLOOR(FLOOR((2*XLOOKUP($K85,'Threshold Summary'!$Y:$Y,'Threshold Summary'!$L:$L,"")/5+2)*pow*atk/def)/50)+2)),modifier,stab*eff,AVERAGE(ARRAYFORMULA(FLOOR(base*modifier*SEQUENCE(16,1,85,1)/100)))/(FLOOR(((2*XLOOKUP($L85,'Pokemon Editor'!$A:$A,'Pokemon Editor'!$E:$E,0)+31+FLOOR(XLOOKUP($L85,'Boss Editor'!$C:$C,'Boss Editor'!$G:$G,"")/4))*XLOOKUP($L85,'Boss Editor'!$C:$C,'Boss Editor'!$D:$D,""))/100)+XLOOKUP($L85,'Boss Editor'!$C:$C,'Boss Editor'!$D:$D,"")+10)),0)</f>
        <v/>
      </c>
      <c r="J85" s="3">
        <f>IF(I85&gt;=1,"OHKO",IF(I85&gt;=0.5,"2HKO",IF(I85&gt;=0.333,"3HKO",IF(I85&gt;=0.25,"4HKO","5HKO+"))))</f>
        <v/>
      </c>
      <c r="K85" s="3" t="inlineStr">
        <is>
          <t>SPECIES_NYMBLE</t>
        </is>
      </c>
      <c r="L85" s="3" t="inlineStr">
        <is>
          <t>SPECIES_LILEEP</t>
        </is>
      </c>
    </row>
    <row r="86">
      <c r="A86" s="3">
        <f>XLOOKUP($K86,'Threshold Summary'!$Y:$Y,'Threshold Summary'!$A:$A,"")</f>
        <v/>
      </c>
      <c r="B86" s="3" t="inlineStr">
        <is>
          <t>Tirtouga</t>
        </is>
      </c>
      <c r="C86" s="3">
        <f>XLOOKUP($L86,'Boss Editor'!$C:$C,'Boss Editor'!$D:$D,"")</f>
        <v/>
      </c>
      <c r="D86" s="3">
        <f>XLOOKUP($K86,'Threshold Summary'!$Y:$Y,'Threshold Summary'!$B:$B,"")</f>
        <v/>
      </c>
      <c r="E86" s="3">
        <f>XLOOKUP(D86,'Move Editor'!$B:$B,'Move Editor'!$C:$C,"")</f>
        <v/>
      </c>
      <c r="F86" s="3">
        <f>IFERROR(LET(mtype,XLOOKUP($D86,'Move Editor'!$B:$B,'Move Editor'!$C:$C,""),cat,XLOOKUP($D86,'Move Editor'!$B:$B,'Move Editor'!$D:$D,""),pow,XLOOKUP($D86,'Move Editor'!$B:$B,'Move Editor'!$E:$E,0),acc,XLOOKUP($D86,'Move Editor'!$B:$B,'Move Editor'!$F:$F,100),atk,IF(cat="Physical",FLOOR((FLOOR(((2*XLOOKUP(XLOOKUP($K86,'Threshold Summary'!$Y:$Y,'Threshold Summary'!$K:$K,""),'Pokemon Editor'!$A:$A,'Pokemon Editor'!$F:$F,0)+31+FLOOR(XLOOKUP($K86,'Threshold Summary'!$Y:$Y,'Threshold Summary'!$P:$P,"")/4))*XLOOKUP($K86,'Threshold Summary'!$Y:$Y,'Threshold Summary'!$L:$L,""))/100)+5)*XLOOKUP(XLOOKUP($K86,'Threshold Summary'!$Y:$Y,'Threshold Summary'!$M:$M,""),'Nature Editor'!$A:$A,'Nature Editor'!$B:$B,1)),FLOOR((FLOOR(((2*XLOOKUP(XLOOKUP($K86,'Threshold Summary'!$Y:$Y,'Threshold Summary'!$K:$K,""),'Pokemon Editor'!$A:$A,'Pokemon Editor'!$H:$H,0)+31+FLOOR(XLOOKUP($K86,'Threshold Summary'!$Y:$Y,'Threshold Summary'!$R:$R,"")/4))*XLOOKUP($K86,'Threshold Summary'!$Y:$Y,'Threshold Summary'!$L:$L,""))/100)+5)*XLOOKUP(XLOOKUP($K86,'Threshold Summary'!$Y:$Y,'Threshold Summary'!$M:$M,""),'Nature Editor'!$A:$A,'Nature Editor'!$D:$D,1))),def,IF(cat="Physical",FLOOR((FLOOR(((2*XLOOKUP($L86,'Pokemon Editor'!$A:$A,'Pokemon Editor'!$G:$G,0)+31+FLOOR(XLOOKUP($L86,'Boss Editor'!$C:$C,'Boss Editor'!$I:$I,"")/4))*XLOOKUP($L86,'Boss Editor'!$C:$C,'Boss Editor'!$D:$D,""))/100)+5)*XLOOKUP(XLOOKUP($L86,'Boss Editor'!$C:$C,'Boss Editor'!$E:$E,""),'Nature Editor'!$A:$A,'Nature Editor'!$C:$C,1)),FLOOR((FLOOR(((2*XLOOKUP($L86,'Pokemon Editor'!$A:$A,'Pokemon Editor'!$I:$I,0)+31+FLOOR(XLOOKUP($L86,'Boss Editor'!$C:$C,'Boss Editor'!$K:$K,"")/4))*XLOOKUP($L86,'Boss Editor'!$C:$C,'Boss Editor'!$D:$D,""))/100)+5)*XLOOKUP(XLOOKUP($L86,'Boss Editor'!$C:$C,'Boss Editor'!$E:$E,""),'Nature Editor'!$A:$A,'Nature Editor'!$E:$E,1))),stab,IF(OR(mtype=XLOOKUP(XLOOKUP($K86,'Threshold Summary'!$Y:$Y,'Threshold Summary'!$K:$K,""),'Pokemon Editor'!$A:$A,'Pokemon Editor'!$C:$C,""),mtype=XLOOKUP(XLOOKUP($K86,'Threshold Summary'!$Y:$Y,'Threshold Summary'!$K:$K,""),'Pokemon Editor'!$A:$A,'Pokemon Editor'!$D:$D,"")),1.5,1),eff,(INDEX('Type Chart'!$B:$S,MATCH(mtype,'Type Chart'!$A:$A,0),MATCH(XLOOKUP($L86,'Pokemon Editor'!$A:$A,'Pokemon Editor'!$C:$C,""),'Type Chart'!$B$1:$S$1,0))*IF(XLOOKUP($L86,'Pokemon Editor'!$A:$A,'Pokemon Editor'!$D:$D,"")="",1,INDEX('Type Chart'!$B:$S,MATCH(mtype,'Type Chart'!$A:$A,0),MATCH(XLOOKUP($L86,'Pokemon Editor'!$A:$A,'Pokemon Editor'!$D:$D,""),'Type Chart'!$B$1:$S$1,0)))),base,IF(OR(cat="Status",pow=0),0,FLOOR(FLOOR(FLOOR((2*XLOOKUP($K86,'Threshold Summary'!$Y:$Y,'Threshold Summary'!$L:$L,"")/5+2)*pow*atk/def)/50)+2)),modifier,stab*eff,FLOOR(base*modifier*0.85)),0)</f>
        <v/>
      </c>
      <c r="G86" s="3">
        <f>IFERROR(LET(mtype,XLOOKUP($D86,'Move Editor'!$B:$B,'Move Editor'!$C:$C,""),cat,XLOOKUP($D86,'Move Editor'!$B:$B,'Move Editor'!$D:$D,""),pow,XLOOKUP($D86,'Move Editor'!$B:$B,'Move Editor'!$E:$E,0),acc,XLOOKUP($D86,'Move Editor'!$B:$B,'Move Editor'!$F:$F,100),atk,IF(cat="Physical",FLOOR((FLOOR(((2*XLOOKUP(XLOOKUP($K86,'Threshold Summary'!$Y:$Y,'Threshold Summary'!$K:$K,""),'Pokemon Editor'!$A:$A,'Pokemon Editor'!$F:$F,0)+31+FLOOR(XLOOKUP($K86,'Threshold Summary'!$Y:$Y,'Threshold Summary'!$P:$P,"")/4))*XLOOKUP($K86,'Threshold Summary'!$Y:$Y,'Threshold Summary'!$L:$L,""))/100)+5)*XLOOKUP(XLOOKUP($K86,'Threshold Summary'!$Y:$Y,'Threshold Summary'!$M:$M,""),'Nature Editor'!$A:$A,'Nature Editor'!$B:$B,1)),FLOOR((FLOOR(((2*XLOOKUP(XLOOKUP($K86,'Threshold Summary'!$Y:$Y,'Threshold Summary'!$K:$K,""),'Pokemon Editor'!$A:$A,'Pokemon Editor'!$H:$H,0)+31+FLOOR(XLOOKUP($K86,'Threshold Summary'!$Y:$Y,'Threshold Summary'!$R:$R,"")/4))*XLOOKUP($K86,'Threshold Summary'!$Y:$Y,'Threshold Summary'!$L:$L,""))/100)+5)*XLOOKUP(XLOOKUP($K86,'Threshold Summary'!$Y:$Y,'Threshold Summary'!$M:$M,""),'Nature Editor'!$A:$A,'Nature Editor'!$D:$D,1))),def,IF(cat="Physical",FLOOR((FLOOR(((2*XLOOKUP($L86,'Pokemon Editor'!$A:$A,'Pokemon Editor'!$G:$G,0)+31+FLOOR(XLOOKUP($L86,'Boss Editor'!$C:$C,'Boss Editor'!$I:$I,"")/4))*XLOOKUP($L86,'Boss Editor'!$C:$C,'Boss Editor'!$D:$D,""))/100)+5)*XLOOKUP(XLOOKUP($L86,'Boss Editor'!$C:$C,'Boss Editor'!$E:$E,""),'Nature Editor'!$A:$A,'Nature Editor'!$C:$C,1)),FLOOR((FLOOR(((2*XLOOKUP($L86,'Pokemon Editor'!$A:$A,'Pokemon Editor'!$I:$I,0)+31+FLOOR(XLOOKUP($L86,'Boss Editor'!$C:$C,'Boss Editor'!$K:$K,"")/4))*XLOOKUP($L86,'Boss Editor'!$C:$C,'Boss Editor'!$D:$D,""))/100)+5)*XLOOKUP(XLOOKUP($L86,'Boss Editor'!$C:$C,'Boss Editor'!$E:$E,""),'Nature Editor'!$A:$A,'Nature Editor'!$E:$E,1))),stab,IF(OR(mtype=XLOOKUP(XLOOKUP($K86,'Threshold Summary'!$Y:$Y,'Threshold Summary'!$K:$K,""),'Pokemon Editor'!$A:$A,'Pokemon Editor'!$C:$C,""),mtype=XLOOKUP(XLOOKUP($K86,'Threshold Summary'!$Y:$Y,'Threshold Summary'!$K:$K,""),'Pokemon Editor'!$A:$A,'Pokemon Editor'!$D:$D,"")),1.5,1),eff,(INDEX('Type Chart'!$B:$S,MATCH(mtype,'Type Chart'!$A:$A,0),MATCH(XLOOKUP($L86,'Pokemon Editor'!$A:$A,'Pokemon Editor'!$C:$C,""),'Type Chart'!$B$1:$S$1,0))*IF(XLOOKUP($L86,'Pokemon Editor'!$A:$A,'Pokemon Editor'!$D:$D,"")="",1,INDEX('Type Chart'!$B:$S,MATCH(mtype,'Type Chart'!$A:$A,0),MATCH(XLOOKUP($L86,'Pokemon Editor'!$A:$A,'Pokemon Editor'!$D:$D,""),'Type Chart'!$B$1:$S$1,0)))),base,IF(OR(cat="Status",pow=0),0,FLOOR(FLOOR(FLOOR((2*XLOOKUP($K86,'Threshold Summary'!$Y:$Y,'Threshold Summary'!$L:$L,"")/5+2)*pow*atk/def)/50)+2)),modifier,stab*eff,FLOOR(base*modifier)),0)</f>
        <v/>
      </c>
      <c r="H86" s="3">
        <f>IFERROR(LET(mtype,XLOOKUP($D86,'Move Editor'!$B:$B,'Move Editor'!$C:$C,""),cat,XLOOKUP($D86,'Move Editor'!$B:$B,'Move Editor'!$D:$D,""),pow,XLOOKUP($D86,'Move Editor'!$B:$B,'Move Editor'!$E:$E,0),acc,XLOOKUP($D86,'Move Editor'!$B:$B,'Move Editor'!$F:$F,100),atk,IF(cat="Physical",FLOOR((FLOOR(((2*XLOOKUP(XLOOKUP($K86,'Threshold Summary'!$Y:$Y,'Threshold Summary'!$K:$K,""),'Pokemon Editor'!$A:$A,'Pokemon Editor'!$F:$F,0)+31+FLOOR(XLOOKUP($K86,'Threshold Summary'!$Y:$Y,'Threshold Summary'!$P:$P,"")/4))*XLOOKUP($K86,'Threshold Summary'!$Y:$Y,'Threshold Summary'!$L:$L,""))/100)+5)*XLOOKUP(XLOOKUP($K86,'Threshold Summary'!$Y:$Y,'Threshold Summary'!$M:$M,""),'Nature Editor'!$A:$A,'Nature Editor'!$B:$B,1)),FLOOR((FLOOR(((2*XLOOKUP(XLOOKUP($K86,'Threshold Summary'!$Y:$Y,'Threshold Summary'!$K:$K,""),'Pokemon Editor'!$A:$A,'Pokemon Editor'!$H:$H,0)+31+FLOOR(XLOOKUP($K86,'Threshold Summary'!$Y:$Y,'Threshold Summary'!$R:$R,"")/4))*XLOOKUP($K86,'Threshold Summary'!$Y:$Y,'Threshold Summary'!$L:$L,""))/100)+5)*XLOOKUP(XLOOKUP($K86,'Threshold Summary'!$Y:$Y,'Threshold Summary'!$M:$M,""),'Nature Editor'!$A:$A,'Nature Editor'!$D:$D,1))),def,IF(cat="Physical",FLOOR((FLOOR(((2*XLOOKUP($L86,'Pokemon Editor'!$A:$A,'Pokemon Editor'!$G:$G,0)+31+FLOOR(XLOOKUP($L86,'Boss Editor'!$C:$C,'Boss Editor'!$I:$I,"")/4))*XLOOKUP($L86,'Boss Editor'!$C:$C,'Boss Editor'!$D:$D,""))/100)+5)*XLOOKUP(XLOOKUP($L86,'Boss Editor'!$C:$C,'Boss Editor'!$E:$E,""),'Nature Editor'!$A:$A,'Nature Editor'!$C:$C,1)),FLOOR((FLOOR(((2*XLOOKUP($L86,'Pokemon Editor'!$A:$A,'Pokemon Editor'!$I:$I,0)+31+FLOOR(XLOOKUP($L86,'Boss Editor'!$C:$C,'Boss Editor'!$K:$K,"")/4))*XLOOKUP($L86,'Boss Editor'!$C:$C,'Boss Editor'!$D:$D,""))/100)+5)*XLOOKUP(XLOOKUP($L86,'Boss Editor'!$C:$C,'Boss Editor'!$E:$E,""),'Nature Editor'!$A:$A,'Nature Editor'!$E:$E,1))),stab,IF(OR(mtype=XLOOKUP(XLOOKUP($K86,'Threshold Summary'!$Y:$Y,'Threshold Summary'!$K:$K,""),'Pokemon Editor'!$A:$A,'Pokemon Editor'!$C:$C,""),mtype=XLOOKUP(XLOOKUP($K86,'Threshold Summary'!$Y:$Y,'Threshold Summary'!$K:$K,""),'Pokemon Editor'!$A:$A,'Pokemon Editor'!$D:$D,"")),1.5,1),eff,(INDEX('Type Chart'!$B:$S,MATCH(mtype,'Type Chart'!$A:$A,0),MATCH(XLOOKUP($L86,'Pokemon Editor'!$A:$A,'Pokemon Editor'!$C:$C,""),'Type Chart'!$B$1:$S$1,0))*IF(XLOOKUP($L86,'Pokemon Editor'!$A:$A,'Pokemon Editor'!$D:$D,"")="",1,INDEX('Type Chart'!$B:$S,MATCH(mtype,'Type Chart'!$A:$A,0),MATCH(XLOOKUP($L86,'Pokemon Editor'!$A:$A,'Pokemon Editor'!$D:$D,""),'Type Chart'!$B$1:$S$1,0)))),base,IF(OR(cat="Status",pow=0),0,FLOOR(FLOOR(FLOOR((2*XLOOKUP($K86,'Threshold Summary'!$Y:$Y,'Threshold Summary'!$L:$L,"")/5+2)*pow*atk/def)/50)+2)),modifier,stab*eff,AVERAGE(ARRAYFORMULA(FLOOR(base*modifier*SEQUENCE(16,1,85,1)/100)))),0)</f>
        <v/>
      </c>
      <c r="I86" s="4">
        <f>IFERROR(LET(mtype,XLOOKUP($D86,'Move Editor'!$B:$B,'Move Editor'!$C:$C,""),cat,XLOOKUP($D86,'Move Editor'!$B:$B,'Move Editor'!$D:$D,""),pow,XLOOKUP($D86,'Move Editor'!$B:$B,'Move Editor'!$E:$E,0),acc,XLOOKUP($D86,'Move Editor'!$B:$B,'Move Editor'!$F:$F,100),atk,IF(cat="Physical",FLOOR((FLOOR(((2*XLOOKUP(XLOOKUP($K86,'Threshold Summary'!$Y:$Y,'Threshold Summary'!$K:$K,""),'Pokemon Editor'!$A:$A,'Pokemon Editor'!$F:$F,0)+31+FLOOR(XLOOKUP($K86,'Threshold Summary'!$Y:$Y,'Threshold Summary'!$P:$P,"")/4))*XLOOKUP($K86,'Threshold Summary'!$Y:$Y,'Threshold Summary'!$L:$L,""))/100)+5)*XLOOKUP(XLOOKUP($K86,'Threshold Summary'!$Y:$Y,'Threshold Summary'!$M:$M,""),'Nature Editor'!$A:$A,'Nature Editor'!$B:$B,1)),FLOOR((FLOOR(((2*XLOOKUP(XLOOKUP($K86,'Threshold Summary'!$Y:$Y,'Threshold Summary'!$K:$K,""),'Pokemon Editor'!$A:$A,'Pokemon Editor'!$H:$H,0)+31+FLOOR(XLOOKUP($K86,'Threshold Summary'!$Y:$Y,'Threshold Summary'!$R:$R,"")/4))*XLOOKUP($K86,'Threshold Summary'!$Y:$Y,'Threshold Summary'!$L:$L,""))/100)+5)*XLOOKUP(XLOOKUP($K86,'Threshold Summary'!$Y:$Y,'Threshold Summary'!$M:$M,""),'Nature Editor'!$A:$A,'Nature Editor'!$D:$D,1))),def,IF(cat="Physical",FLOOR((FLOOR(((2*XLOOKUP($L86,'Pokemon Editor'!$A:$A,'Pokemon Editor'!$G:$G,0)+31+FLOOR(XLOOKUP($L86,'Boss Editor'!$C:$C,'Boss Editor'!$I:$I,"")/4))*XLOOKUP($L86,'Boss Editor'!$C:$C,'Boss Editor'!$D:$D,""))/100)+5)*XLOOKUP(XLOOKUP($L86,'Boss Editor'!$C:$C,'Boss Editor'!$E:$E,""),'Nature Editor'!$A:$A,'Nature Editor'!$C:$C,1)),FLOOR((FLOOR(((2*XLOOKUP($L86,'Pokemon Editor'!$A:$A,'Pokemon Editor'!$I:$I,0)+31+FLOOR(XLOOKUP($L86,'Boss Editor'!$C:$C,'Boss Editor'!$K:$K,"")/4))*XLOOKUP($L86,'Boss Editor'!$C:$C,'Boss Editor'!$D:$D,""))/100)+5)*XLOOKUP(XLOOKUP($L86,'Boss Editor'!$C:$C,'Boss Editor'!$E:$E,""),'Nature Editor'!$A:$A,'Nature Editor'!$E:$E,1))),stab,IF(OR(mtype=XLOOKUP(XLOOKUP($K86,'Threshold Summary'!$Y:$Y,'Threshold Summary'!$K:$K,""),'Pokemon Editor'!$A:$A,'Pokemon Editor'!$C:$C,""),mtype=XLOOKUP(XLOOKUP($K86,'Threshold Summary'!$Y:$Y,'Threshold Summary'!$K:$K,""),'Pokemon Editor'!$A:$A,'Pokemon Editor'!$D:$D,"")),1.5,1),eff,(INDEX('Type Chart'!$B:$S,MATCH(mtype,'Type Chart'!$A:$A,0),MATCH(XLOOKUP($L86,'Pokemon Editor'!$A:$A,'Pokemon Editor'!$C:$C,""),'Type Chart'!$B$1:$S$1,0))*IF(XLOOKUP($L86,'Pokemon Editor'!$A:$A,'Pokemon Editor'!$D:$D,"")="",1,INDEX('Type Chart'!$B:$S,MATCH(mtype,'Type Chart'!$A:$A,0),MATCH(XLOOKUP($L86,'Pokemon Editor'!$A:$A,'Pokemon Editor'!$D:$D,""),'Type Chart'!$B$1:$S$1,0)))),base,IF(OR(cat="Status",pow=0),0,FLOOR(FLOOR(FLOOR((2*XLOOKUP($K86,'Threshold Summary'!$Y:$Y,'Threshold Summary'!$L:$L,"")/5+2)*pow*atk/def)/50)+2)),modifier,stab*eff,AVERAGE(ARRAYFORMULA(FLOOR(base*modifier*SEQUENCE(16,1,85,1)/100)))/(FLOOR(((2*XLOOKUP($L86,'Pokemon Editor'!$A:$A,'Pokemon Editor'!$E:$E,0)+31+FLOOR(XLOOKUP($L86,'Boss Editor'!$C:$C,'Boss Editor'!$G:$G,"")/4))*XLOOKUP($L86,'Boss Editor'!$C:$C,'Boss Editor'!$D:$D,""))/100)+XLOOKUP($L86,'Boss Editor'!$C:$C,'Boss Editor'!$D:$D,"")+10)),0)</f>
        <v/>
      </c>
      <c r="J86" s="3">
        <f>IF(I86&gt;=1,"OHKO",IF(I86&gt;=0.5,"2HKO",IF(I86&gt;=0.333,"3HKO",IF(I86&gt;=0.25,"4HKO","5HKO+"))))</f>
        <v/>
      </c>
      <c r="K86" s="3" t="inlineStr">
        <is>
          <t>SPECIES_TANDEMAUS</t>
        </is>
      </c>
      <c r="L86" s="3" t="inlineStr">
        <is>
          <t>SPECIES_TIRTOUGA</t>
        </is>
      </c>
    </row>
    <row r="87">
      <c r="A87" s="3">
        <f>XLOOKUP($K87,'Threshold Summary'!$Y:$Y,'Threshold Summary'!$A:$A,"")</f>
        <v/>
      </c>
      <c r="B87" s="3" t="inlineStr">
        <is>
          <t>Anorith</t>
        </is>
      </c>
      <c r="C87" s="3">
        <f>XLOOKUP($L87,'Boss Editor'!$C:$C,'Boss Editor'!$D:$D,"")</f>
        <v/>
      </c>
      <c r="D87" s="3">
        <f>XLOOKUP($K87,'Threshold Summary'!$Y:$Y,'Threshold Summary'!$B:$B,"")</f>
        <v/>
      </c>
      <c r="E87" s="3">
        <f>XLOOKUP(D87,'Move Editor'!$B:$B,'Move Editor'!$C:$C,"")</f>
        <v/>
      </c>
      <c r="F87" s="3">
        <f>IFERROR(LET(mtype,XLOOKUP($D87,'Move Editor'!$B:$B,'Move Editor'!$C:$C,""),cat,XLOOKUP($D87,'Move Editor'!$B:$B,'Move Editor'!$D:$D,""),pow,XLOOKUP($D87,'Move Editor'!$B:$B,'Move Editor'!$E:$E,0),acc,XLOOKUP($D87,'Move Editor'!$B:$B,'Move Editor'!$F:$F,100),atk,IF(cat="Physical",FLOOR((FLOOR(((2*XLOOKUP(XLOOKUP($K87,'Threshold Summary'!$Y:$Y,'Threshold Summary'!$K:$K,""),'Pokemon Editor'!$A:$A,'Pokemon Editor'!$F:$F,0)+31+FLOOR(XLOOKUP($K87,'Threshold Summary'!$Y:$Y,'Threshold Summary'!$P:$P,"")/4))*XLOOKUP($K87,'Threshold Summary'!$Y:$Y,'Threshold Summary'!$L:$L,""))/100)+5)*XLOOKUP(XLOOKUP($K87,'Threshold Summary'!$Y:$Y,'Threshold Summary'!$M:$M,""),'Nature Editor'!$A:$A,'Nature Editor'!$B:$B,1)),FLOOR((FLOOR(((2*XLOOKUP(XLOOKUP($K87,'Threshold Summary'!$Y:$Y,'Threshold Summary'!$K:$K,""),'Pokemon Editor'!$A:$A,'Pokemon Editor'!$H:$H,0)+31+FLOOR(XLOOKUP($K87,'Threshold Summary'!$Y:$Y,'Threshold Summary'!$R:$R,"")/4))*XLOOKUP($K87,'Threshold Summary'!$Y:$Y,'Threshold Summary'!$L:$L,""))/100)+5)*XLOOKUP(XLOOKUP($K87,'Threshold Summary'!$Y:$Y,'Threshold Summary'!$M:$M,""),'Nature Editor'!$A:$A,'Nature Editor'!$D:$D,1))),def,IF(cat="Physical",FLOOR((FLOOR(((2*XLOOKUP($L87,'Pokemon Editor'!$A:$A,'Pokemon Editor'!$G:$G,0)+31+FLOOR(XLOOKUP($L87,'Boss Editor'!$C:$C,'Boss Editor'!$I:$I,"")/4))*XLOOKUP($L87,'Boss Editor'!$C:$C,'Boss Editor'!$D:$D,""))/100)+5)*XLOOKUP(XLOOKUP($L87,'Boss Editor'!$C:$C,'Boss Editor'!$E:$E,""),'Nature Editor'!$A:$A,'Nature Editor'!$C:$C,1)),FLOOR((FLOOR(((2*XLOOKUP($L87,'Pokemon Editor'!$A:$A,'Pokemon Editor'!$I:$I,0)+31+FLOOR(XLOOKUP($L87,'Boss Editor'!$C:$C,'Boss Editor'!$K:$K,"")/4))*XLOOKUP($L87,'Boss Editor'!$C:$C,'Boss Editor'!$D:$D,""))/100)+5)*XLOOKUP(XLOOKUP($L87,'Boss Editor'!$C:$C,'Boss Editor'!$E:$E,""),'Nature Editor'!$A:$A,'Nature Editor'!$E:$E,1))),stab,IF(OR(mtype=XLOOKUP(XLOOKUP($K87,'Threshold Summary'!$Y:$Y,'Threshold Summary'!$K:$K,""),'Pokemon Editor'!$A:$A,'Pokemon Editor'!$C:$C,""),mtype=XLOOKUP(XLOOKUP($K87,'Threshold Summary'!$Y:$Y,'Threshold Summary'!$K:$K,""),'Pokemon Editor'!$A:$A,'Pokemon Editor'!$D:$D,"")),1.5,1),eff,(INDEX('Type Chart'!$B:$S,MATCH(mtype,'Type Chart'!$A:$A,0),MATCH(XLOOKUP($L87,'Pokemon Editor'!$A:$A,'Pokemon Editor'!$C:$C,""),'Type Chart'!$B$1:$S$1,0))*IF(XLOOKUP($L87,'Pokemon Editor'!$A:$A,'Pokemon Editor'!$D:$D,"")="",1,INDEX('Type Chart'!$B:$S,MATCH(mtype,'Type Chart'!$A:$A,0),MATCH(XLOOKUP($L87,'Pokemon Editor'!$A:$A,'Pokemon Editor'!$D:$D,""),'Type Chart'!$B$1:$S$1,0)))),base,IF(OR(cat="Status",pow=0),0,FLOOR(FLOOR(FLOOR((2*XLOOKUP($K87,'Threshold Summary'!$Y:$Y,'Threshold Summary'!$L:$L,"")/5+2)*pow*atk/def)/50)+2)),modifier,stab*eff,FLOOR(base*modifier*0.85)),0)</f>
        <v/>
      </c>
      <c r="G87" s="3">
        <f>IFERROR(LET(mtype,XLOOKUP($D87,'Move Editor'!$B:$B,'Move Editor'!$C:$C,""),cat,XLOOKUP($D87,'Move Editor'!$B:$B,'Move Editor'!$D:$D,""),pow,XLOOKUP($D87,'Move Editor'!$B:$B,'Move Editor'!$E:$E,0),acc,XLOOKUP($D87,'Move Editor'!$B:$B,'Move Editor'!$F:$F,100),atk,IF(cat="Physical",FLOOR((FLOOR(((2*XLOOKUP(XLOOKUP($K87,'Threshold Summary'!$Y:$Y,'Threshold Summary'!$K:$K,""),'Pokemon Editor'!$A:$A,'Pokemon Editor'!$F:$F,0)+31+FLOOR(XLOOKUP($K87,'Threshold Summary'!$Y:$Y,'Threshold Summary'!$P:$P,"")/4))*XLOOKUP($K87,'Threshold Summary'!$Y:$Y,'Threshold Summary'!$L:$L,""))/100)+5)*XLOOKUP(XLOOKUP($K87,'Threshold Summary'!$Y:$Y,'Threshold Summary'!$M:$M,""),'Nature Editor'!$A:$A,'Nature Editor'!$B:$B,1)),FLOOR((FLOOR(((2*XLOOKUP(XLOOKUP($K87,'Threshold Summary'!$Y:$Y,'Threshold Summary'!$K:$K,""),'Pokemon Editor'!$A:$A,'Pokemon Editor'!$H:$H,0)+31+FLOOR(XLOOKUP($K87,'Threshold Summary'!$Y:$Y,'Threshold Summary'!$R:$R,"")/4))*XLOOKUP($K87,'Threshold Summary'!$Y:$Y,'Threshold Summary'!$L:$L,""))/100)+5)*XLOOKUP(XLOOKUP($K87,'Threshold Summary'!$Y:$Y,'Threshold Summary'!$M:$M,""),'Nature Editor'!$A:$A,'Nature Editor'!$D:$D,1))),def,IF(cat="Physical",FLOOR((FLOOR(((2*XLOOKUP($L87,'Pokemon Editor'!$A:$A,'Pokemon Editor'!$G:$G,0)+31+FLOOR(XLOOKUP($L87,'Boss Editor'!$C:$C,'Boss Editor'!$I:$I,"")/4))*XLOOKUP($L87,'Boss Editor'!$C:$C,'Boss Editor'!$D:$D,""))/100)+5)*XLOOKUP(XLOOKUP($L87,'Boss Editor'!$C:$C,'Boss Editor'!$E:$E,""),'Nature Editor'!$A:$A,'Nature Editor'!$C:$C,1)),FLOOR((FLOOR(((2*XLOOKUP($L87,'Pokemon Editor'!$A:$A,'Pokemon Editor'!$I:$I,0)+31+FLOOR(XLOOKUP($L87,'Boss Editor'!$C:$C,'Boss Editor'!$K:$K,"")/4))*XLOOKUP($L87,'Boss Editor'!$C:$C,'Boss Editor'!$D:$D,""))/100)+5)*XLOOKUP(XLOOKUP($L87,'Boss Editor'!$C:$C,'Boss Editor'!$E:$E,""),'Nature Editor'!$A:$A,'Nature Editor'!$E:$E,1))),stab,IF(OR(mtype=XLOOKUP(XLOOKUP($K87,'Threshold Summary'!$Y:$Y,'Threshold Summary'!$K:$K,""),'Pokemon Editor'!$A:$A,'Pokemon Editor'!$C:$C,""),mtype=XLOOKUP(XLOOKUP($K87,'Threshold Summary'!$Y:$Y,'Threshold Summary'!$K:$K,""),'Pokemon Editor'!$A:$A,'Pokemon Editor'!$D:$D,"")),1.5,1),eff,(INDEX('Type Chart'!$B:$S,MATCH(mtype,'Type Chart'!$A:$A,0),MATCH(XLOOKUP($L87,'Pokemon Editor'!$A:$A,'Pokemon Editor'!$C:$C,""),'Type Chart'!$B$1:$S$1,0))*IF(XLOOKUP($L87,'Pokemon Editor'!$A:$A,'Pokemon Editor'!$D:$D,"")="",1,INDEX('Type Chart'!$B:$S,MATCH(mtype,'Type Chart'!$A:$A,0),MATCH(XLOOKUP($L87,'Pokemon Editor'!$A:$A,'Pokemon Editor'!$D:$D,""),'Type Chart'!$B$1:$S$1,0)))),base,IF(OR(cat="Status",pow=0),0,FLOOR(FLOOR(FLOOR((2*XLOOKUP($K87,'Threshold Summary'!$Y:$Y,'Threshold Summary'!$L:$L,"")/5+2)*pow*atk/def)/50)+2)),modifier,stab*eff,FLOOR(base*modifier)),0)</f>
        <v/>
      </c>
      <c r="H87" s="3">
        <f>IFERROR(LET(mtype,XLOOKUP($D87,'Move Editor'!$B:$B,'Move Editor'!$C:$C,""),cat,XLOOKUP($D87,'Move Editor'!$B:$B,'Move Editor'!$D:$D,""),pow,XLOOKUP($D87,'Move Editor'!$B:$B,'Move Editor'!$E:$E,0),acc,XLOOKUP($D87,'Move Editor'!$B:$B,'Move Editor'!$F:$F,100),atk,IF(cat="Physical",FLOOR((FLOOR(((2*XLOOKUP(XLOOKUP($K87,'Threshold Summary'!$Y:$Y,'Threshold Summary'!$K:$K,""),'Pokemon Editor'!$A:$A,'Pokemon Editor'!$F:$F,0)+31+FLOOR(XLOOKUP($K87,'Threshold Summary'!$Y:$Y,'Threshold Summary'!$P:$P,"")/4))*XLOOKUP($K87,'Threshold Summary'!$Y:$Y,'Threshold Summary'!$L:$L,""))/100)+5)*XLOOKUP(XLOOKUP($K87,'Threshold Summary'!$Y:$Y,'Threshold Summary'!$M:$M,""),'Nature Editor'!$A:$A,'Nature Editor'!$B:$B,1)),FLOOR((FLOOR(((2*XLOOKUP(XLOOKUP($K87,'Threshold Summary'!$Y:$Y,'Threshold Summary'!$K:$K,""),'Pokemon Editor'!$A:$A,'Pokemon Editor'!$H:$H,0)+31+FLOOR(XLOOKUP($K87,'Threshold Summary'!$Y:$Y,'Threshold Summary'!$R:$R,"")/4))*XLOOKUP($K87,'Threshold Summary'!$Y:$Y,'Threshold Summary'!$L:$L,""))/100)+5)*XLOOKUP(XLOOKUP($K87,'Threshold Summary'!$Y:$Y,'Threshold Summary'!$M:$M,""),'Nature Editor'!$A:$A,'Nature Editor'!$D:$D,1))),def,IF(cat="Physical",FLOOR((FLOOR(((2*XLOOKUP($L87,'Pokemon Editor'!$A:$A,'Pokemon Editor'!$G:$G,0)+31+FLOOR(XLOOKUP($L87,'Boss Editor'!$C:$C,'Boss Editor'!$I:$I,"")/4))*XLOOKUP($L87,'Boss Editor'!$C:$C,'Boss Editor'!$D:$D,""))/100)+5)*XLOOKUP(XLOOKUP($L87,'Boss Editor'!$C:$C,'Boss Editor'!$E:$E,""),'Nature Editor'!$A:$A,'Nature Editor'!$C:$C,1)),FLOOR((FLOOR(((2*XLOOKUP($L87,'Pokemon Editor'!$A:$A,'Pokemon Editor'!$I:$I,0)+31+FLOOR(XLOOKUP($L87,'Boss Editor'!$C:$C,'Boss Editor'!$K:$K,"")/4))*XLOOKUP($L87,'Boss Editor'!$C:$C,'Boss Editor'!$D:$D,""))/100)+5)*XLOOKUP(XLOOKUP($L87,'Boss Editor'!$C:$C,'Boss Editor'!$E:$E,""),'Nature Editor'!$A:$A,'Nature Editor'!$E:$E,1))),stab,IF(OR(mtype=XLOOKUP(XLOOKUP($K87,'Threshold Summary'!$Y:$Y,'Threshold Summary'!$K:$K,""),'Pokemon Editor'!$A:$A,'Pokemon Editor'!$C:$C,""),mtype=XLOOKUP(XLOOKUP($K87,'Threshold Summary'!$Y:$Y,'Threshold Summary'!$K:$K,""),'Pokemon Editor'!$A:$A,'Pokemon Editor'!$D:$D,"")),1.5,1),eff,(INDEX('Type Chart'!$B:$S,MATCH(mtype,'Type Chart'!$A:$A,0),MATCH(XLOOKUP($L87,'Pokemon Editor'!$A:$A,'Pokemon Editor'!$C:$C,""),'Type Chart'!$B$1:$S$1,0))*IF(XLOOKUP($L87,'Pokemon Editor'!$A:$A,'Pokemon Editor'!$D:$D,"")="",1,INDEX('Type Chart'!$B:$S,MATCH(mtype,'Type Chart'!$A:$A,0),MATCH(XLOOKUP($L87,'Pokemon Editor'!$A:$A,'Pokemon Editor'!$D:$D,""),'Type Chart'!$B$1:$S$1,0)))),base,IF(OR(cat="Status",pow=0),0,FLOOR(FLOOR(FLOOR((2*XLOOKUP($K87,'Threshold Summary'!$Y:$Y,'Threshold Summary'!$L:$L,"")/5+2)*pow*atk/def)/50)+2)),modifier,stab*eff,AVERAGE(ARRAYFORMULA(FLOOR(base*modifier*SEQUENCE(16,1,85,1)/100)))),0)</f>
        <v/>
      </c>
      <c r="I87" s="4">
        <f>IFERROR(LET(mtype,XLOOKUP($D87,'Move Editor'!$B:$B,'Move Editor'!$C:$C,""),cat,XLOOKUP($D87,'Move Editor'!$B:$B,'Move Editor'!$D:$D,""),pow,XLOOKUP($D87,'Move Editor'!$B:$B,'Move Editor'!$E:$E,0),acc,XLOOKUP($D87,'Move Editor'!$B:$B,'Move Editor'!$F:$F,100),atk,IF(cat="Physical",FLOOR((FLOOR(((2*XLOOKUP(XLOOKUP($K87,'Threshold Summary'!$Y:$Y,'Threshold Summary'!$K:$K,""),'Pokemon Editor'!$A:$A,'Pokemon Editor'!$F:$F,0)+31+FLOOR(XLOOKUP($K87,'Threshold Summary'!$Y:$Y,'Threshold Summary'!$P:$P,"")/4))*XLOOKUP($K87,'Threshold Summary'!$Y:$Y,'Threshold Summary'!$L:$L,""))/100)+5)*XLOOKUP(XLOOKUP($K87,'Threshold Summary'!$Y:$Y,'Threshold Summary'!$M:$M,""),'Nature Editor'!$A:$A,'Nature Editor'!$B:$B,1)),FLOOR((FLOOR(((2*XLOOKUP(XLOOKUP($K87,'Threshold Summary'!$Y:$Y,'Threshold Summary'!$K:$K,""),'Pokemon Editor'!$A:$A,'Pokemon Editor'!$H:$H,0)+31+FLOOR(XLOOKUP($K87,'Threshold Summary'!$Y:$Y,'Threshold Summary'!$R:$R,"")/4))*XLOOKUP($K87,'Threshold Summary'!$Y:$Y,'Threshold Summary'!$L:$L,""))/100)+5)*XLOOKUP(XLOOKUP($K87,'Threshold Summary'!$Y:$Y,'Threshold Summary'!$M:$M,""),'Nature Editor'!$A:$A,'Nature Editor'!$D:$D,1))),def,IF(cat="Physical",FLOOR((FLOOR(((2*XLOOKUP($L87,'Pokemon Editor'!$A:$A,'Pokemon Editor'!$G:$G,0)+31+FLOOR(XLOOKUP($L87,'Boss Editor'!$C:$C,'Boss Editor'!$I:$I,"")/4))*XLOOKUP($L87,'Boss Editor'!$C:$C,'Boss Editor'!$D:$D,""))/100)+5)*XLOOKUP(XLOOKUP($L87,'Boss Editor'!$C:$C,'Boss Editor'!$E:$E,""),'Nature Editor'!$A:$A,'Nature Editor'!$C:$C,1)),FLOOR((FLOOR(((2*XLOOKUP($L87,'Pokemon Editor'!$A:$A,'Pokemon Editor'!$I:$I,0)+31+FLOOR(XLOOKUP($L87,'Boss Editor'!$C:$C,'Boss Editor'!$K:$K,"")/4))*XLOOKUP($L87,'Boss Editor'!$C:$C,'Boss Editor'!$D:$D,""))/100)+5)*XLOOKUP(XLOOKUP($L87,'Boss Editor'!$C:$C,'Boss Editor'!$E:$E,""),'Nature Editor'!$A:$A,'Nature Editor'!$E:$E,1))),stab,IF(OR(mtype=XLOOKUP(XLOOKUP($K87,'Threshold Summary'!$Y:$Y,'Threshold Summary'!$K:$K,""),'Pokemon Editor'!$A:$A,'Pokemon Editor'!$C:$C,""),mtype=XLOOKUP(XLOOKUP($K87,'Threshold Summary'!$Y:$Y,'Threshold Summary'!$K:$K,""),'Pokemon Editor'!$A:$A,'Pokemon Editor'!$D:$D,"")),1.5,1),eff,(INDEX('Type Chart'!$B:$S,MATCH(mtype,'Type Chart'!$A:$A,0),MATCH(XLOOKUP($L87,'Pokemon Editor'!$A:$A,'Pokemon Editor'!$C:$C,""),'Type Chart'!$B$1:$S$1,0))*IF(XLOOKUP($L87,'Pokemon Editor'!$A:$A,'Pokemon Editor'!$D:$D,"")="",1,INDEX('Type Chart'!$B:$S,MATCH(mtype,'Type Chart'!$A:$A,0),MATCH(XLOOKUP($L87,'Pokemon Editor'!$A:$A,'Pokemon Editor'!$D:$D,""),'Type Chart'!$B$1:$S$1,0)))),base,IF(OR(cat="Status",pow=0),0,FLOOR(FLOOR(FLOOR((2*XLOOKUP($K87,'Threshold Summary'!$Y:$Y,'Threshold Summary'!$L:$L,"")/5+2)*pow*atk/def)/50)+2)),modifier,stab*eff,AVERAGE(ARRAYFORMULA(FLOOR(base*modifier*SEQUENCE(16,1,85,1)/100)))/(FLOOR(((2*XLOOKUP($L87,'Pokemon Editor'!$A:$A,'Pokemon Editor'!$E:$E,0)+31+FLOOR(XLOOKUP($L87,'Boss Editor'!$C:$C,'Boss Editor'!$G:$G,"")/4))*XLOOKUP($L87,'Boss Editor'!$C:$C,'Boss Editor'!$D:$D,""))/100)+XLOOKUP($L87,'Boss Editor'!$C:$C,'Boss Editor'!$D:$D,"")+10)),0)</f>
        <v/>
      </c>
      <c r="J87" s="3">
        <f>IF(I87&gt;=1,"OHKO",IF(I87&gt;=0.5,"2HKO",IF(I87&gt;=0.333,"3HKO",IF(I87&gt;=0.25,"4HKO","5HKO+"))))</f>
        <v/>
      </c>
      <c r="K87" s="3" t="inlineStr">
        <is>
          <t>SPECIES_TANDEMAUS</t>
        </is>
      </c>
      <c r="L87" s="3" t="inlineStr">
        <is>
          <t>SPECIES_ANORITH</t>
        </is>
      </c>
    </row>
    <row r="88">
      <c r="A88" s="3">
        <f>XLOOKUP($K88,'Threshold Summary'!$Y:$Y,'Threshold Summary'!$A:$A,"")</f>
        <v/>
      </c>
      <c r="B88" s="3" t="inlineStr">
        <is>
          <t>Lileep</t>
        </is>
      </c>
      <c r="C88" s="3">
        <f>XLOOKUP($L88,'Boss Editor'!$C:$C,'Boss Editor'!$D:$D,"")</f>
        <v/>
      </c>
      <c r="D88" s="3">
        <f>XLOOKUP($K88,'Threshold Summary'!$Y:$Y,'Threshold Summary'!$B:$B,"")</f>
        <v/>
      </c>
      <c r="E88" s="3">
        <f>XLOOKUP(D88,'Move Editor'!$B:$B,'Move Editor'!$C:$C,"")</f>
        <v/>
      </c>
      <c r="F88" s="3">
        <f>IFERROR(LET(mtype,XLOOKUP($D88,'Move Editor'!$B:$B,'Move Editor'!$C:$C,""),cat,XLOOKUP($D88,'Move Editor'!$B:$B,'Move Editor'!$D:$D,""),pow,XLOOKUP($D88,'Move Editor'!$B:$B,'Move Editor'!$E:$E,0),acc,XLOOKUP($D88,'Move Editor'!$B:$B,'Move Editor'!$F:$F,100),atk,IF(cat="Physical",FLOOR((FLOOR(((2*XLOOKUP(XLOOKUP($K88,'Threshold Summary'!$Y:$Y,'Threshold Summary'!$K:$K,""),'Pokemon Editor'!$A:$A,'Pokemon Editor'!$F:$F,0)+31+FLOOR(XLOOKUP($K88,'Threshold Summary'!$Y:$Y,'Threshold Summary'!$P:$P,"")/4))*XLOOKUP($K88,'Threshold Summary'!$Y:$Y,'Threshold Summary'!$L:$L,""))/100)+5)*XLOOKUP(XLOOKUP($K88,'Threshold Summary'!$Y:$Y,'Threshold Summary'!$M:$M,""),'Nature Editor'!$A:$A,'Nature Editor'!$B:$B,1)),FLOOR((FLOOR(((2*XLOOKUP(XLOOKUP($K88,'Threshold Summary'!$Y:$Y,'Threshold Summary'!$K:$K,""),'Pokemon Editor'!$A:$A,'Pokemon Editor'!$H:$H,0)+31+FLOOR(XLOOKUP($K88,'Threshold Summary'!$Y:$Y,'Threshold Summary'!$R:$R,"")/4))*XLOOKUP($K88,'Threshold Summary'!$Y:$Y,'Threshold Summary'!$L:$L,""))/100)+5)*XLOOKUP(XLOOKUP($K88,'Threshold Summary'!$Y:$Y,'Threshold Summary'!$M:$M,""),'Nature Editor'!$A:$A,'Nature Editor'!$D:$D,1))),def,IF(cat="Physical",FLOOR((FLOOR(((2*XLOOKUP($L88,'Pokemon Editor'!$A:$A,'Pokemon Editor'!$G:$G,0)+31+FLOOR(XLOOKUP($L88,'Boss Editor'!$C:$C,'Boss Editor'!$I:$I,"")/4))*XLOOKUP($L88,'Boss Editor'!$C:$C,'Boss Editor'!$D:$D,""))/100)+5)*XLOOKUP(XLOOKUP($L88,'Boss Editor'!$C:$C,'Boss Editor'!$E:$E,""),'Nature Editor'!$A:$A,'Nature Editor'!$C:$C,1)),FLOOR((FLOOR(((2*XLOOKUP($L88,'Pokemon Editor'!$A:$A,'Pokemon Editor'!$I:$I,0)+31+FLOOR(XLOOKUP($L88,'Boss Editor'!$C:$C,'Boss Editor'!$K:$K,"")/4))*XLOOKUP($L88,'Boss Editor'!$C:$C,'Boss Editor'!$D:$D,""))/100)+5)*XLOOKUP(XLOOKUP($L88,'Boss Editor'!$C:$C,'Boss Editor'!$E:$E,""),'Nature Editor'!$A:$A,'Nature Editor'!$E:$E,1))),stab,IF(OR(mtype=XLOOKUP(XLOOKUP($K88,'Threshold Summary'!$Y:$Y,'Threshold Summary'!$K:$K,""),'Pokemon Editor'!$A:$A,'Pokemon Editor'!$C:$C,""),mtype=XLOOKUP(XLOOKUP($K88,'Threshold Summary'!$Y:$Y,'Threshold Summary'!$K:$K,""),'Pokemon Editor'!$A:$A,'Pokemon Editor'!$D:$D,"")),1.5,1),eff,(INDEX('Type Chart'!$B:$S,MATCH(mtype,'Type Chart'!$A:$A,0),MATCH(XLOOKUP($L88,'Pokemon Editor'!$A:$A,'Pokemon Editor'!$C:$C,""),'Type Chart'!$B$1:$S$1,0))*IF(XLOOKUP($L88,'Pokemon Editor'!$A:$A,'Pokemon Editor'!$D:$D,"")="",1,INDEX('Type Chart'!$B:$S,MATCH(mtype,'Type Chart'!$A:$A,0),MATCH(XLOOKUP($L88,'Pokemon Editor'!$A:$A,'Pokemon Editor'!$D:$D,""),'Type Chart'!$B$1:$S$1,0)))),base,IF(OR(cat="Status",pow=0),0,FLOOR(FLOOR(FLOOR((2*XLOOKUP($K88,'Threshold Summary'!$Y:$Y,'Threshold Summary'!$L:$L,"")/5+2)*pow*atk/def)/50)+2)),modifier,stab*eff,FLOOR(base*modifier*0.85)),0)</f>
        <v/>
      </c>
      <c r="G88" s="3">
        <f>IFERROR(LET(mtype,XLOOKUP($D88,'Move Editor'!$B:$B,'Move Editor'!$C:$C,""),cat,XLOOKUP($D88,'Move Editor'!$B:$B,'Move Editor'!$D:$D,""),pow,XLOOKUP($D88,'Move Editor'!$B:$B,'Move Editor'!$E:$E,0),acc,XLOOKUP($D88,'Move Editor'!$B:$B,'Move Editor'!$F:$F,100),atk,IF(cat="Physical",FLOOR((FLOOR(((2*XLOOKUP(XLOOKUP($K88,'Threshold Summary'!$Y:$Y,'Threshold Summary'!$K:$K,""),'Pokemon Editor'!$A:$A,'Pokemon Editor'!$F:$F,0)+31+FLOOR(XLOOKUP($K88,'Threshold Summary'!$Y:$Y,'Threshold Summary'!$P:$P,"")/4))*XLOOKUP($K88,'Threshold Summary'!$Y:$Y,'Threshold Summary'!$L:$L,""))/100)+5)*XLOOKUP(XLOOKUP($K88,'Threshold Summary'!$Y:$Y,'Threshold Summary'!$M:$M,""),'Nature Editor'!$A:$A,'Nature Editor'!$B:$B,1)),FLOOR((FLOOR(((2*XLOOKUP(XLOOKUP($K88,'Threshold Summary'!$Y:$Y,'Threshold Summary'!$K:$K,""),'Pokemon Editor'!$A:$A,'Pokemon Editor'!$H:$H,0)+31+FLOOR(XLOOKUP($K88,'Threshold Summary'!$Y:$Y,'Threshold Summary'!$R:$R,"")/4))*XLOOKUP($K88,'Threshold Summary'!$Y:$Y,'Threshold Summary'!$L:$L,""))/100)+5)*XLOOKUP(XLOOKUP($K88,'Threshold Summary'!$Y:$Y,'Threshold Summary'!$M:$M,""),'Nature Editor'!$A:$A,'Nature Editor'!$D:$D,1))),def,IF(cat="Physical",FLOOR((FLOOR(((2*XLOOKUP($L88,'Pokemon Editor'!$A:$A,'Pokemon Editor'!$G:$G,0)+31+FLOOR(XLOOKUP($L88,'Boss Editor'!$C:$C,'Boss Editor'!$I:$I,"")/4))*XLOOKUP($L88,'Boss Editor'!$C:$C,'Boss Editor'!$D:$D,""))/100)+5)*XLOOKUP(XLOOKUP($L88,'Boss Editor'!$C:$C,'Boss Editor'!$E:$E,""),'Nature Editor'!$A:$A,'Nature Editor'!$C:$C,1)),FLOOR((FLOOR(((2*XLOOKUP($L88,'Pokemon Editor'!$A:$A,'Pokemon Editor'!$I:$I,0)+31+FLOOR(XLOOKUP($L88,'Boss Editor'!$C:$C,'Boss Editor'!$K:$K,"")/4))*XLOOKUP($L88,'Boss Editor'!$C:$C,'Boss Editor'!$D:$D,""))/100)+5)*XLOOKUP(XLOOKUP($L88,'Boss Editor'!$C:$C,'Boss Editor'!$E:$E,""),'Nature Editor'!$A:$A,'Nature Editor'!$E:$E,1))),stab,IF(OR(mtype=XLOOKUP(XLOOKUP($K88,'Threshold Summary'!$Y:$Y,'Threshold Summary'!$K:$K,""),'Pokemon Editor'!$A:$A,'Pokemon Editor'!$C:$C,""),mtype=XLOOKUP(XLOOKUP($K88,'Threshold Summary'!$Y:$Y,'Threshold Summary'!$K:$K,""),'Pokemon Editor'!$A:$A,'Pokemon Editor'!$D:$D,"")),1.5,1),eff,(INDEX('Type Chart'!$B:$S,MATCH(mtype,'Type Chart'!$A:$A,0),MATCH(XLOOKUP($L88,'Pokemon Editor'!$A:$A,'Pokemon Editor'!$C:$C,""),'Type Chart'!$B$1:$S$1,0))*IF(XLOOKUP($L88,'Pokemon Editor'!$A:$A,'Pokemon Editor'!$D:$D,"")="",1,INDEX('Type Chart'!$B:$S,MATCH(mtype,'Type Chart'!$A:$A,0),MATCH(XLOOKUP($L88,'Pokemon Editor'!$A:$A,'Pokemon Editor'!$D:$D,""),'Type Chart'!$B$1:$S$1,0)))),base,IF(OR(cat="Status",pow=0),0,FLOOR(FLOOR(FLOOR((2*XLOOKUP($K88,'Threshold Summary'!$Y:$Y,'Threshold Summary'!$L:$L,"")/5+2)*pow*atk/def)/50)+2)),modifier,stab*eff,FLOOR(base*modifier)),0)</f>
        <v/>
      </c>
      <c r="H88" s="3">
        <f>IFERROR(LET(mtype,XLOOKUP($D88,'Move Editor'!$B:$B,'Move Editor'!$C:$C,""),cat,XLOOKUP($D88,'Move Editor'!$B:$B,'Move Editor'!$D:$D,""),pow,XLOOKUP($D88,'Move Editor'!$B:$B,'Move Editor'!$E:$E,0),acc,XLOOKUP($D88,'Move Editor'!$B:$B,'Move Editor'!$F:$F,100),atk,IF(cat="Physical",FLOOR((FLOOR(((2*XLOOKUP(XLOOKUP($K88,'Threshold Summary'!$Y:$Y,'Threshold Summary'!$K:$K,""),'Pokemon Editor'!$A:$A,'Pokemon Editor'!$F:$F,0)+31+FLOOR(XLOOKUP($K88,'Threshold Summary'!$Y:$Y,'Threshold Summary'!$P:$P,"")/4))*XLOOKUP($K88,'Threshold Summary'!$Y:$Y,'Threshold Summary'!$L:$L,""))/100)+5)*XLOOKUP(XLOOKUP($K88,'Threshold Summary'!$Y:$Y,'Threshold Summary'!$M:$M,""),'Nature Editor'!$A:$A,'Nature Editor'!$B:$B,1)),FLOOR((FLOOR(((2*XLOOKUP(XLOOKUP($K88,'Threshold Summary'!$Y:$Y,'Threshold Summary'!$K:$K,""),'Pokemon Editor'!$A:$A,'Pokemon Editor'!$H:$H,0)+31+FLOOR(XLOOKUP($K88,'Threshold Summary'!$Y:$Y,'Threshold Summary'!$R:$R,"")/4))*XLOOKUP($K88,'Threshold Summary'!$Y:$Y,'Threshold Summary'!$L:$L,""))/100)+5)*XLOOKUP(XLOOKUP($K88,'Threshold Summary'!$Y:$Y,'Threshold Summary'!$M:$M,""),'Nature Editor'!$A:$A,'Nature Editor'!$D:$D,1))),def,IF(cat="Physical",FLOOR((FLOOR(((2*XLOOKUP($L88,'Pokemon Editor'!$A:$A,'Pokemon Editor'!$G:$G,0)+31+FLOOR(XLOOKUP($L88,'Boss Editor'!$C:$C,'Boss Editor'!$I:$I,"")/4))*XLOOKUP($L88,'Boss Editor'!$C:$C,'Boss Editor'!$D:$D,""))/100)+5)*XLOOKUP(XLOOKUP($L88,'Boss Editor'!$C:$C,'Boss Editor'!$E:$E,""),'Nature Editor'!$A:$A,'Nature Editor'!$C:$C,1)),FLOOR((FLOOR(((2*XLOOKUP($L88,'Pokemon Editor'!$A:$A,'Pokemon Editor'!$I:$I,0)+31+FLOOR(XLOOKUP($L88,'Boss Editor'!$C:$C,'Boss Editor'!$K:$K,"")/4))*XLOOKUP($L88,'Boss Editor'!$C:$C,'Boss Editor'!$D:$D,""))/100)+5)*XLOOKUP(XLOOKUP($L88,'Boss Editor'!$C:$C,'Boss Editor'!$E:$E,""),'Nature Editor'!$A:$A,'Nature Editor'!$E:$E,1))),stab,IF(OR(mtype=XLOOKUP(XLOOKUP($K88,'Threshold Summary'!$Y:$Y,'Threshold Summary'!$K:$K,""),'Pokemon Editor'!$A:$A,'Pokemon Editor'!$C:$C,""),mtype=XLOOKUP(XLOOKUP($K88,'Threshold Summary'!$Y:$Y,'Threshold Summary'!$K:$K,""),'Pokemon Editor'!$A:$A,'Pokemon Editor'!$D:$D,"")),1.5,1),eff,(INDEX('Type Chart'!$B:$S,MATCH(mtype,'Type Chart'!$A:$A,0),MATCH(XLOOKUP($L88,'Pokemon Editor'!$A:$A,'Pokemon Editor'!$C:$C,""),'Type Chart'!$B$1:$S$1,0))*IF(XLOOKUP($L88,'Pokemon Editor'!$A:$A,'Pokemon Editor'!$D:$D,"")="",1,INDEX('Type Chart'!$B:$S,MATCH(mtype,'Type Chart'!$A:$A,0),MATCH(XLOOKUP($L88,'Pokemon Editor'!$A:$A,'Pokemon Editor'!$D:$D,""),'Type Chart'!$B$1:$S$1,0)))),base,IF(OR(cat="Status",pow=0),0,FLOOR(FLOOR(FLOOR((2*XLOOKUP($K88,'Threshold Summary'!$Y:$Y,'Threshold Summary'!$L:$L,"")/5+2)*pow*atk/def)/50)+2)),modifier,stab*eff,AVERAGE(ARRAYFORMULA(FLOOR(base*modifier*SEQUENCE(16,1,85,1)/100)))),0)</f>
        <v/>
      </c>
      <c r="I88" s="4">
        <f>IFERROR(LET(mtype,XLOOKUP($D88,'Move Editor'!$B:$B,'Move Editor'!$C:$C,""),cat,XLOOKUP($D88,'Move Editor'!$B:$B,'Move Editor'!$D:$D,""),pow,XLOOKUP($D88,'Move Editor'!$B:$B,'Move Editor'!$E:$E,0),acc,XLOOKUP($D88,'Move Editor'!$B:$B,'Move Editor'!$F:$F,100),atk,IF(cat="Physical",FLOOR((FLOOR(((2*XLOOKUP(XLOOKUP($K88,'Threshold Summary'!$Y:$Y,'Threshold Summary'!$K:$K,""),'Pokemon Editor'!$A:$A,'Pokemon Editor'!$F:$F,0)+31+FLOOR(XLOOKUP($K88,'Threshold Summary'!$Y:$Y,'Threshold Summary'!$P:$P,"")/4))*XLOOKUP($K88,'Threshold Summary'!$Y:$Y,'Threshold Summary'!$L:$L,""))/100)+5)*XLOOKUP(XLOOKUP($K88,'Threshold Summary'!$Y:$Y,'Threshold Summary'!$M:$M,""),'Nature Editor'!$A:$A,'Nature Editor'!$B:$B,1)),FLOOR((FLOOR(((2*XLOOKUP(XLOOKUP($K88,'Threshold Summary'!$Y:$Y,'Threshold Summary'!$K:$K,""),'Pokemon Editor'!$A:$A,'Pokemon Editor'!$H:$H,0)+31+FLOOR(XLOOKUP($K88,'Threshold Summary'!$Y:$Y,'Threshold Summary'!$R:$R,"")/4))*XLOOKUP($K88,'Threshold Summary'!$Y:$Y,'Threshold Summary'!$L:$L,""))/100)+5)*XLOOKUP(XLOOKUP($K88,'Threshold Summary'!$Y:$Y,'Threshold Summary'!$M:$M,""),'Nature Editor'!$A:$A,'Nature Editor'!$D:$D,1))),def,IF(cat="Physical",FLOOR((FLOOR(((2*XLOOKUP($L88,'Pokemon Editor'!$A:$A,'Pokemon Editor'!$G:$G,0)+31+FLOOR(XLOOKUP($L88,'Boss Editor'!$C:$C,'Boss Editor'!$I:$I,"")/4))*XLOOKUP($L88,'Boss Editor'!$C:$C,'Boss Editor'!$D:$D,""))/100)+5)*XLOOKUP(XLOOKUP($L88,'Boss Editor'!$C:$C,'Boss Editor'!$E:$E,""),'Nature Editor'!$A:$A,'Nature Editor'!$C:$C,1)),FLOOR((FLOOR(((2*XLOOKUP($L88,'Pokemon Editor'!$A:$A,'Pokemon Editor'!$I:$I,0)+31+FLOOR(XLOOKUP($L88,'Boss Editor'!$C:$C,'Boss Editor'!$K:$K,"")/4))*XLOOKUP($L88,'Boss Editor'!$C:$C,'Boss Editor'!$D:$D,""))/100)+5)*XLOOKUP(XLOOKUP($L88,'Boss Editor'!$C:$C,'Boss Editor'!$E:$E,""),'Nature Editor'!$A:$A,'Nature Editor'!$E:$E,1))),stab,IF(OR(mtype=XLOOKUP(XLOOKUP($K88,'Threshold Summary'!$Y:$Y,'Threshold Summary'!$K:$K,""),'Pokemon Editor'!$A:$A,'Pokemon Editor'!$C:$C,""),mtype=XLOOKUP(XLOOKUP($K88,'Threshold Summary'!$Y:$Y,'Threshold Summary'!$K:$K,""),'Pokemon Editor'!$A:$A,'Pokemon Editor'!$D:$D,"")),1.5,1),eff,(INDEX('Type Chart'!$B:$S,MATCH(mtype,'Type Chart'!$A:$A,0),MATCH(XLOOKUP($L88,'Pokemon Editor'!$A:$A,'Pokemon Editor'!$C:$C,""),'Type Chart'!$B$1:$S$1,0))*IF(XLOOKUP($L88,'Pokemon Editor'!$A:$A,'Pokemon Editor'!$D:$D,"")="",1,INDEX('Type Chart'!$B:$S,MATCH(mtype,'Type Chart'!$A:$A,0),MATCH(XLOOKUP($L88,'Pokemon Editor'!$A:$A,'Pokemon Editor'!$D:$D,""),'Type Chart'!$B$1:$S$1,0)))),base,IF(OR(cat="Status",pow=0),0,FLOOR(FLOOR(FLOOR((2*XLOOKUP($K88,'Threshold Summary'!$Y:$Y,'Threshold Summary'!$L:$L,"")/5+2)*pow*atk/def)/50)+2)),modifier,stab*eff,AVERAGE(ARRAYFORMULA(FLOOR(base*modifier*SEQUENCE(16,1,85,1)/100)))/(FLOOR(((2*XLOOKUP($L88,'Pokemon Editor'!$A:$A,'Pokemon Editor'!$E:$E,0)+31+FLOOR(XLOOKUP($L88,'Boss Editor'!$C:$C,'Boss Editor'!$G:$G,"")/4))*XLOOKUP($L88,'Boss Editor'!$C:$C,'Boss Editor'!$D:$D,""))/100)+XLOOKUP($L88,'Boss Editor'!$C:$C,'Boss Editor'!$D:$D,"")+10)),0)</f>
        <v/>
      </c>
      <c r="J88" s="3">
        <f>IF(I88&gt;=1,"OHKO",IF(I88&gt;=0.5,"2HKO",IF(I88&gt;=0.333,"3HKO",IF(I88&gt;=0.25,"4HKO","5HKO+"))))</f>
        <v/>
      </c>
      <c r="K88" s="3" t="inlineStr">
        <is>
          <t>SPECIES_TANDEMAUS</t>
        </is>
      </c>
      <c r="L88" s="3" t="inlineStr">
        <is>
          <t>SPECIES_LILEEP</t>
        </is>
      </c>
    </row>
    <row r="89">
      <c r="A89" s="3">
        <f>XLOOKUP($K89,'Threshold Summary'!$Y:$Y,'Threshold Summary'!$A:$A,"")</f>
        <v/>
      </c>
      <c r="B89" s="3" t="inlineStr">
        <is>
          <t>Tirtouga</t>
        </is>
      </c>
      <c r="C89" s="3">
        <f>XLOOKUP($L89,'Boss Editor'!$C:$C,'Boss Editor'!$D:$D,"")</f>
        <v/>
      </c>
      <c r="D89" s="3">
        <f>XLOOKUP($K89,'Threshold Summary'!$Y:$Y,'Threshold Summary'!$B:$B,"")</f>
        <v/>
      </c>
      <c r="E89" s="3">
        <f>XLOOKUP(D89,'Move Editor'!$B:$B,'Move Editor'!$C:$C,"")</f>
        <v/>
      </c>
      <c r="F89" s="3">
        <f>IFERROR(LET(mtype,XLOOKUP($D89,'Move Editor'!$B:$B,'Move Editor'!$C:$C,""),cat,XLOOKUP($D89,'Move Editor'!$B:$B,'Move Editor'!$D:$D,""),pow,XLOOKUP($D89,'Move Editor'!$B:$B,'Move Editor'!$E:$E,0),acc,XLOOKUP($D89,'Move Editor'!$B:$B,'Move Editor'!$F:$F,100),atk,IF(cat="Physical",FLOOR((FLOOR(((2*XLOOKUP(XLOOKUP($K89,'Threshold Summary'!$Y:$Y,'Threshold Summary'!$K:$K,""),'Pokemon Editor'!$A:$A,'Pokemon Editor'!$F:$F,0)+31+FLOOR(XLOOKUP($K89,'Threshold Summary'!$Y:$Y,'Threshold Summary'!$P:$P,"")/4))*XLOOKUP($K89,'Threshold Summary'!$Y:$Y,'Threshold Summary'!$L:$L,""))/100)+5)*XLOOKUP(XLOOKUP($K89,'Threshold Summary'!$Y:$Y,'Threshold Summary'!$M:$M,""),'Nature Editor'!$A:$A,'Nature Editor'!$B:$B,1)),FLOOR((FLOOR(((2*XLOOKUP(XLOOKUP($K89,'Threshold Summary'!$Y:$Y,'Threshold Summary'!$K:$K,""),'Pokemon Editor'!$A:$A,'Pokemon Editor'!$H:$H,0)+31+FLOOR(XLOOKUP($K89,'Threshold Summary'!$Y:$Y,'Threshold Summary'!$R:$R,"")/4))*XLOOKUP($K89,'Threshold Summary'!$Y:$Y,'Threshold Summary'!$L:$L,""))/100)+5)*XLOOKUP(XLOOKUP($K89,'Threshold Summary'!$Y:$Y,'Threshold Summary'!$M:$M,""),'Nature Editor'!$A:$A,'Nature Editor'!$D:$D,1))),def,IF(cat="Physical",FLOOR((FLOOR(((2*XLOOKUP($L89,'Pokemon Editor'!$A:$A,'Pokemon Editor'!$G:$G,0)+31+FLOOR(XLOOKUP($L89,'Boss Editor'!$C:$C,'Boss Editor'!$I:$I,"")/4))*XLOOKUP($L89,'Boss Editor'!$C:$C,'Boss Editor'!$D:$D,""))/100)+5)*XLOOKUP(XLOOKUP($L89,'Boss Editor'!$C:$C,'Boss Editor'!$E:$E,""),'Nature Editor'!$A:$A,'Nature Editor'!$C:$C,1)),FLOOR((FLOOR(((2*XLOOKUP($L89,'Pokemon Editor'!$A:$A,'Pokemon Editor'!$I:$I,0)+31+FLOOR(XLOOKUP($L89,'Boss Editor'!$C:$C,'Boss Editor'!$K:$K,"")/4))*XLOOKUP($L89,'Boss Editor'!$C:$C,'Boss Editor'!$D:$D,""))/100)+5)*XLOOKUP(XLOOKUP($L89,'Boss Editor'!$C:$C,'Boss Editor'!$E:$E,""),'Nature Editor'!$A:$A,'Nature Editor'!$E:$E,1))),stab,IF(OR(mtype=XLOOKUP(XLOOKUP($K89,'Threshold Summary'!$Y:$Y,'Threshold Summary'!$K:$K,""),'Pokemon Editor'!$A:$A,'Pokemon Editor'!$C:$C,""),mtype=XLOOKUP(XLOOKUP($K89,'Threshold Summary'!$Y:$Y,'Threshold Summary'!$K:$K,""),'Pokemon Editor'!$A:$A,'Pokemon Editor'!$D:$D,"")),1.5,1),eff,(INDEX('Type Chart'!$B:$S,MATCH(mtype,'Type Chart'!$A:$A,0),MATCH(XLOOKUP($L89,'Pokemon Editor'!$A:$A,'Pokemon Editor'!$C:$C,""),'Type Chart'!$B$1:$S$1,0))*IF(XLOOKUP($L89,'Pokemon Editor'!$A:$A,'Pokemon Editor'!$D:$D,"")="",1,INDEX('Type Chart'!$B:$S,MATCH(mtype,'Type Chart'!$A:$A,0),MATCH(XLOOKUP($L89,'Pokemon Editor'!$A:$A,'Pokemon Editor'!$D:$D,""),'Type Chart'!$B$1:$S$1,0)))),base,IF(OR(cat="Status",pow=0),0,FLOOR(FLOOR(FLOOR((2*XLOOKUP($K89,'Threshold Summary'!$Y:$Y,'Threshold Summary'!$L:$L,"")/5+2)*pow*atk/def)/50)+2)),modifier,stab*eff,FLOOR(base*modifier*0.85)),0)</f>
        <v/>
      </c>
      <c r="G89" s="3">
        <f>IFERROR(LET(mtype,XLOOKUP($D89,'Move Editor'!$B:$B,'Move Editor'!$C:$C,""),cat,XLOOKUP($D89,'Move Editor'!$B:$B,'Move Editor'!$D:$D,""),pow,XLOOKUP($D89,'Move Editor'!$B:$B,'Move Editor'!$E:$E,0),acc,XLOOKUP($D89,'Move Editor'!$B:$B,'Move Editor'!$F:$F,100),atk,IF(cat="Physical",FLOOR((FLOOR(((2*XLOOKUP(XLOOKUP($K89,'Threshold Summary'!$Y:$Y,'Threshold Summary'!$K:$K,""),'Pokemon Editor'!$A:$A,'Pokemon Editor'!$F:$F,0)+31+FLOOR(XLOOKUP($K89,'Threshold Summary'!$Y:$Y,'Threshold Summary'!$P:$P,"")/4))*XLOOKUP($K89,'Threshold Summary'!$Y:$Y,'Threshold Summary'!$L:$L,""))/100)+5)*XLOOKUP(XLOOKUP($K89,'Threshold Summary'!$Y:$Y,'Threshold Summary'!$M:$M,""),'Nature Editor'!$A:$A,'Nature Editor'!$B:$B,1)),FLOOR((FLOOR(((2*XLOOKUP(XLOOKUP($K89,'Threshold Summary'!$Y:$Y,'Threshold Summary'!$K:$K,""),'Pokemon Editor'!$A:$A,'Pokemon Editor'!$H:$H,0)+31+FLOOR(XLOOKUP($K89,'Threshold Summary'!$Y:$Y,'Threshold Summary'!$R:$R,"")/4))*XLOOKUP($K89,'Threshold Summary'!$Y:$Y,'Threshold Summary'!$L:$L,""))/100)+5)*XLOOKUP(XLOOKUP($K89,'Threshold Summary'!$Y:$Y,'Threshold Summary'!$M:$M,""),'Nature Editor'!$A:$A,'Nature Editor'!$D:$D,1))),def,IF(cat="Physical",FLOOR((FLOOR(((2*XLOOKUP($L89,'Pokemon Editor'!$A:$A,'Pokemon Editor'!$G:$G,0)+31+FLOOR(XLOOKUP($L89,'Boss Editor'!$C:$C,'Boss Editor'!$I:$I,"")/4))*XLOOKUP($L89,'Boss Editor'!$C:$C,'Boss Editor'!$D:$D,""))/100)+5)*XLOOKUP(XLOOKUP($L89,'Boss Editor'!$C:$C,'Boss Editor'!$E:$E,""),'Nature Editor'!$A:$A,'Nature Editor'!$C:$C,1)),FLOOR((FLOOR(((2*XLOOKUP($L89,'Pokemon Editor'!$A:$A,'Pokemon Editor'!$I:$I,0)+31+FLOOR(XLOOKUP($L89,'Boss Editor'!$C:$C,'Boss Editor'!$K:$K,"")/4))*XLOOKUP($L89,'Boss Editor'!$C:$C,'Boss Editor'!$D:$D,""))/100)+5)*XLOOKUP(XLOOKUP($L89,'Boss Editor'!$C:$C,'Boss Editor'!$E:$E,""),'Nature Editor'!$A:$A,'Nature Editor'!$E:$E,1))),stab,IF(OR(mtype=XLOOKUP(XLOOKUP($K89,'Threshold Summary'!$Y:$Y,'Threshold Summary'!$K:$K,""),'Pokemon Editor'!$A:$A,'Pokemon Editor'!$C:$C,""),mtype=XLOOKUP(XLOOKUP($K89,'Threshold Summary'!$Y:$Y,'Threshold Summary'!$K:$K,""),'Pokemon Editor'!$A:$A,'Pokemon Editor'!$D:$D,"")),1.5,1),eff,(INDEX('Type Chart'!$B:$S,MATCH(mtype,'Type Chart'!$A:$A,0),MATCH(XLOOKUP($L89,'Pokemon Editor'!$A:$A,'Pokemon Editor'!$C:$C,""),'Type Chart'!$B$1:$S$1,0))*IF(XLOOKUP($L89,'Pokemon Editor'!$A:$A,'Pokemon Editor'!$D:$D,"")="",1,INDEX('Type Chart'!$B:$S,MATCH(mtype,'Type Chart'!$A:$A,0),MATCH(XLOOKUP($L89,'Pokemon Editor'!$A:$A,'Pokemon Editor'!$D:$D,""),'Type Chart'!$B$1:$S$1,0)))),base,IF(OR(cat="Status",pow=0),0,FLOOR(FLOOR(FLOOR((2*XLOOKUP($K89,'Threshold Summary'!$Y:$Y,'Threshold Summary'!$L:$L,"")/5+2)*pow*atk/def)/50)+2)),modifier,stab*eff,FLOOR(base*modifier)),0)</f>
        <v/>
      </c>
      <c r="H89" s="3">
        <f>IFERROR(LET(mtype,XLOOKUP($D89,'Move Editor'!$B:$B,'Move Editor'!$C:$C,""),cat,XLOOKUP($D89,'Move Editor'!$B:$B,'Move Editor'!$D:$D,""),pow,XLOOKUP($D89,'Move Editor'!$B:$B,'Move Editor'!$E:$E,0),acc,XLOOKUP($D89,'Move Editor'!$B:$B,'Move Editor'!$F:$F,100),atk,IF(cat="Physical",FLOOR((FLOOR(((2*XLOOKUP(XLOOKUP($K89,'Threshold Summary'!$Y:$Y,'Threshold Summary'!$K:$K,""),'Pokemon Editor'!$A:$A,'Pokemon Editor'!$F:$F,0)+31+FLOOR(XLOOKUP($K89,'Threshold Summary'!$Y:$Y,'Threshold Summary'!$P:$P,"")/4))*XLOOKUP($K89,'Threshold Summary'!$Y:$Y,'Threshold Summary'!$L:$L,""))/100)+5)*XLOOKUP(XLOOKUP($K89,'Threshold Summary'!$Y:$Y,'Threshold Summary'!$M:$M,""),'Nature Editor'!$A:$A,'Nature Editor'!$B:$B,1)),FLOOR((FLOOR(((2*XLOOKUP(XLOOKUP($K89,'Threshold Summary'!$Y:$Y,'Threshold Summary'!$K:$K,""),'Pokemon Editor'!$A:$A,'Pokemon Editor'!$H:$H,0)+31+FLOOR(XLOOKUP($K89,'Threshold Summary'!$Y:$Y,'Threshold Summary'!$R:$R,"")/4))*XLOOKUP($K89,'Threshold Summary'!$Y:$Y,'Threshold Summary'!$L:$L,""))/100)+5)*XLOOKUP(XLOOKUP($K89,'Threshold Summary'!$Y:$Y,'Threshold Summary'!$M:$M,""),'Nature Editor'!$A:$A,'Nature Editor'!$D:$D,1))),def,IF(cat="Physical",FLOOR((FLOOR(((2*XLOOKUP($L89,'Pokemon Editor'!$A:$A,'Pokemon Editor'!$G:$G,0)+31+FLOOR(XLOOKUP($L89,'Boss Editor'!$C:$C,'Boss Editor'!$I:$I,"")/4))*XLOOKUP($L89,'Boss Editor'!$C:$C,'Boss Editor'!$D:$D,""))/100)+5)*XLOOKUP(XLOOKUP($L89,'Boss Editor'!$C:$C,'Boss Editor'!$E:$E,""),'Nature Editor'!$A:$A,'Nature Editor'!$C:$C,1)),FLOOR((FLOOR(((2*XLOOKUP($L89,'Pokemon Editor'!$A:$A,'Pokemon Editor'!$I:$I,0)+31+FLOOR(XLOOKUP($L89,'Boss Editor'!$C:$C,'Boss Editor'!$K:$K,"")/4))*XLOOKUP($L89,'Boss Editor'!$C:$C,'Boss Editor'!$D:$D,""))/100)+5)*XLOOKUP(XLOOKUP($L89,'Boss Editor'!$C:$C,'Boss Editor'!$E:$E,""),'Nature Editor'!$A:$A,'Nature Editor'!$E:$E,1))),stab,IF(OR(mtype=XLOOKUP(XLOOKUP($K89,'Threshold Summary'!$Y:$Y,'Threshold Summary'!$K:$K,""),'Pokemon Editor'!$A:$A,'Pokemon Editor'!$C:$C,""),mtype=XLOOKUP(XLOOKUP($K89,'Threshold Summary'!$Y:$Y,'Threshold Summary'!$K:$K,""),'Pokemon Editor'!$A:$A,'Pokemon Editor'!$D:$D,"")),1.5,1),eff,(INDEX('Type Chart'!$B:$S,MATCH(mtype,'Type Chart'!$A:$A,0),MATCH(XLOOKUP($L89,'Pokemon Editor'!$A:$A,'Pokemon Editor'!$C:$C,""),'Type Chart'!$B$1:$S$1,0))*IF(XLOOKUP($L89,'Pokemon Editor'!$A:$A,'Pokemon Editor'!$D:$D,"")="",1,INDEX('Type Chart'!$B:$S,MATCH(mtype,'Type Chart'!$A:$A,0),MATCH(XLOOKUP($L89,'Pokemon Editor'!$A:$A,'Pokemon Editor'!$D:$D,""),'Type Chart'!$B$1:$S$1,0)))),base,IF(OR(cat="Status",pow=0),0,FLOOR(FLOOR(FLOOR((2*XLOOKUP($K89,'Threshold Summary'!$Y:$Y,'Threshold Summary'!$L:$L,"")/5+2)*pow*atk/def)/50)+2)),modifier,stab*eff,AVERAGE(ARRAYFORMULA(FLOOR(base*modifier*SEQUENCE(16,1,85,1)/100)))),0)</f>
        <v/>
      </c>
      <c r="I89" s="4">
        <f>IFERROR(LET(mtype,XLOOKUP($D89,'Move Editor'!$B:$B,'Move Editor'!$C:$C,""),cat,XLOOKUP($D89,'Move Editor'!$B:$B,'Move Editor'!$D:$D,""),pow,XLOOKUP($D89,'Move Editor'!$B:$B,'Move Editor'!$E:$E,0),acc,XLOOKUP($D89,'Move Editor'!$B:$B,'Move Editor'!$F:$F,100),atk,IF(cat="Physical",FLOOR((FLOOR(((2*XLOOKUP(XLOOKUP($K89,'Threshold Summary'!$Y:$Y,'Threshold Summary'!$K:$K,""),'Pokemon Editor'!$A:$A,'Pokemon Editor'!$F:$F,0)+31+FLOOR(XLOOKUP($K89,'Threshold Summary'!$Y:$Y,'Threshold Summary'!$P:$P,"")/4))*XLOOKUP($K89,'Threshold Summary'!$Y:$Y,'Threshold Summary'!$L:$L,""))/100)+5)*XLOOKUP(XLOOKUP($K89,'Threshold Summary'!$Y:$Y,'Threshold Summary'!$M:$M,""),'Nature Editor'!$A:$A,'Nature Editor'!$B:$B,1)),FLOOR((FLOOR(((2*XLOOKUP(XLOOKUP($K89,'Threshold Summary'!$Y:$Y,'Threshold Summary'!$K:$K,""),'Pokemon Editor'!$A:$A,'Pokemon Editor'!$H:$H,0)+31+FLOOR(XLOOKUP($K89,'Threshold Summary'!$Y:$Y,'Threshold Summary'!$R:$R,"")/4))*XLOOKUP($K89,'Threshold Summary'!$Y:$Y,'Threshold Summary'!$L:$L,""))/100)+5)*XLOOKUP(XLOOKUP($K89,'Threshold Summary'!$Y:$Y,'Threshold Summary'!$M:$M,""),'Nature Editor'!$A:$A,'Nature Editor'!$D:$D,1))),def,IF(cat="Physical",FLOOR((FLOOR(((2*XLOOKUP($L89,'Pokemon Editor'!$A:$A,'Pokemon Editor'!$G:$G,0)+31+FLOOR(XLOOKUP($L89,'Boss Editor'!$C:$C,'Boss Editor'!$I:$I,"")/4))*XLOOKUP($L89,'Boss Editor'!$C:$C,'Boss Editor'!$D:$D,""))/100)+5)*XLOOKUP(XLOOKUP($L89,'Boss Editor'!$C:$C,'Boss Editor'!$E:$E,""),'Nature Editor'!$A:$A,'Nature Editor'!$C:$C,1)),FLOOR((FLOOR(((2*XLOOKUP($L89,'Pokemon Editor'!$A:$A,'Pokemon Editor'!$I:$I,0)+31+FLOOR(XLOOKUP($L89,'Boss Editor'!$C:$C,'Boss Editor'!$K:$K,"")/4))*XLOOKUP($L89,'Boss Editor'!$C:$C,'Boss Editor'!$D:$D,""))/100)+5)*XLOOKUP(XLOOKUP($L89,'Boss Editor'!$C:$C,'Boss Editor'!$E:$E,""),'Nature Editor'!$A:$A,'Nature Editor'!$E:$E,1))),stab,IF(OR(mtype=XLOOKUP(XLOOKUP($K89,'Threshold Summary'!$Y:$Y,'Threshold Summary'!$K:$K,""),'Pokemon Editor'!$A:$A,'Pokemon Editor'!$C:$C,""),mtype=XLOOKUP(XLOOKUP($K89,'Threshold Summary'!$Y:$Y,'Threshold Summary'!$K:$K,""),'Pokemon Editor'!$A:$A,'Pokemon Editor'!$D:$D,"")),1.5,1),eff,(INDEX('Type Chart'!$B:$S,MATCH(mtype,'Type Chart'!$A:$A,0),MATCH(XLOOKUP($L89,'Pokemon Editor'!$A:$A,'Pokemon Editor'!$C:$C,""),'Type Chart'!$B$1:$S$1,0))*IF(XLOOKUP($L89,'Pokemon Editor'!$A:$A,'Pokemon Editor'!$D:$D,"")="",1,INDEX('Type Chart'!$B:$S,MATCH(mtype,'Type Chart'!$A:$A,0),MATCH(XLOOKUP($L89,'Pokemon Editor'!$A:$A,'Pokemon Editor'!$D:$D,""),'Type Chart'!$B$1:$S$1,0)))),base,IF(OR(cat="Status",pow=0),0,FLOOR(FLOOR(FLOOR((2*XLOOKUP($K89,'Threshold Summary'!$Y:$Y,'Threshold Summary'!$L:$L,"")/5+2)*pow*atk/def)/50)+2)),modifier,stab*eff,AVERAGE(ARRAYFORMULA(FLOOR(base*modifier*SEQUENCE(16,1,85,1)/100)))/(FLOOR(((2*XLOOKUP($L89,'Pokemon Editor'!$A:$A,'Pokemon Editor'!$E:$E,0)+31+FLOOR(XLOOKUP($L89,'Boss Editor'!$C:$C,'Boss Editor'!$G:$G,"")/4))*XLOOKUP($L89,'Boss Editor'!$C:$C,'Boss Editor'!$D:$D,""))/100)+XLOOKUP($L89,'Boss Editor'!$C:$C,'Boss Editor'!$D:$D,"")+10)),0)</f>
        <v/>
      </c>
      <c r="J89" s="3">
        <f>IF(I89&gt;=1,"OHKO",IF(I89&gt;=0.5,"2HKO",IF(I89&gt;=0.333,"3HKO",IF(I89&gt;=0.25,"4HKO","5HKO+"))))</f>
        <v/>
      </c>
      <c r="K89" s="3" t="inlineStr">
        <is>
          <t>SPECIES_CHARCADET</t>
        </is>
      </c>
      <c r="L89" s="3" t="inlineStr">
        <is>
          <t>SPECIES_TIRTOUGA</t>
        </is>
      </c>
    </row>
    <row r="90">
      <c r="A90" s="3">
        <f>XLOOKUP($K90,'Threshold Summary'!$Y:$Y,'Threshold Summary'!$A:$A,"")</f>
        <v/>
      </c>
      <c r="B90" s="3" t="inlineStr">
        <is>
          <t>Anorith</t>
        </is>
      </c>
      <c r="C90" s="3">
        <f>XLOOKUP($L90,'Boss Editor'!$C:$C,'Boss Editor'!$D:$D,"")</f>
        <v/>
      </c>
      <c r="D90" s="3">
        <f>XLOOKUP($K90,'Threshold Summary'!$Y:$Y,'Threshold Summary'!$B:$B,"")</f>
        <v/>
      </c>
      <c r="E90" s="3">
        <f>XLOOKUP(D90,'Move Editor'!$B:$B,'Move Editor'!$C:$C,"")</f>
        <v/>
      </c>
      <c r="F90" s="3">
        <f>IFERROR(LET(mtype,XLOOKUP($D90,'Move Editor'!$B:$B,'Move Editor'!$C:$C,""),cat,XLOOKUP($D90,'Move Editor'!$B:$B,'Move Editor'!$D:$D,""),pow,XLOOKUP($D90,'Move Editor'!$B:$B,'Move Editor'!$E:$E,0),acc,XLOOKUP($D90,'Move Editor'!$B:$B,'Move Editor'!$F:$F,100),atk,IF(cat="Physical",FLOOR((FLOOR(((2*XLOOKUP(XLOOKUP($K90,'Threshold Summary'!$Y:$Y,'Threshold Summary'!$K:$K,""),'Pokemon Editor'!$A:$A,'Pokemon Editor'!$F:$F,0)+31+FLOOR(XLOOKUP($K90,'Threshold Summary'!$Y:$Y,'Threshold Summary'!$P:$P,"")/4))*XLOOKUP($K90,'Threshold Summary'!$Y:$Y,'Threshold Summary'!$L:$L,""))/100)+5)*XLOOKUP(XLOOKUP($K90,'Threshold Summary'!$Y:$Y,'Threshold Summary'!$M:$M,""),'Nature Editor'!$A:$A,'Nature Editor'!$B:$B,1)),FLOOR((FLOOR(((2*XLOOKUP(XLOOKUP($K90,'Threshold Summary'!$Y:$Y,'Threshold Summary'!$K:$K,""),'Pokemon Editor'!$A:$A,'Pokemon Editor'!$H:$H,0)+31+FLOOR(XLOOKUP($K90,'Threshold Summary'!$Y:$Y,'Threshold Summary'!$R:$R,"")/4))*XLOOKUP($K90,'Threshold Summary'!$Y:$Y,'Threshold Summary'!$L:$L,""))/100)+5)*XLOOKUP(XLOOKUP($K90,'Threshold Summary'!$Y:$Y,'Threshold Summary'!$M:$M,""),'Nature Editor'!$A:$A,'Nature Editor'!$D:$D,1))),def,IF(cat="Physical",FLOOR((FLOOR(((2*XLOOKUP($L90,'Pokemon Editor'!$A:$A,'Pokemon Editor'!$G:$G,0)+31+FLOOR(XLOOKUP($L90,'Boss Editor'!$C:$C,'Boss Editor'!$I:$I,"")/4))*XLOOKUP($L90,'Boss Editor'!$C:$C,'Boss Editor'!$D:$D,""))/100)+5)*XLOOKUP(XLOOKUP($L90,'Boss Editor'!$C:$C,'Boss Editor'!$E:$E,""),'Nature Editor'!$A:$A,'Nature Editor'!$C:$C,1)),FLOOR((FLOOR(((2*XLOOKUP($L90,'Pokemon Editor'!$A:$A,'Pokemon Editor'!$I:$I,0)+31+FLOOR(XLOOKUP($L90,'Boss Editor'!$C:$C,'Boss Editor'!$K:$K,"")/4))*XLOOKUP($L90,'Boss Editor'!$C:$C,'Boss Editor'!$D:$D,""))/100)+5)*XLOOKUP(XLOOKUP($L90,'Boss Editor'!$C:$C,'Boss Editor'!$E:$E,""),'Nature Editor'!$A:$A,'Nature Editor'!$E:$E,1))),stab,IF(OR(mtype=XLOOKUP(XLOOKUP($K90,'Threshold Summary'!$Y:$Y,'Threshold Summary'!$K:$K,""),'Pokemon Editor'!$A:$A,'Pokemon Editor'!$C:$C,""),mtype=XLOOKUP(XLOOKUP($K90,'Threshold Summary'!$Y:$Y,'Threshold Summary'!$K:$K,""),'Pokemon Editor'!$A:$A,'Pokemon Editor'!$D:$D,"")),1.5,1),eff,(INDEX('Type Chart'!$B:$S,MATCH(mtype,'Type Chart'!$A:$A,0),MATCH(XLOOKUP($L90,'Pokemon Editor'!$A:$A,'Pokemon Editor'!$C:$C,""),'Type Chart'!$B$1:$S$1,0))*IF(XLOOKUP($L90,'Pokemon Editor'!$A:$A,'Pokemon Editor'!$D:$D,"")="",1,INDEX('Type Chart'!$B:$S,MATCH(mtype,'Type Chart'!$A:$A,0),MATCH(XLOOKUP($L90,'Pokemon Editor'!$A:$A,'Pokemon Editor'!$D:$D,""),'Type Chart'!$B$1:$S$1,0)))),base,IF(OR(cat="Status",pow=0),0,FLOOR(FLOOR(FLOOR((2*XLOOKUP($K90,'Threshold Summary'!$Y:$Y,'Threshold Summary'!$L:$L,"")/5+2)*pow*atk/def)/50)+2)),modifier,stab*eff,FLOOR(base*modifier*0.85)),0)</f>
        <v/>
      </c>
      <c r="G90" s="3">
        <f>IFERROR(LET(mtype,XLOOKUP($D90,'Move Editor'!$B:$B,'Move Editor'!$C:$C,""),cat,XLOOKUP($D90,'Move Editor'!$B:$B,'Move Editor'!$D:$D,""),pow,XLOOKUP($D90,'Move Editor'!$B:$B,'Move Editor'!$E:$E,0),acc,XLOOKUP($D90,'Move Editor'!$B:$B,'Move Editor'!$F:$F,100),atk,IF(cat="Physical",FLOOR((FLOOR(((2*XLOOKUP(XLOOKUP($K90,'Threshold Summary'!$Y:$Y,'Threshold Summary'!$K:$K,""),'Pokemon Editor'!$A:$A,'Pokemon Editor'!$F:$F,0)+31+FLOOR(XLOOKUP($K90,'Threshold Summary'!$Y:$Y,'Threshold Summary'!$P:$P,"")/4))*XLOOKUP($K90,'Threshold Summary'!$Y:$Y,'Threshold Summary'!$L:$L,""))/100)+5)*XLOOKUP(XLOOKUP($K90,'Threshold Summary'!$Y:$Y,'Threshold Summary'!$M:$M,""),'Nature Editor'!$A:$A,'Nature Editor'!$B:$B,1)),FLOOR((FLOOR(((2*XLOOKUP(XLOOKUP($K90,'Threshold Summary'!$Y:$Y,'Threshold Summary'!$K:$K,""),'Pokemon Editor'!$A:$A,'Pokemon Editor'!$H:$H,0)+31+FLOOR(XLOOKUP($K90,'Threshold Summary'!$Y:$Y,'Threshold Summary'!$R:$R,"")/4))*XLOOKUP($K90,'Threshold Summary'!$Y:$Y,'Threshold Summary'!$L:$L,""))/100)+5)*XLOOKUP(XLOOKUP($K90,'Threshold Summary'!$Y:$Y,'Threshold Summary'!$M:$M,""),'Nature Editor'!$A:$A,'Nature Editor'!$D:$D,1))),def,IF(cat="Physical",FLOOR((FLOOR(((2*XLOOKUP($L90,'Pokemon Editor'!$A:$A,'Pokemon Editor'!$G:$G,0)+31+FLOOR(XLOOKUP($L90,'Boss Editor'!$C:$C,'Boss Editor'!$I:$I,"")/4))*XLOOKUP($L90,'Boss Editor'!$C:$C,'Boss Editor'!$D:$D,""))/100)+5)*XLOOKUP(XLOOKUP($L90,'Boss Editor'!$C:$C,'Boss Editor'!$E:$E,""),'Nature Editor'!$A:$A,'Nature Editor'!$C:$C,1)),FLOOR((FLOOR(((2*XLOOKUP($L90,'Pokemon Editor'!$A:$A,'Pokemon Editor'!$I:$I,0)+31+FLOOR(XLOOKUP($L90,'Boss Editor'!$C:$C,'Boss Editor'!$K:$K,"")/4))*XLOOKUP($L90,'Boss Editor'!$C:$C,'Boss Editor'!$D:$D,""))/100)+5)*XLOOKUP(XLOOKUP($L90,'Boss Editor'!$C:$C,'Boss Editor'!$E:$E,""),'Nature Editor'!$A:$A,'Nature Editor'!$E:$E,1))),stab,IF(OR(mtype=XLOOKUP(XLOOKUP($K90,'Threshold Summary'!$Y:$Y,'Threshold Summary'!$K:$K,""),'Pokemon Editor'!$A:$A,'Pokemon Editor'!$C:$C,""),mtype=XLOOKUP(XLOOKUP($K90,'Threshold Summary'!$Y:$Y,'Threshold Summary'!$K:$K,""),'Pokemon Editor'!$A:$A,'Pokemon Editor'!$D:$D,"")),1.5,1),eff,(INDEX('Type Chart'!$B:$S,MATCH(mtype,'Type Chart'!$A:$A,0),MATCH(XLOOKUP($L90,'Pokemon Editor'!$A:$A,'Pokemon Editor'!$C:$C,""),'Type Chart'!$B$1:$S$1,0))*IF(XLOOKUP($L90,'Pokemon Editor'!$A:$A,'Pokemon Editor'!$D:$D,"")="",1,INDEX('Type Chart'!$B:$S,MATCH(mtype,'Type Chart'!$A:$A,0),MATCH(XLOOKUP($L90,'Pokemon Editor'!$A:$A,'Pokemon Editor'!$D:$D,""),'Type Chart'!$B$1:$S$1,0)))),base,IF(OR(cat="Status",pow=0),0,FLOOR(FLOOR(FLOOR((2*XLOOKUP($K90,'Threshold Summary'!$Y:$Y,'Threshold Summary'!$L:$L,"")/5+2)*pow*atk/def)/50)+2)),modifier,stab*eff,FLOOR(base*modifier)),0)</f>
        <v/>
      </c>
      <c r="H90" s="3">
        <f>IFERROR(LET(mtype,XLOOKUP($D90,'Move Editor'!$B:$B,'Move Editor'!$C:$C,""),cat,XLOOKUP($D90,'Move Editor'!$B:$B,'Move Editor'!$D:$D,""),pow,XLOOKUP($D90,'Move Editor'!$B:$B,'Move Editor'!$E:$E,0),acc,XLOOKUP($D90,'Move Editor'!$B:$B,'Move Editor'!$F:$F,100),atk,IF(cat="Physical",FLOOR((FLOOR(((2*XLOOKUP(XLOOKUP($K90,'Threshold Summary'!$Y:$Y,'Threshold Summary'!$K:$K,""),'Pokemon Editor'!$A:$A,'Pokemon Editor'!$F:$F,0)+31+FLOOR(XLOOKUP($K90,'Threshold Summary'!$Y:$Y,'Threshold Summary'!$P:$P,"")/4))*XLOOKUP($K90,'Threshold Summary'!$Y:$Y,'Threshold Summary'!$L:$L,""))/100)+5)*XLOOKUP(XLOOKUP($K90,'Threshold Summary'!$Y:$Y,'Threshold Summary'!$M:$M,""),'Nature Editor'!$A:$A,'Nature Editor'!$B:$B,1)),FLOOR((FLOOR(((2*XLOOKUP(XLOOKUP($K90,'Threshold Summary'!$Y:$Y,'Threshold Summary'!$K:$K,""),'Pokemon Editor'!$A:$A,'Pokemon Editor'!$H:$H,0)+31+FLOOR(XLOOKUP($K90,'Threshold Summary'!$Y:$Y,'Threshold Summary'!$R:$R,"")/4))*XLOOKUP($K90,'Threshold Summary'!$Y:$Y,'Threshold Summary'!$L:$L,""))/100)+5)*XLOOKUP(XLOOKUP($K90,'Threshold Summary'!$Y:$Y,'Threshold Summary'!$M:$M,""),'Nature Editor'!$A:$A,'Nature Editor'!$D:$D,1))),def,IF(cat="Physical",FLOOR((FLOOR(((2*XLOOKUP($L90,'Pokemon Editor'!$A:$A,'Pokemon Editor'!$G:$G,0)+31+FLOOR(XLOOKUP($L90,'Boss Editor'!$C:$C,'Boss Editor'!$I:$I,"")/4))*XLOOKUP($L90,'Boss Editor'!$C:$C,'Boss Editor'!$D:$D,""))/100)+5)*XLOOKUP(XLOOKUP($L90,'Boss Editor'!$C:$C,'Boss Editor'!$E:$E,""),'Nature Editor'!$A:$A,'Nature Editor'!$C:$C,1)),FLOOR((FLOOR(((2*XLOOKUP($L90,'Pokemon Editor'!$A:$A,'Pokemon Editor'!$I:$I,0)+31+FLOOR(XLOOKUP($L90,'Boss Editor'!$C:$C,'Boss Editor'!$K:$K,"")/4))*XLOOKUP($L90,'Boss Editor'!$C:$C,'Boss Editor'!$D:$D,""))/100)+5)*XLOOKUP(XLOOKUP($L90,'Boss Editor'!$C:$C,'Boss Editor'!$E:$E,""),'Nature Editor'!$A:$A,'Nature Editor'!$E:$E,1))),stab,IF(OR(mtype=XLOOKUP(XLOOKUP($K90,'Threshold Summary'!$Y:$Y,'Threshold Summary'!$K:$K,""),'Pokemon Editor'!$A:$A,'Pokemon Editor'!$C:$C,""),mtype=XLOOKUP(XLOOKUP($K90,'Threshold Summary'!$Y:$Y,'Threshold Summary'!$K:$K,""),'Pokemon Editor'!$A:$A,'Pokemon Editor'!$D:$D,"")),1.5,1),eff,(INDEX('Type Chart'!$B:$S,MATCH(mtype,'Type Chart'!$A:$A,0),MATCH(XLOOKUP($L90,'Pokemon Editor'!$A:$A,'Pokemon Editor'!$C:$C,""),'Type Chart'!$B$1:$S$1,0))*IF(XLOOKUP($L90,'Pokemon Editor'!$A:$A,'Pokemon Editor'!$D:$D,"")="",1,INDEX('Type Chart'!$B:$S,MATCH(mtype,'Type Chart'!$A:$A,0),MATCH(XLOOKUP($L90,'Pokemon Editor'!$A:$A,'Pokemon Editor'!$D:$D,""),'Type Chart'!$B$1:$S$1,0)))),base,IF(OR(cat="Status",pow=0),0,FLOOR(FLOOR(FLOOR((2*XLOOKUP($K90,'Threshold Summary'!$Y:$Y,'Threshold Summary'!$L:$L,"")/5+2)*pow*atk/def)/50)+2)),modifier,stab*eff,AVERAGE(ARRAYFORMULA(FLOOR(base*modifier*SEQUENCE(16,1,85,1)/100)))),0)</f>
        <v/>
      </c>
      <c r="I90" s="4">
        <f>IFERROR(LET(mtype,XLOOKUP($D90,'Move Editor'!$B:$B,'Move Editor'!$C:$C,""),cat,XLOOKUP($D90,'Move Editor'!$B:$B,'Move Editor'!$D:$D,""),pow,XLOOKUP($D90,'Move Editor'!$B:$B,'Move Editor'!$E:$E,0),acc,XLOOKUP($D90,'Move Editor'!$B:$B,'Move Editor'!$F:$F,100),atk,IF(cat="Physical",FLOOR((FLOOR(((2*XLOOKUP(XLOOKUP($K90,'Threshold Summary'!$Y:$Y,'Threshold Summary'!$K:$K,""),'Pokemon Editor'!$A:$A,'Pokemon Editor'!$F:$F,0)+31+FLOOR(XLOOKUP($K90,'Threshold Summary'!$Y:$Y,'Threshold Summary'!$P:$P,"")/4))*XLOOKUP($K90,'Threshold Summary'!$Y:$Y,'Threshold Summary'!$L:$L,""))/100)+5)*XLOOKUP(XLOOKUP($K90,'Threshold Summary'!$Y:$Y,'Threshold Summary'!$M:$M,""),'Nature Editor'!$A:$A,'Nature Editor'!$B:$B,1)),FLOOR((FLOOR(((2*XLOOKUP(XLOOKUP($K90,'Threshold Summary'!$Y:$Y,'Threshold Summary'!$K:$K,""),'Pokemon Editor'!$A:$A,'Pokemon Editor'!$H:$H,0)+31+FLOOR(XLOOKUP($K90,'Threshold Summary'!$Y:$Y,'Threshold Summary'!$R:$R,"")/4))*XLOOKUP($K90,'Threshold Summary'!$Y:$Y,'Threshold Summary'!$L:$L,""))/100)+5)*XLOOKUP(XLOOKUP($K90,'Threshold Summary'!$Y:$Y,'Threshold Summary'!$M:$M,""),'Nature Editor'!$A:$A,'Nature Editor'!$D:$D,1))),def,IF(cat="Physical",FLOOR((FLOOR(((2*XLOOKUP($L90,'Pokemon Editor'!$A:$A,'Pokemon Editor'!$G:$G,0)+31+FLOOR(XLOOKUP($L90,'Boss Editor'!$C:$C,'Boss Editor'!$I:$I,"")/4))*XLOOKUP($L90,'Boss Editor'!$C:$C,'Boss Editor'!$D:$D,""))/100)+5)*XLOOKUP(XLOOKUP($L90,'Boss Editor'!$C:$C,'Boss Editor'!$E:$E,""),'Nature Editor'!$A:$A,'Nature Editor'!$C:$C,1)),FLOOR((FLOOR(((2*XLOOKUP($L90,'Pokemon Editor'!$A:$A,'Pokemon Editor'!$I:$I,0)+31+FLOOR(XLOOKUP($L90,'Boss Editor'!$C:$C,'Boss Editor'!$K:$K,"")/4))*XLOOKUP($L90,'Boss Editor'!$C:$C,'Boss Editor'!$D:$D,""))/100)+5)*XLOOKUP(XLOOKUP($L90,'Boss Editor'!$C:$C,'Boss Editor'!$E:$E,""),'Nature Editor'!$A:$A,'Nature Editor'!$E:$E,1))),stab,IF(OR(mtype=XLOOKUP(XLOOKUP($K90,'Threshold Summary'!$Y:$Y,'Threshold Summary'!$K:$K,""),'Pokemon Editor'!$A:$A,'Pokemon Editor'!$C:$C,""),mtype=XLOOKUP(XLOOKUP($K90,'Threshold Summary'!$Y:$Y,'Threshold Summary'!$K:$K,""),'Pokemon Editor'!$A:$A,'Pokemon Editor'!$D:$D,"")),1.5,1),eff,(INDEX('Type Chart'!$B:$S,MATCH(mtype,'Type Chart'!$A:$A,0),MATCH(XLOOKUP($L90,'Pokemon Editor'!$A:$A,'Pokemon Editor'!$C:$C,""),'Type Chart'!$B$1:$S$1,0))*IF(XLOOKUP($L90,'Pokemon Editor'!$A:$A,'Pokemon Editor'!$D:$D,"")="",1,INDEX('Type Chart'!$B:$S,MATCH(mtype,'Type Chart'!$A:$A,0),MATCH(XLOOKUP($L90,'Pokemon Editor'!$A:$A,'Pokemon Editor'!$D:$D,""),'Type Chart'!$B$1:$S$1,0)))),base,IF(OR(cat="Status",pow=0),0,FLOOR(FLOOR(FLOOR((2*XLOOKUP($K90,'Threshold Summary'!$Y:$Y,'Threshold Summary'!$L:$L,"")/5+2)*pow*atk/def)/50)+2)),modifier,stab*eff,AVERAGE(ARRAYFORMULA(FLOOR(base*modifier*SEQUENCE(16,1,85,1)/100)))/(FLOOR(((2*XLOOKUP($L90,'Pokemon Editor'!$A:$A,'Pokemon Editor'!$E:$E,0)+31+FLOOR(XLOOKUP($L90,'Boss Editor'!$C:$C,'Boss Editor'!$G:$G,"")/4))*XLOOKUP($L90,'Boss Editor'!$C:$C,'Boss Editor'!$D:$D,""))/100)+XLOOKUP($L90,'Boss Editor'!$C:$C,'Boss Editor'!$D:$D,"")+10)),0)</f>
        <v/>
      </c>
      <c r="J90" s="3">
        <f>IF(I90&gt;=1,"OHKO",IF(I90&gt;=0.5,"2HKO",IF(I90&gt;=0.333,"3HKO",IF(I90&gt;=0.25,"4HKO","5HKO+"))))</f>
        <v/>
      </c>
      <c r="K90" s="3" t="inlineStr">
        <is>
          <t>SPECIES_CHARCADET</t>
        </is>
      </c>
      <c r="L90" s="3" t="inlineStr">
        <is>
          <t>SPECIES_ANORITH</t>
        </is>
      </c>
    </row>
    <row r="91">
      <c r="A91" s="3">
        <f>XLOOKUP($K91,'Threshold Summary'!$Y:$Y,'Threshold Summary'!$A:$A,"")</f>
        <v/>
      </c>
      <c r="B91" s="3" t="inlineStr">
        <is>
          <t>Lileep</t>
        </is>
      </c>
      <c r="C91" s="3">
        <f>XLOOKUP($L91,'Boss Editor'!$C:$C,'Boss Editor'!$D:$D,"")</f>
        <v/>
      </c>
      <c r="D91" s="3">
        <f>XLOOKUP($K91,'Threshold Summary'!$Y:$Y,'Threshold Summary'!$B:$B,"")</f>
        <v/>
      </c>
      <c r="E91" s="3">
        <f>XLOOKUP(D91,'Move Editor'!$B:$B,'Move Editor'!$C:$C,"")</f>
        <v/>
      </c>
      <c r="F91" s="3">
        <f>IFERROR(LET(mtype,XLOOKUP($D91,'Move Editor'!$B:$B,'Move Editor'!$C:$C,""),cat,XLOOKUP($D91,'Move Editor'!$B:$B,'Move Editor'!$D:$D,""),pow,XLOOKUP($D91,'Move Editor'!$B:$B,'Move Editor'!$E:$E,0),acc,XLOOKUP($D91,'Move Editor'!$B:$B,'Move Editor'!$F:$F,100),atk,IF(cat="Physical",FLOOR((FLOOR(((2*XLOOKUP(XLOOKUP($K91,'Threshold Summary'!$Y:$Y,'Threshold Summary'!$K:$K,""),'Pokemon Editor'!$A:$A,'Pokemon Editor'!$F:$F,0)+31+FLOOR(XLOOKUP($K91,'Threshold Summary'!$Y:$Y,'Threshold Summary'!$P:$P,"")/4))*XLOOKUP($K91,'Threshold Summary'!$Y:$Y,'Threshold Summary'!$L:$L,""))/100)+5)*XLOOKUP(XLOOKUP($K91,'Threshold Summary'!$Y:$Y,'Threshold Summary'!$M:$M,""),'Nature Editor'!$A:$A,'Nature Editor'!$B:$B,1)),FLOOR((FLOOR(((2*XLOOKUP(XLOOKUP($K91,'Threshold Summary'!$Y:$Y,'Threshold Summary'!$K:$K,""),'Pokemon Editor'!$A:$A,'Pokemon Editor'!$H:$H,0)+31+FLOOR(XLOOKUP($K91,'Threshold Summary'!$Y:$Y,'Threshold Summary'!$R:$R,"")/4))*XLOOKUP($K91,'Threshold Summary'!$Y:$Y,'Threshold Summary'!$L:$L,""))/100)+5)*XLOOKUP(XLOOKUP($K91,'Threshold Summary'!$Y:$Y,'Threshold Summary'!$M:$M,""),'Nature Editor'!$A:$A,'Nature Editor'!$D:$D,1))),def,IF(cat="Physical",FLOOR((FLOOR(((2*XLOOKUP($L91,'Pokemon Editor'!$A:$A,'Pokemon Editor'!$G:$G,0)+31+FLOOR(XLOOKUP($L91,'Boss Editor'!$C:$C,'Boss Editor'!$I:$I,"")/4))*XLOOKUP($L91,'Boss Editor'!$C:$C,'Boss Editor'!$D:$D,""))/100)+5)*XLOOKUP(XLOOKUP($L91,'Boss Editor'!$C:$C,'Boss Editor'!$E:$E,""),'Nature Editor'!$A:$A,'Nature Editor'!$C:$C,1)),FLOOR((FLOOR(((2*XLOOKUP($L91,'Pokemon Editor'!$A:$A,'Pokemon Editor'!$I:$I,0)+31+FLOOR(XLOOKUP($L91,'Boss Editor'!$C:$C,'Boss Editor'!$K:$K,"")/4))*XLOOKUP($L91,'Boss Editor'!$C:$C,'Boss Editor'!$D:$D,""))/100)+5)*XLOOKUP(XLOOKUP($L91,'Boss Editor'!$C:$C,'Boss Editor'!$E:$E,""),'Nature Editor'!$A:$A,'Nature Editor'!$E:$E,1))),stab,IF(OR(mtype=XLOOKUP(XLOOKUP($K91,'Threshold Summary'!$Y:$Y,'Threshold Summary'!$K:$K,""),'Pokemon Editor'!$A:$A,'Pokemon Editor'!$C:$C,""),mtype=XLOOKUP(XLOOKUP($K91,'Threshold Summary'!$Y:$Y,'Threshold Summary'!$K:$K,""),'Pokemon Editor'!$A:$A,'Pokemon Editor'!$D:$D,"")),1.5,1),eff,(INDEX('Type Chart'!$B:$S,MATCH(mtype,'Type Chart'!$A:$A,0),MATCH(XLOOKUP($L91,'Pokemon Editor'!$A:$A,'Pokemon Editor'!$C:$C,""),'Type Chart'!$B$1:$S$1,0))*IF(XLOOKUP($L91,'Pokemon Editor'!$A:$A,'Pokemon Editor'!$D:$D,"")="",1,INDEX('Type Chart'!$B:$S,MATCH(mtype,'Type Chart'!$A:$A,0),MATCH(XLOOKUP($L91,'Pokemon Editor'!$A:$A,'Pokemon Editor'!$D:$D,""),'Type Chart'!$B$1:$S$1,0)))),base,IF(OR(cat="Status",pow=0),0,FLOOR(FLOOR(FLOOR((2*XLOOKUP($K91,'Threshold Summary'!$Y:$Y,'Threshold Summary'!$L:$L,"")/5+2)*pow*atk/def)/50)+2)),modifier,stab*eff,FLOOR(base*modifier*0.85)),0)</f>
        <v/>
      </c>
      <c r="G91" s="3">
        <f>IFERROR(LET(mtype,XLOOKUP($D91,'Move Editor'!$B:$B,'Move Editor'!$C:$C,""),cat,XLOOKUP($D91,'Move Editor'!$B:$B,'Move Editor'!$D:$D,""),pow,XLOOKUP($D91,'Move Editor'!$B:$B,'Move Editor'!$E:$E,0),acc,XLOOKUP($D91,'Move Editor'!$B:$B,'Move Editor'!$F:$F,100),atk,IF(cat="Physical",FLOOR((FLOOR(((2*XLOOKUP(XLOOKUP($K91,'Threshold Summary'!$Y:$Y,'Threshold Summary'!$K:$K,""),'Pokemon Editor'!$A:$A,'Pokemon Editor'!$F:$F,0)+31+FLOOR(XLOOKUP($K91,'Threshold Summary'!$Y:$Y,'Threshold Summary'!$P:$P,"")/4))*XLOOKUP($K91,'Threshold Summary'!$Y:$Y,'Threshold Summary'!$L:$L,""))/100)+5)*XLOOKUP(XLOOKUP($K91,'Threshold Summary'!$Y:$Y,'Threshold Summary'!$M:$M,""),'Nature Editor'!$A:$A,'Nature Editor'!$B:$B,1)),FLOOR((FLOOR(((2*XLOOKUP(XLOOKUP($K91,'Threshold Summary'!$Y:$Y,'Threshold Summary'!$K:$K,""),'Pokemon Editor'!$A:$A,'Pokemon Editor'!$H:$H,0)+31+FLOOR(XLOOKUP($K91,'Threshold Summary'!$Y:$Y,'Threshold Summary'!$R:$R,"")/4))*XLOOKUP($K91,'Threshold Summary'!$Y:$Y,'Threshold Summary'!$L:$L,""))/100)+5)*XLOOKUP(XLOOKUP($K91,'Threshold Summary'!$Y:$Y,'Threshold Summary'!$M:$M,""),'Nature Editor'!$A:$A,'Nature Editor'!$D:$D,1))),def,IF(cat="Physical",FLOOR((FLOOR(((2*XLOOKUP($L91,'Pokemon Editor'!$A:$A,'Pokemon Editor'!$G:$G,0)+31+FLOOR(XLOOKUP($L91,'Boss Editor'!$C:$C,'Boss Editor'!$I:$I,"")/4))*XLOOKUP($L91,'Boss Editor'!$C:$C,'Boss Editor'!$D:$D,""))/100)+5)*XLOOKUP(XLOOKUP($L91,'Boss Editor'!$C:$C,'Boss Editor'!$E:$E,""),'Nature Editor'!$A:$A,'Nature Editor'!$C:$C,1)),FLOOR((FLOOR(((2*XLOOKUP($L91,'Pokemon Editor'!$A:$A,'Pokemon Editor'!$I:$I,0)+31+FLOOR(XLOOKUP($L91,'Boss Editor'!$C:$C,'Boss Editor'!$K:$K,"")/4))*XLOOKUP($L91,'Boss Editor'!$C:$C,'Boss Editor'!$D:$D,""))/100)+5)*XLOOKUP(XLOOKUP($L91,'Boss Editor'!$C:$C,'Boss Editor'!$E:$E,""),'Nature Editor'!$A:$A,'Nature Editor'!$E:$E,1))),stab,IF(OR(mtype=XLOOKUP(XLOOKUP($K91,'Threshold Summary'!$Y:$Y,'Threshold Summary'!$K:$K,""),'Pokemon Editor'!$A:$A,'Pokemon Editor'!$C:$C,""),mtype=XLOOKUP(XLOOKUP($K91,'Threshold Summary'!$Y:$Y,'Threshold Summary'!$K:$K,""),'Pokemon Editor'!$A:$A,'Pokemon Editor'!$D:$D,"")),1.5,1),eff,(INDEX('Type Chart'!$B:$S,MATCH(mtype,'Type Chart'!$A:$A,0),MATCH(XLOOKUP($L91,'Pokemon Editor'!$A:$A,'Pokemon Editor'!$C:$C,""),'Type Chart'!$B$1:$S$1,0))*IF(XLOOKUP($L91,'Pokemon Editor'!$A:$A,'Pokemon Editor'!$D:$D,"")="",1,INDEX('Type Chart'!$B:$S,MATCH(mtype,'Type Chart'!$A:$A,0),MATCH(XLOOKUP($L91,'Pokemon Editor'!$A:$A,'Pokemon Editor'!$D:$D,""),'Type Chart'!$B$1:$S$1,0)))),base,IF(OR(cat="Status",pow=0),0,FLOOR(FLOOR(FLOOR((2*XLOOKUP($K91,'Threshold Summary'!$Y:$Y,'Threshold Summary'!$L:$L,"")/5+2)*pow*atk/def)/50)+2)),modifier,stab*eff,FLOOR(base*modifier)),0)</f>
        <v/>
      </c>
      <c r="H91" s="3">
        <f>IFERROR(LET(mtype,XLOOKUP($D91,'Move Editor'!$B:$B,'Move Editor'!$C:$C,""),cat,XLOOKUP($D91,'Move Editor'!$B:$B,'Move Editor'!$D:$D,""),pow,XLOOKUP($D91,'Move Editor'!$B:$B,'Move Editor'!$E:$E,0),acc,XLOOKUP($D91,'Move Editor'!$B:$B,'Move Editor'!$F:$F,100),atk,IF(cat="Physical",FLOOR((FLOOR(((2*XLOOKUP(XLOOKUP($K91,'Threshold Summary'!$Y:$Y,'Threshold Summary'!$K:$K,""),'Pokemon Editor'!$A:$A,'Pokemon Editor'!$F:$F,0)+31+FLOOR(XLOOKUP($K91,'Threshold Summary'!$Y:$Y,'Threshold Summary'!$P:$P,"")/4))*XLOOKUP($K91,'Threshold Summary'!$Y:$Y,'Threshold Summary'!$L:$L,""))/100)+5)*XLOOKUP(XLOOKUP($K91,'Threshold Summary'!$Y:$Y,'Threshold Summary'!$M:$M,""),'Nature Editor'!$A:$A,'Nature Editor'!$B:$B,1)),FLOOR((FLOOR(((2*XLOOKUP(XLOOKUP($K91,'Threshold Summary'!$Y:$Y,'Threshold Summary'!$K:$K,""),'Pokemon Editor'!$A:$A,'Pokemon Editor'!$H:$H,0)+31+FLOOR(XLOOKUP($K91,'Threshold Summary'!$Y:$Y,'Threshold Summary'!$R:$R,"")/4))*XLOOKUP($K91,'Threshold Summary'!$Y:$Y,'Threshold Summary'!$L:$L,""))/100)+5)*XLOOKUP(XLOOKUP($K91,'Threshold Summary'!$Y:$Y,'Threshold Summary'!$M:$M,""),'Nature Editor'!$A:$A,'Nature Editor'!$D:$D,1))),def,IF(cat="Physical",FLOOR((FLOOR(((2*XLOOKUP($L91,'Pokemon Editor'!$A:$A,'Pokemon Editor'!$G:$G,0)+31+FLOOR(XLOOKUP($L91,'Boss Editor'!$C:$C,'Boss Editor'!$I:$I,"")/4))*XLOOKUP($L91,'Boss Editor'!$C:$C,'Boss Editor'!$D:$D,""))/100)+5)*XLOOKUP(XLOOKUP($L91,'Boss Editor'!$C:$C,'Boss Editor'!$E:$E,""),'Nature Editor'!$A:$A,'Nature Editor'!$C:$C,1)),FLOOR((FLOOR(((2*XLOOKUP($L91,'Pokemon Editor'!$A:$A,'Pokemon Editor'!$I:$I,0)+31+FLOOR(XLOOKUP($L91,'Boss Editor'!$C:$C,'Boss Editor'!$K:$K,"")/4))*XLOOKUP($L91,'Boss Editor'!$C:$C,'Boss Editor'!$D:$D,""))/100)+5)*XLOOKUP(XLOOKUP($L91,'Boss Editor'!$C:$C,'Boss Editor'!$E:$E,""),'Nature Editor'!$A:$A,'Nature Editor'!$E:$E,1))),stab,IF(OR(mtype=XLOOKUP(XLOOKUP($K91,'Threshold Summary'!$Y:$Y,'Threshold Summary'!$K:$K,""),'Pokemon Editor'!$A:$A,'Pokemon Editor'!$C:$C,""),mtype=XLOOKUP(XLOOKUP($K91,'Threshold Summary'!$Y:$Y,'Threshold Summary'!$K:$K,""),'Pokemon Editor'!$A:$A,'Pokemon Editor'!$D:$D,"")),1.5,1),eff,(INDEX('Type Chart'!$B:$S,MATCH(mtype,'Type Chart'!$A:$A,0),MATCH(XLOOKUP($L91,'Pokemon Editor'!$A:$A,'Pokemon Editor'!$C:$C,""),'Type Chart'!$B$1:$S$1,0))*IF(XLOOKUP($L91,'Pokemon Editor'!$A:$A,'Pokemon Editor'!$D:$D,"")="",1,INDEX('Type Chart'!$B:$S,MATCH(mtype,'Type Chart'!$A:$A,0),MATCH(XLOOKUP($L91,'Pokemon Editor'!$A:$A,'Pokemon Editor'!$D:$D,""),'Type Chart'!$B$1:$S$1,0)))),base,IF(OR(cat="Status",pow=0),0,FLOOR(FLOOR(FLOOR((2*XLOOKUP($K91,'Threshold Summary'!$Y:$Y,'Threshold Summary'!$L:$L,"")/5+2)*pow*atk/def)/50)+2)),modifier,stab*eff,AVERAGE(ARRAYFORMULA(FLOOR(base*modifier*SEQUENCE(16,1,85,1)/100)))),0)</f>
        <v/>
      </c>
      <c r="I91" s="4">
        <f>IFERROR(LET(mtype,XLOOKUP($D91,'Move Editor'!$B:$B,'Move Editor'!$C:$C,""),cat,XLOOKUP($D91,'Move Editor'!$B:$B,'Move Editor'!$D:$D,""),pow,XLOOKUP($D91,'Move Editor'!$B:$B,'Move Editor'!$E:$E,0),acc,XLOOKUP($D91,'Move Editor'!$B:$B,'Move Editor'!$F:$F,100),atk,IF(cat="Physical",FLOOR((FLOOR(((2*XLOOKUP(XLOOKUP($K91,'Threshold Summary'!$Y:$Y,'Threshold Summary'!$K:$K,""),'Pokemon Editor'!$A:$A,'Pokemon Editor'!$F:$F,0)+31+FLOOR(XLOOKUP($K91,'Threshold Summary'!$Y:$Y,'Threshold Summary'!$P:$P,"")/4))*XLOOKUP($K91,'Threshold Summary'!$Y:$Y,'Threshold Summary'!$L:$L,""))/100)+5)*XLOOKUP(XLOOKUP($K91,'Threshold Summary'!$Y:$Y,'Threshold Summary'!$M:$M,""),'Nature Editor'!$A:$A,'Nature Editor'!$B:$B,1)),FLOOR((FLOOR(((2*XLOOKUP(XLOOKUP($K91,'Threshold Summary'!$Y:$Y,'Threshold Summary'!$K:$K,""),'Pokemon Editor'!$A:$A,'Pokemon Editor'!$H:$H,0)+31+FLOOR(XLOOKUP($K91,'Threshold Summary'!$Y:$Y,'Threshold Summary'!$R:$R,"")/4))*XLOOKUP($K91,'Threshold Summary'!$Y:$Y,'Threshold Summary'!$L:$L,""))/100)+5)*XLOOKUP(XLOOKUP($K91,'Threshold Summary'!$Y:$Y,'Threshold Summary'!$M:$M,""),'Nature Editor'!$A:$A,'Nature Editor'!$D:$D,1))),def,IF(cat="Physical",FLOOR((FLOOR(((2*XLOOKUP($L91,'Pokemon Editor'!$A:$A,'Pokemon Editor'!$G:$G,0)+31+FLOOR(XLOOKUP($L91,'Boss Editor'!$C:$C,'Boss Editor'!$I:$I,"")/4))*XLOOKUP($L91,'Boss Editor'!$C:$C,'Boss Editor'!$D:$D,""))/100)+5)*XLOOKUP(XLOOKUP($L91,'Boss Editor'!$C:$C,'Boss Editor'!$E:$E,""),'Nature Editor'!$A:$A,'Nature Editor'!$C:$C,1)),FLOOR((FLOOR(((2*XLOOKUP($L91,'Pokemon Editor'!$A:$A,'Pokemon Editor'!$I:$I,0)+31+FLOOR(XLOOKUP($L91,'Boss Editor'!$C:$C,'Boss Editor'!$K:$K,"")/4))*XLOOKUP($L91,'Boss Editor'!$C:$C,'Boss Editor'!$D:$D,""))/100)+5)*XLOOKUP(XLOOKUP($L91,'Boss Editor'!$C:$C,'Boss Editor'!$E:$E,""),'Nature Editor'!$A:$A,'Nature Editor'!$E:$E,1))),stab,IF(OR(mtype=XLOOKUP(XLOOKUP($K91,'Threshold Summary'!$Y:$Y,'Threshold Summary'!$K:$K,""),'Pokemon Editor'!$A:$A,'Pokemon Editor'!$C:$C,""),mtype=XLOOKUP(XLOOKUP($K91,'Threshold Summary'!$Y:$Y,'Threshold Summary'!$K:$K,""),'Pokemon Editor'!$A:$A,'Pokemon Editor'!$D:$D,"")),1.5,1),eff,(INDEX('Type Chart'!$B:$S,MATCH(mtype,'Type Chart'!$A:$A,0),MATCH(XLOOKUP($L91,'Pokemon Editor'!$A:$A,'Pokemon Editor'!$C:$C,""),'Type Chart'!$B$1:$S$1,0))*IF(XLOOKUP($L91,'Pokemon Editor'!$A:$A,'Pokemon Editor'!$D:$D,"")="",1,INDEX('Type Chart'!$B:$S,MATCH(mtype,'Type Chart'!$A:$A,0),MATCH(XLOOKUP($L91,'Pokemon Editor'!$A:$A,'Pokemon Editor'!$D:$D,""),'Type Chart'!$B$1:$S$1,0)))),base,IF(OR(cat="Status",pow=0),0,FLOOR(FLOOR(FLOOR((2*XLOOKUP($K91,'Threshold Summary'!$Y:$Y,'Threshold Summary'!$L:$L,"")/5+2)*pow*atk/def)/50)+2)),modifier,stab*eff,AVERAGE(ARRAYFORMULA(FLOOR(base*modifier*SEQUENCE(16,1,85,1)/100)))/(FLOOR(((2*XLOOKUP($L91,'Pokemon Editor'!$A:$A,'Pokemon Editor'!$E:$E,0)+31+FLOOR(XLOOKUP($L91,'Boss Editor'!$C:$C,'Boss Editor'!$G:$G,"")/4))*XLOOKUP($L91,'Boss Editor'!$C:$C,'Boss Editor'!$D:$D,""))/100)+XLOOKUP($L91,'Boss Editor'!$C:$C,'Boss Editor'!$D:$D,"")+10)),0)</f>
        <v/>
      </c>
      <c r="J91" s="3">
        <f>IF(I91&gt;=1,"OHKO",IF(I91&gt;=0.5,"2HKO",IF(I91&gt;=0.333,"3HKO",IF(I91&gt;=0.25,"4HKO","5HKO+"))))</f>
        <v/>
      </c>
      <c r="K91" s="3" t="inlineStr">
        <is>
          <t>SPECIES_CHARCADET</t>
        </is>
      </c>
      <c r="L91" s="3" t="inlineStr">
        <is>
          <t>SPECIES_LILEEP</t>
        </is>
      </c>
    </row>
    <row r="92">
      <c r="A92" s="3">
        <f>XLOOKUP($K92,'Threshold Summary'!$Y:$Y,'Threshold Summary'!$A:$A,"")</f>
        <v/>
      </c>
      <c r="B92" s="3" t="inlineStr">
        <is>
          <t>Tirtouga</t>
        </is>
      </c>
      <c r="C92" s="3">
        <f>XLOOKUP($L92,'Boss Editor'!$C:$C,'Boss Editor'!$D:$D,"")</f>
        <v/>
      </c>
      <c r="D92" s="3">
        <f>XLOOKUP($K92,'Threshold Summary'!$Y:$Y,'Threshold Summary'!$B:$B,"")</f>
        <v/>
      </c>
      <c r="E92" s="3">
        <f>XLOOKUP(D92,'Move Editor'!$B:$B,'Move Editor'!$C:$C,"")</f>
        <v/>
      </c>
      <c r="F92" s="3">
        <f>IFERROR(LET(mtype,XLOOKUP($D92,'Move Editor'!$B:$B,'Move Editor'!$C:$C,""),cat,XLOOKUP($D92,'Move Editor'!$B:$B,'Move Editor'!$D:$D,""),pow,XLOOKUP($D92,'Move Editor'!$B:$B,'Move Editor'!$E:$E,0),acc,XLOOKUP($D92,'Move Editor'!$B:$B,'Move Editor'!$F:$F,100),atk,IF(cat="Physical",FLOOR((FLOOR(((2*XLOOKUP(XLOOKUP($K92,'Threshold Summary'!$Y:$Y,'Threshold Summary'!$K:$K,""),'Pokemon Editor'!$A:$A,'Pokemon Editor'!$F:$F,0)+31+FLOOR(XLOOKUP($K92,'Threshold Summary'!$Y:$Y,'Threshold Summary'!$P:$P,"")/4))*XLOOKUP($K92,'Threshold Summary'!$Y:$Y,'Threshold Summary'!$L:$L,""))/100)+5)*XLOOKUP(XLOOKUP($K92,'Threshold Summary'!$Y:$Y,'Threshold Summary'!$M:$M,""),'Nature Editor'!$A:$A,'Nature Editor'!$B:$B,1)),FLOOR((FLOOR(((2*XLOOKUP(XLOOKUP($K92,'Threshold Summary'!$Y:$Y,'Threshold Summary'!$K:$K,""),'Pokemon Editor'!$A:$A,'Pokemon Editor'!$H:$H,0)+31+FLOOR(XLOOKUP($K92,'Threshold Summary'!$Y:$Y,'Threshold Summary'!$R:$R,"")/4))*XLOOKUP($K92,'Threshold Summary'!$Y:$Y,'Threshold Summary'!$L:$L,""))/100)+5)*XLOOKUP(XLOOKUP($K92,'Threshold Summary'!$Y:$Y,'Threshold Summary'!$M:$M,""),'Nature Editor'!$A:$A,'Nature Editor'!$D:$D,1))),def,IF(cat="Physical",FLOOR((FLOOR(((2*XLOOKUP($L92,'Pokemon Editor'!$A:$A,'Pokemon Editor'!$G:$G,0)+31+FLOOR(XLOOKUP($L92,'Boss Editor'!$C:$C,'Boss Editor'!$I:$I,"")/4))*XLOOKUP($L92,'Boss Editor'!$C:$C,'Boss Editor'!$D:$D,""))/100)+5)*XLOOKUP(XLOOKUP($L92,'Boss Editor'!$C:$C,'Boss Editor'!$E:$E,""),'Nature Editor'!$A:$A,'Nature Editor'!$C:$C,1)),FLOOR((FLOOR(((2*XLOOKUP($L92,'Pokemon Editor'!$A:$A,'Pokemon Editor'!$I:$I,0)+31+FLOOR(XLOOKUP($L92,'Boss Editor'!$C:$C,'Boss Editor'!$K:$K,"")/4))*XLOOKUP($L92,'Boss Editor'!$C:$C,'Boss Editor'!$D:$D,""))/100)+5)*XLOOKUP(XLOOKUP($L92,'Boss Editor'!$C:$C,'Boss Editor'!$E:$E,""),'Nature Editor'!$A:$A,'Nature Editor'!$E:$E,1))),stab,IF(OR(mtype=XLOOKUP(XLOOKUP($K92,'Threshold Summary'!$Y:$Y,'Threshold Summary'!$K:$K,""),'Pokemon Editor'!$A:$A,'Pokemon Editor'!$C:$C,""),mtype=XLOOKUP(XLOOKUP($K92,'Threshold Summary'!$Y:$Y,'Threshold Summary'!$K:$K,""),'Pokemon Editor'!$A:$A,'Pokemon Editor'!$D:$D,"")),1.5,1),eff,(INDEX('Type Chart'!$B:$S,MATCH(mtype,'Type Chart'!$A:$A,0),MATCH(XLOOKUP($L92,'Pokemon Editor'!$A:$A,'Pokemon Editor'!$C:$C,""),'Type Chart'!$B$1:$S$1,0))*IF(XLOOKUP($L92,'Pokemon Editor'!$A:$A,'Pokemon Editor'!$D:$D,"")="",1,INDEX('Type Chart'!$B:$S,MATCH(mtype,'Type Chart'!$A:$A,0),MATCH(XLOOKUP($L92,'Pokemon Editor'!$A:$A,'Pokemon Editor'!$D:$D,""),'Type Chart'!$B$1:$S$1,0)))),base,IF(OR(cat="Status",pow=0),0,FLOOR(FLOOR(FLOOR((2*XLOOKUP($K92,'Threshold Summary'!$Y:$Y,'Threshold Summary'!$L:$L,"")/5+2)*pow*atk/def)/50)+2)),modifier,stab*eff,FLOOR(base*modifier*0.85)),0)</f>
        <v/>
      </c>
      <c r="G92" s="3">
        <f>IFERROR(LET(mtype,XLOOKUP($D92,'Move Editor'!$B:$B,'Move Editor'!$C:$C,""),cat,XLOOKUP($D92,'Move Editor'!$B:$B,'Move Editor'!$D:$D,""),pow,XLOOKUP($D92,'Move Editor'!$B:$B,'Move Editor'!$E:$E,0),acc,XLOOKUP($D92,'Move Editor'!$B:$B,'Move Editor'!$F:$F,100),atk,IF(cat="Physical",FLOOR((FLOOR(((2*XLOOKUP(XLOOKUP($K92,'Threshold Summary'!$Y:$Y,'Threshold Summary'!$K:$K,""),'Pokemon Editor'!$A:$A,'Pokemon Editor'!$F:$F,0)+31+FLOOR(XLOOKUP($K92,'Threshold Summary'!$Y:$Y,'Threshold Summary'!$P:$P,"")/4))*XLOOKUP($K92,'Threshold Summary'!$Y:$Y,'Threshold Summary'!$L:$L,""))/100)+5)*XLOOKUP(XLOOKUP($K92,'Threshold Summary'!$Y:$Y,'Threshold Summary'!$M:$M,""),'Nature Editor'!$A:$A,'Nature Editor'!$B:$B,1)),FLOOR((FLOOR(((2*XLOOKUP(XLOOKUP($K92,'Threshold Summary'!$Y:$Y,'Threshold Summary'!$K:$K,""),'Pokemon Editor'!$A:$A,'Pokemon Editor'!$H:$H,0)+31+FLOOR(XLOOKUP($K92,'Threshold Summary'!$Y:$Y,'Threshold Summary'!$R:$R,"")/4))*XLOOKUP($K92,'Threshold Summary'!$Y:$Y,'Threshold Summary'!$L:$L,""))/100)+5)*XLOOKUP(XLOOKUP($K92,'Threshold Summary'!$Y:$Y,'Threshold Summary'!$M:$M,""),'Nature Editor'!$A:$A,'Nature Editor'!$D:$D,1))),def,IF(cat="Physical",FLOOR((FLOOR(((2*XLOOKUP($L92,'Pokemon Editor'!$A:$A,'Pokemon Editor'!$G:$G,0)+31+FLOOR(XLOOKUP($L92,'Boss Editor'!$C:$C,'Boss Editor'!$I:$I,"")/4))*XLOOKUP($L92,'Boss Editor'!$C:$C,'Boss Editor'!$D:$D,""))/100)+5)*XLOOKUP(XLOOKUP($L92,'Boss Editor'!$C:$C,'Boss Editor'!$E:$E,""),'Nature Editor'!$A:$A,'Nature Editor'!$C:$C,1)),FLOOR((FLOOR(((2*XLOOKUP($L92,'Pokemon Editor'!$A:$A,'Pokemon Editor'!$I:$I,0)+31+FLOOR(XLOOKUP($L92,'Boss Editor'!$C:$C,'Boss Editor'!$K:$K,"")/4))*XLOOKUP($L92,'Boss Editor'!$C:$C,'Boss Editor'!$D:$D,""))/100)+5)*XLOOKUP(XLOOKUP($L92,'Boss Editor'!$C:$C,'Boss Editor'!$E:$E,""),'Nature Editor'!$A:$A,'Nature Editor'!$E:$E,1))),stab,IF(OR(mtype=XLOOKUP(XLOOKUP($K92,'Threshold Summary'!$Y:$Y,'Threshold Summary'!$K:$K,""),'Pokemon Editor'!$A:$A,'Pokemon Editor'!$C:$C,""),mtype=XLOOKUP(XLOOKUP($K92,'Threshold Summary'!$Y:$Y,'Threshold Summary'!$K:$K,""),'Pokemon Editor'!$A:$A,'Pokemon Editor'!$D:$D,"")),1.5,1),eff,(INDEX('Type Chart'!$B:$S,MATCH(mtype,'Type Chart'!$A:$A,0),MATCH(XLOOKUP($L92,'Pokemon Editor'!$A:$A,'Pokemon Editor'!$C:$C,""),'Type Chart'!$B$1:$S$1,0))*IF(XLOOKUP($L92,'Pokemon Editor'!$A:$A,'Pokemon Editor'!$D:$D,"")="",1,INDEX('Type Chart'!$B:$S,MATCH(mtype,'Type Chart'!$A:$A,0),MATCH(XLOOKUP($L92,'Pokemon Editor'!$A:$A,'Pokemon Editor'!$D:$D,""),'Type Chart'!$B$1:$S$1,0)))),base,IF(OR(cat="Status",pow=0),0,FLOOR(FLOOR(FLOOR((2*XLOOKUP($K92,'Threshold Summary'!$Y:$Y,'Threshold Summary'!$L:$L,"")/5+2)*pow*atk/def)/50)+2)),modifier,stab*eff,FLOOR(base*modifier)),0)</f>
        <v/>
      </c>
      <c r="H92" s="3">
        <f>IFERROR(LET(mtype,XLOOKUP($D92,'Move Editor'!$B:$B,'Move Editor'!$C:$C,""),cat,XLOOKUP($D92,'Move Editor'!$B:$B,'Move Editor'!$D:$D,""),pow,XLOOKUP($D92,'Move Editor'!$B:$B,'Move Editor'!$E:$E,0),acc,XLOOKUP($D92,'Move Editor'!$B:$B,'Move Editor'!$F:$F,100),atk,IF(cat="Physical",FLOOR((FLOOR(((2*XLOOKUP(XLOOKUP($K92,'Threshold Summary'!$Y:$Y,'Threshold Summary'!$K:$K,""),'Pokemon Editor'!$A:$A,'Pokemon Editor'!$F:$F,0)+31+FLOOR(XLOOKUP($K92,'Threshold Summary'!$Y:$Y,'Threshold Summary'!$P:$P,"")/4))*XLOOKUP($K92,'Threshold Summary'!$Y:$Y,'Threshold Summary'!$L:$L,""))/100)+5)*XLOOKUP(XLOOKUP($K92,'Threshold Summary'!$Y:$Y,'Threshold Summary'!$M:$M,""),'Nature Editor'!$A:$A,'Nature Editor'!$B:$B,1)),FLOOR((FLOOR(((2*XLOOKUP(XLOOKUP($K92,'Threshold Summary'!$Y:$Y,'Threshold Summary'!$K:$K,""),'Pokemon Editor'!$A:$A,'Pokemon Editor'!$H:$H,0)+31+FLOOR(XLOOKUP($K92,'Threshold Summary'!$Y:$Y,'Threshold Summary'!$R:$R,"")/4))*XLOOKUP($K92,'Threshold Summary'!$Y:$Y,'Threshold Summary'!$L:$L,""))/100)+5)*XLOOKUP(XLOOKUP($K92,'Threshold Summary'!$Y:$Y,'Threshold Summary'!$M:$M,""),'Nature Editor'!$A:$A,'Nature Editor'!$D:$D,1))),def,IF(cat="Physical",FLOOR((FLOOR(((2*XLOOKUP($L92,'Pokemon Editor'!$A:$A,'Pokemon Editor'!$G:$G,0)+31+FLOOR(XLOOKUP($L92,'Boss Editor'!$C:$C,'Boss Editor'!$I:$I,"")/4))*XLOOKUP($L92,'Boss Editor'!$C:$C,'Boss Editor'!$D:$D,""))/100)+5)*XLOOKUP(XLOOKUP($L92,'Boss Editor'!$C:$C,'Boss Editor'!$E:$E,""),'Nature Editor'!$A:$A,'Nature Editor'!$C:$C,1)),FLOOR((FLOOR(((2*XLOOKUP($L92,'Pokemon Editor'!$A:$A,'Pokemon Editor'!$I:$I,0)+31+FLOOR(XLOOKUP($L92,'Boss Editor'!$C:$C,'Boss Editor'!$K:$K,"")/4))*XLOOKUP($L92,'Boss Editor'!$C:$C,'Boss Editor'!$D:$D,""))/100)+5)*XLOOKUP(XLOOKUP($L92,'Boss Editor'!$C:$C,'Boss Editor'!$E:$E,""),'Nature Editor'!$A:$A,'Nature Editor'!$E:$E,1))),stab,IF(OR(mtype=XLOOKUP(XLOOKUP($K92,'Threshold Summary'!$Y:$Y,'Threshold Summary'!$K:$K,""),'Pokemon Editor'!$A:$A,'Pokemon Editor'!$C:$C,""),mtype=XLOOKUP(XLOOKUP($K92,'Threshold Summary'!$Y:$Y,'Threshold Summary'!$K:$K,""),'Pokemon Editor'!$A:$A,'Pokemon Editor'!$D:$D,"")),1.5,1),eff,(INDEX('Type Chart'!$B:$S,MATCH(mtype,'Type Chart'!$A:$A,0),MATCH(XLOOKUP($L92,'Pokemon Editor'!$A:$A,'Pokemon Editor'!$C:$C,""),'Type Chart'!$B$1:$S$1,0))*IF(XLOOKUP($L92,'Pokemon Editor'!$A:$A,'Pokemon Editor'!$D:$D,"")="",1,INDEX('Type Chart'!$B:$S,MATCH(mtype,'Type Chart'!$A:$A,0),MATCH(XLOOKUP($L92,'Pokemon Editor'!$A:$A,'Pokemon Editor'!$D:$D,""),'Type Chart'!$B$1:$S$1,0)))),base,IF(OR(cat="Status",pow=0),0,FLOOR(FLOOR(FLOOR((2*XLOOKUP($K92,'Threshold Summary'!$Y:$Y,'Threshold Summary'!$L:$L,"")/5+2)*pow*atk/def)/50)+2)),modifier,stab*eff,AVERAGE(ARRAYFORMULA(FLOOR(base*modifier*SEQUENCE(16,1,85,1)/100)))),0)</f>
        <v/>
      </c>
      <c r="I92" s="4">
        <f>IFERROR(LET(mtype,XLOOKUP($D92,'Move Editor'!$B:$B,'Move Editor'!$C:$C,""),cat,XLOOKUP($D92,'Move Editor'!$B:$B,'Move Editor'!$D:$D,""),pow,XLOOKUP($D92,'Move Editor'!$B:$B,'Move Editor'!$E:$E,0),acc,XLOOKUP($D92,'Move Editor'!$B:$B,'Move Editor'!$F:$F,100),atk,IF(cat="Physical",FLOOR((FLOOR(((2*XLOOKUP(XLOOKUP($K92,'Threshold Summary'!$Y:$Y,'Threshold Summary'!$K:$K,""),'Pokemon Editor'!$A:$A,'Pokemon Editor'!$F:$F,0)+31+FLOOR(XLOOKUP($K92,'Threshold Summary'!$Y:$Y,'Threshold Summary'!$P:$P,"")/4))*XLOOKUP($K92,'Threshold Summary'!$Y:$Y,'Threshold Summary'!$L:$L,""))/100)+5)*XLOOKUP(XLOOKUP($K92,'Threshold Summary'!$Y:$Y,'Threshold Summary'!$M:$M,""),'Nature Editor'!$A:$A,'Nature Editor'!$B:$B,1)),FLOOR((FLOOR(((2*XLOOKUP(XLOOKUP($K92,'Threshold Summary'!$Y:$Y,'Threshold Summary'!$K:$K,""),'Pokemon Editor'!$A:$A,'Pokemon Editor'!$H:$H,0)+31+FLOOR(XLOOKUP($K92,'Threshold Summary'!$Y:$Y,'Threshold Summary'!$R:$R,"")/4))*XLOOKUP($K92,'Threshold Summary'!$Y:$Y,'Threshold Summary'!$L:$L,""))/100)+5)*XLOOKUP(XLOOKUP($K92,'Threshold Summary'!$Y:$Y,'Threshold Summary'!$M:$M,""),'Nature Editor'!$A:$A,'Nature Editor'!$D:$D,1))),def,IF(cat="Physical",FLOOR((FLOOR(((2*XLOOKUP($L92,'Pokemon Editor'!$A:$A,'Pokemon Editor'!$G:$G,0)+31+FLOOR(XLOOKUP($L92,'Boss Editor'!$C:$C,'Boss Editor'!$I:$I,"")/4))*XLOOKUP($L92,'Boss Editor'!$C:$C,'Boss Editor'!$D:$D,""))/100)+5)*XLOOKUP(XLOOKUP($L92,'Boss Editor'!$C:$C,'Boss Editor'!$E:$E,""),'Nature Editor'!$A:$A,'Nature Editor'!$C:$C,1)),FLOOR((FLOOR(((2*XLOOKUP($L92,'Pokemon Editor'!$A:$A,'Pokemon Editor'!$I:$I,0)+31+FLOOR(XLOOKUP($L92,'Boss Editor'!$C:$C,'Boss Editor'!$K:$K,"")/4))*XLOOKUP($L92,'Boss Editor'!$C:$C,'Boss Editor'!$D:$D,""))/100)+5)*XLOOKUP(XLOOKUP($L92,'Boss Editor'!$C:$C,'Boss Editor'!$E:$E,""),'Nature Editor'!$A:$A,'Nature Editor'!$E:$E,1))),stab,IF(OR(mtype=XLOOKUP(XLOOKUP($K92,'Threshold Summary'!$Y:$Y,'Threshold Summary'!$K:$K,""),'Pokemon Editor'!$A:$A,'Pokemon Editor'!$C:$C,""),mtype=XLOOKUP(XLOOKUP($K92,'Threshold Summary'!$Y:$Y,'Threshold Summary'!$K:$K,""),'Pokemon Editor'!$A:$A,'Pokemon Editor'!$D:$D,"")),1.5,1),eff,(INDEX('Type Chart'!$B:$S,MATCH(mtype,'Type Chart'!$A:$A,0),MATCH(XLOOKUP($L92,'Pokemon Editor'!$A:$A,'Pokemon Editor'!$C:$C,""),'Type Chart'!$B$1:$S$1,0))*IF(XLOOKUP($L92,'Pokemon Editor'!$A:$A,'Pokemon Editor'!$D:$D,"")="",1,INDEX('Type Chart'!$B:$S,MATCH(mtype,'Type Chart'!$A:$A,0),MATCH(XLOOKUP($L92,'Pokemon Editor'!$A:$A,'Pokemon Editor'!$D:$D,""),'Type Chart'!$B$1:$S$1,0)))),base,IF(OR(cat="Status",pow=0),0,FLOOR(FLOOR(FLOOR((2*XLOOKUP($K92,'Threshold Summary'!$Y:$Y,'Threshold Summary'!$L:$L,"")/5+2)*pow*atk/def)/50)+2)),modifier,stab*eff,AVERAGE(ARRAYFORMULA(FLOOR(base*modifier*SEQUENCE(16,1,85,1)/100)))/(FLOOR(((2*XLOOKUP($L92,'Pokemon Editor'!$A:$A,'Pokemon Editor'!$E:$E,0)+31+FLOOR(XLOOKUP($L92,'Boss Editor'!$C:$C,'Boss Editor'!$G:$G,"")/4))*XLOOKUP($L92,'Boss Editor'!$C:$C,'Boss Editor'!$D:$D,""))/100)+XLOOKUP($L92,'Boss Editor'!$C:$C,'Boss Editor'!$D:$D,"")+10)),0)</f>
        <v/>
      </c>
      <c r="J92" s="3">
        <f>IF(I92&gt;=1,"OHKO",IF(I92&gt;=0.5,"2HKO",IF(I92&gt;=0.333,"3HKO",IF(I92&gt;=0.25,"4HKO","5HKO+"))))</f>
        <v/>
      </c>
      <c r="K92" s="3" t="inlineStr">
        <is>
          <t>SPECIES_WATTREL</t>
        </is>
      </c>
      <c r="L92" s="3" t="inlineStr">
        <is>
          <t>SPECIES_TIRTOUGA</t>
        </is>
      </c>
    </row>
    <row r="93">
      <c r="A93" s="3">
        <f>XLOOKUP($K93,'Threshold Summary'!$Y:$Y,'Threshold Summary'!$A:$A,"")</f>
        <v/>
      </c>
      <c r="B93" s="3" t="inlineStr">
        <is>
          <t>Anorith</t>
        </is>
      </c>
      <c r="C93" s="3">
        <f>XLOOKUP($L93,'Boss Editor'!$C:$C,'Boss Editor'!$D:$D,"")</f>
        <v/>
      </c>
      <c r="D93" s="3">
        <f>XLOOKUP($K93,'Threshold Summary'!$Y:$Y,'Threshold Summary'!$B:$B,"")</f>
        <v/>
      </c>
      <c r="E93" s="3">
        <f>XLOOKUP(D93,'Move Editor'!$B:$B,'Move Editor'!$C:$C,"")</f>
        <v/>
      </c>
      <c r="F93" s="3">
        <f>IFERROR(LET(mtype,XLOOKUP($D93,'Move Editor'!$B:$B,'Move Editor'!$C:$C,""),cat,XLOOKUP($D93,'Move Editor'!$B:$B,'Move Editor'!$D:$D,""),pow,XLOOKUP($D93,'Move Editor'!$B:$B,'Move Editor'!$E:$E,0),acc,XLOOKUP($D93,'Move Editor'!$B:$B,'Move Editor'!$F:$F,100),atk,IF(cat="Physical",FLOOR((FLOOR(((2*XLOOKUP(XLOOKUP($K93,'Threshold Summary'!$Y:$Y,'Threshold Summary'!$K:$K,""),'Pokemon Editor'!$A:$A,'Pokemon Editor'!$F:$F,0)+31+FLOOR(XLOOKUP($K93,'Threshold Summary'!$Y:$Y,'Threshold Summary'!$P:$P,"")/4))*XLOOKUP($K93,'Threshold Summary'!$Y:$Y,'Threshold Summary'!$L:$L,""))/100)+5)*XLOOKUP(XLOOKUP($K93,'Threshold Summary'!$Y:$Y,'Threshold Summary'!$M:$M,""),'Nature Editor'!$A:$A,'Nature Editor'!$B:$B,1)),FLOOR((FLOOR(((2*XLOOKUP(XLOOKUP($K93,'Threshold Summary'!$Y:$Y,'Threshold Summary'!$K:$K,""),'Pokemon Editor'!$A:$A,'Pokemon Editor'!$H:$H,0)+31+FLOOR(XLOOKUP($K93,'Threshold Summary'!$Y:$Y,'Threshold Summary'!$R:$R,"")/4))*XLOOKUP($K93,'Threshold Summary'!$Y:$Y,'Threshold Summary'!$L:$L,""))/100)+5)*XLOOKUP(XLOOKUP($K93,'Threshold Summary'!$Y:$Y,'Threshold Summary'!$M:$M,""),'Nature Editor'!$A:$A,'Nature Editor'!$D:$D,1))),def,IF(cat="Physical",FLOOR((FLOOR(((2*XLOOKUP($L93,'Pokemon Editor'!$A:$A,'Pokemon Editor'!$G:$G,0)+31+FLOOR(XLOOKUP($L93,'Boss Editor'!$C:$C,'Boss Editor'!$I:$I,"")/4))*XLOOKUP($L93,'Boss Editor'!$C:$C,'Boss Editor'!$D:$D,""))/100)+5)*XLOOKUP(XLOOKUP($L93,'Boss Editor'!$C:$C,'Boss Editor'!$E:$E,""),'Nature Editor'!$A:$A,'Nature Editor'!$C:$C,1)),FLOOR((FLOOR(((2*XLOOKUP($L93,'Pokemon Editor'!$A:$A,'Pokemon Editor'!$I:$I,0)+31+FLOOR(XLOOKUP($L93,'Boss Editor'!$C:$C,'Boss Editor'!$K:$K,"")/4))*XLOOKUP($L93,'Boss Editor'!$C:$C,'Boss Editor'!$D:$D,""))/100)+5)*XLOOKUP(XLOOKUP($L93,'Boss Editor'!$C:$C,'Boss Editor'!$E:$E,""),'Nature Editor'!$A:$A,'Nature Editor'!$E:$E,1))),stab,IF(OR(mtype=XLOOKUP(XLOOKUP($K93,'Threshold Summary'!$Y:$Y,'Threshold Summary'!$K:$K,""),'Pokemon Editor'!$A:$A,'Pokemon Editor'!$C:$C,""),mtype=XLOOKUP(XLOOKUP($K93,'Threshold Summary'!$Y:$Y,'Threshold Summary'!$K:$K,""),'Pokemon Editor'!$A:$A,'Pokemon Editor'!$D:$D,"")),1.5,1),eff,(INDEX('Type Chart'!$B:$S,MATCH(mtype,'Type Chart'!$A:$A,0),MATCH(XLOOKUP($L93,'Pokemon Editor'!$A:$A,'Pokemon Editor'!$C:$C,""),'Type Chart'!$B$1:$S$1,0))*IF(XLOOKUP($L93,'Pokemon Editor'!$A:$A,'Pokemon Editor'!$D:$D,"")="",1,INDEX('Type Chart'!$B:$S,MATCH(mtype,'Type Chart'!$A:$A,0),MATCH(XLOOKUP($L93,'Pokemon Editor'!$A:$A,'Pokemon Editor'!$D:$D,""),'Type Chart'!$B$1:$S$1,0)))),base,IF(OR(cat="Status",pow=0),0,FLOOR(FLOOR(FLOOR((2*XLOOKUP($K93,'Threshold Summary'!$Y:$Y,'Threshold Summary'!$L:$L,"")/5+2)*pow*atk/def)/50)+2)),modifier,stab*eff,FLOOR(base*modifier*0.85)),0)</f>
        <v/>
      </c>
      <c r="G93" s="3">
        <f>IFERROR(LET(mtype,XLOOKUP($D93,'Move Editor'!$B:$B,'Move Editor'!$C:$C,""),cat,XLOOKUP($D93,'Move Editor'!$B:$B,'Move Editor'!$D:$D,""),pow,XLOOKUP($D93,'Move Editor'!$B:$B,'Move Editor'!$E:$E,0),acc,XLOOKUP($D93,'Move Editor'!$B:$B,'Move Editor'!$F:$F,100),atk,IF(cat="Physical",FLOOR((FLOOR(((2*XLOOKUP(XLOOKUP($K93,'Threshold Summary'!$Y:$Y,'Threshold Summary'!$K:$K,""),'Pokemon Editor'!$A:$A,'Pokemon Editor'!$F:$F,0)+31+FLOOR(XLOOKUP($K93,'Threshold Summary'!$Y:$Y,'Threshold Summary'!$P:$P,"")/4))*XLOOKUP($K93,'Threshold Summary'!$Y:$Y,'Threshold Summary'!$L:$L,""))/100)+5)*XLOOKUP(XLOOKUP($K93,'Threshold Summary'!$Y:$Y,'Threshold Summary'!$M:$M,""),'Nature Editor'!$A:$A,'Nature Editor'!$B:$B,1)),FLOOR((FLOOR(((2*XLOOKUP(XLOOKUP($K93,'Threshold Summary'!$Y:$Y,'Threshold Summary'!$K:$K,""),'Pokemon Editor'!$A:$A,'Pokemon Editor'!$H:$H,0)+31+FLOOR(XLOOKUP($K93,'Threshold Summary'!$Y:$Y,'Threshold Summary'!$R:$R,"")/4))*XLOOKUP($K93,'Threshold Summary'!$Y:$Y,'Threshold Summary'!$L:$L,""))/100)+5)*XLOOKUP(XLOOKUP($K93,'Threshold Summary'!$Y:$Y,'Threshold Summary'!$M:$M,""),'Nature Editor'!$A:$A,'Nature Editor'!$D:$D,1))),def,IF(cat="Physical",FLOOR((FLOOR(((2*XLOOKUP($L93,'Pokemon Editor'!$A:$A,'Pokemon Editor'!$G:$G,0)+31+FLOOR(XLOOKUP($L93,'Boss Editor'!$C:$C,'Boss Editor'!$I:$I,"")/4))*XLOOKUP($L93,'Boss Editor'!$C:$C,'Boss Editor'!$D:$D,""))/100)+5)*XLOOKUP(XLOOKUP($L93,'Boss Editor'!$C:$C,'Boss Editor'!$E:$E,""),'Nature Editor'!$A:$A,'Nature Editor'!$C:$C,1)),FLOOR((FLOOR(((2*XLOOKUP($L93,'Pokemon Editor'!$A:$A,'Pokemon Editor'!$I:$I,0)+31+FLOOR(XLOOKUP($L93,'Boss Editor'!$C:$C,'Boss Editor'!$K:$K,"")/4))*XLOOKUP($L93,'Boss Editor'!$C:$C,'Boss Editor'!$D:$D,""))/100)+5)*XLOOKUP(XLOOKUP($L93,'Boss Editor'!$C:$C,'Boss Editor'!$E:$E,""),'Nature Editor'!$A:$A,'Nature Editor'!$E:$E,1))),stab,IF(OR(mtype=XLOOKUP(XLOOKUP($K93,'Threshold Summary'!$Y:$Y,'Threshold Summary'!$K:$K,""),'Pokemon Editor'!$A:$A,'Pokemon Editor'!$C:$C,""),mtype=XLOOKUP(XLOOKUP($K93,'Threshold Summary'!$Y:$Y,'Threshold Summary'!$K:$K,""),'Pokemon Editor'!$A:$A,'Pokemon Editor'!$D:$D,"")),1.5,1),eff,(INDEX('Type Chart'!$B:$S,MATCH(mtype,'Type Chart'!$A:$A,0),MATCH(XLOOKUP($L93,'Pokemon Editor'!$A:$A,'Pokemon Editor'!$C:$C,""),'Type Chart'!$B$1:$S$1,0))*IF(XLOOKUP($L93,'Pokemon Editor'!$A:$A,'Pokemon Editor'!$D:$D,"")="",1,INDEX('Type Chart'!$B:$S,MATCH(mtype,'Type Chart'!$A:$A,0),MATCH(XLOOKUP($L93,'Pokemon Editor'!$A:$A,'Pokemon Editor'!$D:$D,""),'Type Chart'!$B$1:$S$1,0)))),base,IF(OR(cat="Status",pow=0),0,FLOOR(FLOOR(FLOOR((2*XLOOKUP($K93,'Threshold Summary'!$Y:$Y,'Threshold Summary'!$L:$L,"")/5+2)*pow*atk/def)/50)+2)),modifier,stab*eff,FLOOR(base*modifier)),0)</f>
        <v/>
      </c>
      <c r="H93" s="3">
        <f>IFERROR(LET(mtype,XLOOKUP($D93,'Move Editor'!$B:$B,'Move Editor'!$C:$C,""),cat,XLOOKUP($D93,'Move Editor'!$B:$B,'Move Editor'!$D:$D,""),pow,XLOOKUP($D93,'Move Editor'!$B:$B,'Move Editor'!$E:$E,0),acc,XLOOKUP($D93,'Move Editor'!$B:$B,'Move Editor'!$F:$F,100),atk,IF(cat="Physical",FLOOR((FLOOR(((2*XLOOKUP(XLOOKUP($K93,'Threshold Summary'!$Y:$Y,'Threshold Summary'!$K:$K,""),'Pokemon Editor'!$A:$A,'Pokemon Editor'!$F:$F,0)+31+FLOOR(XLOOKUP($K93,'Threshold Summary'!$Y:$Y,'Threshold Summary'!$P:$P,"")/4))*XLOOKUP($K93,'Threshold Summary'!$Y:$Y,'Threshold Summary'!$L:$L,""))/100)+5)*XLOOKUP(XLOOKUP($K93,'Threshold Summary'!$Y:$Y,'Threshold Summary'!$M:$M,""),'Nature Editor'!$A:$A,'Nature Editor'!$B:$B,1)),FLOOR((FLOOR(((2*XLOOKUP(XLOOKUP($K93,'Threshold Summary'!$Y:$Y,'Threshold Summary'!$K:$K,""),'Pokemon Editor'!$A:$A,'Pokemon Editor'!$H:$H,0)+31+FLOOR(XLOOKUP($K93,'Threshold Summary'!$Y:$Y,'Threshold Summary'!$R:$R,"")/4))*XLOOKUP($K93,'Threshold Summary'!$Y:$Y,'Threshold Summary'!$L:$L,""))/100)+5)*XLOOKUP(XLOOKUP($K93,'Threshold Summary'!$Y:$Y,'Threshold Summary'!$M:$M,""),'Nature Editor'!$A:$A,'Nature Editor'!$D:$D,1))),def,IF(cat="Physical",FLOOR((FLOOR(((2*XLOOKUP($L93,'Pokemon Editor'!$A:$A,'Pokemon Editor'!$G:$G,0)+31+FLOOR(XLOOKUP($L93,'Boss Editor'!$C:$C,'Boss Editor'!$I:$I,"")/4))*XLOOKUP($L93,'Boss Editor'!$C:$C,'Boss Editor'!$D:$D,""))/100)+5)*XLOOKUP(XLOOKUP($L93,'Boss Editor'!$C:$C,'Boss Editor'!$E:$E,""),'Nature Editor'!$A:$A,'Nature Editor'!$C:$C,1)),FLOOR((FLOOR(((2*XLOOKUP($L93,'Pokemon Editor'!$A:$A,'Pokemon Editor'!$I:$I,0)+31+FLOOR(XLOOKUP($L93,'Boss Editor'!$C:$C,'Boss Editor'!$K:$K,"")/4))*XLOOKUP($L93,'Boss Editor'!$C:$C,'Boss Editor'!$D:$D,""))/100)+5)*XLOOKUP(XLOOKUP($L93,'Boss Editor'!$C:$C,'Boss Editor'!$E:$E,""),'Nature Editor'!$A:$A,'Nature Editor'!$E:$E,1))),stab,IF(OR(mtype=XLOOKUP(XLOOKUP($K93,'Threshold Summary'!$Y:$Y,'Threshold Summary'!$K:$K,""),'Pokemon Editor'!$A:$A,'Pokemon Editor'!$C:$C,""),mtype=XLOOKUP(XLOOKUP($K93,'Threshold Summary'!$Y:$Y,'Threshold Summary'!$K:$K,""),'Pokemon Editor'!$A:$A,'Pokemon Editor'!$D:$D,"")),1.5,1),eff,(INDEX('Type Chart'!$B:$S,MATCH(mtype,'Type Chart'!$A:$A,0),MATCH(XLOOKUP($L93,'Pokemon Editor'!$A:$A,'Pokemon Editor'!$C:$C,""),'Type Chart'!$B$1:$S$1,0))*IF(XLOOKUP($L93,'Pokemon Editor'!$A:$A,'Pokemon Editor'!$D:$D,"")="",1,INDEX('Type Chart'!$B:$S,MATCH(mtype,'Type Chart'!$A:$A,0),MATCH(XLOOKUP($L93,'Pokemon Editor'!$A:$A,'Pokemon Editor'!$D:$D,""),'Type Chart'!$B$1:$S$1,0)))),base,IF(OR(cat="Status",pow=0),0,FLOOR(FLOOR(FLOOR((2*XLOOKUP($K93,'Threshold Summary'!$Y:$Y,'Threshold Summary'!$L:$L,"")/5+2)*pow*atk/def)/50)+2)),modifier,stab*eff,AVERAGE(ARRAYFORMULA(FLOOR(base*modifier*SEQUENCE(16,1,85,1)/100)))),0)</f>
        <v/>
      </c>
      <c r="I93" s="4">
        <f>IFERROR(LET(mtype,XLOOKUP($D93,'Move Editor'!$B:$B,'Move Editor'!$C:$C,""),cat,XLOOKUP($D93,'Move Editor'!$B:$B,'Move Editor'!$D:$D,""),pow,XLOOKUP($D93,'Move Editor'!$B:$B,'Move Editor'!$E:$E,0),acc,XLOOKUP($D93,'Move Editor'!$B:$B,'Move Editor'!$F:$F,100),atk,IF(cat="Physical",FLOOR((FLOOR(((2*XLOOKUP(XLOOKUP($K93,'Threshold Summary'!$Y:$Y,'Threshold Summary'!$K:$K,""),'Pokemon Editor'!$A:$A,'Pokemon Editor'!$F:$F,0)+31+FLOOR(XLOOKUP($K93,'Threshold Summary'!$Y:$Y,'Threshold Summary'!$P:$P,"")/4))*XLOOKUP($K93,'Threshold Summary'!$Y:$Y,'Threshold Summary'!$L:$L,""))/100)+5)*XLOOKUP(XLOOKUP($K93,'Threshold Summary'!$Y:$Y,'Threshold Summary'!$M:$M,""),'Nature Editor'!$A:$A,'Nature Editor'!$B:$B,1)),FLOOR((FLOOR(((2*XLOOKUP(XLOOKUP($K93,'Threshold Summary'!$Y:$Y,'Threshold Summary'!$K:$K,""),'Pokemon Editor'!$A:$A,'Pokemon Editor'!$H:$H,0)+31+FLOOR(XLOOKUP($K93,'Threshold Summary'!$Y:$Y,'Threshold Summary'!$R:$R,"")/4))*XLOOKUP($K93,'Threshold Summary'!$Y:$Y,'Threshold Summary'!$L:$L,""))/100)+5)*XLOOKUP(XLOOKUP($K93,'Threshold Summary'!$Y:$Y,'Threshold Summary'!$M:$M,""),'Nature Editor'!$A:$A,'Nature Editor'!$D:$D,1))),def,IF(cat="Physical",FLOOR((FLOOR(((2*XLOOKUP($L93,'Pokemon Editor'!$A:$A,'Pokemon Editor'!$G:$G,0)+31+FLOOR(XLOOKUP($L93,'Boss Editor'!$C:$C,'Boss Editor'!$I:$I,"")/4))*XLOOKUP($L93,'Boss Editor'!$C:$C,'Boss Editor'!$D:$D,""))/100)+5)*XLOOKUP(XLOOKUP($L93,'Boss Editor'!$C:$C,'Boss Editor'!$E:$E,""),'Nature Editor'!$A:$A,'Nature Editor'!$C:$C,1)),FLOOR((FLOOR(((2*XLOOKUP($L93,'Pokemon Editor'!$A:$A,'Pokemon Editor'!$I:$I,0)+31+FLOOR(XLOOKUP($L93,'Boss Editor'!$C:$C,'Boss Editor'!$K:$K,"")/4))*XLOOKUP($L93,'Boss Editor'!$C:$C,'Boss Editor'!$D:$D,""))/100)+5)*XLOOKUP(XLOOKUP($L93,'Boss Editor'!$C:$C,'Boss Editor'!$E:$E,""),'Nature Editor'!$A:$A,'Nature Editor'!$E:$E,1))),stab,IF(OR(mtype=XLOOKUP(XLOOKUP($K93,'Threshold Summary'!$Y:$Y,'Threshold Summary'!$K:$K,""),'Pokemon Editor'!$A:$A,'Pokemon Editor'!$C:$C,""),mtype=XLOOKUP(XLOOKUP($K93,'Threshold Summary'!$Y:$Y,'Threshold Summary'!$K:$K,""),'Pokemon Editor'!$A:$A,'Pokemon Editor'!$D:$D,"")),1.5,1),eff,(INDEX('Type Chart'!$B:$S,MATCH(mtype,'Type Chart'!$A:$A,0),MATCH(XLOOKUP($L93,'Pokemon Editor'!$A:$A,'Pokemon Editor'!$C:$C,""),'Type Chart'!$B$1:$S$1,0))*IF(XLOOKUP($L93,'Pokemon Editor'!$A:$A,'Pokemon Editor'!$D:$D,"")="",1,INDEX('Type Chart'!$B:$S,MATCH(mtype,'Type Chart'!$A:$A,0),MATCH(XLOOKUP($L93,'Pokemon Editor'!$A:$A,'Pokemon Editor'!$D:$D,""),'Type Chart'!$B$1:$S$1,0)))),base,IF(OR(cat="Status",pow=0),0,FLOOR(FLOOR(FLOOR((2*XLOOKUP($K93,'Threshold Summary'!$Y:$Y,'Threshold Summary'!$L:$L,"")/5+2)*pow*atk/def)/50)+2)),modifier,stab*eff,AVERAGE(ARRAYFORMULA(FLOOR(base*modifier*SEQUENCE(16,1,85,1)/100)))/(FLOOR(((2*XLOOKUP($L93,'Pokemon Editor'!$A:$A,'Pokemon Editor'!$E:$E,0)+31+FLOOR(XLOOKUP($L93,'Boss Editor'!$C:$C,'Boss Editor'!$G:$G,"")/4))*XLOOKUP($L93,'Boss Editor'!$C:$C,'Boss Editor'!$D:$D,""))/100)+XLOOKUP($L93,'Boss Editor'!$C:$C,'Boss Editor'!$D:$D,"")+10)),0)</f>
        <v/>
      </c>
      <c r="J93" s="3">
        <f>IF(I93&gt;=1,"OHKO",IF(I93&gt;=0.5,"2HKO",IF(I93&gt;=0.333,"3HKO",IF(I93&gt;=0.25,"4HKO","5HKO+"))))</f>
        <v/>
      </c>
      <c r="K93" s="3" t="inlineStr">
        <is>
          <t>SPECIES_WATTREL</t>
        </is>
      </c>
      <c r="L93" s="3" t="inlineStr">
        <is>
          <t>SPECIES_ANORITH</t>
        </is>
      </c>
    </row>
    <row r="94">
      <c r="A94" s="3">
        <f>XLOOKUP($K94,'Threshold Summary'!$Y:$Y,'Threshold Summary'!$A:$A,"")</f>
        <v/>
      </c>
      <c r="B94" s="3" t="inlineStr">
        <is>
          <t>Lileep</t>
        </is>
      </c>
      <c r="C94" s="3">
        <f>XLOOKUP($L94,'Boss Editor'!$C:$C,'Boss Editor'!$D:$D,"")</f>
        <v/>
      </c>
      <c r="D94" s="3">
        <f>XLOOKUP($K94,'Threshold Summary'!$Y:$Y,'Threshold Summary'!$B:$B,"")</f>
        <v/>
      </c>
      <c r="E94" s="3">
        <f>XLOOKUP(D94,'Move Editor'!$B:$B,'Move Editor'!$C:$C,"")</f>
        <v/>
      </c>
      <c r="F94" s="3">
        <f>IFERROR(LET(mtype,XLOOKUP($D94,'Move Editor'!$B:$B,'Move Editor'!$C:$C,""),cat,XLOOKUP($D94,'Move Editor'!$B:$B,'Move Editor'!$D:$D,""),pow,XLOOKUP($D94,'Move Editor'!$B:$B,'Move Editor'!$E:$E,0),acc,XLOOKUP($D94,'Move Editor'!$B:$B,'Move Editor'!$F:$F,100),atk,IF(cat="Physical",FLOOR((FLOOR(((2*XLOOKUP(XLOOKUP($K94,'Threshold Summary'!$Y:$Y,'Threshold Summary'!$K:$K,""),'Pokemon Editor'!$A:$A,'Pokemon Editor'!$F:$F,0)+31+FLOOR(XLOOKUP($K94,'Threshold Summary'!$Y:$Y,'Threshold Summary'!$P:$P,"")/4))*XLOOKUP($K94,'Threshold Summary'!$Y:$Y,'Threshold Summary'!$L:$L,""))/100)+5)*XLOOKUP(XLOOKUP($K94,'Threshold Summary'!$Y:$Y,'Threshold Summary'!$M:$M,""),'Nature Editor'!$A:$A,'Nature Editor'!$B:$B,1)),FLOOR((FLOOR(((2*XLOOKUP(XLOOKUP($K94,'Threshold Summary'!$Y:$Y,'Threshold Summary'!$K:$K,""),'Pokemon Editor'!$A:$A,'Pokemon Editor'!$H:$H,0)+31+FLOOR(XLOOKUP($K94,'Threshold Summary'!$Y:$Y,'Threshold Summary'!$R:$R,"")/4))*XLOOKUP($K94,'Threshold Summary'!$Y:$Y,'Threshold Summary'!$L:$L,""))/100)+5)*XLOOKUP(XLOOKUP($K94,'Threshold Summary'!$Y:$Y,'Threshold Summary'!$M:$M,""),'Nature Editor'!$A:$A,'Nature Editor'!$D:$D,1))),def,IF(cat="Physical",FLOOR((FLOOR(((2*XLOOKUP($L94,'Pokemon Editor'!$A:$A,'Pokemon Editor'!$G:$G,0)+31+FLOOR(XLOOKUP($L94,'Boss Editor'!$C:$C,'Boss Editor'!$I:$I,"")/4))*XLOOKUP($L94,'Boss Editor'!$C:$C,'Boss Editor'!$D:$D,""))/100)+5)*XLOOKUP(XLOOKUP($L94,'Boss Editor'!$C:$C,'Boss Editor'!$E:$E,""),'Nature Editor'!$A:$A,'Nature Editor'!$C:$C,1)),FLOOR((FLOOR(((2*XLOOKUP($L94,'Pokemon Editor'!$A:$A,'Pokemon Editor'!$I:$I,0)+31+FLOOR(XLOOKUP($L94,'Boss Editor'!$C:$C,'Boss Editor'!$K:$K,"")/4))*XLOOKUP($L94,'Boss Editor'!$C:$C,'Boss Editor'!$D:$D,""))/100)+5)*XLOOKUP(XLOOKUP($L94,'Boss Editor'!$C:$C,'Boss Editor'!$E:$E,""),'Nature Editor'!$A:$A,'Nature Editor'!$E:$E,1))),stab,IF(OR(mtype=XLOOKUP(XLOOKUP($K94,'Threshold Summary'!$Y:$Y,'Threshold Summary'!$K:$K,""),'Pokemon Editor'!$A:$A,'Pokemon Editor'!$C:$C,""),mtype=XLOOKUP(XLOOKUP($K94,'Threshold Summary'!$Y:$Y,'Threshold Summary'!$K:$K,""),'Pokemon Editor'!$A:$A,'Pokemon Editor'!$D:$D,"")),1.5,1),eff,(INDEX('Type Chart'!$B:$S,MATCH(mtype,'Type Chart'!$A:$A,0),MATCH(XLOOKUP($L94,'Pokemon Editor'!$A:$A,'Pokemon Editor'!$C:$C,""),'Type Chart'!$B$1:$S$1,0))*IF(XLOOKUP($L94,'Pokemon Editor'!$A:$A,'Pokemon Editor'!$D:$D,"")="",1,INDEX('Type Chart'!$B:$S,MATCH(mtype,'Type Chart'!$A:$A,0),MATCH(XLOOKUP($L94,'Pokemon Editor'!$A:$A,'Pokemon Editor'!$D:$D,""),'Type Chart'!$B$1:$S$1,0)))),base,IF(OR(cat="Status",pow=0),0,FLOOR(FLOOR(FLOOR((2*XLOOKUP($K94,'Threshold Summary'!$Y:$Y,'Threshold Summary'!$L:$L,"")/5+2)*pow*atk/def)/50)+2)),modifier,stab*eff,FLOOR(base*modifier*0.85)),0)</f>
        <v/>
      </c>
      <c r="G94" s="3">
        <f>IFERROR(LET(mtype,XLOOKUP($D94,'Move Editor'!$B:$B,'Move Editor'!$C:$C,""),cat,XLOOKUP($D94,'Move Editor'!$B:$B,'Move Editor'!$D:$D,""),pow,XLOOKUP($D94,'Move Editor'!$B:$B,'Move Editor'!$E:$E,0),acc,XLOOKUP($D94,'Move Editor'!$B:$B,'Move Editor'!$F:$F,100),atk,IF(cat="Physical",FLOOR((FLOOR(((2*XLOOKUP(XLOOKUP($K94,'Threshold Summary'!$Y:$Y,'Threshold Summary'!$K:$K,""),'Pokemon Editor'!$A:$A,'Pokemon Editor'!$F:$F,0)+31+FLOOR(XLOOKUP($K94,'Threshold Summary'!$Y:$Y,'Threshold Summary'!$P:$P,"")/4))*XLOOKUP($K94,'Threshold Summary'!$Y:$Y,'Threshold Summary'!$L:$L,""))/100)+5)*XLOOKUP(XLOOKUP($K94,'Threshold Summary'!$Y:$Y,'Threshold Summary'!$M:$M,""),'Nature Editor'!$A:$A,'Nature Editor'!$B:$B,1)),FLOOR((FLOOR(((2*XLOOKUP(XLOOKUP($K94,'Threshold Summary'!$Y:$Y,'Threshold Summary'!$K:$K,""),'Pokemon Editor'!$A:$A,'Pokemon Editor'!$H:$H,0)+31+FLOOR(XLOOKUP($K94,'Threshold Summary'!$Y:$Y,'Threshold Summary'!$R:$R,"")/4))*XLOOKUP($K94,'Threshold Summary'!$Y:$Y,'Threshold Summary'!$L:$L,""))/100)+5)*XLOOKUP(XLOOKUP($K94,'Threshold Summary'!$Y:$Y,'Threshold Summary'!$M:$M,""),'Nature Editor'!$A:$A,'Nature Editor'!$D:$D,1))),def,IF(cat="Physical",FLOOR((FLOOR(((2*XLOOKUP($L94,'Pokemon Editor'!$A:$A,'Pokemon Editor'!$G:$G,0)+31+FLOOR(XLOOKUP($L94,'Boss Editor'!$C:$C,'Boss Editor'!$I:$I,"")/4))*XLOOKUP($L94,'Boss Editor'!$C:$C,'Boss Editor'!$D:$D,""))/100)+5)*XLOOKUP(XLOOKUP($L94,'Boss Editor'!$C:$C,'Boss Editor'!$E:$E,""),'Nature Editor'!$A:$A,'Nature Editor'!$C:$C,1)),FLOOR((FLOOR(((2*XLOOKUP($L94,'Pokemon Editor'!$A:$A,'Pokemon Editor'!$I:$I,0)+31+FLOOR(XLOOKUP($L94,'Boss Editor'!$C:$C,'Boss Editor'!$K:$K,"")/4))*XLOOKUP($L94,'Boss Editor'!$C:$C,'Boss Editor'!$D:$D,""))/100)+5)*XLOOKUP(XLOOKUP($L94,'Boss Editor'!$C:$C,'Boss Editor'!$E:$E,""),'Nature Editor'!$A:$A,'Nature Editor'!$E:$E,1))),stab,IF(OR(mtype=XLOOKUP(XLOOKUP($K94,'Threshold Summary'!$Y:$Y,'Threshold Summary'!$K:$K,""),'Pokemon Editor'!$A:$A,'Pokemon Editor'!$C:$C,""),mtype=XLOOKUP(XLOOKUP($K94,'Threshold Summary'!$Y:$Y,'Threshold Summary'!$K:$K,""),'Pokemon Editor'!$A:$A,'Pokemon Editor'!$D:$D,"")),1.5,1),eff,(INDEX('Type Chart'!$B:$S,MATCH(mtype,'Type Chart'!$A:$A,0),MATCH(XLOOKUP($L94,'Pokemon Editor'!$A:$A,'Pokemon Editor'!$C:$C,""),'Type Chart'!$B$1:$S$1,0))*IF(XLOOKUP($L94,'Pokemon Editor'!$A:$A,'Pokemon Editor'!$D:$D,"")="",1,INDEX('Type Chart'!$B:$S,MATCH(mtype,'Type Chart'!$A:$A,0),MATCH(XLOOKUP($L94,'Pokemon Editor'!$A:$A,'Pokemon Editor'!$D:$D,""),'Type Chart'!$B$1:$S$1,0)))),base,IF(OR(cat="Status",pow=0),0,FLOOR(FLOOR(FLOOR((2*XLOOKUP($K94,'Threshold Summary'!$Y:$Y,'Threshold Summary'!$L:$L,"")/5+2)*pow*atk/def)/50)+2)),modifier,stab*eff,FLOOR(base*modifier)),0)</f>
        <v/>
      </c>
      <c r="H94" s="3">
        <f>IFERROR(LET(mtype,XLOOKUP($D94,'Move Editor'!$B:$B,'Move Editor'!$C:$C,""),cat,XLOOKUP($D94,'Move Editor'!$B:$B,'Move Editor'!$D:$D,""),pow,XLOOKUP($D94,'Move Editor'!$B:$B,'Move Editor'!$E:$E,0),acc,XLOOKUP($D94,'Move Editor'!$B:$B,'Move Editor'!$F:$F,100),atk,IF(cat="Physical",FLOOR((FLOOR(((2*XLOOKUP(XLOOKUP($K94,'Threshold Summary'!$Y:$Y,'Threshold Summary'!$K:$K,""),'Pokemon Editor'!$A:$A,'Pokemon Editor'!$F:$F,0)+31+FLOOR(XLOOKUP($K94,'Threshold Summary'!$Y:$Y,'Threshold Summary'!$P:$P,"")/4))*XLOOKUP($K94,'Threshold Summary'!$Y:$Y,'Threshold Summary'!$L:$L,""))/100)+5)*XLOOKUP(XLOOKUP($K94,'Threshold Summary'!$Y:$Y,'Threshold Summary'!$M:$M,""),'Nature Editor'!$A:$A,'Nature Editor'!$B:$B,1)),FLOOR((FLOOR(((2*XLOOKUP(XLOOKUP($K94,'Threshold Summary'!$Y:$Y,'Threshold Summary'!$K:$K,""),'Pokemon Editor'!$A:$A,'Pokemon Editor'!$H:$H,0)+31+FLOOR(XLOOKUP($K94,'Threshold Summary'!$Y:$Y,'Threshold Summary'!$R:$R,"")/4))*XLOOKUP($K94,'Threshold Summary'!$Y:$Y,'Threshold Summary'!$L:$L,""))/100)+5)*XLOOKUP(XLOOKUP($K94,'Threshold Summary'!$Y:$Y,'Threshold Summary'!$M:$M,""),'Nature Editor'!$A:$A,'Nature Editor'!$D:$D,1))),def,IF(cat="Physical",FLOOR((FLOOR(((2*XLOOKUP($L94,'Pokemon Editor'!$A:$A,'Pokemon Editor'!$G:$G,0)+31+FLOOR(XLOOKUP($L94,'Boss Editor'!$C:$C,'Boss Editor'!$I:$I,"")/4))*XLOOKUP($L94,'Boss Editor'!$C:$C,'Boss Editor'!$D:$D,""))/100)+5)*XLOOKUP(XLOOKUP($L94,'Boss Editor'!$C:$C,'Boss Editor'!$E:$E,""),'Nature Editor'!$A:$A,'Nature Editor'!$C:$C,1)),FLOOR((FLOOR(((2*XLOOKUP($L94,'Pokemon Editor'!$A:$A,'Pokemon Editor'!$I:$I,0)+31+FLOOR(XLOOKUP($L94,'Boss Editor'!$C:$C,'Boss Editor'!$K:$K,"")/4))*XLOOKUP($L94,'Boss Editor'!$C:$C,'Boss Editor'!$D:$D,""))/100)+5)*XLOOKUP(XLOOKUP($L94,'Boss Editor'!$C:$C,'Boss Editor'!$E:$E,""),'Nature Editor'!$A:$A,'Nature Editor'!$E:$E,1))),stab,IF(OR(mtype=XLOOKUP(XLOOKUP($K94,'Threshold Summary'!$Y:$Y,'Threshold Summary'!$K:$K,""),'Pokemon Editor'!$A:$A,'Pokemon Editor'!$C:$C,""),mtype=XLOOKUP(XLOOKUP($K94,'Threshold Summary'!$Y:$Y,'Threshold Summary'!$K:$K,""),'Pokemon Editor'!$A:$A,'Pokemon Editor'!$D:$D,"")),1.5,1),eff,(INDEX('Type Chart'!$B:$S,MATCH(mtype,'Type Chart'!$A:$A,0),MATCH(XLOOKUP($L94,'Pokemon Editor'!$A:$A,'Pokemon Editor'!$C:$C,""),'Type Chart'!$B$1:$S$1,0))*IF(XLOOKUP($L94,'Pokemon Editor'!$A:$A,'Pokemon Editor'!$D:$D,"")="",1,INDEX('Type Chart'!$B:$S,MATCH(mtype,'Type Chart'!$A:$A,0),MATCH(XLOOKUP($L94,'Pokemon Editor'!$A:$A,'Pokemon Editor'!$D:$D,""),'Type Chart'!$B$1:$S$1,0)))),base,IF(OR(cat="Status",pow=0),0,FLOOR(FLOOR(FLOOR((2*XLOOKUP($K94,'Threshold Summary'!$Y:$Y,'Threshold Summary'!$L:$L,"")/5+2)*pow*atk/def)/50)+2)),modifier,stab*eff,AVERAGE(ARRAYFORMULA(FLOOR(base*modifier*SEQUENCE(16,1,85,1)/100)))),0)</f>
        <v/>
      </c>
      <c r="I94" s="4">
        <f>IFERROR(LET(mtype,XLOOKUP($D94,'Move Editor'!$B:$B,'Move Editor'!$C:$C,""),cat,XLOOKUP($D94,'Move Editor'!$B:$B,'Move Editor'!$D:$D,""),pow,XLOOKUP($D94,'Move Editor'!$B:$B,'Move Editor'!$E:$E,0),acc,XLOOKUP($D94,'Move Editor'!$B:$B,'Move Editor'!$F:$F,100),atk,IF(cat="Physical",FLOOR((FLOOR(((2*XLOOKUP(XLOOKUP($K94,'Threshold Summary'!$Y:$Y,'Threshold Summary'!$K:$K,""),'Pokemon Editor'!$A:$A,'Pokemon Editor'!$F:$F,0)+31+FLOOR(XLOOKUP($K94,'Threshold Summary'!$Y:$Y,'Threshold Summary'!$P:$P,"")/4))*XLOOKUP($K94,'Threshold Summary'!$Y:$Y,'Threshold Summary'!$L:$L,""))/100)+5)*XLOOKUP(XLOOKUP($K94,'Threshold Summary'!$Y:$Y,'Threshold Summary'!$M:$M,""),'Nature Editor'!$A:$A,'Nature Editor'!$B:$B,1)),FLOOR((FLOOR(((2*XLOOKUP(XLOOKUP($K94,'Threshold Summary'!$Y:$Y,'Threshold Summary'!$K:$K,""),'Pokemon Editor'!$A:$A,'Pokemon Editor'!$H:$H,0)+31+FLOOR(XLOOKUP($K94,'Threshold Summary'!$Y:$Y,'Threshold Summary'!$R:$R,"")/4))*XLOOKUP($K94,'Threshold Summary'!$Y:$Y,'Threshold Summary'!$L:$L,""))/100)+5)*XLOOKUP(XLOOKUP($K94,'Threshold Summary'!$Y:$Y,'Threshold Summary'!$M:$M,""),'Nature Editor'!$A:$A,'Nature Editor'!$D:$D,1))),def,IF(cat="Physical",FLOOR((FLOOR(((2*XLOOKUP($L94,'Pokemon Editor'!$A:$A,'Pokemon Editor'!$G:$G,0)+31+FLOOR(XLOOKUP($L94,'Boss Editor'!$C:$C,'Boss Editor'!$I:$I,"")/4))*XLOOKUP($L94,'Boss Editor'!$C:$C,'Boss Editor'!$D:$D,""))/100)+5)*XLOOKUP(XLOOKUP($L94,'Boss Editor'!$C:$C,'Boss Editor'!$E:$E,""),'Nature Editor'!$A:$A,'Nature Editor'!$C:$C,1)),FLOOR((FLOOR(((2*XLOOKUP($L94,'Pokemon Editor'!$A:$A,'Pokemon Editor'!$I:$I,0)+31+FLOOR(XLOOKUP($L94,'Boss Editor'!$C:$C,'Boss Editor'!$K:$K,"")/4))*XLOOKUP($L94,'Boss Editor'!$C:$C,'Boss Editor'!$D:$D,""))/100)+5)*XLOOKUP(XLOOKUP($L94,'Boss Editor'!$C:$C,'Boss Editor'!$E:$E,""),'Nature Editor'!$A:$A,'Nature Editor'!$E:$E,1))),stab,IF(OR(mtype=XLOOKUP(XLOOKUP($K94,'Threshold Summary'!$Y:$Y,'Threshold Summary'!$K:$K,""),'Pokemon Editor'!$A:$A,'Pokemon Editor'!$C:$C,""),mtype=XLOOKUP(XLOOKUP($K94,'Threshold Summary'!$Y:$Y,'Threshold Summary'!$K:$K,""),'Pokemon Editor'!$A:$A,'Pokemon Editor'!$D:$D,"")),1.5,1),eff,(INDEX('Type Chart'!$B:$S,MATCH(mtype,'Type Chart'!$A:$A,0),MATCH(XLOOKUP($L94,'Pokemon Editor'!$A:$A,'Pokemon Editor'!$C:$C,""),'Type Chart'!$B$1:$S$1,0))*IF(XLOOKUP($L94,'Pokemon Editor'!$A:$A,'Pokemon Editor'!$D:$D,"")="",1,INDEX('Type Chart'!$B:$S,MATCH(mtype,'Type Chart'!$A:$A,0),MATCH(XLOOKUP($L94,'Pokemon Editor'!$A:$A,'Pokemon Editor'!$D:$D,""),'Type Chart'!$B$1:$S$1,0)))),base,IF(OR(cat="Status",pow=0),0,FLOOR(FLOOR(FLOOR((2*XLOOKUP($K94,'Threshold Summary'!$Y:$Y,'Threshold Summary'!$L:$L,"")/5+2)*pow*atk/def)/50)+2)),modifier,stab*eff,AVERAGE(ARRAYFORMULA(FLOOR(base*modifier*SEQUENCE(16,1,85,1)/100)))/(FLOOR(((2*XLOOKUP($L94,'Pokemon Editor'!$A:$A,'Pokemon Editor'!$E:$E,0)+31+FLOOR(XLOOKUP($L94,'Boss Editor'!$C:$C,'Boss Editor'!$G:$G,"")/4))*XLOOKUP($L94,'Boss Editor'!$C:$C,'Boss Editor'!$D:$D,""))/100)+XLOOKUP($L94,'Boss Editor'!$C:$C,'Boss Editor'!$D:$D,"")+10)),0)</f>
        <v/>
      </c>
      <c r="J94" s="3">
        <f>IF(I94&gt;=1,"OHKO",IF(I94&gt;=0.5,"2HKO",IF(I94&gt;=0.333,"3HKO",IF(I94&gt;=0.25,"4HKO","5HKO+"))))</f>
        <v/>
      </c>
      <c r="K94" s="3" t="inlineStr">
        <is>
          <t>SPECIES_WATTREL</t>
        </is>
      </c>
      <c r="L94" s="3" t="inlineStr">
        <is>
          <t>SPECIES_LILEEP</t>
        </is>
      </c>
    </row>
    <row r="95">
      <c r="A95" s="3">
        <f>XLOOKUP($K95,'Threshold Summary'!$Y:$Y,'Threshold Summary'!$A:$A,"")</f>
        <v/>
      </c>
      <c r="B95" s="3" t="inlineStr">
        <is>
          <t>Tirtouga</t>
        </is>
      </c>
      <c r="C95" s="3">
        <f>XLOOKUP($L95,'Boss Editor'!$C:$C,'Boss Editor'!$D:$D,"")</f>
        <v/>
      </c>
      <c r="D95" s="3">
        <f>XLOOKUP($K95,'Threshold Summary'!$Y:$Y,'Threshold Summary'!$B:$B,"")</f>
        <v/>
      </c>
      <c r="E95" s="3">
        <f>XLOOKUP(D95,'Move Editor'!$B:$B,'Move Editor'!$C:$C,"")</f>
        <v/>
      </c>
      <c r="F95" s="3">
        <f>IFERROR(LET(mtype,XLOOKUP($D95,'Move Editor'!$B:$B,'Move Editor'!$C:$C,""),cat,XLOOKUP($D95,'Move Editor'!$B:$B,'Move Editor'!$D:$D,""),pow,XLOOKUP($D95,'Move Editor'!$B:$B,'Move Editor'!$E:$E,0),acc,XLOOKUP($D95,'Move Editor'!$B:$B,'Move Editor'!$F:$F,100),atk,IF(cat="Physical",FLOOR((FLOOR(((2*XLOOKUP(XLOOKUP($K95,'Threshold Summary'!$Y:$Y,'Threshold Summary'!$K:$K,""),'Pokemon Editor'!$A:$A,'Pokemon Editor'!$F:$F,0)+31+FLOOR(XLOOKUP($K95,'Threshold Summary'!$Y:$Y,'Threshold Summary'!$P:$P,"")/4))*XLOOKUP($K95,'Threshold Summary'!$Y:$Y,'Threshold Summary'!$L:$L,""))/100)+5)*XLOOKUP(XLOOKUP($K95,'Threshold Summary'!$Y:$Y,'Threshold Summary'!$M:$M,""),'Nature Editor'!$A:$A,'Nature Editor'!$B:$B,1)),FLOOR((FLOOR(((2*XLOOKUP(XLOOKUP($K95,'Threshold Summary'!$Y:$Y,'Threshold Summary'!$K:$K,""),'Pokemon Editor'!$A:$A,'Pokemon Editor'!$H:$H,0)+31+FLOOR(XLOOKUP($K95,'Threshold Summary'!$Y:$Y,'Threshold Summary'!$R:$R,"")/4))*XLOOKUP($K95,'Threshold Summary'!$Y:$Y,'Threshold Summary'!$L:$L,""))/100)+5)*XLOOKUP(XLOOKUP($K95,'Threshold Summary'!$Y:$Y,'Threshold Summary'!$M:$M,""),'Nature Editor'!$A:$A,'Nature Editor'!$D:$D,1))),def,IF(cat="Physical",FLOOR((FLOOR(((2*XLOOKUP($L95,'Pokemon Editor'!$A:$A,'Pokemon Editor'!$G:$G,0)+31+FLOOR(XLOOKUP($L95,'Boss Editor'!$C:$C,'Boss Editor'!$I:$I,"")/4))*XLOOKUP($L95,'Boss Editor'!$C:$C,'Boss Editor'!$D:$D,""))/100)+5)*XLOOKUP(XLOOKUP($L95,'Boss Editor'!$C:$C,'Boss Editor'!$E:$E,""),'Nature Editor'!$A:$A,'Nature Editor'!$C:$C,1)),FLOOR((FLOOR(((2*XLOOKUP($L95,'Pokemon Editor'!$A:$A,'Pokemon Editor'!$I:$I,0)+31+FLOOR(XLOOKUP($L95,'Boss Editor'!$C:$C,'Boss Editor'!$K:$K,"")/4))*XLOOKUP($L95,'Boss Editor'!$C:$C,'Boss Editor'!$D:$D,""))/100)+5)*XLOOKUP(XLOOKUP($L95,'Boss Editor'!$C:$C,'Boss Editor'!$E:$E,""),'Nature Editor'!$A:$A,'Nature Editor'!$E:$E,1))),stab,IF(OR(mtype=XLOOKUP(XLOOKUP($K95,'Threshold Summary'!$Y:$Y,'Threshold Summary'!$K:$K,""),'Pokemon Editor'!$A:$A,'Pokemon Editor'!$C:$C,""),mtype=XLOOKUP(XLOOKUP($K95,'Threshold Summary'!$Y:$Y,'Threshold Summary'!$K:$K,""),'Pokemon Editor'!$A:$A,'Pokemon Editor'!$D:$D,"")),1.5,1),eff,(INDEX('Type Chart'!$B:$S,MATCH(mtype,'Type Chart'!$A:$A,0),MATCH(XLOOKUP($L95,'Pokemon Editor'!$A:$A,'Pokemon Editor'!$C:$C,""),'Type Chart'!$B$1:$S$1,0))*IF(XLOOKUP($L95,'Pokemon Editor'!$A:$A,'Pokemon Editor'!$D:$D,"")="",1,INDEX('Type Chart'!$B:$S,MATCH(mtype,'Type Chart'!$A:$A,0),MATCH(XLOOKUP($L95,'Pokemon Editor'!$A:$A,'Pokemon Editor'!$D:$D,""),'Type Chart'!$B$1:$S$1,0)))),base,IF(OR(cat="Status",pow=0),0,FLOOR(FLOOR(FLOOR((2*XLOOKUP($K95,'Threshold Summary'!$Y:$Y,'Threshold Summary'!$L:$L,"")/5+2)*pow*atk/def)/50)+2)),modifier,stab*eff,FLOOR(base*modifier*0.85)),0)</f>
        <v/>
      </c>
      <c r="G95" s="3">
        <f>IFERROR(LET(mtype,XLOOKUP($D95,'Move Editor'!$B:$B,'Move Editor'!$C:$C,""),cat,XLOOKUP($D95,'Move Editor'!$B:$B,'Move Editor'!$D:$D,""),pow,XLOOKUP($D95,'Move Editor'!$B:$B,'Move Editor'!$E:$E,0),acc,XLOOKUP($D95,'Move Editor'!$B:$B,'Move Editor'!$F:$F,100),atk,IF(cat="Physical",FLOOR((FLOOR(((2*XLOOKUP(XLOOKUP($K95,'Threshold Summary'!$Y:$Y,'Threshold Summary'!$K:$K,""),'Pokemon Editor'!$A:$A,'Pokemon Editor'!$F:$F,0)+31+FLOOR(XLOOKUP($K95,'Threshold Summary'!$Y:$Y,'Threshold Summary'!$P:$P,"")/4))*XLOOKUP($K95,'Threshold Summary'!$Y:$Y,'Threshold Summary'!$L:$L,""))/100)+5)*XLOOKUP(XLOOKUP($K95,'Threshold Summary'!$Y:$Y,'Threshold Summary'!$M:$M,""),'Nature Editor'!$A:$A,'Nature Editor'!$B:$B,1)),FLOOR((FLOOR(((2*XLOOKUP(XLOOKUP($K95,'Threshold Summary'!$Y:$Y,'Threshold Summary'!$K:$K,""),'Pokemon Editor'!$A:$A,'Pokemon Editor'!$H:$H,0)+31+FLOOR(XLOOKUP($K95,'Threshold Summary'!$Y:$Y,'Threshold Summary'!$R:$R,"")/4))*XLOOKUP($K95,'Threshold Summary'!$Y:$Y,'Threshold Summary'!$L:$L,""))/100)+5)*XLOOKUP(XLOOKUP($K95,'Threshold Summary'!$Y:$Y,'Threshold Summary'!$M:$M,""),'Nature Editor'!$A:$A,'Nature Editor'!$D:$D,1))),def,IF(cat="Physical",FLOOR((FLOOR(((2*XLOOKUP($L95,'Pokemon Editor'!$A:$A,'Pokemon Editor'!$G:$G,0)+31+FLOOR(XLOOKUP($L95,'Boss Editor'!$C:$C,'Boss Editor'!$I:$I,"")/4))*XLOOKUP($L95,'Boss Editor'!$C:$C,'Boss Editor'!$D:$D,""))/100)+5)*XLOOKUP(XLOOKUP($L95,'Boss Editor'!$C:$C,'Boss Editor'!$E:$E,""),'Nature Editor'!$A:$A,'Nature Editor'!$C:$C,1)),FLOOR((FLOOR(((2*XLOOKUP($L95,'Pokemon Editor'!$A:$A,'Pokemon Editor'!$I:$I,0)+31+FLOOR(XLOOKUP($L95,'Boss Editor'!$C:$C,'Boss Editor'!$K:$K,"")/4))*XLOOKUP($L95,'Boss Editor'!$C:$C,'Boss Editor'!$D:$D,""))/100)+5)*XLOOKUP(XLOOKUP($L95,'Boss Editor'!$C:$C,'Boss Editor'!$E:$E,""),'Nature Editor'!$A:$A,'Nature Editor'!$E:$E,1))),stab,IF(OR(mtype=XLOOKUP(XLOOKUP($K95,'Threshold Summary'!$Y:$Y,'Threshold Summary'!$K:$K,""),'Pokemon Editor'!$A:$A,'Pokemon Editor'!$C:$C,""),mtype=XLOOKUP(XLOOKUP($K95,'Threshold Summary'!$Y:$Y,'Threshold Summary'!$K:$K,""),'Pokemon Editor'!$A:$A,'Pokemon Editor'!$D:$D,"")),1.5,1),eff,(INDEX('Type Chart'!$B:$S,MATCH(mtype,'Type Chart'!$A:$A,0),MATCH(XLOOKUP($L95,'Pokemon Editor'!$A:$A,'Pokemon Editor'!$C:$C,""),'Type Chart'!$B$1:$S$1,0))*IF(XLOOKUP($L95,'Pokemon Editor'!$A:$A,'Pokemon Editor'!$D:$D,"")="",1,INDEX('Type Chart'!$B:$S,MATCH(mtype,'Type Chart'!$A:$A,0),MATCH(XLOOKUP($L95,'Pokemon Editor'!$A:$A,'Pokemon Editor'!$D:$D,""),'Type Chart'!$B$1:$S$1,0)))),base,IF(OR(cat="Status",pow=0),0,FLOOR(FLOOR(FLOOR((2*XLOOKUP($K95,'Threshold Summary'!$Y:$Y,'Threshold Summary'!$L:$L,"")/5+2)*pow*atk/def)/50)+2)),modifier,stab*eff,FLOOR(base*modifier)),0)</f>
        <v/>
      </c>
      <c r="H95" s="3">
        <f>IFERROR(LET(mtype,XLOOKUP($D95,'Move Editor'!$B:$B,'Move Editor'!$C:$C,""),cat,XLOOKUP($D95,'Move Editor'!$B:$B,'Move Editor'!$D:$D,""),pow,XLOOKUP($D95,'Move Editor'!$B:$B,'Move Editor'!$E:$E,0),acc,XLOOKUP($D95,'Move Editor'!$B:$B,'Move Editor'!$F:$F,100),atk,IF(cat="Physical",FLOOR((FLOOR(((2*XLOOKUP(XLOOKUP($K95,'Threshold Summary'!$Y:$Y,'Threshold Summary'!$K:$K,""),'Pokemon Editor'!$A:$A,'Pokemon Editor'!$F:$F,0)+31+FLOOR(XLOOKUP($K95,'Threshold Summary'!$Y:$Y,'Threshold Summary'!$P:$P,"")/4))*XLOOKUP($K95,'Threshold Summary'!$Y:$Y,'Threshold Summary'!$L:$L,""))/100)+5)*XLOOKUP(XLOOKUP($K95,'Threshold Summary'!$Y:$Y,'Threshold Summary'!$M:$M,""),'Nature Editor'!$A:$A,'Nature Editor'!$B:$B,1)),FLOOR((FLOOR(((2*XLOOKUP(XLOOKUP($K95,'Threshold Summary'!$Y:$Y,'Threshold Summary'!$K:$K,""),'Pokemon Editor'!$A:$A,'Pokemon Editor'!$H:$H,0)+31+FLOOR(XLOOKUP($K95,'Threshold Summary'!$Y:$Y,'Threshold Summary'!$R:$R,"")/4))*XLOOKUP($K95,'Threshold Summary'!$Y:$Y,'Threshold Summary'!$L:$L,""))/100)+5)*XLOOKUP(XLOOKUP($K95,'Threshold Summary'!$Y:$Y,'Threshold Summary'!$M:$M,""),'Nature Editor'!$A:$A,'Nature Editor'!$D:$D,1))),def,IF(cat="Physical",FLOOR((FLOOR(((2*XLOOKUP($L95,'Pokemon Editor'!$A:$A,'Pokemon Editor'!$G:$G,0)+31+FLOOR(XLOOKUP($L95,'Boss Editor'!$C:$C,'Boss Editor'!$I:$I,"")/4))*XLOOKUP($L95,'Boss Editor'!$C:$C,'Boss Editor'!$D:$D,""))/100)+5)*XLOOKUP(XLOOKUP($L95,'Boss Editor'!$C:$C,'Boss Editor'!$E:$E,""),'Nature Editor'!$A:$A,'Nature Editor'!$C:$C,1)),FLOOR((FLOOR(((2*XLOOKUP($L95,'Pokemon Editor'!$A:$A,'Pokemon Editor'!$I:$I,0)+31+FLOOR(XLOOKUP($L95,'Boss Editor'!$C:$C,'Boss Editor'!$K:$K,"")/4))*XLOOKUP($L95,'Boss Editor'!$C:$C,'Boss Editor'!$D:$D,""))/100)+5)*XLOOKUP(XLOOKUP($L95,'Boss Editor'!$C:$C,'Boss Editor'!$E:$E,""),'Nature Editor'!$A:$A,'Nature Editor'!$E:$E,1))),stab,IF(OR(mtype=XLOOKUP(XLOOKUP($K95,'Threshold Summary'!$Y:$Y,'Threshold Summary'!$K:$K,""),'Pokemon Editor'!$A:$A,'Pokemon Editor'!$C:$C,""),mtype=XLOOKUP(XLOOKUP($K95,'Threshold Summary'!$Y:$Y,'Threshold Summary'!$K:$K,""),'Pokemon Editor'!$A:$A,'Pokemon Editor'!$D:$D,"")),1.5,1),eff,(INDEX('Type Chart'!$B:$S,MATCH(mtype,'Type Chart'!$A:$A,0),MATCH(XLOOKUP($L95,'Pokemon Editor'!$A:$A,'Pokemon Editor'!$C:$C,""),'Type Chart'!$B$1:$S$1,0))*IF(XLOOKUP($L95,'Pokemon Editor'!$A:$A,'Pokemon Editor'!$D:$D,"")="",1,INDEX('Type Chart'!$B:$S,MATCH(mtype,'Type Chart'!$A:$A,0),MATCH(XLOOKUP($L95,'Pokemon Editor'!$A:$A,'Pokemon Editor'!$D:$D,""),'Type Chart'!$B$1:$S$1,0)))),base,IF(OR(cat="Status",pow=0),0,FLOOR(FLOOR(FLOOR((2*XLOOKUP($K95,'Threshold Summary'!$Y:$Y,'Threshold Summary'!$L:$L,"")/5+2)*pow*atk/def)/50)+2)),modifier,stab*eff,AVERAGE(ARRAYFORMULA(FLOOR(base*modifier*SEQUENCE(16,1,85,1)/100)))),0)</f>
        <v/>
      </c>
      <c r="I95" s="4">
        <f>IFERROR(LET(mtype,XLOOKUP($D95,'Move Editor'!$B:$B,'Move Editor'!$C:$C,""),cat,XLOOKUP($D95,'Move Editor'!$B:$B,'Move Editor'!$D:$D,""),pow,XLOOKUP($D95,'Move Editor'!$B:$B,'Move Editor'!$E:$E,0),acc,XLOOKUP($D95,'Move Editor'!$B:$B,'Move Editor'!$F:$F,100),atk,IF(cat="Physical",FLOOR((FLOOR(((2*XLOOKUP(XLOOKUP($K95,'Threshold Summary'!$Y:$Y,'Threshold Summary'!$K:$K,""),'Pokemon Editor'!$A:$A,'Pokemon Editor'!$F:$F,0)+31+FLOOR(XLOOKUP($K95,'Threshold Summary'!$Y:$Y,'Threshold Summary'!$P:$P,"")/4))*XLOOKUP($K95,'Threshold Summary'!$Y:$Y,'Threshold Summary'!$L:$L,""))/100)+5)*XLOOKUP(XLOOKUP($K95,'Threshold Summary'!$Y:$Y,'Threshold Summary'!$M:$M,""),'Nature Editor'!$A:$A,'Nature Editor'!$B:$B,1)),FLOOR((FLOOR(((2*XLOOKUP(XLOOKUP($K95,'Threshold Summary'!$Y:$Y,'Threshold Summary'!$K:$K,""),'Pokemon Editor'!$A:$A,'Pokemon Editor'!$H:$H,0)+31+FLOOR(XLOOKUP($K95,'Threshold Summary'!$Y:$Y,'Threshold Summary'!$R:$R,"")/4))*XLOOKUP($K95,'Threshold Summary'!$Y:$Y,'Threshold Summary'!$L:$L,""))/100)+5)*XLOOKUP(XLOOKUP($K95,'Threshold Summary'!$Y:$Y,'Threshold Summary'!$M:$M,""),'Nature Editor'!$A:$A,'Nature Editor'!$D:$D,1))),def,IF(cat="Physical",FLOOR((FLOOR(((2*XLOOKUP($L95,'Pokemon Editor'!$A:$A,'Pokemon Editor'!$G:$G,0)+31+FLOOR(XLOOKUP($L95,'Boss Editor'!$C:$C,'Boss Editor'!$I:$I,"")/4))*XLOOKUP($L95,'Boss Editor'!$C:$C,'Boss Editor'!$D:$D,""))/100)+5)*XLOOKUP(XLOOKUP($L95,'Boss Editor'!$C:$C,'Boss Editor'!$E:$E,""),'Nature Editor'!$A:$A,'Nature Editor'!$C:$C,1)),FLOOR((FLOOR(((2*XLOOKUP($L95,'Pokemon Editor'!$A:$A,'Pokemon Editor'!$I:$I,0)+31+FLOOR(XLOOKUP($L95,'Boss Editor'!$C:$C,'Boss Editor'!$K:$K,"")/4))*XLOOKUP($L95,'Boss Editor'!$C:$C,'Boss Editor'!$D:$D,""))/100)+5)*XLOOKUP(XLOOKUP($L95,'Boss Editor'!$C:$C,'Boss Editor'!$E:$E,""),'Nature Editor'!$A:$A,'Nature Editor'!$E:$E,1))),stab,IF(OR(mtype=XLOOKUP(XLOOKUP($K95,'Threshold Summary'!$Y:$Y,'Threshold Summary'!$K:$K,""),'Pokemon Editor'!$A:$A,'Pokemon Editor'!$C:$C,""),mtype=XLOOKUP(XLOOKUP($K95,'Threshold Summary'!$Y:$Y,'Threshold Summary'!$K:$K,""),'Pokemon Editor'!$A:$A,'Pokemon Editor'!$D:$D,"")),1.5,1),eff,(INDEX('Type Chart'!$B:$S,MATCH(mtype,'Type Chart'!$A:$A,0),MATCH(XLOOKUP($L95,'Pokemon Editor'!$A:$A,'Pokemon Editor'!$C:$C,""),'Type Chart'!$B$1:$S$1,0))*IF(XLOOKUP($L95,'Pokemon Editor'!$A:$A,'Pokemon Editor'!$D:$D,"")="",1,INDEX('Type Chart'!$B:$S,MATCH(mtype,'Type Chart'!$A:$A,0),MATCH(XLOOKUP($L95,'Pokemon Editor'!$A:$A,'Pokemon Editor'!$D:$D,""),'Type Chart'!$B$1:$S$1,0)))),base,IF(OR(cat="Status",pow=0),0,FLOOR(FLOOR(FLOOR((2*XLOOKUP($K95,'Threshold Summary'!$Y:$Y,'Threshold Summary'!$L:$L,"")/5+2)*pow*atk/def)/50)+2)),modifier,stab*eff,AVERAGE(ARRAYFORMULA(FLOOR(base*modifier*SEQUENCE(16,1,85,1)/100)))/(FLOOR(((2*XLOOKUP($L95,'Pokemon Editor'!$A:$A,'Pokemon Editor'!$E:$E,0)+31+FLOOR(XLOOKUP($L95,'Boss Editor'!$C:$C,'Boss Editor'!$G:$G,"")/4))*XLOOKUP($L95,'Boss Editor'!$C:$C,'Boss Editor'!$D:$D,""))/100)+XLOOKUP($L95,'Boss Editor'!$C:$C,'Boss Editor'!$D:$D,"")+10)),0)</f>
        <v/>
      </c>
      <c r="J95" s="3">
        <f>IF(I95&gt;=1,"OHKO",IF(I95&gt;=0.5,"2HKO",IF(I95&gt;=0.333,"3HKO",IF(I95&gt;=0.25,"4HKO","5HKO+"))))</f>
        <v/>
      </c>
      <c r="K95" s="3" t="inlineStr">
        <is>
          <t>SPECIES_TINKATINK</t>
        </is>
      </c>
      <c r="L95" s="3" t="inlineStr">
        <is>
          <t>SPECIES_TIRTOUGA</t>
        </is>
      </c>
    </row>
    <row r="96">
      <c r="A96" s="3">
        <f>XLOOKUP($K96,'Threshold Summary'!$Y:$Y,'Threshold Summary'!$A:$A,"")</f>
        <v/>
      </c>
      <c r="B96" s="3" t="inlineStr">
        <is>
          <t>Anorith</t>
        </is>
      </c>
      <c r="C96" s="3">
        <f>XLOOKUP($L96,'Boss Editor'!$C:$C,'Boss Editor'!$D:$D,"")</f>
        <v/>
      </c>
      <c r="D96" s="3">
        <f>XLOOKUP($K96,'Threshold Summary'!$Y:$Y,'Threshold Summary'!$B:$B,"")</f>
        <v/>
      </c>
      <c r="E96" s="3">
        <f>XLOOKUP(D96,'Move Editor'!$B:$B,'Move Editor'!$C:$C,"")</f>
        <v/>
      </c>
      <c r="F96" s="3">
        <f>IFERROR(LET(mtype,XLOOKUP($D96,'Move Editor'!$B:$B,'Move Editor'!$C:$C,""),cat,XLOOKUP($D96,'Move Editor'!$B:$B,'Move Editor'!$D:$D,""),pow,XLOOKUP($D96,'Move Editor'!$B:$B,'Move Editor'!$E:$E,0),acc,XLOOKUP($D96,'Move Editor'!$B:$B,'Move Editor'!$F:$F,100),atk,IF(cat="Physical",FLOOR((FLOOR(((2*XLOOKUP(XLOOKUP($K96,'Threshold Summary'!$Y:$Y,'Threshold Summary'!$K:$K,""),'Pokemon Editor'!$A:$A,'Pokemon Editor'!$F:$F,0)+31+FLOOR(XLOOKUP($K96,'Threshold Summary'!$Y:$Y,'Threshold Summary'!$P:$P,"")/4))*XLOOKUP($K96,'Threshold Summary'!$Y:$Y,'Threshold Summary'!$L:$L,""))/100)+5)*XLOOKUP(XLOOKUP($K96,'Threshold Summary'!$Y:$Y,'Threshold Summary'!$M:$M,""),'Nature Editor'!$A:$A,'Nature Editor'!$B:$B,1)),FLOOR((FLOOR(((2*XLOOKUP(XLOOKUP($K96,'Threshold Summary'!$Y:$Y,'Threshold Summary'!$K:$K,""),'Pokemon Editor'!$A:$A,'Pokemon Editor'!$H:$H,0)+31+FLOOR(XLOOKUP($K96,'Threshold Summary'!$Y:$Y,'Threshold Summary'!$R:$R,"")/4))*XLOOKUP($K96,'Threshold Summary'!$Y:$Y,'Threshold Summary'!$L:$L,""))/100)+5)*XLOOKUP(XLOOKUP($K96,'Threshold Summary'!$Y:$Y,'Threshold Summary'!$M:$M,""),'Nature Editor'!$A:$A,'Nature Editor'!$D:$D,1))),def,IF(cat="Physical",FLOOR((FLOOR(((2*XLOOKUP($L96,'Pokemon Editor'!$A:$A,'Pokemon Editor'!$G:$G,0)+31+FLOOR(XLOOKUP($L96,'Boss Editor'!$C:$C,'Boss Editor'!$I:$I,"")/4))*XLOOKUP($L96,'Boss Editor'!$C:$C,'Boss Editor'!$D:$D,""))/100)+5)*XLOOKUP(XLOOKUP($L96,'Boss Editor'!$C:$C,'Boss Editor'!$E:$E,""),'Nature Editor'!$A:$A,'Nature Editor'!$C:$C,1)),FLOOR((FLOOR(((2*XLOOKUP($L96,'Pokemon Editor'!$A:$A,'Pokemon Editor'!$I:$I,0)+31+FLOOR(XLOOKUP($L96,'Boss Editor'!$C:$C,'Boss Editor'!$K:$K,"")/4))*XLOOKUP($L96,'Boss Editor'!$C:$C,'Boss Editor'!$D:$D,""))/100)+5)*XLOOKUP(XLOOKUP($L96,'Boss Editor'!$C:$C,'Boss Editor'!$E:$E,""),'Nature Editor'!$A:$A,'Nature Editor'!$E:$E,1))),stab,IF(OR(mtype=XLOOKUP(XLOOKUP($K96,'Threshold Summary'!$Y:$Y,'Threshold Summary'!$K:$K,""),'Pokemon Editor'!$A:$A,'Pokemon Editor'!$C:$C,""),mtype=XLOOKUP(XLOOKUP($K96,'Threshold Summary'!$Y:$Y,'Threshold Summary'!$K:$K,""),'Pokemon Editor'!$A:$A,'Pokemon Editor'!$D:$D,"")),1.5,1),eff,(INDEX('Type Chart'!$B:$S,MATCH(mtype,'Type Chart'!$A:$A,0),MATCH(XLOOKUP($L96,'Pokemon Editor'!$A:$A,'Pokemon Editor'!$C:$C,""),'Type Chart'!$B$1:$S$1,0))*IF(XLOOKUP($L96,'Pokemon Editor'!$A:$A,'Pokemon Editor'!$D:$D,"")="",1,INDEX('Type Chart'!$B:$S,MATCH(mtype,'Type Chart'!$A:$A,0),MATCH(XLOOKUP($L96,'Pokemon Editor'!$A:$A,'Pokemon Editor'!$D:$D,""),'Type Chart'!$B$1:$S$1,0)))),base,IF(OR(cat="Status",pow=0),0,FLOOR(FLOOR(FLOOR((2*XLOOKUP($K96,'Threshold Summary'!$Y:$Y,'Threshold Summary'!$L:$L,"")/5+2)*pow*atk/def)/50)+2)),modifier,stab*eff,FLOOR(base*modifier*0.85)),0)</f>
        <v/>
      </c>
      <c r="G96" s="3">
        <f>IFERROR(LET(mtype,XLOOKUP($D96,'Move Editor'!$B:$B,'Move Editor'!$C:$C,""),cat,XLOOKUP($D96,'Move Editor'!$B:$B,'Move Editor'!$D:$D,""),pow,XLOOKUP($D96,'Move Editor'!$B:$B,'Move Editor'!$E:$E,0),acc,XLOOKUP($D96,'Move Editor'!$B:$B,'Move Editor'!$F:$F,100),atk,IF(cat="Physical",FLOOR((FLOOR(((2*XLOOKUP(XLOOKUP($K96,'Threshold Summary'!$Y:$Y,'Threshold Summary'!$K:$K,""),'Pokemon Editor'!$A:$A,'Pokemon Editor'!$F:$F,0)+31+FLOOR(XLOOKUP($K96,'Threshold Summary'!$Y:$Y,'Threshold Summary'!$P:$P,"")/4))*XLOOKUP($K96,'Threshold Summary'!$Y:$Y,'Threshold Summary'!$L:$L,""))/100)+5)*XLOOKUP(XLOOKUP($K96,'Threshold Summary'!$Y:$Y,'Threshold Summary'!$M:$M,""),'Nature Editor'!$A:$A,'Nature Editor'!$B:$B,1)),FLOOR((FLOOR(((2*XLOOKUP(XLOOKUP($K96,'Threshold Summary'!$Y:$Y,'Threshold Summary'!$K:$K,""),'Pokemon Editor'!$A:$A,'Pokemon Editor'!$H:$H,0)+31+FLOOR(XLOOKUP($K96,'Threshold Summary'!$Y:$Y,'Threshold Summary'!$R:$R,"")/4))*XLOOKUP($K96,'Threshold Summary'!$Y:$Y,'Threshold Summary'!$L:$L,""))/100)+5)*XLOOKUP(XLOOKUP($K96,'Threshold Summary'!$Y:$Y,'Threshold Summary'!$M:$M,""),'Nature Editor'!$A:$A,'Nature Editor'!$D:$D,1))),def,IF(cat="Physical",FLOOR((FLOOR(((2*XLOOKUP($L96,'Pokemon Editor'!$A:$A,'Pokemon Editor'!$G:$G,0)+31+FLOOR(XLOOKUP($L96,'Boss Editor'!$C:$C,'Boss Editor'!$I:$I,"")/4))*XLOOKUP($L96,'Boss Editor'!$C:$C,'Boss Editor'!$D:$D,""))/100)+5)*XLOOKUP(XLOOKUP($L96,'Boss Editor'!$C:$C,'Boss Editor'!$E:$E,""),'Nature Editor'!$A:$A,'Nature Editor'!$C:$C,1)),FLOOR((FLOOR(((2*XLOOKUP($L96,'Pokemon Editor'!$A:$A,'Pokemon Editor'!$I:$I,0)+31+FLOOR(XLOOKUP($L96,'Boss Editor'!$C:$C,'Boss Editor'!$K:$K,"")/4))*XLOOKUP($L96,'Boss Editor'!$C:$C,'Boss Editor'!$D:$D,""))/100)+5)*XLOOKUP(XLOOKUP($L96,'Boss Editor'!$C:$C,'Boss Editor'!$E:$E,""),'Nature Editor'!$A:$A,'Nature Editor'!$E:$E,1))),stab,IF(OR(mtype=XLOOKUP(XLOOKUP($K96,'Threshold Summary'!$Y:$Y,'Threshold Summary'!$K:$K,""),'Pokemon Editor'!$A:$A,'Pokemon Editor'!$C:$C,""),mtype=XLOOKUP(XLOOKUP($K96,'Threshold Summary'!$Y:$Y,'Threshold Summary'!$K:$K,""),'Pokemon Editor'!$A:$A,'Pokemon Editor'!$D:$D,"")),1.5,1),eff,(INDEX('Type Chart'!$B:$S,MATCH(mtype,'Type Chart'!$A:$A,0),MATCH(XLOOKUP($L96,'Pokemon Editor'!$A:$A,'Pokemon Editor'!$C:$C,""),'Type Chart'!$B$1:$S$1,0))*IF(XLOOKUP($L96,'Pokemon Editor'!$A:$A,'Pokemon Editor'!$D:$D,"")="",1,INDEX('Type Chart'!$B:$S,MATCH(mtype,'Type Chart'!$A:$A,0),MATCH(XLOOKUP($L96,'Pokemon Editor'!$A:$A,'Pokemon Editor'!$D:$D,""),'Type Chart'!$B$1:$S$1,0)))),base,IF(OR(cat="Status",pow=0),0,FLOOR(FLOOR(FLOOR((2*XLOOKUP($K96,'Threshold Summary'!$Y:$Y,'Threshold Summary'!$L:$L,"")/5+2)*pow*atk/def)/50)+2)),modifier,stab*eff,FLOOR(base*modifier)),0)</f>
        <v/>
      </c>
      <c r="H96" s="3">
        <f>IFERROR(LET(mtype,XLOOKUP($D96,'Move Editor'!$B:$B,'Move Editor'!$C:$C,""),cat,XLOOKUP($D96,'Move Editor'!$B:$B,'Move Editor'!$D:$D,""),pow,XLOOKUP($D96,'Move Editor'!$B:$B,'Move Editor'!$E:$E,0),acc,XLOOKUP($D96,'Move Editor'!$B:$B,'Move Editor'!$F:$F,100),atk,IF(cat="Physical",FLOOR((FLOOR(((2*XLOOKUP(XLOOKUP($K96,'Threshold Summary'!$Y:$Y,'Threshold Summary'!$K:$K,""),'Pokemon Editor'!$A:$A,'Pokemon Editor'!$F:$F,0)+31+FLOOR(XLOOKUP($K96,'Threshold Summary'!$Y:$Y,'Threshold Summary'!$P:$P,"")/4))*XLOOKUP($K96,'Threshold Summary'!$Y:$Y,'Threshold Summary'!$L:$L,""))/100)+5)*XLOOKUP(XLOOKUP($K96,'Threshold Summary'!$Y:$Y,'Threshold Summary'!$M:$M,""),'Nature Editor'!$A:$A,'Nature Editor'!$B:$B,1)),FLOOR((FLOOR(((2*XLOOKUP(XLOOKUP($K96,'Threshold Summary'!$Y:$Y,'Threshold Summary'!$K:$K,""),'Pokemon Editor'!$A:$A,'Pokemon Editor'!$H:$H,0)+31+FLOOR(XLOOKUP($K96,'Threshold Summary'!$Y:$Y,'Threshold Summary'!$R:$R,"")/4))*XLOOKUP($K96,'Threshold Summary'!$Y:$Y,'Threshold Summary'!$L:$L,""))/100)+5)*XLOOKUP(XLOOKUP($K96,'Threshold Summary'!$Y:$Y,'Threshold Summary'!$M:$M,""),'Nature Editor'!$A:$A,'Nature Editor'!$D:$D,1))),def,IF(cat="Physical",FLOOR((FLOOR(((2*XLOOKUP($L96,'Pokemon Editor'!$A:$A,'Pokemon Editor'!$G:$G,0)+31+FLOOR(XLOOKUP($L96,'Boss Editor'!$C:$C,'Boss Editor'!$I:$I,"")/4))*XLOOKUP($L96,'Boss Editor'!$C:$C,'Boss Editor'!$D:$D,""))/100)+5)*XLOOKUP(XLOOKUP($L96,'Boss Editor'!$C:$C,'Boss Editor'!$E:$E,""),'Nature Editor'!$A:$A,'Nature Editor'!$C:$C,1)),FLOOR((FLOOR(((2*XLOOKUP($L96,'Pokemon Editor'!$A:$A,'Pokemon Editor'!$I:$I,0)+31+FLOOR(XLOOKUP($L96,'Boss Editor'!$C:$C,'Boss Editor'!$K:$K,"")/4))*XLOOKUP($L96,'Boss Editor'!$C:$C,'Boss Editor'!$D:$D,""))/100)+5)*XLOOKUP(XLOOKUP($L96,'Boss Editor'!$C:$C,'Boss Editor'!$E:$E,""),'Nature Editor'!$A:$A,'Nature Editor'!$E:$E,1))),stab,IF(OR(mtype=XLOOKUP(XLOOKUP($K96,'Threshold Summary'!$Y:$Y,'Threshold Summary'!$K:$K,""),'Pokemon Editor'!$A:$A,'Pokemon Editor'!$C:$C,""),mtype=XLOOKUP(XLOOKUP($K96,'Threshold Summary'!$Y:$Y,'Threshold Summary'!$K:$K,""),'Pokemon Editor'!$A:$A,'Pokemon Editor'!$D:$D,"")),1.5,1),eff,(INDEX('Type Chart'!$B:$S,MATCH(mtype,'Type Chart'!$A:$A,0),MATCH(XLOOKUP($L96,'Pokemon Editor'!$A:$A,'Pokemon Editor'!$C:$C,""),'Type Chart'!$B$1:$S$1,0))*IF(XLOOKUP($L96,'Pokemon Editor'!$A:$A,'Pokemon Editor'!$D:$D,"")="",1,INDEX('Type Chart'!$B:$S,MATCH(mtype,'Type Chart'!$A:$A,0),MATCH(XLOOKUP($L96,'Pokemon Editor'!$A:$A,'Pokemon Editor'!$D:$D,""),'Type Chart'!$B$1:$S$1,0)))),base,IF(OR(cat="Status",pow=0),0,FLOOR(FLOOR(FLOOR((2*XLOOKUP($K96,'Threshold Summary'!$Y:$Y,'Threshold Summary'!$L:$L,"")/5+2)*pow*atk/def)/50)+2)),modifier,stab*eff,AVERAGE(ARRAYFORMULA(FLOOR(base*modifier*SEQUENCE(16,1,85,1)/100)))),0)</f>
        <v/>
      </c>
      <c r="I96" s="4">
        <f>IFERROR(LET(mtype,XLOOKUP($D96,'Move Editor'!$B:$B,'Move Editor'!$C:$C,""),cat,XLOOKUP($D96,'Move Editor'!$B:$B,'Move Editor'!$D:$D,""),pow,XLOOKUP($D96,'Move Editor'!$B:$B,'Move Editor'!$E:$E,0),acc,XLOOKUP($D96,'Move Editor'!$B:$B,'Move Editor'!$F:$F,100),atk,IF(cat="Physical",FLOOR((FLOOR(((2*XLOOKUP(XLOOKUP($K96,'Threshold Summary'!$Y:$Y,'Threshold Summary'!$K:$K,""),'Pokemon Editor'!$A:$A,'Pokemon Editor'!$F:$F,0)+31+FLOOR(XLOOKUP($K96,'Threshold Summary'!$Y:$Y,'Threshold Summary'!$P:$P,"")/4))*XLOOKUP($K96,'Threshold Summary'!$Y:$Y,'Threshold Summary'!$L:$L,""))/100)+5)*XLOOKUP(XLOOKUP($K96,'Threshold Summary'!$Y:$Y,'Threshold Summary'!$M:$M,""),'Nature Editor'!$A:$A,'Nature Editor'!$B:$B,1)),FLOOR((FLOOR(((2*XLOOKUP(XLOOKUP($K96,'Threshold Summary'!$Y:$Y,'Threshold Summary'!$K:$K,""),'Pokemon Editor'!$A:$A,'Pokemon Editor'!$H:$H,0)+31+FLOOR(XLOOKUP($K96,'Threshold Summary'!$Y:$Y,'Threshold Summary'!$R:$R,"")/4))*XLOOKUP($K96,'Threshold Summary'!$Y:$Y,'Threshold Summary'!$L:$L,""))/100)+5)*XLOOKUP(XLOOKUP($K96,'Threshold Summary'!$Y:$Y,'Threshold Summary'!$M:$M,""),'Nature Editor'!$A:$A,'Nature Editor'!$D:$D,1))),def,IF(cat="Physical",FLOOR((FLOOR(((2*XLOOKUP($L96,'Pokemon Editor'!$A:$A,'Pokemon Editor'!$G:$G,0)+31+FLOOR(XLOOKUP($L96,'Boss Editor'!$C:$C,'Boss Editor'!$I:$I,"")/4))*XLOOKUP($L96,'Boss Editor'!$C:$C,'Boss Editor'!$D:$D,""))/100)+5)*XLOOKUP(XLOOKUP($L96,'Boss Editor'!$C:$C,'Boss Editor'!$E:$E,""),'Nature Editor'!$A:$A,'Nature Editor'!$C:$C,1)),FLOOR((FLOOR(((2*XLOOKUP($L96,'Pokemon Editor'!$A:$A,'Pokemon Editor'!$I:$I,0)+31+FLOOR(XLOOKUP($L96,'Boss Editor'!$C:$C,'Boss Editor'!$K:$K,"")/4))*XLOOKUP($L96,'Boss Editor'!$C:$C,'Boss Editor'!$D:$D,""))/100)+5)*XLOOKUP(XLOOKUP($L96,'Boss Editor'!$C:$C,'Boss Editor'!$E:$E,""),'Nature Editor'!$A:$A,'Nature Editor'!$E:$E,1))),stab,IF(OR(mtype=XLOOKUP(XLOOKUP($K96,'Threshold Summary'!$Y:$Y,'Threshold Summary'!$K:$K,""),'Pokemon Editor'!$A:$A,'Pokemon Editor'!$C:$C,""),mtype=XLOOKUP(XLOOKUP($K96,'Threshold Summary'!$Y:$Y,'Threshold Summary'!$K:$K,""),'Pokemon Editor'!$A:$A,'Pokemon Editor'!$D:$D,"")),1.5,1),eff,(INDEX('Type Chart'!$B:$S,MATCH(mtype,'Type Chart'!$A:$A,0),MATCH(XLOOKUP($L96,'Pokemon Editor'!$A:$A,'Pokemon Editor'!$C:$C,""),'Type Chart'!$B$1:$S$1,0))*IF(XLOOKUP($L96,'Pokemon Editor'!$A:$A,'Pokemon Editor'!$D:$D,"")="",1,INDEX('Type Chart'!$B:$S,MATCH(mtype,'Type Chart'!$A:$A,0),MATCH(XLOOKUP($L96,'Pokemon Editor'!$A:$A,'Pokemon Editor'!$D:$D,""),'Type Chart'!$B$1:$S$1,0)))),base,IF(OR(cat="Status",pow=0),0,FLOOR(FLOOR(FLOOR((2*XLOOKUP($K96,'Threshold Summary'!$Y:$Y,'Threshold Summary'!$L:$L,"")/5+2)*pow*atk/def)/50)+2)),modifier,stab*eff,AVERAGE(ARRAYFORMULA(FLOOR(base*modifier*SEQUENCE(16,1,85,1)/100)))/(FLOOR(((2*XLOOKUP($L96,'Pokemon Editor'!$A:$A,'Pokemon Editor'!$E:$E,0)+31+FLOOR(XLOOKUP($L96,'Boss Editor'!$C:$C,'Boss Editor'!$G:$G,"")/4))*XLOOKUP($L96,'Boss Editor'!$C:$C,'Boss Editor'!$D:$D,""))/100)+XLOOKUP($L96,'Boss Editor'!$C:$C,'Boss Editor'!$D:$D,"")+10)),0)</f>
        <v/>
      </c>
      <c r="J96" s="3">
        <f>IF(I96&gt;=1,"OHKO",IF(I96&gt;=0.5,"2HKO",IF(I96&gt;=0.333,"3HKO",IF(I96&gt;=0.25,"4HKO","5HKO+"))))</f>
        <v/>
      </c>
      <c r="K96" s="3" t="inlineStr">
        <is>
          <t>SPECIES_TINKATINK</t>
        </is>
      </c>
      <c r="L96" s="3" t="inlineStr">
        <is>
          <t>SPECIES_ANORITH</t>
        </is>
      </c>
    </row>
    <row r="97">
      <c r="A97" s="3">
        <f>XLOOKUP($K97,'Threshold Summary'!$Y:$Y,'Threshold Summary'!$A:$A,"")</f>
        <v/>
      </c>
      <c r="B97" s="3" t="inlineStr">
        <is>
          <t>Lileep</t>
        </is>
      </c>
      <c r="C97" s="3">
        <f>XLOOKUP($L97,'Boss Editor'!$C:$C,'Boss Editor'!$D:$D,"")</f>
        <v/>
      </c>
      <c r="D97" s="3">
        <f>XLOOKUP($K97,'Threshold Summary'!$Y:$Y,'Threshold Summary'!$B:$B,"")</f>
        <v/>
      </c>
      <c r="E97" s="3">
        <f>XLOOKUP(D97,'Move Editor'!$B:$B,'Move Editor'!$C:$C,"")</f>
        <v/>
      </c>
      <c r="F97" s="3">
        <f>IFERROR(LET(mtype,XLOOKUP($D97,'Move Editor'!$B:$B,'Move Editor'!$C:$C,""),cat,XLOOKUP($D97,'Move Editor'!$B:$B,'Move Editor'!$D:$D,""),pow,XLOOKUP($D97,'Move Editor'!$B:$B,'Move Editor'!$E:$E,0),acc,XLOOKUP($D97,'Move Editor'!$B:$B,'Move Editor'!$F:$F,100),atk,IF(cat="Physical",FLOOR((FLOOR(((2*XLOOKUP(XLOOKUP($K97,'Threshold Summary'!$Y:$Y,'Threshold Summary'!$K:$K,""),'Pokemon Editor'!$A:$A,'Pokemon Editor'!$F:$F,0)+31+FLOOR(XLOOKUP($K97,'Threshold Summary'!$Y:$Y,'Threshold Summary'!$P:$P,"")/4))*XLOOKUP($K97,'Threshold Summary'!$Y:$Y,'Threshold Summary'!$L:$L,""))/100)+5)*XLOOKUP(XLOOKUP($K97,'Threshold Summary'!$Y:$Y,'Threshold Summary'!$M:$M,""),'Nature Editor'!$A:$A,'Nature Editor'!$B:$B,1)),FLOOR((FLOOR(((2*XLOOKUP(XLOOKUP($K97,'Threshold Summary'!$Y:$Y,'Threshold Summary'!$K:$K,""),'Pokemon Editor'!$A:$A,'Pokemon Editor'!$H:$H,0)+31+FLOOR(XLOOKUP($K97,'Threshold Summary'!$Y:$Y,'Threshold Summary'!$R:$R,"")/4))*XLOOKUP($K97,'Threshold Summary'!$Y:$Y,'Threshold Summary'!$L:$L,""))/100)+5)*XLOOKUP(XLOOKUP($K97,'Threshold Summary'!$Y:$Y,'Threshold Summary'!$M:$M,""),'Nature Editor'!$A:$A,'Nature Editor'!$D:$D,1))),def,IF(cat="Physical",FLOOR((FLOOR(((2*XLOOKUP($L97,'Pokemon Editor'!$A:$A,'Pokemon Editor'!$G:$G,0)+31+FLOOR(XLOOKUP($L97,'Boss Editor'!$C:$C,'Boss Editor'!$I:$I,"")/4))*XLOOKUP($L97,'Boss Editor'!$C:$C,'Boss Editor'!$D:$D,""))/100)+5)*XLOOKUP(XLOOKUP($L97,'Boss Editor'!$C:$C,'Boss Editor'!$E:$E,""),'Nature Editor'!$A:$A,'Nature Editor'!$C:$C,1)),FLOOR((FLOOR(((2*XLOOKUP($L97,'Pokemon Editor'!$A:$A,'Pokemon Editor'!$I:$I,0)+31+FLOOR(XLOOKUP($L97,'Boss Editor'!$C:$C,'Boss Editor'!$K:$K,"")/4))*XLOOKUP($L97,'Boss Editor'!$C:$C,'Boss Editor'!$D:$D,""))/100)+5)*XLOOKUP(XLOOKUP($L97,'Boss Editor'!$C:$C,'Boss Editor'!$E:$E,""),'Nature Editor'!$A:$A,'Nature Editor'!$E:$E,1))),stab,IF(OR(mtype=XLOOKUP(XLOOKUP($K97,'Threshold Summary'!$Y:$Y,'Threshold Summary'!$K:$K,""),'Pokemon Editor'!$A:$A,'Pokemon Editor'!$C:$C,""),mtype=XLOOKUP(XLOOKUP($K97,'Threshold Summary'!$Y:$Y,'Threshold Summary'!$K:$K,""),'Pokemon Editor'!$A:$A,'Pokemon Editor'!$D:$D,"")),1.5,1),eff,(INDEX('Type Chart'!$B:$S,MATCH(mtype,'Type Chart'!$A:$A,0),MATCH(XLOOKUP($L97,'Pokemon Editor'!$A:$A,'Pokemon Editor'!$C:$C,""),'Type Chart'!$B$1:$S$1,0))*IF(XLOOKUP($L97,'Pokemon Editor'!$A:$A,'Pokemon Editor'!$D:$D,"")="",1,INDEX('Type Chart'!$B:$S,MATCH(mtype,'Type Chart'!$A:$A,0),MATCH(XLOOKUP($L97,'Pokemon Editor'!$A:$A,'Pokemon Editor'!$D:$D,""),'Type Chart'!$B$1:$S$1,0)))),base,IF(OR(cat="Status",pow=0),0,FLOOR(FLOOR(FLOOR((2*XLOOKUP($K97,'Threshold Summary'!$Y:$Y,'Threshold Summary'!$L:$L,"")/5+2)*pow*atk/def)/50)+2)),modifier,stab*eff,FLOOR(base*modifier*0.85)),0)</f>
        <v/>
      </c>
      <c r="G97" s="3">
        <f>IFERROR(LET(mtype,XLOOKUP($D97,'Move Editor'!$B:$B,'Move Editor'!$C:$C,""),cat,XLOOKUP($D97,'Move Editor'!$B:$B,'Move Editor'!$D:$D,""),pow,XLOOKUP($D97,'Move Editor'!$B:$B,'Move Editor'!$E:$E,0),acc,XLOOKUP($D97,'Move Editor'!$B:$B,'Move Editor'!$F:$F,100),atk,IF(cat="Physical",FLOOR((FLOOR(((2*XLOOKUP(XLOOKUP($K97,'Threshold Summary'!$Y:$Y,'Threshold Summary'!$K:$K,""),'Pokemon Editor'!$A:$A,'Pokemon Editor'!$F:$F,0)+31+FLOOR(XLOOKUP($K97,'Threshold Summary'!$Y:$Y,'Threshold Summary'!$P:$P,"")/4))*XLOOKUP($K97,'Threshold Summary'!$Y:$Y,'Threshold Summary'!$L:$L,""))/100)+5)*XLOOKUP(XLOOKUP($K97,'Threshold Summary'!$Y:$Y,'Threshold Summary'!$M:$M,""),'Nature Editor'!$A:$A,'Nature Editor'!$B:$B,1)),FLOOR((FLOOR(((2*XLOOKUP(XLOOKUP($K97,'Threshold Summary'!$Y:$Y,'Threshold Summary'!$K:$K,""),'Pokemon Editor'!$A:$A,'Pokemon Editor'!$H:$H,0)+31+FLOOR(XLOOKUP($K97,'Threshold Summary'!$Y:$Y,'Threshold Summary'!$R:$R,"")/4))*XLOOKUP($K97,'Threshold Summary'!$Y:$Y,'Threshold Summary'!$L:$L,""))/100)+5)*XLOOKUP(XLOOKUP($K97,'Threshold Summary'!$Y:$Y,'Threshold Summary'!$M:$M,""),'Nature Editor'!$A:$A,'Nature Editor'!$D:$D,1))),def,IF(cat="Physical",FLOOR((FLOOR(((2*XLOOKUP($L97,'Pokemon Editor'!$A:$A,'Pokemon Editor'!$G:$G,0)+31+FLOOR(XLOOKUP($L97,'Boss Editor'!$C:$C,'Boss Editor'!$I:$I,"")/4))*XLOOKUP($L97,'Boss Editor'!$C:$C,'Boss Editor'!$D:$D,""))/100)+5)*XLOOKUP(XLOOKUP($L97,'Boss Editor'!$C:$C,'Boss Editor'!$E:$E,""),'Nature Editor'!$A:$A,'Nature Editor'!$C:$C,1)),FLOOR((FLOOR(((2*XLOOKUP($L97,'Pokemon Editor'!$A:$A,'Pokemon Editor'!$I:$I,0)+31+FLOOR(XLOOKUP($L97,'Boss Editor'!$C:$C,'Boss Editor'!$K:$K,"")/4))*XLOOKUP($L97,'Boss Editor'!$C:$C,'Boss Editor'!$D:$D,""))/100)+5)*XLOOKUP(XLOOKUP($L97,'Boss Editor'!$C:$C,'Boss Editor'!$E:$E,""),'Nature Editor'!$A:$A,'Nature Editor'!$E:$E,1))),stab,IF(OR(mtype=XLOOKUP(XLOOKUP($K97,'Threshold Summary'!$Y:$Y,'Threshold Summary'!$K:$K,""),'Pokemon Editor'!$A:$A,'Pokemon Editor'!$C:$C,""),mtype=XLOOKUP(XLOOKUP($K97,'Threshold Summary'!$Y:$Y,'Threshold Summary'!$K:$K,""),'Pokemon Editor'!$A:$A,'Pokemon Editor'!$D:$D,"")),1.5,1),eff,(INDEX('Type Chart'!$B:$S,MATCH(mtype,'Type Chart'!$A:$A,0),MATCH(XLOOKUP($L97,'Pokemon Editor'!$A:$A,'Pokemon Editor'!$C:$C,""),'Type Chart'!$B$1:$S$1,0))*IF(XLOOKUP($L97,'Pokemon Editor'!$A:$A,'Pokemon Editor'!$D:$D,"")="",1,INDEX('Type Chart'!$B:$S,MATCH(mtype,'Type Chart'!$A:$A,0),MATCH(XLOOKUP($L97,'Pokemon Editor'!$A:$A,'Pokemon Editor'!$D:$D,""),'Type Chart'!$B$1:$S$1,0)))),base,IF(OR(cat="Status",pow=0),0,FLOOR(FLOOR(FLOOR((2*XLOOKUP($K97,'Threshold Summary'!$Y:$Y,'Threshold Summary'!$L:$L,"")/5+2)*pow*atk/def)/50)+2)),modifier,stab*eff,FLOOR(base*modifier)),0)</f>
        <v/>
      </c>
      <c r="H97" s="3">
        <f>IFERROR(LET(mtype,XLOOKUP($D97,'Move Editor'!$B:$B,'Move Editor'!$C:$C,""),cat,XLOOKUP($D97,'Move Editor'!$B:$B,'Move Editor'!$D:$D,""),pow,XLOOKUP($D97,'Move Editor'!$B:$B,'Move Editor'!$E:$E,0),acc,XLOOKUP($D97,'Move Editor'!$B:$B,'Move Editor'!$F:$F,100),atk,IF(cat="Physical",FLOOR((FLOOR(((2*XLOOKUP(XLOOKUP($K97,'Threshold Summary'!$Y:$Y,'Threshold Summary'!$K:$K,""),'Pokemon Editor'!$A:$A,'Pokemon Editor'!$F:$F,0)+31+FLOOR(XLOOKUP($K97,'Threshold Summary'!$Y:$Y,'Threshold Summary'!$P:$P,"")/4))*XLOOKUP($K97,'Threshold Summary'!$Y:$Y,'Threshold Summary'!$L:$L,""))/100)+5)*XLOOKUP(XLOOKUP($K97,'Threshold Summary'!$Y:$Y,'Threshold Summary'!$M:$M,""),'Nature Editor'!$A:$A,'Nature Editor'!$B:$B,1)),FLOOR((FLOOR(((2*XLOOKUP(XLOOKUP($K97,'Threshold Summary'!$Y:$Y,'Threshold Summary'!$K:$K,""),'Pokemon Editor'!$A:$A,'Pokemon Editor'!$H:$H,0)+31+FLOOR(XLOOKUP($K97,'Threshold Summary'!$Y:$Y,'Threshold Summary'!$R:$R,"")/4))*XLOOKUP($K97,'Threshold Summary'!$Y:$Y,'Threshold Summary'!$L:$L,""))/100)+5)*XLOOKUP(XLOOKUP($K97,'Threshold Summary'!$Y:$Y,'Threshold Summary'!$M:$M,""),'Nature Editor'!$A:$A,'Nature Editor'!$D:$D,1))),def,IF(cat="Physical",FLOOR((FLOOR(((2*XLOOKUP($L97,'Pokemon Editor'!$A:$A,'Pokemon Editor'!$G:$G,0)+31+FLOOR(XLOOKUP($L97,'Boss Editor'!$C:$C,'Boss Editor'!$I:$I,"")/4))*XLOOKUP($L97,'Boss Editor'!$C:$C,'Boss Editor'!$D:$D,""))/100)+5)*XLOOKUP(XLOOKUP($L97,'Boss Editor'!$C:$C,'Boss Editor'!$E:$E,""),'Nature Editor'!$A:$A,'Nature Editor'!$C:$C,1)),FLOOR((FLOOR(((2*XLOOKUP($L97,'Pokemon Editor'!$A:$A,'Pokemon Editor'!$I:$I,0)+31+FLOOR(XLOOKUP($L97,'Boss Editor'!$C:$C,'Boss Editor'!$K:$K,"")/4))*XLOOKUP($L97,'Boss Editor'!$C:$C,'Boss Editor'!$D:$D,""))/100)+5)*XLOOKUP(XLOOKUP($L97,'Boss Editor'!$C:$C,'Boss Editor'!$E:$E,""),'Nature Editor'!$A:$A,'Nature Editor'!$E:$E,1))),stab,IF(OR(mtype=XLOOKUP(XLOOKUP($K97,'Threshold Summary'!$Y:$Y,'Threshold Summary'!$K:$K,""),'Pokemon Editor'!$A:$A,'Pokemon Editor'!$C:$C,""),mtype=XLOOKUP(XLOOKUP($K97,'Threshold Summary'!$Y:$Y,'Threshold Summary'!$K:$K,""),'Pokemon Editor'!$A:$A,'Pokemon Editor'!$D:$D,"")),1.5,1),eff,(INDEX('Type Chart'!$B:$S,MATCH(mtype,'Type Chart'!$A:$A,0),MATCH(XLOOKUP($L97,'Pokemon Editor'!$A:$A,'Pokemon Editor'!$C:$C,""),'Type Chart'!$B$1:$S$1,0))*IF(XLOOKUP($L97,'Pokemon Editor'!$A:$A,'Pokemon Editor'!$D:$D,"")="",1,INDEX('Type Chart'!$B:$S,MATCH(mtype,'Type Chart'!$A:$A,0),MATCH(XLOOKUP($L97,'Pokemon Editor'!$A:$A,'Pokemon Editor'!$D:$D,""),'Type Chart'!$B$1:$S$1,0)))),base,IF(OR(cat="Status",pow=0),0,FLOOR(FLOOR(FLOOR((2*XLOOKUP($K97,'Threshold Summary'!$Y:$Y,'Threshold Summary'!$L:$L,"")/5+2)*pow*atk/def)/50)+2)),modifier,stab*eff,AVERAGE(ARRAYFORMULA(FLOOR(base*modifier*SEQUENCE(16,1,85,1)/100)))),0)</f>
        <v/>
      </c>
      <c r="I97" s="4">
        <f>IFERROR(LET(mtype,XLOOKUP($D97,'Move Editor'!$B:$B,'Move Editor'!$C:$C,""),cat,XLOOKUP($D97,'Move Editor'!$B:$B,'Move Editor'!$D:$D,""),pow,XLOOKUP($D97,'Move Editor'!$B:$B,'Move Editor'!$E:$E,0),acc,XLOOKUP($D97,'Move Editor'!$B:$B,'Move Editor'!$F:$F,100),atk,IF(cat="Physical",FLOOR((FLOOR(((2*XLOOKUP(XLOOKUP($K97,'Threshold Summary'!$Y:$Y,'Threshold Summary'!$K:$K,""),'Pokemon Editor'!$A:$A,'Pokemon Editor'!$F:$F,0)+31+FLOOR(XLOOKUP($K97,'Threshold Summary'!$Y:$Y,'Threshold Summary'!$P:$P,"")/4))*XLOOKUP($K97,'Threshold Summary'!$Y:$Y,'Threshold Summary'!$L:$L,""))/100)+5)*XLOOKUP(XLOOKUP($K97,'Threshold Summary'!$Y:$Y,'Threshold Summary'!$M:$M,""),'Nature Editor'!$A:$A,'Nature Editor'!$B:$B,1)),FLOOR((FLOOR(((2*XLOOKUP(XLOOKUP($K97,'Threshold Summary'!$Y:$Y,'Threshold Summary'!$K:$K,""),'Pokemon Editor'!$A:$A,'Pokemon Editor'!$H:$H,0)+31+FLOOR(XLOOKUP($K97,'Threshold Summary'!$Y:$Y,'Threshold Summary'!$R:$R,"")/4))*XLOOKUP($K97,'Threshold Summary'!$Y:$Y,'Threshold Summary'!$L:$L,""))/100)+5)*XLOOKUP(XLOOKUP($K97,'Threshold Summary'!$Y:$Y,'Threshold Summary'!$M:$M,""),'Nature Editor'!$A:$A,'Nature Editor'!$D:$D,1))),def,IF(cat="Physical",FLOOR((FLOOR(((2*XLOOKUP($L97,'Pokemon Editor'!$A:$A,'Pokemon Editor'!$G:$G,0)+31+FLOOR(XLOOKUP($L97,'Boss Editor'!$C:$C,'Boss Editor'!$I:$I,"")/4))*XLOOKUP($L97,'Boss Editor'!$C:$C,'Boss Editor'!$D:$D,""))/100)+5)*XLOOKUP(XLOOKUP($L97,'Boss Editor'!$C:$C,'Boss Editor'!$E:$E,""),'Nature Editor'!$A:$A,'Nature Editor'!$C:$C,1)),FLOOR((FLOOR(((2*XLOOKUP($L97,'Pokemon Editor'!$A:$A,'Pokemon Editor'!$I:$I,0)+31+FLOOR(XLOOKUP($L97,'Boss Editor'!$C:$C,'Boss Editor'!$K:$K,"")/4))*XLOOKUP($L97,'Boss Editor'!$C:$C,'Boss Editor'!$D:$D,""))/100)+5)*XLOOKUP(XLOOKUP($L97,'Boss Editor'!$C:$C,'Boss Editor'!$E:$E,""),'Nature Editor'!$A:$A,'Nature Editor'!$E:$E,1))),stab,IF(OR(mtype=XLOOKUP(XLOOKUP($K97,'Threshold Summary'!$Y:$Y,'Threshold Summary'!$K:$K,""),'Pokemon Editor'!$A:$A,'Pokemon Editor'!$C:$C,""),mtype=XLOOKUP(XLOOKUP($K97,'Threshold Summary'!$Y:$Y,'Threshold Summary'!$K:$K,""),'Pokemon Editor'!$A:$A,'Pokemon Editor'!$D:$D,"")),1.5,1),eff,(INDEX('Type Chart'!$B:$S,MATCH(mtype,'Type Chart'!$A:$A,0),MATCH(XLOOKUP($L97,'Pokemon Editor'!$A:$A,'Pokemon Editor'!$C:$C,""),'Type Chart'!$B$1:$S$1,0))*IF(XLOOKUP($L97,'Pokemon Editor'!$A:$A,'Pokemon Editor'!$D:$D,"")="",1,INDEX('Type Chart'!$B:$S,MATCH(mtype,'Type Chart'!$A:$A,0),MATCH(XLOOKUP($L97,'Pokemon Editor'!$A:$A,'Pokemon Editor'!$D:$D,""),'Type Chart'!$B$1:$S$1,0)))),base,IF(OR(cat="Status",pow=0),0,FLOOR(FLOOR(FLOOR((2*XLOOKUP($K97,'Threshold Summary'!$Y:$Y,'Threshold Summary'!$L:$L,"")/5+2)*pow*atk/def)/50)+2)),modifier,stab*eff,AVERAGE(ARRAYFORMULA(FLOOR(base*modifier*SEQUENCE(16,1,85,1)/100)))/(FLOOR(((2*XLOOKUP($L97,'Pokemon Editor'!$A:$A,'Pokemon Editor'!$E:$E,0)+31+FLOOR(XLOOKUP($L97,'Boss Editor'!$C:$C,'Boss Editor'!$G:$G,"")/4))*XLOOKUP($L97,'Boss Editor'!$C:$C,'Boss Editor'!$D:$D,""))/100)+XLOOKUP($L97,'Boss Editor'!$C:$C,'Boss Editor'!$D:$D,"")+10)),0)</f>
        <v/>
      </c>
      <c r="J97" s="3">
        <f>IF(I97&gt;=1,"OHKO",IF(I97&gt;=0.5,"2HKO",IF(I97&gt;=0.333,"3HKO",IF(I97&gt;=0.25,"4HKO","5HKO+"))))</f>
        <v/>
      </c>
      <c r="K97" s="3" t="inlineStr">
        <is>
          <t>SPECIES_TINKATINK</t>
        </is>
      </c>
      <c r="L97" s="3" t="inlineStr">
        <is>
          <t>SPECIES_LILEEP</t>
        </is>
      </c>
    </row>
  </sheetData>
  <autoFilter ref="A1:L97"/>
  <conditionalFormatting sqref="I2:I97">
    <cfRule type="colorScale" priority="1">
      <colorScale>
        <cfvo type="min"/>
        <cfvo type="percentile" val="50"/>
        <cfvo type="max"/>
        <color rgb="0063BE7B"/>
        <color rgb="00FFEB84"/>
        <color rgb="00F8696B"/>
      </colorScale>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33"/>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42" customWidth="1" min="3" max="3"/>
  </cols>
  <sheetData>
    <row r="1" ht="32" customHeight="1">
      <c r="A1" s="1" t="inlineStr">
        <is>
          <t>Pokémon</t>
        </is>
      </c>
      <c r="B1" s="1" t="inlineStr">
        <is>
          <t>Species ID</t>
        </is>
      </c>
      <c r="C1" s="1" t="inlineStr">
        <is>
          <t>Source</t>
        </is>
      </c>
    </row>
    <row r="2">
      <c r="A2" s="3" t="inlineStr">
        <is>
          <t>Paras</t>
        </is>
      </c>
      <c r="B2" s="3" t="inlineStr">
        <is>
          <t>SPECIES_PARAS</t>
        </is>
      </c>
      <c r="C2" s="3" t="inlineStr">
        <is>
          <t>Petalburg Woods / Land / night</t>
        </is>
      </c>
    </row>
    <row r="3">
      <c r="A3" s="3" t="inlineStr">
        <is>
          <t>Sentret</t>
        </is>
      </c>
      <c r="B3" s="3" t="inlineStr">
        <is>
          <t>SPECIES_SENTRET</t>
        </is>
      </c>
      <c r="C3" s="3" t="inlineStr">
        <is>
          <t>Route 103 / Land / day</t>
        </is>
      </c>
    </row>
    <row r="4">
      <c r="A4" s="3" t="inlineStr">
        <is>
          <t>Mareep</t>
        </is>
      </c>
      <c r="B4" s="3" t="inlineStr">
        <is>
          <t>SPECIES_MAREEP</t>
        </is>
      </c>
      <c r="C4" s="3" t="inlineStr">
        <is>
          <t>Route 102 / Land / day</t>
        </is>
      </c>
    </row>
    <row r="5">
      <c r="A5" s="3" t="inlineStr">
        <is>
          <t>Treecko</t>
        </is>
      </c>
      <c r="B5" s="3" t="inlineStr">
        <is>
          <t>SPECIES_TREECKO</t>
        </is>
      </c>
      <c r="C5" s="3" t="inlineStr">
        <is>
          <t>Starter</t>
        </is>
      </c>
    </row>
    <row r="6">
      <c r="A6" s="3" t="inlineStr">
        <is>
          <t>Torchic</t>
        </is>
      </c>
      <c r="B6" s="3" t="inlineStr">
        <is>
          <t>SPECIES_TORCHIC</t>
        </is>
      </c>
      <c r="C6" s="3" t="inlineStr">
        <is>
          <t>Starter</t>
        </is>
      </c>
    </row>
    <row r="7">
      <c r="A7" s="3" t="inlineStr">
        <is>
          <t>Mudkip</t>
        </is>
      </c>
      <c r="B7" s="3" t="inlineStr">
        <is>
          <t>SPECIES_MUDKIP</t>
        </is>
      </c>
      <c r="C7" s="3" t="inlineStr">
        <is>
          <t>Starter</t>
        </is>
      </c>
    </row>
    <row r="8">
      <c r="A8" s="3" t="inlineStr">
        <is>
          <t>Taillow</t>
        </is>
      </c>
      <c r="B8" s="3" t="inlineStr">
        <is>
          <t>SPECIES_TAILLOW</t>
        </is>
      </c>
      <c r="C8" s="3" t="inlineStr">
        <is>
          <t>Route 104 / Land / north</t>
        </is>
      </c>
    </row>
    <row r="9">
      <c r="A9" s="3" t="inlineStr">
        <is>
          <t>Ralts</t>
        </is>
      </c>
      <c r="B9" s="3" t="inlineStr">
        <is>
          <t>SPECIES_RALTS</t>
        </is>
      </c>
      <c r="C9" s="3" t="inlineStr">
        <is>
          <t>Route 102 / Land / day, Route 102 / Land / night</t>
        </is>
      </c>
    </row>
    <row r="10">
      <c r="A10" s="3" t="inlineStr">
        <is>
          <t>Budew</t>
        </is>
      </c>
      <c r="B10" s="3" t="inlineStr">
        <is>
          <t>SPECIES_BUDEW</t>
        </is>
      </c>
      <c r="C10" s="3" t="inlineStr">
        <is>
          <t>Petalburg Woods / Land / day</t>
        </is>
      </c>
    </row>
    <row r="11">
      <c r="A11" s="3" t="inlineStr">
        <is>
          <t>Starly</t>
        </is>
      </c>
      <c r="B11" s="3" t="inlineStr">
        <is>
          <t>SPECIES_STARLY</t>
        </is>
      </c>
      <c r="C11" s="3" t="inlineStr">
        <is>
          <t>Route 101 / Land / night, Route 103 / Land / night, Route 116 / Land / night</t>
        </is>
      </c>
    </row>
    <row r="12">
      <c r="A12" s="3" t="inlineStr">
        <is>
          <t>Shinx</t>
        </is>
      </c>
      <c r="B12" s="3" t="inlineStr">
        <is>
          <t>SPECIES_SHINX</t>
        </is>
      </c>
      <c r="C12" s="3" t="inlineStr">
        <is>
          <t>Route 102 / Land / night</t>
        </is>
      </c>
    </row>
    <row r="13">
      <c r="A13" s="3" t="inlineStr">
        <is>
          <t>Combee</t>
        </is>
      </c>
      <c r="B13" s="3" t="inlineStr">
        <is>
          <t>SPECIES_COMBEE</t>
        </is>
      </c>
      <c r="C13" s="3" t="inlineStr">
        <is>
          <t>Petalburg Woods / Land / day</t>
        </is>
      </c>
    </row>
    <row r="14">
      <c r="A14" s="3" t="inlineStr">
        <is>
          <t>Drifloon</t>
        </is>
      </c>
      <c r="B14" s="3" t="inlineStr">
        <is>
          <t>SPECIES_DRIFLOON</t>
        </is>
      </c>
      <c r="C14" s="3" t="inlineStr">
        <is>
          <t>Route 116 / Land / day</t>
        </is>
      </c>
    </row>
    <row r="15">
      <c r="A15" s="3" t="inlineStr">
        <is>
          <t>Buneary</t>
        </is>
      </c>
      <c r="B15" s="3" t="inlineStr">
        <is>
          <t>SPECIES_BUNEARY</t>
        </is>
      </c>
      <c r="C15" s="3" t="inlineStr">
        <is>
          <t>Route 104 / Land / north, Route 104 / Land / south</t>
        </is>
      </c>
    </row>
    <row r="16">
      <c r="A16" s="3" t="inlineStr">
        <is>
          <t>Sewaddle</t>
        </is>
      </c>
      <c r="B16" s="3" t="inlineStr">
        <is>
          <t>SPECIES_SEWADDLE</t>
        </is>
      </c>
      <c r="C16" s="3" t="inlineStr">
        <is>
          <t>Petalburg Woods / Land / day</t>
        </is>
      </c>
    </row>
    <row r="17">
      <c r="A17" s="3" t="inlineStr">
        <is>
          <t>Venipede</t>
        </is>
      </c>
      <c r="B17" s="3" t="inlineStr">
        <is>
          <t>SPECIES_VENIPEDE</t>
        </is>
      </c>
      <c r="C17" s="3" t="inlineStr">
        <is>
          <t>Petalburg Woods / Land / night</t>
        </is>
      </c>
    </row>
    <row r="18">
      <c r="A18" s="3" t="inlineStr">
        <is>
          <t>Minccino</t>
        </is>
      </c>
      <c r="B18" s="3" t="inlineStr">
        <is>
          <t>SPECIES_MINCCINO</t>
        </is>
      </c>
      <c r="C18" s="3" t="inlineStr">
        <is>
          <t>Route 102 / Land / day, Route 102 / Land / night</t>
        </is>
      </c>
    </row>
    <row r="19">
      <c r="A19" s="3" t="inlineStr">
        <is>
          <t>Ducklett</t>
        </is>
      </c>
      <c r="B19" s="3" t="inlineStr">
        <is>
          <t>SPECIES_DUCKLETT</t>
        </is>
      </c>
      <c r="C19" s="3" t="inlineStr">
        <is>
          <t>Route 104 / Land / south</t>
        </is>
      </c>
    </row>
    <row r="20">
      <c r="A20" s="3" t="inlineStr">
        <is>
          <t>Fletchling</t>
        </is>
      </c>
      <c r="B20" s="3" t="inlineStr">
        <is>
          <t>SPECIES_FLETCHLING</t>
        </is>
      </c>
      <c r="C20" s="3" t="inlineStr">
        <is>
          <t>Route 101 / Land / day, Route 103 / Land / day, Route 116 / Land / day</t>
        </is>
      </c>
    </row>
    <row r="21">
      <c r="A21" s="3" t="inlineStr">
        <is>
          <t>Litleo</t>
        </is>
      </c>
      <c r="B21" s="3" t="inlineStr">
        <is>
          <t>SPECIES_LITLEO</t>
        </is>
      </c>
      <c r="C21" s="3" t="inlineStr">
        <is>
          <t>Route 104 / Land / north</t>
        </is>
      </c>
    </row>
    <row r="22">
      <c r="A22" s="3" t="inlineStr">
        <is>
          <t>Pancham</t>
        </is>
      </c>
      <c r="B22" s="3" t="inlineStr">
        <is>
          <t>SPECIES_PANCHAM</t>
        </is>
      </c>
      <c r="C22" s="3" t="inlineStr">
        <is>
          <t>Route 116 / Land / night</t>
        </is>
      </c>
    </row>
    <row r="23">
      <c r="A23" s="3" t="inlineStr">
        <is>
          <t>Phantump</t>
        </is>
      </c>
      <c r="B23" s="3" t="inlineStr">
        <is>
          <t>SPECIES_PHANTUMP</t>
        </is>
      </c>
      <c r="C23" s="3" t="inlineStr">
        <is>
          <t>Petalburg Woods / Land / night</t>
        </is>
      </c>
    </row>
    <row r="24">
      <c r="A24" s="3" t="inlineStr">
        <is>
          <t>Cutiefly</t>
        </is>
      </c>
      <c r="B24" s="3" t="inlineStr">
        <is>
          <t>SPECIES_CUTIEFLY</t>
        </is>
      </c>
      <c r="C24" s="3" t="inlineStr">
        <is>
          <t>Petalburg Woods / Land / day</t>
        </is>
      </c>
    </row>
    <row r="25">
      <c r="A25" s="3" t="inlineStr">
        <is>
          <t>Stufful</t>
        </is>
      </c>
      <c r="B25" s="3" t="inlineStr">
        <is>
          <t>SPECIES_STUFFUL</t>
        </is>
      </c>
      <c r="C25" s="3" t="inlineStr">
        <is>
          <t>Route 116 / Land / day</t>
        </is>
      </c>
    </row>
    <row r="26">
      <c r="A26" s="3" t="inlineStr">
        <is>
          <t>Bounsweet</t>
        </is>
      </c>
      <c r="B26" s="3" t="inlineStr">
        <is>
          <t>SPECIES_BOUNSWEET</t>
        </is>
      </c>
      <c r="C26" s="3" t="inlineStr">
        <is>
          <t>Petalburg Woods / Land / night</t>
        </is>
      </c>
    </row>
    <row r="27">
      <c r="A27" s="3" t="inlineStr">
        <is>
          <t>Blipbug</t>
        </is>
      </c>
      <c r="B27" s="3" t="inlineStr">
        <is>
          <t>SPECIES_BLIPBUG</t>
        </is>
      </c>
      <c r="C27" s="3" t="inlineStr">
        <is>
          <t>Route 101 / Land / day, Route 103 / Land / day</t>
        </is>
      </c>
    </row>
    <row r="28">
      <c r="A28" s="3" t="inlineStr">
        <is>
          <t>Toxel</t>
        </is>
      </c>
      <c r="B28" s="3" t="inlineStr">
        <is>
          <t>SPECIES_TOXEL</t>
        </is>
      </c>
      <c r="C28" s="3" t="inlineStr">
        <is>
          <t>Route 116 / Land / day, Route 116 / Land / night</t>
        </is>
      </c>
    </row>
    <row r="29">
      <c r="A29" s="3" t="inlineStr">
        <is>
          <t>Nymble</t>
        </is>
      </c>
      <c r="B29" s="3" t="inlineStr">
        <is>
          <t>SPECIES_NYMBLE</t>
        </is>
      </c>
      <c r="C29" s="3" t="inlineStr">
        <is>
          <t>Route 101 / Land / night, Route 103 / Land / night</t>
        </is>
      </c>
    </row>
    <row r="30">
      <c r="A30" s="3" t="inlineStr">
        <is>
          <t>Tandemaus</t>
        </is>
      </c>
      <c r="B30" s="3" t="inlineStr">
        <is>
          <t>SPECIES_TANDEMAUS</t>
        </is>
      </c>
      <c r="C30" s="3" t="inlineStr">
        <is>
          <t>Route 103 / Land / night</t>
        </is>
      </c>
    </row>
    <row r="31">
      <c r="A31" s="3" t="inlineStr">
        <is>
          <t>Charcadet</t>
        </is>
      </c>
      <c r="B31" s="3" t="inlineStr">
        <is>
          <t>SPECIES_CHARCADET</t>
        </is>
      </c>
      <c r="C31" s="3" t="inlineStr">
        <is>
          <t>Route 102 / Land / day, Route 102 / Land / night</t>
        </is>
      </c>
    </row>
    <row r="32">
      <c r="A32" s="3" t="inlineStr">
        <is>
          <t>Wattrel</t>
        </is>
      </c>
      <c r="B32" s="3" t="inlineStr">
        <is>
          <t>SPECIES_WATTREL</t>
        </is>
      </c>
      <c r="C32" s="3" t="inlineStr">
        <is>
          <t>Route 104 / Land / south</t>
        </is>
      </c>
    </row>
    <row r="33">
      <c r="A33" s="3" t="inlineStr">
        <is>
          <t>Tinkatink</t>
        </is>
      </c>
      <c r="B33" s="3" t="inlineStr">
        <is>
          <t>SPECIES_TINKATINK</t>
        </is>
      </c>
      <c r="C33" s="3" t="inlineStr">
        <is>
          <t>Route 116 / Land / night</t>
        </is>
      </c>
    </row>
  </sheetData>
  <autoFilter ref="A1:C33"/>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04"/>
  <sheetViews>
    <sheetView showGridLines="0" workbookViewId="0">
      <pane ySplit="1" topLeftCell="A2" activePane="bottomLeft" state="frozen"/>
      <selection pane="bottomLeft" activeCell="A1" sqref="A1"/>
    </sheetView>
  </sheetViews>
  <sheetFormatPr baseColWidth="8" defaultRowHeight="15"/>
  <cols>
    <col width="16" customWidth="1" min="1" max="1"/>
    <col width="100" customWidth="1" min="2" max="2"/>
    <col width="9" customWidth="1" min="3" max="3"/>
    <col width="11" customWidth="1" min="4" max="4"/>
    <col width="14" customWidth="1" min="5" max="5"/>
  </cols>
  <sheetData>
    <row r="1" ht="32" customHeight="1">
      <c r="A1" s="1" t="inlineStr">
        <is>
          <t>Nature</t>
        </is>
      </c>
      <c r="B1" s="1" t="inlineStr">
        <is>
          <t>Current description</t>
        </is>
      </c>
      <c r="C1" s="1" t="inlineStr">
        <is>
          <t>Stat up</t>
        </is>
      </c>
      <c r="D1" s="1" t="inlineStr">
        <is>
          <t>Stat down</t>
        </is>
      </c>
      <c r="E1" s="1" t="inlineStr">
        <is>
          <t>Availability</t>
        </is>
      </c>
    </row>
    <row r="2">
      <c r="A2" s="2" t="inlineStr">
        <is>
          <t>Abrasive</t>
        </is>
      </c>
      <c r="B2" s="3" t="inlineStr">
        <is>
          <t>While on the field, increases indirect damage suffered by foes by 1.5x.</t>
        </is>
      </c>
      <c r="C2" s="3" t="inlineStr">
        <is>
          <t>Atk</t>
        </is>
      </c>
      <c r="D2" s="3" t="inlineStr">
        <is>
          <t>Atk</t>
        </is>
      </c>
      <c r="E2" s="3" t="inlineStr">
        <is>
          <t>Public</t>
        </is>
      </c>
    </row>
    <row r="3">
      <c r="A3" s="2" t="inlineStr">
        <is>
          <t>Adamant</t>
        </is>
      </c>
      <c r="B3" s="3" t="inlineStr">
        <is>
          <t>+15% Atk, -15% SpAtk.</t>
        </is>
      </c>
      <c r="C3" s="3" t="inlineStr">
        <is>
          <t>Atk</t>
        </is>
      </c>
      <c r="D3" s="3" t="inlineStr">
        <is>
          <t>Spatk</t>
        </is>
      </c>
      <c r="E3" s="3" t="inlineStr">
        <is>
          <t>Public</t>
        </is>
      </c>
    </row>
    <row r="4">
      <c r="A4" s="2" t="inlineStr">
        <is>
          <t>Affable</t>
        </is>
      </c>
      <c r="B4" s="3" t="inlineStr">
        <is>
          <t>Befriends newly caught Pokémon, setting their Friendship to 150 and fully healing them.</t>
        </is>
      </c>
      <c r="C4" s="3" t="inlineStr">
        <is>
          <t>Atk</t>
        </is>
      </c>
      <c r="D4" s="3" t="inlineStr">
        <is>
          <t>Atk</t>
        </is>
      </c>
      <c r="E4" s="3" t="inlineStr">
        <is>
          <t>Public</t>
        </is>
      </c>
    </row>
    <row r="5">
      <c r="A5" s="2" t="inlineStr">
        <is>
          <t>Affectionate</t>
        </is>
      </c>
      <c r="B5" s="3" t="inlineStr">
        <is>
          <t>At max Friendship, has a 20% chance to tough out an attack with 1 HP remaining.</t>
        </is>
      </c>
      <c r="C5" s="3" t="inlineStr">
        <is>
          <t>Atk</t>
        </is>
      </c>
      <c r="D5" s="3" t="inlineStr">
        <is>
          <t>Atk</t>
        </is>
      </c>
      <c r="E5" s="3" t="inlineStr">
        <is>
          <t>Public</t>
        </is>
      </c>
    </row>
    <row r="6">
      <c r="A6" s="2" t="inlineStr">
        <is>
          <t>Ambient</t>
        </is>
      </c>
      <c r="B6" s="3" t="inlineStr">
        <is>
          <t>Extends timed field effects by 1 turn.</t>
        </is>
      </c>
      <c r="C6" s="3" t="inlineStr">
        <is>
          <t>Atk</t>
        </is>
      </c>
      <c r="D6" s="3" t="inlineStr">
        <is>
          <t>Atk</t>
        </is>
      </c>
      <c r="E6" s="3" t="inlineStr">
        <is>
          <t>Public</t>
        </is>
      </c>
    </row>
    <row r="7">
      <c r="A7" s="2" t="inlineStr">
        <is>
          <t>Ambitious</t>
        </is>
      </c>
      <c r="B7" s="3" t="inlineStr">
        <is>
          <t>Benefits from Badge Boosts exclusively, which boost stats by 10%.</t>
        </is>
      </c>
      <c r="C7" s="3" t="inlineStr">
        <is>
          <t>Atk</t>
        </is>
      </c>
      <c r="D7" s="3" t="inlineStr">
        <is>
          <t>Atk</t>
        </is>
      </c>
      <c r="E7" s="3" t="inlineStr">
        <is>
          <t>Public</t>
        </is>
      </c>
    </row>
    <row r="8">
      <c r="A8" s="2" t="inlineStr">
        <is>
          <t>Anxious</t>
        </is>
      </c>
      <c r="B8" s="3" t="inlineStr">
        <is>
          <t>Lowers Speed by 20% at full HP. Boosts Speed by 20% at half HP or below.</t>
        </is>
      </c>
      <c r="C8" s="3" t="inlineStr">
        <is>
          <t>Hp</t>
        </is>
      </c>
      <c r="D8" s="3" t="inlineStr">
        <is>
          <t>Speed</t>
        </is>
      </c>
      <c r="E8" s="3" t="inlineStr">
        <is>
          <t>Public</t>
        </is>
      </c>
    </row>
    <row r="9">
      <c r="A9" s="2" t="inlineStr">
        <is>
          <t>Apathetic</t>
        </is>
      </c>
      <c r="B9" s="3" t="inlineStr">
        <is>
          <t>Ignores all effects of Weather and Terrain, whether beneficial or harmful.</t>
        </is>
      </c>
      <c r="C9" s="3" t="inlineStr">
        <is>
          <t>Atk</t>
        </is>
      </c>
      <c r="D9" s="3" t="inlineStr">
        <is>
          <t>Atk</t>
        </is>
      </c>
      <c r="E9" s="3" t="inlineStr">
        <is>
          <t>Public</t>
        </is>
      </c>
    </row>
    <row r="10">
      <c r="A10" s="2" t="inlineStr">
        <is>
          <t>Arrogant</t>
        </is>
      </c>
      <c r="B10" s="3" t="inlineStr">
        <is>
          <t>Deals 10% more damage to higher-level targets.</t>
        </is>
      </c>
      <c r="C10" s="3" t="inlineStr">
        <is>
          <t>Atk</t>
        </is>
      </c>
      <c r="D10" s="3" t="inlineStr">
        <is>
          <t>Atk</t>
        </is>
      </c>
      <c r="E10" s="3" t="inlineStr">
        <is>
          <t>Public</t>
        </is>
      </c>
    </row>
    <row r="11">
      <c r="A11" s="2" t="inlineStr">
        <is>
          <t>Bad-Tempered</t>
        </is>
      </c>
      <c r="B11" s="3" t="inlineStr">
        <is>
          <t>If a move fails by any means, grants a 1.5x damage boost on the next turn.</t>
        </is>
      </c>
      <c r="C11" s="3" t="inlineStr">
        <is>
          <t>Atk</t>
        </is>
      </c>
      <c r="D11" s="3" t="inlineStr">
        <is>
          <t>Atk</t>
        </is>
      </c>
      <c r="E11" s="3" t="inlineStr">
        <is>
          <t>Public</t>
        </is>
      </c>
    </row>
    <row r="12">
      <c r="A12" s="2" t="inlineStr">
        <is>
          <t>Bashful</t>
        </is>
      </c>
      <c r="B12" s="3" t="inlineStr">
        <is>
          <t>On its first turn, takes 20% less damage from moves.</t>
        </is>
      </c>
      <c r="C12" s="3" t="inlineStr">
        <is>
          <t>Spatk</t>
        </is>
      </c>
      <c r="D12" s="3" t="inlineStr">
        <is>
          <t>Spatk</t>
        </is>
      </c>
      <c r="E12" s="3" t="inlineStr">
        <is>
          <t>Public</t>
        </is>
      </c>
    </row>
    <row r="13">
      <c r="A13" s="2" t="inlineStr">
        <is>
          <t>Benevolent</t>
        </is>
      </c>
      <c r="B13" s="3" t="inlineStr">
        <is>
          <t>Boosts healing by 20% for ALL Pokémon, including opponents.</t>
        </is>
      </c>
      <c r="C13" s="3" t="inlineStr">
        <is>
          <t>Atk</t>
        </is>
      </c>
      <c r="D13" s="3" t="inlineStr">
        <is>
          <t>Atk</t>
        </is>
      </c>
      <c r="E13" s="3" t="inlineStr">
        <is>
          <t>Public</t>
        </is>
      </c>
    </row>
    <row r="14">
      <c r="A14" s="2" t="inlineStr">
        <is>
          <t>Bitter</t>
        </is>
      </c>
      <c r="B14" s="3" t="inlineStr">
        <is>
          <t>If a foe heals with a move, the next damaging move deals 20% more damage.</t>
        </is>
      </c>
      <c r="C14" s="3" t="inlineStr">
        <is>
          <t>Atk</t>
        </is>
      </c>
      <c r="D14" s="3" t="inlineStr">
        <is>
          <t>Atk</t>
        </is>
      </c>
      <c r="E14" s="3" t="inlineStr">
        <is>
          <t>Public</t>
        </is>
      </c>
    </row>
    <row r="15">
      <c r="A15" s="2" t="inlineStr">
        <is>
          <t>Bold</t>
        </is>
      </c>
      <c r="B15" s="3" t="inlineStr">
        <is>
          <t>+15% Def, -15% Atk.</t>
        </is>
      </c>
      <c r="C15" s="3" t="inlineStr">
        <is>
          <t>Def</t>
        </is>
      </c>
      <c r="D15" s="3" t="inlineStr">
        <is>
          <t>Atk</t>
        </is>
      </c>
      <c r="E15" s="3" t="inlineStr">
        <is>
          <t>Public</t>
        </is>
      </c>
    </row>
    <row r="16">
      <c r="A16" s="2" t="inlineStr">
        <is>
          <t>Brave</t>
        </is>
      </c>
      <c r="B16" s="3" t="inlineStr">
        <is>
          <t>+15% Atk, -15% Speed.</t>
        </is>
      </c>
      <c r="C16" s="3" t="inlineStr">
        <is>
          <t>Atk</t>
        </is>
      </c>
      <c r="D16" s="3" t="inlineStr">
        <is>
          <t>Speed</t>
        </is>
      </c>
      <c r="E16" s="3" t="inlineStr">
        <is>
          <t>Public</t>
        </is>
      </c>
    </row>
    <row r="17">
      <c r="A17" s="2" t="inlineStr">
        <is>
          <t>Calculating</t>
        </is>
      </c>
      <c r="B17" s="3" t="inlineStr">
        <is>
          <t>Averages the targets' Def and SpDef stats during damage calculation.</t>
        </is>
      </c>
      <c r="C17" s="3" t="inlineStr">
        <is>
          <t>Atk</t>
        </is>
      </c>
      <c r="D17" s="3" t="inlineStr">
        <is>
          <t>Atk</t>
        </is>
      </c>
      <c r="E17" s="3" t="inlineStr">
        <is>
          <t>Public</t>
        </is>
      </c>
    </row>
    <row r="18">
      <c r="A18" s="2" t="inlineStr">
        <is>
          <t>Callous</t>
        </is>
      </c>
      <c r="B18" s="3" t="inlineStr">
        <is>
          <t>Immune to Frostbite. Attacks have a 1/8 chance to inflict Frostbite.</t>
        </is>
      </c>
      <c r="C18" s="3" t="inlineStr">
        <is>
          <t>Atk</t>
        </is>
      </c>
      <c r="D18" s="3" t="inlineStr">
        <is>
          <t>Atk</t>
        </is>
      </c>
      <c r="E18" s="3" t="inlineStr">
        <is>
          <t>Public</t>
        </is>
      </c>
    </row>
    <row r="19">
      <c r="A19" s="2" t="inlineStr">
        <is>
          <t>Calm</t>
        </is>
      </c>
      <c r="B19" s="3" t="inlineStr">
        <is>
          <t>+15% SpDef, -15% Atk.</t>
        </is>
      </c>
      <c r="C19" s="3" t="inlineStr">
        <is>
          <t>Spdef</t>
        </is>
      </c>
      <c r="D19" s="3" t="inlineStr">
        <is>
          <t>Atk</t>
        </is>
      </c>
      <c r="E19" s="3" t="inlineStr">
        <is>
          <t>Public</t>
        </is>
      </c>
    </row>
    <row r="20">
      <c r="A20" s="2" t="inlineStr">
        <is>
          <t>Cantankerous</t>
        </is>
      </c>
      <c r="B20" s="3" t="inlineStr">
        <is>
          <t>On entry, all Pokémon (including itself and allies) take 1/16 max HP as indirect damage.</t>
        </is>
      </c>
      <c r="C20" s="3" t="inlineStr">
        <is>
          <t>Atk</t>
        </is>
      </c>
      <c r="D20" s="3" t="inlineStr">
        <is>
          <t>Atk</t>
        </is>
      </c>
      <c r="E20" s="3" t="inlineStr">
        <is>
          <t>Public</t>
        </is>
      </c>
    </row>
    <row r="21">
      <c r="A21" s="2" t="inlineStr">
        <is>
          <t>Capricious</t>
        </is>
      </c>
      <c r="B21" s="3" t="inlineStr">
        <is>
          <t>Changes Nature after every battle. This effect stays even on changed Natures, unless minted away.</t>
        </is>
      </c>
      <c r="C21" s="3" t="inlineStr">
        <is>
          <t>Atk</t>
        </is>
      </c>
      <c r="D21" s="3" t="inlineStr">
        <is>
          <t>Atk</t>
        </is>
      </c>
      <c r="E21" s="3" t="inlineStr">
        <is>
          <t>Public</t>
        </is>
      </c>
    </row>
    <row r="22">
      <c r="A22" s="2" t="inlineStr">
        <is>
          <t>Careful</t>
        </is>
      </c>
      <c r="B22" s="3" t="inlineStr">
        <is>
          <t>+15% SpDef, -15% SpAtk.</t>
        </is>
      </c>
      <c r="C22" s="3" t="inlineStr">
        <is>
          <t>Spdef</t>
        </is>
      </c>
      <c r="D22" s="3" t="inlineStr">
        <is>
          <t>Spatk</t>
        </is>
      </c>
      <c r="E22" s="3" t="inlineStr">
        <is>
          <t>Public</t>
        </is>
      </c>
    </row>
    <row r="23">
      <c r="A23" s="2" t="inlineStr">
        <is>
          <t>Charitable</t>
        </is>
      </c>
      <c r="B23" s="3" t="inlineStr">
        <is>
          <t>Can use the move “Care Package” from the overworld, sacrificing 20% max HP to heal a party Pokémon.</t>
        </is>
      </c>
      <c r="C23" s="3" t="inlineStr">
        <is>
          <t>Atk</t>
        </is>
      </c>
      <c r="D23" s="3" t="inlineStr">
        <is>
          <t>Atk</t>
        </is>
      </c>
      <c r="E23" s="3" t="inlineStr">
        <is>
          <t>Public</t>
        </is>
      </c>
    </row>
    <row r="24">
      <c r="A24" s="2" t="inlineStr">
        <is>
          <t>Childish</t>
        </is>
      </c>
      <c r="B24" s="3" t="inlineStr">
        <is>
          <t>Deals 10% less damage. Gains 20% more EXP.</t>
        </is>
      </c>
      <c r="C24" s="3" t="inlineStr">
        <is>
          <t>Atk</t>
        </is>
      </c>
      <c r="D24" s="3" t="inlineStr">
        <is>
          <t>Atk</t>
        </is>
      </c>
      <c r="E24" s="3" t="inlineStr">
        <is>
          <t>Public</t>
        </is>
      </c>
    </row>
    <row r="25">
      <c r="A25" s="2" t="inlineStr">
        <is>
          <t>Communal</t>
        </is>
      </c>
      <c r="B25" s="3" t="inlineStr">
        <is>
          <t>Boosts Def and SpDef by 2% each per trait shared by another party Pokémon, max 10%.</t>
        </is>
      </c>
      <c r="C25" s="3" t="inlineStr">
        <is>
          <t>Atk</t>
        </is>
      </c>
      <c r="D25" s="3" t="inlineStr">
        <is>
          <t>Atk</t>
        </is>
      </c>
      <c r="E25" s="3" t="inlineStr">
        <is>
          <t>Public</t>
        </is>
      </c>
    </row>
    <row r="26">
      <c r="A26" s="2" t="inlineStr">
        <is>
          <t>Cowardly</t>
        </is>
      </c>
      <c r="B26" s="3" t="inlineStr">
        <is>
          <t>Wimps Out when HP falls to 25%.</t>
        </is>
      </c>
      <c r="C26" s="3" t="inlineStr">
        <is>
          <t>Atk</t>
        </is>
      </c>
      <c r="D26" s="3" t="inlineStr">
        <is>
          <t>Atk</t>
        </is>
      </c>
      <c r="E26" s="3" t="inlineStr">
        <is>
          <t>Public</t>
        </is>
      </c>
    </row>
    <row r="27">
      <c r="A27" s="2" t="inlineStr">
        <is>
          <t>Cynical</t>
        </is>
      </c>
      <c r="B27" s="3" t="inlineStr">
        <is>
          <t>Secondary effect chances from opponents' moves are flat 20% less likely. Cannot be minted into.</t>
        </is>
      </c>
      <c r="C27" s="3" t="inlineStr">
        <is>
          <t>Atk</t>
        </is>
      </c>
      <c r="D27" s="3" t="inlineStr">
        <is>
          <t>Atk</t>
        </is>
      </c>
      <c r="E27" s="3" t="inlineStr">
        <is>
          <t>Secret</t>
        </is>
      </c>
    </row>
    <row r="28">
      <c r="A28" s="2" t="inlineStr">
        <is>
          <t>Deceitful</t>
        </is>
      </c>
      <c r="B28" s="3" t="inlineStr">
        <is>
          <t>Claims Weakness/Blunder Policy, Adrenaline Orb and Room Service effects fraudulently.</t>
        </is>
      </c>
      <c r="C28" s="3" t="inlineStr">
        <is>
          <t>Atk</t>
        </is>
      </c>
      <c r="D28" s="3" t="inlineStr">
        <is>
          <t>Atk</t>
        </is>
      </c>
      <c r="E28" s="3" t="inlineStr">
        <is>
          <t>Public</t>
        </is>
      </c>
    </row>
    <row r="29">
      <c r="A29" s="2" t="inlineStr">
        <is>
          <t>Delicate</t>
        </is>
      </c>
      <c r="B29" s="3" t="inlineStr">
        <is>
          <t>Suffers 1.5x indirect damage. Receives 1.3x more healing.</t>
        </is>
      </c>
      <c r="C29" s="3" t="inlineStr">
        <is>
          <t>Atk</t>
        </is>
      </c>
      <c r="D29" s="3" t="inlineStr">
        <is>
          <t>Atk</t>
        </is>
      </c>
      <c r="E29" s="3" t="inlineStr">
        <is>
          <t>Public</t>
        </is>
      </c>
    </row>
    <row r="30">
      <c r="A30" s="2" t="inlineStr">
        <is>
          <t>Devoted</t>
        </is>
      </c>
      <c r="B30" s="3" t="inlineStr">
        <is>
          <t>Dotes on most-similar-personality mon. Ups their defenses &amp; own offenses by up to 10%.</t>
        </is>
      </c>
      <c r="C30" s="3" t="inlineStr">
        <is>
          <t>Hp</t>
        </is>
      </c>
      <c r="D30" s="3" t="inlineStr">
        <is>
          <t>Hp</t>
        </is>
      </c>
      <c r="E30" s="3" t="inlineStr">
        <is>
          <t>Public</t>
        </is>
      </c>
    </row>
    <row r="31">
      <c r="A31" s="2" t="inlineStr">
        <is>
          <t>Diplomatic</t>
        </is>
      </c>
      <c r="B31" s="3" t="inlineStr">
        <is>
          <t>While on the field, no Pokémon can land critical hits.</t>
        </is>
      </c>
      <c r="C31" s="3" t="inlineStr">
        <is>
          <t>Atk</t>
        </is>
      </c>
      <c r="D31" s="3" t="inlineStr">
        <is>
          <t>Atk</t>
        </is>
      </c>
      <c r="E31" s="3" t="inlineStr">
        <is>
          <t>Public</t>
        </is>
      </c>
    </row>
    <row r="32">
      <c r="A32" s="2" t="inlineStr">
        <is>
          <t>Docile</t>
        </is>
      </c>
      <c r="B32" s="3" t="inlineStr">
        <is>
          <t>The Pokémon is docile and easygoing. This Nature does nothing.</t>
        </is>
      </c>
      <c r="C32" s="3" t="inlineStr">
        <is>
          <t>Def</t>
        </is>
      </c>
      <c r="D32" s="3" t="inlineStr">
        <is>
          <t>Def</t>
        </is>
      </c>
      <c r="E32" s="3" t="inlineStr">
        <is>
          <t>Public</t>
        </is>
      </c>
    </row>
    <row r="33">
      <c r="A33" s="2" t="inlineStr">
        <is>
          <t>Dreamy</t>
        </is>
      </c>
      <c r="B33" s="3" t="inlineStr">
        <is>
          <t>Can act even while asleep. Does not block other status conditions, however. -10% Speed.</t>
        </is>
      </c>
      <c r="C33" s="3" t="inlineStr">
        <is>
          <t>Hp</t>
        </is>
      </c>
      <c r="D33" s="3" t="inlineStr">
        <is>
          <t>Speed</t>
        </is>
      </c>
      <c r="E33" s="3" t="inlineStr">
        <is>
          <t>Public</t>
        </is>
      </c>
    </row>
    <row r="34">
      <c r="A34" s="2" t="inlineStr">
        <is>
          <t>Eccentric</t>
        </is>
      </c>
      <c r="B34" s="3" t="inlineStr">
        <is>
          <t>After each battle, this Pokémon replaces its Pokéball for a different one from the player's bag.</t>
        </is>
      </c>
      <c r="C34" s="3" t="inlineStr">
        <is>
          <t>Atk</t>
        </is>
      </c>
      <c r="D34" s="3" t="inlineStr">
        <is>
          <t>Atk</t>
        </is>
      </c>
      <c r="E34" s="3" t="inlineStr">
        <is>
          <t>Public</t>
        </is>
      </c>
    </row>
    <row r="35">
      <c r="A35" s="2" t="inlineStr">
        <is>
          <t>Eclectic</t>
        </is>
      </c>
      <c r="B35" s="3" t="inlineStr">
        <is>
          <t>Must run 1 move each - Physical / Special / Status. Boosts Atk / SpA / Spe by 5% each accordingly.</t>
        </is>
      </c>
      <c r="C35" s="3" t="inlineStr">
        <is>
          <t>Atk</t>
        </is>
      </c>
      <c r="D35" s="3" t="inlineStr">
        <is>
          <t>Atk</t>
        </is>
      </c>
      <c r="E35" s="3" t="inlineStr">
        <is>
          <t>Public</t>
        </is>
      </c>
    </row>
    <row r="36">
      <c r="A36" s="2" t="inlineStr">
        <is>
          <t>Energetic</t>
        </is>
      </c>
      <c r="B36" s="3" t="inlineStr">
        <is>
          <t>Speed cannot be lowered. Eggs hatch twice as fast.</t>
        </is>
      </c>
      <c r="C36" s="3" t="inlineStr">
        <is>
          <t>Atk</t>
        </is>
      </c>
      <c r="D36" s="3" t="inlineStr">
        <is>
          <t>Atk</t>
        </is>
      </c>
      <c r="E36" s="3" t="inlineStr">
        <is>
          <t>Public</t>
        </is>
      </c>
    </row>
    <row r="37">
      <c r="A37" s="2" t="inlineStr">
        <is>
          <t>Fastidious</t>
        </is>
      </c>
      <c r="B37" s="3" t="inlineStr">
        <is>
          <t>Cleans party's status conditions after battles. Refuses “dirty” held items.</t>
        </is>
      </c>
      <c r="C37" s="3" t="inlineStr">
        <is>
          <t>Atk</t>
        </is>
      </c>
      <c r="D37" s="3" t="inlineStr">
        <is>
          <t>Atk</t>
        </is>
      </c>
      <c r="E37" s="3" t="inlineStr">
        <is>
          <t>Public</t>
        </is>
      </c>
    </row>
    <row r="38">
      <c r="A38" s="2" t="inlineStr">
        <is>
          <t>Finicky</t>
        </is>
      </c>
      <c r="B38" s="3" t="inlineStr">
        <is>
          <t>Too klutzy to utilize Held Items, but boosts Speed by 20%.</t>
        </is>
      </c>
      <c r="C38" s="3" t="inlineStr">
        <is>
          <t>Speed</t>
        </is>
      </c>
      <c r="D38" s="3" t="inlineStr">
        <is>
          <t>Hp</t>
        </is>
      </c>
      <c r="E38" s="3" t="inlineStr">
        <is>
          <t>Public</t>
        </is>
      </c>
    </row>
    <row r="39">
      <c r="A39" s="2" t="inlineStr">
        <is>
          <t>Flighty</t>
        </is>
      </c>
      <c r="B39" s="3" t="inlineStr">
        <is>
          <t>Twice as hard to catch. Ignores trapping effects and boosts pivot moves by 10%.</t>
        </is>
      </c>
      <c r="C39" s="3" t="inlineStr">
        <is>
          <t>Atk</t>
        </is>
      </c>
      <c r="D39" s="3" t="inlineStr">
        <is>
          <t>Atk</t>
        </is>
      </c>
      <c r="E39" s="3" t="inlineStr">
        <is>
          <t>Public</t>
        </is>
      </c>
    </row>
    <row r="40">
      <c r="A40" s="2" t="inlineStr">
        <is>
          <t>Flirty</t>
        </is>
      </c>
      <c r="B40" s="3" t="inlineStr">
        <is>
          <t>Immune to Infatuation. Attacks have a 1/8 chance to infatuate.</t>
        </is>
      </c>
      <c r="C40" s="3" t="inlineStr">
        <is>
          <t>Atk</t>
        </is>
      </c>
      <c r="D40" s="3" t="inlineStr">
        <is>
          <t>Atk</t>
        </is>
      </c>
      <c r="E40" s="3" t="inlineStr">
        <is>
          <t>Public</t>
        </is>
      </c>
    </row>
    <row r="41">
      <c r="A41" s="2" t="inlineStr">
        <is>
          <t>Forgiving</t>
        </is>
      </c>
      <c r="B41" s="3" t="inlineStr">
        <is>
          <t>Friendship never decreases and boosts Return by 10%. Refuses “vengeance” moves.</t>
        </is>
      </c>
      <c r="C41" s="3" t="inlineStr">
        <is>
          <t>Atk</t>
        </is>
      </c>
      <c r="D41" s="3" t="inlineStr">
        <is>
          <t>Atk</t>
        </is>
      </c>
      <c r="E41" s="3" t="inlineStr">
        <is>
          <t>Public</t>
        </is>
      </c>
    </row>
    <row r="42">
      <c r="A42" s="2" t="inlineStr">
        <is>
          <t>Frivolous</t>
        </is>
      </c>
      <c r="B42" s="3" t="inlineStr">
        <is>
          <t>When buying items, 10% chance to secretly buy another item at a discounted price of 1/3.</t>
        </is>
      </c>
      <c r="C42" s="3" t="inlineStr">
        <is>
          <t>Atk</t>
        </is>
      </c>
      <c r="D42" s="3" t="inlineStr">
        <is>
          <t>Atk</t>
        </is>
      </c>
      <c r="E42" s="3" t="inlineStr">
        <is>
          <t>Public</t>
        </is>
      </c>
    </row>
    <row r="43">
      <c r="A43" s="2" t="inlineStr">
        <is>
          <t>Frugal</t>
        </is>
      </c>
      <c r="B43" s="3" t="inlineStr">
        <is>
          <t>Gets a 5% discount at PokéMarts. Refuses to utilize held items that cost above ¥5000.</t>
        </is>
      </c>
      <c r="C43" s="3" t="inlineStr">
        <is>
          <t>Atk</t>
        </is>
      </c>
      <c r="D43" s="3" t="inlineStr">
        <is>
          <t>Atk</t>
        </is>
      </c>
      <c r="E43" s="3" t="inlineStr">
        <is>
          <t>Public</t>
        </is>
      </c>
    </row>
    <row r="44">
      <c r="A44" s="2" t="inlineStr">
        <is>
          <t>Gentle</t>
        </is>
      </c>
      <c r="B44" s="3" t="inlineStr">
        <is>
          <t>+15% SpDef, -15% Def.</t>
        </is>
      </c>
      <c r="C44" s="3" t="inlineStr">
        <is>
          <t>Spdef</t>
        </is>
      </c>
      <c r="D44" s="3" t="inlineStr">
        <is>
          <t>Def</t>
        </is>
      </c>
      <c r="E44" s="3" t="inlineStr">
        <is>
          <t>Public</t>
        </is>
      </c>
    </row>
    <row r="45">
      <c r="A45" s="2" t="inlineStr">
        <is>
          <t>Greedy</t>
        </is>
      </c>
      <c r="B45" s="3" t="inlineStr">
        <is>
          <t>Steals held items after attacking. Gains 5% more money from battles.</t>
        </is>
      </c>
      <c r="C45" s="3" t="inlineStr">
        <is>
          <t>Atk</t>
        </is>
      </c>
      <c r="D45" s="3" t="inlineStr">
        <is>
          <t>Atk</t>
        </is>
      </c>
      <c r="E45" s="3" t="inlineStr">
        <is>
          <t>Public</t>
        </is>
      </c>
    </row>
    <row r="46">
      <c r="A46" s="2" t="inlineStr">
        <is>
          <t>Hardy</t>
        </is>
      </c>
      <c r="B46" s="3" t="inlineStr">
        <is>
          <t>Accustomed to hardships, this Pokémon cannot suffer stat reductions below -1.</t>
        </is>
      </c>
      <c r="C46" s="3" t="inlineStr">
        <is>
          <t>Atk</t>
        </is>
      </c>
      <c r="D46" s="3" t="inlineStr">
        <is>
          <t>Atk</t>
        </is>
      </c>
      <c r="E46" s="3" t="inlineStr">
        <is>
          <t>Public</t>
        </is>
      </c>
    </row>
    <row r="47">
      <c r="A47" s="2" t="inlineStr">
        <is>
          <t>Hasty</t>
        </is>
      </c>
      <c r="B47" s="3" t="inlineStr">
        <is>
          <t>+15% Speed, -15% Def.</t>
        </is>
      </c>
      <c r="C47" s="3" t="inlineStr">
        <is>
          <t>Speed</t>
        </is>
      </c>
      <c r="D47" s="3" t="inlineStr">
        <is>
          <t>Def</t>
        </is>
      </c>
      <c r="E47" s="3" t="inlineStr">
        <is>
          <t>Public</t>
        </is>
      </c>
    </row>
    <row r="48">
      <c r="A48" s="2" t="inlineStr">
        <is>
          <t>Hedonistic</t>
        </is>
      </c>
      <c r="B48" s="3" t="inlineStr">
        <is>
          <t>Heals 1/16 HP each turn. Refuses moves that lower own stats, or ones with recoil or crash damage.</t>
        </is>
      </c>
      <c r="C48" s="3" t="inlineStr">
        <is>
          <t>Atk</t>
        </is>
      </c>
      <c r="D48" s="3" t="inlineStr">
        <is>
          <t>Atk</t>
        </is>
      </c>
      <c r="E48" s="3" t="inlineStr">
        <is>
          <t>Public</t>
        </is>
      </c>
    </row>
    <row r="49">
      <c r="A49" s="2" t="inlineStr">
        <is>
          <t>Humble</t>
        </is>
      </c>
      <c r="B49" s="3" t="inlineStr">
        <is>
          <t>Cannot accumulate more than a +1 in any stat. Instead, all non-HP stats are boosted by 5%.</t>
        </is>
      </c>
      <c r="C49" s="3" t="inlineStr">
        <is>
          <t>Atk</t>
        </is>
      </c>
      <c r="D49" s="3" t="inlineStr">
        <is>
          <t>Atk</t>
        </is>
      </c>
      <c r="E49" s="3" t="inlineStr">
        <is>
          <t>Public</t>
        </is>
      </c>
    </row>
    <row r="50">
      <c r="A50" s="2" t="inlineStr">
        <is>
          <t>Idealistic</t>
        </is>
      </c>
      <c r="B50" s="3" t="inlineStr">
        <is>
          <t>Ignores critical hits made at the base critical-hit rate. Cannot be minted into.</t>
        </is>
      </c>
      <c r="C50" s="3" t="inlineStr">
        <is>
          <t>Atk</t>
        </is>
      </c>
      <c r="D50" s="3" t="inlineStr">
        <is>
          <t>Atk</t>
        </is>
      </c>
      <c r="E50" s="3" t="inlineStr">
        <is>
          <t>Secret</t>
        </is>
      </c>
    </row>
    <row r="51">
      <c r="A51" s="2" t="inlineStr">
        <is>
          <t>Impish</t>
        </is>
      </c>
      <c r="B51" s="3" t="inlineStr">
        <is>
          <t>+15% Def, -15% SpAtk.</t>
        </is>
      </c>
      <c r="C51" s="3" t="inlineStr">
        <is>
          <t>Def</t>
        </is>
      </c>
      <c r="D51" s="3" t="inlineStr">
        <is>
          <t>Spatk</t>
        </is>
      </c>
      <c r="E51" s="3" t="inlineStr">
        <is>
          <t>Public</t>
        </is>
      </c>
    </row>
    <row r="52">
      <c r="A52" s="2" t="inlineStr">
        <is>
          <t>Impressionable</t>
        </is>
      </c>
      <c r="B52" s="3" t="inlineStr">
        <is>
          <t>Takes after the Pokémon before it in the party, altering its non-HP stats.</t>
        </is>
      </c>
      <c r="C52" s="3" t="inlineStr">
        <is>
          <t>Atk</t>
        </is>
      </c>
      <c r="D52" s="3" t="inlineStr">
        <is>
          <t>Atk</t>
        </is>
      </c>
      <c r="E52" s="3" t="inlineStr">
        <is>
          <t>Public</t>
        </is>
      </c>
    </row>
    <row r="53">
      <c r="A53" s="2" t="inlineStr">
        <is>
          <t>Indomitable</t>
        </is>
      </c>
      <c r="B53" s="3" t="inlineStr">
        <is>
          <t>If knocked out before using its move, it completes the move and then faints.</t>
        </is>
      </c>
      <c r="C53" s="3" t="inlineStr">
        <is>
          <t>Atk</t>
        </is>
      </c>
      <c r="D53" s="3" t="inlineStr">
        <is>
          <t>Atk</t>
        </is>
      </c>
      <c r="E53" s="3" t="inlineStr">
        <is>
          <t>Public</t>
        </is>
      </c>
    </row>
    <row r="54">
      <c r="A54" s="2" t="inlineStr">
        <is>
          <t>Innocent</t>
        </is>
      </c>
      <c r="B54" s="3" t="inlineStr">
        <is>
          <t>Friendship is set to 0. When it evolves, its Nature changes depending on its Friendship.</t>
        </is>
      </c>
      <c r="C54" s="3" t="inlineStr">
        <is>
          <t>Atk</t>
        </is>
      </c>
      <c r="D54" s="3" t="inlineStr">
        <is>
          <t>Atk</t>
        </is>
      </c>
      <c r="E54" s="3" t="inlineStr">
        <is>
          <t>Public</t>
        </is>
      </c>
    </row>
    <row r="55">
      <c r="A55" s="2" t="inlineStr">
        <is>
          <t>Jolly</t>
        </is>
      </c>
      <c r="B55" s="3" t="inlineStr">
        <is>
          <t>+15% Speed, -15% SpAtk.</t>
        </is>
      </c>
      <c r="C55" s="3" t="inlineStr">
        <is>
          <t>Speed</t>
        </is>
      </c>
      <c r="D55" s="3" t="inlineStr">
        <is>
          <t>Spatk</t>
        </is>
      </c>
      <c r="E55" s="3" t="inlineStr">
        <is>
          <t>Public</t>
        </is>
      </c>
    </row>
    <row r="56">
      <c r="A56" s="2" t="inlineStr">
        <is>
          <t>Lax</t>
        </is>
      </c>
      <c r="B56" s="3" t="inlineStr">
        <is>
          <t>+15% Def, -15% SpDef.</t>
        </is>
      </c>
      <c r="C56" s="3" t="inlineStr">
        <is>
          <t>Def</t>
        </is>
      </c>
      <c r="D56" s="3" t="inlineStr">
        <is>
          <t>Spdef</t>
        </is>
      </c>
      <c r="E56" s="3" t="inlineStr">
        <is>
          <t>Public</t>
        </is>
      </c>
    </row>
    <row r="57">
      <c r="A57" s="2" t="inlineStr">
        <is>
          <t>Lazy</t>
        </is>
      </c>
      <c r="B57" s="3" t="inlineStr">
        <is>
          <t>Loss of turn recovers 1/8 max HP. Lowers Speed by 10%.</t>
        </is>
      </c>
      <c r="C57" s="3" t="inlineStr">
        <is>
          <t>Hp</t>
        </is>
      </c>
      <c r="D57" s="3" t="inlineStr">
        <is>
          <t>Speed</t>
        </is>
      </c>
      <c r="E57" s="3" t="inlineStr">
        <is>
          <t>Public</t>
        </is>
      </c>
    </row>
    <row r="58">
      <c r="A58" s="2" t="inlineStr">
        <is>
          <t>Level-Headed</t>
        </is>
      </c>
      <c r="B58" s="3" t="inlineStr">
        <is>
          <t>Ignores Confusion, Flinching and Redirection.</t>
        </is>
      </c>
      <c r="C58" s="3" t="inlineStr">
        <is>
          <t>Atk</t>
        </is>
      </c>
      <c r="D58" s="3" t="inlineStr">
        <is>
          <t>Atk</t>
        </is>
      </c>
      <c r="E58" s="3" t="inlineStr">
        <is>
          <t>Public</t>
        </is>
      </c>
    </row>
    <row r="59">
      <c r="A59" s="2" t="inlineStr">
        <is>
          <t>Lonely</t>
        </is>
      </c>
      <c r="B59" s="3" t="inlineStr">
        <is>
          <t>+15% Atk, -15% Def.</t>
        </is>
      </c>
      <c r="C59" s="3" t="inlineStr">
        <is>
          <t>Atk</t>
        </is>
      </c>
      <c r="D59" s="3" t="inlineStr">
        <is>
          <t>Def</t>
        </is>
      </c>
      <c r="E59" s="3" t="inlineStr">
        <is>
          <t>Public</t>
        </is>
      </c>
    </row>
    <row r="60">
      <c r="A60" s="2" t="inlineStr">
        <is>
          <t>Loyal</t>
        </is>
      </c>
      <c r="B60" s="3" t="inlineStr">
        <is>
          <t>Boosts Atk and SpA by 1% per 3 levels gained since met, max 15%.</t>
        </is>
      </c>
      <c r="C60" s="3" t="inlineStr">
        <is>
          <t>Atk</t>
        </is>
      </c>
      <c r="D60" s="3" t="inlineStr">
        <is>
          <t>Atk</t>
        </is>
      </c>
      <c r="E60" s="3" t="inlineStr">
        <is>
          <t>Public</t>
        </is>
      </c>
    </row>
    <row r="61">
      <c r="A61" s="2" t="inlineStr">
        <is>
          <t>Mild</t>
        </is>
      </c>
      <c r="B61" s="3" t="inlineStr">
        <is>
          <t>+15% SpAtk, -15% Def.</t>
        </is>
      </c>
      <c r="C61" s="3" t="inlineStr">
        <is>
          <t>Spatk</t>
        </is>
      </c>
      <c r="D61" s="3" t="inlineStr">
        <is>
          <t>Def</t>
        </is>
      </c>
      <c r="E61" s="3" t="inlineStr">
        <is>
          <t>Public</t>
        </is>
      </c>
    </row>
    <row r="62">
      <c r="A62" s="2" t="inlineStr">
        <is>
          <t>Modest</t>
        </is>
      </c>
      <c r="B62" s="3" t="inlineStr">
        <is>
          <t>+15% SpAtk, -15% Atk.</t>
        </is>
      </c>
      <c r="C62" s="3" t="inlineStr">
        <is>
          <t>Spatk</t>
        </is>
      </c>
      <c r="D62" s="3" t="inlineStr">
        <is>
          <t>Atk</t>
        </is>
      </c>
      <c r="E62" s="3" t="inlineStr">
        <is>
          <t>Public</t>
        </is>
      </c>
    </row>
    <row r="63">
      <c r="A63" s="2" t="inlineStr">
        <is>
          <t>Naive</t>
        </is>
      </c>
      <c r="B63" s="3" t="inlineStr">
        <is>
          <t>+15% Speed, -15% SpDef.</t>
        </is>
      </c>
      <c r="C63" s="3" t="inlineStr">
        <is>
          <t>Speed</t>
        </is>
      </c>
      <c r="D63" s="3" t="inlineStr">
        <is>
          <t>Spdef</t>
        </is>
      </c>
      <c r="E63" s="3" t="inlineStr">
        <is>
          <t>Public</t>
        </is>
      </c>
    </row>
    <row r="64">
      <c r="A64" s="2" t="inlineStr">
        <is>
          <t>Naughty</t>
        </is>
      </c>
      <c r="B64" s="3" t="inlineStr">
        <is>
          <t>+15% Atk, -15% SpDef.</t>
        </is>
      </c>
      <c r="C64" s="3" t="inlineStr">
        <is>
          <t>Atk</t>
        </is>
      </c>
      <c r="D64" s="3" t="inlineStr">
        <is>
          <t>Spdef</t>
        </is>
      </c>
      <c r="E64" s="3" t="inlineStr">
        <is>
          <t>Public</t>
        </is>
      </c>
    </row>
    <row r="65">
      <c r="A65" s="2" t="inlineStr">
        <is>
          <t>Noble</t>
        </is>
      </c>
      <c r="B65" s="3" t="inlineStr">
        <is>
          <t>Always spares wild Pokémon at 1 HP, preventing them from being knocked out. +5% Def.</t>
        </is>
      </c>
      <c r="C65" s="3" t="inlineStr">
        <is>
          <t>Def</t>
        </is>
      </c>
      <c r="D65" s="3" t="inlineStr">
        <is>
          <t>Def</t>
        </is>
      </c>
      <c r="E65" s="3" t="inlineStr">
        <is>
          <t>Public</t>
        </is>
      </c>
    </row>
    <row r="66">
      <c r="A66" s="2" t="inlineStr">
        <is>
          <t>Nostalgic</t>
        </is>
      </c>
      <c r="B66" s="3" t="inlineStr">
        <is>
          <t>Refuses to let go of moves in slots 1 &amp; 2, but boosts them by 30%. Only slots 3 &amp; 4 may be changed.</t>
        </is>
      </c>
      <c r="C66" s="3" t="inlineStr">
        <is>
          <t>Atk</t>
        </is>
      </c>
      <c r="D66" s="3" t="inlineStr">
        <is>
          <t>Atk</t>
        </is>
      </c>
      <c r="E66" s="3" t="inlineStr">
        <is>
          <t>Public</t>
        </is>
      </c>
    </row>
    <row r="67">
      <c r="A67" s="2" t="inlineStr">
        <is>
          <t>Observant</t>
        </is>
      </c>
      <c r="B67" s="3" t="inlineStr">
        <is>
          <t>Wild Pokémon are 2x as likely to hold items and be shiny. Stacking this adds 0.2x.</t>
        </is>
      </c>
      <c r="C67" s="3" t="inlineStr">
        <is>
          <t>Atk</t>
        </is>
      </c>
      <c r="D67" s="3" t="inlineStr">
        <is>
          <t>Atk</t>
        </is>
      </c>
      <c r="E67" s="3" t="inlineStr">
        <is>
          <t>Public</t>
        </is>
      </c>
    </row>
    <row r="68">
      <c r="A68" s="2" t="inlineStr">
        <is>
          <t>Old-Fashioned</t>
        </is>
      </c>
      <c r="B68" s="3" t="inlineStr">
        <is>
          <t>Damaging moves use old type-based Physical/Special split. Fairy-moves are Special.</t>
        </is>
      </c>
      <c r="C68" s="3" t="inlineStr">
        <is>
          <t>Atk</t>
        </is>
      </c>
      <c r="D68" s="3" t="inlineStr">
        <is>
          <t>Atk</t>
        </is>
      </c>
      <c r="E68" s="3" t="inlineStr">
        <is>
          <t>Public</t>
        </is>
      </c>
    </row>
    <row r="69">
      <c r="A69" s="2" t="inlineStr">
        <is>
          <t>Pack-Rat</t>
        </is>
      </c>
      <c r="B69" s="3" t="inlineStr">
        <is>
          <t>Gains 1 Hoard Counter on entry and can relearn Stockpile.</t>
        </is>
      </c>
      <c r="C69" s="3" t="inlineStr">
        <is>
          <t>Atk</t>
        </is>
      </c>
      <c r="D69" s="3" t="inlineStr">
        <is>
          <t>Atk</t>
        </is>
      </c>
      <c r="E69" s="3" t="inlineStr">
        <is>
          <t>Public</t>
        </is>
      </c>
    </row>
    <row r="70">
      <c r="A70" s="2" t="inlineStr">
        <is>
          <t>Perfectionist</t>
        </is>
      </c>
      <c r="B70" s="3" t="inlineStr">
        <is>
          <t>Always acts last in a turn, but its moves always hit.</t>
        </is>
      </c>
      <c r="C70" s="3" t="inlineStr">
        <is>
          <t>Atk</t>
        </is>
      </c>
      <c r="D70" s="3" t="inlineStr">
        <is>
          <t>Atk</t>
        </is>
      </c>
      <c r="E70" s="3" t="inlineStr">
        <is>
          <t>Public</t>
        </is>
      </c>
    </row>
    <row r="71">
      <c r="A71" s="2" t="inlineStr">
        <is>
          <t>Persuasive</t>
        </is>
      </c>
      <c r="B71" s="3" t="inlineStr">
        <is>
          <t>Volatile Statuses inflicted by this Pokémon last 1 extra turn.</t>
        </is>
      </c>
      <c r="C71" s="3" t="inlineStr">
        <is>
          <t>Atk</t>
        </is>
      </c>
      <c r="D71" s="3" t="inlineStr">
        <is>
          <t>Atk</t>
        </is>
      </c>
      <c r="E71" s="3" t="inlineStr">
        <is>
          <t>Public</t>
        </is>
      </c>
    </row>
    <row r="72">
      <c r="A72" s="2" t="inlineStr">
        <is>
          <t>Pompous</t>
        </is>
      </c>
      <c r="B72" s="3" t="inlineStr">
        <is>
          <t>Its name carries weight, literally! Changes weight based on nickname length.</t>
        </is>
      </c>
      <c r="C72" s="3" t="inlineStr">
        <is>
          <t>Atk</t>
        </is>
      </c>
      <c r="D72" s="3" t="inlineStr">
        <is>
          <t>Atk</t>
        </is>
      </c>
      <c r="E72" s="3" t="inlineStr">
        <is>
          <t>Public</t>
        </is>
      </c>
    </row>
    <row r="73">
      <c r="A73" s="2" t="inlineStr">
        <is>
          <t>Prodigious</t>
        </is>
      </c>
      <c r="B73" s="3" t="inlineStr">
        <is>
          <t>Learns moves and evolves 1 level early.</t>
        </is>
      </c>
      <c r="C73" s="3" t="inlineStr">
        <is>
          <t>Atk</t>
        </is>
      </c>
      <c r="D73" s="3" t="inlineStr">
        <is>
          <t>Atk</t>
        </is>
      </c>
      <c r="E73" s="3" t="inlineStr">
        <is>
          <t>Public</t>
        </is>
      </c>
    </row>
    <row r="74">
      <c r="A74" s="2" t="inlineStr">
        <is>
          <t>Proud</t>
        </is>
      </c>
      <c r="B74" s="3" t="inlineStr">
        <is>
          <t>Its highest non-HP stat is boosted by 10% and its lowest non-HP stat is reduced by 10%.</t>
        </is>
      </c>
      <c r="C74" s="3" t="inlineStr">
        <is>
          <t>Atk</t>
        </is>
      </c>
      <c r="D74" s="3" t="inlineStr">
        <is>
          <t>Atk</t>
        </is>
      </c>
      <c r="E74" s="3" t="inlineStr">
        <is>
          <t>Public</t>
        </is>
      </c>
    </row>
    <row r="75">
      <c r="A75" s="2" t="inlineStr">
        <is>
          <t>Pugnacious</t>
        </is>
      </c>
      <c r="B75" s="3" t="inlineStr">
        <is>
          <t>Infiltrates while attacking, ignoring opposing Screens and Substitute.</t>
        </is>
      </c>
      <c r="C75" s="3" t="inlineStr">
        <is>
          <t>Atk</t>
        </is>
      </c>
      <c r="D75" s="3" t="inlineStr">
        <is>
          <t>Atk</t>
        </is>
      </c>
      <c r="E75" s="3" t="inlineStr">
        <is>
          <t>Public</t>
        </is>
      </c>
    </row>
    <row r="76">
      <c r="A76" s="2" t="inlineStr">
        <is>
          <t>Quiet</t>
        </is>
      </c>
      <c r="B76" s="3" t="inlineStr">
        <is>
          <t>+15% SpAtk, -15% Speed.</t>
        </is>
      </c>
      <c r="C76" s="3" t="inlineStr">
        <is>
          <t>Spatk</t>
        </is>
      </c>
      <c r="D76" s="3" t="inlineStr">
        <is>
          <t>Speed</t>
        </is>
      </c>
      <c r="E76" s="3" t="inlineStr">
        <is>
          <t>Public</t>
        </is>
      </c>
    </row>
    <row r="77">
      <c r="A77" s="2" t="inlineStr">
        <is>
          <t>Quirky</t>
        </is>
      </c>
      <c r="B77" s="3" t="inlineStr">
        <is>
          <t>Boosts each non-HP stat by 1% to 5% based entirely on its hidden personality value.</t>
        </is>
      </c>
      <c r="C77" s="3" t="inlineStr">
        <is>
          <t>Spdef</t>
        </is>
      </c>
      <c r="D77" s="3" t="inlineStr">
        <is>
          <t>Spdef</t>
        </is>
      </c>
      <c r="E77" s="3" t="inlineStr">
        <is>
          <t>Public</t>
        </is>
      </c>
    </row>
    <row r="78">
      <c r="A78" s="2" t="inlineStr">
        <is>
          <t>Rash</t>
        </is>
      </c>
      <c r="B78" s="3" t="inlineStr">
        <is>
          <t>+15% SpAtk, -15% SpDef.</t>
        </is>
      </c>
      <c r="C78" s="3" t="inlineStr">
        <is>
          <t>Spatk</t>
        </is>
      </c>
      <c r="D78" s="3" t="inlineStr">
        <is>
          <t>Spdef</t>
        </is>
      </c>
      <c r="E78" s="3" t="inlineStr">
        <is>
          <t>Public</t>
        </is>
      </c>
    </row>
    <row r="79">
      <c r="A79" s="2" t="inlineStr">
        <is>
          <t>Realistic</t>
        </is>
      </c>
      <c r="B79" s="3" t="inlineStr">
        <is>
          <t>Damage rolls are always average or better. Move effect chances are raised by 10%. Cannot be minted into.</t>
        </is>
      </c>
      <c r="C79" s="3" t="inlineStr">
        <is>
          <t>Atk</t>
        </is>
      </c>
      <c r="D79" s="3" t="inlineStr">
        <is>
          <t>Atk</t>
        </is>
      </c>
      <c r="E79" s="3" t="inlineStr">
        <is>
          <t>Secret</t>
        </is>
      </c>
    </row>
    <row r="80">
      <c r="A80" s="2" t="inlineStr">
        <is>
          <t>Rebellious</t>
        </is>
      </c>
      <c r="B80" s="3" t="inlineStr">
        <is>
          <t>Ignores Encore, Taunt, Torment, Disable and Heal Block.</t>
        </is>
      </c>
      <c r="C80" s="3" t="inlineStr">
        <is>
          <t>Atk</t>
        </is>
      </c>
      <c r="D80" s="3" t="inlineStr">
        <is>
          <t>Atk</t>
        </is>
      </c>
      <c r="E80" s="3" t="inlineStr">
        <is>
          <t>Public</t>
        </is>
      </c>
    </row>
    <row r="81">
      <c r="A81" s="2" t="inlineStr">
        <is>
          <t>Relaxed</t>
        </is>
      </c>
      <c r="B81" s="3" t="inlineStr">
        <is>
          <t>+15% Def, -15% Speed.</t>
        </is>
      </c>
      <c r="C81" s="3" t="inlineStr">
        <is>
          <t>Def</t>
        </is>
      </c>
      <c r="D81" s="3" t="inlineStr">
        <is>
          <t>Speed</t>
        </is>
      </c>
      <c r="E81" s="3" t="inlineStr">
        <is>
          <t>Public</t>
        </is>
      </c>
    </row>
    <row r="82">
      <c r="A82" s="2" t="inlineStr">
        <is>
          <t>Relentless</t>
        </is>
      </c>
      <c r="B82" s="3" t="inlineStr">
        <is>
          <t>Boosts move damage and secondary effect chances by a flat 10%, but consumes 2 PP.</t>
        </is>
      </c>
      <c r="C82" s="3" t="inlineStr">
        <is>
          <t>Atk</t>
        </is>
      </c>
      <c r="D82" s="3" t="inlineStr">
        <is>
          <t>Atk</t>
        </is>
      </c>
      <c r="E82" s="3" t="inlineStr">
        <is>
          <t>Public</t>
        </is>
      </c>
    </row>
    <row r="83">
      <c r="A83" s="2" t="inlineStr">
        <is>
          <t>Resolute</t>
        </is>
      </c>
      <c r="B83" s="3" t="inlineStr">
        <is>
          <t>At 1/3 HP or lower, recovers 1/8 max HP and cleanses Volatile Statuses.</t>
        </is>
      </c>
      <c r="C83" s="3" t="inlineStr">
        <is>
          <t>Atk</t>
        </is>
      </c>
      <c r="D83" s="3" t="inlineStr">
        <is>
          <t>Atk</t>
        </is>
      </c>
      <c r="E83" s="3" t="inlineStr">
        <is>
          <t>Public</t>
        </is>
      </c>
    </row>
    <row r="84">
      <c r="A84" s="2" t="inlineStr">
        <is>
          <t>Resourceful</t>
        </is>
      </c>
      <c r="B84" s="3" t="inlineStr">
        <is>
          <t>Organic Held Items are 25% more effective.</t>
        </is>
      </c>
      <c r="C84" s="3" t="inlineStr">
        <is>
          <t>Atk</t>
        </is>
      </c>
      <c r="D84" s="3" t="inlineStr">
        <is>
          <t>Atk</t>
        </is>
      </c>
      <c r="E84" s="3" t="inlineStr">
        <is>
          <t>Public</t>
        </is>
      </c>
    </row>
    <row r="85">
      <c r="A85" s="2" t="inlineStr">
        <is>
          <t>Rugged</t>
        </is>
      </c>
      <c r="B85" s="3" t="inlineStr">
        <is>
          <t>Unaffected by recoil, crash damage or entry hazards.</t>
        </is>
      </c>
      <c r="C85" s="3" t="inlineStr">
        <is>
          <t>Atk</t>
        </is>
      </c>
      <c r="D85" s="3" t="inlineStr">
        <is>
          <t>Atk</t>
        </is>
      </c>
      <c r="E85" s="3" t="inlineStr">
        <is>
          <t>Public</t>
        </is>
      </c>
    </row>
    <row r="86">
      <c r="A86" s="2" t="inlineStr">
        <is>
          <t>Sassy</t>
        </is>
      </c>
      <c r="B86" s="3" t="inlineStr">
        <is>
          <t>+15% SpDef, -15% Speed.</t>
        </is>
      </c>
      <c r="C86" s="3" t="inlineStr">
        <is>
          <t>Spdef</t>
        </is>
      </c>
      <c r="D86" s="3" t="inlineStr">
        <is>
          <t>Speed</t>
        </is>
      </c>
      <c r="E86" s="3" t="inlineStr">
        <is>
          <t>Public</t>
        </is>
      </c>
    </row>
    <row r="87">
      <c r="A87" s="2" t="inlineStr">
        <is>
          <t>Scholarly</t>
        </is>
      </c>
      <c r="B87" s="3" t="inlineStr">
        <is>
          <t>Can learn Egg Moves via Move Relearning. Boosts moves that are not learned via level-up by 10%.</t>
        </is>
      </c>
      <c r="C87" s="3" t="inlineStr">
        <is>
          <t>Atk</t>
        </is>
      </c>
      <c r="D87" s="3" t="inlineStr">
        <is>
          <t>Atk</t>
        </is>
      </c>
      <c r="E87" s="3" t="inlineStr">
        <is>
          <t>Public</t>
        </is>
      </c>
    </row>
    <row r="88">
      <c r="A88" s="2" t="inlineStr">
        <is>
          <t>Scrounger</t>
        </is>
      </c>
      <c r="B88" s="3" t="inlineStr">
        <is>
          <t>1/3 chance after battle to scrounge up half-used items and add them to the Bag.</t>
        </is>
      </c>
      <c r="C88" s="3" t="inlineStr">
        <is>
          <t>Atk</t>
        </is>
      </c>
      <c r="D88" s="3" t="inlineStr">
        <is>
          <t>Atk</t>
        </is>
      </c>
      <c r="E88" s="3" t="inlineStr">
        <is>
          <t>Public</t>
        </is>
      </c>
    </row>
    <row r="89">
      <c r="A89" s="2" t="inlineStr">
        <is>
          <t>Serious</t>
        </is>
      </c>
      <c r="B89" s="3" t="inlineStr">
        <is>
          <t>Raises the max PP of all moves by 1.</t>
        </is>
      </c>
      <c r="C89" s="3" t="inlineStr">
        <is>
          <t>Speed</t>
        </is>
      </c>
      <c r="D89" s="3" t="inlineStr">
        <is>
          <t>Speed</t>
        </is>
      </c>
      <c r="E89" s="3" t="inlineStr">
        <is>
          <t>Public</t>
        </is>
      </c>
    </row>
    <row r="90">
      <c r="A90" s="2" t="inlineStr">
        <is>
          <t>Shortsighted</t>
        </is>
      </c>
      <c r="B90" s="3" t="inlineStr">
        <is>
          <t>Boosts damage dealt by 20% on the user's first turn. Refuses to learn future-turn or two-turn moves.</t>
        </is>
      </c>
      <c r="C90" s="3" t="inlineStr">
        <is>
          <t>Atk</t>
        </is>
      </c>
      <c r="D90" s="3" t="inlineStr">
        <is>
          <t>Atk</t>
        </is>
      </c>
      <c r="E90" s="3" t="inlineStr">
        <is>
          <t>Public</t>
        </is>
      </c>
    </row>
    <row r="91">
      <c r="A91" s="2" t="inlineStr">
        <is>
          <t>Soft-Hearted</t>
        </is>
      </c>
      <c r="B91" s="3" t="inlineStr">
        <is>
          <t>When knocking out a Pokémon, suffers 1/12 max HP as damage. +10% SpDef.</t>
        </is>
      </c>
      <c r="C91" s="3" t="inlineStr">
        <is>
          <t>Spdef</t>
        </is>
      </c>
      <c r="D91" s="3" t="inlineStr">
        <is>
          <t>Hp</t>
        </is>
      </c>
      <c r="E91" s="3" t="inlineStr">
        <is>
          <t>Public</t>
        </is>
      </c>
    </row>
    <row r="92">
      <c r="A92" s="2" t="inlineStr">
        <is>
          <t>Stoic</t>
        </is>
      </c>
      <c r="B92" s="3" t="inlineStr">
        <is>
          <t>Ignores the stat drops from status conditions. -5% Speed.</t>
        </is>
      </c>
      <c r="C92" s="3" t="inlineStr">
        <is>
          <t>Hp</t>
        </is>
      </c>
      <c r="D92" s="3" t="inlineStr">
        <is>
          <t>Speed</t>
        </is>
      </c>
      <c r="E92" s="3" t="inlineStr">
        <is>
          <t>Public</t>
        </is>
      </c>
    </row>
    <row r="93">
      <c r="A93" s="2" t="inlineStr">
        <is>
          <t>Stubborn</t>
        </is>
      </c>
      <c r="B93" s="3" t="inlineStr">
        <is>
          <t>Prevents loss of held items and forced switching out.</t>
        </is>
      </c>
      <c r="C93" s="3" t="inlineStr">
        <is>
          <t>Atk</t>
        </is>
      </c>
      <c r="D93" s="3" t="inlineStr">
        <is>
          <t>Atk</t>
        </is>
      </c>
      <c r="E93" s="3" t="inlineStr">
        <is>
          <t>Public</t>
        </is>
      </c>
    </row>
    <row r="94">
      <c r="A94" s="2" t="inlineStr">
        <is>
          <t>Supportive</t>
        </is>
      </c>
      <c r="B94" s="3" t="inlineStr">
        <is>
          <t>Boosts the best stat of all other Party Pokémon by 6%. Stacking this adds 1% each.</t>
        </is>
      </c>
      <c r="C94" s="3" t="inlineStr">
        <is>
          <t>Atk</t>
        </is>
      </c>
      <c r="D94" s="3" t="inlineStr">
        <is>
          <t>Atk</t>
        </is>
      </c>
      <c r="E94" s="3" t="inlineStr">
        <is>
          <t>Public</t>
        </is>
      </c>
    </row>
    <row r="95">
      <c r="A95" s="2" t="inlineStr">
        <is>
          <t>Tactical</t>
        </is>
      </c>
      <c r="B95" s="3" t="inlineStr">
        <is>
          <t>Grants different buffs to moves in different slots.</t>
        </is>
      </c>
      <c r="C95" s="3" t="inlineStr">
        <is>
          <t>Atk</t>
        </is>
      </c>
      <c r="D95" s="3" t="inlineStr">
        <is>
          <t>Atk</t>
        </is>
      </c>
      <c r="E95" s="3" t="inlineStr">
        <is>
          <t>Public</t>
        </is>
      </c>
    </row>
    <row r="96">
      <c r="A96" s="2" t="inlineStr">
        <is>
          <t>Territorial</t>
        </is>
      </c>
      <c r="B96" s="3" t="inlineStr">
        <is>
          <t>Foes leaving its turf lose 1/12 max HP when switching out.</t>
        </is>
      </c>
      <c r="C96" s="3" t="inlineStr">
        <is>
          <t>Atk</t>
        </is>
      </c>
      <c r="D96" s="3" t="inlineStr">
        <is>
          <t>Atk</t>
        </is>
      </c>
      <c r="E96" s="3" t="inlineStr">
        <is>
          <t>Public</t>
        </is>
      </c>
    </row>
    <row r="97">
      <c r="A97" s="2" t="inlineStr">
        <is>
          <t>Timid</t>
        </is>
      </c>
      <c r="B97" s="3" t="inlineStr">
        <is>
          <t>+15% Speed, -15% Atk.</t>
        </is>
      </c>
      <c r="C97" s="3" t="inlineStr">
        <is>
          <t>Speed</t>
        </is>
      </c>
      <c r="D97" s="3" t="inlineStr">
        <is>
          <t>Atk</t>
        </is>
      </c>
      <c r="E97" s="3" t="inlineStr">
        <is>
          <t>Public</t>
        </is>
      </c>
    </row>
    <row r="98">
      <c r="A98" s="2" t="inlineStr">
        <is>
          <t>Vain</t>
        </is>
      </c>
      <c r="B98" s="3" t="inlineStr">
        <is>
          <t>+5% to all non-HP stats, but this boost is lost for the rest of battle if any stat is lowered.</t>
        </is>
      </c>
      <c r="C98" s="3" t="inlineStr">
        <is>
          <t>Atk</t>
        </is>
      </c>
      <c r="D98" s="3" t="inlineStr">
        <is>
          <t>Atk</t>
        </is>
      </c>
      <c r="E98" s="3" t="inlineStr">
        <is>
          <t>Public</t>
        </is>
      </c>
    </row>
    <row r="99">
      <c r="A99" s="2" t="inlineStr">
        <is>
          <t>Vigilant</t>
        </is>
      </c>
      <c r="B99" s="3" t="inlineStr">
        <is>
          <t>Priority moves targeting the user or allies have their priority reduced by 1.</t>
        </is>
      </c>
      <c r="C99" s="3" t="inlineStr">
        <is>
          <t>Atk</t>
        </is>
      </c>
      <c r="D99" s="3" t="inlineStr">
        <is>
          <t>Atk</t>
        </is>
      </c>
      <c r="E99" s="3" t="inlineStr">
        <is>
          <t>Public</t>
        </is>
      </c>
    </row>
    <row r="100">
      <c r="A100" s="2" t="inlineStr">
        <is>
          <t>Voracious</t>
        </is>
      </c>
      <c r="B100" s="3" t="inlineStr">
        <is>
          <t>Consumes pinch berries at 1/2 max HP. Boosts Leftovers by 1.5x.</t>
        </is>
      </c>
      <c r="C100" s="3" t="inlineStr">
        <is>
          <t>Atk</t>
        </is>
      </c>
      <c r="D100" s="3" t="inlineStr">
        <is>
          <t>Atk</t>
        </is>
      </c>
      <c r="E100" s="3" t="inlineStr">
        <is>
          <t>Public</t>
        </is>
      </c>
    </row>
    <row r="101">
      <c r="A101" s="2" t="inlineStr">
        <is>
          <t>Wayfaring</t>
        </is>
      </c>
      <c r="B101" s="3" t="inlineStr">
        <is>
          <t>Can use the field move “Head Home” from the overworld, teleporting to the last Pokémon Center.</t>
        </is>
      </c>
      <c r="C101" s="3" t="inlineStr">
        <is>
          <t>Atk</t>
        </is>
      </c>
      <c r="D101" s="3" t="inlineStr">
        <is>
          <t>Atk</t>
        </is>
      </c>
      <c r="E101" s="3" t="inlineStr">
        <is>
          <t>Public</t>
        </is>
      </c>
    </row>
    <row r="102">
      <c r="A102" s="2" t="inlineStr">
        <is>
          <t>Worldly</t>
        </is>
      </c>
      <c r="B102" s="3" t="inlineStr">
        <is>
          <t>Seeks out rare Pokémon while leading the party, making uncommon encounters more likely.</t>
        </is>
      </c>
      <c r="C102" s="3" t="inlineStr">
        <is>
          <t>Atk</t>
        </is>
      </c>
      <c r="D102" s="3" t="inlineStr">
        <is>
          <t>Atk</t>
        </is>
      </c>
      <c r="E102" s="3" t="inlineStr">
        <is>
          <t>Public</t>
        </is>
      </c>
    </row>
    <row r="103">
      <c r="A103" s="2" t="inlineStr">
        <is>
          <t>Youthful</t>
        </is>
      </c>
      <c r="B103" s="3" t="inlineStr">
        <is>
          <t>+20% Atk, SpAtk and Speed if the Pokémon is past its evolution level but has not evolved.</t>
        </is>
      </c>
      <c r="C103" s="3" t="inlineStr">
        <is>
          <t>Atk</t>
        </is>
      </c>
      <c r="D103" s="3" t="inlineStr">
        <is>
          <t>Atk</t>
        </is>
      </c>
      <c r="E103" s="3" t="inlineStr">
        <is>
          <t>Public</t>
        </is>
      </c>
    </row>
    <row r="104">
      <c r="A104" s="2" t="inlineStr">
        <is>
          <t>Zealous</t>
        </is>
      </c>
      <c r="B104" s="3" t="inlineStr">
        <is>
          <t>Enhances the Primary type. 2x weaknesses become 3x and 0.5x resistances become 0.33x.</t>
        </is>
      </c>
      <c r="C104" s="3" t="inlineStr">
        <is>
          <t>Atk</t>
        </is>
      </c>
      <c r="D104" s="3" t="inlineStr">
        <is>
          <t>Atk</t>
        </is>
      </c>
      <c r="E104" s="3" t="inlineStr">
        <is>
          <t>Public</t>
        </is>
      </c>
    </row>
  </sheetData>
  <autoFilter ref="A1:E104"/>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
  <sheetViews>
    <sheetView showGridLines="0" workbookViewId="0">
      <pane ySplit="1" topLeftCell="A2" activePane="bottomLeft" state="frozen"/>
      <selection pane="bottomLeft" activeCell="A1" sqref="A1"/>
    </sheetView>
  </sheetViews>
  <sheetFormatPr baseColWidth="8" defaultRowHeight="15"/>
  <cols>
    <col width="28" customWidth="1" min="1" max="1"/>
    <col width="14" customWidth="1" min="2" max="2"/>
    <col width="100" customWidth="1" min="3" max="3"/>
  </cols>
  <sheetData>
    <row r="1" ht="32" customHeight="1">
      <c r="A1" s="1" t="inlineStr">
        <is>
          <t>Mechanic</t>
        </is>
      </c>
      <c r="B1" s="1" t="inlineStr">
        <is>
          <t>Status</t>
        </is>
      </c>
      <c r="C1" s="1" t="inlineStr">
        <is>
          <t>Notes</t>
        </is>
      </c>
    </row>
    <row r="2">
      <c r="A2" s="2" t="inlineStr">
        <is>
          <t>Core stats</t>
        </is>
      </c>
      <c r="B2" s="3" t="inlineStr">
        <is>
          <t>Supported</t>
        </is>
      </c>
      <c r="C2" s="3" t="inlineStr">
        <is>
          <t>Gen-style stat formula, IVs, EVs, level and 15% canonical Nature modifiers</t>
        </is>
      </c>
    </row>
    <row r="3">
      <c r="A3" s="2" t="inlineStr">
        <is>
          <t>Type chart / STAB</t>
        </is>
      </c>
      <c r="B3" s="3" t="inlineStr">
        <is>
          <t>Supported</t>
        </is>
      </c>
      <c r="C3" s="3" t="inlineStr">
        <is>
          <t>Modern 18-type chart, dual typing, Adaptability</t>
        </is>
      </c>
    </row>
    <row r="4">
      <c r="A4" s="2" t="inlineStr">
        <is>
          <t>Damage rolls</t>
        </is>
      </c>
      <c r="B4" s="3" t="inlineStr">
        <is>
          <t>Supported</t>
        </is>
      </c>
      <c r="C4" s="3" t="inlineStr">
        <is>
          <t>Sixteen 85–100 rolls with integer flooring</t>
        </is>
      </c>
    </row>
    <row r="5">
      <c r="A5" s="2" t="inlineStr">
        <is>
          <t>Accuracy / expected damage</t>
        </is>
      </c>
      <c r="B5" s="3" t="inlineStr">
        <is>
          <t>Supported</t>
        </is>
      </c>
      <c r="C5" s="3" t="inlineStr">
        <is>
          <t>Expected damage includes accuracy; KO labels exclude miss chance</t>
        </is>
      </c>
    </row>
    <row r="6">
      <c r="A6" s="2" t="inlineStr">
        <is>
          <t>Weather / terrain</t>
        </is>
      </c>
      <c r="B6" s="3" t="inlineStr">
        <is>
          <t>Partial</t>
        </is>
      </c>
      <c r="C6" s="3" t="inlineStr">
        <is>
          <t>Basic power modifiers only; grounded checks and move-specific exceptions are not modeled</t>
        </is>
      </c>
    </row>
    <row r="7">
      <c r="A7" s="2" t="inlineStr">
        <is>
          <t>Abilities</t>
        </is>
      </c>
      <c r="B7" s="3" t="inlineStr">
        <is>
          <t>Partial</t>
        </is>
      </c>
      <c r="C7" s="3" t="inlineStr">
        <is>
          <t>Common offensive/defensive modifiers and immunities implemented; see source hooks</t>
        </is>
      </c>
    </row>
    <row r="8">
      <c r="A8" s="2" t="inlineStr">
        <is>
          <t>Move flags</t>
        </is>
      </c>
      <c r="B8" s="3" t="inlineStr">
        <is>
          <t>Partial</t>
        </is>
      </c>
      <c r="C8" s="3" t="inlineStr">
        <is>
          <t>dex.json lacks contact/punch/bite/sound/slicing flags; curated lists and a contact heuristic are used</t>
        </is>
      </c>
    </row>
    <row r="9">
      <c r="A9" s="2" t="inlineStr">
        <is>
          <t>Variable-power moves</t>
        </is>
      </c>
      <c r="B9" s="3" t="inlineStr">
        <is>
          <t>Not modeled</t>
        </is>
      </c>
      <c r="C9" s="3" t="inlineStr">
        <is>
          <t>Moves whose exported power is zero are excluded from best-move selection</t>
        </is>
      </c>
    </row>
    <row r="10">
      <c r="A10" s="2" t="inlineStr">
        <is>
          <t>Fixed-damage moves</t>
        </is>
      </c>
      <c r="B10" s="3" t="inlineStr">
        <is>
          <t>Not modeled</t>
        </is>
      </c>
      <c r="C10" s="3" t="inlineStr">
        <is>
          <t>Seismic Toss, Dragon Rage, Endeavor and similar effects are excluded</t>
        </is>
      </c>
    </row>
    <row r="11">
      <c r="A11" s="2" t="inlineStr">
        <is>
          <t>Multi-hit moves</t>
        </is>
      </c>
      <c r="B11" s="3" t="inlineStr">
        <is>
          <t>Not modeled</t>
        </is>
      </c>
      <c r="C11" s="3" t="inlineStr">
        <is>
          <t>Exported base power is treated as one hit; do not use those rows as final thresholds</t>
        </is>
      </c>
    </row>
    <row r="12">
      <c r="A12" s="2" t="inlineStr">
        <is>
          <t>Critical hits</t>
        </is>
      </c>
      <c r="B12" s="3" t="inlineStr">
        <is>
          <t>Not modeled</t>
        </is>
      </c>
      <c r="C12" s="3" t="inlineStr">
        <is>
          <t>Standard damage rows represent ordinary non-critical hits</t>
        </is>
      </c>
    </row>
    <row r="13">
      <c r="A13" s="2" t="inlineStr">
        <is>
          <t>Items</t>
        </is>
      </c>
      <c r="B13" s="3" t="inlineStr">
        <is>
          <t>Not modeled</t>
        </is>
      </c>
      <c r="C13" s="3" t="inlineStr">
        <is>
          <t>Held-item damage modifiers and healing are reserved for the next pass</t>
        </is>
      </c>
    </row>
    <row r="14">
      <c r="A14" s="2" t="inlineStr">
        <is>
          <t>Custom Natures</t>
        </is>
      </c>
      <c r="B14" s="3" t="inlineStr">
        <is>
          <t>Partial</t>
        </is>
      </c>
      <c r="C14" s="3" t="inlineStr">
        <is>
          <t>Direct stat/damage Natures are modeled where context is available; utility/healing effects remain descriptive</t>
        </is>
      </c>
    </row>
    <row r="15">
      <c r="A15" s="2" t="inlineStr">
        <is>
          <t>AI and switching</t>
        </is>
      </c>
      <c r="B15" s="3" t="inlineStr">
        <is>
          <t>Not modeled</t>
        </is>
      </c>
      <c r="C15" s="3" t="inlineStr">
        <is>
          <t>Workbook compares damage thresholds, not optimal battle lines</t>
        </is>
      </c>
    </row>
    <row r="16">
      <c r="A16" s="2" t="inlineStr">
        <is>
          <t>Boss trainer source</t>
        </is>
      </c>
      <c r="B16" s="3" t="inlineStr">
        <is>
          <t>Manual draft</t>
        </is>
      </c>
      <c r="C16" s="3" t="inlineStr">
        <is>
          <t>Current source snapshot still has vanilla Roxanne; edit BOSS_TEAM at top of script</t>
        </is>
      </c>
    </row>
  </sheetData>
  <autoFilter ref="A1:C16"/>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303"/>
  <sheetViews>
    <sheetView showGridLines="0" workbookViewId="0">
      <pane ySplit="1" topLeftCell="A2" activePane="bottomLeft" state="frozen"/>
      <selection pane="bottomLeft" activeCell="A1" sqref="A1"/>
    </sheetView>
  </sheetViews>
  <sheetFormatPr baseColWidth="8" defaultRowHeight="15"/>
  <cols>
    <col width="26" customWidth="1" min="1" max="1"/>
    <col width="17" customWidth="1" min="2" max="2"/>
    <col width="10" customWidth="1" min="3" max="3"/>
    <col width="10" customWidth="1" min="4" max="4"/>
    <col width="9" customWidth="1" min="5" max="5"/>
    <col width="10" customWidth="1" min="6" max="6"/>
    <col width="10" customWidth="1" min="7" max="7"/>
    <col width="10" customWidth="1" min="8" max="8"/>
    <col width="10" customWidth="1" min="9" max="9"/>
    <col width="10" customWidth="1" min="10" max="10"/>
    <col width="26" customWidth="1" min="11" max="11"/>
    <col width="26" customWidth="1" min="12" max="12"/>
    <col width="24" customWidth="1" min="13" max="13"/>
  </cols>
  <sheetData>
    <row r="1" ht="32" customHeight="1">
      <c r="A1" s="1" t="inlineStr">
        <is>
          <t>Species ID</t>
        </is>
      </c>
      <c r="B1" s="1" t="inlineStr">
        <is>
          <t>Name</t>
        </is>
      </c>
      <c r="C1" s="1" t="inlineStr">
        <is>
          <t>Type 1</t>
        </is>
      </c>
      <c r="D1" s="1" t="inlineStr">
        <is>
          <t>Type 2</t>
        </is>
      </c>
      <c r="E1" s="1" t="inlineStr">
        <is>
          <t>Base HP</t>
        </is>
      </c>
      <c r="F1" s="1" t="inlineStr">
        <is>
          <t>Base Atk</t>
        </is>
      </c>
      <c r="G1" s="1" t="inlineStr">
        <is>
          <t>Base Def</t>
        </is>
      </c>
      <c r="H1" s="1" t="inlineStr">
        <is>
          <t>Base SpA</t>
        </is>
      </c>
      <c r="I1" s="1" t="inlineStr">
        <is>
          <t>Base SpD</t>
        </is>
      </c>
      <c r="J1" s="1" t="inlineStr">
        <is>
          <t>Base Spe</t>
        </is>
      </c>
      <c r="K1" s="1" t="inlineStr">
        <is>
          <t>Ability 1</t>
        </is>
      </c>
      <c r="L1" s="1" t="inlineStr">
        <is>
          <t>Ability 2</t>
        </is>
      </c>
      <c r="M1" s="1" t="inlineStr">
        <is>
          <t>Ability 3</t>
        </is>
      </c>
    </row>
    <row r="2">
      <c r="A2" s="3" t="inlineStr">
        <is>
          <t>SPECIES_SANDSHREW_ALOLA</t>
        </is>
      </c>
      <c r="B2" s="3" t="inlineStr">
        <is>
          <t>Sandshrew-Alola</t>
        </is>
      </c>
      <c r="C2" s="3" t="inlineStr">
        <is>
          <t>Ice</t>
        </is>
      </c>
      <c r="D2" s="3" t="inlineStr">
        <is>
          <t>Steel</t>
        </is>
      </c>
      <c r="E2" s="3" t="n">
        <v>50</v>
      </c>
      <c r="F2" s="3" t="n">
        <v>75</v>
      </c>
      <c r="G2" s="3" t="n">
        <v>90</v>
      </c>
      <c r="H2" s="3" t="n">
        <v>10</v>
      </c>
      <c r="I2" s="3" t="n">
        <v>35</v>
      </c>
      <c r="J2" s="3" t="n">
        <v>40</v>
      </c>
      <c r="K2" s="3" t="inlineStr">
        <is>
          <t>ABILITY_SNOW_CLOAK</t>
        </is>
      </c>
      <c r="L2" s="3" t="inlineStr">
        <is>
          <t>ABILITY_SLUSH_RUSH</t>
        </is>
      </c>
      <c r="M2" s="3" t="inlineStr"/>
    </row>
    <row r="3">
      <c r="A3" s="3" t="inlineStr">
        <is>
          <t>SPECIES_SANDSLASH_ALOLA</t>
        </is>
      </c>
      <c r="B3" s="3" t="inlineStr">
        <is>
          <t>Sandslash-Alola</t>
        </is>
      </c>
      <c r="C3" s="3" t="inlineStr">
        <is>
          <t>Ice</t>
        </is>
      </c>
      <c r="D3" s="3" t="inlineStr">
        <is>
          <t>Steel</t>
        </is>
      </c>
      <c r="E3" s="3" t="n">
        <v>75</v>
      </c>
      <c r="F3" s="3" t="n">
        <v>100</v>
      </c>
      <c r="G3" s="3" t="n">
        <v>120</v>
      </c>
      <c r="H3" s="3" t="n">
        <v>25</v>
      </c>
      <c r="I3" s="3" t="n">
        <v>65</v>
      </c>
      <c r="J3" s="3" t="n">
        <v>65</v>
      </c>
      <c r="K3" s="3" t="inlineStr">
        <is>
          <t>ABILITY_SNOW_CLOAK</t>
        </is>
      </c>
      <c r="L3" s="3" t="inlineStr">
        <is>
          <t>ABILITY_SLUSH_RUSH</t>
        </is>
      </c>
      <c r="M3" s="3" t="inlineStr"/>
    </row>
    <row r="4">
      <c r="A4" s="3" t="inlineStr">
        <is>
          <t>SPECIES_VULPIX_ALOLA</t>
        </is>
      </c>
      <c r="B4" s="3" t="inlineStr">
        <is>
          <t>Vulpix-Alola</t>
        </is>
      </c>
      <c r="C4" s="3" t="inlineStr">
        <is>
          <t>Ice</t>
        </is>
      </c>
      <c r="D4" s="3" t="inlineStr">
        <is>
          <t>Fairy</t>
        </is>
      </c>
      <c r="E4" s="3" t="n">
        <v>38</v>
      </c>
      <c r="F4" s="3" t="n">
        <v>41</v>
      </c>
      <c r="G4" s="3" t="n">
        <v>40</v>
      </c>
      <c r="H4" s="3" t="n">
        <v>50</v>
      </c>
      <c r="I4" s="3" t="n">
        <v>65</v>
      </c>
      <c r="J4" s="3" t="n">
        <v>65</v>
      </c>
      <c r="K4" s="3" t="inlineStr">
        <is>
          <t>ABILITY_SNOW_CLOAK</t>
        </is>
      </c>
      <c r="L4" s="3" t="inlineStr">
        <is>
          <t>ABILITY_SNOW_WARNING</t>
        </is>
      </c>
      <c r="M4" s="3" t="inlineStr"/>
    </row>
    <row r="5">
      <c r="A5" s="3" t="inlineStr">
        <is>
          <t>SPECIES_NINETALES_ALOLA</t>
        </is>
      </c>
      <c r="B5" s="3" t="inlineStr">
        <is>
          <t>Ninetales-Alola</t>
        </is>
      </c>
      <c r="C5" s="3" t="inlineStr">
        <is>
          <t>Ice</t>
        </is>
      </c>
      <c r="D5" s="3" t="inlineStr">
        <is>
          <t>Fairy</t>
        </is>
      </c>
      <c r="E5" s="3" t="n">
        <v>73</v>
      </c>
      <c r="F5" s="3" t="n">
        <v>67</v>
      </c>
      <c r="G5" s="3" t="n">
        <v>75</v>
      </c>
      <c r="H5" s="3" t="n">
        <v>81</v>
      </c>
      <c r="I5" s="3" t="n">
        <v>100</v>
      </c>
      <c r="J5" s="3" t="n">
        <v>109</v>
      </c>
      <c r="K5" s="3" t="inlineStr">
        <is>
          <t>ABILITY_SNOW_CLOAK</t>
        </is>
      </c>
      <c r="L5" s="3" t="inlineStr">
        <is>
          <t>ABILITY_SNOW_WARNING</t>
        </is>
      </c>
      <c r="M5" s="3" t="inlineStr"/>
    </row>
    <row r="6">
      <c r="A6" s="3" t="inlineStr">
        <is>
          <t>SPECIES_PARAS</t>
        </is>
      </c>
      <c r="B6" s="3" t="inlineStr">
        <is>
          <t>Paras</t>
        </is>
      </c>
      <c r="C6" s="3" t="inlineStr">
        <is>
          <t>Bug</t>
        </is>
      </c>
      <c r="D6" s="3" t="inlineStr">
        <is>
          <t>Grass</t>
        </is>
      </c>
      <c r="E6" s="3" t="n">
        <v>35</v>
      </c>
      <c r="F6" s="3" t="n">
        <v>70</v>
      </c>
      <c r="G6" s="3" t="n">
        <v>55</v>
      </c>
      <c r="H6" s="3" t="n">
        <v>45</v>
      </c>
      <c r="I6" s="3" t="n">
        <v>55</v>
      </c>
      <c r="J6" s="3" t="n">
        <v>25</v>
      </c>
      <c r="K6" s="3" t="inlineStr">
        <is>
          <t>ABILITY_EFFECT_SPORE</t>
        </is>
      </c>
      <c r="L6" s="3" t="inlineStr">
        <is>
          <t>ABILITY_DRY_SKIN</t>
        </is>
      </c>
      <c r="M6" s="3" t="inlineStr">
        <is>
          <t>ABILITY_DAMP</t>
        </is>
      </c>
    </row>
    <row r="7">
      <c r="A7" s="3" t="inlineStr">
        <is>
          <t>SPECIES_PARASECT</t>
        </is>
      </c>
      <c r="B7" s="3" t="inlineStr">
        <is>
          <t>Parasect</t>
        </is>
      </c>
      <c r="C7" s="3" t="inlineStr">
        <is>
          <t>Bug</t>
        </is>
      </c>
      <c r="D7" s="3" t="inlineStr">
        <is>
          <t>Ghost</t>
        </is>
      </c>
      <c r="E7" s="3" t="n">
        <v>60</v>
      </c>
      <c r="F7" s="3" t="n">
        <v>95</v>
      </c>
      <c r="G7" s="3" t="n">
        <v>80</v>
      </c>
      <c r="H7" s="3" t="n">
        <v>60</v>
      </c>
      <c r="I7" s="3" t="n">
        <v>80</v>
      </c>
      <c r="J7" s="3" t="n">
        <v>30</v>
      </c>
      <c r="K7" s="3" t="inlineStr">
        <is>
          <t>ABILITY_EFFECT_SPORE</t>
        </is>
      </c>
      <c r="L7" s="3" t="inlineStr">
        <is>
          <t>ABILITY_DRY_SKIN</t>
        </is>
      </c>
      <c r="M7" s="3" t="inlineStr">
        <is>
          <t>ABILITY_DAMP</t>
        </is>
      </c>
    </row>
    <row r="8">
      <c r="A8" s="3" t="inlineStr">
        <is>
          <t>SPECIES_MANKEY</t>
        </is>
      </c>
      <c r="B8" s="3" t="inlineStr">
        <is>
          <t>Mankey</t>
        </is>
      </c>
      <c r="C8" s="3" t="inlineStr">
        <is>
          <t>Fighting</t>
        </is>
      </c>
      <c r="D8" s="3" t="inlineStr"/>
      <c r="E8" s="3" t="n">
        <v>40</v>
      </c>
      <c r="F8" s="3" t="n">
        <v>80</v>
      </c>
      <c r="G8" s="3" t="n">
        <v>35</v>
      </c>
      <c r="H8" s="3" t="n">
        <v>35</v>
      </c>
      <c r="I8" s="3" t="n">
        <v>45</v>
      </c>
      <c r="J8" s="3" t="n">
        <v>70</v>
      </c>
      <c r="K8" s="3" t="inlineStr">
        <is>
          <t>ABILITY_VITAL_SPIRIT</t>
        </is>
      </c>
      <c r="L8" s="3" t="inlineStr">
        <is>
          <t>ABILITY_ANGER_POINT</t>
        </is>
      </c>
      <c r="M8" s="3" t="inlineStr">
        <is>
          <t>ABILITY_DEFIANT</t>
        </is>
      </c>
    </row>
    <row r="9">
      <c r="A9" s="3" t="inlineStr">
        <is>
          <t>SPECIES_PRIMEAPE</t>
        </is>
      </c>
      <c r="B9" s="3" t="inlineStr">
        <is>
          <t>Primeape</t>
        </is>
      </c>
      <c r="C9" s="3" t="inlineStr">
        <is>
          <t>Fighting</t>
        </is>
      </c>
      <c r="D9" s="3" t="inlineStr"/>
      <c r="E9" s="3" t="n">
        <v>65</v>
      </c>
      <c r="F9" s="3" t="n">
        <v>105</v>
      </c>
      <c r="G9" s="3" t="n">
        <v>60</v>
      </c>
      <c r="H9" s="3" t="n">
        <v>60</v>
      </c>
      <c r="I9" s="3" t="n">
        <v>70</v>
      </c>
      <c r="J9" s="3" t="n">
        <v>95</v>
      </c>
      <c r="K9" s="3" t="inlineStr">
        <is>
          <t>ABILITY_VITAL_SPIRIT</t>
        </is>
      </c>
      <c r="L9" s="3" t="inlineStr">
        <is>
          <t>ABILITY_ANGER_POINT</t>
        </is>
      </c>
      <c r="M9" s="3" t="inlineStr">
        <is>
          <t>ABILITY_DEFIANT</t>
        </is>
      </c>
    </row>
    <row r="10">
      <c r="A10" s="3" t="inlineStr">
        <is>
          <t>SPECIES_ANNIHILAPE</t>
        </is>
      </c>
      <c r="B10" s="3" t="inlineStr">
        <is>
          <t>Annihilape</t>
        </is>
      </c>
      <c r="C10" s="3" t="inlineStr">
        <is>
          <t>Fighting</t>
        </is>
      </c>
      <c r="D10" s="3" t="inlineStr">
        <is>
          <t>Ghost</t>
        </is>
      </c>
      <c r="E10" s="3" t="n">
        <v>110</v>
      </c>
      <c r="F10" s="3" t="n">
        <v>115</v>
      </c>
      <c r="G10" s="3" t="n">
        <v>80</v>
      </c>
      <c r="H10" s="3" t="n">
        <v>50</v>
      </c>
      <c r="I10" s="3" t="n">
        <v>90</v>
      </c>
      <c r="J10" s="3" t="n">
        <v>90</v>
      </c>
      <c r="K10" s="3" t="inlineStr">
        <is>
          <t>ABILITY_VITAL_SPIRIT</t>
        </is>
      </c>
      <c r="L10" s="3" t="inlineStr">
        <is>
          <t>ABILITY_INNER_FOCUS</t>
        </is>
      </c>
      <c r="M10" s="3" t="inlineStr">
        <is>
          <t>ABILITY_DEFIANT</t>
        </is>
      </c>
    </row>
    <row r="11">
      <c r="A11" s="3" t="inlineStr">
        <is>
          <t>SPECIES_TENTACOOL</t>
        </is>
      </c>
      <c r="B11" s="3" t="inlineStr">
        <is>
          <t>Tentacool</t>
        </is>
      </c>
      <c r="C11" s="3" t="inlineStr">
        <is>
          <t>Water</t>
        </is>
      </c>
      <c r="D11" s="3" t="inlineStr">
        <is>
          <t>Poison</t>
        </is>
      </c>
      <c r="E11" s="3" t="n">
        <v>40</v>
      </c>
      <c r="F11" s="3" t="n">
        <v>40</v>
      </c>
      <c r="G11" s="3" t="n">
        <v>35</v>
      </c>
      <c r="H11" s="3" t="n">
        <v>50</v>
      </c>
      <c r="I11" s="3" t="n">
        <v>100</v>
      </c>
      <c r="J11" s="3" t="n">
        <v>70</v>
      </c>
      <c r="K11" s="3" t="inlineStr">
        <is>
          <t>ABILITY_CLEAR_BODY</t>
        </is>
      </c>
      <c r="L11" s="3" t="inlineStr">
        <is>
          <t>ABILITY_LIQUID_OOZE</t>
        </is>
      </c>
      <c r="M11" s="3" t="inlineStr">
        <is>
          <t>ABILITY_RAIN_DISH</t>
        </is>
      </c>
    </row>
    <row r="12">
      <c r="A12" s="3" t="inlineStr">
        <is>
          <t>SPECIES_TENTACRUEL</t>
        </is>
      </c>
      <c r="B12" s="3" t="inlineStr">
        <is>
          <t>Tentacruel</t>
        </is>
      </c>
      <c r="C12" s="3" t="inlineStr">
        <is>
          <t>Water</t>
        </is>
      </c>
      <c r="D12" s="3" t="inlineStr">
        <is>
          <t>Poison</t>
        </is>
      </c>
      <c r="E12" s="3" t="n">
        <v>80</v>
      </c>
      <c r="F12" s="3" t="n">
        <v>70</v>
      </c>
      <c r="G12" s="3" t="n">
        <v>65</v>
      </c>
      <c r="H12" s="3" t="n">
        <v>80</v>
      </c>
      <c r="I12" s="3" t="n">
        <v>120</v>
      </c>
      <c r="J12" s="3" t="n">
        <v>100</v>
      </c>
      <c r="K12" s="3" t="inlineStr">
        <is>
          <t>ABILITY_CLEAR_BODY</t>
        </is>
      </c>
      <c r="L12" s="3" t="inlineStr">
        <is>
          <t>ABILITY_LIQUID_OOZE</t>
        </is>
      </c>
      <c r="M12" s="3" t="inlineStr">
        <is>
          <t>ABILITY_RAIN_DISH</t>
        </is>
      </c>
    </row>
    <row r="13">
      <c r="A13" s="3" t="inlineStr">
        <is>
          <t>SPECIES_MAGNEMITE</t>
        </is>
      </c>
      <c r="B13" s="3" t="inlineStr">
        <is>
          <t>Magnemite</t>
        </is>
      </c>
      <c r="C13" s="3" t="inlineStr">
        <is>
          <t>Electric</t>
        </is>
      </c>
      <c r="D13" s="3" t="inlineStr"/>
      <c r="E13" s="3" t="n">
        <v>25</v>
      </c>
      <c r="F13" s="3" t="n">
        <v>35</v>
      </c>
      <c r="G13" s="3" t="n">
        <v>70</v>
      </c>
      <c r="H13" s="3" t="n">
        <v>95</v>
      </c>
      <c r="I13" s="3" t="n">
        <v>55</v>
      </c>
      <c r="J13" s="3" t="n">
        <v>45</v>
      </c>
      <c r="K13" s="3" t="inlineStr">
        <is>
          <t>ABILITY_MAGNET_PULL</t>
        </is>
      </c>
      <c r="L13" s="3" t="inlineStr">
        <is>
          <t>ABILITY_STURDY</t>
        </is>
      </c>
      <c r="M13" s="3" t="inlineStr">
        <is>
          <t>ABILITY_ANALYTIC</t>
        </is>
      </c>
    </row>
    <row r="14">
      <c r="A14" s="3" t="inlineStr">
        <is>
          <t>SPECIES_MAGNETON</t>
        </is>
      </c>
      <c r="B14" s="3" t="inlineStr">
        <is>
          <t>Magneton</t>
        </is>
      </c>
      <c r="C14" s="3" t="inlineStr">
        <is>
          <t>Electric</t>
        </is>
      </c>
      <c r="D14" s="3" t="inlineStr"/>
      <c r="E14" s="3" t="n">
        <v>50</v>
      </c>
      <c r="F14" s="3" t="n">
        <v>60</v>
      </c>
      <c r="G14" s="3" t="n">
        <v>95</v>
      </c>
      <c r="H14" s="3" t="n">
        <v>120</v>
      </c>
      <c r="I14" s="3" t="n">
        <v>70</v>
      </c>
      <c r="J14" s="3" t="n">
        <v>70</v>
      </c>
      <c r="K14" s="3" t="inlineStr">
        <is>
          <t>ABILITY_MAGNET_PULL</t>
        </is>
      </c>
      <c r="L14" s="3" t="inlineStr">
        <is>
          <t>ABILITY_STURDY</t>
        </is>
      </c>
      <c r="M14" s="3" t="inlineStr">
        <is>
          <t>ABILITY_ANALYTIC</t>
        </is>
      </c>
    </row>
    <row r="15">
      <c r="A15" s="3" t="inlineStr">
        <is>
          <t>SPECIES_MAGNEZONE</t>
        </is>
      </c>
      <c r="B15" s="3" t="inlineStr">
        <is>
          <t>Magnezone</t>
        </is>
      </c>
      <c r="C15" s="3" t="inlineStr">
        <is>
          <t>Electric</t>
        </is>
      </c>
      <c r="D15" s="3" t="inlineStr">
        <is>
          <t>Steel</t>
        </is>
      </c>
      <c r="E15" s="3" t="n">
        <v>70</v>
      </c>
      <c r="F15" s="3" t="n">
        <v>70</v>
      </c>
      <c r="G15" s="3" t="n">
        <v>115</v>
      </c>
      <c r="H15" s="3" t="n">
        <v>130</v>
      </c>
      <c r="I15" s="3" t="n">
        <v>90</v>
      </c>
      <c r="J15" s="3" t="n">
        <v>60</v>
      </c>
      <c r="K15" s="3" t="inlineStr">
        <is>
          <t>ABILITY_MAGNET_PULL</t>
        </is>
      </c>
      <c r="L15" s="3" t="inlineStr">
        <is>
          <t>ABILITY_STURDY</t>
        </is>
      </c>
      <c r="M15" s="3" t="inlineStr">
        <is>
          <t>ABILITY_ANALYTIC</t>
        </is>
      </c>
    </row>
    <row r="16">
      <c r="A16" s="3" t="inlineStr">
        <is>
          <t>SPECIES_RHYHORN</t>
        </is>
      </c>
      <c r="B16" s="3" t="inlineStr">
        <is>
          <t>Rhyhorn</t>
        </is>
      </c>
      <c r="C16" s="3" t="inlineStr">
        <is>
          <t>Ground</t>
        </is>
      </c>
      <c r="D16" s="3" t="inlineStr">
        <is>
          <t>Rock</t>
        </is>
      </c>
      <c r="E16" s="3" t="n">
        <v>80</v>
      </c>
      <c r="F16" s="3" t="n">
        <v>85</v>
      </c>
      <c r="G16" s="3" t="n">
        <v>95</v>
      </c>
      <c r="H16" s="3" t="n">
        <v>30</v>
      </c>
      <c r="I16" s="3" t="n">
        <v>30</v>
      </c>
      <c r="J16" s="3" t="n">
        <v>25</v>
      </c>
      <c r="K16" s="3" t="inlineStr">
        <is>
          <t>ABILITY_LIGHTNING_ROD</t>
        </is>
      </c>
      <c r="L16" s="3" t="inlineStr">
        <is>
          <t>ABILITY_ROCK_HEAD</t>
        </is>
      </c>
      <c r="M16" s="3" t="inlineStr">
        <is>
          <t>ABILITY_RECKLESS</t>
        </is>
      </c>
    </row>
    <row r="17">
      <c r="A17" s="3" t="inlineStr">
        <is>
          <t>SPECIES_RHYDON</t>
        </is>
      </c>
      <c r="B17" s="3" t="inlineStr">
        <is>
          <t>Rhydon</t>
        </is>
      </c>
      <c r="C17" s="3" t="inlineStr">
        <is>
          <t>Ground</t>
        </is>
      </c>
      <c r="D17" s="3" t="inlineStr">
        <is>
          <t>Rock</t>
        </is>
      </c>
      <c r="E17" s="3" t="n">
        <v>105</v>
      </c>
      <c r="F17" s="3" t="n">
        <v>130</v>
      </c>
      <c r="G17" s="3" t="n">
        <v>120</v>
      </c>
      <c r="H17" s="3" t="n">
        <v>45</v>
      </c>
      <c r="I17" s="3" t="n">
        <v>45</v>
      </c>
      <c r="J17" s="3" t="n">
        <v>40</v>
      </c>
      <c r="K17" s="3" t="inlineStr">
        <is>
          <t>ABILITY_LIGHTNING_ROD</t>
        </is>
      </c>
      <c r="L17" s="3" t="inlineStr">
        <is>
          <t>ABILITY_ROCK_HEAD</t>
        </is>
      </c>
      <c r="M17" s="3" t="inlineStr">
        <is>
          <t>ABILITY_RECKLESS</t>
        </is>
      </c>
    </row>
    <row r="18">
      <c r="A18" s="3" t="inlineStr">
        <is>
          <t>SPECIES_RHYPERIOR</t>
        </is>
      </c>
      <c r="B18" s="3" t="inlineStr">
        <is>
          <t>Rhyperior</t>
        </is>
      </c>
      <c r="C18" s="3" t="inlineStr">
        <is>
          <t>Ground</t>
        </is>
      </c>
      <c r="D18" s="3" t="inlineStr">
        <is>
          <t>Rock</t>
        </is>
      </c>
      <c r="E18" s="3" t="n">
        <v>115</v>
      </c>
      <c r="F18" s="3" t="n">
        <v>140</v>
      </c>
      <c r="G18" s="3" t="n">
        <v>130</v>
      </c>
      <c r="H18" s="3" t="n">
        <v>55</v>
      </c>
      <c r="I18" s="3" t="n">
        <v>55</v>
      </c>
      <c r="J18" s="3" t="n">
        <v>40</v>
      </c>
      <c r="K18" s="3" t="inlineStr">
        <is>
          <t>ABILITY_LIGHTNING_ROD</t>
        </is>
      </c>
      <c r="L18" s="3" t="inlineStr">
        <is>
          <t>ABILITY_SOLID_ROCK</t>
        </is>
      </c>
      <c r="M18" s="3" t="inlineStr">
        <is>
          <t>ABILITY_RECKLESS</t>
        </is>
      </c>
    </row>
    <row r="19">
      <c r="A19" s="3" t="inlineStr">
        <is>
          <t>SPECIES_ELEKID</t>
        </is>
      </c>
      <c r="B19" s="3" t="inlineStr">
        <is>
          <t>Elekid</t>
        </is>
      </c>
      <c r="C19" s="3" t="inlineStr">
        <is>
          <t>Electric</t>
        </is>
      </c>
      <c r="D19" s="3" t="inlineStr"/>
      <c r="E19" s="3" t="n">
        <v>45</v>
      </c>
      <c r="F19" s="3" t="n">
        <v>63</v>
      </c>
      <c r="G19" s="3" t="n">
        <v>37</v>
      </c>
      <c r="H19" s="3" t="n">
        <v>65</v>
      </c>
      <c r="I19" s="3" t="n">
        <v>55</v>
      </c>
      <c r="J19" s="3" t="n">
        <v>95</v>
      </c>
      <c r="K19" s="3" t="inlineStr">
        <is>
          <t>ABILITY_STATIC</t>
        </is>
      </c>
      <c r="L19" s="3" t="inlineStr">
        <is>
          <t>ABILITY_VITAL_SPIRIT</t>
        </is>
      </c>
      <c r="M19" s="3" t="inlineStr"/>
    </row>
    <row r="20">
      <c r="A20" s="3" t="inlineStr">
        <is>
          <t>SPECIES_ELECTABUZZ</t>
        </is>
      </c>
      <c r="B20" s="3" t="inlineStr">
        <is>
          <t>Electabuzz</t>
        </is>
      </c>
      <c r="C20" s="3" t="inlineStr">
        <is>
          <t>Electric</t>
        </is>
      </c>
      <c r="D20" s="3" t="inlineStr"/>
      <c r="E20" s="3" t="n">
        <v>65</v>
      </c>
      <c r="F20" s="3" t="n">
        <v>83</v>
      </c>
      <c r="G20" s="3" t="n">
        <v>57</v>
      </c>
      <c r="H20" s="3" t="n">
        <v>95</v>
      </c>
      <c r="I20" s="3" t="n">
        <v>85</v>
      </c>
      <c r="J20" s="3" t="n">
        <v>105</v>
      </c>
      <c r="K20" s="3" t="inlineStr">
        <is>
          <t>ABILITY_STATIC</t>
        </is>
      </c>
      <c r="L20" s="3" t="inlineStr">
        <is>
          <t>ABILITY_VITAL_SPIRIT</t>
        </is>
      </c>
      <c r="M20" s="3" t="inlineStr"/>
    </row>
    <row r="21">
      <c r="A21" s="3" t="inlineStr">
        <is>
          <t>SPECIES_ELECTIVIRE</t>
        </is>
      </c>
      <c r="B21" s="3" t="inlineStr">
        <is>
          <t>Electivire</t>
        </is>
      </c>
      <c r="C21" s="3" t="inlineStr">
        <is>
          <t>Electric</t>
        </is>
      </c>
      <c r="D21" s="3" t="inlineStr">
        <is>
          <t>Fighting</t>
        </is>
      </c>
      <c r="E21" s="3" t="n">
        <v>75</v>
      </c>
      <c r="F21" s="3" t="n">
        <v>123</v>
      </c>
      <c r="G21" s="3" t="n">
        <v>67</v>
      </c>
      <c r="H21" s="3" t="n">
        <v>95</v>
      </c>
      <c r="I21" s="3" t="n">
        <v>85</v>
      </c>
      <c r="J21" s="3" t="n">
        <v>95</v>
      </c>
      <c r="K21" s="3" t="inlineStr">
        <is>
          <t>ABILITY_MOTOR_DRIVE</t>
        </is>
      </c>
      <c r="L21" s="3" t="inlineStr">
        <is>
          <t>ABILITY_VITAL_SPIRIT</t>
        </is>
      </c>
      <c r="M21" s="3" t="inlineStr"/>
    </row>
    <row r="22">
      <c r="A22" s="3" t="inlineStr">
        <is>
          <t>SPECIES_MAGBY</t>
        </is>
      </c>
      <c r="B22" s="3" t="inlineStr">
        <is>
          <t>Magby</t>
        </is>
      </c>
      <c r="C22" s="3" t="inlineStr">
        <is>
          <t>Fire</t>
        </is>
      </c>
      <c r="D22" s="3" t="inlineStr"/>
      <c r="E22" s="3" t="n">
        <v>45</v>
      </c>
      <c r="F22" s="3" t="n">
        <v>75</v>
      </c>
      <c r="G22" s="3" t="n">
        <v>37</v>
      </c>
      <c r="H22" s="3" t="n">
        <v>70</v>
      </c>
      <c r="I22" s="3" t="n">
        <v>55</v>
      </c>
      <c r="J22" s="3" t="n">
        <v>83</v>
      </c>
      <c r="K22" s="3" t="inlineStr">
        <is>
          <t>ABILITY_FLAME_BODY</t>
        </is>
      </c>
      <c r="L22" s="3" t="inlineStr">
        <is>
          <t>ABILITY_VITAL_SPIRIT</t>
        </is>
      </c>
      <c r="M22" s="3" t="inlineStr"/>
    </row>
    <row r="23">
      <c r="A23" s="3" t="inlineStr">
        <is>
          <t>SPECIES_MAGMAR</t>
        </is>
      </c>
      <c r="B23" s="3" t="inlineStr">
        <is>
          <t>Magmar</t>
        </is>
      </c>
      <c r="C23" s="3" t="inlineStr">
        <is>
          <t>Fire</t>
        </is>
      </c>
      <c r="D23" s="3" t="inlineStr"/>
      <c r="E23" s="3" t="n">
        <v>65</v>
      </c>
      <c r="F23" s="3" t="n">
        <v>95</v>
      </c>
      <c r="G23" s="3" t="n">
        <v>57</v>
      </c>
      <c r="H23" s="3" t="n">
        <v>100</v>
      </c>
      <c r="I23" s="3" t="n">
        <v>85</v>
      </c>
      <c r="J23" s="3" t="n">
        <v>93</v>
      </c>
      <c r="K23" s="3" t="inlineStr">
        <is>
          <t>ABILITY_FLAME_BODY</t>
        </is>
      </c>
      <c r="L23" s="3" t="inlineStr">
        <is>
          <t>ABILITY_VITAL_SPIRIT</t>
        </is>
      </c>
      <c r="M23" s="3" t="inlineStr"/>
    </row>
    <row r="24">
      <c r="A24" s="3" t="inlineStr">
        <is>
          <t>SPECIES_MAGMORTAR</t>
        </is>
      </c>
      <c r="B24" s="3" t="inlineStr">
        <is>
          <t>Magmortar</t>
        </is>
      </c>
      <c r="C24" s="3" t="inlineStr">
        <is>
          <t>Fire</t>
        </is>
      </c>
      <c r="D24" s="3" t="inlineStr"/>
      <c r="E24" s="3" t="n">
        <v>75</v>
      </c>
      <c r="F24" s="3" t="n">
        <v>95</v>
      </c>
      <c r="G24" s="3" t="n">
        <v>67</v>
      </c>
      <c r="H24" s="3" t="n">
        <v>125</v>
      </c>
      <c r="I24" s="3" t="n">
        <v>95</v>
      </c>
      <c r="J24" s="3" t="n">
        <v>83</v>
      </c>
      <c r="K24" s="3" t="inlineStr">
        <is>
          <t>ABILITY_FLAME_BODY</t>
        </is>
      </c>
      <c r="L24" s="3" t="inlineStr">
        <is>
          <t>ABILITY_VITAL_SPIRIT</t>
        </is>
      </c>
      <c r="M24" s="3" t="inlineStr"/>
    </row>
    <row r="25">
      <c r="A25" s="3" t="inlineStr">
        <is>
          <t>SPECIES_MAGIKARP</t>
        </is>
      </c>
      <c r="B25" s="3" t="inlineStr">
        <is>
          <t>Magikarp</t>
        </is>
      </c>
      <c r="C25" s="3" t="inlineStr">
        <is>
          <t>Water</t>
        </is>
      </c>
      <c r="D25" s="3" t="inlineStr"/>
      <c r="E25" s="3" t="n">
        <v>20</v>
      </c>
      <c r="F25" s="3" t="n">
        <v>10</v>
      </c>
      <c r="G25" s="3" t="n">
        <v>55</v>
      </c>
      <c r="H25" s="3" t="n">
        <v>15</v>
      </c>
      <c r="I25" s="3" t="n">
        <v>20</v>
      </c>
      <c r="J25" s="3" t="n">
        <v>80</v>
      </c>
      <c r="K25" s="3" t="inlineStr">
        <is>
          <t>ABILITY_SWIFT_SWIM</t>
        </is>
      </c>
      <c r="L25" s="3" t="inlineStr">
        <is>
          <t>ABILITY_RATTLED</t>
        </is>
      </c>
      <c r="M25" s="3" t="inlineStr"/>
    </row>
    <row r="26">
      <c r="A26" s="3" t="inlineStr">
        <is>
          <t>SPECIES_GYARADOS</t>
        </is>
      </c>
      <c r="B26" s="3" t="inlineStr">
        <is>
          <t>Gyarados</t>
        </is>
      </c>
      <c r="C26" s="3" t="inlineStr">
        <is>
          <t>Water</t>
        </is>
      </c>
      <c r="D26" s="3" t="inlineStr">
        <is>
          <t>Flying</t>
        </is>
      </c>
      <c r="E26" s="3" t="n">
        <v>95</v>
      </c>
      <c r="F26" s="3" t="n">
        <v>125</v>
      </c>
      <c r="G26" s="3" t="n">
        <v>79</v>
      </c>
      <c r="H26" s="3" t="n">
        <v>60</v>
      </c>
      <c r="I26" s="3" t="n">
        <v>100</v>
      </c>
      <c r="J26" s="3" t="n">
        <v>81</v>
      </c>
      <c r="K26" s="3" t="inlineStr">
        <is>
          <t>ABILITY_INTIMIDATE</t>
        </is>
      </c>
      <c r="L26" s="3" t="inlineStr">
        <is>
          <t>ABILITY_MOXIE</t>
        </is>
      </c>
      <c r="M26" s="3" t="inlineStr"/>
    </row>
    <row r="27">
      <c r="A27" s="3" t="inlineStr">
        <is>
          <t>SPECIES_SENTRET</t>
        </is>
      </c>
      <c r="B27" s="3" t="inlineStr">
        <is>
          <t>Sentret</t>
        </is>
      </c>
      <c r="C27" s="3" t="inlineStr">
        <is>
          <t>Normal</t>
        </is>
      </c>
      <c r="D27" s="3" t="inlineStr"/>
      <c r="E27" s="3" t="n">
        <v>60</v>
      </c>
      <c r="F27" s="3" t="n">
        <v>51</v>
      </c>
      <c r="G27" s="3" t="n">
        <v>44</v>
      </c>
      <c r="H27" s="3" t="n">
        <v>25</v>
      </c>
      <c r="I27" s="3" t="n">
        <v>45</v>
      </c>
      <c r="J27" s="3" t="n">
        <v>45</v>
      </c>
      <c r="K27" s="3" t="inlineStr">
        <is>
          <t>ABILITY_KEEN_EYE</t>
        </is>
      </c>
      <c r="L27" s="3" t="inlineStr">
        <is>
          <t>ABILITY_FRISK</t>
        </is>
      </c>
      <c r="M27" s="3" t="inlineStr">
        <is>
          <t>ABILITY_WIMP_OUT</t>
        </is>
      </c>
    </row>
    <row r="28">
      <c r="A28" s="3" t="inlineStr">
        <is>
          <t>SPECIES_FURRET</t>
        </is>
      </c>
      <c r="B28" s="3" t="inlineStr">
        <is>
          <t>Furret</t>
        </is>
      </c>
      <c r="C28" s="3" t="inlineStr">
        <is>
          <t>Normal</t>
        </is>
      </c>
      <c r="D28" s="3" t="inlineStr"/>
      <c r="E28" s="3" t="n">
        <v>85</v>
      </c>
      <c r="F28" s="3" t="n">
        <v>76</v>
      </c>
      <c r="G28" s="3" t="n">
        <v>64</v>
      </c>
      <c r="H28" s="3" t="n">
        <v>45</v>
      </c>
      <c r="I28" s="3" t="n">
        <v>55</v>
      </c>
      <c r="J28" s="3" t="n">
        <v>90</v>
      </c>
      <c r="K28" s="3" t="inlineStr">
        <is>
          <t>ABILITY_KEEN_EYE</t>
        </is>
      </c>
      <c r="L28" s="3" t="inlineStr">
        <is>
          <t>ABILITY_FRISK</t>
        </is>
      </c>
      <c r="M28" s="3" t="inlineStr">
        <is>
          <t>ABILITY_EMERGENCY_EXIT</t>
        </is>
      </c>
    </row>
    <row r="29">
      <c r="A29" s="3" t="inlineStr">
        <is>
          <t>SPECIES_CHINCHOU</t>
        </is>
      </c>
      <c r="B29" s="3" t="inlineStr">
        <is>
          <t>Chinchou</t>
        </is>
      </c>
      <c r="C29" s="3" t="inlineStr">
        <is>
          <t>Water</t>
        </is>
      </c>
      <c r="D29" s="3" t="inlineStr">
        <is>
          <t>Electric</t>
        </is>
      </c>
      <c r="E29" s="3" t="n">
        <v>75</v>
      </c>
      <c r="F29" s="3" t="n">
        <v>38</v>
      </c>
      <c r="G29" s="3" t="n">
        <v>38</v>
      </c>
      <c r="H29" s="3" t="n">
        <v>56</v>
      </c>
      <c r="I29" s="3" t="n">
        <v>56</v>
      </c>
      <c r="J29" s="3" t="n">
        <v>67</v>
      </c>
      <c r="K29" s="3" t="inlineStr">
        <is>
          <t>ABILITY_VOLT_ABSORB</t>
        </is>
      </c>
      <c r="L29" s="3" t="inlineStr">
        <is>
          <t>ABILITY_ILLUMINATE</t>
        </is>
      </c>
      <c r="M29" s="3" t="inlineStr">
        <is>
          <t>ABILITY_WATER_ABSORB</t>
        </is>
      </c>
    </row>
    <row r="30">
      <c r="A30" s="3" t="inlineStr">
        <is>
          <t>SPECIES_LANTURN</t>
        </is>
      </c>
      <c r="B30" s="3" t="inlineStr">
        <is>
          <t>Lanturn</t>
        </is>
      </c>
      <c r="C30" s="3" t="inlineStr">
        <is>
          <t>Water</t>
        </is>
      </c>
      <c r="D30" s="3" t="inlineStr">
        <is>
          <t>Electric</t>
        </is>
      </c>
      <c r="E30" s="3" t="n">
        <v>125</v>
      </c>
      <c r="F30" s="3" t="n">
        <v>58</v>
      </c>
      <c r="G30" s="3" t="n">
        <v>58</v>
      </c>
      <c r="H30" s="3" t="n">
        <v>76</v>
      </c>
      <c r="I30" s="3" t="n">
        <v>76</v>
      </c>
      <c r="J30" s="3" t="n">
        <v>67</v>
      </c>
      <c r="K30" s="3" t="inlineStr">
        <is>
          <t>ABILITY_VOLT_ABSORB</t>
        </is>
      </c>
      <c r="L30" s="3" t="inlineStr">
        <is>
          <t>ABILITY_ILLUMINATE</t>
        </is>
      </c>
      <c r="M30" s="3" t="inlineStr">
        <is>
          <t>ABILITY_WATER_ABSORB</t>
        </is>
      </c>
    </row>
    <row r="31">
      <c r="A31" s="3" t="inlineStr">
        <is>
          <t>SPECIES_MAREEP</t>
        </is>
      </c>
      <c r="B31" s="3" t="inlineStr">
        <is>
          <t>Mareep</t>
        </is>
      </c>
      <c r="C31" s="3" t="inlineStr">
        <is>
          <t>Electric</t>
        </is>
      </c>
      <c r="D31" s="3" t="inlineStr">
        <is>
          <t>Fairy</t>
        </is>
      </c>
      <c r="E31" s="3" t="n">
        <v>55</v>
      </c>
      <c r="F31" s="3" t="n">
        <v>40</v>
      </c>
      <c r="G31" s="3" t="n">
        <v>40</v>
      </c>
      <c r="H31" s="3" t="n">
        <v>65</v>
      </c>
      <c r="I31" s="3" t="n">
        <v>45</v>
      </c>
      <c r="J31" s="3" t="n">
        <v>35</v>
      </c>
      <c r="K31" s="3" t="inlineStr">
        <is>
          <t>ABILITY_STATIC</t>
        </is>
      </c>
      <c r="L31" s="3" t="inlineStr">
        <is>
          <t>ABILITY_PLUS</t>
        </is>
      </c>
      <c r="M31" s="3" t="inlineStr"/>
    </row>
    <row r="32">
      <c r="A32" s="3" t="inlineStr">
        <is>
          <t>SPECIES_FLAAFFY</t>
        </is>
      </c>
      <c r="B32" s="3" t="inlineStr">
        <is>
          <t>Flaaffy</t>
        </is>
      </c>
      <c r="C32" s="3" t="inlineStr">
        <is>
          <t>Electric</t>
        </is>
      </c>
      <c r="D32" s="3" t="inlineStr">
        <is>
          <t>Fairy</t>
        </is>
      </c>
      <c r="E32" s="3" t="n">
        <v>70</v>
      </c>
      <c r="F32" s="3" t="n">
        <v>55</v>
      </c>
      <c r="G32" s="3" t="n">
        <v>55</v>
      </c>
      <c r="H32" s="3" t="n">
        <v>80</v>
      </c>
      <c r="I32" s="3" t="n">
        <v>60</v>
      </c>
      <c r="J32" s="3" t="n">
        <v>45</v>
      </c>
      <c r="K32" s="3" t="inlineStr">
        <is>
          <t>ABILITY_STATIC</t>
        </is>
      </c>
      <c r="L32" s="3" t="inlineStr">
        <is>
          <t>ABILITY_PLUS</t>
        </is>
      </c>
      <c r="M32" s="3" t="inlineStr"/>
    </row>
    <row r="33">
      <c r="A33" s="3" t="inlineStr">
        <is>
          <t>SPECIES_AMPHAROS</t>
        </is>
      </c>
      <c r="B33" s="3" t="inlineStr">
        <is>
          <t>Ampharos</t>
        </is>
      </c>
      <c r="C33" s="3" t="inlineStr">
        <is>
          <t>Electric</t>
        </is>
      </c>
      <c r="D33" s="3" t="inlineStr">
        <is>
          <t>Fairy</t>
        </is>
      </c>
      <c r="E33" s="3" t="n">
        <v>90</v>
      </c>
      <c r="F33" s="3" t="n">
        <v>75</v>
      </c>
      <c r="G33" s="3" t="n">
        <v>85</v>
      </c>
      <c r="H33" s="3" t="n">
        <v>115</v>
      </c>
      <c r="I33" s="3" t="n">
        <v>90</v>
      </c>
      <c r="J33" s="3" t="n">
        <v>55</v>
      </c>
      <c r="K33" s="3" t="inlineStr">
        <is>
          <t>ABILITY_STATIC</t>
        </is>
      </c>
      <c r="L33" s="3" t="inlineStr">
        <is>
          <t>ABILITY_PLUS</t>
        </is>
      </c>
      <c r="M33" s="3" t="inlineStr"/>
    </row>
    <row r="34">
      <c r="A34" s="3" t="inlineStr">
        <is>
          <t>SPECIES_WOOPER_PALDEA</t>
        </is>
      </c>
      <c r="B34" s="3" t="inlineStr">
        <is>
          <t>Wooper-Paldea</t>
        </is>
      </c>
      <c r="C34" s="3" t="inlineStr">
        <is>
          <t>Poison</t>
        </is>
      </c>
      <c r="D34" s="3" t="inlineStr">
        <is>
          <t>Ground</t>
        </is>
      </c>
      <c r="E34" s="3" t="n">
        <v>55</v>
      </c>
      <c r="F34" s="3" t="n">
        <v>45</v>
      </c>
      <c r="G34" s="3" t="n">
        <v>45</v>
      </c>
      <c r="H34" s="3" t="n">
        <v>25</v>
      </c>
      <c r="I34" s="3" t="n">
        <v>25</v>
      </c>
      <c r="J34" s="3" t="n">
        <v>15</v>
      </c>
      <c r="K34" s="3" t="inlineStr">
        <is>
          <t>ABILITY_POISON_POINT</t>
        </is>
      </c>
      <c r="L34" s="3" t="inlineStr">
        <is>
          <t>ABILITY_WATER_ABSORB</t>
        </is>
      </c>
      <c r="M34" s="3" t="inlineStr">
        <is>
          <t>ABILITY_UNAWARE</t>
        </is>
      </c>
    </row>
    <row r="35">
      <c r="A35" s="3" t="inlineStr">
        <is>
          <t>SPECIES_CLODSIRE</t>
        </is>
      </c>
      <c r="B35" s="3" t="inlineStr">
        <is>
          <t>Clodsire</t>
        </is>
      </c>
      <c r="C35" s="3" t="inlineStr">
        <is>
          <t>Poison</t>
        </is>
      </c>
      <c r="D35" s="3" t="inlineStr">
        <is>
          <t>Ground</t>
        </is>
      </c>
      <c r="E35" s="3" t="n">
        <v>130</v>
      </c>
      <c r="F35" s="3" t="n">
        <v>75</v>
      </c>
      <c r="G35" s="3" t="n">
        <v>60</v>
      </c>
      <c r="H35" s="3" t="n">
        <v>45</v>
      </c>
      <c r="I35" s="3" t="n">
        <v>100</v>
      </c>
      <c r="J35" s="3" t="n">
        <v>20</v>
      </c>
      <c r="K35" s="3" t="inlineStr">
        <is>
          <t>ABILITY_POISON_POINT</t>
        </is>
      </c>
      <c r="L35" s="3" t="inlineStr">
        <is>
          <t>ABILITY_WATER_ABSORB</t>
        </is>
      </c>
      <c r="M35" s="3" t="inlineStr">
        <is>
          <t>ABILITY_UNAWARE</t>
        </is>
      </c>
    </row>
    <row r="36">
      <c r="A36" s="3" t="inlineStr">
        <is>
          <t>SPECIES_MURKROW</t>
        </is>
      </c>
      <c r="B36" s="3" t="inlineStr">
        <is>
          <t>Murkrow</t>
        </is>
      </c>
      <c r="C36" s="3" t="inlineStr">
        <is>
          <t>Dark</t>
        </is>
      </c>
      <c r="D36" s="3" t="inlineStr">
        <is>
          <t>Flying</t>
        </is>
      </c>
      <c r="E36" s="3" t="n">
        <v>60</v>
      </c>
      <c r="F36" s="3" t="n">
        <v>85</v>
      </c>
      <c r="G36" s="3" t="n">
        <v>42</v>
      </c>
      <c r="H36" s="3" t="n">
        <v>85</v>
      </c>
      <c r="I36" s="3" t="n">
        <v>42</v>
      </c>
      <c r="J36" s="3" t="n">
        <v>91</v>
      </c>
      <c r="K36" s="3" t="inlineStr">
        <is>
          <t>ABILITY_INSOMNIA</t>
        </is>
      </c>
      <c r="L36" s="3" t="inlineStr">
        <is>
          <t>ABILITY_SUPER_LUCK</t>
        </is>
      </c>
      <c r="M36" s="3" t="inlineStr">
        <is>
          <t>ABILITY_PRANKSTER</t>
        </is>
      </c>
    </row>
    <row r="37">
      <c r="A37" s="3" t="inlineStr">
        <is>
          <t>SPECIES_HONCHKROW</t>
        </is>
      </c>
      <c r="B37" s="3" t="inlineStr">
        <is>
          <t>Honchkrow</t>
        </is>
      </c>
      <c r="C37" s="3" t="inlineStr">
        <is>
          <t>Dark</t>
        </is>
      </c>
      <c r="D37" s="3" t="inlineStr">
        <is>
          <t>Flying</t>
        </is>
      </c>
      <c r="E37" s="3" t="n">
        <v>100</v>
      </c>
      <c r="F37" s="3" t="n">
        <v>125</v>
      </c>
      <c r="G37" s="3" t="n">
        <v>52</v>
      </c>
      <c r="H37" s="3" t="n">
        <v>105</v>
      </c>
      <c r="I37" s="3" t="n">
        <v>52</v>
      </c>
      <c r="J37" s="3" t="n">
        <v>71</v>
      </c>
      <c r="K37" s="3" t="inlineStr">
        <is>
          <t>ABILITY_INSOMNIA</t>
        </is>
      </c>
      <c r="L37" s="3" t="inlineStr">
        <is>
          <t>ABILITY_SUPER_LUCK</t>
        </is>
      </c>
      <c r="M37" s="3" t="inlineStr">
        <is>
          <t>ABILITY_MOXIE</t>
        </is>
      </c>
    </row>
    <row r="38">
      <c r="A38" s="3" t="inlineStr">
        <is>
          <t>SPECIES_MISDREAVUS</t>
        </is>
      </c>
      <c r="B38" s="3" t="inlineStr">
        <is>
          <t>Misdreavus</t>
        </is>
      </c>
      <c r="C38" s="3" t="inlineStr">
        <is>
          <t>Ghost</t>
        </is>
      </c>
      <c r="D38" s="3" t="inlineStr">
        <is>
          <t>Fairy</t>
        </is>
      </c>
      <c r="E38" s="3" t="n">
        <v>60</v>
      </c>
      <c r="F38" s="3" t="n">
        <v>60</v>
      </c>
      <c r="G38" s="3" t="n">
        <v>60</v>
      </c>
      <c r="H38" s="3" t="n">
        <v>85</v>
      </c>
      <c r="I38" s="3" t="n">
        <v>85</v>
      </c>
      <c r="J38" s="3" t="n">
        <v>85</v>
      </c>
      <c r="K38" s="3" t="inlineStr">
        <is>
          <t>ABILITY_LEVITATE</t>
        </is>
      </c>
      <c r="L38" s="3" t="inlineStr"/>
      <c r="M38" s="3" t="inlineStr"/>
    </row>
    <row r="39">
      <c r="A39" s="3" t="inlineStr">
        <is>
          <t>SPECIES_MISMAGIUS</t>
        </is>
      </c>
      <c r="B39" s="3" t="inlineStr">
        <is>
          <t>Mismagius</t>
        </is>
      </c>
      <c r="C39" s="3" t="inlineStr">
        <is>
          <t>Ghost</t>
        </is>
      </c>
      <c r="D39" s="3" t="inlineStr">
        <is>
          <t>Fairy</t>
        </is>
      </c>
      <c r="E39" s="3" t="n">
        <v>60</v>
      </c>
      <c r="F39" s="3" t="n">
        <v>60</v>
      </c>
      <c r="G39" s="3" t="n">
        <v>60</v>
      </c>
      <c r="H39" s="3" t="n">
        <v>105</v>
      </c>
      <c r="I39" s="3" t="n">
        <v>105</v>
      </c>
      <c r="J39" s="3" t="n">
        <v>105</v>
      </c>
      <c r="K39" s="3" t="inlineStr">
        <is>
          <t>ABILITY_LEVITATE</t>
        </is>
      </c>
      <c r="L39" s="3" t="inlineStr"/>
      <c r="M39" s="3" t="inlineStr"/>
    </row>
    <row r="40">
      <c r="A40" s="3" t="inlineStr">
        <is>
          <t>SPECIES_QWILFISH_HISUI</t>
        </is>
      </c>
      <c r="B40" s="3" t="inlineStr">
        <is>
          <t>Qwilfish-Hisui</t>
        </is>
      </c>
      <c r="C40" s="3" t="inlineStr">
        <is>
          <t>Dark</t>
        </is>
      </c>
      <c r="D40" s="3" t="inlineStr">
        <is>
          <t>Poison</t>
        </is>
      </c>
      <c r="E40" s="3" t="n">
        <v>65</v>
      </c>
      <c r="F40" s="3" t="n">
        <v>95</v>
      </c>
      <c r="G40" s="3" t="n">
        <v>85</v>
      </c>
      <c r="H40" s="3" t="n">
        <v>55</v>
      </c>
      <c r="I40" s="3" t="n">
        <v>55</v>
      </c>
      <c r="J40" s="3" t="n">
        <v>85</v>
      </c>
      <c r="K40" s="3" t="inlineStr">
        <is>
          <t>ABILITY_POISON_POINT</t>
        </is>
      </c>
      <c r="L40" s="3" t="inlineStr">
        <is>
          <t>ABILITY_SWIFT_SWIM</t>
        </is>
      </c>
      <c r="M40" s="3" t="inlineStr">
        <is>
          <t>ABILITY_INTIMIDATE</t>
        </is>
      </c>
    </row>
    <row r="41">
      <c r="A41" s="3" t="inlineStr">
        <is>
          <t>SPECIES_OVERQWIL</t>
        </is>
      </c>
      <c r="B41" s="3" t="inlineStr">
        <is>
          <t>Overqwil</t>
        </is>
      </c>
      <c r="C41" s="3" t="inlineStr">
        <is>
          <t>Dark</t>
        </is>
      </c>
      <c r="D41" s="3" t="inlineStr">
        <is>
          <t>Poison</t>
        </is>
      </c>
      <c r="E41" s="3" t="n">
        <v>85</v>
      </c>
      <c r="F41" s="3" t="n">
        <v>115</v>
      </c>
      <c r="G41" s="3" t="n">
        <v>95</v>
      </c>
      <c r="H41" s="3" t="n">
        <v>65</v>
      </c>
      <c r="I41" s="3" t="n">
        <v>65</v>
      </c>
      <c r="J41" s="3" t="n">
        <v>85</v>
      </c>
      <c r="K41" s="3" t="inlineStr">
        <is>
          <t>ABILITY_POISON_POINT</t>
        </is>
      </c>
      <c r="L41" s="3" t="inlineStr">
        <is>
          <t>ABILITY_SWIFT_SWIM</t>
        </is>
      </c>
      <c r="M41" s="3" t="inlineStr">
        <is>
          <t>ABILITY_INTIMIDATE</t>
        </is>
      </c>
    </row>
    <row r="42">
      <c r="A42" s="3" t="inlineStr">
        <is>
          <t>SPECIES_TEDDIURSA</t>
        </is>
      </c>
      <c r="B42" s="3" t="inlineStr">
        <is>
          <t>Teddiursa</t>
        </is>
      </c>
      <c r="C42" s="3" t="inlineStr">
        <is>
          <t>Normal</t>
        </is>
      </c>
      <c r="D42" s="3" t="inlineStr"/>
      <c r="E42" s="3" t="n">
        <v>60</v>
      </c>
      <c r="F42" s="3" t="n">
        <v>80</v>
      </c>
      <c r="G42" s="3" t="n">
        <v>50</v>
      </c>
      <c r="H42" s="3" t="n">
        <v>50</v>
      </c>
      <c r="I42" s="3" t="n">
        <v>50</v>
      </c>
      <c r="J42" s="3" t="n">
        <v>40</v>
      </c>
      <c r="K42" s="3" t="inlineStr">
        <is>
          <t>ABILITY_PICKUP</t>
        </is>
      </c>
      <c r="L42" s="3" t="inlineStr">
        <is>
          <t>ABILITY_QUICK_FEET</t>
        </is>
      </c>
      <c r="M42" s="3" t="inlineStr">
        <is>
          <t>ABILITY_HONEY_GATHER</t>
        </is>
      </c>
    </row>
    <row r="43">
      <c r="A43" s="3" t="inlineStr">
        <is>
          <t>SPECIES_URSARING</t>
        </is>
      </c>
      <c r="B43" s="3" t="inlineStr">
        <is>
          <t>Ursaring</t>
        </is>
      </c>
      <c r="C43" s="3" t="inlineStr">
        <is>
          <t>Normal</t>
        </is>
      </c>
      <c r="D43" s="3" t="inlineStr"/>
      <c r="E43" s="3" t="n">
        <v>90</v>
      </c>
      <c r="F43" s="3" t="n">
        <v>130</v>
      </c>
      <c r="G43" s="3" t="n">
        <v>75</v>
      </c>
      <c r="H43" s="3" t="n">
        <v>75</v>
      </c>
      <c r="I43" s="3" t="n">
        <v>75</v>
      </c>
      <c r="J43" s="3" t="n">
        <v>55</v>
      </c>
      <c r="K43" s="3" t="inlineStr">
        <is>
          <t>ABILITY_GUTS</t>
        </is>
      </c>
      <c r="L43" s="3" t="inlineStr">
        <is>
          <t>ABILITY_QUICK_FEET</t>
        </is>
      </c>
      <c r="M43" s="3" t="inlineStr">
        <is>
          <t>ABILITY_UNNERVE</t>
        </is>
      </c>
    </row>
    <row r="44">
      <c r="A44" s="3" t="inlineStr">
        <is>
          <t>SPECIES_URSALUNA</t>
        </is>
      </c>
      <c r="B44" s="3" t="inlineStr">
        <is>
          <t>Ursaluna</t>
        </is>
      </c>
      <c r="C44" s="3" t="inlineStr">
        <is>
          <t>Ground</t>
        </is>
      </c>
      <c r="D44" s="3" t="inlineStr">
        <is>
          <t>Normal</t>
        </is>
      </c>
      <c r="E44" s="3" t="n">
        <v>130</v>
      </c>
      <c r="F44" s="3" t="n">
        <v>140</v>
      </c>
      <c r="G44" s="3" t="n">
        <v>105</v>
      </c>
      <c r="H44" s="3" t="n">
        <v>45</v>
      </c>
      <c r="I44" s="3" t="n">
        <v>80</v>
      </c>
      <c r="J44" s="3" t="n">
        <v>50</v>
      </c>
      <c r="K44" s="3" t="inlineStr">
        <is>
          <t>ABILITY_GUTS</t>
        </is>
      </c>
      <c r="L44" s="3" t="inlineStr">
        <is>
          <t>ABILITY_BULLETPROOF</t>
        </is>
      </c>
      <c r="M44" s="3" t="inlineStr">
        <is>
          <t>ABILITY_UNNERVE</t>
        </is>
      </c>
    </row>
    <row r="45">
      <c r="A45" s="3" t="inlineStr">
        <is>
          <t>SPECIES_SLUGMA</t>
        </is>
      </c>
      <c r="B45" s="3" t="inlineStr">
        <is>
          <t>Slugma</t>
        </is>
      </c>
      <c r="C45" s="3" t="inlineStr">
        <is>
          <t>Fire</t>
        </is>
      </c>
      <c r="D45" s="3" t="inlineStr"/>
      <c r="E45" s="3" t="n">
        <v>40</v>
      </c>
      <c r="F45" s="3" t="n">
        <v>40</v>
      </c>
      <c r="G45" s="3" t="n">
        <v>40</v>
      </c>
      <c r="H45" s="3" t="n">
        <v>70</v>
      </c>
      <c r="I45" s="3" t="n">
        <v>40</v>
      </c>
      <c r="J45" s="3" t="n">
        <v>20</v>
      </c>
      <c r="K45" s="3" t="inlineStr">
        <is>
          <t>ABILITY_MAGMA_ARMOR</t>
        </is>
      </c>
      <c r="L45" s="3" t="inlineStr">
        <is>
          <t>ABILITY_FLAME_BODY</t>
        </is>
      </c>
      <c r="M45" s="3" t="inlineStr">
        <is>
          <t>ABILITY_WEAK_ARMOR</t>
        </is>
      </c>
    </row>
    <row r="46">
      <c r="A46" s="3" t="inlineStr">
        <is>
          <t>SPECIES_MAGCARGO</t>
        </is>
      </c>
      <c r="B46" s="3" t="inlineStr">
        <is>
          <t>Magcargo</t>
        </is>
      </c>
      <c r="C46" s="3" t="inlineStr">
        <is>
          <t>Fire</t>
        </is>
      </c>
      <c r="D46" s="3" t="inlineStr">
        <is>
          <t>Rock</t>
        </is>
      </c>
      <c r="E46" s="3" t="n">
        <v>60</v>
      </c>
      <c r="F46" s="3" t="n">
        <v>50</v>
      </c>
      <c r="G46" s="3" t="n">
        <v>120</v>
      </c>
      <c r="H46" s="3" t="n">
        <v>90</v>
      </c>
      <c r="I46" s="3" t="n">
        <v>80</v>
      </c>
      <c r="J46" s="3" t="n">
        <v>30</v>
      </c>
      <c r="K46" s="3" t="inlineStr">
        <is>
          <t>ABILITY_MAGMA_ARMOR</t>
        </is>
      </c>
      <c r="L46" s="3" t="inlineStr">
        <is>
          <t>ABILITY_FLAME_BODY</t>
        </is>
      </c>
      <c r="M46" s="3" t="inlineStr">
        <is>
          <t>ABILITY_WEAK_ARMOR</t>
        </is>
      </c>
    </row>
    <row r="47">
      <c r="A47" s="3" t="inlineStr">
        <is>
          <t>SPECIES_SWINUB</t>
        </is>
      </c>
      <c r="B47" s="3" t="inlineStr">
        <is>
          <t>Swinub</t>
        </is>
      </c>
      <c r="C47" s="3" t="inlineStr">
        <is>
          <t>Ice</t>
        </is>
      </c>
      <c r="D47" s="3" t="inlineStr">
        <is>
          <t>Ground</t>
        </is>
      </c>
      <c r="E47" s="3" t="n">
        <v>50</v>
      </c>
      <c r="F47" s="3" t="n">
        <v>50</v>
      </c>
      <c r="G47" s="3" t="n">
        <v>40</v>
      </c>
      <c r="H47" s="3" t="n">
        <v>30</v>
      </c>
      <c r="I47" s="3" t="n">
        <v>30</v>
      </c>
      <c r="J47" s="3" t="n">
        <v>50</v>
      </c>
      <c r="K47" s="3" t="inlineStr">
        <is>
          <t>ABILITY_OBLIVIOUS</t>
        </is>
      </c>
      <c r="L47" s="3" t="inlineStr">
        <is>
          <t>ABILITY_SNOW_CLOAK</t>
        </is>
      </c>
      <c r="M47" s="3" t="inlineStr">
        <is>
          <t>ABILITY_THICK_FAT</t>
        </is>
      </c>
    </row>
    <row r="48">
      <c r="A48" s="3" t="inlineStr">
        <is>
          <t>SPECIES_PILOSWINE</t>
        </is>
      </c>
      <c r="B48" s="3" t="inlineStr">
        <is>
          <t>Piloswine</t>
        </is>
      </c>
      <c r="C48" s="3" t="inlineStr">
        <is>
          <t>Ice</t>
        </is>
      </c>
      <c r="D48" s="3" t="inlineStr">
        <is>
          <t>Ground</t>
        </is>
      </c>
      <c r="E48" s="3" t="n">
        <v>100</v>
      </c>
      <c r="F48" s="3" t="n">
        <v>100</v>
      </c>
      <c r="G48" s="3" t="n">
        <v>80</v>
      </c>
      <c r="H48" s="3" t="n">
        <v>60</v>
      </c>
      <c r="I48" s="3" t="n">
        <v>60</v>
      </c>
      <c r="J48" s="3" t="n">
        <v>50</v>
      </c>
      <c r="K48" s="3" t="inlineStr">
        <is>
          <t>ABILITY_OBLIVIOUS</t>
        </is>
      </c>
      <c r="L48" s="3" t="inlineStr">
        <is>
          <t>ABILITY_SNOW_CLOAK</t>
        </is>
      </c>
      <c r="M48" s="3" t="inlineStr">
        <is>
          <t>ABILITY_THICK_FAT</t>
        </is>
      </c>
    </row>
    <row r="49">
      <c r="A49" s="3" t="inlineStr">
        <is>
          <t>SPECIES_MAMOSWINE</t>
        </is>
      </c>
      <c r="B49" s="3" t="inlineStr">
        <is>
          <t>Mamoswine</t>
        </is>
      </c>
      <c r="C49" s="3" t="inlineStr">
        <is>
          <t>Ice</t>
        </is>
      </c>
      <c r="D49" s="3" t="inlineStr">
        <is>
          <t>Ground</t>
        </is>
      </c>
      <c r="E49" s="3" t="n">
        <v>110</v>
      </c>
      <c r="F49" s="3" t="n">
        <v>130</v>
      </c>
      <c r="G49" s="3" t="n">
        <v>80</v>
      </c>
      <c r="H49" s="3" t="n">
        <v>70</v>
      </c>
      <c r="I49" s="3" t="n">
        <v>60</v>
      </c>
      <c r="J49" s="3" t="n">
        <v>80</v>
      </c>
      <c r="K49" s="3" t="inlineStr">
        <is>
          <t>ABILITY_OBLIVIOUS</t>
        </is>
      </c>
      <c r="L49" s="3" t="inlineStr">
        <is>
          <t>ABILITY_SNOW_CLOAK</t>
        </is>
      </c>
      <c r="M49" s="3" t="inlineStr">
        <is>
          <t>ABILITY_THICK_FAT</t>
        </is>
      </c>
    </row>
    <row r="50">
      <c r="A50" s="3" t="inlineStr">
        <is>
          <t>SPECIES_HOUNDOUR</t>
        </is>
      </c>
      <c r="B50" s="3" t="inlineStr">
        <is>
          <t>Houndour</t>
        </is>
      </c>
      <c r="C50" s="3" t="inlineStr">
        <is>
          <t>Dark</t>
        </is>
      </c>
      <c r="D50" s="3" t="inlineStr">
        <is>
          <t>Fire</t>
        </is>
      </c>
      <c r="E50" s="3" t="n">
        <v>45</v>
      </c>
      <c r="F50" s="3" t="n">
        <v>60</v>
      </c>
      <c r="G50" s="3" t="n">
        <v>30</v>
      </c>
      <c r="H50" s="3" t="n">
        <v>80</v>
      </c>
      <c r="I50" s="3" t="n">
        <v>50</v>
      </c>
      <c r="J50" s="3" t="n">
        <v>65</v>
      </c>
      <c r="K50" s="3" t="inlineStr">
        <is>
          <t>ABILITY_EARLY_BIRD</t>
        </is>
      </c>
      <c r="L50" s="3" t="inlineStr">
        <is>
          <t>ABILITY_FLASH_FIRE</t>
        </is>
      </c>
      <c r="M50" s="3" t="inlineStr">
        <is>
          <t>ABILITY_UNNERVE</t>
        </is>
      </c>
    </row>
    <row r="51">
      <c r="A51" s="3" t="inlineStr">
        <is>
          <t>SPECIES_HOUNDOOM</t>
        </is>
      </c>
      <c r="B51" s="3" t="inlineStr">
        <is>
          <t>Houndoom</t>
        </is>
      </c>
      <c r="C51" s="3" t="inlineStr">
        <is>
          <t>Dark</t>
        </is>
      </c>
      <c r="D51" s="3" t="inlineStr">
        <is>
          <t>Fire</t>
        </is>
      </c>
      <c r="E51" s="3" t="n">
        <v>75</v>
      </c>
      <c r="F51" s="3" t="n">
        <v>90</v>
      </c>
      <c r="G51" s="3" t="n">
        <v>50</v>
      </c>
      <c r="H51" s="3" t="n">
        <v>110</v>
      </c>
      <c r="I51" s="3" t="n">
        <v>80</v>
      </c>
      <c r="J51" s="3" t="n">
        <v>95</v>
      </c>
      <c r="K51" s="3" t="inlineStr">
        <is>
          <t>ABILITY_EARLY_BIRD</t>
        </is>
      </c>
      <c r="L51" s="3" t="inlineStr">
        <is>
          <t>ABILITY_FLASH_FIRE</t>
        </is>
      </c>
      <c r="M51" s="3" t="inlineStr">
        <is>
          <t>ABILITY_UNNERVE</t>
        </is>
      </c>
    </row>
    <row r="52">
      <c r="A52" s="3" t="inlineStr">
        <is>
          <t>SPECIES_HORSEA</t>
        </is>
      </c>
      <c r="B52" s="3" t="inlineStr">
        <is>
          <t>Horsea</t>
        </is>
      </c>
      <c r="C52" s="3" t="inlineStr">
        <is>
          <t>Water</t>
        </is>
      </c>
      <c r="D52" s="3" t="inlineStr"/>
      <c r="E52" s="3" t="n">
        <v>30</v>
      </c>
      <c r="F52" s="3" t="n">
        <v>40</v>
      </c>
      <c r="G52" s="3" t="n">
        <v>70</v>
      </c>
      <c r="H52" s="3" t="n">
        <v>70</v>
      </c>
      <c r="I52" s="3" t="n">
        <v>25</v>
      </c>
      <c r="J52" s="3" t="n">
        <v>60</v>
      </c>
      <c r="K52" s="3" t="inlineStr">
        <is>
          <t>ABILITY_SWIFT_SWIM</t>
        </is>
      </c>
      <c r="L52" s="3" t="inlineStr">
        <is>
          <t>ABILITY_SNIPER</t>
        </is>
      </c>
      <c r="M52" s="3" t="inlineStr">
        <is>
          <t>ABILITY_DAMP</t>
        </is>
      </c>
    </row>
    <row r="53">
      <c r="A53" s="3" t="inlineStr">
        <is>
          <t>SPECIES_SEADRA</t>
        </is>
      </c>
      <c r="B53" s="3" t="inlineStr">
        <is>
          <t>Seadra</t>
        </is>
      </c>
      <c r="C53" s="3" t="inlineStr">
        <is>
          <t>Water</t>
        </is>
      </c>
      <c r="D53" s="3" t="inlineStr"/>
      <c r="E53" s="3" t="n">
        <v>55</v>
      </c>
      <c r="F53" s="3" t="n">
        <v>65</v>
      </c>
      <c r="G53" s="3" t="n">
        <v>95</v>
      </c>
      <c r="H53" s="3" t="n">
        <v>95</v>
      </c>
      <c r="I53" s="3" t="n">
        <v>45</v>
      </c>
      <c r="J53" s="3" t="n">
        <v>85</v>
      </c>
      <c r="K53" s="3" t="inlineStr">
        <is>
          <t>ABILITY_POISON_POINT</t>
        </is>
      </c>
      <c r="L53" s="3" t="inlineStr">
        <is>
          <t>ABILITY_SNIPER</t>
        </is>
      </c>
      <c r="M53" s="3" t="inlineStr">
        <is>
          <t>ABILITY_DAMP</t>
        </is>
      </c>
    </row>
    <row r="54">
      <c r="A54" s="3" t="inlineStr">
        <is>
          <t>SPECIES_KINGDRA</t>
        </is>
      </c>
      <c r="B54" s="3" t="inlineStr">
        <is>
          <t>Kingdra</t>
        </is>
      </c>
      <c r="C54" s="3" t="inlineStr">
        <is>
          <t>Water</t>
        </is>
      </c>
      <c r="D54" s="3" t="inlineStr">
        <is>
          <t>Dragon</t>
        </is>
      </c>
      <c r="E54" s="3" t="n">
        <v>75</v>
      </c>
      <c r="F54" s="3" t="n">
        <v>95</v>
      </c>
      <c r="G54" s="3" t="n">
        <v>95</v>
      </c>
      <c r="H54" s="3" t="n">
        <v>95</v>
      </c>
      <c r="I54" s="3" t="n">
        <v>95</v>
      </c>
      <c r="J54" s="3" t="n">
        <v>85</v>
      </c>
      <c r="K54" s="3" t="inlineStr">
        <is>
          <t>ABILITY_SWIFT_SWIM</t>
        </is>
      </c>
      <c r="L54" s="3" t="inlineStr">
        <is>
          <t>ABILITY_SNIPER</t>
        </is>
      </c>
      <c r="M54" s="3" t="inlineStr">
        <is>
          <t>ABILITY_DAMP</t>
        </is>
      </c>
    </row>
    <row r="55">
      <c r="A55" s="3" t="inlineStr">
        <is>
          <t>SPECIES_LARVITAR</t>
        </is>
      </c>
      <c r="B55" s="3" t="inlineStr">
        <is>
          <t>Larvitar</t>
        </is>
      </c>
      <c r="C55" s="3" t="inlineStr">
        <is>
          <t>Rock</t>
        </is>
      </c>
      <c r="D55" s="3" t="inlineStr">
        <is>
          <t>Ground</t>
        </is>
      </c>
      <c r="E55" s="3" t="n">
        <v>50</v>
      </c>
      <c r="F55" s="3" t="n">
        <v>64</v>
      </c>
      <c r="G55" s="3" t="n">
        <v>50</v>
      </c>
      <c r="H55" s="3" t="n">
        <v>45</v>
      </c>
      <c r="I55" s="3" t="n">
        <v>50</v>
      </c>
      <c r="J55" s="3" t="n">
        <v>41</v>
      </c>
      <c r="K55" s="3" t="inlineStr">
        <is>
          <t>ABILITY_GUTS</t>
        </is>
      </c>
      <c r="L55" s="3" t="inlineStr">
        <is>
          <t>ABILITY_SAND_VEIL</t>
        </is>
      </c>
      <c r="M55" s="3" t="inlineStr"/>
    </row>
    <row r="56">
      <c r="A56" s="3" t="inlineStr">
        <is>
          <t>SPECIES_PUPITAR</t>
        </is>
      </c>
      <c r="B56" s="3" t="inlineStr">
        <is>
          <t>Pupitar</t>
        </is>
      </c>
      <c r="C56" s="3" t="inlineStr">
        <is>
          <t>Rock</t>
        </is>
      </c>
      <c r="D56" s="3" t="inlineStr">
        <is>
          <t>Ground</t>
        </is>
      </c>
      <c r="E56" s="3" t="n">
        <v>70</v>
      </c>
      <c r="F56" s="3" t="n">
        <v>84</v>
      </c>
      <c r="G56" s="3" t="n">
        <v>70</v>
      </c>
      <c r="H56" s="3" t="n">
        <v>65</v>
      </c>
      <c r="I56" s="3" t="n">
        <v>70</v>
      </c>
      <c r="J56" s="3" t="n">
        <v>51</v>
      </c>
      <c r="K56" s="3" t="inlineStr">
        <is>
          <t>ABILITY_SHED_SKIN</t>
        </is>
      </c>
      <c r="L56" s="3" t="inlineStr"/>
      <c r="M56" s="3" t="inlineStr"/>
    </row>
    <row r="57">
      <c r="A57" s="3" t="inlineStr">
        <is>
          <t>SPECIES_TYRANITAR</t>
        </is>
      </c>
      <c r="B57" s="3" t="inlineStr">
        <is>
          <t>Tyranitar</t>
        </is>
      </c>
      <c r="C57" s="3" t="inlineStr">
        <is>
          <t>Rock</t>
        </is>
      </c>
      <c r="D57" s="3" t="inlineStr">
        <is>
          <t>Dark</t>
        </is>
      </c>
      <c r="E57" s="3" t="n">
        <v>100</v>
      </c>
      <c r="F57" s="3" t="n">
        <v>134</v>
      </c>
      <c r="G57" s="3" t="n">
        <v>110</v>
      </c>
      <c r="H57" s="3" t="n">
        <v>95</v>
      </c>
      <c r="I57" s="3" t="n">
        <v>100</v>
      </c>
      <c r="J57" s="3" t="n">
        <v>61</v>
      </c>
      <c r="K57" s="3" t="inlineStr">
        <is>
          <t>ABILITY_SAND_STREAM</t>
        </is>
      </c>
      <c r="L57" s="3" t="inlineStr">
        <is>
          <t>ABILITY_UNNERVE</t>
        </is>
      </c>
      <c r="M57" s="3" t="inlineStr"/>
    </row>
    <row r="58">
      <c r="A58" s="3" t="inlineStr">
        <is>
          <t>SPECIES_TREECKO</t>
        </is>
      </c>
      <c r="B58" s="3" t="inlineStr">
        <is>
          <t>Treecko</t>
        </is>
      </c>
      <c r="C58" s="3" t="inlineStr">
        <is>
          <t>Grass</t>
        </is>
      </c>
      <c r="D58" s="3" t="inlineStr"/>
      <c r="E58" s="3" t="n">
        <v>40</v>
      </c>
      <c r="F58" s="3" t="n">
        <v>45</v>
      </c>
      <c r="G58" s="3" t="n">
        <v>35</v>
      </c>
      <c r="H58" s="3" t="n">
        <v>65</v>
      </c>
      <c r="I58" s="3" t="n">
        <v>55</v>
      </c>
      <c r="J58" s="3" t="n">
        <v>70</v>
      </c>
      <c r="K58" s="3" t="inlineStr">
        <is>
          <t>ABILITY_OVERGROW</t>
        </is>
      </c>
      <c r="L58" s="3" t="inlineStr">
        <is>
          <t>ABILITY_UNBURDEN</t>
        </is>
      </c>
      <c r="M58" s="3" t="inlineStr"/>
    </row>
    <row r="59">
      <c r="A59" s="3" t="inlineStr">
        <is>
          <t>SPECIES_GROVYLE</t>
        </is>
      </c>
      <c r="B59" s="3" t="inlineStr">
        <is>
          <t>Grovyle</t>
        </is>
      </c>
      <c r="C59" s="3" t="inlineStr">
        <is>
          <t>Grass</t>
        </is>
      </c>
      <c r="D59" s="3" t="inlineStr">
        <is>
          <t>Dragon</t>
        </is>
      </c>
      <c r="E59" s="3" t="n">
        <v>50</v>
      </c>
      <c r="F59" s="3" t="n">
        <v>65</v>
      </c>
      <c r="G59" s="3" t="n">
        <v>45</v>
      </c>
      <c r="H59" s="3" t="n">
        <v>85</v>
      </c>
      <c r="I59" s="3" t="n">
        <v>65</v>
      </c>
      <c r="J59" s="3" t="n">
        <v>95</v>
      </c>
      <c r="K59" s="3" t="inlineStr">
        <is>
          <t>ABILITY_OVERGROW</t>
        </is>
      </c>
      <c r="L59" s="3" t="inlineStr">
        <is>
          <t>ABILITY_UNBURDEN</t>
        </is>
      </c>
      <c r="M59" s="3" t="inlineStr"/>
    </row>
    <row r="60">
      <c r="A60" s="3" t="inlineStr">
        <is>
          <t>SPECIES_SCEPTILE</t>
        </is>
      </c>
      <c r="B60" s="3" t="inlineStr">
        <is>
          <t>Sceptile</t>
        </is>
      </c>
      <c r="C60" s="3" t="inlineStr">
        <is>
          <t>Grass</t>
        </is>
      </c>
      <c r="D60" s="3" t="inlineStr">
        <is>
          <t>Dragon</t>
        </is>
      </c>
      <c r="E60" s="3" t="n">
        <v>70</v>
      </c>
      <c r="F60" s="3" t="n">
        <v>85</v>
      </c>
      <c r="G60" s="3" t="n">
        <v>65</v>
      </c>
      <c r="H60" s="3" t="n">
        <v>105</v>
      </c>
      <c r="I60" s="3" t="n">
        <v>85</v>
      </c>
      <c r="J60" s="3" t="n">
        <v>120</v>
      </c>
      <c r="K60" s="3" t="inlineStr">
        <is>
          <t>ABILITY_OVERGROW</t>
        </is>
      </c>
      <c r="L60" s="3" t="inlineStr">
        <is>
          <t>ABILITY_UNBURDEN</t>
        </is>
      </c>
      <c r="M60" s="3" t="inlineStr"/>
    </row>
    <row r="61">
      <c r="A61" s="3" t="inlineStr">
        <is>
          <t>SPECIES_TORCHIC</t>
        </is>
      </c>
      <c r="B61" s="3" t="inlineStr">
        <is>
          <t>Torchic</t>
        </is>
      </c>
      <c r="C61" s="3" t="inlineStr">
        <is>
          <t>Fire</t>
        </is>
      </c>
      <c r="D61" s="3" t="inlineStr"/>
      <c r="E61" s="3" t="n">
        <v>45</v>
      </c>
      <c r="F61" s="3" t="n">
        <v>60</v>
      </c>
      <c r="G61" s="3" t="n">
        <v>40</v>
      </c>
      <c r="H61" s="3" t="n">
        <v>70</v>
      </c>
      <c r="I61" s="3" t="n">
        <v>50</v>
      </c>
      <c r="J61" s="3" t="n">
        <v>45</v>
      </c>
      <c r="K61" s="3" t="inlineStr">
        <is>
          <t>ABILITY_BLAZE</t>
        </is>
      </c>
      <c r="L61" s="3" t="inlineStr">
        <is>
          <t>ABILITY_SPEED_BOOST</t>
        </is>
      </c>
      <c r="M61" s="3" t="inlineStr"/>
    </row>
    <row r="62">
      <c r="A62" s="3" t="inlineStr">
        <is>
          <t>SPECIES_COMBUSKEN</t>
        </is>
      </c>
      <c r="B62" s="3" t="inlineStr">
        <is>
          <t>Combusken</t>
        </is>
      </c>
      <c r="C62" s="3" t="inlineStr">
        <is>
          <t>Fire</t>
        </is>
      </c>
      <c r="D62" s="3" t="inlineStr">
        <is>
          <t>Fighting</t>
        </is>
      </c>
      <c r="E62" s="3" t="n">
        <v>60</v>
      </c>
      <c r="F62" s="3" t="n">
        <v>85</v>
      </c>
      <c r="G62" s="3" t="n">
        <v>60</v>
      </c>
      <c r="H62" s="3" t="n">
        <v>85</v>
      </c>
      <c r="I62" s="3" t="n">
        <v>60</v>
      </c>
      <c r="J62" s="3" t="n">
        <v>55</v>
      </c>
      <c r="K62" s="3" t="inlineStr">
        <is>
          <t>ABILITY_BLAZE</t>
        </is>
      </c>
      <c r="L62" s="3" t="inlineStr">
        <is>
          <t>ABILITY_SPEED_BOOST</t>
        </is>
      </c>
      <c r="M62" s="3" t="inlineStr"/>
    </row>
    <row r="63">
      <c r="A63" s="3" t="inlineStr">
        <is>
          <t>SPECIES_BLAZIKEN</t>
        </is>
      </c>
      <c r="B63" s="3" t="inlineStr">
        <is>
          <t>Blaziken</t>
        </is>
      </c>
      <c r="C63" s="3" t="inlineStr">
        <is>
          <t>Fire</t>
        </is>
      </c>
      <c r="D63" s="3" t="inlineStr">
        <is>
          <t>Fighting</t>
        </is>
      </c>
      <c r="E63" s="3" t="n">
        <v>80</v>
      </c>
      <c r="F63" s="3" t="n">
        <v>120</v>
      </c>
      <c r="G63" s="3" t="n">
        <v>70</v>
      </c>
      <c r="H63" s="3" t="n">
        <v>110</v>
      </c>
      <c r="I63" s="3" t="n">
        <v>70</v>
      </c>
      <c r="J63" s="3" t="n">
        <v>80</v>
      </c>
      <c r="K63" s="3" t="inlineStr">
        <is>
          <t>ABILITY_BLAZE</t>
        </is>
      </c>
      <c r="L63" s="3" t="inlineStr">
        <is>
          <t>ABILITY_SPEED_BOOST</t>
        </is>
      </c>
      <c r="M63" s="3" t="inlineStr"/>
    </row>
    <row r="64">
      <c r="A64" s="3" t="inlineStr">
        <is>
          <t>SPECIES_MUDKIP</t>
        </is>
      </c>
      <c r="B64" s="3" t="inlineStr">
        <is>
          <t>Mudkip</t>
        </is>
      </c>
      <c r="C64" s="3" t="inlineStr">
        <is>
          <t>Water</t>
        </is>
      </c>
      <c r="D64" s="3" t="inlineStr"/>
      <c r="E64" s="3" t="n">
        <v>50</v>
      </c>
      <c r="F64" s="3" t="n">
        <v>70</v>
      </c>
      <c r="G64" s="3" t="n">
        <v>50</v>
      </c>
      <c r="H64" s="3" t="n">
        <v>50</v>
      </c>
      <c r="I64" s="3" t="n">
        <v>50</v>
      </c>
      <c r="J64" s="3" t="n">
        <v>40</v>
      </c>
      <c r="K64" s="3" t="inlineStr">
        <is>
          <t>ABILITY_TORRENT</t>
        </is>
      </c>
      <c r="L64" s="3" t="inlineStr">
        <is>
          <t>ABILITY_DAMP</t>
        </is>
      </c>
      <c r="M64" s="3" t="inlineStr"/>
    </row>
    <row r="65">
      <c r="A65" s="3" t="inlineStr">
        <is>
          <t>SPECIES_MARSHTOMP</t>
        </is>
      </c>
      <c r="B65" s="3" t="inlineStr">
        <is>
          <t>Marshtomp</t>
        </is>
      </c>
      <c r="C65" s="3" t="inlineStr">
        <is>
          <t>Water</t>
        </is>
      </c>
      <c r="D65" s="3" t="inlineStr">
        <is>
          <t>Ground</t>
        </is>
      </c>
      <c r="E65" s="3" t="n">
        <v>70</v>
      </c>
      <c r="F65" s="3" t="n">
        <v>85</v>
      </c>
      <c r="G65" s="3" t="n">
        <v>70</v>
      </c>
      <c r="H65" s="3" t="n">
        <v>60</v>
      </c>
      <c r="I65" s="3" t="n">
        <v>70</v>
      </c>
      <c r="J65" s="3" t="n">
        <v>50</v>
      </c>
      <c r="K65" s="3" t="inlineStr">
        <is>
          <t>ABILITY_TORRENT</t>
        </is>
      </c>
      <c r="L65" s="3" t="inlineStr">
        <is>
          <t>ABILITY_DAMP</t>
        </is>
      </c>
      <c r="M65" s="3" t="inlineStr"/>
    </row>
    <row r="66">
      <c r="A66" s="3" t="inlineStr">
        <is>
          <t>SPECIES_SWAMPERT</t>
        </is>
      </c>
      <c r="B66" s="3" t="inlineStr">
        <is>
          <t>Swampert</t>
        </is>
      </c>
      <c r="C66" s="3" t="inlineStr">
        <is>
          <t>Water</t>
        </is>
      </c>
      <c r="D66" s="3" t="inlineStr">
        <is>
          <t>Ground</t>
        </is>
      </c>
      <c r="E66" s="3" t="n">
        <v>100</v>
      </c>
      <c r="F66" s="3" t="n">
        <v>110</v>
      </c>
      <c r="G66" s="3" t="n">
        <v>90</v>
      </c>
      <c r="H66" s="3" t="n">
        <v>85</v>
      </c>
      <c r="I66" s="3" t="n">
        <v>90</v>
      </c>
      <c r="J66" s="3" t="n">
        <v>60</v>
      </c>
      <c r="K66" s="3" t="inlineStr">
        <is>
          <t>ABILITY_TORRENT</t>
        </is>
      </c>
      <c r="L66" s="3" t="inlineStr">
        <is>
          <t>ABILITY_DAMP</t>
        </is>
      </c>
      <c r="M66" s="3" t="inlineStr"/>
    </row>
    <row r="67">
      <c r="A67" s="3" t="inlineStr">
        <is>
          <t>SPECIES_TAILLOW</t>
        </is>
      </c>
      <c r="B67" s="3" t="inlineStr">
        <is>
          <t>Taillow</t>
        </is>
      </c>
      <c r="C67" s="3" t="inlineStr">
        <is>
          <t>Normal</t>
        </is>
      </c>
      <c r="D67" s="3" t="inlineStr">
        <is>
          <t>Flying</t>
        </is>
      </c>
      <c r="E67" s="3" t="n">
        <v>40</v>
      </c>
      <c r="F67" s="3" t="n">
        <v>55</v>
      </c>
      <c r="G67" s="3" t="n">
        <v>30</v>
      </c>
      <c r="H67" s="3" t="n">
        <v>30</v>
      </c>
      <c r="I67" s="3" t="n">
        <v>30</v>
      </c>
      <c r="J67" s="3" t="n">
        <v>85</v>
      </c>
      <c r="K67" s="3" t="inlineStr">
        <is>
          <t>ABILITY_GUTS</t>
        </is>
      </c>
      <c r="L67" s="3" t="inlineStr">
        <is>
          <t>ABILITY_SCRAPPY</t>
        </is>
      </c>
      <c r="M67" s="3" t="inlineStr"/>
    </row>
    <row r="68">
      <c r="A68" s="3" t="inlineStr">
        <is>
          <t>SPECIES_SWELLOW</t>
        </is>
      </c>
      <c r="B68" s="3" t="inlineStr">
        <is>
          <t>Swellow</t>
        </is>
      </c>
      <c r="C68" s="3" t="inlineStr">
        <is>
          <t>Normal</t>
        </is>
      </c>
      <c r="D68" s="3" t="inlineStr">
        <is>
          <t>Flying</t>
        </is>
      </c>
      <c r="E68" s="3" t="n">
        <v>60</v>
      </c>
      <c r="F68" s="3" t="n">
        <v>85</v>
      </c>
      <c r="G68" s="3" t="n">
        <v>60</v>
      </c>
      <c r="H68" s="3" t="n">
        <v>75</v>
      </c>
      <c r="I68" s="3" t="n">
        <v>50</v>
      </c>
      <c r="J68" s="3" t="n">
        <v>125</v>
      </c>
      <c r="K68" s="3" t="inlineStr">
        <is>
          <t>ABILITY_GUTS</t>
        </is>
      </c>
      <c r="L68" s="3" t="inlineStr">
        <is>
          <t>ABILITY_SCRAPPY</t>
        </is>
      </c>
      <c r="M68" s="3" t="inlineStr"/>
    </row>
    <row r="69">
      <c r="A69" s="3" t="inlineStr">
        <is>
          <t>SPECIES_RALTS</t>
        </is>
      </c>
      <c r="B69" s="3" t="inlineStr">
        <is>
          <t>Ralts</t>
        </is>
      </c>
      <c r="C69" s="3" t="inlineStr">
        <is>
          <t>Psychic</t>
        </is>
      </c>
      <c r="D69" s="3" t="inlineStr"/>
      <c r="E69" s="3" t="n">
        <v>28</v>
      </c>
      <c r="F69" s="3" t="n">
        <v>25</v>
      </c>
      <c r="G69" s="3" t="n">
        <v>25</v>
      </c>
      <c r="H69" s="3" t="n">
        <v>45</v>
      </c>
      <c r="I69" s="3" t="n">
        <v>35</v>
      </c>
      <c r="J69" s="3" t="n">
        <v>40</v>
      </c>
      <c r="K69" s="3" t="inlineStr">
        <is>
          <t>ABILITY_SYNCHRONIZE</t>
        </is>
      </c>
      <c r="L69" s="3" t="inlineStr">
        <is>
          <t>ABILITY_TRACE</t>
        </is>
      </c>
      <c r="M69" s="3" t="inlineStr">
        <is>
          <t>ABILITY_TELEPATHY</t>
        </is>
      </c>
    </row>
    <row r="70">
      <c r="A70" s="3" t="inlineStr">
        <is>
          <t>SPECIES_KIRLIA</t>
        </is>
      </c>
      <c r="B70" s="3" t="inlineStr">
        <is>
          <t>Kirlia</t>
        </is>
      </c>
      <c r="C70" s="3" t="inlineStr">
        <is>
          <t>Psychic</t>
        </is>
      </c>
      <c r="D70" s="3" t="inlineStr"/>
      <c r="E70" s="3" t="n">
        <v>38</v>
      </c>
      <c r="F70" s="3" t="n">
        <v>35</v>
      </c>
      <c r="G70" s="3" t="n">
        <v>35</v>
      </c>
      <c r="H70" s="3" t="n">
        <v>65</v>
      </c>
      <c r="I70" s="3" t="n">
        <v>55</v>
      </c>
      <c r="J70" s="3" t="n">
        <v>50</v>
      </c>
      <c r="K70" s="3" t="inlineStr">
        <is>
          <t>ABILITY_SYNCHRONIZE</t>
        </is>
      </c>
      <c r="L70" s="3" t="inlineStr">
        <is>
          <t>ABILITY_TRACE</t>
        </is>
      </c>
      <c r="M70" s="3" t="inlineStr">
        <is>
          <t>ABILITY_TELEPATHY</t>
        </is>
      </c>
    </row>
    <row r="71">
      <c r="A71" s="3" t="inlineStr">
        <is>
          <t>SPECIES_GARDEVOIR</t>
        </is>
      </c>
      <c r="B71" s="3" t="inlineStr">
        <is>
          <t>Gardevoir</t>
        </is>
      </c>
      <c r="C71" s="3" t="inlineStr">
        <is>
          <t>Psychic</t>
        </is>
      </c>
      <c r="D71" s="3" t="inlineStr"/>
      <c r="E71" s="3" t="n">
        <v>68</v>
      </c>
      <c r="F71" s="3" t="n">
        <v>65</v>
      </c>
      <c r="G71" s="3" t="n">
        <v>65</v>
      </c>
      <c r="H71" s="3" t="n">
        <v>125</v>
      </c>
      <c r="I71" s="3" t="n">
        <v>115</v>
      </c>
      <c r="J71" s="3" t="n">
        <v>80</v>
      </c>
      <c r="K71" s="3" t="inlineStr">
        <is>
          <t>ABILITY_SYNCHRONIZE</t>
        </is>
      </c>
      <c r="L71" s="3" t="inlineStr">
        <is>
          <t>ABILITY_TRACE</t>
        </is>
      </c>
      <c r="M71" s="3" t="inlineStr">
        <is>
          <t>ABILITY_TELEPATHY</t>
        </is>
      </c>
    </row>
    <row r="72">
      <c r="A72" s="3" t="inlineStr">
        <is>
          <t>SPECIES_GALLADE</t>
        </is>
      </c>
      <c r="B72" s="3" t="inlineStr">
        <is>
          <t>Gallade</t>
        </is>
      </c>
      <c r="C72" s="3" t="inlineStr">
        <is>
          <t>Psychic</t>
        </is>
      </c>
      <c r="D72" s="3" t="inlineStr">
        <is>
          <t>Fighting</t>
        </is>
      </c>
      <c r="E72" s="3" t="n">
        <v>68</v>
      </c>
      <c r="F72" s="3" t="n">
        <v>125</v>
      </c>
      <c r="G72" s="3" t="n">
        <v>65</v>
      </c>
      <c r="H72" s="3" t="n">
        <v>65</v>
      </c>
      <c r="I72" s="3" t="n">
        <v>115</v>
      </c>
      <c r="J72" s="3" t="n">
        <v>80</v>
      </c>
      <c r="K72" s="3" t="inlineStr">
        <is>
          <t>ABILITY_STEADFAST</t>
        </is>
      </c>
      <c r="L72" s="3" t="inlineStr">
        <is>
          <t>ABILITY_SHARPNESS</t>
        </is>
      </c>
      <c r="M72" s="3" t="inlineStr">
        <is>
          <t>ABILITY_JUSTIFIED</t>
        </is>
      </c>
    </row>
    <row r="73">
      <c r="A73" s="3" t="inlineStr">
        <is>
          <t>SPECIES_ARON</t>
        </is>
      </c>
      <c r="B73" s="3" t="inlineStr">
        <is>
          <t>Aron</t>
        </is>
      </c>
      <c r="C73" s="3" t="inlineStr">
        <is>
          <t>Steel</t>
        </is>
      </c>
      <c r="D73" s="3" t="inlineStr">
        <is>
          <t>Dragon</t>
        </is>
      </c>
      <c r="E73" s="3" t="n">
        <v>50</v>
      </c>
      <c r="F73" s="3" t="n">
        <v>70</v>
      </c>
      <c r="G73" s="3" t="n">
        <v>100</v>
      </c>
      <c r="H73" s="3" t="n">
        <v>40</v>
      </c>
      <c r="I73" s="3" t="n">
        <v>40</v>
      </c>
      <c r="J73" s="3" t="n">
        <v>30</v>
      </c>
      <c r="K73" s="3" t="inlineStr">
        <is>
          <t>ABILITY_STURDY</t>
        </is>
      </c>
      <c r="L73" s="3" t="inlineStr">
        <is>
          <t>ABILITY_ROCK_HEAD</t>
        </is>
      </c>
      <c r="M73" s="3" t="inlineStr">
        <is>
          <t>ABILITY_HEAVY_METAL</t>
        </is>
      </c>
    </row>
    <row r="74">
      <c r="A74" s="3" t="inlineStr">
        <is>
          <t>SPECIES_LAIRON</t>
        </is>
      </c>
      <c r="B74" s="3" t="inlineStr">
        <is>
          <t>Lairon</t>
        </is>
      </c>
      <c r="C74" s="3" t="inlineStr">
        <is>
          <t>Steel</t>
        </is>
      </c>
      <c r="D74" s="3" t="inlineStr">
        <is>
          <t>Dragon</t>
        </is>
      </c>
      <c r="E74" s="3" t="n">
        <v>60</v>
      </c>
      <c r="F74" s="3" t="n">
        <v>90</v>
      </c>
      <c r="G74" s="3" t="n">
        <v>140</v>
      </c>
      <c r="H74" s="3" t="n">
        <v>50</v>
      </c>
      <c r="I74" s="3" t="n">
        <v>50</v>
      </c>
      <c r="J74" s="3" t="n">
        <v>40</v>
      </c>
      <c r="K74" s="3" t="inlineStr">
        <is>
          <t>ABILITY_STURDY</t>
        </is>
      </c>
      <c r="L74" s="3" t="inlineStr">
        <is>
          <t>ABILITY_ROCK_HEAD</t>
        </is>
      </c>
      <c r="M74" s="3" t="inlineStr">
        <is>
          <t>ABILITY_HEAVY_METAL</t>
        </is>
      </c>
    </row>
    <row r="75">
      <c r="A75" s="3" t="inlineStr">
        <is>
          <t>SPECIES_AGGRON</t>
        </is>
      </c>
      <c r="B75" s="3" t="inlineStr">
        <is>
          <t>Aggron</t>
        </is>
      </c>
      <c r="C75" s="3" t="inlineStr">
        <is>
          <t>Steel</t>
        </is>
      </c>
      <c r="D75" s="3" t="inlineStr">
        <is>
          <t>Dragon</t>
        </is>
      </c>
      <c r="E75" s="3" t="n">
        <v>70</v>
      </c>
      <c r="F75" s="3" t="n">
        <v>110</v>
      </c>
      <c r="G75" s="3" t="n">
        <v>180</v>
      </c>
      <c r="H75" s="3" t="n">
        <v>60</v>
      </c>
      <c r="I75" s="3" t="n">
        <v>60</v>
      </c>
      <c r="J75" s="3" t="n">
        <v>50</v>
      </c>
      <c r="K75" s="3" t="inlineStr">
        <is>
          <t>ABILITY_STURDY</t>
        </is>
      </c>
      <c r="L75" s="3" t="inlineStr">
        <is>
          <t>ABILITY_ROCK_HEAD</t>
        </is>
      </c>
      <c r="M75" s="3" t="inlineStr">
        <is>
          <t>ABILITY_HEAVY_METAL</t>
        </is>
      </c>
    </row>
    <row r="76">
      <c r="A76" s="3" t="inlineStr">
        <is>
          <t>SPECIES_MEDITITE</t>
        </is>
      </c>
      <c r="B76" s="3" t="inlineStr">
        <is>
          <t>Meditite</t>
        </is>
      </c>
      <c r="C76" s="3" t="inlineStr">
        <is>
          <t>Fighting</t>
        </is>
      </c>
      <c r="D76" s="3" t="inlineStr">
        <is>
          <t>Psychic</t>
        </is>
      </c>
      <c r="E76" s="3" t="n">
        <v>30</v>
      </c>
      <c r="F76" s="3" t="n">
        <v>40</v>
      </c>
      <c r="G76" s="3" t="n">
        <v>55</v>
      </c>
      <c r="H76" s="3" t="n">
        <v>40</v>
      </c>
      <c r="I76" s="3" t="n">
        <v>55</v>
      </c>
      <c r="J76" s="3" t="n">
        <v>60</v>
      </c>
      <c r="K76" s="3" t="inlineStr">
        <is>
          <t>ABILITY_PURE_POWER</t>
        </is>
      </c>
      <c r="L76" s="3" t="inlineStr">
        <is>
          <t>ABILITY_TELEPATHY</t>
        </is>
      </c>
      <c r="M76" s="3" t="inlineStr"/>
    </row>
    <row r="77">
      <c r="A77" s="3" t="inlineStr">
        <is>
          <t>SPECIES_MEDICHAM</t>
        </is>
      </c>
      <c r="B77" s="3" t="inlineStr">
        <is>
          <t>Medicham</t>
        </is>
      </c>
      <c r="C77" s="3" t="inlineStr">
        <is>
          <t>Fighting</t>
        </is>
      </c>
      <c r="D77" s="3" t="inlineStr">
        <is>
          <t>Psychic</t>
        </is>
      </c>
      <c r="E77" s="3" t="n">
        <v>60</v>
      </c>
      <c r="F77" s="3" t="n">
        <v>60</v>
      </c>
      <c r="G77" s="3" t="n">
        <v>75</v>
      </c>
      <c r="H77" s="3" t="n">
        <v>60</v>
      </c>
      <c r="I77" s="3" t="n">
        <v>75</v>
      </c>
      <c r="J77" s="3" t="n">
        <v>80</v>
      </c>
      <c r="K77" s="3" t="inlineStr">
        <is>
          <t>ABILITY_PURE_POWER</t>
        </is>
      </c>
      <c r="L77" s="3" t="inlineStr">
        <is>
          <t>ABILITY_TELEPATHY</t>
        </is>
      </c>
      <c r="M77" s="3" t="inlineStr"/>
    </row>
    <row r="78">
      <c r="A78" s="3" t="inlineStr">
        <is>
          <t>SPECIES_ELECTRIKE</t>
        </is>
      </c>
      <c r="B78" s="3" t="inlineStr">
        <is>
          <t>Electrike</t>
        </is>
      </c>
      <c r="C78" s="3" t="inlineStr">
        <is>
          <t>Electric</t>
        </is>
      </c>
      <c r="D78" s="3" t="inlineStr"/>
      <c r="E78" s="3" t="n">
        <v>40</v>
      </c>
      <c r="F78" s="3" t="n">
        <v>45</v>
      </c>
      <c r="G78" s="3" t="n">
        <v>40</v>
      </c>
      <c r="H78" s="3" t="n">
        <v>65</v>
      </c>
      <c r="I78" s="3" t="n">
        <v>40</v>
      </c>
      <c r="J78" s="3" t="n">
        <v>65</v>
      </c>
      <c r="K78" s="3" t="inlineStr">
        <is>
          <t>ABILITY_STATIC</t>
        </is>
      </c>
      <c r="L78" s="3" t="inlineStr">
        <is>
          <t>ABILITY_LIGHTNING_ROD</t>
        </is>
      </c>
      <c r="M78" s="3" t="inlineStr">
        <is>
          <t>ABILITY_MINUS</t>
        </is>
      </c>
    </row>
    <row r="79">
      <c r="A79" s="3" t="inlineStr">
        <is>
          <t>SPECIES_MANECTRIC</t>
        </is>
      </c>
      <c r="B79" s="3" t="inlineStr">
        <is>
          <t>Manectric</t>
        </is>
      </c>
      <c r="C79" s="3" t="inlineStr">
        <is>
          <t>Electric</t>
        </is>
      </c>
      <c r="D79" s="3" t="inlineStr"/>
      <c r="E79" s="3" t="n">
        <v>70</v>
      </c>
      <c r="F79" s="3" t="n">
        <v>75</v>
      </c>
      <c r="G79" s="3" t="n">
        <v>60</v>
      </c>
      <c r="H79" s="3" t="n">
        <v>105</v>
      </c>
      <c r="I79" s="3" t="n">
        <v>60</v>
      </c>
      <c r="J79" s="3" t="n">
        <v>105</v>
      </c>
      <c r="K79" s="3" t="inlineStr">
        <is>
          <t>ABILITY_STATIC</t>
        </is>
      </c>
      <c r="L79" s="3" t="inlineStr">
        <is>
          <t>ABILITY_LIGHTNING_ROD</t>
        </is>
      </c>
      <c r="M79" s="3" t="inlineStr">
        <is>
          <t>ABILITY_MINUS</t>
        </is>
      </c>
    </row>
    <row r="80">
      <c r="A80" s="3" t="inlineStr">
        <is>
          <t>SPECIES_BUDEW</t>
        </is>
      </c>
      <c r="B80" s="3" t="inlineStr">
        <is>
          <t>Budew</t>
        </is>
      </c>
      <c r="C80" s="3" t="inlineStr">
        <is>
          <t>Grass</t>
        </is>
      </c>
      <c r="D80" s="3" t="inlineStr">
        <is>
          <t>Poison</t>
        </is>
      </c>
      <c r="E80" s="3" t="n">
        <v>40</v>
      </c>
      <c r="F80" s="3" t="n">
        <v>30</v>
      </c>
      <c r="G80" s="3" t="n">
        <v>35</v>
      </c>
      <c r="H80" s="3" t="n">
        <v>50</v>
      </c>
      <c r="I80" s="3" t="n">
        <v>70</v>
      </c>
      <c r="J80" s="3" t="n">
        <v>55</v>
      </c>
      <c r="K80" s="3" t="inlineStr">
        <is>
          <t>ABILITY_NATURAL_CURE</t>
        </is>
      </c>
      <c r="L80" s="3" t="inlineStr">
        <is>
          <t>ABILITY_POISON_POINT</t>
        </is>
      </c>
      <c r="M80" s="3" t="inlineStr">
        <is>
          <t>ABILITY_LEAF_GUARD</t>
        </is>
      </c>
    </row>
    <row r="81">
      <c r="A81" s="3" t="inlineStr">
        <is>
          <t>SPECIES_ROSELIA</t>
        </is>
      </c>
      <c r="B81" s="3" t="inlineStr">
        <is>
          <t>Roselia</t>
        </is>
      </c>
      <c r="C81" s="3" t="inlineStr">
        <is>
          <t>Grass</t>
        </is>
      </c>
      <c r="D81" s="3" t="inlineStr">
        <is>
          <t>Poison</t>
        </is>
      </c>
      <c r="E81" s="3" t="n">
        <v>50</v>
      </c>
      <c r="F81" s="3" t="n">
        <v>60</v>
      </c>
      <c r="G81" s="3" t="n">
        <v>45</v>
      </c>
      <c r="H81" s="3" t="n">
        <v>100</v>
      </c>
      <c r="I81" s="3" t="n">
        <v>80</v>
      </c>
      <c r="J81" s="3" t="n">
        <v>65</v>
      </c>
      <c r="K81" s="3" t="inlineStr">
        <is>
          <t>ABILITY_NATURAL_CURE</t>
        </is>
      </c>
      <c r="L81" s="3" t="inlineStr">
        <is>
          <t>ABILITY_POISON_POINT</t>
        </is>
      </c>
      <c r="M81" s="3" t="inlineStr">
        <is>
          <t>ABILITY_LEAF_GUARD</t>
        </is>
      </c>
    </row>
    <row r="82">
      <c r="A82" s="3" t="inlineStr">
        <is>
          <t>SPECIES_ROSERADE</t>
        </is>
      </c>
      <c r="B82" s="3" t="inlineStr">
        <is>
          <t>Roserade</t>
        </is>
      </c>
      <c r="C82" s="3" t="inlineStr">
        <is>
          <t>Grass</t>
        </is>
      </c>
      <c r="D82" s="3" t="inlineStr">
        <is>
          <t>Poison</t>
        </is>
      </c>
      <c r="E82" s="3" t="n">
        <v>60</v>
      </c>
      <c r="F82" s="3" t="n">
        <v>70</v>
      </c>
      <c r="G82" s="3" t="n">
        <v>65</v>
      </c>
      <c r="H82" s="3" t="n">
        <v>125</v>
      </c>
      <c r="I82" s="3" t="n">
        <v>105</v>
      </c>
      <c r="J82" s="3" t="n">
        <v>90</v>
      </c>
      <c r="K82" s="3" t="inlineStr">
        <is>
          <t>ABILITY_NATURAL_CURE</t>
        </is>
      </c>
      <c r="L82" s="3" t="inlineStr">
        <is>
          <t>ABILITY_POISON_POINT</t>
        </is>
      </c>
      <c r="M82" s="3" t="inlineStr">
        <is>
          <t>ABILITY_TECHNICIAN</t>
        </is>
      </c>
    </row>
    <row r="83">
      <c r="A83" s="3" t="inlineStr">
        <is>
          <t>SPECIES_NUMEL</t>
        </is>
      </c>
      <c r="B83" s="3" t="inlineStr">
        <is>
          <t>Numel</t>
        </is>
      </c>
      <c r="C83" s="3" t="inlineStr">
        <is>
          <t>Fire</t>
        </is>
      </c>
      <c r="D83" s="3" t="inlineStr">
        <is>
          <t>Ground</t>
        </is>
      </c>
      <c r="E83" s="3" t="n">
        <v>60</v>
      </c>
      <c r="F83" s="3" t="n">
        <v>60</v>
      </c>
      <c r="G83" s="3" t="n">
        <v>40</v>
      </c>
      <c r="H83" s="3" t="n">
        <v>65</v>
      </c>
      <c r="I83" s="3" t="n">
        <v>45</v>
      </c>
      <c r="J83" s="3" t="n">
        <v>35</v>
      </c>
      <c r="K83" s="3" t="inlineStr">
        <is>
          <t>ABILITY_OBLIVIOUS</t>
        </is>
      </c>
      <c r="L83" s="3" t="inlineStr">
        <is>
          <t>ABILITY_SIMPLE</t>
        </is>
      </c>
      <c r="M83" s="3" t="inlineStr">
        <is>
          <t>ABILITY_OWN_TEMPO</t>
        </is>
      </c>
    </row>
    <row r="84">
      <c r="A84" s="3" t="inlineStr">
        <is>
          <t>SPECIES_CAMERUPT</t>
        </is>
      </c>
      <c r="B84" s="3" t="inlineStr">
        <is>
          <t>Camerupt</t>
        </is>
      </c>
      <c r="C84" s="3" t="inlineStr">
        <is>
          <t>Fire</t>
        </is>
      </c>
      <c r="D84" s="3" t="inlineStr">
        <is>
          <t>Ground</t>
        </is>
      </c>
      <c r="E84" s="3" t="n">
        <v>70</v>
      </c>
      <c r="F84" s="3" t="n">
        <v>100</v>
      </c>
      <c r="G84" s="3" t="n">
        <v>70</v>
      </c>
      <c r="H84" s="3" t="n">
        <v>105</v>
      </c>
      <c r="I84" s="3" t="n">
        <v>75</v>
      </c>
      <c r="J84" s="3" t="n">
        <v>40</v>
      </c>
      <c r="K84" s="3" t="inlineStr">
        <is>
          <t>ABILITY_MAGMA_ARMOR</t>
        </is>
      </c>
      <c r="L84" s="3" t="inlineStr">
        <is>
          <t>ABILITY_SOLID_ROCK</t>
        </is>
      </c>
      <c r="M84" s="3" t="inlineStr">
        <is>
          <t>ABILITY_ANGER_POINT</t>
        </is>
      </c>
    </row>
    <row r="85">
      <c r="A85" s="3" t="inlineStr">
        <is>
          <t>SPECIES_TRAPINCH</t>
        </is>
      </c>
      <c r="B85" s="3" t="inlineStr">
        <is>
          <t>Trapinch</t>
        </is>
      </c>
      <c r="C85" s="3" t="inlineStr">
        <is>
          <t>Ground</t>
        </is>
      </c>
      <c r="D85" s="3" t="inlineStr"/>
      <c r="E85" s="3" t="n">
        <v>45</v>
      </c>
      <c r="F85" s="3" t="n">
        <v>100</v>
      </c>
      <c r="G85" s="3" t="n">
        <v>45</v>
      </c>
      <c r="H85" s="3" t="n">
        <v>45</v>
      </c>
      <c r="I85" s="3" t="n">
        <v>45</v>
      </c>
      <c r="J85" s="3" t="n">
        <v>10</v>
      </c>
      <c r="K85" s="3" t="inlineStr">
        <is>
          <t>ABILITY_HYPER_CUTTER</t>
        </is>
      </c>
      <c r="L85" s="3" t="inlineStr">
        <is>
          <t>ABILITY_ARENA_TRAP</t>
        </is>
      </c>
      <c r="M85" s="3" t="inlineStr">
        <is>
          <t>ABILITY_SHEER_FORCE</t>
        </is>
      </c>
    </row>
    <row r="86">
      <c r="A86" s="3" t="inlineStr">
        <is>
          <t>SPECIES_VIBRAVA</t>
        </is>
      </c>
      <c r="B86" s="3" t="inlineStr">
        <is>
          <t>Vibrava</t>
        </is>
      </c>
      <c r="C86" s="3" t="inlineStr">
        <is>
          <t>Ground</t>
        </is>
      </c>
      <c r="D86" s="3" t="inlineStr">
        <is>
          <t>Dragon</t>
        </is>
      </c>
      <c r="E86" s="3" t="n">
        <v>50</v>
      </c>
      <c r="F86" s="3" t="n">
        <v>70</v>
      </c>
      <c r="G86" s="3" t="n">
        <v>50</v>
      </c>
      <c r="H86" s="3" t="n">
        <v>50</v>
      </c>
      <c r="I86" s="3" t="n">
        <v>50</v>
      </c>
      <c r="J86" s="3" t="n">
        <v>70</v>
      </c>
      <c r="K86" s="3" t="inlineStr">
        <is>
          <t>ABILITY_LEVITATE</t>
        </is>
      </c>
      <c r="L86" s="3" t="inlineStr">
        <is>
          <t>ABILITY_LEVITATE</t>
        </is>
      </c>
      <c r="M86" s="3" t="inlineStr">
        <is>
          <t>ABILITY_LEVITATE</t>
        </is>
      </c>
    </row>
    <row r="87">
      <c r="A87" s="3" t="inlineStr">
        <is>
          <t>SPECIES_FLYGON</t>
        </is>
      </c>
      <c r="B87" s="3" t="inlineStr">
        <is>
          <t>Flygon</t>
        </is>
      </c>
      <c r="C87" s="3" t="inlineStr">
        <is>
          <t>Ground</t>
        </is>
      </c>
      <c r="D87" s="3" t="inlineStr">
        <is>
          <t>Dragon</t>
        </is>
      </c>
      <c r="E87" s="3" t="n">
        <v>80</v>
      </c>
      <c r="F87" s="3" t="n">
        <v>100</v>
      </c>
      <c r="G87" s="3" t="n">
        <v>80</v>
      </c>
      <c r="H87" s="3" t="n">
        <v>80</v>
      </c>
      <c r="I87" s="3" t="n">
        <v>80</v>
      </c>
      <c r="J87" s="3" t="n">
        <v>100</v>
      </c>
      <c r="K87" s="3" t="inlineStr">
        <is>
          <t>ABILITY_LEVITATE</t>
        </is>
      </c>
      <c r="L87" s="3" t="inlineStr">
        <is>
          <t>ABILITY_LEVITATE</t>
        </is>
      </c>
      <c r="M87" s="3" t="inlineStr">
        <is>
          <t>ABILITY_LEVITATE</t>
        </is>
      </c>
    </row>
    <row r="88">
      <c r="A88" s="3" t="inlineStr">
        <is>
          <t>SPECIES_SWABLU</t>
        </is>
      </c>
      <c r="B88" s="3" t="inlineStr">
        <is>
          <t>Swablu</t>
        </is>
      </c>
      <c r="C88" s="3" t="inlineStr">
        <is>
          <t>Normal</t>
        </is>
      </c>
      <c r="D88" s="3" t="inlineStr">
        <is>
          <t>Flying</t>
        </is>
      </c>
      <c r="E88" s="3" t="n">
        <v>45</v>
      </c>
      <c r="F88" s="3" t="n">
        <v>40</v>
      </c>
      <c r="G88" s="3" t="n">
        <v>60</v>
      </c>
      <c r="H88" s="3" t="n">
        <v>40</v>
      </c>
      <c r="I88" s="3" t="n">
        <v>75</v>
      </c>
      <c r="J88" s="3" t="n">
        <v>50</v>
      </c>
      <c r="K88" s="3" t="inlineStr">
        <is>
          <t>ABILITY_NATURAL_CURE</t>
        </is>
      </c>
      <c r="L88" s="3" t="inlineStr">
        <is>
          <t>ABILITY_CLOUD_NINE</t>
        </is>
      </c>
      <c r="M88" s="3" t="inlineStr"/>
    </row>
    <row r="89">
      <c r="A89" s="3" t="inlineStr">
        <is>
          <t>SPECIES_ALTARIA</t>
        </is>
      </c>
      <c r="B89" s="3" t="inlineStr">
        <is>
          <t>Altaria</t>
        </is>
      </c>
      <c r="C89" s="3" t="inlineStr">
        <is>
          <t>Fairy</t>
        </is>
      </c>
      <c r="D89" s="3" t="inlineStr">
        <is>
          <t>Dragon</t>
        </is>
      </c>
      <c r="E89" s="3" t="n">
        <v>75</v>
      </c>
      <c r="F89" s="3" t="n">
        <v>70</v>
      </c>
      <c r="G89" s="3" t="n">
        <v>90</v>
      </c>
      <c r="H89" s="3" t="n">
        <v>70</v>
      </c>
      <c r="I89" s="3" t="n">
        <v>105</v>
      </c>
      <c r="J89" s="3" t="n">
        <v>80</v>
      </c>
      <c r="K89" s="3" t="inlineStr">
        <is>
          <t>ABILITY_NATURAL_CURE</t>
        </is>
      </c>
      <c r="L89" s="3" t="inlineStr">
        <is>
          <t>ABILITY_CLOUD_NINE</t>
        </is>
      </c>
      <c r="M89" s="3" t="inlineStr"/>
    </row>
    <row r="90">
      <c r="A90" s="3" t="inlineStr">
        <is>
          <t>SPECIES_CORPHISH</t>
        </is>
      </c>
      <c r="B90" s="3" t="inlineStr">
        <is>
          <t>Corphish</t>
        </is>
      </c>
      <c r="C90" s="3" t="inlineStr">
        <is>
          <t>Water</t>
        </is>
      </c>
      <c r="D90" s="3" t="inlineStr"/>
      <c r="E90" s="3" t="n">
        <v>43</v>
      </c>
      <c r="F90" s="3" t="n">
        <v>80</v>
      </c>
      <c r="G90" s="3" t="n">
        <v>65</v>
      </c>
      <c r="H90" s="3" t="n">
        <v>50</v>
      </c>
      <c r="I90" s="3" t="n">
        <v>35</v>
      </c>
      <c r="J90" s="3" t="n">
        <v>35</v>
      </c>
      <c r="K90" s="3" t="inlineStr">
        <is>
          <t>ABILITY_HYPER_CUTTER</t>
        </is>
      </c>
      <c r="L90" s="3" t="inlineStr">
        <is>
          <t>ABILITY_SHELL_ARMOR</t>
        </is>
      </c>
      <c r="M90" s="3" t="inlineStr">
        <is>
          <t>ABILITY_ADAPTABILITY</t>
        </is>
      </c>
    </row>
    <row r="91">
      <c r="A91" s="3" t="inlineStr">
        <is>
          <t>SPECIES_CRAWDAUNT</t>
        </is>
      </c>
      <c r="B91" s="3" t="inlineStr">
        <is>
          <t>Crawdaunt</t>
        </is>
      </c>
      <c r="C91" s="3" t="inlineStr">
        <is>
          <t>Water</t>
        </is>
      </c>
      <c r="D91" s="3" t="inlineStr">
        <is>
          <t>Dark</t>
        </is>
      </c>
      <c r="E91" s="3" t="n">
        <v>63</v>
      </c>
      <c r="F91" s="3" t="n">
        <v>120</v>
      </c>
      <c r="G91" s="3" t="n">
        <v>85</v>
      </c>
      <c r="H91" s="3" t="n">
        <v>90</v>
      </c>
      <c r="I91" s="3" t="n">
        <v>55</v>
      </c>
      <c r="J91" s="3" t="n">
        <v>55</v>
      </c>
      <c r="K91" s="3" t="inlineStr">
        <is>
          <t>ABILITY_HYPER_CUTTER</t>
        </is>
      </c>
      <c r="L91" s="3" t="inlineStr">
        <is>
          <t>ABILITY_SHELL_ARMOR</t>
        </is>
      </c>
      <c r="M91" s="3" t="inlineStr">
        <is>
          <t>ABILITY_ADAPTABILITY</t>
        </is>
      </c>
    </row>
    <row r="92">
      <c r="A92" s="3" t="inlineStr">
        <is>
          <t>SPECIES_BALTOY</t>
        </is>
      </c>
      <c r="B92" s="3" t="inlineStr">
        <is>
          <t>Baltoy</t>
        </is>
      </c>
      <c r="C92" s="3" t="inlineStr">
        <is>
          <t>Ground</t>
        </is>
      </c>
      <c r="D92" s="3" t="inlineStr">
        <is>
          <t>Psychic</t>
        </is>
      </c>
      <c r="E92" s="3" t="n">
        <v>40</v>
      </c>
      <c r="F92" s="3" t="n">
        <v>40</v>
      </c>
      <c r="G92" s="3" t="n">
        <v>55</v>
      </c>
      <c r="H92" s="3" t="n">
        <v>40</v>
      </c>
      <c r="I92" s="3" t="n">
        <v>70</v>
      </c>
      <c r="J92" s="3" t="n">
        <v>55</v>
      </c>
      <c r="K92" s="3" t="inlineStr">
        <is>
          <t>ABILITY_LEVITATE</t>
        </is>
      </c>
      <c r="L92" s="3" t="inlineStr"/>
      <c r="M92" s="3" t="inlineStr"/>
    </row>
    <row r="93">
      <c r="A93" s="3" t="inlineStr">
        <is>
          <t>SPECIES_CLAYDOL</t>
        </is>
      </c>
      <c r="B93" s="3" t="inlineStr">
        <is>
          <t>Claydol</t>
        </is>
      </c>
      <c r="C93" s="3" t="inlineStr">
        <is>
          <t>Ground</t>
        </is>
      </c>
      <c r="D93" s="3" t="inlineStr">
        <is>
          <t>Psychic</t>
        </is>
      </c>
      <c r="E93" s="3" t="n">
        <v>60</v>
      </c>
      <c r="F93" s="3" t="n">
        <v>70</v>
      </c>
      <c r="G93" s="3" t="n">
        <v>105</v>
      </c>
      <c r="H93" s="3" t="n">
        <v>70</v>
      </c>
      <c r="I93" s="3" t="n">
        <v>120</v>
      </c>
      <c r="J93" s="3" t="n">
        <v>75</v>
      </c>
      <c r="K93" s="3" t="inlineStr">
        <is>
          <t>ABILITY_LEVITATE</t>
        </is>
      </c>
      <c r="L93" s="3" t="inlineStr"/>
      <c r="M93" s="3" t="inlineStr"/>
    </row>
    <row r="94">
      <c r="A94" s="3" t="inlineStr">
        <is>
          <t>SPECIES_LILEEP</t>
        </is>
      </c>
      <c r="B94" s="3" t="inlineStr">
        <is>
          <t>Lileep</t>
        </is>
      </c>
      <c r="C94" s="3" t="inlineStr">
        <is>
          <t>Rock</t>
        </is>
      </c>
      <c r="D94" s="3" t="inlineStr">
        <is>
          <t>Grass</t>
        </is>
      </c>
      <c r="E94" s="3" t="n">
        <v>66</v>
      </c>
      <c r="F94" s="3" t="n">
        <v>41</v>
      </c>
      <c r="G94" s="3" t="n">
        <v>77</v>
      </c>
      <c r="H94" s="3" t="n">
        <v>61</v>
      </c>
      <c r="I94" s="3" t="n">
        <v>87</v>
      </c>
      <c r="J94" s="3" t="n">
        <v>23</v>
      </c>
      <c r="K94" s="3" t="inlineStr">
        <is>
          <t>ABILITY_SUCTION_CUPS</t>
        </is>
      </c>
      <c r="L94" s="3" t="inlineStr">
        <is>
          <t>ABILITY_STORM_DRAIN</t>
        </is>
      </c>
      <c r="M94" s="3" t="inlineStr"/>
    </row>
    <row r="95">
      <c r="A95" s="3" t="inlineStr">
        <is>
          <t>SPECIES_CRADILY</t>
        </is>
      </c>
      <c r="B95" s="3" t="inlineStr">
        <is>
          <t>Cradily</t>
        </is>
      </c>
      <c r="C95" s="3" t="inlineStr">
        <is>
          <t>Rock</t>
        </is>
      </c>
      <c r="D95" s="3" t="inlineStr">
        <is>
          <t>Grass</t>
        </is>
      </c>
      <c r="E95" s="3" t="n">
        <v>86</v>
      </c>
      <c r="F95" s="3" t="n">
        <v>81</v>
      </c>
      <c r="G95" s="3" t="n">
        <v>97</v>
      </c>
      <c r="H95" s="3" t="n">
        <v>81</v>
      </c>
      <c r="I95" s="3" t="n">
        <v>107</v>
      </c>
      <c r="J95" s="3" t="n">
        <v>43</v>
      </c>
      <c r="K95" s="3" t="inlineStr">
        <is>
          <t>ABILITY_SUCTION_CUPS</t>
        </is>
      </c>
      <c r="L95" s="3" t="inlineStr">
        <is>
          <t>ABILITY_STORM_DRAIN</t>
        </is>
      </c>
      <c r="M95" s="3" t="inlineStr"/>
    </row>
    <row r="96">
      <c r="A96" s="3" t="inlineStr">
        <is>
          <t>SPECIES_ANORITH</t>
        </is>
      </c>
      <c r="B96" s="3" t="inlineStr">
        <is>
          <t>Anorith</t>
        </is>
      </c>
      <c r="C96" s="3" t="inlineStr">
        <is>
          <t>Rock</t>
        </is>
      </c>
      <c r="D96" s="3" t="inlineStr">
        <is>
          <t>Bug</t>
        </is>
      </c>
      <c r="E96" s="3" t="n">
        <v>45</v>
      </c>
      <c r="F96" s="3" t="n">
        <v>95</v>
      </c>
      <c r="G96" s="3" t="n">
        <v>50</v>
      </c>
      <c r="H96" s="3" t="n">
        <v>40</v>
      </c>
      <c r="I96" s="3" t="n">
        <v>50</v>
      </c>
      <c r="J96" s="3" t="n">
        <v>75</v>
      </c>
      <c r="K96" s="3" t="inlineStr">
        <is>
          <t>ABILITY_BATTLE_ARMOR</t>
        </is>
      </c>
      <c r="L96" s="3" t="inlineStr">
        <is>
          <t>ABILITY_SWIFT_SWIM</t>
        </is>
      </c>
      <c r="M96" s="3" t="inlineStr"/>
    </row>
    <row r="97">
      <c r="A97" s="3" t="inlineStr">
        <is>
          <t>SPECIES_ARMALDO</t>
        </is>
      </c>
      <c r="B97" s="3" t="inlineStr">
        <is>
          <t>Armaldo</t>
        </is>
      </c>
      <c r="C97" s="3" t="inlineStr">
        <is>
          <t>Rock</t>
        </is>
      </c>
      <c r="D97" s="3" t="inlineStr">
        <is>
          <t>Bug</t>
        </is>
      </c>
      <c r="E97" s="3" t="n">
        <v>75</v>
      </c>
      <c r="F97" s="3" t="n">
        <v>125</v>
      </c>
      <c r="G97" s="3" t="n">
        <v>100</v>
      </c>
      <c r="H97" s="3" t="n">
        <v>70</v>
      </c>
      <c r="I97" s="3" t="n">
        <v>80</v>
      </c>
      <c r="J97" s="3" t="n">
        <v>45</v>
      </c>
      <c r="K97" s="3" t="inlineStr">
        <is>
          <t>ABILITY_BATTLE_ARMOR</t>
        </is>
      </c>
      <c r="L97" s="3" t="inlineStr">
        <is>
          <t>ABILITY_SWIFT_SWIM</t>
        </is>
      </c>
      <c r="M97" s="3" t="inlineStr"/>
    </row>
    <row r="98">
      <c r="A98" s="3" t="inlineStr">
        <is>
          <t>SPECIES_SHUPPET</t>
        </is>
      </c>
      <c r="B98" s="3" t="inlineStr">
        <is>
          <t>Shuppet</t>
        </is>
      </c>
      <c r="C98" s="3" t="inlineStr">
        <is>
          <t>Ghost</t>
        </is>
      </c>
      <c r="D98" s="3" t="inlineStr"/>
      <c r="E98" s="3" t="n">
        <v>44</v>
      </c>
      <c r="F98" s="3" t="n">
        <v>75</v>
      </c>
      <c r="G98" s="3" t="n">
        <v>35</v>
      </c>
      <c r="H98" s="3" t="n">
        <v>63</v>
      </c>
      <c r="I98" s="3" t="n">
        <v>33</v>
      </c>
      <c r="J98" s="3" t="n">
        <v>45</v>
      </c>
      <c r="K98" s="3" t="inlineStr">
        <is>
          <t>ABILITY_INSOMNIA</t>
        </is>
      </c>
      <c r="L98" s="3" t="inlineStr">
        <is>
          <t>ABILITY_FRISK</t>
        </is>
      </c>
      <c r="M98" s="3" t="inlineStr">
        <is>
          <t>ABILITY_CURSED_BODY</t>
        </is>
      </c>
    </row>
    <row r="99">
      <c r="A99" s="3" t="inlineStr">
        <is>
          <t>SPECIES_BANETTE</t>
        </is>
      </c>
      <c r="B99" s="3" t="inlineStr">
        <is>
          <t>Banette</t>
        </is>
      </c>
      <c r="C99" s="3" t="inlineStr">
        <is>
          <t>Ghost</t>
        </is>
      </c>
      <c r="D99" s="3" t="inlineStr">
        <is>
          <t>Normal</t>
        </is>
      </c>
      <c r="E99" s="3" t="n">
        <v>64</v>
      </c>
      <c r="F99" s="3" t="n">
        <v>115</v>
      </c>
      <c r="G99" s="3" t="n">
        <v>65</v>
      </c>
      <c r="H99" s="3" t="n">
        <v>83</v>
      </c>
      <c r="I99" s="3" t="n">
        <v>63</v>
      </c>
      <c r="J99" s="3" t="n">
        <v>65</v>
      </c>
      <c r="K99" s="3" t="inlineStr">
        <is>
          <t>ABILITY_INSOMNIA</t>
        </is>
      </c>
      <c r="L99" s="3" t="inlineStr">
        <is>
          <t>ABILITY_FRISK</t>
        </is>
      </c>
      <c r="M99" s="3" t="inlineStr">
        <is>
          <t>ABILITY_CURSED_BODY</t>
        </is>
      </c>
    </row>
    <row r="100">
      <c r="A100" s="3" t="inlineStr">
        <is>
          <t>SPECIES_SNORUNT</t>
        </is>
      </c>
      <c r="B100" s="3" t="inlineStr">
        <is>
          <t>Snorunt</t>
        </is>
      </c>
      <c r="C100" s="3" t="inlineStr">
        <is>
          <t>Ice</t>
        </is>
      </c>
      <c r="D100" s="3" t="inlineStr"/>
      <c r="E100" s="3" t="n">
        <v>50</v>
      </c>
      <c r="F100" s="3" t="n">
        <v>50</v>
      </c>
      <c r="G100" s="3" t="n">
        <v>50</v>
      </c>
      <c r="H100" s="3" t="n">
        <v>50</v>
      </c>
      <c r="I100" s="3" t="n">
        <v>50</v>
      </c>
      <c r="J100" s="3" t="n">
        <v>50</v>
      </c>
      <c r="K100" s="3" t="inlineStr">
        <is>
          <t>ABILITY_INNER_FOCUS</t>
        </is>
      </c>
      <c r="L100" s="3" t="inlineStr">
        <is>
          <t>ABILITY_ICE_BODY</t>
        </is>
      </c>
      <c r="M100" s="3" t="inlineStr">
        <is>
          <t>ABILITY_MOODY</t>
        </is>
      </c>
    </row>
    <row r="101">
      <c r="A101" s="3" t="inlineStr">
        <is>
          <t>SPECIES_GLALIE</t>
        </is>
      </c>
      <c r="B101" s="3" t="inlineStr">
        <is>
          <t>Glalie</t>
        </is>
      </c>
      <c r="C101" s="3" t="inlineStr">
        <is>
          <t>Ice</t>
        </is>
      </c>
      <c r="D101" s="3" t="inlineStr">
        <is>
          <t>Rock</t>
        </is>
      </c>
      <c r="E101" s="3" t="n">
        <v>80</v>
      </c>
      <c r="F101" s="3" t="n">
        <v>80</v>
      </c>
      <c r="G101" s="3" t="n">
        <v>80</v>
      </c>
      <c r="H101" s="3" t="n">
        <v>80</v>
      </c>
      <c r="I101" s="3" t="n">
        <v>80</v>
      </c>
      <c r="J101" s="3" t="n">
        <v>80</v>
      </c>
      <c r="K101" s="3" t="inlineStr">
        <is>
          <t>ABILITY_INNER_FOCUS</t>
        </is>
      </c>
      <c r="L101" s="3" t="inlineStr">
        <is>
          <t>ABILITY_ICE_BODY</t>
        </is>
      </c>
      <c r="M101" s="3" t="inlineStr">
        <is>
          <t>ABILITY_MOODY</t>
        </is>
      </c>
    </row>
    <row r="102">
      <c r="A102" s="3" t="inlineStr">
        <is>
          <t>SPECIES_FROSLASS</t>
        </is>
      </c>
      <c r="B102" s="3" t="inlineStr">
        <is>
          <t>Froslass</t>
        </is>
      </c>
      <c r="C102" s="3" t="inlineStr">
        <is>
          <t>Ice</t>
        </is>
      </c>
      <c r="D102" s="3" t="inlineStr">
        <is>
          <t>Ghost</t>
        </is>
      </c>
      <c r="E102" s="3" t="n">
        <v>70</v>
      </c>
      <c r="F102" s="3" t="n">
        <v>80</v>
      </c>
      <c r="G102" s="3" t="n">
        <v>70</v>
      </c>
      <c r="H102" s="3" t="n">
        <v>80</v>
      </c>
      <c r="I102" s="3" t="n">
        <v>70</v>
      </c>
      <c r="J102" s="3" t="n">
        <v>110</v>
      </c>
      <c r="K102" s="3" t="inlineStr">
        <is>
          <t>ABILITY_SNOW_CLOAK</t>
        </is>
      </c>
      <c r="L102" s="3" t="inlineStr">
        <is>
          <t>ABILITY_CURSED_BODY</t>
        </is>
      </c>
      <c r="M102" s="3" t="inlineStr"/>
    </row>
    <row r="103">
      <c r="A103" s="3" t="inlineStr">
        <is>
          <t>SPECIES_SPHEAL</t>
        </is>
      </c>
      <c r="B103" s="3" t="inlineStr">
        <is>
          <t>Spheal</t>
        </is>
      </c>
      <c r="C103" s="3" t="inlineStr">
        <is>
          <t>Ice</t>
        </is>
      </c>
      <c r="D103" s="3" t="inlineStr">
        <is>
          <t>Water</t>
        </is>
      </c>
      <c r="E103" s="3" t="n">
        <v>70</v>
      </c>
      <c r="F103" s="3" t="n">
        <v>40</v>
      </c>
      <c r="G103" s="3" t="n">
        <v>50</v>
      </c>
      <c r="H103" s="3" t="n">
        <v>55</v>
      </c>
      <c r="I103" s="3" t="n">
        <v>50</v>
      </c>
      <c r="J103" s="3" t="n">
        <v>25</v>
      </c>
      <c r="K103" s="3" t="inlineStr">
        <is>
          <t>ABILITY_THICK_FAT</t>
        </is>
      </c>
      <c r="L103" s="3" t="inlineStr">
        <is>
          <t>ABILITY_ICE_BODY</t>
        </is>
      </c>
      <c r="M103" s="3" t="inlineStr">
        <is>
          <t>ABILITY_OBLIVIOUS</t>
        </is>
      </c>
    </row>
    <row r="104">
      <c r="A104" s="3" t="inlineStr">
        <is>
          <t>SPECIES_SEALEO</t>
        </is>
      </c>
      <c r="B104" s="3" t="inlineStr">
        <is>
          <t>Sealeo</t>
        </is>
      </c>
      <c r="C104" s="3" t="inlineStr">
        <is>
          <t>Ice</t>
        </is>
      </c>
      <c r="D104" s="3" t="inlineStr">
        <is>
          <t>Water</t>
        </is>
      </c>
      <c r="E104" s="3" t="n">
        <v>90</v>
      </c>
      <c r="F104" s="3" t="n">
        <v>60</v>
      </c>
      <c r="G104" s="3" t="n">
        <v>70</v>
      </c>
      <c r="H104" s="3" t="n">
        <v>75</v>
      </c>
      <c r="I104" s="3" t="n">
        <v>70</v>
      </c>
      <c r="J104" s="3" t="n">
        <v>45</v>
      </c>
      <c r="K104" s="3" t="inlineStr">
        <is>
          <t>ABILITY_THICK_FAT</t>
        </is>
      </c>
      <c r="L104" s="3" t="inlineStr">
        <is>
          <t>ABILITY_ICE_BODY</t>
        </is>
      </c>
      <c r="M104" s="3" t="inlineStr">
        <is>
          <t>ABILITY_OBLIVIOUS</t>
        </is>
      </c>
    </row>
    <row r="105">
      <c r="A105" s="3" t="inlineStr">
        <is>
          <t>SPECIES_WALREIN</t>
        </is>
      </c>
      <c r="B105" s="3" t="inlineStr">
        <is>
          <t>Walrein</t>
        </is>
      </c>
      <c r="C105" s="3" t="inlineStr">
        <is>
          <t>Ice</t>
        </is>
      </c>
      <c r="D105" s="3" t="inlineStr">
        <is>
          <t>Water</t>
        </is>
      </c>
      <c r="E105" s="3" t="n">
        <v>110</v>
      </c>
      <c r="F105" s="3" t="n">
        <v>80</v>
      </c>
      <c r="G105" s="3" t="n">
        <v>90</v>
      </c>
      <c r="H105" s="3" t="n">
        <v>95</v>
      </c>
      <c r="I105" s="3" t="n">
        <v>90</v>
      </c>
      <c r="J105" s="3" t="n">
        <v>65</v>
      </c>
      <c r="K105" s="3" t="inlineStr">
        <is>
          <t>ABILITY_THICK_FAT</t>
        </is>
      </c>
      <c r="L105" s="3" t="inlineStr">
        <is>
          <t>ABILITY_ICE_BODY</t>
        </is>
      </c>
      <c r="M105" s="3" t="inlineStr">
        <is>
          <t>ABILITY_OBLIVIOUS</t>
        </is>
      </c>
    </row>
    <row r="106">
      <c r="A106" s="3" t="inlineStr">
        <is>
          <t>SPECIES_STARLY</t>
        </is>
      </c>
      <c r="B106" s="3" t="inlineStr">
        <is>
          <t>Starly</t>
        </is>
      </c>
      <c r="C106" s="3" t="inlineStr">
        <is>
          <t>Normal</t>
        </is>
      </c>
      <c r="D106" s="3" t="inlineStr">
        <is>
          <t>Flying</t>
        </is>
      </c>
      <c r="E106" s="3" t="n">
        <v>40</v>
      </c>
      <c r="F106" s="3" t="n">
        <v>55</v>
      </c>
      <c r="G106" s="3" t="n">
        <v>30</v>
      </c>
      <c r="H106" s="3" t="n">
        <v>30</v>
      </c>
      <c r="I106" s="3" t="n">
        <v>30</v>
      </c>
      <c r="J106" s="3" t="n">
        <v>60</v>
      </c>
      <c r="K106" s="3" t="inlineStr">
        <is>
          <t>ABILITY_KEEN_EYE</t>
        </is>
      </c>
      <c r="L106" s="3" t="inlineStr">
        <is>
          <t>ABILITY_RECKLESS</t>
        </is>
      </c>
      <c r="M106" s="3" t="inlineStr"/>
    </row>
    <row r="107">
      <c r="A107" s="3" t="inlineStr">
        <is>
          <t>SPECIES_STARAVIA</t>
        </is>
      </c>
      <c r="B107" s="3" t="inlineStr">
        <is>
          <t>Staravia</t>
        </is>
      </c>
      <c r="C107" s="3" t="inlineStr">
        <is>
          <t>Normal</t>
        </is>
      </c>
      <c r="D107" s="3" t="inlineStr">
        <is>
          <t>Flying</t>
        </is>
      </c>
      <c r="E107" s="3" t="n">
        <v>55</v>
      </c>
      <c r="F107" s="3" t="n">
        <v>75</v>
      </c>
      <c r="G107" s="3" t="n">
        <v>50</v>
      </c>
      <c r="H107" s="3" t="n">
        <v>40</v>
      </c>
      <c r="I107" s="3" t="n">
        <v>40</v>
      </c>
      <c r="J107" s="3" t="n">
        <v>80</v>
      </c>
      <c r="K107" s="3" t="inlineStr">
        <is>
          <t>ABILITY_INTIMIDATE</t>
        </is>
      </c>
      <c r="L107" s="3" t="inlineStr">
        <is>
          <t>ABILITY_RECKLESS</t>
        </is>
      </c>
      <c r="M107" s="3" t="inlineStr"/>
    </row>
    <row r="108">
      <c r="A108" s="3" t="inlineStr">
        <is>
          <t>SPECIES_STARAPTOR</t>
        </is>
      </c>
      <c r="B108" s="3" t="inlineStr">
        <is>
          <t>Staraptor</t>
        </is>
      </c>
      <c r="C108" s="3" t="inlineStr">
        <is>
          <t>Normal</t>
        </is>
      </c>
      <c r="D108" s="3" t="inlineStr">
        <is>
          <t>Flying</t>
        </is>
      </c>
      <c r="E108" s="3" t="n">
        <v>85</v>
      </c>
      <c r="F108" s="3" t="n">
        <v>120</v>
      </c>
      <c r="G108" s="3" t="n">
        <v>70</v>
      </c>
      <c r="H108" s="3" t="n">
        <v>50</v>
      </c>
      <c r="I108" s="3" t="n">
        <v>60</v>
      </c>
      <c r="J108" s="3" t="n">
        <v>100</v>
      </c>
      <c r="K108" s="3" t="inlineStr">
        <is>
          <t>ABILITY_INTIMIDATE</t>
        </is>
      </c>
      <c r="L108" s="3" t="inlineStr">
        <is>
          <t>ABILITY_RECKLESS</t>
        </is>
      </c>
      <c r="M108" s="3" t="inlineStr"/>
    </row>
    <row r="109">
      <c r="A109" s="3" t="inlineStr">
        <is>
          <t>SPECIES_SHINX</t>
        </is>
      </c>
      <c r="B109" s="3" t="inlineStr">
        <is>
          <t>Shinx</t>
        </is>
      </c>
      <c r="C109" s="3" t="inlineStr">
        <is>
          <t>Electric</t>
        </is>
      </c>
      <c r="D109" s="3" t="inlineStr">
        <is>
          <t>Dark</t>
        </is>
      </c>
      <c r="E109" s="3" t="n">
        <v>45</v>
      </c>
      <c r="F109" s="3" t="n">
        <v>65</v>
      </c>
      <c r="G109" s="3" t="n">
        <v>34</v>
      </c>
      <c r="H109" s="3" t="n">
        <v>40</v>
      </c>
      <c r="I109" s="3" t="n">
        <v>34</v>
      </c>
      <c r="J109" s="3" t="n">
        <v>45</v>
      </c>
      <c r="K109" s="3" t="inlineStr">
        <is>
          <t>ABILITY_RIVALRY</t>
        </is>
      </c>
      <c r="L109" s="3" t="inlineStr">
        <is>
          <t>ABILITY_INTIMIDATE</t>
        </is>
      </c>
      <c r="M109" s="3" t="inlineStr">
        <is>
          <t>ABILITY_GUTS</t>
        </is>
      </c>
    </row>
    <row r="110">
      <c r="A110" s="3" t="inlineStr">
        <is>
          <t>SPECIES_LUXIO</t>
        </is>
      </c>
      <c r="B110" s="3" t="inlineStr">
        <is>
          <t>Luxio</t>
        </is>
      </c>
      <c r="C110" s="3" t="inlineStr">
        <is>
          <t>Electric</t>
        </is>
      </c>
      <c r="D110" s="3" t="inlineStr">
        <is>
          <t>Dark</t>
        </is>
      </c>
      <c r="E110" s="3" t="n">
        <v>60</v>
      </c>
      <c r="F110" s="3" t="n">
        <v>85</v>
      </c>
      <c r="G110" s="3" t="n">
        <v>49</v>
      </c>
      <c r="H110" s="3" t="n">
        <v>60</v>
      </c>
      <c r="I110" s="3" t="n">
        <v>49</v>
      </c>
      <c r="J110" s="3" t="n">
        <v>60</v>
      </c>
      <c r="K110" s="3" t="inlineStr">
        <is>
          <t>ABILITY_RIVALRY</t>
        </is>
      </c>
      <c r="L110" s="3" t="inlineStr">
        <is>
          <t>ABILITY_INTIMIDATE</t>
        </is>
      </c>
      <c r="M110" s="3" t="inlineStr">
        <is>
          <t>ABILITY_GUTS</t>
        </is>
      </c>
    </row>
    <row r="111">
      <c r="A111" s="3" t="inlineStr">
        <is>
          <t>SPECIES_LUXRAY</t>
        </is>
      </c>
      <c r="B111" s="3" t="inlineStr">
        <is>
          <t>Luxray</t>
        </is>
      </c>
      <c r="C111" s="3" t="inlineStr">
        <is>
          <t>Electric</t>
        </is>
      </c>
      <c r="D111" s="3" t="inlineStr">
        <is>
          <t>Dark</t>
        </is>
      </c>
      <c r="E111" s="3" t="n">
        <v>80</v>
      </c>
      <c r="F111" s="3" t="n">
        <v>120</v>
      </c>
      <c r="G111" s="3" t="n">
        <v>79</v>
      </c>
      <c r="H111" s="3" t="n">
        <v>95</v>
      </c>
      <c r="I111" s="3" t="n">
        <v>79</v>
      </c>
      <c r="J111" s="3" t="n">
        <v>70</v>
      </c>
      <c r="K111" s="3" t="inlineStr">
        <is>
          <t>ABILITY_RIVALRY</t>
        </is>
      </c>
      <c r="L111" s="3" t="inlineStr">
        <is>
          <t>ABILITY_INTIMIDATE</t>
        </is>
      </c>
      <c r="M111" s="3" t="inlineStr">
        <is>
          <t>ABILITY_GUTS</t>
        </is>
      </c>
    </row>
    <row r="112">
      <c r="A112" s="3" t="inlineStr">
        <is>
          <t>SPECIES_COMBEE</t>
        </is>
      </c>
      <c r="B112" s="3" t="inlineStr">
        <is>
          <t>Combee</t>
        </is>
      </c>
      <c r="C112" s="3" t="inlineStr">
        <is>
          <t>Bug</t>
        </is>
      </c>
      <c r="D112" s="3" t="inlineStr">
        <is>
          <t>Flying</t>
        </is>
      </c>
      <c r="E112" s="3" t="n">
        <v>30</v>
      </c>
      <c r="F112" s="3" t="n">
        <v>30</v>
      </c>
      <c r="G112" s="3" t="n">
        <v>42</v>
      </c>
      <c r="H112" s="3" t="n">
        <v>30</v>
      </c>
      <c r="I112" s="3" t="n">
        <v>42</v>
      </c>
      <c r="J112" s="3" t="n">
        <v>70</v>
      </c>
      <c r="K112" s="3" t="inlineStr">
        <is>
          <t>ABILITY_HONEY_GATHER</t>
        </is>
      </c>
      <c r="L112" s="3" t="inlineStr">
        <is>
          <t>ABILITY_HUSTLE</t>
        </is>
      </c>
      <c r="M112" s="3" t="inlineStr"/>
    </row>
    <row r="113">
      <c r="A113" s="3" t="inlineStr">
        <is>
          <t>SPECIES_VESPIQUEN</t>
        </is>
      </c>
      <c r="B113" s="3" t="inlineStr">
        <is>
          <t>Vespiquen</t>
        </is>
      </c>
      <c r="C113" s="3" t="inlineStr">
        <is>
          <t>Bug</t>
        </is>
      </c>
      <c r="D113" s="3" t="inlineStr">
        <is>
          <t>Flying</t>
        </is>
      </c>
      <c r="E113" s="3" t="n">
        <v>70</v>
      </c>
      <c r="F113" s="3" t="n">
        <v>80</v>
      </c>
      <c r="G113" s="3" t="n">
        <v>102</v>
      </c>
      <c r="H113" s="3" t="n">
        <v>80</v>
      </c>
      <c r="I113" s="3" t="n">
        <v>102</v>
      </c>
      <c r="J113" s="3" t="n">
        <v>40</v>
      </c>
      <c r="K113" s="3" t="inlineStr">
        <is>
          <t>ABILITY_PRESSURE</t>
        </is>
      </c>
      <c r="L113" s="3" t="inlineStr">
        <is>
          <t>ABILITY_UNNERVE</t>
        </is>
      </c>
      <c r="M113" s="3" t="inlineStr"/>
    </row>
    <row r="114">
      <c r="A114" s="3" t="inlineStr">
        <is>
          <t>SPECIES_BUIZEL</t>
        </is>
      </c>
      <c r="B114" s="3" t="inlineStr">
        <is>
          <t>Buizel</t>
        </is>
      </c>
      <c r="C114" s="3" t="inlineStr">
        <is>
          <t>Water</t>
        </is>
      </c>
      <c r="D114" s="3" t="inlineStr"/>
      <c r="E114" s="3" t="n">
        <v>55</v>
      </c>
      <c r="F114" s="3" t="n">
        <v>65</v>
      </c>
      <c r="G114" s="3" t="n">
        <v>35</v>
      </c>
      <c r="H114" s="3" t="n">
        <v>60</v>
      </c>
      <c r="I114" s="3" t="n">
        <v>30</v>
      </c>
      <c r="J114" s="3" t="n">
        <v>85</v>
      </c>
      <c r="K114" s="3" t="inlineStr">
        <is>
          <t>ABILITY_SWIFT_SWIM</t>
        </is>
      </c>
      <c r="L114" s="3" t="inlineStr">
        <is>
          <t>ABILITY_WATER_VEIL</t>
        </is>
      </c>
      <c r="M114" s="3" t="inlineStr"/>
    </row>
    <row r="115">
      <c r="A115" s="3" t="inlineStr">
        <is>
          <t>SPECIES_FLOATZEL</t>
        </is>
      </c>
      <c r="B115" s="3" t="inlineStr">
        <is>
          <t>Floatzel</t>
        </is>
      </c>
      <c r="C115" s="3" t="inlineStr">
        <is>
          <t>Water</t>
        </is>
      </c>
      <c r="D115" s="3" t="inlineStr">
        <is>
          <t>Normal</t>
        </is>
      </c>
      <c r="E115" s="3" t="n">
        <v>85</v>
      </c>
      <c r="F115" s="3" t="n">
        <v>105</v>
      </c>
      <c r="G115" s="3" t="n">
        <v>55</v>
      </c>
      <c r="H115" s="3" t="n">
        <v>85</v>
      </c>
      <c r="I115" s="3" t="n">
        <v>50</v>
      </c>
      <c r="J115" s="3" t="n">
        <v>115</v>
      </c>
      <c r="K115" s="3" t="inlineStr">
        <is>
          <t>ABILITY_SWIFT_SWIM</t>
        </is>
      </c>
      <c r="L115" s="3" t="inlineStr">
        <is>
          <t>ABILITY_WATER_VEIL</t>
        </is>
      </c>
      <c r="M115" s="3" t="inlineStr"/>
    </row>
    <row r="116">
      <c r="A116" s="3" t="inlineStr">
        <is>
          <t>SPECIES_DRIFLOON</t>
        </is>
      </c>
      <c r="B116" s="3" t="inlineStr">
        <is>
          <t>Drifloon</t>
        </is>
      </c>
      <c r="C116" s="3" t="inlineStr">
        <is>
          <t>Ghost</t>
        </is>
      </c>
      <c r="D116" s="3" t="inlineStr">
        <is>
          <t>Flying</t>
        </is>
      </c>
      <c r="E116" s="3" t="n">
        <v>90</v>
      </c>
      <c r="F116" s="3" t="n">
        <v>50</v>
      </c>
      <c r="G116" s="3" t="n">
        <v>34</v>
      </c>
      <c r="H116" s="3" t="n">
        <v>60</v>
      </c>
      <c r="I116" s="3" t="n">
        <v>44</v>
      </c>
      <c r="J116" s="3" t="n">
        <v>70</v>
      </c>
      <c r="K116" s="3" t="inlineStr">
        <is>
          <t>ABILITY_AFTERMATH</t>
        </is>
      </c>
      <c r="L116" s="3" t="inlineStr">
        <is>
          <t>ABILITY_UNBURDEN</t>
        </is>
      </c>
      <c r="M116" s="3" t="inlineStr">
        <is>
          <t>ABILITY_FLARE_BOOST</t>
        </is>
      </c>
    </row>
    <row r="117">
      <c r="A117" s="3" t="inlineStr">
        <is>
          <t>SPECIES_DRIFBLIM</t>
        </is>
      </c>
      <c r="B117" s="3" t="inlineStr">
        <is>
          <t>Drifblim</t>
        </is>
      </c>
      <c r="C117" s="3" t="inlineStr">
        <is>
          <t>Ghost</t>
        </is>
      </c>
      <c r="D117" s="3" t="inlineStr">
        <is>
          <t>Flying</t>
        </is>
      </c>
      <c r="E117" s="3" t="n">
        <v>150</v>
      </c>
      <c r="F117" s="3" t="n">
        <v>80</v>
      </c>
      <c r="G117" s="3" t="n">
        <v>44</v>
      </c>
      <c r="H117" s="3" t="n">
        <v>90</v>
      </c>
      <c r="I117" s="3" t="n">
        <v>54</v>
      </c>
      <c r="J117" s="3" t="n">
        <v>80</v>
      </c>
      <c r="K117" s="3" t="inlineStr">
        <is>
          <t>ABILITY_AFTERMATH</t>
        </is>
      </c>
      <c r="L117" s="3" t="inlineStr">
        <is>
          <t>ABILITY_UNBURDEN</t>
        </is>
      </c>
      <c r="M117" s="3" t="inlineStr">
        <is>
          <t>ABILITY_FLARE_BOOST</t>
        </is>
      </c>
    </row>
    <row r="118">
      <c r="A118" s="3" t="inlineStr">
        <is>
          <t>SPECIES_BUNEARY</t>
        </is>
      </c>
      <c r="B118" s="3" t="inlineStr">
        <is>
          <t>Buneary</t>
        </is>
      </c>
      <c r="C118" s="3" t="inlineStr">
        <is>
          <t>Normal</t>
        </is>
      </c>
      <c r="D118" s="3" t="inlineStr"/>
      <c r="E118" s="3" t="n">
        <v>55</v>
      </c>
      <c r="F118" s="3" t="n">
        <v>66</v>
      </c>
      <c r="G118" s="3" t="n">
        <v>44</v>
      </c>
      <c r="H118" s="3" t="n">
        <v>44</v>
      </c>
      <c r="I118" s="3" t="n">
        <v>56</v>
      </c>
      <c r="J118" s="3" t="n">
        <v>85</v>
      </c>
      <c r="K118" s="3" t="inlineStr">
        <is>
          <t>ABILITY_RUN_AWAY</t>
        </is>
      </c>
      <c r="L118" s="3" t="inlineStr">
        <is>
          <t>ABILITY_KLUTZ</t>
        </is>
      </c>
      <c r="M118" s="3" t="inlineStr">
        <is>
          <t>ABILITY_LIMBER</t>
        </is>
      </c>
    </row>
    <row r="119">
      <c r="A119" s="3" t="inlineStr">
        <is>
          <t>SPECIES_LOPUNNY</t>
        </is>
      </c>
      <c r="B119" s="3" t="inlineStr">
        <is>
          <t>Lopunny</t>
        </is>
      </c>
      <c r="C119" s="3" t="inlineStr">
        <is>
          <t>Normal</t>
        </is>
      </c>
      <c r="D119" s="3" t="inlineStr">
        <is>
          <t>Fighting</t>
        </is>
      </c>
      <c r="E119" s="3" t="n">
        <v>65</v>
      </c>
      <c r="F119" s="3" t="n">
        <v>76</v>
      </c>
      <c r="G119" s="3" t="n">
        <v>84</v>
      </c>
      <c r="H119" s="3" t="n">
        <v>54</v>
      </c>
      <c r="I119" s="3" t="n">
        <v>96</v>
      </c>
      <c r="J119" s="3" t="n">
        <v>105</v>
      </c>
      <c r="K119" s="3" t="inlineStr">
        <is>
          <t>ABILITY_CUTE_CHARM</t>
        </is>
      </c>
      <c r="L119" s="3" t="inlineStr">
        <is>
          <t>ABILITY_KLUTZ</t>
        </is>
      </c>
      <c r="M119" s="3" t="inlineStr">
        <is>
          <t>ABILITY_LIMBER</t>
        </is>
      </c>
    </row>
    <row r="120">
      <c r="A120" s="3" t="inlineStr">
        <is>
          <t>SPECIES_BRONZOR</t>
        </is>
      </c>
      <c r="B120" s="3" t="inlineStr">
        <is>
          <t>Bronzor</t>
        </is>
      </c>
      <c r="C120" s="3" t="inlineStr">
        <is>
          <t>Steel</t>
        </is>
      </c>
      <c r="D120" s="3" t="inlineStr">
        <is>
          <t>Psychic</t>
        </is>
      </c>
      <c r="E120" s="3" t="n">
        <v>57</v>
      </c>
      <c r="F120" s="3" t="n">
        <v>24</v>
      </c>
      <c r="G120" s="3" t="n">
        <v>86</v>
      </c>
      <c r="H120" s="3" t="n">
        <v>24</v>
      </c>
      <c r="I120" s="3" t="n">
        <v>86</v>
      </c>
      <c r="J120" s="3" t="n">
        <v>23</v>
      </c>
      <c r="K120" s="3" t="inlineStr">
        <is>
          <t>ABILITY_LEVITATE</t>
        </is>
      </c>
      <c r="L120" s="3" t="inlineStr">
        <is>
          <t>ABILITY_HEATPROOF</t>
        </is>
      </c>
      <c r="M120" s="3" t="inlineStr">
        <is>
          <t>ABILITY_HEAVY_METAL</t>
        </is>
      </c>
    </row>
    <row r="121">
      <c r="A121" s="3" t="inlineStr">
        <is>
          <t>SPECIES_BRONZONG</t>
        </is>
      </c>
      <c r="B121" s="3" t="inlineStr">
        <is>
          <t>Bronzong</t>
        </is>
      </c>
      <c r="C121" s="3" t="inlineStr">
        <is>
          <t>Steel</t>
        </is>
      </c>
      <c r="D121" s="3" t="inlineStr">
        <is>
          <t>Psychic</t>
        </is>
      </c>
      <c r="E121" s="3" t="n">
        <v>67</v>
      </c>
      <c r="F121" s="3" t="n">
        <v>89</v>
      </c>
      <c r="G121" s="3" t="n">
        <v>116</v>
      </c>
      <c r="H121" s="3" t="n">
        <v>79</v>
      </c>
      <c r="I121" s="3" t="n">
        <v>116</v>
      </c>
      <c r="J121" s="3" t="n">
        <v>33</v>
      </c>
      <c r="K121" s="3" t="inlineStr">
        <is>
          <t>ABILITY_LEVITATE</t>
        </is>
      </c>
      <c r="L121" s="3" t="inlineStr">
        <is>
          <t>ABILITY_HEATPROOF</t>
        </is>
      </c>
      <c r="M121" s="3" t="inlineStr">
        <is>
          <t>ABILITY_HEAVY_METAL</t>
        </is>
      </c>
    </row>
    <row r="122">
      <c r="A122" s="3" t="inlineStr">
        <is>
          <t>SPECIES_RIOLU</t>
        </is>
      </c>
      <c r="B122" s="3" t="inlineStr">
        <is>
          <t>Riolu</t>
        </is>
      </c>
      <c r="C122" s="3" t="inlineStr">
        <is>
          <t>Fighting</t>
        </is>
      </c>
      <c r="D122" s="3" t="inlineStr"/>
      <c r="E122" s="3" t="n">
        <v>40</v>
      </c>
      <c r="F122" s="3" t="n">
        <v>70</v>
      </c>
      <c r="G122" s="3" t="n">
        <v>40</v>
      </c>
      <c r="H122" s="3" t="n">
        <v>35</v>
      </c>
      <c r="I122" s="3" t="n">
        <v>40</v>
      </c>
      <c r="J122" s="3" t="n">
        <v>60</v>
      </c>
      <c r="K122" s="3" t="inlineStr">
        <is>
          <t>ABILITY_STEADFAST</t>
        </is>
      </c>
      <c r="L122" s="3" t="inlineStr">
        <is>
          <t>ABILITY_INNER_FOCUS</t>
        </is>
      </c>
      <c r="M122" s="3" t="inlineStr">
        <is>
          <t>ABILITY_PRANKSTER</t>
        </is>
      </c>
    </row>
    <row r="123">
      <c r="A123" s="3" t="inlineStr">
        <is>
          <t>SPECIES_LUCARIO</t>
        </is>
      </c>
      <c r="B123" s="3" t="inlineStr">
        <is>
          <t>Lucario</t>
        </is>
      </c>
      <c r="C123" s="3" t="inlineStr">
        <is>
          <t>Fighting</t>
        </is>
      </c>
      <c r="D123" s="3" t="inlineStr">
        <is>
          <t>Steel</t>
        </is>
      </c>
      <c r="E123" s="3" t="n">
        <v>70</v>
      </c>
      <c r="F123" s="3" t="n">
        <v>110</v>
      </c>
      <c r="G123" s="3" t="n">
        <v>70</v>
      </c>
      <c r="H123" s="3" t="n">
        <v>115</v>
      </c>
      <c r="I123" s="3" t="n">
        <v>70</v>
      </c>
      <c r="J123" s="3" t="n">
        <v>90</v>
      </c>
      <c r="K123" s="3" t="inlineStr">
        <is>
          <t>ABILITY_STEADFAST</t>
        </is>
      </c>
      <c r="L123" s="3" t="inlineStr">
        <is>
          <t>ABILITY_INNER_FOCUS</t>
        </is>
      </c>
      <c r="M123" s="3" t="inlineStr">
        <is>
          <t>ABILITY_JUSTIFIED</t>
        </is>
      </c>
    </row>
    <row r="124">
      <c r="A124" s="3" t="inlineStr">
        <is>
          <t>SPECIES_SKORUPI</t>
        </is>
      </c>
      <c r="B124" s="3" t="inlineStr">
        <is>
          <t>Skorupi</t>
        </is>
      </c>
      <c r="C124" s="3" t="inlineStr">
        <is>
          <t>Poison</t>
        </is>
      </c>
      <c r="D124" s="3" t="inlineStr">
        <is>
          <t>Bug</t>
        </is>
      </c>
      <c r="E124" s="3" t="n">
        <v>40</v>
      </c>
      <c r="F124" s="3" t="n">
        <v>50</v>
      </c>
      <c r="G124" s="3" t="n">
        <v>90</v>
      </c>
      <c r="H124" s="3" t="n">
        <v>30</v>
      </c>
      <c r="I124" s="3" t="n">
        <v>55</v>
      </c>
      <c r="J124" s="3" t="n">
        <v>65</v>
      </c>
      <c r="K124" s="3" t="inlineStr">
        <is>
          <t>ABILITY_BATTLE_ARMOR</t>
        </is>
      </c>
      <c r="L124" s="3" t="inlineStr">
        <is>
          <t>ABILITY_SNIPER</t>
        </is>
      </c>
      <c r="M124" s="3" t="inlineStr">
        <is>
          <t>ABILITY_KEEN_EYE</t>
        </is>
      </c>
    </row>
    <row r="125">
      <c r="A125" s="3" t="inlineStr">
        <is>
          <t>SPECIES_DRAPION</t>
        </is>
      </c>
      <c r="B125" s="3" t="inlineStr">
        <is>
          <t>Drapion</t>
        </is>
      </c>
      <c r="C125" s="3" t="inlineStr">
        <is>
          <t>Poison</t>
        </is>
      </c>
      <c r="D125" s="3" t="inlineStr">
        <is>
          <t>Dark</t>
        </is>
      </c>
      <c r="E125" s="3" t="n">
        <v>70</v>
      </c>
      <c r="F125" s="3" t="n">
        <v>90</v>
      </c>
      <c r="G125" s="3" t="n">
        <v>110</v>
      </c>
      <c r="H125" s="3" t="n">
        <v>60</v>
      </c>
      <c r="I125" s="3" t="n">
        <v>75</v>
      </c>
      <c r="J125" s="3" t="n">
        <v>95</v>
      </c>
      <c r="K125" s="3" t="inlineStr">
        <is>
          <t>ABILITY_BATTLE_ARMOR</t>
        </is>
      </c>
      <c r="L125" s="3" t="inlineStr">
        <is>
          <t>ABILITY_SNIPER</t>
        </is>
      </c>
      <c r="M125" s="3" t="inlineStr">
        <is>
          <t>ABILITY_KEEN_EYE</t>
        </is>
      </c>
    </row>
    <row r="126">
      <c r="A126" s="3" t="inlineStr">
        <is>
          <t>SPECIES_CROAGUNK</t>
        </is>
      </c>
      <c r="B126" s="3" t="inlineStr">
        <is>
          <t>Croagunk</t>
        </is>
      </c>
      <c r="C126" s="3" t="inlineStr">
        <is>
          <t>Poison</t>
        </is>
      </c>
      <c r="D126" s="3" t="inlineStr">
        <is>
          <t>Fighting</t>
        </is>
      </c>
      <c r="E126" s="3" t="n">
        <v>48</v>
      </c>
      <c r="F126" s="3" t="n">
        <v>61</v>
      </c>
      <c r="G126" s="3" t="n">
        <v>40</v>
      </c>
      <c r="H126" s="3" t="n">
        <v>61</v>
      </c>
      <c r="I126" s="3" t="n">
        <v>40</v>
      </c>
      <c r="J126" s="3" t="n">
        <v>50</v>
      </c>
      <c r="K126" s="3" t="inlineStr">
        <is>
          <t>ABILITY_ANTICIPATION</t>
        </is>
      </c>
      <c r="L126" s="3" t="inlineStr">
        <is>
          <t>ABILITY_DRY_SKIN</t>
        </is>
      </c>
      <c r="M126" s="3" t="inlineStr">
        <is>
          <t>ABILITY_POISON_TOUCH</t>
        </is>
      </c>
    </row>
    <row r="127">
      <c r="A127" s="3" t="inlineStr">
        <is>
          <t>SPECIES_TOXICROAK</t>
        </is>
      </c>
      <c r="B127" s="3" t="inlineStr">
        <is>
          <t>Toxicroak</t>
        </is>
      </c>
      <c r="C127" s="3" t="inlineStr">
        <is>
          <t>Poison</t>
        </is>
      </c>
      <c r="D127" s="3" t="inlineStr">
        <is>
          <t>Fighting</t>
        </is>
      </c>
      <c r="E127" s="3" t="n">
        <v>83</v>
      </c>
      <c r="F127" s="3" t="n">
        <v>106</v>
      </c>
      <c r="G127" s="3" t="n">
        <v>65</v>
      </c>
      <c r="H127" s="3" t="n">
        <v>86</v>
      </c>
      <c r="I127" s="3" t="n">
        <v>65</v>
      </c>
      <c r="J127" s="3" t="n">
        <v>85</v>
      </c>
      <c r="K127" s="3" t="inlineStr">
        <is>
          <t>ABILITY_ANTICIPATION</t>
        </is>
      </c>
      <c r="L127" s="3" t="inlineStr">
        <is>
          <t>ABILITY_DRY_SKIN</t>
        </is>
      </c>
      <c r="M127" s="3" t="inlineStr">
        <is>
          <t>ABILITY_POISON_TOUCH</t>
        </is>
      </c>
    </row>
    <row r="128">
      <c r="A128" s="3" t="inlineStr">
        <is>
          <t>SPECIES_FINNEON</t>
        </is>
      </c>
      <c r="B128" s="3" t="inlineStr">
        <is>
          <t>Finneon</t>
        </is>
      </c>
      <c r="C128" s="3" t="inlineStr">
        <is>
          <t>Water</t>
        </is>
      </c>
      <c r="D128" s="3" t="inlineStr">
        <is>
          <t>Fairy</t>
        </is>
      </c>
      <c r="E128" s="3" t="n">
        <v>49</v>
      </c>
      <c r="F128" s="3" t="n">
        <v>49</v>
      </c>
      <c r="G128" s="3" t="n">
        <v>56</v>
      </c>
      <c r="H128" s="3" t="n">
        <v>49</v>
      </c>
      <c r="I128" s="3" t="n">
        <v>61</v>
      </c>
      <c r="J128" s="3" t="n">
        <v>66</v>
      </c>
      <c r="K128" s="3" t="inlineStr">
        <is>
          <t>ABILITY_SWIFT_SWIM</t>
        </is>
      </c>
      <c r="L128" s="3" t="inlineStr">
        <is>
          <t>ABILITY_STORM_DRAIN</t>
        </is>
      </c>
      <c r="M128" s="3" t="inlineStr">
        <is>
          <t>ABILITY_WATER_VEIL</t>
        </is>
      </c>
    </row>
    <row r="129">
      <c r="A129" s="3" t="inlineStr">
        <is>
          <t>SPECIES_LUMINEON</t>
        </is>
      </c>
      <c r="B129" s="3" t="inlineStr">
        <is>
          <t>Lumineon</t>
        </is>
      </c>
      <c r="C129" s="3" t="inlineStr">
        <is>
          <t>Water</t>
        </is>
      </c>
      <c r="D129" s="3" t="inlineStr">
        <is>
          <t>Fairy</t>
        </is>
      </c>
      <c r="E129" s="3" t="n">
        <v>69</v>
      </c>
      <c r="F129" s="3" t="n">
        <v>69</v>
      </c>
      <c r="G129" s="3" t="n">
        <v>76</v>
      </c>
      <c r="H129" s="3" t="n">
        <v>69</v>
      </c>
      <c r="I129" s="3" t="n">
        <v>86</v>
      </c>
      <c r="J129" s="3" t="n">
        <v>91</v>
      </c>
      <c r="K129" s="3" t="inlineStr">
        <is>
          <t>ABILITY_SWIFT_SWIM</t>
        </is>
      </c>
      <c r="L129" s="3" t="inlineStr">
        <is>
          <t>ABILITY_STORM_DRAIN</t>
        </is>
      </c>
      <c r="M129" s="3" t="inlineStr">
        <is>
          <t>ABILITY_WATER_VEIL</t>
        </is>
      </c>
    </row>
    <row r="130">
      <c r="A130" s="3" t="inlineStr">
        <is>
          <t>SPECIES_SNOVER</t>
        </is>
      </c>
      <c r="B130" s="3" t="inlineStr">
        <is>
          <t>Snover</t>
        </is>
      </c>
      <c r="C130" s="3" t="inlineStr">
        <is>
          <t>Grass</t>
        </is>
      </c>
      <c r="D130" s="3" t="inlineStr">
        <is>
          <t>Ice</t>
        </is>
      </c>
      <c r="E130" s="3" t="n">
        <v>60</v>
      </c>
      <c r="F130" s="3" t="n">
        <v>62</v>
      </c>
      <c r="G130" s="3" t="n">
        <v>50</v>
      </c>
      <c r="H130" s="3" t="n">
        <v>62</v>
      </c>
      <c r="I130" s="3" t="n">
        <v>60</v>
      </c>
      <c r="J130" s="3" t="n">
        <v>40</v>
      </c>
      <c r="K130" s="3" t="inlineStr">
        <is>
          <t>ABILITY_SNOW_WARNING</t>
        </is>
      </c>
      <c r="L130" s="3" t="inlineStr">
        <is>
          <t>ABILITY_SOUNDPROOF</t>
        </is>
      </c>
      <c r="M130" s="3" t="inlineStr"/>
    </row>
    <row r="131">
      <c r="A131" s="3" t="inlineStr">
        <is>
          <t>SPECIES_ABOMASNOW</t>
        </is>
      </c>
      <c r="B131" s="3" t="inlineStr">
        <is>
          <t>Abomasnow</t>
        </is>
      </c>
      <c r="C131" s="3" t="inlineStr">
        <is>
          <t>Grass</t>
        </is>
      </c>
      <c r="D131" s="3" t="inlineStr">
        <is>
          <t>Ice</t>
        </is>
      </c>
      <c r="E131" s="3" t="n">
        <v>90</v>
      </c>
      <c r="F131" s="3" t="n">
        <v>92</v>
      </c>
      <c r="G131" s="3" t="n">
        <v>75</v>
      </c>
      <c r="H131" s="3" t="n">
        <v>92</v>
      </c>
      <c r="I131" s="3" t="n">
        <v>85</v>
      </c>
      <c r="J131" s="3" t="n">
        <v>60</v>
      </c>
      <c r="K131" s="3" t="inlineStr">
        <is>
          <t>ABILITY_SNOW_WARNING</t>
        </is>
      </c>
      <c r="L131" s="3" t="inlineStr">
        <is>
          <t>ABILITY_SOUNDPROOF</t>
        </is>
      </c>
      <c r="M131" s="3" t="inlineStr"/>
    </row>
    <row r="132">
      <c r="A132" s="3" t="inlineStr">
        <is>
          <t>SPECIES_SNEASEL</t>
        </is>
      </c>
      <c r="B132" s="3" t="inlineStr">
        <is>
          <t>Sneasel</t>
        </is>
      </c>
      <c r="C132" s="3" t="inlineStr">
        <is>
          <t>Dark</t>
        </is>
      </c>
      <c r="D132" s="3" t="inlineStr">
        <is>
          <t>Ice</t>
        </is>
      </c>
      <c r="E132" s="3" t="n">
        <v>55</v>
      </c>
      <c r="F132" s="3" t="n">
        <v>95</v>
      </c>
      <c r="G132" s="3" t="n">
        <v>55</v>
      </c>
      <c r="H132" s="3" t="n">
        <v>35</v>
      </c>
      <c r="I132" s="3" t="n">
        <v>75</v>
      </c>
      <c r="J132" s="3" t="n">
        <v>115</v>
      </c>
      <c r="K132" s="3" t="inlineStr">
        <is>
          <t>ABILITY_INNER_FOCUS</t>
        </is>
      </c>
      <c r="L132" s="3" t="inlineStr">
        <is>
          <t>ABILITY_KEEN_EYE</t>
        </is>
      </c>
      <c r="M132" s="3" t="inlineStr">
        <is>
          <t>ABILITY_PICKPOCKET</t>
        </is>
      </c>
    </row>
    <row r="133">
      <c r="A133" s="3" t="inlineStr">
        <is>
          <t>SPECIES_WEAVILE</t>
        </is>
      </c>
      <c r="B133" s="3" t="inlineStr">
        <is>
          <t>Weavile</t>
        </is>
      </c>
      <c r="C133" s="3" t="inlineStr">
        <is>
          <t>Dark</t>
        </is>
      </c>
      <c r="D133" s="3" t="inlineStr">
        <is>
          <t>Ice</t>
        </is>
      </c>
      <c r="E133" s="3" t="n">
        <v>70</v>
      </c>
      <c r="F133" s="3" t="n">
        <v>120</v>
      </c>
      <c r="G133" s="3" t="n">
        <v>65</v>
      </c>
      <c r="H133" s="3" t="n">
        <v>45</v>
      </c>
      <c r="I133" s="3" t="n">
        <v>85</v>
      </c>
      <c r="J133" s="3" t="n">
        <v>125</v>
      </c>
      <c r="K133" s="3" t="inlineStr">
        <is>
          <t>ABILITY_PRESSURE</t>
        </is>
      </c>
      <c r="L133" s="3" t="inlineStr">
        <is>
          <t>ABILITY_PICKPOCKET</t>
        </is>
      </c>
      <c r="M133" s="3" t="inlineStr"/>
    </row>
    <row r="134">
      <c r="A134" s="3" t="inlineStr">
        <is>
          <t>SPECIES_YANMA</t>
        </is>
      </c>
      <c r="B134" s="3" t="inlineStr">
        <is>
          <t>Yanma</t>
        </is>
      </c>
      <c r="C134" s="3" t="inlineStr">
        <is>
          <t>Bug</t>
        </is>
      </c>
      <c r="D134" s="3" t="inlineStr">
        <is>
          <t>Flying</t>
        </is>
      </c>
      <c r="E134" s="3" t="n">
        <v>65</v>
      </c>
      <c r="F134" s="3" t="n">
        <v>65</v>
      </c>
      <c r="G134" s="3" t="n">
        <v>45</v>
      </c>
      <c r="H134" s="3" t="n">
        <v>75</v>
      </c>
      <c r="I134" s="3" t="n">
        <v>45</v>
      </c>
      <c r="J134" s="3" t="n">
        <v>95</v>
      </c>
      <c r="K134" s="3" t="inlineStr">
        <is>
          <t>ABILITY_SPEED_BOOST</t>
        </is>
      </c>
      <c r="L134" s="3" t="inlineStr">
        <is>
          <t>ABILITY_COMPOUND_EYES</t>
        </is>
      </c>
      <c r="M134" s="3" t="inlineStr">
        <is>
          <t>ABILITY_FRISK</t>
        </is>
      </c>
    </row>
    <row r="135">
      <c r="A135" s="3" t="inlineStr">
        <is>
          <t>SPECIES_YANMEGA</t>
        </is>
      </c>
      <c r="B135" s="3" t="inlineStr">
        <is>
          <t>Yanmega</t>
        </is>
      </c>
      <c r="C135" s="3" t="inlineStr">
        <is>
          <t>Bug</t>
        </is>
      </c>
      <c r="D135" s="3" t="inlineStr">
        <is>
          <t>Dragon</t>
        </is>
      </c>
      <c r="E135" s="3" t="n">
        <v>86</v>
      </c>
      <c r="F135" s="3" t="n">
        <v>76</v>
      </c>
      <c r="G135" s="3" t="n">
        <v>86</v>
      </c>
      <c r="H135" s="3" t="n">
        <v>116</v>
      </c>
      <c r="I135" s="3" t="n">
        <v>56</v>
      </c>
      <c r="J135" s="3" t="n">
        <v>95</v>
      </c>
      <c r="K135" s="3" t="inlineStr">
        <is>
          <t>ABILITY_SPEED_BOOST</t>
        </is>
      </c>
      <c r="L135" s="3" t="inlineStr">
        <is>
          <t>ABILITY_TINTED_LENS</t>
        </is>
      </c>
      <c r="M135" s="3" t="inlineStr">
        <is>
          <t>ABILITY_FRISK</t>
        </is>
      </c>
    </row>
    <row r="136">
      <c r="A136" s="3" t="inlineStr">
        <is>
          <t>SPECIES_BLITZLE</t>
        </is>
      </c>
      <c r="B136" s="3" t="inlineStr">
        <is>
          <t>Blitzle</t>
        </is>
      </c>
      <c r="C136" s="3" t="inlineStr">
        <is>
          <t>Electric</t>
        </is>
      </c>
      <c r="D136" s="3" t="inlineStr">
        <is>
          <t>Normal</t>
        </is>
      </c>
      <c r="E136" s="3" t="n">
        <v>45</v>
      </c>
      <c r="F136" s="3" t="n">
        <v>60</v>
      </c>
      <c r="G136" s="3" t="n">
        <v>32</v>
      </c>
      <c r="H136" s="3" t="n">
        <v>50</v>
      </c>
      <c r="I136" s="3" t="n">
        <v>32</v>
      </c>
      <c r="J136" s="3" t="n">
        <v>76</v>
      </c>
      <c r="K136" s="3" t="inlineStr">
        <is>
          <t>ABILITY_LIGHTNING_ROD</t>
        </is>
      </c>
      <c r="L136" s="3" t="inlineStr">
        <is>
          <t>ABILITY_MOTOR_DRIVE</t>
        </is>
      </c>
      <c r="M136" s="3" t="inlineStr">
        <is>
          <t>ABILITY_SAP_SIPPER</t>
        </is>
      </c>
    </row>
    <row r="137">
      <c r="A137" s="3" t="inlineStr">
        <is>
          <t>SPECIES_ZEBSTRIKA</t>
        </is>
      </c>
      <c r="B137" s="3" t="inlineStr">
        <is>
          <t>Zebstrika</t>
        </is>
      </c>
      <c r="C137" s="3" t="inlineStr">
        <is>
          <t>Electric</t>
        </is>
      </c>
      <c r="D137" s="3" t="inlineStr">
        <is>
          <t>Normal</t>
        </is>
      </c>
      <c r="E137" s="3" t="n">
        <v>75</v>
      </c>
      <c r="F137" s="3" t="n">
        <v>100</v>
      </c>
      <c r="G137" s="3" t="n">
        <v>63</v>
      </c>
      <c r="H137" s="3" t="n">
        <v>80</v>
      </c>
      <c r="I137" s="3" t="n">
        <v>63</v>
      </c>
      <c r="J137" s="3" t="n">
        <v>116</v>
      </c>
      <c r="K137" s="3" t="inlineStr">
        <is>
          <t>ABILITY_LIGHTNING_ROD</t>
        </is>
      </c>
      <c r="L137" s="3" t="inlineStr">
        <is>
          <t>ABILITY_MOTOR_DRIVE</t>
        </is>
      </c>
      <c r="M137" s="3" t="inlineStr">
        <is>
          <t>ABILITY_SAP_SIPPER</t>
        </is>
      </c>
    </row>
    <row r="138">
      <c r="A138" s="3" t="inlineStr">
        <is>
          <t>SPECIES_ROGGENROLA</t>
        </is>
      </c>
      <c r="B138" s="3" t="inlineStr">
        <is>
          <t>Roggenrola</t>
        </is>
      </c>
      <c r="C138" s="3" t="inlineStr">
        <is>
          <t>Rock</t>
        </is>
      </c>
      <c r="D138" s="3" t="inlineStr"/>
      <c r="E138" s="3" t="n">
        <v>55</v>
      </c>
      <c r="F138" s="3" t="n">
        <v>75</v>
      </c>
      <c r="G138" s="3" t="n">
        <v>85</v>
      </c>
      <c r="H138" s="3" t="n">
        <v>25</v>
      </c>
      <c r="I138" s="3" t="n">
        <v>25</v>
      </c>
      <c r="J138" s="3" t="n">
        <v>15</v>
      </c>
      <c r="K138" s="3" t="inlineStr">
        <is>
          <t>ABILITY_STURDY</t>
        </is>
      </c>
      <c r="L138" s="3" t="inlineStr">
        <is>
          <t>ABILITY_WEAK_ARMOR</t>
        </is>
      </c>
      <c r="M138" s="3" t="inlineStr">
        <is>
          <t>ABILITY_SAND_FORCE</t>
        </is>
      </c>
    </row>
    <row r="139">
      <c r="A139" s="3" t="inlineStr">
        <is>
          <t>SPECIES_BOLDORE</t>
        </is>
      </c>
      <c r="B139" s="3" t="inlineStr">
        <is>
          <t>Boldore</t>
        </is>
      </c>
      <c r="C139" s="3" t="inlineStr">
        <is>
          <t>Rock</t>
        </is>
      </c>
      <c r="D139" s="3" t="inlineStr"/>
      <c r="E139" s="3" t="n">
        <v>70</v>
      </c>
      <c r="F139" s="3" t="n">
        <v>105</v>
      </c>
      <c r="G139" s="3" t="n">
        <v>105</v>
      </c>
      <c r="H139" s="3" t="n">
        <v>50</v>
      </c>
      <c r="I139" s="3" t="n">
        <v>40</v>
      </c>
      <c r="J139" s="3" t="n">
        <v>20</v>
      </c>
      <c r="K139" s="3" t="inlineStr">
        <is>
          <t>ABILITY_STURDY</t>
        </is>
      </c>
      <c r="L139" s="3" t="inlineStr">
        <is>
          <t>ABILITY_WEAK_ARMOR</t>
        </is>
      </c>
      <c r="M139" s="3" t="inlineStr">
        <is>
          <t>ABILITY_SAND_FORCE</t>
        </is>
      </c>
    </row>
    <row r="140">
      <c r="A140" s="3" t="inlineStr">
        <is>
          <t>SPECIES_GIGALITH</t>
        </is>
      </c>
      <c r="B140" s="3" t="inlineStr">
        <is>
          <t>Gigalith</t>
        </is>
      </c>
      <c r="C140" s="3" t="inlineStr">
        <is>
          <t>Rock</t>
        </is>
      </c>
      <c r="D140" s="3" t="inlineStr"/>
      <c r="E140" s="3" t="n">
        <v>85</v>
      </c>
      <c r="F140" s="3" t="n">
        <v>135</v>
      </c>
      <c r="G140" s="3" t="n">
        <v>130</v>
      </c>
      <c r="H140" s="3" t="n">
        <v>60</v>
      </c>
      <c r="I140" s="3" t="n">
        <v>80</v>
      </c>
      <c r="J140" s="3" t="n">
        <v>25</v>
      </c>
      <c r="K140" s="3" t="inlineStr">
        <is>
          <t>ABILITY_STURDY</t>
        </is>
      </c>
      <c r="L140" s="3" t="inlineStr">
        <is>
          <t>ABILITY_SAND_STREAM</t>
        </is>
      </c>
      <c r="M140" s="3" t="inlineStr">
        <is>
          <t>ABILITY_SAND_FORCE</t>
        </is>
      </c>
    </row>
    <row r="141">
      <c r="A141" s="3" t="inlineStr">
        <is>
          <t>SPECIES_WOOBAT</t>
        </is>
      </c>
      <c r="B141" s="3" t="inlineStr">
        <is>
          <t>Woobat</t>
        </is>
      </c>
      <c r="C141" s="3" t="inlineStr">
        <is>
          <t>Fairy</t>
        </is>
      </c>
      <c r="D141" s="3" t="inlineStr">
        <is>
          <t>Flying</t>
        </is>
      </c>
      <c r="E141" s="3" t="n">
        <v>65</v>
      </c>
      <c r="F141" s="3" t="n">
        <v>45</v>
      </c>
      <c r="G141" s="3" t="n">
        <v>43</v>
      </c>
      <c r="H141" s="3" t="n">
        <v>55</v>
      </c>
      <c r="I141" s="3" t="n">
        <v>43</v>
      </c>
      <c r="J141" s="3" t="n">
        <v>72</v>
      </c>
      <c r="K141" s="3" t="inlineStr">
        <is>
          <t>ABILITY_UNAWARE</t>
        </is>
      </c>
      <c r="L141" s="3" t="inlineStr">
        <is>
          <t>ABILITY_KLUTZ</t>
        </is>
      </c>
      <c r="M141" s="3" t="inlineStr">
        <is>
          <t>ABILITY_SIMPLE</t>
        </is>
      </c>
    </row>
    <row r="142">
      <c r="A142" s="3" t="inlineStr">
        <is>
          <t>SPECIES_SWOOBAT</t>
        </is>
      </c>
      <c r="B142" s="3" t="inlineStr">
        <is>
          <t>Swoobat</t>
        </is>
      </c>
      <c r="C142" s="3" t="inlineStr">
        <is>
          <t>Fairy</t>
        </is>
      </c>
      <c r="D142" s="3" t="inlineStr">
        <is>
          <t>Flying</t>
        </is>
      </c>
      <c r="E142" s="3" t="n">
        <v>67</v>
      </c>
      <c r="F142" s="3" t="n">
        <v>57</v>
      </c>
      <c r="G142" s="3" t="n">
        <v>55</v>
      </c>
      <c r="H142" s="3" t="n">
        <v>77</v>
      </c>
      <c r="I142" s="3" t="n">
        <v>55</v>
      </c>
      <c r="J142" s="3" t="n">
        <v>114</v>
      </c>
      <c r="K142" s="3" t="inlineStr">
        <is>
          <t>ABILITY_UNAWARE</t>
        </is>
      </c>
      <c r="L142" s="3" t="inlineStr">
        <is>
          <t>ABILITY_KLUTZ</t>
        </is>
      </c>
      <c r="M142" s="3" t="inlineStr">
        <is>
          <t>ABILITY_SIMPLE</t>
        </is>
      </c>
    </row>
    <row r="143">
      <c r="A143" s="3" t="inlineStr">
        <is>
          <t>SPECIES_DRILBUR</t>
        </is>
      </c>
      <c r="B143" s="3" t="inlineStr">
        <is>
          <t>Drilbur</t>
        </is>
      </c>
      <c r="C143" s="3" t="inlineStr">
        <is>
          <t>Ground</t>
        </is>
      </c>
      <c r="D143" s="3" t="inlineStr"/>
      <c r="E143" s="3" t="n">
        <v>60</v>
      </c>
      <c r="F143" s="3" t="n">
        <v>85</v>
      </c>
      <c r="G143" s="3" t="n">
        <v>40</v>
      </c>
      <c r="H143" s="3" t="n">
        <v>30</v>
      </c>
      <c r="I143" s="3" t="n">
        <v>45</v>
      </c>
      <c r="J143" s="3" t="n">
        <v>68</v>
      </c>
      <c r="K143" s="3" t="inlineStr">
        <is>
          <t>ABILITY_SAND_RUSH</t>
        </is>
      </c>
      <c r="L143" s="3" t="inlineStr">
        <is>
          <t>ABILITY_SAND_FORCE</t>
        </is>
      </c>
      <c r="M143" s="3" t="inlineStr">
        <is>
          <t>ABILITY_MOLD_BREAKER</t>
        </is>
      </c>
    </row>
    <row r="144">
      <c r="A144" s="3" t="inlineStr">
        <is>
          <t>SPECIES_EXCADRILL</t>
        </is>
      </c>
      <c r="B144" s="3" t="inlineStr">
        <is>
          <t>Excadrill</t>
        </is>
      </c>
      <c r="C144" s="3" t="inlineStr">
        <is>
          <t>Ground</t>
        </is>
      </c>
      <c r="D144" s="3" t="inlineStr">
        <is>
          <t>Steel</t>
        </is>
      </c>
      <c r="E144" s="3" t="n">
        <v>110</v>
      </c>
      <c r="F144" s="3" t="n">
        <v>135</v>
      </c>
      <c r="G144" s="3" t="n">
        <v>60</v>
      </c>
      <c r="H144" s="3" t="n">
        <v>50</v>
      </c>
      <c r="I144" s="3" t="n">
        <v>65</v>
      </c>
      <c r="J144" s="3" t="n">
        <v>88</v>
      </c>
      <c r="K144" s="3" t="inlineStr">
        <is>
          <t>ABILITY_SAND_RUSH</t>
        </is>
      </c>
      <c r="L144" s="3" t="inlineStr">
        <is>
          <t>ABILITY_SAND_FORCE</t>
        </is>
      </c>
      <c r="M144" s="3" t="inlineStr">
        <is>
          <t>ABILITY_MOLD_BREAKER</t>
        </is>
      </c>
    </row>
    <row r="145">
      <c r="A145" s="3" t="inlineStr">
        <is>
          <t>SPECIES_SEWADDLE</t>
        </is>
      </c>
      <c r="B145" s="3" t="inlineStr">
        <is>
          <t>Sewaddle</t>
        </is>
      </c>
      <c r="C145" s="3" t="inlineStr">
        <is>
          <t>Bug</t>
        </is>
      </c>
      <c r="D145" s="3" t="inlineStr">
        <is>
          <t>Grass</t>
        </is>
      </c>
      <c r="E145" s="3" t="n">
        <v>45</v>
      </c>
      <c r="F145" s="3" t="n">
        <v>53</v>
      </c>
      <c r="G145" s="3" t="n">
        <v>70</v>
      </c>
      <c r="H145" s="3" t="n">
        <v>40</v>
      </c>
      <c r="I145" s="3" t="n">
        <v>60</v>
      </c>
      <c r="J145" s="3" t="n">
        <v>42</v>
      </c>
      <c r="K145" s="3" t="inlineStr">
        <is>
          <t>ABILITY_SWARM</t>
        </is>
      </c>
      <c r="L145" s="3" t="inlineStr">
        <is>
          <t>ABILITY_CHLOROPHYLL</t>
        </is>
      </c>
      <c r="M145" s="3" t="inlineStr">
        <is>
          <t>ABILITY_OVERCOAT</t>
        </is>
      </c>
    </row>
    <row r="146">
      <c r="A146" s="3" t="inlineStr">
        <is>
          <t>SPECIES_SWADLOON</t>
        </is>
      </c>
      <c r="B146" s="3" t="inlineStr">
        <is>
          <t>Swadloon</t>
        </is>
      </c>
      <c r="C146" s="3" t="inlineStr">
        <is>
          <t>Bug</t>
        </is>
      </c>
      <c r="D146" s="3" t="inlineStr">
        <is>
          <t>Grass</t>
        </is>
      </c>
      <c r="E146" s="3" t="n">
        <v>55</v>
      </c>
      <c r="F146" s="3" t="n">
        <v>63</v>
      </c>
      <c r="G146" s="3" t="n">
        <v>90</v>
      </c>
      <c r="H146" s="3" t="n">
        <v>50</v>
      </c>
      <c r="I146" s="3" t="n">
        <v>80</v>
      </c>
      <c r="J146" s="3" t="n">
        <v>42</v>
      </c>
      <c r="K146" s="3" t="inlineStr">
        <is>
          <t>ABILITY_LEAF_GUARD</t>
        </is>
      </c>
      <c r="L146" s="3" t="inlineStr">
        <is>
          <t>ABILITY_CHLOROPHYLL</t>
        </is>
      </c>
      <c r="M146" s="3" t="inlineStr">
        <is>
          <t>ABILITY_OVERCOAT</t>
        </is>
      </c>
    </row>
    <row r="147">
      <c r="A147" s="3" t="inlineStr">
        <is>
          <t>SPECIES_LEAVANNY</t>
        </is>
      </c>
      <c r="B147" s="3" t="inlineStr">
        <is>
          <t>Leavanny</t>
        </is>
      </c>
      <c r="C147" s="3" t="inlineStr">
        <is>
          <t>Bug</t>
        </is>
      </c>
      <c r="D147" s="3" t="inlineStr">
        <is>
          <t>Grass</t>
        </is>
      </c>
      <c r="E147" s="3" t="n">
        <v>75</v>
      </c>
      <c r="F147" s="3" t="n">
        <v>103</v>
      </c>
      <c r="G147" s="3" t="n">
        <v>80</v>
      </c>
      <c r="H147" s="3" t="n">
        <v>70</v>
      </c>
      <c r="I147" s="3" t="n">
        <v>80</v>
      </c>
      <c r="J147" s="3" t="n">
        <v>92</v>
      </c>
      <c r="K147" s="3" t="inlineStr">
        <is>
          <t>ABILITY_SWARM</t>
        </is>
      </c>
      <c r="L147" s="3" t="inlineStr">
        <is>
          <t>ABILITY_CHLOROPHYLL</t>
        </is>
      </c>
      <c r="M147" s="3" t="inlineStr">
        <is>
          <t>ABILITY_OVERCOAT</t>
        </is>
      </c>
    </row>
    <row r="148">
      <c r="A148" s="3" t="inlineStr">
        <is>
          <t>SPECIES_VENIPEDE</t>
        </is>
      </c>
      <c r="B148" s="3" t="inlineStr">
        <is>
          <t>Venipede</t>
        </is>
      </c>
      <c r="C148" s="3" t="inlineStr">
        <is>
          <t>Bug</t>
        </is>
      </c>
      <c r="D148" s="3" t="inlineStr">
        <is>
          <t>Poison</t>
        </is>
      </c>
      <c r="E148" s="3" t="n">
        <v>30</v>
      </c>
      <c r="F148" s="3" t="n">
        <v>45</v>
      </c>
      <c r="G148" s="3" t="n">
        <v>59</v>
      </c>
      <c r="H148" s="3" t="n">
        <v>30</v>
      </c>
      <c r="I148" s="3" t="n">
        <v>39</v>
      </c>
      <c r="J148" s="3" t="n">
        <v>57</v>
      </c>
      <c r="K148" s="3" t="inlineStr">
        <is>
          <t>ABILITY_POISON_POINT</t>
        </is>
      </c>
      <c r="L148" s="3" t="inlineStr">
        <is>
          <t>ABILITY_SWARM</t>
        </is>
      </c>
      <c r="M148" s="3" t="inlineStr">
        <is>
          <t>ABILITY_SPEED_BOOST</t>
        </is>
      </c>
    </row>
    <row r="149">
      <c r="A149" s="3" t="inlineStr">
        <is>
          <t>SPECIES_WHIRLIPEDE</t>
        </is>
      </c>
      <c r="B149" s="3" t="inlineStr">
        <is>
          <t>Whirlipede</t>
        </is>
      </c>
      <c r="C149" s="3" t="inlineStr">
        <is>
          <t>Bug</t>
        </is>
      </c>
      <c r="D149" s="3" t="inlineStr">
        <is>
          <t>Poison</t>
        </is>
      </c>
      <c r="E149" s="3" t="n">
        <v>40</v>
      </c>
      <c r="F149" s="3" t="n">
        <v>55</v>
      </c>
      <c r="G149" s="3" t="n">
        <v>99</v>
      </c>
      <c r="H149" s="3" t="n">
        <v>40</v>
      </c>
      <c r="I149" s="3" t="n">
        <v>79</v>
      </c>
      <c r="J149" s="3" t="n">
        <v>47</v>
      </c>
      <c r="K149" s="3" t="inlineStr">
        <is>
          <t>ABILITY_POISON_POINT</t>
        </is>
      </c>
      <c r="L149" s="3" t="inlineStr">
        <is>
          <t>ABILITY_SWARM</t>
        </is>
      </c>
      <c r="M149" s="3" t="inlineStr">
        <is>
          <t>ABILITY_SPEED_BOOST</t>
        </is>
      </c>
    </row>
    <row r="150">
      <c r="A150" s="3" t="inlineStr">
        <is>
          <t>SPECIES_SCOLIPEDE</t>
        </is>
      </c>
      <c r="B150" s="3" t="inlineStr">
        <is>
          <t>Scolipede</t>
        </is>
      </c>
      <c r="C150" s="3" t="inlineStr">
        <is>
          <t>Bug</t>
        </is>
      </c>
      <c r="D150" s="3" t="inlineStr">
        <is>
          <t>Poison</t>
        </is>
      </c>
      <c r="E150" s="3" t="n">
        <v>60</v>
      </c>
      <c r="F150" s="3" t="n">
        <v>100</v>
      </c>
      <c r="G150" s="3" t="n">
        <v>89</v>
      </c>
      <c r="H150" s="3" t="n">
        <v>55</v>
      </c>
      <c r="I150" s="3" t="n">
        <v>69</v>
      </c>
      <c r="J150" s="3" t="n">
        <v>112</v>
      </c>
      <c r="K150" s="3" t="inlineStr">
        <is>
          <t>ABILITY_POISON_POINT</t>
        </is>
      </c>
      <c r="L150" s="3" t="inlineStr">
        <is>
          <t>ABILITY_SWARM</t>
        </is>
      </c>
      <c r="M150" s="3" t="inlineStr">
        <is>
          <t>ABILITY_SPEED_BOOST</t>
        </is>
      </c>
    </row>
    <row r="151">
      <c r="A151" s="3" t="inlineStr">
        <is>
          <t>SPECIES_PETILIL</t>
        </is>
      </c>
      <c r="B151" s="3" t="inlineStr">
        <is>
          <t>Petilil</t>
        </is>
      </c>
      <c r="C151" s="3" t="inlineStr">
        <is>
          <t>Grass</t>
        </is>
      </c>
      <c r="D151" s="3" t="inlineStr"/>
      <c r="E151" s="3" t="n">
        <v>45</v>
      </c>
      <c r="F151" s="3" t="n">
        <v>35</v>
      </c>
      <c r="G151" s="3" t="n">
        <v>50</v>
      </c>
      <c r="H151" s="3" t="n">
        <v>70</v>
      </c>
      <c r="I151" s="3" t="n">
        <v>50</v>
      </c>
      <c r="J151" s="3" t="n">
        <v>30</v>
      </c>
      <c r="K151" s="3" t="inlineStr">
        <is>
          <t>ABILITY_CHLOROPHYLL</t>
        </is>
      </c>
      <c r="L151" s="3" t="inlineStr">
        <is>
          <t>ABILITY_OWN_TEMPO</t>
        </is>
      </c>
      <c r="M151" s="3" t="inlineStr">
        <is>
          <t>ABILITY_LEAF_GUARD</t>
        </is>
      </c>
    </row>
    <row r="152">
      <c r="A152" s="3" t="inlineStr">
        <is>
          <t>SPECIES_LILLIGANT</t>
        </is>
      </c>
      <c r="B152" s="3" t="inlineStr">
        <is>
          <t>Lilligant</t>
        </is>
      </c>
      <c r="C152" s="3" t="inlineStr">
        <is>
          <t>Grass</t>
        </is>
      </c>
      <c r="D152" s="3" t="inlineStr">
        <is>
          <t>Fairy</t>
        </is>
      </c>
      <c r="E152" s="3" t="n">
        <v>70</v>
      </c>
      <c r="F152" s="3" t="n">
        <v>60</v>
      </c>
      <c r="G152" s="3" t="n">
        <v>75</v>
      </c>
      <c r="H152" s="3" t="n">
        <v>110</v>
      </c>
      <c r="I152" s="3" t="n">
        <v>75</v>
      </c>
      <c r="J152" s="3" t="n">
        <v>90</v>
      </c>
      <c r="K152" s="3" t="inlineStr">
        <is>
          <t>ABILITY_CHLOROPHYLL</t>
        </is>
      </c>
      <c r="L152" s="3" t="inlineStr">
        <is>
          <t>ABILITY_OWN_TEMPO</t>
        </is>
      </c>
      <c r="M152" s="3" t="inlineStr">
        <is>
          <t>ABILITY_LEAF_GUARD</t>
        </is>
      </c>
    </row>
    <row r="153">
      <c r="A153" s="3" t="inlineStr">
        <is>
          <t>SPECIES_SANDILE</t>
        </is>
      </c>
      <c r="B153" s="3" t="inlineStr">
        <is>
          <t>Sandile</t>
        </is>
      </c>
      <c r="C153" s="3" t="inlineStr">
        <is>
          <t>Ground</t>
        </is>
      </c>
      <c r="D153" s="3" t="inlineStr">
        <is>
          <t>Dark</t>
        </is>
      </c>
      <c r="E153" s="3" t="n">
        <v>50</v>
      </c>
      <c r="F153" s="3" t="n">
        <v>72</v>
      </c>
      <c r="G153" s="3" t="n">
        <v>35</v>
      </c>
      <c r="H153" s="3" t="n">
        <v>35</v>
      </c>
      <c r="I153" s="3" t="n">
        <v>35</v>
      </c>
      <c r="J153" s="3" t="n">
        <v>65</v>
      </c>
      <c r="K153" s="3" t="inlineStr">
        <is>
          <t>ABILITY_INTIMIDATE</t>
        </is>
      </c>
      <c r="L153" s="3" t="inlineStr">
        <is>
          <t>ABILITY_MOXIE</t>
        </is>
      </c>
      <c r="M153" s="3" t="inlineStr">
        <is>
          <t>ABILITY_ANGER_POINT</t>
        </is>
      </c>
    </row>
    <row r="154">
      <c r="A154" s="3" t="inlineStr">
        <is>
          <t>SPECIES_KROKOROK</t>
        </is>
      </c>
      <c r="B154" s="3" t="inlineStr">
        <is>
          <t>Krokorok</t>
        </is>
      </c>
      <c r="C154" s="3" t="inlineStr">
        <is>
          <t>Ground</t>
        </is>
      </c>
      <c r="D154" s="3" t="inlineStr">
        <is>
          <t>Dark</t>
        </is>
      </c>
      <c r="E154" s="3" t="n">
        <v>60</v>
      </c>
      <c r="F154" s="3" t="n">
        <v>82</v>
      </c>
      <c r="G154" s="3" t="n">
        <v>45</v>
      </c>
      <c r="H154" s="3" t="n">
        <v>45</v>
      </c>
      <c r="I154" s="3" t="n">
        <v>45</v>
      </c>
      <c r="J154" s="3" t="n">
        <v>74</v>
      </c>
      <c r="K154" s="3" t="inlineStr">
        <is>
          <t>ABILITY_INTIMIDATE</t>
        </is>
      </c>
      <c r="L154" s="3" t="inlineStr">
        <is>
          <t>ABILITY_MOXIE</t>
        </is>
      </c>
      <c r="M154" s="3" t="inlineStr">
        <is>
          <t>ABILITY_ANGER_POINT</t>
        </is>
      </c>
    </row>
    <row r="155">
      <c r="A155" s="3" t="inlineStr">
        <is>
          <t>SPECIES_KROOKODILE</t>
        </is>
      </c>
      <c r="B155" s="3" t="inlineStr">
        <is>
          <t>Krookodile</t>
        </is>
      </c>
      <c r="C155" s="3" t="inlineStr">
        <is>
          <t>Ground</t>
        </is>
      </c>
      <c r="D155" s="3" t="inlineStr">
        <is>
          <t>Dark</t>
        </is>
      </c>
      <c r="E155" s="3" t="n">
        <v>95</v>
      </c>
      <c r="F155" s="3" t="n">
        <v>117</v>
      </c>
      <c r="G155" s="3" t="n">
        <v>80</v>
      </c>
      <c r="H155" s="3" t="n">
        <v>65</v>
      </c>
      <c r="I155" s="3" t="n">
        <v>70</v>
      </c>
      <c r="J155" s="3" t="n">
        <v>92</v>
      </c>
      <c r="K155" s="3" t="inlineStr">
        <is>
          <t>ABILITY_INTIMIDATE</t>
        </is>
      </c>
      <c r="L155" s="3" t="inlineStr">
        <is>
          <t>ABILITY_MOXIE</t>
        </is>
      </c>
      <c r="M155" s="3" t="inlineStr">
        <is>
          <t>ABILITY_ANGER_POINT</t>
        </is>
      </c>
    </row>
    <row r="156">
      <c r="A156" s="3" t="inlineStr">
        <is>
          <t>SPECIES_DWEBBLE</t>
        </is>
      </c>
      <c r="B156" s="3" t="inlineStr">
        <is>
          <t>Dwebble</t>
        </is>
      </c>
      <c r="C156" s="3" t="inlineStr">
        <is>
          <t>Bug</t>
        </is>
      </c>
      <c r="D156" s="3" t="inlineStr">
        <is>
          <t>Rock</t>
        </is>
      </c>
      <c r="E156" s="3" t="n">
        <v>50</v>
      </c>
      <c r="F156" s="3" t="n">
        <v>65</v>
      </c>
      <c r="G156" s="3" t="n">
        <v>85</v>
      </c>
      <c r="H156" s="3" t="n">
        <v>35</v>
      </c>
      <c r="I156" s="3" t="n">
        <v>35</v>
      </c>
      <c r="J156" s="3" t="n">
        <v>55</v>
      </c>
      <c r="K156" s="3" t="inlineStr">
        <is>
          <t>ABILITY_STURDY</t>
        </is>
      </c>
      <c r="L156" s="3" t="inlineStr">
        <is>
          <t>ABILITY_SHELL_ARMOR</t>
        </is>
      </c>
      <c r="M156" s="3" t="inlineStr">
        <is>
          <t>ABILITY_WEAK_ARMOR</t>
        </is>
      </c>
    </row>
    <row r="157">
      <c r="A157" s="3" t="inlineStr">
        <is>
          <t>SPECIES_CRUSTLE</t>
        </is>
      </c>
      <c r="B157" s="3" t="inlineStr">
        <is>
          <t>Crustle</t>
        </is>
      </c>
      <c r="C157" s="3" t="inlineStr">
        <is>
          <t>Bug</t>
        </is>
      </c>
      <c r="D157" s="3" t="inlineStr">
        <is>
          <t>Rock</t>
        </is>
      </c>
      <c r="E157" s="3" t="n">
        <v>70</v>
      </c>
      <c r="F157" s="3" t="n">
        <v>105</v>
      </c>
      <c r="G157" s="3" t="n">
        <v>125</v>
      </c>
      <c r="H157" s="3" t="n">
        <v>65</v>
      </c>
      <c r="I157" s="3" t="n">
        <v>75</v>
      </c>
      <c r="J157" s="3" t="n">
        <v>45</v>
      </c>
      <c r="K157" s="3" t="inlineStr">
        <is>
          <t>ABILITY_STURDY</t>
        </is>
      </c>
      <c r="L157" s="3" t="inlineStr">
        <is>
          <t>ABILITY_SHELL_ARMOR</t>
        </is>
      </c>
      <c r="M157" s="3" t="inlineStr">
        <is>
          <t>ABILITY_WEAK_ARMOR</t>
        </is>
      </c>
    </row>
    <row r="158">
      <c r="A158" s="3" t="inlineStr">
        <is>
          <t>SPECIES_YAMASK</t>
        </is>
      </c>
      <c r="B158" s="3" t="inlineStr">
        <is>
          <t>Yamask</t>
        </is>
      </c>
      <c r="C158" s="3" t="inlineStr">
        <is>
          <t>Ghost</t>
        </is>
      </c>
      <c r="D158" s="3" t="inlineStr"/>
      <c r="E158" s="3" t="n">
        <v>38</v>
      </c>
      <c r="F158" s="3" t="n">
        <v>30</v>
      </c>
      <c r="G158" s="3" t="n">
        <v>85</v>
      </c>
      <c r="H158" s="3" t="n">
        <v>55</v>
      </c>
      <c r="I158" s="3" t="n">
        <v>65</v>
      </c>
      <c r="J158" s="3" t="n">
        <v>30</v>
      </c>
      <c r="K158" s="3" t="inlineStr">
        <is>
          <t>ABILITY_MUMMY</t>
        </is>
      </c>
      <c r="L158" s="3" t="inlineStr"/>
      <c r="M158" s="3" t="inlineStr"/>
    </row>
    <row r="159">
      <c r="A159" s="3" t="inlineStr">
        <is>
          <t>SPECIES_COFAGRIGUS</t>
        </is>
      </c>
      <c r="B159" s="3" t="inlineStr">
        <is>
          <t>Cofagrigus</t>
        </is>
      </c>
      <c r="C159" s="3" t="inlineStr">
        <is>
          <t>Ghost</t>
        </is>
      </c>
      <c r="D159" s="3" t="inlineStr"/>
      <c r="E159" s="3" t="n">
        <v>58</v>
      </c>
      <c r="F159" s="3" t="n">
        <v>50</v>
      </c>
      <c r="G159" s="3" t="n">
        <v>145</v>
      </c>
      <c r="H159" s="3" t="n">
        <v>95</v>
      </c>
      <c r="I159" s="3" t="n">
        <v>105</v>
      </c>
      <c r="J159" s="3" t="n">
        <v>30</v>
      </c>
      <c r="K159" s="3" t="inlineStr">
        <is>
          <t>ABILITY_MUMMY</t>
        </is>
      </c>
      <c r="L159" s="3" t="inlineStr"/>
      <c r="M159" s="3" t="inlineStr"/>
    </row>
    <row r="160">
      <c r="A160" s="3" t="inlineStr">
        <is>
          <t>SPECIES_RUNERIGUS</t>
        </is>
      </c>
      <c r="B160" s="3" t="inlineStr">
        <is>
          <t>Runerigus</t>
        </is>
      </c>
      <c r="C160" s="3" t="inlineStr">
        <is>
          <t>Ghost</t>
        </is>
      </c>
      <c r="D160" s="3" t="inlineStr">
        <is>
          <t>Rock</t>
        </is>
      </c>
      <c r="E160" s="3" t="n">
        <v>58</v>
      </c>
      <c r="F160" s="3" t="n">
        <v>95</v>
      </c>
      <c r="G160" s="3" t="n">
        <v>145</v>
      </c>
      <c r="H160" s="3" t="n">
        <v>50</v>
      </c>
      <c r="I160" s="3" t="n">
        <v>105</v>
      </c>
      <c r="J160" s="3" t="n">
        <v>30</v>
      </c>
      <c r="K160" s="3" t="inlineStr">
        <is>
          <t>ABILITY_WANDERING_SPIRIT</t>
        </is>
      </c>
      <c r="L160" s="3" t="inlineStr"/>
      <c r="M160" s="3" t="inlineStr"/>
    </row>
    <row r="161">
      <c r="A161" s="3" t="inlineStr">
        <is>
          <t>SPECIES_TIRTOUGA</t>
        </is>
      </c>
      <c r="B161" s="3" t="inlineStr">
        <is>
          <t>Tirtouga</t>
        </is>
      </c>
      <c r="C161" s="3" t="inlineStr">
        <is>
          <t>Water</t>
        </is>
      </c>
      <c r="D161" s="3" t="inlineStr">
        <is>
          <t>Rock</t>
        </is>
      </c>
      <c r="E161" s="3" t="n">
        <v>54</v>
      </c>
      <c r="F161" s="3" t="n">
        <v>78</v>
      </c>
      <c r="G161" s="3" t="n">
        <v>103</v>
      </c>
      <c r="H161" s="3" t="n">
        <v>53</v>
      </c>
      <c r="I161" s="3" t="n">
        <v>45</v>
      </c>
      <c r="J161" s="3" t="n">
        <v>22</v>
      </c>
      <c r="K161" s="3" t="inlineStr">
        <is>
          <t>ABILITY_SOLID_ROCK</t>
        </is>
      </c>
      <c r="L161" s="3" t="inlineStr">
        <is>
          <t>ABILITY_STURDY</t>
        </is>
      </c>
      <c r="M161" s="3" t="inlineStr">
        <is>
          <t>ABILITY_SWIFT_SWIM</t>
        </is>
      </c>
    </row>
    <row r="162">
      <c r="A162" s="3" t="inlineStr">
        <is>
          <t>SPECIES_CARRACOSTA</t>
        </is>
      </c>
      <c r="B162" s="3" t="inlineStr">
        <is>
          <t>Carracosta</t>
        </is>
      </c>
      <c r="C162" s="3" t="inlineStr">
        <is>
          <t>Water</t>
        </is>
      </c>
      <c r="D162" s="3" t="inlineStr">
        <is>
          <t>Rock</t>
        </is>
      </c>
      <c r="E162" s="3" t="n">
        <v>74</v>
      </c>
      <c r="F162" s="3" t="n">
        <v>108</v>
      </c>
      <c r="G162" s="3" t="n">
        <v>133</v>
      </c>
      <c r="H162" s="3" t="n">
        <v>83</v>
      </c>
      <c r="I162" s="3" t="n">
        <v>65</v>
      </c>
      <c r="J162" s="3" t="n">
        <v>32</v>
      </c>
      <c r="K162" s="3" t="inlineStr">
        <is>
          <t>ABILITY_SOLID_ROCK</t>
        </is>
      </c>
      <c r="L162" s="3" t="inlineStr">
        <is>
          <t>ABILITY_STURDY</t>
        </is>
      </c>
      <c r="M162" s="3" t="inlineStr">
        <is>
          <t>ABILITY_SWIFT_SWIM</t>
        </is>
      </c>
    </row>
    <row r="163">
      <c r="A163" s="3" t="inlineStr">
        <is>
          <t>SPECIES_ARCHEN</t>
        </is>
      </c>
      <c r="B163" s="3" t="inlineStr">
        <is>
          <t>Archen</t>
        </is>
      </c>
      <c r="C163" s="3" t="inlineStr">
        <is>
          <t>Rock</t>
        </is>
      </c>
      <c r="D163" s="3" t="inlineStr">
        <is>
          <t>Flying</t>
        </is>
      </c>
      <c r="E163" s="3" t="n">
        <v>55</v>
      </c>
      <c r="F163" s="3" t="n">
        <v>112</v>
      </c>
      <c r="G163" s="3" t="n">
        <v>45</v>
      </c>
      <c r="H163" s="3" t="n">
        <v>74</v>
      </c>
      <c r="I163" s="3" t="n">
        <v>45</v>
      </c>
      <c r="J163" s="3" t="n">
        <v>70</v>
      </c>
      <c r="K163" s="3" t="inlineStr">
        <is>
          <t>ABILITY_DEFEATIST</t>
        </is>
      </c>
      <c r="L163" s="3" t="inlineStr"/>
      <c r="M163" s="3" t="inlineStr"/>
    </row>
    <row r="164">
      <c r="A164" s="3" t="inlineStr">
        <is>
          <t>SPECIES_ARCHEOPS</t>
        </is>
      </c>
      <c r="B164" s="3" t="inlineStr">
        <is>
          <t>Archeops</t>
        </is>
      </c>
      <c r="C164" s="3" t="inlineStr">
        <is>
          <t>Rock</t>
        </is>
      </c>
      <c r="D164" s="3" t="inlineStr">
        <is>
          <t>Flying</t>
        </is>
      </c>
      <c r="E164" s="3" t="n">
        <v>75</v>
      </c>
      <c r="F164" s="3" t="n">
        <v>140</v>
      </c>
      <c r="G164" s="3" t="n">
        <v>65</v>
      </c>
      <c r="H164" s="3" t="n">
        <v>112</v>
      </c>
      <c r="I164" s="3" t="n">
        <v>65</v>
      </c>
      <c r="J164" s="3" t="n">
        <v>110</v>
      </c>
      <c r="K164" s="3" t="inlineStr">
        <is>
          <t>ABILITY_DEFEATIST</t>
        </is>
      </c>
      <c r="L164" s="3" t="inlineStr"/>
      <c r="M164" s="3" t="inlineStr"/>
    </row>
    <row r="165">
      <c r="A165" s="3" t="inlineStr">
        <is>
          <t>SPECIES_TRUBBISH</t>
        </is>
      </c>
      <c r="B165" s="3" t="inlineStr">
        <is>
          <t>Trubbish</t>
        </is>
      </c>
      <c r="C165" s="3" t="inlineStr">
        <is>
          <t>Poison</t>
        </is>
      </c>
      <c r="D165" s="3" t="inlineStr"/>
      <c r="E165" s="3" t="n">
        <v>50</v>
      </c>
      <c r="F165" s="3" t="n">
        <v>50</v>
      </c>
      <c r="G165" s="3" t="n">
        <v>62</v>
      </c>
      <c r="H165" s="3" t="n">
        <v>40</v>
      </c>
      <c r="I165" s="3" t="n">
        <v>62</v>
      </c>
      <c r="J165" s="3" t="n">
        <v>65</v>
      </c>
      <c r="K165" s="3" t="inlineStr">
        <is>
          <t>ABILITY_STENCH</t>
        </is>
      </c>
      <c r="L165" s="3" t="inlineStr">
        <is>
          <t>ABILITY_STICKY_HOLD</t>
        </is>
      </c>
      <c r="M165" s="3" t="inlineStr">
        <is>
          <t>ABILITY_AFTERMATH</t>
        </is>
      </c>
    </row>
    <row r="166">
      <c r="A166" s="3" t="inlineStr">
        <is>
          <t>SPECIES_GARBODOR</t>
        </is>
      </c>
      <c r="B166" s="3" t="inlineStr">
        <is>
          <t>Garbodor</t>
        </is>
      </c>
      <c r="C166" s="3" t="inlineStr">
        <is>
          <t>Poison</t>
        </is>
      </c>
      <c r="D166" s="3" t="inlineStr">
        <is>
          <t>Steel</t>
        </is>
      </c>
      <c r="E166" s="3" t="n">
        <v>80</v>
      </c>
      <c r="F166" s="3" t="n">
        <v>95</v>
      </c>
      <c r="G166" s="3" t="n">
        <v>82</v>
      </c>
      <c r="H166" s="3" t="n">
        <v>60</v>
      </c>
      <c r="I166" s="3" t="n">
        <v>82</v>
      </c>
      <c r="J166" s="3" t="n">
        <v>75</v>
      </c>
      <c r="K166" s="3" t="inlineStr">
        <is>
          <t>ABILITY_STENCH</t>
        </is>
      </c>
      <c r="L166" s="3" t="inlineStr">
        <is>
          <t>ABILITY_WEAK_ARMOR</t>
        </is>
      </c>
      <c r="M166" s="3" t="inlineStr">
        <is>
          <t>ABILITY_AFTERMATH</t>
        </is>
      </c>
    </row>
    <row r="167">
      <c r="A167" s="3" t="inlineStr">
        <is>
          <t>SPECIES_MINCCINO</t>
        </is>
      </c>
      <c r="B167" s="3" t="inlineStr">
        <is>
          <t>Minccino</t>
        </is>
      </c>
      <c r="C167" s="3" t="inlineStr">
        <is>
          <t>Normal</t>
        </is>
      </c>
      <c r="D167" s="3" t="inlineStr">
        <is>
          <t>Fairy</t>
        </is>
      </c>
      <c r="E167" s="3" t="n">
        <v>55</v>
      </c>
      <c r="F167" s="3" t="n">
        <v>50</v>
      </c>
      <c r="G167" s="3" t="n">
        <v>40</v>
      </c>
      <c r="H167" s="3" t="n">
        <v>40</v>
      </c>
      <c r="I167" s="3" t="n">
        <v>40</v>
      </c>
      <c r="J167" s="3" t="n">
        <v>75</v>
      </c>
      <c r="K167" s="3" t="inlineStr">
        <is>
          <t>ABILITY_CUTE_CHARM</t>
        </is>
      </c>
      <c r="L167" s="3" t="inlineStr">
        <is>
          <t>ABILITY_TECHNICIAN</t>
        </is>
      </c>
      <c r="M167" s="3" t="inlineStr">
        <is>
          <t>ABILITY_SKILL_LINK</t>
        </is>
      </c>
    </row>
    <row r="168">
      <c r="A168" s="3" t="inlineStr">
        <is>
          <t>SPECIES_CINCCINO</t>
        </is>
      </c>
      <c r="B168" s="3" t="inlineStr">
        <is>
          <t>Cinccino</t>
        </is>
      </c>
      <c r="C168" s="3" t="inlineStr">
        <is>
          <t>Normal</t>
        </is>
      </c>
      <c r="D168" s="3" t="inlineStr">
        <is>
          <t>Fairy</t>
        </is>
      </c>
      <c r="E168" s="3" t="n">
        <v>75</v>
      </c>
      <c r="F168" s="3" t="n">
        <v>95</v>
      </c>
      <c r="G168" s="3" t="n">
        <v>60</v>
      </c>
      <c r="H168" s="3" t="n">
        <v>65</v>
      </c>
      <c r="I168" s="3" t="n">
        <v>60</v>
      </c>
      <c r="J168" s="3" t="n">
        <v>115</v>
      </c>
      <c r="K168" s="3" t="inlineStr">
        <is>
          <t>ABILITY_CUTE_CHARM</t>
        </is>
      </c>
      <c r="L168" s="3" t="inlineStr">
        <is>
          <t>ABILITY_TECHNICIAN</t>
        </is>
      </c>
      <c r="M168" s="3" t="inlineStr">
        <is>
          <t>ABILITY_SKILL_LINK</t>
        </is>
      </c>
    </row>
    <row r="169">
      <c r="A169" s="3" t="inlineStr">
        <is>
          <t>SPECIES_SOLOSIS</t>
        </is>
      </c>
      <c r="B169" s="3" t="inlineStr">
        <is>
          <t>Solosis</t>
        </is>
      </c>
      <c r="C169" s="3" t="inlineStr">
        <is>
          <t>Psychic</t>
        </is>
      </c>
      <c r="D169" s="3" t="inlineStr">
        <is>
          <t>Poison</t>
        </is>
      </c>
      <c r="E169" s="3" t="n">
        <v>45</v>
      </c>
      <c r="F169" s="3" t="n">
        <v>30</v>
      </c>
      <c r="G169" s="3" t="n">
        <v>40</v>
      </c>
      <c r="H169" s="3" t="n">
        <v>105</v>
      </c>
      <c r="I169" s="3" t="n">
        <v>50</v>
      </c>
      <c r="J169" s="3" t="n">
        <v>20</v>
      </c>
      <c r="K169" s="3" t="inlineStr">
        <is>
          <t>ABILITY_OVERCOAT</t>
        </is>
      </c>
      <c r="L169" s="3" t="inlineStr">
        <is>
          <t>ABILITY_MAGIC_GUARD</t>
        </is>
      </c>
      <c r="M169" s="3" t="inlineStr">
        <is>
          <t>ABILITY_REGENERATOR</t>
        </is>
      </c>
    </row>
    <row r="170">
      <c r="A170" s="3" t="inlineStr">
        <is>
          <t>SPECIES_DUOSION</t>
        </is>
      </c>
      <c r="B170" s="3" t="inlineStr">
        <is>
          <t>Duosion</t>
        </is>
      </c>
      <c r="C170" s="3" t="inlineStr">
        <is>
          <t>Psychic</t>
        </is>
      </c>
      <c r="D170" s="3" t="inlineStr">
        <is>
          <t>Poison</t>
        </is>
      </c>
      <c r="E170" s="3" t="n">
        <v>65</v>
      </c>
      <c r="F170" s="3" t="n">
        <v>40</v>
      </c>
      <c r="G170" s="3" t="n">
        <v>50</v>
      </c>
      <c r="H170" s="3" t="n">
        <v>125</v>
      </c>
      <c r="I170" s="3" t="n">
        <v>60</v>
      </c>
      <c r="J170" s="3" t="n">
        <v>30</v>
      </c>
      <c r="K170" s="3" t="inlineStr">
        <is>
          <t>ABILITY_OVERCOAT</t>
        </is>
      </c>
      <c r="L170" s="3" t="inlineStr">
        <is>
          <t>ABILITY_MAGIC_GUARD</t>
        </is>
      </c>
      <c r="M170" s="3" t="inlineStr">
        <is>
          <t>ABILITY_REGENERATOR</t>
        </is>
      </c>
    </row>
    <row r="171">
      <c r="A171" s="3" t="inlineStr">
        <is>
          <t>SPECIES_REUNICLUS</t>
        </is>
      </c>
      <c r="B171" s="3" t="inlineStr">
        <is>
          <t>Reuniclus</t>
        </is>
      </c>
      <c r="C171" s="3" t="inlineStr">
        <is>
          <t>Psychic</t>
        </is>
      </c>
      <c r="D171" s="3" t="inlineStr">
        <is>
          <t>Poison</t>
        </is>
      </c>
      <c r="E171" s="3" t="n">
        <v>110</v>
      </c>
      <c r="F171" s="3" t="n">
        <v>65</v>
      </c>
      <c r="G171" s="3" t="n">
        <v>75</v>
      </c>
      <c r="H171" s="3" t="n">
        <v>125</v>
      </c>
      <c r="I171" s="3" t="n">
        <v>85</v>
      </c>
      <c r="J171" s="3" t="n">
        <v>30</v>
      </c>
      <c r="K171" s="3" t="inlineStr">
        <is>
          <t>ABILITY_OVERCOAT</t>
        </is>
      </c>
      <c r="L171" s="3" t="inlineStr">
        <is>
          <t>ABILITY_MAGIC_GUARD</t>
        </is>
      </c>
      <c r="M171" s="3" t="inlineStr">
        <is>
          <t>ABILITY_REGENERATOR</t>
        </is>
      </c>
    </row>
    <row r="172">
      <c r="A172" s="3" t="inlineStr">
        <is>
          <t>SPECIES_DUCKLETT</t>
        </is>
      </c>
      <c r="B172" s="3" t="inlineStr">
        <is>
          <t>Ducklett</t>
        </is>
      </c>
      <c r="C172" s="3" t="inlineStr">
        <is>
          <t>Water</t>
        </is>
      </c>
      <c r="D172" s="3" t="inlineStr">
        <is>
          <t>Flying</t>
        </is>
      </c>
      <c r="E172" s="3" t="n">
        <v>62</v>
      </c>
      <c r="F172" s="3" t="n">
        <v>44</v>
      </c>
      <c r="G172" s="3" t="n">
        <v>50</v>
      </c>
      <c r="H172" s="3" t="n">
        <v>44</v>
      </c>
      <c r="I172" s="3" t="n">
        <v>50</v>
      </c>
      <c r="J172" s="3" t="n">
        <v>55</v>
      </c>
      <c r="K172" s="3" t="inlineStr">
        <is>
          <t>ABILITY_KEEN_EYE</t>
        </is>
      </c>
      <c r="L172" s="3" t="inlineStr">
        <is>
          <t>ABILITY_BIG_PECKS</t>
        </is>
      </c>
      <c r="M172" s="3" t="inlineStr">
        <is>
          <t>ABILITY_HYDRATION</t>
        </is>
      </c>
    </row>
    <row r="173">
      <c r="A173" s="3" t="inlineStr">
        <is>
          <t>SPECIES_SWANNA</t>
        </is>
      </c>
      <c r="B173" s="3" t="inlineStr">
        <is>
          <t>Swanna</t>
        </is>
      </c>
      <c r="C173" s="3" t="inlineStr">
        <is>
          <t>Water</t>
        </is>
      </c>
      <c r="D173" s="3" t="inlineStr">
        <is>
          <t>Flying</t>
        </is>
      </c>
      <c r="E173" s="3" t="n">
        <v>75</v>
      </c>
      <c r="F173" s="3" t="n">
        <v>87</v>
      </c>
      <c r="G173" s="3" t="n">
        <v>63</v>
      </c>
      <c r="H173" s="3" t="n">
        <v>87</v>
      </c>
      <c r="I173" s="3" t="n">
        <v>63</v>
      </c>
      <c r="J173" s="3" t="n">
        <v>98</v>
      </c>
      <c r="K173" s="3" t="inlineStr">
        <is>
          <t>ABILITY_KEEN_EYE</t>
        </is>
      </c>
      <c r="L173" s="3" t="inlineStr">
        <is>
          <t>ABILITY_BIG_PECKS</t>
        </is>
      </c>
      <c r="M173" s="3" t="inlineStr">
        <is>
          <t>ABILITY_HYDRATION</t>
        </is>
      </c>
    </row>
    <row r="174">
      <c r="A174" s="3" t="inlineStr">
        <is>
          <t>SPECIES_DEERLING_SPRING</t>
        </is>
      </c>
      <c r="B174" s="3" t="inlineStr">
        <is>
          <t>Deerling</t>
        </is>
      </c>
      <c r="C174" s="3" t="inlineStr">
        <is>
          <t>Normal</t>
        </is>
      </c>
      <c r="D174" s="3" t="inlineStr">
        <is>
          <t>Grass</t>
        </is>
      </c>
      <c r="E174" s="3" t="n">
        <v>60</v>
      </c>
      <c r="F174" s="3" t="n">
        <v>60</v>
      </c>
      <c r="G174" s="3" t="n">
        <v>50</v>
      </c>
      <c r="H174" s="3" t="n">
        <v>40</v>
      </c>
      <c r="I174" s="3" t="n">
        <v>50</v>
      </c>
      <c r="J174" s="3" t="n">
        <v>75</v>
      </c>
      <c r="K174" s="3" t="inlineStr">
        <is>
          <t>ABILITY_CHLOROPHYLL</t>
        </is>
      </c>
      <c r="L174" s="3" t="inlineStr">
        <is>
          <t>ABILITY_SAP_SIPPER</t>
        </is>
      </c>
      <c r="M174" s="3" t="inlineStr">
        <is>
          <t>ABILITY_SERENE_GRACE</t>
        </is>
      </c>
    </row>
    <row r="175">
      <c r="A175" s="3" t="inlineStr">
        <is>
          <t>SPECIES_SAWSBUCK_SPRING</t>
        </is>
      </c>
      <c r="B175" s="3" t="inlineStr">
        <is>
          <t>Sawsbuck</t>
        </is>
      </c>
      <c r="C175" s="3" t="inlineStr">
        <is>
          <t>Normal</t>
        </is>
      </c>
      <c r="D175" s="3" t="inlineStr">
        <is>
          <t>Grass</t>
        </is>
      </c>
      <c r="E175" s="3" t="n">
        <v>80</v>
      </c>
      <c r="F175" s="3" t="n">
        <v>100</v>
      </c>
      <c r="G175" s="3" t="n">
        <v>70</v>
      </c>
      <c r="H175" s="3" t="n">
        <v>60</v>
      </c>
      <c r="I175" s="3" t="n">
        <v>70</v>
      </c>
      <c r="J175" s="3" t="n">
        <v>95</v>
      </c>
      <c r="K175" s="3" t="inlineStr">
        <is>
          <t>ABILITY_CHLOROPHYLL</t>
        </is>
      </c>
      <c r="L175" s="3" t="inlineStr">
        <is>
          <t>ABILITY_SAP_SIPPER</t>
        </is>
      </c>
      <c r="M175" s="3" t="inlineStr">
        <is>
          <t>ABILITY_SERENE_GRACE</t>
        </is>
      </c>
    </row>
    <row r="176">
      <c r="A176" s="3" t="inlineStr">
        <is>
          <t>SPECIES_FERROSEED</t>
        </is>
      </c>
      <c r="B176" s="3" t="inlineStr">
        <is>
          <t>Ferroseed</t>
        </is>
      </c>
      <c r="C176" s="3" t="inlineStr">
        <is>
          <t>Grass</t>
        </is>
      </c>
      <c r="D176" s="3" t="inlineStr">
        <is>
          <t>Steel</t>
        </is>
      </c>
      <c r="E176" s="3" t="n">
        <v>44</v>
      </c>
      <c r="F176" s="3" t="n">
        <v>50</v>
      </c>
      <c r="G176" s="3" t="n">
        <v>91</v>
      </c>
      <c r="H176" s="3" t="n">
        <v>24</v>
      </c>
      <c r="I176" s="3" t="n">
        <v>86</v>
      </c>
      <c r="J176" s="3" t="n">
        <v>10</v>
      </c>
      <c r="K176" s="3" t="inlineStr">
        <is>
          <t>ABILITY_IRON_BARBS</t>
        </is>
      </c>
      <c r="L176" s="3" t="inlineStr"/>
      <c r="M176" s="3" t="inlineStr"/>
    </row>
    <row r="177">
      <c r="A177" s="3" t="inlineStr">
        <is>
          <t>SPECIES_FERROTHORN</t>
        </is>
      </c>
      <c r="B177" s="3" t="inlineStr">
        <is>
          <t>Ferrothorn</t>
        </is>
      </c>
      <c r="C177" s="3" t="inlineStr">
        <is>
          <t>Grass</t>
        </is>
      </c>
      <c r="D177" s="3" t="inlineStr">
        <is>
          <t>Steel</t>
        </is>
      </c>
      <c r="E177" s="3" t="n">
        <v>74</v>
      </c>
      <c r="F177" s="3" t="n">
        <v>94</v>
      </c>
      <c r="G177" s="3" t="n">
        <v>131</v>
      </c>
      <c r="H177" s="3" t="n">
        <v>54</v>
      </c>
      <c r="I177" s="3" t="n">
        <v>116</v>
      </c>
      <c r="J177" s="3" t="n">
        <v>20</v>
      </c>
      <c r="K177" s="3" t="inlineStr">
        <is>
          <t>ABILITY_IRON_BARBS</t>
        </is>
      </c>
      <c r="L177" s="3" t="inlineStr">
        <is>
          <t>ABILITY_ANTICIPATION</t>
        </is>
      </c>
      <c r="M177" s="3" t="inlineStr"/>
    </row>
    <row r="178">
      <c r="A178" s="3" t="inlineStr">
        <is>
          <t>SPECIES_TYNAMO</t>
        </is>
      </c>
      <c r="B178" s="3" t="inlineStr">
        <is>
          <t>Tynamo</t>
        </is>
      </c>
      <c r="C178" s="3" t="inlineStr">
        <is>
          <t>Electric</t>
        </is>
      </c>
      <c r="D178" s="3" t="inlineStr">
        <is>
          <t>Poison</t>
        </is>
      </c>
      <c r="E178" s="3" t="n">
        <v>35</v>
      </c>
      <c r="F178" s="3" t="n">
        <v>55</v>
      </c>
      <c r="G178" s="3" t="n">
        <v>40</v>
      </c>
      <c r="H178" s="3" t="n">
        <v>45</v>
      </c>
      <c r="I178" s="3" t="n">
        <v>40</v>
      </c>
      <c r="J178" s="3" t="n">
        <v>60</v>
      </c>
      <c r="K178" s="3" t="inlineStr">
        <is>
          <t>ABILITY_LEVITATE</t>
        </is>
      </c>
      <c r="L178" s="3" t="inlineStr"/>
      <c r="M178" s="3" t="inlineStr"/>
    </row>
    <row r="179">
      <c r="A179" s="3" t="inlineStr">
        <is>
          <t>SPECIES_EELEKTRIK</t>
        </is>
      </c>
      <c r="B179" s="3" t="inlineStr">
        <is>
          <t>Eelektrik</t>
        </is>
      </c>
      <c r="C179" s="3" t="inlineStr">
        <is>
          <t>Electric</t>
        </is>
      </c>
      <c r="D179" s="3" t="inlineStr">
        <is>
          <t>Poison</t>
        </is>
      </c>
      <c r="E179" s="3" t="n">
        <v>65</v>
      </c>
      <c r="F179" s="3" t="n">
        <v>85</v>
      </c>
      <c r="G179" s="3" t="n">
        <v>70</v>
      </c>
      <c r="H179" s="3" t="n">
        <v>75</v>
      </c>
      <c r="I179" s="3" t="n">
        <v>70</v>
      </c>
      <c r="J179" s="3" t="n">
        <v>40</v>
      </c>
      <c r="K179" s="3" t="inlineStr">
        <is>
          <t>ABILITY_LEVITATE</t>
        </is>
      </c>
      <c r="L179" s="3" t="inlineStr"/>
      <c r="M179" s="3" t="inlineStr"/>
    </row>
    <row r="180">
      <c r="A180" s="3" t="inlineStr">
        <is>
          <t>SPECIES_EELEKTROSS</t>
        </is>
      </c>
      <c r="B180" s="3" t="inlineStr">
        <is>
          <t>Eelektross</t>
        </is>
      </c>
      <c r="C180" s="3" t="inlineStr">
        <is>
          <t>Electric</t>
        </is>
      </c>
      <c r="D180" s="3" t="inlineStr">
        <is>
          <t>Poison</t>
        </is>
      </c>
      <c r="E180" s="3" t="n">
        <v>85</v>
      </c>
      <c r="F180" s="3" t="n">
        <v>115</v>
      </c>
      <c r="G180" s="3" t="n">
        <v>80</v>
      </c>
      <c r="H180" s="3" t="n">
        <v>105</v>
      </c>
      <c r="I180" s="3" t="n">
        <v>80</v>
      </c>
      <c r="J180" s="3" t="n">
        <v>50</v>
      </c>
      <c r="K180" s="3" t="inlineStr">
        <is>
          <t>ABILITY_LEVITATE</t>
        </is>
      </c>
      <c r="L180" s="3" t="inlineStr"/>
      <c r="M180" s="3" t="inlineStr"/>
    </row>
    <row r="181">
      <c r="A181" s="3" t="inlineStr">
        <is>
          <t>SPECIES_ELGYEM</t>
        </is>
      </c>
      <c r="B181" s="3" t="inlineStr">
        <is>
          <t>Elgyem</t>
        </is>
      </c>
      <c r="C181" s="3" t="inlineStr">
        <is>
          <t>Psychic</t>
        </is>
      </c>
      <c r="D181" s="3" t="inlineStr">
        <is>
          <t>Electric</t>
        </is>
      </c>
      <c r="E181" s="3" t="n">
        <v>55</v>
      </c>
      <c r="F181" s="3" t="n">
        <v>55</v>
      </c>
      <c r="G181" s="3" t="n">
        <v>55</v>
      </c>
      <c r="H181" s="3" t="n">
        <v>85</v>
      </c>
      <c r="I181" s="3" t="n">
        <v>55</v>
      </c>
      <c r="J181" s="3" t="n">
        <v>30</v>
      </c>
      <c r="K181" s="3" t="inlineStr">
        <is>
          <t>ABILITY_TELEPATHY</t>
        </is>
      </c>
      <c r="L181" s="3" t="inlineStr">
        <is>
          <t>ABILITY_SYNCHRONIZE</t>
        </is>
      </c>
      <c r="M181" s="3" t="inlineStr">
        <is>
          <t>ABILITY_ANALYTIC</t>
        </is>
      </c>
    </row>
    <row r="182">
      <c r="A182" s="3" t="inlineStr">
        <is>
          <t>SPECIES_BEHEEYEM</t>
        </is>
      </c>
      <c r="B182" s="3" t="inlineStr">
        <is>
          <t>Beheeyem</t>
        </is>
      </c>
      <c r="C182" s="3" t="inlineStr">
        <is>
          <t>Psychic</t>
        </is>
      </c>
      <c r="D182" s="3" t="inlineStr">
        <is>
          <t>Electric</t>
        </is>
      </c>
      <c r="E182" s="3" t="n">
        <v>75</v>
      </c>
      <c r="F182" s="3" t="n">
        <v>75</v>
      </c>
      <c r="G182" s="3" t="n">
        <v>75</v>
      </c>
      <c r="H182" s="3" t="n">
        <v>125</v>
      </c>
      <c r="I182" s="3" t="n">
        <v>95</v>
      </c>
      <c r="J182" s="3" t="n">
        <v>40</v>
      </c>
      <c r="K182" s="3" t="inlineStr">
        <is>
          <t>ABILITY_TELEPATHY</t>
        </is>
      </c>
      <c r="L182" s="3" t="inlineStr">
        <is>
          <t>ABILITY_SYNCHRONIZE</t>
        </is>
      </c>
      <c r="M182" s="3" t="inlineStr">
        <is>
          <t>ABILITY_ANALYTIC</t>
        </is>
      </c>
    </row>
    <row r="183">
      <c r="A183" s="3" t="inlineStr">
        <is>
          <t>SPECIES_LITWICK</t>
        </is>
      </c>
      <c r="B183" s="3" t="inlineStr">
        <is>
          <t>Litwick</t>
        </is>
      </c>
      <c r="C183" s="3" t="inlineStr">
        <is>
          <t>Ghost</t>
        </is>
      </c>
      <c r="D183" s="3" t="inlineStr">
        <is>
          <t>Fire</t>
        </is>
      </c>
      <c r="E183" s="3" t="n">
        <v>50</v>
      </c>
      <c r="F183" s="3" t="n">
        <v>30</v>
      </c>
      <c r="G183" s="3" t="n">
        <v>55</v>
      </c>
      <c r="H183" s="3" t="n">
        <v>65</v>
      </c>
      <c r="I183" s="3" t="n">
        <v>55</v>
      </c>
      <c r="J183" s="3" t="n">
        <v>20</v>
      </c>
      <c r="K183" s="3" t="inlineStr">
        <is>
          <t>ABILITY_FLASH_FIRE</t>
        </is>
      </c>
      <c r="L183" s="3" t="inlineStr">
        <is>
          <t>ABILITY_FLAME_BODY</t>
        </is>
      </c>
      <c r="M183" s="3" t="inlineStr">
        <is>
          <t>ABILITY_INFILTRATOR</t>
        </is>
      </c>
    </row>
    <row r="184">
      <c r="A184" s="3" t="inlineStr">
        <is>
          <t>SPECIES_LAMPENT</t>
        </is>
      </c>
      <c r="B184" s="3" t="inlineStr">
        <is>
          <t>Lampent</t>
        </is>
      </c>
      <c r="C184" s="3" t="inlineStr">
        <is>
          <t>Ghost</t>
        </is>
      </c>
      <c r="D184" s="3" t="inlineStr">
        <is>
          <t>Fire</t>
        </is>
      </c>
      <c r="E184" s="3" t="n">
        <v>60</v>
      </c>
      <c r="F184" s="3" t="n">
        <v>40</v>
      </c>
      <c r="G184" s="3" t="n">
        <v>60</v>
      </c>
      <c r="H184" s="3" t="n">
        <v>95</v>
      </c>
      <c r="I184" s="3" t="n">
        <v>60</v>
      </c>
      <c r="J184" s="3" t="n">
        <v>55</v>
      </c>
      <c r="K184" s="3" t="inlineStr">
        <is>
          <t>ABILITY_FLASH_FIRE</t>
        </is>
      </c>
      <c r="L184" s="3" t="inlineStr">
        <is>
          <t>ABILITY_FLAME_BODY</t>
        </is>
      </c>
      <c r="M184" s="3" t="inlineStr">
        <is>
          <t>ABILITY_INFILTRATOR</t>
        </is>
      </c>
    </row>
    <row r="185">
      <c r="A185" s="3" t="inlineStr">
        <is>
          <t>SPECIES_CHANDELURE</t>
        </is>
      </c>
      <c r="B185" s="3" t="inlineStr">
        <is>
          <t>Chandelure</t>
        </is>
      </c>
      <c r="C185" s="3" t="inlineStr">
        <is>
          <t>Ghost</t>
        </is>
      </c>
      <c r="D185" s="3" t="inlineStr">
        <is>
          <t>Fire</t>
        </is>
      </c>
      <c r="E185" s="3" t="n">
        <v>60</v>
      </c>
      <c r="F185" s="3" t="n">
        <v>55</v>
      </c>
      <c r="G185" s="3" t="n">
        <v>90</v>
      </c>
      <c r="H185" s="3" t="n">
        <v>145</v>
      </c>
      <c r="I185" s="3" t="n">
        <v>90</v>
      </c>
      <c r="J185" s="3" t="n">
        <v>80</v>
      </c>
      <c r="K185" s="3" t="inlineStr">
        <is>
          <t>ABILITY_FLASH_FIRE</t>
        </is>
      </c>
      <c r="L185" s="3" t="inlineStr">
        <is>
          <t>ABILITY_FLAME_BODY</t>
        </is>
      </c>
      <c r="M185" s="3" t="inlineStr">
        <is>
          <t>ABILITY_INFILTRATOR</t>
        </is>
      </c>
    </row>
    <row r="186">
      <c r="A186" s="3" t="inlineStr">
        <is>
          <t>SPECIES_AXEW</t>
        </is>
      </c>
      <c r="B186" s="3" t="inlineStr">
        <is>
          <t>Axew</t>
        </is>
      </c>
      <c r="C186" s="3" t="inlineStr">
        <is>
          <t>Dragon</t>
        </is>
      </c>
      <c r="D186" s="3" t="inlineStr"/>
      <c r="E186" s="3" t="n">
        <v>46</v>
      </c>
      <c r="F186" s="3" t="n">
        <v>87</v>
      </c>
      <c r="G186" s="3" t="n">
        <v>60</v>
      </c>
      <c r="H186" s="3" t="n">
        <v>30</v>
      </c>
      <c r="I186" s="3" t="n">
        <v>40</v>
      </c>
      <c r="J186" s="3" t="n">
        <v>57</v>
      </c>
      <c r="K186" s="3" t="inlineStr">
        <is>
          <t>ABILITY_RIVALRY</t>
        </is>
      </c>
      <c r="L186" s="3" t="inlineStr">
        <is>
          <t>ABILITY_MOLD_BREAKER</t>
        </is>
      </c>
      <c r="M186" s="3" t="inlineStr">
        <is>
          <t>ABILITY_UNNERVE</t>
        </is>
      </c>
    </row>
    <row r="187">
      <c r="A187" s="3" t="inlineStr">
        <is>
          <t>SPECIES_FRAXURE</t>
        </is>
      </c>
      <c r="B187" s="3" t="inlineStr">
        <is>
          <t>Fraxure</t>
        </is>
      </c>
      <c r="C187" s="3" t="inlineStr">
        <is>
          <t>Dragon</t>
        </is>
      </c>
      <c r="D187" s="3" t="inlineStr"/>
      <c r="E187" s="3" t="n">
        <v>66</v>
      </c>
      <c r="F187" s="3" t="n">
        <v>117</v>
      </c>
      <c r="G187" s="3" t="n">
        <v>70</v>
      </c>
      <c r="H187" s="3" t="n">
        <v>40</v>
      </c>
      <c r="I187" s="3" t="n">
        <v>50</v>
      </c>
      <c r="J187" s="3" t="n">
        <v>67</v>
      </c>
      <c r="K187" s="3" t="inlineStr">
        <is>
          <t>ABILITY_RIVALRY</t>
        </is>
      </c>
      <c r="L187" s="3" t="inlineStr">
        <is>
          <t>ABILITY_MOLD_BREAKER</t>
        </is>
      </c>
      <c r="M187" s="3" t="inlineStr">
        <is>
          <t>ABILITY_UNNERVE</t>
        </is>
      </c>
    </row>
    <row r="188">
      <c r="A188" s="3" t="inlineStr">
        <is>
          <t>SPECIES_HAXORUS</t>
        </is>
      </c>
      <c r="B188" s="3" t="inlineStr">
        <is>
          <t>Haxorus</t>
        </is>
      </c>
      <c r="C188" s="3" t="inlineStr">
        <is>
          <t>Dragon</t>
        </is>
      </c>
      <c r="D188" s="3" t="inlineStr">
        <is>
          <t>Steel</t>
        </is>
      </c>
      <c r="E188" s="3" t="n">
        <v>76</v>
      </c>
      <c r="F188" s="3" t="n">
        <v>147</v>
      </c>
      <c r="G188" s="3" t="n">
        <v>90</v>
      </c>
      <c r="H188" s="3" t="n">
        <v>60</v>
      </c>
      <c r="I188" s="3" t="n">
        <v>70</v>
      </c>
      <c r="J188" s="3" t="n">
        <v>97</v>
      </c>
      <c r="K188" s="3" t="inlineStr">
        <is>
          <t>ABILITY_RIVALRY</t>
        </is>
      </c>
      <c r="L188" s="3" t="inlineStr">
        <is>
          <t>ABILITY_MOLD_BREAKER</t>
        </is>
      </c>
      <c r="M188" s="3" t="inlineStr">
        <is>
          <t>ABILITY_UNNERVE</t>
        </is>
      </c>
    </row>
    <row r="189">
      <c r="A189" s="3" t="inlineStr">
        <is>
          <t>SPECIES_CUBCHOO</t>
        </is>
      </c>
      <c r="B189" s="3" t="inlineStr">
        <is>
          <t>Cubchoo</t>
        </is>
      </c>
      <c r="C189" s="3" t="inlineStr">
        <is>
          <t>Ice</t>
        </is>
      </c>
      <c r="D189" s="3" t="inlineStr">
        <is>
          <t>Normal</t>
        </is>
      </c>
      <c r="E189" s="3" t="n">
        <v>55</v>
      </c>
      <c r="F189" s="3" t="n">
        <v>70</v>
      </c>
      <c r="G189" s="3" t="n">
        <v>40</v>
      </c>
      <c r="H189" s="3" t="n">
        <v>60</v>
      </c>
      <c r="I189" s="3" t="n">
        <v>40</v>
      </c>
      <c r="J189" s="3" t="n">
        <v>40</v>
      </c>
      <c r="K189" s="3" t="inlineStr">
        <is>
          <t>ABILITY_SNOW_CLOAK</t>
        </is>
      </c>
      <c r="L189" s="3" t="inlineStr">
        <is>
          <t>ABILITY_SLUSH_RUSH</t>
        </is>
      </c>
      <c r="M189" s="3" t="inlineStr">
        <is>
          <t>ABILITY_RATTLED</t>
        </is>
      </c>
    </row>
    <row r="190">
      <c r="A190" s="3" t="inlineStr">
        <is>
          <t>SPECIES_BEARTIC</t>
        </is>
      </c>
      <c r="B190" s="3" t="inlineStr">
        <is>
          <t>Beartic</t>
        </is>
      </c>
      <c r="C190" s="3" t="inlineStr">
        <is>
          <t>Ice</t>
        </is>
      </c>
      <c r="D190" s="3" t="inlineStr">
        <is>
          <t>Normal</t>
        </is>
      </c>
      <c r="E190" s="3" t="n">
        <v>95</v>
      </c>
      <c r="F190" s="3" t="n">
        <v>130</v>
      </c>
      <c r="G190" s="3" t="n">
        <v>80</v>
      </c>
      <c r="H190" s="3" t="n">
        <v>70</v>
      </c>
      <c r="I190" s="3" t="n">
        <v>80</v>
      </c>
      <c r="J190" s="3" t="n">
        <v>50</v>
      </c>
      <c r="K190" s="3" t="inlineStr">
        <is>
          <t>ABILITY_SNOW_CLOAK</t>
        </is>
      </c>
      <c r="L190" s="3" t="inlineStr">
        <is>
          <t>ABILITY_SLUSH_RUSH</t>
        </is>
      </c>
      <c r="M190" s="3" t="inlineStr">
        <is>
          <t>ABILITY_SWIFT_SWIM</t>
        </is>
      </c>
    </row>
    <row r="191">
      <c r="A191" s="3" t="inlineStr">
        <is>
          <t>SPECIES_MIENFOO</t>
        </is>
      </c>
      <c r="B191" s="3" t="inlineStr">
        <is>
          <t>Mienfoo</t>
        </is>
      </c>
      <c r="C191" s="3" t="inlineStr">
        <is>
          <t>Fighting</t>
        </is>
      </c>
      <c r="D191" s="3" t="inlineStr"/>
      <c r="E191" s="3" t="n">
        <v>45</v>
      </c>
      <c r="F191" s="3" t="n">
        <v>85</v>
      </c>
      <c r="G191" s="3" t="n">
        <v>50</v>
      </c>
      <c r="H191" s="3" t="n">
        <v>55</v>
      </c>
      <c r="I191" s="3" t="n">
        <v>50</v>
      </c>
      <c r="J191" s="3" t="n">
        <v>65</v>
      </c>
      <c r="K191" s="3" t="inlineStr">
        <is>
          <t>ABILITY_INNER_FOCUS</t>
        </is>
      </c>
      <c r="L191" s="3" t="inlineStr">
        <is>
          <t>ABILITY_REGENERATOR</t>
        </is>
      </c>
      <c r="M191" s="3" t="inlineStr">
        <is>
          <t>ABILITY_RECKLESS</t>
        </is>
      </c>
    </row>
    <row r="192">
      <c r="A192" s="3" t="inlineStr">
        <is>
          <t>SPECIES_MIENSHAO</t>
        </is>
      </c>
      <c r="B192" s="3" t="inlineStr">
        <is>
          <t>Mienshao</t>
        </is>
      </c>
      <c r="C192" s="3" t="inlineStr">
        <is>
          <t>Fighting</t>
        </is>
      </c>
      <c r="D192" s="3" t="inlineStr"/>
      <c r="E192" s="3" t="n">
        <v>65</v>
      </c>
      <c r="F192" s="3" t="n">
        <v>125</v>
      </c>
      <c r="G192" s="3" t="n">
        <v>60</v>
      </c>
      <c r="H192" s="3" t="n">
        <v>95</v>
      </c>
      <c r="I192" s="3" t="n">
        <v>60</v>
      </c>
      <c r="J192" s="3" t="n">
        <v>105</v>
      </c>
      <c r="K192" s="3" t="inlineStr">
        <is>
          <t>ABILITY_INNER_FOCUS</t>
        </is>
      </c>
      <c r="L192" s="3" t="inlineStr">
        <is>
          <t>ABILITY_REGENERATOR</t>
        </is>
      </c>
      <c r="M192" s="3" t="inlineStr">
        <is>
          <t>ABILITY_RECKLESS</t>
        </is>
      </c>
    </row>
    <row r="193">
      <c r="A193" s="3" t="inlineStr">
        <is>
          <t>SPECIES_GOLETT</t>
        </is>
      </c>
      <c r="B193" s="3" t="inlineStr">
        <is>
          <t>Golett</t>
        </is>
      </c>
      <c r="C193" s="3" t="inlineStr">
        <is>
          <t>Ground</t>
        </is>
      </c>
      <c r="D193" s="3" t="inlineStr">
        <is>
          <t>Ghost</t>
        </is>
      </c>
      <c r="E193" s="3" t="n">
        <v>59</v>
      </c>
      <c r="F193" s="3" t="n">
        <v>74</v>
      </c>
      <c r="G193" s="3" t="n">
        <v>50</v>
      </c>
      <c r="H193" s="3" t="n">
        <v>35</v>
      </c>
      <c r="I193" s="3" t="n">
        <v>50</v>
      </c>
      <c r="J193" s="3" t="n">
        <v>35</v>
      </c>
      <c r="K193" s="3" t="inlineStr">
        <is>
          <t>ABILITY_IRON_FIST</t>
        </is>
      </c>
      <c r="L193" s="3" t="inlineStr">
        <is>
          <t>ABILITY_KLUTZ</t>
        </is>
      </c>
      <c r="M193" s="3" t="inlineStr">
        <is>
          <t>ABILITY_NO_GUARD</t>
        </is>
      </c>
    </row>
    <row r="194">
      <c r="A194" s="3" t="inlineStr">
        <is>
          <t>SPECIES_GOLURK</t>
        </is>
      </c>
      <c r="B194" s="3" t="inlineStr">
        <is>
          <t>Golurk</t>
        </is>
      </c>
      <c r="C194" s="3" t="inlineStr">
        <is>
          <t>Ground</t>
        </is>
      </c>
      <c r="D194" s="3" t="inlineStr">
        <is>
          <t>Ghost</t>
        </is>
      </c>
      <c r="E194" s="3" t="n">
        <v>89</v>
      </c>
      <c r="F194" s="3" t="n">
        <v>124</v>
      </c>
      <c r="G194" s="3" t="n">
        <v>80</v>
      </c>
      <c r="H194" s="3" t="n">
        <v>55</v>
      </c>
      <c r="I194" s="3" t="n">
        <v>80</v>
      </c>
      <c r="J194" s="3" t="n">
        <v>55</v>
      </c>
      <c r="K194" s="3" t="inlineStr">
        <is>
          <t>ABILITY_IRON_FIST</t>
        </is>
      </c>
      <c r="L194" s="3" t="inlineStr">
        <is>
          <t>ABILITY_KLUTZ</t>
        </is>
      </c>
      <c r="M194" s="3" t="inlineStr">
        <is>
          <t>ABILITY_NO_GUARD</t>
        </is>
      </c>
    </row>
    <row r="195">
      <c r="A195" s="3" t="inlineStr">
        <is>
          <t>SPECIES_PAWNIARD</t>
        </is>
      </c>
      <c r="B195" s="3" t="inlineStr">
        <is>
          <t>Pawniard</t>
        </is>
      </c>
      <c r="C195" s="3" t="inlineStr">
        <is>
          <t>Dark</t>
        </is>
      </c>
      <c r="D195" s="3" t="inlineStr">
        <is>
          <t>Steel</t>
        </is>
      </c>
      <c r="E195" s="3" t="n">
        <v>45</v>
      </c>
      <c r="F195" s="3" t="n">
        <v>85</v>
      </c>
      <c r="G195" s="3" t="n">
        <v>70</v>
      </c>
      <c r="H195" s="3" t="n">
        <v>40</v>
      </c>
      <c r="I195" s="3" t="n">
        <v>40</v>
      </c>
      <c r="J195" s="3" t="n">
        <v>60</v>
      </c>
      <c r="K195" s="3" t="inlineStr">
        <is>
          <t>ABILITY_DEFIANT</t>
        </is>
      </c>
      <c r="L195" s="3" t="inlineStr">
        <is>
          <t>ABILITY_INNER_FOCUS</t>
        </is>
      </c>
      <c r="M195" s="3" t="inlineStr">
        <is>
          <t>ABILITY_PRESSURE</t>
        </is>
      </c>
    </row>
    <row r="196">
      <c r="A196" s="3" t="inlineStr">
        <is>
          <t>SPECIES_BISHARP</t>
        </is>
      </c>
      <c r="B196" s="3" t="inlineStr">
        <is>
          <t>Bisharp</t>
        </is>
      </c>
      <c r="C196" s="3" t="inlineStr">
        <is>
          <t>Dark</t>
        </is>
      </c>
      <c r="D196" s="3" t="inlineStr">
        <is>
          <t>Steel</t>
        </is>
      </c>
      <c r="E196" s="3" t="n">
        <v>65</v>
      </c>
      <c r="F196" s="3" t="n">
        <v>125</v>
      </c>
      <c r="G196" s="3" t="n">
        <v>100</v>
      </c>
      <c r="H196" s="3" t="n">
        <v>60</v>
      </c>
      <c r="I196" s="3" t="n">
        <v>70</v>
      </c>
      <c r="J196" s="3" t="n">
        <v>70</v>
      </c>
      <c r="K196" s="3" t="inlineStr">
        <is>
          <t>ABILITY_DEFIANT</t>
        </is>
      </c>
      <c r="L196" s="3" t="inlineStr">
        <is>
          <t>ABILITY_INNER_FOCUS</t>
        </is>
      </c>
      <c r="M196" s="3" t="inlineStr">
        <is>
          <t>ABILITY_PRESSURE</t>
        </is>
      </c>
    </row>
    <row r="197">
      <c r="A197" s="3" t="inlineStr">
        <is>
          <t>SPECIES_KINGAMBIT</t>
        </is>
      </c>
      <c r="B197" s="3" t="inlineStr">
        <is>
          <t>Kingambit</t>
        </is>
      </c>
      <c r="C197" s="3" t="inlineStr">
        <is>
          <t>Dark</t>
        </is>
      </c>
      <c r="D197" s="3" t="inlineStr">
        <is>
          <t>Steel</t>
        </is>
      </c>
      <c r="E197" s="3" t="n">
        <v>100</v>
      </c>
      <c r="F197" s="3" t="n">
        <v>135</v>
      </c>
      <c r="G197" s="3" t="n">
        <v>120</v>
      </c>
      <c r="H197" s="3" t="n">
        <v>60</v>
      </c>
      <c r="I197" s="3" t="n">
        <v>85</v>
      </c>
      <c r="J197" s="3" t="n">
        <v>50</v>
      </c>
      <c r="K197" s="3" t="inlineStr">
        <is>
          <t>ABILITY_DEFIANT</t>
        </is>
      </c>
      <c r="L197" s="3" t="inlineStr">
        <is>
          <t>ABILITY_SUPREME_OVERLORD</t>
        </is>
      </c>
      <c r="M197" s="3" t="inlineStr">
        <is>
          <t>ABILITY_PRESSURE</t>
        </is>
      </c>
    </row>
    <row r="198">
      <c r="A198" s="3" t="inlineStr">
        <is>
          <t>SPECIES_RUFFLET</t>
        </is>
      </c>
      <c r="B198" s="3" t="inlineStr">
        <is>
          <t>Rufflet</t>
        </is>
      </c>
      <c r="C198" s="3" t="inlineStr">
        <is>
          <t>Normal</t>
        </is>
      </c>
      <c r="D198" s="3" t="inlineStr">
        <is>
          <t>Flying</t>
        </is>
      </c>
      <c r="E198" s="3" t="n">
        <v>70</v>
      </c>
      <c r="F198" s="3" t="n">
        <v>83</v>
      </c>
      <c r="G198" s="3" t="n">
        <v>50</v>
      </c>
      <c r="H198" s="3" t="n">
        <v>37</v>
      </c>
      <c r="I198" s="3" t="n">
        <v>50</v>
      </c>
      <c r="J198" s="3" t="n">
        <v>60</v>
      </c>
      <c r="K198" s="3" t="inlineStr">
        <is>
          <t>ABILITY_KEEN_EYE</t>
        </is>
      </c>
      <c r="L198" s="3" t="inlineStr">
        <is>
          <t>ABILITY_SHEER_FORCE</t>
        </is>
      </c>
      <c r="M198" s="3" t="inlineStr">
        <is>
          <t>ABILITY_HUSTLE</t>
        </is>
      </c>
    </row>
    <row r="199">
      <c r="A199" s="3" t="inlineStr">
        <is>
          <t>SPECIES_BRAVIARY</t>
        </is>
      </c>
      <c r="B199" s="3" t="inlineStr">
        <is>
          <t>Braviary</t>
        </is>
      </c>
      <c r="C199" s="3" t="inlineStr">
        <is>
          <t>Fighting</t>
        </is>
      </c>
      <c r="D199" s="3" t="inlineStr">
        <is>
          <t>Flying</t>
        </is>
      </c>
      <c r="E199" s="3" t="n">
        <v>100</v>
      </c>
      <c r="F199" s="3" t="n">
        <v>123</v>
      </c>
      <c r="G199" s="3" t="n">
        <v>75</v>
      </c>
      <c r="H199" s="3" t="n">
        <v>57</v>
      </c>
      <c r="I199" s="3" t="n">
        <v>75</v>
      </c>
      <c r="J199" s="3" t="n">
        <v>80</v>
      </c>
      <c r="K199" s="3" t="inlineStr">
        <is>
          <t>ABILITY_KEEN_EYE</t>
        </is>
      </c>
      <c r="L199" s="3" t="inlineStr">
        <is>
          <t>ABILITY_SHEER_FORCE</t>
        </is>
      </c>
      <c r="M199" s="3" t="inlineStr">
        <is>
          <t>ABILITY_DEFIANT</t>
        </is>
      </c>
    </row>
    <row r="200">
      <c r="A200" s="3" t="inlineStr">
        <is>
          <t>SPECIES_BRAVIARY_HISUI</t>
        </is>
      </c>
      <c r="B200" s="3" t="inlineStr">
        <is>
          <t>Braviary-Hisui</t>
        </is>
      </c>
      <c r="C200" s="3" t="inlineStr">
        <is>
          <t>Flying</t>
        </is>
      </c>
      <c r="D200" s="3" t="inlineStr">
        <is>
          <t>Psychic</t>
        </is>
      </c>
      <c r="E200" s="3" t="n">
        <v>110</v>
      </c>
      <c r="F200" s="3" t="n">
        <v>83</v>
      </c>
      <c r="G200" s="3" t="n">
        <v>70</v>
      </c>
      <c r="H200" s="3" t="n">
        <v>112</v>
      </c>
      <c r="I200" s="3" t="n">
        <v>70</v>
      </c>
      <c r="J200" s="3" t="n">
        <v>65</v>
      </c>
      <c r="K200" s="3" t="inlineStr">
        <is>
          <t>ABILITY_KEEN_EYE</t>
        </is>
      </c>
      <c r="L200" s="3" t="inlineStr">
        <is>
          <t>ABILITY_SHEER_FORCE</t>
        </is>
      </c>
      <c r="M200" s="3" t="inlineStr">
        <is>
          <t>ABILITY_TINTED_LENS</t>
        </is>
      </c>
    </row>
    <row r="201">
      <c r="A201" s="3" t="inlineStr">
        <is>
          <t>SPECIES_DEINO</t>
        </is>
      </c>
      <c r="B201" s="3" t="inlineStr">
        <is>
          <t>Deino</t>
        </is>
      </c>
      <c r="C201" s="3" t="inlineStr">
        <is>
          <t>Dark</t>
        </is>
      </c>
      <c r="D201" s="3" t="inlineStr">
        <is>
          <t>Dragon</t>
        </is>
      </c>
      <c r="E201" s="3" t="n">
        <v>52</v>
      </c>
      <c r="F201" s="3" t="n">
        <v>65</v>
      </c>
      <c r="G201" s="3" t="n">
        <v>50</v>
      </c>
      <c r="H201" s="3" t="n">
        <v>45</v>
      </c>
      <c r="I201" s="3" t="n">
        <v>50</v>
      </c>
      <c r="J201" s="3" t="n">
        <v>38</v>
      </c>
      <c r="K201" s="3" t="inlineStr">
        <is>
          <t>ABILITY_HUSTLE</t>
        </is>
      </c>
      <c r="L201" s="3" t="inlineStr"/>
      <c r="M201" s="3" t="inlineStr"/>
    </row>
    <row r="202">
      <c r="A202" s="3" t="inlineStr">
        <is>
          <t>SPECIES_ZWEILOUS</t>
        </is>
      </c>
      <c r="B202" s="3" t="inlineStr">
        <is>
          <t>Zweilous</t>
        </is>
      </c>
      <c r="C202" s="3" t="inlineStr">
        <is>
          <t>Dark</t>
        </is>
      </c>
      <c r="D202" s="3" t="inlineStr">
        <is>
          <t>Dragon</t>
        </is>
      </c>
      <c r="E202" s="3" t="n">
        <v>72</v>
      </c>
      <c r="F202" s="3" t="n">
        <v>85</v>
      </c>
      <c r="G202" s="3" t="n">
        <v>70</v>
      </c>
      <c r="H202" s="3" t="n">
        <v>65</v>
      </c>
      <c r="I202" s="3" t="n">
        <v>70</v>
      </c>
      <c r="J202" s="3" t="n">
        <v>58</v>
      </c>
      <c r="K202" s="3" t="inlineStr">
        <is>
          <t>ABILITY_HUSTLE</t>
        </is>
      </c>
      <c r="L202" s="3" t="inlineStr"/>
      <c r="M202" s="3" t="inlineStr"/>
    </row>
    <row r="203">
      <c r="A203" s="3" t="inlineStr">
        <is>
          <t>SPECIES_HYDREIGON</t>
        </is>
      </c>
      <c r="B203" s="3" t="inlineStr">
        <is>
          <t>Hydreigon</t>
        </is>
      </c>
      <c r="C203" s="3" t="inlineStr">
        <is>
          <t>Dark</t>
        </is>
      </c>
      <c r="D203" s="3" t="inlineStr">
        <is>
          <t>Dragon</t>
        </is>
      </c>
      <c r="E203" s="3" t="n">
        <v>92</v>
      </c>
      <c r="F203" s="3" t="n">
        <v>105</v>
      </c>
      <c r="G203" s="3" t="n">
        <v>90</v>
      </c>
      <c r="H203" s="3" t="n">
        <v>125</v>
      </c>
      <c r="I203" s="3" t="n">
        <v>90</v>
      </c>
      <c r="J203" s="3" t="n">
        <v>98</v>
      </c>
      <c r="K203" s="3" t="inlineStr">
        <is>
          <t>ABILITY_LEVITATE</t>
        </is>
      </c>
      <c r="L203" s="3" t="inlineStr"/>
      <c r="M203" s="3" t="inlineStr"/>
    </row>
    <row r="204">
      <c r="A204" s="3" t="inlineStr">
        <is>
          <t>SPECIES_CHESPIN</t>
        </is>
      </c>
      <c r="B204" s="3" t="inlineStr">
        <is>
          <t>Chespin</t>
        </is>
      </c>
      <c r="C204" s="3" t="inlineStr">
        <is>
          <t>Grass</t>
        </is>
      </c>
      <c r="D204" s="3" t="inlineStr"/>
      <c r="E204" s="3" t="n">
        <v>56</v>
      </c>
      <c r="F204" s="3" t="n">
        <v>61</v>
      </c>
      <c r="G204" s="3" t="n">
        <v>65</v>
      </c>
      <c r="H204" s="3" t="n">
        <v>48</v>
      </c>
      <c r="I204" s="3" t="n">
        <v>45</v>
      </c>
      <c r="J204" s="3" t="n">
        <v>38</v>
      </c>
      <c r="K204" s="3" t="inlineStr">
        <is>
          <t>ABILITY_OVERGROW</t>
        </is>
      </c>
      <c r="L204" s="3" t="inlineStr">
        <is>
          <t>ABILITY_BULLETPROOF</t>
        </is>
      </c>
      <c r="M204" s="3" t="inlineStr"/>
    </row>
    <row r="205">
      <c r="A205" s="3" t="inlineStr">
        <is>
          <t>SPECIES_QUILLADIN</t>
        </is>
      </c>
      <c r="B205" s="3" t="inlineStr">
        <is>
          <t>Quilladin</t>
        </is>
      </c>
      <c r="C205" s="3" t="inlineStr">
        <is>
          <t>Grass</t>
        </is>
      </c>
      <c r="D205" s="3" t="inlineStr"/>
      <c r="E205" s="3" t="n">
        <v>61</v>
      </c>
      <c r="F205" s="3" t="n">
        <v>78</v>
      </c>
      <c r="G205" s="3" t="n">
        <v>95</v>
      </c>
      <c r="H205" s="3" t="n">
        <v>56</v>
      </c>
      <c r="I205" s="3" t="n">
        <v>58</v>
      </c>
      <c r="J205" s="3" t="n">
        <v>57</v>
      </c>
      <c r="K205" s="3" t="inlineStr">
        <is>
          <t>ABILITY_OVERGROW</t>
        </is>
      </c>
      <c r="L205" s="3" t="inlineStr">
        <is>
          <t>ABILITY_BULLETPROOF</t>
        </is>
      </c>
      <c r="M205" s="3" t="inlineStr"/>
    </row>
    <row r="206">
      <c r="A206" s="3" t="inlineStr">
        <is>
          <t>SPECIES_CHESNAUGHT</t>
        </is>
      </c>
      <c r="B206" s="3" t="inlineStr">
        <is>
          <t>Chesnaught</t>
        </is>
      </c>
      <c r="C206" s="3" t="inlineStr">
        <is>
          <t>Grass</t>
        </is>
      </c>
      <c r="D206" s="3" t="inlineStr">
        <is>
          <t>Fighting</t>
        </is>
      </c>
      <c r="E206" s="3" t="n">
        <v>88</v>
      </c>
      <c r="F206" s="3" t="n">
        <v>107</v>
      </c>
      <c r="G206" s="3" t="n">
        <v>122</v>
      </c>
      <c r="H206" s="3" t="n">
        <v>74</v>
      </c>
      <c r="I206" s="3" t="n">
        <v>75</v>
      </c>
      <c r="J206" s="3" t="n">
        <v>64</v>
      </c>
      <c r="K206" s="3" t="inlineStr">
        <is>
          <t>ABILITY_OVERGROW</t>
        </is>
      </c>
      <c r="L206" s="3" t="inlineStr">
        <is>
          <t>ABILITY_BULLETPROOF</t>
        </is>
      </c>
      <c r="M206" s="3" t="inlineStr"/>
    </row>
    <row r="207">
      <c r="A207" s="3" t="inlineStr">
        <is>
          <t>SPECIES_FENNEKIN</t>
        </is>
      </c>
      <c r="B207" s="3" t="inlineStr">
        <is>
          <t>Fennekin</t>
        </is>
      </c>
      <c r="C207" s="3" t="inlineStr">
        <is>
          <t>Fire</t>
        </is>
      </c>
      <c r="D207" s="3" t="inlineStr"/>
      <c r="E207" s="3" t="n">
        <v>40</v>
      </c>
      <c r="F207" s="3" t="n">
        <v>45</v>
      </c>
      <c r="G207" s="3" t="n">
        <v>40</v>
      </c>
      <c r="H207" s="3" t="n">
        <v>62</v>
      </c>
      <c r="I207" s="3" t="n">
        <v>60</v>
      </c>
      <c r="J207" s="3" t="n">
        <v>60</v>
      </c>
      <c r="K207" s="3" t="inlineStr">
        <is>
          <t>ABILITY_BLAZE</t>
        </is>
      </c>
      <c r="L207" s="3" t="inlineStr">
        <is>
          <t>ABILITY_MAGICIAN</t>
        </is>
      </c>
      <c r="M207" s="3" t="inlineStr"/>
    </row>
    <row r="208">
      <c r="A208" s="3" t="inlineStr">
        <is>
          <t>SPECIES_BRAIXEN</t>
        </is>
      </c>
      <c r="B208" s="3" t="inlineStr">
        <is>
          <t>Braixen</t>
        </is>
      </c>
      <c r="C208" s="3" t="inlineStr">
        <is>
          <t>Fire</t>
        </is>
      </c>
      <c r="D208" s="3" t="inlineStr"/>
      <c r="E208" s="3" t="n">
        <v>59</v>
      </c>
      <c r="F208" s="3" t="n">
        <v>59</v>
      </c>
      <c r="G208" s="3" t="n">
        <v>58</v>
      </c>
      <c r="H208" s="3" t="n">
        <v>90</v>
      </c>
      <c r="I208" s="3" t="n">
        <v>70</v>
      </c>
      <c r="J208" s="3" t="n">
        <v>73</v>
      </c>
      <c r="K208" s="3" t="inlineStr">
        <is>
          <t>ABILITY_BLAZE</t>
        </is>
      </c>
      <c r="L208" s="3" t="inlineStr">
        <is>
          <t>ABILITY_MAGICIAN</t>
        </is>
      </c>
      <c r="M208" s="3" t="inlineStr"/>
    </row>
    <row r="209">
      <c r="A209" s="3" t="inlineStr">
        <is>
          <t>SPECIES_DELPHOX</t>
        </is>
      </c>
      <c r="B209" s="3" t="inlineStr">
        <is>
          <t>Delphox</t>
        </is>
      </c>
      <c r="C209" s="3" t="inlineStr">
        <is>
          <t>Fire</t>
        </is>
      </c>
      <c r="D209" s="3" t="inlineStr">
        <is>
          <t>Psychic</t>
        </is>
      </c>
      <c r="E209" s="3" t="n">
        <v>75</v>
      </c>
      <c r="F209" s="3" t="n">
        <v>69</v>
      </c>
      <c r="G209" s="3" t="n">
        <v>72</v>
      </c>
      <c r="H209" s="3" t="n">
        <v>114</v>
      </c>
      <c r="I209" s="3" t="n">
        <v>100</v>
      </c>
      <c r="J209" s="3" t="n">
        <v>104</v>
      </c>
      <c r="K209" s="3" t="inlineStr">
        <is>
          <t>ABILITY_BLAZE</t>
        </is>
      </c>
      <c r="L209" s="3" t="inlineStr">
        <is>
          <t>ABILITY_MAGICIAN</t>
        </is>
      </c>
      <c r="M209" s="3" t="inlineStr"/>
    </row>
    <row r="210">
      <c r="A210" s="3" t="inlineStr">
        <is>
          <t>SPECIES_FROAKIE</t>
        </is>
      </c>
      <c r="B210" s="3" t="inlineStr">
        <is>
          <t>Froakie</t>
        </is>
      </c>
      <c r="C210" s="3" t="inlineStr">
        <is>
          <t>Water</t>
        </is>
      </c>
      <c r="D210" s="3" t="inlineStr"/>
      <c r="E210" s="3" t="n">
        <v>41</v>
      </c>
      <c r="F210" s="3" t="n">
        <v>56</v>
      </c>
      <c r="G210" s="3" t="n">
        <v>40</v>
      </c>
      <c r="H210" s="3" t="n">
        <v>62</v>
      </c>
      <c r="I210" s="3" t="n">
        <v>44</v>
      </c>
      <c r="J210" s="3" t="n">
        <v>71</v>
      </c>
      <c r="K210" s="3" t="inlineStr">
        <is>
          <t>ABILITY_TORRENT</t>
        </is>
      </c>
      <c r="L210" s="3" t="inlineStr">
        <is>
          <t>ABILITY_PROTEAN</t>
        </is>
      </c>
      <c r="M210" s="3" t="inlineStr"/>
    </row>
    <row r="211">
      <c r="A211" s="3" t="inlineStr">
        <is>
          <t>SPECIES_FROGADIER</t>
        </is>
      </c>
      <c r="B211" s="3" t="inlineStr">
        <is>
          <t>Frogadier</t>
        </is>
      </c>
      <c r="C211" s="3" t="inlineStr">
        <is>
          <t>Water</t>
        </is>
      </c>
      <c r="D211" s="3" t="inlineStr"/>
      <c r="E211" s="3" t="n">
        <v>54</v>
      </c>
      <c r="F211" s="3" t="n">
        <v>63</v>
      </c>
      <c r="G211" s="3" t="n">
        <v>52</v>
      </c>
      <c r="H211" s="3" t="n">
        <v>83</v>
      </c>
      <c r="I211" s="3" t="n">
        <v>56</v>
      </c>
      <c r="J211" s="3" t="n">
        <v>97</v>
      </c>
      <c r="K211" s="3" t="inlineStr">
        <is>
          <t>ABILITY_TORRENT</t>
        </is>
      </c>
      <c r="L211" s="3" t="inlineStr">
        <is>
          <t>ABILITY_PROTEAN</t>
        </is>
      </c>
      <c r="M211" s="3" t="inlineStr"/>
    </row>
    <row r="212">
      <c r="A212" s="3" t="inlineStr">
        <is>
          <t>SPECIES_GRENINJA</t>
        </is>
      </c>
      <c r="B212" s="3" t="inlineStr">
        <is>
          <t>Greninja</t>
        </is>
      </c>
      <c r="C212" s="3" t="inlineStr">
        <is>
          <t>Water</t>
        </is>
      </c>
      <c r="D212" s="3" t="inlineStr">
        <is>
          <t>Dark</t>
        </is>
      </c>
      <c r="E212" s="3" t="n">
        <v>72</v>
      </c>
      <c r="F212" s="3" t="n">
        <v>95</v>
      </c>
      <c r="G212" s="3" t="n">
        <v>67</v>
      </c>
      <c r="H212" s="3" t="n">
        <v>103</v>
      </c>
      <c r="I212" s="3" t="n">
        <v>71</v>
      </c>
      <c r="J212" s="3" t="n">
        <v>122</v>
      </c>
      <c r="K212" s="3" t="inlineStr">
        <is>
          <t>ABILITY_TORRENT</t>
        </is>
      </c>
      <c r="L212" s="3" t="inlineStr">
        <is>
          <t>ABILITY_PROTEAN</t>
        </is>
      </c>
      <c r="M212" s="3" t="inlineStr"/>
    </row>
    <row r="213">
      <c r="A213" s="3" t="inlineStr">
        <is>
          <t>SPECIES_FLETCHLING</t>
        </is>
      </c>
      <c r="B213" s="3" t="inlineStr">
        <is>
          <t>Fletchling</t>
        </is>
      </c>
      <c r="C213" s="3" t="inlineStr">
        <is>
          <t>Normal</t>
        </is>
      </c>
      <c r="D213" s="3" t="inlineStr">
        <is>
          <t>Flying</t>
        </is>
      </c>
      <c r="E213" s="3" t="n">
        <v>45</v>
      </c>
      <c r="F213" s="3" t="n">
        <v>50</v>
      </c>
      <c r="G213" s="3" t="n">
        <v>43</v>
      </c>
      <c r="H213" s="3" t="n">
        <v>40</v>
      </c>
      <c r="I213" s="3" t="n">
        <v>38</v>
      </c>
      <c r="J213" s="3" t="n">
        <v>62</v>
      </c>
      <c r="K213" s="3" t="inlineStr">
        <is>
          <t>ABILITY_BIG_PECKS</t>
        </is>
      </c>
      <c r="L213" s="3" t="inlineStr">
        <is>
          <t>ABILITY_GALE_WINGS</t>
        </is>
      </c>
      <c r="M213" s="3" t="inlineStr"/>
    </row>
    <row r="214">
      <c r="A214" s="3" t="inlineStr">
        <is>
          <t>SPECIES_FLETCHINDER</t>
        </is>
      </c>
      <c r="B214" s="3" t="inlineStr">
        <is>
          <t>Fletchinder</t>
        </is>
      </c>
      <c r="C214" s="3" t="inlineStr">
        <is>
          <t>Fire</t>
        </is>
      </c>
      <c r="D214" s="3" t="inlineStr">
        <is>
          <t>Flying</t>
        </is>
      </c>
      <c r="E214" s="3" t="n">
        <v>62</v>
      </c>
      <c r="F214" s="3" t="n">
        <v>73</v>
      </c>
      <c r="G214" s="3" t="n">
        <v>55</v>
      </c>
      <c r="H214" s="3" t="n">
        <v>56</v>
      </c>
      <c r="I214" s="3" t="n">
        <v>52</v>
      </c>
      <c r="J214" s="3" t="n">
        <v>84</v>
      </c>
      <c r="K214" s="3" t="inlineStr">
        <is>
          <t>ABILITY_FLAME_BODY</t>
        </is>
      </c>
      <c r="L214" s="3" t="inlineStr">
        <is>
          <t>ABILITY_GALE_WINGS</t>
        </is>
      </c>
      <c r="M214" s="3" t="inlineStr"/>
    </row>
    <row r="215">
      <c r="A215" s="3" t="inlineStr">
        <is>
          <t>SPECIES_TALONFLAME</t>
        </is>
      </c>
      <c r="B215" s="3" t="inlineStr">
        <is>
          <t>Talonflame</t>
        </is>
      </c>
      <c r="C215" s="3" t="inlineStr">
        <is>
          <t>Fire</t>
        </is>
      </c>
      <c r="D215" s="3" t="inlineStr">
        <is>
          <t>Flying</t>
        </is>
      </c>
      <c r="E215" s="3" t="n">
        <v>78</v>
      </c>
      <c r="F215" s="3" t="n">
        <v>81</v>
      </c>
      <c r="G215" s="3" t="n">
        <v>71</v>
      </c>
      <c r="H215" s="3" t="n">
        <v>74</v>
      </c>
      <c r="I215" s="3" t="n">
        <v>69</v>
      </c>
      <c r="J215" s="3" t="n">
        <v>126</v>
      </c>
      <c r="K215" s="3" t="inlineStr">
        <is>
          <t>ABILITY_FLAME_BODY</t>
        </is>
      </c>
      <c r="L215" s="3" t="inlineStr">
        <is>
          <t>ABILITY_GALE_WINGS</t>
        </is>
      </c>
      <c r="M215" s="3" t="inlineStr"/>
    </row>
    <row r="216">
      <c r="A216" s="3" t="inlineStr">
        <is>
          <t>SPECIES_LITLEO</t>
        </is>
      </c>
      <c r="B216" s="3" t="inlineStr">
        <is>
          <t>Litleo</t>
        </is>
      </c>
      <c r="C216" s="3" t="inlineStr">
        <is>
          <t>Fire</t>
        </is>
      </c>
      <c r="D216" s="3" t="inlineStr">
        <is>
          <t>Normal</t>
        </is>
      </c>
      <c r="E216" s="3" t="n">
        <v>62</v>
      </c>
      <c r="F216" s="3" t="n">
        <v>50</v>
      </c>
      <c r="G216" s="3" t="n">
        <v>58</v>
      </c>
      <c r="H216" s="3" t="n">
        <v>73</v>
      </c>
      <c r="I216" s="3" t="n">
        <v>54</v>
      </c>
      <c r="J216" s="3" t="n">
        <v>72</v>
      </c>
      <c r="K216" s="3" t="inlineStr">
        <is>
          <t>ABILITY_RIVALRY</t>
        </is>
      </c>
      <c r="L216" s="3" t="inlineStr">
        <is>
          <t>ABILITY_UNNERVE</t>
        </is>
      </c>
      <c r="M216" s="3" t="inlineStr">
        <is>
          <t>ABILITY_MOXIE</t>
        </is>
      </c>
    </row>
    <row r="217">
      <c r="A217" s="3" t="inlineStr">
        <is>
          <t>SPECIES_PYROAR</t>
        </is>
      </c>
      <c r="B217" s="3" t="inlineStr">
        <is>
          <t>Pyroar</t>
        </is>
      </c>
      <c r="C217" s="3" t="inlineStr">
        <is>
          <t>Fire</t>
        </is>
      </c>
      <c r="D217" s="3" t="inlineStr">
        <is>
          <t>Normal</t>
        </is>
      </c>
      <c r="E217" s="3" t="n">
        <v>86</v>
      </c>
      <c r="F217" s="3" t="n">
        <v>68</v>
      </c>
      <c r="G217" s="3" t="n">
        <v>72</v>
      </c>
      <c r="H217" s="3" t="n">
        <v>109</v>
      </c>
      <c r="I217" s="3" t="n">
        <v>66</v>
      </c>
      <c r="J217" s="3" t="n">
        <v>106</v>
      </c>
      <c r="K217" s="3" t="inlineStr">
        <is>
          <t>ABILITY_RIVALRY</t>
        </is>
      </c>
      <c r="L217" s="3" t="inlineStr">
        <is>
          <t>ABILITY_UNNERVE</t>
        </is>
      </c>
      <c r="M217" s="3" t="inlineStr">
        <is>
          <t>ABILITY_MOXIE</t>
        </is>
      </c>
    </row>
    <row r="218">
      <c r="A218" s="3" t="inlineStr">
        <is>
          <t>SPECIES_SKIDDO</t>
        </is>
      </c>
      <c r="B218" s="3" t="inlineStr">
        <is>
          <t>Skiddo</t>
        </is>
      </c>
      <c r="C218" s="3" t="inlineStr">
        <is>
          <t>Grass</t>
        </is>
      </c>
      <c r="D218" s="3" t="inlineStr"/>
      <c r="E218" s="3" t="n">
        <v>66</v>
      </c>
      <c r="F218" s="3" t="n">
        <v>65</v>
      </c>
      <c r="G218" s="3" t="n">
        <v>48</v>
      </c>
      <c r="H218" s="3" t="n">
        <v>62</v>
      </c>
      <c r="I218" s="3" t="n">
        <v>57</v>
      </c>
      <c r="J218" s="3" t="n">
        <v>52</v>
      </c>
      <c r="K218" s="3" t="inlineStr">
        <is>
          <t>ABILITY_SAP_SIPPER</t>
        </is>
      </c>
      <c r="L218" s="3" t="inlineStr">
        <is>
          <t>ABILITY_GRASS_PELT</t>
        </is>
      </c>
      <c r="M218" s="3" t="inlineStr"/>
    </row>
    <row r="219">
      <c r="A219" s="3" t="inlineStr">
        <is>
          <t>SPECIES_GOGOAT</t>
        </is>
      </c>
      <c r="B219" s="3" t="inlineStr">
        <is>
          <t>Gogoat</t>
        </is>
      </c>
      <c r="C219" s="3" t="inlineStr">
        <is>
          <t>Grass</t>
        </is>
      </c>
      <c r="D219" s="3" t="inlineStr">
        <is>
          <t>Ground</t>
        </is>
      </c>
      <c r="E219" s="3" t="n">
        <v>123</v>
      </c>
      <c r="F219" s="3" t="n">
        <v>100</v>
      </c>
      <c r="G219" s="3" t="n">
        <v>62</v>
      </c>
      <c r="H219" s="3" t="n">
        <v>97</v>
      </c>
      <c r="I219" s="3" t="n">
        <v>81</v>
      </c>
      <c r="J219" s="3" t="n">
        <v>68</v>
      </c>
      <c r="K219" s="3" t="inlineStr">
        <is>
          <t>ABILITY_SAP_SIPPER</t>
        </is>
      </c>
      <c r="L219" s="3" t="inlineStr">
        <is>
          <t>ABILITY_GRASS_PELT</t>
        </is>
      </c>
      <c r="M219" s="3" t="inlineStr"/>
    </row>
    <row r="220">
      <c r="A220" s="3" t="inlineStr">
        <is>
          <t>SPECIES_PANCHAM</t>
        </is>
      </c>
      <c r="B220" s="3" t="inlineStr">
        <is>
          <t>Pancham</t>
        </is>
      </c>
      <c r="C220" s="3" t="inlineStr">
        <is>
          <t>Fighting</t>
        </is>
      </c>
      <c r="D220" s="3" t="inlineStr"/>
      <c r="E220" s="3" t="n">
        <v>67</v>
      </c>
      <c r="F220" s="3" t="n">
        <v>82</v>
      </c>
      <c r="G220" s="3" t="n">
        <v>62</v>
      </c>
      <c r="H220" s="3" t="n">
        <v>46</v>
      </c>
      <c r="I220" s="3" t="n">
        <v>48</v>
      </c>
      <c r="J220" s="3" t="n">
        <v>43</v>
      </c>
      <c r="K220" s="3" t="inlineStr">
        <is>
          <t>ABILITY_IRON_FIST</t>
        </is>
      </c>
      <c r="L220" s="3" t="inlineStr">
        <is>
          <t>ABILITY_MOLD_BREAKER</t>
        </is>
      </c>
      <c r="M220" s="3" t="inlineStr">
        <is>
          <t>ABILITY_SCRAPPY</t>
        </is>
      </c>
    </row>
    <row r="221">
      <c r="A221" s="3" t="inlineStr">
        <is>
          <t>SPECIES_PANGORO</t>
        </is>
      </c>
      <c r="B221" s="3" t="inlineStr">
        <is>
          <t>Pangoro</t>
        </is>
      </c>
      <c r="C221" s="3" t="inlineStr">
        <is>
          <t>Fighting</t>
        </is>
      </c>
      <c r="D221" s="3" t="inlineStr">
        <is>
          <t>Dark</t>
        </is>
      </c>
      <c r="E221" s="3" t="n">
        <v>95</v>
      </c>
      <c r="F221" s="3" t="n">
        <v>124</v>
      </c>
      <c r="G221" s="3" t="n">
        <v>78</v>
      </c>
      <c r="H221" s="3" t="n">
        <v>69</v>
      </c>
      <c r="I221" s="3" t="n">
        <v>71</v>
      </c>
      <c r="J221" s="3" t="n">
        <v>58</v>
      </c>
      <c r="K221" s="3" t="inlineStr">
        <is>
          <t>ABILITY_IRON_FIST</t>
        </is>
      </c>
      <c r="L221" s="3" t="inlineStr">
        <is>
          <t>ABILITY_MOLD_BREAKER</t>
        </is>
      </c>
      <c r="M221" s="3" t="inlineStr">
        <is>
          <t>ABILITY_SCRAPPY</t>
        </is>
      </c>
    </row>
    <row r="222">
      <c r="A222" s="3" t="inlineStr">
        <is>
          <t>SPECIES_HONEDGE</t>
        </is>
      </c>
      <c r="B222" s="3" t="inlineStr">
        <is>
          <t>Honedge</t>
        </is>
      </c>
      <c r="C222" s="3" t="inlineStr">
        <is>
          <t>Steel</t>
        </is>
      </c>
      <c r="D222" s="3" t="inlineStr">
        <is>
          <t>Ghost</t>
        </is>
      </c>
      <c r="E222" s="3" t="n">
        <v>45</v>
      </c>
      <c r="F222" s="3" t="n">
        <v>80</v>
      </c>
      <c r="G222" s="3" t="n">
        <v>100</v>
      </c>
      <c r="H222" s="3" t="n">
        <v>35</v>
      </c>
      <c r="I222" s="3" t="n">
        <v>37</v>
      </c>
      <c r="J222" s="3" t="n">
        <v>28</v>
      </c>
      <c r="K222" s="3" t="inlineStr">
        <is>
          <t>ABILITY_NO_GUARD</t>
        </is>
      </c>
      <c r="L222" s="3" t="inlineStr"/>
      <c r="M222" s="3" t="inlineStr"/>
    </row>
    <row r="223">
      <c r="A223" s="3" t="inlineStr">
        <is>
          <t>SPECIES_DOUBLADE</t>
        </is>
      </c>
      <c r="B223" s="3" t="inlineStr">
        <is>
          <t>Doublade</t>
        </is>
      </c>
      <c r="C223" s="3" t="inlineStr">
        <is>
          <t>Steel</t>
        </is>
      </c>
      <c r="D223" s="3" t="inlineStr">
        <is>
          <t>Ghost</t>
        </is>
      </c>
      <c r="E223" s="3" t="n">
        <v>59</v>
      </c>
      <c r="F223" s="3" t="n">
        <v>110</v>
      </c>
      <c r="G223" s="3" t="n">
        <v>150</v>
      </c>
      <c r="H223" s="3" t="n">
        <v>45</v>
      </c>
      <c r="I223" s="3" t="n">
        <v>49</v>
      </c>
      <c r="J223" s="3" t="n">
        <v>35</v>
      </c>
      <c r="K223" s="3" t="inlineStr">
        <is>
          <t>ABILITY_NO_GUARD</t>
        </is>
      </c>
      <c r="L223" s="3" t="inlineStr"/>
      <c r="M223" s="3" t="inlineStr"/>
    </row>
    <row r="224">
      <c r="A224" s="3" t="inlineStr">
        <is>
          <t>SPECIES_AEGISLASH_SHIELD</t>
        </is>
      </c>
      <c r="B224" s="3" t="inlineStr">
        <is>
          <t>Aegislash</t>
        </is>
      </c>
      <c r="C224" s="3" t="inlineStr">
        <is>
          <t>Steel</t>
        </is>
      </c>
      <c r="D224" s="3" t="inlineStr">
        <is>
          <t>Ghost</t>
        </is>
      </c>
      <c r="E224" s="3" t="n">
        <v>60</v>
      </c>
      <c r="F224" s="3" t="n">
        <v>50</v>
      </c>
      <c r="G224" s="3" t="n">
        <v>140</v>
      </c>
      <c r="H224" s="3" t="n">
        <v>50</v>
      </c>
      <c r="I224" s="3" t="n">
        <v>140</v>
      </c>
      <c r="J224" s="3" t="n">
        <v>60</v>
      </c>
      <c r="K224" s="3" t="inlineStr">
        <is>
          <t>ABILITY_STANCE_CHANGE</t>
        </is>
      </c>
      <c r="L224" s="3" t="inlineStr"/>
      <c r="M224" s="3" t="inlineStr"/>
    </row>
    <row r="225">
      <c r="A225" s="3" t="inlineStr">
        <is>
          <t>SPECIES_INKAY</t>
        </is>
      </c>
      <c r="B225" s="3" t="inlineStr">
        <is>
          <t>Inkay</t>
        </is>
      </c>
      <c r="C225" s="3" t="inlineStr">
        <is>
          <t>Dark</t>
        </is>
      </c>
      <c r="D225" s="3" t="inlineStr">
        <is>
          <t>Psychic</t>
        </is>
      </c>
      <c r="E225" s="3" t="n">
        <v>53</v>
      </c>
      <c r="F225" s="3" t="n">
        <v>54</v>
      </c>
      <c r="G225" s="3" t="n">
        <v>53</v>
      </c>
      <c r="H225" s="3" t="n">
        <v>37</v>
      </c>
      <c r="I225" s="3" t="n">
        <v>46</v>
      </c>
      <c r="J225" s="3" t="n">
        <v>45</v>
      </c>
      <c r="K225" s="3" t="inlineStr">
        <is>
          <t>ABILITY_CONTRARY</t>
        </is>
      </c>
      <c r="L225" s="3" t="inlineStr">
        <is>
          <t>ABILITY_SUCTION_CUPS</t>
        </is>
      </c>
      <c r="M225" s="3" t="inlineStr">
        <is>
          <t>ABILITY_INFILTRATOR</t>
        </is>
      </c>
    </row>
    <row r="226">
      <c r="A226" s="3" t="inlineStr">
        <is>
          <t>SPECIES_MALAMAR</t>
        </is>
      </c>
      <c r="B226" s="3" t="inlineStr">
        <is>
          <t>Malamar</t>
        </is>
      </c>
      <c r="C226" s="3" t="inlineStr">
        <is>
          <t>Dark</t>
        </is>
      </c>
      <c r="D226" s="3" t="inlineStr">
        <is>
          <t>Psychic</t>
        </is>
      </c>
      <c r="E226" s="3" t="n">
        <v>86</v>
      </c>
      <c r="F226" s="3" t="n">
        <v>92</v>
      </c>
      <c r="G226" s="3" t="n">
        <v>88</v>
      </c>
      <c r="H226" s="3" t="n">
        <v>68</v>
      </c>
      <c r="I226" s="3" t="n">
        <v>75</v>
      </c>
      <c r="J226" s="3" t="n">
        <v>73</v>
      </c>
      <c r="K226" s="3" t="inlineStr">
        <is>
          <t>ABILITY_CONTRARY</t>
        </is>
      </c>
      <c r="L226" s="3" t="inlineStr">
        <is>
          <t>ABILITY_SUCTION_CUPS</t>
        </is>
      </c>
      <c r="M226" s="3" t="inlineStr">
        <is>
          <t>ABILITY_INFILTRATOR</t>
        </is>
      </c>
    </row>
    <row r="227">
      <c r="A227" s="3" t="inlineStr">
        <is>
          <t>SPECIES_SKRELP</t>
        </is>
      </c>
      <c r="B227" s="3" t="inlineStr">
        <is>
          <t>Skrelp</t>
        </is>
      </c>
      <c r="C227" s="3" t="inlineStr">
        <is>
          <t>Poison</t>
        </is>
      </c>
      <c r="D227" s="3" t="inlineStr">
        <is>
          <t>Water</t>
        </is>
      </c>
      <c r="E227" s="3" t="n">
        <v>50</v>
      </c>
      <c r="F227" s="3" t="n">
        <v>60</v>
      </c>
      <c r="G227" s="3" t="n">
        <v>60</v>
      </c>
      <c r="H227" s="3" t="n">
        <v>60</v>
      </c>
      <c r="I227" s="3" t="n">
        <v>60</v>
      </c>
      <c r="J227" s="3" t="n">
        <v>30</v>
      </c>
      <c r="K227" s="3" t="inlineStr">
        <is>
          <t>ABILITY_POISON_POINT</t>
        </is>
      </c>
      <c r="L227" s="3" t="inlineStr">
        <is>
          <t>ABILITY_POISON_TOUCH</t>
        </is>
      </c>
      <c r="M227" s="3" t="inlineStr">
        <is>
          <t>ABILITY_ADAPTABILITY</t>
        </is>
      </c>
    </row>
    <row r="228">
      <c r="A228" s="3" t="inlineStr">
        <is>
          <t>SPECIES_DRAGALGE</t>
        </is>
      </c>
      <c r="B228" s="3" t="inlineStr">
        <is>
          <t>Dragalge</t>
        </is>
      </c>
      <c r="C228" s="3" t="inlineStr">
        <is>
          <t>Poison</t>
        </is>
      </c>
      <c r="D228" s="3" t="inlineStr">
        <is>
          <t>Dragon</t>
        </is>
      </c>
      <c r="E228" s="3" t="n">
        <v>65</v>
      </c>
      <c r="F228" s="3" t="n">
        <v>75</v>
      </c>
      <c r="G228" s="3" t="n">
        <v>90</v>
      </c>
      <c r="H228" s="3" t="n">
        <v>97</v>
      </c>
      <c r="I228" s="3" t="n">
        <v>123</v>
      </c>
      <c r="J228" s="3" t="n">
        <v>44</v>
      </c>
      <c r="K228" s="3" t="inlineStr">
        <is>
          <t>ABILITY_POISON_POINT</t>
        </is>
      </c>
      <c r="L228" s="3" t="inlineStr">
        <is>
          <t>ABILITY_POISON_TOUCH</t>
        </is>
      </c>
      <c r="M228" s="3" t="inlineStr">
        <is>
          <t>ABILITY_ADAPTABILITY</t>
        </is>
      </c>
    </row>
    <row r="229">
      <c r="A229" s="3" t="inlineStr">
        <is>
          <t>SPECIES_CLAUNCHER</t>
        </is>
      </c>
      <c r="B229" s="3" t="inlineStr">
        <is>
          <t>Clauncher</t>
        </is>
      </c>
      <c r="C229" s="3" t="inlineStr">
        <is>
          <t>Water</t>
        </is>
      </c>
      <c r="D229" s="3" t="inlineStr"/>
      <c r="E229" s="3" t="n">
        <v>50</v>
      </c>
      <c r="F229" s="3" t="n">
        <v>53</v>
      </c>
      <c r="G229" s="3" t="n">
        <v>62</v>
      </c>
      <c r="H229" s="3" t="n">
        <v>58</v>
      </c>
      <c r="I229" s="3" t="n">
        <v>63</v>
      </c>
      <c r="J229" s="3" t="n">
        <v>44</v>
      </c>
      <c r="K229" s="3" t="inlineStr">
        <is>
          <t>ABILITY_MEGA_LAUNCHER</t>
        </is>
      </c>
      <c r="L229" s="3" t="inlineStr"/>
      <c r="M229" s="3" t="inlineStr"/>
    </row>
    <row r="230">
      <c r="A230" s="3" t="inlineStr">
        <is>
          <t>SPECIES_CLAWITZER</t>
        </is>
      </c>
      <c r="B230" s="3" t="inlineStr">
        <is>
          <t>Clawitzer</t>
        </is>
      </c>
      <c r="C230" s="3" t="inlineStr">
        <is>
          <t>Water</t>
        </is>
      </c>
      <c r="D230" s="3" t="inlineStr"/>
      <c r="E230" s="3" t="n">
        <v>71</v>
      </c>
      <c r="F230" s="3" t="n">
        <v>73</v>
      </c>
      <c r="G230" s="3" t="n">
        <v>88</v>
      </c>
      <c r="H230" s="3" t="n">
        <v>120</v>
      </c>
      <c r="I230" s="3" t="n">
        <v>89</v>
      </c>
      <c r="J230" s="3" t="n">
        <v>59</v>
      </c>
      <c r="K230" s="3" t="inlineStr">
        <is>
          <t>ABILITY_MEGA_LAUNCHER</t>
        </is>
      </c>
      <c r="L230" s="3" t="inlineStr"/>
      <c r="M230" s="3" t="inlineStr"/>
    </row>
    <row r="231">
      <c r="A231" s="3" t="inlineStr">
        <is>
          <t>SPECIES_HELIOPTILE</t>
        </is>
      </c>
      <c r="B231" s="3" t="inlineStr">
        <is>
          <t>Helioptile</t>
        </is>
      </c>
      <c r="C231" s="3" t="inlineStr">
        <is>
          <t>Electric</t>
        </is>
      </c>
      <c r="D231" s="3" t="inlineStr">
        <is>
          <t>Normal</t>
        </is>
      </c>
      <c r="E231" s="3" t="n">
        <v>44</v>
      </c>
      <c r="F231" s="3" t="n">
        <v>38</v>
      </c>
      <c r="G231" s="3" t="n">
        <v>33</v>
      </c>
      <c r="H231" s="3" t="n">
        <v>61</v>
      </c>
      <c r="I231" s="3" t="n">
        <v>43</v>
      </c>
      <c r="J231" s="3" t="n">
        <v>70</v>
      </c>
      <c r="K231" s="3" t="inlineStr">
        <is>
          <t>ABILITY_DRY_SKIN</t>
        </is>
      </c>
      <c r="L231" s="3" t="inlineStr">
        <is>
          <t>ABILITY_SAND_VEIL</t>
        </is>
      </c>
      <c r="M231" s="3" t="inlineStr">
        <is>
          <t>ABILITY_SOLAR_POWER</t>
        </is>
      </c>
    </row>
    <row r="232">
      <c r="A232" s="3" t="inlineStr">
        <is>
          <t>SPECIES_HELIOLISK</t>
        </is>
      </c>
      <c r="B232" s="3" t="inlineStr">
        <is>
          <t>Heliolisk</t>
        </is>
      </c>
      <c r="C232" s="3" t="inlineStr">
        <is>
          <t>Electric</t>
        </is>
      </c>
      <c r="D232" s="3" t="inlineStr">
        <is>
          <t>Dragon</t>
        </is>
      </c>
      <c r="E232" s="3" t="n">
        <v>62</v>
      </c>
      <c r="F232" s="3" t="n">
        <v>55</v>
      </c>
      <c r="G232" s="3" t="n">
        <v>52</v>
      </c>
      <c r="H232" s="3" t="n">
        <v>109</v>
      </c>
      <c r="I232" s="3" t="n">
        <v>94</v>
      </c>
      <c r="J232" s="3" t="n">
        <v>109</v>
      </c>
      <c r="K232" s="3" t="inlineStr">
        <is>
          <t>ABILITY_DRY_SKIN</t>
        </is>
      </c>
      <c r="L232" s="3" t="inlineStr">
        <is>
          <t>ABILITY_SAND_VEIL</t>
        </is>
      </c>
      <c r="M232" s="3" t="inlineStr">
        <is>
          <t>ABILITY_SOLAR_POWER</t>
        </is>
      </c>
    </row>
    <row r="233">
      <c r="A233" s="3" t="inlineStr">
        <is>
          <t>SPECIES_TYRUNT</t>
        </is>
      </c>
      <c r="B233" s="3" t="inlineStr">
        <is>
          <t>Tyrunt</t>
        </is>
      </c>
      <c r="C233" s="3" t="inlineStr">
        <is>
          <t>Rock</t>
        </is>
      </c>
      <c r="D233" s="3" t="inlineStr">
        <is>
          <t>Dragon</t>
        </is>
      </c>
      <c r="E233" s="3" t="n">
        <v>58</v>
      </c>
      <c r="F233" s="3" t="n">
        <v>89</v>
      </c>
      <c r="G233" s="3" t="n">
        <v>77</v>
      </c>
      <c r="H233" s="3" t="n">
        <v>45</v>
      </c>
      <c r="I233" s="3" t="n">
        <v>45</v>
      </c>
      <c r="J233" s="3" t="n">
        <v>48</v>
      </c>
      <c r="K233" s="3" t="inlineStr">
        <is>
          <t>ABILITY_STRONG_JAW</t>
        </is>
      </c>
      <c r="L233" s="3" t="inlineStr">
        <is>
          <t>ABILITY_STURDY</t>
        </is>
      </c>
      <c r="M233" s="3" t="inlineStr"/>
    </row>
    <row r="234">
      <c r="A234" s="3" t="inlineStr">
        <is>
          <t>SPECIES_TYRANTRUM</t>
        </is>
      </c>
      <c r="B234" s="3" t="inlineStr">
        <is>
          <t>Tyrantrum</t>
        </is>
      </c>
      <c r="C234" s="3" t="inlineStr">
        <is>
          <t>Rock</t>
        </is>
      </c>
      <c r="D234" s="3" t="inlineStr">
        <is>
          <t>Dragon</t>
        </is>
      </c>
      <c r="E234" s="3" t="n">
        <v>82</v>
      </c>
      <c r="F234" s="3" t="n">
        <v>121</v>
      </c>
      <c r="G234" s="3" t="n">
        <v>119</v>
      </c>
      <c r="H234" s="3" t="n">
        <v>69</v>
      </c>
      <c r="I234" s="3" t="n">
        <v>59</v>
      </c>
      <c r="J234" s="3" t="n">
        <v>71</v>
      </c>
      <c r="K234" s="3" t="inlineStr">
        <is>
          <t>ABILITY_STRONG_JAW</t>
        </is>
      </c>
      <c r="L234" s="3" t="inlineStr">
        <is>
          <t>ABILITY_ROCK_HEAD</t>
        </is>
      </c>
      <c r="M234" s="3" t="inlineStr"/>
    </row>
    <row r="235">
      <c r="A235" s="3" t="inlineStr">
        <is>
          <t>SPECIES_AMAURA</t>
        </is>
      </c>
      <c r="B235" s="3" t="inlineStr">
        <is>
          <t>Amaura</t>
        </is>
      </c>
      <c r="C235" s="3" t="inlineStr">
        <is>
          <t>Rock</t>
        </is>
      </c>
      <c r="D235" s="3" t="inlineStr">
        <is>
          <t>Ice</t>
        </is>
      </c>
      <c r="E235" s="3" t="n">
        <v>77</v>
      </c>
      <c r="F235" s="3" t="n">
        <v>59</v>
      </c>
      <c r="G235" s="3" t="n">
        <v>50</v>
      </c>
      <c r="H235" s="3" t="n">
        <v>67</v>
      </c>
      <c r="I235" s="3" t="n">
        <v>63</v>
      </c>
      <c r="J235" s="3" t="n">
        <v>46</v>
      </c>
      <c r="K235" s="3" t="inlineStr">
        <is>
          <t>ABILITY_REFRIGERATE</t>
        </is>
      </c>
      <c r="L235" s="3" t="inlineStr">
        <is>
          <t>ABILITY_SNOW_WARNING</t>
        </is>
      </c>
      <c r="M235" s="3" t="inlineStr"/>
    </row>
    <row r="236">
      <c r="A236" s="3" t="inlineStr">
        <is>
          <t>SPECIES_AURORUS</t>
        </is>
      </c>
      <c r="B236" s="3" t="inlineStr">
        <is>
          <t>Aurorus</t>
        </is>
      </c>
      <c r="C236" s="3" t="inlineStr">
        <is>
          <t>Rock</t>
        </is>
      </c>
      <c r="D236" s="3" t="inlineStr">
        <is>
          <t>Ice</t>
        </is>
      </c>
      <c r="E236" s="3" t="n">
        <v>123</v>
      </c>
      <c r="F236" s="3" t="n">
        <v>77</v>
      </c>
      <c r="G236" s="3" t="n">
        <v>72</v>
      </c>
      <c r="H236" s="3" t="n">
        <v>99</v>
      </c>
      <c r="I236" s="3" t="n">
        <v>92</v>
      </c>
      <c r="J236" s="3" t="n">
        <v>58</v>
      </c>
      <c r="K236" s="3" t="inlineStr">
        <is>
          <t>ABILITY_REFRIGERATE</t>
        </is>
      </c>
      <c r="L236" s="3" t="inlineStr">
        <is>
          <t>ABILITY_SNOW_WARNING</t>
        </is>
      </c>
      <c r="M236" s="3" t="inlineStr"/>
    </row>
    <row r="237">
      <c r="A237" s="3" t="inlineStr">
        <is>
          <t>SPECIES_CARBINK</t>
        </is>
      </c>
      <c r="B237" s="3" t="inlineStr">
        <is>
          <t>Carbink</t>
        </is>
      </c>
      <c r="C237" s="3" t="inlineStr">
        <is>
          <t>Rock</t>
        </is>
      </c>
      <c r="D237" s="3" t="inlineStr">
        <is>
          <t>Fairy</t>
        </is>
      </c>
      <c r="E237" s="3" t="n">
        <v>50</v>
      </c>
      <c r="F237" s="3" t="n">
        <v>50</v>
      </c>
      <c r="G237" s="3" t="n">
        <v>150</v>
      </c>
      <c r="H237" s="3" t="n">
        <v>50</v>
      </c>
      <c r="I237" s="3" t="n">
        <v>150</v>
      </c>
      <c r="J237" s="3" t="n">
        <v>50</v>
      </c>
      <c r="K237" s="3" t="inlineStr">
        <is>
          <t>ABILITY_CLEAR_BODY</t>
        </is>
      </c>
      <c r="L237" s="3" t="inlineStr">
        <is>
          <t>ABILITY_STURDY</t>
        </is>
      </c>
      <c r="M237" s="3" t="inlineStr"/>
    </row>
    <row r="238">
      <c r="A238" s="3" t="inlineStr">
        <is>
          <t>SPECIES_DIANCIE</t>
        </is>
      </c>
      <c r="B238" s="3" t="inlineStr">
        <is>
          <t>Diancie</t>
        </is>
      </c>
      <c r="C238" s="3" t="inlineStr">
        <is>
          <t>Rock</t>
        </is>
      </c>
      <c r="D238" s="3" t="inlineStr">
        <is>
          <t>Fairy</t>
        </is>
      </c>
      <c r="E238" s="3" t="n">
        <v>50</v>
      </c>
      <c r="F238" s="3" t="n">
        <v>100</v>
      </c>
      <c r="G238" s="3" t="n">
        <v>150</v>
      </c>
      <c r="H238" s="3" t="n">
        <v>100</v>
      </c>
      <c r="I238" s="3" t="n">
        <v>150</v>
      </c>
      <c r="J238" s="3" t="n">
        <v>50</v>
      </c>
      <c r="K238" s="3" t="inlineStr">
        <is>
          <t>ABILITY_CLEAR_BODY</t>
        </is>
      </c>
      <c r="L238" s="3" t="inlineStr"/>
      <c r="M238" s="3" t="inlineStr"/>
    </row>
    <row r="239">
      <c r="A239" s="3" t="inlineStr">
        <is>
          <t>SPECIES_PHANTUMP</t>
        </is>
      </c>
      <c r="B239" s="3" t="inlineStr">
        <is>
          <t>Phantump</t>
        </is>
      </c>
      <c r="C239" s="3" t="inlineStr">
        <is>
          <t>Ghost</t>
        </is>
      </c>
      <c r="D239" s="3" t="inlineStr">
        <is>
          <t>Grass</t>
        </is>
      </c>
      <c r="E239" s="3" t="n">
        <v>43</v>
      </c>
      <c r="F239" s="3" t="n">
        <v>70</v>
      </c>
      <c r="G239" s="3" t="n">
        <v>48</v>
      </c>
      <c r="H239" s="3" t="n">
        <v>50</v>
      </c>
      <c r="I239" s="3" t="n">
        <v>60</v>
      </c>
      <c r="J239" s="3" t="n">
        <v>38</v>
      </c>
      <c r="K239" s="3" t="inlineStr">
        <is>
          <t>ABILITY_NATURAL_CURE</t>
        </is>
      </c>
      <c r="L239" s="3" t="inlineStr">
        <is>
          <t>ABILITY_FRISK</t>
        </is>
      </c>
      <c r="M239" s="3" t="inlineStr">
        <is>
          <t>ABILITY_HARVEST</t>
        </is>
      </c>
    </row>
    <row r="240">
      <c r="A240" s="3" t="inlineStr">
        <is>
          <t>SPECIES_TREVENANT</t>
        </is>
      </c>
      <c r="B240" s="3" t="inlineStr">
        <is>
          <t>Trevenant</t>
        </is>
      </c>
      <c r="C240" s="3" t="inlineStr">
        <is>
          <t>Ghost</t>
        </is>
      </c>
      <c r="D240" s="3" t="inlineStr">
        <is>
          <t>Grass</t>
        </is>
      </c>
      <c r="E240" s="3" t="n">
        <v>85</v>
      </c>
      <c r="F240" s="3" t="n">
        <v>110</v>
      </c>
      <c r="G240" s="3" t="n">
        <v>76</v>
      </c>
      <c r="H240" s="3" t="n">
        <v>65</v>
      </c>
      <c r="I240" s="3" t="n">
        <v>82</v>
      </c>
      <c r="J240" s="3" t="n">
        <v>56</v>
      </c>
      <c r="K240" s="3" t="inlineStr">
        <is>
          <t>ABILITY_NATURAL_CURE</t>
        </is>
      </c>
      <c r="L240" s="3" t="inlineStr">
        <is>
          <t>ABILITY_FRISK</t>
        </is>
      </c>
      <c r="M240" s="3" t="inlineStr">
        <is>
          <t>ABILITY_HARVEST</t>
        </is>
      </c>
    </row>
    <row r="241">
      <c r="A241" s="3" t="inlineStr">
        <is>
          <t>SPECIES_NOIBAT</t>
        </is>
      </c>
      <c r="B241" s="3" t="inlineStr">
        <is>
          <t>Noibat</t>
        </is>
      </c>
      <c r="C241" s="3" t="inlineStr">
        <is>
          <t>Flying</t>
        </is>
      </c>
      <c r="D241" s="3" t="inlineStr">
        <is>
          <t>Dragon</t>
        </is>
      </c>
      <c r="E241" s="3" t="n">
        <v>40</v>
      </c>
      <c r="F241" s="3" t="n">
        <v>30</v>
      </c>
      <c r="G241" s="3" t="n">
        <v>35</v>
      </c>
      <c r="H241" s="3" t="n">
        <v>45</v>
      </c>
      <c r="I241" s="3" t="n">
        <v>40</v>
      </c>
      <c r="J241" s="3" t="n">
        <v>55</v>
      </c>
      <c r="K241" s="3" t="inlineStr">
        <is>
          <t>ABILITY_FRISK</t>
        </is>
      </c>
      <c r="L241" s="3" t="inlineStr">
        <is>
          <t>ABILITY_INFILTRATOR</t>
        </is>
      </c>
      <c r="M241" s="3" t="inlineStr">
        <is>
          <t>ABILITY_TELEPATHY</t>
        </is>
      </c>
    </row>
    <row r="242">
      <c r="A242" s="3" t="inlineStr">
        <is>
          <t>SPECIES_NOIVERN</t>
        </is>
      </c>
      <c r="B242" s="3" t="inlineStr">
        <is>
          <t>Noivern</t>
        </is>
      </c>
      <c r="C242" s="3" t="inlineStr">
        <is>
          <t>Flying</t>
        </is>
      </c>
      <c r="D242" s="3" t="inlineStr">
        <is>
          <t>Dragon</t>
        </is>
      </c>
      <c r="E242" s="3" t="n">
        <v>85</v>
      </c>
      <c r="F242" s="3" t="n">
        <v>70</v>
      </c>
      <c r="G242" s="3" t="n">
        <v>80</v>
      </c>
      <c r="H242" s="3" t="n">
        <v>97</v>
      </c>
      <c r="I242" s="3" t="n">
        <v>80</v>
      </c>
      <c r="J242" s="3" t="n">
        <v>123</v>
      </c>
      <c r="K242" s="3" t="inlineStr">
        <is>
          <t>ABILITY_FRISK</t>
        </is>
      </c>
      <c r="L242" s="3" t="inlineStr">
        <is>
          <t>ABILITY_INFILTRATOR</t>
        </is>
      </c>
      <c r="M242" s="3" t="inlineStr">
        <is>
          <t>ABILITY_TELEPATHY</t>
        </is>
      </c>
    </row>
    <row r="243">
      <c r="A243" s="3" t="inlineStr">
        <is>
          <t>SPECIES_GRUBBIN</t>
        </is>
      </c>
      <c r="B243" s="3" t="inlineStr">
        <is>
          <t>Grubbin</t>
        </is>
      </c>
      <c r="C243" s="3" t="inlineStr">
        <is>
          <t>Bug</t>
        </is>
      </c>
      <c r="D243" s="3" t="inlineStr"/>
      <c r="E243" s="3" t="n">
        <v>47</v>
      </c>
      <c r="F243" s="3" t="n">
        <v>62</v>
      </c>
      <c r="G243" s="3" t="n">
        <v>45</v>
      </c>
      <c r="H243" s="3" t="n">
        <v>55</v>
      </c>
      <c r="I243" s="3" t="n">
        <v>45</v>
      </c>
      <c r="J243" s="3" t="n">
        <v>46</v>
      </c>
      <c r="K243" s="3" t="inlineStr">
        <is>
          <t>ABILITY_SWARM</t>
        </is>
      </c>
      <c r="L243" s="3" t="inlineStr"/>
      <c r="M243" s="3" t="inlineStr"/>
    </row>
    <row r="244">
      <c r="A244" s="3" t="inlineStr">
        <is>
          <t>SPECIES_CHARJABUG</t>
        </is>
      </c>
      <c r="B244" s="3" t="inlineStr">
        <is>
          <t>Charjabug</t>
        </is>
      </c>
      <c r="C244" s="3" t="inlineStr">
        <is>
          <t>Bug</t>
        </is>
      </c>
      <c r="D244" s="3" t="inlineStr">
        <is>
          <t>Electric</t>
        </is>
      </c>
      <c r="E244" s="3" t="n">
        <v>57</v>
      </c>
      <c r="F244" s="3" t="n">
        <v>82</v>
      </c>
      <c r="G244" s="3" t="n">
        <v>95</v>
      </c>
      <c r="H244" s="3" t="n">
        <v>55</v>
      </c>
      <c r="I244" s="3" t="n">
        <v>75</v>
      </c>
      <c r="J244" s="3" t="n">
        <v>36</v>
      </c>
      <c r="K244" s="3" t="inlineStr">
        <is>
          <t>ABILITY_BATTERY</t>
        </is>
      </c>
      <c r="L244" s="3" t="inlineStr"/>
      <c r="M244" s="3" t="inlineStr"/>
    </row>
    <row r="245">
      <c r="A245" s="3" t="inlineStr">
        <is>
          <t>SPECIES_VIKAVOLT</t>
        </is>
      </c>
      <c r="B245" s="3" t="inlineStr">
        <is>
          <t>Vikavolt</t>
        </is>
      </c>
      <c r="C245" s="3" t="inlineStr">
        <is>
          <t>Bug</t>
        </is>
      </c>
      <c r="D245" s="3" t="inlineStr">
        <is>
          <t>Electric</t>
        </is>
      </c>
      <c r="E245" s="3" t="n">
        <v>77</v>
      </c>
      <c r="F245" s="3" t="n">
        <v>70</v>
      </c>
      <c r="G245" s="3" t="n">
        <v>90</v>
      </c>
      <c r="H245" s="3" t="n">
        <v>145</v>
      </c>
      <c r="I245" s="3" t="n">
        <v>75</v>
      </c>
      <c r="J245" s="3" t="n">
        <v>43</v>
      </c>
      <c r="K245" s="3" t="inlineStr">
        <is>
          <t>ABILITY_LEVITATE</t>
        </is>
      </c>
      <c r="L245" s="3" t="inlineStr"/>
      <c r="M245" s="3" t="inlineStr"/>
    </row>
    <row r="246">
      <c r="A246" s="3" t="inlineStr">
        <is>
          <t>SPECIES_CRABRAWLER</t>
        </is>
      </c>
      <c r="B246" s="3" t="inlineStr">
        <is>
          <t>Crabrawler</t>
        </is>
      </c>
      <c r="C246" s="3" t="inlineStr">
        <is>
          <t>Fighting</t>
        </is>
      </c>
      <c r="D246" s="3" t="inlineStr"/>
      <c r="E246" s="3" t="n">
        <v>47</v>
      </c>
      <c r="F246" s="3" t="n">
        <v>82</v>
      </c>
      <c r="G246" s="3" t="n">
        <v>57</v>
      </c>
      <c r="H246" s="3" t="n">
        <v>42</v>
      </c>
      <c r="I246" s="3" t="n">
        <v>47</v>
      </c>
      <c r="J246" s="3" t="n">
        <v>63</v>
      </c>
      <c r="K246" s="3" t="inlineStr">
        <is>
          <t>ABILITY_HYPER_CUTTER</t>
        </is>
      </c>
      <c r="L246" s="3" t="inlineStr">
        <is>
          <t>ABILITY_IRON_FIST</t>
        </is>
      </c>
      <c r="M246" s="3" t="inlineStr">
        <is>
          <t>ABILITY_ANGER_POINT</t>
        </is>
      </c>
    </row>
    <row r="247">
      <c r="A247" s="3" t="inlineStr">
        <is>
          <t>SPECIES_CRABOMINABLE</t>
        </is>
      </c>
      <c r="B247" s="3" t="inlineStr">
        <is>
          <t>Crabominable</t>
        </is>
      </c>
      <c r="C247" s="3" t="inlineStr">
        <is>
          <t>Fighting</t>
        </is>
      </c>
      <c r="D247" s="3" t="inlineStr">
        <is>
          <t>Ice</t>
        </is>
      </c>
      <c r="E247" s="3" t="n">
        <v>97</v>
      </c>
      <c r="F247" s="3" t="n">
        <v>132</v>
      </c>
      <c r="G247" s="3" t="n">
        <v>77</v>
      </c>
      <c r="H247" s="3" t="n">
        <v>62</v>
      </c>
      <c r="I247" s="3" t="n">
        <v>67</v>
      </c>
      <c r="J247" s="3" t="n">
        <v>43</v>
      </c>
      <c r="K247" s="3" t="inlineStr">
        <is>
          <t>ABILITY_HYPER_CUTTER</t>
        </is>
      </c>
      <c r="L247" s="3" t="inlineStr">
        <is>
          <t>ABILITY_IRON_FIST</t>
        </is>
      </c>
      <c r="M247" s="3" t="inlineStr">
        <is>
          <t>ABILITY_ANGER_POINT</t>
        </is>
      </c>
    </row>
    <row r="248">
      <c r="A248" s="3" t="inlineStr">
        <is>
          <t>SPECIES_CUTIEFLY</t>
        </is>
      </c>
      <c r="B248" s="3" t="inlineStr">
        <is>
          <t>Cutiefly</t>
        </is>
      </c>
      <c r="C248" s="3" t="inlineStr">
        <is>
          <t>Bug</t>
        </is>
      </c>
      <c r="D248" s="3" t="inlineStr">
        <is>
          <t>Fairy</t>
        </is>
      </c>
      <c r="E248" s="3" t="n">
        <v>40</v>
      </c>
      <c r="F248" s="3" t="n">
        <v>45</v>
      </c>
      <c r="G248" s="3" t="n">
        <v>40</v>
      </c>
      <c r="H248" s="3" t="n">
        <v>55</v>
      </c>
      <c r="I248" s="3" t="n">
        <v>40</v>
      </c>
      <c r="J248" s="3" t="n">
        <v>84</v>
      </c>
      <c r="K248" s="3" t="inlineStr">
        <is>
          <t>ABILITY_HONEY_GATHER</t>
        </is>
      </c>
      <c r="L248" s="3" t="inlineStr">
        <is>
          <t>ABILITY_SHIELD_DUST</t>
        </is>
      </c>
      <c r="M248" s="3" t="inlineStr">
        <is>
          <t>ABILITY_SWEET_VEIL</t>
        </is>
      </c>
    </row>
    <row r="249">
      <c r="A249" s="3" t="inlineStr">
        <is>
          <t>SPECIES_RIBOMBEE</t>
        </is>
      </c>
      <c r="B249" s="3" t="inlineStr">
        <is>
          <t>Ribombee</t>
        </is>
      </c>
      <c r="C249" s="3" t="inlineStr">
        <is>
          <t>Bug</t>
        </is>
      </c>
      <c r="D249" s="3" t="inlineStr">
        <is>
          <t>Fairy</t>
        </is>
      </c>
      <c r="E249" s="3" t="n">
        <v>60</v>
      </c>
      <c r="F249" s="3" t="n">
        <v>55</v>
      </c>
      <c r="G249" s="3" t="n">
        <v>60</v>
      </c>
      <c r="H249" s="3" t="n">
        <v>95</v>
      </c>
      <c r="I249" s="3" t="n">
        <v>70</v>
      </c>
      <c r="J249" s="3" t="n">
        <v>124</v>
      </c>
      <c r="K249" s="3" t="inlineStr">
        <is>
          <t>ABILITY_HONEY_GATHER</t>
        </is>
      </c>
      <c r="L249" s="3" t="inlineStr">
        <is>
          <t>ABILITY_SHIELD_DUST</t>
        </is>
      </c>
      <c r="M249" s="3" t="inlineStr">
        <is>
          <t>ABILITY_SWEET_VEIL</t>
        </is>
      </c>
    </row>
    <row r="250">
      <c r="A250" s="3" t="inlineStr">
        <is>
          <t>SPECIES_DEWPIDER</t>
        </is>
      </c>
      <c r="B250" s="3" t="inlineStr">
        <is>
          <t>Dewpider</t>
        </is>
      </c>
      <c r="C250" s="3" t="inlineStr">
        <is>
          <t>Water</t>
        </is>
      </c>
      <c r="D250" s="3" t="inlineStr">
        <is>
          <t>Bug</t>
        </is>
      </c>
      <c r="E250" s="3" t="n">
        <v>38</v>
      </c>
      <c r="F250" s="3" t="n">
        <v>40</v>
      </c>
      <c r="G250" s="3" t="n">
        <v>52</v>
      </c>
      <c r="H250" s="3" t="n">
        <v>40</v>
      </c>
      <c r="I250" s="3" t="n">
        <v>72</v>
      </c>
      <c r="J250" s="3" t="n">
        <v>27</v>
      </c>
      <c r="K250" s="3" t="inlineStr">
        <is>
          <t>ABILITY_WATER_BUBBLE</t>
        </is>
      </c>
      <c r="L250" s="3" t="inlineStr">
        <is>
          <t>ABILITY_WATER_ABSORB</t>
        </is>
      </c>
      <c r="M250" s="3" t="inlineStr"/>
    </row>
    <row r="251">
      <c r="A251" s="3" t="inlineStr">
        <is>
          <t>SPECIES_ARAQUANID</t>
        </is>
      </c>
      <c r="B251" s="3" t="inlineStr">
        <is>
          <t>Araquanid</t>
        </is>
      </c>
      <c r="C251" s="3" t="inlineStr">
        <is>
          <t>Water</t>
        </is>
      </c>
      <c r="D251" s="3" t="inlineStr">
        <is>
          <t>Bug</t>
        </is>
      </c>
      <c r="E251" s="3" t="n">
        <v>68</v>
      </c>
      <c r="F251" s="3" t="n">
        <v>70</v>
      </c>
      <c r="G251" s="3" t="n">
        <v>92</v>
      </c>
      <c r="H251" s="3" t="n">
        <v>50</v>
      </c>
      <c r="I251" s="3" t="n">
        <v>132</v>
      </c>
      <c r="J251" s="3" t="n">
        <v>42</v>
      </c>
      <c r="K251" s="3" t="inlineStr">
        <is>
          <t>ABILITY_WATER_BUBBLE</t>
        </is>
      </c>
      <c r="L251" s="3" t="inlineStr">
        <is>
          <t>ABILITY_WATER_ABSORB</t>
        </is>
      </c>
      <c r="M251" s="3" t="inlineStr"/>
    </row>
    <row r="252">
      <c r="A252" s="3" t="inlineStr">
        <is>
          <t>SPECIES_SALANDIT</t>
        </is>
      </c>
      <c r="B252" s="3" t="inlineStr">
        <is>
          <t>Salandit</t>
        </is>
      </c>
      <c r="C252" s="3" t="inlineStr">
        <is>
          <t>Poison</t>
        </is>
      </c>
      <c r="D252" s="3" t="inlineStr">
        <is>
          <t>Fire</t>
        </is>
      </c>
      <c r="E252" s="3" t="n">
        <v>48</v>
      </c>
      <c r="F252" s="3" t="n">
        <v>44</v>
      </c>
      <c r="G252" s="3" t="n">
        <v>40</v>
      </c>
      <c r="H252" s="3" t="n">
        <v>71</v>
      </c>
      <c r="I252" s="3" t="n">
        <v>40</v>
      </c>
      <c r="J252" s="3" t="n">
        <v>77</v>
      </c>
      <c r="K252" s="3" t="inlineStr">
        <is>
          <t>ABILITY_CORROSION</t>
        </is>
      </c>
      <c r="L252" s="3" t="inlineStr">
        <is>
          <t>ABILITY_OBLIVIOUS</t>
        </is>
      </c>
      <c r="M252" s="3" t="inlineStr"/>
    </row>
    <row r="253">
      <c r="A253" s="3" t="inlineStr">
        <is>
          <t>SPECIES_SALAZZLE</t>
        </is>
      </c>
      <c r="B253" s="3" t="inlineStr">
        <is>
          <t>Salazzle</t>
        </is>
      </c>
      <c r="C253" s="3" t="inlineStr">
        <is>
          <t>Poison</t>
        </is>
      </c>
      <c r="D253" s="3" t="inlineStr">
        <is>
          <t>Fire</t>
        </is>
      </c>
      <c r="E253" s="3" t="n">
        <v>68</v>
      </c>
      <c r="F253" s="3" t="n">
        <v>64</v>
      </c>
      <c r="G253" s="3" t="n">
        <v>60</v>
      </c>
      <c r="H253" s="3" t="n">
        <v>111</v>
      </c>
      <c r="I253" s="3" t="n">
        <v>60</v>
      </c>
      <c r="J253" s="3" t="n">
        <v>117</v>
      </c>
      <c r="K253" s="3" t="inlineStr">
        <is>
          <t>ABILITY_CORROSION</t>
        </is>
      </c>
      <c r="L253" s="3" t="inlineStr">
        <is>
          <t>ABILITY_OBLIVIOUS</t>
        </is>
      </c>
      <c r="M253" s="3" t="inlineStr"/>
    </row>
    <row r="254">
      <c r="A254" s="3" t="inlineStr">
        <is>
          <t>SPECIES_STUFFUL</t>
        </is>
      </c>
      <c r="B254" s="3" t="inlineStr">
        <is>
          <t>Stufful</t>
        </is>
      </c>
      <c r="C254" s="3" t="inlineStr">
        <is>
          <t>Fairy</t>
        </is>
      </c>
      <c r="D254" s="3" t="inlineStr">
        <is>
          <t>Fighting</t>
        </is>
      </c>
      <c r="E254" s="3" t="n">
        <v>70</v>
      </c>
      <c r="F254" s="3" t="n">
        <v>75</v>
      </c>
      <c r="G254" s="3" t="n">
        <v>50</v>
      </c>
      <c r="H254" s="3" t="n">
        <v>45</v>
      </c>
      <c r="I254" s="3" t="n">
        <v>50</v>
      </c>
      <c r="J254" s="3" t="n">
        <v>50</v>
      </c>
      <c r="K254" s="3" t="inlineStr">
        <is>
          <t>ABILITY_FLUFFY</t>
        </is>
      </c>
      <c r="L254" s="3" t="inlineStr">
        <is>
          <t>ABILITY_KLUTZ</t>
        </is>
      </c>
      <c r="M254" s="3" t="inlineStr">
        <is>
          <t>ABILITY_CUTE_CHARM</t>
        </is>
      </c>
    </row>
    <row r="255">
      <c r="A255" s="3" t="inlineStr">
        <is>
          <t>SPECIES_BEWEAR</t>
        </is>
      </c>
      <c r="B255" s="3" t="inlineStr">
        <is>
          <t>Bewear</t>
        </is>
      </c>
      <c r="C255" s="3" t="inlineStr">
        <is>
          <t>Fairy</t>
        </is>
      </c>
      <c r="D255" s="3" t="inlineStr">
        <is>
          <t>Fighting</t>
        </is>
      </c>
      <c r="E255" s="3" t="n">
        <v>120</v>
      </c>
      <c r="F255" s="3" t="n">
        <v>125</v>
      </c>
      <c r="G255" s="3" t="n">
        <v>80</v>
      </c>
      <c r="H255" s="3" t="n">
        <v>55</v>
      </c>
      <c r="I255" s="3" t="n">
        <v>60</v>
      </c>
      <c r="J255" s="3" t="n">
        <v>60</v>
      </c>
      <c r="K255" s="3" t="inlineStr">
        <is>
          <t>ABILITY_FLUFFY</t>
        </is>
      </c>
      <c r="L255" s="3" t="inlineStr">
        <is>
          <t>ABILITY_KLUTZ</t>
        </is>
      </c>
      <c r="M255" s="3" t="inlineStr">
        <is>
          <t>ABILITY_UNNERVE</t>
        </is>
      </c>
    </row>
    <row r="256">
      <c r="A256" s="3" t="inlineStr">
        <is>
          <t>SPECIES_BOUNSWEET</t>
        </is>
      </c>
      <c r="B256" s="3" t="inlineStr">
        <is>
          <t>Bounsweet</t>
        </is>
      </c>
      <c r="C256" s="3" t="inlineStr">
        <is>
          <t>Grass</t>
        </is>
      </c>
      <c r="D256" s="3" t="inlineStr"/>
      <c r="E256" s="3" t="n">
        <v>42</v>
      </c>
      <c r="F256" s="3" t="n">
        <v>30</v>
      </c>
      <c r="G256" s="3" t="n">
        <v>38</v>
      </c>
      <c r="H256" s="3" t="n">
        <v>30</v>
      </c>
      <c r="I256" s="3" t="n">
        <v>38</v>
      </c>
      <c r="J256" s="3" t="n">
        <v>32</v>
      </c>
      <c r="K256" s="3" t="inlineStr">
        <is>
          <t>ABILITY_LEAF_GUARD</t>
        </is>
      </c>
      <c r="L256" s="3" t="inlineStr">
        <is>
          <t>ABILITY_OBLIVIOUS</t>
        </is>
      </c>
      <c r="M256" s="3" t="inlineStr">
        <is>
          <t>ABILITY_SWEET_VEIL</t>
        </is>
      </c>
    </row>
    <row r="257">
      <c r="A257" s="3" t="inlineStr">
        <is>
          <t>SPECIES_STEENEE</t>
        </is>
      </c>
      <c r="B257" s="3" t="inlineStr">
        <is>
          <t>Steenee</t>
        </is>
      </c>
      <c r="C257" s="3" t="inlineStr">
        <is>
          <t>Grass</t>
        </is>
      </c>
      <c r="D257" s="3" t="inlineStr"/>
      <c r="E257" s="3" t="n">
        <v>52</v>
      </c>
      <c r="F257" s="3" t="n">
        <v>40</v>
      </c>
      <c r="G257" s="3" t="n">
        <v>48</v>
      </c>
      <c r="H257" s="3" t="n">
        <v>40</v>
      </c>
      <c r="I257" s="3" t="n">
        <v>48</v>
      </c>
      <c r="J257" s="3" t="n">
        <v>62</v>
      </c>
      <c r="K257" s="3" t="inlineStr">
        <is>
          <t>ABILITY_LEAF_GUARD</t>
        </is>
      </c>
      <c r="L257" s="3" t="inlineStr">
        <is>
          <t>ABILITY_OBLIVIOUS</t>
        </is>
      </c>
      <c r="M257" s="3" t="inlineStr">
        <is>
          <t>ABILITY_SWEET_VEIL</t>
        </is>
      </c>
    </row>
    <row r="258">
      <c r="A258" s="3" t="inlineStr">
        <is>
          <t>SPECIES_TSAREENA</t>
        </is>
      </c>
      <c r="B258" s="3" t="inlineStr">
        <is>
          <t>Tsareena</t>
        </is>
      </c>
      <c r="C258" s="3" t="inlineStr">
        <is>
          <t>Grass</t>
        </is>
      </c>
      <c r="D258" s="3" t="inlineStr">
        <is>
          <t>Fighting</t>
        </is>
      </c>
      <c r="E258" s="3" t="n">
        <v>72</v>
      </c>
      <c r="F258" s="3" t="n">
        <v>120</v>
      </c>
      <c r="G258" s="3" t="n">
        <v>98</v>
      </c>
      <c r="H258" s="3" t="n">
        <v>50</v>
      </c>
      <c r="I258" s="3" t="n">
        <v>98</v>
      </c>
      <c r="J258" s="3" t="n">
        <v>72</v>
      </c>
      <c r="K258" s="3" t="inlineStr">
        <is>
          <t>ABILITY_LEAF_GUARD</t>
        </is>
      </c>
      <c r="L258" s="3" t="inlineStr">
        <is>
          <t>ABILITY_QUEENLY_MAJESTY</t>
        </is>
      </c>
      <c r="M258" s="3" t="inlineStr">
        <is>
          <t>ABILITY_SWEET_VEIL</t>
        </is>
      </c>
    </row>
    <row r="259">
      <c r="A259" s="3" t="inlineStr">
        <is>
          <t>SPECIES_BLIPBUG</t>
        </is>
      </c>
      <c r="B259" s="3" t="inlineStr">
        <is>
          <t>Blipbug</t>
        </is>
      </c>
      <c r="C259" s="3" t="inlineStr">
        <is>
          <t>Bug</t>
        </is>
      </c>
      <c r="D259" s="3" t="inlineStr"/>
      <c r="E259" s="3" t="n">
        <v>25</v>
      </c>
      <c r="F259" s="3" t="n">
        <v>20</v>
      </c>
      <c r="G259" s="3" t="n">
        <v>20</v>
      </c>
      <c r="H259" s="3" t="n">
        <v>25</v>
      </c>
      <c r="I259" s="3" t="n">
        <v>45</v>
      </c>
      <c r="J259" s="3" t="n">
        <v>45</v>
      </c>
      <c r="K259" s="3" t="inlineStr">
        <is>
          <t>ABILITY_SWARM</t>
        </is>
      </c>
      <c r="L259" s="3" t="inlineStr">
        <is>
          <t>ABILITY_COMPOUND_EYES</t>
        </is>
      </c>
      <c r="M259" s="3" t="inlineStr">
        <is>
          <t>ABILITY_TELEPATHY</t>
        </is>
      </c>
    </row>
    <row r="260">
      <c r="A260" s="3" t="inlineStr">
        <is>
          <t>SPECIES_DOTTLER</t>
        </is>
      </c>
      <c r="B260" s="3" t="inlineStr">
        <is>
          <t>Dottler</t>
        </is>
      </c>
      <c r="C260" s="3" t="inlineStr">
        <is>
          <t>Bug</t>
        </is>
      </c>
      <c r="D260" s="3" t="inlineStr">
        <is>
          <t>Psychic</t>
        </is>
      </c>
      <c r="E260" s="3" t="n">
        <v>50</v>
      </c>
      <c r="F260" s="3" t="n">
        <v>35</v>
      </c>
      <c r="G260" s="3" t="n">
        <v>80</v>
      </c>
      <c r="H260" s="3" t="n">
        <v>50</v>
      </c>
      <c r="I260" s="3" t="n">
        <v>90</v>
      </c>
      <c r="J260" s="3" t="n">
        <v>30</v>
      </c>
      <c r="K260" s="3" t="inlineStr">
        <is>
          <t>ABILITY_SWARM</t>
        </is>
      </c>
      <c r="L260" s="3" t="inlineStr">
        <is>
          <t>ABILITY_COMPOUND_EYES</t>
        </is>
      </c>
      <c r="M260" s="3" t="inlineStr">
        <is>
          <t>ABILITY_TELEPATHY</t>
        </is>
      </c>
    </row>
    <row r="261">
      <c r="A261" s="3" t="inlineStr">
        <is>
          <t>SPECIES_ORBEETLE</t>
        </is>
      </c>
      <c r="B261" s="3" t="inlineStr">
        <is>
          <t>Orbeetle</t>
        </is>
      </c>
      <c r="C261" s="3" t="inlineStr">
        <is>
          <t>Bug</t>
        </is>
      </c>
      <c r="D261" s="3" t="inlineStr">
        <is>
          <t>Psychic</t>
        </is>
      </c>
      <c r="E261" s="3" t="n">
        <v>60</v>
      </c>
      <c r="F261" s="3" t="n">
        <v>45</v>
      </c>
      <c r="G261" s="3" t="n">
        <v>110</v>
      </c>
      <c r="H261" s="3" t="n">
        <v>80</v>
      </c>
      <c r="I261" s="3" t="n">
        <v>120</v>
      </c>
      <c r="J261" s="3" t="n">
        <v>90</v>
      </c>
      <c r="K261" s="3" t="inlineStr">
        <is>
          <t>ABILITY_SWARM</t>
        </is>
      </c>
      <c r="L261" s="3" t="inlineStr">
        <is>
          <t>ABILITY_FRISK</t>
        </is>
      </c>
      <c r="M261" s="3" t="inlineStr">
        <is>
          <t>ABILITY_TELEPATHY</t>
        </is>
      </c>
    </row>
    <row r="262">
      <c r="A262" s="3" t="inlineStr">
        <is>
          <t>SPECIES_SILICOBRA</t>
        </is>
      </c>
      <c r="B262" s="3" t="inlineStr">
        <is>
          <t>Silicobra</t>
        </is>
      </c>
      <c r="C262" s="3" t="inlineStr">
        <is>
          <t>Ground</t>
        </is>
      </c>
      <c r="D262" s="3" t="inlineStr"/>
      <c r="E262" s="3" t="n">
        <v>52</v>
      </c>
      <c r="F262" s="3" t="n">
        <v>57</v>
      </c>
      <c r="G262" s="3" t="n">
        <v>75</v>
      </c>
      <c r="H262" s="3" t="n">
        <v>35</v>
      </c>
      <c r="I262" s="3" t="n">
        <v>50</v>
      </c>
      <c r="J262" s="3" t="n">
        <v>46</v>
      </c>
      <c r="K262" s="3" t="inlineStr">
        <is>
          <t>ABILITY_SAND_SPIT</t>
        </is>
      </c>
      <c r="L262" s="3" t="inlineStr">
        <is>
          <t>ABILITY_SHED_SKIN</t>
        </is>
      </c>
      <c r="M262" s="3" t="inlineStr">
        <is>
          <t>ABILITY_SAND_VEIL</t>
        </is>
      </c>
    </row>
    <row r="263">
      <c r="A263" s="3" t="inlineStr">
        <is>
          <t>SPECIES_SANDACONDA</t>
        </is>
      </c>
      <c r="B263" s="3" t="inlineStr">
        <is>
          <t>Sandaconda</t>
        </is>
      </c>
      <c r="C263" s="3" t="inlineStr">
        <is>
          <t>Ground</t>
        </is>
      </c>
      <c r="D263" s="3" t="inlineStr">
        <is>
          <t>Dragon</t>
        </is>
      </c>
      <c r="E263" s="3" t="n">
        <v>72</v>
      </c>
      <c r="F263" s="3" t="n">
        <v>107</v>
      </c>
      <c r="G263" s="3" t="n">
        <v>125</v>
      </c>
      <c r="H263" s="3" t="n">
        <v>65</v>
      </c>
      <c r="I263" s="3" t="n">
        <v>70</v>
      </c>
      <c r="J263" s="3" t="n">
        <v>71</v>
      </c>
      <c r="K263" s="3" t="inlineStr">
        <is>
          <t>ABILITY_SAND_SPIT</t>
        </is>
      </c>
      <c r="L263" s="3" t="inlineStr">
        <is>
          <t>ABILITY_SHED_SKIN</t>
        </is>
      </c>
      <c r="M263" s="3" t="inlineStr">
        <is>
          <t>ABILITY_SAND_VEIL</t>
        </is>
      </c>
    </row>
    <row r="264">
      <c r="A264" s="3" t="inlineStr">
        <is>
          <t>SPECIES_TOXEL</t>
        </is>
      </c>
      <c r="B264" s="3" t="inlineStr">
        <is>
          <t>Toxel</t>
        </is>
      </c>
      <c r="C264" s="3" t="inlineStr">
        <is>
          <t>Electric</t>
        </is>
      </c>
      <c r="D264" s="3" t="inlineStr">
        <is>
          <t>Poison</t>
        </is>
      </c>
      <c r="E264" s="3" t="n">
        <v>40</v>
      </c>
      <c r="F264" s="3" t="n">
        <v>38</v>
      </c>
      <c r="G264" s="3" t="n">
        <v>35</v>
      </c>
      <c r="H264" s="3" t="n">
        <v>54</v>
      </c>
      <c r="I264" s="3" t="n">
        <v>35</v>
      </c>
      <c r="J264" s="3" t="n">
        <v>40</v>
      </c>
      <c r="K264" s="3" t="inlineStr">
        <is>
          <t>ABILITY_RATTLED</t>
        </is>
      </c>
      <c r="L264" s="3" t="inlineStr">
        <is>
          <t>ABILITY_STATIC</t>
        </is>
      </c>
      <c r="M264" s="3" t="inlineStr">
        <is>
          <t>ABILITY_KLUTZ</t>
        </is>
      </c>
    </row>
    <row r="265">
      <c r="A265" s="3" t="inlineStr">
        <is>
          <t>SPECIES_TOXTRICITY_AMPED</t>
        </is>
      </c>
      <c r="B265" s="3" t="inlineStr">
        <is>
          <t>Toxtricity</t>
        </is>
      </c>
      <c r="C265" s="3" t="inlineStr">
        <is>
          <t>Electric</t>
        </is>
      </c>
      <c r="D265" s="3" t="inlineStr">
        <is>
          <t>Poison</t>
        </is>
      </c>
      <c r="E265" s="3" t="n">
        <v>75</v>
      </c>
      <c r="F265" s="3" t="n">
        <v>98</v>
      </c>
      <c r="G265" s="3" t="n">
        <v>70</v>
      </c>
      <c r="H265" s="3" t="n">
        <v>114</v>
      </c>
      <c r="I265" s="3" t="n">
        <v>70</v>
      </c>
      <c r="J265" s="3" t="n">
        <v>75</v>
      </c>
      <c r="K265" s="3" t="inlineStr">
        <is>
          <t>ABILITY_PUNK_ROCK</t>
        </is>
      </c>
      <c r="L265" s="3" t="inlineStr">
        <is>
          <t>ABILITY_PLUS</t>
        </is>
      </c>
      <c r="M265" s="3" t="inlineStr">
        <is>
          <t>ABILITY_TECHNICIAN</t>
        </is>
      </c>
    </row>
    <row r="266">
      <c r="A266" s="3" t="inlineStr">
        <is>
          <t>SPECIES_SIZZLIPEDE</t>
        </is>
      </c>
      <c r="B266" s="3" t="inlineStr">
        <is>
          <t>Sizzlipede</t>
        </is>
      </c>
      <c r="C266" s="3" t="inlineStr">
        <is>
          <t>Fire</t>
        </is>
      </c>
      <c r="D266" s="3" t="inlineStr">
        <is>
          <t>Bug</t>
        </is>
      </c>
      <c r="E266" s="3" t="n">
        <v>50</v>
      </c>
      <c r="F266" s="3" t="n">
        <v>65</v>
      </c>
      <c r="G266" s="3" t="n">
        <v>45</v>
      </c>
      <c r="H266" s="3" t="n">
        <v>50</v>
      </c>
      <c r="I266" s="3" t="n">
        <v>50</v>
      </c>
      <c r="J266" s="3" t="n">
        <v>45</v>
      </c>
      <c r="K266" s="3" t="inlineStr">
        <is>
          <t>ABILITY_FLASH_FIRE</t>
        </is>
      </c>
      <c r="L266" s="3" t="inlineStr">
        <is>
          <t>ABILITY_WHITE_SMOKE</t>
        </is>
      </c>
      <c r="M266" s="3" t="inlineStr">
        <is>
          <t>ABILITY_FLAME_BODY</t>
        </is>
      </c>
    </row>
    <row r="267">
      <c r="A267" s="3" t="inlineStr">
        <is>
          <t>SPECIES_CENTISKORCH</t>
        </is>
      </c>
      <c r="B267" s="3" t="inlineStr">
        <is>
          <t>Centiskorch</t>
        </is>
      </c>
      <c r="C267" s="3" t="inlineStr">
        <is>
          <t>Fire</t>
        </is>
      </c>
      <c r="D267" s="3" t="inlineStr">
        <is>
          <t>Bug</t>
        </is>
      </c>
      <c r="E267" s="3" t="n">
        <v>100</v>
      </c>
      <c r="F267" s="3" t="n">
        <v>115</v>
      </c>
      <c r="G267" s="3" t="n">
        <v>65</v>
      </c>
      <c r="H267" s="3" t="n">
        <v>90</v>
      </c>
      <c r="I267" s="3" t="n">
        <v>90</v>
      </c>
      <c r="J267" s="3" t="n">
        <v>65</v>
      </c>
      <c r="K267" s="3" t="inlineStr">
        <is>
          <t>ABILITY_FLASH_FIRE</t>
        </is>
      </c>
      <c r="L267" s="3" t="inlineStr">
        <is>
          <t>ABILITY_WHITE_SMOKE</t>
        </is>
      </c>
      <c r="M267" s="3" t="inlineStr">
        <is>
          <t>ABILITY_FLAME_BODY</t>
        </is>
      </c>
    </row>
    <row r="268">
      <c r="A268" s="3" t="inlineStr">
        <is>
          <t>SPECIES_CLOBBOPUS</t>
        </is>
      </c>
      <c r="B268" s="3" t="inlineStr">
        <is>
          <t>Clobbopus</t>
        </is>
      </c>
      <c r="C268" s="3" t="inlineStr">
        <is>
          <t>Fighting</t>
        </is>
      </c>
      <c r="D268" s="3" t="inlineStr">
        <is>
          <t>Water</t>
        </is>
      </c>
      <c r="E268" s="3" t="n">
        <v>50</v>
      </c>
      <c r="F268" s="3" t="n">
        <v>68</v>
      </c>
      <c r="G268" s="3" t="n">
        <v>60</v>
      </c>
      <c r="H268" s="3" t="n">
        <v>50</v>
      </c>
      <c r="I268" s="3" t="n">
        <v>50</v>
      </c>
      <c r="J268" s="3" t="n">
        <v>32</v>
      </c>
      <c r="K268" s="3" t="inlineStr">
        <is>
          <t>ABILITY_LIMBER</t>
        </is>
      </c>
      <c r="L268" s="3" t="inlineStr">
        <is>
          <t>ABILITY_TECHNICIAN</t>
        </is>
      </c>
      <c r="M268" s="3" t="inlineStr"/>
    </row>
    <row r="269">
      <c r="A269" s="3" t="inlineStr">
        <is>
          <t>SPECIES_GRAPPLOCT</t>
        </is>
      </c>
      <c r="B269" s="3" t="inlineStr">
        <is>
          <t>Grapploct</t>
        </is>
      </c>
      <c r="C269" s="3" t="inlineStr">
        <is>
          <t>Fighting</t>
        </is>
      </c>
      <c r="D269" s="3" t="inlineStr">
        <is>
          <t>Water</t>
        </is>
      </c>
      <c r="E269" s="3" t="n">
        <v>80</v>
      </c>
      <c r="F269" s="3" t="n">
        <v>118</v>
      </c>
      <c r="G269" s="3" t="n">
        <v>90</v>
      </c>
      <c r="H269" s="3" t="n">
        <v>70</v>
      </c>
      <c r="I269" s="3" t="n">
        <v>80</v>
      </c>
      <c r="J269" s="3" t="n">
        <v>42</v>
      </c>
      <c r="K269" s="3" t="inlineStr">
        <is>
          <t>ABILITY_LIMBER</t>
        </is>
      </c>
      <c r="L269" s="3" t="inlineStr">
        <is>
          <t>ABILITY_TECHNICIAN</t>
        </is>
      </c>
      <c r="M269" s="3" t="inlineStr"/>
    </row>
    <row r="270">
      <c r="A270" s="3" t="inlineStr">
        <is>
          <t>SPECIES_IMPIDIMP</t>
        </is>
      </c>
      <c r="B270" s="3" t="inlineStr">
        <is>
          <t>Impidimp</t>
        </is>
      </c>
      <c r="C270" s="3" t="inlineStr">
        <is>
          <t>Dark</t>
        </is>
      </c>
      <c r="D270" s="3" t="inlineStr">
        <is>
          <t>Fairy</t>
        </is>
      </c>
      <c r="E270" s="3" t="n">
        <v>45</v>
      </c>
      <c r="F270" s="3" t="n">
        <v>45</v>
      </c>
      <c r="G270" s="3" t="n">
        <v>30</v>
      </c>
      <c r="H270" s="3" t="n">
        <v>55</v>
      </c>
      <c r="I270" s="3" t="n">
        <v>40</v>
      </c>
      <c r="J270" s="3" t="n">
        <v>50</v>
      </c>
      <c r="K270" s="3" t="inlineStr">
        <is>
          <t>ABILITY_PRANKSTER</t>
        </is>
      </c>
      <c r="L270" s="3" t="inlineStr">
        <is>
          <t>ABILITY_FRISK</t>
        </is>
      </c>
      <c r="M270" s="3" t="inlineStr">
        <is>
          <t>ABILITY_PICKPOCKET</t>
        </is>
      </c>
    </row>
    <row r="271">
      <c r="A271" s="3" t="inlineStr">
        <is>
          <t>SPECIES_MORGREM</t>
        </is>
      </c>
      <c r="B271" s="3" t="inlineStr">
        <is>
          <t>Morgrem</t>
        </is>
      </c>
      <c r="C271" s="3" t="inlineStr">
        <is>
          <t>Dark</t>
        </is>
      </c>
      <c r="D271" s="3" t="inlineStr">
        <is>
          <t>Fairy</t>
        </is>
      </c>
      <c r="E271" s="3" t="n">
        <v>65</v>
      </c>
      <c r="F271" s="3" t="n">
        <v>60</v>
      </c>
      <c r="G271" s="3" t="n">
        <v>45</v>
      </c>
      <c r="H271" s="3" t="n">
        <v>75</v>
      </c>
      <c r="I271" s="3" t="n">
        <v>55</v>
      </c>
      <c r="J271" s="3" t="n">
        <v>70</v>
      </c>
      <c r="K271" s="3" t="inlineStr">
        <is>
          <t>ABILITY_PRANKSTER</t>
        </is>
      </c>
      <c r="L271" s="3" t="inlineStr">
        <is>
          <t>ABILITY_FRISK</t>
        </is>
      </c>
      <c r="M271" s="3" t="inlineStr">
        <is>
          <t>ABILITY_PICKPOCKET</t>
        </is>
      </c>
    </row>
    <row r="272">
      <c r="A272" s="3" t="inlineStr">
        <is>
          <t>SPECIES_GRIMMSNARL</t>
        </is>
      </c>
      <c r="B272" s="3" t="inlineStr">
        <is>
          <t>Grimmsnarl</t>
        </is>
      </c>
      <c r="C272" s="3" t="inlineStr">
        <is>
          <t>Dark</t>
        </is>
      </c>
      <c r="D272" s="3" t="inlineStr">
        <is>
          <t>Fairy</t>
        </is>
      </c>
      <c r="E272" s="3" t="n">
        <v>95</v>
      </c>
      <c r="F272" s="3" t="n">
        <v>120</v>
      </c>
      <c r="G272" s="3" t="n">
        <v>65</v>
      </c>
      <c r="H272" s="3" t="n">
        <v>95</v>
      </c>
      <c r="I272" s="3" t="n">
        <v>75</v>
      </c>
      <c r="J272" s="3" t="n">
        <v>60</v>
      </c>
      <c r="K272" s="3" t="inlineStr">
        <is>
          <t>ABILITY_PRANKSTER</t>
        </is>
      </c>
      <c r="L272" s="3" t="inlineStr">
        <is>
          <t>ABILITY_FRISK</t>
        </is>
      </c>
      <c r="M272" s="3" t="inlineStr">
        <is>
          <t>ABILITY_PICKPOCKET</t>
        </is>
      </c>
    </row>
    <row r="273">
      <c r="A273" s="3" t="inlineStr">
        <is>
          <t>SPECIES_SNOM</t>
        </is>
      </c>
      <c r="B273" s="3" t="inlineStr">
        <is>
          <t>Snom</t>
        </is>
      </c>
      <c r="C273" s="3" t="inlineStr">
        <is>
          <t>Ice</t>
        </is>
      </c>
      <c r="D273" s="3" t="inlineStr">
        <is>
          <t>Bug</t>
        </is>
      </c>
      <c r="E273" s="3" t="n">
        <v>30</v>
      </c>
      <c r="F273" s="3" t="n">
        <v>25</v>
      </c>
      <c r="G273" s="3" t="n">
        <v>35</v>
      </c>
      <c r="H273" s="3" t="n">
        <v>45</v>
      </c>
      <c r="I273" s="3" t="n">
        <v>30</v>
      </c>
      <c r="J273" s="3" t="n">
        <v>20</v>
      </c>
      <c r="K273" s="3" t="inlineStr">
        <is>
          <t>ABILITY_SHIELD_DUST</t>
        </is>
      </c>
      <c r="L273" s="3" t="inlineStr">
        <is>
          <t>ABILITY_ICE_SCALES</t>
        </is>
      </c>
      <c r="M273" s="3" t="inlineStr"/>
    </row>
    <row r="274">
      <c r="A274" s="3" t="inlineStr">
        <is>
          <t>SPECIES_FROSMOTH</t>
        </is>
      </c>
      <c r="B274" s="3" t="inlineStr">
        <is>
          <t>Frosmoth</t>
        </is>
      </c>
      <c r="C274" s="3" t="inlineStr">
        <is>
          <t>Ice</t>
        </is>
      </c>
      <c r="D274" s="3" t="inlineStr">
        <is>
          <t>Bug</t>
        </is>
      </c>
      <c r="E274" s="3" t="n">
        <v>70</v>
      </c>
      <c r="F274" s="3" t="n">
        <v>65</v>
      </c>
      <c r="G274" s="3" t="n">
        <v>60</v>
      </c>
      <c r="H274" s="3" t="n">
        <v>125</v>
      </c>
      <c r="I274" s="3" t="n">
        <v>90</v>
      </c>
      <c r="J274" s="3" t="n">
        <v>65</v>
      </c>
      <c r="K274" s="3" t="inlineStr">
        <is>
          <t>ABILITY_SHIELD_DUST</t>
        </is>
      </c>
      <c r="L274" s="3" t="inlineStr">
        <is>
          <t>ABILITY_ICE_SCALES</t>
        </is>
      </c>
      <c r="M274" s="3" t="inlineStr"/>
    </row>
    <row r="275">
      <c r="A275" s="3" t="inlineStr">
        <is>
          <t>SPECIES_CUFANT</t>
        </is>
      </c>
      <c r="B275" s="3" t="inlineStr">
        <is>
          <t>Cufant</t>
        </is>
      </c>
      <c r="C275" s="3" t="inlineStr">
        <is>
          <t>Steel</t>
        </is>
      </c>
      <c r="D275" s="3" t="inlineStr"/>
      <c r="E275" s="3" t="n">
        <v>72</v>
      </c>
      <c r="F275" s="3" t="n">
        <v>80</v>
      </c>
      <c r="G275" s="3" t="n">
        <v>49</v>
      </c>
      <c r="H275" s="3" t="n">
        <v>40</v>
      </c>
      <c r="I275" s="3" t="n">
        <v>49</v>
      </c>
      <c r="J275" s="3" t="n">
        <v>40</v>
      </c>
      <c r="K275" s="3" t="inlineStr">
        <is>
          <t>ABILITY_SHEER_FORCE</t>
        </is>
      </c>
      <c r="L275" s="3" t="inlineStr">
        <is>
          <t>ABILITY_HEAVY_METAL</t>
        </is>
      </c>
      <c r="M275" s="3" t="inlineStr"/>
    </row>
    <row r="276">
      <c r="A276" s="3" t="inlineStr">
        <is>
          <t>SPECIES_COPPERAJAH</t>
        </is>
      </c>
      <c r="B276" s="3" t="inlineStr">
        <is>
          <t>Copperajah</t>
        </is>
      </c>
      <c r="C276" s="3" t="inlineStr">
        <is>
          <t>Steel</t>
        </is>
      </c>
      <c r="D276" s="3" t="inlineStr"/>
      <c r="E276" s="3" t="n">
        <v>122</v>
      </c>
      <c r="F276" s="3" t="n">
        <v>130</v>
      </c>
      <c r="G276" s="3" t="n">
        <v>69</v>
      </c>
      <c r="H276" s="3" t="n">
        <v>80</v>
      </c>
      <c r="I276" s="3" t="n">
        <v>69</v>
      </c>
      <c r="J276" s="3" t="n">
        <v>30</v>
      </c>
      <c r="K276" s="3" t="inlineStr">
        <is>
          <t>ABILITY_SHEER_FORCE</t>
        </is>
      </c>
      <c r="L276" s="3" t="inlineStr">
        <is>
          <t>ABILITY_HEAVY_METAL</t>
        </is>
      </c>
      <c r="M276" s="3" t="inlineStr"/>
    </row>
    <row r="277">
      <c r="A277" s="3" t="inlineStr">
        <is>
          <t>SPECIES_DREEPY</t>
        </is>
      </c>
      <c r="B277" s="3" t="inlineStr">
        <is>
          <t>Dreepy</t>
        </is>
      </c>
      <c r="C277" s="3" t="inlineStr">
        <is>
          <t>Dragon</t>
        </is>
      </c>
      <c r="D277" s="3" t="inlineStr">
        <is>
          <t>Ghost</t>
        </is>
      </c>
      <c r="E277" s="3" t="n">
        <v>28</v>
      </c>
      <c r="F277" s="3" t="n">
        <v>60</v>
      </c>
      <c r="G277" s="3" t="n">
        <v>30</v>
      </c>
      <c r="H277" s="3" t="n">
        <v>40</v>
      </c>
      <c r="I277" s="3" t="n">
        <v>30</v>
      </c>
      <c r="J277" s="3" t="n">
        <v>82</v>
      </c>
      <c r="K277" s="3" t="inlineStr">
        <is>
          <t>ABILITY_CLEAR_BODY</t>
        </is>
      </c>
      <c r="L277" s="3" t="inlineStr">
        <is>
          <t>ABILITY_INFILTRATOR</t>
        </is>
      </c>
      <c r="M277" s="3" t="inlineStr">
        <is>
          <t>ABILITY_CURSED_BODY</t>
        </is>
      </c>
    </row>
    <row r="278">
      <c r="A278" s="3" t="inlineStr">
        <is>
          <t>SPECIES_DRAKLOAK</t>
        </is>
      </c>
      <c r="B278" s="3" t="inlineStr">
        <is>
          <t>Drakloak</t>
        </is>
      </c>
      <c r="C278" s="3" t="inlineStr">
        <is>
          <t>Dragon</t>
        </is>
      </c>
      <c r="D278" s="3" t="inlineStr">
        <is>
          <t>Ghost</t>
        </is>
      </c>
      <c r="E278" s="3" t="n">
        <v>68</v>
      </c>
      <c r="F278" s="3" t="n">
        <v>80</v>
      </c>
      <c r="G278" s="3" t="n">
        <v>50</v>
      </c>
      <c r="H278" s="3" t="n">
        <v>60</v>
      </c>
      <c r="I278" s="3" t="n">
        <v>50</v>
      </c>
      <c r="J278" s="3" t="n">
        <v>102</v>
      </c>
      <c r="K278" s="3" t="inlineStr">
        <is>
          <t>ABILITY_CLEAR_BODY</t>
        </is>
      </c>
      <c r="L278" s="3" t="inlineStr">
        <is>
          <t>ABILITY_INFILTRATOR</t>
        </is>
      </c>
      <c r="M278" s="3" t="inlineStr">
        <is>
          <t>ABILITY_CURSED_BODY</t>
        </is>
      </c>
    </row>
    <row r="279">
      <c r="A279" s="3" t="inlineStr">
        <is>
          <t>SPECIES_DRAGAPULT</t>
        </is>
      </c>
      <c r="B279" s="3" t="inlineStr">
        <is>
          <t>Dragapult</t>
        </is>
      </c>
      <c r="C279" s="3" t="inlineStr">
        <is>
          <t>Dragon</t>
        </is>
      </c>
      <c r="D279" s="3" t="inlineStr">
        <is>
          <t>Ghost</t>
        </is>
      </c>
      <c r="E279" s="3" t="n">
        <v>88</v>
      </c>
      <c r="F279" s="3" t="n">
        <v>120</v>
      </c>
      <c r="G279" s="3" t="n">
        <v>75</v>
      </c>
      <c r="H279" s="3" t="n">
        <v>100</v>
      </c>
      <c r="I279" s="3" t="n">
        <v>75</v>
      </c>
      <c r="J279" s="3" t="n">
        <v>142</v>
      </c>
      <c r="K279" s="3" t="inlineStr">
        <is>
          <t>ABILITY_CLEAR_BODY</t>
        </is>
      </c>
      <c r="L279" s="3" t="inlineStr">
        <is>
          <t>ABILITY_INFILTRATOR</t>
        </is>
      </c>
      <c r="M279" s="3" t="inlineStr">
        <is>
          <t>ABILITY_CURSED_BODY</t>
        </is>
      </c>
    </row>
    <row r="280">
      <c r="A280" s="3" t="inlineStr">
        <is>
          <t>SPECIES_BASCULIN_WHITE_STRIPED</t>
        </is>
      </c>
      <c r="B280" s="3" t="inlineStr">
        <is>
          <t>Basculin</t>
        </is>
      </c>
      <c r="C280" s="3" t="inlineStr">
        <is>
          <t>Water</t>
        </is>
      </c>
      <c r="D280" s="3" t="inlineStr"/>
      <c r="E280" s="3" t="n">
        <v>70</v>
      </c>
      <c r="F280" s="3" t="n">
        <v>92</v>
      </c>
      <c r="G280" s="3" t="n">
        <v>65</v>
      </c>
      <c r="H280" s="3" t="n">
        <v>80</v>
      </c>
      <c r="I280" s="3" t="n">
        <v>55</v>
      </c>
      <c r="J280" s="3" t="n">
        <v>98</v>
      </c>
      <c r="K280" s="3" t="inlineStr">
        <is>
          <t>ABILITY_RATTLED</t>
        </is>
      </c>
      <c r="L280" s="3" t="inlineStr">
        <is>
          <t>ABILITY_ADAPTABILITY</t>
        </is>
      </c>
      <c r="M280" s="3" t="inlineStr">
        <is>
          <t>ABILITY_MOLD_BREAKER</t>
        </is>
      </c>
    </row>
    <row r="281">
      <c r="A281" s="3" t="inlineStr">
        <is>
          <t>SPECIES_BASCULEGION_M</t>
        </is>
      </c>
      <c r="B281" s="3" t="inlineStr">
        <is>
          <t>Basculegion</t>
        </is>
      </c>
      <c r="C281" s="3" t="inlineStr">
        <is>
          <t>Water</t>
        </is>
      </c>
      <c r="D281" s="3" t="inlineStr">
        <is>
          <t>Ghost</t>
        </is>
      </c>
      <c r="E281" s="3" t="n">
        <v>120</v>
      </c>
      <c r="F281" s="3" t="n">
        <v>112</v>
      </c>
      <c r="G281" s="3" t="n">
        <v>65</v>
      </c>
      <c r="H281" s="3" t="n">
        <v>80</v>
      </c>
      <c r="I281" s="3" t="n">
        <v>75</v>
      </c>
      <c r="J281" s="3" t="n">
        <v>78</v>
      </c>
      <c r="K281" s="3" t="inlineStr">
        <is>
          <t>ABILITY_SWIFT_SWIM</t>
        </is>
      </c>
      <c r="L281" s="3" t="inlineStr">
        <is>
          <t>ABILITY_ADAPTABILITY</t>
        </is>
      </c>
      <c r="M281" s="3" t="inlineStr">
        <is>
          <t>ABILITY_MOLD_BREAKER</t>
        </is>
      </c>
    </row>
    <row r="282">
      <c r="A282" s="3" t="inlineStr">
        <is>
          <t>SPECIES_NYMBLE</t>
        </is>
      </c>
      <c r="B282" s="3" t="inlineStr">
        <is>
          <t>Nymble</t>
        </is>
      </c>
      <c r="C282" s="3" t="inlineStr">
        <is>
          <t>Bug</t>
        </is>
      </c>
      <c r="D282" s="3" t="inlineStr"/>
      <c r="E282" s="3" t="n">
        <v>33</v>
      </c>
      <c r="F282" s="3" t="n">
        <v>46</v>
      </c>
      <c r="G282" s="3" t="n">
        <v>40</v>
      </c>
      <c r="H282" s="3" t="n">
        <v>21</v>
      </c>
      <c r="I282" s="3" t="n">
        <v>25</v>
      </c>
      <c r="J282" s="3" t="n">
        <v>45</v>
      </c>
      <c r="K282" s="3" t="inlineStr">
        <is>
          <t>ABILITY_SWARM</t>
        </is>
      </c>
      <c r="L282" s="3" t="inlineStr">
        <is>
          <t>ABILITY_TINTED_LENS</t>
        </is>
      </c>
      <c r="M282" s="3" t="inlineStr"/>
    </row>
    <row r="283">
      <c r="A283" s="3" t="inlineStr">
        <is>
          <t>SPECIES_LOKIX</t>
        </is>
      </c>
      <c r="B283" s="3" t="inlineStr">
        <is>
          <t>Lokix</t>
        </is>
      </c>
      <c r="C283" s="3" t="inlineStr">
        <is>
          <t>Bug</t>
        </is>
      </c>
      <c r="D283" s="3" t="inlineStr">
        <is>
          <t>Dark</t>
        </is>
      </c>
      <c r="E283" s="3" t="n">
        <v>71</v>
      </c>
      <c r="F283" s="3" t="n">
        <v>102</v>
      </c>
      <c r="G283" s="3" t="n">
        <v>78</v>
      </c>
      <c r="H283" s="3" t="n">
        <v>52</v>
      </c>
      <c r="I283" s="3" t="n">
        <v>55</v>
      </c>
      <c r="J283" s="3" t="n">
        <v>92</v>
      </c>
      <c r="K283" s="3" t="inlineStr">
        <is>
          <t>ABILITY_SWARM</t>
        </is>
      </c>
      <c r="L283" s="3" t="inlineStr">
        <is>
          <t>ABILITY_TINTED_LENS</t>
        </is>
      </c>
      <c r="M283" s="3" t="inlineStr"/>
    </row>
    <row r="284">
      <c r="A284" s="3" t="inlineStr">
        <is>
          <t>SPECIES_TANDEMAUS</t>
        </is>
      </c>
      <c r="B284" s="3" t="inlineStr">
        <is>
          <t>Tandemaus</t>
        </is>
      </c>
      <c r="C284" s="3" t="inlineStr">
        <is>
          <t>Normal</t>
        </is>
      </c>
      <c r="D284" s="3" t="inlineStr"/>
      <c r="E284" s="3" t="n">
        <v>50</v>
      </c>
      <c r="F284" s="3" t="n">
        <v>50</v>
      </c>
      <c r="G284" s="3" t="n">
        <v>45</v>
      </c>
      <c r="H284" s="3" t="n">
        <v>40</v>
      </c>
      <c r="I284" s="3" t="n">
        <v>45</v>
      </c>
      <c r="J284" s="3" t="n">
        <v>75</v>
      </c>
      <c r="K284" s="3" t="inlineStr">
        <is>
          <t>ABILITY_RUN_AWAY</t>
        </is>
      </c>
      <c r="L284" s="3" t="inlineStr">
        <is>
          <t>ABILITY_PICKUP</t>
        </is>
      </c>
      <c r="M284" s="3" t="inlineStr">
        <is>
          <t>ABILITY_OWN_TEMPO</t>
        </is>
      </c>
    </row>
    <row r="285">
      <c r="A285" s="3" t="inlineStr">
        <is>
          <t>SPECIES_MAUSHOLD_FOUR</t>
        </is>
      </c>
      <c r="B285" s="3" t="inlineStr">
        <is>
          <t>Maushold</t>
        </is>
      </c>
      <c r="C285" s="3" t="inlineStr">
        <is>
          <t>Normal</t>
        </is>
      </c>
      <c r="D285" s="3" t="inlineStr"/>
      <c r="E285" s="3" t="n">
        <v>74</v>
      </c>
      <c r="F285" s="3" t="n">
        <v>75</v>
      </c>
      <c r="G285" s="3" t="n">
        <v>70</v>
      </c>
      <c r="H285" s="3" t="n">
        <v>65</v>
      </c>
      <c r="I285" s="3" t="n">
        <v>75</v>
      </c>
      <c r="J285" s="3" t="n">
        <v>111</v>
      </c>
      <c r="K285" s="3" t="inlineStr">
        <is>
          <t>ABILITY_FRIEND_GUARD</t>
        </is>
      </c>
      <c r="L285" s="3" t="inlineStr">
        <is>
          <t>ABILITY_CHEEK_POUCH</t>
        </is>
      </c>
      <c r="M285" s="3" t="inlineStr">
        <is>
          <t>ABILITY_TECHNICIAN</t>
        </is>
      </c>
    </row>
    <row r="286">
      <c r="A286" s="3" t="inlineStr">
        <is>
          <t>SPECIES_CHARCADET</t>
        </is>
      </c>
      <c r="B286" s="3" t="inlineStr">
        <is>
          <t>Charcadet</t>
        </is>
      </c>
      <c r="C286" s="3" t="inlineStr">
        <is>
          <t>Fire</t>
        </is>
      </c>
      <c r="D286" s="3" t="inlineStr"/>
      <c r="E286" s="3" t="n">
        <v>40</v>
      </c>
      <c r="F286" s="3" t="n">
        <v>50</v>
      </c>
      <c r="G286" s="3" t="n">
        <v>40</v>
      </c>
      <c r="H286" s="3" t="n">
        <v>50</v>
      </c>
      <c r="I286" s="3" t="n">
        <v>40</v>
      </c>
      <c r="J286" s="3" t="n">
        <v>35</v>
      </c>
      <c r="K286" s="3" t="inlineStr">
        <is>
          <t>ABILITY_FLASH_FIRE</t>
        </is>
      </c>
      <c r="L286" s="3" t="inlineStr">
        <is>
          <t>ABILITY_FLAME_BODY</t>
        </is>
      </c>
      <c r="M286" s="3" t="inlineStr"/>
    </row>
    <row r="287">
      <c r="A287" s="3" t="inlineStr">
        <is>
          <t>SPECIES_ARMAROUGE</t>
        </is>
      </c>
      <c r="B287" s="3" t="inlineStr">
        <is>
          <t>Armarouge</t>
        </is>
      </c>
      <c r="C287" s="3" t="inlineStr">
        <is>
          <t>Fire</t>
        </is>
      </c>
      <c r="D287" s="3" t="inlineStr">
        <is>
          <t>Psychic</t>
        </is>
      </c>
      <c r="E287" s="3" t="n">
        <v>85</v>
      </c>
      <c r="F287" s="3" t="n">
        <v>60</v>
      </c>
      <c r="G287" s="3" t="n">
        <v>100</v>
      </c>
      <c r="H287" s="3" t="n">
        <v>125</v>
      </c>
      <c r="I287" s="3" t="n">
        <v>80</v>
      </c>
      <c r="J287" s="3" t="n">
        <v>75</v>
      </c>
      <c r="K287" s="3" t="inlineStr">
        <is>
          <t>ABILITY_FLASH_FIRE</t>
        </is>
      </c>
      <c r="L287" s="3" t="inlineStr">
        <is>
          <t>ABILITY_WEAK_ARMOR</t>
        </is>
      </c>
      <c r="M287" s="3" t="inlineStr"/>
    </row>
    <row r="288">
      <c r="A288" s="3" t="inlineStr">
        <is>
          <t>SPECIES_CERULEDGE</t>
        </is>
      </c>
      <c r="B288" s="3" t="inlineStr">
        <is>
          <t>Ceruledge</t>
        </is>
      </c>
      <c r="C288" s="3" t="inlineStr">
        <is>
          <t>Fire</t>
        </is>
      </c>
      <c r="D288" s="3" t="inlineStr">
        <is>
          <t>Ghost</t>
        </is>
      </c>
      <c r="E288" s="3" t="n">
        <v>75</v>
      </c>
      <c r="F288" s="3" t="n">
        <v>125</v>
      </c>
      <c r="G288" s="3" t="n">
        <v>80</v>
      </c>
      <c r="H288" s="3" t="n">
        <v>60</v>
      </c>
      <c r="I288" s="3" t="n">
        <v>100</v>
      </c>
      <c r="J288" s="3" t="n">
        <v>85</v>
      </c>
      <c r="K288" s="3" t="inlineStr">
        <is>
          <t>ABILITY_FLASH_FIRE</t>
        </is>
      </c>
      <c r="L288" s="3" t="inlineStr">
        <is>
          <t>ABILITY_WEAK_ARMOR</t>
        </is>
      </c>
      <c r="M288" s="3" t="inlineStr"/>
    </row>
    <row r="289">
      <c r="A289" s="3" t="inlineStr">
        <is>
          <t>SPECIES_WATTREL</t>
        </is>
      </c>
      <c r="B289" s="3" t="inlineStr">
        <is>
          <t>Wattrel</t>
        </is>
      </c>
      <c r="C289" s="3" t="inlineStr">
        <is>
          <t>Electric</t>
        </is>
      </c>
      <c r="D289" s="3" t="inlineStr">
        <is>
          <t>Flying</t>
        </is>
      </c>
      <c r="E289" s="3" t="n">
        <v>40</v>
      </c>
      <c r="F289" s="3" t="n">
        <v>40</v>
      </c>
      <c r="G289" s="3" t="n">
        <v>35</v>
      </c>
      <c r="H289" s="3" t="n">
        <v>55</v>
      </c>
      <c r="I289" s="3" t="n">
        <v>40</v>
      </c>
      <c r="J289" s="3" t="n">
        <v>70</v>
      </c>
      <c r="K289" s="3" t="inlineStr">
        <is>
          <t>ABILITY_WIND_POWER</t>
        </is>
      </c>
      <c r="L289" s="3" t="inlineStr">
        <is>
          <t>ABILITY_VOLT_ABSORB</t>
        </is>
      </c>
      <c r="M289" s="3" t="inlineStr">
        <is>
          <t>ABILITY_COMPETITIVE</t>
        </is>
      </c>
    </row>
    <row r="290">
      <c r="A290" s="3" t="inlineStr">
        <is>
          <t>SPECIES_KILOWATTREL</t>
        </is>
      </c>
      <c r="B290" s="3" t="inlineStr">
        <is>
          <t>Kilowattrel</t>
        </is>
      </c>
      <c r="C290" s="3" t="inlineStr">
        <is>
          <t>Electric</t>
        </is>
      </c>
      <c r="D290" s="3" t="inlineStr">
        <is>
          <t>Flying</t>
        </is>
      </c>
      <c r="E290" s="3" t="n">
        <v>70</v>
      </c>
      <c r="F290" s="3" t="n">
        <v>70</v>
      </c>
      <c r="G290" s="3" t="n">
        <v>60</v>
      </c>
      <c r="H290" s="3" t="n">
        <v>105</v>
      </c>
      <c r="I290" s="3" t="n">
        <v>60</v>
      </c>
      <c r="J290" s="3" t="n">
        <v>125</v>
      </c>
      <c r="K290" s="3" t="inlineStr">
        <is>
          <t>ABILITY_WIND_POWER</t>
        </is>
      </c>
      <c r="L290" s="3" t="inlineStr">
        <is>
          <t>ABILITY_VOLT_ABSORB</t>
        </is>
      </c>
      <c r="M290" s="3" t="inlineStr">
        <is>
          <t>ABILITY_COMPETITIVE</t>
        </is>
      </c>
    </row>
    <row r="291">
      <c r="A291" s="3" t="inlineStr">
        <is>
          <t>SPECIES_FLITTLE</t>
        </is>
      </c>
      <c r="B291" s="3" t="inlineStr">
        <is>
          <t>Flittle</t>
        </is>
      </c>
      <c r="C291" s="3" t="inlineStr">
        <is>
          <t>Psychic</t>
        </is>
      </c>
      <c r="D291" s="3" t="inlineStr"/>
      <c r="E291" s="3" t="n">
        <v>30</v>
      </c>
      <c r="F291" s="3" t="n">
        <v>35</v>
      </c>
      <c r="G291" s="3" t="n">
        <v>30</v>
      </c>
      <c r="H291" s="3" t="n">
        <v>55</v>
      </c>
      <c r="I291" s="3" t="n">
        <v>30</v>
      </c>
      <c r="J291" s="3" t="n">
        <v>75</v>
      </c>
      <c r="K291" s="3" t="inlineStr">
        <is>
          <t>ABILITY_ANTICIPATION</t>
        </is>
      </c>
      <c r="L291" s="3" t="inlineStr">
        <is>
          <t>ABILITY_FRISK</t>
        </is>
      </c>
      <c r="M291" s="3" t="inlineStr">
        <is>
          <t>ABILITY_SPEED_BOOST</t>
        </is>
      </c>
    </row>
    <row r="292">
      <c r="A292" s="3" t="inlineStr">
        <is>
          <t>SPECIES_ESPATHRA</t>
        </is>
      </c>
      <c r="B292" s="3" t="inlineStr">
        <is>
          <t>Espathra</t>
        </is>
      </c>
      <c r="C292" s="3" t="inlineStr">
        <is>
          <t>Psychic</t>
        </is>
      </c>
      <c r="D292" s="3" t="inlineStr">
        <is>
          <t>Ground</t>
        </is>
      </c>
      <c r="E292" s="3" t="n">
        <v>95</v>
      </c>
      <c r="F292" s="3" t="n">
        <v>60</v>
      </c>
      <c r="G292" s="3" t="n">
        <v>60</v>
      </c>
      <c r="H292" s="3" t="n">
        <v>101</v>
      </c>
      <c r="I292" s="3" t="n">
        <v>60</v>
      </c>
      <c r="J292" s="3" t="n">
        <v>105</v>
      </c>
      <c r="K292" s="3" t="inlineStr">
        <is>
          <t>ABILITY_OPPORTUNIST</t>
        </is>
      </c>
      <c r="L292" s="3" t="inlineStr">
        <is>
          <t>ABILITY_FRISK</t>
        </is>
      </c>
      <c r="M292" s="3" t="inlineStr">
        <is>
          <t>ABILITY_SPEED_BOOST</t>
        </is>
      </c>
    </row>
    <row r="293">
      <c r="A293" s="3" t="inlineStr">
        <is>
          <t>SPECIES_TINKATINK</t>
        </is>
      </c>
      <c r="B293" s="3" t="inlineStr">
        <is>
          <t>Tinkatink</t>
        </is>
      </c>
      <c r="C293" s="3" t="inlineStr">
        <is>
          <t>Fairy</t>
        </is>
      </c>
      <c r="D293" s="3" t="inlineStr">
        <is>
          <t>Steel</t>
        </is>
      </c>
      <c r="E293" s="3" t="n">
        <v>50</v>
      </c>
      <c r="F293" s="3" t="n">
        <v>45</v>
      </c>
      <c r="G293" s="3" t="n">
        <v>45</v>
      </c>
      <c r="H293" s="3" t="n">
        <v>35</v>
      </c>
      <c r="I293" s="3" t="n">
        <v>64</v>
      </c>
      <c r="J293" s="3" t="n">
        <v>58</v>
      </c>
      <c r="K293" s="3" t="inlineStr">
        <is>
          <t>ABILITY_MOLD_BREAKER</t>
        </is>
      </c>
      <c r="L293" s="3" t="inlineStr">
        <is>
          <t>ABILITY_OWN_TEMPO</t>
        </is>
      </c>
      <c r="M293" s="3" t="inlineStr">
        <is>
          <t>ABILITY_PICKPOCKET</t>
        </is>
      </c>
    </row>
    <row r="294">
      <c r="A294" s="3" t="inlineStr">
        <is>
          <t>SPECIES_TINKATUFF</t>
        </is>
      </c>
      <c r="B294" s="3" t="inlineStr">
        <is>
          <t>Tinkatuff</t>
        </is>
      </c>
      <c r="C294" s="3" t="inlineStr">
        <is>
          <t>Fairy</t>
        </is>
      </c>
      <c r="D294" s="3" t="inlineStr">
        <is>
          <t>Steel</t>
        </is>
      </c>
      <c r="E294" s="3" t="n">
        <v>65</v>
      </c>
      <c r="F294" s="3" t="n">
        <v>55</v>
      </c>
      <c r="G294" s="3" t="n">
        <v>55</v>
      </c>
      <c r="H294" s="3" t="n">
        <v>45</v>
      </c>
      <c r="I294" s="3" t="n">
        <v>82</v>
      </c>
      <c r="J294" s="3" t="n">
        <v>78</v>
      </c>
      <c r="K294" s="3" t="inlineStr">
        <is>
          <t>ABILITY_MOLD_BREAKER</t>
        </is>
      </c>
      <c r="L294" s="3" t="inlineStr">
        <is>
          <t>ABILITY_OWN_TEMPO</t>
        </is>
      </c>
      <c r="M294" s="3" t="inlineStr">
        <is>
          <t>ABILITY_PICKPOCKET</t>
        </is>
      </c>
    </row>
    <row r="295">
      <c r="A295" s="3" t="inlineStr">
        <is>
          <t>SPECIES_TINKATON</t>
        </is>
      </c>
      <c r="B295" s="3" t="inlineStr">
        <is>
          <t>Tinkaton</t>
        </is>
      </c>
      <c r="C295" s="3" t="inlineStr">
        <is>
          <t>Fairy</t>
        </is>
      </c>
      <c r="D295" s="3" t="inlineStr">
        <is>
          <t>Steel</t>
        </is>
      </c>
      <c r="E295" s="3" t="n">
        <v>85</v>
      </c>
      <c r="F295" s="3" t="n">
        <v>75</v>
      </c>
      <c r="G295" s="3" t="n">
        <v>77</v>
      </c>
      <c r="H295" s="3" t="n">
        <v>70</v>
      </c>
      <c r="I295" s="3" t="n">
        <v>105</v>
      </c>
      <c r="J295" s="3" t="n">
        <v>94</v>
      </c>
      <c r="K295" s="3" t="inlineStr">
        <is>
          <t>ABILITY_MOLD_BREAKER</t>
        </is>
      </c>
      <c r="L295" s="3" t="inlineStr">
        <is>
          <t>ABILITY_OWN_TEMPO</t>
        </is>
      </c>
      <c r="M295" s="3" t="inlineStr">
        <is>
          <t>ABILITY_PICKPOCKET</t>
        </is>
      </c>
    </row>
    <row r="296">
      <c r="A296" s="3" t="inlineStr">
        <is>
          <t>SPECIES_VAROOM</t>
        </is>
      </c>
      <c r="B296" s="3" t="inlineStr">
        <is>
          <t>Varoom</t>
        </is>
      </c>
      <c r="C296" s="3" t="inlineStr">
        <is>
          <t>Steel</t>
        </is>
      </c>
      <c r="D296" s="3" t="inlineStr">
        <is>
          <t>Poison</t>
        </is>
      </c>
      <c r="E296" s="3" t="n">
        <v>45</v>
      </c>
      <c r="F296" s="3" t="n">
        <v>70</v>
      </c>
      <c r="G296" s="3" t="n">
        <v>63</v>
      </c>
      <c r="H296" s="3" t="n">
        <v>30</v>
      </c>
      <c r="I296" s="3" t="n">
        <v>45</v>
      </c>
      <c r="J296" s="3" t="n">
        <v>47</v>
      </c>
      <c r="K296" s="3" t="inlineStr">
        <is>
          <t>ABILITY_OVERCOAT</t>
        </is>
      </c>
      <c r="L296" s="3" t="inlineStr">
        <is>
          <t>ABILITY_SLOW_START</t>
        </is>
      </c>
      <c r="M296" s="3" t="inlineStr"/>
    </row>
    <row r="297">
      <c r="A297" s="3" t="inlineStr">
        <is>
          <t>SPECIES_REVAVROOM</t>
        </is>
      </c>
      <c r="B297" s="3" t="inlineStr">
        <is>
          <t>Revavroom</t>
        </is>
      </c>
      <c r="C297" s="3" t="inlineStr">
        <is>
          <t>Steel</t>
        </is>
      </c>
      <c r="D297" s="3" t="inlineStr">
        <is>
          <t>Poison</t>
        </is>
      </c>
      <c r="E297" s="3" t="n">
        <v>80</v>
      </c>
      <c r="F297" s="3" t="n">
        <v>119</v>
      </c>
      <c r="G297" s="3" t="n">
        <v>90</v>
      </c>
      <c r="H297" s="3" t="n">
        <v>54</v>
      </c>
      <c r="I297" s="3" t="n">
        <v>67</v>
      </c>
      <c r="J297" s="3" t="n">
        <v>90</v>
      </c>
      <c r="K297" s="3" t="inlineStr">
        <is>
          <t>ABILITY_OVERCOAT</t>
        </is>
      </c>
      <c r="L297" s="3" t="inlineStr">
        <is>
          <t>ABILITY_FILTER</t>
        </is>
      </c>
      <c r="M297" s="3" t="inlineStr"/>
    </row>
    <row r="298">
      <c r="A298" s="3" t="inlineStr">
        <is>
          <t>SPECIES_GLIMMET</t>
        </is>
      </c>
      <c r="B298" s="3" t="inlineStr">
        <is>
          <t>Glimmet</t>
        </is>
      </c>
      <c r="C298" s="3" t="inlineStr">
        <is>
          <t>Rock</t>
        </is>
      </c>
      <c r="D298" s="3" t="inlineStr">
        <is>
          <t>Poison</t>
        </is>
      </c>
      <c r="E298" s="3" t="n">
        <v>48</v>
      </c>
      <c r="F298" s="3" t="n">
        <v>35</v>
      </c>
      <c r="G298" s="3" t="n">
        <v>42</v>
      </c>
      <c r="H298" s="3" t="n">
        <v>105</v>
      </c>
      <c r="I298" s="3" t="n">
        <v>60</v>
      </c>
      <c r="J298" s="3" t="n">
        <v>60</v>
      </c>
      <c r="K298" s="3" t="inlineStr">
        <is>
          <t>ABILITY_TOXIC_DEBRIS</t>
        </is>
      </c>
      <c r="L298" s="3" t="inlineStr">
        <is>
          <t>ABILITY_CORROSION</t>
        </is>
      </c>
      <c r="M298" s="3" t="inlineStr"/>
    </row>
    <row r="299">
      <c r="A299" s="3" t="inlineStr">
        <is>
          <t>SPECIES_GLIMMORA</t>
        </is>
      </c>
      <c r="B299" s="3" t="inlineStr">
        <is>
          <t>Glimmora</t>
        </is>
      </c>
      <c r="C299" s="3" t="inlineStr">
        <is>
          <t>Rock</t>
        </is>
      </c>
      <c r="D299" s="3" t="inlineStr">
        <is>
          <t>Poison</t>
        </is>
      </c>
      <c r="E299" s="3" t="n">
        <v>83</v>
      </c>
      <c r="F299" s="3" t="n">
        <v>55</v>
      </c>
      <c r="G299" s="3" t="n">
        <v>90</v>
      </c>
      <c r="H299" s="3" t="n">
        <v>130</v>
      </c>
      <c r="I299" s="3" t="n">
        <v>81</v>
      </c>
      <c r="J299" s="3" t="n">
        <v>86</v>
      </c>
      <c r="K299" s="3" t="inlineStr">
        <is>
          <t>ABILITY_TOXIC_DEBRIS</t>
        </is>
      </c>
      <c r="L299" s="3" t="inlineStr">
        <is>
          <t>ABILITY_CORROSION</t>
        </is>
      </c>
      <c r="M299" s="3" t="inlineStr"/>
    </row>
    <row r="300">
      <c r="A300" s="3" t="inlineStr">
        <is>
          <t>SPECIES_CETODDLE</t>
        </is>
      </c>
      <c r="B300" s="3" t="inlineStr">
        <is>
          <t>Cetoddle</t>
        </is>
      </c>
      <c r="C300" s="3" t="inlineStr">
        <is>
          <t>Ice</t>
        </is>
      </c>
      <c r="D300" s="3" t="inlineStr"/>
      <c r="E300" s="3" t="n">
        <v>108</v>
      </c>
      <c r="F300" s="3" t="n">
        <v>68</v>
      </c>
      <c r="G300" s="3" t="n">
        <v>45</v>
      </c>
      <c r="H300" s="3" t="n">
        <v>30</v>
      </c>
      <c r="I300" s="3" t="n">
        <v>40</v>
      </c>
      <c r="J300" s="3" t="n">
        <v>43</v>
      </c>
      <c r="K300" s="3" t="inlineStr">
        <is>
          <t>ABILITY_THICK_FAT</t>
        </is>
      </c>
      <c r="L300" s="3" t="inlineStr">
        <is>
          <t>ABILITY_SNOW_CLOAK</t>
        </is>
      </c>
      <c r="M300" s="3" t="inlineStr">
        <is>
          <t>ABILITY_SHEER_FORCE</t>
        </is>
      </c>
    </row>
    <row r="301">
      <c r="A301" s="3" t="inlineStr">
        <is>
          <t>SPECIES_CETITAN</t>
        </is>
      </c>
      <c r="B301" s="3" t="inlineStr">
        <is>
          <t>Cetitan</t>
        </is>
      </c>
      <c r="C301" s="3" t="inlineStr">
        <is>
          <t>Ice</t>
        </is>
      </c>
      <c r="D301" s="3" t="inlineStr"/>
      <c r="E301" s="3" t="n">
        <v>170</v>
      </c>
      <c r="F301" s="3" t="n">
        <v>113</v>
      </c>
      <c r="G301" s="3" t="n">
        <v>65</v>
      </c>
      <c r="H301" s="3" t="n">
        <v>45</v>
      </c>
      <c r="I301" s="3" t="n">
        <v>55</v>
      </c>
      <c r="J301" s="3" t="n">
        <v>73</v>
      </c>
      <c r="K301" s="3" t="inlineStr">
        <is>
          <t>ABILITY_THICK_FAT</t>
        </is>
      </c>
      <c r="L301" s="3" t="inlineStr">
        <is>
          <t>ABILITY_SLUSH_RUSH</t>
        </is>
      </c>
      <c r="M301" s="3" t="inlineStr">
        <is>
          <t>ABILITY_SHEER_FORCE</t>
        </is>
      </c>
    </row>
    <row r="302">
      <c r="A302" s="3" t="inlineStr">
        <is>
          <t>SPECIES_CAPSAKID</t>
        </is>
      </c>
      <c r="B302" s="3" t="inlineStr">
        <is>
          <t>Capsakid</t>
        </is>
      </c>
      <c r="C302" s="3" t="inlineStr">
        <is>
          <t>Grass</t>
        </is>
      </c>
      <c r="D302" s="3" t="inlineStr"/>
      <c r="E302" s="3" t="n">
        <v>50</v>
      </c>
      <c r="F302" s="3" t="n">
        <v>62</v>
      </c>
      <c r="G302" s="3" t="n">
        <v>40</v>
      </c>
      <c r="H302" s="3" t="n">
        <v>62</v>
      </c>
      <c r="I302" s="3" t="n">
        <v>40</v>
      </c>
      <c r="J302" s="3" t="n">
        <v>50</v>
      </c>
      <c r="K302" s="3" t="inlineStr">
        <is>
          <t>ABILITY_CHLOROPHYLL</t>
        </is>
      </c>
      <c r="L302" s="3" t="inlineStr">
        <is>
          <t>ABILITY_INSOMNIA</t>
        </is>
      </c>
      <c r="M302" s="3" t="inlineStr">
        <is>
          <t>ABILITY_KLUTZ</t>
        </is>
      </c>
    </row>
    <row r="303">
      <c r="A303" s="3" t="inlineStr">
        <is>
          <t>SPECIES_SCOVILLAIN</t>
        </is>
      </c>
      <c r="B303" s="3" t="inlineStr">
        <is>
          <t>Scovillain</t>
        </is>
      </c>
      <c r="C303" s="3" t="inlineStr">
        <is>
          <t>Grass</t>
        </is>
      </c>
      <c r="D303" s="3" t="inlineStr">
        <is>
          <t>Fire</t>
        </is>
      </c>
      <c r="E303" s="3" t="n">
        <v>65</v>
      </c>
      <c r="F303" s="3" t="n">
        <v>108</v>
      </c>
      <c r="G303" s="3" t="n">
        <v>65</v>
      </c>
      <c r="H303" s="3" t="n">
        <v>108</v>
      </c>
      <c r="I303" s="3" t="n">
        <v>65</v>
      </c>
      <c r="J303" s="3" t="n">
        <v>75</v>
      </c>
      <c r="K303" s="3" t="inlineStr">
        <is>
          <t>ABILITY_CHLOROPHYLL</t>
        </is>
      </c>
      <c r="L303" s="3" t="inlineStr">
        <is>
          <t>ABILITY_INSOMNIA</t>
        </is>
      </c>
      <c r="M303" s="3" t="inlineStr">
        <is>
          <t>ABILITY_MOODY</t>
        </is>
      </c>
    </row>
  </sheetData>
  <autoFilter ref="A1:M30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4"/>
  <sheetViews>
    <sheetView showGridLines="0" workbookViewId="0">
      <pane ySplit="1" topLeftCell="A2" activePane="bottomLeft" state="frozen"/>
      <selection pane="bottomLeft" activeCell="A1" sqref="A1"/>
    </sheetView>
  </sheetViews>
  <sheetFormatPr baseColWidth="8" defaultRowHeight="15"/>
  <cols>
    <col width="32" customWidth="1" min="1" max="1"/>
    <col width="17" customWidth="1" min="2" max="2"/>
    <col width="23" customWidth="1" min="3" max="3"/>
    <col width="26" customWidth="1" min="4" max="4"/>
    <col width="17" customWidth="1" min="5" max="5"/>
    <col width="15" customWidth="1" min="6" max="6"/>
    <col width="23" customWidth="1" min="7" max="7"/>
  </cols>
  <sheetData>
    <row r="1" ht="32" customHeight="1">
      <c r="A1" s="1" t="inlineStr">
        <is>
          <t>Source Species ID</t>
        </is>
      </c>
      <c r="B1" s="1" t="inlineStr">
        <is>
          <t>Source</t>
        </is>
      </c>
      <c r="C1" s="1" t="inlineStr">
        <is>
          <t>Original method</t>
        </is>
      </c>
      <c r="D1" s="1" t="inlineStr">
        <is>
          <t>Target Species ID</t>
        </is>
      </c>
      <c r="E1" s="1" t="inlineStr">
        <is>
          <t>Effective level</t>
        </is>
      </c>
      <c r="F1" s="1" t="inlineStr">
        <is>
          <t>Enabled path?</t>
        </is>
      </c>
      <c r="G1" s="1" t="inlineStr">
        <is>
          <t>Original parameter</t>
        </is>
      </c>
    </row>
    <row r="2">
      <c r="A2" s="3" t="inlineStr">
        <is>
          <t>SPECIES_SANDSHREW_ALOLA</t>
        </is>
      </c>
      <c r="B2" s="3" t="inlineStr">
        <is>
          <t>Sandshrew-Alola</t>
        </is>
      </c>
      <c r="C2" s="3" t="inlineStr">
        <is>
          <t>EVO_ITEM</t>
        </is>
      </c>
      <c r="D2" s="3" t="inlineStr">
        <is>
          <t>SPECIES_SANDSLASH_ALOLA</t>
        </is>
      </c>
      <c r="E2" s="3" t="n">
        <v>40</v>
      </c>
      <c r="F2" s="3" t="b">
        <v>1</v>
      </c>
      <c r="G2" s="3" t="inlineStr">
        <is>
          <t>ITEM_ICE_STONE</t>
        </is>
      </c>
    </row>
    <row r="3">
      <c r="A3" s="3" t="inlineStr">
        <is>
          <t>SPECIES_VULPIX_ALOLA</t>
        </is>
      </c>
      <c r="B3" s="3" t="inlineStr">
        <is>
          <t>Vulpix-Alola</t>
        </is>
      </c>
      <c r="C3" s="3" t="inlineStr">
        <is>
          <t>EVO_ITEM</t>
        </is>
      </c>
      <c r="D3" s="3" t="inlineStr">
        <is>
          <t>SPECIES_NINETALES_ALOLA</t>
        </is>
      </c>
      <c r="E3" s="3" t="n">
        <v>40</v>
      </c>
      <c r="F3" s="3" t="b">
        <v>1</v>
      </c>
      <c r="G3" s="3" t="inlineStr">
        <is>
          <t>ITEM_ICE_STONE</t>
        </is>
      </c>
    </row>
    <row r="4">
      <c r="A4" s="3" t="inlineStr">
        <is>
          <t>SPECIES_PARAS</t>
        </is>
      </c>
      <c r="B4" s="3" t="inlineStr">
        <is>
          <t>Paras</t>
        </is>
      </c>
      <c r="C4" s="3" t="inlineStr">
        <is>
          <t>EVO_LEVEL</t>
        </is>
      </c>
      <c r="D4" s="3" t="inlineStr">
        <is>
          <t>SPECIES_PARASECT</t>
        </is>
      </c>
      <c r="E4" s="3" t="n">
        <v>24</v>
      </c>
      <c r="F4" s="3" t="b">
        <v>1</v>
      </c>
      <c r="G4" s="3" t="inlineStr">
        <is>
          <t>24</t>
        </is>
      </c>
    </row>
    <row r="5">
      <c r="A5" s="3" t="inlineStr">
        <is>
          <t>SPECIES_MANKEY</t>
        </is>
      </c>
      <c r="B5" s="3" t="inlineStr">
        <is>
          <t>Mankey</t>
        </is>
      </c>
      <c r="C5" s="3" t="inlineStr">
        <is>
          <t>EVO_LEVEL</t>
        </is>
      </c>
      <c r="D5" s="3" t="inlineStr">
        <is>
          <t>SPECIES_PRIMEAPE</t>
        </is>
      </c>
      <c r="E5" s="3" t="n">
        <v>28</v>
      </c>
      <c r="F5" s="3" t="b">
        <v>1</v>
      </c>
      <c r="G5" s="3" t="inlineStr">
        <is>
          <t>28</t>
        </is>
      </c>
    </row>
    <row r="6">
      <c r="A6" s="3" t="inlineStr">
        <is>
          <t>SPECIES_PRIMEAPE</t>
        </is>
      </c>
      <c r="B6" s="3" t="inlineStr">
        <is>
          <t>Primeape</t>
        </is>
      </c>
      <c r="C6" s="3" t="inlineStr">
        <is>
          <t>EVO_LEVEL</t>
        </is>
      </c>
      <c r="D6" s="3" t="inlineStr">
        <is>
          <t>SPECIES_ANNIHILAPE</t>
        </is>
      </c>
      <c r="E6" s="3" t="n">
        <v>40</v>
      </c>
      <c r="F6" s="3" t="b">
        <v>1</v>
      </c>
      <c r="G6" s="3" t="inlineStr">
        <is>
          <t>0</t>
        </is>
      </c>
    </row>
    <row r="7">
      <c r="A7" s="3" t="inlineStr">
        <is>
          <t>SPECIES_TENTACOOL</t>
        </is>
      </c>
      <c r="B7" s="3" t="inlineStr">
        <is>
          <t>Tentacool</t>
        </is>
      </c>
      <c r="C7" s="3" t="inlineStr">
        <is>
          <t>EVO_LEVEL</t>
        </is>
      </c>
      <c r="D7" s="3" t="inlineStr">
        <is>
          <t>SPECIES_TENTACRUEL</t>
        </is>
      </c>
      <c r="E7" s="3" t="n">
        <v>30</v>
      </c>
      <c r="F7" s="3" t="b">
        <v>1</v>
      </c>
      <c r="G7" s="3" t="inlineStr">
        <is>
          <t>30</t>
        </is>
      </c>
    </row>
    <row r="8">
      <c r="A8" s="3" t="inlineStr">
        <is>
          <t>SPECIES_MAGNEMITE</t>
        </is>
      </c>
      <c r="B8" s="3" t="inlineStr">
        <is>
          <t>Magnemite</t>
        </is>
      </c>
      <c r="C8" s="3" t="inlineStr">
        <is>
          <t>EVO_LEVEL</t>
        </is>
      </c>
      <c r="D8" s="3" t="inlineStr">
        <is>
          <t>SPECIES_MAGNETON</t>
        </is>
      </c>
      <c r="E8" s="3" t="n">
        <v>30</v>
      </c>
      <c r="F8" s="3" t="b">
        <v>1</v>
      </c>
      <c r="G8" s="3" t="inlineStr">
        <is>
          <t>30</t>
        </is>
      </c>
    </row>
    <row r="9">
      <c r="A9" s="3" t="inlineStr">
        <is>
          <t>SPECIES_MAGNETON</t>
        </is>
      </c>
      <c r="B9" s="3" t="inlineStr">
        <is>
          <t>Magneton</t>
        </is>
      </c>
      <c r="C9" s="3" t="inlineStr">
        <is>
          <t>EVO_LEVEL</t>
        </is>
      </c>
      <c r="D9" s="3" t="inlineStr">
        <is>
          <t>SPECIES_MAGNEZONE</t>
        </is>
      </c>
      <c r="E9" s="3" t="n">
        <v>40</v>
      </c>
      <c r="F9" s="3" t="b">
        <v>1</v>
      </c>
      <c r="G9" s="3" t="inlineStr">
        <is>
          <t>0</t>
        </is>
      </c>
    </row>
    <row r="10">
      <c r="A10" s="3" t="inlineStr">
        <is>
          <t>SPECIES_MAGNETON</t>
        </is>
      </c>
      <c r="B10" s="3" t="inlineStr">
        <is>
          <t>Magneton</t>
        </is>
      </c>
      <c r="C10" s="3" t="inlineStr">
        <is>
          <t>EVO_ITEM</t>
        </is>
      </c>
      <c r="D10" s="3" t="inlineStr">
        <is>
          <t>SPECIES_MAGNEZONE</t>
        </is>
      </c>
      <c r="E10" s="3" t="n">
        <v>40</v>
      </c>
      <c r="F10" s="3" t="b">
        <v>0</v>
      </c>
      <c r="G10" s="3" t="inlineStr">
        <is>
          <t>ITEM_THUNDER_STONE</t>
        </is>
      </c>
    </row>
    <row r="11">
      <c r="A11" s="3" t="inlineStr">
        <is>
          <t>SPECIES_RHYHORN</t>
        </is>
      </c>
      <c r="B11" s="3" t="inlineStr">
        <is>
          <t>Rhyhorn</t>
        </is>
      </c>
      <c r="C11" s="3" t="inlineStr">
        <is>
          <t>EVO_LEVEL</t>
        </is>
      </c>
      <c r="D11" s="3" t="inlineStr">
        <is>
          <t>SPECIES_RHYDON</t>
        </is>
      </c>
      <c r="E11" s="3" t="n">
        <v>42</v>
      </c>
      <c r="F11" s="3" t="b">
        <v>1</v>
      </c>
      <c r="G11" s="3" t="inlineStr">
        <is>
          <t>42</t>
        </is>
      </c>
    </row>
    <row r="12">
      <c r="A12" s="3" t="inlineStr">
        <is>
          <t>SPECIES_RHYDON</t>
        </is>
      </c>
      <c r="B12" s="3" t="inlineStr">
        <is>
          <t>Rhydon</t>
        </is>
      </c>
      <c r="C12" s="3" t="inlineStr">
        <is>
          <t>EVO_TRADE</t>
        </is>
      </c>
      <c r="D12" s="3" t="inlineStr">
        <is>
          <t>SPECIES_RHYPERIOR</t>
        </is>
      </c>
      <c r="E12" s="3" t="n">
        <v>40</v>
      </c>
      <c r="F12" s="3" t="b">
        <v>1</v>
      </c>
      <c r="G12" s="3" t="inlineStr">
        <is>
          <t>0</t>
        </is>
      </c>
    </row>
    <row r="13">
      <c r="A13" s="3" t="inlineStr">
        <is>
          <t>SPECIES_RHYDON</t>
        </is>
      </c>
      <c r="B13" s="3" t="inlineStr">
        <is>
          <t>Rhydon</t>
        </is>
      </c>
      <c r="C13" s="3" t="inlineStr">
        <is>
          <t>EVO_ITEM</t>
        </is>
      </c>
      <c r="D13" s="3" t="inlineStr">
        <is>
          <t>SPECIES_RHYPERIOR</t>
        </is>
      </c>
      <c r="E13" s="3" t="n">
        <v>40</v>
      </c>
      <c r="F13" s="3" t="b">
        <v>0</v>
      </c>
      <c r="G13" s="3" t="inlineStr">
        <is>
          <t>ITEM_PROTECTOR</t>
        </is>
      </c>
    </row>
    <row r="14">
      <c r="A14" s="3" t="inlineStr">
        <is>
          <t>SPECIES_ELEKID</t>
        </is>
      </c>
      <c r="B14" s="3" t="inlineStr">
        <is>
          <t>Elekid</t>
        </is>
      </c>
      <c r="C14" s="3" t="inlineStr">
        <is>
          <t>EVO_LEVEL</t>
        </is>
      </c>
      <c r="D14" s="3" t="inlineStr">
        <is>
          <t>SPECIES_ELECTABUZZ</t>
        </is>
      </c>
      <c r="E14" s="3" t="n">
        <v>30</v>
      </c>
      <c r="F14" s="3" t="b">
        <v>1</v>
      </c>
      <c r="G14" s="3" t="inlineStr">
        <is>
          <t>30</t>
        </is>
      </c>
    </row>
    <row r="15">
      <c r="A15" s="3" t="inlineStr">
        <is>
          <t>SPECIES_ELECTABUZZ</t>
        </is>
      </c>
      <c r="B15" s="3" t="inlineStr">
        <is>
          <t>Electabuzz</t>
        </is>
      </c>
      <c r="C15" s="3" t="inlineStr">
        <is>
          <t>EVO_TRADE</t>
        </is>
      </c>
      <c r="D15" s="3" t="inlineStr">
        <is>
          <t>SPECIES_ELECTIVIRE</t>
        </is>
      </c>
      <c r="E15" s="3" t="n">
        <v>40</v>
      </c>
      <c r="F15" s="3" t="b">
        <v>1</v>
      </c>
      <c r="G15" s="3" t="inlineStr">
        <is>
          <t>0</t>
        </is>
      </c>
    </row>
    <row r="16">
      <c r="A16" s="3" t="inlineStr">
        <is>
          <t>SPECIES_ELECTABUZZ</t>
        </is>
      </c>
      <c r="B16" s="3" t="inlineStr">
        <is>
          <t>Electabuzz</t>
        </is>
      </c>
      <c r="C16" s="3" t="inlineStr">
        <is>
          <t>EVO_ITEM</t>
        </is>
      </c>
      <c r="D16" s="3" t="inlineStr">
        <is>
          <t>SPECIES_ELECTIVIRE</t>
        </is>
      </c>
      <c r="E16" s="3" t="n">
        <v>40</v>
      </c>
      <c r="F16" s="3" t="b">
        <v>0</v>
      </c>
      <c r="G16" s="3" t="inlineStr">
        <is>
          <t>ITEM_ELECTIRIZER</t>
        </is>
      </c>
    </row>
    <row r="17">
      <c r="A17" s="3" t="inlineStr">
        <is>
          <t>SPECIES_MAGBY</t>
        </is>
      </c>
      <c r="B17" s="3" t="inlineStr">
        <is>
          <t>Magby</t>
        </is>
      </c>
      <c r="C17" s="3" t="inlineStr">
        <is>
          <t>EVO_LEVEL</t>
        </is>
      </c>
      <c r="D17" s="3" t="inlineStr">
        <is>
          <t>SPECIES_MAGMAR</t>
        </is>
      </c>
      <c r="E17" s="3" t="n">
        <v>30</v>
      </c>
      <c r="F17" s="3" t="b">
        <v>1</v>
      </c>
      <c r="G17" s="3" t="inlineStr">
        <is>
          <t>30</t>
        </is>
      </c>
    </row>
    <row r="18">
      <c r="A18" s="3" t="inlineStr">
        <is>
          <t>SPECIES_MAGMAR</t>
        </is>
      </c>
      <c r="B18" s="3" t="inlineStr">
        <is>
          <t>Magmar</t>
        </is>
      </c>
      <c r="C18" s="3" t="inlineStr">
        <is>
          <t>EVO_TRADE</t>
        </is>
      </c>
      <c r="D18" s="3" t="inlineStr">
        <is>
          <t>SPECIES_MAGMORTAR</t>
        </is>
      </c>
      <c r="E18" s="3" t="n">
        <v>40</v>
      </c>
      <c r="F18" s="3" t="b">
        <v>1</v>
      </c>
      <c r="G18" s="3" t="inlineStr">
        <is>
          <t>0</t>
        </is>
      </c>
    </row>
    <row r="19">
      <c r="A19" s="3" t="inlineStr">
        <is>
          <t>SPECIES_MAGMAR</t>
        </is>
      </c>
      <c r="B19" s="3" t="inlineStr">
        <is>
          <t>Magmar</t>
        </is>
      </c>
      <c r="C19" s="3" t="inlineStr">
        <is>
          <t>EVO_ITEM</t>
        </is>
      </c>
      <c r="D19" s="3" t="inlineStr">
        <is>
          <t>SPECIES_MAGMORTAR</t>
        </is>
      </c>
      <c r="E19" s="3" t="n">
        <v>40</v>
      </c>
      <c r="F19" s="3" t="b">
        <v>0</v>
      </c>
      <c r="G19" s="3" t="inlineStr">
        <is>
          <t>ITEM_MAGMARIZER</t>
        </is>
      </c>
    </row>
    <row r="20">
      <c r="A20" s="3" t="inlineStr">
        <is>
          <t>SPECIES_MAGIKARP</t>
        </is>
      </c>
      <c r="B20" s="3" t="inlineStr">
        <is>
          <t>Magikarp</t>
        </is>
      </c>
      <c r="C20" s="3" t="inlineStr">
        <is>
          <t>EVO_LEVEL</t>
        </is>
      </c>
      <c r="D20" s="3" t="inlineStr">
        <is>
          <t>SPECIES_GYARADOS</t>
        </is>
      </c>
      <c r="E20" s="3" t="n">
        <v>20</v>
      </c>
      <c r="F20" s="3" t="b">
        <v>1</v>
      </c>
      <c r="G20" s="3" t="inlineStr">
        <is>
          <t>20</t>
        </is>
      </c>
    </row>
    <row r="21">
      <c r="A21" s="3" t="inlineStr">
        <is>
          <t>SPECIES_SENTRET</t>
        </is>
      </c>
      <c r="B21" s="3" t="inlineStr">
        <is>
          <t>Sentret</t>
        </is>
      </c>
      <c r="C21" s="3" t="inlineStr">
        <is>
          <t>EVO_LEVEL</t>
        </is>
      </c>
      <c r="D21" s="3" t="inlineStr">
        <is>
          <t>SPECIES_FURRET</t>
        </is>
      </c>
      <c r="E21" s="3" t="n">
        <v>15</v>
      </c>
      <c r="F21" s="3" t="b">
        <v>1</v>
      </c>
      <c r="G21" s="3" t="inlineStr">
        <is>
          <t>15</t>
        </is>
      </c>
    </row>
    <row r="22">
      <c r="A22" s="3" t="inlineStr">
        <is>
          <t>SPECIES_CHINCHOU</t>
        </is>
      </c>
      <c r="B22" s="3" t="inlineStr">
        <is>
          <t>Chinchou</t>
        </is>
      </c>
      <c r="C22" s="3" t="inlineStr">
        <is>
          <t>EVO_LEVEL</t>
        </is>
      </c>
      <c r="D22" s="3" t="inlineStr">
        <is>
          <t>SPECIES_LANTURN</t>
        </is>
      </c>
      <c r="E22" s="3" t="n">
        <v>27</v>
      </c>
      <c r="F22" s="3" t="b">
        <v>1</v>
      </c>
      <c r="G22" s="3" t="inlineStr">
        <is>
          <t>27</t>
        </is>
      </c>
    </row>
    <row r="23">
      <c r="A23" s="3" t="inlineStr">
        <is>
          <t>SPECIES_MAREEP</t>
        </is>
      </c>
      <c r="B23" s="3" t="inlineStr">
        <is>
          <t>Mareep</t>
        </is>
      </c>
      <c r="C23" s="3" t="inlineStr">
        <is>
          <t>EVO_LEVEL</t>
        </is>
      </c>
      <c r="D23" s="3" t="inlineStr">
        <is>
          <t>SPECIES_FLAAFFY</t>
        </is>
      </c>
      <c r="E23" s="3" t="n">
        <v>15</v>
      </c>
      <c r="F23" s="3" t="b">
        <v>1</v>
      </c>
      <c r="G23" s="3" t="inlineStr">
        <is>
          <t>15</t>
        </is>
      </c>
    </row>
    <row r="24">
      <c r="A24" s="3" t="inlineStr">
        <is>
          <t>SPECIES_FLAAFFY</t>
        </is>
      </c>
      <c r="B24" s="3" t="inlineStr">
        <is>
          <t>Flaaffy</t>
        </is>
      </c>
      <c r="C24" s="3" t="inlineStr">
        <is>
          <t>EVO_LEVEL</t>
        </is>
      </c>
      <c r="D24" s="3" t="inlineStr">
        <is>
          <t>SPECIES_AMPHAROS</t>
        </is>
      </c>
      <c r="E24" s="3" t="n">
        <v>30</v>
      </c>
      <c r="F24" s="3" t="b">
        <v>1</v>
      </c>
      <c r="G24" s="3" t="inlineStr">
        <is>
          <t>30</t>
        </is>
      </c>
    </row>
    <row r="25">
      <c r="A25" s="3" t="inlineStr">
        <is>
          <t>SPECIES_WOOPER_PALDEA</t>
        </is>
      </c>
      <c r="B25" s="3" t="inlineStr">
        <is>
          <t>Wooper-Paldea</t>
        </is>
      </c>
      <c r="C25" s="3" t="inlineStr">
        <is>
          <t>EVO_LEVEL</t>
        </is>
      </c>
      <c r="D25" s="3" t="inlineStr">
        <is>
          <t>SPECIES_CLODSIRE</t>
        </is>
      </c>
      <c r="E25" s="3" t="n">
        <v>20</v>
      </c>
      <c r="F25" s="3" t="b">
        <v>1</v>
      </c>
      <c r="G25" s="3" t="inlineStr">
        <is>
          <t>20</t>
        </is>
      </c>
    </row>
    <row r="26">
      <c r="A26" s="3" t="inlineStr">
        <is>
          <t>SPECIES_MURKROW</t>
        </is>
      </c>
      <c r="B26" s="3" t="inlineStr">
        <is>
          <t>Murkrow</t>
        </is>
      </c>
      <c r="C26" s="3" t="inlineStr">
        <is>
          <t>EVO_ITEM</t>
        </is>
      </c>
      <c r="D26" s="3" t="inlineStr">
        <is>
          <t>SPECIES_HONCHKROW</t>
        </is>
      </c>
      <c r="E26" s="3" t="n">
        <v>40</v>
      </c>
      <c r="F26" s="3" t="b">
        <v>1</v>
      </c>
      <c r="G26" s="3" t="inlineStr">
        <is>
          <t>ITEM_DUSK_STONE</t>
        </is>
      </c>
    </row>
    <row r="27">
      <c r="A27" s="3" t="inlineStr">
        <is>
          <t>SPECIES_MISDREAVUS</t>
        </is>
      </c>
      <c r="B27" s="3" t="inlineStr">
        <is>
          <t>Misdreavus</t>
        </is>
      </c>
      <c r="C27" s="3" t="inlineStr">
        <is>
          <t>EVO_ITEM</t>
        </is>
      </c>
      <c r="D27" s="3" t="inlineStr">
        <is>
          <t>SPECIES_MISMAGIUS</t>
        </is>
      </c>
      <c r="E27" s="3" t="n">
        <v>40</v>
      </c>
      <c r="F27" s="3" t="b">
        <v>1</v>
      </c>
      <c r="G27" s="3" t="inlineStr">
        <is>
          <t>ITEM_DUSK_STONE</t>
        </is>
      </c>
    </row>
    <row r="28">
      <c r="A28" s="3" t="inlineStr">
        <is>
          <t>SPECIES_QWILFISH_HISUI</t>
        </is>
      </c>
      <c r="B28" s="3" t="inlineStr">
        <is>
          <t>Qwilfish-Hisui</t>
        </is>
      </c>
      <c r="C28" s="3" t="inlineStr">
        <is>
          <t>EVO_LEVEL</t>
        </is>
      </c>
      <c r="D28" s="3" t="inlineStr">
        <is>
          <t>SPECIES_OVERQWIL</t>
        </is>
      </c>
      <c r="E28" s="3" t="n">
        <v>40</v>
      </c>
      <c r="F28" s="3" t="b">
        <v>1</v>
      </c>
      <c r="G28" s="3" t="inlineStr">
        <is>
          <t>0</t>
        </is>
      </c>
    </row>
    <row r="29">
      <c r="A29" s="3" t="inlineStr">
        <is>
          <t>SPECIES_TEDDIURSA</t>
        </is>
      </c>
      <c r="B29" s="3" t="inlineStr">
        <is>
          <t>Teddiursa</t>
        </is>
      </c>
      <c r="C29" s="3" t="inlineStr">
        <is>
          <t>EVO_LEVEL</t>
        </is>
      </c>
      <c r="D29" s="3" t="inlineStr">
        <is>
          <t>SPECIES_URSARING</t>
        </is>
      </c>
      <c r="E29" s="3" t="n">
        <v>30</v>
      </c>
      <c r="F29" s="3" t="b">
        <v>1</v>
      </c>
      <c r="G29" s="3" t="inlineStr">
        <is>
          <t>30</t>
        </is>
      </c>
    </row>
    <row r="30">
      <c r="A30" s="3" t="inlineStr">
        <is>
          <t>SPECIES_URSARING</t>
        </is>
      </c>
      <c r="B30" s="3" t="inlineStr">
        <is>
          <t>Ursaring</t>
        </is>
      </c>
      <c r="C30" s="3" t="inlineStr">
        <is>
          <t>EVO_ITEM</t>
        </is>
      </c>
      <c r="D30" s="3" t="inlineStr">
        <is>
          <t>SPECIES_URSALUNA</t>
        </is>
      </c>
      <c r="E30" s="3" t="n">
        <v>40</v>
      </c>
      <c r="F30" s="3" t="b">
        <v>1</v>
      </c>
      <c r="G30" s="3" t="inlineStr">
        <is>
          <t>ITEM_PEAT_BLOCK</t>
        </is>
      </c>
    </row>
    <row r="31">
      <c r="A31" s="3" t="inlineStr">
        <is>
          <t>SPECIES_SLUGMA</t>
        </is>
      </c>
      <c r="B31" s="3" t="inlineStr">
        <is>
          <t>Slugma</t>
        </is>
      </c>
      <c r="C31" s="3" t="inlineStr">
        <is>
          <t>EVO_LEVEL</t>
        </is>
      </c>
      <c r="D31" s="3" t="inlineStr">
        <is>
          <t>SPECIES_MAGCARGO</t>
        </is>
      </c>
      <c r="E31" s="3" t="n">
        <v>38</v>
      </c>
      <c r="F31" s="3" t="b">
        <v>1</v>
      </c>
      <c r="G31" s="3" t="inlineStr">
        <is>
          <t>38</t>
        </is>
      </c>
    </row>
    <row r="32">
      <c r="A32" s="3" t="inlineStr">
        <is>
          <t>SPECIES_SWINUB</t>
        </is>
      </c>
      <c r="B32" s="3" t="inlineStr">
        <is>
          <t>Swinub</t>
        </is>
      </c>
      <c r="C32" s="3" t="inlineStr">
        <is>
          <t>EVO_LEVEL</t>
        </is>
      </c>
      <c r="D32" s="3" t="inlineStr">
        <is>
          <t>SPECIES_PILOSWINE</t>
        </is>
      </c>
      <c r="E32" s="3" t="n">
        <v>33</v>
      </c>
      <c r="F32" s="3" t="b">
        <v>1</v>
      </c>
      <c r="G32" s="3" t="inlineStr">
        <is>
          <t>33</t>
        </is>
      </c>
    </row>
    <row r="33">
      <c r="A33" s="3" t="inlineStr">
        <is>
          <t>SPECIES_PILOSWINE</t>
        </is>
      </c>
      <c r="B33" s="3" t="inlineStr">
        <is>
          <t>Piloswine</t>
        </is>
      </c>
      <c r="C33" s="3" t="inlineStr">
        <is>
          <t>EVO_LEVEL</t>
        </is>
      </c>
      <c r="D33" s="3" t="inlineStr">
        <is>
          <t>SPECIES_MAMOSWINE</t>
        </is>
      </c>
      <c r="E33" s="3" t="n">
        <v>40</v>
      </c>
      <c r="F33" s="3" t="b">
        <v>1</v>
      </c>
      <c r="G33" s="3" t="inlineStr">
        <is>
          <t>0</t>
        </is>
      </c>
    </row>
    <row r="34">
      <c r="A34" s="3" t="inlineStr">
        <is>
          <t>SPECIES_HOUNDOUR</t>
        </is>
      </c>
      <c r="B34" s="3" t="inlineStr">
        <is>
          <t>Houndour</t>
        </is>
      </c>
      <c r="C34" s="3" t="inlineStr">
        <is>
          <t>EVO_LEVEL</t>
        </is>
      </c>
      <c r="D34" s="3" t="inlineStr">
        <is>
          <t>SPECIES_HOUNDOOM</t>
        </is>
      </c>
      <c r="E34" s="3" t="n">
        <v>24</v>
      </c>
      <c r="F34" s="3" t="b">
        <v>1</v>
      </c>
      <c r="G34" s="3" t="inlineStr">
        <is>
          <t>24</t>
        </is>
      </c>
    </row>
    <row r="35">
      <c r="A35" s="3" t="inlineStr">
        <is>
          <t>SPECIES_HORSEA</t>
        </is>
      </c>
      <c r="B35" s="3" t="inlineStr">
        <is>
          <t>Horsea</t>
        </is>
      </c>
      <c r="C35" s="3" t="inlineStr">
        <is>
          <t>EVO_LEVEL</t>
        </is>
      </c>
      <c r="D35" s="3" t="inlineStr">
        <is>
          <t>SPECIES_SEADRA</t>
        </is>
      </c>
      <c r="E35" s="3" t="n">
        <v>32</v>
      </c>
      <c r="F35" s="3" t="b">
        <v>1</v>
      </c>
      <c r="G35" s="3" t="inlineStr">
        <is>
          <t>32</t>
        </is>
      </c>
    </row>
    <row r="36">
      <c r="A36" s="3" t="inlineStr">
        <is>
          <t>SPECIES_SEADRA</t>
        </is>
      </c>
      <c r="B36" s="3" t="inlineStr">
        <is>
          <t>Seadra</t>
        </is>
      </c>
      <c r="C36" s="3" t="inlineStr">
        <is>
          <t>EVO_TRADE</t>
        </is>
      </c>
      <c r="D36" s="3" t="inlineStr">
        <is>
          <t>SPECIES_KINGDRA</t>
        </is>
      </c>
      <c r="E36" s="3" t="n">
        <v>40</v>
      </c>
      <c r="F36" s="3" t="b">
        <v>1</v>
      </c>
      <c r="G36" s="3" t="inlineStr">
        <is>
          <t>0</t>
        </is>
      </c>
    </row>
    <row r="37">
      <c r="A37" s="3" t="inlineStr">
        <is>
          <t>SPECIES_SEADRA</t>
        </is>
      </c>
      <c r="B37" s="3" t="inlineStr">
        <is>
          <t>Seadra</t>
        </is>
      </c>
      <c r="C37" s="3" t="inlineStr">
        <is>
          <t>EVO_ITEM</t>
        </is>
      </c>
      <c r="D37" s="3" t="inlineStr">
        <is>
          <t>SPECIES_KINGDRA</t>
        </is>
      </c>
      <c r="E37" s="3" t="n">
        <v>40</v>
      </c>
      <c r="F37" s="3" t="b">
        <v>0</v>
      </c>
      <c r="G37" s="3" t="inlineStr">
        <is>
          <t>ITEM_DRAGON_SCALE</t>
        </is>
      </c>
    </row>
    <row r="38">
      <c r="A38" s="3" t="inlineStr">
        <is>
          <t>SPECIES_LARVITAR</t>
        </is>
      </c>
      <c r="B38" s="3" t="inlineStr">
        <is>
          <t>Larvitar</t>
        </is>
      </c>
      <c r="C38" s="3" t="inlineStr">
        <is>
          <t>EVO_LEVEL</t>
        </is>
      </c>
      <c r="D38" s="3" t="inlineStr">
        <is>
          <t>SPECIES_PUPITAR</t>
        </is>
      </c>
      <c r="E38" s="3" t="n">
        <v>30</v>
      </c>
      <c r="F38" s="3" t="b">
        <v>1</v>
      </c>
      <c r="G38" s="3" t="inlineStr">
        <is>
          <t>30</t>
        </is>
      </c>
    </row>
    <row r="39">
      <c r="A39" s="3" t="inlineStr">
        <is>
          <t>SPECIES_PUPITAR</t>
        </is>
      </c>
      <c r="B39" s="3" t="inlineStr">
        <is>
          <t>Pupitar</t>
        </is>
      </c>
      <c r="C39" s="3" t="inlineStr">
        <is>
          <t>EVO_LEVEL</t>
        </is>
      </c>
      <c r="D39" s="3" t="inlineStr">
        <is>
          <t>SPECIES_TYRANITAR</t>
        </is>
      </c>
      <c r="E39" s="3" t="n">
        <v>55</v>
      </c>
      <c r="F39" s="3" t="b">
        <v>1</v>
      </c>
      <c r="G39" s="3" t="inlineStr">
        <is>
          <t>55</t>
        </is>
      </c>
    </row>
    <row r="40">
      <c r="A40" s="3" t="inlineStr">
        <is>
          <t>SPECIES_TREECKO</t>
        </is>
      </c>
      <c r="B40" s="3" t="inlineStr">
        <is>
          <t>Treecko</t>
        </is>
      </c>
      <c r="C40" s="3" t="inlineStr">
        <is>
          <t>EVO_LEVEL</t>
        </is>
      </c>
      <c r="D40" s="3" t="inlineStr">
        <is>
          <t>SPECIES_GROVYLE</t>
        </is>
      </c>
      <c r="E40" s="3" t="n">
        <v>16</v>
      </c>
      <c r="F40" s="3" t="b">
        <v>1</v>
      </c>
      <c r="G40" s="3" t="inlineStr">
        <is>
          <t>16</t>
        </is>
      </c>
    </row>
    <row r="41">
      <c r="A41" s="3" t="inlineStr">
        <is>
          <t>SPECIES_GROVYLE</t>
        </is>
      </c>
      <c r="B41" s="3" t="inlineStr">
        <is>
          <t>Grovyle</t>
        </is>
      </c>
      <c r="C41" s="3" t="inlineStr">
        <is>
          <t>EVO_LEVEL</t>
        </is>
      </c>
      <c r="D41" s="3" t="inlineStr">
        <is>
          <t>SPECIES_SCEPTILE</t>
        </is>
      </c>
      <c r="E41" s="3" t="n">
        <v>36</v>
      </c>
      <c r="F41" s="3" t="b">
        <v>1</v>
      </c>
      <c r="G41" s="3" t="inlineStr">
        <is>
          <t>36</t>
        </is>
      </c>
    </row>
    <row r="42">
      <c r="A42" s="3" t="inlineStr">
        <is>
          <t>SPECIES_TORCHIC</t>
        </is>
      </c>
      <c r="B42" s="3" t="inlineStr">
        <is>
          <t>Torchic</t>
        </is>
      </c>
      <c r="C42" s="3" t="inlineStr">
        <is>
          <t>EVO_LEVEL</t>
        </is>
      </c>
      <c r="D42" s="3" t="inlineStr">
        <is>
          <t>SPECIES_COMBUSKEN</t>
        </is>
      </c>
      <c r="E42" s="3" t="n">
        <v>16</v>
      </c>
      <c r="F42" s="3" t="b">
        <v>1</v>
      </c>
      <c r="G42" s="3" t="inlineStr">
        <is>
          <t>16</t>
        </is>
      </c>
    </row>
    <row r="43">
      <c r="A43" s="3" t="inlineStr">
        <is>
          <t>SPECIES_COMBUSKEN</t>
        </is>
      </c>
      <c r="B43" s="3" t="inlineStr">
        <is>
          <t>Combusken</t>
        </is>
      </c>
      <c r="C43" s="3" t="inlineStr">
        <is>
          <t>EVO_LEVEL</t>
        </is>
      </c>
      <c r="D43" s="3" t="inlineStr">
        <is>
          <t>SPECIES_BLAZIKEN</t>
        </is>
      </c>
      <c r="E43" s="3" t="n">
        <v>36</v>
      </c>
      <c r="F43" s="3" t="b">
        <v>1</v>
      </c>
      <c r="G43" s="3" t="inlineStr">
        <is>
          <t>36</t>
        </is>
      </c>
    </row>
    <row r="44">
      <c r="A44" s="3" t="inlineStr">
        <is>
          <t>SPECIES_MUDKIP</t>
        </is>
      </c>
      <c r="B44" s="3" t="inlineStr">
        <is>
          <t>Mudkip</t>
        </is>
      </c>
      <c r="C44" s="3" t="inlineStr">
        <is>
          <t>EVO_LEVEL</t>
        </is>
      </c>
      <c r="D44" s="3" t="inlineStr">
        <is>
          <t>SPECIES_MARSHTOMP</t>
        </is>
      </c>
      <c r="E44" s="3" t="n">
        <v>16</v>
      </c>
      <c r="F44" s="3" t="b">
        <v>1</v>
      </c>
      <c r="G44" s="3" t="inlineStr">
        <is>
          <t>16</t>
        </is>
      </c>
    </row>
    <row r="45">
      <c r="A45" s="3" t="inlineStr">
        <is>
          <t>SPECIES_MARSHTOMP</t>
        </is>
      </c>
      <c r="B45" s="3" t="inlineStr">
        <is>
          <t>Marshtomp</t>
        </is>
      </c>
      <c r="C45" s="3" t="inlineStr">
        <is>
          <t>EVO_LEVEL</t>
        </is>
      </c>
      <c r="D45" s="3" t="inlineStr">
        <is>
          <t>SPECIES_SWAMPERT</t>
        </is>
      </c>
      <c r="E45" s="3" t="n">
        <v>36</v>
      </c>
      <c r="F45" s="3" t="b">
        <v>1</v>
      </c>
      <c r="G45" s="3" t="inlineStr">
        <is>
          <t>36</t>
        </is>
      </c>
    </row>
    <row r="46">
      <c r="A46" s="3" t="inlineStr">
        <is>
          <t>SPECIES_TAILLOW</t>
        </is>
      </c>
      <c r="B46" s="3" t="inlineStr">
        <is>
          <t>Taillow</t>
        </is>
      </c>
      <c r="C46" s="3" t="inlineStr">
        <is>
          <t>EVO_LEVEL</t>
        </is>
      </c>
      <c r="D46" s="3" t="inlineStr">
        <is>
          <t>SPECIES_SWELLOW</t>
        </is>
      </c>
      <c r="E46" s="3" t="n">
        <v>22</v>
      </c>
      <c r="F46" s="3" t="b">
        <v>1</v>
      </c>
      <c r="G46" s="3" t="inlineStr">
        <is>
          <t>22</t>
        </is>
      </c>
    </row>
    <row r="47">
      <c r="A47" s="3" t="inlineStr">
        <is>
          <t>SPECIES_RALTS</t>
        </is>
      </c>
      <c r="B47" s="3" t="inlineStr">
        <is>
          <t>Ralts</t>
        </is>
      </c>
      <c r="C47" s="3" t="inlineStr">
        <is>
          <t>EVO_LEVEL</t>
        </is>
      </c>
      <c r="D47" s="3" t="inlineStr">
        <is>
          <t>SPECIES_KIRLIA</t>
        </is>
      </c>
      <c r="E47" s="3" t="n">
        <v>20</v>
      </c>
      <c r="F47" s="3" t="b">
        <v>1</v>
      </c>
      <c r="G47" s="3" t="inlineStr">
        <is>
          <t>20</t>
        </is>
      </c>
    </row>
    <row r="48">
      <c r="A48" s="3" t="inlineStr">
        <is>
          <t>SPECIES_KIRLIA</t>
        </is>
      </c>
      <c r="B48" s="3" t="inlineStr">
        <is>
          <t>Kirlia</t>
        </is>
      </c>
      <c r="C48" s="3" t="inlineStr">
        <is>
          <t>EVO_LEVEL</t>
        </is>
      </c>
      <c r="D48" s="3" t="inlineStr">
        <is>
          <t>SPECIES_GARDEVOIR</t>
        </is>
      </c>
      <c r="E48" s="3" t="n">
        <v>30</v>
      </c>
      <c r="F48" s="3" t="b">
        <v>1</v>
      </c>
      <c r="G48" s="3" t="inlineStr">
        <is>
          <t>30</t>
        </is>
      </c>
    </row>
    <row r="49">
      <c r="A49" s="3" t="inlineStr">
        <is>
          <t>SPECIES_KIRLIA</t>
        </is>
      </c>
      <c r="B49" s="3" t="inlineStr">
        <is>
          <t>Kirlia</t>
        </is>
      </c>
      <c r="C49" s="3" t="inlineStr">
        <is>
          <t>EVO_ITEM</t>
        </is>
      </c>
      <c r="D49" s="3" t="inlineStr">
        <is>
          <t>SPECIES_GALLADE</t>
        </is>
      </c>
      <c r="E49" s="3" t="n">
        <v>40</v>
      </c>
      <c r="F49" s="3" t="b">
        <v>0</v>
      </c>
      <c r="G49" s="3" t="inlineStr">
        <is>
          <t>ITEM_DAWN_STONE</t>
        </is>
      </c>
    </row>
    <row r="50">
      <c r="A50" s="3" t="inlineStr">
        <is>
          <t>SPECIES_ARON</t>
        </is>
      </c>
      <c r="B50" s="3" t="inlineStr">
        <is>
          <t>Aron</t>
        </is>
      </c>
      <c r="C50" s="3" t="inlineStr">
        <is>
          <t>EVO_LEVEL</t>
        </is>
      </c>
      <c r="D50" s="3" t="inlineStr">
        <is>
          <t>SPECIES_LAIRON</t>
        </is>
      </c>
      <c r="E50" s="3" t="n">
        <v>32</v>
      </c>
      <c r="F50" s="3" t="b">
        <v>1</v>
      </c>
      <c r="G50" s="3" t="inlineStr">
        <is>
          <t>32</t>
        </is>
      </c>
    </row>
    <row r="51">
      <c r="A51" s="3" t="inlineStr">
        <is>
          <t>SPECIES_LAIRON</t>
        </is>
      </c>
      <c r="B51" s="3" t="inlineStr">
        <is>
          <t>Lairon</t>
        </is>
      </c>
      <c r="C51" s="3" t="inlineStr">
        <is>
          <t>EVO_LEVEL</t>
        </is>
      </c>
      <c r="D51" s="3" t="inlineStr">
        <is>
          <t>SPECIES_AGGRON</t>
        </is>
      </c>
      <c r="E51" s="3" t="n">
        <v>42</v>
      </c>
      <c r="F51" s="3" t="b">
        <v>1</v>
      </c>
      <c r="G51" s="3" t="inlineStr">
        <is>
          <t>42</t>
        </is>
      </c>
    </row>
    <row r="52">
      <c r="A52" s="3" t="inlineStr">
        <is>
          <t>SPECIES_MEDITITE</t>
        </is>
      </c>
      <c r="B52" s="3" t="inlineStr">
        <is>
          <t>Meditite</t>
        </is>
      </c>
      <c r="C52" s="3" t="inlineStr">
        <is>
          <t>EVO_LEVEL</t>
        </is>
      </c>
      <c r="D52" s="3" t="inlineStr">
        <is>
          <t>SPECIES_MEDICHAM</t>
        </is>
      </c>
      <c r="E52" s="3" t="n">
        <v>37</v>
      </c>
      <c r="F52" s="3" t="b">
        <v>1</v>
      </c>
      <c r="G52" s="3" t="inlineStr">
        <is>
          <t>37</t>
        </is>
      </c>
    </row>
    <row r="53">
      <c r="A53" s="3" t="inlineStr">
        <is>
          <t>SPECIES_ELECTRIKE</t>
        </is>
      </c>
      <c r="B53" s="3" t="inlineStr">
        <is>
          <t>Electrike</t>
        </is>
      </c>
      <c r="C53" s="3" t="inlineStr">
        <is>
          <t>EVO_LEVEL</t>
        </is>
      </c>
      <c r="D53" s="3" t="inlineStr">
        <is>
          <t>SPECIES_MANECTRIC</t>
        </is>
      </c>
      <c r="E53" s="3" t="n">
        <v>26</v>
      </c>
      <c r="F53" s="3" t="b">
        <v>1</v>
      </c>
      <c r="G53" s="3" t="inlineStr">
        <is>
          <t>26</t>
        </is>
      </c>
    </row>
    <row r="54">
      <c r="A54" s="3" t="inlineStr">
        <is>
          <t>SPECIES_BUDEW</t>
        </is>
      </c>
      <c r="B54" s="3" t="inlineStr">
        <is>
          <t>Budew</t>
        </is>
      </c>
      <c r="C54" s="3" t="inlineStr">
        <is>
          <t>EVO_LEVEL</t>
        </is>
      </c>
      <c r="D54" s="3" t="inlineStr">
        <is>
          <t>SPECIES_ROSELIA</t>
        </is>
      </c>
      <c r="E54" s="3" t="n">
        <v>40</v>
      </c>
      <c r="F54" s="3" t="b">
        <v>1</v>
      </c>
      <c r="G54" s="3" t="inlineStr">
        <is>
          <t>0</t>
        </is>
      </c>
    </row>
    <row r="55">
      <c r="A55" s="3" t="inlineStr">
        <is>
          <t>SPECIES_ROSELIA</t>
        </is>
      </c>
      <c r="B55" s="3" t="inlineStr">
        <is>
          <t>Roselia</t>
        </is>
      </c>
      <c r="C55" s="3" t="inlineStr">
        <is>
          <t>EVO_ITEM</t>
        </is>
      </c>
      <c r="D55" s="3" t="inlineStr">
        <is>
          <t>SPECIES_ROSERADE</t>
        </is>
      </c>
      <c r="E55" s="3" t="n">
        <v>40</v>
      </c>
      <c r="F55" s="3" t="b">
        <v>1</v>
      </c>
      <c r="G55" s="3" t="inlineStr">
        <is>
          <t>ITEM_SHINY_STONE</t>
        </is>
      </c>
    </row>
    <row r="56">
      <c r="A56" s="3" t="inlineStr">
        <is>
          <t>SPECIES_NUMEL</t>
        </is>
      </c>
      <c r="B56" s="3" t="inlineStr">
        <is>
          <t>Numel</t>
        </is>
      </c>
      <c r="C56" s="3" t="inlineStr">
        <is>
          <t>EVO_LEVEL</t>
        </is>
      </c>
      <c r="D56" s="3" t="inlineStr">
        <is>
          <t>SPECIES_CAMERUPT</t>
        </is>
      </c>
      <c r="E56" s="3" t="n">
        <v>33</v>
      </c>
      <c r="F56" s="3" t="b">
        <v>1</v>
      </c>
      <c r="G56" s="3" t="inlineStr">
        <is>
          <t>33</t>
        </is>
      </c>
    </row>
    <row r="57">
      <c r="A57" s="3" t="inlineStr">
        <is>
          <t>SPECIES_TRAPINCH</t>
        </is>
      </c>
      <c r="B57" s="3" t="inlineStr">
        <is>
          <t>Trapinch</t>
        </is>
      </c>
      <c r="C57" s="3" t="inlineStr">
        <is>
          <t>EVO_LEVEL</t>
        </is>
      </c>
      <c r="D57" s="3" t="inlineStr">
        <is>
          <t>SPECIES_VIBRAVA</t>
        </is>
      </c>
      <c r="E57" s="3" t="n">
        <v>35</v>
      </c>
      <c r="F57" s="3" t="b">
        <v>1</v>
      </c>
      <c r="G57" s="3" t="inlineStr">
        <is>
          <t>35</t>
        </is>
      </c>
    </row>
    <row r="58">
      <c r="A58" s="3" t="inlineStr">
        <is>
          <t>SPECIES_VIBRAVA</t>
        </is>
      </c>
      <c r="B58" s="3" t="inlineStr">
        <is>
          <t>Vibrava</t>
        </is>
      </c>
      <c r="C58" s="3" t="inlineStr">
        <is>
          <t>EVO_LEVEL</t>
        </is>
      </c>
      <c r="D58" s="3" t="inlineStr">
        <is>
          <t>SPECIES_FLYGON</t>
        </is>
      </c>
      <c r="E58" s="3" t="n">
        <v>45</v>
      </c>
      <c r="F58" s="3" t="b">
        <v>1</v>
      </c>
      <c r="G58" s="3" t="inlineStr">
        <is>
          <t>45</t>
        </is>
      </c>
    </row>
    <row r="59">
      <c r="A59" s="3" t="inlineStr">
        <is>
          <t>SPECIES_SWABLU</t>
        </is>
      </c>
      <c r="B59" s="3" t="inlineStr">
        <is>
          <t>Swablu</t>
        </is>
      </c>
      <c r="C59" s="3" t="inlineStr">
        <is>
          <t>EVO_LEVEL</t>
        </is>
      </c>
      <c r="D59" s="3" t="inlineStr">
        <is>
          <t>SPECIES_ALTARIA</t>
        </is>
      </c>
      <c r="E59" s="3" t="n">
        <v>35</v>
      </c>
      <c r="F59" s="3" t="b">
        <v>1</v>
      </c>
      <c r="G59" s="3" t="inlineStr">
        <is>
          <t>35</t>
        </is>
      </c>
    </row>
    <row r="60">
      <c r="A60" s="3" t="inlineStr">
        <is>
          <t>SPECIES_CORPHISH</t>
        </is>
      </c>
      <c r="B60" s="3" t="inlineStr">
        <is>
          <t>Corphish</t>
        </is>
      </c>
      <c r="C60" s="3" t="inlineStr">
        <is>
          <t>EVO_LEVEL</t>
        </is>
      </c>
      <c r="D60" s="3" t="inlineStr">
        <is>
          <t>SPECIES_CRAWDAUNT</t>
        </is>
      </c>
      <c r="E60" s="3" t="n">
        <v>30</v>
      </c>
      <c r="F60" s="3" t="b">
        <v>1</v>
      </c>
      <c r="G60" s="3" t="inlineStr">
        <is>
          <t>30</t>
        </is>
      </c>
    </row>
    <row r="61">
      <c r="A61" s="3" t="inlineStr">
        <is>
          <t>SPECIES_BALTOY</t>
        </is>
      </c>
      <c r="B61" s="3" t="inlineStr">
        <is>
          <t>Baltoy</t>
        </is>
      </c>
      <c r="C61" s="3" t="inlineStr">
        <is>
          <t>EVO_LEVEL</t>
        </is>
      </c>
      <c r="D61" s="3" t="inlineStr">
        <is>
          <t>SPECIES_CLAYDOL</t>
        </is>
      </c>
      <c r="E61" s="3" t="n">
        <v>36</v>
      </c>
      <c r="F61" s="3" t="b">
        <v>1</v>
      </c>
      <c r="G61" s="3" t="inlineStr">
        <is>
          <t>36</t>
        </is>
      </c>
    </row>
    <row r="62">
      <c r="A62" s="3" t="inlineStr">
        <is>
          <t>SPECIES_LILEEP</t>
        </is>
      </c>
      <c r="B62" s="3" t="inlineStr">
        <is>
          <t>Lileep</t>
        </is>
      </c>
      <c r="C62" s="3" t="inlineStr">
        <is>
          <t>EVO_LEVEL</t>
        </is>
      </c>
      <c r="D62" s="3" t="inlineStr">
        <is>
          <t>SPECIES_CRADILY</t>
        </is>
      </c>
      <c r="E62" s="3" t="n">
        <v>40</v>
      </c>
      <c r="F62" s="3" t="b">
        <v>1</v>
      </c>
      <c r="G62" s="3" t="inlineStr">
        <is>
          <t>40</t>
        </is>
      </c>
    </row>
    <row r="63">
      <c r="A63" s="3" t="inlineStr">
        <is>
          <t>SPECIES_ANORITH</t>
        </is>
      </c>
      <c r="B63" s="3" t="inlineStr">
        <is>
          <t>Anorith</t>
        </is>
      </c>
      <c r="C63" s="3" t="inlineStr">
        <is>
          <t>EVO_LEVEL</t>
        </is>
      </c>
      <c r="D63" s="3" t="inlineStr">
        <is>
          <t>SPECIES_ARMALDO</t>
        </is>
      </c>
      <c r="E63" s="3" t="n">
        <v>40</v>
      </c>
      <c r="F63" s="3" t="b">
        <v>1</v>
      </c>
      <c r="G63" s="3" t="inlineStr">
        <is>
          <t>40</t>
        </is>
      </c>
    </row>
    <row r="64">
      <c r="A64" s="3" t="inlineStr">
        <is>
          <t>SPECIES_SHUPPET</t>
        </is>
      </c>
      <c r="B64" s="3" t="inlineStr">
        <is>
          <t>Shuppet</t>
        </is>
      </c>
      <c r="C64" s="3" t="inlineStr">
        <is>
          <t>EVO_LEVEL</t>
        </is>
      </c>
      <c r="D64" s="3" t="inlineStr">
        <is>
          <t>SPECIES_BANETTE</t>
        </is>
      </c>
      <c r="E64" s="3" t="n">
        <v>37</v>
      </c>
      <c r="F64" s="3" t="b">
        <v>1</v>
      </c>
      <c r="G64" s="3" t="inlineStr">
        <is>
          <t>37</t>
        </is>
      </c>
    </row>
    <row r="65">
      <c r="A65" s="3" t="inlineStr">
        <is>
          <t>SPECIES_SNORUNT</t>
        </is>
      </c>
      <c r="B65" s="3" t="inlineStr">
        <is>
          <t>Snorunt</t>
        </is>
      </c>
      <c r="C65" s="3" t="inlineStr">
        <is>
          <t>EVO_LEVEL</t>
        </is>
      </c>
      <c r="D65" s="3" t="inlineStr">
        <is>
          <t>SPECIES_GLALIE</t>
        </is>
      </c>
      <c r="E65" s="3" t="n">
        <v>42</v>
      </c>
      <c r="F65" s="3" t="b">
        <v>1</v>
      </c>
      <c r="G65" s="3" t="inlineStr">
        <is>
          <t>42</t>
        </is>
      </c>
    </row>
    <row r="66">
      <c r="A66" s="3" t="inlineStr">
        <is>
          <t>SPECIES_SNORUNT</t>
        </is>
      </c>
      <c r="B66" s="3" t="inlineStr">
        <is>
          <t>Snorunt</t>
        </is>
      </c>
      <c r="C66" s="3" t="inlineStr">
        <is>
          <t>EVO_ITEM</t>
        </is>
      </c>
      <c r="D66" s="3" t="inlineStr">
        <is>
          <t>SPECIES_FROSLASS</t>
        </is>
      </c>
      <c r="E66" s="3" t="n">
        <v>40</v>
      </c>
      <c r="F66" s="3" t="b">
        <v>0</v>
      </c>
      <c r="G66" s="3" t="inlineStr">
        <is>
          <t>ITEM_DAWN_STONE</t>
        </is>
      </c>
    </row>
    <row r="67">
      <c r="A67" s="3" t="inlineStr">
        <is>
          <t>SPECIES_SPHEAL</t>
        </is>
      </c>
      <c r="B67" s="3" t="inlineStr">
        <is>
          <t>Spheal</t>
        </is>
      </c>
      <c r="C67" s="3" t="inlineStr">
        <is>
          <t>EVO_LEVEL</t>
        </is>
      </c>
      <c r="D67" s="3" t="inlineStr">
        <is>
          <t>SPECIES_SEALEO</t>
        </is>
      </c>
      <c r="E67" s="3" t="n">
        <v>32</v>
      </c>
      <c r="F67" s="3" t="b">
        <v>1</v>
      </c>
      <c r="G67" s="3" t="inlineStr">
        <is>
          <t>32</t>
        </is>
      </c>
    </row>
    <row r="68">
      <c r="A68" s="3" t="inlineStr">
        <is>
          <t>SPECIES_SEALEO</t>
        </is>
      </c>
      <c r="B68" s="3" t="inlineStr">
        <is>
          <t>Sealeo</t>
        </is>
      </c>
      <c r="C68" s="3" t="inlineStr">
        <is>
          <t>EVO_LEVEL</t>
        </is>
      </c>
      <c r="D68" s="3" t="inlineStr">
        <is>
          <t>SPECIES_WALREIN</t>
        </is>
      </c>
      <c r="E68" s="3" t="n">
        <v>44</v>
      </c>
      <c r="F68" s="3" t="b">
        <v>1</v>
      </c>
      <c r="G68" s="3" t="inlineStr">
        <is>
          <t>44</t>
        </is>
      </c>
    </row>
    <row r="69">
      <c r="A69" s="3" t="inlineStr">
        <is>
          <t>SPECIES_STARLY</t>
        </is>
      </c>
      <c r="B69" s="3" t="inlineStr">
        <is>
          <t>Starly</t>
        </is>
      </c>
      <c r="C69" s="3" t="inlineStr">
        <is>
          <t>EVO_LEVEL</t>
        </is>
      </c>
      <c r="D69" s="3" t="inlineStr">
        <is>
          <t>SPECIES_STARAVIA</t>
        </is>
      </c>
      <c r="E69" s="3" t="n">
        <v>14</v>
      </c>
      <c r="F69" s="3" t="b">
        <v>1</v>
      </c>
      <c r="G69" s="3" t="inlineStr">
        <is>
          <t>14</t>
        </is>
      </c>
    </row>
    <row r="70">
      <c r="A70" s="3" t="inlineStr">
        <is>
          <t>SPECIES_STARAVIA</t>
        </is>
      </c>
      <c r="B70" s="3" t="inlineStr">
        <is>
          <t>Staravia</t>
        </is>
      </c>
      <c r="C70" s="3" t="inlineStr">
        <is>
          <t>EVO_LEVEL</t>
        </is>
      </c>
      <c r="D70" s="3" t="inlineStr">
        <is>
          <t>SPECIES_STARAPTOR</t>
        </is>
      </c>
      <c r="E70" s="3" t="n">
        <v>34</v>
      </c>
      <c r="F70" s="3" t="b">
        <v>1</v>
      </c>
      <c r="G70" s="3" t="inlineStr">
        <is>
          <t>34</t>
        </is>
      </c>
    </row>
    <row r="71">
      <c r="A71" s="3" t="inlineStr">
        <is>
          <t>SPECIES_SHINX</t>
        </is>
      </c>
      <c r="B71" s="3" t="inlineStr">
        <is>
          <t>Shinx</t>
        </is>
      </c>
      <c r="C71" s="3" t="inlineStr">
        <is>
          <t>EVO_LEVEL</t>
        </is>
      </c>
      <c r="D71" s="3" t="inlineStr">
        <is>
          <t>SPECIES_LUXIO</t>
        </is>
      </c>
      <c r="E71" s="3" t="n">
        <v>15</v>
      </c>
      <c r="F71" s="3" t="b">
        <v>1</v>
      </c>
      <c r="G71" s="3" t="inlineStr">
        <is>
          <t>15</t>
        </is>
      </c>
    </row>
    <row r="72">
      <c r="A72" s="3" t="inlineStr">
        <is>
          <t>SPECIES_LUXIO</t>
        </is>
      </c>
      <c r="B72" s="3" t="inlineStr">
        <is>
          <t>Luxio</t>
        </is>
      </c>
      <c r="C72" s="3" t="inlineStr">
        <is>
          <t>EVO_LEVEL</t>
        </is>
      </c>
      <c r="D72" s="3" t="inlineStr">
        <is>
          <t>SPECIES_LUXRAY</t>
        </is>
      </c>
      <c r="E72" s="3" t="n">
        <v>30</v>
      </c>
      <c r="F72" s="3" t="b">
        <v>1</v>
      </c>
      <c r="G72" s="3" t="inlineStr">
        <is>
          <t>30</t>
        </is>
      </c>
    </row>
    <row r="73">
      <c r="A73" s="3" t="inlineStr">
        <is>
          <t>SPECIES_COMBEE</t>
        </is>
      </c>
      <c r="B73" s="3" t="inlineStr">
        <is>
          <t>Combee</t>
        </is>
      </c>
      <c r="C73" s="3" t="inlineStr">
        <is>
          <t>EVO_LEVEL</t>
        </is>
      </c>
      <c r="D73" s="3" t="inlineStr">
        <is>
          <t>SPECIES_VESPIQUEN</t>
        </is>
      </c>
      <c r="E73" s="3" t="n">
        <v>21</v>
      </c>
      <c r="F73" s="3" t="b">
        <v>1</v>
      </c>
      <c r="G73" s="3" t="inlineStr">
        <is>
          <t>21</t>
        </is>
      </c>
    </row>
    <row r="74">
      <c r="A74" s="3" t="inlineStr">
        <is>
          <t>SPECIES_BUIZEL</t>
        </is>
      </c>
      <c r="B74" s="3" t="inlineStr">
        <is>
          <t>Buizel</t>
        </is>
      </c>
      <c r="C74" s="3" t="inlineStr">
        <is>
          <t>EVO_LEVEL</t>
        </is>
      </c>
      <c r="D74" s="3" t="inlineStr">
        <is>
          <t>SPECIES_FLOATZEL</t>
        </is>
      </c>
      <c r="E74" s="3" t="n">
        <v>26</v>
      </c>
      <c r="F74" s="3" t="b">
        <v>1</v>
      </c>
      <c r="G74" s="3" t="inlineStr">
        <is>
          <t>26</t>
        </is>
      </c>
    </row>
    <row r="75">
      <c r="A75" s="3" t="inlineStr">
        <is>
          <t>SPECIES_DRIFLOON</t>
        </is>
      </c>
      <c r="B75" s="3" t="inlineStr">
        <is>
          <t>Drifloon</t>
        </is>
      </c>
      <c r="C75" s="3" t="inlineStr">
        <is>
          <t>EVO_LEVEL</t>
        </is>
      </c>
      <c r="D75" s="3" t="inlineStr">
        <is>
          <t>SPECIES_DRIFBLIM</t>
        </is>
      </c>
      <c r="E75" s="3" t="n">
        <v>28</v>
      </c>
      <c r="F75" s="3" t="b">
        <v>1</v>
      </c>
      <c r="G75" s="3" t="inlineStr">
        <is>
          <t>28</t>
        </is>
      </c>
    </row>
    <row r="76">
      <c r="A76" s="3" t="inlineStr">
        <is>
          <t>SPECIES_BUNEARY</t>
        </is>
      </c>
      <c r="B76" s="3" t="inlineStr">
        <is>
          <t>Buneary</t>
        </is>
      </c>
      <c r="C76" s="3" t="inlineStr">
        <is>
          <t>EVO_LEVEL</t>
        </is>
      </c>
      <c r="D76" s="3" t="inlineStr">
        <is>
          <t>SPECIES_LOPUNNY</t>
        </is>
      </c>
      <c r="E76" s="3" t="n">
        <v>40</v>
      </c>
      <c r="F76" s="3" t="b">
        <v>1</v>
      </c>
      <c r="G76" s="3" t="inlineStr">
        <is>
          <t>0</t>
        </is>
      </c>
    </row>
    <row r="77">
      <c r="A77" s="3" t="inlineStr">
        <is>
          <t>SPECIES_BRONZOR</t>
        </is>
      </c>
      <c r="B77" s="3" t="inlineStr">
        <is>
          <t>Bronzor</t>
        </is>
      </c>
      <c r="C77" s="3" t="inlineStr">
        <is>
          <t>EVO_LEVEL</t>
        </is>
      </c>
      <c r="D77" s="3" t="inlineStr">
        <is>
          <t>SPECIES_BRONZONG</t>
        </is>
      </c>
      <c r="E77" s="3" t="n">
        <v>33</v>
      </c>
      <c r="F77" s="3" t="b">
        <v>1</v>
      </c>
      <c r="G77" s="3" t="inlineStr">
        <is>
          <t>33</t>
        </is>
      </c>
    </row>
    <row r="78">
      <c r="A78" s="3" t="inlineStr">
        <is>
          <t>SPECIES_RIOLU</t>
        </is>
      </c>
      <c r="B78" s="3" t="inlineStr">
        <is>
          <t>Riolu</t>
        </is>
      </c>
      <c r="C78" s="3" t="inlineStr">
        <is>
          <t>EVO_LEVEL</t>
        </is>
      </c>
      <c r="D78" s="3" t="inlineStr">
        <is>
          <t>SPECIES_LUCARIO</t>
        </is>
      </c>
      <c r="E78" s="3" t="n">
        <v>40</v>
      </c>
      <c r="F78" s="3" t="b">
        <v>1</v>
      </c>
      <c r="G78" s="3" t="inlineStr">
        <is>
          <t>0</t>
        </is>
      </c>
    </row>
    <row r="79">
      <c r="A79" s="3" t="inlineStr">
        <is>
          <t>SPECIES_SKORUPI</t>
        </is>
      </c>
      <c r="B79" s="3" t="inlineStr">
        <is>
          <t>Skorupi</t>
        </is>
      </c>
      <c r="C79" s="3" t="inlineStr">
        <is>
          <t>EVO_LEVEL</t>
        </is>
      </c>
      <c r="D79" s="3" t="inlineStr">
        <is>
          <t>SPECIES_DRAPION</t>
        </is>
      </c>
      <c r="E79" s="3" t="n">
        <v>40</v>
      </c>
      <c r="F79" s="3" t="b">
        <v>1</v>
      </c>
      <c r="G79" s="3" t="inlineStr">
        <is>
          <t>40</t>
        </is>
      </c>
    </row>
    <row r="80">
      <c r="A80" s="3" t="inlineStr">
        <is>
          <t>SPECIES_CROAGUNK</t>
        </is>
      </c>
      <c r="B80" s="3" t="inlineStr">
        <is>
          <t>Croagunk</t>
        </is>
      </c>
      <c r="C80" s="3" t="inlineStr">
        <is>
          <t>EVO_LEVEL</t>
        </is>
      </c>
      <c r="D80" s="3" t="inlineStr">
        <is>
          <t>SPECIES_TOXICROAK</t>
        </is>
      </c>
      <c r="E80" s="3" t="n">
        <v>37</v>
      </c>
      <c r="F80" s="3" t="b">
        <v>1</v>
      </c>
      <c r="G80" s="3" t="inlineStr">
        <is>
          <t>37</t>
        </is>
      </c>
    </row>
    <row r="81">
      <c r="A81" s="3" t="inlineStr">
        <is>
          <t>SPECIES_FINNEON</t>
        </is>
      </c>
      <c r="B81" s="3" t="inlineStr">
        <is>
          <t>Finneon</t>
        </is>
      </c>
      <c r="C81" s="3" t="inlineStr">
        <is>
          <t>EVO_LEVEL</t>
        </is>
      </c>
      <c r="D81" s="3" t="inlineStr">
        <is>
          <t>SPECIES_LUMINEON</t>
        </is>
      </c>
      <c r="E81" s="3" t="n">
        <v>31</v>
      </c>
      <c r="F81" s="3" t="b">
        <v>1</v>
      </c>
      <c r="G81" s="3" t="inlineStr">
        <is>
          <t>31</t>
        </is>
      </c>
    </row>
    <row r="82">
      <c r="A82" s="3" t="inlineStr">
        <is>
          <t>SPECIES_SNOVER</t>
        </is>
      </c>
      <c r="B82" s="3" t="inlineStr">
        <is>
          <t>Snover</t>
        </is>
      </c>
      <c r="C82" s="3" t="inlineStr">
        <is>
          <t>EVO_LEVEL</t>
        </is>
      </c>
      <c r="D82" s="3" t="inlineStr">
        <is>
          <t>SPECIES_ABOMASNOW</t>
        </is>
      </c>
      <c r="E82" s="3" t="n">
        <v>40</v>
      </c>
      <c r="F82" s="3" t="b">
        <v>1</v>
      </c>
      <c r="G82" s="3" t="inlineStr">
        <is>
          <t>40</t>
        </is>
      </c>
    </row>
    <row r="83">
      <c r="A83" s="3" t="inlineStr">
        <is>
          <t>SPECIES_SNEASEL</t>
        </is>
      </c>
      <c r="B83" s="3" t="inlineStr">
        <is>
          <t>Sneasel</t>
        </is>
      </c>
      <c r="C83" s="3" t="inlineStr">
        <is>
          <t>EVO_LEVEL</t>
        </is>
      </c>
      <c r="D83" s="3" t="inlineStr">
        <is>
          <t>SPECIES_WEAVILE</t>
        </is>
      </c>
      <c r="E83" s="3" t="n">
        <v>40</v>
      </c>
      <c r="F83" s="3" t="b">
        <v>1</v>
      </c>
      <c r="G83" s="3" t="inlineStr">
        <is>
          <t>0</t>
        </is>
      </c>
    </row>
    <row r="84">
      <c r="A84" s="3" t="inlineStr">
        <is>
          <t>SPECIES_SNEASEL</t>
        </is>
      </c>
      <c r="B84" s="3" t="inlineStr">
        <is>
          <t>Sneasel</t>
        </is>
      </c>
      <c r="C84" s="3" t="inlineStr">
        <is>
          <t>EVO_ITEM</t>
        </is>
      </c>
      <c r="D84" s="3" t="inlineStr">
        <is>
          <t>SPECIES_WEAVILE</t>
        </is>
      </c>
      <c r="E84" s="3" t="n">
        <v>40</v>
      </c>
      <c r="F84" s="3" t="b">
        <v>0</v>
      </c>
      <c r="G84" s="3" t="inlineStr">
        <is>
          <t>ITEM_RAZOR_CLAW</t>
        </is>
      </c>
    </row>
    <row r="85">
      <c r="A85" s="3" t="inlineStr">
        <is>
          <t>SPECIES_YANMA</t>
        </is>
      </c>
      <c r="B85" s="3" t="inlineStr">
        <is>
          <t>Yanma</t>
        </is>
      </c>
      <c r="C85" s="3" t="inlineStr">
        <is>
          <t>EVO_LEVEL</t>
        </is>
      </c>
      <c r="D85" s="3" t="inlineStr">
        <is>
          <t>SPECIES_YANMEGA</t>
        </is>
      </c>
      <c r="E85" s="3" t="n">
        <v>40</v>
      </c>
      <c r="F85" s="3" t="b">
        <v>1</v>
      </c>
      <c r="G85" s="3" t="inlineStr">
        <is>
          <t>0</t>
        </is>
      </c>
    </row>
    <row r="86">
      <c r="A86" s="3" t="inlineStr">
        <is>
          <t>SPECIES_BLITZLE</t>
        </is>
      </c>
      <c r="B86" s="3" t="inlineStr">
        <is>
          <t>Blitzle</t>
        </is>
      </c>
      <c r="C86" s="3" t="inlineStr">
        <is>
          <t>EVO_LEVEL</t>
        </is>
      </c>
      <c r="D86" s="3" t="inlineStr">
        <is>
          <t>SPECIES_ZEBSTRIKA</t>
        </is>
      </c>
      <c r="E86" s="3" t="n">
        <v>27</v>
      </c>
      <c r="F86" s="3" t="b">
        <v>1</v>
      </c>
      <c r="G86" s="3" t="inlineStr">
        <is>
          <t>27</t>
        </is>
      </c>
    </row>
    <row r="87">
      <c r="A87" s="3" t="inlineStr">
        <is>
          <t>SPECIES_ROGGENROLA</t>
        </is>
      </c>
      <c r="B87" s="3" t="inlineStr">
        <is>
          <t>Roggenrola</t>
        </is>
      </c>
      <c r="C87" s="3" t="inlineStr">
        <is>
          <t>EVO_LEVEL</t>
        </is>
      </c>
      <c r="D87" s="3" t="inlineStr">
        <is>
          <t>SPECIES_BOLDORE</t>
        </is>
      </c>
      <c r="E87" s="3" t="n">
        <v>25</v>
      </c>
      <c r="F87" s="3" t="b">
        <v>1</v>
      </c>
      <c r="G87" s="3" t="inlineStr">
        <is>
          <t>25</t>
        </is>
      </c>
    </row>
    <row r="88">
      <c r="A88" s="3" t="inlineStr">
        <is>
          <t>SPECIES_BOLDORE</t>
        </is>
      </c>
      <c r="B88" s="3" t="inlineStr">
        <is>
          <t>Boldore</t>
        </is>
      </c>
      <c r="C88" s="3" t="inlineStr">
        <is>
          <t>EVO_TRADE</t>
        </is>
      </c>
      <c r="D88" s="3" t="inlineStr">
        <is>
          <t>SPECIES_GIGALITH</t>
        </is>
      </c>
      <c r="E88" s="3" t="n">
        <v>40</v>
      </c>
      <c r="F88" s="3" t="b">
        <v>1</v>
      </c>
      <c r="G88" s="3" t="inlineStr">
        <is>
          <t>0</t>
        </is>
      </c>
    </row>
    <row r="89">
      <c r="A89" s="3" t="inlineStr">
        <is>
          <t>SPECIES_BOLDORE</t>
        </is>
      </c>
      <c r="B89" s="3" t="inlineStr">
        <is>
          <t>Boldore</t>
        </is>
      </c>
      <c r="C89" s="3" t="inlineStr">
        <is>
          <t>EVO_ITEM</t>
        </is>
      </c>
      <c r="D89" s="3" t="inlineStr">
        <is>
          <t>SPECIES_GIGALITH</t>
        </is>
      </c>
      <c r="E89" s="3" t="n">
        <v>40</v>
      </c>
      <c r="F89" s="3" t="b">
        <v>0</v>
      </c>
      <c r="G89" s="3" t="inlineStr">
        <is>
          <t>ITEM_LINKING_CORD</t>
        </is>
      </c>
    </row>
    <row r="90">
      <c r="A90" s="3" t="inlineStr">
        <is>
          <t>SPECIES_WOOBAT</t>
        </is>
      </c>
      <c r="B90" s="3" t="inlineStr">
        <is>
          <t>Woobat</t>
        </is>
      </c>
      <c r="C90" s="3" t="inlineStr">
        <is>
          <t>EVO_LEVEL</t>
        </is>
      </c>
      <c r="D90" s="3" t="inlineStr">
        <is>
          <t>SPECIES_SWOOBAT</t>
        </is>
      </c>
      <c r="E90" s="3" t="n">
        <v>40</v>
      </c>
      <c r="F90" s="3" t="b">
        <v>1</v>
      </c>
      <c r="G90" s="3" t="inlineStr">
        <is>
          <t>0</t>
        </is>
      </c>
    </row>
    <row r="91">
      <c r="A91" s="3" t="inlineStr">
        <is>
          <t>SPECIES_DRILBUR</t>
        </is>
      </c>
      <c r="B91" s="3" t="inlineStr">
        <is>
          <t>Drilbur</t>
        </is>
      </c>
      <c r="C91" s="3" t="inlineStr">
        <is>
          <t>EVO_LEVEL</t>
        </is>
      </c>
      <c r="D91" s="3" t="inlineStr">
        <is>
          <t>SPECIES_EXCADRILL</t>
        </is>
      </c>
      <c r="E91" s="3" t="n">
        <v>31</v>
      </c>
      <c r="F91" s="3" t="b">
        <v>1</v>
      </c>
      <c r="G91" s="3" t="inlineStr">
        <is>
          <t>31</t>
        </is>
      </c>
    </row>
    <row r="92">
      <c r="A92" s="3" t="inlineStr">
        <is>
          <t>SPECIES_SEWADDLE</t>
        </is>
      </c>
      <c r="B92" s="3" t="inlineStr">
        <is>
          <t>Sewaddle</t>
        </is>
      </c>
      <c r="C92" s="3" t="inlineStr">
        <is>
          <t>EVO_LEVEL</t>
        </is>
      </c>
      <c r="D92" s="3" t="inlineStr">
        <is>
          <t>SPECIES_SWADLOON</t>
        </is>
      </c>
      <c r="E92" s="3" t="n">
        <v>20</v>
      </c>
      <c r="F92" s="3" t="b">
        <v>1</v>
      </c>
      <c r="G92" s="3" t="inlineStr">
        <is>
          <t>20</t>
        </is>
      </c>
    </row>
    <row r="93">
      <c r="A93" s="3" t="inlineStr">
        <is>
          <t>SPECIES_SWADLOON</t>
        </is>
      </c>
      <c r="B93" s="3" t="inlineStr">
        <is>
          <t>Swadloon</t>
        </is>
      </c>
      <c r="C93" s="3" t="inlineStr">
        <is>
          <t>EVO_LEVEL</t>
        </is>
      </c>
      <c r="D93" s="3" t="inlineStr">
        <is>
          <t>SPECIES_LEAVANNY</t>
        </is>
      </c>
      <c r="E93" s="3" t="n">
        <v>40</v>
      </c>
      <c r="F93" s="3" t="b">
        <v>1</v>
      </c>
      <c r="G93" s="3" t="inlineStr">
        <is>
          <t>0</t>
        </is>
      </c>
    </row>
    <row r="94">
      <c r="A94" s="3" t="inlineStr">
        <is>
          <t>SPECIES_VENIPEDE</t>
        </is>
      </c>
      <c r="B94" s="3" t="inlineStr">
        <is>
          <t>Venipede</t>
        </is>
      </c>
      <c r="C94" s="3" t="inlineStr">
        <is>
          <t>EVO_LEVEL</t>
        </is>
      </c>
      <c r="D94" s="3" t="inlineStr">
        <is>
          <t>SPECIES_WHIRLIPEDE</t>
        </is>
      </c>
      <c r="E94" s="3" t="n">
        <v>22</v>
      </c>
      <c r="F94" s="3" t="b">
        <v>1</v>
      </c>
      <c r="G94" s="3" t="inlineStr">
        <is>
          <t>22</t>
        </is>
      </c>
    </row>
    <row r="95">
      <c r="A95" s="3" t="inlineStr">
        <is>
          <t>SPECIES_WHIRLIPEDE</t>
        </is>
      </c>
      <c r="B95" s="3" t="inlineStr">
        <is>
          <t>Whirlipede</t>
        </is>
      </c>
      <c r="C95" s="3" t="inlineStr">
        <is>
          <t>EVO_LEVEL</t>
        </is>
      </c>
      <c r="D95" s="3" t="inlineStr">
        <is>
          <t>SPECIES_SCOLIPEDE</t>
        </is>
      </c>
      <c r="E95" s="3" t="n">
        <v>30</v>
      </c>
      <c r="F95" s="3" t="b">
        <v>1</v>
      </c>
      <c r="G95" s="3" t="inlineStr">
        <is>
          <t>30</t>
        </is>
      </c>
    </row>
    <row r="96">
      <c r="A96" s="3" t="inlineStr">
        <is>
          <t>SPECIES_PETILIL</t>
        </is>
      </c>
      <c r="B96" s="3" t="inlineStr">
        <is>
          <t>Petilil</t>
        </is>
      </c>
      <c r="C96" s="3" t="inlineStr">
        <is>
          <t>EVO_ITEM</t>
        </is>
      </c>
      <c r="D96" s="3" t="inlineStr">
        <is>
          <t>SPECIES_LILLIGANT</t>
        </is>
      </c>
      <c r="E96" s="3" t="n">
        <v>40</v>
      </c>
      <c r="F96" s="3" t="b">
        <v>1</v>
      </c>
      <c r="G96" s="3" t="inlineStr">
        <is>
          <t>ITEM_SUN_STONE</t>
        </is>
      </c>
    </row>
    <row r="97">
      <c r="A97" s="3" t="inlineStr">
        <is>
          <t>SPECIES_SANDILE</t>
        </is>
      </c>
      <c r="B97" s="3" t="inlineStr">
        <is>
          <t>Sandile</t>
        </is>
      </c>
      <c r="C97" s="3" t="inlineStr">
        <is>
          <t>EVO_LEVEL</t>
        </is>
      </c>
      <c r="D97" s="3" t="inlineStr">
        <is>
          <t>SPECIES_KROKOROK</t>
        </is>
      </c>
      <c r="E97" s="3" t="n">
        <v>29</v>
      </c>
      <c r="F97" s="3" t="b">
        <v>1</v>
      </c>
      <c r="G97" s="3" t="inlineStr">
        <is>
          <t>29</t>
        </is>
      </c>
    </row>
    <row r="98">
      <c r="A98" s="3" t="inlineStr">
        <is>
          <t>SPECIES_KROKOROK</t>
        </is>
      </c>
      <c r="B98" s="3" t="inlineStr">
        <is>
          <t>Krokorok</t>
        </is>
      </c>
      <c r="C98" s="3" t="inlineStr">
        <is>
          <t>EVO_LEVEL</t>
        </is>
      </c>
      <c r="D98" s="3" t="inlineStr">
        <is>
          <t>SPECIES_KROOKODILE</t>
        </is>
      </c>
      <c r="E98" s="3" t="n">
        <v>40</v>
      </c>
      <c r="F98" s="3" t="b">
        <v>1</v>
      </c>
      <c r="G98" s="3" t="inlineStr">
        <is>
          <t>40</t>
        </is>
      </c>
    </row>
    <row r="99">
      <c r="A99" s="3" t="inlineStr">
        <is>
          <t>SPECIES_DWEBBLE</t>
        </is>
      </c>
      <c r="B99" s="3" t="inlineStr">
        <is>
          <t>Dwebble</t>
        </is>
      </c>
      <c r="C99" s="3" t="inlineStr">
        <is>
          <t>EVO_LEVEL</t>
        </is>
      </c>
      <c r="D99" s="3" t="inlineStr">
        <is>
          <t>SPECIES_CRUSTLE</t>
        </is>
      </c>
      <c r="E99" s="3" t="n">
        <v>34</v>
      </c>
      <c r="F99" s="3" t="b">
        <v>1</v>
      </c>
      <c r="G99" s="3" t="inlineStr">
        <is>
          <t>34</t>
        </is>
      </c>
    </row>
    <row r="100">
      <c r="A100" s="3" t="inlineStr">
        <is>
          <t>SPECIES_YAMASK</t>
        </is>
      </c>
      <c r="B100" s="3" t="inlineStr">
        <is>
          <t>Yamask</t>
        </is>
      </c>
      <c r="C100" s="3" t="inlineStr">
        <is>
          <t>EVO_LEVEL</t>
        </is>
      </c>
      <c r="D100" s="3" t="inlineStr">
        <is>
          <t>SPECIES_COFAGRIGUS</t>
        </is>
      </c>
      <c r="E100" s="3" t="n">
        <v>34</v>
      </c>
      <c r="F100" s="3" t="b">
        <v>1</v>
      </c>
      <c r="G100" s="3" t="inlineStr">
        <is>
          <t>34</t>
        </is>
      </c>
    </row>
    <row r="101">
      <c r="A101" s="3" t="inlineStr">
        <is>
          <t>SPECIES_TIRTOUGA</t>
        </is>
      </c>
      <c r="B101" s="3" t="inlineStr">
        <is>
          <t>Tirtouga</t>
        </is>
      </c>
      <c r="C101" s="3" t="inlineStr">
        <is>
          <t>EVO_LEVEL</t>
        </is>
      </c>
      <c r="D101" s="3" t="inlineStr">
        <is>
          <t>SPECIES_CARRACOSTA</t>
        </is>
      </c>
      <c r="E101" s="3" t="n">
        <v>37</v>
      </c>
      <c r="F101" s="3" t="b">
        <v>1</v>
      </c>
      <c r="G101" s="3" t="inlineStr">
        <is>
          <t>37</t>
        </is>
      </c>
    </row>
    <row r="102">
      <c r="A102" s="3" t="inlineStr">
        <is>
          <t>SPECIES_ARCHEN</t>
        </is>
      </c>
      <c r="B102" s="3" t="inlineStr">
        <is>
          <t>Archen</t>
        </is>
      </c>
      <c r="C102" s="3" t="inlineStr">
        <is>
          <t>EVO_LEVEL</t>
        </is>
      </c>
      <c r="D102" s="3" t="inlineStr">
        <is>
          <t>SPECIES_ARCHEOPS</t>
        </is>
      </c>
      <c r="E102" s="3" t="n">
        <v>37</v>
      </c>
      <c r="F102" s="3" t="b">
        <v>1</v>
      </c>
      <c r="G102" s="3" t="inlineStr">
        <is>
          <t>37</t>
        </is>
      </c>
    </row>
    <row r="103">
      <c r="A103" s="3" t="inlineStr">
        <is>
          <t>SPECIES_TRUBBISH</t>
        </is>
      </c>
      <c r="B103" s="3" t="inlineStr">
        <is>
          <t>Trubbish</t>
        </is>
      </c>
      <c r="C103" s="3" t="inlineStr">
        <is>
          <t>EVO_LEVEL</t>
        </is>
      </c>
      <c r="D103" s="3" t="inlineStr">
        <is>
          <t>SPECIES_GARBODOR</t>
        </is>
      </c>
      <c r="E103" s="3" t="n">
        <v>36</v>
      </c>
      <c r="F103" s="3" t="b">
        <v>1</v>
      </c>
      <c r="G103" s="3" t="inlineStr">
        <is>
          <t>36</t>
        </is>
      </c>
    </row>
    <row r="104">
      <c r="A104" s="3" t="inlineStr">
        <is>
          <t>SPECIES_MINCCINO</t>
        </is>
      </c>
      <c r="B104" s="3" t="inlineStr">
        <is>
          <t>Minccino</t>
        </is>
      </c>
      <c r="C104" s="3" t="inlineStr">
        <is>
          <t>EVO_ITEM</t>
        </is>
      </c>
      <c r="D104" s="3" t="inlineStr">
        <is>
          <t>SPECIES_CINCCINO</t>
        </is>
      </c>
      <c r="E104" s="3" t="n">
        <v>40</v>
      </c>
      <c r="F104" s="3" t="b">
        <v>1</v>
      </c>
      <c r="G104" s="3" t="inlineStr">
        <is>
          <t>ITEM_SHINY_STONE</t>
        </is>
      </c>
    </row>
    <row r="105">
      <c r="A105" s="3" t="inlineStr">
        <is>
          <t>SPECIES_SOLOSIS</t>
        </is>
      </c>
      <c r="B105" s="3" t="inlineStr">
        <is>
          <t>Solosis</t>
        </is>
      </c>
      <c r="C105" s="3" t="inlineStr">
        <is>
          <t>EVO_LEVEL</t>
        </is>
      </c>
      <c r="D105" s="3" t="inlineStr">
        <is>
          <t>SPECIES_DUOSION</t>
        </is>
      </c>
      <c r="E105" s="3" t="n">
        <v>32</v>
      </c>
      <c r="F105" s="3" t="b">
        <v>1</v>
      </c>
      <c r="G105" s="3" t="inlineStr">
        <is>
          <t>32</t>
        </is>
      </c>
    </row>
    <row r="106">
      <c r="A106" s="3" t="inlineStr">
        <is>
          <t>SPECIES_DUOSION</t>
        </is>
      </c>
      <c r="B106" s="3" t="inlineStr">
        <is>
          <t>Duosion</t>
        </is>
      </c>
      <c r="C106" s="3" t="inlineStr">
        <is>
          <t>EVO_LEVEL</t>
        </is>
      </c>
      <c r="D106" s="3" t="inlineStr">
        <is>
          <t>SPECIES_REUNICLUS</t>
        </is>
      </c>
      <c r="E106" s="3" t="n">
        <v>41</v>
      </c>
      <c r="F106" s="3" t="b">
        <v>1</v>
      </c>
      <c r="G106" s="3" t="inlineStr">
        <is>
          <t>41</t>
        </is>
      </c>
    </row>
    <row r="107">
      <c r="A107" s="3" t="inlineStr">
        <is>
          <t>SPECIES_DUCKLETT</t>
        </is>
      </c>
      <c r="B107" s="3" t="inlineStr">
        <is>
          <t>Ducklett</t>
        </is>
      </c>
      <c r="C107" s="3" t="inlineStr">
        <is>
          <t>EVO_LEVEL</t>
        </is>
      </c>
      <c r="D107" s="3" t="inlineStr">
        <is>
          <t>SPECIES_SWANNA</t>
        </is>
      </c>
      <c r="E107" s="3" t="n">
        <v>35</v>
      </c>
      <c r="F107" s="3" t="b">
        <v>1</v>
      </c>
      <c r="G107" s="3" t="inlineStr">
        <is>
          <t>35</t>
        </is>
      </c>
    </row>
    <row r="108">
      <c r="A108" s="3" t="inlineStr">
        <is>
          <t>SPECIES_DEERLING_SPRING</t>
        </is>
      </c>
      <c r="B108" s="3" t="inlineStr">
        <is>
          <t>Deerling</t>
        </is>
      </c>
      <c r="C108" s="3" t="inlineStr">
        <is>
          <t>EVO_LEVEL</t>
        </is>
      </c>
      <c r="D108" s="3" t="inlineStr">
        <is>
          <t>SPECIES_SAWSBUCK_SPRING</t>
        </is>
      </c>
      <c r="E108" s="3" t="n">
        <v>34</v>
      </c>
      <c r="F108" s="3" t="b">
        <v>1</v>
      </c>
      <c r="G108" s="3" t="inlineStr">
        <is>
          <t>34</t>
        </is>
      </c>
    </row>
    <row r="109">
      <c r="A109" s="3" t="inlineStr">
        <is>
          <t>SPECIES_FERROSEED</t>
        </is>
      </c>
      <c r="B109" s="3" t="inlineStr">
        <is>
          <t>Ferroseed</t>
        </is>
      </c>
      <c r="C109" s="3" t="inlineStr">
        <is>
          <t>EVO_LEVEL</t>
        </is>
      </c>
      <c r="D109" s="3" t="inlineStr">
        <is>
          <t>SPECIES_FERROTHORN</t>
        </is>
      </c>
      <c r="E109" s="3" t="n">
        <v>40</v>
      </c>
      <c r="F109" s="3" t="b">
        <v>1</v>
      </c>
      <c r="G109" s="3" t="inlineStr">
        <is>
          <t>40</t>
        </is>
      </c>
    </row>
    <row r="110">
      <c r="A110" s="3" t="inlineStr">
        <is>
          <t>SPECIES_TYNAMO</t>
        </is>
      </c>
      <c r="B110" s="3" t="inlineStr">
        <is>
          <t>Tynamo</t>
        </is>
      </c>
      <c r="C110" s="3" t="inlineStr">
        <is>
          <t>EVO_LEVEL</t>
        </is>
      </c>
      <c r="D110" s="3" t="inlineStr">
        <is>
          <t>SPECIES_EELEKTRIK</t>
        </is>
      </c>
      <c r="E110" s="3" t="n">
        <v>39</v>
      </c>
      <c r="F110" s="3" t="b">
        <v>1</v>
      </c>
      <c r="G110" s="3" t="inlineStr">
        <is>
          <t>39</t>
        </is>
      </c>
    </row>
    <row r="111">
      <c r="A111" s="3" t="inlineStr">
        <is>
          <t>SPECIES_EELEKTRIK</t>
        </is>
      </c>
      <c r="B111" s="3" t="inlineStr">
        <is>
          <t>Eelektrik</t>
        </is>
      </c>
      <c r="C111" s="3" t="inlineStr">
        <is>
          <t>EVO_ITEM</t>
        </is>
      </c>
      <c r="D111" s="3" t="inlineStr">
        <is>
          <t>SPECIES_EELEKTROSS</t>
        </is>
      </c>
      <c r="E111" s="3" t="n">
        <v>40</v>
      </c>
      <c r="F111" s="3" t="b">
        <v>1</v>
      </c>
      <c r="G111" s="3" t="inlineStr">
        <is>
          <t>ITEM_THUNDER_STONE</t>
        </is>
      </c>
    </row>
    <row r="112">
      <c r="A112" s="3" t="inlineStr">
        <is>
          <t>SPECIES_ELGYEM</t>
        </is>
      </c>
      <c r="B112" s="3" t="inlineStr">
        <is>
          <t>Elgyem</t>
        </is>
      </c>
      <c r="C112" s="3" t="inlineStr">
        <is>
          <t>EVO_LEVEL</t>
        </is>
      </c>
      <c r="D112" s="3" t="inlineStr">
        <is>
          <t>SPECIES_BEHEEYEM</t>
        </is>
      </c>
      <c r="E112" s="3" t="n">
        <v>42</v>
      </c>
      <c r="F112" s="3" t="b">
        <v>1</v>
      </c>
      <c r="G112" s="3" t="inlineStr">
        <is>
          <t>42</t>
        </is>
      </c>
    </row>
    <row r="113">
      <c r="A113" s="3" t="inlineStr">
        <is>
          <t>SPECIES_LITWICK</t>
        </is>
      </c>
      <c r="B113" s="3" t="inlineStr">
        <is>
          <t>Litwick</t>
        </is>
      </c>
      <c r="C113" s="3" t="inlineStr">
        <is>
          <t>EVO_LEVEL</t>
        </is>
      </c>
      <c r="D113" s="3" t="inlineStr">
        <is>
          <t>SPECIES_LAMPENT</t>
        </is>
      </c>
      <c r="E113" s="3" t="n">
        <v>41</v>
      </c>
      <c r="F113" s="3" t="b">
        <v>1</v>
      </c>
      <c r="G113" s="3" t="inlineStr">
        <is>
          <t>41</t>
        </is>
      </c>
    </row>
    <row r="114">
      <c r="A114" s="3" t="inlineStr">
        <is>
          <t>SPECIES_LAMPENT</t>
        </is>
      </c>
      <c r="B114" s="3" t="inlineStr">
        <is>
          <t>Lampent</t>
        </is>
      </c>
      <c r="C114" s="3" t="inlineStr">
        <is>
          <t>EVO_ITEM</t>
        </is>
      </c>
      <c r="D114" s="3" t="inlineStr">
        <is>
          <t>SPECIES_CHANDELURE</t>
        </is>
      </c>
      <c r="E114" s="3" t="n">
        <v>40</v>
      </c>
      <c r="F114" s="3" t="b">
        <v>1</v>
      </c>
      <c r="G114" s="3" t="inlineStr">
        <is>
          <t>ITEM_DUSK_STONE</t>
        </is>
      </c>
    </row>
    <row r="115">
      <c r="A115" s="3" t="inlineStr">
        <is>
          <t>SPECIES_AXEW</t>
        </is>
      </c>
      <c r="B115" s="3" t="inlineStr">
        <is>
          <t>Axew</t>
        </is>
      </c>
      <c r="C115" s="3" t="inlineStr">
        <is>
          <t>EVO_LEVEL</t>
        </is>
      </c>
      <c r="D115" s="3" t="inlineStr">
        <is>
          <t>SPECIES_FRAXURE</t>
        </is>
      </c>
      <c r="E115" s="3" t="n">
        <v>38</v>
      </c>
      <c r="F115" s="3" t="b">
        <v>1</v>
      </c>
      <c r="G115" s="3" t="inlineStr">
        <is>
          <t>38</t>
        </is>
      </c>
    </row>
    <row r="116">
      <c r="A116" s="3" t="inlineStr">
        <is>
          <t>SPECIES_FRAXURE</t>
        </is>
      </c>
      <c r="B116" s="3" t="inlineStr">
        <is>
          <t>Fraxure</t>
        </is>
      </c>
      <c r="C116" s="3" t="inlineStr">
        <is>
          <t>EVO_LEVEL</t>
        </is>
      </c>
      <c r="D116" s="3" t="inlineStr">
        <is>
          <t>SPECIES_HAXORUS</t>
        </is>
      </c>
      <c r="E116" s="3" t="n">
        <v>48</v>
      </c>
      <c r="F116" s="3" t="b">
        <v>1</v>
      </c>
      <c r="G116" s="3" t="inlineStr">
        <is>
          <t>48</t>
        </is>
      </c>
    </row>
    <row r="117">
      <c r="A117" s="3" t="inlineStr">
        <is>
          <t>SPECIES_CUBCHOO</t>
        </is>
      </c>
      <c r="B117" s="3" t="inlineStr">
        <is>
          <t>Cubchoo</t>
        </is>
      </c>
      <c r="C117" s="3" t="inlineStr">
        <is>
          <t>EVO_LEVEL</t>
        </is>
      </c>
      <c r="D117" s="3" t="inlineStr">
        <is>
          <t>SPECIES_BEARTIC</t>
        </is>
      </c>
      <c r="E117" s="3" t="n">
        <v>37</v>
      </c>
      <c r="F117" s="3" t="b">
        <v>1</v>
      </c>
      <c r="G117" s="3" t="inlineStr">
        <is>
          <t>37</t>
        </is>
      </c>
    </row>
    <row r="118">
      <c r="A118" s="3" t="inlineStr">
        <is>
          <t>SPECIES_MIENFOO</t>
        </is>
      </c>
      <c r="B118" s="3" t="inlineStr">
        <is>
          <t>Mienfoo</t>
        </is>
      </c>
      <c r="C118" s="3" t="inlineStr">
        <is>
          <t>EVO_LEVEL</t>
        </is>
      </c>
      <c r="D118" s="3" t="inlineStr">
        <is>
          <t>SPECIES_MIENSHAO</t>
        </is>
      </c>
      <c r="E118" s="3" t="n">
        <v>50</v>
      </c>
      <c r="F118" s="3" t="b">
        <v>1</v>
      </c>
      <c r="G118" s="3" t="inlineStr">
        <is>
          <t>50</t>
        </is>
      </c>
    </row>
    <row r="119">
      <c r="A119" s="3" t="inlineStr">
        <is>
          <t>SPECIES_GOLETT</t>
        </is>
      </c>
      <c r="B119" s="3" t="inlineStr">
        <is>
          <t>Golett</t>
        </is>
      </c>
      <c r="C119" s="3" t="inlineStr">
        <is>
          <t>EVO_LEVEL</t>
        </is>
      </c>
      <c r="D119" s="3" t="inlineStr">
        <is>
          <t>SPECIES_GOLURK</t>
        </is>
      </c>
      <c r="E119" s="3" t="n">
        <v>43</v>
      </c>
      <c r="F119" s="3" t="b">
        <v>1</v>
      </c>
      <c r="G119" s="3" t="inlineStr">
        <is>
          <t>43</t>
        </is>
      </c>
    </row>
    <row r="120">
      <c r="A120" s="3" t="inlineStr">
        <is>
          <t>SPECIES_PAWNIARD</t>
        </is>
      </c>
      <c r="B120" s="3" t="inlineStr">
        <is>
          <t>Pawniard</t>
        </is>
      </c>
      <c r="C120" s="3" t="inlineStr">
        <is>
          <t>EVO_LEVEL</t>
        </is>
      </c>
      <c r="D120" s="3" t="inlineStr">
        <is>
          <t>SPECIES_BISHARP</t>
        </is>
      </c>
      <c r="E120" s="3" t="n">
        <v>52</v>
      </c>
      <c r="F120" s="3" t="b">
        <v>1</v>
      </c>
      <c r="G120" s="3" t="inlineStr">
        <is>
          <t>52</t>
        </is>
      </c>
    </row>
    <row r="121">
      <c r="A121" s="3" t="inlineStr">
        <is>
          <t>SPECIES_BISHARP</t>
        </is>
      </c>
      <c r="B121" s="3" t="inlineStr">
        <is>
          <t>Bisharp</t>
        </is>
      </c>
      <c r="C121" s="3" t="inlineStr">
        <is>
          <t>EVO_LEVEL</t>
        </is>
      </c>
      <c r="D121" s="3" t="inlineStr">
        <is>
          <t>SPECIES_KINGAMBIT</t>
        </is>
      </c>
      <c r="E121" s="3" t="n">
        <v>40</v>
      </c>
      <c r="F121" s="3" t="b">
        <v>1</v>
      </c>
      <c r="G121" s="3" t="inlineStr">
        <is>
          <t>0</t>
        </is>
      </c>
    </row>
    <row r="122">
      <c r="A122" s="3" t="inlineStr">
        <is>
          <t>SPECIES_RUFFLET</t>
        </is>
      </c>
      <c r="B122" s="3" t="inlineStr">
        <is>
          <t>Rufflet</t>
        </is>
      </c>
      <c r="C122" s="3" t="inlineStr">
        <is>
          <t>EVO_LEVEL</t>
        </is>
      </c>
      <c r="D122" s="3" t="inlineStr">
        <is>
          <t>SPECIES_BRAVIARY</t>
        </is>
      </c>
      <c r="E122" s="3" t="n">
        <v>54</v>
      </c>
      <c r="F122" s="3" t="b">
        <v>1</v>
      </c>
      <c r="G122" s="3" t="inlineStr">
        <is>
          <t>54</t>
        </is>
      </c>
    </row>
    <row r="123">
      <c r="A123" s="3" t="inlineStr">
        <is>
          <t>SPECIES_RUFFLET</t>
        </is>
      </c>
      <c r="B123" s="3" t="inlineStr">
        <is>
          <t>Rufflet</t>
        </is>
      </c>
      <c r="C123" s="3" t="inlineStr">
        <is>
          <t>EVO_LEVEL</t>
        </is>
      </c>
      <c r="D123" s="3" t="inlineStr">
        <is>
          <t>SPECIES_BRAVIARY_HISUI</t>
        </is>
      </c>
      <c r="E123" s="3" t="n">
        <v>54</v>
      </c>
      <c r="F123" s="3" t="b">
        <v>0</v>
      </c>
      <c r="G123" s="3" t="inlineStr">
        <is>
          <t>54</t>
        </is>
      </c>
    </row>
    <row r="124">
      <c r="A124" s="3" t="inlineStr">
        <is>
          <t>SPECIES_DEINO</t>
        </is>
      </c>
      <c r="B124" s="3" t="inlineStr">
        <is>
          <t>Deino</t>
        </is>
      </c>
      <c r="C124" s="3" t="inlineStr">
        <is>
          <t>EVO_LEVEL</t>
        </is>
      </c>
      <c r="D124" s="3" t="inlineStr">
        <is>
          <t>SPECIES_ZWEILOUS</t>
        </is>
      </c>
      <c r="E124" s="3" t="n">
        <v>50</v>
      </c>
      <c r="F124" s="3" t="b">
        <v>1</v>
      </c>
      <c r="G124" s="3" t="inlineStr">
        <is>
          <t>50</t>
        </is>
      </c>
    </row>
    <row r="125">
      <c r="A125" s="3" t="inlineStr">
        <is>
          <t>SPECIES_ZWEILOUS</t>
        </is>
      </c>
      <c r="B125" s="3" t="inlineStr">
        <is>
          <t>Zweilous</t>
        </is>
      </c>
      <c r="C125" s="3" t="inlineStr">
        <is>
          <t>EVO_LEVEL</t>
        </is>
      </c>
      <c r="D125" s="3" t="inlineStr">
        <is>
          <t>SPECIES_HYDREIGON</t>
        </is>
      </c>
      <c r="E125" s="3" t="n">
        <v>64</v>
      </c>
      <c r="F125" s="3" t="b">
        <v>1</v>
      </c>
      <c r="G125" s="3" t="inlineStr">
        <is>
          <t>64</t>
        </is>
      </c>
    </row>
    <row r="126">
      <c r="A126" s="3" t="inlineStr">
        <is>
          <t>SPECIES_CHESPIN</t>
        </is>
      </c>
      <c r="B126" s="3" t="inlineStr">
        <is>
          <t>Chespin</t>
        </is>
      </c>
      <c r="C126" s="3" t="inlineStr">
        <is>
          <t>EVO_LEVEL</t>
        </is>
      </c>
      <c r="D126" s="3" t="inlineStr">
        <is>
          <t>SPECIES_QUILLADIN</t>
        </is>
      </c>
      <c r="E126" s="3" t="n">
        <v>16</v>
      </c>
      <c r="F126" s="3" t="b">
        <v>1</v>
      </c>
      <c r="G126" s="3" t="inlineStr">
        <is>
          <t>16</t>
        </is>
      </c>
    </row>
    <row r="127">
      <c r="A127" s="3" t="inlineStr">
        <is>
          <t>SPECIES_QUILLADIN</t>
        </is>
      </c>
      <c r="B127" s="3" t="inlineStr">
        <is>
          <t>Quilladin</t>
        </is>
      </c>
      <c r="C127" s="3" t="inlineStr">
        <is>
          <t>EVO_LEVEL</t>
        </is>
      </c>
      <c r="D127" s="3" t="inlineStr">
        <is>
          <t>SPECIES_CHESNAUGHT</t>
        </is>
      </c>
      <c r="E127" s="3" t="n">
        <v>36</v>
      </c>
      <c r="F127" s="3" t="b">
        <v>1</v>
      </c>
      <c r="G127" s="3" t="inlineStr">
        <is>
          <t>36</t>
        </is>
      </c>
    </row>
    <row r="128">
      <c r="A128" s="3" t="inlineStr">
        <is>
          <t>SPECIES_FENNEKIN</t>
        </is>
      </c>
      <c r="B128" s="3" t="inlineStr">
        <is>
          <t>Fennekin</t>
        </is>
      </c>
      <c r="C128" s="3" t="inlineStr">
        <is>
          <t>EVO_LEVEL</t>
        </is>
      </c>
      <c r="D128" s="3" t="inlineStr">
        <is>
          <t>SPECIES_BRAIXEN</t>
        </is>
      </c>
      <c r="E128" s="3" t="n">
        <v>16</v>
      </c>
      <c r="F128" s="3" t="b">
        <v>1</v>
      </c>
      <c r="G128" s="3" t="inlineStr">
        <is>
          <t>16</t>
        </is>
      </c>
    </row>
    <row r="129">
      <c r="A129" s="3" t="inlineStr">
        <is>
          <t>SPECIES_BRAIXEN</t>
        </is>
      </c>
      <c r="B129" s="3" t="inlineStr">
        <is>
          <t>Braixen</t>
        </is>
      </c>
      <c r="C129" s="3" t="inlineStr">
        <is>
          <t>EVO_LEVEL</t>
        </is>
      </c>
      <c r="D129" s="3" t="inlineStr">
        <is>
          <t>SPECIES_DELPHOX</t>
        </is>
      </c>
      <c r="E129" s="3" t="n">
        <v>36</v>
      </c>
      <c r="F129" s="3" t="b">
        <v>1</v>
      </c>
      <c r="G129" s="3" t="inlineStr">
        <is>
          <t>36</t>
        </is>
      </c>
    </row>
    <row r="130">
      <c r="A130" s="3" t="inlineStr">
        <is>
          <t>SPECIES_FROAKIE</t>
        </is>
      </c>
      <c r="B130" s="3" t="inlineStr">
        <is>
          <t>Froakie</t>
        </is>
      </c>
      <c r="C130" s="3" t="inlineStr">
        <is>
          <t>EVO_LEVEL</t>
        </is>
      </c>
      <c r="D130" s="3" t="inlineStr">
        <is>
          <t>SPECIES_FROGADIER</t>
        </is>
      </c>
      <c r="E130" s="3" t="n">
        <v>16</v>
      </c>
      <c r="F130" s="3" t="b">
        <v>1</v>
      </c>
      <c r="G130" s="3" t="inlineStr">
        <is>
          <t>16</t>
        </is>
      </c>
    </row>
    <row r="131">
      <c r="A131" s="3" t="inlineStr">
        <is>
          <t>SPECIES_FROGADIER</t>
        </is>
      </c>
      <c r="B131" s="3" t="inlineStr">
        <is>
          <t>Frogadier</t>
        </is>
      </c>
      <c r="C131" s="3" t="inlineStr">
        <is>
          <t>EVO_LEVEL</t>
        </is>
      </c>
      <c r="D131" s="3" t="inlineStr">
        <is>
          <t>SPECIES_GRENINJA</t>
        </is>
      </c>
      <c r="E131" s="3" t="n">
        <v>36</v>
      </c>
      <c r="F131" s="3" t="b">
        <v>1</v>
      </c>
      <c r="G131" s="3" t="inlineStr">
        <is>
          <t>36</t>
        </is>
      </c>
    </row>
    <row r="132">
      <c r="A132" s="3" t="inlineStr">
        <is>
          <t>SPECIES_FLETCHLING</t>
        </is>
      </c>
      <c r="B132" s="3" t="inlineStr">
        <is>
          <t>Fletchling</t>
        </is>
      </c>
      <c r="C132" s="3" t="inlineStr">
        <is>
          <t>EVO_LEVEL</t>
        </is>
      </c>
      <c r="D132" s="3" t="inlineStr">
        <is>
          <t>SPECIES_FLETCHINDER</t>
        </is>
      </c>
      <c r="E132" s="3" t="n">
        <v>17</v>
      </c>
      <c r="F132" s="3" t="b">
        <v>1</v>
      </c>
      <c r="G132" s="3" t="inlineStr">
        <is>
          <t>17</t>
        </is>
      </c>
    </row>
    <row r="133">
      <c r="A133" s="3" t="inlineStr">
        <is>
          <t>SPECIES_FLETCHINDER</t>
        </is>
      </c>
      <c r="B133" s="3" t="inlineStr">
        <is>
          <t>Fletchinder</t>
        </is>
      </c>
      <c r="C133" s="3" t="inlineStr">
        <is>
          <t>EVO_LEVEL</t>
        </is>
      </c>
      <c r="D133" s="3" t="inlineStr">
        <is>
          <t>SPECIES_TALONFLAME</t>
        </is>
      </c>
      <c r="E133" s="3" t="n">
        <v>35</v>
      </c>
      <c r="F133" s="3" t="b">
        <v>1</v>
      </c>
      <c r="G133" s="3" t="inlineStr">
        <is>
          <t>35</t>
        </is>
      </c>
    </row>
    <row r="134">
      <c r="A134" s="3" t="inlineStr">
        <is>
          <t>SPECIES_LITLEO</t>
        </is>
      </c>
      <c r="B134" s="3" t="inlineStr">
        <is>
          <t>Litleo</t>
        </is>
      </c>
      <c r="C134" s="3" t="inlineStr">
        <is>
          <t>EVO_LEVEL</t>
        </is>
      </c>
      <c r="D134" s="3" t="inlineStr">
        <is>
          <t>SPECIES_PYROAR</t>
        </is>
      </c>
      <c r="E134" s="3" t="n">
        <v>35</v>
      </c>
      <c r="F134" s="3" t="b">
        <v>1</v>
      </c>
      <c r="G134" s="3" t="inlineStr">
        <is>
          <t>35</t>
        </is>
      </c>
    </row>
    <row r="135">
      <c r="A135" s="3" t="inlineStr">
        <is>
          <t>SPECIES_SKIDDO</t>
        </is>
      </c>
      <c r="B135" s="3" t="inlineStr">
        <is>
          <t>Skiddo</t>
        </is>
      </c>
      <c r="C135" s="3" t="inlineStr">
        <is>
          <t>EVO_LEVEL</t>
        </is>
      </c>
      <c r="D135" s="3" t="inlineStr">
        <is>
          <t>SPECIES_GOGOAT</t>
        </is>
      </c>
      <c r="E135" s="3" t="n">
        <v>32</v>
      </c>
      <c r="F135" s="3" t="b">
        <v>1</v>
      </c>
      <c r="G135" s="3" t="inlineStr">
        <is>
          <t>32</t>
        </is>
      </c>
    </row>
    <row r="136">
      <c r="A136" s="3" t="inlineStr">
        <is>
          <t>SPECIES_PANCHAM</t>
        </is>
      </c>
      <c r="B136" s="3" t="inlineStr">
        <is>
          <t>Pancham</t>
        </is>
      </c>
      <c r="C136" s="3" t="inlineStr">
        <is>
          <t>EVO_LEVEL</t>
        </is>
      </c>
      <c r="D136" s="3" t="inlineStr">
        <is>
          <t>SPECIES_PANGORO</t>
        </is>
      </c>
      <c r="E136" s="3" t="n">
        <v>32</v>
      </c>
      <c r="F136" s="3" t="b">
        <v>1</v>
      </c>
      <c r="G136" s="3" t="inlineStr">
        <is>
          <t>32</t>
        </is>
      </c>
    </row>
    <row r="137">
      <c r="A137" s="3" t="inlineStr">
        <is>
          <t>SPECIES_HONEDGE</t>
        </is>
      </c>
      <c r="B137" s="3" t="inlineStr">
        <is>
          <t>Honedge</t>
        </is>
      </c>
      <c r="C137" s="3" t="inlineStr">
        <is>
          <t>EVO_LEVEL</t>
        </is>
      </c>
      <c r="D137" s="3" t="inlineStr">
        <is>
          <t>SPECIES_DOUBLADE</t>
        </is>
      </c>
      <c r="E137" s="3" t="n">
        <v>35</v>
      </c>
      <c r="F137" s="3" t="b">
        <v>1</v>
      </c>
      <c r="G137" s="3" t="inlineStr">
        <is>
          <t>35</t>
        </is>
      </c>
    </row>
    <row r="138">
      <c r="A138" s="3" t="inlineStr">
        <is>
          <t>SPECIES_DOUBLADE</t>
        </is>
      </c>
      <c r="B138" s="3" t="inlineStr">
        <is>
          <t>Doublade</t>
        </is>
      </c>
      <c r="C138" s="3" t="inlineStr">
        <is>
          <t>EVO_ITEM</t>
        </is>
      </c>
      <c r="D138" s="3" t="inlineStr">
        <is>
          <t>SPECIES_AEGISLASH_SHIELD</t>
        </is>
      </c>
      <c r="E138" s="3" t="n">
        <v>40</v>
      </c>
      <c r="F138" s="3" t="b">
        <v>1</v>
      </c>
      <c r="G138" s="3" t="inlineStr">
        <is>
          <t>ITEM_DUSK_STONE</t>
        </is>
      </c>
    </row>
    <row r="139">
      <c r="A139" s="3" t="inlineStr">
        <is>
          <t>SPECIES_INKAY</t>
        </is>
      </c>
      <c r="B139" s="3" t="inlineStr">
        <is>
          <t>Inkay</t>
        </is>
      </c>
      <c r="C139" s="3" t="inlineStr">
        <is>
          <t>EVO_LEVEL</t>
        </is>
      </c>
      <c r="D139" s="3" t="inlineStr">
        <is>
          <t>SPECIES_MALAMAR</t>
        </is>
      </c>
      <c r="E139" s="3" t="n">
        <v>30</v>
      </c>
      <c r="F139" s="3" t="b">
        <v>1</v>
      </c>
      <c r="G139" s="3" t="inlineStr">
        <is>
          <t>30</t>
        </is>
      </c>
    </row>
    <row r="140">
      <c r="A140" s="3" t="inlineStr">
        <is>
          <t>SPECIES_SKRELP</t>
        </is>
      </c>
      <c r="B140" s="3" t="inlineStr">
        <is>
          <t>Skrelp</t>
        </is>
      </c>
      <c r="C140" s="3" t="inlineStr">
        <is>
          <t>EVO_LEVEL</t>
        </is>
      </c>
      <c r="D140" s="3" t="inlineStr">
        <is>
          <t>SPECIES_DRAGALGE</t>
        </is>
      </c>
      <c r="E140" s="3" t="n">
        <v>48</v>
      </c>
      <c r="F140" s="3" t="b">
        <v>1</v>
      </c>
      <c r="G140" s="3" t="inlineStr">
        <is>
          <t>48</t>
        </is>
      </c>
    </row>
    <row r="141">
      <c r="A141" s="3" t="inlineStr">
        <is>
          <t>SPECIES_CLAUNCHER</t>
        </is>
      </c>
      <c r="B141" s="3" t="inlineStr">
        <is>
          <t>Clauncher</t>
        </is>
      </c>
      <c r="C141" s="3" t="inlineStr">
        <is>
          <t>EVO_LEVEL</t>
        </is>
      </c>
      <c r="D141" s="3" t="inlineStr">
        <is>
          <t>SPECIES_CLAWITZER</t>
        </is>
      </c>
      <c r="E141" s="3" t="n">
        <v>37</v>
      </c>
      <c r="F141" s="3" t="b">
        <v>1</v>
      </c>
      <c r="G141" s="3" t="inlineStr">
        <is>
          <t>37</t>
        </is>
      </c>
    </row>
    <row r="142">
      <c r="A142" s="3" t="inlineStr">
        <is>
          <t>SPECIES_HELIOPTILE</t>
        </is>
      </c>
      <c r="B142" s="3" t="inlineStr">
        <is>
          <t>Helioptile</t>
        </is>
      </c>
      <c r="C142" s="3" t="inlineStr">
        <is>
          <t>EVO_ITEM</t>
        </is>
      </c>
      <c r="D142" s="3" t="inlineStr">
        <is>
          <t>SPECIES_HELIOLISK</t>
        </is>
      </c>
      <c r="E142" s="3" t="n">
        <v>40</v>
      </c>
      <c r="F142" s="3" t="b">
        <v>1</v>
      </c>
      <c r="G142" s="3" t="inlineStr">
        <is>
          <t>ITEM_SUN_STONE</t>
        </is>
      </c>
    </row>
    <row r="143">
      <c r="A143" s="3" t="inlineStr">
        <is>
          <t>SPECIES_TYRUNT</t>
        </is>
      </c>
      <c r="B143" s="3" t="inlineStr">
        <is>
          <t>Tyrunt</t>
        </is>
      </c>
      <c r="C143" s="3" t="inlineStr">
        <is>
          <t>EVO_LEVEL</t>
        </is>
      </c>
      <c r="D143" s="3" t="inlineStr">
        <is>
          <t>SPECIES_TYRANTRUM</t>
        </is>
      </c>
      <c r="E143" s="3" t="n">
        <v>39</v>
      </c>
      <c r="F143" s="3" t="b">
        <v>1</v>
      </c>
      <c r="G143" s="3" t="inlineStr">
        <is>
          <t>39</t>
        </is>
      </c>
    </row>
    <row r="144">
      <c r="A144" s="3" t="inlineStr">
        <is>
          <t>SPECIES_AMAURA</t>
        </is>
      </c>
      <c r="B144" s="3" t="inlineStr">
        <is>
          <t>Amaura</t>
        </is>
      </c>
      <c r="C144" s="3" t="inlineStr">
        <is>
          <t>EVO_LEVEL</t>
        </is>
      </c>
      <c r="D144" s="3" t="inlineStr">
        <is>
          <t>SPECIES_AURORUS</t>
        </is>
      </c>
      <c r="E144" s="3" t="n">
        <v>39</v>
      </c>
      <c r="F144" s="3" t="b">
        <v>1</v>
      </c>
      <c r="G144" s="3" t="inlineStr">
        <is>
          <t>39</t>
        </is>
      </c>
    </row>
    <row r="145">
      <c r="A145" s="3" t="inlineStr">
        <is>
          <t>SPECIES_CARBINK</t>
        </is>
      </c>
      <c r="B145" s="3" t="inlineStr">
        <is>
          <t>Carbink</t>
        </is>
      </c>
      <c r="C145" s="3" t="inlineStr">
        <is>
          <t>EVO_LEVEL</t>
        </is>
      </c>
      <c r="D145" s="3" t="inlineStr">
        <is>
          <t>SPECIES_DIANCIE</t>
        </is>
      </c>
      <c r="E145" s="3" t="n">
        <v>33</v>
      </c>
      <c r="F145" s="3" t="b">
        <v>1</v>
      </c>
      <c r="G145" s="3" t="inlineStr">
        <is>
          <t>33</t>
        </is>
      </c>
    </row>
    <row r="146">
      <c r="A146" s="3" t="inlineStr">
        <is>
          <t>SPECIES_PHANTUMP</t>
        </is>
      </c>
      <c r="B146" s="3" t="inlineStr">
        <is>
          <t>Phantump</t>
        </is>
      </c>
      <c r="C146" s="3" t="inlineStr">
        <is>
          <t>EVO_TRADE</t>
        </is>
      </c>
      <c r="D146" s="3" t="inlineStr">
        <is>
          <t>SPECIES_TREVENANT</t>
        </is>
      </c>
      <c r="E146" s="3" t="n">
        <v>40</v>
      </c>
      <c r="F146" s="3" t="b">
        <v>1</v>
      </c>
      <c r="G146" s="3" t="inlineStr">
        <is>
          <t>0</t>
        </is>
      </c>
    </row>
    <row r="147">
      <c r="A147" s="3" t="inlineStr">
        <is>
          <t>SPECIES_PHANTUMP</t>
        </is>
      </c>
      <c r="B147" s="3" t="inlineStr">
        <is>
          <t>Phantump</t>
        </is>
      </c>
      <c r="C147" s="3" t="inlineStr">
        <is>
          <t>EVO_ITEM</t>
        </is>
      </c>
      <c r="D147" s="3" t="inlineStr">
        <is>
          <t>SPECIES_TREVENANT</t>
        </is>
      </c>
      <c r="E147" s="3" t="n">
        <v>40</v>
      </c>
      <c r="F147" s="3" t="b">
        <v>0</v>
      </c>
      <c r="G147" s="3" t="inlineStr">
        <is>
          <t>ITEM_LINKING_CORD</t>
        </is>
      </c>
    </row>
    <row r="148">
      <c r="A148" s="3" t="inlineStr">
        <is>
          <t>SPECIES_NOIBAT</t>
        </is>
      </c>
      <c r="B148" s="3" t="inlineStr">
        <is>
          <t>Noibat</t>
        </is>
      </c>
      <c r="C148" s="3" t="inlineStr">
        <is>
          <t>EVO_LEVEL</t>
        </is>
      </c>
      <c r="D148" s="3" t="inlineStr">
        <is>
          <t>SPECIES_NOIVERN</t>
        </is>
      </c>
      <c r="E148" s="3" t="n">
        <v>48</v>
      </c>
      <c r="F148" s="3" t="b">
        <v>1</v>
      </c>
      <c r="G148" s="3" t="inlineStr">
        <is>
          <t>48</t>
        </is>
      </c>
    </row>
    <row r="149">
      <c r="A149" s="3" t="inlineStr">
        <is>
          <t>SPECIES_GRUBBIN</t>
        </is>
      </c>
      <c r="B149" s="3" t="inlineStr">
        <is>
          <t>Grubbin</t>
        </is>
      </c>
      <c r="C149" s="3" t="inlineStr">
        <is>
          <t>EVO_LEVEL</t>
        </is>
      </c>
      <c r="D149" s="3" t="inlineStr">
        <is>
          <t>SPECIES_CHARJABUG</t>
        </is>
      </c>
      <c r="E149" s="3" t="n">
        <v>20</v>
      </c>
      <c r="F149" s="3" t="b">
        <v>1</v>
      </c>
      <c r="G149" s="3" t="inlineStr">
        <is>
          <t>20</t>
        </is>
      </c>
    </row>
    <row r="150">
      <c r="A150" s="3" t="inlineStr">
        <is>
          <t>SPECIES_CHARJABUG</t>
        </is>
      </c>
      <c r="B150" s="3" t="inlineStr">
        <is>
          <t>Charjabug</t>
        </is>
      </c>
      <c r="C150" s="3" t="inlineStr">
        <is>
          <t>EVO_LEVEL</t>
        </is>
      </c>
      <c r="D150" s="3" t="inlineStr">
        <is>
          <t>SPECIES_VIKAVOLT</t>
        </is>
      </c>
      <c r="E150" s="3" t="n">
        <v>40</v>
      </c>
      <c r="F150" s="3" t="b">
        <v>1</v>
      </c>
      <c r="G150" s="3" t="inlineStr">
        <is>
          <t>0</t>
        </is>
      </c>
    </row>
    <row r="151">
      <c r="A151" s="3" t="inlineStr">
        <is>
          <t>SPECIES_CHARJABUG</t>
        </is>
      </c>
      <c r="B151" s="3" t="inlineStr">
        <is>
          <t>Charjabug</t>
        </is>
      </c>
      <c r="C151" s="3" t="inlineStr">
        <is>
          <t>EVO_ITEM</t>
        </is>
      </c>
      <c r="D151" s="3" t="inlineStr">
        <is>
          <t>SPECIES_VIKAVOLT</t>
        </is>
      </c>
      <c r="E151" s="3" t="n">
        <v>40</v>
      </c>
      <c r="F151" s="3" t="b">
        <v>0</v>
      </c>
      <c r="G151" s="3" t="inlineStr">
        <is>
          <t>ITEM_THUNDER_STONE</t>
        </is>
      </c>
    </row>
    <row r="152">
      <c r="A152" s="3" t="inlineStr">
        <is>
          <t>SPECIES_CRABRAWLER</t>
        </is>
      </c>
      <c r="B152" s="3" t="inlineStr">
        <is>
          <t>Crabrawler</t>
        </is>
      </c>
      <c r="C152" s="3" t="inlineStr">
        <is>
          <t>EVO_LEVEL</t>
        </is>
      </c>
      <c r="D152" s="3" t="inlineStr">
        <is>
          <t>SPECIES_CRABOMINABLE</t>
        </is>
      </c>
      <c r="E152" s="3" t="n">
        <v>40</v>
      </c>
      <c r="F152" s="3" t="b">
        <v>1</v>
      </c>
      <c r="G152" s="3" t="inlineStr">
        <is>
          <t>0</t>
        </is>
      </c>
    </row>
    <row r="153">
      <c r="A153" s="3" t="inlineStr">
        <is>
          <t>SPECIES_CRABRAWLER</t>
        </is>
      </c>
      <c r="B153" s="3" t="inlineStr">
        <is>
          <t>Crabrawler</t>
        </is>
      </c>
      <c r="C153" s="3" t="inlineStr">
        <is>
          <t>EVO_ITEM</t>
        </is>
      </c>
      <c r="D153" s="3" t="inlineStr">
        <is>
          <t>SPECIES_CRABOMINABLE</t>
        </is>
      </c>
      <c r="E153" s="3" t="n">
        <v>40</v>
      </c>
      <c r="F153" s="3" t="b">
        <v>0</v>
      </c>
      <c r="G153" s="3" t="inlineStr">
        <is>
          <t>ITEM_ICE_STONE</t>
        </is>
      </c>
    </row>
    <row r="154">
      <c r="A154" s="3" t="inlineStr">
        <is>
          <t>SPECIES_CUTIEFLY</t>
        </is>
      </c>
      <c r="B154" s="3" t="inlineStr">
        <is>
          <t>Cutiefly</t>
        </is>
      </c>
      <c r="C154" s="3" t="inlineStr">
        <is>
          <t>EVO_LEVEL</t>
        </is>
      </c>
      <c r="D154" s="3" t="inlineStr">
        <is>
          <t>SPECIES_RIBOMBEE</t>
        </is>
      </c>
      <c r="E154" s="3" t="n">
        <v>25</v>
      </c>
      <c r="F154" s="3" t="b">
        <v>1</v>
      </c>
      <c r="G154" s="3" t="inlineStr">
        <is>
          <t>25</t>
        </is>
      </c>
    </row>
    <row r="155">
      <c r="A155" s="3" t="inlineStr">
        <is>
          <t>SPECIES_DEWPIDER</t>
        </is>
      </c>
      <c r="B155" s="3" t="inlineStr">
        <is>
          <t>Dewpider</t>
        </is>
      </c>
      <c r="C155" s="3" t="inlineStr">
        <is>
          <t>EVO_LEVEL</t>
        </is>
      </c>
      <c r="D155" s="3" t="inlineStr">
        <is>
          <t>SPECIES_ARAQUANID</t>
        </is>
      </c>
      <c r="E155" s="3" t="n">
        <v>22</v>
      </c>
      <c r="F155" s="3" t="b">
        <v>1</v>
      </c>
      <c r="G155" s="3" t="inlineStr">
        <is>
          <t>22</t>
        </is>
      </c>
    </row>
    <row r="156">
      <c r="A156" s="3" t="inlineStr">
        <is>
          <t>SPECIES_SALANDIT</t>
        </is>
      </c>
      <c r="B156" s="3" t="inlineStr">
        <is>
          <t>Salandit</t>
        </is>
      </c>
      <c r="C156" s="3" t="inlineStr">
        <is>
          <t>EVO_LEVEL</t>
        </is>
      </c>
      <c r="D156" s="3" t="inlineStr">
        <is>
          <t>SPECIES_SALAZZLE</t>
        </is>
      </c>
      <c r="E156" s="3" t="n">
        <v>33</v>
      </c>
      <c r="F156" s="3" t="b">
        <v>1</v>
      </c>
      <c r="G156" s="3" t="inlineStr">
        <is>
          <t>33</t>
        </is>
      </c>
    </row>
    <row r="157">
      <c r="A157" s="3" t="inlineStr">
        <is>
          <t>SPECIES_STUFFUL</t>
        </is>
      </c>
      <c r="B157" s="3" t="inlineStr">
        <is>
          <t>Stufful</t>
        </is>
      </c>
      <c r="C157" s="3" t="inlineStr">
        <is>
          <t>EVO_LEVEL</t>
        </is>
      </c>
      <c r="D157" s="3" t="inlineStr">
        <is>
          <t>SPECIES_BEWEAR</t>
        </is>
      </c>
      <c r="E157" s="3" t="n">
        <v>27</v>
      </c>
      <c r="F157" s="3" t="b">
        <v>1</v>
      </c>
      <c r="G157" s="3" t="inlineStr">
        <is>
          <t>27</t>
        </is>
      </c>
    </row>
    <row r="158">
      <c r="A158" s="3" t="inlineStr">
        <is>
          <t>SPECIES_BOUNSWEET</t>
        </is>
      </c>
      <c r="B158" s="3" t="inlineStr">
        <is>
          <t>Bounsweet</t>
        </is>
      </c>
      <c r="C158" s="3" t="inlineStr">
        <is>
          <t>EVO_LEVEL</t>
        </is>
      </c>
      <c r="D158" s="3" t="inlineStr">
        <is>
          <t>SPECIES_STEENEE</t>
        </is>
      </c>
      <c r="E158" s="3" t="n">
        <v>18</v>
      </c>
      <c r="F158" s="3" t="b">
        <v>1</v>
      </c>
      <c r="G158" s="3" t="inlineStr">
        <is>
          <t>18</t>
        </is>
      </c>
    </row>
    <row r="159">
      <c r="A159" s="3" t="inlineStr">
        <is>
          <t>SPECIES_STEENEE</t>
        </is>
      </c>
      <c r="B159" s="3" t="inlineStr">
        <is>
          <t>Steenee</t>
        </is>
      </c>
      <c r="C159" s="3" t="inlineStr">
        <is>
          <t>EVO_LEVEL</t>
        </is>
      </c>
      <c r="D159" s="3" t="inlineStr">
        <is>
          <t>SPECIES_TSAREENA</t>
        </is>
      </c>
      <c r="E159" s="3" t="n">
        <v>40</v>
      </c>
      <c r="F159" s="3" t="b">
        <v>1</v>
      </c>
      <c r="G159" s="3" t="inlineStr">
        <is>
          <t>0</t>
        </is>
      </c>
    </row>
    <row r="160">
      <c r="A160" s="3" t="inlineStr">
        <is>
          <t>SPECIES_BLIPBUG</t>
        </is>
      </c>
      <c r="B160" s="3" t="inlineStr">
        <is>
          <t>Blipbug</t>
        </is>
      </c>
      <c r="C160" s="3" t="inlineStr">
        <is>
          <t>EVO_LEVEL</t>
        </is>
      </c>
      <c r="D160" s="3" t="inlineStr">
        <is>
          <t>SPECIES_DOTTLER</t>
        </is>
      </c>
      <c r="E160" s="3" t="n">
        <v>10</v>
      </c>
      <c r="F160" s="3" t="b">
        <v>1</v>
      </c>
      <c r="G160" s="3" t="inlineStr">
        <is>
          <t>10</t>
        </is>
      </c>
    </row>
    <row r="161">
      <c r="A161" s="3" t="inlineStr">
        <is>
          <t>SPECIES_DOTTLER</t>
        </is>
      </c>
      <c r="B161" s="3" t="inlineStr">
        <is>
          <t>Dottler</t>
        </is>
      </c>
      <c r="C161" s="3" t="inlineStr">
        <is>
          <t>EVO_LEVEL</t>
        </is>
      </c>
      <c r="D161" s="3" t="inlineStr">
        <is>
          <t>SPECIES_ORBEETLE</t>
        </is>
      </c>
      <c r="E161" s="3" t="n">
        <v>30</v>
      </c>
      <c r="F161" s="3" t="b">
        <v>1</v>
      </c>
      <c r="G161" s="3" t="inlineStr">
        <is>
          <t>30</t>
        </is>
      </c>
    </row>
    <row r="162">
      <c r="A162" s="3" t="inlineStr">
        <is>
          <t>SPECIES_SILICOBRA</t>
        </is>
      </c>
      <c r="B162" s="3" t="inlineStr">
        <is>
          <t>Silicobra</t>
        </is>
      </c>
      <c r="C162" s="3" t="inlineStr">
        <is>
          <t>EVO_LEVEL</t>
        </is>
      </c>
      <c r="D162" s="3" t="inlineStr">
        <is>
          <t>SPECIES_SANDACONDA</t>
        </is>
      </c>
      <c r="E162" s="3" t="n">
        <v>36</v>
      </c>
      <c r="F162" s="3" t="b">
        <v>1</v>
      </c>
      <c r="G162" s="3" t="inlineStr">
        <is>
          <t>36</t>
        </is>
      </c>
    </row>
    <row r="163">
      <c r="A163" s="3" t="inlineStr">
        <is>
          <t>SPECIES_TOXEL</t>
        </is>
      </c>
      <c r="B163" s="3" t="inlineStr">
        <is>
          <t>Toxel</t>
        </is>
      </c>
      <c r="C163" s="3" t="inlineStr">
        <is>
          <t>EVO_LEVEL</t>
        </is>
      </c>
      <c r="D163" s="3" t="inlineStr">
        <is>
          <t>SPECIES_TOXTRICITY_AMPED</t>
        </is>
      </c>
      <c r="E163" s="3" t="n">
        <v>30</v>
      </c>
      <c r="F163" s="3" t="b">
        <v>1</v>
      </c>
      <c r="G163" s="3" t="inlineStr">
        <is>
          <t>30</t>
        </is>
      </c>
    </row>
    <row r="164">
      <c r="A164" s="3" t="inlineStr">
        <is>
          <t>SPECIES_SIZZLIPEDE</t>
        </is>
      </c>
      <c r="B164" s="3" t="inlineStr">
        <is>
          <t>Sizzlipede</t>
        </is>
      </c>
      <c r="C164" s="3" t="inlineStr">
        <is>
          <t>EVO_LEVEL</t>
        </is>
      </c>
      <c r="D164" s="3" t="inlineStr">
        <is>
          <t>SPECIES_CENTISKORCH</t>
        </is>
      </c>
      <c r="E164" s="3" t="n">
        <v>28</v>
      </c>
      <c r="F164" s="3" t="b">
        <v>1</v>
      </c>
      <c r="G164" s="3" t="inlineStr">
        <is>
          <t>28</t>
        </is>
      </c>
    </row>
    <row r="165">
      <c r="A165" s="3" t="inlineStr">
        <is>
          <t>SPECIES_CLOBBOPUS</t>
        </is>
      </c>
      <c r="B165" s="3" t="inlineStr">
        <is>
          <t>Clobbopus</t>
        </is>
      </c>
      <c r="C165" s="3" t="inlineStr">
        <is>
          <t>EVO_LEVEL</t>
        </is>
      </c>
      <c r="D165" s="3" t="inlineStr">
        <is>
          <t>SPECIES_GRAPPLOCT</t>
        </is>
      </c>
      <c r="E165" s="3" t="n">
        <v>40</v>
      </c>
      <c r="F165" s="3" t="b">
        <v>1</v>
      </c>
      <c r="G165" s="3" t="inlineStr">
        <is>
          <t>0</t>
        </is>
      </c>
    </row>
    <row r="166">
      <c r="A166" s="3" t="inlineStr">
        <is>
          <t>SPECIES_IMPIDIMP</t>
        </is>
      </c>
      <c r="B166" s="3" t="inlineStr">
        <is>
          <t>Impidimp</t>
        </is>
      </c>
      <c r="C166" s="3" t="inlineStr">
        <is>
          <t>EVO_LEVEL</t>
        </is>
      </c>
      <c r="D166" s="3" t="inlineStr">
        <is>
          <t>SPECIES_MORGREM</t>
        </is>
      </c>
      <c r="E166" s="3" t="n">
        <v>32</v>
      </c>
      <c r="F166" s="3" t="b">
        <v>1</v>
      </c>
      <c r="G166" s="3" t="inlineStr">
        <is>
          <t>32</t>
        </is>
      </c>
    </row>
    <row r="167">
      <c r="A167" s="3" t="inlineStr">
        <is>
          <t>SPECIES_MORGREM</t>
        </is>
      </c>
      <c r="B167" s="3" t="inlineStr">
        <is>
          <t>Morgrem</t>
        </is>
      </c>
      <c r="C167" s="3" t="inlineStr">
        <is>
          <t>EVO_LEVEL</t>
        </is>
      </c>
      <c r="D167" s="3" t="inlineStr">
        <is>
          <t>SPECIES_GRIMMSNARL</t>
        </is>
      </c>
      <c r="E167" s="3" t="n">
        <v>42</v>
      </c>
      <c r="F167" s="3" t="b">
        <v>1</v>
      </c>
      <c r="G167" s="3" t="inlineStr">
        <is>
          <t>42</t>
        </is>
      </c>
    </row>
    <row r="168">
      <c r="A168" s="3" t="inlineStr">
        <is>
          <t>SPECIES_SNOM</t>
        </is>
      </c>
      <c r="B168" s="3" t="inlineStr">
        <is>
          <t>Snom</t>
        </is>
      </c>
      <c r="C168" s="3" t="inlineStr">
        <is>
          <t>EVO_LEVEL</t>
        </is>
      </c>
      <c r="D168" s="3" t="inlineStr">
        <is>
          <t>SPECIES_FROSMOTH</t>
        </is>
      </c>
      <c r="E168" s="3" t="n">
        <v>40</v>
      </c>
      <c r="F168" s="3" t="b">
        <v>1</v>
      </c>
      <c r="G168" s="3" t="inlineStr">
        <is>
          <t>0</t>
        </is>
      </c>
    </row>
    <row r="169">
      <c r="A169" s="3" t="inlineStr">
        <is>
          <t>SPECIES_CUFANT</t>
        </is>
      </c>
      <c r="B169" s="3" t="inlineStr">
        <is>
          <t>Cufant</t>
        </is>
      </c>
      <c r="C169" s="3" t="inlineStr">
        <is>
          <t>EVO_LEVEL</t>
        </is>
      </c>
      <c r="D169" s="3" t="inlineStr">
        <is>
          <t>SPECIES_COPPERAJAH</t>
        </is>
      </c>
      <c r="E169" s="3" t="n">
        <v>34</v>
      </c>
      <c r="F169" s="3" t="b">
        <v>1</v>
      </c>
      <c r="G169" s="3" t="inlineStr">
        <is>
          <t>34</t>
        </is>
      </c>
    </row>
    <row r="170">
      <c r="A170" s="3" t="inlineStr">
        <is>
          <t>SPECIES_DREEPY</t>
        </is>
      </c>
      <c r="B170" s="3" t="inlineStr">
        <is>
          <t>Dreepy</t>
        </is>
      </c>
      <c r="C170" s="3" t="inlineStr">
        <is>
          <t>EVO_LEVEL</t>
        </is>
      </c>
      <c r="D170" s="3" t="inlineStr">
        <is>
          <t>SPECIES_DRAKLOAK</t>
        </is>
      </c>
      <c r="E170" s="3" t="n">
        <v>50</v>
      </c>
      <c r="F170" s="3" t="b">
        <v>1</v>
      </c>
      <c r="G170" s="3" t="inlineStr">
        <is>
          <t>50</t>
        </is>
      </c>
    </row>
    <row r="171">
      <c r="A171" s="3" t="inlineStr">
        <is>
          <t>SPECIES_DRAKLOAK</t>
        </is>
      </c>
      <c r="B171" s="3" t="inlineStr">
        <is>
          <t>Drakloak</t>
        </is>
      </c>
      <c r="C171" s="3" t="inlineStr">
        <is>
          <t>EVO_LEVEL</t>
        </is>
      </c>
      <c r="D171" s="3" t="inlineStr">
        <is>
          <t>SPECIES_DRAGAPULT</t>
        </is>
      </c>
      <c r="E171" s="3" t="n">
        <v>60</v>
      </c>
      <c r="F171" s="3" t="b">
        <v>1</v>
      </c>
      <c r="G171" s="3" t="inlineStr">
        <is>
          <t>60</t>
        </is>
      </c>
    </row>
    <row r="172">
      <c r="A172" s="3" t="inlineStr">
        <is>
          <t>SPECIES_BASCULIN_WHITE_STRIPED</t>
        </is>
      </c>
      <c r="B172" s="3" t="inlineStr">
        <is>
          <t>Basculin</t>
        </is>
      </c>
      <c r="C172" s="3" t="inlineStr">
        <is>
          <t>EVO_LEVEL</t>
        </is>
      </c>
      <c r="D172" s="3" t="inlineStr">
        <is>
          <t>SPECIES_BASCULEGION_M</t>
        </is>
      </c>
      <c r="E172" s="3" t="n">
        <v>40</v>
      </c>
      <c r="F172" s="3" t="b">
        <v>1</v>
      </c>
      <c r="G172" s="3" t="inlineStr">
        <is>
          <t>0</t>
        </is>
      </c>
    </row>
    <row r="173">
      <c r="A173" s="3" t="inlineStr">
        <is>
          <t>SPECIES_NYMBLE</t>
        </is>
      </c>
      <c r="B173" s="3" t="inlineStr">
        <is>
          <t>Nymble</t>
        </is>
      </c>
      <c r="C173" s="3" t="inlineStr">
        <is>
          <t>EVO_LEVEL</t>
        </is>
      </c>
      <c r="D173" s="3" t="inlineStr">
        <is>
          <t>SPECIES_LOKIX</t>
        </is>
      </c>
      <c r="E173" s="3" t="n">
        <v>24</v>
      </c>
      <c r="F173" s="3" t="b">
        <v>1</v>
      </c>
      <c r="G173" s="3" t="inlineStr">
        <is>
          <t>24</t>
        </is>
      </c>
    </row>
    <row r="174">
      <c r="A174" s="3" t="inlineStr">
        <is>
          <t>SPECIES_TANDEMAUS</t>
        </is>
      </c>
      <c r="B174" s="3" t="inlineStr">
        <is>
          <t>Tandemaus</t>
        </is>
      </c>
      <c r="C174" s="3" t="inlineStr">
        <is>
          <t>EVO_LEVEL_BATTLE_ONLY</t>
        </is>
      </c>
      <c r="D174" s="3" t="inlineStr">
        <is>
          <t>SPECIES_MAUSHOLD_FOUR</t>
        </is>
      </c>
      <c r="E174" s="3" t="n">
        <v>25</v>
      </c>
      <c r="F174" s="3" t="b">
        <v>1</v>
      </c>
      <c r="G174" s="3" t="inlineStr">
        <is>
          <t>25</t>
        </is>
      </c>
    </row>
    <row r="175">
      <c r="A175" s="3" t="inlineStr">
        <is>
          <t>SPECIES_CHARCADET</t>
        </is>
      </c>
      <c r="B175" s="3" t="inlineStr">
        <is>
          <t>Charcadet</t>
        </is>
      </c>
      <c r="C175" s="3" t="inlineStr">
        <is>
          <t>EVO_ITEM</t>
        </is>
      </c>
      <c r="D175" s="3" t="inlineStr">
        <is>
          <t>SPECIES_ARMAROUGE</t>
        </is>
      </c>
      <c r="E175" s="3" t="n">
        <v>40</v>
      </c>
      <c r="F175" s="3" t="b">
        <v>1</v>
      </c>
      <c r="G175" s="3" t="inlineStr">
        <is>
          <t>ITEM_AUSPICIOUS_ARMOR</t>
        </is>
      </c>
    </row>
    <row r="176">
      <c r="A176" s="3" t="inlineStr">
        <is>
          <t>SPECIES_CHARCADET</t>
        </is>
      </c>
      <c r="B176" s="3" t="inlineStr">
        <is>
          <t>Charcadet</t>
        </is>
      </c>
      <c r="C176" s="3" t="inlineStr">
        <is>
          <t>EVO_ITEM</t>
        </is>
      </c>
      <c r="D176" s="3" t="inlineStr">
        <is>
          <t>SPECIES_CERULEDGE</t>
        </is>
      </c>
      <c r="E176" s="3" t="n">
        <v>40</v>
      </c>
      <c r="F176" s="3" t="b">
        <v>0</v>
      </c>
      <c r="G176" s="3" t="inlineStr">
        <is>
          <t>ITEM_MALICIOUS_ARMOR</t>
        </is>
      </c>
    </row>
    <row r="177">
      <c r="A177" s="3" t="inlineStr">
        <is>
          <t>SPECIES_WATTREL</t>
        </is>
      </c>
      <c r="B177" s="3" t="inlineStr">
        <is>
          <t>Wattrel</t>
        </is>
      </c>
      <c r="C177" s="3" t="inlineStr">
        <is>
          <t>EVO_LEVEL</t>
        </is>
      </c>
      <c r="D177" s="3" t="inlineStr">
        <is>
          <t>SPECIES_KILOWATTREL</t>
        </is>
      </c>
      <c r="E177" s="3" t="n">
        <v>25</v>
      </c>
      <c r="F177" s="3" t="b">
        <v>1</v>
      </c>
      <c r="G177" s="3" t="inlineStr">
        <is>
          <t>25</t>
        </is>
      </c>
    </row>
    <row r="178">
      <c r="A178" s="3" t="inlineStr">
        <is>
          <t>SPECIES_FLITTLE</t>
        </is>
      </c>
      <c r="B178" s="3" t="inlineStr">
        <is>
          <t>Flittle</t>
        </is>
      </c>
      <c r="C178" s="3" t="inlineStr">
        <is>
          <t>EVO_LEVEL</t>
        </is>
      </c>
      <c r="D178" s="3" t="inlineStr">
        <is>
          <t>SPECIES_ESPATHRA</t>
        </is>
      </c>
      <c r="E178" s="3" t="n">
        <v>35</v>
      </c>
      <c r="F178" s="3" t="b">
        <v>1</v>
      </c>
      <c r="G178" s="3" t="inlineStr">
        <is>
          <t>35</t>
        </is>
      </c>
    </row>
    <row r="179">
      <c r="A179" s="3" t="inlineStr">
        <is>
          <t>SPECIES_TINKATINK</t>
        </is>
      </c>
      <c r="B179" s="3" t="inlineStr">
        <is>
          <t>Tinkatink</t>
        </is>
      </c>
      <c r="C179" s="3" t="inlineStr">
        <is>
          <t>EVO_LEVEL</t>
        </is>
      </c>
      <c r="D179" s="3" t="inlineStr">
        <is>
          <t>SPECIES_TINKATUFF</t>
        </is>
      </c>
      <c r="E179" s="3" t="n">
        <v>24</v>
      </c>
      <c r="F179" s="3" t="b">
        <v>1</v>
      </c>
      <c r="G179" s="3" t="inlineStr">
        <is>
          <t>24</t>
        </is>
      </c>
    </row>
    <row r="180">
      <c r="A180" s="3" t="inlineStr">
        <is>
          <t>SPECIES_TINKATUFF</t>
        </is>
      </c>
      <c r="B180" s="3" t="inlineStr">
        <is>
          <t>Tinkatuff</t>
        </is>
      </c>
      <c r="C180" s="3" t="inlineStr">
        <is>
          <t>EVO_LEVEL</t>
        </is>
      </c>
      <c r="D180" s="3" t="inlineStr">
        <is>
          <t>SPECIES_TINKATON</t>
        </is>
      </c>
      <c r="E180" s="3" t="n">
        <v>38</v>
      </c>
      <c r="F180" s="3" t="b">
        <v>1</v>
      </c>
      <c r="G180" s="3" t="inlineStr">
        <is>
          <t>38</t>
        </is>
      </c>
    </row>
    <row r="181">
      <c r="A181" s="3" t="inlineStr">
        <is>
          <t>SPECIES_VAROOM</t>
        </is>
      </c>
      <c r="B181" s="3" t="inlineStr">
        <is>
          <t>Varoom</t>
        </is>
      </c>
      <c r="C181" s="3" t="inlineStr">
        <is>
          <t>EVO_LEVEL</t>
        </is>
      </c>
      <c r="D181" s="3" t="inlineStr">
        <is>
          <t>SPECIES_REVAVROOM</t>
        </is>
      </c>
      <c r="E181" s="3" t="n">
        <v>40</v>
      </c>
      <c r="F181" s="3" t="b">
        <v>1</v>
      </c>
      <c r="G181" s="3" t="inlineStr">
        <is>
          <t>40</t>
        </is>
      </c>
    </row>
    <row r="182">
      <c r="A182" s="3" t="inlineStr">
        <is>
          <t>SPECIES_GLIMMET</t>
        </is>
      </c>
      <c r="B182" s="3" t="inlineStr">
        <is>
          <t>Glimmet</t>
        </is>
      </c>
      <c r="C182" s="3" t="inlineStr">
        <is>
          <t>EVO_LEVEL</t>
        </is>
      </c>
      <c r="D182" s="3" t="inlineStr">
        <is>
          <t>SPECIES_GLIMMORA</t>
        </is>
      </c>
      <c r="E182" s="3" t="n">
        <v>35</v>
      </c>
      <c r="F182" s="3" t="b">
        <v>1</v>
      </c>
      <c r="G182" s="3" t="inlineStr">
        <is>
          <t>35</t>
        </is>
      </c>
    </row>
    <row r="183">
      <c r="A183" s="3" t="inlineStr">
        <is>
          <t>SPECIES_CETODDLE</t>
        </is>
      </c>
      <c r="B183" s="3" t="inlineStr">
        <is>
          <t>Cetoddle</t>
        </is>
      </c>
      <c r="C183" s="3" t="inlineStr">
        <is>
          <t>EVO_ITEM</t>
        </is>
      </c>
      <c r="D183" s="3" t="inlineStr">
        <is>
          <t>SPECIES_CETITAN</t>
        </is>
      </c>
      <c r="E183" s="3" t="n">
        <v>40</v>
      </c>
      <c r="F183" s="3" t="b">
        <v>1</v>
      </c>
      <c r="G183" s="3" t="inlineStr">
        <is>
          <t>ITEM_ICE_STONE</t>
        </is>
      </c>
    </row>
    <row r="184">
      <c r="A184" s="3" t="inlineStr">
        <is>
          <t>SPECIES_CAPSAKID</t>
        </is>
      </c>
      <c r="B184" s="3" t="inlineStr">
        <is>
          <t>Capsakid</t>
        </is>
      </c>
      <c r="C184" s="3" t="inlineStr">
        <is>
          <t>EVO_ITEM</t>
        </is>
      </c>
      <c r="D184" s="3" t="inlineStr">
        <is>
          <t>SPECIES_SCOVILLAIN</t>
        </is>
      </c>
      <c r="E184" s="3" t="n">
        <v>40</v>
      </c>
      <c r="F184" s="3" t="b">
        <v>1</v>
      </c>
      <c r="G184" s="3" t="inlineStr">
        <is>
          <t>ITEM_FIRE_STONE</t>
        </is>
      </c>
    </row>
  </sheetData>
  <autoFilter ref="A1:G18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567"/>
  <sheetViews>
    <sheetView showGridLines="0" workbookViewId="0">
      <pane ySplit="1" topLeftCell="A2" activePane="bottomLeft" state="frozen"/>
      <selection pane="bottomLeft" activeCell="A1" sqref="A1"/>
    </sheetView>
  </sheetViews>
  <sheetFormatPr baseColWidth="8" defaultRowHeight="15"/>
  <cols>
    <col width="25" customWidth="1" min="1" max="1"/>
    <col width="17" customWidth="1" min="2" max="2"/>
    <col width="9" customWidth="1" min="3" max="3"/>
    <col width="18" customWidth="1" min="4" max="4"/>
    <col width="23" customWidth="1" min="5" max="5"/>
  </cols>
  <sheetData>
    <row r="1" ht="32" customHeight="1">
      <c r="A1" s="1" t="inlineStr">
        <is>
          <t>Species ID</t>
        </is>
      </c>
      <c r="B1" s="1" t="inlineStr">
        <is>
          <t>Pokémon</t>
        </is>
      </c>
      <c r="C1" s="1" t="inlineStr">
        <is>
          <t>Level</t>
        </is>
      </c>
      <c r="D1" s="1" t="inlineStr">
        <is>
          <t>Move</t>
        </is>
      </c>
      <c r="E1" s="1" t="inlineStr">
        <is>
          <t>Move ID</t>
        </is>
      </c>
    </row>
    <row r="2">
      <c r="A2" s="3" t="inlineStr">
        <is>
          <t>SPECIES_SANDSHREW_ALOLA</t>
        </is>
      </c>
      <c r="B2" s="3" t="inlineStr">
        <is>
          <t>Sandshrew-Alola</t>
        </is>
      </c>
      <c r="C2" s="3" t="n">
        <v>1</v>
      </c>
      <c r="D2" s="3" t="inlineStr">
        <is>
          <t>Defense Curl</t>
        </is>
      </c>
      <c r="E2" s="3" t="inlineStr">
        <is>
          <t>MOVE_DEFENSE_CURL</t>
        </is>
      </c>
    </row>
    <row r="3">
      <c r="A3" s="3" t="inlineStr">
        <is>
          <t>SPECIES_SANDSHREW_ALOLA</t>
        </is>
      </c>
      <c r="B3" s="3" t="inlineStr">
        <is>
          <t>Sandshrew-Alola</t>
        </is>
      </c>
      <c r="C3" s="3" t="n">
        <v>1</v>
      </c>
      <c r="D3" s="3" t="inlineStr">
        <is>
          <t>Scratch</t>
        </is>
      </c>
      <c r="E3" s="3" t="inlineStr">
        <is>
          <t>MOVE_SCRATCH</t>
        </is>
      </c>
    </row>
    <row r="4">
      <c r="A4" s="3" t="inlineStr">
        <is>
          <t>SPECIES_SANDSHREW_ALOLA</t>
        </is>
      </c>
      <c r="B4" s="3" t="inlineStr">
        <is>
          <t>Sandshrew-Alola</t>
        </is>
      </c>
      <c r="C4" s="3" t="n">
        <v>3</v>
      </c>
      <c r="D4" s="3" t="inlineStr">
        <is>
          <t>Mist</t>
        </is>
      </c>
      <c r="E4" s="3" t="inlineStr">
        <is>
          <t>MOVE_MIST</t>
        </is>
      </c>
    </row>
    <row r="5">
      <c r="A5" s="3" t="inlineStr">
        <is>
          <t>SPECIES_SANDSHREW_ALOLA</t>
        </is>
      </c>
      <c r="B5" s="3" t="inlineStr">
        <is>
          <t>Sandshrew-Alola</t>
        </is>
      </c>
      <c r="C5" s="3" t="n">
        <v>6</v>
      </c>
      <c r="D5" s="3" t="inlineStr">
        <is>
          <t>Powder Snow</t>
        </is>
      </c>
      <c r="E5" s="3" t="inlineStr">
        <is>
          <t>MOVE_POWDER_SNOW</t>
        </is>
      </c>
    </row>
    <row r="6">
      <c r="A6" s="3" t="inlineStr">
        <is>
          <t>SPECIES_SANDSHREW_ALOLA</t>
        </is>
      </c>
      <c r="B6" s="3" t="inlineStr">
        <is>
          <t>Sandshrew-Alola</t>
        </is>
      </c>
      <c r="C6" s="3" t="n">
        <v>9</v>
      </c>
      <c r="D6" s="3" t="inlineStr">
        <is>
          <t>Rollout</t>
        </is>
      </c>
      <c r="E6" s="3" t="inlineStr">
        <is>
          <t>MOVE_ROLLOUT</t>
        </is>
      </c>
    </row>
    <row r="7">
      <c r="A7" s="3" t="inlineStr">
        <is>
          <t>SPECIES_SANDSHREW_ALOLA</t>
        </is>
      </c>
      <c r="B7" s="3" t="inlineStr">
        <is>
          <t>Sandshrew-Alola</t>
        </is>
      </c>
      <c r="C7" s="3" t="n">
        <v>12</v>
      </c>
      <c r="D7" s="3" t="inlineStr">
        <is>
          <t>Fury Cutter</t>
        </is>
      </c>
      <c r="E7" s="3" t="inlineStr">
        <is>
          <t>MOVE_FURY_CUTTER</t>
        </is>
      </c>
    </row>
    <row r="8">
      <c r="A8" s="3" t="inlineStr">
        <is>
          <t>SPECIES_SANDSHREW_ALOLA</t>
        </is>
      </c>
      <c r="B8" s="3" t="inlineStr">
        <is>
          <t>Sandshrew-Alola</t>
        </is>
      </c>
      <c r="C8" s="3" t="n">
        <v>15</v>
      </c>
      <c r="D8" s="3" t="inlineStr">
        <is>
          <t>Rapid Spin</t>
        </is>
      </c>
      <c r="E8" s="3" t="inlineStr">
        <is>
          <t>MOVE_RAPID_SPIN</t>
        </is>
      </c>
    </row>
    <row r="9">
      <c r="A9" s="3" t="inlineStr">
        <is>
          <t>SPECIES_SANDSHREW_ALOLA</t>
        </is>
      </c>
      <c r="B9" s="3" t="inlineStr">
        <is>
          <t>Sandshrew-Alola</t>
        </is>
      </c>
      <c r="C9" s="3" t="n">
        <v>18</v>
      </c>
      <c r="D9" s="3" t="inlineStr">
        <is>
          <t>Metal Claw</t>
        </is>
      </c>
      <c r="E9" s="3" t="inlineStr">
        <is>
          <t>MOVE_METAL_CLAW</t>
        </is>
      </c>
    </row>
    <row r="10">
      <c r="A10" s="3" t="inlineStr">
        <is>
          <t>SPECIES_SANDSHREW_ALOLA</t>
        </is>
      </c>
      <c r="B10" s="3" t="inlineStr">
        <is>
          <t>Sandshrew-Alola</t>
        </is>
      </c>
      <c r="C10" s="3" t="n">
        <v>21</v>
      </c>
      <c r="D10" s="3" t="inlineStr">
        <is>
          <t>Swift</t>
        </is>
      </c>
      <c r="E10" s="3" t="inlineStr">
        <is>
          <t>MOVE_SWIFT</t>
        </is>
      </c>
    </row>
    <row r="11">
      <c r="A11" s="3" t="inlineStr">
        <is>
          <t>SPECIES_SANDSHREW_ALOLA</t>
        </is>
      </c>
      <c r="B11" s="3" t="inlineStr">
        <is>
          <t>Sandshrew-Alola</t>
        </is>
      </c>
      <c r="C11" s="3" t="n">
        <v>24</v>
      </c>
      <c r="D11" s="3" t="inlineStr">
        <is>
          <t>Fury Swipes</t>
        </is>
      </c>
      <c r="E11" s="3" t="inlineStr">
        <is>
          <t>MOVE_FURY_SWIPES</t>
        </is>
      </c>
    </row>
    <row r="12">
      <c r="A12" s="3" t="inlineStr">
        <is>
          <t>SPECIES_SANDSHREW_ALOLA</t>
        </is>
      </c>
      <c r="B12" s="3" t="inlineStr">
        <is>
          <t>Sandshrew-Alola</t>
        </is>
      </c>
      <c r="C12" s="3" t="n">
        <v>27</v>
      </c>
      <c r="D12" s="3" t="inlineStr">
        <is>
          <t>Iron Defense</t>
        </is>
      </c>
      <c r="E12" s="3" t="inlineStr">
        <is>
          <t>MOVE_IRON_DEFENSE</t>
        </is>
      </c>
    </row>
    <row r="13">
      <c r="A13" s="3" t="inlineStr">
        <is>
          <t>SPECIES_SANDSHREW_ALOLA</t>
        </is>
      </c>
      <c r="B13" s="3" t="inlineStr">
        <is>
          <t>Sandshrew-Alola</t>
        </is>
      </c>
      <c r="C13" s="3" t="n">
        <v>30</v>
      </c>
      <c r="D13" s="3" t="inlineStr">
        <is>
          <t>Slash</t>
        </is>
      </c>
      <c r="E13" s="3" t="inlineStr">
        <is>
          <t>MOVE_SLASH</t>
        </is>
      </c>
    </row>
    <row r="14">
      <c r="A14" s="3" t="inlineStr">
        <is>
          <t>SPECIES_SANDSHREW_ALOLA</t>
        </is>
      </c>
      <c r="B14" s="3" t="inlineStr">
        <is>
          <t>Sandshrew-Alola</t>
        </is>
      </c>
      <c r="C14" s="3" t="n">
        <v>33</v>
      </c>
      <c r="D14" s="3" t="inlineStr">
        <is>
          <t>Iron Head</t>
        </is>
      </c>
      <c r="E14" s="3" t="inlineStr">
        <is>
          <t>MOVE_IRON_HEAD</t>
        </is>
      </c>
    </row>
    <row r="15">
      <c r="A15" s="3" t="inlineStr">
        <is>
          <t>SPECIES_SANDSHREW_ALOLA</t>
        </is>
      </c>
      <c r="B15" s="3" t="inlineStr">
        <is>
          <t>Sandshrew-Alola</t>
        </is>
      </c>
      <c r="C15" s="3" t="n">
        <v>36</v>
      </c>
      <c r="D15" s="3" t="inlineStr">
        <is>
          <t>Gyro Ball</t>
        </is>
      </c>
      <c r="E15" s="3" t="inlineStr">
        <is>
          <t>MOVE_GYRO_BALL</t>
        </is>
      </c>
    </row>
    <row r="16">
      <c r="A16" s="3" t="inlineStr">
        <is>
          <t>SPECIES_SANDSHREW_ALOLA</t>
        </is>
      </c>
      <c r="B16" s="3" t="inlineStr">
        <is>
          <t>Sandshrew-Alola</t>
        </is>
      </c>
      <c r="C16" s="3" t="n">
        <v>39</v>
      </c>
      <c r="D16" s="3" t="inlineStr">
        <is>
          <t>Swords Dance</t>
        </is>
      </c>
      <c r="E16" s="3" t="inlineStr">
        <is>
          <t>MOVE_SWORDS_DANCE</t>
        </is>
      </c>
    </row>
    <row r="17">
      <c r="A17" s="3" t="inlineStr">
        <is>
          <t>SPECIES_SANDSHREW_ALOLA</t>
        </is>
      </c>
      <c r="B17" s="3" t="inlineStr">
        <is>
          <t>Sandshrew-Alola</t>
        </is>
      </c>
      <c r="C17" s="3" t="n">
        <v>42</v>
      </c>
      <c r="D17" s="3" t="inlineStr">
        <is>
          <t>Snowscape</t>
        </is>
      </c>
      <c r="E17" s="3" t="inlineStr">
        <is>
          <t>MOVE_SNOWSCAPE</t>
        </is>
      </c>
    </row>
    <row r="18">
      <c r="A18" s="3" t="inlineStr">
        <is>
          <t>SPECIES_SANDSHREW_ALOLA</t>
        </is>
      </c>
      <c r="B18" s="3" t="inlineStr">
        <is>
          <t>Sandshrew-Alola</t>
        </is>
      </c>
      <c r="C18" s="3" t="n">
        <v>45</v>
      </c>
      <c r="D18" s="3" t="inlineStr">
        <is>
          <t>Blizzard</t>
        </is>
      </c>
      <c r="E18" s="3" t="inlineStr">
        <is>
          <t>MOVE_BLIZZARD</t>
        </is>
      </c>
    </row>
    <row r="19">
      <c r="A19" s="3" t="inlineStr">
        <is>
          <t>SPECIES_SANDSLASH_ALOLA</t>
        </is>
      </c>
      <c r="B19" s="3" t="inlineStr">
        <is>
          <t>Sandslash-Alola</t>
        </is>
      </c>
      <c r="C19" s="3" t="n">
        <v>0</v>
      </c>
      <c r="D19" s="3" t="inlineStr">
        <is>
          <t>Icicle Spear</t>
        </is>
      </c>
      <c r="E19" s="3" t="inlineStr">
        <is>
          <t>MOVE_ICICLE_SPEAR</t>
        </is>
      </c>
    </row>
    <row r="20">
      <c r="A20" s="3" t="inlineStr">
        <is>
          <t>SPECIES_SANDSLASH_ALOLA</t>
        </is>
      </c>
      <c r="B20" s="3" t="inlineStr">
        <is>
          <t>Sandslash-Alola</t>
        </is>
      </c>
      <c r="C20" s="3" t="n">
        <v>1</v>
      </c>
      <c r="D20" s="3" t="inlineStr">
        <is>
          <t>Scratch</t>
        </is>
      </c>
      <c r="E20" s="3" t="inlineStr">
        <is>
          <t>MOVE_SCRATCH</t>
        </is>
      </c>
    </row>
    <row r="21">
      <c r="A21" s="3" t="inlineStr">
        <is>
          <t>SPECIES_SANDSLASH_ALOLA</t>
        </is>
      </c>
      <c r="B21" s="3" t="inlineStr">
        <is>
          <t>Sandslash-Alola</t>
        </is>
      </c>
      <c r="C21" s="3" t="n">
        <v>1</v>
      </c>
      <c r="D21" s="3" t="inlineStr">
        <is>
          <t>Mist</t>
        </is>
      </c>
      <c r="E21" s="3" t="inlineStr">
        <is>
          <t>MOVE_MIST</t>
        </is>
      </c>
    </row>
    <row r="22">
      <c r="A22" s="3" t="inlineStr">
        <is>
          <t>SPECIES_SANDSLASH_ALOLA</t>
        </is>
      </c>
      <c r="B22" s="3" t="inlineStr">
        <is>
          <t>Sandslash-Alola</t>
        </is>
      </c>
      <c r="C22" s="3" t="n">
        <v>1</v>
      </c>
      <c r="D22" s="3" t="inlineStr">
        <is>
          <t>Blizzard</t>
        </is>
      </c>
      <c r="E22" s="3" t="inlineStr">
        <is>
          <t>MOVE_BLIZZARD</t>
        </is>
      </c>
    </row>
    <row r="23">
      <c r="A23" s="3" t="inlineStr">
        <is>
          <t>SPECIES_SANDSLASH_ALOLA</t>
        </is>
      </c>
      <c r="B23" s="3" t="inlineStr">
        <is>
          <t>Sandslash-Alola</t>
        </is>
      </c>
      <c r="C23" s="3" t="n">
        <v>1</v>
      </c>
      <c r="D23" s="3" t="inlineStr">
        <is>
          <t>Defense Curl</t>
        </is>
      </c>
      <c r="E23" s="3" t="inlineStr">
        <is>
          <t>MOVE_DEFENSE_CURL</t>
        </is>
      </c>
    </row>
    <row r="24">
      <c r="A24" s="3" t="inlineStr">
        <is>
          <t>SPECIES_SANDSLASH_ALOLA</t>
        </is>
      </c>
      <c r="B24" s="3" t="inlineStr">
        <is>
          <t>Sandslash-Alola</t>
        </is>
      </c>
      <c r="C24" s="3" t="n">
        <v>1</v>
      </c>
      <c r="D24" s="3" t="inlineStr">
        <is>
          <t>Swift</t>
        </is>
      </c>
      <c r="E24" s="3" t="inlineStr">
        <is>
          <t>MOVE_SWIFT</t>
        </is>
      </c>
    </row>
    <row r="25">
      <c r="A25" s="3" t="inlineStr">
        <is>
          <t>SPECIES_SANDSLASH_ALOLA</t>
        </is>
      </c>
      <c r="B25" s="3" t="inlineStr">
        <is>
          <t>Sandslash-Alola</t>
        </is>
      </c>
      <c r="C25" s="3" t="n">
        <v>1</v>
      </c>
      <c r="D25" s="3" t="inlineStr">
        <is>
          <t>Fury Swipes</t>
        </is>
      </c>
      <c r="E25" s="3" t="inlineStr">
        <is>
          <t>MOVE_FURY_SWIPES</t>
        </is>
      </c>
    </row>
    <row r="26">
      <c r="A26" s="3" t="inlineStr">
        <is>
          <t>SPECIES_SANDSLASH_ALOLA</t>
        </is>
      </c>
      <c r="B26" s="3" t="inlineStr">
        <is>
          <t>Sandslash-Alola</t>
        </is>
      </c>
      <c r="C26" s="3" t="n">
        <v>1</v>
      </c>
      <c r="D26" s="3" t="inlineStr">
        <is>
          <t>Powder Snow</t>
        </is>
      </c>
      <c r="E26" s="3" t="inlineStr">
        <is>
          <t>MOVE_POWDER_SNOW</t>
        </is>
      </c>
    </row>
    <row r="27">
      <c r="A27" s="3" t="inlineStr">
        <is>
          <t>SPECIES_SANDSLASH_ALOLA</t>
        </is>
      </c>
      <c r="B27" s="3" t="inlineStr">
        <is>
          <t>Sandslash-Alola</t>
        </is>
      </c>
      <c r="C27" s="3" t="n">
        <v>1</v>
      </c>
      <c r="D27" s="3" t="inlineStr">
        <is>
          <t>Rollout</t>
        </is>
      </c>
      <c r="E27" s="3" t="inlineStr">
        <is>
          <t>MOVE_ROLLOUT</t>
        </is>
      </c>
    </row>
    <row r="28">
      <c r="A28" s="3" t="inlineStr">
        <is>
          <t>SPECIES_SANDSLASH_ALOLA</t>
        </is>
      </c>
      <c r="B28" s="3" t="inlineStr">
        <is>
          <t>Sandslash-Alola</t>
        </is>
      </c>
      <c r="C28" s="3" t="n">
        <v>1</v>
      </c>
      <c r="D28" s="3" t="inlineStr">
        <is>
          <t>Fury Cutter</t>
        </is>
      </c>
      <c r="E28" s="3" t="inlineStr">
        <is>
          <t>MOVE_FURY_CUTTER</t>
        </is>
      </c>
    </row>
    <row r="29">
      <c r="A29" s="3" t="inlineStr">
        <is>
          <t>SPECIES_SANDSLASH_ALOLA</t>
        </is>
      </c>
      <c r="B29" s="3" t="inlineStr">
        <is>
          <t>Sandslash-Alola</t>
        </is>
      </c>
      <c r="C29" s="3" t="n">
        <v>1</v>
      </c>
      <c r="D29" s="3" t="inlineStr">
        <is>
          <t>Rapid Spin</t>
        </is>
      </c>
      <c r="E29" s="3" t="inlineStr">
        <is>
          <t>MOVE_RAPID_SPIN</t>
        </is>
      </c>
    </row>
    <row r="30">
      <c r="A30" s="3" t="inlineStr">
        <is>
          <t>SPECIES_SANDSLASH_ALOLA</t>
        </is>
      </c>
      <c r="B30" s="3" t="inlineStr">
        <is>
          <t>Sandslash-Alola</t>
        </is>
      </c>
      <c r="C30" s="3" t="n">
        <v>1</v>
      </c>
      <c r="D30" s="3" t="inlineStr">
        <is>
          <t>Iron Defense</t>
        </is>
      </c>
      <c r="E30" s="3" t="inlineStr">
        <is>
          <t>MOVE_IRON_DEFENSE</t>
        </is>
      </c>
    </row>
    <row r="31">
      <c r="A31" s="3" t="inlineStr">
        <is>
          <t>SPECIES_SANDSLASH_ALOLA</t>
        </is>
      </c>
      <c r="B31" s="3" t="inlineStr">
        <is>
          <t>Sandslash-Alola</t>
        </is>
      </c>
      <c r="C31" s="3" t="n">
        <v>1</v>
      </c>
      <c r="D31" s="3" t="inlineStr">
        <is>
          <t>Gyro Ball</t>
        </is>
      </c>
      <c r="E31" s="3" t="inlineStr">
        <is>
          <t>MOVE_GYRO_BALL</t>
        </is>
      </c>
    </row>
    <row r="32">
      <c r="A32" s="3" t="inlineStr">
        <is>
          <t>SPECIES_SANDSLASH_ALOLA</t>
        </is>
      </c>
      <c r="B32" s="3" t="inlineStr">
        <is>
          <t>Sandslash-Alola</t>
        </is>
      </c>
      <c r="C32" s="3" t="n">
        <v>1</v>
      </c>
      <c r="D32" s="3" t="inlineStr">
        <is>
          <t>Metal Burst</t>
        </is>
      </c>
      <c r="E32" s="3" t="inlineStr">
        <is>
          <t>MOVE_METAL_BURST</t>
        </is>
      </c>
    </row>
    <row r="33">
      <c r="A33" s="3" t="inlineStr">
        <is>
          <t>SPECIES_SANDSLASH_ALOLA</t>
        </is>
      </c>
      <c r="B33" s="3" t="inlineStr">
        <is>
          <t>Sandslash-Alola</t>
        </is>
      </c>
      <c r="C33" s="3" t="n">
        <v>1</v>
      </c>
      <c r="D33" s="3" t="inlineStr">
        <is>
          <t>Iron Head</t>
        </is>
      </c>
      <c r="E33" s="3" t="inlineStr">
        <is>
          <t>MOVE_IRON_HEAD</t>
        </is>
      </c>
    </row>
    <row r="34">
      <c r="A34" s="3" t="inlineStr">
        <is>
          <t>SPECIES_SANDSLASH_ALOLA</t>
        </is>
      </c>
      <c r="B34" s="3" t="inlineStr">
        <is>
          <t>Sandslash-Alola</t>
        </is>
      </c>
      <c r="C34" s="3" t="n">
        <v>1</v>
      </c>
      <c r="D34" s="3" t="inlineStr">
        <is>
          <t>Snowscape</t>
        </is>
      </c>
      <c r="E34" s="3" t="inlineStr">
        <is>
          <t>MOVE_SNOWSCAPE</t>
        </is>
      </c>
    </row>
    <row r="35">
      <c r="A35" s="3" t="inlineStr">
        <is>
          <t>SPECIES_SANDSLASH_ALOLA</t>
        </is>
      </c>
      <c r="B35" s="3" t="inlineStr">
        <is>
          <t>Sandslash-Alola</t>
        </is>
      </c>
      <c r="C35" s="3" t="n">
        <v>1</v>
      </c>
      <c r="D35" s="3" t="inlineStr">
        <is>
          <t>Swords Dance</t>
        </is>
      </c>
      <c r="E35" s="3" t="inlineStr">
        <is>
          <t>MOVE_SWORDS_DANCE</t>
        </is>
      </c>
    </row>
    <row r="36">
      <c r="A36" s="3" t="inlineStr">
        <is>
          <t>SPECIES_SANDSLASH_ALOLA</t>
        </is>
      </c>
      <c r="B36" s="3" t="inlineStr">
        <is>
          <t>Sandslash-Alola</t>
        </is>
      </c>
      <c r="C36" s="3" t="n">
        <v>1</v>
      </c>
      <c r="D36" s="3" t="inlineStr">
        <is>
          <t>Slash</t>
        </is>
      </c>
      <c r="E36" s="3" t="inlineStr">
        <is>
          <t>MOVE_SLASH</t>
        </is>
      </c>
    </row>
    <row r="37">
      <c r="A37" s="3" t="inlineStr">
        <is>
          <t>SPECIES_SANDSLASH_ALOLA</t>
        </is>
      </c>
      <c r="B37" s="3" t="inlineStr">
        <is>
          <t>Sandslash-Alola</t>
        </is>
      </c>
      <c r="C37" s="3" t="n">
        <v>1</v>
      </c>
      <c r="D37" s="3" t="inlineStr">
        <is>
          <t>Metal Claw</t>
        </is>
      </c>
      <c r="E37" s="3" t="inlineStr">
        <is>
          <t>MOVE_METAL_CLAW</t>
        </is>
      </c>
    </row>
    <row r="38">
      <c r="A38" s="3" t="inlineStr">
        <is>
          <t>SPECIES_SANDSLASH_ALOLA</t>
        </is>
      </c>
      <c r="B38" s="3" t="inlineStr">
        <is>
          <t>Sandslash-Alola</t>
        </is>
      </c>
      <c r="C38" s="3" t="n">
        <v>1</v>
      </c>
      <c r="D38" s="3" t="inlineStr">
        <is>
          <t>Icicle Crash</t>
        </is>
      </c>
      <c r="E38" s="3" t="inlineStr">
        <is>
          <t>MOVE_ICICLE_CRASH</t>
        </is>
      </c>
    </row>
    <row r="39">
      <c r="A39" s="3" t="inlineStr">
        <is>
          <t>SPECIES_VULPIX_ALOLA</t>
        </is>
      </c>
      <c r="B39" s="3" t="inlineStr">
        <is>
          <t>Vulpix-Alola</t>
        </is>
      </c>
      <c r="C39" s="3" t="n">
        <v>1</v>
      </c>
      <c r="D39" s="3" t="inlineStr">
        <is>
          <t>Tail Whip</t>
        </is>
      </c>
      <c r="E39" s="3" t="inlineStr">
        <is>
          <t>MOVE_TAIL_WHIP</t>
        </is>
      </c>
    </row>
    <row r="40">
      <c r="A40" s="3" t="inlineStr">
        <is>
          <t>SPECIES_VULPIX_ALOLA</t>
        </is>
      </c>
      <c r="B40" s="3" t="inlineStr">
        <is>
          <t>Vulpix-Alola</t>
        </is>
      </c>
      <c r="C40" s="3" t="n">
        <v>1</v>
      </c>
      <c r="D40" s="3" t="inlineStr">
        <is>
          <t>Powder Snow</t>
        </is>
      </c>
      <c r="E40" s="3" t="inlineStr">
        <is>
          <t>MOVE_POWDER_SNOW</t>
        </is>
      </c>
    </row>
    <row r="41">
      <c r="A41" s="3" t="inlineStr">
        <is>
          <t>SPECIES_VULPIX_ALOLA</t>
        </is>
      </c>
      <c r="B41" s="3" t="inlineStr">
        <is>
          <t>Vulpix-Alola</t>
        </is>
      </c>
      <c r="C41" s="3" t="n">
        <v>4</v>
      </c>
      <c r="D41" s="3" t="inlineStr">
        <is>
          <t>Disable</t>
        </is>
      </c>
      <c r="E41" s="3" t="inlineStr">
        <is>
          <t>MOVE_DISABLE</t>
        </is>
      </c>
    </row>
    <row r="42">
      <c r="A42" s="3" t="inlineStr">
        <is>
          <t>SPECIES_VULPIX_ALOLA</t>
        </is>
      </c>
      <c r="B42" s="3" t="inlineStr">
        <is>
          <t>Vulpix-Alola</t>
        </is>
      </c>
      <c r="C42" s="3" t="n">
        <v>8</v>
      </c>
      <c r="D42" s="3" t="inlineStr">
        <is>
          <t>Ice Shard</t>
        </is>
      </c>
      <c r="E42" s="3" t="inlineStr">
        <is>
          <t>MOVE_ICE_SHARD</t>
        </is>
      </c>
    </row>
    <row r="43">
      <c r="A43" s="3" t="inlineStr">
        <is>
          <t>SPECIES_VULPIX_ALOLA</t>
        </is>
      </c>
      <c r="B43" s="3" t="inlineStr">
        <is>
          <t>Vulpix-Alola</t>
        </is>
      </c>
      <c r="C43" s="3" t="n">
        <v>12</v>
      </c>
      <c r="D43" s="3" t="inlineStr">
        <is>
          <t>Spite</t>
        </is>
      </c>
      <c r="E43" s="3" t="inlineStr">
        <is>
          <t>MOVE_SPITE</t>
        </is>
      </c>
    </row>
    <row r="44">
      <c r="A44" s="3" t="inlineStr">
        <is>
          <t>SPECIES_VULPIX_ALOLA</t>
        </is>
      </c>
      <c r="B44" s="3" t="inlineStr">
        <is>
          <t>Vulpix-Alola</t>
        </is>
      </c>
      <c r="C44" s="3" t="n">
        <v>16</v>
      </c>
      <c r="D44" s="3" t="inlineStr">
        <is>
          <t>Icy Wind</t>
        </is>
      </c>
      <c r="E44" s="3" t="inlineStr">
        <is>
          <t>MOVE_ICY_WIND</t>
        </is>
      </c>
    </row>
    <row r="45">
      <c r="A45" s="3" t="inlineStr">
        <is>
          <t>SPECIES_VULPIX_ALOLA</t>
        </is>
      </c>
      <c r="B45" s="3" t="inlineStr">
        <is>
          <t>Vulpix-Alola</t>
        </is>
      </c>
      <c r="C45" s="3" t="n">
        <v>20</v>
      </c>
      <c r="D45" s="3" t="inlineStr">
        <is>
          <t>Confuse Ray</t>
        </is>
      </c>
      <c r="E45" s="3" t="inlineStr">
        <is>
          <t>MOVE_CONFUSE_RAY</t>
        </is>
      </c>
    </row>
    <row r="46">
      <c r="A46" s="3" t="inlineStr">
        <is>
          <t>SPECIES_VULPIX_ALOLA</t>
        </is>
      </c>
      <c r="B46" s="3" t="inlineStr">
        <is>
          <t>Vulpix-Alola</t>
        </is>
      </c>
      <c r="C46" s="3" t="n">
        <v>24</v>
      </c>
      <c r="D46" s="3" t="inlineStr">
        <is>
          <t>Aurora Beam</t>
        </is>
      </c>
      <c r="E46" s="3" t="inlineStr">
        <is>
          <t>MOVE_AURORA_BEAM</t>
        </is>
      </c>
    </row>
    <row r="47">
      <c r="A47" s="3" t="inlineStr">
        <is>
          <t>SPECIES_VULPIX_ALOLA</t>
        </is>
      </c>
      <c r="B47" s="3" t="inlineStr">
        <is>
          <t>Vulpix-Alola</t>
        </is>
      </c>
      <c r="C47" s="3" t="n">
        <v>28</v>
      </c>
      <c r="D47" s="3" t="inlineStr">
        <is>
          <t>Extrasensory</t>
        </is>
      </c>
      <c r="E47" s="3" t="inlineStr">
        <is>
          <t>MOVE_EXTRASENSORY</t>
        </is>
      </c>
    </row>
    <row r="48">
      <c r="A48" s="3" t="inlineStr">
        <is>
          <t>SPECIES_VULPIX_ALOLA</t>
        </is>
      </c>
      <c r="B48" s="3" t="inlineStr">
        <is>
          <t>Vulpix-Alola</t>
        </is>
      </c>
      <c r="C48" s="3" t="n">
        <v>32</v>
      </c>
      <c r="D48" s="3" t="inlineStr">
        <is>
          <t>Ice Beam</t>
        </is>
      </c>
      <c r="E48" s="3" t="inlineStr">
        <is>
          <t>MOVE_ICE_BEAM</t>
        </is>
      </c>
    </row>
    <row r="49">
      <c r="A49" s="3" t="inlineStr">
        <is>
          <t>SPECIES_VULPIX_ALOLA</t>
        </is>
      </c>
      <c r="B49" s="3" t="inlineStr">
        <is>
          <t>Vulpix-Alola</t>
        </is>
      </c>
      <c r="C49" s="3" t="n">
        <v>36</v>
      </c>
      <c r="D49" s="3" t="inlineStr">
        <is>
          <t>Imprison</t>
        </is>
      </c>
      <c r="E49" s="3" t="inlineStr">
        <is>
          <t>MOVE_IMPRISON</t>
        </is>
      </c>
    </row>
    <row r="50">
      <c r="A50" s="3" t="inlineStr">
        <is>
          <t>SPECIES_VULPIX_ALOLA</t>
        </is>
      </c>
      <c r="B50" s="3" t="inlineStr">
        <is>
          <t>Vulpix-Alola</t>
        </is>
      </c>
      <c r="C50" s="3" t="n">
        <v>40</v>
      </c>
      <c r="D50" s="3" t="inlineStr">
        <is>
          <t>Mist</t>
        </is>
      </c>
      <c r="E50" s="3" t="inlineStr">
        <is>
          <t>MOVE_MIST</t>
        </is>
      </c>
    </row>
    <row r="51">
      <c r="A51" s="3" t="inlineStr">
        <is>
          <t>SPECIES_VULPIX_ALOLA</t>
        </is>
      </c>
      <c r="B51" s="3" t="inlineStr">
        <is>
          <t>Vulpix-Alola</t>
        </is>
      </c>
      <c r="C51" s="3" t="n">
        <v>44</v>
      </c>
      <c r="D51" s="3" t="inlineStr">
        <is>
          <t>Aurora Veil</t>
        </is>
      </c>
      <c r="E51" s="3" t="inlineStr">
        <is>
          <t>MOVE_AURORA_VEIL</t>
        </is>
      </c>
    </row>
    <row r="52">
      <c r="A52" s="3" t="inlineStr">
        <is>
          <t>SPECIES_VULPIX_ALOLA</t>
        </is>
      </c>
      <c r="B52" s="3" t="inlineStr">
        <is>
          <t>Vulpix-Alola</t>
        </is>
      </c>
      <c r="C52" s="3" t="n">
        <v>48</v>
      </c>
      <c r="D52" s="3" t="inlineStr">
        <is>
          <t>Freeze-Dry</t>
        </is>
      </c>
      <c r="E52" s="3" t="inlineStr">
        <is>
          <t>MOVE_FREEZE_DRY</t>
        </is>
      </c>
    </row>
    <row r="53">
      <c r="A53" s="3" t="inlineStr">
        <is>
          <t>SPECIES_VULPIX_ALOLA</t>
        </is>
      </c>
      <c r="B53" s="3" t="inlineStr">
        <is>
          <t>Vulpix-Alola</t>
        </is>
      </c>
      <c r="C53" s="3" t="n">
        <v>52</v>
      </c>
      <c r="D53" s="3" t="inlineStr">
        <is>
          <t>Blizzard</t>
        </is>
      </c>
      <c r="E53" s="3" t="inlineStr">
        <is>
          <t>MOVE_BLIZZARD</t>
        </is>
      </c>
    </row>
    <row r="54">
      <c r="A54" s="3" t="inlineStr">
        <is>
          <t>SPECIES_NINETALES_ALOLA</t>
        </is>
      </c>
      <c r="B54" s="3" t="inlineStr">
        <is>
          <t>Ninetales-Alola</t>
        </is>
      </c>
      <c r="C54" s="3" t="n">
        <v>0</v>
      </c>
      <c r="D54" s="3" t="inlineStr">
        <is>
          <t>Dazzling Gleam</t>
        </is>
      </c>
      <c r="E54" s="3" t="inlineStr">
        <is>
          <t>MOVE_DAZZLING_GLEAM</t>
        </is>
      </c>
    </row>
    <row r="55">
      <c r="A55" s="3" t="inlineStr">
        <is>
          <t>SPECIES_NINETALES_ALOLA</t>
        </is>
      </c>
      <c r="B55" s="3" t="inlineStr">
        <is>
          <t>Ninetales-Alola</t>
        </is>
      </c>
      <c r="C55" s="3" t="n">
        <v>1</v>
      </c>
      <c r="D55" s="3" t="inlineStr">
        <is>
          <t>Disable</t>
        </is>
      </c>
      <c r="E55" s="3" t="inlineStr">
        <is>
          <t>MOVE_DISABLE</t>
        </is>
      </c>
    </row>
    <row r="56">
      <c r="A56" s="3" t="inlineStr">
        <is>
          <t>SPECIES_NINETALES_ALOLA</t>
        </is>
      </c>
      <c r="B56" s="3" t="inlineStr">
        <is>
          <t>Ninetales-Alola</t>
        </is>
      </c>
      <c r="C56" s="3" t="n">
        <v>1</v>
      </c>
      <c r="D56" s="3" t="inlineStr">
        <is>
          <t>Mist</t>
        </is>
      </c>
      <c r="E56" s="3" t="inlineStr">
        <is>
          <t>MOVE_MIST</t>
        </is>
      </c>
    </row>
    <row r="57">
      <c r="A57" s="3" t="inlineStr">
        <is>
          <t>SPECIES_NINETALES_ALOLA</t>
        </is>
      </c>
      <c r="B57" s="3" t="inlineStr">
        <is>
          <t>Ninetales-Alola</t>
        </is>
      </c>
      <c r="C57" s="3" t="n">
        <v>1</v>
      </c>
      <c r="D57" s="3" t="inlineStr">
        <is>
          <t>Ice Beam</t>
        </is>
      </c>
      <c r="E57" s="3" t="inlineStr">
        <is>
          <t>MOVE_ICE_BEAM</t>
        </is>
      </c>
    </row>
    <row r="58">
      <c r="A58" s="3" t="inlineStr">
        <is>
          <t>SPECIES_NINETALES_ALOLA</t>
        </is>
      </c>
      <c r="B58" s="3" t="inlineStr">
        <is>
          <t>Ninetales-Alola</t>
        </is>
      </c>
      <c r="C58" s="3" t="n">
        <v>1</v>
      </c>
      <c r="D58" s="3" t="inlineStr">
        <is>
          <t>Aurora Beam</t>
        </is>
      </c>
      <c r="E58" s="3" t="inlineStr">
        <is>
          <t>MOVE_AURORA_BEAM</t>
        </is>
      </c>
    </row>
    <row r="59">
      <c r="A59" s="3" t="inlineStr">
        <is>
          <t>SPECIES_NINETALES_ALOLA</t>
        </is>
      </c>
      <c r="B59" s="3" t="inlineStr">
        <is>
          <t>Ninetales-Alola</t>
        </is>
      </c>
      <c r="C59" s="3" t="n">
        <v>1</v>
      </c>
      <c r="D59" s="3" t="inlineStr">
        <is>
          <t>Confuse Ray</t>
        </is>
      </c>
      <c r="E59" s="3" t="inlineStr">
        <is>
          <t>MOVE_CONFUSE_RAY</t>
        </is>
      </c>
    </row>
    <row r="60">
      <c r="A60" s="3" t="inlineStr">
        <is>
          <t>SPECIES_NINETALES_ALOLA</t>
        </is>
      </c>
      <c r="B60" s="3" t="inlineStr">
        <is>
          <t>Ninetales-Alola</t>
        </is>
      </c>
      <c r="C60" s="3" t="n">
        <v>1</v>
      </c>
      <c r="D60" s="3" t="inlineStr">
        <is>
          <t>Spite</t>
        </is>
      </c>
      <c r="E60" s="3" t="inlineStr">
        <is>
          <t>MOVE_SPITE</t>
        </is>
      </c>
    </row>
    <row r="61">
      <c r="A61" s="3" t="inlineStr">
        <is>
          <t>SPECIES_NINETALES_ALOLA</t>
        </is>
      </c>
      <c r="B61" s="3" t="inlineStr">
        <is>
          <t>Ninetales-Alola</t>
        </is>
      </c>
      <c r="C61" s="3" t="n">
        <v>1</v>
      </c>
      <c r="D61" s="3" t="inlineStr">
        <is>
          <t>Powder Snow</t>
        </is>
      </c>
      <c r="E61" s="3" t="inlineStr">
        <is>
          <t>MOVE_POWDER_SNOW</t>
        </is>
      </c>
    </row>
    <row r="62">
      <c r="A62" s="3" t="inlineStr">
        <is>
          <t>SPECIES_NINETALES_ALOLA</t>
        </is>
      </c>
      <c r="B62" s="3" t="inlineStr">
        <is>
          <t>Ninetales-Alola</t>
        </is>
      </c>
      <c r="C62" s="3" t="n">
        <v>1</v>
      </c>
      <c r="D62" s="3" t="inlineStr">
        <is>
          <t>Extrasensory</t>
        </is>
      </c>
      <c r="E62" s="3" t="inlineStr">
        <is>
          <t>MOVE_EXTRASENSORY</t>
        </is>
      </c>
    </row>
    <row r="63">
      <c r="A63" s="3" t="inlineStr">
        <is>
          <t>SPECIES_NINETALES_ALOLA</t>
        </is>
      </c>
      <c r="B63" s="3" t="inlineStr">
        <is>
          <t>Ninetales-Alola</t>
        </is>
      </c>
      <c r="C63" s="3" t="n">
        <v>1</v>
      </c>
      <c r="D63" s="3" t="inlineStr">
        <is>
          <t>Nasty Plot</t>
        </is>
      </c>
      <c r="E63" s="3" t="inlineStr">
        <is>
          <t>MOVE_NASTY_PLOT</t>
        </is>
      </c>
    </row>
    <row r="64">
      <c r="A64" s="3" t="inlineStr">
        <is>
          <t>SPECIES_NINETALES_ALOLA</t>
        </is>
      </c>
      <c r="B64" s="3" t="inlineStr">
        <is>
          <t>Ninetales-Alola</t>
        </is>
      </c>
      <c r="C64" s="3" t="n">
        <v>1</v>
      </c>
      <c r="D64" s="3" t="inlineStr">
        <is>
          <t>Ice Shard</t>
        </is>
      </c>
      <c r="E64" s="3" t="inlineStr">
        <is>
          <t>MOVE_ICE_SHARD</t>
        </is>
      </c>
    </row>
    <row r="65">
      <c r="A65" s="3" t="inlineStr">
        <is>
          <t>SPECIES_NINETALES_ALOLA</t>
        </is>
      </c>
      <c r="B65" s="3" t="inlineStr">
        <is>
          <t>Ninetales-Alola</t>
        </is>
      </c>
      <c r="C65" s="3" t="n">
        <v>1</v>
      </c>
      <c r="D65" s="3" t="inlineStr">
        <is>
          <t>Freeze-Dry</t>
        </is>
      </c>
      <c r="E65" s="3" t="inlineStr">
        <is>
          <t>MOVE_FREEZE_DRY</t>
        </is>
      </c>
    </row>
    <row r="66">
      <c r="A66" s="3" t="inlineStr">
        <is>
          <t>SPECIES_NINETALES_ALOLA</t>
        </is>
      </c>
      <c r="B66" s="3" t="inlineStr">
        <is>
          <t>Ninetales-Alola</t>
        </is>
      </c>
      <c r="C66" s="3" t="n">
        <v>1</v>
      </c>
      <c r="D66" s="3" t="inlineStr">
        <is>
          <t>Aurora Veil</t>
        </is>
      </c>
      <c r="E66" s="3" t="inlineStr">
        <is>
          <t>MOVE_AURORA_VEIL</t>
        </is>
      </c>
    </row>
    <row r="67">
      <c r="A67" s="3" t="inlineStr">
        <is>
          <t>SPECIES_NINETALES_ALOLA</t>
        </is>
      </c>
      <c r="B67" s="3" t="inlineStr">
        <is>
          <t>Ninetales-Alola</t>
        </is>
      </c>
      <c r="C67" s="3" t="n">
        <v>1</v>
      </c>
      <c r="D67" s="3" t="inlineStr">
        <is>
          <t>Tail Whip</t>
        </is>
      </c>
      <c r="E67" s="3" t="inlineStr">
        <is>
          <t>MOVE_TAIL_WHIP</t>
        </is>
      </c>
    </row>
    <row r="68">
      <c r="A68" s="3" t="inlineStr">
        <is>
          <t>SPECIES_NINETALES_ALOLA</t>
        </is>
      </c>
      <c r="B68" s="3" t="inlineStr">
        <is>
          <t>Ninetales-Alola</t>
        </is>
      </c>
      <c r="C68" s="3" t="n">
        <v>1</v>
      </c>
      <c r="D68" s="3" t="inlineStr">
        <is>
          <t>Blizzard</t>
        </is>
      </c>
      <c r="E68" s="3" t="inlineStr">
        <is>
          <t>MOVE_BLIZZARD</t>
        </is>
      </c>
    </row>
    <row r="69">
      <c r="A69" s="3" t="inlineStr">
        <is>
          <t>SPECIES_NINETALES_ALOLA</t>
        </is>
      </c>
      <c r="B69" s="3" t="inlineStr">
        <is>
          <t>Ninetales-Alola</t>
        </is>
      </c>
      <c r="C69" s="3" t="n">
        <v>1</v>
      </c>
      <c r="D69" s="3" t="inlineStr">
        <is>
          <t>Icy Wind</t>
        </is>
      </c>
      <c r="E69" s="3" t="inlineStr">
        <is>
          <t>MOVE_ICY_WIND</t>
        </is>
      </c>
    </row>
    <row r="70">
      <c r="A70" s="3" t="inlineStr">
        <is>
          <t>SPECIES_NINETALES_ALOLA</t>
        </is>
      </c>
      <c r="B70" s="3" t="inlineStr">
        <is>
          <t>Ninetales-Alola</t>
        </is>
      </c>
      <c r="C70" s="3" t="n">
        <v>1</v>
      </c>
      <c r="D70" s="3" t="inlineStr">
        <is>
          <t>Imprison</t>
        </is>
      </c>
      <c r="E70" s="3" t="inlineStr">
        <is>
          <t>MOVE_IMPRISON</t>
        </is>
      </c>
    </row>
    <row r="71">
      <c r="A71" s="3" t="inlineStr">
        <is>
          <t>SPECIES_PARAS</t>
        </is>
      </c>
      <c r="B71" s="3" t="inlineStr">
        <is>
          <t>Paras</t>
        </is>
      </c>
      <c r="C71" s="3" t="n">
        <v>1</v>
      </c>
      <c r="D71" s="3" t="inlineStr">
        <is>
          <t>Scratch</t>
        </is>
      </c>
      <c r="E71" s="3" t="inlineStr">
        <is>
          <t>MOVE_SCRATCH</t>
        </is>
      </c>
    </row>
    <row r="72">
      <c r="A72" s="3" t="inlineStr">
        <is>
          <t>SPECIES_PARAS</t>
        </is>
      </c>
      <c r="B72" s="3" t="inlineStr">
        <is>
          <t>Paras</t>
        </is>
      </c>
      <c r="C72" s="3" t="n">
        <v>6</v>
      </c>
      <c r="D72" s="3" t="inlineStr">
        <is>
          <t>Absorb</t>
        </is>
      </c>
      <c r="E72" s="3" t="inlineStr">
        <is>
          <t>MOVE_ABSORB</t>
        </is>
      </c>
    </row>
    <row r="73">
      <c r="A73" s="3" t="inlineStr">
        <is>
          <t>SPECIES_PARAS</t>
        </is>
      </c>
      <c r="B73" s="3" t="inlineStr">
        <is>
          <t>Paras</t>
        </is>
      </c>
      <c r="C73" s="3" t="n">
        <v>10</v>
      </c>
      <c r="D73" s="3" t="inlineStr">
        <is>
          <t>Poison Powder</t>
        </is>
      </c>
      <c r="E73" s="3" t="inlineStr">
        <is>
          <t>MOVE_POISON_POWDER</t>
        </is>
      </c>
    </row>
    <row r="74">
      <c r="A74" s="3" t="inlineStr">
        <is>
          <t>SPECIES_PARAS</t>
        </is>
      </c>
      <c r="B74" s="3" t="inlineStr">
        <is>
          <t>Paras</t>
        </is>
      </c>
      <c r="C74" s="3" t="n">
        <v>13</v>
      </c>
      <c r="D74" s="3" t="inlineStr">
        <is>
          <t>Stun Spore</t>
        </is>
      </c>
      <c r="E74" s="3" t="inlineStr">
        <is>
          <t>MOVE_STUN_SPORE</t>
        </is>
      </c>
    </row>
    <row r="75">
      <c r="A75" s="3" t="inlineStr">
        <is>
          <t>SPECIES_PARAS</t>
        </is>
      </c>
      <c r="B75" s="3" t="inlineStr">
        <is>
          <t>Paras</t>
        </is>
      </c>
      <c r="C75" s="3" t="n">
        <v>17</v>
      </c>
      <c r="D75" s="3" t="inlineStr">
        <is>
          <t>Fury Cutter</t>
        </is>
      </c>
      <c r="E75" s="3" t="inlineStr">
        <is>
          <t>MOVE_FURY_CUTTER</t>
        </is>
      </c>
    </row>
    <row r="76">
      <c r="A76" s="3" t="inlineStr">
        <is>
          <t>SPECIES_PARAS</t>
        </is>
      </c>
      <c r="B76" s="3" t="inlineStr">
        <is>
          <t>Paras</t>
        </is>
      </c>
      <c r="C76" s="3" t="n">
        <v>22</v>
      </c>
      <c r="D76" s="3" t="inlineStr">
        <is>
          <t>Spore</t>
        </is>
      </c>
      <c r="E76" s="3" t="inlineStr">
        <is>
          <t>MOVE_SPORE</t>
        </is>
      </c>
    </row>
    <row r="77">
      <c r="A77" s="3" t="inlineStr">
        <is>
          <t>SPECIES_PARAS</t>
        </is>
      </c>
      <c r="B77" s="3" t="inlineStr">
        <is>
          <t>Paras</t>
        </is>
      </c>
      <c r="C77" s="3" t="n">
        <v>27</v>
      </c>
      <c r="D77" s="3" t="inlineStr">
        <is>
          <t>Slash</t>
        </is>
      </c>
      <c r="E77" s="3" t="inlineStr">
        <is>
          <t>MOVE_SLASH</t>
        </is>
      </c>
    </row>
    <row r="78">
      <c r="A78" s="3" t="inlineStr">
        <is>
          <t>SPECIES_PARAS</t>
        </is>
      </c>
      <c r="B78" s="3" t="inlineStr">
        <is>
          <t>Paras</t>
        </is>
      </c>
      <c r="C78" s="3" t="n">
        <v>33</v>
      </c>
      <c r="D78" s="3" t="inlineStr">
        <is>
          <t>Growth</t>
        </is>
      </c>
      <c r="E78" s="3" t="inlineStr">
        <is>
          <t>MOVE_GROWTH</t>
        </is>
      </c>
    </row>
    <row r="79">
      <c r="A79" s="3" t="inlineStr">
        <is>
          <t>SPECIES_PARAS</t>
        </is>
      </c>
      <c r="B79" s="3" t="inlineStr">
        <is>
          <t>Paras</t>
        </is>
      </c>
      <c r="C79" s="3" t="n">
        <v>38</v>
      </c>
      <c r="D79" s="3" t="inlineStr">
        <is>
          <t>Giga Drain</t>
        </is>
      </c>
      <c r="E79" s="3" t="inlineStr">
        <is>
          <t>MOVE_GIGA_DRAIN</t>
        </is>
      </c>
    </row>
    <row r="80">
      <c r="A80" s="3" t="inlineStr">
        <is>
          <t>SPECIES_PARAS</t>
        </is>
      </c>
      <c r="B80" s="3" t="inlineStr">
        <is>
          <t>Paras</t>
        </is>
      </c>
      <c r="C80" s="3" t="n">
        <v>43</v>
      </c>
      <c r="D80" s="3" t="inlineStr">
        <is>
          <t>Aromatherapy</t>
        </is>
      </c>
      <c r="E80" s="3" t="inlineStr">
        <is>
          <t>MOVE_AROMATHERAPY</t>
        </is>
      </c>
    </row>
    <row r="81">
      <c r="A81" s="3" t="inlineStr">
        <is>
          <t>SPECIES_PARAS</t>
        </is>
      </c>
      <c r="B81" s="3" t="inlineStr">
        <is>
          <t>Paras</t>
        </is>
      </c>
      <c r="C81" s="3" t="n">
        <v>49</v>
      </c>
      <c r="D81" s="3" t="inlineStr">
        <is>
          <t>Rage Powder</t>
        </is>
      </c>
      <c r="E81" s="3" t="inlineStr">
        <is>
          <t>MOVE_RAGE_POWDER</t>
        </is>
      </c>
    </row>
    <row r="82">
      <c r="A82" s="3" t="inlineStr">
        <is>
          <t>SPECIES_PARAS</t>
        </is>
      </c>
      <c r="B82" s="3" t="inlineStr">
        <is>
          <t>Paras</t>
        </is>
      </c>
      <c r="C82" s="3" t="n">
        <v>54</v>
      </c>
      <c r="D82" s="3" t="inlineStr">
        <is>
          <t>X-Scissor</t>
        </is>
      </c>
      <c r="E82" s="3" t="inlineStr">
        <is>
          <t>MOVE_X_SCISSOR</t>
        </is>
      </c>
    </row>
    <row r="83">
      <c r="A83" s="3" t="inlineStr">
        <is>
          <t>SPECIES_PARASECT</t>
        </is>
      </c>
      <c r="B83" s="3" t="inlineStr">
        <is>
          <t>Parasect</t>
        </is>
      </c>
      <c r="C83" s="3" t="n">
        <v>1</v>
      </c>
      <c r="D83" s="3" t="inlineStr">
        <is>
          <t>Cross Poison</t>
        </is>
      </c>
      <c r="E83" s="3" t="inlineStr">
        <is>
          <t>MOVE_CROSS_POISON</t>
        </is>
      </c>
    </row>
    <row r="84">
      <c r="A84" s="3" t="inlineStr">
        <is>
          <t>SPECIES_PARASECT</t>
        </is>
      </c>
      <c r="B84" s="3" t="inlineStr">
        <is>
          <t>Parasect</t>
        </is>
      </c>
      <c r="C84" s="3" t="n">
        <v>1</v>
      </c>
      <c r="D84" s="3" t="inlineStr">
        <is>
          <t>Scratch</t>
        </is>
      </c>
      <c r="E84" s="3" t="inlineStr">
        <is>
          <t>MOVE_SCRATCH</t>
        </is>
      </c>
    </row>
    <row r="85">
      <c r="A85" s="3" t="inlineStr">
        <is>
          <t>SPECIES_PARASECT</t>
        </is>
      </c>
      <c r="B85" s="3" t="inlineStr">
        <is>
          <t>Parasect</t>
        </is>
      </c>
      <c r="C85" s="3" t="n">
        <v>1</v>
      </c>
      <c r="D85" s="3" t="inlineStr">
        <is>
          <t>Absorb</t>
        </is>
      </c>
      <c r="E85" s="3" t="inlineStr">
        <is>
          <t>MOVE_ABSORB</t>
        </is>
      </c>
    </row>
    <row r="86">
      <c r="A86" s="3" t="inlineStr">
        <is>
          <t>SPECIES_PARASECT</t>
        </is>
      </c>
      <c r="B86" s="3" t="inlineStr">
        <is>
          <t>Parasect</t>
        </is>
      </c>
      <c r="C86" s="3" t="n">
        <v>1</v>
      </c>
      <c r="D86" s="3" t="inlineStr">
        <is>
          <t>Poison Powder</t>
        </is>
      </c>
      <c r="E86" s="3" t="inlineStr">
        <is>
          <t>MOVE_POISON_POWDER</t>
        </is>
      </c>
    </row>
    <row r="87">
      <c r="A87" s="3" t="inlineStr">
        <is>
          <t>SPECIES_PARASECT</t>
        </is>
      </c>
      <c r="B87" s="3" t="inlineStr">
        <is>
          <t>Parasect</t>
        </is>
      </c>
      <c r="C87" s="3" t="n">
        <v>1</v>
      </c>
      <c r="D87" s="3" t="inlineStr">
        <is>
          <t>Stun Spore</t>
        </is>
      </c>
      <c r="E87" s="3" t="inlineStr">
        <is>
          <t>MOVE_STUN_SPORE</t>
        </is>
      </c>
    </row>
    <row r="88">
      <c r="A88" s="3" t="inlineStr">
        <is>
          <t>SPECIES_PARASECT</t>
        </is>
      </c>
      <c r="B88" s="3" t="inlineStr">
        <is>
          <t>Parasect</t>
        </is>
      </c>
      <c r="C88" s="3" t="n">
        <v>6</v>
      </c>
      <c r="D88" s="3" t="inlineStr">
        <is>
          <t>Absorb</t>
        </is>
      </c>
      <c r="E88" s="3" t="inlineStr">
        <is>
          <t>MOVE_ABSORB</t>
        </is>
      </c>
    </row>
    <row r="89">
      <c r="A89" s="3" t="inlineStr">
        <is>
          <t>SPECIES_PARASECT</t>
        </is>
      </c>
      <c r="B89" s="3" t="inlineStr">
        <is>
          <t>Parasect</t>
        </is>
      </c>
      <c r="C89" s="3" t="n">
        <v>10</v>
      </c>
      <c r="D89" s="3" t="inlineStr">
        <is>
          <t>Poison Powder</t>
        </is>
      </c>
      <c r="E89" s="3" t="inlineStr">
        <is>
          <t>MOVE_POISON_POWDER</t>
        </is>
      </c>
    </row>
    <row r="90">
      <c r="A90" s="3" t="inlineStr">
        <is>
          <t>SPECIES_PARASECT</t>
        </is>
      </c>
      <c r="B90" s="3" t="inlineStr">
        <is>
          <t>Parasect</t>
        </is>
      </c>
      <c r="C90" s="3" t="n">
        <v>13</v>
      </c>
      <c r="D90" s="3" t="inlineStr">
        <is>
          <t>Stun Spore</t>
        </is>
      </c>
      <c r="E90" s="3" t="inlineStr">
        <is>
          <t>MOVE_STUN_SPORE</t>
        </is>
      </c>
    </row>
    <row r="91">
      <c r="A91" s="3" t="inlineStr">
        <is>
          <t>SPECIES_PARASECT</t>
        </is>
      </c>
      <c r="B91" s="3" t="inlineStr">
        <is>
          <t>Parasect</t>
        </is>
      </c>
      <c r="C91" s="3" t="n">
        <v>17</v>
      </c>
      <c r="D91" s="3" t="inlineStr">
        <is>
          <t>Fury Cutter</t>
        </is>
      </c>
      <c r="E91" s="3" t="inlineStr">
        <is>
          <t>MOVE_FURY_CUTTER</t>
        </is>
      </c>
    </row>
    <row r="92">
      <c r="A92" s="3" t="inlineStr">
        <is>
          <t>SPECIES_PARASECT</t>
        </is>
      </c>
      <c r="B92" s="3" t="inlineStr">
        <is>
          <t>Parasect</t>
        </is>
      </c>
      <c r="C92" s="3" t="n">
        <v>22</v>
      </c>
      <c r="D92" s="3" t="inlineStr">
        <is>
          <t>Spore</t>
        </is>
      </c>
      <c r="E92" s="3" t="inlineStr">
        <is>
          <t>MOVE_SPORE</t>
        </is>
      </c>
    </row>
    <row r="93">
      <c r="A93" s="3" t="inlineStr">
        <is>
          <t>SPECIES_PARASECT</t>
        </is>
      </c>
      <c r="B93" s="3" t="inlineStr">
        <is>
          <t>Parasect</t>
        </is>
      </c>
      <c r="C93" s="3" t="n">
        <v>29</v>
      </c>
      <c r="D93" s="3" t="inlineStr">
        <is>
          <t>Slash</t>
        </is>
      </c>
      <c r="E93" s="3" t="inlineStr">
        <is>
          <t>MOVE_SLASH</t>
        </is>
      </c>
    </row>
    <row r="94">
      <c r="A94" s="3" t="inlineStr">
        <is>
          <t>SPECIES_PARASECT</t>
        </is>
      </c>
      <c r="B94" s="3" t="inlineStr">
        <is>
          <t>Parasect</t>
        </is>
      </c>
      <c r="C94" s="3" t="n">
        <v>37</v>
      </c>
      <c r="D94" s="3" t="inlineStr">
        <is>
          <t>Growth</t>
        </is>
      </c>
      <c r="E94" s="3" t="inlineStr">
        <is>
          <t>MOVE_GROWTH</t>
        </is>
      </c>
    </row>
    <row r="95">
      <c r="A95" s="3" t="inlineStr">
        <is>
          <t>SPECIES_PARASECT</t>
        </is>
      </c>
      <c r="B95" s="3" t="inlineStr">
        <is>
          <t>Parasect</t>
        </is>
      </c>
      <c r="C95" s="3" t="n">
        <v>44</v>
      </c>
      <c r="D95" s="3" t="inlineStr">
        <is>
          <t>Giga Drain</t>
        </is>
      </c>
      <c r="E95" s="3" t="inlineStr">
        <is>
          <t>MOVE_GIGA_DRAIN</t>
        </is>
      </c>
    </row>
    <row r="96">
      <c r="A96" s="3" t="inlineStr">
        <is>
          <t>SPECIES_PARASECT</t>
        </is>
      </c>
      <c r="B96" s="3" t="inlineStr">
        <is>
          <t>Parasect</t>
        </is>
      </c>
      <c r="C96" s="3" t="n">
        <v>51</v>
      </c>
      <c r="D96" s="3" t="inlineStr">
        <is>
          <t>Aromatherapy</t>
        </is>
      </c>
      <c r="E96" s="3" t="inlineStr">
        <is>
          <t>MOVE_AROMATHERAPY</t>
        </is>
      </c>
    </row>
    <row r="97">
      <c r="A97" s="3" t="inlineStr">
        <is>
          <t>SPECIES_PARASECT</t>
        </is>
      </c>
      <c r="B97" s="3" t="inlineStr">
        <is>
          <t>Parasect</t>
        </is>
      </c>
      <c r="C97" s="3" t="n">
        <v>59</v>
      </c>
      <c r="D97" s="3" t="inlineStr">
        <is>
          <t>Rage Powder</t>
        </is>
      </c>
      <c r="E97" s="3" t="inlineStr">
        <is>
          <t>MOVE_RAGE_POWDER</t>
        </is>
      </c>
    </row>
    <row r="98">
      <c r="A98" s="3" t="inlineStr">
        <is>
          <t>SPECIES_PARASECT</t>
        </is>
      </c>
      <c r="B98" s="3" t="inlineStr">
        <is>
          <t>Parasect</t>
        </is>
      </c>
      <c r="C98" s="3" t="n">
        <v>66</v>
      </c>
      <c r="D98" s="3" t="inlineStr">
        <is>
          <t>X-Scissor</t>
        </is>
      </c>
      <c r="E98" s="3" t="inlineStr">
        <is>
          <t>MOVE_X_SCISSOR</t>
        </is>
      </c>
    </row>
    <row r="99">
      <c r="A99" s="3" t="inlineStr">
        <is>
          <t>SPECIES_MANKEY</t>
        </is>
      </c>
      <c r="B99" s="3" t="inlineStr">
        <is>
          <t>Mankey</t>
        </is>
      </c>
      <c r="C99" s="3" t="n">
        <v>1</v>
      </c>
      <c r="D99" s="3" t="inlineStr">
        <is>
          <t>Scratch</t>
        </is>
      </c>
      <c r="E99" s="3" t="inlineStr">
        <is>
          <t>MOVE_SCRATCH</t>
        </is>
      </c>
    </row>
    <row r="100">
      <c r="A100" s="3" t="inlineStr">
        <is>
          <t>SPECIES_MANKEY</t>
        </is>
      </c>
      <c r="B100" s="3" t="inlineStr">
        <is>
          <t>Mankey</t>
        </is>
      </c>
      <c r="C100" s="3" t="n">
        <v>1</v>
      </c>
      <c r="D100" s="3" t="inlineStr">
        <is>
          <t>Leer</t>
        </is>
      </c>
      <c r="E100" s="3" t="inlineStr">
        <is>
          <t>MOVE_LEER</t>
        </is>
      </c>
    </row>
    <row r="101">
      <c r="A101" s="3" t="inlineStr">
        <is>
          <t>SPECIES_MANKEY</t>
        </is>
      </c>
      <c r="B101" s="3" t="inlineStr">
        <is>
          <t>Mankey</t>
        </is>
      </c>
      <c r="C101" s="3" t="n">
        <v>1</v>
      </c>
      <c r="D101" s="3" t="inlineStr">
        <is>
          <t>Focus Energy</t>
        </is>
      </c>
      <c r="E101" s="3" t="inlineStr">
        <is>
          <t>MOVE_FOCUS_ENERGY</t>
        </is>
      </c>
    </row>
    <row r="102">
      <c r="A102" s="3" t="inlineStr">
        <is>
          <t>SPECIES_MANKEY</t>
        </is>
      </c>
      <c r="B102" s="3" t="inlineStr">
        <is>
          <t>Mankey</t>
        </is>
      </c>
      <c r="C102" s="3" t="n">
        <v>1</v>
      </c>
      <c r="D102" s="3" t="inlineStr">
        <is>
          <t>Covet</t>
        </is>
      </c>
      <c r="E102" s="3" t="inlineStr">
        <is>
          <t>MOVE_COVET</t>
        </is>
      </c>
    </row>
    <row r="103">
      <c r="A103" s="3" t="inlineStr">
        <is>
          <t>SPECIES_MANKEY</t>
        </is>
      </c>
      <c r="B103" s="3" t="inlineStr">
        <is>
          <t>Mankey</t>
        </is>
      </c>
      <c r="C103" s="3" t="n">
        <v>5</v>
      </c>
      <c r="D103" s="3" t="inlineStr">
        <is>
          <t>Fury Swipes</t>
        </is>
      </c>
      <c r="E103" s="3" t="inlineStr">
        <is>
          <t>MOVE_FURY_SWIPES</t>
        </is>
      </c>
    </row>
    <row r="104">
      <c r="A104" s="3" t="inlineStr">
        <is>
          <t>SPECIES_MANKEY</t>
        </is>
      </c>
      <c r="B104" s="3" t="inlineStr">
        <is>
          <t>Mankey</t>
        </is>
      </c>
      <c r="C104" s="3" t="n">
        <v>8</v>
      </c>
      <c r="D104" s="3" t="inlineStr">
        <is>
          <t>Low Kick</t>
        </is>
      </c>
      <c r="E104" s="3" t="inlineStr">
        <is>
          <t>MOVE_LOW_KICK</t>
        </is>
      </c>
    </row>
    <row r="105">
      <c r="A105" s="3" t="inlineStr">
        <is>
          <t>SPECIES_MANKEY</t>
        </is>
      </c>
      <c r="B105" s="3" t="inlineStr">
        <is>
          <t>Mankey</t>
        </is>
      </c>
      <c r="C105" s="3" t="n">
        <v>12</v>
      </c>
      <c r="D105" s="3" t="inlineStr">
        <is>
          <t>Seismic Toss</t>
        </is>
      </c>
      <c r="E105" s="3" t="inlineStr">
        <is>
          <t>MOVE_SEISMIC_TOSS</t>
        </is>
      </c>
    </row>
    <row r="106">
      <c r="A106" s="3" t="inlineStr">
        <is>
          <t>SPECIES_MANKEY</t>
        </is>
      </c>
      <c r="B106" s="3" t="inlineStr">
        <is>
          <t>Mankey</t>
        </is>
      </c>
      <c r="C106" s="3" t="n">
        <v>17</v>
      </c>
      <c r="D106" s="3" t="inlineStr">
        <is>
          <t>Swagger</t>
        </is>
      </c>
      <c r="E106" s="3" t="inlineStr">
        <is>
          <t>MOVE_SWAGGER</t>
        </is>
      </c>
    </row>
    <row r="107">
      <c r="A107" s="3" t="inlineStr">
        <is>
          <t>SPECIES_MANKEY</t>
        </is>
      </c>
      <c r="B107" s="3" t="inlineStr">
        <is>
          <t>Mankey</t>
        </is>
      </c>
      <c r="C107" s="3" t="n">
        <v>22</v>
      </c>
      <c r="D107" s="3" t="inlineStr">
        <is>
          <t>Cross Chop</t>
        </is>
      </c>
      <c r="E107" s="3" t="inlineStr">
        <is>
          <t>MOVE_CROSS_CHOP</t>
        </is>
      </c>
    </row>
    <row r="108">
      <c r="A108" s="3" t="inlineStr">
        <is>
          <t>SPECIES_MANKEY</t>
        </is>
      </c>
      <c r="B108" s="3" t="inlineStr">
        <is>
          <t>Mankey</t>
        </is>
      </c>
      <c r="C108" s="3" t="n">
        <v>26</v>
      </c>
      <c r="D108" s="3" t="inlineStr">
        <is>
          <t>Assurance</t>
        </is>
      </c>
      <c r="E108" s="3" t="inlineStr">
        <is>
          <t>MOVE_ASSURANCE</t>
        </is>
      </c>
    </row>
    <row r="109">
      <c r="A109" s="3" t="inlineStr">
        <is>
          <t>SPECIES_MANKEY</t>
        </is>
      </c>
      <c r="B109" s="3" t="inlineStr">
        <is>
          <t>Mankey</t>
        </is>
      </c>
      <c r="C109" s="3" t="n">
        <v>29</v>
      </c>
      <c r="D109" s="3" t="inlineStr">
        <is>
          <t>Thrash</t>
        </is>
      </c>
      <c r="E109" s="3" t="inlineStr">
        <is>
          <t>MOVE_THRASH</t>
        </is>
      </c>
    </row>
    <row r="110">
      <c r="A110" s="3" t="inlineStr">
        <is>
          <t>SPECIES_MANKEY</t>
        </is>
      </c>
      <c r="B110" s="3" t="inlineStr">
        <is>
          <t>Mankey</t>
        </is>
      </c>
      <c r="C110" s="3" t="n">
        <v>33</v>
      </c>
      <c r="D110" s="3" t="inlineStr">
        <is>
          <t>Close Combat</t>
        </is>
      </c>
      <c r="E110" s="3" t="inlineStr">
        <is>
          <t>MOVE_CLOSE_COMBAT</t>
        </is>
      </c>
    </row>
    <row r="111">
      <c r="A111" s="3" t="inlineStr">
        <is>
          <t>SPECIES_MANKEY</t>
        </is>
      </c>
      <c r="B111" s="3" t="inlineStr">
        <is>
          <t>Mankey</t>
        </is>
      </c>
      <c r="C111" s="3" t="n">
        <v>36</v>
      </c>
      <c r="D111" s="3" t="inlineStr">
        <is>
          <t>Screech</t>
        </is>
      </c>
      <c r="E111" s="3" t="inlineStr">
        <is>
          <t>MOVE_SCREECH</t>
        </is>
      </c>
    </row>
    <row r="112">
      <c r="A112" s="3" t="inlineStr">
        <is>
          <t>SPECIES_MANKEY</t>
        </is>
      </c>
      <c r="B112" s="3" t="inlineStr">
        <is>
          <t>Mankey</t>
        </is>
      </c>
      <c r="C112" s="3" t="n">
        <v>40</v>
      </c>
      <c r="D112" s="3" t="inlineStr">
        <is>
          <t>Stomping Tantrum</t>
        </is>
      </c>
      <c r="E112" s="3" t="inlineStr">
        <is>
          <t>MOVE_STOMPING_TANTRUM</t>
        </is>
      </c>
    </row>
    <row r="113">
      <c r="A113" s="3" t="inlineStr">
        <is>
          <t>SPECIES_MANKEY</t>
        </is>
      </c>
      <c r="B113" s="3" t="inlineStr">
        <is>
          <t>Mankey</t>
        </is>
      </c>
      <c r="C113" s="3" t="n">
        <v>44</v>
      </c>
      <c r="D113" s="3" t="inlineStr">
        <is>
          <t>Outrage</t>
        </is>
      </c>
      <c r="E113" s="3" t="inlineStr">
        <is>
          <t>MOVE_OUTRAGE</t>
        </is>
      </c>
    </row>
    <row r="114">
      <c r="A114" s="3" t="inlineStr">
        <is>
          <t>SPECIES_MANKEY</t>
        </is>
      </c>
      <c r="B114" s="3" t="inlineStr">
        <is>
          <t>Mankey</t>
        </is>
      </c>
      <c r="C114" s="3" t="n">
        <v>48</v>
      </c>
      <c r="D114" s="3" t="inlineStr">
        <is>
          <t>Final Gambit</t>
        </is>
      </c>
      <c r="E114" s="3" t="inlineStr">
        <is>
          <t>MOVE_FINAL_GAMBIT</t>
        </is>
      </c>
    </row>
    <row r="115">
      <c r="A115" s="3" t="inlineStr">
        <is>
          <t>SPECIES_PRIMEAPE</t>
        </is>
      </c>
      <c r="B115" s="3" t="inlineStr">
        <is>
          <t>Primeape</t>
        </is>
      </c>
      <c r="C115" s="3" t="n">
        <v>1</v>
      </c>
      <c r="D115" s="3" t="inlineStr">
        <is>
          <t>Scratch</t>
        </is>
      </c>
      <c r="E115" s="3" t="inlineStr">
        <is>
          <t>MOVE_SCRATCH</t>
        </is>
      </c>
    </row>
    <row r="116">
      <c r="A116" s="3" t="inlineStr">
        <is>
          <t>SPECIES_PRIMEAPE</t>
        </is>
      </c>
      <c r="B116" s="3" t="inlineStr">
        <is>
          <t>Primeape</t>
        </is>
      </c>
      <c r="C116" s="3" t="n">
        <v>1</v>
      </c>
      <c r="D116" s="3" t="inlineStr">
        <is>
          <t>Leer</t>
        </is>
      </c>
      <c r="E116" s="3" t="inlineStr">
        <is>
          <t>MOVE_LEER</t>
        </is>
      </c>
    </row>
    <row r="117">
      <c r="A117" s="3" t="inlineStr">
        <is>
          <t>SPECIES_PRIMEAPE</t>
        </is>
      </c>
      <c r="B117" s="3" t="inlineStr">
        <is>
          <t>Primeape</t>
        </is>
      </c>
      <c r="C117" s="3" t="n">
        <v>1</v>
      </c>
      <c r="D117" s="3" t="inlineStr">
        <is>
          <t>Fling</t>
        </is>
      </c>
      <c r="E117" s="3" t="inlineStr">
        <is>
          <t>MOVE_FLING</t>
        </is>
      </c>
    </row>
    <row r="118">
      <c r="A118" s="3" t="inlineStr">
        <is>
          <t>SPECIES_PRIMEAPE</t>
        </is>
      </c>
      <c r="B118" s="3" t="inlineStr">
        <is>
          <t>Primeape</t>
        </is>
      </c>
      <c r="C118" s="3" t="n">
        <v>1</v>
      </c>
      <c r="D118" s="3" t="inlineStr">
        <is>
          <t>Focus Energy</t>
        </is>
      </c>
      <c r="E118" s="3" t="inlineStr">
        <is>
          <t>MOVE_FOCUS_ENERGY</t>
        </is>
      </c>
    </row>
    <row r="119">
      <c r="A119" s="3" t="inlineStr">
        <is>
          <t>SPECIES_PRIMEAPE</t>
        </is>
      </c>
      <c r="B119" s="3" t="inlineStr">
        <is>
          <t>Primeape</t>
        </is>
      </c>
      <c r="C119" s="3" t="n">
        <v>5</v>
      </c>
      <c r="D119" s="3" t="inlineStr">
        <is>
          <t>Fury Swipes</t>
        </is>
      </c>
      <c r="E119" s="3" t="inlineStr">
        <is>
          <t>MOVE_FURY_SWIPES</t>
        </is>
      </c>
    </row>
    <row r="120">
      <c r="A120" s="3" t="inlineStr">
        <is>
          <t>SPECIES_PRIMEAPE</t>
        </is>
      </c>
      <c r="B120" s="3" t="inlineStr">
        <is>
          <t>Primeape</t>
        </is>
      </c>
      <c r="C120" s="3" t="n">
        <v>8</v>
      </c>
      <c r="D120" s="3" t="inlineStr">
        <is>
          <t>Low Kick</t>
        </is>
      </c>
      <c r="E120" s="3" t="inlineStr">
        <is>
          <t>MOVE_LOW_KICK</t>
        </is>
      </c>
    </row>
    <row r="121">
      <c r="A121" s="3" t="inlineStr">
        <is>
          <t>SPECIES_PRIMEAPE</t>
        </is>
      </c>
      <c r="B121" s="3" t="inlineStr">
        <is>
          <t>Primeape</t>
        </is>
      </c>
      <c r="C121" s="3" t="n">
        <v>15</v>
      </c>
      <c r="D121" s="3" t="inlineStr">
        <is>
          <t>Seismic Toss</t>
        </is>
      </c>
      <c r="E121" s="3" t="inlineStr">
        <is>
          <t>MOVE_SEISMIC_TOSS</t>
        </is>
      </c>
    </row>
    <row r="122">
      <c r="A122" s="3" t="inlineStr">
        <is>
          <t>SPECIES_PRIMEAPE</t>
        </is>
      </c>
      <c r="B122" s="3" t="inlineStr">
        <is>
          <t>Primeape</t>
        </is>
      </c>
      <c r="C122" s="3" t="n">
        <v>17</v>
      </c>
      <c r="D122" s="3" t="inlineStr">
        <is>
          <t>Swagger</t>
        </is>
      </c>
      <c r="E122" s="3" t="inlineStr">
        <is>
          <t>MOVE_SWAGGER</t>
        </is>
      </c>
    </row>
    <row r="123">
      <c r="A123" s="3" t="inlineStr">
        <is>
          <t>SPECIES_PRIMEAPE</t>
        </is>
      </c>
      <c r="B123" s="3" t="inlineStr">
        <is>
          <t>Primeape</t>
        </is>
      </c>
      <c r="C123" s="3" t="n">
        <v>22</v>
      </c>
      <c r="D123" s="3" t="inlineStr">
        <is>
          <t>Cross Chop</t>
        </is>
      </c>
      <c r="E123" s="3" t="inlineStr">
        <is>
          <t>MOVE_CROSS_CHOP</t>
        </is>
      </c>
    </row>
    <row r="124">
      <c r="A124" s="3" t="inlineStr">
        <is>
          <t>SPECIES_PRIMEAPE</t>
        </is>
      </c>
      <c r="B124" s="3" t="inlineStr">
        <is>
          <t>Primeape</t>
        </is>
      </c>
      <c r="C124" s="3" t="n">
        <v>26</v>
      </c>
      <c r="D124" s="3" t="inlineStr">
        <is>
          <t>Assurance</t>
        </is>
      </c>
      <c r="E124" s="3" t="inlineStr">
        <is>
          <t>MOVE_ASSURANCE</t>
        </is>
      </c>
    </row>
    <row r="125">
      <c r="A125" s="3" t="inlineStr">
        <is>
          <t>SPECIES_PRIMEAPE</t>
        </is>
      </c>
      <c r="B125" s="3" t="inlineStr">
        <is>
          <t>Primeape</t>
        </is>
      </c>
      <c r="C125" s="3" t="n">
        <v>30</v>
      </c>
      <c r="D125" s="3" t="inlineStr">
        <is>
          <t>Thrash</t>
        </is>
      </c>
      <c r="E125" s="3" t="inlineStr">
        <is>
          <t>MOVE_THRASH</t>
        </is>
      </c>
    </row>
    <row r="126">
      <c r="A126" s="3" t="inlineStr">
        <is>
          <t>SPECIES_PRIMEAPE</t>
        </is>
      </c>
      <c r="B126" s="3" t="inlineStr">
        <is>
          <t>Primeape</t>
        </is>
      </c>
      <c r="C126" s="3" t="n">
        <v>35</v>
      </c>
      <c r="D126" s="3" t="inlineStr">
        <is>
          <t>Rage Fist</t>
        </is>
      </c>
      <c r="E126" s="3" t="inlineStr">
        <is>
          <t>MOVE_RAGE_FIST</t>
        </is>
      </c>
    </row>
    <row r="127">
      <c r="A127" s="3" t="inlineStr">
        <is>
          <t>SPECIES_PRIMEAPE</t>
        </is>
      </c>
      <c r="B127" s="3" t="inlineStr">
        <is>
          <t>Primeape</t>
        </is>
      </c>
      <c r="C127" s="3" t="n">
        <v>39</v>
      </c>
      <c r="D127" s="3" t="inlineStr">
        <is>
          <t>Close Combat</t>
        </is>
      </c>
      <c r="E127" s="3" t="inlineStr">
        <is>
          <t>MOVE_CLOSE_COMBAT</t>
        </is>
      </c>
    </row>
    <row r="128">
      <c r="A128" s="3" t="inlineStr">
        <is>
          <t>SPECIES_PRIMEAPE</t>
        </is>
      </c>
      <c r="B128" s="3" t="inlineStr">
        <is>
          <t>Primeape</t>
        </is>
      </c>
      <c r="C128" s="3" t="n">
        <v>44</v>
      </c>
      <c r="D128" s="3" t="inlineStr">
        <is>
          <t>Screech</t>
        </is>
      </c>
      <c r="E128" s="3" t="inlineStr">
        <is>
          <t>MOVE_SCREECH</t>
        </is>
      </c>
    </row>
    <row r="129">
      <c r="A129" s="3" t="inlineStr">
        <is>
          <t>SPECIES_PRIMEAPE</t>
        </is>
      </c>
      <c r="B129" s="3" t="inlineStr">
        <is>
          <t>Primeape</t>
        </is>
      </c>
      <c r="C129" s="3" t="n">
        <v>48</v>
      </c>
      <c r="D129" s="3" t="inlineStr">
        <is>
          <t>Stomping Tantrum</t>
        </is>
      </c>
      <c r="E129" s="3" t="inlineStr">
        <is>
          <t>MOVE_STOMPING_TANTRUM</t>
        </is>
      </c>
    </row>
    <row r="130">
      <c r="A130" s="3" t="inlineStr">
        <is>
          <t>SPECIES_PRIMEAPE</t>
        </is>
      </c>
      <c r="B130" s="3" t="inlineStr">
        <is>
          <t>Primeape</t>
        </is>
      </c>
      <c r="C130" s="3" t="n">
        <v>53</v>
      </c>
      <c r="D130" s="3" t="inlineStr">
        <is>
          <t>Outrage</t>
        </is>
      </c>
      <c r="E130" s="3" t="inlineStr">
        <is>
          <t>MOVE_OUTRAGE</t>
        </is>
      </c>
    </row>
    <row r="131">
      <c r="A131" s="3" t="inlineStr">
        <is>
          <t>SPECIES_PRIMEAPE</t>
        </is>
      </c>
      <c r="B131" s="3" t="inlineStr">
        <is>
          <t>Primeape</t>
        </is>
      </c>
      <c r="C131" s="3" t="n">
        <v>57</v>
      </c>
      <c r="D131" s="3" t="inlineStr">
        <is>
          <t>Final Gambit</t>
        </is>
      </c>
      <c r="E131" s="3" t="inlineStr">
        <is>
          <t>MOVE_FINAL_GAMBIT</t>
        </is>
      </c>
    </row>
    <row r="132">
      <c r="A132" s="3" t="inlineStr">
        <is>
          <t>SPECIES_ANNIHILAPE</t>
        </is>
      </c>
      <c r="B132" s="3" t="inlineStr">
        <is>
          <t>Annihilape</t>
        </is>
      </c>
      <c r="C132" s="3" t="n">
        <v>0</v>
      </c>
      <c r="D132" s="3" t="inlineStr">
        <is>
          <t>Shadow Punch</t>
        </is>
      </c>
      <c r="E132" s="3" t="inlineStr">
        <is>
          <t>MOVE_SHADOW_PUNCH</t>
        </is>
      </c>
    </row>
    <row r="133">
      <c r="A133" s="3" t="inlineStr">
        <is>
          <t>SPECIES_ANNIHILAPE</t>
        </is>
      </c>
      <c r="B133" s="3" t="inlineStr">
        <is>
          <t>Annihilape</t>
        </is>
      </c>
      <c r="C133" s="3" t="n">
        <v>1</v>
      </c>
      <c r="D133" s="3" t="inlineStr">
        <is>
          <t>Scratch</t>
        </is>
      </c>
      <c r="E133" s="3" t="inlineStr">
        <is>
          <t>MOVE_SCRATCH</t>
        </is>
      </c>
    </row>
    <row r="134">
      <c r="A134" s="3" t="inlineStr">
        <is>
          <t>SPECIES_ANNIHILAPE</t>
        </is>
      </c>
      <c r="B134" s="3" t="inlineStr">
        <is>
          <t>Annihilape</t>
        </is>
      </c>
      <c r="C134" s="3" t="n">
        <v>1</v>
      </c>
      <c r="D134" s="3" t="inlineStr">
        <is>
          <t>Leer</t>
        </is>
      </c>
      <c r="E134" s="3" t="inlineStr">
        <is>
          <t>MOVE_LEER</t>
        </is>
      </c>
    </row>
    <row r="135">
      <c r="A135" s="3" t="inlineStr">
        <is>
          <t>SPECIES_ANNIHILAPE</t>
        </is>
      </c>
      <c r="B135" s="3" t="inlineStr">
        <is>
          <t>Annihilape</t>
        </is>
      </c>
      <c r="C135" s="3" t="n">
        <v>1</v>
      </c>
      <c r="D135" s="3" t="inlineStr">
        <is>
          <t>Counter</t>
        </is>
      </c>
      <c r="E135" s="3" t="inlineStr">
        <is>
          <t>MOVE_COUNTER</t>
        </is>
      </c>
    </row>
    <row r="136">
      <c r="A136" s="3" t="inlineStr">
        <is>
          <t>SPECIES_ANNIHILAPE</t>
        </is>
      </c>
      <c r="B136" s="3" t="inlineStr">
        <is>
          <t>Annihilape</t>
        </is>
      </c>
      <c r="C136" s="3" t="n">
        <v>1</v>
      </c>
      <c r="D136" s="3" t="inlineStr">
        <is>
          <t>Fling</t>
        </is>
      </c>
      <c r="E136" s="3" t="inlineStr">
        <is>
          <t>MOVE_FLING</t>
        </is>
      </c>
    </row>
    <row r="137">
      <c r="A137" s="3" t="inlineStr">
        <is>
          <t>SPECIES_ANNIHILAPE</t>
        </is>
      </c>
      <c r="B137" s="3" t="inlineStr">
        <is>
          <t>Annihilape</t>
        </is>
      </c>
      <c r="C137" s="3" t="n">
        <v>1</v>
      </c>
      <c r="D137" s="3" t="inlineStr">
        <is>
          <t>Focus Energy</t>
        </is>
      </c>
      <c r="E137" s="3" t="inlineStr">
        <is>
          <t>MOVE_FOCUS_ENERGY</t>
        </is>
      </c>
    </row>
    <row r="138">
      <c r="A138" s="3" t="inlineStr">
        <is>
          <t>SPECIES_ANNIHILAPE</t>
        </is>
      </c>
      <c r="B138" s="3" t="inlineStr">
        <is>
          <t>Annihilape</t>
        </is>
      </c>
      <c r="C138" s="3" t="n">
        <v>5</v>
      </c>
      <c r="D138" s="3" t="inlineStr">
        <is>
          <t>Fury Swipes</t>
        </is>
      </c>
      <c r="E138" s="3" t="inlineStr">
        <is>
          <t>MOVE_FURY_SWIPES</t>
        </is>
      </c>
    </row>
    <row r="139">
      <c r="A139" s="3" t="inlineStr">
        <is>
          <t>SPECIES_ANNIHILAPE</t>
        </is>
      </c>
      <c r="B139" s="3" t="inlineStr">
        <is>
          <t>Annihilape</t>
        </is>
      </c>
      <c r="C139" s="3" t="n">
        <v>8</v>
      </c>
      <c r="D139" s="3" t="inlineStr">
        <is>
          <t>Low Kick</t>
        </is>
      </c>
      <c r="E139" s="3" t="inlineStr">
        <is>
          <t>MOVE_LOW_KICK</t>
        </is>
      </c>
    </row>
    <row r="140">
      <c r="A140" s="3" t="inlineStr">
        <is>
          <t>SPECIES_ANNIHILAPE</t>
        </is>
      </c>
      <c r="B140" s="3" t="inlineStr">
        <is>
          <t>Annihilape</t>
        </is>
      </c>
      <c r="C140" s="3" t="n">
        <v>12</v>
      </c>
      <c r="D140" s="3" t="inlineStr">
        <is>
          <t>Seismic Toss</t>
        </is>
      </c>
      <c r="E140" s="3" t="inlineStr">
        <is>
          <t>MOVE_SEISMIC_TOSS</t>
        </is>
      </c>
    </row>
    <row r="141">
      <c r="A141" s="3" t="inlineStr">
        <is>
          <t>SPECIES_ANNIHILAPE</t>
        </is>
      </c>
      <c r="B141" s="3" t="inlineStr">
        <is>
          <t>Annihilape</t>
        </is>
      </c>
      <c r="C141" s="3" t="n">
        <v>17</v>
      </c>
      <c r="D141" s="3" t="inlineStr">
        <is>
          <t>Swagger</t>
        </is>
      </c>
      <c r="E141" s="3" t="inlineStr">
        <is>
          <t>MOVE_SWAGGER</t>
        </is>
      </c>
    </row>
    <row r="142">
      <c r="A142" s="3" t="inlineStr">
        <is>
          <t>SPECIES_ANNIHILAPE</t>
        </is>
      </c>
      <c r="B142" s="3" t="inlineStr">
        <is>
          <t>Annihilape</t>
        </is>
      </c>
      <c r="C142" s="3" t="n">
        <v>22</v>
      </c>
      <c r="D142" s="3" t="inlineStr">
        <is>
          <t>Cross Chop</t>
        </is>
      </c>
      <c r="E142" s="3" t="inlineStr">
        <is>
          <t>MOVE_CROSS_CHOP</t>
        </is>
      </c>
    </row>
    <row r="143">
      <c r="A143" s="3" t="inlineStr">
        <is>
          <t>SPECIES_ANNIHILAPE</t>
        </is>
      </c>
      <c r="B143" s="3" t="inlineStr">
        <is>
          <t>Annihilape</t>
        </is>
      </c>
      <c r="C143" s="3" t="n">
        <v>26</v>
      </c>
      <c r="D143" s="3" t="inlineStr">
        <is>
          <t>Assurance</t>
        </is>
      </c>
      <c r="E143" s="3" t="inlineStr">
        <is>
          <t>MOVE_ASSURANCE</t>
        </is>
      </c>
    </row>
    <row r="144">
      <c r="A144" s="3" t="inlineStr">
        <is>
          <t>SPECIES_ANNIHILAPE</t>
        </is>
      </c>
      <c r="B144" s="3" t="inlineStr">
        <is>
          <t>Annihilape</t>
        </is>
      </c>
      <c r="C144" s="3" t="n">
        <v>30</v>
      </c>
      <c r="D144" s="3" t="inlineStr">
        <is>
          <t>Thrash</t>
        </is>
      </c>
      <c r="E144" s="3" t="inlineStr">
        <is>
          <t>MOVE_THRASH</t>
        </is>
      </c>
    </row>
    <row r="145">
      <c r="A145" s="3" t="inlineStr">
        <is>
          <t>SPECIES_ANNIHILAPE</t>
        </is>
      </c>
      <c r="B145" s="3" t="inlineStr">
        <is>
          <t>Annihilape</t>
        </is>
      </c>
      <c r="C145" s="3" t="n">
        <v>35</v>
      </c>
      <c r="D145" s="3" t="inlineStr">
        <is>
          <t>Rage Fist</t>
        </is>
      </c>
      <c r="E145" s="3" t="inlineStr">
        <is>
          <t>MOVE_RAGE_FIST</t>
        </is>
      </c>
    </row>
    <row r="146">
      <c r="A146" s="3" t="inlineStr">
        <is>
          <t>SPECIES_ANNIHILAPE</t>
        </is>
      </c>
      <c r="B146" s="3" t="inlineStr">
        <is>
          <t>Annihilape</t>
        </is>
      </c>
      <c r="C146" s="3" t="n">
        <v>39</v>
      </c>
      <c r="D146" s="3" t="inlineStr">
        <is>
          <t>Close Combat</t>
        </is>
      </c>
      <c r="E146" s="3" t="inlineStr">
        <is>
          <t>MOVE_CLOSE_COMBAT</t>
        </is>
      </c>
    </row>
    <row r="147">
      <c r="A147" s="3" t="inlineStr">
        <is>
          <t>SPECIES_ANNIHILAPE</t>
        </is>
      </c>
      <c r="B147" s="3" t="inlineStr">
        <is>
          <t>Annihilape</t>
        </is>
      </c>
      <c r="C147" s="3" t="n">
        <v>44</v>
      </c>
      <c r="D147" s="3" t="inlineStr">
        <is>
          <t>Screech</t>
        </is>
      </c>
      <c r="E147" s="3" t="inlineStr">
        <is>
          <t>MOVE_SCREECH</t>
        </is>
      </c>
    </row>
    <row r="148">
      <c r="A148" s="3" t="inlineStr">
        <is>
          <t>SPECIES_ANNIHILAPE</t>
        </is>
      </c>
      <c r="B148" s="3" t="inlineStr">
        <is>
          <t>Annihilape</t>
        </is>
      </c>
      <c r="C148" s="3" t="n">
        <v>48</v>
      </c>
      <c r="D148" s="3" t="inlineStr">
        <is>
          <t>Stomping Tantrum</t>
        </is>
      </c>
      <c r="E148" s="3" t="inlineStr">
        <is>
          <t>MOVE_STOMPING_TANTRUM</t>
        </is>
      </c>
    </row>
    <row r="149">
      <c r="A149" s="3" t="inlineStr">
        <is>
          <t>SPECIES_ANNIHILAPE</t>
        </is>
      </c>
      <c r="B149" s="3" t="inlineStr">
        <is>
          <t>Annihilape</t>
        </is>
      </c>
      <c r="C149" s="3" t="n">
        <v>53</v>
      </c>
      <c r="D149" s="3" t="inlineStr">
        <is>
          <t>Outrage</t>
        </is>
      </c>
      <c r="E149" s="3" t="inlineStr">
        <is>
          <t>MOVE_OUTRAGE</t>
        </is>
      </c>
    </row>
    <row r="150">
      <c r="A150" s="3" t="inlineStr">
        <is>
          <t>SPECIES_ANNIHILAPE</t>
        </is>
      </c>
      <c r="B150" s="3" t="inlineStr">
        <is>
          <t>Annihilape</t>
        </is>
      </c>
      <c r="C150" s="3" t="n">
        <v>57</v>
      </c>
      <c r="D150" s="3" t="inlineStr">
        <is>
          <t>Final Gambit</t>
        </is>
      </c>
      <c r="E150" s="3" t="inlineStr">
        <is>
          <t>MOVE_FINAL_GAMBIT</t>
        </is>
      </c>
    </row>
    <row r="151">
      <c r="A151" s="3" t="inlineStr">
        <is>
          <t>SPECIES_TENTACOOL</t>
        </is>
      </c>
      <c r="B151" s="3" t="inlineStr">
        <is>
          <t>Tentacool</t>
        </is>
      </c>
      <c r="C151" s="3" t="n">
        <v>1</v>
      </c>
      <c r="D151" s="3" t="inlineStr">
        <is>
          <t>Poison Sting</t>
        </is>
      </c>
      <c r="E151" s="3" t="inlineStr">
        <is>
          <t>MOVE_POISON_STING</t>
        </is>
      </c>
    </row>
    <row r="152">
      <c r="A152" s="3" t="inlineStr">
        <is>
          <t>SPECIES_TENTACOOL</t>
        </is>
      </c>
      <c r="B152" s="3" t="inlineStr">
        <is>
          <t>Tentacool</t>
        </is>
      </c>
      <c r="C152" s="3" t="n">
        <v>1</v>
      </c>
      <c r="D152" s="3" t="inlineStr">
        <is>
          <t>Water Gun</t>
        </is>
      </c>
      <c r="E152" s="3" t="inlineStr">
        <is>
          <t>MOVE_WATER_GUN</t>
        </is>
      </c>
    </row>
    <row r="153">
      <c r="A153" s="3" t="inlineStr">
        <is>
          <t>SPECIES_TENTACOOL</t>
        </is>
      </c>
      <c r="B153" s="3" t="inlineStr">
        <is>
          <t>Tentacool</t>
        </is>
      </c>
      <c r="C153" s="3" t="n">
        <v>4</v>
      </c>
      <c r="D153" s="3" t="inlineStr">
        <is>
          <t>Acid</t>
        </is>
      </c>
      <c r="E153" s="3" t="inlineStr">
        <is>
          <t>MOVE_ACID</t>
        </is>
      </c>
    </row>
    <row r="154">
      <c r="A154" s="3" t="inlineStr">
        <is>
          <t>SPECIES_TENTACOOL</t>
        </is>
      </c>
      <c r="B154" s="3" t="inlineStr">
        <is>
          <t>Tentacool</t>
        </is>
      </c>
      <c r="C154" s="3" t="n">
        <v>8</v>
      </c>
      <c r="D154" s="3" t="inlineStr">
        <is>
          <t>Wrap</t>
        </is>
      </c>
      <c r="E154" s="3" t="inlineStr">
        <is>
          <t>MOVE_WRAP</t>
        </is>
      </c>
    </row>
    <row r="155">
      <c r="A155" s="3" t="inlineStr">
        <is>
          <t>SPECIES_TENTACOOL</t>
        </is>
      </c>
      <c r="B155" s="3" t="inlineStr">
        <is>
          <t>Tentacool</t>
        </is>
      </c>
      <c r="C155" s="3" t="n">
        <v>12</v>
      </c>
      <c r="D155" s="3" t="inlineStr">
        <is>
          <t>Supersonic</t>
        </is>
      </c>
      <c r="E155" s="3" t="inlineStr">
        <is>
          <t>MOVE_SUPERSONIC</t>
        </is>
      </c>
    </row>
    <row r="156">
      <c r="A156" s="3" t="inlineStr">
        <is>
          <t>SPECIES_TENTACOOL</t>
        </is>
      </c>
      <c r="B156" s="3" t="inlineStr">
        <is>
          <t>Tentacool</t>
        </is>
      </c>
      <c r="C156" s="3" t="n">
        <v>16</v>
      </c>
      <c r="D156" s="3" t="inlineStr">
        <is>
          <t>Water Pulse</t>
        </is>
      </c>
      <c r="E156" s="3" t="inlineStr">
        <is>
          <t>MOVE_WATER_PULSE</t>
        </is>
      </c>
    </row>
    <row r="157">
      <c r="A157" s="3" t="inlineStr">
        <is>
          <t>SPECIES_TENTACOOL</t>
        </is>
      </c>
      <c r="B157" s="3" t="inlineStr">
        <is>
          <t>Tentacool</t>
        </is>
      </c>
      <c r="C157" s="3" t="n">
        <v>20</v>
      </c>
      <c r="D157" s="3" t="inlineStr">
        <is>
          <t>Screech</t>
        </is>
      </c>
      <c r="E157" s="3" t="inlineStr">
        <is>
          <t>MOVE_SCREECH</t>
        </is>
      </c>
    </row>
    <row r="158">
      <c r="A158" s="3" t="inlineStr">
        <is>
          <t>SPECIES_TENTACOOL</t>
        </is>
      </c>
      <c r="B158" s="3" t="inlineStr">
        <is>
          <t>Tentacool</t>
        </is>
      </c>
      <c r="C158" s="3" t="n">
        <v>24</v>
      </c>
      <c r="D158" s="3" t="inlineStr">
        <is>
          <t>Bubble Beam</t>
        </is>
      </c>
      <c r="E158" s="3" t="inlineStr">
        <is>
          <t>MOVE_BUBBLE_BEAM</t>
        </is>
      </c>
    </row>
    <row r="159">
      <c r="A159" s="3" t="inlineStr">
        <is>
          <t>SPECIES_TENTACOOL</t>
        </is>
      </c>
      <c r="B159" s="3" t="inlineStr">
        <is>
          <t>Tentacool</t>
        </is>
      </c>
      <c r="C159" s="3" t="n">
        <v>28</v>
      </c>
      <c r="D159" s="3" t="inlineStr">
        <is>
          <t>Hex</t>
        </is>
      </c>
      <c r="E159" s="3" t="inlineStr">
        <is>
          <t>MOVE_HEX</t>
        </is>
      </c>
    </row>
    <row r="160">
      <c r="A160" s="3" t="inlineStr">
        <is>
          <t>SPECIES_TENTACOOL</t>
        </is>
      </c>
      <c r="B160" s="3" t="inlineStr">
        <is>
          <t>Tentacool</t>
        </is>
      </c>
      <c r="C160" s="3" t="n">
        <v>32</v>
      </c>
      <c r="D160" s="3" t="inlineStr">
        <is>
          <t>Acid Armor</t>
        </is>
      </c>
      <c r="E160" s="3" t="inlineStr">
        <is>
          <t>MOVE_ACID_ARMOR</t>
        </is>
      </c>
    </row>
    <row r="161">
      <c r="A161" s="3" t="inlineStr">
        <is>
          <t>SPECIES_TENTACOOL</t>
        </is>
      </c>
      <c r="B161" s="3" t="inlineStr">
        <is>
          <t>Tentacool</t>
        </is>
      </c>
      <c r="C161" s="3" t="n">
        <v>36</v>
      </c>
      <c r="D161" s="3" t="inlineStr">
        <is>
          <t>Poison Jab</t>
        </is>
      </c>
      <c r="E161" s="3" t="inlineStr">
        <is>
          <t>MOVE_POISON_JAB</t>
        </is>
      </c>
    </row>
    <row r="162">
      <c r="A162" s="3" t="inlineStr">
        <is>
          <t>SPECIES_TENTACOOL</t>
        </is>
      </c>
      <c r="B162" s="3" t="inlineStr">
        <is>
          <t>Tentacool</t>
        </is>
      </c>
      <c r="C162" s="3" t="n">
        <v>40</v>
      </c>
      <c r="D162" s="3" t="inlineStr">
        <is>
          <t>Surf</t>
        </is>
      </c>
      <c r="E162" s="3" t="inlineStr">
        <is>
          <t>MOVE_SURF</t>
        </is>
      </c>
    </row>
    <row r="163">
      <c r="A163" s="3" t="inlineStr">
        <is>
          <t>SPECIES_TENTACOOL</t>
        </is>
      </c>
      <c r="B163" s="3" t="inlineStr">
        <is>
          <t>Tentacool</t>
        </is>
      </c>
      <c r="C163" s="3" t="n">
        <v>44</v>
      </c>
      <c r="D163" s="3" t="inlineStr">
        <is>
          <t>Sludge Wave</t>
        </is>
      </c>
      <c r="E163" s="3" t="inlineStr">
        <is>
          <t>MOVE_SLUDGE_WAVE</t>
        </is>
      </c>
    </row>
    <row r="164">
      <c r="A164" s="3" t="inlineStr">
        <is>
          <t>SPECIES_TENTACOOL</t>
        </is>
      </c>
      <c r="B164" s="3" t="inlineStr">
        <is>
          <t>Tentacool</t>
        </is>
      </c>
      <c r="C164" s="3" t="n">
        <v>48</v>
      </c>
      <c r="D164" s="3" t="inlineStr">
        <is>
          <t>Hydro Pump</t>
        </is>
      </c>
      <c r="E164" s="3" t="inlineStr">
        <is>
          <t>MOVE_HYDRO_PUMP</t>
        </is>
      </c>
    </row>
    <row r="165">
      <c r="A165" s="3" t="inlineStr">
        <is>
          <t>SPECIES_TENTACRUEL</t>
        </is>
      </c>
      <c r="B165" s="3" t="inlineStr">
        <is>
          <t>Tentacruel</t>
        </is>
      </c>
      <c r="C165" s="3" t="n">
        <v>1</v>
      </c>
      <c r="D165" s="3" t="inlineStr">
        <is>
          <t>Wrap</t>
        </is>
      </c>
      <c r="E165" s="3" t="inlineStr">
        <is>
          <t>MOVE_WRAP</t>
        </is>
      </c>
    </row>
    <row r="166">
      <c r="A166" s="3" t="inlineStr">
        <is>
          <t>SPECIES_TENTACRUEL</t>
        </is>
      </c>
      <c r="B166" s="3" t="inlineStr">
        <is>
          <t>Tentacruel</t>
        </is>
      </c>
      <c r="C166" s="3" t="n">
        <v>1</v>
      </c>
      <c r="D166" s="3" t="inlineStr">
        <is>
          <t>Poison Sting</t>
        </is>
      </c>
      <c r="E166" s="3" t="inlineStr">
        <is>
          <t>MOVE_POISON_STING</t>
        </is>
      </c>
    </row>
    <row r="167">
      <c r="A167" s="3" t="inlineStr">
        <is>
          <t>SPECIES_TENTACRUEL</t>
        </is>
      </c>
      <c r="B167" s="3" t="inlineStr">
        <is>
          <t>Tentacruel</t>
        </is>
      </c>
      <c r="C167" s="3" t="n">
        <v>1</v>
      </c>
      <c r="D167" s="3" t="inlineStr">
        <is>
          <t>Acid</t>
        </is>
      </c>
      <c r="E167" s="3" t="inlineStr">
        <is>
          <t>MOVE_ACID</t>
        </is>
      </c>
    </row>
    <row r="168">
      <c r="A168" s="3" t="inlineStr">
        <is>
          <t>SPECIES_TENTACRUEL</t>
        </is>
      </c>
      <c r="B168" s="3" t="inlineStr">
        <is>
          <t>Tentacruel</t>
        </is>
      </c>
      <c r="C168" s="3" t="n">
        <v>1</v>
      </c>
      <c r="D168" s="3" t="inlineStr">
        <is>
          <t>Water Gun</t>
        </is>
      </c>
      <c r="E168" s="3" t="inlineStr">
        <is>
          <t>MOVE_WATER_GUN</t>
        </is>
      </c>
    </row>
    <row r="169">
      <c r="A169" s="3" t="inlineStr">
        <is>
          <t>SPECIES_TENTACRUEL</t>
        </is>
      </c>
      <c r="B169" s="3" t="inlineStr">
        <is>
          <t>Tentacruel</t>
        </is>
      </c>
      <c r="C169" s="3" t="n">
        <v>1</v>
      </c>
      <c r="D169" s="3" t="inlineStr">
        <is>
          <t>Reflect Type</t>
        </is>
      </c>
      <c r="E169" s="3" t="inlineStr">
        <is>
          <t>MOVE_REFLECT_TYPE</t>
        </is>
      </c>
    </row>
    <row r="170">
      <c r="A170" s="3" t="inlineStr">
        <is>
          <t>SPECIES_TENTACRUEL</t>
        </is>
      </c>
      <c r="B170" s="3" t="inlineStr">
        <is>
          <t>Tentacruel</t>
        </is>
      </c>
      <c r="C170" s="3" t="n">
        <v>12</v>
      </c>
      <c r="D170" s="3" t="inlineStr">
        <is>
          <t>Supersonic</t>
        </is>
      </c>
      <c r="E170" s="3" t="inlineStr">
        <is>
          <t>MOVE_SUPERSONIC</t>
        </is>
      </c>
    </row>
    <row r="171">
      <c r="A171" s="3" t="inlineStr">
        <is>
          <t>SPECIES_TENTACRUEL</t>
        </is>
      </c>
      <c r="B171" s="3" t="inlineStr">
        <is>
          <t>Tentacruel</t>
        </is>
      </c>
      <c r="C171" s="3" t="n">
        <v>16</v>
      </c>
      <c r="D171" s="3" t="inlineStr">
        <is>
          <t>Water Pulse</t>
        </is>
      </c>
      <c r="E171" s="3" t="inlineStr">
        <is>
          <t>MOVE_WATER_PULSE</t>
        </is>
      </c>
    </row>
    <row r="172">
      <c r="A172" s="3" t="inlineStr">
        <is>
          <t>SPECIES_TENTACRUEL</t>
        </is>
      </c>
      <c r="B172" s="3" t="inlineStr">
        <is>
          <t>Tentacruel</t>
        </is>
      </c>
      <c r="C172" s="3" t="n">
        <v>20</v>
      </c>
      <c r="D172" s="3" t="inlineStr">
        <is>
          <t>Screech</t>
        </is>
      </c>
      <c r="E172" s="3" t="inlineStr">
        <is>
          <t>MOVE_SCREECH</t>
        </is>
      </c>
    </row>
    <row r="173">
      <c r="A173" s="3" t="inlineStr">
        <is>
          <t>SPECIES_TENTACRUEL</t>
        </is>
      </c>
      <c r="B173" s="3" t="inlineStr">
        <is>
          <t>Tentacruel</t>
        </is>
      </c>
      <c r="C173" s="3" t="n">
        <v>24</v>
      </c>
      <c r="D173" s="3" t="inlineStr">
        <is>
          <t>Bubble Beam</t>
        </is>
      </c>
      <c r="E173" s="3" t="inlineStr">
        <is>
          <t>MOVE_BUBBLE_BEAM</t>
        </is>
      </c>
    </row>
    <row r="174">
      <c r="A174" s="3" t="inlineStr">
        <is>
          <t>SPECIES_TENTACRUEL</t>
        </is>
      </c>
      <c r="B174" s="3" t="inlineStr">
        <is>
          <t>Tentacruel</t>
        </is>
      </c>
      <c r="C174" s="3" t="n">
        <v>28</v>
      </c>
      <c r="D174" s="3" t="inlineStr">
        <is>
          <t>Hex</t>
        </is>
      </c>
      <c r="E174" s="3" t="inlineStr">
        <is>
          <t>MOVE_HEX</t>
        </is>
      </c>
    </row>
    <row r="175">
      <c r="A175" s="3" t="inlineStr">
        <is>
          <t>SPECIES_TENTACRUEL</t>
        </is>
      </c>
      <c r="B175" s="3" t="inlineStr">
        <is>
          <t>Tentacruel</t>
        </is>
      </c>
      <c r="C175" s="3" t="n">
        <v>34</v>
      </c>
      <c r="D175" s="3" t="inlineStr">
        <is>
          <t>Acid Armor</t>
        </is>
      </c>
      <c r="E175" s="3" t="inlineStr">
        <is>
          <t>MOVE_ACID_ARMOR</t>
        </is>
      </c>
    </row>
    <row r="176">
      <c r="A176" s="3" t="inlineStr">
        <is>
          <t>SPECIES_TENTACRUEL</t>
        </is>
      </c>
      <c r="B176" s="3" t="inlineStr">
        <is>
          <t>Tentacruel</t>
        </is>
      </c>
      <c r="C176" s="3" t="n">
        <v>40</v>
      </c>
      <c r="D176" s="3" t="inlineStr">
        <is>
          <t>Poison Jab</t>
        </is>
      </c>
      <c r="E176" s="3" t="inlineStr">
        <is>
          <t>MOVE_POISON_JAB</t>
        </is>
      </c>
    </row>
    <row r="177">
      <c r="A177" s="3" t="inlineStr">
        <is>
          <t>SPECIES_TENTACRUEL</t>
        </is>
      </c>
      <c r="B177" s="3" t="inlineStr">
        <is>
          <t>Tentacruel</t>
        </is>
      </c>
      <c r="C177" s="3" t="n">
        <v>46</v>
      </c>
      <c r="D177" s="3" t="inlineStr">
        <is>
          <t>Surf</t>
        </is>
      </c>
      <c r="E177" s="3" t="inlineStr">
        <is>
          <t>MOVE_SURF</t>
        </is>
      </c>
    </row>
    <row r="178">
      <c r="A178" s="3" t="inlineStr">
        <is>
          <t>SPECIES_TENTACRUEL</t>
        </is>
      </c>
      <c r="B178" s="3" t="inlineStr">
        <is>
          <t>Tentacruel</t>
        </is>
      </c>
      <c r="C178" s="3" t="n">
        <v>52</v>
      </c>
      <c r="D178" s="3" t="inlineStr">
        <is>
          <t>Sludge Wave</t>
        </is>
      </c>
      <c r="E178" s="3" t="inlineStr">
        <is>
          <t>MOVE_SLUDGE_WAVE</t>
        </is>
      </c>
    </row>
    <row r="179">
      <c r="A179" s="3" t="inlineStr">
        <is>
          <t>SPECIES_TENTACRUEL</t>
        </is>
      </c>
      <c r="B179" s="3" t="inlineStr">
        <is>
          <t>Tentacruel</t>
        </is>
      </c>
      <c r="C179" s="3" t="n">
        <v>58</v>
      </c>
      <c r="D179" s="3" t="inlineStr">
        <is>
          <t>Hydro Pump</t>
        </is>
      </c>
      <c r="E179" s="3" t="inlineStr">
        <is>
          <t>MOVE_HYDRO_PUMP</t>
        </is>
      </c>
    </row>
    <row r="180">
      <c r="A180" s="3" t="inlineStr">
        <is>
          <t>SPECIES_MAGNEMITE</t>
        </is>
      </c>
      <c r="B180" s="3" t="inlineStr">
        <is>
          <t>Magnemite</t>
        </is>
      </c>
      <c r="C180" s="3" t="n">
        <v>1</v>
      </c>
      <c r="D180" s="3" t="inlineStr">
        <is>
          <t>Tackle</t>
        </is>
      </c>
      <c r="E180" s="3" t="inlineStr">
        <is>
          <t>MOVE_TACKLE</t>
        </is>
      </c>
    </row>
    <row r="181">
      <c r="A181" s="3" t="inlineStr">
        <is>
          <t>SPECIES_MAGNEMITE</t>
        </is>
      </c>
      <c r="B181" s="3" t="inlineStr">
        <is>
          <t>Magnemite</t>
        </is>
      </c>
      <c r="C181" s="3" t="n">
        <v>1</v>
      </c>
      <c r="D181" s="3" t="inlineStr">
        <is>
          <t>Thunder Shock</t>
        </is>
      </c>
      <c r="E181" s="3" t="inlineStr">
        <is>
          <t>MOVE_THUNDER_SHOCK</t>
        </is>
      </c>
    </row>
    <row r="182">
      <c r="A182" s="3" t="inlineStr">
        <is>
          <t>SPECIES_MAGNEMITE</t>
        </is>
      </c>
      <c r="B182" s="3" t="inlineStr">
        <is>
          <t>Magnemite</t>
        </is>
      </c>
      <c r="C182" s="3" t="n">
        <v>4</v>
      </c>
      <c r="D182" s="3" t="inlineStr">
        <is>
          <t>Supersonic</t>
        </is>
      </c>
      <c r="E182" s="3" t="inlineStr">
        <is>
          <t>MOVE_SUPERSONIC</t>
        </is>
      </c>
    </row>
    <row r="183">
      <c r="A183" s="3" t="inlineStr">
        <is>
          <t>SPECIES_MAGNEMITE</t>
        </is>
      </c>
      <c r="B183" s="3" t="inlineStr">
        <is>
          <t>Magnemite</t>
        </is>
      </c>
      <c r="C183" s="3" t="n">
        <v>8</v>
      </c>
      <c r="D183" s="3" t="inlineStr">
        <is>
          <t>Thunder Wave</t>
        </is>
      </c>
      <c r="E183" s="3" t="inlineStr">
        <is>
          <t>MOVE_THUNDER_WAVE</t>
        </is>
      </c>
    </row>
    <row r="184">
      <c r="A184" s="3" t="inlineStr">
        <is>
          <t>SPECIES_MAGNEMITE</t>
        </is>
      </c>
      <c r="B184" s="3" t="inlineStr">
        <is>
          <t>Magnemite</t>
        </is>
      </c>
      <c r="C184" s="3" t="n">
        <v>12</v>
      </c>
      <c r="D184" s="3" t="inlineStr">
        <is>
          <t>Electro Ball</t>
        </is>
      </c>
      <c r="E184" s="3" t="inlineStr">
        <is>
          <t>MOVE_ELECTRO_BALL</t>
        </is>
      </c>
    </row>
    <row r="185">
      <c r="A185" s="3" t="inlineStr">
        <is>
          <t>SPECIES_MAGNEMITE</t>
        </is>
      </c>
      <c r="B185" s="3" t="inlineStr">
        <is>
          <t>Magnemite</t>
        </is>
      </c>
      <c r="C185" s="3" t="n">
        <v>16</v>
      </c>
      <c r="D185" s="3" t="inlineStr">
        <is>
          <t>Gyro Ball</t>
        </is>
      </c>
      <c r="E185" s="3" t="inlineStr">
        <is>
          <t>MOVE_GYRO_BALL</t>
        </is>
      </c>
    </row>
    <row r="186">
      <c r="A186" s="3" t="inlineStr">
        <is>
          <t>SPECIES_MAGNEMITE</t>
        </is>
      </c>
      <c r="B186" s="3" t="inlineStr">
        <is>
          <t>Magnemite</t>
        </is>
      </c>
      <c r="C186" s="3" t="n">
        <v>20</v>
      </c>
      <c r="D186" s="3" t="inlineStr">
        <is>
          <t>Spark</t>
        </is>
      </c>
      <c r="E186" s="3" t="inlineStr">
        <is>
          <t>MOVE_SPARK</t>
        </is>
      </c>
    </row>
    <row r="187">
      <c r="A187" s="3" t="inlineStr">
        <is>
          <t>SPECIES_MAGNEMITE</t>
        </is>
      </c>
      <c r="B187" s="3" t="inlineStr">
        <is>
          <t>Magnemite</t>
        </is>
      </c>
      <c r="C187" s="3" t="n">
        <v>24</v>
      </c>
      <c r="D187" s="3" t="inlineStr">
        <is>
          <t>Screech</t>
        </is>
      </c>
      <c r="E187" s="3" t="inlineStr">
        <is>
          <t>MOVE_SCREECH</t>
        </is>
      </c>
    </row>
    <row r="188">
      <c r="A188" s="3" t="inlineStr">
        <is>
          <t>SPECIES_MAGNEMITE</t>
        </is>
      </c>
      <c r="B188" s="3" t="inlineStr">
        <is>
          <t>Magnemite</t>
        </is>
      </c>
      <c r="C188" s="3" t="n">
        <v>28</v>
      </c>
      <c r="D188" s="3" t="inlineStr">
        <is>
          <t>Magnet Rise</t>
        </is>
      </c>
      <c r="E188" s="3" t="inlineStr">
        <is>
          <t>MOVE_MAGNET_RISE</t>
        </is>
      </c>
    </row>
    <row r="189">
      <c r="A189" s="3" t="inlineStr">
        <is>
          <t>SPECIES_MAGNEMITE</t>
        </is>
      </c>
      <c r="B189" s="3" t="inlineStr">
        <is>
          <t>Magnemite</t>
        </is>
      </c>
      <c r="C189" s="3" t="n">
        <v>32</v>
      </c>
      <c r="D189" s="3" t="inlineStr">
        <is>
          <t>Flash Cannon</t>
        </is>
      </c>
      <c r="E189" s="3" t="inlineStr">
        <is>
          <t>MOVE_FLASH_CANNON</t>
        </is>
      </c>
    </row>
    <row r="190">
      <c r="A190" s="3" t="inlineStr">
        <is>
          <t>SPECIES_MAGNEMITE</t>
        </is>
      </c>
      <c r="B190" s="3" t="inlineStr">
        <is>
          <t>Magnemite</t>
        </is>
      </c>
      <c r="C190" s="3" t="n">
        <v>36</v>
      </c>
      <c r="D190" s="3" t="inlineStr">
        <is>
          <t>Discharge</t>
        </is>
      </c>
      <c r="E190" s="3" t="inlineStr">
        <is>
          <t>MOVE_DISCHARGE</t>
        </is>
      </c>
    </row>
    <row r="191">
      <c r="A191" s="3" t="inlineStr">
        <is>
          <t>SPECIES_MAGNEMITE</t>
        </is>
      </c>
      <c r="B191" s="3" t="inlineStr">
        <is>
          <t>Magnemite</t>
        </is>
      </c>
      <c r="C191" s="3" t="n">
        <v>40</v>
      </c>
      <c r="D191" s="3" t="inlineStr">
        <is>
          <t>Metal Sound</t>
        </is>
      </c>
      <c r="E191" s="3" t="inlineStr">
        <is>
          <t>MOVE_METAL_SOUND</t>
        </is>
      </c>
    </row>
    <row r="192">
      <c r="A192" s="3" t="inlineStr">
        <is>
          <t>SPECIES_MAGNEMITE</t>
        </is>
      </c>
      <c r="B192" s="3" t="inlineStr">
        <is>
          <t>Magnemite</t>
        </is>
      </c>
      <c r="C192" s="3" t="n">
        <v>44</v>
      </c>
      <c r="D192" s="3" t="inlineStr">
        <is>
          <t>Light Screen</t>
        </is>
      </c>
      <c r="E192" s="3" t="inlineStr">
        <is>
          <t>MOVE_LIGHT_SCREEN</t>
        </is>
      </c>
    </row>
    <row r="193">
      <c r="A193" s="3" t="inlineStr">
        <is>
          <t>SPECIES_MAGNEMITE</t>
        </is>
      </c>
      <c r="B193" s="3" t="inlineStr">
        <is>
          <t>Magnemite</t>
        </is>
      </c>
      <c r="C193" s="3" t="n">
        <v>48</v>
      </c>
      <c r="D193" s="3" t="inlineStr">
        <is>
          <t>Lock-On</t>
        </is>
      </c>
      <c r="E193" s="3" t="inlineStr">
        <is>
          <t>MOVE_LOCK_ON</t>
        </is>
      </c>
    </row>
    <row r="194">
      <c r="A194" s="3" t="inlineStr">
        <is>
          <t>SPECIES_MAGNEMITE</t>
        </is>
      </c>
      <c r="B194" s="3" t="inlineStr">
        <is>
          <t>Magnemite</t>
        </is>
      </c>
      <c r="C194" s="3" t="n">
        <v>52</v>
      </c>
      <c r="D194" s="3" t="inlineStr">
        <is>
          <t>Zap Cannon</t>
        </is>
      </c>
      <c r="E194" s="3" t="inlineStr">
        <is>
          <t>MOVE_ZAP_CANNON</t>
        </is>
      </c>
    </row>
    <row r="195">
      <c r="A195" s="3" t="inlineStr">
        <is>
          <t>SPECIES_MAGNETON</t>
        </is>
      </c>
      <c r="B195" s="3" t="inlineStr">
        <is>
          <t>Magneton</t>
        </is>
      </c>
      <c r="C195" s="3" t="n">
        <v>0</v>
      </c>
      <c r="D195" s="3" t="inlineStr">
        <is>
          <t>Tri Attack</t>
        </is>
      </c>
      <c r="E195" s="3" t="inlineStr">
        <is>
          <t>MOVE_TRI_ATTACK</t>
        </is>
      </c>
    </row>
    <row r="196">
      <c r="A196" s="3" t="inlineStr">
        <is>
          <t>SPECIES_MAGNETON</t>
        </is>
      </c>
      <c r="B196" s="3" t="inlineStr">
        <is>
          <t>Magneton</t>
        </is>
      </c>
      <c r="C196" s="3" t="n">
        <v>1</v>
      </c>
      <c r="D196" s="3" t="inlineStr">
        <is>
          <t>Thunder Wave</t>
        </is>
      </c>
      <c r="E196" s="3" t="inlineStr">
        <is>
          <t>MOVE_THUNDER_WAVE</t>
        </is>
      </c>
    </row>
    <row r="197">
      <c r="A197" s="3" t="inlineStr">
        <is>
          <t>SPECIES_MAGNETON</t>
        </is>
      </c>
      <c r="B197" s="3" t="inlineStr">
        <is>
          <t>Magneton</t>
        </is>
      </c>
      <c r="C197" s="3" t="n">
        <v>1</v>
      </c>
      <c r="D197" s="3" t="inlineStr">
        <is>
          <t>Electric Terrain</t>
        </is>
      </c>
      <c r="E197" s="3" t="inlineStr">
        <is>
          <t>MOVE_ELECTRIC_TERRAIN</t>
        </is>
      </c>
    </row>
    <row r="198">
      <c r="A198" s="3" t="inlineStr">
        <is>
          <t>SPECIES_MAGNETON</t>
        </is>
      </c>
      <c r="B198" s="3" t="inlineStr">
        <is>
          <t>Magneton</t>
        </is>
      </c>
      <c r="C198" s="3" t="n">
        <v>1</v>
      </c>
      <c r="D198" s="3" t="inlineStr">
        <is>
          <t>Tackle</t>
        </is>
      </c>
      <c r="E198" s="3" t="inlineStr">
        <is>
          <t>MOVE_TACKLE</t>
        </is>
      </c>
    </row>
    <row r="199">
      <c r="A199" s="3" t="inlineStr">
        <is>
          <t>SPECIES_MAGNETON</t>
        </is>
      </c>
      <c r="B199" s="3" t="inlineStr">
        <is>
          <t>Magneton</t>
        </is>
      </c>
      <c r="C199" s="3" t="n">
        <v>1</v>
      </c>
      <c r="D199" s="3" t="inlineStr">
        <is>
          <t>Supersonic</t>
        </is>
      </c>
      <c r="E199" s="3" t="inlineStr">
        <is>
          <t>MOVE_SUPERSONIC</t>
        </is>
      </c>
    </row>
    <row r="200">
      <c r="A200" s="3" t="inlineStr">
        <is>
          <t>SPECIES_MAGNETON</t>
        </is>
      </c>
      <c r="B200" s="3" t="inlineStr">
        <is>
          <t>Magneton</t>
        </is>
      </c>
      <c r="C200" s="3" t="n">
        <v>1</v>
      </c>
      <c r="D200" s="3" t="inlineStr">
        <is>
          <t>Thunder Shock</t>
        </is>
      </c>
      <c r="E200" s="3" t="inlineStr">
        <is>
          <t>MOVE_THUNDER_SHOCK</t>
        </is>
      </c>
    </row>
    <row r="201">
      <c r="A201" s="3" t="inlineStr">
        <is>
          <t>SPECIES_MAGNETON</t>
        </is>
      </c>
      <c r="B201" s="3" t="inlineStr">
        <is>
          <t>Magneton</t>
        </is>
      </c>
      <c r="C201" s="3" t="n">
        <v>12</v>
      </c>
      <c r="D201" s="3" t="inlineStr">
        <is>
          <t>Electro Ball</t>
        </is>
      </c>
      <c r="E201" s="3" t="inlineStr">
        <is>
          <t>MOVE_ELECTRO_BALL</t>
        </is>
      </c>
    </row>
    <row r="202">
      <c r="A202" s="3" t="inlineStr">
        <is>
          <t>SPECIES_MAGNETON</t>
        </is>
      </c>
      <c r="B202" s="3" t="inlineStr">
        <is>
          <t>Magneton</t>
        </is>
      </c>
      <c r="C202" s="3" t="n">
        <v>16</v>
      </c>
      <c r="D202" s="3" t="inlineStr">
        <is>
          <t>Gyro Ball</t>
        </is>
      </c>
      <c r="E202" s="3" t="inlineStr">
        <is>
          <t>MOVE_GYRO_BALL</t>
        </is>
      </c>
    </row>
    <row r="203">
      <c r="A203" s="3" t="inlineStr">
        <is>
          <t>SPECIES_MAGNETON</t>
        </is>
      </c>
      <c r="B203" s="3" t="inlineStr">
        <is>
          <t>Magneton</t>
        </is>
      </c>
      <c r="C203" s="3" t="n">
        <v>20</v>
      </c>
      <c r="D203" s="3" t="inlineStr">
        <is>
          <t>Spark</t>
        </is>
      </c>
      <c r="E203" s="3" t="inlineStr">
        <is>
          <t>MOVE_SPARK</t>
        </is>
      </c>
    </row>
    <row r="204">
      <c r="A204" s="3" t="inlineStr">
        <is>
          <t>SPECIES_MAGNETON</t>
        </is>
      </c>
      <c r="B204" s="3" t="inlineStr">
        <is>
          <t>Magneton</t>
        </is>
      </c>
      <c r="C204" s="3" t="n">
        <v>24</v>
      </c>
      <c r="D204" s="3" t="inlineStr">
        <is>
          <t>Screech</t>
        </is>
      </c>
      <c r="E204" s="3" t="inlineStr">
        <is>
          <t>MOVE_SCREECH</t>
        </is>
      </c>
    </row>
    <row r="205">
      <c r="A205" s="3" t="inlineStr">
        <is>
          <t>SPECIES_MAGNETON</t>
        </is>
      </c>
      <c r="B205" s="3" t="inlineStr">
        <is>
          <t>Magneton</t>
        </is>
      </c>
      <c r="C205" s="3" t="n">
        <v>28</v>
      </c>
      <c r="D205" s="3" t="inlineStr">
        <is>
          <t>Magnet Rise</t>
        </is>
      </c>
      <c r="E205" s="3" t="inlineStr">
        <is>
          <t>MOVE_MAGNET_RISE</t>
        </is>
      </c>
    </row>
    <row r="206">
      <c r="A206" s="3" t="inlineStr">
        <is>
          <t>SPECIES_MAGNETON</t>
        </is>
      </c>
      <c r="B206" s="3" t="inlineStr">
        <is>
          <t>Magneton</t>
        </is>
      </c>
      <c r="C206" s="3" t="n">
        <v>34</v>
      </c>
      <c r="D206" s="3" t="inlineStr">
        <is>
          <t>Flash Cannon</t>
        </is>
      </c>
      <c r="E206" s="3" t="inlineStr">
        <is>
          <t>MOVE_FLASH_CANNON</t>
        </is>
      </c>
    </row>
    <row r="207">
      <c r="A207" s="3" t="inlineStr">
        <is>
          <t>SPECIES_MAGNETON</t>
        </is>
      </c>
      <c r="B207" s="3" t="inlineStr">
        <is>
          <t>Magneton</t>
        </is>
      </c>
      <c r="C207" s="3" t="n">
        <v>40</v>
      </c>
      <c r="D207" s="3" t="inlineStr">
        <is>
          <t>Discharge</t>
        </is>
      </c>
      <c r="E207" s="3" t="inlineStr">
        <is>
          <t>MOVE_DISCHARGE</t>
        </is>
      </c>
    </row>
    <row r="208">
      <c r="A208" s="3" t="inlineStr">
        <is>
          <t>SPECIES_MAGNETON</t>
        </is>
      </c>
      <c r="B208" s="3" t="inlineStr">
        <is>
          <t>Magneton</t>
        </is>
      </c>
      <c r="C208" s="3" t="n">
        <v>46</v>
      </c>
      <c r="D208" s="3" t="inlineStr">
        <is>
          <t>Metal Sound</t>
        </is>
      </c>
      <c r="E208" s="3" t="inlineStr">
        <is>
          <t>MOVE_METAL_SOUND</t>
        </is>
      </c>
    </row>
    <row r="209">
      <c r="A209" s="3" t="inlineStr">
        <is>
          <t>SPECIES_MAGNETON</t>
        </is>
      </c>
      <c r="B209" s="3" t="inlineStr">
        <is>
          <t>Magneton</t>
        </is>
      </c>
      <c r="C209" s="3" t="n">
        <v>52</v>
      </c>
      <c r="D209" s="3" t="inlineStr">
        <is>
          <t>Light Screen</t>
        </is>
      </c>
      <c r="E209" s="3" t="inlineStr">
        <is>
          <t>MOVE_LIGHT_SCREEN</t>
        </is>
      </c>
    </row>
    <row r="210">
      <c r="A210" s="3" t="inlineStr">
        <is>
          <t>SPECIES_MAGNETON</t>
        </is>
      </c>
      <c r="B210" s="3" t="inlineStr">
        <is>
          <t>Magneton</t>
        </is>
      </c>
      <c r="C210" s="3" t="n">
        <v>58</v>
      </c>
      <c r="D210" s="3" t="inlineStr">
        <is>
          <t>Lock-On</t>
        </is>
      </c>
      <c r="E210" s="3" t="inlineStr">
        <is>
          <t>MOVE_LOCK_ON</t>
        </is>
      </c>
    </row>
    <row r="211">
      <c r="A211" s="3" t="inlineStr">
        <is>
          <t>SPECIES_MAGNETON</t>
        </is>
      </c>
      <c r="B211" s="3" t="inlineStr">
        <is>
          <t>Magneton</t>
        </is>
      </c>
      <c r="C211" s="3" t="n">
        <v>64</v>
      </c>
      <c r="D211" s="3" t="inlineStr">
        <is>
          <t>Zap Cannon</t>
        </is>
      </c>
      <c r="E211" s="3" t="inlineStr">
        <is>
          <t>MOVE_ZAP_CANNON</t>
        </is>
      </c>
    </row>
    <row r="212">
      <c r="A212" s="3" t="inlineStr">
        <is>
          <t>SPECIES_MAGNEZONE</t>
        </is>
      </c>
      <c r="B212" s="3" t="inlineStr">
        <is>
          <t>Magnezone</t>
        </is>
      </c>
      <c r="C212" s="3" t="n">
        <v>1</v>
      </c>
      <c r="D212" s="3" t="inlineStr">
        <is>
          <t>Electric Terrain</t>
        </is>
      </c>
      <c r="E212" s="3" t="inlineStr">
        <is>
          <t>MOVE_ELECTRIC_TERRAIN</t>
        </is>
      </c>
    </row>
    <row r="213">
      <c r="A213" s="3" t="inlineStr">
        <is>
          <t>SPECIES_MAGNEZONE</t>
        </is>
      </c>
      <c r="B213" s="3" t="inlineStr">
        <is>
          <t>Magnezone</t>
        </is>
      </c>
      <c r="C213" s="3" t="n">
        <v>1</v>
      </c>
      <c r="D213" s="3" t="inlineStr">
        <is>
          <t>Mirror Coat</t>
        </is>
      </c>
      <c r="E213" s="3" t="inlineStr">
        <is>
          <t>MOVE_MIRROR_COAT</t>
        </is>
      </c>
    </row>
    <row r="214">
      <c r="A214" s="3" t="inlineStr">
        <is>
          <t>SPECIES_MAGNEZONE</t>
        </is>
      </c>
      <c r="B214" s="3" t="inlineStr">
        <is>
          <t>Magnezone</t>
        </is>
      </c>
      <c r="C214" s="3" t="n">
        <v>1</v>
      </c>
      <c r="D214" s="3" t="inlineStr">
        <is>
          <t>Magnetic Flux</t>
        </is>
      </c>
      <c r="E214" s="3" t="inlineStr">
        <is>
          <t>MOVE_MAGNETIC_FLUX</t>
        </is>
      </c>
    </row>
    <row r="215">
      <c r="A215" s="3" t="inlineStr">
        <is>
          <t>SPECIES_MAGNEZONE</t>
        </is>
      </c>
      <c r="B215" s="3" t="inlineStr">
        <is>
          <t>Magnezone</t>
        </is>
      </c>
      <c r="C215" s="3" t="n">
        <v>1</v>
      </c>
      <c r="D215" s="3" t="inlineStr">
        <is>
          <t>Tri Attack</t>
        </is>
      </c>
      <c r="E215" s="3" t="inlineStr">
        <is>
          <t>MOVE_TRI_ATTACK</t>
        </is>
      </c>
    </row>
    <row r="216">
      <c r="A216" s="3" t="inlineStr">
        <is>
          <t>SPECIES_MAGNEZONE</t>
        </is>
      </c>
      <c r="B216" s="3" t="inlineStr">
        <is>
          <t>Magnezone</t>
        </is>
      </c>
      <c r="C216" s="3" t="n">
        <v>1</v>
      </c>
      <c r="D216" s="3" t="inlineStr">
        <is>
          <t>Tackle</t>
        </is>
      </c>
      <c r="E216" s="3" t="inlineStr">
        <is>
          <t>MOVE_TACKLE</t>
        </is>
      </c>
    </row>
    <row r="217">
      <c r="A217" s="3" t="inlineStr">
        <is>
          <t>SPECIES_MAGNEZONE</t>
        </is>
      </c>
      <c r="B217" s="3" t="inlineStr">
        <is>
          <t>Magnezone</t>
        </is>
      </c>
      <c r="C217" s="3" t="n">
        <v>1</v>
      </c>
      <c r="D217" s="3" t="inlineStr">
        <is>
          <t>Thunder Wave</t>
        </is>
      </c>
      <c r="E217" s="3" t="inlineStr">
        <is>
          <t>MOVE_THUNDER_WAVE</t>
        </is>
      </c>
    </row>
    <row r="218">
      <c r="A218" s="3" t="inlineStr">
        <is>
          <t>SPECIES_MAGNEZONE</t>
        </is>
      </c>
      <c r="B218" s="3" t="inlineStr">
        <is>
          <t>Magnezone</t>
        </is>
      </c>
      <c r="C218" s="3" t="n">
        <v>1</v>
      </c>
      <c r="D218" s="3" t="inlineStr">
        <is>
          <t>Thunder Shock</t>
        </is>
      </c>
      <c r="E218" s="3" t="inlineStr">
        <is>
          <t>MOVE_THUNDER_SHOCK</t>
        </is>
      </c>
    </row>
    <row r="219">
      <c r="A219" s="3" t="inlineStr">
        <is>
          <t>SPECIES_MAGNEZONE</t>
        </is>
      </c>
      <c r="B219" s="3" t="inlineStr">
        <is>
          <t>Magnezone</t>
        </is>
      </c>
      <c r="C219" s="3" t="n">
        <v>1</v>
      </c>
      <c r="D219" s="3" t="inlineStr">
        <is>
          <t>Supersonic</t>
        </is>
      </c>
      <c r="E219" s="3" t="inlineStr">
        <is>
          <t>MOVE_SUPERSONIC</t>
        </is>
      </c>
    </row>
    <row r="220">
      <c r="A220" s="3" t="inlineStr">
        <is>
          <t>SPECIES_MAGNEZONE</t>
        </is>
      </c>
      <c r="B220" s="3" t="inlineStr">
        <is>
          <t>Magnezone</t>
        </is>
      </c>
      <c r="C220" s="3" t="n">
        <v>12</v>
      </c>
      <c r="D220" s="3" t="inlineStr">
        <is>
          <t>Electro Ball</t>
        </is>
      </c>
      <c r="E220" s="3" t="inlineStr">
        <is>
          <t>MOVE_ELECTRO_BALL</t>
        </is>
      </c>
    </row>
    <row r="221">
      <c r="A221" s="3" t="inlineStr">
        <is>
          <t>SPECIES_MAGNEZONE</t>
        </is>
      </c>
      <c r="B221" s="3" t="inlineStr">
        <is>
          <t>Magnezone</t>
        </is>
      </c>
      <c r="C221" s="3" t="n">
        <v>16</v>
      </c>
      <c r="D221" s="3" t="inlineStr">
        <is>
          <t>Gyro Ball</t>
        </is>
      </c>
      <c r="E221" s="3" t="inlineStr">
        <is>
          <t>MOVE_GYRO_BALL</t>
        </is>
      </c>
    </row>
    <row r="222">
      <c r="A222" s="3" t="inlineStr">
        <is>
          <t>SPECIES_MAGNEZONE</t>
        </is>
      </c>
      <c r="B222" s="3" t="inlineStr">
        <is>
          <t>Magnezone</t>
        </is>
      </c>
      <c r="C222" s="3" t="n">
        <v>20</v>
      </c>
      <c r="D222" s="3" t="inlineStr">
        <is>
          <t>Spark</t>
        </is>
      </c>
      <c r="E222" s="3" t="inlineStr">
        <is>
          <t>MOVE_SPARK</t>
        </is>
      </c>
    </row>
    <row r="223">
      <c r="A223" s="3" t="inlineStr">
        <is>
          <t>SPECIES_MAGNEZONE</t>
        </is>
      </c>
      <c r="B223" s="3" t="inlineStr">
        <is>
          <t>Magnezone</t>
        </is>
      </c>
      <c r="C223" s="3" t="n">
        <v>24</v>
      </c>
      <c r="D223" s="3" t="inlineStr">
        <is>
          <t>Screech</t>
        </is>
      </c>
      <c r="E223" s="3" t="inlineStr">
        <is>
          <t>MOVE_SCREECH</t>
        </is>
      </c>
    </row>
    <row r="224">
      <c r="A224" s="3" t="inlineStr">
        <is>
          <t>SPECIES_MAGNEZONE</t>
        </is>
      </c>
      <c r="B224" s="3" t="inlineStr">
        <is>
          <t>Magnezone</t>
        </is>
      </c>
      <c r="C224" s="3" t="n">
        <v>28</v>
      </c>
      <c r="D224" s="3" t="inlineStr">
        <is>
          <t>Magnet Rise</t>
        </is>
      </c>
      <c r="E224" s="3" t="inlineStr">
        <is>
          <t>MOVE_MAGNET_RISE</t>
        </is>
      </c>
    </row>
    <row r="225">
      <c r="A225" s="3" t="inlineStr">
        <is>
          <t>SPECIES_MAGNEZONE</t>
        </is>
      </c>
      <c r="B225" s="3" t="inlineStr">
        <is>
          <t>Magnezone</t>
        </is>
      </c>
      <c r="C225" s="3" t="n">
        <v>34</v>
      </c>
      <c r="D225" s="3" t="inlineStr">
        <is>
          <t>Flash Cannon</t>
        </is>
      </c>
      <c r="E225" s="3" t="inlineStr">
        <is>
          <t>MOVE_FLASH_CANNON</t>
        </is>
      </c>
    </row>
    <row r="226">
      <c r="A226" s="3" t="inlineStr">
        <is>
          <t>SPECIES_MAGNEZONE</t>
        </is>
      </c>
      <c r="B226" s="3" t="inlineStr">
        <is>
          <t>Magnezone</t>
        </is>
      </c>
      <c r="C226" s="3" t="n">
        <v>40</v>
      </c>
      <c r="D226" s="3" t="inlineStr">
        <is>
          <t>Discharge</t>
        </is>
      </c>
      <c r="E226" s="3" t="inlineStr">
        <is>
          <t>MOVE_DISCHARGE</t>
        </is>
      </c>
    </row>
    <row r="227">
      <c r="A227" s="3" t="inlineStr">
        <is>
          <t>SPECIES_MAGNEZONE</t>
        </is>
      </c>
      <c r="B227" s="3" t="inlineStr">
        <is>
          <t>Magnezone</t>
        </is>
      </c>
      <c r="C227" s="3" t="n">
        <v>46</v>
      </c>
      <c r="D227" s="3" t="inlineStr">
        <is>
          <t>Metal Sound</t>
        </is>
      </c>
      <c r="E227" s="3" t="inlineStr">
        <is>
          <t>MOVE_METAL_SOUND</t>
        </is>
      </c>
    </row>
    <row r="228">
      <c r="A228" s="3" t="inlineStr">
        <is>
          <t>SPECIES_MAGNEZONE</t>
        </is>
      </c>
      <c r="B228" s="3" t="inlineStr">
        <is>
          <t>Magnezone</t>
        </is>
      </c>
      <c r="C228" s="3" t="n">
        <v>52</v>
      </c>
      <c r="D228" s="3" t="inlineStr">
        <is>
          <t>Light Screen</t>
        </is>
      </c>
      <c r="E228" s="3" t="inlineStr">
        <is>
          <t>MOVE_LIGHT_SCREEN</t>
        </is>
      </c>
    </row>
    <row r="229">
      <c r="A229" s="3" t="inlineStr">
        <is>
          <t>SPECIES_MAGNEZONE</t>
        </is>
      </c>
      <c r="B229" s="3" t="inlineStr">
        <is>
          <t>Magnezone</t>
        </is>
      </c>
      <c r="C229" s="3" t="n">
        <v>58</v>
      </c>
      <c r="D229" s="3" t="inlineStr">
        <is>
          <t>Lock-On</t>
        </is>
      </c>
      <c r="E229" s="3" t="inlineStr">
        <is>
          <t>MOVE_LOCK_ON</t>
        </is>
      </c>
    </row>
    <row r="230">
      <c r="A230" s="3" t="inlineStr">
        <is>
          <t>SPECIES_MAGNEZONE</t>
        </is>
      </c>
      <c r="B230" s="3" t="inlineStr">
        <is>
          <t>Magnezone</t>
        </is>
      </c>
      <c r="C230" s="3" t="n">
        <v>64</v>
      </c>
      <c r="D230" s="3" t="inlineStr">
        <is>
          <t>Zap Cannon</t>
        </is>
      </c>
      <c r="E230" s="3" t="inlineStr">
        <is>
          <t>MOVE_ZAP_CANNON</t>
        </is>
      </c>
    </row>
    <row r="231">
      <c r="A231" s="3" t="inlineStr">
        <is>
          <t>SPECIES_RHYHORN</t>
        </is>
      </c>
      <c r="B231" s="3" t="inlineStr">
        <is>
          <t>Rhyhorn</t>
        </is>
      </c>
      <c r="C231" s="3" t="n">
        <v>1</v>
      </c>
      <c r="D231" s="3" t="inlineStr">
        <is>
          <t>Tackle</t>
        </is>
      </c>
      <c r="E231" s="3" t="inlineStr">
        <is>
          <t>MOVE_TACKLE</t>
        </is>
      </c>
    </row>
    <row r="232">
      <c r="A232" s="3" t="inlineStr">
        <is>
          <t>SPECIES_RHYHORN</t>
        </is>
      </c>
      <c r="B232" s="3" t="inlineStr">
        <is>
          <t>Rhyhorn</t>
        </is>
      </c>
      <c r="C232" s="3" t="n">
        <v>1</v>
      </c>
      <c r="D232" s="3" t="inlineStr">
        <is>
          <t>Tail Whip</t>
        </is>
      </c>
      <c r="E232" s="3" t="inlineStr">
        <is>
          <t>MOVE_TAIL_WHIP</t>
        </is>
      </c>
    </row>
    <row r="233">
      <c r="A233" s="3" t="inlineStr">
        <is>
          <t>SPECIES_RHYHORN</t>
        </is>
      </c>
      <c r="B233" s="3" t="inlineStr">
        <is>
          <t>Rhyhorn</t>
        </is>
      </c>
      <c r="C233" s="3" t="n">
        <v>5</v>
      </c>
      <c r="D233" s="3" t="inlineStr">
        <is>
          <t>Smack Down</t>
        </is>
      </c>
      <c r="E233" s="3" t="inlineStr">
        <is>
          <t>MOVE_SMACK_DOWN</t>
        </is>
      </c>
    </row>
    <row r="234">
      <c r="A234" s="3" t="inlineStr">
        <is>
          <t>SPECIES_RHYHORN</t>
        </is>
      </c>
      <c r="B234" s="3" t="inlineStr">
        <is>
          <t>Rhyhorn</t>
        </is>
      </c>
      <c r="C234" s="3" t="n">
        <v>10</v>
      </c>
      <c r="D234" s="3" t="inlineStr">
        <is>
          <t>Bulldoze</t>
        </is>
      </c>
      <c r="E234" s="3" t="inlineStr">
        <is>
          <t>MOVE_BULLDOZE</t>
        </is>
      </c>
    </row>
    <row r="235">
      <c r="A235" s="3" t="inlineStr">
        <is>
          <t>SPECIES_RHYHORN</t>
        </is>
      </c>
      <c r="B235" s="3" t="inlineStr">
        <is>
          <t>Rhyhorn</t>
        </is>
      </c>
      <c r="C235" s="3" t="n">
        <v>15</v>
      </c>
      <c r="D235" s="3" t="inlineStr">
        <is>
          <t>Horn Attack</t>
        </is>
      </c>
      <c r="E235" s="3" t="inlineStr">
        <is>
          <t>MOVE_HORN_ATTACK</t>
        </is>
      </c>
    </row>
    <row r="236">
      <c r="A236" s="3" t="inlineStr">
        <is>
          <t>SPECIES_RHYHORN</t>
        </is>
      </c>
      <c r="B236" s="3" t="inlineStr">
        <is>
          <t>Rhyhorn</t>
        </is>
      </c>
      <c r="C236" s="3" t="n">
        <v>20</v>
      </c>
      <c r="D236" s="3" t="inlineStr">
        <is>
          <t>Scary Face</t>
        </is>
      </c>
      <c r="E236" s="3" t="inlineStr">
        <is>
          <t>MOVE_SCARY_FACE</t>
        </is>
      </c>
    </row>
    <row r="237">
      <c r="A237" s="3" t="inlineStr">
        <is>
          <t>SPECIES_RHYHORN</t>
        </is>
      </c>
      <c r="B237" s="3" t="inlineStr">
        <is>
          <t>Rhyhorn</t>
        </is>
      </c>
      <c r="C237" s="3" t="n">
        <v>25</v>
      </c>
      <c r="D237" s="3" t="inlineStr">
        <is>
          <t>Stomp</t>
        </is>
      </c>
      <c r="E237" s="3" t="inlineStr">
        <is>
          <t>MOVE_STOMP</t>
        </is>
      </c>
    </row>
    <row r="238">
      <c r="A238" s="3" t="inlineStr">
        <is>
          <t>SPECIES_RHYHORN</t>
        </is>
      </c>
      <c r="B238" s="3" t="inlineStr">
        <is>
          <t>Rhyhorn</t>
        </is>
      </c>
      <c r="C238" s="3" t="n">
        <v>30</v>
      </c>
      <c r="D238" s="3" t="inlineStr">
        <is>
          <t>Rock Blast</t>
        </is>
      </c>
      <c r="E238" s="3" t="inlineStr">
        <is>
          <t>MOVE_ROCK_BLAST</t>
        </is>
      </c>
    </row>
    <row r="239">
      <c r="A239" s="3" t="inlineStr">
        <is>
          <t>SPECIES_RHYHORN</t>
        </is>
      </c>
      <c r="B239" s="3" t="inlineStr">
        <is>
          <t>Rhyhorn</t>
        </is>
      </c>
      <c r="C239" s="3" t="n">
        <v>35</v>
      </c>
      <c r="D239" s="3" t="inlineStr">
        <is>
          <t>Drill Run</t>
        </is>
      </c>
      <c r="E239" s="3" t="inlineStr">
        <is>
          <t>MOVE_DRILL_RUN</t>
        </is>
      </c>
    </row>
    <row r="240">
      <c r="A240" s="3" t="inlineStr">
        <is>
          <t>SPECIES_RHYHORN</t>
        </is>
      </c>
      <c r="B240" s="3" t="inlineStr">
        <is>
          <t>Rhyhorn</t>
        </is>
      </c>
      <c r="C240" s="3" t="n">
        <v>40</v>
      </c>
      <c r="D240" s="3" t="inlineStr">
        <is>
          <t>Take Down</t>
        </is>
      </c>
      <c r="E240" s="3" t="inlineStr">
        <is>
          <t>MOVE_TAKE_DOWN</t>
        </is>
      </c>
    </row>
    <row r="241">
      <c r="A241" s="3" t="inlineStr">
        <is>
          <t>SPECIES_RHYHORN</t>
        </is>
      </c>
      <c r="B241" s="3" t="inlineStr">
        <is>
          <t>Rhyhorn</t>
        </is>
      </c>
      <c r="C241" s="3" t="n">
        <v>45</v>
      </c>
      <c r="D241" s="3" t="inlineStr">
        <is>
          <t>Earthquake</t>
        </is>
      </c>
      <c r="E241" s="3" t="inlineStr">
        <is>
          <t>MOVE_EARTHQUAKE</t>
        </is>
      </c>
    </row>
    <row r="242">
      <c r="A242" s="3" t="inlineStr">
        <is>
          <t>SPECIES_RHYHORN</t>
        </is>
      </c>
      <c r="B242" s="3" t="inlineStr">
        <is>
          <t>Rhyhorn</t>
        </is>
      </c>
      <c r="C242" s="3" t="n">
        <v>50</v>
      </c>
      <c r="D242" s="3" t="inlineStr">
        <is>
          <t>Stone Edge</t>
        </is>
      </c>
      <c r="E242" s="3" t="inlineStr">
        <is>
          <t>MOVE_STONE_EDGE</t>
        </is>
      </c>
    </row>
    <row r="243">
      <c r="A243" s="3" t="inlineStr">
        <is>
          <t>SPECIES_RHYHORN</t>
        </is>
      </c>
      <c r="B243" s="3" t="inlineStr">
        <is>
          <t>Rhyhorn</t>
        </is>
      </c>
      <c r="C243" s="3" t="n">
        <v>55</v>
      </c>
      <c r="D243" s="3" t="inlineStr">
        <is>
          <t>Megahorn</t>
        </is>
      </c>
      <c r="E243" s="3" t="inlineStr">
        <is>
          <t>MOVE_MEGAHORN</t>
        </is>
      </c>
    </row>
    <row r="244">
      <c r="A244" s="3" t="inlineStr">
        <is>
          <t>SPECIES_RHYHORN</t>
        </is>
      </c>
      <c r="B244" s="3" t="inlineStr">
        <is>
          <t>Rhyhorn</t>
        </is>
      </c>
      <c r="C244" s="3" t="n">
        <v>60</v>
      </c>
      <c r="D244" s="3" t="inlineStr">
        <is>
          <t>Horn Drill</t>
        </is>
      </c>
      <c r="E244" s="3" t="inlineStr">
        <is>
          <t>MOVE_HORN_DRILL</t>
        </is>
      </c>
    </row>
    <row r="245">
      <c r="A245" s="3" t="inlineStr">
        <is>
          <t>SPECIES_RHYDON</t>
        </is>
      </c>
      <c r="B245" s="3" t="inlineStr">
        <is>
          <t>Rhydon</t>
        </is>
      </c>
      <c r="C245" s="3" t="n">
        <v>0</v>
      </c>
      <c r="D245" s="3" t="inlineStr">
        <is>
          <t>Hammer Arm</t>
        </is>
      </c>
      <c r="E245" s="3" t="inlineStr">
        <is>
          <t>MOVE_HAMMER_ARM</t>
        </is>
      </c>
    </row>
    <row r="246">
      <c r="A246" s="3" t="inlineStr">
        <is>
          <t>SPECIES_RHYDON</t>
        </is>
      </c>
      <c r="B246" s="3" t="inlineStr">
        <is>
          <t>Rhydon</t>
        </is>
      </c>
      <c r="C246" s="3" t="n">
        <v>1</v>
      </c>
      <c r="D246" s="3" t="inlineStr">
        <is>
          <t>Tackle</t>
        </is>
      </c>
      <c r="E246" s="3" t="inlineStr">
        <is>
          <t>MOVE_TACKLE</t>
        </is>
      </c>
    </row>
    <row r="247">
      <c r="A247" s="3" t="inlineStr">
        <is>
          <t>SPECIES_RHYDON</t>
        </is>
      </c>
      <c r="B247" s="3" t="inlineStr">
        <is>
          <t>Rhydon</t>
        </is>
      </c>
      <c r="C247" s="3" t="n">
        <v>1</v>
      </c>
      <c r="D247" s="3" t="inlineStr">
        <is>
          <t>Tail Whip</t>
        </is>
      </c>
      <c r="E247" s="3" t="inlineStr">
        <is>
          <t>MOVE_TAIL_WHIP</t>
        </is>
      </c>
    </row>
    <row r="248">
      <c r="A248" s="3" t="inlineStr">
        <is>
          <t>SPECIES_RHYDON</t>
        </is>
      </c>
      <c r="B248" s="3" t="inlineStr">
        <is>
          <t>Rhydon</t>
        </is>
      </c>
      <c r="C248" s="3" t="n">
        <v>1</v>
      </c>
      <c r="D248" s="3" t="inlineStr">
        <is>
          <t>Smack Down</t>
        </is>
      </c>
      <c r="E248" s="3" t="inlineStr">
        <is>
          <t>MOVE_SMACK_DOWN</t>
        </is>
      </c>
    </row>
    <row r="249">
      <c r="A249" s="3" t="inlineStr">
        <is>
          <t>SPECIES_RHYDON</t>
        </is>
      </c>
      <c r="B249" s="3" t="inlineStr">
        <is>
          <t>Rhydon</t>
        </is>
      </c>
      <c r="C249" s="3" t="n">
        <v>1</v>
      </c>
      <c r="D249" s="3" t="inlineStr">
        <is>
          <t>Bulldoze</t>
        </is>
      </c>
      <c r="E249" s="3" t="inlineStr">
        <is>
          <t>MOVE_BULLDOZE</t>
        </is>
      </c>
    </row>
    <row r="250">
      <c r="A250" s="3" t="inlineStr">
        <is>
          <t>SPECIES_RHYDON</t>
        </is>
      </c>
      <c r="B250" s="3" t="inlineStr">
        <is>
          <t>Rhydon</t>
        </is>
      </c>
      <c r="C250" s="3" t="n">
        <v>15</v>
      </c>
      <c r="D250" s="3" t="inlineStr">
        <is>
          <t>Horn Attack</t>
        </is>
      </c>
      <c r="E250" s="3" t="inlineStr">
        <is>
          <t>MOVE_HORN_ATTACK</t>
        </is>
      </c>
    </row>
    <row r="251">
      <c r="A251" s="3" t="inlineStr">
        <is>
          <t>SPECIES_RHYDON</t>
        </is>
      </c>
      <c r="B251" s="3" t="inlineStr">
        <is>
          <t>Rhydon</t>
        </is>
      </c>
      <c r="C251" s="3" t="n">
        <v>20</v>
      </c>
      <c r="D251" s="3" t="inlineStr">
        <is>
          <t>Scary Face</t>
        </is>
      </c>
      <c r="E251" s="3" t="inlineStr">
        <is>
          <t>MOVE_SCARY_FACE</t>
        </is>
      </c>
    </row>
    <row r="252">
      <c r="A252" s="3" t="inlineStr">
        <is>
          <t>SPECIES_RHYDON</t>
        </is>
      </c>
      <c r="B252" s="3" t="inlineStr">
        <is>
          <t>Rhydon</t>
        </is>
      </c>
      <c r="C252" s="3" t="n">
        <v>25</v>
      </c>
      <c r="D252" s="3" t="inlineStr">
        <is>
          <t>Stomp</t>
        </is>
      </c>
      <c r="E252" s="3" t="inlineStr">
        <is>
          <t>MOVE_STOMP</t>
        </is>
      </c>
    </row>
    <row r="253">
      <c r="A253" s="3" t="inlineStr">
        <is>
          <t>SPECIES_RHYDON</t>
        </is>
      </c>
      <c r="B253" s="3" t="inlineStr">
        <is>
          <t>Rhydon</t>
        </is>
      </c>
      <c r="C253" s="3" t="n">
        <v>30</v>
      </c>
      <c r="D253" s="3" t="inlineStr">
        <is>
          <t>Rock Blast</t>
        </is>
      </c>
      <c r="E253" s="3" t="inlineStr">
        <is>
          <t>MOVE_ROCK_BLAST</t>
        </is>
      </c>
    </row>
    <row r="254">
      <c r="A254" s="3" t="inlineStr">
        <is>
          <t>SPECIES_RHYDON</t>
        </is>
      </c>
      <c r="B254" s="3" t="inlineStr">
        <is>
          <t>Rhydon</t>
        </is>
      </c>
      <c r="C254" s="3" t="n">
        <v>35</v>
      </c>
      <c r="D254" s="3" t="inlineStr">
        <is>
          <t>Drill Run</t>
        </is>
      </c>
      <c r="E254" s="3" t="inlineStr">
        <is>
          <t>MOVE_DRILL_RUN</t>
        </is>
      </c>
    </row>
    <row r="255">
      <c r="A255" s="3" t="inlineStr">
        <is>
          <t>SPECIES_RHYDON</t>
        </is>
      </c>
      <c r="B255" s="3" t="inlineStr">
        <is>
          <t>Rhydon</t>
        </is>
      </c>
      <c r="C255" s="3" t="n">
        <v>40</v>
      </c>
      <c r="D255" s="3" t="inlineStr">
        <is>
          <t>Take Down</t>
        </is>
      </c>
      <c r="E255" s="3" t="inlineStr">
        <is>
          <t>MOVE_TAKE_DOWN</t>
        </is>
      </c>
    </row>
    <row r="256">
      <c r="A256" s="3" t="inlineStr">
        <is>
          <t>SPECIES_RHYDON</t>
        </is>
      </c>
      <c r="B256" s="3" t="inlineStr">
        <is>
          <t>Rhydon</t>
        </is>
      </c>
      <c r="C256" s="3" t="n">
        <v>47</v>
      </c>
      <c r="D256" s="3" t="inlineStr">
        <is>
          <t>Earthquake</t>
        </is>
      </c>
      <c r="E256" s="3" t="inlineStr">
        <is>
          <t>MOVE_EARTHQUAKE</t>
        </is>
      </c>
    </row>
    <row r="257">
      <c r="A257" s="3" t="inlineStr">
        <is>
          <t>SPECIES_RHYDON</t>
        </is>
      </c>
      <c r="B257" s="3" t="inlineStr">
        <is>
          <t>Rhydon</t>
        </is>
      </c>
      <c r="C257" s="3" t="n">
        <v>54</v>
      </c>
      <c r="D257" s="3" t="inlineStr">
        <is>
          <t>Stone Edge</t>
        </is>
      </c>
      <c r="E257" s="3" t="inlineStr">
        <is>
          <t>MOVE_STONE_EDGE</t>
        </is>
      </c>
    </row>
    <row r="258">
      <c r="A258" s="3" t="inlineStr">
        <is>
          <t>SPECIES_RHYDON</t>
        </is>
      </c>
      <c r="B258" s="3" t="inlineStr">
        <is>
          <t>Rhydon</t>
        </is>
      </c>
      <c r="C258" s="3" t="n">
        <v>61</v>
      </c>
      <c r="D258" s="3" t="inlineStr">
        <is>
          <t>Megahorn</t>
        </is>
      </c>
      <c r="E258" s="3" t="inlineStr">
        <is>
          <t>MOVE_MEGAHORN</t>
        </is>
      </c>
    </row>
    <row r="259">
      <c r="A259" s="3" t="inlineStr">
        <is>
          <t>SPECIES_RHYDON</t>
        </is>
      </c>
      <c r="B259" s="3" t="inlineStr">
        <is>
          <t>Rhydon</t>
        </is>
      </c>
      <c r="C259" s="3" t="n">
        <v>68</v>
      </c>
      <c r="D259" s="3" t="inlineStr">
        <is>
          <t>Horn Drill</t>
        </is>
      </c>
      <c r="E259" s="3" t="inlineStr">
        <is>
          <t>MOVE_HORN_DRILL</t>
        </is>
      </c>
    </row>
    <row r="260">
      <c r="A260" s="3" t="inlineStr">
        <is>
          <t>SPECIES_RHYPERIOR</t>
        </is>
      </c>
      <c r="B260" s="3" t="inlineStr">
        <is>
          <t>Rhyperior</t>
        </is>
      </c>
      <c r="C260" s="3" t="n">
        <v>1</v>
      </c>
      <c r="D260" s="3" t="inlineStr">
        <is>
          <t>Tackle</t>
        </is>
      </c>
      <c r="E260" s="3" t="inlineStr">
        <is>
          <t>MOVE_TACKLE</t>
        </is>
      </c>
    </row>
    <row r="261">
      <c r="A261" s="3" t="inlineStr">
        <is>
          <t>SPECIES_RHYPERIOR</t>
        </is>
      </c>
      <c r="B261" s="3" t="inlineStr">
        <is>
          <t>Rhyperior</t>
        </is>
      </c>
      <c r="C261" s="3" t="n">
        <v>1</v>
      </c>
      <c r="D261" s="3" t="inlineStr">
        <is>
          <t>Tail Whip</t>
        </is>
      </c>
      <c r="E261" s="3" t="inlineStr">
        <is>
          <t>MOVE_TAIL_WHIP</t>
        </is>
      </c>
    </row>
    <row r="262">
      <c r="A262" s="3" t="inlineStr">
        <is>
          <t>SPECIES_RHYPERIOR</t>
        </is>
      </c>
      <c r="B262" s="3" t="inlineStr">
        <is>
          <t>Rhyperior</t>
        </is>
      </c>
      <c r="C262" s="3" t="n">
        <v>1</v>
      </c>
      <c r="D262" s="3" t="inlineStr">
        <is>
          <t>Hammer Arm</t>
        </is>
      </c>
      <c r="E262" s="3" t="inlineStr">
        <is>
          <t>MOVE_HAMMER_ARM</t>
        </is>
      </c>
    </row>
    <row r="263">
      <c r="A263" s="3" t="inlineStr">
        <is>
          <t>SPECIES_RHYPERIOR</t>
        </is>
      </c>
      <c r="B263" s="3" t="inlineStr">
        <is>
          <t>Rhyperior</t>
        </is>
      </c>
      <c r="C263" s="3" t="n">
        <v>1</v>
      </c>
      <c r="D263" s="3" t="inlineStr">
        <is>
          <t>Smack Down</t>
        </is>
      </c>
      <c r="E263" s="3" t="inlineStr">
        <is>
          <t>MOVE_SMACK_DOWN</t>
        </is>
      </c>
    </row>
    <row r="264">
      <c r="A264" s="3" t="inlineStr">
        <is>
          <t>SPECIES_RHYPERIOR</t>
        </is>
      </c>
      <c r="B264" s="3" t="inlineStr">
        <is>
          <t>Rhyperior</t>
        </is>
      </c>
      <c r="C264" s="3" t="n">
        <v>1</v>
      </c>
      <c r="D264" s="3" t="inlineStr">
        <is>
          <t>Bulldoze</t>
        </is>
      </c>
      <c r="E264" s="3" t="inlineStr">
        <is>
          <t>MOVE_BULLDOZE</t>
        </is>
      </c>
    </row>
    <row r="265">
      <c r="A265" s="3" t="inlineStr">
        <is>
          <t>SPECIES_RHYPERIOR</t>
        </is>
      </c>
      <c r="B265" s="3" t="inlineStr">
        <is>
          <t>Rhyperior</t>
        </is>
      </c>
      <c r="C265" s="3" t="n">
        <v>15</v>
      </c>
      <c r="D265" s="3" t="inlineStr">
        <is>
          <t>Horn Attack</t>
        </is>
      </c>
      <c r="E265" s="3" t="inlineStr">
        <is>
          <t>MOVE_HORN_ATTACK</t>
        </is>
      </c>
    </row>
    <row r="266">
      <c r="A266" s="3" t="inlineStr">
        <is>
          <t>SPECIES_RHYPERIOR</t>
        </is>
      </c>
      <c r="B266" s="3" t="inlineStr">
        <is>
          <t>Rhyperior</t>
        </is>
      </c>
      <c r="C266" s="3" t="n">
        <v>20</v>
      </c>
      <c r="D266" s="3" t="inlineStr">
        <is>
          <t>Scary Face</t>
        </is>
      </c>
      <c r="E266" s="3" t="inlineStr">
        <is>
          <t>MOVE_SCARY_FACE</t>
        </is>
      </c>
    </row>
    <row r="267">
      <c r="A267" s="3" t="inlineStr">
        <is>
          <t>SPECIES_RHYPERIOR</t>
        </is>
      </c>
      <c r="B267" s="3" t="inlineStr">
        <is>
          <t>Rhyperior</t>
        </is>
      </c>
      <c r="C267" s="3" t="n">
        <v>25</v>
      </c>
      <c r="D267" s="3" t="inlineStr">
        <is>
          <t>Stomp</t>
        </is>
      </c>
      <c r="E267" s="3" t="inlineStr">
        <is>
          <t>MOVE_STOMP</t>
        </is>
      </c>
    </row>
    <row r="268">
      <c r="A268" s="3" t="inlineStr">
        <is>
          <t>SPECIES_RHYPERIOR</t>
        </is>
      </c>
      <c r="B268" s="3" t="inlineStr">
        <is>
          <t>Rhyperior</t>
        </is>
      </c>
      <c r="C268" s="3" t="n">
        <v>30</v>
      </c>
      <c r="D268" s="3" t="inlineStr">
        <is>
          <t>Rock Blast</t>
        </is>
      </c>
      <c r="E268" s="3" t="inlineStr">
        <is>
          <t>MOVE_ROCK_BLAST</t>
        </is>
      </c>
    </row>
    <row r="269">
      <c r="A269" s="3" t="inlineStr">
        <is>
          <t>SPECIES_RHYPERIOR</t>
        </is>
      </c>
      <c r="B269" s="3" t="inlineStr">
        <is>
          <t>Rhyperior</t>
        </is>
      </c>
      <c r="C269" s="3" t="n">
        <v>35</v>
      </c>
      <c r="D269" s="3" t="inlineStr">
        <is>
          <t>Drill Run</t>
        </is>
      </c>
      <c r="E269" s="3" t="inlineStr">
        <is>
          <t>MOVE_DRILL_RUN</t>
        </is>
      </c>
    </row>
    <row r="270">
      <c r="A270" s="3" t="inlineStr">
        <is>
          <t>SPECIES_RHYPERIOR</t>
        </is>
      </c>
      <c r="B270" s="3" t="inlineStr">
        <is>
          <t>Rhyperior</t>
        </is>
      </c>
      <c r="C270" s="3" t="n">
        <v>40</v>
      </c>
      <c r="D270" s="3" t="inlineStr">
        <is>
          <t>Take Down</t>
        </is>
      </c>
      <c r="E270" s="3" t="inlineStr">
        <is>
          <t>MOVE_TAKE_DOWN</t>
        </is>
      </c>
    </row>
    <row r="271">
      <c r="A271" s="3" t="inlineStr">
        <is>
          <t>SPECIES_RHYPERIOR</t>
        </is>
      </c>
      <c r="B271" s="3" t="inlineStr">
        <is>
          <t>Rhyperior</t>
        </is>
      </c>
      <c r="C271" s="3" t="n">
        <v>47</v>
      </c>
      <c r="D271" s="3" t="inlineStr">
        <is>
          <t>Earthquake</t>
        </is>
      </c>
      <c r="E271" s="3" t="inlineStr">
        <is>
          <t>MOVE_EARTHQUAKE</t>
        </is>
      </c>
    </row>
    <row r="272">
      <c r="A272" s="3" t="inlineStr">
        <is>
          <t>SPECIES_RHYPERIOR</t>
        </is>
      </c>
      <c r="B272" s="3" t="inlineStr">
        <is>
          <t>Rhyperior</t>
        </is>
      </c>
      <c r="C272" s="3" t="n">
        <v>54</v>
      </c>
      <c r="D272" s="3" t="inlineStr">
        <is>
          <t>Stone Edge</t>
        </is>
      </c>
      <c r="E272" s="3" t="inlineStr">
        <is>
          <t>MOVE_STONE_EDGE</t>
        </is>
      </c>
    </row>
    <row r="273">
      <c r="A273" s="3" t="inlineStr">
        <is>
          <t>SPECIES_RHYPERIOR</t>
        </is>
      </c>
      <c r="B273" s="3" t="inlineStr">
        <is>
          <t>Rhyperior</t>
        </is>
      </c>
      <c r="C273" s="3" t="n">
        <v>61</v>
      </c>
      <c r="D273" s="3" t="inlineStr">
        <is>
          <t>Megahorn</t>
        </is>
      </c>
      <c r="E273" s="3" t="inlineStr">
        <is>
          <t>MOVE_MEGAHORN</t>
        </is>
      </c>
    </row>
    <row r="274">
      <c r="A274" s="3" t="inlineStr">
        <is>
          <t>SPECIES_RHYPERIOR</t>
        </is>
      </c>
      <c r="B274" s="3" t="inlineStr">
        <is>
          <t>Rhyperior</t>
        </is>
      </c>
      <c r="C274" s="3" t="n">
        <v>68</v>
      </c>
      <c r="D274" s="3" t="inlineStr">
        <is>
          <t>Horn Drill</t>
        </is>
      </c>
      <c r="E274" s="3" t="inlineStr">
        <is>
          <t>MOVE_HORN_DRILL</t>
        </is>
      </c>
    </row>
    <row r="275">
      <c r="A275" s="3" t="inlineStr">
        <is>
          <t>SPECIES_RHYPERIOR</t>
        </is>
      </c>
      <c r="B275" s="3" t="inlineStr">
        <is>
          <t>Rhyperior</t>
        </is>
      </c>
      <c r="C275" s="3" t="n">
        <v>75</v>
      </c>
      <c r="D275" s="3" t="inlineStr">
        <is>
          <t>Rock Wrecker</t>
        </is>
      </c>
      <c r="E275" s="3" t="inlineStr">
        <is>
          <t>MOVE_ROCK_WRECKER</t>
        </is>
      </c>
    </row>
    <row r="276">
      <c r="A276" s="3" t="inlineStr">
        <is>
          <t>SPECIES_ELEKID</t>
        </is>
      </c>
      <c r="B276" s="3" t="inlineStr">
        <is>
          <t>Elekid</t>
        </is>
      </c>
      <c r="C276" s="3" t="n">
        <v>1</v>
      </c>
      <c r="D276" s="3" t="inlineStr">
        <is>
          <t>Leer</t>
        </is>
      </c>
      <c r="E276" s="3" t="inlineStr">
        <is>
          <t>MOVE_LEER</t>
        </is>
      </c>
    </row>
    <row r="277">
      <c r="A277" s="3" t="inlineStr">
        <is>
          <t>SPECIES_ELEKID</t>
        </is>
      </c>
      <c r="B277" s="3" t="inlineStr">
        <is>
          <t>Elekid</t>
        </is>
      </c>
      <c r="C277" s="3" t="n">
        <v>1</v>
      </c>
      <c r="D277" s="3" t="inlineStr">
        <is>
          <t>Quick Attack</t>
        </is>
      </c>
      <c r="E277" s="3" t="inlineStr">
        <is>
          <t>MOVE_QUICK_ATTACK</t>
        </is>
      </c>
    </row>
    <row r="278">
      <c r="A278" s="3" t="inlineStr">
        <is>
          <t>SPECIES_ELEKID</t>
        </is>
      </c>
      <c r="B278" s="3" t="inlineStr">
        <is>
          <t>Elekid</t>
        </is>
      </c>
      <c r="C278" s="3" t="n">
        <v>4</v>
      </c>
      <c r="D278" s="3" t="inlineStr">
        <is>
          <t>Thunder Shock</t>
        </is>
      </c>
      <c r="E278" s="3" t="inlineStr">
        <is>
          <t>MOVE_THUNDER_SHOCK</t>
        </is>
      </c>
    </row>
    <row r="279">
      <c r="A279" s="3" t="inlineStr">
        <is>
          <t>SPECIES_ELEKID</t>
        </is>
      </c>
      <c r="B279" s="3" t="inlineStr">
        <is>
          <t>Elekid</t>
        </is>
      </c>
      <c r="C279" s="3" t="n">
        <v>8</v>
      </c>
      <c r="D279" s="3" t="inlineStr">
        <is>
          <t>Charge</t>
        </is>
      </c>
      <c r="E279" s="3" t="inlineStr">
        <is>
          <t>MOVE_CHARGE</t>
        </is>
      </c>
    </row>
    <row r="280">
      <c r="A280" s="3" t="inlineStr">
        <is>
          <t>SPECIES_ELEKID</t>
        </is>
      </c>
      <c r="B280" s="3" t="inlineStr">
        <is>
          <t>Elekid</t>
        </is>
      </c>
      <c r="C280" s="3" t="n">
        <v>12</v>
      </c>
      <c r="D280" s="3" t="inlineStr">
        <is>
          <t>Swift</t>
        </is>
      </c>
      <c r="E280" s="3" t="inlineStr">
        <is>
          <t>MOVE_SWIFT</t>
        </is>
      </c>
    </row>
    <row r="281">
      <c r="A281" s="3" t="inlineStr">
        <is>
          <t>SPECIES_ELEKID</t>
        </is>
      </c>
      <c r="B281" s="3" t="inlineStr">
        <is>
          <t>Elekid</t>
        </is>
      </c>
      <c r="C281" s="3" t="n">
        <v>16</v>
      </c>
      <c r="D281" s="3" t="inlineStr">
        <is>
          <t>Shock Wave</t>
        </is>
      </c>
      <c r="E281" s="3" t="inlineStr">
        <is>
          <t>MOVE_SHOCK_WAVE</t>
        </is>
      </c>
    </row>
    <row r="282">
      <c r="A282" s="3" t="inlineStr">
        <is>
          <t>SPECIES_ELEKID</t>
        </is>
      </c>
      <c r="B282" s="3" t="inlineStr">
        <is>
          <t>Elekid</t>
        </is>
      </c>
      <c r="C282" s="3" t="n">
        <v>20</v>
      </c>
      <c r="D282" s="3" t="inlineStr">
        <is>
          <t>Thunder Wave</t>
        </is>
      </c>
      <c r="E282" s="3" t="inlineStr">
        <is>
          <t>MOVE_THUNDER_WAVE</t>
        </is>
      </c>
    </row>
    <row r="283">
      <c r="A283" s="3" t="inlineStr">
        <is>
          <t>SPECIES_ELEKID</t>
        </is>
      </c>
      <c r="B283" s="3" t="inlineStr">
        <is>
          <t>Elekid</t>
        </is>
      </c>
      <c r="C283" s="3" t="n">
        <v>24</v>
      </c>
      <c r="D283" s="3" t="inlineStr">
        <is>
          <t>Screech</t>
        </is>
      </c>
      <c r="E283" s="3" t="inlineStr">
        <is>
          <t>MOVE_SCREECH</t>
        </is>
      </c>
    </row>
    <row r="284">
      <c r="A284" s="3" t="inlineStr">
        <is>
          <t>SPECIES_ELEKID</t>
        </is>
      </c>
      <c r="B284" s="3" t="inlineStr">
        <is>
          <t>Elekid</t>
        </is>
      </c>
      <c r="C284" s="3" t="n">
        <v>28</v>
      </c>
      <c r="D284" s="3" t="inlineStr">
        <is>
          <t>Thunder Punch</t>
        </is>
      </c>
      <c r="E284" s="3" t="inlineStr">
        <is>
          <t>MOVE_THUNDER_PUNCH</t>
        </is>
      </c>
    </row>
    <row r="285">
      <c r="A285" s="3" t="inlineStr">
        <is>
          <t>SPECIES_ELEKID</t>
        </is>
      </c>
      <c r="B285" s="3" t="inlineStr">
        <is>
          <t>Elekid</t>
        </is>
      </c>
      <c r="C285" s="3" t="n">
        <v>32</v>
      </c>
      <c r="D285" s="3" t="inlineStr">
        <is>
          <t>Discharge</t>
        </is>
      </c>
      <c r="E285" s="3" t="inlineStr">
        <is>
          <t>MOVE_DISCHARGE</t>
        </is>
      </c>
    </row>
    <row r="286">
      <c r="A286" s="3" t="inlineStr">
        <is>
          <t>SPECIES_ELEKID</t>
        </is>
      </c>
      <c r="B286" s="3" t="inlineStr">
        <is>
          <t>Elekid</t>
        </is>
      </c>
      <c r="C286" s="3" t="n">
        <v>36</v>
      </c>
      <c r="D286" s="3" t="inlineStr">
        <is>
          <t>Low Kick</t>
        </is>
      </c>
      <c r="E286" s="3" t="inlineStr">
        <is>
          <t>MOVE_LOW_KICK</t>
        </is>
      </c>
    </row>
    <row r="287">
      <c r="A287" s="3" t="inlineStr">
        <is>
          <t>SPECIES_ELEKID</t>
        </is>
      </c>
      <c r="B287" s="3" t="inlineStr">
        <is>
          <t>Elekid</t>
        </is>
      </c>
      <c r="C287" s="3" t="n">
        <v>40</v>
      </c>
      <c r="D287" s="3" t="inlineStr">
        <is>
          <t>Thunderbolt</t>
        </is>
      </c>
      <c r="E287" s="3" t="inlineStr">
        <is>
          <t>MOVE_THUNDERBOLT</t>
        </is>
      </c>
    </row>
    <row r="288">
      <c r="A288" s="3" t="inlineStr">
        <is>
          <t>SPECIES_ELEKID</t>
        </is>
      </c>
      <c r="B288" s="3" t="inlineStr">
        <is>
          <t>Elekid</t>
        </is>
      </c>
      <c r="C288" s="3" t="n">
        <v>44</v>
      </c>
      <c r="D288" s="3" t="inlineStr">
        <is>
          <t>Light Screen</t>
        </is>
      </c>
      <c r="E288" s="3" t="inlineStr">
        <is>
          <t>MOVE_LIGHT_SCREEN</t>
        </is>
      </c>
    </row>
    <row r="289">
      <c r="A289" s="3" t="inlineStr">
        <is>
          <t>SPECIES_ELEKID</t>
        </is>
      </c>
      <c r="B289" s="3" t="inlineStr">
        <is>
          <t>Elekid</t>
        </is>
      </c>
      <c r="C289" s="3" t="n">
        <v>48</v>
      </c>
      <c r="D289" s="3" t="inlineStr">
        <is>
          <t>Thunder</t>
        </is>
      </c>
      <c r="E289" s="3" t="inlineStr">
        <is>
          <t>MOVE_THUNDER</t>
        </is>
      </c>
    </row>
    <row r="290">
      <c r="A290" s="3" t="inlineStr">
        <is>
          <t>SPECIES_ELECTABUZZ</t>
        </is>
      </c>
      <c r="B290" s="3" t="inlineStr">
        <is>
          <t>Electabuzz</t>
        </is>
      </c>
      <c r="C290" s="3" t="n">
        <v>1</v>
      </c>
      <c r="D290" s="3" t="inlineStr">
        <is>
          <t>Leer</t>
        </is>
      </c>
      <c r="E290" s="3" t="inlineStr">
        <is>
          <t>MOVE_LEER</t>
        </is>
      </c>
    </row>
    <row r="291">
      <c r="A291" s="3" t="inlineStr">
        <is>
          <t>SPECIES_ELECTABUZZ</t>
        </is>
      </c>
      <c r="B291" s="3" t="inlineStr">
        <is>
          <t>Electabuzz</t>
        </is>
      </c>
      <c r="C291" s="3" t="n">
        <v>1</v>
      </c>
      <c r="D291" s="3" t="inlineStr">
        <is>
          <t>Thunder Shock</t>
        </is>
      </c>
      <c r="E291" s="3" t="inlineStr">
        <is>
          <t>MOVE_THUNDER_SHOCK</t>
        </is>
      </c>
    </row>
    <row r="292">
      <c r="A292" s="3" t="inlineStr">
        <is>
          <t>SPECIES_ELECTABUZZ</t>
        </is>
      </c>
      <c r="B292" s="3" t="inlineStr">
        <is>
          <t>Electabuzz</t>
        </is>
      </c>
      <c r="C292" s="3" t="n">
        <v>1</v>
      </c>
      <c r="D292" s="3" t="inlineStr">
        <is>
          <t>Quick Attack</t>
        </is>
      </c>
      <c r="E292" s="3" t="inlineStr">
        <is>
          <t>MOVE_QUICK_ATTACK</t>
        </is>
      </c>
    </row>
    <row r="293">
      <c r="A293" s="3" t="inlineStr">
        <is>
          <t>SPECIES_ELECTABUZZ</t>
        </is>
      </c>
      <c r="B293" s="3" t="inlineStr">
        <is>
          <t>Electabuzz</t>
        </is>
      </c>
      <c r="C293" s="3" t="n">
        <v>1</v>
      </c>
      <c r="D293" s="3" t="inlineStr">
        <is>
          <t>Charge</t>
        </is>
      </c>
      <c r="E293" s="3" t="inlineStr">
        <is>
          <t>MOVE_CHARGE</t>
        </is>
      </c>
    </row>
    <row r="294">
      <c r="A294" s="3" t="inlineStr">
        <is>
          <t>SPECIES_ELECTABUZZ</t>
        </is>
      </c>
      <c r="B294" s="3" t="inlineStr">
        <is>
          <t>Electabuzz</t>
        </is>
      </c>
      <c r="C294" s="3" t="n">
        <v>12</v>
      </c>
      <c r="D294" s="3" t="inlineStr">
        <is>
          <t>Swift</t>
        </is>
      </c>
      <c r="E294" s="3" t="inlineStr">
        <is>
          <t>MOVE_SWIFT</t>
        </is>
      </c>
    </row>
    <row r="295">
      <c r="A295" s="3" t="inlineStr">
        <is>
          <t>SPECIES_ELECTABUZZ</t>
        </is>
      </c>
      <c r="B295" s="3" t="inlineStr">
        <is>
          <t>Electabuzz</t>
        </is>
      </c>
      <c r="C295" s="3" t="n">
        <v>16</v>
      </c>
      <c r="D295" s="3" t="inlineStr">
        <is>
          <t>Shock Wave</t>
        </is>
      </c>
      <c r="E295" s="3" t="inlineStr">
        <is>
          <t>MOVE_SHOCK_WAVE</t>
        </is>
      </c>
    </row>
    <row r="296">
      <c r="A296" s="3" t="inlineStr">
        <is>
          <t>SPECIES_ELECTABUZZ</t>
        </is>
      </c>
      <c r="B296" s="3" t="inlineStr">
        <is>
          <t>Electabuzz</t>
        </is>
      </c>
      <c r="C296" s="3" t="n">
        <v>20</v>
      </c>
      <c r="D296" s="3" t="inlineStr">
        <is>
          <t>Thunder Wave</t>
        </is>
      </c>
      <c r="E296" s="3" t="inlineStr">
        <is>
          <t>MOVE_THUNDER_WAVE</t>
        </is>
      </c>
    </row>
    <row r="297">
      <c r="A297" s="3" t="inlineStr">
        <is>
          <t>SPECIES_ELECTABUZZ</t>
        </is>
      </c>
      <c r="B297" s="3" t="inlineStr">
        <is>
          <t>Electabuzz</t>
        </is>
      </c>
      <c r="C297" s="3" t="n">
        <v>24</v>
      </c>
      <c r="D297" s="3" t="inlineStr">
        <is>
          <t>Screech</t>
        </is>
      </c>
      <c r="E297" s="3" t="inlineStr">
        <is>
          <t>MOVE_SCREECH</t>
        </is>
      </c>
    </row>
    <row r="298">
      <c r="A298" s="3" t="inlineStr">
        <is>
          <t>SPECIES_ELECTABUZZ</t>
        </is>
      </c>
      <c r="B298" s="3" t="inlineStr">
        <is>
          <t>Electabuzz</t>
        </is>
      </c>
      <c r="C298" s="3" t="n">
        <v>28</v>
      </c>
      <c r="D298" s="3" t="inlineStr">
        <is>
          <t>Thunder Punch</t>
        </is>
      </c>
      <c r="E298" s="3" t="inlineStr">
        <is>
          <t>MOVE_THUNDER_PUNCH</t>
        </is>
      </c>
    </row>
    <row r="299">
      <c r="A299" s="3" t="inlineStr">
        <is>
          <t>SPECIES_ELECTABUZZ</t>
        </is>
      </c>
      <c r="B299" s="3" t="inlineStr">
        <is>
          <t>Electabuzz</t>
        </is>
      </c>
      <c r="C299" s="3" t="n">
        <v>34</v>
      </c>
      <c r="D299" s="3" t="inlineStr">
        <is>
          <t>Discharge</t>
        </is>
      </c>
      <c r="E299" s="3" t="inlineStr">
        <is>
          <t>MOVE_DISCHARGE</t>
        </is>
      </c>
    </row>
    <row r="300">
      <c r="A300" s="3" t="inlineStr">
        <is>
          <t>SPECIES_ELECTABUZZ</t>
        </is>
      </c>
      <c r="B300" s="3" t="inlineStr">
        <is>
          <t>Electabuzz</t>
        </is>
      </c>
      <c r="C300" s="3" t="n">
        <v>40</v>
      </c>
      <c r="D300" s="3" t="inlineStr">
        <is>
          <t>Low Kick</t>
        </is>
      </c>
      <c r="E300" s="3" t="inlineStr">
        <is>
          <t>MOVE_LOW_KICK</t>
        </is>
      </c>
    </row>
    <row r="301">
      <c r="A301" s="3" t="inlineStr">
        <is>
          <t>SPECIES_ELECTABUZZ</t>
        </is>
      </c>
      <c r="B301" s="3" t="inlineStr">
        <is>
          <t>Electabuzz</t>
        </is>
      </c>
      <c r="C301" s="3" t="n">
        <v>46</v>
      </c>
      <c r="D301" s="3" t="inlineStr">
        <is>
          <t>Thunderbolt</t>
        </is>
      </c>
      <c r="E301" s="3" t="inlineStr">
        <is>
          <t>MOVE_THUNDERBOLT</t>
        </is>
      </c>
    </row>
    <row r="302">
      <c r="A302" s="3" t="inlineStr">
        <is>
          <t>SPECIES_ELECTABUZZ</t>
        </is>
      </c>
      <c r="B302" s="3" t="inlineStr">
        <is>
          <t>Electabuzz</t>
        </is>
      </c>
      <c r="C302" s="3" t="n">
        <v>52</v>
      </c>
      <c r="D302" s="3" t="inlineStr">
        <is>
          <t>Light Screen</t>
        </is>
      </c>
      <c r="E302" s="3" t="inlineStr">
        <is>
          <t>MOVE_LIGHT_SCREEN</t>
        </is>
      </c>
    </row>
    <row r="303">
      <c r="A303" s="3" t="inlineStr">
        <is>
          <t>SPECIES_ELECTABUZZ</t>
        </is>
      </c>
      <c r="B303" s="3" t="inlineStr">
        <is>
          <t>Electabuzz</t>
        </is>
      </c>
      <c r="C303" s="3" t="n">
        <v>58</v>
      </c>
      <c r="D303" s="3" t="inlineStr">
        <is>
          <t>Thunder</t>
        </is>
      </c>
      <c r="E303" s="3" t="inlineStr">
        <is>
          <t>MOVE_THUNDER</t>
        </is>
      </c>
    </row>
    <row r="304">
      <c r="A304" s="3" t="inlineStr">
        <is>
          <t>SPECIES_ELECTABUZZ</t>
        </is>
      </c>
      <c r="B304" s="3" t="inlineStr">
        <is>
          <t>Electabuzz</t>
        </is>
      </c>
      <c r="C304" s="3" t="n">
        <v>64</v>
      </c>
      <c r="D304" s="3" t="inlineStr">
        <is>
          <t>Giga Impact</t>
        </is>
      </c>
      <c r="E304" s="3" t="inlineStr">
        <is>
          <t>MOVE_GIGA_IMPACT</t>
        </is>
      </c>
    </row>
    <row r="305">
      <c r="A305" s="3" t="inlineStr">
        <is>
          <t>SPECIES_ELECTIVIRE</t>
        </is>
      </c>
      <c r="B305" s="3" t="inlineStr">
        <is>
          <t>Electivire</t>
        </is>
      </c>
      <c r="C305" s="3" t="n">
        <v>1</v>
      </c>
      <c r="D305" s="3" t="inlineStr">
        <is>
          <t>Leer</t>
        </is>
      </c>
      <c r="E305" s="3" t="inlineStr">
        <is>
          <t>MOVE_LEER</t>
        </is>
      </c>
    </row>
    <row r="306">
      <c r="A306" s="3" t="inlineStr">
        <is>
          <t>SPECIES_ELECTIVIRE</t>
        </is>
      </c>
      <c r="B306" s="3" t="inlineStr">
        <is>
          <t>Electivire</t>
        </is>
      </c>
      <c r="C306" s="3" t="n">
        <v>1</v>
      </c>
      <c r="D306" s="3" t="inlineStr">
        <is>
          <t>Thunder Shock</t>
        </is>
      </c>
      <c r="E306" s="3" t="inlineStr">
        <is>
          <t>MOVE_THUNDER_SHOCK</t>
        </is>
      </c>
    </row>
    <row r="307">
      <c r="A307" s="3" t="inlineStr">
        <is>
          <t>SPECIES_ELECTIVIRE</t>
        </is>
      </c>
      <c r="B307" s="3" t="inlineStr">
        <is>
          <t>Electivire</t>
        </is>
      </c>
      <c r="C307" s="3" t="n">
        <v>1</v>
      </c>
      <c r="D307" s="3" t="inlineStr">
        <is>
          <t>Quick Attack</t>
        </is>
      </c>
      <c r="E307" s="3" t="inlineStr">
        <is>
          <t>MOVE_QUICK_ATTACK</t>
        </is>
      </c>
    </row>
    <row r="308">
      <c r="A308" s="3" t="inlineStr">
        <is>
          <t>SPECIES_ELECTIVIRE</t>
        </is>
      </c>
      <c r="B308" s="3" t="inlineStr">
        <is>
          <t>Electivire</t>
        </is>
      </c>
      <c r="C308" s="3" t="n">
        <v>1</v>
      </c>
      <c r="D308" s="3" t="inlineStr">
        <is>
          <t>Charge</t>
        </is>
      </c>
      <c r="E308" s="3" t="inlineStr">
        <is>
          <t>MOVE_CHARGE</t>
        </is>
      </c>
    </row>
    <row r="309">
      <c r="A309" s="3" t="inlineStr">
        <is>
          <t>SPECIES_ELECTIVIRE</t>
        </is>
      </c>
      <c r="B309" s="3" t="inlineStr">
        <is>
          <t>Electivire</t>
        </is>
      </c>
      <c r="C309" s="3" t="n">
        <v>12</v>
      </c>
      <c r="D309" s="3" t="inlineStr">
        <is>
          <t>Swift</t>
        </is>
      </c>
      <c r="E309" s="3" t="inlineStr">
        <is>
          <t>MOVE_SWIFT</t>
        </is>
      </c>
    </row>
    <row r="310">
      <c r="A310" s="3" t="inlineStr">
        <is>
          <t>SPECIES_ELECTIVIRE</t>
        </is>
      </c>
      <c r="B310" s="3" t="inlineStr">
        <is>
          <t>Electivire</t>
        </is>
      </c>
      <c r="C310" s="3" t="n">
        <v>16</v>
      </c>
      <c r="D310" s="3" t="inlineStr">
        <is>
          <t>Shock Wave</t>
        </is>
      </c>
      <c r="E310" s="3" t="inlineStr">
        <is>
          <t>MOVE_SHOCK_WAVE</t>
        </is>
      </c>
    </row>
    <row r="311">
      <c r="A311" s="3" t="inlineStr">
        <is>
          <t>SPECIES_ELECTIVIRE</t>
        </is>
      </c>
      <c r="B311" s="3" t="inlineStr">
        <is>
          <t>Electivire</t>
        </is>
      </c>
      <c r="C311" s="3" t="n">
        <v>20</v>
      </c>
      <c r="D311" s="3" t="inlineStr">
        <is>
          <t>Thunder Wave</t>
        </is>
      </c>
      <c r="E311" s="3" t="inlineStr">
        <is>
          <t>MOVE_THUNDER_WAVE</t>
        </is>
      </c>
    </row>
    <row r="312">
      <c r="A312" s="3" t="inlineStr">
        <is>
          <t>SPECIES_ELECTIVIRE</t>
        </is>
      </c>
      <c r="B312" s="3" t="inlineStr">
        <is>
          <t>Electivire</t>
        </is>
      </c>
      <c r="C312" s="3" t="n">
        <v>24</v>
      </c>
      <c r="D312" s="3" t="inlineStr">
        <is>
          <t>Screech</t>
        </is>
      </c>
      <c r="E312" s="3" t="inlineStr">
        <is>
          <t>MOVE_SCREECH</t>
        </is>
      </c>
    </row>
    <row r="313">
      <c r="A313" s="3" t="inlineStr">
        <is>
          <t>SPECIES_ELECTIVIRE</t>
        </is>
      </c>
      <c r="B313" s="3" t="inlineStr">
        <is>
          <t>Electivire</t>
        </is>
      </c>
      <c r="C313" s="3" t="n">
        <v>28</v>
      </c>
      <c r="D313" s="3" t="inlineStr">
        <is>
          <t>Thunder Punch</t>
        </is>
      </c>
      <c r="E313" s="3" t="inlineStr">
        <is>
          <t>MOVE_THUNDER_PUNCH</t>
        </is>
      </c>
    </row>
    <row r="314">
      <c r="A314" s="3" t="inlineStr">
        <is>
          <t>SPECIES_ELECTIVIRE</t>
        </is>
      </c>
      <c r="B314" s="3" t="inlineStr">
        <is>
          <t>Electivire</t>
        </is>
      </c>
      <c r="C314" s="3" t="n">
        <v>34</v>
      </c>
      <c r="D314" s="3" t="inlineStr">
        <is>
          <t>Discharge</t>
        </is>
      </c>
      <c r="E314" s="3" t="inlineStr">
        <is>
          <t>MOVE_DISCHARGE</t>
        </is>
      </c>
    </row>
    <row r="315">
      <c r="A315" s="3" t="inlineStr">
        <is>
          <t>SPECIES_ELECTIVIRE</t>
        </is>
      </c>
      <c r="B315" s="3" t="inlineStr">
        <is>
          <t>Electivire</t>
        </is>
      </c>
      <c r="C315" s="3" t="n">
        <v>40</v>
      </c>
      <c r="D315" s="3" t="inlineStr">
        <is>
          <t>Low Kick</t>
        </is>
      </c>
      <c r="E315" s="3" t="inlineStr">
        <is>
          <t>MOVE_LOW_KICK</t>
        </is>
      </c>
    </row>
    <row r="316">
      <c r="A316" s="3" t="inlineStr">
        <is>
          <t>SPECIES_ELECTIVIRE</t>
        </is>
      </c>
      <c r="B316" s="3" t="inlineStr">
        <is>
          <t>Electivire</t>
        </is>
      </c>
      <c r="C316" s="3" t="n">
        <v>46</v>
      </c>
      <c r="D316" s="3" t="inlineStr">
        <is>
          <t>Thunderbolt</t>
        </is>
      </c>
      <c r="E316" s="3" t="inlineStr">
        <is>
          <t>MOVE_THUNDERBOLT</t>
        </is>
      </c>
    </row>
    <row r="317">
      <c r="A317" s="3" t="inlineStr">
        <is>
          <t>SPECIES_ELECTIVIRE</t>
        </is>
      </c>
      <c r="B317" s="3" t="inlineStr">
        <is>
          <t>Electivire</t>
        </is>
      </c>
      <c r="C317" s="3" t="n">
        <v>52</v>
      </c>
      <c r="D317" s="3" t="inlineStr">
        <is>
          <t>Light Screen</t>
        </is>
      </c>
      <c r="E317" s="3" t="inlineStr">
        <is>
          <t>MOVE_LIGHT_SCREEN</t>
        </is>
      </c>
    </row>
    <row r="318">
      <c r="A318" s="3" t="inlineStr">
        <is>
          <t>SPECIES_ELECTIVIRE</t>
        </is>
      </c>
      <c r="B318" s="3" t="inlineStr">
        <is>
          <t>Electivire</t>
        </is>
      </c>
      <c r="C318" s="3" t="n">
        <v>58</v>
      </c>
      <c r="D318" s="3" t="inlineStr">
        <is>
          <t>Thunder</t>
        </is>
      </c>
      <c r="E318" s="3" t="inlineStr">
        <is>
          <t>MOVE_THUNDER</t>
        </is>
      </c>
    </row>
    <row r="319">
      <c r="A319" s="3" t="inlineStr">
        <is>
          <t>SPECIES_ELECTIVIRE</t>
        </is>
      </c>
      <c r="B319" s="3" t="inlineStr">
        <is>
          <t>Electivire</t>
        </is>
      </c>
      <c r="C319" s="3" t="n">
        <v>64</v>
      </c>
      <c r="D319" s="3" t="inlineStr">
        <is>
          <t>Giga Impact</t>
        </is>
      </c>
      <c r="E319" s="3" t="inlineStr">
        <is>
          <t>MOVE_GIGA_IMPACT</t>
        </is>
      </c>
    </row>
    <row r="320">
      <c r="A320" s="3" t="inlineStr">
        <is>
          <t>SPECIES_MAGBY</t>
        </is>
      </c>
      <c r="B320" s="3" t="inlineStr">
        <is>
          <t>Magby</t>
        </is>
      </c>
      <c r="C320" s="3" t="n">
        <v>1</v>
      </c>
      <c r="D320" s="3" t="inlineStr">
        <is>
          <t>Leer</t>
        </is>
      </c>
      <c r="E320" s="3" t="inlineStr">
        <is>
          <t>MOVE_LEER</t>
        </is>
      </c>
    </row>
    <row r="321">
      <c r="A321" s="3" t="inlineStr">
        <is>
          <t>SPECIES_MAGBY</t>
        </is>
      </c>
      <c r="B321" s="3" t="inlineStr">
        <is>
          <t>Magby</t>
        </is>
      </c>
      <c r="C321" s="3" t="n">
        <v>1</v>
      </c>
      <c r="D321" s="3" t="inlineStr">
        <is>
          <t>Smog</t>
        </is>
      </c>
      <c r="E321" s="3" t="inlineStr">
        <is>
          <t>MOVE_SMOG</t>
        </is>
      </c>
    </row>
    <row r="322">
      <c r="A322" s="3" t="inlineStr">
        <is>
          <t>SPECIES_MAGBY</t>
        </is>
      </c>
      <c r="B322" s="3" t="inlineStr">
        <is>
          <t>Magby</t>
        </is>
      </c>
      <c r="C322" s="3" t="n">
        <v>4</v>
      </c>
      <c r="D322" s="3" t="inlineStr">
        <is>
          <t>Ember</t>
        </is>
      </c>
      <c r="E322" s="3" t="inlineStr">
        <is>
          <t>MOVE_EMBER</t>
        </is>
      </c>
    </row>
    <row r="323">
      <c r="A323" s="3" t="inlineStr">
        <is>
          <t>SPECIES_MAGBY</t>
        </is>
      </c>
      <c r="B323" s="3" t="inlineStr">
        <is>
          <t>Magby</t>
        </is>
      </c>
      <c r="C323" s="3" t="n">
        <v>8</v>
      </c>
      <c r="D323" s="3" t="inlineStr">
        <is>
          <t>Smokescreen</t>
        </is>
      </c>
      <c r="E323" s="3" t="inlineStr">
        <is>
          <t>MOVE_SMOKESCREEN</t>
        </is>
      </c>
    </row>
    <row r="324">
      <c r="A324" s="3" t="inlineStr">
        <is>
          <t>SPECIES_MAGBY</t>
        </is>
      </c>
      <c r="B324" s="3" t="inlineStr">
        <is>
          <t>Magby</t>
        </is>
      </c>
      <c r="C324" s="3" t="n">
        <v>12</v>
      </c>
      <c r="D324" s="3" t="inlineStr">
        <is>
          <t>Clear Smog</t>
        </is>
      </c>
      <c r="E324" s="3" t="inlineStr">
        <is>
          <t>MOVE_CLEAR_SMOG</t>
        </is>
      </c>
    </row>
    <row r="325">
      <c r="A325" s="3" t="inlineStr">
        <is>
          <t>SPECIES_MAGBY</t>
        </is>
      </c>
      <c r="B325" s="3" t="inlineStr">
        <is>
          <t>Magby</t>
        </is>
      </c>
      <c r="C325" s="3" t="n">
        <v>16</v>
      </c>
      <c r="D325" s="3" t="inlineStr">
        <is>
          <t>Flame Wheel</t>
        </is>
      </c>
      <c r="E325" s="3" t="inlineStr">
        <is>
          <t>MOVE_FLAME_WHEEL</t>
        </is>
      </c>
    </row>
    <row r="326">
      <c r="A326" s="3" t="inlineStr">
        <is>
          <t>SPECIES_MAGBY</t>
        </is>
      </c>
      <c r="B326" s="3" t="inlineStr">
        <is>
          <t>Magby</t>
        </is>
      </c>
      <c r="C326" s="3" t="n">
        <v>20</v>
      </c>
      <c r="D326" s="3" t="inlineStr">
        <is>
          <t>Confuse Ray</t>
        </is>
      </c>
      <c r="E326" s="3" t="inlineStr">
        <is>
          <t>MOVE_CONFUSE_RAY</t>
        </is>
      </c>
    </row>
    <row r="327">
      <c r="A327" s="3" t="inlineStr">
        <is>
          <t>SPECIES_MAGBY</t>
        </is>
      </c>
      <c r="B327" s="3" t="inlineStr">
        <is>
          <t>Magby</t>
        </is>
      </c>
      <c r="C327" s="3" t="n">
        <v>24</v>
      </c>
      <c r="D327" s="3" t="inlineStr">
        <is>
          <t>Scary Face</t>
        </is>
      </c>
      <c r="E327" s="3" t="inlineStr">
        <is>
          <t>MOVE_SCARY_FACE</t>
        </is>
      </c>
    </row>
    <row r="328">
      <c r="A328" s="3" t="inlineStr">
        <is>
          <t>SPECIES_MAGBY</t>
        </is>
      </c>
      <c r="B328" s="3" t="inlineStr">
        <is>
          <t>Magby</t>
        </is>
      </c>
      <c r="C328" s="3" t="n">
        <v>28</v>
      </c>
      <c r="D328" s="3" t="inlineStr">
        <is>
          <t>Fire Punch</t>
        </is>
      </c>
      <c r="E328" s="3" t="inlineStr">
        <is>
          <t>MOVE_FIRE_PUNCH</t>
        </is>
      </c>
    </row>
    <row r="329">
      <c r="A329" s="3" t="inlineStr">
        <is>
          <t>SPECIES_MAGBY</t>
        </is>
      </c>
      <c r="B329" s="3" t="inlineStr">
        <is>
          <t>Magby</t>
        </is>
      </c>
      <c r="C329" s="3" t="n">
        <v>32</v>
      </c>
      <c r="D329" s="3" t="inlineStr">
        <is>
          <t>Lava Plume</t>
        </is>
      </c>
      <c r="E329" s="3" t="inlineStr">
        <is>
          <t>MOVE_LAVA_PLUME</t>
        </is>
      </c>
    </row>
    <row r="330">
      <c r="A330" s="3" t="inlineStr">
        <is>
          <t>SPECIES_MAGBY</t>
        </is>
      </c>
      <c r="B330" s="3" t="inlineStr">
        <is>
          <t>Magby</t>
        </is>
      </c>
      <c r="C330" s="3" t="n">
        <v>36</v>
      </c>
      <c r="D330" s="3" t="inlineStr">
        <is>
          <t>Low Kick</t>
        </is>
      </c>
      <c r="E330" s="3" t="inlineStr">
        <is>
          <t>MOVE_LOW_KICK</t>
        </is>
      </c>
    </row>
    <row r="331">
      <c r="A331" s="3" t="inlineStr">
        <is>
          <t>SPECIES_MAGBY</t>
        </is>
      </c>
      <c r="B331" s="3" t="inlineStr">
        <is>
          <t>Magby</t>
        </is>
      </c>
      <c r="C331" s="3" t="n">
        <v>40</v>
      </c>
      <c r="D331" s="3" t="inlineStr">
        <is>
          <t>Flamethrower</t>
        </is>
      </c>
      <c r="E331" s="3" t="inlineStr">
        <is>
          <t>MOVE_FLAMETHROWER</t>
        </is>
      </c>
    </row>
    <row r="332">
      <c r="A332" s="3" t="inlineStr">
        <is>
          <t>SPECIES_MAGBY</t>
        </is>
      </c>
      <c r="B332" s="3" t="inlineStr">
        <is>
          <t>Magby</t>
        </is>
      </c>
      <c r="C332" s="3" t="n">
        <v>44</v>
      </c>
      <c r="D332" s="3" t="inlineStr">
        <is>
          <t>Sunny Day</t>
        </is>
      </c>
      <c r="E332" s="3" t="inlineStr">
        <is>
          <t>MOVE_SUNNY_DAY</t>
        </is>
      </c>
    </row>
    <row r="333">
      <c r="A333" s="3" t="inlineStr">
        <is>
          <t>SPECIES_MAGBY</t>
        </is>
      </c>
      <c r="B333" s="3" t="inlineStr">
        <is>
          <t>Magby</t>
        </is>
      </c>
      <c r="C333" s="3" t="n">
        <v>48</v>
      </c>
      <c r="D333" s="3" t="inlineStr">
        <is>
          <t>Fire Blast</t>
        </is>
      </c>
      <c r="E333" s="3" t="inlineStr">
        <is>
          <t>MOVE_FIRE_BLAST</t>
        </is>
      </c>
    </row>
    <row r="334">
      <c r="A334" s="3" t="inlineStr">
        <is>
          <t>SPECIES_MAGMAR</t>
        </is>
      </c>
      <c r="B334" s="3" t="inlineStr">
        <is>
          <t>Magmar</t>
        </is>
      </c>
      <c r="C334" s="3" t="n">
        <v>1</v>
      </c>
      <c r="D334" s="3" t="inlineStr">
        <is>
          <t>Leer</t>
        </is>
      </c>
      <c r="E334" s="3" t="inlineStr">
        <is>
          <t>MOVE_LEER</t>
        </is>
      </c>
    </row>
    <row r="335">
      <c r="A335" s="3" t="inlineStr">
        <is>
          <t>SPECIES_MAGMAR</t>
        </is>
      </c>
      <c r="B335" s="3" t="inlineStr">
        <is>
          <t>Magmar</t>
        </is>
      </c>
      <c r="C335" s="3" t="n">
        <v>1</v>
      </c>
      <c r="D335" s="3" t="inlineStr">
        <is>
          <t>Ember</t>
        </is>
      </c>
      <c r="E335" s="3" t="inlineStr">
        <is>
          <t>MOVE_EMBER</t>
        </is>
      </c>
    </row>
    <row r="336">
      <c r="A336" s="3" t="inlineStr">
        <is>
          <t>SPECIES_MAGMAR</t>
        </is>
      </c>
      <c r="B336" s="3" t="inlineStr">
        <is>
          <t>Magmar</t>
        </is>
      </c>
      <c r="C336" s="3" t="n">
        <v>1</v>
      </c>
      <c r="D336" s="3" t="inlineStr">
        <is>
          <t>Smokescreen</t>
        </is>
      </c>
      <c r="E336" s="3" t="inlineStr">
        <is>
          <t>MOVE_SMOKESCREEN</t>
        </is>
      </c>
    </row>
    <row r="337">
      <c r="A337" s="3" t="inlineStr">
        <is>
          <t>SPECIES_MAGMAR</t>
        </is>
      </c>
      <c r="B337" s="3" t="inlineStr">
        <is>
          <t>Magmar</t>
        </is>
      </c>
      <c r="C337" s="3" t="n">
        <v>1</v>
      </c>
      <c r="D337" s="3" t="inlineStr">
        <is>
          <t>Smog</t>
        </is>
      </c>
      <c r="E337" s="3" t="inlineStr">
        <is>
          <t>MOVE_SMOG</t>
        </is>
      </c>
    </row>
    <row r="338">
      <c r="A338" s="3" t="inlineStr">
        <is>
          <t>SPECIES_MAGMAR</t>
        </is>
      </c>
      <c r="B338" s="3" t="inlineStr">
        <is>
          <t>Magmar</t>
        </is>
      </c>
      <c r="C338" s="3" t="n">
        <v>12</v>
      </c>
      <c r="D338" s="3" t="inlineStr">
        <is>
          <t>Clear Smog</t>
        </is>
      </c>
      <c r="E338" s="3" t="inlineStr">
        <is>
          <t>MOVE_CLEAR_SMOG</t>
        </is>
      </c>
    </row>
    <row r="339">
      <c r="A339" s="3" t="inlineStr">
        <is>
          <t>SPECIES_MAGMAR</t>
        </is>
      </c>
      <c r="B339" s="3" t="inlineStr">
        <is>
          <t>Magmar</t>
        </is>
      </c>
      <c r="C339" s="3" t="n">
        <v>16</v>
      </c>
      <c r="D339" s="3" t="inlineStr">
        <is>
          <t>Flame Wheel</t>
        </is>
      </c>
      <c r="E339" s="3" t="inlineStr">
        <is>
          <t>MOVE_FLAME_WHEEL</t>
        </is>
      </c>
    </row>
    <row r="340">
      <c r="A340" s="3" t="inlineStr">
        <is>
          <t>SPECIES_MAGMAR</t>
        </is>
      </c>
      <c r="B340" s="3" t="inlineStr">
        <is>
          <t>Magmar</t>
        </is>
      </c>
      <c r="C340" s="3" t="n">
        <v>20</v>
      </c>
      <c r="D340" s="3" t="inlineStr">
        <is>
          <t>Confuse Ray</t>
        </is>
      </c>
      <c r="E340" s="3" t="inlineStr">
        <is>
          <t>MOVE_CONFUSE_RAY</t>
        </is>
      </c>
    </row>
    <row r="341">
      <c r="A341" s="3" t="inlineStr">
        <is>
          <t>SPECIES_MAGMAR</t>
        </is>
      </c>
      <c r="B341" s="3" t="inlineStr">
        <is>
          <t>Magmar</t>
        </is>
      </c>
      <c r="C341" s="3" t="n">
        <v>24</v>
      </c>
      <c r="D341" s="3" t="inlineStr">
        <is>
          <t>Scary Face</t>
        </is>
      </c>
      <c r="E341" s="3" t="inlineStr">
        <is>
          <t>MOVE_SCARY_FACE</t>
        </is>
      </c>
    </row>
    <row r="342">
      <c r="A342" s="3" t="inlineStr">
        <is>
          <t>SPECIES_MAGMAR</t>
        </is>
      </c>
      <c r="B342" s="3" t="inlineStr">
        <is>
          <t>Magmar</t>
        </is>
      </c>
      <c r="C342" s="3" t="n">
        <v>28</v>
      </c>
      <c r="D342" s="3" t="inlineStr">
        <is>
          <t>Fire Punch</t>
        </is>
      </c>
      <c r="E342" s="3" t="inlineStr">
        <is>
          <t>MOVE_FIRE_PUNCH</t>
        </is>
      </c>
    </row>
    <row r="343">
      <c r="A343" s="3" t="inlineStr">
        <is>
          <t>SPECIES_MAGMAR</t>
        </is>
      </c>
      <c r="B343" s="3" t="inlineStr">
        <is>
          <t>Magmar</t>
        </is>
      </c>
      <c r="C343" s="3" t="n">
        <v>34</v>
      </c>
      <c r="D343" s="3" t="inlineStr">
        <is>
          <t>Lava Plume</t>
        </is>
      </c>
      <c r="E343" s="3" t="inlineStr">
        <is>
          <t>MOVE_LAVA_PLUME</t>
        </is>
      </c>
    </row>
    <row r="344">
      <c r="A344" s="3" t="inlineStr">
        <is>
          <t>SPECIES_MAGMAR</t>
        </is>
      </c>
      <c r="B344" s="3" t="inlineStr">
        <is>
          <t>Magmar</t>
        </is>
      </c>
      <c r="C344" s="3" t="n">
        <v>40</v>
      </c>
      <c r="D344" s="3" t="inlineStr">
        <is>
          <t>Low Kick</t>
        </is>
      </c>
      <c r="E344" s="3" t="inlineStr">
        <is>
          <t>MOVE_LOW_KICK</t>
        </is>
      </c>
    </row>
    <row r="345">
      <c r="A345" s="3" t="inlineStr">
        <is>
          <t>SPECIES_MAGMAR</t>
        </is>
      </c>
      <c r="B345" s="3" t="inlineStr">
        <is>
          <t>Magmar</t>
        </is>
      </c>
      <c r="C345" s="3" t="n">
        <v>46</v>
      </c>
      <c r="D345" s="3" t="inlineStr">
        <is>
          <t>Flamethrower</t>
        </is>
      </c>
      <c r="E345" s="3" t="inlineStr">
        <is>
          <t>MOVE_FLAMETHROWER</t>
        </is>
      </c>
    </row>
    <row r="346">
      <c r="A346" s="3" t="inlineStr">
        <is>
          <t>SPECIES_MAGMAR</t>
        </is>
      </c>
      <c r="B346" s="3" t="inlineStr">
        <is>
          <t>Magmar</t>
        </is>
      </c>
      <c r="C346" s="3" t="n">
        <v>52</v>
      </c>
      <c r="D346" s="3" t="inlineStr">
        <is>
          <t>Sunny Day</t>
        </is>
      </c>
      <c r="E346" s="3" t="inlineStr">
        <is>
          <t>MOVE_SUNNY_DAY</t>
        </is>
      </c>
    </row>
    <row r="347">
      <c r="A347" s="3" t="inlineStr">
        <is>
          <t>SPECIES_MAGMAR</t>
        </is>
      </c>
      <c r="B347" s="3" t="inlineStr">
        <is>
          <t>Magmar</t>
        </is>
      </c>
      <c r="C347" s="3" t="n">
        <v>58</v>
      </c>
      <c r="D347" s="3" t="inlineStr">
        <is>
          <t>Fire Blast</t>
        </is>
      </c>
      <c r="E347" s="3" t="inlineStr">
        <is>
          <t>MOVE_FIRE_BLAST</t>
        </is>
      </c>
    </row>
    <row r="348">
      <c r="A348" s="3" t="inlineStr">
        <is>
          <t>SPECIES_MAGMAR</t>
        </is>
      </c>
      <c r="B348" s="3" t="inlineStr">
        <is>
          <t>Magmar</t>
        </is>
      </c>
      <c r="C348" s="3" t="n">
        <v>64</v>
      </c>
      <c r="D348" s="3" t="inlineStr">
        <is>
          <t>Hyper Beam</t>
        </is>
      </c>
      <c r="E348" s="3" t="inlineStr">
        <is>
          <t>MOVE_HYPER_BEAM</t>
        </is>
      </c>
    </row>
    <row r="349">
      <c r="A349" s="3" t="inlineStr">
        <is>
          <t>SPECIES_MAGMORTAR</t>
        </is>
      </c>
      <c r="B349" s="3" t="inlineStr">
        <is>
          <t>Magmortar</t>
        </is>
      </c>
      <c r="C349" s="3" t="n">
        <v>1</v>
      </c>
      <c r="D349" s="3" t="inlineStr">
        <is>
          <t>Leer</t>
        </is>
      </c>
      <c r="E349" s="3" t="inlineStr">
        <is>
          <t>MOVE_LEER</t>
        </is>
      </c>
    </row>
    <row r="350">
      <c r="A350" s="3" t="inlineStr">
        <is>
          <t>SPECIES_MAGMORTAR</t>
        </is>
      </c>
      <c r="B350" s="3" t="inlineStr">
        <is>
          <t>Magmortar</t>
        </is>
      </c>
      <c r="C350" s="3" t="n">
        <v>1</v>
      </c>
      <c r="D350" s="3" t="inlineStr">
        <is>
          <t>Ember</t>
        </is>
      </c>
      <c r="E350" s="3" t="inlineStr">
        <is>
          <t>MOVE_EMBER</t>
        </is>
      </c>
    </row>
    <row r="351">
      <c r="A351" s="3" t="inlineStr">
        <is>
          <t>SPECIES_MAGMORTAR</t>
        </is>
      </c>
      <c r="B351" s="3" t="inlineStr">
        <is>
          <t>Magmortar</t>
        </is>
      </c>
      <c r="C351" s="3" t="n">
        <v>1</v>
      </c>
      <c r="D351" s="3" t="inlineStr">
        <is>
          <t>Smokescreen</t>
        </is>
      </c>
      <c r="E351" s="3" t="inlineStr">
        <is>
          <t>MOVE_SMOKESCREEN</t>
        </is>
      </c>
    </row>
    <row r="352">
      <c r="A352" s="3" t="inlineStr">
        <is>
          <t>SPECIES_MAGMORTAR</t>
        </is>
      </c>
      <c r="B352" s="3" t="inlineStr">
        <is>
          <t>Magmortar</t>
        </is>
      </c>
      <c r="C352" s="3" t="n">
        <v>1</v>
      </c>
      <c r="D352" s="3" t="inlineStr">
        <is>
          <t>Smog</t>
        </is>
      </c>
      <c r="E352" s="3" t="inlineStr">
        <is>
          <t>MOVE_SMOG</t>
        </is>
      </c>
    </row>
    <row r="353">
      <c r="A353" s="3" t="inlineStr">
        <is>
          <t>SPECIES_MAGMORTAR</t>
        </is>
      </c>
      <c r="B353" s="3" t="inlineStr">
        <is>
          <t>Magmortar</t>
        </is>
      </c>
      <c r="C353" s="3" t="n">
        <v>12</v>
      </c>
      <c r="D353" s="3" t="inlineStr">
        <is>
          <t>Clear Smog</t>
        </is>
      </c>
      <c r="E353" s="3" t="inlineStr">
        <is>
          <t>MOVE_CLEAR_SMOG</t>
        </is>
      </c>
    </row>
    <row r="354">
      <c r="A354" s="3" t="inlineStr">
        <is>
          <t>SPECIES_MAGMORTAR</t>
        </is>
      </c>
      <c r="B354" s="3" t="inlineStr">
        <is>
          <t>Magmortar</t>
        </is>
      </c>
      <c r="C354" s="3" t="n">
        <v>16</v>
      </c>
      <c r="D354" s="3" t="inlineStr">
        <is>
          <t>Flame Wheel</t>
        </is>
      </c>
      <c r="E354" s="3" t="inlineStr">
        <is>
          <t>MOVE_FLAME_WHEEL</t>
        </is>
      </c>
    </row>
    <row r="355">
      <c r="A355" s="3" t="inlineStr">
        <is>
          <t>SPECIES_MAGMORTAR</t>
        </is>
      </c>
      <c r="B355" s="3" t="inlineStr">
        <is>
          <t>Magmortar</t>
        </is>
      </c>
      <c r="C355" s="3" t="n">
        <v>20</v>
      </c>
      <c r="D355" s="3" t="inlineStr">
        <is>
          <t>Confuse Ray</t>
        </is>
      </c>
      <c r="E355" s="3" t="inlineStr">
        <is>
          <t>MOVE_CONFUSE_RAY</t>
        </is>
      </c>
    </row>
    <row r="356">
      <c r="A356" s="3" t="inlineStr">
        <is>
          <t>SPECIES_MAGMORTAR</t>
        </is>
      </c>
      <c r="B356" s="3" t="inlineStr">
        <is>
          <t>Magmortar</t>
        </is>
      </c>
      <c r="C356" s="3" t="n">
        <v>24</v>
      </c>
      <c r="D356" s="3" t="inlineStr">
        <is>
          <t>Scary Face</t>
        </is>
      </c>
      <c r="E356" s="3" t="inlineStr">
        <is>
          <t>MOVE_SCARY_FACE</t>
        </is>
      </c>
    </row>
    <row r="357">
      <c r="A357" s="3" t="inlineStr">
        <is>
          <t>SPECIES_MAGMORTAR</t>
        </is>
      </c>
      <c r="B357" s="3" t="inlineStr">
        <is>
          <t>Magmortar</t>
        </is>
      </c>
      <c r="C357" s="3" t="n">
        <v>28</v>
      </c>
      <c r="D357" s="3" t="inlineStr">
        <is>
          <t>Fire Punch</t>
        </is>
      </c>
      <c r="E357" s="3" t="inlineStr">
        <is>
          <t>MOVE_FIRE_PUNCH</t>
        </is>
      </c>
    </row>
    <row r="358">
      <c r="A358" s="3" t="inlineStr">
        <is>
          <t>SPECIES_MAGMORTAR</t>
        </is>
      </c>
      <c r="B358" s="3" t="inlineStr">
        <is>
          <t>Magmortar</t>
        </is>
      </c>
      <c r="C358" s="3" t="n">
        <v>34</v>
      </c>
      <c r="D358" s="3" t="inlineStr">
        <is>
          <t>Lava Plume</t>
        </is>
      </c>
      <c r="E358" s="3" t="inlineStr">
        <is>
          <t>MOVE_LAVA_PLUME</t>
        </is>
      </c>
    </row>
    <row r="359">
      <c r="A359" s="3" t="inlineStr">
        <is>
          <t>SPECIES_MAGMORTAR</t>
        </is>
      </c>
      <c r="B359" s="3" t="inlineStr">
        <is>
          <t>Magmortar</t>
        </is>
      </c>
      <c r="C359" s="3" t="n">
        <v>40</v>
      </c>
      <c r="D359" s="3" t="inlineStr">
        <is>
          <t>Low Kick</t>
        </is>
      </c>
      <c r="E359" s="3" t="inlineStr">
        <is>
          <t>MOVE_LOW_KICK</t>
        </is>
      </c>
    </row>
    <row r="360">
      <c r="A360" s="3" t="inlineStr">
        <is>
          <t>SPECIES_MAGMORTAR</t>
        </is>
      </c>
      <c r="B360" s="3" t="inlineStr">
        <is>
          <t>Magmortar</t>
        </is>
      </c>
      <c r="C360" s="3" t="n">
        <v>46</v>
      </c>
      <c r="D360" s="3" t="inlineStr">
        <is>
          <t>Flamethrower</t>
        </is>
      </c>
      <c r="E360" s="3" t="inlineStr">
        <is>
          <t>MOVE_FLAMETHROWER</t>
        </is>
      </c>
    </row>
    <row r="361">
      <c r="A361" s="3" t="inlineStr">
        <is>
          <t>SPECIES_MAGMORTAR</t>
        </is>
      </c>
      <c r="B361" s="3" t="inlineStr">
        <is>
          <t>Magmortar</t>
        </is>
      </c>
      <c r="C361" s="3" t="n">
        <v>52</v>
      </c>
      <c r="D361" s="3" t="inlineStr">
        <is>
          <t>Sunny Day</t>
        </is>
      </c>
      <c r="E361" s="3" t="inlineStr">
        <is>
          <t>MOVE_SUNNY_DAY</t>
        </is>
      </c>
    </row>
    <row r="362">
      <c r="A362" s="3" t="inlineStr">
        <is>
          <t>SPECIES_MAGMORTAR</t>
        </is>
      </c>
      <c r="B362" s="3" t="inlineStr">
        <is>
          <t>Magmortar</t>
        </is>
      </c>
      <c r="C362" s="3" t="n">
        <v>58</v>
      </c>
      <c r="D362" s="3" t="inlineStr">
        <is>
          <t>Fire Blast</t>
        </is>
      </c>
      <c r="E362" s="3" t="inlineStr">
        <is>
          <t>MOVE_FIRE_BLAST</t>
        </is>
      </c>
    </row>
    <row r="363">
      <c r="A363" s="3" t="inlineStr">
        <is>
          <t>SPECIES_MAGMORTAR</t>
        </is>
      </c>
      <c r="B363" s="3" t="inlineStr">
        <is>
          <t>Magmortar</t>
        </is>
      </c>
      <c r="C363" s="3" t="n">
        <v>64</v>
      </c>
      <c r="D363" s="3" t="inlineStr">
        <is>
          <t>Hyper Beam</t>
        </is>
      </c>
      <c r="E363" s="3" t="inlineStr">
        <is>
          <t>MOVE_HYPER_BEAM</t>
        </is>
      </c>
    </row>
    <row r="364">
      <c r="A364" s="3" t="inlineStr">
        <is>
          <t>SPECIES_MAGIKARP</t>
        </is>
      </c>
      <c r="B364" s="3" t="inlineStr">
        <is>
          <t>Magikarp</t>
        </is>
      </c>
      <c r="C364" s="3" t="n">
        <v>1</v>
      </c>
      <c r="D364" s="3" t="inlineStr">
        <is>
          <t>Splash</t>
        </is>
      </c>
      <c r="E364" s="3" t="inlineStr">
        <is>
          <t>MOVE_SPLASH</t>
        </is>
      </c>
    </row>
    <row r="365">
      <c r="A365" s="3" t="inlineStr">
        <is>
          <t>SPECIES_MAGIKARP</t>
        </is>
      </c>
      <c r="B365" s="3" t="inlineStr">
        <is>
          <t>Magikarp</t>
        </is>
      </c>
      <c r="C365" s="3" t="n">
        <v>15</v>
      </c>
      <c r="D365" s="3" t="inlineStr">
        <is>
          <t>Tackle</t>
        </is>
      </c>
      <c r="E365" s="3" t="inlineStr">
        <is>
          <t>MOVE_TACKLE</t>
        </is>
      </c>
    </row>
    <row r="366">
      <c r="A366" s="3" t="inlineStr">
        <is>
          <t>SPECIES_MAGIKARP</t>
        </is>
      </c>
      <c r="B366" s="3" t="inlineStr">
        <is>
          <t>Magikarp</t>
        </is>
      </c>
      <c r="C366" s="3" t="n">
        <v>25</v>
      </c>
      <c r="D366" s="3" t="inlineStr">
        <is>
          <t>Flail</t>
        </is>
      </c>
      <c r="E366" s="3" t="inlineStr">
        <is>
          <t>MOVE_FLAIL</t>
        </is>
      </c>
    </row>
    <row r="367">
      <c r="A367" s="3" t="inlineStr">
        <is>
          <t>SPECIES_GYARADOS</t>
        </is>
      </c>
      <c r="B367" s="3" t="inlineStr">
        <is>
          <t>Gyarados</t>
        </is>
      </c>
      <c r="C367" s="3" t="n">
        <v>0</v>
      </c>
      <c r="D367" s="3" t="inlineStr">
        <is>
          <t>Bite</t>
        </is>
      </c>
      <c r="E367" s="3" t="inlineStr">
        <is>
          <t>MOVE_BITE</t>
        </is>
      </c>
    </row>
    <row r="368">
      <c r="A368" s="3" t="inlineStr">
        <is>
          <t>SPECIES_GYARADOS</t>
        </is>
      </c>
      <c r="B368" s="3" t="inlineStr">
        <is>
          <t>Gyarados</t>
        </is>
      </c>
      <c r="C368" s="3" t="n">
        <v>1</v>
      </c>
      <c r="D368" s="3" t="inlineStr">
        <is>
          <t>Tackle</t>
        </is>
      </c>
      <c r="E368" s="3" t="inlineStr">
        <is>
          <t>MOVE_TACKLE</t>
        </is>
      </c>
    </row>
    <row r="369">
      <c r="A369" s="3" t="inlineStr">
        <is>
          <t>SPECIES_GYARADOS</t>
        </is>
      </c>
      <c r="B369" s="3" t="inlineStr">
        <is>
          <t>Gyarados</t>
        </is>
      </c>
      <c r="C369" s="3" t="n">
        <v>1</v>
      </c>
      <c r="D369" s="3" t="inlineStr">
        <is>
          <t>Leer</t>
        </is>
      </c>
      <c r="E369" s="3" t="inlineStr">
        <is>
          <t>MOVE_LEER</t>
        </is>
      </c>
    </row>
    <row r="370">
      <c r="A370" s="3" t="inlineStr">
        <is>
          <t>SPECIES_GYARADOS</t>
        </is>
      </c>
      <c r="B370" s="3" t="inlineStr">
        <is>
          <t>Gyarados</t>
        </is>
      </c>
      <c r="C370" s="3" t="n">
        <v>1</v>
      </c>
      <c r="D370" s="3" t="inlineStr">
        <is>
          <t>Twister</t>
        </is>
      </c>
      <c r="E370" s="3" t="inlineStr">
        <is>
          <t>MOVE_TWISTER</t>
        </is>
      </c>
    </row>
    <row r="371">
      <c r="A371" s="3" t="inlineStr">
        <is>
          <t>SPECIES_GYARADOS</t>
        </is>
      </c>
      <c r="B371" s="3" t="inlineStr">
        <is>
          <t>Gyarados</t>
        </is>
      </c>
      <c r="C371" s="3" t="n">
        <v>1</v>
      </c>
      <c r="D371" s="3" t="inlineStr">
        <is>
          <t>Splash</t>
        </is>
      </c>
      <c r="E371" s="3" t="inlineStr">
        <is>
          <t>MOVE_SPLASH</t>
        </is>
      </c>
    </row>
    <row r="372">
      <c r="A372" s="3" t="inlineStr">
        <is>
          <t>SPECIES_GYARADOS</t>
        </is>
      </c>
      <c r="B372" s="3" t="inlineStr">
        <is>
          <t>Gyarados</t>
        </is>
      </c>
      <c r="C372" s="3" t="n">
        <v>1</v>
      </c>
      <c r="D372" s="3" t="inlineStr">
        <is>
          <t>Flail</t>
        </is>
      </c>
      <c r="E372" s="3" t="inlineStr">
        <is>
          <t>MOVE_FLAIL</t>
        </is>
      </c>
    </row>
    <row r="373">
      <c r="A373" s="3" t="inlineStr">
        <is>
          <t>SPECIES_GYARADOS</t>
        </is>
      </c>
      <c r="B373" s="3" t="inlineStr">
        <is>
          <t>Gyarados</t>
        </is>
      </c>
      <c r="C373" s="3" t="n">
        <v>4</v>
      </c>
      <c r="D373" s="3" t="inlineStr">
        <is>
          <t>Whirlpool</t>
        </is>
      </c>
      <c r="E373" s="3" t="inlineStr">
        <is>
          <t>MOVE_WHIRLPOOL</t>
        </is>
      </c>
    </row>
    <row r="374">
      <c r="A374" s="3" t="inlineStr">
        <is>
          <t>SPECIES_GYARADOS</t>
        </is>
      </c>
      <c r="B374" s="3" t="inlineStr">
        <is>
          <t>Gyarados</t>
        </is>
      </c>
      <c r="C374" s="3" t="n">
        <v>8</v>
      </c>
      <c r="D374" s="3" t="inlineStr">
        <is>
          <t>Ice Fang</t>
        </is>
      </c>
      <c r="E374" s="3" t="inlineStr">
        <is>
          <t>MOVE_ICE_FANG</t>
        </is>
      </c>
    </row>
    <row r="375">
      <c r="A375" s="3" t="inlineStr">
        <is>
          <t>SPECIES_GYARADOS</t>
        </is>
      </c>
      <c r="B375" s="3" t="inlineStr">
        <is>
          <t>Gyarados</t>
        </is>
      </c>
      <c r="C375" s="3" t="n">
        <v>12</v>
      </c>
      <c r="D375" s="3" t="inlineStr">
        <is>
          <t>Brine</t>
        </is>
      </c>
      <c r="E375" s="3" t="inlineStr">
        <is>
          <t>MOVE_BRINE</t>
        </is>
      </c>
    </row>
    <row r="376">
      <c r="A376" s="3" t="inlineStr">
        <is>
          <t>SPECIES_GYARADOS</t>
        </is>
      </c>
      <c r="B376" s="3" t="inlineStr">
        <is>
          <t>Gyarados</t>
        </is>
      </c>
      <c r="C376" s="3" t="n">
        <v>16</v>
      </c>
      <c r="D376" s="3" t="inlineStr">
        <is>
          <t>Scary Face</t>
        </is>
      </c>
      <c r="E376" s="3" t="inlineStr">
        <is>
          <t>MOVE_SCARY_FACE</t>
        </is>
      </c>
    </row>
    <row r="377">
      <c r="A377" s="3" t="inlineStr">
        <is>
          <t>SPECIES_GYARADOS</t>
        </is>
      </c>
      <c r="B377" s="3" t="inlineStr">
        <is>
          <t>Gyarados</t>
        </is>
      </c>
      <c r="C377" s="3" t="n">
        <v>21</v>
      </c>
      <c r="D377" s="3" t="inlineStr">
        <is>
          <t>Waterfall</t>
        </is>
      </c>
      <c r="E377" s="3" t="inlineStr">
        <is>
          <t>MOVE_WATERFALL</t>
        </is>
      </c>
    </row>
    <row r="378">
      <c r="A378" s="3" t="inlineStr">
        <is>
          <t>SPECIES_GYARADOS</t>
        </is>
      </c>
      <c r="B378" s="3" t="inlineStr">
        <is>
          <t>Gyarados</t>
        </is>
      </c>
      <c r="C378" s="3" t="n">
        <v>24</v>
      </c>
      <c r="D378" s="3" t="inlineStr">
        <is>
          <t>Crunch</t>
        </is>
      </c>
      <c r="E378" s="3" t="inlineStr">
        <is>
          <t>MOVE_CRUNCH</t>
        </is>
      </c>
    </row>
    <row r="379">
      <c r="A379" s="3" t="inlineStr">
        <is>
          <t>SPECIES_GYARADOS</t>
        </is>
      </c>
      <c r="B379" s="3" t="inlineStr">
        <is>
          <t>Gyarados</t>
        </is>
      </c>
      <c r="C379" s="3" t="n">
        <v>28</v>
      </c>
      <c r="D379" s="3" t="inlineStr">
        <is>
          <t>Rain Dance</t>
        </is>
      </c>
      <c r="E379" s="3" t="inlineStr">
        <is>
          <t>MOVE_RAIN_DANCE</t>
        </is>
      </c>
    </row>
    <row r="380">
      <c r="A380" s="3" t="inlineStr">
        <is>
          <t>SPECIES_GYARADOS</t>
        </is>
      </c>
      <c r="B380" s="3" t="inlineStr">
        <is>
          <t>Gyarados</t>
        </is>
      </c>
      <c r="C380" s="3" t="n">
        <v>32</v>
      </c>
      <c r="D380" s="3" t="inlineStr">
        <is>
          <t>Aqua Tail</t>
        </is>
      </c>
      <c r="E380" s="3" t="inlineStr">
        <is>
          <t>MOVE_AQUA_TAIL</t>
        </is>
      </c>
    </row>
    <row r="381">
      <c r="A381" s="3" t="inlineStr">
        <is>
          <t>SPECIES_GYARADOS</t>
        </is>
      </c>
      <c r="B381" s="3" t="inlineStr">
        <is>
          <t>Gyarados</t>
        </is>
      </c>
      <c r="C381" s="3" t="n">
        <v>36</v>
      </c>
      <c r="D381" s="3" t="inlineStr">
        <is>
          <t>Dragon Dance</t>
        </is>
      </c>
      <c r="E381" s="3" t="inlineStr">
        <is>
          <t>MOVE_DRAGON_DANCE</t>
        </is>
      </c>
    </row>
    <row r="382">
      <c r="A382" s="3" t="inlineStr">
        <is>
          <t>SPECIES_GYARADOS</t>
        </is>
      </c>
      <c r="B382" s="3" t="inlineStr">
        <is>
          <t>Gyarados</t>
        </is>
      </c>
      <c r="C382" s="3" t="n">
        <v>40</v>
      </c>
      <c r="D382" s="3" t="inlineStr">
        <is>
          <t>Hydro Pump</t>
        </is>
      </c>
      <c r="E382" s="3" t="inlineStr">
        <is>
          <t>MOVE_HYDRO_PUMP</t>
        </is>
      </c>
    </row>
    <row r="383">
      <c r="A383" s="3" t="inlineStr">
        <is>
          <t>SPECIES_GYARADOS</t>
        </is>
      </c>
      <c r="B383" s="3" t="inlineStr">
        <is>
          <t>Gyarados</t>
        </is>
      </c>
      <c r="C383" s="3" t="n">
        <v>44</v>
      </c>
      <c r="D383" s="3" t="inlineStr">
        <is>
          <t>Hurricane</t>
        </is>
      </c>
      <c r="E383" s="3" t="inlineStr">
        <is>
          <t>MOVE_HURRICANE</t>
        </is>
      </c>
    </row>
    <row r="384">
      <c r="A384" s="3" t="inlineStr">
        <is>
          <t>SPECIES_GYARADOS</t>
        </is>
      </c>
      <c r="B384" s="3" t="inlineStr">
        <is>
          <t>Gyarados</t>
        </is>
      </c>
      <c r="C384" s="3" t="n">
        <v>48</v>
      </c>
      <c r="D384" s="3" t="inlineStr">
        <is>
          <t>Thrash</t>
        </is>
      </c>
      <c r="E384" s="3" t="inlineStr">
        <is>
          <t>MOVE_THRASH</t>
        </is>
      </c>
    </row>
    <row r="385">
      <c r="A385" s="3" t="inlineStr">
        <is>
          <t>SPECIES_GYARADOS</t>
        </is>
      </c>
      <c r="B385" s="3" t="inlineStr">
        <is>
          <t>Gyarados</t>
        </is>
      </c>
      <c r="C385" s="3" t="n">
        <v>52</v>
      </c>
      <c r="D385" s="3" t="inlineStr">
        <is>
          <t>Hyper Beam</t>
        </is>
      </c>
      <c r="E385" s="3" t="inlineStr">
        <is>
          <t>MOVE_HYPER_BEAM</t>
        </is>
      </c>
    </row>
    <row r="386">
      <c r="A386" s="3" t="inlineStr">
        <is>
          <t>SPECIES_SENTRET</t>
        </is>
      </c>
      <c r="B386" s="3" t="inlineStr">
        <is>
          <t>Sentret</t>
        </is>
      </c>
      <c r="C386" s="3" t="n">
        <v>1</v>
      </c>
      <c r="D386" s="3" t="inlineStr">
        <is>
          <t>Pound</t>
        </is>
      </c>
      <c r="E386" s="3" t="inlineStr">
        <is>
          <t>MOVE_POUND</t>
        </is>
      </c>
    </row>
    <row r="387">
      <c r="A387" s="3" t="inlineStr">
        <is>
          <t>SPECIES_SENTRET</t>
        </is>
      </c>
      <c r="B387" s="3" t="inlineStr">
        <is>
          <t>Sentret</t>
        </is>
      </c>
      <c r="C387" s="3" t="n">
        <v>1</v>
      </c>
      <c r="D387" s="3" t="inlineStr">
        <is>
          <t>Defense Curl</t>
        </is>
      </c>
      <c r="E387" s="3" t="inlineStr">
        <is>
          <t>MOVE_DEFENSE_CURL</t>
        </is>
      </c>
    </row>
    <row r="388">
      <c r="A388" s="3" t="inlineStr">
        <is>
          <t>SPECIES_SENTRET</t>
        </is>
      </c>
      <c r="B388" s="3" t="inlineStr">
        <is>
          <t>Sentret</t>
        </is>
      </c>
      <c r="C388" s="3" t="n">
        <v>7</v>
      </c>
      <c r="D388" s="3" t="inlineStr">
        <is>
          <t>Quick Attack</t>
        </is>
      </c>
      <c r="E388" s="3" t="inlineStr">
        <is>
          <t>MOVE_QUICK_ATTACK</t>
        </is>
      </c>
    </row>
    <row r="389">
      <c r="A389" s="3" t="inlineStr">
        <is>
          <t>SPECIES_SENTRET</t>
        </is>
      </c>
      <c r="B389" s="3" t="inlineStr">
        <is>
          <t>Sentret</t>
        </is>
      </c>
      <c r="C389" s="3" t="n">
        <v>10</v>
      </c>
      <c r="D389" s="3" t="inlineStr">
        <is>
          <t>Doll Eyes</t>
        </is>
      </c>
      <c r="E389" s="3" t="inlineStr">
        <is>
          <t>MOVE_BABY_DOLL_EYES</t>
        </is>
      </c>
    </row>
    <row r="390">
      <c r="A390" s="3" t="inlineStr">
        <is>
          <t>SPECIES_SENTRET</t>
        </is>
      </c>
      <c r="B390" s="3" t="inlineStr">
        <is>
          <t>Sentret</t>
        </is>
      </c>
      <c r="C390" s="3" t="n">
        <v>13</v>
      </c>
      <c r="D390" s="3" t="inlineStr">
        <is>
          <t>Fury Swipes</t>
        </is>
      </c>
      <c r="E390" s="3" t="inlineStr">
        <is>
          <t>MOVE_FURY_SWIPES</t>
        </is>
      </c>
    </row>
    <row r="391">
      <c r="A391" s="3" t="inlineStr">
        <is>
          <t>SPECIES_SENTRET</t>
        </is>
      </c>
      <c r="B391" s="3" t="inlineStr">
        <is>
          <t>Sentret</t>
        </is>
      </c>
      <c r="C391" s="3" t="n">
        <v>16</v>
      </c>
      <c r="D391" s="3" t="inlineStr">
        <is>
          <t>Helping Hand</t>
        </is>
      </c>
      <c r="E391" s="3" t="inlineStr">
        <is>
          <t>MOVE_HELPING_HAND</t>
        </is>
      </c>
    </row>
    <row r="392">
      <c r="A392" s="3" t="inlineStr">
        <is>
          <t>SPECIES_SENTRET</t>
        </is>
      </c>
      <c r="B392" s="3" t="inlineStr">
        <is>
          <t>Sentret</t>
        </is>
      </c>
      <c r="C392" s="3" t="n">
        <v>19</v>
      </c>
      <c r="D392" s="3" t="inlineStr">
        <is>
          <t>Follow Me</t>
        </is>
      </c>
      <c r="E392" s="3" t="inlineStr">
        <is>
          <t>MOVE_FOLLOW_ME</t>
        </is>
      </c>
    </row>
    <row r="393">
      <c r="A393" s="3" t="inlineStr">
        <is>
          <t>SPECIES_SENTRET</t>
        </is>
      </c>
      <c r="B393" s="3" t="inlineStr">
        <is>
          <t>Sentret</t>
        </is>
      </c>
      <c r="C393" s="3" t="n">
        <v>25</v>
      </c>
      <c r="D393" s="3" t="inlineStr">
        <is>
          <t>Slam</t>
        </is>
      </c>
      <c r="E393" s="3" t="inlineStr">
        <is>
          <t>MOVE_SLAM</t>
        </is>
      </c>
    </row>
    <row r="394">
      <c r="A394" s="3" t="inlineStr">
        <is>
          <t>SPECIES_SENTRET</t>
        </is>
      </c>
      <c r="B394" s="3" t="inlineStr">
        <is>
          <t>Sentret</t>
        </is>
      </c>
      <c r="C394" s="3" t="n">
        <v>28</v>
      </c>
      <c r="D394" s="3" t="inlineStr">
        <is>
          <t>Rest</t>
        </is>
      </c>
      <c r="E394" s="3" t="inlineStr">
        <is>
          <t>MOVE_REST</t>
        </is>
      </c>
    </row>
    <row r="395">
      <c r="A395" s="3" t="inlineStr">
        <is>
          <t>SPECIES_SENTRET</t>
        </is>
      </c>
      <c r="B395" s="3" t="inlineStr">
        <is>
          <t>Sentret</t>
        </is>
      </c>
      <c r="C395" s="3" t="n">
        <v>31</v>
      </c>
      <c r="D395" s="3" t="inlineStr">
        <is>
          <t>Sucker Punch</t>
        </is>
      </c>
      <c r="E395" s="3" t="inlineStr">
        <is>
          <t>MOVE_SUCKER_PUNCH</t>
        </is>
      </c>
    </row>
    <row r="396">
      <c r="A396" s="3" t="inlineStr">
        <is>
          <t>SPECIES_SENTRET</t>
        </is>
      </c>
      <c r="B396" s="3" t="inlineStr">
        <is>
          <t>Sentret</t>
        </is>
      </c>
      <c r="C396" s="3" t="n">
        <v>36</v>
      </c>
      <c r="D396" s="3" t="inlineStr">
        <is>
          <t>Amnesia</t>
        </is>
      </c>
      <c r="E396" s="3" t="inlineStr">
        <is>
          <t>MOVE_AMNESIA</t>
        </is>
      </c>
    </row>
    <row r="397">
      <c r="A397" s="3" t="inlineStr">
        <is>
          <t>SPECIES_SENTRET</t>
        </is>
      </c>
      <c r="B397" s="3" t="inlineStr">
        <is>
          <t>Sentret</t>
        </is>
      </c>
      <c r="C397" s="3" t="n">
        <v>39</v>
      </c>
      <c r="D397" s="3" t="inlineStr">
        <is>
          <t>Baton Pass</t>
        </is>
      </c>
      <c r="E397" s="3" t="inlineStr">
        <is>
          <t>MOVE_BATON_PASS</t>
        </is>
      </c>
    </row>
    <row r="398">
      <c r="A398" s="3" t="inlineStr">
        <is>
          <t>SPECIES_SENTRET</t>
        </is>
      </c>
      <c r="B398" s="3" t="inlineStr">
        <is>
          <t>Sentret</t>
        </is>
      </c>
      <c r="C398" s="3" t="n">
        <v>42</v>
      </c>
      <c r="D398" s="3" t="inlineStr">
        <is>
          <t>Double-Edge</t>
        </is>
      </c>
      <c r="E398" s="3" t="inlineStr">
        <is>
          <t>MOVE_DOUBLE_EDGE</t>
        </is>
      </c>
    </row>
    <row r="399">
      <c r="A399" s="3" t="inlineStr">
        <is>
          <t>SPECIES_SENTRET</t>
        </is>
      </c>
      <c r="B399" s="3" t="inlineStr">
        <is>
          <t>Sentret</t>
        </is>
      </c>
      <c r="C399" s="3" t="n">
        <v>47</v>
      </c>
      <c r="D399" s="3" t="inlineStr">
        <is>
          <t>Hyper Voice</t>
        </is>
      </c>
      <c r="E399" s="3" t="inlineStr">
        <is>
          <t>MOVE_HYPER_VOICE</t>
        </is>
      </c>
    </row>
    <row r="400">
      <c r="A400" s="3" t="inlineStr">
        <is>
          <t>SPECIES_FURRET</t>
        </is>
      </c>
      <c r="B400" s="3" t="inlineStr">
        <is>
          <t>Furret</t>
        </is>
      </c>
      <c r="C400" s="3" t="n">
        <v>0</v>
      </c>
      <c r="D400" s="3" t="inlineStr">
        <is>
          <t>Agility</t>
        </is>
      </c>
      <c r="E400" s="3" t="inlineStr">
        <is>
          <t>MOVE_AGILITY</t>
        </is>
      </c>
    </row>
    <row r="401">
      <c r="A401" s="3" t="inlineStr">
        <is>
          <t>SPECIES_FURRET</t>
        </is>
      </c>
      <c r="B401" s="3" t="inlineStr">
        <is>
          <t>Furret</t>
        </is>
      </c>
      <c r="C401" s="3" t="n">
        <v>1</v>
      </c>
      <c r="D401" s="3" t="inlineStr">
        <is>
          <t>Coil</t>
        </is>
      </c>
      <c r="E401" s="3" t="inlineStr">
        <is>
          <t>MOVE_COIL</t>
        </is>
      </c>
    </row>
    <row r="402">
      <c r="A402" s="3" t="inlineStr">
        <is>
          <t>SPECIES_FURRET</t>
        </is>
      </c>
      <c r="B402" s="3" t="inlineStr">
        <is>
          <t>Furret</t>
        </is>
      </c>
      <c r="C402" s="3" t="n">
        <v>1</v>
      </c>
      <c r="D402" s="3" t="inlineStr">
        <is>
          <t>Pound</t>
        </is>
      </c>
      <c r="E402" s="3" t="inlineStr">
        <is>
          <t>MOVE_POUND</t>
        </is>
      </c>
    </row>
    <row r="403">
      <c r="A403" s="3" t="inlineStr">
        <is>
          <t>SPECIES_FURRET</t>
        </is>
      </c>
      <c r="B403" s="3" t="inlineStr">
        <is>
          <t>Furret</t>
        </is>
      </c>
      <c r="C403" s="3" t="n">
        <v>1</v>
      </c>
      <c r="D403" s="3" t="inlineStr">
        <is>
          <t>Defense Curl</t>
        </is>
      </c>
      <c r="E403" s="3" t="inlineStr">
        <is>
          <t>MOVE_DEFENSE_CURL</t>
        </is>
      </c>
    </row>
    <row r="404">
      <c r="A404" s="3" t="inlineStr">
        <is>
          <t>SPECIES_FURRET</t>
        </is>
      </c>
      <c r="B404" s="3" t="inlineStr">
        <is>
          <t>Furret</t>
        </is>
      </c>
      <c r="C404" s="3" t="n">
        <v>1</v>
      </c>
      <c r="D404" s="3" t="inlineStr">
        <is>
          <t>Quick Attack</t>
        </is>
      </c>
      <c r="E404" s="3" t="inlineStr">
        <is>
          <t>MOVE_QUICK_ATTACK</t>
        </is>
      </c>
    </row>
    <row r="405">
      <c r="A405" s="3" t="inlineStr">
        <is>
          <t>SPECIES_FURRET</t>
        </is>
      </c>
      <c r="B405" s="3" t="inlineStr">
        <is>
          <t>Furret</t>
        </is>
      </c>
      <c r="C405" s="3" t="n">
        <v>1</v>
      </c>
      <c r="D405" s="3" t="inlineStr">
        <is>
          <t>Doll Eyes</t>
        </is>
      </c>
      <c r="E405" s="3" t="inlineStr">
        <is>
          <t>MOVE_BABY_DOLL_EYES</t>
        </is>
      </c>
    </row>
    <row r="406">
      <c r="A406" s="3" t="inlineStr">
        <is>
          <t>SPECIES_FURRET</t>
        </is>
      </c>
      <c r="B406" s="3" t="inlineStr">
        <is>
          <t>Furret</t>
        </is>
      </c>
      <c r="C406" s="3" t="n">
        <v>10</v>
      </c>
      <c r="D406" s="3" t="inlineStr">
        <is>
          <t>Doll Eyes</t>
        </is>
      </c>
      <c r="E406" s="3" t="inlineStr">
        <is>
          <t>MOVE_BABY_DOLL_EYES</t>
        </is>
      </c>
    </row>
    <row r="407">
      <c r="A407" s="3" t="inlineStr">
        <is>
          <t>SPECIES_FURRET</t>
        </is>
      </c>
      <c r="B407" s="3" t="inlineStr">
        <is>
          <t>Furret</t>
        </is>
      </c>
      <c r="C407" s="3" t="n">
        <v>13</v>
      </c>
      <c r="D407" s="3" t="inlineStr">
        <is>
          <t>Fury Swipes</t>
        </is>
      </c>
      <c r="E407" s="3" t="inlineStr">
        <is>
          <t>MOVE_FURY_SWIPES</t>
        </is>
      </c>
    </row>
    <row r="408">
      <c r="A408" s="3" t="inlineStr">
        <is>
          <t>SPECIES_FURRET</t>
        </is>
      </c>
      <c r="B408" s="3" t="inlineStr">
        <is>
          <t>Furret</t>
        </is>
      </c>
      <c r="C408" s="3" t="n">
        <v>17</v>
      </c>
      <c r="D408" s="3" t="inlineStr">
        <is>
          <t>Helping Hand</t>
        </is>
      </c>
      <c r="E408" s="3" t="inlineStr">
        <is>
          <t>MOVE_HELPING_HAND</t>
        </is>
      </c>
    </row>
    <row r="409">
      <c r="A409" s="3" t="inlineStr">
        <is>
          <t>SPECIES_FURRET</t>
        </is>
      </c>
      <c r="B409" s="3" t="inlineStr">
        <is>
          <t>Furret</t>
        </is>
      </c>
      <c r="C409" s="3" t="n">
        <v>21</v>
      </c>
      <c r="D409" s="3" t="inlineStr">
        <is>
          <t>Follow Me</t>
        </is>
      </c>
      <c r="E409" s="3" t="inlineStr">
        <is>
          <t>MOVE_FOLLOW_ME</t>
        </is>
      </c>
    </row>
    <row r="410">
      <c r="A410" s="3" t="inlineStr">
        <is>
          <t>SPECIES_FURRET</t>
        </is>
      </c>
      <c r="B410" s="3" t="inlineStr">
        <is>
          <t>Furret</t>
        </is>
      </c>
      <c r="C410" s="3" t="n">
        <v>28</v>
      </c>
      <c r="D410" s="3" t="inlineStr">
        <is>
          <t>Slam</t>
        </is>
      </c>
      <c r="E410" s="3" t="inlineStr">
        <is>
          <t>MOVE_SLAM</t>
        </is>
      </c>
    </row>
    <row r="411">
      <c r="A411" s="3" t="inlineStr">
        <is>
          <t>SPECIES_FURRET</t>
        </is>
      </c>
      <c r="B411" s="3" t="inlineStr">
        <is>
          <t>Furret</t>
        </is>
      </c>
      <c r="C411" s="3" t="n">
        <v>32</v>
      </c>
      <c r="D411" s="3" t="inlineStr">
        <is>
          <t>Rest</t>
        </is>
      </c>
      <c r="E411" s="3" t="inlineStr">
        <is>
          <t>MOVE_REST</t>
        </is>
      </c>
    </row>
    <row r="412">
      <c r="A412" s="3" t="inlineStr">
        <is>
          <t>SPECIES_FURRET</t>
        </is>
      </c>
      <c r="B412" s="3" t="inlineStr">
        <is>
          <t>Furret</t>
        </is>
      </c>
      <c r="C412" s="3" t="n">
        <v>36</v>
      </c>
      <c r="D412" s="3" t="inlineStr">
        <is>
          <t>Sucker Punch</t>
        </is>
      </c>
      <c r="E412" s="3" t="inlineStr">
        <is>
          <t>MOVE_SUCKER_PUNCH</t>
        </is>
      </c>
    </row>
    <row r="413">
      <c r="A413" s="3" t="inlineStr">
        <is>
          <t>SPECIES_FURRET</t>
        </is>
      </c>
      <c r="B413" s="3" t="inlineStr">
        <is>
          <t>Furret</t>
        </is>
      </c>
      <c r="C413" s="3" t="n">
        <v>42</v>
      </c>
      <c r="D413" s="3" t="inlineStr">
        <is>
          <t>Amnesia</t>
        </is>
      </c>
      <c r="E413" s="3" t="inlineStr">
        <is>
          <t>MOVE_AMNESIA</t>
        </is>
      </c>
    </row>
    <row r="414">
      <c r="A414" s="3" t="inlineStr">
        <is>
          <t>SPECIES_FURRET</t>
        </is>
      </c>
      <c r="B414" s="3" t="inlineStr">
        <is>
          <t>Furret</t>
        </is>
      </c>
      <c r="C414" s="3" t="n">
        <v>46</v>
      </c>
      <c r="D414" s="3" t="inlineStr">
        <is>
          <t>Baton Pass</t>
        </is>
      </c>
      <c r="E414" s="3" t="inlineStr">
        <is>
          <t>MOVE_BATON_PASS</t>
        </is>
      </c>
    </row>
    <row r="415">
      <c r="A415" s="3" t="inlineStr">
        <is>
          <t>SPECIES_FURRET</t>
        </is>
      </c>
      <c r="B415" s="3" t="inlineStr">
        <is>
          <t>Furret</t>
        </is>
      </c>
      <c r="C415" s="3" t="n">
        <v>50</v>
      </c>
      <c r="D415" s="3" t="inlineStr">
        <is>
          <t>Double-Edge</t>
        </is>
      </c>
      <c r="E415" s="3" t="inlineStr">
        <is>
          <t>MOVE_DOUBLE_EDGE</t>
        </is>
      </c>
    </row>
    <row r="416">
      <c r="A416" s="3" t="inlineStr">
        <is>
          <t>SPECIES_FURRET</t>
        </is>
      </c>
      <c r="B416" s="3" t="inlineStr">
        <is>
          <t>Furret</t>
        </is>
      </c>
      <c r="C416" s="3" t="n">
        <v>56</v>
      </c>
      <c r="D416" s="3" t="inlineStr">
        <is>
          <t>Hyper Voice</t>
        </is>
      </c>
      <c r="E416" s="3" t="inlineStr">
        <is>
          <t>MOVE_HYPER_VOICE</t>
        </is>
      </c>
    </row>
    <row r="417">
      <c r="A417" s="3" t="inlineStr">
        <is>
          <t>SPECIES_CHINCHOU</t>
        </is>
      </c>
      <c r="B417" s="3" t="inlineStr">
        <is>
          <t>Chinchou</t>
        </is>
      </c>
      <c r="C417" s="3" t="n">
        <v>1</v>
      </c>
      <c r="D417" s="3" t="inlineStr">
        <is>
          <t>Supersonic</t>
        </is>
      </c>
      <c r="E417" s="3" t="inlineStr">
        <is>
          <t>MOVE_SUPERSONIC</t>
        </is>
      </c>
    </row>
    <row r="418">
      <c r="A418" s="3" t="inlineStr">
        <is>
          <t>SPECIES_CHINCHOU</t>
        </is>
      </c>
      <c r="B418" s="3" t="inlineStr">
        <is>
          <t>Chinchou</t>
        </is>
      </c>
      <c r="C418" s="3" t="n">
        <v>1</v>
      </c>
      <c r="D418" s="3" t="inlineStr">
        <is>
          <t>Water Gun</t>
        </is>
      </c>
      <c r="E418" s="3" t="inlineStr">
        <is>
          <t>MOVE_WATER_GUN</t>
        </is>
      </c>
    </row>
    <row r="419">
      <c r="A419" s="3" t="inlineStr">
        <is>
          <t>SPECIES_CHINCHOU</t>
        </is>
      </c>
      <c r="B419" s="3" t="inlineStr">
        <is>
          <t>Chinchou</t>
        </is>
      </c>
      <c r="C419" s="3" t="n">
        <v>4</v>
      </c>
      <c r="D419" s="3" t="inlineStr">
        <is>
          <t>Electro Ball</t>
        </is>
      </c>
      <c r="E419" s="3" t="inlineStr">
        <is>
          <t>MOVE_ELECTRO_BALL</t>
        </is>
      </c>
    </row>
    <row r="420">
      <c r="A420" s="3" t="inlineStr">
        <is>
          <t>SPECIES_CHINCHOU</t>
        </is>
      </c>
      <c r="B420" s="3" t="inlineStr">
        <is>
          <t>Chinchou</t>
        </is>
      </c>
      <c r="C420" s="3" t="n">
        <v>8</v>
      </c>
      <c r="D420" s="3" t="inlineStr">
        <is>
          <t>Thunder Wave</t>
        </is>
      </c>
      <c r="E420" s="3" t="inlineStr">
        <is>
          <t>MOVE_THUNDER_WAVE</t>
        </is>
      </c>
    </row>
    <row r="421">
      <c r="A421" s="3" t="inlineStr">
        <is>
          <t>SPECIES_CHINCHOU</t>
        </is>
      </c>
      <c r="B421" s="3" t="inlineStr">
        <is>
          <t>Chinchou</t>
        </is>
      </c>
      <c r="C421" s="3" t="n">
        <v>12</v>
      </c>
      <c r="D421" s="3" t="inlineStr">
        <is>
          <t>Bubble Beam</t>
        </is>
      </c>
      <c r="E421" s="3" t="inlineStr">
        <is>
          <t>MOVE_BUBBLE_BEAM</t>
        </is>
      </c>
    </row>
    <row r="422">
      <c r="A422" s="3" t="inlineStr">
        <is>
          <t>SPECIES_CHINCHOU</t>
        </is>
      </c>
      <c r="B422" s="3" t="inlineStr">
        <is>
          <t>Chinchou</t>
        </is>
      </c>
      <c r="C422" s="3" t="n">
        <v>16</v>
      </c>
      <c r="D422" s="3" t="inlineStr">
        <is>
          <t>Confuse Ray</t>
        </is>
      </c>
      <c r="E422" s="3" t="inlineStr">
        <is>
          <t>MOVE_CONFUSE_RAY</t>
        </is>
      </c>
    </row>
    <row r="423">
      <c r="A423" s="3" t="inlineStr">
        <is>
          <t>SPECIES_CHINCHOU</t>
        </is>
      </c>
      <c r="B423" s="3" t="inlineStr">
        <is>
          <t>Chinchou</t>
        </is>
      </c>
      <c r="C423" s="3" t="n">
        <v>20</v>
      </c>
      <c r="D423" s="3" t="inlineStr">
        <is>
          <t>Spark</t>
        </is>
      </c>
      <c r="E423" s="3" t="inlineStr">
        <is>
          <t>MOVE_SPARK</t>
        </is>
      </c>
    </row>
    <row r="424">
      <c r="A424" s="3" t="inlineStr">
        <is>
          <t>SPECIES_CHINCHOU</t>
        </is>
      </c>
      <c r="B424" s="3" t="inlineStr">
        <is>
          <t>Chinchou</t>
        </is>
      </c>
      <c r="C424" s="3" t="n">
        <v>24</v>
      </c>
      <c r="D424" s="3" t="inlineStr">
        <is>
          <t>Charge</t>
        </is>
      </c>
      <c r="E424" s="3" t="inlineStr">
        <is>
          <t>MOVE_CHARGE</t>
        </is>
      </c>
    </row>
    <row r="425">
      <c r="A425" s="3" t="inlineStr">
        <is>
          <t>SPECIES_CHINCHOU</t>
        </is>
      </c>
      <c r="B425" s="3" t="inlineStr">
        <is>
          <t>Chinchou</t>
        </is>
      </c>
      <c r="C425" s="3" t="n">
        <v>28</v>
      </c>
      <c r="D425" s="3" t="inlineStr">
        <is>
          <t>Discharge</t>
        </is>
      </c>
      <c r="E425" s="3" t="inlineStr">
        <is>
          <t>MOVE_DISCHARGE</t>
        </is>
      </c>
    </row>
    <row r="426">
      <c r="A426" s="3" t="inlineStr">
        <is>
          <t>SPECIES_CHINCHOU</t>
        </is>
      </c>
      <c r="B426" s="3" t="inlineStr">
        <is>
          <t>Chinchou</t>
        </is>
      </c>
      <c r="C426" s="3" t="n">
        <v>32</v>
      </c>
      <c r="D426" s="3" t="inlineStr">
        <is>
          <t>Aqua Ring</t>
        </is>
      </c>
      <c r="E426" s="3" t="inlineStr">
        <is>
          <t>MOVE_AQUA_RING</t>
        </is>
      </c>
    </row>
    <row r="427">
      <c r="A427" s="3" t="inlineStr">
        <is>
          <t>SPECIES_CHINCHOU</t>
        </is>
      </c>
      <c r="B427" s="3" t="inlineStr">
        <is>
          <t>Chinchou</t>
        </is>
      </c>
      <c r="C427" s="3" t="n">
        <v>36</v>
      </c>
      <c r="D427" s="3" t="inlineStr">
        <is>
          <t>Flail</t>
        </is>
      </c>
      <c r="E427" s="3" t="inlineStr">
        <is>
          <t>MOVE_FLAIL</t>
        </is>
      </c>
    </row>
    <row r="428">
      <c r="A428" s="3" t="inlineStr">
        <is>
          <t>SPECIES_CHINCHOU</t>
        </is>
      </c>
      <c r="B428" s="3" t="inlineStr">
        <is>
          <t>Chinchou</t>
        </is>
      </c>
      <c r="C428" s="3" t="n">
        <v>40</v>
      </c>
      <c r="D428" s="3" t="inlineStr">
        <is>
          <t>Take Down</t>
        </is>
      </c>
      <c r="E428" s="3" t="inlineStr">
        <is>
          <t>MOVE_TAKE_DOWN</t>
        </is>
      </c>
    </row>
    <row r="429">
      <c r="A429" s="3" t="inlineStr">
        <is>
          <t>SPECIES_CHINCHOU</t>
        </is>
      </c>
      <c r="B429" s="3" t="inlineStr">
        <is>
          <t>Chinchou</t>
        </is>
      </c>
      <c r="C429" s="3" t="n">
        <v>44</v>
      </c>
      <c r="D429" s="3" t="inlineStr">
        <is>
          <t>Hydro Pump</t>
        </is>
      </c>
      <c r="E429" s="3" t="inlineStr">
        <is>
          <t>MOVE_HYDRO_PUMP</t>
        </is>
      </c>
    </row>
    <row r="430">
      <c r="A430" s="3" t="inlineStr">
        <is>
          <t>SPECIES_LANTURN</t>
        </is>
      </c>
      <c r="B430" s="3" t="inlineStr">
        <is>
          <t>Lanturn</t>
        </is>
      </c>
      <c r="C430" s="3" t="n">
        <v>0</v>
      </c>
      <c r="D430" s="3" t="inlineStr">
        <is>
          <t>Swallow</t>
        </is>
      </c>
      <c r="E430" s="3" t="inlineStr">
        <is>
          <t>MOVE_SWALLOW</t>
        </is>
      </c>
    </row>
    <row r="431">
      <c r="A431" s="3" t="inlineStr">
        <is>
          <t>SPECIES_LANTURN</t>
        </is>
      </c>
      <c r="B431" s="3" t="inlineStr">
        <is>
          <t>Lanturn</t>
        </is>
      </c>
      <c r="C431" s="3" t="n">
        <v>0</v>
      </c>
      <c r="D431" s="3" t="inlineStr">
        <is>
          <t>Spit Up</t>
        </is>
      </c>
      <c r="E431" s="3" t="inlineStr">
        <is>
          <t>MOVE_SPIT_UP</t>
        </is>
      </c>
    </row>
    <row r="432">
      <c r="A432" s="3" t="inlineStr">
        <is>
          <t>SPECIES_LANTURN</t>
        </is>
      </c>
      <c r="B432" s="3" t="inlineStr">
        <is>
          <t>Lanturn</t>
        </is>
      </c>
      <c r="C432" s="3" t="n">
        <v>0</v>
      </c>
      <c r="D432" s="3" t="inlineStr">
        <is>
          <t>Stockpile</t>
        </is>
      </c>
      <c r="E432" s="3" t="inlineStr">
        <is>
          <t>MOVE_STOCKPILE</t>
        </is>
      </c>
    </row>
    <row r="433">
      <c r="A433" s="3" t="inlineStr">
        <is>
          <t>SPECIES_LANTURN</t>
        </is>
      </c>
      <c r="B433" s="3" t="inlineStr">
        <is>
          <t>Lanturn</t>
        </is>
      </c>
      <c r="C433" s="3" t="n">
        <v>1</v>
      </c>
      <c r="D433" s="3" t="inlineStr">
        <is>
          <t>Eerie Impulse</t>
        </is>
      </c>
      <c r="E433" s="3" t="inlineStr">
        <is>
          <t>MOVE_EERIE_IMPULSE</t>
        </is>
      </c>
    </row>
    <row r="434">
      <c r="A434" s="3" t="inlineStr">
        <is>
          <t>SPECIES_LANTURN</t>
        </is>
      </c>
      <c r="B434" s="3" t="inlineStr">
        <is>
          <t>Lanturn</t>
        </is>
      </c>
      <c r="C434" s="3" t="n">
        <v>1</v>
      </c>
      <c r="D434" s="3" t="inlineStr">
        <is>
          <t>Supersonic</t>
        </is>
      </c>
      <c r="E434" s="3" t="inlineStr">
        <is>
          <t>MOVE_SUPERSONIC</t>
        </is>
      </c>
    </row>
    <row r="435">
      <c r="A435" s="3" t="inlineStr">
        <is>
          <t>SPECIES_LANTURN</t>
        </is>
      </c>
      <c r="B435" s="3" t="inlineStr">
        <is>
          <t>Lanturn</t>
        </is>
      </c>
      <c r="C435" s="3" t="n">
        <v>1</v>
      </c>
      <c r="D435" s="3" t="inlineStr">
        <is>
          <t>Water Gun</t>
        </is>
      </c>
      <c r="E435" s="3" t="inlineStr">
        <is>
          <t>MOVE_WATER_GUN</t>
        </is>
      </c>
    </row>
    <row r="436">
      <c r="A436" s="3" t="inlineStr">
        <is>
          <t>SPECIES_LANTURN</t>
        </is>
      </c>
      <c r="B436" s="3" t="inlineStr">
        <is>
          <t>Lanturn</t>
        </is>
      </c>
      <c r="C436" s="3" t="n">
        <v>1</v>
      </c>
      <c r="D436" s="3" t="inlineStr">
        <is>
          <t>Thunder Wave</t>
        </is>
      </c>
      <c r="E436" s="3" t="inlineStr">
        <is>
          <t>MOVE_THUNDER_WAVE</t>
        </is>
      </c>
    </row>
    <row r="437">
      <c r="A437" s="3" t="inlineStr">
        <is>
          <t>SPECIES_LANTURN</t>
        </is>
      </c>
      <c r="B437" s="3" t="inlineStr">
        <is>
          <t>Lanturn</t>
        </is>
      </c>
      <c r="C437" s="3" t="n">
        <v>1</v>
      </c>
      <c r="D437" s="3" t="inlineStr">
        <is>
          <t>Electro Ball</t>
        </is>
      </c>
      <c r="E437" s="3" t="inlineStr">
        <is>
          <t>MOVE_ELECTRO_BALL</t>
        </is>
      </c>
    </row>
    <row r="438">
      <c r="A438" s="3" t="inlineStr">
        <is>
          <t>SPECIES_LANTURN</t>
        </is>
      </c>
      <c r="B438" s="3" t="inlineStr">
        <is>
          <t>Lanturn</t>
        </is>
      </c>
      <c r="C438" s="3" t="n">
        <v>12</v>
      </c>
      <c r="D438" s="3" t="inlineStr">
        <is>
          <t>Bubble Beam</t>
        </is>
      </c>
      <c r="E438" s="3" t="inlineStr">
        <is>
          <t>MOVE_BUBBLE_BEAM</t>
        </is>
      </c>
    </row>
    <row r="439">
      <c r="A439" s="3" t="inlineStr">
        <is>
          <t>SPECIES_LANTURN</t>
        </is>
      </c>
      <c r="B439" s="3" t="inlineStr">
        <is>
          <t>Lanturn</t>
        </is>
      </c>
      <c r="C439" s="3" t="n">
        <v>16</v>
      </c>
      <c r="D439" s="3" t="inlineStr">
        <is>
          <t>Confuse Ray</t>
        </is>
      </c>
      <c r="E439" s="3" t="inlineStr">
        <is>
          <t>MOVE_CONFUSE_RAY</t>
        </is>
      </c>
    </row>
    <row r="440">
      <c r="A440" s="3" t="inlineStr">
        <is>
          <t>SPECIES_LANTURN</t>
        </is>
      </c>
      <c r="B440" s="3" t="inlineStr">
        <is>
          <t>Lanturn</t>
        </is>
      </c>
      <c r="C440" s="3" t="n">
        <v>20</v>
      </c>
      <c r="D440" s="3" t="inlineStr">
        <is>
          <t>Spark</t>
        </is>
      </c>
      <c r="E440" s="3" t="inlineStr">
        <is>
          <t>MOVE_SPARK</t>
        </is>
      </c>
    </row>
    <row r="441">
      <c r="A441" s="3" t="inlineStr">
        <is>
          <t>SPECIES_LANTURN</t>
        </is>
      </c>
      <c r="B441" s="3" t="inlineStr">
        <is>
          <t>Lanturn</t>
        </is>
      </c>
      <c r="C441" s="3" t="n">
        <v>24</v>
      </c>
      <c r="D441" s="3" t="inlineStr">
        <is>
          <t>Charge</t>
        </is>
      </c>
      <c r="E441" s="3" t="inlineStr">
        <is>
          <t>MOVE_CHARGE</t>
        </is>
      </c>
    </row>
    <row r="442">
      <c r="A442" s="3" t="inlineStr">
        <is>
          <t>SPECIES_LANTURN</t>
        </is>
      </c>
      <c r="B442" s="3" t="inlineStr">
        <is>
          <t>Lanturn</t>
        </is>
      </c>
      <c r="C442" s="3" t="n">
        <v>30</v>
      </c>
      <c r="D442" s="3" t="inlineStr">
        <is>
          <t>Discharge</t>
        </is>
      </c>
      <c r="E442" s="3" t="inlineStr">
        <is>
          <t>MOVE_DISCHARGE</t>
        </is>
      </c>
    </row>
    <row r="443">
      <c r="A443" s="3" t="inlineStr">
        <is>
          <t>SPECIES_LANTURN</t>
        </is>
      </c>
      <c r="B443" s="3" t="inlineStr">
        <is>
          <t>Lanturn</t>
        </is>
      </c>
      <c r="C443" s="3" t="n">
        <v>36</v>
      </c>
      <c r="D443" s="3" t="inlineStr">
        <is>
          <t>Aqua Ring</t>
        </is>
      </c>
      <c r="E443" s="3" t="inlineStr">
        <is>
          <t>MOVE_AQUA_RING</t>
        </is>
      </c>
    </row>
    <row r="444">
      <c r="A444" s="3" t="inlineStr">
        <is>
          <t>SPECIES_LANTURN</t>
        </is>
      </c>
      <c r="B444" s="3" t="inlineStr">
        <is>
          <t>Lanturn</t>
        </is>
      </c>
      <c r="C444" s="3" t="n">
        <v>42</v>
      </c>
      <c r="D444" s="3" t="inlineStr">
        <is>
          <t>Flail</t>
        </is>
      </c>
      <c r="E444" s="3" t="inlineStr">
        <is>
          <t>MOVE_FLAIL</t>
        </is>
      </c>
    </row>
    <row r="445">
      <c r="A445" s="3" t="inlineStr">
        <is>
          <t>SPECIES_LANTURN</t>
        </is>
      </c>
      <c r="B445" s="3" t="inlineStr">
        <is>
          <t>Lanturn</t>
        </is>
      </c>
      <c r="C445" s="3" t="n">
        <v>48</v>
      </c>
      <c r="D445" s="3" t="inlineStr">
        <is>
          <t>Take Down</t>
        </is>
      </c>
      <c r="E445" s="3" t="inlineStr">
        <is>
          <t>MOVE_TAKE_DOWN</t>
        </is>
      </c>
    </row>
    <row r="446">
      <c r="A446" s="3" t="inlineStr">
        <is>
          <t>SPECIES_LANTURN</t>
        </is>
      </c>
      <c r="B446" s="3" t="inlineStr">
        <is>
          <t>Lanturn</t>
        </is>
      </c>
      <c r="C446" s="3" t="n">
        <v>54</v>
      </c>
      <c r="D446" s="3" t="inlineStr">
        <is>
          <t>Hydro Pump</t>
        </is>
      </c>
      <c r="E446" s="3" t="inlineStr">
        <is>
          <t>MOVE_HYDRO_PUMP</t>
        </is>
      </c>
    </row>
    <row r="447">
      <c r="A447" s="3" t="inlineStr">
        <is>
          <t>SPECIES_MAREEP</t>
        </is>
      </c>
      <c r="B447" s="3" t="inlineStr">
        <is>
          <t>Mareep</t>
        </is>
      </c>
      <c r="C447" s="3" t="n">
        <v>1</v>
      </c>
      <c r="D447" s="3" t="inlineStr">
        <is>
          <t>Tackle</t>
        </is>
      </c>
      <c r="E447" s="3" t="inlineStr">
        <is>
          <t>MOVE_TACKLE</t>
        </is>
      </c>
    </row>
    <row r="448">
      <c r="A448" s="3" t="inlineStr">
        <is>
          <t>SPECIES_MAREEP</t>
        </is>
      </c>
      <c r="B448" s="3" t="inlineStr">
        <is>
          <t>Mareep</t>
        </is>
      </c>
      <c r="C448" s="3" t="n">
        <v>1</v>
      </c>
      <c r="D448" s="3" t="inlineStr">
        <is>
          <t>Growl</t>
        </is>
      </c>
      <c r="E448" s="3" t="inlineStr">
        <is>
          <t>MOVE_GROWL</t>
        </is>
      </c>
    </row>
    <row r="449">
      <c r="A449" s="3" t="inlineStr">
        <is>
          <t>SPECIES_MAREEP</t>
        </is>
      </c>
      <c r="B449" s="3" t="inlineStr">
        <is>
          <t>Mareep</t>
        </is>
      </c>
      <c r="C449" s="3" t="n">
        <v>7</v>
      </c>
      <c r="D449" s="3" t="inlineStr">
        <is>
          <t>Thunder Shock</t>
        </is>
      </c>
      <c r="E449" s="3" t="inlineStr">
        <is>
          <t>MOVE_THUNDER_SHOCK</t>
        </is>
      </c>
    </row>
    <row r="450">
      <c r="A450" s="3" t="inlineStr">
        <is>
          <t>SPECIES_MAREEP</t>
        </is>
      </c>
      <c r="B450" s="3" t="inlineStr">
        <is>
          <t>Mareep</t>
        </is>
      </c>
      <c r="C450" s="3" t="n">
        <v>10</v>
      </c>
      <c r="D450" s="3" t="inlineStr">
        <is>
          <t>Fairy Wind</t>
        </is>
      </c>
      <c r="E450" s="3" t="inlineStr">
        <is>
          <t>MOVE_FAIRY_WIND</t>
        </is>
      </c>
    </row>
    <row r="451">
      <c r="A451" s="3" t="inlineStr">
        <is>
          <t>SPECIES_MAREEP</t>
        </is>
      </c>
      <c r="B451" s="3" t="inlineStr">
        <is>
          <t>Mareep</t>
        </is>
      </c>
      <c r="C451" s="3" t="n">
        <v>13</v>
      </c>
      <c r="D451" s="3" t="inlineStr">
        <is>
          <t>Cotton Spore</t>
        </is>
      </c>
      <c r="E451" s="3" t="inlineStr">
        <is>
          <t>MOVE_COTTON_SPORE</t>
        </is>
      </c>
    </row>
    <row r="452">
      <c r="A452" s="3" t="inlineStr">
        <is>
          <t>SPECIES_MAREEP</t>
        </is>
      </c>
      <c r="B452" s="3" t="inlineStr">
        <is>
          <t>Mareep</t>
        </is>
      </c>
      <c r="C452" s="3" t="n">
        <v>15</v>
      </c>
      <c r="D452" s="3" t="inlineStr">
        <is>
          <t>Charge</t>
        </is>
      </c>
      <c r="E452" s="3" t="inlineStr">
        <is>
          <t>MOVE_CHARGE</t>
        </is>
      </c>
    </row>
    <row r="453">
      <c r="A453" s="3" t="inlineStr">
        <is>
          <t>SPECIES_MAREEP</t>
        </is>
      </c>
      <c r="B453" s="3" t="inlineStr">
        <is>
          <t>Mareep</t>
        </is>
      </c>
      <c r="C453" s="3" t="n">
        <v>18</v>
      </c>
      <c r="D453" s="3" t="inlineStr">
        <is>
          <t>Take Down</t>
        </is>
      </c>
      <c r="E453" s="3" t="inlineStr">
        <is>
          <t>MOVE_TAKE_DOWN</t>
        </is>
      </c>
    </row>
    <row r="454">
      <c r="A454" s="3" t="inlineStr">
        <is>
          <t>SPECIES_MAREEP</t>
        </is>
      </c>
      <c r="B454" s="3" t="inlineStr">
        <is>
          <t>Mareep</t>
        </is>
      </c>
      <c r="C454" s="3" t="n">
        <v>20</v>
      </c>
      <c r="D454" s="3" t="inlineStr">
        <is>
          <t>Thunder Wave</t>
        </is>
      </c>
      <c r="E454" s="3" t="inlineStr">
        <is>
          <t>MOVE_THUNDER_WAVE</t>
        </is>
      </c>
    </row>
    <row r="455">
      <c r="A455" s="3" t="inlineStr">
        <is>
          <t>SPECIES_MAREEP</t>
        </is>
      </c>
      <c r="B455" s="3" t="inlineStr">
        <is>
          <t>Mareep</t>
        </is>
      </c>
      <c r="C455" s="3" t="n">
        <v>22</v>
      </c>
      <c r="D455" s="3" t="inlineStr">
        <is>
          <t>Electro Ball</t>
        </is>
      </c>
      <c r="E455" s="3" t="inlineStr">
        <is>
          <t>MOVE_ELECTRO_BALL</t>
        </is>
      </c>
    </row>
    <row r="456">
      <c r="A456" s="3" t="inlineStr">
        <is>
          <t>SPECIES_MAREEP</t>
        </is>
      </c>
      <c r="B456" s="3" t="inlineStr">
        <is>
          <t>Mareep</t>
        </is>
      </c>
      <c r="C456" s="3" t="n">
        <v>25</v>
      </c>
      <c r="D456" s="3" t="inlineStr">
        <is>
          <t>Confuse Ray</t>
        </is>
      </c>
      <c r="E456" s="3" t="inlineStr">
        <is>
          <t>MOVE_CONFUSE_RAY</t>
        </is>
      </c>
    </row>
    <row r="457">
      <c r="A457" s="3" t="inlineStr">
        <is>
          <t>SPECIES_MAREEP</t>
        </is>
      </c>
      <c r="B457" s="3" t="inlineStr">
        <is>
          <t>Mareep</t>
        </is>
      </c>
      <c r="C457" s="3" t="n">
        <v>29</v>
      </c>
      <c r="D457" s="3" t="inlineStr">
        <is>
          <t>Power Gem</t>
        </is>
      </c>
      <c r="E457" s="3" t="inlineStr">
        <is>
          <t>MOVE_POWER_GEM</t>
        </is>
      </c>
    </row>
    <row r="458">
      <c r="A458" s="3" t="inlineStr">
        <is>
          <t>SPECIES_MAREEP</t>
        </is>
      </c>
      <c r="B458" s="3" t="inlineStr">
        <is>
          <t>Mareep</t>
        </is>
      </c>
      <c r="C458" s="3" t="n">
        <v>32</v>
      </c>
      <c r="D458" s="3" t="inlineStr">
        <is>
          <t>Discharge</t>
        </is>
      </c>
      <c r="E458" s="3" t="inlineStr">
        <is>
          <t>MOVE_DISCHARGE</t>
        </is>
      </c>
    </row>
    <row r="459">
      <c r="A459" s="3" t="inlineStr">
        <is>
          <t>SPECIES_MAREEP</t>
        </is>
      </c>
      <c r="B459" s="3" t="inlineStr">
        <is>
          <t>Mareep</t>
        </is>
      </c>
      <c r="C459" s="3" t="n">
        <v>36</v>
      </c>
      <c r="D459" s="3" t="inlineStr">
        <is>
          <t>Cotton Guard</t>
        </is>
      </c>
      <c r="E459" s="3" t="inlineStr">
        <is>
          <t>MOVE_COTTON_GUARD</t>
        </is>
      </c>
    </row>
    <row r="460">
      <c r="A460" s="3" t="inlineStr">
        <is>
          <t>SPECIES_MAREEP</t>
        </is>
      </c>
      <c r="B460" s="3" t="inlineStr">
        <is>
          <t>Mareep</t>
        </is>
      </c>
      <c r="C460" s="3" t="n">
        <v>39</v>
      </c>
      <c r="D460" s="3" t="inlineStr">
        <is>
          <t>Dazzling Gleam</t>
        </is>
      </c>
      <c r="E460" s="3" t="inlineStr">
        <is>
          <t>MOVE_DAZZLING_GLEAM</t>
        </is>
      </c>
    </row>
    <row r="461">
      <c r="A461" s="3" t="inlineStr">
        <is>
          <t>SPECIES_MAREEP</t>
        </is>
      </c>
      <c r="B461" s="3" t="inlineStr">
        <is>
          <t>Mareep</t>
        </is>
      </c>
      <c r="C461" s="3" t="n">
        <v>43</v>
      </c>
      <c r="D461" s="3" t="inlineStr">
        <is>
          <t>Light Screen</t>
        </is>
      </c>
      <c r="E461" s="3" t="inlineStr">
        <is>
          <t>MOVE_LIGHT_SCREEN</t>
        </is>
      </c>
    </row>
    <row r="462">
      <c r="A462" s="3" t="inlineStr">
        <is>
          <t>SPECIES_MAREEP</t>
        </is>
      </c>
      <c r="B462" s="3" t="inlineStr">
        <is>
          <t>Mareep</t>
        </is>
      </c>
      <c r="C462" s="3" t="n">
        <v>46</v>
      </c>
      <c r="D462" s="3" t="inlineStr">
        <is>
          <t>Thunder</t>
        </is>
      </c>
      <c r="E462" s="3" t="inlineStr">
        <is>
          <t>MOVE_THUNDER</t>
        </is>
      </c>
    </row>
    <row r="463">
      <c r="A463" s="3" t="inlineStr">
        <is>
          <t>SPECIES_FLAAFFY</t>
        </is>
      </c>
      <c r="B463" s="3" t="inlineStr">
        <is>
          <t>Flaaffy</t>
        </is>
      </c>
      <c r="C463" s="3" t="n">
        <v>1</v>
      </c>
      <c r="D463" s="3" t="inlineStr">
        <is>
          <t>Tackle</t>
        </is>
      </c>
      <c r="E463" s="3" t="inlineStr">
        <is>
          <t>MOVE_TACKLE</t>
        </is>
      </c>
    </row>
    <row r="464">
      <c r="A464" s="3" t="inlineStr">
        <is>
          <t>SPECIES_FLAAFFY</t>
        </is>
      </c>
      <c r="B464" s="3" t="inlineStr">
        <is>
          <t>Flaaffy</t>
        </is>
      </c>
      <c r="C464" s="3" t="n">
        <v>1</v>
      </c>
      <c r="D464" s="3" t="inlineStr">
        <is>
          <t>Growl</t>
        </is>
      </c>
      <c r="E464" s="3" t="inlineStr">
        <is>
          <t>MOVE_GROWL</t>
        </is>
      </c>
    </row>
    <row r="465">
      <c r="A465" s="3" t="inlineStr">
        <is>
          <t>SPECIES_FLAAFFY</t>
        </is>
      </c>
      <c r="B465" s="3" t="inlineStr">
        <is>
          <t>Flaaffy</t>
        </is>
      </c>
      <c r="C465" s="3" t="n">
        <v>6</v>
      </c>
      <c r="D465" s="3" t="inlineStr">
        <is>
          <t>Thunder Shock</t>
        </is>
      </c>
      <c r="E465" s="3" t="inlineStr">
        <is>
          <t>MOVE_THUNDER_SHOCK</t>
        </is>
      </c>
    </row>
    <row r="466">
      <c r="A466" s="3" t="inlineStr">
        <is>
          <t>SPECIES_FLAAFFY</t>
        </is>
      </c>
      <c r="B466" s="3" t="inlineStr">
        <is>
          <t>Flaaffy</t>
        </is>
      </c>
      <c r="C466" s="3" t="n">
        <v>10</v>
      </c>
      <c r="D466" s="3" t="inlineStr">
        <is>
          <t>Fairy Wind</t>
        </is>
      </c>
      <c r="E466" s="3" t="inlineStr">
        <is>
          <t>MOVE_FAIRY_WIND</t>
        </is>
      </c>
    </row>
    <row r="467">
      <c r="A467" s="3" t="inlineStr">
        <is>
          <t>SPECIES_FLAAFFY</t>
        </is>
      </c>
      <c r="B467" s="3" t="inlineStr">
        <is>
          <t>Flaaffy</t>
        </is>
      </c>
      <c r="C467" s="3" t="n">
        <v>13</v>
      </c>
      <c r="D467" s="3" t="inlineStr">
        <is>
          <t>Cotton Spore</t>
        </is>
      </c>
      <c r="E467" s="3" t="inlineStr">
        <is>
          <t>MOVE_COTTON_SPORE</t>
        </is>
      </c>
    </row>
    <row r="468">
      <c r="A468" s="3" t="inlineStr">
        <is>
          <t>SPECIES_FLAAFFY</t>
        </is>
      </c>
      <c r="B468" s="3" t="inlineStr">
        <is>
          <t>Flaaffy</t>
        </is>
      </c>
      <c r="C468" s="3" t="n">
        <v>16</v>
      </c>
      <c r="D468" s="3" t="inlineStr">
        <is>
          <t>Charge</t>
        </is>
      </c>
      <c r="E468" s="3" t="inlineStr">
        <is>
          <t>MOVE_CHARGE</t>
        </is>
      </c>
    </row>
    <row r="469">
      <c r="A469" s="3" t="inlineStr">
        <is>
          <t>SPECIES_FLAAFFY</t>
        </is>
      </c>
      <c r="B469" s="3" t="inlineStr">
        <is>
          <t>Flaaffy</t>
        </is>
      </c>
      <c r="C469" s="3" t="n">
        <v>20</v>
      </c>
      <c r="D469" s="3" t="inlineStr">
        <is>
          <t>Take Down</t>
        </is>
      </c>
      <c r="E469" s="3" t="inlineStr">
        <is>
          <t>MOVE_TAKE_DOWN</t>
        </is>
      </c>
    </row>
    <row r="470">
      <c r="A470" s="3" t="inlineStr">
        <is>
          <t>SPECIES_FLAAFFY</t>
        </is>
      </c>
      <c r="B470" s="3" t="inlineStr">
        <is>
          <t>Flaaffy</t>
        </is>
      </c>
      <c r="C470" s="3" t="n">
        <v>22</v>
      </c>
      <c r="D470" s="3" t="inlineStr">
        <is>
          <t>Thunder Wave</t>
        </is>
      </c>
      <c r="E470" s="3" t="inlineStr">
        <is>
          <t>MOVE_THUNDER_WAVE</t>
        </is>
      </c>
    </row>
    <row r="471">
      <c r="A471" s="3" t="inlineStr">
        <is>
          <t>SPECIES_FLAAFFY</t>
        </is>
      </c>
      <c r="B471" s="3" t="inlineStr">
        <is>
          <t>Flaaffy</t>
        </is>
      </c>
      <c r="C471" s="3" t="n">
        <v>25</v>
      </c>
      <c r="D471" s="3" t="inlineStr">
        <is>
          <t>Electro Ball</t>
        </is>
      </c>
      <c r="E471" s="3" t="inlineStr">
        <is>
          <t>MOVE_ELECTRO_BALL</t>
        </is>
      </c>
    </row>
    <row r="472">
      <c r="A472" s="3" t="inlineStr">
        <is>
          <t>SPECIES_FLAAFFY</t>
        </is>
      </c>
      <c r="B472" s="3" t="inlineStr">
        <is>
          <t>Flaaffy</t>
        </is>
      </c>
      <c r="C472" s="3" t="n">
        <v>29</v>
      </c>
      <c r="D472" s="3" t="inlineStr">
        <is>
          <t>Confuse Ray</t>
        </is>
      </c>
      <c r="E472" s="3" t="inlineStr">
        <is>
          <t>MOVE_CONFUSE_RAY</t>
        </is>
      </c>
    </row>
    <row r="473">
      <c r="A473" s="3" t="inlineStr">
        <is>
          <t>SPECIES_FLAAFFY</t>
        </is>
      </c>
      <c r="B473" s="3" t="inlineStr">
        <is>
          <t>Flaaffy</t>
        </is>
      </c>
      <c r="C473" s="3" t="n">
        <v>34</v>
      </c>
      <c r="D473" s="3" t="inlineStr">
        <is>
          <t>Power Gem</t>
        </is>
      </c>
      <c r="E473" s="3" t="inlineStr">
        <is>
          <t>MOVE_POWER_GEM</t>
        </is>
      </c>
    </row>
    <row r="474">
      <c r="A474" s="3" t="inlineStr">
        <is>
          <t>SPECIES_FLAAFFY</t>
        </is>
      </c>
      <c r="B474" s="3" t="inlineStr">
        <is>
          <t>Flaaffy</t>
        </is>
      </c>
      <c r="C474" s="3" t="n">
        <v>38</v>
      </c>
      <c r="D474" s="3" t="inlineStr">
        <is>
          <t>Discharge</t>
        </is>
      </c>
      <c r="E474" s="3" t="inlineStr">
        <is>
          <t>MOVE_DISCHARGE</t>
        </is>
      </c>
    </row>
    <row r="475">
      <c r="A475" s="3" t="inlineStr">
        <is>
          <t>SPECIES_FLAAFFY</t>
        </is>
      </c>
      <c r="B475" s="3" t="inlineStr">
        <is>
          <t>Flaaffy</t>
        </is>
      </c>
      <c r="C475" s="3" t="n">
        <v>43</v>
      </c>
      <c r="D475" s="3" t="inlineStr">
        <is>
          <t>Cotton Guard</t>
        </is>
      </c>
      <c r="E475" s="3" t="inlineStr">
        <is>
          <t>MOVE_COTTON_GUARD</t>
        </is>
      </c>
    </row>
    <row r="476">
      <c r="A476" s="3" t="inlineStr">
        <is>
          <t>SPECIES_FLAAFFY</t>
        </is>
      </c>
      <c r="B476" s="3" t="inlineStr">
        <is>
          <t>Flaaffy</t>
        </is>
      </c>
      <c r="C476" s="3" t="n">
        <v>47</v>
      </c>
      <c r="D476" s="3" t="inlineStr">
        <is>
          <t>Dazzling Gleam</t>
        </is>
      </c>
      <c r="E476" s="3" t="inlineStr">
        <is>
          <t>MOVE_DAZZLING_GLEAM</t>
        </is>
      </c>
    </row>
    <row r="477">
      <c r="A477" s="3" t="inlineStr">
        <is>
          <t>SPECIES_FLAAFFY</t>
        </is>
      </c>
      <c r="B477" s="3" t="inlineStr">
        <is>
          <t>Flaaffy</t>
        </is>
      </c>
      <c r="C477" s="3" t="n">
        <v>52</v>
      </c>
      <c r="D477" s="3" t="inlineStr">
        <is>
          <t>Light Screen</t>
        </is>
      </c>
      <c r="E477" s="3" t="inlineStr">
        <is>
          <t>MOVE_LIGHT_SCREEN</t>
        </is>
      </c>
    </row>
    <row r="478">
      <c r="A478" s="3" t="inlineStr">
        <is>
          <t>SPECIES_FLAAFFY</t>
        </is>
      </c>
      <c r="B478" s="3" t="inlineStr">
        <is>
          <t>Flaaffy</t>
        </is>
      </c>
      <c r="C478" s="3" t="n">
        <v>56</v>
      </c>
      <c r="D478" s="3" t="inlineStr">
        <is>
          <t>Thunder</t>
        </is>
      </c>
      <c r="E478" s="3" t="inlineStr">
        <is>
          <t>MOVE_THUNDER</t>
        </is>
      </c>
    </row>
    <row r="479">
      <c r="A479" s="3" t="inlineStr">
        <is>
          <t>SPECIES_AMPHAROS</t>
        </is>
      </c>
      <c r="B479" s="3" t="inlineStr">
        <is>
          <t>Ampharos</t>
        </is>
      </c>
      <c r="C479" s="3" t="n">
        <v>0</v>
      </c>
      <c r="D479" s="3" t="inlineStr">
        <is>
          <t>Thunder Punch</t>
        </is>
      </c>
      <c r="E479" s="3" t="inlineStr">
        <is>
          <t>MOVE_THUNDER_PUNCH</t>
        </is>
      </c>
    </row>
    <row r="480">
      <c r="A480" s="3" t="inlineStr">
        <is>
          <t>SPECIES_AMPHAROS</t>
        </is>
      </c>
      <c r="B480" s="3" t="inlineStr">
        <is>
          <t>Ampharos</t>
        </is>
      </c>
      <c r="C480" s="3" t="n">
        <v>1</v>
      </c>
      <c r="D480" s="3" t="inlineStr">
        <is>
          <t>Fire Punch</t>
        </is>
      </c>
      <c r="E480" s="3" t="inlineStr">
        <is>
          <t>MOVE_FIRE_PUNCH</t>
        </is>
      </c>
    </row>
    <row r="481">
      <c r="A481" s="3" t="inlineStr">
        <is>
          <t>SPECIES_AMPHAROS</t>
        </is>
      </c>
      <c r="B481" s="3" t="inlineStr">
        <is>
          <t>Ampharos</t>
        </is>
      </c>
      <c r="C481" s="3" t="n">
        <v>1</v>
      </c>
      <c r="D481" s="3" t="inlineStr">
        <is>
          <t>Tackle</t>
        </is>
      </c>
      <c r="E481" s="3" t="inlineStr">
        <is>
          <t>MOVE_TACKLE</t>
        </is>
      </c>
    </row>
    <row r="482">
      <c r="A482" s="3" t="inlineStr">
        <is>
          <t>SPECIES_AMPHAROS</t>
        </is>
      </c>
      <c r="B482" s="3" t="inlineStr">
        <is>
          <t>Ampharos</t>
        </is>
      </c>
      <c r="C482" s="3" t="n">
        <v>1</v>
      </c>
      <c r="D482" s="3" t="inlineStr">
        <is>
          <t>Growl</t>
        </is>
      </c>
      <c r="E482" s="3" t="inlineStr">
        <is>
          <t>MOVE_GROWL</t>
        </is>
      </c>
    </row>
    <row r="483">
      <c r="A483" s="3" t="inlineStr">
        <is>
          <t>SPECIES_AMPHAROS</t>
        </is>
      </c>
      <c r="B483" s="3" t="inlineStr">
        <is>
          <t>Ampharos</t>
        </is>
      </c>
      <c r="C483" s="3" t="n">
        <v>1</v>
      </c>
      <c r="D483" s="3" t="inlineStr">
        <is>
          <t>Thunder Shock</t>
        </is>
      </c>
      <c r="E483" s="3" t="inlineStr">
        <is>
          <t>MOVE_THUNDER_SHOCK</t>
        </is>
      </c>
    </row>
    <row r="484">
      <c r="A484" s="3" t="inlineStr">
        <is>
          <t>SPECIES_AMPHAROS</t>
        </is>
      </c>
      <c r="B484" s="3" t="inlineStr">
        <is>
          <t>Ampharos</t>
        </is>
      </c>
      <c r="C484" s="3" t="n">
        <v>1</v>
      </c>
      <c r="D484" s="3" t="inlineStr">
        <is>
          <t>Fairy Wind</t>
        </is>
      </c>
      <c r="E484" s="3" t="inlineStr">
        <is>
          <t>MOVE_FAIRY_WIND</t>
        </is>
      </c>
    </row>
    <row r="485">
      <c r="A485" s="3" t="inlineStr">
        <is>
          <t>SPECIES_AMPHAROS</t>
        </is>
      </c>
      <c r="B485" s="3" t="inlineStr">
        <is>
          <t>Ampharos</t>
        </is>
      </c>
      <c r="C485" s="3" t="n">
        <v>1</v>
      </c>
      <c r="D485" s="3" t="inlineStr">
        <is>
          <t>Dragon Pulse</t>
        </is>
      </c>
      <c r="E485" s="3" t="inlineStr">
        <is>
          <t>MOVE_DRAGON_PULSE</t>
        </is>
      </c>
    </row>
    <row r="486">
      <c r="A486" s="3" t="inlineStr">
        <is>
          <t>SPECIES_AMPHAROS</t>
        </is>
      </c>
      <c r="B486" s="3" t="inlineStr">
        <is>
          <t>Ampharos</t>
        </is>
      </c>
      <c r="C486" s="3" t="n">
        <v>1</v>
      </c>
      <c r="D486" s="3" t="inlineStr">
        <is>
          <t>Magnetic Flux</t>
        </is>
      </c>
      <c r="E486" s="3" t="inlineStr">
        <is>
          <t>MOVE_MAGNETIC_FLUX</t>
        </is>
      </c>
    </row>
    <row r="487">
      <c r="A487" s="3" t="inlineStr">
        <is>
          <t>SPECIES_AMPHAROS</t>
        </is>
      </c>
      <c r="B487" s="3" t="inlineStr">
        <is>
          <t>Ampharos</t>
        </is>
      </c>
      <c r="C487" s="3" t="n">
        <v>1</v>
      </c>
      <c r="D487" s="3" t="inlineStr">
        <is>
          <t>Zap Cannon</t>
        </is>
      </c>
      <c r="E487" s="3" t="inlineStr">
        <is>
          <t>MOVE_ZAP_CANNON</t>
        </is>
      </c>
    </row>
    <row r="488">
      <c r="A488" s="3" t="inlineStr">
        <is>
          <t>SPECIES_AMPHAROS</t>
        </is>
      </c>
      <c r="B488" s="3" t="inlineStr">
        <is>
          <t>Ampharos</t>
        </is>
      </c>
      <c r="C488" s="3" t="n">
        <v>10</v>
      </c>
      <c r="D488" s="3" t="inlineStr">
        <is>
          <t>Fairy Wind</t>
        </is>
      </c>
      <c r="E488" s="3" t="inlineStr">
        <is>
          <t>MOVE_FAIRY_WIND</t>
        </is>
      </c>
    </row>
    <row r="489">
      <c r="A489" s="3" t="inlineStr">
        <is>
          <t>SPECIES_AMPHAROS</t>
        </is>
      </c>
      <c r="B489" s="3" t="inlineStr">
        <is>
          <t>Ampharos</t>
        </is>
      </c>
      <c r="C489" s="3" t="n">
        <v>13</v>
      </c>
      <c r="D489" s="3" t="inlineStr">
        <is>
          <t>Cotton Spore</t>
        </is>
      </c>
      <c r="E489" s="3" t="inlineStr">
        <is>
          <t>MOVE_COTTON_SPORE</t>
        </is>
      </c>
    </row>
    <row r="490">
      <c r="A490" s="3" t="inlineStr">
        <is>
          <t>SPECIES_AMPHAROS</t>
        </is>
      </c>
      <c r="B490" s="3" t="inlineStr">
        <is>
          <t>Ampharos</t>
        </is>
      </c>
      <c r="C490" s="3" t="n">
        <v>16</v>
      </c>
      <c r="D490" s="3" t="inlineStr">
        <is>
          <t>Charge</t>
        </is>
      </c>
      <c r="E490" s="3" t="inlineStr">
        <is>
          <t>MOVE_CHARGE</t>
        </is>
      </c>
    </row>
    <row r="491">
      <c r="A491" s="3" t="inlineStr">
        <is>
          <t>SPECIES_AMPHAROS</t>
        </is>
      </c>
      <c r="B491" s="3" t="inlineStr">
        <is>
          <t>Ampharos</t>
        </is>
      </c>
      <c r="C491" s="3" t="n">
        <v>20</v>
      </c>
      <c r="D491" s="3" t="inlineStr">
        <is>
          <t>Take Down</t>
        </is>
      </c>
      <c r="E491" s="3" t="inlineStr">
        <is>
          <t>MOVE_TAKE_DOWN</t>
        </is>
      </c>
    </row>
    <row r="492">
      <c r="A492" s="3" t="inlineStr">
        <is>
          <t>SPECIES_AMPHAROS</t>
        </is>
      </c>
      <c r="B492" s="3" t="inlineStr">
        <is>
          <t>Ampharos</t>
        </is>
      </c>
      <c r="C492" s="3" t="n">
        <v>22</v>
      </c>
      <c r="D492" s="3" t="inlineStr">
        <is>
          <t>Thunder Wave</t>
        </is>
      </c>
      <c r="E492" s="3" t="inlineStr">
        <is>
          <t>MOVE_THUNDER_WAVE</t>
        </is>
      </c>
    </row>
    <row r="493">
      <c r="A493" s="3" t="inlineStr">
        <is>
          <t>SPECIES_AMPHAROS</t>
        </is>
      </c>
      <c r="B493" s="3" t="inlineStr">
        <is>
          <t>Ampharos</t>
        </is>
      </c>
      <c r="C493" s="3" t="n">
        <v>25</v>
      </c>
      <c r="D493" s="3" t="inlineStr">
        <is>
          <t>Electro Ball</t>
        </is>
      </c>
      <c r="E493" s="3" t="inlineStr">
        <is>
          <t>MOVE_ELECTRO_BALL</t>
        </is>
      </c>
    </row>
    <row r="494">
      <c r="A494" s="3" t="inlineStr">
        <is>
          <t>SPECIES_AMPHAROS</t>
        </is>
      </c>
      <c r="B494" s="3" t="inlineStr">
        <is>
          <t>Ampharos</t>
        </is>
      </c>
      <c r="C494" s="3" t="n">
        <v>29</v>
      </c>
      <c r="D494" s="3" t="inlineStr">
        <is>
          <t>Confuse Ray</t>
        </is>
      </c>
      <c r="E494" s="3" t="inlineStr">
        <is>
          <t>MOVE_CONFUSE_RAY</t>
        </is>
      </c>
    </row>
    <row r="495">
      <c r="A495" s="3" t="inlineStr">
        <is>
          <t>SPECIES_AMPHAROS</t>
        </is>
      </c>
      <c r="B495" s="3" t="inlineStr">
        <is>
          <t>Ampharos</t>
        </is>
      </c>
      <c r="C495" s="3" t="n">
        <v>35</v>
      </c>
      <c r="D495" s="3" t="inlineStr">
        <is>
          <t>Power Gem</t>
        </is>
      </c>
      <c r="E495" s="3" t="inlineStr">
        <is>
          <t>MOVE_POWER_GEM</t>
        </is>
      </c>
    </row>
    <row r="496">
      <c r="A496" s="3" t="inlineStr">
        <is>
          <t>SPECIES_AMPHAROS</t>
        </is>
      </c>
      <c r="B496" s="3" t="inlineStr">
        <is>
          <t>Ampharos</t>
        </is>
      </c>
      <c r="C496" s="3" t="n">
        <v>40</v>
      </c>
      <c r="D496" s="3" t="inlineStr">
        <is>
          <t>Discharge</t>
        </is>
      </c>
      <c r="E496" s="3" t="inlineStr">
        <is>
          <t>MOVE_DISCHARGE</t>
        </is>
      </c>
    </row>
    <row r="497">
      <c r="A497" s="3" t="inlineStr">
        <is>
          <t>SPECIES_AMPHAROS</t>
        </is>
      </c>
      <c r="B497" s="3" t="inlineStr">
        <is>
          <t>Ampharos</t>
        </is>
      </c>
      <c r="C497" s="3" t="n">
        <v>46</v>
      </c>
      <c r="D497" s="3" t="inlineStr">
        <is>
          <t>Cotton Guard</t>
        </is>
      </c>
      <c r="E497" s="3" t="inlineStr">
        <is>
          <t>MOVE_COTTON_GUARD</t>
        </is>
      </c>
    </row>
    <row r="498">
      <c r="A498" s="3" t="inlineStr">
        <is>
          <t>SPECIES_AMPHAROS</t>
        </is>
      </c>
      <c r="B498" s="3" t="inlineStr">
        <is>
          <t>Ampharos</t>
        </is>
      </c>
      <c r="C498" s="3" t="n">
        <v>51</v>
      </c>
      <c r="D498" s="3" t="inlineStr">
        <is>
          <t>Dazzling Gleam</t>
        </is>
      </c>
      <c r="E498" s="3" t="inlineStr">
        <is>
          <t>MOVE_DAZZLING_GLEAM</t>
        </is>
      </c>
    </row>
    <row r="499">
      <c r="A499" s="3" t="inlineStr">
        <is>
          <t>SPECIES_AMPHAROS</t>
        </is>
      </c>
      <c r="B499" s="3" t="inlineStr">
        <is>
          <t>Ampharos</t>
        </is>
      </c>
      <c r="C499" s="3" t="n">
        <v>57</v>
      </c>
      <c r="D499" s="3" t="inlineStr">
        <is>
          <t>Light Screen</t>
        </is>
      </c>
      <c r="E499" s="3" t="inlineStr">
        <is>
          <t>MOVE_LIGHT_SCREEN</t>
        </is>
      </c>
    </row>
    <row r="500">
      <c r="A500" s="3" t="inlineStr">
        <is>
          <t>SPECIES_AMPHAROS</t>
        </is>
      </c>
      <c r="B500" s="3" t="inlineStr">
        <is>
          <t>Ampharos</t>
        </is>
      </c>
      <c r="C500" s="3" t="n">
        <v>62</v>
      </c>
      <c r="D500" s="3" t="inlineStr">
        <is>
          <t>Thunder</t>
        </is>
      </c>
      <c r="E500" s="3" t="inlineStr">
        <is>
          <t>MOVE_THUNDER</t>
        </is>
      </c>
    </row>
    <row r="501">
      <c r="A501" s="3" t="inlineStr">
        <is>
          <t>SPECIES_WOOPER_PALDEA</t>
        </is>
      </c>
      <c r="B501" s="3" t="inlineStr">
        <is>
          <t>Wooper-Paldea</t>
        </is>
      </c>
      <c r="C501" s="3" t="n">
        <v>1</v>
      </c>
      <c r="D501" s="3" t="inlineStr">
        <is>
          <t>Tail Whip</t>
        </is>
      </c>
      <c r="E501" s="3" t="inlineStr">
        <is>
          <t>MOVE_TAIL_WHIP</t>
        </is>
      </c>
    </row>
    <row r="502">
      <c r="A502" s="3" t="inlineStr">
        <is>
          <t>SPECIES_WOOPER_PALDEA</t>
        </is>
      </c>
      <c r="B502" s="3" t="inlineStr">
        <is>
          <t>Wooper-Paldea</t>
        </is>
      </c>
      <c r="C502" s="3" t="n">
        <v>1</v>
      </c>
      <c r="D502" s="3" t="inlineStr">
        <is>
          <t>Mud Shot</t>
        </is>
      </c>
      <c r="E502" s="3" t="inlineStr">
        <is>
          <t>MOVE_MUD_SHOT</t>
        </is>
      </c>
    </row>
    <row r="503">
      <c r="A503" s="3" t="inlineStr">
        <is>
          <t>SPECIES_WOOPER_PALDEA</t>
        </is>
      </c>
      <c r="B503" s="3" t="inlineStr">
        <is>
          <t>Wooper-Paldea</t>
        </is>
      </c>
      <c r="C503" s="3" t="n">
        <v>4</v>
      </c>
      <c r="D503" s="3" t="inlineStr">
        <is>
          <t>Tackle</t>
        </is>
      </c>
      <c r="E503" s="3" t="inlineStr">
        <is>
          <t>MOVE_TACKLE</t>
        </is>
      </c>
    </row>
    <row r="504">
      <c r="A504" s="3" t="inlineStr">
        <is>
          <t>SPECIES_WOOPER_PALDEA</t>
        </is>
      </c>
      <c r="B504" s="3" t="inlineStr">
        <is>
          <t>Wooper-Paldea</t>
        </is>
      </c>
      <c r="C504" s="3" t="n">
        <v>8</v>
      </c>
      <c r="D504" s="3" t="inlineStr">
        <is>
          <t>Poison Tail</t>
        </is>
      </c>
      <c r="E504" s="3" t="inlineStr">
        <is>
          <t>MOVE_POISON_TAIL</t>
        </is>
      </c>
    </row>
    <row r="505">
      <c r="A505" s="3" t="inlineStr">
        <is>
          <t>SPECIES_WOOPER_PALDEA</t>
        </is>
      </c>
      <c r="B505" s="3" t="inlineStr">
        <is>
          <t>Wooper-Paldea</t>
        </is>
      </c>
      <c r="C505" s="3" t="n">
        <v>12</v>
      </c>
      <c r="D505" s="3" t="inlineStr">
        <is>
          <t>Toxic Spikes</t>
        </is>
      </c>
      <c r="E505" s="3" t="inlineStr">
        <is>
          <t>MOVE_TOXIC_SPIKES</t>
        </is>
      </c>
    </row>
    <row r="506">
      <c r="A506" s="3" t="inlineStr">
        <is>
          <t>SPECIES_WOOPER_PALDEA</t>
        </is>
      </c>
      <c r="B506" s="3" t="inlineStr">
        <is>
          <t>Wooper-Paldea</t>
        </is>
      </c>
      <c r="C506" s="3" t="n">
        <v>16</v>
      </c>
      <c r="D506" s="3" t="inlineStr">
        <is>
          <t>Slam</t>
        </is>
      </c>
      <c r="E506" s="3" t="inlineStr">
        <is>
          <t>MOVE_SLAM</t>
        </is>
      </c>
    </row>
    <row r="507">
      <c r="A507" s="3" t="inlineStr">
        <is>
          <t>SPECIES_WOOPER_PALDEA</t>
        </is>
      </c>
      <c r="B507" s="3" t="inlineStr">
        <is>
          <t>Wooper-Paldea</t>
        </is>
      </c>
      <c r="C507" s="3" t="n">
        <v>21</v>
      </c>
      <c r="D507" s="3" t="inlineStr">
        <is>
          <t>Yawn</t>
        </is>
      </c>
      <c r="E507" s="3" t="inlineStr">
        <is>
          <t>MOVE_YAWN</t>
        </is>
      </c>
    </row>
    <row r="508">
      <c r="A508" s="3" t="inlineStr">
        <is>
          <t>SPECIES_WOOPER_PALDEA</t>
        </is>
      </c>
      <c r="B508" s="3" t="inlineStr">
        <is>
          <t>Wooper-Paldea</t>
        </is>
      </c>
      <c r="C508" s="3" t="n">
        <v>24</v>
      </c>
      <c r="D508" s="3" t="inlineStr">
        <is>
          <t>Poison Jab</t>
        </is>
      </c>
      <c r="E508" s="3" t="inlineStr">
        <is>
          <t>MOVE_POISON_JAB</t>
        </is>
      </c>
    </row>
    <row r="509">
      <c r="A509" s="3" t="inlineStr">
        <is>
          <t>SPECIES_WOOPER_PALDEA</t>
        </is>
      </c>
      <c r="B509" s="3" t="inlineStr">
        <is>
          <t>Wooper-Paldea</t>
        </is>
      </c>
      <c r="C509" s="3" t="n">
        <v>28</v>
      </c>
      <c r="D509" s="3" t="inlineStr">
        <is>
          <t>Sludge Wave</t>
        </is>
      </c>
      <c r="E509" s="3" t="inlineStr">
        <is>
          <t>MOVE_SLUDGE_WAVE</t>
        </is>
      </c>
    </row>
    <row r="510">
      <c r="A510" s="3" t="inlineStr">
        <is>
          <t>SPECIES_WOOPER_PALDEA</t>
        </is>
      </c>
      <c r="B510" s="3" t="inlineStr">
        <is>
          <t>Wooper-Paldea</t>
        </is>
      </c>
      <c r="C510" s="3" t="n">
        <v>32</v>
      </c>
      <c r="D510" s="3" t="inlineStr">
        <is>
          <t>Amnesia</t>
        </is>
      </c>
      <c r="E510" s="3" t="inlineStr">
        <is>
          <t>MOVE_AMNESIA</t>
        </is>
      </c>
    </row>
    <row r="511">
      <c r="A511" s="3" t="inlineStr">
        <is>
          <t>SPECIES_WOOPER_PALDEA</t>
        </is>
      </c>
      <c r="B511" s="3" t="inlineStr">
        <is>
          <t>Wooper-Paldea</t>
        </is>
      </c>
      <c r="C511" s="3" t="n">
        <v>36</v>
      </c>
      <c r="D511" s="3" t="inlineStr">
        <is>
          <t>Toxic</t>
        </is>
      </c>
      <c r="E511" s="3" t="inlineStr">
        <is>
          <t>MOVE_TOXIC</t>
        </is>
      </c>
    </row>
    <row r="512">
      <c r="A512" s="3" t="inlineStr">
        <is>
          <t>SPECIES_WOOPER_PALDEA</t>
        </is>
      </c>
      <c r="B512" s="3" t="inlineStr">
        <is>
          <t>Wooper-Paldea</t>
        </is>
      </c>
      <c r="C512" s="3" t="n">
        <v>40</v>
      </c>
      <c r="D512" s="3" t="inlineStr">
        <is>
          <t>Earthquake</t>
        </is>
      </c>
      <c r="E512" s="3" t="inlineStr">
        <is>
          <t>MOVE_EARTHQUAKE</t>
        </is>
      </c>
    </row>
    <row r="513">
      <c r="A513" s="3" t="inlineStr">
        <is>
          <t>SPECIES_CLODSIRE</t>
        </is>
      </c>
      <c r="B513" s="3" t="inlineStr">
        <is>
          <t>Clodsire</t>
        </is>
      </c>
      <c r="C513" s="3" t="n">
        <v>0</v>
      </c>
      <c r="D513" s="3" t="inlineStr">
        <is>
          <t>Amnesia</t>
        </is>
      </c>
      <c r="E513" s="3" t="inlineStr">
        <is>
          <t>MOVE_AMNESIA</t>
        </is>
      </c>
    </row>
    <row r="514">
      <c r="A514" s="3" t="inlineStr">
        <is>
          <t>SPECIES_CLODSIRE</t>
        </is>
      </c>
      <c r="B514" s="3" t="inlineStr">
        <is>
          <t>Clodsire</t>
        </is>
      </c>
      <c r="C514" s="3" t="n">
        <v>1</v>
      </c>
      <c r="D514" s="3" t="inlineStr">
        <is>
          <t>Tail Whip</t>
        </is>
      </c>
      <c r="E514" s="3" t="inlineStr">
        <is>
          <t>MOVE_TAIL_WHIP</t>
        </is>
      </c>
    </row>
    <row r="515">
      <c r="A515" s="3" t="inlineStr">
        <is>
          <t>SPECIES_CLODSIRE</t>
        </is>
      </c>
      <c r="B515" s="3" t="inlineStr">
        <is>
          <t>Clodsire</t>
        </is>
      </c>
      <c r="C515" s="3" t="n">
        <v>1</v>
      </c>
      <c r="D515" s="3" t="inlineStr">
        <is>
          <t>Poison Sting</t>
        </is>
      </c>
      <c r="E515" s="3" t="inlineStr">
        <is>
          <t>MOVE_POISON_STING</t>
        </is>
      </c>
    </row>
    <row r="516">
      <c r="A516" s="3" t="inlineStr">
        <is>
          <t>SPECIES_CLODSIRE</t>
        </is>
      </c>
      <c r="B516" s="3" t="inlineStr">
        <is>
          <t>Clodsire</t>
        </is>
      </c>
      <c r="C516" s="3" t="n">
        <v>4</v>
      </c>
      <c r="D516" s="3" t="inlineStr">
        <is>
          <t>Toxic Spikes</t>
        </is>
      </c>
      <c r="E516" s="3" t="inlineStr">
        <is>
          <t>MOVE_TOXIC_SPIKES</t>
        </is>
      </c>
    </row>
    <row r="517">
      <c r="A517" s="3" t="inlineStr">
        <is>
          <t>SPECIES_CLODSIRE</t>
        </is>
      </c>
      <c r="B517" s="3" t="inlineStr">
        <is>
          <t>Clodsire</t>
        </is>
      </c>
      <c r="C517" s="3" t="n">
        <v>8</v>
      </c>
      <c r="D517" s="3" t="inlineStr">
        <is>
          <t>Mud Shot</t>
        </is>
      </c>
      <c r="E517" s="3" t="inlineStr">
        <is>
          <t>MOVE_MUD_SHOT</t>
        </is>
      </c>
    </row>
    <row r="518">
      <c r="A518" s="3" t="inlineStr">
        <is>
          <t>SPECIES_CLODSIRE</t>
        </is>
      </c>
      <c r="B518" s="3" t="inlineStr">
        <is>
          <t>Clodsire</t>
        </is>
      </c>
      <c r="C518" s="3" t="n">
        <v>12</v>
      </c>
      <c r="D518" s="3" t="inlineStr">
        <is>
          <t>Poison Tail</t>
        </is>
      </c>
      <c r="E518" s="3" t="inlineStr">
        <is>
          <t>MOVE_POISON_TAIL</t>
        </is>
      </c>
    </row>
    <row r="519">
      <c r="A519" s="3" t="inlineStr">
        <is>
          <t>SPECIES_CLODSIRE</t>
        </is>
      </c>
      <c r="B519" s="3" t="inlineStr">
        <is>
          <t>Clodsire</t>
        </is>
      </c>
      <c r="C519" s="3" t="n">
        <v>16</v>
      </c>
      <c r="D519" s="3" t="inlineStr">
        <is>
          <t>Slam</t>
        </is>
      </c>
      <c r="E519" s="3" t="inlineStr">
        <is>
          <t>MOVE_SLAM</t>
        </is>
      </c>
    </row>
    <row r="520">
      <c r="A520" s="3" t="inlineStr">
        <is>
          <t>SPECIES_CLODSIRE</t>
        </is>
      </c>
      <c r="B520" s="3" t="inlineStr">
        <is>
          <t>Clodsire</t>
        </is>
      </c>
      <c r="C520" s="3" t="n">
        <v>21</v>
      </c>
      <c r="D520" s="3" t="inlineStr">
        <is>
          <t>Yawn</t>
        </is>
      </c>
      <c r="E520" s="3" t="inlineStr">
        <is>
          <t>MOVE_YAWN</t>
        </is>
      </c>
    </row>
    <row r="521">
      <c r="A521" s="3" t="inlineStr">
        <is>
          <t>SPECIES_CLODSIRE</t>
        </is>
      </c>
      <c r="B521" s="3" t="inlineStr">
        <is>
          <t>Clodsire</t>
        </is>
      </c>
      <c r="C521" s="3" t="n">
        <v>24</v>
      </c>
      <c r="D521" s="3" t="inlineStr">
        <is>
          <t>Poison Jab</t>
        </is>
      </c>
      <c r="E521" s="3" t="inlineStr">
        <is>
          <t>MOVE_POISON_JAB</t>
        </is>
      </c>
    </row>
    <row r="522">
      <c r="A522" s="3" t="inlineStr">
        <is>
          <t>SPECIES_CLODSIRE</t>
        </is>
      </c>
      <c r="B522" s="3" t="inlineStr">
        <is>
          <t>Clodsire</t>
        </is>
      </c>
      <c r="C522" s="3" t="n">
        <v>30</v>
      </c>
      <c r="D522" s="3" t="inlineStr">
        <is>
          <t>Sludge Wave</t>
        </is>
      </c>
      <c r="E522" s="3" t="inlineStr">
        <is>
          <t>MOVE_SLUDGE_WAVE</t>
        </is>
      </c>
    </row>
    <row r="523">
      <c r="A523" s="3" t="inlineStr">
        <is>
          <t>SPECIES_CLODSIRE</t>
        </is>
      </c>
      <c r="B523" s="3" t="inlineStr">
        <is>
          <t>Clodsire</t>
        </is>
      </c>
      <c r="C523" s="3" t="n">
        <v>36</v>
      </c>
      <c r="D523" s="3" t="inlineStr">
        <is>
          <t>Megahorn</t>
        </is>
      </c>
      <c r="E523" s="3" t="inlineStr">
        <is>
          <t>MOVE_MEGAHORN</t>
        </is>
      </c>
    </row>
    <row r="524">
      <c r="A524" s="3" t="inlineStr">
        <is>
          <t>SPECIES_CLODSIRE</t>
        </is>
      </c>
      <c r="B524" s="3" t="inlineStr">
        <is>
          <t>Clodsire</t>
        </is>
      </c>
      <c r="C524" s="3" t="n">
        <v>40</v>
      </c>
      <c r="D524" s="3" t="inlineStr">
        <is>
          <t>Toxic</t>
        </is>
      </c>
      <c r="E524" s="3" t="inlineStr">
        <is>
          <t>MOVE_TOXIC</t>
        </is>
      </c>
    </row>
    <row r="525">
      <c r="A525" s="3" t="inlineStr">
        <is>
          <t>SPECIES_CLODSIRE</t>
        </is>
      </c>
      <c r="B525" s="3" t="inlineStr">
        <is>
          <t>Clodsire</t>
        </is>
      </c>
      <c r="C525" s="3" t="n">
        <v>48</v>
      </c>
      <c r="D525" s="3" t="inlineStr">
        <is>
          <t>Earthquake</t>
        </is>
      </c>
      <c r="E525" s="3" t="inlineStr">
        <is>
          <t>MOVE_EARTHQUAKE</t>
        </is>
      </c>
    </row>
    <row r="526">
      <c r="A526" s="3" t="inlineStr">
        <is>
          <t>SPECIES_MURKROW</t>
        </is>
      </c>
      <c r="B526" s="3" t="inlineStr">
        <is>
          <t>Murkrow</t>
        </is>
      </c>
      <c r="C526" s="3" t="n">
        <v>1</v>
      </c>
      <c r="D526" s="3" t="inlineStr">
        <is>
          <t>Peck</t>
        </is>
      </c>
      <c r="E526" s="3" t="inlineStr">
        <is>
          <t>MOVE_PECK</t>
        </is>
      </c>
    </row>
    <row r="527">
      <c r="A527" s="3" t="inlineStr">
        <is>
          <t>SPECIES_MURKROW</t>
        </is>
      </c>
      <c r="B527" s="3" t="inlineStr">
        <is>
          <t>Murkrow</t>
        </is>
      </c>
      <c r="C527" s="3" t="n">
        <v>1</v>
      </c>
      <c r="D527" s="3" t="inlineStr">
        <is>
          <t>Astonish</t>
        </is>
      </c>
      <c r="E527" s="3" t="inlineStr">
        <is>
          <t>MOVE_ASTONISH</t>
        </is>
      </c>
    </row>
    <row r="528">
      <c r="A528" s="3" t="inlineStr">
        <is>
          <t>SPECIES_MURKROW</t>
        </is>
      </c>
      <c r="B528" s="3" t="inlineStr">
        <is>
          <t>Murkrow</t>
        </is>
      </c>
      <c r="C528" s="3" t="n">
        <v>5</v>
      </c>
      <c r="D528" s="3" t="inlineStr">
        <is>
          <t>Gust</t>
        </is>
      </c>
      <c r="E528" s="3" t="inlineStr">
        <is>
          <t>MOVE_GUST</t>
        </is>
      </c>
    </row>
    <row r="529">
      <c r="A529" s="3" t="inlineStr">
        <is>
          <t>SPECIES_MURKROW</t>
        </is>
      </c>
      <c r="B529" s="3" t="inlineStr">
        <is>
          <t>Murkrow</t>
        </is>
      </c>
      <c r="C529" s="3" t="n">
        <v>11</v>
      </c>
      <c r="D529" s="3" t="inlineStr">
        <is>
          <t>Haze</t>
        </is>
      </c>
      <c r="E529" s="3" t="inlineStr">
        <is>
          <t>MOVE_HAZE</t>
        </is>
      </c>
    </row>
    <row r="530">
      <c r="A530" s="3" t="inlineStr">
        <is>
          <t>SPECIES_MURKROW</t>
        </is>
      </c>
      <c r="B530" s="3" t="inlineStr">
        <is>
          <t>Murkrow</t>
        </is>
      </c>
      <c r="C530" s="3" t="n">
        <v>15</v>
      </c>
      <c r="D530" s="3" t="inlineStr">
        <is>
          <t>Wing Attack</t>
        </is>
      </c>
      <c r="E530" s="3" t="inlineStr">
        <is>
          <t>MOVE_WING_ATTACK</t>
        </is>
      </c>
    </row>
    <row r="531">
      <c r="A531" s="3" t="inlineStr">
        <is>
          <t>SPECIES_MURKROW</t>
        </is>
      </c>
      <c r="B531" s="3" t="inlineStr">
        <is>
          <t>Murkrow</t>
        </is>
      </c>
      <c r="C531" s="3" t="n">
        <v>21</v>
      </c>
      <c r="D531" s="3" t="inlineStr">
        <is>
          <t>Night Shade</t>
        </is>
      </c>
      <c r="E531" s="3" t="inlineStr">
        <is>
          <t>MOVE_NIGHT_SHADE</t>
        </is>
      </c>
    </row>
    <row r="532">
      <c r="A532" s="3" t="inlineStr">
        <is>
          <t>SPECIES_MURKROW</t>
        </is>
      </c>
      <c r="B532" s="3" t="inlineStr">
        <is>
          <t>Murkrow</t>
        </is>
      </c>
      <c r="C532" s="3" t="n">
        <v>25</v>
      </c>
      <c r="D532" s="3" t="inlineStr">
        <is>
          <t>Assurance</t>
        </is>
      </c>
      <c r="E532" s="3" t="inlineStr">
        <is>
          <t>MOVE_ASSURANCE</t>
        </is>
      </c>
    </row>
    <row r="533">
      <c r="A533" s="3" t="inlineStr">
        <is>
          <t>SPECIES_MURKROW</t>
        </is>
      </c>
      <c r="B533" s="3" t="inlineStr">
        <is>
          <t>Murkrow</t>
        </is>
      </c>
      <c r="C533" s="3" t="n">
        <v>31</v>
      </c>
      <c r="D533" s="3" t="inlineStr">
        <is>
          <t>Taunt</t>
        </is>
      </c>
      <c r="E533" s="3" t="inlineStr">
        <is>
          <t>MOVE_TAUNT</t>
        </is>
      </c>
    </row>
    <row r="534">
      <c r="A534" s="3" t="inlineStr">
        <is>
          <t>SPECIES_MURKROW</t>
        </is>
      </c>
      <c r="B534" s="3" t="inlineStr">
        <is>
          <t>Murkrow</t>
        </is>
      </c>
      <c r="C534" s="3" t="n">
        <v>35</v>
      </c>
      <c r="D534" s="3" t="inlineStr">
        <is>
          <t>Mean Look</t>
        </is>
      </c>
      <c r="E534" s="3" t="inlineStr">
        <is>
          <t>MOVE_MEAN_LOOK</t>
        </is>
      </c>
    </row>
    <row r="535">
      <c r="A535" s="3" t="inlineStr">
        <is>
          <t>SPECIES_MURKROW</t>
        </is>
      </c>
      <c r="B535" s="3" t="inlineStr">
        <is>
          <t>Murkrow</t>
        </is>
      </c>
      <c r="C535" s="3" t="n">
        <v>40</v>
      </c>
      <c r="D535" s="3" t="inlineStr">
        <is>
          <t>Foul Play</t>
        </is>
      </c>
      <c r="E535" s="3" t="inlineStr">
        <is>
          <t>MOVE_FOUL_PLAY</t>
        </is>
      </c>
    </row>
    <row r="536">
      <c r="A536" s="3" t="inlineStr">
        <is>
          <t>SPECIES_MURKROW</t>
        </is>
      </c>
      <c r="B536" s="3" t="inlineStr">
        <is>
          <t>Murkrow</t>
        </is>
      </c>
      <c r="C536" s="3" t="n">
        <v>50</v>
      </c>
      <c r="D536" s="3" t="inlineStr">
        <is>
          <t>Sucker Punch</t>
        </is>
      </c>
      <c r="E536" s="3" t="inlineStr">
        <is>
          <t>MOVE_SUCKER_PUNCH</t>
        </is>
      </c>
    </row>
    <row r="537">
      <c r="A537" s="3" t="inlineStr">
        <is>
          <t>SPECIES_MURKROW</t>
        </is>
      </c>
      <c r="B537" s="3" t="inlineStr">
        <is>
          <t>Murkrow</t>
        </is>
      </c>
      <c r="C537" s="3" t="n">
        <v>55</v>
      </c>
      <c r="D537" s="3" t="inlineStr">
        <is>
          <t>Torment</t>
        </is>
      </c>
      <c r="E537" s="3" t="inlineStr">
        <is>
          <t>MOVE_TORMENT</t>
        </is>
      </c>
    </row>
    <row r="538">
      <c r="A538" s="3" t="inlineStr">
        <is>
          <t>SPECIES_MURKROW</t>
        </is>
      </c>
      <c r="B538" s="3" t="inlineStr">
        <is>
          <t>Murkrow</t>
        </is>
      </c>
      <c r="C538" s="3" t="n">
        <v>60</v>
      </c>
      <c r="D538" s="3" t="inlineStr">
        <is>
          <t>Quash</t>
        </is>
      </c>
      <c r="E538" s="3" t="inlineStr">
        <is>
          <t>MOVE_QUASH</t>
        </is>
      </c>
    </row>
    <row r="539">
      <c r="A539" s="3" t="inlineStr">
        <is>
          <t>SPECIES_HONCHKROW</t>
        </is>
      </c>
      <c r="B539" s="3" t="inlineStr">
        <is>
          <t>Honchkrow</t>
        </is>
      </c>
      <c r="C539" s="3" t="n">
        <v>1</v>
      </c>
      <c r="D539" s="3" t="inlineStr">
        <is>
          <t>Wing Attack</t>
        </is>
      </c>
      <c r="E539" s="3" t="inlineStr">
        <is>
          <t>MOVE_WING_ATTACK</t>
        </is>
      </c>
    </row>
    <row r="540">
      <c r="A540" s="3" t="inlineStr">
        <is>
          <t>SPECIES_HONCHKROW</t>
        </is>
      </c>
      <c r="B540" s="3" t="inlineStr">
        <is>
          <t>Honchkrow</t>
        </is>
      </c>
      <c r="C540" s="3" t="n">
        <v>1</v>
      </c>
      <c r="D540" s="3" t="inlineStr">
        <is>
          <t>Haze</t>
        </is>
      </c>
      <c r="E540" s="3" t="inlineStr">
        <is>
          <t>MOVE_HAZE</t>
        </is>
      </c>
    </row>
    <row r="541">
      <c r="A541" s="3" t="inlineStr">
        <is>
          <t>SPECIES_HONCHKROW</t>
        </is>
      </c>
      <c r="B541" s="3" t="inlineStr">
        <is>
          <t>Honchkrow</t>
        </is>
      </c>
      <c r="C541" s="3" t="n">
        <v>1</v>
      </c>
      <c r="D541" s="3" t="inlineStr">
        <is>
          <t>Astonish</t>
        </is>
      </c>
      <c r="E541" s="3" t="inlineStr">
        <is>
          <t>MOVE_ASTONISH</t>
        </is>
      </c>
    </row>
    <row r="542">
      <c r="A542" s="3" t="inlineStr">
        <is>
          <t>SPECIES_HONCHKROW</t>
        </is>
      </c>
      <c r="B542" s="3" t="inlineStr">
        <is>
          <t>Honchkrow</t>
        </is>
      </c>
      <c r="C542" s="3" t="n">
        <v>1</v>
      </c>
      <c r="D542" s="3" t="inlineStr">
        <is>
          <t>Sucker Punch</t>
        </is>
      </c>
      <c r="E542" s="3" t="inlineStr">
        <is>
          <t>MOVE_SUCKER_PUNCH</t>
        </is>
      </c>
    </row>
    <row r="543">
      <c r="A543" s="3" t="inlineStr">
        <is>
          <t>SPECIES_HONCHKROW</t>
        </is>
      </c>
      <c r="B543" s="3" t="inlineStr">
        <is>
          <t>Honchkrow</t>
        </is>
      </c>
      <c r="C543" s="3" t="n">
        <v>1</v>
      </c>
      <c r="D543" s="3" t="inlineStr">
        <is>
          <t>Night Slash</t>
        </is>
      </c>
      <c r="E543" s="3" t="inlineStr">
        <is>
          <t>MOVE_NIGHT_SLASH</t>
        </is>
      </c>
    </row>
    <row r="544">
      <c r="A544" s="3" t="inlineStr">
        <is>
          <t>SPECIES_HONCHKROW</t>
        </is>
      </c>
      <c r="B544" s="3" t="inlineStr">
        <is>
          <t>Honchkrow</t>
        </is>
      </c>
      <c r="C544" s="3" t="n">
        <v>1</v>
      </c>
      <c r="D544" s="3" t="inlineStr">
        <is>
          <t>Quash</t>
        </is>
      </c>
      <c r="E544" s="3" t="inlineStr">
        <is>
          <t>MOVE_QUASH</t>
        </is>
      </c>
    </row>
    <row r="545">
      <c r="A545" s="3" t="inlineStr">
        <is>
          <t>SPECIES_HONCHKROW</t>
        </is>
      </c>
      <c r="B545" s="3" t="inlineStr">
        <is>
          <t>Honchkrow</t>
        </is>
      </c>
      <c r="C545" s="3" t="n">
        <v>25</v>
      </c>
      <c r="D545" s="3" t="inlineStr">
        <is>
          <t>Swagger</t>
        </is>
      </c>
      <c r="E545" s="3" t="inlineStr">
        <is>
          <t>MOVE_SWAGGER</t>
        </is>
      </c>
    </row>
    <row r="546">
      <c r="A546" s="3" t="inlineStr">
        <is>
          <t>SPECIES_HONCHKROW</t>
        </is>
      </c>
      <c r="B546" s="3" t="inlineStr">
        <is>
          <t>Honchkrow</t>
        </is>
      </c>
      <c r="C546" s="3" t="n">
        <v>35</v>
      </c>
      <c r="D546" s="3" t="inlineStr">
        <is>
          <t>Nasty Plot</t>
        </is>
      </c>
      <c r="E546" s="3" t="inlineStr">
        <is>
          <t>MOVE_NASTY_PLOT</t>
        </is>
      </c>
    </row>
    <row r="547">
      <c r="A547" s="3" t="inlineStr">
        <is>
          <t>SPECIES_HONCHKROW</t>
        </is>
      </c>
      <c r="B547" s="3" t="inlineStr">
        <is>
          <t>Honchkrow</t>
        </is>
      </c>
      <c r="C547" s="3" t="n">
        <v>45</v>
      </c>
      <c r="D547" s="3" t="inlineStr">
        <is>
          <t>Foul Play</t>
        </is>
      </c>
      <c r="E547" s="3" t="inlineStr">
        <is>
          <t>MOVE_FOUL_PLAY</t>
        </is>
      </c>
    </row>
    <row r="548">
      <c r="A548" s="3" t="inlineStr">
        <is>
          <t>SPECIES_HONCHKROW</t>
        </is>
      </c>
      <c r="B548" s="3" t="inlineStr">
        <is>
          <t>Honchkrow</t>
        </is>
      </c>
      <c r="C548" s="3" t="n">
        <v>55</v>
      </c>
      <c r="D548" s="3" t="inlineStr">
        <is>
          <t>Dark Pulse</t>
        </is>
      </c>
      <c r="E548" s="3" t="inlineStr">
        <is>
          <t>MOVE_DARK_PULSE</t>
        </is>
      </c>
    </row>
    <row r="549">
      <c r="A549" s="3" t="inlineStr">
        <is>
          <t>SPECIES_HONCHKROW</t>
        </is>
      </c>
      <c r="B549" s="3" t="inlineStr">
        <is>
          <t>Honchkrow</t>
        </is>
      </c>
      <c r="C549" s="3" t="n">
        <v>65</v>
      </c>
      <c r="D549" s="3" t="inlineStr">
        <is>
          <t>Comeuppance</t>
        </is>
      </c>
      <c r="E549" s="3" t="inlineStr">
        <is>
          <t>MOVE_COMEUPPANCE</t>
        </is>
      </c>
    </row>
    <row r="550">
      <c r="A550" s="3" t="inlineStr">
        <is>
          <t>SPECIES_MISDREAVUS</t>
        </is>
      </c>
      <c r="B550" s="3" t="inlineStr">
        <is>
          <t>Misdreavus</t>
        </is>
      </c>
      <c r="C550" s="3" t="n">
        <v>1</v>
      </c>
      <c r="D550" s="3" t="inlineStr">
        <is>
          <t>Growl</t>
        </is>
      </c>
      <c r="E550" s="3" t="inlineStr">
        <is>
          <t>MOVE_GROWL</t>
        </is>
      </c>
    </row>
    <row r="551">
      <c r="A551" s="3" t="inlineStr">
        <is>
          <t>SPECIES_MISDREAVUS</t>
        </is>
      </c>
      <c r="B551" s="3" t="inlineStr">
        <is>
          <t>Misdreavus</t>
        </is>
      </c>
      <c r="C551" s="3" t="n">
        <v>1</v>
      </c>
      <c r="D551" s="3" t="inlineStr">
        <is>
          <t>Confusion</t>
        </is>
      </c>
      <c r="E551" s="3" t="inlineStr">
        <is>
          <t>MOVE_CONFUSION</t>
        </is>
      </c>
    </row>
    <row r="552">
      <c r="A552" s="3" t="inlineStr">
        <is>
          <t>SPECIES_MISDREAVUS</t>
        </is>
      </c>
      <c r="B552" s="3" t="inlineStr">
        <is>
          <t>Misdreavus</t>
        </is>
      </c>
      <c r="C552" s="3" t="n">
        <v>10</v>
      </c>
      <c r="D552" s="3" t="inlineStr">
        <is>
          <t>Astonish</t>
        </is>
      </c>
      <c r="E552" s="3" t="inlineStr">
        <is>
          <t>MOVE_ASTONISH</t>
        </is>
      </c>
    </row>
    <row r="553">
      <c r="A553" s="3" t="inlineStr">
        <is>
          <t>SPECIES_MISDREAVUS</t>
        </is>
      </c>
      <c r="B553" s="3" t="inlineStr">
        <is>
          <t>Misdreavus</t>
        </is>
      </c>
      <c r="C553" s="3" t="n">
        <v>14</v>
      </c>
      <c r="D553" s="3" t="inlineStr">
        <is>
          <t>Confuse Ray</t>
        </is>
      </c>
      <c r="E553" s="3" t="inlineStr">
        <is>
          <t>MOVE_CONFUSE_RAY</t>
        </is>
      </c>
    </row>
    <row r="554">
      <c r="A554" s="3" t="inlineStr">
        <is>
          <t>SPECIES_MISDREAVUS</t>
        </is>
      </c>
      <c r="B554" s="3" t="inlineStr">
        <is>
          <t>Misdreavus</t>
        </is>
      </c>
      <c r="C554" s="3" t="n">
        <v>19</v>
      </c>
      <c r="D554" s="3" t="inlineStr">
        <is>
          <t>Mean Look</t>
        </is>
      </c>
      <c r="E554" s="3" t="inlineStr">
        <is>
          <t>MOVE_MEAN_LOOK</t>
        </is>
      </c>
    </row>
    <row r="555">
      <c r="A555" s="3" t="inlineStr">
        <is>
          <t>SPECIES_MISDREAVUS</t>
        </is>
      </c>
      <c r="B555" s="3" t="inlineStr">
        <is>
          <t>Misdreavus</t>
        </is>
      </c>
      <c r="C555" s="3" t="n">
        <v>23</v>
      </c>
      <c r="D555" s="3" t="inlineStr">
        <is>
          <t>Hex</t>
        </is>
      </c>
      <c r="E555" s="3" t="inlineStr">
        <is>
          <t>MOVE_HEX</t>
        </is>
      </c>
    </row>
    <row r="556">
      <c r="A556" s="3" t="inlineStr">
        <is>
          <t>SPECIES_MISDREAVUS</t>
        </is>
      </c>
      <c r="B556" s="3" t="inlineStr">
        <is>
          <t>Misdreavus</t>
        </is>
      </c>
      <c r="C556" s="3" t="n">
        <v>28</v>
      </c>
      <c r="D556" s="3" t="inlineStr">
        <is>
          <t>Psybeam</t>
        </is>
      </c>
      <c r="E556" s="3" t="inlineStr">
        <is>
          <t>MOVE_PSYBEAM</t>
        </is>
      </c>
    </row>
    <row r="557">
      <c r="A557" s="3" t="inlineStr">
        <is>
          <t>SPECIES_MISDREAVUS</t>
        </is>
      </c>
      <c r="B557" s="3" t="inlineStr">
        <is>
          <t>Misdreavus</t>
        </is>
      </c>
      <c r="C557" s="3" t="n">
        <v>32</v>
      </c>
      <c r="D557" s="3" t="inlineStr">
        <is>
          <t>Pain Split</t>
        </is>
      </c>
      <c r="E557" s="3" t="inlineStr">
        <is>
          <t>MOVE_PAIN_SPLIT</t>
        </is>
      </c>
    </row>
    <row r="558">
      <c r="A558" s="3" t="inlineStr">
        <is>
          <t>SPECIES_MISDREAVUS</t>
        </is>
      </c>
      <c r="B558" s="3" t="inlineStr">
        <is>
          <t>Misdreavus</t>
        </is>
      </c>
      <c r="C558" s="3" t="n">
        <v>37</v>
      </c>
      <c r="D558" s="3" t="inlineStr">
        <is>
          <t>Payback</t>
        </is>
      </c>
      <c r="E558" s="3" t="inlineStr">
        <is>
          <t>MOVE_PAYBACK</t>
        </is>
      </c>
    </row>
    <row r="559">
      <c r="A559" s="3" t="inlineStr">
        <is>
          <t>SPECIES_MISDREAVUS</t>
        </is>
      </c>
      <c r="B559" s="3" t="inlineStr">
        <is>
          <t>Misdreavus</t>
        </is>
      </c>
      <c r="C559" s="3" t="n">
        <v>41</v>
      </c>
      <c r="D559" s="3" t="inlineStr">
        <is>
          <t>Shadow Ball</t>
        </is>
      </c>
      <c r="E559" s="3" t="inlineStr">
        <is>
          <t>MOVE_SHADOW_BALL</t>
        </is>
      </c>
    </row>
    <row r="560">
      <c r="A560" s="3" t="inlineStr">
        <is>
          <t>SPECIES_MISDREAVUS</t>
        </is>
      </c>
      <c r="B560" s="3" t="inlineStr">
        <is>
          <t>Misdreavus</t>
        </is>
      </c>
      <c r="C560" s="3" t="n">
        <v>46</v>
      </c>
      <c r="D560" s="3" t="inlineStr">
        <is>
          <t>Perish Song</t>
        </is>
      </c>
      <c r="E560" s="3" t="inlineStr">
        <is>
          <t>MOVE_PERISH_SONG</t>
        </is>
      </c>
    </row>
    <row r="561">
      <c r="A561" s="3" t="inlineStr">
        <is>
          <t>SPECIES_MISDREAVUS</t>
        </is>
      </c>
      <c r="B561" s="3" t="inlineStr">
        <is>
          <t>Misdreavus</t>
        </is>
      </c>
      <c r="C561" s="3" t="n">
        <v>50</v>
      </c>
      <c r="D561" s="3" t="inlineStr">
        <is>
          <t>Power Gem</t>
        </is>
      </c>
      <c r="E561" s="3" t="inlineStr">
        <is>
          <t>MOVE_POWER_GEM</t>
        </is>
      </c>
    </row>
    <row r="562">
      <c r="A562" s="3" t="inlineStr">
        <is>
          <t>SPECIES_MISMAGIUS</t>
        </is>
      </c>
      <c r="B562" s="3" t="inlineStr">
        <is>
          <t>Mismagius</t>
        </is>
      </c>
      <c r="C562" s="3" t="n">
        <v>1</v>
      </c>
      <c r="D562" s="3" t="inlineStr">
        <is>
          <t>Growl</t>
        </is>
      </c>
      <c r="E562" s="3" t="inlineStr">
        <is>
          <t>MOVE_GROWL</t>
        </is>
      </c>
    </row>
    <row r="563">
      <c r="A563" s="3" t="inlineStr">
        <is>
          <t>SPECIES_MISMAGIUS</t>
        </is>
      </c>
      <c r="B563" s="3" t="inlineStr">
        <is>
          <t>Mismagius</t>
        </is>
      </c>
      <c r="C563" s="3" t="n">
        <v>1</v>
      </c>
      <c r="D563" s="3" t="inlineStr">
        <is>
          <t>Spite</t>
        </is>
      </c>
      <c r="E563" s="3" t="inlineStr">
        <is>
          <t>MOVE_SPITE</t>
        </is>
      </c>
    </row>
    <row r="564">
      <c r="A564" s="3" t="inlineStr">
        <is>
          <t>SPECIES_MISMAGIUS</t>
        </is>
      </c>
      <c r="B564" s="3" t="inlineStr">
        <is>
          <t>Mismagius</t>
        </is>
      </c>
      <c r="C564" s="3" t="n">
        <v>1</v>
      </c>
      <c r="D564" s="3" t="inlineStr">
        <is>
          <t>Astonish</t>
        </is>
      </c>
      <c r="E564" s="3" t="inlineStr">
        <is>
          <t>MOVE_ASTONISH</t>
        </is>
      </c>
    </row>
    <row r="565">
      <c r="A565" s="3" t="inlineStr">
        <is>
          <t>SPECIES_MISMAGIUS</t>
        </is>
      </c>
      <c r="B565" s="3" t="inlineStr">
        <is>
          <t>Mismagius</t>
        </is>
      </c>
      <c r="C565" s="3" t="n">
        <v>1</v>
      </c>
      <c r="D565" s="3" t="inlineStr">
        <is>
          <t>Magical Leaf</t>
        </is>
      </c>
      <c r="E565" s="3" t="inlineStr">
        <is>
          <t>MOVE_MAGICAL_LEAF</t>
        </is>
      </c>
    </row>
    <row r="566">
      <c r="A566" s="3" t="inlineStr">
        <is>
          <t>SPECIES_MISMAGIUS</t>
        </is>
      </c>
      <c r="B566" s="3" t="inlineStr">
        <is>
          <t>Mismagius</t>
        </is>
      </c>
      <c r="C566" s="3" t="n">
        <v>1</v>
      </c>
      <c r="D566" s="3" t="inlineStr">
        <is>
          <t>Power Gem</t>
        </is>
      </c>
      <c r="E566" s="3" t="inlineStr">
        <is>
          <t>MOVE_POWER_GEM</t>
        </is>
      </c>
    </row>
    <row r="567">
      <c r="A567" s="3" t="inlineStr">
        <is>
          <t>SPECIES_MISMAGIUS</t>
        </is>
      </c>
      <c r="B567" s="3" t="inlineStr">
        <is>
          <t>Mismagius</t>
        </is>
      </c>
      <c r="C567" s="3" t="n">
        <v>1</v>
      </c>
      <c r="D567" s="3" t="inlineStr">
        <is>
          <t>Phantom Force</t>
        </is>
      </c>
      <c r="E567" s="3" t="inlineStr">
        <is>
          <t>MOVE_PHANTOM_FORCE</t>
        </is>
      </c>
    </row>
    <row r="568">
      <c r="A568" s="3" t="inlineStr">
        <is>
          <t>SPECIES_MISMAGIUS</t>
        </is>
      </c>
      <c r="B568" s="3" t="inlineStr">
        <is>
          <t>Mismagius</t>
        </is>
      </c>
      <c r="C568" s="3" t="n">
        <v>1</v>
      </c>
      <c r="D568" s="3" t="inlineStr">
        <is>
          <t>Mystical Fire</t>
        </is>
      </c>
      <c r="E568" s="3" t="inlineStr">
        <is>
          <t>MOVE_MYSTICAL_FIRE</t>
        </is>
      </c>
    </row>
    <row r="569">
      <c r="A569" s="3" t="inlineStr">
        <is>
          <t>SPECIES_QWILFISH_HISUI</t>
        </is>
      </c>
      <c r="B569" s="3" t="inlineStr">
        <is>
          <t>Qwilfish-Hisui</t>
        </is>
      </c>
      <c r="C569" s="3" t="n">
        <v>1</v>
      </c>
      <c r="D569" s="3" t="inlineStr">
        <is>
          <t>Tackle</t>
        </is>
      </c>
      <c r="E569" s="3" t="inlineStr">
        <is>
          <t>MOVE_TACKLE</t>
        </is>
      </c>
    </row>
    <row r="570">
      <c r="A570" s="3" t="inlineStr">
        <is>
          <t>SPECIES_QWILFISH_HISUI</t>
        </is>
      </c>
      <c r="B570" s="3" t="inlineStr">
        <is>
          <t>Qwilfish-Hisui</t>
        </is>
      </c>
      <c r="C570" s="3" t="n">
        <v>1</v>
      </c>
      <c r="D570" s="3" t="inlineStr">
        <is>
          <t>Poison Sting</t>
        </is>
      </c>
      <c r="E570" s="3" t="inlineStr">
        <is>
          <t>MOVE_POISON_STING</t>
        </is>
      </c>
    </row>
    <row r="571">
      <c r="A571" s="3" t="inlineStr">
        <is>
          <t>SPECIES_QWILFISH_HISUI</t>
        </is>
      </c>
      <c r="B571" s="3" t="inlineStr">
        <is>
          <t>Qwilfish-Hisui</t>
        </is>
      </c>
      <c r="C571" s="3" t="n">
        <v>4</v>
      </c>
      <c r="D571" s="3" t="inlineStr">
        <is>
          <t>Harden</t>
        </is>
      </c>
      <c r="E571" s="3" t="inlineStr">
        <is>
          <t>MOVE_HARDEN</t>
        </is>
      </c>
    </row>
    <row r="572">
      <c r="A572" s="3" t="inlineStr">
        <is>
          <t>SPECIES_QWILFISH_HISUI</t>
        </is>
      </c>
      <c r="B572" s="3" t="inlineStr">
        <is>
          <t>Qwilfish-Hisui</t>
        </is>
      </c>
      <c r="C572" s="3" t="n">
        <v>8</v>
      </c>
      <c r="D572" s="3" t="inlineStr">
        <is>
          <t>Bite</t>
        </is>
      </c>
      <c r="E572" s="3" t="inlineStr">
        <is>
          <t>MOVE_BITE</t>
        </is>
      </c>
    </row>
    <row r="573">
      <c r="A573" s="3" t="inlineStr">
        <is>
          <t>SPECIES_QWILFISH_HISUI</t>
        </is>
      </c>
      <c r="B573" s="3" t="inlineStr">
        <is>
          <t>Qwilfish-Hisui</t>
        </is>
      </c>
      <c r="C573" s="3" t="n">
        <v>12</v>
      </c>
      <c r="D573" s="3" t="inlineStr">
        <is>
          <t>Fell Stinger</t>
        </is>
      </c>
      <c r="E573" s="3" t="inlineStr">
        <is>
          <t>MOVE_FELL_STINGER</t>
        </is>
      </c>
    </row>
    <row r="574">
      <c r="A574" s="3" t="inlineStr">
        <is>
          <t>SPECIES_QWILFISH_HISUI</t>
        </is>
      </c>
      <c r="B574" s="3" t="inlineStr">
        <is>
          <t>Qwilfish-Hisui</t>
        </is>
      </c>
      <c r="C574" s="3" t="n">
        <v>16</v>
      </c>
      <c r="D574" s="3" t="inlineStr">
        <is>
          <t>Minimize</t>
        </is>
      </c>
      <c r="E574" s="3" t="inlineStr">
        <is>
          <t>MOVE_MINIMIZE</t>
        </is>
      </c>
    </row>
    <row r="575">
      <c r="A575" s="3" t="inlineStr">
        <is>
          <t>SPECIES_QWILFISH_HISUI</t>
        </is>
      </c>
      <c r="B575" s="3" t="inlineStr">
        <is>
          <t>Qwilfish-Hisui</t>
        </is>
      </c>
      <c r="C575" s="3" t="n">
        <v>20</v>
      </c>
      <c r="D575" s="3" t="inlineStr">
        <is>
          <t>Spikes</t>
        </is>
      </c>
      <c r="E575" s="3" t="inlineStr">
        <is>
          <t>MOVE_SPIKES</t>
        </is>
      </c>
    </row>
    <row r="576">
      <c r="A576" s="3" t="inlineStr">
        <is>
          <t>SPECIES_QWILFISH_HISUI</t>
        </is>
      </c>
      <c r="B576" s="3" t="inlineStr">
        <is>
          <t>Qwilfish-Hisui</t>
        </is>
      </c>
      <c r="C576" s="3" t="n">
        <v>24</v>
      </c>
      <c r="D576" s="3" t="inlineStr">
        <is>
          <t>Brine</t>
        </is>
      </c>
      <c r="E576" s="3" t="inlineStr">
        <is>
          <t>MOVE_BRINE</t>
        </is>
      </c>
    </row>
    <row r="577">
      <c r="A577" s="3" t="inlineStr">
        <is>
          <t>SPECIES_QWILFISH_HISUI</t>
        </is>
      </c>
      <c r="B577" s="3" t="inlineStr">
        <is>
          <t>Qwilfish-Hisui</t>
        </is>
      </c>
      <c r="C577" s="3" t="n">
        <v>28</v>
      </c>
      <c r="D577" s="3" t="inlineStr">
        <is>
          <t>Barb Barrage</t>
        </is>
      </c>
      <c r="E577" s="3" t="inlineStr">
        <is>
          <t>MOVE_BARB_BARRAGE</t>
        </is>
      </c>
    </row>
    <row r="578">
      <c r="A578" s="3" t="inlineStr">
        <is>
          <t>SPECIES_QWILFISH_HISUI</t>
        </is>
      </c>
      <c r="B578" s="3" t="inlineStr">
        <is>
          <t>Qwilfish-Hisui</t>
        </is>
      </c>
      <c r="C578" s="3" t="n">
        <v>32</v>
      </c>
      <c r="D578" s="3" t="inlineStr">
        <is>
          <t>Pin Missile</t>
        </is>
      </c>
      <c r="E578" s="3" t="inlineStr">
        <is>
          <t>MOVE_PIN_MISSILE</t>
        </is>
      </c>
    </row>
    <row r="579">
      <c r="A579" s="3" t="inlineStr">
        <is>
          <t>SPECIES_QWILFISH_HISUI</t>
        </is>
      </c>
      <c r="B579" s="3" t="inlineStr">
        <is>
          <t>Qwilfish-Hisui</t>
        </is>
      </c>
      <c r="C579" s="3" t="n">
        <v>36</v>
      </c>
      <c r="D579" s="3" t="inlineStr">
        <is>
          <t>Toxic Spikes</t>
        </is>
      </c>
      <c r="E579" s="3" t="inlineStr">
        <is>
          <t>MOVE_TOXIC_SPIKES</t>
        </is>
      </c>
    </row>
    <row r="580">
      <c r="A580" s="3" t="inlineStr">
        <is>
          <t>SPECIES_QWILFISH_HISUI</t>
        </is>
      </c>
      <c r="B580" s="3" t="inlineStr">
        <is>
          <t>Qwilfish-Hisui</t>
        </is>
      </c>
      <c r="C580" s="3" t="n">
        <v>40</v>
      </c>
      <c r="D580" s="3" t="inlineStr">
        <is>
          <t>Stockpile</t>
        </is>
      </c>
      <c r="E580" s="3" t="inlineStr">
        <is>
          <t>MOVE_STOCKPILE</t>
        </is>
      </c>
    </row>
    <row r="581">
      <c r="A581" s="3" t="inlineStr">
        <is>
          <t>SPECIES_QWILFISH_HISUI</t>
        </is>
      </c>
      <c r="B581" s="3" t="inlineStr">
        <is>
          <t>Qwilfish-Hisui</t>
        </is>
      </c>
      <c r="C581" s="3" t="n">
        <v>40</v>
      </c>
      <c r="D581" s="3" t="inlineStr">
        <is>
          <t>Spit Up</t>
        </is>
      </c>
      <c r="E581" s="3" t="inlineStr">
        <is>
          <t>MOVE_SPIT_UP</t>
        </is>
      </c>
    </row>
    <row r="582">
      <c r="A582" s="3" t="inlineStr">
        <is>
          <t>SPECIES_QWILFISH_HISUI</t>
        </is>
      </c>
      <c r="B582" s="3" t="inlineStr">
        <is>
          <t>Qwilfish-Hisui</t>
        </is>
      </c>
      <c r="C582" s="3" t="n">
        <v>44</v>
      </c>
      <c r="D582" s="3" t="inlineStr">
        <is>
          <t>Toxic</t>
        </is>
      </c>
      <c r="E582" s="3" t="inlineStr">
        <is>
          <t>MOVE_TOXIC</t>
        </is>
      </c>
    </row>
    <row r="583">
      <c r="A583" s="3" t="inlineStr">
        <is>
          <t>SPECIES_QWILFISH_HISUI</t>
        </is>
      </c>
      <c r="B583" s="3" t="inlineStr">
        <is>
          <t>Qwilfish-Hisui</t>
        </is>
      </c>
      <c r="C583" s="3" t="n">
        <v>48</v>
      </c>
      <c r="D583" s="3" t="inlineStr">
        <is>
          <t>Crunch</t>
        </is>
      </c>
      <c r="E583" s="3" t="inlineStr">
        <is>
          <t>MOVE_CRUNCH</t>
        </is>
      </c>
    </row>
    <row r="584">
      <c r="A584" s="3" t="inlineStr">
        <is>
          <t>SPECIES_QWILFISH_HISUI</t>
        </is>
      </c>
      <c r="B584" s="3" t="inlineStr">
        <is>
          <t>Qwilfish-Hisui</t>
        </is>
      </c>
      <c r="C584" s="3" t="n">
        <v>52</v>
      </c>
      <c r="D584" s="3" t="inlineStr">
        <is>
          <t>Acupressure</t>
        </is>
      </c>
      <c r="E584" s="3" t="inlineStr">
        <is>
          <t>MOVE_ACUPRESSURE</t>
        </is>
      </c>
    </row>
    <row r="585">
      <c r="A585" s="3" t="inlineStr">
        <is>
          <t>SPECIES_QWILFISH_HISUI</t>
        </is>
      </c>
      <c r="B585" s="3" t="inlineStr">
        <is>
          <t>Qwilfish-Hisui</t>
        </is>
      </c>
      <c r="C585" s="3" t="n">
        <v>56</v>
      </c>
      <c r="D585" s="3" t="inlineStr">
        <is>
          <t>Destiny Bond</t>
        </is>
      </c>
      <c r="E585" s="3" t="inlineStr">
        <is>
          <t>MOVE_DESTINY_BOND</t>
        </is>
      </c>
    </row>
    <row r="586">
      <c r="A586" s="3" t="inlineStr">
        <is>
          <t>SPECIES_OVERQWIL</t>
        </is>
      </c>
      <c r="B586" s="3" t="inlineStr">
        <is>
          <t>Overqwil</t>
        </is>
      </c>
      <c r="C586" s="3" t="n">
        <v>1</v>
      </c>
      <c r="D586" s="3" t="inlineStr">
        <is>
          <t>Tackle</t>
        </is>
      </c>
      <c r="E586" s="3" t="inlineStr">
        <is>
          <t>MOVE_TACKLE</t>
        </is>
      </c>
    </row>
    <row r="587">
      <c r="A587" s="3" t="inlineStr">
        <is>
          <t>SPECIES_OVERQWIL</t>
        </is>
      </c>
      <c r="B587" s="3" t="inlineStr">
        <is>
          <t>Overqwil</t>
        </is>
      </c>
      <c r="C587" s="3" t="n">
        <v>1</v>
      </c>
      <c r="D587" s="3" t="inlineStr">
        <is>
          <t>Poison Sting</t>
        </is>
      </c>
      <c r="E587" s="3" t="inlineStr">
        <is>
          <t>MOVE_POISON_STING</t>
        </is>
      </c>
    </row>
    <row r="588">
      <c r="A588" s="3" t="inlineStr">
        <is>
          <t>SPECIES_OVERQWIL</t>
        </is>
      </c>
      <c r="B588" s="3" t="inlineStr">
        <is>
          <t>Overqwil</t>
        </is>
      </c>
      <c r="C588" s="3" t="n">
        <v>4</v>
      </c>
      <c r="D588" s="3" t="inlineStr">
        <is>
          <t>Harden</t>
        </is>
      </c>
      <c r="E588" s="3" t="inlineStr">
        <is>
          <t>MOVE_HARDEN</t>
        </is>
      </c>
    </row>
    <row r="589">
      <c r="A589" s="3" t="inlineStr">
        <is>
          <t>SPECIES_OVERQWIL</t>
        </is>
      </c>
      <c r="B589" s="3" t="inlineStr">
        <is>
          <t>Overqwil</t>
        </is>
      </c>
      <c r="C589" s="3" t="n">
        <v>8</v>
      </c>
      <c r="D589" s="3" t="inlineStr">
        <is>
          <t>Bite</t>
        </is>
      </c>
      <c r="E589" s="3" t="inlineStr">
        <is>
          <t>MOVE_BITE</t>
        </is>
      </c>
    </row>
    <row r="590">
      <c r="A590" s="3" t="inlineStr">
        <is>
          <t>SPECIES_OVERQWIL</t>
        </is>
      </c>
      <c r="B590" s="3" t="inlineStr">
        <is>
          <t>Overqwil</t>
        </is>
      </c>
      <c r="C590" s="3" t="n">
        <v>12</v>
      </c>
      <c r="D590" s="3" t="inlineStr">
        <is>
          <t>Fell Stinger</t>
        </is>
      </c>
      <c r="E590" s="3" t="inlineStr">
        <is>
          <t>MOVE_FELL_STINGER</t>
        </is>
      </c>
    </row>
    <row r="591">
      <c r="A591" s="3" t="inlineStr">
        <is>
          <t>SPECIES_OVERQWIL</t>
        </is>
      </c>
      <c r="B591" s="3" t="inlineStr">
        <is>
          <t>Overqwil</t>
        </is>
      </c>
      <c r="C591" s="3" t="n">
        <v>16</v>
      </c>
      <c r="D591" s="3" t="inlineStr">
        <is>
          <t>Minimize</t>
        </is>
      </c>
      <c r="E591" s="3" t="inlineStr">
        <is>
          <t>MOVE_MINIMIZE</t>
        </is>
      </c>
    </row>
    <row r="592">
      <c r="A592" s="3" t="inlineStr">
        <is>
          <t>SPECIES_OVERQWIL</t>
        </is>
      </c>
      <c r="B592" s="3" t="inlineStr">
        <is>
          <t>Overqwil</t>
        </is>
      </c>
      <c r="C592" s="3" t="n">
        <v>20</v>
      </c>
      <c r="D592" s="3" t="inlineStr">
        <is>
          <t>Spikes</t>
        </is>
      </c>
      <c r="E592" s="3" t="inlineStr">
        <is>
          <t>MOVE_SPIKES</t>
        </is>
      </c>
    </row>
    <row r="593">
      <c r="A593" s="3" t="inlineStr">
        <is>
          <t>SPECIES_OVERQWIL</t>
        </is>
      </c>
      <c r="B593" s="3" t="inlineStr">
        <is>
          <t>Overqwil</t>
        </is>
      </c>
      <c r="C593" s="3" t="n">
        <v>24</v>
      </c>
      <c r="D593" s="3" t="inlineStr">
        <is>
          <t>Brine</t>
        </is>
      </c>
      <c r="E593" s="3" t="inlineStr">
        <is>
          <t>MOVE_BRINE</t>
        </is>
      </c>
    </row>
    <row r="594">
      <c r="A594" s="3" t="inlineStr">
        <is>
          <t>SPECIES_OVERQWIL</t>
        </is>
      </c>
      <c r="B594" s="3" t="inlineStr">
        <is>
          <t>Overqwil</t>
        </is>
      </c>
      <c r="C594" s="3" t="n">
        <v>28</v>
      </c>
      <c r="D594" s="3" t="inlineStr">
        <is>
          <t>Barb Barrage</t>
        </is>
      </c>
      <c r="E594" s="3" t="inlineStr">
        <is>
          <t>MOVE_BARB_BARRAGE</t>
        </is>
      </c>
    </row>
    <row r="595">
      <c r="A595" s="3" t="inlineStr">
        <is>
          <t>SPECIES_OVERQWIL</t>
        </is>
      </c>
      <c r="B595" s="3" t="inlineStr">
        <is>
          <t>Overqwil</t>
        </is>
      </c>
      <c r="C595" s="3" t="n">
        <v>32</v>
      </c>
      <c r="D595" s="3" t="inlineStr">
        <is>
          <t>Pin Missile</t>
        </is>
      </c>
      <c r="E595" s="3" t="inlineStr">
        <is>
          <t>MOVE_PIN_MISSILE</t>
        </is>
      </c>
    </row>
    <row r="596">
      <c r="A596" s="3" t="inlineStr">
        <is>
          <t>SPECIES_OVERQWIL</t>
        </is>
      </c>
      <c r="B596" s="3" t="inlineStr">
        <is>
          <t>Overqwil</t>
        </is>
      </c>
      <c r="C596" s="3" t="n">
        <v>36</v>
      </c>
      <c r="D596" s="3" t="inlineStr">
        <is>
          <t>Toxic Spikes</t>
        </is>
      </c>
      <c r="E596" s="3" t="inlineStr">
        <is>
          <t>MOVE_TOXIC_SPIKES</t>
        </is>
      </c>
    </row>
    <row r="597">
      <c r="A597" s="3" t="inlineStr">
        <is>
          <t>SPECIES_OVERQWIL</t>
        </is>
      </c>
      <c r="B597" s="3" t="inlineStr">
        <is>
          <t>Overqwil</t>
        </is>
      </c>
      <c r="C597" s="3" t="n">
        <v>40</v>
      </c>
      <c r="D597" s="3" t="inlineStr">
        <is>
          <t>Stockpile</t>
        </is>
      </c>
      <c r="E597" s="3" t="inlineStr">
        <is>
          <t>MOVE_STOCKPILE</t>
        </is>
      </c>
    </row>
    <row r="598">
      <c r="A598" s="3" t="inlineStr">
        <is>
          <t>SPECIES_OVERQWIL</t>
        </is>
      </c>
      <c r="B598" s="3" t="inlineStr">
        <is>
          <t>Overqwil</t>
        </is>
      </c>
      <c r="C598" s="3" t="n">
        <v>40</v>
      </c>
      <c r="D598" s="3" t="inlineStr">
        <is>
          <t>Spit Up</t>
        </is>
      </c>
      <c r="E598" s="3" t="inlineStr">
        <is>
          <t>MOVE_SPIT_UP</t>
        </is>
      </c>
    </row>
    <row r="599">
      <c r="A599" s="3" t="inlineStr">
        <is>
          <t>SPECIES_OVERQWIL</t>
        </is>
      </c>
      <c r="B599" s="3" t="inlineStr">
        <is>
          <t>Overqwil</t>
        </is>
      </c>
      <c r="C599" s="3" t="n">
        <v>44</v>
      </c>
      <c r="D599" s="3" t="inlineStr">
        <is>
          <t>Toxic</t>
        </is>
      </c>
      <c r="E599" s="3" t="inlineStr">
        <is>
          <t>MOVE_TOXIC</t>
        </is>
      </c>
    </row>
    <row r="600">
      <c r="A600" s="3" t="inlineStr">
        <is>
          <t>SPECIES_OVERQWIL</t>
        </is>
      </c>
      <c r="B600" s="3" t="inlineStr">
        <is>
          <t>Overqwil</t>
        </is>
      </c>
      <c r="C600" s="3" t="n">
        <v>48</v>
      </c>
      <c r="D600" s="3" t="inlineStr">
        <is>
          <t>Crunch</t>
        </is>
      </c>
      <c r="E600" s="3" t="inlineStr">
        <is>
          <t>MOVE_CRUNCH</t>
        </is>
      </c>
    </row>
    <row r="601">
      <c r="A601" s="3" t="inlineStr">
        <is>
          <t>SPECIES_OVERQWIL</t>
        </is>
      </c>
      <c r="B601" s="3" t="inlineStr">
        <is>
          <t>Overqwil</t>
        </is>
      </c>
      <c r="C601" s="3" t="n">
        <v>52</v>
      </c>
      <c r="D601" s="3" t="inlineStr">
        <is>
          <t>Acupressure</t>
        </is>
      </c>
      <c r="E601" s="3" t="inlineStr">
        <is>
          <t>MOVE_ACUPRESSURE</t>
        </is>
      </c>
    </row>
    <row r="602">
      <c r="A602" s="3" t="inlineStr">
        <is>
          <t>SPECIES_OVERQWIL</t>
        </is>
      </c>
      <c r="B602" s="3" t="inlineStr">
        <is>
          <t>Overqwil</t>
        </is>
      </c>
      <c r="C602" s="3" t="n">
        <v>56</v>
      </c>
      <c r="D602" s="3" t="inlineStr">
        <is>
          <t>Destiny Bond</t>
        </is>
      </c>
      <c r="E602" s="3" t="inlineStr">
        <is>
          <t>MOVE_DESTINY_BOND</t>
        </is>
      </c>
    </row>
    <row r="603">
      <c r="A603" s="3" t="inlineStr">
        <is>
          <t>SPECIES_TEDDIURSA</t>
        </is>
      </c>
      <c r="B603" s="3" t="inlineStr">
        <is>
          <t>Teddiursa</t>
        </is>
      </c>
      <c r="C603" s="3" t="n">
        <v>1</v>
      </c>
      <c r="D603" s="3" t="inlineStr">
        <is>
          <t>Scratch</t>
        </is>
      </c>
      <c r="E603" s="3" t="inlineStr">
        <is>
          <t>MOVE_SCRATCH</t>
        </is>
      </c>
    </row>
    <row r="604">
      <c r="A604" s="3" t="inlineStr">
        <is>
          <t>SPECIES_TEDDIURSA</t>
        </is>
      </c>
      <c r="B604" s="3" t="inlineStr">
        <is>
          <t>Teddiursa</t>
        </is>
      </c>
      <c r="C604" s="3" t="n">
        <v>1</v>
      </c>
      <c r="D604" s="3" t="inlineStr">
        <is>
          <t>Lick</t>
        </is>
      </c>
      <c r="E604" s="3" t="inlineStr">
        <is>
          <t>MOVE_LICK</t>
        </is>
      </c>
    </row>
    <row r="605">
      <c r="A605" s="3" t="inlineStr">
        <is>
          <t>SPECIES_TEDDIURSA</t>
        </is>
      </c>
      <c r="B605" s="3" t="inlineStr">
        <is>
          <t>Teddiursa</t>
        </is>
      </c>
      <c r="C605" s="3" t="n">
        <v>1</v>
      </c>
      <c r="D605" s="3" t="inlineStr">
        <is>
          <t>Covet</t>
        </is>
      </c>
      <c r="E605" s="3" t="inlineStr">
        <is>
          <t>MOVE_COVET</t>
        </is>
      </c>
    </row>
    <row r="606">
      <c r="A606" s="3" t="inlineStr">
        <is>
          <t>SPECIES_TEDDIURSA</t>
        </is>
      </c>
      <c r="B606" s="3" t="inlineStr">
        <is>
          <t>Teddiursa</t>
        </is>
      </c>
      <c r="C606" s="3" t="n">
        <v>1</v>
      </c>
      <c r="D606" s="3" t="inlineStr">
        <is>
          <t>Fling</t>
        </is>
      </c>
      <c r="E606" s="3" t="inlineStr">
        <is>
          <t>MOVE_FLING</t>
        </is>
      </c>
    </row>
    <row r="607">
      <c r="A607" s="3" t="inlineStr">
        <is>
          <t>SPECIES_TEDDIURSA</t>
        </is>
      </c>
      <c r="B607" s="3" t="inlineStr">
        <is>
          <t>Teddiursa</t>
        </is>
      </c>
      <c r="C607" s="3" t="n">
        <v>1</v>
      </c>
      <c r="D607" s="3" t="inlineStr">
        <is>
          <t>Doll Eyes</t>
        </is>
      </c>
      <c r="E607" s="3" t="inlineStr">
        <is>
          <t>MOVE_BABY_DOLL_EYES</t>
        </is>
      </c>
    </row>
    <row r="608">
      <c r="A608" s="3" t="inlineStr">
        <is>
          <t>SPECIES_TEDDIURSA</t>
        </is>
      </c>
      <c r="B608" s="3" t="inlineStr">
        <is>
          <t>Teddiursa</t>
        </is>
      </c>
      <c r="C608" s="3" t="n">
        <v>8</v>
      </c>
      <c r="D608" s="3" t="inlineStr">
        <is>
          <t>Fury Swipes</t>
        </is>
      </c>
      <c r="E608" s="3" t="inlineStr">
        <is>
          <t>MOVE_FURY_SWIPES</t>
        </is>
      </c>
    </row>
    <row r="609">
      <c r="A609" s="3" t="inlineStr">
        <is>
          <t>SPECIES_TEDDIURSA</t>
        </is>
      </c>
      <c r="B609" s="3" t="inlineStr">
        <is>
          <t>Teddiursa</t>
        </is>
      </c>
      <c r="C609" s="3" t="n">
        <v>13</v>
      </c>
      <c r="D609" s="3" t="inlineStr">
        <is>
          <t>Payback</t>
        </is>
      </c>
      <c r="E609" s="3" t="inlineStr">
        <is>
          <t>MOVE_PAYBACK</t>
        </is>
      </c>
    </row>
    <row r="610">
      <c r="A610" s="3" t="inlineStr">
        <is>
          <t>SPECIES_TEDDIURSA</t>
        </is>
      </c>
      <c r="B610" s="3" t="inlineStr">
        <is>
          <t>Teddiursa</t>
        </is>
      </c>
      <c r="C610" s="3" t="n">
        <v>17</v>
      </c>
      <c r="D610" s="3" t="inlineStr">
        <is>
          <t>Sweet Scent</t>
        </is>
      </c>
      <c r="E610" s="3" t="inlineStr">
        <is>
          <t>MOVE_SWEET_SCENT</t>
        </is>
      </c>
    </row>
    <row r="611">
      <c r="A611" s="3" t="inlineStr">
        <is>
          <t>SPECIES_TEDDIURSA</t>
        </is>
      </c>
      <c r="B611" s="3" t="inlineStr">
        <is>
          <t>Teddiursa</t>
        </is>
      </c>
      <c r="C611" s="3" t="n">
        <v>22</v>
      </c>
      <c r="D611" s="3" t="inlineStr">
        <is>
          <t>Slash</t>
        </is>
      </c>
      <c r="E611" s="3" t="inlineStr">
        <is>
          <t>MOVE_SLASH</t>
        </is>
      </c>
    </row>
    <row r="612">
      <c r="A612" s="3" t="inlineStr">
        <is>
          <t>SPECIES_TEDDIURSA</t>
        </is>
      </c>
      <c r="B612" s="3" t="inlineStr">
        <is>
          <t>Teddiursa</t>
        </is>
      </c>
      <c r="C612" s="3" t="n">
        <v>25</v>
      </c>
      <c r="D612" s="3" t="inlineStr">
        <is>
          <t>Play Nice</t>
        </is>
      </c>
      <c r="E612" s="3" t="inlineStr">
        <is>
          <t>MOVE_PLAY_NICE</t>
        </is>
      </c>
    </row>
    <row r="613">
      <c r="A613" s="3" t="inlineStr">
        <is>
          <t>SPECIES_TEDDIURSA</t>
        </is>
      </c>
      <c r="B613" s="3" t="inlineStr">
        <is>
          <t>Teddiursa</t>
        </is>
      </c>
      <c r="C613" s="3" t="n">
        <v>29</v>
      </c>
      <c r="D613" s="3" t="inlineStr">
        <is>
          <t>Play Rough</t>
        </is>
      </c>
      <c r="E613" s="3" t="inlineStr">
        <is>
          <t>MOVE_PLAY_ROUGH</t>
        </is>
      </c>
    </row>
    <row r="614">
      <c r="A614" s="3" t="inlineStr">
        <is>
          <t>SPECIES_TEDDIURSA</t>
        </is>
      </c>
      <c r="B614" s="3" t="inlineStr">
        <is>
          <t>Teddiursa</t>
        </is>
      </c>
      <c r="C614" s="3" t="n">
        <v>33</v>
      </c>
      <c r="D614" s="3" t="inlineStr">
        <is>
          <t>Charm</t>
        </is>
      </c>
      <c r="E614" s="3" t="inlineStr">
        <is>
          <t>MOVE_CHARM</t>
        </is>
      </c>
    </row>
    <row r="615">
      <c r="A615" s="3" t="inlineStr">
        <is>
          <t>SPECIES_TEDDIURSA</t>
        </is>
      </c>
      <c r="B615" s="3" t="inlineStr">
        <is>
          <t>Teddiursa</t>
        </is>
      </c>
      <c r="C615" s="3" t="n">
        <v>37</v>
      </c>
      <c r="D615" s="3" t="inlineStr">
        <is>
          <t>Rest</t>
        </is>
      </c>
      <c r="E615" s="3" t="inlineStr">
        <is>
          <t>MOVE_REST</t>
        </is>
      </c>
    </row>
    <row r="616">
      <c r="A616" s="3" t="inlineStr">
        <is>
          <t>SPECIES_TEDDIURSA</t>
        </is>
      </c>
      <c r="B616" s="3" t="inlineStr">
        <is>
          <t>Teddiursa</t>
        </is>
      </c>
      <c r="C616" s="3" t="n">
        <v>37</v>
      </c>
      <c r="D616" s="3" t="inlineStr">
        <is>
          <t>Snore</t>
        </is>
      </c>
      <c r="E616" s="3" t="inlineStr">
        <is>
          <t>MOVE_SNORE</t>
        </is>
      </c>
    </row>
    <row r="617">
      <c r="A617" s="3" t="inlineStr">
        <is>
          <t>SPECIES_TEDDIURSA</t>
        </is>
      </c>
      <c r="B617" s="3" t="inlineStr">
        <is>
          <t>Teddiursa</t>
        </is>
      </c>
      <c r="C617" s="3" t="n">
        <v>41</v>
      </c>
      <c r="D617" s="3" t="inlineStr">
        <is>
          <t>Thrash</t>
        </is>
      </c>
      <c r="E617" s="3" t="inlineStr">
        <is>
          <t>MOVE_THRASH</t>
        </is>
      </c>
    </row>
    <row r="618">
      <c r="A618" s="3" t="inlineStr">
        <is>
          <t>SPECIES_URSARING</t>
        </is>
      </c>
      <c r="B618" s="3" t="inlineStr">
        <is>
          <t>Ursaring</t>
        </is>
      </c>
      <c r="C618" s="3" t="n">
        <v>1</v>
      </c>
      <c r="D618" s="3" t="inlineStr">
        <is>
          <t>Scratch</t>
        </is>
      </c>
      <c r="E618" s="3" t="inlineStr">
        <is>
          <t>MOVE_SCRATCH</t>
        </is>
      </c>
    </row>
    <row r="619">
      <c r="A619" s="3" t="inlineStr">
        <is>
          <t>SPECIES_URSARING</t>
        </is>
      </c>
      <c r="B619" s="3" t="inlineStr">
        <is>
          <t>Ursaring</t>
        </is>
      </c>
      <c r="C619" s="3" t="n">
        <v>1</v>
      </c>
      <c r="D619" s="3" t="inlineStr">
        <is>
          <t>Leer</t>
        </is>
      </c>
      <c r="E619" s="3" t="inlineStr">
        <is>
          <t>MOVE_LEER</t>
        </is>
      </c>
    </row>
    <row r="620">
      <c r="A620" s="3" t="inlineStr">
        <is>
          <t>SPECIES_URSARING</t>
        </is>
      </c>
      <c r="B620" s="3" t="inlineStr">
        <is>
          <t>Ursaring</t>
        </is>
      </c>
      <c r="C620" s="3" t="n">
        <v>1</v>
      </c>
      <c r="D620" s="3" t="inlineStr">
        <is>
          <t>Lick</t>
        </is>
      </c>
      <c r="E620" s="3" t="inlineStr">
        <is>
          <t>MOVE_LICK</t>
        </is>
      </c>
    </row>
    <row r="621">
      <c r="A621" s="3" t="inlineStr">
        <is>
          <t>SPECIES_URSARING</t>
        </is>
      </c>
      <c r="B621" s="3" t="inlineStr">
        <is>
          <t>Ursaring</t>
        </is>
      </c>
      <c r="C621" s="3" t="n">
        <v>1</v>
      </c>
      <c r="D621" s="3" t="inlineStr">
        <is>
          <t>Covet</t>
        </is>
      </c>
      <c r="E621" s="3" t="inlineStr">
        <is>
          <t>MOVE_COVET</t>
        </is>
      </c>
    </row>
    <row r="622">
      <c r="A622" s="3" t="inlineStr">
        <is>
          <t>SPECIES_URSARING</t>
        </is>
      </c>
      <c r="B622" s="3" t="inlineStr">
        <is>
          <t>Ursaring</t>
        </is>
      </c>
      <c r="C622" s="3" t="n">
        <v>1</v>
      </c>
      <c r="D622" s="3" t="inlineStr">
        <is>
          <t>Fake Tears</t>
        </is>
      </c>
      <c r="E622" s="3" t="inlineStr">
        <is>
          <t>MOVE_FAKE_TEARS</t>
        </is>
      </c>
    </row>
    <row r="623">
      <c r="A623" s="3" t="inlineStr">
        <is>
          <t>SPECIES_URSARING</t>
        </is>
      </c>
      <c r="B623" s="3" t="inlineStr">
        <is>
          <t>Ursaring</t>
        </is>
      </c>
      <c r="C623" s="3" t="n">
        <v>8</v>
      </c>
      <c r="D623" s="3" t="inlineStr">
        <is>
          <t>Fury Swipes</t>
        </is>
      </c>
      <c r="E623" s="3" t="inlineStr">
        <is>
          <t>MOVE_FURY_SWIPES</t>
        </is>
      </c>
    </row>
    <row r="624">
      <c r="A624" s="3" t="inlineStr">
        <is>
          <t>SPECIES_URSARING</t>
        </is>
      </c>
      <c r="B624" s="3" t="inlineStr">
        <is>
          <t>Ursaring</t>
        </is>
      </c>
      <c r="C624" s="3" t="n">
        <v>13</v>
      </c>
      <c r="D624" s="3" t="inlineStr">
        <is>
          <t>Payback</t>
        </is>
      </c>
      <c r="E624" s="3" t="inlineStr">
        <is>
          <t>MOVE_PAYBACK</t>
        </is>
      </c>
    </row>
    <row r="625">
      <c r="A625" s="3" t="inlineStr">
        <is>
          <t>SPECIES_URSARING</t>
        </is>
      </c>
      <c r="B625" s="3" t="inlineStr">
        <is>
          <t>Ursaring</t>
        </is>
      </c>
      <c r="C625" s="3" t="n">
        <v>17</v>
      </c>
      <c r="D625" s="3" t="inlineStr">
        <is>
          <t>Sweet Scent</t>
        </is>
      </c>
      <c r="E625" s="3" t="inlineStr">
        <is>
          <t>MOVE_SWEET_SCENT</t>
        </is>
      </c>
    </row>
    <row r="626">
      <c r="A626" s="3" t="inlineStr">
        <is>
          <t>SPECIES_URSARING</t>
        </is>
      </c>
      <c r="B626" s="3" t="inlineStr">
        <is>
          <t>Ursaring</t>
        </is>
      </c>
      <c r="C626" s="3" t="n">
        <v>22</v>
      </c>
      <c r="D626" s="3" t="inlineStr">
        <is>
          <t>Slash</t>
        </is>
      </c>
      <c r="E626" s="3" t="inlineStr">
        <is>
          <t>MOVE_SLASH</t>
        </is>
      </c>
    </row>
    <row r="627">
      <c r="A627" s="3" t="inlineStr">
        <is>
          <t>SPECIES_URSARING</t>
        </is>
      </c>
      <c r="B627" s="3" t="inlineStr">
        <is>
          <t>Ursaring</t>
        </is>
      </c>
      <c r="C627" s="3" t="n">
        <v>25</v>
      </c>
      <c r="D627" s="3" t="inlineStr">
        <is>
          <t>Play Nice</t>
        </is>
      </c>
      <c r="E627" s="3" t="inlineStr">
        <is>
          <t>MOVE_PLAY_NICE</t>
        </is>
      </c>
    </row>
    <row r="628">
      <c r="A628" s="3" t="inlineStr">
        <is>
          <t>SPECIES_URSARING</t>
        </is>
      </c>
      <c r="B628" s="3" t="inlineStr">
        <is>
          <t>Ursaring</t>
        </is>
      </c>
      <c r="C628" s="3" t="n">
        <v>29</v>
      </c>
      <c r="D628" s="3" t="inlineStr">
        <is>
          <t>Play Rough</t>
        </is>
      </c>
      <c r="E628" s="3" t="inlineStr">
        <is>
          <t>MOVE_PLAY_ROUGH</t>
        </is>
      </c>
    </row>
    <row r="629">
      <c r="A629" s="3" t="inlineStr">
        <is>
          <t>SPECIES_URSARING</t>
        </is>
      </c>
      <c r="B629" s="3" t="inlineStr">
        <is>
          <t>Ursaring</t>
        </is>
      </c>
      <c r="C629" s="3" t="n">
        <v>35</v>
      </c>
      <c r="D629" s="3" t="inlineStr">
        <is>
          <t>Scary Face</t>
        </is>
      </c>
      <c r="E629" s="3" t="inlineStr">
        <is>
          <t>MOVE_SCARY_FACE</t>
        </is>
      </c>
    </row>
    <row r="630">
      <c r="A630" s="3" t="inlineStr">
        <is>
          <t>SPECIES_URSARING</t>
        </is>
      </c>
      <c r="B630" s="3" t="inlineStr">
        <is>
          <t>Ursaring</t>
        </is>
      </c>
      <c r="C630" s="3" t="n">
        <v>41</v>
      </c>
      <c r="D630" s="3" t="inlineStr">
        <is>
          <t>Rest</t>
        </is>
      </c>
      <c r="E630" s="3" t="inlineStr">
        <is>
          <t>MOVE_REST</t>
        </is>
      </c>
    </row>
    <row r="631">
      <c r="A631" s="3" t="inlineStr">
        <is>
          <t>SPECIES_URSARING</t>
        </is>
      </c>
      <c r="B631" s="3" t="inlineStr">
        <is>
          <t>Ursaring</t>
        </is>
      </c>
      <c r="C631" s="3" t="n">
        <v>41</v>
      </c>
      <c r="D631" s="3" t="inlineStr">
        <is>
          <t>Snore</t>
        </is>
      </c>
      <c r="E631" s="3" t="inlineStr">
        <is>
          <t>MOVE_SNORE</t>
        </is>
      </c>
    </row>
    <row r="632">
      <c r="A632" s="3" t="inlineStr">
        <is>
          <t>SPECIES_URSARING</t>
        </is>
      </c>
      <c r="B632" s="3" t="inlineStr">
        <is>
          <t>Ursaring</t>
        </is>
      </c>
      <c r="C632" s="3" t="n">
        <v>48</v>
      </c>
      <c r="D632" s="3" t="inlineStr">
        <is>
          <t>High Horsepower</t>
        </is>
      </c>
      <c r="E632" s="3" t="inlineStr">
        <is>
          <t>MOVE_HIGH_HORSEPOWER</t>
        </is>
      </c>
    </row>
    <row r="633">
      <c r="A633" s="3" t="inlineStr">
        <is>
          <t>SPECIES_URSARING</t>
        </is>
      </c>
      <c r="B633" s="3" t="inlineStr">
        <is>
          <t>Ursaring</t>
        </is>
      </c>
      <c r="C633" s="3" t="n">
        <v>56</v>
      </c>
      <c r="D633" s="3" t="inlineStr">
        <is>
          <t>Thrash</t>
        </is>
      </c>
      <c r="E633" s="3" t="inlineStr">
        <is>
          <t>MOVE_THRASH</t>
        </is>
      </c>
    </row>
    <row r="634">
      <c r="A634" s="3" t="inlineStr">
        <is>
          <t>SPECIES_URSARING</t>
        </is>
      </c>
      <c r="B634" s="3" t="inlineStr">
        <is>
          <t>Ursaring</t>
        </is>
      </c>
      <c r="C634" s="3" t="n">
        <v>64</v>
      </c>
      <c r="D634" s="3" t="inlineStr">
        <is>
          <t>Hammer Arm</t>
        </is>
      </c>
      <c r="E634" s="3" t="inlineStr">
        <is>
          <t>MOVE_HAMMER_ARM</t>
        </is>
      </c>
    </row>
    <row r="635">
      <c r="A635" s="3" t="inlineStr">
        <is>
          <t>SPECIES_URSALUNA</t>
        </is>
      </c>
      <c r="B635" s="3" t="inlineStr">
        <is>
          <t>Ursaluna</t>
        </is>
      </c>
      <c r="C635" s="3" t="n">
        <v>0</v>
      </c>
      <c r="D635" s="3" t="inlineStr">
        <is>
          <t>Headlong Rush</t>
        </is>
      </c>
      <c r="E635" s="3" t="inlineStr">
        <is>
          <t>MOVE_HEADLONG_RUSH</t>
        </is>
      </c>
    </row>
    <row r="636">
      <c r="A636" s="3" t="inlineStr">
        <is>
          <t>SPECIES_URSALUNA</t>
        </is>
      </c>
      <c r="B636" s="3" t="inlineStr">
        <is>
          <t>Ursaluna</t>
        </is>
      </c>
      <c r="C636" s="3" t="n">
        <v>1</v>
      </c>
      <c r="D636" s="3" t="inlineStr">
        <is>
          <t>Fake Tears</t>
        </is>
      </c>
      <c r="E636" s="3" t="inlineStr">
        <is>
          <t>MOVE_FAKE_TEARS</t>
        </is>
      </c>
    </row>
    <row r="637">
      <c r="A637" s="3" t="inlineStr">
        <is>
          <t>SPECIES_URSALUNA</t>
        </is>
      </c>
      <c r="B637" s="3" t="inlineStr">
        <is>
          <t>Ursaluna</t>
        </is>
      </c>
      <c r="C637" s="3" t="n">
        <v>1</v>
      </c>
      <c r="D637" s="3" t="inlineStr">
        <is>
          <t>Covet</t>
        </is>
      </c>
      <c r="E637" s="3" t="inlineStr">
        <is>
          <t>MOVE_COVET</t>
        </is>
      </c>
    </row>
    <row r="638">
      <c r="A638" s="3" t="inlineStr">
        <is>
          <t>SPECIES_URSALUNA</t>
        </is>
      </c>
      <c r="B638" s="3" t="inlineStr">
        <is>
          <t>Ursaluna</t>
        </is>
      </c>
      <c r="C638" s="3" t="n">
        <v>1</v>
      </c>
      <c r="D638" s="3" t="inlineStr">
        <is>
          <t>Scratch</t>
        </is>
      </c>
      <c r="E638" s="3" t="inlineStr">
        <is>
          <t>MOVE_SCRATCH</t>
        </is>
      </c>
    </row>
    <row r="639">
      <c r="A639" s="3" t="inlineStr">
        <is>
          <t>SPECIES_URSALUNA</t>
        </is>
      </c>
      <c r="B639" s="3" t="inlineStr">
        <is>
          <t>Ursaluna</t>
        </is>
      </c>
      <c r="C639" s="3" t="n">
        <v>1</v>
      </c>
      <c r="D639" s="3" t="inlineStr">
        <is>
          <t>Leer</t>
        </is>
      </c>
      <c r="E639" s="3" t="inlineStr">
        <is>
          <t>MOVE_LEER</t>
        </is>
      </c>
    </row>
    <row r="640">
      <c r="A640" s="3" t="inlineStr">
        <is>
          <t>SPECIES_URSALUNA</t>
        </is>
      </c>
      <c r="B640" s="3" t="inlineStr">
        <is>
          <t>Ursaluna</t>
        </is>
      </c>
      <c r="C640" s="3" t="n">
        <v>1</v>
      </c>
      <c r="D640" s="3" t="inlineStr">
        <is>
          <t>Lick</t>
        </is>
      </c>
      <c r="E640" s="3" t="inlineStr">
        <is>
          <t>MOVE_LICK</t>
        </is>
      </c>
    </row>
    <row r="641">
      <c r="A641" s="3" t="inlineStr">
        <is>
          <t>SPECIES_URSALUNA</t>
        </is>
      </c>
      <c r="B641" s="3" t="inlineStr">
        <is>
          <t>Ursaluna</t>
        </is>
      </c>
      <c r="C641" s="3" t="n">
        <v>8</v>
      </c>
      <c r="D641" s="3" t="inlineStr">
        <is>
          <t>Fury Swipes</t>
        </is>
      </c>
      <c r="E641" s="3" t="inlineStr">
        <is>
          <t>MOVE_FURY_SWIPES</t>
        </is>
      </c>
    </row>
    <row r="642">
      <c r="A642" s="3" t="inlineStr">
        <is>
          <t>SPECIES_URSALUNA</t>
        </is>
      </c>
      <c r="B642" s="3" t="inlineStr">
        <is>
          <t>Ursaluna</t>
        </is>
      </c>
      <c r="C642" s="3" t="n">
        <v>13</v>
      </c>
      <c r="D642" s="3" t="inlineStr">
        <is>
          <t>Payback</t>
        </is>
      </c>
      <c r="E642" s="3" t="inlineStr">
        <is>
          <t>MOVE_PAYBACK</t>
        </is>
      </c>
    </row>
    <row r="643">
      <c r="A643" s="3" t="inlineStr">
        <is>
          <t>SPECIES_URSALUNA</t>
        </is>
      </c>
      <c r="B643" s="3" t="inlineStr">
        <is>
          <t>Ursaluna</t>
        </is>
      </c>
      <c r="C643" s="3" t="n">
        <v>17</v>
      </c>
      <c r="D643" s="3" t="inlineStr">
        <is>
          <t>Sweet Scent</t>
        </is>
      </c>
      <c r="E643" s="3" t="inlineStr">
        <is>
          <t>MOVE_SWEET_SCENT</t>
        </is>
      </c>
    </row>
    <row r="644">
      <c r="A644" s="3" t="inlineStr">
        <is>
          <t>SPECIES_URSALUNA</t>
        </is>
      </c>
      <c r="B644" s="3" t="inlineStr">
        <is>
          <t>Ursaluna</t>
        </is>
      </c>
      <c r="C644" s="3" t="n">
        <v>22</v>
      </c>
      <c r="D644" s="3" t="inlineStr">
        <is>
          <t>Slash</t>
        </is>
      </c>
      <c r="E644" s="3" t="inlineStr">
        <is>
          <t>MOVE_SLASH</t>
        </is>
      </c>
    </row>
    <row r="645">
      <c r="A645" s="3" t="inlineStr">
        <is>
          <t>SPECIES_URSALUNA</t>
        </is>
      </c>
      <c r="B645" s="3" t="inlineStr">
        <is>
          <t>Ursaluna</t>
        </is>
      </c>
      <c r="C645" s="3" t="n">
        <v>25</v>
      </c>
      <c r="D645" s="3" t="inlineStr">
        <is>
          <t>Play Nice</t>
        </is>
      </c>
      <c r="E645" s="3" t="inlineStr">
        <is>
          <t>MOVE_PLAY_NICE</t>
        </is>
      </c>
    </row>
    <row r="646">
      <c r="A646" s="3" t="inlineStr">
        <is>
          <t>SPECIES_URSALUNA</t>
        </is>
      </c>
      <c r="B646" s="3" t="inlineStr">
        <is>
          <t>Ursaluna</t>
        </is>
      </c>
      <c r="C646" s="3" t="n">
        <v>29</v>
      </c>
      <c r="D646" s="3" t="inlineStr">
        <is>
          <t>Play Rough</t>
        </is>
      </c>
      <c r="E646" s="3" t="inlineStr">
        <is>
          <t>MOVE_PLAY_ROUGH</t>
        </is>
      </c>
    </row>
    <row r="647">
      <c r="A647" s="3" t="inlineStr">
        <is>
          <t>SPECIES_URSALUNA</t>
        </is>
      </c>
      <c r="B647" s="3" t="inlineStr">
        <is>
          <t>Ursaluna</t>
        </is>
      </c>
      <c r="C647" s="3" t="n">
        <v>35</v>
      </c>
      <c r="D647" s="3" t="inlineStr">
        <is>
          <t>Scary Face</t>
        </is>
      </c>
      <c r="E647" s="3" t="inlineStr">
        <is>
          <t>MOVE_SCARY_FACE</t>
        </is>
      </c>
    </row>
    <row r="648">
      <c r="A648" s="3" t="inlineStr">
        <is>
          <t>SPECIES_URSALUNA</t>
        </is>
      </c>
      <c r="B648" s="3" t="inlineStr">
        <is>
          <t>Ursaluna</t>
        </is>
      </c>
      <c r="C648" s="3" t="n">
        <v>41</v>
      </c>
      <c r="D648" s="3" t="inlineStr">
        <is>
          <t>Rest</t>
        </is>
      </c>
      <c r="E648" s="3" t="inlineStr">
        <is>
          <t>MOVE_REST</t>
        </is>
      </c>
    </row>
    <row r="649">
      <c r="A649" s="3" t="inlineStr">
        <is>
          <t>SPECIES_URSALUNA</t>
        </is>
      </c>
      <c r="B649" s="3" t="inlineStr">
        <is>
          <t>Ursaluna</t>
        </is>
      </c>
      <c r="C649" s="3" t="n">
        <v>41</v>
      </c>
      <c r="D649" s="3" t="inlineStr">
        <is>
          <t>Snore</t>
        </is>
      </c>
      <c r="E649" s="3" t="inlineStr">
        <is>
          <t>MOVE_SNORE</t>
        </is>
      </c>
    </row>
    <row r="650">
      <c r="A650" s="3" t="inlineStr">
        <is>
          <t>SPECIES_URSALUNA</t>
        </is>
      </c>
      <c r="B650" s="3" t="inlineStr">
        <is>
          <t>Ursaluna</t>
        </is>
      </c>
      <c r="C650" s="3" t="n">
        <v>48</v>
      </c>
      <c r="D650" s="3" t="inlineStr">
        <is>
          <t>High Horsepower</t>
        </is>
      </c>
      <c r="E650" s="3" t="inlineStr">
        <is>
          <t>MOVE_HIGH_HORSEPOWER</t>
        </is>
      </c>
    </row>
    <row r="651">
      <c r="A651" s="3" t="inlineStr">
        <is>
          <t>SPECIES_URSALUNA</t>
        </is>
      </c>
      <c r="B651" s="3" t="inlineStr">
        <is>
          <t>Ursaluna</t>
        </is>
      </c>
      <c r="C651" s="3" t="n">
        <v>56</v>
      </c>
      <c r="D651" s="3" t="inlineStr">
        <is>
          <t>Thrash</t>
        </is>
      </c>
      <c r="E651" s="3" t="inlineStr">
        <is>
          <t>MOVE_THRASH</t>
        </is>
      </c>
    </row>
    <row r="652">
      <c r="A652" s="3" t="inlineStr">
        <is>
          <t>SPECIES_URSALUNA</t>
        </is>
      </c>
      <c r="B652" s="3" t="inlineStr">
        <is>
          <t>Ursaluna</t>
        </is>
      </c>
      <c r="C652" s="3" t="n">
        <v>64</v>
      </c>
      <c r="D652" s="3" t="inlineStr">
        <is>
          <t>Hammer Arm</t>
        </is>
      </c>
      <c r="E652" s="3" t="inlineStr">
        <is>
          <t>MOVE_HAMMER_ARM</t>
        </is>
      </c>
    </row>
    <row r="653">
      <c r="A653" s="3" t="inlineStr">
        <is>
          <t>SPECIES_SLUGMA</t>
        </is>
      </c>
      <c r="B653" s="3" t="inlineStr">
        <is>
          <t>Slugma</t>
        </is>
      </c>
      <c r="C653" s="3" t="n">
        <v>1</v>
      </c>
      <c r="D653" s="3" t="inlineStr">
        <is>
          <t>Smog</t>
        </is>
      </c>
      <c r="E653" s="3" t="inlineStr">
        <is>
          <t>MOVE_SMOG</t>
        </is>
      </c>
    </row>
    <row r="654">
      <c r="A654" s="3" t="inlineStr">
        <is>
          <t>SPECIES_SLUGMA</t>
        </is>
      </c>
      <c r="B654" s="3" t="inlineStr">
        <is>
          <t>Slugma</t>
        </is>
      </c>
      <c r="C654" s="3" t="n">
        <v>1</v>
      </c>
      <c r="D654" s="3" t="inlineStr">
        <is>
          <t>Yawn</t>
        </is>
      </c>
      <c r="E654" s="3" t="inlineStr">
        <is>
          <t>MOVE_YAWN</t>
        </is>
      </c>
    </row>
    <row r="655">
      <c r="A655" s="3" t="inlineStr">
        <is>
          <t>SPECIES_SLUGMA</t>
        </is>
      </c>
      <c r="B655" s="3" t="inlineStr">
        <is>
          <t>Slugma</t>
        </is>
      </c>
      <c r="C655" s="3" t="n">
        <v>6</v>
      </c>
      <c r="D655" s="3" t="inlineStr">
        <is>
          <t>Ember</t>
        </is>
      </c>
      <c r="E655" s="3" t="inlineStr">
        <is>
          <t>MOVE_EMBER</t>
        </is>
      </c>
    </row>
    <row r="656">
      <c r="A656" s="3" t="inlineStr">
        <is>
          <t>SPECIES_SLUGMA</t>
        </is>
      </c>
      <c r="B656" s="3" t="inlineStr">
        <is>
          <t>Slugma</t>
        </is>
      </c>
      <c r="C656" s="3" t="n">
        <v>8</v>
      </c>
      <c r="D656" s="3" t="inlineStr">
        <is>
          <t>Rock Throw</t>
        </is>
      </c>
      <c r="E656" s="3" t="inlineStr">
        <is>
          <t>MOVE_ROCK_THROW</t>
        </is>
      </c>
    </row>
    <row r="657">
      <c r="A657" s="3" t="inlineStr">
        <is>
          <t>SPECIES_SLUGMA</t>
        </is>
      </c>
      <c r="B657" s="3" t="inlineStr">
        <is>
          <t>Slugma</t>
        </is>
      </c>
      <c r="C657" s="3" t="n">
        <v>13</v>
      </c>
      <c r="D657" s="3" t="inlineStr">
        <is>
          <t>Harden</t>
        </is>
      </c>
      <c r="E657" s="3" t="inlineStr">
        <is>
          <t>MOVE_HARDEN</t>
        </is>
      </c>
    </row>
    <row r="658">
      <c r="A658" s="3" t="inlineStr">
        <is>
          <t>SPECIES_SLUGMA</t>
        </is>
      </c>
      <c r="B658" s="3" t="inlineStr">
        <is>
          <t>Slugma</t>
        </is>
      </c>
      <c r="C658" s="3" t="n">
        <v>20</v>
      </c>
      <c r="D658" s="3" t="inlineStr">
        <is>
          <t>Clear Smog</t>
        </is>
      </c>
      <c r="E658" s="3" t="inlineStr">
        <is>
          <t>MOVE_CLEAR_SMOG</t>
        </is>
      </c>
    </row>
    <row r="659">
      <c r="A659" s="3" t="inlineStr">
        <is>
          <t>SPECIES_SLUGMA</t>
        </is>
      </c>
      <c r="B659" s="3" t="inlineStr">
        <is>
          <t>Slugma</t>
        </is>
      </c>
      <c r="C659" s="3" t="n">
        <v>22</v>
      </c>
      <c r="D659" s="3" t="inlineStr">
        <is>
          <t>Ancient Power</t>
        </is>
      </c>
      <c r="E659" s="3" t="inlineStr">
        <is>
          <t>MOVE_ANCIENT_POWER</t>
        </is>
      </c>
    </row>
    <row r="660">
      <c r="A660" s="3" t="inlineStr">
        <is>
          <t>SPECIES_SLUGMA</t>
        </is>
      </c>
      <c r="B660" s="3" t="inlineStr">
        <is>
          <t>Slugma</t>
        </is>
      </c>
      <c r="C660" s="3" t="n">
        <v>27</v>
      </c>
      <c r="D660" s="3" t="inlineStr">
        <is>
          <t>Incinerate</t>
        </is>
      </c>
      <c r="E660" s="3" t="inlineStr">
        <is>
          <t>MOVE_INCINERATE</t>
        </is>
      </c>
    </row>
    <row r="661">
      <c r="A661" s="3" t="inlineStr">
        <is>
          <t>SPECIES_SLUGMA</t>
        </is>
      </c>
      <c r="B661" s="3" t="inlineStr">
        <is>
          <t>Slugma</t>
        </is>
      </c>
      <c r="C661" s="3" t="n">
        <v>29</v>
      </c>
      <c r="D661" s="3" t="inlineStr">
        <is>
          <t>Rock Slide</t>
        </is>
      </c>
      <c r="E661" s="3" t="inlineStr">
        <is>
          <t>MOVE_ROCK_SLIDE</t>
        </is>
      </c>
    </row>
    <row r="662">
      <c r="A662" s="3" t="inlineStr">
        <is>
          <t>SPECIES_SLUGMA</t>
        </is>
      </c>
      <c r="B662" s="3" t="inlineStr">
        <is>
          <t>Slugma</t>
        </is>
      </c>
      <c r="C662" s="3" t="n">
        <v>34</v>
      </c>
      <c r="D662" s="3" t="inlineStr">
        <is>
          <t>Lava Plume</t>
        </is>
      </c>
      <c r="E662" s="3" t="inlineStr">
        <is>
          <t>MOVE_LAVA_PLUME</t>
        </is>
      </c>
    </row>
    <row r="663">
      <c r="A663" s="3" t="inlineStr">
        <is>
          <t>SPECIES_SLUGMA</t>
        </is>
      </c>
      <c r="B663" s="3" t="inlineStr">
        <is>
          <t>Slugma</t>
        </is>
      </c>
      <c r="C663" s="3" t="n">
        <v>36</v>
      </c>
      <c r="D663" s="3" t="inlineStr">
        <is>
          <t>Amnesia</t>
        </is>
      </c>
      <c r="E663" s="3" t="inlineStr">
        <is>
          <t>MOVE_AMNESIA</t>
        </is>
      </c>
    </row>
    <row r="664">
      <c r="A664" s="3" t="inlineStr">
        <is>
          <t>SPECIES_SLUGMA</t>
        </is>
      </c>
      <c r="B664" s="3" t="inlineStr">
        <is>
          <t>Slugma</t>
        </is>
      </c>
      <c r="C664" s="3" t="n">
        <v>41</v>
      </c>
      <c r="D664" s="3" t="inlineStr">
        <is>
          <t>Body Slam</t>
        </is>
      </c>
      <c r="E664" s="3" t="inlineStr">
        <is>
          <t>MOVE_BODY_SLAM</t>
        </is>
      </c>
    </row>
    <row r="665">
      <c r="A665" s="3" t="inlineStr">
        <is>
          <t>SPECIES_SLUGMA</t>
        </is>
      </c>
      <c r="B665" s="3" t="inlineStr">
        <is>
          <t>Slugma</t>
        </is>
      </c>
      <c r="C665" s="3" t="n">
        <v>43</v>
      </c>
      <c r="D665" s="3" t="inlineStr">
        <is>
          <t>Recover</t>
        </is>
      </c>
      <c r="E665" s="3" t="inlineStr">
        <is>
          <t>MOVE_RECOVER</t>
        </is>
      </c>
    </row>
    <row r="666">
      <c r="A666" s="3" t="inlineStr">
        <is>
          <t>SPECIES_SLUGMA</t>
        </is>
      </c>
      <c r="B666" s="3" t="inlineStr">
        <is>
          <t>Slugma</t>
        </is>
      </c>
      <c r="C666" s="3" t="n">
        <v>48</v>
      </c>
      <c r="D666" s="3" t="inlineStr">
        <is>
          <t>Flamethrower</t>
        </is>
      </c>
      <c r="E666" s="3" t="inlineStr">
        <is>
          <t>MOVE_FLAMETHROWER</t>
        </is>
      </c>
    </row>
    <row r="667">
      <c r="A667" s="3" t="inlineStr">
        <is>
          <t>SPECIES_SLUGMA</t>
        </is>
      </c>
      <c r="B667" s="3" t="inlineStr">
        <is>
          <t>Slugma</t>
        </is>
      </c>
      <c r="C667" s="3" t="n">
        <v>50</v>
      </c>
      <c r="D667" s="3" t="inlineStr">
        <is>
          <t>Earth Power</t>
        </is>
      </c>
      <c r="E667" s="3" t="inlineStr">
        <is>
          <t>MOVE_EARTH_POWER</t>
        </is>
      </c>
    </row>
    <row r="668">
      <c r="A668" s="3" t="inlineStr">
        <is>
          <t>SPECIES_MAGCARGO</t>
        </is>
      </c>
      <c r="B668" s="3" t="inlineStr">
        <is>
          <t>Magcargo</t>
        </is>
      </c>
      <c r="C668" s="3" t="n">
        <v>0</v>
      </c>
      <c r="D668" s="3" t="inlineStr">
        <is>
          <t>Shell Smash</t>
        </is>
      </c>
      <c r="E668" s="3" t="inlineStr">
        <is>
          <t>MOVE_SHELL_SMASH</t>
        </is>
      </c>
    </row>
    <row r="669">
      <c r="A669" s="3" t="inlineStr">
        <is>
          <t>SPECIES_MAGCARGO</t>
        </is>
      </c>
      <c r="B669" s="3" t="inlineStr">
        <is>
          <t>Magcargo</t>
        </is>
      </c>
      <c r="C669" s="3" t="n">
        <v>1</v>
      </c>
      <c r="D669" s="3" t="inlineStr">
        <is>
          <t>Ember</t>
        </is>
      </c>
      <c r="E669" s="3" t="inlineStr">
        <is>
          <t>MOVE_EMBER</t>
        </is>
      </c>
    </row>
    <row r="670">
      <c r="A670" s="3" t="inlineStr">
        <is>
          <t>SPECIES_MAGCARGO</t>
        </is>
      </c>
      <c r="B670" s="3" t="inlineStr">
        <is>
          <t>Magcargo</t>
        </is>
      </c>
      <c r="C670" s="3" t="n">
        <v>1</v>
      </c>
      <c r="D670" s="3" t="inlineStr">
        <is>
          <t>Rock Throw</t>
        </is>
      </c>
      <c r="E670" s="3" t="inlineStr">
        <is>
          <t>MOVE_ROCK_THROW</t>
        </is>
      </c>
    </row>
    <row r="671">
      <c r="A671" s="3" t="inlineStr">
        <is>
          <t>SPECIES_MAGCARGO</t>
        </is>
      </c>
      <c r="B671" s="3" t="inlineStr">
        <is>
          <t>Magcargo</t>
        </is>
      </c>
      <c r="C671" s="3" t="n">
        <v>1</v>
      </c>
      <c r="D671" s="3" t="inlineStr">
        <is>
          <t>Smog</t>
        </is>
      </c>
      <c r="E671" s="3" t="inlineStr">
        <is>
          <t>MOVE_SMOG</t>
        </is>
      </c>
    </row>
    <row r="672">
      <c r="A672" s="3" t="inlineStr">
        <is>
          <t>SPECIES_MAGCARGO</t>
        </is>
      </c>
      <c r="B672" s="3" t="inlineStr">
        <is>
          <t>Magcargo</t>
        </is>
      </c>
      <c r="C672" s="3" t="n">
        <v>1</v>
      </c>
      <c r="D672" s="3" t="inlineStr">
        <is>
          <t>Yawn</t>
        </is>
      </c>
      <c r="E672" s="3" t="inlineStr">
        <is>
          <t>MOVE_YAWN</t>
        </is>
      </c>
    </row>
    <row r="673">
      <c r="A673" s="3" t="inlineStr">
        <is>
          <t>SPECIES_MAGCARGO</t>
        </is>
      </c>
      <c r="B673" s="3" t="inlineStr">
        <is>
          <t>Magcargo</t>
        </is>
      </c>
      <c r="C673" s="3" t="n">
        <v>1</v>
      </c>
      <c r="D673" s="3" t="inlineStr">
        <is>
          <t>Earth Power</t>
        </is>
      </c>
      <c r="E673" s="3" t="inlineStr">
        <is>
          <t>MOVE_EARTH_POWER</t>
        </is>
      </c>
    </row>
    <row r="674">
      <c r="A674" s="3" t="inlineStr">
        <is>
          <t>SPECIES_MAGCARGO</t>
        </is>
      </c>
      <c r="B674" s="3" t="inlineStr">
        <is>
          <t>Magcargo</t>
        </is>
      </c>
      <c r="C674" s="3" t="n">
        <v>13</v>
      </c>
      <c r="D674" s="3" t="inlineStr">
        <is>
          <t>Harden</t>
        </is>
      </c>
      <c r="E674" s="3" t="inlineStr">
        <is>
          <t>MOVE_HARDEN</t>
        </is>
      </c>
    </row>
    <row r="675">
      <c r="A675" s="3" t="inlineStr">
        <is>
          <t>SPECIES_MAGCARGO</t>
        </is>
      </c>
      <c r="B675" s="3" t="inlineStr">
        <is>
          <t>Magcargo</t>
        </is>
      </c>
      <c r="C675" s="3" t="n">
        <v>20</v>
      </c>
      <c r="D675" s="3" t="inlineStr">
        <is>
          <t>Clear Smog</t>
        </is>
      </c>
      <c r="E675" s="3" t="inlineStr">
        <is>
          <t>MOVE_CLEAR_SMOG</t>
        </is>
      </c>
    </row>
    <row r="676">
      <c r="A676" s="3" t="inlineStr">
        <is>
          <t>SPECIES_MAGCARGO</t>
        </is>
      </c>
      <c r="B676" s="3" t="inlineStr">
        <is>
          <t>Magcargo</t>
        </is>
      </c>
      <c r="C676" s="3" t="n">
        <v>22</v>
      </c>
      <c r="D676" s="3" t="inlineStr">
        <is>
          <t>Ancient Power</t>
        </is>
      </c>
      <c r="E676" s="3" t="inlineStr">
        <is>
          <t>MOVE_ANCIENT_POWER</t>
        </is>
      </c>
    </row>
    <row r="677">
      <c r="A677" s="3" t="inlineStr">
        <is>
          <t>SPECIES_MAGCARGO</t>
        </is>
      </c>
      <c r="B677" s="3" t="inlineStr">
        <is>
          <t>Magcargo</t>
        </is>
      </c>
      <c r="C677" s="3" t="n">
        <v>27</v>
      </c>
      <c r="D677" s="3" t="inlineStr">
        <is>
          <t>Incinerate</t>
        </is>
      </c>
      <c r="E677" s="3" t="inlineStr">
        <is>
          <t>MOVE_INCINERATE</t>
        </is>
      </c>
    </row>
    <row r="678">
      <c r="A678" s="3" t="inlineStr">
        <is>
          <t>SPECIES_MAGCARGO</t>
        </is>
      </c>
      <c r="B678" s="3" t="inlineStr">
        <is>
          <t>Magcargo</t>
        </is>
      </c>
      <c r="C678" s="3" t="n">
        <v>29</v>
      </c>
      <c r="D678" s="3" t="inlineStr">
        <is>
          <t>Rock Slide</t>
        </is>
      </c>
      <c r="E678" s="3" t="inlineStr">
        <is>
          <t>MOVE_ROCK_SLIDE</t>
        </is>
      </c>
    </row>
    <row r="679">
      <c r="A679" s="3" t="inlineStr">
        <is>
          <t>SPECIES_MAGCARGO</t>
        </is>
      </c>
      <c r="B679" s="3" t="inlineStr">
        <is>
          <t>Magcargo</t>
        </is>
      </c>
      <c r="C679" s="3" t="n">
        <v>34</v>
      </c>
      <c r="D679" s="3" t="inlineStr">
        <is>
          <t>Lava Plume</t>
        </is>
      </c>
      <c r="E679" s="3" t="inlineStr">
        <is>
          <t>MOVE_LAVA_PLUME</t>
        </is>
      </c>
    </row>
    <row r="680">
      <c r="A680" s="3" t="inlineStr">
        <is>
          <t>SPECIES_MAGCARGO</t>
        </is>
      </c>
      <c r="B680" s="3" t="inlineStr">
        <is>
          <t>Magcargo</t>
        </is>
      </c>
      <c r="C680" s="3" t="n">
        <v>36</v>
      </c>
      <c r="D680" s="3" t="inlineStr">
        <is>
          <t>Amnesia</t>
        </is>
      </c>
      <c r="E680" s="3" t="inlineStr">
        <is>
          <t>MOVE_AMNESIA</t>
        </is>
      </c>
    </row>
    <row r="681">
      <c r="A681" s="3" t="inlineStr">
        <is>
          <t>SPECIES_MAGCARGO</t>
        </is>
      </c>
      <c r="B681" s="3" t="inlineStr">
        <is>
          <t>Magcargo</t>
        </is>
      </c>
      <c r="C681" s="3" t="n">
        <v>43</v>
      </c>
      <c r="D681" s="3" t="inlineStr">
        <is>
          <t>Body Slam</t>
        </is>
      </c>
      <c r="E681" s="3" t="inlineStr">
        <is>
          <t>MOVE_BODY_SLAM</t>
        </is>
      </c>
    </row>
    <row r="682">
      <c r="A682" s="3" t="inlineStr">
        <is>
          <t>SPECIES_MAGCARGO</t>
        </is>
      </c>
      <c r="B682" s="3" t="inlineStr">
        <is>
          <t>Magcargo</t>
        </is>
      </c>
      <c r="C682" s="3" t="n">
        <v>47</v>
      </c>
      <c r="D682" s="3" t="inlineStr">
        <is>
          <t>Recover</t>
        </is>
      </c>
      <c r="E682" s="3" t="inlineStr">
        <is>
          <t>MOVE_RECOVER</t>
        </is>
      </c>
    </row>
    <row r="683">
      <c r="A683" s="3" t="inlineStr">
        <is>
          <t>SPECIES_MAGCARGO</t>
        </is>
      </c>
      <c r="B683" s="3" t="inlineStr">
        <is>
          <t>Magcargo</t>
        </is>
      </c>
      <c r="C683" s="3" t="n">
        <v>54</v>
      </c>
      <c r="D683" s="3" t="inlineStr">
        <is>
          <t>Flamethrower</t>
        </is>
      </c>
      <c r="E683" s="3" t="inlineStr">
        <is>
          <t>MOVE_FLAMETHROWER</t>
        </is>
      </c>
    </row>
    <row r="684">
      <c r="A684" s="3" t="inlineStr">
        <is>
          <t>SPECIES_SWINUB</t>
        </is>
      </c>
      <c r="B684" s="3" t="inlineStr">
        <is>
          <t>Swinub</t>
        </is>
      </c>
      <c r="C684" s="3" t="n">
        <v>1</v>
      </c>
      <c r="D684" s="3" t="inlineStr">
        <is>
          <t>Tackle</t>
        </is>
      </c>
      <c r="E684" s="3" t="inlineStr">
        <is>
          <t>MOVE_TACKLE</t>
        </is>
      </c>
    </row>
    <row r="685">
      <c r="A685" s="3" t="inlineStr">
        <is>
          <t>SPECIES_SWINUB</t>
        </is>
      </c>
      <c r="B685" s="3" t="inlineStr">
        <is>
          <t>Swinub</t>
        </is>
      </c>
      <c r="C685" s="3" t="n">
        <v>1</v>
      </c>
      <c r="D685" s="3" t="inlineStr">
        <is>
          <t>Mud-Slap</t>
        </is>
      </c>
      <c r="E685" s="3" t="inlineStr">
        <is>
          <t>MOVE_MUD_SLAP</t>
        </is>
      </c>
    </row>
    <row r="686">
      <c r="A686" s="3" t="inlineStr">
        <is>
          <t>SPECIES_SWINUB</t>
        </is>
      </c>
      <c r="B686" s="3" t="inlineStr">
        <is>
          <t>Swinub</t>
        </is>
      </c>
      <c r="C686" s="3" t="n">
        <v>5</v>
      </c>
      <c r="D686" s="3" t="inlineStr">
        <is>
          <t>Powder Snow</t>
        </is>
      </c>
      <c r="E686" s="3" t="inlineStr">
        <is>
          <t>MOVE_POWDER_SNOW</t>
        </is>
      </c>
    </row>
    <row r="687">
      <c r="A687" s="3" t="inlineStr">
        <is>
          <t>SPECIES_SWINUB</t>
        </is>
      </c>
      <c r="B687" s="3" t="inlineStr">
        <is>
          <t>Swinub</t>
        </is>
      </c>
      <c r="C687" s="3" t="n">
        <v>10</v>
      </c>
      <c r="D687" s="3" t="inlineStr">
        <is>
          <t>Flail</t>
        </is>
      </c>
      <c r="E687" s="3" t="inlineStr">
        <is>
          <t>MOVE_FLAIL</t>
        </is>
      </c>
    </row>
    <row r="688">
      <c r="A688" s="3" t="inlineStr">
        <is>
          <t>SPECIES_SWINUB</t>
        </is>
      </c>
      <c r="B688" s="3" t="inlineStr">
        <is>
          <t>Swinub</t>
        </is>
      </c>
      <c r="C688" s="3" t="n">
        <v>15</v>
      </c>
      <c r="D688" s="3" t="inlineStr">
        <is>
          <t>Ice Shard</t>
        </is>
      </c>
      <c r="E688" s="3" t="inlineStr">
        <is>
          <t>MOVE_ICE_SHARD</t>
        </is>
      </c>
    </row>
    <row r="689">
      <c r="A689" s="3" t="inlineStr">
        <is>
          <t>SPECIES_SWINUB</t>
        </is>
      </c>
      <c r="B689" s="3" t="inlineStr">
        <is>
          <t>Swinub</t>
        </is>
      </c>
      <c r="C689" s="3" t="n">
        <v>20</v>
      </c>
      <c r="D689" s="3" t="inlineStr">
        <is>
          <t>Mist</t>
        </is>
      </c>
      <c r="E689" s="3" t="inlineStr">
        <is>
          <t>MOVE_MIST</t>
        </is>
      </c>
    </row>
    <row r="690">
      <c r="A690" s="3" t="inlineStr">
        <is>
          <t>SPECIES_SWINUB</t>
        </is>
      </c>
      <c r="B690" s="3" t="inlineStr">
        <is>
          <t>Swinub</t>
        </is>
      </c>
      <c r="C690" s="3" t="n">
        <v>25</v>
      </c>
      <c r="D690" s="3" t="inlineStr">
        <is>
          <t>Endure</t>
        </is>
      </c>
      <c r="E690" s="3" t="inlineStr">
        <is>
          <t>MOVE_ENDURE</t>
        </is>
      </c>
    </row>
    <row r="691">
      <c r="A691" s="3" t="inlineStr">
        <is>
          <t>SPECIES_SWINUB</t>
        </is>
      </c>
      <c r="B691" s="3" t="inlineStr">
        <is>
          <t>Swinub</t>
        </is>
      </c>
      <c r="C691" s="3" t="n">
        <v>30</v>
      </c>
      <c r="D691" s="3" t="inlineStr">
        <is>
          <t>Icy Wind</t>
        </is>
      </c>
      <c r="E691" s="3" t="inlineStr">
        <is>
          <t>MOVE_ICY_WIND</t>
        </is>
      </c>
    </row>
    <row r="692">
      <c r="A692" s="3" t="inlineStr">
        <is>
          <t>SPECIES_SWINUB</t>
        </is>
      </c>
      <c r="B692" s="3" t="inlineStr">
        <is>
          <t>Swinub</t>
        </is>
      </c>
      <c r="C692" s="3" t="n">
        <v>35</v>
      </c>
      <c r="D692" s="3" t="inlineStr">
        <is>
          <t>Amnesia</t>
        </is>
      </c>
      <c r="E692" s="3" t="inlineStr">
        <is>
          <t>MOVE_AMNESIA</t>
        </is>
      </c>
    </row>
    <row r="693">
      <c r="A693" s="3" t="inlineStr">
        <is>
          <t>SPECIES_SWINUB</t>
        </is>
      </c>
      <c r="B693" s="3" t="inlineStr">
        <is>
          <t>Swinub</t>
        </is>
      </c>
      <c r="C693" s="3" t="n">
        <v>40</v>
      </c>
      <c r="D693" s="3" t="inlineStr">
        <is>
          <t>Take Down</t>
        </is>
      </c>
      <c r="E693" s="3" t="inlineStr">
        <is>
          <t>MOVE_TAKE_DOWN</t>
        </is>
      </c>
    </row>
    <row r="694">
      <c r="A694" s="3" t="inlineStr">
        <is>
          <t>SPECIES_SWINUB</t>
        </is>
      </c>
      <c r="B694" s="3" t="inlineStr">
        <is>
          <t>Swinub</t>
        </is>
      </c>
      <c r="C694" s="3" t="n">
        <v>45</v>
      </c>
      <c r="D694" s="3" t="inlineStr">
        <is>
          <t>Earthquake</t>
        </is>
      </c>
      <c r="E694" s="3" t="inlineStr">
        <is>
          <t>MOVE_EARTHQUAKE</t>
        </is>
      </c>
    </row>
    <row r="695">
      <c r="A695" s="3" t="inlineStr">
        <is>
          <t>SPECIES_SWINUB</t>
        </is>
      </c>
      <c r="B695" s="3" t="inlineStr">
        <is>
          <t>Swinub</t>
        </is>
      </c>
      <c r="C695" s="3" t="n">
        <v>50</v>
      </c>
      <c r="D695" s="3" t="inlineStr">
        <is>
          <t>Blizzard</t>
        </is>
      </c>
      <c r="E695" s="3" t="inlineStr">
        <is>
          <t>MOVE_BLIZZARD</t>
        </is>
      </c>
    </row>
    <row r="696">
      <c r="A696" s="3" t="inlineStr">
        <is>
          <t>SPECIES_PILOSWINE</t>
        </is>
      </c>
      <c r="B696" s="3" t="inlineStr">
        <is>
          <t>Piloswine</t>
        </is>
      </c>
      <c r="C696" s="3" t="n">
        <v>0</v>
      </c>
      <c r="D696" s="3" t="inlineStr">
        <is>
          <t>Ice Fang</t>
        </is>
      </c>
      <c r="E696" s="3" t="inlineStr">
        <is>
          <t>MOVE_ICE_FANG</t>
        </is>
      </c>
    </row>
    <row r="697">
      <c r="A697" s="3" t="inlineStr">
        <is>
          <t>SPECIES_PILOSWINE</t>
        </is>
      </c>
      <c r="B697" s="3" t="inlineStr">
        <is>
          <t>Piloswine</t>
        </is>
      </c>
      <c r="C697" s="3" t="n">
        <v>1</v>
      </c>
      <c r="D697" s="3" t="inlineStr">
        <is>
          <t>Tackle</t>
        </is>
      </c>
      <c r="E697" s="3" t="inlineStr">
        <is>
          <t>MOVE_TACKLE</t>
        </is>
      </c>
    </row>
    <row r="698">
      <c r="A698" s="3" t="inlineStr">
        <is>
          <t>SPECIES_PILOSWINE</t>
        </is>
      </c>
      <c r="B698" s="3" t="inlineStr">
        <is>
          <t>Piloswine</t>
        </is>
      </c>
      <c r="C698" s="3" t="n">
        <v>1</v>
      </c>
      <c r="D698" s="3" t="inlineStr">
        <is>
          <t>Flail</t>
        </is>
      </c>
      <c r="E698" s="3" t="inlineStr">
        <is>
          <t>MOVE_FLAIL</t>
        </is>
      </c>
    </row>
    <row r="699">
      <c r="A699" s="3" t="inlineStr">
        <is>
          <t>SPECIES_PILOSWINE</t>
        </is>
      </c>
      <c r="B699" s="3" t="inlineStr">
        <is>
          <t>Piloswine</t>
        </is>
      </c>
      <c r="C699" s="3" t="n">
        <v>1</v>
      </c>
      <c r="D699" s="3" t="inlineStr">
        <is>
          <t>Powder Snow</t>
        </is>
      </c>
      <c r="E699" s="3" t="inlineStr">
        <is>
          <t>MOVE_POWDER_SNOW</t>
        </is>
      </c>
    </row>
    <row r="700">
      <c r="A700" s="3" t="inlineStr">
        <is>
          <t>SPECIES_PILOSWINE</t>
        </is>
      </c>
      <c r="B700" s="3" t="inlineStr">
        <is>
          <t>Piloswine</t>
        </is>
      </c>
      <c r="C700" s="3" t="n">
        <v>1</v>
      </c>
      <c r="D700" s="3" t="inlineStr">
        <is>
          <t>Mud-Slap</t>
        </is>
      </c>
      <c r="E700" s="3" t="inlineStr">
        <is>
          <t>MOVE_MUD_SLAP</t>
        </is>
      </c>
    </row>
    <row r="701">
      <c r="A701" s="3" t="inlineStr">
        <is>
          <t>SPECIES_PILOSWINE</t>
        </is>
      </c>
      <c r="B701" s="3" t="inlineStr">
        <is>
          <t>Piloswine</t>
        </is>
      </c>
      <c r="C701" s="3" t="n">
        <v>1</v>
      </c>
      <c r="D701" s="3" t="inlineStr">
        <is>
          <t>Ancient Power</t>
        </is>
      </c>
      <c r="E701" s="3" t="inlineStr">
        <is>
          <t>MOVE_ANCIENT_POWER</t>
        </is>
      </c>
    </row>
    <row r="702">
      <c r="A702" s="3" t="inlineStr">
        <is>
          <t>SPECIES_PILOSWINE</t>
        </is>
      </c>
      <c r="B702" s="3" t="inlineStr">
        <is>
          <t>Piloswine</t>
        </is>
      </c>
      <c r="C702" s="3" t="n">
        <v>15</v>
      </c>
      <c r="D702" s="3" t="inlineStr">
        <is>
          <t>Ice Shard</t>
        </is>
      </c>
      <c r="E702" s="3" t="inlineStr">
        <is>
          <t>MOVE_ICE_SHARD</t>
        </is>
      </c>
    </row>
    <row r="703">
      <c r="A703" s="3" t="inlineStr">
        <is>
          <t>SPECIES_PILOSWINE</t>
        </is>
      </c>
      <c r="B703" s="3" t="inlineStr">
        <is>
          <t>Piloswine</t>
        </is>
      </c>
      <c r="C703" s="3" t="n">
        <v>20</v>
      </c>
      <c r="D703" s="3" t="inlineStr">
        <is>
          <t>Mist</t>
        </is>
      </c>
      <c r="E703" s="3" t="inlineStr">
        <is>
          <t>MOVE_MIST</t>
        </is>
      </c>
    </row>
    <row r="704">
      <c r="A704" s="3" t="inlineStr">
        <is>
          <t>SPECIES_PILOSWINE</t>
        </is>
      </c>
      <c r="B704" s="3" t="inlineStr">
        <is>
          <t>Piloswine</t>
        </is>
      </c>
      <c r="C704" s="3" t="n">
        <v>25</v>
      </c>
      <c r="D704" s="3" t="inlineStr">
        <is>
          <t>Endure</t>
        </is>
      </c>
      <c r="E704" s="3" t="inlineStr">
        <is>
          <t>MOVE_ENDURE</t>
        </is>
      </c>
    </row>
    <row r="705">
      <c r="A705" s="3" t="inlineStr">
        <is>
          <t>SPECIES_PILOSWINE</t>
        </is>
      </c>
      <c r="B705" s="3" t="inlineStr">
        <is>
          <t>Piloswine</t>
        </is>
      </c>
      <c r="C705" s="3" t="n">
        <v>30</v>
      </c>
      <c r="D705" s="3" t="inlineStr">
        <is>
          <t>Icy Wind</t>
        </is>
      </c>
      <c r="E705" s="3" t="inlineStr">
        <is>
          <t>MOVE_ICY_WIND</t>
        </is>
      </c>
    </row>
    <row r="706">
      <c r="A706" s="3" t="inlineStr">
        <is>
          <t>SPECIES_PILOSWINE</t>
        </is>
      </c>
      <c r="B706" s="3" t="inlineStr">
        <is>
          <t>Piloswine</t>
        </is>
      </c>
      <c r="C706" s="3" t="n">
        <v>37</v>
      </c>
      <c r="D706" s="3" t="inlineStr">
        <is>
          <t>Amnesia</t>
        </is>
      </c>
      <c r="E706" s="3" t="inlineStr">
        <is>
          <t>MOVE_AMNESIA</t>
        </is>
      </c>
    </row>
    <row r="707">
      <c r="A707" s="3" t="inlineStr">
        <is>
          <t>SPECIES_PILOSWINE</t>
        </is>
      </c>
      <c r="B707" s="3" t="inlineStr">
        <is>
          <t>Piloswine</t>
        </is>
      </c>
      <c r="C707" s="3" t="n">
        <v>44</v>
      </c>
      <c r="D707" s="3" t="inlineStr">
        <is>
          <t>Take Down</t>
        </is>
      </c>
      <c r="E707" s="3" t="inlineStr">
        <is>
          <t>MOVE_TAKE_DOWN</t>
        </is>
      </c>
    </row>
    <row r="708">
      <c r="A708" s="3" t="inlineStr">
        <is>
          <t>SPECIES_PILOSWINE</t>
        </is>
      </c>
      <c r="B708" s="3" t="inlineStr">
        <is>
          <t>Piloswine</t>
        </is>
      </c>
      <c r="C708" s="3" t="n">
        <v>51</v>
      </c>
      <c r="D708" s="3" t="inlineStr">
        <is>
          <t>Earthquake</t>
        </is>
      </c>
      <c r="E708" s="3" t="inlineStr">
        <is>
          <t>MOVE_EARTHQUAKE</t>
        </is>
      </c>
    </row>
    <row r="709">
      <c r="A709" s="3" t="inlineStr">
        <is>
          <t>SPECIES_PILOSWINE</t>
        </is>
      </c>
      <c r="B709" s="3" t="inlineStr">
        <is>
          <t>Piloswine</t>
        </is>
      </c>
      <c r="C709" s="3" t="n">
        <v>58</v>
      </c>
      <c r="D709" s="3" t="inlineStr">
        <is>
          <t>Blizzard</t>
        </is>
      </c>
      <c r="E709" s="3" t="inlineStr">
        <is>
          <t>MOVE_BLIZZARD</t>
        </is>
      </c>
    </row>
    <row r="710">
      <c r="A710" s="3" t="inlineStr">
        <is>
          <t>SPECIES_PILOSWINE</t>
        </is>
      </c>
      <c r="B710" s="3" t="inlineStr">
        <is>
          <t>Piloswine</t>
        </is>
      </c>
      <c r="C710" s="3" t="n">
        <v>65</v>
      </c>
      <c r="D710" s="3" t="inlineStr">
        <is>
          <t>Thrash</t>
        </is>
      </c>
      <c r="E710" s="3" t="inlineStr">
        <is>
          <t>MOVE_THRASH</t>
        </is>
      </c>
    </row>
    <row r="711">
      <c r="A711" s="3" t="inlineStr">
        <is>
          <t>SPECIES_MAMOSWINE</t>
        </is>
      </c>
      <c r="B711" s="3" t="inlineStr">
        <is>
          <t>Mamoswine</t>
        </is>
      </c>
      <c r="C711" s="3" t="n">
        <v>0</v>
      </c>
      <c r="D711" s="3" t="inlineStr">
        <is>
          <t>Double Hit</t>
        </is>
      </c>
      <c r="E711" s="3" t="inlineStr">
        <is>
          <t>MOVE_DOUBLE_HIT</t>
        </is>
      </c>
    </row>
    <row r="712">
      <c r="A712" s="3" t="inlineStr">
        <is>
          <t>SPECIES_MAMOSWINE</t>
        </is>
      </c>
      <c r="B712" s="3" t="inlineStr">
        <is>
          <t>Mamoswine</t>
        </is>
      </c>
      <c r="C712" s="3" t="n">
        <v>1</v>
      </c>
      <c r="D712" s="3" t="inlineStr">
        <is>
          <t>Tackle</t>
        </is>
      </c>
      <c r="E712" s="3" t="inlineStr">
        <is>
          <t>MOVE_TACKLE</t>
        </is>
      </c>
    </row>
    <row r="713">
      <c r="A713" s="3" t="inlineStr">
        <is>
          <t>SPECIES_MAMOSWINE</t>
        </is>
      </c>
      <c r="B713" s="3" t="inlineStr">
        <is>
          <t>Mamoswine</t>
        </is>
      </c>
      <c r="C713" s="3" t="n">
        <v>1</v>
      </c>
      <c r="D713" s="3" t="inlineStr">
        <is>
          <t>Flail</t>
        </is>
      </c>
      <c r="E713" s="3" t="inlineStr">
        <is>
          <t>MOVE_FLAIL</t>
        </is>
      </c>
    </row>
    <row r="714">
      <c r="A714" s="3" t="inlineStr">
        <is>
          <t>SPECIES_MAMOSWINE</t>
        </is>
      </c>
      <c r="B714" s="3" t="inlineStr">
        <is>
          <t>Mamoswine</t>
        </is>
      </c>
      <c r="C714" s="3" t="n">
        <v>1</v>
      </c>
      <c r="D714" s="3" t="inlineStr">
        <is>
          <t>Powder Snow</t>
        </is>
      </c>
      <c r="E714" s="3" t="inlineStr">
        <is>
          <t>MOVE_POWDER_SNOW</t>
        </is>
      </c>
    </row>
    <row r="715">
      <c r="A715" s="3" t="inlineStr">
        <is>
          <t>SPECIES_MAMOSWINE</t>
        </is>
      </c>
      <c r="B715" s="3" t="inlineStr">
        <is>
          <t>Mamoswine</t>
        </is>
      </c>
      <c r="C715" s="3" t="n">
        <v>1</v>
      </c>
      <c r="D715" s="3" t="inlineStr">
        <is>
          <t>Mud-Slap</t>
        </is>
      </c>
      <c r="E715" s="3" t="inlineStr">
        <is>
          <t>MOVE_MUD_SLAP</t>
        </is>
      </c>
    </row>
    <row r="716">
      <c r="A716" s="3" t="inlineStr">
        <is>
          <t>SPECIES_MAMOSWINE</t>
        </is>
      </c>
      <c r="B716" s="3" t="inlineStr">
        <is>
          <t>Mamoswine</t>
        </is>
      </c>
      <c r="C716" s="3" t="n">
        <v>1</v>
      </c>
      <c r="D716" s="3" t="inlineStr">
        <is>
          <t>Ancient Power</t>
        </is>
      </c>
      <c r="E716" s="3" t="inlineStr">
        <is>
          <t>MOVE_ANCIENT_POWER</t>
        </is>
      </c>
    </row>
    <row r="717">
      <c r="A717" s="3" t="inlineStr">
        <is>
          <t>SPECIES_MAMOSWINE</t>
        </is>
      </c>
      <c r="B717" s="3" t="inlineStr">
        <is>
          <t>Mamoswine</t>
        </is>
      </c>
      <c r="C717" s="3" t="n">
        <v>1</v>
      </c>
      <c r="D717" s="3" t="inlineStr">
        <is>
          <t>Ice Fang</t>
        </is>
      </c>
      <c r="E717" s="3" t="inlineStr">
        <is>
          <t>MOVE_ICE_FANG</t>
        </is>
      </c>
    </row>
    <row r="718">
      <c r="A718" s="3" t="inlineStr">
        <is>
          <t>SPECIES_MAMOSWINE</t>
        </is>
      </c>
      <c r="B718" s="3" t="inlineStr">
        <is>
          <t>Mamoswine</t>
        </is>
      </c>
      <c r="C718" s="3" t="n">
        <v>15</v>
      </c>
      <c r="D718" s="3" t="inlineStr">
        <is>
          <t>Ice Shard</t>
        </is>
      </c>
      <c r="E718" s="3" t="inlineStr">
        <is>
          <t>MOVE_ICE_SHARD</t>
        </is>
      </c>
    </row>
    <row r="719">
      <c r="A719" s="3" t="inlineStr">
        <is>
          <t>SPECIES_MAMOSWINE</t>
        </is>
      </c>
      <c r="B719" s="3" t="inlineStr">
        <is>
          <t>Mamoswine</t>
        </is>
      </c>
      <c r="C719" s="3" t="n">
        <v>20</v>
      </c>
      <c r="D719" s="3" t="inlineStr">
        <is>
          <t>Mist</t>
        </is>
      </c>
      <c r="E719" s="3" t="inlineStr">
        <is>
          <t>MOVE_MIST</t>
        </is>
      </c>
    </row>
    <row r="720">
      <c r="A720" s="3" t="inlineStr">
        <is>
          <t>SPECIES_MAMOSWINE</t>
        </is>
      </c>
      <c r="B720" s="3" t="inlineStr">
        <is>
          <t>Mamoswine</t>
        </is>
      </c>
      <c r="C720" s="3" t="n">
        <v>25</v>
      </c>
      <c r="D720" s="3" t="inlineStr">
        <is>
          <t>Endure</t>
        </is>
      </c>
      <c r="E720" s="3" t="inlineStr">
        <is>
          <t>MOVE_ENDURE</t>
        </is>
      </c>
    </row>
    <row r="721">
      <c r="A721" s="3" t="inlineStr">
        <is>
          <t>SPECIES_MAMOSWINE</t>
        </is>
      </c>
      <c r="B721" s="3" t="inlineStr">
        <is>
          <t>Mamoswine</t>
        </is>
      </c>
      <c r="C721" s="3" t="n">
        <v>30</v>
      </c>
      <c r="D721" s="3" t="inlineStr">
        <is>
          <t>Icy Wind</t>
        </is>
      </c>
      <c r="E721" s="3" t="inlineStr">
        <is>
          <t>MOVE_ICY_WIND</t>
        </is>
      </c>
    </row>
    <row r="722">
      <c r="A722" s="3" t="inlineStr">
        <is>
          <t>SPECIES_MAMOSWINE</t>
        </is>
      </c>
      <c r="B722" s="3" t="inlineStr">
        <is>
          <t>Mamoswine</t>
        </is>
      </c>
      <c r="C722" s="3" t="n">
        <v>37</v>
      </c>
      <c r="D722" s="3" t="inlineStr">
        <is>
          <t>Amnesia</t>
        </is>
      </c>
      <c r="E722" s="3" t="inlineStr">
        <is>
          <t>MOVE_AMNESIA</t>
        </is>
      </c>
    </row>
    <row r="723">
      <c r="A723" s="3" t="inlineStr">
        <is>
          <t>SPECIES_MAMOSWINE</t>
        </is>
      </c>
      <c r="B723" s="3" t="inlineStr">
        <is>
          <t>Mamoswine</t>
        </is>
      </c>
      <c r="C723" s="3" t="n">
        <v>44</v>
      </c>
      <c r="D723" s="3" t="inlineStr">
        <is>
          <t>Take Down</t>
        </is>
      </c>
      <c r="E723" s="3" t="inlineStr">
        <is>
          <t>MOVE_TAKE_DOWN</t>
        </is>
      </c>
    </row>
    <row r="724">
      <c r="A724" s="3" t="inlineStr">
        <is>
          <t>SPECIES_MAMOSWINE</t>
        </is>
      </c>
      <c r="B724" s="3" t="inlineStr">
        <is>
          <t>Mamoswine</t>
        </is>
      </c>
      <c r="C724" s="3" t="n">
        <v>51</v>
      </c>
      <c r="D724" s="3" t="inlineStr">
        <is>
          <t>Earthquake</t>
        </is>
      </c>
      <c r="E724" s="3" t="inlineStr">
        <is>
          <t>MOVE_EARTHQUAKE</t>
        </is>
      </c>
    </row>
    <row r="725">
      <c r="A725" s="3" t="inlineStr">
        <is>
          <t>SPECIES_MAMOSWINE</t>
        </is>
      </c>
      <c r="B725" s="3" t="inlineStr">
        <is>
          <t>Mamoswine</t>
        </is>
      </c>
      <c r="C725" s="3" t="n">
        <v>58</v>
      </c>
      <c r="D725" s="3" t="inlineStr">
        <is>
          <t>Blizzard</t>
        </is>
      </c>
      <c r="E725" s="3" t="inlineStr">
        <is>
          <t>MOVE_BLIZZARD</t>
        </is>
      </c>
    </row>
    <row r="726">
      <c r="A726" s="3" t="inlineStr">
        <is>
          <t>SPECIES_MAMOSWINE</t>
        </is>
      </c>
      <c r="B726" s="3" t="inlineStr">
        <is>
          <t>Mamoswine</t>
        </is>
      </c>
      <c r="C726" s="3" t="n">
        <v>65</v>
      </c>
      <c r="D726" s="3" t="inlineStr">
        <is>
          <t>Thrash</t>
        </is>
      </c>
      <c r="E726" s="3" t="inlineStr">
        <is>
          <t>MOVE_THRASH</t>
        </is>
      </c>
    </row>
    <row r="727">
      <c r="A727" s="3" t="inlineStr">
        <is>
          <t>SPECIES_HOUNDOUR</t>
        </is>
      </c>
      <c r="B727" s="3" t="inlineStr">
        <is>
          <t>Houndour</t>
        </is>
      </c>
      <c r="C727" s="3" t="n">
        <v>1</v>
      </c>
      <c r="D727" s="3" t="inlineStr">
        <is>
          <t>Leer</t>
        </is>
      </c>
      <c r="E727" s="3" t="inlineStr">
        <is>
          <t>MOVE_LEER</t>
        </is>
      </c>
    </row>
    <row r="728">
      <c r="A728" s="3" t="inlineStr">
        <is>
          <t>SPECIES_HOUNDOUR</t>
        </is>
      </c>
      <c r="B728" s="3" t="inlineStr">
        <is>
          <t>Houndour</t>
        </is>
      </c>
      <c r="C728" s="3" t="n">
        <v>1</v>
      </c>
      <c r="D728" s="3" t="inlineStr">
        <is>
          <t>Ember</t>
        </is>
      </c>
      <c r="E728" s="3" t="inlineStr">
        <is>
          <t>MOVE_EMBER</t>
        </is>
      </c>
    </row>
    <row r="729">
      <c r="A729" s="3" t="inlineStr">
        <is>
          <t>SPECIES_HOUNDOUR</t>
        </is>
      </c>
      <c r="B729" s="3" t="inlineStr">
        <is>
          <t>Houndour</t>
        </is>
      </c>
      <c r="C729" s="3" t="n">
        <v>4</v>
      </c>
      <c r="D729" s="3" t="inlineStr">
        <is>
          <t>Howl</t>
        </is>
      </c>
      <c r="E729" s="3" t="inlineStr">
        <is>
          <t>MOVE_HOWL</t>
        </is>
      </c>
    </row>
    <row r="730">
      <c r="A730" s="3" t="inlineStr">
        <is>
          <t>SPECIES_HOUNDOUR</t>
        </is>
      </c>
      <c r="B730" s="3" t="inlineStr">
        <is>
          <t>Houndour</t>
        </is>
      </c>
      <c r="C730" s="3" t="n">
        <v>8</v>
      </c>
      <c r="D730" s="3" t="inlineStr">
        <is>
          <t>Smog</t>
        </is>
      </c>
      <c r="E730" s="3" t="inlineStr">
        <is>
          <t>MOVE_SMOG</t>
        </is>
      </c>
    </row>
    <row r="731">
      <c r="A731" s="3" t="inlineStr">
        <is>
          <t>SPECIES_HOUNDOUR</t>
        </is>
      </c>
      <c r="B731" s="3" t="inlineStr">
        <is>
          <t>Houndour</t>
        </is>
      </c>
      <c r="C731" s="3" t="n">
        <v>13</v>
      </c>
      <c r="D731" s="3" t="inlineStr">
        <is>
          <t>Roar</t>
        </is>
      </c>
      <c r="E731" s="3" t="inlineStr">
        <is>
          <t>MOVE_ROAR</t>
        </is>
      </c>
    </row>
    <row r="732">
      <c r="A732" s="3" t="inlineStr">
        <is>
          <t>SPECIES_HOUNDOUR</t>
        </is>
      </c>
      <c r="B732" s="3" t="inlineStr">
        <is>
          <t>Houndour</t>
        </is>
      </c>
      <c r="C732" s="3" t="n">
        <v>16</v>
      </c>
      <c r="D732" s="3" t="inlineStr">
        <is>
          <t>Bite</t>
        </is>
      </c>
      <c r="E732" s="3" t="inlineStr">
        <is>
          <t>MOVE_BITE</t>
        </is>
      </c>
    </row>
    <row r="733">
      <c r="A733" s="3" t="inlineStr">
        <is>
          <t>SPECIES_HOUNDOUR</t>
        </is>
      </c>
      <c r="B733" s="3" t="inlineStr">
        <is>
          <t>Houndour</t>
        </is>
      </c>
      <c r="C733" s="3" t="n">
        <v>20</v>
      </c>
      <c r="D733" s="3" t="inlineStr">
        <is>
          <t>Incinerate</t>
        </is>
      </c>
      <c r="E733" s="3" t="inlineStr">
        <is>
          <t>MOVE_INCINERATE</t>
        </is>
      </c>
    </row>
    <row r="734">
      <c r="A734" s="3" t="inlineStr">
        <is>
          <t>SPECIES_HOUNDOUR</t>
        </is>
      </c>
      <c r="B734" s="3" t="inlineStr">
        <is>
          <t>Houndour</t>
        </is>
      </c>
      <c r="C734" s="3" t="n">
        <v>25</v>
      </c>
      <c r="D734" s="3" t="inlineStr">
        <is>
          <t>Beat Up</t>
        </is>
      </c>
      <c r="E734" s="3" t="inlineStr">
        <is>
          <t>MOVE_BEAT_UP</t>
        </is>
      </c>
    </row>
    <row r="735">
      <c r="A735" s="3" t="inlineStr">
        <is>
          <t>SPECIES_HOUNDOUR</t>
        </is>
      </c>
      <c r="B735" s="3" t="inlineStr">
        <is>
          <t>Houndour</t>
        </is>
      </c>
      <c r="C735" s="3" t="n">
        <v>28</v>
      </c>
      <c r="D735" s="3" t="inlineStr">
        <is>
          <t>Fire Fang</t>
        </is>
      </c>
      <c r="E735" s="3" t="inlineStr">
        <is>
          <t>MOVE_FIRE_FANG</t>
        </is>
      </c>
    </row>
    <row r="736">
      <c r="A736" s="3" t="inlineStr">
        <is>
          <t>SPECIES_HOUNDOUR</t>
        </is>
      </c>
      <c r="B736" s="3" t="inlineStr">
        <is>
          <t>Houndour</t>
        </is>
      </c>
      <c r="C736" s="3" t="n">
        <v>32</v>
      </c>
      <c r="D736" s="3" t="inlineStr">
        <is>
          <t>Torment</t>
        </is>
      </c>
      <c r="E736" s="3" t="inlineStr">
        <is>
          <t>MOVE_TORMENT</t>
        </is>
      </c>
    </row>
    <row r="737">
      <c r="A737" s="3" t="inlineStr">
        <is>
          <t>SPECIES_HOUNDOUR</t>
        </is>
      </c>
      <c r="B737" s="3" t="inlineStr">
        <is>
          <t>Houndour</t>
        </is>
      </c>
      <c r="C737" s="3" t="n">
        <v>37</v>
      </c>
      <c r="D737" s="3" t="inlineStr">
        <is>
          <t>Comeuppance</t>
        </is>
      </c>
      <c r="E737" s="3" t="inlineStr">
        <is>
          <t>MOVE_COMEUPPANCE</t>
        </is>
      </c>
    </row>
    <row r="738">
      <c r="A738" s="3" t="inlineStr">
        <is>
          <t>SPECIES_HOUNDOUR</t>
        </is>
      </c>
      <c r="B738" s="3" t="inlineStr">
        <is>
          <t>Houndour</t>
        </is>
      </c>
      <c r="C738" s="3" t="n">
        <v>40</v>
      </c>
      <c r="D738" s="3" t="inlineStr">
        <is>
          <t>Foul Play</t>
        </is>
      </c>
      <c r="E738" s="3" t="inlineStr">
        <is>
          <t>MOVE_FOUL_PLAY</t>
        </is>
      </c>
    </row>
    <row r="739">
      <c r="A739" s="3" t="inlineStr">
        <is>
          <t>SPECIES_HOUNDOUR</t>
        </is>
      </c>
      <c r="B739" s="3" t="inlineStr">
        <is>
          <t>Houndour</t>
        </is>
      </c>
      <c r="C739" s="3" t="n">
        <v>44</v>
      </c>
      <c r="D739" s="3" t="inlineStr">
        <is>
          <t>Flamethrower</t>
        </is>
      </c>
      <c r="E739" s="3" t="inlineStr">
        <is>
          <t>MOVE_FLAMETHROWER</t>
        </is>
      </c>
    </row>
    <row r="740">
      <c r="A740" s="3" t="inlineStr">
        <is>
          <t>SPECIES_HOUNDOUR</t>
        </is>
      </c>
      <c r="B740" s="3" t="inlineStr">
        <is>
          <t>Houndour</t>
        </is>
      </c>
      <c r="C740" s="3" t="n">
        <v>49</v>
      </c>
      <c r="D740" s="3" t="inlineStr">
        <is>
          <t>Crunch</t>
        </is>
      </c>
      <c r="E740" s="3" t="inlineStr">
        <is>
          <t>MOVE_CRUNCH</t>
        </is>
      </c>
    </row>
    <row r="741">
      <c r="A741" s="3" t="inlineStr">
        <is>
          <t>SPECIES_HOUNDOUR</t>
        </is>
      </c>
      <c r="B741" s="3" t="inlineStr">
        <is>
          <t>Houndour</t>
        </is>
      </c>
      <c r="C741" s="3" t="n">
        <v>52</v>
      </c>
      <c r="D741" s="3" t="inlineStr">
        <is>
          <t>Nasty Plot</t>
        </is>
      </c>
      <c r="E741" s="3" t="inlineStr">
        <is>
          <t>MOVE_NASTY_PLOT</t>
        </is>
      </c>
    </row>
    <row r="742">
      <c r="A742" s="3" t="inlineStr">
        <is>
          <t>SPECIES_HOUNDOUR</t>
        </is>
      </c>
      <c r="B742" s="3" t="inlineStr">
        <is>
          <t>Houndour</t>
        </is>
      </c>
      <c r="C742" s="3" t="n">
        <v>56</v>
      </c>
      <c r="D742" s="3" t="inlineStr">
        <is>
          <t>Inferno</t>
        </is>
      </c>
      <c r="E742" s="3" t="inlineStr">
        <is>
          <t>MOVE_INFERNO</t>
        </is>
      </c>
    </row>
    <row r="743">
      <c r="A743" s="3" t="inlineStr">
        <is>
          <t>SPECIES_HOUNDOOM</t>
        </is>
      </c>
      <c r="B743" s="3" t="inlineStr">
        <is>
          <t>Houndoom</t>
        </is>
      </c>
      <c r="C743" s="3" t="n">
        <v>1</v>
      </c>
      <c r="D743" s="3" t="inlineStr">
        <is>
          <t>Leer</t>
        </is>
      </c>
      <c r="E743" s="3" t="inlineStr">
        <is>
          <t>MOVE_LEER</t>
        </is>
      </c>
    </row>
    <row r="744">
      <c r="A744" s="3" t="inlineStr">
        <is>
          <t>SPECIES_HOUNDOOM</t>
        </is>
      </c>
      <c r="B744" s="3" t="inlineStr">
        <is>
          <t>Houndoom</t>
        </is>
      </c>
      <c r="C744" s="3" t="n">
        <v>1</v>
      </c>
      <c r="D744" s="3" t="inlineStr">
        <is>
          <t>Ember</t>
        </is>
      </c>
      <c r="E744" s="3" t="inlineStr">
        <is>
          <t>MOVE_EMBER</t>
        </is>
      </c>
    </row>
    <row r="745">
      <c r="A745" s="3" t="inlineStr">
        <is>
          <t>SPECIES_HOUNDOOM</t>
        </is>
      </c>
      <c r="B745" s="3" t="inlineStr">
        <is>
          <t>Houndoom</t>
        </is>
      </c>
      <c r="C745" s="3" t="n">
        <v>1</v>
      </c>
      <c r="D745" s="3" t="inlineStr">
        <is>
          <t>Smog</t>
        </is>
      </c>
      <c r="E745" s="3" t="inlineStr">
        <is>
          <t>MOVE_SMOG</t>
        </is>
      </c>
    </row>
    <row r="746">
      <c r="A746" s="3" t="inlineStr">
        <is>
          <t>SPECIES_HOUNDOOM</t>
        </is>
      </c>
      <c r="B746" s="3" t="inlineStr">
        <is>
          <t>Houndoom</t>
        </is>
      </c>
      <c r="C746" s="3" t="n">
        <v>1</v>
      </c>
      <c r="D746" s="3" t="inlineStr">
        <is>
          <t>Thunder Fang</t>
        </is>
      </c>
      <c r="E746" s="3" t="inlineStr">
        <is>
          <t>MOVE_THUNDER_FANG</t>
        </is>
      </c>
    </row>
    <row r="747">
      <c r="A747" s="3" t="inlineStr">
        <is>
          <t>SPECIES_HOUNDOOM</t>
        </is>
      </c>
      <c r="B747" s="3" t="inlineStr">
        <is>
          <t>Houndoom</t>
        </is>
      </c>
      <c r="C747" s="3" t="n">
        <v>1</v>
      </c>
      <c r="D747" s="3" t="inlineStr">
        <is>
          <t>Howl</t>
        </is>
      </c>
      <c r="E747" s="3" t="inlineStr">
        <is>
          <t>MOVE_HOWL</t>
        </is>
      </c>
    </row>
    <row r="748">
      <c r="A748" s="3" t="inlineStr">
        <is>
          <t>SPECIES_HOUNDOOM</t>
        </is>
      </c>
      <c r="B748" s="3" t="inlineStr">
        <is>
          <t>Houndoom</t>
        </is>
      </c>
      <c r="C748" s="3" t="n">
        <v>1</v>
      </c>
      <c r="D748" s="3" t="inlineStr">
        <is>
          <t>Nasty Plot</t>
        </is>
      </c>
      <c r="E748" s="3" t="inlineStr">
        <is>
          <t>MOVE_NASTY_PLOT</t>
        </is>
      </c>
    </row>
    <row r="749">
      <c r="A749" s="3" t="inlineStr">
        <is>
          <t>SPECIES_HOUNDOOM</t>
        </is>
      </c>
      <c r="B749" s="3" t="inlineStr">
        <is>
          <t>Houndoom</t>
        </is>
      </c>
      <c r="C749" s="3" t="n">
        <v>13</v>
      </c>
      <c r="D749" s="3" t="inlineStr">
        <is>
          <t>Roar</t>
        </is>
      </c>
      <c r="E749" s="3" t="inlineStr">
        <is>
          <t>MOVE_ROAR</t>
        </is>
      </c>
    </row>
    <row r="750">
      <c r="A750" s="3" t="inlineStr">
        <is>
          <t>SPECIES_HOUNDOOM</t>
        </is>
      </c>
      <c r="B750" s="3" t="inlineStr">
        <is>
          <t>Houndoom</t>
        </is>
      </c>
      <c r="C750" s="3" t="n">
        <v>16</v>
      </c>
      <c r="D750" s="3" t="inlineStr">
        <is>
          <t>Bite</t>
        </is>
      </c>
      <c r="E750" s="3" t="inlineStr">
        <is>
          <t>MOVE_BITE</t>
        </is>
      </c>
    </row>
    <row r="751">
      <c r="A751" s="3" t="inlineStr">
        <is>
          <t>SPECIES_HOUNDOOM</t>
        </is>
      </c>
      <c r="B751" s="3" t="inlineStr">
        <is>
          <t>Houndoom</t>
        </is>
      </c>
      <c r="C751" s="3" t="n">
        <v>20</v>
      </c>
      <c r="D751" s="3" t="inlineStr">
        <is>
          <t>Incinerate</t>
        </is>
      </c>
      <c r="E751" s="3" t="inlineStr">
        <is>
          <t>MOVE_INCINERATE</t>
        </is>
      </c>
    </row>
    <row r="752">
      <c r="A752" s="3" t="inlineStr">
        <is>
          <t>SPECIES_HOUNDOOM</t>
        </is>
      </c>
      <c r="B752" s="3" t="inlineStr">
        <is>
          <t>Houndoom</t>
        </is>
      </c>
      <c r="C752" s="3" t="n">
        <v>26</v>
      </c>
      <c r="D752" s="3" t="inlineStr">
        <is>
          <t>Beat Up</t>
        </is>
      </c>
      <c r="E752" s="3" t="inlineStr">
        <is>
          <t>MOVE_BEAT_UP</t>
        </is>
      </c>
    </row>
    <row r="753">
      <c r="A753" s="3" t="inlineStr">
        <is>
          <t>SPECIES_HOUNDOOM</t>
        </is>
      </c>
      <c r="B753" s="3" t="inlineStr">
        <is>
          <t>Houndoom</t>
        </is>
      </c>
      <c r="C753" s="3" t="n">
        <v>30</v>
      </c>
      <c r="D753" s="3" t="inlineStr">
        <is>
          <t>Fire Fang</t>
        </is>
      </c>
      <c r="E753" s="3" t="inlineStr">
        <is>
          <t>MOVE_FIRE_FANG</t>
        </is>
      </c>
    </row>
    <row r="754">
      <c r="A754" s="3" t="inlineStr">
        <is>
          <t>SPECIES_HOUNDOOM</t>
        </is>
      </c>
      <c r="B754" s="3" t="inlineStr">
        <is>
          <t>Houndoom</t>
        </is>
      </c>
      <c r="C754" s="3" t="n">
        <v>35</v>
      </c>
      <c r="D754" s="3" t="inlineStr">
        <is>
          <t>Torment</t>
        </is>
      </c>
      <c r="E754" s="3" t="inlineStr">
        <is>
          <t>MOVE_TORMENT</t>
        </is>
      </c>
    </row>
    <row r="755">
      <c r="A755" s="3" t="inlineStr">
        <is>
          <t>SPECIES_HOUNDOOM</t>
        </is>
      </c>
      <c r="B755" s="3" t="inlineStr">
        <is>
          <t>Houndoom</t>
        </is>
      </c>
      <c r="C755" s="3" t="n">
        <v>41</v>
      </c>
      <c r="D755" s="3" t="inlineStr">
        <is>
          <t>Comeuppance</t>
        </is>
      </c>
      <c r="E755" s="3" t="inlineStr">
        <is>
          <t>MOVE_COMEUPPANCE</t>
        </is>
      </c>
    </row>
    <row r="756">
      <c r="A756" s="3" t="inlineStr">
        <is>
          <t>SPECIES_HOUNDOOM</t>
        </is>
      </c>
      <c r="B756" s="3" t="inlineStr">
        <is>
          <t>Houndoom</t>
        </is>
      </c>
      <c r="C756" s="3" t="n">
        <v>45</v>
      </c>
      <c r="D756" s="3" t="inlineStr">
        <is>
          <t>Foul Play</t>
        </is>
      </c>
      <c r="E756" s="3" t="inlineStr">
        <is>
          <t>MOVE_FOUL_PLAY</t>
        </is>
      </c>
    </row>
    <row r="757">
      <c r="A757" s="3" t="inlineStr">
        <is>
          <t>SPECIES_HOUNDOOM</t>
        </is>
      </c>
      <c r="B757" s="3" t="inlineStr">
        <is>
          <t>Houndoom</t>
        </is>
      </c>
      <c r="C757" s="3" t="n">
        <v>50</v>
      </c>
      <c r="D757" s="3" t="inlineStr">
        <is>
          <t>Flamethrower</t>
        </is>
      </c>
      <c r="E757" s="3" t="inlineStr">
        <is>
          <t>MOVE_FLAMETHROWER</t>
        </is>
      </c>
    </row>
    <row r="758">
      <c r="A758" s="3" t="inlineStr">
        <is>
          <t>SPECIES_HOUNDOOM</t>
        </is>
      </c>
      <c r="B758" s="3" t="inlineStr">
        <is>
          <t>Houndoom</t>
        </is>
      </c>
      <c r="C758" s="3" t="n">
        <v>56</v>
      </c>
      <c r="D758" s="3" t="inlineStr">
        <is>
          <t>Crunch</t>
        </is>
      </c>
      <c r="E758" s="3" t="inlineStr">
        <is>
          <t>MOVE_CRUNCH</t>
        </is>
      </c>
    </row>
    <row r="759">
      <c r="A759" s="3" t="inlineStr">
        <is>
          <t>SPECIES_HOUNDOOM</t>
        </is>
      </c>
      <c r="B759" s="3" t="inlineStr">
        <is>
          <t>Houndoom</t>
        </is>
      </c>
      <c r="C759" s="3" t="n">
        <v>62</v>
      </c>
      <c r="D759" s="3" t="inlineStr">
        <is>
          <t>Inferno</t>
        </is>
      </c>
      <c r="E759" s="3" t="inlineStr">
        <is>
          <t>MOVE_INFERNO</t>
        </is>
      </c>
    </row>
    <row r="760">
      <c r="A760" s="3" t="inlineStr">
        <is>
          <t>SPECIES_HORSEA</t>
        </is>
      </c>
      <c r="B760" s="3" t="inlineStr">
        <is>
          <t>Horsea</t>
        </is>
      </c>
      <c r="C760" s="3" t="n">
        <v>1</v>
      </c>
      <c r="D760" s="3" t="inlineStr">
        <is>
          <t>Leer</t>
        </is>
      </c>
      <c r="E760" s="3" t="inlineStr">
        <is>
          <t>MOVE_LEER</t>
        </is>
      </c>
    </row>
    <row r="761">
      <c r="A761" s="3" t="inlineStr">
        <is>
          <t>SPECIES_HORSEA</t>
        </is>
      </c>
      <c r="B761" s="3" t="inlineStr">
        <is>
          <t>Horsea</t>
        </is>
      </c>
      <c r="C761" s="3" t="n">
        <v>1</v>
      </c>
      <c r="D761" s="3" t="inlineStr">
        <is>
          <t>Water Gun</t>
        </is>
      </c>
      <c r="E761" s="3" t="inlineStr">
        <is>
          <t>MOVE_WATER_GUN</t>
        </is>
      </c>
    </row>
    <row r="762">
      <c r="A762" s="3" t="inlineStr">
        <is>
          <t>SPECIES_HORSEA</t>
        </is>
      </c>
      <c r="B762" s="3" t="inlineStr">
        <is>
          <t>Horsea</t>
        </is>
      </c>
      <c r="C762" s="3" t="n">
        <v>5</v>
      </c>
      <c r="D762" s="3" t="inlineStr">
        <is>
          <t>Smokescreen</t>
        </is>
      </c>
      <c r="E762" s="3" t="inlineStr">
        <is>
          <t>MOVE_SMOKESCREEN</t>
        </is>
      </c>
    </row>
    <row r="763">
      <c r="A763" s="3" t="inlineStr">
        <is>
          <t>SPECIES_HORSEA</t>
        </is>
      </c>
      <c r="B763" s="3" t="inlineStr">
        <is>
          <t>Horsea</t>
        </is>
      </c>
      <c r="C763" s="3" t="n">
        <v>10</v>
      </c>
      <c r="D763" s="3" t="inlineStr">
        <is>
          <t>Twister</t>
        </is>
      </c>
      <c r="E763" s="3" t="inlineStr">
        <is>
          <t>MOVE_TWISTER</t>
        </is>
      </c>
    </row>
    <row r="764">
      <c r="A764" s="3" t="inlineStr">
        <is>
          <t>SPECIES_HORSEA</t>
        </is>
      </c>
      <c r="B764" s="3" t="inlineStr">
        <is>
          <t>Horsea</t>
        </is>
      </c>
      <c r="C764" s="3" t="n">
        <v>15</v>
      </c>
      <c r="D764" s="3" t="inlineStr">
        <is>
          <t>Focus Energy</t>
        </is>
      </c>
      <c r="E764" s="3" t="inlineStr">
        <is>
          <t>MOVE_FOCUS_ENERGY</t>
        </is>
      </c>
    </row>
    <row r="765">
      <c r="A765" s="3" t="inlineStr">
        <is>
          <t>SPECIES_HORSEA</t>
        </is>
      </c>
      <c r="B765" s="3" t="inlineStr">
        <is>
          <t>Horsea</t>
        </is>
      </c>
      <c r="C765" s="3" t="n">
        <v>20</v>
      </c>
      <c r="D765" s="3" t="inlineStr">
        <is>
          <t>Dragon Breath</t>
        </is>
      </c>
      <c r="E765" s="3" t="inlineStr">
        <is>
          <t>MOVE_DRAGON_BREATH</t>
        </is>
      </c>
    </row>
    <row r="766">
      <c r="A766" s="3" t="inlineStr">
        <is>
          <t>SPECIES_HORSEA</t>
        </is>
      </c>
      <c r="B766" s="3" t="inlineStr">
        <is>
          <t>Horsea</t>
        </is>
      </c>
      <c r="C766" s="3" t="n">
        <v>25</v>
      </c>
      <c r="D766" s="3" t="inlineStr">
        <is>
          <t>Bubble Beam</t>
        </is>
      </c>
      <c r="E766" s="3" t="inlineStr">
        <is>
          <t>MOVE_BUBBLE_BEAM</t>
        </is>
      </c>
    </row>
    <row r="767">
      <c r="A767" s="3" t="inlineStr">
        <is>
          <t>SPECIES_HORSEA</t>
        </is>
      </c>
      <c r="B767" s="3" t="inlineStr">
        <is>
          <t>Horsea</t>
        </is>
      </c>
      <c r="C767" s="3" t="n">
        <v>30</v>
      </c>
      <c r="D767" s="3" t="inlineStr">
        <is>
          <t>Agility</t>
        </is>
      </c>
      <c r="E767" s="3" t="inlineStr">
        <is>
          <t>MOVE_AGILITY</t>
        </is>
      </c>
    </row>
    <row r="768">
      <c r="A768" s="3" t="inlineStr">
        <is>
          <t>SPECIES_HORSEA</t>
        </is>
      </c>
      <c r="B768" s="3" t="inlineStr">
        <is>
          <t>Horsea</t>
        </is>
      </c>
      <c r="C768" s="3" t="n">
        <v>35</v>
      </c>
      <c r="D768" s="3" t="inlineStr">
        <is>
          <t>Water Pulse</t>
        </is>
      </c>
      <c r="E768" s="3" t="inlineStr">
        <is>
          <t>MOVE_WATER_PULSE</t>
        </is>
      </c>
    </row>
    <row r="769">
      <c r="A769" s="3" t="inlineStr">
        <is>
          <t>SPECIES_HORSEA</t>
        </is>
      </c>
      <c r="B769" s="3" t="inlineStr">
        <is>
          <t>Horsea</t>
        </is>
      </c>
      <c r="C769" s="3" t="n">
        <v>40</v>
      </c>
      <c r="D769" s="3" t="inlineStr">
        <is>
          <t>Dragon Pulse</t>
        </is>
      </c>
      <c r="E769" s="3" t="inlineStr">
        <is>
          <t>MOVE_DRAGON_PULSE</t>
        </is>
      </c>
    </row>
    <row r="770">
      <c r="A770" s="3" t="inlineStr">
        <is>
          <t>SPECIES_HORSEA</t>
        </is>
      </c>
      <c r="B770" s="3" t="inlineStr">
        <is>
          <t>Horsea</t>
        </is>
      </c>
      <c r="C770" s="3" t="n">
        <v>45</v>
      </c>
      <c r="D770" s="3" t="inlineStr">
        <is>
          <t>Hydro Pump</t>
        </is>
      </c>
      <c r="E770" s="3" t="inlineStr">
        <is>
          <t>MOVE_HYDRO_PUMP</t>
        </is>
      </c>
    </row>
    <row r="771">
      <c r="A771" s="3" t="inlineStr">
        <is>
          <t>SPECIES_HORSEA</t>
        </is>
      </c>
      <c r="B771" s="3" t="inlineStr">
        <is>
          <t>Horsea</t>
        </is>
      </c>
      <c r="C771" s="3" t="n">
        <v>50</v>
      </c>
      <c r="D771" s="3" t="inlineStr">
        <is>
          <t>Dragon Dance</t>
        </is>
      </c>
      <c r="E771" s="3" t="inlineStr">
        <is>
          <t>MOVE_DRAGON_DANCE</t>
        </is>
      </c>
    </row>
    <row r="772">
      <c r="A772" s="3" t="inlineStr">
        <is>
          <t>SPECIES_HORSEA</t>
        </is>
      </c>
      <c r="B772" s="3" t="inlineStr">
        <is>
          <t>Horsea</t>
        </is>
      </c>
      <c r="C772" s="3" t="n">
        <v>55</v>
      </c>
      <c r="D772" s="3" t="inlineStr">
        <is>
          <t>Rain Dance</t>
        </is>
      </c>
      <c r="E772" s="3" t="inlineStr">
        <is>
          <t>MOVE_RAIN_DANCE</t>
        </is>
      </c>
    </row>
    <row r="773">
      <c r="A773" s="3" t="inlineStr">
        <is>
          <t>SPECIES_SEADRA</t>
        </is>
      </c>
      <c r="B773" s="3" t="inlineStr">
        <is>
          <t>Seadra</t>
        </is>
      </c>
      <c r="C773" s="3" t="n">
        <v>1</v>
      </c>
      <c r="D773" s="3" t="inlineStr">
        <is>
          <t>Leer</t>
        </is>
      </c>
      <c r="E773" s="3" t="inlineStr">
        <is>
          <t>MOVE_LEER</t>
        </is>
      </c>
    </row>
    <row r="774">
      <c r="A774" s="3" t="inlineStr">
        <is>
          <t>SPECIES_SEADRA</t>
        </is>
      </c>
      <c r="B774" s="3" t="inlineStr">
        <is>
          <t>Seadra</t>
        </is>
      </c>
      <c r="C774" s="3" t="n">
        <v>1</v>
      </c>
      <c r="D774" s="3" t="inlineStr">
        <is>
          <t>Water Gun</t>
        </is>
      </c>
      <c r="E774" s="3" t="inlineStr">
        <is>
          <t>MOVE_WATER_GUN</t>
        </is>
      </c>
    </row>
    <row r="775">
      <c r="A775" s="3" t="inlineStr">
        <is>
          <t>SPECIES_SEADRA</t>
        </is>
      </c>
      <c r="B775" s="3" t="inlineStr">
        <is>
          <t>Seadra</t>
        </is>
      </c>
      <c r="C775" s="3" t="n">
        <v>1</v>
      </c>
      <c r="D775" s="3" t="inlineStr">
        <is>
          <t>Smokescreen</t>
        </is>
      </c>
      <c r="E775" s="3" t="inlineStr">
        <is>
          <t>MOVE_SMOKESCREEN</t>
        </is>
      </c>
    </row>
    <row r="776">
      <c r="A776" s="3" t="inlineStr">
        <is>
          <t>SPECIES_SEADRA</t>
        </is>
      </c>
      <c r="B776" s="3" t="inlineStr">
        <is>
          <t>Seadra</t>
        </is>
      </c>
      <c r="C776" s="3" t="n">
        <v>1</v>
      </c>
      <c r="D776" s="3" t="inlineStr">
        <is>
          <t>Twister</t>
        </is>
      </c>
      <c r="E776" s="3" t="inlineStr">
        <is>
          <t>MOVE_TWISTER</t>
        </is>
      </c>
    </row>
    <row r="777">
      <c r="A777" s="3" t="inlineStr">
        <is>
          <t>SPECIES_SEADRA</t>
        </is>
      </c>
      <c r="B777" s="3" t="inlineStr">
        <is>
          <t>Seadra</t>
        </is>
      </c>
      <c r="C777" s="3" t="n">
        <v>15</v>
      </c>
      <c r="D777" s="3" t="inlineStr">
        <is>
          <t>Focus Energy</t>
        </is>
      </c>
      <c r="E777" s="3" t="inlineStr">
        <is>
          <t>MOVE_FOCUS_ENERGY</t>
        </is>
      </c>
    </row>
    <row r="778">
      <c r="A778" s="3" t="inlineStr">
        <is>
          <t>SPECIES_SEADRA</t>
        </is>
      </c>
      <c r="B778" s="3" t="inlineStr">
        <is>
          <t>Seadra</t>
        </is>
      </c>
      <c r="C778" s="3" t="n">
        <v>20</v>
      </c>
      <c r="D778" s="3" t="inlineStr">
        <is>
          <t>Dragon Breath</t>
        </is>
      </c>
      <c r="E778" s="3" t="inlineStr">
        <is>
          <t>MOVE_DRAGON_BREATH</t>
        </is>
      </c>
    </row>
    <row r="779">
      <c r="A779" s="3" t="inlineStr">
        <is>
          <t>SPECIES_SEADRA</t>
        </is>
      </c>
      <c r="B779" s="3" t="inlineStr">
        <is>
          <t>Seadra</t>
        </is>
      </c>
      <c r="C779" s="3" t="n">
        <v>25</v>
      </c>
      <c r="D779" s="3" t="inlineStr">
        <is>
          <t>Bubble Beam</t>
        </is>
      </c>
      <c r="E779" s="3" t="inlineStr">
        <is>
          <t>MOVE_BUBBLE_BEAM</t>
        </is>
      </c>
    </row>
    <row r="780">
      <c r="A780" s="3" t="inlineStr">
        <is>
          <t>SPECIES_SEADRA</t>
        </is>
      </c>
      <c r="B780" s="3" t="inlineStr">
        <is>
          <t>Seadra</t>
        </is>
      </c>
      <c r="C780" s="3" t="n">
        <v>30</v>
      </c>
      <c r="D780" s="3" t="inlineStr">
        <is>
          <t>Agility</t>
        </is>
      </c>
      <c r="E780" s="3" t="inlineStr">
        <is>
          <t>MOVE_AGILITY</t>
        </is>
      </c>
    </row>
    <row r="781">
      <c r="A781" s="3" t="inlineStr">
        <is>
          <t>SPECIES_SEADRA</t>
        </is>
      </c>
      <c r="B781" s="3" t="inlineStr">
        <is>
          <t>Seadra</t>
        </is>
      </c>
      <c r="C781" s="3" t="n">
        <v>37</v>
      </c>
      <c r="D781" s="3" t="inlineStr">
        <is>
          <t>Water Pulse</t>
        </is>
      </c>
      <c r="E781" s="3" t="inlineStr">
        <is>
          <t>MOVE_WATER_PULSE</t>
        </is>
      </c>
    </row>
    <row r="782">
      <c r="A782" s="3" t="inlineStr">
        <is>
          <t>SPECIES_SEADRA</t>
        </is>
      </c>
      <c r="B782" s="3" t="inlineStr">
        <is>
          <t>Seadra</t>
        </is>
      </c>
      <c r="C782" s="3" t="n">
        <v>44</v>
      </c>
      <c r="D782" s="3" t="inlineStr">
        <is>
          <t>Dragon Pulse</t>
        </is>
      </c>
      <c r="E782" s="3" t="inlineStr">
        <is>
          <t>MOVE_DRAGON_PULSE</t>
        </is>
      </c>
    </row>
    <row r="783">
      <c r="A783" s="3" t="inlineStr">
        <is>
          <t>SPECIES_SEADRA</t>
        </is>
      </c>
      <c r="B783" s="3" t="inlineStr">
        <is>
          <t>Seadra</t>
        </is>
      </c>
      <c r="C783" s="3" t="n">
        <v>51</v>
      </c>
      <c r="D783" s="3" t="inlineStr">
        <is>
          <t>Hydro Pump</t>
        </is>
      </c>
      <c r="E783" s="3" t="inlineStr">
        <is>
          <t>MOVE_HYDRO_PUMP</t>
        </is>
      </c>
    </row>
    <row r="784">
      <c r="A784" s="3" t="inlineStr">
        <is>
          <t>SPECIES_SEADRA</t>
        </is>
      </c>
      <c r="B784" s="3" t="inlineStr">
        <is>
          <t>Seadra</t>
        </is>
      </c>
      <c r="C784" s="3" t="n">
        <v>58</v>
      </c>
      <c r="D784" s="3" t="inlineStr">
        <is>
          <t>Dragon Dance</t>
        </is>
      </c>
      <c r="E784" s="3" t="inlineStr">
        <is>
          <t>MOVE_DRAGON_DANCE</t>
        </is>
      </c>
    </row>
    <row r="785">
      <c r="A785" s="3" t="inlineStr">
        <is>
          <t>SPECIES_SEADRA</t>
        </is>
      </c>
      <c r="B785" s="3" t="inlineStr">
        <is>
          <t>Seadra</t>
        </is>
      </c>
      <c r="C785" s="3" t="n">
        <v>65</v>
      </c>
      <c r="D785" s="3" t="inlineStr">
        <is>
          <t>Rain Dance</t>
        </is>
      </c>
      <c r="E785" s="3" t="inlineStr">
        <is>
          <t>MOVE_RAIN_DANCE</t>
        </is>
      </c>
    </row>
    <row r="786">
      <c r="A786" s="3" t="inlineStr">
        <is>
          <t>SPECIES_KINGDRA</t>
        </is>
      </c>
      <c r="B786" s="3" t="inlineStr">
        <is>
          <t>Kingdra</t>
        </is>
      </c>
      <c r="C786" s="3" t="n">
        <v>1</v>
      </c>
      <c r="D786" s="3" t="inlineStr">
        <is>
          <t>Leer</t>
        </is>
      </c>
      <c r="E786" s="3" t="inlineStr">
        <is>
          <t>MOVE_LEER</t>
        </is>
      </c>
    </row>
    <row r="787">
      <c r="A787" s="3" t="inlineStr">
        <is>
          <t>SPECIES_KINGDRA</t>
        </is>
      </c>
      <c r="B787" s="3" t="inlineStr">
        <is>
          <t>Kingdra</t>
        </is>
      </c>
      <c r="C787" s="3" t="n">
        <v>1</v>
      </c>
      <c r="D787" s="3" t="inlineStr">
        <is>
          <t>Water Gun</t>
        </is>
      </c>
      <c r="E787" s="3" t="inlineStr">
        <is>
          <t>MOVE_WATER_GUN</t>
        </is>
      </c>
    </row>
    <row r="788">
      <c r="A788" s="3" t="inlineStr">
        <is>
          <t>SPECIES_KINGDRA</t>
        </is>
      </c>
      <c r="B788" s="3" t="inlineStr">
        <is>
          <t>Kingdra</t>
        </is>
      </c>
      <c r="C788" s="3" t="n">
        <v>1</v>
      </c>
      <c r="D788" s="3" t="inlineStr">
        <is>
          <t>Smokescreen</t>
        </is>
      </c>
      <c r="E788" s="3" t="inlineStr">
        <is>
          <t>MOVE_SMOKESCREEN</t>
        </is>
      </c>
    </row>
    <row r="789">
      <c r="A789" s="3" t="inlineStr">
        <is>
          <t>SPECIES_KINGDRA</t>
        </is>
      </c>
      <c r="B789" s="3" t="inlineStr">
        <is>
          <t>Kingdra</t>
        </is>
      </c>
      <c r="C789" s="3" t="n">
        <v>1</v>
      </c>
      <c r="D789" s="3" t="inlineStr">
        <is>
          <t>Twister</t>
        </is>
      </c>
      <c r="E789" s="3" t="inlineStr">
        <is>
          <t>MOVE_TWISTER</t>
        </is>
      </c>
    </row>
    <row r="790">
      <c r="A790" s="3" t="inlineStr">
        <is>
          <t>SPECIES_KINGDRA</t>
        </is>
      </c>
      <c r="B790" s="3" t="inlineStr">
        <is>
          <t>Kingdra</t>
        </is>
      </c>
      <c r="C790" s="3" t="n">
        <v>1</v>
      </c>
      <c r="D790" s="3" t="inlineStr">
        <is>
          <t>Whirlpool</t>
        </is>
      </c>
      <c r="E790" s="3" t="inlineStr">
        <is>
          <t>MOVE_WHIRLPOOL</t>
        </is>
      </c>
    </row>
    <row r="791">
      <c r="A791" s="3" t="inlineStr">
        <is>
          <t>SPECIES_KINGDRA</t>
        </is>
      </c>
      <c r="B791" s="3" t="inlineStr">
        <is>
          <t>Kingdra</t>
        </is>
      </c>
      <c r="C791" s="3" t="n">
        <v>1</v>
      </c>
      <c r="D791" s="3" t="inlineStr">
        <is>
          <t>Yawn</t>
        </is>
      </c>
      <c r="E791" s="3" t="inlineStr">
        <is>
          <t>MOVE_YAWN</t>
        </is>
      </c>
    </row>
    <row r="792">
      <c r="A792" s="3" t="inlineStr">
        <is>
          <t>SPECIES_KINGDRA</t>
        </is>
      </c>
      <c r="B792" s="3" t="inlineStr">
        <is>
          <t>Kingdra</t>
        </is>
      </c>
      <c r="C792" s="3" t="n">
        <v>15</v>
      </c>
      <c r="D792" s="3" t="inlineStr">
        <is>
          <t>Focus Energy</t>
        </is>
      </c>
      <c r="E792" s="3" t="inlineStr">
        <is>
          <t>MOVE_FOCUS_ENERGY</t>
        </is>
      </c>
    </row>
    <row r="793">
      <c r="A793" s="3" t="inlineStr">
        <is>
          <t>SPECIES_KINGDRA</t>
        </is>
      </c>
      <c r="B793" s="3" t="inlineStr">
        <is>
          <t>Kingdra</t>
        </is>
      </c>
      <c r="C793" s="3" t="n">
        <v>20</v>
      </c>
      <c r="D793" s="3" t="inlineStr">
        <is>
          <t>Dragon Breath</t>
        </is>
      </c>
      <c r="E793" s="3" t="inlineStr">
        <is>
          <t>MOVE_DRAGON_BREATH</t>
        </is>
      </c>
    </row>
    <row r="794">
      <c r="A794" s="3" t="inlineStr">
        <is>
          <t>SPECIES_KINGDRA</t>
        </is>
      </c>
      <c r="B794" s="3" t="inlineStr">
        <is>
          <t>Kingdra</t>
        </is>
      </c>
      <c r="C794" s="3" t="n">
        <v>25</v>
      </c>
      <c r="D794" s="3" t="inlineStr">
        <is>
          <t>Bubble Beam</t>
        </is>
      </c>
      <c r="E794" s="3" t="inlineStr">
        <is>
          <t>MOVE_BUBBLE_BEAM</t>
        </is>
      </c>
    </row>
    <row r="795">
      <c r="A795" s="3" t="inlineStr">
        <is>
          <t>SPECIES_KINGDRA</t>
        </is>
      </c>
      <c r="B795" s="3" t="inlineStr">
        <is>
          <t>Kingdra</t>
        </is>
      </c>
      <c r="C795" s="3" t="n">
        <v>30</v>
      </c>
      <c r="D795" s="3" t="inlineStr">
        <is>
          <t>Agility</t>
        </is>
      </c>
      <c r="E795" s="3" t="inlineStr">
        <is>
          <t>MOVE_AGILITY</t>
        </is>
      </c>
    </row>
    <row r="796">
      <c r="A796" s="3" t="inlineStr">
        <is>
          <t>SPECIES_KINGDRA</t>
        </is>
      </c>
      <c r="B796" s="3" t="inlineStr">
        <is>
          <t>Kingdra</t>
        </is>
      </c>
      <c r="C796" s="3" t="n">
        <v>37</v>
      </c>
      <c r="D796" s="3" t="inlineStr">
        <is>
          <t>Water Pulse</t>
        </is>
      </c>
      <c r="E796" s="3" t="inlineStr">
        <is>
          <t>MOVE_WATER_PULSE</t>
        </is>
      </c>
    </row>
    <row r="797">
      <c r="A797" s="3" t="inlineStr">
        <is>
          <t>SPECIES_KINGDRA</t>
        </is>
      </c>
      <c r="B797" s="3" t="inlineStr">
        <is>
          <t>Kingdra</t>
        </is>
      </c>
      <c r="C797" s="3" t="n">
        <v>44</v>
      </c>
      <c r="D797" s="3" t="inlineStr">
        <is>
          <t>Dragon Pulse</t>
        </is>
      </c>
      <c r="E797" s="3" t="inlineStr">
        <is>
          <t>MOVE_DRAGON_PULSE</t>
        </is>
      </c>
    </row>
    <row r="798">
      <c r="A798" s="3" t="inlineStr">
        <is>
          <t>SPECIES_KINGDRA</t>
        </is>
      </c>
      <c r="B798" s="3" t="inlineStr">
        <is>
          <t>Kingdra</t>
        </is>
      </c>
      <c r="C798" s="3" t="n">
        <v>51</v>
      </c>
      <c r="D798" s="3" t="inlineStr">
        <is>
          <t>Hydro Pump</t>
        </is>
      </c>
      <c r="E798" s="3" t="inlineStr">
        <is>
          <t>MOVE_HYDRO_PUMP</t>
        </is>
      </c>
    </row>
    <row r="799">
      <c r="A799" s="3" t="inlineStr">
        <is>
          <t>SPECIES_KINGDRA</t>
        </is>
      </c>
      <c r="B799" s="3" t="inlineStr">
        <is>
          <t>Kingdra</t>
        </is>
      </c>
      <c r="C799" s="3" t="n">
        <v>58</v>
      </c>
      <c r="D799" s="3" t="inlineStr">
        <is>
          <t>Dragon Dance</t>
        </is>
      </c>
      <c r="E799" s="3" t="inlineStr">
        <is>
          <t>MOVE_DRAGON_DANCE</t>
        </is>
      </c>
    </row>
    <row r="800">
      <c r="A800" s="3" t="inlineStr">
        <is>
          <t>SPECIES_KINGDRA</t>
        </is>
      </c>
      <c r="B800" s="3" t="inlineStr">
        <is>
          <t>Kingdra</t>
        </is>
      </c>
      <c r="C800" s="3" t="n">
        <v>65</v>
      </c>
      <c r="D800" s="3" t="inlineStr">
        <is>
          <t>Rain Dance</t>
        </is>
      </c>
      <c r="E800" s="3" t="inlineStr">
        <is>
          <t>MOVE_RAIN_DANCE</t>
        </is>
      </c>
    </row>
    <row r="801">
      <c r="A801" s="3" t="inlineStr">
        <is>
          <t>SPECIES_KINGDRA</t>
        </is>
      </c>
      <c r="B801" s="3" t="inlineStr">
        <is>
          <t>Kingdra</t>
        </is>
      </c>
      <c r="C801" s="3" t="n">
        <v>72</v>
      </c>
      <c r="D801" s="3" t="inlineStr">
        <is>
          <t>Wave Crash</t>
        </is>
      </c>
      <c r="E801" s="3" t="inlineStr">
        <is>
          <t>MOVE_WAVE_CRASH</t>
        </is>
      </c>
    </row>
    <row r="802">
      <c r="A802" s="3" t="inlineStr">
        <is>
          <t>SPECIES_LARVITAR</t>
        </is>
      </c>
      <c r="B802" s="3" t="inlineStr">
        <is>
          <t>Larvitar</t>
        </is>
      </c>
      <c r="C802" s="3" t="n">
        <v>1</v>
      </c>
      <c r="D802" s="3" t="inlineStr">
        <is>
          <t>Tackle</t>
        </is>
      </c>
      <c r="E802" s="3" t="inlineStr">
        <is>
          <t>MOVE_TACKLE</t>
        </is>
      </c>
    </row>
    <row r="803">
      <c r="A803" s="3" t="inlineStr">
        <is>
          <t>SPECIES_LARVITAR</t>
        </is>
      </c>
      <c r="B803" s="3" t="inlineStr">
        <is>
          <t>Larvitar</t>
        </is>
      </c>
      <c r="C803" s="3" t="n">
        <v>1</v>
      </c>
      <c r="D803" s="3" t="inlineStr">
        <is>
          <t>Leer</t>
        </is>
      </c>
      <c r="E803" s="3" t="inlineStr">
        <is>
          <t>MOVE_LEER</t>
        </is>
      </c>
    </row>
    <row r="804">
      <c r="A804" s="3" t="inlineStr">
        <is>
          <t>SPECIES_LARVITAR</t>
        </is>
      </c>
      <c r="B804" s="3" t="inlineStr">
        <is>
          <t>Larvitar</t>
        </is>
      </c>
      <c r="C804" s="3" t="n">
        <v>3</v>
      </c>
      <c r="D804" s="3" t="inlineStr">
        <is>
          <t>Rock Throw</t>
        </is>
      </c>
      <c r="E804" s="3" t="inlineStr">
        <is>
          <t>MOVE_ROCK_THROW</t>
        </is>
      </c>
    </row>
    <row r="805">
      <c r="A805" s="3" t="inlineStr">
        <is>
          <t>SPECIES_LARVITAR</t>
        </is>
      </c>
      <c r="B805" s="3" t="inlineStr">
        <is>
          <t>Larvitar</t>
        </is>
      </c>
      <c r="C805" s="3" t="n">
        <v>6</v>
      </c>
      <c r="D805" s="3" t="inlineStr">
        <is>
          <t>Payback</t>
        </is>
      </c>
      <c r="E805" s="3" t="inlineStr">
        <is>
          <t>MOVE_PAYBACK</t>
        </is>
      </c>
    </row>
    <row r="806">
      <c r="A806" s="3" t="inlineStr">
        <is>
          <t>SPECIES_LARVITAR</t>
        </is>
      </c>
      <c r="B806" s="3" t="inlineStr">
        <is>
          <t>Larvitar</t>
        </is>
      </c>
      <c r="C806" s="3" t="n">
        <v>9</v>
      </c>
      <c r="D806" s="3" t="inlineStr">
        <is>
          <t>Bite</t>
        </is>
      </c>
      <c r="E806" s="3" t="inlineStr">
        <is>
          <t>MOVE_BITE</t>
        </is>
      </c>
    </row>
    <row r="807">
      <c r="A807" s="3" t="inlineStr">
        <is>
          <t>SPECIES_LARVITAR</t>
        </is>
      </c>
      <c r="B807" s="3" t="inlineStr">
        <is>
          <t>Larvitar</t>
        </is>
      </c>
      <c r="C807" s="3" t="n">
        <v>12</v>
      </c>
      <c r="D807" s="3" t="inlineStr">
        <is>
          <t>Scary Face</t>
        </is>
      </c>
      <c r="E807" s="3" t="inlineStr">
        <is>
          <t>MOVE_SCARY_FACE</t>
        </is>
      </c>
    </row>
    <row r="808">
      <c r="A808" s="3" t="inlineStr">
        <is>
          <t>SPECIES_LARVITAR</t>
        </is>
      </c>
      <c r="B808" s="3" t="inlineStr">
        <is>
          <t>Larvitar</t>
        </is>
      </c>
      <c r="C808" s="3" t="n">
        <v>15</v>
      </c>
      <c r="D808" s="3" t="inlineStr">
        <is>
          <t>Rock Slide</t>
        </is>
      </c>
      <c r="E808" s="3" t="inlineStr">
        <is>
          <t>MOVE_ROCK_SLIDE</t>
        </is>
      </c>
    </row>
    <row r="809">
      <c r="A809" s="3" t="inlineStr">
        <is>
          <t>SPECIES_LARVITAR</t>
        </is>
      </c>
      <c r="B809" s="3" t="inlineStr">
        <is>
          <t>Larvitar</t>
        </is>
      </c>
      <c r="C809" s="3" t="n">
        <v>18</v>
      </c>
      <c r="D809" s="3" t="inlineStr">
        <is>
          <t>Stomping Tantrum</t>
        </is>
      </c>
      <c r="E809" s="3" t="inlineStr">
        <is>
          <t>MOVE_STOMPING_TANTRUM</t>
        </is>
      </c>
    </row>
    <row r="810">
      <c r="A810" s="3" t="inlineStr">
        <is>
          <t>SPECIES_LARVITAR</t>
        </is>
      </c>
      <c r="B810" s="3" t="inlineStr">
        <is>
          <t>Larvitar</t>
        </is>
      </c>
      <c r="C810" s="3" t="n">
        <v>21</v>
      </c>
      <c r="D810" s="3" t="inlineStr">
        <is>
          <t>Screech</t>
        </is>
      </c>
      <c r="E810" s="3" t="inlineStr">
        <is>
          <t>MOVE_SCREECH</t>
        </is>
      </c>
    </row>
    <row r="811">
      <c r="A811" s="3" t="inlineStr">
        <is>
          <t>SPECIES_LARVITAR</t>
        </is>
      </c>
      <c r="B811" s="3" t="inlineStr">
        <is>
          <t>Larvitar</t>
        </is>
      </c>
      <c r="C811" s="3" t="n">
        <v>24</v>
      </c>
      <c r="D811" s="3" t="inlineStr">
        <is>
          <t>Smack Down</t>
        </is>
      </c>
      <c r="E811" s="3" t="inlineStr">
        <is>
          <t>MOVE_SMACK_DOWN</t>
        </is>
      </c>
    </row>
    <row r="812">
      <c r="A812" s="3" t="inlineStr">
        <is>
          <t>SPECIES_LARVITAR</t>
        </is>
      </c>
      <c r="B812" s="3" t="inlineStr">
        <is>
          <t>Larvitar</t>
        </is>
      </c>
      <c r="C812" s="3" t="n">
        <v>27</v>
      </c>
      <c r="D812" s="3" t="inlineStr">
        <is>
          <t>Crunch</t>
        </is>
      </c>
      <c r="E812" s="3" t="inlineStr">
        <is>
          <t>MOVE_CRUNCH</t>
        </is>
      </c>
    </row>
    <row r="813">
      <c r="A813" s="3" t="inlineStr">
        <is>
          <t>SPECIES_LARVITAR</t>
        </is>
      </c>
      <c r="B813" s="3" t="inlineStr">
        <is>
          <t>Larvitar</t>
        </is>
      </c>
      <c r="C813" s="3" t="n">
        <v>31</v>
      </c>
      <c r="D813" s="3" t="inlineStr">
        <is>
          <t>Earthquake</t>
        </is>
      </c>
      <c r="E813" s="3" t="inlineStr">
        <is>
          <t>MOVE_EARTHQUAKE</t>
        </is>
      </c>
    </row>
    <row r="814">
      <c r="A814" s="3" t="inlineStr">
        <is>
          <t>SPECIES_LARVITAR</t>
        </is>
      </c>
      <c r="B814" s="3" t="inlineStr">
        <is>
          <t>Larvitar</t>
        </is>
      </c>
      <c r="C814" s="3" t="n">
        <v>33</v>
      </c>
      <c r="D814" s="3" t="inlineStr">
        <is>
          <t>Stone Edge</t>
        </is>
      </c>
      <c r="E814" s="3" t="inlineStr">
        <is>
          <t>MOVE_STONE_EDGE</t>
        </is>
      </c>
    </row>
    <row r="815">
      <c r="A815" s="3" t="inlineStr">
        <is>
          <t>SPECIES_LARVITAR</t>
        </is>
      </c>
      <c r="B815" s="3" t="inlineStr">
        <is>
          <t>Larvitar</t>
        </is>
      </c>
      <c r="C815" s="3" t="n">
        <v>36</v>
      </c>
      <c r="D815" s="3" t="inlineStr">
        <is>
          <t>Thrash</t>
        </is>
      </c>
      <c r="E815" s="3" t="inlineStr">
        <is>
          <t>MOVE_THRASH</t>
        </is>
      </c>
    </row>
    <row r="816">
      <c r="A816" s="3" t="inlineStr">
        <is>
          <t>SPECIES_LARVITAR</t>
        </is>
      </c>
      <c r="B816" s="3" t="inlineStr">
        <is>
          <t>Larvitar</t>
        </is>
      </c>
      <c r="C816" s="3" t="n">
        <v>39</v>
      </c>
      <c r="D816" s="3" t="inlineStr">
        <is>
          <t>Sandstorm</t>
        </is>
      </c>
      <c r="E816" s="3" t="inlineStr">
        <is>
          <t>MOVE_SANDSTORM</t>
        </is>
      </c>
    </row>
    <row r="817">
      <c r="A817" s="3" t="inlineStr">
        <is>
          <t>SPECIES_LARVITAR</t>
        </is>
      </c>
      <c r="B817" s="3" t="inlineStr">
        <is>
          <t>Larvitar</t>
        </is>
      </c>
      <c r="C817" s="3" t="n">
        <v>42</v>
      </c>
      <c r="D817" s="3" t="inlineStr">
        <is>
          <t>Hyper Beam</t>
        </is>
      </c>
      <c r="E817" s="3" t="inlineStr">
        <is>
          <t>MOVE_HYPER_BEAM</t>
        </is>
      </c>
    </row>
    <row r="818">
      <c r="A818" s="3" t="inlineStr">
        <is>
          <t>SPECIES_PUPITAR</t>
        </is>
      </c>
      <c r="B818" s="3" t="inlineStr">
        <is>
          <t>Pupitar</t>
        </is>
      </c>
      <c r="C818" s="3" t="n">
        <v>0</v>
      </c>
      <c r="D818" s="3" t="inlineStr">
        <is>
          <t>Iron Defense</t>
        </is>
      </c>
      <c r="E818" s="3" t="inlineStr">
        <is>
          <t>MOVE_IRON_DEFENSE</t>
        </is>
      </c>
    </row>
    <row r="819">
      <c r="A819" s="3" t="inlineStr">
        <is>
          <t>SPECIES_PUPITAR</t>
        </is>
      </c>
      <c r="B819" s="3" t="inlineStr">
        <is>
          <t>Pupitar</t>
        </is>
      </c>
      <c r="C819" s="3" t="n">
        <v>1</v>
      </c>
      <c r="D819" s="3" t="inlineStr">
        <is>
          <t>Tackle</t>
        </is>
      </c>
      <c r="E819" s="3" t="inlineStr">
        <is>
          <t>MOVE_TACKLE</t>
        </is>
      </c>
    </row>
    <row r="820">
      <c r="A820" s="3" t="inlineStr">
        <is>
          <t>SPECIES_PUPITAR</t>
        </is>
      </c>
      <c r="B820" s="3" t="inlineStr">
        <is>
          <t>Pupitar</t>
        </is>
      </c>
      <c r="C820" s="3" t="n">
        <v>1</v>
      </c>
      <c r="D820" s="3" t="inlineStr">
        <is>
          <t>Payback</t>
        </is>
      </c>
      <c r="E820" s="3" t="inlineStr">
        <is>
          <t>MOVE_PAYBACK</t>
        </is>
      </c>
    </row>
    <row r="821">
      <c r="A821" s="3" t="inlineStr">
        <is>
          <t>SPECIES_PUPITAR</t>
        </is>
      </c>
      <c r="B821" s="3" t="inlineStr">
        <is>
          <t>Pupitar</t>
        </is>
      </c>
      <c r="C821" s="3" t="n">
        <v>1</v>
      </c>
      <c r="D821" s="3" t="inlineStr">
        <is>
          <t>Leer</t>
        </is>
      </c>
      <c r="E821" s="3" t="inlineStr">
        <is>
          <t>MOVE_LEER</t>
        </is>
      </c>
    </row>
    <row r="822">
      <c r="A822" s="3" t="inlineStr">
        <is>
          <t>SPECIES_PUPITAR</t>
        </is>
      </c>
      <c r="B822" s="3" t="inlineStr">
        <is>
          <t>Pupitar</t>
        </is>
      </c>
      <c r="C822" s="3" t="n">
        <v>1</v>
      </c>
      <c r="D822" s="3" t="inlineStr">
        <is>
          <t>Rock Throw</t>
        </is>
      </c>
      <c r="E822" s="3" t="inlineStr">
        <is>
          <t>MOVE_ROCK_THROW</t>
        </is>
      </c>
    </row>
    <row r="823">
      <c r="A823" s="3" t="inlineStr">
        <is>
          <t>SPECIES_PUPITAR</t>
        </is>
      </c>
      <c r="B823" s="3" t="inlineStr">
        <is>
          <t>Pupitar</t>
        </is>
      </c>
      <c r="C823" s="3" t="n">
        <v>9</v>
      </c>
      <c r="D823" s="3" t="inlineStr">
        <is>
          <t>Bite</t>
        </is>
      </c>
      <c r="E823" s="3" t="inlineStr">
        <is>
          <t>MOVE_BITE</t>
        </is>
      </c>
    </row>
    <row r="824">
      <c r="A824" s="3" t="inlineStr">
        <is>
          <t>SPECIES_PUPITAR</t>
        </is>
      </c>
      <c r="B824" s="3" t="inlineStr">
        <is>
          <t>Pupitar</t>
        </is>
      </c>
      <c r="C824" s="3" t="n">
        <v>12</v>
      </c>
      <c r="D824" s="3" t="inlineStr">
        <is>
          <t>Scary Face</t>
        </is>
      </c>
      <c r="E824" s="3" t="inlineStr">
        <is>
          <t>MOVE_SCARY_FACE</t>
        </is>
      </c>
    </row>
    <row r="825">
      <c r="A825" s="3" t="inlineStr">
        <is>
          <t>SPECIES_PUPITAR</t>
        </is>
      </c>
      <c r="B825" s="3" t="inlineStr">
        <is>
          <t>Pupitar</t>
        </is>
      </c>
      <c r="C825" s="3" t="n">
        <v>15</v>
      </c>
      <c r="D825" s="3" t="inlineStr">
        <is>
          <t>Rock Slide</t>
        </is>
      </c>
      <c r="E825" s="3" t="inlineStr">
        <is>
          <t>MOVE_ROCK_SLIDE</t>
        </is>
      </c>
    </row>
    <row r="826">
      <c r="A826" s="3" t="inlineStr">
        <is>
          <t>SPECIES_PUPITAR</t>
        </is>
      </c>
      <c r="B826" s="3" t="inlineStr">
        <is>
          <t>Pupitar</t>
        </is>
      </c>
      <c r="C826" s="3" t="n">
        <v>18</v>
      </c>
      <c r="D826" s="3" t="inlineStr">
        <is>
          <t>Stomping Tantrum</t>
        </is>
      </c>
      <c r="E826" s="3" t="inlineStr">
        <is>
          <t>MOVE_STOMPING_TANTRUM</t>
        </is>
      </c>
    </row>
    <row r="827">
      <c r="A827" s="3" t="inlineStr">
        <is>
          <t>SPECIES_PUPITAR</t>
        </is>
      </c>
      <c r="B827" s="3" t="inlineStr">
        <is>
          <t>Pupitar</t>
        </is>
      </c>
      <c r="C827" s="3" t="n">
        <v>21</v>
      </c>
      <c r="D827" s="3" t="inlineStr">
        <is>
          <t>Screech</t>
        </is>
      </c>
      <c r="E827" s="3" t="inlineStr">
        <is>
          <t>MOVE_SCREECH</t>
        </is>
      </c>
    </row>
    <row r="828">
      <c r="A828" s="3" t="inlineStr">
        <is>
          <t>SPECIES_PUPITAR</t>
        </is>
      </c>
      <c r="B828" s="3" t="inlineStr">
        <is>
          <t>Pupitar</t>
        </is>
      </c>
      <c r="C828" s="3" t="n">
        <v>24</v>
      </c>
      <c r="D828" s="3" t="inlineStr">
        <is>
          <t>Smack Down</t>
        </is>
      </c>
      <c r="E828" s="3" t="inlineStr">
        <is>
          <t>MOVE_SMACK_DOWN</t>
        </is>
      </c>
    </row>
    <row r="829">
      <c r="A829" s="3" t="inlineStr">
        <is>
          <t>SPECIES_PUPITAR</t>
        </is>
      </c>
      <c r="B829" s="3" t="inlineStr">
        <is>
          <t>Pupitar</t>
        </is>
      </c>
      <c r="C829" s="3" t="n">
        <v>27</v>
      </c>
      <c r="D829" s="3" t="inlineStr">
        <is>
          <t>Crunch</t>
        </is>
      </c>
      <c r="E829" s="3" t="inlineStr">
        <is>
          <t>MOVE_CRUNCH</t>
        </is>
      </c>
    </row>
    <row r="830">
      <c r="A830" s="3" t="inlineStr">
        <is>
          <t>SPECIES_PUPITAR</t>
        </is>
      </c>
      <c r="B830" s="3" t="inlineStr">
        <is>
          <t>Pupitar</t>
        </is>
      </c>
      <c r="C830" s="3" t="n">
        <v>33</v>
      </c>
      <c r="D830" s="3" t="inlineStr">
        <is>
          <t>Earthquake</t>
        </is>
      </c>
      <c r="E830" s="3" t="inlineStr">
        <is>
          <t>MOVE_EARTHQUAKE</t>
        </is>
      </c>
    </row>
    <row r="831">
      <c r="A831" s="3" t="inlineStr">
        <is>
          <t>SPECIES_PUPITAR</t>
        </is>
      </c>
      <c r="B831" s="3" t="inlineStr">
        <is>
          <t>Pupitar</t>
        </is>
      </c>
      <c r="C831" s="3" t="n">
        <v>37</v>
      </c>
      <c r="D831" s="3" t="inlineStr">
        <is>
          <t>Stone Edge</t>
        </is>
      </c>
      <c r="E831" s="3" t="inlineStr">
        <is>
          <t>MOVE_STONE_EDGE</t>
        </is>
      </c>
    </row>
    <row r="832">
      <c r="A832" s="3" t="inlineStr">
        <is>
          <t>SPECIES_PUPITAR</t>
        </is>
      </c>
      <c r="B832" s="3" t="inlineStr">
        <is>
          <t>Pupitar</t>
        </is>
      </c>
      <c r="C832" s="3" t="n">
        <v>42</v>
      </c>
      <c r="D832" s="3" t="inlineStr">
        <is>
          <t>Thrash</t>
        </is>
      </c>
      <c r="E832" s="3" t="inlineStr">
        <is>
          <t>MOVE_THRASH</t>
        </is>
      </c>
    </row>
    <row r="833">
      <c r="A833" s="3" t="inlineStr">
        <is>
          <t>SPECIES_PUPITAR</t>
        </is>
      </c>
      <c r="B833" s="3" t="inlineStr">
        <is>
          <t>Pupitar</t>
        </is>
      </c>
      <c r="C833" s="3" t="n">
        <v>47</v>
      </c>
      <c r="D833" s="3" t="inlineStr">
        <is>
          <t>Sandstorm</t>
        </is>
      </c>
      <c r="E833" s="3" t="inlineStr">
        <is>
          <t>MOVE_SANDSTORM</t>
        </is>
      </c>
    </row>
    <row r="834">
      <c r="A834" s="3" t="inlineStr">
        <is>
          <t>SPECIES_PUPITAR</t>
        </is>
      </c>
      <c r="B834" s="3" t="inlineStr">
        <is>
          <t>Pupitar</t>
        </is>
      </c>
      <c r="C834" s="3" t="n">
        <v>52</v>
      </c>
      <c r="D834" s="3" t="inlineStr">
        <is>
          <t>Hyper Beam</t>
        </is>
      </c>
      <c r="E834" s="3" t="inlineStr">
        <is>
          <t>MOVE_HYPER_BEAM</t>
        </is>
      </c>
    </row>
    <row r="835">
      <c r="A835" s="3" t="inlineStr">
        <is>
          <t>SPECIES_TYRANITAR</t>
        </is>
      </c>
      <c r="B835" s="3" t="inlineStr">
        <is>
          <t>Tyranitar</t>
        </is>
      </c>
      <c r="C835" s="3" t="n">
        <v>1</v>
      </c>
      <c r="D835" s="3" t="inlineStr">
        <is>
          <t>Tackle</t>
        </is>
      </c>
      <c r="E835" s="3" t="inlineStr">
        <is>
          <t>MOVE_TACKLE</t>
        </is>
      </c>
    </row>
    <row r="836">
      <c r="A836" s="3" t="inlineStr">
        <is>
          <t>SPECIES_TYRANITAR</t>
        </is>
      </c>
      <c r="B836" s="3" t="inlineStr">
        <is>
          <t>Tyranitar</t>
        </is>
      </c>
      <c r="C836" s="3" t="n">
        <v>1</v>
      </c>
      <c r="D836" s="3" t="inlineStr">
        <is>
          <t>Fire Fang</t>
        </is>
      </c>
      <c r="E836" s="3" t="inlineStr">
        <is>
          <t>MOVE_FIRE_FANG</t>
        </is>
      </c>
    </row>
    <row r="837">
      <c r="A837" s="3" t="inlineStr">
        <is>
          <t>SPECIES_TYRANITAR</t>
        </is>
      </c>
      <c r="B837" s="3" t="inlineStr">
        <is>
          <t>Tyranitar</t>
        </is>
      </c>
      <c r="C837" s="3" t="n">
        <v>1</v>
      </c>
      <c r="D837" s="3" t="inlineStr">
        <is>
          <t>Leer</t>
        </is>
      </c>
      <c r="E837" s="3" t="inlineStr">
        <is>
          <t>MOVE_LEER</t>
        </is>
      </c>
    </row>
    <row r="838">
      <c r="A838" s="3" t="inlineStr">
        <is>
          <t>SPECIES_TYRANITAR</t>
        </is>
      </c>
      <c r="B838" s="3" t="inlineStr">
        <is>
          <t>Tyranitar</t>
        </is>
      </c>
      <c r="C838" s="3" t="n">
        <v>1</v>
      </c>
      <c r="D838" s="3" t="inlineStr">
        <is>
          <t>Ice Fang</t>
        </is>
      </c>
      <c r="E838" s="3" t="inlineStr">
        <is>
          <t>MOVE_ICE_FANG</t>
        </is>
      </c>
    </row>
    <row r="839">
      <c r="A839" s="3" t="inlineStr">
        <is>
          <t>SPECIES_TYRANITAR</t>
        </is>
      </c>
      <c r="B839" s="3" t="inlineStr">
        <is>
          <t>Tyranitar</t>
        </is>
      </c>
      <c r="C839" s="3" t="n">
        <v>1</v>
      </c>
      <c r="D839" s="3" t="inlineStr">
        <is>
          <t>Rock Throw</t>
        </is>
      </c>
      <c r="E839" s="3" t="inlineStr">
        <is>
          <t>MOVE_ROCK_THROW</t>
        </is>
      </c>
    </row>
    <row r="840">
      <c r="A840" s="3" t="inlineStr">
        <is>
          <t>SPECIES_TYRANITAR</t>
        </is>
      </c>
      <c r="B840" s="3" t="inlineStr">
        <is>
          <t>Tyranitar</t>
        </is>
      </c>
      <c r="C840" s="3" t="n">
        <v>1</v>
      </c>
      <c r="D840" s="3" t="inlineStr">
        <is>
          <t>Thunder Fang</t>
        </is>
      </c>
      <c r="E840" s="3" t="inlineStr">
        <is>
          <t>MOVE_THUNDER_FANG</t>
        </is>
      </c>
    </row>
    <row r="841">
      <c r="A841" s="3" t="inlineStr">
        <is>
          <t>SPECIES_TYRANITAR</t>
        </is>
      </c>
      <c r="B841" s="3" t="inlineStr">
        <is>
          <t>Tyranitar</t>
        </is>
      </c>
      <c r="C841" s="3" t="n">
        <v>1</v>
      </c>
      <c r="D841" s="3" t="inlineStr">
        <is>
          <t>Dark Pulse</t>
        </is>
      </c>
      <c r="E841" s="3" t="inlineStr">
        <is>
          <t>MOVE_DARK_PULSE</t>
        </is>
      </c>
    </row>
    <row r="842">
      <c r="A842" s="3" t="inlineStr">
        <is>
          <t>SPECIES_TYRANITAR</t>
        </is>
      </c>
      <c r="B842" s="3" t="inlineStr">
        <is>
          <t>Tyranitar</t>
        </is>
      </c>
      <c r="C842" s="3" t="n">
        <v>1</v>
      </c>
      <c r="D842" s="3" t="inlineStr">
        <is>
          <t>Payback</t>
        </is>
      </c>
      <c r="E842" s="3" t="inlineStr">
        <is>
          <t>MOVE_PAYBACK</t>
        </is>
      </c>
    </row>
    <row r="843">
      <c r="A843" s="3" t="inlineStr">
        <is>
          <t>SPECIES_TYRANITAR</t>
        </is>
      </c>
      <c r="B843" s="3" t="inlineStr">
        <is>
          <t>Tyranitar</t>
        </is>
      </c>
      <c r="C843" s="3" t="n">
        <v>1</v>
      </c>
      <c r="D843" s="3" t="inlineStr">
        <is>
          <t>Iron Defense</t>
        </is>
      </c>
      <c r="E843" s="3" t="inlineStr">
        <is>
          <t>MOVE_IRON_DEFENSE</t>
        </is>
      </c>
    </row>
    <row r="844">
      <c r="A844" s="3" t="inlineStr">
        <is>
          <t>SPECIES_TYRANITAR</t>
        </is>
      </c>
      <c r="B844" s="3" t="inlineStr">
        <is>
          <t>Tyranitar</t>
        </is>
      </c>
      <c r="C844" s="3" t="n">
        <v>9</v>
      </c>
      <c r="D844" s="3" t="inlineStr">
        <is>
          <t>Bite</t>
        </is>
      </c>
      <c r="E844" s="3" t="inlineStr">
        <is>
          <t>MOVE_BITE</t>
        </is>
      </c>
    </row>
    <row r="845">
      <c r="A845" s="3" t="inlineStr">
        <is>
          <t>SPECIES_TYRANITAR</t>
        </is>
      </c>
      <c r="B845" s="3" t="inlineStr">
        <is>
          <t>Tyranitar</t>
        </is>
      </c>
      <c r="C845" s="3" t="n">
        <v>12</v>
      </c>
      <c r="D845" s="3" t="inlineStr">
        <is>
          <t>Scary Face</t>
        </is>
      </c>
      <c r="E845" s="3" t="inlineStr">
        <is>
          <t>MOVE_SCARY_FACE</t>
        </is>
      </c>
    </row>
    <row r="846">
      <c r="A846" s="3" t="inlineStr">
        <is>
          <t>SPECIES_TYRANITAR</t>
        </is>
      </c>
      <c r="B846" s="3" t="inlineStr">
        <is>
          <t>Tyranitar</t>
        </is>
      </c>
      <c r="C846" s="3" t="n">
        <v>15</v>
      </c>
      <c r="D846" s="3" t="inlineStr">
        <is>
          <t>Rock Slide</t>
        </is>
      </c>
      <c r="E846" s="3" t="inlineStr">
        <is>
          <t>MOVE_ROCK_SLIDE</t>
        </is>
      </c>
    </row>
    <row r="847">
      <c r="A847" s="3" t="inlineStr">
        <is>
          <t>SPECIES_TYRANITAR</t>
        </is>
      </c>
      <c r="B847" s="3" t="inlineStr">
        <is>
          <t>Tyranitar</t>
        </is>
      </c>
      <c r="C847" s="3" t="n">
        <v>18</v>
      </c>
      <c r="D847" s="3" t="inlineStr">
        <is>
          <t>Stomping Tantrum</t>
        </is>
      </c>
      <c r="E847" s="3" t="inlineStr">
        <is>
          <t>MOVE_STOMPING_TANTRUM</t>
        </is>
      </c>
    </row>
    <row r="848">
      <c r="A848" s="3" t="inlineStr">
        <is>
          <t>SPECIES_TYRANITAR</t>
        </is>
      </c>
      <c r="B848" s="3" t="inlineStr">
        <is>
          <t>Tyranitar</t>
        </is>
      </c>
      <c r="C848" s="3" t="n">
        <v>21</v>
      </c>
      <c r="D848" s="3" t="inlineStr">
        <is>
          <t>Screech</t>
        </is>
      </c>
      <c r="E848" s="3" t="inlineStr">
        <is>
          <t>MOVE_SCREECH</t>
        </is>
      </c>
    </row>
    <row r="849">
      <c r="A849" s="3" t="inlineStr">
        <is>
          <t>SPECIES_TYRANITAR</t>
        </is>
      </c>
      <c r="B849" s="3" t="inlineStr">
        <is>
          <t>Tyranitar</t>
        </is>
      </c>
      <c r="C849" s="3" t="n">
        <v>24</v>
      </c>
      <c r="D849" s="3" t="inlineStr">
        <is>
          <t>Smack Down</t>
        </is>
      </c>
      <c r="E849" s="3" t="inlineStr">
        <is>
          <t>MOVE_SMACK_DOWN</t>
        </is>
      </c>
    </row>
    <row r="850">
      <c r="A850" s="3" t="inlineStr">
        <is>
          <t>SPECIES_TYRANITAR</t>
        </is>
      </c>
      <c r="B850" s="3" t="inlineStr">
        <is>
          <t>Tyranitar</t>
        </is>
      </c>
      <c r="C850" s="3" t="n">
        <v>27</v>
      </c>
      <c r="D850" s="3" t="inlineStr">
        <is>
          <t>Crunch</t>
        </is>
      </c>
      <c r="E850" s="3" t="inlineStr">
        <is>
          <t>MOVE_CRUNCH</t>
        </is>
      </c>
    </row>
    <row r="851">
      <c r="A851" s="3" t="inlineStr">
        <is>
          <t>SPECIES_TYRANITAR</t>
        </is>
      </c>
      <c r="B851" s="3" t="inlineStr">
        <is>
          <t>Tyranitar</t>
        </is>
      </c>
      <c r="C851" s="3" t="n">
        <v>33</v>
      </c>
      <c r="D851" s="3" t="inlineStr">
        <is>
          <t>Earthquake</t>
        </is>
      </c>
      <c r="E851" s="3" t="inlineStr">
        <is>
          <t>MOVE_EARTHQUAKE</t>
        </is>
      </c>
    </row>
    <row r="852">
      <c r="A852" s="3" t="inlineStr">
        <is>
          <t>SPECIES_TYRANITAR</t>
        </is>
      </c>
      <c r="B852" s="3" t="inlineStr">
        <is>
          <t>Tyranitar</t>
        </is>
      </c>
      <c r="C852" s="3" t="n">
        <v>37</v>
      </c>
      <c r="D852" s="3" t="inlineStr">
        <is>
          <t>Stone Edge</t>
        </is>
      </c>
      <c r="E852" s="3" t="inlineStr">
        <is>
          <t>MOVE_STONE_EDGE</t>
        </is>
      </c>
    </row>
    <row r="853">
      <c r="A853" s="3" t="inlineStr">
        <is>
          <t>SPECIES_TYRANITAR</t>
        </is>
      </c>
      <c r="B853" s="3" t="inlineStr">
        <is>
          <t>Tyranitar</t>
        </is>
      </c>
      <c r="C853" s="3" t="n">
        <v>42</v>
      </c>
      <c r="D853" s="3" t="inlineStr">
        <is>
          <t>Thrash</t>
        </is>
      </c>
      <c r="E853" s="3" t="inlineStr">
        <is>
          <t>MOVE_THRASH</t>
        </is>
      </c>
    </row>
    <row r="854">
      <c r="A854" s="3" t="inlineStr">
        <is>
          <t>SPECIES_TYRANITAR</t>
        </is>
      </c>
      <c r="B854" s="3" t="inlineStr">
        <is>
          <t>Tyranitar</t>
        </is>
      </c>
      <c r="C854" s="3" t="n">
        <v>47</v>
      </c>
      <c r="D854" s="3" t="inlineStr">
        <is>
          <t>Sandstorm</t>
        </is>
      </c>
      <c r="E854" s="3" t="inlineStr">
        <is>
          <t>MOVE_SANDSTORM</t>
        </is>
      </c>
    </row>
    <row r="855">
      <c r="A855" s="3" t="inlineStr">
        <is>
          <t>SPECIES_TYRANITAR</t>
        </is>
      </c>
      <c r="B855" s="3" t="inlineStr">
        <is>
          <t>Tyranitar</t>
        </is>
      </c>
      <c r="C855" s="3" t="n">
        <v>52</v>
      </c>
      <c r="D855" s="3" t="inlineStr">
        <is>
          <t>Hyper Beam</t>
        </is>
      </c>
      <c r="E855" s="3" t="inlineStr">
        <is>
          <t>MOVE_HYPER_BEAM</t>
        </is>
      </c>
    </row>
    <row r="856">
      <c r="A856" s="3" t="inlineStr">
        <is>
          <t>SPECIES_TYRANITAR</t>
        </is>
      </c>
      <c r="B856" s="3" t="inlineStr">
        <is>
          <t>Tyranitar</t>
        </is>
      </c>
      <c r="C856" s="3" t="n">
        <v>59</v>
      </c>
      <c r="D856" s="3" t="inlineStr">
        <is>
          <t>Giga Impact</t>
        </is>
      </c>
      <c r="E856" s="3" t="inlineStr">
        <is>
          <t>MOVE_GIGA_IMPACT</t>
        </is>
      </c>
    </row>
    <row r="857">
      <c r="A857" s="3" t="inlineStr">
        <is>
          <t>SPECIES_TREECKO</t>
        </is>
      </c>
      <c r="B857" s="3" t="inlineStr">
        <is>
          <t>Treecko</t>
        </is>
      </c>
      <c r="C857" s="3" t="n">
        <v>1</v>
      </c>
      <c r="D857" s="3" t="inlineStr">
        <is>
          <t>Pound</t>
        </is>
      </c>
      <c r="E857" s="3" t="inlineStr">
        <is>
          <t>MOVE_POUND</t>
        </is>
      </c>
    </row>
    <row r="858">
      <c r="A858" s="3" t="inlineStr">
        <is>
          <t>SPECIES_TREECKO</t>
        </is>
      </c>
      <c r="B858" s="3" t="inlineStr">
        <is>
          <t>Treecko</t>
        </is>
      </c>
      <c r="C858" s="3" t="n">
        <v>1</v>
      </c>
      <c r="D858" s="3" t="inlineStr">
        <is>
          <t>Leer</t>
        </is>
      </c>
      <c r="E858" s="3" t="inlineStr">
        <is>
          <t>MOVE_LEER</t>
        </is>
      </c>
    </row>
    <row r="859">
      <c r="A859" s="3" t="inlineStr">
        <is>
          <t>SPECIES_TREECKO</t>
        </is>
      </c>
      <c r="B859" s="3" t="inlineStr">
        <is>
          <t>Treecko</t>
        </is>
      </c>
      <c r="C859" s="3" t="n">
        <v>3</v>
      </c>
      <c r="D859" s="3" t="inlineStr">
        <is>
          <t>Leafage</t>
        </is>
      </c>
      <c r="E859" s="3" t="inlineStr">
        <is>
          <t>MOVE_LEAFAGE</t>
        </is>
      </c>
    </row>
    <row r="860">
      <c r="A860" s="3" t="inlineStr">
        <is>
          <t>SPECIES_TREECKO</t>
        </is>
      </c>
      <c r="B860" s="3" t="inlineStr">
        <is>
          <t>Treecko</t>
        </is>
      </c>
      <c r="C860" s="3" t="n">
        <v>6</v>
      </c>
      <c r="D860" s="3" t="inlineStr">
        <is>
          <t>Quick Attack</t>
        </is>
      </c>
      <c r="E860" s="3" t="inlineStr">
        <is>
          <t>MOVE_QUICK_ATTACK</t>
        </is>
      </c>
    </row>
    <row r="861">
      <c r="A861" s="3" t="inlineStr">
        <is>
          <t>SPECIES_TREECKO</t>
        </is>
      </c>
      <c r="B861" s="3" t="inlineStr">
        <is>
          <t>Treecko</t>
        </is>
      </c>
      <c r="C861" s="3" t="n">
        <v>9</v>
      </c>
      <c r="D861" s="3" t="inlineStr">
        <is>
          <t>Mega Drain</t>
        </is>
      </c>
      <c r="E861" s="3" t="inlineStr">
        <is>
          <t>MOVE_MEGA_DRAIN</t>
        </is>
      </c>
    </row>
    <row r="862">
      <c r="A862" s="3" t="inlineStr">
        <is>
          <t>SPECIES_TREECKO</t>
        </is>
      </c>
      <c r="B862" s="3" t="inlineStr">
        <is>
          <t>Treecko</t>
        </is>
      </c>
      <c r="C862" s="3" t="n">
        <v>12</v>
      </c>
      <c r="D862" s="3" t="inlineStr">
        <is>
          <t>Detect</t>
        </is>
      </c>
      <c r="E862" s="3" t="inlineStr">
        <is>
          <t>MOVE_DETECT</t>
        </is>
      </c>
    </row>
    <row r="863">
      <c r="A863" s="3" t="inlineStr">
        <is>
          <t>SPECIES_TREECKO</t>
        </is>
      </c>
      <c r="B863" s="3" t="inlineStr">
        <is>
          <t>Treecko</t>
        </is>
      </c>
      <c r="C863" s="3" t="n">
        <v>15</v>
      </c>
      <c r="D863" s="3" t="inlineStr">
        <is>
          <t>Quick Guard</t>
        </is>
      </c>
      <c r="E863" s="3" t="inlineStr">
        <is>
          <t>MOVE_QUICK_GUARD</t>
        </is>
      </c>
    </row>
    <row r="864">
      <c r="A864" s="3" t="inlineStr">
        <is>
          <t>SPECIES_TREECKO</t>
        </is>
      </c>
      <c r="B864" s="3" t="inlineStr">
        <is>
          <t>Treecko</t>
        </is>
      </c>
      <c r="C864" s="3" t="n">
        <v>18</v>
      </c>
      <c r="D864" s="3" t="inlineStr">
        <is>
          <t>Assurance</t>
        </is>
      </c>
      <c r="E864" s="3" t="inlineStr">
        <is>
          <t>MOVE_ASSURANCE</t>
        </is>
      </c>
    </row>
    <row r="865">
      <c r="A865" s="3" t="inlineStr">
        <is>
          <t>SPECIES_TREECKO</t>
        </is>
      </c>
      <c r="B865" s="3" t="inlineStr">
        <is>
          <t>Treecko</t>
        </is>
      </c>
      <c r="C865" s="3" t="n">
        <v>21</v>
      </c>
      <c r="D865" s="3" t="inlineStr">
        <is>
          <t>Giga Drain</t>
        </is>
      </c>
      <c r="E865" s="3" t="inlineStr">
        <is>
          <t>MOVE_GIGA_DRAIN</t>
        </is>
      </c>
    </row>
    <row r="866">
      <c r="A866" s="3" t="inlineStr">
        <is>
          <t>SPECIES_TREECKO</t>
        </is>
      </c>
      <c r="B866" s="3" t="inlineStr">
        <is>
          <t>Treecko</t>
        </is>
      </c>
      <c r="C866" s="3" t="n">
        <v>24</v>
      </c>
      <c r="D866" s="3" t="inlineStr">
        <is>
          <t>Slam</t>
        </is>
      </c>
      <c r="E866" s="3" t="inlineStr">
        <is>
          <t>MOVE_SLAM</t>
        </is>
      </c>
    </row>
    <row r="867">
      <c r="A867" s="3" t="inlineStr">
        <is>
          <t>SPECIES_TREECKO</t>
        </is>
      </c>
      <c r="B867" s="3" t="inlineStr">
        <is>
          <t>Treecko</t>
        </is>
      </c>
      <c r="C867" s="3" t="n">
        <v>27</v>
      </c>
      <c r="D867" s="3" t="inlineStr">
        <is>
          <t>Double Team</t>
        </is>
      </c>
      <c r="E867" s="3" t="inlineStr">
        <is>
          <t>MOVE_DOUBLE_TEAM</t>
        </is>
      </c>
    </row>
    <row r="868">
      <c r="A868" s="3" t="inlineStr">
        <is>
          <t>SPECIES_TREECKO</t>
        </is>
      </c>
      <c r="B868" s="3" t="inlineStr">
        <is>
          <t>Treecko</t>
        </is>
      </c>
      <c r="C868" s="3" t="n">
        <v>30</v>
      </c>
      <c r="D868" s="3" t="inlineStr">
        <is>
          <t>Energy Ball</t>
        </is>
      </c>
      <c r="E868" s="3" t="inlineStr">
        <is>
          <t>MOVE_ENERGY_BALL</t>
        </is>
      </c>
    </row>
    <row r="869">
      <c r="A869" s="3" t="inlineStr">
        <is>
          <t>SPECIES_TREECKO</t>
        </is>
      </c>
      <c r="B869" s="3" t="inlineStr">
        <is>
          <t>Treecko</t>
        </is>
      </c>
      <c r="C869" s="3" t="n">
        <v>33</v>
      </c>
      <c r="D869" s="3" t="inlineStr">
        <is>
          <t>Screech</t>
        </is>
      </c>
      <c r="E869" s="3" t="inlineStr">
        <is>
          <t>MOVE_SCREECH</t>
        </is>
      </c>
    </row>
    <row r="870">
      <c r="A870" s="3" t="inlineStr">
        <is>
          <t>SPECIES_TREECKO</t>
        </is>
      </c>
      <c r="B870" s="3" t="inlineStr">
        <is>
          <t>Treecko</t>
        </is>
      </c>
      <c r="C870" s="3" t="n">
        <v>36</v>
      </c>
      <c r="D870" s="3" t="inlineStr">
        <is>
          <t>Endeavor</t>
        </is>
      </c>
      <c r="E870" s="3" t="inlineStr">
        <is>
          <t>MOVE_ENDEAVOR</t>
        </is>
      </c>
    </row>
    <row r="871">
      <c r="A871" s="3" t="inlineStr">
        <is>
          <t>SPECIES_TREECKO</t>
        </is>
      </c>
      <c r="B871" s="3" t="inlineStr">
        <is>
          <t>Treecko</t>
        </is>
      </c>
      <c r="C871" s="3" t="n">
        <v>39</v>
      </c>
      <c r="D871" s="3" t="inlineStr">
        <is>
          <t>Leaf Storm</t>
        </is>
      </c>
      <c r="E871" s="3" t="inlineStr">
        <is>
          <t>MOVE_LEAF_STORM</t>
        </is>
      </c>
    </row>
    <row r="872">
      <c r="A872" s="3" t="inlineStr">
        <is>
          <t>SPECIES_GROVYLE</t>
        </is>
      </c>
      <c r="B872" s="3" t="inlineStr">
        <is>
          <t>Grovyle</t>
        </is>
      </c>
      <c r="C872" s="3" t="n">
        <v>1</v>
      </c>
      <c r="D872" s="3" t="inlineStr">
        <is>
          <t>False Swipe</t>
        </is>
      </c>
      <c r="E872" s="3" t="inlineStr">
        <is>
          <t>MOVE_FALSE_SWIPE</t>
        </is>
      </c>
    </row>
    <row r="873">
      <c r="A873" s="3" t="inlineStr">
        <is>
          <t>SPECIES_GROVYLE</t>
        </is>
      </c>
      <c r="B873" s="3" t="inlineStr">
        <is>
          <t>Grovyle</t>
        </is>
      </c>
      <c r="C873" s="3" t="n">
        <v>1</v>
      </c>
      <c r="D873" s="3" t="inlineStr">
        <is>
          <t>Fury Cutter</t>
        </is>
      </c>
      <c r="E873" s="3" t="inlineStr">
        <is>
          <t>MOVE_FURY_CUTTER</t>
        </is>
      </c>
    </row>
    <row r="874">
      <c r="A874" s="3" t="inlineStr">
        <is>
          <t>SPECIES_GROVYLE</t>
        </is>
      </c>
      <c r="B874" s="3" t="inlineStr">
        <is>
          <t>Grovyle</t>
        </is>
      </c>
      <c r="C874" s="3" t="n">
        <v>1</v>
      </c>
      <c r="D874" s="3" t="inlineStr">
        <is>
          <t>X-Scissor</t>
        </is>
      </c>
      <c r="E874" s="3" t="inlineStr">
        <is>
          <t>MOVE_X_SCISSOR</t>
        </is>
      </c>
    </row>
    <row r="875">
      <c r="A875" s="3" t="inlineStr">
        <is>
          <t>SPECIES_GROVYLE</t>
        </is>
      </c>
      <c r="B875" s="3" t="inlineStr">
        <is>
          <t>Grovyle</t>
        </is>
      </c>
      <c r="C875" s="3" t="n">
        <v>1</v>
      </c>
      <c r="D875" s="3" t="inlineStr">
        <is>
          <t>Energy Ball</t>
        </is>
      </c>
      <c r="E875" s="3" t="inlineStr">
        <is>
          <t>MOVE_ENERGY_BALL</t>
        </is>
      </c>
    </row>
    <row r="876">
      <c r="A876" s="3" t="inlineStr">
        <is>
          <t>SPECIES_GROVYLE</t>
        </is>
      </c>
      <c r="B876" s="3" t="inlineStr">
        <is>
          <t>Grovyle</t>
        </is>
      </c>
      <c r="C876" s="3" t="n">
        <v>1</v>
      </c>
      <c r="D876" s="3" t="inlineStr">
        <is>
          <t>Pound</t>
        </is>
      </c>
      <c r="E876" s="3" t="inlineStr">
        <is>
          <t>MOVE_POUND</t>
        </is>
      </c>
    </row>
    <row r="877">
      <c r="A877" s="3" t="inlineStr">
        <is>
          <t>SPECIES_GROVYLE</t>
        </is>
      </c>
      <c r="B877" s="3" t="inlineStr">
        <is>
          <t>Grovyle</t>
        </is>
      </c>
      <c r="C877" s="3" t="n">
        <v>1</v>
      </c>
      <c r="D877" s="3" t="inlineStr">
        <is>
          <t>Leer</t>
        </is>
      </c>
      <c r="E877" s="3" t="inlineStr">
        <is>
          <t>MOVE_LEER</t>
        </is>
      </c>
    </row>
    <row r="878">
      <c r="A878" s="3" t="inlineStr">
        <is>
          <t>SPECIES_GROVYLE</t>
        </is>
      </c>
      <c r="B878" s="3" t="inlineStr">
        <is>
          <t>Grovyle</t>
        </is>
      </c>
      <c r="C878" s="3" t="n">
        <v>1</v>
      </c>
      <c r="D878" s="3" t="inlineStr">
        <is>
          <t>Quick Attack</t>
        </is>
      </c>
      <c r="E878" s="3" t="inlineStr">
        <is>
          <t>MOVE_QUICK_ATTACK</t>
        </is>
      </c>
    </row>
    <row r="879">
      <c r="A879" s="3" t="inlineStr">
        <is>
          <t>SPECIES_GROVYLE</t>
        </is>
      </c>
      <c r="B879" s="3" t="inlineStr">
        <is>
          <t>Grovyle</t>
        </is>
      </c>
      <c r="C879" s="3" t="n">
        <v>1</v>
      </c>
      <c r="D879" s="3" t="inlineStr">
        <is>
          <t>Leafage</t>
        </is>
      </c>
      <c r="E879" s="3" t="inlineStr">
        <is>
          <t>MOVE_LEAFAGE</t>
        </is>
      </c>
    </row>
    <row r="880">
      <c r="A880" s="3" t="inlineStr">
        <is>
          <t>SPECIES_GROVYLE</t>
        </is>
      </c>
      <c r="B880" s="3" t="inlineStr">
        <is>
          <t>Grovyle</t>
        </is>
      </c>
      <c r="C880" s="3" t="n">
        <v>9</v>
      </c>
      <c r="D880" s="3" t="inlineStr">
        <is>
          <t>Mega Drain</t>
        </is>
      </c>
      <c r="E880" s="3" t="inlineStr">
        <is>
          <t>MOVE_MEGA_DRAIN</t>
        </is>
      </c>
    </row>
    <row r="881">
      <c r="A881" s="3" t="inlineStr">
        <is>
          <t>SPECIES_GROVYLE</t>
        </is>
      </c>
      <c r="B881" s="3" t="inlineStr">
        <is>
          <t>Grovyle</t>
        </is>
      </c>
      <c r="C881" s="3" t="n">
        <v>12</v>
      </c>
      <c r="D881" s="3" t="inlineStr">
        <is>
          <t>Detect</t>
        </is>
      </c>
      <c r="E881" s="3" t="inlineStr">
        <is>
          <t>MOVE_DETECT</t>
        </is>
      </c>
    </row>
    <row r="882">
      <c r="A882" s="3" t="inlineStr">
        <is>
          <t>SPECIES_GROVYLE</t>
        </is>
      </c>
      <c r="B882" s="3" t="inlineStr">
        <is>
          <t>Grovyle</t>
        </is>
      </c>
      <c r="C882" s="3" t="n">
        <v>15</v>
      </c>
      <c r="D882" s="3" t="inlineStr">
        <is>
          <t>Quick Guard</t>
        </is>
      </c>
      <c r="E882" s="3" t="inlineStr">
        <is>
          <t>MOVE_QUICK_GUARD</t>
        </is>
      </c>
    </row>
    <row r="883">
      <c r="A883" s="3" t="inlineStr">
        <is>
          <t>SPECIES_GROVYLE</t>
        </is>
      </c>
      <c r="B883" s="3" t="inlineStr">
        <is>
          <t>Grovyle</t>
        </is>
      </c>
      <c r="C883" s="3" t="n">
        <v>20</v>
      </c>
      <c r="D883" s="3" t="inlineStr">
        <is>
          <t>Assurance</t>
        </is>
      </c>
      <c r="E883" s="3" t="inlineStr">
        <is>
          <t>MOVE_ASSURANCE</t>
        </is>
      </c>
    </row>
    <row r="884">
      <c r="A884" s="3" t="inlineStr">
        <is>
          <t>SPECIES_GROVYLE</t>
        </is>
      </c>
      <c r="B884" s="3" t="inlineStr">
        <is>
          <t>Grovyle</t>
        </is>
      </c>
      <c r="C884" s="3" t="n">
        <v>25</v>
      </c>
      <c r="D884" s="3" t="inlineStr">
        <is>
          <t>Giga Drain</t>
        </is>
      </c>
      <c r="E884" s="3" t="inlineStr">
        <is>
          <t>MOVE_GIGA_DRAIN</t>
        </is>
      </c>
    </row>
    <row r="885">
      <c r="A885" s="3" t="inlineStr">
        <is>
          <t>SPECIES_GROVYLE</t>
        </is>
      </c>
      <c r="B885" s="3" t="inlineStr">
        <is>
          <t>Grovyle</t>
        </is>
      </c>
      <c r="C885" s="3" t="n">
        <v>30</v>
      </c>
      <c r="D885" s="3" t="inlineStr">
        <is>
          <t>Slam</t>
        </is>
      </c>
      <c r="E885" s="3" t="inlineStr">
        <is>
          <t>MOVE_SLAM</t>
        </is>
      </c>
    </row>
    <row r="886">
      <c r="A886" s="3" t="inlineStr">
        <is>
          <t>SPECIES_GROVYLE</t>
        </is>
      </c>
      <c r="B886" s="3" t="inlineStr">
        <is>
          <t>Grovyle</t>
        </is>
      </c>
      <c r="C886" s="3" t="n">
        <v>35</v>
      </c>
      <c r="D886" s="3" t="inlineStr">
        <is>
          <t>Double Team</t>
        </is>
      </c>
      <c r="E886" s="3" t="inlineStr">
        <is>
          <t>MOVE_DOUBLE_TEAM</t>
        </is>
      </c>
    </row>
    <row r="887">
      <c r="A887" s="3" t="inlineStr">
        <is>
          <t>SPECIES_GROVYLE</t>
        </is>
      </c>
      <c r="B887" s="3" t="inlineStr">
        <is>
          <t>Grovyle</t>
        </is>
      </c>
      <c r="C887" s="3" t="n">
        <v>40</v>
      </c>
      <c r="D887" s="3" t="inlineStr">
        <is>
          <t>Leaf Blade</t>
        </is>
      </c>
      <c r="E887" s="3" t="inlineStr">
        <is>
          <t>MOVE_LEAF_BLADE</t>
        </is>
      </c>
    </row>
    <row r="888">
      <c r="A888" s="3" t="inlineStr">
        <is>
          <t>SPECIES_GROVYLE</t>
        </is>
      </c>
      <c r="B888" s="3" t="inlineStr">
        <is>
          <t>Grovyle</t>
        </is>
      </c>
      <c r="C888" s="3" t="n">
        <v>45</v>
      </c>
      <c r="D888" s="3" t="inlineStr">
        <is>
          <t>Screech</t>
        </is>
      </c>
      <c r="E888" s="3" t="inlineStr">
        <is>
          <t>MOVE_SCREECH</t>
        </is>
      </c>
    </row>
    <row r="889">
      <c r="A889" s="3" t="inlineStr">
        <is>
          <t>SPECIES_GROVYLE</t>
        </is>
      </c>
      <c r="B889" s="3" t="inlineStr">
        <is>
          <t>Grovyle</t>
        </is>
      </c>
      <c r="C889" s="3" t="n">
        <v>50</v>
      </c>
      <c r="D889" s="3" t="inlineStr">
        <is>
          <t>Endeavor</t>
        </is>
      </c>
      <c r="E889" s="3" t="inlineStr">
        <is>
          <t>MOVE_ENDEAVOR</t>
        </is>
      </c>
    </row>
    <row r="890">
      <c r="A890" s="3" t="inlineStr">
        <is>
          <t>SPECIES_GROVYLE</t>
        </is>
      </c>
      <c r="B890" s="3" t="inlineStr">
        <is>
          <t>Grovyle</t>
        </is>
      </c>
      <c r="C890" s="3" t="n">
        <v>55</v>
      </c>
      <c r="D890" s="3" t="inlineStr">
        <is>
          <t>Leaf Storm</t>
        </is>
      </c>
      <c r="E890" s="3" t="inlineStr">
        <is>
          <t>MOVE_LEAF_STORM</t>
        </is>
      </c>
    </row>
    <row r="891">
      <c r="A891" s="3" t="inlineStr">
        <is>
          <t>SPECIES_SCEPTILE</t>
        </is>
      </c>
      <c r="B891" s="3" t="inlineStr">
        <is>
          <t>Sceptile</t>
        </is>
      </c>
      <c r="C891" s="3" t="n">
        <v>0</v>
      </c>
      <c r="D891" s="3" t="inlineStr">
        <is>
          <t>Leaf Blade</t>
        </is>
      </c>
      <c r="E891" s="3" t="inlineStr">
        <is>
          <t>MOVE_LEAF_BLADE</t>
        </is>
      </c>
    </row>
    <row r="892">
      <c r="A892" s="3" t="inlineStr">
        <is>
          <t>SPECIES_SCEPTILE</t>
        </is>
      </c>
      <c r="B892" s="3" t="inlineStr">
        <is>
          <t>Sceptile</t>
        </is>
      </c>
      <c r="C892" s="3" t="n">
        <v>1</v>
      </c>
      <c r="D892" s="3" t="inlineStr">
        <is>
          <t>False Swipe</t>
        </is>
      </c>
      <c r="E892" s="3" t="inlineStr">
        <is>
          <t>MOVE_FALSE_SWIPE</t>
        </is>
      </c>
    </row>
    <row r="893">
      <c r="A893" s="3" t="inlineStr">
        <is>
          <t>SPECIES_SCEPTILE</t>
        </is>
      </c>
      <c r="B893" s="3" t="inlineStr">
        <is>
          <t>Sceptile</t>
        </is>
      </c>
      <c r="C893" s="3" t="n">
        <v>1</v>
      </c>
      <c r="D893" s="3" t="inlineStr">
        <is>
          <t>Fury Cutter</t>
        </is>
      </c>
      <c r="E893" s="3" t="inlineStr">
        <is>
          <t>MOVE_FURY_CUTTER</t>
        </is>
      </c>
    </row>
    <row r="894">
      <c r="A894" s="3" t="inlineStr">
        <is>
          <t>SPECIES_SCEPTILE</t>
        </is>
      </c>
      <c r="B894" s="3" t="inlineStr">
        <is>
          <t>Sceptile</t>
        </is>
      </c>
      <c r="C894" s="3" t="n">
        <v>1</v>
      </c>
      <c r="D894" s="3" t="inlineStr">
        <is>
          <t>X-Scissor</t>
        </is>
      </c>
      <c r="E894" s="3" t="inlineStr">
        <is>
          <t>MOVE_X_SCISSOR</t>
        </is>
      </c>
    </row>
    <row r="895">
      <c r="A895" s="3" t="inlineStr">
        <is>
          <t>SPECIES_SCEPTILE</t>
        </is>
      </c>
      <c r="B895" s="3" t="inlineStr">
        <is>
          <t>Sceptile</t>
        </is>
      </c>
      <c r="C895" s="3" t="n">
        <v>1</v>
      </c>
      <c r="D895" s="3" t="inlineStr">
        <is>
          <t>Energy Ball</t>
        </is>
      </c>
      <c r="E895" s="3" t="inlineStr">
        <is>
          <t>MOVE_ENERGY_BALL</t>
        </is>
      </c>
    </row>
    <row r="896">
      <c r="A896" s="3" t="inlineStr">
        <is>
          <t>SPECIES_SCEPTILE</t>
        </is>
      </c>
      <c r="B896" s="3" t="inlineStr">
        <is>
          <t>Sceptile</t>
        </is>
      </c>
      <c r="C896" s="3" t="n">
        <v>1</v>
      </c>
      <c r="D896" s="3" t="inlineStr">
        <is>
          <t>Shed Tail</t>
        </is>
      </c>
      <c r="E896" s="3" t="inlineStr">
        <is>
          <t>MOVE_SHED_TAIL</t>
        </is>
      </c>
    </row>
    <row r="897">
      <c r="A897" s="3" t="inlineStr">
        <is>
          <t>SPECIES_SCEPTILE</t>
        </is>
      </c>
      <c r="B897" s="3" t="inlineStr">
        <is>
          <t>Sceptile</t>
        </is>
      </c>
      <c r="C897" s="3" t="n">
        <v>1</v>
      </c>
      <c r="D897" s="3" t="inlineStr">
        <is>
          <t>Pound</t>
        </is>
      </c>
      <c r="E897" s="3" t="inlineStr">
        <is>
          <t>MOVE_POUND</t>
        </is>
      </c>
    </row>
    <row r="898">
      <c r="A898" s="3" t="inlineStr">
        <is>
          <t>SPECIES_SCEPTILE</t>
        </is>
      </c>
      <c r="B898" s="3" t="inlineStr">
        <is>
          <t>Sceptile</t>
        </is>
      </c>
      <c r="C898" s="3" t="n">
        <v>1</v>
      </c>
      <c r="D898" s="3" t="inlineStr">
        <is>
          <t>Leer</t>
        </is>
      </c>
      <c r="E898" s="3" t="inlineStr">
        <is>
          <t>MOVE_LEER</t>
        </is>
      </c>
    </row>
    <row r="899">
      <c r="A899" s="3" t="inlineStr">
        <is>
          <t>SPECIES_SCEPTILE</t>
        </is>
      </c>
      <c r="B899" s="3" t="inlineStr">
        <is>
          <t>Sceptile</t>
        </is>
      </c>
      <c r="C899" s="3" t="n">
        <v>1</v>
      </c>
      <c r="D899" s="3" t="inlineStr">
        <is>
          <t>Quick Attack</t>
        </is>
      </c>
      <c r="E899" s="3" t="inlineStr">
        <is>
          <t>MOVE_QUICK_ATTACK</t>
        </is>
      </c>
    </row>
    <row r="900">
      <c r="A900" s="3" t="inlineStr">
        <is>
          <t>SPECIES_SCEPTILE</t>
        </is>
      </c>
      <c r="B900" s="3" t="inlineStr">
        <is>
          <t>Sceptile</t>
        </is>
      </c>
      <c r="C900" s="3" t="n">
        <v>1</v>
      </c>
      <c r="D900" s="3" t="inlineStr">
        <is>
          <t>Leafage</t>
        </is>
      </c>
      <c r="E900" s="3" t="inlineStr">
        <is>
          <t>MOVE_LEAFAGE</t>
        </is>
      </c>
    </row>
    <row r="901">
      <c r="A901" s="3" t="inlineStr">
        <is>
          <t>SPECIES_SCEPTILE</t>
        </is>
      </c>
      <c r="B901" s="3" t="inlineStr">
        <is>
          <t>Sceptile</t>
        </is>
      </c>
      <c r="C901" s="3" t="n">
        <v>5</v>
      </c>
      <c r="D901" s="3" t="inlineStr">
        <is>
          <t>Mega Drain</t>
        </is>
      </c>
      <c r="E901" s="3" t="inlineStr">
        <is>
          <t>MOVE_MEGA_DRAIN</t>
        </is>
      </c>
    </row>
    <row r="902">
      <c r="A902" s="3" t="inlineStr">
        <is>
          <t>SPECIES_SCEPTILE</t>
        </is>
      </c>
      <c r="B902" s="3" t="inlineStr">
        <is>
          <t>Sceptile</t>
        </is>
      </c>
      <c r="C902" s="3" t="n">
        <v>12</v>
      </c>
      <c r="D902" s="3" t="inlineStr">
        <is>
          <t>Detect</t>
        </is>
      </c>
      <c r="E902" s="3" t="inlineStr">
        <is>
          <t>MOVE_DETECT</t>
        </is>
      </c>
    </row>
    <row r="903">
      <c r="A903" s="3" t="inlineStr">
        <is>
          <t>SPECIES_SCEPTILE</t>
        </is>
      </c>
      <c r="B903" s="3" t="inlineStr">
        <is>
          <t>Sceptile</t>
        </is>
      </c>
      <c r="C903" s="3" t="n">
        <v>15</v>
      </c>
      <c r="D903" s="3" t="inlineStr">
        <is>
          <t>Quick Guard</t>
        </is>
      </c>
      <c r="E903" s="3" t="inlineStr">
        <is>
          <t>MOVE_QUICK_GUARD</t>
        </is>
      </c>
    </row>
    <row r="904">
      <c r="A904" s="3" t="inlineStr">
        <is>
          <t>SPECIES_SCEPTILE</t>
        </is>
      </c>
      <c r="B904" s="3" t="inlineStr">
        <is>
          <t>Sceptile</t>
        </is>
      </c>
      <c r="C904" s="3" t="n">
        <v>20</v>
      </c>
      <c r="D904" s="3" t="inlineStr">
        <is>
          <t>Assurance</t>
        </is>
      </c>
      <c r="E904" s="3" t="inlineStr">
        <is>
          <t>MOVE_ASSURANCE</t>
        </is>
      </c>
    </row>
    <row r="905">
      <c r="A905" s="3" t="inlineStr">
        <is>
          <t>SPECIES_SCEPTILE</t>
        </is>
      </c>
      <c r="B905" s="3" t="inlineStr">
        <is>
          <t>Sceptile</t>
        </is>
      </c>
      <c r="C905" s="3" t="n">
        <v>25</v>
      </c>
      <c r="D905" s="3" t="inlineStr">
        <is>
          <t>Giga Drain</t>
        </is>
      </c>
      <c r="E905" s="3" t="inlineStr">
        <is>
          <t>MOVE_GIGA_DRAIN</t>
        </is>
      </c>
    </row>
    <row r="906">
      <c r="A906" s="3" t="inlineStr">
        <is>
          <t>SPECIES_SCEPTILE</t>
        </is>
      </c>
      <c r="B906" s="3" t="inlineStr">
        <is>
          <t>Sceptile</t>
        </is>
      </c>
      <c r="C906" s="3" t="n">
        <v>30</v>
      </c>
      <c r="D906" s="3" t="inlineStr">
        <is>
          <t>Slam</t>
        </is>
      </c>
      <c r="E906" s="3" t="inlineStr">
        <is>
          <t>MOVE_SLAM</t>
        </is>
      </c>
    </row>
    <row r="907">
      <c r="A907" s="3" t="inlineStr">
        <is>
          <t>SPECIES_SCEPTILE</t>
        </is>
      </c>
      <c r="B907" s="3" t="inlineStr">
        <is>
          <t>Sceptile</t>
        </is>
      </c>
      <c r="C907" s="3" t="n">
        <v>35</v>
      </c>
      <c r="D907" s="3" t="inlineStr">
        <is>
          <t>Double Team</t>
        </is>
      </c>
      <c r="E907" s="3" t="inlineStr">
        <is>
          <t>MOVE_DOUBLE_TEAM</t>
        </is>
      </c>
    </row>
    <row r="908">
      <c r="A908" s="3" t="inlineStr">
        <is>
          <t>SPECIES_SCEPTILE</t>
        </is>
      </c>
      <c r="B908" s="3" t="inlineStr">
        <is>
          <t>Sceptile</t>
        </is>
      </c>
      <c r="C908" s="3" t="n">
        <v>42</v>
      </c>
      <c r="D908" s="3" t="inlineStr">
        <is>
          <t>Screech</t>
        </is>
      </c>
      <c r="E908" s="3" t="inlineStr">
        <is>
          <t>MOVE_SCREECH</t>
        </is>
      </c>
    </row>
    <row r="909">
      <c r="A909" s="3" t="inlineStr">
        <is>
          <t>SPECIES_SCEPTILE</t>
        </is>
      </c>
      <c r="B909" s="3" t="inlineStr">
        <is>
          <t>Sceptile</t>
        </is>
      </c>
      <c r="C909" s="3" t="n">
        <v>49</v>
      </c>
      <c r="D909" s="3" t="inlineStr">
        <is>
          <t>Endeavor</t>
        </is>
      </c>
      <c r="E909" s="3" t="inlineStr">
        <is>
          <t>MOVE_ENDEAVOR</t>
        </is>
      </c>
    </row>
    <row r="910">
      <c r="A910" s="3" t="inlineStr">
        <is>
          <t>SPECIES_SCEPTILE</t>
        </is>
      </c>
      <c r="B910" s="3" t="inlineStr">
        <is>
          <t>Sceptile</t>
        </is>
      </c>
      <c r="C910" s="3" t="n">
        <v>56</v>
      </c>
      <c r="D910" s="3" t="inlineStr">
        <is>
          <t>Leaf Storm</t>
        </is>
      </c>
      <c r="E910" s="3" t="inlineStr">
        <is>
          <t>MOVE_LEAF_STORM</t>
        </is>
      </c>
    </row>
    <row r="911">
      <c r="A911" s="3" t="inlineStr">
        <is>
          <t>SPECIES_TORCHIC</t>
        </is>
      </c>
      <c r="B911" s="3" t="inlineStr">
        <is>
          <t>Torchic</t>
        </is>
      </c>
      <c r="C911" s="3" t="n">
        <v>1</v>
      </c>
      <c r="D911" s="3" t="inlineStr">
        <is>
          <t>Scratch</t>
        </is>
      </c>
      <c r="E911" s="3" t="inlineStr">
        <is>
          <t>MOVE_SCRATCH</t>
        </is>
      </c>
    </row>
    <row r="912">
      <c r="A912" s="3" t="inlineStr">
        <is>
          <t>SPECIES_TORCHIC</t>
        </is>
      </c>
      <c r="B912" s="3" t="inlineStr">
        <is>
          <t>Torchic</t>
        </is>
      </c>
      <c r="C912" s="3" t="n">
        <v>1</v>
      </c>
      <c r="D912" s="3" t="inlineStr">
        <is>
          <t>Growl</t>
        </is>
      </c>
      <c r="E912" s="3" t="inlineStr">
        <is>
          <t>MOVE_GROWL</t>
        </is>
      </c>
    </row>
    <row r="913">
      <c r="A913" s="3" t="inlineStr">
        <is>
          <t>SPECIES_TORCHIC</t>
        </is>
      </c>
      <c r="B913" s="3" t="inlineStr">
        <is>
          <t>Torchic</t>
        </is>
      </c>
      <c r="C913" s="3" t="n">
        <v>3</v>
      </c>
      <c r="D913" s="3" t="inlineStr">
        <is>
          <t>Ember</t>
        </is>
      </c>
      <c r="E913" s="3" t="inlineStr">
        <is>
          <t>MOVE_EMBER</t>
        </is>
      </c>
    </row>
    <row r="914">
      <c r="A914" s="3" t="inlineStr">
        <is>
          <t>SPECIES_TORCHIC</t>
        </is>
      </c>
      <c r="B914" s="3" t="inlineStr">
        <is>
          <t>Torchic</t>
        </is>
      </c>
      <c r="C914" s="3" t="n">
        <v>6</v>
      </c>
      <c r="D914" s="3" t="inlineStr">
        <is>
          <t>Quick Attack</t>
        </is>
      </c>
      <c r="E914" s="3" t="inlineStr">
        <is>
          <t>MOVE_QUICK_ATTACK</t>
        </is>
      </c>
    </row>
    <row r="915">
      <c r="A915" s="3" t="inlineStr">
        <is>
          <t>SPECIES_TORCHIC</t>
        </is>
      </c>
      <c r="B915" s="3" t="inlineStr">
        <is>
          <t>Torchic</t>
        </is>
      </c>
      <c r="C915" s="3" t="n">
        <v>9</v>
      </c>
      <c r="D915" s="3" t="inlineStr">
        <is>
          <t>Flame Charge</t>
        </is>
      </c>
      <c r="E915" s="3" t="inlineStr">
        <is>
          <t>MOVE_FLAME_CHARGE</t>
        </is>
      </c>
    </row>
    <row r="916">
      <c r="A916" s="3" t="inlineStr">
        <is>
          <t>SPECIES_TORCHIC</t>
        </is>
      </c>
      <c r="B916" s="3" t="inlineStr">
        <is>
          <t>Torchic</t>
        </is>
      </c>
      <c r="C916" s="3" t="n">
        <v>12</v>
      </c>
      <c r="D916" s="3" t="inlineStr">
        <is>
          <t>Detect</t>
        </is>
      </c>
      <c r="E916" s="3" t="inlineStr">
        <is>
          <t>MOVE_DETECT</t>
        </is>
      </c>
    </row>
    <row r="917">
      <c r="A917" s="3" t="inlineStr">
        <is>
          <t>SPECIES_TORCHIC</t>
        </is>
      </c>
      <c r="B917" s="3" t="inlineStr">
        <is>
          <t>Torchic</t>
        </is>
      </c>
      <c r="C917" s="3" t="n">
        <v>15</v>
      </c>
      <c r="D917" s="3" t="inlineStr">
        <is>
          <t>Sand Attack</t>
        </is>
      </c>
      <c r="E917" s="3" t="inlineStr">
        <is>
          <t>MOVE_SAND_ATTACK</t>
        </is>
      </c>
    </row>
    <row r="918">
      <c r="A918" s="3" t="inlineStr">
        <is>
          <t>SPECIES_TORCHIC</t>
        </is>
      </c>
      <c r="B918" s="3" t="inlineStr">
        <is>
          <t>Torchic</t>
        </is>
      </c>
      <c r="C918" s="3" t="n">
        <v>18</v>
      </c>
      <c r="D918" s="3" t="inlineStr">
        <is>
          <t>Aerial Ace</t>
        </is>
      </c>
      <c r="E918" s="3" t="inlineStr">
        <is>
          <t>MOVE_AERIAL_ACE</t>
        </is>
      </c>
    </row>
    <row r="919">
      <c r="A919" s="3" t="inlineStr">
        <is>
          <t>SPECIES_TORCHIC</t>
        </is>
      </c>
      <c r="B919" s="3" t="inlineStr">
        <is>
          <t>Torchic</t>
        </is>
      </c>
      <c r="C919" s="3" t="n">
        <v>21</v>
      </c>
      <c r="D919" s="3" t="inlineStr">
        <is>
          <t>Slash</t>
        </is>
      </c>
      <c r="E919" s="3" t="inlineStr">
        <is>
          <t>MOVE_SLASH</t>
        </is>
      </c>
    </row>
    <row r="920">
      <c r="A920" s="3" t="inlineStr">
        <is>
          <t>SPECIES_TORCHIC</t>
        </is>
      </c>
      <c r="B920" s="3" t="inlineStr">
        <is>
          <t>Torchic</t>
        </is>
      </c>
      <c r="C920" s="3" t="n">
        <v>24</v>
      </c>
      <c r="D920" s="3" t="inlineStr">
        <is>
          <t>Bounce</t>
        </is>
      </c>
      <c r="E920" s="3" t="inlineStr">
        <is>
          <t>MOVE_BOUNCE</t>
        </is>
      </c>
    </row>
    <row r="921">
      <c r="A921" s="3" t="inlineStr">
        <is>
          <t>SPECIES_TORCHIC</t>
        </is>
      </c>
      <c r="B921" s="3" t="inlineStr">
        <is>
          <t>Torchic</t>
        </is>
      </c>
      <c r="C921" s="3" t="n">
        <v>27</v>
      </c>
      <c r="D921" s="3" t="inlineStr">
        <is>
          <t>Focus Energy</t>
        </is>
      </c>
      <c r="E921" s="3" t="inlineStr">
        <is>
          <t>MOVE_FOCUS_ENERGY</t>
        </is>
      </c>
    </row>
    <row r="922">
      <c r="A922" s="3" t="inlineStr">
        <is>
          <t>SPECIES_TORCHIC</t>
        </is>
      </c>
      <c r="B922" s="3" t="inlineStr">
        <is>
          <t>Torchic</t>
        </is>
      </c>
      <c r="C922" s="3" t="n">
        <v>30</v>
      </c>
      <c r="D922" s="3" t="inlineStr">
        <is>
          <t>Flamethrower</t>
        </is>
      </c>
      <c r="E922" s="3" t="inlineStr">
        <is>
          <t>MOVE_FLAMETHROWER</t>
        </is>
      </c>
    </row>
    <row r="923">
      <c r="A923" s="3" t="inlineStr">
        <is>
          <t>SPECIES_TORCHIC</t>
        </is>
      </c>
      <c r="B923" s="3" t="inlineStr">
        <is>
          <t>Torchic</t>
        </is>
      </c>
      <c r="C923" s="3" t="n">
        <v>33</v>
      </c>
      <c r="D923" s="3" t="inlineStr">
        <is>
          <t>Feather Dance</t>
        </is>
      </c>
      <c r="E923" s="3" t="inlineStr">
        <is>
          <t>MOVE_FEATHER_DANCE</t>
        </is>
      </c>
    </row>
    <row r="924">
      <c r="A924" s="3" t="inlineStr">
        <is>
          <t>SPECIES_TORCHIC</t>
        </is>
      </c>
      <c r="B924" s="3" t="inlineStr">
        <is>
          <t>Torchic</t>
        </is>
      </c>
      <c r="C924" s="3" t="n">
        <v>36</v>
      </c>
      <c r="D924" s="3" t="inlineStr">
        <is>
          <t>Reversal</t>
        </is>
      </c>
      <c r="E924" s="3" t="inlineStr">
        <is>
          <t>MOVE_REVERSAL</t>
        </is>
      </c>
    </row>
    <row r="925">
      <c r="A925" s="3" t="inlineStr">
        <is>
          <t>SPECIES_TORCHIC</t>
        </is>
      </c>
      <c r="B925" s="3" t="inlineStr">
        <is>
          <t>Torchic</t>
        </is>
      </c>
      <c r="C925" s="3" t="n">
        <v>39</v>
      </c>
      <c r="D925" s="3" t="inlineStr">
        <is>
          <t>Flare Blitz</t>
        </is>
      </c>
      <c r="E925" s="3" t="inlineStr">
        <is>
          <t>MOVE_FLARE_BLITZ</t>
        </is>
      </c>
    </row>
    <row r="926">
      <c r="A926" s="3" t="inlineStr">
        <is>
          <t>SPECIES_COMBUSKEN</t>
        </is>
      </c>
      <c r="B926" s="3" t="inlineStr">
        <is>
          <t>Combusken</t>
        </is>
      </c>
      <c r="C926" s="3" t="n">
        <v>0</v>
      </c>
      <c r="D926" s="3" t="inlineStr">
        <is>
          <t>Double Kick</t>
        </is>
      </c>
      <c r="E926" s="3" t="inlineStr">
        <is>
          <t>MOVE_DOUBLE_KICK</t>
        </is>
      </c>
    </row>
    <row r="927">
      <c r="A927" s="3" t="inlineStr">
        <is>
          <t>SPECIES_COMBUSKEN</t>
        </is>
      </c>
      <c r="B927" s="3" t="inlineStr">
        <is>
          <t>Combusken</t>
        </is>
      </c>
      <c r="C927" s="3" t="n">
        <v>1</v>
      </c>
      <c r="D927" s="3" t="inlineStr">
        <is>
          <t>Flamethrower</t>
        </is>
      </c>
      <c r="E927" s="3" t="inlineStr">
        <is>
          <t>MOVE_FLAMETHROWER</t>
        </is>
      </c>
    </row>
    <row r="928">
      <c r="A928" s="3" t="inlineStr">
        <is>
          <t>SPECIES_COMBUSKEN</t>
        </is>
      </c>
      <c r="B928" s="3" t="inlineStr">
        <is>
          <t>Combusken</t>
        </is>
      </c>
      <c r="C928" s="3" t="n">
        <v>1</v>
      </c>
      <c r="D928" s="3" t="inlineStr">
        <is>
          <t>Feather Dance</t>
        </is>
      </c>
      <c r="E928" s="3" t="inlineStr">
        <is>
          <t>MOVE_FEATHER_DANCE</t>
        </is>
      </c>
    </row>
    <row r="929">
      <c r="A929" s="3" t="inlineStr">
        <is>
          <t>SPECIES_COMBUSKEN</t>
        </is>
      </c>
      <c r="B929" s="3" t="inlineStr">
        <is>
          <t>Combusken</t>
        </is>
      </c>
      <c r="C929" s="3" t="n">
        <v>1</v>
      </c>
      <c r="D929" s="3" t="inlineStr">
        <is>
          <t>Scratch</t>
        </is>
      </c>
      <c r="E929" s="3" t="inlineStr">
        <is>
          <t>MOVE_SCRATCH</t>
        </is>
      </c>
    </row>
    <row r="930">
      <c r="A930" s="3" t="inlineStr">
        <is>
          <t>SPECIES_COMBUSKEN</t>
        </is>
      </c>
      <c r="B930" s="3" t="inlineStr">
        <is>
          <t>Combusken</t>
        </is>
      </c>
      <c r="C930" s="3" t="n">
        <v>1</v>
      </c>
      <c r="D930" s="3" t="inlineStr">
        <is>
          <t>Growl</t>
        </is>
      </c>
      <c r="E930" s="3" t="inlineStr">
        <is>
          <t>MOVE_GROWL</t>
        </is>
      </c>
    </row>
    <row r="931">
      <c r="A931" s="3" t="inlineStr">
        <is>
          <t>SPECIES_COMBUSKEN</t>
        </is>
      </c>
      <c r="B931" s="3" t="inlineStr">
        <is>
          <t>Combusken</t>
        </is>
      </c>
      <c r="C931" s="3" t="n">
        <v>1</v>
      </c>
      <c r="D931" s="3" t="inlineStr">
        <is>
          <t>Ember</t>
        </is>
      </c>
      <c r="E931" s="3" t="inlineStr">
        <is>
          <t>MOVE_EMBER</t>
        </is>
      </c>
    </row>
    <row r="932">
      <c r="A932" s="3" t="inlineStr">
        <is>
          <t>SPECIES_COMBUSKEN</t>
        </is>
      </c>
      <c r="B932" s="3" t="inlineStr">
        <is>
          <t>Combusken</t>
        </is>
      </c>
      <c r="C932" s="3" t="n">
        <v>1</v>
      </c>
      <c r="D932" s="3" t="inlineStr">
        <is>
          <t>Quick Attack</t>
        </is>
      </c>
      <c r="E932" s="3" t="inlineStr">
        <is>
          <t>MOVE_QUICK_ATTACK</t>
        </is>
      </c>
    </row>
    <row r="933">
      <c r="A933" s="3" t="inlineStr">
        <is>
          <t>SPECIES_COMBUSKEN</t>
        </is>
      </c>
      <c r="B933" s="3" t="inlineStr">
        <is>
          <t>Combusken</t>
        </is>
      </c>
      <c r="C933" s="3" t="n">
        <v>9</v>
      </c>
      <c r="D933" s="3" t="inlineStr">
        <is>
          <t>Flame Charge</t>
        </is>
      </c>
      <c r="E933" s="3" t="inlineStr">
        <is>
          <t>MOVE_FLAME_CHARGE</t>
        </is>
      </c>
    </row>
    <row r="934">
      <c r="A934" s="3" t="inlineStr">
        <is>
          <t>SPECIES_COMBUSKEN</t>
        </is>
      </c>
      <c r="B934" s="3" t="inlineStr">
        <is>
          <t>Combusken</t>
        </is>
      </c>
      <c r="C934" s="3" t="n">
        <v>12</v>
      </c>
      <c r="D934" s="3" t="inlineStr">
        <is>
          <t>Detect</t>
        </is>
      </c>
      <c r="E934" s="3" t="inlineStr">
        <is>
          <t>MOVE_DETECT</t>
        </is>
      </c>
    </row>
    <row r="935">
      <c r="A935" s="3" t="inlineStr">
        <is>
          <t>SPECIES_COMBUSKEN</t>
        </is>
      </c>
      <c r="B935" s="3" t="inlineStr">
        <is>
          <t>Combusken</t>
        </is>
      </c>
      <c r="C935" s="3" t="n">
        <v>15</v>
      </c>
      <c r="D935" s="3" t="inlineStr">
        <is>
          <t>Sand Attack</t>
        </is>
      </c>
      <c r="E935" s="3" t="inlineStr">
        <is>
          <t>MOVE_SAND_ATTACK</t>
        </is>
      </c>
    </row>
    <row r="936">
      <c r="A936" s="3" t="inlineStr">
        <is>
          <t>SPECIES_COMBUSKEN</t>
        </is>
      </c>
      <c r="B936" s="3" t="inlineStr">
        <is>
          <t>Combusken</t>
        </is>
      </c>
      <c r="C936" s="3" t="n">
        <v>20</v>
      </c>
      <c r="D936" s="3" t="inlineStr">
        <is>
          <t>Aerial Ace</t>
        </is>
      </c>
      <c r="E936" s="3" t="inlineStr">
        <is>
          <t>MOVE_AERIAL_ACE</t>
        </is>
      </c>
    </row>
    <row r="937">
      <c r="A937" s="3" t="inlineStr">
        <is>
          <t>SPECIES_COMBUSKEN</t>
        </is>
      </c>
      <c r="B937" s="3" t="inlineStr">
        <is>
          <t>Combusken</t>
        </is>
      </c>
      <c r="C937" s="3" t="n">
        <v>25</v>
      </c>
      <c r="D937" s="3" t="inlineStr">
        <is>
          <t>Slash</t>
        </is>
      </c>
      <c r="E937" s="3" t="inlineStr">
        <is>
          <t>MOVE_SLASH</t>
        </is>
      </c>
    </row>
    <row r="938">
      <c r="A938" s="3" t="inlineStr">
        <is>
          <t>SPECIES_COMBUSKEN</t>
        </is>
      </c>
      <c r="B938" s="3" t="inlineStr">
        <is>
          <t>Combusken</t>
        </is>
      </c>
      <c r="C938" s="3" t="n">
        <v>30</v>
      </c>
      <c r="D938" s="3" t="inlineStr">
        <is>
          <t>Bounce</t>
        </is>
      </c>
      <c r="E938" s="3" t="inlineStr">
        <is>
          <t>MOVE_BOUNCE</t>
        </is>
      </c>
    </row>
    <row r="939">
      <c r="A939" s="3" t="inlineStr">
        <is>
          <t>SPECIES_COMBUSKEN</t>
        </is>
      </c>
      <c r="B939" s="3" t="inlineStr">
        <is>
          <t>Combusken</t>
        </is>
      </c>
      <c r="C939" s="3" t="n">
        <v>35</v>
      </c>
      <c r="D939" s="3" t="inlineStr">
        <is>
          <t>Focus Energy</t>
        </is>
      </c>
      <c r="E939" s="3" t="inlineStr">
        <is>
          <t>MOVE_FOCUS_ENERGY</t>
        </is>
      </c>
    </row>
    <row r="940">
      <c r="A940" s="3" t="inlineStr">
        <is>
          <t>SPECIES_COMBUSKEN</t>
        </is>
      </c>
      <c r="B940" s="3" t="inlineStr">
        <is>
          <t>Combusken</t>
        </is>
      </c>
      <c r="C940" s="3" t="n">
        <v>40</v>
      </c>
      <c r="D940" s="3" t="inlineStr">
        <is>
          <t>Blaze Kick</t>
        </is>
      </c>
      <c r="E940" s="3" t="inlineStr">
        <is>
          <t>MOVE_BLAZE_KICK</t>
        </is>
      </c>
    </row>
    <row r="941">
      <c r="A941" s="3" t="inlineStr">
        <is>
          <t>SPECIES_COMBUSKEN</t>
        </is>
      </c>
      <c r="B941" s="3" t="inlineStr">
        <is>
          <t>Combusken</t>
        </is>
      </c>
      <c r="C941" s="3" t="n">
        <v>45</v>
      </c>
      <c r="D941" s="3" t="inlineStr">
        <is>
          <t>Bulk Up</t>
        </is>
      </c>
      <c r="E941" s="3" t="inlineStr">
        <is>
          <t>MOVE_BULK_UP</t>
        </is>
      </c>
    </row>
    <row r="942">
      <c r="A942" s="3" t="inlineStr">
        <is>
          <t>SPECIES_COMBUSKEN</t>
        </is>
      </c>
      <c r="B942" s="3" t="inlineStr">
        <is>
          <t>Combusken</t>
        </is>
      </c>
      <c r="C942" s="3" t="n">
        <v>50</v>
      </c>
      <c r="D942" s="3" t="inlineStr">
        <is>
          <t>Reversal</t>
        </is>
      </c>
      <c r="E942" s="3" t="inlineStr">
        <is>
          <t>MOVE_REVERSAL</t>
        </is>
      </c>
    </row>
    <row r="943">
      <c r="A943" s="3" t="inlineStr">
        <is>
          <t>SPECIES_COMBUSKEN</t>
        </is>
      </c>
      <c r="B943" s="3" t="inlineStr">
        <is>
          <t>Combusken</t>
        </is>
      </c>
      <c r="C943" s="3" t="n">
        <v>55</v>
      </c>
      <c r="D943" s="3" t="inlineStr">
        <is>
          <t>Flare Blitz</t>
        </is>
      </c>
      <c r="E943" s="3" t="inlineStr">
        <is>
          <t>MOVE_FLARE_BLITZ</t>
        </is>
      </c>
    </row>
    <row r="944">
      <c r="A944" s="3" t="inlineStr">
        <is>
          <t>SPECIES_BLAZIKEN</t>
        </is>
      </c>
      <c r="B944" s="3" t="inlineStr">
        <is>
          <t>Blaziken</t>
        </is>
      </c>
      <c r="C944" s="3" t="n">
        <v>0</v>
      </c>
      <c r="D944" s="3" t="inlineStr">
        <is>
          <t>Blaze Kick</t>
        </is>
      </c>
      <c r="E944" s="3" t="inlineStr">
        <is>
          <t>MOVE_BLAZE_KICK</t>
        </is>
      </c>
    </row>
    <row r="945">
      <c r="A945" s="3" t="inlineStr">
        <is>
          <t>SPECIES_BLAZIKEN</t>
        </is>
      </c>
      <c r="B945" s="3" t="inlineStr">
        <is>
          <t>Blaziken</t>
        </is>
      </c>
      <c r="C945" s="3" t="n">
        <v>1</v>
      </c>
      <c r="D945" s="3" t="inlineStr">
        <is>
          <t>Fire Punch</t>
        </is>
      </c>
      <c r="E945" s="3" t="inlineStr">
        <is>
          <t>MOVE_FIRE_PUNCH</t>
        </is>
      </c>
    </row>
    <row r="946">
      <c r="A946" s="3" t="inlineStr">
        <is>
          <t>SPECIES_BLAZIKEN</t>
        </is>
      </c>
      <c r="B946" s="3" t="inlineStr">
        <is>
          <t>Blaziken</t>
        </is>
      </c>
      <c r="C946" s="3" t="n">
        <v>1</v>
      </c>
      <c r="D946" s="3" t="inlineStr">
        <is>
          <t>Ember</t>
        </is>
      </c>
      <c r="E946" s="3" t="inlineStr">
        <is>
          <t>MOVE_EMBER</t>
        </is>
      </c>
    </row>
    <row r="947">
      <c r="A947" s="3" t="inlineStr">
        <is>
          <t>SPECIES_BLAZIKEN</t>
        </is>
      </c>
      <c r="B947" s="3" t="inlineStr">
        <is>
          <t>Blaziken</t>
        </is>
      </c>
      <c r="C947" s="3" t="n">
        <v>1</v>
      </c>
      <c r="D947" s="3" t="inlineStr">
        <is>
          <t>Flamethrower</t>
        </is>
      </c>
      <c r="E947" s="3" t="inlineStr">
        <is>
          <t>MOVE_FLAMETHROWER</t>
        </is>
      </c>
    </row>
    <row r="948">
      <c r="A948" s="3" t="inlineStr">
        <is>
          <t>SPECIES_BLAZIKEN</t>
        </is>
      </c>
      <c r="B948" s="3" t="inlineStr">
        <is>
          <t>Blaziken</t>
        </is>
      </c>
      <c r="C948" s="3" t="n">
        <v>1</v>
      </c>
      <c r="D948" s="3" t="inlineStr">
        <is>
          <t>Feather Dance</t>
        </is>
      </c>
      <c r="E948" s="3" t="inlineStr">
        <is>
          <t>MOVE_FEATHER_DANCE</t>
        </is>
      </c>
    </row>
    <row r="949">
      <c r="A949" s="3" t="inlineStr">
        <is>
          <t>SPECIES_BLAZIKEN</t>
        </is>
      </c>
      <c r="B949" s="3" t="inlineStr">
        <is>
          <t>Blaziken</t>
        </is>
      </c>
      <c r="C949" s="3" t="n">
        <v>1</v>
      </c>
      <c r="D949" s="3" t="inlineStr">
        <is>
          <t>Scratch</t>
        </is>
      </c>
      <c r="E949" s="3" t="inlineStr">
        <is>
          <t>MOVE_SCRATCH</t>
        </is>
      </c>
    </row>
    <row r="950">
      <c r="A950" s="3" t="inlineStr">
        <is>
          <t>SPECIES_BLAZIKEN</t>
        </is>
      </c>
      <c r="B950" s="3" t="inlineStr">
        <is>
          <t>Blaziken</t>
        </is>
      </c>
      <c r="C950" s="3" t="n">
        <v>1</v>
      </c>
      <c r="D950" s="3" t="inlineStr">
        <is>
          <t>Double Kick</t>
        </is>
      </c>
      <c r="E950" s="3" t="inlineStr">
        <is>
          <t>MOVE_DOUBLE_KICK</t>
        </is>
      </c>
    </row>
    <row r="951">
      <c r="A951" s="3" t="inlineStr">
        <is>
          <t>SPECIES_BLAZIKEN</t>
        </is>
      </c>
      <c r="B951" s="3" t="inlineStr">
        <is>
          <t>Blaziken</t>
        </is>
      </c>
      <c r="C951" s="3" t="n">
        <v>1</v>
      </c>
      <c r="D951" s="3" t="inlineStr">
        <is>
          <t>Growl</t>
        </is>
      </c>
      <c r="E951" s="3" t="inlineStr">
        <is>
          <t>MOVE_GROWL</t>
        </is>
      </c>
    </row>
    <row r="952">
      <c r="A952" s="3" t="inlineStr">
        <is>
          <t>SPECIES_BLAZIKEN</t>
        </is>
      </c>
      <c r="B952" s="3" t="inlineStr">
        <is>
          <t>Blaziken</t>
        </is>
      </c>
      <c r="C952" s="3" t="n">
        <v>1</v>
      </c>
      <c r="D952" s="3" t="inlineStr">
        <is>
          <t>Quick Attack</t>
        </is>
      </c>
      <c r="E952" s="3" t="inlineStr">
        <is>
          <t>MOVE_QUICK_ATTACK</t>
        </is>
      </c>
    </row>
    <row r="953">
      <c r="A953" s="3" t="inlineStr">
        <is>
          <t>SPECIES_BLAZIKEN</t>
        </is>
      </c>
      <c r="B953" s="3" t="inlineStr">
        <is>
          <t>Blaziken</t>
        </is>
      </c>
      <c r="C953" s="3" t="n">
        <v>9</v>
      </c>
      <c r="D953" s="3" t="inlineStr">
        <is>
          <t>Flame Charge</t>
        </is>
      </c>
      <c r="E953" s="3" t="inlineStr">
        <is>
          <t>MOVE_FLAME_CHARGE</t>
        </is>
      </c>
    </row>
    <row r="954">
      <c r="A954" s="3" t="inlineStr">
        <is>
          <t>SPECIES_BLAZIKEN</t>
        </is>
      </c>
      <c r="B954" s="3" t="inlineStr">
        <is>
          <t>Blaziken</t>
        </is>
      </c>
      <c r="C954" s="3" t="n">
        <v>12</v>
      </c>
      <c r="D954" s="3" t="inlineStr">
        <is>
          <t>Detect</t>
        </is>
      </c>
      <c r="E954" s="3" t="inlineStr">
        <is>
          <t>MOVE_DETECT</t>
        </is>
      </c>
    </row>
    <row r="955">
      <c r="A955" s="3" t="inlineStr">
        <is>
          <t>SPECIES_BLAZIKEN</t>
        </is>
      </c>
      <c r="B955" s="3" t="inlineStr">
        <is>
          <t>Blaziken</t>
        </is>
      </c>
      <c r="C955" s="3" t="n">
        <v>15</v>
      </c>
      <c r="D955" s="3" t="inlineStr">
        <is>
          <t>Sand Attack</t>
        </is>
      </c>
      <c r="E955" s="3" t="inlineStr">
        <is>
          <t>MOVE_SAND_ATTACK</t>
        </is>
      </c>
    </row>
    <row r="956">
      <c r="A956" s="3" t="inlineStr">
        <is>
          <t>SPECIES_BLAZIKEN</t>
        </is>
      </c>
      <c r="B956" s="3" t="inlineStr">
        <is>
          <t>Blaziken</t>
        </is>
      </c>
      <c r="C956" s="3" t="n">
        <v>20</v>
      </c>
      <c r="D956" s="3" t="inlineStr">
        <is>
          <t>Aerial Ace</t>
        </is>
      </c>
      <c r="E956" s="3" t="inlineStr">
        <is>
          <t>MOVE_AERIAL_ACE</t>
        </is>
      </c>
    </row>
    <row r="957">
      <c r="A957" s="3" t="inlineStr">
        <is>
          <t>SPECIES_BLAZIKEN</t>
        </is>
      </c>
      <c r="B957" s="3" t="inlineStr">
        <is>
          <t>Blaziken</t>
        </is>
      </c>
      <c r="C957" s="3" t="n">
        <v>25</v>
      </c>
      <c r="D957" s="3" t="inlineStr">
        <is>
          <t>Slash</t>
        </is>
      </c>
      <c r="E957" s="3" t="inlineStr">
        <is>
          <t>MOVE_SLASH</t>
        </is>
      </c>
    </row>
    <row r="958">
      <c r="A958" s="3" t="inlineStr">
        <is>
          <t>SPECIES_BLAZIKEN</t>
        </is>
      </c>
      <c r="B958" s="3" t="inlineStr">
        <is>
          <t>Blaziken</t>
        </is>
      </c>
      <c r="C958" s="3" t="n">
        <v>30</v>
      </c>
      <c r="D958" s="3" t="inlineStr">
        <is>
          <t>Bounce</t>
        </is>
      </c>
      <c r="E958" s="3" t="inlineStr">
        <is>
          <t>MOVE_BOUNCE</t>
        </is>
      </c>
    </row>
    <row r="959">
      <c r="A959" s="3" t="inlineStr">
        <is>
          <t>SPECIES_BLAZIKEN</t>
        </is>
      </c>
      <c r="B959" s="3" t="inlineStr">
        <is>
          <t>Blaziken</t>
        </is>
      </c>
      <c r="C959" s="3" t="n">
        <v>35</v>
      </c>
      <c r="D959" s="3" t="inlineStr">
        <is>
          <t>Focus Energy</t>
        </is>
      </c>
      <c r="E959" s="3" t="inlineStr">
        <is>
          <t>MOVE_FOCUS_ENERGY</t>
        </is>
      </c>
    </row>
    <row r="960">
      <c r="A960" s="3" t="inlineStr">
        <is>
          <t>SPECIES_BLAZIKEN</t>
        </is>
      </c>
      <c r="B960" s="3" t="inlineStr">
        <is>
          <t>Blaziken</t>
        </is>
      </c>
      <c r="C960" s="3" t="n">
        <v>42</v>
      </c>
      <c r="D960" s="3" t="inlineStr">
        <is>
          <t>Bulk Up</t>
        </is>
      </c>
      <c r="E960" s="3" t="inlineStr">
        <is>
          <t>MOVE_BULK_UP</t>
        </is>
      </c>
    </row>
    <row r="961">
      <c r="A961" s="3" t="inlineStr">
        <is>
          <t>SPECIES_BLAZIKEN</t>
        </is>
      </c>
      <c r="B961" s="3" t="inlineStr">
        <is>
          <t>Blaziken</t>
        </is>
      </c>
      <c r="C961" s="3" t="n">
        <v>49</v>
      </c>
      <c r="D961" s="3" t="inlineStr">
        <is>
          <t>Reversal</t>
        </is>
      </c>
      <c r="E961" s="3" t="inlineStr">
        <is>
          <t>MOVE_REVERSAL</t>
        </is>
      </c>
    </row>
    <row r="962">
      <c r="A962" s="3" t="inlineStr">
        <is>
          <t>SPECIES_BLAZIKEN</t>
        </is>
      </c>
      <c r="B962" s="3" t="inlineStr">
        <is>
          <t>Blaziken</t>
        </is>
      </c>
      <c r="C962" s="3" t="n">
        <v>56</v>
      </c>
      <c r="D962" s="3" t="inlineStr">
        <is>
          <t>Flare Blitz</t>
        </is>
      </c>
      <c r="E962" s="3" t="inlineStr">
        <is>
          <t>MOVE_FLARE_BLITZ</t>
        </is>
      </c>
    </row>
    <row r="963">
      <c r="A963" s="3" t="inlineStr">
        <is>
          <t>SPECIES_BLAZIKEN</t>
        </is>
      </c>
      <c r="B963" s="3" t="inlineStr">
        <is>
          <t>Blaziken</t>
        </is>
      </c>
      <c r="C963" s="3" t="n">
        <v>63</v>
      </c>
      <c r="D963" s="3" t="inlineStr">
        <is>
          <t>Brave Bird</t>
        </is>
      </c>
      <c r="E963" s="3" t="inlineStr">
        <is>
          <t>MOVE_BRAVE_BIRD</t>
        </is>
      </c>
    </row>
    <row r="964">
      <c r="A964" s="3" t="inlineStr">
        <is>
          <t>SPECIES_MUDKIP</t>
        </is>
      </c>
      <c r="B964" s="3" t="inlineStr">
        <is>
          <t>Mudkip</t>
        </is>
      </c>
      <c r="C964" s="3" t="n">
        <v>1</v>
      </c>
      <c r="D964" s="3" t="inlineStr">
        <is>
          <t>Tackle</t>
        </is>
      </c>
      <c r="E964" s="3" t="inlineStr">
        <is>
          <t>MOVE_TACKLE</t>
        </is>
      </c>
    </row>
    <row r="965">
      <c r="A965" s="3" t="inlineStr">
        <is>
          <t>SPECIES_MUDKIP</t>
        </is>
      </c>
      <c r="B965" s="3" t="inlineStr">
        <is>
          <t>Mudkip</t>
        </is>
      </c>
      <c r="C965" s="3" t="n">
        <v>1</v>
      </c>
      <c r="D965" s="3" t="inlineStr">
        <is>
          <t>Growl</t>
        </is>
      </c>
      <c r="E965" s="3" t="inlineStr">
        <is>
          <t>MOVE_GROWL</t>
        </is>
      </c>
    </row>
    <row r="966">
      <c r="A966" s="3" t="inlineStr">
        <is>
          <t>SPECIES_MUDKIP</t>
        </is>
      </c>
      <c r="B966" s="3" t="inlineStr">
        <is>
          <t>Mudkip</t>
        </is>
      </c>
      <c r="C966" s="3" t="n">
        <v>3</v>
      </c>
      <c r="D966" s="3" t="inlineStr">
        <is>
          <t>Water Gun</t>
        </is>
      </c>
      <c r="E966" s="3" t="inlineStr">
        <is>
          <t>MOVE_WATER_GUN</t>
        </is>
      </c>
    </row>
    <row r="967">
      <c r="A967" s="3" t="inlineStr">
        <is>
          <t>SPECIES_MUDKIP</t>
        </is>
      </c>
      <c r="B967" s="3" t="inlineStr">
        <is>
          <t>Mudkip</t>
        </is>
      </c>
      <c r="C967" s="3" t="n">
        <v>6</v>
      </c>
      <c r="D967" s="3" t="inlineStr">
        <is>
          <t>Rock Smash</t>
        </is>
      </c>
      <c r="E967" s="3" t="inlineStr">
        <is>
          <t>MOVE_ROCK_SMASH</t>
        </is>
      </c>
    </row>
    <row r="968">
      <c r="A968" s="3" t="inlineStr">
        <is>
          <t>SPECIES_MUDKIP</t>
        </is>
      </c>
      <c r="B968" s="3" t="inlineStr">
        <is>
          <t>Mudkip</t>
        </is>
      </c>
      <c r="C968" s="3" t="n">
        <v>9</v>
      </c>
      <c r="D968" s="3" t="inlineStr">
        <is>
          <t>Rock Throw</t>
        </is>
      </c>
      <c r="E968" s="3" t="inlineStr">
        <is>
          <t>MOVE_ROCK_THROW</t>
        </is>
      </c>
    </row>
    <row r="969">
      <c r="A969" s="3" t="inlineStr">
        <is>
          <t>SPECIES_MUDKIP</t>
        </is>
      </c>
      <c r="B969" s="3" t="inlineStr">
        <is>
          <t>Mudkip</t>
        </is>
      </c>
      <c r="C969" s="3" t="n">
        <v>12</v>
      </c>
      <c r="D969" s="3" t="inlineStr">
        <is>
          <t>Protect</t>
        </is>
      </c>
      <c r="E969" s="3" t="inlineStr">
        <is>
          <t>MOVE_PROTECT</t>
        </is>
      </c>
    </row>
    <row r="970">
      <c r="A970" s="3" t="inlineStr">
        <is>
          <t>SPECIES_MUDKIP</t>
        </is>
      </c>
      <c r="B970" s="3" t="inlineStr">
        <is>
          <t>Mudkip</t>
        </is>
      </c>
      <c r="C970" s="3" t="n">
        <v>15</v>
      </c>
      <c r="D970" s="3" t="inlineStr">
        <is>
          <t>Supersonic</t>
        </is>
      </c>
      <c r="E970" s="3" t="inlineStr">
        <is>
          <t>MOVE_SUPERSONIC</t>
        </is>
      </c>
    </row>
    <row r="971">
      <c r="A971" s="3" t="inlineStr">
        <is>
          <t>SPECIES_MUDKIP</t>
        </is>
      </c>
      <c r="B971" s="3" t="inlineStr">
        <is>
          <t>Mudkip</t>
        </is>
      </c>
      <c r="C971" s="3" t="n">
        <v>18</v>
      </c>
      <c r="D971" s="3" t="inlineStr">
        <is>
          <t>Water Pulse</t>
        </is>
      </c>
      <c r="E971" s="3" t="inlineStr">
        <is>
          <t>MOVE_WATER_PULSE</t>
        </is>
      </c>
    </row>
    <row r="972">
      <c r="A972" s="3" t="inlineStr">
        <is>
          <t>SPECIES_MUDKIP</t>
        </is>
      </c>
      <c r="B972" s="3" t="inlineStr">
        <is>
          <t>Mudkip</t>
        </is>
      </c>
      <c r="C972" s="3" t="n">
        <v>21</v>
      </c>
      <c r="D972" s="3" t="inlineStr">
        <is>
          <t>Rock Slide</t>
        </is>
      </c>
      <c r="E972" s="3" t="inlineStr">
        <is>
          <t>MOVE_ROCK_SLIDE</t>
        </is>
      </c>
    </row>
    <row r="973">
      <c r="A973" s="3" t="inlineStr">
        <is>
          <t>SPECIES_MUDKIP</t>
        </is>
      </c>
      <c r="B973" s="3" t="inlineStr">
        <is>
          <t>Mudkip</t>
        </is>
      </c>
      <c r="C973" s="3" t="n">
        <v>24</v>
      </c>
      <c r="D973" s="3" t="inlineStr">
        <is>
          <t>Take Down</t>
        </is>
      </c>
      <c r="E973" s="3" t="inlineStr">
        <is>
          <t>MOVE_TAKE_DOWN</t>
        </is>
      </c>
    </row>
    <row r="974">
      <c r="A974" s="3" t="inlineStr">
        <is>
          <t>SPECIES_MUDKIP</t>
        </is>
      </c>
      <c r="B974" s="3" t="inlineStr">
        <is>
          <t>Mudkip</t>
        </is>
      </c>
      <c r="C974" s="3" t="n">
        <v>27</v>
      </c>
      <c r="D974" s="3" t="inlineStr">
        <is>
          <t>Amnesia</t>
        </is>
      </c>
      <c r="E974" s="3" t="inlineStr">
        <is>
          <t>MOVE_AMNESIA</t>
        </is>
      </c>
    </row>
    <row r="975">
      <c r="A975" s="3" t="inlineStr">
        <is>
          <t>SPECIES_MUDKIP</t>
        </is>
      </c>
      <c r="B975" s="3" t="inlineStr">
        <is>
          <t>Mudkip</t>
        </is>
      </c>
      <c r="C975" s="3" t="n">
        <v>30</v>
      </c>
      <c r="D975" s="3" t="inlineStr">
        <is>
          <t>Surf</t>
        </is>
      </c>
      <c r="E975" s="3" t="inlineStr">
        <is>
          <t>MOVE_SURF</t>
        </is>
      </c>
    </row>
    <row r="976">
      <c r="A976" s="3" t="inlineStr">
        <is>
          <t>SPECIES_MUDKIP</t>
        </is>
      </c>
      <c r="B976" s="3" t="inlineStr">
        <is>
          <t>Mudkip</t>
        </is>
      </c>
      <c r="C976" s="3" t="n">
        <v>33</v>
      </c>
      <c r="D976" s="3" t="inlineStr">
        <is>
          <t>Screech</t>
        </is>
      </c>
      <c r="E976" s="3" t="inlineStr">
        <is>
          <t>MOVE_SCREECH</t>
        </is>
      </c>
    </row>
    <row r="977">
      <c r="A977" s="3" t="inlineStr">
        <is>
          <t>SPECIES_MUDKIP</t>
        </is>
      </c>
      <c r="B977" s="3" t="inlineStr">
        <is>
          <t>Mudkip</t>
        </is>
      </c>
      <c r="C977" s="3" t="n">
        <v>36</v>
      </c>
      <c r="D977" s="3" t="inlineStr">
        <is>
          <t>Endeavor</t>
        </is>
      </c>
      <c r="E977" s="3" t="inlineStr">
        <is>
          <t>MOVE_ENDEAVOR</t>
        </is>
      </c>
    </row>
    <row r="978">
      <c r="A978" s="3" t="inlineStr">
        <is>
          <t>SPECIES_MUDKIP</t>
        </is>
      </c>
      <c r="B978" s="3" t="inlineStr">
        <is>
          <t>Mudkip</t>
        </is>
      </c>
      <c r="C978" s="3" t="n">
        <v>39</v>
      </c>
      <c r="D978" s="3" t="inlineStr">
        <is>
          <t>Hydro Pump</t>
        </is>
      </c>
      <c r="E978" s="3" t="inlineStr">
        <is>
          <t>MOVE_HYDRO_PUMP</t>
        </is>
      </c>
    </row>
    <row r="979">
      <c r="A979" s="3" t="inlineStr">
        <is>
          <t>SPECIES_MARSHTOMP</t>
        </is>
      </c>
      <c r="B979" s="3" t="inlineStr">
        <is>
          <t>Marshtomp</t>
        </is>
      </c>
      <c r="C979" s="3" t="n">
        <v>0</v>
      </c>
      <c r="D979" s="3" t="inlineStr">
        <is>
          <t>Mud Shot</t>
        </is>
      </c>
      <c r="E979" s="3" t="inlineStr">
        <is>
          <t>MOVE_MUD_SHOT</t>
        </is>
      </c>
    </row>
    <row r="980">
      <c r="A980" s="3" t="inlineStr">
        <is>
          <t>SPECIES_MARSHTOMP</t>
        </is>
      </c>
      <c r="B980" s="3" t="inlineStr">
        <is>
          <t>Marshtomp</t>
        </is>
      </c>
      <c r="C980" s="3" t="n">
        <v>1</v>
      </c>
      <c r="D980" s="3" t="inlineStr">
        <is>
          <t>Rock Smash</t>
        </is>
      </c>
      <c r="E980" s="3" t="inlineStr">
        <is>
          <t>MOVE_ROCK_SMASH</t>
        </is>
      </c>
    </row>
    <row r="981">
      <c r="A981" s="3" t="inlineStr">
        <is>
          <t>SPECIES_MARSHTOMP</t>
        </is>
      </c>
      <c r="B981" s="3" t="inlineStr">
        <is>
          <t>Marshtomp</t>
        </is>
      </c>
      <c r="C981" s="3" t="n">
        <v>1</v>
      </c>
      <c r="D981" s="3" t="inlineStr">
        <is>
          <t>Tackle</t>
        </is>
      </c>
      <c r="E981" s="3" t="inlineStr">
        <is>
          <t>MOVE_TACKLE</t>
        </is>
      </c>
    </row>
    <row r="982">
      <c r="A982" s="3" t="inlineStr">
        <is>
          <t>SPECIES_MARSHTOMP</t>
        </is>
      </c>
      <c r="B982" s="3" t="inlineStr">
        <is>
          <t>Marshtomp</t>
        </is>
      </c>
      <c r="C982" s="3" t="n">
        <v>1</v>
      </c>
      <c r="D982" s="3" t="inlineStr">
        <is>
          <t>Growl</t>
        </is>
      </c>
      <c r="E982" s="3" t="inlineStr">
        <is>
          <t>MOVE_GROWL</t>
        </is>
      </c>
    </row>
    <row r="983">
      <c r="A983" s="3" t="inlineStr">
        <is>
          <t>SPECIES_MARSHTOMP</t>
        </is>
      </c>
      <c r="B983" s="3" t="inlineStr">
        <is>
          <t>Marshtomp</t>
        </is>
      </c>
      <c r="C983" s="3" t="n">
        <v>1</v>
      </c>
      <c r="D983" s="3" t="inlineStr">
        <is>
          <t>Water Gun</t>
        </is>
      </c>
      <c r="E983" s="3" t="inlineStr">
        <is>
          <t>MOVE_WATER_GUN</t>
        </is>
      </c>
    </row>
    <row r="984">
      <c r="A984" s="3" t="inlineStr">
        <is>
          <t>SPECIES_MARSHTOMP</t>
        </is>
      </c>
      <c r="B984" s="3" t="inlineStr">
        <is>
          <t>Marshtomp</t>
        </is>
      </c>
      <c r="C984" s="3" t="n">
        <v>9</v>
      </c>
      <c r="D984" s="3" t="inlineStr">
        <is>
          <t>Rock Throw</t>
        </is>
      </c>
      <c r="E984" s="3" t="inlineStr">
        <is>
          <t>MOVE_ROCK_THROW</t>
        </is>
      </c>
    </row>
    <row r="985">
      <c r="A985" s="3" t="inlineStr">
        <is>
          <t>SPECIES_MARSHTOMP</t>
        </is>
      </c>
      <c r="B985" s="3" t="inlineStr">
        <is>
          <t>Marshtomp</t>
        </is>
      </c>
      <c r="C985" s="3" t="n">
        <v>12</v>
      </c>
      <c r="D985" s="3" t="inlineStr">
        <is>
          <t>Protect</t>
        </is>
      </c>
      <c r="E985" s="3" t="inlineStr">
        <is>
          <t>MOVE_PROTECT</t>
        </is>
      </c>
    </row>
    <row r="986">
      <c r="A986" s="3" t="inlineStr">
        <is>
          <t>SPECIES_MARSHTOMP</t>
        </is>
      </c>
      <c r="B986" s="3" t="inlineStr">
        <is>
          <t>Marshtomp</t>
        </is>
      </c>
      <c r="C986" s="3" t="n">
        <v>15</v>
      </c>
      <c r="D986" s="3" t="inlineStr">
        <is>
          <t>Supersonic</t>
        </is>
      </c>
      <c r="E986" s="3" t="inlineStr">
        <is>
          <t>MOVE_SUPERSONIC</t>
        </is>
      </c>
    </row>
    <row r="987">
      <c r="A987" s="3" t="inlineStr">
        <is>
          <t>SPECIES_MARSHTOMP</t>
        </is>
      </c>
      <c r="B987" s="3" t="inlineStr">
        <is>
          <t>Marshtomp</t>
        </is>
      </c>
      <c r="C987" s="3" t="n">
        <v>20</v>
      </c>
      <c r="D987" s="3" t="inlineStr">
        <is>
          <t>Water Pulse</t>
        </is>
      </c>
      <c r="E987" s="3" t="inlineStr">
        <is>
          <t>MOVE_WATER_PULSE</t>
        </is>
      </c>
    </row>
    <row r="988">
      <c r="A988" s="3" t="inlineStr">
        <is>
          <t>SPECIES_MARSHTOMP</t>
        </is>
      </c>
      <c r="B988" s="3" t="inlineStr">
        <is>
          <t>Marshtomp</t>
        </is>
      </c>
      <c r="C988" s="3" t="n">
        <v>25</v>
      </c>
      <c r="D988" s="3" t="inlineStr">
        <is>
          <t>Rock Slide</t>
        </is>
      </c>
      <c r="E988" s="3" t="inlineStr">
        <is>
          <t>MOVE_ROCK_SLIDE</t>
        </is>
      </c>
    </row>
    <row r="989">
      <c r="A989" s="3" t="inlineStr">
        <is>
          <t>SPECIES_MARSHTOMP</t>
        </is>
      </c>
      <c r="B989" s="3" t="inlineStr">
        <is>
          <t>Marshtomp</t>
        </is>
      </c>
      <c r="C989" s="3" t="n">
        <v>30</v>
      </c>
      <c r="D989" s="3" t="inlineStr">
        <is>
          <t>Take Down</t>
        </is>
      </c>
      <c r="E989" s="3" t="inlineStr">
        <is>
          <t>MOVE_TAKE_DOWN</t>
        </is>
      </c>
    </row>
    <row r="990">
      <c r="A990" s="3" t="inlineStr">
        <is>
          <t>SPECIES_MARSHTOMP</t>
        </is>
      </c>
      <c r="B990" s="3" t="inlineStr">
        <is>
          <t>Marshtomp</t>
        </is>
      </c>
      <c r="C990" s="3" t="n">
        <v>35</v>
      </c>
      <c r="D990" s="3" t="inlineStr">
        <is>
          <t>Amnesia</t>
        </is>
      </c>
      <c r="E990" s="3" t="inlineStr">
        <is>
          <t>MOVE_AMNESIA</t>
        </is>
      </c>
    </row>
    <row r="991">
      <c r="A991" s="3" t="inlineStr">
        <is>
          <t>SPECIES_MARSHTOMP</t>
        </is>
      </c>
      <c r="B991" s="3" t="inlineStr">
        <is>
          <t>Marshtomp</t>
        </is>
      </c>
      <c r="C991" s="3" t="n">
        <v>40</v>
      </c>
      <c r="D991" s="3" t="inlineStr">
        <is>
          <t>Muddy Water</t>
        </is>
      </c>
      <c r="E991" s="3" t="inlineStr">
        <is>
          <t>MOVE_MUDDY_WATER</t>
        </is>
      </c>
    </row>
    <row r="992">
      <c r="A992" s="3" t="inlineStr">
        <is>
          <t>SPECIES_MARSHTOMP</t>
        </is>
      </c>
      <c r="B992" s="3" t="inlineStr">
        <is>
          <t>Marshtomp</t>
        </is>
      </c>
      <c r="C992" s="3" t="n">
        <v>45</v>
      </c>
      <c r="D992" s="3" t="inlineStr">
        <is>
          <t>Screech</t>
        </is>
      </c>
      <c r="E992" s="3" t="inlineStr">
        <is>
          <t>MOVE_SCREECH</t>
        </is>
      </c>
    </row>
    <row r="993">
      <c r="A993" s="3" t="inlineStr">
        <is>
          <t>SPECIES_MARSHTOMP</t>
        </is>
      </c>
      <c r="B993" s="3" t="inlineStr">
        <is>
          <t>Marshtomp</t>
        </is>
      </c>
      <c r="C993" s="3" t="n">
        <v>50</v>
      </c>
      <c r="D993" s="3" t="inlineStr">
        <is>
          <t>Endeavor</t>
        </is>
      </c>
      <c r="E993" s="3" t="inlineStr">
        <is>
          <t>MOVE_ENDEAVOR</t>
        </is>
      </c>
    </row>
    <row r="994">
      <c r="A994" s="3" t="inlineStr">
        <is>
          <t>SPECIES_MARSHTOMP</t>
        </is>
      </c>
      <c r="B994" s="3" t="inlineStr">
        <is>
          <t>Marshtomp</t>
        </is>
      </c>
      <c r="C994" s="3" t="n">
        <v>55</v>
      </c>
      <c r="D994" s="3" t="inlineStr">
        <is>
          <t>Hydro Pump</t>
        </is>
      </c>
      <c r="E994" s="3" t="inlineStr">
        <is>
          <t>MOVE_HYDRO_PUMP</t>
        </is>
      </c>
    </row>
    <row r="995">
      <c r="A995" s="3" t="inlineStr">
        <is>
          <t>SPECIES_SWAMPERT</t>
        </is>
      </c>
      <c r="B995" s="3" t="inlineStr">
        <is>
          <t>Swampert</t>
        </is>
      </c>
      <c r="C995" s="3" t="n">
        <v>1</v>
      </c>
      <c r="D995" s="3" t="inlineStr">
        <is>
          <t>Surf</t>
        </is>
      </c>
      <c r="E995" s="3" t="inlineStr">
        <is>
          <t>MOVE_SURF</t>
        </is>
      </c>
    </row>
    <row r="996">
      <c r="A996" s="3" t="inlineStr">
        <is>
          <t>SPECIES_SWAMPERT</t>
        </is>
      </c>
      <c r="B996" s="3" t="inlineStr">
        <is>
          <t>Swampert</t>
        </is>
      </c>
      <c r="C996" s="3" t="n">
        <v>1</v>
      </c>
      <c r="D996" s="3" t="inlineStr">
        <is>
          <t>Earthquake</t>
        </is>
      </c>
      <c r="E996" s="3" t="inlineStr">
        <is>
          <t>MOVE_EARTHQUAKE</t>
        </is>
      </c>
    </row>
    <row r="997">
      <c r="A997" s="3" t="inlineStr">
        <is>
          <t>SPECIES_SWAMPERT</t>
        </is>
      </c>
      <c r="B997" s="3" t="inlineStr">
        <is>
          <t>Swampert</t>
        </is>
      </c>
      <c r="C997" s="3" t="n">
        <v>1</v>
      </c>
      <c r="D997" s="3" t="inlineStr">
        <is>
          <t>Rock Smash</t>
        </is>
      </c>
      <c r="E997" s="3" t="inlineStr">
        <is>
          <t>MOVE_ROCK_SMASH</t>
        </is>
      </c>
    </row>
    <row r="998">
      <c r="A998" s="3" t="inlineStr">
        <is>
          <t>SPECIES_SWAMPERT</t>
        </is>
      </c>
      <c r="B998" s="3" t="inlineStr">
        <is>
          <t>Swampert</t>
        </is>
      </c>
      <c r="C998" s="3" t="n">
        <v>1</v>
      </c>
      <c r="D998" s="3" t="inlineStr">
        <is>
          <t>Hammer Arm</t>
        </is>
      </c>
      <c r="E998" s="3" t="inlineStr">
        <is>
          <t>MOVE_HAMMER_ARM</t>
        </is>
      </c>
    </row>
    <row r="999">
      <c r="A999" s="3" t="inlineStr">
        <is>
          <t>SPECIES_SWAMPERT</t>
        </is>
      </c>
      <c r="B999" s="3" t="inlineStr">
        <is>
          <t>Swampert</t>
        </is>
      </c>
      <c r="C999" s="3" t="n">
        <v>1</v>
      </c>
      <c r="D999" s="3" t="inlineStr">
        <is>
          <t>Tackle</t>
        </is>
      </c>
      <c r="E999" s="3" t="inlineStr">
        <is>
          <t>MOVE_TACKLE</t>
        </is>
      </c>
    </row>
    <row r="1000">
      <c r="A1000" s="3" t="inlineStr">
        <is>
          <t>SPECIES_SWAMPERT</t>
        </is>
      </c>
      <c r="B1000" s="3" t="inlineStr">
        <is>
          <t>Swampert</t>
        </is>
      </c>
      <c r="C1000" s="3" t="n">
        <v>1</v>
      </c>
      <c r="D1000" s="3" t="inlineStr">
        <is>
          <t>Growl</t>
        </is>
      </c>
      <c r="E1000" s="3" t="inlineStr">
        <is>
          <t>MOVE_GROWL</t>
        </is>
      </c>
    </row>
    <row r="1001">
      <c r="A1001" s="3" t="inlineStr">
        <is>
          <t>SPECIES_SWAMPERT</t>
        </is>
      </c>
      <c r="B1001" s="3" t="inlineStr">
        <is>
          <t>Swampert</t>
        </is>
      </c>
      <c r="C1001" s="3" t="n">
        <v>1</v>
      </c>
      <c r="D1001" s="3" t="inlineStr">
        <is>
          <t>Water Gun</t>
        </is>
      </c>
      <c r="E1001" s="3" t="inlineStr">
        <is>
          <t>MOVE_WATER_GUN</t>
        </is>
      </c>
    </row>
    <row r="1002">
      <c r="A1002" s="3" t="inlineStr">
        <is>
          <t>SPECIES_SWAMPERT</t>
        </is>
      </c>
      <c r="B1002" s="3" t="inlineStr">
        <is>
          <t>Swampert</t>
        </is>
      </c>
      <c r="C1002" s="3" t="n">
        <v>1</v>
      </c>
      <c r="D1002" s="3" t="inlineStr">
        <is>
          <t>Mud Shot</t>
        </is>
      </c>
      <c r="E1002" s="3" t="inlineStr">
        <is>
          <t>MOVE_MUD_SHOT</t>
        </is>
      </c>
    </row>
    <row r="1003">
      <c r="A1003" s="3" t="inlineStr">
        <is>
          <t>SPECIES_SWAMPERT</t>
        </is>
      </c>
      <c r="B1003" s="3" t="inlineStr">
        <is>
          <t>Swampert</t>
        </is>
      </c>
      <c r="C1003" s="3" t="n">
        <v>9</v>
      </c>
      <c r="D1003" s="3" t="inlineStr">
        <is>
          <t>Rock Throw</t>
        </is>
      </c>
      <c r="E1003" s="3" t="inlineStr">
        <is>
          <t>MOVE_ROCK_THROW</t>
        </is>
      </c>
    </row>
    <row r="1004">
      <c r="A1004" s="3" t="inlineStr">
        <is>
          <t>SPECIES_SWAMPERT</t>
        </is>
      </c>
      <c r="B1004" s="3" t="inlineStr">
        <is>
          <t>Swampert</t>
        </is>
      </c>
      <c r="C1004" s="3" t="n">
        <v>12</v>
      </c>
      <c r="D1004" s="3" t="inlineStr">
        <is>
          <t>Protect</t>
        </is>
      </c>
      <c r="E1004" s="3" t="inlineStr">
        <is>
          <t>MOVE_PROTECT</t>
        </is>
      </c>
    </row>
    <row r="1005">
      <c r="A1005" s="3" t="inlineStr">
        <is>
          <t>SPECIES_SWAMPERT</t>
        </is>
      </c>
      <c r="B1005" s="3" t="inlineStr">
        <is>
          <t>Swampert</t>
        </is>
      </c>
      <c r="C1005" s="3" t="n">
        <v>15</v>
      </c>
      <c r="D1005" s="3" t="inlineStr">
        <is>
          <t>Supersonic</t>
        </is>
      </c>
      <c r="E1005" s="3" t="inlineStr">
        <is>
          <t>MOVE_SUPERSONIC</t>
        </is>
      </c>
    </row>
    <row r="1006">
      <c r="A1006" s="3" t="inlineStr">
        <is>
          <t>SPECIES_SWAMPERT</t>
        </is>
      </c>
      <c r="B1006" s="3" t="inlineStr">
        <is>
          <t>Swampert</t>
        </is>
      </c>
      <c r="C1006" s="3" t="n">
        <v>20</v>
      </c>
      <c r="D1006" s="3" t="inlineStr">
        <is>
          <t>Water Pulse</t>
        </is>
      </c>
      <c r="E1006" s="3" t="inlineStr">
        <is>
          <t>MOVE_WATER_PULSE</t>
        </is>
      </c>
    </row>
    <row r="1007">
      <c r="A1007" s="3" t="inlineStr">
        <is>
          <t>SPECIES_SWAMPERT</t>
        </is>
      </c>
      <c r="B1007" s="3" t="inlineStr">
        <is>
          <t>Swampert</t>
        </is>
      </c>
      <c r="C1007" s="3" t="n">
        <v>25</v>
      </c>
      <c r="D1007" s="3" t="inlineStr">
        <is>
          <t>Rock Slide</t>
        </is>
      </c>
      <c r="E1007" s="3" t="inlineStr">
        <is>
          <t>MOVE_ROCK_SLIDE</t>
        </is>
      </c>
    </row>
    <row r="1008">
      <c r="A1008" s="3" t="inlineStr">
        <is>
          <t>SPECIES_SWAMPERT</t>
        </is>
      </c>
      <c r="B1008" s="3" t="inlineStr">
        <is>
          <t>Swampert</t>
        </is>
      </c>
      <c r="C1008" s="3" t="n">
        <v>30</v>
      </c>
      <c r="D1008" s="3" t="inlineStr">
        <is>
          <t>Take Down</t>
        </is>
      </c>
      <c r="E1008" s="3" t="inlineStr">
        <is>
          <t>MOVE_TAKE_DOWN</t>
        </is>
      </c>
    </row>
    <row r="1009">
      <c r="A1009" s="3" t="inlineStr">
        <is>
          <t>SPECIES_SWAMPERT</t>
        </is>
      </c>
      <c r="B1009" s="3" t="inlineStr">
        <is>
          <t>Swampert</t>
        </is>
      </c>
      <c r="C1009" s="3" t="n">
        <v>35</v>
      </c>
      <c r="D1009" s="3" t="inlineStr">
        <is>
          <t>Amnesia</t>
        </is>
      </c>
      <c r="E1009" s="3" t="inlineStr">
        <is>
          <t>MOVE_AMNESIA</t>
        </is>
      </c>
    </row>
    <row r="1010">
      <c r="A1010" s="3" t="inlineStr">
        <is>
          <t>SPECIES_SWAMPERT</t>
        </is>
      </c>
      <c r="B1010" s="3" t="inlineStr">
        <is>
          <t>Swampert</t>
        </is>
      </c>
      <c r="C1010" s="3" t="n">
        <v>42</v>
      </c>
      <c r="D1010" s="3" t="inlineStr">
        <is>
          <t>Muddy Water</t>
        </is>
      </c>
      <c r="E1010" s="3" t="inlineStr">
        <is>
          <t>MOVE_MUDDY_WATER</t>
        </is>
      </c>
    </row>
    <row r="1011">
      <c r="A1011" s="3" t="inlineStr">
        <is>
          <t>SPECIES_SWAMPERT</t>
        </is>
      </c>
      <c r="B1011" s="3" t="inlineStr">
        <is>
          <t>Swampert</t>
        </is>
      </c>
      <c r="C1011" s="3" t="n">
        <v>49</v>
      </c>
      <c r="D1011" s="3" t="inlineStr">
        <is>
          <t>Screech</t>
        </is>
      </c>
      <c r="E1011" s="3" t="inlineStr">
        <is>
          <t>MOVE_SCREECH</t>
        </is>
      </c>
    </row>
    <row r="1012">
      <c r="A1012" s="3" t="inlineStr">
        <is>
          <t>SPECIES_SWAMPERT</t>
        </is>
      </c>
      <c r="B1012" s="3" t="inlineStr">
        <is>
          <t>Swampert</t>
        </is>
      </c>
      <c r="C1012" s="3" t="n">
        <v>56</v>
      </c>
      <c r="D1012" s="3" t="inlineStr">
        <is>
          <t>Endeavor</t>
        </is>
      </c>
      <c r="E1012" s="3" t="inlineStr">
        <is>
          <t>MOVE_ENDEAVOR</t>
        </is>
      </c>
    </row>
    <row r="1013">
      <c r="A1013" s="3" t="inlineStr">
        <is>
          <t>SPECIES_SWAMPERT</t>
        </is>
      </c>
      <c r="B1013" s="3" t="inlineStr">
        <is>
          <t>Swampert</t>
        </is>
      </c>
      <c r="C1013" s="3" t="n">
        <v>63</v>
      </c>
      <c r="D1013" s="3" t="inlineStr">
        <is>
          <t>Hydro Pump</t>
        </is>
      </c>
      <c r="E1013" s="3" t="inlineStr">
        <is>
          <t>MOVE_HYDRO_PUMP</t>
        </is>
      </c>
    </row>
    <row r="1014">
      <c r="A1014" s="3" t="inlineStr">
        <is>
          <t>SPECIES_TAILLOW</t>
        </is>
      </c>
      <c r="B1014" s="3" t="inlineStr">
        <is>
          <t>Taillow</t>
        </is>
      </c>
      <c r="C1014" s="3" t="n">
        <v>1</v>
      </c>
      <c r="D1014" s="3" t="inlineStr">
        <is>
          <t>Peck</t>
        </is>
      </c>
      <c r="E1014" s="3" t="inlineStr">
        <is>
          <t>MOVE_PECK</t>
        </is>
      </c>
    </row>
    <row r="1015">
      <c r="A1015" s="3" t="inlineStr">
        <is>
          <t>SPECIES_TAILLOW</t>
        </is>
      </c>
      <c r="B1015" s="3" t="inlineStr">
        <is>
          <t>Taillow</t>
        </is>
      </c>
      <c r="C1015" s="3" t="n">
        <v>1</v>
      </c>
      <c r="D1015" s="3" t="inlineStr">
        <is>
          <t>Growl</t>
        </is>
      </c>
      <c r="E1015" s="3" t="inlineStr">
        <is>
          <t>MOVE_GROWL</t>
        </is>
      </c>
    </row>
    <row r="1016">
      <c r="A1016" s="3" t="inlineStr">
        <is>
          <t>SPECIES_TAILLOW</t>
        </is>
      </c>
      <c r="B1016" s="3" t="inlineStr">
        <is>
          <t>Taillow</t>
        </is>
      </c>
      <c r="C1016" s="3" t="n">
        <v>5</v>
      </c>
      <c r="D1016" s="3" t="inlineStr">
        <is>
          <t>Focus Energy</t>
        </is>
      </c>
      <c r="E1016" s="3" t="inlineStr">
        <is>
          <t>MOVE_FOCUS_ENERGY</t>
        </is>
      </c>
    </row>
    <row r="1017">
      <c r="A1017" s="3" t="inlineStr">
        <is>
          <t>SPECIES_TAILLOW</t>
        </is>
      </c>
      <c r="B1017" s="3" t="inlineStr">
        <is>
          <t>Taillow</t>
        </is>
      </c>
      <c r="C1017" s="3" t="n">
        <v>9</v>
      </c>
      <c r="D1017" s="3" t="inlineStr">
        <is>
          <t>Quick Attack</t>
        </is>
      </c>
      <c r="E1017" s="3" t="inlineStr">
        <is>
          <t>MOVE_QUICK_ATTACK</t>
        </is>
      </c>
    </row>
    <row r="1018">
      <c r="A1018" s="3" t="inlineStr">
        <is>
          <t>SPECIES_TAILLOW</t>
        </is>
      </c>
      <c r="B1018" s="3" t="inlineStr">
        <is>
          <t>Taillow</t>
        </is>
      </c>
      <c r="C1018" s="3" t="n">
        <v>13</v>
      </c>
      <c r="D1018" s="3" t="inlineStr">
        <is>
          <t>Wing Attack</t>
        </is>
      </c>
      <c r="E1018" s="3" t="inlineStr">
        <is>
          <t>MOVE_WING_ATTACK</t>
        </is>
      </c>
    </row>
    <row r="1019">
      <c r="A1019" s="3" t="inlineStr">
        <is>
          <t>SPECIES_TAILLOW</t>
        </is>
      </c>
      <c r="B1019" s="3" t="inlineStr">
        <is>
          <t>Taillow</t>
        </is>
      </c>
      <c r="C1019" s="3" t="n">
        <v>17</v>
      </c>
      <c r="D1019" s="3" t="inlineStr">
        <is>
          <t>Double Team</t>
        </is>
      </c>
      <c r="E1019" s="3" t="inlineStr">
        <is>
          <t>MOVE_DOUBLE_TEAM</t>
        </is>
      </c>
    </row>
    <row r="1020">
      <c r="A1020" s="3" t="inlineStr">
        <is>
          <t>SPECIES_TAILLOW</t>
        </is>
      </c>
      <c r="B1020" s="3" t="inlineStr">
        <is>
          <t>Taillow</t>
        </is>
      </c>
      <c r="C1020" s="3" t="n">
        <v>21</v>
      </c>
      <c r="D1020" s="3" t="inlineStr">
        <is>
          <t>Aerial Ace</t>
        </is>
      </c>
      <c r="E1020" s="3" t="inlineStr">
        <is>
          <t>MOVE_AERIAL_ACE</t>
        </is>
      </c>
    </row>
    <row r="1021">
      <c r="A1021" s="3" t="inlineStr">
        <is>
          <t>SPECIES_TAILLOW</t>
        </is>
      </c>
      <c r="B1021" s="3" t="inlineStr">
        <is>
          <t>Taillow</t>
        </is>
      </c>
      <c r="C1021" s="3" t="n">
        <v>25</v>
      </c>
      <c r="D1021" s="3" t="inlineStr">
        <is>
          <t>Quick Guard</t>
        </is>
      </c>
      <c r="E1021" s="3" t="inlineStr">
        <is>
          <t>MOVE_QUICK_GUARD</t>
        </is>
      </c>
    </row>
    <row r="1022">
      <c r="A1022" s="3" t="inlineStr">
        <is>
          <t>SPECIES_TAILLOW</t>
        </is>
      </c>
      <c r="B1022" s="3" t="inlineStr">
        <is>
          <t>Taillow</t>
        </is>
      </c>
      <c r="C1022" s="3" t="n">
        <v>29</v>
      </c>
      <c r="D1022" s="3" t="inlineStr">
        <is>
          <t>Agility</t>
        </is>
      </c>
      <c r="E1022" s="3" t="inlineStr">
        <is>
          <t>MOVE_AGILITY</t>
        </is>
      </c>
    </row>
    <row r="1023">
      <c r="A1023" s="3" t="inlineStr">
        <is>
          <t>SPECIES_TAILLOW</t>
        </is>
      </c>
      <c r="B1023" s="3" t="inlineStr">
        <is>
          <t>Taillow</t>
        </is>
      </c>
      <c r="C1023" s="3" t="n">
        <v>33</v>
      </c>
      <c r="D1023" s="3" t="inlineStr">
        <is>
          <t>Air Slash</t>
        </is>
      </c>
      <c r="E1023" s="3" t="inlineStr">
        <is>
          <t>MOVE_AIR_SLASH</t>
        </is>
      </c>
    </row>
    <row r="1024">
      <c r="A1024" s="3" t="inlineStr">
        <is>
          <t>SPECIES_TAILLOW</t>
        </is>
      </c>
      <c r="B1024" s="3" t="inlineStr">
        <is>
          <t>Taillow</t>
        </is>
      </c>
      <c r="C1024" s="3" t="n">
        <v>37</v>
      </c>
      <c r="D1024" s="3" t="inlineStr">
        <is>
          <t>Endeavor</t>
        </is>
      </c>
      <c r="E1024" s="3" t="inlineStr">
        <is>
          <t>MOVE_ENDEAVOR</t>
        </is>
      </c>
    </row>
    <row r="1025">
      <c r="A1025" s="3" t="inlineStr">
        <is>
          <t>SPECIES_TAILLOW</t>
        </is>
      </c>
      <c r="B1025" s="3" t="inlineStr">
        <is>
          <t>Taillow</t>
        </is>
      </c>
      <c r="C1025" s="3" t="n">
        <v>41</v>
      </c>
      <c r="D1025" s="3" t="inlineStr">
        <is>
          <t>Brave Bird</t>
        </is>
      </c>
      <c r="E1025" s="3" t="inlineStr">
        <is>
          <t>MOVE_BRAVE_BIRD</t>
        </is>
      </c>
    </row>
    <row r="1026">
      <c r="A1026" s="3" t="inlineStr">
        <is>
          <t>SPECIES_TAILLOW</t>
        </is>
      </c>
      <c r="B1026" s="3" t="inlineStr">
        <is>
          <t>Taillow</t>
        </is>
      </c>
      <c r="C1026" s="3" t="n">
        <v>45</v>
      </c>
      <c r="D1026" s="3" t="inlineStr">
        <is>
          <t>Reversal</t>
        </is>
      </c>
      <c r="E1026" s="3" t="inlineStr">
        <is>
          <t>MOVE_REVERSAL</t>
        </is>
      </c>
    </row>
    <row r="1027">
      <c r="A1027" s="3" t="inlineStr">
        <is>
          <t>SPECIES_SWELLOW</t>
        </is>
      </c>
      <c r="B1027" s="3" t="inlineStr">
        <is>
          <t>Swellow</t>
        </is>
      </c>
      <c r="C1027" s="3" t="n">
        <v>1</v>
      </c>
      <c r="D1027" s="3" t="inlineStr">
        <is>
          <t>Brave Bird</t>
        </is>
      </c>
      <c r="E1027" s="3" t="inlineStr">
        <is>
          <t>MOVE_BRAVE_BIRD</t>
        </is>
      </c>
    </row>
    <row r="1028">
      <c r="A1028" s="3" t="inlineStr">
        <is>
          <t>SPECIES_SWELLOW</t>
        </is>
      </c>
      <c r="B1028" s="3" t="inlineStr">
        <is>
          <t>Swellow</t>
        </is>
      </c>
      <c r="C1028" s="3" t="n">
        <v>1</v>
      </c>
      <c r="D1028" s="3" t="inlineStr">
        <is>
          <t>Air Slash</t>
        </is>
      </c>
      <c r="E1028" s="3" t="inlineStr">
        <is>
          <t>MOVE_AIR_SLASH</t>
        </is>
      </c>
    </row>
    <row r="1029">
      <c r="A1029" s="3" t="inlineStr">
        <is>
          <t>SPECIES_SWELLOW</t>
        </is>
      </c>
      <c r="B1029" s="3" t="inlineStr">
        <is>
          <t>Swellow</t>
        </is>
      </c>
      <c r="C1029" s="3" t="n">
        <v>1</v>
      </c>
      <c r="D1029" s="3" t="inlineStr">
        <is>
          <t>Pluck</t>
        </is>
      </c>
      <c r="E1029" s="3" t="inlineStr">
        <is>
          <t>MOVE_PLUCK</t>
        </is>
      </c>
    </row>
    <row r="1030">
      <c r="A1030" s="3" t="inlineStr">
        <is>
          <t>SPECIES_SWELLOW</t>
        </is>
      </c>
      <c r="B1030" s="3" t="inlineStr">
        <is>
          <t>Swellow</t>
        </is>
      </c>
      <c r="C1030" s="3" t="n">
        <v>1</v>
      </c>
      <c r="D1030" s="3" t="inlineStr">
        <is>
          <t>Peck</t>
        </is>
      </c>
      <c r="E1030" s="3" t="inlineStr">
        <is>
          <t>MOVE_PECK</t>
        </is>
      </c>
    </row>
    <row r="1031">
      <c r="A1031" s="3" t="inlineStr">
        <is>
          <t>SPECIES_SWELLOW</t>
        </is>
      </c>
      <c r="B1031" s="3" t="inlineStr">
        <is>
          <t>Swellow</t>
        </is>
      </c>
      <c r="C1031" s="3" t="n">
        <v>1</v>
      </c>
      <c r="D1031" s="3" t="inlineStr">
        <is>
          <t>Growl</t>
        </is>
      </c>
      <c r="E1031" s="3" t="inlineStr">
        <is>
          <t>MOVE_GROWL</t>
        </is>
      </c>
    </row>
    <row r="1032">
      <c r="A1032" s="3" t="inlineStr">
        <is>
          <t>SPECIES_SWELLOW</t>
        </is>
      </c>
      <c r="B1032" s="3" t="inlineStr">
        <is>
          <t>Swellow</t>
        </is>
      </c>
      <c r="C1032" s="3" t="n">
        <v>1</v>
      </c>
      <c r="D1032" s="3" t="inlineStr">
        <is>
          <t>Focus Energy</t>
        </is>
      </c>
      <c r="E1032" s="3" t="inlineStr">
        <is>
          <t>MOVE_FOCUS_ENERGY</t>
        </is>
      </c>
    </row>
    <row r="1033">
      <c r="A1033" s="3" t="inlineStr">
        <is>
          <t>SPECIES_SWELLOW</t>
        </is>
      </c>
      <c r="B1033" s="3" t="inlineStr">
        <is>
          <t>Swellow</t>
        </is>
      </c>
      <c r="C1033" s="3" t="n">
        <v>1</v>
      </c>
      <c r="D1033" s="3" t="inlineStr">
        <is>
          <t>Quick Attack</t>
        </is>
      </c>
      <c r="E1033" s="3" t="inlineStr">
        <is>
          <t>MOVE_QUICK_ATTACK</t>
        </is>
      </c>
    </row>
    <row r="1034">
      <c r="A1034" s="3" t="inlineStr">
        <is>
          <t>SPECIES_SWELLOW</t>
        </is>
      </c>
      <c r="B1034" s="3" t="inlineStr">
        <is>
          <t>Swellow</t>
        </is>
      </c>
      <c r="C1034" s="3" t="n">
        <v>5</v>
      </c>
      <c r="D1034" s="3" t="inlineStr">
        <is>
          <t>Focus Energy</t>
        </is>
      </c>
      <c r="E1034" s="3" t="inlineStr">
        <is>
          <t>MOVE_FOCUS_ENERGY</t>
        </is>
      </c>
    </row>
    <row r="1035">
      <c r="A1035" s="3" t="inlineStr">
        <is>
          <t>SPECIES_SWELLOW</t>
        </is>
      </c>
      <c r="B1035" s="3" t="inlineStr">
        <is>
          <t>Swellow</t>
        </is>
      </c>
      <c r="C1035" s="3" t="n">
        <v>9</v>
      </c>
      <c r="D1035" s="3" t="inlineStr">
        <is>
          <t>Quick Attack</t>
        </is>
      </c>
      <c r="E1035" s="3" t="inlineStr">
        <is>
          <t>MOVE_QUICK_ATTACK</t>
        </is>
      </c>
    </row>
    <row r="1036">
      <c r="A1036" s="3" t="inlineStr">
        <is>
          <t>SPECIES_SWELLOW</t>
        </is>
      </c>
      <c r="B1036" s="3" t="inlineStr">
        <is>
          <t>Swellow</t>
        </is>
      </c>
      <c r="C1036" s="3" t="n">
        <v>13</v>
      </c>
      <c r="D1036" s="3" t="inlineStr">
        <is>
          <t>Wing Attack</t>
        </is>
      </c>
      <c r="E1036" s="3" t="inlineStr">
        <is>
          <t>MOVE_WING_ATTACK</t>
        </is>
      </c>
    </row>
    <row r="1037">
      <c r="A1037" s="3" t="inlineStr">
        <is>
          <t>SPECIES_SWELLOW</t>
        </is>
      </c>
      <c r="B1037" s="3" t="inlineStr">
        <is>
          <t>Swellow</t>
        </is>
      </c>
      <c r="C1037" s="3" t="n">
        <v>17</v>
      </c>
      <c r="D1037" s="3" t="inlineStr">
        <is>
          <t>Double Team</t>
        </is>
      </c>
      <c r="E1037" s="3" t="inlineStr">
        <is>
          <t>MOVE_DOUBLE_TEAM</t>
        </is>
      </c>
    </row>
    <row r="1038">
      <c r="A1038" s="3" t="inlineStr">
        <is>
          <t>SPECIES_SWELLOW</t>
        </is>
      </c>
      <c r="B1038" s="3" t="inlineStr">
        <is>
          <t>Swellow</t>
        </is>
      </c>
      <c r="C1038" s="3" t="n">
        <v>21</v>
      </c>
      <c r="D1038" s="3" t="inlineStr">
        <is>
          <t>Aerial Ace</t>
        </is>
      </c>
      <c r="E1038" s="3" t="inlineStr">
        <is>
          <t>MOVE_AERIAL_ACE</t>
        </is>
      </c>
    </row>
    <row r="1039">
      <c r="A1039" s="3" t="inlineStr">
        <is>
          <t>SPECIES_SWELLOW</t>
        </is>
      </c>
      <c r="B1039" s="3" t="inlineStr">
        <is>
          <t>Swellow</t>
        </is>
      </c>
      <c r="C1039" s="3" t="n">
        <v>27</v>
      </c>
      <c r="D1039" s="3" t="inlineStr">
        <is>
          <t>Quick Guard</t>
        </is>
      </c>
      <c r="E1039" s="3" t="inlineStr">
        <is>
          <t>MOVE_QUICK_GUARD</t>
        </is>
      </c>
    </row>
    <row r="1040">
      <c r="A1040" s="3" t="inlineStr">
        <is>
          <t>SPECIES_SWELLOW</t>
        </is>
      </c>
      <c r="B1040" s="3" t="inlineStr">
        <is>
          <t>Swellow</t>
        </is>
      </c>
      <c r="C1040" s="3" t="n">
        <v>33</v>
      </c>
      <c r="D1040" s="3" t="inlineStr">
        <is>
          <t>Agility</t>
        </is>
      </c>
      <c r="E1040" s="3" t="inlineStr">
        <is>
          <t>MOVE_AGILITY</t>
        </is>
      </c>
    </row>
    <row r="1041">
      <c r="A1041" s="3" t="inlineStr">
        <is>
          <t>SPECIES_SWELLOW</t>
        </is>
      </c>
      <c r="B1041" s="3" t="inlineStr">
        <is>
          <t>Swellow</t>
        </is>
      </c>
      <c r="C1041" s="3" t="n">
        <v>39</v>
      </c>
      <c r="D1041" s="3" t="inlineStr">
        <is>
          <t>Air Slash</t>
        </is>
      </c>
      <c r="E1041" s="3" t="inlineStr">
        <is>
          <t>MOVE_AIR_SLASH</t>
        </is>
      </c>
    </row>
    <row r="1042">
      <c r="A1042" s="3" t="inlineStr">
        <is>
          <t>SPECIES_SWELLOW</t>
        </is>
      </c>
      <c r="B1042" s="3" t="inlineStr">
        <is>
          <t>Swellow</t>
        </is>
      </c>
      <c r="C1042" s="3" t="n">
        <v>45</v>
      </c>
      <c r="D1042" s="3" t="inlineStr">
        <is>
          <t>Endeavor</t>
        </is>
      </c>
      <c r="E1042" s="3" t="inlineStr">
        <is>
          <t>MOVE_ENDEAVOR</t>
        </is>
      </c>
    </row>
    <row r="1043">
      <c r="A1043" s="3" t="inlineStr">
        <is>
          <t>SPECIES_SWELLOW</t>
        </is>
      </c>
      <c r="B1043" s="3" t="inlineStr">
        <is>
          <t>Swellow</t>
        </is>
      </c>
      <c r="C1043" s="3" t="n">
        <v>51</v>
      </c>
      <c r="D1043" s="3" t="inlineStr">
        <is>
          <t>Brave Bird</t>
        </is>
      </c>
      <c r="E1043" s="3" t="inlineStr">
        <is>
          <t>MOVE_BRAVE_BIRD</t>
        </is>
      </c>
    </row>
    <row r="1044">
      <c r="A1044" s="3" t="inlineStr">
        <is>
          <t>SPECIES_SWELLOW</t>
        </is>
      </c>
      <c r="B1044" s="3" t="inlineStr">
        <is>
          <t>Swellow</t>
        </is>
      </c>
      <c r="C1044" s="3" t="n">
        <v>57</v>
      </c>
      <c r="D1044" s="3" t="inlineStr">
        <is>
          <t>Reversal</t>
        </is>
      </c>
      <c r="E1044" s="3" t="inlineStr">
        <is>
          <t>MOVE_REVERSAL</t>
        </is>
      </c>
    </row>
    <row r="1045">
      <c r="A1045" s="3" t="inlineStr">
        <is>
          <t>SPECIES_RALTS</t>
        </is>
      </c>
      <c r="B1045" s="3" t="inlineStr">
        <is>
          <t>Ralts</t>
        </is>
      </c>
      <c r="C1045" s="3" t="n">
        <v>1</v>
      </c>
      <c r="D1045" s="3" t="inlineStr">
        <is>
          <t>Growl</t>
        </is>
      </c>
      <c r="E1045" s="3" t="inlineStr">
        <is>
          <t>MOVE_GROWL</t>
        </is>
      </c>
    </row>
    <row r="1046">
      <c r="A1046" s="3" t="inlineStr">
        <is>
          <t>SPECIES_RALTS</t>
        </is>
      </c>
      <c r="B1046" s="3" t="inlineStr">
        <is>
          <t>Ralts</t>
        </is>
      </c>
      <c r="C1046" s="3" t="n">
        <v>1</v>
      </c>
      <c r="D1046" s="3" t="inlineStr">
        <is>
          <t>Disarming Voice</t>
        </is>
      </c>
      <c r="E1046" s="3" t="inlineStr">
        <is>
          <t>MOVE_DISARMING_VOICE</t>
        </is>
      </c>
    </row>
    <row r="1047">
      <c r="A1047" s="3" t="inlineStr">
        <is>
          <t>SPECIES_RALTS</t>
        </is>
      </c>
      <c r="B1047" s="3" t="inlineStr">
        <is>
          <t>Ralts</t>
        </is>
      </c>
      <c r="C1047" s="3" t="n">
        <v>3</v>
      </c>
      <c r="D1047" s="3" t="inlineStr">
        <is>
          <t>Double Team</t>
        </is>
      </c>
      <c r="E1047" s="3" t="inlineStr">
        <is>
          <t>MOVE_DOUBLE_TEAM</t>
        </is>
      </c>
    </row>
    <row r="1048">
      <c r="A1048" s="3" t="inlineStr">
        <is>
          <t>SPECIES_RALTS</t>
        </is>
      </c>
      <c r="B1048" s="3" t="inlineStr">
        <is>
          <t>Ralts</t>
        </is>
      </c>
      <c r="C1048" s="3" t="n">
        <v>6</v>
      </c>
      <c r="D1048" s="3" t="inlineStr">
        <is>
          <t>Confusion</t>
        </is>
      </c>
      <c r="E1048" s="3" t="inlineStr">
        <is>
          <t>MOVE_CONFUSION</t>
        </is>
      </c>
    </row>
    <row r="1049">
      <c r="A1049" s="3" t="inlineStr">
        <is>
          <t>SPECIES_RALTS</t>
        </is>
      </c>
      <c r="B1049" s="3" t="inlineStr">
        <is>
          <t>Ralts</t>
        </is>
      </c>
      <c r="C1049" s="3" t="n">
        <v>9</v>
      </c>
      <c r="D1049" s="3" t="inlineStr">
        <is>
          <t>Hypnosis</t>
        </is>
      </c>
      <c r="E1049" s="3" t="inlineStr">
        <is>
          <t>MOVE_HYPNOSIS</t>
        </is>
      </c>
    </row>
    <row r="1050">
      <c r="A1050" s="3" t="inlineStr">
        <is>
          <t>SPECIES_RALTS</t>
        </is>
      </c>
      <c r="B1050" s="3" t="inlineStr">
        <is>
          <t>Ralts</t>
        </is>
      </c>
      <c r="C1050" s="3" t="n">
        <v>12</v>
      </c>
      <c r="D1050" s="3" t="inlineStr">
        <is>
          <t>Draining Kiss</t>
        </is>
      </c>
      <c r="E1050" s="3" t="inlineStr">
        <is>
          <t>MOVE_DRAINING_KISS</t>
        </is>
      </c>
    </row>
    <row r="1051">
      <c r="A1051" s="3" t="inlineStr">
        <is>
          <t>SPECIES_RALTS</t>
        </is>
      </c>
      <c r="B1051" s="3" t="inlineStr">
        <is>
          <t>Ralts</t>
        </is>
      </c>
      <c r="C1051" s="3" t="n">
        <v>15</v>
      </c>
      <c r="D1051" s="3" t="inlineStr">
        <is>
          <t>Teleport</t>
        </is>
      </c>
      <c r="E1051" s="3" t="inlineStr">
        <is>
          <t>MOVE_TELEPORT</t>
        </is>
      </c>
    </row>
    <row r="1052">
      <c r="A1052" s="3" t="inlineStr">
        <is>
          <t>SPECIES_RALTS</t>
        </is>
      </c>
      <c r="B1052" s="3" t="inlineStr">
        <is>
          <t>Ralts</t>
        </is>
      </c>
      <c r="C1052" s="3" t="n">
        <v>18</v>
      </c>
      <c r="D1052" s="3" t="inlineStr">
        <is>
          <t>Psybeam</t>
        </is>
      </c>
      <c r="E1052" s="3" t="inlineStr">
        <is>
          <t>MOVE_PSYBEAM</t>
        </is>
      </c>
    </row>
    <row r="1053">
      <c r="A1053" s="3" t="inlineStr">
        <is>
          <t>SPECIES_RALTS</t>
        </is>
      </c>
      <c r="B1053" s="3" t="inlineStr">
        <is>
          <t>Ralts</t>
        </is>
      </c>
      <c r="C1053" s="3" t="n">
        <v>21</v>
      </c>
      <c r="D1053" s="3" t="inlineStr">
        <is>
          <t>Life Dew</t>
        </is>
      </c>
      <c r="E1053" s="3" t="inlineStr">
        <is>
          <t>MOVE_LIFE_DEW</t>
        </is>
      </c>
    </row>
    <row r="1054">
      <c r="A1054" s="3" t="inlineStr">
        <is>
          <t>SPECIES_RALTS</t>
        </is>
      </c>
      <c r="B1054" s="3" t="inlineStr">
        <is>
          <t>Ralts</t>
        </is>
      </c>
      <c r="C1054" s="3" t="n">
        <v>24</v>
      </c>
      <c r="D1054" s="3" t="inlineStr">
        <is>
          <t>Charm</t>
        </is>
      </c>
      <c r="E1054" s="3" t="inlineStr">
        <is>
          <t>MOVE_CHARM</t>
        </is>
      </c>
    </row>
    <row r="1055">
      <c r="A1055" s="3" t="inlineStr">
        <is>
          <t>SPECIES_RALTS</t>
        </is>
      </c>
      <c r="B1055" s="3" t="inlineStr">
        <is>
          <t>Ralts</t>
        </is>
      </c>
      <c r="C1055" s="3" t="n">
        <v>27</v>
      </c>
      <c r="D1055" s="3" t="inlineStr">
        <is>
          <t>Calm Mind</t>
        </is>
      </c>
      <c r="E1055" s="3" t="inlineStr">
        <is>
          <t>MOVE_CALM_MIND</t>
        </is>
      </c>
    </row>
    <row r="1056">
      <c r="A1056" s="3" t="inlineStr">
        <is>
          <t>SPECIES_RALTS</t>
        </is>
      </c>
      <c r="B1056" s="3" t="inlineStr">
        <is>
          <t>Ralts</t>
        </is>
      </c>
      <c r="C1056" s="3" t="n">
        <v>30</v>
      </c>
      <c r="D1056" s="3" t="inlineStr">
        <is>
          <t>Psychic</t>
        </is>
      </c>
      <c r="E1056" s="3" t="inlineStr">
        <is>
          <t>MOVE_PSYCHIC</t>
        </is>
      </c>
    </row>
    <row r="1057">
      <c r="A1057" s="3" t="inlineStr">
        <is>
          <t>SPECIES_RALTS</t>
        </is>
      </c>
      <c r="B1057" s="3" t="inlineStr">
        <is>
          <t>Ralts</t>
        </is>
      </c>
      <c r="C1057" s="3" t="n">
        <v>33</v>
      </c>
      <c r="D1057" s="3" t="inlineStr">
        <is>
          <t>Heal Pulse</t>
        </is>
      </c>
      <c r="E1057" s="3" t="inlineStr">
        <is>
          <t>MOVE_HEAL_PULSE</t>
        </is>
      </c>
    </row>
    <row r="1058">
      <c r="A1058" s="3" t="inlineStr">
        <is>
          <t>SPECIES_RALTS</t>
        </is>
      </c>
      <c r="B1058" s="3" t="inlineStr">
        <is>
          <t>Ralts</t>
        </is>
      </c>
      <c r="C1058" s="3" t="n">
        <v>36</v>
      </c>
      <c r="D1058" s="3" t="inlineStr">
        <is>
          <t>Dream Eater</t>
        </is>
      </c>
      <c r="E1058" s="3" t="inlineStr">
        <is>
          <t>MOVE_DREAM_EATER</t>
        </is>
      </c>
    </row>
    <row r="1059">
      <c r="A1059" s="3" t="inlineStr">
        <is>
          <t>SPECIES_RALTS</t>
        </is>
      </c>
      <c r="B1059" s="3" t="inlineStr">
        <is>
          <t>Ralts</t>
        </is>
      </c>
      <c r="C1059" s="3" t="n">
        <v>39</v>
      </c>
      <c r="D1059" s="3" t="inlineStr">
        <is>
          <t>Future Sight</t>
        </is>
      </c>
      <c r="E1059" s="3" t="inlineStr">
        <is>
          <t>MOVE_FUTURE_SIGHT</t>
        </is>
      </c>
    </row>
    <row r="1060">
      <c r="A1060" s="3" t="inlineStr">
        <is>
          <t>SPECIES_KIRLIA</t>
        </is>
      </c>
      <c r="B1060" s="3" t="inlineStr">
        <is>
          <t>Kirlia</t>
        </is>
      </c>
      <c r="C1060" s="3" t="n">
        <v>1</v>
      </c>
      <c r="D1060" s="3" t="inlineStr">
        <is>
          <t>Growl</t>
        </is>
      </c>
      <c r="E1060" s="3" t="inlineStr">
        <is>
          <t>MOVE_GROWL</t>
        </is>
      </c>
    </row>
    <row r="1061">
      <c r="A1061" s="3" t="inlineStr">
        <is>
          <t>SPECIES_KIRLIA</t>
        </is>
      </c>
      <c r="B1061" s="3" t="inlineStr">
        <is>
          <t>Kirlia</t>
        </is>
      </c>
      <c r="C1061" s="3" t="n">
        <v>1</v>
      </c>
      <c r="D1061" s="3" t="inlineStr">
        <is>
          <t>Confusion</t>
        </is>
      </c>
      <c r="E1061" s="3" t="inlineStr">
        <is>
          <t>MOVE_CONFUSION</t>
        </is>
      </c>
    </row>
    <row r="1062">
      <c r="A1062" s="3" t="inlineStr">
        <is>
          <t>SPECIES_KIRLIA</t>
        </is>
      </c>
      <c r="B1062" s="3" t="inlineStr">
        <is>
          <t>Kirlia</t>
        </is>
      </c>
      <c r="C1062" s="3" t="n">
        <v>1</v>
      </c>
      <c r="D1062" s="3" t="inlineStr">
        <is>
          <t>Double Team</t>
        </is>
      </c>
      <c r="E1062" s="3" t="inlineStr">
        <is>
          <t>MOVE_DOUBLE_TEAM</t>
        </is>
      </c>
    </row>
    <row r="1063">
      <c r="A1063" s="3" t="inlineStr">
        <is>
          <t>SPECIES_KIRLIA</t>
        </is>
      </c>
      <c r="B1063" s="3" t="inlineStr">
        <is>
          <t>Kirlia</t>
        </is>
      </c>
      <c r="C1063" s="3" t="n">
        <v>1</v>
      </c>
      <c r="D1063" s="3" t="inlineStr">
        <is>
          <t>Disarming Voice</t>
        </is>
      </c>
      <c r="E1063" s="3" t="inlineStr">
        <is>
          <t>MOVE_DISARMING_VOICE</t>
        </is>
      </c>
    </row>
    <row r="1064">
      <c r="A1064" s="3" t="inlineStr">
        <is>
          <t>SPECIES_KIRLIA</t>
        </is>
      </c>
      <c r="B1064" s="3" t="inlineStr">
        <is>
          <t>Kirlia</t>
        </is>
      </c>
      <c r="C1064" s="3" t="n">
        <v>9</v>
      </c>
      <c r="D1064" s="3" t="inlineStr">
        <is>
          <t>Hypnosis</t>
        </is>
      </c>
      <c r="E1064" s="3" t="inlineStr">
        <is>
          <t>MOVE_HYPNOSIS</t>
        </is>
      </c>
    </row>
    <row r="1065">
      <c r="A1065" s="3" t="inlineStr">
        <is>
          <t>SPECIES_KIRLIA</t>
        </is>
      </c>
      <c r="B1065" s="3" t="inlineStr">
        <is>
          <t>Kirlia</t>
        </is>
      </c>
      <c r="C1065" s="3" t="n">
        <v>12</v>
      </c>
      <c r="D1065" s="3" t="inlineStr">
        <is>
          <t>Draining Kiss</t>
        </is>
      </c>
      <c r="E1065" s="3" t="inlineStr">
        <is>
          <t>MOVE_DRAINING_KISS</t>
        </is>
      </c>
    </row>
    <row r="1066">
      <c r="A1066" s="3" t="inlineStr">
        <is>
          <t>SPECIES_KIRLIA</t>
        </is>
      </c>
      <c r="B1066" s="3" t="inlineStr">
        <is>
          <t>Kirlia</t>
        </is>
      </c>
      <c r="C1066" s="3" t="n">
        <v>15</v>
      </c>
      <c r="D1066" s="3" t="inlineStr">
        <is>
          <t>Teleport</t>
        </is>
      </c>
      <c r="E1066" s="3" t="inlineStr">
        <is>
          <t>MOVE_TELEPORT</t>
        </is>
      </c>
    </row>
    <row r="1067">
      <c r="A1067" s="3" t="inlineStr">
        <is>
          <t>SPECIES_KIRLIA</t>
        </is>
      </c>
      <c r="B1067" s="3" t="inlineStr">
        <is>
          <t>Kirlia</t>
        </is>
      </c>
      <c r="C1067" s="3" t="n">
        <v>18</v>
      </c>
      <c r="D1067" s="3" t="inlineStr">
        <is>
          <t>Psybeam</t>
        </is>
      </c>
      <c r="E1067" s="3" t="inlineStr">
        <is>
          <t>MOVE_PSYBEAM</t>
        </is>
      </c>
    </row>
    <row r="1068">
      <c r="A1068" s="3" t="inlineStr">
        <is>
          <t>SPECIES_KIRLIA</t>
        </is>
      </c>
      <c r="B1068" s="3" t="inlineStr">
        <is>
          <t>Kirlia</t>
        </is>
      </c>
      <c r="C1068" s="3" t="n">
        <v>23</v>
      </c>
      <c r="D1068" s="3" t="inlineStr">
        <is>
          <t>Life Dew</t>
        </is>
      </c>
      <c r="E1068" s="3" t="inlineStr">
        <is>
          <t>MOVE_LIFE_DEW</t>
        </is>
      </c>
    </row>
    <row r="1069">
      <c r="A1069" s="3" t="inlineStr">
        <is>
          <t>SPECIES_KIRLIA</t>
        </is>
      </c>
      <c r="B1069" s="3" t="inlineStr">
        <is>
          <t>Kirlia</t>
        </is>
      </c>
      <c r="C1069" s="3" t="n">
        <v>28</v>
      </c>
      <c r="D1069" s="3" t="inlineStr">
        <is>
          <t>Charm</t>
        </is>
      </c>
      <c r="E1069" s="3" t="inlineStr">
        <is>
          <t>MOVE_CHARM</t>
        </is>
      </c>
    </row>
    <row r="1070">
      <c r="A1070" s="3" t="inlineStr">
        <is>
          <t>SPECIES_KIRLIA</t>
        </is>
      </c>
      <c r="B1070" s="3" t="inlineStr">
        <is>
          <t>Kirlia</t>
        </is>
      </c>
      <c r="C1070" s="3" t="n">
        <v>33</v>
      </c>
      <c r="D1070" s="3" t="inlineStr">
        <is>
          <t>Calm Mind</t>
        </is>
      </c>
      <c r="E1070" s="3" t="inlineStr">
        <is>
          <t>MOVE_CALM_MIND</t>
        </is>
      </c>
    </row>
    <row r="1071">
      <c r="A1071" s="3" t="inlineStr">
        <is>
          <t>SPECIES_KIRLIA</t>
        </is>
      </c>
      <c r="B1071" s="3" t="inlineStr">
        <is>
          <t>Kirlia</t>
        </is>
      </c>
      <c r="C1071" s="3" t="n">
        <v>38</v>
      </c>
      <c r="D1071" s="3" t="inlineStr">
        <is>
          <t>Psychic</t>
        </is>
      </c>
      <c r="E1071" s="3" t="inlineStr">
        <is>
          <t>MOVE_PSYCHIC</t>
        </is>
      </c>
    </row>
    <row r="1072">
      <c r="A1072" s="3" t="inlineStr">
        <is>
          <t>SPECIES_KIRLIA</t>
        </is>
      </c>
      <c r="B1072" s="3" t="inlineStr">
        <is>
          <t>Kirlia</t>
        </is>
      </c>
      <c r="C1072" s="3" t="n">
        <v>43</v>
      </c>
      <c r="D1072" s="3" t="inlineStr">
        <is>
          <t>Heal Pulse</t>
        </is>
      </c>
      <c r="E1072" s="3" t="inlineStr">
        <is>
          <t>MOVE_HEAL_PULSE</t>
        </is>
      </c>
    </row>
    <row r="1073">
      <c r="A1073" s="3" t="inlineStr">
        <is>
          <t>SPECIES_KIRLIA</t>
        </is>
      </c>
      <c r="B1073" s="3" t="inlineStr">
        <is>
          <t>Kirlia</t>
        </is>
      </c>
      <c r="C1073" s="3" t="n">
        <v>48</v>
      </c>
      <c r="D1073" s="3" t="inlineStr">
        <is>
          <t>Dream Eater</t>
        </is>
      </c>
      <c r="E1073" s="3" t="inlineStr">
        <is>
          <t>MOVE_DREAM_EATER</t>
        </is>
      </c>
    </row>
    <row r="1074">
      <c r="A1074" s="3" t="inlineStr">
        <is>
          <t>SPECIES_KIRLIA</t>
        </is>
      </c>
      <c r="B1074" s="3" t="inlineStr">
        <is>
          <t>Kirlia</t>
        </is>
      </c>
      <c r="C1074" s="3" t="n">
        <v>53</v>
      </c>
      <c r="D1074" s="3" t="inlineStr">
        <is>
          <t>Future Sight</t>
        </is>
      </c>
      <c r="E1074" s="3" t="inlineStr">
        <is>
          <t>MOVE_FUTURE_SIGHT</t>
        </is>
      </c>
    </row>
    <row r="1075">
      <c r="A1075" s="3" t="inlineStr">
        <is>
          <t>SPECIES_GARDEVOIR</t>
        </is>
      </c>
      <c r="B1075" s="3" t="inlineStr">
        <is>
          <t>Gardevoir</t>
        </is>
      </c>
      <c r="C1075" s="3" t="n">
        <v>0</v>
      </c>
      <c r="D1075" s="3" t="inlineStr">
        <is>
          <t>Dazzling Gleam</t>
        </is>
      </c>
      <c r="E1075" s="3" t="inlineStr">
        <is>
          <t>MOVE_DAZZLING_GLEAM</t>
        </is>
      </c>
    </row>
    <row r="1076">
      <c r="A1076" s="3" t="inlineStr">
        <is>
          <t>SPECIES_GARDEVOIR</t>
        </is>
      </c>
      <c r="B1076" s="3" t="inlineStr">
        <is>
          <t>Gardevoir</t>
        </is>
      </c>
      <c r="C1076" s="3" t="n">
        <v>1</v>
      </c>
      <c r="D1076" s="3" t="inlineStr">
        <is>
          <t>Growl</t>
        </is>
      </c>
      <c r="E1076" s="3" t="inlineStr">
        <is>
          <t>MOVE_GROWL</t>
        </is>
      </c>
    </row>
    <row r="1077">
      <c r="A1077" s="3" t="inlineStr">
        <is>
          <t>SPECIES_GARDEVOIR</t>
        </is>
      </c>
      <c r="B1077" s="3" t="inlineStr">
        <is>
          <t>Gardevoir</t>
        </is>
      </c>
      <c r="C1077" s="3" t="n">
        <v>1</v>
      </c>
      <c r="D1077" s="3" t="inlineStr">
        <is>
          <t>Confusion</t>
        </is>
      </c>
      <c r="E1077" s="3" t="inlineStr">
        <is>
          <t>MOVE_CONFUSION</t>
        </is>
      </c>
    </row>
    <row r="1078">
      <c r="A1078" s="3" t="inlineStr">
        <is>
          <t>SPECIES_GARDEVOIR</t>
        </is>
      </c>
      <c r="B1078" s="3" t="inlineStr">
        <is>
          <t>Gardevoir</t>
        </is>
      </c>
      <c r="C1078" s="3" t="n">
        <v>1</v>
      </c>
      <c r="D1078" s="3" t="inlineStr">
        <is>
          <t>Mystical Fire</t>
        </is>
      </c>
      <c r="E1078" s="3" t="inlineStr">
        <is>
          <t>MOVE_MYSTICAL_FIRE</t>
        </is>
      </c>
    </row>
    <row r="1079">
      <c r="A1079" s="3" t="inlineStr">
        <is>
          <t>SPECIES_GARDEVOIR</t>
        </is>
      </c>
      <c r="B1079" s="3" t="inlineStr">
        <is>
          <t>Gardevoir</t>
        </is>
      </c>
      <c r="C1079" s="3" t="n">
        <v>1</v>
      </c>
      <c r="D1079" s="3" t="inlineStr">
        <is>
          <t>Double Team</t>
        </is>
      </c>
      <c r="E1079" s="3" t="inlineStr">
        <is>
          <t>MOVE_DOUBLE_TEAM</t>
        </is>
      </c>
    </row>
    <row r="1080">
      <c r="A1080" s="3" t="inlineStr">
        <is>
          <t>SPECIES_GARDEVOIR</t>
        </is>
      </c>
      <c r="B1080" s="3" t="inlineStr">
        <is>
          <t>Gardevoir</t>
        </is>
      </c>
      <c r="C1080" s="3" t="n">
        <v>1</v>
      </c>
      <c r="D1080" s="3" t="inlineStr">
        <is>
          <t>Misty Terrain</t>
        </is>
      </c>
      <c r="E1080" s="3" t="inlineStr">
        <is>
          <t>MOVE_MISTY_TERRAIN</t>
        </is>
      </c>
    </row>
    <row r="1081">
      <c r="A1081" s="3" t="inlineStr">
        <is>
          <t>SPECIES_GARDEVOIR</t>
        </is>
      </c>
      <c r="B1081" s="3" t="inlineStr">
        <is>
          <t>Gardevoir</t>
        </is>
      </c>
      <c r="C1081" s="3" t="n">
        <v>1</v>
      </c>
      <c r="D1081" s="3" t="inlineStr">
        <is>
          <t>Charm</t>
        </is>
      </c>
      <c r="E1081" s="3" t="inlineStr">
        <is>
          <t>MOVE_CHARM</t>
        </is>
      </c>
    </row>
    <row r="1082">
      <c r="A1082" s="3" t="inlineStr">
        <is>
          <t>SPECIES_GARDEVOIR</t>
        </is>
      </c>
      <c r="B1082" s="3" t="inlineStr">
        <is>
          <t>Gardevoir</t>
        </is>
      </c>
      <c r="C1082" s="3" t="n">
        <v>1</v>
      </c>
      <c r="D1082" s="3" t="inlineStr">
        <is>
          <t>Disarming Voice</t>
        </is>
      </c>
      <c r="E1082" s="3" t="inlineStr">
        <is>
          <t>MOVE_DISARMING_VOICE</t>
        </is>
      </c>
    </row>
    <row r="1083">
      <c r="A1083" s="3" t="inlineStr">
        <is>
          <t>SPECIES_GARDEVOIR</t>
        </is>
      </c>
      <c r="B1083" s="3" t="inlineStr">
        <is>
          <t>Gardevoir</t>
        </is>
      </c>
      <c r="C1083" s="3" t="n">
        <v>1</v>
      </c>
      <c r="D1083" s="3" t="inlineStr">
        <is>
          <t>Healing Wish</t>
        </is>
      </c>
      <c r="E1083" s="3" t="inlineStr">
        <is>
          <t>MOVE_HEALING_WISH</t>
        </is>
      </c>
    </row>
    <row r="1084">
      <c r="A1084" s="3" t="inlineStr">
        <is>
          <t>SPECIES_GARDEVOIR</t>
        </is>
      </c>
      <c r="B1084" s="3" t="inlineStr">
        <is>
          <t>Gardevoir</t>
        </is>
      </c>
      <c r="C1084" s="3" t="n">
        <v>1</v>
      </c>
      <c r="D1084" s="3" t="inlineStr">
        <is>
          <t>Heal Pulse</t>
        </is>
      </c>
      <c r="E1084" s="3" t="inlineStr">
        <is>
          <t>MOVE_HEAL_PULSE</t>
        </is>
      </c>
    </row>
    <row r="1085">
      <c r="A1085" s="3" t="inlineStr">
        <is>
          <t>SPECIES_GARDEVOIR</t>
        </is>
      </c>
      <c r="B1085" s="3" t="inlineStr">
        <is>
          <t>Gardevoir</t>
        </is>
      </c>
      <c r="C1085" s="3" t="n">
        <v>9</v>
      </c>
      <c r="D1085" s="3" t="inlineStr">
        <is>
          <t>Hypnosis</t>
        </is>
      </c>
      <c r="E1085" s="3" t="inlineStr">
        <is>
          <t>MOVE_HYPNOSIS</t>
        </is>
      </c>
    </row>
    <row r="1086">
      <c r="A1086" s="3" t="inlineStr">
        <is>
          <t>SPECIES_GARDEVOIR</t>
        </is>
      </c>
      <c r="B1086" s="3" t="inlineStr">
        <is>
          <t>Gardevoir</t>
        </is>
      </c>
      <c r="C1086" s="3" t="n">
        <v>12</v>
      </c>
      <c r="D1086" s="3" t="inlineStr">
        <is>
          <t>Draining Kiss</t>
        </is>
      </c>
      <c r="E1086" s="3" t="inlineStr">
        <is>
          <t>MOVE_DRAINING_KISS</t>
        </is>
      </c>
    </row>
    <row r="1087">
      <c r="A1087" s="3" t="inlineStr">
        <is>
          <t>SPECIES_GARDEVOIR</t>
        </is>
      </c>
      <c r="B1087" s="3" t="inlineStr">
        <is>
          <t>Gardevoir</t>
        </is>
      </c>
      <c r="C1087" s="3" t="n">
        <v>15</v>
      </c>
      <c r="D1087" s="3" t="inlineStr">
        <is>
          <t>Teleport</t>
        </is>
      </c>
      <c r="E1087" s="3" t="inlineStr">
        <is>
          <t>MOVE_TELEPORT</t>
        </is>
      </c>
    </row>
    <row r="1088">
      <c r="A1088" s="3" t="inlineStr">
        <is>
          <t>SPECIES_GARDEVOIR</t>
        </is>
      </c>
      <c r="B1088" s="3" t="inlineStr">
        <is>
          <t>Gardevoir</t>
        </is>
      </c>
      <c r="C1088" s="3" t="n">
        <v>18</v>
      </c>
      <c r="D1088" s="3" t="inlineStr">
        <is>
          <t>Psybeam</t>
        </is>
      </c>
      <c r="E1088" s="3" t="inlineStr">
        <is>
          <t>MOVE_PSYBEAM</t>
        </is>
      </c>
    </row>
    <row r="1089">
      <c r="A1089" s="3" t="inlineStr">
        <is>
          <t>SPECIES_GARDEVOIR</t>
        </is>
      </c>
      <c r="B1089" s="3" t="inlineStr">
        <is>
          <t>Gardevoir</t>
        </is>
      </c>
      <c r="C1089" s="3" t="n">
        <v>23</v>
      </c>
      <c r="D1089" s="3" t="inlineStr">
        <is>
          <t>Life Dew</t>
        </is>
      </c>
      <c r="E1089" s="3" t="inlineStr">
        <is>
          <t>MOVE_LIFE_DEW</t>
        </is>
      </c>
    </row>
    <row r="1090">
      <c r="A1090" s="3" t="inlineStr">
        <is>
          <t>SPECIES_GARDEVOIR</t>
        </is>
      </c>
      <c r="B1090" s="3" t="inlineStr">
        <is>
          <t>Gardevoir</t>
        </is>
      </c>
      <c r="C1090" s="3" t="n">
        <v>28</v>
      </c>
      <c r="D1090" s="3" t="inlineStr">
        <is>
          <t>Wish</t>
        </is>
      </c>
      <c r="E1090" s="3" t="inlineStr">
        <is>
          <t>MOVE_WISH</t>
        </is>
      </c>
    </row>
    <row r="1091">
      <c r="A1091" s="3" t="inlineStr">
        <is>
          <t>SPECIES_GARDEVOIR</t>
        </is>
      </c>
      <c r="B1091" s="3" t="inlineStr">
        <is>
          <t>Gardevoir</t>
        </is>
      </c>
      <c r="C1091" s="3" t="n">
        <v>35</v>
      </c>
      <c r="D1091" s="3" t="inlineStr">
        <is>
          <t>Calm Mind</t>
        </is>
      </c>
      <c r="E1091" s="3" t="inlineStr">
        <is>
          <t>MOVE_CALM_MIND</t>
        </is>
      </c>
    </row>
    <row r="1092">
      <c r="A1092" s="3" t="inlineStr">
        <is>
          <t>SPECIES_GARDEVOIR</t>
        </is>
      </c>
      <c r="B1092" s="3" t="inlineStr">
        <is>
          <t>Gardevoir</t>
        </is>
      </c>
      <c r="C1092" s="3" t="n">
        <v>42</v>
      </c>
      <c r="D1092" s="3" t="inlineStr">
        <is>
          <t>Psychic</t>
        </is>
      </c>
      <c r="E1092" s="3" t="inlineStr">
        <is>
          <t>MOVE_PSYCHIC</t>
        </is>
      </c>
    </row>
    <row r="1093">
      <c r="A1093" s="3" t="inlineStr">
        <is>
          <t>SPECIES_GARDEVOIR</t>
        </is>
      </c>
      <c r="B1093" s="3" t="inlineStr">
        <is>
          <t>Gardevoir</t>
        </is>
      </c>
      <c r="C1093" s="3" t="n">
        <v>49</v>
      </c>
      <c r="D1093" s="3" t="inlineStr">
        <is>
          <t>Moonblast</t>
        </is>
      </c>
      <c r="E1093" s="3" t="inlineStr">
        <is>
          <t>MOVE_MOONBLAST</t>
        </is>
      </c>
    </row>
    <row r="1094">
      <c r="A1094" s="3" t="inlineStr">
        <is>
          <t>SPECIES_GARDEVOIR</t>
        </is>
      </c>
      <c r="B1094" s="3" t="inlineStr">
        <is>
          <t>Gardevoir</t>
        </is>
      </c>
      <c r="C1094" s="3" t="n">
        <v>56</v>
      </c>
      <c r="D1094" s="3" t="inlineStr">
        <is>
          <t>Dream Eater</t>
        </is>
      </c>
      <c r="E1094" s="3" t="inlineStr">
        <is>
          <t>MOVE_DREAM_EATER</t>
        </is>
      </c>
    </row>
    <row r="1095">
      <c r="A1095" s="3" t="inlineStr">
        <is>
          <t>SPECIES_GARDEVOIR</t>
        </is>
      </c>
      <c r="B1095" s="3" t="inlineStr">
        <is>
          <t>Gardevoir</t>
        </is>
      </c>
      <c r="C1095" s="3" t="n">
        <v>63</v>
      </c>
      <c r="D1095" s="3" t="inlineStr">
        <is>
          <t>Future Sight</t>
        </is>
      </c>
      <c r="E1095" s="3" t="inlineStr">
        <is>
          <t>MOVE_FUTURE_SIGHT</t>
        </is>
      </c>
    </row>
    <row r="1096">
      <c r="A1096" s="3" t="inlineStr">
        <is>
          <t>SPECIES_GALLADE</t>
        </is>
      </c>
      <c r="B1096" s="3" t="inlineStr">
        <is>
          <t>Gallade</t>
        </is>
      </c>
      <c r="C1096" s="3" t="n">
        <v>0</v>
      </c>
      <c r="D1096" s="3" t="inlineStr">
        <is>
          <t>Slash</t>
        </is>
      </c>
      <c r="E1096" s="3" t="inlineStr">
        <is>
          <t>MOVE_SLASH</t>
        </is>
      </c>
    </row>
    <row r="1097">
      <c r="A1097" s="3" t="inlineStr">
        <is>
          <t>SPECIES_GALLADE</t>
        </is>
      </c>
      <c r="B1097" s="3" t="inlineStr">
        <is>
          <t>Gallade</t>
        </is>
      </c>
      <c r="C1097" s="3" t="n">
        <v>1</v>
      </c>
      <c r="D1097" s="3" t="inlineStr">
        <is>
          <t>Night Slash</t>
        </is>
      </c>
      <c r="E1097" s="3" t="inlineStr">
        <is>
          <t>MOVE_NIGHT_SLASH</t>
        </is>
      </c>
    </row>
    <row r="1098">
      <c r="A1098" s="3" t="inlineStr">
        <is>
          <t>SPECIES_GALLADE</t>
        </is>
      </c>
      <c r="B1098" s="3" t="inlineStr">
        <is>
          <t>Gallade</t>
        </is>
      </c>
      <c r="C1098" s="3" t="n">
        <v>1</v>
      </c>
      <c r="D1098" s="3" t="inlineStr">
        <is>
          <t>Imprison</t>
        </is>
      </c>
      <c r="E1098" s="3" t="inlineStr">
        <is>
          <t>MOVE_IMPRISON</t>
        </is>
      </c>
    </row>
    <row r="1099">
      <c r="A1099" s="3" t="inlineStr">
        <is>
          <t>SPECIES_GALLADE</t>
        </is>
      </c>
      <c r="B1099" s="3" t="inlineStr">
        <is>
          <t>Gallade</t>
        </is>
      </c>
      <c r="C1099" s="3" t="n">
        <v>1</v>
      </c>
      <c r="D1099" s="3" t="inlineStr">
        <is>
          <t>Life Dew</t>
        </is>
      </c>
      <c r="E1099" s="3" t="inlineStr">
        <is>
          <t>MOVE_LIFE_DEW</t>
        </is>
      </c>
    </row>
    <row r="1100">
      <c r="A1100" s="3" t="inlineStr">
        <is>
          <t>SPECIES_GALLADE</t>
        </is>
      </c>
      <c r="B1100" s="3" t="inlineStr">
        <is>
          <t>Gallade</t>
        </is>
      </c>
      <c r="C1100" s="3" t="n">
        <v>1</v>
      </c>
      <c r="D1100" s="3" t="inlineStr">
        <is>
          <t>Future Sight</t>
        </is>
      </c>
      <c r="E1100" s="3" t="inlineStr">
        <is>
          <t>MOVE_FUTURE_SIGHT</t>
        </is>
      </c>
    </row>
    <row r="1101">
      <c r="A1101" s="3" t="inlineStr">
        <is>
          <t>SPECIES_GALLADE</t>
        </is>
      </c>
      <c r="B1101" s="3" t="inlineStr">
        <is>
          <t>Gallade</t>
        </is>
      </c>
      <c r="C1101" s="3" t="n">
        <v>1</v>
      </c>
      <c r="D1101" s="3" t="inlineStr">
        <is>
          <t>Fury Cutter</t>
        </is>
      </c>
      <c r="E1101" s="3" t="inlineStr">
        <is>
          <t>MOVE_FURY_CUTTER</t>
        </is>
      </c>
    </row>
    <row r="1102">
      <c r="A1102" s="3" t="inlineStr">
        <is>
          <t>SPECIES_GALLADE</t>
        </is>
      </c>
      <c r="B1102" s="3" t="inlineStr">
        <is>
          <t>Gallade</t>
        </is>
      </c>
      <c r="C1102" s="3" t="n">
        <v>1</v>
      </c>
      <c r="D1102" s="3" t="inlineStr">
        <is>
          <t>Sacred Sword</t>
        </is>
      </c>
      <c r="E1102" s="3" t="inlineStr">
        <is>
          <t>MOVE_SACRED_SWORD</t>
        </is>
      </c>
    </row>
    <row r="1103">
      <c r="A1103" s="3" t="inlineStr">
        <is>
          <t>SPECIES_GALLADE</t>
        </is>
      </c>
      <c r="B1103" s="3" t="inlineStr">
        <is>
          <t>Gallade</t>
        </is>
      </c>
      <c r="C1103" s="3" t="n">
        <v>1</v>
      </c>
      <c r="D1103" s="3" t="inlineStr">
        <is>
          <t>Charm</t>
        </is>
      </c>
      <c r="E1103" s="3" t="inlineStr">
        <is>
          <t>MOVE_CHARM</t>
        </is>
      </c>
    </row>
    <row r="1104">
      <c r="A1104" s="3" t="inlineStr">
        <is>
          <t>SPECIES_GALLADE</t>
        </is>
      </c>
      <c r="B1104" s="3" t="inlineStr">
        <is>
          <t>Gallade</t>
        </is>
      </c>
      <c r="C1104" s="3" t="n">
        <v>1</v>
      </c>
      <c r="D1104" s="3" t="inlineStr">
        <is>
          <t>Disarming Voice</t>
        </is>
      </c>
      <c r="E1104" s="3" t="inlineStr">
        <is>
          <t>MOVE_DISARMING_VOICE</t>
        </is>
      </c>
    </row>
    <row r="1105">
      <c r="A1105" s="3" t="inlineStr">
        <is>
          <t>SPECIES_GALLADE</t>
        </is>
      </c>
      <c r="B1105" s="3" t="inlineStr">
        <is>
          <t>Gallade</t>
        </is>
      </c>
      <c r="C1105" s="3" t="n">
        <v>1</v>
      </c>
      <c r="D1105" s="3" t="inlineStr">
        <is>
          <t>Calm Mind</t>
        </is>
      </c>
      <c r="E1105" s="3" t="inlineStr">
        <is>
          <t>MOVE_CALM_MIND</t>
        </is>
      </c>
    </row>
    <row r="1106">
      <c r="A1106" s="3" t="inlineStr">
        <is>
          <t>SPECIES_GALLADE</t>
        </is>
      </c>
      <c r="B1106" s="3" t="inlineStr">
        <is>
          <t>Gallade</t>
        </is>
      </c>
      <c r="C1106" s="3" t="n">
        <v>1</v>
      </c>
      <c r="D1106" s="3" t="inlineStr">
        <is>
          <t>Leaf Blade</t>
        </is>
      </c>
      <c r="E1106" s="3" t="inlineStr">
        <is>
          <t>MOVE_LEAF_BLADE</t>
        </is>
      </c>
    </row>
    <row r="1107">
      <c r="A1107" s="3" t="inlineStr">
        <is>
          <t>SPECIES_GALLADE</t>
        </is>
      </c>
      <c r="B1107" s="3" t="inlineStr">
        <is>
          <t>Gallade</t>
        </is>
      </c>
      <c r="C1107" s="3" t="n">
        <v>1</v>
      </c>
      <c r="D1107" s="3" t="inlineStr">
        <is>
          <t>Double Team</t>
        </is>
      </c>
      <c r="E1107" s="3" t="inlineStr">
        <is>
          <t>MOVE_DOUBLE_TEAM</t>
        </is>
      </c>
    </row>
    <row r="1108">
      <c r="A1108" s="3" t="inlineStr">
        <is>
          <t>SPECIES_GALLADE</t>
        </is>
      </c>
      <c r="B1108" s="3" t="inlineStr">
        <is>
          <t>Gallade</t>
        </is>
      </c>
      <c r="C1108" s="3" t="n">
        <v>1</v>
      </c>
      <c r="D1108" s="3" t="inlineStr">
        <is>
          <t>Draining Kiss</t>
        </is>
      </c>
      <c r="E1108" s="3" t="inlineStr">
        <is>
          <t>MOVE_DRAINING_KISS</t>
        </is>
      </c>
    </row>
    <row r="1109">
      <c r="A1109" s="3" t="inlineStr">
        <is>
          <t>SPECIES_GALLADE</t>
        </is>
      </c>
      <c r="B1109" s="3" t="inlineStr">
        <is>
          <t>Gallade</t>
        </is>
      </c>
      <c r="C1109" s="3" t="n">
        <v>1</v>
      </c>
      <c r="D1109" s="3" t="inlineStr">
        <is>
          <t>Hypnosis</t>
        </is>
      </c>
      <c r="E1109" s="3" t="inlineStr">
        <is>
          <t>MOVE_HYPNOSIS</t>
        </is>
      </c>
    </row>
    <row r="1110">
      <c r="A1110" s="3" t="inlineStr">
        <is>
          <t>SPECIES_GALLADE</t>
        </is>
      </c>
      <c r="B1110" s="3" t="inlineStr">
        <is>
          <t>Gallade</t>
        </is>
      </c>
      <c r="C1110" s="3" t="n">
        <v>1</v>
      </c>
      <c r="D1110" s="3" t="inlineStr">
        <is>
          <t>Psychic</t>
        </is>
      </c>
      <c r="E1110" s="3" t="inlineStr">
        <is>
          <t>MOVE_PSYCHIC</t>
        </is>
      </c>
    </row>
    <row r="1111">
      <c r="A1111" s="3" t="inlineStr">
        <is>
          <t>SPECIES_GALLADE</t>
        </is>
      </c>
      <c r="B1111" s="3" t="inlineStr">
        <is>
          <t>Gallade</t>
        </is>
      </c>
      <c r="C1111" s="3" t="n">
        <v>1</v>
      </c>
      <c r="D1111" s="3" t="inlineStr">
        <is>
          <t>Confusion</t>
        </is>
      </c>
      <c r="E1111" s="3" t="inlineStr">
        <is>
          <t>MOVE_CONFUSION</t>
        </is>
      </c>
    </row>
    <row r="1112">
      <c r="A1112" s="3" t="inlineStr">
        <is>
          <t>SPECIES_GALLADE</t>
        </is>
      </c>
      <c r="B1112" s="3" t="inlineStr">
        <is>
          <t>Gallade</t>
        </is>
      </c>
      <c r="C1112" s="3" t="n">
        <v>1</v>
      </c>
      <c r="D1112" s="3" t="inlineStr">
        <is>
          <t>Psybeam</t>
        </is>
      </c>
      <c r="E1112" s="3" t="inlineStr">
        <is>
          <t>MOVE_PSYBEAM</t>
        </is>
      </c>
    </row>
    <row r="1113">
      <c r="A1113" s="3" t="inlineStr">
        <is>
          <t>SPECIES_GALLADE</t>
        </is>
      </c>
      <c r="B1113" s="3" t="inlineStr">
        <is>
          <t>Gallade</t>
        </is>
      </c>
      <c r="C1113" s="3" t="n">
        <v>1</v>
      </c>
      <c r="D1113" s="3" t="inlineStr">
        <is>
          <t>Growl</t>
        </is>
      </c>
      <c r="E1113" s="3" t="inlineStr">
        <is>
          <t>MOVE_GROWL</t>
        </is>
      </c>
    </row>
    <row r="1114">
      <c r="A1114" s="3" t="inlineStr">
        <is>
          <t>SPECIES_GALLADE</t>
        </is>
      </c>
      <c r="B1114" s="3" t="inlineStr">
        <is>
          <t>Gallade</t>
        </is>
      </c>
      <c r="C1114" s="3" t="n">
        <v>1</v>
      </c>
      <c r="D1114" s="3" t="inlineStr">
        <is>
          <t>Leer</t>
        </is>
      </c>
      <c r="E1114" s="3" t="inlineStr">
        <is>
          <t>MOVE_LEER</t>
        </is>
      </c>
    </row>
    <row r="1115">
      <c r="A1115" s="3" t="inlineStr">
        <is>
          <t>SPECIES_GALLADE</t>
        </is>
      </c>
      <c r="B1115" s="3" t="inlineStr">
        <is>
          <t>Gallade</t>
        </is>
      </c>
      <c r="C1115" s="3" t="n">
        <v>1</v>
      </c>
      <c r="D1115" s="3" t="inlineStr">
        <is>
          <t>Dream Eater</t>
        </is>
      </c>
      <c r="E1115" s="3" t="inlineStr">
        <is>
          <t>MOVE_DREAM_EATER</t>
        </is>
      </c>
    </row>
    <row r="1116">
      <c r="A1116" s="3" t="inlineStr">
        <is>
          <t>SPECIES_GALLADE</t>
        </is>
      </c>
      <c r="B1116" s="3" t="inlineStr">
        <is>
          <t>Gallade</t>
        </is>
      </c>
      <c r="C1116" s="3" t="n">
        <v>1</v>
      </c>
      <c r="D1116" s="3" t="inlineStr">
        <is>
          <t>Aqua Cutter</t>
        </is>
      </c>
      <c r="E1116" s="3" t="inlineStr">
        <is>
          <t>MOVE_AQUA_CUTTER</t>
        </is>
      </c>
    </row>
    <row r="1117">
      <c r="A1117" s="3" t="inlineStr">
        <is>
          <t>SPECIES_GALLADE</t>
        </is>
      </c>
      <c r="B1117" s="3" t="inlineStr">
        <is>
          <t>Gallade</t>
        </is>
      </c>
      <c r="C1117" s="3" t="n">
        <v>9</v>
      </c>
      <c r="D1117" s="3" t="inlineStr">
        <is>
          <t>Helping Hand</t>
        </is>
      </c>
      <c r="E1117" s="3" t="inlineStr">
        <is>
          <t>MOVE_HELPING_HAND</t>
        </is>
      </c>
    </row>
    <row r="1118">
      <c r="A1118" s="3" t="inlineStr">
        <is>
          <t>SPECIES_GALLADE</t>
        </is>
      </c>
      <c r="B1118" s="3" t="inlineStr">
        <is>
          <t>Gallade</t>
        </is>
      </c>
      <c r="C1118" s="3" t="n">
        <v>12</v>
      </c>
      <c r="D1118" s="3" t="inlineStr">
        <is>
          <t>Feint</t>
        </is>
      </c>
      <c r="E1118" s="3" t="inlineStr">
        <is>
          <t>MOVE_FEINT</t>
        </is>
      </c>
    </row>
    <row r="1119">
      <c r="A1119" s="3" t="inlineStr">
        <is>
          <t>SPECIES_GALLADE</t>
        </is>
      </c>
      <c r="B1119" s="3" t="inlineStr">
        <is>
          <t>Gallade</t>
        </is>
      </c>
      <c r="C1119" s="3" t="n">
        <v>15</v>
      </c>
      <c r="D1119" s="3" t="inlineStr">
        <is>
          <t>Teleport</t>
        </is>
      </c>
      <c r="E1119" s="3" t="inlineStr">
        <is>
          <t>MOVE_TELEPORT</t>
        </is>
      </c>
    </row>
    <row r="1120">
      <c r="A1120" s="3" t="inlineStr">
        <is>
          <t>SPECIES_GALLADE</t>
        </is>
      </c>
      <c r="B1120" s="3" t="inlineStr">
        <is>
          <t>Gallade</t>
        </is>
      </c>
      <c r="C1120" s="3" t="n">
        <v>18</v>
      </c>
      <c r="D1120" s="3" t="inlineStr">
        <is>
          <t>Aerial Ace</t>
        </is>
      </c>
      <c r="E1120" s="3" t="inlineStr">
        <is>
          <t>MOVE_AERIAL_ACE</t>
        </is>
      </c>
    </row>
    <row r="1121">
      <c r="A1121" s="3" t="inlineStr">
        <is>
          <t>SPECIES_GALLADE</t>
        </is>
      </c>
      <c r="B1121" s="3" t="inlineStr">
        <is>
          <t>Gallade</t>
        </is>
      </c>
      <c r="C1121" s="3" t="n">
        <v>23</v>
      </c>
      <c r="D1121" s="3" t="inlineStr">
        <is>
          <t>False Swipe</t>
        </is>
      </c>
      <c r="E1121" s="3" t="inlineStr">
        <is>
          <t>MOVE_FALSE_SWIPE</t>
        </is>
      </c>
    </row>
    <row r="1122">
      <c r="A1122" s="3" t="inlineStr">
        <is>
          <t>SPECIES_GALLADE</t>
        </is>
      </c>
      <c r="B1122" s="3" t="inlineStr">
        <is>
          <t>Gallade</t>
        </is>
      </c>
      <c r="C1122" s="3" t="n">
        <v>28</v>
      </c>
      <c r="D1122" s="3" t="inlineStr">
        <is>
          <t>Protect</t>
        </is>
      </c>
      <c r="E1122" s="3" t="inlineStr">
        <is>
          <t>MOVE_PROTECT</t>
        </is>
      </c>
    </row>
    <row r="1123">
      <c r="A1123" s="3" t="inlineStr">
        <is>
          <t>SPECIES_GALLADE</t>
        </is>
      </c>
      <c r="B1123" s="3" t="inlineStr">
        <is>
          <t>Gallade</t>
        </is>
      </c>
      <c r="C1123" s="3" t="n">
        <v>35</v>
      </c>
      <c r="D1123" s="3" t="inlineStr">
        <is>
          <t>Swords Dance</t>
        </is>
      </c>
      <c r="E1123" s="3" t="inlineStr">
        <is>
          <t>MOVE_SWORDS_DANCE</t>
        </is>
      </c>
    </row>
    <row r="1124">
      <c r="A1124" s="3" t="inlineStr">
        <is>
          <t>SPECIES_GALLADE</t>
        </is>
      </c>
      <c r="B1124" s="3" t="inlineStr">
        <is>
          <t>Gallade</t>
        </is>
      </c>
      <c r="C1124" s="3" t="n">
        <v>42</v>
      </c>
      <c r="D1124" s="3" t="inlineStr">
        <is>
          <t>Psycho Cut</t>
        </is>
      </c>
      <c r="E1124" s="3" t="inlineStr">
        <is>
          <t>MOVE_PSYCHO_CUT</t>
        </is>
      </c>
    </row>
    <row r="1125">
      <c r="A1125" s="3" t="inlineStr">
        <is>
          <t>SPECIES_GALLADE</t>
        </is>
      </c>
      <c r="B1125" s="3" t="inlineStr">
        <is>
          <t>Gallade</t>
        </is>
      </c>
      <c r="C1125" s="3" t="n">
        <v>49</v>
      </c>
      <c r="D1125" s="3" t="inlineStr">
        <is>
          <t>Heal Pulse</t>
        </is>
      </c>
      <c r="E1125" s="3" t="inlineStr">
        <is>
          <t>MOVE_HEAL_PULSE</t>
        </is>
      </c>
    </row>
    <row r="1126">
      <c r="A1126" s="3" t="inlineStr">
        <is>
          <t>SPECIES_GALLADE</t>
        </is>
      </c>
      <c r="B1126" s="3" t="inlineStr">
        <is>
          <t>Gallade</t>
        </is>
      </c>
      <c r="C1126" s="3" t="n">
        <v>56</v>
      </c>
      <c r="D1126" s="3" t="inlineStr">
        <is>
          <t>Wide Guard</t>
        </is>
      </c>
      <c r="E1126" s="3" t="inlineStr">
        <is>
          <t>MOVE_WIDE_GUARD</t>
        </is>
      </c>
    </row>
    <row r="1127">
      <c r="A1127" s="3" t="inlineStr">
        <is>
          <t>SPECIES_GALLADE</t>
        </is>
      </c>
      <c r="B1127" s="3" t="inlineStr">
        <is>
          <t>Gallade</t>
        </is>
      </c>
      <c r="C1127" s="3" t="n">
        <v>56</v>
      </c>
      <c r="D1127" s="3" t="inlineStr">
        <is>
          <t>Quick Guard</t>
        </is>
      </c>
      <c r="E1127" s="3" t="inlineStr">
        <is>
          <t>MOVE_QUICK_GUARD</t>
        </is>
      </c>
    </row>
    <row r="1128">
      <c r="A1128" s="3" t="inlineStr">
        <is>
          <t>SPECIES_GALLADE</t>
        </is>
      </c>
      <c r="B1128" s="3" t="inlineStr">
        <is>
          <t>Gallade</t>
        </is>
      </c>
      <c r="C1128" s="3" t="n">
        <v>63</v>
      </c>
      <c r="D1128" s="3" t="inlineStr">
        <is>
          <t>Close Combat</t>
        </is>
      </c>
      <c r="E1128" s="3" t="inlineStr">
        <is>
          <t>MOVE_CLOSE_COMBAT</t>
        </is>
      </c>
    </row>
    <row r="1129">
      <c r="A1129" s="3" t="inlineStr">
        <is>
          <t>SPECIES_ARON</t>
        </is>
      </c>
      <c r="B1129" s="3" t="inlineStr">
        <is>
          <t>Aron</t>
        </is>
      </c>
      <c r="C1129" s="3" t="n">
        <v>1</v>
      </c>
      <c r="D1129" s="3" t="inlineStr">
        <is>
          <t>Tackle</t>
        </is>
      </c>
      <c r="E1129" s="3" t="inlineStr">
        <is>
          <t>MOVE_TACKLE</t>
        </is>
      </c>
    </row>
    <row r="1130">
      <c r="A1130" s="3" t="inlineStr">
        <is>
          <t>SPECIES_ARON</t>
        </is>
      </c>
      <c r="B1130" s="3" t="inlineStr">
        <is>
          <t>Aron</t>
        </is>
      </c>
      <c r="C1130" s="3" t="n">
        <v>1</v>
      </c>
      <c r="D1130" s="3" t="inlineStr">
        <is>
          <t>Harden</t>
        </is>
      </c>
      <c r="E1130" s="3" t="inlineStr">
        <is>
          <t>MOVE_HARDEN</t>
        </is>
      </c>
    </row>
    <row r="1131">
      <c r="A1131" s="3" t="inlineStr">
        <is>
          <t>SPECIES_ARON</t>
        </is>
      </c>
      <c r="B1131" s="3" t="inlineStr">
        <is>
          <t>Aron</t>
        </is>
      </c>
      <c r="C1131" s="3" t="n">
        <v>4</v>
      </c>
      <c r="D1131" s="3" t="inlineStr">
        <is>
          <t>Metal Claw</t>
        </is>
      </c>
      <c r="E1131" s="3" t="inlineStr">
        <is>
          <t>MOVE_METAL_CLAW</t>
        </is>
      </c>
    </row>
    <row r="1132">
      <c r="A1132" s="3" t="inlineStr">
        <is>
          <t>SPECIES_ARON</t>
        </is>
      </c>
      <c r="B1132" s="3" t="inlineStr">
        <is>
          <t>Aron</t>
        </is>
      </c>
      <c r="C1132" s="3" t="n">
        <v>8</v>
      </c>
      <c r="D1132" s="3" t="inlineStr">
        <is>
          <t>Rock Tomb</t>
        </is>
      </c>
      <c r="E1132" s="3" t="inlineStr">
        <is>
          <t>MOVE_ROCK_TOMB</t>
        </is>
      </c>
    </row>
    <row r="1133">
      <c r="A1133" s="3" t="inlineStr">
        <is>
          <t>SPECIES_ARON</t>
        </is>
      </c>
      <c r="B1133" s="3" t="inlineStr">
        <is>
          <t>Aron</t>
        </is>
      </c>
      <c r="C1133" s="3" t="n">
        <v>12</v>
      </c>
      <c r="D1133" s="3" t="inlineStr">
        <is>
          <t>Roar</t>
        </is>
      </c>
      <c r="E1133" s="3" t="inlineStr">
        <is>
          <t>MOVE_ROAR</t>
        </is>
      </c>
    </row>
    <row r="1134">
      <c r="A1134" s="3" t="inlineStr">
        <is>
          <t>SPECIES_ARON</t>
        </is>
      </c>
      <c r="B1134" s="3" t="inlineStr">
        <is>
          <t>Aron</t>
        </is>
      </c>
      <c r="C1134" s="3" t="n">
        <v>16</v>
      </c>
      <c r="D1134" s="3" t="inlineStr">
        <is>
          <t>Headbutt</t>
        </is>
      </c>
      <c r="E1134" s="3" t="inlineStr">
        <is>
          <t>MOVE_HEADBUTT</t>
        </is>
      </c>
    </row>
    <row r="1135">
      <c r="A1135" s="3" t="inlineStr">
        <is>
          <t>SPECIES_ARON</t>
        </is>
      </c>
      <c r="B1135" s="3" t="inlineStr">
        <is>
          <t>Aron</t>
        </is>
      </c>
      <c r="C1135" s="3" t="n">
        <v>20</v>
      </c>
      <c r="D1135" s="3" t="inlineStr">
        <is>
          <t>Protect</t>
        </is>
      </c>
      <c r="E1135" s="3" t="inlineStr">
        <is>
          <t>MOVE_PROTECT</t>
        </is>
      </c>
    </row>
    <row r="1136">
      <c r="A1136" s="3" t="inlineStr">
        <is>
          <t>SPECIES_ARON</t>
        </is>
      </c>
      <c r="B1136" s="3" t="inlineStr">
        <is>
          <t>Aron</t>
        </is>
      </c>
      <c r="C1136" s="3" t="n">
        <v>24</v>
      </c>
      <c r="D1136" s="3" t="inlineStr">
        <is>
          <t>Rock Slide</t>
        </is>
      </c>
      <c r="E1136" s="3" t="inlineStr">
        <is>
          <t>MOVE_ROCK_SLIDE</t>
        </is>
      </c>
    </row>
    <row r="1137">
      <c r="A1137" s="3" t="inlineStr">
        <is>
          <t>SPECIES_ARON</t>
        </is>
      </c>
      <c r="B1137" s="3" t="inlineStr">
        <is>
          <t>Aron</t>
        </is>
      </c>
      <c r="C1137" s="3" t="n">
        <v>28</v>
      </c>
      <c r="D1137" s="3" t="inlineStr">
        <is>
          <t>Iron Head</t>
        </is>
      </c>
      <c r="E1137" s="3" t="inlineStr">
        <is>
          <t>MOVE_IRON_HEAD</t>
        </is>
      </c>
    </row>
    <row r="1138">
      <c r="A1138" s="3" t="inlineStr">
        <is>
          <t>SPECIES_ARON</t>
        </is>
      </c>
      <c r="B1138" s="3" t="inlineStr">
        <is>
          <t>Aron</t>
        </is>
      </c>
      <c r="C1138" s="3" t="n">
        <v>33</v>
      </c>
      <c r="D1138" s="3" t="inlineStr">
        <is>
          <t>Metal Sound</t>
        </is>
      </c>
      <c r="E1138" s="3" t="inlineStr">
        <is>
          <t>MOVE_METAL_SOUND</t>
        </is>
      </c>
    </row>
    <row r="1139">
      <c r="A1139" s="3" t="inlineStr">
        <is>
          <t>SPECIES_ARON</t>
        </is>
      </c>
      <c r="B1139" s="3" t="inlineStr">
        <is>
          <t>Aron</t>
        </is>
      </c>
      <c r="C1139" s="3" t="n">
        <v>36</v>
      </c>
      <c r="D1139" s="3" t="inlineStr">
        <is>
          <t>Take Down</t>
        </is>
      </c>
      <c r="E1139" s="3" t="inlineStr">
        <is>
          <t>MOVE_TAKE_DOWN</t>
        </is>
      </c>
    </row>
    <row r="1140">
      <c r="A1140" s="3" t="inlineStr">
        <is>
          <t>SPECIES_ARON</t>
        </is>
      </c>
      <c r="B1140" s="3" t="inlineStr">
        <is>
          <t>Aron</t>
        </is>
      </c>
      <c r="C1140" s="3" t="n">
        <v>40</v>
      </c>
      <c r="D1140" s="3" t="inlineStr">
        <is>
          <t>Autotomize</t>
        </is>
      </c>
      <c r="E1140" s="3" t="inlineStr">
        <is>
          <t>MOVE_AUTOTOMIZE</t>
        </is>
      </c>
    </row>
    <row r="1141">
      <c r="A1141" s="3" t="inlineStr">
        <is>
          <t>SPECIES_ARON</t>
        </is>
      </c>
      <c r="B1141" s="3" t="inlineStr">
        <is>
          <t>Aron</t>
        </is>
      </c>
      <c r="C1141" s="3" t="n">
        <v>44</v>
      </c>
      <c r="D1141" s="3" t="inlineStr">
        <is>
          <t>Iron Tail</t>
        </is>
      </c>
      <c r="E1141" s="3" t="inlineStr">
        <is>
          <t>MOVE_IRON_TAIL</t>
        </is>
      </c>
    </row>
    <row r="1142">
      <c r="A1142" s="3" t="inlineStr">
        <is>
          <t>SPECIES_ARON</t>
        </is>
      </c>
      <c r="B1142" s="3" t="inlineStr">
        <is>
          <t>Aron</t>
        </is>
      </c>
      <c r="C1142" s="3" t="n">
        <v>48</v>
      </c>
      <c r="D1142" s="3" t="inlineStr">
        <is>
          <t>Iron Defense</t>
        </is>
      </c>
      <c r="E1142" s="3" t="inlineStr">
        <is>
          <t>MOVE_IRON_DEFENSE</t>
        </is>
      </c>
    </row>
    <row r="1143">
      <c r="A1143" s="3" t="inlineStr">
        <is>
          <t>SPECIES_ARON</t>
        </is>
      </c>
      <c r="B1143" s="3" t="inlineStr">
        <is>
          <t>Aron</t>
        </is>
      </c>
      <c r="C1143" s="3" t="n">
        <v>52</v>
      </c>
      <c r="D1143" s="3" t="inlineStr">
        <is>
          <t>Heavy Slam</t>
        </is>
      </c>
      <c r="E1143" s="3" t="inlineStr">
        <is>
          <t>MOVE_HEAVY_SLAM</t>
        </is>
      </c>
    </row>
    <row r="1144">
      <c r="A1144" s="3" t="inlineStr">
        <is>
          <t>SPECIES_ARON</t>
        </is>
      </c>
      <c r="B1144" s="3" t="inlineStr">
        <is>
          <t>Aron</t>
        </is>
      </c>
      <c r="C1144" s="3" t="n">
        <v>56</v>
      </c>
      <c r="D1144" s="3" t="inlineStr">
        <is>
          <t>Double-Edge</t>
        </is>
      </c>
      <c r="E1144" s="3" t="inlineStr">
        <is>
          <t>MOVE_DOUBLE_EDGE</t>
        </is>
      </c>
    </row>
    <row r="1145">
      <c r="A1145" s="3" t="inlineStr">
        <is>
          <t>SPECIES_ARON</t>
        </is>
      </c>
      <c r="B1145" s="3" t="inlineStr">
        <is>
          <t>Aron</t>
        </is>
      </c>
      <c r="C1145" s="3" t="n">
        <v>60</v>
      </c>
      <c r="D1145" s="3" t="inlineStr">
        <is>
          <t>Metal Burst</t>
        </is>
      </c>
      <c r="E1145" s="3" t="inlineStr">
        <is>
          <t>MOVE_METAL_BURST</t>
        </is>
      </c>
    </row>
    <row r="1146">
      <c r="A1146" s="3" t="inlineStr">
        <is>
          <t>SPECIES_LAIRON</t>
        </is>
      </c>
      <c r="B1146" s="3" t="inlineStr">
        <is>
          <t>Lairon</t>
        </is>
      </c>
      <c r="C1146" s="3" t="n">
        <v>1</v>
      </c>
      <c r="D1146" s="3" t="inlineStr">
        <is>
          <t>Tackle</t>
        </is>
      </c>
      <c r="E1146" s="3" t="inlineStr">
        <is>
          <t>MOVE_TACKLE</t>
        </is>
      </c>
    </row>
    <row r="1147">
      <c r="A1147" s="3" t="inlineStr">
        <is>
          <t>SPECIES_LAIRON</t>
        </is>
      </c>
      <c r="B1147" s="3" t="inlineStr">
        <is>
          <t>Lairon</t>
        </is>
      </c>
      <c r="C1147" s="3" t="n">
        <v>1</v>
      </c>
      <c r="D1147" s="3" t="inlineStr">
        <is>
          <t>Harden</t>
        </is>
      </c>
      <c r="E1147" s="3" t="inlineStr">
        <is>
          <t>MOVE_HARDEN</t>
        </is>
      </c>
    </row>
    <row r="1148">
      <c r="A1148" s="3" t="inlineStr">
        <is>
          <t>SPECIES_LAIRON</t>
        </is>
      </c>
      <c r="B1148" s="3" t="inlineStr">
        <is>
          <t>Lairon</t>
        </is>
      </c>
      <c r="C1148" s="3" t="n">
        <v>1</v>
      </c>
      <c r="D1148" s="3" t="inlineStr">
        <is>
          <t>Metal Claw</t>
        </is>
      </c>
      <c r="E1148" s="3" t="inlineStr">
        <is>
          <t>MOVE_METAL_CLAW</t>
        </is>
      </c>
    </row>
    <row r="1149">
      <c r="A1149" s="3" t="inlineStr">
        <is>
          <t>SPECIES_LAIRON</t>
        </is>
      </c>
      <c r="B1149" s="3" t="inlineStr">
        <is>
          <t>Lairon</t>
        </is>
      </c>
      <c r="C1149" s="3" t="n">
        <v>1</v>
      </c>
      <c r="D1149" s="3" t="inlineStr">
        <is>
          <t>Rock Tomb</t>
        </is>
      </c>
      <c r="E1149" s="3" t="inlineStr">
        <is>
          <t>MOVE_ROCK_TOMB</t>
        </is>
      </c>
    </row>
    <row r="1150">
      <c r="A1150" s="3" t="inlineStr">
        <is>
          <t>SPECIES_LAIRON</t>
        </is>
      </c>
      <c r="B1150" s="3" t="inlineStr">
        <is>
          <t>Lairon</t>
        </is>
      </c>
      <c r="C1150" s="3" t="n">
        <v>12</v>
      </c>
      <c r="D1150" s="3" t="inlineStr">
        <is>
          <t>Roar</t>
        </is>
      </c>
      <c r="E1150" s="3" t="inlineStr">
        <is>
          <t>MOVE_ROAR</t>
        </is>
      </c>
    </row>
    <row r="1151">
      <c r="A1151" s="3" t="inlineStr">
        <is>
          <t>SPECIES_LAIRON</t>
        </is>
      </c>
      <c r="B1151" s="3" t="inlineStr">
        <is>
          <t>Lairon</t>
        </is>
      </c>
      <c r="C1151" s="3" t="n">
        <v>16</v>
      </c>
      <c r="D1151" s="3" t="inlineStr">
        <is>
          <t>Headbutt</t>
        </is>
      </c>
      <c r="E1151" s="3" t="inlineStr">
        <is>
          <t>MOVE_HEADBUTT</t>
        </is>
      </c>
    </row>
    <row r="1152">
      <c r="A1152" s="3" t="inlineStr">
        <is>
          <t>SPECIES_LAIRON</t>
        </is>
      </c>
      <c r="B1152" s="3" t="inlineStr">
        <is>
          <t>Lairon</t>
        </is>
      </c>
      <c r="C1152" s="3" t="n">
        <v>20</v>
      </c>
      <c r="D1152" s="3" t="inlineStr">
        <is>
          <t>Protect</t>
        </is>
      </c>
      <c r="E1152" s="3" t="inlineStr">
        <is>
          <t>MOVE_PROTECT</t>
        </is>
      </c>
    </row>
    <row r="1153">
      <c r="A1153" s="3" t="inlineStr">
        <is>
          <t>SPECIES_LAIRON</t>
        </is>
      </c>
      <c r="B1153" s="3" t="inlineStr">
        <is>
          <t>Lairon</t>
        </is>
      </c>
      <c r="C1153" s="3" t="n">
        <v>24</v>
      </c>
      <c r="D1153" s="3" t="inlineStr">
        <is>
          <t>Rock Slide</t>
        </is>
      </c>
      <c r="E1153" s="3" t="inlineStr">
        <is>
          <t>MOVE_ROCK_SLIDE</t>
        </is>
      </c>
    </row>
    <row r="1154">
      <c r="A1154" s="3" t="inlineStr">
        <is>
          <t>SPECIES_LAIRON</t>
        </is>
      </c>
      <c r="B1154" s="3" t="inlineStr">
        <is>
          <t>Lairon</t>
        </is>
      </c>
      <c r="C1154" s="3" t="n">
        <v>28</v>
      </c>
      <c r="D1154" s="3" t="inlineStr">
        <is>
          <t>Iron Head</t>
        </is>
      </c>
      <c r="E1154" s="3" t="inlineStr">
        <is>
          <t>MOVE_IRON_HEAD</t>
        </is>
      </c>
    </row>
    <row r="1155">
      <c r="A1155" s="3" t="inlineStr">
        <is>
          <t>SPECIES_LAIRON</t>
        </is>
      </c>
      <c r="B1155" s="3" t="inlineStr">
        <is>
          <t>Lairon</t>
        </is>
      </c>
      <c r="C1155" s="3" t="n">
        <v>35</v>
      </c>
      <c r="D1155" s="3" t="inlineStr">
        <is>
          <t>Metal Sound</t>
        </is>
      </c>
      <c r="E1155" s="3" t="inlineStr">
        <is>
          <t>MOVE_METAL_SOUND</t>
        </is>
      </c>
    </row>
    <row r="1156">
      <c r="A1156" s="3" t="inlineStr">
        <is>
          <t>SPECIES_LAIRON</t>
        </is>
      </c>
      <c r="B1156" s="3" t="inlineStr">
        <is>
          <t>Lairon</t>
        </is>
      </c>
      <c r="C1156" s="3" t="n">
        <v>40</v>
      </c>
      <c r="D1156" s="3" t="inlineStr">
        <is>
          <t>Take Down</t>
        </is>
      </c>
      <c r="E1156" s="3" t="inlineStr">
        <is>
          <t>MOVE_TAKE_DOWN</t>
        </is>
      </c>
    </row>
    <row r="1157">
      <c r="A1157" s="3" t="inlineStr">
        <is>
          <t>SPECIES_LAIRON</t>
        </is>
      </c>
      <c r="B1157" s="3" t="inlineStr">
        <is>
          <t>Lairon</t>
        </is>
      </c>
      <c r="C1157" s="3" t="n">
        <v>46</v>
      </c>
      <c r="D1157" s="3" t="inlineStr">
        <is>
          <t>Autotomize</t>
        </is>
      </c>
      <c r="E1157" s="3" t="inlineStr">
        <is>
          <t>MOVE_AUTOTOMIZE</t>
        </is>
      </c>
    </row>
    <row r="1158">
      <c r="A1158" s="3" t="inlineStr">
        <is>
          <t>SPECIES_LAIRON</t>
        </is>
      </c>
      <c r="B1158" s="3" t="inlineStr">
        <is>
          <t>Lairon</t>
        </is>
      </c>
      <c r="C1158" s="3" t="n">
        <v>52</v>
      </c>
      <c r="D1158" s="3" t="inlineStr">
        <is>
          <t>Iron Tail</t>
        </is>
      </c>
      <c r="E1158" s="3" t="inlineStr">
        <is>
          <t>MOVE_IRON_TAIL</t>
        </is>
      </c>
    </row>
    <row r="1159">
      <c r="A1159" s="3" t="inlineStr">
        <is>
          <t>SPECIES_LAIRON</t>
        </is>
      </c>
      <c r="B1159" s="3" t="inlineStr">
        <is>
          <t>Lairon</t>
        </is>
      </c>
      <c r="C1159" s="3" t="n">
        <v>58</v>
      </c>
      <c r="D1159" s="3" t="inlineStr">
        <is>
          <t>Iron Defense</t>
        </is>
      </c>
      <c r="E1159" s="3" t="inlineStr">
        <is>
          <t>MOVE_IRON_DEFENSE</t>
        </is>
      </c>
    </row>
    <row r="1160">
      <c r="A1160" s="3" t="inlineStr">
        <is>
          <t>SPECIES_LAIRON</t>
        </is>
      </c>
      <c r="B1160" s="3" t="inlineStr">
        <is>
          <t>Lairon</t>
        </is>
      </c>
      <c r="C1160" s="3" t="n">
        <v>64</v>
      </c>
      <c r="D1160" s="3" t="inlineStr">
        <is>
          <t>Heavy Slam</t>
        </is>
      </c>
      <c r="E1160" s="3" t="inlineStr">
        <is>
          <t>MOVE_HEAVY_SLAM</t>
        </is>
      </c>
    </row>
    <row r="1161">
      <c r="A1161" s="3" t="inlineStr">
        <is>
          <t>SPECIES_LAIRON</t>
        </is>
      </c>
      <c r="B1161" s="3" t="inlineStr">
        <is>
          <t>Lairon</t>
        </is>
      </c>
      <c r="C1161" s="3" t="n">
        <v>70</v>
      </c>
      <c r="D1161" s="3" t="inlineStr">
        <is>
          <t>Double-Edge</t>
        </is>
      </c>
      <c r="E1161" s="3" t="inlineStr">
        <is>
          <t>MOVE_DOUBLE_EDGE</t>
        </is>
      </c>
    </row>
    <row r="1162">
      <c r="A1162" s="3" t="inlineStr">
        <is>
          <t>SPECIES_LAIRON</t>
        </is>
      </c>
      <c r="B1162" s="3" t="inlineStr">
        <is>
          <t>Lairon</t>
        </is>
      </c>
      <c r="C1162" s="3" t="n">
        <v>76</v>
      </c>
      <c r="D1162" s="3" t="inlineStr">
        <is>
          <t>Metal Burst</t>
        </is>
      </c>
      <c r="E1162" s="3" t="inlineStr">
        <is>
          <t>MOVE_METAL_BURST</t>
        </is>
      </c>
    </row>
    <row r="1163">
      <c r="A1163" s="3" t="inlineStr">
        <is>
          <t>SPECIES_AGGRON</t>
        </is>
      </c>
      <c r="B1163" s="3" t="inlineStr">
        <is>
          <t>Aggron</t>
        </is>
      </c>
      <c r="C1163" s="3" t="n">
        <v>1</v>
      </c>
      <c r="D1163" s="3" t="inlineStr">
        <is>
          <t>Tackle</t>
        </is>
      </c>
      <c r="E1163" s="3" t="inlineStr">
        <is>
          <t>MOVE_TACKLE</t>
        </is>
      </c>
    </row>
    <row r="1164">
      <c r="A1164" s="3" t="inlineStr">
        <is>
          <t>SPECIES_AGGRON</t>
        </is>
      </c>
      <c r="B1164" s="3" t="inlineStr">
        <is>
          <t>Aggron</t>
        </is>
      </c>
      <c r="C1164" s="3" t="n">
        <v>1</v>
      </c>
      <c r="D1164" s="3" t="inlineStr">
        <is>
          <t>Harden</t>
        </is>
      </c>
      <c r="E1164" s="3" t="inlineStr">
        <is>
          <t>MOVE_HARDEN</t>
        </is>
      </c>
    </row>
    <row r="1165">
      <c r="A1165" s="3" t="inlineStr">
        <is>
          <t>SPECIES_AGGRON</t>
        </is>
      </c>
      <c r="B1165" s="3" t="inlineStr">
        <is>
          <t>Aggron</t>
        </is>
      </c>
      <c r="C1165" s="3" t="n">
        <v>1</v>
      </c>
      <c r="D1165" s="3" t="inlineStr">
        <is>
          <t>Metal Claw</t>
        </is>
      </c>
      <c r="E1165" s="3" t="inlineStr">
        <is>
          <t>MOVE_METAL_CLAW</t>
        </is>
      </c>
    </row>
    <row r="1166">
      <c r="A1166" s="3" t="inlineStr">
        <is>
          <t>SPECIES_AGGRON</t>
        </is>
      </c>
      <c r="B1166" s="3" t="inlineStr">
        <is>
          <t>Aggron</t>
        </is>
      </c>
      <c r="C1166" s="3" t="n">
        <v>1</v>
      </c>
      <c r="D1166" s="3" t="inlineStr">
        <is>
          <t>Rock Tomb</t>
        </is>
      </c>
      <c r="E1166" s="3" t="inlineStr">
        <is>
          <t>MOVE_ROCK_TOMB</t>
        </is>
      </c>
    </row>
    <row r="1167">
      <c r="A1167" s="3" t="inlineStr">
        <is>
          <t>SPECIES_AGGRON</t>
        </is>
      </c>
      <c r="B1167" s="3" t="inlineStr">
        <is>
          <t>Aggron</t>
        </is>
      </c>
      <c r="C1167" s="3" t="n">
        <v>12</v>
      </c>
      <c r="D1167" s="3" t="inlineStr">
        <is>
          <t>Roar</t>
        </is>
      </c>
      <c r="E1167" s="3" t="inlineStr">
        <is>
          <t>MOVE_ROAR</t>
        </is>
      </c>
    </row>
    <row r="1168">
      <c r="A1168" s="3" t="inlineStr">
        <is>
          <t>SPECIES_AGGRON</t>
        </is>
      </c>
      <c r="B1168" s="3" t="inlineStr">
        <is>
          <t>Aggron</t>
        </is>
      </c>
      <c r="C1168" s="3" t="n">
        <v>16</v>
      </c>
      <c r="D1168" s="3" t="inlineStr">
        <is>
          <t>Headbutt</t>
        </is>
      </c>
      <c r="E1168" s="3" t="inlineStr">
        <is>
          <t>MOVE_HEADBUTT</t>
        </is>
      </c>
    </row>
    <row r="1169">
      <c r="A1169" s="3" t="inlineStr">
        <is>
          <t>SPECIES_AGGRON</t>
        </is>
      </c>
      <c r="B1169" s="3" t="inlineStr">
        <is>
          <t>Aggron</t>
        </is>
      </c>
      <c r="C1169" s="3" t="n">
        <v>20</v>
      </c>
      <c r="D1169" s="3" t="inlineStr">
        <is>
          <t>Protect</t>
        </is>
      </c>
      <c r="E1169" s="3" t="inlineStr">
        <is>
          <t>MOVE_PROTECT</t>
        </is>
      </c>
    </row>
    <row r="1170">
      <c r="A1170" s="3" t="inlineStr">
        <is>
          <t>SPECIES_AGGRON</t>
        </is>
      </c>
      <c r="B1170" s="3" t="inlineStr">
        <is>
          <t>Aggron</t>
        </is>
      </c>
      <c r="C1170" s="3" t="n">
        <v>24</v>
      </c>
      <c r="D1170" s="3" t="inlineStr">
        <is>
          <t>Rock Slide</t>
        </is>
      </c>
      <c r="E1170" s="3" t="inlineStr">
        <is>
          <t>MOVE_ROCK_SLIDE</t>
        </is>
      </c>
    </row>
    <row r="1171">
      <c r="A1171" s="3" t="inlineStr">
        <is>
          <t>SPECIES_AGGRON</t>
        </is>
      </c>
      <c r="B1171" s="3" t="inlineStr">
        <is>
          <t>Aggron</t>
        </is>
      </c>
      <c r="C1171" s="3" t="n">
        <v>28</v>
      </c>
      <c r="D1171" s="3" t="inlineStr">
        <is>
          <t>Iron Head</t>
        </is>
      </c>
      <c r="E1171" s="3" t="inlineStr">
        <is>
          <t>MOVE_IRON_HEAD</t>
        </is>
      </c>
    </row>
    <row r="1172">
      <c r="A1172" s="3" t="inlineStr">
        <is>
          <t>SPECIES_AGGRON</t>
        </is>
      </c>
      <c r="B1172" s="3" t="inlineStr">
        <is>
          <t>Aggron</t>
        </is>
      </c>
      <c r="C1172" s="3" t="n">
        <v>35</v>
      </c>
      <c r="D1172" s="3" t="inlineStr">
        <is>
          <t>Metal Sound</t>
        </is>
      </c>
      <c r="E1172" s="3" t="inlineStr">
        <is>
          <t>MOVE_METAL_SOUND</t>
        </is>
      </c>
    </row>
    <row r="1173">
      <c r="A1173" s="3" t="inlineStr">
        <is>
          <t>SPECIES_AGGRON</t>
        </is>
      </c>
      <c r="B1173" s="3" t="inlineStr">
        <is>
          <t>Aggron</t>
        </is>
      </c>
      <c r="C1173" s="3" t="n">
        <v>40</v>
      </c>
      <c r="D1173" s="3" t="inlineStr">
        <is>
          <t>Take Down</t>
        </is>
      </c>
      <c r="E1173" s="3" t="inlineStr">
        <is>
          <t>MOVE_TAKE_DOWN</t>
        </is>
      </c>
    </row>
    <row r="1174">
      <c r="A1174" s="3" t="inlineStr">
        <is>
          <t>SPECIES_AGGRON</t>
        </is>
      </c>
      <c r="B1174" s="3" t="inlineStr">
        <is>
          <t>Aggron</t>
        </is>
      </c>
      <c r="C1174" s="3" t="n">
        <v>48</v>
      </c>
      <c r="D1174" s="3" t="inlineStr">
        <is>
          <t>Autotomize</t>
        </is>
      </c>
      <c r="E1174" s="3" t="inlineStr">
        <is>
          <t>MOVE_AUTOTOMIZE</t>
        </is>
      </c>
    </row>
    <row r="1175">
      <c r="A1175" s="3" t="inlineStr">
        <is>
          <t>SPECIES_AGGRON</t>
        </is>
      </c>
      <c r="B1175" s="3" t="inlineStr">
        <is>
          <t>Aggron</t>
        </is>
      </c>
      <c r="C1175" s="3" t="n">
        <v>56</v>
      </c>
      <c r="D1175" s="3" t="inlineStr">
        <is>
          <t>Iron Tail</t>
        </is>
      </c>
      <c r="E1175" s="3" t="inlineStr">
        <is>
          <t>MOVE_IRON_TAIL</t>
        </is>
      </c>
    </row>
    <row r="1176">
      <c r="A1176" s="3" t="inlineStr">
        <is>
          <t>SPECIES_AGGRON</t>
        </is>
      </c>
      <c r="B1176" s="3" t="inlineStr">
        <is>
          <t>Aggron</t>
        </is>
      </c>
      <c r="C1176" s="3" t="n">
        <v>64</v>
      </c>
      <c r="D1176" s="3" t="inlineStr">
        <is>
          <t>Iron Defense</t>
        </is>
      </c>
      <c r="E1176" s="3" t="inlineStr">
        <is>
          <t>MOVE_IRON_DEFENSE</t>
        </is>
      </c>
    </row>
    <row r="1177">
      <c r="A1177" s="3" t="inlineStr">
        <is>
          <t>SPECIES_AGGRON</t>
        </is>
      </c>
      <c r="B1177" s="3" t="inlineStr">
        <is>
          <t>Aggron</t>
        </is>
      </c>
      <c r="C1177" s="3" t="n">
        <v>72</v>
      </c>
      <c r="D1177" s="3" t="inlineStr">
        <is>
          <t>Heavy Slam</t>
        </is>
      </c>
      <c r="E1177" s="3" t="inlineStr">
        <is>
          <t>MOVE_HEAVY_SLAM</t>
        </is>
      </c>
    </row>
    <row r="1178">
      <c r="A1178" s="3" t="inlineStr">
        <is>
          <t>SPECIES_AGGRON</t>
        </is>
      </c>
      <c r="B1178" s="3" t="inlineStr">
        <is>
          <t>Aggron</t>
        </is>
      </c>
      <c r="C1178" s="3" t="n">
        <v>80</v>
      </c>
      <c r="D1178" s="3" t="inlineStr">
        <is>
          <t>Double-Edge</t>
        </is>
      </c>
      <c r="E1178" s="3" t="inlineStr">
        <is>
          <t>MOVE_DOUBLE_EDGE</t>
        </is>
      </c>
    </row>
    <row r="1179">
      <c r="A1179" s="3" t="inlineStr">
        <is>
          <t>SPECIES_AGGRON</t>
        </is>
      </c>
      <c r="B1179" s="3" t="inlineStr">
        <is>
          <t>Aggron</t>
        </is>
      </c>
      <c r="C1179" s="3" t="n">
        <v>88</v>
      </c>
      <c r="D1179" s="3" t="inlineStr">
        <is>
          <t>Metal Burst</t>
        </is>
      </c>
      <c r="E1179" s="3" t="inlineStr">
        <is>
          <t>MOVE_METAL_BURST</t>
        </is>
      </c>
    </row>
    <row r="1180">
      <c r="A1180" s="3" t="inlineStr">
        <is>
          <t>SPECIES_MEDITITE</t>
        </is>
      </c>
      <c r="B1180" s="3" t="inlineStr">
        <is>
          <t>Meditite</t>
        </is>
      </c>
      <c r="C1180" s="3" t="n">
        <v>1</v>
      </c>
      <c r="D1180" s="3" t="inlineStr">
        <is>
          <t>Confusion</t>
        </is>
      </c>
      <c r="E1180" s="3" t="inlineStr">
        <is>
          <t>MOVE_CONFUSION</t>
        </is>
      </c>
    </row>
    <row r="1181">
      <c r="A1181" s="3" t="inlineStr">
        <is>
          <t>SPECIES_MEDITITE</t>
        </is>
      </c>
      <c r="B1181" s="3" t="inlineStr">
        <is>
          <t>Meditite</t>
        </is>
      </c>
      <c r="C1181" s="3" t="n">
        <v>1</v>
      </c>
      <c r="D1181" s="3" t="inlineStr">
        <is>
          <t>Work Up</t>
        </is>
      </c>
      <c r="E1181" s="3" t="inlineStr">
        <is>
          <t>MOVE_WORK_UP</t>
        </is>
      </c>
    </row>
    <row r="1182">
      <c r="A1182" s="3" t="inlineStr">
        <is>
          <t>SPECIES_MEDITITE</t>
        </is>
      </c>
      <c r="B1182" s="3" t="inlineStr">
        <is>
          <t>Meditite</t>
        </is>
      </c>
      <c r="C1182" s="3" t="n">
        <v>9</v>
      </c>
      <c r="D1182" s="3" t="inlineStr">
        <is>
          <t>Detect</t>
        </is>
      </c>
      <c r="E1182" s="3" t="inlineStr">
        <is>
          <t>MOVE_DETECT</t>
        </is>
      </c>
    </row>
    <row r="1183">
      <c r="A1183" s="3" t="inlineStr">
        <is>
          <t>SPECIES_MEDITITE</t>
        </is>
      </c>
      <c r="B1183" s="3" t="inlineStr">
        <is>
          <t>Meditite</t>
        </is>
      </c>
      <c r="C1183" s="3" t="n">
        <v>12</v>
      </c>
      <c r="D1183" s="3" t="inlineStr">
        <is>
          <t>Endure</t>
        </is>
      </c>
      <c r="E1183" s="3" t="inlineStr">
        <is>
          <t>MOVE_ENDURE</t>
        </is>
      </c>
    </row>
    <row r="1184">
      <c r="A1184" s="3" t="inlineStr">
        <is>
          <t>SPECIES_MEDITITE</t>
        </is>
      </c>
      <c r="B1184" s="3" t="inlineStr">
        <is>
          <t>Meditite</t>
        </is>
      </c>
      <c r="C1184" s="3" t="n">
        <v>15</v>
      </c>
      <c r="D1184" s="3" t="inlineStr">
        <is>
          <t>Feint</t>
        </is>
      </c>
      <c r="E1184" s="3" t="inlineStr">
        <is>
          <t>MOVE_FEINT</t>
        </is>
      </c>
    </row>
    <row r="1185">
      <c r="A1185" s="3" t="inlineStr">
        <is>
          <t>SPECIES_MEDITITE</t>
        </is>
      </c>
      <c r="B1185" s="3" t="inlineStr">
        <is>
          <t>Meditite</t>
        </is>
      </c>
      <c r="C1185" s="3" t="n">
        <v>17</v>
      </c>
      <c r="D1185" s="3" t="inlineStr">
        <is>
          <t>Force Palm</t>
        </is>
      </c>
      <c r="E1185" s="3" t="inlineStr">
        <is>
          <t>MOVE_FORCE_PALM</t>
        </is>
      </c>
    </row>
    <row r="1186">
      <c r="A1186" s="3" t="inlineStr">
        <is>
          <t>SPECIES_MEDITITE</t>
        </is>
      </c>
      <c r="B1186" s="3" t="inlineStr">
        <is>
          <t>Meditite</t>
        </is>
      </c>
      <c r="C1186" s="3" t="n">
        <v>20</v>
      </c>
      <c r="D1186" s="3" t="inlineStr">
        <is>
          <t>Psybeam</t>
        </is>
      </c>
      <c r="E1186" s="3" t="inlineStr">
        <is>
          <t>MOVE_PSYBEAM</t>
        </is>
      </c>
    </row>
    <row r="1187">
      <c r="A1187" s="3" t="inlineStr">
        <is>
          <t>SPECIES_MEDITITE</t>
        </is>
      </c>
      <c r="B1187" s="3" t="inlineStr">
        <is>
          <t>Meditite</t>
        </is>
      </c>
      <c r="C1187" s="3" t="n">
        <v>23</v>
      </c>
      <c r="D1187" s="3" t="inlineStr">
        <is>
          <t>Calm Mind</t>
        </is>
      </c>
      <c r="E1187" s="3" t="inlineStr">
        <is>
          <t>MOVE_CALM_MIND</t>
        </is>
      </c>
    </row>
    <row r="1188">
      <c r="A1188" s="3" t="inlineStr">
        <is>
          <t>SPECIES_MEDITITE</t>
        </is>
      </c>
      <c r="B1188" s="3" t="inlineStr">
        <is>
          <t>Meditite</t>
        </is>
      </c>
      <c r="C1188" s="3" t="n">
        <v>25</v>
      </c>
      <c r="D1188" s="3" t="inlineStr">
        <is>
          <t>Zen Headbutt</t>
        </is>
      </c>
      <c r="E1188" s="3" t="inlineStr">
        <is>
          <t>MOVE_ZEN_HEADBUTT</t>
        </is>
      </c>
    </row>
    <row r="1189">
      <c r="A1189" s="3" t="inlineStr">
        <is>
          <t>SPECIES_MEDITITE</t>
        </is>
      </c>
      <c r="B1189" s="3" t="inlineStr">
        <is>
          <t>Meditite</t>
        </is>
      </c>
      <c r="C1189" s="3" t="n">
        <v>28</v>
      </c>
      <c r="D1189" s="3" t="inlineStr">
        <is>
          <t>High Jump Kick</t>
        </is>
      </c>
      <c r="E1189" s="3" t="inlineStr">
        <is>
          <t>MOVE_HIGH_JUMP_KICK</t>
        </is>
      </c>
    </row>
    <row r="1190">
      <c r="A1190" s="3" t="inlineStr">
        <is>
          <t>SPECIES_MEDITITE</t>
        </is>
      </c>
      <c r="B1190" s="3" t="inlineStr">
        <is>
          <t>Meditite</t>
        </is>
      </c>
      <c r="C1190" s="3" t="n">
        <v>31</v>
      </c>
      <c r="D1190" s="3" t="inlineStr">
        <is>
          <t>Psych Up</t>
        </is>
      </c>
      <c r="E1190" s="3" t="inlineStr">
        <is>
          <t>MOVE_PSYCH_UP</t>
        </is>
      </c>
    </row>
    <row r="1191">
      <c r="A1191" s="3" t="inlineStr">
        <is>
          <t>SPECIES_MEDITITE</t>
        </is>
      </c>
      <c r="B1191" s="3" t="inlineStr">
        <is>
          <t>Meditite</t>
        </is>
      </c>
      <c r="C1191" s="3" t="n">
        <v>33</v>
      </c>
      <c r="D1191" s="3" t="inlineStr">
        <is>
          <t>Acupressure</t>
        </is>
      </c>
      <c r="E1191" s="3" t="inlineStr">
        <is>
          <t>MOVE_ACUPRESSURE</t>
        </is>
      </c>
    </row>
    <row r="1192">
      <c r="A1192" s="3" t="inlineStr">
        <is>
          <t>SPECIES_MEDITITE</t>
        </is>
      </c>
      <c r="B1192" s="3" t="inlineStr">
        <is>
          <t>Meditite</t>
        </is>
      </c>
      <c r="C1192" s="3" t="n">
        <v>36</v>
      </c>
      <c r="D1192" s="3" t="inlineStr">
        <is>
          <t>Power Trick</t>
        </is>
      </c>
      <c r="E1192" s="3" t="inlineStr">
        <is>
          <t>MOVE_POWER_TRICK</t>
        </is>
      </c>
    </row>
    <row r="1193">
      <c r="A1193" s="3" t="inlineStr">
        <is>
          <t>SPECIES_MEDITITE</t>
        </is>
      </c>
      <c r="B1193" s="3" t="inlineStr">
        <is>
          <t>Meditite</t>
        </is>
      </c>
      <c r="C1193" s="3" t="n">
        <v>39</v>
      </c>
      <c r="D1193" s="3" t="inlineStr">
        <is>
          <t>Reversal</t>
        </is>
      </c>
      <c r="E1193" s="3" t="inlineStr">
        <is>
          <t>MOVE_REVERSAL</t>
        </is>
      </c>
    </row>
    <row r="1194">
      <c r="A1194" s="3" t="inlineStr">
        <is>
          <t>SPECIES_MEDITITE</t>
        </is>
      </c>
      <c r="B1194" s="3" t="inlineStr">
        <is>
          <t>Meditite</t>
        </is>
      </c>
      <c r="C1194" s="3" t="n">
        <v>41</v>
      </c>
      <c r="D1194" s="3" t="inlineStr">
        <is>
          <t>Recover</t>
        </is>
      </c>
      <c r="E1194" s="3" t="inlineStr">
        <is>
          <t>MOVE_RECOVER</t>
        </is>
      </c>
    </row>
    <row r="1195">
      <c r="A1195" s="3" t="inlineStr">
        <is>
          <t>SPECIES_MEDITITE</t>
        </is>
      </c>
      <c r="B1195" s="3" t="inlineStr">
        <is>
          <t>Meditite</t>
        </is>
      </c>
      <c r="C1195" s="3" t="n">
        <v>44</v>
      </c>
      <c r="D1195" s="3" t="inlineStr">
        <is>
          <t>Counter</t>
        </is>
      </c>
      <c r="E1195" s="3" t="inlineStr">
        <is>
          <t>MOVE_COUNTER</t>
        </is>
      </c>
    </row>
    <row r="1196">
      <c r="A1196" s="3" t="inlineStr">
        <is>
          <t>SPECIES_MEDICHAM</t>
        </is>
      </c>
      <c r="B1196" s="3" t="inlineStr">
        <is>
          <t>Medicham</t>
        </is>
      </c>
      <c r="C1196" s="3" t="n">
        <v>1</v>
      </c>
      <c r="D1196" s="3" t="inlineStr">
        <is>
          <t>Fire Punch</t>
        </is>
      </c>
      <c r="E1196" s="3" t="inlineStr">
        <is>
          <t>MOVE_FIRE_PUNCH</t>
        </is>
      </c>
    </row>
    <row r="1197">
      <c r="A1197" s="3" t="inlineStr">
        <is>
          <t>SPECIES_MEDICHAM</t>
        </is>
      </c>
      <c r="B1197" s="3" t="inlineStr">
        <is>
          <t>Medicham</t>
        </is>
      </c>
      <c r="C1197" s="3" t="n">
        <v>1</v>
      </c>
      <c r="D1197" s="3" t="inlineStr">
        <is>
          <t>Ice Punch</t>
        </is>
      </c>
      <c r="E1197" s="3" t="inlineStr">
        <is>
          <t>MOVE_ICE_PUNCH</t>
        </is>
      </c>
    </row>
    <row r="1198">
      <c r="A1198" s="3" t="inlineStr">
        <is>
          <t>SPECIES_MEDICHAM</t>
        </is>
      </c>
      <c r="B1198" s="3" t="inlineStr">
        <is>
          <t>Medicham</t>
        </is>
      </c>
      <c r="C1198" s="3" t="n">
        <v>1</v>
      </c>
      <c r="D1198" s="3" t="inlineStr">
        <is>
          <t>Thunder Punch</t>
        </is>
      </c>
      <c r="E1198" s="3" t="inlineStr">
        <is>
          <t>MOVE_THUNDER_PUNCH</t>
        </is>
      </c>
    </row>
    <row r="1199">
      <c r="A1199" s="3" t="inlineStr">
        <is>
          <t>SPECIES_MEDICHAM</t>
        </is>
      </c>
      <c r="B1199" s="3" t="inlineStr">
        <is>
          <t>Medicham</t>
        </is>
      </c>
      <c r="C1199" s="3" t="n">
        <v>1</v>
      </c>
      <c r="D1199" s="3" t="inlineStr">
        <is>
          <t>Work Up</t>
        </is>
      </c>
      <c r="E1199" s="3" t="inlineStr">
        <is>
          <t>MOVE_WORK_UP</t>
        </is>
      </c>
    </row>
    <row r="1200">
      <c r="A1200" s="3" t="inlineStr">
        <is>
          <t>SPECIES_MEDICHAM</t>
        </is>
      </c>
      <c r="B1200" s="3" t="inlineStr">
        <is>
          <t>Medicham</t>
        </is>
      </c>
      <c r="C1200" s="3" t="n">
        <v>1</v>
      </c>
      <c r="D1200" s="3" t="inlineStr">
        <is>
          <t>Detect</t>
        </is>
      </c>
      <c r="E1200" s="3" t="inlineStr">
        <is>
          <t>MOVE_DETECT</t>
        </is>
      </c>
    </row>
    <row r="1201">
      <c r="A1201" s="3" t="inlineStr">
        <is>
          <t>SPECIES_MEDICHAM</t>
        </is>
      </c>
      <c r="B1201" s="3" t="inlineStr">
        <is>
          <t>Medicham</t>
        </is>
      </c>
      <c r="C1201" s="3" t="n">
        <v>1</v>
      </c>
      <c r="D1201" s="3" t="inlineStr">
        <is>
          <t>Confusion</t>
        </is>
      </c>
      <c r="E1201" s="3" t="inlineStr">
        <is>
          <t>MOVE_CONFUSION</t>
        </is>
      </c>
    </row>
    <row r="1202">
      <c r="A1202" s="3" t="inlineStr">
        <is>
          <t>SPECIES_MEDICHAM</t>
        </is>
      </c>
      <c r="B1202" s="3" t="inlineStr">
        <is>
          <t>Medicham</t>
        </is>
      </c>
      <c r="C1202" s="3" t="n">
        <v>12</v>
      </c>
      <c r="D1202" s="3" t="inlineStr">
        <is>
          <t>Endure</t>
        </is>
      </c>
      <c r="E1202" s="3" t="inlineStr">
        <is>
          <t>MOVE_ENDURE</t>
        </is>
      </c>
    </row>
    <row r="1203">
      <c r="A1203" s="3" t="inlineStr">
        <is>
          <t>SPECIES_MEDICHAM</t>
        </is>
      </c>
      <c r="B1203" s="3" t="inlineStr">
        <is>
          <t>Medicham</t>
        </is>
      </c>
      <c r="C1203" s="3" t="n">
        <v>15</v>
      </c>
      <c r="D1203" s="3" t="inlineStr">
        <is>
          <t>Feint</t>
        </is>
      </c>
      <c r="E1203" s="3" t="inlineStr">
        <is>
          <t>MOVE_FEINT</t>
        </is>
      </c>
    </row>
    <row r="1204">
      <c r="A1204" s="3" t="inlineStr">
        <is>
          <t>SPECIES_MEDICHAM</t>
        </is>
      </c>
      <c r="B1204" s="3" t="inlineStr">
        <is>
          <t>Medicham</t>
        </is>
      </c>
      <c r="C1204" s="3" t="n">
        <v>17</v>
      </c>
      <c r="D1204" s="3" t="inlineStr">
        <is>
          <t>Force Palm</t>
        </is>
      </c>
      <c r="E1204" s="3" t="inlineStr">
        <is>
          <t>MOVE_FORCE_PALM</t>
        </is>
      </c>
    </row>
    <row r="1205">
      <c r="A1205" s="3" t="inlineStr">
        <is>
          <t>SPECIES_MEDICHAM</t>
        </is>
      </c>
      <c r="B1205" s="3" t="inlineStr">
        <is>
          <t>Medicham</t>
        </is>
      </c>
      <c r="C1205" s="3" t="n">
        <v>20</v>
      </c>
      <c r="D1205" s="3" t="inlineStr">
        <is>
          <t>Psybeam</t>
        </is>
      </c>
      <c r="E1205" s="3" t="inlineStr">
        <is>
          <t>MOVE_PSYBEAM</t>
        </is>
      </c>
    </row>
    <row r="1206">
      <c r="A1206" s="3" t="inlineStr">
        <is>
          <t>SPECIES_MEDICHAM</t>
        </is>
      </c>
      <c r="B1206" s="3" t="inlineStr">
        <is>
          <t>Medicham</t>
        </is>
      </c>
      <c r="C1206" s="3" t="n">
        <v>23</v>
      </c>
      <c r="D1206" s="3" t="inlineStr">
        <is>
          <t>Calm Mind</t>
        </is>
      </c>
      <c r="E1206" s="3" t="inlineStr">
        <is>
          <t>MOVE_CALM_MIND</t>
        </is>
      </c>
    </row>
    <row r="1207">
      <c r="A1207" s="3" t="inlineStr">
        <is>
          <t>SPECIES_MEDICHAM</t>
        </is>
      </c>
      <c r="B1207" s="3" t="inlineStr">
        <is>
          <t>Medicham</t>
        </is>
      </c>
      <c r="C1207" s="3" t="n">
        <v>25</v>
      </c>
      <c r="D1207" s="3" t="inlineStr">
        <is>
          <t>Zen Headbutt</t>
        </is>
      </c>
      <c r="E1207" s="3" t="inlineStr">
        <is>
          <t>MOVE_ZEN_HEADBUTT</t>
        </is>
      </c>
    </row>
    <row r="1208">
      <c r="A1208" s="3" t="inlineStr">
        <is>
          <t>SPECIES_MEDICHAM</t>
        </is>
      </c>
      <c r="B1208" s="3" t="inlineStr">
        <is>
          <t>Medicham</t>
        </is>
      </c>
      <c r="C1208" s="3" t="n">
        <v>28</v>
      </c>
      <c r="D1208" s="3" t="inlineStr">
        <is>
          <t>High Jump Kick</t>
        </is>
      </c>
      <c r="E1208" s="3" t="inlineStr">
        <is>
          <t>MOVE_HIGH_JUMP_KICK</t>
        </is>
      </c>
    </row>
    <row r="1209">
      <c r="A1209" s="3" t="inlineStr">
        <is>
          <t>SPECIES_MEDICHAM</t>
        </is>
      </c>
      <c r="B1209" s="3" t="inlineStr">
        <is>
          <t>Medicham</t>
        </is>
      </c>
      <c r="C1209" s="3" t="n">
        <v>31</v>
      </c>
      <c r="D1209" s="3" t="inlineStr">
        <is>
          <t>Psych Up</t>
        </is>
      </c>
      <c r="E1209" s="3" t="inlineStr">
        <is>
          <t>MOVE_PSYCH_UP</t>
        </is>
      </c>
    </row>
    <row r="1210">
      <c r="A1210" s="3" t="inlineStr">
        <is>
          <t>SPECIES_MEDICHAM</t>
        </is>
      </c>
      <c r="B1210" s="3" t="inlineStr">
        <is>
          <t>Medicham</t>
        </is>
      </c>
      <c r="C1210" s="3" t="n">
        <v>33</v>
      </c>
      <c r="D1210" s="3" t="inlineStr">
        <is>
          <t>Acupressure</t>
        </is>
      </c>
      <c r="E1210" s="3" t="inlineStr">
        <is>
          <t>MOVE_ACUPRESSURE</t>
        </is>
      </c>
    </row>
    <row r="1211">
      <c r="A1211" s="3" t="inlineStr">
        <is>
          <t>SPECIES_MEDICHAM</t>
        </is>
      </c>
      <c r="B1211" s="3" t="inlineStr">
        <is>
          <t>Medicham</t>
        </is>
      </c>
      <c r="C1211" s="3" t="n">
        <v>36</v>
      </c>
      <c r="D1211" s="3" t="inlineStr">
        <is>
          <t>Power Trick</t>
        </is>
      </c>
      <c r="E1211" s="3" t="inlineStr">
        <is>
          <t>MOVE_POWER_TRICK</t>
        </is>
      </c>
    </row>
    <row r="1212">
      <c r="A1212" s="3" t="inlineStr">
        <is>
          <t>SPECIES_MEDICHAM</t>
        </is>
      </c>
      <c r="B1212" s="3" t="inlineStr">
        <is>
          <t>Medicham</t>
        </is>
      </c>
      <c r="C1212" s="3" t="n">
        <v>47</v>
      </c>
      <c r="D1212" s="3" t="inlineStr">
        <is>
          <t>Recover</t>
        </is>
      </c>
      <c r="E1212" s="3" t="inlineStr">
        <is>
          <t>MOVE_RECOVER</t>
        </is>
      </c>
    </row>
    <row r="1213">
      <c r="A1213" s="3" t="inlineStr">
        <is>
          <t>SPECIES_MEDICHAM</t>
        </is>
      </c>
      <c r="B1213" s="3" t="inlineStr">
        <is>
          <t>Medicham</t>
        </is>
      </c>
      <c r="C1213" s="3" t="n">
        <v>53</v>
      </c>
      <c r="D1213" s="3" t="inlineStr">
        <is>
          <t>Counter</t>
        </is>
      </c>
      <c r="E1213" s="3" t="inlineStr">
        <is>
          <t>MOVE_COUNTER</t>
        </is>
      </c>
    </row>
    <row r="1214">
      <c r="A1214" s="3" t="inlineStr">
        <is>
          <t>SPECIES_MEDICHAM</t>
        </is>
      </c>
      <c r="B1214" s="3" t="inlineStr">
        <is>
          <t>Medicham</t>
        </is>
      </c>
      <c r="C1214" s="3" t="n">
        <v>53</v>
      </c>
      <c r="D1214" s="3" t="inlineStr">
        <is>
          <t>Axe Kick</t>
        </is>
      </c>
      <c r="E1214" s="3" t="inlineStr">
        <is>
          <t>MOVE_AXE_KICK</t>
        </is>
      </c>
    </row>
    <row r="1215">
      <c r="A1215" s="3" t="inlineStr">
        <is>
          <t>SPECIES_ELECTRIKE</t>
        </is>
      </c>
      <c r="B1215" s="3" t="inlineStr">
        <is>
          <t>Electrike</t>
        </is>
      </c>
      <c r="C1215" s="3" t="n">
        <v>1</v>
      </c>
      <c r="D1215" s="3" t="inlineStr">
        <is>
          <t>Tackle</t>
        </is>
      </c>
      <c r="E1215" s="3" t="inlineStr">
        <is>
          <t>MOVE_TACKLE</t>
        </is>
      </c>
    </row>
    <row r="1216">
      <c r="A1216" s="3" t="inlineStr">
        <is>
          <t>SPECIES_ELECTRIKE</t>
        </is>
      </c>
      <c r="B1216" s="3" t="inlineStr">
        <is>
          <t>Electrike</t>
        </is>
      </c>
      <c r="C1216" s="3" t="n">
        <v>1</v>
      </c>
      <c r="D1216" s="3" t="inlineStr">
        <is>
          <t>Thunder Wave</t>
        </is>
      </c>
      <c r="E1216" s="3" t="inlineStr">
        <is>
          <t>MOVE_THUNDER_WAVE</t>
        </is>
      </c>
    </row>
    <row r="1217">
      <c r="A1217" s="3" t="inlineStr">
        <is>
          <t>SPECIES_ELECTRIKE</t>
        </is>
      </c>
      <c r="B1217" s="3" t="inlineStr">
        <is>
          <t>Electrike</t>
        </is>
      </c>
      <c r="C1217" s="3" t="n">
        <v>4</v>
      </c>
      <c r="D1217" s="3" t="inlineStr">
        <is>
          <t>Leer</t>
        </is>
      </c>
      <c r="E1217" s="3" t="inlineStr">
        <is>
          <t>MOVE_LEER</t>
        </is>
      </c>
    </row>
    <row r="1218">
      <c r="A1218" s="3" t="inlineStr">
        <is>
          <t>SPECIES_ELECTRIKE</t>
        </is>
      </c>
      <c r="B1218" s="3" t="inlineStr">
        <is>
          <t>Electrike</t>
        </is>
      </c>
      <c r="C1218" s="3" t="n">
        <v>8</v>
      </c>
      <c r="D1218" s="3" t="inlineStr">
        <is>
          <t>Howl</t>
        </is>
      </c>
      <c r="E1218" s="3" t="inlineStr">
        <is>
          <t>MOVE_HOWL</t>
        </is>
      </c>
    </row>
    <row r="1219">
      <c r="A1219" s="3" t="inlineStr">
        <is>
          <t>SPECIES_ELECTRIKE</t>
        </is>
      </c>
      <c r="B1219" s="3" t="inlineStr">
        <is>
          <t>Electrike</t>
        </is>
      </c>
      <c r="C1219" s="3" t="n">
        <v>12</v>
      </c>
      <c r="D1219" s="3" t="inlineStr">
        <is>
          <t>Quick Attack</t>
        </is>
      </c>
      <c r="E1219" s="3" t="inlineStr">
        <is>
          <t>MOVE_QUICK_ATTACK</t>
        </is>
      </c>
    </row>
    <row r="1220">
      <c r="A1220" s="3" t="inlineStr">
        <is>
          <t>SPECIES_ELECTRIKE</t>
        </is>
      </c>
      <c r="B1220" s="3" t="inlineStr">
        <is>
          <t>Electrike</t>
        </is>
      </c>
      <c r="C1220" s="3" t="n">
        <v>16</v>
      </c>
      <c r="D1220" s="3" t="inlineStr">
        <is>
          <t>Shock Wave</t>
        </is>
      </c>
      <c r="E1220" s="3" t="inlineStr">
        <is>
          <t>MOVE_SHOCK_WAVE</t>
        </is>
      </c>
    </row>
    <row r="1221">
      <c r="A1221" s="3" t="inlineStr">
        <is>
          <t>SPECIES_ELECTRIKE</t>
        </is>
      </c>
      <c r="B1221" s="3" t="inlineStr">
        <is>
          <t>Electrike</t>
        </is>
      </c>
      <c r="C1221" s="3" t="n">
        <v>20</v>
      </c>
      <c r="D1221" s="3" t="inlineStr">
        <is>
          <t>Bite</t>
        </is>
      </c>
      <c r="E1221" s="3" t="inlineStr">
        <is>
          <t>MOVE_BITE</t>
        </is>
      </c>
    </row>
    <row r="1222">
      <c r="A1222" s="3" t="inlineStr">
        <is>
          <t>SPECIES_ELECTRIKE</t>
        </is>
      </c>
      <c r="B1222" s="3" t="inlineStr">
        <is>
          <t>Electrike</t>
        </is>
      </c>
      <c r="C1222" s="3" t="n">
        <v>24</v>
      </c>
      <c r="D1222" s="3" t="inlineStr">
        <is>
          <t>Thunder Fang</t>
        </is>
      </c>
      <c r="E1222" s="3" t="inlineStr">
        <is>
          <t>MOVE_THUNDER_FANG</t>
        </is>
      </c>
    </row>
    <row r="1223">
      <c r="A1223" s="3" t="inlineStr">
        <is>
          <t>SPECIES_ELECTRIKE</t>
        </is>
      </c>
      <c r="B1223" s="3" t="inlineStr">
        <is>
          <t>Electrike</t>
        </is>
      </c>
      <c r="C1223" s="3" t="n">
        <v>28</v>
      </c>
      <c r="D1223" s="3" t="inlineStr">
        <is>
          <t>Roar</t>
        </is>
      </c>
      <c r="E1223" s="3" t="inlineStr">
        <is>
          <t>MOVE_ROAR</t>
        </is>
      </c>
    </row>
    <row r="1224">
      <c r="A1224" s="3" t="inlineStr">
        <is>
          <t>SPECIES_ELECTRIKE</t>
        </is>
      </c>
      <c r="B1224" s="3" t="inlineStr">
        <is>
          <t>Electrike</t>
        </is>
      </c>
      <c r="C1224" s="3" t="n">
        <v>32</v>
      </c>
      <c r="D1224" s="3" t="inlineStr">
        <is>
          <t>Discharge</t>
        </is>
      </c>
      <c r="E1224" s="3" t="inlineStr">
        <is>
          <t>MOVE_DISCHARGE</t>
        </is>
      </c>
    </row>
    <row r="1225">
      <c r="A1225" s="3" t="inlineStr">
        <is>
          <t>SPECIES_ELECTRIKE</t>
        </is>
      </c>
      <c r="B1225" s="3" t="inlineStr">
        <is>
          <t>Electrike</t>
        </is>
      </c>
      <c r="C1225" s="3" t="n">
        <v>36</v>
      </c>
      <c r="D1225" s="3" t="inlineStr">
        <is>
          <t>Charge</t>
        </is>
      </c>
      <c r="E1225" s="3" t="inlineStr">
        <is>
          <t>MOVE_CHARGE</t>
        </is>
      </c>
    </row>
    <row r="1226">
      <c r="A1226" s="3" t="inlineStr">
        <is>
          <t>SPECIES_ELECTRIKE</t>
        </is>
      </c>
      <c r="B1226" s="3" t="inlineStr">
        <is>
          <t>Electrike</t>
        </is>
      </c>
      <c r="C1226" s="3" t="n">
        <v>40</v>
      </c>
      <c r="D1226" s="3" t="inlineStr">
        <is>
          <t>Wild Charge</t>
        </is>
      </c>
      <c r="E1226" s="3" t="inlineStr">
        <is>
          <t>MOVE_WILD_CHARGE</t>
        </is>
      </c>
    </row>
    <row r="1227">
      <c r="A1227" s="3" t="inlineStr">
        <is>
          <t>SPECIES_ELECTRIKE</t>
        </is>
      </c>
      <c r="B1227" s="3" t="inlineStr">
        <is>
          <t>Electrike</t>
        </is>
      </c>
      <c r="C1227" s="3" t="n">
        <v>44</v>
      </c>
      <c r="D1227" s="3" t="inlineStr">
        <is>
          <t>Thunder</t>
        </is>
      </c>
      <c r="E1227" s="3" t="inlineStr">
        <is>
          <t>MOVE_THUNDER</t>
        </is>
      </c>
    </row>
    <row r="1228">
      <c r="A1228" s="3" t="inlineStr">
        <is>
          <t>SPECIES_MANECTRIC</t>
        </is>
      </c>
      <c r="B1228" s="3" t="inlineStr">
        <is>
          <t>Manectric</t>
        </is>
      </c>
      <c r="C1228" s="3" t="n">
        <v>1</v>
      </c>
      <c r="D1228" s="3" t="inlineStr">
        <is>
          <t>Fire Fang</t>
        </is>
      </c>
      <c r="E1228" s="3" t="inlineStr">
        <is>
          <t>MOVE_FIRE_FANG</t>
        </is>
      </c>
    </row>
    <row r="1229">
      <c r="A1229" s="3" t="inlineStr">
        <is>
          <t>SPECIES_MANECTRIC</t>
        </is>
      </c>
      <c r="B1229" s="3" t="inlineStr">
        <is>
          <t>Manectric</t>
        </is>
      </c>
      <c r="C1229" s="3" t="n">
        <v>1</v>
      </c>
      <c r="D1229" s="3" t="inlineStr">
        <is>
          <t>Tackle</t>
        </is>
      </c>
      <c r="E1229" s="3" t="inlineStr">
        <is>
          <t>MOVE_TACKLE</t>
        </is>
      </c>
    </row>
    <row r="1230">
      <c r="A1230" s="3" t="inlineStr">
        <is>
          <t>SPECIES_MANECTRIC</t>
        </is>
      </c>
      <c r="B1230" s="3" t="inlineStr">
        <is>
          <t>Manectric</t>
        </is>
      </c>
      <c r="C1230" s="3" t="n">
        <v>1</v>
      </c>
      <c r="D1230" s="3" t="inlineStr">
        <is>
          <t>Thunder Wave</t>
        </is>
      </c>
      <c r="E1230" s="3" t="inlineStr">
        <is>
          <t>MOVE_THUNDER_WAVE</t>
        </is>
      </c>
    </row>
    <row r="1231">
      <c r="A1231" s="3" t="inlineStr">
        <is>
          <t>SPECIES_MANECTRIC</t>
        </is>
      </c>
      <c r="B1231" s="3" t="inlineStr">
        <is>
          <t>Manectric</t>
        </is>
      </c>
      <c r="C1231" s="3" t="n">
        <v>1</v>
      </c>
      <c r="D1231" s="3" t="inlineStr">
        <is>
          <t>Leer</t>
        </is>
      </c>
      <c r="E1231" s="3" t="inlineStr">
        <is>
          <t>MOVE_LEER</t>
        </is>
      </c>
    </row>
    <row r="1232">
      <c r="A1232" s="3" t="inlineStr">
        <is>
          <t>SPECIES_MANECTRIC</t>
        </is>
      </c>
      <c r="B1232" s="3" t="inlineStr">
        <is>
          <t>Manectric</t>
        </is>
      </c>
      <c r="C1232" s="3" t="n">
        <v>1</v>
      </c>
      <c r="D1232" s="3" t="inlineStr">
        <is>
          <t>Howl</t>
        </is>
      </c>
      <c r="E1232" s="3" t="inlineStr">
        <is>
          <t>MOVE_HOWL</t>
        </is>
      </c>
    </row>
    <row r="1233">
      <c r="A1233" s="3" t="inlineStr">
        <is>
          <t>SPECIES_MANECTRIC</t>
        </is>
      </c>
      <c r="B1233" s="3" t="inlineStr">
        <is>
          <t>Manectric</t>
        </is>
      </c>
      <c r="C1233" s="3" t="n">
        <v>12</v>
      </c>
      <c r="D1233" s="3" t="inlineStr">
        <is>
          <t>Quick Attack</t>
        </is>
      </c>
      <c r="E1233" s="3" t="inlineStr">
        <is>
          <t>MOVE_QUICK_ATTACK</t>
        </is>
      </c>
    </row>
    <row r="1234">
      <c r="A1234" s="3" t="inlineStr">
        <is>
          <t>SPECIES_MANECTRIC</t>
        </is>
      </c>
      <c r="B1234" s="3" t="inlineStr">
        <is>
          <t>Manectric</t>
        </is>
      </c>
      <c r="C1234" s="3" t="n">
        <v>16</v>
      </c>
      <c r="D1234" s="3" t="inlineStr">
        <is>
          <t>Shock Wave</t>
        </is>
      </c>
      <c r="E1234" s="3" t="inlineStr">
        <is>
          <t>MOVE_SHOCK_WAVE</t>
        </is>
      </c>
    </row>
    <row r="1235">
      <c r="A1235" s="3" t="inlineStr">
        <is>
          <t>SPECIES_MANECTRIC</t>
        </is>
      </c>
      <c r="B1235" s="3" t="inlineStr">
        <is>
          <t>Manectric</t>
        </is>
      </c>
      <c r="C1235" s="3" t="n">
        <v>20</v>
      </c>
      <c r="D1235" s="3" t="inlineStr">
        <is>
          <t>Bite</t>
        </is>
      </c>
      <c r="E1235" s="3" t="inlineStr">
        <is>
          <t>MOVE_BITE</t>
        </is>
      </c>
    </row>
    <row r="1236">
      <c r="A1236" s="3" t="inlineStr">
        <is>
          <t>SPECIES_MANECTRIC</t>
        </is>
      </c>
      <c r="B1236" s="3" t="inlineStr">
        <is>
          <t>Manectric</t>
        </is>
      </c>
      <c r="C1236" s="3" t="n">
        <v>24</v>
      </c>
      <c r="D1236" s="3" t="inlineStr">
        <is>
          <t>Thunder Fang</t>
        </is>
      </c>
      <c r="E1236" s="3" t="inlineStr">
        <is>
          <t>MOVE_THUNDER_FANG</t>
        </is>
      </c>
    </row>
    <row r="1237">
      <c r="A1237" s="3" t="inlineStr">
        <is>
          <t>SPECIES_MANECTRIC</t>
        </is>
      </c>
      <c r="B1237" s="3" t="inlineStr">
        <is>
          <t>Manectric</t>
        </is>
      </c>
      <c r="C1237" s="3" t="n">
        <v>30</v>
      </c>
      <c r="D1237" s="3" t="inlineStr">
        <is>
          <t>Roar</t>
        </is>
      </c>
      <c r="E1237" s="3" t="inlineStr">
        <is>
          <t>MOVE_ROAR</t>
        </is>
      </c>
    </row>
    <row r="1238">
      <c r="A1238" s="3" t="inlineStr">
        <is>
          <t>SPECIES_MANECTRIC</t>
        </is>
      </c>
      <c r="B1238" s="3" t="inlineStr">
        <is>
          <t>Manectric</t>
        </is>
      </c>
      <c r="C1238" s="3" t="n">
        <v>36</v>
      </c>
      <c r="D1238" s="3" t="inlineStr">
        <is>
          <t>Discharge</t>
        </is>
      </c>
      <c r="E1238" s="3" t="inlineStr">
        <is>
          <t>MOVE_DISCHARGE</t>
        </is>
      </c>
    </row>
    <row r="1239">
      <c r="A1239" s="3" t="inlineStr">
        <is>
          <t>SPECIES_MANECTRIC</t>
        </is>
      </c>
      <c r="B1239" s="3" t="inlineStr">
        <is>
          <t>Manectric</t>
        </is>
      </c>
      <c r="C1239" s="3" t="n">
        <v>42</v>
      </c>
      <c r="D1239" s="3" t="inlineStr">
        <is>
          <t>Charge</t>
        </is>
      </c>
      <c r="E1239" s="3" t="inlineStr">
        <is>
          <t>MOVE_CHARGE</t>
        </is>
      </c>
    </row>
    <row r="1240">
      <c r="A1240" s="3" t="inlineStr">
        <is>
          <t>SPECIES_MANECTRIC</t>
        </is>
      </c>
      <c r="B1240" s="3" t="inlineStr">
        <is>
          <t>Manectric</t>
        </is>
      </c>
      <c r="C1240" s="3" t="n">
        <v>48</v>
      </c>
      <c r="D1240" s="3" t="inlineStr">
        <is>
          <t>Wild Charge</t>
        </is>
      </c>
      <c r="E1240" s="3" t="inlineStr">
        <is>
          <t>MOVE_WILD_CHARGE</t>
        </is>
      </c>
    </row>
    <row r="1241">
      <c r="A1241" s="3" t="inlineStr">
        <is>
          <t>SPECIES_MANECTRIC</t>
        </is>
      </c>
      <c r="B1241" s="3" t="inlineStr">
        <is>
          <t>Manectric</t>
        </is>
      </c>
      <c r="C1241" s="3" t="n">
        <v>54</v>
      </c>
      <c r="D1241" s="3" t="inlineStr">
        <is>
          <t>Thunder</t>
        </is>
      </c>
      <c r="E1241" s="3" t="inlineStr">
        <is>
          <t>MOVE_THUNDER</t>
        </is>
      </c>
    </row>
    <row r="1242">
      <c r="A1242" s="3" t="inlineStr">
        <is>
          <t>SPECIES_MANECTRIC</t>
        </is>
      </c>
      <c r="B1242" s="3" t="inlineStr">
        <is>
          <t>Manectric</t>
        </is>
      </c>
      <c r="C1242" s="3" t="n">
        <v>60</v>
      </c>
      <c r="D1242" s="3" t="inlineStr">
        <is>
          <t>Electric Terrain</t>
        </is>
      </c>
      <c r="E1242" s="3" t="inlineStr">
        <is>
          <t>MOVE_ELECTRIC_TERRAIN</t>
        </is>
      </c>
    </row>
    <row r="1243">
      <c r="A1243" s="3" t="inlineStr">
        <is>
          <t>SPECIES_BUDEW</t>
        </is>
      </c>
      <c r="B1243" s="3" t="inlineStr">
        <is>
          <t>Budew</t>
        </is>
      </c>
      <c r="C1243" s="3" t="n">
        <v>1</v>
      </c>
      <c r="D1243" s="3" t="inlineStr">
        <is>
          <t>Absorb</t>
        </is>
      </c>
      <c r="E1243" s="3" t="inlineStr">
        <is>
          <t>MOVE_ABSORB</t>
        </is>
      </c>
    </row>
    <row r="1244">
      <c r="A1244" s="3" t="inlineStr">
        <is>
          <t>SPECIES_BUDEW</t>
        </is>
      </c>
      <c r="B1244" s="3" t="inlineStr">
        <is>
          <t>Budew</t>
        </is>
      </c>
      <c r="C1244" s="3" t="n">
        <v>1</v>
      </c>
      <c r="D1244" s="3" t="inlineStr">
        <is>
          <t>Growth</t>
        </is>
      </c>
      <c r="E1244" s="3" t="inlineStr">
        <is>
          <t>MOVE_GROWTH</t>
        </is>
      </c>
    </row>
    <row r="1245">
      <c r="A1245" s="3" t="inlineStr">
        <is>
          <t>SPECIES_BUDEW</t>
        </is>
      </c>
      <c r="B1245" s="3" t="inlineStr">
        <is>
          <t>Budew</t>
        </is>
      </c>
      <c r="C1245" s="3" t="n">
        <v>1</v>
      </c>
      <c r="D1245" s="3" t="inlineStr">
        <is>
          <t>Stun Spore</t>
        </is>
      </c>
      <c r="E1245" s="3" t="inlineStr">
        <is>
          <t>MOVE_STUN_SPORE</t>
        </is>
      </c>
    </row>
    <row r="1246">
      <c r="A1246" s="3" t="inlineStr">
        <is>
          <t>SPECIES_BUDEW</t>
        </is>
      </c>
      <c r="B1246" s="3" t="inlineStr">
        <is>
          <t>Budew</t>
        </is>
      </c>
      <c r="C1246" s="3" t="n">
        <v>1</v>
      </c>
      <c r="D1246" s="3" t="inlineStr">
        <is>
          <t>Worry Seed</t>
        </is>
      </c>
      <c r="E1246" s="3" t="inlineStr">
        <is>
          <t>MOVE_WORRY_SEED</t>
        </is>
      </c>
    </row>
    <row r="1247">
      <c r="A1247" s="3" t="inlineStr">
        <is>
          <t>SPECIES_ROSELIA</t>
        </is>
      </c>
      <c r="B1247" s="3" t="inlineStr">
        <is>
          <t>Roselia</t>
        </is>
      </c>
      <c r="C1247" s="3" t="n">
        <v>0</v>
      </c>
      <c r="D1247" s="3" t="inlineStr">
        <is>
          <t>Poison Sting</t>
        </is>
      </c>
      <c r="E1247" s="3" t="inlineStr">
        <is>
          <t>MOVE_POISON_STING</t>
        </is>
      </c>
    </row>
    <row r="1248">
      <c r="A1248" s="3" t="inlineStr">
        <is>
          <t>SPECIES_ROSELIA</t>
        </is>
      </c>
      <c r="B1248" s="3" t="inlineStr">
        <is>
          <t>Roselia</t>
        </is>
      </c>
      <c r="C1248" s="3" t="n">
        <v>1</v>
      </c>
      <c r="D1248" s="3" t="inlineStr">
        <is>
          <t>Poison Sting</t>
        </is>
      </c>
      <c r="E1248" s="3" t="inlineStr">
        <is>
          <t>MOVE_POISON_STING</t>
        </is>
      </c>
    </row>
    <row r="1249">
      <c r="A1249" s="3" t="inlineStr">
        <is>
          <t>SPECIES_ROSELIA</t>
        </is>
      </c>
      <c r="B1249" s="3" t="inlineStr">
        <is>
          <t>Roselia</t>
        </is>
      </c>
      <c r="C1249" s="3" t="n">
        <v>1</v>
      </c>
      <c r="D1249" s="3" t="inlineStr">
        <is>
          <t>Absorb</t>
        </is>
      </c>
      <c r="E1249" s="3" t="inlineStr">
        <is>
          <t>MOVE_ABSORB</t>
        </is>
      </c>
    </row>
    <row r="1250">
      <c r="A1250" s="3" t="inlineStr">
        <is>
          <t>SPECIES_ROSELIA</t>
        </is>
      </c>
      <c r="B1250" s="3" t="inlineStr">
        <is>
          <t>Roselia</t>
        </is>
      </c>
      <c r="C1250" s="3" t="n">
        <v>1</v>
      </c>
      <c r="D1250" s="3" t="inlineStr">
        <is>
          <t>Growth</t>
        </is>
      </c>
      <c r="E1250" s="3" t="inlineStr">
        <is>
          <t>MOVE_GROWTH</t>
        </is>
      </c>
    </row>
    <row r="1251">
      <c r="A1251" s="3" t="inlineStr">
        <is>
          <t>SPECIES_ROSELIA</t>
        </is>
      </c>
      <c r="B1251" s="3" t="inlineStr">
        <is>
          <t>Roselia</t>
        </is>
      </c>
      <c r="C1251" s="3" t="n">
        <v>1</v>
      </c>
      <c r="D1251" s="3" t="inlineStr">
        <is>
          <t>Stun Spore</t>
        </is>
      </c>
      <c r="E1251" s="3" t="inlineStr">
        <is>
          <t>MOVE_STUN_SPORE</t>
        </is>
      </c>
    </row>
    <row r="1252">
      <c r="A1252" s="3" t="inlineStr">
        <is>
          <t>SPECIES_ROSELIA</t>
        </is>
      </c>
      <c r="B1252" s="3" t="inlineStr">
        <is>
          <t>Roselia</t>
        </is>
      </c>
      <c r="C1252" s="3" t="n">
        <v>1</v>
      </c>
      <c r="D1252" s="3" t="inlineStr">
        <is>
          <t>Worry Seed</t>
        </is>
      </c>
      <c r="E1252" s="3" t="inlineStr">
        <is>
          <t>MOVE_WORRY_SEED</t>
        </is>
      </c>
    </row>
    <row r="1253">
      <c r="A1253" s="3" t="inlineStr">
        <is>
          <t>SPECIES_ROSELIA</t>
        </is>
      </c>
      <c r="B1253" s="3" t="inlineStr">
        <is>
          <t>Roselia</t>
        </is>
      </c>
      <c r="C1253" s="3" t="n">
        <v>5</v>
      </c>
      <c r="D1253" s="3" t="inlineStr">
        <is>
          <t>Mega Drain</t>
        </is>
      </c>
      <c r="E1253" s="3" t="inlineStr">
        <is>
          <t>MOVE_MEGA_DRAIN</t>
        </is>
      </c>
    </row>
    <row r="1254">
      <c r="A1254" s="3" t="inlineStr">
        <is>
          <t>SPECIES_ROSELIA</t>
        </is>
      </c>
      <c r="B1254" s="3" t="inlineStr">
        <is>
          <t>Roselia</t>
        </is>
      </c>
      <c r="C1254" s="3" t="n">
        <v>10</v>
      </c>
      <c r="D1254" s="3" t="inlineStr">
        <is>
          <t>Leech Seed</t>
        </is>
      </c>
      <c r="E1254" s="3" t="inlineStr">
        <is>
          <t>MOVE_LEECH_SEED</t>
        </is>
      </c>
    </row>
    <row r="1255">
      <c r="A1255" s="3" t="inlineStr">
        <is>
          <t>SPECIES_ROSELIA</t>
        </is>
      </c>
      <c r="B1255" s="3" t="inlineStr">
        <is>
          <t>Roselia</t>
        </is>
      </c>
      <c r="C1255" s="3" t="n">
        <v>15</v>
      </c>
      <c r="D1255" s="3" t="inlineStr">
        <is>
          <t>Magical Leaf</t>
        </is>
      </c>
      <c r="E1255" s="3" t="inlineStr">
        <is>
          <t>MOVE_MAGICAL_LEAF</t>
        </is>
      </c>
    </row>
    <row r="1256">
      <c r="A1256" s="3" t="inlineStr">
        <is>
          <t>SPECIES_ROSELIA</t>
        </is>
      </c>
      <c r="B1256" s="3" t="inlineStr">
        <is>
          <t>Roselia</t>
        </is>
      </c>
      <c r="C1256" s="3" t="n">
        <v>20</v>
      </c>
      <c r="D1256" s="3" t="inlineStr">
        <is>
          <t>Toxic Spikes</t>
        </is>
      </c>
      <c r="E1256" s="3" t="inlineStr">
        <is>
          <t>MOVE_TOXIC_SPIKES</t>
        </is>
      </c>
    </row>
    <row r="1257">
      <c r="A1257" s="3" t="inlineStr">
        <is>
          <t>SPECIES_ROSELIA</t>
        </is>
      </c>
      <c r="B1257" s="3" t="inlineStr">
        <is>
          <t>Roselia</t>
        </is>
      </c>
      <c r="C1257" s="3" t="n">
        <v>25</v>
      </c>
      <c r="D1257" s="3" t="inlineStr">
        <is>
          <t>Sweet Scent</t>
        </is>
      </c>
      <c r="E1257" s="3" t="inlineStr">
        <is>
          <t>MOVE_SWEET_SCENT</t>
        </is>
      </c>
    </row>
    <row r="1258">
      <c r="A1258" s="3" t="inlineStr">
        <is>
          <t>SPECIES_ROSELIA</t>
        </is>
      </c>
      <c r="B1258" s="3" t="inlineStr">
        <is>
          <t>Roselia</t>
        </is>
      </c>
      <c r="C1258" s="3" t="n">
        <v>30</v>
      </c>
      <c r="D1258" s="3" t="inlineStr">
        <is>
          <t>Giga Drain</t>
        </is>
      </c>
      <c r="E1258" s="3" t="inlineStr">
        <is>
          <t>MOVE_GIGA_DRAIN</t>
        </is>
      </c>
    </row>
    <row r="1259">
      <c r="A1259" s="3" t="inlineStr">
        <is>
          <t>SPECIES_ROSELIA</t>
        </is>
      </c>
      <c r="B1259" s="3" t="inlineStr">
        <is>
          <t>Roselia</t>
        </is>
      </c>
      <c r="C1259" s="3" t="n">
        <v>35</v>
      </c>
      <c r="D1259" s="3" t="inlineStr">
        <is>
          <t>Synthesis</t>
        </is>
      </c>
      <c r="E1259" s="3" t="inlineStr">
        <is>
          <t>MOVE_SYNTHESIS</t>
        </is>
      </c>
    </row>
    <row r="1260">
      <c r="A1260" s="3" t="inlineStr">
        <is>
          <t>SPECIES_ROSELIA</t>
        </is>
      </c>
      <c r="B1260" s="3" t="inlineStr">
        <is>
          <t>Roselia</t>
        </is>
      </c>
      <c r="C1260" s="3" t="n">
        <v>40</v>
      </c>
      <c r="D1260" s="3" t="inlineStr">
        <is>
          <t>Toxic</t>
        </is>
      </c>
      <c r="E1260" s="3" t="inlineStr">
        <is>
          <t>MOVE_TOXIC</t>
        </is>
      </c>
    </row>
    <row r="1261">
      <c r="A1261" s="3" t="inlineStr">
        <is>
          <t>SPECIES_ROSELIA</t>
        </is>
      </c>
      <c r="B1261" s="3" t="inlineStr">
        <is>
          <t>Roselia</t>
        </is>
      </c>
      <c r="C1261" s="3" t="n">
        <v>45</v>
      </c>
      <c r="D1261" s="3" t="inlineStr">
        <is>
          <t>Petal Blizzard</t>
        </is>
      </c>
      <c r="E1261" s="3" t="inlineStr">
        <is>
          <t>MOVE_PETAL_BLIZZARD</t>
        </is>
      </c>
    </row>
    <row r="1262">
      <c r="A1262" s="3" t="inlineStr">
        <is>
          <t>SPECIES_ROSELIA</t>
        </is>
      </c>
      <c r="B1262" s="3" t="inlineStr">
        <is>
          <t>Roselia</t>
        </is>
      </c>
      <c r="C1262" s="3" t="n">
        <v>50</v>
      </c>
      <c r="D1262" s="3" t="inlineStr">
        <is>
          <t>Aromatherapy</t>
        </is>
      </c>
      <c r="E1262" s="3" t="inlineStr">
        <is>
          <t>MOVE_AROMATHERAPY</t>
        </is>
      </c>
    </row>
    <row r="1263">
      <c r="A1263" s="3" t="inlineStr">
        <is>
          <t>SPECIES_ROSELIA</t>
        </is>
      </c>
      <c r="B1263" s="3" t="inlineStr">
        <is>
          <t>Roselia</t>
        </is>
      </c>
      <c r="C1263" s="3" t="n">
        <v>55</v>
      </c>
      <c r="D1263" s="3" t="inlineStr">
        <is>
          <t>Ingrain</t>
        </is>
      </c>
      <c r="E1263" s="3" t="inlineStr">
        <is>
          <t>MOVE_INGRAIN</t>
        </is>
      </c>
    </row>
    <row r="1264">
      <c r="A1264" s="3" t="inlineStr">
        <is>
          <t>SPECIES_ROSELIA</t>
        </is>
      </c>
      <c r="B1264" s="3" t="inlineStr">
        <is>
          <t>Roselia</t>
        </is>
      </c>
      <c r="C1264" s="3" t="n">
        <v>60</v>
      </c>
      <c r="D1264" s="3" t="inlineStr">
        <is>
          <t>Petal Dance</t>
        </is>
      </c>
      <c r="E1264" s="3" t="inlineStr">
        <is>
          <t>MOVE_PETAL_DANCE</t>
        </is>
      </c>
    </row>
    <row r="1265">
      <c r="A1265" s="3" t="inlineStr">
        <is>
          <t>SPECIES_ROSERADE</t>
        </is>
      </c>
      <c r="B1265" s="3" t="inlineStr">
        <is>
          <t>Roserade</t>
        </is>
      </c>
      <c r="C1265" s="3" t="n">
        <v>1</v>
      </c>
      <c r="D1265" s="3" t="inlineStr">
        <is>
          <t>Grassy Terrain</t>
        </is>
      </c>
      <c r="E1265" s="3" t="inlineStr">
        <is>
          <t>MOVE_GRASSY_TERRAIN</t>
        </is>
      </c>
    </row>
    <row r="1266">
      <c r="A1266" s="3" t="inlineStr">
        <is>
          <t>SPECIES_ROSERADE</t>
        </is>
      </c>
      <c r="B1266" s="3" t="inlineStr">
        <is>
          <t>Roserade</t>
        </is>
      </c>
      <c r="C1266" s="3" t="n">
        <v>1</v>
      </c>
      <c r="D1266" s="3" t="inlineStr">
        <is>
          <t>Poison Sting</t>
        </is>
      </c>
      <c r="E1266" s="3" t="inlineStr">
        <is>
          <t>MOVE_POISON_STING</t>
        </is>
      </c>
    </row>
    <row r="1267">
      <c r="A1267" s="3" t="inlineStr">
        <is>
          <t>SPECIES_ROSERADE</t>
        </is>
      </c>
      <c r="B1267" s="3" t="inlineStr">
        <is>
          <t>Roserade</t>
        </is>
      </c>
      <c r="C1267" s="3" t="n">
        <v>1</v>
      </c>
      <c r="D1267" s="3" t="inlineStr">
        <is>
          <t>Venom Drench</t>
        </is>
      </c>
      <c r="E1267" s="3" t="inlineStr">
        <is>
          <t>MOVE_VENOM_DRENCH</t>
        </is>
      </c>
    </row>
    <row r="1268">
      <c r="A1268" s="3" t="inlineStr">
        <is>
          <t>SPECIES_ROSERADE</t>
        </is>
      </c>
      <c r="B1268" s="3" t="inlineStr">
        <is>
          <t>Roserade</t>
        </is>
      </c>
      <c r="C1268" s="3" t="n">
        <v>1</v>
      </c>
      <c r="D1268" s="3" t="inlineStr">
        <is>
          <t>Mega Drain</t>
        </is>
      </c>
      <c r="E1268" s="3" t="inlineStr">
        <is>
          <t>MOVE_MEGA_DRAIN</t>
        </is>
      </c>
    </row>
    <row r="1269">
      <c r="A1269" s="3" t="inlineStr">
        <is>
          <t>SPECIES_ROSERADE</t>
        </is>
      </c>
      <c r="B1269" s="3" t="inlineStr">
        <is>
          <t>Roserade</t>
        </is>
      </c>
      <c r="C1269" s="3" t="n">
        <v>1</v>
      </c>
      <c r="D1269" s="3" t="inlineStr">
        <is>
          <t>Leech Seed</t>
        </is>
      </c>
      <c r="E1269" s="3" t="inlineStr">
        <is>
          <t>MOVE_LEECH_SEED</t>
        </is>
      </c>
    </row>
    <row r="1270">
      <c r="A1270" s="3" t="inlineStr">
        <is>
          <t>SPECIES_ROSERADE</t>
        </is>
      </c>
      <c r="B1270" s="3" t="inlineStr">
        <is>
          <t>Roserade</t>
        </is>
      </c>
      <c r="C1270" s="3" t="n">
        <v>1</v>
      </c>
      <c r="D1270" s="3" t="inlineStr">
        <is>
          <t>Magical Leaf</t>
        </is>
      </c>
      <c r="E1270" s="3" t="inlineStr">
        <is>
          <t>MOVE_MAGICAL_LEAF</t>
        </is>
      </c>
    </row>
    <row r="1271">
      <c r="A1271" s="3" t="inlineStr">
        <is>
          <t>SPECIES_ROSERADE</t>
        </is>
      </c>
      <c r="B1271" s="3" t="inlineStr">
        <is>
          <t>Roserade</t>
        </is>
      </c>
      <c r="C1271" s="3" t="n">
        <v>1</v>
      </c>
      <c r="D1271" s="3" t="inlineStr">
        <is>
          <t>Toxic Spikes</t>
        </is>
      </c>
      <c r="E1271" s="3" t="inlineStr">
        <is>
          <t>MOVE_TOXIC_SPIKES</t>
        </is>
      </c>
    </row>
    <row r="1272">
      <c r="A1272" s="3" t="inlineStr">
        <is>
          <t>SPECIES_ROSERADE</t>
        </is>
      </c>
      <c r="B1272" s="3" t="inlineStr">
        <is>
          <t>Roserade</t>
        </is>
      </c>
      <c r="C1272" s="3" t="n">
        <v>1</v>
      </c>
      <c r="D1272" s="3" t="inlineStr">
        <is>
          <t>Sweet Scent</t>
        </is>
      </c>
      <c r="E1272" s="3" t="inlineStr">
        <is>
          <t>MOVE_SWEET_SCENT</t>
        </is>
      </c>
    </row>
    <row r="1273">
      <c r="A1273" s="3" t="inlineStr">
        <is>
          <t>SPECIES_ROSERADE</t>
        </is>
      </c>
      <c r="B1273" s="3" t="inlineStr">
        <is>
          <t>Roserade</t>
        </is>
      </c>
      <c r="C1273" s="3" t="n">
        <v>1</v>
      </c>
      <c r="D1273" s="3" t="inlineStr">
        <is>
          <t>Giga Drain</t>
        </is>
      </c>
      <c r="E1273" s="3" t="inlineStr">
        <is>
          <t>MOVE_GIGA_DRAIN</t>
        </is>
      </c>
    </row>
    <row r="1274">
      <c r="A1274" s="3" t="inlineStr">
        <is>
          <t>SPECIES_ROSERADE</t>
        </is>
      </c>
      <c r="B1274" s="3" t="inlineStr">
        <is>
          <t>Roserade</t>
        </is>
      </c>
      <c r="C1274" s="3" t="n">
        <v>1</v>
      </c>
      <c r="D1274" s="3" t="inlineStr">
        <is>
          <t>Synthesis</t>
        </is>
      </c>
      <c r="E1274" s="3" t="inlineStr">
        <is>
          <t>MOVE_SYNTHESIS</t>
        </is>
      </c>
    </row>
    <row r="1275">
      <c r="A1275" s="3" t="inlineStr">
        <is>
          <t>SPECIES_ROSERADE</t>
        </is>
      </c>
      <c r="B1275" s="3" t="inlineStr">
        <is>
          <t>Roserade</t>
        </is>
      </c>
      <c r="C1275" s="3" t="n">
        <v>1</v>
      </c>
      <c r="D1275" s="3" t="inlineStr">
        <is>
          <t>Toxic</t>
        </is>
      </c>
      <c r="E1275" s="3" t="inlineStr">
        <is>
          <t>MOVE_TOXIC</t>
        </is>
      </c>
    </row>
    <row r="1276">
      <c r="A1276" s="3" t="inlineStr">
        <is>
          <t>SPECIES_ROSERADE</t>
        </is>
      </c>
      <c r="B1276" s="3" t="inlineStr">
        <is>
          <t>Roserade</t>
        </is>
      </c>
      <c r="C1276" s="3" t="n">
        <v>1</v>
      </c>
      <c r="D1276" s="3" t="inlineStr">
        <is>
          <t>Petal Blizzard</t>
        </is>
      </c>
      <c r="E1276" s="3" t="inlineStr">
        <is>
          <t>MOVE_PETAL_BLIZZARD</t>
        </is>
      </c>
    </row>
    <row r="1277">
      <c r="A1277" s="3" t="inlineStr">
        <is>
          <t>SPECIES_ROSERADE</t>
        </is>
      </c>
      <c r="B1277" s="3" t="inlineStr">
        <is>
          <t>Roserade</t>
        </is>
      </c>
      <c r="C1277" s="3" t="n">
        <v>1</v>
      </c>
      <c r="D1277" s="3" t="inlineStr">
        <is>
          <t>Aromatherapy</t>
        </is>
      </c>
      <c r="E1277" s="3" t="inlineStr">
        <is>
          <t>MOVE_AROMATHERAPY</t>
        </is>
      </c>
    </row>
    <row r="1278">
      <c r="A1278" s="3" t="inlineStr">
        <is>
          <t>SPECIES_ROSERADE</t>
        </is>
      </c>
      <c r="B1278" s="3" t="inlineStr">
        <is>
          <t>Roserade</t>
        </is>
      </c>
      <c r="C1278" s="3" t="n">
        <v>1</v>
      </c>
      <c r="D1278" s="3" t="inlineStr">
        <is>
          <t>Ingrain</t>
        </is>
      </c>
      <c r="E1278" s="3" t="inlineStr">
        <is>
          <t>MOVE_INGRAIN</t>
        </is>
      </c>
    </row>
    <row r="1279">
      <c r="A1279" s="3" t="inlineStr">
        <is>
          <t>SPECIES_ROSERADE</t>
        </is>
      </c>
      <c r="B1279" s="3" t="inlineStr">
        <is>
          <t>Roserade</t>
        </is>
      </c>
      <c r="C1279" s="3" t="n">
        <v>1</v>
      </c>
      <c r="D1279" s="3" t="inlineStr">
        <is>
          <t>Petal Dance</t>
        </is>
      </c>
      <c r="E1279" s="3" t="inlineStr">
        <is>
          <t>MOVE_PETAL_DANCE</t>
        </is>
      </c>
    </row>
    <row r="1280">
      <c r="A1280" s="3" t="inlineStr">
        <is>
          <t>SPECIES_ROSERADE</t>
        </is>
      </c>
      <c r="B1280" s="3" t="inlineStr">
        <is>
          <t>Roserade</t>
        </is>
      </c>
      <c r="C1280" s="3" t="n">
        <v>1</v>
      </c>
      <c r="D1280" s="3" t="inlineStr">
        <is>
          <t>Absorb</t>
        </is>
      </c>
      <c r="E1280" s="3" t="inlineStr">
        <is>
          <t>MOVE_ABSORB</t>
        </is>
      </c>
    </row>
    <row r="1281">
      <c r="A1281" s="3" t="inlineStr">
        <is>
          <t>SPECIES_ROSERADE</t>
        </is>
      </c>
      <c r="B1281" s="3" t="inlineStr">
        <is>
          <t>Roserade</t>
        </is>
      </c>
      <c r="C1281" s="3" t="n">
        <v>1</v>
      </c>
      <c r="D1281" s="3" t="inlineStr">
        <is>
          <t>Growth</t>
        </is>
      </c>
      <c r="E1281" s="3" t="inlineStr">
        <is>
          <t>MOVE_GROWTH</t>
        </is>
      </c>
    </row>
    <row r="1282">
      <c r="A1282" s="3" t="inlineStr">
        <is>
          <t>SPECIES_ROSERADE</t>
        </is>
      </c>
      <c r="B1282" s="3" t="inlineStr">
        <is>
          <t>Roserade</t>
        </is>
      </c>
      <c r="C1282" s="3" t="n">
        <v>1</v>
      </c>
      <c r="D1282" s="3" t="inlineStr">
        <is>
          <t>Stun Spore</t>
        </is>
      </c>
      <c r="E1282" s="3" t="inlineStr">
        <is>
          <t>MOVE_STUN_SPORE</t>
        </is>
      </c>
    </row>
    <row r="1283">
      <c r="A1283" s="3" t="inlineStr">
        <is>
          <t>SPECIES_ROSERADE</t>
        </is>
      </c>
      <c r="B1283" s="3" t="inlineStr">
        <is>
          <t>Roserade</t>
        </is>
      </c>
      <c r="C1283" s="3" t="n">
        <v>1</v>
      </c>
      <c r="D1283" s="3" t="inlineStr">
        <is>
          <t>Worry Seed</t>
        </is>
      </c>
      <c r="E1283" s="3" t="inlineStr">
        <is>
          <t>MOVE_WORRY_SEED</t>
        </is>
      </c>
    </row>
    <row r="1284">
      <c r="A1284" s="3" t="inlineStr">
        <is>
          <t>SPECIES_NUMEL</t>
        </is>
      </c>
      <c r="B1284" s="3" t="inlineStr">
        <is>
          <t>Numel</t>
        </is>
      </c>
      <c r="C1284" s="3" t="n">
        <v>1</v>
      </c>
      <c r="D1284" s="3" t="inlineStr">
        <is>
          <t>Tackle</t>
        </is>
      </c>
      <c r="E1284" s="3" t="inlineStr">
        <is>
          <t>MOVE_TACKLE</t>
        </is>
      </c>
    </row>
    <row r="1285">
      <c r="A1285" s="3" t="inlineStr">
        <is>
          <t>SPECIES_NUMEL</t>
        </is>
      </c>
      <c r="B1285" s="3" t="inlineStr">
        <is>
          <t>Numel</t>
        </is>
      </c>
      <c r="C1285" s="3" t="n">
        <v>1</v>
      </c>
      <c r="D1285" s="3" t="inlineStr">
        <is>
          <t>Growl</t>
        </is>
      </c>
      <c r="E1285" s="3" t="inlineStr">
        <is>
          <t>MOVE_GROWL</t>
        </is>
      </c>
    </row>
    <row r="1286">
      <c r="A1286" s="3" t="inlineStr">
        <is>
          <t>SPECIES_NUMEL</t>
        </is>
      </c>
      <c r="B1286" s="3" t="inlineStr">
        <is>
          <t>Numel</t>
        </is>
      </c>
      <c r="C1286" s="3" t="n">
        <v>5</v>
      </c>
      <c r="D1286" s="3" t="inlineStr">
        <is>
          <t>Ember</t>
        </is>
      </c>
      <c r="E1286" s="3" t="inlineStr">
        <is>
          <t>MOVE_EMBER</t>
        </is>
      </c>
    </row>
    <row r="1287">
      <c r="A1287" s="3" t="inlineStr">
        <is>
          <t>SPECIES_NUMEL</t>
        </is>
      </c>
      <c r="B1287" s="3" t="inlineStr">
        <is>
          <t>Numel</t>
        </is>
      </c>
      <c r="C1287" s="3" t="n">
        <v>8</v>
      </c>
      <c r="D1287" s="3" t="inlineStr">
        <is>
          <t>Focus Energy</t>
        </is>
      </c>
      <c r="E1287" s="3" t="inlineStr">
        <is>
          <t>MOVE_FOCUS_ENERGY</t>
        </is>
      </c>
    </row>
    <row r="1288">
      <c r="A1288" s="3" t="inlineStr">
        <is>
          <t>SPECIES_NUMEL</t>
        </is>
      </c>
      <c r="B1288" s="3" t="inlineStr">
        <is>
          <t>Numel</t>
        </is>
      </c>
      <c r="C1288" s="3" t="n">
        <v>12</v>
      </c>
      <c r="D1288" s="3" t="inlineStr">
        <is>
          <t>Bulldoze</t>
        </is>
      </c>
      <c r="E1288" s="3" t="inlineStr">
        <is>
          <t>MOVE_BULLDOZE</t>
        </is>
      </c>
    </row>
    <row r="1289">
      <c r="A1289" s="3" t="inlineStr">
        <is>
          <t>SPECIES_NUMEL</t>
        </is>
      </c>
      <c r="B1289" s="3" t="inlineStr">
        <is>
          <t>Numel</t>
        </is>
      </c>
      <c r="C1289" s="3" t="n">
        <v>15</v>
      </c>
      <c r="D1289" s="3" t="inlineStr">
        <is>
          <t>Incinerate</t>
        </is>
      </c>
      <c r="E1289" s="3" t="inlineStr">
        <is>
          <t>MOVE_INCINERATE</t>
        </is>
      </c>
    </row>
    <row r="1290">
      <c r="A1290" s="3" t="inlineStr">
        <is>
          <t>SPECIES_NUMEL</t>
        </is>
      </c>
      <c r="B1290" s="3" t="inlineStr">
        <is>
          <t>Numel</t>
        </is>
      </c>
      <c r="C1290" s="3" t="n">
        <v>19</v>
      </c>
      <c r="D1290" s="3" t="inlineStr">
        <is>
          <t>Amnesia</t>
        </is>
      </c>
      <c r="E1290" s="3" t="inlineStr">
        <is>
          <t>MOVE_AMNESIA</t>
        </is>
      </c>
    </row>
    <row r="1291">
      <c r="A1291" s="3" t="inlineStr">
        <is>
          <t>SPECIES_NUMEL</t>
        </is>
      </c>
      <c r="B1291" s="3" t="inlineStr">
        <is>
          <t>Numel</t>
        </is>
      </c>
      <c r="C1291" s="3" t="n">
        <v>22</v>
      </c>
      <c r="D1291" s="3" t="inlineStr">
        <is>
          <t>Lava Plume</t>
        </is>
      </c>
      <c r="E1291" s="3" t="inlineStr">
        <is>
          <t>MOVE_LAVA_PLUME</t>
        </is>
      </c>
    </row>
    <row r="1292">
      <c r="A1292" s="3" t="inlineStr">
        <is>
          <t>SPECIES_NUMEL</t>
        </is>
      </c>
      <c r="B1292" s="3" t="inlineStr">
        <is>
          <t>Numel</t>
        </is>
      </c>
      <c r="C1292" s="3" t="n">
        <v>26</v>
      </c>
      <c r="D1292" s="3" t="inlineStr">
        <is>
          <t>Earth Power</t>
        </is>
      </c>
      <c r="E1292" s="3" t="inlineStr">
        <is>
          <t>MOVE_EARTH_POWER</t>
        </is>
      </c>
    </row>
    <row r="1293">
      <c r="A1293" s="3" t="inlineStr">
        <is>
          <t>SPECIES_NUMEL</t>
        </is>
      </c>
      <c r="B1293" s="3" t="inlineStr">
        <is>
          <t>Numel</t>
        </is>
      </c>
      <c r="C1293" s="3" t="n">
        <v>29</v>
      </c>
      <c r="D1293" s="3" t="inlineStr">
        <is>
          <t>Curse</t>
        </is>
      </c>
      <c r="E1293" s="3" t="inlineStr">
        <is>
          <t>MOVE_CURSE</t>
        </is>
      </c>
    </row>
    <row r="1294">
      <c r="A1294" s="3" t="inlineStr">
        <is>
          <t>SPECIES_NUMEL</t>
        </is>
      </c>
      <c r="B1294" s="3" t="inlineStr">
        <is>
          <t>Numel</t>
        </is>
      </c>
      <c r="C1294" s="3" t="n">
        <v>31</v>
      </c>
      <c r="D1294" s="3" t="inlineStr">
        <is>
          <t>Take Down</t>
        </is>
      </c>
      <c r="E1294" s="3" t="inlineStr">
        <is>
          <t>MOVE_TAKE_DOWN</t>
        </is>
      </c>
    </row>
    <row r="1295">
      <c r="A1295" s="3" t="inlineStr">
        <is>
          <t>SPECIES_NUMEL</t>
        </is>
      </c>
      <c r="B1295" s="3" t="inlineStr">
        <is>
          <t>Numel</t>
        </is>
      </c>
      <c r="C1295" s="3" t="n">
        <v>40</v>
      </c>
      <c r="D1295" s="3" t="inlineStr">
        <is>
          <t>Earthquake</t>
        </is>
      </c>
      <c r="E1295" s="3" t="inlineStr">
        <is>
          <t>MOVE_EARTHQUAKE</t>
        </is>
      </c>
    </row>
    <row r="1296">
      <c r="A1296" s="3" t="inlineStr">
        <is>
          <t>SPECIES_NUMEL</t>
        </is>
      </c>
      <c r="B1296" s="3" t="inlineStr">
        <is>
          <t>Numel</t>
        </is>
      </c>
      <c r="C1296" s="3" t="n">
        <v>43</v>
      </c>
      <c r="D1296" s="3" t="inlineStr">
        <is>
          <t>Flamethrower</t>
        </is>
      </c>
      <c r="E1296" s="3" t="inlineStr">
        <is>
          <t>MOVE_FLAMETHROWER</t>
        </is>
      </c>
    </row>
    <row r="1297">
      <c r="A1297" s="3" t="inlineStr">
        <is>
          <t>SPECIES_NUMEL</t>
        </is>
      </c>
      <c r="B1297" s="3" t="inlineStr">
        <is>
          <t>Numel</t>
        </is>
      </c>
      <c r="C1297" s="3" t="n">
        <v>47</v>
      </c>
      <c r="D1297" s="3" t="inlineStr">
        <is>
          <t>Double-Edge</t>
        </is>
      </c>
      <c r="E1297" s="3" t="inlineStr">
        <is>
          <t>MOVE_DOUBLE_EDGE</t>
        </is>
      </c>
    </row>
    <row r="1298">
      <c r="A1298" s="3" t="inlineStr">
        <is>
          <t>SPECIES_CAMERUPT</t>
        </is>
      </c>
      <c r="B1298" s="3" t="inlineStr">
        <is>
          <t>Camerupt</t>
        </is>
      </c>
      <c r="C1298" s="3" t="n">
        <v>0</v>
      </c>
      <c r="D1298" s="3" t="inlineStr">
        <is>
          <t>Rock Slide</t>
        </is>
      </c>
      <c r="E1298" s="3" t="inlineStr">
        <is>
          <t>MOVE_ROCK_SLIDE</t>
        </is>
      </c>
    </row>
    <row r="1299">
      <c r="A1299" s="3" t="inlineStr">
        <is>
          <t>SPECIES_CAMERUPT</t>
        </is>
      </c>
      <c r="B1299" s="3" t="inlineStr">
        <is>
          <t>Camerupt</t>
        </is>
      </c>
      <c r="C1299" s="3" t="n">
        <v>1</v>
      </c>
      <c r="D1299" s="3" t="inlineStr">
        <is>
          <t>Tackle</t>
        </is>
      </c>
      <c r="E1299" s="3" t="inlineStr">
        <is>
          <t>MOVE_TACKLE</t>
        </is>
      </c>
    </row>
    <row r="1300">
      <c r="A1300" s="3" t="inlineStr">
        <is>
          <t>SPECIES_CAMERUPT</t>
        </is>
      </c>
      <c r="B1300" s="3" t="inlineStr">
        <is>
          <t>Camerupt</t>
        </is>
      </c>
      <c r="C1300" s="3" t="n">
        <v>1</v>
      </c>
      <c r="D1300" s="3" t="inlineStr">
        <is>
          <t>Growl</t>
        </is>
      </c>
      <c r="E1300" s="3" t="inlineStr">
        <is>
          <t>MOVE_GROWL</t>
        </is>
      </c>
    </row>
    <row r="1301">
      <c r="A1301" s="3" t="inlineStr">
        <is>
          <t>SPECIES_CAMERUPT</t>
        </is>
      </c>
      <c r="B1301" s="3" t="inlineStr">
        <is>
          <t>Camerupt</t>
        </is>
      </c>
      <c r="C1301" s="3" t="n">
        <v>1</v>
      </c>
      <c r="D1301" s="3" t="inlineStr">
        <is>
          <t>Ember</t>
        </is>
      </c>
      <c r="E1301" s="3" t="inlineStr">
        <is>
          <t>MOVE_EMBER</t>
        </is>
      </c>
    </row>
    <row r="1302">
      <c r="A1302" s="3" t="inlineStr">
        <is>
          <t>SPECIES_CAMERUPT</t>
        </is>
      </c>
      <c r="B1302" s="3" t="inlineStr">
        <is>
          <t>Camerupt</t>
        </is>
      </c>
      <c r="C1302" s="3" t="n">
        <v>1</v>
      </c>
      <c r="D1302" s="3" t="inlineStr">
        <is>
          <t>Fissure</t>
        </is>
      </c>
      <c r="E1302" s="3" t="inlineStr">
        <is>
          <t>MOVE_FISSURE</t>
        </is>
      </c>
    </row>
    <row r="1303">
      <c r="A1303" s="3" t="inlineStr">
        <is>
          <t>SPECIES_CAMERUPT</t>
        </is>
      </c>
      <c r="B1303" s="3" t="inlineStr">
        <is>
          <t>Camerupt</t>
        </is>
      </c>
      <c r="C1303" s="3" t="n">
        <v>1</v>
      </c>
      <c r="D1303" s="3" t="inlineStr">
        <is>
          <t>Focus Energy</t>
        </is>
      </c>
      <c r="E1303" s="3" t="inlineStr">
        <is>
          <t>MOVE_FOCUS_ENERGY</t>
        </is>
      </c>
    </row>
    <row r="1304">
      <c r="A1304" s="3" t="inlineStr">
        <is>
          <t>SPECIES_CAMERUPT</t>
        </is>
      </c>
      <c r="B1304" s="3" t="inlineStr">
        <is>
          <t>Camerupt</t>
        </is>
      </c>
      <c r="C1304" s="3" t="n">
        <v>1</v>
      </c>
      <c r="D1304" s="3" t="inlineStr">
        <is>
          <t>Eruption</t>
        </is>
      </c>
      <c r="E1304" s="3" t="inlineStr">
        <is>
          <t>MOVE_ERUPTION</t>
        </is>
      </c>
    </row>
    <row r="1305">
      <c r="A1305" s="3" t="inlineStr">
        <is>
          <t>SPECIES_CAMERUPT</t>
        </is>
      </c>
      <c r="B1305" s="3" t="inlineStr">
        <is>
          <t>Camerupt</t>
        </is>
      </c>
      <c r="C1305" s="3" t="n">
        <v>12</v>
      </c>
      <c r="D1305" s="3" t="inlineStr">
        <is>
          <t>Bulldoze</t>
        </is>
      </c>
      <c r="E1305" s="3" t="inlineStr">
        <is>
          <t>MOVE_BULLDOZE</t>
        </is>
      </c>
    </row>
    <row r="1306">
      <c r="A1306" s="3" t="inlineStr">
        <is>
          <t>SPECIES_CAMERUPT</t>
        </is>
      </c>
      <c r="B1306" s="3" t="inlineStr">
        <is>
          <t>Camerupt</t>
        </is>
      </c>
      <c r="C1306" s="3" t="n">
        <v>15</v>
      </c>
      <c r="D1306" s="3" t="inlineStr">
        <is>
          <t>Incinerate</t>
        </is>
      </c>
      <c r="E1306" s="3" t="inlineStr">
        <is>
          <t>MOVE_INCINERATE</t>
        </is>
      </c>
    </row>
    <row r="1307">
      <c r="A1307" s="3" t="inlineStr">
        <is>
          <t>SPECIES_CAMERUPT</t>
        </is>
      </c>
      <c r="B1307" s="3" t="inlineStr">
        <is>
          <t>Camerupt</t>
        </is>
      </c>
      <c r="C1307" s="3" t="n">
        <v>19</v>
      </c>
      <c r="D1307" s="3" t="inlineStr">
        <is>
          <t>Amnesia</t>
        </is>
      </c>
      <c r="E1307" s="3" t="inlineStr">
        <is>
          <t>MOVE_AMNESIA</t>
        </is>
      </c>
    </row>
    <row r="1308">
      <c r="A1308" s="3" t="inlineStr">
        <is>
          <t>SPECIES_CAMERUPT</t>
        </is>
      </c>
      <c r="B1308" s="3" t="inlineStr">
        <is>
          <t>Camerupt</t>
        </is>
      </c>
      <c r="C1308" s="3" t="n">
        <v>22</v>
      </c>
      <c r="D1308" s="3" t="inlineStr">
        <is>
          <t>Lava Plume</t>
        </is>
      </c>
      <c r="E1308" s="3" t="inlineStr">
        <is>
          <t>MOVE_LAVA_PLUME</t>
        </is>
      </c>
    </row>
    <row r="1309">
      <c r="A1309" s="3" t="inlineStr">
        <is>
          <t>SPECIES_CAMERUPT</t>
        </is>
      </c>
      <c r="B1309" s="3" t="inlineStr">
        <is>
          <t>Camerupt</t>
        </is>
      </c>
      <c r="C1309" s="3" t="n">
        <v>26</v>
      </c>
      <c r="D1309" s="3" t="inlineStr">
        <is>
          <t>Earth Power</t>
        </is>
      </c>
      <c r="E1309" s="3" t="inlineStr">
        <is>
          <t>MOVE_EARTH_POWER</t>
        </is>
      </c>
    </row>
    <row r="1310">
      <c r="A1310" s="3" t="inlineStr">
        <is>
          <t>SPECIES_CAMERUPT</t>
        </is>
      </c>
      <c r="B1310" s="3" t="inlineStr">
        <is>
          <t>Camerupt</t>
        </is>
      </c>
      <c r="C1310" s="3" t="n">
        <v>29</v>
      </c>
      <c r="D1310" s="3" t="inlineStr">
        <is>
          <t>Curse</t>
        </is>
      </c>
      <c r="E1310" s="3" t="inlineStr">
        <is>
          <t>MOVE_CURSE</t>
        </is>
      </c>
    </row>
    <row r="1311">
      <c r="A1311" s="3" t="inlineStr">
        <is>
          <t>SPECIES_CAMERUPT</t>
        </is>
      </c>
      <c r="B1311" s="3" t="inlineStr">
        <is>
          <t>Camerupt</t>
        </is>
      </c>
      <c r="C1311" s="3" t="n">
        <v>31</v>
      </c>
      <c r="D1311" s="3" t="inlineStr">
        <is>
          <t>Take Down</t>
        </is>
      </c>
      <c r="E1311" s="3" t="inlineStr">
        <is>
          <t>MOVE_TAKE_DOWN</t>
        </is>
      </c>
    </row>
    <row r="1312">
      <c r="A1312" s="3" t="inlineStr">
        <is>
          <t>SPECIES_CAMERUPT</t>
        </is>
      </c>
      <c r="B1312" s="3" t="inlineStr">
        <is>
          <t>Camerupt</t>
        </is>
      </c>
      <c r="C1312" s="3" t="n">
        <v>39</v>
      </c>
      <c r="D1312" s="3" t="inlineStr">
        <is>
          <t>Yawn</t>
        </is>
      </c>
      <c r="E1312" s="3" t="inlineStr">
        <is>
          <t>MOVE_YAWN</t>
        </is>
      </c>
    </row>
    <row r="1313">
      <c r="A1313" s="3" t="inlineStr">
        <is>
          <t>SPECIES_CAMERUPT</t>
        </is>
      </c>
      <c r="B1313" s="3" t="inlineStr">
        <is>
          <t>Camerupt</t>
        </is>
      </c>
      <c r="C1313" s="3" t="n">
        <v>46</v>
      </c>
      <c r="D1313" s="3" t="inlineStr">
        <is>
          <t>Earthquake</t>
        </is>
      </c>
      <c r="E1313" s="3" t="inlineStr">
        <is>
          <t>MOVE_EARTHQUAKE</t>
        </is>
      </c>
    </row>
    <row r="1314">
      <c r="A1314" s="3" t="inlineStr">
        <is>
          <t>SPECIES_TRAPINCH</t>
        </is>
      </c>
      <c r="B1314" s="3" t="inlineStr">
        <is>
          <t>Trapinch</t>
        </is>
      </c>
      <c r="C1314" s="3" t="n">
        <v>1</v>
      </c>
      <c r="D1314" s="3" t="inlineStr">
        <is>
          <t>Sand Attack</t>
        </is>
      </c>
      <c r="E1314" s="3" t="inlineStr">
        <is>
          <t>MOVE_SAND_ATTACK</t>
        </is>
      </c>
    </row>
    <row r="1315">
      <c r="A1315" s="3" t="inlineStr">
        <is>
          <t>SPECIES_TRAPINCH</t>
        </is>
      </c>
      <c r="B1315" s="3" t="inlineStr">
        <is>
          <t>Trapinch</t>
        </is>
      </c>
      <c r="C1315" s="3" t="n">
        <v>1</v>
      </c>
      <c r="D1315" s="3" t="inlineStr">
        <is>
          <t>Astonish</t>
        </is>
      </c>
      <c r="E1315" s="3" t="inlineStr">
        <is>
          <t>MOVE_ASTONISH</t>
        </is>
      </c>
    </row>
    <row r="1316">
      <c r="A1316" s="3" t="inlineStr">
        <is>
          <t>SPECIES_TRAPINCH</t>
        </is>
      </c>
      <c r="B1316" s="3" t="inlineStr">
        <is>
          <t>Trapinch</t>
        </is>
      </c>
      <c r="C1316" s="3" t="n">
        <v>8</v>
      </c>
      <c r="D1316" s="3" t="inlineStr">
        <is>
          <t>Bite</t>
        </is>
      </c>
      <c r="E1316" s="3" t="inlineStr">
        <is>
          <t>MOVE_BITE</t>
        </is>
      </c>
    </row>
    <row r="1317">
      <c r="A1317" s="3" t="inlineStr">
        <is>
          <t>SPECIES_TRAPINCH</t>
        </is>
      </c>
      <c r="B1317" s="3" t="inlineStr">
        <is>
          <t>Trapinch</t>
        </is>
      </c>
      <c r="C1317" s="3" t="n">
        <v>12</v>
      </c>
      <c r="D1317" s="3" t="inlineStr">
        <is>
          <t>Mud-Slap</t>
        </is>
      </c>
      <c r="E1317" s="3" t="inlineStr">
        <is>
          <t>MOVE_MUD_SLAP</t>
        </is>
      </c>
    </row>
    <row r="1318">
      <c r="A1318" s="3" t="inlineStr">
        <is>
          <t>SPECIES_TRAPINCH</t>
        </is>
      </c>
      <c r="B1318" s="3" t="inlineStr">
        <is>
          <t>Trapinch</t>
        </is>
      </c>
      <c r="C1318" s="3" t="n">
        <v>16</v>
      </c>
      <c r="D1318" s="3" t="inlineStr">
        <is>
          <t>Sand Tomb</t>
        </is>
      </c>
      <c r="E1318" s="3" t="inlineStr">
        <is>
          <t>MOVE_SAND_TOMB</t>
        </is>
      </c>
    </row>
    <row r="1319">
      <c r="A1319" s="3" t="inlineStr">
        <is>
          <t>SPECIES_TRAPINCH</t>
        </is>
      </c>
      <c r="B1319" s="3" t="inlineStr">
        <is>
          <t>Trapinch</t>
        </is>
      </c>
      <c r="C1319" s="3" t="n">
        <v>20</v>
      </c>
      <c r="D1319" s="3" t="inlineStr">
        <is>
          <t>Bulldoze</t>
        </is>
      </c>
      <c r="E1319" s="3" t="inlineStr">
        <is>
          <t>MOVE_BULLDOZE</t>
        </is>
      </c>
    </row>
    <row r="1320">
      <c r="A1320" s="3" t="inlineStr">
        <is>
          <t>SPECIES_TRAPINCH</t>
        </is>
      </c>
      <c r="B1320" s="3" t="inlineStr">
        <is>
          <t>Trapinch</t>
        </is>
      </c>
      <c r="C1320" s="3" t="n">
        <v>24</v>
      </c>
      <c r="D1320" s="3" t="inlineStr">
        <is>
          <t>Dig</t>
        </is>
      </c>
      <c r="E1320" s="3" t="inlineStr">
        <is>
          <t>MOVE_DIG</t>
        </is>
      </c>
    </row>
    <row r="1321">
      <c r="A1321" s="3" t="inlineStr">
        <is>
          <t>SPECIES_TRAPINCH</t>
        </is>
      </c>
      <c r="B1321" s="3" t="inlineStr">
        <is>
          <t>Trapinch</t>
        </is>
      </c>
      <c r="C1321" s="3" t="n">
        <v>28</v>
      </c>
      <c r="D1321" s="3" t="inlineStr">
        <is>
          <t>Crunch</t>
        </is>
      </c>
      <c r="E1321" s="3" t="inlineStr">
        <is>
          <t>MOVE_CRUNCH</t>
        </is>
      </c>
    </row>
    <row r="1322">
      <c r="A1322" s="3" t="inlineStr">
        <is>
          <t>SPECIES_TRAPINCH</t>
        </is>
      </c>
      <c r="B1322" s="3" t="inlineStr">
        <is>
          <t>Trapinch</t>
        </is>
      </c>
      <c r="C1322" s="3" t="n">
        <v>32</v>
      </c>
      <c r="D1322" s="3" t="inlineStr">
        <is>
          <t>Sandstorm</t>
        </is>
      </c>
      <c r="E1322" s="3" t="inlineStr">
        <is>
          <t>MOVE_SANDSTORM</t>
        </is>
      </c>
    </row>
    <row r="1323">
      <c r="A1323" s="3" t="inlineStr">
        <is>
          <t>SPECIES_TRAPINCH</t>
        </is>
      </c>
      <c r="B1323" s="3" t="inlineStr">
        <is>
          <t>Trapinch</t>
        </is>
      </c>
      <c r="C1323" s="3" t="n">
        <v>36</v>
      </c>
      <c r="D1323" s="3" t="inlineStr">
        <is>
          <t>Earth Power</t>
        </is>
      </c>
      <c r="E1323" s="3" t="inlineStr">
        <is>
          <t>MOVE_EARTH_POWER</t>
        </is>
      </c>
    </row>
    <row r="1324">
      <c r="A1324" s="3" t="inlineStr">
        <is>
          <t>SPECIES_TRAPINCH</t>
        </is>
      </c>
      <c r="B1324" s="3" t="inlineStr">
        <is>
          <t>Trapinch</t>
        </is>
      </c>
      <c r="C1324" s="3" t="n">
        <v>40</v>
      </c>
      <c r="D1324" s="3" t="inlineStr">
        <is>
          <t>Earthquake</t>
        </is>
      </c>
      <c r="E1324" s="3" t="inlineStr">
        <is>
          <t>MOVE_EARTHQUAKE</t>
        </is>
      </c>
    </row>
    <row r="1325">
      <c r="A1325" s="3" t="inlineStr">
        <is>
          <t>SPECIES_TRAPINCH</t>
        </is>
      </c>
      <c r="B1325" s="3" t="inlineStr">
        <is>
          <t>Trapinch</t>
        </is>
      </c>
      <c r="C1325" s="3" t="n">
        <v>44</v>
      </c>
      <c r="D1325" s="3" t="inlineStr">
        <is>
          <t>Superpower</t>
        </is>
      </c>
      <c r="E1325" s="3" t="inlineStr">
        <is>
          <t>MOVE_SUPERPOWER</t>
        </is>
      </c>
    </row>
    <row r="1326">
      <c r="A1326" s="3" t="inlineStr">
        <is>
          <t>SPECIES_TRAPINCH</t>
        </is>
      </c>
      <c r="B1326" s="3" t="inlineStr">
        <is>
          <t>Trapinch</t>
        </is>
      </c>
      <c r="C1326" s="3" t="n">
        <v>48</v>
      </c>
      <c r="D1326" s="3" t="inlineStr">
        <is>
          <t>Fissure</t>
        </is>
      </c>
      <c r="E1326" s="3" t="inlineStr">
        <is>
          <t>MOVE_FISSURE</t>
        </is>
      </c>
    </row>
    <row r="1327">
      <c r="A1327" s="3" t="inlineStr">
        <is>
          <t>SPECIES_VIBRAVA</t>
        </is>
      </c>
      <c r="B1327" s="3" t="inlineStr">
        <is>
          <t>Vibrava</t>
        </is>
      </c>
      <c r="C1327" s="3" t="n">
        <v>0</v>
      </c>
      <c r="D1327" s="3" t="inlineStr">
        <is>
          <t>Dragon Breath</t>
        </is>
      </c>
      <c r="E1327" s="3" t="inlineStr">
        <is>
          <t>MOVE_DRAGON_BREATH</t>
        </is>
      </c>
    </row>
    <row r="1328">
      <c r="A1328" s="3" t="inlineStr">
        <is>
          <t>SPECIES_VIBRAVA</t>
        </is>
      </c>
      <c r="B1328" s="3" t="inlineStr">
        <is>
          <t>Vibrava</t>
        </is>
      </c>
      <c r="C1328" s="3" t="n">
        <v>1</v>
      </c>
      <c r="D1328" s="3" t="inlineStr">
        <is>
          <t>Supersonic</t>
        </is>
      </c>
      <c r="E1328" s="3" t="inlineStr">
        <is>
          <t>MOVE_SUPERSONIC</t>
        </is>
      </c>
    </row>
    <row r="1329">
      <c r="A1329" s="3" t="inlineStr">
        <is>
          <t>SPECIES_VIBRAVA</t>
        </is>
      </c>
      <c r="B1329" s="3" t="inlineStr">
        <is>
          <t>Vibrava</t>
        </is>
      </c>
      <c r="C1329" s="3" t="n">
        <v>1</v>
      </c>
      <c r="D1329" s="3" t="inlineStr">
        <is>
          <t>Fissure</t>
        </is>
      </c>
      <c r="E1329" s="3" t="inlineStr">
        <is>
          <t>MOVE_FISSURE</t>
        </is>
      </c>
    </row>
    <row r="1330">
      <c r="A1330" s="3" t="inlineStr">
        <is>
          <t>SPECIES_VIBRAVA</t>
        </is>
      </c>
      <c r="B1330" s="3" t="inlineStr">
        <is>
          <t>Vibrava</t>
        </is>
      </c>
      <c r="C1330" s="3" t="n">
        <v>1</v>
      </c>
      <c r="D1330" s="3" t="inlineStr">
        <is>
          <t>Crunch</t>
        </is>
      </c>
      <c r="E1330" s="3" t="inlineStr">
        <is>
          <t>MOVE_CRUNCH</t>
        </is>
      </c>
    </row>
    <row r="1331">
      <c r="A1331" s="3" t="inlineStr">
        <is>
          <t>SPECIES_VIBRAVA</t>
        </is>
      </c>
      <c r="B1331" s="3" t="inlineStr">
        <is>
          <t>Vibrava</t>
        </is>
      </c>
      <c r="C1331" s="3" t="n">
        <v>1</v>
      </c>
      <c r="D1331" s="3" t="inlineStr">
        <is>
          <t>Superpower</t>
        </is>
      </c>
      <c r="E1331" s="3" t="inlineStr">
        <is>
          <t>MOVE_SUPERPOWER</t>
        </is>
      </c>
    </row>
    <row r="1332">
      <c r="A1332" s="3" t="inlineStr">
        <is>
          <t>SPECIES_VIBRAVA</t>
        </is>
      </c>
      <c r="B1332" s="3" t="inlineStr">
        <is>
          <t>Vibrava</t>
        </is>
      </c>
      <c r="C1332" s="3" t="n">
        <v>1</v>
      </c>
      <c r="D1332" s="3" t="inlineStr">
        <is>
          <t>Astonish</t>
        </is>
      </c>
      <c r="E1332" s="3" t="inlineStr">
        <is>
          <t>MOVE_ASTONISH</t>
        </is>
      </c>
    </row>
    <row r="1333">
      <c r="A1333" s="3" t="inlineStr">
        <is>
          <t>SPECIES_VIBRAVA</t>
        </is>
      </c>
      <c r="B1333" s="3" t="inlineStr">
        <is>
          <t>Vibrava</t>
        </is>
      </c>
      <c r="C1333" s="3" t="n">
        <v>1</v>
      </c>
      <c r="D1333" s="3" t="inlineStr">
        <is>
          <t>Bulldoze</t>
        </is>
      </c>
      <c r="E1333" s="3" t="inlineStr">
        <is>
          <t>MOVE_BULLDOZE</t>
        </is>
      </c>
    </row>
    <row r="1334">
      <c r="A1334" s="3" t="inlineStr">
        <is>
          <t>SPECIES_VIBRAVA</t>
        </is>
      </c>
      <c r="B1334" s="3" t="inlineStr">
        <is>
          <t>Vibrava</t>
        </is>
      </c>
      <c r="C1334" s="3" t="n">
        <v>1</v>
      </c>
      <c r="D1334" s="3" t="inlineStr">
        <is>
          <t>Sand Attack</t>
        </is>
      </c>
      <c r="E1334" s="3" t="inlineStr">
        <is>
          <t>MOVE_SAND_ATTACK</t>
        </is>
      </c>
    </row>
    <row r="1335">
      <c r="A1335" s="3" t="inlineStr">
        <is>
          <t>SPECIES_VIBRAVA</t>
        </is>
      </c>
      <c r="B1335" s="3" t="inlineStr">
        <is>
          <t>Vibrava</t>
        </is>
      </c>
      <c r="C1335" s="3" t="n">
        <v>1</v>
      </c>
      <c r="D1335" s="3" t="inlineStr">
        <is>
          <t>Bite</t>
        </is>
      </c>
      <c r="E1335" s="3" t="inlineStr">
        <is>
          <t>MOVE_BITE</t>
        </is>
      </c>
    </row>
    <row r="1336">
      <c r="A1336" s="3" t="inlineStr">
        <is>
          <t>SPECIES_VIBRAVA</t>
        </is>
      </c>
      <c r="B1336" s="3" t="inlineStr">
        <is>
          <t>Vibrava</t>
        </is>
      </c>
      <c r="C1336" s="3" t="n">
        <v>1</v>
      </c>
      <c r="D1336" s="3" t="inlineStr">
        <is>
          <t>Dig</t>
        </is>
      </c>
      <c r="E1336" s="3" t="inlineStr">
        <is>
          <t>MOVE_DIG</t>
        </is>
      </c>
    </row>
    <row r="1337">
      <c r="A1337" s="3" t="inlineStr">
        <is>
          <t>SPECIES_VIBRAVA</t>
        </is>
      </c>
      <c r="B1337" s="3" t="inlineStr">
        <is>
          <t>Vibrava</t>
        </is>
      </c>
      <c r="C1337" s="3" t="n">
        <v>12</v>
      </c>
      <c r="D1337" s="3" t="inlineStr">
        <is>
          <t>Mud-Slap</t>
        </is>
      </c>
      <c r="E1337" s="3" t="inlineStr">
        <is>
          <t>MOVE_MUD_SLAP</t>
        </is>
      </c>
    </row>
    <row r="1338">
      <c r="A1338" s="3" t="inlineStr">
        <is>
          <t>SPECIES_VIBRAVA</t>
        </is>
      </c>
      <c r="B1338" s="3" t="inlineStr">
        <is>
          <t>Vibrava</t>
        </is>
      </c>
      <c r="C1338" s="3" t="n">
        <v>16</v>
      </c>
      <c r="D1338" s="3" t="inlineStr">
        <is>
          <t>Sand Tomb</t>
        </is>
      </c>
      <c r="E1338" s="3" t="inlineStr">
        <is>
          <t>MOVE_SAND_TOMB</t>
        </is>
      </c>
    </row>
    <row r="1339">
      <c r="A1339" s="3" t="inlineStr">
        <is>
          <t>SPECIES_VIBRAVA</t>
        </is>
      </c>
      <c r="B1339" s="3" t="inlineStr">
        <is>
          <t>Vibrava</t>
        </is>
      </c>
      <c r="C1339" s="3" t="n">
        <v>20</v>
      </c>
      <c r="D1339" s="3" t="inlineStr">
        <is>
          <t>Dragon Tail</t>
        </is>
      </c>
      <c r="E1339" s="3" t="inlineStr">
        <is>
          <t>MOVE_DRAGON_TAIL</t>
        </is>
      </c>
    </row>
    <row r="1340">
      <c r="A1340" s="3" t="inlineStr">
        <is>
          <t>SPECIES_VIBRAVA</t>
        </is>
      </c>
      <c r="B1340" s="3" t="inlineStr">
        <is>
          <t>Vibrava</t>
        </is>
      </c>
      <c r="C1340" s="3" t="n">
        <v>24</v>
      </c>
      <c r="D1340" s="3" t="inlineStr">
        <is>
          <t>Screech</t>
        </is>
      </c>
      <c r="E1340" s="3" t="inlineStr">
        <is>
          <t>MOVE_SCREECH</t>
        </is>
      </c>
    </row>
    <row r="1341">
      <c r="A1341" s="3" t="inlineStr">
        <is>
          <t>SPECIES_VIBRAVA</t>
        </is>
      </c>
      <c r="B1341" s="3" t="inlineStr">
        <is>
          <t>Vibrava</t>
        </is>
      </c>
      <c r="C1341" s="3" t="n">
        <v>28</v>
      </c>
      <c r="D1341" s="3" t="inlineStr">
        <is>
          <t>Bug Buzz</t>
        </is>
      </c>
      <c r="E1341" s="3" t="inlineStr">
        <is>
          <t>MOVE_BUG_BUZZ</t>
        </is>
      </c>
    </row>
    <row r="1342">
      <c r="A1342" s="3" t="inlineStr">
        <is>
          <t>SPECIES_VIBRAVA</t>
        </is>
      </c>
      <c r="B1342" s="3" t="inlineStr">
        <is>
          <t>Vibrava</t>
        </is>
      </c>
      <c r="C1342" s="3" t="n">
        <v>32</v>
      </c>
      <c r="D1342" s="3" t="inlineStr">
        <is>
          <t>Sandstorm</t>
        </is>
      </c>
      <c r="E1342" s="3" t="inlineStr">
        <is>
          <t>MOVE_SANDSTORM</t>
        </is>
      </c>
    </row>
    <row r="1343">
      <c r="A1343" s="3" t="inlineStr">
        <is>
          <t>SPECIES_VIBRAVA</t>
        </is>
      </c>
      <c r="B1343" s="3" t="inlineStr">
        <is>
          <t>Vibrava</t>
        </is>
      </c>
      <c r="C1343" s="3" t="n">
        <v>38</v>
      </c>
      <c r="D1343" s="3" t="inlineStr">
        <is>
          <t>Earth Power</t>
        </is>
      </c>
      <c r="E1343" s="3" t="inlineStr">
        <is>
          <t>MOVE_EARTH_POWER</t>
        </is>
      </c>
    </row>
    <row r="1344">
      <c r="A1344" s="3" t="inlineStr">
        <is>
          <t>SPECIES_VIBRAVA</t>
        </is>
      </c>
      <c r="B1344" s="3" t="inlineStr">
        <is>
          <t>Vibrava</t>
        </is>
      </c>
      <c r="C1344" s="3" t="n">
        <v>44</v>
      </c>
      <c r="D1344" s="3" t="inlineStr">
        <is>
          <t>Earthquake</t>
        </is>
      </c>
      <c r="E1344" s="3" t="inlineStr">
        <is>
          <t>MOVE_EARTHQUAKE</t>
        </is>
      </c>
    </row>
    <row r="1345">
      <c r="A1345" s="3" t="inlineStr">
        <is>
          <t>SPECIES_VIBRAVA</t>
        </is>
      </c>
      <c r="B1345" s="3" t="inlineStr">
        <is>
          <t>Vibrava</t>
        </is>
      </c>
      <c r="C1345" s="3" t="n">
        <v>50</v>
      </c>
      <c r="D1345" s="3" t="inlineStr">
        <is>
          <t>Uproar</t>
        </is>
      </c>
      <c r="E1345" s="3" t="inlineStr">
        <is>
          <t>MOVE_UPROAR</t>
        </is>
      </c>
    </row>
    <row r="1346">
      <c r="A1346" s="3" t="inlineStr">
        <is>
          <t>SPECIES_VIBRAVA</t>
        </is>
      </c>
      <c r="B1346" s="3" t="inlineStr">
        <is>
          <t>Vibrava</t>
        </is>
      </c>
      <c r="C1346" s="3" t="n">
        <v>56</v>
      </c>
      <c r="D1346" s="3" t="inlineStr">
        <is>
          <t>Dragon Rush</t>
        </is>
      </c>
      <c r="E1346" s="3" t="inlineStr">
        <is>
          <t>MOVE_DRAGON_RUSH</t>
        </is>
      </c>
    </row>
    <row r="1347">
      <c r="A1347" s="3" t="inlineStr">
        <is>
          <t>SPECIES_VIBRAVA</t>
        </is>
      </c>
      <c r="B1347" s="3" t="inlineStr">
        <is>
          <t>Vibrava</t>
        </is>
      </c>
      <c r="C1347" s="3" t="n">
        <v>62</v>
      </c>
      <c r="D1347" s="3" t="inlineStr">
        <is>
          <t>Boomburst</t>
        </is>
      </c>
      <c r="E1347" s="3" t="inlineStr">
        <is>
          <t>MOVE_BOOMBURST</t>
        </is>
      </c>
    </row>
    <row r="1348">
      <c r="A1348" s="3" t="inlineStr">
        <is>
          <t>SPECIES_FLYGON</t>
        </is>
      </c>
      <c r="B1348" s="3" t="inlineStr">
        <is>
          <t>Flygon</t>
        </is>
      </c>
      <c r="C1348" s="3" t="n">
        <v>0</v>
      </c>
      <c r="D1348" s="3" t="inlineStr">
        <is>
          <t>Dragon Claw</t>
        </is>
      </c>
      <c r="E1348" s="3" t="inlineStr">
        <is>
          <t>MOVE_DRAGON_CLAW</t>
        </is>
      </c>
    </row>
    <row r="1349">
      <c r="A1349" s="3" t="inlineStr">
        <is>
          <t>SPECIES_FLYGON</t>
        </is>
      </c>
      <c r="B1349" s="3" t="inlineStr">
        <is>
          <t>Flygon</t>
        </is>
      </c>
      <c r="C1349" s="3" t="n">
        <v>1</v>
      </c>
      <c r="D1349" s="3" t="inlineStr">
        <is>
          <t>Bite</t>
        </is>
      </c>
      <c r="E1349" s="3" t="inlineStr">
        <is>
          <t>MOVE_BITE</t>
        </is>
      </c>
    </row>
    <row r="1350">
      <c r="A1350" s="3" t="inlineStr">
        <is>
          <t>SPECIES_FLYGON</t>
        </is>
      </c>
      <c r="B1350" s="3" t="inlineStr">
        <is>
          <t>Flygon</t>
        </is>
      </c>
      <c r="C1350" s="3" t="n">
        <v>1</v>
      </c>
      <c r="D1350" s="3" t="inlineStr">
        <is>
          <t>Fissure</t>
        </is>
      </c>
      <c r="E1350" s="3" t="inlineStr">
        <is>
          <t>MOVE_FISSURE</t>
        </is>
      </c>
    </row>
    <row r="1351">
      <c r="A1351" s="3" t="inlineStr">
        <is>
          <t>SPECIES_FLYGON</t>
        </is>
      </c>
      <c r="B1351" s="3" t="inlineStr">
        <is>
          <t>Flygon</t>
        </is>
      </c>
      <c r="C1351" s="3" t="n">
        <v>1</v>
      </c>
      <c r="D1351" s="3" t="inlineStr">
        <is>
          <t>Dig</t>
        </is>
      </c>
      <c r="E1351" s="3" t="inlineStr">
        <is>
          <t>MOVE_DIG</t>
        </is>
      </c>
    </row>
    <row r="1352">
      <c r="A1352" s="3" t="inlineStr">
        <is>
          <t>SPECIES_FLYGON</t>
        </is>
      </c>
      <c r="B1352" s="3" t="inlineStr">
        <is>
          <t>Flygon</t>
        </is>
      </c>
      <c r="C1352" s="3" t="n">
        <v>1</v>
      </c>
      <c r="D1352" s="3" t="inlineStr">
        <is>
          <t>Crunch</t>
        </is>
      </c>
      <c r="E1352" s="3" t="inlineStr">
        <is>
          <t>MOVE_CRUNCH</t>
        </is>
      </c>
    </row>
    <row r="1353">
      <c r="A1353" s="3" t="inlineStr">
        <is>
          <t>SPECIES_FLYGON</t>
        </is>
      </c>
      <c r="B1353" s="3" t="inlineStr">
        <is>
          <t>Flygon</t>
        </is>
      </c>
      <c r="C1353" s="3" t="n">
        <v>1</v>
      </c>
      <c r="D1353" s="3" t="inlineStr">
        <is>
          <t>Superpower</t>
        </is>
      </c>
      <c r="E1353" s="3" t="inlineStr">
        <is>
          <t>MOVE_SUPERPOWER</t>
        </is>
      </c>
    </row>
    <row r="1354">
      <c r="A1354" s="3" t="inlineStr">
        <is>
          <t>SPECIES_FLYGON</t>
        </is>
      </c>
      <c r="B1354" s="3" t="inlineStr">
        <is>
          <t>Flygon</t>
        </is>
      </c>
      <c r="C1354" s="3" t="n">
        <v>1</v>
      </c>
      <c r="D1354" s="3" t="inlineStr">
        <is>
          <t>Astonish</t>
        </is>
      </c>
      <c r="E1354" s="3" t="inlineStr">
        <is>
          <t>MOVE_ASTONISH</t>
        </is>
      </c>
    </row>
    <row r="1355">
      <c r="A1355" s="3" t="inlineStr">
        <is>
          <t>SPECIES_FLYGON</t>
        </is>
      </c>
      <c r="B1355" s="3" t="inlineStr">
        <is>
          <t>Flygon</t>
        </is>
      </c>
      <c r="C1355" s="3" t="n">
        <v>1</v>
      </c>
      <c r="D1355" s="3" t="inlineStr">
        <is>
          <t>Dragon Dance</t>
        </is>
      </c>
      <c r="E1355" s="3" t="inlineStr">
        <is>
          <t>MOVE_DRAGON_DANCE</t>
        </is>
      </c>
    </row>
    <row r="1356">
      <c r="A1356" s="3" t="inlineStr">
        <is>
          <t>SPECIES_FLYGON</t>
        </is>
      </c>
      <c r="B1356" s="3" t="inlineStr">
        <is>
          <t>Flygon</t>
        </is>
      </c>
      <c r="C1356" s="3" t="n">
        <v>1</v>
      </c>
      <c r="D1356" s="3" t="inlineStr">
        <is>
          <t>Feint</t>
        </is>
      </c>
      <c r="E1356" s="3" t="inlineStr">
        <is>
          <t>MOVE_FEINT</t>
        </is>
      </c>
    </row>
    <row r="1357">
      <c r="A1357" s="3" t="inlineStr">
        <is>
          <t>SPECIES_FLYGON</t>
        </is>
      </c>
      <c r="B1357" s="3" t="inlineStr">
        <is>
          <t>Flygon</t>
        </is>
      </c>
      <c r="C1357" s="3" t="n">
        <v>1</v>
      </c>
      <c r="D1357" s="3" t="inlineStr">
        <is>
          <t>Sand Attack</t>
        </is>
      </c>
      <c r="E1357" s="3" t="inlineStr">
        <is>
          <t>MOVE_SAND_ATTACK</t>
        </is>
      </c>
    </row>
    <row r="1358">
      <c r="A1358" s="3" t="inlineStr">
        <is>
          <t>SPECIES_FLYGON</t>
        </is>
      </c>
      <c r="B1358" s="3" t="inlineStr">
        <is>
          <t>Flygon</t>
        </is>
      </c>
      <c r="C1358" s="3" t="n">
        <v>1</v>
      </c>
      <c r="D1358" s="3" t="inlineStr">
        <is>
          <t>Supersonic</t>
        </is>
      </c>
      <c r="E1358" s="3" t="inlineStr">
        <is>
          <t>MOVE_SUPERSONIC</t>
        </is>
      </c>
    </row>
    <row r="1359">
      <c r="A1359" s="3" t="inlineStr">
        <is>
          <t>SPECIES_FLYGON</t>
        </is>
      </c>
      <c r="B1359" s="3" t="inlineStr">
        <is>
          <t>Flygon</t>
        </is>
      </c>
      <c r="C1359" s="3" t="n">
        <v>1</v>
      </c>
      <c r="D1359" s="3" t="inlineStr">
        <is>
          <t>Dragon Breath</t>
        </is>
      </c>
      <c r="E1359" s="3" t="inlineStr">
        <is>
          <t>MOVE_DRAGON_BREATH</t>
        </is>
      </c>
    </row>
    <row r="1360">
      <c r="A1360" s="3" t="inlineStr">
        <is>
          <t>SPECIES_FLYGON</t>
        </is>
      </c>
      <c r="B1360" s="3" t="inlineStr">
        <is>
          <t>Flygon</t>
        </is>
      </c>
      <c r="C1360" s="3" t="n">
        <v>1</v>
      </c>
      <c r="D1360" s="3" t="inlineStr">
        <is>
          <t>Bulldoze</t>
        </is>
      </c>
      <c r="E1360" s="3" t="inlineStr">
        <is>
          <t>MOVE_BULLDOZE</t>
        </is>
      </c>
    </row>
    <row r="1361">
      <c r="A1361" s="3" t="inlineStr">
        <is>
          <t>SPECIES_FLYGON</t>
        </is>
      </c>
      <c r="B1361" s="3" t="inlineStr">
        <is>
          <t>Flygon</t>
        </is>
      </c>
      <c r="C1361" s="3" t="n">
        <v>12</v>
      </c>
      <c r="D1361" s="3" t="inlineStr">
        <is>
          <t>Mud-Slap</t>
        </is>
      </c>
      <c r="E1361" s="3" t="inlineStr">
        <is>
          <t>MOVE_MUD_SLAP</t>
        </is>
      </c>
    </row>
    <row r="1362">
      <c r="A1362" s="3" t="inlineStr">
        <is>
          <t>SPECIES_FLYGON</t>
        </is>
      </c>
      <c r="B1362" s="3" t="inlineStr">
        <is>
          <t>Flygon</t>
        </is>
      </c>
      <c r="C1362" s="3" t="n">
        <v>16</v>
      </c>
      <c r="D1362" s="3" t="inlineStr">
        <is>
          <t>Sand Tomb</t>
        </is>
      </c>
      <c r="E1362" s="3" t="inlineStr">
        <is>
          <t>MOVE_SAND_TOMB</t>
        </is>
      </c>
    </row>
    <row r="1363">
      <c r="A1363" s="3" t="inlineStr">
        <is>
          <t>SPECIES_FLYGON</t>
        </is>
      </c>
      <c r="B1363" s="3" t="inlineStr">
        <is>
          <t>Flygon</t>
        </is>
      </c>
      <c r="C1363" s="3" t="n">
        <v>20</v>
      </c>
      <c r="D1363" s="3" t="inlineStr">
        <is>
          <t>Dragon Tail</t>
        </is>
      </c>
      <c r="E1363" s="3" t="inlineStr">
        <is>
          <t>MOVE_DRAGON_TAIL</t>
        </is>
      </c>
    </row>
    <row r="1364">
      <c r="A1364" s="3" t="inlineStr">
        <is>
          <t>SPECIES_FLYGON</t>
        </is>
      </c>
      <c r="B1364" s="3" t="inlineStr">
        <is>
          <t>Flygon</t>
        </is>
      </c>
      <c r="C1364" s="3" t="n">
        <v>24</v>
      </c>
      <c r="D1364" s="3" t="inlineStr">
        <is>
          <t>Screech</t>
        </is>
      </c>
      <c r="E1364" s="3" t="inlineStr">
        <is>
          <t>MOVE_SCREECH</t>
        </is>
      </c>
    </row>
    <row r="1365">
      <c r="A1365" s="3" t="inlineStr">
        <is>
          <t>SPECIES_FLYGON</t>
        </is>
      </c>
      <c r="B1365" s="3" t="inlineStr">
        <is>
          <t>Flygon</t>
        </is>
      </c>
      <c r="C1365" s="3" t="n">
        <v>28</v>
      </c>
      <c r="D1365" s="3" t="inlineStr">
        <is>
          <t>Bug Buzz</t>
        </is>
      </c>
      <c r="E1365" s="3" t="inlineStr">
        <is>
          <t>MOVE_BUG_BUZZ</t>
        </is>
      </c>
    </row>
    <row r="1366">
      <c r="A1366" s="3" t="inlineStr">
        <is>
          <t>SPECIES_FLYGON</t>
        </is>
      </c>
      <c r="B1366" s="3" t="inlineStr">
        <is>
          <t>Flygon</t>
        </is>
      </c>
      <c r="C1366" s="3" t="n">
        <v>32</v>
      </c>
      <c r="D1366" s="3" t="inlineStr">
        <is>
          <t>Sandstorm</t>
        </is>
      </c>
      <c r="E1366" s="3" t="inlineStr">
        <is>
          <t>MOVE_SANDSTORM</t>
        </is>
      </c>
    </row>
    <row r="1367">
      <c r="A1367" s="3" t="inlineStr">
        <is>
          <t>SPECIES_FLYGON</t>
        </is>
      </c>
      <c r="B1367" s="3" t="inlineStr">
        <is>
          <t>Flygon</t>
        </is>
      </c>
      <c r="C1367" s="3" t="n">
        <v>38</v>
      </c>
      <c r="D1367" s="3" t="inlineStr">
        <is>
          <t>Earth Power</t>
        </is>
      </c>
      <c r="E1367" s="3" t="inlineStr">
        <is>
          <t>MOVE_EARTH_POWER</t>
        </is>
      </c>
    </row>
    <row r="1368">
      <c r="A1368" s="3" t="inlineStr">
        <is>
          <t>SPECIES_FLYGON</t>
        </is>
      </c>
      <c r="B1368" s="3" t="inlineStr">
        <is>
          <t>Flygon</t>
        </is>
      </c>
      <c r="C1368" s="3" t="n">
        <v>44</v>
      </c>
      <c r="D1368" s="3" t="inlineStr">
        <is>
          <t>Earthquake</t>
        </is>
      </c>
      <c r="E1368" s="3" t="inlineStr">
        <is>
          <t>MOVE_EARTHQUAKE</t>
        </is>
      </c>
    </row>
    <row r="1369">
      <c r="A1369" s="3" t="inlineStr">
        <is>
          <t>SPECIES_FLYGON</t>
        </is>
      </c>
      <c r="B1369" s="3" t="inlineStr">
        <is>
          <t>Flygon</t>
        </is>
      </c>
      <c r="C1369" s="3" t="n">
        <v>52</v>
      </c>
      <c r="D1369" s="3" t="inlineStr">
        <is>
          <t>Uproar</t>
        </is>
      </c>
      <c r="E1369" s="3" t="inlineStr">
        <is>
          <t>MOVE_UPROAR</t>
        </is>
      </c>
    </row>
    <row r="1370">
      <c r="A1370" s="3" t="inlineStr">
        <is>
          <t>SPECIES_FLYGON</t>
        </is>
      </c>
      <c r="B1370" s="3" t="inlineStr">
        <is>
          <t>Flygon</t>
        </is>
      </c>
      <c r="C1370" s="3" t="n">
        <v>60</v>
      </c>
      <c r="D1370" s="3" t="inlineStr">
        <is>
          <t>Dragon Rush</t>
        </is>
      </c>
      <c r="E1370" s="3" t="inlineStr">
        <is>
          <t>MOVE_DRAGON_RUSH</t>
        </is>
      </c>
    </row>
    <row r="1371">
      <c r="A1371" s="3" t="inlineStr">
        <is>
          <t>SPECIES_FLYGON</t>
        </is>
      </c>
      <c r="B1371" s="3" t="inlineStr">
        <is>
          <t>Flygon</t>
        </is>
      </c>
      <c r="C1371" s="3" t="n">
        <v>68</v>
      </c>
      <c r="D1371" s="3" t="inlineStr">
        <is>
          <t>Boomburst</t>
        </is>
      </c>
      <c r="E1371" s="3" t="inlineStr">
        <is>
          <t>MOVE_BOOMBURST</t>
        </is>
      </c>
    </row>
    <row r="1372">
      <c r="A1372" s="3" t="inlineStr">
        <is>
          <t>SPECIES_SWABLU</t>
        </is>
      </c>
      <c r="B1372" s="3" t="inlineStr">
        <is>
          <t>Swablu</t>
        </is>
      </c>
      <c r="C1372" s="3" t="n">
        <v>1</v>
      </c>
      <c r="D1372" s="3" t="inlineStr">
        <is>
          <t>Growl</t>
        </is>
      </c>
      <c r="E1372" s="3" t="inlineStr">
        <is>
          <t>MOVE_GROWL</t>
        </is>
      </c>
    </row>
    <row r="1373">
      <c r="A1373" s="3" t="inlineStr">
        <is>
          <t>SPECIES_SWABLU</t>
        </is>
      </c>
      <c r="B1373" s="3" t="inlineStr">
        <is>
          <t>Swablu</t>
        </is>
      </c>
      <c r="C1373" s="3" t="n">
        <v>1</v>
      </c>
      <c r="D1373" s="3" t="inlineStr">
        <is>
          <t>Peck</t>
        </is>
      </c>
      <c r="E1373" s="3" t="inlineStr">
        <is>
          <t>MOVE_PECK</t>
        </is>
      </c>
    </row>
    <row r="1374">
      <c r="A1374" s="3" t="inlineStr">
        <is>
          <t>SPECIES_SWABLU</t>
        </is>
      </c>
      <c r="B1374" s="3" t="inlineStr">
        <is>
          <t>Swablu</t>
        </is>
      </c>
      <c r="C1374" s="3" t="n">
        <v>4</v>
      </c>
      <c r="D1374" s="3" t="inlineStr">
        <is>
          <t>Disarming Voice</t>
        </is>
      </c>
      <c r="E1374" s="3" t="inlineStr">
        <is>
          <t>MOVE_DISARMING_VOICE</t>
        </is>
      </c>
    </row>
    <row r="1375">
      <c r="A1375" s="3" t="inlineStr">
        <is>
          <t>SPECIES_SWABLU</t>
        </is>
      </c>
      <c r="B1375" s="3" t="inlineStr">
        <is>
          <t>Swablu</t>
        </is>
      </c>
      <c r="C1375" s="3" t="n">
        <v>8</v>
      </c>
      <c r="D1375" s="3" t="inlineStr">
        <is>
          <t>Mist</t>
        </is>
      </c>
      <c r="E1375" s="3" t="inlineStr">
        <is>
          <t>MOVE_MIST</t>
        </is>
      </c>
    </row>
    <row r="1376">
      <c r="A1376" s="3" t="inlineStr">
        <is>
          <t>SPECIES_SWABLU</t>
        </is>
      </c>
      <c r="B1376" s="3" t="inlineStr">
        <is>
          <t>Swablu</t>
        </is>
      </c>
      <c r="C1376" s="3" t="n">
        <v>12</v>
      </c>
      <c r="D1376" s="3" t="inlineStr">
        <is>
          <t>Fury Attack</t>
        </is>
      </c>
      <c r="E1376" s="3" t="inlineStr">
        <is>
          <t>MOVE_FURY_ATTACK</t>
        </is>
      </c>
    </row>
    <row r="1377">
      <c r="A1377" s="3" t="inlineStr">
        <is>
          <t>SPECIES_SWABLU</t>
        </is>
      </c>
      <c r="B1377" s="3" t="inlineStr">
        <is>
          <t>Swablu</t>
        </is>
      </c>
      <c r="C1377" s="3" t="n">
        <v>16</v>
      </c>
      <c r="D1377" s="3" t="inlineStr">
        <is>
          <t>Round</t>
        </is>
      </c>
      <c r="E1377" s="3" t="inlineStr">
        <is>
          <t>MOVE_ROUND</t>
        </is>
      </c>
    </row>
    <row r="1378">
      <c r="A1378" s="3" t="inlineStr">
        <is>
          <t>SPECIES_SWABLU</t>
        </is>
      </c>
      <c r="B1378" s="3" t="inlineStr">
        <is>
          <t>Swablu</t>
        </is>
      </c>
      <c r="C1378" s="3" t="n">
        <v>20</v>
      </c>
      <c r="D1378" s="3" t="inlineStr">
        <is>
          <t>Dragon Breath</t>
        </is>
      </c>
      <c r="E1378" s="3" t="inlineStr">
        <is>
          <t>MOVE_DRAGON_BREATH</t>
        </is>
      </c>
    </row>
    <row r="1379">
      <c r="A1379" s="3" t="inlineStr">
        <is>
          <t>SPECIES_SWABLU</t>
        </is>
      </c>
      <c r="B1379" s="3" t="inlineStr">
        <is>
          <t>Swablu</t>
        </is>
      </c>
      <c r="C1379" s="3" t="n">
        <v>24</v>
      </c>
      <c r="D1379" s="3" t="inlineStr">
        <is>
          <t>Safeguard</t>
        </is>
      </c>
      <c r="E1379" s="3" t="inlineStr">
        <is>
          <t>MOVE_SAFEGUARD</t>
        </is>
      </c>
    </row>
    <row r="1380">
      <c r="A1380" s="3" t="inlineStr">
        <is>
          <t>SPECIES_SWABLU</t>
        </is>
      </c>
      <c r="B1380" s="3" t="inlineStr">
        <is>
          <t>Swablu</t>
        </is>
      </c>
      <c r="C1380" s="3" t="n">
        <v>28</v>
      </c>
      <c r="D1380" s="3" t="inlineStr">
        <is>
          <t>Sing</t>
        </is>
      </c>
      <c r="E1380" s="3" t="inlineStr">
        <is>
          <t>MOVE_SING</t>
        </is>
      </c>
    </row>
    <row r="1381">
      <c r="A1381" s="3" t="inlineStr">
        <is>
          <t>SPECIES_SWABLU</t>
        </is>
      </c>
      <c r="B1381" s="3" t="inlineStr">
        <is>
          <t>Swablu</t>
        </is>
      </c>
      <c r="C1381" s="3" t="n">
        <v>32</v>
      </c>
      <c r="D1381" s="3" t="inlineStr">
        <is>
          <t>Cotton Guard</t>
        </is>
      </c>
      <c r="E1381" s="3" t="inlineStr">
        <is>
          <t>MOVE_COTTON_GUARD</t>
        </is>
      </c>
    </row>
    <row r="1382">
      <c r="A1382" s="3" t="inlineStr">
        <is>
          <t>SPECIES_SWABLU</t>
        </is>
      </c>
      <c r="B1382" s="3" t="inlineStr">
        <is>
          <t>Swablu</t>
        </is>
      </c>
      <c r="C1382" s="3" t="n">
        <v>36</v>
      </c>
      <c r="D1382" s="3" t="inlineStr">
        <is>
          <t>Take Down</t>
        </is>
      </c>
      <c r="E1382" s="3" t="inlineStr">
        <is>
          <t>MOVE_TAKE_DOWN</t>
        </is>
      </c>
    </row>
    <row r="1383">
      <c r="A1383" s="3" t="inlineStr">
        <is>
          <t>SPECIES_SWABLU</t>
        </is>
      </c>
      <c r="B1383" s="3" t="inlineStr">
        <is>
          <t>Swablu</t>
        </is>
      </c>
      <c r="C1383" s="3" t="n">
        <v>40</v>
      </c>
      <c r="D1383" s="3" t="inlineStr">
        <is>
          <t>Moonblast</t>
        </is>
      </c>
      <c r="E1383" s="3" t="inlineStr">
        <is>
          <t>MOVE_MOONBLAST</t>
        </is>
      </c>
    </row>
    <row r="1384">
      <c r="A1384" s="3" t="inlineStr">
        <is>
          <t>SPECIES_SWABLU</t>
        </is>
      </c>
      <c r="B1384" s="3" t="inlineStr">
        <is>
          <t>Swablu</t>
        </is>
      </c>
      <c r="C1384" s="3" t="n">
        <v>44</v>
      </c>
      <c r="D1384" s="3" t="inlineStr">
        <is>
          <t>Perish Song</t>
        </is>
      </c>
      <c r="E1384" s="3" t="inlineStr">
        <is>
          <t>MOVE_PERISH_SONG</t>
        </is>
      </c>
    </row>
    <row r="1385">
      <c r="A1385" s="3" t="inlineStr">
        <is>
          <t>SPECIES_ALTARIA</t>
        </is>
      </c>
      <c r="B1385" s="3" t="inlineStr">
        <is>
          <t>Altaria</t>
        </is>
      </c>
      <c r="C1385" s="3" t="n">
        <v>0</v>
      </c>
      <c r="D1385" s="3" t="inlineStr">
        <is>
          <t>Dragon Pulse</t>
        </is>
      </c>
      <c r="E1385" s="3" t="inlineStr">
        <is>
          <t>MOVE_DRAGON_PULSE</t>
        </is>
      </c>
    </row>
    <row r="1386">
      <c r="A1386" s="3" t="inlineStr">
        <is>
          <t>SPECIES_ALTARIA</t>
        </is>
      </c>
      <c r="B1386" s="3" t="inlineStr">
        <is>
          <t>Altaria</t>
        </is>
      </c>
      <c r="C1386" s="3" t="n">
        <v>1</v>
      </c>
      <c r="D1386" s="3" t="inlineStr">
        <is>
          <t>Growl</t>
        </is>
      </c>
      <c r="E1386" s="3" t="inlineStr">
        <is>
          <t>MOVE_GROWL</t>
        </is>
      </c>
    </row>
    <row r="1387">
      <c r="A1387" s="3" t="inlineStr">
        <is>
          <t>SPECIES_ALTARIA</t>
        </is>
      </c>
      <c r="B1387" s="3" t="inlineStr">
        <is>
          <t>Altaria</t>
        </is>
      </c>
      <c r="C1387" s="3" t="n">
        <v>1</v>
      </c>
      <c r="D1387" s="3" t="inlineStr">
        <is>
          <t>Mist</t>
        </is>
      </c>
      <c r="E1387" s="3" t="inlineStr">
        <is>
          <t>MOVE_MIST</t>
        </is>
      </c>
    </row>
    <row r="1388">
      <c r="A1388" s="3" t="inlineStr">
        <is>
          <t>SPECIES_ALTARIA</t>
        </is>
      </c>
      <c r="B1388" s="3" t="inlineStr">
        <is>
          <t>Altaria</t>
        </is>
      </c>
      <c r="C1388" s="3" t="n">
        <v>1</v>
      </c>
      <c r="D1388" s="3" t="inlineStr">
        <is>
          <t>Peck</t>
        </is>
      </c>
      <c r="E1388" s="3" t="inlineStr">
        <is>
          <t>MOVE_PECK</t>
        </is>
      </c>
    </row>
    <row r="1389">
      <c r="A1389" s="3" t="inlineStr">
        <is>
          <t>SPECIES_ALTARIA</t>
        </is>
      </c>
      <c r="B1389" s="3" t="inlineStr">
        <is>
          <t>Altaria</t>
        </is>
      </c>
      <c r="C1389" s="3" t="n">
        <v>1</v>
      </c>
      <c r="D1389" s="3" t="inlineStr">
        <is>
          <t>Pluck</t>
        </is>
      </c>
      <c r="E1389" s="3" t="inlineStr">
        <is>
          <t>MOVE_PLUCK</t>
        </is>
      </c>
    </row>
    <row r="1390">
      <c r="A1390" s="3" t="inlineStr">
        <is>
          <t>SPECIES_ALTARIA</t>
        </is>
      </c>
      <c r="B1390" s="3" t="inlineStr">
        <is>
          <t>Altaria</t>
        </is>
      </c>
      <c r="C1390" s="3" t="n">
        <v>1</v>
      </c>
      <c r="D1390" s="3" t="inlineStr">
        <is>
          <t>Disarming Voice</t>
        </is>
      </c>
      <c r="E1390" s="3" t="inlineStr">
        <is>
          <t>MOVE_DISARMING_VOICE</t>
        </is>
      </c>
    </row>
    <row r="1391">
      <c r="A1391" s="3" t="inlineStr">
        <is>
          <t>SPECIES_ALTARIA</t>
        </is>
      </c>
      <c r="B1391" s="3" t="inlineStr">
        <is>
          <t>Altaria</t>
        </is>
      </c>
      <c r="C1391" s="3" t="n">
        <v>12</v>
      </c>
      <c r="D1391" s="3" t="inlineStr">
        <is>
          <t>Fury Attack</t>
        </is>
      </c>
      <c r="E1391" s="3" t="inlineStr">
        <is>
          <t>MOVE_FURY_ATTACK</t>
        </is>
      </c>
    </row>
    <row r="1392">
      <c r="A1392" s="3" t="inlineStr">
        <is>
          <t>SPECIES_ALTARIA</t>
        </is>
      </c>
      <c r="B1392" s="3" t="inlineStr">
        <is>
          <t>Altaria</t>
        </is>
      </c>
      <c r="C1392" s="3" t="n">
        <v>16</v>
      </c>
      <c r="D1392" s="3" t="inlineStr">
        <is>
          <t>Round</t>
        </is>
      </c>
      <c r="E1392" s="3" t="inlineStr">
        <is>
          <t>MOVE_ROUND</t>
        </is>
      </c>
    </row>
    <row r="1393">
      <c r="A1393" s="3" t="inlineStr">
        <is>
          <t>SPECIES_ALTARIA</t>
        </is>
      </c>
      <c r="B1393" s="3" t="inlineStr">
        <is>
          <t>Altaria</t>
        </is>
      </c>
      <c r="C1393" s="3" t="n">
        <v>20</v>
      </c>
      <c r="D1393" s="3" t="inlineStr">
        <is>
          <t>Dragon Breath</t>
        </is>
      </c>
      <c r="E1393" s="3" t="inlineStr">
        <is>
          <t>MOVE_DRAGON_BREATH</t>
        </is>
      </c>
    </row>
    <row r="1394">
      <c r="A1394" s="3" t="inlineStr">
        <is>
          <t>SPECIES_ALTARIA</t>
        </is>
      </c>
      <c r="B1394" s="3" t="inlineStr">
        <is>
          <t>Altaria</t>
        </is>
      </c>
      <c r="C1394" s="3" t="n">
        <v>24</v>
      </c>
      <c r="D1394" s="3" t="inlineStr">
        <is>
          <t>Safeguard</t>
        </is>
      </c>
      <c r="E1394" s="3" t="inlineStr">
        <is>
          <t>MOVE_SAFEGUARD</t>
        </is>
      </c>
    </row>
    <row r="1395">
      <c r="A1395" s="3" t="inlineStr">
        <is>
          <t>SPECIES_ALTARIA</t>
        </is>
      </c>
      <c r="B1395" s="3" t="inlineStr">
        <is>
          <t>Altaria</t>
        </is>
      </c>
      <c r="C1395" s="3" t="n">
        <v>28</v>
      </c>
      <c r="D1395" s="3" t="inlineStr">
        <is>
          <t>Sing</t>
        </is>
      </c>
      <c r="E1395" s="3" t="inlineStr">
        <is>
          <t>MOVE_SING</t>
        </is>
      </c>
    </row>
    <row r="1396">
      <c r="A1396" s="3" t="inlineStr">
        <is>
          <t>SPECIES_ALTARIA</t>
        </is>
      </c>
      <c r="B1396" s="3" t="inlineStr">
        <is>
          <t>Altaria</t>
        </is>
      </c>
      <c r="C1396" s="3" t="n">
        <v>32</v>
      </c>
      <c r="D1396" s="3" t="inlineStr">
        <is>
          <t>Cotton Guard</t>
        </is>
      </c>
      <c r="E1396" s="3" t="inlineStr">
        <is>
          <t>MOVE_COTTON_GUARD</t>
        </is>
      </c>
    </row>
    <row r="1397">
      <c r="A1397" s="3" t="inlineStr">
        <is>
          <t>SPECIES_ALTARIA</t>
        </is>
      </c>
      <c r="B1397" s="3" t="inlineStr">
        <is>
          <t>Altaria</t>
        </is>
      </c>
      <c r="C1397" s="3" t="n">
        <v>38</v>
      </c>
      <c r="D1397" s="3" t="inlineStr">
        <is>
          <t>Take Down</t>
        </is>
      </c>
      <c r="E1397" s="3" t="inlineStr">
        <is>
          <t>MOVE_TAKE_DOWN</t>
        </is>
      </c>
    </row>
    <row r="1398">
      <c r="A1398" s="3" t="inlineStr">
        <is>
          <t>SPECIES_ALTARIA</t>
        </is>
      </c>
      <c r="B1398" s="3" t="inlineStr">
        <is>
          <t>Altaria</t>
        </is>
      </c>
      <c r="C1398" s="3" t="n">
        <v>44</v>
      </c>
      <c r="D1398" s="3" t="inlineStr">
        <is>
          <t>Moonblast</t>
        </is>
      </c>
      <c r="E1398" s="3" t="inlineStr">
        <is>
          <t>MOVE_MOONBLAST</t>
        </is>
      </c>
    </row>
    <row r="1399">
      <c r="A1399" s="3" t="inlineStr">
        <is>
          <t>SPECIES_ALTARIA</t>
        </is>
      </c>
      <c r="B1399" s="3" t="inlineStr">
        <is>
          <t>Altaria</t>
        </is>
      </c>
      <c r="C1399" s="3" t="n">
        <v>50</v>
      </c>
      <c r="D1399" s="3" t="inlineStr">
        <is>
          <t>Perish Song</t>
        </is>
      </c>
      <c r="E1399" s="3" t="inlineStr">
        <is>
          <t>MOVE_PERISH_SONG</t>
        </is>
      </c>
    </row>
    <row r="1400">
      <c r="A1400" s="3" t="inlineStr">
        <is>
          <t>SPECIES_ALTARIA</t>
        </is>
      </c>
      <c r="B1400" s="3" t="inlineStr">
        <is>
          <t>Altaria</t>
        </is>
      </c>
      <c r="C1400" s="3" t="n">
        <v>56</v>
      </c>
      <c r="D1400" s="3" t="inlineStr">
        <is>
          <t>Sky Attack</t>
        </is>
      </c>
      <c r="E1400" s="3" t="inlineStr">
        <is>
          <t>MOVE_SKY_ATTACK</t>
        </is>
      </c>
    </row>
    <row r="1401">
      <c r="A1401" s="3" t="inlineStr">
        <is>
          <t>SPECIES_CORPHISH</t>
        </is>
      </c>
      <c r="B1401" s="3" t="inlineStr">
        <is>
          <t>Corphish</t>
        </is>
      </c>
      <c r="C1401" s="3" t="n">
        <v>1</v>
      </c>
      <c r="D1401" s="3" t="inlineStr">
        <is>
          <t>Water Gun</t>
        </is>
      </c>
      <c r="E1401" s="3" t="inlineStr">
        <is>
          <t>MOVE_WATER_GUN</t>
        </is>
      </c>
    </row>
    <row r="1402">
      <c r="A1402" s="3" t="inlineStr">
        <is>
          <t>SPECIES_CORPHISH</t>
        </is>
      </c>
      <c r="B1402" s="3" t="inlineStr">
        <is>
          <t>Corphish</t>
        </is>
      </c>
      <c r="C1402" s="3" t="n">
        <v>1</v>
      </c>
      <c r="D1402" s="3" t="inlineStr">
        <is>
          <t>Harden</t>
        </is>
      </c>
      <c r="E1402" s="3" t="inlineStr">
        <is>
          <t>MOVE_HARDEN</t>
        </is>
      </c>
    </row>
    <row r="1403">
      <c r="A1403" s="3" t="inlineStr">
        <is>
          <t>SPECIES_CORPHISH</t>
        </is>
      </c>
      <c r="B1403" s="3" t="inlineStr">
        <is>
          <t>Corphish</t>
        </is>
      </c>
      <c r="C1403" s="3" t="n">
        <v>4</v>
      </c>
      <c r="D1403" s="3" t="inlineStr">
        <is>
          <t>Leer</t>
        </is>
      </c>
      <c r="E1403" s="3" t="inlineStr">
        <is>
          <t>MOVE_LEER</t>
        </is>
      </c>
    </row>
    <row r="1404">
      <c r="A1404" s="3" t="inlineStr">
        <is>
          <t>SPECIES_CORPHISH</t>
        </is>
      </c>
      <c r="B1404" s="3" t="inlineStr">
        <is>
          <t>Corphish</t>
        </is>
      </c>
      <c r="C1404" s="3" t="n">
        <v>8</v>
      </c>
      <c r="D1404" s="3" t="inlineStr">
        <is>
          <t>Taunt</t>
        </is>
      </c>
      <c r="E1404" s="3" t="inlineStr">
        <is>
          <t>MOVE_TAUNT</t>
        </is>
      </c>
    </row>
    <row r="1405">
      <c r="A1405" s="3" t="inlineStr">
        <is>
          <t>SPECIES_CORPHISH</t>
        </is>
      </c>
      <c r="B1405" s="3" t="inlineStr">
        <is>
          <t>Corphish</t>
        </is>
      </c>
      <c r="C1405" s="3" t="n">
        <v>12</v>
      </c>
      <c r="D1405" s="3" t="inlineStr">
        <is>
          <t>Bubble Beam</t>
        </is>
      </c>
      <c r="E1405" s="3" t="inlineStr">
        <is>
          <t>MOVE_BUBBLE_BEAM</t>
        </is>
      </c>
    </row>
    <row r="1406">
      <c r="A1406" s="3" t="inlineStr">
        <is>
          <t>SPECIES_CORPHISH</t>
        </is>
      </c>
      <c r="B1406" s="3" t="inlineStr">
        <is>
          <t>Corphish</t>
        </is>
      </c>
      <c r="C1406" s="3" t="n">
        <v>16</v>
      </c>
      <c r="D1406" s="3" t="inlineStr">
        <is>
          <t>Knock Off</t>
        </is>
      </c>
      <c r="E1406" s="3" t="inlineStr">
        <is>
          <t>MOVE_KNOCK_OFF</t>
        </is>
      </c>
    </row>
    <row r="1407">
      <c r="A1407" s="3" t="inlineStr">
        <is>
          <t>SPECIES_CORPHISH</t>
        </is>
      </c>
      <c r="B1407" s="3" t="inlineStr">
        <is>
          <t>Corphish</t>
        </is>
      </c>
      <c r="C1407" s="3" t="n">
        <v>20</v>
      </c>
      <c r="D1407" s="3" t="inlineStr">
        <is>
          <t>Double Hit</t>
        </is>
      </c>
      <c r="E1407" s="3" t="inlineStr">
        <is>
          <t>MOVE_DOUBLE_HIT</t>
        </is>
      </c>
    </row>
    <row r="1408">
      <c r="A1408" s="3" t="inlineStr">
        <is>
          <t>SPECIES_CORPHISH</t>
        </is>
      </c>
      <c r="B1408" s="3" t="inlineStr">
        <is>
          <t>Corphish</t>
        </is>
      </c>
      <c r="C1408" s="3" t="n">
        <v>24</v>
      </c>
      <c r="D1408" s="3" t="inlineStr">
        <is>
          <t>Protect</t>
        </is>
      </c>
      <c r="E1408" s="3" t="inlineStr">
        <is>
          <t>MOVE_PROTECT</t>
        </is>
      </c>
    </row>
    <row r="1409">
      <c r="A1409" s="3" t="inlineStr">
        <is>
          <t>SPECIES_CORPHISH</t>
        </is>
      </c>
      <c r="B1409" s="3" t="inlineStr">
        <is>
          <t>Corphish</t>
        </is>
      </c>
      <c r="C1409" s="3" t="n">
        <v>28</v>
      </c>
      <c r="D1409" s="3" t="inlineStr">
        <is>
          <t>Night Slash</t>
        </is>
      </c>
      <c r="E1409" s="3" t="inlineStr">
        <is>
          <t>MOVE_NIGHT_SLASH</t>
        </is>
      </c>
    </row>
    <row r="1410">
      <c r="A1410" s="3" t="inlineStr">
        <is>
          <t>SPECIES_CORPHISH</t>
        </is>
      </c>
      <c r="B1410" s="3" t="inlineStr">
        <is>
          <t>Corphish</t>
        </is>
      </c>
      <c r="C1410" s="3" t="n">
        <v>32</v>
      </c>
      <c r="D1410" s="3" t="inlineStr">
        <is>
          <t>Razor Shell</t>
        </is>
      </c>
      <c r="E1410" s="3" t="inlineStr">
        <is>
          <t>MOVE_RAZOR_SHELL</t>
        </is>
      </c>
    </row>
    <row r="1411">
      <c r="A1411" s="3" t="inlineStr">
        <is>
          <t>SPECIES_CORPHISH</t>
        </is>
      </c>
      <c r="B1411" s="3" t="inlineStr">
        <is>
          <t>Corphish</t>
        </is>
      </c>
      <c r="C1411" s="3" t="n">
        <v>36</v>
      </c>
      <c r="D1411" s="3" t="inlineStr">
        <is>
          <t>Swords Dance</t>
        </is>
      </c>
      <c r="E1411" s="3" t="inlineStr">
        <is>
          <t>MOVE_SWORDS_DANCE</t>
        </is>
      </c>
    </row>
    <row r="1412">
      <c r="A1412" s="3" t="inlineStr">
        <is>
          <t>SPECIES_CORPHISH</t>
        </is>
      </c>
      <c r="B1412" s="3" t="inlineStr">
        <is>
          <t>Corphish</t>
        </is>
      </c>
      <c r="C1412" s="3" t="n">
        <v>40</v>
      </c>
      <c r="D1412" s="3" t="inlineStr">
        <is>
          <t>Crunch</t>
        </is>
      </c>
      <c r="E1412" s="3" t="inlineStr">
        <is>
          <t>MOVE_CRUNCH</t>
        </is>
      </c>
    </row>
    <row r="1413">
      <c r="A1413" s="3" t="inlineStr">
        <is>
          <t>SPECIES_CORPHISH</t>
        </is>
      </c>
      <c r="B1413" s="3" t="inlineStr">
        <is>
          <t>Corphish</t>
        </is>
      </c>
      <c r="C1413" s="3" t="n">
        <v>44</v>
      </c>
      <c r="D1413" s="3" t="inlineStr">
        <is>
          <t>Crabhammer</t>
        </is>
      </c>
      <c r="E1413" s="3" t="inlineStr">
        <is>
          <t>MOVE_CRABHAMMER</t>
        </is>
      </c>
    </row>
    <row r="1414">
      <c r="A1414" s="3" t="inlineStr">
        <is>
          <t>SPECIES_CORPHISH</t>
        </is>
      </c>
      <c r="B1414" s="3" t="inlineStr">
        <is>
          <t>Corphish</t>
        </is>
      </c>
      <c r="C1414" s="3" t="n">
        <v>48</v>
      </c>
      <c r="D1414" s="3" t="inlineStr">
        <is>
          <t>Endeavor</t>
        </is>
      </c>
      <c r="E1414" s="3" t="inlineStr">
        <is>
          <t>MOVE_ENDEAVOR</t>
        </is>
      </c>
    </row>
    <row r="1415">
      <c r="A1415" s="3" t="inlineStr">
        <is>
          <t>SPECIES_CORPHISH</t>
        </is>
      </c>
      <c r="B1415" s="3" t="inlineStr">
        <is>
          <t>Corphish</t>
        </is>
      </c>
      <c r="C1415" s="3" t="n">
        <v>52</v>
      </c>
      <c r="D1415" s="3" t="inlineStr">
        <is>
          <t>Guillotine</t>
        </is>
      </c>
      <c r="E1415" s="3" t="inlineStr">
        <is>
          <t>MOVE_GUILLOTINE</t>
        </is>
      </c>
    </row>
    <row r="1416">
      <c r="A1416" s="3" t="inlineStr">
        <is>
          <t>SPECIES_CRAWDAUNT</t>
        </is>
      </c>
      <c r="B1416" s="3" t="inlineStr">
        <is>
          <t>Crawdaunt</t>
        </is>
      </c>
      <c r="C1416" s="3" t="n">
        <v>0</v>
      </c>
      <c r="D1416" s="3" t="inlineStr">
        <is>
          <t>Swift</t>
        </is>
      </c>
      <c r="E1416" s="3" t="inlineStr">
        <is>
          <t>MOVE_SWIFT</t>
        </is>
      </c>
    </row>
    <row r="1417">
      <c r="A1417" s="3" t="inlineStr">
        <is>
          <t>SPECIES_CRAWDAUNT</t>
        </is>
      </c>
      <c r="B1417" s="3" t="inlineStr">
        <is>
          <t>Crawdaunt</t>
        </is>
      </c>
      <c r="C1417" s="3" t="n">
        <v>1</v>
      </c>
      <c r="D1417" s="3" t="inlineStr">
        <is>
          <t>Leer</t>
        </is>
      </c>
      <c r="E1417" s="3" t="inlineStr">
        <is>
          <t>MOVE_LEER</t>
        </is>
      </c>
    </row>
    <row r="1418">
      <c r="A1418" s="3" t="inlineStr">
        <is>
          <t>SPECIES_CRAWDAUNT</t>
        </is>
      </c>
      <c r="B1418" s="3" t="inlineStr">
        <is>
          <t>Crawdaunt</t>
        </is>
      </c>
      <c r="C1418" s="3" t="n">
        <v>1</v>
      </c>
      <c r="D1418" s="3" t="inlineStr">
        <is>
          <t>Water Gun</t>
        </is>
      </c>
      <c r="E1418" s="3" t="inlineStr">
        <is>
          <t>MOVE_WATER_GUN</t>
        </is>
      </c>
    </row>
    <row r="1419">
      <c r="A1419" s="3" t="inlineStr">
        <is>
          <t>SPECIES_CRAWDAUNT</t>
        </is>
      </c>
      <c r="B1419" s="3" t="inlineStr">
        <is>
          <t>Crawdaunt</t>
        </is>
      </c>
      <c r="C1419" s="3" t="n">
        <v>1</v>
      </c>
      <c r="D1419" s="3" t="inlineStr">
        <is>
          <t>Harden</t>
        </is>
      </c>
      <c r="E1419" s="3" t="inlineStr">
        <is>
          <t>MOVE_HARDEN</t>
        </is>
      </c>
    </row>
    <row r="1420">
      <c r="A1420" s="3" t="inlineStr">
        <is>
          <t>SPECIES_CRAWDAUNT</t>
        </is>
      </c>
      <c r="B1420" s="3" t="inlineStr">
        <is>
          <t>Crawdaunt</t>
        </is>
      </c>
      <c r="C1420" s="3" t="n">
        <v>1</v>
      </c>
      <c r="D1420" s="3" t="inlineStr">
        <is>
          <t>Taunt</t>
        </is>
      </c>
      <c r="E1420" s="3" t="inlineStr">
        <is>
          <t>MOVE_TAUNT</t>
        </is>
      </c>
    </row>
    <row r="1421">
      <c r="A1421" s="3" t="inlineStr">
        <is>
          <t>SPECIES_CRAWDAUNT</t>
        </is>
      </c>
      <c r="B1421" s="3" t="inlineStr">
        <is>
          <t>Crawdaunt</t>
        </is>
      </c>
      <c r="C1421" s="3" t="n">
        <v>12</v>
      </c>
      <c r="D1421" s="3" t="inlineStr">
        <is>
          <t>Bubble Beam</t>
        </is>
      </c>
      <c r="E1421" s="3" t="inlineStr">
        <is>
          <t>MOVE_BUBBLE_BEAM</t>
        </is>
      </c>
    </row>
    <row r="1422">
      <c r="A1422" s="3" t="inlineStr">
        <is>
          <t>SPECIES_CRAWDAUNT</t>
        </is>
      </c>
      <c r="B1422" s="3" t="inlineStr">
        <is>
          <t>Crawdaunt</t>
        </is>
      </c>
      <c r="C1422" s="3" t="n">
        <v>16</v>
      </c>
      <c r="D1422" s="3" t="inlineStr">
        <is>
          <t>Knock Off</t>
        </is>
      </c>
      <c r="E1422" s="3" t="inlineStr">
        <is>
          <t>MOVE_KNOCK_OFF</t>
        </is>
      </c>
    </row>
    <row r="1423">
      <c r="A1423" s="3" t="inlineStr">
        <is>
          <t>SPECIES_CRAWDAUNT</t>
        </is>
      </c>
      <c r="B1423" s="3" t="inlineStr">
        <is>
          <t>Crawdaunt</t>
        </is>
      </c>
      <c r="C1423" s="3" t="n">
        <v>20</v>
      </c>
      <c r="D1423" s="3" t="inlineStr">
        <is>
          <t>Double Hit</t>
        </is>
      </c>
      <c r="E1423" s="3" t="inlineStr">
        <is>
          <t>MOVE_DOUBLE_HIT</t>
        </is>
      </c>
    </row>
    <row r="1424">
      <c r="A1424" s="3" t="inlineStr">
        <is>
          <t>SPECIES_CRAWDAUNT</t>
        </is>
      </c>
      <c r="B1424" s="3" t="inlineStr">
        <is>
          <t>Crawdaunt</t>
        </is>
      </c>
      <c r="C1424" s="3" t="n">
        <v>24</v>
      </c>
      <c r="D1424" s="3" t="inlineStr">
        <is>
          <t>Protect</t>
        </is>
      </c>
      <c r="E1424" s="3" t="inlineStr">
        <is>
          <t>MOVE_PROTECT</t>
        </is>
      </c>
    </row>
    <row r="1425">
      <c r="A1425" s="3" t="inlineStr">
        <is>
          <t>SPECIES_CRAWDAUNT</t>
        </is>
      </c>
      <c r="B1425" s="3" t="inlineStr">
        <is>
          <t>Crawdaunt</t>
        </is>
      </c>
      <c r="C1425" s="3" t="n">
        <v>28</v>
      </c>
      <c r="D1425" s="3" t="inlineStr">
        <is>
          <t>Night Slash</t>
        </is>
      </c>
      <c r="E1425" s="3" t="inlineStr">
        <is>
          <t>MOVE_NIGHT_SLASH</t>
        </is>
      </c>
    </row>
    <row r="1426">
      <c r="A1426" s="3" t="inlineStr">
        <is>
          <t>SPECIES_CRAWDAUNT</t>
        </is>
      </c>
      <c r="B1426" s="3" t="inlineStr">
        <is>
          <t>Crawdaunt</t>
        </is>
      </c>
      <c r="C1426" s="3" t="n">
        <v>34</v>
      </c>
      <c r="D1426" s="3" t="inlineStr">
        <is>
          <t>Razor Shell</t>
        </is>
      </c>
      <c r="E1426" s="3" t="inlineStr">
        <is>
          <t>MOVE_RAZOR_SHELL</t>
        </is>
      </c>
    </row>
    <row r="1427">
      <c r="A1427" s="3" t="inlineStr">
        <is>
          <t>SPECIES_CRAWDAUNT</t>
        </is>
      </c>
      <c r="B1427" s="3" t="inlineStr">
        <is>
          <t>Crawdaunt</t>
        </is>
      </c>
      <c r="C1427" s="3" t="n">
        <v>40</v>
      </c>
      <c r="D1427" s="3" t="inlineStr">
        <is>
          <t>Swords Dance</t>
        </is>
      </c>
      <c r="E1427" s="3" t="inlineStr">
        <is>
          <t>MOVE_SWORDS_DANCE</t>
        </is>
      </c>
    </row>
    <row r="1428">
      <c r="A1428" s="3" t="inlineStr">
        <is>
          <t>SPECIES_CRAWDAUNT</t>
        </is>
      </c>
      <c r="B1428" s="3" t="inlineStr">
        <is>
          <t>Crawdaunt</t>
        </is>
      </c>
      <c r="C1428" s="3" t="n">
        <v>46</v>
      </c>
      <c r="D1428" s="3" t="inlineStr">
        <is>
          <t>Crunch</t>
        </is>
      </c>
      <c r="E1428" s="3" t="inlineStr">
        <is>
          <t>MOVE_CRUNCH</t>
        </is>
      </c>
    </row>
    <row r="1429">
      <c r="A1429" s="3" t="inlineStr">
        <is>
          <t>SPECIES_CRAWDAUNT</t>
        </is>
      </c>
      <c r="B1429" s="3" t="inlineStr">
        <is>
          <t>Crawdaunt</t>
        </is>
      </c>
      <c r="C1429" s="3" t="n">
        <v>52</v>
      </c>
      <c r="D1429" s="3" t="inlineStr">
        <is>
          <t>Crabhammer</t>
        </is>
      </c>
      <c r="E1429" s="3" t="inlineStr">
        <is>
          <t>MOVE_CRABHAMMER</t>
        </is>
      </c>
    </row>
    <row r="1430">
      <c r="A1430" s="3" t="inlineStr">
        <is>
          <t>SPECIES_CRAWDAUNT</t>
        </is>
      </c>
      <c r="B1430" s="3" t="inlineStr">
        <is>
          <t>Crawdaunt</t>
        </is>
      </c>
      <c r="C1430" s="3" t="n">
        <v>58</v>
      </c>
      <c r="D1430" s="3" t="inlineStr">
        <is>
          <t>Endeavor</t>
        </is>
      </c>
      <c r="E1430" s="3" t="inlineStr">
        <is>
          <t>MOVE_ENDEAVOR</t>
        </is>
      </c>
    </row>
    <row r="1431">
      <c r="A1431" s="3" t="inlineStr">
        <is>
          <t>SPECIES_CRAWDAUNT</t>
        </is>
      </c>
      <c r="B1431" s="3" t="inlineStr">
        <is>
          <t>Crawdaunt</t>
        </is>
      </c>
      <c r="C1431" s="3" t="n">
        <v>64</v>
      </c>
      <c r="D1431" s="3" t="inlineStr">
        <is>
          <t>Guillotine</t>
        </is>
      </c>
      <c r="E1431" s="3" t="inlineStr">
        <is>
          <t>MOVE_GUILLOTINE</t>
        </is>
      </c>
    </row>
    <row r="1432">
      <c r="A1432" s="3" t="inlineStr">
        <is>
          <t>SPECIES_BALTOY</t>
        </is>
      </c>
      <c r="B1432" s="3" t="inlineStr">
        <is>
          <t>Baltoy</t>
        </is>
      </c>
      <c r="C1432" s="3" t="n">
        <v>1</v>
      </c>
      <c r="D1432" s="3" t="inlineStr">
        <is>
          <t>Harden</t>
        </is>
      </c>
      <c r="E1432" s="3" t="inlineStr">
        <is>
          <t>MOVE_HARDEN</t>
        </is>
      </c>
    </row>
    <row r="1433">
      <c r="A1433" s="3" t="inlineStr">
        <is>
          <t>SPECIES_BALTOY</t>
        </is>
      </c>
      <c r="B1433" s="3" t="inlineStr">
        <is>
          <t>Baltoy</t>
        </is>
      </c>
      <c r="C1433" s="3" t="n">
        <v>1</v>
      </c>
      <c r="D1433" s="3" t="inlineStr">
        <is>
          <t>Mud-Slap</t>
        </is>
      </c>
      <c r="E1433" s="3" t="inlineStr">
        <is>
          <t>MOVE_MUD_SLAP</t>
        </is>
      </c>
    </row>
    <row r="1434">
      <c r="A1434" s="3" t="inlineStr">
        <is>
          <t>SPECIES_BALTOY</t>
        </is>
      </c>
      <c r="B1434" s="3" t="inlineStr">
        <is>
          <t>Baltoy</t>
        </is>
      </c>
      <c r="C1434" s="3" t="n">
        <v>3</v>
      </c>
      <c r="D1434" s="3" t="inlineStr">
        <is>
          <t>Rapid Spin</t>
        </is>
      </c>
      <c r="E1434" s="3" t="inlineStr">
        <is>
          <t>MOVE_RAPID_SPIN</t>
        </is>
      </c>
    </row>
    <row r="1435">
      <c r="A1435" s="3" t="inlineStr">
        <is>
          <t>SPECIES_BALTOY</t>
        </is>
      </c>
      <c r="B1435" s="3" t="inlineStr">
        <is>
          <t>Baltoy</t>
        </is>
      </c>
      <c r="C1435" s="3" t="n">
        <v>6</v>
      </c>
      <c r="D1435" s="3" t="inlineStr">
        <is>
          <t>Confusion</t>
        </is>
      </c>
      <c r="E1435" s="3" t="inlineStr">
        <is>
          <t>MOVE_CONFUSION</t>
        </is>
      </c>
    </row>
    <row r="1436">
      <c r="A1436" s="3" t="inlineStr">
        <is>
          <t>SPECIES_BALTOY</t>
        </is>
      </c>
      <c r="B1436" s="3" t="inlineStr">
        <is>
          <t>Baltoy</t>
        </is>
      </c>
      <c r="C1436" s="3" t="n">
        <v>9</v>
      </c>
      <c r="D1436" s="3" t="inlineStr">
        <is>
          <t>Rock Tomb</t>
        </is>
      </c>
      <c r="E1436" s="3" t="inlineStr">
        <is>
          <t>MOVE_ROCK_TOMB</t>
        </is>
      </c>
    </row>
    <row r="1437">
      <c r="A1437" s="3" t="inlineStr">
        <is>
          <t>SPECIES_BALTOY</t>
        </is>
      </c>
      <c r="B1437" s="3" t="inlineStr">
        <is>
          <t>Baltoy</t>
        </is>
      </c>
      <c r="C1437" s="3" t="n">
        <v>12</v>
      </c>
      <c r="D1437" s="3" t="inlineStr">
        <is>
          <t>Power Trick</t>
        </is>
      </c>
      <c r="E1437" s="3" t="inlineStr">
        <is>
          <t>MOVE_POWER_TRICK</t>
        </is>
      </c>
    </row>
    <row r="1438">
      <c r="A1438" s="3" t="inlineStr">
        <is>
          <t>SPECIES_BALTOY</t>
        </is>
      </c>
      <c r="B1438" s="3" t="inlineStr">
        <is>
          <t>Baltoy</t>
        </is>
      </c>
      <c r="C1438" s="3" t="n">
        <v>15</v>
      </c>
      <c r="D1438" s="3" t="inlineStr">
        <is>
          <t>Psybeam</t>
        </is>
      </c>
      <c r="E1438" s="3" t="inlineStr">
        <is>
          <t>MOVE_PSYBEAM</t>
        </is>
      </c>
    </row>
    <row r="1439">
      <c r="A1439" s="3" t="inlineStr">
        <is>
          <t>SPECIES_BALTOY</t>
        </is>
      </c>
      <c r="B1439" s="3" t="inlineStr">
        <is>
          <t>Baltoy</t>
        </is>
      </c>
      <c r="C1439" s="3" t="n">
        <v>18</v>
      </c>
      <c r="D1439" s="3" t="inlineStr">
        <is>
          <t>Ancient Power</t>
        </is>
      </c>
      <c r="E1439" s="3" t="inlineStr">
        <is>
          <t>MOVE_ANCIENT_POWER</t>
        </is>
      </c>
    </row>
    <row r="1440">
      <c r="A1440" s="3" t="inlineStr">
        <is>
          <t>SPECIES_BALTOY</t>
        </is>
      </c>
      <c r="B1440" s="3" t="inlineStr">
        <is>
          <t>Baltoy</t>
        </is>
      </c>
      <c r="C1440" s="3" t="n">
        <v>21</v>
      </c>
      <c r="D1440" s="3" t="inlineStr">
        <is>
          <t>Imprison</t>
        </is>
      </c>
      <c r="E1440" s="3" t="inlineStr">
        <is>
          <t>MOVE_IMPRISON</t>
        </is>
      </c>
    </row>
    <row r="1441">
      <c r="A1441" s="3" t="inlineStr">
        <is>
          <t>SPECIES_BALTOY</t>
        </is>
      </c>
      <c r="B1441" s="3" t="inlineStr">
        <is>
          <t>Baltoy</t>
        </is>
      </c>
      <c r="C1441" s="3" t="n">
        <v>24</v>
      </c>
      <c r="D1441" s="3" t="inlineStr">
        <is>
          <t>Cosmic Power</t>
        </is>
      </c>
      <c r="E1441" s="3" t="inlineStr">
        <is>
          <t>MOVE_COSMIC_POWER</t>
        </is>
      </c>
    </row>
    <row r="1442">
      <c r="A1442" s="3" t="inlineStr">
        <is>
          <t>SPECIES_BALTOY</t>
        </is>
      </c>
      <c r="B1442" s="3" t="inlineStr">
        <is>
          <t>Baltoy</t>
        </is>
      </c>
      <c r="C1442" s="3" t="n">
        <v>27</v>
      </c>
      <c r="D1442" s="3" t="inlineStr">
        <is>
          <t>Extrasensory</t>
        </is>
      </c>
      <c r="E1442" s="3" t="inlineStr">
        <is>
          <t>MOVE_EXTRASENSORY</t>
        </is>
      </c>
    </row>
    <row r="1443">
      <c r="A1443" s="3" t="inlineStr">
        <is>
          <t>SPECIES_BALTOY</t>
        </is>
      </c>
      <c r="B1443" s="3" t="inlineStr">
        <is>
          <t>Baltoy</t>
        </is>
      </c>
      <c r="C1443" s="3" t="n">
        <v>30</v>
      </c>
      <c r="D1443" s="3" t="inlineStr">
        <is>
          <t>Earth Power</t>
        </is>
      </c>
      <c r="E1443" s="3" t="inlineStr">
        <is>
          <t>MOVE_EARTH_POWER</t>
        </is>
      </c>
    </row>
    <row r="1444">
      <c r="A1444" s="3" t="inlineStr">
        <is>
          <t>SPECIES_BALTOY</t>
        </is>
      </c>
      <c r="B1444" s="3" t="inlineStr">
        <is>
          <t>Baltoy</t>
        </is>
      </c>
      <c r="C1444" s="3" t="n">
        <v>33</v>
      </c>
      <c r="D1444" s="3" t="inlineStr">
        <is>
          <t>Self-Destruct</t>
        </is>
      </c>
      <c r="E1444" s="3" t="inlineStr">
        <is>
          <t>MOVE_SELF_DESTRUCT</t>
        </is>
      </c>
    </row>
    <row r="1445">
      <c r="A1445" s="3" t="inlineStr">
        <is>
          <t>SPECIES_BALTOY</t>
        </is>
      </c>
      <c r="B1445" s="3" t="inlineStr">
        <is>
          <t>Baltoy</t>
        </is>
      </c>
      <c r="C1445" s="3" t="n">
        <v>36</v>
      </c>
      <c r="D1445" s="3" t="inlineStr">
        <is>
          <t>Guard Split</t>
        </is>
      </c>
      <c r="E1445" s="3" t="inlineStr">
        <is>
          <t>MOVE_GUARD_SPLIT</t>
        </is>
      </c>
    </row>
    <row r="1446">
      <c r="A1446" s="3" t="inlineStr">
        <is>
          <t>SPECIES_BALTOY</t>
        </is>
      </c>
      <c r="B1446" s="3" t="inlineStr">
        <is>
          <t>Baltoy</t>
        </is>
      </c>
      <c r="C1446" s="3" t="n">
        <v>36</v>
      </c>
      <c r="D1446" s="3" t="inlineStr">
        <is>
          <t>Power Split</t>
        </is>
      </c>
      <c r="E1446" s="3" t="inlineStr">
        <is>
          <t>MOVE_POWER_SPLIT</t>
        </is>
      </c>
    </row>
    <row r="1447">
      <c r="A1447" s="3" t="inlineStr">
        <is>
          <t>SPECIES_BALTOY</t>
        </is>
      </c>
      <c r="B1447" s="3" t="inlineStr">
        <is>
          <t>Baltoy</t>
        </is>
      </c>
      <c r="C1447" s="3" t="n">
        <v>39</v>
      </c>
      <c r="D1447" s="3" t="inlineStr">
        <is>
          <t>Sandstorm</t>
        </is>
      </c>
      <c r="E1447" s="3" t="inlineStr">
        <is>
          <t>MOVE_SANDSTORM</t>
        </is>
      </c>
    </row>
    <row r="1448">
      <c r="A1448" s="3" t="inlineStr">
        <is>
          <t>SPECIES_BALTOY</t>
        </is>
      </c>
      <c r="B1448" s="3" t="inlineStr">
        <is>
          <t>Baltoy</t>
        </is>
      </c>
      <c r="C1448" s="3" t="n">
        <v>42</v>
      </c>
      <c r="D1448" s="3" t="inlineStr">
        <is>
          <t>Explosion</t>
        </is>
      </c>
      <c r="E1448" s="3" t="inlineStr">
        <is>
          <t>MOVE_EXPLOSION</t>
        </is>
      </c>
    </row>
    <row r="1449">
      <c r="A1449" s="3" t="inlineStr">
        <is>
          <t>SPECIES_CLAYDOL</t>
        </is>
      </c>
      <c r="B1449" s="3" t="inlineStr">
        <is>
          <t>Claydol</t>
        </is>
      </c>
      <c r="C1449" s="3" t="n">
        <v>0</v>
      </c>
      <c r="D1449" s="3" t="inlineStr">
        <is>
          <t>Hyper Beam</t>
        </is>
      </c>
      <c r="E1449" s="3" t="inlineStr">
        <is>
          <t>MOVE_HYPER_BEAM</t>
        </is>
      </c>
    </row>
    <row r="1450">
      <c r="A1450" s="3" t="inlineStr">
        <is>
          <t>SPECIES_CLAYDOL</t>
        </is>
      </c>
      <c r="B1450" s="3" t="inlineStr">
        <is>
          <t>Claydol</t>
        </is>
      </c>
      <c r="C1450" s="3" t="n">
        <v>1</v>
      </c>
      <c r="D1450" s="3" t="inlineStr">
        <is>
          <t>Hyper Beam</t>
        </is>
      </c>
      <c r="E1450" s="3" t="inlineStr">
        <is>
          <t>MOVE_HYPER_BEAM</t>
        </is>
      </c>
    </row>
    <row r="1451">
      <c r="A1451" s="3" t="inlineStr">
        <is>
          <t>SPECIES_CLAYDOL</t>
        </is>
      </c>
      <c r="B1451" s="3" t="inlineStr">
        <is>
          <t>Claydol</t>
        </is>
      </c>
      <c r="C1451" s="3" t="n">
        <v>1</v>
      </c>
      <c r="D1451" s="3" t="inlineStr">
        <is>
          <t>Teleport</t>
        </is>
      </c>
      <c r="E1451" s="3" t="inlineStr">
        <is>
          <t>MOVE_TELEPORT</t>
        </is>
      </c>
    </row>
    <row r="1452">
      <c r="A1452" s="3" t="inlineStr">
        <is>
          <t>SPECIES_CLAYDOL</t>
        </is>
      </c>
      <c r="B1452" s="3" t="inlineStr">
        <is>
          <t>Claydol</t>
        </is>
      </c>
      <c r="C1452" s="3" t="n">
        <v>1</v>
      </c>
      <c r="D1452" s="3" t="inlineStr">
        <is>
          <t>Harden</t>
        </is>
      </c>
      <c r="E1452" s="3" t="inlineStr">
        <is>
          <t>MOVE_HARDEN</t>
        </is>
      </c>
    </row>
    <row r="1453">
      <c r="A1453" s="3" t="inlineStr">
        <is>
          <t>SPECIES_CLAYDOL</t>
        </is>
      </c>
      <c r="B1453" s="3" t="inlineStr">
        <is>
          <t>Claydol</t>
        </is>
      </c>
      <c r="C1453" s="3" t="n">
        <v>1</v>
      </c>
      <c r="D1453" s="3" t="inlineStr">
        <is>
          <t>Mud-Slap</t>
        </is>
      </c>
      <c r="E1453" s="3" t="inlineStr">
        <is>
          <t>MOVE_MUD_SLAP</t>
        </is>
      </c>
    </row>
    <row r="1454">
      <c r="A1454" s="3" t="inlineStr">
        <is>
          <t>SPECIES_CLAYDOL</t>
        </is>
      </c>
      <c r="B1454" s="3" t="inlineStr">
        <is>
          <t>Claydol</t>
        </is>
      </c>
      <c r="C1454" s="3" t="n">
        <v>1</v>
      </c>
      <c r="D1454" s="3" t="inlineStr">
        <is>
          <t>Rapid Spin</t>
        </is>
      </c>
      <c r="E1454" s="3" t="inlineStr">
        <is>
          <t>MOVE_RAPID_SPIN</t>
        </is>
      </c>
    </row>
    <row r="1455">
      <c r="A1455" s="3" t="inlineStr">
        <is>
          <t>SPECIES_CLAYDOL</t>
        </is>
      </c>
      <c r="B1455" s="3" t="inlineStr">
        <is>
          <t>Claydol</t>
        </is>
      </c>
      <c r="C1455" s="3" t="n">
        <v>1</v>
      </c>
      <c r="D1455" s="3" t="inlineStr">
        <is>
          <t>Confusion</t>
        </is>
      </c>
      <c r="E1455" s="3" t="inlineStr">
        <is>
          <t>MOVE_CONFUSION</t>
        </is>
      </c>
    </row>
    <row r="1456">
      <c r="A1456" s="3" t="inlineStr">
        <is>
          <t>SPECIES_CLAYDOL</t>
        </is>
      </c>
      <c r="B1456" s="3" t="inlineStr">
        <is>
          <t>Claydol</t>
        </is>
      </c>
      <c r="C1456" s="3" t="n">
        <v>9</v>
      </c>
      <c r="D1456" s="3" t="inlineStr">
        <is>
          <t>Rock Tomb</t>
        </is>
      </c>
      <c r="E1456" s="3" t="inlineStr">
        <is>
          <t>MOVE_ROCK_TOMB</t>
        </is>
      </c>
    </row>
    <row r="1457">
      <c r="A1457" s="3" t="inlineStr">
        <is>
          <t>SPECIES_CLAYDOL</t>
        </is>
      </c>
      <c r="B1457" s="3" t="inlineStr">
        <is>
          <t>Claydol</t>
        </is>
      </c>
      <c r="C1457" s="3" t="n">
        <v>12</v>
      </c>
      <c r="D1457" s="3" t="inlineStr">
        <is>
          <t>Power Trick</t>
        </is>
      </c>
      <c r="E1457" s="3" t="inlineStr">
        <is>
          <t>MOVE_POWER_TRICK</t>
        </is>
      </c>
    </row>
    <row r="1458">
      <c r="A1458" s="3" t="inlineStr">
        <is>
          <t>SPECIES_CLAYDOL</t>
        </is>
      </c>
      <c r="B1458" s="3" t="inlineStr">
        <is>
          <t>Claydol</t>
        </is>
      </c>
      <c r="C1458" s="3" t="n">
        <v>15</v>
      </c>
      <c r="D1458" s="3" t="inlineStr">
        <is>
          <t>Psybeam</t>
        </is>
      </c>
      <c r="E1458" s="3" t="inlineStr">
        <is>
          <t>MOVE_PSYBEAM</t>
        </is>
      </c>
    </row>
    <row r="1459">
      <c r="A1459" s="3" t="inlineStr">
        <is>
          <t>SPECIES_CLAYDOL</t>
        </is>
      </c>
      <c r="B1459" s="3" t="inlineStr">
        <is>
          <t>Claydol</t>
        </is>
      </c>
      <c r="C1459" s="3" t="n">
        <v>18</v>
      </c>
      <c r="D1459" s="3" t="inlineStr">
        <is>
          <t>Ancient Power</t>
        </is>
      </c>
      <c r="E1459" s="3" t="inlineStr">
        <is>
          <t>MOVE_ANCIENT_POWER</t>
        </is>
      </c>
    </row>
    <row r="1460">
      <c r="A1460" s="3" t="inlineStr">
        <is>
          <t>SPECIES_CLAYDOL</t>
        </is>
      </c>
      <c r="B1460" s="3" t="inlineStr">
        <is>
          <t>Claydol</t>
        </is>
      </c>
      <c r="C1460" s="3" t="n">
        <v>21</v>
      </c>
      <c r="D1460" s="3" t="inlineStr">
        <is>
          <t>Imprison</t>
        </is>
      </c>
      <c r="E1460" s="3" t="inlineStr">
        <is>
          <t>MOVE_IMPRISON</t>
        </is>
      </c>
    </row>
    <row r="1461">
      <c r="A1461" s="3" t="inlineStr">
        <is>
          <t>SPECIES_CLAYDOL</t>
        </is>
      </c>
      <c r="B1461" s="3" t="inlineStr">
        <is>
          <t>Claydol</t>
        </is>
      </c>
      <c r="C1461" s="3" t="n">
        <v>24</v>
      </c>
      <c r="D1461" s="3" t="inlineStr">
        <is>
          <t>Cosmic Power</t>
        </is>
      </c>
      <c r="E1461" s="3" t="inlineStr">
        <is>
          <t>MOVE_COSMIC_POWER</t>
        </is>
      </c>
    </row>
    <row r="1462">
      <c r="A1462" s="3" t="inlineStr">
        <is>
          <t>SPECIES_CLAYDOL</t>
        </is>
      </c>
      <c r="B1462" s="3" t="inlineStr">
        <is>
          <t>Claydol</t>
        </is>
      </c>
      <c r="C1462" s="3" t="n">
        <v>27</v>
      </c>
      <c r="D1462" s="3" t="inlineStr">
        <is>
          <t>Extrasensory</t>
        </is>
      </c>
      <c r="E1462" s="3" t="inlineStr">
        <is>
          <t>MOVE_EXTRASENSORY</t>
        </is>
      </c>
    </row>
    <row r="1463">
      <c r="A1463" s="3" t="inlineStr">
        <is>
          <t>SPECIES_CLAYDOL</t>
        </is>
      </c>
      <c r="B1463" s="3" t="inlineStr">
        <is>
          <t>Claydol</t>
        </is>
      </c>
      <c r="C1463" s="3" t="n">
        <v>30</v>
      </c>
      <c r="D1463" s="3" t="inlineStr">
        <is>
          <t>Earth Power</t>
        </is>
      </c>
      <c r="E1463" s="3" t="inlineStr">
        <is>
          <t>MOVE_EARTH_POWER</t>
        </is>
      </c>
    </row>
    <row r="1464">
      <c r="A1464" s="3" t="inlineStr">
        <is>
          <t>SPECIES_CLAYDOL</t>
        </is>
      </c>
      <c r="B1464" s="3" t="inlineStr">
        <is>
          <t>Claydol</t>
        </is>
      </c>
      <c r="C1464" s="3" t="n">
        <v>33</v>
      </c>
      <c r="D1464" s="3" t="inlineStr">
        <is>
          <t>Self-Destruct</t>
        </is>
      </c>
      <c r="E1464" s="3" t="inlineStr">
        <is>
          <t>MOVE_SELF_DESTRUCT</t>
        </is>
      </c>
    </row>
    <row r="1465">
      <c r="A1465" s="3" t="inlineStr">
        <is>
          <t>SPECIES_CLAYDOL</t>
        </is>
      </c>
      <c r="B1465" s="3" t="inlineStr">
        <is>
          <t>Claydol</t>
        </is>
      </c>
      <c r="C1465" s="3" t="n">
        <v>38</v>
      </c>
      <c r="D1465" s="3" t="inlineStr">
        <is>
          <t>Guard Split</t>
        </is>
      </c>
      <c r="E1465" s="3" t="inlineStr">
        <is>
          <t>MOVE_GUARD_SPLIT</t>
        </is>
      </c>
    </row>
    <row r="1466">
      <c r="A1466" s="3" t="inlineStr">
        <is>
          <t>SPECIES_CLAYDOL</t>
        </is>
      </c>
      <c r="B1466" s="3" t="inlineStr">
        <is>
          <t>Claydol</t>
        </is>
      </c>
      <c r="C1466" s="3" t="n">
        <v>38</v>
      </c>
      <c r="D1466" s="3" t="inlineStr">
        <is>
          <t>Power Split</t>
        </is>
      </c>
      <c r="E1466" s="3" t="inlineStr">
        <is>
          <t>MOVE_POWER_SPLIT</t>
        </is>
      </c>
    </row>
    <row r="1467">
      <c r="A1467" s="3" t="inlineStr">
        <is>
          <t>SPECIES_CLAYDOL</t>
        </is>
      </c>
      <c r="B1467" s="3" t="inlineStr">
        <is>
          <t>Claydol</t>
        </is>
      </c>
      <c r="C1467" s="3" t="n">
        <v>43</v>
      </c>
      <c r="D1467" s="3" t="inlineStr">
        <is>
          <t>Sandstorm</t>
        </is>
      </c>
      <c r="E1467" s="3" t="inlineStr">
        <is>
          <t>MOVE_SANDSTORM</t>
        </is>
      </c>
    </row>
    <row r="1468">
      <c r="A1468" s="3" t="inlineStr">
        <is>
          <t>SPECIES_CLAYDOL</t>
        </is>
      </c>
      <c r="B1468" s="3" t="inlineStr">
        <is>
          <t>Claydol</t>
        </is>
      </c>
      <c r="C1468" s="3" t="n">
        <v>48</v>
      </c>
      <c r="D1468" s="3" t="inlineStr">
        <is>
          <t>Explosion</t>
        </is>
      </c>
      <c r="E1468" s="3" t="inlineStr">
        <is>
          <t>MOVE_EXPLOSION</t>
        </is>
      </c>
    </row>
    <row r="1469">
      <c r="A1469" s="3" t="inlineStr">
        <is>
          <t>SPECIES_LILEEP</t>
        </is>
      </c>
      <c r="B1469" s="3" t="inlineStr">
        <is>
          <t>Lileep</t>
        </is>
      </c>
      <c r="C1469" s="3" t="n">
        <v>1</v>
      </c>
      <c r="D1469" s="3" t="inlineStr">
        <is>
          <t>Wrap</t>
        </is>
      </c>
      <c r="E1469" s="3" t="inlineStr">
        <is>
          <t>MOVE_WRAP</t>
        </is>
      </c>
    </row>
    <row r="1470">
      <c r="A1470" s="3" t="inlineStr">
        <is>
          <t>SPECIES_LILEEP</t>
        </is>
      </c>
      <c r="B1470" s="3" t="inlineStr">
        <is>
          <t>Lileep</t>
        </is>
      </c>
      <c r="C1470" s="3" t="n">
        <v>1</v>
      </c>
      <c r="D1470" s="3" t="inlineStr">
        <is>
          <t>Astonish</t>
        </is>
      </c>
      <c r="E1470" s="3" t="inlineStr">
        <is>
          <t>MOVE_ASTONISH</t>
        </is>
      </c>
    </row>
    <row r="1471">
      <c r="A1471" s="3" t="inlineStr">
        <is>
          <t>SPECIES_LILEEP</t>
        </is>
      </c>
      <c r="B1471" s="3" t="inlineStr">
        <is>
          <t>Lileep</t>
        </is>
      </c>
      <c r="C1471" s="3" t="n">
        <v>4</v>
      </c>
      <c r="D1471" s="3" t="inlineStr">
        <is>
          <t>Acid</t>
        </is>
      </c>
      <c r="E1471" s="3" t="inlineStr">
        <is>
          <t>MOVE_ACID</t>
        </is>
      </c>
    </row>
    <row r="1472">
      <c r="A1472" s="3" t="inlineStr">
        <is>
          <t>SPECIES_LILEEP</t>
        </is>
      </c>
      <c r="B1472" s="3" t="inlineStr">
        <is>
          <t>Lileep</t>
        </is>
      </c>
      <c r="C1472" s="3" t="n">
        <v>8</v>
      </c>
      <c r="D1472" s="3" t="inlineStr">
        <is>
          <t>Confuse Ray</t>
        </is>
      </c>
      <c r="E1472" s="3" t="inlineStr">
        <is>
          <t>MOVE_CONFUSE_RAY</t>
        </is>
      </c>
    </row>
    <row r="1473">
      <c r="A1473" s="3" t="inlineStr">
        <is>
          <t>SPECIES_LILEEP</t>
        </is>
      </c>
      <c r="B1473" s="3" t="inlineStr">
        <is>
          <t>Lileep</t>
        </is>
      </c>
      <c r="C1473" s="3" t="n">
        <v>12</v>
      </c>
      <c r="D1473" s="3" t="inlineStr">
        <is>
          <t>Ingrain</t>
        </is>
      </c>
      <c r="E1473" s="3" t="inlineStr">
        <is>
          <t>MOVE_INGRAIN</t>
        </is>
      </c>
    </row>
    <row r="1474">
      <c r="A1474" s="3" t="inlineStr">
        <is>
          <t>SPECIES_LILEEP</t>
        </is>
      </c>
      <c r="B1474" s="3" t="inlineStr">
        <is>
          <t>Lileep</t>
        </is>
      </c>
      <c r="C1474" s="3" t="n">
        <v>16</v>
      </c>
      <c r="D1474" s="3" t="inlineStr">
        <is>
          <t>Ancient Power</t>
        </is>
      </c>
      <c r="E1474" s="3" t="inlineStr">
        <is>
          <t>MOVE_ANCIENT_POWER</t>
        </is>
      </c>
    </row>
    <row r="1475">
      <c r="A1475" s="3" t="inlineStr">
        <is>
          <t>SPECIES_LILEEP</t>
        </is>
      </c>
      <c r="B1475" s="3" t="inlineStr">
        <is>
          <t>Lileep</t>
        </is>
      </c>
      <c r="C1475" s="3" t="n">
        <v>20</v>
      </c>
      <c r="D1475" s="3" t="inlineStr">
        <is>
          <t>Mega Drain</t>
        </is>
      </c>
      <c r="E1475" s="3" t="inlineStr">
        <is>
          <t>MOVE_MEGA_DRAIN</t>
        </is>
      </c>
    </row>
    <row r="1476">
      <c r="A1476" s="3" t="inlineStr">
        <is>
          <t>SPECIES_LILEEP</t>
        </is>
      </c>
      <c r="B1476" s="3" t="inlineStr">
        <is>
          <t>Lileep</t>
        </is>
      </c>
      <c r="C1476" s="3" t="n">
        <v>24</v>
      </c>
      <c r="D1476" s="3" t="inlineStr">
        <is>
          <t>Brine</t>
        </is>
      </c>
      <c r="E1476" s="3" t="inlineStr">
        <is>
          <t>MOVE_BRINE</t>
        </is>
      </c>
    </row>
    <row r="1477">
      <c r="A1477" s="3" t="inlineStr">
        <is>
          <t>SPECIES_LILEEP</t>
        </is>
      </c>
      <c r="B1477" s="3" t="inlineStr">
        <is>
          <t>Lileep</t>
        </is>
      </c>
      <c r="C1477" s="3" t="n">
        <v>28</v>
      </c>
      <c r="D1477" s="3" t="inlineStr">
        <is>
          <t>Amnesia</t>
        </is>
      </c>
      <c r="E1477" s="3" t="inlineStr">
        <is>
          <t>MOVE_AMNESIA</t>
        </is>
      </c>
    </row>
    <row r="1478">
      <c r="A1478" s="3" t="inlineStr">
        <is>
          <t>SPECIES_LILEEP</t>
        </is>
      </c>
      <c r="B1478" s="3" t="inlineStr">
        <is>
          <t>Lileep</t>
        </is>
      </c>
      <c r="C1478" s="3" t="n">
        <v>32</v>
      </c>
      <c r="D1478" s="3" t="inlineStr">
        <is>
          <t>Gastro Acid</t>
        </is>
      </c>
      <c r="E1478" s="3" t="inlineStr">
        <is>
          <t>MOVE_GASTRO_ACID</t>
        </is>
      </c>
    </row>
    <row r="1479">
      <c r="A1479" s="3" t="inlineStr">
        <is>
          <t>SPECIES_LILEEP</t>
        </is>
      </c>
      <c r="B1479" s="3" t="inlineStr">
        <is>
          <t>Lileep</t>
        </is>
      </c>
      <c r="C1479" s="3" t="n">
        <v>36</v>
      </c>
      <c r="D1479" s="3" t="inlineStr">
        <is>
          <t>Giga Drain</t>
        </is>
      </c>
      <c r="E1479" s="3" t="inlineStr">
        <is>
          <t>MOVE_GIGA_DRAIN</t>
        </is>
      </c>
    </row>
    <row r="1480">
      <c r="A1480" s="3" t="inlineStr">
        <is>
          <t>SPECIES_LILEEP</t>
        </is>
      </c>
      <c r="B1480" s="3" t="inlineStr">
        <is>
          <t>Lileep</t>
        </is>
      </c>
      <c r="C1480" s="3" t="n">
        <v>41</v>
      </c>
      <c r="D1480" s="3" t="inlineStr">
        <is>
          <t>Stockpile</t>
        </is>
      </c>
      <c r="E1480" s="3" t="inlineStr">
        <is>
          <t>MOVE_STOCKPILE</t>
        </is>
      </c>
    </row>
    <row r="1481">
      <c r="A1481" s="3" t="inlineStr">
        <is>
          <t>SPECIES_LILEEP</t>
        </is>
      </c>
      <c r="B1481" s="3" t="inlineStr">
        <is>
          <t>Lileep</t>
        </is>
      </c>
      <c r="C1481" s="3" t="n">
        <v>41</v>
      </c>
      <c r="D1481" s="3" t="inlineStr">
        <is>
          <t>Spit Up</t>
        </is>
      </c>
      <c r="E1481" s="3" t="inlineStr">
        <is>
          <t>MOVE_SPIT_UP</t>
        </is>
      </c>
    </row>
    <row r="1482">
      <c r="A1482" s="3" t="inlineStr">
        <is>
          <t>SPECIES_LILEEP</t>
        </is>
      </c>
      <c r="B1482" s="3" t="inlineStr">
        <is>
          <t>Lileep</t>
        </is>
      </c>
      <c r="C1482" s="3" t="n">
        <v>41</v>
      </c>
      <c r="D1482" s="3" t="inlineStr">
        <is>
          <t>Swallow</t>
        </is>
      </c>
      <c r="E1482" s="3" t="inlineStr">
        <is>
          <t>MOVE_SWALLOW</t>
        </is>
      </c>
    </row>
    <row r="1483">
      <c r="A1483" s="3" t="inlineStr">
        <is>
          <t>SPECIES_LILEEP</t>
        </is>
      </c>
      <c r="B1483" s="3" t="inlineStr">
        <is>
          <t>Lileep</t>
        </is>
      </c>
      <c r="C1483" s="3" t="n">
        <v>44</v>
      </c>
      <c r="D1483" s="3" t="inlineStr">
        <is>
          <t>Energy Ball</t>
        </is>
      </c>
      <c r="E1483" s="3" t="inlineStr">
        <is>
          <t>MOVE_ENERGY_BALL</t>
        </is>
      </c>
    </row>
    <row r="1484">
      <c r="A1484" s="3" t="inlineStr">
        <is>
          <t>SPECIES_CRADILY</t>
        </is>
      </c>
      <c r="B1484" s="3" t="inlineStr">
        <is>
          <t>Cradily</t>
        </is>
      </c>
      <c r="C1484" s="3" t="n">
        <v>1</v>
      </c>
      <c r="D1484" s="3" t="inlineStr">
        <is>
          <t>Leech Seed</t>
        </is>
      </c>
      <c r="E1484" s="3" t="inlineStr">
        <is>
          <t>MOVE_LEECH_SEED</t>
        </is>
      </c>
    </row>
    <row r="1485">
      <c r="A1485" s="3" t="inlineStr">
        <is>
          <t>SPECIES_CRADILY</t>
        </is>
      </c>
      <c r="B1485" s="3" t="inlineStr">
        <is>
          <t>Cradily</t>
        </is>
      </c>
      <c r="C1485" s="3" t="n">
        <v>1</v>
      </c>
      <c r="D1485" s="3" t="inlineStr">
        <is>
          <t>Wrap</t>
        </is>
      </c>
      <c r="E1485" s="3" t="inlineStr">
        <is>
          <t>MOVE_WRAP</t>
        </is>
      </c>
    </row>
    <row r="1486">
      <c r="A1486" s="3" t="inlineStr">
        <is>
          <t>SPECIES_CRADILY</t>
        </is>
      </c>
      <c r="B1486" s="3" t="inlineStr">
        <is>
          <t>Cradily</t>
        </is>
      </c>
      <c r="C1486" s="3" t="n">
        <v>1</v>
      </c>
      <c r="D1486" s="3" t="inlineStr">
        <is>
          <t>Astonish</t>
        </is>
      </c>
      <c r="E1486" s="3" t="inlineStr">
        <is>
          <t>MOVE_ASTONISH</t>
        </is>
      </c>
    </row>
    <row r="1487">
      <c r="A1487" s="3" t="inlineStr">
        <is>
          <t>SPECIES_CRADILY</t>
        </is>
      </c>
      <c r="B1487" s="3" t="inlineStr">
        <is>
          <t>Cradily</t>
        </is>
      </c>
      <c r="C1487" s="3" t="n">
        <v>1</v>
      </c>
      <c r="D1487" s="3" t="inlineStr">
        <is>
          <t>Acid</t>
        </is>
      </c>
      <c r="E1487" s="3" t="inlineStr">
        <is>
          <t>MOVE_ACID</t>
        </is>
      </c>
    </row>
    <row r="1488">
      <c r="A1488" s="3" t="inlineStr">
        <is>
          <t>SPECIES_CRADILY</t>
        </is>
      </c>
      <c r="B1488" s="3" t="inlineStr">
        <is>
          <t>Cradily</t>
        </is>
      </c>
      <c r="C1488" s="3" t="n">
        <v>1</v>
      </c>
      <c r="D1488" s="3" t="inlineStr">
        <is>
          <t>Confuse Ray</t>
        </is>
      </c>
      <c r="E1488" s="3" t="inlineStr">
        <is>
          <t>MOVE_CONFUSE_RAY</t>
        </is>
      </c>
    </row>
    <row r="1489">
      <c r="A1489" s="3" t="inlineStr">
        <is>
          <t>SPECIES_CRADILY</t>
        </is>
      </c>
      <c r="B1489" s="3" t="inlineStr">
        <is>
          <t>Cradily</t>
        </is>
      </c>
      <c r="C1489" s="3" t="n">
        <v>12</v>
      </c>
      <c r="D1489" s="3" t="inlineStr">
        <is>
          <t>Ingrain</t>
        </is>
      </c>
      <c r="E1489" s="3" t="inlineStr">
        <is>
          <t>MOVE_INGRAIN</t>
        </is>
      </c>
    </row>
    <row r="1490">
      <c r="A1490" s="3" t="inlineStr">
        <is>
          <t>SPECIES_CRADILY</t>
        </is>
      </c>
      <c r="B1490" s="3" t="inlineStr">
        <is>
          <t>Cradily</t>
        </is>
      </c>
      <c r="C1490" s="3" t="n">
        <v>16</v>
      </c>
      <c r="D1490" s="3" t="inlineStr">
        <is>
          <t>Ancient Power</t>
        </is>
      </c>
      <c r="E1490" s="3" t="inlineStr">
        <is>
          <t>MOVE_ANCIENT_POWER</t>
        </is>
      </c>
    </row>
    <row r="1491">
      <c r="A1491" s="3" t="inlineStr">
        <is>
          <t>SPECIES_CRADILY</t>
        </is>
      </c>
      <c r="B1491" s="3" t="inlineStr">
        <is>
          <t>Cradily</t>
        </is>
      </c>
      <c r="C1491" s="3" t="n">
        <v>20</v>
      </c>
      <c r="D1491" s="3" t="inlineStr">
        <is>
          <t>Mega Drain</t>
        </is>
      </c>
      <c r="E1491" s="3" t="inlineStr">
        <is>
          <t>MOVE_MEGA_DRAIN</t>
        </is>
      </c>
    </row>
    <row r="1492">
      <c r="A1492" s="3" t="inlineStr">
        <is>
          <t>SPECIES_CRADILY</t>
        </is>
      </c>
      <c r="B1492" s="3" t="inlineStr">
        <is>
          <t>Cradily</t>
        </is>
      </c>
      <c r="C1492" s="3" t="n">
        <v>24</v>
      </c>
      <c r="D1492" s="3" t="inlineStr">
        <is>
          <t>Brine</t>
        </is>
      </c>
      <c r="E1492" s="3" t="inlineStr">
        <is>
          <t>MOVE_BRINE</t>
        </is>
      </c>
    </row>
    <row r="1493">
      <c r="A1493" s="3" t="inlineStr">
        <is>
          <t>SPECIES_CRADILY</t>
        </is>
      </c>
      <c r="B1493" s="3" t="inlineStr">
        <is>
          <t>Cradily</t>
        </is>
      </c>
      <c r="C1493" s="3" t="n">
        <v>28</v>
      </c>
      <c r="D1493" s="3" t="inlineStr">
        <is>
          <t>Amnesia</t>
        </is>
      </c>
      <c r="E1493" s="3" t="inlineStr">
        <is>
          <t>MOVE_AMNESIA</t>
        </is>
      </c>
    </row>
    <row r="1494">
      <c r="A1494" s="3" t="inlineStr">
        <is>
          <t>SPECIES_CRADILY</t>
        </is>
      </c>
      <c r="B1494" s="3" t="inlineStr">
        <is>
          <t>Cradily</t>
        </is>
      </c>
      <c r="C1494" s="3" t="n">
        <v>32</v>
      </c>
      <c r="D1494" s="3" t="inlineStr">
        <is>
          <t>Gastro Acid</t>
        </is>
      </c>
      <c r="E1494" s="3" t="inlineStr">
        <is>
          <t>MOVE_GASTRO_ACID</t>
        </is>
      </c>
    </row>
    <row r="1495">
      <c r="A1495" s="3" t="inlineStr">
        <is>
          <t>SPECIES_CRADILY</t>
        </is>
      </c>
      <c r="B1495" s="3" t="inlineStr">
        <is>
          <t>Cradily</t>
        </is>
      </c>
      <c r="C1495" s="3" t="n">
        <v>36</v>
      </c>
      <c r="D1495" s="3" t="inlineStr">
        <is>
          <t>Giga Drain</t>
        </is>
      </c>
      <c r="E1495" s="3" t="inlineStr">
        <is>
          <t>MOVE_GIGA_DRAIN</t>
        </is>
      </c>
    </row>
    <row r="1496">
      <c r="A1496" s="3" t="inlineStr">
        <is>
          <t>SPECIES_CRADILY</t>
        </is>
      </c>
      <c r="B1496" s="3" t="inlineStr">
        <is>
          <t>Cradily</t>
        </is>
      </c>
      <c r="C1496" s="3" t="n">
        <v>43</v>
      </c>
      <c r="D1496" s="3" t="inlineStr">
        <is>
          <t>Stockpile</t>
        </is>
      </c>
      <c r="E1496" s="3" t="inlineStr">
        <is>
          <t>MOVE_STOCKPILE</t>
        </is>
      </c>
    </row>
    <row r="1497">
      <c r="A1497" s="3" t="inlineStr">
        <is>
          <t>SPECIES_CRADILY</t>
        </is>
      </c>
      <c r="B1497" s="3" t="inlineStr">
        <is>
          <t>Cradily</t>
        </is>
      </c>
      <c r="C1497" s="3" t="n">
        <v>43</v>
      </c>
      <c r="D1497" s="3" t="inlineStr">
        <is>
          <t>Spit Up</t>
        </is>
      </c>
      <c r="E1497" s="3" t="inlineStr">
        <is>
          <t>MOVE_SPIT_UP</t>
        </is>
      </c>
    </row>
    <row r="1498">
      <c r="A1498" s="3" t="inlineStr">
        <is>
          <t>SPECIES_CRADILY</t>
        </is>
      </c>
      <c r="B1498" s="3" t="inlineStr">
        <is>
          <t>Cradily</t>
        </is>
      </c>
      <c r="C1498" s="3" t="n">
        <v>43</v>
      </c>
      <c r="D1498" s="3" t="inlineStr">
        <is>
          <t>Swallow</t>
        </is>
      </c>
      <c r="E1498" s="3" t="inlineStr">
        <is>
          <t>MOVE_SWALLOW</t>
        </is>
      </c>
    </row>
    <row r="1499">
      <c r="A1499" s="3" t="inlineStr">
        <is>
          <t>SPECIES_CRADILY</t>
        </is>
      </c>
      <c r="B1499" s="3" t="inlineStr">
        <is>
          <t>Cradily</t>
        </is>
      </c>
      <c r="C1499" s="3" t="n">
        <v>48</v>
      </c>
      <c r="D1499" s="3" t="inlineStr">
        <is>
          <t>Energy Ball</t>
        </is>
      </c>
      <c r="E1499" s="3" t="inlineStr">
        <is>
          <t>MOVE_ENERGY_BALL</t>
        </is>
      </c>
    </row>
    <row r="1500">
      <c r="A1500" s="3" t="inlineStr">
        <is>
          <t>SPECIES_ANORITH</t>
        </is>
      </c>
      <c r="B1500" s="3" t="inlineStr">
        <is>
          <t>Anorith</t>
        </is>
      </c>
      <c r="C1500" s="3" t="n">
        <v>1</v>
      </c>
      <c r="D1500" s="3" t="inlineStr">
        <is>
          <t>Fury Cutter</t>
        </is>
      </c>
      <c r="E1500" s="3" t="inlineStr">
        <is>
          <t>MOVE_FURY_CUTTER</t>
        </is>
      </c>
    </row>
    <row r="1501">
      <c r="A1501" s="3" t="inlineStr">
        <is>
          <t>SPECIES_ANORITH</t>
        </is>
      </c>
      <c r="B1501" s="3" t="inlineStr">
        <is>
          <t>Anorith</t>
        </is>
      </c>
      <c r="C1501" s="3" t="n">
        <v>1</v>
      </c>
      <c r="D1501" s="3" t="inlineStr">
        <is>
          <t>Harden</t>
        </is>
      </c>
      <c r="E1501" s="3" t="inlineStr">
        <is>
          <t>MOVE_HARDEN</t>
        </is>
      </c>
    </row>
    <row r="1502">
      <c r="A1502" s="3" t="inlineStr">
        <is>
          <t>SPECIES_ANORITH</t>
        </is>
      </c>
      <c r="B1502" s="3" t="inlineStr">
        <is>
          <t>Anorith</t>
        </is>
      </c>
      <c r="C1502" s="3" t="n">
        <v>4</v>
      </c>
      <c r="D1502" s="3" t="inlineStr">
        <is>
          <t>Water Gun</t>
        </is>
      </c>
      <c r="E1502" s="3" t="inlineStr">
        <is>
          <t>MOVE_WATER_GUN</t>
        </is>
      </c>
    </row>
    <row r="1503">
      <c r="A1503" s="3" t="inlineStr">
        <is>
          <t>SPECIES_ANORITH</t>
        </is>
      </c>
      <c r="B1503" s="3" t="inlineStr">
        <is>
          <t>Anorith</t>
        </is>
      </c>
      <c r="C1503" s="3" t="n">
        <v>8</v>
      </c>
      <c r="D1503" s="3" t="inlineStr">
        <is>
          <t>Smack Down</t>
        </is>
      </c>
      <c r="E1503" s="3" t="inlineStr">
        <is>
          <t>MOVE_SMACK_DOWN</t>
        </is>
      </c>
    </row>
    <row r="1504">
      <c r="A1504" s="3" t="inlineStr">
        <is>
          <t>SPECIES_ANORITH</t>
        </is>
      </c>
      <c r="B1504" s="3" t="inlineStr">
        <is>
          <t>Anorith</t>
        </is>
      </c>
      <c r="C1504" s="3" t="n">
        <v>12</v>
      </c>
      <c r="D1504" s="3" t="inlineStr">
        <is>
          <t>Metal Claw</t>
        </is>
      </c>
      <c r="E1504" s="3" t="inlineStr">
        <is>
          <t>MOVE_METAL_CLAW</t>
        </is>
      </c>
    </row>
    <row r="1505">
      <c r="A1505" s="3" t="inlineStr">
        <is>
          <t>SPECIES_ANORITH</t>
        </is>
      </c>
      <c r="B1505" s="3" t="inlineStr">
        <is>
          <t>Anorith</t>
        </is>
      </c>
      <c r="C1505" s="3" t="n">
        <v>16</v>
      </c>
      <c r="D1505" s="3" t="inlineStr">
        <is>
          <t>Ancient Power</t>
        </is>
      </c>
      <c r="E1505" s="3" t="inlineStr">
        <is>
          <t>MOVE_ANCIENT_POWER</t>
        </is>
      </c>
    </row>
    <row r="1506">
      <c r="A1506" s="3" t="inlineStr">
        <is>
          <t>SPECIES_ANORITH</t>
        </is>
      </c>
      <c r="B1506" s="3" t="inlineStr">
        <is>
          <t>Anorith</t>
        </is>
      </c>
      <c r="C1506" s="3" t="n">
        <v>20</v>
      </c>
      <c r="D1506" s="3" t="inlineStr">
        <is>
          <t>Bug Bite</t>
        </is>
      </c>
      <c r="E1506" s="3" t="inlineStr">
        <is>
          <t>MOVE_BUG_BITE</t>
        </is>
      </c>
    </row>
    <row r="1507">
      <c r="A1507" s="3" t="inlineStr">
        <is>
          <t>SPECIES_ANORITH</t>
        </is>
      </c>
      <c r="B1507" s="3" t="inlineStr">
        <is>
          <t>Anorith</t>
        </is>
      </c>
      <c r="C1507" s="3" t="n">
        <v>24</v>
      </c>
      <c r="D1507" s="3" t="inlineStr">
        <is>
          <t>Brine</t>
        </is>
      </c>
      <c r="E1507" s="3" t="inlineStr">
        <is>
          <t>MOVE_BRINE</t>
        </is>
      </c>
    </row>
    <row r="1508">
      <c r="A1508" s="3" t="inlineStr">
        <is>
          <t>SPECIES_ANORITH</t>
        </is>
      </c>
      <c r="B1508" s="3" t="inlineStr">
        <is>
          <t>Anorith</t>
        </is>
      </c>
      <c r="C1508" s="3" t="n">
        <v>28</v>
      </c>
      <c r="D1508" s="3" t="inlineStr">
        <is>
          <t>Slash</t>
        </is>
      </c>
      <c r="E1508" s="3" t="inlineStr">
        <is>
          <t>MOVE_SLASH</t>
        </is>
      </c>
    </row>
    <row r="1509">
      <c r="A1509" s="3" t="inlineStr">
        <is>
          <t>SPECIES_ANORITH</t>
        </is>
      </c>
      <c r="B1509" s="3" t="inlineStr">
        <is>
          <t>Anorith</t>
        </is>
      </c>
      <c r="C1509" s="3" t="n">
        <v>32</v>
      </c>
      <c r="D1509" s="3" t="inlineStr">
        <is>
          <t>Crush Claw</t>
        </is>
      </c>
      <c r="E1509" s="3" t="inlineStr">
        <is>
          <t>MOVE_CRUSH_CLAW</t>
        </is>
      </c>
    </row>
    <row r="1510">
      <c r="A1510" s="3" t="inlineStr">
        <is>
          <t>SPECIES_ANORITH</t>
        </is>
      </c>
      <c r="B1510" s="3" t="inlineStr">
        <is>
          <t>Anorith</t>
        </is>
      </c>
      <c r="C1510" s="3" t="n">
        <v>36</v>
      </c>
      <c r="D1510" s="3" t="inlineStr">
        <is>
          <t>Rock Blast</t>
        </is>
      </c>
      <c r="E1510" s="3" t="inlineStr">
        <is>
          <t>MOVE_ROCK_BLAST</t>
        </is>
      </c>
    </row>
    <row r="1511">
      <c r="A1511" s="3" t="inlineStr">
        <is>
          <t>SPECIES_ANORITH</t>
        </is>
      </c>
      <c r="B1511" s="3" t="inlineStr">
        <is>
          <t>Anorith</t>
        </is>
      </c>
      <c r="C1511" s="3" t="n">
        <v>41</v>
      </c>
      <c r="D1511" s="3" t="inlineStr">
        <is>
          <t>Protect</t>
        </is>
      </c>
      <c r="E1511" s="3" t="inlineStr">
        <is>
          <t>MOVE_PROTECT</t>
        </is>
      </c>
    </row>
    <row r="1512">
      <c r="A1512" s="3" t="inlineStr">
        <is>
          <t>SPECIES_ANORITH</t>
        </is>
      </c>
      <c r="B1512" s="3" t="inlineStr">
        <is>
          <t>Anorith</t>
        </is>
      </c>
      <c r="C1512" s="3" t="n">
        <v>44</v>
      </c>
      <c r="D1512" s="3" t="inlineStr">
        <is>
          <t>X-Scissor</t>
        </is>
      </c>
      <c r="E1512" s="3" t="inlineStr">
        <is>
          <t>MOVE_X_SCISSOR</t>
        </is>
      </c>
    </row>
    <row r="1513">
      <c r="A1513" s="3" t="inlineStr">
        <is>
          <t>SPECIES_ARMALDO</t>
        </is>
      </c>
      <c r="B1513" s="3" t="inlineStr">
        <is>
          <t>Armaldo</t>
        </is>
      </c>
      <c r="C1513" s="3" t="n">
        <v>1</v>
      </c>
      <c r="D1513" s="3" t="inlineStr">
        <is>
          <t>Fury Cutter</t>
        </is>
      </c>
      <c r="E1513" s="3" t="inlineStr">
        <is>
          <t>MOVE_FURY_CUTTER</t>
        </is>
      </c>
    </row>
    <row r="1514">
      <c r="A1514" s="3" t="inlineStr">
        <is>
          <t>SPECIES_ARMALDO</t>
        </is>
      </c>
      <c r="B1514" s="3" t="inlineStr">
        <is>
          <t>Armaldo</t>
        </is>
      </c>
      <c r="C1514" s="3" t="n">
        <v>1</v>
      </c>
      <c r="D1514" s="3" t="inlineStr">
        <is>
          <t>Harden</t>
        </is>
      </c>
      <c r="E1514" s="3" t="inlineStr">
        <is>
          <t>MOVE_HARDEN</t>
        </is>
      </c>
    </row>
    <row r="1515">
      <c r="A1515" s="3" t="inlineStr">
        <is>
          <t>SPECIES_ARMALDO</t>
        </is>
      </c>
      <c r="B1515" s="3" t="inlineStr">
        <is>
          <t>Armaldo</t>
        </is>
      </c>
      <c r="C1515" s="3" t="n">
        <v>1</v>
      </c>
      <c r="D1515" s="3" t="inlineStr">
        <is>
          <t>Water Gun</t>
        </is>
      </c>
      <c r="E1515" s="3" t="inlineStr">
        <is>
          <t>MOVE_WATER_GUN</t>
        </is>
      </c>
    </row>
    <row r="1516">
      <c r="A1516" s="3" t="inlineStr">
        <is>
          <t>SPECIES_ARMALDO</t>
        </is>
      </c>
      <c r="B1516" s="3" t="inlineStr">
        <is>
          <t>Armaldo</t>
        </is>
      </c>
      <c r="C1516" s="3" t="n">
        <v>1</v>
      </c>
      <c r="D1516" s="3" t="inlineStr">
        <is>
          <t>Smack Down</t>
        </is>
      </c>
      <c r="E1516" s="3" t="inlineStr">
        <is>
          <t>MOVE_SMACK_DOWN</t>
        </is>
      </c>
    </row>
    <row r="1517">
      <c r="A1517" s="3" t="inlineStr">
        <is>
          <t>SPECIES_ARMALDO</t>
        </is>
      </c>
      <c r="B1517" s="3" t="inlineStr">
        <is>
          <t>Armaldo</t>
        </is>
      </c>
      <c r="C1517" s="3" t="n">
        <v>12</v>
      </c>
      <c r="D1517" s="3" t="inlineStr">
        <is>
          <t>Metal Claw</t>
        </is>
      </c>
      <c r="E1517" s="3" t="inlineStr">
        <is>
          <t>MOVE_METAL_CLAW</t>
        </is>
      </c>
    </row>
    <row r="1518">
      <c r="A1518" s="3" t="inlineStr">
        <is>
          <t>SPECIES_ARMALDO</t>
        </is>
      </c>
      <c r="B1518" s="3" t="inlineStr">
        <is>
          <t>Armaldo</t>
        </is>
      </c>
      <c r="C1518" s="3" t="n">
        <v>16</v>
      </c>
      <c r="D1518" s="3" t="inlineStr">
        <is>
          <t>Ancient Power</t>
        </is>
      </c>
      <c r="E1518" s="3" t="inlineStr">
        <is>
          <t>MOVE_ANCIENT_POWER</t>
        </is>
      </c>
    </row>
    <row r="1519">
      <c r="A1519" s="3" t="inlineStr">
        <is>
          <t>SPECIES_ARMALDO</t>
        </is>
      </c>
      <c r="B1519" s="3" t="inlineStr">
        <is>
          <t>Armaldo</t>
        </is>
      </c>
      <c r="C1519" s="3" t="n">
        <v>20</v>
      </c>
      <c r="D1519" s="3" t="inlineStr">
        <is>
          <t>Bug Bite</t>
        </is>
      </c>
      <c r="E1519" s="3" t="inlineStr">
        <is>
          <t>MOVE_BUG_BITE</t>
        </is>
      </c>
    </row>
    <row r="1520">
      <c r="A1520" s="3" t="inlineStr">
        <is>
          <t>SPECIES_ARMALDO</t>
        </is>
      </c>
      <c r="B1520" s="3" t="inlineStr">
        <is>
          <t>Armaldo</t>
        </is>
      </c>
      <c r="C1520" s="3" t="n">
        <v>24</v>
      </c>
      <c r="D1520" s="3" t="inlineStr">
        <is>
          <t>Brine</t>
        </is>
      </c>
      <c r="E1520" s="3" t="inlineStr">
        <is>
          <t>MOVE_BRINE</t>
        </is>
      </c>
    </row>
    <row r="1521">
      <c r="A1521" s="3" t="inlineStr">
        <is>
          <t>SPECIES_ARMALDO</t>
        </is>
      </c>
      <c r="B1521" s="3" t="inlineStr">
        <is>
          <t>Armaldo</t>
        </is>
      </c>
      <c r="C1521" s="3" t="n">
        <v>28</v>
      </c>
      <c r="D1521" s="3" t="inlineStr">
        <is>
          <t>Slash</t>
        </is>
      </c>
      <c r="E1521" s="3" t="inlineStr">
        <is>
          <t>MOVE_SLASH</t>
        </is>
      </c>
    </row>
    <row r="1522">
      <c r="A1522" s="3" t="inlineStr">
        <is>
          <t>SPECIES_ARMALDO</t>
        </is>
      </c>
      <c r="B1522" s="3" t="inlineStr">
        <is>
          <t>Armaldo</t>
        </is>
      </c>
      <c r="C1522" s="3" t="n">
        <v>32</v>
      </c>
      <c r="D1522" s="3" t="inlineStr">
        <is>
          <t>Crush Claw</t>
        </is>
      </c>
      <c r="E1522" s="3" t="inlineStr">
        <is>
          <t>MOVE_CRUSH_CLAW</t>
        </is>
      </c>
    </row>
    <row r="1523">
      <c r="A1523" s="3" t="inlineStr">
        <is>
          <t>SPECIES_ARMALDO</t>
        </is>
      </c>
      <c r="B1523" s="3" t="inlineStr">
        <is>
          <t>Armaldo</t>
        </is>
      </c>
      <c r="C1523" s="3" t="n">
        <v>36</v>
      </c>
      <c r="D1523" s="3" t="inlineStr">
        <is>
          <t>Rock Blast</t>
        </is>
      </c>
      <c r="E1523" s="3" t="inlineStr">
        <is>
          <t>MOVE_ROCK_BLAST</t>
        </is>
      </c>
    </row>
    <row r="1524">
      <c r="A1524" s="3" t="inlineStr">
        <is>
          <t>SPECIES_ARMALDO</t>
        </is>
      </c>
      <c r="B1524" s="3" t="inlineStr">
        <is>
          <t>Armaldo</t>
        </is>
      </c>
      <c r="C1524" s="3" t="n">
        <v>43</v>
      </c>
      <c r="D1524" s="3" t="inlineStr">
        <is>
          <t>Protect</t>
        </is>
      </c>
      <c r="E1524" s="3" t="inlineStr">
        <is>
          <t>MOVE_PROTECT</t>
        </is>
      </c>
    </row>
    <row r="1525">
      <c r="A1525" s="3" t="inlineStr">
        <is>
          <t>SPECIES_ARMALDO</t>
        </is>
      </c>
      <c r="B1525" s="3" t="inlineStr">
        <is>
          <t>Armaldo</t>
        </is>
      </c>
      <c r="C1525" s="3" t="n">
        <v>48</v>
      </c>
      <c r="D1525" s="3" t="inlineStr">
        <is>
          <t>X-Scissor</t>
        </is>
      </c>
      <c r="E1525" s="3" t="inlineStr">
        <is>
          <t>MOVE_X_SCISSOR</t>
        </is>
      </c>
    </row>
    <row r="1526">
      <c r="A1526" s="3" t="inlineStr">
        <is>
          <t>SPECIES_SHUPPET</t>
        </is>
      </c>
      <c r="B1526" s="3" t="inlineStr">
        <is>
          <t>Shuppet</t>
        </is>
      </c>
      <c r="C1526" s="3" t="n">
        <v>1</v>
      </c>
      <c r="D1526" s="3" t="inlineStr">
        <is>
          <t>Astonish</t>
        </is>
      </c>
      <c r="E1526" s="3" t="inlineStr">
        <is>
          <t>MOVE_ASTONISH</t>
        </is>
      </c>
    </row>
    <row r="1527">
      <c r="A1527" s="3" t="inlineStr">
        <is>
          <t>SPECIES_SHUPPET</t>
        </is>
      </c>
      <c r="B1527" s="3" t="inlineStr">
        <is>
          <t>Shuppet</t>
        </is>
      </c>
      <c r="C1527" s="3" t="n">
        <v>4</v>
      </c>
      <c r="D1527" s="3" t="inlineStr">
        <is>
          <t>Screech</t>
        </is>
      </c>
      <c r="E1527" s="3" t="inlineStr">
        <is>
          <t>MOVE_SCREECH</t>
        </is>
      </c>
    </row>
    <row r="1528">
      <c r="A1528" s="3" t="inlineStr">
        <is>
          <t>SPECIES_SHUPPET</t>
        </is>
      </c>
      <c r="B1528" s="3" t="inlineStr">
        <is>
          <t>Shuppet</t>
        </is>
      </c>
      <c r="C1528" s="3" t="n">
        <v>7</v>
      </c>
      <c r="D1528" s="3" t="inlineStr">
        <is>
          <t>Night Shade</t>
        </is>
      </c>
      <c r="E1528" s="3" t="inlineStr">
        <is>
          <t>MOVE_NIGHT_SHADE</t>
        </is>
      </c>
    </row>
    <row r="1529">
      <c r="A1529" s="3" t="inlineStr">
        <is>
          <t>SPECIES_SHUPPET</t>
        </is>
      </c>
      <c r="B1529" s="3" t="inlineStr">
        <is>
          <t>Shuppet</t>
        </is>
      </c>
      <c r="C1529" s="3" t="n">
        <v>10</v>
      </c>
      <c r="D1529" s="3" t="inlineStr">
        <is>
          <t>Spite</t>
        </is>
      </c>
      <c r="E1529" s="3" t="inlineStr">
        <is>
          <t>MOVE_SPITE</t>
        </is>
      </c>
    </row>
    <row r="1530">
      <c r="A1530" s="3" t="inlineStr">
        <is>
          <t>SPECIES_SHUPPET</t>
        </is>
      </c>
      <c r="B1530" s="3" t="inlineStr">
        <is>
          <t>Shuppet</t>
        </is>
      </c>
      <c r="C1530" s="3" t="n">
        <v>16</v>
      </c>
      <c r="D1530" s="3" t="inlineStr">
        <is>
          <t>Will-O-Wisp</t>
        </is>
      </c>
      <c r="E1530" s="3" t="inlineStr">
        <is>
          <t>MOVE_WILL_O_WISP</t>
        </is>
      </c>
    </row>
    <row r="1531">
      <c r="A1531" s="3" t="inlineStr">
        <is>
          <t>SPECIES_SHUPPET</t>
        </is>
      </c>
      <c r="B1531" s="3" t="inlineStr">
        <is>
          <t>Shuppet</t>
        </is>
      </c>
      <c r="C1531" s="3" t="n">
        <v>19</v>
      </c>
      <c r="D1531" s="3" t="inlineStr">
        <is>
          <t>Shadow Sneak</t>
        </is>
      </c>
      <c r="E1531" s="3" t="inlineStr">
        <is>
          <t>MOVE_SHADOW_SNEAK</t>
        </is>
      </c>
    </row>
    <row r="1532">
      <c r="A1532" s="3" t="inlineStr">
        <is>
          <t>SPECIES_SHUPPET</t>
        </is>
      </c>
      <c r="B1532" s="3" t="inlineStr">
        <is>
          <t>Shuppet</t>
        </is>
      </c>
      <c r="C1532" s="3" t="n">
        <v>22</v>
      </c>
      <c r="D1532" s="3" t="inlineStr">
        <is>
          <t>Hex</t>
        </is>
      </c>
      <c r="E1532" s="3" t="inlineStr">
        <is>
          <t>MOVE_HEX</t>
        </is>
      </c>
    </row>
    <row r="1533">
      <c r="A1533" s="3" t="inlineStr">
        <is>
          <t>SPECIES_SHUPPET</t>
        </is>
      </c>
      <c r="B1533" s="3" t="inlineStr">
        <is>
          <t>Shuppet</t>
        </is>
      </c>
      <c r="C1533" s="3" t="n">
        <v>26</v>
      </c>
      <c r="D1533" s="3" t="inlineStr">
        <is>
          <t>Curse</t>
        </is>
      </c>
      <c r="E1533" s="3" t="inlineStr">
        <is>
          <t>MOVE_CURSE</t>
        </is>
      </c>
    </row>
    <row r="1534">
      <c r="A1534" s="3" t="inlineStr">
        <is>
          <t>SPECIES_SHUPPET</t>
        </is>
      </c>
      <c r="B1534" s="3" t="inlineStr">
        <is>
          <t>Shuppet</t>
        </is>
      </c>
      <c r="C1534" s="3" t="n">
        <v>30</v>
      </c>
      <c r="D1534" s="3" t="inlineStr">
        <is>
          <t>Shadow Ball</t>
        </is>
      </c>
      <c r="E1534" s="3" t="inlineStr">
        <is>
          <t>MOVE_SHADOW_BALL</t>
        </is>
      </c>
    </row>
    <row r="1535">
      <c r="A1535" s="3" t="inlineStr">
        <is>
          <t>SPECIES_SHUPPET</t>
        </is>
      </c>
      <c r="B1535" s="3" t="inlineStr">
        <is>
          <t>Shuppet</t>
        </is>
      </c>
      <c r="C1535" s="3" t="n">
        <v>34</v>
      </c>
      <c r="D1535" s="3" t="inlineStr">
        <is>
          <t>Role Play</t>
        </is>
      </c>
      <c r="E1535" s="3" t="inlineStr">
        <is>
          <t>MOVE_ROLE_PLAY</t>
        </is>
      </c>
    </row>
    <row r="1536">
      <c r="A1536" s="3" t="inlineStr">
        <is>
          <t>SPECIES_SHUPPET</t>
        </is>
      </c>
      <c r="B1536" s="3" t="inlineStr">
        <is>
          <t>Shuppet</t>
        </is>
      </c>
      <c r="C1536" s="3" t="n">
        <v>38</v>
      </c>
      <c r="D1536" s="3" t="inlineStr">
        <is>
          <t>Sucker Punch</t>
        </is>
      </c>
      <c r="E1536" s="3" t="inlineStr">
        <is>
          <t>MOVE_SUCKER_PUNCH</t>
        </is>
      </c>
    </row>
    <row r="1537">
      <c r="A1537" s="3" t="inlineStr">
        <is>
          <t>SPECIES_SHUPPET</t>
        </is>
      </c>
      <c r="B1537" s="3" t="inlineStr">
        <is>
          <t>Shuppet</t>
        </is>
      </c>
      <c r="C1537" s="3" t="n">
        <v>42</v>
      </c>
      <c r="D1537" s="3" t="inlineStr">
        <is>
          <t>Trick</t>
        </is>
      </c>
      <c r="E1537" s="3" t="inlineStr">
        <is>
          <t>MOVE_TRICK</t>
        </is>
      </c>
    </row>
    <row r="1538">
      <c r="A1538" s="3" t="inlineStr">
        <is>
          <t>SPECIES_SHUPPET</t>
        </is>
      </c>
      <c r="B1538" s="3" t="inlineStr">
        <is>
          <t>Shuppet</t>
        </is>
      </c>
      <c r="C1538" s="3" t="n">
        <v>48</v>
      </c>
      <c r="D1538" s="3" t="inlineStr">
        <is>
          <t>Phantom Force</t>
        </is>
      </c>
      <c r="E1538" s="3" t="inlineStr">
        <is>
          <t>MOVE_PHANTOM_FORCE</t>
        </is>
      </c>
    </row>
    <row r="1539">
      <c r="A1539" s="3" t="inlineStr">
        <is>
          <t>SPECIES_BANETTE</t>
        </is>
      </c>
      <c r="B1539" s="3" t="inlineStr">
        <is>
          <t>Banette</t>
        </is>
      </c>
      <c r="C1539" s="3" t="n">
        <v>0</v>
      </c>
      <c r="D1539" s="3" t="inlineStr">
        <is>
          <t>Knock Off</t>
        </is>
      </c>
      <c r="E1539" s="3" t="inlineStr">
        <is>
          <t>MOVE_KNOCK_OFF</t>
        </is>
      </c>
    </row>
    <row r="1540">
      <c r="A1540" s="3" t="inlineStr">
        <is>
          <t>SPECIES_BANETTE</t>
        </is>
      </c>
      <c r="B1540" s="3" t="inlineStr">
        <is>
          <t>Banette</t>
        </is>
      </c>
      <c r="C1540" s="3" t="n">
        <v>1</v>
      </c>
      <c r="D1540" s="3" t="inlineStr">
        <is>
          <t>Night Shade</t>
        </is>
      </c>
      <c r="E1540" s="3" t="inlineStr">
        <is>
          <t>MOVE_NIGHT_SHADE</t>
        </is>
      </c>
    </row>
    <row r="1541">
      <c r="A1541" s="3" t="inlineStr">
        <is>
          <t>SPECIES_BANETTE</t>
        </is>
      </c>
      <c r="B1541" s="3" t="inlineStr">
        <is>
          <t>Banette</t>
        </is>
      </c>
      <c r="C1541" s="3" t="n">
        <v>1</v>
      </c>
      <c r="D1541" s="3" t="inlineStr">
        <is>
          <t>Screech</t>
        </is>
      </c>
      <c r="E1541" s="3" t="inlineStr">
        <is>
          <t>MOVE_SCREECH</t>
        </is>
      </c>
    </row>
    <row r="1542">
      <c r="A1542" s="3" t="inlineStr">
        <is>
          <t>SPECIES_BANETTE</t>
        </is>
      </c>
      <c r="B1542" s="3" t="inlineStr">
        <is>
          <t>Banette</t>
        </is>
      </c>
      <c r="C1542" s="3" t="n">
        <v>1</v>
      </c>
      <c r="D1542" s="3" t="inlineStr">
        <is>
          <t>Spite</t>
        </is>
      </c>
      <c r="E1542" s="3" t="inlineStr">
        <is>
          <t>MOVE_SPITE</t>
        </is>
      </c>
    </row>
    <row r="1543">
      <c r="A1543" s="3" t="inlineStr">
        <is>
          <t>SPECIES_BANETTE</t>
        </is>
      </c>
      <c r="B1543" s="3" t="inlineStr">
        <is>
          <t>Banette</t>
        </is>
      </c>
      <c r="C1543" s="3" t="n">
        <v>16</v>
      </c>
      <c r="D1543" s="3" t="inlineStr">
        <is>
          <t>Will-O-Wisp</t>
        </is>
      </c>
      <c r="E1543" s="3" t="inlineStr">
        <is>
          <t>MOVE_WILL_O_WISP</t>
        </is>
      </c>
    </row>
    <row r="1544">
      <c r="A1544" s="3" t="inlineStr">
        <is>
          <t>SPECIES_BANETTE</t>
        </is>
      </c>
      <c r="B1544" s="3" t="inlineStr">
        <is>
          <t>Banette</t>
        </is>
      </c>
      <c r="C1544" s="3" t="n">
        <v>19</v>
      </c>
      <c r="D1544" s="3" t="inlineStr">
        <is>
          <t>Shadow Sneak</t>
        </is>
      </c>
      <c r="E1544" s="3" t="inlineStr">
        <is>
          <t>MOVE_SHADOW_SNEAK</t>
        </is>
      </c>
    </row>
    <row r="1545">
      <c r="A1545" s="3" t="inlineStr">
        <is>
          <t>SPECIES_BANETTE</t>
        </is>
      </c>
      <c r="B1545" s="3" t="inlineStr">
        <is>
          <t>Banette</t>
        </is>
      </c>
      <c r="C1545" s="3" t="n">
        <v>22</v>
      </c>
      <c r="D1545" s="3" t="inlineStr">
        <is>
          <t>Hex</t>
        </is>
      </c>
      <c r="E1545" s="3" t="inlineStr">
        <is>
          <t>MOVE_HEX</t>
        </is>
      </c>
    </row>
    <row r="1546">
      <c r="A1546" s="3" t="inlineStr">
        <is>
          <t>SPECIES_BANETTE</t>
        </is>
      </c>
      <c r="B1546" s="3" t="inlineStr">
        <is>
          <t>Banette</t>
        </is>
      </c>
      <c r="C1546" s="3" t="n">
        <v>26</v>
      </c>
      <c r="D1546" s="3" t="inlineStr">
        <is>
          <t>Curse</t>
        </is>
      </c>
      <c r="E1546" s="3" t="inlineStr">
        <is>
          <t>MOVE_CURSE</t>
        </is>
      </c>
    </row>
    <row r="1547">
      <c r="A1547" s="3" t="inlineStr">
        <is>
          <t>SPECIES_BANETTE</t>
        </is>
      </c>
      <c r="B1547" s="3" t="inlineStr">
        <is>
          <t>Banette</t>
        </is>
      </c>
      <c r="C1547" s="3" t="n">
        <v>30</v>
      </c>
      <c r="D1547" s="3" t="inlineStr">
        <is>
          <t>Shadow Ball</t>
        </is>
      </c>
      <c r="E1547" s="3" t="inlineStr">
        <is>
          <t>MOVE_SHADOW_BALL</t>
        </is>
      </c>
    </row>
    <row r="1548">
      <c r="A1548" s="3" t="inlineStr">
        <is>
          <t>SPECIES_BANETTE</t>
        </is>
      </c>
      <c r="B1548" s="3" t="inlineStr">
        <is>
          <t>Banette</t>
        </is>
      </c>
      <c r="C1548" s="3" t="n">
        <v>34</v>
      </c>
      <c r="D1548" s="3" t="inlineStr">
        <is>
          <t>Role Play</t>
        </is>
      </c>
      <c r="E1548" s="3" t="inlineStr">
        <is>
          <t>MOVE_ROLE_PLAY</t>
        </is>
      </c>
    </row>
    <row r="1549">
      <c r="A1549" s="3" t="inlineStr">
        <is>
          <t>SPECIES_BANETTE</t>
        </is>
      </c>
      <c r="B1549" s="3" t="inlineStr">
        <is>
          <t>Banette</t>
        </is>
      </c>
      <c r="C1549" s="3" t="n">
        <v>40</v>
      </c>
      <c r="D1549" s="3" t="inlineStr">
        <is>
          <t>Sucker Punch</t>
        </is>
      </c>
      <c r="E1549" s="3" t="inlineStr">
        <is>
          <t>MOVE_SUCKER_PUNCH</t>
        </is>
      </c>
    </row>
    <row r="1550">
      <c r="A1550" s="3" t="inlineStr">
        <is>
          <t>SPECIES_BANETTE</t>
        </is>
      </c>
      <c r="B1550" s="3" t="inlineStr">
        <is>
          <t>Banette</t>
        </is>
      </c>
      <c r="C1550" s="3" t="n">
        <v>46</v>
      </c>
      <c r="D1550" s="3" t="inlineStr">
        <is>
          <t>Trick</t>
        </is>
      </c>
      <c r="E1550" s="3" t="inlineStr">
        <is>
          <t>MOVE_TRICK</t>
        </is>
      </c>
    </row>
    <row r="1551">
      <c r="A1551" s="3" t="inlineStr">
        <is>
          <t>SPECIES_BANETTE</t>
        </is>
      </c>
      <c r="B1551" s="3" t="inlineStr">
        <is>
          <t>Banette</t>
        </is>
      </c>
      <c r="C1551" s="3" t="n">
        <v>53</v>
      </c>
      <c r="D1551" s="3" t="inlineStr">
        <is>
          <t>Phantom Force</t>
        </is>
      </c>
      <c r="E1551" s="3" t="inlineStr">
        <is>
          <t>MOVE_PHANTOM_FORCE</t>
        </is>
      </c>
    </row>
    <row r="1552">
      <c r="A1552" s="3" t="inlineStr">
        <is>
          <t>SPECIES_SNORUNT</t>
        </is>
      </c>
      <c r="B1552" s="3" t="inlineStr">
        <is>
          <t>Snorunt</t>
        </is>
      </c>
      <c r="C1552" s="3" t="n">
        <v>1</v>
      </c>
      <c r="D1552" s="3" t="inlineStr">
        <is>
          <t>Headbutt</t>
        </is>
      </c>
      <c r="E1552" s="3" t="inlineStr">
        <is>
          <t>MOVE_HEADBUTT</t>
        </is>
      </c>
    </row>
    <row r="1553">
      <c r="A1553" s="3" t="inlineStr">
        <is>
          <t>SPECIES_SNORUNT</t>
        </is>
      </c>
      <c r="B1553" s="3" t="inlineStr">
        <is>
          <t>Snorunt</t>
        </is>
      </c>
      <c r="C1553" s="3" t="n">
        <v>1</v>
      </c>
      <c r="D1553" s="3" t="inlineStr">
        <is>
          <t>Powder Snow</t>
        </is>
      </c>
      <c r="E1553" s="3" t="inlineStr">
        <is>
          <t>MOVE_POWDER_SNOW</t>
        </is>
      </c>
    </row>
    <row r="1554">
      <c r="A1554" s="3" t="inlineStr">
        <is>
          <t>SPECIES_SNORUNT</t>
        </is>
      </c>
      <c r="B1554" s="3" t="inlineStr">
        <is>
          <t>Snorunt</t>
        </is>
      </c>
      <c r="C1554" s="3" t="n">
        <v>1</v>
      </c>
      <c r="D1554" s="3" t="inlineStr">
        <is>
          <t>Astonish</t>
        </is>
      </c>
      <c r="E1554" s="3" t="inlineStr">
        <is>
          <t>MOVE_ASTONISH</t>
        </is>
      </c>
    </row>
    <row r="1555">
      <c r="A1555" s="3" t="inlineStr">
        <is>
          <t>SPECIES_SNORUNT</t>
        </is>
      </c>
      <c r="B1555" s="3" t="inlineStr">
        <is>
          <t>Snorunt</t>
        </is>
      </c>
      <c r="C1555" s="3" t="n">
        <v>5</v>
      </c>
      <c r="D1555" s="3" t="inlineStr">
        <is>
          <t>Leer</t>
        </is>
      </c>
      <c r="E1555" s="3" t="inlineStr">
        <is>
          <t>MOVE_LEER</t>
        </is>
      </c>
    </row>
    <row r="1556">
      <c r="A1556" s="3" t="inlineStr">
        <is>
          <t>SPECIES_SNORUNT</t>
        </is>
      </c>
      <c r="B1556" s="3" t="inlineStr">
        <is>
          <t>Snorunt</t>
        </is>
      </c>
      <c r="C1556" s="3" t="n">
        <v>10</v>
      </c>
      <c r="D1556" s="3" t="inlineStr">
        <is>
          <t>Double Team</t>
        </is>
      </c>
      <c r="E1556" s="3" t="inlineStr">
        <is>
          <t>MOVE_DOUBLE_TEAM</t>
        </is>
      </c>
    </row>
    <row r="1557">
      <c r="A1557" s="3" t="inlineStr">
        <is>
          <t>SPECIES_SNORUNT</t>
        </is>
      </c>
      <c r="B1557" s="3" t="inlineStr">
        <is>
          <t>Snorunt</t>
        </is>
      </c>
      <c r="C1557" s="3" t="n">
        <v>15</v>
      </c>
      <c r="D1557" s="3" t="inlineStr">
        <is>
          <t>Ice Shard</t>
        </is>
      </c>
      <c r="E1557" s="3" t="inlineStr">
        <is>
          <t>MOVE_ICE_SHARD</t>
        </is>
      </c>
    </row>
    <row r="1558">
      <c r="A1558" s="3" t="inlineStr">
        <is>
          <t>SPECIES_SNORUNT</t>
        </is>
      </c>
      <c r="B1558" s="3" t="inlineStr">
        <is>
          <t>Snorunt</t>
        </is>
      </c>
      <c r="C1558" s="3" t="n">
        <v>20</v>
      </c>
      <c r="D1558" s="3" t="inlineStr">
        <is>
          <t>Protect</t>
        </is>
      </c>
      <c r="E1558" s="3" t="inlineStr">
        <is>
          <t>MOVE_PROTECT</t>
        </is>
      </c>
    </row>
    <row r="1559">
      <c r="A1559" s="3" t="inlineStr">
        <is>
          <t>SPECIES_SNORUNT</t>
        </is>
      </c>
      <c r="B1559" s="3" t="inlineStr">
        <is>
          <t>Snorunt</t>
        </is>
      </c>
      <c r="C1559" s="3" t="n">
        <v>25</v>
      </c>
      <c r="D1559" s="3" t="inlineStr">
        <is>
          <t>Icy Wind</t>
        </is>
      </c>
      <c r="E1559" s="3" t="inlineStr">
        <is>
          <t>MOVE_ICY_WIND</t>
        </is>
      </c>
    </row>
    <row r="1560">
      <c r="A1560" s="3" t="inlineStr">
        <is>
          <t>SPECIES_SNORUNT</t>
        </is>
      </c>
      <c r="B1560" s="3" t="inlineStr">
        <is>
          <t>Snorunt</t>
        </is>
      </c>
      <c r="C1560" s="3" t="n">
        <v>30</v>
      </c>
      <c r="D1560" s="3" t="inlineStr">
        <is>
          <t>Frost Breath</t>
        </is>
      </c>
      <c r="E1560" s="3" t="inlineStr">
        <is>
          <t>MOVE_FROST_BREATH</t>
        </is>
      </c>
    </row>
    <row r="1561">
      <c r="A1561" s="3" t="inlineStr">
        <is>
          <t>SPECIES_SNORUNT</t>
        </is>
      </c>
      <c r="B1561" s="3" t="inlineStr">
        <is>
          <t>Snorunt</t>
        </is>
      </c>
      <c r="C1561" s="3" t="n">
        <v>35</v>
      </c>
      <c r="D1561" s="3" t="inlineStr">
        <is>
          <t>Bite</t>
        </is>
      </c>
      <c r="E1561" s="3" t="inlineStr">
        <is>
          <t>MOVE_BITE</t>
        </is>
      </c>
    </row>
    <row r="1562">
      <c r="A1562" s="3" t="inlineStr">
        <is>
          <t>SPECIES_SNORUNT</t>
        </is>
      </c>
      <c r="B1562" s="3" t="inlineStr">
        <is>
          <t>Snorunt</t>
        </is>
      </c>
      <c r="C1562" s="3" t="n">
        <v>40</v>
      </c>
      <c r="D1562" s="3" t="inlineStr">
        <is>
          <t>Ice Fang</t>
        </is>
      </c>
      <c r="E1562" s="3" t="inlineStr">
        <is>
          <t>MOVE_ICE_FANG</t>
        </is>
      </c>
    </row>
    <row r="1563">
      <c r="A1563" s="3" t="inlineStr">
        <is>
          <t>SPECIES_SNORUNT</t>
        </is>
      </c>
      <c r="B1563" s="3" t="inlineStr">
        <is>
          <t>Snorunt</t>
        </is>
      </c>
      <c r="C1563" s="3" t="n">
        <v>45</v>
      </c>
      <c r="D1563" s="3" t="inlineStr">
        <is>
          <t>Snowscape</t>
        </is>
      </c>
      <c r="E1563" s="3" t="inlineStr">
        <is>
          <t>MOVE_SNOWSCAPE</t>
        </is>
      </c>
    </row>
    <row r="1564">
      <c r="A1564" s="3" t="inlineStr">
        <is>
          <t>SPECIES_SNORUNT</t>
        </is>
      </c>
      <c r="B1564" s="3" t="inlineStr">
        <is>
          <t>Snorunt</t>
        </is>
      </c>
      <c r="C1564" s="3" t="n">
        <v>50</v>
      </c>
      <c r="D1564" s="3" t="inlineStr">
        <is>
          <t>Weather Ball</t>
        </is>
      </c>
      <c r="E1564" s="3" t="inlineStr">
        <is>
          <t>MOVE_WEATHER_BALL</t>
        </is>
      </c>
    </row>
    <row r="1565">
      <c r="A1565" s="3" t="inlineStr">
        <is>
          <t>SPECIES_SNORUNT</t>
        </is>
      </c>
      <c r="B1565" s="3" t="inlineStr">
        <is>
          <t>Snorunt</t>
        </is>
      </c>
      <c r="C1565" s="3" t="n">
        <v>55</v>
      </c>
      <c r="D1565" s="3" t="inlineStr">
        <is>
          <t>Crunch</t>
        </is>
      </c>
      <c r="E1565" s="3" t="inlineStr">
        <is>
          <t>MOVE_CRUNCH</t>
        </is>
      </c>
    </row>
    <row r="1566">
      <c r="A1566" s="3" t="inlineStr">
        <is>
          <t>SPECIES_SNORUNT</t>
        </is>
      </c>
      <c r="B1566" s="3" t="inlineStr">
        <is>
          <t>Snorunt</t>
        </is>
      </c>
      <c r="C1566" s="3" t="n">
        <v>60</v>
      </c>
      <c r="D1566" s="3" t="inlineStr">
        <is>
          <t>Blizzard</t>
        </is>
      </c>
      <c r="E1566" s="3" t="inlineStr">
        <is>
          <t>MOVE_BLIZZARD</t>
        </is>
      </c>
    </row>
    <row r="1567">
      <c r="A1567" s="3" t="inlineStr">
        <is>
          <t>SPECIES_GLALIE</t>
        </is>
      </c>
      <c r="B1567" s="3" t="inlineStr">
        <is>
          <t>Glalie</t>
        </is>
      </c>
      <c r="C1567" s="3" t="n">
        <v>0</v>
      </c>
      <c r="D1567" s="3" t="inlineStr">
        <is>
          <t>Freeze-Dry</t>
        </is>
      </c>
      <c r="E1567" s="3" t="inlineStr">
        <is>
          <t>MOVE_FREEZE_DRY</t>
        </is>
      </c>
    </row>
    <row r="1568">
      <c r="A1568" s="3" t="inlineStr">
        <is>
          <t>SPECIES_GLALIE</t>
        </is>
      </c>
      <c r="B1568" s="3" t="inlineStr">
        <is>
          <t>Glalie</t>
        </is>
      </c>
      <c r="C1568" s="3" t="n">
        <v>1</v>
      </c>
      <c r="D1568" s="3" t="inlineStr">
        <is>
          <t>Headbutt</t>
        </is>
      </c>
      <c r="E1568" s="3" t="inlineStr">
        <is>
          <t>MOVE_HEADBUTT</t>
        </is>
      </c>
    </row>
    <row r="1569">
      <c r="A1569" s="3" t="inlineStr">
        <is>
          <t>SPECIES_GLALIE</t>
        </is>
      </c>
      <c r="B1569" s="3" t="inlineStr">
        <is>
          <t>Glalie</t>
        </is>
      </c>
      <c r="C1569" s="3" t="n">
        <v>1</v>
      </c>
      <c r="D1569" s="3" t="inlineStr">
        <is>
          <t>Leer</t>
        </is>
      </c>
      <c r="E1569" s="3" t="inlineStr">
        <is>
          <t>MOVE_LEER</t>
        </is>
      </c>
    </row>
    <row r="1570">
      <c r="A1570" s="3" t="inlineStr">
        <is>
          <t>SPECIES_GLALIE</t>
        </is>
      </c>
      <c r="B1570" s="3" t="inlineStr">
        <is>
          <t>Glalie</t>
        </is>
      </c>
      <c r="C1570" s="3" t="n">
        <v>1</v>
      </c>
      <c r="D1570" s="3" t="inlineStr">
        <is>
          <t>Double Team</t>
        </is>
      </c>
      <c r="E1570" s="3" t="inlineStr">
        <is>
          <t>MOVE_DOUBLE_TEAM</t>
        </is>
      </c>
    </row>
    <row r="1571">
      <c r="A1571" s="3" t="inlineStr">
        <is>
          <t>SPECIES_GLALIE</t>
        </is>
      </c>
      <c r="B1571" s="3" t="inlineStr">
        <is>
          <t>Glalie</t>
        </is>
      </c>
      <c r="C1571" s="3" t="n">
        <v>1</v>
      </c>
      <c r="D1571" s="3" t="inlineStr">
        <is>
          <t>Powder Snow</t>
        </is>
      </c>
      <c r="E1571" s="3" t="inlineStr">
        <is>
          <t>MOVE_POWDER_SNOW</t>
        </is>
      </c>
    </row>
    <row r="1572">
      <c r="A1572" s="3" t="inlineStr">
        <is>
          <t>SPECIES_GLALIE</t>
        </is>
      </c>
      <c r="B1572" s="3" t="inlineStr">
        <is>
          <t>Glalie</t>
        </is>
      </c>
      <c r="C1572" s="3" t="n">
        <v>1</v>
      </c>
      <c r="D1572" s="3" t="inlineStr">
        <is>
          <t>Astonish</t>
        </is>
      </c>
      <c r="E1572" s="3" t="inlineStr">
        <is>
          <t>MOVE_ASTONISH</t>
        </is>
      </c>
    </row>
    <row r="1573">
      <c r="A1573" s="3" t="inlineStr">
        <is>
          <t>SPECIES_GLALIE</t>
        </is>
      </c>
      <c r="B1573" s="3" t="inlineStr">
        <is>
          <t>Glalie</t>
        </is>
      </c>
      <c r="C1573" s="3" t="n">
        <v>1</v>
      </c>
      <c r="D1573" s="3" t="inlineStr">
        <is>
          <t>Sheer Cold</t>
        </is>
      </c>
      <c r="E1573" s="3" t="inlineStr">
        <is>
          <t>MOVE_SHEER_COLD</t>
        </is>
      </c>
    </row>
    <row r="1574">
      <c r="A1574" s="3" t="inlineStr">
        <is>
          <t>SPECIES_GLALIE</t>
        </is>
      </c>
      <c r="B1574" s="3" t="inlineStr">
        <is>
          <t>Glalie</t>
        </is>
      </c>
      <c r="C1574" s="3" t="n">
        <v>15</v>
      </c>
      <c r="D1574" s="3" t="inlineStr">
        <is>
          <t>Ice Shard</t>
        </is>
      </c>
      <c r="E1574" s="3" t="inlineStr">
        <is>
          <t>MOVE_ICE_SHARD</t>
        </is>
      </c>
    </row>
    <row r="1575">
      <c r="A1575" s="3" t="inlineStr">
        <is>
          <t>SPECIES_GLALIE</t>
        </is>
      </c>
      <c r="B1575" s="3" t="inlineStr">
        <is>
          <t>Glalie</t>
        </is>
      </c>
      <c r="C1575" s="3" t="n">
        <v>20</v>
      </c>
      <c r="D1575" s="3" t="inlineStr">
        <is>
          <t>Protect</t>
        </is>
      </c>
      <c r="E1575" s="3" t="inlineStr">
        <is>
          <t>MOVE_PROTECT</t>
        </is>
      </c>
    </row>
    <row r="1576">
      <c r="A1576" s="3" t="inlineStr">
        <is>
          <t>SPECIES_GLALIE</t>
        </is>
      </c>
      <c r="B1576" s="3" t="inlineStr">
        <is>
          <t>Glalie</t>
        </is>
      </c>
      <c r="C1576" s="3" t="n">
        <v>25</v>
      </c>
      <c r="D1576" s="3" t="inlineStr">
        <is>
          <t>Icy Wind</t>
        </is>
      </c>
      <c r="E1576" s="3" t="inlineStr">
        <is>
          <t>MOVE_ICY_WIND</t>
        </is>
      </c>
    </row>
    <row r="1577">
      <c r="A1577" s="3" t="inlineStr">
        <is>
          <t>SPECIES_GLALIE</t>
        </is>
      </c>
      <c r="B1577" s="3" t="inlineStr">
        <is>
          <t>Glalie</t>
        </is>
      </c>
      <c r="C1577" s="3" t="n">
        <v>30</v>
      </c>
      <c r="D1577" s="3" t="inlineStr">
        <is>
          <t>Frost Breath</t>
        </is>
      </c>
      <c r="E1577" s="3" t="inlineStr">
        <is>
          <t>MOVE_FROST_BREATH</t>
        </is>
      </c>
    </row>
    <row r="1578">
      <c r="A1578" s="3" t="inlineStr">
        <is>
          <t>SPECIES_GLALIE</t>
        </is>
      </c>
      <c r="B1578" s="3" t="inlineStr">
        <is>
          <t>Glalie</t>
        </is>
      </c>
      <c r="C1578" s="3" t="n">
        <v>35</v>
      </c>
      <c r="D1578" s="3" t="inlineStr">
        <is>
          <t>Bite</t>
        </is>
      </c>
      <c r="E1578" s="3" t="inlineStr">
        <is>
          <t>MOVE_BITE</t>
        </is>
      </c>
    </row>
    <row r="1579">
      <c r="A1579" s="3" t="inlineStr">
        <is>
          <t>SPECIES_GLALIE</t>
        </is>
      </c>
      <c r="B1579" s="3" t="inlineStr">
        <is>
          <t>Glalie</t>
        </is>
      </c>
      <c r="C1579" s="3" t="n">
        <v>40</v>
      </c>
      <c r="D1579" s="3" t="inlineStr">
        <is>
          <t>Ice Fang</t>
        </is>
      </c>
      <c r="E1579" s="3" t="inlineStr">
        <is>
          <t>MOVE_ICE_FANG</t>
        </is>
      </c>
    </row>
    <row r="1580">
      <c r="A1580" s="3" t="inlineStr">
        <is>
          <t>SPECIES_GLALIE</t>
        </is>
      </c>
      <c r="B1580" s="3" t="inlineStr">
        <is>
          <t>Glalie</t>
        </is>
      </c>
      <c r="C1580" s="3" t="n">
        <v>47</v>
      </c>
      <c r="D1580" s="3" t="inlineStr">
        <is>
          <t>Snowscape</t>
        </is>
      </c>
      <c r="E1580" s="3" t="inlineStr">
        <is>
          <t>MOVE_SNOWSCAPE</t>
        </is>
      </c>
    </row>
    <row r="1581">
      <c r="A1581" s="3" t="inlineStr">
        <is>
          <t>SPECIES_GLALIE</t>
        </is>
      </c>
      <c r="B1581" s="3" t="inlineStr">
        <is>
          <t>Glalie</t>
        </is>
      </c>
      <c r="C1581" s="3" t="n">
        <v>54</v>
      </c>
      <c r="D1581" s="3" t="inlineStr">
        <is>
          <t>Weather Ball</t>
        </is>
      </c>
      <c r="E1581" s="3" t="inlineStr">
        <is>
          <t>MOVE_WEATHER_BALL</t>
        </is>
      </c>
    </row>
    <row r="1582">
      <c r="A1582" s="3" t="inlineStr">
        <is>
          <t>SPECIES_GLALIE</t>
        </is>
      </c>
      <c r="B1582" s="3" t="inlineStr">
        <is>
          <t>Glalie</t>
        </is>
      </c>
      <c r="C1582" s="3" t="n">
        <v>61</v>
      </c>
      <c r="D1582" s="3" t="inlineStr">
        <is>
          <t>Crunch</t>
        </is>
      </c>
      <c r="E1582" s="3" t="inlineStr">
        <is>
          <t>MOVE_CRUNCH</t>
        </is>
      </c>
    </row>
    <row r="1583">
      <c r="A1583" s="3" t="inlineStr">
        <is>
          <t>SPECIES_GLALIE</t>
        </is>
      </c>
      <c r="B1583" s="3" t="inlineStr">
        <is>
          <t>Glalie</t>
        </is>
      </c>
      <c r="C1583" s="3" t="n">
        <v>68</v>
      </c>
      <c r="D1583" s="3" t="inlineStr">
        <is>
          <t>Blizzard</t>
        </is>
      </c>
      <c r="E1583" s="3" t="inlineStr">
        <is>
          <t>MOVE_BLIZZARD</t>
        </is>
      </c>
    </row>
    <row r="1584">
      <c r="A1584" s="3" t="inlineStr">
        <is>
          <t>SPECIES_FROSLASS</t>
        </is>
      </c>
      <c r="B1584" s="3" t="inlineStr">
        <is>
          <t>Froslass</t>
        </is>
      </c>
      <c r="C1584" s="3" t="n">
        <v>0</v>
      </c>
      <c r="D1584" s="3" t="inlineStr">
        <is>
          <t>Hex</t>
        </is>
      </c>
      <c r="E1584" s="3" t="inlineStr">
        <is>
          <t>MOVE_HEX</t>
        </is>
      </c>
    </row>
    <row r="1585">
      <c r="A1585" s="3" t="inlineStr">
        <is>
          <t>SPECIES_FROSLASS</t>
        </is>
      </c>
      <c r="B1585" s="3" t="inlineStr">
        <is>
          <t>Froslass</t>
        </is>
      </c>
      <c r="C1585" s="3" t="n">
        <v>1</v>
      </c>
      <c r="D1585" s="3" t="inlineStr">
        <is>
          <t>Crunch</t>
        </is>
      </c>
      <c r="E1585" s="3" t="inlineStr">
        <is>
          <t>MOVE_CRUNCH</t>
        </is>
      </c>
    </row>
    <row r="1586">
      <c r="A1586" s="3" t="inlineStr">
        <is>
          <t>SPECIES_FROSLASS</t>
        </is>
      </c>
      <c r="B1586" s="3" t="inlineStr">
        <is>
          <t>Froslass</t>
        </is>
      </c>
      <c r="C1586" s="3" t="n">
        <v>1</v>
      </c>
      <c r="D1586" s="3" t="inlineStr">
        <is>
          <t>Ice Fang</t>
        </is>
      </c>
      <c r="E1586" s="3" t="inlineStr">
        <is>
          <t>MOVE_ICE_FANG</t>
        </is>
      </c>
    </row>
    <row r="1587">
      <c r="A1587" s="3" t="inlineStr">
        <is>
          <t>SPECIES_FROSLASS</t>
        </is>
      </c>
      <c r="B1587" s="3" t="inlineStr">
        <is>
          <t>Froslass</t>
        </is>
      </c>
      <c r="C1587" s="3" t="n">
        <v>1</v>
      </c>
      <c r="D1587" s="3" t="inlineStr">
        <is>
          <t>Astonish</t>
        </is>
      </c>
      <c r="E1587" s="3" t="inlineStr">
        <is>
          <t>MOVE_ASTONISH</t>
        </is>
      </c>
    </row>
    <row r="1588">
      <c r="A1588" s="3" t="inlineStr">
        <is>
          <t>SPECIES_FROSLASS</t>
        </is>
      </c>
      <c r="B1588" s="3" t="inlineStr">
        <is>
          <t>Froslass</t>
        </is>
      </c>
      <c r="C1588" s="3" t="n">
        <v>1</v>
      </c>
      <c r="D1588" s="3" t="inlineStr">
        <is>
          <t>Destiny Bond</t>
        </is>
      </c>
      <c r="E1588" s="3" t="inlineStr">
        <is>
          <t>MOVE_DESTINY_BOND</t>
        </is>
      </c>
    </row>
    <row r="1589">
      <c r="A1589" s="3" t="inlineStr">
        <is>
          <t>SPECIES_FROSLASS</t>
        </is>
      </c>
      <c r="B1589" s="3" t="inlineStr">
        <is>
          <t>Froslass</t>
        </is>
      </c>
      <c r="C1589" s="3" t="n">
        <v>1</v>
      </c>
      <c r="D1589" s="3" t="inlineStr">
        <is>
          <t>Protect</t>
        </is>
      </c>
      <c r="E1589" s="3" t="inlineStr">
        <is>
          <t>MOVE_PROTECT</t>
        </is>
      </c>
    </row>
    <row r="1590">
      <c r="A1590" s="3" t="inlineStr">
        <is>
          <t>SPECIES_FROSLASS</t>
        </is>
      </c>
      <c r="B1590" s="3" t="inlineStr">
        <is>
          <t>Froslass</t>
        </is>
      </c>
      <c r="C1590" s="3" t="n">
        <v>1</v>
      </c>
      <c r="D1590" s="3" t="inlineStr">
        <is>
          <t>Headbutt</t>
        </is>
      </c>
      <c r="E1590" s="3" t="inlineStr">
        <is>
          <t>MOVE_HEADBUTT</t>
        </is>
      </c>
    </row>
    <row r="1591">
      <c r="A1591" s="3" t="inlineStr">
        <is>
          <t>SPECIES_FROSLASS</t>
        </is>
      </c>
      <c r="B1591" s="3" t="inlineStr">
        <is>
          <t>Froslass</t>
        </is>
      </c>
      <c r="C1591" s="3" t="n">
        <v>1</v>
      </c>
      <c r="D1591" s="3" t="inlineStr">
        <is>
          <t>Double Team</t>
        </is>
      </c>
      <c r="E1591" s="3" t="inlineStr">
        <is>
          <t>MOVE_DOUBLE_TEAM</t>
        </is>
      </c>
    </row>
    <row r="1592">
      <c r="A1592" s="3" t="inlineStr">
        <is>
          <t>SPECIES_FROSLASS</t>
        </is>
      </c>
      <c r="B1592" s="3" t="inlineStr">
        <is>
          <t>Froslass</t>
        </is>
      </c>
      <c r="C1592" s="3" t="n">
        <v>1</v>
      </c>
      <c r="D1592" s="3" t="inlineStr">
        <is>
          <t>Bite</t>
        </is>
      </c>
      <c r="E1592" s="3" t="inlineStr">
        <is>
          <t>MOVE_BITE</t>
        </is>
      </c>
    </row>
    <row r="1593">
      <c r="A1593" s="3" t="inlineStr">
        <is>
          <t>SPECIES_FROSLASS</t>
        </is>
      </c>
      <c r="B1593" s="3" t="inlineStr">
        <is>
          <t>Froslass</t>
        </is>
      </c>
      <c r="C1593" s="3" t="n">
        <v>1</v>
      </c>
      <c r="D1593" s="3" t="inlineStr">
        <is>
          <t>Leer</t>
        </is>
      </c>
      <c r="E1593" s="3" t="inlineStr">
        <is>
          <t>MOVE_LEER</t>
        </is>
      </c>
    </row>
    <row r="1594">
      <c r="A1594" s="3" t="inlineStr">
        <is>
          <t>SPECIES_FROSLASS</t>
        </is>
      </c>
      <c r="B1594" s="3" t="inlineStr">
        <is>
          <t>Froslass</t>
        </is>
      </c>
      <c r="C1594" s="3" t="n">
        <v>1</v>
      </c>
      <c r="D1594" s="3" t="inlineStr">
        <is>
          <t>Powder Snow</t>
        </is>
      </c>
      <c r="E1594" s="3" t="inlineStr">
        <is>
          <t>MOVE_POWDER_SNOW</t>
        </is>
      </c>
    </row>
    <row r="1595">
      <c r="A1595" s="3" t="inlineStr">
        <is>
          <t>SPECIES_FROSLASS</t>
        </is>
      </c>
      <c r="B1595" s="3" t="inlineStr">
        <is>
          <t>Froslass</t>
        </is>
      </c>
      <c r="C1595" s="3" t="n">
        <v>15</v>
      </c>
      <c r="D1595" s="3" t="inlineStr">
        <is>
          <t>Ice Shard</t>
        </is>
      </c>
      <c r="E1595" s="3" t="inlineStr">
        <is>
          <t>MOVE_ICE_SHARD</t>
        </is>
      </c>
    </row>
    <row r="1596">
      <c r="A1596" s="3" t="inlineStr">
        <is>
          <t>SPECIES_FROSLASS</t>
        </is>
      </c>
      <c r="B1596" s="3" t="inlineStr">
        <is>
          <t>Froslass</t>
        </is>
      </c>
      <c r="C1596" s="3" t="n">
        <v>20</v>
      </c>
      <c r="D1596" s="3" t="inlineStr">
        <is>
          <t>Draining Kiss</t>
        </is>
      </c>
      <c r="E1596" s="3" t="inlineStr">
        <is>
          <t>MOVE_DRAINING_KISS</t>
        </is>
      </c>
    </row>
    <row r="1597">
      <c r="A1597" s="3" t="inlineStr">
        <is>
          <t>SPECIES_FROSLASS</t>
        </is>
      </c>
      <c r="B1597" s="3" t="inlineStr">
        <is>
          <t>Froslass</t>
        </is>
      </c>
      <c r="C1597" s="3" t="n">
        <v>25</v>
      </c>
      <c r="D1597" s="3" t="inlineStr">
        <is>
          <t>Icy Wind</t>
        </is>
      </c>
      <c r="E1597" s="3" t="inlineStr">
        <is>
          <t>MOVE_ICY_WIND</t>
        </is>
      </c>
    </row>
    <row r="1598">
      <c r="A1598" s="3" t="inlineStr">
        <is>
          <t>SPECIES_FROSLASS</t>
        </is>
      </c>
      <c r="B1598" s="3" t="inlineStr">
        <is>
          <t>Froslass</t>
        </is>
      </c>
      <c r="C1598" s="3" t="n">
        <v>30</v>
      </c>
      <c r="D1598" s="3" t="inlineStr">
        <is>
          <t>Frost Breath</t>
        </is>
      </c>
      <c r="E1598" s="3" t="inlineStr">
        <is>
          <t>MOVE_FROST_BREATH</t>
        </is>
      </c>
    </row>
    <row r="1599">
      <c r="A1599" s="3" t="inlineStr">
        <is>
          <t>SPECIES_FROSLASS</t>
        </is>
      </c>
      <c r="B1599" s="3" t="inlineStr">
        <is>
          <t>Froslass</t>
        </is>
      </c>
      <c r="C1599" s="3" t="n">
        <v>35</v>
      </c>
      <c r="D1599" s="3" t="inlineStr">
        <is>
          <t>Confuse Ray</t>
        </is>
      </c>
      <c r="E1599" s="3" t="inlineStr">
        <is>
          <t>MOVE_CONFUSE_RAY</t>
        </is>
      </c>
    </row>
    <row r="1600">
      <c r="A1600" s="3" t="inlineStr">
        <is>
          <t>SPECIES_FROSLASS</t>
        </is>
      </c>
      <c r="B1600" s="3" t="inlineStr">
        <is>
          <t>Froslass</t>
        </is>
      </c>
      <c r="C1600" s="3" t="n">
        <v>40</v>
      </c>
      <c r="D1600" s="3" t="inlineStr">
        <is>
          <t>Snowscape</t>
        </is>
      </c>
      <c r="E1600" s="3" t="inlineStr">
        <is>
          <t>MOVE_SNOWSCAPE</t>
        </is>
      </c>
    </row>
    <row r="1601">
      <c r="A1601" s="3" t="inlineStr">
        <is>
          <t>SPECIES_FROSLASS</t>
        </is>
      </c>
      <c r="B1601" s="3" t="inlineStr">
        <is>
          <t>Froslass</t>
        </is>
      </c>
      <c r="C1601" s="3" t="n">
        <v>47</v>
      </c>
      <c r="D1601" s="3" t="inlineStr">
        <is>
          <t>Will-O-Wisp</t>
        </is>
      </c>
      <c r="E1601" s="3" t="inlineStr">
        <is>
          <t>MOVE_WILL_O_WISP</t>
        </is>
      </c>
    </row>
    <row r="1602">
      <c r="A1602" s="3" t="inlineStr">
        <is>
          <t>SPECIES_FROSLASS</t>
        </is>
      </c>
      <c r="B1602" s="3" t="inlineStr">
        <is>
          <t>Froslass</t>
        </is>
      </c>
      <c r="C1602" s="3" t="n">
        <v>54</v>
      </c>
      <c r="D1602" s="3" t="inlineStr">
        <is>
          <t>Aurora Veil</t>
        </is>
      </c>
      <c r="E1602" s="3" t="inlineStr">
        <is>
          <t>MOVE_AURORA_VEIL</t>
        </is>
      </c>
    </row>
    <row r="1603">
      <c r="A1603" s="3" t="inlineStr">
        <is>
          <t>SPECIES_FROSLASS</t>
        </is>
      </c>
      <c r="B1603" s="3" t="inlineStr">
        <is>
          <t>Froslass</t>
        </is>
      </c>
      <c r="C1603" s="3" t="n">
        <v>61</v>
      </c>
      <c r="D1603" s="3" t="inlineStr">
        <is>
          <t>Shadow Ball</t>
        </is>
      </c>
      <c r="E1603" s="3" t="inlineStr">
        <is>
          <t>MOVE_SHADOW_BALL</t>
        </is>
      </c>
    </row>
    <row r="1604">
      <c r="A1604" s="3" t="inlineStr">
        <is>
          <t>SPECIES_FROSLASS</t>
        </is>
      </c>
      <c r="B1604" s="3" t="inlineStr">
        <is>
          <t>Froslass</t>
        </is>
      </c>
      <c r="C1604" s="3" t="n">
        <v>68</v>
      </c>
      <c r="D1604" s="3" t="inlineStr">
        <is>
          <t>Blizzard</t>
        </is>
      </c>
      <c r="E1604" s="3" t="inlineStr">
        <is>
          <t>MOVE_BLIZZARD</t>
        </is>
      </c>
    </row>
    <row r="1605">
      <c r="A1605" s="3" t="inlineStr">
        <is>
          <t>SPECIES_SPHEAL</t>
        </is>
      </c>
      <c r="B1605" s="3" t="inlineStr">
        <is>
          <t>Spheal</t>
        </is>
      </c>
      <c r="C1605" s="3" t="n">
        <v>1</v>
      </c>
      <c r="D1605" s="3" t="inlineStr">
        <is>
          <t>Rollout</t>
        </is>
      </c>
      <c r="E1605" s="3" t="inlineStr">
        <is>
          <t>MOVE_ROLLOUT</t>
        </is>
      </c>
    </row>
    <row r="1606">
      <c r="A1606" s="3" t="inlineStr">
        <is>
          <t>SPECIES_SPHEAL</t>
        </is>
      </c>
      <c r="B1606" s="3" t="inlineStr">
        <is>
          <t>Spheal</t>
        </is>
      </c>
      <c r="C1606" s="3" t="n">
        <v>1</v>
      </c>
      <c r="D1606" s="3" t="inlineStr">
        <is>
          <t>Defense Curl</t>
        </is>
      </c>
      <c r="E1606" s="3" t="inlineStr">
        <is>
          <t>MOVE_DEFENSE_CURL</t>
        </is>
      </c>
    </row>
    <row r="1607">
      <c r="A1607" s="3" t="inlineStr">
        <is>
          <t>SPECIES_SPHEAL</t>
        </is>
      </c>
      <c r="B1607" s="3" t="inlineStr">
        <is>
          <t>Spheal</t>
        </is>
      </c>
      <c r="C1607" s="3" t="n">
        <v>4</v>
      </c>
      <c r="D1607" s="3" t="inlineStr">
        <is>
          <t>Growl</t>
        </is>
      </c>
      <c r="E1607" s="3" t="inlineStr">
        <is>
          <t>MOVE_GROWL</t>
        </is>
      </c>
    </row>
    <row r="1608">
      <c r="A1608" s="3" t="inlineStr">
        <is>
          <t>SPECIES_SPHEAL</t>
        </is>
      </c>
      <c r="B1608" s="3" t="inlineStr">
        <is>
          <t>Spheal</t>
        </is>
      </c>
      <c r="C1608" s="3" t="n">
        <v>8</v>
      </c>
      <c r="D1608" s="3" t="inlineStr">
        <is>
          <t>Water Gun</t>
        </is>
      </c>
      <c r="E1608" s="3" t="inlineStr">
        <is>
          <t>MOVE_WATER_GUN</t>
        </is>
      </c>
    </row>
    <row r="1609">
      <c r="A1609" s="3" t="inlineStr">
        <is>
          <t>SPECIES_SPHEAL</t>
        </is>
      </c>
      <c r="B1609" s="3" t="inlineStr">
        <is>
          <t>Spheal</t>
        </is>
      </c>
      <c r="C1609" s="3" t="n">
        <v>12</v>
      </c>
      <c r="D1609" s="3" t="inlineStr">
        <is>
          <t>Powder Snow</t>
        </is>
      </c>
      <c r="E1609" s="3" t="inlineStr">
        <is>
          <t>MOVE_POWDER_SNOW</t>
        </is>
      </c>
    </row>
    <row r="1610">
      <c r="A1610" s="3" t="inlineStr">
        <is>
          <t>SPECIES_SPHEAL</t>
        </is>
      </c>
      <c r="B1610" s="3" t="inlineStr">
        <is>
          <t>Spheal</t>
        </is>
      </c>
      <c r="C1610" s="3" t="n">
        <v>16</v>
      </c>
      <c r="D1610" s="3" t="inlineStr">
        <is>
          <t>Rest</t>
        </is>
      </c>
      <c r="E1610" s="3" t="inlineStr">
        <is>
          <t>MOVE_REST</t>
        </is>
      </c>
    </row>
    <row r="1611">
      <c r="A1611" s="3" t="inlineStr">
        <is>
          <t>SPECIES_SPHEAL</t>
        </is>
      </c>
      <c r="B1611" s="3" t="inlineStr">
        <is>
          <t>Spheal</t>
        </is>
      </c>
      <c r="C1611" s="3" t="n">
        <v>20</v>
      </c>
      <c r="D1611" s="3" t="inlineStr">
        <is>
          <t>Snore</t>
        </is>
      </c>
      <c r="E1611" s="3" t="inlineStr">
        <is>
          <t>MOVE_SNORE</t>
        </is>
      </c>
    </row>
    <row r="1612">
      <c r="A1612" s="3" t="inlineStr">
        <is>
          <t>SPECIES_SPHEAL</t>
        </is>
      </c>
      <c r="B1612" s="3" t="inlineStr">
        <is>
          <t>Spheal</t>
        </is>
      </c>
      <c r="C1612" s="3" t="n">
        <v>24</v>
      </c>
      <c r="D1612" s="3" t="inlineStr">
        <is>
          <t>Brine</t>
        </is>
      </c>
      <c r="E1612" s="3" t="inlineStr">
        <is>
          <t>MOVE_BRINE</t>
        </is>
      </c>
    </row>
    <row r="1613">
      <c r="A1613" s="3" t="inlineStr">
        <is>
          <t>SPECIES_SPHEAL</t>
        </is>
      </c>
      <c r="B1613" s="3" t="inlineStr">
        <is>
          <t>Spheal</t>
        </is>
      </c>
      <c r="C1613" s="3" t="n">
        <v>28</v>
      </c>
      <c r="D1613" s="3" t="inlineStr">
        <is>
          <t>Aurora Beam</t>
        </is>
      </c>
      <c r="E1613" s="3" t="inlineStr">
        <is>
          <t>MOVE_AURORA_BEAM</t>
        </is>
      </c>
    </row>
    <row r="1614">
      <c r="A1614" s="3" t="inlineStr">
        <is>
          <t>SPECIES_SPHEAL</t>
        </is>
      </c>
      <c r="B1614" s="3" t="inlineStr">
        <is>
          <t>Spheal</t>
        </is>
      </c>
      <c r="C1614" s="3" t="n">
        <v>33</v>
      </c>
      <c r="D1614" s="3" t="inlineStr">
        <is>
          <t>Encore</t>
        </is>
      </c>
      <c r="E1614" s="3" t="inlineStr">
        <is>
          <t>MOVE_ENCORE</t>
        </is>
      </c>
    </row>
    <row r="1615">
      <c r="A1615" s="3" t="inlineStr">
        <is>
          <t>SPECIES_SPHEAL</t>
        </is>
      </c>
      <c r="B1615" s="3" t="inlineStr">
        <is>
          <t>Spheal</t>
        </is>
      </c>
      <c r="C1615" s="3" t="n">
        <v>36</v>
      </c>
      <c r="D1615" s="3" t="inlineStr">
        <is>
          <t>Body Slam</t>
        </is>
      </c>
      <c r="E1615" s="3" t="inlineStr">
        <is>
          <t>MOVE_BODY_SLAM</t>
        </is>
      </c>
    </row>
    <row r="1616">
      <c r="A1616" s="3" t="inlineStr">
        <is>
          <t>SPECIES_SPHEAL</t>
        </is>
      </c>
      <c r="B1616" s="3" t="inlineStr">
        <is>
          <t>Spheal</t>
        </is>
      </c>
      <c r="C1616" s="3" t="n">
        <v>40</v>
      </c>
      <c r="D1616" s="3" t="inlineStr">
        <is>
          <t>Surf</t>
        </is>
      </c>
      <c r="E1616" s="3" t="inlineStr">
        <is>
          <t>MOVE_SURF</t>
        </is>
      </c>
    </row>
    <row r="1617">
      <c r="A1617" s="3" t="inlineStr">
        <is>
          <t>SPECIES_SPHEAL</t>
        </is>
      </c>
      <c r="B1617" s="3" t="inlineStr">
        <is>
          <t>Spheal</t>
        </is>
      </c>
      <c r="C1617" s="3" t="n">
        <v>44</v>
      </c>
      <c r="D1617" s="3" t="inlineStr">
        <is>
          <t>Blizzard</t>
        </is>
      </c>
      <c r="E1617" s="3" t="inlineStr">
        <is>
          <t>MOVE_BLIZZARD</t>
        </is>
      </c>
    </row>
    <row r="1618">
      <c r="A1618" s="3" t="inlineStr">
        <is>
          <t>SPECIES_SPHEAL</t>
        </is>
      </c>
      <c r="B1618" s="3" t="inlineStr">
        <is>
          <t>Spheal</t>
        </is>
      </c>
      <c r="C1618" s="3" t="n">
        <v>48</v>
      </c>
      <c r="D1618" s="3" t="inlineStr">
        <is>
          <t>Hail</t>
        </is>
      </c>
      <c r="E1618" s="3" t="inlineStr">
        <is>
          <t>MOVE_HAIL</t>
        </is>
      </c>
    </row>
    <row r="1619">
      <c r="A1619" s="3" t="inlineStr">
        <is>
          <t>SPECIES_SPHEAL</t>
        </is>
      </c>
      <c r="B1619" s="3" t="inlineStr">
        <is>
          <t>Spheal</t>
        </is>
      </c>
      <c r="C1619" s="3" t="n">
        <v>52</v>
      </c>
      <c r="D1619" s="3" t="inlineStr">
        <is>
          <t>Sheer Cold</t>
        </is>
      </c>
      <c r="E1619" s="3" t="inlineStr">
        <is>
          <t>MOVE_SHEER_COLD</t>
        </is>
      </c>
    </row>
    <row r="1620">
      <c r="A1620" s="3" t="inlineStr">
        <is>
          <t>SPECIES_SEALEO</t>
        </is>
      </c>
      <c r="B1620" s="3" t="inlineStr">
        <is>
          <t>Sealeo</t>
        </is>
      </c>
      <c r="C1620" s="3" t="n">
        <v>0</v>
      </c>
      <c r="D1620" s="3" t="inlineStr">
        <is>
          <t>Swagger</t>
        </is>
      </c>
      <c r="E1620" s="3" t="inlineStr">
        <is>
          <t>MOVE_SWAGGER</t>
        </is>
      </c>
    </row>
    <row r="1621">
      <c r="A1621" s="3" t="inlineStr">
        <is>
          <t>SPECIES_SEALEO</t>
        </is>
      </c>
      <c r="B1621" s="3" t="inlineStr">
        <is>
          <t>Sealeo</t>
        </is>
      </c>
      <c r="C1621" s="3" t="n">
        <v>1</v>
      </c>
      <c r="D1621" s="3" t="inlineStr">
        <is>
          <t>Swagger</t>
        </is>
      </c>
      <c r="E1621" s="3" t="inlineStr">
        <is>
          <t>MOVE_SWAGGER</t>
        </is>
      </c>
    </row>
    <row r="1622">
      <c r="A1622" s="3" t="inlineStr">
        <is>
          <t>SPECIES_SEALEO</t>
        </is>
      </c>
      <c r="B1622" s="3" t="inlineStr">
        <is>
          <t>Sealeo</t>
        </is>
      </c>
      <c r="C1622" s="3" t="n">
        <v>1</v>
      </c>
      <c r="D1622" s="3" t="inlineStr">
        <is>
          <t>Rollout</t>
        </is>
      </c>
      <c r="E1622" s="3" t="inlineStr">
        <is>
          <t>MOVE_ROLLOUT</t>
        </is>
      </c>
    </row>
    <row r="1623">
      <c r="A1623" s="3" t="inlineStr">
        <is>
          <t>SPECIES_SEALEO</t>
        </is>
      </c>
      <c r="B1623" s="3" t="inlineStr">
        <is>
          <t>Sealeo</t>
        </is>
      </c>
      <c r="C1623" s="3" t="n">
        <v>1</v>
      </c>
      <c r="D1623" s="3" t="inlineStr">
        <is>
          <t>Defense Curl</t>
        </is>
      </c>
      <c r="E1623" s="3" t="inlineStr">
        <is>
          <t>MOVE_DEFENSE_CURL</t>
        </is>
      </c>
    </row>
    <row r="1624">
      <c r="A1624" s="3" t="inlineStr">
        <is>
          <t>SPECIES_SEALEO</t>
        </is>
      </c>
      <c r="B1624" s="3" t="inlineStr">
        <is>
          <t>Sealeo</t>
        </is>
      </c>
      <c r="C1624" s="3" t="n">
        <v>1</v>
      </c>
      <c r="D1624" s="3" t="inlineStr">
        <is>
          <t>Growl</t>
        </is>
      </c>
      <c r="E1624" s="3" t="inlineStr">
        <is>
          <t>MOVE_GROWL</t>
        </is>
      </c>
    </row>
    <row r="1625">
      <c r="A1625" s="3" t="inlineStr">
        <is>
          <t>SPECIES_SEALEO</t>
        </is>
      </c>
      <c r="B1625" s="3" t="inlineStr">
        <is>
          <t>Sealeo</t>
        </is>
      </c>
      <c r="C1625" s="3" t="n">
        <v>1</v>
      </c>
      <c r="D1625" s="3" t="inlineStr">
        <is>
          <t>Water Gun</t>
        </is>
      </c>
      <c r="E1625" s="3" t="inlineStr">
        <is>
          <t>MOVE_WATER_GUN</t>
        </is>
      </c>
    </row>
    <row r="1626">
      <c r="A1626" s="3" t="inlineStr">
        <is>
          <t>SPECIES_SEALEO</t>
        </is>
      </c>
      <c r="B1626" s="3" t="inlineStr">
        <is>
          <t>Sealeo</t>
        </is>
      </c>
      <c r="C1626" s="3" t="n">
        <v>12</v>
      </c>
      <c r="D1626" s="3" t="inlineStr">
        <is>
          <t>Powder Snow</t>
        </is>
      </c>
      <c r="E1626" s="3" t="inlineStr">
        <is>
          <t>MOVE_POWDER_SNOW</t>
        </is>
      </c>
    </row>
    <row r="1627">
      <c r="A1627" s="3" t="inlineStr">
        <is>
          <t>SPECIES_SEALEO</t>
        </is>
      </c>
      <c r="B1627" s="3" t="inlineStr">
        <is>
          <t>Sealeo</t>
        </is>
      </c>
      <c r="C1627" s="3" t="n">
        <v>16</v>
      </c>
      <c r="D1627" s="3" t="inlineStr">
        <is>
          <t>Rest</t>
        </is>
      </c>
      <c r="E1627" s="3" t="inlineStr">
        <is>
          <t>MOVE_REST</t>
        </is>
      </c>
    </row>
    <row r="1628">
      <c r="A1628" s="3" t="inlineStr">
        <is>
          <t>SPECIES_SEALEO</t>
        </is>
      </c>
      <c r="B1628" s="3" t="inlineStr">
        <is>
          <t>Sealeo</t>
        </is>
      </c>
      <c r="C1628" s="3" t="n">
        <v>20</v>
      </c>
      <c r="D1628" s="3" t="inlineStr">
        <is>
          <t>Snore</t>
        </is>
      </c>
      <c r="E1628" s="3" t="inlineStr">
        <is>
          <t>MOVE_SNORE</t>
        </is>
      </c>
    </row>
    <row r="1629">
      <c r="A1629" s="3" t="inlineStr">
        <is>
          <t>SPECIES_SEALEO</t>
        </is>
      </c>
      <c r="B1629" s="3" t="inlineStr">
        <is>
          <t>Sealeo</t>
        </is>
      </c>
      <c r="C1629" s="3" t="n">
        <v>24</v>
      </c>
      <c r="D1629" s="3" t="inlineStr">
        <is>
          <t>Brine</t>
        </is>
      </c>
      <c r="E1629" s="3" t="inlineStr">
        <is>
          <t>MOVE_BRINE</t>
        </is>
      </c>
    </row>
    <row r="1630">
      <c r="A1630" s="3" t="inlineStr">
        <is>
          <t>SPECIES_SEALEO</t>
        </is>
      </c>
      <c r="B1630" s="3" t="inlineStr">
        <is>
          <t>Sealeo</t>
        </is>
      </c>
      <c r="C1630" s="3" t="n">
        <v>28</v>
      </c>
      <c r="D1630" s="3" t="inlineStr">
        <is>
          <t>Aurora Beam</t>
        </is>
      </c>
      <c r="E1630" s="3" t="inlineStr">
        <is>
          <t>MOVE_AURORA_BEAM</t>
        </is>
      </c>
    </row>
    <row r="1631">
      <c r="A1631" s="3" t="inlineStr">
        <is>
          <t>SPECIES_SEALEO</t>
        </is>
      </c>
      <c r="B1631" s="3" t="inlineStr">
        <is>
          <t>Sealeo</t>
        </is>
      </c>
      <c r="C1631" s="3" t="n">
        <v>35</v>
      </c>
      <c r="D1631" s="3" t="inlineStr">
        <is>
          <t>Encore</t>
        </is>
      </c>
      <c r="E1631" s="3" t="inlineStr">
        <is>
          <t>MOVE_ENCORE</t>
        </is>
      </c>
    </row>
    <row r="1632">
      <c r="A1632" s="3" t="inlineStr">
        <is>
          <t>SPECIES_SEALEO</t>
        </is>
      </c>
      <c r="B1632" s="3" t="inlineStr">
        <is>
          <t>Sealeo</t>
        </is>
      </c>
      <c r="C1632" s="3" t="n">
        <v>40</v>
      </c>
      <c r="D1632" s="3" t="inlineStr">
        <is>
          <t>Body Slam</t>
        </is>
      </c>
      <c r="E1632" s="3" t="inlineStr">
        <is>
          <t>MOVE_BODY_SLAM</t>
        </is>
      </c>
    </row>
    <row r="1633">
      <c r="A1633" s="3" t="inlineStr">
        <is>
          <t>SPECIES_SEALEO</t>
        </is>
      </c>
      <c r="B1633" s="3" t="inlineStr">
        <is>
          <t>Sealeo</t>
        </is>
      </c>
      <c r="C1633" s="3" t="n">
        <v>46</v>
      </c>
      <c r="D1633" s="3" t="inlineStr">
        <is>
          <t>Surf</t>
        </is>
      </c>
      <c r="E1633" s="3" t="inlineStr">
        <is>
          <t>MOVE_SURF</t>
        </is>
      </c>
    </row>
    <row r="1634">
      <c r="A1634" s="3" t="inlineStr">
        <is>
          <t>SPECIES_SEALEO</t>
        </is>
      </c>
      <c r="B1634" s="3" t="inlineStr">
        <is>
          <t>Sealeo</t>
        </is>
      </c>
      <c r="C1634" s="3" t="n">
        <v>52</v>
      </c>
      <c r="D1634" s="3" t="inlineStr">
        <is>
          <t>Blizzard</t>
        </is>
      </c>
      <c r="E1634" s="3" t="inlineStr">
        <is>
          <t>MOVE_BLIZZARD</t>
        </is>
      </c>
    </row>
    <row r="1635">
      <c r="A1635" s="3" t="inlineStr">
        <is>
          <t>SPECIES_SEALEO</t>
        </is>
      </c>
      <c r="B1635" s="3" t="inlineStr">
        <is>
          <t>Sealeo</t>
        </is>
      </c>
      <c r="C1635" s="3" t="n">
        <v>58</v>
      </c>
      <c r="D1635" s="3" t="inlineStr">
        <is>
          <t>Hail</t>
        </is>
      </c>
      <c r="E1635" s="3" t="inlineStr">
        <is>
          <t>MOVE_HAIL</t>
        </is>
      </c>
    </row>
    <row r="1636">
      <c r="A1636" s="3" t="inlineStr">
        <is>
          <t>SPECIES_SEALEO</t>
        </is>
      </c>
      <c r="B1636" s="3" t="inlineStr">
        <is>
          <t>Sealeo</t>
        </is>
      </c>
      <c r="C1636" s="3" t="n">
        <v>64</v>
      </c>
      <c r="D1636" s="3" t="inlineStr">
        <is>
          <t>Sheer Cold</t>
        </is>
      </c>
      <c r="E1636" s="3" t="inlineStr">
        <is>
          <t>MOVE_SHEER_COLD</t>
        </is>
      </c>
    </row>
    <row r="1637">
      <c r="A1637" s="3" t="inlineStr">
        <is>
          <t>SPECIES_WALREIN</t>
        </is>
      </c>
      <c r="B1637" s="3" t="inlineStr">
        <is>
          <t>Walrein</t>
        </is>
      </c>
      <c r="C1637" s="3" t="n">
        <v>1</v>
      </c>
      <c r="D1637" s="3" t="inlineStr">
        <is>
          <t>Swagger</t>
        </is>
      </c>
      <c r="E1637" s="3" t="inlineStr">
        <is>
          <t>MOVE_SWAGGER</t>
        </is>
      </c>
    </row>
    <row r="1638">
      <c r="A1638" s="3" t="inlineStr">
        <is>
          <t>SPECIES_WALREIN</t>
        </is>
      </c>
      <c r="B1638" s="3" t="inlineStr">
        <is>
          <t>Walrein</t>
        </is>
      </c>
      <c r="C1638" s="3" t="n">
        <v>1</v>
      </c>
      <c r="D1638" s="3" t="inlineStr">
        <is>
          <t>Crunch</t>
        </is>
      </c>
      <c r="E1638" s="3" t="inlineStr">
        <is>
          <t>MOVE_CRUNCH</t>
        </is>
      </c>
    </row>
    <row r="1639">
      <c r="A1639" s="3" t="inlineStr">
        <is>
          <t>SPECIES_WALREIN</t>
        </is>
      </c>
      <c r="B1639" s="3" t="inlineStr">
        <is>
          <t>Walrein</t>
        </is>
      </c>
      <c r="C1639" s="3" t="n">
        <v>1</v>
      </c>
      <c r="D1639" s="3" t="inlineStr">
        <is>
          <t>Ice Fang</t>
        </is>
      </c>
      <c r="E1639" s="3" t="inlineStr">
        <is>
          <t>MOVE_ICE_FANG</t>
        </is>
      </c>
    </row>
    <row r="1640">
      <c r="A1640" s="3" t="inlineStr">
        <is>
          <t>SPECIES_WALREIN</t>
        </is>
      </c>
      <c r="B1640" s="3" t="inlineStr">
        <is>
          <t>Walrein</t>
        </is>
      </c>
      <c r="C1640" s="3" t="n">
        <v>1</v>
      </c>
      <c r="D1640" s="3" t="inlineStr">
        <is>
          <t>Rollout</t>
        </is>
      </c>
      <c r="E1640" s="3" t="inlineStr">
        <is>
          <t>MOVE_ROLLOUT</t>
        </is>
      </c>
    </row>
    <row r="1641">
      <c r="A1641" s="3" t="inlineStr">
        <is>
          <t>SPECIES_WALREIN</t>
        </is>
      </c>
      <c r="B1641" s="3" t="inlineStr">
        <is>
          <t>Walrein</t>
        </is>
      </c>
      <c r="C1641" s="3" t="n">
        <v>1</v>
      </c>
      <c r="D1641" s="3" t="inlineStr">
        <is>
          <t>Defense Curl</t>
        </is>
      </c>
      <c r="E1641" s="3" t="inlineStr">
        <is>
          <t>MOVE_DEFENSE_CURL</t>
        </is>
      </c>
    </row>
    <row r="1642">
      <c r="A1642" s="3" t="inlineStr">
        <is>
          <t>SPECIES_WALREIN</t>
        </is>
      </c>
      <c r="B1642" s="3" t="inlineStr">
        <is>
          <t>Walrein</t>
        </is>
      </c>
      <c r="C1642" s="3" t="n">
        <v>1</v>
      </c>
      <c r="D1642" s="3" t="inlineStr">
        <is>
          <t>Growl</t>
        </is>
      </c>
      <c r="E1642" s="3" t="inlineStr">
        <is>
          <t>MOVE_GROWL</t>
        </is>
      </c>
    </row>
    <row r="1643">
      <c r="A1643" s="3" t="inlineStr">
        <is>
          <t>SPECIES_WALREIN</t>
        </is>
      </c>
      <c r="B1643" s="3" t="inlineStr">
        <is>
          <t>Walrein</t>
        </is>
      </c>
      <c r="C1643" s="3" t="n">
        <v>1</v>
      </c>
      <c r="D1643" s="3" t="inlineStr">
        <is>
          <t>Water Gun</t>
        </is>
      </c>
      <c r="E1643" s="3" t="inlineStr">
        <is>
          <t>MOVE_WATER_GUN</t>
        </is>
      </c>
    </row>
    <row r="1644">
      <c r="A1644" s="3" t="inlineStr">
        <is>
          <t>SPECIES_WALREIN</t>
        </is>
      </c>
      <c r="B1644" s="3" t="inlineStr">
        <is>
          <t>Walrein</t>
        </is>
      </c>
      <c r="C1644" s="3" t="n">
        <v>12</v>
      </c>
      <c r="D1644" s="3" t="inlineStr">
        <is>
          <t>Powder Snow</t>
        </is>
      </c>
      <c r="E1644" s="3" t="inlineStr">
        <is>
          <t>MOVE_POWDER_SNOW</t>
        </is>
      </c>
    </row>
    <row r="1645">
      <c r="A1645" s="3" t="inlineStr">
        <is>
          <t>SPECIES_WALREIN</t>
        </is>
      </c>
      <c r="B1645" s="3" t="inlineStr">
        <is>
          <t>Walrein</t>
        </is>
      </c>
      <c r="C1645" s="3" t="n">
        <v>16</v>
      </c>
      <c r="D1645" s="3" t="inlineStr">
        <is>
          <t>Rest</t>
        </is>
      </c>
      <c r="E1645" s="3" t="inlineStr">
        <is>
          <t>MOVE_REST</t>
        </is>
      </c>
    </row>
    <row r="1646">
      <c r="A1646" s="3" t="inlineStr">
        <is>
          <t>SPECIES_WALREIN</t>
        </is>
      </c>
      <c r="B1646" s="3" t="inlineStr">
        <is>
          <t>Walrein</t>
        </is>
      </c>
      <c r="C1646" s="3" t="n">
        <v>20</v>
      </c>
      <c r="D1646" s="3" t="inlineStr">
        <is>
          <t>Snore</t>
        </is>
      </c>
      <c r="E1646" s="3" t="inlineStr">
        <is>
          <t>MOVE_SNORE</t>
        </is>
      </c>
    </row>
    <row r="1647">
      <c r="A1647" s="3" t="inlineStr">
        <is>
          <t>SPECIES_WALREIN</t>
        </is>
      </c>
      <c r="B1647" s="3" t="inlineStr">
        <is>
          <t>Walrein</t>
        </is>
      </c>
      <c r="C1647" s="3" t="n">
        <v>24</v>
      </c>
      <c r="D1647" s="3" t="inlineStr">
        <is>
          <t>Brine</t>
        </is>
      </c>
      <c r="E1647" s="3" t="inlineStr">
        <is>
          <t>MOVE_BRINE</t>
        </is>
      </c>
    </row>
    <row r="1648">
      <c r="A1648" s="3" t="inlineStr">
        <is>
          <t>SPECIES_WALREIN</t>
        </is>
      </c>
      <c r="B1648" s="3" t="inlineStr">
        <is>
          <t>Walrein</t>
        </is>
      </c>
      <c r="C1648" s="3" t="n">
        <v>28</v>
      </c>
      <c r="D1648" s="3" t="inlineStr">
        <is>
          <t>Aurora Beam</t>
        </is>
      </c>
      <c r="E1648" s="3" t="inlineStr">
        <is>
          <t>MOVE_AURORA_BEAM</t>
        </is>
      </c>
    </row>
    <row r="1649">
      <c r="A1649" s="3" t="inlineStr">
        <is>
          <t>SPECIES_WALREIN</t>
        </is>
      </c>
      <c r="B1649" s="3" t="inlineStr">
        <is>
          <t>Walrein</t>
        </is>
      </c>
      <c r="C1649" s="3" t="n">
        <v>35</v>
      </c>
      <c r="D1649" s="3" t="inlineStr">
        <is>
          <t>Encore</t>
        </is>
      </c>
      <c r="E1649" s="3" t="inlineStr">
        <is>
          <t>MOVE_ENCORE</t>
        </is>
      </c>
    </row>
    <row r="1650">
      <c r="A1650" s="3" t="inlineStr">
        <is>
          <t>SPECIES_WALREIN</t>
        </is>
      </c>
      <c r="B1650" s="3" t="inlineStr">
        <is>
          <t>Walrein</t>
        </is>
      </c>
      <c r="C1650" s="3" t="n">
        <v>40</v>
      </c>
      <c r="D1650" s="3" t="inlineStr">
        <is>
          <t>Body Slam</t>
        </is>
      </c>
      <c r="E1650" s="3" t="inlineStr">
        <is>
          <t>MOVE_BODY_SLAM</t>
        </is>
      </c>
    </row>
    <row r="1651">
      <c r="A1651" s="3" t="inlineStr">
        <is>
          <t>SPECIES_WALREIN</t>
        </is>
      </c>
      <c r="B1651" s="3" t="inlineStr">
        <is>
          <t>Walrein</t>
        </is>
      </c>
      <c r="C1651" s="3" t="n">
        <v>48</v>
      </c>
      <c r="D1651" s="3" t="inlineStr">
        <is>
          <t>Surf</t>
        </is>
      </c>
      <c r="E1651" s="3" t="inlineStr">
        <is>
          <t>MOVE_SURF</t>
        </is>
      </c>
    </row>
    <row r="1652">
      <c r="A1652" s="3" t="inlineStr">
        <is>
          <t>SPECIES_WALREIN</t>
        </is>
      </c>
      <c r="B1652" s="3" t="inlineStr">
        <is>
          <t>Walrein</t>
        </is>
      </c>
      <c r="C1652" s="3" t="n">
        <v>56</v>
      </c>
      <c r="D1652" s="3" t="inlineStr">
        <is>
          <t>Blizzard</t>
        </is>
      </c>
      <c r="E1652" s="3" t="inlineStr">
        <is>
          <t>MOVE_BLIZZARD</t>
        </is>
      </c>
    </row>
    <row r="1653">
      <c r="A1653" s="3" t="inlineStr">
        <is>
          <t>SPECIES_WALREIN</t>
        </is>
      </c>
      <c r="B1653" s="3" t="inlineStr">
        <is>
          <t>Walrein</t>
        </is>
      </c>
      <c r="C1653" s="3" t="n">
        <v>64</v>
      </c>
      <c r="D1653" s="3" t="inlineStr">
        <is>
          <t>Hail</t>
        </is>
      </c>
      <c r="E1653" s="3" t="inlineStr">
        <is>
          <t>MOVE_HAIL</t>
        </is>
      </c>
    </row>
    <row r="1654">
      <c r="A1654" s="3" t="inlineStr">
        <is>
          <t>SPECIES_WALREIN</t>
        </is>
      </c>
      <c r="B1654" s="3" t="inlineStr">
        <is>
          <t>Walrein</t>
        </is>
      </c>
      <c r="C1654" s="3" t="n">
        <v>72</v>
      </c>
      <c r="D1654" s="3" t="inlineStr">
        <is>
          <t>Sheer Cold</t>
        </is>
      </c>
      <c r="E1654" s="3" t="inlineStr">
        <is>
          <t>MOVE_SHEER_COLD</t>
        </is>
      </c>
    </row>
    <row r="1655">
      <c r="A1655" s="3" t="inlineStr">
        <is>
          <t>SPECIES_STARLY</t>
        </is>
      </c>
      <c r="B1655" s="3" t="inlineStr">
        <is>
          <t>Starly</t>
        </is>
      </c>
      <c r="C1655" s="3" t="n">
        <v>1</v>
      </c>
      <c r="D1655" s="3" t="inlineStr">
        <is>
          <t>Tackle</t>
        </is>
      </c>
      <c r="E1655" s="3" t="inlineStr">
        <is>
          <t>MOVE_TACKLE</t>
        </is>
      </c>
    </row>
    <row r="1656">
      <c r="A1656" s="3" t="inlineStr">
        <is>
          <t>SPECIES_STARLY</t>
        </is>
      </c>
      <c r="B1656" s="3" t="inlineStr">
        <is>
          <t>Starly</t>
        </is>
      </c>
      <c r="C1656" s="3" t="n">
        <v>1</v>
      </c>
      <c r="D1656" s="3" t="inlineStr">
        <is>
          <t>Growl</t>
        </is>
      </c>
      <c r="E1656" s="3" t="inlineStr">
        <is>
          <t>MOVE_GROWL</t>
        </is>
      </c>
    </row>
    <row r="1657">
      <c r="A1657" s="3" t="inlineStr">
        <is>
          <t>SPECIES_STARLY</t>
        </is>
      </c>
      <c r="B1657" s="3" t="inlineStr">
        <is>
          <t>Starly</t>
        </is>
      </c>
      <c r="C1657" s="3" t="n">
        <v>5</v>
      </c>
      <c r="D1657" s="3" t="inlineStr">
        <is>
          <t>Quick Attack</t>
        </is>
      </c>
      <c r="E1657" s="3" t="inlineStr">
        <is>
          <t>MOVE_QUICK_ATTACK</t>
        </is>
      </c>
    </row>
    <row r="1658">
      <c r="A1658" s="3" t="inlineStr">
        <is>
          <t>SPECIES_STARLY</t>
        </is>
      </c>
      <c r="B1658" s="3" t="inlineStr">
        <is>
          <t>Starly</t>
        </is>
      </c>
      <c r="C1658" s="3" t="n">
        <v>9</v>
      </c>
      <c r="D1658" s="3" t="inlineStr">
        <is>
          <t>Wing Attack</t>
        </is>
      </c>
      <c r="E1658" s="3" t="inlineStr">
        <is>
          <t>MOVE_WING_ATTACK</t>
        </is>
      </c>
    </row>
    <row r="1659">
      <c r="A1659" s="3" t="inlineStr">
        <is>
          <t>SPECIES_STARLY</t>
        </is>
      </c>
      <c r="B1659" s="3" t="inlineStr">
        <is>
          <t>Starly</t>
        </is>
      </c>
      <c r="C1659" s="3" t="n">
        <v>13</v>
      </c>
      <c r="D1659" s="3" t="inlineStr">
        <is>
          <t>Double Team</t>
        </is>
      </c>
      <c r="E1659" s="3" t="inlineStr">
        <is>
          <t>MOVE_DOUBLE_TEAM</t>
        </is>
      </c>
    </row>
    <row r="1660">
      <c r="A1660" s="3" t="inlineStr">
        <is>
          <t>SPECIES_STARLY</t>
        </is>
      </c>
      <c r="B1660" s="3" t="inlineStr">
        <is>
          <t>Starly</t>
        </is>
      </c>
      <c r="C1660" s="3" t="n">
        <v>17</v>
      </c>
      <c r="D1660" s="3" t="inlineStr">
        <is>
          <t>Endeavor</t>
        </is>
      </c>
      <c r="E1660" s="3" t="inlineStr">
        <is>
          <t>MOVE_ENDEAVOR</t>
        </is>
      </c>
    </row>
    <row r="1661">
      <c r="A1661" s="3" t="inlineStr">
        <is>
          <t>SPECIES_STARLY</t>
        </is>
      </c>
      <c r="B1661" s="3" t="inlineStr">
        <is>
          <t>Starly</t>
        </is>
      </c>
      <c r="C1661" s="3" t="n">
        <v>21</v>
      </c>
      <c r="D1661" s="3" t="inlineStr">
        <is>
          <t>Whirlwind</t>
        </is>
      </c>
      <c r="E1661" s="3" t="inlineStr">
        <is>
          <t>MOVE_WHIRLWIND</t>
        </is>
      </c>
    </row>
    <row r="1662">
      <c r="A1662" s="3" t="inlineStr">
        <is>
          <t>SPECIES_STARLY</t>
        </is>
      </c>
      <c r="B1662" s="3" t="inlineStr">
        <is>
          <t>Starly</t>
        </is>
      </c>
      <c r="C1662" s="3" t="n">
        <v>25</v>
      </c>
      <c r="D1662" s="3" t="inlineStr">
        <is>
          <t>Aerial Ace</t>
        </is>
      </c>
      <c r="E1662" s="3" t="inlineStr">
        <is>
          <t>MOVE_AERIAL_ACE</t>
        </is>
      </c>
    </row>
    <row r="1663">
      <c r="A1663" s="3" t="inlineStr">
        <is>
          <t>SPECIES_STARLY</t>
        </is>
      </c>
      <c r="B1663" s="3" t="inlineStr">
        <is>
          <t>Starly</t>
        </is>
      </c>
      <c r="C1663" s="3" t="n">
        <v>29</v>
      </c>
      <c r="D1663" s="3" t="inlineStr">
        <is>
          <t>Take Down</t>
        </is>
      </c>
      <c r="E1663" s="3" t="inlineStr">
        <is>
          <t>MOVE_TAKE_DOWN</t>
        </is>
      </c>
    </row>
    <row r="1664">
      <c r="A1664" s="3" t="inlineStr">
        <is>
          <t>SPECIES_STARLY</t>
        </is>
      </c>
      <c r="B1664" s="3" t="inlineStr">
        <is>
          <t>Starly</t>
        </is>
      </c>
      <c r="C1664" s="3" t="n">
        <v>33</v>
      </c>
      <c r="D1664" s="3" t="inlineStr">
        <is>
          <t>Agility</t>
        </is>
      </c>
      <c r="E1664" s="3" t="inlineStr">
        <is>
          <t>MOVE_AGILITY</t>
        </is>
      </c>
    </row>
    <row r="1665">
      <c r="A1665" s="3" t="inlineStr">
        <is>
          <t>SPECIES_STARLY</t>
        </is>
      </c>
      <c r="B1665" s="3" t="inlineStr">
        <is>
          <t>Starly</t>
        </is>
      </c>
      <c r="C1665" s="3" t="n">
        <v>37</v>
      </c>
      <c r="D1665" s="3" t="inlineStr">
        <is>
          <t>Brave Bird</t>
        </is>
      </c>
      <c r="E1665" s="3" t="inlineStr">
        <is>
          <t>MOVE_BRAVE_BIRD</t>
        </is>
      </c>
    </row>
    <row r="1666">
      <c r="A1666" s="3" t="inlineStr">
        <is>
          <t>SPECIES_STARLY</t>
        </is>
      </c>
      <c r="B1666" s="3" t="inlineStr">
        <is>
          <t>Starly</t>
        </is>
      </c>
      <c r="C1666" s="3" t="n">
        <v>41</v>
      </c>
      <c r="D1666" s="3" t="inlineStr">
        <is>
          <t>Final Gambit</t>
        </is>
      </c>
      <c r="E1666" s="3" t="inlineStr">
        <is>
          <t>MOVE_FINAL_GAMBIT</t>
        </is>
      </c>
    </row>
    <row r="1667">
      <c r="A1667" s="3" t="inlineStr">
        <is>
          <t>SPECIES_STARAVIA</t>
        </is>
      </c>
      <c r="B1667" s="3" t="inlineStr">
        <is>
          <t>Staravia</t>
        </is>
      </c>
      <c r="C1667" s="3" t="n">
        <v>1</v>
      </c>
      <c r="D1667" s="3" t="inlineStr">
        <is>
          <t>Tackle</t>
        </is>
      </c>
      <c r="E1667" s="3" t="inlineStr">
        <is>
          <t>MOVE_TACKLE</t>
        </is>
      </c>
    </row>
    <row r="1668">
      <c r="A1668" s="3" t="inlineStr">
        <is>
          <t>SPECIES_STARAVIA</t>
        </is>
      </c>
      <c r="B1668" s="3" t="inlineStr">
        <is>
          <t>Staravia</t>
        </is>
      </c>
      <c r="C1668" s="3" t="n">
        <v>1</v>
      </c>
      <c r="D1668" s="3" t="inlineStr">
        <is>
          <t>Growl</t>
        </is>
      </c>
      <c r="E1668" s="3" t="inlineStr">
        <is>
          <t>MOVE_GROWL</t>
        </is>
      </c>
    </row>
    <row r="1669">
      <c r="A1669" s="3" t="inlineStr">
        <is>
          <t>SPECIES_STARAVIA</t>
        </is>
      </c>
      <c r="B1669" s="3" t="inlineStr">
        <is>
          <t>Staravia</t>
        </is>
      </c>
      <c r="C1669" s="3" t="n">
        <v>1</v>
      </c>
      <c r="D1669" s="3" t="inlineStr">
        <is>
          <t>Quick Attack</t>
        </is>
      </c>
      <c r="E1669" s="3" t="inlineStr">
        <is>
          <t>MOVE_QUICK_ATTACK</t>
        </is>
      </c>
    </row>
    <row r="1670">
      <c r="A1670" s="3" t="inlineStr">
        <is>
          <t>SPECIES_STARAVIA</t>
        </is>
      </c>
      <c r="B1670" s="3" t="inlineStr">
        <is>
          <t>Staravia</t>
        </is>
      </c>
      <c r="C1670" s="3" t="n">
        <v>9</v>
      </c>
      <c r="D1670" s="3" t="inlineStr">
        <is>
          <t>Wing Attack</t>
        </is>
      </c>
      <c r="E1670" s="3" t="inlineStr">
        <is>
          <t>MOVE_WING_ATTACK</t>
        </is>
      </c>
    </row>
    <row r="1671">
      <c r="A1671" s="3" t="inlineStr">
        <is>
          <t>SPECIES_STARAVIA</t>
        </is>
      </c>
      <c r="B1671" s="3" t="inlineStr">
        <is>
          <t>Staravia</t>
        </is>
      </c>
      <c r="C1671" s="3" t="n">
        <v>13</v>
      </c>
      <c r="D1671" s="3" t="inlineStr">
        <is>
          <t>Double Team</t>
        </is>
      </c>
      <c r="E1671" s="3" t="inlineStr">
        <is>
          <t>MOVE_DOUBLE_TEAM</t>
        </is>
      </c>
    </row>
    <row r="1672">
      <c r="A1672" s="3" t="inlineStr">
        <is>
          <t>SPECIES_STARAVIA</t>
        </is>
      </c>
      <c r="B1672" s="3" t="inlineStr">
        <is>
          <t>Staravia</t>
        </is>
      </c>
      <c r="C1672" s="3" t="n">
        <v>18</v>
      </c>
      <c r="D1672" s="3" t="inlineStr">
        <is>
          <t>Endeavor</t>
        </is>
      </c>
      <c r="E1672" s="3" t="inlineStr">
        <is>
          <t>MOVE_ENDEAVOR</t>
        </is>
      </c>
    </row>
    <row r="1673">
      <c r="A1673" s="3" t="inlineStr">
        <is>
          <t>SPECIES_STARAVIA</t>
        </is>
      </c>
      <c r="B1673" s="3" t="inlineStr">
        <is>
          <t>Staravia</t>
        </is>
      </c>
      <c r="C1673" s="3" t="n">
        <v>23</v>
      </c>
      <c r="D1673" s="3" t="inlineStr">
        <is>
          <t>Whirlwind</t>
        </is>
      </c>
      <c r="E1673" s="3" t="inlineStr">
        <is>
          <t>MOVE_WHIRLWIND</t>
        </is>
      </c>
    </row>
    <row r="1674">
      <c r="A1674" s="3" t="inlineStr">
        <is>
          <t>SPECIES_STARAVIA</t>
        </is>
      </c>
      <c r="B1674" s="3" t="inlineStr">
        <is>
          <t>Staravia</t>
        </is>
      </c>
      <c r="C1674" s="3" t="n">
        <v>28</v>
      </c>
      <c r="D1674" s="3" t="inlineStr">
        <is>
          <t>Aerial Ace</t>
        </is>
      </c>
      <c r="E1674" s="3" t="inlineStr">
        <is>
          <t>MOVE_AERIAL_ACE</t>
        </is>
      </c>
    </row>
    <row r="1675">
      <c r="A1675" s="3" t="inlineStr">
        <is>
          <t>SPECIES_STARAVIA</t>
        </is>
      </c>
      <c r="B1675" s="3" t="inlineStr">
        <is>
          <t>Staravia</t>
        </is>
      </c>
      <c r="C1675" s="3" t="n">
        <v>33</v>
      </c>
      <c r="D1675" s="3" t="inlineStr">
        <is>
          <t>Take Down</t>
        </is>
      </c>
      <c r="E1675" s="3" t="inlineStr">
        <is>
          <t>MOVE_TAKE_DOWN</t>
        </is>
      </c>
    </row>
    <row r="1676">
      <c r="A1676" s="3" t="inlineStr">
        <is>
          <t>SPECIES_STARAVIA</t>
        </is>
      </c>
      <c r="B1676" s="3" t="inlineStr">
        <is>
          <t>Staravia</t>
        </is>
      </c>
      <c r="C1676" s="3" t="n">
        <v>38</v>
      </c>
      <c r="D1676" s="3" t="inlineStr">
        <is>
          <t>Agility</t>
        </is>
      </c>
      <c r="E1676" s="3" t="inlineStr">
        <is>
          <t>MOVE_AGILITY</t>
        </is>
      </c>
    </row>
    <row r="1677">
      <c r="A1677" s="3" t="inlineStr">
        <is>
          <t>SPECIES_STARAVIA</t>
        </is>
      </c>
      <c r="B1677" s="3" t="inlineStr">
        <is>
          <t>Staravia</t>
        </is>
      </c>
      <c r="C1677" s="3" t="n">
        <v>43</v>
      </c>
      <c r="D1677" s="3" t="inlineStr">
        <is>
          <t>Brave Bird</t>
        </is>
      </c>
      <c r="E1677" s="3" t="inlineStr">
        <is>
          <t>MOVE_BRAVE_BIRD</t>
        </is>
      </c>
    </row>
    <row r="1678">
      <c r="A1678" s="3" t="inlineStr">
        <is>
          <t>SPECIES_STARAVIA</t>
        </is>
      </c>
      <c r="B1678" s="3" t="inlineStr">
        <is>
          <t>Staravia</t>
        </is>
      </c>
      <c r="C1678" s="3" t="n">
        <v>48</v>
      </c>
      <c r="D1678" s="3" t="inlineStr">
        <is>
          <t>Final Gambit</t>
        </is>
      </c>
      <c r="E1678" s="3" t="inlineStr">
        <is>
          <t>MOVE_FINAL_GAMBIT</t>
        </is>
      </c>
    </row>
    <row r="1679">
      <c r="A1679" s="3" t="inlineStr">
        <is>
          <t>SPECIES_STARAPTOR</t>
        </is>
      </c>
      <c r="B1679" s="3" t="inlineStr">
        <is>
          <t>Staraptor</t>
        </is>
      </c>
      <c r="C1679" s="3" t="n">
        <v>0</v>
      </c>
      <c r="D1679" s="3" t="inlineStr">
        <is>
          <t>Close Combat</t>
        </is>
      </c>
      <c r="E1679" s="3" t="inlineStr">
        <is>
          <t>MOVE_CLOSE_COMBAT</t>
        </is>
      </c>
    </row>
    <row r="1680">
      <c r="A1680" s="3" t="inlineStr">
        <is>
          <t>SPECIES_STARAPTOR</t>
        </is>
      </c>
      <c r="B1680" s="3" t="inlineStr">
        <is>
          <t>Staraptor</t>
        </is>
      </c>
      <c r="C1680" s="3" t="n">
        <v>1</v>
      </c>
      <c r="D1680" s="3" t="inlineStr">
        <is>
          <t>Wing Attack</t>
        </is>
      </c>
      <c r="E1680" s="3" t="inlineStr">
        <is>
          <t>MOVE_WING_ATTACK</t>
        </is>
      </c>
    </row>
    <row r="1681">
      <c r="A1681" s="3" t="inlineStr">
        <is>
          <t>SPECIES_STARAPTOR</t>
        </is>
      </c>
      <c r="B1681" s="3" t="inlineStr">
        <is>
          <t>Staraptor</t>
        </is>
      </c>
      <c r="C1681" s="3" t="n">
        <v>1</v>
      </c>
      <c r="D1681" s="3" t="inlineStr">
        <is>
          <t>Tackle</t>
        </is>
      </c>
      <c r="E1681" s="3" t="inlineStr">
        <is>
          <t>MOVE_TACKLE</t>
        </is>
      </c>
    </row>
    <row r="1682">
      <c r="A1682" s="3" t="inlineStr">
        <is>
          <t>SPECIES_STARAPTOR</t>
        </is>
      </c>
      <c r="B1682" s="3" t="inlineStr">
        <is>
          <t>Staraptor</t>
        </is>
      </c>
      <c r="C1682" s="3" t="n">
        <v>1</v>
      </c>
      <c r="D1682" s="3" t="inlineStr">
        <is>
          <t>Growl</t>
        </is>
      </c>
      <c r="E1682" s="3" t="inlineStr">
        <is>
          <t>MOVE_GROWL</t>
        </is>
      </c>
    </row>
    <row r="1683">
      <c r="A1683" s="3" t="inlineStr">
        <is>
          <t>SPECIES_STARAPTOR</t>
        </is>
      </c>
      <c r="B1683" s="3" t="inlineStr">
        <is>
          <t>Staraptor</t>
        </is>
      </c>
      <c r="C1683" s="3" t="n">
        <v>1</v>
      </c>
      <c r="D1683" s="3" t="inlineStr">
        <is>
          <t>Quick Attack</t>
        </is>
      </c>
      <c r="E1683" s="3" t="inlineStr">
        <is>
          <t>MOVE_QUICK_ATTACK</t>
        </is>
      </c>
    </row>
    <row r="1684">
      <c r="A1684" s="3" t="inlineStr">
        <is>
          <t>SPECIES_STARAPTOR</t>
        </is>
      </c>
      <c r="B1684" s="3" t="inlineStr">
        <is>
          <t>Staraptor</t>
        </is>
      </c>
      <c r="C1684" s="3" t="n">
        <v>13</v>
      </c>
      <c r="D1684" s="3" t="inlineStr">
        <is>
          <t>Double Team</t>
        </is>
      </c>
      <c r="E1684" s="3" t="inlineStr">
        <is>
          <t>MOVE_DOUBLE_TEAM</t>
        </is>
      </c>
    </row>
    <row r="1685">
      <c r="A1685" s="3" t="inlineStr">
        <is>
          <t>SPECIES_STARAPTOR</t>
        </is>
      </c>
      <c r="B1685" s="3" t="inlineStr">
        <is>
          <t>Staraptor</t>
        </is>
      </c>
      <c r="C1685" s="3" t="n">
        <v>18</v>
      </c>
      <c r="D1685" s="3" t="inlineStr">
        <is>
          <t>Endeavor</t>
        </is>
      </c>
      <c r="E1685" s="3" t="inlineStr">
        <is>
          <t>MOVE_ENDEAVOR</t>
        </is>
      </c>
    </row>
    <row r="1686">
      <c r="A1686" s="3" t="inlineStr">
        <is>
          <t>SPECIES_STARAPTOR</t>
        </is>
      </c>
      <c r="B1686" s="3" t="inlineStr">
        <is>
          <t>Staraptor</t>
        </is>
      </c>
      <c r="C1686" s="3" t="n">
        <v>23</v>
      </c>
      <c r="D1686" s="3" t="inlineStr">
        <is>
          <t>Whirlwind</t>
        </is>
      </c>
      <c r="E1686" s="3" t="inlineStr">
        <is>
          <t>MOVE_WHIRLWIND</t>
        </is>
      </c>
    </row>
    <row r="1687">
      <c r="A1687" s="3" t="inlineStr">
        <is>
          <t>SPECIES_STARAPTOR</t>
        </is>
      </c>
      <c r="B1687" s="3" t="inlineStr">
        <is>
          <t>Staraptor</t>
        </is>
      </c>
      <c r="C1687" s="3" t="n">
        <v>28</v>
      </c>
      <c r="D1687" s="3" t="inlineStr">
        <is>
          <t>Aerial Ace</t>
        </is>
      </c>
      <c r="E1687" s="3" t="inlineStr">
        <is>
          <t>MOVE_AERIAL_ACE</t>
        </is>
      </c>
    </row>
    <row r="1688">
      <c r="A1688" s="3" t="inlineStr">
        <is>
          <t>SPECIES_STARAPTOR</t>
        </is>
      </c>
      <c r="B1688" s="3" t="inlineStr">
        <is>
          <t>Staraptor</t>
        </is>
      </c>
      <c r="C1688" s="3" t="n">
        <v>33</v>
      </c>
      <c r="D1688" s="3" t="inlineStr">
        <is>
          <t>Take Down</t>
        </is>
      </c>
      <c r="E1688" s="3" t="inlineStr">
        <is>
          <t>MOVE_TAKE_DOWN</t>
        </is>
      </c>
    </row>
    <row r="1689">
      <c r="A1689" s="3" t="inlineStr">
        <is>
          <t>SPECIES_STARAPTOR</t>
        </is>
      </c>
      <c r="B1689" s="3" t="inlineStr">
        <is>
          <t>Staraptor</t>
        </is>
      </c>
      <c r="C1689" s="3" t="n">
        <v>41</v>
      </c>
      <c r="D1689" s="3" t="inlineStr">
        <is>
          <t>Agility</t>
        </is>
      </c>
      <c r="E1689" s="3" t="inlineStr">
        <is>
          <t>MOVE_AGILITY</t>
        </is>
      </c>
    </row>
    <row r="1690">
      <c r="A1690" s="3" t="inlineStr">
        <is>
          <t>SPECIES_STARAPTOR</t>
        </is>
      </c>
      <c r="B1690" s="3" t="inlineStr">
        <is>
          <t>Staraptor</t>
        </is>
      </c>
      <c r="C1690" s="3" t="n">
        <v>49</v>
      </c>
      <c r="D1690" s="3" t="inlineStr">
        <is>
          <t>Brave Bird</t>
        </is>
      </c>
      <c r="E1690" s="3" t="inlineStr">
        <is>
          <t>MOVE_BRAVE_BIRD</t>
        </is>
      </c>
    </row>
    <row r="1691">
      <c r="A1691" s="3" t="inlineStr">
        <is>
          <t>SPECIES_STARAPTOR</t>
        </is>
      </c>
      <c r="B1691" s="3" t="inlineStr">
        <is>
          <t>Staraptor</t>
        </is>
      </c>
      <c r="C1691" s="3" t="n">
        <v>57</v>
      </c>
      <c r="D1691" s="3" t="inlineStr">
        <is>
          <t>Final Gambit</t>
        </is>
      </c>
      <c r="E1691" s="3" t="inlineStr">
        <is>
          <t>MOVE_FINAL_GAMBIT</t>
        </is>
      </c>
    </row>
    <row r="1692">
      <c r="A1692" s="3" t="inlineStr">
        <is>
          <t>SPECIES_SHINX</t>
        </is>
      </c>
      <c r="B1692" s="3" t="inlineStr">
        <is>
          <t>Shinx</t>
        </is>
      </c>
      <c r="C1692" s="3" t="n">
        <v>1</v>
      </c>
      <c r="D1692" s="3" t="inlineStr">
        <is>
          <t>Tackle</t>
        </is>
      </c>
      <c r="E1692" s="3" t="inlineStr">
        <is>
          <t>MOVE_TACKLE</t>
        </is>
      </c>
    </row>
    <row r="1693">
      <c r="A1693" s="3" t="inlineStr">
        <is>
          <t>SPECIES_SHINX</t>
        </is>
      </c>
      <c r="B1693" s="3" t="inlineStr">
        <is>
          <t>Shinx</t>
        </is>
      </c>
      <c r="C1693" s="3" t="n">
        <v>1</v>
      </c>
      <c r="D1693" s="3" t="inlineStr">
        <is>
          <t>Leer</t>
        </is>
      </c>
      <c r="E1693" s="3" t="inlineStr">
        <is>
          <t>MOVE_LEER</t>
        </is>
      </c>
    </row>
    <row r="1694">
      <c r="A1694" s="3" t="inlineStr">
        <is>
          <t>SPECIES_SHINX</t>
        </is>
      </c>
      <c r="B1694" s="3" t="inlineStr">
        <is>
          <t>Shinx</t>
        </is>
      </c>
      <c r="C1694" s="3" t="n">
        <v>4</v>
      </c>
      <c r="D1694" s="3" t="inlineStr">
        <is>
          <t>Thunder Shock</t>
        </is>
      </c>
      <c r="E1694" s="3" t="inlineStr">
        <is>
          <t>MOVE_THUNDER_SHOCK</t>
        </is>
      </c>
    </row>
    <row r="1695">
      <c r="A1695" s="3" t="inlineStr">
        <is>
          <t>SPECIES_SHINX</t>
        </is>
      </c>
      <c r="B1695" s="3" t="inlineStr">
        <is>
          <t>Shinx</t>
        </is>
      </c>
      <c r="C1695" s="3" t="n">
        <v>8</v>
      </c>
      <c r="D1695" s="3" t="inlineStr">
        <is>
          <t>Charge</t>
        </is>
      </c>
      <c r="E1695" s="3" t="inlineStr">
        <is>
          <t>MOVE_CHARGE</t>
        </is>
      </c>
    </row>
    <row r="1696">
      <c r="A1696" s="3" t="inlineStr">
        <is>
          <t>SPECIES_SHINX</t>
        </is>
      </c>
      <c r="B1696" s="3" t="inlineStr">
        <is>
          <t>Shinx</t>
        </is>
      </c>
      <c r="C1696" s="3" t="n">
        <v>12</v>
      </c>
      <c r="D1696" s="3" t="inlineStr">
        <is>
          <t>Bite</t>
        </is>
      </c>
      <c r="E1696" s="3" t="inlineStr">
        <is>
          <t>MOVE_BITE</t>
        </is>
      </c>
    </row>
    <row r="1697">
      <c r="A1697" s="3" t="inlineStr">
        <is>
          <t>SPECIES_SHINX</t>
        </is>
      </c>
      <c r="B1697" s="3" t="inlineStr">
        <is>
          <t>Shinx</t>
        </is>
      </c>
      <c r="C1697" s="3" t="n">
        <v>16</v>
      </c>
      <c r="D1697" s="3" t="inlineStr">
        <is>
          <t>Spark</t>
        </is>
      </c>
      <c r="E1697" s="3" t="inlineStr">
        <is>
          <t>MOVE_SPARK</t>
        </is>
      </c>
    </row>
    <row r="1698">
      <c r="A1698" s="3" t="inlineStr">
        <is>
          <t>SPECIES_SHINX</t>
        </is>
      </c>
      <c r="B1698" s="3" t="inlineStr">
        <is>
          <t>Shinx</t>
        </is>
      </c>
      <c r="C1698" s="3" t="n">
        <v>20</v>
      </c>
      <c r="D1698" s="3" t="inlineStr">
        <is>
          <t>Roar</t>
        </is>
      </c>
      <c r="E1698" s="3" t="inlineStr">
        <is>
          <t>MOVE_ROAR</t>
        </is>
      </c>
    </row>
    <row r="1699">
      <c r="A1699" s="3" t="inlineStr">
        <is>
          <t>SPECIES_SHINX</t>
        </is>
      </c>
      <c r="B1699" s="3" t="inlineStr">
        <is>
          <t>Shinx</t>
        </is>
      </c>
      <c r="C1699" s="3" t="n">
        <v>24</v>
      </c>
      <c r="D1699" s="3" t="inlineStr">
        <is>
          <t>Volt Switch</t>
        </is>
      </c>
      <c r="E1699" s="3" t="inlineStr">
        <is>
          <t>MOVE_VOLT_SWITCH</t>
        </is>
      </c>
    </row>
    <row r="1700">
      <c r="A1700" s="3" t="inlineStr">
        <is>
          <t>SPECIES_SHINX</t>
        </is>
      </c>
      <c r="B1700" s="3" t="inlineStr">
        <is>
          <t>Shinx</t>
        </is>
      </c>
      <c r="C1700" s="3" t="n">
        <v>28</v>
      </c>
      <c r="D1700" s="3" t="inlineStr">
        <is>
          <t>Scary Face</t>
        </is>
      </c>
      <c r="E1700" s="3" t="inlineStr">
        <is>
          <t>MOVE_SCARY_FACE</t>
        </is>
      </c>
    </row>
    <row r="1701">
      <c r="A1701" s="3" t="inlineStr">
        <is>
          <t>SPECIES_SHINX</t>
        </is>
      </c>
      <c r="B1701" s="3" t="inlineStr">
        <is>
          <t>Shinx</t>
        </is>
      </c>
      <c r="C1701" s="3" t="n">
        <v>32</v>
      </c>
      <c r="D1701" s="3" t="inlineStr">
        <is>
          <t>Thunder Wave</t>
        </is>
      </c>
      <c r="E1701" s="3" t="inlineStr">
        <is>
          <t>MOVE_THUNDER_WAVE</t>
        </is>
      </c>
    </row>
    <row r="1702">
      <c r="A1702" s="3" t="inlineStr">
        <is>
          <t>SPECIES_SHINX</t>
        </is>
      </c>
      <c r="B1702" s="3" t="inlineStr">
        <is>
          <t>Shinx</t>
        </is>
      </c>
      <c r="C1702" s="3" t="n">
        <v>36</v>
      </c>
      <c r="D1702" s="3" t="inlineStr">
        <is>
          <t>Crunch</t>
        </is>
      </c>
      <c r="E1702" s="3" t="inlineStr">
        <is>
          <t>MOVE_CRUNCH</t>
        </is>
      </c>
    </row>
    <row r="1703">
      <c r="A1703" s="3" t="inlineStr">
        <is>
          <t>SPECIES_SHINX</t>
        </is>
      </c>
      <c r="B1703" s="3" t="inlineStr">
        <is>
          <t>Shinx</t>
        </is>
      </c>
      <c r="C1703" s="3" t="n">
        <v>40</v>
      </c>
      <c r="D1703" s="3" t="inlineStr">
        <is>
          <t>Discharge</t>
        </is>
      </c>
      <c r="E1703" s="3" t="inlineStr">
        <is>
          <t>MOVE_DISCHARGE</t>
        </is>
      </c>
    </row>
    <row r="1704">
      <c r="A1704" s="3" t="inlineStr">
        <is>
          <t>SPECIES_SHINX</t>
        </is>
      </c>
      <c r="B1704" s="3" t="inlineStr">
        <is>
          <t>Shinx</t>
        </is>
      </c>
      <c r="C1704" s="3" t="n">
        <v>44</v>
      </c>
      <c r="D1704" s="3" t="inlineStr">
        <is>
          <t>Swagger</t>
        </is>
      </c>
      <c r="E1704" s="3" t="inlineStr">
        <is>
          <t>MOVE_SWAGGER</t>
        </is>
      </c>
    </row>
    <row r="1705">
      <c r="A1705" s="3" t="inlineStr">
        <is>
          <t>SPECIES_SHINX</t>
        </is>
      </c>
      <c r="B1705" s="3" t="inlineStr">
        <is>
          <t>Shinx</t>
        </is>
      </c>
      <c r="C1705" s="3" t="n">
        <v>48</v>
      </c>
      <c r="D1705" s="3" t="inlineStr">
        <is>
          <t>Wild Charge</t>
        </is>
      </c>
      <c r="E1705" s="3" t="inlineStr">
        <is>
          <t>MOVE_WILD_CHARGE</t>
        </is>
      </c>
    </row>
    <row r="1706">
      <c r="A1706" s="3" t="inlineStr">
        <is>
          <t>SPECIES_LUXIO</t>
        </is>
      </c>
      <c r="B1706" s="3" t="inlineStr">
        <is>
          <t>Luxio</t>
        </is>
      </c>
      <c r="C1706" s="3" t="n">
        <v>1</v>
      </c>
      <c r="D1706" s="3" t="inlineStr">
        <is>
          <t>Tackle</t>
        </is>
      </c>
      <c r="E1706" s="3" t="inlineStr">
        <is>
          <t>MOVE_TACKLE</t>
        </is>
      </c>
    </row>
    <row r="1707">
      <c r="A1707" s="3" t="inlineStr">
        <is>
          <t>SPECIES_LUXIO</t>
        </is>
      </c>
      <c r="B1707" s="3" t="inlineStr">
        <is>
          <t>Luxio</t>
        </is>
      </c>
      <c r="C1707" s="3" t="n">
        <v>1</v>
      </c>
      <c r="D1707" s="3" t="inlineStr">
        <is>
          <t>Leer</t>
        </is>
      </c>
      <c r="E1707" s="3" t="inlineStr">
        <is>
          <t>MOVE_LEER</t>
        </is>
      </c>
    </row>
    <row r="1708">
      <c r="A1708" s="3" t="inlineStr">
        <is>
          <t>SPECIES_LUXIO</t>
        </is>
      </c>
      <c r="B1708" s="3" t="inlineStr">
        <is>
          <t>Luxio</t>
        </is>
      </c>
      <c r="C1708" s="3" t="n">
        <v>1</v>
      </c>
      <c r="D1708" s="3" t="inlineStr">
        <is>
          <t>Thunder Shock</t>
        </is>
      </c>
      <c r="E1708" s="3" t="inlineStr">
        <is>
          <t>MOVE_THUNDER_SHOCK</t>
        </is>
      </c>
    </row>
    <row r="1709">
      <c r="A1709" s="3" t="inlineStr">
        <is>
          <t>SPECIES_LUXIO</t>
        </is>
      </c>
      <c r="B1709" s="3" t="inlineStr">
        <is>
          <t>Luxio</t>
        </is>
      </c>
      <c r="C1709" s="3" t="n">
        <v>1</v>
      </c>
      <c r="D1709" s="3" t="inlineStr">
        <is>
          <t>Charge</t>
        </is>
      </c>
      <c r="E1709" s="3" t="inlineStr">
        <is>
          <t>MOVE_CHARGE</t>
        </is>
      </c>
    </row>
    <row r="1710">
      <c r="A1710" s="3" t="inlineStr">
        <is>
          <t>SPECIES_LUXIO</t>
        </is>
      </c>
      <c r="B1710" s="3" t="inlineStr">
        <is>
          <t>Luxio</t>
        </is>
      </c>
      <c r="C1710" s="3" t="n">
        <v>12</v>
      </c>
      <c r="D1710" s="3" t="inlineStr">
        <is>
          <t>Bite</t>
        </is>
      </c>
      <c r="E1710" s="3" t="inlineStr">
        <is>
          <t>MOVE_BITE</t>
        </is>
      </c>
    </row>
    <row r="1711">
      <c r="A1711" s="3" t="inlineStr">
        <is>
          <t>SPECIES_LUXIO</t>
        </is>
      </c>
      <c r="B1711" s="3" t="inlineStr">
        <is>
          <t>Luxio</t>
        </is>
      </c>
      <c r="C1711" s="3" t="n">
        <v>18</v>
      </c>
      <c r="D1711" s="3" t="inlineStr">
        <is>
          <t>Spark</t>
        </is>
      </c>
      <c r="E1711" s="3" t="inlineStr">
        <is>
          <t>MOVE_SPARK</t>
        </is>
      </c>
    </row>
    <row r="1712">
      <c r="A1712" s="3" t="inlineStr">
        <is>
          <t>SPECIES_LUXIO</t>
        </is>
      </c>
      <c r="B1712" s="3" t="inlineStr">
        <is>
          <t>Luxio</t>
        </is>
      </c>
      <c r="C1712" s="3" t="n">
        <v>24</v>
      </c>
      <c r="D1712" s="3" t="inlineStr">
        <is>
          <t>Roar</t>
        </is>
      </c>
      <c r="E1712" s="3" t="inlineStr">
        <is>
          <t>MOVE_ROAR</t>
        </is>
      </c>
    </row>
    <row r="1713">
      <c r="A1713" s="3" t="inlineStr">
        <is>
          <t>SPECIES_LUXIO</t>
        </is>
      </c>
      <c r="B1713" s="3" t="inlineStr">
        <is>
          <t>Luxio</t>
        </is>
      </c>
      <c r="C1713" s="3" t="n">
        <v>31</v>
      </c>
      <c r="D1713" s="3" t="inlineStr">
        <is>
          <t>Volt Switch</t>
        </is>
      </c>
      <c r="E1713" s="3" t="inlineStr">
        <is>
          <t>MOVE_VOLT_SWITCH</t>
        </is>
      </c>
    </row>
    <row r="1714">
      <c r="A1714" s="3" t="inlineStr">
        <is>
          <t>SPECIES_LUXIO</t>
        </is>
      </c>
      <c r="B1714" s="3" t="inlineStr">
        <is>
          <t>Luxio</t>
        </is>
      </c>
      <c r="C1714" s="3" t="n">
        <v>36</v>
      </c>
      <c r="D1714" s="3" t="inlineStr">
        <is>
          <t>Scary Face</t>
        </is>
      </c>
      <c r="E1714" s="3" t="inlineStr">
        <is>
          <t>MOVE_SCARY_FACE</t>
        </is>
      </c>
    </row>
    <row r="1715">
      <c r="A1715" s="3" t="inlineStr">
        <is>
          <t>SPECIES_LUXIO</t>
        </is>
      </c>
      <c r="B1715" s="3" t="inlineStr">
        <is>
          <t>Luxio</t>
        </is>
      </c>
      <c r="C1715" s="3" t="n">
        <v>42</v>
      </c>
      <c r="D1715" s="3" t="inlineStr">
        <is>
          <t>Thunder Wave</t>
        </is>
      </c>
      <c r="E1715" s="3" t="inlineStr">
        <is>
          <t>MOVE_THUNDER_WAVE</t>
        </is>
      </c>
    </row>
    <row r="1716">
      <c r="A1716" s="3" t="inlineStr">
        <is>
          <t>SPECIES_LUXIO</t>
        </is>
      </c>
      <c r="B1716" s="3" t="inlineStr">
        <is>
          <t>Luxio</t>
        </is>
      </c>
      <c r="C1716" s="3" t="n">
        <v>48</v>
      </c>
      <c r="D1716" s="3" t="inlineStr">
        <is>
          <t>Crunch</t>
        </is>
      </c>
      <c r="E1716" s="3" t="inlineStr">
        <is>
          <t>MOVE_CRUNCH</t>
        </is>
      </c>
    </row>
    <row r="1717">
      <c r="A1717" s="3" t="inlineStr">
        <is>
          <t>SPECIES_LUXIO</t>
        </is>
      </c>
      <c r="B1717" s="3" t="inlineStr">
        <is>
          <t>Luxio</t>
        </is>
      </c>
      <c r="C1717" s="3" t="n">
        <v>54</v>
      </c>
      <c r="D1717" s="3" t="inlineStr">
        <is>
          <t>Discharge</t>
        </is>
      </c>
      <c r="E1717" s="3" t="inlineStr">
        <is>
          <t>MOVE_DISCHARGE</t>
        </is>
      </c>
    </row>
    <row r="1718">
      <c r="A1718" s="3" t="inlineStr">
        <is>
          <t>SPECIES_LUXIO</t>
        </is>
      </c>
      <c r="B1718" s="3" t="inlineStr">
        <is>
          <t>Luxio</t>
        </is>
      </c>
      <c r="C1718" s="3" t="n">
        <v>60</v>
      </c>
      <c r="D1718" s="3" t="inlineStr">
        <is>
          <t>Swagger</t>
        </is>
      </c>
      <c r="E1718" s="3" t="inlineStr">
        <is>
          <t>MOVE_SWAGGER</t>
        </is>
      </c>
    </row>
    <row r="1719">
      <c r="A1719" s="3" t="inlineStr">
        <is>
          <t>SPECIES_LUXIO</t>
        </is>
      </c>
      <c r="B1719" s="3" t="inlineStr">
        <is>
          <t>Luxio</t>
        </is>
      </c>
      <c r="C1719" s="3" t="n">
        <v>68</v>
      </c>
      <c r="D1719" s="3" t="inlineStr">
        <is>
          <t>Wild Charge</t>
        </is>
      </c>
      <c r="E1719" s="3" t="inlineStr">
        <is>
          <t>MOVE_WILD_CHARGE</t>
        </is>
      </c>
    </row>
    <row r="1720">
      <c r="A1720" s="3" t="inlineStr">
        <is>
          <t>SPECIES_LUXRAY</t>
        </is>
      </c>
      <c r="B1720" s="3" t="inlineStr">
        <is>
          <t>Luxray</t>
        </is>
      </c>
      <c r="C1720" s="3" t="n">
        <v>1</v>
      </c>
      <c r="D1720" s="3" t="inlineStr">
        <is>
          <t>Tackle</t>
        </is>
      </c>
      <c r="E1720" s="3" t="inlineStr">
        <is>
          <t>MOVE_TACKLE</t>
        </is>
      </c>
    </row>
    <row r="1721">
      <c r="A1721" s="3" t="inlineStr">
        <is>
          <t>SPECIES_LUXRAY</t>
        </is>
      </c>
      <c r="B1721" s="3" t="inlineStr">
        <is>
          <t>Luxray</t>
        </is>
      </c>
      <c r="C1721" s="3" t="n">
        <v>1</v>
      </c>
      <c r="D1721" s="3" t="inlineStr">
        <is>
          <t>Leer</t>
        </is>
      </c>
      <c r="E1721" s="3" t="inlineStr">
        <is>
          <t>MOVE_LEER</t>
        </is>
      </c>
    </row>
    <row r="1722">
      <c r="A1722" s="3" t="inlineStr">
        <is>
          <t>SPECIES_LUXRAY</t>
        </is>
      </c>
      <c r="B1722" s="3" t="inlineStr">
        <is>
          <t>Luxray</t>
        </is>
      </c>
      <c r="C1722" s="3" t="n">
        <v>1</v>
      </c>
      <c r="D1722" s="3" t="inlineStr">
        <is>
          <t>Thunder Shock</t>
        </is>
      </c>
      <c r="E1722" s="3" t="inlineStr">
        <is>
          <t>MOVE_THUNDER_SHOCK</t>
        </is>
      </c>
    </row>
    <row r="1723">
      <c r="A1723" s="3" t="inlineStr">
        <is>
          <t>SPECIES_LUXRAY</t>
        </is>
      </c>
      <c r="B1723" s="3" t="inlineStr">
        <is>
          <t>Luxray</t>
        </is>
      </c>
      <c r="C1723" s="3" t="n">
        <v>1</v>
      </c>
      <c r="D1723" s="3" t="inlineStr">
        <is>
          <t>Charge</t>
        </is>
      </c>
      <c r="E1723" s="3" t="inlineStr">
        <is>
          <t>MOVE_CHARGE</t>
        </is>
      </c>
    </row>
    <row r="1724">
      <c r="A1724" s="3" t="inlineStr">
        <is>
          <t>SPECIES_LUXRAY</t>
        </is>
      </c>
      <c r="B1724" s="3" t="inlineStr">
        <is>
          <t>Luxray</t>
        </is>
      </c>
      <c r="C1724" s="3" t="n">
        <v>1</v>
      </c>
      <c r="D1724" s="3" t="inlineStr">
        <is>
          <t>Electric Terrain</t>
        </is>
      </c>
      <c r="E1724" s="3" t="inlineStr">
        <is>
          <t>MOVE_ELECTRIC_TERRAIN</t>
        </is>
      </c>
    </row>
    <row r="1725">
      <c r="A1725" s="3" t="inlineStr">
        <is>
          <t>SPECIES_LUXRAY</t>
        </is>
      </c>
      <c r="B1725" s="3" t="inlineStr">
        <is>
          <t>Luxray</t>
        </is>
      </c>
      <c r="C1725" s="3" t="n">
        <v>12</v>
      </c>
      <c r="D1725" s="3" t="inlineStr">
        <is>
          <t>Bite</t>
        </is>
      </c>
      <c r="E1725" s="3" t="inlineStr">
        <is>
          <t>MOVE_BITE</t>
        </is>
      </c>
    </row>
    <row r="1726">
      <c r="A1726" s="3" t="inlineStr">
        <is>
          <t>SPECIES_LUXRAY</t>
        </is>
      </c>
      <c r="B1726" s="3" t="inlineStr">
        <is>
          <t>Luxray</t>
        </is>
      </c>
      <c r="C1726" s="3" t="n">
        <v>18</v>
      </c>
      <c r="D1726" s="3" t="inlineStr">
        <is>
          <t>Spark</t>
        </is>
      </c>
      <c r="E1726" s="3" t="inlineStr">
        <is>
          <t>MOVE_SPARK</t>
        </is>
      </c>
    </row>
    <row r="1727">
      <c r="A1727" s="3" t="inlineStr">
        <is>
          <t>SPECIES_LUXRAY</t>
        </is>
      </c>
      <c r="B1727" s="3" t="inlineStr">
        <is>
          <t>Luxray</t>
        </is>
      </c>
      <c r="C1727" s="3" t="n">
        <v>24</v>
      </c>
      <c r="D1727" s="3" t="inlineStr">
        <is>
          <t>Roar</t>
        </is>
      </c>
      <c r="E1727" s="3" t="inlineStr">
        <is>
          <t>MOVE_ROAR</t>
        </is>
      </c>
    </row>
    <row r="1728">
      <c r="A1728" s="3" t="inlineStr">
        <is>
          <t>SPECIES_LUXRAY</t>
        </is>
      </c>
      <c r="B1728" s="3" t="inlineStr">
        <is>
          <t>Luxray</t>
        </is>
      </c>
      <c r="C1728" s="3" t="n">
        <v>33</v>
      </c>
      <c r="D1728" s="3" t="inlineStr">
        <is>
          <t>Volt Switch</t>
        </is>
      </c>
      <c r="E1728" s="3" t="inlineStr">
        <is>
          <t>MOVE_VOLT_SWITCH</t>
        </is>
      </c>
    </row>
    <row r="1729">
      <c r="A1729" s="3" t="inlineStr">
        <is>
          <t>SPECIES_LUXRAY</t>
        </is>
      </c>
      <c r="B1729" s="3" t="inlineStr">
        <is>
          <t>Luxray</t>
        </is>
      </c>
      <c r="C1729" s="3" t="n">
        <v>40</v>
      </c>
      <c r="D1729" s="3" t="inlineStr">
        <is>
          <t>Scary Face</t>
        </is>
      </c>
      <c r="E1729" s="3" t="inlineStr">
        <is>
          <t>MOVE_SCARY_FACE</t>
        </is>
      </c>
    </row>
    <row r="1730">
      <c r="A1730" s="3" t="inlineStr">
        <is>
          <t>SPECIES_LUXRAY</t>
        </is>
      </c>
      <c r="B1730" s="3" t="inlineStr">
        <is>
          <t>Luxray</t>
        </is>
      </c>
      <c r="C1730" s="3" t="n">
        <v>48</v>
      </c>
      <c r="D1730" s="3" t="inlineStr">
        <is>
          <t>Thunder Wave</t>
        </is>
      </c>
      <c r="E1730" s="3" t="inlineStr">
        <is>
          <t>MOVE_THUNDER_WAVE</t>
        </is>
      </c>
    </row>
    <row r="1731">
      <c r="A1731" s="3" t="inlineStr">
        <is>
          <t>SPECIES_LUXRAY</t>
        </is>
      </c>
      <c r="B1731" s="3" t="inlineStr">
        <is>
          <t>Luxray</t>
        </is>
      </c>
      <c r="C1731" s="3" t="n">
        <v>56</v>
      </c>
      <c r="D1731" s="3" t="inlineStr">
        <is>
          <t>Crunch</t>
        </is>
      </c>
      <c r="E1731" s="3" t="inlineStr">
        <is>
          <t>MOVE_CRUNCH</t>
        </is>
      </c>
    </row>
    <row r="1732">
      <c r="A1732" s="3" t="inlineStr">
        <is>
          <t>SPECIES_LUXRAY</t>
        </is>
      </c>
      <c r="B1732" s="3" t="inlineStr">
        <is>
          <t>Luxray</t>
        </is>
      </c>
      <c r="C1732" s="3" t="n">
        <v>64</v>
      </c>
      <c r="D1732" s="3" t="inlineStr">
        <is>
          <t>Discharge</t>
        </is>
      </c>
      <c r="E1732" s="3" t="inlineStr">
        <is>
          <t>MOVE_DISCHARGE</t>
        </is>
      </c>
    </row>
    <row r="1733">
      <c r="A1733" s="3" t="inlineStr">
        <is>
          <t>SPECIES_LUXRAY</t>
        </is>
      </c>
      <c r="B1733" s="3" t="inlineStr">
        <is>
          <t>Luxray</t>
        </is>
      </c>
      <c r="C1733" s="3" t="n">
        <v>72</v>
      </c>
      <c r="D1733" s="3" t="inlineStr">
        <is>
          <t>Swagger</t>
        </is>
      </c>
      <c r="E1733" s="3" t="inlineStr">
        <is>
          <t>MOVE_SWAGGER</t>
        </is>
      </c>
    </row>
    <row r="1734">
      <c r="A1734" s="3" t="inlineStr">
        <is>
          <t>SPECIES_LUXRAY</t>
        </is>
      </c>
      <c r="B1734" s="3" t="inlineStr">
        <is>
          <t>Luxray</t>
        </is>
      </c>
      <c r="C1734" s="3" t="n">
        <v>80</v>
      </c>
      <c r="D1734" s="3" t="inlineStr">
        <is>
          <t>Wild Charge</t>
        </is>
      </c>
      <c r="E1734" s="3" t="inlineStr">
        <is>
          <t>MOVE_WILD_CHARGE</t>
        </is>
      </c>
    </row>
    <row r="1735">
      <c r="A1735" s="3" t="inlineStr">
        <is>
          <t>SPECIES_COMBEE</t>
        </is>
      </c>
      <c r="B1735" s="3" t="inlineStr">
        <is>
          <t>Combee</t>
        </is>
      </c>
      <c r="C1735" s="3" t="n">
        <v>1</v>
      </c>
      <c r="D1735" s="3" t="inlineStr">
        <is>
          <t>Gust</t>
        </is>
      </c>
      <c r="E1735" s="3" t="inlineStr">
        <is>
          <t>MOVE_GUST</t>
        </is>
      </c>
    </row>
    <row r="1736">
      <c r="A1736" s="3" t="inlineStr">
        <is>
          <t>SPECIES_COMBEE</t>
        </is>
      </c>
      <c r="B1736" s="3" t="inlineStr">
        <is>
          <t>Combee</t>
        </is>
      </c>
      <c r="C1736" s="3" t="n">
        <v>1</v>
      </c>
      <c r="D1736" s="3" t="inlineStr">
        <is>
          <t>Sweet Scent</t>
        </is>
      </c>
      <c r="E1736" s="3" t="inlineStr">
        <is>
          <t>MOVE_SWEET_SCENT</t>
        </is>
      </c>
    </row>
    <row r="1737">
      <c r="A1737" s="3" t="inlineStr">
        <is>
          <t>SPECIES_COMBEE</t>
        </is>
      </c>
      <c r="B1737" s="3" t="inlineStr">
        <is>
          <t>Combee</t>
        </is>
      </c>
      <c r="C1737" s="3" t="n">
        <v>1</v>
      </c>
      <c r="D1737" s="3" t="inlineStr">
        <is>
          <t>Bug Bite</t>
        </is>
      </c>
      <c r="E1737" s="3" t="inlineStr">
        <is>
          <t>MOVE_BUG_BITE</t>
        </is>
      </c>
    </row>
    <row r="1738">
      <c r="A1738" s="3" t="inlineStr">
        <is>
          <t>SPECIES_COMBEE</t>
        </is>
      </c>
      <c r="B1738" s="3" t="inlineStr">
        <is>
          <t>Combee</t>
        </is>
      </c>
      <c r="C1738" s="3" t="n">
        <v>1</v>
      </c>
      <c r="D1738" s="3" t="inlineStr">
        <is>
          <t>Struggle Bug</t>
        </is>
      </c>
      <c r="E1738" s="3" t="inlineStr">
        <is>
          <t>MOVE_STRUGGLE_BUG</t>
        </is>
      </c>
    </row>
    <row r="1739">
      <c r="A1739" s="3" t="inlineStr">
        <is>
          <t>SPECIES_VESPIQUEN</t>
        </is>
      </c>
      <c r="B1739" s="3" t="inlineStr">
        <is>
          <t>Vespiquen</t>
        </is>
      </c>
      <c r="C1739" s="3" t="n">
        <v>0</v>
      </c>
      <c r="D1739" s="3" t="inlineStr">
        <is>
          <t>Slash</t>
        </is>
      </c>
      <c r="E1739" s="3" t="inlineStr">
        <is>
          <t>MOVE_SLASH</t>
        </is>
      </c>
    </row>
    <row r="1740">
      <c r="A1740" s="3" t="inlineStr">
        <is>
          <t>SPECIES_VESPIQUEN</t>
        </is>
      </c>
      <c r="B1740" s="3" t="inlineStr">
        <is>
          <t>Vespiquen</t>
        </is>
      </c>
      <c r="C1740" s="3" t="n">
        <v>1</v>
      </c>
      <c r="D1740" s="3" t="inlineStr">
        <is>
          <t>Sweet Scent</t>
        </is>
      </c>
      <c r="E1740" s="3" t="inlineStr">
        <is>
          <t>MOVE_SWEET_SCENT</t>
        </is>
      </c>
    </row>
    <row r="1741">
      <c r="A1741" s="3" t="inlineStr">
        <is>
          <t>SPECIES_VESPIQUEN</t>
        </is>
      </c>
      <c r="B1741" s="3" t="inlineStr">
        <is>
          <t>Vespiquen</t>
        </is>
      </c>
      <c r="C1741" s="3" t="n">
        <v>1</v>
      </c>
      <c r="D1741" s="3" t="inlineStr">
        <is>
          <t>Struggle Bug</t>
        </is>
      </c>
      <c r="E1741" s="3" t="inlineStr">
        <is>
          <t>MOVE_STRUGGLE_BUG</t>
        </is>
      </c>
    </row>
    <row r="1742">
      <c r="A1742" s="3" t="inlineStr">
        <is>
          <t>SPECIES_VESPIQUEN</t>
        </is>
      </c>
      <c r="B1742" s="3" t="inlineStr">
        <is>
          <t>Vespiquen</t>
        </is>
      </c>
      <c r="C1742" s="3" t="n">
        <v>1</v>
      </c>
      <c r="D1742" s="3" t="inlineStr">
        <is>
          <t>Bug Bite</t>
        </is>
      </c>
      <c r="E1742" s="3" t="inlineStr">
        <is>
          <t>MOVE_BUG_BITE</t>
        </is>
      </c>
    </row>
    <row r="1743">
      <c r="A1743" s="3" t="inlineStr">
        <is>
          <t>SPECIES_VESPIQUEN</t>
        </is>
      </c>
      <c r="B1743" s="3" t="inlineStr">
        <is>
          <t>Vespiquen</t>
        </is>
      </c>
      <c r="C1743" s="3" t="n">
        <v>1</v>
      </c>
      <c r="D1743" s="3" t="inlineStr">
        <is>
          <t>Gust</t>
        </is>
      </c>
      <c r="E1743" s="3" t="inlineStr">
        <is>
          <t>MOVE_GUST</t>
        </is>
      </c>
    </row>
    <row r="1744">
      <c r="A1744" s="3" t="inlineStr">
        <is>
          <t>SPECIES_VESPIQUEN</t>
        </is>
      </c>
      <c r="B1744" s="3" t="inlineStr">
        <is>
          <t>Vespiquen</t>
        </is>
      </c>
      <c r="C1744" s="3" t="n">
        <v>1</v>
      </c>
      <c r="D1744" s="3" t="inlineStr">
        <is>
          <t>Confuse Ray</t>
        </is>
      </c>
      <c r="E1744" s="3" t="inlineStr">
        <is>
          <t>MOVE_CONFUSE_RAY</t>
        </is>
      </c>
    </row>
    <row r="1745">
      <c r="A1745" s="3" t="inlineStr">
        <is>
          <t>SPECIES_VESPIQUEN</t>
        </is>
      </c>
      <c r="B1745" s="3" t="inlineStr">
        <is>
          <t>Vespiquen</t>
        </is>
      </c>
      <c r="C1745" s="3" t="n">
        <v>1</v>
      </c>
      <c r="D1745" s="3" t="inlineStr">
        <is>
          <t>Poison Sting</t>
        </is>
      </c>
      <c r="E1745" s="3" t="inlineStr">
        <is>
          <t>MOVE_POISON_STING</t>
        </is>
      </c>
    </row>
    <row r="1746">
      <c r="A1746" s="3" t="inlineStr">
        <is>
          <t>SPECIES_VESPIQUEN</t>
        </is>
      </c>
      <c r="B1746" s="3" t="inlineStr">
        <is>
          <t>Vespiquen</t>
        </is>
      </c>
      <c r="C1746" s="3" t="n">
        <v>4</v>
      </c>
      <c r="D1746" s="3" t="inlineStr">
        <is>
          <t>Fury Cutter</t>
        </is>
      </c>
      <c r="E1746" s="3" t="inlineStr">
        <is>
          <t>MOVE_FURY_CUTTER</t>
        </is>
      </c>
    </row>
    <row r="1747">
      <c r="A1747" s="3" t="inlineStr">
        <is>
          <t>SPECIES_VESPIQUEN</t>
        </is>
      </c>
      <c r="B1747" s="3" t="inlineStr">
        <is>
          <t>Vespiquen</t>
        </is>
      </c>
      <c r="C1747" s="3" t="n">
        <v>8</v>
      </c>
      <c r="D1747" s="3" t="inlineStr">
        <is>
          <t>Aromatic Mist</t>
        </is>
      </c>
      <c r="E1747" s="3" t="inlineStr">
        <is>
          <t>MOVE_AROMATIC_MIST</t>
        </is>
      </c>
    </row>
    <row r="1748">
      <c r="A1748" s="3" t="inlineStr">
        <is>
          <t>SPECIES_VESPIQUEN</t>
        </is>
      </c>
      <c r="B1748" s="3" t="inlineStr">
        <is>
          <t>Vespiquen</t>
        </is>
      </c>
      <c r="C1748" s="3" t="n">
        <v>12</v>
      </c>
      <c r="D1748" s="3" t="inlineStr">
        <is>
          <t>Fell Stinger</t>
        </is>
      </c>
      <c r="E1748" s="3" t="inlineStr">
        <is>
          <t>MOVE_FELL_STINGER</t>
        </is>
      </c>
    </row>
    <row r="1749">
      <c r="A1749" s="3" t="inlineStr">
        <is>
          <t>SPECIES_VESPIQUEN</t>
        </is>
      </c>
      <c r="B1749" s="3" t="inlineStr">
        <is>
          <t>Vespiquen</t>
        </is>
      </c>
      <c r="C1749" s="3" t="n">
        <v>16</v>
      </c>
      <c r="D1749" s="3" t="inlineStr">
        <is>
          <t>Fury Swipes</t>
        </is>
      </c>
      <c r="E1749" s="3" t="inlineStr">
        <is>
          <t>MOVE_FURY_SWIPES</t>
        </is>
      </c>
    </row>
    <row r="1750">
      <c r="A1750" s="3" t="inlineStr">
        <is>
          <t>SPECIES_VESPIQUEN</t>
        </is>
      </c>
      <c r="B1750" s="3" t="inlineStr">
        <is>
          <t>Vespiquen</t>
        </is>
      </c>
      <c r="C1750" s="3" t="n">
        <v>20</v>
      </c>
      <c r="D1750" s="3" t="inlineStr">
        <is>
          <t>Swagger</t>
        </is>
      </c>
      <c r="E1750" s="3" t="inlineStr">
        <is>
          <t>MOVE_SWAGGER</t>
        </is>
      </c>
    </row>
    <row r="1751">
      <c r="A1751" s="3" t="inlineStr">
        <is>
          <t>SPECIES_VESPIQUEN</t>
        </is>
      </c>
      <c r="B1751" s="3" t="inlineStr">
        <is>
          <t>Vespiquen</t>
        </is>
      </c>
      <c r="C1751" s="3" t="n">
        <v>24</v>
      </c>
      <c r="D1751" s="3" t="inlineStr">
        <is>
          <t>Roost</t>
        </is>
      </c>
      <c r="E1751" s="3" t="inlineStr">
        <is>
          <t>MOVE_ROOST</t>
        </is>
      </c>
    </row>
    <row r="1752">
      <c r="A1752" s="3" t="inlineStr">
        <is>
          <t>SPECIES_VESPIQUEN</t>
        </is>
      </c>
      <c r="B1752" s="3" t="inlineStr">
        <is>
          <t>Vespiquen</t>
        </is>
      </c>
      <c r="C1752" s="3" t="n">
        <v>28</v>
      </c>
      <c r="D1752" s="3" t="inlineStr">
        <is>
          <t>Air Slash</t>
        </is>
      </c>
      <c r="E1752" s="3" t="inlineStr">
        <is>
          <t>MOVE_AIR_SLASH</t>
        </is>
      </c>
    </row>
    <row r="1753">
      <c r="A1753" s="3" t="inlineStr">
        <is>
          <t>SPECIES_VESPIQUEN</t>
        </is>
      </c>
      <c r="B1753" s="3" t="inlineStr">
        <is>
          <t>Vespiquen</t>
        </is>
      </c>
      <c r="C1753" s="3" t="n">
        <v>32</v>
      </c>
      <c r="D1753" s="3" t="inlineStr">
        <is>
          <t>Power Gem</t>
        </is>
      </c>
      <c r="E1753" s="3" t="inlineStr">
        <is>
          <t>MOVE_POWER_GEM</t>
        </is>
      </c>
    </row>
    <row r="1754">
      <c r="A1754" s="3" t="inlineStr">
        <is>
          <t>SPECIES_VESPIQUEN</t>
        </is>
      </c>
      <c r="B1754" s="3" t="inlineStr">
        <is>
          <t>Vespiquen</t>
        </is>
      </c>
      <c r="C1754" s="3" t="n">
        <v>36</v>
      </c>
      <c r="D1754" s="3" t="inlineStr">
        <is>
          <t>Toxic</t>
        </is>
      </c>
      <c r="E1754" s="3" t="inlineStr">
        <is>
          <t>MOVE_TOXIC</t>
        </is>
      </c>
    </row>
    <row r="1755">
      <c r="A1755" s="3" t="inlineStr">
        <is>
          <t>SPECIES_VESPIQUEN</t>
        </is>
      </c>
      <c r="B1755" s="3" t="inlineStr">
        <is>
          <t>Vespiquen</t>
        </is>
      </c>
      <c r="C1755" s="3" t="n">
        <v>40</v>
      </c>
      <c r="D1755" s="3" t="inlineStr">
        <is>
          <t>Attack Order</t>
        </is>
      </c>
      <c r="E1755" s="3" t="inlineStr">
        <is>
          <t>MOVE_ATTACK_ORDER</t>
        </is>
      </c>
    </row>
    <row r="1756">
      <c r="A1756" s="3" t="inlineStr">
        <is>
          <t>SPECIES_VESPIQUEN</t>
        </is>
      </c>
      <c r="B1756" s="3" t="inlineStr">
        <is>
          <t>Vespiquen</t>
        </is>
      </c>
      <c r="C1756" s="3" t="n">
        <v>40</v>
      </c>
      <c r="D1756" s="3" t="inlineStr">
        <is>
          <t>Defend Order</t>
        </is>
      </c>
      <c r="E1756" s="3" t="inlineStr">
        <is>
          <t>MOVE_DEFEND_ORDER</t>
        </is>
      </c>
    </row>
    <row r="1757">
      <c r="A1757" s="3" t="inlineStr">
        <is>
          <t>SPECIES_VESPIQUEN</t>
        </is>
      </c>
      <c r="B1757" s="3" t="inlineStr">
        <is>
          <t>Vespiquen</t>
        </is>
      </c>
      <c r="C1757" s="3" t="n">
        <v>44</v>
      </c>
      <c r="D1757" s="3" t="inlineStr">
        <is>
          <t>Destiny Bond</t>
        </is>
      </c>
      <c r="E1757" s="3" t="inlineStr">
        <is>
          <t>MOVE_DESTINY_BOND</t>
        </is>
      </c>
    </row>
    <row r="1758">
      <c r="A1758" s="3" t="inlineStr">
        <is>
          <t>SPECIES_BUIZEL</t>
        </is>
      </c>
      <c r="B1758" s="3" t="inlineStr">
        <is>
          <t>Buizel</t>
        </is>
      </c>
      <c r="C1758" s="3" t="n">
        <v>1</v>
      </c>
      <c r="D1758" s="3" t="inlineStr">
        <is>
          <t>Tackle</t>
        </is>
      </c>
      <c r="E1758" s="3" t="inlineStr">
        <is>
          <t>MOVE_TACKLE</t>
        </is>
      </c>
    </row>
    <row r="1759">
      <c r="A1759" s="3" t="inlineStr">
        <is>
          <t>SPECIES_BUIZEL</t>
        </is>
      </c>
      <c r="B1759" s="3" t="inlineStr">
        <is>
          <t>Buizel</t>
        </is>
      </c>
      <c r="C1759" s="3" t="n">
        <v>4</v>
      </c>
      <c r="D1759" s="3" t="inlineStr">
        <is>
          <t>Growl</t>
        </is>
      </c>
      <c r="E1759" s="3" t="inlineStr">
        <is>
          <t>MOVE_GROWL</t>
        </is>
      </c>
    </row>
    <row r="1760">
      <c r="A1760" s="3" t="inlineStr">
        <is>
          <t>SPECIES_BUIZEL</t>
        </is>
      </c>
      <c r="B1760" s="3" t="inlineStr">
        <is>
          <t>Buizel</t>
        </is>
      </c>
      <c r="C1760" s="3" t="n">
        <v>7</v>
      </c>
      <c r="D1760" s="3" t="inlineStr">
        <is>
          <t>Soak</t>
        </is>
      </c>
      <c r="E1760" s="3" t="inlineStr">
        <is>
          <t>MOVE_SOAK</t>
        </is>
      </c>
    </row>
    <row r="1761">
      <c r="A1761" s="3" t="inlineStr">
        <is>
          <t>SPECIES_BUIZEL</t>
        </is>
      </c>
      <c r="B1761" s="3" t="inlineStr">
        <is>
          <t>Buizel</t>
        </is>
      </c>
      <c r="C1761" s="3" t="n">
        <v>11</v>
      </c>
      <c r="D1761" s="3" t="inlineStr">
        <is>
          <t>Quick Attack</t>
        </is>
      </c>
      <c r="E1761" s="3" t="inlineStr">
        <is>
          <t>MOVE_QUICK_ATTACK</t>
        </is>
      </c>
    </row>
    <row r="1762">
      <c r="A1762" s="3" t="inlineStr">
        <is>
          <t>SPECIES_BUIZEL</t>
        </is>
      </c>
      <c r="B1762" s="3" t="inlineStr">
        <is>
          <t>Buizel</t>
        </is>
      </c>
      <c r="C1762" s="3" t="n">
        <v>15</v>
      </c>
      <c r="D1762" s="3" t="inlineStr">
        <is>
          <t>Water Gun</t>
        </is>
      </c>
      <c r="E1762" s="3" t="inlineStr">
        <is>
          <t>MOVE_WATER_GUN</t>
        </is>
      </c>
    </row>
    <row r="1763">
      <c r="A1763" s="3" t="inlineStr">
        <is>
          <t>SPECIES_BUIZEL</t>
        </is>
      </c>
      <c r="B1763" s="3" t="inlineStr">
        <is>
          <t>Buizel</t>
        </is>
      </c>
      <c r="C1763" s="3" t="n">
        <v>18</v>
      </c>
      <c r="D1763" s="3" t="inlineStr">
        <is>
          <t>Bite</t>
        </is>
      </c>
      <c r="E1763" s="3" t="inlineStr">
        <is>
          <t>MOVE_BITE</t>
        </is>
      </c>
    </row>
    <row r="1764">
      <c r="A1764" s="3" t="inlineStr">
        <is>
          <t>SPECIES_BUIZEL</t>
        </is>
      </c>
      <c r="B1764" s="3" t="inlineStr">
        <is>
          <t>Buizel</t>
        </is>
      </c>
      <c r="C1764" s="3" t="n">
        <v>21</v>
      </c>
      <c r="D1764" s="3" t="inlineStr">
        <is>
          <t>Swift</t>
        </is>
      </c>
      <c r="E1764" s="3" t="inlineStr">
        <is>
          <t>MOVE_SWIFT</t>
        </is>
      </c>
    </row>
    <row r="1765">
      <c r="A1765" s="3" t="inlineStr">
        <is>
          <t>SPECIES_BUIZEL</t>
        </is>
      </c>
      <c r="B1765" s="3" t="inlineStr">
        <is>
          <t>Buizel</t>
        </is>
      </c>
      <c r="C1765" s="3" t="n">
        <v>24</v>
      </c>
      <c r="D1765" s="3" t="inlineStr">
        <is>
          <t>Aqua Jet</t>
        </is>
      </c>
      <c r="E1765" s="3" t="inlineStr">
        <is>
          <t>MOVE_AQUA_JET</t>
        </is>
      </c>
    </row>
    <row r="1766">
      <c r="A1766" s="3" t="inlineStr">
        <is>
          <t>SPECIES_BUIZEL</t>
        </is>
      </c>
      <c r="B1766" s="3" t="inlineStr">
        <is>
          <t>Buizel</t>
        </is>
      </c>
      <c r="C1766" s="3" t="n">
        <v>27</v>
      </c>
      <c r="D1766" s="3" t="inlineStr">
        <is>
          <t>Double Hit</t>
        </is>
      </c>
      <c r="E1766" s="3" t="inlineStr">
        <is>
          <t>MOVE_DOUBLE_HIT</t>
        </is>
      </c>
    </row>
    <row r="1767">
      <c r="A1767" s="3" t="inlineStr">
        <is>
          <t>SPECIES_BUIZEL</t>
        </is>
      </c>
      <c r="B1767" s="3" t="inlineStr">
        <is>
          <t>Buizel</t>
        </is>
      </c>
      <c r="C1767" s="3" t="n">
        <v>31</v>
      </c>
      <c r="D1767" s="3" t="inlineStr">
        <is>
          <t>Whirlpool</t>
        </is>
      </c>
      <c r="E1767" s="3" t="inlineStr">
        <is>
          <t>MOVE_WHIRLPOOL</t>
        </is>
      </c>
    </row>
    <row r="1768">
      <c r="A1768" s="3" t="inlineStr">
        <is>
          <t>SPECIES_BUIZEL</t>
        </is>
      </c>
      <c r="B1768" s="3" t="inlineStr">
        <is>
          <t>Buizel</t>
        </is>
      </c>
      <c r="C1768" s="3" t="n">
        <v>35</v>
      </c>
      <c r="D1768" s="3" t="inlineStr">
        <is>
          <t>Liquidation</t>
        </is>
      </c>
      <c r="E1768" s="3" t="inlineStr">
        <is>
          <t>MOVE_LIQUIDATION</t>
        </is>
      </c>
    </row>
    <row r="1769">
      <c r="A1769" s="3" t="inlineStr">
        <is>
          <t>SPECIES_BUIZEL</t>
        </is>
      </c>
      <c r="B1769" s="3" t="inlineStr">
        <is>
          <t>Buizel</t>
        </is>
      </c>
      <c r="C1769" s="3" t="n">
        <v>38</v>
      </c>
      <c r="D1769" s="3" t="inlineStr">
        <is>
          <t>Aqua Tail</t>
        </is>
      </c>
      <c r="E1769" s="3" t="inlineStr">
        <is>
          <t>MOVE_AQUA_TAIL</t>
        </is>
      </c>
    </row>
    <row r="1770">
      <c r="A1770" s="3" t="inlineStr">
        <is>
          <t>SPECIES_BUIZEL</t>
        </is>
      </c>
      <c r="B1770" s="3" t="inlineStr">
        <is>
          <t>Buizel</t>
        </is>
      </c>
      <c r="C1770" s="3" t="n">
        <v>41</v>
      </c>
      <c r="D1770" s="3" t="inlineStr">
        <is>
          <t>Agility</t>
        </is>
      </c>
      <c r="E1770" s="3" t="inlineStr">
        <is>
          <t>MOVE_AGILITY</t>
        </is>
      </c>
    </row>
    <row r="1771">
      <c r="A1771" s="3" t="inlineStr">
        <is>
          <t>SPECIES_BUIZEL</t>
        </is>
      </c>
      <c r="B1771" s="3" t="inlineStr">
        <is>
          <t>Buizel</t>
        </is>
      </c>
      <c r="C1771" s="3" t="n">
        <v>45</v>
      </c>
      <c r="D1771" s="3" t="inlineStr">
        <is>
          <t>Hydro Pump</t>
        </is>
      </c>
      <c r="E1771" s="3" t="inlineStr">
        <is>
          <t>MOVE_HYDRO_PUMP</t>
        </is>
      </c>
    </row>
    <row r="1772">
      <c r="A1772" s="3" t="inlineStr">
        <is>
          <t>SPECIES_BUIZEL</t>
        </is>
      </c>
      <c r="B1772" s="3" t="inlineStr">
        <is>
          <t>Buizel</t>
        </is>
      </c>
      <c r="C1772" s="3" t="n">
        <v>49</v>
      </c>
      <c r="D1772" s="3" t="inlineStr">
        <is>
          <t>Wave Crash</t>
        </is>
      </c>
      <c r="E1772" s="3" t="inlineStr">
        <is>
          <t>MOVE_WAVE_CRASH</t>
        </is>
      </c>
    </row>
    <row r="1773">
      <c r="A1773" s="3" t="inlineStr">
        <is>
          <t>SPECIES_FLOATZEL</t>
        </is>
      </c>
      <c r="B1773" s="3" t="inlineStr">
        <is>
          <t>Floatzel</t>
        </is>
      </c>
      <c r="C1773" s="3" t="n">
        <v>1</v>
      </c>
      <c r="D1773" s="3" t="inlineStr">
        <is>
          <t>Growl</t>
        </is>
      </c>
      <c r="E1773" s="3" t="inlineStr">
        <is>
          <t>MOVE_GROWL</t>
        </is>
      </c>
    </row>
    <row r="1774">
      <c r="A1774" s="3" t="inlineStr">
        <is>
          <t>SPECIES_FLOATZEL</t>
        </is>
      </c>
      <c r="B1774" s="3" t="inlineStr">
        <is>
          <t>Floatzel</t>
        </is>
      </c>
      <c r="C1774" s="3" t="n">
        <v>1</v>
      </c>
      <c r="D1774" s="3" t="inlineStr">
        <is>
          <t>Quick Attack</t>
        </is>
      </c>
      <c r="E1774" s="3" t="inlineStr">
        <is>
          <t>MOVE_QUICK_ATTACK</t>
        </is>
      </c>
    </row>
    <row r="1775">
      <c r="A1775" s="3" t="inlineStr">
        <is>
          <t>SPECIES_FLOATZEL</t>
        </is>
      </c>
      <c r="B1775" s="3" t="inlineStr">
        <is>
          <t>Floatzel</t>
        </is>
      </c>
      <c r="C1775" s="3" t="n">
        <v>1</v>
      </c>
      <c r="D1775" s="3" t="inlineStr">
        <is>
          <t>Crunch</t>
        </is>
      </c>
      <c r="E1775" s="3" t="inlineStr">
        <is>
          <t>MOVE_CRUNCH</t>
        </is>
      </c>
    </row>
    <row r="1776">
      <c r="A1776" s="3" t="inlineStr">
        <is>
          <t>SPECIES_FLOATZEL</t>
        </is>
      </c>
      <c r="B1776" s="3" t="inlineStr">
        <is>
          <t>Floatzel</t>
        </is>
      </c>
      <c r="C1776" s="3" t="n">
        <v>1</v>
      </c>
      <c r="D1776" s="3" t="inlineStr">
        <is>
          <t>Ice Fang</t>
        </is>
      </c>
      <c r="E1776" s="3" t="inlineStr">
        <is>
          <t>MOVE_ICE_FANG</t>
        </is>
      </c>
    </row>
    <row r="1777">
      <c r="A1777" s="3" t="inlineStr">
        <is>
          <t>SPECIES_FLOATZEL</t>
        </is>
      </c>
      <c r="B1777" s="3" t="inlineStr">
        <is>
          <t>Floatzel</t>
        </is>
      </c>
      <c r="C1777" s="3" t="n">
        <v>1</v>
      </c>
      <c r="D1777" s="3" t="inlineStr">
        <is>
          <t>Soak</t>
        </is>
      </c>
      <c r="E1777" s="3" t="inlineStr">
        <is>
          <t>MOVE_SOAK</t>
        </is>
      </c>
    </row>
    <row r="1778">
      <c r="A1778" s="3" t="inlineStr">
        <is>
          <t>SPECIES_FLOATZEL</t>
        </is>
      </c>
      <c r="B1778" s="3" t="inlineStr">
        <is>
          <t>Floatzel</t>
        </is>
      </c>
      <c r="C1778" s="3" t="n">
        <v>15</v>
      </c>
      <c r="D1778" s="3" t="inlineStr">
        <is>
          <t>Water Gun</t>
        </is>
      </c>
      <c r="E1778" s="3" t="inlineStr">
        <is>
          <t>MOVE_WATER_GUN</t>
        </is>
      </c>
    </row>
    <row r="1779">
      <c r="A1779" s="3" t="inlineStr">
        <is>
          <t>SPECIES_FLOATZEL</t>
        </is>
      </c>
      <c r="B1779" s="3" t="inlineStr">
        <is>
          <t>Floatzel</t>
        </is>
      </c>
      <c r="C1779" s="3" t="n">
        <v>18</v>
      </c>
      <c r="D1779" s="3" t="inlineStr">
        <is>
          <t>Bite</t>
        </is>
      </c>
      <c r="E1779" s="3" t="inlineStr">
        <is>
          <t>MOVE_BITE</t>
        </is>
      </c>
    </row>
    <row r="1780">
      <c r="A1780" s="3" t="inlineStr">
        <is>
          <t>SPECIES_FLOATZEL</t>
        </is>
      </c>
      <c r="B1780" s="3" t="inlineStr">
        <is>
          <t>Floatzel</t>
        </is>
      </c>
      <c r="C1780" s="3" t="n">
        <v>21</v>
      </c>
      <c r="D1780" s="3" t="inlineStr">
        <is>
          <t>Swift</t>
        </is>
      </c>
      <c r="E1780" s="3" t="inlineStr">
        <is>
          <t>MOVE_SWIFT</t>
        </is>
      </c>
    </row>
    <row r="1781">
      <c r="A1781" s="3" t="inlineStr">
        <is>
          <t>SPECIES_FLOATZEL</t>
        </is>
      </c>
      <c r="B1781" s="3" t="inlineStr">
        <is>
          <t>Floatzel</t>
        </is>
      </c>
      <c r="C1781" s="3" t="n">
        <v>24</v>
      </c>
      <c r="D1781" s="3" t="inlineStr">
        <is>
          <t>Aqua Jet</t>
        </is>
      </c>
      <c r="E1781" s="3" t="inlineStr">
        <is>
          <t>MOVE_AQUA_JET</t>
        </is>
      </c>
    </row>
    <row r="1782">
      <c r="A1782" s="3" t="inlineStr">
        <is>
          <t>SPECIES_FLOATZEL</t>
        </is>
      </c>
      <c r="B1782" s="3" t="inlineStr">
        <is>
          <t>Floatzel</t>
        </is>
      </c>
      <c r="C1782" s="3" t="n">
        <v>29</v>
      </c>
      <c r="D1782" s="3" t="inlineStr">
        <is>
          <t>Double Hit</t>
        </is>
      </c>
      <c r="E1782" s="3" t="inlineStr">
        <is>
          <t>MOVE_DOUBLE_HIT</t>
        </is>
      </c>
    </row>
    <row r="1783">
      <c r="A1783" s="3" t="inlineStr">
        <is>
          <t>SPECIES_FLOATZEL</t>
        </is>
      </c>
      <c r="B1783" s="3" t="inlineStr">
        <is>
          <t>Floatzel</t>
        </is>
      </c>
      <c r="C1783" s="3" t="n">
        <v>35</v>
      </c>
      <c r="D1783" s="3" t="inlineStr">
        <is>
          <t>Whirlpool</t>
        </is>
      </c>
      <c r="E1783" s="3" t="inlineStr">
        <is>
          <t>MOVE_WHIRLPOOL</t>
        </is>
      </c>
    </row>
    <row r="1784">
      <c r="A1784" s="3" t="inlineStr">
        <is>
          <t>SPECIES_FLOATZEL</t>
        </is>
      </c>
      <c r="B1784" s="3" t="inlineStr">
        <is>
          <t>Floatzel</t>
        </is>
      </c>
      <c r="C1784" s="3" t="n">
        <v>41</v>
      </c>
      <c r="D1784" s="3" t="inlineStr">
        <is>
          <t>Liquidation</t>
        </is>
      </c>
      <c r="E1784" s="3" t="inlineStr">
        <is>
          <t>MOVE_LIQUIDATION</t>
        </is>
      </c>
    </row>
    <row r="1785">
      <c r="A1785" s="3" t="inlineStr">
        <is>
          <t>SPECIES_FLOATZEL</t>
        </is>
      </c>
      <c r="B1785" s="3" t="inlineStr">
        <is>
          <t>Floatzel</t>
        </is>
      </c>
      <c r="C1785" s="3" t="n">
        <v>46</v>
      </c>
      <c r="D1785" s="3" t="inlineStr">
        <is>
          <t>Aqua Tail</t>
        </is>
      </c>
      <c r="E1785" s="3" t="inlineStr">
        <is>
          <t>MOVE_AQUA_TAIL</t>
        </is>
      </c>
    </row>
    <row r="1786">
      <c r="A1786" s="3" t="inlineStr">
        <is>
          <t>SPECIES_FLOATZEL</t>
        </is>
      </c>
      <c r="B1786" s="3" t="inlineStr">
        <is>
          <t>Floatzel</t>
        </is>
      </c>
      <c r="C1786" s="3" t="n">
        <v>51</v>
      </c>
      <c r="D1786" s="3" t="inlineStr">
        <is>
          <t>Agility</t>
        </is>
      </c>
      <c r="E1786" s="3" t="inlineStr">
        <is>
          <t>MOVE_AGILITY</t>
        </is>
      </c>
    </row>
    <row r="1787">
      <c r="A1787" s="3" t="inlineStr">
        <is>
          <t>SPECIES_FLOATZEL</t>
        </is>
      </c>
      <c r="B1787" s="3" t="inlineStr">
        <is>
          <t>Floatzel</t>
        </is>
      </c>
      <c r="C1787" s="3" t="n">
        <v>57</v>
      </c>
      <c r="D1787" s="3" t="inlineStr">
        <is>
          <t>Hydro Pump</t>
        </is>
      </c>
      <c r="E1787" s="3" t="inlineStr">
        <is>
          <t>MOVE_HYDRO_PUMP</t>
        </is>
      </c>
    </row>
    <row r="1788">
      <c r="A1788" s="3" t="inlineStr">
        <is>
          <t>SPECIES_FLOATZEL</t>
        </is>
      </c>
      <c r="B1788" s="3" t="inlineStr">
        <is>
          <t>Floatzel</t>
        </is>
      </c>
      <c r="C1788" s="3" t="n">
        <v>62</v>
      </c>
      <c r="D1788" s="3" t="inlineStr">
        <is>
          <t>Wave Crash</t>
        </is>
      </c>
      <c r="E1788" s="3" t="inlineStr">
        <is>
          <t>MOVE_WAVE_CRASH</t>
        </is>
      </c>
    </row>
    <row r="1789">
      <c r="A1789" s="3" t="inlineStr">
        <is>
          <t>SPECIES_DRIFLOON</t>
        </is>
      </c>
      <c r="B1789" s="3" t="inlineStr">
        <is>
          <t>Drifloon</t>
        </is>
      </c>
      <c r="C1789" s="3" t="n">
        <v>1</v>
      </c>
      <c r="D1789" s="3" t="inlineStr">
        <is>
          <t>Minimize</t>
        </is>
      </c>
      <c r="E1789" s="3" t="inlineStr">
        <is>
          <t>MOVE_MINIMIZE</t>
        </is>
      </c>
    </row>
    <row r="1790">
      <c r="A1790" s="3" t="inlineStr">
        <is>
          <t>SPECIES_DRIFLOON</t>
        </is>
      </c>
      <c r="B1790" s="3" t="inlineStr">
        <is>
          <t>Drifloon</t>
        </is>
      </c>
      <c r="C1790" s="3" t="n">
        <v>1</v>
      </c>
      <c r="D1790" s="3" t="inlineStr">
        <is>
          <t>Astonish</t>
        </is>
      </c>
      <c r="E1790" s="3" t="inlineStr">
        <is>
          <t>MOVE_ASTONISH</t>
        </is>
      </c>
    </row>
    <row r="1791">
      <c r="A1791" s="3" t="inlineStr">
        <is>
          <t>SPECIES_DRIFLOON</t>
        </is>
      </c>
      <c r="B1791" s="3" t="inlineStr">
        <is>
          <t>Drifloon</t>
        </is>
      </c>
      <c r="C1791" s="3" t="n">
        <v>4</v>
      </c>
      <c r="D1791" s="3" t="inlineStr">
        <is>
          <t>Gust</t>
        </is>
      </c>
      <c r="E1791" s="3" t="inlineStr">
        <is>
          <t>MOVE_GUST</t>
        </is>
      </c>
    </row>
    <row r="1792">
      <c r="A1792" s="3" t="inlineStr">
        <is>
          <t>SPECIES_DRIFLOON</t>
        </is>
      </c>
      <c r="B1792" s="3" t="inlineStr">
        <is>
          <t>Drifloon</t>
        </is>
      </c>
      <c r="C1792" s="3" t="n">
        <v>8</v>
      </c>
      <c r="D1792" s="3" t="inlineStr">
        <is>
          <t>Focus Energy</t>
        </is>
      </c>
      <c r="E1792" s="3" t="inlineStr">
        <is>
          <t>MOVE_FOCUS_ENERGY</t>
        </is>
      </c>
    </row>
    <row r="1793">
      <c r="A1793" s="3" t="inlineStr">
        <is>
          <t>SPECIES_DRIFLOON</t>
        </is>
      </c>
      <c r="B1793" s="3" t="inlineStr">
        <is>
          <t>Drifloon</t>
        </is>
      </c>
      <c r="C1793" s="3" t="n">
        <v>12</v>
      </c>
      <c r="D1793" s="3" t="inlineStr">
        <is>
          <t>Payback</t>
        </is>
      </c>
      <c r="E1793" s="3" t="inlineStr">
        <is>
          <t>MOVE_PAYBACK</t>
        </is>
      </c>
    </row>
    <row r="1794">
      <c r="A1794" s="3" t="inlineStr">
        <is>
          <t>SPECIES_DRIFLOON</t>
        </is>
      </c>
      <c r="B1794" s="3" t="inlineStr">
        <is>
          <t>Drifloon</t>
        </is>
      </c>
      <c r="C1794" s="3" t="n">
        <v>16</v>
      </c>
      <c r="D1794" s="3" t="inlineStr">
        <is>
          <t>Hex</t>
        </is>
      </c>
      <c r="E1794" s="3" t="inlineStr">
        <is>
          <t>MOVE_HEX</t>
        </is>
      </c>
    </row>
    <row r="1795">
      <c r="A1795" s="3" t="inlineStr">
        <is>
          <t>SPECIES_DRIFLOON</t>
        </is>
      </c>
      <c r="B1795" s="3" t="inlineStr">
        <is>
          <t>Drifloon</t>
        </is>
      </c>
      <c r="C1795" s="3" t="n">
        <v>20</v>
      </c>
      <c r="D1795" s="3" t="inlineStr">
        <is>
          <t>Shadow Ball</t>
        </is>
      </c>
      <c r="E1795" s="3" t="inlineStr">
        <is>
          <t>MOVE_SHADOW_BALL</t>
        </is>
      </c>
    </row>
    <row r="1796">
      <c r="A1796" s="3" t="inlineStr">
        <is>
          <t>SPECIES_DRIFLOON</t>
        </is>
      </c>
      <c r="B1796" s="3" t="inlineStr">
        <is>
          <t>Drifloon</t>
        </is>
      </c>
      <c r="C1796" s="3" t="n">
        <v>24</v>
      </c>
      <c r="D1796" s="3" t="inlineStr">
        <is>
          <t>Stockpile</t>
        </is>
      </c>
      <c r="E1796" s="3" t="inlineStr">
        <is>
          <t>MOVE_STOCKPILE</t>
        </is>
      </c>
    </row>
    <row r="1797">
      <c r="A1797" s="3" t="inlineStr">
        <is>
          <t>SPECIES_DRIFLOON</t>
        </is>
      </c>
      <c r="B1797" s="3" t="inlineStr">
        <is>
          <t>Drifloon</t>
        </is>
      </c>
      <c r="C1797" s="3" t="n">
        <v>24</v>
      </c>
      <c r="D1797" s="3" t="inlineStr">
        <is>
          <t>Spit Up</t>
        </is>
      </c>
      <c r="E1797" s="3" t="inlineStr">
        <is>
          <t>MOVE_SPIT_UP</t>
        </is>
      </c>
    </row>
    <row r="1798">
      <c r="A1798" s="3" t="inlineStr">
        <is>
          <t>SPECIES_DRIFLOON</t>
        </is>
      </c>
      <c r="B1798" s="3" t="inlineStr">
        <is>
          <t>Drifloon</t>
        </is>
      </c>
      <c r="C1798" s="3" t="n">
        <v>24</v>
      </c>
      <c r="D1798" s="3" t="inlineStr">
        <is>
          <t>Swallow</t>
        </is>
      </c>
      <c r="E1798" s="3" t="inlineStr">
        <is>
          <t>MOVE_SWALLOW</t>
        </is>
      </c>
    </row>
    <row r="1799">
      <c r="A1799" s="3" t="inlineStr">
        <is>
          <t>SPECIES_DRIFLOON</t>
        </is>
      </c>
      <c r="B1799" s="3" t="inlineStr">
        <is>
          <t>Drifloon</t>
        </is>
      </c>
      <c r="C1799" s="3" t="n">
        <v>29</v>
      </c>
      <c r="D1799" s="3" t="inlineStr">
        <is>
          <t>Self-Destruct</t>
        </is>
      </c>
      <c r="E1799" s="3" t="inlineStr">
        <is>
          <t>MOVE_SELF_DESTRUCT</t>
        </is>
      </c>
    </row>
    <row r="1800">
      <c r="A1800" s="3" t="inlineStr">
        <is>
          <t>SPECIES_DRIFLOON</t>
        </is>
      </c>
      <c r="B1800" s="3" t="inlineStr">
        <is>
          <t>Drifloon</t>
        </is>
      </c>
      <c r="C1800" s="3" t="n">
        <v>32</v>
      </c>
      <c r="D1800" s="3" t="inlineStr">
        <is>
          <t>Destiny Bond</t>
        </is>
      </c>
      <c r="E1800" s="3" t="inlineStr">
        <is>
          <t>MOVE_DESTINY_BOND</t>
        </is>
      </c>
    </row>
    <row r="1801">
      <c r="A1801" s="3" t="inlineStr">
        <is>
          <t>SPECIES_DRIFLOON</t>
        </is>
      </c>
      <c r="B1801" s="3" t="inlineStr">
        <is>
          <t>Drifloon</t>
        </is>
      </c>
      <c r="C1801" s="3" t="n">
        <v>36</v>
      </c>
      <c r="D1801" s="3" t="inlineStr">
        <is>
          <t>Baton Pass</t>
        </is>
      </c>
      <c r="E1801" s="3" t="inlineStr">
        <is>
          <t>MOVE_BATON_PASS</t>
        </is>
      </c>
    </row>
    <row r="1802">
      <c r="A1802" s="3" t="inlineStr">
        <is>
          <t>SPECIES_DRIFLOON</t>
        </is>
      </c>
      <c r="B1802" s="3" t="inlineStr">
        <is>
          <t>Drifloon</t>
        </is>
      </c>
      <c r="C1802" s="3" t="n">
        <v>40</v>
      </c>
      <c r="D1802" s="3" t="inlineStr">
        <is>
          <t>Tailwind</t>
        </is>
      </c>
      <c r="E1802" s="3" t="inlineStr">
        <is>
          <t>MOVE_TAILWIND</t>
        </is>
      </c>
    </row>
    <row r="1803">
      <c r="A1803" s="3" t="inlineStr">
        <is>
          <t>SPECIES_DRIFLOON</t>
        </is>
      </c>
      <c r="B1803" s="3" t="inlineStr">
        <is>
          <t>Drifloon</t>
        </is>
      </c>
      <c r="C1803" s="3" t="n">
        <v>44</v>
      </c>
      <c r="D1803" s="3" t="inlineStr">
        <is>
          <t>Explosion</t>
        </is>
      </c>
      <c r="E1803" s="3" t="inlineStr">
        <is>
          <t>MOVE_EXPLOSION</t>
        </is>
      </c>
    </row>
    <row r="1804">
      <c r="A1804" s="3" t="inlineStr">
        <is>
          <t>SPECIES_DRIFBLIM</t>
        </is>
      </c>
      <c r="B1804" s="3" t="inlineStr">
        <is>
          <t>Drifblim</t>
        </is>
      </c>
      <c r="C1804" s="3" t="n">
        <v>0</v>
      </c>
      <c r="D1804" s="3" t="inlineStr">
        <is>
          <t>Phantom Force</t>
        </is>
      </c>
      <c r="E1804" s="3" t="inlineStr">
        <is>
          <t>MOVE_PHANTOM_FORCE</t>
        </is>
      </c>
    </row>
    <row r="1805">
      <c r="A1805" s="3" t="inlineStr">
        <is>
          <t>SPECIES_DRIFBLIM</t>
        </is>
      </c>
      <c r="B1805" s="3" t="inlineStr">
        <is>
          <t>Drifblim</t>
        </is>
      </c>
      <c r="C1805" s="3" t="n">
        <v>1</v>
      </c>
      <c r="D1805" s="3" t="inlineStr">
        <is>
          <t>Astonish</t>
        </is>
      </c>
      <c r="E1805" s="3" t="inlineStr">
        <is>
          <t>MOVE_ASTONISH</t>
        </is>
      </c>
    </row>
    <row r="1806">
      <c r="A1806" s="3" t="inlineStr">
        <is>
          <t>SPECIES_DRIFBLIM</t>
        </is>
      </c>
      <c r="B1806" s="3" t="inlineStr">
        <is>
          <t>Drifblim</t>
        </is>
      </c>
      <c r="C1806" s="3" t="n">
        <v>1</v>
      </c>
      <c r="D1806" s="3" t="inlineStr">
        <is>
          <t>Strength Sap</t>
        </is>
      </c>
      <c r="E1806" s="3" t="inlineStr">
        <is>
          <t>MOVE_STRENGTH_SAP</t>
        </is>
      </c>
    </row>
    <row r="1807">
      <c r="A1807" s="3" t="inlineStr">
        <is>
          <t>SPECIES_DRIFBLIM</t>
        </is>
      </c>
      <c r="B1807" s="3" t="inlineStr">
        <is>
          <t>Drifblim</t>
        </is>
      </c>
      <c r="C1807" s="3" t="n">
        <v>1</v>
      </c>
      <c r="D1807" s="3" t="inlineStr">
        <is>
          <t>Gust</t>
        </is>
      </c>
      <c r="E1807" s="3" t="inlineStr">
        <is>
          <t>MOVE_GUST</t>
        </is>
      </c>
    </row>
    <row r="1808">
      <c r="A1808" s="3" t="inlineStr">
        <is>
          <t>SPECIES_DRIFBLIM</t>
        </is>
      </c>
      <c r="B1808" s="3" t="inlineStr">
        <is>
          <t>Drifblim</t>
        </is>
      </c>
      <c r="C1808" s="3" t="n">
        <v>1</v>
      </c>
      <c r="D1808" s="3" t="inlineStr">
        <is>
          <t>Focus Energy</t>
        </is>
      </c>
      <c r="E1808" s="3" t="inlineStr">
        <is>
          <t>MOVE_FOCUS_ENERGY</t>
        </is>
      </c>
    </row>
    <row r="1809">
      <c r="A1809" s="3" t="inlineStr">
        <is>
          <t>SPECIES_DRIFBLIM</t>
        </is>
      </c>
      <c r="B1809" s="3" t="inlineStr">
        <is>
          <t>Drifblim</t>
        </is>
      </c>
      <c r="C1809" s="3" t="n">
        <v>1</v>
      </c>
      <c r="D1809" s="3" t="inlineStr">
        <is>
          <t>Minimize</t>
        </is>
      </c>
      <c r="E1809" s="3" t="inlineStr">
        <is>
          <t>MOVE_MINIMIZE</t>
        </is>
      </c>
    </row>
    <row r="1810">
      <c r="A1810" s="3" t="inlineStr">
        <is>
          <t>SPECIES_DRIFBLIM</t>
        </is>
      </c>
      <c r="B1810" s="3" t="inlineStr">
        <is>
          <t>Drifblim</t>
        </is>
      </c>
      <c r="C1810" s="3" t="n">
        <v>12</v>
      </c>
      <c r="D1810" s="3" t="inlineStr">
        <is>
          <t>Payback</t>
        </is>
      </c>
      <c r="E1810" s="3" t="inlineStr">
        <is>
          <t>MOVE_PAYBACK</t>
        </is>
      </c>
    </row>
    <row r="1811">
      <c r="A1811" s="3" t="inlineStr">
        <is>
          <t>SPECIES_DRIFBLIM</t>
        </is>
      </c>
      <c r="B1811" s="3" t="inlineStr">
        <is>
          <t>Drifblim</t>
        </is>
      </c>
      <c r="C1811" s="3" t="n">
        <v>16</v>
      </c>
      <c r="D1811" s="3" t="inlineStr">
        <is>
          <t>Hex</t>
        </is>
      </c>
      <c r="E1811" s="3" t="inlineStr">
        <is>
          <t>MOVE_HEX</t>
        </is>
      </c>
    </row>
    <row r="1812">
      <c r="A1812" s="3" t="inlineStr">
        <is>
          <t>SPECIES_DRIFBLIM</t>
        </is>
      </c>
      <c r="B1812" s="3" t="inlineStr">
        <is>
          <t>Drifblim</t>
        </is>
      </c>
      <c r="C1812" s="3" t="n">
        <v>20</v>
      </c>
      <c r="D1812" s="3" t="inlineStr">
        <is>
          <t>Shadow Ball</t>
        </is>
      </c>
      <c r="E1812" s="3" t="inlineStr">
        <is>
          <t>MOVE_SHADOW_BALL</t>
        </is>
      </c>
    </row>
    <row r="1813">
      <c r="A1813" s="3" t="inlineStr">
        <is>
          <t>SPECIES_DRIFBLIM</t>
        </is>
      </c>
      <c r="B1813" s="3" t="inlineStr">
        <is>
          <t>Drifblim</t>
        </is>
      </c>
      <c r="C1813" s="3" t="n">
        <v>24</v>
      </c>
      <c r="D1813" s="3" t="inlineStr">
        <is>
          <t>Spit Up</t>
        </is>
      </c>
      <c r="E1813" s="3" t="inlineStr">
        <is>
          <t>MOVE_SPIT_UP</t>
        </is>
      </c>
    </row>
    <row r="1814">
      <c r="A1814" s="3" t="inlineStr">
        <is>
          <t>SPECIES_DRIFBLIM</t>
        </is>
      </c>
      <c r="B1814" s="3" t="inlineStr">
        <is>
          <t>Drifblim</t>
        </is>
      </c>
      <c r="C1814" s="3" t="n">
        <v>24</v>
      </c>
      <c r="D1814" s="3" t="inlineStr">
        <is>
          <t>Swallow</t>
        </is>
      </c>
      <c r="E1814" s="3" t="inlineStr">
        <is>
          <t>MOVE_SWALLOW</t>
        </is>
      </c>
    </row>
    <row r="1815">
      <c r="A1815" s="3" t="inlineStr">
        <is>
          <t>SPECIES_DRIFBLIM</t>
        </is>
      </c>
      <c r="B1815" s="3" t="inlineStr">
        <is>
          <t>Drifblim</t>
        </is>
      </c>
      <c r="C1815" s="3" t="n">
        <v>24</v>
      </c>
      <c r="D1815" s="3" t="inlineStr">
        <is>
          <t>Stockpile</t>
        </is>
      </c>
      <c r="E1815" s="3" t="inlineStr">
        <is>
          <t>MOVE_STOCKPILE</t>
        </is>
      </c>
    </row>
    <row r="1816">
      <c r="A1816" s="3" t="inlineStr">
        <is>
          <t>SPECIES_DRIFBLIM</t>
        </is>
      </c>
      <c r="B1816" s="3" t="inlineStr">
        <is>
          <t>Drifblim</t>
        </is>
      </c>
      <c r="C1816" s="3" t="n">
        <v>31</v>
      </c>
      <c r="D1816" s="3" t="inlineStr">
        <is>
          <t>Self-Destruct</t>
        </is>
      </c>
      <c r="E1816" s="3" t="inlineStr">
        <is>
          <t>MOVE_SELF_DESTRUCT</t>
        </is>
      </c>
    </row>
    <row r="1817">
      <c r="A1817" s="3" t="inlineStr">
        <is>
          <t>SPECIES_DRIFBLIM</t>
        </is>
      </c>
      <c r="B1817" s="3" t="inlineStr">
        <is>
          <t>Drifblim</t>
        </is>
      </c>
      <c r="C1817" s="3" t="n">
        <v>36</v>
      </c>
      <c r="D1817" s="3" t="inlineStr">
        <is>
          <t>Destiny Bond</t>
        </is>
      </c>
      <c r="E1817" s="3" t="inlineStr">
        <is>
          <t>MOVE_DESTINY_BOND</t>
        </is>
      </c>
    </row>
    <row r="1818">
      <c r="A1818" s="3" t="inlineStr">
        <is>
          <t>SPECIES_DRIFBLIM</t>
        </is>
      </c>
      <c r="B1818" s="3" t="inlineStr">
        <is>
          <t>Drifblim</t>
        </is>
      </c>
      <c r="C1818" s="3" t="n">
        <v>42</v>
      </c>
      <c r="D1818" s="3" t="inlineStr">
        <is>
          <t>Baton Pass</t>
        </is>
      </c>
      <c r="E1818" s="3" t="inlineStr">
        <is>
          <t>MOVE_BATON_PASS</t>
        </is>
      </c>
    </row>
    <row r="1819">
      <c r="A1819" s="3" t="inlineStr">
        <is>
          <t>SPECIES_DRIFBLIM</t>
        </is>
      </c>
      <c r="B1819" s="3" t="inlineStr">
        <is>
          <t>Drifblim</t>
        </is>
      </c>
      <c r="C1819" s="3" t="n">
        <v>48</v>
      </c>
      <c r="D1819" s="3" t="inlineStr">
        <is>
          <t>Tailwind</t>
        </is>
      </c>
      <c r="E1819" s="3" t="inlineStr">
        <is>
          <t>MOVE_TAILWIND</t>
        </is>
      </c>
    </row>
    <row r="1820">
      <c r="A1820" s="3" t="inlineStr">
        <is>
          <t>SPECIES_DRIFBLIM</t>
        </is>
      </c>
      <c r="B1820" s="3" t="inlineStr">
        <is>
          <t>Drifblim</t>
        </is>
      </c>
      <c r="C1820" s="3" t="n">
        <v>54</v>
      </c>
      <c r="D1820" s="3" t="inlineStr">
        <is>
          <t>Explosion</t>
        </is>
      </c>
      <c r="E1820" s="3" t="inlineStr">
        <is>
          <t>MOVE_EXPLOSION</t>
        </is>
      </c>
    </row>
    <row r="1821">
      <c r="A1821" s="3" t="inlineStr">
        <is>
          <t>SPECIES_BUNEARY</t>
        </is>
      </c>
      <c r="B1821" s="3" t="inlineStr">
        <is>
          <t>Buneary</t>
        </is>
      </c>
      <c r="C1821" s="3" t="n">
        <v>1</v>
      </c>
      <c r="D1821" s="3" t="inlineStr">
        <is>
          <t>Splash</t>
        </is>
      </c>
      <c r="E1821" s="3" t="inlineStr">
        <is>
          <t>MOVE_SPLASH</t>
        </is>
      </c>
    </row>
    <row r="1822">
      <c r="A1822" s="3" t="inlineStr">
        <is>
          <t>SPECIES_BUNEARY</t>
        </is>
      </c>
      <c r="B1822" s="3" t="inlineStr">
        <is>
          <t>Buneary</t>
        </is>
      </c>
      <c r="C1822" s="3" t="n">
        <v>1</v>
      </c>
      <c r="D1822" s="3" t="inlineStr">
        <is>
          <t>Pound</t>
        </is>
      </c>
      <c r="E1822" s="3" t="inlineStr">
        <is>
          <t>MOVE_POUND</t>
        </is>
      </c>
    </row>
    <row r="1823">
      <c r="A1823" s="3" t="inlineStr">
        <is>
          <t>SPECIES_BUNEARY</t>
        </is>
      </c>
      <c r="B1823" s="3" t="inlineStr">
        <is>
          <t>Buneary</t>
        </is>
      </c>
      <c r="C1823" s="3" t="n">
        <v>4</v>
      </c>
      <c r="D1823" s="3" t="inlineStr">
        <is>
          <t>Defense Curl</t>
        </is>
      </c>
      <c r="E1823" s="3" t="inlineStr">
        <is>
          <t>MOVE_DEFENSE_CURL</t>
        </is>
      </c>
    </row>
    <row r="1824">
      <c r="A1824" s="3" t="inlineStr">
        <is>
          <t>SPECIES_BUNEARY</t>
        </is>
      </c>
      <c r="B1824" s="3" t="inlineStr">
        <is>
          <t>Buneary</t>
        </is>
      </c>
      <c r="C1824" s="3" t="n">
        <v>8</v>
      </c>
      <c r="D1824" s="3" t="inlineStr">
        <is>
          <t>Doll Eyes</t>
        </is>
      </c>
      <c r="E1824" s="3" t="inlineStr">
        <is>
          <t>MOVE_BABY_DOLL_EYES</t>
        </is>
      </c>
    </row>
    <row r="1825">
      <c r="A1825" s="3" t="inlineStr">
        <is>
          <t>SPECIES_BUNEARY</t>
        </is>
      </c>
      <c r="B1825" s="3" t="inlineStr">
        <is>
          <t>Buneary</t>
        </is>
      </c>
      <c r="C1825" s="3" t="n">
        <v>12</v>
      </c>
      <c r="D1825" s="3" t="inlineStr">
        <is>
          <t>After You</t>
        </is>
      </c>
      <c r="E1825" s="3" t="inlineStr">
        <is>
          <t>MOVE_AFTER_YOU</t>
        </is>
      </c>
    </row>
    <row r="1826">
      <c r="A1826" s="3" t="inlineStr">
        <is>
          <t>SPECIES_BUNEARY</t>
        </is>
      </c>
      <c r="B1826" s="3" t="inlineStr">
        <is>
          <t>Buneary</t>
        </is>
      </c>
      <c r="C1826" s="3" t="n">
        <v>16</v>
      </c>
      <c r="D1826" s="3" t="inlineStr">
        <is>
          <t>Quick Attack</t>
        </is>
      </c>
      <c r="E1826" s="3" t="inlineStr">
        <is>
          <t>MOVE_QUICK_ATTACK</t>
        </is>
      </c>
    </row>
    <row r="1827">
      <c r="A1827" s="3" t="inlineStr">
        <is>
          <t>SPECIES_BUNEARY</t>
        </is>
      </c>
      <c r="B1827" s="3" t="inlineStr">
        <is>
          <t>Buneary</t>
        </is>
      </c>
      <c r="C1827" s="3" t="n">
        <v>20</v>
      </c>
      <c r="D1827" s="3" t="inlineStr">
        <is>
          <t>Double Kick</t>
        </is>
      </c>
      <c r="E1827" s="3" t="inlineStr">
        <is>
          <t>MOVE_DOUBLE_KICK</t>
        </is>
      </c>
    </row>
    <row r="1828">
      <c r="A1828" s="3" t="inlineStr">
        <is>
          <t>SPECIES_BUNEARY</t>
        </is>
      </c>
      <c r="B1828" s="3" t="inlineStr">
        <is>
          <t>Buneary</t>
        </is>
      </c>
      <c r="C1828" s="3" t="n">
        <v>24</v>
      </c>
      <c r="D1828" s="3" t="inlineStr">
        <is>
          <t>Charm</t>
        </is>
      </c>
      <c r="E1828" s="3" t="inlineStr">
        <is>
          <t>MOVE_CHARM</t>
        </is>
      </c>
    </row>
    <row r="1829">
      <c r="A1829" s="3" t="inlineStr">
        <is>
          <t>SPECIES_BUNEARY</t>
        </is>
      </c>
      <c r="B1829" s="3" t="inlineStr">
        <is>
          <t>Buneary</t>
        </is>
      </c>
      <c r="C1829" s="3" t="n">
        <v>28</v>
      </c>
      <c r="D1829" s="3" t="inlineStr">
        <is>
          <t>Baton Pass</t>
        </is>
      </c>
      <c r="E1829" s="3" t="inlineStr">
        <is>
          <t>MOVE_BATON_PASS</t>
        </is>
      </c>
    </row>
    <row r="1830">
      <c r="A1830" s="3" t="inlineStr">
        <is>
          <t>SPECIES_BUNEARY</t>
        </is>
      </c>
      <c r="B1830" s="3" t="inlineStr">
        <is>
          <t>Buneary</t>
        </is>
      </c>
      <c r="C1830" s="3" t="n">
        <v>32</v>
      </c>
      <c r="D1830" s="3" t="inlineStr">
        <is>
          <t>Headbutt</t>
        </is>
      </c>
      <c r="E1830" s="3" t="inlineStr">
        <is>
          <t>MOVE_HEADBUTT</t>
        </is>
      </c>
    </row>
    <row r="1831">
      <c r="A1831" s="3" t="inlineStr">
        <is>
          <t>SPECIES_BUNEARY</t>
        </is>
      </c>
      <c r="B1831" s="3" t="inlineStr">
        <is>
          <t>Buneary</t>
        </is>
      </c>
      <c r="C1831" s="3" t="n">
        <v>36</v>
      </c>
      <c r="D1831" s="3" t="inlineStr">
        <is>
          <t>Agility</t>
        </is>
      </c>
      <c r="E1831" s="3" t="inlineStr">
        <is>
          <t>MOVE_AGILITY</t>
        </is>
      </c>
    </row>
    <row r="1832">
      <c r="A1832" s="3" t="inlineStr">
        <is>
          <t>SPECIES_BUNEARY</t>
        </is>
      </c>
      <c r="B1832" s="3" t="inlineStr">
        <is>
          <t>Buneary</t>
        </is>
      </c>
      <c r="C1832" s="3" t="n">
        <v>40</v>
      </c>
      <c r="D1832" s="3" t="inlineStr">
        <is>
          <t>Entrainment</t>
        </is>
      </c>
      <c r="E1832" s="3" t="inlineStr">
        <is>
          <t>MOVE_ENTRAINMENT</t>
        </is>
      </c>
    </row>
    <row r="1833">
      <c r="A1833" s="3" t="inlineStr">
        <is>
          <t>SPECIES_BUNEARY</t>
        </is>
      </c>
      <c r="B1833" s="3" t="inlineStr">
        <is>
          <t>Buneary</t>
        </is>
      </c>
      <c r="C1833" s="3" t="n">
        <v>44</v>
      </c>
      <c r="D1833" s="3" t="inlineStr">
        <is>
          <t>Flatter</t>
        </is>
      </c>
      <c r="E1833" s="3" t="inlineStr">
        <is>
          <t>MOVE_FLATTER</t>
        </is>
      </c>
    </row>
    <row r="1834">
      <c r="A1834" s="3" t="inlineStr">
        <is>
          <t>SPECIES_BUNEARY</t>
        </is>
      </c>
      <c r="B1834" s="3" t="inlineStr">
        <is>
          <t>Buneary</t>
        </is>
      </c>
      <c r="C1834" s="3" t="n">
        <v>48</v>
      </c>
      <c r="D1834" s="3" t="inlineStr">
        <is>
          <t>Bounce</t>
        </is>
      </c>
      <c r="E1834" s="3" t="inlineStr">
        <is>
          <t>MOVE_BOUNCE</t>
        </is>
      </c>
    </row>
    <row r="1835">
      <c r="A1835" s="3" t="inlineStr">
        <is>
          <t>SPECIES_BUNEARY</t>
        </is>
      </c>
      <c r="B1835" s="3" t="inlineStr">
        <is>
          <t>Buneary</t>
        </is>
      </c>
      <c r="C1835" s="3" t="n">
        <v>52</v>
      </c>
      <c r="D1835" s="3" t="inlineStr">
        <is>
          <t>Healing Wish</t>
        </is>
      </c>
      <c r="E1835" s="3" t="inlineStr">
        <is>
          <t>MOVE_HEALING_WISH</t>
        </is>
      </c>
    </row>
    <row r="1836">
      <c r="A1836" s="3" t="inlineStr">
        <is>
          <t>SPECIES_LOPUNNY</t>
        </is>
      </c>
      <c r="B1836" s="3" t="inlineStr">
        <is>
          <t>Lopunny</t>
        </is>
      </c>
      <c r="C1836" s="3" t="n">
        <v>1</v>
      </c>
      <c r="D1836" s="3" t="inlineStr">
        <is>
          <t>Mirror Coat</t>
        </is>
      </c>
      <c r="E1836" s="3" t="inlineStr">
        <is>
          <t>MOVE_MIRROR_COAT</t>
        </is>
      </c>
    </row>
    <row r="1837">
      <c r="A1837" s="3" t="inlineStr">
        <is>
          <t>SPECIES_LOPUNNY</t>
        </is>
      </c>
      <c r="B1837" s="3" t="inlineStr">
        <is>
          <t>Lopunny</t>
        </is>
      </c>
      <c r="C1837" s="3" t="n">
        <v>1</v>
      </c>
      <c r="D1837" s="3" t="inlineStr">
        <is>
          <t>Magic Coat</t>
        </is>
      </c>
      <c r="E1837" s="3" t="inlineStr">
        <is>
          <t>MOVE_MAGIC_COAT</t>
        </is>
      </c>
    </row>
    <row r="1838">
      <c r="A1838" s="3" t="inlineStr">
        <is>
          <t>SPECIES_LOPUNNY</t>
        </is>
      </c>
      <c r="B1838" s="3" t="inlineStr">
        <is>
          <t>Lopunny</t>
        </is>
      </c>
      <c r="C1838" s="3" t="n">
        <v>1</v>
      </c>
      <c r="D1838" s="3" t="inlineStr">
        <is>
          <t>Splash</t>
        </is>
      </c>
      <c r="E1838" s="3" t="inlineStr">
        <is>
          <t>MOVE_SPLASH</t>
        </is>
      </c>
    </row>
    <row r="1839">
      <c r="A1839" s="3" t="inlineStr">
        <is>
          <t>SPECIES_LOPUNNY</t>
        </is>
      </c>
      <c r="B1839" s="3" t="inlineStr">
        <is>
          <t>Lopunny</t>
        </is>
      </c>
      <c r="C1839" s="3" t="n">
        <v>1</v>
      </c>
      <c r="D1839" s="3" t="inlineStr">
        <is>
          <t>Pound</t>
        </is>
      </c>
      <c r="E1839" s="3" t="inlineStr">
        <is>
          <t>MOVE_POUND</t>
        </is>
      </c>
    </row>
    <row r="1840">
      <c r="A1840" s="3" t="inlineStr">
        <is>
          <t>SPECIES_LOPUNNY</t>
        </is>
      </c>
      <c r="B1840" s="3" t="inlineStr">
        <is>
          <t>Lopunny</t>
        </is>
      </c>
      <c r="C1840" s="3" t="n">
        <v>1</v>
      </c>
      <c r="D1840" s="3" t="inlineStr">
        <is>
          <t>Defense Curl</t>
        </is>
      </c>
      <c r="E1840" s="3" t="inlineStr">
        <is>
          <t>MOVE_DEFENSE_CURL</t>
        </is>
      </c>
    </row>
    <row r="1841">
      <c r="A1841" s="3" t="inlineStr">
        <is>
          <t>SPECIES_LOPUNNY</t>
        </is>
      </c>
      <c r="B1841" s="3" t="inlineStr">
        <is>
          <t>Lopunny</t>
        </is>
      </c>
      <c r="C1841" s="3" t="n">
        <v>1</v>
      </c>
      <c r="D1841" s="3" t="inlineStr">
        <is>
          <t>Doll Eyes</t>
        </is>
      </c>
      <c r="E1841" s="3" t="inlineStr">
        <is>
          <t>MOVE_BABY_DOLL_EYES</t>
        </is>
      </c>
    </row>
    <row r="1842">
      <c r="A1842" s="3" t="inlineStr">
        <is>
          <t>SPECIES_LOPUNNY</t>
        </is>
      </c>
      <c r="B1842" s="3" t="inlineStr">
        <is>
          <t>Lopunny</t>
        </is>
      </c>
      <c r="C1842" s="3" t="n">
        <v>12</v>
      </c>
      <c r="D1842" s="3" t="inlineStr">
        <is>
          <t>After You</t>
        </is>
      </c>
      <c r="E1842" s="3" t="inlineStr">
        <is>
          <t>MOVE_AFTER_YOU</t>
        </is>
      </c>
    </row>
    <row r="1843">
      <c r="A1843" s="3" t="inlineStr">
        <is>
          <t>SPECIES_LOPUNNY</t>
        </is>
      </c>
      <c r="B1843" s="3" t="inlineStr">
        <is>
          <t>Lopunny</t>
        </is>
      </c>
      <c r="C1843" s="3" t="n">
        <v>16</v>
      </c>
      <c r="D1843" s="3" t="inlineStr">
        <is>
          <t>Quick Attack</t>
        </is>
      </c>
      <c r="E1843" s="3" t="inlineStr">
        <is>
          <t>MOVE_QUICK_ATTACK</t>
        </is>
      </c>
    </row>
    <row r="1844">
      <c r="A1844" s="3" t="inlineStr">
        <is>
          <t>SPECIES_LOPUNNY</t>
        </is>
      </c>
      <c r="B1844" s="3" t="inlineStr">
        <is>
          <t>Lopunny</t>
        </is>
      </c>
      <c r="C1844" s="3" t="n">
        <v>20</v>
      </c>
      <c r="D1844" s="3" t="inlineStr">
        <is>
          <t>Double Kick</t>
        </is>
      </c>
      <c r="E1844" s="3" t="inlineStr">
        <is>
          <t>MOVE_DOUBLE_KICK</t>
        </is>
      </c>
    </row>
    <row r="1845">
      <c r="A1845" s="3" t="inlineStr">
        <is>
          <t>SPECIES_LOPUNNY</t>
        </is>
      </c>
      <c r="B1845" s="3" t="inlineStr">
        <is>
          <t>Lopunny</t>
        </is>
      </c>
      <c r="C1845" s="3" t="n">
        <v>24</v>
      </c>
      <c r="D1845" s="3" t="inlineStr">
        <is>
          <t>Charm</t>
        </is>
      </c>
      <c r="E1845" s="3" t="inlineStr">
        <is>
          <t>MOVE_CHARM</t>
        </is>
      </c>
    </row>
    <row r="1846">
      <c r="A1846" s="3" t="inlineStr">
        <is>
          <t>SPECIES_LOPUNNY</t>
        </is>
      </c>
      <c r="B1846" s="3" t="inlineStr">
        <is>
          <t>Lopunny</t>
        </is>
      </c>
      <c r="C1846" s="3" t="n">
        <v>28</v>
      </c>
      <c r="D1846" s="3" t="inlineStr">
        <is>
          <t>Baton Pass</t>
        </is>
      </c>
      <c r="E1846" s="3" t="inlineStr">
        <is>
          <t>MOVE_BATON_PASS</t>
        </is>
      </c>
    </row>
    <row r="1847">
      <c r="A1847" s="3" t="inlineStr">
        <is>
          <t>SPECIES_LOPUNNY</t>
        </is>
      </c>
      <c r="B1847" s="3" t="inlineStr">
        <is>
          <t>Lopunny</t>
        </is>
      </c>
      <c r="C1847" s="3" t="n">
        <v>32</v>
      </c>
      <c r="D1847" s="3" t="inlineStr">
        <is>
          <t>Headbutt</t>
        </is>
      </c>
      <c r="E1847" s="3" t="inlineStr">
        <is>
          <t>MOVE_HEADBUTT</t>
        </is>
      </c>
    </row>
    <row r="1848">
      <c r="A1848" s="3" t="inlineStr">
        <is>
          <t>SPECIES_LOPUNNY</t>
        </is>
      </c>
      <c r="B1848" s="3" t="inlineStr">
        <is>
          <t>Lopunny</t>
        </is>
      </c>
      <c r="C1848" s="3" t="n">
        <v>36</v>
      </c>
      <c r="D1848" s="3" t="inlineStr">
        <is>
          <t>Agility</t>
        </is>
      </c>
      <c r="E1848" s="3" t="inlineStr">
        <is>
          <t>MOVE_AGILITY</t>
        </is>
      </c>
    </row>
    <row r="1849">
      <c r="A1849" s="3" t="inlineStr">
        <is>
          <t>SPECIES_LOPUNNY</t>
        </is>
      </c>
      <c r="B1849" s="3" t="inlineStr">
        <is>
          <t>Lopunny</t>
        </is>
      </c>
      <c r="C1849" s="3" t="n">
        <v>40</v>
      </c>
      <c r="D1849" s="3" t="inlineStr">
        <is>
          <t>Entrainment</t>
        </is>
      </c>
      <c r="E1849" s="3" t="inlineStr">
        <is>
          <t>MOVE_ENTRAINMENT</t>
        </is>
      </c>
    </row>
    <row r="1850">
      <c r="A1850" s="3" t="inlineStr">
        <is>
          <t>SPECIES_LOPUNNY</t>
        </is>
      </c>
      <c r="B1850" s="3" t="inlineStr">
        <is>
          <t>Lopunny</t>
        </is>
      </c>
      <c r="C1850" s="3" t="n">
        <v>44</v>
      </c>
      <c r="D1850" s="3" t="inlineStr">
        <is>
          <t>Flatter</t>
        </is>
      </c>
      <c r="E1850" s="3" t="inlineStr">
        <is>
          <t>MOVE_FLATTER</t>
        </is>
      </c>
    </row>
    <row r="1851">
      <c r="A1851" s="3" t="inlineStr">
        <is>
          <t>SPECIES_LOPUNNY</t>
        </is>
      </c>
      <c r="B1851" s="3" t="inlineStr">
        <is>
          <t>Lopunny</t>
        </is>
      </c>
      <c r="C1851" s="3" t="n">
        <v>48</v>
      </c>
      <c r="D1851" s="3" t="inlineStr">
        <is>
          <t>Bounce</t>
        </is>
      </c>
      <c r="E1851" s="3" t="inlineStr">
        <is>
          <t>MOVE_BOUNCE</t>
        </is>
      </c>
    </row>
    <row r="1852">
      <c r="A1852" s="3" t="inlineStr">
        <is>
          <t>SPECIES_LOPUNNY</t>
        </is>
      </c>
      <c r="B1852" s="3" t="inlineStr">
        <is>
          <t>Lopunny</t>
        </is>
      </c>
      <c r="C1852" s="3" t="n">
        <v>52</v>
      </c>
      <c r="D1852" s="3" t="inlineStr">
        <is>
          <t>Healing Wish</t>
        </is>
      </c>
      <c r="E1852" s="3" t="inlineStr">
        <is>
          <t>MOVE_HEALING_WISH</t>
        </is>
      </c>
    </row>
    <row r="1853">
      <c r="A1853" s="3" t="inlineStr">
        <is>
          <t>SPECIES_LOPUNNY</t>
        </is>
      </c>
      <c r="B1853" s="3" t="inlineStr">
        <is>
          <t>Lopunny</t>
        </is>
      </c>
      <c r="C1853" s="3" t="n">
        <v>56</v>
      </c>
      <c r="D1853" s="3" t="inlineStr">
        <is>
          <t>High Jump Kick</t>
        </is>
      </c>
      <c r="E1853" s="3" t="inlineStr">
        <is>
          <t>MOVE_HIGH_JUMP_KICK</t>
        </is>
      </c>
    </row>
    <row r="1854">
      <c r="A1854" s="3" t="inlineStr">
        <is>
          <t>SPECIES_BRONZOR</t>
        </is>
      </c>
      <c r="B1854" s="3" t="inlineStr">
        <is>
          <t>Bronzor</t>
        </is>
      </c>
      <c r="C1854" s="3" t="n">
        <v>1</v>
      </c>
      <c r="D1854" s="3" t="inlineStr">
        <is>
          <t>Tackle</t>
        </is>
      </c>
      <c r="E1854" s="3" t="inlineStr">
        <is>
          <t>MOVE_TACKLE</t>
        </is>
      </c>
    </row>
    <row r="1855">
      <c r="A1855" s="3" t="inlineStr">
        <is>
          <t>SPECIES_BRONZOR</t>
        </is>
      </c>
      <c r="B1855" s="3" t="inlineStr">
        <is>
          <t>Bronzor</t>
        </is>
      </c>
      <c r="C1855" s="3" t="n">
        <v>1</v>
      </c>
      <c r="D1855" s="3" t="inlineStr">
        <is>
          <t>Confusion</t>
        </is>
      </c>
      <c r="E1855" s="3" t="inlineStr">
        <is>
          <t>MOVE_CONFUSION</t>
        </is>
      </c>
    </row>
    <row r="1856">
      <c r="A1856" s="3" t="inlineStr">
        <is>
          <t>SPECIES_BRONZOR</t>
        </is>
      </c>
      <c r="B1856" s="3" t="inlineStr">
        <is>
          <t>Bronzor</t>
        </is>
      </c>
      <c r="C1856" s="3" t="n">
        <v>4</v>
      </c>
      <c r="D1856" s="3" t="inlineStr">
        <is>
          <t>Confuse Ray</t>
        </is>
      </c>
      <c r="E1856" s="3" t="inlineStr">
        <is>
          <t>MOVE_CONFUSE_RAY</t>
        </is>
      </c>
    </row>
    <row r="1857">
      <c r="A1857" s="3" t="inlineStr">
        <is>
          <t>SPECIES_BRONZOR</t>
        </is>
      </c>
      <c r="B1857" s="3" t="inlineStr">
        <is>
          <t>Bronzor</t>
        </is>
      </c>
      <c r="C1857" s="3" t="n">
        <v>8</v>
      </c>
      <c r="D1857" s="3" t="inlineStr">
        <is>
          <t>Payback</t>
        </is>
      </c>
      <c r="E1857" s="3" t="inlineStr">
        <is>
          <t>MOVE_PAYBACK</t>
        </is>
      </c>
    </row>
    <row r="1858">
      <c r="A1858" s="3" t="inlineStr">
        <is>
          <t>SPECIES_BRONZOR</t>
        </is>
      </c>
      <c r="B1858" s="3" t="inlineStr">
        <is>
          <t>Bronzor</t>
        </is>
      </c>
      <c r="C1858" s="3" t="n">
        <v>12</v>
      </c>
      <c r="D1858" s="3" t="inlineStr">
        <is>
          <t>Imprison</t>
        </is>
      </c>
      <c r="E1858" s="3" t="inlineStr">
        <is>
          <t>MOVE_IMPRISON</t>
        </is>
      </c>
    </row>
    <row r="1859">
      <c r="A1859" s="3" t="inlineStr">
        <is>
          <t>SPECIES_BRONZOR</t>
        </is>
      </c>
      <c r="B1859" s="3" t="inlineStr">
        <is>
          <t>Bronzor</t>
        </is>
      </c>
      <c r="C1859" s="3" t="n">
        <v>16</v>
      </c>
      <c r="D1859" s="3" t="inlineStr">
        <is>
          <t>Gyro Ball</t>
        </is>
      </c>
      <c r="E1859" s="3" t="inlineStr">
        <is>
          <t>MOVE_GYRO_BALL</t>
        </is>
      </c>
    </row>
    <row r="1860">
      <c r="A1860" s="3" t="inlineStr">
        <is>
          <t>SPECIES_BRONZOR</t>
        </is>
      </c>
      <c r="B1860" s="3" t="inlineStr">
        <is>
          <t>Bronzor</t>
        </is>
      </c>
      <c r="C1860" s="3" t="n">
        <v>20</v>
      </c>
      <c r="D1860" s="3" t="inlineStr">
        <is>
          <t>Hypnosis</t>
        </is>
      </c>
      <c r="E1860" s="3" t="inlineStr">
        <is>
          <t>MOVE_HYPNOSIS</t>
        </is>
      </c>
    </row>
    <row r="1861">
      <c r="A1861" s="3" t="inlineStr">
        <is>
          <t>SPECIES_BRONZOR</t>
        </is>
      </c>
      <c r="B1861" s="3" t="inlineStr">
        <is>
          <t>Bronzor</t>
        </is>
      </c>
      <c r="C1861" s="3" t="n">
        <v>24</v>
      </c>
      <c r="D1861" s="3" t="inlineStr">
        <is>
          <t>Safeguard</t>
        </is>
      </c>
      <c r="E1861" s="3" t="inlineStr">
        <is>
          <t>MOVE_SAFEGUARD</t>
        </is>
      </c>
    </row>
    <row r="1862">
      <c r="A1862" s="3" t="inlineStr">
        <is>
          <t>SPECIES_BRONZOR</t>
        </is>
      </c>
      <c r="B1862" s="3" t="inlineStr">
        <is>
          <t>Bronzor</t>
        </is>
      </c>
      <c r="C1862" s="3" t="n">
        <v>28</v>
      </c>
      <c r="D1862" s="3" t="inlineStr">
        <is>
          <t>Extrasensory</t>
        </is>
      </c>
      <c r="E1862" s="3" t="inlineStr">
        <is>
          <t>MOVE_EXTRASENSORY</t>
        </is>
      </c>
    </row>
    <row r="1863">
      <c r="A1863" s="3" t="inlineStr">
        <is>
          <t>SPECIES_BRONZOR</t>
        </is>
      </c>
      <c r="B1863" s="3" t="inlineStr">
        <is>
          <t>Bronzor</t>
        </is>
      </c>
      <c r="C1863" s="3" t="n">
        <v>32</v>
      </c>
      <c r="D1863" s="3" t="inlineStr">
        <is>
          <t>Heavy Slam</t>
        </is>
      </c>
      <c r="E1863" s="3" t="inlineStr">
        <is>
          <t>MOVE_HEAVY_SLAM</t>
        </is>
      </c>
    </row>
    <row r="1864">
      <c r="A1864" s="3" t="inlineStr">
        <is>
          <t>SPECIES_BRONZOR</t>
        </is>
      </c>
      <c r="B1864" s="3" t="inlineStr">
        <is>
          <t>Bronzor</t>
        </is>
      </c>
      <c r="C1864" s="3" t="n">
        <v>36</v>
      </c>
      <c r="D1864" s="3" t="inlineStr">
        <is>
          <t>Iron Defense</t>
        </is>
      </c>
      <c r="E1864" s="3" t="inlineStr">
        <is>
          <t>MOVE_IRON_DEFENSE</t>
        </is>
      </c>
    </row>
    <row r="1865">
      <c r="A1865" s="3" t="inlineStr">
        <is>
          <t>SPECIES_BRONZOR</t>
        </is>
      </c>
      <c r="B1865" s="3" t="inlineStr">
        <is>
          <t>Bronzor</t>
        </is>
      </c>
      <c r="C1865" s="3" t="n">
        <v>40</v>
      </c>
      <c r="D1865" s="3" t="inlineStr">
        <is>
          <t>Metal Sound</t>
        </is>
      </c>
      <c r="E1865" s="3" t="inlineStr">
        <is>
          <t>MOVE_METAL_SOUND</t>
        </is>
      </c>
    </row>
    <row r="1866">
      <c r="A1866" s="3" t="inlineStr">
        <is>
          <t>SPECIES_BRONZOR</t>
        </is>
      </c>
      <c r="B1866" s="3" t="inlineStr">
        <is>
          <t>Bronzor</t>
        </is>
      </c>
      <c r="C1866" s="3" t="n">
        <v>44</v>
      </c>
      <c r="D1866" s="3" t="inlineStr">
        <is>
          <t>Future Sight</t>
        </is>
      </c>
      <c r="E1866" s="3" t="inlineStr">
        <is>
          <t>MOVE_FUTURE_SIGHT</t>
        </is>
      </c>
    </row>
    <row r="1867">
      <c r="A1867" s="3" t="inlineStr">
        <is>
          <t>SPECIES_BRONZONG</t>
        </is>
      </c>
      <c r="B1867" s="3" t="inlineStr">
        <is>
          <t>Bronzong</t>
        </is>
      </c>
      <c r="C1867" s="3" t="n">
        <v>0</v>
      </c>
      <c r="D1867" s="3" t="inlineStr">
        <is>
          <t>Block</t>
        </is>
      </c>
      <c r="E1867" s="3" t="inlineStr">
        <is>
          <t>MOVE_BLOCK</t>
        </is>
      </c>
    </row>
    <row r="1868">
      <c r="A1868" s="3" t="inlineStr">
        <is>
          <t>SPECIES_BRONZONG</t>
        </is>
      </c>
      <c r="B1868" s="3" t="inlineStr">
        <is>
          <t>Bronzong</t>
        </is>
      </c>
      <c r="C1868" s="3" t="n">
        <v>1</v>
      </c>
      <c r="D1868" s="3" t="inlineStr">
        <is>
          <t>Tackle</t>
        </is>
      </c>
      <c r="E1868" s="3" t="inlineStr">
        <is>
          <t>MOVE_TACKLE</t>
        </is>
      </c>
    </row>
    <row r="1869">
      <c r="A1869" s="3" t="inlineStr">
        <is>
          <t>SPECIES_BRONZONG</t>
        </is>
      </c>
      <c r="B1869" s="3" t="inlineStr">
        <is>
          <t>Bronzong</t>
        </is>
      </c>
      <c r="C1869" s="3" t="n">
        <v>1</v>
      </c>
      <c r="D1869" s="3" t="inlineStr">
        <is>
          <t>Confusion</t>
        </is>
      </c>
      <c r="E1869" s="3" t="inlineStr">
        <is>
          <t>MOVE_CONFUSION</t>
        </is>
      </c>
    </row>
    <row r="1870">
      <c r="A1870" s="3" t="inlineStr">
        <is>
          <t>SPECIES_BRONZONG</t>
        </is>
      </c>
      <c r="B1870" s="3" t="inlineStr">
        <is>
          <t>Bronzong</t>
        </is>
      </c>
      <c r="C1870" s="3" t="n">
        <v>1</v>
      </c>
      <c r="D1870" s="3" t="inlineStr">
        <is>
          <t>Confuse Ray</t>
        </is>
      </c>
      <c r="E1870" s="3" t="inlineStr">
        <is>
          <t>MOVE_CONFUSE_RAY</t>
        </is>
      </c>
    </row>
    <row r="1871">
      <c r="A1871" s="3" t="inlineStr">
        <is>
          <t>SPECIES_BRONZONG</t>
        </is>
      </c>
      <c r="B1871" s="3" t="inlineStr">
        <is>
          <t>Bronzong</t>
        </is>
      </c>
      <c r="C1871" s="3" t="n">
        <v>1</v>
      </c>
      <c r="D1871" s="3" t="inlineStr">
        <is>
          <t>Weather Ball</t>
        </is>
      </c>
      <c r="E1871" s="3" t="inlineStr">
        <is>
          <t>MOVE_WEATHER_BALL</t>
        </is>
      </c>
    </row>
    <row r="1872">
      <c r="A1872" s="3" t="inlineStr">
        <is>
          <t>SPECIES_BRONZONG</t>
        </is>
      </c>
      <c r="B1872" s="3" t="inlineStr">
        <is>
          <t>Bronzong</t>
        </is>
      </c>
      <c r="C1872" s="3" t="n">
        <v>1</v>
      </c>
      <c r="D1872" s="3" t="inlineStr">
        <is>
          <t>Payback</t>
        </is>
      </c>
      <c r="E1872" s="3" t="inlineStr">
        <is>
          <t>MOVE_PAYBACK</t>
        </is>
      </c>
    </row>
    <row r="1873">
      <c r="A1873" s="3" t="inlineStr">
        <is>
          <t>SPECIES_BRONZONG</t>
        </is>
      </c>
      <c r="B1873" s="3" t="inlineStr">
        <is>
          <t>Bronzong</t>
        </is>
      </c>
      <c r="C1873" s="3" t="n">
        <v>1</v>
      </c>
      <c r="D1873" s="3" t="inlineStr">
        <is>
          <t>Sunny Day</t>
        </is>
      </c>
      <c r="E1873" s="3" t="inlineStr">
        <is>
          <t>MOVE_SUNNY_DAY</t>
        </is>
      </c>
    </row>
    <row r="1874">
      <c r="A1874" s="3" t="inlineStr">
        <is>
          <t>SPECIES_BRONZONG</t>
        </is>
      </c>
      <c r="B1874" s="3" t="inlineStr">
        <is>
          <t>Bronzong</t>
        </is>
      </c>
      <c r="C1874" s="3" t="n">
        <v>12</v>
      </c>
      <c r="D1874" s="3" t="inlineStr">
        <is>
          <t>Imprison</t>
        </is>
      </c>
      <c r="E1874" s="3" t="inlineStr">
        <is>
          <t>MOVE_IMPRISON</t>
        </is>
      </c>
    </row>
    <row r="1875">
      <c r="A1875" s="3" t="inlineStr">
        <is>
          <t>SPECIES_BRONZONG</t>
        </is>
      </c>
      <c r="B1875" s="3" t="inlineStr">
        <is>
          <t>Bronzong</t>
        </is>
      </c>
      <c r="C1875" s="3" t="n">
        <v>16</v>
      </c>
      <c r="D1875" s="3" t="inlineStr">
        <is>
          <t>Gyro Ball</t>
        </is>
      </c>
      <c r="E1875" s="3" t="inlineStr">
        <is>
          <t>MOVE_GYRO_BALL</t>
        </is>
      </c>
    </row>
    <row r="1876">
      <c r="A1876" s="3" t="inlineStr">
        <is>
          <t>SPECIES_BRONZONG</t>
        </is>
      </c>
      <c r="B1876" s="3" t="inlineStr">
        <is>
          <t>Bronzong</t>
        </is>
      </c>
      <c r="C1876" s="3" t="n">
        <v>20</v>
      </c>
      <c r="D1876" s="3" t="inlineStr">
        <is>
          <t>Hypnosis</t>
        </is>
      </c>
      <c r="E1876" s="3" t="inlineStr">
        <is>
          <t>MOVE_HYPNOSIS</t>
        </is>
      </c>
    </row>
    <row r="1877">
      <c r="A1877" s="3" t="inlineStr">
        <is>
          <t>SPECIES_BRONZONG</t>
        </is>
      </c>
      <c r="B1877" s="3" t="inlineStr">
        <is>
          <t>Bronzong</t>
        </is>
      </c>
      <c r="C1877" s="3" t="n">
        <v>24</v>
      </c>
      <c r="D1877" s="3" t="inlineStr">
        <is>
          <t>Safeguard</t>
        </is>
      </c>
      <c r="E1877" s="3" t="inlineStr">
        <is>
          <t>MOVE_SAFEGUARD</t>
        </is>
      </c>
    </row>
    <row r="1878">
      <c r="A1878" s="3" t="inlineStr">
        <is>
          <t>SPECIES_BRONZONG</t>
        </is>
      </c>
      <c r="B1878" s="3" t="inlineStr">
        <is>
          <t>Bronzong</t>
        </is>
      </c>
      <c r="C1878" s="3" t="n">
        <v>28</v>
      </c>
      <c r="D1878" s="3" t="inlineStr">
        <is>
          <t>Extrasensory</t>
        </is>
      </c>
      <c r="E1878" s="3" t="inlineStr">
        <is>
          <t>MOVE_EXTRASENSORY</t>
        </is>
      </c>
    </row>
    <row r="1879">
      <c r="A1879" s="3" t="inlineStr">
        <is>
          <t>SPECIES_BRONZONG</t>
        </is>
      </c>
      <c r="B1879" s="3" t="inlineStr">
        <is>
          <t>Bronzong</t>
        </is>
      </c>
      <c r="C1879" s="3" t="n">
        <v>32</v>
      </c>
      <c r="D1879" s="3" t="inlineStr">
        <is>
          <t>Heavy Slam</t>
        </is>
      </c>
      <c r="E1879" s="3" t="inlineStr">
        <is>
          <t>MOVE_HEAVY_SLAM</t>
        </is>
      </c>
    </row>
    <row r="1880">
      <c r="A1880" s="3" t="inlineStr">
        <is>
          <t>SPECIES_BRONZONG</t>
        </is>
      </c>
      <c r="B1880" s="3" t="inlineStr">
        <is>
          <t>Bronzong</t>
        </is>
      </c>
      <c r="C1880" s="3" t="n">
        <v>38</v>
      </c>
      <c r="D1880" s="3" t="inlineStr">
        <is>
          <t>Iron Defense</t>
        </is>
      </c>
      <c r="E1880" s="3" t="inlineStr">
        <is>
          <t>MOVE_IRON_DEFENSE</t>
        </is>
      </c>
    </row>
    <row r="1881">
      <c r="A1881" s="3" t="inlineStr">
        <is>
          <t>SPECIES_BRONZONG</t>
        </is>
      </c>
      <c r="B1881" s="3" t="inlineStr">
        <is>
          <t>Bronzong</t>
        </is>
      </c>
      <c r="C1881" s="3" t="n">
        <v>44</v>
      </c>
      <c r="D1881" s="3" t="inlineStr">
        <is>
          <t>Metal Sound</t>
        </is>
      </c>
      <c r="E1881" s="3" t="inlineStr">
        <is>
          <t>MOVE_METAL_SOUND</t>
        </is>
      </c>
    </row>
    <row r="1882">
      <c r="A1882" s="3" t="inlineStr">
        <is>
          <t>SPECIES_BRONZONG</t>
        </is>
      </c>
      <c r="B1882" s="3" t="inlineStr">
        <is>
          <t>Bronzong</t>
        </is>
      </c>
      <c r="C1882" s="3" t="n">
        <v>50</v>
      </c>
      <c r="D1882" s="3" t="inlineStr">
        <is>
          <t>Future Sight</t>
        </is>
      </c>
      <c r="E1882" s="3" t="inlineStr">
        <is>
          <t>MOVE_FUTURE_SIGHT</t>
        </is>
      </c>
    </row>
    <row r="1883">
      <c r="A1883" s="3" t="inlineStr">
        <is>
          <t>SPECIES_BRONZONG</t>
        </is>
      </c>
      <c r="B1883" s="3" t="inlineStr">
        <is>
          <t>Bronzong</t>
        </is>
      </c>
      <c r="C1883" s="3" t="n">
        <v>56</v>
      </c>
      <c r="D1883" s="3" t="inlineStr">
        <is>
          <t>Rain Dance</t>
        </is>
      </c>
      <c r="E1883" s="3" t="inlineStr">
        <is>
          <t>MOVE_RAIN_DANCE</t>
        </is>
      </c>
    </row>
    <row r="1884">
      <c r="A1884" s="3" t="inlineStr">
        <is>
          <t>SPECIES_RIOLU</t>
        </is>
      </c>
      <c r="B1884" s="3" t="inlineStr">
        <is>
          <t>Riolu</t>
        </is>
      </c>
      <c r="C1884" s="3" t="n">
        <v>1</v>
      </c>
      <c r="D1884" s="3" t="inlineStr">
        <is>
          <t>Quick Attack</t>
        </is>
      </c>
      <c r="E1884" s="3" t="inlineStr">
        <is>
          <t>MOVE_QUICK_ATTACK</t>
        </is>
      </c>
    </row>
    <row r="1885">
      <c r="A1885" s="3" t="inlineStr">
        <is>
          <t>SPECIES_RIOLU</t>
        </is>
      </c>
      <c r="B1885" s="3" t="inlineStr">
        <is>
          <t>Riolu</t>
        </is>
      </c>
      <c r="C1885" s="3" t="n">
        <v>1</v>
      </c>
      <c r="D1885" s="3" t="inlineStr">
        <is>
          <t>Endure</t>
        </is>
      </c>
      <c r="E1885" s="3" t="inlineStr">
        <is>
          <t>MOVE_ENDURE</t>
        </is>
      </c>
    </row>
    <row r="1886">
      <c r="A1886" s="3" t="inlineStr">
        <is>
          <t>SPECIES_RIOLU</t>
        </is>
      </c>
      <c r="B1886" s="3" t="inlineStr">
        <is>
          <t>Riolu</t>
        </is>
      </c>
      <c r="C1886" s="3" t="n">
        <v>4</v>
      </c>
      <c r="D1886" s="3" t="inlineStr">
        <is>
          <t>Feint</t>
        </is>
      </c>
      <c r="E1886" s="3" t="inlineStr">
        <is>
          <t>MOVE_FEINT</t>
        </is>
      </c>
    </row>
    <row r="1887">
      <c r="A1887" s="3" t="inlineStr">
        <is>
          <t>SPECIES_RIOLU</t>
        </is>
      </c>
      <c r="B1887" s="3" t="inlineStr">
        <is>
          <t>Riolu</t>
        </is>
      </c>
      <c r="C1887" s="3" t="n">
        <v>8</v>
      </c>
      <c r="D1887" s="3" t="inlineStr">
        <is>
          <t>Metal Claw</t>
        </is>
      </c>
      <c r="E1887" s="3" t="inlineStr">
        <is>
          <t>MOVE_METAL_CLAW</t>
        </is>
      </c>
    </row>
    <row r="1888">
      <c r="A1888" s="3" t="inlineStr">
        <is>
          <t>SPECIES_RIOLU</t>
        </is>
      </c>
      <c r="B1888" s="3" t="inlineStr">
        <is>
          <t>Riolu</t>
        </is>
      </c>
      <c r="C1888" s="3" t="n">
        <v>12</v>
      </c>
      <c r="D1888" s="3" t="inlineStr">
        <is>
          <t>Counter</t>
        </is>
      </c>
      <c r="E1888" s="3" t="inlineStr">
        <is>
          <t>MOVE_COUNTER</t>
        </is>
      </c>
    </row>
    <row r="1889">
      <c r="A1889" s="3" t="inlineStr">
        <is>
          <t>SPECIES_RIOLU</t>
        </is>
      </c>
      <c r="B1889" s="3" t="inlineStr">
        <is>
          <t>Riolu</t>
        </is>
      </c>
      <c r="C1889" s="3" t="n">
        <v>16</v>
      </c>
      <c r="D1889" s="3" t="inlineStr">
        <is>
          <t>Work Up</t>
        </is>
      </c>
      <c r="E1889" s="3" t="inlineStr">
        <is>
          <t>MOVE_WORK_UP</t>
        </is>
      </c>
    </row>
    <row r="1890">
      <c r="A1890" s="3" t="inlineStr">
        <is>
          <t>SPECIES_RIOLU</t>
        </is>
      </c>
      <c r="B1890" s="3" t="inlineStr">
        <is>
          <t>Riolu</t>
        </is>
      </c>
      <c r="C1890" s="3" t="n">
        <v>20</v>
      </c>
      <c r="D1890" s="3" t="inlineStr">
        <is>
          <t>Rock Smash</t>
        </is>
      </c>
      <c r="E1890" s="3" t="inlineStr">
        <is>
          <t>MOVE_ROCK_SMASH</t>
        </is>
      </c>
    </row>
    <row r="1891">
      <c r="A1891" s="3" t="inlineStr">
        <is>
          <t>SPECIES_RIOLU</t>
        </is>
      </c>
      <c r="B1891" s="3" t="inlineStr">
        <is>
          <t>Riolu</t>
        </is>
      </c>
      <c r="C1891" s="3" t="n">
        <v>24</v>
      </c>
      <c r="D1891" s="3" t="inlineStr">
        <is>
          <t>Vacuum Wave</t>
        </is>
      </c>
      <c r="E1891" s="3" t="inlineStr">
        <is>
          <t>MOVE_VACUUM_WAVE</t>
        </is>
      </c>
    </row>
    <row r="1892">
      <c r="A1892" s="3" t="inlineStr">
        <is>
          <t>SPECIES_RIOLU</t>
        </is>
      </c>
      <c r="B1892" s="3" t="inlineStr">
        <is>
          <t>Riolu</t>
        </is>
      </c>
      <c r="C1892" s="3" t="n">
        <v>28</v>
      </c>
      <c r="D1892" s="3" t="inlineStr">
        <is>
          <t>Screech</t>
        </is>
      </c>
      <c r="E1892" s="3" t="inlineStr">
        <is>
          <t>MOVE_SCREECH</t>
        </is>
      </c>
    </row>
    <row r="1893">
      <c r="A1893" s="3" t="inlineStr">
        <is>
          <t>SPECIES_RIOLU</t>
        </is>
      </c>
      <c r="B1893" s="3" t="inlineStr">
        <is>
          <t>Riolu</t>
        </is>
      </c>
      <c r="C1893" s="3" t="n">
        <v>32</v>
      </c>
      <c r="D1893" s="3" t="inlineStr">
        <is>
          <t>Quick Guard</t>
        </is>
      </c>
      <c r="E1893" s="3" t="inlineStr">
        <is>
          <t>MOVE_QUICK_GUARD</t>
        </is>
      </c>
    </row>
    <row r="1894">
      <c r="A1894" s="3" t="inlineStr">
        <is>
          <t>SPECIES_RIOLU</t>
        </is>
      </c>
      <c r="B1894" s="3" t="inlineStr">
        <is>
          <t>Riolu</t>
        </is>
      </c>
      <c r="C1894" s="3" t="n">
        <v>36</v>
      </c>
      <c r="D1894" s="3" t="inlineStr">
        <is>
          <t>Force Palm</t>
        </is>
      </c>
      <c r="E1894" s="3" t="inlineStr">
        <is>
          <t>MOVE_FORCE_PALM</t>
        </is>
      </c>
    </row>
    <row r="1895">
      <c r="A1895" s="3" t="inlineStr">
        <is>
          <t>SPECIES_RIOLU</t>
        </is>
      </c>
      <c r="B1895" s="3" t="inlineStr">
        <is>
          <t>Riolu</t>
        </is>
      </c>
      <c r="C1895" s="3" t="n">
        <v>40</v>
      </c>
      <c r="D1895" s="3" t="inlineStr">
        <is>
          <t>Swords Dance</t>
        </is>
      </c>
      <c r="E1895" s="3" t="inlineStr">
        <is>
          <t>MOVE_SWORDS_DANCE</t>
        </is>
      </c>
    </row>
    <row r="1896">
      <c r="A1896" s="3" t="inlineStr">
        <is>
          <t>SPECIES_RIOLU</t>
        </is>
      </c>
      <c r="B1896" s="3" t="inlineStr">
        <is>
          <t>Riolu</t>
        </is>
      </c>
      <c r="C1896" s="3" t="n">
        <v>44</v>
      </c>
      <c r="D1896" s="3" t="inlineStr">
        <is>
          <t>Helping Hand</t>
        </is>
      </c>
      <c r="E1896" s="3" t="inlineStr">
        <is>
          <t>MOVE_HELPING_HAND</t>
        </is>
      </c>
    </row>
    <row r="1897">
      <c r="A1897" s="3" t="inlineStr">
        <is>
          <t>SPECIES_RIOLU</t>
        </is>
      </c>
      <c r="B1897" s="3" t="inlineStr">
        <is>
          <t>Riolu</t>
        </is>
      </c>
      <c r="C1897" s="3" t="n">
        <v>48</v>
      </c>
      <c r="D1897" s="3" t="inlineStr">
        <is>
          <t>Copycat</t>
        </is>
      </c>
      <c r="E1897" s="3" t="inlineStr">
        <is>
          <t>MOVE_COPYCAT</t>
        </is>
      </c>
    </row>
    <row r="1898">
      <c r="A1898" s="3" t="inlineStr">
        <is>
          <t>SPECIES_RIOLU</t>
        </is>
      </c>
      <c r="B1898" s="3" t="inlineStr">
        <is>
          <t>Riolu</t>
        </is>
      </c>
      <c r="C1898" s="3" t="n">
        <v>52</v>
      </c>
      <c r="D1898" s="3" t="inlineStr">
        <is>
          <t>Final Gambit</t>
        </is>
      </c>
      <c r="E1898" s="3" t="inlineStr">
        <is>
          <t>MOVE_FINAL_GAMBIT</t>
        </is>
      </c>
    </row>
    <row r="1899">
      <c r="A1899" s="3" t="inlineStr">
        <is>
          <t>SPECIES_RIOLU</t>
        </is>
      </c>
      <c r="B1899" s="3" t="inlineStr">
        <is>
          <t>Riolu</t>
        </is>
      </c>
      <c r="C1899" s="3" t="n">
        <v>56</v>
      </c>
      <c r="D1899" s="3" t="inlineStr">
        <is>
          <t>Reversal</t>
        </is>
      </c>
      <c r="E1899" s="3" t="inlineStr">
        <is>
          <t>MOVE_REVERSAL</t>
        </is>
      </c>
    </row>
    <row r="1900">
      <c r="A1900" s="3" t="inlineStr">
        <is>
          <t>SPECIES_LUCARIO</t>
        </is>
      </c>
      <c r="B1900" s="3" t="inlineStr">
        <is>
          <t>Lucario</t>
        </is>
      </c>
      <c r="C1900" s="3" t="n">
        <v>0</v>
      </c>
      <c r="D1900" s="3" t="inlineStr">
        <is>
          <t>Aura Sphere</t>
        </is>
      </c>
      <c r="E1900" s="3" t="inlineStr">
        <is>
          <t>MOVE_AURA_SPHERE</t>
        </is>
      </c>
    </row>
    <row r="1901">
      <c r="A1901" s="3" t="inlineStr">
        <is>
          <t>SPECIES_LUCARIO</t>
        </is>
      </c>
      <c r="B1901" s="3" t="inlineStr">
        <is>
          <t>Lucario</t>
        </is>
      </c>
      <c r="C1901" s="3" t="n">
        <v>1</v>
      </c>
      <c r="D1901" s="3" t="inlineStr">
        <is>
          <t>Copycat</t>
        </is>
      </c>
      <c r="E1901" s="3" t="inlineStr">
        <is>
          <t>MOVE_COPYCAT</t>
        </is>
      </c>
    </row>
    <row r="1902">
      <c r="A1902" s="3" t="inlineStr">
        <is>
          <t>SPECIES_LUCARIO</t>
        </is>
      </c>
      <c r="B1902" s="3" t="inlineStr">
        <is>
          <t>Lucario</t>
        </is>
      </c>
      <c r="C1902" s="3" t="n">
        <v>1</v>
      </c>
      <c r="D1902" s="3" t="inlineStr">
        <is>
          <t>Feint</t>
        </is>
      </c>
      <c r="E1902" s="3" t="inlineStr">
        <is>
          <t>MOVE_FEINT</t>
        </is>
      </c>
    </row>
    <row r="1903">
      <c r="A1903" s="3" t="inlineStr">
        <is>
          <t>SPECIES_LUCARIO</t>
        </is>
      </c>
      <c r="B1903" s="3" t="inlineStr">
        <is>
          <t>Lucario</t>
        </is>
      </c>
      <c r="C1903" s="3" t="n">
        <v>1</v>
      </c>
      <c r="D1903" s="3" t="inlineStr">
        <is>
          <t>Helping Hand</t>
        </is>
      </c>
      <c r="E1903" s="3" t="inlineStr">
        <is>
          <t>MOVE_HELPING_HAND</t>
        </is>
      </c>
    </row>
    <row r="1904">
      <c r="A1904" s="3" t="inlineStr">
        <is>
          <t>SPECIES_LUCARIO</t>
        </is>
      </c>
      <c r="B1904" s="3" t="inlineStr">
        <is>
          <t>Lucario</t>
        </is>
      </c>
      <c r="C1904" s="3" t="n">
        <v>1</v>
      </c>
      <c r="D1904" s="3" t="inlineStr">
        <is>
          <t>Rock Smash</t>
        </is>
      </c>
      <c r="E1904" s="3" t="inlineStr">
        <is>
          <t>MOVE_ROCK_SMASH</t>
        </is>
      </c>
    </row>
    <row r="1905">
      <c r="A1905" s="3" t="inlineStr">
        <is>
          <t>SPECIES_LUCARIO</t>
        </is>
      </c>
      <c r="B1905" s="3" t="inlineStr">
        <is>
          <t>Lucario</t>
        </is>
      </c>
      <c r="C1905" s="3" t="n">
        <v>1</v>
      </c>
      <c r="D1905" s="3" t="inlineStr">
        <is>
          <t>Metal Claw</t>
        </is>
      </c>
      <c r="E1905" s="3" t="inlineStr">
        <is>
          <t>MOVE_METAL_CLAW</t>
        </is>
      </c>
    </row>
    <row r="1906">
      <c r="A1906" s="3" t="inlineStr">
        <is>
          <t>SPECIES_LUCARIO</t>
        </is>
      </c>
      <c r="B1906" s="3" t="inlineStr">
        <is>
          <t>Lucario</t>
        </is>
      </c>
      <c r="C1906" s="3" t="n">
        <v>1</v>
      </c>
      <c r="D1906" s="3" t="inlineStr">
        <is>
          <t>Vacuum Wave</t>
        </is>
      </c>
      <c r="E1906" s="3" t="inlineStr">
        <is>
          <t>MOVE_VACUUM_WAVE</t>
        </is>
      </c>
    </row>
    <row r="1907">
      <c r="A1907" s="3" t="inlineStr">
        <is>
          <t>SPECIES_LUCARIO</t>
        </is>
      </c>
      <c r="B1907" s="3" t="inlineStr">
        <is>
          <t>Lucario</t>
        </is>
      </c>
      <c r="C1907" s="3" t="n">
        <v>1</v>
      </c>
      <c r="D1907" s="3" t="inlineStr">
        <is>
          <t>Detect</t>
        </is>
      </c>
      <c r="E1907" s="3" t="inlineStr">
        <is>
          <t>MOVE_DETECT</t>
        </is>
      </c>
    </row>
    <row r="1908">
      <c r="A1908" s="3" t="inlineStr">
        <is>
          <t>SPECIES_LUCARIO</t>
        </is>
      </c>
      <c r="B1908" s="3" t="inlineStr">
        <is>
          <t>Lucario</t>
        </is>
      </c>
      <c r="C1908" s="3" t="n">
        <v>1</v>
      </c>
      <c r="D1908" s="3" t="inlineStr">
        <is>
          <t>Reversal</t>
        </is>
      </c>
      <c r="E1908" s="3" t="inlineStr">
        <is>
          <t>MOVE_REVERSAL</t>
        </is>
      </c>
    </row>
    <row r="1909">
      <c r="A1909" s="3" t="inlineStr">
        <is>
          <t>SPECIES_LUCARIO</t>
        </is>
      </c>
      <c r="B1909" s="3" t="inlineStr">
        <is>
          <t>Lucario</t>
        </is>
      </c>
      <c r="C1909" s="3" t="n">
        <v>1</v>
      </c>
      <c r="D1909" s="3" t="inlineStr">
        <is>
          <t>Screech</t>
        </is>
      </c>
      <c r="E1909" s="3" t="inlineStr">
        <is>
          <t>MOVE_SCREECH</t>
        </is>
      </c>
    </row>
    <row r="1910">
      <c r="A1910" s="3" t="inlineStr">
        <is>
          <t>SPECIES_LUCARIO</t>
        </is>
      </c>
      <c r="B1910" s="3" t="inlineStr">
        <is>
          <t>Lucario</t>
        </is>
      </c>
      <c r="C1910" s="3" t="n">
        <v>1</v>
      </c>
      <c r="D1910" s="3" t="inlineStr">
        <is>
          <t>Quick Attack</t>
        </is>
      </c>
      <c r="E1910" s="3" t="inlineStr">
        <is>
          <t>MOVE_QUICK_ATTACK</t>
        </is>
      </c>
    </row>
    <row r="1911">
      <c r="A1911" s="3" t="inlineStr">
        <is>
          <t>SPECIES_LUCARIO</t>
        </is>
      </c>
      <c r="B1911" s="3" t="inlineStr">
        <is>
          <t>Lucario</t>
        </is>
      </c>
      <c r="C1911" s="3" t="n">
        <v>1</v>
      </c>
      <c r="D1911" s="3" t="inlineStr">
        <is>
          <t>Final Gambit</t>
        </is>
      </c>
      <c r="E1911" s="3" t="inlineStr">
        <is>
          <t>MOVE_FINAL_GAMBIT</t>
        </is>
      </c>
    </row>
    <row r="1912">
      <c r="A1912" s="3" t="inlineStr">
        <is>
          <t>SPECIES_LUCARIO</t>
        </is>
      </c>
      <c r="B1912" s="3" t="inlineStr">
        <is>
          <t>Lucario</t>
        </is>
      </c>
      <c r="C1912" s="3" t="n">
        <v>1</v>
      </c>
      <c r="D1912" s="3" t="inlineStr">
        <is>
          <t>Life Dew</t>
        </is>
      </c>
      <c r="E1912" s="3" t="inlineStr">
        <is>
          <t>MOVE_LIFE_DEW</t>
        </is>
      </c>
    </row>
    <row r="1913">
      <c r="A1913" s="3" t="inlineStr">
        <is>
          <t>SPECIES_LUCARIO</t>
        </is>
      </c>
      <c r="B1913" s="3" t="inlineStr">
        <is>
          <t>Lucario</t>
        </is>
      </c>
      <c r="C1913" s="3" t="n">
        <v>12</v>
      </c>
      <c r="D1913" s="3" t="inlineStr">
        <is>
          <t>Counter</t>
        </is>
      </c>
      <c r="E1913" s="3" t="inlineStr">
        <is>
          <t>MOVE_COUNTER</t>
        </is>
      </c>
    </row>
    <row r="1914">
      <c r="A1914" s="3" t="inlineStr">
        <is>
          <t>SPECIES_LUCARIO</t>
        </is>
      </c>
      <c r="B1914" s="3" t="inlineStr">
        <is>
          <t>Lucario</t>
        </is>
      </c>
      <c r="C1914" s="3" t="n">
        <v>16</v>
      </c>
      <c r="D1914" s="3" t="inlineStr">
        <is>
          <t>Work Up</t>
        </is>
      </c>
      <c r="E1914" s="3" t="inlineStr">
        <is>
          <t>MOVE_WORK_UP</t>
        </is>
      </c>
    </row>
    <row r="1915">
      <c r="A1915" s="3" t="inlineStr">
        <is>
          <t>SPECIES_LUCARIO</t>
        </is>
      </c>
      <c r="B1915" s="3" t="inlineStr">
        <is>
          <t>Lucario</t>
        </is>
      </c>
      <c r="C1915" s="3" t="n">
        <v>20</v>
      </c>
      <c r="D1915" s="3" t="inlineStr">
        <is>
          <t>Force Palm</t>
        </is>
      </c>
      <c r="E1915" s="3" t="inlineStr">
        <is>
          <t>MOVE_FORCE_PALM</t>
        </is>
      </c>
    </row>
    <row r="1916">
      <c r="A1916" s="3" t="inlineStr">
        <is>
          <t>SPECIES_LUCARIO</t>
        </is>
      </c>
      <c r="B1916" s="3" t="inlineStr">
        <is>
          <t>Lucario</t>
        </is>
      </c>
      <c r="C1916" s="3" t="n">
        <v>24</v>
      </c>
      <c r="D1916" s="3" t="inlineStr">
        <is>
          <t>Calm Mind</t>
        </is>
      </c>
      <c r="E1916" s="3" t="inlineStr">
        <is>
          <t>MOVE_CALM_MIND</t>
        </is>
      </c>
    </row>
    <row r="1917">
      <c r="A1917" s="3" t="inlineStr">
        <is>
          <t>SPECIES_LUCARIO</t>
        </is>
      </c>
      <c r="B1917" s="3" t="inlineStr">
        <is>
          <t>Lucario</t>
        </is>
      </c>
      <c r="C1917" s="3" t="n">
        <v>28</v>
      </c>
      <c r="D1917" s="3" t="inlineStr">
        <is>
          <t>Metal Sound</t>
        </is>
      </c>
      <c r="E1917" s="3" t="inlineStr">
        <is>
          <t>MOVE_METAL_SOUND</t>
        </is>
      </c>
    </row>
    <row r="1918">
      <c r="A1918" s="3" t="inlineStr">
        <is>
          <t>SPECIES_LUCARIO</t>
        </is>
      </c>
      <c r="B1918" s="3" t="inlineStr">
        <is>
          <t>Lucario</t>
        </is>
      </c>
      <c r="C1918" s="3" t="n">
        <v>32</v>
      </c>
      <c r="D1918" s="3" t="inlineStr">
        <is>
          <t>Quick Guard</t>
        </is>
      </c>
      <c r="E1918" s="3" t="inlineStr">
        <is>
          <t>MOVE_QUICK_GUARD</t>
        </is>
      </c>
    </row>
    <row r="1919">
      <c r="A1919" s="3" t="inlineStr">
        <is>
          <t>SPECIES_LUCARIO</t>
        </is>
      </c>
      <c r="B1919" s="3" t="inlineStr">
        <is>
          <t>Lucario</t>
        </is>
      </c>
      <c r="C1919" s="3" t="n">
        <v>36</v>
      </c>
      <c r="D1919" s="3" t="inlineStr">
        <is>
          <t>Bone Rush</t>
        </is>
      </c>
      <c r="E1919" s="3" t="inlineStr">
        <is>
          <t>MOVE_BONE_RUSH</t>
        </is>
      </c>
    </row>
    <row r="1920">
      <c r="A1920" s="3" t="inlineStr">
        <is>
          <t>SPECIES_LUCARIO</t>
        </is>
      </c>
      <c r="B1920" s="3" t="inlineStr">
        <is>
          <t>Lucario</t>
        </is>
      </c>
      <c r="C1920" s="3" t="n">
        <v>40</v>
      </c>
      <c r="D1920" s="3" t="inlineStr">
        <is>
          <t>Swords Dance</t>
        </is>
      </c>
      <c r="E1920" s="3" t="inlineStr">
        <is>
          <t>MOVE_SWORDS_DANCE</t>
        </is>
      </c>
    </row>
    <row r="1921">
      <c r="A1921" s="3" t="inlineStr">
        <is>
          <t>SPECIES_LUCARIO</t>
        </is>
      </c>
      <c r="B1921" s="3" t="inlineStr">
        <is>
          <t>Lucario</t>
        </is>
      </c>
      <c r="C1921" s="3" t="n">
        <v>44</v>
      </c>
      <c r="D1921" s="3" t="inlineStr">
        <is>
          <t>Heal Pulse</t>
        </is>
      </c>
      <c r="E1921" s="3" t="inlineStr">
        <is>
          <t>MOVE_HEAL_PULSE</t>
        </is>
      </c>
    </row>
    <row r="1922">
      <c r="A1922" s="3" t="inlineStr">
        <is>
          <t>SPECIES_LUCARIO</t>
        </is>
      </c>
      <c r="B1922" s="3" t="inlineStr">
        <is>
          <t>Lucario</t>
        </is>
      </c>
      <c r="C1922" s="3" t="n">
        <v>48</v>
      </c>
      <c r="D1922" s="3" t="inlineStr">
        <is>
          <t>Meteor Mash</t>
        </is>
      </c>
      <c r="E1922" s="3" t="inlineStr">
        <is>
          <t>MOVE_METEOR_MASH</t>
        </is>
      </c>
    </row>
    <row r="1923">
      <c r="A1923" s="3" t="inlineStr">
        <is>
          <t>SPECIES_LUCARIO</t>
        </is>
      </c>
      <c r="B1923" s="3" t="inlineStr">
        <is>
          <t>Lucario</t>
        </is>
      </c>
      <c r="C1923" s="3" t="n">
        <v>52</v>
      </c>
      <c r="D1923" s="3" t="inlineStr">
        <is>
          <t>Dragon Pulse</t>
        </is>
      </c>
      <c r="E1923" s="3" t="inlineStr">
        <is>
          <t>MOVE_DRAGON_PULSE</t>
        </is>
      </c>
    </row>
    <row r="1924">
      <c r="A1924" s="3" t="inlineStr">
        <is>
          <t>SPECIES_LUCARIO</t>
        </is>
      </c>
      <c r="B1924" s="3" t="inlineStr">
        <is>
          <t>Lucario</t>
        </is>
      </c>
      <c r="C1924" s="3" t="n">
        <v>56</v>
      </c>
      <c r="D1924" s="3" t="inlineStr">
        <is>
          <t>Extreme Speed</t>
        </is>
      </c>
      <c r="E1924" s="3" t="inlineStr">
        <is>
          <t>MOVE_EXTREME_SPEED</t>
        </is>
      </c>
    </row>
    <row r="1925">
      <c r="A1925" s="3" t="inlineStr">
        <is>
          <t>SPECIES_LUCARIO</t>
        </is>
      </c>
      <c r="B1925" s="3" t="inlineStr">
        <is>
          <t>Lucario</t>
        </is>
      </c>
      <c r="C1925" s="3" t="n">
        <v>60</v>
      </c>
      <c r="D1925" s="3" t="inlineStr">
        <is>
          <t>Close Combat</t>
        </is>
      </c>
      <c r="E1925" s="3" t="inlineStr">
        <is>
          <t>MOVE_CLOSE_COMBAT</t>
        </is>
      </c>
    </row>
    <row r="1926">
      <c r="A1926" s="3" t="inlineStr">
        <is>
          <t>SPECIES_SKORUPI</t>
        </is>
      </c>
      <c r="B1926" s="3" t="inlineStr">
        <is>
          <t>Skorupi</t>
        </is>
      </c>
      <c r="C1926" s="3" t="n">
        <v>1</v>
      </c>
      <c r="D1926" s="3" t="inlineStr">
        <is>
          <t>Poison Sting</t>
        </is>
      </c>
      <c r="E1926" s="3" t="inlineStr">
        <is>
          <t>MOVE_POISON_STING</t>
        </is>
      </c>
    </row>
    <row r="1927">
      <c r="A1927" s="3" t="inlineStr">
        <is>
          <t>SPECIES_SKORUPI</t>
        </is>
      </c>
      <c r="B1927" s="3" t="inlineStr">
        <is>
          <t>Skorupi</t>
        </is>
      </c>
      <c r="C1927" s="3" t="n">
        <v>1</v>
      </c>
      <c r="D1927" s="3" t="inlineStr">
        <is>
          <t>Leer</t>
        </is>
      </c>
      <c r="E1927" s="3" t="inlineStr">
        <is>
          <t>MOVE_LEER</t>
        </is>
      </c>
    </row>
    <row r="1928">
      <c r="A1928" s="3" t="inlineStr">
        <is>
          <t>SPECIES_SKORUPI</t>
        </is>
      </c>
      <c r="B1928" s="3" t="inlineStr">
        <is>
          <t>Skorupi</t>
        </is>
      </c>
      <c r="C1928" s="3" t="n">
        <v>3</v>
      </c>
      <c r="D1928" s="3" t="inlineStr">
        <is>
          <t>Hone Claws</t>
        </is>
      </c>
      <c r="E1928" s="3" t="inlineStr">
        <is>
          <t>MOVE_HONE_CLAWS</t>
        </is>
      </c>
    </row>
    <row r="1929">
      <c r="A1929" s="3" t="inlineStr">
        <is>
          <t>SPECIES_SKORUPI</t>
        </is>
      </c>
      <c r="B1929" s="3" t="inlineStr">
        <is>
          <t>Skorupi</t>
        </is>
      </c>
      <c r="C1929" s="3" t="n">
        <v>6</v>
      </c>
      <c r="D1929" s="3" t="inlineStr">
        <is>
          <t>Fell Stinger</t>
        </is>
      </c>
      <c r="E1929" s="3" t="inlineStr">
        <is>
          <t>MOVE_FELL_STINGER</t>
        </is>
      </c>
    </row>
    <row r="1930">
      <c r="A1930" s="3" t="inlineStr">
        <is>
          <t>SPECIES_SKORUPI</t>
        </is>
      </c>
      <c r="B1930" s="3" t="inlineStr">
        <is>
          <t>Skorupi</t>
        </is>
      </c>
      <c r="C1930" s="3" t="n">
        <v>9</v>
      </c>
      <c r="D1930" s="3" t="inlineStr">
        <is>
          <t>Poison Fang</t>
        </is>
      </c>
      <c r="E1930" s="3" t="inlineStr">
        <is>
          <t>MOVE_POISON_FANG</t>
        </is>
      </c>
    </row>
    <row r="1931">
      <c r="A1931" s="3" t="inlineStr">
        <is>
          <t>SPECIES_SKORUPI</t>
        </is>
      </c>
      <c r="B1931" s="3" t="inlineStr">
        <is>
          <t>Skorupi</t>
        </is>
      </c>
      <c r="C1931" s="3" t="n">
        <v>12</v>
      </c>
      <c r="D1931" s="3" t="inlineStr">
        <is>
          <t>Bite</t>
        </is>
      </c>
      <c r="E1931" s="3" t="inlineStr">
        <is>
          <t>MOVE_BITE</t>
        </is>
      </c>
    </row>
    <row r="1932">
      <c r="A1932" s="3" t="inlineStr">
        <is>
          <t>SPECIES_SKORUPI</t>
        </is>
      </c>
      <c r="B1932" s="3" t="inlineStr">
        <is>
          <t>Skorupi</t>
        </is>
      </c>
      <c r="C1932" s="3" t="n">
        <v>15</v>
      </c>
      <c r="D1932" s="3" t="inlineStr">
        <is>
          <t>Toxic Spikes</t>
        </is>
      </c>
      <c r="E1932" s="3" t="inlineStr">
        <is>
          <t>MOVE_TOXIC_SPIKES</t>
        </is>
      </c>
    </row>
    <row r="1933">
      <c r="A1933" s="3" t="inlineStr">
        <is>
          <t>SPECIES_SKORUPI</t>
        </is>
      </c>
      <c r="B1933" s="3" t="inlineStr">
        <is>
          <t>Skorupi</t>
        </is>
      </c>
      <c r="C1933" s="3" t="n">
        <v>18</v>
      </c>
      <c r="D1933" s="3" t="inlineStr">
        <is>
          <t>Bug Bite</t>
        </is>
      </c>
      <c r="E1933" s="3" t="inlineStr">
        <is>
          <t>MOVE_BUG_BITE</t>
        </is>
      </c>
    </row>
    <row r="1934">
      <c r="A1934" s="3" t="inlineStr">
        <is>
          <t>SPECIES_SKORUPI</t>
        </is>
      </c>
      <c r="B1934" s="3" t="inlineStr">
        <is>
          <t>Skorupi</t>
        </is>
      </c>
      <c r="C1934" s="3" t="n">
        <v>21</v>
      </c>
      <c r="D1934" s="3" t="inlineStr">
        <is>
          <t>Venoshock</t>
        </is>
      </c>
      <c r="E1934" s="3" t="inlineStr">
        <is>
          <t>MOVE_VENOSHOCK</t>
        </is>
      </c>
    </row>
    <row r="1935">
      <c r="A1935" s="3" t="inlineStr">
        <is>
          <t>SPECIES_SKORUPI</t>
        </is>
      </c>
      <c r="B1935" s="3" t="inlineStr">
        <is>
          <t>Skorupi</t>
        </is>
      </c>
      <c r="C1935" s="3" t="n">
        <v>24</v>
      </c>
      <c r="D1935" s="3" t="inlineStr">
        <is>
          <t>Knock Off</t>
        </is>
      </c>
      <c r="E1935" s="3" t="inlineStr">
        <is>
          <t>MOVE_KNOCK_OFF</t>
        </is>
      </c>
    </row>
    <row r="1936">
      <c r="A1936" s="3" t="inlineStr">
        <is>
          <t>SPECIES_SKORUPI</t>
        </is>
      </c>
      <c r="B1936" s="3" t="inlineStr">
        <is>
          <t>Skorupi</t>
        </is>
      </c>
      <c r="C1936" s="3" t="n">
        <v>27</v>
      </c>
      <c r="D1936" s="3" t="inlineStr">
        <is>
          <t>Scary Face</t>
        </is>
      </c>
      <c r="E1936" s="3" t="inlineStr">
        <is>
          <t>MOVE_SCARY_FACE</t>
        </is>
      </c>
    </row>
    <row r="1937">
      <c r="A1937" s="3" t="inlineStr">
        <is>
          <t>SPECIES_SKORUPI</t>
        </is>
      </c>
      <c r="B1937" s="3" t="inlineStr">
        <is>
          <t>Skorupi</t>
        </is>
      </c>
      <c r="C1937" s="3" t="n">
        <v>30</v>
      </c>
      <c r="D1937" s="3" t="inlineStr">
        <is>
          <t>Pin Missile</t>
        </is>
      </c>
      <c r="E1937" s="3" t="inlineStr">
        <is>
          <t>MOVE_PIN_MISSILE</t>
        </is>
      </c>
    </row>
    <row r="1938">
      <c r="A1938" s="3" t="inlineStr">
        <is>
          <t>SPECIES_SKORUPI</t>
        </is>
      </c>
      <c r="B1938" s="3" t="inlineStr">
        <is>
          <t>Skorupi</t>
        </is>
      </c>
      <c r="C1938" s="3" t="n">
        <v>33</v>
      </c>
      <c r="D1938" s="3" t="inlineStr">
        <is>
          <t>Toxic</t>
        </is>
      </c>
      <c r="E1938" s="3" t="inlineStr">
        <is>
          <t>MOVE_TOXIC</t>
        </is>
      </c>
    </row>
    <row r="1939">
      <c r="A1939" s="3" t="inlineStr">
        <is>
          <t>SPECIES_SKORUPI</t>
        </is>
      </c>
      <c r="B1939" s="3" t="inlineStr">
        <is>
          <t>Skorupi</t>
        </is>
      </c>
      <c r="C1939" s="3" t="n">
        <v>36</v>
      </c>
      <c r="D1939" s="3" t="inlineStr">
        <is>
          <t>Night Slash</t>
        </is>
      </c>
      <c r="E1939" s="3" t="inlineStr">
        <is>
          <t>MOVE_NIGHT_SLASH</t>
        </is>
      </c>
    </row>
    <row r="1940">
      <c r="A1940" s="3" t="inlineStr">
        <is>
          <t>SPECIES_SKORUPI</t>
        </is>
      </c>
      <c r="B1940" s="3" t="inlineStr">
        <is>
          <t>Skorupi</t>
        </is>
      </c>
      <c r="C1940" s="3" t="n">
        <v>39</v>
      </c>
      <c r="D1940" s="3" t="inlineStr">
        <is>
          <t>Cross Poison</t>
        </is>
      </c>
      <c r="E1940" s="3" t="inlineStr">
        <is>
          <t>MOVE_CROSS_POISON</t>
        </is>
      </c>
    </row>
    <row r="1941">
      <c r="A1941" s="3" t="inlineStr">
        <is>
          <t>SPECIES_SKORUPI</t>
        </is>
      </c>
      <c r="B1941" s="3" t="inlineStr">
        <is>
          <t>Skorupi</t>
        </is>
      </c>
      <c r="C1941" s="3" t="n">
        <v>42</v>
      </c>
      <c r="D1941" s="3" t="inlineStr">
        <is>
          <t>X-Scissor</t>
        </is>
      </c>
      <c r="E1941" s="3" t="inlineStr">
        <is>
          <t>MOVE_X_SCISSOR</t>
        </is>
      </c>
    </row>
    <row r="1942">
      <c r="A1942" s="3" t="inlineStr">
        <is>
          <t>SPECIES_SKORUPI</t>
        </is>
      </c>
      <c r="B1942" s="3" t="inlineStr">
        <is>
          <t>Skorupi</t>
        </is>
      </c>
      <c r="C1942" s="3" t="n">
        <v>45</v>
      </c>
      <c r="D1942" s="3" t="inlineStr">
        <is>
          <t>Acupressure</t>
        </is>
      </c>
      <c r="E1942" s="3" t="inlineStr">
        <is>
          <t>MOVE_ACUPRESSURE</t>
        </is>
      </c>
    </row>
    <row r="1943">
      <c r="A1943" s="3" t="inlineStr">
        <is>
          <t>SPECIES_SKORUPI</t>
        </is>
      </c>
      <c r="B1943" s="3" t="inlineStr">
        <is>
          <t>Skorupi</t>
        </is>
      </c>
      <c r="C1943" s="3" t="n">
        <v>48</v>
      </c>
      <c r="D1943" s="3" t="inlineStr">
        <is>
          <t>Crunch</t>
        </is>
      </c>
      <c r="E1943" s="3" t="inlineStr">
        <is>
          <t>MOVE_CRUNCH</t>
        </is>
      </c>
    </row>
    <row r="1944">
      <c r="A1944" s="3" t="inlineStr">
        <is>
          <t>SPECIES_DRAPION</t>
        </is>
      </c>
      <c r="B1944" s="3" t="inlineStr">
        <is>
          <t>Drapion</t>
        </is>
      </c>
      <c r="C1944" s="3" t="n">
        <v>1</v>
      </c>
      <c r="D1944" s="3" t="inlineStr">
        <is>
          <t>Thunder Fang</t>
        </is>
      </c>
      <c r="E1944" s="3" t="inlineStr">
        <is>
          <t>MOVE_THUNDER_FANG</t>
        </is>
      </c>
    </row>
    <row r="1945">
      <c r="A1945" s="3" t="inlineStr">
        <is>
          <t>SPECIES_DRAPION</t>
        </is>
      </c>
      <c r="B1945" s="3" t="inlineStr">
        <is>
          <t>Drapion</t>
        </is>
      </c>
      <c r="C1945" s="3" t="n">
        <v>1</v>
      </c>
      <c r="D1945" s="3" t="inlineStr">
        <is>
          <t>Ice Fang</t>
        </is>
      </c>
      <c r="E1945" s="3" t="inlineStr">
        <is>
          <t>MOVE_ICE_FANG</t>
        </is>
      </c>
    </row>
    <row r="1946">
      <c r="A1946" s="3" t="inlineStr">
        <is>
          <t>SPECIES_DRAPION</t>
        </is>
      </c>
      <c r="B1946" s="3" t="inlineStr">
        <is>
          <t>Drapion</t>
        </is>
      </c>
      <c r="C1946" s="3" t="n">
        <v>1</v>
      </c>
      <c r="D1946" s="3" t="inlineStr">
        <is>
          <t>Fire Fang</t>
        </is>
      </c>
      <c r="E1946" s="3" t="inlineStr">
        <is>
          <t>MOVE_FIRE_FANG</t>
        </is>
      </c>
    </row>
    <row r="1947">
      <c r="A1947" s="3" t="inlineStr">
        <is>
          <t>SPECIES_DRAPION</t>
        </is>
      </c>
      <c r="B1947" s="3" t="inlineStr">
        <is>
          <t>Drapion</t>
        </is>
      </c>
      <c r="C1947" s="3" t="n">
        <v>1</v>
      </c>
      <c r="D1947" s="3" t="inlineStr">
        <is>
          <t>Poison Sting</t>
        </is>
      </c>
      <c r="E1947" s="3" t="inlineStr">
        <is>
          <t>MOVE_POISON_STING</t>
        </is>
      </c>
    </row>
    <row r="1948">
      <c r="A1948" s="3" t="inlineStr">
        <is>
          <t>SPECIES_DRAPION</t>
        </is>
      </c>
      <c r="B1948" s="3" t="inlineStr">
        <is>
          <t>Drapion</t>
        </is>
      </c>
      <c r="C1948" s="3" t="n">
        <v>1</v>
      </c>
      <c r="D1948" s="3" t="inlineStr">
        <is>
          <t>Leer</t>
        </is>
      </c>
      <c r="E1948" s="3" t="inlineStr">
        <is>
          <t>MOVE_LEER</t>
        </is>
      </c>
    </row>
    <row r="1949">
      <c r="A1949" s="3" t="inlineStr">
        <is>
          <t>SPECIES_DRAPION</t>
        </is>
      </c>
      <c r="B1949" s="3" t="inlineStr">
        <is>
          <t>Drapion</t>
        </is>
      </c>
      <c r="C1949" s="3" t="n">
        <v>1</v>
      </c>
      <c r="D1949" s="3" t="inlineStr">
        <is>
          <t>Hone Claws</t>
        </is>
      </c>
      <c r="E1949" s="3" t="inlineStr">
        <is>
          <t>MOVE_HONE_CLAWS</t>
        </is>
      </c>
    </row>
    <row r="1950">
      <c r="A1950" s="3" t="inlineStr">
        <is>
          <t>SPECIES_DRAPION</t>
        </is>
      </c>
      <c r="B1950" s="3" t="inlineStr">
        <is>
          <t>Drapion</t>
        </is>
      </c>
      <c r="C1950" s="3" t="n">
        <v>1</v>
      </c>
      <c r="D1950" s="3" t="inlineStr">
        <is>
          <t>Fell Stinger</t>
        </is>
      </c>
      <c r="E1950" s="3" t="inlineStr">
        <is>
          <t>MOVE_FELL_STINGER</t>
        </is>
      </c>
    </row>
    <row r="1951">
      <c r="A1951" s="3" t="inlineStr">
        <is>
          <t>SPECIES_DRAPION</t>
        </is>
      </c>
      <c r="B1951" s="3" t="inlineStr">
        <is>
          <t>Drapion</t>
        </is>
      </c>
      <c r="C1951" s="3" t="n">
        <v>9</v>
      </c>
      <c r="D1951" s="3" t="inlineStr">
        <is>
          <t>Poison Fang</t>
        </is>
      </c>
      <c r="E1951" s="3" t="inlineStr">
        <is>
          <t>MOVE_POISON_FANG</t>
        </is>
      </c>
    </row>
    <row r="1952">
      <c r="A1952" s="3" t="inlineStr">
        <is>
          <t>SPECIES_DRAPION</t>
        </is>
      </c>
      <c r="B1952" s="3" t="inlineStr">
        <is>
          <t>Drapion</t>
        </is>
      </c>
      <c r="C1952" s="3" t="n">
        <v>12</v>
      </c>
      <c r="D1952" s="3" t="inlineStr">
        <is>
          <t>Bite</t>
        </is>
      </c>
      <c r="E1952" s="3" t="inlineStr">
        <is>
          <t>MOVE_BITE</t>
        </is>
      </c>
    </row>
    <row r="1953">
      <c r="A1953" s="3" t="inlineStr">
        <is>
          <t>SPECIES_DRAPION</t>
        </is>
      </c>
      <c r="B1953" s="3" t="inlineStr">
        <is>
          <t>Drapion</t>
        </is>
      </c>
      <c r="C1953" s="3" t="n">
        <v>15</v>
      </c>
      <c r="D1953" s="3" t="inlineStr">
        <is>
          <t>Toxic Spikes</t>
        </is>
      </c>
      <c r="E1953" s="3" t="inlineStr">
        <is>
          <t>MOVE_TOXIC_SPIKES</t>
        </is>
      </c>
    </row>
    <row r="1954">
      <c r="A1954" s="3" t="inlineStr">
        <is>
          <t>SPECIES_DRAPION</t>
        </is>
      </c>
      <c r="B1954" s="3" t="inlineStr">
        <is>
          <t>Drapion</t>
        </is>
      </c>
      <c r="C1954" s="3" t="n">
        <v>18</v>
      </c>
      <c r="D1954" s="3" t="inlineStr">
        <is>
          <t>Bug Bite</t>
        </is>
      </c>
      <c r="E1954" s="3" t="inlineStr">
        <is>
          <t>MOVE_BUG_BITE</t>
        </is>
      </c>
    </row>
    <row r="1955">
      <c r="A1955" s="3" t="inlineStr">
        <is>
          <t>SPECIES_DRAPION</t>
        </is>
      </c>
      <c r="B1955" s="3" t="inlineStr">
        <is>
          <t>Drapion</t>
        </is>
      </c>
      <c r="C1955" s="3" t="n">
        <v>21</v>
      </c>
      <c r="D1955" s="3" t="inlineStr">
        <is>
          <t>Venoshock</t>
        </is>
      </c>
      <c r="E1955" s="3" t="inlineStr">
        <is>
          <t>MOVE_VENOSHOCK</t>
        </is>
      </c>
    </row>
    <row r="1956">
      <c r="A1956" s="3" t="inlineStr">
        <is>
          <t>SPECIES_DRAPION</t>
        </is>
      </c>
      <c r="B1956" s="3" t="inlineStr">
        <is>
          <t>Drapion</t>
        </is>
      </c>
      <c r="C1956" s="3" t="n">
        <v>24</v>
      </c>
      <c r="D1956" s="3" t="inlineStr">
        <is>
          <t>Knock Off</t>
        </is>
      </c>
      <c r="E1956" s="3" t="inlineStr">
        <is>
          <t>MOVE_KNOCK_OFF</t>
        </is>
      </c>
    </row>
    <row r="1957">
      <c r="A1957" s="3" t="inlineStr">
        <is>
          <t>SPECIES_DRAPION</t>
        </is>
      </c>
      <c r="B1957" s="3" t="inlineStr">
        <is>
          <t>Drapion</t>
        </is>
      </c>
      <c r="C1957" s="3" t="n">
        <v>27</v>
      </c>
      <c r="D1957" s="3" t="inlineStr">
        <is>
          <t>Scary Face</t>
        </is>
      </c>
      <c r="E1957" s="3" t="inlineStr">
        <is>
          <t>MOVE_SCARY_FACE</t>
        </is>
      </c>
    </row>
    <row r="1958">
      <c r="A1958" s="3" t="inlineStr">
        <is>
          <t>SPECIES_DRAPION</t>
        </is>
      </c>
      <c r="B1958" s="3" t="inlineStr">
        <is>
          <t>Drapion</t>
        </is>
      </c>
      <c r="C1958" s="3" t="n">
        <v>30</v>
      </c>
      <c r="D1958" s="3" t="inlineStr">
        <is>
          <t>Pin Missile</t>
        </is>
      </c>
      <c r="E1958" s="3" t="inlineStr">
        <is>
          <t>MOVE_PIN_MISSILE</t>
        </is>
      </c>
    </row>
    <row r="1959">
      <c r="A1959" s="3" t="inlineStr">
        <is>
          <t>SPECIES_DRAPION</t>
        </is>
      </c>
      <c r="B1959" s="3" t="inlineStr">
        <is>
          <t>Drapion</t>
        </is>
      </c>
      <c r="C1959" s="3" t="n">
        <v>33</v>
      </c>
      <c r="D1959" s="3" t="inlineStr">
        <is>
          <t>Toxic</t>
        </is>
      </c>
      <c r="E1959" s="3" t="inlineStr">
        <is>
          <t>MOVE_TOXIC</t>
        </is>
      </c>
    </row>
    <row r="1960">
      <c r="A1960" s="3" t="inlineStr">
        <is>
          <t>SPECIES_DRAPION</t>
        </is>
      </c>
      <c r="B1960" s="3" t="inlineStr">
        <is>
          <t>Drapion</t>
        </is>
      </c>
      <c r="C1960" s="3" t="n">
        <v>36</v>
      </c>
      <c r="D1960" s="3" t="inlineStr">
        <is>
          <t>Night Slash</t>
        </is>
      </c>
      <c r="E1960" s="3" t="inlineStr">
        <is>
          <t>MOVE_NIGHT_SLASH</t>
        </is>
      </c>
    </row>
    <row r="1961">
      <c r="A1961" s="3" t="inlineStr">
        <is>
          <t>SPECIES_DRAPION</t>
        </is>
      </c>
      <c r="B1961" s="3" t="inlineStr">
        <is>
          <t>Drapion</t>
        </is>
      </c>
      <c r="C1961" s="3" t="n">
        <v>39</v>
      </c>
      <c r="D1961" s="3" t="inlineStr">
        <is>
          <t>Cross Poison</t>
        </is>
      </c>
      <c r="E1961" s="3" t="inlineStr">
        <is>
          <t>MOVE_CROSS_POISON</t>
        </is>
      </c>
    </row>
    <row r="1962">
      <c r="A1962" s="3" t="inlineStr">
        <is>
          <t>SPECIES_DRAPION</t>
        </is>
      </c>
      <c r="B1962" s="3" t="inlineStr">
        <is>
          <t>Drapion</t>
        </is>
      </c>
      <c r="C1962" s="3" t="n">
        <v>44</v>
      </c>
      <c r="D1962" s="3" t="inlineStr">
        <is>
          <t>X-Scissor</t>
        </is>
      </c>
      <c r="E1962" s="3" t="inlineStr">
        <is>
          <t>MOVE_X_SCISSOR</t>
        </is>
      </c>
    </row>
    <row r="1963">
      <c r="A1963" s="3" t="inlineStr">
        <is>
          <t>SPECIES_DRAPION</t>
        </is>
      </c>
      <c r="B1963" s="3" t="inlineStr">
        <is>
          <t>Drapion</t>
        </is>
      </c>
      <c r="C1963" s="3" t="n">
        <v>49</v>
      </c>
      <c r="D1963" s="3" t="inlineStr">
        <is>
          <t>Acupressure</t>
        </is>
      </c>
      <c r="E1963" s="3" t="inlineStr">
        <is>
          <t>MOVE_ACUPRESSURE</t>
        </is>
      </c>
    </row>
    <row r="1964">
      <c r="A1964" s="3" t="inlineStr">
        <is>
          <t>SPECIES_DRAPION</t>
        </is>
      </c>
      <c r="B1964" s="3" t="inlineStr">
        <is>
          <t>Drapion</t>
        </is>
      </c>
      <c r="C1964" s="3" t="n">
        <v>54</v>
      </c>
      <c r="D1964" s="3" t="inlineStr">
        <is>
          <t>Crunch</t>
        </is>
      </c>
      <c r="E1964" s="3" t="inlineStr">
        <is>
          <t>MOVE_CRUNCH</t>
        </is>
      </c>
    </row>
    <row r="1965">
      <c r="A1965" s="3" t="inlineStr">
        <is>
          <t>SPECIES_CROAGUNK</t>
        </is>
      </c>
      <c r="B1965" s="3" t="inlineStr">
        <is>
          <t>Croagunk</t>
        </is>
      </c>
      <c r="C1965" s="3" t="n">
        <v>1</v>
      </c>
      <c r="D1965" s="3" t="inlineStr">
        <is>
          <t>Poison Sting</t>
        </is>
      </c>
      <c r="E1965" s="3" t="inlineStr">
        <is>
          <t>MOVE_POISON_STING</t>
        </is>
      </c>
    </row>
    <row r="1966">
      <c r="A1966" s="3" t="inlineStr">
        <is>
          <t>SPECIES_CROAGUNK</t>
        </is>
      </c>
      <c r="B1966" s="3" t="inlineStr">
        <is>
          <t>Croagunk</t>
        </is>
      </c>
      <c r="C1966" s="3" t="n">
        <v>1</v>
      </c>
      <c r="D1966" s="3" t="inlineStr">
        <is>
          <t>Mud-Slap</t>
        </is>
      </c>
      <c r="E1966" s="3" t="inlineStr">
        <is>
          <t>MOVE_MUD_SLAP</t>
        </is>
      </c>
    </row>
    <row r="1967">
      <c r="A1967" s="3" t="inlineStr">
        <is>
          <t>SPECIES_CROAGUNK</t>
        </is>
      </c>
      <c r="B1967" s="3" t="inlineStr">
        <is>
          <t>Croagunk</t>
        </is>
      </c>
      <c r="C1967" s="3" t="n">
        <v>4</v>
      </c>
      <c r="D1967" s="3" t="inlineStr">
        <is>
          <t>Astonish</t>
        </is>
      </c>
      <c r="E1967" s="3" t="inlineStr">
        <is>
          <t>MOVE_ASTONISH</t>
        </is>
      </c>
    </row>
    <row r="1968">
      <c r="A1968" s="3" t="inlineStr">
        <is>
          <t>SPECIES_CROAGUNK</t>
        </is>
      </c>
      <c r="B1968" s="3" t="inlineStr">
        <is>
          <t>Croagunk</t>
        </is>
      </c>
      <c r="C1968" s="3" t="n">
        <v>8</v>
      </c>
      <c r="D1968" s="3" t="inlineStr">
        <is>
          <t>Taunt</t>
        </is>
      </c>
      <c r="E1968" s="3" t="inlineStr">
        <is>
          <t>MOVE_TAUNT</t>
        </is>
      </c>
    </row>
    <row r="1969">
      <c r="A1969" s="3" t="inlineStr">
        <is>
          <t>SPECIES_CROAGUNK</t>
        </is>
      </c>
      <c r="B1969" s="3" t="inlineStr">
        <is>
          <t>Croagunk</t>
        </is>
      </c>
      <c r="C1969" s="3" t="n">
        <v>12</v>
      </c>
      <c r="D1969" s="3" t="inlineStr">
        <is>
          <t>Flatter</t>
        </is>
      </c>
      <c r="E1969" s="3" t="inlineStr">
        <is>
          <t>MOVE_FLATTER</t>
        </is>
      </c>
    </row>
    <row r="1970">
      <c r="A1970" s="3" t="inlineStr">
        <is>
          <t>SPECIES_CROAGUNK</t>
        </is>
      </c>
      <c r="B1970" s="3" t="inlineStr">
        <is>
          <t>Croagunk</t>
        </is>
      </c>
      <c r="C1970" s="3" t="n">
        <v>16</v>
      </c>
      <c r="D1970" s="3" t="inlineStr">
        <is>
          <t>Low Kick</t>
        </is>
      </c>
      <c r="E1970" s="3" t="inlineStr">
        <is>
          <t>MOVE_LOW_KICK</t>
        </is>
      </c>
    </row>
    <row r="1971">
      <c r="A1971" s="3" t="inlineStr">
        <is>
          <t>SPECIES_CROAGUNK</t>
        </is>
      </c>
      <c r="B1971" s="3" t="inlineStr">
        <is>
          <t>Croagunk</t>
        </is>
      </c>
      <c r="C1971" s="3" t="n">
        <v>20</v>
      </c>
      <c r="D1971" s="3" t="inlineStr">
        <is>
          <t>Venoshock</t>
        </is>
      </c>
      <c r="E1971" s="3" t="inlineStr">
        <is>
          <t>MOVE_VENOSHOCK</t>
        </is>
      </c>
    </row>
    <row r="1972">
      <c r="A1972" s="3" t="inlineStr">
        <is>
          <t>SPECIES_CROAGUNK</t>
        </is>
      </c>
      <c r="B1972" s="3" t="inlineStr">
        <is>
          <t>Croagunk</t>
        </is>
      </c>
      <c r="C1972" s="3" t="n">
        <v>24</v>
      </c>
      <c r="D1972" s="3" t="inlineStr">
        <is>
          <t>Sucker Punch</t>
        </is>
      </c>
      <c r="E1972" s="3" t="inlineStr">
        <is>
          <t>MOVE_SUCKER_PUNCH</t>
        </is>
      </c>
    </row>
    <row r="1973">
      <c r="A1973" s="3" t="inlineStr">
        <is>
          <t>SPECIES_CROAGUNK</t>
        </is>
      </c>
      <c r="B1973" s="3" t="inlineStr">
        <is>
          <t>Croagunk</t>
        </is>
      </c>
      <c r="C1973" s="3" t="n">
        <v>28</v>
      </c>
      <c r="D1973" s="3" t="inlineStr">
        <is>
          <t>Swagger</t>
        </is>
      </c>
      <c r="E1973" s="3" t="inlineStr">
        <is>
          <t>MOVE_SWAGGER</t>
        </is>
      </c>
    </row>
    <row r="1974">
      <c r="A1974" s="3" t="inlineStr">
        <is>
          <t>SPECIES_CROAGUNK</t>
        </is>
      </c>
      <c r="B1974" s="3" t="inlineStr">
        <is>
          <t>Croagunk</t>
        </is>
      </c>
      <c r="C1974" s="3" t="n">
        <v>32</v>
      </c>
      <c r="D1974" s="3" t="inlineStr">
        <is>
          <t>Poison Jab</t>
        </is>
      </c>
      <c r="E1974" s="3" t="inlineStr">
        <is>
          <t>MOVE_POISON_JAB</t>
        </is>
      </c>
    </row>
    <row r="1975">
      <c r="A1975" s="3" t="inlineStr">
        <is>
          <t>SPECIES_CROAGUNK</t>
        </is>
      </c>
      <c r="B1975" s="3" t="inlineStr">
        <is>
          <t>Croagunk</t>
        </is>
      </c>
      <c r="C1975" s="3" t="n">
        <v>36</v>
      </c>
      <c r="D1975" s="3" t="inlineStr">
        <is>
          <t>Toxic</t>
        </is>
      </c>
      <c r="E1975" s="3" t="inlineStr">
        <is>
          <t>MOVE_TOXIC</t>
        </is>
      </c>
    </row>
    <row r="1976">
      <c r="A1976" s="3" t="inlineStr">
        <is>
          <t>SPECIES_CROAGUNK</t>
        </is>
      </c>
      <c r="B1976" s="3" t="inlineStr">
        <is>
          <t>Croagunk</t>
        </is>
      </c>
      <c r="C1976" s="3" t="n">
        <v>40</v>
      </c>
      <c r="D1976" s="3" t="inlineStr">
        <is>
          <t>Nasty Plot</t>
        </is>
      </c>
      <c r="E1976" s="3" t="inlineStr">
        <is>
          <t>MOVE_NASTY_PLOT</t>
        </is>
      </c>
    </row>
    <row r="1977">
      <c r="A1977" s="3" t="inlineStr">
        <is>
          <t>SPECIES_CROAGUNK</t>
        </is>
      </c>
      <c r="B1977" s="3" t="inlineStr">
        <is>
          <t>Croagunk</t>
        </is>
      </c>
      <c r="C1977" s="3" t="n">
        <v>44</v>
      </c>
      <c r="D1977" s="3" t="inlineStr">
        <is>
          <t>Sludge Bomb</t>
        </is>
      </c>
      <c r="E1977" s="3" t="inlineStr">
        <is>
          <t>MOVE_SLUDGE_BOMB</t>
        </is>
      </c>
    </row>
    <row r="1978">
      <c r="A1978" s="3" t="inlineStr">
        <is>
          <t>SPECIES_CROAGUNK</t>
        </is>
      </c>
      <c r="B1978" s="3" t="inlineStr">
        <is>
          <t>Croagunk</t>
        </is>
      </c>
      <c r="C1978" s="3" t="n">
        <v>48</v>
      </c>
      <c r="D1978" s="3" t="inlineStr">
        <is>
          <t>Belch</t>
        </is>
      </c>
      <c r="E1978" s="3" t="inlineStr">
        <is>
          <t>MOVE_BELCH</t>
        </is>
      </c>
    </row>
    <row r="1979">
      <c r="A1979" s="3" t="inlineStr">
        <is>
          <t>SPECIES_TOXICROAK</t>
        </is>
      </c>
      <c r="B1979" s="3" t="inlineStr">
        <is>
          <t>Toxicroak</t>
        </is>
      </c>
      <c r="C1979" s="3" t="n">
        <v>1</v>
      </c>
      <c r="D1979" s="3" t="inlineStr">
        <is>
          <t>Poison Sting</t>
        </is>
      </c>
      <c r="E1979" s="3" t="inlineStr">
        <is>
          <t>MOVE_POISON_STING</t>
        </is>
      </c>
    </row>
    <row r="1980">
      <c r="A1980" s="3" t="inlineStr">
        <is>
          <t>SPECIES_TOXICROAK</t>
        </is>
      </c>
      <c r="B1980" s="3" t="inlineStr">
        <is>
          <t>Toxicroak</t>
        </is>
      </c>
      <c r="C1980" s="3" t="n">
        <v>1</v>
      </c>
      <c r="D1980" s="3" t="inlineStr">
        <is>
          <t>Mud-Slap</t>
        </is>
      </c>
      <c r="E1980" s="3" t="inlineStr">
        <is>
          <t>MOVE_MUD_SLAP</t>
        </is>
      </c>
    </row>
    <row r="1981">
      <c r="A1981" s="3" t="inlineStr">
        <is>
          <t>SPECIES_TOXICROAK</t>
        </is>
      </c>
      <c r="B1981" s="3" t="inlineStr">
        <is>
          <t>Toxicroak</t>
        </is>
      </c>
      <c r="C1981" s="3" t="n">
        <v>1</v>
      </c>
      <c r="D1981" s="3" t="inlineStr">
        <is>
          <t>Taunt</t>
        </is>
      </c>
      <c r="E1981" s="3" t="inlineStr">
        <is>
          <t>MOVE_TAUNT</t>
        </is>
      </c>
    </row>
    <row r="1982">
      <c r="A1982" s="3" t="inlineStr">
        <is>
          <t>SPECIES_TOXICROAK</t>
        </is>
      </c>
      <c r="B1982" s="3" t="inlineStr">
        <is>
          <t>Toxicroak</t>
        </is>
      </c>
      <c r="C1982" s="3" t="n">
        <v>1</v>
      </c>
      <c r="D1982" s="3" t="inlineStr">
        <is>
          <t>Astonish</t>
        </is>
      </c>
      <c r="E1982" s="3" t="inlineStr">
        <is>
          <t>MOVE_ASTONISH</t>
        </is>
      </c>
    </row>
    <row r="1983">
      <c r="A1983" s="3" t="inlineStr">
        <is>
          <t>SPECIES_TOXICROAK</t>
        </is>
      </c>
      <c r="B1983" s="3" t="inlineStr">
        <is>
          <t>Toxicroak</t>
        </is>
      </c>
      <c r="C1983" s="3" t="n">
        <v>12</v>
      </c>
      <c r="D1983" s="3" t="inlineStr">
        <is>
          <t>Flatter</t>
        </is>
      </c>
      <c r="E1983" s="3" t="inlineStr">
        <is>
          <t>MOVE_FLATTER</t>
        </is>
      </c>
    </row>
    <row r="1984">
      <c r="A1984" s="3" t="inlineStr">
        <is>
          <t>SPECIES_TOXICROAK</t>
        </is>
      </c>
      <c r="B1984" s="3" t="inlineStr">
        <is>
          <t>Toxicroak</t>
        </is>
      </c>
      <c r="C1984" s="3" t="n">
        <v>16</v>
      </c>
      <c r="D1984" s="3" t="inlineStr">
        <is>
          <t>Low Kick</t>
        </is>
      </c>
      <c r="E1984" s="3" t="inlineStr">
        <is>
          <t>MOVE_LOW_KICK</t>
        </is>
      </c>
    </row>
    <row r="1985">
      <c r="A1985" s="3" t="inlineStr">
        <is>
          <t>SPECIES_TOXICROAK</t>
        </is>
      </c>
      <c r="B1985" s="3" t="inlineStr">
        <is>
          <t>Toxicroak</t>
        </is>
      </c>
      <c r="C1985" s="3" t="n">
        <v>20</v>
      </c>
      <c r="D1985" s="3" t="inlineStr">
        <is>
          <t>Venoshock</t>
        </is>
      </c>
      <c r="E1985" s="3" t="inlineStr">
        <is>
          <t>MOVE_VENOSHOCK</t>
        </is>
      </c>
    </row>
    <row r="1986">
      <c r="A1986" s="3" t="inlineStr">
        <is>
          <t>SPECIES_TOXICROAK</t>
        </is>
      </c>
      <c r="B1986" s="3" t="inlineStr">
        <is>
          <t>Toxicroak</t>
        </is>
      </c>
      <c r="C1986" s="3" t="n">
        <v>24</v>
      </c>
      <c r="D1986" s="3" t="inlineStr">
        <is>
          <t>Sucker Punch</t>
        </is>
      </c>
      <c r="E1986" s="3" t="inlineStr">
        <is>
          <t>MOVE_SUCKER_PUNCH</t>
        </is>
      </c>
    </row>
    <row r="1987">
      <c r="A1987" s="3" t="inlineStr">
        <is>
          <t>SPECIES_TOXICROAK</t>
        </is>
      </c>
      <c r="B1987" s="3" t="inlineStr">
        <is>
          <t>Toxicroak</t>
        </is>
      </c>
      <c r="C1987" s="3" t="n">
        <v>28</v>
      </c>
      <c r="D1987" s="3" t="inlineStr">
        <is>
          <t>Swagger</t>
        </is>
      </c>
      <c r="E1987" s="3" t="inlineStr">
        <is>
          <t>MOVE_SWAGGER</t>
        </is>
      </c>
    </row>
    <row r="1988">
      <c r="A1988" s="3" t="inlineStr">
        <is>
          <t>SPECIES_TOXICROAK</t>
        </is>
      </c>
      <c r="B1988" s="3" t="inlineStr">
        <is>
          <t>Toxicroak</t>
        </is>
      </c>
      <c r="C1988" s="3" t="n">
        <v>32</v>
      </c>
      <c r="D1988" s="3" t="inlineStr">
        <is>
          <t>Poison Jab</t>
        </is>
      </c>
      <c r="E1988" s="3" t="inlineStr">
        <is>
          <t>MOVE_POISON_JAB</t>
        </is>
      </c>
    </row>
    <row r="1989">
      <c r="A1989" s="3" t="inlineStr">
        <is>
          <t>SPECIES_TOXICROAK</t>
        </is>
      </c>
      <c r="B1989" s="3" t="inlineStr">
        <is>
          <t>Toxicroak</t>
        </is>
      </c>
      <c r="C1989" s="3" t="n">
        <v>36</v>
      </c>
      <c r="D1989" s="3" t="inlineStr">
        <is>
          <t>Toxic</t>
        </is>
      </c>
      <c r="E1989" s="3" t="inlineStr">
        <is>
          <t>MOVE_TOXIC</t>
        </is>
      </c>
    </row>
    <row r="1990">
      <c r="A1990" s="3" t="inlineStr">
        <is>
          <t>SPECIES_TOXICROAK</t>
        </is>
      </c>
      <c r="B1990" s="3" t="inlineStr">
        <is>
          <t>Toxicroak</t>
        </is>
      </c>
      <c r="C1990" s="3" t="n">
        <v>42</v>
      </c>
      <c r="D1990" s="3" t="inlineStr">
        <is>
          <t>Nasty Plot</t>
        </is>
      </c>
      <c r="E1990" s="3" t="inlineStr">
        <is>
          <t>MOVE_NASTY_PLOT</t>
        </is>
      </c>
    </row>
    <row r="1991">
      <c r="A1991" s="3" t="inlineStr">
        <is>
          <t>SPECIES_TOXICROAK</t>
        </is>
      </c>
      <c r="B1991" s="3" t="inlineStr">
        <is>
          <t>Toxicroak</t>
        </is>
      </c>
      <c r="C1991" s="3" t="n">
        <v>48</v>
      </c>
      <c r="D1991" s="3" t="inlineStr">
        <is>
          <t>Sludge Bomb</t>
        </is>
      </c>
      <c r="E1991" s="3" t="inlineStr">
        <is>
          <t>MOVE_SLUDGE_BOMB</t>
        </is>
      </c>
    </row>
    <row r="1992">
      <c r="A1992" s="3" t="inlineStr">
        <is>
          <t>SPECIES_TOXICROAK</t>
        </is>
      </c>
      <c r="B1992" s="3" t="inlineStr">
        <is>
          <t>Toxicroak</t>
        </is>
      </c>
      <c r="C1992" s="3" t="n">
        <v>54</v>
      </c>
      <c r="D1992" s="3" t="inlineStr">
        <is>
          <t>Belch</t>
        </is>
      </c>
      <c r="E1992" s="3" t="inlineStr">
        <is>
          <t>MOVE_BELCH</t>
        </is>
      </c>
    </row>
    <row r="1993">
      <c r="A1993" s="3" t="inlineStr">
        <is>
          <t>SPECIES_FINNEON</t>
        </is>
      </c>
      <c r="B1993" s="3" t="inlineStr">
        <is>
          <t>Finneon</t>
        </is>
      </c>
      <c r="C1993" s="3" t="n">
        <v>1</v>
      </c>
      <c r="D1993" s="3" t="inlineStr">
        <is>
          <t>Pound</t>
        </is>
      </c>
      <c r="E1993" s="3" t="inlineStr">
        <is>
          <t>MOVE_POUND</t>
        </is>
      </c>
    </row>
    <row r="1994">
      <c r="A1994" s="3" t="inlineStr">
        <is>
          <t>SPECIES_FINNEON</t>
        </is>
      </c>
      <c r="B1994" s="3" t="inlineStr">
        <is>
          <t>Finneon</t>
        </is>
      </c>
      <c r="C1994" s="3" t="n">
        <v>6</v>
      </c>
      <c r="D1994" s="3" t="inlineStr">
        <is>
          <t>Water Gun</t>
        </is>
      </c>
      <c r="E1994" s="3" t="inlineStr">
        <is>
          <t>MOVE_WATER_GUN</t>
        </is>
      </c>
    </row>
    <row r="1995">
      <c r="A1995" s="3" t="inlineStr">
        <is>
          <t>SPECIES_FINNEON</t>
        </is>
      </c>
      <c r="B1995" s="3" t="inlineStr">
        <is>
          <t>Finneon</t>
        </is>
      </c>
      <c r="C1995" s="3" t="n">
        <v>13</v>
      </c>
      <c r="D1995" s="3" t="inlineStr">
        <is>
          <t>Rain Dance</t>
        </is>
      </c>
      <c r="E1995" s="3" t="inlineStr">
        <is>
          <t>MOVE_RAIN_DANCE</t>
        </is>
      </c>
    </row>
    <row r="1996">
      <c r="A1996" s="3" t="inlineStr">
        <is>
          <t>SPECIES_FINNEON</t>
        </is>
      </c>
      <c r="B1996" s="3" t="inlineStr">
        <is>
          <t>Finneon</t>
        </is>
      </c>
      <c r="C1996" s="3" t="n">
        <v>17</v>
      </c>
      <c r="D1996" s="3" t="inlineStr">
        <is>
          <t>Gust</t>
        </is>
      </c>
      <c r="E1996" s="3" t="inlineStr">
        <is>
          <t>MOVE_GUST</t>
        </is>
      </c>
    </row>
    <row r="1997">
      <c r="A1997" s="3" t="inlineStr">
        <is>
          <t>SPECIES_FINNEON</t>
        </is>
      </c>
      <c r="B1997" s="3" t="inlineStr">
        <is>
          <t>Finneon</t>
        </is>
      </c>
      <c r="C1997" s="3" t="n">
        <v>22</v>
      </c>
      <c r="D1997" s="3" t="inlineStr">
        <is>
          <t>Water Pulse</t>
        </is>
      </c>
      <c r="E1997" s="3" t="inlineStr">
        <is>
          <t>MOVE_WATER_PULSE</t>
        </is>
      </c>
    </row>
    <row r="1998">
      <c r="A1998" s="3" t="inlineStr">
        <is>
          <t>SPECIES_FINNEON</t>
        </is>
      </c>
      <c r="B1998" s="3" t="inlineStr">
        <is>
          <t>Finneon</t>
        </is>
      </c>
      <c r="C1998" s="3" t="n">
        <v>26</v>
      </c>
      <c r="D1998" s="3" t="inlineStr">
        <is>
          <t>Attract</t>
        </is>
      </c>
      <c r="E1998" s="3" t="inlineStr">
        <is>
          <t>MOVE_ATTRACT</t>
        </is>
      </c>
    </row>
    <row r="1999">
      <c r="A1999" s="3" t="inlineStr">
        <is>
          <t>SPECIES_FINNEON</t>
        </is>
      </c>
      <c r="B1999" s="3" t="inlineStr">
        <is>
          <t>Finneon</t>
        </is>
      </c>
      <c r="C1999" s="3" t="n">
        <v>29</v>
      </c>
      <c r="D1999" s="3" t="inlineStr">
        <is>
          <t>Safeguard</t>
        </is>
      </c>
      <c r="E1999" s="3" t="inlineStr">
        <is>
          <t>MOVE_SAFEGUARD</t>
        </is>
      </c>
    </row>
    <row r="2000">
      <c r="A2000" s="3" t="inlineStr">
        <is>
          <t>SPECIES_FINNEON</t>
        </is>
      </c>
      <c r="B2000" s="3" t="inlineStr">
        <is>
          <t>Finneon</t>
        </is>
      </c>
      <c r="C2000" s="3" t="n">
        <v>33</v>
      </c>
      <c r="D2000" s="3" t="inlineStr">
        <is>
          <t>Aqua Ring</t>
        </is>
      </c>
      <c r="E2000" s="3" t="inlineStr">
        <is>
          <t>MOVE_AQUA_RING</t>
        </is>
      </c>
    </row>
    <row r="2001">
      <c r="A2001" s="3" t="inlineStr">
        <is>
          <t>SPECIES_FINNEON</t>
        </is>
      </c>
      <c r="B2001" s="3" t="inlineStr">
        <is>
          <t>Finneon</t>
        </is>
      </c>
      <c r="C2001" s="3" t="n">
        <v>38</v>
      </c>
      <c r="D2001" s="3" t="inlineStr">
        <is>
          <t>Whirlpool</t>
        </is>
      </c>
      <c r="E2001" s="3" t="inlineStr">
        <is>
          <t>MOVE_WHIRLPOOL</t>
        </is>
      </c>
    </row>
    <row r="2002">
      <c r="A2002" s="3" t="inlineStr">
        <is>
          <t>SPECIES_FINNEON</t>
        </is>
      </c>
      <c r="B2002" s="3" t="inlineStr">
        <is>
          <t>Finneon</t>
        </is>
      </c>
      <c r="C2002" s="3" t="n">
        <v>42</v>
      </c>
      <c r="D2002" s="3" t="inlineStr">
        <is>
          <t>U-turn</t>
        </is>
      </c>
      <c r="E2002" s="3" t="inlineStr">
        <is>
          <t>MOVE_U_TURN</t>
        </is>
      </c>
    </row>
    <row r="2003">
      <c r="A2003" s="3" t="inlineStr">
        <is>
          <t>SPECIES_FINNEON</t>
        </is>
      </c>
      <c r="B2003" s="3" t="inlineStr">
        <is>
          <t>Finneon</t>
        </is>
      </c>
      <c r="C2003" s="3" t="n">
        <v>45</v>
      </c>
      <c r="D2003" s="3" t="inlineStr">
        <is>
          <t>Bounce</t>
        </is>
      </c>
      <c r="E2003" s="3" t="inlineStr">
        <is>
          <t>MOVE_BOUNCE</t>
        </is>
      </c>
    </row>
    <row r="2004">
      <c r="A2004" s="3" t="inlineStr">
        <is>
          <t>SPECIES_FINNEON</t>
        </is>
      </c>
      <c r="B2004" s="3" t="inlineStr">
        <is>
          <t>Finneon</t>
        </is>
      </c>
      <c r="C2004" s="3" t="n">
        <v>49</v>
      </c>
      <c r="D2004" s="3" t="inlineStr">
        <is>
          <t>Tailwind</t>
        </is>
      </c>
      <c r="E2004" s="3" t="inlineStr">
        <is>
          <t>MOVE_TAILWIND</t>
        </is>
      </c>
    </row>
    <row r="2005">
      <c r="A2005" s="3" t="inlineStr">
        <is>
          <t>SPECIES_FINNEON</t>
        </is>
      </c>
      <c r="B2005" s="3" t="inlineStr">
        <is>
          <t>Finneon</t>
        </is>
      </c>
      <c r="C2005" s="3" t="n">
        <v>54</v>
      </c>
      <c r="D2005" s="3" t="inlineStr">
        <is>
          <t>Soak</t>
        </is>
      </c>
      <c r="E2005" s="3" t="inlineStr">
        <is>
          <t>MOVE_SOAK</t>
        </is>
      </c>
    </row>
    <row r="2006">
      <c r="A2006" s="3" t="inlineStr">
        <is>
          <t>SPECIES_LUMINEON</t>
        </is>
      </c>
      <c r="B2006" s="3" t="inlineStr">
        <is>
          <t>Lumineon</t>
        </is>
      </c>
      <c r="C2006" s="3" t="n">
        <v>1</v>
      </c>
      <c r="D2006" s="3" t="inlineStr">
        <is>
          <t>Pound</t>
        </is>
      </c>
      <c r="E2006" s="3" t="inlineStr">
        <is>
          <t>MOVE_POUND</t>
        </is>
      </c>
    </row>
    <row r="2007">
      <c r="A2007" s="3" t="inlineStr">
        <is>
          <t>SPECIES_LUMINEON</t>
        </is>
      </c>
      <c r="B2007" s="3" t="inlineStr">
        <is>
          <t>Lumineon</t>
        </is>
      </c>
      <c r="C2007" s="3" t="n">
        <v>1</v>
      </c>
      <c r="D2007" s="3" t="inlineStr">
        <is>
          <t>Gust</t>
        </is>
      </c>
      <c r="E2007" s="3" t="inlineStr">
        <is>
          <t>MOVE_GUST</t>
        </is>
      </c>
    </row>
    <row r="2008">
      <c r="A2008" s="3" t="inlineStr">
        <is>
          <t>SPECIES_LUMINEON</t>
        </is>
      </c>
      <c r="B2008" s="3" t="inlineStr">
        <is>
          <t>Lumineon</t>
        </is>
      </c>
      <c r="C2008" s="3" t="n">
        <v>1</v>
      </c>
      <c r="D2008" s="3" t="inlineStr">
        <is>
          <t>Water Gun</t>
        </is>
      </c>
      <c r="E2008" s="3" t="inlineStr">
        <is>
          <t>MOVE_WATER_GUN</t>
        </is>
      </c>
    </row>
    <row r="2009">
      <c r="A2009" s="3" t="inlineStr">
        <is>
          <t>SPECIES_LUMINEON</t>
        </is>
      </c>
      <c r="B2009" s="3" t="inlineStr">
        <is>
          <t>Lumineon</t>
        </is>
      </c>
      <c r="C2009" s="3" t="n">
        <v>1</v>
      </c>
      <c r="D2009" s="3" t="inlineStr">
        <is>
          <t>Soak</t>
        </is>
      </c>
      <c r="E2009" s="3" t="inlineStr">
        <is>
          <t>MOVE_SOAK</t>
        </is>
      </c>
    </row>
    <row r="2010">
      <c r="A2010" s="3" t="inlineStr">
        <is>
          <t>SPECIES_LUMINEON</t>
        </is>
      </c>
      <c r="B2010" s="3" t="inlineStr">
        <is>
          <t>Lumineon</t>
        </is>
      </c>
      <c r="C2010" s="3" t="n">
        <v>13</v>
      </c>
      <c r="D2010" s="3" t="inlineStr">
        <is>
          <t>Rain Dance</t>
        </is>
      </c>
      <c r="E2010" s="3" t="inlineStr">
        <is>
          <t>MOVE_RAIN_DANCE</t>
        </is>
      </c>
    </row>
    <row r="2011">
      <c r="A2011" s="3" t="inlineStr">
        <is>
          <t>SPECIES_LUMINEON</t>
        </is>
      </c>
      <c r="B2011" s="3" t="inlineStr">
        <is>
          <t>Lumineon</t>
        </is>
      </c>
      <c r="C2011" s="3" t="n">
        <v>22</v>
      </c>
      <c r="D2011" s="3" t="inlineStr">
        <is>
          <t>Water Pulse</t>
        </is>
      </c>
      <c r="E2011" s="3" t="inlineStr">
        <is>
          <t>MOVE_WATER_PULSE</t>
        </is>
      </c>
    </row>
    <row r="2012">
      <c r="A2012" s="3" t="inlineStr">
        <is>
          <t>SPECIES_LUMINEON</t>
        </is>
      </c>
      <c r="B2012" s="3" t="inlineStr">
        <is>
          <t>Lumineon</t>
        </is>
      </c>
      <c r="C2012" s="3" t="n">
        <v>26</v>
      </c>
      <c r="D2012" s="3" t="inlineStr">
        <is>
          <t>Attract</t>
        </is>
      </c>
      <c r="E2012" s="3" t="inlineStr">
        <is>
          <t>MOVE_ATTRACT</t>
        </is>
      </c>
    </row>
    <row r="2013">
      <c r="A2013" s="3" t="inlineStr">
        <is>
          <t>SPECIES_LUMINEON</t>
        </is>
      </c>
      <c r="B2013" s="3" t="inlineStr">
        <is>
          <t>Lumineon</t>
        </is>
      </c>
      <c r="C2013" s="3" t="n">
        <v>29</v>
      </c>
      <c r="D2013" s="3" t="inlineStr">
        <is>
          <t>Safeguard</t>
        </is>
      </c>
      <c r="E2013" s="3" t="inlineStr">
        <is>
          <t>MOVE_SAFEGUARD</t>
        </is>
      </c>
    </row>
    <row r="2014">
      <c r="A2014" s="3" t="inlineStr">
        <is>
          <t>SPECIES_LUMINEON</t>
        </is>
      </c>
      <c r="B2014" s="3" t="inlineStr">
        <is>
          <t>Lumineon</t>
        </is>
      </c>
      <c r="C2014" s="3" t="n">
        <v>35</v>
      </c>
      <c r="D2014" s="3" t="inlineStr">
        <is>
          <t>Aqua Ring</t>
        </is>
      </c>
      <c r="E2014" s="3" t="inlineStr">
        <is>
          <t>MOVE_AQUA_RING</t>
        </is>
      </c>
    </row>
    <row r="2015">
      <c r="A2015" s="3" t="inlineStr">
        <is>
          <t>SPECIES_LUMINEON</t>
        </is>
      </c>
      <c r="B2015" s="3" t="inlineStr">
        <is>
          <t>Lumineon</t>
        </is>
      </c>
      <c r="C2015" s="3" t="n">
        <v>42</v>
      </c>
      <c r="D2015" s="3" t="inlineStr">
        <is>
          <t>Whirlpool</t>
        </is>
      </c>
      <c r="E2015" s="3" t="inlineStr">
        <is>
          <t>MOVE_WHIRLPOOL</t>
        </is>
      </c>
    </row>
    <row r="2016">
      <c r="A2016" s="3" t="inlineStr">
        <is>
          <t>SPECIES_LUMINEON</t>
        </is>
      </c>
      <c r="B2016" s="3" t="inlineStr">
        <is>
          <t>Lumineon</t>
        </is>
      </c>
      <c r="C2016" s="3" t="n">
        <v>48</v>
      </c>
      <c r="D2016" s="3" t="inlineStr">
        <is>
          <t>U-turn</t>
        </is>
      </c>
      <c r="E2016" s="3" t="inlineStr">
        <is>
          <t>MOVE_U_TURN</t>
        </is>
      </c>
    </row>
    <row r="2017">
      <c r="A2017" s="3" t="inlineStr">
        <is>
          <t>SPECIES_LUMINEON</t>
        </is>
      </c>
      <c r="B2017" s="3" t="inlineStr">
        <is>
          <t>Lumineon</t>
        </is>
      </c>
      <c r="C2017" s="3" t="n">
        <v>53</v>
      </c>
      <c r="D2017" s="3" t="inlineStr">
        <is>
          <t>Bounce</t>
        </is>
      </c>
      <c r="E2017" s="3" t="inlineStr">
        <is>
          <t>MOVE_BOUNCE</t>
        </is>
      </c>
    </row>
    <row r="2018">
      <c r="A2018" s="3" t="inlineStr">
        <is>
          <t>SPECIES_LUMINEON</t>
        </is>
      </c>
      <c r="B2018" s="3" t="inlineStr">
        <is>
          <t>Lumineon</t>
        </is>
      </c>
      <c r="C2018" s="3" t="n">
        <v>59</v>
      </c>
      <c r="D2018" s="3" t="inlineStr">
        <is>
          <t>Tailwind</t>
        </is>
      </c>
      <c r="E2018" s="3" t="inlineStr">
        <is>
          <t>MOVE_TAILWIND</t>
        </is>
      </c>
    </row>
    <row r="2019">
      <c r="A2019" s="3" t="inlineStr">
        <is>
          <t>SPECIES_SNOVER</t>
        </is>
      </c>
      <c r="B2019" s="3" t="inlineStr">
        <is>
          <t>Snover</t>
        </is>
      </c>
      <c r="C2019" s="3" t="n">
        <v>1</v>
      </c>
      <c r="D2019" s="3" t="inlineStr">
        <is>
          <t>Leer</t>
        </is>
      </c>
      <c r="E2019" s="3" t="inlineStr">
        <is>
          <t>MOVE_LEER</t>
        </is>
      </c>
    </row>
    <row r="2020">
      <c r="A2020" s="3" t="inlineStr">
        <is>
          <t>SPECIES_SNOVER</t>
        </is>
      </c>
      <c r="B2020" s="3" t="inlineStr">
        <is>
          <t>Snover</t>
        </is>
      </c>
      <c r="C2020" s="3" t="n">
        <v>1</v>
      </c>
      <c r="D2020" s="3" t="inlineStr">
        <is>
          <t>Powder Snow</t>
        </is>
      </c>
      <c r="E2020" s="3" t="inlineStr">
        <is>
          <t>MOVE_POWDER_SNOW</t>
        </is>
      </c>
    </row>
    <row r="2021">
      <c r="A2021" s="3" t="inlineStr">
        <is>
          <t>SPECIES_SNOVER</t>
        </is>
      </c>
      <c r="B2021" s="3" t="inlineStr">
        <is>
          <t>Snover</t>
        </is>
      </c>
      <c r="C2021" s="3" t="n">
        <v>5</v>
      </c>
      <c r="D2021" s="3" t="inlineStr">
        <is>
          <t>Leafage</t>
        </is>
      </c>
      <c r="E2021" s="3" t="inlineStr">
        <is>
          <t>MOVE_LEAFAGE</t>
        </is>
      </c>
    </row>
    <row r="2022">
      <c r="A2022" s="3" t="inlineStr">
        <is>
          <t>SPECIES_SNOVER</t>
        </is>
      </c>
      <c r="B2022" s="3" t="inlineStr">
        <is>
          <t>Snover</t>
        </is>
      </c>
      <c r="C2022" s="3" t="n">
        <v>10</v>
      </c>
      <c r="D2022" s="3" t="inlineStr">
        <is>
          <t>Mist</t>
        </is>
      </c>
      <c r="E2022" s="3" t="inlineStr">
        <is>
          <t>MOVE_MIST</t>
        </is>
      </c>
    </row>
    <row r="2023">
      <c r="A2023" s="3" t="inlineStr">
        <is>
          <t>SPECIES_SNOVER</t>
        </is>
      </c>
      <c r="B2023" s="3" t="inlineStr">
        <is>
          <t>Snover</t>
        </is>
      </c>
      <c r="C2023" s="3" t="n">
        <v>15</v>
      </c>
      <c r="D2023" s="3" t="inlineStr">
        <is>
          <t>Ice Shard</t>
        </is>
      </c>
      <c r="E2023" s="3" t="inlineStr">
        <is>
          <t>MOVE_ICE_SHARD</t>
        </is>
      </c>
    </row>
    <row r="2024">
      <c r="A2024" s="3" t="inlineStr">
        <is>
          <t>SPECIES_SNOVER</t>
        </is>
      </c>
      <c r="B2024" s="3" t="inlineStr">
        <is>
          <t>Snover</t>
        </is>
      </c>
      <c r="C2024" s="3" t="n">
        <v>20</v>
      </c>
      <c r="D2024" s="3" t="inlineStr">
        <is>
          <t>Razor Leaf</t>
        </is>
      </c>
      <c r="E2024" s="3" t="inlineStr">
        <is>
          <t>MOVE_RAZOR_LEAF</t>
        </is>
      </c>
    </row>
    <row r="2025">
      <c r="A2025" s="3" t="inlineStr">
        <is>
          <t>SPECIES_SNOVER</t>
        </is>
      </c>
      <c r="B2025" s="3" t="inlineStr">
        <is>
          <t>Snover</t>
        </is>
      </c>
      <c r="C2025" s="3" t="n">
        <v>25</v>
      </c>
      <c r="D2025" s="3" t="inlineStr">
        <is>
          <t>Icy Wind</t>
        </is>
      </c>
      <c r="E2025" s="3" t="inlineStr">
        <is>
          <t>MOVE_ICY_WIND</t>
        </is>
      </c>
    </row>
    <row r="2026">
      <c r="A2026" s="3" t="inlineStr">
        <is>
          <t>SPECIES_SNOVER</t>
        </is>
      </c>
      <c r="B2026" s="3" t="inlineStr">
        <is>
          <t>Snover</t>
        </is>
      </c>
      <c r="C2026" s="3" t="n">
        <v>30</v>
      </c>
      <c r="D2026" s="3" t="inlineStr">
        <is>
          <t>Swagger</t>
        </is>
      </c>
      <c r="E2026" s="3" t="inlineStr">
        <is>
          <t>MOVE_SWAGGER</t>
        </is>
      </c>
    </row>
    <row r="2027">
      <c r="A2027" s="3" t="inlineStr">
        <is>
          <t>SPECIES_SNOVER</t>
        </is>
      </c>
      <c r="B2027" s="3" t="inlineStr">
        <is>
          <t>Snover</t>
        </is>
      </c>
      <c r="C2027" s="3" t="n">
        <v>35</v>
      </c>
      <c r="D2027" s="3" t="inlineStr">
        <is>
          <t>Ingrain</t>
        </is>
      </c>
      <c r="E2027" s="3" t="inlineStr">
        <is>
          <t>MOVE_INGRAIN</t>
        </is>
      </c>
    </row>
    <row r="2028">
      <c r="A2028" s="3" t="inlineStr">
        <is>
          <t>SPECIES_SNOVER</t>
        </is>
      </c>
      <c r="B2028" s="3" t="inlineStr">
        <is>
          <t>Snover</t>
        </is>
      </c>
      <c r="C2028" s="3" t="n">
        <v>41</v>
      </c>
      <c r="D2028" s="3" t="inlineStr">
        <is>
          <t>Wood Hammer</t>
        </is>
      </c>
      <c r="E2028" s="3" t="inlineStr">
        <is>
          <t>MOVE_WOOD_HAMMER</t>
        </is>
      </c>
    </row>
    <row r="2029">
      <c r="A2029" s="3" t="inlineStr">
        <is>
          <t>SPECIES_SNOVER</t>
        </is>
      </c>
      <c r="B2029" s="3" t="inlineStr">
        <is>
          <t>Snover</t>
        </is>
      </c>
      <c r="C2029" s="3" t="n">
        <v>45</v>
      </c>
      <c r="D2029" s="3" t="inlineStr">
        <is>
          <t>Blizzard</t>
        </is>
      </c>
      <c r="E2029" s="3" t="inlineStr">
        <is>
          <t>MOVE_BLIZZARD</t>
        </is>
      </c>
    </row>
    <row r="2030">
      <c r="A2030" s="3" t="inlineStr">
        <is>
          <t>SPECIES_SNOVER</t>
        </is>
      </c>
      <c r="B2030" s="3" t="inlineStr">
        <is>
          <t>Snover</t>
        </is>
      </c>
      <c r="C2030" s="3" t="n">
        <v>50</v>
      </c>
      <c r="D2030" s="3" t="inlineStr">
        <is>
          <t>Sheer Cold</t>
        </is>
      </c>
      <c r="E2030" s="3" t="inlineStr">
        <is>
          <t>MOVE_SHEER_COLD</t>
        </is>
      </c>
    </row>
    <row r="2031">
      <c r="A2031" s="3" t="inlineStr">
        <is>
          <t>SPECIES_ABOMASNOW</t>
        </is>
      </c>
      <c r="B2031" s="3" t="inlineStr">
        <is>
          <t>Abomasnow</t>
        </is>
      </c>
      <c r="C2031" s="3" t="n">
        <v>0</v>
      </c>
      <c r="D2031" s="3" t="inlineStr">
        <is>
          <t>Ice Punch</t>
        </is>
      </c>
      <c r="E2031" s="3" t="inlineStr">
        <is>
          <t>MOVE_ICE_PUNCH</t>
        </is>
      </c>
    </row>
    <row r="2032">
      <c r="A2032" s="3" t="inlineStr">
        <is>
          <t>SPECIES_ABOMASNOW</t>
        </is>
      </c>
      <c r="B2032" s="3" t="inlineStr">
        <is>
          <t>Abomasnow</t>
        </is>
      </c>
      <c r="C2032" s="3" t="n">
        <v>1</v>
      </c>
      <c r="D2032" s="3" t="inlineStr">
        <is>
          <t>Leer</t>
        </is>
      </c>
      <c r="E2032" s="3" t="inlineStr">
        <is>
          <t>MOVE_LEER</t>
        </is>
      </c>
    </row>
    <row r="2033">
      <c r="A2033" s="3" t="inlineStr">
        <is>
          <t>SPECIES_ABOMASNOW</t>
        </is>
      </c>
      <c r="B2033" s="3" t="inlineStr">
        <is>
          <t>Abomasnow</t>
        </is>
      </c>
      <c r="C2033" s="3" t="n">
        <v>1</v>
      </c>
      <c r="D2033" s="3" t="inlineStr">
        <is>
          <t>Mist</t>
        </is>
      </c>
      <c r="E2033" s="3" t="inlineStr">
        <is>
          <t>MOVE_MIST</t>
        </is>
      </c>
    </row>
    <row r="2034">
      <c r="A2034" s="3" t="inlineStr">
        <is>
          <t>SPECIES_ABOMASNOW</t>
        </is>
      </c>
      <c r="B2034" s="3" t="inlineStr">
        <is>
          <t>Abomasnow</t>
        </is>
      </c>
      <c r="C2034" s="3" t="n">
        <v>1</v>
      </c>
      <c r="D2034" s="3" t="inlineStr">
        <is>
          <t>Powder Snow</t>
        </is>
      </c>
      <c r="E2034" s="3" t="inlineStr">
        <is>
          <t>MOVE_POWDER_SNOW</t>
        </is>
      </c>
    </row>
    <row r="2035">
      <c r="A2035" s="3" t="inlineStr">
        <is>
          <t>SPECIES_ABOMASNOW</t>
        </is>
      </c>
      <c r="B2035" s="3" t="inlineStr">
        <is>
          <t>Abomasnow</t>
        </is>
      </c>
      <c r="C2035" s="3" t="n">
        <v>1</v>
      </c>
      <c r="D2035" s="3" t="inlineStr">
        <is>
          <t>Leafage</t>
        </is>
      </c>
      <c r="E2035" s="3" t="inlineStr">
        <is>
          <t>MOVE_LEAFAGE</t>
        </is>
      </c>
    </row>
    <row r="2036">
      <c r="A2036" s="3" t="inlineStr">
        <is>
          <t>SPECIES_ABOMASNOW</t>
        </is>
      </c>
      <c r="B2036" s="3" t="inlineStr">
        <is>
          <t>Abomasnow</t>
        </is>
      </c>
      <c r="C2036" s="3" t="n">
        <v>1</v>
      </c>
      <c r="D2036" s="3" t="inlineStr">
        <is>
          <t>Aurora Veil</t>
        </is>
      </c>
      <c r="E2036" s="3" t="inlineStr">
        <is>
          <t>MOVE_AURORA_VEIL</t>
        </is>
      </c>
    </row>
    <row r="2037">
      <c r="A2037" s="3" t="inlineStr">
        <is>
          <t>SPECIES_ABOMASNOW</t>
        </is>
      </c>
      <c r="B2037" s="3" t="inlineStr">
        <is>
          <t>Abomasnow</t>
        </is>
      </c>
      <c r="C2037" s="3" t="n">
        <v>15</v>
      </c>
      <c r="D2037" s="3" t="inlineStr">
        <is>
          <t>Ice Shard</t>
        </is>
      </c>
      <c r="E2037" s="3" t="inlineStr">
        <is>
          <t>MOVE_ICE_SHARD</t>
        </is>
      </c>
    </row>
    <row r="2038">
      <c r="A2038" s="3" t="inlineStr">
        <is>
          <t>SPECIES_ABOMASNOW</t>
        </is>
      </c>
      <c r="B2038" s="3" t="inlineStr">
        <is>
          <t>Abomasnow</t>
        </is>
      </c>
      <c r="C2038" s="3" t="n">
        <v>20</v>
      </c>
      <c r="D2038" s="3" t="inlineStr">
        <is>
          <t>Razor Leaf</t>
        </is>
      </c>
      <c r="E2038" s="3" t="inlineStr">
        <is>
          <t>MOVE_RAZOR_LEAF</t>
        </is>
      </c>
    </row>
    <row r="2039">
      <c r="A2039" s="3" t="inlineStr">
        <is>
          <t>SPECIES_ABOMASNOW</t>
        </is>
      </c>
      <c r="B2039" s="3" t="inlineStr">
        <is>
          <t>Abomasnow</t>
        </is>
      </c>
      <c r="C2039" s="3" t="n">
        <v>25</v>
      </c>
      <c r="D2039" s="3" t="inlineStr">
        <is>
          <t>Icy Wind</t>
        </is>
      </c>
      <c r="E2039" s="3" t="inlineStr">
        <is>
          <t>MOVE_ICY_WIND</t>
        </is>
      </c>
    </row>
    <row r="2040">
      <c r="A2040" s="3" t="inlineStr">
        <is>
          <t>SPECIES_ABOMASNOW</t>
        </is>
      </c>
      <c r="B2040" s="3" t="inlineStr">
        <is>
          <t>Abomasnow</t>
        </is>
      </c>
      <c r="C2040" s="3" t="n">
        <v>30</v>
      </c>
      <c r="D2040" s="3" t="inlineStr">
        <is>
          <t>Swagger</t>
        </is>
      </c>
      <c r="E2040" s="3" t="inlineStr">
        <is>
          <t>MOVE_SWAGGER</t>
        </is>
      </c>
    </row>
    <row r="2041">
      <c r="A2041" s="3" t="inlineStr">
        <is>
          <t>SPECIES_ABOMASNOW</t>
        </is>
      </c>
      <c r="B2041" s="3" t="inlineStr">
        <is>
          <t>Abomasnow</t>
        </is>
      </c>
      <c r="C2041" s="3" t="n">
        <v>35</v>
      </c>
      <c r="D2041" s="3" t="inlineStr">
        <is>
          <t>Ingrain</t>
        </is>
      </c>
      <c r="E2041" s="3" t="inlineStr">
        <is>
          <t>MOVE_INGRAIN</t>
        </is>
      </c>
    </row>
    <row r="2042">
      <c r="A2042" s="3" t="inlineStr">
        <is>
          <t>SPECIES_ABOMASNOW</t>
        </is>
      </c>
      <c r="B2042" s="3" t="inlineStr">
        <is>
          <t>Abomasnow</t>
        </is>
      </c>
      <c r="C2042" s="3" t="n">
        <v>43</v>
      </c>
      <c r="D2042" s="3" t="inlineStr">
        <is>
          <t>Wood Hammer</t>
        </is>
      </c>
      <c r="E2042" s="3" t="inlineStr">
        <is>
          <t>MOVE_WOOD_HAMMER</t>
        </is>
      </c>
    </row>
    <row r="2043">
      <c r="A2043" s="3" t="inlineStr">
        <is>
          <t>SPECIES_ABOMASNOW</t>
        </is>
      </c>
      <c r="B2043" s="3" t="inlineStr">
        <is>
          <t>Abomasnow</t>
        </is>
      </c>
      <c r="C2043" s="3" t="n">
        <v>49</v>
      </c>
      <c r="D2043" s="3" t="inlineStr">
        <is>
          <t>Blizzard</t>
        </is>
      </c>
      <c r="E2043" s="3" t="inlineStr">
        <is>
          <t>MOVE_BLIZZARD</t>
        </is>
      </c>
    </row>
    <row r="2044">
      <c r="A2044" s="3" t="inlineStr">
        <is>
          <t>SPECIES_ABOMASNOW</t>
        </is>
      </c>
      <c r="B2044" s="3" t="inlineStr">
        <is>
          <t>Abomasnow</t>
        </is>
      </c>
      <c r="C2044" s="3" t="n">
        <v>56</v>
      </c>
      <c r="D2044" s="3" t="inlineStr">
        <is>
          <t>Sheer Cold</t>
        </is>
      </c>
      <c r="E2044" s="3" t="inlineStr">
        <is>
          <t>MOVE_SHEER_COLD</t>
        </is>
      </c>
    </row>
    <row r="2045">
      <c r="A2045" s="3" t="inlineStr">
        <is>
          <t>SPECIES_SNEASEL</t>
        </is>
      </c>
      <c r="B2045" s="3" t="inlineStr">
        <is>
          <t>Sneasel</t>
        </is>
      </c>
      <c r="C2045" s="3" t="n">
        <v>1</v>
      </c>
      <c r="D2045" s="3" t="inlineStr">
        <is>
          <t>Scratch</t>
        </is>
      </c>
      <c r="E2045" s="3" t="inlineStr">
        <is>
          <t>MOVE_SCRATCH</t>
        </is>
      </c>
    </row>
    <row r="2046">
      <c r="A2046" s="3" t="inlineStr">
        <is>
          <t>SPECIES_SNEASEL</t>
        </is>
      </c>
      <c r="B2046" s="3" t="inlineStr">
        <is>
          <t>Sneasel</t>
        </is>
      </c>
      <c r="C2046" s="3" t="n">
        <v>1</v>
      </c>
      <c r="D2046" s="3" t="inlineStr">
        <is>
          <t>Leer</t>
        </is>
      </c>
      <c r="E2046" s="3" t="inlineStr">
        <is>
          <t>MOVE_LEER</t>
        </is>
      </c>
    </row>
    <row r="2047">
      <c r="A2047" s="3" t="inlineStr">
        <is>
          <t>SPECIES_SNEASEL</t>
        </is>
      </c>
      <c r="B2047" s="3" t="inlineStr">
        <is>
          <t>Sneasel</t>
        </is>
      </c>
      <c r="C2047" s="3" t="n">
        <v>6</v>
      </c>
      <c r="D2047" s="3" t="inlineStr">
        <is>
          <t>Taunt</t>
        </is>
      </c>
      <c r="E2047" s="3" t="inlineStr">
        <is>
          <t>MOVE_TAUNT</t>
        </is>
      </c>
    </row>
    <row r="2048">
      <c r="A2048" s="3" t="inlineStr">
        <is>
          <t>SPECIES_SNEASEL</t>
        </is>
      </c>
      <c r="B2048" s="3" t="inlineStr">
        <is>
          <t>Sneasel</t>
        </is>
      </c>
      <c r="C2048" s="3" t="n">
        <v>12</v>
      </c>
      <c r="D2048" s="3" t="inlineStr">
        <is>
          <t>Quick Attack</t>
        </is>
      </c>
      <c r="E2048" s="3" t="inlineStr">
        <is>
          <t>MOVE_QUICK_ATTACK</t>
        </is>
      </c>
    </row>
    <row r="2049">
      <c r="A2049" s="3" t="inlineStr">
        <is>
          <t>SPECIES_SNEASEL</t>
        </is>
      </c>
      <c r="B2049" s="3" t="inlineStr">
        <is>
          <t>Sneasel</t>
        </is>
      </c>
      <c r="C2049" s="3" t="n">
        <v>18</v>
      </c>
      <c r="D2049" s="3" t="inlineStr">
        <is>
          <t>Metal Claw</t>
        </is>
      </c>
      <c r="E2049" s="3" t="inlineStr">
        <is>
          <t>MOVE_METAL_CLAW</t>
        </is>
      </c>
    </row>
    <row r="2050">
      <c r="A2050" s="3" t="inlineStr">
        <is>
          <t>SPECIES_SNEASEL</t>
        </is>
      </c>
      <c r="B2050" s="3" t="inlineStr">
        <is>
          <t>Sneasel</t>
        </is>
      </c>
      <c r="C2050" s="3" t="n">
        <v>24</v>
      </c>
      <c r="D2050" s="3" t="inlineStr">
        <is>
          <t>Icy Wind</t>
        </is>
      </c>
      <c r="E2050" s="3" t="inlineStr">
        <is>
          <t>MOVE_ICY_WIND</t>
        </is>
      </c>
    </row>
    <row r="2051">
      <c r="A2051" s="3" t="inlineStr">
        <is>
          <t>SPECIES_SNEASEL</t>
        </is>
      </c>
      <c r="B2051" s="3" t="inlineStr">
        <is>
          <t>Sneasel</t>
        </is>
      </c>
      <c r="C2051" s="3" t="n">
        <v>30</v>
      </c>
      <c r="D2051" s="3" t="inlineStr">
        <is>
          <t>Fury Swipes</t>
        </is>
      </c>
      <c r="E2051" s="3" t="inlineStr">
        <is>
          <t>MOVE_FURY_SWIPES</t>
        </is>
      </c>
    </row>
    <row r="2052">
      <c r="A2052" s="3" t="inlineStr">
        <is>
          <t>SPECIES_SNEASEL</t>
        </is>
      </c>
      <c r="B2052" s="3" t="inlineStr">
        <is>
          <t>Sneasel</t>
        </is>
      </c>
      <c r="C2052" s="3" t="n">
        <v>36</v>
      </c>
      <c r="D2052" s="3" t="inlineStr">
        <is>
          <t>Hone Claws</t>
        </is>
      </c>
      <c r="E2052" s="3" t="inlineStr">
        <is>
          <t>MOVE_HONE_CLAWS</t>
        </is>
      </c>
    </row>
    <row r="2053">
      <c r="A2053" s="3" t="inlineStr">
        <is>
          <t>SPECIES_SNEASEL</t>
        </is>
      </c>
      <c r="B2053" s="3" t="inlineStr">
        <is>
          <t>Sneasel</t>
        </is>
      </c>
      <c r="C2053" s="3" t="n">
        <v>42</v>
      </c>
      <c r="D2053" s="3" t="inlineStr">
        <is>
          <t>Beat Up</t>
        </is>
      </c>
      <c r="E2053" s="3" t="inlineStr">
        <is>
          <t>MOVE_BEAT_UP</t>
        </is>
      </c>
    </row>
    <row r="2054">
      <c r="A2054" s="3" t="inlineStr">
        <is>
          <t>SPECIES_SNEASEL</t>
        </is>
      </c>
      <c r="B2054" s="3" t="inlineStr">
        <is>
          <t>Sneasel</t>
        </is>
      </c>
      <c r="C2054" s="3" t="n">
        <v>48</v>
      </c>
      <c r="D2054" s="3" t="inlineStr">
        <is>
          <t>Agility</t>
        </is>
      </c>
      <c r="E2054" s="3" t="inlineStr">
        <is>
          <t>MOVE_AGILITY</t>
        </is>
      </c>
    </row>
    <row r="2055">
      <c r="A2055" s="3" t="inlineStr">
        <is>
          <t>SPECIES_SNEASEL</t>
        </is>
      </c>
      <c r="B2055" s="3" t="inlineStr">
        <is>
          <t>Sneasel</t>
        </is>
      </c>
      <c r="C2055" s="3" t="n">
        <v>54</v>
      </c>
      <c r="D2055" s="3" t="inlineStr">
        <is>
          <t>Screech</t>
        </is>
      </c>
      <c r="E2055" s="3" t="inlineStr">
        <is>
          <t>MOVE_SCREECH</t>
        </is>
      </c>
    </row>
    <row r="2056">
      <c r="A2056" s="3" t="inlineStr">
        <is>
          <t>SPECIES_SNEASEL</t>
        </is>
      </c>
      <c r="B2056" s="3" t="inlineStr">
        <is>
          <t>Sneasel</t>
        </is>
      </c>
      <c r="C2056" s="3" t="n">
        <v>60</v>
      </c>
      <c r="D2056" s="3" t="inlineStr">
        <is>
          <t>Slash</t>
        </is>
      </c>
      <c r="E2056" s="3" t="inlineStr">
        <is>
          <t>MOVE_SLASH</t>
        </is>
      </c>
    </row>
    <row r="2057">
      <c r="A2057" s="3" t="inlineStr">
        <is>
          <t>SPECIES_WEAVILE</t>
        </is>
      </c>
      <c r="B2057" s="3" t="inlineStr">
        <is>
          <t>Weavile</t>
        </is>
      </c>
      <c r="C2057" s="3" t="n">
        <v>1</v>
      </c>
      <c r="D2057" s="3" t="inlineStr">
        <is>
          <t>Scratch</t>
        </is>
      </c>
      <c r="E2057" s="3" t="inlineStr">
        <is>
          <t>MOVE_SCRATCH</t>
        </is>
      </c>
    </row>
    <row r="2058">
      <c r="A2058" s="3" t="inlineStr">
        <is>
          <t>SPECIES_WEAVILE</t>
        </is>
      </c>
      <c r="B2058" s="3" t="inlineStr">
        <is>
          <t>Weavile</t>
        </is>
      </c>
      <c r="C2058" s="3" t="n">
        <v>1</v>
      </c>
      <c r="D2058" s="3" t="inlineStr">
        <is>
          <t>Leer</t>
        </is>
      </c>
      <c r="E2058" s="3" t="inlineStr">
        <is>
          <t>MOVE_LEER</t>
        </is>
      </c>
    </row>
    <row r="2059">
      <c r="A2059" s="3" t="inlineStr">
        <is>
          <t>SPECIES_WEAVILE</t>
        </is>
      </c>
      <c r="B2059" s="3" t="inlineStr">
        <is>
          <t>Weavile</t>
        </is>
      </c>
      <c r="C2059" s="3" t="n">
        <v>1</v>
      </c>
      <c r="D2059" s="3" t="inlineStr">
        <is>
          <t>Agility</t>
        </is>
      </c>
      <c r="E2059" s="3" t="inlineStr">
        <is>
          <t>MOVE_AGILITY</t>
        </is>
      </c>
    </row>
    <row r="2060">
      <c r="A2060" s="3" t="inlineStr">
        <is>
          <t>SPECIES_WEAVILE</t>
        </is>
      </c>
      <c r="B2060" s="3" t="inlineStr">
        <is>
          <t>Weavile</t>
        </is>
      </c>
      <c r="C2060" s="3" t="n">
        <v>1</v>
      </c>
      <c r="D2060" s="3" t="inlineStr">
        <is>
          <t>Quick Attack</t>
        </is>
      </c>
      <c r="E2060" s="3" t="inlineStr">
        <is>
          <t>MOVE_QUICK_ATTACK</t>
        </is>
      </c>
    </row>
    <row r="2061">
      <c r="A2061" s="3" t="inlineStr">
        <is>
          <t>SPECIES_WEAVILE</t>
        </is>
      </c>
      <c r="B2061" s="3" t="inlineStr">
        <is>
          <t>Weavile</t>
        </is>
      </c>
      <c r="C2061" s="3" t="n">
        <v>1</v>
      </c>
      <c r="D2061" s="3" t="inlineStr">
        <is>
          <t>Assurance</t>
        </is>
      </c>
      <c r="E2061" s="3" t="inlineStr">
        <is>
          <t>MOVE_ASSURANCE</t>
        </is>
      </c>
    </row>
    <row r="2062">
      <c r="A2062" s="3" t="inlineStr">
        <is>
          <t>SPECIES_WEAVILE</t>
        </is>
      </c>
      <c r="B2062" s="3" t="inlineStr">
        <is>
          <t>Weavile</t>
        </is>
      </c>
      <c r="C2062" s="3" t="n">
        <v>1</v>
      </c>
      <c r="D2062" s="3" t="inlineStr">
        <is>
          <t>Taunt</t>
        </is>
      </c>
      <c r="E2062" s="3" t="inlineStr">
        <is>
          <t>MOVE_TAUNT</t>
        </is>
      </c>
    </row>
    <row r="2063">
      <c r="A2063" s="3" t="inlineStr">
        <is>
          <t>SPECIES_WEAVILE</t>
        </is>
      </c>
      <c r="B2063" s="3" t="inlineStr">
        <is>
          <t>Weavile</t>
        </is>
      </c>
      <c r="C2063" s="3" t="n">
        <v>1</v>
      </c>
      <c r="D2063" s="3" t="inlineStr">
        <is>
          <t>Slash</t>
        </is>
      </c>
      <c r="E2063" s="3" t="inlineStr">
        <is>
          <t>MOVE_SLASH</t>
        </is>
      </c>
    </row>
    <row r="2064">
      <c r="A2064" s="3" t="inlineStr">
        <is>
          <t>SPECIES_WEAVILE</t>
        </is>
      </c>
      <c r="B2064" s="3" t="inlineStr">
        <is>
          <t>Weavile</t>
        </is>
      </c>
      <c r="C2064" s="3" t="n">
        <v>1</v>
      </c>
      <c r="D2064" s="3" t="inlineStr">
        <is>
          <t>Beat Up</t>
        </is>
      </c>
      <c r="E2064" s="3" t="inlineStr">
        <is>
          <t>MOVE_BEAT_UP</t>
        </is>
      </c>
    </row>
    <row r="2065">
      <c r="A2065" s="3" t="inlineStr">
        <is>
          <t>SPECIES_WEAVILE</t>
        </is>
      </c>
      <c r="B2065" s="3" t="inlineStr">
        <is>
          <t>Weavile</t>
        </is>
      </c>
      <c r="C2065" s="3" t="n">
        <v>1</v>
      </c>
      <c r="D2065" s="3" t="inlineStr">
        <is>
          <t>Ice Shard</t>
        </is>
      </c>
      <c r="E2065" s="3" t="inlineStr">
        <is>
          <t>MOVE_ICE_SHARD</t>
        </is>
      </c>
    </row>
    <row r="2066">
      <c r="A2066" s="3" t="inlineStr">
        <is>
          <t>SPECIES_WEAVILE</t>
        </is>
      </c>
      <c r="B2066" s="3" t="inlineStr">
        <is>
          <t>Weavile</t>
        </is>
      </c>
      <c r="C2066" s="3" t="n">
        <v>18</v>
      </c>
      <c r="D2066" s="3" t="inlineStr">
        <is>
          <t>Metal Claw</t>
        </is>
      </c>
      <c r="E2066" s="3" t="inlineStr">
        <is>
          <t>MOVE_METAL_CLAW</t>
        </is>
      </c>
    </row>
    <row r="2067">
      <c r="A2067" s="3" t="inlineStr">
        <is>
          <t>SPECIES_WEAVILE</t>
        </is>
      </c>
      <c r="B2067" s="3" t="inlineStr">
        <is>
          <t>Weavile</t>
        </is>
      </c>
      <c r="C2067" s="3" t="n">
        <v>24</v>
      </c>
      <c r="D2067" s="3" t="inlineStr">
        <is>
          <t>Icy Wind</t>
        </is>
      </c>
      <c r="E2067" s="3" t="inlineStr">
        <is>
          <t>MOVE_ICY_WIND</t>
        </is>
      </c>
    </row>
    <row r="2068">
      <c r="A2068" s="3" t="inlineStr">
        <is>
          <t>SPECIES_WEAVILE</t>
        </is>
      </c>
      <c r="B2068" s="3" t="inlineStr">
        <is>
          <t>Weavile</t>
        </is>
      </c>
      <c r="C2068" s="3" t="n">
        <v>30</v>
      </c>
      <c r="D2068" s="3" t="inlineStr">
        <is>
          <t>Fury Swipes</t>
        </is>
      </c>
      <c r="E2068" s="3" t="inlineStr">
        <is>
          <t>MOVE_FURY_SWIPES</t>
        </is>
      </c>
    </row>
    <row r="2069">
      <c r="A2069" s="3" t="inlineStr">
        <is>
          <t>SPECIES_WEAVILE</t>
        </is>
      </c>
      <c r="B2069" s="3" t="inlineStr">
        <is>
          <t>Weavile</t>
        </is>
      </c>
      <c r="C2069" s="3" t="n">
        <v>36</v>
      </c>
      <c r="D2069" s="3" t="inlineStr">
        <is>
          <t>Hone Claws</t>
        </is>
      </c>
      <c r="E2069" s="3" t="inlineStr">
        <is>
          <t>MOVE_HONE_CLAWS</t>
        </is>
      </c>
    </row>
    <row r="2070">
      <c r="A2070" s="3" t="inlineStr">
        <is>
          <t>SPECIES_WEAVILE</t>
        </is>
      </c>
      <c r="B2070" s="3" t="inlineStr">
        <is>
          <t>Weavile</t>
        </is>
      </c>
      <c r="C2070" s="3" t="n">
        <v>42</v>
      </c>
      <c r="D2070" s="3" t="inlineStr">
        <is>
          <t>Fling</t>
        </is>
      </c>
      <c r="E2070" s="3" t="inlineStr">
        <is>
          <t>MOVE_FLING</t>
        </is>
      </c>
    </row>
    <row r="2071">
      <c r="A2071" s="3" t="inlineStr">
        <is>
          <t>SPECIES_WEAVILE</t>
        </is>
      </c>
      <c r="B2071" s="3" t="inlineStr">
        <is>
          <t>Weavile</t>
        </is>
      </c>
      <c r="C2071" s="3" t="n">
        <v>48</v>
      </c>
      <c r="D2071" s="3" t="inlineStr">
        <is>
          <t>Nasty Plot</t>
        </is>
      </c>
      <c r="E2071" s="3" t="inlineStr">
        <is>
          <t>MOVE_NASTY_PLOT</t>
        </is>
      </c>
    </row>
    <row r="2072">
      <c r="A2072" s="3" t="inlineStr">
        <is>
          <t>SPECIES_WEAVILE</t>
        </is>
      </c>
      <c r="B2072" s="3" t="inlineStr">
        <is>
          <t>Weavile</t>
        </is>
      </c>
      <c r="C2072" s="3" t="n">
        <v>54</v>
      </c>
      <c r="D2072" s="3" t="inlineStr">
        <is>
          <t>Screech</t>
        </is>
      </c>
      <c r="E2072" s="3" t="inlineStr">
        <is>
          <t>MOVE_SCREECH</t>
        </is>
      </c>
    </row>
    <row r="2073">
      <c r="A2073" s="3" t="inlineStr">
        <is>
          <t>SPECIES_WEAVILE</t>
        </is>
      </c>
      <c r="B2073" s="3" t="inlineStr">
        <is>
          <t>Weavile</t>
        </is>
      </c>
      <c r="C2073" s="3" t="n">
        <v>60</v>
      </c>
      <c r="D2073" s="3" t="inlineStr">
        <is>
          <t>Night Slash</t>
        </is>
      </c>
      <c r="E2073" s="3" t="inlineStr">
        <is>
          <t>MOVE_NIGHT_SLASH</t>
        </is>
      </c>
    </row>
    <row r="2074">
      <c r="A2074" s="3" t="inlineStr">
        <is>
          <t>SPECIES_WEAVILE</t>
        </is>
      </c>
      <c r="B2074" s="3" t="inlineStr">
        <is>
          <t>Weavile</t>
        </is>
      </c>
      <c r="C2074" s="3" t="n">
        <v>66</v>
      </c>
      <c r="D2074" s="3" t="inlineStr">
        <is>
          <t>Dark Pulse</t>
        </is>
      </c>
      <c r="E2074" s="3" t="inlineStr">
        <is>
          <t>MOVE_DARK_PULSE</t>
        </is>
      </c>
    </row>
    <row r="2075">
      <c r="A2075" s="3" t="inlineStr">
        <is>
          <t>SPECIES_YANMA</t>
        </is>
      </c>
      <c r="B2075" s="3" t="inlineStr">
        <is>
          <t>Yanma</t>
        </is>
      </c>
      <c r="C2075" s="3" t="n">
        <v>1</v>
      </c>
      <c r="D2075" s="3" t="inlineStr">
        <is>
          <t>Tackle</t>
        </is>
      </c>
      <c r="E2075" s="3" t="inlineStr">
        <is>
          <t>MOVE_TACKLE</t>
        </is>
      </c>
    </row>
    <row r="2076">
      <c r="A2076" s="3" t="inlineStr">
        <is>
          <t>SPECIES_YANMA</t>
        </is>
      </c>
      <c r="B2076" s="3" t="inlineStr">
        <is>
          <t>Yanma</t>
        </is>
      </c>
      <c r="C2076" s="3" t="n">
        <v>6</v>
      </c>
      <c r="D2076" s="3" t="inlineStr">
        <is>
          <t>Quick Attack</t>
        </is>
      </c>
      <c r="E2076" s="3" t="inlineStr">
        <is>
          <t>MOVE_QUICK_ATTACK</t>
        </is>
      </c>
    </row>
    <row r="2077">
      <c r="A2077" s="3" t="inlineStr">
        <is>
          <t>SPECIES_YANMA</t>
        </is>
      </c>
      <c r="B2077" s="3" t="inlineStr">
        <is>
          <t>Yanma</t>
        </is>
      </c>
      <c r="C2077" s="3" t="n">
        <v>11</v>
      </c>
      <c r="D2077" s="3" t="inlineStr">
        <is>
          <t>Double Team</t>
        </is>
      </c>
      <c r="E2077" s="3" t="inlineStr">
        <is>
          <t>MOVE_DOUBLE_TEAM</t>
        </is>
      </c>
    </row>
    <row r="2078">
      <c r="A2078" s="3" t="inlineStr">
        <is>
          <t>SPECIES_YANMA</t>
        </is>
      </c>
      <c r="B2078" s="3" t="inlineStr">
        <is>
          <t>Yanma</t>
        </is>
      </c>
      <c r="C2078" s="3" t="n">
        <v>14</v>
      </c>
      <c r="D2078" s="3" t="inlineStr">
        <is>
          <t>Air Cutter</t>
        </is>
      </c>
      <c r="E2078" s="3" t="inlineStr">
        <is>
          <t>MOVE_AIR_CUTTER</t>
        </is>
      </c>
    </row>
    <row r="2079">
      <c r="A2079" s="3" t="inlineStr">
        <is>
          <t>SPECIES_YANMA</t>
        </is>
      </c>
      <c r="B2079" s="3" t="inlineStr">
        <is>
          <t>Yanma</t>
        </is>
      </c>
      <c r="C2079" s="3" t="n">
        <v>17</v>
      </c>
      <c r="D2079" s="3" t="inlineStr">
        <is>
          <t>Detect</t>
        </is>
      </c>
      <c r="E2079" s="3" t="inlineStr">
        <is>
          <t>MOVE_DETECT</t>
        </is>
      </c>
    </row>
    <row r="2080">
      <c r="A2080" s="3" t="inlineStr">
        <is>
          <t>SPECIES_YANMA</t>
        </is>
      </c>
      <c r="B2080" s="3" t="inlineStr">
        <is>
          <t>Yanma</t>
        </is>
      </c>
      <c r="C2080" s="3" t="n">
        <v>22</v>
      </c>
      <c r="D2080" s="3" t="inlineStr">
        <is>
          <t>Supersonic</t>
        </is>
      </c>
      <c r="E2080" s="3" t="inlineStr">
        <is>
          <t>MOVE_SUPERSONIC</t>
        </is>
      </c>
    </row>
    <row r="2081">
      <c r="A2081" s="3" t="inlineStr">
        <is>
          <t>SPECIES_YANMA</t>
        </is>
      </c>
      <c r="B2081" s="3" t="inlineStr">
        <is>
          <t>Yanma</t>
        </is>
      </c>
      <c r="C2081" s="3" t="n">
        <v>27</v>
      </c>
      <c r="D2081" s="3" t="inlineStr">
        <is>
          <t>Uproar</t>
        </is>
      </c>
      <c r="E2081" s="3" t="inlineStr">
        <is>
          <t>MOVE_UPROAR</t>
        </is>
      </c>
    </row>
    <row r="2082">
      <c r="A2082" s="3" t="inlineStr">
        <is>
          <t>SPECIES_YANMA</t>
        </is>
      </c>
      <c r="B2082" s="3" t="inlineStr">
        <is>
          <t>Yanma</t>
        </is>
      </c>
      <c r="C2082" s="3" t="n">
        <v>30</v>
      </c>
      <c r="D2082" s="3" t="inlineStr">
        <is>
          <t>Bug Bite</t>
        </is>
      </c>
      <c r="E2082" s="3" t="inlineStr">
        <is>
          <t>MOVE_BUG_BITE</t>
        </is>
      </c>
    </row>
    <row r="2083">
      <c r="A2083" s="3" t="inlineStr">
        <is>
          <t>SPECIES_YANMA</t>
        </is>
      </c>
      <c r="B2083" s="3" t="inlineStr">
        <is>
          <t>Yanma</t>
        </is>
      </c>
      <c r="C2083" s="3" t="n">
        <v>33</v>
      </c>
      <c r="D2083" s="3" t="inlineStr">
        <is>
          <t>Ancient Power</t>
        </is>
      </c>
      <c r="E2083" s="3" t="inlineStr">
        <is>
          <t>MOVE_ANCIENT_POWER</t>
        </is>
      </c>
    </row>
    <row r="2084">
      <c r="A2084" s="3" t="inlineStr">
        <is>
          <t>SPECIES_YANMA</t>
        </is>
      </c>
      <c r="B2084" s="3" t="inlineStr">
        <is>
          <t>Yanma</t>
        </is>
      </c>
      <c r="C2084" s="3" t="n">
        <v>38</v>
      </c>
      <c r="D2084" s="3" t="inlineStr">
        <is>
          <t>Hypnosis</t>
        </is>
      </c>
      <c r="E2084" s="3" t="inlineStr">
        <is>
          <t>MOVE_HYPNOSIS</t>
        </is>
      </c>
    </row>
    <row r="2085">
      <c r="A2085" s="3" t="inlineStr">
        <is>
          <t>SPECIES_YANMA</t>
        </is>
      </c>
      <c r="B2085" s="3" t="inlineStr">
        <is>
          <t>Yanma</t>
        </is>
      </c>
      <c r="C2085" s="3" t="n">
        <v>43</v>
      </c>
      <c r="D2085" s="3" t="inlineStr">
        <is>
          <t>Wing Attack</t>
        </is>
      </c>
      <c r="E2085" s="3" t="inlineStr">
        <is>
          <t>MOVE_WING_ATTACK</t>
        </is>
      </c>
    </row>
    <row r="2086">
      <c r="A2086" s="3" t="inlineStr">
        <is>
          <t>SPECIES_YANMA</t>
        </is>
      </c>
      <c r="B2086" s="3" t="inlineStr">
        <is>
          <t>Yanma</t>
        </is>
      </c>
      <c r="C2086" s="3" t="n">
        <v>46</v>
      </c>
      <c r="D2086" s="3" t="inlineStr">
        <is>
          <t>Screech</t>
        </is>
      </c>
      <c r="E2086" s="3" t="inlineStr">
        <is>
          <t>MOVE_SCREECH</t>
        </is>
      </c>
    </row>
    <row r="2087">
      <c r="A2087" s="3" t="inlineStr">
        <is>
          <t>SPECIES_YANMA</t>
        </is>
      </c>
      <c r="B2087" s="3" t="inlineStr">
        <is>
          <t>Yanma</t>
        </is>
      </c>
      <c r="C2087" s="3" t="n">
        <v>49</v>
      </c>
      <c r="D2087" s="3" t="inlineStr">
        <is>
          <t>U-turn</t>
        </is>
      </c>
      <c r="E2087" s="3" t="inlineStr">
        <is>
          <t>MOVE_U_TURN</t>
        </is>
      </c>
    </row>
    <row r="2088">
      <c r="A2088" s="3" t="inlineStr">
        <is>
          <t>SPECIES_YANMA</t>
        </is>
      </c>
      <c r="B2088" s="3" t="inlineStr">
        <is>
          <t>Yanma</t>
        </is>
      </c>
      <c r="C2088" s="3" t="n">
        <v>54</v>
      </c>
      <c r="D2088" s="3" t="inlineStr">
        <is>
          <t>Air Slash</t>
        </is>
      </c>
      <c r="E2088" s="3" t="inlineStr">
        <is>
          <t>MOVE_AIR_SLASH</t>
        </is>
      </c>
    </row>
    <row r="2089">
      <c r="A2089" s="3" t="inlineStr">
        <is>
          <t>SPECIES_YANMA</t>
        </is>
      </c>
      <c r="B2089" s="3" t="inlineStr">
        <is>
          <t>Yanma</t>
        </is>
      </c>
      <c r="C2089" s="3" t="n">
        <v>57</v>
      </c>
      <c r="D2089" s="3" t="inlineStr">
        <is>
          <t>Bug Buzz</t>
        </is>
      </c>
      <c r="E2089" s="3" t="inlineStr">
        <is>
          <t>MOVE_BUG_BUZZ</t>
        </is>
      </c>
    </row>
    <row r="2090">
      <c r="A2090" s="3" t="inlineStr">
        <is>
          <t>SPECIES_YANMEGA</t>
        </is>
      </c>
      <c r="B2090" s="3" t="inlineStr">
        <is>
          <t>Yanmega</t>
        </is>
      </c>
      <c r="C2090" s="3" t="n">
        <v>1</v>
      </c>
      <c r="D2090" s="3" t="inlineStr">
        <is>
          <t>Hypnosis</t>
        </is>
      </c>
      <c r="E2090" s="3" t="inlineStr">
        <is>
          <t>MOVE_HYPNOSIS</t>
        </is>
      </c>
    </row>
    <row r="2091">
      <c r="A2091" s="3" t="inlineStr">
        <is>
          <t>SPECIES_YANMEGA</t>
        </is>
      </c>
      <c r="B2091" s="3" t="inlineStr">
        <is>
          <t>Yanmega</t>
        </is>
      </c>
      <c r="C2091" s="3" t="n">
        <v>1</v>
      </c>
      <c r="D2091" s="3" t="inlineStr">
        <is>
          <t>Tackle</t>
        </is>
      </c>
      <c r="E2091" s="3" t="inlineStr">
        <is>
          <t>MOVE_TACKLE</t>
        </is>
      </c>
    </row>
    <row r="2092">
      <c r="A2092" s="3" t="inlineStr">
        <is>
          <t>SPECIES_YANMEGA</t>
        </is>
      </c>
      <c r="B2092" s="3" t="inlineStr">
        <is>
          <t>Yanmega</t>
        </is>
      </c>
      <c r="C2092" s="3" t="n">
        <v>1</v>
      </c>
      <c r="D2092" s="3" t="inlineStr">
        <is>
          <t>Double Team</t>
        </is>
      </c>
      <c r="E2092" s="3" t="inlineStr">
        <is>
          <t>MOVE_DOUBLE_TEAM</t>
        </is>
      </c>
    </row>
    <row r="2093">
      <c r="A2093" s="3" t="inlineStr">
        <is>
          <t>SPECIES_YANMEGA</t>
        </is>
      </c>
      <c r="B2093" s="3" t="inlineStr">
        <is>
          <t>Yanmega</t>
        </is>
      </c>
      <c r="C2093" s="3" t="n">
        <v>1</v>
      </c>
      <c r="D2093" s="3" t="inlineStr">
        <is>
          <t>Night Slash</t>
        </is>
      </c>
      <c r="E2093" s="3" t="inlineStr">
        <is>
          <t>MOVE_NIGHT_SLASH</t>
        </is>
      </c>
    </row>
    <row r="2094">
      <c r="A2094" s="3" t="inlineStr">
        <is>
          <t>SPECIES_YANMEGA</t>
        </is>
      </c>
      <c r="B2094" s="3" t="inlineStr">
        <is>
          <t>Yanmega</t>
        </is>
      </c>
      <c r="C2094" s="3" t="n">
        <v>1</v>
      </c>
      <c r="D2094" s="3" t="inlineStr">
        <is>
          <t>Air Slash</t>
        </is>
      </c>
      <c r="E2094" s="3" t="inlineStr">
        <is>
          <t>MOVE_AIR_SLASH</t>
        </is>
      </c>
    </row>
    <row r="2095">
      <c r="A2095" s="3" t="inlineStr">
        <is>
          <t>SPECIES_YANMEGA</t>
        </is>
      </c>
      <c r="B2095" s="3" t="inlineStr">
        <is>
          <t>Yanmega</t>
        </is>
      </c>
      <c r="C2095" s="3" t="n">
        <v>1</v>
      </c>
      <c r="D2095" s="3" t="inlineStr">
        <is>
          <t>Bug Buzz</t>
        </is>
      </c>
      <c r="E2095" s="3" t="inlineStr">
        <is>
          <t>MOVE_BUG_BUZZ</t>
        </is>
      </c>
    </row>
    <row r="2096">
      <c r="A2096" s="3" t="inlineStr">
        <is>
          <t>SPECIES_YANMEGA</t>
        </is>
      </c>
      <c r="B2096" s="3" t="inlineStr">
        <is>
          <t>Yanmega</t>
        </is>
      </c>
      <c r="C2096" s="3" t="n">
        <v>14</v>
      </c>
      <c r="D2096" s="3" t="inlineStr">
        <is>
          <t>Quick Attack</t>
        </is>
      </c>
      <c r="E2096" s="3" t="inlineStr">
        <is>
          <t>MOVE_QUICK_ATTACK</t>
        </is>
      </c>
    </row>
    <row r="2097">
      <c r="A2097" s="3" t="inlineStr">
        <is>
          <t>SPECIES_YANMEGA</t>
        </is>
      </c>
      <c r="B2097" s="3" t="inlineStr">
        <is>
          <t>Yanmega</t>
        </is>
      </c>
      <c r="C2097" s="3" t="n">
        <v>17</v>
      </c>
      <c r="D2097" s="3" t="inlineStr">
        <is>
          <t>Detect</t>
        </is>
      </c>
      <c r="E2097" s="3" t="inlineStr">
        <is>
          <t>MOVE_DETECT</t>
        </is>
      </c>
    </row>
    <row r="2098">
      <c r="A2098" s="3" t="inlineStr">
        <is>
          <t>SPECIES_YANMEGA</t>
        </is>
      </c>
      <c r="B2098" s="3" t="inlineStr">
        <is>
          <t>Yanmega</t>
        </is>
      </c>
      <c r="C2098" s="3" t="n">
        <v>22</v>
      </c>
      <c r="D2098" s="3" t="inlineStr">
        <is>
          <t>Supersonic</t>
        </is>
      </c>
      <c r="E2098" s="3" t="inlineStr">
        <is>
          <t>MOVE_SUPERSONIC</t>
        </is>
      </c>
    </row>
    <row r="2099">
      <c r="A2099" s="3" t="inlineStr">
        <is>
          <t>SPECIES_YANMEGA</t>
        </is>
      </c>
      <c r="B2099" s="3" t="inlineStr">
        <is>
          <t>Yanmega</t>
        </is>
      </c>
      <c r="C2099" s="3" t="n">
        <v>27</v>
      </c>
      <c r="D2099" s="3" t="inlineStr">
        <is>
          <t>Uproar</t>
        </is>
      </c>
      <c r="E2099" s="3" t="inlineStr">
        <is>
          <t>MOVE_UPROAR</t>
        </is>
      </c>
    </row>
    <row r="2100">
      <c r="A2100" s="3" t="inlineStr">
        <is>
          <t>SPECIES_YANMEGA</t>
        </is>
      </c>
      <c r="B2100" s="3" t="inlineStr">
        <is>
          <t>Yanmega</t>
        </is>
      </c>
      <c r="C2100" s="3" t="n">
        <v>30</v>
      </c>
      <c r="D2100" s="3" t="inlineStr">
        <is>
          <t>Bug Bite</t>
        </is>
      </c>
      <c r="E2100" s="3" t="inlineStr">
        <is>
          <t>MOVE_BUG_BITE</t>
        </is>
      </c>
    </row>
    <row r="2101">
      <c r="A2101" s="3" t="inlineStr">
        <is>
          <t>SPECIES_YANMEGA</t>
        </is>
      </c>
      <c r="B2101" s="3" t="inlineStr">
        <is>
          <t>Yanmega</t>
        </is>
      </c>
      <c r="C2101" s="3" t="n">
        <v>33</v>
      </c>
      <c r="D2101" s="3" t="inlineStr">
        <is>
          <t>Ancient Power</t>
        </is>
      </c>
      <c r="E2101" s="3" t="inlineStr">
        <is>
          <t>MOVE_ANCIENT_POWER</t>
        </is>
      </c>
    </row>
    <row r="2102">
      <c r="A2102" s="3" t="inlineStr">
        <is>
          <t>SPECIES_YANMEGA</t>
        </is>
      </c>
      <c r="B2102" s="3" t="inlineStr">
        <is>
          <t>Yanmega</t>
        </is>
      </c>
      <c r="C2102" s="3" t="n">
        <v>38</v>
      </c>
      <c r="D2102" s="3" t="inlineStr">
        <is>
          <t>Feint</t>
        </is>
      </c>
      <c r="E2102" s="3" t="inlineStr">
        <is>
          <t>MOVE_FEINT</t>
        </is>
      </c>
    </row>
    <row r="2103">
      <c r="A2103" s="3" t="inlineStr">
        <is>
          <t>SPECIES_YANMEGA</t>
        </is>
      </c>
      <c r="B2103" s="3" t="inlineStr">
        <is>
          <t>Yanmega</t>
        </is>
      </c>
      <c r="C2103" s="3" t="n">
        <v>43</v>
      </c>
      <c r="D2103" s="3" t="inlineStr">
        <is>
          <t>Slash</t>
        </is>
      </c>
      <c r="E2103" s="3" t="inlineStr">
        <is>
          <t>MOVE_SLASH</t>
        </is>
      </c>
    </row>
    <row r="2104">
      <c r="A2104" s="3" t="inlineStr">
        <is>
          <t>SPECIES_YANMEGA</t>
        </is>
      </c>
      <c r="B2104" s="3" t="inlineStr">
        <is>
          <t>Yanmega</t>
        </is>
      </c>
      <c r="C2104" s="3" t="n">
        <v>46</v>
      </c>
      <c r="D2104" s="3" t="inlineStr">
        <is>
          <t>Screech</t>
        </is>
      </c>
      <c r="E2104" s="3" t="inlineStr">
        <is>
          <t>MOVE_SCREECH</t>
        </is>
      </c>
    </row>
    <row r="2105">
      <c r="A2105" s="3" t="inlineStr">
        <is>
          <t>SPECIES_YANMEGA</t>
        </is>
      </c>
      <c r="B2105" s="3" t="inlineStr">
        <is>
          <t>Yanmega</t>
        </is>
      </c>
      <c r="C2105" s="3" t="n">
        <v>49</v>
      </c>
      <c r="D2105" s="3" t="inlineStr">
        <is>
          <t>U-turn</t>
        </is>
      </c>
      <c r="E2105" s="3" t="inlineStr">
        <is>
          <t>MOVE_U_TURN</t>
        </is>
      </c>
    </row>
    <row r="2106">
      <c r="A2106" s="3" t="inlineStr">
        <is>
          <t>SPECIES_BLITZLE</t>
        </is>
      </c>
      <c r="B2106" s="3" t="inlineStr">
        <is>
          <t>Blitzle</t>
        </is>
      </c>
      <c r="C2106" s="3" t="n">
        <v>1</v>
      </c>
      <c r="D2106" s="3" t="inlineStr">
        <is>
          <t>Quick Attack</t>
        </is>
      </c>
      <c r="E2106" s="3" t="inlineStr">
        <is>
          <t>MOVE_QUICK_ATTACK</t>
        </is>
      </c>
    </row>
    <row r="2107">
      <c r="A2107" s="3" t="inlineStr">
        <is>
          <t>SPECIES_BLITZLE</t>
        </is>
      </c>
      <c r="B2107" s="3" t="inlineStr">
        <is>
          <t>Blitzle</t>
        </is>
      </c>
      <c r="C2107" s="3" t="n">
        <v>4</v>
      </c>
      <c r="D2107" s="3" t="inlineStr">
        <is>
          <t>Tail Whip</t>
        </is>
      </c>
      <c r="E2107" s="3" t="inlineStr">
        <is>
          <t>MOVE_TAIL_WHIP</t>
        </is>
      </c>
    </row>
    <row r="2108">
      <c r="A2108" s="3" t="inlineStr">
        <is>
          <t>SPECIES_BLITZLE</t>
        </is>
      </c>
      <c r="B2108" s="3" t="inlineStr">
        <is>
          <t>Blitzle</t>
        </is>
      </c>
      <c r="C2108" s="3" t="n">
        <v>8</v>
      </c>
      <c r="D2108" s="3" t="inlineStr">
        <is>
          <t>Charge</t>
        </is>
      </c>
      <c r="E2108" s="3" t="inlineStr">
        <is>
          <t>MOVE_CHARGE</t>
        </is>
      </c>
    </row>
    <row r="2109">
      <c r="A2109" s="3" t="inlineStr">
        <is>
          <t>SPECIES_BLITZLE</t>
        </is>
      </c>
      <c r="B2109" s="3" t="inlineStr">
        <is>
          <t>Blitzle</t>
        </is>
      </c>
      <c r="C2109" s="3" t="n">
        <v>11</v>
      </c>
      <c r="D2109" s="3" t="inlineStr">
        <is>
          <t>Shock Wave</t>
        </is>
      </c>
      <c r="E2109" s="3" t="inlineStr">
        <is>
          <t>MOVE_SHOCK_WAVE</t>
        </is>
      </c>
    </row>
    <row r="2110">
      <c r="A2110" s="3" t="inlineStr">
        <is>
          <t>SPECIES_BLITZLE</t>
        </is>
      </c>
      <c r="B2110" s="3" t="inlineStr">
        <is>
          <t>Blitzle</t>
        </is>
      </c>
      <c r="C2110" s="3" t="n">
        <v>15</v>
      </c>
      <c r="D2110" s="3" t="inlineStr">
        <is>
          <t>Thunder Wave</t>
        </is>
      </c>
      <c r="E2110" s="3" t="inlineStr">
        <is>
          <t>MOVE_THUNDER_WAVE</t>
        </is>
      </c>
    </row>
    <row r="2111">
      <c r="A2111" s="3" t="inlineStr">
        <is>
          <t>SPECIES_BLITZLE</t>
        </is>
      </c>
      <c r="B2111" s="3" t="inlineStr">
        <is>
          <t>Blitzle</t>
        </is>
      </c>
      <c r="C2111" s="3" t="n">
        <v>18</v>
      </c>
      <c r="D2111" s="3" t="inlineStr">
        <is>
          <t>Flame Charge</t>
        </is>
      </c>
      <c r="E2111" s="3" t="inlineStr">
        <is>
          <t>MOVE_FLAME_CHARGE</t>
        </is>
      </c>
    </row>
    <row r="2112">
      <c r="A2112" s="3" t="inlineStr">
        <is>
          <t>SPECIES_BLITZLE</t>
        </is>
      </c>
      <c r="B2112" s="3" t="inlineStr">
        <is>
          <t>Blitzle</t>
        </is>
      </c>
      <c r="C2112" s="3" t="n">
        <v>22</v>
      </c>
      <c r="D2112" s="3" t="inlineStr">
        <is>
          <t>Spark</t>
        </is>
      </c>
      <c r="E2112" s="3" t="inlineStr">
        <is>
          <t>MOVE_SPARK</t>
        </is>
      </c>
    </row>
    <row r="2113">
      <c r="A2113" s="3" t="inlineStr">
        <is>
          <t>SPECIES_BLITZLE</t>
        </is>
      </c>
      <c r="B2113" s="3" t="inlineStr">
        <is>
          <t>Blitzle</t>
        </is>
      </c>
      <c r="C2113" s="3" t="n">
        <v>25</v>
      </c>
      <c r="D2113" s="3" t="inlineStr">
        <is>
          <t>Stomp</t>
        </is>
      </c>
      <c r="E2113" s="3" t="inlineStr">
        <is>
          <t>MOVE_STOMP</t>
        </is>
      </c>
    </row>
    <row r="2114">
      <c r="A2114" s="3" t="inlineStr">
        <is>
          <t>SPECIES_BLITZLE</t>
        </is>
      </c>
      <c r="B2114" s="3" t="inlineStr">
        <is>
          <t>Blitzle</t>
        </is>
      </c>
      <c r="C2114" s="3" t="n">
        <v>29</v>
      </c>
      <c r="D2114" s="3" t="inlineStr">
        <is>
          <t>Discharge</t>
        </is>
      </c>
      <c r="E2114" s="3" t="inlineStr">
        <is>
          <t>MOVE_DISCHARGE</t>
        </is>
      </c>
    </row>
    <row r="2115">
      <c r="A2115" s="3" t="inlineStr">
        <is>
          <t>SPECIES_BLITZLE</t>
        </is>
      </c>
      <c r="B2115" s="3" t="inlineStr">
        <is>
          <t>Blitzle</t>
        </is>
      </c>
      <c r="C2115" s="3" t="n">
        <v>33</v>
      </c>
      <c r="D2115" s="3" t="inlineStr">
        <is>
          <t>Agility</t>
        </is>
      </c>
      <c r="E2115" s="3" t="inlineStr">
        <is>
          <t>MOVE_AGILITY</t>
        </is>
      </c>
    </row>
    <row r="2116">
      <c r="A2116" s="3" t="inlineStr">
        <is>
          <t>SPECIES_BLITZLE</t>
        </is>
      </c>
      <c r="B2116" s="3" t="inlineStr">
        <is>
          <t>Blitzle</t>
        </is>
      </c>
      <c r="C2116" s="3" t="n">
        <v>35</v>
      </c>
      <c r="D2116" s="3" t="inlineStr">
        <is>
          <t>Wild Charge</t>
        </is>
      </c>
      <c r="E2116" s="3" t="inlineStr">
        <is>
          <t>MOVE_WILD_CHARGE</t>
        </is>
      </c>
    </row>
    <row r="2117">
      <c r="A2117" s="3" t="inlineStr">
        <is>
          <t>SPECIES_BLITZLE</t>
        </is>
      </c>
      <c r="B2117" s="3" t="inlineStr">
        <is>
          <t>Blitzle</t>
        </is>
      </c>
      <c r="C2117" s="3" t="n">
        <v>40</v>
      </c>
      <c r="D2117" s="3" t="inlineStr">
        <is>
          <t>Thrash</t>
        </is>
      </c>
      <c r="E2117" s="3" t="inlineStr">
        <is>
          <t>MOVE_THRASH</t>
        </is>
      </c>
    </row>
    <row r="2118">
      <c r="A2118" s="3" t="inlineStr">
        <is>
          <t>SPECIES_ZEBSTRIKA</t>
        </is>
      </c>
      <c r="B2118" s="3" t="inlineStr">
        <is>
          <t>Zebstrika</t>
        </is>
      </c>
      <c r="C2118" s="3" t="n">
        <v>1</v>
      </c>
      <c r="D2118" s="3" t="inlineStr">
        <is>
          <t>Tail Whip</t>
        </is>
      </c>
      <c r="E2118" s="3" t="inlineStr">
        <is>
          <t>MOVE_TAIL_WHIP</t>
        </is>
      </c>
    </row>
    <row r="2119">
      <c r="A2119" s="3" t="inlineStr">
        <is>
          <t>SPECIES_ZEBSTRIKA</t>
        </is>
      </c>
      <c r="B2119" s="3" t="inlineStr">
        <is>
          <t>Zebstrika</t>
        </is>
      </c>
      <c r="C2119" s="3" t="n">
        <v>1</v>
      </c>
      <c r="D2119" s="3" t="inlineStr">
        <is>
          <t>Thunder Wave</t>
        </is>
      </c>
      <c r="E2119" s="3" t="inlineStr">
        <is>
          <t>MOVE_THUNDER_WAVE</t>
        </is>
      </c>
    </row>
    <row r="2120">
      <c r="A2120" s="3" t="inlineStr">
        <is>
          <t>SPECIES_ZEBSTRIKA</t>
        </is>
      </c>
      <c r="B2120" s="3" t="inlineStr">
        <is>
          <t>Zebstrika</t>
        </is>
      </c>
      <c r="C2120" s="3" t="n">
        <v>1</v>
      </c>
      <c r="D2120" s="3" t="inlineStr">
        <is>
          <t>Quick Attack</t>
        </is>
      </c>
      <c r="E2120" s="3" t="inlineStr">
        <is>
          <t>MOVE_QUICK_ATTACK</t>
        </is>
      </c>
    </row>
    <row r="2121">
      <c r="A2121" s="3" t="inlineStr">
        <is>
          <t>SPECIES_ZEBSTRIKA</t>
        </is>
      </c>
      <c r="B2121" s="3" t="inlineStr">
        <is>
          <t>Zebstrika</t>
        </is>
      </c>
      <c r="C2121" s="3" t="n">
        <v>1</v>
      </c>
      <c r="D2121" s="3" t="inlineStr">
        <is>
          <t>Charge</t>
        </is>
      </c>
      <c r="E2121" s="3" t="inlineStr">
        <is>
          <t>MOVE_CHARGE</t>
        </is>
      </c>
    </row>
    <row r="2122">
      <c r="A2122" s="3" t="inlineStr">
        <is>
          <t>SPECIES_ZEBSTRIKA</t>
        </is>
      </c>
      <c r="B2122" s="3" t="inlineStr">
        <is>
          <t>Zebstrika</t>
        </is>
      </c>
      <c r="C2122" s="3" t="n">
        <v>11</v>
      </c>
      <c r="D2122" s="3" t="inlineStr">
        <is>
          <t>Shock Wave</t>
        </is>
      </c>
      <c r="E2122" s="3" t="inlineStr">
        <is>
          <t>MOVE_SHOCK_WAVE</t>
        </is>
      </c>
    </row>
    <row r="2123">
      <c r="A2123" s="3" t="inlineStr">
        <is>
          <t>SPECIES_ZEBSTRIKA</t>
        </is>
      </c>
      <c r="B2123" s="3" t="inlineStr">
        <is>
          <t>Zebstrika</t>
        </is>
      </c>
      <c r="C2123" s="3" t="n">
        <v>18</v>
      </c>
      <c r="D2123" s="3" t="inlineStr">
        <is>
          <t>Flame Charge</t>
        </is>
      </c>
      <c r="E2123" s="3" t="inlineStr">
        <is>
          <t>MOVE_FLAME_CHARGE</t>
        </is>
      </c>
    </row>
    <row r="2124">
      <c r="A2124" s="3" t="inlineStr">
        <is>
          <t>SPECIES_ZEBSTRIKA</t>
        </is>
      </c>
      <c r="B2124" s="3" t="inlineStr">
        <is>
          <t>Zebstrika</t>
        </is>
      </c>
      <c r="C2124" s="3" t="n">
        <v>25</v>
      </c>
      <c r="D2124" s="3" t="inlineStr">
        <is>
          <t>Spark</t>
        </is>
      </c>
      <c r="E2124" s="3" t="inlineStr">
        <is>
          <t>MOVE_SPARK</t>
        </is>
      </c>
    </row>
    <row r="2125">
      <c r="A2125" s="3" t="inlineStr">
        <is>
          <t>SPECIES_ZEBSTRIKA</t>
        </is>
      </c>
      <c r="B2125" s="3" t="inlineStr">
        <is>
          <t>Zebstrika</t>
        </is>
      </c>
      <c r="C2125" s="3" t="n">
        <v>31</v>
      </c>
      <c r="D2125" s="3" t="inlineStr">
        <is>
          <t>Stomp</t>
        </is>
      </c>
      <c r="E2125" s="3" t="inlineStr">
        <is>
          <t>MOVE_STOMP</t>
        </is>
      </c>
    </row>
    <row r="2126">
      <c r="A2126" s="3" t="inlineStr">
        <is>
          <t>SPECIES_ZEBSTRIKA</t>
        </is>
      </c>
      <c r="B2126" s="3" t="inlineStr">
        <is>
          <t>Zebstrika</t>
        </is>
      </c>
      <c r="C2126" s="3" t="n">
        <v>36</v>
      </c>
      <c r="D2126" s="3" t="inlineStr">
        <is>
          <t>Discharge</t>
        </is>
      </c>
      <c r="E2126" s="3" t="inlineStr">
        <is>
          <t>MOVE_DISCHARGE</t>
        </is>
      </c>
    </row>
    <row r="2127">
      <c r="A2127" s="3" t="inlineStr">
        <is>
          <t>SPECIES_ZEBSTRIKA</t>
        </is>
      </c>
      <c r="B2127" s="3" t="inlineStr">
        <is>
          <t>Zebstrika</t>
        </is>
      </c>
      <c r="C2127" s="3" t="n">
        <v>42</v>
      </c>
      <c r="D2127" s="3" t="inlineStr">
        <is>
          <t>Agility</t>
        </is>
      </c>
      <c r="E2127" s="3" t="inlineStr">
        <is>
          <t>MOVE_AGILITY</t>
        </is>
      </c>
    </row>
    <row r="2128">
      <c r="A2128" s="3" t="inlineStr">
        <is>
          <t>SPECIES_ZEBSTRIKA</t>
        </is>
      </c>
      <c r="B2128" s="3" t="inlineStr">
        <is>
          <t>Zebstrika</t>
        </is>
      </c>
      <c r="C2128" s="3" t="n">
        <v>47</v>
      </c>
      <c r="D2128" s="3" t="inlineStr">
        <is>
          <t>Wild Charge</t>
        </is>
      </c>
      <c r="E2128" s="3" t="inlineStr">
        <is>
          <t>MOVE_WILD_CHARGE</t>
        </is>
      </c>
    </row>
    <row r="2129">
      <c r="A2129" s="3" t="inlineStr">
        <is>
          <t>SPECIES_ZEBSTRIKA</t>
        </is>
      </c>
      <c r="B2129" s="3" t="inlineStr">
        <is>
          <t>Zebstrika</t>
        </is>
      </c>
      <c r="C2129" s="3" t="n">
        <v>53</v>
      </c>
      <c r="D2129" s="3" t="inlineStr">
        <is>
          <t>Thrash</t>
        </is>
      </c>
      <c r="E2129" s="3" t="inlineStr">
        <is>
          <t>MOVE_THRASH</t>
        </is>
      </c>
    </row>
    <row r="2130">
      <c r="A2130" s="3" t="inlineStr">
        <is>
          <t>SPECIES_ROGGENROLA</t>
        </is>
      </c>
      <c r="B2130" s="3" t="inlineStr">
        <is>
          <t>Roggenrola</t>
        </is>
      </c>
      <c r="C2130" s="3" t="n">
        <v>1</v>
      </c>
      <c r="D2130" s="3" t="inlineStr">
        <is>
          <t>Sand Attack</t>
        </is>
      </c>
      <c r="E2130" s="3" t="inlineStr">
        <is>
          <t>MOVE_SAND_ATTACK</t>
        </is>
      </c>
    </row>
    <row r="2131">
      <c r="A2131" s="3" t="inlineStr">
        <is>
          <t>SPECIES_ROGGENROLA</t>
        </is>
      </c>
      <c r="B2131" s="3" t="inlineStr">
        <is>
          <t>Roggenrola</t>
        </is>
      </c>
      <c r="C2131" s="3" t="n">
        <v>1</v>
      </c>
      <c r="D2131" s="3" t="inlineStr">
        <is>
          <t>Tackle</t>
        </is>
      </c>
      <c r="E2131" s="3" t="inlineStr">
        <is>
          <t>MOVE_TACKLE</t>
        </is>
      </c>
    </row>
    <row r="2132">
      <c r="A2132" s="3" t="inlineStr">
        <is>
          <t>SPECIES_ROGGENROLA</t>
        </is>
      </c>
      <c r="B2132" s="3" t="inlineStr">
        <is>
          <t>Roggenrola</t>
        </is>
      </c>
      <c r="C2132" s="3" t="n">
        <v>4</v>
      </c>
      <c r="D2132" s="3" t="inlineStr">
        <is>
          <t>Harden</t>
        </is>
      </c>
      <c r="E2132" s="3" t="inlineStr">
        <is>
          <t>MOVE_HARDEN</t>
        </is>
      </c>
    </row>
    <row r="2133">
      <c r="A2133" s="3" t="inlineStr">
        <is>
          <t>SPECIES_ROGGENROLA</t>
        </is>
      </c>
      <c r="B2133" s="3" t="inlineStr">
        <is>
          <t>Roggenrola</t>
        </is>
      </c>
      <c r="C2133" s="3" t="n">
        <v>8</v>
      </c>
      <c r="D2133" s="3" t="inlineStr">
        <is>
          <t>Stealth Rock</t>
        </is>
      </c>
      <c r="E2133" s="3" t="inlineStr">
        <is>
          <t>MOVE_STEALTH_ROCK</t>
        </is>
      </c>
    </row>
    <row r="2134">
      <c r="A2134" s="3" t="inlineStr">
        <is>
          <t>SPECIES_ROGGENROLA</t>
        </is>
      </c>
      <c r="B2134" s="3" t="inlineStr">
        <is>
          <t>Roggenrola</t>
        </is>
      </c>
      <c r="C2134" s="3" t="n">
        <v>12</v>
      </c>
      <c r="D2134" s="3" t="inlineStr">
        <is>
          <t>Mud-Slap</t>
        </is>
      </c>
      <c r="E2134" s="3" t="inlineStr">
        <is>
          <t>MOVE_MUD_SLAP</t>
        </is>
      </c>
    </row>
    <row r="2135">
      <c r="A2135" s="3" t="inlineStr">
        <is>
          <t>SPECIES_ROGGENROLA</t>
        </is>
      </c>
      <c r="B2135" s="3" t="inlineStr">
        <is>
          <t>Roggenrola</t>
        </is>
      </c>
      <c r="C2135" s="3" t="n">
        <v>16</v>
      </c>
      <c r="D2135" s="3" t="inlineStr">
        <is>
          <t>Smack Down</t>
        </is>
      </c>
      <c r="E2135" s="3" t="inlineStr">
        <is>
          <t>MOVE_SMACK_DOWN</t>
        </is>
      </c>
    </row>
    <row r="2136">
      <c r="A2136" s="3" t="inlineStr">
        <is>
          <t>SPECIES_ROGGENROLA</t>
        </is>
      </c>
      <c r="B2136" s="3" t="inlineStr">
        <is>
          <t>Roggenrola</t>
        </is>
      </c>
      <c r="C2136" s="3" t="n">
        <v>20</v>
      </c>
      <c r="D2136" s="3" t="inlineStr">
        <is>
          <t>Iron Defense</t>
        </is>
      </c>
      <c r="E2136" s="3" t="inlineStr">
        <is>
          <t>MOVE_IRON_DEFENSE</t>
        </is>
      </c>
    </row>
    <row r="2137">
      <c r="A2137" s="3" t="inlineStr">
        <is>
          <t>SPECIES_ROGGENROLA</t>
        </is>
      </c>
      <c r="B2137" s="3" t="inlineStr">
        <is>
          <t>Roggenrola</t>
        </is>
      </c>
      <c r="C2137" s="3" t="n">
        <v>24</v>
      </c>
      <c r="D2137" s="3" t="inlineStr">
        <is>
          <t>Headbutt</t>
        </is>
      </c>
      <c r="E2137" s="3" t="inlineStr">
        <is>
          <t>MOVE_HEADBUTT</t>
        </is>
      </c>
    </row>
    <row r="2138">
      <c r="A2138" s="3" t="inlineStr">
        <is>
          <t>SPECIES_ROGGENROLA</t>
        </is>
      </c>
      <c r="B2138" s="3" t="inlineStr">
        <is>
          <t>Roggenrola</t>
        </is>
      </c>
      <c r="C2138" s="3" t="n">
        <v>28</v>
      </c>
      <c r="D2138" s="3" t="inlineStr">
        <is>
          <t>Rock Slide</t>
        </is>
      </c>
      <c r="E2138" s="3" t="inlineStr">
        <is>
          <t>MOVE_ROCK_SLIDE</t>
        </is>
      </c>
    </row>
    <row r="2139">
      <c r="A2139" s="3" t="inlineStr">
        <is>
          <t>SPECIES_ROGGENROLA</t>
        </is>
      </c>
      <c r="B2139" s="3" t="inlineStr">
        <is>
          <t>Roggenrola</t>
        </is>
      </c>
      <c r="C2139" s="3" t="n">
        <v>32</v>
      </c>
      <c r="D2139" s="3" t="inlineStr">
        <is>
          <t>Rock Blast</t>
        </is>
      </c>
      <c r="E2139" s="3" t="inlineStr">
        <is>
          <t>MOVE_ROCK_BLAST</t>
        </is>
      </c>
    </row>
    <row r="2140">
      <c r="A2140" s="3" t="inlineStr">
        <is>
          <t>SPECIES_ROGGENROLA</t>
        </is>
      </c>
      <c r="B2140" s="3" t="inlineStr">
        <is>
          <t>Roggenrola</t>
        </is>
      </c>
      <c r="C2140" s="3" t="n">
        <v>36</v>
      </c>
      <c r="D2140" s="3" t="inlineStr">
        <is>
          <t>Sandstorm</t>
        </is>
      </c>
      <c r="E2140" s="3" t="inlineStr">
        <is>
          <t>MOVE_SANDSTORM</t>
        </is>
      </c>
    </row>
    <row r="2141">
      <c r="A2141" s="3" t="inlineStr">
        <is>
          <t>SPECIES_ROGGENROLA</t>
        </is>
      </c>
      <c r="B2141" s="3" t="inlineStr">
        <is>
          <t>Roggenrola</t>
        </is>
      </c>
      <c r="C2141" s="3" t="n">
        <v>40</v>
      </c>
      <c r="D2141" s="3" t="inlineStr">
        <is>
          <t>Stone Edge</t>
        </is>
      </c>
      <c r="E2141" s="3" t="inlineStr">
        <is>
          <t>MOVE_STONE_EDGE</t>
        </is>
      </c>
    </row>
    <row r="2142">
      <c r="A2142" s="3" t="inlineStr">
        <is>
          <t>SPECIES_ROGGENROLA</t>
        </is>
      </c>
      <c r="B2142" s="3" t="inlineStr">
        <is>
          <t>Roggenrola</t>
        </is>
      </c>
      <c r="C2142" s="3" t="n">
        <v>44</v>
      </c>
      <c r="D2142" s="3" t="inlineStr">
        <is>
          <t>Explosion</t>
        </is>
      </c>
      <c r="E2142" s="3" t="inlineStr">
        <is>
          <t>MOVE_EXPLOSION</t>
        </is>
      </c>
    </row>
    <row r="2143">
      <c r="A2143" s="3" t="inlineStr">
        <is>
          <t>SPECIES_BOLDORE</t>
        </is>
      </c>
      <c r="B2143" s="3" t="inlineStr">
        <is>
          <t>Boldore</t>
        </is>
      </c>
      <c r="C2143" s="3" t="n">
        <v>0</v>
      </c>
      <c r="D2143" s="3" t="inlineStr">
        <is>
          <t>Power Gem</t>
        </is>
      </c>
      <c r="E2143" s="3" t="inlineStr">
        <is>
          <t>MOVE_POWER_GEM</t>
        </is>
      </c>
    </row>
    <row r="2144">
      <c r="A2144" s="3" t="inlineStr">
        <is>
          <t>SPECIES_BOLDORE</t>
        </is>
      </c>
      <c r="B2144" s="3" t="inlineStr">
        <is>
          <t>Boldore</t>
        </is>
      </c>
      <c r="C2144" s="3" t="n">
        <v>1</v>
      </c>
      <c r="D2144" s="3" t="inlineStr">
        <is>
          <t>Power Gem</t>
        </is>
      </c>
      <c r="E2144" s="3" t="inlineStr">
        <is>
          <t>MOVE_POWER_GEM</t>
        </is>
      </c>
    </row>
    <row r="2145">
      <c r="A2145" s="3" t="inlineStr">
        <is>
          <t>SPECIES_BOLDORE</t>
        </is>
      </c>
      <c r="B2145" s="3" t="inlineStr">
        <is>
          <t>Boldore</t>
        </is>
      </c>
      <c r="C2145" s="3" t="n">
        <v>1</v>
      </c>
      <c r="D2145" s="3" t="inlineStr">
        <is>
          <t>Sand Attack</t>
        </is>
      </c>
      <c r="E2145" s="3" t="inlineStr">
        <is>
          <t>MOVE_SAND_ATTACK</t>
        </is>
      </c>
    </row>
    <row r="2146">
      <c r="A2146" s="3" t="inlineStr">
        <is>
          <t>SPECIES_BOLDORE</t>
        </is>
      </c>
      <c r="B2146" s="3" t="inlineStr">
        <is>
          <t>Boldore</t>
        </is>
      </c>
      <c r="C2146" s="3" t="n">
        <v>1</v>
      </c>
      <c r="D2146" s="3" t="inlineStr">
        <is>
          <t>Tackle</t>
        </is>
      </c>
      <c r="E2146" s="3" t="inlineStr">
        <is>
          <t>MOVE_TACKLE</t>
        </is>
      </c>
    </row>
    <row r="2147">
      <c r="A2147" s="3" t="inlineStr">
        <is>
          <t>SPECIES_BOLDORE</t>
        </is>
      </c>
      <c r="B2147" s="3" t="inlineStr">
        <is>
          <t>Boldore</t>
        </is>
      </c>
      <c r="C2147" s="3" t="n">
        <v>1</v>
      </c>
      <c r="D2147" s="3" t="inlineStr">
        <is>
          <t>Harden</t>
        </is>
      </c>
      <c r="E2147" s="3" t="inlineStr">
        <is>
          <t>MOVE_HARDEN</t>
        </is>
      </c>
    </row>
    <row r="2148">
      <c r="A2148" s="3" t="inlineStr">
        <is>
          <t>SPECIES_BOLDORE</t>
        </is>
      </c>
      <c r="B2148" s="3" t="inlineStr">
        <is>
          <t>Boldore</t>
        </is>
      </c>
      <c r="C2148" s="3" t="n">
        <v>1</v>
      </c>
      <c r="D2148" s="3" t="inlineStr">
        <is>
          <t>Stealth Rock</t>
        </is>
      </c>
      <c r="E2148" s="3" t="inlineStr">
        <is>
          <t>MOVE_STEALTH_ROCK</t>
        </is>
      </c>
    </row>
    <row r="2149">
      <c r="A2149" s="3" t="inlineStr">
        <is>
          <t>SPECIES_BOLDORE</t>
        </is>
      </c>
      <c r="B2149" s="3" t="inlineStr">
        <is>
          <t>Boldore</t>
        </is>
      </c>
      <c r="C2149" s="3" t="n">
        <v>12</v>
      </c>
      <c r="D2149" s="3" t="inlineStr">
        <is>
          <t>Mud-Slap</t>
        </is>
      </c>
      <c r="E2149" s="3" t="inlineStr">
        <is>
          <t>MOVE_MUD_SLAP</t>
        </is>
      </c>
    </row>
    <row r="2150">
      <c r="A2150" s="3" t="inlineStr">
        <is>
          <t>SPECIES_BOLDORE</t>
        </is>
      </c>
      <c r="B2150" s="3" t="inlineStr">
        <is>
          <t>Boldore</t>
        </is>
      </c>
      <c r="C2150" s="3" t="n">
        <v>16</v>
      </c>
      <c r="D2150" s="3" t="inlineStr">
        <is>
          <t>Smack Down</t>
        </is>
      </c>
      <c r="E2150" s="3" t="inlineStr">
        <is>
          <t>MOVE_SMACK_DOWN</t>
        </is>
      </c>
    </row>
    <row r="2151">
      <c r="A2151" s="3" t="inlineStr">
        <is>
          <t>SPECIES_BOLDORE</t>
        </is>
      </c>
      <c r="B2151" s="3" t="inlineStr">
        <is>
          <t>Boldore</t>
        </is>
      </c>
      <c r="C2151" s="3" t="n">
        <v>20</v>
      </c>
      <c r="D2151" s="3" t="inlineStr">
        <is>
          <t>Iron Defense</t>
        </is>
      </c>
      <c r="E2151" s="3" t="inlineStr">
        <is>
          <t>MOVE_IRON_DEFENSE</t>
        </is>
      </c>
    </row>
    <row r="2152">
      <c r="A2152" s="3" t="inlineStr">
        <is>
          <t>SPECIES_BOLDORE</t>
        </is>
      </c>
      <c r="B2152" s="3" t="inlineStr">
        <is>
          <t>Boldore</t>
        </is>
      </c>
      <c r="C2152" s="3" t="n">
        <v>24</v>
      </c>
      <c r="D2152" s="3" t="inlineStr">
        <is>
          <t>Headbutt</t>
        </is>
      </c>
      <c r="E2152" s="3" t="inlineStr">
        <is>
          <t>MOVE_HEADBUTT</t>
        </is>
      </c>
    </row>
    <row r="2153">
      <c r="A2153" s="3" t="inlineStr">
        <is>
          <t>SPECIES_BOLDORE</t>
        </is>
      </c>
      <c r="B2153" s="3" t="inlineStr">
        <is>
          <t>Boldore</t>
        </is>
      </c>
      <c r="C2153" s="3" t="n">
        <v>30</v>
      </c>
      <c r="D2153" s="3" t="inlineStr">
        <is>
          <t>Rock Slide</t>
        </is>
      </c>
      <c r="E2153" s="3" t="inlineStr">
        <is>
          <t>MOVE_ROCK_SLIDE</t>
        </is>
      </c>
    </row>
    <row r="2154">
      <c r="A2154" s="3" t="inlineStr">
        <is>
          <t>SPECIES_BOLDORE</t>
        </is>
      </c>
      <c r="B2154" s="3" t="inlineStr">
        <is>
          <t>Boldore</t>
        </is>
      </c>
      <c r="C2154" s="3" t="n">
        <v>36</v>
      </c>
      <c r="D2154" s="3" t="inlineStr">
        <is>
          <t>Rock Blast</t>
        </is>
      </c>
      <c r="E2154" s="3" t="inlineStr">
        <is>
          <t>MOVE_ROCK_BLAST</t>
        </is>
      </c>
    </row>
    <row r="2155">
      <c r="A2155" s="3" t="inlineStr">
        <is>
          <t>SPECIES_BOLDORE</t>
        </is>
      </c>
      <c r="B2155" s="3" t="inlineStr">
        <is>
          <t>Boldore</t>
        </is>
      </c>
      <c r="C2155" s="3" t="n">
        <v>42</v>
      </c>
      <c r="D2155" s="3" t="inlineStr">
        <is>
          <t>Sandstorm</t>
        </is>
      </c>
      <c r="E2155" s="3" t="inlineStr">
        <is>
          <t>MOVE_SANDSTORM</t>
        </is>
      </c>
    </row>
    <row r="2156">
      <c r="A2156" s="3" t="inlineStr">
        <is>
          <t>SPECIES_BOLDORE</t>
        </is>
      </c>
      <c r="B2156" s="3" t="inlineStr">
        <is>
          <t>Boldore</t>
        </is>
      </c>
      <c r="C2156" s="3" t="n">
        <v>48</v>
      </c>
      <c r="D2156" s="3" t="inlineStr">
        <is>
          <t>Stone Edge</t>
        </is>
      </c>
      <c r="E2156" s="3" t="inlineStr">
        <is>
          <t>MOVE_STONE_EDGE</t>
        </is>
      </c>
    </row>
    <row r="2157">
      <c r="A2157" s="3" t="inlineStr">
        <is>
          <t>SPECIES_BOLDORE</t>
        </is>
      </c>
      <c r="B2157" s="3" t="inlineStr">
        <is>
          <t>Boldore</t>
        </is>
      </c>
      <c r="C2157" s="3" t="n">
        <v>54</v>
      </c>
      <c r="D2157" s="3" t="inlineStr">
        <is>
          <t>Explosion</t>
        </is>
      </c>
      <c r="E2157" s="3" t="inlineStr">
        <is>
          <t>MOVE_EXPLOSION</t>
        </is>
      </c>
    </row>
    <row r="2158">
      <c r="A2158" s="3" t="inlineStr">
        <is>
          <t>SPECIES_GIGALITH</t>
        </is>
      </c>
      <c r="B2158" s="3" t="inlineStr">
        <is>
          <t>Gigalith</t>
        </is>
      </c>
      <c r="C2158" s="3" t="n">
        <v>1</v>
      </c>
      <c r="D2158" s="3" t="inlineStr">
        <is>
          <t>Power Gem</t>
        </is>
      </c>
      <c r="E2158" s="3" t="inlineStr">
        <is>
          <t>MOVE_POWER_GEM</t>
        </is>
      </c>
    </row>
    <row r="2159">
      <c r="A2159" s="3" t="inlineStr">
        <is>
          <t>SPECIES_GIGALITH</t>
        </is>
      </c>
      <c r="B2159" s="3" t="inlineStr">
        <is>
          <t>Gigalith</t>
        </is>
      </c>
      <c r="C2159" s="3" t="n">
        <v>1</v>
      </c>
      <c r="D2159" s="3" t="inlineStr">
        <is>
          <t>Sand Attack</t>
        </is>
      </c>
      <c r="E2159" s="3" t="inlineStr">
        <is>
          <t>MOVE_SAND_ATTACK</t>
        </is>
      </c>
    </row>
    <row r="2160">
      <c r="A2160" s="3" t="inlineStr">
        <is>
          <t>SPECIES_GIGALITH</t>
        </is>
      </c>
      <c r="B2160" s="3" t="inlineStr">
        <is>
          <t>Gigalith</t>
        </is>
      </c>
      <c r="C2160" s="3" t="n">
        <v>1</v>
      </c>
      <c r="D2160" s="3" t="inlineStr">
        <is>
          <t>Tackle</t>
        </is>
      </c>
      <c r="E2160" s="3" t="inlineStr">
        <is>
          <t>MOVE_TACKLE</t>
        </is>
      </c>
    </row>
    <row r="2161">
      <c r="A2161" s="3" t="inlineStr">
        <is>
          <t>SPECIES_GIGALITH</t>
        </is>
      </c>
      <c r="B2161" s="3" t="inlineStr">
        <is>
          <t>Gigalith</t>
        </is>
      </c>
      <c r="C2161" s="3" t="n">
        <v>1</v>
      </c>
      <c r="D2161" s="3" t="inlineStr">
        <is>
          <t>Harden</t>
        </is>
      </c>
      <c r="E2161" s="3" t="inlineStr">
        <is>
          <t>MOVE_HARDEN</t>
        </is>
      </c>
    </row>
    <row r="2162">
      <c r="A2162" s="3" t="inlineStr">
        <is>
          <t>SPECIES_GIGALITH</t>
        </is>
      </c>
      <c r="B2162" s="3" t="inlineStr">
        <is>
          <t>Gigalith</t>
        </is>
      </c>
      <c r="C2162" s="3" t="n">
        <v>1</v>
      </c>
      <c r="D2162" s="3" t="inlineStr">
        <is>
          <t>Stealth Rock</t>
        </is>
      </c>
      <c r="E2162" s="3" t="inlineStr">
        <is>
          <t>MOVE_STEALTH_ROCK</t>
        </is>
      </c>
    </row>
    <row r="2163">
      <c r="A2163" s="3" t="inlineStr">
        <is>
          <t>SPECIES_GIGALITH</t>
        </is>
      </c>
      <c r="B2163" s="3" t="inlineStr">
        <is>
          <t>Gigalith</t>
        </is>
      </c>
      <c r="C2163" s="3" t="n">
        <v>12</v>
      </c>
      <c r="D2163" s="3" t="inlineStr">
        <is>
          <t>Mud-Slap</t>
        </is>
      </c>
      <c r="E2163" s="3" t="inlineStr">
        <is>
          <t>MOVE_MUD_SLAP</t>
        </is>
      </c>
    </row>
    <row r="2164">
      <c r="A2164" s="3" t="inlineStr">
        <is>
          <t>SPECIES_GIGALITH</t>
        </is>
      </c>
      <c r="B2164" s="3" t="inlineStr">
        <is>
          <t>Gigalith</t>
        </is>
      </c>
      <c r="C2164" s="3" t="n">
        <v>16</v>
      </c>
      <c r="D2164" s="3" t="inlineStr">
        <is>
          <t>Smack Down</t>
        </is>
      </c>
      <c r="E2164" s="3" t="inlineStr">
        <is>
          <t>MOVE_SMACK_DOWN</t>
        </is>
      </c>
    </row>
    <row r="2165">
      <c r="A2165" s="3" t="inlineStr">
        <is>
          <t>SPECIES_GIGALITH</t>
        </is>
      </c>
      <c r="B2165" s="3" t="inlineStr">
        <is>
          <t>Gigalith</t>
        </is>
      </c>
      <c r="C2165" s="3" t="n">
        <v>20</v>
      </c>
      <c r="D2165" s="3" t="inlineStr">
        <is>
          <t>Iron Defense</t>
        </is>
      </c>
      <c r="E2165" s="3" t="inlineStr">
        <is>
          <t>MOVE_IRON_DEFENSE</t>
        </is>
      </c>
    </row>
    <row r="2166">
      <c r="A2166" s="3" t="inlineStr">
        <is>
          <t>SPECIES_GIGALITH</t>
        </is>
      </c>
      <c r="B2166" s="3" t="inlineStr">
        <is>
          <t>Gigalith</t>
        </is>
      </c>
      <c r="C2166" s="3" t="n">
        <v>24</v>
      </c>
      <c r="D2166" s="3" t="inlineStr">
        <is>
          <t>Headbutt</t>
        </is>
      </c>
      <c r="E2166" s="3" t="inlineStr">
        <is>
          <t>MOVE_HEADBUTT</t>
        </is>
      </c>
    </row>
    <row r="2167">
      <c r="A2167" s="3" t="inlineStr">
        <is>
          <t>SPECIES_GIGALITH</t>
        </is>
      </c>
      <c r="B2167" s="3" t="inlineStr">
        <is>
          <t>Gigalith</t>
        </is>
      </c>
      <c r="C2167" s="3" t="n">
        <v>30</v>
      </c>
      <c r="D2167" s="3" t="inlineStr">
        <is>
          <t>Rock Slide</t>
        </is>
      </c>
      <c r="E2167" s="3" t="inlineStr">
        <is>
          <t>MOVE_ROCK_SLIDE</t>
        </is>
      </c>
    </row>
    <row r="2168">
      <c r="A2168" s="3" t="inlineStr">
        <is>
          <t>SPECIES_GIGALITH</t>
        </is>
      </c>
      <c r="B2168" s="3" t="inlineStr">
        <is>
          <t>Gigalith</t>
        </is>
      </c>
      <c r="C2168" s="3" t="n">
        <v>36</v>
      </c>
      <c r="D2168" s="3" t="inlineStr">
        <is>
          <t>Rock Blast</t>
        </is>
      </c>
      <c r="E2168" s="3" t="inlineStr">
        <is>
          <t>MOVE_ROCK_BLAST</t>
        </is>
      </c>
    </row>
    <row r="2169">
      <c r="A2169" s="3" t="inlineStr">
        <is>
          <t>SPECIES_GIGALITH</t>
        </is>
      </c>
      <c r="B2169" s="3" t="inlineStr">
        <is>
          <t>Gigalith</t>
        </is>
      </c>
      <c r="C2169" s="3" t="n">
        <v>42</v>
      </c>
      <c r="D2169" s="3" t="inlineStr">
        <is>
          <t>Sandstorm</t>
        </is>
      </c>
      <c r="E2169" s="3" t="inlineStr">
        <is>
          <t>MOVE_SANDSTORM</t>
        </is>
      </c>
    </row>
    <row r="2170">
      <c r="A2170" s="3" t="inlineStr">
        <is>
          <t>SPECIES_GIGALITH</t>
        </is>
      </c>
      <c r="B2170" s="3" t="inlineStr">
        <is>
          <t>Gigalith</t>
        </is>
      </c>
      <c r="C2170" s="3" t="n">
        <v>48</v>
      </c>
      <c r="D2170" s="3" t="inlineStr">
        <is>
          <t>Stone Edge</t>
        </is>
      </c>
      <c r="E2170" s="3" t="inlineStr">
        <is>
          <t>MOVE_STONE_EDGE</t>
        </is>
      </c>
    </row>
    <row r="2171">
      <c r="A2171" s="3" t="inlineStr">
        <is>
          <t>SPECIES_GIGALITH</t>
        </is>
      </c>
      <c r="B2171" s="3" t="inlineStr">
        <is>
          <t>Gigalith</t>
        </is>
      </c>
      <c r="C2171" s="3" t="n">
        <v>54</v>
      </c>
      <c r="D2171" s="3" t="inlineStr">
        <is>
          <t>Explosion</t>
        </is>
      </c>
      <c r="E2171" s="3" t="inlineStr">
        <is>
          <t>MOVE_EXPLOSION</t>
        </is>
      </c>
    </row>
    <row r="2172">
      <c r="A2172" s="3" t="inlineStr">
        <is>
          <t>SPECIES_WOOBAT</t>
        </is>
      </c>
      <c r="B2172" s="3" t="inlineStr">
        <is>
          <t>Woobat</t>
        </is>
      </c>
      <c r="C2172" s="3" t="n">
        <v>1</v>
      </c>
      <c r="D2172" s="3" t="inlineStr">
        <is>
          <t>Gust</t>
        </is>
      </c>
      <c r="E2172" s="3" t="inlineStr">
        <is>
          <t>MOVE_GUST</t>
        </is>
      </c>
    </row>
    <row r="2173">
      <c r="A2173" s="3" t="inlineStr">
        <is>
          <t>SPECIES_WOOBAT</t>
        </is>
      </c>
      <c r="B2173" s="3" t="inlineStr">
        <is>
          <t>Woobat</t>
        </is>
      </c>
      <c r="C2173" s="3" t="n">
        <v>1</v>
      </c>
      <c r="D2173" s="3" t="inlineStr">
        <is>
          <t>Attract</t>
        </is>
      </c>
      <c r="E2173" s="3" t="inlineStr">
        <is>
          <t>MOVE_ATTRACT</t>
        </is>
      </c>
    </row>
    <row r="2174">
      <c r="A2174" s="3" t="inlineStr">
        <is>
          <t>SPECIES_WOOBAT</t>
        </is>
      </c>
      <c r="B2174" s="3" t="inlineStr">
        <is>
          <t>Woobat</t>
        </is>
      </c>
      <c r="C2174" s="3" t="n">
        <v>5</v>
      </c>
      <c r="D2174" s="3" t="inlineStr">
        <is>
          <t>Confusion</t>
        </is>
      </c>
      <c r="E2174" s="3" t="inlineStr">
        <is>
          <t>MOVE_CONFUSION</t>
        </is>
      </c>
    </row>
    <row r="2175">
      <c r="A2175" s="3" t="inlineStr">
        <is>
          <t>SPECIES_WOOBAT</t>
        </is>
      </c>
      <c r="B2175" s="3" t="inlineStr">
        <is>
          <t>Woobat</t>
        </is>
      </c>
      <c r="C2175" s="3" t="n">
        <v>10</v>
      </c>
      <c r="D2175" s="3" t="inlineStr">
        <is>
          <t>Endeavor</t>
        </is>
      </c>
      <c r="E2175" s="3" t="inlineStr">
        <is>
          <t>MOVE_ENDEAVOR</t>
        </is>
      </c>
    </row>
    <row r="2176">
      <c r="A2176" s="3" t="inlineStr">
        <is>
          <t>SPECIES_WOOBAT</t>
        </is>
      </c>
      <c r="B2176" s="3" t="inlineStr">
        <is>
          <t>Woobat</t>
        </is>
      </c>
      <c r="C2176" s="3" t="n">
        <v>15</v>
      </c>
      <c r="D2176" s="3" t="inlineStr">
        <is>
          <t>Air Cutter</t>
        </is>
      </c>
      <c r="E2176" s="3" t="inlineStr">
        <is>
          <t>MOVE_AIR_CUTTER</t>
        </is>
      </c>
    </row>
    <row r="2177">
      <c r="A2177" s="3" t="inlineStr">
        <is>
          <t>SPECIES_WOOBAT</t>
        </is>
      </c>
      <c r="B2177" s="3" t="inlineStr">
        <is>
          <t>Woobat</t>
        </is>
      </c>
      <c r="C2177" s="3" t="n">
        <v>20</v>
      </c>
      <c r="D2177" s="3" t="inlineStr">
        <is>
          <t>Imprison</t>
        </is>
      </c>
      <c r="E2177" s="3" t="inlineStr">
        <is>
          <t>MOVE_IMPRISON</t>
        </is>
      </c>
    </row>
    <row r="2178">
      <c r="A2178" s="3" t="inlineStr">
        <is>
          <t>SPECIES_WOOBAT</t>
        </is>
      </c>
      <c r="B2178" s="3" t="inlineStr">
        <is>
          <t>Woobat</t>
        </is>
      </c>
      <c r="C2178" s="3" t="n">
        <v>25</v>
      </c>
      <c r="D2178" s="3" t="inlineStr">
        <is>
          <t>Assurance</t>
        </is>
      </c>
      <c r="E2178" s="3" t="inlineStr">
        <is>
          <t>MOVE_ASSURANCE</t>
        </is>
      </c>
    </row>
    <row r="2179">
      <c r="A2179" s="3" t="inlineStr">
        <is>
          <t>SPECIES_WOOBAT</t>
        </is>
      </c>
      <c r="B2179" s="3" t="inlineStr">
        <is>
          <t>Woobat</t>
        </is>
      </c>
      <c r="C2179" s="3" t="n">
        <v>30</v>
      </c>
      <c r="D2179" s="3" t="inlineStr">
        <is>
          <t>Amnesia</t>
        </is>
      </c>
      <c r="E2179" s="3" t="inlineStr">
        <is>
          <t>MOVE_AMNESIA</t>
        </is>
      </c>
    </row>
    <row r="2180">
      <c r="A2180" s="3" t="inlineStr">
        <is>
          <t>SPECIES_WOOBAT</t>
        </is>
      </c>
      <c r="B2180" s="3" t="inlineStr">
        <is>
          <t>Woobat</t>
        </is>
      </c>
      <c r="C2180" s="3" t="n">
        <v>35</v>
      </c>
      <c r="D2180" s="3" t="inlineStr">
        <is>
          <t>Air Slash</t>
        </is>
      </c>
      <c r="E2180" s="3" t="inlineStr">
        <is>
          <t>MOVE_AIR_SLASH</t>
        </is>
      </c>
    </row>
    <row r="2181">
      <c r="A2181" s="3" t="inlineStr">
        <is>
          <t>SPECIES_WOOBAT</t>
        </is>
      </c>
      <c r="B2181" s="3" t="inlineStr">
        <is>
          <t>Woobat</t>
        </is>
      </c>
      <c r="C2181" s="3" t="n">
        <v>40</v>
      </c>
      <c r="D2181" s="3" t="inlineStr">
        <is>
          <t>Psychic</t>
        </is>
      </c>
      <c r="E2181" s="3" t="inlineStr">
        <is>
          <t>MOVE_PSYCHIC</t>
        </is>
      </c>
    </row>
    <row r="2182">
      <c r="A2182" s="3" t="inlineStr">
        <is>
          <t>SPECIES_WOOBAT</t>
        </is>
      </c>
      <c r="B2182" s="3" t="inlineStr">
        <is>
          <t>Woobat</t>
        </is>
      </c>
      <c r="C2182" s="3" t="n">
        <v>45</v>
      </c>
      <c r="D2182" s="3" t="inlineStr">
        <is>
          <t>Calm Mind</t>
        </is>
      </c>
      <c r="E2182" s="3" t="inlineStr">
        <is>
          <t>MOVE_CALM_MIND</t>
        </is>
      </c>
    </row>
    <row r="2183">
      <c r="A2183" s="3" t="inlineStr">
        <is>
          <t>SPECIES_WOOBAT</t>
        </is>
      </c>
      <c r="B2183" s="3" t="inlineStr">
        <is>
          <t>Woobat</t>
        </is>
      </c>
      <c r="C2183" s="3" t="n">
        <v>50</v>
      </c>
      <c r="D2183" s="3" t="inlineStr">
        <is>
          <t>Future Sight</t>
        </is>
      </c>
      <c r="E2183" s="3" t="inlineStr">
        <is>
          <t>MOVE_FUTURE_SIGHT</t>
        </is>
      </c>
    </row>
    <row r="2184">
      <c r="A2184" s="3" t="inlineStr">
        <is>
          <t>SPECIES_WOOBAT</t>
        </is>
      </c>
      <c r="B2184" s="3" t="inlineStr">
        <is>
          <t>Woobat</t>
        </is>
      </c>
      <c r="C2184" s="3" t="n">
        <v>55</v>
      </c>
      <c r="D2184" s="3" t="inlineStr">
        <is>
          <t>Simple Beam</t>
        </is>
      </c>
      <c r="E2184" s="3" t="inlineStr">
        <is>
          <t>MOVE_SIMPLE_BEAM</t>
        </is>
      </c>
    </row>
    <row r="2185">
      <c r="A2185" s="3" t="inlineStr">
        <is>
          <t>SPECIES_SWOOBAT</t>
        </is>
      </c>
      <c r="B2185" s="3" t="inlineStr">
        <is>
          <t>Swoobat</t>
        </is>
      </c>
      <c r="C2185" s="3" t="n">
        <v>1</v>
      </c>
      <c r="D2185" s="3" t="inlineStr">
        <is>
          <t>Gust</t>
        </is>
      </c>
      <c r="E2185" s="3" t="inlineStr">
        <is>
          <t>MOVE_GUST</t>
        </is>
      </c>
    </row>
    <row r="2186">
      <c r="A2186" s="3" t="inlineStr">
        <is>
          <t>SPECIES_SWOOBAT</t>
        </is>
      </c>
      <c r="B2186" s="3" t="inlineStr">
        <is>
          <t>Swoobat</t>
        </is>
      </c>
      <c r="C2186" s="3" t="n">
        <v>1</v>
      </c>
      <c r="D2186" s="3" t="inlineStr">
        <is>
          <t>Attract</t>
        </is>
      </c>
      <c r="E2186" s="3" t="inlineStr">
        <is>
          <t>MOVE_ATTRACT</t>
        </is>
      </c>
    </row>
    <row r="2187">
      <c r="A2187" s="3" t="inlineStr">
        <is>
          <t>SPECIES_SWOOBAT</t>
        </is>
      </c>
      <c r="B2187" s="3" t="inlineStr">
        <is>
          <t>Swoobat</t>
        </is>
      </c>
      <c r="C2187" s="3" t="n">
        <v>1</v>
      </c>
      <c r="D2187" s="3" t="inlineStr">
        <is>
          <t>Confusion</t>
        </is>
      </c>
      <c r="E2187" s="3" t="inlineStr">
        <is>
          <t>MOVE_CONFUSION</t>
        </is>
      </c>
    </row>
    <row r="2188">
      <c r="A2188" s="3" t="inlineStr">
        <is>
          <t>SPECIES_SWOOBAT</t>
        </is>
      </c>
      <c r="B2188" s="3" t="inlineStr">
        <is>
          <t>Swoobat</t>
        </is>
      </c>
      <c r="C2188" s="3" t="n">
        <v>1</v>
      </c>
      <c r="D2188" s="3" t="inlineStr">
        <is>
          <t>Endeavor</t>
        </is>
      </c>
      <c r="E2188" s="3" t="inlineStr">
        <is>
          <t>MOVE_ENDEAVOR</t>
        </is>
      </c>
    </row>
    <row r="2189">
      <c r="A2189" s="3" t="inlineStr">
        <is>
          <t>SPECIES_SWOOBAT</t>
        </is>
      </c>
      <c r="B2189" s="3" t="inlineStr">
        <is>
          <t>Swoobat</t>
        </is>
      </c>
      <c r="C2189" s="3" t="n">
        <v>15</v>
      </c>
      <c r="D2189" s="3" t="inlineStr">
        <is>
          <t>Air Cutter</t>
        </is>
      </c>
      <c r="E2189" s="3" t="inlineStr">
        <is>
          <t>MOVE_AIR_CUTTER</t>
        </is>
      </c>
    </row>
    <row r="2190">
      <c r="A2190" s="3" t="inlineStr">
        <is>
          <t>SPECIES_SWOOBAT</t>
        </is>
      </c>
      <c r="B2190" s="3" t="inlineStr">
        <is>
          <t>Swoobat</t>
        </is>
      </c>
      <c r="C2190" s="3" t="n">
        <v>20</v>
      </c>
      <c r="D2190" s="3" t="inlineStr">
        <is>
          <t>Imprison</t>
        </is>
      </c>
      <c r="E2190" s="3" t="inlineStr">
        <is>
          <t>MOVE_IMPRISON</t>
        </is>
      </c>
    </row>
    <row r="2191">
      <c r="A2191" s="3" t="inlineStr">
        <is>
          <t>SPECIES_SWOOBAT</t>
        </is>
      </c>
      <c r="B2191" s="3" t="inlineStr">
        <is>
          <t>Swoobat</t>
        </is>
      </c>
      <c r="C2191" s="3" t="n">
        <v>25</v>
      </c>
      <c r="D2191" s="3" t="inlineStr">
        <is>
          <t>Assurance</t>
        </is>
      </c>
      <c r="E2191" s="3" t="inlineStr">
        <is>
          <t>MOVE_ASSURANCE</t>
        </is>
      </c>
    </row>
    <row r="2192">
      <c r="A2192" s="3" t="inlineStr">
        <is>
          <t>SPECIES_SWOOBAT</t>
        </is>
      </c>
      <c r="B2192" s="3" t="inlineStr">
        <is>
          <t>Swoobat</t>
        </is>
      </c>
      <c r="C2192" s="3" t="n">
        <v>30</v>
      </c>
      <c r="D2192" s="3" t="inlineStr">
        <is>
          <t>Amnesia</t>
        </is>
      </c>
      <c r="E2192" s="3" t="inlineStr">
        <is>
          <t>MOVE_AMNESIA</t>
        </is>
      </c>
    </row>
    <row r="2193">
      <c r="A2193" s="3" t="inlineStr">
        <is>
          <t>SPECIES_SWOOBAT</t>
        </is>
      </c>
      <c r="B2193" s="3" t="inlineStr">
        <is>
          <t>Swoobat</t>
        </is>
      </c>
      <c r="C2193" s="3" t="n">
        <v>35</v>
      </c>
      <c r="D2193" s="3" t="inlineStr">
        <is>
          <t>Air Slash</t>
        </is>
      </c>
      <c r="E2193" s="3" t="inlineStr">
        <is>
          <t>MOVE_AIR_SLASH</t>
        </is>
      </c>
    </row>
    <row r="2194">
      <c r="A2194" s="3" t="inlineStr">
        <is>
          <t>SPECIES_SWOOBAT</t>
        </is>
      </c>
      <c r="B2194" s="3" t="inlineStr">
        <is>
          <t>Swoobat</t>
        </is>
      </c>
      <c r="C2194" s="3" t="n">
        <v>40</v>
      </c>
      <c r="D2194" s="3" t="inlineStr">
        <is>
          <t>Psychic</t>
        </is>
      </c>
      <c r="E2194" s="3" t="inlineStr">
        <is>
          <t>MOVE_PSYCHIC</t>
        </is>
      </c>
    </row>
    <row r="2195">
      <c r="A2195" s="3" t="inlineStr">
        <is>
          <t>SPECIES_SWOOBAT</t>
        </is>
      </c>
      <c r="B2195" s="3" t="inlineStr">
        <is>
          <t>Swoobat</t>
        </is>
      </c>
      <c r="C2195" s="3" t="n">
        <v>45</v>
      </c>
      <c r="D2195" s="3" t="inlineStr">
        <is>
          <t>Calm Mind</t>
        </is>
      </c>
      <c r="E2195" s="3" t="inlineStr">
        <is>
          <t>MOVE_CALM_MIND</t>
        </is>
      </c>
    </row>
    <row r="2196">
      <c r="A2196" s="3" t="inlineStr">
        <is>
          <t>SPECIES_SWOOBAT</t>
        </is>
      </c>
      <c r="B2196" s="3" t="inlineStr">
        <is>
          <t>Swoobat</t>
        </is>
      </c>
      <c r="C2196" s="3" t="n">
        <v>50</v>
      </c>
      <c r="D2196" s="3" t="inlineStr">
        <is>
          <t>Future Sight</t>
        </is>
      </c>
      <c r="E2196" s="3" t="inlineStr">
        <is>
          <t>MOVE_FUTURE_SIGHT</t>
        </is>
      </c>
    </row>
    <row r="2197">
      <c r="A2197" s="3" t="inlineStr">
        <is>
          <t>SPECIES_SWOOBAT</t>
        </is>
      </c>
      <c r="B2197" s="3" t="inlineStr">
        <is>
          <t>Swoobat</t>
        </is>
      </c>
      <c r="C2197" s="3" t="n">
        <v>55</v>
      </c>
      <c r="D2197" s="3" t="inlineStr">
        <is>
          <t>Simple Beam</t>
        </is>
      </c>
      <c r="E2197" s="3" t="inlineStr">
        <is>
          <t>MOVE_SIMPLE_BEAM</t>
        </is>
      </c>
    </row>
    <row r="2198">
      <c r="A2198" s="3" t="inlineStr">
        <is>
          <t>SPECIES_DRILBUR</t>
        </is>
      </c>
      <c r="B2198" s="3" t="inlineStr">
        <is>
          <t>Drilbur</t>
        </is>
      </c>
      <c r="C2198" s="3" t="n">
        <v>1</v>
      </c>
      <c r="D2198" s="3" t="inlineStr">
        <is>
          <t>Mud-Slap</t>
        </is>
      </c>
      <c r="E2198" s="3" t="inlineStr">
        <is>
          <t>MOVE_MUD_SLAP</t>
        </is>
      </c>
    </row>
    <row r="2199">
      <c r="A2199" s="3" t="inlineStr">
        <is>
          <t>SPECIES_DRILBUR</t>
        </is>
      </c>
      <c r="B2199" s="3" t="inlineStr">
        <is>
          <t>Drilbur</t>
        </is>
      </c>
      <c r="C2199" s="3" t="n">
        <v>1</v>
      </c>
      <c r="D2199" s="3" t="inlineStr">
        <is>
          <t>Rapid Spin</t>
        </is>
      </c>
      <c r="E2199" s="3" t="inlineStr">
        <is>
          <t>MOVE_RAPID_SPIN</t>
        </is>
      </c>
    </row>
    <row r="2200">
      <c r="A2200" s="3" t="inlineStr">
        <is>
          <t>SPECIES_DRILBUR</t>
        </is>
      </c>
      <c r="B2200" s="3" t="inlineStr">
        <is>
          <t>Drilbur</t>
        </is>
      </c>
      <c r="C2200" s="3" t="n">
        <v>4</v>
      </c>
      <c r="D2200" s="3" t="inlineStr">
        <is>
          <t>Scratch</t>
        </is>
      </c>
      <c r="E2200" s="3" t="inlineStr">
        <is>
          <t>MOVE_SCRATCH</t>
        </is>
      </c>
    </row>
    <row r="2201">
      <c r="A2201" s="3" t="inlineStr">
        <is>
          <t>SPECIES_DRILBUR</t>
        </is>
      </c>
      <c r="B2201" s="3" t="inlineStr">
        <is>
          <t>Drilbur</t>
        </is>
      </c>
      <c r="C2201" s="3" t="n">
        <v>8</v>
      </c>
      <c r="D2201" s="3" t="inlineStr">
        <is>
          <t>Hone Claws</t>
        </is>
      </c>
      <c r="E2201" s="3" t="inlineStr">
        <is>
          <t>MOVE_HONE_CLAWS</t>
        </is>
      </c>
    </row>
    <row r="2202">
      <c r="A2202" s="3" t="inlineStr">
        <is>
          <t>SPECIES_DRILBUR</t>
        </is>
      </c>
      <c r="B2202" s="3" t="inlineStr">
        <is>
          <t>Drilbur</t>
        </is>
      </c>
      <c r="C2202" s="3" t="n">
        <v>12</v>
      </c>
      <c r="D2202" s="3" t="inlineStr">
        <is>
          <t>Fury Swipes</t>
        </is>
      </c>
      <c r="E2202" s="3" t="inlineStr">
        <is>
          <t>MOVE_FURY_SWIPES</t>
        </is>
      </c>
    </row>
    <row r="2203">
      <c r="A2203" s="3" t="inlineStr">
        <is>
          <t>SPECIES_DRILBUR</t>
        </is>
      </c>
      <c r="B2203" s="3" t="inlineStr">
        <is>
          <t>Drilbur</t>
        </is>
      </c>
      <c r="C2203" s="3" t="n">
        <v>16</v>
      </c>
      <c r="D2203" s="3" t="inlineStr">
        <is>
          <t>Metal Claw</t>
        </is>
      </c>
      <c r="E2203" s="3" t="inlineStr">
        <is>
          <t>MOVE_METAL_CLAW</t>
        </is>
      </c>
    </row>
    <row r="2204">
      <c r="A2204" s="3" t="inlineStr">
        <is>
          <t>SPECIES_DRILBUR</t>
        </is>
      </c>
      <c r="B2204" s="3" t="inlineStr">
        <is>
          <t>Drilbur</t>
        </is>
      </c>
      <c r="C2204" s="3" t="n">
        <v>20</v>
      </c>
      <c r="D2204" s="3" t="inlineStr">
        <is>
          <t>Sandstorm</t>
        </is>
      </c>
      <c r="E2204" s="3" t="inlineStr">
        <is>
          <t>MOVE_SANDSTORM</t>
        </is>
      </c>
    </row>
    <row r="2205">
      <c r="A2205" s="3" t="inlineStr">
        <is>
          <t>SPECIES_DRILBUR</t>
        </is>
      </c>
      <c r="B2205" s="3" t="inlineStr">
        <is>
          <t>Drilbur</t>
        </is>
      </c>
      <c r="C2205" s="3" t="n">
        <v>24</v>
      </c>
      <c r="D2205" s="3" t="inlineStr">
        <is>
          <t>Crush Claw</t>
        </is>
      </c>
      <c r="E2205" s="3" t="inlineStr">
        <is>
          <t>MOVE_CRUSH_CLAW</t>
        </is>
      </c>
    </row>
    <row r="2206">
      <c r="A2206" s="3" t="inlineStr">
        <is>
          <t>SPECIES_DRILBUR</t>
        </is>
      </c>
      <c r="B2206" s="3" t="inlineStr">
        <is>
          <t>Drilbur</t>
        </is>
      </c>
      <c r="C2206" s="3" t="n">
        <v>28</v>
      </c>
      <c r="D2206" s="3" t="inlineStr">
        <is>
          <t>Rock Slide</t>
        </is>
      </c>
      <c r="E2206" s="3" t="inlineStr">
        <is>
          <t>MOVE_ROCK_SLIDE</t>
        </is>
      </c>
    </row>
    <row r="2207">
      <c r="A2207" s="3" t="inlineStr">
        <is>
          <t>SPECIES_DRILBUR</t>
        </is>
      </c>
      <c r="B2207" s="3" t="inlineStr">
        <is>
          <t>Drilbur</t>
        </is>
      </c>
      <c r="C2207" s="3" t="n">
        <v>32</v>
      </c>
      <c r="D2207" s="3" t="inlineStr">
        <is>
          <t>Dig</t>
        </is>
      </c>
      <c r="E2207" s="3" t="inlineStr">
        <is>
          <t>MOVE_DIG</t>
        </is>
      </c>
    </row>
    <row r="2208">
      <c r="A2208" s="3" t="inlineStr">
        <is>
          <t>SPECIES_DRILBUR</t>
        </is>
      </c>
      <c r="B2208" s="3" t="inlineStr">
        <is>
          <t>Drilbur</t>
        </is>
      </c>
      <c r="C2208" s="3" t="n">
        <v>36</v>
      </c>
      <c r="D2208" s="3" t="inlineStr">
        <is>
          <t>Swords Dance</t>
        </is>
      </c>
      <c r="E2208" s="3" t="inlineStr">
        <is>
          <t>MOVE_SWORDS_DANCE</t>
        </is>
      </c>
    </row>
    <row r="2209">
      <c r="A2209" s="3" t="inlineStr">
        <is>
          <t>SPECIES_DRILBUR</t>
        </is>
      </c>
      <c r="B2209" s="3" t="inlineStr">
        <is>
          <t>Drilbur</t>
        </is>
      </c>
      <c r="C2209" s="3" t="n">
        <v>40</v>
      </c>
      <c r="D2209" s="3" t="inlineStr">
        <is>
          <t>Drill Run</t>
        </is>
      </c>
      <c r="E2209" s="3" t="inlineStr">
        <is>
          <t>MOVE_DRILL_RUN</t>
        </is>
      </c>
    </row>
    <row r="2210">
      <c r="A2210" s="3" t="inlineStr">
        <is>
          <t>SPECIES_DRILBUR</t>
        </is>
      </c>
      <c r="B2210" s="3" t="inlineStr">
        <is>
          <t>Drilbur</t>
        </is>
      </c>
      <c r="C2210" s="3" t="n">
        <v>44</v>
      </c>
      <c r="D2210" s="3" t="inlineStr">
        <is>
          <t>Earthquake</t>
        </is>
      </c>
      <c r="E2210" s="3" t="inlineStr">
        <is>
          <t>MOVE_EARTHQUAKE</t>
        </is>
      </c>
    </row>
    <row r="2211">
      <c r="A2211" s="3" t="inlineStr">
        <is>
          <t>SPECIES_DRILBUR</t>
        </is>
      </c>
      <c r="B2211" s="3" t="inlineStr">
        <is>
          <t>Drilbur</t>
        </is>
      </c>
      <c r="C2211" s="3" t="n">
        <v>48</v>
      </c>
      <c r="D2211" s="3" t="inlineStr">
        <is>
          <t>Fissure</t>
        </is>
      </c>
      <c r="E2211" s="3" t="inlineStr">
        <is>
          <t>MOVE_FISSURE</t>
        </is>
      </c>
    </row>
    <row r="2212">
      <c r="A2212" s="3" t="inlineStr">
        <is>
          <t>SPECIES_EXCADRILL</t>
        </is>
      </c>
      <c r="B2212" s="3" t="inlineStr">
        <is>
          <t>Excadrill</t>
        </is>
      </c>
      <c r="C2212" s="3" t="n">
        <v>0</v>
      </c>
      <c r="D2212" s="3" t="inlineStr">
        <is>
          <t>Horn Drill</t>
        </is>
      </c>
      <c r="E2212" s="3" t="inlineStr">
        <is>
          <t>MOVE_HORN_DRILL</t>
        </is>
      </c>
    </row>
    <row r="2213">
      <c r="A2213" s="3" t="inlineStr">
        <is>
          <t>SPECIES_EXCADRILL</t>
        </is>
      </c>
      <c r="B2213" s="3" t="inlineStr">
        <is>
          <t>Excadrill</t>
        </is>
      </c>
      <c r="C2213" s="3" t="n">
        <v>1</v>
      </c>
      <c r="D2213" s="3" t="inlineStr">
        <is>
          <t>Scratch</t>
        </is>
      </c>
      <c r="E2213" s="3" t="inlineStr">
        <is>
          <t>MOVE_SCRATCH</t>
        </is>
      </c>
    </row>
    <row r="2214">
      <c r="A2214" s="3" t="inlineStr">
        <is>
          <t>SPECIES_EXCADRILL</t>
        </is>
      </c>
      <c r="B2214" s="3" t="inlineStr">
        <is>
          <t>Excadrill</t>
        </is>
      </c>
      <c r="C2214" s="3" t="n">
        <v>1</v>
      </c>
      <c r="D2214" s="3" t="inlineStr">
        <is>
          <t>Mud-Slap</t>
        </is>
      </c>
      <c r="E2214" s="3" t="inlineStr">
        <is>
          <t>MOVE_MUD_SLAP</t>
        </is>
      </c>
    </row>
    <row r="2215">
      <c r="A2215" s="3" t="inlineStr">
        <is>
          <t>SPECIES_EXCADRILL</t>
        </is>
      </c>
      <c r="B2215" s="3" t="inlineStr">
        <is>
          <t>Excadrill</t>
        </is>
      </c>
      <c r="C2215" s="3" t="n">
        <v>1</v>
      </c>
      <c r="D2215" s="3" t="inlineStr">
        <is>
          <t>Rapid Spin</t>
        </is>
      </c>
      <c r="E2215" s="3" t="inlineStr">
        <is>
          <t>MOVE_RAPID_SPIN</t>
        </is>
      </c>
    </row>
    <row r="2216">
      <c r="A2216" s="3" t="inlineStr">
        <is>
          <t>SPECIES_EXCADRILL</t>
        </is>
      </c>
      <c r="B2216" s="3" t="inlineStr">
        <is>
          <t>Excadrill</t>
        </is>
      </c>
      <c r="C2216" s="3" t="n">
        <v>1</v>
      </c>
      <c r="D2216" s="3" t="inlineStr">
        <is>
          <t>Hone Claws</t>
        </is>
      </c>
      <c r="E2216" s="3" t="inlineStr">
        <is>
          <t>MOVE_HONE_CLAWS</t>
        </is>
      </c>
    </row>
    <row r="2217">
      <c r="A2217" s="3" t="inlineStr">
        <is>
          <t>SPECIES_EXCADRILL</t>
        </is>
      </c>
      <c r="B2217" s="3" t="inlineStr">
        <is>
          <t>Excadrill</t>
        </is>
      </c>
      <c r="C2217" s="3" t="n">
        <v>12</v>
      </c>
      <c r="D2217" s="3" t="inlineStr">
        <is>
          <t>Fury Swipes</t>
        </is>
      </c>
      <c r="E2217" s="3" t="inlineStr">
        <is>
          <t>MOVE_FURY_SWIPES</t>
        </is>
      </c>
    </row>
    <row r="2218">
      <c r="A2218" s="3" t="inlineStr">
        <is>
          <t>SPECIES_EXCADRILL</t>
        </is>
      </c>
      <c r="B2218" s="3" t="inlineStr">
        <is>
          <t>Excadrill</t>
        </is>
      </c>
      <c r="C2218" s="3" t="n">
        <v>16</v>
      </c>
      <c r="D2218" s="3" t="inlineStr">
        <is>
          <t>Metal Claw</t>
        </is>
      </c>
      <c r="E2218" s="3" t="inlineStr">
        <is>
          <t>MOVE_METAL_CLAW</t>
        </is>
      </c>
    </row>
    <row r="2219">
      <c r="A2219" s="3" t="inlineStr">
        <is>
          <t>SPECIES_EXCADRILL</t>
        </is>
      </c>
      <c r="B2219" s="3" t="inlineStr">
        <is>
          <t>Excadrill</t>
        </is>
      </c>
      <c r="C2219" s="3" t="n">
        <v>20</v>
      </c>
      <c r="D2219" s="3" t="inlineStr">
        <is>
          <t>Sandstorm</t>
        </is>
      </c>
      <c r="E2219" s="3" t="inlineStr">
        <is>
          <t>MOVE_SANDSTORM</t>
        </is>
      </c>
    </row>
    <row r="2220">
      <c r="A2220" s="3" t="inlineStr">
        <is>
          <t>SPECIES_EXCADRILL</t>
        </is>
      </c>
      <c r="B2220" s="3" t="inlineStr">
        <is>
          <t>Excadrill</t>
        </is>
      </c>
      <c r="C2220" s="3" t="n">
        <v>24</v>
      </c>
      <c r="D2220" s="3" t="inlineStr">
        <is>
          <t>Crush Claw</t>
        </is>
      </c>
      <c r="E2220" s="3" t="inlineStr">
        <is>
          <t>MOVE_CRUSH_CLAW</t>
        </is>
      </c>
    </row>
    <row r="2221">
      <c r="A2221" s="3" t="inlineStr">
        <is>
          <t>SPECIES_EXCADRILL</t>
        </is>
      </c>
      <c r="B2221" s="3" t="inlineStr">
        <is>
          <t>Excadrill</t>
        </is>
      </c>
      <c r="C2221" s="3" t="n">
        <v>28</v>
      </c>
      <c r="D2221" s="3" t="inlineStr">
        <is>
          <t>Rock Slide</t>
        </is>
      </c>
      <c r="E2221" s="3" t="inlineStr">
        <is>
          <t>MOVE_ROCK_SLIDE</t>
        </is>
      </c>
    </row>
    <row r="2222">
      <c r="A2222" s="3" t="inlineStr">
        <is>
          <t>SPECIES_EXCADRILL</t>
        </is>
      </c>
      <c r="B2222" s="3" t="inlineStr">
        <is>
          <t>Excadrill</t>
        </is>
      </c>
      <c r="C2222" s="3" t="n">
        <v>34</v>
      </c>
      <c r="D2222" s="3" t="inlineStr">
        <is>
          <t>Dig</t>
        </is>
      </c>
      <c r="E2222" s="3" t="inlineStr">
        <is>
          <t>MOVE_DIG</t>
        </is>
      </c>
    </row>
    <row r="2223">
      <c r="A2223" s="3" t="inlineStr">
        <is>
          <t>SPECIES_EXCADRILL</t>
        </is>
      </c>
      <c r="B2223" s="3" t="inlineStr">
        <is>
          <t>Excadrill</t>
        </is>
      </c>
      <c r="C2223" s="3" t="n">
        <v>40</v>
      </c>
      <c r="D2223" s="3" t="inlineStr">
        <is>
          <t>Swords Dance</t>
        </is>
      </c>
      <c r="E2223" s="3" t="inlineStr">
        <is>
          <t>MOVE_SWORDS_DANCE</t>
        </is>
      </c>
    </row>
    <row r="2224">
      <c r="A2224" s="3" t="inlineStr">
        <is>
          <t>SPECIES_EXCADRILL</t>
        </is>
      </c>
      <c r="B2224" s="3" t="inlineStr">
        <is>
          <t>Excadrill</t>
        </is>
      </c>
      <c r="C2224" s="3" t="n">
        <v>46</v>
      </c>
      <c r="D2224" s="3" t="inlineStr">
        <is>
          <t>Drill Run</t>
        </is>
      </c>
      <c r="E2224" s="3" t="inlineStr">
        <is>
          <t>MOVE_DRILL_RUN</t>
        </is>
      </c>
    </row>
    <row r="2225">
      <c r="A2225" s="3" t="inlineStr">
        <is>
          <t>SPECIES_EXCADRILL</t>
        </is>
      </c>
      <c r="B2225" s="3" t="inlineStr">
        <is>
          <t>Excadrill</t>
        </is>
      </c>
      <c r="C2225" s="3" t="n">
        <v>52</v>
      </c>
      <c r="D2225" s="3" t="inlineStr">
        <is>
          <t>Earthquake</t>
        </is>
      </c>
      <c r="E2225" s="3" t="inlineStr">
        <is>
          <t>MOVE_EARTHQUAKE</t>
        </is>
      </c>
    </row>
    <row r="2226">
      <c r="A2226" s="3" t="inlineStr">
        <is>
          <t>SPECIES_EXCADRILL</t>
        </is>
      </c>
      <c r="B2226" s="3" t="inlineStr">
        <is>
          <t>Excadrill</t>
        </is>
      </c>
      <c r="C2226" s="3" t="n">
        <v>58</v>
      </c>
      <c r="D2226" s="3" t="inlineStr">
        <is>
          <t>Fissure</t>
        </is>
      </c>
      <c r="E2226" s="3" t="inlineStr">
        <is>
          <t>MOVE_FISSURE</t>
        </is>
      </c>
    </row>
    <row r="2227">
      <c r="A2227" s="3" t="inlineStr">
        <is>
          <t>SPECIES_SEWADDLE</t>
        </is>
      </c>
      <c r="B2227" s="3" t="inlineStr">
        <is>
          <t>Sewaddle</t>
        </is>
      </c>
      <c r="C2227" s="3" t="n">
        <v>1</v>
      </c>
      <c r="D2227" s="3" t="inlineStr">
        <is>
          <t>Tackle</t>
        </is>
      </c>
      <c r="E2227" s="3" t="inlineStr">
        <is>
          <t>MOVE_TACKLE</t>
        </is>
      </c>
    </row>
    <row r="2228">
      <c r="A2228" s="3" t="inlineStr">
        <is>
          <t>SPECIES_SEWADDLE</t>
        </is>
      </c>
      <c r="B2228" s="3" t="inlineStr">
        <is>
          <t>Sewaddle</t>
        </is>
      </c>
      <c r="C2228" s="3" t="n">
        <v>1</v>
      </c>
      <c r="D2228" s="3" t="inlineStr">
        <is>
          <t>String Shot</t>
        </is>
      </c>
      <c r="E2228" s="3" t="inlineStr">
        <is>
          <t>MOVE_STRING_SHOT</t>
        </is>
      </c>
    </row>
    <row r="2229">
      <c r="A2229" s="3" t="inlineStr">
        <is>
          <t>SPECIES_SEWADDLE</t>
        </is>
      </c>
      <c r="B2229" s="3" t="inlineStr">
        <is>
          <t>Sewaddle</t>
        </is>
      </c>
      <c r="C2229" s="3" t="n">
        <v>8</v>
      </c>
      <c r="D2229" s="3" t="inlineStr">
        <is>
          <t>Bug Bite</t>
        </is>
      </c>
      <c r="E2229" s="3" t="inlineStr">
        <is>
          <t>MOVE_BUG_BITE</t>
        </is>
      </c>
    </row>
    <row r="2230">
      <c r="A2230" s="3" t="inlineStr">
        <is>
          <t>SPECIES_SEWADDLE</t>
        </is>
      </c>
      <c r="B2230" s="3" t="inlineStr">
        <is>
          <t>Sewaddle</t>
        </is>
      </c>
      <c r="C2230" s="3" t="n">
        <v>15</v>
      </c>
      <c r="D2230" s="3" t="inlineStr">
        <is>
          <t>Razor Leaf</t>
        </is>
      </c>
      <c r="E2230" s="3" t="inlineStr">
        <is>
          <t>MOVE_RAZOR_LEAF</t>
        </is>
      </c>
    </row>
    <row r="2231">
      <c r="A2231" s="3" t="inlineStr">
        <is>
          <t>SPECIES_SEWADDLE</t>
        </is>
      </c>
      <c r="B2231" s="3" t="inlineStr">
        <is>
          <t>Sewaddle</t>
        </is>
      </c>
      <c r="C2231" s="3" t="n">
        <v>22</v>
      </c>
      <c r="D2231" s="3" t="inlineStr">
        <is>
          <t>Struggle Bug</t>
        </is>
      </c>
      <c r="E2231" s="3" t="inlineStr">
        <is>
          <t>MOVE_STRUGGLE_BUG</t>
        </is>
      </c>
    </row>
    <row r="2232">
      <c r="A2232" s="3" t="inlineStr">
        <is>
          <t>SPECIES_SEWADDLE</t>
        </is>
      </c>
      <c r="B2232" s="3" t="inlineStr">
        <is>
          <t>Sewaddle</t>
        </is>
      </c>
      <c r="C2232" s="3" t="n">
        <v>29</v>
      </c>
      <c r="D2232" s="3" t="inlineStr">
        <is>
          <t>Endure</t>
        </is>
      </c>
      <c r="E2232" s="3" t="inlineStr">
        <is>
          <t>MOVE_ENDURE</t>
        </is>
      </c>
    </row>
    <row r="2233">
      <c r="A2233" s="3" t="inlineStr">
        <is>
          <t>SPECIES_SEWADDLE</t>
        </is>
      </c>
      <c r="B2233" s="3" t="inlineStr">
        <is>
          <t>Sewaddle</t>
        </is>
      </c>
      <c r="C2233" s="3" t="n">
        <v>31</v>
      </c>
      <c r="D2233" s="3" t="inlineStr">
        <is>
          <t>Sticky Web</t>
        </is>
      </c>
      <c r="E2233" s="3" t="inlineStr">
        <is>
          <t>MOVE_STICKY_WEB</t>
        </is>
      </c>
    </row>
    <row r="2234">
      <c r="A2234" s="3" t="inlineStr">
        <is>
          <t>SPECIES_SEWADDLE</t>
        </is>
      </c>
      <c r="B2234" s="3" t="inlineStr">
        <is>
          <t>Sewaddle</t>
        </is>
      </c>
      <c r="C2234" s="3" t="n">
        <v>36</v>
      </c>
      <c r="D2234" s="3" t="inlineStr">
        <is>
          <t>Bug Buzz</t>
        </is>
      </c>
      <c r="E2234" s="3" t="inlineStr">
        <is>
          <t>MOVE_BUG_BUZZ</t>
        </is>
      </c>
    </row>
    <row r="2235">
      <c r="A2235" s="3" t="inlineStr">
        <is>
          <t>SPECIES_SEWADDLE</t>
        </is>
      </c>
      <c r="B2235" s="3" t="inlineStr">
        <is>
          <t>Sewaddle</t>
        </is>
      </c>
      <c r="C2235" s="3" t="n">
        <v>43</v>
      </c>
      <c r="D2235" s="3" t="inlineStr">
        <is>
          <t>Flail</t>
        </is>
      </c>
      <c r="E2235" s="3" t="inlineStr">
        <is>
          <t>MOVE_FLAIL</t>
        </is>
      </c>
    </row>
    <row r="2236">
      <c r="A2236" s="3" t="inlineStr">
        <is>
          <t>SPECIES_SWADLOON</t>
        </is>
      </c>
      <c r="B2236" s="3" t="inlineStr">
        <is>
          <t>Swadloon</t>
        </is>
      </c>
      <c r="C2236" s="3" t="n">
        <v>0</v>
      </c>
      <c r="D2236" s="3" t="inlineStr">
        <is>
          <t>Protect</t>
        </is>
      </c>
      <c r="E2236" s="3" t="inlineStr">
        <is>
          <t>MOVE_PROTECT</t>
        </is>
      </c>
    </row>
    <row r="2237">
      <c r="A2237" s="3" t="inlineStr">
        <is>
          <t>SPECIES_SWADLOON</t>
        </is>
      </c>
      <c r="B2237" s="3" t="inlineStr">
        <is>
          <t>Swadloon</t>
        </is>
      </c>
      <c r="C2237" s="3" t="n">
        <v>1</v>
      </c>
      <c r="D2237" s="3" t="inlineStr">
        <is>
          <t>Tackle</t>
        </is>
      </c>
      <c r="E2237" s="3" t="inlineStr">
        <is>
          <t>MOVE_TACKLE</t>
        </is>
      </c>
    </row>
    <row r="2238">
      <c r="A2238" s="3" t="inlineStr">
        <is>
          <t>SPECIES_SWADLOON</t>
        </is>
      </c>
      <c r="B2238" s="3" t="inlineStr">
        <is>
          <t>Swadloon</t>
        </is>
      </c>
      <c r="C2238" s="3" t="n">
        <v>1</v>
      </c>
      <c r="D2238" s="3" t="inlineStr">
        <is>
          <t>Razor Leaf</t>
        </is>
      </c>
      <c r="E2238" s="3" t="inlineStr">
        <is>
          <t>MOVE_RAZOR_LEAF</t>
        </is>
      </c>
    </row>
    <row r="2239">
      <c r="A2239" s="3" t="inlineStr">
        <is>
          <t>SPECIES_SWADLOON</t>
        </is>
      </c>
      <c r="B2239" s="3" t="inlineStr">
        <is>
          <t>Swadloon</t>
        </is>
      </c>
      <c r="C2239" s="3" t="n">
        <v>1</v>
      </c>
      <c r="D2239" s="3" t="inlineStr">
        <is>
          <t>String Shot</t>
        </is>
      </c>
      <c r="E2239" s="3" t="inlineStr">
        <is>
          <t>MOVE_STRING_SHOT</t>
        </is>
      </c>
    </row>
    <row r="2240">
      <c r="A2240" s="3" t="inlineStr">
        <is>
          <t>SPECIES_SWADLOON</t>
        </is>
      </c>
      <c r="B2240" s="3" t="inlineStr">
        <is>
          <t>Swadloon</t>
        </is>
      </c>
      <c r="C2240" s="3" t="n">
        <v>1</v>
      </c>
      <c r="D2240" s="3" t="inlineStr">
        <is>
          <t>Bug Bite</t>
        </is>
      </c>
      <c r="E2240" s="3" t="inlineStr">
        <is>
          <t>MOVE_BUG_BITE</t>
        </is>
      </c>
    </row>
    <row r="2241">
      <c r="A2241" s="3" t="inlineStr">
        <is>
          <t>SPECIES_SWADLOON</t>
        </is>
      </c>
      <c r="B2241" s="3" t="inlineStr">
        <is>
          <t>Swadloon</t>
        </is>
      </c>
      <c r="C2241" s="3" t="n">
        <v>22</v>
      </c>
      <c r="D2241" s="3" t="inlineStr">
        <is>
          <t>Struggle Bug</t>
        </is>
      </c>
      <c r="E2241" s="3" t="inlineStr">
        <is>
          <t>MOVE_STRUGGLE_BUG</t>
        </is>
      </c>
    </row>
    <row r="2242">
      <c r="A2242" s="3" t="inlineStr">
        <is>
          <t>SPECIES_SWADLOON</t>
        </is>
      </c>
      <c r="B2242" s="3" t="inlineStr">
        <is>
          <t>Swadloon</t>
        </is>
      </c>
      <c r="C2242" s="3" t="n">
        <v>29</v>
      </c>
      <c r="D2242" s="3" t="inlineStr">
        <is>
          <t>Endure</t>
        </is>
      </c>
      <c r="E2242" s="3" t="inlineStr">
        <is>
          <t>MOVE_ENDURE</t>
        </is>
      </c>
    </row>
    <row r="2243">
      <c r="A2243" s="3" t="inlineStr">
        <is>
          <t>SPECIES_SWADLOON</t>
        </is>
      </c>
      <c r="B2243" s="3" t="inlineStr">
        <is>
          <t>Swadloon</t>
        </is>
      </c>
      <c r="C2243" s="3" t="n">
        <v>31</v>
      </c>
      <c r="D2243" s="3" t="inlineStr">
        <is>
          <t>Sticky Web</t>
        </is>
      </c>
      <c r="E2243" s="3" t="inlineStr">
        <is>
          <t>MOVE_STICKY_WEB</t>
        </is>
      </c>
    </row>
    <row r="2244">
      <c r="A2244" s="3" t="inlineStr">
        <is>
          <t>SPECIES_SWADLOON</t>
        </is>
      </c>
      <c r="B2244" s="3" t="inlineStr">
        <is>
          <t>Swadloon</t>
        </is>
      </c>
      <c r="C2244" s="3" t="n">
        <v>36</v>
      </c>
      <c r="D2244" s="3" t="inlineStr">
        <is>
          <t>Bug Buzz</t>
        </is>
      </c>
      <c r="E2244" s="3" t="inlineStr">
        <is>
          <t>MOVE_BUG_BUZZ</t>
        </is>
      </c>
    </row>
    <row r="2245">
      <c r="A2245" s="3" t="inlineStr">
        <is>
          <t>SPECIES_SWADLOON</t>
        </is>
      </c>
      <c r="B2245" s="3" t="inlineStr">
        <is>
          <t>Swadloon</t>
        </is>
      </c>
      <c r="C2245" s="3" t="n">
        <v>43</v>
      </c>
      <c r="D2245" s="3" t="inlineStr">
        <is>
          <t>Flail</t>
        </is>
      </c>
      <c r="E2245" s="3" t="inlineStr">
        <is>
          <t>MOVE_FLAIL</t>
        </is>
      </c>
    </row>
    <row r="2246">
      <c r="A2246" s="3" t="inlineStr">
        <is>
          <t>SPECIES_LEAVANNY</t>
        </is>
      </c>
      <c r="B2246" s="3" t="inlineStr">
        <is>
          <t>Leavanny</t>
        </is>
      </c>
      <c r="C2246" s="3" t="n">
        <v>0</v>
      </c>
      <c r="D2246" s="3" t="inlineStr">
        <is>
          <t>Slash</t>
        </is>
      </c>
      <c r="E2246" s="3" t="inlineStr">
        <is>
          <t>MOVE_SLASH</t>
        </is>
      </c>
    </row>
    <row r="2247">
      <c r="A2247" s="3" t="inlineStr">
        <is>
          <t>SPECIES_LEAVANNY</t>
        </is>
      </c>
      <c r="B2247" s="3" t="inlineStr">
        <is>
          <t>Leavanny</t>
        </is>
      </c>
      <c r="C2247" s="3" t="n">
        <v>1</v>
      </c>
      <c r="D2247" s="3" t="inlineStr">
        <is>
          <t>Bug Bite</t>
        </is>
      </c>
      <c r="E2247" s="3" t="inlineStr">
        <is>
          <t>MOVE_BUG_BITE</t>
        </is>
      </c>
    </row>
    <row r="2248">
      <c r="A2248" s="3" t="inlineStr">
        <is>
          <t>SPECIES_LEAVANNY</t>
        </is>
      </c>
      <c r="B2248" s="3" t="inlineStr">
        <is>
          <t>Leavanny</t>
        </is>
      </c>
      <c r="C2248" s="3" t="n">
        <v>1</v>
      </c>
      <c r="D2248" s="3" t="inlineStr">
        <is>
          <t>Tackle</t>
        </is>
      </c>
      <c r="E2248" s="3" t="inlineStr">
        <is>
          <t>MOVE_TACKLE</t>
        </is>
      </c>
    </row>
    <row r="2249">
      <c r="A2249" s="3" t="inlineStr">
        <is>
          <t>SPECIES_LEAVANNY</t>
        </is>
      </c>
      <c r="B2249" s="3" t="inlineStr">
        <is>
          <t>Leavanny</t>
        </is>
      </c>
      <c r="C2249" s="3" t="n">
        <v>1</v>
      </c>
      <c r="D2249" s="3" t="inlineStr">
        <is>
          <t>Razor Leaf</t>
        </is>
      </c>
      <c r="E2249" s="3" t="inlineStr">
        <is>
          <t>MOVE_RAZOR_LEAF</t>
        </is>
      </c>
    </row>
    <row r="2250">
      <c r="A2250" s="3" t="inlineStr">
        <is>
          <t>SPECIES_LEAVANNY</t>
        </is>
      </c>
      <c r="B2250" s="3" t="inlineStr">
        <is>
          <t>Leavanny</t>
        </is>
      </c>
      <c r="C2250" s="3" t="n">
        <v>1</v>
      </c>
      <c r="D2250" s="3" t="inlineStr">
        <is>
          <t>String Shot</t>
        </is>
      </c>
      <c r="E2250" s="3" t="inlineStr">
        <is>
          <t>MOVE_STRING_SHOT</t>
        </is>
      </c>
    </row>
    <row r="2251">
      <c r="A2251" s="3" t="inlineStr">
        <is>
          <t>SPECIES_LEAVANNY</t>
        </is>
      </c>
      <c r="B2251" s="3" t="inlineStr">
        <is>
          <t>Leavanny</t>
        </is>
      </c>
      <c r="C2251" s="3" t="n">
        <v>1</v>
      </c>
      <c r="D2251" s="3" t="inlineStr">
        <is>
          <t>False Swipe</t>
        </is>
      </c>
      <c r="E2251" s="3" t="inlineStr">
        <is>
          <t>MOVE_FALSE_SWIPE</t>
        </is>
      </c>
    </row>
    <row r="2252">
      <c r="A2252" s="3" t="inlineStr">
        <is>
          <t>SPECIES_LEAVANNY</t>
        </is>
      </c>
      <c r="B2252" s="3" t="inlineStr">
        <is>
          <t>Leavanny</t>
        </is>
      </c>
      <c r="C2252" s="3" t="n">
        <v>22</v>
      </c>
      <c r="D2252" s="3" t="inlineStr">
        <is>
          <t>Struggle Bug</t>
        </is>
      </c>
      <c r="E2252" s="3" t="inlineStr">
        <is>
          <t>MOVE_STRUGGLE_BUG</t>
        </is>
      </c>
    </row>
    <row r="2253">
      <c r="A2253" s="3" t="inlineStr">
        <is>
          <t>SPECIES_LEAVANNY</t>
        </is>
      </c>
      <c r="B2253" s="3" t="inlineStr">
        <is>
          <t>Leavanny</t>
        </is>
      </c>
      <c r="C2253" s="3" t="n">
        <v>29</v>
      </c>
      <c r="D2253" s="3" t="inlineStr">
        <is>
          <t>Fell Stinger</t>
        </is>
      </c>
      <c r="E2253" s="3" t="inlineStr">
        <is>
          <t>MOVE_FELL_STINGER</t>
        </is>
      </c>
    </row>
    <row r="2254">
      <c r="A2254" s="3" t="inlineStr">
        <is>
          <t>SPECIES_LEAVANNY</t>
        </is>
      </c>
      <c r="B2254" s="3" t="inlineStr">
        <is>
          <t>Leavanny</t>
        </is>
      </c>
      <c r="C2254" s="3" t="n">
        <v>32</v>
      </c>
      <c r="D2254" s="3" t="inlineStr">
        <is>
          <t>Helping Hand</t>
        </is>
      </c>
      <c r="E2254" s="3" t="inlineStr">
        <is>
          <t>MOVE_HELPING_HAND</t>
        </is>
      </c>
    </row>
    <row r="2255">
      <c r="A2255" s="3" t="inlineStr">
        <is>
          <t>SPECIES_LEAVANNY</t>
        </is>
      </c>
      <c r="B2255" s="3" t="inlineStr">
        <is>
          <t>Leavanny</t>
        </is>
      </c>
      <c r="C2255" s="3" t="n">
        <v>36</v>
      </c>
      <c r="D2255" s="3" t="inlineStr">
        <is>
          <t>Leaf Blade</t>
        </is>
      </c>
      <c r="E2255" s="3" t="inlineStr">
        <is>
          <t>MOVE_LEAF_BLADE</t>
        </is>
      </c>
    </row>
    <row r="2256">
      <c r="A2256" s="3" t="inlineStr">
        <is>
          <t>SPECIES_LEAVANNY</t>
        </is>
      </c>
      <c r="B2256" s="3" t="inlineStr">
        <is>
          <t>Leavanny</t>
        </is>
      </c>
      <c r="C2256" s="3" t="n">
        <v>39</v>
      </c>
      <c r="D2256" s="3" t="inlineStr">
        <is>
          <t>X-Scissor</t>
        </is>
      </c>
      <c r="E2256" s="3" t="inlineStr">
        <is>
          <t>MOVE_X_SCISSOR</t>
        </is>
      </c>
    </row>
    <row r="2257">
      <c r="A2257" s="3" t="inlineStr">
        <is>
          <t>SPECIES_LEAVANNY</t>
        </is>
      </c>
      <c r="B2257" s="3" t="inlineStr">
        <is>
          <t>Leavanny</t>
        </is>
      </c>
      <c r="C2257" s="3" t="n">
        <v>43</v>
      </c>
      <c r="D2257" s="3" t="inlineStr">
        <is>
          <t>Entrainment</t>
        </is>
      </c>
      <c r="E2257" s="3" t="inlineStr">
        <is>
          <t>MOVE_ENTRAINMENT</t>
        </is>
      </c>
    </row>
    <row r="2258">
      <c r="A2258" s="3" t="inlineStr">
        <is>
          <t>SPECIES_LEAVANNY</t>
        </is>
      </c>
      <c r="B2258" s="3" t="inlineStr">
        <is>
          <t>Leavanny</t>
        </is>
      </c>
      <c r="C2258" s="3" t="n">
        <v>46</v>
      </c>
      <c r="D2258" s="3" t="inlineStr">
        <is>
          <t>Swords Dance</t>
        </is>
      </c>
      <c r="E2258" s="3" t="inlineStr">
        <is>
          <t>MOVE_SWORDS_DANCE</t>
        </is>
      </c>
    </row>
    <row r="2259">
      <c r="A2259" s="3" t="inlineStr">
        <is>
          <t>SPECIES_LEAVANNY</t>
        </is>
      </c>
      <c r="B2259" s="3" t="inlineStr">
        <is>
          <t>Leavanny</t>
        </is>
      </c>
      <c r="C2259" s="3" t="n">
        <v>50</v>
      </c>
      <c r="D2259" s="3" t="inlineStr">
        <is>
          <t>Leaf Storm</t>
        </is>
      </c>
      <c r="E2259" s="3" t="inlineStr">
        <is>
          <t>MOVE_LEAF_STORM</t>
        </is>
      </c>
    </row>
    <row r="2260">
      <c r="A2260" s="3" t="inlineStr">
        <is>
          <t>SPECIES_VENIPEDE</t>
        </is>
      </c>
      <c r="B2260" s="3" t="inlineStr">
        <is>
          <t>Venipede</t>
        </is>
      </c>
      <c r="C2260" s="3" t="n">
        <v>1</v>
      </c>
      <c r="D2260" s="3" t="inlineStr">
        <is>
          <t>Poison Sting</t>
        </is>
      </c>
      <c r="E2260" s="3" t="inlineStr">
        <is>
          <t>MOVE_POISON_STING</t>
        </is>
      </c>
    </row>
    <row r="2261">
      <c r="A2261" s="3" t="inlineStr">
        <is>
          <t>SPECIES_VENIPEDE</t>
        </is>
      </c>
      <c r="B2261" s="3" t="inlineStr">
        <is>
          <t>Venipede</t>
        </is>
      </c>
      <c r="C2261" s="3" t="n">
        <v>1</v>
      </c>
      <c r="D2261" s="3" t="inlineStr">
        <is>
          <t>Defense Curl</t>
        </is>
      </c>
      <c r="E2261" s="3" t="inlineStr">
        <is>
          <t>MOVE_DEFENSE_CURL</t>
        </is>
      </c>
    </row>
    <row r="2262">
      <c r="A2262" s="3" t="inlineStr">
        <is>
          <t>SPECIES_VENIPEDE</t>
        </is>
      </c>
      <c r="B2262" s="3" t="inlineStr">
        <is>
          <t>Venipede</t>
        </is>
      </c>
      <c r="C2262" s="3" t="n">
        <v>4</v>
      </c>
      <c r="D2262" s="3" t="inlineStr">
        <is>
          <t>Rollout</t>
        </is>
      </c>
      <c r="E2262" s="3" t="inlineStr">
        <is>
          <t>MOVE_ROLLOUT</t>
        </is>
      </c>
    </row>
    <row r="2263">
      <c r="A2263" s="3" t="inlineStr">
        <is>
          <t>SPECIES_VENIPEDE</t>
        </is>
      </c>
      <c r="B2263" s="3" t="inlineStr">
        <is>
          <t>Venipede</t>
        </is>
      </c>
      <c r="C2263" s="3" t="n">
        <v>8</v>
      </c>
      <c r="D2263" s="3" t="inlineStr">
        <is>
          <t>Protect</t>
        </is>
      </c>
      <c r="E2263" s="3" t="inlineStr">
        <is>
          <t>MOVE_PROTECT</t>
        </is>
      </c>
    </row>
    <row r="2264">
      <c r="A2264" s="3" t="inlineStr">
        <is>
          <t>SPECIES_VENIPEDE</t>
        </is>
      </c>
      <c r="B2264" s="3" t="inlineStr">
        <is>
          <t>Venipede</t>
        </is>
      </c>
      <c r="C2264" s="3" t="n">
        <v>12</v>
      </c>
      <c r="D2264" s="3" t="inlineStr">
        <is>
          <t>Poison Tail</t>
        </is>
      </c>
      <c r="E2264" s="3" t="inlineStr">
        <is>
          <t>MOVE_POISON_TAIL</t>
        </is>
      </c>
    </row>
    <row r="2265">
      <c r="A2265" s="3" t="inlineStr">
        <is>
          <t>SPECIES_VENIPEDE</t>
        </is>
      </c>
      <c r="B2265" s="3" t="inlineStr">
        <is>
          <t>Venipede</t>
        </is>
      </c>
      <c r="C2265" s="3" t="n">
        <v>16</v>
      </c>
      <c r="D2265" s="3" t="inlineStr">
        <is>
          <t>Screech</t>
        </is>
      </c>
      <c r="E2265" s="3" t="inlineStr">
        <is>
          <t>MOVE_SCREECH</t>
        </is>
      </c>
    </row>
    <row r="2266">
      <c r="A2266" s="3" t="inlineStr">
        <is>
          <t>SPECIES_VENIPEDE</t>
        </is>
      </c>
      <c r="B2266" s="3" t="inlineStr">
        <is>
          <t>Venipede</t>
        </is>
      </c>
      <c r="C2266" s="3" t="n">
        <v>20</v>
      </c>
      <c r="D2266" s="3" t="inlineStr">
        <is>
          <t>Bug Bite</t>
        </is>
      </c>
      <c r="E2266" s="3" t="inlineStr">
        <is>
          <t>MOVE_BUG_BITE</t>
        </is>
      </c>
    </row>
    <row r="2267">
      <c r="A2267" s="3" t="inlineStr">
        <is>
          <t>SPECIES_VENIPEDE</t>
        </is>
      </c>
      <c r="B2267" s="3" t="inlineStr">
        <is>
          <t>Venipede</t>
        </is>
      </c>
      <c r="C2267" s="3" t="n">
        <v>24</v>
      </c>
      <c r="D2267" s="3" t="inlineStr">
        <is>
          <t>Venoshock</t>
        </is>
      </c>
      <c r="E2267" s="3" t="inlineStr">
        <is>
          <t>MOVE_VENOSHOCK</t>
        </is>
      </c>
    </row>
    <row r="2268">
      <c r="A2268" s="3" t="inlineStr">
        <is>
          <t>SPECIES_VENIPEDE</t>
        </is>
      </c>
      <c r="B2268" s="3" t="inlineStr">
        <is>
          <t>Venipede</t>
        </is>
      </c>
      <c r="C2268" s="3" t="n">
        <v>28</v>
      </c>
      <c r="D2268" s="3" t="inlineStr">
        <is>
          <t>Take Down</t>
        </is>
      </c>
      <c r="E2268" s="3" t="inlineStr">
        <is>
          <t>MOVE_TAKE_DOWN</t>
        </is>
      </c>
    </row>
    <row r="2269">
      <c r="A2269" s="3" t="inlineStr">
        <is>
          <t>SPECIES_VENIPEDE</t>
        </is>
      </c>
      <c r="B2269" s="3" t="inlineStr">
        <is>
          <t>Venipede</t>
        </is>
      </c>
      <c r="C2269" s="3" t="n">
        <v>32</v>
      </c>
      <c r="D2269" s="3" t="inlineStr">
        <is>
          <t>Agility</t>
        </is>
      </c>
      <c r="E2269" s="3" t="inlineStr">
        <is>
          <t>MOVE_AGILITY</t>
        </is>
      </c>
    </row>
    <row r="2270">
      <c r="A2270" s="3" t="inlineStr">
        <is>
          <t>SPECIES_VENIPEDE</t>
        </is>
      </c>
      <c r="B2270" s="3" t="inlineStr">
        <is>
          <t>Venipede</t>
        </is>
      </c>
      <c r="C2270" s="3" t="n">
        <v>36</v>
      </c>
      <c r="D2270" s="3" t="inlineStr">
        <is>
          <t>Toxic</t>
        </is>
      </c>
      <c r="E2270" s="3" t="inlineStr">
        <is>
          <t>MOVE_TOXIC</t>
        </is>
      </c>
    </row>
    <row r="2271">
      <c r="A2271" s="3" t="inlineStr">
        <is>
          <t>SPECIES_VENIPEDE</t>
        </is>
      </c>
      <c r="B2271" s="3" t="inlineStr">
        <is>
          <t>Venipede</t>
        </is>
      </c>
      <c r="C2271" s="3" t="n">
        <v>40</v>
      </c>
      <c r="D2271" s="3" t="inlineStr">
        <is>
          <t>Venom Drench</t>
        </is>
      </c>
      <c r="E2271" s="3" t="inlineStr">
        <is>
          <t>MOVE_VENOM_DRENCH</t>
        </is>
      </c>
    </row>
    <row r="2272">
      <c r="A2272" s="3" t="inlineStr">
        <is>
          <t>SPECIES_VENIPEDE</t>
        </is>
      </c>
      <c r="B2272" s="3" t="inlineStr">
        <is>
          <t>Venipede</t>
        </is>
      </c>
      <c r="C2272" s="3" t="n">
        <v>44</v>
      </c>
      <c r="D2272" s="3" t="inlineStr">
        <is>
          <t>Double-Edge</t>
        </is>
      </c>
      <c r="E2272" s="3" t="inlineStr">
        <is>
          <t>MOVE_DOUBLE_EDGE</t>
        </is>
      </c>
    </row>
    <row r="2273">
      <c r="A2273" s="3" t="inlineStr">
        <is>
          <t>SPECIES_WHIRLIPEDE</t>
        </is>
      </c>
      <c r="B2273" s="3" t="inlineStr">
        <is>
          <t>Whirlipede</t>
        </is>
      </c>
      <c r="C2273" s="3" t="n">
        <v>0</v>
      </c>
      <c r="D2273" s="3" t="inlineStr">
        <is>
          <t>Iron Defense</t>
        </is>
      </c>
      <c r="E2273" s="3" t="inlineStr">
        <is>
          <t>MOVE_IRON_DEFENSE</t>
        </is>
      </c>
    </row>
    <row r="2274">
      <c r="A2274" s="3" t="inlineStr">
        <is>
          <t>SPECIES_WHIRLIPEDE</t>
        </is>
      </c>
      <c r="B2274" s="3" t="inlineStr">
        <is>
          <t>Whirlipede</t>
        </is>
      </c>
      <c r="C2274" s="3" t="n">
        <v>1</v>
      </c>
      <c r="D2274" s="3" t="inlineStr">
        <is>
          <t>Iron Defense</t>
        </is>
      </c>
      <c r="E2274" s="3" t="inlineStr">
        <is>
          <t>MOVE_IRON_DEFENSE</t>
        </is>
      </c>
    </row>
    <row r="2275">
      <c r="A2275" s="3" t="inlineStr">
        <is>
          <t>SPECIES_WHIRLIPEDE</t>
        </is>
      </c>
      <c r="B2275" s="3" t="inlineStr">
        <is>
          <t>Whirlipede</t>
        </is>
      </c>
      <c r="C2275" s="3" t="n">
        <v>1</v>
      </c>
      <c r="D2275" s="3" t="inlineStr">
        <is>
          <t>Poison Sting</t>
        </is>
      </c>
      <c r="E2275" s="3" t="inlineStr">
        <is>
          <t>MOVE_POISON_STING</t>
        </is>
      </c>
    </row>
    <row r="2276">
      <c r="A2276" s="3" t="inlineStr">
        <is>
          <t>SPECIES_WHIRLIPEDE</t>
        </is>
      </c>
      <c r="B2276" s="3" t="inlineStr">
        <is>
          <t>Whirlipede</t>
        </is>
      </c>
      <c r="C2276" s="3" t="n">
        <v>1</v>
      </c>
      <c r="D2276" s="3" t="inlineStr">
        <is>
          <t>Defense Curl</t>
        </is>
      </c>
      <c r="E2276" s="3" t="inlineStr">
        <is>
          <t>MOVE_DEFENSE_CURL</t>
        </is>
      </c>
    </row>
    <row r="2277">
      <c r="A2277" s="3" t="inlineStr">
        <is>
          <t>SPECIES_WHIRLIPEDE</t>
        </is>
      </c>
      <c r="B2277" s="3" t="inlineStr">
        <is>
          <t>Whirlipede</t>
        </is>
      </c>
      <c r="C2277" s="3" t="n">
        <v>1</v>
      </c>
      <c r="D2277" s="3" t="inlineStr">
        <is>
          <t>Rollout</t>
        </is>
      </c>
      <c r="E2277" s="3" t="inlineStr">
        <is>
          <t>MOVE_ROLLOUT</t>
        </is>
      </c>
    </row>
    <row r="2278">
      <c r="A2278" s="3" t="inlineStr">
        <is>
          <t>SPECIES_WHIRLIPEDE</t>
        </is>
      </c>
      <c r="B2278" s="3" t="inlineStr">
        <is>
          <t>Whirlipede</t>
        </is>
      </c>
      <c r="C2278" s="3" t="n">
        <v>1</v>
      </c>
      <c r="D2278" s="3" t="inlineStr">
        <is>
          <t>Protect</t>
        </is>
      </c>
      <c r="E2278" s="3" t="inlineStr">
        <is>
          <t>MOVE_PROTECT</t>
        </is>
      </c>
    </row>
    <row r="2279">
      <c r="A2279" s="3" t="inlineStr">
        <is>
          <t>SPECIES_WHIRLIPEDE</t>
        </is>
      </c>
      <c r="B2279" s="3" t="inlineStr">
        <is>
          <t>Whirlipede</t>
        </is>
      </c>
      <c r="C2279" s="3" t="n">
        <v>12</v>
      </c>
      <c r="D2279" s="3" t="inlineStr">
        <is>
          <t>Poison Tail</t>
        </is>
      </c>
      <c r="E2279" s="3" t="inlineStr">
        <is>
          <t>MOVE_POISON_TAIL</t>
        </is>
      </c>
    </row>
    <row r="2280">
      <c r="A2280" s="3" t="inlineStr">
        <is>
          <t>SPECIES_WHIRLIPEDE</t>
        </is>
      </c>
      <c r="B2280" s="3" t="inlineStr">
        <is>
          <t>Whirlipede</t>
        </is>
      </c>
      <c r="C2280" s="3" t="n">
        <v>16</v>
      </c>
      <c r="D2280" s="3" t="inlineStr">
        <is>
          <t>Screech</t>
        </is>
      </c>
      <c r="E2280" s="3" t="inlineStr">
        <is>
          <t>MOVE_SCREECH</t>
        </is>
      </c>
    </row>
    <row r="2281">
      <c r="A2281" s="3" t="inlineStr">
        <is>
          <t>SPECIES_WHIRLIPEDE</t>
        </is>
      </c>
      <c r="B2281" s="3" t="inlineStr">
        <is>
          <t>Whirlipede</t>
        </is>
      </c>
      <c r="C2281" s="3" t="n">
        <v>20</v>
      </c>
      <c r="D2281" s="3" t="inlineStr">
        <is>
          <t>Bug Bite</t>
        </is>
      </c>
      <c r="E2281" s="3" t="inlineStr">
        <is>
          <t>MOVE_BUG_BITE</t>
        </is>
      </c>
    </row>
    <row r="2282">
      <c r="A2282" s="3" t="inlineStr">
        <is>
          <t>SPECIES_WHIRLIPEDE</t>
        </is>
      </c>
      <c r="B2282" s="3" t="inlineStr">
        <is>
          <t>Whirlipede</t>
        </is>
      </c>
      <c r="C2282" s="3" t="n">
        <v>26</v>
      </c>
      <c r="D2282" s="3" t="inlineStr">
        <is>
          <t>Venoshock</t>
        </is>
      </c>
      <c r="E2282" s="3" t="inlineStr">
        <is>
          <t>MOVE_VENOSHOCK</t>
        </is>
      </c>
    </row>
    <row r="2283">
      <c r="A2283" s="3" t="inlineStr">
        <is>
          <t>SPECIES_WHIRLIPEDE</t>
        </is>
      </c>
      <c r="B2283" s="3" t="inlineStr">
        <is>
          <t>Whirlipede</t>
        </is>
      </c>
      <c r="C2283" s="3" t="n">
        <v>32</v>
      </c>
      <c r="D2283" s="3" t="inlineStr">
        <is>
          <t>Take Down</t>
        </is>
      </c>
      <c r="E2283" s="3" t="inlineStr">
        <is>
          <t>MOVE_TAKE_DOWN</t>
        </is>
      </c>
    </row>
    <row r="2284">
      <c r="A2284" s="3" t="inlineStr">
        <is>
          <t>SPECIES_WHIRLIPEDE</t>
        </is>
      </c>
      <c r="B2284" s="3" t="inlineStr">
        <is>
          <t>Whirlipede</t>
        </is>
      </c>
      <c r="C2284" s="3" t="n">
        <v>38</v>
      </c>
      <c r="D2284" s="3" t="inlineStr">
        <is>
          <t>Agility</t>
        </is>
      </c>
      <c r="E2284" s="3" t="inlineStr">
        <is>
          <t>MOVE_AGILITY</t>
        </is>
      </c>
    </row>
    <row r="2285">
      <c r="A2285" s="3" t="inlineStr">
        <is>
          <t>SPECIES_WHIRLIPEDE</t>
        </is>
      </c>
      <c r="B2285" s="3" t="inlineStr">
        <is>
          <t>Whirlipede</t>
        </is>
      </c>
      <c r="C2285" s="3" t="n">
        <v>44</v>
      </c>
      <c r="D2285" s="3" t="inlineStr">
        <is>
          <t>Toxic</t>
        </is>
      </c>
      <c r="E2285" s="3" t="inlineStr">
        <is>
          <t>MOVE_TOXIC</t>
        </is>
      </c>
    </row>
    <row r="2286">
      <c r="A2286" s="3" t="inlineStr">
        <is>
          <t>SPECIES_WHIRLIPEDE</t>
        </is>
      </c>
      <c r="B2286" s="3" t="inlineStr">
        <is>
          <t>Whirlipede</t>
        </is>
      </c>
      <c r="C2286" s="3" t="n">
        <v>50</v>
      </c>
      <c r="D2286" s="3" t="inlineStr">
        <is>
          <t>Venom Drench</t>
        </is>
      </c>
      <c r="E2286" s="3" t="inlineStr">
        <is>
          <t>MOVE_VENOM_DRENCH</t>
        </is>
      </c>
    </row>
    <row r="2287">
      <c r="A2287" s="3" t="inlineStr">
        <is>
          <t>SPECIES_WHIRLIPEDE</t>
        </is>
      </c>
      <c r="B2287" s="3" t="inlineStr">
        <is>
          <t>Whirlipede</t>
        </is>
      </c>
      <c r="C2287" s="3" t="n">
        <v>56</v>
      </c>
      <c r="D2287" s="3" t="inlineStr">
        <is>
          <t>Double-Edge</t>
        </is>
      </c>
      <c r="E2287" s="3" t="inlineStr">
        <is>
          <t>MOVE_DOUBLE_EDGE</t>
        </is>
      </c>
    </row>
    <row r="2288">
      <c r="A2288" s="3" t="inlineStr">
        <is>
          <t>SPECIES_SCOLIPEDE</t>
        </is>
      </c>
      <c r="B2288" s="3" t="inlineStr">
        <is>
          <t>Scolipede</t>
        </is>
      </c>
      <c r="C2288" s="3" t="n">
        <v>1</v>
      </c>
      <c r="D2288" s="3" t="inlineStr">
        <is>
          <t>Iron Defense</t>
        </is>
      </c>
      <c r="E2288" s="3" t="inlineStr">
        <is>
          <t>MOVE_IRON_DEFENSE</t>
        </is>
      </c>
    </row>
    <row r="2289">
      <c r="A2289" s="3" t="inlineStr">
        <is>
          <t>SPECIES_SCOLIPEDE</t>
        </is>
      </c>
      <c r="B2289" s="3" t="inlineStr">
        <is>
          <t>Scolipede</t>
        </is>
      </c>
      <c r="C2289" s="3" t="n">
        <v>1</v>
      </c>
      <c r="D2289" s="3" t="inlineStr">
        <is>
          <t>Baton Pass</t>
        </is>
      </c>
      <c r="E2289" s="3" t="inlineStr">
        <is>
          <t>MOVE_BATON_PASS</t>
        </is>
      </c>
    </row>
    <row r="2290">
      <c r="A2290" s="3" t="inlineStr">
        <is>
          <t>SPECIES_SCOLIPEDE</t>
        </is>
      </c>
      <c r="B2290" s="3" t="inlineStr">
        <is>
          <t>Scolipede</t>
        </is>
      </c>
      <c r="C2290" s="3" t="n">
        <v>1</v>
      </c>
      <c r="D2290" s="3" t="inlineStr">
        <is>
          <t>Poison Sting</t>
        </is>
      </c>
      <c r="E2290" s="3" t="inlineStr">
        <is>
          <t>MOVE_POISON_STING</t>
        </is>
      </c>
    </row>
    <row r="2291">
      <c r="A2291" s="3" t="inlineStr">
        <is>
          <t>SPECIES_SCOLIPEDE</t>
        </is>
      </c>
      <c r="B2291" s="3" t="inlineStr">
        <is>
          <t>Scolipede</t>
        </is>
      </c>
      <c r="C2291" s="3" t="n">
        <v>1</v>
      </c>
      <c r="D2291" s="3" t="inlineStr">
        <is>
          <t>Defense Curl</t>
        </is>
      </c>
      <c r="E2291" s="3" t="inlineStr">
        <is>
          <t>MOVE_DEFENSE_CURL</t>
        </is>
      </c>
    </row>
    <row r="2292">
      <c r="A2292" s="3" t="inlineStr">
        <is>
          <t>SPECIES_SCOLIPEDE</t>
        </is>
      </c>
      <c r="B2292" s="3" t="inlineStr">
        <is>
          <t>Scolipede</t>
        </is>
      </c>
      <c r="C2292" s="3" t="n">
        <v>1</v>
      </c>
      <c r="D2292" s="3" t="inlineStr">
        <is>
          <t>Rollout</t>
        </is>
      </c>
      <c r="E2292" s="3" t="inlineStr">
        <is>
          <t>MOVE_ROLLOUT</t>
        </is>
      </c>
    </row>
    <row r="2293">
      <c r="A2293" s="3" t="inlineStr">
        <is>
          <t>SPECIES_SCOLIPEDE</t>
        </is>
      </c>
      <c r="B2293" s="3" t="inlineStr">
        <is>
          <t>Scolipede</t>
        </is>
      </c>
      <c r="C2293" s="3" t="n">
        <v>1</v>
      </c>
      <c r="D2293" s="3" t="inlineStr">
        <is>
          <t>Protect</t>
        </is>
      </c>
      <c r="E2293" s="3" t="inlineStr">
        <is>
          <t>MOVE_PROTECT</t>
        </is>
      </c>
    </row>
    <row r="2294">
      <c r="A2294" s="3" t="inlineStr">
        <is>
          <t>SPECIES_SCOLIPEDE</t>
        </is>
      </c>
      <c r="B2294" s="3" t="inlineStr">
        <is>
          <t>Scolipede</t>
        </is>
      </c>
      <c r="C2294" s="3" t="n">
        <v>12</v>
      </c>
      <c r="D2294" s="3" t="inlineStr">
        <is>
          <t>Poison Tail</t>
        </is>
      </c>
      <c r="E2294" s="3" t="inlineStr">
        <is>
          <t>MOVE_POISON_TAIL</t>
        </is>
      </c>
    </row>
    <row r="2295">
      <c r="A2295" s="3" t="inlineStr">
        <is>
          <t>SPECIES_SCOLIPEDE</t>
        </is>
      </c>
      <c r="B2295" s="3" t="inlineStr">
        <is>
          <t>Scolipede</t>
        </is>
      </c>
      <c r="C2295" s="3" t="n">
        <v>16</v>
      </c>
      <c r="D2295" s="3" t="inlineStr">
        <is>
          <t>Screech</t>
        </is>
      </c>
      <c r="E2295" s="3" t="inlineStr">
        <is>
          <t>MOVE_SCREECH</t>
        </is>
      </c>
    </row>
    <row r="2296">
      <c r="A2296" s="3" t="inlineStr">
        <is>
          <t>SPECIES_SCOLIPEDE</t>
        </is>
      </c>
      <c r="B2296" s="3" t="inlineStr">
        <is>
          <t>Scolipede</t>
        </is>
      </c>
      <c r="C2296" s="3" t="n">
        <v>20</v>
      </c>
      <c r="D2296" s="3" t="inlineStr">
        <is>
          <t>Bug Bite</t>
        </is>
      </c>
      <c r="E2296" s="3" t="inlineStr">
        <is>
          <t>MOVE_BUG_BITE</t>
        </is>
      </c>
    </row>
    <row r="2297">
      <c r="A2297" s="3" t="inlineStr">
        <is>
          <t>SPECIES_SCOLIPEDE</t>
        </is>
      </c>
      <c r="B2297" s="3" t="inlineStr">
        <is>
          <t>Scolipede</t>
        </is>
      </c>
      <c r="C2297" s="3" t="n">
        <v>26</v>
      </c>
      <c r="D2297" s="3" t="inlineStr">
        <is>
          <t>Venoshock</t>
        </is>
      </c>
      <c r="E2297" s="3" t="inlineStr">
        <is>
          <t>MOVE_VENOSHOCK</t>
        </is>
      </c>
    </row>
    <row r="2298">
      <c r="A2298" s="3" t="inlineStr">
        <is>
          <t>SPECIES_SCOLIPEDE</t>
        </is>
      </c>
      <c r="B2298" s="3" t="inlineStr">
        <is>
          <t>Scolipede</t>
        </is>
      </c>
      <c r="C2298" s="3" t="n">
        <v>34</v>
      </c>
      <c r="D2298" s="3" t="inlineStr">
        <is>
          <t>Take Down</t>
        </is>
      </c>
      <c r="E2298" s="3" t="inlineStr">
        <is>
          <t>MOVE_TAKE_DOWN</t>
        </is>
      </c>
    </row>
    <row r="2299">
      <c r="A2299" s="3" t="inlineStr">
        <is>
          <t>SPECIES_SCOLIPEDE</t>
        </is>
      </c>
      <c r="B2299" s="3" t="inlineStr">
        <is>
          <t>Scolipede</t>
        </is>
      </c>
      <c r="C2299" s="3" t="n">
        <v>42</v>
      </c>
      <c r="D2299" s="3" t="inlineStr">
        <is>
          <t>Agility</t>
        </is>
      </c>
      <c r="E2299" s="3" t="inlineStr">
        <is>
          <t>MOVE_AGILITY</t>
        </is>
      </c>
    </row>
    <row r="2300">
      <c r="A2300" s="3" t="inlineStr">
        <is>
          <t>SPECIES_SCOLIPEDE</t>
        </is>
      </c>
      <c r="B2300" s="3" t="inlineStr">
        <is>
          <t>Scolipede</t>
        </is>
      </c>
      <c r="C2300" s="3" t="n">
        <v>50</v>
      </c>
      <c r="D2300" s="3" t="inlineStr">
        <is>
          <t>Toxic</t>
        </is>
      </c>
      <c r="E2300" s="3" t="inlineStr">
        <is>
          <t>MOVE_TOXIC</t>
        </is>
      </c>
    </row>
    <row r="2301">
      <c r="A2301" s="3" t="inlineStr">
        <is>
          <t>SPECIES_SCOLIPEDE</t>
        </is>
      </c>
      <c r="B2301" s="3" t="inlineStr">
        <is>
          <t>Scolipede</t>
        </is>
      </c>
      <c r="C2301" s="3" t="n">
        <v>58</v>
      </c>
      <c r="D2301" s="3" t="inlineStr">
        <is>
          <t>Venom Drench</t>
        </is>
      </c>
      <c r="E2301" s="3" t="inlineStr">
        <is>
          <t>MOVE_VENOM_DRENCH</t>
        </is>
      </c>
    </row>
    <row r="2302">
      <c r="A2302" s="3" t="inlineStr">
        <is>
          <t>SPECIES_SCOLIPEDE</t>
        </is>
      </c>
      <c r="B2302" s="3" t="inlineStr">
        <is>
          <t>Scolipede</t>
        </is>
      </c>
      <c r="C2302" s="3" t="n">
        <v>66</v>
      </c>
      <c r="D2302" s="3" t="inlineStr">
        <is>
          <t>Double-Edge</t>
        </is>
      </c>
      <c r="E2302" s="3" t="inlineStr">
        <is>
          <t>MOVE_DOUBLE_EDGE</t>
        </is>
      </c>
    </row>
    <row r="2303">
      <c r="A2303" s="3" t="inlineStr">
        <is>
          <t>SPECIES_SCOLIPEDE</t>
        </is>
      </c>
      <c r="B2303" s="3" t="inlineStr">
        <is>
          <t>Scolipede</t>
        </is>
      </c>
      <c r="C2303" s="3" t="n">
        <v>74</v>
      </c>
      <c r="D2303" s="3" t="inlineStr">
        <is>
          <t>Megahorn</t>
        </is>
      </c>
      <c r="E2303" s="3" t="inlineStr">
        <is>
          <t>MOVE_MEGAHORN</t>
        </is>
      </c>
    </row>
    <row r="2304">
      <c r="A2304" s="3" t="inlineStr">
        <is>
          <t>SPECIES_PETILIL</t>
        </is>
      </c>
      <c r="B2304" s="3" t="inlineStr">
        <is>
          <t>Petilil</t>
        </is>
      </c>
      <c r="C2304" s="3" t="n">
        <v>1</v>
      </c>
      <c r="D2304" s="3" t="inlineStr">
        <is>
          <t>Absorb</t>
        </is>
      </c>
      <c r="E2304" s="3" t="inlineStr">
        <is>
          <t>MOVE_ABSORB</t>
        </is>
      </c>
    </row>
    <row r="2305">
      <c r="A2305" s="3" t="inlineStr">
        <is>
          <t>SPECIES_PETILIL</t>
        </is>
      </c>
      <c r="B2305" s="3" t="inlineStr">
        <is>
          <t>Petilil</t>
        </is>
      </c>
      <c r="C2305" s="3" t="n">
        <v>1</v>
      </c>
      <c r="D2305" s="3" t="inlineStr">
        <is>
          <t>Growth</t>
        </is>
      </c>
      <c r="E2305" s="3" t="inlineStr">
        <is>
          <t>MOVE_GROWTH</t>
        </is>
      </c>
    </row>
    <row r="2306">
      <c r="A2306" s="3" t="inlineStr">
        <is>
          <t>SPECIES_PETILIL</t>
        </is>
      </c>
      <c r="B2306" s="3" t="inlineStr">
        <is>
          <t>Petilil</t>
        </is>
      </c>
      <c r="C2306" s="3" t="n">
        <v>3</v>
      </c>
      <c r="D2306" s="3" t="inlineStr">
        <is>
          <t>Helping Hand</t>
        </is>
      </c>
      <c r="E2306" s="3" t="inlineStr">
        <is>
          <t>MOVE_HELPING_HAND</t>
        </is>
      </c>
    </row>
    <row r="2307">
      <c r="A2307" s="3" t="inlineStr">
        <is>
          <t>SPECIES_PETILIL</t>
        </is>
      </c>
      <c r="B2307" s="3" t="inlineStr">
        <is>
          <t>Petilil</t>
        </is>
      </c>
      <c r="C2307" s="3" t="n">
        <v>6</v>
      </c>
      <c r="D2307" s="3" t="inlineStr">
        <is>
          <t>Stun Spore</t>
        </is>
      </c>
      <c r="E2307" s="3" t="inlineStr">
        <is>
          <t>MOVE_STUN_SPORE</t>
        </is>
      </c>
    </row>
    <row r="2308">
      <c r="A2308" s="3" t="inlineStr">
        <is>
          <t>SPECIES_PETILIL</t>
        </is>
      </c>
      <c r="B2308" s="3" t="inlineStr">
        <is>
          <t>Petilil</t>
        </is>
      </c>
      <c r="C2308" s="3" t="n">
        <v>9</v>
      </c>
      <c r="D2308" s="3" t="inlineStr">
        <is>
          <t>Mega Drain</t>
        </is>
      </c>
      <c r="E2308" s="3" t="inlineStr">
        <is>
          <t>MOVE_MEGA_DRAIN</t>
        </is>
      </c>
    </row>
    <row r="2309">
      <c r="A2309" s="3" t="inlineStr">
        <is>
          <t>SPECIES_PETILIL</t>
        </is>
      </c>
      <c r="B2309" s="3" t="inlineStr">
        <is>
          <t>Petilil</t>
        </is>
      </c>
      <c r="C2309" s="3" t="n">
        <v>12</v>
      </c>
      <c r="D2309" s="3" t="inlineStr">
        <is>
          <t>Charm</t>
        </is>
      </c>
      <c r="E2309" s="3" t="inlineStr">
        <is>
          <t>MOVE_CHARM</t>
        </is>
      </c>
    </row>
    <row r="2310">
      <c r="A2310" s="3" t="inlineStr">
        <is>
          <t>SPECIES_PETILIL</t>
        </is>
      </c>
      <c r="B2310" s="3" t="inlineStr">
        <is>
          <t>Petilil</t>
        </is>
      </c>
      <c r="C2310" s="3" t="n">
        <v>15</v>
      </c>
      <c r="D2310" s="3" t="inlineStr">
        <is>
          <t>Magical Leaf</t>
        </is>
      </c>
      <c r="E2310" s="3" t="inlineStr">
        <is>
          <t>MOVE_MAGICAL_LEAF</t>
        </is>
      </c>
    </row>
    <row r="2311">
      <c r="A2311" s="3" t="inlineStr">
        <is>
          <t>SPECIES_PETILIL</t>
        </is>
      </c>
      <c r="B2311" s="3" t="inlineStr">
        <is>
          <t>Petilil</t>
        </is>
      </c>
      <c r="C2311" s="3" t="n">
        <v>18</v>
      </c>
      <c r="D2311" s="3" t="inlineStr">
        <is>
          <t>Sleep Powder</t>
        </is>
      </c>
      <c r="E2311" s="3" t="inlineStr">
        <is>
          <t>MOVE_SLEEP_POWDER</t>
        </is>
      </c>
    </row>
    <row r="2312">
      <c r="A2312" s="3" t="inlineStr">
        <is>
          <t>SPECIES_PETILIL</t>
        </is>
      </c>
      <c r="B2312" s="3" t="inlineStr">
        <is>
          <t>Petilil</t>
        </is>
      </c>
      <c r="C2312" s="3" t="n">
        <v>21</v>
      </c>
      <c r="D2312" s="3" t="inlineStr">
        <is>
          <t>Giga Drain</t>
        </is>
      </c>
      <c r="E2312" s="3" t="inlineStr">
        <is>
          <t>MOVE_GIGA_DRAIN</t>
        </is>
      </c>
    </row>
    <row r="2313">
      <c r="A2313" s="3" t="inlineStr">
        <is>
          <t>SPECIES_PETILIL</t>
        </is>
      </c>
      <c r="B2313" s="3" t="inlineStr">
        <is>
          <t>Petilil</t>
        </is>
      </c>
      <c r="C2313" s="3" t="n">
        <v>24</v>
      </c>
      <c r="D2313" s="3" t="inlineStr">
        <is>
          <t>Leech Seed</t>
        </is>
      </c>
      <c r="E2313" s="3" t="inlineStr">
        <is>
          <t>MOVE_LEECH_SEED</t>
        </is>
      </c>
    </row>
    <row r="2314">
      <c r="A2314" s="3" t="inlineStr">
        <is>
          <t>SPECIES_PETILIL</t>
        </is>
      </c>
      <c r="B2314" s="3" t="inlineStr">
        <is>
          <t>Petilil</t>
        </is>
      </c>
      <c r="C2314" s="3" t="n">
        <v>27</v>
      </c>
      <c r="D2314" s="3" t="inlineStr">
        <is>
          <t>After You</t>
        </is>
      </c>
      <c r="E2314" s="3" t="inlineStr">
        <is>
          <t>MOVE_AFTER_YOU</t>
        </is>
      </c>
    </row>
    <row r="2315">
      <c r="A2315" s="3" t="inlineStr">
        <is>
          <t>SPECIES_PETILIL</t>
        </is>
      </c>
      <c r="B2315" s="3" t="inlineStr">
        <is>
          <t>Petilil</t>
        </is>
      </c>
      <c r="C2315" s="3" t="n">
        <v>30</v>
      </c>
      <c r="D2315" s="3" t="inlineStr">
        <is>
          <t>Energy Ball</t>
        </is>
      </c>
      <c r="E2315" s="3" t="inlineStr">
        <is>
          <t>MOVE_ENERGY_BALL</t>
        </is>
      </c>
    </row>
    <row r="2316">
      <c r="A2316" s="3" t="inlineStr">
        <is>
          <t>SPECIES_PETILIL</t>
        </is>
      </c>
      <c r="B2316" s="3" t="inlineStr">
        <is>
          <t>Petilil</t>
        </is>
      </c>
      <c r="C2316" s="3" t="n">
        <v>33</v>
      </c>
      <c r="D2316" s="3" t="inlineStr">
        <is>
          <t>Synthesis</t>
        </is>
      </c>
      <c r="E2316" s="3" t="inlineStr">
        <is>
          <t>MOVE_SYNTHESIS</t>
        </is>
      </c>
    </row>
    <row r="2317">
      <c r="A2317" s="3" t="inlineStr">
        <is>
          <t>SPECIES_PETILIL</t>
        </is>
      </c>
      <c r="B2317" s="3" t="inlineStr">
        <is>
          <t>Petilil</t>
        </is>
      </c>
      <c r="C2317" s="3" t="n">
        <v>36</v>
      </c>
      <c r="D2317" s="3" t="inlineStr">
        <is>
          <t>Sunny Day</t>
        </is>
      </c>
      <c r="E2317" s="3" t="inlineStr">
        <is>
          <t>MOVE_SUNNY_DAY</t>
        </is>
      </c>
    </row>
    <row r="2318">
      <c r="A2318" s="3" t="inlineStr">
        <is>
          <t>SPECIES_PETILIL</t>
        </is>
      </c>
      <c r="B2318" s="3" t="inlineStr">
        <is>
          <t>Petilil</t>
        </is>
      </c>
      <c r="C2318" s="3" t="n">
        <v>39</v>
      </c>
      <c r="D2318" s="3" t="inlineStr">
        <is>
          <t>Entrainment</t>
        </is>
      </c>
      <c r="E2318" s="3" t="inlineStr">
        <is>
          <t>MOVE_ENTRAINMENT</t>
        </is>
      </c>
    </row>
    <row r="2319">
      <c r="A2319" s="3" t="inlineStr">
        <is>
          <t>SPECIES_PETILIL</t>
        </is>
      </c>
      <c r="B2319" s="3" t="inlineStr">
        <is>
          <t>Petilil</t>
        </is>
      </c>
      <c r="C2319" s="3" t="n">
        <v>42</v>
      </c>
      <c r="D2319" s="3" t="inlineStr">
        <is>
          <t>Leaf Storm</t>
        </is>
      </c>
      <c r="E2319" s="3" t="inlineStr">
        <is>
          <t>MOVE_LEAF_STORM</t>
        </is>
      </c>
    </row>
    <row r="2320">
      <c r="A2320" s="3" t="inlineStr">
        <is>
          <t>SPECIES_LILLIGANT</t>
        </is>
      </c>
      <c r="B2320" s="3" t="inlineStr">
        <is>
          <t>Lilligant</t>
        </is>
      </c>
      <c r="C2320" s="3" t="n">
        <v>0</v>
      </c>
      <c r="D2320" s="3" t="inlineStr">
        <is>
          <t>Petal Dance</t>
        </is>
      </c>
      <c r="E2320" s="3" t="inlineStr">
        <is>
          <t>MOVE_PETAL_DANCE</t>
        </is>
      </c>
    </row>
    <row r="2321">
      <c r="A2321" s="3" t="inlineStr">
        <is>
          <t>SPECIES_LILLIGANT</t>
        </is>
      </c>
      <c r="B2321" s="3" t="inlineStr">
        <is>
          <t>Lilligant</t>
        </is>
      </c>
      <c r="C2321" s="3" t="n">
        <v>1</v>
      </c>
      <c r="D2321" s="3" t="inlineStr">
        <is>
          <t>Petal Blizzard</t>
        </is>
      </c>
      <c r="E2321" s="3" t="inlineStr">
        <is>
          <t>MOVE_PETAL_BLIZZARD</t>
        </is>
      </c>
    </row>
    <row r="2322">
      <c r="A2322" s="3" t="inlineStr">
        <is>
          <t>SPECIES_LILLIGANT</t>
        </is>
      </c>
      <c r="B2322" s="3" t="inlineStr">
        <is>
          <t>Lilligant</t>
        </is>
      </c>
      <c r="C2322" s="3" t="n">
        <v>1</v>
      </c>
      <c r="D2322" s="3" t="inlineStr">
        <is>
          <t>Entrainment</t>
        </is>
      </c>
      <c r="E2322" s="3" t="inlineStr">
        <is>
          <t>MOVE_ENTRAINMENT</t>
        </is>
      </c>
    </row>
    <row r="2323">
      <c r="A2323" s="3" t="inlineStr">
        <is>
          <t>SPECIES_LILLIGANT</t>
        </is>
      </c>
      <c r="B2323" s="3" t="inlineStr">
        <is>
          <t>Lilligant</t>
        </is>
      </c>
      <c r="C2323" s="3" t="n">
        <v>1</v>
      </c>
      <c r="D2323" s="3" t="inlineStr">
        <is>
          <t>Quiver Dance</t>
        </is>
      </c>
      <c r="E2323" s="3" t="inlineStr">
        <is>
          <t>MOVE_QUIVER_DANCE</t>
        </is>
      </c>
    </row>
    <row r="2324">
      <c r="A2324" s="3" t="inlineStr">
        <is>
          <t>SPECIES_LILLIGANT</t>
        </is>
      </c>
      <c r="B2324" s="3" t="inlineStr">
        <is>
          <t>Lilligant</t>
        </is>
      </c>
      <c r="C2324" s="3" t="n">
        <v>1</v>
      </c>
      <c r="D2324" s="3" t="inlineStr">
        <is>
          <t>Leaf Storm</t>
        </is>
      </c>
      <c r="E2324" s="3" t="inlineStr">
        <is>
          <t>MOVE_LEAF_STORM</t>
        </is>
      </c>
    </row>
    <row r="2325">
      <c r="A2325" s="3" t="inlineStr">
        <is>
          <t>SPECIES_LILLIGANT</t>
        </is>
      </c>
      <c r="B2325" s="3" t="inlineStr">
        <is>
          <t>Lilligant</t>
        </is>
      </c>
      <c r="C2325" s="3" t="n">
        <v>1</v>
      </c>
      <c r="D2325" s="3" t="inlineStr">
        <is>
          <t>Energy Ball</t>
        </is>
      </c>
      <c r="E2325" s="3" t="inlineStr">
        <is>
          <t>MOVE_ENERGY_BALL</t>
        </is>
      </c>
    </row>
    <row r="2326">
      <c r="A2326" s="3" t="inlineStr">
        <is>
          <t>SPECIES_LILLIGANT</t>
        </is>
      </c>
      <c r="B2326" s="3" t="inlineStr">
        <is>
          <t>Lilligant</t>
        </is>
      </c>
      <c r="C2326" s="3" t="n">
        <v>1</v>
      </c>
      <c r="D2326" s="3" t="inlineStr">
        <is>
          <t>Teeter Dance</t>
        </is>
      </c>
      <c r="E2326" s="3" t="inlineStr">
        <is>
          <t>MOVE_TEETER_DANCE</t>
        </is>
      </c>
    </row>
    <row r="2327">
      <c r="A2327" s="3" t="inlineStr">
        <is>
          <t>SPECIES_LILLIGANT</t>
        </is>
      </c>
      <c r="B2327" s="3" t="inlineStr">
        <is>
          <t>Lilligant</t>
        </is>
      </c>
      <c r="C2327" s="3" t="n">
        <v>1</v>
      </c>
      <c r="D2327" s="3" t="inlineStr">
        <is>
          <t>Helping Hand</t>
        </is>
      </c>
      <c r="E2327" s="3" t="inlineStr">
        <is>
          <t>MOVE_HELPING_HAND</t>
        </is>
      </c>
    </row>
    <row r="2328">
      <c r="A2328" s="3" t="inlineStr">
        <is>
          <t>SPECIES_LILLIGANT</t>
        </is>
      </c>
      <c r="B2328" s="3" t="inlineStr">
        <is>
          <t>Lilligant</t>
        </is>
      </c>
      <c r="C2328" s="3" t="n">
        <v>1</v>
      </c>
      <c r="D2328" s="3" t="inlineStr">
        <is>
          <t>Sunny Day</t>
        </is>
      </c>
      <c r="E2328" s="3" t="inlineStr">
        <is>
          <t>MOVE_SUNNY_DAY</t>
        </is>
      </c>
    </row>
    <row r="2329">
      <c r="A2329" s="3" t="inlineStr">
        <is>
          <t>SPECIES_LILLIGANT</t>
        </is>
      </c>
      <c r="B2329" s="3" t="inlineStr">
        <is>
          <t>Lilligant</t>
        </is>
      </c>
      <c r="C2329" s="3" t="n">
        <v>1</v>
      </c>
      <c r="D2329" s="3" t="inlineStr">
        <is>
          <t>Synthesis</t>
        </is>
      </c>
      <c r="E2329" s="3" t="inlineStr">
        <is>
          <t>MOVE_SYNTHESIS</t>
        </is>
      </c>
    </row>
    <row r="2330">
      <c r="A2330" s="3" t="inlineStr">
        <is>
          <t>SPECIES_LILLIGANT</t>
        </is>
      </c>
      <c r="B2330" s="3" t="inlineStr">
        <is>
          <t>Lilligant</t>
        </is>
      </c>
      <c r="C2330" s="3" t="n">
        <v>1</v>
      </c>
      <c r="D2330" s="3" t="inlineStr">
        <is>
          <t>Charm</t>
        </is>
      </c>
      <c r="E2330" s="3" t="inlineStr">
        <is>
          <t>MOVE_CHARM</t>
        </is>
      </c>
    </row>
    <row r="2331">
      <c r="A2331" s="3" t="inlineStr">
        <is>
          <t>SPECIES_LILLIGANT</t>
        </is>
      </c>
      <c r="B2331" s="3" t="inlineStr">
        <is>
          <t>Lilligant</t>
        </is>
      </c>
      <c r="C2331" s="3" t="n">
        <v>1</v>
      </c>
      <c r="D2331" s="3" t="inlineStr">
        <is>
          <t>Giga Drain</t>
        </is>
      </c>
      <c r="E2331" s="3" t="inlineStr">
        <is>
          <t>MOVE_GIGA_DRAIN</t>
        </is>
      </c>
    </row>
    <row r="2332">
      <c r="A2332" s="3" t="inlineStr">
        <is>
          <t>SPECIES_LILLIGANT</t>
        </is>
      </c>
      <c r="B2332" s="3" t="inlineStr">
        <is>
          <t>Lilligant</t>
        </is>
      </c>
      <c r="C2332" s="3" t="n">
        <v>1</v>
      </c>
      <c r="D2332" s="3" t="inlineStr">
        <is>
          <t>Sleep Powder</t>
        </is>
      </c>
      <c r="E2332" s="3" t="inlineStr">
        <is>
          <t>MOVE_SLEEP_POWDER</t>
        </is>
      </c>
    </row>
    <row r="2333">
      <c r="A2333" s="3" t="inlineStr">
        <is>
          <t>SPECIES_LILLIGANT</t>
        </is>
      </c>
      <c r="B2333" s="3" t="inlineStr">
        <is>
          <t>Lilligant</t>
        </is>
      </c>
      <c r="C2333" s="3" t="n">
        <v>1</v>
      </c>
      <c r="D2333" s="3" t="inlineStr">
        <is>
          <t>Stun Spore</t>
        </is>
      </c>
      <c r="E2333" s="3" t="inlineStr">
        <is>
          <t>MOVE_STUN_SPORE</t>
        </is>
      </c>
    </row>
    <row r="2334">
      <c r="A2334" s="3" t="inlineStr">
        <is>
          <t>SPECIES_LILLIGANT</t>
        </is>
      </c>
      <c r="B2334" s="3" t="inlineStr">
        <is>
          <t>Lilligant</t>
        </is>
      </c>
      <c r="C2334" s="3" t="n">
        <v>1</v>
      </c>
      <c r="D2334" s="3" t="inlineStr">
        <is>
          <t>Growth</t>
        </is>
      </c>
      <c r="E2334" s="3" t="inlineStr">
        <is>
          <t>MOVE_GROWTH</t>
        </is>
      </c>
    </row>
    <row r="2335">
      <c r="A2335" s="3" t="inlineStr">
        <is>
          <t>SPECIES_LILLIGANT</t>
        </is>
      </c>
      <c r="B2335" s="3" t="inlineStr">
        <is>
          <t>Lilligant</t>
        </is>
      </c>
      <c r="C2335" s="3" t="n">
        <v>1</v>
      </c>
      <c r="D2335" s="3" t="inlineStr">
        <is>
          <t>Leech Seed</t>
        </is>
      </c>
      <c r="E2335" s="3" t="inlineStr">
        <is>
          <t>MOVE_LEECH_SEED</t>
        </is>
      </c>
    </row>
    <row r="2336">
      <c r="A2336" s="3" t="inlineStr">
        <is>
          <t>SPECIES_LILLIGANT</t>
        </is>
      </c>
      <c r="B2336" s="3" t="inlineStr">
        <is>
          <t>Lilligant</t>
        </is>
      </c>
      <c r="C2336" s="3" t="n">
        <v>1</v>
      </c>
      <c r="D2336" s="3" t="inlineStr">
        <is>
          <t>Mega Drain</t>
        </is>
      </c>
      <c r="E2336" s="3" t="inlineStr">
        <is>
          <t>MOVE_MEGA_DRAIN</t>
        </is>
      </c>
    </row>
    <row r="2337">
      <c r="A2337" s="3" t="inlineStr">
        <is>
          <t>SPECIES_LILLIGANT</t>
        </is>
      </c>
      <c r="B2337" s="3" t="inlineStr">
        <is>
          <t>Lilligant</t>
        </is>
      </c>
      <c r="C2337" s="3" t="n">
        <v>1</v>
      </c>
      <c r="D2337" s="3" t="inlineStr">
        <is>
          <t>After You</t>
        </is>
      </c>
      <c r="E2337" s="3" t="inlineStr">
        <is>
          <t>MOVE_AFTER_YOU</t>
        </is>
      </c>
    </row>
    <row r="2338">
      <c r="A2338" s="3" t="inlineStr">
        <is>
          <t>SPECIES_LILLIGANT</t>
        </is>
      </c>
      <c r="B2338" s="3" t="inlineStr">
        <is>
          <t>Lilligant</t>
        </is>
      </c>
      <c r="C2338" s="3" t="n">
        <v>1</v>
      </c>
      <c r="D2338" s="3" t="inlineStr">
        <is>
          <t>Absorb</t>
        </is>
      </c>
      <c r="E2338" s="3" t="inlineStr">
        <is>
          <t>MOVE_ABSORB</t>
        </is>
      </c>
    </row>
    <row r="2339">
      <c r="A2339" s="3" t="inlineStr">
        <is>
          <t>SPECIES_LILLIGANT</t>
        </is>
      </c>
      <c r="B2339" s="3" t="inlineStr">
        <is>
          <t>Lilligant</t>
        </is>
      </c>
      <c r="C2339" s="3" t="n">
        <v>5</v>
      </c>
      <c r="D2339" s="3" t="inlineStr">
        <is>
          <t>Magical Leaf</t>
        </is>
      </c>
      <c r="E2339" s="3" t="inlineStr">
        <is>
          <t>MOVE_MAGICAL_LEAF</t>
        </is>
      </c>
    </row>
    <row r="2340">
      <c r="A2340" s="3" t="inlineStr">
        <is>
          <t>SPECIES_SANDILE</t>
        </is>
      </c>
      <c r="B2340" s="3" t="inlineStr">
        <is>
          <t>Sandile</t>
        </is>
      </c>
      <c r="C2340" s="3" t="n">
        <v>1</v>
      </c>
      <c r="D2340" s="3" t="inlineStr">
        <is>
          <t>Leer</t>
        </is>
      </c>
      <c r="E2340" s="3" t="inlineStr">
        <is>
          <t>MOVE_LEER</t>
        </is>
      </c>
    </row>
    <row r="2341">
      <c r="A2341" s="3" t="inlineStr">
        <is>
          <t>SPECIES_SANDILE</t>
        </is>
      </c>
      <c r="B2341" s="3" t="inlineStr">
        <is>
          <t>Sandile</t>
        </is>
      </c>
      <c r="C2341" s="3" t="n">
        <v>1</v>
      </c>
      <c r="D2341" s="3" t="inlineStr">
        <is>
          <t>Power Trip</t>
        </is>
      </c>
      <c r="E2341" s="3" t="inlineStr">
        <is>
          <t>MOVE_POWER_TRIP</t>
        </is>
      </c>
    </row>
    <row r="2342">
      <c r="A2342" s="3" t="inlineStr">
        <is>
          <t>SPECIES_SANDILE</t>
        </is>
      </c>
      <c r="B2342" s="3" t="inlineStr">
        <is>
          <t>Sandile</t>
        </is>
      </c>
      <c r="C2342" s="3" t="n">
        <v>3</v>
      </c>
      <c r="D2342" s="3" t="inlineStr">
        <is>
          <t>Sand Attack</t>
        </is>
      </c>
      <c r="E2342" s="3" t="inlineStr">
        <is>
          <t>MOVE_SAND_ATTACK</t>
        </is>
      </c>
    </row>
    <row r="2343">
      <c r="A2343" s="3" t="inlineStr">
        <is>
          <t>SPECIES_SANDILE</t>
        </is>
      </c>
      <c r="B2343" s="3" t="inlineStr">
        <is>
          <t>Sandile</t>
        </is>
      </c>
      <c r="C2343" s="3" t="n">
        <v>6</v>
      </c>
      <c r="D2343" s="3" t="inlineStr">
        <is>
          <t>Hone Claws</t>
        </is>
      </c>
      <c r="E2343" s="3" t="inlineStr">
        <is>
          <t>MOVE_HONE_CLAWS</t>
        </is>
      </c>
    </row>
    <row r="2344">
      <c r="A2344" s="3" t="inlineStr">
        <is>
          <t>SPECIES_SANDILE</t>
        </is>
      </c>
      <c r="B2344" s="3" t="inlineStr">
        <is>
          <t>Sandile</t>
        </is>
      </c>
      <c r="C2344" s="3" t="n">
        <v>9</v>
      </c>
      <c r="D2344" s="3" t="inlineStr">
        <is>
          <t>Sand Tomb</t>
        </is>
      </c>
      <c r="E2344" s="3" t="inlineStr">
        <is>
          <t>MOVE_SAND_TOMB</t>
        </is>
      </c>
    </row>
    <row r="2345">
      <c r="A2345" s="3" t="inlineStr">
        <is>
          <t>SPECIES_SANDILE</t>
        </is>
      </c>
      <c r="B2345" s="3" t="inlineStr">
        <is>
          <t>Sandile</t>
        </is>
      </c>
      <c r="C2345" s="3" t="n">
        <v>12</v>
      </c>
      <c r="D2345" s="3" t="inlineStr">
        <is>
          <t>Scary Face</t>
        </is>
      </c>
      <c r="E2345" s="3" t="inlineStr">
        <is>
          <t>MOVE_SCARY_FACE</t>
        </is>
      </c>
    </row>
    <row r="2346">
      <c r="A2346" s="3" t="inlineStr">
        <is>
          <t>SPECIES_SANDILE</t>
        </is>
      </c>
      <c r="B2346" s="3" t="inlineStr">
        <is>
          <t>Sandile</t>
        </is>
      </c>
      <c r="C2346" s="3" t="n">
        <v>15</v>
      </c>
      <c r="D2346" s="3" t="inlineStr">
        <is>
          <t>Bite</t>
        </is>
      </c>
      <c r="E2346" s="3" t="inlineStr">
        <is>
          <t>MOVE_BITE</t>
        </is>
      </c>
    </row>
    <row r="2347">
      <c r="A2347" s="3" t="inlineStr">
        <is>
          <t>SPECIES_SANDILE</t>
        </is>
      </c>
      <c r="B2347" s="3" t="inlineStr">
        <is>
          <t>Sandile</t>
        </is>
      </c>
      <c r="C2347" s="3" t="n">
        <v>18</v>
      </c>
      <c r="D2347" s="3" t="inlineStr">
        <is>
          <t>Torment</t>
        </is>
      </c>
      <c r="E2347" s="3" t="inlineStr">
        <is>
          <t>MOVE_TORMENT</t>
        </is>
      </c>
    </row>
    <row r="2348">
      <c r="A2348" s="3" t="inlineStr">
        <is>
          <t>SPECIES_SANDILE</t>
        </is>
      </c>
      <c r="B2348" s="3" t="inlineStr">
        <is>
          <t>Sandile</t>
        </is>
      </c>
      <c r="C2348" s="3" t="n">
        <v>21</v>
      </c>
      <c r="D2348" s="3" t="inlineStr">
        <is>
          <t>Dig</t>
        </is>
      </c>
      <c r="E2348" s="3" t="inlineStr">
        <is>
          <t>MOVE_DIG</t>
        </is>
      </c>
    </row>
    <row r="2349">
      <c r="A2349" s="3" t="inlineStr">
        <is>
          <t>SPECIES_SANDILE</t>
        </is>
      </c>
      <c r="B2349" s="3" t="inlineStr">
        <is>
          <t>Sandile</t>
        </is>
      </c>
      <c r="C2349" s="3" t="n">
        <v>24</v>
      </c>
      <c r="D2349" s="3" t="inlineStr">
        <is>
          <t>Swagger</t>
        </is>
      </c>
      <c r="E2349" s="3" t="inlineStr">
        <is>
          <t>MOVE_SWAGGER</t>
        </is>
      </c>
    </row>
    <row r="2350">
      <c r="A2350" s="3" t="inlineStr">
        <is>
          <t>SPECIES_SANDILE</t>
        </is>
      </c>
      <c r="B2350" s="3" t="inlineStr">
        <is>
          <t>Sandile</t>
        </is>
      </c>
      <c r="C2350" s="3" t="n">
        <v>27</v>
      </c>
      <c r="D2350" s="3" t="inlineStr">
        <is>
          <t>Crunch</t>
        </is>
      </c>
      <c r="E2350" s="3" t="inlineStr">
        <is>
          <t>MOVE_CRUNCH</t>
        </is>
      </c>
    </row>
    <row r="2351">
      <c r="A2351" s="3" t="inlineStr">
        <is>
          <t>SPECIES_SANDILE</t>
        </is>
      </c>
      <c r="B2351" s="3" t="inlineStr">
        <is>
          <t>Sandile</t>
        </is>
      </c>
      <c r="C2351" s="3" t="n">
        <v>30</v>
      </c>
      <c r="D2351" s="3" t="inlineStr">
        <is>
          <t>Sandstorm</t>
        </is>
      </c>
      <c r="E2351" s="3" t="inlineStr">
        <is>
          <t>MOVE_SANDSTORM</t>
        </is>
      </c>
    </row>
    <row r="2352">
      <c r="A2352" s="3" t="inlineStr">
        <is>
          <t>SPECIES_SANDILE</t>
        </is>
      </c>
      <c r="B2352" s="3" t="inlineStr">
        <is>
          <t>Sandile</t>
        </is>
      </c>
      <c r="C2352" s="3" t="n">
        <v>33</v>
      </c>
      <c r="D2352" s="3" t="inlineStr">
        <is>
          <t>Foul Play</t>
        </is>
      </c>
      <c r="E2352" s="3" t="inlineStr">
        <is>
          <t>MOVE_FOUL_PLAY</t>
        </is>
      </c>
    </row>
    <row r="2353">
      <c r="A2353" s="3" t="inlineStr">
        <is>
          <t>SPECIES_SANDILE</t>
        </is>
      </c>
      <c r="B2353" s="3" t="inlineStr">
        <is>
          <t>Sandile</t>
        </is>
      </c>
      <c r="C2353" s="3" t="n">
        <v>36</v>
      </c>
      <c r="D2353" s="3" t="inlineStr">
        <is>
          <t>Earthquake</t>
        </is>
      </c>
      <c r="E2353" s="3" t="inlineStr">
        <is>
          <t>MOVE_EARTHQUAKE</t>
        </is>
      </c>
    </row>
    <row r="2354">
      <c r="A2354" s="3" t="inlineStr">
        <is>
          <t>SPECIES_SANDILE</t>
        </is>
      </c>
      <c r="B2354" s="3" t="inlineStr">
        <is>
          <t>Sandile</t>
        </is>
      </c>
      <c r="C2354" s="3" t="n">
        <v>39</v>
      </c>
      <c r="D2354" s="3" t="inlineStr">
        <is>
          <t>Thrash</t>
        </is>
      </c>
      <c r="E2354" s="3" t="inlineStr">
        <is>
          <t>MOVE_THRASH</t>
        </is>
      </c>
    </row>
    <row r="2355">
      <c r="A2355" s="3" t="inlineStr">
        <is>
          <t>SPECIES_KROKOROK</t>
        </is>
      </c>
      <c r="B2355" s="3" t="inlineStr">
        <is>
          <t>Krokorok</t>
        </is>
      </c>
      <c r="C2355" s="3" t="n">
        <v>1</v>
      </c>
      <c r="D2355" s="3" t="inlineStr">
        <is>
          <t>Sand Attack</t>
        </is>
      </c>
      <c r="E2355" s="3" t="inlineStr">
        <is>
          <t>MOVE_SAND_ATTACK</t>
        </is>
      </c>
    </row>
    <row r="2356">
      <c r="A2356" s="3" t="inlineStr">
        <is>
          <t>SPECIES_KROKOROK</t>
        </is>
      </c>
      <c r="B2356" s="3" t="inlineStr">
        <is>
          <t>Krokorok</t>
        </is>
      </c>
      <c r="C2356" s="3" t="n">
        <v>1</v>
      </c>
      <c r="D2356" s="3" t="inlineStr">
        <is>
          <t>Leer</t>
        </is>
      </c>
      <c r="E2356" s="3" t="inlineStr">
        <is>
          <t>MOVE_LEER</t>
        </is>
      </c>
    </row>
    <row r="2357">
      <c r="A2357" s="3" t="inlineStr">
        <is>
          <t>SPECIES_KROKOROK</t>
        </is>
      </c>
      <c r="B2357" s="3" t="inlineStr">
        <is>
          <t>Krokorok</t>
        </is>
      </c>
      <c r="C2357" s="3" t="n">
        <v>1</v>
      </c>
      <c r="D2357" s="3" t="inlineStr">
        <is>
          <t>Hone Claws</t>
        </is>
      </c>
      <c r="E2357" s="3" t="inlineStr">
        <is>
          <t>MOVE_HONE_CLAWS</t>
        </is>
      </c>
    </row>
    <row r="2358">
      <c r="A2358" s="3" t="inlineStr">
        <is>
          <t>SPECIES_KROKOROK</t>
        </is>
      </c>
      <c r="B2358" s="3" t="inlineStr">
        <is>
          <t>Krokorok</t>
        </is>
      </c>
      <c r="C2358" s="3" t="n">
        <v>1</v>
      </c>
      <c r="D2358" s="3" t="inlineStr">
        <is>
          <t>Power Trip</t>
        </is>
      </c>
      <c r="E2358" s="3" t="inlineStr">
        <is>
          <t>MOVE_POWER_TRIP</t>
        </is>
      </c>
    </row>
    <row r="2359">
      <c r="A2359" s="3" t="inlineStr">
        <is>
          <t>SPECIES_KROKOROK</t>
        </is>
      </c>
      <c r="B2359" s="3" t="inlineStr">
        <is>
          <t>Krokorok</t>
        </is>
      </c>
      <c r="C2359" s="3" t="n">
        <v>9</v>
      </c>
      <c r="D2359" s="3" t="inlineStr">
        <is>
          <t>Sand Tomb</t>
        </is>
      </c>
      <c r="E2359" s="3" t="inlineStr">
        <is>
          <t>MOVE_SAND_TOMB</t>
        </is>
      </c>
    </row>
    <row r="2360">
      <c r="A2360" s="3" t="inlineStr">
        <is>
          <t>SPECIES_KROKOROK</t>
        </is>
      </c>
      <c r="B2360" s="3" t="inlineStr">
        <is>
          <t>Krokorok</t>
        </is>
      </c>
      <c r="C2360" s="3" t="n">
        <v>12</v>
      </c>
      <c r="D2360" s="3" t="inlineStr">
        <is>
          <t>Scary Face</t>
        </is>
      </c>
      <c r="E2360" s="3" t="inlineStr">
        <is>
          <t>MOVE_SCARY_FACE</t>
        </is>
      </c>
    </row>
    <row r="2361">
      <c r="A2361" s="3" t="inlineStr">
        <is>
          <t>SPECIES_KROKOROK</t>
        </is>
      </c>
      <c r="B2361" s="3" t="inlineStr">
        <is>
          <t>Krokorok</t>
        </is>
      </c>
      <c r="C2361" s="3" t="n">
        <v>15</v>
      </c>
      <c r="D2361" s="3" t="inlineStr">
        <is>
          <t>Bite</t>
        </is>
      </c>
      <c r="E2361" s="3" t="inlineStr">
        <is>
          <t>MOVE_BITE</t>
        </is>
      </c>
    </row>
    <row r="2362">
      <c r="A2362" s="3" t="inlineStr">
        <is>
          <t>SPECIES_KROKOROK</t>
        </is>
      </c>
      <c r="B2362" s="3" t="inlineStr">
        <is>
          <t>Krokorok</t>
        </is>
      </c>
      <c r="C2362" s="3" t="n">
        <v>18</v>
      </c>
      <c r="D2362" s="3" t="inlineStr">
        <is>
          <t>Torment</t>
        </is>
      </c>
      <c r="E2362" s="3" t="inlineStr">
        <is>
          <t>MOVE_TORMENT</t>
        </is>
      </c>
    </row>
    <row r="2363">
      <c r="A2363" s="3" t="inlineStr">
        <is>
          <t>SPECIES_KROKOROK</t>
        </is>
      </c>
      <c r="B2363" s="3" t="inlineStr">
        <is>
          <t>Krokorok</t>
        </is>
      </c>
      <c r="C2363" s="3" t="n">
        <v>21</v>
      </c>
      <c r="D2363" s="3" t="inlineStr">
        <is>
          <t>Dig</t>
        </is>
      </c>
      <c r="E2363" s="3" t="inlineStr">
        <is>
          <t>MOVE_DIG</t>
        </is>
      </c>
    </row>
    <row r="2364">
      <c r="A2364" s="3" t="inlineStr">
        <is>
          <t>SPECIES_KROKOROK</t>
        </is>
      </c>
      <c r="B2364" s="3" t="inlineStr">
        <is>
          <t>Krokorok</t>
        </is>
      </c>
      <c r="C2364" s="3" t="n">
        <v>24</v>
      </c>
      <c r="D2364" s="3" t="inlineStr">
        <is>
          <t>Swagger</t>
        </is>
      </c>
      <c r="E2364" s="3" t="inlineStr">
        <is>
          <t>MOVE_SWAGGER</t>
        </is>
      </c>
    </row>
    <row r="2365">
      <c r="A2365" s="3" t="inlineStr">
        <is>
          <t>SPECIES_KROKOROK</t>
        </is>
      </c>
      <c r="B2365" s="3" t="inlineStr">
        <is>
          <t>Krokorok</t>
        </is>
      </c>
      <c r="C2365" s="3" t="n">
        <v>27</v>
      </c>
      <c r="D2365" s="3" t="inlineStr">
        <is>
          <t>Crunch</t>
        </is>
      </c>
      <c r="E2365" s="3" t="inlineStr">
        <is>
          <t>MOVE_CRUNCH</t>
        </is>
      </c>
    </row>
    <row r="2366">
      <c r="A2366" s="3" t="inlineStr">
        <is>
          <t>SPECIES_KROKOROK</t>
        </is>
      </c>
      <c r="B2366" s="3" t="inlineStr">
        <is>
          <t>Krokorok</t>
        </is>
      </c>
      <c r="C2366" s="3" t="n">
        <v>32</v>
      </c>
      <c r="D2366" s="3" t="inlineStr">
        <is>
          <t>Sandstorm</t>
        </is>
      </c>
      <c r="E2366" s="3" t="inlineStr">
        <is>
          <t>MOVE_SANDSTORM</t>
        </is>
      </c>
    </row>
    <row r="2367">
      <c r="A2367" s="3" t="inlineStr">
        <is>
          <t>SPECIES_KROKOROK</t>
        </is>
      </c>
      <c r="B2367" s="3" t="inlineStr">
        <is>
          <t>Krokorok</t>
        </is>
      </c>
      <c r="C2367" s="3" t="n">
        <v>35</v>
      </c>
      <c r="D2367" s="3" t="inlineStr">
        <is>
          <t>Foul Play</t>
        </is>
      </c>
      <c r="E2367" s="3" t="inlineStr">
        <is>
          <t>MOVE_FOUL_PLAY</t>
        </is>
      </c>
    </row>
    <row r="2368">
      <c r="A2368" s="3" t="inlineStr">
        <is>
          <t>SPECIES_KROKOROK</t>
        </is>
      </c>
      <c r="B2368" s="3" t="inlineStr">
        <is>
          <t>Krokorok</t>
        </is>
      </c>
      <c r="C2368" s="3" t="n">
        <v>42</v>
      </c>
      <c r="D2368" s="3" t="inlineStr">
        <is>
          <t>Earthquake</t>
        </is>
      </c>
      <c r="E2368" s="3" t="inlineStr">
        <is>
          <t>MOVE_EARTHQUAKE</t>
        </is>
      </c>
    </row>
    <row r="2369">
      <c r="A2369" s="3" t="inlineStr">
        <is>
          <t>SPECIES_KROKOROK</t>
        </is>
      </c>
      <c r="B2369" s="3" t="inlineStr">
        <is>
          <t>Krokorok</t>
        </is>
      </c>
      <c r="C2369" s="3" t="n">
        <v>47</v>
      </c>
      <c r="D2369" s="3" t="inlineStr">
        <is>
          <t>Thrash</t>
        </is>
      </c>
      <c r="E2369" s="3" t="inlineStr">
        <is>
          <t>MOVE_THRASH</t>
        </is>
      </c>
    </row>
    <row r="2370">
      <c r="A2370" s="3" t="inlineStr">
        <is>
          <t>SPECIES_KROOKODILE</t>
        </is>
      </c>
      <c r="B2370" s="3" t="inlineStr">
        <is>
          <t>Krookodile</t>
        </is>
      </c>
      <c r="C2370" s="3" t="n">
        <v>1</v>
      </c>
      <c r="D2370" s="3" t="inlineStr">
        <is>
          <t>Sand Attack</t>
        </is>
      </c>
      <c r="E2370" s="3" t="inlineStr">
        <is>
          <t>MOVE_SAND_ATTACK</t>
        </is>
      </c>
    </row>
    <row r="2371">
      <c r="A2371" s="3" t="inlineStr">
        <is>
          <t>SPECIES_KROOKODILE</t>
        </is>
      </c>
      <c r="B2371" s="3" t="inlineStr">
        <is>
          <t>Krookodile</t>
        </is>
      </c>
      <c r="C2371" s="3" t="n">
        <v>1</v>
      </c>
      <c r="D2371" s="3" t="inlineStr">
        <is>
          <t>Leer</t>
        </is>
      </c>
      <c r="E2371" s="3" t="inlineStr">
        <is>
          <t>MOVE_LEER</t>
        </is>
      </c>
    </row>
    <row r="2372">
      <c r="A2372" s="3" t="inlineStr">
        <is>
          <t>SPECIES_KROOKODILE</t>
        </is>
      </c>
      <c r="B2372" s="3" t="inlineStr">
        <is>
          <t>Krookodile</t>
        </is>
      </c>
      <c r="C2372" s="3" t="n">
        <v>1</v>
      </c>
      <c r="D2372" s="3" t="inlineStr">
        <is>
          <t>Hone Claws</t>
        </is>
      </c>
      <c r="E2372" s="3" t="inlineStr">
        <is>
          <t>MOVE_HONE_CLAWS</t>
        </is>
      </c>
    </row>
    <row r="2373">
      <c r="A2373" s="3" t="inlineStr">
        <is>
          <t>SPECIES_KROOKODILE</t>
        </is>
      </c>
      <c r="B2373" s="3" t="inlineStr">
        <is>
          <t>Krookodile</t>
        </is>
      </c>
      <c r="C2373" s="3" t="n">
        <v>1</v>
      </c>
      <c r="D2373" s="3" t="inlineStr">
        <is>
          <t>Power Trip</t>
        </is>
      </c>
      <c r="E2373" s="3" t="inlineStr">
        <is>
          <t>MOVE_POWER_TRIP</t>
        </is>
      </c>
    </row>
    <row r="2374">
      <c r="A2374" s="3" t="inlineStr">
        <is>
          <t>SPECIES_KROOKODILE</t>
        </is>
      </c>
      <c r="B2374" s="3" t="inlineStr">
        <is>
          <t>Krookodile</t>
        </is>
      </c>
      <c r="C2374" s="3" t="n">
        <v>9</v>
      </c>
      <c r="D2374" s="3" t="inlineStr">
        <is>
          <t>Sand Tomb</t>
        </is>
      </c>
      <c r="E2374" s="3" t="inlineStr">
        <is>
          <t>MOVE_SAND_TOMB</t>
        </is>
      </c>
    </row>
    <row r="2375">
      <c r="A2375" s="3" t="inlineStr">
        <is>
          <t>SPECIES_KROOKODILE</t>
        </is>
      </c>
      <c r="B2375" s="3" t="inlineStr">
        <is>
          <t>Krookodile</t>
        </is>
      </c>
      <c r="C2375" s="3" t="n">
        <v>12</v>
      </c>
      <c r="D2375" s="3" t="inlineStr">
        <is>
          <t>Scary Face</t>
        </is>
      </c>
      <c r="E2375" s="3" t="inlineStr">
        <is>
          <t>MOVE_SCARY_FACE</t>
        </is>
      </c>
    </row>
    <row r="2376">
      <c r="A2376" s="3" t="inlineStr">
        <is>
          <t>SPECIES_KROOKODILE</t>
        </is>
      </c>
      <c r="B2376" s="3" t="inlineStr">
        <is>
          <t>Krookodile</t>
        </is>
      </c>
      <c r="C2376" s="3" t="n">
        <v>15</v>
      </c>
      <c r="D2376" s="3" t="inlineStr">
        <is>
          <t>Bite</t>
        </is>
      </c>
      <c r="E2376" s="3" t="inlineStr">
        <is>
          <t>MOVE_BITE</t>
        </is>
      </c>
    </row>
    <row r="2377">
      <c r="A2377" s="3" t="inlineStr">
        <is>
          <t>SPECIES_KROOKODILE</t>
        </is>
      </c>
      <c r="B2377" s="3" t="inlineStr">
        <is>
          <t>Krookodile</t>
        </is>
      </c>
      <c r="C2377" s="3" t="n">
        <v>18</v>
      </c>
      <c r="D2377" s="3" t="inlineStr">
        <is>
          <t>Torment</t>
        </is>
      </c>
      <c r="E2377" s="3" t="inlineStr">
        <is>
          <t>MOVE_TORMENT</t>
        </is>
      </c>
    </row>
    <row r="2378">
      <c r="A2378" s="3" t="inlineStr">
        <is>
          <t>SPECIES_KROOKODILE</t>
        </is>
      </c>
      <c r="B2378" s="3" t="inlineStr">
        <is>
          <t>Krookodile</t>
        </is>
      </c>
      <c r="C2378" s="3" t="n">
        <v>21</v>
      </c>
      <c r="D2378" s="3" t="inlineStr">
        <is>
          <t>Dig</t>
        </is>
      </c>
      <c r="E2378" s="3" t="inlineStr">
        <is>
          <t>MOVE_DIG</t>
        </is>
      </c>
    </row>
    <row r="2379">
      <c r="A2379" s="3" t="inlineStr">
        <is>
          <t>SPECIES_KROOKODILE</t>
        </is>
      </c>
      <c r="B2379" s="3" t="inlineStr">
        <is>
          <t>Krookodile</t>
        </is>
      </c>
      <c r="C2379" s="3" t="n">
        <v>24</v>
      </c>
      <c r="D2379" s="3" t="inlineStr">
        <is>
          <t>Swagger</t>
        </is>
      </c>
      <c r="E2379" s="3" t="inlineStr">
        <is>
          <t>MOVE_SWAGGER</t>
        </is>
      </c>
    </row>
    <row r="2380">
      <c r="A2380" s="3" t="inlineStr">
        <is>
          <t>SPECIES_KROOKODILE</t>
        </is>
      </c>
      <c r="B2380" s="3" t="inlineStr">
        <is>
          <t>Krookodile</t>
        </is>
      </c>
      <c r="C2380" s="3" t="n">
        <v>27</v>
      </c>
      <c r="D2380" s="3" t="inlineStr">
        <is>
          <t>Crunch</t>
        </is>
      </c>
      <c r="E2380" s="3" t="inlineStr">
        <is>
          <t>MOVE_CRUNCH</t>
        </is>
      </c>
    </row>
    <row r="2381">
      <c r="A2381" s="3" t="inlineStr">
        <is>
          <t>SPECIES_KROOKODILE</t>
        </is>
      </c>
      <c r="B2381" s="3" t="inlineStr">
        <is>
          <t>Krookodile</t>
        </is>
      </c>
      <c r="C2381" s="3" t="n">
        <v>32</v>
      </c>
      <c r="D2381" s="3" t="inlineStr">
        <is>
          <t>Sandstorm</t>
        </is>
      </c>
      <c r="E2381" s="3" t="inlineStr">
        <is>
          <t>MOVE_SANDSTORM</t>
        </is>
      </c>
    </row>
    <row r="2382">
      <c r="A2382" s="3" t="inlineStr">
        <is>
          <t>SPECIES_KROOKODILE</t>
        </is>
      </c>
      <c r="B2382" s="3" t="inlineStr">
        <is>
          <t>Krookodile</t>
        </is>
      </c>
      <c r="C2382" s="3" t="n">
        <v>35</v>
      </c>
      <c r="D2382" s="3" t="inlineStr">
        <is>
          <t>Foul Play</t>
        </is>
      </c>
      <c r="E2382" s="3" t="inlineStr">
        <is>
          <t>MOVE_FOUL_PLAY</t>
        </is>
      </c>
    </row>
    <row r="2383">
      <c r="A2383" s="3" t="inlineStr">
        <is>
          <t>SPECIES_KROOKODILE</t>
        </is>
      </c>
      <c r="B2383" s="3" t="inlineStr">
        <is>
          <t>Krookodile</t>
        </is>
      </c>
      <c r="C2383" s="3" t="n">
        <v>44</v>
      </c>
      <c r="D2383" s="3" t="inlineStr">
        <is>
          <t>Earthquake</t>
        </is>
      </c>
      <c r="E2383" s="3" t="inlineStr">
        <is>
          <t>MOVE_EARTHQUAKE</t>
        </is>
      </c>
    </row>
    <row r="2384">
      <c r="A2384" s="3" t="inlineStr">
        <is>
          <t>SPECIES_KROOKODILE</t>
        </is>
      </c>
      <c r="B2384" s="3" t="inlineStr">
        <is>
          <t>Krookodile</t>
        </is>
      </c>
      <c r="C2384" s="3" t="n">
        <v>51</v>
      </c>
      <c r="D2384" s="3" t="inlineStr">
        <is>
          <t>Thrash</t>
        </is>
      </c>
      <c r="E2384" s="3" t="inlineStr">
        <is>
          <t>MOVE_THRASH</t>
        </is>
      </c>
    </row>
    <row r="2385">
      <c r="A2385" s="3" t="inlineStr">
        <is>
          <t>SPECIES_KROOKODILE</t>
        </is>
      </c>
      <c r="B2385" s="3" t="inlineStr">
        <is>
          <t>Krookodile</t>
        </is>
      </c>
      <c r="C2385" s="3" t="n">
        <v>58</v>
      </c>
      <c r="D2385" s="3" t="inlineStr">
        <is>
          <t>Outrage</t>
        </is>
      </c>
      <c r="E2385" s="3" t="inlineStr">
        <is>
          <t>MOVE_OUTRAGE</t>
        </is>
      </c>
    </row>
    <row r="2386">
      <c r="A2386" s="3" t="inlineStr">
        <is>
          <t>SPECIES_DWEBBLE</t>
        </is>
      </c>
      <c r="B2386" s="3" t="inlineStr">
        <is>
          <t>Dwebble</t>
        </is>
      </c>
      <c r="C2386" s="3" t="n">
        <v>1</v>
      </c>
      <c r="D2386" s="3" t="inlineStr">
        <is>
          <t>Fury Cutter</t>
        </is>
      </c>
      <c r="E2386" s="3" t="inlineStr">
        <is>
          <t>MOVE_FURY_CUTTER</t>
        </is>
      </c>
    </row>
    <row r="2387">
      <c r="A2387" s="3" t="inlineStr">
        <is>
          <t>SPECIES_DWEBBLE</t>
        </is>
      </c>
      <c r="B2387" s="3" t="inlineStr">
        <is>
          <t>Dwebble</t>
        </is>
      </c>
      <c r="C2387" s="3" t="n">
        <v>1</v>
      </c>
      <c r="D2387" s="3" t="inlineStr">
        <is>
          <t>Sand Attack</t>
        </is>
      </c>
      <c r="E2387" s="3" t="inlineStr">
        <is>
          <t>MOVE_SAND_ATTACK</t>
        </is>
      </c>
    </row>
    <row r="2388">
      <c r="A2388" s="3" t="inlineStr">
        <is>
          <t>SPECIES_DWEBBLE</t>
        </is>
      </c>
      <c r="B2388" s="3" t="inlineStr">
        <is>
          <t>Dwebble</t>
        </is>
      </c>
      <c r="C2388" s="3" t="n">
        <v>4</v>
      </c>
      <c r="D2388" s="3" t="inlineStr">
        <is>
          <t>Withdraw</t>
        </is>
      </c>
      <c r="E2388" s="3" t="inlineStr">
        <is>
          <t>MOVE_WITHDRAW</t>
        </is>
      </c>
    </row>
    <row r="2389">
      <c r="A2389" s="3" t="inlineStr">
        <is>
          <t>SPECIES_DWEBBLE</t>
        </is>
      </c>
      <c r="B2389" s="3" t="inlineStr">
        <is>
          <t>Dwebble</t>
        </is>
      </c>
      <c r="C2389" s="3" t="n">
        <v>8</v>
      </c>
      <c r="D2389" s="3" t="inlineStr">
        <is>
          <t>Smack Down</t>
        </is>
      </c>
      <c r="E2389" s="3" t="inlineStr">
        <is>
          <t>MOVE_SMACK_DOWN</t>
        </is>
      </c>
    </row>
    <row r="2390">
      <c r="A2390" s="3" t="inlineStr">
        <is>
          <t>SPECIES_DWEBBLE</t>
        </is>
      </c>
      <c r="B2390" s="3" t="inlineStr">
        <is>
          <t>Dwebble</t>
        </is>
      </c>
      <c r="C2390" s="3" t="n">
        <v>12</v>
      </c>
      <c r="D2390" s="3" t="inlineStr">
        <is>
          <t>Bug Bite</t>
        </is>
      </c>
      <c r="E2390" s="3" t="inlineStr">
        <is>
          <t>MOVE_BUG_BITE</t>
        </is>
      </c>
    </row>
    <row r="2391">
      <c r="A2391" s="3" t="inlineStr">
        <is>
          <t>SPECIES_DWEBBLE</t>
        </is>
      </c>
      <c r="B2391" s="3" t="inlineStr">
        <is>
          <t>Dwebble</t>
        </is>
      </c>
      <c r="C2391" s="3" t="n">
        <v>16</v>
      </c>
      <c r="D2391" s="3" t="inlineStr">
        <is>
          <t>Flail</t>
        </is>
      </c>
      <c r="E2391" s="3" t="inlineStr">
        <is>
          <t>MOVE_FLAIL</t>
        </is>
      </c>
    </row>
    <row r="2392">
      <c r="A2392" s="3" t="inlineStr">
        <is>
          <t>SPECIES_DWEBBLE</t>
        </is>
      </c>
      <c r="B2392" s="3" t="inlineStr">
        <is>
          <t>Dwebble</t>
        </is>
      </c>
      <c r="C2392" s="3" t="n">
        <v>20</v>
      </c>
      <c r="D2392" s="3" t="inlineStr">
        <is>
          <t>Slash</t>
        </is>
      </c>
      <c r="E2392" s="3" t="inlineStr">
        <is>
          <t>MOVE_SLASH</t>
        </is>
      </c>
    </row>
    <row r="2393">
      <c r="A2393" s="3" t="inlineStr">
        <is>
          <t>SPECIES_DWEBBLE</t>
        </is>
      </c>
      <c r="B2393" s="3" t="inlineStr">
        <is>
          <t>Dwebble</t>
        </is>
      </c>
      <c r="C2393" s="3" t="n">
        <v>24</v>
      </c>
      <c r="D2393" s="3" t="inlineStr">
        <is>
          <t>Rock Slide</t>
        </is>
      </c>
      <c r="E2393" s="3" t="inlineStr">
        <is>
          <t>MOVE_ROCK_SLIDE</t>
        </is>
      </c>
    </row>
    <row r="2394">
      <c r="A2394" s="3" t="inlineStr">
        <is>
          <t>SPECIES_DWEBBLE</t>
        </is>
      </c>
      <c r="B2394" s="3" t="inlineStr">
        <is>
          <t>Dwebble</t>
        </is>
      </c>
      <c r="C2394" s="3" t="n">
        <v>28</v>
      </c>
      <c r="D2394" s="3" t="inlineStr">
        <is>
          <t>Stealth Rock</t>
        </is>
      </c>
      <c r="E2394" s="3" t="inlineStr">
        <is>
          <t>MOVE_STEALTH_ROCK</t>
        </is>
      </c>
    </row>
    <row r="2395">
      <c r="A2395" s="3" t="inlineStr">
        <is>
          <t>SPECIES_DWEBBLE</t>
        </is>
      </c>
      <c r="B2395" s="3" t="inlineStr">
        <is>
          <t>Dwebble</t>
        </is>
      </c>
      <c r="C2395" s="3" t="n">
        <v>32</v>
      </c>
      <c r="D2395" s="3" t="inlineStr">
        <is>
          <t>Rock Blast</t>
        </is>
      </c>
      <c r="E2395" s="3" t="inlineStr">
        <is>
          <t>MOVE_ROCK_BLAST</t>
        </is>
      </c>
    </row>
    <row r="2396">
      <c r="A2396" s="3" t="inlineStr">
        <is>
          <t>SPECIES_DWEBBLE</t>
        </is>
      </c>
      <c r="B2396" s="3" t="inlineStr">
        <is>
          <t>Dwebble</t>
        </is>
      </c>
      <c r="C2396" s="3" t="n">
        <v>36</v>
      </c>
      <c r="D2396" s="3" t="inlineStr">
        <is>
          <t>X-Scissor</t>
        </is>
      </c>
      <c r="E2396" s="3" t="inlineStr">
        <is>
          <t>MOVE_X_SCISSOR</t>
        </is>
      </c>
    </row>
    <row r="2397">
      <c r="A2397" s="3" t="inlineStr">
        <is>
          <t>SPECIES_DWEBBLE</t>
        </is>
      </c>
      <c r="B2397" s="3" t="inlineStr">
        <is>
          <t>Dwebble</t>
        </is>
      </c>
      <c r="C2397" s="3" t="n">
        <v>40</v>
      </c>
      <c r="D2397" s="3" t="inlineStr">
        <is>
          <t>Rock Polish</t>
        </is>
      </c>
      <c r="E2397" s="3" t="inlineStr">
        <is>
          <t>MOVE_ROCK_POLISH</t>
        </is>
      </c>
    </row>
    <row r="2398">
      <c r="A2398" s="3" t="inlineStr">
        <is>
          <t>SPECIES_DWEBBLE</t>
        </is>
      </c>
      <c r="B2398" s="3" t="inlineStr">
        <is>
          <t>Dwebble</t>
        </is>
      </c>
      <c r="C2398" s="3" t="n">
        <v>44</v>
      </c>
      <c r="D2398" s="3" t="inlineStr">
        <is>
          <t>Shell Smash</t>
        </is>
      </c>
      <c r="E2398" s="3" t="inlineStr">
        <is>
          <t>MOVE_SHELL_SMASH</t>
        </is>
      </c>
    </row>
    <row r="2399">
      <c r="A2399" s="3" t="inlineStr">
        <is>
          <t>SPECIES_DWEBBLE</t>
        </is>
      </c>
      <c r="B2399" s="3" t="inlineStr">
        <is>
          <t>Dwebble</t>
        </is>
      </c>
      <c r="C2399" s="3" t="n">
        <v>48</v>
      </c>
      <c r="D2399" s="3" t="inlineStr">
        <is>
          <t>Rock Wrecker</t>
        </is>
      </c>
      <c r="E2399" s="3" t="inlineStr">
        <is>
          <t>MOVE_ROCK_WRECKER</t>
        </is>
      </c>
    </row>
    <row r="2400">
      <c r="A2400" s="3" t="inlineStr">
        <is>
          <t>SPECIES_CRUSTLE</t>
        </is>
      </c>
      <c r="B2400" s="3" t="inlineStr">
        <is>
          <t>Crustle</t>
        </is>
      </c>
      <c r="C2400" s="3" t="n">
        <v>1</v>
      </c>
      <c r="D2400" s="3" t="inlineStr">
        <is>
          <t>Fury Cutter</t>
        </is>
      </c>
      <c r="E2400" s="3" t="inlineStr">
        <is>
          <t>MOVE_FURY_CUTTER</t>
        </is>
      </c>
    </row>
    <row r="2401">
      <c r="A2401" s="3" t="inlineStr">
        <is>
          <t>SPECIES_CRUSTLE</t>
        </is>
      </c>
      <c r="B2401" s="3" t="inlineStr">
        <is>
          <t>Crustle</t>
        </is>
      </c>
      <c r="C2401" s="3" t="n">
        <v>1</v>
      </c>
      <c r="D2401" s="3" t="inlineStr">
        <is>
          <t>Sand Attack</t>
        </is>
      </c>
      <c r="E2401" s="3" t="inlineStr">
        <is>
          <t>MOVE_SAND_ATTACK</t>
        </is>
      </c>
    </row>
    <row r="2402">
      <c r="A2402" s="3" t="inlineStr">
        <is>
          <t>SPECIES_CRUSTLE</t>
        </is>
      </c>
      <c r="B2402" s="3" t="inlineStr">
        <is>
          <t>Crustle</t>
        </is>
      </c>
      <c r="C2402" s="3" t="n">
        <v>1</v>
      </c>
      <c r="D2402" s="3" t="inlineStr">
        <is>
          <t>Withdraw</t>
        </is>
      </c>
      <c r="E2402" s="3" t="inlineStr">
        <is>
          <t>MOVE_WITHDRAW</t>
        </is>
      </c>
    </row>
    <row r="2403">
      <c r="A2403" s="3" t="inlineStr">
        <is>
          <t>SPECIES_CRUSTLE</t>
        </is>
      </c>
      <c r="B2403" s="3" t="inlineStr">
        <is>
          <t>Crustle</t>
        </is>
      </c>
      <c r="C2403" s="3" t="n">
        <v>1</v>
      </c>
      <c r="D2403" s="3" t="inlineStr">
        <is>
          <t>Smack Down</t>
        </is>
      </c>
      <c r="E2403" s="3" t="inlineStr">
        <is>
          <t>MOVE_SMACK_DOWN</t>
        </is>
      </c>
    </row>
    <row r="2404">
      <c r="A2404" s="3" t="inlineStr">
        <is>
          <t>SPECIES_CRUSTLE</t>
        </is>
      </c>
      <c r="B2404" s="3" t="inlineStr">
        <is>
          <t>Crustle</t>
        </is>
      </c>
      <c r="C2404" s="3" t="n">
        <v>12</v>
      </c>
      <c r="D2404" s="3" t="inlineStr">
        <is>
          <t>Bug Bite</t>
        </is>
      </c>
      <c r="E2404" s="3" t="inlineStr">
        <is>
          <t>MOVE_BUG_BITE</t>
        </is>
      </c>
    </row>
    <row r="2405">
      <c r="A2405" s="3" t="inlineStr">
        <is>
          <t>SPECIES_CRUSTLE</t>
        </is>
      </c>
      <c r="B2405" s="3" t="inlineStr">
        <is>
          <t>Crustle</t>
        </is>
      </c>
      <c r="C2405" s="3" t="n">
        <v>16</v>
      </c>
      <c r="D2405" s="3" t="inlineStr">
        <is>
          <t>Flail</t>
        </is>
      </c>
      <c r="E2405" s="3" t="inlineStr">
        <is>
          <t>MOVE_FLAIL</t>
        </is>
      </c>
    </row>
    <row r="2406">
      <c r="A2406" s="3" t="inlineStr">
        <is>
          <t>SPECIES_CRUSTLE</t>
        </is>
      </c>
      <c r="B2406" s="3" t="inlineStr">
        <is>
          <t>Crustle</t>
        </is>
      </c>
      <c r="C2406" s="3" t="n">
        <v>20</v>
      </c>
      <c r="D2406" s="3" t="inlineStr">
        <is>
          <t>Slash</t>
        </is>
      </c>
      <c r="E2406" s="3" t="inlineStr">
        <is>
          <t>MOVE_SLASH</t>
        </is>
      </c>
    </row>
    <row r="2407">
      <c r="A2407" s="3" t="inlineStr">
        <is>
          <t>SPECIES_CRUSTLE</t>
        </is>
      </c>
      <c r="B2407" s="3" t="inlineStr">
        <is>
          <t>Crustle</t>
        </is>
      </c>
      <c r="C2407" s="3" t="n">
        <v>24</v>
      </c>
      <c r="D2407" s="3" t="inlineStr">
        <is>
          <t>Rock Slide</t>
        </is>
      </c>
      <c r="E2407" s="3" t="inlineStr">
        <is>
          <t>MOVE_ROCK_SLIDE</t>
        </is>
      </c>
    </row>
    <row r="2408">
      <c r="A2408" s="3" t="inlineStr">
        <is>
          <t>SPECIES_CRUSTLE</t>
        </is>
      </c>
      <c r="B2408" s="3" t="inlineStr">
        <is>
          <t>Crustle</t>
        </is>
      </c>
      <c r="C2408" s="3" t="n">
        <v>28</v>
      </c>
      <c r="D2408" s="3" t="inlineStr">
        <is>
          <t>Stealth Rock</t>
        </is>
      </c>
      <c r="E2408" s="3" t="inlineStr">
        <is>
          <t>MOVE_STEALTH_ROCK</t>
        </is>
      </c>
    </row>
    <row r="2409">
      <c r="A2409" s="3" t="inlineStr">
        <is>
          <t>SPECIES_CRUSTLE</t>
        </is>
      </c>
      <c r="B2409" s="3" t="inlineStr">
        <is>
          <t>Crustle</t>
        </is>
      </c>
      <c r="C2409" s="3" t="n">
        <v>32</v>
      </c>
      <c r="D2409" s="3" t="inlineStr">
        <is>
          <t>Rock Blast</t>
        </is>
      </c>
      <c r="E2409" s="3" t="inlineStr">
        <is>
          <t>MOVE_ROCK_BLAST</t>
        </is>
      </c>
    </row>
    <row r="2410">
      <c r="A2410" s="3" t="inlineStr">
        <is>
          <t>SPECIES_CRUSTLE</t>
        </is>
      </c>
      <c r="B2410" s="3" t="inlineStr">
        <is>
          <t>Crustle</t>
        </is>
      </c>
      <c r="C2410" s="3" t="n">
        <v>38</v>
      </c>
      <c r="D2410" s="3" t="inlineStr">
        <is>
          <t>X-Scissor</t>
        </is>
      </c>
      <c r="E2410" s="3" t="inlineStr">
        <is>
          <t>MOVE_X_SCISSOR</t>
        </is>
      </c>
    </row>
    <row r="2411">
      <c r="A2411" s="3" t="inlineStr">
        <is>
          <t>SPECIES_CRUSTLE</t>
        </is>
      </c>
      <c r="B2411" s="3" t="inlineStr">
        <is>
          <t>Crustle</t>
        </is>
      </c>
      <c r="C2411" s="3" t="n">
        <v>44</v>
      </c>
      <c r="D2411" s="3" t="inlineStr">
        <is>
          <t>Rock Polish</t>
        </is>
      </c>
      <c r="E2411" s="3" t="inlineStr">
        <is>
          <t>MOVE_ROCK_POLISH</t>
        </is>
      </c>
    </row>
    <row r="2412">
      <c r="A2412" s="3" t="inlineStr">
        <is>
          <t>SPECIES_CRUSTLE</t>
        </is>
      </c>
      <c r="B2412" s="3" t="inlineStr">
        <is>
          <t>Crustle</t>
        </is>
      </c>
      <c r="C2412" s="3" t="n">
        <v>50</v>
      </c>
      <c r="D2412" s="3" t="inlineStr">
        <is>
          <t>Shell Smash</t>
        </is>
      </c>
      <c r="E2412" s="3" t="inlineStr">
        <is>
          <t>MOVE_SHELL_SMASH</t>
        </is>
      </c>
    </row>
    <row r="2413">
      <c r="A2413" s="3" t="inlineStr">
        <is>
          <t>SPECIES_CRUSTLE</t>
        </is>
      </c>
      <c r="B2413" s="3" t="inlineStr">
        <is>
          <t>Crustle</t>
        </is>
      </c>
      <c r="C2413" s="3" t="n">
        <v>56</v>
      </c>
      <c r="D2413" s="3" t="inlineStr">
        <is>
          <t>Rock Wrecker</t>
        </is>
      </c>
      <c r="E2413" s="3" t="inlineStr">
        <is>
          <t>MOVE_ROCK_WRECKER</t>
        </is>
      </c>
    </row>
    <row r="2414">
      <c r="A2414" s="3" t="inlineStr">
        <is>
          <t>SPECIES_YAMASK</t>
        </is>
      </c>
      <c r="B2414" s="3" t="inlineStr">
        <is>
          <t>Yamask</t>
        </is>
      </c>
      <c r="C2414" s="3" t="n">
        <v>1</v>
      </c>
      <c r="D2414" s="3" t="inlineStr">
        <is>
          <t>Astonish</t>
        </is>
      </c>
      <c r="E2414" s="3" t="inlineStr">
        <is>
          <t>MOVE_ASTONISH</t>
        </is>
      </c>
    </row>
    <row r="2415">
      <c r="A2415" s="3" t="inlineStr">
        <is>
          <t>SPECIES_YAMASK</t>
        </is>
      </c>
      <c r="B2415" s="3" t="inlineStr">
        <is>
          <t>Yamask</t>
        </is>
      </c>
      <c r="C2415" s="3" t="n">
        <v>1</v>
      </c>
      <c r="D2415" s="3" t="inlineStr">
        <is>
          <t>Protect</t>
        </is>
      </c>
      <c r="E2415" s="3" t="inlineStr">
        <is>
          <t>MOVE_PROTECT</t>
        </is>
      </c>
    </row>
    <row r="2416">
      <c r="A2416" s="3" t="inlineStr">
        <is>
          <t>SPECIES_YAMASK</t>
        </is>
      </c>
      <c r="B2416" s="3" t="inlineStr">
        <is>
          <t>Yamask</t>
        </is>
      </c>
      <c r="C2416" s="3" t="n">
        <v>4</v>
      </c>
      <c r="D2416" s="3" t="inlineStr">
        <is>
          <t>Haze</t>
        </is>
      </c>
      <c r="E2416" s="3" t="inlineStr">
        <is>
          <t>MOVE_HAZE</t>
        </is>
      </c>
    </row>
    <row r="2417">
      <c r="A2417" s="3" t="inlineStr">
        <is>
          <t>SPECIES_YAMASK</t>
        </is>
      </c>
      <c r="B2417" s="3" t="inlineStr">
        <is>
          <t>Yamask</t>
        </is>
      </c>
      <c r="C2417" s="3" t="n">
        <v>8</v>
      </c>
      <c r="D2417" s="3" t="inlineStr">
        <is>
          <t>Night Shade</t>
        </is>
      </c>
      <c r="E2417" s="3" t="inlineStr">
        <is>
          <t>MOVE_NIGHT_SHADE</t>
        </is>
      </c>
    </row>
    <row r="2418">
      <c r="A2418" s="3" t="inlineStr">
        <is>
          <t>SPECIES_YAMASK</t>
        </is>
      </c>
      <c r="B2418" s="3" t="inlineStr">
        <is>
          <t>Yamask</t>
        </is>
      </c>
      <c r="C2418" s="3" t="n">
        <v>12</v>
      </c>
      <c r="D2418" s="3" t="inlineStr">
        <is>
          <t>Disable</t>
        </is>
      </c>
      <c r="E2418" s="3" t="inlineStr">
        <is>
          <t>MOVE_DISABLE</t>
        </is>
      </c>
    </row>
    <row r="2419">
      <c r="A2419" s="3" t="inlineStr">
        <is>
          <t>SPECIES_YAMASK</t>
        </is>
      </c>
      <c r="B2419" s="3" t="inlineStr">
        <is>
          <t>Yamask</t>
        </is>
      </c>
      <c r="C2419" s="3" t="n">
        <v>16</v>
      </c>
      <c r="D2419" s="3" t="inlineStr">
        <is>
          <t>Will-O-Wisp</t>
        </is>
      </c>
      <c r="E2419" s="3" t="inlineStr">
        <is>
          <t>MOVE_WILL_O_WISP</t>
        </is>
      </c>
    </row>
    <row r="2420">
      <c r="A2420" s="3" t="inlineStr">
        <is>
          <t>SPECIES_YAMASK</t>
        </is>
      </c>
      <c r="B2420" s="3" t="inlineStr">
        <is>
          <t>Yamask</t>
        </is>
      </c>
      <c r="C2420" s="3" t="n">
        <v>20</v>
      </c>
      <c r="D2420" s="3" t="inlineStr">
        <is>
          <t>Crafty Shield</t>
        </is>
      </c>
      <c r="E2420" s="3" t="inlineStr">
        <is>
          <t>MOVE_CRAFTY_SHIELD</t>
        </is>
      </c>
    </row>
    <row r="2421">
      <c r="A2421" s="3" t="inlineStr">
        <is>
          <t>SPECIES_YAMASK</t>
        </is>
      </c>
      <c r="B2421" s="3" t="inlineStr">
        <is>
          <t>Yamask</t>
        </is>
      </c>
      <c r="C2421" s="3" t="n">
        <v>24</v>
      </c>
      <c r="D2421" s="3" t="inlineStr">
        <is>
          <t>Hex</t>
        </is>
      </c>
      <c r="E2421" s="3" t="inlineStr">
        <is>
          <t>MOVE_HEX</t>
        </is>
      </c>
    </row>
    <row r="2422">
      <c r="A2422" s="3" t="inlineStr">
        <is>
          <t>SPECIES_YAMASK</t>
        </is>
      </c>
      <c r="B2422" s="3" t="inlineStr">
        <is>
          <t>Yamask</t>
        </is>
      </c>
      <c r="C2422" s="3" t="n">
        <v>28</v>
      </c>
      <c r="D2422" s="3" t="inlineStr">
        <is>
          <t>Mean Look</t>
        </is>
      </c>
      <c r="E2422" s="3" t="inlineStr">
        <is>
          <t>MOVE_MEAN_LOOK</t>
        </is>
      </c>
    </row>
    <row r="2423">
      <c r="A2423" s="3" t="inlineStr">
        <is>
          <t>SPECIES_YAMASK</t>
        </is>
      </c>
      <c r="B2423" s="3" t="inlineStr">
        <is>
          <t>Yamask</t>
        </is>
      </c>
      <c r="C2423" s="3" t="n">
        <v>32</v>
      </c>
      <c r="D2423" s="3" t="inlineStr">
        <is>
          <t>Grudge</t>
        </is>
      </c>
      <c r="E2423" s="3" t="inlineStr">
        <is>
          <t>MOVE_GRUDGE</t>
        </is>
      </c>
    </row>
    <row r="2424">
      <c r="A2424" s="3" t="inlineStr">
        <is>
          <t>SPECIES_YAMASK</t>
        </is>
      </c>
      <c r="B2424" s="3" t="inlineStr">
        <is>
          <t>Yamask</t>
        </is>
      </c>
      <c r="C2424" s="3" t="n">
        <v>36</v>
      </c>
      <c r="D2424" s="3" t="inlineStr">
        <is>
          <t>Curse</t>
        </is>
      </c>
      <c r="E2424" s="3" t="inlineStr">
        <is>
          <t>MOVE_CURSE</t>
        </is>
      </c>
    </row>
    <row r="2425">
      <c r="A2425" s="3" t="inlineStr">
        <is>
          <t>SPECIES_YAMASK</t>
        </is>
      </c>
      <c r="B2425" s="3" t="inlineStr">
        <is>
          <t>Yamask</t>
        </is>
      </c>
      <c r="C2425" s="3" t="n">
        <v>40</v>
      </c>
      <c r="D2425" s="3" t="inlineStr">
        <is>
          <t>Shadow Ball</t>
        </is>
      </c>
      <c r="E2425" s="3" t="inlineStr">
        <is>
          <t>MOVE_SHADOW_BALL</t>
        </is>
      </c>
    </row>
    <row r="2426">
      <c r="A2426" s="3" t="inlineStr">
        <is>
          <t>SPECIES_YAMASK</t>
        </is>
      </c>
      <c r="B2426" s="3" t="inlineStr">
        <is>
          <t>Yamask</t>
        </is>
      </c>
      <c r="C2426" s="3" t="n">
        <v>44</v>
      </c>
      <c r="D2426" s="3" t="inlineStr">
        <is>
          <t>Dark Pulse</t>
        </is>
      </c>
      <c r="E2426" s="3" t="inlineStr">
        <is>
          <t>MOVE_DARK_PULSE</t>
        </is>
      </c>
    </row>
    <row r="2427">
      <c r="A2427" s="3" t="inlineStr">
        <is>
          <t>SPECIES_YAMASK</t>
        </is>
      </c>
      <c r="B2427" s="3" t="inlineStr">
        <is>
          <t>Yamask</t>
        </is>
      </c>
      <c r="C2427" s="3" t="n">
        <v>48</v>
      </c>
      <c r="D2427" s="3" t="inlineStr">
        <is>
          <t>Power Split</t>
        </is>
      </c>
      <c r="E2427" s="3" t="inlineStr">
        <is>
          <t>MOVE_POWER_SPLIT</t>
        </is>
      </c>
    </row>
    <row r="2428">
      <c r="A2428" s="3" t="inlineStr">
        <is>
          <t>SPECIES_YAMASK</t>
        </is>
      </c>
      <c r="B2428" s="3" t="inlineStr">
        <is>
          <t>Yamask</t>
        </is>
      </c>
      <c r="C2428" s="3" t="n">
        <v>48</v>
      </c>
      <c r="D2428" s="3" t="inlineStr">
        <is>
          <t>Guard Split</t>
        </is>
      </c>
      <c r="E2428" s="3" t="inlineStr">
        <is>
          <t>MOVE_GUARD_SPLIT</t>
        </is>
      </c>
    </row>
    <row r="2429">
      <c r="A2429" s="3" t="inlineStr">
        <is>
          <t>SPECIES_YAMASK</t>
        </is>
      </c>
      <c r="B2429" s="3" t="inlineStr">
        <is>
          <t>Yamask</t>
        </is>
      </c>
      <c r="C2429" s="3" t="n">
        <v>52</v>
      </c>
      <c r="D2429" s="3" t="inlineStr">
        <is>
          <t>Destiny Bond</t>
        </is>
      </c>
      <c r="E2429" s="3" t="inlineStr">
        <is>
          <t>MOVE_DESTINY_BOND</t>
        </is>
      </c>
    </row>
    <row r="2430">
      <c r="A2430" s="3" t="inlineStr">
        <is>
          <t>SPECIES_COFAGRIGUS</t>
        </is>
      </c>
      <c r="B2430" s="3" t="inlineStr">
        <is>
          <t>Cofagrigus</t>
        </is>
      </c>
      <c r="C2430" s="3" t="n">
        <v>0</v>
      </c>
      <c r="D2430" s="3" t="inlineStr">
        <is>
          <t>Shadow Claw</t>
        </is>
      </c>
      <c r="E2430" s="3" t="inlineStr">
        <is>
          <t>MOVE_SHADOW_CLAW</t>
        </is>
      </c>
    </row>
    <row r="2431">
      <c r="A2431" s="3" t="inlineStr">
        <is>
          <t>SPECIES_COFAGRIGUS</t>
        </is>
      </c>
      <c r="B2431" s="3" t="inlineStr">
        <is>
          <t>Cofagrigus</t>
        </is>
      </c>
      <c r="C2431" s="3" t="n">
        <v>1</v>
      </c>
      <c r="D2431" s="3" t="inlineStr">
        <is>
          <t>Shadow Claw</t>
        </is>
      </c>
      <c r="E2431" s="3" t="inlineStr">
        <is>
          <t>MOVE_SHADOW_CLAW</t>
        </is>
      </c>
    </row>
    <row r="2432">
      <c r="A2432" s="3" t="inlineStr">
        <is>
          <t>SPECIES_COFAGRIGUS</t>
        </is>
      </c>
      <c r="B2432" s="3" t="inlineStr">
        <is>
          <t>Cofagrigus</t>
        </is>
      </c>
      <c r="C2432" s="3" t="n">
        <v>1</v>
      </c>
      <c r="D2432" s="3" t="inlineStr">
        <is>
          <t>Scary Face</t>
        </is>
      </c>
      <c r="E2432" s="3" t="inlineStr">
        <is>
          <t>MOVE_SCARY_FACE</t>
        </is>
      </c>
    </row>
    <row r="2433">
      <c r="A2433" s="3" t="inlineStr">
        <is>
          <t>SPECIES_COFAGRIGUS</t>
        </is>
      </c>
      <c r="B2433" s="3" t="inlineStr">
        <is>
          <t>Cofagrigus</t>
        </is>
      </c>
      <c r="C2433" s="3" t="n">
        <v>1</v>
      </c>
      <c r="D2433" s="3" t="inlineStr">
        <is>
          <t>Astonish</t>
        </is>
      </c>
      <c r="E2433" s="3" t="inlineStr">
        <is>
          <t>MOVE_ASTONISH</t>
        </is>
      </c>
    </row>
    <row r="2434">
      <c r="A2434" s="3" t="inlineStr">
        <is>
          <t>SPECIES_COFAGRIGUS</t>
        </is>
      </c>
      <c r="B2434" s="3" t="inlineStr">
        <is>
          <t>Cofagrigus</t>
        </is>
      </c>
      <c r="C2434" s="3" t="n">
        <v>1</v>
      </c>
      <c r="D2434" s="3" t="inlineStr">
        <is>
          <t>Protect</t>
        </is>
      </c>
      <c r="E2434" s="3" t="inlineStr">
        <is>
          <t>MOVE_PROTECT</t>
        </is>
      </c>
    </row>
    <row r="2435">
      <c r="A2435" s="3" t="inlineStr">
        <is>
          <t>SPECIES_COFAGRIGUS</t>
        </is>
      </c>
      <c r="B2435" s="3" t="inlineStr">
        <is>
          <t>Cofagrigus</t>
        </is>
      </c>
      <c r="C2435" s="3" t="n">
        <v>1</v>
      </c>
      <c r="D2435" s="3" t="inlineStr">
        <is>
          <t>Haze</t>
        </is>
      </c>
      <c r="E2435" s="3" t="inlineStr">
        <is>
          <t>MOVE_HAZE</t>
        </is>
      </c>
    </row>
    <row r="2436">
      <c r="A2436" s="3" t="inlineStr">
        <is>
          <t>SPECIES_COFAGRIGUS</t>
        </is>
      </c>
      <c r="B2436" s="3" t="inlineStr">
        <is>
          <t>Cofagrigus</t>
        </is>
      </c>
      <c r="C2436" s="3" t="n">
        <v>1</v>
      </c>
      <c r="D2436" s="3" t="inlineStr">
        <is>
          <t>Night Shade</t>
        </is>
      </c>
      <c r="E2436" s="3" t="inlineStr">
        <is>
          <t>MOVE_NIGHT_SHADE</t>
        </is>
      </c>
    </row>
    <row r="2437">
      <c r="A2437" s="3" t="inlineStr">
        <is>
          <t>SPECIES_COFAGRIGUS</t>
        </is>
      </c>
      <c r="B2437" s="3" t="inlineStr">
        <is>
          <t>Cofagrigus</t>
        </is>
      </c>
      <c r="C2437" s="3" t="n">
        <v>12</v>
      </c>
      <c r="D2437" s="3" t="inlineStr">
        <is>
          <t>Disable</t>
        </is>
      </c>
      <c r="E2437" s="3" t="inlineStr">
        <is>
          <t>MOVE_DISABLE</t>
        </is>
      </c>
    </row>
    <row r="2438">
      <c r="A2438" s="3" t="inlineStr">
        <is>
          <t>SPECIES_COFAGRIGUS</t>
        </is>
      </c>
      <c r="B2438" s="3" t="inlineStr">
        <is>
          <t>Cofagrigus</t>
        </is>
      </c>
      <c r="C2438" s="3" t="n">
        <v>16</v>
      </c>
      <c r="D2438" s="3" t="inlineStr">
        <is>
          <t>Will-O-Wisp</t>
        </is>
      </c>
      <c r="E2438" s="3" t="inlineStr">
        <is>
          <t>MOVE_WILL_O_WISP</t>
        </is>
      </c>
    </row>
    <row r="2439">
      <c r="A2439" s="3" t="inlineStr">
        <is>
          <t>SPECIES_COFAGRIGUS</t>
        </is>
      </c>
      <c r="B2439" s="3" t="inlineStr">
        <is>
          <t>Cofagrigus</t>
        </is>
      </c>
      <c r="C2439" s="3" t="n">
        <v>20</v>
      </c>
      <c r="D2439" s="3" t="inlineStr">
        <is>
          <t>Crafty Shield</t>
        </is>
      </c>
      <c r="E2439" s="3" t="inlineStr">
        <is>
          <t>MOVE_CRAFTY_SHIELD</t>
        </is>
      </c>
    </row>
    <row r="2440">
      <c r="A2440" s="3" t="inlineStr">
        <is>
          <t>SPECIES_COFAGRIGUS</t>
        </is>
      </c>
      <c r="B2440" s="3" t="inlineStr">
        <is>
          <t>Cofagrigus</t>
        </is>
      </c>
      <c r="C2440" s="3" t="n">
        <v>24</v>
      </c>
      <c r="D2440" s="3" t="inlineStr">
        <is>
          <t>Hex</t>
        </is>
      </c>
      <c r="E2440" s="3" t="inlineStr">
        <is>
          <t>MOVE_HEX</t>
        </is>
      </c>
    </row>
    <row r="2441">
      <c r="A2441" s="3" t="inlineStr">
        <is>
          <t>SPECIES_COFAGRIGUS</t>
        </is>
      </c>
      <c r="B2441" s="3" t="inlineStr">
        <is>
          <t>Cofagrigus</t>
        </is>
      </c>
      <c r="C2441" s="3" t="n">
        <v>28</v>
      </c>
      <c r="D2441" s="3" t="inlineStr">
        <is>
          <t>Mean Look</t>
        </is>
      </c>
      <c r="E2441" s="3" t="inlineStr">
        <is>
          <t>MOVE_MEAN_LOOK</t>
        </is>
      </c>
    </row>
    <row r="2442">
      <c r="A2442" s="3" t="inlineStr">
        <is>
          <t>SPECIES_COFAGRIGUS</t>
        </is>
      </c>
      <c r="B2442" s="3" t="inlineStr">
        <is>
          <t>Cofagrigus</t>
        </is>
      </c>
      <c r="C2442" s="3" t="n">
        <v>32</v>
      </c>
      <c r="D2442" s="3" t="inlineStr">
        <is>
          <t>Grudge</t>
        </is>
      </c>
      <c r="E2442" s="3" t="inlineStr">
        <is>
          <t>MOVE_GRUDGE</t>
        </is>
      </c>
    </row>
    <row r="2443">
      <c r="A2443" s="3" t="inlineStr">
        <is>
          <t>SPECIES_COFAGRIGUS</t>
        </is>
      </c>
      <c r="B2443" s="3" t="inlineStr">
        <is>
          <t>Cofagrigus</t>
        </is>
      </c>
      <c r="C2443" s="3" t="n">
        <v>38</v>
      </c>
      <c r="D2443" s="3" t="inlineStr">
        <is>
          <t>Curse</t>
        </is>
      </c>
      <c r="E2443" s="3" t="inlineStr">
        <is>
          <t>MOVE_CURSE</t>
        </is>
      </c>
    </row>
    <row r="2444">
      <c r="A2444" s="3" t="inlineStr">
        <is>
          <t>SPECIES_COFAGRIGUS</t>
        </is>
      </c>
      <c r="B2444" s="3" t="inlineStr">
        <is>
          <t>Cofagrigus</t>
        </is>
      </c>
      <c r="C2444" s="3" t="n">
        <v>44</v>
      </c>
      <c r="D2444" s="3" t="inlineStr">
        <is>
          <t>Shadow Ball</t>
        </is>
      </c>
      <c r="E2444" s="3" t="inlineStr">
        <is>
          <t>MOVE_SHADOW_BALL</t>
        </is>
      </c>
    </row>
    <row r="2445">
      <c r="A2445" s="3" t="inlineStr">
        <is>
          <t>SPECIES_COFAGRIGUS</t>
        </is>
      </c>
      <c r="B2445" s="3" t="inlineStr">
        <is>
          <t>Cofagrigus</t>
        </is>
      </c>
      <c r="C2445" s="3" t="n">
        <v>50</v>
      </c>
      <c r="D2445" s="3" t="inlineStr">
        <is>
          <t>Dark Pulse</t>
        </is>
      </c>
      <c r="E2445" s="3" t="inlineStr">
        <is>
          <t>MOVE_DARK_PULSE</t>
        </is>
      </c>
    </row>
    <row r="2446">
      <c r="A2446" s="3" t="inlineStr">
        <is>
          <t>SPECIES_COFAGRIGUS</t>
        </is>
      </c>
      <c r="B2446" s="3" t="inlineStr">
        <is>
          <t>Cofagrigus</t>
        </is>
      </c>
      <c r="C2446" s="3" t="n">
        <v>56</v>
      </c>
      <c r="D2446" s="3" t="inlineStr">
        <is>
          <t>Power Split</t>
        </is>
      </c>
      <c r="E2446" s="3" t="inlineStr">
        <is>
          <t>MOVE_POWER_SPLIT</t>
        </is>
      </c>
    </row>
    <row r="2447">
      <c r="A2447" s="3" t="inlineStr">
        <is>
          <t>SPECIES_COFAGRIGUS</t>
        </is>
      </c>
      <c r="B2447" s="3" t="inlineStr">
        <is>
          <t>Cofagrigus</t>
        </is>
      </c>
      <c r="C2447" s="3" t="n">
        <v>56</v>
      </c>
      <c r="D2447" s="3" t="inlineStr">
        <is>
          <t>Guard Split</t>
        </is>
      </c>
      <c r="E2447" s="3" t="inlineStr">
        <is>
          <t>MOVE_GUARD_SPLIT</t>
        </is>
      </c>
    </row>
    <row r="2448">
      <c r="A2448" s="3" t="inlineStr">
        <is>
          <t>SPECIES_COFAGRIGUS</t>
        </is>
      </c>
      <c r="B2448" s="3" t="inlineStr">
        <is>
          <t>Cofagrigus</t>
        </is>
      </c>
      <c r="C2448" s="3" t="n">
        <v>62</v>
      </c>
      <c r="D2448" s="3" t="inlineStr">
        <is>
          <t>Destiny Bond</t>
        </is>
      </c>
      <c r="E2448" s="3" t="inlineStr">
        <is>
          <t>MOVE_DESTINY_BOND</t>
        </is>
      </c>
    </row>
    <row r="2449">
      <c r="A2449" s="3" t="inlineStr">
        <is>
          <t>SPECIES_RUNERIGUS</t>
        </is>
      </c>
      <c r="B2449" s="3" t="inlineStr">
        <is>
          <t>Runerigus</t>
        </is>
      </c>
      <c r="C2449" s="3" t="n">
        <v>0</v>
      </c>
      <c r="D2449" s="3" t="inlineStr">
        <is>
          <t>Shadow Claw</t>
        </is>
      </c>
      <c r="E2449" s="3" t="inlineStr">
        <is>
          <t>MOVE_SHADOW_CLAW</t>
        </is>
      </c>
    </row>
    <row r="2450">
      <c r="A2450" s="3" t="inlineStr">
        <is>
          <t>SPECIES_RUNERIGUS</t>
        </is>
      </c>
      <c r="B2450" s="3" t="inlineStr">
        <is>
          <t>Runerigus</t>
        </is>
      </c>
      <c r="C2450" s="3" t="n">
        <v>1</v>
      </c>
      <c r="D2450" s="3" t="inlineStr">
        <is>
          <t>Shadow Claw</t>
        </is>
      </c>
      <c r="E2450" s="3" t="inlineStr">
        <is>
          <t>MOVE_SHADOW_CLAW</t>
        </is>
      </c>
    </row>
    <row r="2451">
      <c r="A2451" s="3" t="inlineStr">
        <is>
          <t>SPECIES_RUNERIGUS</t>
        </is>
      </c>
      <c r="B2451" s="3" t="inlineStr">
        <is>
          <t>Runerigus</t>
        </is>
      </c>
      <c r="C2451" s="3" t="n">
        <v>1</v>
      </c>
      <c r="D2451" s="3" t="inlineStr">
        <is>
          <t>Scary Face</t>
        </is>
      </c>
      <c r="E2451" s="3" t="inlineStr">
        <is>
          <t>MOVE_SCARY_FACE</t>
        </is>
      </c>
    </row>
    <row r="2452">
      <c r="A2452" s="3" t="inlineStr">
        <is>
          <t>SPECIES_RUNERIGUS</t>
        </is>
      </c>
      <c r="B2452" s="3" t="inlineStr">
        <is>
          <t>Runerigus</t>
        </is>
      </c>
      <c r="C2452" s="3" t="n">
        <v>1</v>
      </c>
      <c r="D2452" s="3" t="inlineStr">
        <is>
          <t>Astonish</t>
        </is>
      </c>
      <c r="E2452" s="3" t="inlineStr">
        <is>
          <t>MOVE_ASTONISH</t>
        </is>
      </c>
    </row>
    <row r="2453">
      <c r="A2453" s="3" t="inlineStr">
        <is>
          <t>SPECIES_RUNERIGUS</t>
        </is>
      </c>
      <c r="B2453" s="3" t="inlineStr">
        <is>
          <t>Runerigus</t>
        </is>
      </c>
      <c r="C2453" s="3" t="n">
        <v>1</v>
      </c>
      <c r="D2453" s="3" t="inlineStr">
        <is>
          <t>Protect</t>
        </is>
      </c>
      <c r="E2453" s="3" t="inlineStr">
        <is>
          <t>MOVE_PROTECT</t>
        </is>
      </c>
    </row>
    <row r="2454">
      <c r="A2454" s="3" t="inlineStr">
        <is>
          <t>SPECIES_RUNERIGUS</t>
        </is>
      </c>
      <c r="B2454" s="3" t="inlineStr">
        <is>
          <t>Runerigus</t>
        </is>
      </c>
      <c r="C2454" s="3" t="n">
        <v>1</v>
      </c>
      <c r="D2454" s="3" t="inlineStr">
        <is>
          <t>Haze</t>
        </is>
      </c>
      <c r="E2454" s="3" t="inlineStr">
        <is>
          <t>MOVE_HAZE</t>
        </is>
      </c>
    </row>
    <row r="2455">
      <c r="A2455" s="3" t="inlineStr">
        <is>
          <t>SPECIES_RUNERIGUS</t>
        </is>
      </c>
      <c r="B2455" s="3" t="inlineStr">
        <is>
          <t>Runerigus</t>
        </is>
      </c>
      <c r="C2455" s="3" t="n">
        <v>1</v>
      </c>
      <c r="D2455" s="3" t="inlineStr">
        <is>
          <t>Night Shade</t>
        </is>
      </c>
      <c r="E2455" s="3" t="inlineStr">
        <is>
          <t>MOVE_NIGHT_SHADE</t>
        </is>
      </c>
    </row>
    <row r="2456">
      <c r="A2456" s="3" t="inlineStr">
        <is>
          <t>SPECIES_RUNERIGUS</t>
        </is>
      </c>
      <c r="B2456" s="3" t="inlineStr">
        <is>
          <t>Runerigus</t>
        </is>
      </c>
      <c r="C2456" s="3" t="n">
        <v>12</v>
      </c>
      <c r="D2456" s="3" t="inlineStr">
        <is>
          <t>Disable</t>
        </is>
      </c>
      <c r="E2456" s="3" t="inlineStr">
        <is>
          <t>MOVE_DISABLE</t>
        </is>
      </c>
    </row>
    <row r="2457">
      <c r="A2457" s="3" t="inlineStr">
        <is>
          <t>SPECIES_RUNERIGUS</t>
        </is>
      </c>
      <c r="B2457" s="3" t="inlineStr">
        <is>
          <t>Runerigus</t>
        </is>
      </c>
      <c r="C2457" s="3" t="n">
        <v>16</v>
      </c>
      <c r="D2457" s="3" t="inlineStr">
        <is>
          <t>Brutal Swing</t>
        </is>
      </c>
      <c r="E2457" s="3" t="inlineStr">
        <is>
          <t>MOVE_BRUTAL_SWING</t>
        </is>
      </c>
    </row>
    <row r="2458">
      <c r="A2458" s="3" t="inlineStr">
        <is>
          <t>SPECIES_RUNERIGUS</t>
        </is>
      </c>
      <c r="B2458" s="3" t="inlineStr">
        <is>
          <t>Runerigus</t>
        </is>
      </c>
      <c r="C2458" s="3" t="n">
        <v>20</v>
      </c>
      <c r="D2458" s="3" t="inlineStr">
        <is>
          <t>Crafty Shield</t>
        </is>
      </c>
      <c r="E2458" s="3" t="inlineStr">
        <is>
          <t>MOVE_CRAFTY_SHIELD</t>
        </is>
      </c>
    </row>
    <row r="2459">
      <c r="A2459" s="3" t="inlineStr">
        <is>
          <t>SPECIES_RUNERIGUS</t>
        </is>
      </c>
      <c r="B2459" s="3" t="inlineStr">
        <is>
          <t>Runerigus</t>
        </is>
      </c>
      <c r="C2459" s="3" t="n">
        <v>24</v>
      </c>
      <c r="D2459" s="3" t="inlineStr">
        <is>
          <t>Hex</t>
        </is>
      </c>
      <c r="E2459" s="3" t="inlineStr">
        <is>
          <t>MOVE_HEX</t>
        </is>
      </c>
    </row>
    <row r="2460">
      <c r="A2460" s="3" t="inlineStr">
        <is>
          <t>SPECIES_RUNERIGUS</t>
        </is>
      </c>
      <c r="B2460" s="3" t="inlineStr">
        <is>
          <t>Runerigus</t>
        </is>
      </c>
      <c r="C2460" s="3" t="n">
        <v>28</v>
      </c>
      <c r="D2460" s="3" t="inlineStr">
        <is>
          <t>Mean Look</t>
        </is>
      </c>
      <c r="E2460" s="3" t="inlineStr">
        <is>
          <t>MOVE_MEAN_LOOK</t>
        </is>
      </c>
    </row>
    <row r="2461">
      <c r="A2461" s="3" t="inlineStr">
        <is>
          <t>SPECIES_RUNERIGUS</t>
        </is>
      </c>
      <c r="B2461" s="3" t="inlineStr">
        <is>
          <t>Runerigus</t>
        </is>
      </c>
      <c r="C2461" s="3" t="n">
        <v>32</v>
      </c>
      <c r="D2461" s="3" t="inlineStr">
        <is>
          <t>Slam</t>
        </is>
      </c>
      <c r="E2461" s="3" t="inlineStr">
        <is>
          <t>MOVE_SLAM</t>
        </is>
      </c>
    </row>
    <row r="2462">
      <c r="A2462" s="3" t="inlineStr">
        <is>
          <t>SPECIES_RUNERIGUS</t>
        </is>
      </c>
      <c r="B2462" s="3" t="inlineStr">
        <is>
          <t>Runerigus</t>
        </is>
      </c>
      <c r="C2462" s="3" t="n">
        <v>38</v>
      </c>
      <c r="D2462" s="3" t="inlineStr">
        <is>
          <t>Curse</t>
        </is>
      </c>
      <c r="E2462" s="3" t="inlineStr">
        <is>
          <t>MOVE_CURSE</t>
        </is>
      </c>
    </row>
    <row r="2463">
      <c r="A2463" s="3" t="inlineStr">
        <is>
          <t>SPECIES_RUNERIGUS</t>
        </is>
      </c>
      <c r="B2463" s="3" t="inlineStr">
        <is>
          <t>Runerigus</t>
        </is>
      </c>
      <c r="C2463" s="3" t="n">
        <v>44</v>
      </c>
      <c r="D2463" s="3" t="inlineStr">
        <is>
          <t>Shadow Ball</t>
        </is>
      </c>
      <c r="E2463" s="3" t="inlineStr">
        <is>
          <t>MOVE_SHADOW_BALL</t>
        </is>
      </c>
    </row>
    <row r="2464">
      <c r="A2464" s="3" t="inlineStr">
        <is>
          <t>SPECIES_RUNERIGUS</t>
        </is>
      </c>
      <c r="B2464" s="3" t="inlineStr">
        <is>
          <t>Runerigus</t>
        </is>
      </c>
      <c r="C2464" s="3" t="n">
        <v>50</v>
      </c>
      <c r="D2464" s="3" t="inlineStr">
        <is>
          <t>Earthquake</t>
        </is>
      </c>
      <c r="E2464" s="3" t="inlineStr">
        <is>
          <t>MOVE_EARTHQUAKE</t>
        </is>
      </c>
    </row>
    <row r="2465">
      <c r="A2465" s="3" t="inlineStr">
        <is>
          <t>SPECIES_RUNERIGUS</t>
        </is>
      </c>
      <c r="B2465" s="3" t="inlineStr">
        <is>
          <t>Runerigus</t>
        </is>
      </c>
      <c r="C2465" s="3" t="n">
        <v>56</v>
      </c>
      <c r="D2465" s="3" t="inlineStr">
        <is>
          <t>Power Split</t>
        </is>
      </c>
      <c r="E2465" s="3" t="inlineStr">
        <is>
          <t>MOVE_POWER_SPLIT</t>
        </is>
      </c>
    </row>
    <row r="2466">
      <c r="A2466" s="3" t="inlineStr">
        <is>
          <t>SPECIES_RUNERIGUS</t>
        </is>
      </c>
      <c r="B2466" s="3" t="inlineStr">
        <is>
          <t>Runerigus</t>
        </is>
      </c>
      <c r="C2466" s="3" t="n">
        <v>56</v>
      </c>
      <c r="D2466" s="3" t="inlineStr">
        <is>
          <t>Guard Split</t>
        </is>
      </c>
      <c r="E2466" s="3" t="inlineStr">
        <is>
          <t>MOVE_GUARD_SPLIT</t>
        </is>
      </c>
    </row>
    <row r="2467">
      <c r="A2467" s="3" t="inlineStr">
        <is>
          <t>SPECIES_RUNERIGUS</t>
        </is>
      </c>
      <c r="B2467" s="3" t="inlineStr">
        <is>
          <t>Runerigus</t>
        </is>
      </c>
      <c r="C2467" s="3" t="n">
        <v>62</v>
      </c>
      <c r="D2467" s="3" t="inlineStr">
        <is>
          <t>Destiny Bond</t>
        </is>
      </c>
      <c r="E2467" s="3" t="inlineStr">
        <is>
          <t>MOVE_DESTINY_BOND</t>
        </is>
      </c>
    </row>
    <row r="2468">
      <c r="A2468" s="3" t="inlineStr">
        <is>
          <t>SPECIES_TIRTOUGA</t>
        </is>
      </c>
      <c r="B2468" s="3" t="inlineStr">
        <is>
          <t>Tirtouga</t>
        </is>
      </c>
      <c r="C2468" s="3" t="n">
        <v>1</v>
      </c>
      <c r="D2468" s="3" t="inlineStr">
        <is>
          <t>Water Gun</t>
        </is>
      </c>
      <c r="E2468" s="3" t="inlineStr">
        <is>
          <t>MOVE_WATER_GUN</t>
        </is>
      </c>
    </row>
    <row r="2469">
      <c r="A2469" s="3" t="inlineStr">
        <is>
          <t>SPECIES_TIRTOUGA</t>
        </is>
      </c>
      <c r="B2469" s="3" t="inlineStr">
        <is>
          <t>Tirtouga</t>
        </is>
      </c>
      <c r="C2469" s="3" t="n">
        <v>1</v>
      </c>
      <c r="D2469" s="3" t="inlineStr">
        <is>
          <t>Withdraw</t>
        </is>
      </c>
      <c r="E2469" s="3" t="inlineStr">
        <is>
          <t>MOVE_WITHDRAW</t>
        </is>
      </c>
    </row>
    <row r="2470">
      <c r="A2470" s="3" t="inlineStr">
        <is>
          <t>SPECIES_TIRTOUGA</t>
        </is>
      </c>
      <c r="B2470" s="3" t="inlineStr">
        <is>
          <t>Tirtouga</t>
        </is>
      </c>
      <c r="C2470" s="3" t="n">
        <v>3</v>
      </c>
      <c r="D2470" s="3" t="inlineStr">
        <is>
          <t>Protect</t>
        </is>
      </c>
      <c r="E2470" s="3" t="inlineStr">
        <is>
          <t>MOVE_PROTECT</t>
        </is>
      </c>
    </row>
    <row r="2471">
      <c r="A2471" s="3" t="inlineStr">
        <is>
          <t>SPECIES_TIRTOUGA</t>
        </is>
      </c>
      <c r="B2471" s="3" t="inlineStr">
        <is>
          <t>Tirtouga</t>
        </is>
      </c>
      <c r="C2471" s="3" t="n">
        <v>6</v>
      </c>
      <c r="D2471" s="3" t="inlineStr">
        <is>
          <t>Aqua Jet</t>
        </is>
      </c>
      <c r="E2471" s="3" t="inlineStr">
        <is>
          <t>MOVE_AQUA_JET</t>
        </is>
      </c>
    </row>
    <row r="2472">
      <c r="A2472" s="3" t="inlineStr">
        <is>
          <t>SPECIES_TIRTOUGA</t>
        </is>
      </c>
      <c r="B2472" s="3" t="inlineStr">
        <is>
          <t>Tirtouga</t>
        </is>
      </c>
      <c r="C2472" s="3" t="n">
        <v>9</v>
      </c>
      <c r="D2472" s="3" t="inlineStr">
        <is>
          <t>Smack Down</t>
        </is>
      </c>
      <c r="E2472" s="3" t="inlineStr">
        <is>
          <t>MOVE_SMACK_DOWN</t>
        </is>
      </c>
    </row>
    <row r="2473">
      <c r="A2473" s="3" t="inlineStr">
        <is>
          <t>SPECIES_TIRTOUGA</t>
        </is>
      </c>
      <c r="B2473" s="3" t="inlineStr">
        <is>
          <t>Tirtouga</t>
        </is>
      </c>
      <c r="C2473" s="3" t="n">
        <v>12</v>
      </c>
      <c r="D2473" s="3" t="inlineStr">
        <is>
          <t>Ancient Power</t>
        </is>
      </c>
      <c r="E2473" s="3" t="inlineStr">
        <is>
          <t>MOVE_ANCIENT_POWER</t>
        </is>
      </c>
    </row>
    <row r="2474">
      <c r="A2474" s="3" t="inlineStr">
        <is>
          <t>SPECIES_TIRTOUGA</t>
        </is>
      </c>
      <c r="B2474" s="3" t="inlineStr">
        <is>
          <t>Tirtouga</t>
        </is>
      </c>
      <c r="C2474" s="3" t="n">
        <v>15</v>
      </c>
      <c r="D2474" s="3" t="inlineStr">
        <is>
          <t>Bite</t>
        </is>
      </c>
      <c r="E2474" s="3" t="inlineStr">
        <is>
          <t>MOVE_BITE</t>
        </is>
      </c>
    </row>
    <row r="2475">
      <c r="A2475" s="3" t="inlineStr">
        <is>
          <t>SPECIES_TIRTOUGA</t>
        </is>
      </c>
      <c r="B2475" s="3" t="inlineStr">
        <is>
          <t>Tirtouga</t>
        </is>
      </c>
      <c r="C2475" s="3" t="n">
        <v>18</v>
      </c>
      <c r="D2475" s="3" t="inlineStr">
        <is>
          <t>Wide Guard</t>
        </is>
      </c>
      <c r="E2475" s="3" t="inlineStr">
        <is>
          <t>MOVE_WIDE_GUARD</t>
        </is>
      </c>
    </row>
    <row r="2476">
      <c r="A2476" s="3" t="inlineStr">
        <is>
          <t>SPECIES_TIRTOUGA</t>
        </is>
      </c>
      <c r="B2476" s="3" t="inlineStr">
        <is>
          <t>Tirtouga</t>
        </is>
      </c>
      <c r="C2476" s="3" t="n">
        <v>21</v>
      </c>
      <c r="D2476" s="3" t="inlineStr">
        <is>
          <t>Brine</t>
        </is>
      </c>
      <c r="E2476" s="3" t="inlineStr">
        <is>
          <t>MOVE_BRINE</t>
        </is>
      </c>
    </row>
    <row r="2477">
      <c r="A2477" s="3" t="inlineStr">
        <is>
          <t>SPECIES_TIRTOUGA</t>
        </is>
      </c>
      <c r="B2477" s="3" t="inlineStr">
        <is>
          <t>Tirtouga</t>
        </is>
      </c>
      <c r="C2477" s="3" t="n">
        <v>24</v>
      </c>
      <c r="D2477" s="3" t="inlineStr">
        <is>
          <t>Rock Slide</t>
        </is>
      </c>
      <c r="E2477" s="3" t="inlineStr">
        <is>
          <t>MOVE_ROCK_SLIDE</t>
        </is>
      </c>
    </row>
    <row r="2478">
      <c r="A2478" s="3" t="inlineStr">
        <is>
          <t>SPECIES_TIRTOUGA</t>
        </is>
      </c>
      <c r="B2478" s="3" t="inlineStr">
        <is>
          <t>Tirtouga</t>
        </is>
      </c>
      <c r="C2478" s="3" t="n">
        <v>27</v>
      </c>
      <c r="D2478" s="3" t="inlineStr">
        <is>
          <t>Crunch</t>
        </is>
      </c>
      <c r="E2478" s="3" t="inlineStr">
        <is>
          <t>MOVE_CRUNCH</t>
        </is>
      </c>
    </row>
    <row r="2479">
      <c r="A2479" s="3" t="inlineStr">
        <is>
          <t>SPECIES_TIRTOUGA</t>
        </is>
      </c>
      <c r="B2479" s="3" t="inlineStr">
        <is>
          <t>Tirtouga</t>
        </is>
      </c>
      <c r="C2479" s="3" t="n">
        <v>30</v>
      </c>
      <c r="D2479" s="3" t="inlineStr">
        <is>
          <t>Curse</t>
        </is>
      </c>
      <c r="E2479" s="3" t="inlineStr">
        <is>
          <t>MOVE_CURSE</t>
        </is>
      </c>
    </row>
    <row r="2480">
      <c r="A2480" s="3" t="inlineStr">
        <is>
          <t>SPECIES_TIRTOUGA</t>
        </is>
      </c>
      <c r="B2480" s="3" t="inlineStr">
        <is>
          <t>Tirtouga</t>
        </is>
      </c>
      <c r="C2480" s="3" t="n">
        <v>33</v>
      </c>
      <c r="D2480" s="3" t="inlineStr">
        <is>
          <t>Iron Defense</t>
        </is>
      </c>
      <c r="E2480" s="3" t="inlineStr">
        <is>
          <t>MOVE_IRON_DEFENSE</t>
        </is>
      </c>
    </row>
    <row r="2481">
      <c r="A2481" s="3" t="inlineStr">
        <is>
          <t>SPECIES_TIRTOUGA</t>
        </is>
      </c>
      <c r="B2481" s="3" t="inlineStr">
        <is>
          <t>Tirtouga</t>
        </is>
      </c>
      <c r="C2481" s="3" t="n">
        <v>36</v>
      </c>
      <c r="D2481" s="3" t="inlineStr">
        <is>
          <t>Aqua Tail</t>
        </is>
      </c>
      <c r="E2481" s="3" t="inlineStr">
        <is>
          <t>MOVE_AQUA_TAIL</t>
        </is>
      </c>
    </row>
    <row r="2482">
      <c r="A2482" s="3" t="inlineStr">
        <is>
          <t>SPECIES_TIRTOUGA</t>
        </is>
      </c>
      <c r="B2482" s="3" t="inlineStr">
        <is>
          <t>Tirtouga</t>
        </is>
      </c>
      <c r="C2482" s="3" t="n">
        <v>39</v>
      </c>
      <c r="D2482" s="3" t="inlineStr">
        <is>
          <t>Rain Dance</t>
        </is>
      </c>
      <c r="E2482" s="3" t="inlineStr">
        <is>
          <t>MOVE_RAIN_DANCE</t>
        </is>
      </c>
    </row>
    <row r="2483">
      <c r="A2483" s="3" t="inlineStr">
        <is>
          <t>SPECIES_TIRTOUGA</t>
        </is>
      </c>
      <c r="B2483" s="3" t="inlineStr">
        <is>
          <t>Tirtouga</t>
        </is>
      </c>
      <c r="C2483" s="3" t="n">
        <v>42</v>
      </c>
      <c r="D2483" s="3" t="inlineStr">
        <is>
          <t>Hydro Pump</t>
        </is>
      </c>
      <c r="E2483" s="3" t="inlineStr">
        <is>
          <t>MOVE_HYDRO_PUMP</t>
        </is>
      </c>
    </row>
    <row r="2484">
      <c r="A2484" s="3" t="inlineStr">
        <is>
          <t>SPECIES_TIRTOUGA</t>
        </is>
      </c>
      <c r="B2484" s="3" t="inlineStr">
        <is>
          <t>Tirtouga</t>
        </is>
      </c>
      <c r="C2484" s="3" t="n">
        <v>45</v>
      </c>
      <c r="D2484" s="3" t="inlineStr">
        <is>
          <t>Shell Smash</t>
        </is>
      </c>
      <c r="E2484" s="3" t="inlineStr">
        <is>
          <t>MOVE_SHELL_SMASH</t>
        </is>
      </c>
    </row>
    <row r="2485">
      <c r="A2485" s="3" t="inlineStr">
        <is>
          <t>SPECIES_CARRACOSTA</t>
        </is>
      </c>
      <c r="B2485" s="3" t="inlineStr">
        <is>
          <t>Carracosta</t>
        </is>
      </c>
      <c r="C2485" s="3" t="n">
        <v>1</v>
      </c>
      <c r="D2485" s="3" t="inlineStr">
        <is>
          <t>Water Gun</t>
        </is>
      </c>
      <c r="E2485" s="3" t="inlineStr">
        <is>
          <t>MOVE_WATER_GUN</t>
        </is>
      </c>
    </row>
    <row r="2486">
      <c r="A2486" s="3" t="inlineStr">
        <is>
          <t>SPECIES_CARRACOSTA</t>
        </is>
      </c>
      <c r="B2486" s="3" t="inlineStr">
        <is>
          <t>Carracosta</t>
        </is>
      </c>
      <c r="C2486" s="3" t="n">
        <v>1</v>
      </c>
      <c r="D2486" s="3" t="inlineStr">
        <is>
          <t>Withdraw</t>
        </is>
      </c>
      <c r="E2486" s="3" t="inlineStr">
        <is>
          <t>MOVE_WITHDRAW</t>
        </is>
      </c>
    </row>
    <row r="2487">
      <c r="A2487" s="3" t="inlineStr">
        <is>
          <t>SPECIES_CARRACOSTA</t>
        </is>
      </c>
      <c r="B2487" s="3" t="inlineStr">
        <is>
          <t>Carracosta</t>
        </is>
      </c>
      <c r="C2487" s="3" t="n">
        <v>1</v>
      </c>
      <c r="D2487" s="3" t="inlineStr">
        <is>
          <t>Protect</t>
        </is>
      </c>
      <c r="E2487" s="3" t="inlineStr">
        <is>
          <t>MOVE_PROTECT</t>
        </is>
      </c>
    </row>
    <row r="2488">
      <c r="A2488" s="3" t="inlineStr">
        <is>
          <t>SPECIES_CARRACOSTA</t>
        </is>
      </c>
      <c r="B2488" s="3" t="inlineStr">
        <is>
          <t>Carracosta</t>
        </is>
      </c>
      <c r="C2488" s="3" t="n">
        <v>1</v>
      </c>
      <c r="D2488" s="3" t="inlineStr">
        <is>
          <t>Aqua Jet</t>
        </is>
      </c>
      <c r="E2488" s="3" t="inlineStr">
        <is>
          <t>MOVE_AQUA_JET</t>
        </is>
      </c>
    </row>
    <row r="2489">
      <c r="A2489" s="3" t="inlineStr">
        <is>
          <t>SPECIES_CARRACOSTA</t>
        </is>
      </c>
      <c r="B2489" s="3" t="inlineStr">
        <is>
          <t>Carracosta</t>
        </is>
      </c>
      <c r="C2489" s="3" t="n">
        <v>9</v>
      </c>
      <c r="D2489" s="3" t="inlineStr">
        <is>
          <t>Smack Down</t>
        </is>
      </c>
      <c r="E2489" s="3" t="inlineStr">
        <is>
          <t>MOVE_SMACK_DOWN</t>
        </is>
      </c>
    </row>
    <row r="2490">
      <c r="A2490" s="3" t="inlineStr">
        <is>
          <t>SPECIES_CARRACOSTA</t>
        </is>
      </c>
      <c r="B2490" s="3" t="inlineStr">
        <is>
          <t>Carracosta</t>
        </is>
      </c>
      <c r="C2490" s="3" t="n">
        <v>12</v>
      </c>
      <c r="D2490" s="3" t="inlineStr">
        <is>
          <t>Ancient Power</t>
        </is>
      </c>
      <c r="E2490" s="3" t="inlineStr">
        <is>
          <t>MOVE_ANCIENT_POWER</t>
        </is>
      </c>
    </row>
    <row r="2491">
      <c r="A2491" s="3" t="inlineStr">
        <is>
          <t>SPECIES_CARRACOSTA</t>
        </is>
      </c>
      <c r="B2491" s="3" t="inlineStr">
        <is>
          <t>Carracosta</t>
        </is>
      </c>
      <c r="C2491" s="3" t="n">
        <v>15</v>
      </c>
      <c r="D2491" s="3" t="inlineStr">
        <is>
          <t>Bite</t>
        </is>
      </c>
      <c r="E2491" s="3" t="inlineStr">
        <is>
          <t>MOVE_BITE</t>
        </is>
      </c>
    </row>
    <row r="2492">
      <c r="A2492" s="3" t="inlineStr">
        <is>
          <t>SPECIES_CARRACOSTA</t>
        </is>
      </c>
      <c r="B2492" s="3" t="inlineStr">
        <is>
          <t>Carracosta</t>
        </is>
      </c>
      <c r="C2492" s="3" t="n">
        <v>18</v>
      </c>
      <c r="D2492" s="3" t="inlineStr">
        <is>
          <t>Wide Guard</t>
        </is>
      </c>
      <c r="E2492" s="3" t="inlineStr">
        <is>
          <t>MOVE_WIDE_GUARD</t>
        </is>
      </c>
    </row>
    <row r="2493">
      <c r="A2493" s="3" t="inlineStr">
        <is>
          <t>SPECIES_CARRACOSTA</t>
        </is>
      </c>
      <c r="B2493" s="3" t="inlineStr">
        <is>
          <t>Carracosta</t>
        </is>
      </c>
      <c r="C2493" s="3" t="n">
        <v>21</v>
      </c>
      <c r="D2493" s="3" t="inlineStr">
        <is>
          <t>Brine</t>
        </is>
      </c>
      <c r="E2493" s="3" t="inlineStr">
        <is>
          <t>MOVE_BRINE</t>
        </is>
      </c>
    </row>
    <row r="2494">
      <c r="A2494" s="3" t="inlineStr">
        <is>
          <t>SPECIES_CARRACOSTA</t>
        </is>
      </c>
      <c r="B2494" s="3" t="inlineStr">
        <is>
          <t>Carracosta</t>
        </is>
      </c>
      <c r="C2494" s="3" t="n">
        <v>24</v>
      </c>
      <c r="D2494" s="3" t="inlineStr">
        <is>
          <t>Rock Slide</t>
        </is>
      </c>
      <c r="E2494" s="3" t="inlineStr">
        <is>
          <t>MOVE_ROCK_SLIDE</t>
        </is>
      </c>
    </row>
    <row r="2495">
      <c r="A2495" s="3" t="inlineStr">
        <is>
          <t>SPECIES_CARRACOSTA</t>
        </is>
      </c>
      <c r="B2495" s="3" t="inlineStr">
        <is>
          <t>Carracosta</t>
        </is>
      </c>
      <c r="C2495" s="3" t="n">
        <v>27</v>
      </c>
      <c r="D2495" s="3" t="inlineStr">
        <is>
          <t>Crunch</t>
        </is>
      </c>
      <c r="E2495" s="3" t="inlineStr">
        <is>
          <t>MOVE_CRUNCH</t>
        </is>
      </c>
    </row>
    <row r="2496">
      <c r="A2496" s="3" t="inlineStr">
        <is>
          <t>SPECIES_CARRACOSTA</t>
        </is>
      </c>
      <c r="B2496" s="3" t="inlineStr">
        <is>
          <t>Carracosta</t>
        </is>
      </c>
      <c r="C2496" s="3" t="n">
        <v>30</v>
      </c>
      <c r="D2496" s="3" t="inlineStr">
        <is>
          <t>Curse</t>
        </is>
      </c>
      <c r="E2496" s="3" t="inlineStr">
        <is>
          <t>MOVE_CURSE</t>
        </is>
      </c>
    </row>
    <row r="2497">
      <c r="A2497" s="3" t="inlineStr">
        <is>
          <t>SPECIES_CARRACOSTA</t>
        </is>
      </c>
      <c r="B2497" s="3" t="inlineStr">
        <is>
          <t>Carracosta</t>
        </is>
      </c>
      <c r="C2497" s="3" t="n">
        <v>33</v>
      </c>
      <c r="D2497" s="3" t="inlineStr">
        <is>
          <t>Iron Defense</t>
        </is>
      </c>
      <c r="E2497" s="3" t="inlineStr">
        <is>
          <t>MOVE_IRON_DEFENSE</t>
        </is>
      </c>
    </row>
    <row r="2498">
      <c r="A2498" s="3" t="inlineStr">
        <is>
          <t>SPECIES_CARRACOSTA</t>
        </is>
      </c>
      <c r="B2498" s="3" t="inlineStr">
        <is>
          <t>Carracosta</t>
        </is>
      </c>
      <c r="C2498" s="3" t="n">
        <v>36</v>
      </c>
      <c r="D2498" s="3" t="inlineStr">
        <is>
          <t>Aqua Tail</t>
        </is>
      </c>
      <c r="E2498" s="3" t="inlineStr">
        <is>
          <t>MOVE_AQUA_TAIL</t>
        </is>
      </c>
    </row>
    <row r="2499">
      <c r="A2499" s="3" t="inlineStr">
        <is>
          <t>SPECIES_CARRACOSTA</t>
        </is>
      </c>
      <c r="B2499" s="3" t="inlineStr">
        <is>
          <t>Carracosta</t>
        </is>
      </c>
      <c r="C2499" s="3" t="n">
        <v>41</v>
      </c>
      <c r="D2499" s="3" t="inlineStr">
        <is>
          <t>Rain Dance</t>
        </is>
      </c>
      <c r="E2499" s="3" t="inlineStr">
        <is>
          <t>MOVE_RAIN_DANCE</t>
        </is>
      </c>
    </row>
    <row r="2500">
      <c r="A2500" s="3" t="inlineStr">
        <is>
          <t>SPECIES_CARRACOSTA</t>
        </is>
      </c>
      <c r="B2500" s="3" t="inlineStr">
        <is>
          <t>Carracosta</t>
        </is>
      </c>
      <c r="C2500" s="3" t="n">
        <v>46</v>
      </c>
      <c r="D2500" s="3" t="inlineStr">
        <is>
          <t>Hydro Pump</t>
        </is>
      </c>
      <c r="E2500" s="3" t="inlineStr">
        <is>
          <t>MOVE_HYDRO_PUMP</t>
        </is>
      </c>
    </row>
    <row r="2501">
      <c r="A2501" s="3" t="inlineStr">
        <is>
          <t>SPECIES_CARRACOSTA</t>
        </is>
      </c>
      <c r="B2501" s="3" t="inlineStr">
        <is>
          <t>Carracosta</t>
        </is>
      </c>
      <c r="C2501" s="3" t="n">
        <v>51</v>
      </c>
      <c r="D2501" s="3" t="inlineStr">
        <is>
          <t>Shell Smash</t>
        </is>
      </c>
      <c r="E2501" s="3" t="inlineStr">
        <is>
          <t>MOVE_SHELL_SMASH</t>
        </is>
      </c>
    </row>
    <row r="2502">
      <c r="A2502" s="3" t="inlineStr">
        <is>
          <t>SPECIES_ARCHEN</t>
        </is>
      </c>
      <c r="B2502" s="3" t="inlineStr">
        <is>
          <t>Archen</t>
        </is>
      </c>
      <c r="C2502" s="3" t="n">
        <v>1</v>
      </c>
      <c r="D2502" s="3" t="inlineStr">
        <is>
          <t>Quick Attack</t>
        </is>
      </c>
      <c r="E2502" s="3" t="inlineStr">
        <is>
          <t>MOVE_QUICK_ATTACK</t>
        </is>
      </c>
    </row>
    <row r="2503">
      <c r="A2503" s="3" t="inlineStr">
        <is>
          <t>SPECIES_ARCHEN</t>
        </is>
      </c>
      <c r="B2503" s="3" t="inlineStr">
        <is>
          <t>Archen</t>
        </is>
      </c>
      <c r="C2503" s="3" t="n">
        <v>1</v>
      </c>
      <c r="D2503" s="3" t="inlineStr">
        <is>
          <t>Leer</t>
        </is>
      </c>
      <c r="E2503" s="3" t="inlineStr">
        <is>
          <t>MOVE_LEER</t>
        </is>
      </c>
    </row>
    <row r="2504">
      <c r="A2504" s="3" t="inlineStr">
        <is>
          <t>SPECIES_ARCHEN</t>
        </is>
      </c>
      <c r="B2504" s="3" t="inlineStr">
        <is>
          <t>Archen</t>
        </is>
      </c>
      <c r="C2504" s="3" t="n">
        <v>3</v>
      </c>
      <c r="D2504" s="3" t="inlineStr">
        <is>
          <t>Rock Throw</t>
        </is>
      </c>
      <c r="E2504" s="3" t="inlineStr">
        <is>
          <t>MOVE_ROCK_THROW</t>
        </is>
      </c>
    </row>
    <row r="2505">
      <c r="A2505" s="3" t="inlineStr">
        <is>
          <t>SPECIES_ARCHEN</t>
        </is>
      </c>
      <c r="B2505" s="3" t="inlineStr">
        <is>
          <t>Archen</t>
        </is>
      </c>
      <c r="C2505" s="3" t="n">
        <v>6</v>
      </c>
      <c r="D2505" s="3" t="inlineStr">
        <is>
          <t>Wing Attack</t>
        </is>
      </c>
      <c r="E2505" s="3" t="inlineStr">
        <is>
          <t>MOVE_WING_ATTACK</t>
        </is>
      </c>
    </row>
    <row r="2506">
      <c r="A2506" s="3" t="inlineStr">
        <is>
          <t>SPECIES_ARCHEN</t>
        </is>
      </c>
      <c r="B2506" s="3" t="inlineStr">
        <is>
          <t>Archen</t>
        </is>
      </c>
      <c r="C2506" s="3" t="n">
        <v>9</v>
      </c>
      <c r="D2506" s="3" t="inlineStr">
        <is>
          <t>Dragon Breath</t>
        </is>
      </c>
      <c r="E2506" s="3" t="inlineStr">
        <is>
          <t>MOVE_DRAGON_BREATH</t>
        </is>
      </c>
    </row>
    <row r="2507">
      <c r="A2507" s="3" t="inlineStr">
        <is>
          <t>SPECIES_ARCHEN</t>
        </is>
      </c>
      <c r="B2507" s="3" t="inlineStr">
        <is>
          <t>Archen</t>
        </is>
      </c>
      <c r="C2507" s="3" t="n">
        <v>12</v>
      </c>
      <c r="D2507" s="3" t="inlineStr">
        <is>
          <t>Ancient Power</t>
        </is>
      </c>
      <c r="E2507" s="3" t="inlineStr">
        <is>
          <t>MOVE_ANCIENT_POWER</t>
        </is>
      </c>
    </row>
    <row r="2508">
      <c r="A2508" s="3" t="inlineStr">
        <is>
          <t>SPECIES_ARCHEN</t>
        </is>
      </c>
      <c r="B2508" s="3" t="inlineStr">
        <is>
          <t>Archen</t>
        </is>
      </c>
      <c r="C2508" s="3" t="n">
        <v>15</v>
      </c>
      <c r="D2508" s="3" t="inlineStr">
        <is>
          <t>Pluck</t>
        </is>
      </c>
      <c r="E2508" s="3" t="inlineStr">
        <is>
          <t>MOVE_PLUCK</t>
        </is>
      </c>
    </row>
    <row r="2509">
      <c r="A2509" s="3" t="inlineStr">
        <is>
          <t>SPECIES_ARCHEN</t>
        </is>
      </c>
      <c r="B2509" s="3" t="inlineStr">
        <is>
          <t>Archen</t>
        </is>
      </c>
      <c r="C2509" s="3" t="n">
        <v>18</v>
      </c>
      <c r="D2509" s="3" t="inlineStr">
        <is>
          <t>Quick Guard</t>
        </is>
      </c>
      <c r="E2509" s="3" t="inlineStr">
        <is>
          <t>MOVE_QUICK_GUARD</t>
        </is>
      </c>
    </row>
    <row r="2510">
      <c r="A2510" s="3" t="inlineStr">
        <is>
          <t>SPECIES_ARCHEN</t>
        </is>
      </c>
      <c r="B2510" s="3" t="inlineStr">
        <is>
          <t>Archen</t>
        </is>
      </c>
      <c r="C2510" s="3" t="n">
        <v>21</v>
      </c>
      <c r="D2510" s="3" t="inlineStr">
        <is>
          <t>U-turn</t>
        </is>
      </c>
      <c r="E2510" s="3" t="inlineStr">
        <is>
          <t>MOVE_U_TURN</t>
        </is>
      </c>
    </row>
    <row r="2511">
      <c r="A2511" s="3" t="inlineStr">
        <is>
          <t>SPECIES_ARCHEN</t>
        </is>
      </c>
      <c r="B2511" s="3" t="inlineStr">
        <is>
          <t>Archen</t>
        </is>
      </c>
      <c r="C2511" s="3" t="n">
        <v>24</v>
      </c>
      <c r="D2511" s="3" t="inlineStr">
        <is>
          <t>Rock Slide</t>
        </is>
      </c>
      <c r="E2511" s="3" t="inlineStr">
        <is>
          <t>MOVE_ROCK_SLIDE</t>
        </is>
      </c>
    </row>
    <row r="2512">
      <c r="A2512" s="3" t="inlineStr">
        <is>
          <t>SPECIES_ARCHEN</t>
        </is>
      </c>
      <c r="B2512" s="3" t="inlineStr">
        <is>
          <t>Archen</t>
        </is>
      </c>
      <c r="C2512" s="3" t="n">
        <v>27</v>
      </c>
      <c r="D2512" s="3" t="inlineStr">
        <is>
          <t>Scary Face</t>
        </is>
      </c>
      <c r="E2512" s="3" t="inlineStr">
        <is>
          <t>MOVE_SCARY_FACE</t>
        </is>
      </c>
    </row>
    <row r="2513">
      <c r="A2513" s="3" t="inlineStr">
        <is>
          <t>SPECIES_ARCHEN</t>
        </is>
      </c>
      <c r="B2513" s="3" t="inlineStr">
        <is>
          <t>Archen</t>
        </is>
      </c>
      <c r="C2513" s="3" t="n">
        <v>30</v>
      </c>
      <c r="D2513" s="3" t="inlineStr">
        <is>
          <t>Crunch</t>
        </is>
      </c>
      <c r="E2513" s="3" t="inlineStr">
        <is>
          <t>MOVE_CRUNCH</t>
        </is>
      </c>
    </row>
    <row r="2514">
      <c r="A2514" s="3" t="inlineStr">
        <is>
          <t>SPECIES_ARCHEN</t>
        </is>
      </c>
      <c r="B2514" s="3" t="inlineStr">
        <is>
          <t>Archen</t>
        </is>
      </c>
      <c r="C2514" s="3" t="n">
        <v>33</v>
      </c>
      <c r="D2514" s="3" t="inlineStr">
        <is>
          <t>Agility</t>
        </is>
      </c>
      <c r="E2514" s="3" t="inlineStr">
        <is>
          <t>MOVE_AGILITY</t>
        </is>
      </c>
    </row>
    <row r="2515">
      <c r="A2515" s="3" t="inlineStr">
        <is>
          <t>SPECIES_ARCHEN</t>
        </is>
      </c>
      <c r="B2515" s="3" t="inlineStr">
        <is>
          <t>Archen</t>
        </is>
      </c>
      <c r="C2515" s="3" t="n">
        <v>36</v>
      </c>
      <c r="D2515" s="3" t="inlineStr">
        <is>
          <t>Tailwind</t>
        </is>
      </c>
      <c r="E2515" s="3" t="inlineStr">
        <is>
          <t>MOVE_TAILWIND</t>
        </is>
      </c>
    </row>
    <row r="2516">
      <c r="A2516" s="3" t="inlineStr">
        <is>
          <t>SPECIES_ARCHEN</t>
        </is>
      </c>
      <c r="B2516" s="3" t="inlineStr">
        <is>
          <t>Archen</t>
        </is>
      </c>
      <c r="C2516" s="3" t="n">
        <v>39</v>
      </c>
      <c r="D2516" s="3" t="inlineStr">
        <is>
          <t>Dragon Claw</t>
        </is>
      </c>
      <c r="E2516" s="3" t="inlineStr">
        <is>
          <t>MOVE_DRAGON_CLAW</t>
        </is>
      </c>
    </row>
    <row r="2517">
      <c r="A2517" s="3" t="inlineStr">
        <is>
          <t>SPECIES_ARCHEN</t>
        </is>
      </c>
      <c r="B2517" s="3" t="inlineStr">
        <is>
          <t>Archen</t>
        </is>
      </c>
      <c r="C2517" s="3" t="n">
        <v>42</v>
      </c>
      <c r="D2517" s="3" t="inlineStr">
        <is>
          <t>Thrash</t>
        </is>
      </c>
      <c r="E2517" s="3" t="inlineStr">
        <is>
          <t>MOVE_THRASH</t>
        </is>
      </c>
    </row>
    <row r="2518">
      <c r="A2518" s="3" t="inlineStr">
        <is>
          <t>SPECIES_ARCHEN</t>
        </is>
      </c>
      <c r="B2518" s="3" t="inlineStr">
        <is>
          <t>Archen</t>
        </is>
      </c>
      <c r="C2518" s="3" t="n">
        <v>45</v>
      </c>
      <c r="D2518" s="3" t="inlineStr">
        <is>
          <t>Endeavor</t>
        </is>
      </c>
      <c r="E2518" s="3" t="inlineStr">
        <is>
          <t>MOVE_ENDEAVOR</t>
        </is>
      </c>
    </row>
    <row r="2519">
      <c r="A2519" s="3" t="inlineStr">
        <is>
          <t>SPECIES_ARCHEOPS</t>
        </is>
      </c>
      <c r="B2519" s="3" t="inlineStr">
        <is>
          <t>Archeops</t>
        </is>
      </c>
      <c r="C2519" s="3" t="n">
        <v>1</v>
      </c>
      <c r="D2519" s="3" t="inlineStr">
        <is>
          <t>Quick Attack</t>
        </is>
      </c>
      <c r="E2519" s="3" t="inlineStr">
        <is>
          <t>MOVE_QUICK_ATTACK</t>
        </is>
      </c>
    </row>
    <row r="2520">
      <c r="A2520" s="3" t="inlineStr">
        <is>
          <t>SPECIES_ARCHEOPS</t>
        </is>
      </c>
      <c r="B2520" s="3" t="inlineStr">
        <is>
          <t>Archeops</t>
        </is>
      </c>
      <c r="C2520" s="3" t="n">
        <v>1</v>
      </c>
      <c r="D2520" s="3" t="inlineStr">
        <is>
          <t>Leer</t>
        </is>
      </c>
      <c r="E2520" s="3" t="inlineStr">
        <is>
          <t>MOVE_LEER</t>
        </is>
      </c>
    </row>
    <row r="2521">
      <c r="A2521" s="3" t="inlineStr">
        <is>
          <t>SPECIES_ARCHEOPS</t>
        </is>
      </c>
      <c r="B2521" s="3" t="inlineStr">
        <is>
          <t>Archeops</t>
        </is>
      </c>
      <c r="C2521" s="3" t="n">
        <v>1</v>
      </c>
      <c r="D2521" s="3" t="inlineStr">
        <is>
          <t>Rock Throw</t>
        </is>
      </c>
      <c r="E2521" s="3" t="inlineStr">
        <is>
          <t>MOVE_ROCK_THROW</t>
        </is>
      </c>
    </row>
    <row r="2522">
      <c r="A2522" s="3" t="inlineStr">
        <is>
          <t>SPECIES_ARCHEOPS</t>
        </is>
      </c>
      <c r="B2522" s="3" t="inlineStr">
        <is>
          <t>Archeops</t>
        </is>
      </c>
      <c r="C2522" s="3" t="n">
        <v>1</v>
      </c>
      <c r="D2522" s="3" t="inlineStr">
        <is>
          <t>Wing Attack</t>
        </is>
      </c>
      <c r="E2522" s="3" t="inlineStr">
        <is>
          <t>MOVE_WING_ATTACK</t>
        </is>
      </c>
    </row>
    <row r="2523">
      <c r="A2523" s="3" t="inlineStr">
        <is>
          <t>SPECIES_ARCHEOPS</t>
        </is>
      </c>
      <c r="B2523" s="3" t="inlineStr">
        <is>
          <t>Archeops</t>
        </is>
      </c>
      <c r="C2523" s="3" t="n">
        <v>9</v>
      </c>
      <c r="D2523" s="3" t="inlineStr">
        <is>
          <t>Dragon Breath</t>
        </is>
      </c>
      <c r="E2523" s="3" t="inlineStr">
        <is>
          <t>MOVE_DRAGON_BREATH</t>
        </is>
      </c>
    </row>
    <row r="2524">
      <c r="A2524" s="3" t="inlineStr">
        <is>
          <t>SPECIES_ARCHEOPS</t>
        </is>
      </c>
      <c r="B2524" s="3" t="inlineStr">
        <is>
          <t>Archeops</t>
        </is>
      </c>
      <c r="C2524" s="3" t="n">
        <v>12</v>
      </c>
      <c r="D2524" s="3" t="inlineStr">
        <is>
          <t>Ancient Power</t>
        </is>
      </c>
      <c r="E2524" s="3" t="inlineStr">
        <is>
          <t>MOVE_ANCIENT_POWER</t>
        </is>
      </c>
    </row>
    <row r="2525">
      <c r="A2525" s="3" t="inlineStr">
        <is>
          <t>SPECIES_ARCHEOPS</t>
        </is>
      </c>
      <c r="B2525" s="3" t="inlineStr">
        <is>
          <t>Archeops</t>
        </is>
      </c>
      <c r="C2525" s="3" t="n">
        <v>15</v>
      </c>
      <c r="D2525" s="3" t="inlineStr">
        <is>
          <t>Pluck</t>
        </is>
      </c>
      <c r="E2525" s="3" t="inlineStr">
        <is>
          <t>MOVE_PLUCK</t>
        </is>
      </c>
    </row>
    <row r="2526">
      <c r="A2526" s="3" t="inlineStr">
        <is>
          <t>SPECIES_ARCHEOPS</t>
        </is>
      </c>
      <c r="B2526" s="3" t="inlineStr">
        <is>
          <t>Archeops</t>
        </is>
      </c>
      <c r="C2526" s="3" t="n">
        <v>18</v>
      </c>
      <c r="D2526" s="3" t="inlineStr">
        <is>
          <t>Quick Guard</t>
        </is>
      </c>
      <c r="E2526" s="3" t="inlineStr">
        <is>
          <t>MOVE_QUICK_GUARD</t>
        </is>
      </c>
    </row>
    <row r="2527">
      <c r="A2527" s="3" t="inlineStr">
        <is>
          <t>SPECIES_ARCHEOPS</t>
        </is>
      </c>
      <c r="B2527" s="3" t="inlineStr">
        <is>
          <t>Archeops</t>
        </is>
      </c>
      <c r="C2527" s="3" t="n">
        <v>21</v>
      </c>
      <c r="D2527" s="3" t="inlineStr">
        <is>
          <t>U-turn</t>
        </is>
      </c>
      <c r="E2527" s="3" t="inlineStr">
        <is>
          <t>MOVE_U_TURN</t>
        </is>
      </c>
    </row>
    <row r="2528">
      <c r="A2528" s="3" t="inlineStr">
        <is>
          <t>SPECIES_ARCHEOPS</t>
        </is>
      </c>
      <c r="B2528" s="3" t="inlineStr">
        <is>
          <t>Archeops</t>
        </is>
      </c>
      <c r="C2528" s="3" t="n">
        <v>24</v>
      </c>
      <c r="D2528" s="3" t="inlineStr">
        <is>
          <t>Rock Slide</t>
        </is>
      </c>
      <c r="E2528" s="3" t="inlineStr">
        <is>
          <t>MOVE_ROCK_SLIDE</t>
        </is>
      </c>
    </row>
    <row r="2529">
      <c r="A2529" s="3" t="inlineStr">
        <is>
          <t>SPECIES_ARCHEOPS</t>
        </is>
      </c>
      <c r="B2529" s="3" t="inlineStr">
        <is>
          <t>Archeops</t>
        </is>
      </c>
      <c r="C2529" s="3" t="n">
        <v>27</v>
      </c>
      <c r="D2529" s="3" t="inlineStr">
        <is>
          <t>Scary Face</t>
        </is>
      </c>
      <c r="E2529" s="3" t="inlineStr">
        <is>
          <t>MOVE_SCARY_FACE</t>
        </is>
      </c>
    </row>
    <row r="2530">
      <c r="A2530" s="3" t="inlineStr">
        <is>
          <t>SPECIES_ARCHEOPS</t>
        </is>
      </c>
      <c r="B2530" s="3" t="inlineStr">
        <is>
          <t>Archeops</t>
        </is>
      </c>
      <c r="C2530" s="3" t="n">
        <v>30</v>
      </c>
      <c r="D2530" s="3" t="inlineStr">
        <is>
          <t>Crunch</t>
        </is>
      </c>
      <c r="E2530" s="3" t="inlineStr">
        <is>
          <t>MOVE_CRUNCH</t>
        </is>
      </c>
    </row>
    <row r="2531">
      <c r="A2531" s="3" t="inlineStr">
        <is>
          <t>SPECIES_ARCHEOPS</t>
        </is>
      </c>
      <c r="B2531" s="3" t="inlineStr">
        <is>
          <t>Archeops</t>
        </is>
      </c>
      <c r="C2531" s="3" t="n">
        <v>33</v>
      </c>
      <c r="D2531" s="3" t="inlineStr">
        <is>
          <t>Agility</t>
        </is>
      </c>
      <c r="E2531" s="3" t="inlineStr">
        <is>
          <t>MOVE_AGILITY</t>
        </is>
      </c>
    </row>
    <row r="2532">
      <c r="A2532" s="3" t="inlineStr">
        <is>
          <t>SPECIES_ARCHEOPS</t>
        </is>
      </c>
      <c r="B2532" s="3" t="inlineStr">
        <is>
          <t>Archeops</t>
        </is>
      </c>
      <c r="C2532" s="3" t="n">
        <v>36</v>
      </c>
      <c r="D2532" s="3" t="inlineStr">
        <is>
          <t>Tailwind</t>
        </is>
      </c>
      <c r="E2532" s="3" t="inlineStr">
        <is>
          <t>MOVE_TAILWIND</t>
        </is>
      </c>
    </row>
    <row r="2533">
      <c r="A2533" s="3" t="inlineStr">
        <is>
          <t>SPECIES_ARCHEOPS</t>
        </is>
      </c>
      <c r="B2533" s="3" t="inlineStr">
        <is>
          <t>Archeops</t>
        </is>
      </c>
      <c r="C2533" s="3" t="n">
        <v>41</v>
      </c>
      <c r="D2533" s="3" t="inlineStr">
        <is>
          <t>Dragon Claw</t>
        </is>
      </c>
      <c r="E2533" s="3" t="inlineStr">
        <is>
          <t>MOVE_DRAGON_CLAW</t>
        </is>
      </c>
    </row>
    <row r="2534">
      <c r="A2534" s="3" t="inlineStr">
        <is>
          <t>SPECIES_ARCHEOPS</t>
        </is>
      </c>
      <c r="B2534" s="3" t="inlineStr">
        <is>
          <t>Archeops</t>
        </is>
      </c>
      <c r="C2534" s="3" t="n">
        <v>46</v>
      </c>
      <c r="D2534" s="3" t="inlineStr">
        <is>
          <t>Thrash</t>
        </is>
      </c>
      <c r="E2534" s="3" t="inlineStr">
        <is>
          <t>MOVE_THRASH</t>
        </is>
      </c>
    </row>
    <row r="2535">
      <c r="A2535" s="3" t="inlineStr">
        <is>
          <t>SPECIES_ARCHEOPS</t>
        </is>
      </c>
      <c r="B2535" s="3" t="inlineStr">
        <is>
          <t>Archeops</t>
        </is>
      </c>
      <c r="C2535" s="3" t="n">
        <v>51</v>
      </c>
      <c r="D2535" s="3" t="inlineStr">
        <is>
          <t>Endeavor</t>
        </is>
      </c>
      <c r="E2535" s="3" t="inlineStr">
        <is>
          <t>MOVE_ENDEAVOR</t>
        </is>
      </c>
    </row>
    <row r="2536">
      <c r="A2536" s="3" t="inlineStr">
        <is>
          <t>SPECIES_TRUBBISH</t>
        </is>
      </c>
      <c r="B2536" s="3" t="inlineStr">
        <is>
          <t>Trubbish</t>
        </is>
      </c>
      <c r="C2536" s="3" t="n">
        <v>1</v>
      </c>
      <c r="D2536" s="3" t="inlineStr">
        <is>
          <t>Pound</t>
        </is>
      </c>
      <c r="E2536" s="3" t="inlineStr">
        <is>
          <t>MOVE_POUND</t>
        </is>
      </c>
    </row>
    <row r="2537">
      <c r="A2537" s="3" t="inlineStr">
        <is>
          <t>SPECIES_TRUBBISH</t>
        </is>
      </c>
      <c r="B2537" s="3" t="inlineStr">
        <is>
          <t>Trubbish</t>
        </is>
      </c>
      <c r="C2537" s="3" t="n">
        <v>1</v>
      </c>
      <c r="D2537" s="3" t="inlineStr">
        <is>
          <t>Poison Gas</t>
        </is>
      </c>
      <c r="E2537" s="3" t="inlineStr">
        <is>
          <t>MOVE_POISON_GAS</t>
        </is>
      </c>
    </row>
    <row r="2538">
      <c r="A2538" s="3" t="inlineStr">
        <is>
          <t>SPECIES_TRUBBISH</t>
        </is>
      </c>
      <c r="B2538" s="3" t="inlineStr">
        <is>
          <t>Trubbish</t>
        </is>
      </c>
      <c r="C2538" s="3" t="n">
        <v>3</v>
      </c>
      <c r="D2538" s="3" t="inlineStr">
        <is>
          <t>Recycle</t>
        </is>
      </c>
      <c r="E2538" s="3" t="inlineStr">
        <is>
          <t>MOVE_RECYCLE</t>
        </is>
      </c>
    </row>
    <row r="2539">
      <c r="A2539" s="3" t="inlineStr">
        <is>
          <t>SPECIES_TRUBBISH</t>
        </is>
      </c>
      <c r="B2539" s="3" t="inlineStr">
        <is>
          <t>Trubbish</t>
        </is>
      </c>
      <c r="C2539" s="3" t="n">
        <v>6</v>
      </c>
      <c r="D2539" s="3" t="inlineStr">
        <is>
          <t>Acid Spray</t>
        </is>
      </c>
      <c r="E2539" s="3" t="inlineStr">
        <is>
          <t>MOVE_ACID_SPRAY</t>
        </is>
      </c>
    </row>
    <row r="2540">
      <c r="A2540" s="3" t="inlineStr">
        <is>
          <t>SPECIES_TRUBBISH</t>
        </is>
      </c>
      <c r="B2540" s="3" t="inlineStr">
        <is>
          <t>Trubbish</t>
        </is>
      </c>
      <c r="C2540" s="3" t="n">
        <v>9</v>
      </c>
      <c r="D2540" s="3" t="inlineStr">
        <is>
          <t>Amnesia</t>
        </is>
      </c>
      <c r="E2540" s="3" t="inlineStr">
        <is>
          <t>MOVE_AMNESIA</t>
        </is>
      </c>
    </row>
    <row r="2541">
      <c r="A2541" s="3" t="inlineStr">
        <is>
          <t>SPECIES_TRUBBISH</t>
        </is>
      </c>
      <c r="B2541" s="3" t="inlineStr">
        <is>
          <t>Trubbish</t>
        </is>
      </c>
      <c r="C2541" s="3" t="n">
        <v>12</v>
      </c>
      <c r="D2541" s="3" t="inlineStr">
        <is>
          <t>Clear Smog</t>
        </is>
      </c>
      <c r="E2541" s="3" t="inlineStr">
        <is>
          <t>MOVE_CLEAR_SMOG</t>
        </is>
      </c>
    </row>
    <row r="2542">
      <c r="A2542" s="3" t="inlineStr">
        <is>
          <t>SPECIES_TRUBBISH</t>
        </is>
      </c>
      <c r="B2542" s="3" t="inlineStr">
        <is>
          <t>Trubbish</t>
        </is>
      </c>
      <c r="C2542" s="3" t="n">
        <v>15</v>
      </c>
      <c r="D2542" s="3" t="inlineStr">
        <is>
          <t>Toxic Spikes</t>
        </is>
      </c>
      <c r="E2542" s="3" t="inlineStr">
        <is>
          <t>MOVE_TOXIC_SPIKES</t>
        </is>
      </c>
    </row>
    <row r="2543">
      <c r="A2543" s="3" t="inlineStr">
        <is>
          <t>SPECIES_TRUBBISH</t>
        </is>
      </c>
      <c r="B2543" s="3" t="inlineStr">
        <is>
          <t>Trubbish</t>
        </is>
      </c>
      <c r="C2543" s="3" t="n">
        <v>18</v>
      </c>
      <c r="D2543" s="3" t="inlineStr">
        <is>
          <t>Sludge</t>
        </is>
      </c>
      <c r="E2543" s="3" t="inlineStr">
        <is>
          <t>MOVE_SLUDGE</t>
        </is>
      </c>
    </row>
    <row r="2544">
      <c r="A2544" s="3" t="inlineStr">
        <is>
          <t>SPECIES_TRUBBISH</t>
        </is>
      </c>
      <c r="B2544" s="3" t="inlineStr">
        <is>
          <t>Trubbish</t>
        </is>
      </c>
      <c r="C2544" s="3" t="n">
        <v>21</v>
      </c>
      <c r="D2544" s="3" t="inlineStr">
        <is>
          <t>Stockpile</t>
        </is>
      </c>
      <c r="E2544" s="3" t="inlineStr">
        <is>
          <t>MOVE_STOCKPILE</t>
        </is>
      </c>
    </row>
    <row r="2545">
      <c r="A2545" s="3" t="inlineStr">
        <is>
          <t>SPECIES_TRUBBISH</t>
        </is>
      </c>
      <c r="B2545" s="3" t="inlineStr">
        <is>
          <t>Trubbish</t>
        </is>
      </c>
      <c r="C2545" s="3" t="n">
        <v>21</v>
      </c>
      <c r="D2545" s="3" t="inlineStr">
        <is>
          <t>Swallow</t>
        </is>
      </c>
      <c r="E2545" s="3" t="inlineStr">
        <is>
          <t>MOVE_SWALLOW</t>
        </is>
      </c>
    </row>
    <row r="2546">
      <c r="A2546" s="3" t="inlineStr">
        <is>
          <t>SPECIES_TRUBBISH</t>
        </is>
      </c>
      <c r="B2546" s="3" t="inlineStr">
        <is>
          <t>Trubbish</t>
        </is>
      </c>
      <c r="C2546" s="3" t="n">
        <v>24</v>
      </c>
      <c r="D2546" s="3" t="inlineStr">
        <is>
          <t>Take Down</t>
        </is>
      </c>
      <c r="E2546" s="3" t="inlineStr">
        <is>
          <t>MOVE_TAKE_DOWN</t>
        </is>
      </c>
    </row>
    <row r="2547">
      <c r="A2547" s="3" t="inlineStr">
        <is>
          <t>SPECIES_TRUBBISH</t>
        </is>
      </c>
      <c r="B2547" s="3" t="inlineStr">
        <is>
          <t>Trubbish</t>
        </is>
      </c>
      <c r="C2547" s="3" t="n">
        <v>27</v>
      </c>
      <c r="D2547" s="3" t="inlineStr">
        <is>
          <t>Sludge Bomb</t>
        </is>
      </c>
      <c r="E2547" s="3" t="inlineStr">
        <is>
          <t>MOVE_SLUDGE_BOMB</t>
        </is>
      </c>
    </row>
    <row r="2548">
      <c r="A2548" s="3" t="inlineStr">
        <is>
          <t>SPECIES_TRUBBISH</t>
        </is>
      </c>
      <c r="B2548" s="3" t="inlineStr">
        <is>
          <t>Trubbish</t>
        </is>
      </c>
      <c r="C2548" s="3" t="n">
        <v>30</v>
      </c>
      <c r="D2548" s="3" t="inlineStr">
        <is>
          <t>Toxic</t>
        </is>
      </c>
      <c r="E2548" s="3" t="inlineStr">
        <is>
          <t>MOVE_TOXIC</t>
        </is>
      </c>
    </row>
    <row r="2549">
      <c r="A2549" s="3" t="inlineStr">
        <is>
          <t>SPECIES_TRUBBISH</t>
        </is>
      </c>
      <c r="B2549" s="3" t="inlineStr">
        <is>
          <t>Trubbish</t>
        </is>
      </c>
      <c r="C2549" s="3" t="n">
        <v>33</v>
      </c>
      <c r="D2549" s="3" t="inlineStr">
        <is>
          <t>Belch</t>
        </is>
      </c>
      <c r="E2549" s="3" t="inlineStr">
        <is>
          <t>MOVE_BELCH</t>
        </is>
      </c>
    </row>
    <row r="2550">
      <c r="A2550" s="3" t="inlineStr">
        <is>
          <t>SPECIES_TRUBBISH</t>
        </is>
      </c>
      <c r="B2550" s="3" t="inlineStr">
        <is>
          <t>Trubbish</t>
        </is>
      </c>
      <c r="C2550" s="3" t="n">
        <v>37</v>
      </c>
      <c r="D2550" s="3" t="inlineStr">
        <is>
          <t>Pain Split</t>
        </is>
      </c>
      <c r="E2550" s="3" t="inlineStr">
        <is>
          <t>MOVE_PAIN_SPLIT</t>
        </is>
      </c>
    </row>
    <row r="2551">
      <c r="A2551" s="3" t="inlineStr">
        <is>
          <t>SPECIES_TRUBBISH</t>
        </is>
      </c>
      <c r="B2551" s="3" t="inlineStr">
        <is>
          <t>Trubbish</t>
        </is>
      </c>
      <c r="C2551" s="3" t="n">
        <v>39</v>
      </c>
      <c r="D2551" s="3" t="inlineStr">
        <is>
          <t>Gunk Shot</t>
        </is>
      </c>
      <c r="E2551" s="3" t="inlineStr">
        <is>
          <t>MOVE_GUNK_SHOT</t>
        </is>
      </c>
    </row>
    <row r="2552">
      <c r="A2552" s="3" t="inlineStr">
        <is>
          <t>SPECIES_TRUBBISH</t>
        </is>
      </c>
      <c r="B2552" s="3" t="inlineStr">
        <is>
          <t>Trubbish</t>
        </is>
      </c>
      <c r="C2552" s="3" t="n">
        <v>42</v>
      </c>
      <c r="D2552" s="3" t="inlineStr">
        <is>
          <t>Explosion</t>
        </is>
      </c>
      <c r="E2552" s="3" t="inlineStr">
        <is>
          <t>MOVE_EXPLOSION</t>
        </is>
      </c>
    </row>
    <row r="2553">
      <c r="A2553" s="3" t="inlineStr">
        <is>
          <t>SPECIES_GARBODOR</t>
        </is>
      </c>
      <c r="B2553" s="3" t="inlineStr">
        <is>
          <t>Garbodor</t>
        </is>
      </c>
      <c r="C2553" s="3" t="n">
        <v>1</v>
      </c>
      <c r="D2553" s="3" t="inlineStr">
        <is>
          <t>Pound</t>
        </is>
      </c>
      <c r="E2553" s="3" t="inlineStr">
        <is>
          <t>MOVE_POUND</t>
        </is>
      </c>
    </row>
    <row r="2554">
      <c r="A2554" s="3" t="inlineStr">
        <is>
          <t>SPECIES_GARBODOR</t>
        </is>
      </c>
      <c r="B2554" s="3" t="inlineStr">
        <is>
          <t>Garbodor</t>
        </is>
      </c>
      <c r="C2554" s="3" t="n">
        <v>1</v>
      </c>
      <c r="D2554" s="3" t="inlineStr">
        <is>
          <t>Take Down</t>
        </is>
      </c>
      <c r="E2554" s="3" t="inlineStr">
        <is>
          <t>MOVE_TAKE_DOWN</t>
        </is>
      </c>
    </row>
    <row r="2555">
      <c r="A2555" s="3" t="inlineStr">
        <is>
          <t>SPECIES_GARBODOR</t>
        </is>
      </c>
      <c r="B2555" s="3" t="inlineStr">
        <is>
          <t>Garbodor</t>
        </is>
      </c>
      <c r="C2555" s="3" t="n">
        <v>1</v>
      </c>
      <c r="D2555" s="3" t="inlineStr">
        <is>
          <t>Metal Claw</t>
        </is>
      </c>
      <c r="E2555" s="3" t="inlineStr">
        <is>
          <t>MOVE_METAL_CLAW</t>
        </is>
      </c>
    </row>
    <row r="2556">
      <c r="A2556" s="3" t="inlineStr">
        <is>
          <t>SPECIES_GARBODOR</t>
        </is>
      </c>
      <c r="B2556" s="3" t="inlineStr">
        <is>
          <t>Garbodor</t>
        </is>
      </c>
      <c r="C2556" s="3" t="n">
        <v>1</v>
      </c>
      <c r="D2556" s="3" t="inlineStr">
        <is>
          <t>Poison Gas</t>
        </is>
      </c>
      <c r="E2556" s="3" t="inlineStr">
        <is>
          <t>MOVE_POISON_GAS</t>
        </is>
      </c>
    </row>
    <row r="2557">
      <c r="A2557" s="3" t="inlineStr">
        <is>
          <t>SPECIES_GARBODOR</t>
        </is>
      </c>
      <c r="B2557" s="3" t="inlineStr">
        <is>
          <t>Garbodor</t>
        </is>
      </c>
      <c r="C2557" s="3" t="n">
        <v>1</v>
      </c>
      <c r="D2557" s="3" t="inlineStr">
        <is>
          <t>Recycle</t>
        </is>
      </c>
      <c r="E2557" s="3" t="inlineStr">
        <is>
          <t>MOVE_RECYCLE</t>
        </is>
      </c>
    </row>
    <row r="2558">
      <c r="A2558" s="3" t="inlineStr">
        <is>
          <t>SPECIES_GARBODOR</t>
        </is>
      </c>
      <c r="B2558" s="3" t="inlineStr">
        <is>
          <t>Garbodor</t>
        </is>
      </c>
      <c r="C2558" s="3" t="n">
        <v>1</v>
      </c>
      <c r="D2558" s="3" t="inlineStr">
        <is>
          <t>Acid Spray</t>
        </is>
      </c>
      <c r="E2558" s="3" t="inlineStr">
        <is>
          <t>MOVE_ACID_SPRAY</t>
        </is>
      </c>
    </row>
    <row r="2559">
      <c r="A2559" s="3" t="inlineStr">
        <is>
          <t>SPECIES_GARBODOR</t>
        </is>
      </c>
      <c r="B2559" s="3" t="inlineStr">
        <is>
          <t>Garbodor</t>
        </is>
      </c>
      <c r="C2559" s="3" t="n">
        <v>9</v>
      </c>
      <c r="D2559" s="3" t="inlineStr">
        <is>
          <t>Amnesia</t>
        </is>
      </c>
      <c r="E2559" s="3" t="inlineStr">
        <is>
          <t>MOVE_AMNESIA</t>
        </is>
      </c>
    </row>
    <row r="2560">
      <c r="A2560" s="3" t="inlineStr">
        <is>
          <t>SPECIES_GARBODOR</t>
        </is>
      </c>
      <c r="B2560" s="3" t="inlineStr">
        <is>
          <t>Garbodor</t>
        </is>
      </c>
      <c r="C2560" s="3" t="n">
        <v>12</v>
      </c>
      <c r="D2560" s="3" t="inlineStr">
        <is>
          <t>Clear Smog</t>
        </is>
      </c>
      <c r="E2560" s="3" t="inlineStr">
        <is>
          <t>MOVE_CLEAR_SMOG</t>
        </is>
      </c>
    </row>
    <row r="2561">
      <c r="A2561" s="3" t="inlineStr">
        <is>
          <t>SPECIES_GARBODOR</t>
        </is>
      </c>
      <c r="B2561" s="3" t="inlineStr">
        <is>
          <t>Garbodor</t>
        </is>
      </c>
      <c r="C2561" s="3" t="n">
        <v>15</v>
      </c>
      <c r="D2561" s="3" t="inlineStr">
        <is>
          <t>Toxic Spikes</t>
        </is>
      </c>
      <c r="E2561" s="3" t="inlineStr">
        <is>
          <t>MOVE_TOXIC_SPIKES</t>
        </is>
      </c>
    </row>
    <row r="2562">
      <c r="A2562" s="3" t="inlineStr">
        <is>
          <t>SPECIES_GARBODOR</t>
        </is>
      </c>
      <c r="B2562" s="3" t="inlineStr">
        <is>
          <t>Garbodor</t>
        </is>
      </c>
      <c r="C2562" s="3" t="n">
        <v>18</v>
      </c>
      <c r="D2562" s="3" t="inlineStr">
        <is>
          <t>Sludge</t>
        </is>
      </c>
      <c r="E2562" s="3" t="inlineStr">
        <is>
          <t>MOVE_SLUDGE</t>
        </is>
      </c>
    </row>
    <row r="2563">
      <c r="A2563" s="3" t="inlineStr">
        <is>
          <t>SPECIES_GARBODOR</t>
        </is>
      </c>
      <c r="B2563" s="3" t="inlineStr">
        <is>
          <t>Garbodor</t>
        </is>
      </c>
      <c r="C2563" s="3" t="n">
        <v>21</v>
      </c>
      <c r="D2563" s="3" t="inlineStr">
        <is>
          <t>Stockpile</t>
        </is>
      </c>
      <c r="E2563" s="3" t="inlineStr">
        <is>
          <t>MOVE_STOCKPILE</t>
        </is>
      </c>
    </row>
    <row r="2564">
      <c r="A2564" s="3" t="inlineStr">
        <is>
          <t>SPECIES_GARBODOR</t>
        </is>
      </c>
      <c r="B2564" s="3" t="inlineStr">
        <is>
          <t>Garbodor</t>
        </is>
      </c>
      <c r="C2564" s="3" t="n">
        <v>21</v>
      </c>
      <c r="D2564" s="3" t="inlineStr">
        <is>
          <t>Swallow</t>
        </is>
      </c>
      <c r="E2564" s="3" t="inlineStr">
        <is>
          <t>MOVE_SWALLOW</t>
        </is>
      </c>
    </row>
    <row r="2565">
      <c r="A2565" s="3" t="inlineStr">
        <is>
          <t>SPECIES_GARBODOR</t>
        </is>
      </c>
      <c r="B2565" s="3" t="inlineStr">
        <is>
          <t>Garbodor</t>
        </is>
      </c>
      <c r="C2565" s="3" t="n">
        <v>24</v>
      </c>
      <c r="D2565" s="3" t="inlineStr">
        <is>
          <t>Body Slam</t>
        </is>
      </c>
      <c r="E2565" s="3" t="inlineStr">
        <is>
          <t>MOVE_BODY_SLAM</t>
        </is>
      </c>
    </row>
    <row r="2566">
      <c r="A2566" s="3" t="inlineStr">
        <is>
          <t>SPECIES_GARBODOR</t>
        </is>
      </c>
      <c r="B2566" s="3" t="inlineStr">
        <is>
          <t>Garbodor</t>
        </is>
      </c>
      <c r="C2566" s="3" t="n">
        <v>27</v>
      </c>
      <c r="D2566" s="3" t="inlineStr">
        <is>
          <t>Sludge Bomb</t>
        </is>
      </c>
      <c r="E2566" s="3" t="inlineStr">
        <is>
          <t>MOVE_SLUDGE_BOMB</t>
        </is>
      </c>
    </row>
    <row r="2567">
      <c r="A2567" s="3" t="inlineStr">
        <is>
          <t>SPECIES_GARBODOR</t>
        </is>
      </c>
      <c r="B2567" s="3" t="inlineStr">
        <is>
          <t>Garbodor</t>
        </is>
      </c>
      <c r="C2567" s="3" t="n">
        <v>30</v>
      </c>
      <c r="D2567" s="3" t="inlineStr">
        <is>
          <t>Toxic</t>
        </is>
      </c>
      <c r="E2567" s="3" t="inlineStr">
        <is>
          <t>MOVE_TOXIC</t>
        </is>
      </c>
    </row>
    <row r="2568">
      <c r="A2568" s="3" t="inlineStr">
        <is>
          <t>SPECIES_GARBODOR</t>
        </is>
      </c>
      <c r="B2568" s="3" t="inlineStr">
        <is>
          <t>Garbodor</t>
        </is>
      </c>
      <c r="C2568" s="3" t="n">
        <v>33</v>
      </c>
      <c r="D2568" s="3" t="inlineStr">
        <is>
          <t>Belch</t>
        </is>
      </c>
      <c r="E2568" s="3" t="inlineStr">
        <is>
          <t>MOVE_BELCH</t>
        </is>
      </c>
    </row>
    <row r="2569">
      <c r="A2569" s="3" t="inlineStr">
        <is>
          <t>SPECIES_GARBODOR</t>
        </is>
      </c>
      <c r="B2569" s="3" t="inlineStr">
        <is>
          <t>Garbodor</t>
        </is>
      </c>
      <c r="C2569" s="3" t="n">
        <v>39</v>
      </c>
      <c r="D2569" s="3" t="inlineStr">
        <is>
          <t>Pain Split</t>
        </is>
      </c>
      <c r="E2569" s="3" t="inlineStr">
        <is>
          <t>MOVE_PAIN_SPLIT</t>
        </is>
      </c>
    </row>
    <row r="2570">
      <c r="A2570" s="3" t="inlineStr">
        <is>
          <t>SPECIES_GARBODOR</t>
        </is>
      </c>
      <c r="B2570" s="3" t="inlineStr">
        <is>
          <t>Garbodor</t>
        </is>
      </c>
      <c r="C2570" s="3" t="n">
        <v>43</v>
      </c>
      <c r="D2570" s="3" t="inlineStr">
        <is>
          <t>Gunk Shot</t>
        </is>
      </c>
      <c r="E2570" s="3" t="inlineStr">
        <is>
          <t>MOVE_GUNK_SHOT</t>
        </is>
      </c>
    </row>
    <row r="2571">
      <c r="A2571" s="3" t="inlineStr">
        <is>
          <t>SPECIES_GARBODOR</t>
        </is>
      </c>
      <c r="B2571" s="3" t="inlineStr">
        <is>
          <t>Garbodor</t>
        </is>
      </c>
      <c r="C2571" s="3" t="n">
        <v>48</v>
      </c>
      <c r="D2571" s="3" t="inlineStr">
        <is>
          <t>Explosion</t>
        </is>
      </c>
      <c r="E2571" s="3" t="inlineStr">
        <is>
          <t>MOVE_EXPLOSION</t>
        </is>
      </c>
    </row>
    <row r="2572">
      <c r="A2572" s="3" t="inlineStr">
        <is>
          <t>SPECIES_MINCCINO</t>
        </is>
      </c>
      <c r="B2572" s="3" t="inlineStr">
        <is>
          <t>Minccino</t>
        </is>
      </c>
      <c r="C2572" s="3" t="n">
        <v>1</v>
      </c>
      <c r="D2572" s="3" t="inlineStr">
        <is>
          <t>Pound</t>
        </is>
      </c>
      <c r="E2572" s="3" t="inlineStr">
        <is>
          <t>MOVE_POUND</t>
        </is>
      </c>
    </row>
    <row r="2573">
      <c r="A2573" s="3" t="inlineStr">
        <is>
          <t>SPECIES_MINCCINO</t>
        </is>
      </c>
      <c r="B2573" s="3" t="inlineStr">
        <is>
          <t>Minccino</t>
        </is>
      </c>
      <c r="C2573" s="3" t="n">
        <v>1</v>
      </c>
      <c r="D2573" s="3" t="inlineStr">
        <is>
          <t>Doll Eyes</t>
        </is>
      </c>
      <c r="E2573" s="3" t="inlineStr">
        <is>
          <t>MOVE_BABY_DOLL_EYES</t>
        </is>
      </c>
    </row>
    <row r="2574">
      <c r="A2574" s="3" t="inlineStr">
        <is>
          <t>SPECIES_MINCCINO</t>
        </is>
      </c>
      <c r="B2574" s="3" t="inlineStr">
        <is>
          <t>Minccino</t>
        </is>
      </c>
      <c r="C2574" s="3" t="n">
        <v>4</v>
      </c>
      <c r="D2574" s="3" t="inlineStr">
        <is>
          <t>Helping Hand</t>
        </is>
      </c>
      <c r="E2574" s="3" t="inlineStr">
        <is>
          <t>MOVE_HELPING_HAND</t>
        </is>
      </c>
    </row>
    <row r="2575">
      <c r="A2575" s="3" t="inlineStr">
        <is>
          <t>SPECIES_MINCCINO</t>
        </is>
      </c>
      <c r="B2575" s="3" t="inlineStr">
        <is>
          <t>Minccino</t>
        </is>
      </c>
      <c r="C2575" s="3" t="n">
        <v>8</v>
      </c>
      <c r="D2575" s="3" t="inlineStr">
        <is>
          <t>Echoed Voice</t>
        </is>
      </c>
      <c r="E2575" s="3" t="inlineStr">
        <is>
          <t>MOVE_ECHOED_VOICE</t>
        </is>
      </c>
    </row>
    <row r="2576">
      <c r="A2576" s="3" t="inlineStr">
        <is>
          <t>SPECIES_MINCCINO</t>
        </is>
      </c>
      <c r="B2576" s="3" t="inlineStr">
        <is>
          <t>Minccino</t>
        </is>
      </c>
      <c r="C2576" s="3" t="n">
        <v>12</v>
      </c>
      <c r="D2576" s="3" t="inlineStr">
        <is>
          <t>Sing</t>
        </is>
      </c>
      <c r="E2576" s="3" t="inlineStr">
        <is>
          <t>MOVE_SING</t>
        </is>
      </c>
    </row>
    <row r="2577">
      <c r="A2577" s="3" t="inlineStr">
        <is>
          <t>SPECIES_MINCCINO</t>
        </is>
      </c>
      <c r="B2577" s="3" t="inlineStr">
        <is>
          <t>Minccino</t>
        </is>
      </c>
      <c r="C2577" s="3" t="n">
        <v>16</v>
      </c>
      <c r="D2577" s="3" t="inlineStr">
        <is>
          <t>Charm</t>
        </is>
      </c>
      <c r="E2577" s="3" t="inlineStr">
        <is>
          <t>MOVE_CHARM</t>
        </is>
      </c>
    </row>
    <row r="2578">
      <c r="A2578" s="3" t="inlineStr">
        <is>
          <t>SPECIES_MINCCINO</t>
        </is>
      </c>
      <c r="B2578" s="3" t="inlineStr">
        <is>
          <t>Minccino</t>
        </is>
      </c>
      <c r="C2578" s="3" t="n">
        <v>20</v>
      </c>
      <c r="D2578" s="3" t="inlineStr">
        <is>
          <t>Swift</t>
        </is>
      </c>
      <c r="E2578" s="3" t="inlineStr">
        <is>
          <t>MOVE_SWIFT</t>
        </is>
      </c>
    </row>
    <row r="2579">
      <c r="A2579" s="3" t="inlineStr">
        <is>
          <t>SPECIES_MINCCINO</t>
        </is>
      </c>
      <c r="B2579" s="3" t="inlineStr">
        <is>
          <t>Minccino</t>
        </is>
      </c>
      <c r="C2579" s="3" t="n">
        <v>24</v>
      </c>
      <c r="D2579" s="3" t="inlineStr">
        <is>
          <t>Encore</t>
        </is>
      </c>
      <c r="E2579" s="3" t="inlineStr">
        <is>
          <t>MOVE_ENCORE</t>
        </is>
      </c>
    </row>
    <row r="2580">
      <c r="A2580" s="3" t="inlineStr">
        <is>
          <t>SPECIES_MINCCINO</t>
        </is>
      </c>
      <c r="B2580" s="3" t="inlineStr">
        <is>
          <t>Minccino</t>
        </is>
      </c>
      <c r="C2580" s="3" t="n">
        <v>28</v>
      </c>
      <c r="D2580" s="3" t="inlineStr">
        <is>
          <t>After You</t>
        </is>
      </c>
      <c r="E2580" s="3" t="inlineStr">
        <is>
          <t>MOVE_AFTER_YOU</t>
        </is>
      </c>
    </row>
    <row r="2581">
      <c r="A2581" s="3" t="inlineStr">
        <is>
          <t>SPECIES_MINCCINO</t>
        </is>
      </c>
      <c r="B2581" s="3" t="inlineStr">
        <is>
          <t>Minccino</t>
        </is>
      </c>
      <c r="C2581" s="3" t="n">
        <v>32</v>
      </c>
      <c r="D2581" s="3" t="inlineStr">
        <is>
          <t>Tail Slap</t>
        </is>
      </c>
      <c r="E2581" s="3" t="inlineStr">
        <is>
          <t>MOVE_TAIL_SLAP</t>
        </is>
      </c>
    </row>
    <row r="2582">
      <c r="A2582" s="3" t="inlineStr">
        <is>
          <t>SPECIES_MINCCINO</t>
        </is>
      </c>
      <c r="B2582" s="3" t="inlineStr">
        <is>
          <t>Minccino</t>
        </is>
      </c>
      <c r="C2582" s="3" t="n">
        <v>36</v>
      </c>
      <c r="D2582" s="3" t="inlineStr">
        <is>
          <t>Tickle</t>
        </is>
      </c>
      <c r="E2582" s="3" t="inlineStr">
        <is>
          <t>MOVE_TICKLE</t>
        </is>
      </c>
    </row>
    <row r="2583">
      <c r="A2583" s="3" t="inlineStr">
        <is>
          <t>SPECIES_MINCCINO</t>
        </is>
      </c>
      <c r="B2583" s="3" t="inlineStr">
        <is>
          <t>Minccino</t>
        </is>
      </c>
      <c r="C2583" s="3" t="n">
        <v>40</v>
      </c>
      <c r="D2583" s="3" t="inlineStr">
        <is>
          <t>Slam</t>
        </is>
      </c>
      <c r="E2583" s="3" t="inlineStr">
        <is>
          <t>MOVE_SLAM</t>
        </is>
      </c>
    </row>
    <row r="2584">
      <c r="A2584" s="3" t="inlineStr">
        <is>
          <t>SPECIES_MINCCINO</t>
        </is>
      </c>
      <c r="B2584" s="3" t="inlineStr">
        <is>
          <t>Minccino</t>
        </is>
      </c>
      <c r="C2584" s="3" t="n">
        <v>44</v>
      </c>
      <c r="D2584" s="3" t="inlineStr">
        <is>
          <t>Hyper Voice</t>
        </is>
      </c>
      <c r="E2584" s="3" t="inlineStr">
        <is>
          <t>MOVE_HYPER_VOICE</t>
        </is>
      </c>
    </row>
    <row r="2585">
      <c r="A2585" s="3" t="inlineStr">
        <is>
          <t>SPECIES_MINCCINO</t>
        </is>
      </c>
      <c r="B2585" s="3" t="inlineStr">
        <is>
          <t>Minccino</t>
        </is>
      </c>
      <c r="C2585" s="3" t="n">
        <v>48</v>
      </c>
      <c r="D2585" s="3" t="inlineStr">
        <is>
          <t>Last Resort</t>
        </is>
      </c>
      <c r="E2585" s="3" t="inlineStr">
        <is>
          <t>MOVE_LAST_RESORT</t>
        </is>
      </c>
    </row>
    <row r="2586">
      <c r="A2586" s="3" t="inlineStr">
        <is>
          <t>SPECIES_CINCCINO</t>
        </is>
      </c>
      <c r="B2586" s="3" t="inlineStr">
        <is>
          <t>Cinccino</t>
        </is>
      </c>
      <c r="C2586" s="3" t="n">
        <v>0</v>
      </c>
      <c r="D2586" s="3" t="inlineStr">
        <is>
          <t>Tail Slap</t>
        </is>
      </c>
      <c r="E2586" s="3" t="inlineStr">
        <is>
          <t>MOVE_TAIL_SLAP</t>
        </is>
      </c>
    </row>
    <row r="2587">
      <c r="A2587" s="3" t="inlineStr">
        <is>
          <t>SPECIES_CINCCINO</t>
        </is>
      </c>
      <c r="B2587" s="3" t="inlineStr">
        <is>
          <t>Cinccino</t>
        </is>
      </c>
      <c r="C2587" s="3" t="n">
        <v>1</v>
      </c>
      <c r="D2587" s="3" t="inlineStr">
        <is>
          <t>Slam</t>
        </is>
      </c>
      <c r="E2587" s="3" t="inlineStr">
        <is>
          <t>MOVE_SLAM</t>
        </is>
      </c>
    </row>
    <row r="2588">
      <c r="A2588" s="3" t="inlineStr">
        <is>
          <t>SPECIES_CINCCINO</t>
        </is>
      </c>
      <c r="B2588" s="3" t="inlineStr">
        <is>
          <t>Cinccino</t>
        </is>
      </c>
      <c r="C2588" s="3" t="n">
        <v>1</v>
      </c>
      <c r="D2588" s="3" t="inlineStr">
        <is>
          <t>Swift</t>
        </is>
      </c>
      <c r="E2588" s="3" t="inlineStr">
        <is>
          <t>MOVE_SWIFT</t>
        </is>
      </c>
    </row>
    <row r="2589">
      <c r="A2589" s="3" t="inlineStr">
        <is>
          <t>SPECIES_CINCCINO</t>
        </is>
      </c>
      <c r="B2589" s="3" t="inlineStr">
        <is>
          <t>Cinccino</t>
        </is>
      </c>
      <c r="C2589" s="3" t="n">
        <v>1</v>
      </c>
      <c r="D2589" s="3" t="inlineStr">
        <is>
          <t>Encore</t>
        </is>
      </c>
      <c r="E2589" s="3" t="inlineStr">
        <is>
          <t>MOVE_ENCORE</t>
        </is>
      </c>
    </row>
    <row r="2590">
      <c r="A2590" s="3" t="inlineStr">
        <is>
          <t>SPECIES_CINCCINO</t>
        </is>
      </c>
      <c r="B2590" s="3" t="inlineStr">
        <is>
          <t>Cinccino</t>
        </is>
      </c>
      <c r="C2590" s="3" t="n">
        <v>1</v>
      </c>
      <c r="D2590" s="3" t="inlineStr">
        <is>
          <t>Helping Hand</t>
        </is>
      </c>
      <c r="E2590" s="3" t="inlineStr">
        <is>
          <t>MOVE_HELPING_HAND</t>
        </is>
      </c>
    </row>
    <row r="2591">
      <c r="A2591" s="3" t="inlineStr">
        <is>
          <t>SPECIES_CINCCINO</t>
        </is>
      </c>
      <c r="B2591" s="3" t="inlineStr">
        <is>
          <t>Cinccino</t>
        </is>
      </c>
      <c r="C2591" s="3" t="n">
        <v>1</v>
      </c>
      <c r="D2591" s="3" t="inlineStr">
        <is>
          <t>Hyper Voice</t>
        </is>
      </c>
      <c r="E2591" s="3" t="inlineStr">
        <is>
          <t>MOVE_HYPER_VOICE</t>
        </is>
      </c>
    </row>
    <row r="2592">
      <c r="A2592" s="3" t="inlineStr">
        <is>
          <t>SPECIES_CINCCINO</t>
        </is>
      </c>
      <c r="B2592" s="3" t="inlineStr">
        <is>
          <t>Cinccino</t>
        </is>
      </c>
      <c r="C2592" s="3" t="n">
        <v>1</v>
      </c>
      <c r="D2592" s="3" t="inlineStr">
        <is>
          <t>Tickle</t>
        </is>
      </c>
      <c r="E2592" s="3" t="inlineStr">
        <is>
          <t>MOVE_TICKLE</t>
        </is>
      </c>
    </row>
    <row r="2593">
      <c r="A2593" s="3" t="inlineStr">
        <is>
          <t>SPECIES_CINCCINO</t>
        </is>
      </c>
      <c r="B2593" s="3" t="inlineStr">
        <is>
          <t>Cinccino</t>
        </is>
      </c>
      <c r="C2593" s="3" t="n">
        <v>1</v>
      </c>
      <c r="D2593" s="3" t="inlineStr">
        <is>
          <t>Rock Blast</t>
        </is>
      </c>
      <c r="E2593" s="3" t="inlineStr">
        <is>
          <t>MOVE_ROCK_BLAST</t>
        </is>
      </c>
    </row>
    <row r="2594">
      <c r="A2594" s="3" t="inlineStr">
        <is>
          <t>SPECIES_CINCCINO</t>
        </is>
      </c>
      <c r="B2594" s="3" t="inlineStr">
        <is>
          <t>Cinccino</t>
        </is>
      </c>
      <c r="C2594" s="3" t="n">
        <v>1</v>
      </c>
      <c r="D2594" s="3" t="inlineStr">
        <is>
          <t>Last Resort</t>
        </is>
      </c>
      <c r="E2594" s="3" t="inlineStr">
        <is>
          <t>MOVE_LAST_RESORT</t>
        </is>
      </c>
    </row>
    <row r="2595">
      <c r="A2595" s="3" t="inlineStr">
        <is>
          <t>SPECIES_CINCCINO</t>
        </is>
      </c>
      <c r="B2595" s="3" t="inlineStr">
        <is>
          <t>Cinccino</t>
        </is>
      </c>
      <c r="C2595" s="3" t="n">
        <v>1</v>
      </c>
      <c r="D2595" s="3" t="inlineStr">
        <is>
          <t>After You</t>
        </is>
      </c>
      <c r="E2595" s="3" t="inlineStr">
        <is>
          <t>MOVE_AFTER_YOU</t>
        </is>
      </c>
    </row>
    <row r="2596">
      <c r="A2596" s="3" t="inlineStr">
        <is>
          <t>SPECIES_CINCCINO</t>
        </is>
      </c>
      <c r="B2596" s="3" t="inlineStr">
        <is>
          <t>Cinccino</t>
        </is>
      </c>
      <c r="C2596" s="3" t="n">
        <v>1</v>
      </c>
      <c r="D2596" s="3" t="inlineStr">
        <is>
          <t>Echoed Voice</t>
        </is>
      </c>
      <c r="E2596" s="3" t="inlineStr">
        <is>
          <t>MOVE_ECHOED_VOICE</t>
        </is>
      </c>
    </row>
    <row r="2597">
      <c r="A2597" s="3" t="inlineStr">
        <is>
          <t>SPECIES_CINCCINO</t>
        </is>
      </c>
      <c r="B2597" s="3" t="inlineStr">
        <is>
          <t>Cinccino</t>
        </is>
      </c>
      <c r="C2597" s="3" t="n">
        <v>1</v>
      </c>
      <c r="D2597" s="3" t="inlineStr">
        <is>
          <t>Doll Eyes</t>
        </is>
      </c>
      <c r="E2597" s="3" t="inlineStr">
        <is>
          <t>MOVE_BABY_DOLL_EYES</t>
        </is>
      </c>
    </row>
    <row r="2598">
      <c r="A2598" s="3" t="inlineStr">
        <is>
          <t>SPECIES_CINCCINO</t>
        </is>
      </c>
      <c r="B2598" s="3" t="inlineStr">
        <is>
          <t>Cinccino</t>
        </is>
      </c>
      <c r="C2598" s="3" t="n">
        <v>1</v>
      </c>
      <c r="D2598" s="3" t="inlineStr">
        <is>
          <t>Pound</t>
        </is>
      </c>
      <c r="E2598" s="3" t="inlineStr">
        <is>
          <t>MOVE_POUND</t>
        </is>
      </c>
    </row>
    <row r="2599">
      <c r="A2599" s="3" t="inlineStr">
        <is>
          <t>SPECIES_CINCCINO</t>
        </is>
      </c>
      <c r="B2599" s="3" t="inlineStr">
        <is>
          <t>Cinccino</t>
        </is>
      </c>
      <c r="C2599" s="3" t="n">
        <v>1</v>
      </c>
      <c r="D2599" s="3" t="inlineStr">
        <is>
          <t>Sing</t>
        </is>
      </c>
      <c r="E2599" s="3" t="inlineStr">
        <is>
          <t>MOVE_SING</t>
        </is>
      </c>
    </row>
    <row r="2600">
      <c r="A2600" s="3" t="inlineStr">
        <is>
          <t>SPECIES_CINCCINO</t>
        </is>
      </c>
      <c r="B2600" s="3" t="inlineStr">
        <is>
          <t>Cinccino</t>
        </is>
      </c>
      <c r="C2600" s="3" t="n">
        <v>1</v>
      </c>
      <c r="D2600" s="3" t="inlineStr">
        <is>
          <t>Charm</t>
        </is>
      </c>
      <c r="E2600" s="3" t="inlineStr">
        <is>
          <t>MOVE_CHARM</t>
        </is>
      </c>
    </row>
    <row r="2601">
      <c r="A2601" s="3" t="inlineStr">
        <is>
          <t>SPECIES_CINCCINO</t>
        </is>
      </c>
      <c r="B2601" s="3" t="inlineStr">
        <is>
          <t>Cinccino</t>
        </is>
      </c>
      <c r="C2601" s="3" t="n">
        <v>1</v>
      </c>
      <c r="D2601" s="3" t="inlineStr">
        <is>
          <t>Bullet Seed</t>
        </is>
      </c>
      <c r="E2601" s="3" t="inlineStr">
        <is>
          <t>MOVE_BULLET_SEED</t>
        </is>
      </c>
    </row>
    <row r="2602">
      <c r="A2602" s="3" t="inlineStr">
        <is>
          <t>SPECIES_SOLOSIS</t>
        </is>
      </c>
      <c r="B2602" s="3" t="inlineStr">
        <is>
          <t>Solosis</t>
        </is>
      </c>
      <c r="C2602" s="3" t="n">
        <v>1</v>
      </c>
      <c r="D2602" s="3" t="inlineStr">
        <is>
          <t>Confusion</t>
        </is>
      </c>
      <c r="E2602" s="3" t="inlineStr">
        <is>
          <t>MOVE_CONFUSION</t>
        </is>
      </c>
    </row>
    <row r="2603">
      <c r="A2603" s="3" t="inlineStr">
        <is>
          <t>SPECIES_SOLOSIS</t>
        </is>
      </c>
      <c r="B2603" s="3" t="inlineStr">
        <is>
          <t>Solosis</t>
        </is>
      </c>
      <c r="C2603" s="3" t="n">
        <v>1</v>
      </c>
      <c r="D2603" s="3" t="inlineStr">
        <is>
          <t>Protect</t>
        </is>
      </c>
      <c r="E2603" s="3" t="inlineStr">
        <is>
          <t>MOVE_PROTECT</t>
        </is>
      </c>
    </row>
    <row r="2604">
      <c r="A2604" s="3" t="inlineStr">
        <is>
          <t>SPECIES_SOLOSIS</t>
        </is>
      </c>
      <c r="B2604" s="3" t="inlineStr">
        <is>
          <t>Solosis</t>
        </is>
      </c>
      <c r="C2604" s="3" t="n">
        <v>4</v>
      </c>
      <c r="D2604" s="3" t="inlineStr">
        <is>
          <t>Recover</t>
        </is>
      </c>
      <c r="E2604" s="3" t="inlineStr">
        <is>
          <t>MOVE_RECOVER</t>
        </is>
      </c>
    </row>
    <row r="2605">
      <c r="A2605" s="3" t="inlineStr">
        <is>
          <t>SPECIES_SOLOSIS</t>
        </is>
      </c>
      <c r="B2605" s="3" t="inlineStr">
        <is>
          <t>Solosis</t>
        </is>
      </c>
      <c r="C2605" s="3" t="n">
        <v>8</v>
      </c>
      <c r="D2605" s="3" t="inlineStr">
        <is>
          <t>Endeavor</t>
        </is>
      </c>
      <c r="E2605" s="3" t="inlineStr">
        <is>
          <t>MOVE_ENDEAVOR</t>
        </is>
      </c>
    </row>
    <row r="2606">
      <c r="A2606" s="3" t="inlineStr">
        <is>
          <t>SPECIES_SOLOSIS</t>
        </is>
      </c>
      <c r="B2606" s="3" t="inlineStr">
        <is>
          <t>Solosis</t>
        </is>
      </c>
      <c r="C2606" s="3" t="n">
        <v>12</v>
      </c>
      <c r="D2606" s="3" t="inlineStr">
        <is>
          <t>Psybeam</t>
        </is>
      </c>
      <c r="E2606" s="3" t="inlineStr">
        <is>
          <t>MOVE_PSYBEAM</t>
        </is>
      </c>
    </row>
    <row r="2607">
      <c r="A2607" s="3" t="inlineStr">
        <is>
          <t>SPECIES_SOLOSIS</t>
        </is>
      </c>
      <c r="B2607" s="3" t="inlineStr">
        <is>
          <t>Solosis</t>
        </is>
      </c>
      <c r="C2607" s="3" t="n">
        <v>16</v>
      </c>
      <c r="D2607" s="3" t="inlineStr">
        <is>
          <t>Charm</t>
        </is>
      </c>
      <c r="E2607" s="3" t="inlineStr">
        <is>
          <t>MOVE_CHARM</t>
        </is>
      </c>
    </row>
    <row r="2608">
      <c r="A2608" s="3" t="inlineStr">
        <is>
          <t>SPECIES_SOLOSIS</t>
        </is>
      </c>
      <c r="B2608" s="3" t="inlineStr">
        <is>
          <t>Solosis</t>
        </is>
      </c>
      <c r="C2608" s="3" t="n">
        <v>20</v>
      </c>
      <c r="D2608" s="3" t="inlineStr">
        <is>
          <t>Psyshock</t>
        </is>
      </c>
      <c r="E2608" s="3" t="inlineStr">
        <is>
          <t>MOVE_PSYSHOCK</t>
        </is>
      </c>
    </row>
    <row r="2609">
      <c r="A2609" s="3" t="inlineStr">
        <is>
          <t>SPECIES_SOLOSIS</t>
        </is>
      </c>
      <c r="B2609" s="3" t="inlineStr">
        <is>
          <t>Solosis</t>
        </is>
      </c>
      <c r="C2609" s="3" t="n">
        <v>24</v>
      </c>
      <c r="D2609" s="3" t="inlineStr">
        <is>
          <t>Light Screen</t>
        </is>
      </c>
      <c r="E2609" s="3" t="inlineStr">
        <is>
          <t>MOVE_LIGHT_SCREEN</t>
        </is>
      </c>
    </row>
    <row r="2610">
      <c r="A2610" s="3" t="inlineStr">
        <is>
          <t>SPECIES_SOLOSIS</t>
        </is>
      </c>
      <c r="B2610" s="3" t="inlineStr">
        <is>
          <t>Solosis</t>
        </is>
      </c>
      <c r="C2610" s="3" t="n">
        <v>24</v>
      </c>
      <c r="D2610" s="3" t="inlineStr">
        <is>
          <t>Reflect</t>
        </is>
      </c>
      <c r="E2610" s="3" t="inlineStr">
        <is>
          <t>MOVE_REFLECT</t>
        </is>
      </c>
    </row>
    <row r="2611">
      <c r="A2611" s="3" t="inlineStr">
        <is>
          <t>SPECIES_SOLOSIS</t>
        </is>
      </c>
      <c r="B2611" s="3" t="inlineStr">
        <is>
          <t>Solosis</t>
        </is>
      </c>
      <c r="C2611" s="3" t="n">
        <v>28</v>
      </c>
      <c r="D2611" s="3" t="inlineStr">
        <is>
          <t>Ally Switch</t>
        </is>
      </c>
      <c r="E2611" s="3" t="inlineStr">
        <is>
          <t>MOVE_ALLY_SWITCH</t>
        </is>
      </c>
    </row>
    <row r="2612">
      <c r="A2612" s="3" t="inlineStr">
        <is>
          <t>SPECIES_SOLOSIS</t>
        </is>
      </c>
      <c r="B2612" s="3" t="inlineStr">
        <is>
          <t>Solosis</t>
        </is>
      </c>
      <c r="C2612" s="3" t="n">
        <v>33</v>
      </c>
      <c r="D2612" s="3" t="inlineStr">
        <is>
          <t>Pain Split</t>
        </is>
      </c>
      <c r="E2612" s="3" t="inlineStr">
        <is>
          <t>MOVE_PAIN_SPLIT</t>
        </is>
      </c>
    </row>
    <row r="2613">
      <c r="A2613" s="3" t="inlineStr">
        <is>
          <t>SPECIES_SOLOSIS</t>
        </is>
      </c>
      <c r="B2613" s="3" t="inlineStr">
        <is>
          <t>Solosis</t>
        </is>
      </c>
      <c r="C2613" s="3" t="n">
        <v>36</v>
      </c>
      <c r="D2613" s="3" t="inlineStr">
        <is>
          <t>Psychic</t>
        </is>
      </c>
      <c r="E2613" s="3" t="inlineStr">
        <is>
          <t>MOVE_PSYCHIC</t>
        </is>
      </c>
    </row>
    <row r="2614">
      <c r="A2614" s="3" t="inlineStr">
        <is>
          <t>SPECIES_SOLOSIS</t>
        </is>
      </c>
      <c r="B2614" s="3" t="inlineStr">
        <is>
          <t>Solosis</t>
        </is>
      </c>
      <c r="C2614" s="3" t="n">
        <v>40</v>
      </c>
      <c r="D2614" s="3" t="inlineStr">
        <is>
          <t>Skill Swap</t>
        </is>
      </c>
      <c r="E2614" s="3" t="inlineStr">
        <is>
          <t>MOVE_SKILL_SWAP</t>
        </is>
      </c>
    </row>
    <row r="2615">
      <c r="A2615" s="3" t="inlineStr">
        <is>
          <t>SPECIES_SOLOSIS</t>
        </is>
      </c>
      <c r="B2615" s="3" t="inlineStr">
        <is>
          <t>Solosis</t>
        </is>
      </c>
      <c r="C2615" s="3" t="n">
        <v>44</v>
      </c>
      <c r="D2615" s="3" t="inlineStr">
        <is>
          <t>Future Sight</t>
        </is>
      </c>
      <c r="E2615" s="3" t="inlineStr">
        <is>
          <t>MOVE_FUTURE_SIGHT</t>
        </is>
      </c>
    </row>
    <row r="2616">
      <c r="A2616" s="3" t="inlineStr">
        <is>
          <t>SPECIES_SOLOSIS</t>
        </is>
      </c>
      <c r="B2616" s="3" t="inlineStr">
        <is>
          <t>Solosis</t>
        </is>
      </c>
      <c r="C2616" s="3" t="n">
        <v>48</v>
      </c>
      <c r="D2616" s="3" t="inlineStr">
        <is>
          <t>Wonder Room</t>
        </is>
      </c>
      <c r="E2616" s="3" t="inlineStr">
        <is>
          <t>MOVE_WONDER_ROOM</t>
        </is>
      </c>
    </row>
    <row r="2617">
      <c r="A2617" s="3" t="inlineStr">
        <is>
          <t>SPECIES_DUOSION</t>
        </is>
      </c>
      <c r="B2617" s="3" t="inlineStr">
        <is>
          <t>Duosion</t>
        </is>
      </c>
      <c r="C2617" s="3" t="n">
        <v>1</v>
      </c>
      <c r="D2617" s="3" t="inlineStr">
        <is>
          <t>Confusion</t>
        </is>
      </c>
      <c r="E2617" s="3" t="inlineStr">
        <is>
          <t>MOVE_CONFUSION</t>
        </is>
      </c>
    </row>
    <row r="2618">
      <c r="A2618" s="3" t="inlineStr">
        <is>
          <t>SPECIES_DUOSION</t>
        </is>
      </c>
      <c r="B2618" s="3" t="inlineStr">
        <is>
          <t>Duosion</t>
        </is>
      </c>
      <c r="C2618" s="3" t="n">
        <v>1</v>
      </c>
      <c r="D2618" s="3" t="inlineStr">
        <is>
          <t>Recover</t>
        </is>
      </c>
      <c r="E2618" s="3" t="inlineStr">
        <is>
          <t>MOVE_RECOVER</t>
        </is>
      </c>
    </row>
    <row r="2619">
      <c r="A2619" s="3" t="inlineStr">
        <is>
          <t>SPECIES_DUOSION</t>
        </is>
      </c>
      <c r="B2619" s="3" t="inlineStr">
        <is>
          <t>Duosion</t>
        </is>
      </c>
      <c r="C2619" s="3" t="n">
        <v>1</v>
      </c>
      <c r="D2619" s="3" t="inlineStr">
        <is>
          <t>Protect</t>
        </is>
      </c>
      <c r="E2619" s="3" t="inlineStr">
        <is>
          <t>MOVE_PROTECT</t>
        </is>
      </c>
    </row>
    <row r="2620">
      <c r="A2620" s="3" t="inlineStr">
        <is>
          <t>SPECIES_DUOSION</t>
        </is>
      </c>
      <c r="B2620" s="3" t="inlineStr">
        <is>
          <t>Duosion</t>
        </is>
      </c>
      <c r="C2620" s="3" t="n">
        <v>1</v>
      </c>
      <c r="D2620" s="3" t="inlineStr">
        <is>
          <t>Endeavor</t>
        </is>
      </c>
      <c r="E2620" s="3" t="inlineStr">
        <is>
          <t>MOVE_ENDEAVOR</t>
        </is>
      </c>
    </row>
    <row r="2621">
      <c r="A2621" s="3" t="inlineStr">
        <is>
          <t>SPECIES_DUOSION</t>
        </is>
      </c>
      <c r="B2621" s="3" t="inlineStr">
        <is>
          <t>Duosion</t>
        </is>
      </c>
      <c r="C2621" s="3" t="n">
        <v>12</v>
      </c>
      <c r="D2621" s="3" t="inlineStr">
        <is>
          <t>Psybeam</t>
        </is>
      </c>
      <c r="E2621" s="3" t="inlineStr">
        <is>
          <t>MOVE_PSYBEAM</t>
        </is>
      </c>
    </row>
    <row r="2622">
      <c r="A2622" s="3" t="inlineStr">
        <is>
          <t>SPECIES_DUOSION</t>
        </is>
      </c>
      <c r="B2622" s="3" t="inlineStr">
        <is>
          <t>Duosion</t>
        </is>
      </c>
      <c r="C2622" s="3" t="n">
        <v>16</v>
      </c>
      <c r="D2622" s="3" t="inlineStr">
        <is>
          <t>Charm</t>
        </is>
      </c>
      <c r="E2622" s="3" t="inlineStr">
        <is>
          <t>MOVE_CHARM</t>
        </is>
      </c>
    </row>
    <row r="2623">
      <c r="A2623" s="3" t="inlineStr">
        <is>
          <t>SPECIES_DUOSION</t>
        </is>
      </c>
      <c r="B2623" s="3" t="inlineStr">
        <is>
          <t>Duosion</t>
        </is>
      </c>
      <c r="C2623" s="3" t="n">
        <v>20</v>
      </c>
      <c r="D2623" s="3" t="inlineStr">
        <is>
          <t>Psyshock</t>
        </is>
      </c>
      <c r="E2623" s="3" t="inlineStr">
        <is>
          <t>MOVE_PSYSHOCK</t>
        </is>
      </c>
    </row>
    <row r="2624">
      <c r="A2624" s="3" t="inlineStr">
        <is>
          <t>SPECIES_DUOSION</t>
        </is>
      </c>
      <c r="B2624" s="3" t="inlineStr">
        <is>
          <t>Duosion</t>
        </is>
      </c>
      <c r="C2624" s="3" t="n">
        <v>24</v>
      </c>
      <c r="D2624" s="3" t="inlineStr">
        <is>
          <t>Light Screen</t>
        </is>
      </c>
      <c r="E2624" s="3" t="inlineStr">
        <is>
          <t>MOVE_LIGHT_SCREEN</t>
        </is>
      </c>
    </row>
    <row r="2625">
      <c r="A2625" s="3" t="inlineStr">
        <is>
          <t>SPECIES_DUOSION</t>
        </is>
      </c>
      <c r="B2625" s="3" t="inlineStr">
        <is>
          <t>Duosion</t>
        </is>
      </c>
      <c r="C2625" s="3" t="n">
        <v>24</v>
      </c>
      <c r="D2625" s="3" t="inlineStr">
        <is>
          <t>Reflect</t>
        </is>
      </c>
      <c r="E2625" s="3" t="inlineStr">
        <is>
          <t>MOVE_REFLECT</t>
        </is>
      </c>
    </row>
    <row r="2626">
      <c r="A2626" s="3" t="inlineStr">
        <is>
          <t>SPECIES_DUOSION</t>
        </is>
      </c>
      <c r="B2626" s="3" t="inlineStr">
        <is>
          <t>Duosion</t>
        </is>
      </c>
      <c r="C2626" s="3" t="n">
        <v>28</v>
      </c>
      <c r="D2626" s="3" t="inlineStr">
        <is>
          <t>Ally Switch</t>
        </is>
      </c>
      <c r="E2626" s="3" t="inlineStr">
        <is>
          <t>MOVE_ALLY_SWITCH</t>
        </is>
      </c>
    </row>
    <row r="2627">
      <c r="A2627" s="3" t="inlineStr">
        <is>
          <t>SPECIES_DUOSION</t>
        </is>
      </c>
      <c r="B2627" s="3" t="inlineStr">
        <is>
          <t>Duosion</t>
        </is>
      </c>
      <c r="C2627" s="3" t="n">
        <v>35</v>
      </c>
      <c r="D2627" s="3" t="inlineStr">
        <is>
          <t>Pain Split</t>
        </is>
      </c>
      <c r="E2627" s="3" t="inlineStr">
        <is>
          <t>MOVE_PAIN_SPLIT</t>
        </is>
      </c>
    </row>
    <row r="2628">
      <c r="A2628" s="3" t="inlineStr">
        <is>
          <t>SPECIES_DUOSION</t>
        </is>
      </c>
      <c r="B2628" s="3" t="inlineStr">
        <is>
          <t>Duosion</t>
        </is>
      </c>
      <c r="C2628" s="3" t="n">
        <v>40</v>
      </c>
      <c r="D2628" s="3" t="inlineStr">
        <is>
          <t>Psychic</t>
        </is>
      </c>
      <c r="E2628" s="3" t="inlineStr">
        <is>
          <t>MOVE_PSYCHIC</t>
        </is>
      </c>
    </row>
    <row r="2629">
      <c r="A2629" s="3" t="inlineStr">
        <is>
          <t>SPECIES_DUOSION</t>
        </is>
      </c>
      <c r="B2629" s="3" t="inlineStr">
        <is>
          <t>Duosion</t>
        </is>
      </c>
      <c r="C2629" s="3" t="n">
        <v>46</v>
      </c>
      <c r="D2629" s="3" t="inlineStr">
        <is>
          <t>Skill Swap</t>
        </is>
      </c>
      <c r="E2629" s="3" t="inlineStr">
        <is>
          <t>MOVE_SKILL_SWAP</t>
        </is>
      </c>
    </row>
    <row r="2630">
      <c r="A2630" s="3" t="inlineStr">
        <is>
          <t>SPECIES_DUOSION</t>
        </is>
      </c>
      <c r="B2630" s="3" t="inlineStr">
        <is>
          <t>Duosion</t>
        </is>
      </c>
      <c r="C2630" s="3" t="n">
        <v>52</v>
      </c>
      <c r="D2630" s="3" t="inlineStr">
        <is>
          <t>Future Sight</t>
        </is>
      </c>
      <c r="E2630" s="3" t="inlineStr">
        <is>
          <t>MOVE_FUTURE_SIGHT</t>
        </is>
      </c>
    </row>
    <row r="2631">
      <c r="A2631" s="3" t="inlineStr">
        <is>
          <t>SPECIES_DUOSION</t>
        </is>
      </c>
      <c r="B2631" s="3" t="inlineStr">
        <is>
          <t>Duosion</t>
        </is>
      </c>
      <c r="C2631" s="3" t="n">
        <v>58</v>
      </c>
      <c r="D2631" s="3" t="inlineStr">
        <is>
          <t>Wonder Room</t>
        </is>
      </c>
      <c r="E2631" s="3" t="inlineStr">
        <is>
          <t>MOVE_WONDER_ROOM</t>
        </is>
      </c>
    </row>
    <row r="2632">
      <c r="A2632" s="3" t="inlineStr">
        <is>
          <t>SPECIES_REUNICLUS</t>
        </is>
      </c>
      <c r="B2632" s="3" t="inlineStr">
        <is>
          <t>Reuniclus</t>
        </is>
      </c>
      <c r="C2632" s="3" t="n">
        <v>0</v>
      </c>
      <c r="D2632" s="3" t="inlineStr">
        <is>
          <t>Hammer Arm</t>
        </is>
      </c>
      <c r="E2632" s="3" t="inlineStr">
        <is>
          <t>MOVE_HAMMER_ARM</t>
        </is>
      </c>
    </row>
    <row r="2633">
      <c r="A2633" s="3" t="inlineStr">
        <is>
          <t>SPECIES_REUNICLUS</t>
        </is>
      </c>
      <c r="B2633" s="3" t="inlineStr">
        <is>
          <t>Reuniclus</t>
        </is>
      </c>
      <c r="C2633" s="3" t="n">
        <v>1</v>
      </c>
      <c r="D2633" s="3" t="inlineStr">
        <is>
          <t>Confusion</t>
        </is>
      </c>
      <c r="E2633" s="3" t="inlineStr">
        <is>
          <t>MOVE_CONFUSION</t>
        </is>
      </c>
    </row>
    <row r="2634">
      <c r="A2634" s="3" t="inlineStr">
        <is>
          <t>SPECIES_REUNICLUS</t>
        </is>
      </c>
      <c r="B2634" s="3" t="inlineStr">
        <is>
          <t>Reuniclus</t>
        </is>
      </c>
      <c r="C2634" s="3" t="n">
        <v>1</v>
      </c>
      <c r="D2634" s="3" t="inlineStr">
        <is>
          <t>Recover</t>
        </is>
      </c>
      <c r="E2634" s="3" t="inlineStr">
        <is>
          <t>MOVE_RECOVER</t>
        </is>
      </c>
    </row>
    <row r="2635">
      <c r="A2635" s="3" t="inlineStr">
        <is>
          <t>SPECIES_REUNICLUS</t>
        </is>
      </c>
      <c r="B2635" s="3" t="inlineStr">
        <is>
          <t>Reuniclus</t>
        </is>
      </c>
      <c r="C2635" s="3" t="n">
        <v>1</v>
      </c>
      <c r="D2635" s="3" t="inlineStr">
        <is>
          <t>Protect</t>
        </is>
      </c>
      <c r="E2635" s="3" t="inlineStr">
        <is>
          <t>MOVE_PROTECT</t>
        </is>
      </c>
    </row>
    <row r="2636">
      <c r="A2636" s="3" t="inlineStr">
        <is>
          <t>SPECIES_REUNICLUS</t>
        </is>
      </c>
      <c r="B2636" s="3" t="inlineStr">
        <is>
          <t>Reuniclus</t>
        </is>
      </c>
      <c r="C2636" s="3" t="n">
        <v>1</v>
      </c>
      <c r="D2636" s="3" t="inlineStr">
        <is>
          <t>Endeavor</t>
        </is>
      </c>
      <c r="E2636" s="3" t="inlineStr">
        <is>
          <t>MOVE_ENDEAVOR</t>
        </is>
      </c>
    </row>
    <row r="2637">
      <c r="A2637" s="3" t="inlineStr">
        <is>
          <t>SPECIES_REUNICLUS</t>
        </is>
      </c>
      <c r="B2637" s="3" t="inlineStr">
        <is>
          <t>Reuniclus</t>
        </is>
      </c>
      <c r="C2637" s="3" t="n">
        <v>12</v>
      </c>
      <c r="D2637" s="3" t="inlineStr">
        <is>
          <t>Psybeam</t>
        </is>
      </c>
      <c r="E2637" s="3" t="inlineStr">
        <is>
          <t>MOVE_PSYBEAM</t>
        </is>
      </c>
    </row>
    <row r="2638">
      <c r="A2638" s="3" t="inlineStr">
        <is>
          <t>SPECIES_REUNICLUS</t>
        </is>
      </c>
      <c r="B2638" s="3" t="inlineStr">
        <is>
          <t>Reuniclus</t>
        </is>
      </c>
      <c r="C2638" s="3" t="n">
        <v>16</v>
      </c>
      <c r="D2638" s="3" t="inlineStr">
        <is>
          <t>Charm</t>
        </is>
      </c>
      <c r="E2638" s="3" t="inlineStr">
        <is>
          <t>MOVE_CHARM</t>
        </is>
      </c>
    </row>
    <row r="2639">
      <c r="A2639" s="3" t="inlineStr">
        <is>
          <t>SPECIES_REUNICLUS</t>
        </is>
      </c>
      <c r="B2639" s="3" t="inlineStr">
        <is>
          <t>Reuniclus</t>
        </is>
      </c>
      <c r="C2639" s="3" t="n">
        <v>20</v>
      </c>
      <c r="D2639" s="3" t="inlineStr">
        <is>
          <t>Psyshock</t>
        </is>
      </c>
      <c r="E2639" s="3" t="inlineStr">
        <is>
          <t>MOVE_PSYSHOCK</t>
        </is>
      </c>
    </row>
    <row r="2640">
      <c r="A2640" s="3" t="inlineStr">
        <is>
          <t>SPECIES_REUNICLUS</t>
        </is>
      </c>
      <c r="B2640" s="3" t="inlineStr">
        <is>
          <t>Reuniclus</t>
        </is>
      </c>
      <c r="C2640" s="3" t="n">
        <v>24</v>
      </c>
      <c r="D2640" s="3" t="inlineStr">
        <is>
          <t>Light Screen</t>
        </is>
      </c>
      <c r="E2640" s="3" t="inlineStr">
        <is>
          <t>MOVE_LIGHT_SCREEN</t>
        </is>
      </c>
    </row>
    <row r="2641">
      <c r="A2641" s="3" t="inlineStr">
        <is>
          <t>SPECIES_REUNICLUS</t>
        </is>
      </c>
      <c r="B2641" s="3" t="inlineStr">
        <is>
          <t>Reuniclus</t>
        </is>
      </c>
      <c r="C2641" s="3" t="n">
        <v>24</v>
      </c>
      <c r="D2641" s="3" t="inlineStr">
        <is>
          <t>Reflect</t>
        </is>
      </c>
      <c r="E2641" s="3" t="inlineStr">
        <is>
          <t>MOVE_REFLECT</t>
        </is>
      </c>
    </row>
    <row r="2642">
      <c r="A2642" s="3" t="inlineStr">
        <is>
          <t>SPECIES_REUNICLUS</t>
        </is>
      </c>
      <c r="B2642" s="3" t="inlineStr">
        <is>
          <t>Reuniclus</t>
        </is>
      </c>
      <c r="C2642" s="3" t="n">
        <v>28</v>
      </c>
      <c r="D2642" s="3" t="inlineStr">
        <is>
          <t>Ally Switch</t>
        </is>
      </c>
      <c r="E2642" s="3" t="inlineStr">
        <is>
          <t>MOVE_ALLY_SWITCH</t>
        </is>
      </c>
    </row>
    <row r="2643">
      <c r="A2643" s="3" t="inlineStr">
        <is>
          <t>SPECIES_REUNICLUS</t>
        </is>
      </c>
      <c r="B2643" s="3" t="inlineStr">
        <is>
          <t>Reuniclus</t>
        </is>
      </c>
      <c r="C2643" s="3" t="n">
        <v>35</v>
      </c>
      <c r="D2643" s="3" t="inlineStr">
        <is>
          <t>Pain Split</t>
        </is>
      </c>
      <c r="E2643" s="3" t="inlineStr">
        <is>
          <t>MOVE_PAIN_SPLIT</t>
        </is>
      </c>
    </row>
    <row r="2644">
      <c r="A2644" s="3" t="inlineStr">
        <is>
          <t>SPECIES_REUNICLUS</t>
        </is>
      </c>
      <c r="B2644" s="3" t="inlineStr">
        <is>
          <t>Reuniclus</t>
        </is>
      </c>
      <c r="C2644" s="3" t="n">
        <v>40</v>
      </c>
      <c r="D2644" s="3" t="inlineStr">
        <is>
          <t>Psychic</t>
        </is>
      </c>
      <c r="E2644" s="3" t="inlineStr">
        <is>
          <t>MOVE_PSYCHIC</t>
        </is>
      </c>
    </row>
    <row r="2645">
      <c r="A2645" s="3" t="inlineStr">
        <is>
          <t>SPECIES_REUNICLUS</t>
        </is>
      </c>
      <c r="B2645" s="3" t="inlineStr">
        <is>
          <t>Reuniclus</t>
        </is>
      </c>
      <c r="C2645" s="3" t="n">
        <v>48</v>
      </c>
      <c r="D2645" s="3" t="inlineStr">
        <is>
          <t>Skill Swap</t>
        </is>
      </c>
      <c r="E2645" s="3" t="inlineStr">
        <is>
          <t>MOVE_SKILL_SWAP</t>
        </is>
      </c>
    </row>
    <row r="2646">
      <c r="A2646" s="3" t="inlineStr">
        <is>
          <t>SPECIES_REUNICLUS</t>
        </is>
      </c>
      <c r="B2646" s="3" t="inlineStr">
        <is>
          <t>Reuniclus</t>
        </is>
      </c>
      <c r="C2646" s="3" t="n">
        <v>56</v>
      </c>
      <c r="D2646" s="3" t="inlineStr">
        <is>
          <t>Future Sight</t>
        </is>
      </c>
      <c r="E2646" s="3" t="inlineStr">
        <is>
          <t>MOVE_FUTURE_SIGHT</t>
        </is>
      </c>
    </row>
    <row r="2647">
      <c r="A2647" s="3" t="inlineStr">
        <is>
          <t>SPECIES_REUNICLUS</t>
        </is>
      </c>
      <c r="B2647" s="3" t="inlineStr">
        <is>
          <t>Reuniclus</t>
        </is>
      </c>
      <c r="C2647" s="3" t="n">
        <v>64</v>
      </c>
      <c r="D2647" s="3" t="inlineStr">
        <is>
          <t>Wonder Room</t>
        </is>
      </c>
      <c r="E2647" s="3" t="inlineStr">
        <is>
          <t>MOVE_WONDER_ROOM</t>
        </is>
      </c>
    </row>
    <row r="2648">
      <c r="A2648" s="3" t="inlineStr">
        <is>
          <t>SPECIES_DUCKLETT</t>
        </is>
      </c>
      <c r="B2648" s="3" t="inlineStr">
        <is>
          <t>Ducklett</t>
        </is>
      </c>
      <c r="C2648" s="3" t="n">
        <v>1</v>
      </c>
      <c r="D2648" s="3" t="inlineStr">
        <is>
          <t>Water Gun</t>
        </is>
      </c>
      <c r="E2648" s="3" t="inlineStr">
        <is>
          <t>MOVE_WATER_GUN</t>
        </is>
      </c>
    </row>
    <row r="2649">
      <c r="A2649" s="3" t="inlineStr">
        <is>
          <t>SPECIES_DUCKLETT</t>
        </is>
      </c>
      <c r="B2649" s="3" t="inlineStr">
        <is>
          <t>Ducklett</t>
        </is>
      </c>
      <c r="C2649" s="3" t="n">
        <v>6</v>
      </c>
      <c r="D2649" s="3" t="inlineStr">
        <is>
          <t>Defog</t>
        </is>
      </c>
      <c r="E2649" s="3" t="inlineStr">
        <is>
          <t>MOVE_DEFOG</t>
        </is>
      </c>
    </row>
    <row r="2650">
      <c r="A2650" s="3" t="inlineStr">
        <is>
          <t>SPECIES_DUCKLETT</t>
        </is>
      </c>
      <c r="B2650" s="3" t="inlineStr">
        <is>
          <t>Ducklett</t>
        </is>
      </c>
      <c r="C2650" s="3" t="n">
        <v>9</v>
      </c>
      <c r="D2650" s="3" t="inlineStr">
        <is>
          <t>Wing Attack</t>
        </is>
      </c>
      <c r="E2650" s="3" t="inlineStr">
        <is>
          <t>MOVE_WING_ATTACK</t>
        </is>
      </c>
    </row>
    <row r="2651">
      <c r="A2651" s="3" t="inlineStr">
        <is>
          <t>SPECIES_DUCKLETT</t>
        </is>
      </c>
      <c r="B2651" s="3" t="inlineStr">
        <is>
          <t>Ducklett</t>
        </is>
      </c>
      <c r="C2651" s="3" t="n">
        <v>13</v>
      </c>
      <c r="D2651" s="3" t="inlineStr">
        <is>
          <t>Water Pulse</t>
        </is>
      </c>
      <c r="E2651" s="3" t="inlineStr">
        <is>
          <t>MOVE_WATER_PULSE</t>
        </is>
      </c>
    </row>
    <row r="2652">
      <c r="A2652" s="3" t="inlineStr">
        <is>
          <t>SPECIES_DUCKLETT</t>
        </is>
      </c>
      <c r="B2652" s="3" t="inlineStr">
        <is>
          <t>Ducklett</t>
        </is>
      </c>
      <c r="C2652" s="3" t="n">
        <v>15</v>
      </c>
      <c r="D2652" s="3" t="inlineStr">
        <is>
          <t>Aerial Ace</t>
        </is>
      </c>
      <c r="E2652" s="3" t="inlineStr">
        <is>
          <t>MOVE_AERIAL_ACE</t>
        </is>
      </c>
    </row>
    <row r="2653">
      <c r="A2653" s="3" t="inlineStr">
        <is>
          <t>SPECIES_DUCKLETT</t>
        </is>
      </c>
      <c r="B2653" s="3" t="inlineStr">
        <is>
          <t>Ducklett</t>
        </is>
      </c>
      <c r="C2653" s="3" t="n">
        <v>19</v>
      </c>
      <c r="D2653" s="3" t="inlineStr">
        <is>
          <t>Bubble Beam</t>
        </is>
      </c>
      <c r="E2653" s="3" t="inlineStr">
        <is>
          <t>MOVE_BUBBLE_BEAM</t>
        </is>
      </c>
    </row>
    <row r="2654">
      <c r="A2654" s="3" t="inlineStr">
        <is>
          <t>SPECIES_DUCKLETT</t>
        </is>
      </c>
      <c r="B2654" s="3" t="inlineStr">
        <is>
          <t>Ducklett</t>
        </is>
      </c>
      <c r="C2654" s="3" t="n">
        <v>21</v>
      </c>
      <c r="D2654" s="3" t="inlineStr">
        <is>
          <t>Feather Dance</t>
        </is>
      </c>
      <c r="E2654" s="3" t="inlineStr">
        <is>
          <t>MOVE_FEATHER_DANCE</t>
        </is>
      </c>
    </row>
    <row r="2655">
      <c r="A2655" s="3" t="inlineStr">
        <is>
          <t>SPECIES_DUCKLETT</t>
        </is>
      </c>
      <c r="B2655" s="3" t="inlineStr">
        <is>
          <t>Ducklett</t>
        </is>
      </c>
      <c r="C2655" s="3" t="n">
        <v>24</v>
      </c>
      <c r="D2655" s="3" t="inlineStr">
        <is>
          <t>Aqua Ring</t>
        </is>
      </c>
      <c r="E2655" s="3" t="inlineStr">
        <is>
          <t>MOVE_AQUA_RING</t>
        </is>
      </c>
    </row>
    <row r="2656">
      <c r="A2656" s="3" t="inlineStr">
        <is>
          <t>SPECIES_DUCKLETT</t>
        </is>
      </c>
      <c r="B2656" s="3" t="inlineStr">
        <is>
          <t>Ducklett</t>
        </is>
      </c>
      <c r="C2656" s="3" t="n">
        <v>27</v>
      </c>
      <c r="D2656" s="3" t="inlineStr">
        <is>
          <t>Air Slash</t>
        </is>
      </c>
      <c r="E2656" s="3" t="inlineStr">
        <is>
          <t>MOVE_AIR_SLASH</t>
        </is>
      </c>
    </row>
    <row r="2657">
      <c r="A2657" s="3" t="inlineStr">
        <is>
          <t>SPECIES_DUCKLETT</t>
        </is>
      </c>
      <c r="B2657" s="3" t="inlineStr">
        <is>
          <t>Ducklett</t>
        </is>
      </c>
      <c r="C2657" s="3" t="n">
        <v>30</v>
      </c>
      <c r="D2657" s="3" t="inlineStr">
        <is>
          <t>Roost</t>
        </is>
      </c>
      <c r="E2657" s="3" t="inlineStr">
        <is>
          <t>MOVE_ROOST</t>
        </is>
      </c>
    </row>
    <row r="2658">
      <c r="A2658" s="3" t="inlineStr">
        <is>
          <t>SPECIES_DUCKLETT</t>
        </is>
      </c>
      <c r="B2658" s="3" t="inlineStr">
        <is>
          <t>Ducklett</t>
        </is>
      </c>
      <c r="C2658" s="3" t="n">
        <v>34</v>
      </c>
      <c r="D2658" s="3" t="inlineStr">
        <is>
          <t>Rain Dance</t>
        </is>
      </c>
      <c r="E2658" s="3" t="inlineStr">
        <is>
          <t>MOVE_RAIN_DANCE</t>
        </is>
      </c>
    </row>
    <row r="2659">
      <c r="A2659" s="3" t="inlineStr">
        <is>
          <t>SPECIES_DUCKLETT</t>
        </is>
      </c>
      <c r="B2659" s="3" t="inlineStr">
        <is>
          <t>Ducklett</t>
        </is>
      </c>
      <c r="C2659" s="3" t="n">
        <v>37</v>
      </c>
      <c r="D2659" s="3" t="inlineStr">
        <is>
          <t>Tailwind</t>
        </is>
      </c>
      <c r="E2659" s="3" t="inlineStr">
        <is>
          <t>MOVE_TAILWIND</t>
        </is>
      </c>
    </row>
    <row r="2660">
      <c r="A2660" s="3" t="inlineStr">
        <is>
          <t>SPECIES_DUCKLETT</t>
        </is>
      </c>
      <c r="B2660" s="3" t="inlineStr">
        <is>
          <t>Ducklett</t>
        </is>
      </c>
      <c r="C2660" s="3" t="n">
        <v>41</v>
      </c>
      <c r="D2660" s="3" t="inlineStr">
        <is>
          <t>Brave Bird</t>
        </is>
      </c>
      <c r="E2660" s="3" t="inlineStr">
        <is>
          <t>MOVE_BRAVE_BIRD</t>
        </is>
      </c>
    </row>
    <row r="2661">
      <c r="A2661" s="3" t="inlineStr">
        <is>
          <t>SPECIES_DUCKLETT</t>
        </is>
      </c>
      <c r="B2661" s="3" t="inlineStr">
        <is>
          <t>Ducklett</t>
        </is>
      </c>
      <c r="C2661" s="3" t="n">
        <v>46</v>
      </c>
      <c r="D2661" s="3" t="inlineStr">
        <is>
          <t>Hurricane</t>
        </is>
      </c>
      <c r="E2661" s="3" t="inlineStr">
        <is>
          <t>MOVE_HURRICANE</t>
        </is>
      </c>
    </row>
    <row r="2662">
      <c r="A2662" s="3" t="inlineStr">
        <is>
          <t>SPECIES_SWANNA</t>
        </is>
      </c>
      <c r="B2662" s="3" t="inlineStr">
        <is>
          <t>Swanna</t>
        </is>
      </c>
      <c r="C2662" s="3" t="n">
        <v>1</v>
      </c>
      <c r="D2662" s="3" t="inlineStr">
        <is>
          <t>Wing Attack</t>
        </is>
      </c>
      <c r="E2662" s="3" t="inlineStr">
        <is>
          <t>MOVE_WING_ATTACK</t>
        </is>
      </c>
    </row>
    <row r="2663">
      <c r="A2663" s="3" t="inlineStr">
        <is>
          <t>SPECIES_SWANNA</t>
        </is>
      </c>
      <c r="B2663" s="3" t="inlineStr">
        <is>
          <t>Swanna</t>
        </is>
      </c>
      <c r="C2663" s="3" t="n">
        <v>1</v>
      </c>
      <c r="D2663" s="3" t="inlineStr">
        <is>
          <t>Water Gun</t>
        </is>
      </c>
      <c r="E2663" s="3" t="inlineStr">
        <is>
          <t>MOVE_WATER_GUN</t>
        </is>
      </c>
    </row>
    <row r="2664">
      <c r="A2664" s="3" t="inlineStr">
        <is>
          <t>SPECIES_SWANNA</t>
        </is>
      </c>
      <c r="B2664" s="3" t="inlineStr">
        <is>
          <t>Swanna</t>
        </is>
      </c>
      <c r="C2664" s="3" t="n">
        <v>1</v>
      </c>
      <c r="D2664" s="3" t="inlineStr">
        <is>
          <t>Defog</t>
        </is>
      </c>
      <c r="E2664" s="3" t="inlineStr">
        <is>
          <t>MOVE_DEFOG</t>
        </is>
      </c>
    </row>
    <row r="2665">
      <c r="A2665" s="3" t="inlineStr">
        <is>
          <t>SPECIES_SWANNA</t>
        </is>
      </c>
      <c r="B2665" s="3" t="inlineStr">
        <is>
          <t>Swanna</t>
        </is>
      </c>
      <c r="C2665" s="3" t="n">
        <v>13</v>
      </c>
      <c r="D2665" s="3" t="inlineStr">
        <is>
          <t>Water Pulse</t>
        </is>
      </c>
      <c r="E2665" s="3" t="inlineStr">
        <is>
          <t>MOVE_WATER_PULSE</t>
        </is>
      </c>
    </row>
    <row r="2666">
      <c r="A2666" s="3" t="inlineStr">
        <is>
          <t>SPECIES_SWANNA</t>
        </is>
      </c>
      <c r="B2666" s="3" t="inlineStr">
        <is>
          <t>Swanna</t>
        </is>
      </c>
      <c r="C2666" s="3" t="n">
        <v>15</v>
      </c>
      <c r="D2666" s="3" t="inlineStr">
        <is>
          <t>Aerial Ace</t>
        </is>
      </c>
      <c r="E2666" s="3" t="inlineStr">
        <is>
          <t>MOVE_AERIAL_ACE</t>
        </is>
      </c>
    </row>
    <row r="2667">
      <c r="A2667" s="3" t="inlineStr">
        <is>
          <t>SPECIES_SWANNA</t>
        </is>
      </c>
      <c r="B2667" s="3" t="inlineStr">
        <is>
          <t>Swanna</t>
        </is>
      </c>
      <c r="C2667" s="3" t="n">
        <v>19</v>
      </c>
      <c r="D2667" s="3" t="inlineStr">
        <is>
          <t>Bubble Beam</t>
        </is>
      </c>
      <c r="E2667" s="3" t="inlineStr">
        <is>
          <t>MOVE_BUBBLE_BEAM</t>
        </is>
      </c>
    </row>
    <row r="2668">
      <c r="A2668" s="3" t="inlineStr">
        <is>
          <t>SPECIES_SWANNA</t>
        </is>
      </c>
      <c r="B2668" s="3" t="inlineStr">
        <is>
          <t>Swanna</t>
        </is>
      </c>
      <c r="C2668" s="3" t="n">
        <v>21</v>
      </c>
      <c r="D2668" s="3" t="inlineStr">
        <is>
          <t>Feather Dance</t>
        </is>
      </c>
      <c r="E2668" s="3" t="inlineStr">
        <is>
          <t>MOVE_FEATHER_DANCE</t>
        </is>
      </c>
    </row>
    <row r="2669">
      <c r="A2669" s="3" t="inlineStr">
        <is>
          <t>SPECIES_SWANNA</t>
        </is>
      </c>
      <c r="B2669" s="3" t="inlineStr">
        <is>
          <t>Swanna</t>
        </is>
      </c>
      <c r="C2669" s="3" t="n">
        <v>24</v>
      </c>
      <c r="D2669" s="3" t="inlineStr">
        <is>
          <t>Aqua Ring</t>
        </is>
      </c>
      <c r="E2669" s="3" t="inlineStr">
        <is>
          <t>MOVE_AQUA_RING</t>
        </is>
      </c>
    </row>
    <row r="2670">
      <c r="A2670" s="3" t="inlineStr">
        <is>
          <t>SPECIES_SWANNA</t>
        </is>
      </c>
      <c r="B2670" s="3" t="inlineStr">
        <is>
          <t>Swanna</t>
        </is>
      </c>
      <c r="C2670" s="3" t="n">
        <v>27</v>
      </c>
      <c r="D2670" s="3" t="inlineStr">
        <is>
          <t>Air Slash</t>
        </is>
      </c>
      <c r="E2670" s="3" t="inlineStr">
        <is>
          <t>MOVE_AIR_SLASH</t>
        </is>
      </c>
    </row>
    <row r="2671">
      <c r="A2671" s="3" t="inlineStr">
        <is>
          <t>SPECIES_SWANNA</t>
        </is>
      </c>
      <c r="B2671" s="3" t="inlineStr">
        <is>
          <t>Swanna</t>
        </is>
      </c>
      <c r="C2671" s="3" t="n">
        <v>30</v>
      </c>
      <c r="D2671" s="3" t="inlineStr">
        <is>
          <t>Roost</t>
        </is>
      </c>
      <c r="E2671" s="3" t="inlineStr">
        <is>
          <t>MOVE_ROOST</t>
        </is>
      </c>
    </row>
    <row r="2672">
      <c r="A2672" s="3" t="inlineStr">
        <is>
          <t>SPECIES_SWANNA</t>
        </is>
      </c>
      <c r="B2672" s="3" t="inlineStr">
        <is>
          <t>Swanna</t>
        </is>
      </c>
      <c r="C2672" s="3" t="n">
        <v>34</v>
      </c>
      <c r="D2672" s="3" t="inlineStr">
        <is>
          <t>Rain Dance</t>
        </is>
      </c>
      <c r="E2672" s="3" t="inlineStr">
        <is>
          <t>MOVE_RAIN_DANCE</t>
        </is>
      </c>
    </row>
    <row r="2673">
      <c r="A2673" s="3" t="inlineStr">
        <is>
          <t>SPECIES_SWANNA</t>
        </is>
      </c>
      <c r="B2673" s="3" t="inlineStr">
        <is>
          <t>Swanna</t>
        </is>
      </c>
      <c r="C2673" s="3" t="n">
        <v>40</v>
      </c>
      <c r="D2673" s="3" t="inlineStr">
        <is>
          <t>Tailwind</t>
        </is>
      </c>
      <c r="E2673" s="3" t="inlineStr">
        <is>
          <t>MOVE_TAILWIND</t>
        </is>
      </c>
    </row>
    <row r="2674">
      <c r="A2674" s="3" t="inlineStr">
        <is>
          <t>SPECIES_SWANNA</t>
        </is>
      </c>
      <c r="B2674" s="3" t="inlineStr">
        <is>
          <t>Swanna</t>
        </is>
      </c>
      <c r="C2674" s="3" t="n">
        <v>47</v>
      </c>
      <c r="D2674" s="3" t="inlineStr">
        <is>
          <t>Brave Bird</t>
        </is>
      </c>
      <c r="E2674" s="3" t="inlineStr">
        <is>
          <t>MOVE_BRAVE_BIRD</t>
        </is>
      </c>
    </row>
    <row r="2675">
      <c r="A2675" s="3" t="inlineStr">
        <is>
          <t>SPECIES_SWANNA</t>
        </is>
      </c>
      <c r="B2675" s="3" t="inlineStr">
        <is>
          <t>Swanna</t>
        </is>
      </c>
      <c r="C2675" s="3" t="n">
        <v>55</v>
      </c>
      <c r="D2675" s="3" t="inlineStr">
        <is>
          <t>Hurricane</t>
        </is>
      </c>
      <c r="E2675" s="3" t="inlineStr">
        <is>
          <t>MOVE_HURRICANE</t>
        </is>
      </c>
    </row>
    <row r="2676">
      <c r="A2676" s="3" t="inlineStr">
        <is>
          <t>SPECIES_DEERLING_SPRING</t>
        </is>
      </c>
      <c r="B2676" s="3" t="inlineStr">
        <is>
          <t>Deerling</t>
        </is>
      </c>
      <c r="C2676" s="3" t="n">
        <v>1</v>
      </c>
      <c r="D2676" s="3" t="inlineStr">
        <is>
          <t>Tackle</t>
        </is>
      </c>
      <c r="E2676" s="3" t="inlineStr">
        <is>
          <t>MOVE_TACKLE</t>
        </is>
      </c>
    </row>
    <row r="2677">
      <c r="A2677" s="3" t="inlineStr">
        <is>
          <t>SPECIES_DEERLING_SPRING</t>
        </is>
      </c>
      <c r="B2677" s="3" t="inlineStr">
        <is>
          <t>Deerling</t>
        </is>
      </c>
      <c r="C2677" s="3" t="n">
        <v>4</v>
      </c>
      <c r="D2677" s="3" t="inlineStr">
        <is>
          <t>Growl</t>
        </is>
      </c>
      <c r="E2677" s="3" t="inlineStr">
        <is>
          <t>MOVE_GROWL</t>
        </is>
      </c>
    </row>
    <row r="2678">
      <c r="A2678" s="3" t="inlineStr">
        <is>
          <t>SPECIES_DEERLING_SPRING</t>
        </is>
      </c>
      <c r="B2678" s="3" t="inlineStr">
        <is>
          <t>Deerling</t>
        </is>
      </c>
      <c r="C2678" s="3" t="n">
        <v>7</v>
      </c>
      <c r="D2678" s="3" t="inlineStr">
        <is>
          <t>Sand Attack</t>
        </is>
      </c>
      <c r="E2678" s="3" t="inlineStr">
        <is>
          <t>MOVE_SAND_ATTACK</t>
        </is>
      </c>
    </row>
    <row r="2679">
      <c r="A2679" s="3" t="inlineStr">
        <is>
          <t>SPECIES_DEERLING_SPRING</t>
        </is>
      </c>
      <c r="B2679" s="3" t="inlineStr">
        <is>
          <t>Deerling</t>
        </is>
      </c>
      <c r="C2679" s="3" t="n">
        <v>10</v>
      </c>
      <c r="D2679" s="3" t="inlineStr">
        <is>
          <t>Double Kick</t>
        </is>
      </c>
      <c r="E2679" s="3" t="inlineStr">
        <is>
          <t>MOVE_DOUBLE_KICK</t>
        </is>
      </c>
    </row>
    <row r="2680">
      <c r="A2680" s="3" t="inlineStr">
        <is>
          <t>SPECIES_DEERLING_SPRING</t>
        </is>
      </c>
      <c r="B2680" s="3" t="inlineStr">
        <is>
          <t>Deerling</t>
        </is>
      </c>
      <c r="C2680" s="3" t="n">
        <v>13</v>
      </c>
      <c r="D2680" s="3" t="inlineStr">
        <is>
          <t>Leech Seed</t>
        </is>
      </c>
      <c r="E2680" s="3" t="inlineStr">
        <is>
          <t>MOVE_LEECH_SEED</t>
        </is>
      </c>
    </row>
    <row r="2681">
      <c r="A2681" s="3" t="inlineStr">
        <is>
          <t>SPECIES_DEERLING_SPRING</t>
        </is>
      </c>
      <c r="B2681" s="3" t="inlineStr">
        <is>
          <t>Deerling</t>
        </is>
      </c>
      <c r="C2681" s="3" t="n">
        <v>16</v>
      </c>
      <c r="D2681" s="3" t="inlineStr">
        <is>
          <t>Bullet Seed</t>
        </is>
      </c>
      <c r="E2681" s="3" t="inlineStr">
        <is>
          <t>MOVE_BULLET_SEED</t>
        </is>
      </c>
    </row>
    <row r="2682">
      <c r="A2682" s="3" t="inlineStr">
        <is>
          <t>SPECIES_DEERLING_SPRING</t>
        </is>
      </c>
      <c r="B2682" s="3" t="inlineStr">
        <is>
          <t>Deerling</t>
        </is>
      </c>
      <c r="C2682" s="3" t="n">
        <v>20</v>
      </c>
      <c r="D2682" s="3" t="inlineStr">
        <is>
          <t>Take Down</t>
        </is>
      </c>
      <c r="E2682" s="3" t="inlineStr">
        <is>
          <t>MOVE_TAKE_DOWN</t>
        </is>
      </c>
    </row>
    <row r="2683">
      <c r="A2683" s="3" t="inlineStr">
        <is>
          <t>SPECIES_DEERLING_SPRING</t>
        </is>
      </c>
      <c r="B2683" s="3" t="inlineStr">
        <is>
          <t>Deerling</t>
        </is>
      </c>
      <c r="C2683" s="3" t="n">
        <v>24</v>
      </c>
      <c r="D2683" s="3" t="inlineStr">
        <is>
          <t>Zen Headbutt</t>
        </is>
      </c>
      <c r="E2683" s="3" t="inlineStr">
        <is>
          <t>MOVE_ZEN_HEADBUTT</t>
        </is>
      </c>
    </row>
    <row r="2684">
      <c r="A2684" s="3" t="inlineStr">
        <is>
          <t>SPECIES_DEERLING_SPRING</t>
        </is>
      </c>
      <c r="B2684" s="3" t="inlineStr">
        <is>
          <t>Deerling</t>
        </is>
      </c>
      <c r="C2684" s="3" t="n">
        <v>28</v>
      </c>
      <c r="D2684" s="3" t="inlineStr">
        <is>
          <t>Energy Ball</t>
        </is>
      </c>
      <c r="E2684" s="3" t="inlineStr">
        <is>
          <t>MOVE_ENERGY_BALL</t>
        </is>
      </c>
    </row>
    <row r="2685">
      <c r="A2685" s="3" t="inlineStr">
        <is>
          <t>SPECIES_DEERLING_SPRING</t>
        </is>
      </c>
      <c r="B2685" s="3" t="inlineStr">
        <is>
          <t>Deerling</t>
        </is>
      </c>
      <c r="C2685" s="3" t="n">
        <v>32</v>
      </c>
      <c r="D2685" s="3" t="inlineStr">
        <is>
          <t>Charm</t>
        </is>
      </c>
      <c r="E2685" s="3" t="inlineStr">
        <is>
          <t>MOVE_CHARM</t>
        </is>
      </c>
    </row>
    <row r="2686">
      <c r="A2686" s="3" t="inlineStr">
        <is>
          <t>SPECIES_DEERLING_SPRING</t>
        </is>
      </c>
      <c r="B2686" s="3" t="inlineStr">
        <is>
          <t>Deerling</t>
        </is>
      </c>
      <c r="C2686" s="3" t="n">
        <v>37</v>
      </c>
      <c r="D2686" s="3" t="inlineStr">
        <is>
          <t>Double-Edge</t>
        </is>
      </c>
      <c r="E2686" s="3" t="inlineStr">
        <is>
          <t>MOVE_DOUBLE_EDGE</t>
        </is>
      </c>
    </row>
    <row r="2687">
      <c r="A2687" s="3" t="inlineStr">
        <is>
          <t>SPECIES_DEERLING_SPRING</t>
        </is>
      </c>
      <c r="B2687" s="3" t="inlineStr">
        <is>
          <t>Deerling</t>
        </is>
      </c>
      <c r="C2687" s="3" t="n">
        <v>42</v>
      </c>
      <c r="D2687" s="3" t="inlineStr">
        <is>
          <t>Solar Beam</t>
        </is>
      </c>
      <c r="E2687" s="3" t="inlineStr">
        <is>
          <t>MOVE_SOLAR_BEAM</t>
        </is>
      </c>
    </row>
    <row r="2688">
      <c r="A2688" s="3" t="inlineStr">
        <is>
          <t>SPECIES_SAWSBUCK_SPRING</t>
        </is>
      </c>
      <c r="B2688" s="3" t="inlineStr">
        <is>
          <t>Sawsbuck</t>
        </is>
      </c>
      <c r="C2688" s="3" t="n">
        <v>0</v>
      </c>
      <c r="D2688" s="3" t="inlineStr">
        <is>
          <t>Horn Leech</t>
        </is>
      </c>
      <c r="E2688" s="3" t="inlineStr">
        <is>
          <t>MOVE_HORN_LEECH</t>
        </is>
      </c>
    </row>
    <row r="2689">
      <c r="A2689" s="3" t="inlineStr">
        <is>
          <t>SPECIES_SAWSBUCK_SPRING</t>
        </is>
      </c>
      <c r="B2689" s="3" t="inlineStr">
        <is>
          <t>Sawsbuck</t>
        </is>
      </c>
      <c r="C2689" s="3" t="n">
        <v>1</v>
      </c>
      <c r="D2689" s="3" t="inlineStr">
        <is>
          <t>Sand Attack</t>
        </is>
      </c>
      <c r="E2689" s="3" t="inlineStr">
        <is>
          <t>MOVE_SAND_ATTACK</t>
        </is>
      </c>
    </row>
    <row r="2690">
      <c r="A2690" s="3" t="inlineStr">
        <is>
          <t>SPECIES_SAWSBUCK_SPRING</t>
        </is>
      </c>
      <c r="B2690" s="3" t="inlineStr">
        <is>
          <t>Sawsbuck</t>
        </is>
      </c>
      <c r="C2690" s="3" t="n">
        <v>1</v>
      </c>
      <c r="D2690" s="3" t="inlineStr">
        <is>
          <t>Tackle</t>
        </is>
      </c>
      <c r="E2690" s="3" t="inlineStr">
        <is>
          <t>MOVE_TACKLE</t>
        </is>
      </c>
    </row>
    <row r="2691">
      <c r="A2691" s="3" t="inlineStr">
        <is>
          <t>SPECIES_SAWSBUCK_SPRING</t>
        </is>
      </c>
      <c r="B2691" s="3" t="inlineStr">
        <is>
          <t>Sawsbuck</t>
        </is>
      </c>
      <c r="C2691" s="3" t="n">
        <v>1</v>
      </c>
      <c r="D2691" s="3" t="inlineStr">
        <is>
          <t>Growl</t>
        </is>
      </c>
      <c r="E2691" s="3" t="inlineStr">
        <is>
          <t>MOVE_GROWL</t>
        </is>
      </c>
    </row>
    <row r="2692">
      <c r="A2692" s="3" t="inlineStr">
        <is>
          <t>SPECIES_SAWSBUCK_SPRING</t>
        </is>
      </c>
      <c r="B2692" s="3" t="inlineStr">
        <is>
          <t>Sawsbuck</t>
        </is>
      </c>
      <c r="C2692" s="3" t="n">
        <v>1</v>
      </c>
      <c r="D2692" s="3" t="inlineStr">
        <is>
          <t>Megahorn</t>
        </is>
      </c>
      <c r="E2692" s="3" t="inlineStr">
        <is>
          <t>MOVE_MEGAHORN</t>
        </is>
      </c>
    </row>
    <row r="2693">
      <c r="A2693" s="3" t="inlineStr">
        <is>
          <t>SPECIES_SAWSBUCK_SPRING</t>
        </is>
      </c>
      <c r="B2693" s="3" t="inlineStr">
        <is>
          <t>Sawsbuck</t>
        </is>
      </c>
      <c r="C2693" s="3" t="n">
        <v>10</v>
      </c>
      <c r="D2693" s="3" t="inlineStr">
        <is>
          <t>Double Kick</t>
        </is>
      </c>
      <c r="E2693" s="3" t="inlineStr">
        <is>
          <t>MOVE_DOUBLE_KICK</t>
        </is>
      </c>
    </row>
    <row r="2694">
      <c r="A2694" s="3" t="inlineStr">
        <is>
          <t>SPECIES_SAWSBUCK_SPRING</t>
        </is>
      </c>
      <c r="B2694" s="3" t="inlineStr">
        <is>
          <t>Sawsbuck</t>
        </is>
      </c>
      <c r="C2694" s="3" t="n">
        <v>13</v>
      </c>
      <c r="D2694" s="3" t="inlineStr">
        <is>
          <t>Leech Seed</t>
        </is>
      </c>
      <c r="E2694" s="3" t="inlineStr">
        <is>
          <t>MOVE_LEECH_SEED</t>
        </is>
      </c>
    </row>
    <row r="2695">
      <c r="A2695" s="3" t="inlineStr">
        <is>
          <t>SPECIES_SAWSBUCK_SPRING</t>
        </is>
      </c>
      <c r="B2695" s="3" t="inlineStr">
        <is>
          <t>Sawsbuck</t>
        </is>
      </c>
      <c r="C2695" s="3" t="n">
        <v>16</v>
      </c>
      <c r="D2695" s="3" t="inlineStr">
        <is>
          <t>Bullet Seed</t>
        </is>
      </c>
      <c r="E2695" s="3" t="inlineStr">
        <is>
          <t>MOVE_BULLET_SEED</t>
        </is>
      </c>
    </row>
    <row r="2696">
      <c r="A2696" s="3" t="inlineStr">
        <is>
          <t>SPECIES_SAWSBUCK_SPRING</t>
        </is>
      </c>
      <c r="B2696" s="3" t="inlineStr">
        <is>
          <t>Sawsbuck</t>
        </is>
      </c>
      <c r="C2696" s="3" t="n">
        <v>20</v>
      </c>
      <c r="D2696" s="3" t="inlineStr">
        <is>
          <t>Take Down</t>
        </is>
      </c>
      <c r="E2696" s="3" t="inlineStr">
        <is>
          <t>MOVE_TAKE_DOWN</t>
        </is>
      </c>
    </row>
    <row r="2697">
      <c r="A2697" s="3" t="inlineStr">
        <is>
          <t>SPECIES_SAWSBUCK_SPRING</t>
        </is>
      </c>
      <c r="B2697" s="3" t="inlineStr">
        <is>
          <t>Sawsbuck</t>
        </is>
      </c>
      <c r="C2697" s="3" t="n">
        <v>24</v>
      </c>
      <c r="D2697" s="3" t="inlineStr">
        <is>
          <t>Zen Headbutt</t>
        </is>
      </c>
      <c r="E2697" s="3" t="inlineStr">
        <is>
          <t>MOVE_ZEN_HEADBUTT</t>
        </is>
      </c>
    </row>
    <row r="2698">
      <c r="A2698" s="3" t="inlineStr">
        <is>
          <t>SPECIES_SAWSBUCK_SPRING</t>
        </is>
      </c>
      <c r="B2698" s="3" t="inlineStr">
        <is>
          <t>Sawsbuck</t>
        </is>
      </c>
      <c r="C2698" s="3" t="n">
        <v>28</v>
      </c>
      <c r="D2698" s="3" t="inlineStr">
        <is>
          <t>Energy Ball</t>
        </is>
      </c>
      <c r="E2698" s="3" t="inlineStr">
        <is>
          <t>MOVE_ENERGY_BALL</t>
        </is>
      </c>
    </row>
    <row r="2699">
      <c r="A2699" s="3" t="inlineStr">
        <is>
          <t>SPECIES_SAWSBUCK_SPRING</t>
        </is>
      </c>
      <c r="B2699" s="3" t="inlineStr">
        <is>
          <t>Sawsbuck</t>
        </is>
      </c>
      <c r="C2699" s="3" t="n">
        <v>36</v>
      </c>
      <c r="D2699" s="3" t="inlineStr">
        <is>
          <t>Charm</t>
        </is>
      </c>
      <c r="E2699" s="3" t="inlineStr">
        <is>
          <t>MOVE_CHARM</t>
        </is>
      </c>
    </row>
    <row r="2700">
      <c r="A2700" s="3" t="inlineStr">
        <is>
          <t>SPECIES_SAWSBUCK_SPRING</t>
        </is>
      </c>
      <c r="B2700" s="3" t="inlineStr">
        <is>
          <t>Sawsbuck</t>
        </is>
      </c>
      <c r="C2700" s="3" t="n">
        <v>44</v>
      </c>
      <c r="D2700" s="3" t="inlineStr">
        <is>
          <t>Double-Edge</t>
        </is>
      </c>
      <c r="E2700" s="3" t="inlineStr">
        <is>
          <t>MOVE_DOUBLE_EDGE</t>
        </is>
      </c>
    </row>
    <row r="2701">
      <c r="A2701" s="3" t="inlineStr">
        <is>
          <t>SPECIES_SAWSBUCK_SPRING</t>
        </is>
      </c>
      <c r="B2701" s="3" t="inlineStr">
        <is>
          <t>Sawsbuck</t>
        </is>
      </c>
      <c r="C2701" s="3" t="n">
        <v>52</v>
      </c>
      <c r="D2701" s="3" t="inlineStr">
        <is>
          <t>Solar Beam</t>
        </is>
      </c>
      <c r="E2701" s="3" t="inlineStr">
        <is>
          <t>MOVE_SOLAR_BEAM</t>
        </is>
      </c>
    </row>
    <row r="2702">
      <c r="A2702" s="3" t="inlineStr">
        <is>
          <t>SPECIES_FERROSEED</t>
        </is>
      </c>
      <c r="B2702" s="3" t="inlineStr">
        <is>
          <t>Ferroseed</t>
        </is>
      </c>
      <c r="C2702" s="3" t="n">
        <v>1</v>
      </c>
      <c r="D2702" s="3" t="inlineStr">
        <is>
          <t>Tackle</t>
        </is>
      </c>
      <c r="E2702" s="3" t="inlineStr">
        <is>
          <t>MOVE_TACKLE</t>
        </is>
      </c>
    </row>
    <row r="2703">
      <c r="A2703" s="3" t="inlineStr">
        <is>
          <t>SPECIES_FERROSEED</t>
        </is>
      </c>
      <c r="B2703" s="3" t="inlineStr">
        <is>
          <t>Ferroseed</t>
        </is>
      </c>
      <c r="C2703" s="3" t="n">
        <v>1</v>
      </c>
      <c r="D2703" s="3" t="inlineStr">
        <is>
          <t>Harden</t>
        </is>
      </c>
      <c r="E2703" s="3" t="inlineStr">
        <is>
          <t>MOVE_HARDEN</t>
        </is>
      </c>
    </row>
    <row r="2704">
      <c r="A2704" s="3" t="inlineStr">
        <is>
          <t>SPECIES_FERROSEED</t>
        </is>
      </c>
      <c r="B2704" s="3" t="inlineStr">
        <is>
          <t>Ferroseed</t>
        </is>
      </c>
      <c r="C2704" s="3" t="n">
        <v>5</v>
      </c>
      <c r="D2704" s="3" t="inlineStr">
        <is>
          <t>Metal Claw</t>
        </is>
      </c>
      <c r="E2704" s="3" t="inlineStr">
        <is>
          <t>MOVE_METAL_CLAW</t>
        </is>
      </c>
    </row>
    <row r="2705">
      <c r="A2705" s="3" t="inlineStr">
        <is>
          <t>SPECIES_FERROSEED</t>
        </is>
      </c>
      <c r="B2705" s="3" t="inlineStr">
        <is>
          <t>Ferroseed</t>
        </is>
      </c>
      <c r="C2705" s="3" t="n">
        <v>10</v>
      </c>
      <c r="D2705" s="3" t="inlineStr">
        <is>
          <t>Pin Missile</t>
        </is>
      </c>
      <c r="E2705" s="3" t="inlineStr">
        <is>
          <t>MOVE_PIN_MISSILE</t>
        </is>
      </c>
    </row>
    <row r="2706">
      <c r="A2706" s="3" t="inlineStr">
        <is>
          <t>SPECIES_FERROSEED</t>
        </is>
      </c>
      <c r="B2706" s="3" t="inlineStr">
        <is>
          <t>Ferroseed</t>
        </is>
      </c>
      <c r="C2706" s="3" t="n">
        <v>15</v>
      </c>
      <c r="D2706" s="3" t="inlineStr">
        <is>
          <t>Ingrain</t>
        </is>
      </c>
      <c r="E2706" s="3" t="inlineStr">
        <is>
          <t>MOVE_INGRAIN</t>
        </is>
      </c>
    </row>
    <row r="2707">
      <c r="A2707" s="3" t="inlineStr">
        <is>
          <t>SPECIES_FERROSEED</t>
        </is>
      </c>
      <c r="B2707" s="3" t="inlineStr">
        <is>
          <t>Ferroseed</t>
        </is>
      </c>
      <c r="C2707" s="3" t="n">
        <v>20</v>
      </c>
      <c r="D2707" s="3" t="inlineStr">
        <is>
          <t>Flash Cannon</t>
        </is>
      </c>
      <c r="E2707" s="3" t="inlineStr">
        <is>
          <t>MOVE_FLASH_CANNON</t>
        </is>
      </c>
    </row>
    <row r="2708">
      <c r="A2708" s="3" t="inlineStr">
        <is>
          <t>SPECIES_FERROSEED</t>
        </is>
      </c>
      <c r="B2708" s="3" t="inlineStr">
        <is>
          <t>Ferroseed</t>
        </is>
      </c>
      <c r="C2708" s="3" t="n">
        <v>25</v>
      </c>
      <c r="D2708" s="3" t="inlineStr">
        <is>
          <t>Iron Head</t>
        </is>
      </c>
      <c r="E2708" s="3" t="inlineStr">
        <is>
          <t>MOVE_IRON_HEAD</t>
        </is>
      </c>
    </row>
    <row r="2709">
      <c r="A2709" s="3" t="inlineStr">
        <is>
          <t>SPECIES_FERROSEED</t>
        </is>
      </c>
      <c r="B2709" s="3" t="inlineStr">
        <is>
          <t>Ferroseed</t>
        </is>
      </c>
      <c r="C2709" s="3" t="n">
        <v>30</v>
      </c>
      <c r="D2709" s="3" t="inlineStr">
        <is>
          <t>Self-Destruct</t>
        </is>
      </c>
      <c r="E2709" s="3" t="inlineStr">
        <is>
          <t>MOVE_SELF_DESTRUCT</t>
        </is>
      </c>
    </row>
    <row r="2710">
      <c r="A2710" s="3" t="inlineStr">
        <is>
          <t>SPECIES_FERROSEED</t>
        </is>
      </c>
      <c r="B2710" s="3" t="inlineStr">
        <is>
          <t>Ferroseed</t>
        </is>
      </c>
      <c r="C2710" s="3" t="n">
        <v>35</v>
      </c>
      <c r="D2710" s="3" t="inlineStr">
        <is>
          <t>Iron Defense</t>
        </is>
      </c>
      <c r="E2710" s="3" t="inlineStr">
        <is>
          <t>MOVE_IRON_DEFENSE</t>
        </is>
      </c>
    </row>
    <row r="2711">
      <c r="A2711" s="3" t="inlineStr">
        <is>
          <t>SPECIES_FERROSEED</t>
        </is>
      </c>
      <c r="B2711" s="3" t="inlineStr">
        <is>
          <t>Ferroseed</t>
        </is>
      </c>
      <c r="C2711" s="3" t="n">
        <v>41</v>
      </c>
      <c r="D2711" s="3" t="inlineStr">
        <is>
          <t>Curse</t>
        </is>
      </c>
      <c r="E2711" s="3" t="inlineStr">
        <is>
          <t>MOVE_CURSE</t>
        </is>
      </c>
    </row>
    <row r="2712">
      <c r="A2712" s="3" t="inlineStr">
        <is>
          <t>SPECIES_FERROSEED</t>
        </is>
      </c>
      <c r="B2712" s="3" t="inlineStr">
        <is>
          <t>Ferroseed</t>
        </is>
      </c>
      <c r="C2712" s="3" t="n">
        <v>45</v>
      </c>
      <c r="D2712" s="3" t="inlineStr">
        <is>
          <t>Gyro Ball</t>
        </is>
      </c>
      <c r="E2712" s="3" t="inlineStr">
        <is>
          <t>MOVE_GYRO_BALL</t>
        </is>
      </c>
    </row>
    <row r="2713">
      <c r="A2713" s="3" t="inlineStr">
        <is>
          <t>SPECIES_FERROSEED</t>
        </is>
      </c>
      <c r="B2713" s="3" t="inlineStr">
        <is>
          <t>Ferroseed</t>
        </is>
      </c>
      <c r="C2713" s="3" t="n">
        <v>50</v>
      </c>
      <c r="D2713" s="3" t="inlineStr">
        <is>
          <t>Explosion</t>
        </is>
      </c>
      <c r="E2713" s="3" t="inlineStr">
        <is>
          <t>MOVE_EXPLOSION</t>
        </is>
      </c>
    </row>
    <row r="2714">
      <c r="A2714" s="3" t="inlineStr">
        <is>
          <t>SPECIES_FERROTHORN</t>
        </is>
      </c>
      <c r="B2714" s="3" t="inlineStr">
        <is>
          <t>Ferrothorn</t>
        </is>
      </c>
      <c r="C2714" s="3" t="n">
        <v>0</v>
      </c>
      <c r="D2714" s="3" t="inlineStr">
        <is>
          <t>Power Whip</t>
        </is>
      </c>
      <c r="E2714" s="3" t="inlineStr">
        <is>
          <t>MOVE_POWER_WHIP</t>
        </is>
      </c>
    </row>
    <row r="2715">
      <c r="A2715" s="3" t="inlineStr">
        <is>
          <t>SPECIES_FERROTHORN</t>
        </is>
      </c>
      <c r="B2715" s="3" t="inlineStr">
        <is>
          <t>Ferrothorn</t>
        </is>
      </c>
      <c r="C2715" s="3" t="n">
        <v>1</v>
      </c>
      <c r="D2715" s="3" t="inlineStr">
        <is>
          <t>Power Whip</t>
        </is>
      </c>
      <c r="E2715" s="3" t="inlineStr">
        <is>
          <t>MOVE_POWER_WHIP</t>
        </is>
      </c>
    </row>
    <row r="2716">
      <c r="A2716" s="3" t="inlineStr">
        <is>
          <t>SPECIES_FERROTHORN</t>
        </is>
      </c>
      <c r="B2716" s="3" t="inlineStr">
        <is>
          <t>Ferrothorn</t>
        </is>
      </c>
      <c r="C2716" s="3" t="n">
        <v>1</v>
      </c>
      <c r="D2716" s="3" t="inlineStr">
        <is>
          <t>Tackle</t>
        </is>
      </c>
      <c r="E2716" s="3" t="inlineStr">
        <is>
          <t>MOVE_TACKLE</t>
        </is>
      </c>
    </row>
    <row r="2717">
      <c r="A2717" s="3" t="inlineStr">
        <is>
          <t>SPECIES_FERROTHORN</t>
        </is>
      </c>
      <c r="B2717" s="3" t="inlineStr">
        <is>
          <t>Ferrothorn</t>
        </is>
      </c>
      <c r="C2717" s="3" t="n">
        <v>1</v>
      </c>
      <c r="D2717" s="3" t="inlineStr">
        <is>
          <t>Harden</t>
        </is>
      </c>
      <c r="E2717" s="3" t="inlineStr">
        <is>
          <t>MOVE_HARDEN</t>
        </is>
      </c>
    </row>
    <row r="2718">
      <c r="A2718" s="3" t="inlineStr">
        <is>
          <t>SPECIES_FERROTHORN</t>
        </is>
      </c>
      <c r="B2718" s="3" t="inlineStr">
        <is>
          <t>Ferrothorn</t>
        </is>
      </c>
      <c r="C2718" s="3" t="n">
        <v>1</v>
      </c>
      <c r="D2718" s="3" t="inlineStr">
        <is>
          <t>Metal Claw</t>
        </is>
      </c>
      <c r="E2718" s="3" t="inlineStr">
        <is>
          <t>MOVE_METAL_CLAW</t>
        </is>
      </c>
    </row>
    <row r="2719">
      <c r="A2719" s="3" t="inlineStr">
        <is>
          <t>SPECIES_FERROTHORN</t>
        </is>
      </c>
      <c r="B2719" s="3" t="inlineStr">
        <is>
          <t>Ferrothorn</t>
        </is>
      </c>
      <c r="C2719" s="3" t="n">
        <v>1</v>
      </c>
      <c r="D2719" s="3" t="inlineStr">
        <is>
          <t>Pin Missile</t>
        </is>
      </c>
      <c r="E2719" s="3" t="inlineStr">
        <is>
          <t>MOVE_PIN_MISSILE</t>
        </is>
      </c>
    </row>
    <row r="2720">
      <c r="A2720" s="3" t="inlineStr">
        <is>
          <t>SPECIES_FERROTHORN</t>
        </is>
      </c>
      <c r="B2720" s="3" t="inlineStr">
        <is>
          <t>Ferrothorn</t>
        </is>
      </c>
      <c r="C2720" s="3" t="n">
        <v>15</v>
      </c>
      <c r="D2720" s="3" t="inlineStr">
        <is>
          <t>Ingrain</t>
        </is>
      </c>
      <c r="E2720" s="3" t="inlineStr">
        <is>
          <t>MOVE_INGRAIN</t>
        </is>
      </c>
    </row>
    <row r="2721">
      <c r="A2721" s="3" t="inlineStr">
        <is>
          <t>SPECIES_FERROTHORN</t>
        </is>
      </c>
      <c r="B2721" s="3" t="inlineStr">
        <is>
          <t>Ferrothorn</t>
        </is>
      </c>
      <c r="C2721" s="3" t="n">
        <v>20</v>
      </c>
      <c r="D2721" s="3" t="inlineStr">
        <is>
          <t>Flash Cannon</t>
        </is>
      </c>
      <c r="E2721" s="3" t="inlineStr">
        <is>
          <t>MOVE_FLASH_CANNON</t>
        </is>
      </c>
    </row>
    <row r="2722">
      <c r="A2722" s="3" t="inlineStr">
        <is>
          <t>SPECIES_FERROTHORN</t>
        </is>
      </c>
      <c r="B2722" s="3" t="inlineStr">
        <is>
          <t>Ferrothorn</t>
        </is>
      </c>
      <c r="C2722" s="3" t="n">
        <v>25</v>
      </c>
      <c r="D2722" s="3" t="inlineStr">
        <is>
          <t>Iron Head</t>
        </is>
      </c>
      <c r="E2722" s="3" t="inlineStr">
        <is>
          <t>MOVE_IRON_HEAD</t>
        </is>
      </c>
    </row>
    <row r="2723">
      <c r="A2723" s="3" t="inlineStr">
        <is>
          <t>SPECIES_FERROTHORN</t>
        </is>
      </c>
      <c r="B2723" s="3" t="inlineStr">
        <is>
          <t>Ferrothorn</t>
        </is>
      </c>
      <c r="C2723" s="3" t="n">
        <v>30</v>
      </c>
      <c r="D2723" s="3" t="inlineStr">
        <is>
          <t>Self-Destruct</t>
        </is>
      </c>
      <c r="E2723" s="3" t="inlineStr">
        <is>
          <t>MOVE_SELF_DESTRUCT</t>
        </is>
      </c>
    </row>
    <row r="2724">
      <c r="A2724" s="3" t="inlineStr">
        <is>
          <t>SPECIES_FERROTHORN</t>
        </is>
      </c>
      <c r="B2724" s="3" t="inlineStr">
        <is>
          <t>Ferrothorn</t>
        </is>
      </c>
      <c r="C2724" s="3" t="n">
        <v>35</v>
      </c>
      <c r="D2724" s="3" t="inlineStr">
        <is>
          <t>Iron Defense</t>
        </is>
      </c>
      <c r="E2724" s="3" t="inlineStr">
        <is>
          <t>MOVE_IRON_DEFENSE</t>
        </is>
      </c>
    </row>
    <row r="2725">
      <c r="A2725" s="3" t="inlineStr">
        <is>
          <t>SPECIES_FERROTHORN</t>
        </is>
      </c>
      <c r="B2725" s="3" t="inlineStr">
        <is>
          <t>Ferrothorn</t>
        </is>
      </c>
      <c r="C2725" s="3" t="n">
        <v>43</v>
      </c>
      <c r="D2725" s="3" t="inlineStr">
        <is>
          <t>Curse</t>
        </is>
      </c>
      <c r="E2725" s="3" t="inlineStr">
        <is>
          <t>MOVE_CURSE</t>
        </is>
      </c>
    </row>
    <row r="2726">
      <c r="A2726" s="3" t="inlineStr">
        <is>
          <t>SPECIES_FERROTHORN</t>
        </is>
      </c>
      <c r="B2726" s="3" t="inlineStr">
        <is>
          <t>Ferrothorn</t>
        </is>
      </c>
      <c r="C2726" s="3" t="n">
        <v>49</v>
      </c>
      <c r="D2726" s="3" t="inlineStr">
        <is>
          <t>Gyro Ball</t>
        </is>
      </c>
      <c r="E2726" s="3" t="inlineStr">
        <is>
          <t>MOVE_GYRO_BALL</t>
        </is>
      </c>
    </row>
    <row r="2727">
      <c r="A2727" s="3" t="inlineStr">
        <is>
          <t>SPECIES_FERROTHORN</t>
        </is>
      </c>
      <c r="B2727" s="3" t="inlineStr">
        <is>
          <t>Ferrothorn</t>
        </is>
      </c>
      <c r="C2727" s="3" t="n">
        <v>56</v>
      </c>
      <c r="D2727" s="3" t="inlineStr">
        <is>
          <t>Explosion</t>
        </is>
      </c>
      <c r="E2727" s="3" t="inlineStr">
        <is>
          <t>MOVE_EXPLOSION</t>
        </is>
      </c>
    </row>
    <row r="2728">
      <c r="A2728" s="3" t="inlineStr">
        <is>
          <t>SPECIES_TYNAMO</t>
        </is>
      </c>
      <c r="B2728" s="3" t="inlineStr">
        <is>
          <t>Tynamo</t>
        </is>
      </c>
      <c r="C2728" s="3" t="n">
        <v>1</v>
      </c>
      <c r="D2728" s="3" t="inlineStr">
        <is>
          <t>Tackle</t>
        </is>
      </c>
      <c r="E2728" s="3" t="inlineStr">
        <is>
          <t>MOVE_TACKLE</t>
        </is>
      </c>
    </row>
    <row r="2729">
      <c r="A2729" s="3" t="inlineStr">
        <is>
          <t>SPECIES_TYNAMO</t>
        </is>
      </c>
      <c r="B2729" s="3" t="inlineStr">
        <is>
          <t>Tynamo</t>
        </is>
      </c>
      <c r="C2729" s="3" t="n">
        <v>1</v>
      </c>
      <c r="D2729" s="3" t="inlineStr">
        <is>
          <t>Thunder Wave</t>
        </is>
      </c>
      <c r="E2729" s="3" t="inlineStr">
        <is>
          <t>MOVE_THUNDER_WAVE</t>
        </is>
      </c>
    </row>
    <row r="2730">
      <c r="A2730" s="3" t="inlineStr">
        <is>
          <t>SPECIES_TYNAMO</t>
        </is>
      </c>
      <c r="B2730" s="3" t="inlineStr">
        <is>
          <t>Tynamo</t>
        </is>
      </c>
      <c r="C2730" s="3" t="n">
        <v>1</v>
      </c>
      <c r="D2730" s="3" t="inlineStr">
        <is>
          <t>Spark</t>
        </is>
      </c>
      <c r="E2730" s="3" t="inlineStr">
        <is>
          <t>MOVE_SPARK</t>
        </is>
      </c>
    </row>
    <row r="2731">
      <c r="A2731" s="3" t="inlineStr">
        <is>
          <t>SPECIES_TYNAMO</t>
        </is>
      </c>
      <c r="B2731" s="3" t="inlineStr">
        <is>
          <t>Tynamo</t>
        </is>
      </c>
      <c r="C2731" s="3" t="n">
        <v>1</v>
      </c>
      <c r="D2731" s="3" t="inlineStr">
        <is>
          <t>Charge Beam</t>
        </is>
      </c>
      <c r="E2731" s="3" t="inlineStr">
        <is>
          <t>MOVE_CHARGE_BEAM</t>
        </is>
      </c>
    </row>
    <row r="2732">
      <c r="A2732" s="3" t="inlineStr">
        <is>
          <t>SPECIES_EELEKTRIK</t>
        </is>
      </c>
      <c r="B2732" s="3" t="inlineStr">
        <is>
          <t>Eelektrik</t>
        </is>
      </c>
      <c r="C2732" s="3" t="n">
        <v>0</v>
      </c>
      <c r="D2732" s="3" t="inlineStr">
        <is>
          <t>Crunch</t>
        </is>
      </c>
      <c r="E2732" s="3" t="inlineStr">
        <is>
          <t>MOVE_CRUNCH</t>
        </is>
      </c>
    </row>
    <row r="2733">
      <c r="A2733" s="3" t="inlineStr">
        <is>
          <t>SPECIES_EELEKTRIK</t>
        </is>
      </c>
      <c r="B2733" s="3" t="inlineStr">
        <is>
          <t>Eelektrik</t>
        </is>
      </c>
      <c r="C2733" s="3" t="n">
        <v>1</v>
      </c>
      <c r="D2733" s="3" t="inlineStr">
        <is>
          <t>Headbutt</t>
        </is>
      </c>
      <c r="E2733" s="3" t="inlineStr">
        <is>
          <t>MOVE_HEADBUTT</t>
        </is>
      </c>
    </row>
    <row r="2734">
      <c r="A2734" s="3" t="inlineStr">
        <is>
          <t>SPECIES_EELEKTRIK</t>
        </is>
      </c>
      <c r="B2734" s="3" t="inlineStr">
        <is>
          <t>Eelektrik</t>
        </is>
      </c>
      <c r="C2734" s="3" t="n">
        <v>1</v>
      </c>
      <c r="D2734" s="3" t="inlineStr">
        <is>
          <t>Thunder Wave</t>
        </is>
      </c>
      <c r="E2734" s="3" t="inlineStr">
        <is>
          <t>MOVE_THUNDER_WAVE</t>
        </is>
      </c>
    </row>
    <row r="2735">
      <c r="A2735" s="3" t="inlineStr">
        <is>
          <t>SPECIES_EELEKTRIK</t>
        </is>
      </c>
      <c r="B2735" s="3" t="inlineStr">
        <is>
          <t>Eelektrik</t>
        </is>
      </c>
      <c r="C2735" s="3" t="n">
        <v>1</v>
      </c>
      <c r="D2735" s="3" t="inlineStr">
        <is>
          <t>Spark</t>
        </is>
      </c>
      <c r="E2735" s="3" t="inlineStr">
        <is>
          <t>MOVE_SPARK</t>
        </is>
      </c>
    </row>
    <row r="2736">
      <c r="A2736" s="3" t="inlineStr">
        <is>
          <t>SPECIES_EELEKTRIK</t>
        </is>
      </c>
      <c r="B2736" s="3" t="inlineStr">
        <is>
          <t>Eelektrik</t>
        </is>
      </c>
      <c r="C2736" s="3" t="n">
        <v>1</v>
      </c>
      <c r="D2736" s="3" t="inlineStr">
        <is>
          <t>Charge Beam</t>
        </is>
      </c>
      <c r="E2736" s="3" t="inlineStr">
        <is>
          <t>MOVE_CHARGE_BEAM</t>
        </is>
      </c>
    </row>
    <row r="2737">
      <c r="A2737" s="3" t="inlineStr">
        <is>
          <t>SPECIES_EELEKTRIK</t>
        </is>
      </c>
      <c r="B2737" s="3" t="inlineStr">
        <is>
          <t>Eelektrik</t>
        </is>
      </c>
      <c r="C2737" s="3" t="n">
        <v>9</v>
      </c>
      <c r="D2737" s="3" t="inlineStr">
        <is>
          <t>Bind</t>
        </is>
      </c>
      <c r="E2737" s="3" t="inlineStr">
        <is>
          <t>MOVE_BIND</t>
        </is>
      </c>
    </row>
    <row r="2738">
      <c r="A2738" s="3" t="inlineStr">
        <is>
          <t>SPECIES_EELEKTRIK</t>
        </is>
      </c>
      <c r="B2738" s="3" t="inlineStr">
        <is>
          <t>Eelektrik</t>
        </is>
      </c>
      <c r="C2738" s="3" t="n">
        <v>19</v>
      </c>
      <c r="D2738" s="3" t="inlineStr">
        <is>
          <t>Acid</t>
        </is>
      </c>
      <c r="E2738" s="3" t="inlineStr">
        <is>
          <t>MOVE_ACID</t>
        </is>
      </c>
    </row>
    <row r="2739">
      <c r="A2739" s="3" t="inlineStr">
        <is>
          <t>SPECIES_EELEKTRIK</t>
        </is>
      </c>
      <c r="B2739" s="3" t="inlineStr">
        <is>
          <t>Eelektrik</t>
        </is>
      </c>
      <c r="C2739" s="3" t="n">
        <v>29</v>
      </c>
      <c r="D2739" s="3" t="inlineStr">
        <is>
          <t>Discharge</t>
        </is>
      </c>
      <c r="E2739" s="3" t="inlineStr">
        <is>
          <t>MOVE_DISCHARGE</t>
        </is>
      </c>
    </row>
    <row r="2740">
      <c r="A2740" s="3" t="inlineStr">
        <is>
          <t>SPECIES_EELEKTRIK</t>
        </is>
      </c>
      <c r="B2740" s="3" t="inlineStr">
        <is>
          <t>Eelektrik</t>
        </is>
      </c>
      <c r="C2740" s="3" t="n">
        <v>44</v>
      </c>
      <c r="D2740" s="3" t="inlineStr">
        <is>
          <t>Thunderbolt</t>
        </is>
      </c>
      <c r="E2740" s="3" t="inlineStr">
        <is>
          <t>MOVE_THUNDERBOLT</t>
        </is>
      </c>
    </row>
    <row r="2741">
      <c r="A2741" s="3" t="inlineStr">
        <is>
          <t>SPECIES_EELEKTRIK</t>
        </is>
      </c>
      <c r="B2741" s="3" t="inlineStr">
        <is>
          <t>Eelektrik</t>
        </is>
      </c>
      <c r="C2741" s="3" t="n">
        <v>49</v>
      </c>
      <c r="D2741" s="3" t="inlineStr">
        <is>
          <t>Acid Spray</t>
        </is>
      </c>
      <c r="E2741" s="3" t="inlineStr">
        <is>
          <t>MOVE_ACID_SPRAY</t>
        </is>
      </c>
    </row>
    <row r="2742">
      <c r="A2742" s="3" t="inlineStr">
        <is>
          <t>SPECIES_EELEKTRIK</t>
        </is>
      </c>
      <c r="B2742" s="3" t="inlineStr">
        <is>
          <t>Eelektrik</t>
        </is>
      </c>
      <c r="C2742" s="3" t="n">
        <v>54</v>
      </c>
      <c r="D2742" s="3" t="inlineStr">
        <is>
          <t>Coil</t>
        </is>
      </c>
      <c r="E2742" s="3" t="inlineStr">
        <is>
          <t>MOVE_COIL</t>
        </is>
      </c>
    </row>
    <row r="2743">
      <c r="A2743" s="3" t="inlineStr">
        <is>
          <t>SPECIES_EELEKTRIK</t>
        </is>
      </c>
      <c r="B2743" s="3" t="inlineStr">
        <is>
          <t>Eelektrik</t>
        </is>
      </c>
      <c r="C2743" s="3" t="n">
        <v>59</v>
      </c>
      <c r="D2743" s="3" t="inlineStr">
        <is>
          <t>Wild Charge</t>
        </is>
      </c>
      <c r="E2743" s="3" t="inlineStr">
        <is>
          <t>MOVE_WILD_CHARGE</t>
        </is>
      </c>
    </row>
    <row r="2744">
      <c r="A2744" s="3" t="inlineStr">
        <is>
          <t>SPECIES_EELEKTRIK</t>
        </is>
      </c>
      <c r="B2744" s="3" t="inlineStr">
        <is>
          <t>Eelektrik</t>
        </is>
      </c>
      <c r="C2744" s="3" t="n">
        <v>64</v>
      </c>
      <c r="D2744" s="3" t="inlineStr">
        <is>
          <t>Gastro Acid</t>
        </is>
      </c>
      <c r="E2744" s="3" t="inlineStr">
        <is>
          <t>MOVE_GASTRO_ACID</t>
        </is>
      </c>
    </row>
    <row r="2745">
      <c r="A2745" s="3" t="inlineStr">
        <is>
          <t>SPECIES_EELEKTRIK</t>
        </is>
      </c>
      <c r="B2745" s="3" t="inlineStr">
        <is>
          <t>Eelektrik</t>
        </is>
      </c>
      <c r="C2745" s="3" t="n">
        <v>69</v>
      </c>
      <c r="D2745" s="3" t="inlineStr">
        <is>
          <t>Zap Cannon</t>
        </is>
      </c>
      <c r="E2745" s="3" t="inlineStr">
        <is>
          <t>MOVE_ZAP_CANNON</t>
        </is>
      </c>
    </row>
    <row r="2746">
      <c r="A2746" s="3" t="inlineStr">
        <is>
          <t>SPECIES_EELEKTRIK</t>
        </is>
      </c>
      <c r="B2746" s="3" t="inlineStr">
        <is>
          <t>Eelektrik</t>
        </is>
      </c>
      <c r="C2746" s="3" t="n">
        <v>74</v>
      </c>
      <c r="D2746" s="3" t="inlineStr">
        <is>
          <t>Thrash</t>
        </is>
      </c>
      <c r="E2746" s="3" t="inlineStr">
        <is>
          <t>MOVE_THRASH</t>
        </is>
      </c>
    </row>
    <row r="2747">
      <c r="A2747" s="3" t="inlineStr">
        <is>
          <t>SPECIES_EELEKTROSS</t>
        </is>
      </c>
      <c r="B2747" s="3" t="inlineStr">
        <is>
          <t>Eelektross</t>
        </is>
      </c>
      <c r="C2747" s="3" t="n">
        <v>1</v>
      </c>
      <c r="D2747" s="3" t="inlineStr">
        <is>
          <t>Headbutt</t>
        </is>
      </c>
      <c r="E2747" s="3" t="inlineStr">
        <is>
          <t>MOVE_HEADBUTT</t>
        </is>
      </c>
    </row>
    <row r="2748">
      <c r="A2748" s="3" t="inlineStr">
        <is>
          <t>SPECIES_EELEKTROSS</t>
        </is>
      </c>
      <c r="B2748" s="3" t="inlineStr">
        <is>
          <t>Eelektross</t>
        </is>
      </c>
      <c r="C2748" s="3" t="n">
        <v>1</v>
      </c>
      <c r="D2748" s="3" t="inlineStr">
        <is>
          <t>Thrash</t>
        </is>
      </c>
      <c r="E2748" s="3" t="inlineStr">
        <is>
          <t>MOVE_THRASH</t>
        </is>
      </c>
    </row>
    <row r="2749">
      <c r="A2749" s="3" t="inlineStr">
        <is>
          <t>SPECIES_EELEKTROSS</t>
        </is>
      </c>
      <c r="B2749" s="3" t="inlineStr">
        <is>
          <t>Eelektross</t>
        </is>
      </c>
      <c r="C2749" s="3" t="n">
        <v>1</v>
      </c>
      <c r="D2749" s="3" t="inlineStr">
        <is>
          <t>Acid</t>
        </is>
      </c>
      <c r="E2749" s="3" t="inlineStr">
        <is>
          <t>MOVE_ACID</t>
        </is>
      </c>
    </row>
    <row r="2750">
      <c r="A2750" s="3" t="inlineStr">
        <is>
          <t>SPECIES_EELEKTROSS</t>
        </is>
      </c>
      <c r="B2750" s="3" t="inlineStr">
        <is>
          <t>Eelektross</t>
        </is>
      </c>
      <c r="C2750" s="3" t="n">
        <v>1</v>
      </c>
      <c r="D2750" s="3" t="inlineStr">
        <is>
          <t>Zap Cannon</t>
        </is>
      </c>
      <c r="E2750" s="3" t="inlineStr">
        <is>
          <t>MOVE_ZAP_CANNON</t>
        </is>
      </c>
    </row>
    <row r="2751">
      <c r="A2751" s="3" t="inlineStr">
        <is>
          <t>SPECIES_EELEKTROSS</t>
        </is>
      </c>
      <c r="B2751" s="3" t="inlineStr">
        <is>
          <t>Eelektross</t>
        </is>
      </c>
      <c r="C2751" s="3" t="n">
        <v>1</v>
      </c>
      <c r="D2751" s="3" t="inlineStr">
        <is>
          <t>Crunch</t>
        </is>
      </c>
      <c r="E2751" s="3" t="inlineStr">
        <is>
          <t>MOVE_CRUNCH</t>
        </is>
      </c>
    </row>
    <row r="2752">
      <c r="A2752" s="3" t="inlineStr">
        <is>
          <t>SPECIES_EELEKTROSS</t>
        </is>
      </c>
      <c r="B2752" s="3" t="inlineStr">
        <is>
          <t>Eelektross</t>
        </is>
      </c>
      <c r="C2752" s="3" t="n">
        <v>1</v>
      </c>
      <c r="D2752" s="3" t="inlineStr">
        <is>
          <t>Crush Claw</t>
        </is>
      </c>
      <c r="E2752" s="3" t="inlineStr">
        <is>
          <t>MOVE_CRUSH_CLAW</t>
        </is>
      </c>
    </row>
    <row r="2753">
      <c r="A2753" s="3" t="inlineStr">
        <is>
          <t>SPECIES_EELEKTROSS</t>
        </is>
      </c>
      <c r="B2753" s="3" t="inlineStr">
        <is>
          <t>Eelektross</t>
        </is>
      </c>
      <c r="C2753" s="3" t="n">
        <v>1</v>
      </c>
      <c r="D2753" s="3" t="inlineStr">
        <is>
          <t>Gastro Acid</t>
        </is>
      </c>
      <c r="E2753" s="3" t="inlineStr">
        <is>
          <t>MOVE_GASTRO_ACID</t>
        </is>
      </c>
    </row>
    <row r="2754">
      <c r="A2754" s="3" t="inlineStr">
        <is>
          <t>SPECIES_EELEKTROSS</t>
        </is>
      </c>
      <c r="B2754" s="3" t="inlineStr">
        <is>
          <t>Eelektross</t>
        </is>
      </c>
      <c r="C2754" s="3" t="n">
        <v>1</v>
      </c>
      <c r="D2754" s="3" t="inlineStr">
        <is>
          <t>Discharge</t>
        </is>
      </c>
      <c r="E2754" s="3" t="inlineStr">
        <is>
          <t>MOVE_DISCHARGE</t>
        </is>
      </c>
    </row>
    <row r="2755">
      <c r="A2755" s="3" t="inlineStr">
        <is>
          <t>SPECIES_EELEKTROSS</t>
        </is>
      </c>
      <c r="B2755" s="3" t="inlineStr">
        <is>
          <t>Eelektross</t>
        </is>
      </c>
      <c r="C2755" s="3" t="n">
        <v>1</v>
      </c>
      <c r="D2755" s="3" t="inlineStr">
        <is>
          <t>Coil</t>
        </is>
      </c>
      <c r="E2755" s="3" t="inlineStr">
        <is>
          <t>MOVE_COIL</t>
        </is>
      </c>
    </row>
    <row r="2756">
      <c r="A2756" s="3" t="inlineStr">
        <is>
          <t>SPECIES_EELEKTROSS</t>
        </is>
      </c>
      <c r="B2756" s="3" t="inlineStr">
        <is>
          <t>Eelektross</t>
        </is>
      </c>
      <c r="C2756" s="3" t="n">
        <v>5</v>
      </c>
      <c r="D2756" s="3" t="inlineStr">
        <is>
          <t>Wild Charge</t>
        </is>
      </c>
      <c r="E2756" s="3" t="inlineStr">
        <is>
          <t>MOVE_WILD_CHARGE</t>
        </is>
      </c>
    </row>
    <row r="2757">
      <c r="A2757" s="3" t="inlineStr">
        <is>
          <t>SPECIES_ELGYEM</t>
        </is>
      </c>
      <c r="B2757" s="3" t="inlineStr">
        <is>
          <t>Elgyem</t>
        </is>
      </c>
      <c r="C2757" s="3" t="n">
        <v>1</v>
      </c>
      <c r="D2757" s="3" t="inlineStr">
        <is>
          <t>Confusion</t>
        </is>
      </c>
      <c r="E2757" s="3" t="inlineStr">
        <is>
          <t>MOVE_CONFUSION</t>
        </is>
      </c>
    </row>
    <row r="2758">
      <c r="A2758" s="3" t="inlineStr">
        <is>
          <t>SPECIES_ELGYEM</t>
        </is>
      </c>
      <c r="B2758" s="3" t="inlineStr">
        <is>
          <t>Elgyem</t>
        </is>
      </c>
      <c r="C2758" s="3" t="n">
        <v>1</v>
      </c>
      <c r="D2758" s="3" t="inlineStr">
        <is>
          <t>Growl</t>
        </is>
      </c>
      <c r="E2758" s="3" t="inlineStr">
        <is>
          <t>MOVE_GROWL</t>
        </is>
      </c>
    </row>
    <row r="2759">
      <c r="A2759" s="3" t="inlineStr">
        <is>
          <t>SPECIES_ELGYEM</t>
        </is>
      </c>
      <c r="B2759" s="3" t="inlineStr">
        <is>
          <t>Elgyem</t>
        </is>
      </c>
      <c r="C2759" s="3" t="n">
        <v>6</v>
      </c>
      <c r="D2759" s="3" t="inlineStr">
        <is>
          <t>Imprison</t>
        </is>
      </c>
      <c r="E2759" s="3" t="inlineStr">
        <is>
          <t>MOVE_IMPRISON</t>
        </is>
      </c>
    </row>
    <row r="2760">
      <c r="A2760" s="3" t="inlineStr">
        <is>
          <t>SPECIES_ELGYEM</t>
        </is>
      </c>
      <c r="B2760" s="3" t="inlineStr">
        <is>
          <t>Elgyem</t>
        </is>
      </c>
      <c r="C2760" s="3" t="n">
        <v>12</v>
      </c>
      <c r="D2760" s="3" t="inlineStr">
        <is>
          <t>Teleport</t>
        </is>
      </c>
      <c r="E2760" s="3" t="inlineStr">
        <is>
          <t>MOVE_TELEPORT</t>
        </is>
      </c>
    </row>
    <row r="2761">
      <c r="A2761" s="3" t="inlineStr">
        <is>
          <t>SPECIES_ELGYEM</t>
        </is>
      </c>
      <c r="B2761" s="3" t="inlineStr">
        <is>
          <t>Elgyem</t>
        </is>
      </c>
      <c r="C2761" s="3" t="n">
        <v>18</v>
      </c>
      <c r="D2761" s="3" t="inlineStr">
        <is>
          <t>Psybeam</t>
        </is>
      </c>
      <c r="E2761" s="3" t="inlineStr">
        <is>
          <t>MOVE_PSYBEAM</t>
        </is>
      </c>
    </row>
    <row r="2762">
      <c r="A2762" s="3" t="inlineStr">
        <is>
          <t>SPECIES_ELGYEM</t>
        </is>
      </c>
      <c r="B2762" s="3" t="inlineStr">
        <is>
          <t>Elgyem</t>
        </is>
      </c>
      <c r="C2762" s="3" t="n">
        <v>24</v>
      </c>
      <c r="D2762" s="3" t="inlineStr">
        <is>
          <t>Power Split</t>
        </is>
      </c>
      <c r="E2762" s="3" t="inlineStr">
        <is>
          <t>MOVE_POWER_SPLIT</t>
        </is>
      </c>
    </row>
    <row r="2763">
      <c r="A2763" s="3" t="inlineStr">
        <is>
          <t>SPECIES_ELGYEM</t>
        </is>
      </c>
      <c r="B2763" s="3" t="inlineStr">
        <is>
          <t>Elgyem</t>
        </is>
      </c>
      <c r="C2763" s="3" t="n">
        <v>24</v>
      </c>
      <c r="D2763" s="3" t="inlineStr">
        <is>
          <t>Guard Split</t>
        </is>
      </c>
      <c r="E2763" s="3" t="inlineStr">
        <is>
          <t>MOVE_GUARD_SPLIT</t>
        </is>
      </c>
    </row>
    <row r="2764">
      <c r="A2764" s="3" t="inlineStr">
        <is>
          <t>SPECIES_ELGYEM</t>
        </is>
      </c>
      <c r="B2764" s="3" t="inlineStr">
        <is>
          <t>Elgyem</t>
        </is>
      </c>
      <c r="C2764" s="3" t="n">
        <v>30</v>
      </c>
      <c r="D2764" s="3" t="inlineStr">
        <is>
          <t>Headbutt</t>
        </is>
      </c>
      <c r="E2764" s="3" t="inlineStr">
        <is>
          <t>MOVE_HEADBUTT</t>
        </is>
      </c>
    </row>
    <row r="2765">
      <c r="A2765" s="3" t="inlineStr">
        <is>
          <t>SPECIES_ELGYEM</t>
        </is>
      </c>
      <c r="B2765" s="3" t="inlineStr">
        <is>
          <t>Elgyem</t>
        </is>
      </c>
      <c r="C2765" s="3" t="n">
        <v>36</v>
      </c>
      <c r="D2765" s="3" t="inlineStr">
        <is>
          <t>Zen Headbutt</t>
        </is>
      </c>
      <c r="E2765" s="3" t="inlineStr">
        <is>
          <t>MOVE_ZEN_HEADBUTT</t>
        </is>
      </c>
    </row>
    <row r="2766">
      <c r="A2766" s="3" t="inlineStr">
        <is>
          <t>SPECIES_ELGYEM</t>
        </is>
      </c>
      <c r="B2766" s="3" t="inlineStr">
        <is>
          <t>Elgyem</t>
        </is>
      </c>
      <c r="C2766" s="3" t="n">
        <v>43</v>
      </c>
      <c r="D2766" s="3" t="inlineStr">
        <is>
          <t>Recover</t>
        </is>
      </c>
      <c r="E2766" s="3" t="inlineStr">
        <is>
          <t>MOVE_RECOVER</t>
        </is>
      </c>
    </row>
    <row r="2767">
      <c r="A2767" s="3" t="inlineStr">
        <is>
          <t>SPECIES_ELGYEM</t>
        </is>
      </c>
      <c r="B2767" s="3" t="inlineStr">
        <is>
          <t>Elgyem</t>
        </is>
      </c>
      <c r="C2767" s="3" t="n">
        <v>48</v>
      </c>
      <c r="D2767" s="3" t="inlineStr">
        <is>
          <t>Calm Mind</t>
        </is>
      </c>
      <c r="E2767" s="3" t="inlineStr">
        <is>
          <t>MOVE_CALM_MIND</t>
        </is>
      </c>
    </row>
    <row r="2768">
      <c r="A2768" s="3" t="inlineStr">
        <is>
          <t>SPECIES_ELGYEM</t>
        </is>
      </c>
      <c r="B2768" s="3" t="inlineStr">
        <is>
          <t>Elgyem</t>
        </is>
      </c>
      <c r="C2768" s="3" t="n">
        <v>54</v>
      </c>
      <c r="D2768" s="3" t="inlineStr">
        <is>
          <t>Wonder Room</t>
        </is>
      </c>
      <c r="E2768" s="3" t="inlineStr">
        <is>
          <t>MOVE_WONDER_ROOM</t>
        </is>
      </c>
    </row>
    <row r="2769">
      <c r="A2769" s="3" t="inlineStr">
        <is>
          <t>SPECIES_ELGYEM</t>
        </is>
      </c>
      <c r="B2769" s="3" t="inlineStr">
        <is>
          <t>Elgyem</t>
        </is>
      </c>
      <c r="C2769" s="3" t="n">
        <v>60</v>
      </c>
      <c r="D2769" s="3" t="inlineStr">
        <is>
          <t>Psychic</t>
        </is>
      </c>
      <c r="E2769" s="3" t="inlineStr">
        <is>
          <t>MOVE_PSYCHIC</t>
        </is>
      </c>
    </row>
    <row r="2770">
      <c r="A2770" s="3" t="inlineStr">
        <is>
          <t>SPECIES_BEHEEYEM</t>
        </is>
      </c>
      <c r="B2770" s="3" t="inlineStr">
        <is>
          <t>Beheeyem</t>
        </is>
      </c>
      <c r="C2770" s="3" t="n">
        <v>1</v>
      </c>
      <c r="D2770" s="3" t="inlineStr">
        <is>
          <t>Psychic Terrain</t>
        </is>
      </c>
      <c r="E2770" s="3" t="inlineStr">
        <is>
          <t>MOVE_PSYCHIC_TERRAIN</t>
        </is>
      </c>
    </row>
    <row r="2771">
      <c r="A2771" s="3" t="inlineStr">
        <is>
          <t>SPECIES_BEHEEYEM</t>
        </is>
      </c>
      <c r="B2771" s="3" t="inlineStr">
        <is>
          <t>Beheeyem</t>
        </is>
      </c>
      <c r="C2771" s="3" t="n">
        <v>1</v>
      </c>
      <c r="D2771" s="3" t="inlineStr">
        <is>
          <t>Confusion</t>
        </is>
      </c>
      <c r="E2771" s="3" t="inlineStr">
        <is>
          <t>MOVE_CONFUSION</t>
        </is>
      </c>
    </row>
    <row r="2772">
      <c r="A2772" s="3" t="inlineStr">
        <is>
          <t>SPECIES_BEHEEYEM</t>
        </is>
      </c>
      <c r="B2772" s="3" t="inlineStr">
        <is>
          <t>Beheeyem</t>
        </is>
      </c>
      <c r="C2772" s="3" t="n">
        <v>1</v>
      </c>
      <c r="D2772" s="3" t="inlineStr">
        <is>
          <t>Growl</t>
        </is>
      </c>
      <c r="E2772" s="3" t="inlineStr">
        <is>
          <t>MOVE_GROWL</t>
        </is>
      </c>
    </row>
    <row r="2773">
      <c r="A2773" s="3" t="inlineStr">
        <is>
          <t>SPECIES_BEHEEYEM</t>
        </is>
      </c>
      <c r="B2773" s="3" t="inlineStr">
        <is>
          <t>Beheeyem</t>
        </is>
      </c>
      <c r="C2773" s="3" t="n">
        <v>1</v>
      </c>
      <c r="D2773" s="3" t="inlineStr">
        <is>
          <t>Imprison</t>
        </is>
      </c>
      <c r="E2773" s="3" t="inlineStr">
        <is>
          <t>MOVE_IMPRISON</t>
        </is>
      </c>
    </row>
    <row r="2774">
      <c r="A2774" s="3" t="inlineStr">
        <is>
          <t>SPECIES_BEHEEYEM</t>
        </is>
      </c>
      <c r="B2774" s="3" t="inlineStr">
        <is>
          <t>Beheeyem</t>
        </is>
      </c>
      <c r="C2774" s="3" t="n">
        <v>1</v>
      </c>
      <c r="D2774" s="3" t="inlineStr">
        <is>
          <t>Teleport</t>
        </is>
      </c>
      <c r="E2774" s="3" t="inlineStr">
        <is>
          <t>MOVE_TELEPORT</t>
        </is>
      </c>
    </row>
    <row r="2775">
      <c r="A2775" s="3" t="inlineStr">
        <is>
          <t>SPECIES_BEHEEYEM</t>
        </is>
      </c>
      <c r="B2775" s="3" t="inlineStr">
        <is>
          <t>Beheeyem</t>
        </is>
      </c>
      <c r="C2775" s="3" t="n">
        <v>18</v>
      </c>
      <c r="D2775" s="3" t="inlineStr">
        <is>
          <t>Psybeam</t>
        </is>
      </c>
      <c r="E2775" s="3" t="inlineStr">
        <is>
          <t>MOVE_PSYBEAM</t>
        </is>
      </c>
    </row>
    <row r="2776">
      <c r="A2776" s="3" t="inlineStr">
        <is>
          <t>SPECIES_BEHEEYEM</t>
        </is>
      </c>
      <c r="B2776" s="3" t="inlineStr">
        <is>
          <t>Beheeyem</t>
        </is>
      </c>
      <c r="C2776" s="3" t="n">
        <v>24</v>
      </c>
      <c r="D2776" s="3" t="inlineStr">
        <is>
          <t>Power Split</t>
        </is>
      </c>
      <c r="E2776" s="3" t="inlineStr">
        <is>
          <t>MOVE_POWER_SPLIT</t>
        </is>
      </c>
    </row>
    <row r="2777">
      <c r="A2777" s="3" t="inlineStr">
        <is>
          <t>SPECIES_BEHEEYEM</t>
        </is>
      </c>
      <c r="B2777" s="3" t="inlineStr">
        <is>
          <t>Beheeyem</t>
        </is>
      </c>
      <c r="C2777" s="3" t="n">
        <v>24</v>
      </c>
      <c r="D2777" s="3" t="inlineStr">
        <is>
          <t>Guard Split</t>
        </is>
      </c>
      <c r="E2777" s="3" t="inlineStr">
        <is>
          <t>MOVE_GUARD_SPLIT</t>
        </is>
      </c>
    </row>
    <row r="2778">
      <c r="A2778" s="3" t="inlineStr">
        <is>
          <t>SPECIES_BEHEEYEM</t>
        </is>
      </c>
      <c r="B2778" s="3" t="inlineStr">
        <is>
          <t>Beheeyem</t>
        </is>
      </c>
      <c r="C2778" s="3" t="n">
        <v>30</v>
      </c>
      <c r="D2778" s="3" t="inlineStr">
        <is>
          <t>Headbutt</t>
        </is>
      </c>
      <c r="E2778" s="3" t="inlineStr">
        <is>
          <t>MOVE_HEADBUTT</t>
        </is>
      </c>
    </row>
    <row r="2779">
      <c r="A2779" s="3" t="inlineStr">
        <is>
          <t>SPECIES_BEHEEYEM</t>
        </is>
      </c>
      <c r="B2779" s="3" t="inlineStr">
        <is>
          <t>Beheeyem</t>
        </is>
      </c>
      <c r="C2779" s="3" t="n">
        <v>36</v>
      </c>
      <c r="D2779" s="3" t="inlineStr">
        <is>
          <t>Zen Headbutt</t>
        </is>
      </c>
      <c r="E2779" s="3" t="inlineStr">
        <is>
          <t>MOVE_ZEN_HEADBUTT</t>
        </is>
      </c>
    </row>
    <row r="2780">
      <c r="A2780" s="3" t="inlineStr">
        <is>
          <t>SPECIES_BEHEEYEM</t>
        </is>
      </c>
      <c r="B2780" s="3" t="inlineStr">
        <is>
          <t>Beheeyem</t>
        </is>
      </c>
      <c r="C2780" s="3" t="n">
        <v>45</v>
      </c>
      <c r="D2780" s="3" t="inlineStr">
        <is>
          <t>Recover</t>
        </is>
      </c>
      <c r="E2780" s="3" t="inlineStr">
        <is>
          <t>MOVE_RECOVER</t>
        </is>
      </c>
    </row>
    <row r="2781">
      <c r="A2781" s="3" t="inlineStr">
        <is>
          <t>SPECIES_BEHEEYEM</t>
        </is>
      </c>
      <c r="B2781" s="3" t="inlineStr">
        <is>
          <t>Beheeyem</t>
        </is>
      </c>
      <c r="C2781" s="3" t="n">
        <v>52</v>
      </c>
      <c r="D2781" s="3" t="inlineStr">
        <is>
          <t>Calm Mind</t>
        </is>
      </c>
      <c r="E2781" s="3" t="inlineStr">
        <is>
          <t>MOVE_CALM_MIND</t>
        </is>
      </c>
    </row>
    <row r="2782">
      <c r="A2782" s="3" t="inlineStr">
        <is>
          <t>SPECIES_BEHEEYEM</t>
        </is>
      </c>
      <c r="B2782" s="3" t="inlineStr">
        <is>
          <t>Beheeyem</t>
        </is>
      </c>
      <c r="C2782" s="3" t="n">
        <v>60</v>
      </c>
      <c r="D2782" s="3" t="inlineStr">
        <is>
          <t>Wonder Room</t>
        </is>
      </c>
      <c r="E2782" s="3" t="inlineStr">
        <is>
          <t>MOVE_WONDER_ROOM</t>
        </is>
      </c>
    </row>
    <row r="2783">
      <c r="A2783" s="3" t="inlineStr">
        <is>
          <t>SPECIES_BEHEEYEM</t>
        </is>
      </c>
      <c r="B2783" s="3" t="inlineStr">
        <is>
          <t>Beheeyem</t>
        </is>
      </c>
      <c r="C2783" s="3" t="n">
        <v>68</v>
      </c>
      <c r="D2783" s="3" t="inlineStr">
        <is>
          <t>Psychic</t>
        </is>
      </c>
      <c r="E2783" s="3" t="inlineStr">
        <is>
          <t>MOVE_PSYCHIC</t>
        </is>
      </c>
    </row>
    <row r="2784">
      <c r="A2784" s="3" t="inlineStr">
        <is>
          <t>SPECIES_LITWICK</t>
        </is>
      </c>
      <c r="B2784" s="3" t="inlineStr">
        <is>
          <t>Litwick</t>
        </is>
      </c>
      <c r="C2784" s="3" t="n">
        <v>1</v>
      </c>
      <c r="D2784" s="3" t="inlineStr">
        <is>
          <t>Smog</t>
        </is>
      </c>
      <c r="E2784" s="3" t="inlineStr">
        <is>
          <t>MOVE_SMOG</t>
        </is>
      </c>
    </row>
    <row r="2785">
      <c r="A2785" s="3" t="inlineStr">
        <is>
          <t>SPECIES_LITWICK</t>
        </is>
      </c>
      <c r="B2785" s="3" t="inlineStr">
        <is>
          <t>Litwick</t>
        </is>
      </c>
      <c r="C2785" s="3" t="n">
        <v>1</v>
      </c>
      <c r="D2785" s="3" t="inlineStr">
        <is>
          <t>Astonish</t>
        </is>
      </c>
      <c r="E2785" s="3" t="inlineStr">
        <is>
          <t>MOVE_ASTONISH</t>
        </is>
      </c>
    </row>
    <row r="2786">
      <c r="A2786" s="3" t="inlineStr">
        <is>
          <t>SPECIES_LITWICK</t>
        </is>
      </c>
      <c r="B2786" s="3" t="inlineStr">
        <is>
          <t>Litwick</t>
        </is>
      </c>
      <c r="C2786" s="3" t="n">
        <v>4</v>
      </c>
      <c r="D2786" s="3" t="inlineStr">
        <is>
          <t>Ember</t>
        </is>
      </c>
      <c r="E2786" s="3" t="inlineStr">
        <is>
          <t>MOVE_EMBER</t>
        </is>
      </c>
    </row>
    <row r="2787">
      <c r="A2787" s="3" t="inlineStr">
        <is>
          <t>SPECIES_LITWICK</t>
        </is>
      </c>
      <c r="B2787" s="3" t="inlineStr">
        <is>
          <t>Litwick</t>
        </is>
      </c>
      <c r="C2787" s="3" t="n">
        <v>8</v>
      </c>
      <c r="D2787" s="3" t="inlineStr">
        <is>
          <t>Minimize</t>
        </is>
      </c>
      <c r="E2787" s="3" t="inlineStr">
        <is>
          <t>MOVE_MINIMIZE</t>
        </is>
      </c>
    </row>
    <row r="2788">
      <c r="A2788" s="3" t="inlineStr">
        <is>
          <t>SPECIES_LITWICK</t>
        </is>
      </c>
      <c r="B2788" s="3" t="inlineStr">
        <is>
          <t>Litwick</t>
        </is>
      </c>
      <c r="C2788" s="3" t="n">
        <v>12</v>
      </c>
      <c r="D2788" s="3" t="inlineStr">
        <is>
          <t>Confuse Ray</t>
        </is>
      </c>
      <c r="E2788" s="3" t="inlineStr">
        <is>
          <t>MOVE_CONFUSE_RAY</t>
        </is>
      </c>
    </row>
    <row r="2789">
      <c r="A2789" s="3" t="inlineStr">
        <is>
          <t>SPECIES_LITWICK</t>
        </is>
      </c>
      <c r="B2789" s="3" t="inlineStr">
        <is>
          <t>Litwick</t>
        </is>
      </c>
      <c r="C2789" s="3" t="n">
        <v>16</v>
      </c>
      <c r="D2789" s="3" t="inlineStr">
        <is>
          <t>Hex</t>
        </is>
      </c>
      <c r="E2789" s="3" t="inlineStr">
        <is>
          <t>MOVE_HEX</t>
        </is>
      </c>
    </row>
    <row r="2790">
      <c r="A2790" s="3" t="inlineStr">
        <is>
          <t>SPECIES_LITWICK</t>
        </is>
      </c>
      <c r="B2790" s="3" t="inlineStr">
        <is>
          <t>Litwick</t>
        </is>
      </c>
      <c r="C2790" s="3" t="n">
        <v>20</v>
      </c>
      <c r="D2790" s="3" t="inlineStr">
        <is>
          <t>Will-O-Wisp</t>
        </is>
      </c>
      <c r="E2790" s="3" t="inlineStr">
        <is>
          <t>MOVE_WILL_O_WISP</t>
        </is>
      </c>
    </row>
    <row r="2791">
      <c r="A2791" s="3" t="inlineStr">
        <is>
          <t>SPECIES_LITWICK</t>
        </is>
      </c>
      <c r="B2791" s="3" t="inlineStr">
        <is>
          <t>Litwick</t>
        </is>
      </c>
      <c r="C2791" s="3" t="n">
        <v>24</v>
      </c>
      <c r="D2791" s="3" t="inlineStr">
        <is>
          <t>Fire Spin</t>
        </is>
      </c>
      <c r="E2791" s="3" t="inlineStr">
        <is>
          <t>MOVE_FIRE_SPIN</t>
        </is>
      </c>
    </row>
    <row r="2792">
      <c r="A2792" s="3" t="inlineStr">
        <is>
          <t>SPECIES_LITWICK</t>
        </is>
      </c>
      <c r="B2792" s="3" t="inlineStr">
        <is>
          <t>Litwick</t>
        </is>
      </c>
      <c r="C2792" s="3" t="n">
        <v>28</v>
      </c>
      <c r="D2792" s="3" t="inlineStr">
        <is>
          <t>Night Shade</t>
        </is>
      </c>
      <c r="E2792" s="3" t="inlineStr">
        <is>
          <t>MOVE_NIGHT_SHADE</t>
        </is>
      </c>
    </row>
    <row r="2793">
      <c r="A2793" s="3" t="inlineStr">
        <is>
          <t>SPECIES_LITWICK</t>
        </is>
      </c>
      <c r="B2793" s="3" t="inlineStr">
        <is>
          <t>Litwick</t>
        </is>
      </c>
      <c r="C2793" s="3" t="n">
        <v>32</v>
      </c>
      <c r="D2793" s="3" t="inlineStr">
        <is>
          <t>Curse</t>
        </is>
      </c>
      <c r="E2793" s="3" t="inlineStr">
        <is>
          <t>MOVE_CURSE</t>
        </is>
      </c>
    </row>
    <row r="2794">
      <c r="A2794" s="3" t="inlineStr">
        <is>
          <t>SPECIES_LITWICK</t>
        </is>
      </c>
      <c r="B2794" s="3" t="inlineStr">
        <is>
          <t>Litwick</t>
        </is>
      </c>
      <c r="C2794" s="3" t="n">
        <v>36</v>
      </c>
      <c r="D2794" s="3" t="inlineStr">
        <is>
          <t>Shadow Ball</t>
        </is>
      </c>
      <c r="E2794" s="3" t="inlineStr">
        <is>
          <t>MOVE_SHADOW_BALL</t>
        </is>
      </c>
    </row>
    <row r="2795">
      <c r="A2795" s="3" t="inlineStr">
        <is>
          <t>SPECIES_LITWICK</t>
        </is>
      </c>
      <c r="B2795" s="3" t="inlineStr">
        <is>
          <t>Litwick</t>
        </is>
      </c>
      <c r="C2795" s="3" t="n">
        <v>40</v>
      </c>
      <c r="D2795" s="3" t="inlineStr">
        <is>
          <t>Inferno</t>
        </is>
      </c>
      <c r="E2795" s="3" t="inlineStr">
        <is>
          <t>MOVE_INFERNO</t>
        </is>
      </c>
    </row>
    <row r="2796">
      <c r="A2796" s="3" t="inlineStr">
        <is>
          <t>SPECIES_LITWICK</t>
        </is>
      </c>
      <c r="B2796" s="3" t="inlineStr">
        <is>
          <t>Litwick</t>
        </is>
      </c>
      <c r="C2796" s="3" t="n">
        <v>44</v>
      </c>
      <c r="D2796" s="3" t="inlineStr">
        <is>
          <t>Imprison</t>
        </is>
      </c>
      <c r="E2796" s="3" t="inlineStr">
        <is>
          <t>MOVE_IMPRISON</t>
        </is>
      </c>
    </row>
    <row r="2797">
      <c r="A2797" s="3" t="inlineStr">
        <is>
          <t>SPECIES_LITWICK</t>
        </is>
      </c>
      <c r="B2797" s="3" t="inlineStr">
        <is>
          <t>Litwick</t>
        </is>
      </c>
      <c r="C2797" s="3" t="n">
        <v>48</v>
      </c>
      <c r="D2797" s="3" t="inlineStr">
        <is>
          <t>Pain Split</t>
        </is>
      </c>
      <c r="E2797" s="3" t="inlineStr">
        <is>
          <t>MOVE_PAIN_SPLIT</t>
        </is>
      </c>
    </row>
    <row r="2798">
      <c r="A2798" s="3" t="inlineStr">
        <is>
          <t>SPECIES_LITWICK</t>
        </is>
      </c>
      <c r="B2798" s="3" t="inlineStr">
        <is>
          <t>Litwick</t>
        </is>
      </c>
      <c r="C2798" s="3" t="n">
        <v>52</v>
      </c>
      <c r="D2798" s="3" t="inlineStr">
        <is>
          <t>Overheat</t>
        </is>
      </c>
      <c r="E2798" s="3" t="inlineStr">
        <is>
          <t>MOVE_OVERHEAT</t>
        </is>
      </c>
    </row>
    <row r="2799">
      <c r="A2799" s="3" t="inlineStr">
        <is>
          <t>SPECIES_LITWICK</t>
        </is>
      </c>
      <c r="B2799" s="3" t="inlineStr">
        <is>
          <t>Litwick</t>
        </is>
      </c>
      <c r="C2799" s="3" t="n">
        <v>56</v>
      </c>
      <c r="D2799" s="3" t="inlineStr">
        <is>
          <t>Memento</t>
        </is>
      </c>
      <c r="E2799" s="3" t="inlineStr">
        <is>
          <t>MOVE_MEMENTO</t>
        </is>
      </c>
    </row>
    <row r="2800">
      <c r="A2800" s="3" t="inlineStr">
        <is>
          <t>SPECIES_LAMPENT</t>
        </is>
      </c>
      <c r="B2800" s="3" t="inlineStr">
        <is>
          <t>Lampent</t>
        </is>
      </c>
      <c r="C2800" s="3" t="n">
        <v>1</v>
      </c>
      <c r="D2800" s="3" t="inlineStr">
        <is>
          <t>Ember</t>
        </is>
      </c>
      <c r="E2800" s="3" t="inlineStr">
        <is>
          <t>MOVE_EMBER</t>
        </is>
      </c>
    </row>
    <row r="2801">
      <c r="A2801" s="3" t="inlineStr">
        <is>
          <t>SPECIES_LAMPENT</t>
        </is>
      </c>
      <c r="B2801" s="3" t="inlineStr">
        <is>
          <t>Lampent</t>
        </is>
      </c>
      <c r="C2801" s="3" t="n">
        <v>1</v>
      </c>
      <c r="D2801" s="3" t="inlineStr">
        <is>
          <t>Minimize</t>
        </is>
      </c>
      <c r="E2801" s="3" t="inlineStr">
        <is>
          <t>MOVE_MINIMIZE</t>
        </is>
      </c>
    </row>
    <row r="2802">
      <c r="A2802" s="3" t="inlineStr">
        <is>
          <t>SPECIES_LAMPENT</t>
        </is>
      </c>
      <c r="B2802" s="3" t="inlineStr">
        <is>
          <t>Lampent</t>
        </is>
      </c>
      <c r="C2802" s="3" t="n">
        <v>1</v>
      </c>
      <c r="D2802" s="3" t="inlineStr">
        <is>
          <t>Smog</t>
        </is>
      </c>
      <c r="E2802" s="3" t="inlineStr">
        <is>
          <t>MOVE_SMOG</t>
        </is>
      </c>
    </row>
    <row r="2803">
      <c r="A2803" s="3" t="inlineStr">
        <is>
          <t>SPECIES_LAMPENT</t>
        </is>
      </c>
      <c r="B2803" s="3" t="inlineStr">
        <is>
          <t>Lampent</t>
        </is>
      </c>
      <c r="C2803" s="3" t="n">
        <v>1</v>
      </c>
      <c r="D2803" s="3" t="inlineStr">
        <is>
          <t>Astonish</t>
        </is>
      </c>
      <c r="E2803" s="3" t="inlineStr">
        <is>
          <t>MOVE_ASTONISH</t>
        </is>
      </c>
    </row>
    <row r="2804">
      <c r="A2804" s="3" t="inlineStr">
        <is>
          <t>SPECIES_LAMPENT</t>
        </is>
      </c>
      <c r="B2804" s="3" t="inlineStr">
        <is>
          <t>Lampent</t>
        </is>
      </c>
      <c r="C2804" s="3" t="n">
        <v>12</v>
      </c>
      <c r="D2804" s="3" t="inlineStr">
        <is>
          <t>Confuse Ray</t>
        </is>
      </c>
      <c r="E2804" s="3" t="inlineStr">
        <is>
          <t>MOVE_CONFUSE_RAY</t>
        </is>
      </c>
    </row>
    <row r="2805">
      <c r="A2805" s="3" t="inlineStr">
        <is>
          <t>SPECIES_LAMPENT</t>
        </is>
      </c>
      <c r="B2805" s="3" t="inlineStr">
        <is>
          <t>Lampent</t>
        </is>
      </c>
      <c r="C2805" s="3" t="n">
        <v>16</v>
      </c>
      <c r="D2805" s="3" t="inlineStr">
        <is>
          <t>Hex</t>
        </is>
      </c>
      <c r="E2805" s="3" t="inlineStr">
        <is>
          <t>MOVE_HEX</t>
        </is>
      </c>
    </row>
    <row r="2806">
      <c r="A2806" s="3" t="inlineStr">
        <is>
          <t>SPECIES_LAMPENT</t>
        </is>
      </c>
      <c r="B2806" s="3" t="inlineStr">
        <is>
          <t>Lampent</t>
        </is>
      </c>
      <c r="C2806" s="3" t="n">
        <v>20</v>
      </c>
      <c r="D2806" s="3" t="inlineStr">
        <is>
          <t>Will-O-Wisp</t>
        </is>
      </c>
      <c r="E2806" s="3" t="inlineStr">
        <is>
          <t>MOVE_WILL_O_WISP</t>
        </is>
      </c>
    </row>
    <row r="2807">
      <c r="A2807" s="3" t="inlineStr">
        <is>
          <t>SPECIES_LAMPENT</t>
        </is>
      </c>
      <c r="B2807" s="3" t="inlineStr">
        <is>
          <t>Lampent</t>
        </is>
      </c>
      <c r="C2807" s="3" t="n">
        <v>24</v>
      </c>
      <c r="D2807" s="3" t="inlineStr">
        <is>
          <t>Fire Spin</t>
        </is>
      </c>
      <c r="E2807" s="3" t="inlineStr">
        <is>
          <t>MOVE_FIRE_SPIN</t>
        </is>
      </c>
    </row>
    <row r="2808">
      <c r="A2808" s="3" t="inlineStr">
        <is>
          <t>SPECIES_LAMPENT</t>
        </is>
      </c>
      <c r="B2808" s="3" t="inlineStr">
        <is>
          <t>Lampent</t>
        </is>
      </c>
      <c r="C2808" s="3" t="n">
        <v>28</v>
      </c>
      <c r="D2808" s="3" t="inlineStr">
        <is>
          <t>Night Shade</t>
        </is>
      </c>
      <c r="E2808" s="3" t="inlineStr">
        <is>
          <t>MOVE_NIGHT_SHADE</t>
        </is>
      </c>
    </row>
    <row r="2809">
      <c r="A2809" s="3" t="inlineStr">
        <is>
          <t>SPECIES_LAMPENT</t>
        </is>
      </c>
      <c r="B2809" s="3" t="inlineStr">
        <is>
          <t>Lampent</t>
        </is>
      </c>
      <c r="C2809" s="3" t="n">
        <v>32</v>
      </c>
      <c r="D2809" s="3" t="inlineStr">
        <is>
          <t>Curse</t>
        </is>
      </c>
      <c r="E2809" s="3" t="inlineStr">
        <is>
          <t>MOVE_CURSE</t>
        </is>
      </c>
    </row>
    <row r="2810">
      <c r="A2810" s="3" t="inlineStr">
        <is>
          <t>SPECIES_LAMPENT</t>
        </is>
      </c>
      <c r="B2810" s="3" t="inlineStr">
        <is>
          <t>Lampent</t>
        </is>
      </c>
      <c r="C2810" s="3" t="n">
        <v>36</v>
      </c>
      <c r="D2810" s="3" t="inlineStr">
        <is>
          <t>Shadow Ball</t>
        </is>
      </c>
      <c r="E2810" s="3" t="inlineStr">
        <is>
          <t>MOVE_SHADOW_BALL</t>
        </is>
      </c>
    </row>
    <row r="2811">
      <c r="A2811" s="3" t="inlineStr">
        <is>
          <t>SPECIES_LAMPENT</t>
        </is>
      </c>
      <c r="B2811" s="3" t="inlineStr">
        <is>
          <t>Lampent</t>
        </is>
      </c>
      <c r="C2811" s="3" t="n">
        <v>40</v>
      </c>
      <c r="D2811" s="3" t="inlineStr">
        <is>
          <t>Inferno</t>
        </is>
      </c>
      <c r="E2811" s="3" t="inlineStr">
        <is>
          <t>MOVE_INFERNO</t>
        </is>
      </c>
    </row>
    <row r="2812">
      <c r="A2812" s="3" t="inlineStr">
        <is>
          <t>SPECIES_LAMPENT</t>
        </is>
      </c>
      <c r="B2812" s="3" t="inlineStr">
        <is>
          <t>Lampent</t>
        </is>
      </c>
      <c r="C2812" s="3" t="n">
        <v>46</v>
      </c>
      <c r="D2812" s="3" t="inlineStr">
        <is>
          <t>Imprison</t>
        </is>
      </c>
      <c r="E2812" s="3" t="inlineStr">
        <is>
          <t>MOVE_IMPRISON</t>
        </is>
      </c>
    </row>
    <row r="2813">
      <c r="A2813" s="3" t="inlineStr">
        <is>
          <t>SPECIES_LAMPENT</t>
        </is>
      </c>
      <c r="B2813" s="3" t="inlineStr">
        <is>
          <t>Lampent</t>
        </is>
      </c>
      <c r="C2813" s="3" t="n">
        <v>52</v>
      </c>
      <c r="D2813" s="3" t="inlineStr">
        <is>
          <t>Pain Split</t>
        </is>
      </c>
      <c r="E2813" s="3" t="inlineStr">
        <is>
          <t>MOVE_PAIN_SPLIT</t>
        </is>
      </c>
    </row>
    <row r="2814">
      <c r="A2814" s="3" t="inlineStr">
        <is>
          <t>SPECIES_LAMPENT</t>
        </is>
      </c>
      <c r="B2814" s="3" t="inlineStr">
        <is>
          <t>Lampent</t>
        </is>
      </c>
      <c r="C2814" s="3" t="n">
        <v>58</v>
      </c>
      <c r="D2814" s="3" t="inlineStr">
        <is>
          <t>Overheat</t>
        </is>
      </c>
      <c r="E2814" s="3" t="inlineStr">
        <is>
          <t>MOVE_OVERHEAT</t>
        </is>
      </c>
    </row>
    <row r="2815">
      <c r="A2815" s="3" t="inlineStr">
        <is>
          <t>SPECIES_LAMPENT</t>
        </is>
      </c>
      <c r="B2815" s="3" t="inlineStr">
        <is>
          <t>Lampent</t>
        </is>
      </c>
      <c r="C2815" s="3" t="n">
        <v>64</v>
      </c>
      <c r="D2815" s="3" t="inlineStr">
        <is>
          <t>Memento</t>
        </is>
      </c>
      <c r="E2815" s="3" t="inlineStr">
        <is>
          <t>MOVE_MEMENTO</t>
        </is>
      </c>
    </row>
    <row r="2816">
      <c r="A2816" s="3" t="inlineStr">
        <is>
          <t>SPECIES_CHANDELURE</t>
        </is>
      </c>
      <c r="B2816" s="3" t="inlineStr">
        <is>
          <t>Chandelure</t>
        </is>
      </c>
      <c r="C2816" s="3" t="n">
        <v>1</v>
      </c>
      <c r="D2816" s="3" t="inlineStr">
        <is>
          <t>Ember</t>
        </is>
      </c>
      <c r="E2816" s="3" t="inlineStr">
        <is>
          <t>MOVE_EMBER</t>
        </is>
      </c>
    </row>
    <row r="2817">
      <c r="A2817" s="3" t="inlineStr">
        <is>
          <t>SPECIES_CHANDELURE</t>
        </is>
      </c>
      <c r="B2817" s="3" t="inlineStr">
        <is>
          <t>Chandelure</t>
        </is>
      </c>
      <c r="C2817" s="3" t="n">
        <v>1</v>
      </c>
      <c r="D2817" s="3" t="inlineStr">
        <is>
          <t>Fire Spin</t>
        </is>
      </c>
      <c r="E2817" s="3" t="inlineStr">
        <is>
          <t>MOVE_FIRE_SPIN</t>
        </is>
      </c>
    </row>
    <row r="2818">
      <c r="A2818" s="3" t="inlineStr">
        <is>
          <t>SPECIES_CHANDELURE</t>
        </is>
      </c>
      <c r="B2818" s="3" t="inlineStr">
        <is>
          <t>Chandelure</t>
        </is>
      </c>
      <c r="C2818" s="3" t="n">
        <v>1</v>
      </c>
      <c r="D2818" s="3" t="inlineStr">
        <is>
          <t>Night Shade</t>
        </is>
      </c>
      <c r="E2818" s="3" t="inlineStr">
        <is>
          <t>MOVE_NIGHT_SHADE</t>
        </is>
      </c>
    </row>
    <row r="2819">
      <c r="A2819" s="3" t="inlineStr">
        <is>
          <t>SPECIES_CHANDELURE</t>
        </is>
      </c>
      <c r="B2819" s="3" t="inlineStr">
        <is>
          <t>Chandelure</t>
        </is>
      </c>
      <c r="C2819" s="3" t="n">
        <v>1</v>
      </c>
      <c r="D2819" s="3" t="inlineStr">
        <is>
          <t>Minimize</t>
        </is>
      </c>
      <c r="E2819" s="3" t="inlineStr">
        <is>
          <t>MOVE_MINIMIZE</t>
        </is>
      </c>
    </row>
    <row r="2820">
      <c r="A2820" s="3" t="inlineStr">
        <is>
          <t>SPECIES_CHANDELURE</t>
        </is>
      </c>
      <c r="B2820" s="3" t="inlineStr">
        <is>
          <t>Chandelure</t>
        </is>
      </c>
      <c r="C2820" s="3" t="n">
        <v>1</v>
      </c>
      <c r="D2820" s="3" t="inlineStr">
        <is>
          <t>Confuse Ray</t>
        </is>
      </c>
      <c r="E2820" s="3" t="inlineStr">
        <is>
          <t>MOVE_CONFUSE_RAY</t>
        </is>
      </c>
    </row>
    <row r="2821">
      <c r="A2821" s="3" t="inlineStr">
        <is>
          <t>SPECIES_CHANDELURE</t>
        </is>
      </c>
      <c r="B2821" s="3" t="inlineStr">
        <is>
          <t>Chandelure</t>
        </is>
      </c>
      <c r="C2821" s="3" t="n">
        <v>1</v>
      </c>
      <c r="D2821" s="3" t="inlineStr">
        <is>
          <t>Smog</t>
        </is>
      </c>
      <c r="E2821" s="3" t="inlineStr">
        <is>
          <t>MOVE_SMOG</t>
        </is>
      </c>
    </row>
    <row r="2822">
      <c r="A2822" s="3" t="inlineStr">
        <is>
          <t>SPECIES_CHANDELURE</t>
        </is>
      </c>
      <c r="B2822" s="3" t="inlineStr">
        <is>
          <t>Chandelure</t>
        </is>
      </c>
      <c r="C2822" s="3" t="n">
        <v>1</v>
      </c>
      <c r="D2822" s="3" t="inlineStr">
        <is>
          <t>Curse</t>
        </is>
      </c>
      <c r="E2822" s="3" t="inlineStr">
        <is>
          <t>MOVE_CURSE</t>
        </is>
      </c>
    </row>
    <row r="2823">
      <c r="A2823" s="3" t="inlineStr">
        <is>
          <t>SPECIES_CHANDELURE</t>
        </is>
      </c>
      <c r="B2823" s="3" t="inlineStr">
        <is>
          <t>Chandelure</t>
        </is>
      </c>
      <c r="C2823" s="3" t="n">
        <v>1</v>
      </c>
      <c r="D2823" s="3" t="inlineStr">
        <is>
          <t>Pain Split</t>
        </is>
      </c>
      <c r="E2823" s="3" t="inlineStr">
        <is>
          <t>MOVE_PAIN_SPLIT</t>
        </is>
      </c>
    </row>
    <row r="2824">
      <c r="A2824" s="3" t="inlineStr">
        <is>
          <t>SPECIES_CHANDELURE</t>
        </is>
      </c>
      <c r="B2824" s="3" t="inlineStr">
        <is>
          <t>Chandelure</t>
        </is>
      </c>
      <c r="C2824" s="3" t="n">
        <v>1</v>
      </c>
      <c r="D2824" s="3" t="inlineStr">
        <is>
          <t>Shadow Ball</t>
        </is>
      </c>
      <c r="E2824" s="3" t="inlineStr">
        <is>
          <t>MOVE_SHADOW_BALL</t>
        </is>
      </c>
    </row>
    <row r="2825">
      <c r="A2825" s="3" t="inlineStr">
        <is>
          <t>SPECIES_CHANDELURE</t>
        </is>
      </c>
      <c r="B2825" s="3" t="inlineStr">
        <is>
          <t>Chandelure</t>
        </is>
      </c>
      <c r="C2825" s="3" t="n">
        <v>1</v>
      </c>
      <c r="D2825" s="3" t="inlineStr">
        <is>
          <t>Will-O-Wisp</t>
        </is>
      </c>
      <c r="E2825" s="3" t="inlineStr">
        <is>
          <t>MOVE_WILL_O_WISP</t>
        </is>
      </c>
    </row>
    <row r="2826">
      <c r="A2826" s="3" t="inlineStr">
        <is>
          <t>SPECIES_CHANDELURE</t>
        </is>
      </c>
      <c r="B2826" s="3" t="inlineStr">
        <is>
          <t>Chandelure</t>
        </is>
      </c>
      <c r="C2826" s="3" t="n">
        <v>1</v>
      </c>
      <c r="D2826" s="3" t="inlineStr">
        <is>
          <t>Memento</t>
        </is>
      </c>
      <c r="E2826" s="3" t="inlineStr">
        <is>
          <t>MOVE_MEMENTO</t>
        </is>
      </c>
    </row>
    <row r="2827">
      <c r="A2827" s="3" t="inlineStr">
        <is>
          <t>SPECIES_CHANDELURE</t>
        </is>
      </c>
      <c r="B2827" s="3" t="inlineStr">
        <is>
          <t>Chandelure</t>
        </is>
      </c>
      <c r="C2827" s="3" t="n">
        <v>1</v>
      </c>
      <c r="D2827" s="3" t="inlineStr">
        <is>
          <t>Imprison</t>
        </is>
      </c>
      <c r="E2827" s="3" t="inlineStr">
        <is>
          <t>MOVE_IMPRISON</t>
        </is>
      </c>
    </row>
    <row r="2828">
      <c r="A2828" s="3" t="inlineStr">
        <is>
          <t>SPECIES_CHANDELURE</t>
        </is>
      </c>
      <c r="B2828" s="3" t="inlineStr">
        <is>
          <t>Chandelure</t>
        </is>
      </c>
      <c r="C2828" s="3" t="n">
        <v>1</v>
      </c>
      <c r="D2828" s="3" t="inlineStr">
        <is>
          <t>Astonish</t>
        </is>
      </c>
      <c r="E2828" s="3" t="inlineStr">
        <is>
          <t>MOVE_ASTONISH</t>
        </is>
      </c>
    </row>
    <row r="2829">
      <c r="A2829" s="3" t="inlineStr">
        <is>
          <t>SPECIES_CHANDELURE</t>
        </is>
      </c>
      <c r="B2829" s="3" t="inlineStr">
        <is>
          <t>Chandelure</t>
        </is>
      </c>
      <c r="C2829" s="3" t="n">
        <v>1</v>
      </c>
      <c r="D2829" s="3" t="inlineStr">
        <is>
          <t>Overheat</t>
        </is>
      </c>
      <c r="E2829" s="3" t="inlineStr">
        <is>
          <t>MOVE_OVERHEAT</t>
        </is>
      </c>
    </row>
    <row r="2830">
      <c r="A2830" s="3" t="inlineStr">
        <is>
          <t>SPECIES_CHANDELURE</t>
        </is>
      </c>
      <c r="B2830" s="3" t="inlineStr">
        <is>
          <t>Chandelure</t>
        </is>
      </c>
      <c r="C2830" s="3" t="n">
        <v>1</v>
      </c>
      <c r="D2830" s="3" t="inlineStr">
        <is>
          <t>Hex</t>
        </is>
      </c>
      <c r="E2830" s="3" t="inlineStr">
        <is>
          <t>MOVE_HEX</t>
        </is>
      </c>
    </row>
    <row r="2831">
      <c r="A2831" s="3" t="inlineStr">
        <is>
          <t>SPECIES_CHANDELURE</t>
        </is>
      </c>
      <c r="B2831" s="3" t="inlineStr">
        <is>
          <t>Chandelure</t>
        </is>
      </c>
      <c r="C2831" s="3" t="n">
        <v>1</v>
      </c>
      <c r="D2831" s="3" t="inlineStr">
        <is>
          <t>Inferno</t>
        </is>
      </c>
      <c r="E2831" s="3" t="inlineStr">
        <is>
          <t>MOVE_INFERNO</t>
        </is>
      </c>
    </row>
    <row r="2832">
      <c r="A2832" s="3" t="inlineStr">
        <is>
          <t>SPECIES_AXEW</t>
        </is>
      </c>
      <c r="B2832" s="3" t="inlineStr">
        <is>
          <t>Axew</t>
        </is>
      </c>
      <c r="C2832" s="3" t="n">
        <v>1</v>
      </c>
      <c r="D2832" s="3" t="inlineStr">
        <is>
          <t>Scratch</t>
        </is>
      </c>
      <c r="E2832" s="3" t="inlineStr">
        <is>
          <t>MOVE_SCRATCH</t>
        </is>
      </c>
    </row>
    <row r="2833">
      <c r="A2833" s="3" t="inlineStr">
        <is>
          <t>SPECIES_AXEW</t>
        </is>
      </c>
      <c r="B2833" s="3" t="inlineStr">
        <is>
          <t>Axew</t>
        </is>
      </c>
      <c r="C2833" s="3" t="n">
        <v>1</v>
      </c>
      <c r="D2833" s="3" t="inlineStr">
        <is>
          <t>Leer</t>
        </is>
      </c>
      <c r="E2833" s="3" t="inlineStr">
        <is>
          <t>MOVE_LEER</t>
        </is>
      </c>
    </row>
    <row r="2834">
      <c r="A2834" s="3" t="inlineStr">
        <is>
          <t>SPECIES_AXEW</t>
        </is>
      </c>
      <c r="B2834" s="3" t="inlineStr">
        <is>
          <t>Axew</t>
        </is>
      </c>
      <c r="C2834" s="3" t="n">
        <v>3</v>
      </c>
      <c r="D2834" s="3" t="inlineStr">
        <is>
          <t>Bite</t>
        </is>
      </c>
      <c r="E2834" s="3" t="inlineStr">
        <is>
          <t>MOVE_BITE</t>
        </is>
      </c>
    </row>
    <row r="2835">
      <c r="A2835" s="3" t="inlineStr">
        <is>
          <t>SPECIES_AXEW</t>
        </is>
      </c>
      <c r="B2835" s="3" t="inlineStr">
        <is>
          <t>Axew</t>
        </is>
      </c>
      <c r="C2835" s="3" t="n">
        <v>6</v>
      </c>
      <c r="D2835" s="3" t="inlineStr">
        <is>
          <t>False Swipe</t>
        </is>
      </c>
      <c r="E2835" s="3" t="inlineStr">
        <is>
          <t>MOVE_FALSE_SWIPE</t>
        </is>
      </c>
    </row>
    <row r="2836">
      <c r="A2836" s="3" t="inlineStr">
        <is>
          <t>SPECIES_AXEW</t>
        </is>
      </c>
      <c r="B2836" s="3" t="inlineStr">
        <is>
          <t>Axew</t>
        </is>
      </c>
      <c r="C2836" s="3" t="n">
        <v>9</v>
      </c>
      <c r="D2836" s="3" t="inlineStr">
        <is>
          <t>Assurance</t>
        </is>
      </c>
      <c r="E2836" s="3" t="inlineStr">
        <is>
          <t>MOVE_ASSURANCE</t>
        </is>
      </c>
    </row>
    <row r="2837">
      <c r="A2837" s="3" t="inlineStr">
        <is>
          <t>SPECIES_AXEW</t>
        </is>
      </c>
      <c r="B2837" s="3" t="inlineStr">
        <is>
          <t>Axew</t>
        </is>
      </c>
      <c r="C2837" s="3" t="n">
        <v>12</v>
      </c>
      <c r="D2837" s="3" t="inlineStr">
        <is>
          <t>Taunt</t>
        </is>
      </c>
      <c r="E2837" s="3" t="inlineStr">
        <is>
          <t>MOVE_TAUNT</t>
        </is>
      </c>
    </row>
    <row r="2838">
      <c r="A2838" s="3" t="inlineStr">
        <is>
          <t>SPECIES_AXEW</t>
        </is>
      </c>
      <c r="B2838" s="3" t="inlineStr">
        <is>
          <t>Axew</t>
        </is>
      </c>
      <c r="C2838" s="3" t="n">
        <v>15</v>
      </c>
      <c r="D2838" s="3" t="inlineStr">
        <is>
          <t>Slash</t>
        </is>
      </c>
      <c r="E2838" s="3" t="inlineStr">
        <is>
          <t>MOVE_SLASH</t>
        </is>
      </c>
    </row>
    <row r="2839">
      <c r="A2839" s="3" t="inlineStr">
        <is>
          <t>SPECIES_AXEW</t>
        </is>
      </c>
      <c r="B2839" s="3" t="inlineStr">
        <is>
          <t>Axew</t>
        </is>
      </c>
      <c r="C2839" s="3" t="n">
        <v>18</v>
      </c>
      <c r="D2839" s="3" t="inlineStr">
        <is>
          <t>Dragon Claw</t>
        </is>
      </c>
      <c r="E2839" s="3" t="inlineStr">
        <is>
          <t>MOVE_DRAGON_CLAW</t>
        </is>
      </c>
    </row>
    <row r="2840">
      <c r="A2840" s="3" t="inlineStr">
        <is>
          <t>SPECIES_AXEW</t>
        </is>
      </c>
      <c r="B2840" s="3" t="inlineStr">
        <is>
          <t>Axew</t>
        </is>
      </c>
      <c r="C2840" s="3" t="n">
        <v>21</v>
      </c>
      <c r="D2840" s="3" t="inlineStr">
        <is>
          <t>Scary Face</t>
        </is>
      </c>
      <c r="E2840" s="3" t="inlineStr">
        <is>
          <t>MOVE_SCARY_FACE</t>
        </is>
      </c>
    </row>
    <row r="2841">
      <c r="A2841" s="3" t="inlineStr">
        <is>
          <t>SPECIES_AXEW</t>
        </is>
      </c>
      <c r="B2841" s="3" t="inlineStr">
        <is>
          <t>Axew</t>
        </is>
      </c>
      <c r="C2841" s="3" t="n">
        <v>24</v>
      </c>
      <c r="D2841" s="3" t="inlineStr">
        <is>
          <t>Crunch</t>
        </is>
      </c>
      <c r="E2841" s="3" t="inlineStr">
        <is>
          <t>MOVE_CRUNCH</t>
        </is>
      </c>
    </row>
    <row r="2842">
      <c r="A2842" s="3" t="inlineStr">
        <is>
          <t>SPECIES_AXEW</t>
        </is>
      </c>
      <c r="B2842" s="3" t="inlineStr">
        <is>
          <t>Axew</t>
        </is>
      </c>
      <c r="C2842" s="3" t="n">
        <v>27</v>
      </c>
      <c r="D2842" s="3" t="inlineStr">
        <is>
          <t>Dragon Dance</t>
        </is>
      </c>
      <c r="E2842" s="3" t="inlineStr">
        <is>
          <t>MOVE_DRAGON_DANCE</t>
        </is>
      </c>
    </row>
    <row r="2843">
      <c r="A2843" s="3" t="inlineStr">
        <is>
          <t>SPECIES_AXEW</t>
        </is>
      </c>
      <c r="B2843" s="3" t="inlineStr">
        <is>
          <t>Axew</t>
        </is>
      </c>
      <c r="C2843" s="3" t="n">
        <v>30</v>
      </c>
      <c r="D2843" s="3" t="inlineStr">
        <is>
          <t>Breaking Swipe</t>
        </is>
      </c>
      <c r="E2843" s="3" t="inlineStr">
        <is>
          <t>MOVE_BREAKING_SWIPE</t>
        </is>
      </c>
    </row>
    <row r="2844">
      <c r="A2844" s="3" t="inlineStr">
        <is>
          <t>SPECIES_AXEW</t>
        </is>
      </c>
      <c r="B2844" s="3" t="inlineStr">
        <is>
          <t>Axew</t>
        </is>
      </c>
      <c r="C2844" s="3" t="n">
        <v>33</v>
      </c>
      <c r="D2844" s="3" t="inlineStr">
        <is>
          <t>Focus Energy</t>
        </is>
      </c>
      <c r="E2844" s="3" t="inlineStr">
        <is>
          <t>MOVE_FOCUS_ENERGY</t>
        </is>
      </c>
    </row>
    <row r="2845">
      <c r="A2845" s="3" t="inlineStr">
        <is>
          <t>SPECIES_AXEW</t>
        </is>
      </c>
      <c r="B2845" s="3" t="inlineStr">
        <is>
          <t>Axew</t>
        </is>
      </c>
      <c r="C2845" s="3" t="n">
        <v>36</v>
      </c>
      <c r="D2845" s="3" t="inlineStr">
        <is>
          <t>Dragon Pulse</t>
        </is>
      </c>
      <c r="E2845" s="3" t="inlineStr">
        <is>
          <t>MOVE_DRAGON_PULSE</t>
        </is>
      </c>
    </row>
    <row r="2846">
      <c r="A2846" s="3" t="inlineStr">
        <is>
          <t>SPECIES_AXEW</t>
        </is>
      </c>
      <c r="B2846" s="3" t="inlineStr">
        <is>
          <t>Axew</t>
        </is>
      </c>
      <c r="C2846" s="3" t="n">
        <v>39</v>
      </c>
      <c r="D2846" s="3" t="inlineStr">
        <is>
          <t>Swords Dance</t>
        </is>
      </c>
      <c r="E2846" s="3" t="inlineStr">
        <is>
          <t>MOVE_SWORDS_DANCE</t>
        </is>
      </c>
    </row>
    <row r="2847">
      <c r="A2847" s="3" t="inlineStr">
        <is>
          <t>SPECIES_AXEW</t>
        </is>
      </c>
      <c r="B2847" s="3" t="inlineStr">
        <is>
          <t>Axew</t>
        </is>
      </c>
      <c r="C2847" s="3" t="n">
        <v>42</v>
      </c>
      <c r="D2847" s="3" t="inlineStr">
        <is>
          <t>Outrage</t>
        </is>
      </c>
      <c r="E2847" s="3" t="inlineStr">
        <is>
          <t>MOVE_OUTRAGE</t>
        </is>
      </c>
    </row>
    <row r="2848">
      <c r="A2848" s="3" t="inlineStr">
        <is>
          <t>SPECIES_AXEW</t>
        </is>
      </c>
      <c r="B2848" s="3" t="inlineStr">
        <is>
          <t>Axew</t>
        </is>
      </c>
      <c r="C2848" s="3" t="n">
        <v>45</v>
      </c>
      <c r="D2848" s="3" t="inlineStr">
        <is>
          <t>Guillotine</t>
        </is>
      </c>
      <c r="E2848" s="3" t="inlineStr">
        <is>
          <t>MOVE_GUILLOTINE</t>
        </is>
      </c>
    </row>
    <row r="2849">
      <c r="A2849" s="3" t="inlineStr">
        <is>
          <t>SPECIES_AXEW</t>
        </is>
      </c>
      <c r="B2849" s="3" t="inlineStr">
        <is>
          <t>Axew</t>
        </is>
      </c>
      <c r="C2849" s="3" t="n">
        <v>48</v>
      </c>
      <c r="D2849" s="3" t="inlineStr">
        <is>
          <t>Giga Impact</t>
        </is>
      </c>
      <c r="E2849" s="3" t="inlineStr">
        <is>
          <t>MOVE_GIGA_IMPACT</t>
        </is>
      </c>
    </row>
    <row r="2850">
      <c r="A2850" s="3" t="inlineStr">
        <is>
          <t>SPECIES_FRAXURE</t>
        </is>
      </c>
      <c r="B2850" s="3" t="inlineStr">
        <is>
          <t>Fraxure</t>
        </is>
      </c>
      <c r="C2850" s="3" t="n">
        <v>1</v>
      </c>
      <c r="D2850" s="3" t="inlineStr">
        <is>
          <t>Scratch</t>
        </is>
      </c>
      <c r="E2850" s="3" t="inlineStr">
        <is>
          <t>MOVE_SCRATCH</t>
        </is>
      </c>
    </row>
    <row r="2851">
      <c r="A2851" s="3" t="inlineStr">
        <is>
          <t>SPECIES_FRAXURE</t>
        </is>
      </c>
      <c r="B2851" s="3" t="inlineStr">
        <is>
          <t>Fraxure</t>
        </is>
      </c>
      <c r="C2851" s="3" t="n">
        <v>1</v>
      </c>
      <c r="D2851" s="3" t="inlineStr">
        <is>
          <t>Leer</t>
        </is>
      </c>
      <c r="E2851" s="3" t="inlineStr">
        <is>
          <t>MOVE_LEER</t>
        </is>
      </c>
    </row>
    <row r="2852">
      <c r="A2852" s="3" t="inlineStr">
        <is>
          <t>SPECIES_FRAXURE</t>
        </is>
      </c>
      <c r="B2852" s="3" t="inlineStr">
        <is>
          <t>Fraxure</t>
        </is>
      </c>
      <c r="C2852" s="3" t="n">
        <v>1</v>
      </c>
      <c r="D2852" s="3" t="inlineStr">
        <is>
          <t>Bite</t>
        </is>
      </c>
      <c r="E2852" s="3" t="inlineStr">
        <is>
          <t>MOVE_BITE</t>
        </is>
      </c>
    </row>
    <row r="2853">
      <c r="A2853" s="3" t="inlineStr">
        <is>
          <t>SPECIES_FRAXURE</t>
        </is>
      </c>
      <c r="B2853" s="3" t="inlineStr">
        <is>
          <t>Fraxure</t>
        </is>
      </c>
      <c r="C2853" s="3" t="n">
        <v>1</v>
      </c>
      <c r="D2853" s="3" t="inlineStr">
        <is>
          <t>False Swipe</t>
        </is>
      </c>
      <c r="E2853" s="3" t="inlineStr">
        <is>
          <t>MOVE_FALSE_SWIPE</t>
        </is>
      </c>
    </row>
    <row r="2854">
      <c r="A2854" s="3" t="inlineStr">
        <is>
          <t>SPECIES_FRAXURE</t>
        </is>
      </c>
      <c r="B2854" s="3" t="inlineStr">
        <is>
          <t>Fraxure</t>
        </is>
      </c>
      <c r="C2854" s="3" t="n">
        <v>9</v>
      </c>
      <c r="D2854" s="3" t="inlineStr">
        <is>
          <t>Assurance</t>
        </is>
      </c>
      <c r="E2854" s="3" t="inlineStr">
        <is>
          <t>MOVE_ASSURANCE</t>
        </is>
      </c>
    </row>
    <row r="2855">
      <c r="A2855" s="3" t="inlineStr">
        <is>
          <t>SPECIES_FRAXURE</t>
        </is>
      </c>
      <c r="B2855" s="3" t="inlineStr">
        <is>
          <t>Fraxure</t>
        </is>
      </c>
      <c r="C2855" s="3" t="n">
        <v>12</v>
      </c>
      <c r="D2855" s="3" t="inlineStr">
        <is>
          <t>Taunt</t>
        </is>
      </c>
      <c r="E2855" s="3" t="inlineStr">
        <is>
          <t>MOVE_TAUNT</t>
        </is>
      </c>
    </row>
    <row r="2856">
      <c r="A2856" s="3" t="inlineStr">
        <is>
          <t>SPECIES_FRAXURE</t>
        </is>
      </c>
      <c r="B2856" s="3" t="inlineStr">
        <is>
          <t>Fraxure</t>
        </is>
      </c>
      <c r="C2856" s="3" t="n">
        <v>15</v>
      </c>
      <c r="D2856" s="3" t="inlineStr">
        <is>
          <t>Slash</t>
        </is>
      </c>
      <c r="E2856" s="3" t="inlineStr">
        <is>
          <t>MOVE_SLASH</t>
        </is>
      </c>
    </row>
    <row r="2857">
      <c r="A2857" s="3" t="inlineStr">
        <is>
          <t>SPECIES_FRAXURE</t>
        </is>
      </c>
      <c r="B2857" s="3" t="inlineStr">
        <is>
          <t>Fraxure</t>
        </is>
      </c>
      <c r="C2857" s="3" t="n">
        <v>18</v>
      </c>
      <c r="D2857" s="3" t="inlineStr">
        <is>
          <t>Dragon Claw</t>
        </is>
      </c>
      <c r="E2857" s="3" t="inlineStr">
        <is>
          <t>MOVE_DRAGON_CLAW</t>
        </is>
      </c>
    </row>
    <row r="2858">
      <c r="A2858" s="3" t="inlineStr">
        <is>
          <t>SPECIES_FRAXURE</t>
        </is>
      </c>
      <c r="B2858" s="3" t="inlineStr">
        <is>
          <t>Fraxure</t>
        </is>
      </c>
      <c r="C2858" s="3" t="n">
        <v>21</v>
      </c>
      <c r="D2858" s="3" t="inlineStr">
        <is>
          <t>Scary Face</t>
        </is>
      </c>
      <c r="E2858" s="3" t="inlineStr">
        <is>
          <t>MOVE_SCARY_FACE</t>
        </is>
      </c>
    </row>
    <row r="2859">
      <c r="A2859" s="3" t="inlineStr">
        <is>
          <t>SPECIES_FRAXURE</t>
        </is>
      </c>
      <c r="B2859" s="3" t="inlineStr">
        <is>
          <t>Fraxure</t>
        </is>
      </c>
      <c r="C2859" s="3" t="n">
        <v>24</v>
      </c>
      <c r="D2859" s="3" t="inlineStr">
        <is>
          <t>Crunch</t>
        </is>
      </c>
      <c r="E2859" s="3" t="inlineStr">
        <is>
          <t>MOVE_CRUNCH</t>
        </is>
      </c>
    </row>
    <row r="2860">
      <c r="A2860" s="3" t="inlineStr">
        <is>
          <t>SPECIES_FRAXURE</t>
        </is>
      </c>
      <c r="B2860" s="3" t="inlineStr">
        <is>
          <t>Fraxure</t>
        </is>
      </c>
      <c r="C2860" s="3" t="n">
        <v>27</v>
      </c>
      <c r="D2860" s="3" t="inlineStr">
        <is>
          <t>Dragon Dance</t>
        </is>
      </c>
      <c r="E2860" s="3" t="inlineStr">
        <is>
          <t>MOVE_DRAGON_DANCE</t>
        </is>
      </c>
    </row>
    <row r="2861">
      <c r="A2861" s="3" t="inlineStr">
        <is>
          <t>SPECIES_FRAXURE</t>
        </is>
      </c>
      <c r="B2861" s="3" t="inlineStr">
        <is>
          <t>Fraxure</t>
        </is>
      </c>
      <c r="C2861" s="3" t="n">
        <v>30</v>
      </c>
      <c r="D2861" s="3" t="inlineStr">
        <is>
          <t>Breaking Swipe</t>
        </is>
      </c>
      <c r="E2861" s="3" t="inlineStr">
        <is>
          <t>MOVE_BREAKING_SWIPE</t>
        </is>
      </c>
    </row>
    <row r="2862">
      <c r="A2862" s="3" t="inlineStr">
        <is>
          <t>SPECIES_FRAXURE</t>
        </is>
      </c>
      <c r="B2862" s="3" t="inlineStr">
        <is>
          <t>Fraxure</t>
        </is>
      </c>
      <c r="C2862" s="3" t="n">
        <v>33</v>
      </c>
      <c r="D2862" s="3" t="inlineStr">
        <is>
          <t>Focus Energy</t>
        </is>
      </c>
      <c r="E2862" s="3" t="inlineStr">
        <is>
          <t>MOVE_FOCUS_ENERGY</t>
        </is>
      </c>
    </row>
    <row r="2863">
      <c r="A2863" s="3" t="inlineStr">
        <is>
          <t>SPECIES_FRAXURE</t>
        </is>
      </c>
      <c r="B2863" s="3" t="inlineStr">
        <is>
          <t>Fraxure</t>
        </is>
      </c>
      <c r="C2863" s="3" t="n">
        <v>36</v>
      </c>
      <c r="D2863" s="3" t="inlineStr">
        <is>
          <t>Dragon Pulse</t>
        </is>
      </c>
      <c r="E2863" s="3" t="inlineStr">
        <is>
          <t>MOVE_DRAGON_PULSE</t>
        </is>
      </c>
    </row>
    <row r="2864">
      <c r="A2864" s="3" t="inlineStr">
        <is>
          <t>SPECIES_FRAXURE</t>
        </is>
      </c>
      <c r="B2864" s="3" t="inlineStr">
        <is>
          <t>Fraxure</t>
        </is>
      </c>
      <c r="C2864" s="3" t="n">
        <v>41</v>
      </c>
      <c r="D2864" s="3" t="inlineStr">
        <is>
          <t>Swords Dance</t>
        </is>
      </c>
      <c r="E2864" s="3" t="inlineStr">
        <is>
          <t>MOVE_SWORDS_DANCE</t>
        </is>
      </c>
    </row>
    <row r="2865">
      <c r="A2865" s="3" t="inlineStr">
        <is>
          <t>SPECIES_FRAXURE</t>
        </is>
      </c>
      <c r="B2865" s="3" t="inlineStr">
        <is>
          <t>Fraxure</t>
        </is>
      </c>
      <c r="C2865" s="3" t="n">
        <v>46</v>
      </c>
      <c r="D2865" s="3" t="inlineStr">
        <is>
          <t>Outrage</t>
        </is>
      </c>
      <c r="E2865" s="3" t="inlineStr">
        <is>
          <t>MOVE_OUTRAGE</t>
        </is>
      </c>
    </row>
    <row r="2866">
      <c r="A2866" s="3" t="inlineStr">
        <is>
          <t>SPECIES_FRAXURE</t>
        </is>
      </c>
      <c r="B2866" s="3" t="inlineStr">
        <is>
          <t>Fraxure</t>
        </is>
      </c>
      <c r="C2866" s="3" t="n">
        <v>51</v>
      </c>
      <c r="D2866" s="3" t="inlineStr">
        <is>
          <t>Guillotine</t>
        </is>
      </c>
      <c r="E2866" s="3" t="inlineStr">
        <is>
          <t>MOVE_GUILLOTINE</t>
        </is>
      </c>
    </row>
    <row r="2867">
      <c r="A2867" s="3" t="inlineStr">
        <is>
          <t>SPECIES_FRAXURE</t>
        </is>
      </c>
      <c r="B2867" s="3" t="inlineStr">
        <is>
          <t>Fraxure</t>
        </is>
      </c>
      <c r="C2867" s="3" t="n">
        <v>56</v>
      </c>
      <c r="D2867" s="3" t="inlineStr">
        <is>
          <t>Giga Impact</t>
        </is>
      </c>
      <c r="E2867" s="3" t="inlineStr">
        <is>
          <t>MOVE_GIGA_IMPACT</t>
        </is>
      </c>
    </row>
    <row r="2868">
      <c r="A2868" s="3" t="inlineStr">
        <is>
          <t>SPECIES_HAXORUS</t>
        </is>
      </c>
      <c r="B2868" s="3" t="inlineStr">
        <is>
          <t>Haxorus</t>
        </is>
      </c>
      <c r="C2868" s="3" t="n">
        <v>1</v>
      </c>
      <c r="D2868" s="3" t="inlineStr">
        <is>
          <t>Scratch</t>
        </is>
      </c>
      <c r="E2868" s="3" t="inlineStr">
        <is>
          <t>MOVE_SCRATCH</t>
        </is>
      </c>
    </row>
    <row r="2869">
      <c r="A2869" s="3" t="inlineStr">
        <is>
          <t>SPECIES_HAXORUS</t>
        </is>
      </c>
      <c r="B2869" s="3" t="inlineStr">
        <is>
          <t>Haxorus</t>
        </is>
      </c>
      <c r="C2869" s="3" t="n">
        <v>1</v>
      </c>
      <c r="D2869" s="3" t="inlineStr">
        <is>
          <t>Leer</t>
        </is>
      </c>
      <c r="E2869" s="3" t="inlineStr">
        <is>
          <t>MOVE_LEER</t>
        </is>
      </c>
    </row>
    <row r="2870">
      <c r="A2870" s="3" t="inlineStr">
        <is>
          <t>SPECIES_HAXORUS</t>
        </is>
      </c>
      <c r="B2870" s="3" t="inlineStr">
        <is>
          <t>Haxorus</t>
        </is>
      </c>
      <c r="C2870" s="3" t="n">
        <v>1</v>
      </c>
      <c r="D2870" s="3" t="inlineStr">
        <is>
          <t>Bite</t>
        </is>
      </c>
      <c r="E2870" s="3" t="inlineStr">
        <is>
          <t>MOVE_BITE</t>
        </is>
      </c>
    </row>
    <row r="2871">
      <c r="A2871" s="3" t="inlineStr">
        <is>
          <t>SPECIES_HAXORUS</t>
        </is>
      </c>
      <c r="B2871" s="3" t="inlineStr">
        <is>
          <t>Haxorus</t>
        </is>
      </c>
      <c r="C2871" s="3" t="n">
        <v>1</v>
      </c>
      <c r="D2871" s="3" t="inlineStr">
        <is>
          <t>False Swipe</t>
        </is>
      </c>
      <c r="E2871" s="3" t="inlineStr">
        <is>
          <t>MOVE_FALSE_SWIPE</t>
        </is>
      </c>
    </row>
    <row r="2872">
      <c r="A2872" s="3" t="inlineStr">
        <is>
          <t>SPECIES_HAXORUS</t>
        </is>
      </c>
      <c r="B2872" s="3" t="inlineStr">
        <is>
          <t>Haxorus</t>
        </is>
      </c>
      <c r="C2872" s="3" t="n">
        <v>9</v>
      </c>
      <c r="D2872" s="3" t="inlineStr">
        <is>
          <t>Assurance</t>
        </is>
      </c>
      <c r="E2872" s="3" t="inlineStr">
        <is>
          <t>MOVE_ASSURANCE</t>
        </is>
      </c>
    </row>
    <row r="2873">
      <c r="A2873" s="3" t="inlineStr">
        <is>
          <t>SPECIES_HAXORUS</t>
        </is>
      </c>
      <c r="B2873" s="3" t="inlineStr">
        <is>
          <t>Haxorus</t>
        </is>
      </c>
      <c r="C2873" s="3" t="n">
        <v>12</v>
      </c>
      <c r="D2873" s="3" t="inlineStr">
        <is>
          <t>Taunt</t>
        </is>
      </c>
      <c r="E2873" s="3" t="inlineStr">
        <is>
          <t>MOVE_TAUNT</t>
        </is>
      </c>
    </row>
    <row r="2874">
      <c r="A2874" s="3" t="inlineStr">
        <is>
          <t>SPECIES_HAXORUS</t>
        </is>
      </c>
      <c r="B2874" s="3" t="inlineStr">
        <is>
          <t>Haxorus</t>
        </is>
      </c>
      <c r="C2874" s="3" t="n">
        <v>15</v>
      </c>
      <c r="D2874" s="3" t="inlineStr">
        <is>
          <t>Slash</t>
        </is>
      </c>
      <c r="E2874" s="3" t="inlineStr">
        <is>
          <t>MOVE_SLASH</t>
        </is>
      </c>
    </row>
    <row r="2875">
      <c r="A2875" s="3" t="inlineStr">
        <is>
          <t>SPECIES_HAXORUS</t>
        </is>
      </c>
      <c r="B2875" s="3" t="inlineStr">
        <is>
          <t>Haxorus</t>
        </is>
      </c>
      <c r="C2875" s="3" t="n">
        <v>18</v>
      </c>
      <c r="D2875" s="3" t="inlineStr">
        <is>
          <t>Dragon Claw</t>
        </is>
      </c>
      <c r="E2875" s="3" t="inlineStr">
        <is>
          <t>MOVE_DRAGON_CLAW</t>
        </is>
      </c>
    </row>
    <row r="2876">
      <c r="A2876" s="3" t="inlineStr">
        <is>
          <t>SPECIES_HAXORUS</t>
        </is>
      </c>
      <c r="B2876" s="3" t="inlineStr">
        <is>
          <t>Haxorus</t>
        </is>
      </c>
      <c r="C2876" s="3" t="n">
        <v>21</v>
      </c>
      <c r="D2876" s="3" t="inlineStr">
        <is>
          <t>Scary Face</t>
        </is>
      </c>
      <c r="E2876" s="3" t="inlineStr">
        <is>
          <t>MOVE_SCARY_FACE</t>
        </is>
      </c>
    </row>
    <row r="2877">
      <c r="A2877" s="3" t="inlineStr">
        <is>
          <t>SPECIES_HAXORUS</t>
        </is>
      </c>
      <c r="B2877" s="3" t="inlineStr">
        <is>
          <t>Haxorus</t>
        </is>
      </c>
      <c r="C2877" s="3" t="n">
        <v>24</v>
      </c>
      <c r="D2877" s="3" t="inlineStr">
        <is>
          <t>Crunch</t>
        </is>
      </c>
      <c r="E2877" s="3" t="inlineStr">
        <is>
          <t>MOVE_CRUNCH</t>
        </is>
      </c>
    </row>
    <row r="2878">
      <c r="A2878" s="3" t="inlineStr">
        <is>
          <t>SPECIES_HAXORUS</t>
        </is>
      </c>
      <c r="B2878" s="3" t="inlineStr">
        <is>
          <t>Haxorus</t>
        </is>
      </c>
      <c r="C2878" s="3" t="n">
        <v>27</v>
      </c>
      <c r="D2878" s="3" t="inlineStr">
        <is>
          <t>Dragon Dance</t>
        </is>
      </c>
      <c r="E2878" s="3" t="inlineStr">
        <is>
          <t>MOVE_DRAGON_DANCE</t>
        </is>
      </c>
    </row>
    <row r="2879">
      <c r="A2879" s="3" t="inlineStr">
        <is>
          <t>SPECIES_HAXORUS</t>
        </is>
      </c>
      <c r="B2879" s="3" t="inlineStr">
        <is>
          <t>Haxorus</t>
        </is>
      </c>
      <c r="C2879" s="3" t="n">
        <v>30</v>
      </c>
      <c r="D2879" s="3" t="inlineStr">
        <is>
          <t>Breaking Swipe</t>
        </is>
      </c>
      <c r="E2879" s="3" t="inlineStr">
        <is>
          <t>MOVE_BREAKING_SWIPE</t>
        </is>
      </c>
    </row>
    <row r="2880">
      <c r="A2880" s="3" t="inlineStr">
        <is>
          <t>SPECIES_HAXORUS</t>
        </is>
      </c>
      <c r="B2880" s="3" t="inlineStr">
        <is>
          <t>Haxorus</t>
        </is>
      </c>
      <c r="C2880" s="3" t="n">
        <v>33</v>
      </c>
      <c r="D2880" s="3" t="inlineStr">
        <is>
          <t>Focus Energy</t>
        </is>
      </c>
      <c r="E2880" s="3" t="inlineStr">
        <is>
          <t>MOVE_FOCUS_ENERGY</t>
        </is>
      </c>
    </row>
    <row r="2881">
      <c r="A2881" s="3" t="inlineStr">
        <is>
          <t>SPECIES_HAXORUS</t>
        </is>
      </c>
      <c r="B2881" s="3" t="inlineStr">
        <is>
          <t>Haxorus</t>
        </is>
      </c>
      <c r="C2881" s="3" t="n">
        <v>36</v>
      </c>
      <c r="D2881" s="3" t="inlineStr">
        <is>
          <t>Dragon Pulse</t>
        </is>
      </c>
      <c r="E2881" s="3" t="inlineStr">
        <is>
          <t>MOVE_DRAGON_PULSE</t>
        </is>
      </c>
    </row>
    <row r="2882">
      <c r="A2882" s="3" t="inlineStr">
        <is>
          <t>SPECIES_HAXORUS</t>
        </is>
      </c>
      <c r="B2882" s="3" t="inlineStr">
        <is>
          <t>Haxorus</t>
        </is>
      </c>
      <c r="C2882" s="3" t="n">
        <v>41</v>
      </c>
      <c r="D2882" s="3" t="inlineStr">
        <is>
          <t>Swords Dance</t>
        </is>
      </c>
      <c r="E2882" s="3" t="inlineStr">
        <is>
          <t>MOVE_SWORDS_DANCE</t>
        </is>
      </c>
    </row>
    <row r="2883">
      <c r="A2883" s="3" t="inlineStr">
        <is>
          <t>SPECIES_HAXORUS</t>
        </is>
      </c>
      <c r="B2883" s="3" t="inlineStr">
        <is>
          <t>Haxorus</t>
        </is>
      </c>
      <c r="C2883" s="3" t="n">
        <v>46</v>
      </c>
      <c r="D2883" s="3" t="inlineStr">
        <is>
          <t>Outrage</t>
        </is>
      </c>
      <c r="E2883" s="3" t="inlineStr">
        <is>
          <t>MOVE_OUTRAGE</t>
        </is>
      </c>
    </row>
    <row r="2884">
      <c r="A2884" s="3" t="inlineStr">
        <is>
          <t>SPECIES_HAXORUS</t>
        </is>
      </c>
      <c r="B2884" s="3" t="inlineStr">
        <is>
          <t>Haxorus</t>
        </is>
      </c>
      <c r="C2884" s="3" t="n">
        <v>53</v>
      </c>
      <c r="D2884" s="3" t="inlineStr">
        <is>
          <t>Guillotine</t>
        </is>
      </c>
      <c r="E2884" s="3" t="inlineStr">
        <is>
          <t>MOVE_GUILLOTINE</t>
        </is>
      </c>
    </row>
    <row r="2885">
      <c r="A2885" s="3" t="inlineStr">
        <is>
          <t>SPECIES_HAXORUS</t>
        </is>
      </c>
      <c r="B2885" s="3" t="inlineStr">
        <is>
          <t>Haxorus</t>
        </is>
      </c>
      <c r="C2885" s="3" t="n">
        <v>60</v>
      </c>
      <c r="D2885" s="3" t="inlineStr">
        <is>
          <t>Giga Impact</t>
        </is>
      </c>
      <c r="E2885" s="3" t="inlineStr">
        <is>
          <t>MOVE_GIGA_IMPACT</t>
        </is>
      </c>
    </row>
    <row r="2886">
      <c r="A2886" s="3" t="inlineStr">
        <is>
          <t>SPECIES_CUBCHOO</t>
        </is>
      </c>
      <c r="B2886" s="3" t="inlineStr">
        <is>
          <t>Cubchoo</t>
        </is>
      </c>
      <c r="C2886" s="3" t="n">
        <v>1</v>
      </c>
      <c r="D2886" s="3" t="inlineStr">
        <is>
          <t>Growl</t>
        </is>
      </c>
      <c r="E2886" s="3" t="inlineStr">
        <is>
          <t>MOVE_GROWL</t>
        </is>
      </c>
    </row>
    <row r="2887">
      <c r="A2887" s="3" t="inlineStr">
        <is>
          <t>SPECIES_CUBCHOO</t>
        </is>
      </c>
      <c r="B2887" s="3" t="inlineStr">
        <is>
          <t>Cubchoo</t>
        </is>
      </c>
      <c r="C2887" s="3" t="n">
        <v>1</v>
      </c>
      <c r="D2887" s="3" t="inlineStr">
        <is>
          <t>Powder Snow</t>
        </is>
      </c>
      <c r="E2887" s="3" t="inlineStr">
        <is>
          <t>MOVE_POWDER_SNOW</t>
        </is>
      </c>
    </row>
    <row r="2888">
      <c r="A2888" s="3" t="inlineStr">
        <is>
          <t>SPECIES_CUBCHOO</t>
        </is>
      </c>
      <c r="B2888" s="3" t="inlineStr">
        <is>
          <t>Cubchoo</t>
        </is>
      </c>
      <c r="C2888" s="3" t="n">
        <v>3</v>
      </c>
      <c r="D2888" s="3" t="inlineStr">
        <is>
          <t>Endure</t>
        </is>
      </c>
      <c r="E2888" s="3" t="inlineStr">
        <is>
          <t>MOVE_ENDURE</t>
        </is>
      </c>
    </row>
    <row r="2889">
      <c r="A2889" s="3" t="inlineStr">
        <is>
          <t>SPECIES_CUBCHOO</t>
        </is>
      </c>
      <c r="B2889" s="3" t="inlineStr">
        <is>
          <t>Cubchoo</t>
        </is>
      </c>
      <c r="C2889" s="3" t="n">
        <v>6</v>
      </c>
      <c r="D2889" s="3" t="inlineStr">
        <is>
          <t>Fury Swipes</t>
        </is>
      </c>
      <c r="E2889" s="3" t="inlineStr">
        <is>
          <t>MOVE_FURY_SWIPES</t>
        </is>
      </c>
    </row>
    <row r="2890">
      <c r="A2890" s="3" t="inlineStr">
        <is>
          <t>SPECIES_CUBCHOO</t>
        </is>
      </c>
      <c r="B2890" s="3" t="inlineStr">
        <is>
          <t>Cubchoo</t>
        </is>
      </c>
      <c r="C2890" s="3" t="n">
        <v>9</v>
      </c>
      <c r="D2890" s="3" t="inlineStr">
        <is>
          <t>Icy Wind</t>
        </is>
      </c>
      <c r="E2890" s="3" t="inlineStr">
        <is>
          <t>MOVE_ICY_WIND</t>
        </is>
      </c>
    </row>
    <row r="2891">
      <c r="A2891" s="3" t="inlineStr">
        <is>
          <t>SPECIES_CUBCHOO</t>
        </is>
      </c>
      <c r="B2891" s="3" t="inlineStr">
        <is>
          <t>Cubchoo</t>
        </is>
      </c>
      <c r="C2891" s="3" t="n">
        <v>12</v>
      </c>
      <c r="D2891" s="3" t="inlineStr">
        <is>
          <t>Play Nice</t>
        </is>
      </c>
      <c r="E2891" s="3" t="inlineStr">
        <is>
          <t>MOVE_PLAY_NICE</t>
        </is>
      </c>
    </row>
    <row r="2892">
      <c r="A2892" s="3" t="inlineStr">
        <is>
          <t>SPECIES_CUBCHOO</t>
        </is>
      </c>
      <c r="B2892" s="3" t="inlineStr">
        <is>
          <t>Cubchoo</t>
        </is>
      </c>
      <c r="C2892" s="3" t="n">
        <v>15</v>
      </c>
      <c r="D2892" s="3" t="inlineStr">
        <is>
          <t>Brine</t>
        </is>
      </c>
      <c r="E2892" s="3" t="inlineStr">
        <is>
          <t>MOVE_BRINE</t>
        </is>
      </c>
    </row>
    <row r="2893">
      <c r="A2893" s="3" t="inlineStr">
        <is>
          <t>SPECIES_CUBCHOO</t>
        </is>
      </c>
      <c r="B2893" s="3" t="inlineStr">
        <is>
          <t>Cubchoo</t>
        </is>
      </c>
      <c r="C2893" s="3" t="n">
        <v>18</v>
      </c>
      <c r="D2893" s="3" t="inlineStr">
        <is>
          <t>Frost Breath</t>
        </is>
      </c>
      <c r="E2893" s="3" t="inlineStr">
        <is>
          <t>MOVE_FROST_BREATH</t>
        </is>
      </c>
    </row>
    <row r="2894">
      <c r="A2894" s="3" t="inlineStr">
        <is>
          <t>SPECIES_CUBCHOO</t>
        </is>
      </c>
      <c r="B2894" s="3" t="inlineStr">
        <is>
          <t>Cubchoo</t>
        </is>
      </c>
      <c r="C2894" s="3" t="n">
        <v>21</v>
      </c>
      <c r="D2894" s="3" t="inlineStr">
        <is>
          <t>Slash</t>
        </is>
      </c>
      <c r="E2894" s="3" t="inlineStr">
        <is>
          <t>MOVE_SLASH</t>
        </is>
      </c>
    </row>
    <row r="2895">
      <c r="A2895" s="3" t="inlineStr">
        <is>
          <t>SPECIES_CUBCHOO</t>
        </is>
      </c>
      <c r="B2895" s="3" t="inlineStr">
        <is>
          <t>Cubchoo</t>
        </is>
      </c>
      <c r="C2895" s="3" t="n">
        <v>24</v>
      </c>
      <c r="D2895" s="3" t="inlineStr">
        <is>
          <t>Flail</t>
        </is>
      </c>
      <c r="E2895" s="3" t="inlineStr">
        <is>
          <t>MOVE_FLAIL</t>
        </is>
      </c>
    </row>
    <row r="2896">
      <c r="A2896" s="3" t="inlineStr">
        <is>
          <t>SPECIES_CUBCHOO</t>
        </is>
      </c>
      <c r="B2896" s="3" t="inlineStr">
        <is>
          <t>Cubchoo</t>
        </is>
      </c>
      <c r="C2896" s="3" t="n">
        <v>27</v>
      </c>
      <c r="D2896" s="3" t="inlineStr">
        <is>
          <t>Charm</t>
        </is>
      </c>
      <c r="E2896" s="3" t="inlineStr">
        <is>
          <t>MOVE_CHARM</t>
        </is>
      </c>
    </row>
    <row r="2897">
      <c r="A2897" s="3" t="inlineStr">
        <is>
          <t>SPECIES_CUBCHOO</t>
        </is>
      </c>
      <c r="B2897" s="3" t="inlineStr">
        <is>
          <t>Cubchoo</t>
        </is>
      </c>
      <c r="C2897" s="3" t="n">
        <v>30</v>
      </c>
      <c r="D2897" s="3" t="inlineStr">
        <is>
          <t>Snowscape</t>
        </is>
      </c>
      <c r="E2897" s="3" t="inlineStr">
        <is>
          <t>MOVE_SNOWSCAPE</t>
        </is>
      </c>
    </row>
    <row r="2898">
      <c r="A2898" s="3" t="inlineStr">
        <is>
          <t>SPECIES_CUBCHOO</t>
        </is>
      </c>
      <c r="B2898" s="3" t="inlineStr">
        <is>
          <t>Cubchoo</t>
        </is>
      </c>
      <c r="C2898" s="3" t="n">
        <v>33</v>
      </c>
      <c r="D2898" s="3" t="inlineStr">
        <is>
          <t>Thrash</t>
        </is>
      </c>
      <c r="E2898" s="3" t="inlineStr">
        <is>
          <t>MOVE_THRASH</t>
        </is>
      </c>
    </row>
    <row r="2899">
      <c r="A2899" s="3" t="inlineStr">
        <is>
          <t>SPECIES_CUBCHOO</t>
        </is>
      </c>
      <c r="B2899" s="3" t="inlineStr">
        <is>
          <t>Cubchoo</t>
        </is>
      </c>
      <c r="C2899" s="3" t="n">
        <v>36</v>
      </c>
      <c r="D2899" s="3" t="inlineStr">
        <is>
          <t>Rest</t>
        </is>
      </c>
      <c r="E2899" s="3" t="inlineStr">
        <is>
          <t>MOVE_REST</t>
        </is>
      </c>
    </row>
    <row r="2900">
      <c r="A2900" s="3" t="inlineStr">
        <is>
          <t>SPECIES_CUBCHOO</t>
        </is>
      </c>
      <c r="B2900" s="3" t="inlineStr">
        <is>
          <t>Cubchoo</t>
        </is>
      </c>
      <c r="C2900" s="3" t="n">
        <v>39</v>
      </c>
      <c r="D2900" s="3" t="inlineStr">
        <is>
          <t>Blizzard</t>
        </is>
      </c>
      <c r="E2900" s="3" t="inlineStr">
        <is>
          <t>MOVE_BLIZZARD</t>
        </is>
      </c>
    </row>
    <row r="2901">
      <c r="A2901" s="3" t="inlineStr">
        <is>
          <t>SPECIES_CUBCHOO</t>
        </is>
      </c>
      <c r="B2901" s="3" t="inlineStr">
        <is>
          <t>Cubchoo</t>
        </is>
      </c>
      <c r="C2901" s="3" t="n">
        <v>42</v>
      </c>
      <c r="D2901" s="3" t="inlineStr">
        <is>
          <t>Sheer Cold</t>
        </is>
      </c>
      <c r="E2901" s="3" t="inlineStr">
        <is>
          <t>MOVE_SHEER_COLD</t>
        </is>
      </c>
    </row>
    <row r="2902">
      <c r="A2902" s="3" t="inlineStr">
        <is>
          <t>SPECIES_BEARTIC</t>
        </is>
      </c>
      <c r="B2902" s="3" t="inlineStr">
        <is>
          <t>Beartic</t>
        </is>
      </c>
      <c r="C2902" s="3" t="n">
        <v>0</v>
      </c>
      <c r="D2902" s="3" t="inlineStr">
        <is>
          <t>Icicle Crash</t>
        </is>
      </c>
      <c r="E2902" s="3" t="inlineStr">
        <is>
          <t>MOVE_ICICLE_CRASH</t>
        </is>
      </c>
    </row>
    <row r="2903">
      <c r="A2903" s="3" t="inlineStr">
        <is>
          <t>SPECIES_BEARTIC</t>
        </is>
      </c>
      <c r="B2903" s="3" t="inlineStr">
        <is>
          <t>Beartic</t>
        </is>
      </c>
      <c r="C2903" s="3" t="n">
        <v>1</v>
      </c>
      <c r="D2903" s="3" t="inlineStr">
        <is>
          <t>Endure</t>
        </is>
      </c>
      <c r="E2903" s="3" t="inlineStr">
        <is>
          <t>MOVE_ENDURE</t>
        </is>
      </c>
    </row>
    <row r="2904">
      <c r="A2904" s="3" t="inlineStr">
        <is>
          <t>SPECIES_BEARTIC</t>
        </is>
      </c>
      <c r="B2904" s="3" t="inlineStr">
        <is>
          <t>Beartic</t>
        </is>
      </c>
      <c r="C2904" s="3" t="n">
        <v>1</v>
      </c>
      <c r="D2904" s="3" t="inlineStr">
        <is>
          <t>Growl</t>
        </is>
      </c>
      <c r="E2904" s="3" t="inlineStr">
        <is>
          <t>MOVE_GROWL</t>
        </is>
      </c>
    </row>
    <row r="2905">
      <c r="A2905" s="3" t="inlineStr">
        <is>
          <t>SPECIES_BEARTIC</t>
        </is>
      </c>
      <c r="B2905" s="3" t="inlineStr">
        <is>
          <t>Beartic</t>
        </is>
      </c>
      <c r="C2905" s="3" t="n">
        <v>1</v>
      </c>
      <c r="D2905" s="3" t="inlineStr">
        <is>
          <t>Fury Swipes</t>
        </is>
      </c>
      <c r="E2905" s="3" t="inlineStr">
        <is>
          <t>MOVE_FURY_SWIPES</t>
        </is>
      </c>
    </row>
    <row r="2906">
      <c r="A2906" s="3" t="inlineStr">
        <is>
          <t>SPECIES_BEARTIC</t>
        </is>
      </c>
      <c r="B2906" s="3" t="inlineStr">
        <is>
          <t>Beartic</t>
        </is>
      </c>
      <c r="C2906" s="3" t="n">
        <v>1</v>
      </c>
      <c r="D2906" s="3" t="inlineStr">
        <is>
          <t>Powder Snow</t>
        </is>
      </c>
      <c r="E2906" s="3" t="inlineStr">
        <is>
          <t>MOVE_POWDER_SNOW</t>
        </is>
      </c>
    </row>
    <row r="2907">
      <c r="A2907" s="3" t="inlineStr">
        <is>
          <t>SPECIES_BEARTIC</t>
        </is>
      </c>
      <c r="B2907" s="3" t="inlineStr">
        <is>
          <t>Beartic</t>
        </is>
      </c>
      <c r="C2907" s="3" t="n">
        <v>1</v>
      </c>
      <c r="D2907" s="3" t="inlineStr">
        <is>
          <t>Charm</t>
        </is>
      </c>
      <c r="E2907" s="3" t="inlineStr">
        <is>
          <t>MOVE_CHARM</t>
        </is>
      </c>
    </row>
    <row r="2908">
      <c r="A2908" s="3" t="inlineStr">
        <is>
          <t>SPECIES_BEARTIC</t>
        </is>
      </c>
      <c r="B2908" s="3" t="inlineStr">
        <is>
          <t>Beartic</t>
        </is>
      </c>
      <c r="C2908" s="3" t="n">
        <v>1</v>
      </c>
      <c r="D2908" s="3" t="inlineStr">
        <is>
          <t>Aqua Jet</t>
        </is>
      </c>
      <c r="E2908" s="3" t="inlineStr">
        <is>
          <t>MOVE_AQUA_JET</t>
        </is>
      </c>
    </row>
    <row r="2909">
      <c r="A2909" s="3" t="inlineStr">
        <is>
          <t>SPECIES_BEARTIC</t>
        </is>
      </c>
      <c r="B2909" s="3" t="inlineStr">
        <is>
          <t>Beartic</t>
        </is>
      </c>
      <c r="C2909" s="3" t="n">
        <v>9</v>
      </c>
      <c r="D2909" s="3" t="inlineStr">
        <is>
          <t>Icy Wind</t>
        </is>
      </c>
      <c r="E2909" s="3" t="inlineStr">
        <is>
          <t>MOVE_ICY_WIND</t>
        </is>
      </c>
    </row>
    <row r="2910">
      <c r="A2910" s="3" t="inlineStr">
        <is>
          <t>SPECIES_BEARTIC</t>
        </is>
      </c>
      <c r="B2910" s="3" t="inlineStr">
        <is>
          <t>Beartic</t>
        </is>
      </c>
      <c r="C2910" s="3" t="n">
        <v>12</v>
      </c>
      <c r="D2910" s="3" t="inlineStr">
        <is>
          <t>Play Nice</t>
        </is>
      </c>
      <c r="E2910" s="3" t="inlineStr">
        <is>
          <t>MOVE_PLAY_NICE</t>
        </is>
      </c>
    </row>
    <row r="2911">
      <c r="A2911" s="3" t="inlineStr">
        <is>
          <t>SPECIES_BEARTIC</t>
        </is>
      </c>
      <c r="B2911" s="3" t="inlineStr">
        <is>
          <t>Beartic</t>
        </is>
      </c>
      <c r="C2911" s="3" t="n">
        <v>15</v>
      </c>
      <c r="D2911" s="3" t="inlineStr">
        <is>
          <t>Brine</t>
        </is>
      </c>
      <c r="E2911" s="3" t="inlineStr">
        <is>
          <t>MOVE_BRINE</t>
        </is>
      </c>
    </row>
    <row r="2912">
      <c r="A2912" s="3" t="inlineStr">
        <is>
          <t>SPECIES_BEARTIC</t>
        </is>
      </c>
      <c r="B2912" s="3" t="inlineStr">
        <is>
          <t>Beartic</t>
        </is>
      </c>
      <c r="C2912" s="3" t="n">
        <v>18</v>
      </c>
      <c r="D2912" s="3" t="inlineStr">
        <is>
          <t>Frost Breath</t>
        </is>
      </c>
      <c r="E2912" s="3" t="inlineStr">
        <is>
          <t>MOVE_FROST_BREATH</t>
        </is>
      </c>
    </row>
    <row r="2913">
      <c r="A2913" s="3" t="inlineStr">
        <is>
          <t>SPECIES_BEARTIC</t>
        </is>
      </c>
      <c r="B2913" s="3" t="inlineStr">
        <is>
          <t>Beartic</t>
        </is>
      </c>
      <c r="C2913" s="3" t="n">
        <v>21</v>
      </c>
      <c r="D2913" s="3" t="inlineStr">
        <is>
          <t>Slash</t>
        </is>
      </c>
      <c r="E2913" s="3" t="inlineStr">
        <is>
          <t>MOVE_SLASH</t>
        </is>
      </c>
    </row>
    <row r="2914">
      <c r="A2914" s="3" t="inlineStr">
        <is>
          <t>SPECIES_BEARTIC</t>
        </is>
      </c>
      <c r="B2914" s="3" t="inlineStr">
        <is>
          <t>Beartic</t>
        </is>
      </c>
      <c r="C2914" s="3" t="n">
        <v>24</v>
      </c>
      <c r="D2914" s="3" t="inlineStr">
        <is>
          <t>Flail</t>
        </is>
      </c>
      <c r="E2914" s="3" t="inlineStr">
        <is>
          <t>MOVE_FLAIL</t>
        </is>
      </c>
    </row>
    <row r="2915">
      <c r="A2915" s="3" t="inlineStr">
        <is>
          <t>SPECIES_BEARTIC</t>
        </is>
      </c>
      <c r="B2915" s="3" t="inlineStr">
        <is>
          <t>Beartic</t>
        </is>
      </c>
      <c r="C2915" s="3" t="n">
        <v>27</v>
      </c>
      <c r="D2915" s="3" t="inlineStr">
        <is>
          <t>Swagger</t>
        </is>
      </c>
      <c r="E2915" s="3" t="inlineStr">
        <is>
          <t>MOVE_SWAGGER</t>
        </is>
      </c>
    </row>
    <row r="2916">
      <c r="A2916" s="3" t="inlineStr">
        <is>
          <t>SPECIES_BEARTIC</t>
        </is>
      </c>
      <c r="B2916" s="3" t="inlineStr">
        <is>
          <t>Beartic</t>
        </is>
      </c>
      <c r="C2916" s="3" t="n">
        <v>30</v>
      </c>
      <c r="D2916" s="3" t="inlineStr">
        <is>
          <t>Snowscape</t>
        </is>
      </c>
      <c r="E2916" s="3" t="inlineStr">
        <is>
          <t>MOVE_SNOWSCAPE</t>
        </is>
      </c>
    </row>
    <row r="2917">
      <c r="A2917" s="3" t="inlineStr">
        <is>
          <t>SPECIES_BEARTIC</t>
        </is>
      </c>
      <c r="B2917" s="3" t="inlineStr">
        <is>
          <t>Beartic</t>
        </is>
      </c>
      <c r="C2917" s="3" t="n">
        <v>33</v>
      </c>
      <c r="D2917" s="3" t="inlineStr">
        <is>
          <t>Thrash</t>
        </is>
      </c>
      <c r="E2917" s="3" t="inlineStr">
        <is>
          <t>MOVE_THRASH</t>
        </is>
      </c>
    </row>
    <row r="2918">
      <c r="A2918" s="3" t="inlineStr">
        <is>
          <t>SPECIES_BEARTIC</t>
        </is>
      </c>
      <c r="B2918" s="3" t="inlineStr">
        <is>
          <t>Beartic</t>
        </is>
      </c>
      <c r="C2918" s="3" t="n">
        <v>36</v>
      </c>
      <c r="D2918" s="3" t="inlineStr">
        <is>
          <t>Rest</t>
        </is>
      </c>
      <c r="E2918" s="3" t="inlineStr">
        <is>
          <t>MOVE_REST</t>
        </is>
      </c>
    </row>
    <row r="2919">
      <c r="A2919" s="3" t="inlineStr">
        <is>
          <t>SPECIES_BEARTIC</t>
        </is>
      </c>
      <c r="B2919" s="3" t="inlineStr">
        <is>
          <t>Beartic</t>
        </is>
      </c>
      <c r="C2919" s="3" t="n">
        <v>41</v>
      </c>
      <c r="D2919" s="3" t="inlineStr">
        <is>
          <t>Blizzard</t>
        </is>
      </c>
      <c r="E2919" s="3" t="inlineStr">
        <is>
          <t>MOVE_BLIZZARD</t>
        </is>
      </c>
    </row>
    <row r="2920">
      <c r="A2920" s="3" t="inlineStr">
        <is>
          <t>SPECIES_BEARTIC</t>
        </is>
      </c>
      <c r="B2920" s="3" t="inlineStr">
        <is>
          <t>Beartic</t>
        </is>
      </c>
      <c r="C2920" s="3" t="n">
        <v>46</v>
      </c>
      <c r="D2920" s="3" t="inlineStr">
        <is>
          <t>Sheer Cold</t>
        </is>
      </c>
      <c r="E2920" s="3" t="inlineStr">
        <is>
          <t>MOVE_SHEER_COLD</t>
        </is>
      </c>
    </row>
    <row r="2921">
      <c r="A2921" s="3" t="inlineStr">
        <is>
          <t>SPECIES_BEARTIC</t>
        </is>
      </c>
      <c r="B2921" s="3" t="inlineStr">
        <is>
          <t>Beartic</t>
        </is>
      </c>
      <c r="C2921" s="3" t="n">
        <v>51</v>
      </c>
      <c r="D2921" s="3" t="inlineStr">
        <is>
          <t>Superpower</t>
        </is>
      </c>
      <c r="E2921" s="3" t="inlineStr">
        <is>
          <t>MOVE_SUPERPOWER</t>
        </is>
      </c>
    </row>
    <row r="2922">
      <c r="A2922" s="3" t="inlineStr">
        <is>
          <t>SPECIES_MIENFOO</t>
        </is>
      </c>
      <c r="B2922" s="3" t="inlineStr">
        <is>
          <t>Mienfoo</t>
        </is>
      </c>
      <c r="C2922" s="3" t="n">
        <v>1</v>
      </c>
      <c r="D2922" s="3" t="inlineStr">
        <is>
          <t>Pound</t>
        </is>
      </c>
      <c r="E2922" s="3" t="inlineStr">
        <is>
          <t>MOVE_POUND</t>
        </is>
      </c>
    </row>
    <row r="2923">
      <c r="A2923" s="3" t="inlineStr">
        <is>
          <t>SPECIES_MIENFOO</t>
        </is>
      </c>
      <c r="B2923" s="3" t="inlineStr">
        <is>
          <t>Mienfoo</t>
        </is>
      </c>
      <c r="C2923" s="3" t="n">
        <v>1</v>
      </c>
      <c r="D2923" s="3" t="inlineStr">
        <is>
          <t>Detect</t>
        </is>
      </c>
      <c r="E2923" s="3" t="inlineStr">
        <is>
          <t>MOVE_DETECT</t>
        </is>
      </c>
    </row>
    <row r="2924">
      <c r="A2924" s="3" t="inlineStr">
        <is>
          <t>SPECIES_MIENFOO</t>
        </is>
      </c>
      <c r="B2924" s="3" t="inlineStr">
        <is>
          <t>Mienfoo</t>
        </is>
      </c>
      <c r="C2924" s="3" t="n">
        <v>5</v>
      </c>
      <c r="D2924" s="3" t="inlineStr">
        <is>
          <t>Fake Out</t>
        </is>
      </c>
      <c r="E2924" s="3" t="inlineStr">
        <is>
          <t>MOVE_FAKE_OUT</t>
        </is>
      </c>
    </row>
    <row r="2925">
      <c r="A2925" s="3" t="inlineStr">
        <is>
          <t>SPECIES_MIENFOO</t>
        </is>
      </c>
      <c r="B2925" s="3" t="inlineStr">
        <is>
          <t>Mienfoo</t>
        </is>
      </c>
      <c r="C2925" s="3" t="n">
        <v>10</v>
      </c>
      <c r="D2925" s="3" t="inlineStr">
        <is>
          <t>Reversal</t>
        </is>
      </c>
      <c r="E2925" s="3" t="inlineStr">
        <is>
          <t>MOVE_REVERSAL</t>
        </is>
      </c>
    </row>
    <row r="2926">
      <c r="A2926" s="3" t="inlineStr">
        <is>
          <t>SPECIES_MIENFOO</t>
        </is>
      </c>
      <c r="B2926" s="3" t="inlineStr">
        <is>
          <t>Mienfoo</t>
        </is>
      </c>
      <c r="C2926" s="3" t="n">
        <v>15</v>
      </c>
      <c r="D2926" s="3" t="inlineStr">
        <is>
          <t>Fury Swipes</t>
        </is>
      </c>
      <c r="E2926" s="3" t="inlineStr">
        <is>
          <t>MOVE_FURY_SWIPES</t>
        </is>
      </c>
    </row>
    <row r="2927">
      <c r="A2927" s="3" t="inlineStr">
        <is>
          <t>SPECIES_MIENFOO</t>
        </is>
      </c>
      <c r="B2927" s="3" t="inlineStr">
        <is>
          <t>Mienfoo</t>
        </is>
      </c>
      <c r="C2927" s="3" t="n">
        <v>20</v>
      </c>
      <c r="D2927" s="3" t="inlineStr">
        <is>
          <t>Quick Guard</t>
        </is>
      </c>
      <c r="E2927" s="3" t="inlineStr">
        <is>
          <t>MOVE_QUICK_GUARD</t>
        </is>
      </c>
    </row>
    <row r="2928">
      <c r="A2928" s="3" t="inlineStr">
        <is>
          <t>SPECIES_MIENFOO</t>
        </is>
      </c>
      <c r="B2928" s="3" t="inlineStr">
        <is>
          <t>Mienfoo</t>
        </is>
      </c>
      <c r="C2928" s="3" t="n">
        <v>25</v>
      </c>
      <c r="D2928" s="3" t="inlineStr">
        <is>
          <t>Force Palm</t>
        </is>
      </c>
      <c r="E2928" s="3" t="inlineStr">
        <is>
          <t>MOVE_FORCE_PALM</t>
        </is>
      </c>
    </row>
    <row r="2929">
      <c r="A2929" s="3" t="inlineStr">
        <is>
          <t>SPECIES_MIENFOO</t>
        </is>
      </c>
      <c r="B2929" s="3" t="inlineStr">
        <is>
          <t>Mienfoo</t>
        </is>
      </c>
      <c r="C2929" s="3" t="n">
        <v>30</v>
      </c>
      <c r="D2929" s="3" t="inlineStr">
        <is>
          <t>U-turn</t>
        </is>
      </c>
      <c r="E2929" s="3" t="inlineStr">
        <is>
          <t>MOVE_U_TURN</t>
        </is>
      </c>
    </row>
    <row r="2930">
      <c r="A2930" s="3" t="inlineStr">
        <is>
          <t>SPECIES_MIENFOO</t>
        </is>
      </c>
      <c r="B2930" s="3" t="inlineStr">
        <is>
          <t>Mienfoo</t>
        </is>
      </c>
      <c r="C2930" s="3" t="n">
        <v>35</v>
      </c>
      <c r="D2930" s="3" t="inlineStr">
        <is>
          <t>Drain Punch</t>
        </is>
      </c>
      <c r="E2930" s="3" t="inlineStr">
        <is>
          <t>MOVE_DRAIN_PUNCH</t>
        </is>
      </c>
    </row>
    <row r="2931">
      <c r="A2931" s="3" t="inlineStr">
        <is>
          <t>SPECIES_MIENFOO</t>
        </is>
      </c>
      <c r="B2931" s="3" t="inlineStr">
        <is>
          <t>Mienfoo</t>
        </is>
      </c>
      <c r="C2931" s="3" t="n">
        <v>40</v>
      </c>
      <c r="D2931" s="3" t="inlineStr">
        <is>
          <t>Hone Claws</t>
        </is>
      </c>
      <c r="E2931" s="3" t="inlineStr">
        <is>
          <t>MOVE_HONE_CLAWS</t>
        </is>
      </c>
    </row>
    <row r="2932">
      <c r="A2932" s="3" t="inlineStr">
        <is>
          <t>SPECIES_MIENFOO</t>
        </is>
      </c>
      <c r="B2932" s="3" t="inlineStr">
        <is>
          <t>Mienfoo</t>
        </is>
      </c>
      <c r="C2932" s="3" t="n">
        <v>45</v>
      </c>
      <c r="D2932" s="3" t="inlineStr">
        <is>
          <t>Aura Sphere</t>
        </is>
      </c>
      <c r="E2932" s="3" t="inlineStr">
        <is>
          <t>MOVE_AURA_SPHERE</t>
        </is>
      </c>
    </row>
    <row r="2933">
      <c r="A2933" s="3" t="inlineStr">
        <is>
          <t>SPECIES_MIENFOO</t>
        </is>
      </c>
      <c r="B2933" s="3" t="inlineStr">
        <is>
          <t>Mienfoo</t>
        </is>
      </c>
      <c r="C2933" s="3" t="n">
        <v>51</v>
      </c>
      <c r="D2933" s="3" t="inlineStr">
        <is>
          <t>Bounce</t>
        </is>
      </c>
      <c r="E2933" s="3" t="inlineStr">
        <is>
          <t>MOVE_BOUNCE</t>
        </is>
      </c>
    </row>
    <row r="2934">
      <c r="A2934" s="3" t="inlineStr">
        <is>
          <t>SPECIES_MIENFOO</t>
        </is>
      </c>
      <c r="B2934" s="3" t="inlineStr">
        <is>
          <t>Mienfoo</t>
        </is>
      </c>
      <c r="C2934" s="3" t="n">
        <v>55</v>
      </c>
      <c r="D2934" s="3" t="inlineStr">
        <is>
          <t>Calm Mind</t>
        </is>
      </c>
      <c r="E2934" s="3" t="inlineStr">
        <is>
          <t>MOVE_CALM_MIND</t>
        </is>
      </c>
    </row>
    <row r="2935">
      <c r="A2935" s="3" t="inlineStr">
        <is>
          <t>SPECIES_MIENFOO</t>
        </is>
      </c>
      <c r="B2935" s="3" t="inlineStr">
        <is>
          <t>Mienfoo</t>
        </is>
      </c>
      <c r="C2935" s="3" t="n">
        <v>60</v>
      </c>
      <c r="D2935" s="3" t="inlineStr">
        <is>
          <t>High Jump Kick</t>
        </is>
      </c>
      <c r="E2935" s="3" t="inlineStr">
        <is>
          <t>MOVE_HIGH_JUMP_KICK</t>
        </is>
      </c>
    </row>
    <row r="2936">
      <c r="A2936" s="3" t="inlineStr">
        <is>
          <t>SPECIES_MIENSHAO</t>
        </is>
      </c>
      <c r="B2936" s="3" t="inlineStr">
        <is>
          <t>Mienshao</t>
        </is>
      </c>
      <c r="C2936" s="3" t="n">
        <v>1</v>
      </c>
      <c r="D2936" s="3" t="inlineStr">
        <is>
          <t>Pound</t>
        </is>
      </c>
      <c r="E2936" s="3" t="inlineStr">
        <is>
          <t>MOVE_POUND</t>
        </is>
      </c>
    </row>
    <row r="2937">
      <c r="A2937" s="3" t="inlineStr">
        <is>
          <t>SPECIES_MIENSHAO</t>
        </is>
      </c>
      <c r="B2937" s="3" t="inlineStr">
        <is>
          <t>Mienshao</t>
        </is>
      </c>
      <c r="C2937" s="3" t="n">
        <v>1</v>
      </c>
      <c r="D2937" s="3" t="inlineStr">
        <is>
          <t>Reversal</t>
        </is>
      </c>
      <c r="E2937" s="3" t="inlineStr">
        <is>
          <t>MOVE_REVERSAL</t>
        </is>
      </c>
    </row>
    <row r="2938">
      <c r="A2938" s="3" t="inlineStr">
        <is>
          <t>SPECIES_MIENSHAO</t>
        </is>
      </c>
      <c r="B2938" s="3" t="inlineStr">
        <is>
          <t>Mienshao</t>
        </is>
      </c>
      <c r="C2938" s="3" t="n">
        <v>1</v>
      </c>
      <c r="D2938" s="3" t="inlineStr">
        <is>
          <t>Detect</t>
        </is>
      </c>
      <c r="E2938" s="3" t="inlineStr">
        <is>
          <t>MOVE_DETECT</t>
        </is>
      </c>
    </row>
    <row r="2939">
      <c r="A2939" s="3" t="inlineStr">
        <is>
          <t>SPECIES_MIENSHAO</t>
        </is>
      </c>
      <c r="B2939" s="3" t="inlineStr">
        <is>
          <t>Mienshao</t>
        </is>
      </c>
      <c r="C2939" s="3" t="n">
        <v>1</v>
      </c>
      <c r="D2939" s="3" t="inlineStr">
        <is>
          <t>Fake Out</t>
        </is>
      </c>
      <c r="E2939" s="3" t="inlineStr">
        <is>
          <t>MOVE_FAKE_OUT</t>
        </is>
      </c>
    </row>
    <row r="2940">
      <c r="A2940" s="3" t="inlineStr">
        <is>
          <t>SPECIES_MIENSHAO</t>
        </is>
      </c>
      <c r="B2940" s="3" t="inlineStr">
        <is>
          <t>Mienshao</t>
        </is>
      </c>
      <c r="C2940" s="3" t="n">
        <v>1</v>
      </c>
      <c r="D2940" s="3" t="inlineStr">
        <is>
          <t>Quick Guard</t>
        </is>
      </c>
      <c r="E2940" s="3" t="inlineStr">
        <is>
          <t>MOVE_QUICK_GUARD</t>
        </is>
      </c>
    </row>
    <row r="2941">
      <c r="A2941" s="3" t="inlineStr">
        <is>
          <t>SPECIES_MIENSHAO</t>
        </is>
      </c>
      <c r="B2941" s="3" t="inlineStr">
        <is>
          <t>Mienshao</t>
        </is>
      </c>
      <c r="C2941" s="3" t="n">
        <v>15</v>
      </c>
      <c r="D2941" s="3" t="inlineStr">
        <is>
          <t>Fury Swipes</t>
        </is>
      </c>
      <c r="E2941" s="3" t="inlineStr">
        <is>
          <t>MOVE_FURY_SWIPES</t>
        </is>
      </c>
    </row>
    <row r="2942">
      <c r="A2942" s="3" t="inlineStr">
        <is>
          <t>SPECIES_MIENSHAO</t>
        </is>
      </c>
      <c r="B2942" s="3" t="inlineStr">
        <is>
          <t>Mienshao</t>
        </is>
      </c>
      <c r="C2942" s="3" t="n">
        <v>20</v>
      </c>
      <c r="D2942" s="3" t="inlineStr">
        <is>
          <t>Wide Guard</t>
        </is>
      </c>
      <c r="E2942" s="3" t="inlineStr">
        <is>
          <t>MOVE_WIDE_GUARD</t>
        </is>
      </c>
    </row>
    <row r="2943">
      <c r="A2943" s="3" t="inlineStr">
        <is>
          <t>SPECIES_MIENSHAO</t>
        </is>
      </c>
      <c r="B2943" s="3" t="inlineStr">
        <is>
          <t>Mienshao</t>
        </is>
      </c>
      <c r="C2943" s="3" t="n">
        <v>25</v>
      </c>
      <c r="D2943" s="3" t="inlineStr">
        <is>
          <t>Force Palm</t>
        </is>
      </c>
      <c r="E2943" s="3" t="inlineStr">
        <is>
          <t>MOVE_FORCE_PALM</t>
        </is>
      </c>
    </row>
    <row r="2944">
      <c r="A2944" s="3" t="inlineStr">
        <is>
          <t>SPECIES_MIENSHAO</t>
        </is>
      </c>
      <c r="B2944" s="3" t="inlineStr">
        <is>
          <t>Mienshao</t>
        </is>
      </c>
      <c r="C2944" s="3" t="n">
        <v>30</v>
      </c>
      <c r="D2944" s="3" t="inlineStr">
        <is>
          <t>U-turn</t>
        </is>
      </c>
      <c r="E2944" s="3" t="inlineStr">
        <is>
          <t>MOVE_U_TURN</t>
        </is>
      </c>
    </row>
    <row r="2945">
      <c r="A2945" s="3" t="inlineStr">
        <is>
          <t>SPECIES_MIENSHAO</t>
        </is>
      </c>
      <c r="B2945" s="3" t="inlineStr">
        <is>
          <t>Mienshao</t>
        </is>
      </c>
      <c r="C2945" s="3" t="n">
        <v>35</v>
      </c>
      <c r="D2945" s="3" t="inlineStr">
        <is>
          <t>Drain Punch</t>
        </is>
      </c>
      <c r="E2945" s="3" t="inlineStr">
        <is>
          <t>MOVE_DRAIN_PUNCH</t>
        </is>
      </c>
    </row>
    <row r="2946">
      <c r="A2946" s="3" t="inlineStr">
        <is>
          <t>SPECIES_MIENSHAO</t>
        </is>
      </c>
      <c r="B2946" s="3" t="inlineStr">
        <is>
          <t>Mienshao</t>
        </is>
      </c>
      <c r="C2946" s="3" t="n">
        <v>40</v>
      </c>
      <c r="D2946" s="3" t="inlineStr">
        <is>
          <t>Hone Claws</t>
        </is>
      </c>
      <c r="E2946" s="3" t="inlineStr">
        <is>
          <t>MOVE_HONE_CLAWS</t>
        </is>
      </c>
    </row>
    <row r="2947">
      <c r="A2947" s="3" t="inlineStr">
        <is>
          <t>SPECIES_MIENSHAO</t>
        </is>
      </c>
      <c r="B2947" s="3" t="inlineStr">
        <is>
          <t>Mienshao</t>
        </is>
      </c>
      <c r="C2947" s="3" t="n">
        <v>45</v>
      </c>
      <c r="D2947" s="3" t="inlineStr">
        <is>
          <t>Aura Sphere</t>
        </is>
      </c>
      <c r="E2947" s="3" t="inlineStr">
        <is>
          <t>MOVE_AURA_SPHERE</t>
        </is>
      </c>
    </row>
    <row r="2948">
      <c r="A2948" s="3" t="inlineStr">
        <is>
          <t>SPECIES_MIENSHAO</t>
        </is>
      </c>
      <c r="B2948" s="3" t="inlineStr">
        <is>
          <t>Mienshao</t>
        </is>
      </c>
      <c r="C2948" s="3" t="n">
        <v>53</v>
      </c>
      <c r="D2948" s="3" t="inlineStr">
        <is>
          <t>Bounce</t>
        </is>
      </c>
      <c r="E2948" s="3" t="inlineStr">
        <is>
          <t>MOVE_BOUNCE</t>
        </is>
      </c>
    </row>
    <row r="2949">
      <c r="A2949" s="3" t="inlineStr">
        <is>
          <t>SPECIES_MIENSHAO</t>
        </is>
      </c>
      <c r="B2949" s="3" t="inlineStr">
        <is>
          <t>Mienshao</t>
        </is>
      </c>
      <c r="C2949" s="3" t="n">
        <v>59</v>
      </c>
      <c r="D2949" s="3" t="inlineStr">
        <is>
          <t>Calm Mind</t>
        </is>
      </c>
      <c r="E2949" s="3" t="inlineStr">
        <is>
          <t>MOVE_CALM_MIND</t>
        </is>
      </c>
    </row>
    <row r="2950">
      <c r="A2950" s="3" t="inlineStr">
        <is>
          <t>SPECIES_MIENSHAO</t>
        </is>
      </c>
      <c r="B2950" s="3" t="inlineStr">
        <is>
          <t>Mienshao</t>
        </is>
      </c>
      <c r="C2950" s="3" t="n">
        <v>66</v>
      </c>
      <c r="D2950" s="3" t="inlineStr">
        <is>
          <t>High Jump Kick</t>
        </is>
      </c>
      <c r="E2950" s="3" t="inlineStr">
        <is>
          <t>MOVE_HIGH_JUMP_KICK</t>
        </is>
      </c>
    </row>
    <row r="2951">
      <c r="A2951" s="3" t="inlineStr">
        <is>
          <t>SPECIES_GOLETT</t>
        </is>
      </c>
      <c r="B2951" s="3" t="inlineStr">
        <is>
          <t>Golett</t>
        </is>
      </c>
      <c r="C2951" s="3" t="n">
        <v>1</v>
      </c>
      <c r="D2951" s="3" t="inlineStr">
        <is>
          <t>Mud-Slap</t>
        </is>
      </c>
      <c r="E2951" s="3" t="inlineStr">
        <is>
          <t>MOVE_MUD_SLAP</t>
        </is>
      </c>
    </row>
    <row r="2952">
      <c r="A2952" s="3" t="inlineStr">
        <is>
          <t>SPECIES_GOLETT</t>
        </is>
      </c>
      <c r="B2952" s="3" t="inlineStr">
        <is>
          <t>Golett</t>
        </is>
      </c>
      <c r="C2952" s="3" t="n">
        <v>1</v>
      </c>
      <c r="D2952" s="3" t="inlineStr">
        <is>
          <t>Astonish</t>
        </is>
      </c>
      <c r="E2952" s="3" t="inlineStr">
        <is>
          <t>MOVE_ASTONISH</t>
        </is>
      </c>
    </row>
    <row r="2953">
      <c r="A2953" s="3" t="inlineStr">
        <is>
          <t>SPECIES_GOLETT</t>
        </is>
      </c>
      <c r="B2953" s="3" t="inlineStr">
        <is>
          <t>Golett</t>
        </is>
      </c>
      <c r="C2953" s="3" t="n">
        <v>4</v>
      </c>
      <c r="D2953" s="3" t="inlineStr">
        <is>
          <t>Defense Curl</t>
        </is>
      </c>
      <c r="E2953" s="3" t="inlineStr">
        <is>
          <t>MOVE_DEFENSE_CURL</t>
        </is>
      </c>
    </row>
    <row r="2954">
      <c r="A2954" s="3" t="inlineStr">
        <is>
          <t>SPECIES_GOLETT</t>
        </is>
      </c>
      <c r="B2954" s="3" t="inlineStr">
        <is>
          <t>Golett</t>
        </is>
      </c>
      <c r="C2954" s="3" t="n">
        <v>8</v>
      </c>
      <c r="D2954" s="3" t="inlineStr">
        <is>
          <t>Pound</t>
        </is>
      </c>
      <c r="E2954" s="3" t="inlineStr">
        <is>
          <t>MOVE_POUND</t>
        </is>
      </c>
    </row>
    <row r="2955">
      <c r="A2955" s="3" t="inlineStr">
        <is>
          <t>SPECIES_GOLETT</t>
        </is>
      </c>
      <c r="B2955" s="3" t="inlineStr">
        <is>
          <t>Golett</t>
        </is>
      </c>
      <c r="C2955" s="3" t="n">
        <v>12</v>
      </c>
      <c r="D2955" s="3" t="inlineStr">
        <is>
          <t>Shadow Punch</t>
        </is>
      </c>
      <c r="E2955" s="3" t="inlineStr">
        <is>
          <t>MOVE_SHADOW_PUNCH</t>
        </is>
      </c>
    </row>
    <row r="2956">
      <c r="A2956" s="3" t="inlineStr">
        <is>
          <t>SPECIES_GOLETT</t>
        </is>
      </c>
      <c r="B2956" s="3" t="inlineStr">
        <is>
          <t>Golett</t>
        </is>
      </c>
      <c r="C2956" s="3" t="n">
        <v>16</v>
      </c>
      <c r="D2956" s="3" t="inlineStr">
        <is>
          <t>Curse</t>
        </is>
      </c>
      <c r="E2956" s="3" t="inlineStr">
        <is>
          <t>MOVE_CURSE</t>
        </is>
      </c>
    </row>
    <row r="2957">
      <c r="A2957" s="3" t="inlineStr">
        <is>
          <t>SPECIES_GOLETT</t>
        </is>
      </c>
      <c r="B2957" s="3" t="inlineStr">
        <is>
          <t>Golett</t>
        </is>
      </c>
      <c r="C2957" s="3" t="n">
        <v>20</v>
      </c>
      <c r="D2957" s="3" t="inlineStr">
        <is>
          <t>Night Shade</t>
        </is>
      </c>
      <c r="E2957" s="3" t="inlineStr">
        <is>
          <t>MOVE_NIGHT_SHADE</t>
        </is>
      </c>
    </row>
    <row r="2958">
      <c r="A2958" s="3" t="inlineStr">
        <is>
          <t>SPECIES_GOLETT</t>
        </is>
      </c>
      <c r="B2958" s="3" t="inlineStr">
        <is>
          <t>Golett</t>
        </is>
      </c>
      <c r="C2958" s="3" t="n">
        <v>24</v>
      </c>
      <c r="D2958" s="3" t="inlineStr">
        <is>
          <t>Stomping Tantrum</t>
        </is>
      </c>
      <c r="E2958" s="3" t="inlineStr">
        <is>
          <t>MOVE_STOMPING_TANTRUM</t>
        </is>
      </c>
    </row>
    <row r="2959">
      <c r="A2959" s="3" t="inlineStr">
        <is>
          <t>SPECIES_GOLETT</t>
        </is>
      </c>
      <c r="B2959" s="3" t="inlineStr">
        <is>
          <t>Golett</t>
        </is>
      </c>
      <c r="C2959" s="3" t="n">
        <v>28</v>
      </c>
      <c r="D2959" s="3" t="inlineStr">
        <is>
          <t>Iron Defense</t>
        </is>
      </c>
      <c r="E2959" s="3" t="inlineStr">
        <is>
          <t>MOVE_IRON_DEFENSE</t>
        </is>
      </c>
    </row>
    <row r="2960">
      <c r="A2960" s="3" t="inlineStr">
        <is>
          <t>SPECIES_GOLETT</t>
        </is>
      </c>
      <c r="B2960" s="3" t="inlineStr">
        <is>
          <t>Golett</t>
        </is>
      </c>
      <c r="C2960" s="3" t="n">
        <v>32</v>
      </c>
      <c r="D2960" s="3" t="inlineStr">
        <is>
          <t>Mega Punch</t>
        </is>
      </c>
      <c r="E2960" s="3" t="inlineStr">
        <is>
          <t>MOVE_MEGA_PUNCH</t>
        </is>
      </c>
    </row>
    <row r="2961">
      <c r="A2961" s="3" t="inlineStr">
        <is>
          <t>SPECIES_GOLETT</t>
        </is>
      </c>
      <c r="B2961" s="3" t="inlineStr">
        <is>
          <t>Golett</t>
        </is>
      </c>
      <c r="C2961" s="3" t="n">
        <v>36</v>
      </c>
      <c r="D2961" s="3" t="inlineStr">
        <is>
          <t>Shadow Ball</t>
        </is>
      </c>
      <c r="E2961" s="3" t="inlineStr">
        <is>
          <t>MOVE_SHADOW_BALL</t>
        </is>
      </c>
    </row>
    <row r="2962">
      <c r="A2962" s="3" t="inlineStr">
        <is>
          <t>SPECIES_GOLETT</t>
        </is>
      </c>
      <c r="B2962" s="3" t="inlineStr">
        <is>
          <t>Golett</t>
        </is>
      </c>
      <c r="C2962" s="3" t="n">
        <v>40</v>
      </c>
      <c r="D2962" s="3" t="inlineStr">
        <is>
          <t>Heavy Slam</t>
        </is>
      </c>
      <c r="E2962" s="3" t="inlineStr">
        <is>
          <t>MOVE_HEAVY_SLAM</t>
        </is>
      </c>
    </row>
    <row r="2963">
      <c r="A2963" s="3" t="inlineStr">
        <is>
          <t>SPECIES_GOLETT</t>
        </is>
      </c>
      <c r="B2963" s="3" t="inlineStr">
        <is>
          <t>Golett</t>
        </is>
      </c>
      <c r="C2963" s="3" t="n">
        <v>44</v>
      </c>
      <c r="D2963" s="3" t="inlineStr">
        <is>
          <t>Phantom Force</t>
        </is>
      </c>
      <c r="E2963" s="3" t="inlineStr">
        <is>
          <t>MOVE_PHANTOM_FORCE</t>
        </is>
      </c>
    </row>
    <row r="2964">
      <c r="A2964" s="3" t="inlineStr">
        <is>
          <t>SPECIES_GOLETT</t>
        </is>
      </c>
      <c r="B2964" s="3" t="inlineStr">
        <is>
          <t>Golett</t>
        </is>
      </c>
      <c r="C2964" s="3" t="n">
        <v>48</v>
      </c>
      <c r="D2964" s="3" t="inlineStr">
        <is>
          <t>Hammer Arm</t>
        </is>
      </c>
      <c r="E2964" s="3" t="inlineStr">
        <is>
          <t>MOVE_HAMMER_ARM</t>
        </is>
      </c>
    </row>
    <row r="2965">
      <c r="A2965" s="3" t="inlineStr">
        <is>
          <t>SPECIES_GOLETT</t>
        </is>
      </c>
      <c r="B2965" s="3" t="inlineStr">
        <is>
          <t>Golett</t>
        </is>
      </c>
      <c r="C2965" s="3" t="n">
        <v>52</v>
      </c>
      <c r="D2965" s="3" t="inlineStr">
        <is>
          <t>Earthquake</t>
        </is>
      </c>
      <c r="E2965" s="3" t="inlineStr">
        <is>
          <t>MOVE_EARTHQUAKE</t>
        </is>
      </c>
    </row>
    <row r="2966">
      <c r="A2966" s="3" t="inlineStr">
        <is>
          <t>SPECIES_GOLETT</t>
        </is>
      </c>
      <c r="B2966" s="3" t="inlineStr">
        <is>
          <t>Golett</t>
        </is>
      </c>
      <c r="C2966" s="3" t="n">
        <v>56</v>
      </c>
      <c r="D2966" s="3" t="inlineStr">
        <is>
          <t>Dynamic Punch</t>
        </is>
      </c>
      <c r="E2966" s="3" t="inlineStr">
        <is>
          <t>MOVE_DYNAMIC_PUNCH</t>
        </is>
      </c>
    </row>
    <row r="2967">
      <c r="A2967" s="3" t="inlineStr">
        <is>
          <t>SPECIES_GOLURK</t>
        </is>
      </c>
      <c r="B2967" s="3" t="inlineStr">
        <is>
          <t>Golurk</t>
        </is>
      </c>
      <c r="C2967" s="3" t="n">
        <v>1</v>
      </c>
      <c r="D2967" s="3" t="inlineStr">
        <is>
          <t>Mud-Slap</t>
        </is>
      </c>
      <c r="E2967" s="3" t="inlineStr">
        <is>
          <t>MOVE_MUD_SLAP</t>
        </is>
      </c>
    </row>
    <row r="2968">
      <c r="A2968" s="3" t="inlineStr">
        <is>
          <t>SPECIES_GOLURK</t>
        </is>
      </c>
      <c r="B2968" s="3" t="inlineStr">
        <is>
          <t>Golurk</t>
        </is>
      </c>
      <c r="C2968" s="3" t="n">
        <v>1</v>
      </c>
      <c r="D2968" s="3" t="inlineStr">
        <is>
          <t>Focus Punch</t>
        </is>
      </c>
      <c r="E2968" s="3" t="inlineStr">
        <is>
          <t>MOVE_FOCUS_PUNCH</t>
        </is>
      </c>
    </row>
    <row r="2969">
      <c r="A2969" s="3" t="inlineStr">
        <is>
          <t>SPECIES_GOLURK</t>
        </is>
      </c>
      <c r="B2969" s="3" t="inlineStr">
        <is>
          <t>Golurk</t>
        </is>
      </c>
      <c r="C2969" s="3" t="n">
        <v>1</v>
      </c>
      <c r="D2969" s="3" t="inlineStr">
        <is>
          <t>Pound</t>
        </is>
      </c>
      <c r="E2969" s="3" t="inlineStr">
        <is>
          <t>MOVE_POUND</t>
        </is>
      </c>
    </row>
    <row r="2970">
      <c r="A2970" s="3" t="inlineStr">
        <is>
          <t>SPECIES_GOLURK</t>
        </is>
      </c>
      <c r="B2970" s="3" t="inlineStr">
        <is>
          <t>Golurk</t>
        </is>
      </c>
      <c r="C2970" s="3" t="n">
        <v>1</v>
      </c>
      <c r="D2970" s="3" t="inlineStr">
        <is>
          <t>Defense Curl</t>
        </is>
      </c>
      <c r="E2970" s="3" t="inlineStr">
        <is>
          <t>MOVE_DEFENSE_CURL</t>
        </is>
      </c>
    </row>
    <row r="2971">
      <c r="A2971" s="3" t="inlineStr">
        <is>
          <t>SPECIES_GOLURK</t>
        </is>
      </c>
      <c r="B2971" s="3" t="inlineStr">
        <is>
          <t>Golurk</t>
        </is>
      </c>
      <c r="C2971" s="3" t="n">
        <v>1</v>
      </c>
      <c r="D2971" s="3" t="inlineStr">
        <is>
          <t>Astonish</t>
        </is>
      </c>
      <c r="E2971" s="3" t="inlineStr">
        <is>
          <t>MOVE_ASTONISH</t>
        </is>
      </c>
    </row>
    <row r="2972">
      <c r="A2972" s="3" t="inlineStr">
        <is>
          <t>SPECIES_GOLURK</t>
        </is>
      </c>
      <c r="B2972" s="3" t="inlineStr">
        <is>
          <t>Golurk</t>
        </is>
      </c>
      <c r="C2972" s="3" t="n">
        <v>1</v>
      </c>
      <c r="D2972" s="3" t="inlineStr">
        <is>
          <t>High Horsepower</t>
        </is>
      </c>
      <c r="E2972" s="3" t="inlineStr">
        <is>
          <t>MOVE_HIGH_HORSEPOWER</t>
        </is>
      </c>
    </row>
    <row r="2973">
      <c r="A2973" s="3" t="inlineStr">
        <is>
          <t>SPECIES_GOLURK</t>
        </is>
      </c>
      <c r="B2973" s="3" t="inlineStr">
        <is>
          <t>Golurk</t>
        </is>
      </c>
      <c r="C2973" s="3" t="n">
        <v>12</v>
      </c>
      <c r="D2973" s="3" t="inlineStr">
        <is>
          <t>Shadow Punch</t>
        </is>
      </c>
      <c r="E2973" s="3" t="inlineStr">
        <is>
          <t>MOVE_SHADOW_PUNCH</t>
        </is>
      </c>
    </row>
    <row r="2974">
      <c r="A2974" s="3" t="inlineStr">
        <is>
          <t>SPECIES_GOLURK</t>
        </is>
      </c>
      <c r="B2974" s="3" t="inlineStr">
        <is>
          <t>Golurk</t>
        </is>
      </c>
      <c r="C2974" s="3" t="n">
        <v>16</v>
      </c>
      <c r="D2974" s="3" t="inlineStr">
        <is>
          <t>Curse</t>
        </is>
      </c>
      <c r="E2974" s="3" t="inlineStr">
        <is>
          <t>MOVE_CURSE</t>
        </is>
      </c>
    </row>
    <row r="2975">
      <c r="A2975" s="3" t="inlineStr">
        <is>
          <t>SPECIES_GOLURK</t>
        </is>
      </c>
      <c r="B2975" s="3" t="inlineStr">
        <is>
          <t>Golurk</t>
        </is>
      </c>
      <c r="C2975" s="3" t="n">
        <v>20</v>
      </c>
      <c r="D2975" s="3" t="inlineStr">
        <is>
          <t>Night Shade</t>
        </is>
      </c>
      <c r="E2975" s="3" t="inlineStr">
        <is>
          <t>MOVE_NIGHT_SHADE</t>
        </is>
      </c>
    </row>
    <row r="2976">
      <c r="A2976" s="3" t="inlineStr">
        <is>
          <t>SPECIES_GOLURK</t>
        </is>
      </c>
      <c r="B2976" s="3" t="inlineStr">
        <is>
          <t>Golurk</t>
        </is>
      </c>
      <c r="C2976" s="3" t="n">
        <v>24</v>
      </c>
      <c r="D2976" s="3" t="inlineStr">
        <is>
          <t>Stomping Tantrum</t>
        </is>
      </c>
      <c r="E2976" s="3" t="inlineStr">
        <is>
          <t>MOVE_STOMPING_TANTRUM</t>
        </is>
      </c>
    </row>
    <row r="2977">
      <c r="A2977" s="3" t="inlineStr">
        <is>
          <t>SPECIES_GOLURK</t>
        </is>
      </c>
      <c r="B2977" s="3" t="inlineStr">
        <is>
          <t>Golurk</t>
        </is>
      </c>
      <c r="C2977" s="3" t="n">
        <v>28</v>
      </c>
      <c r="D2977" s="3" t="inlineStr">
        <is>
          <t>Iron Defense</t>
        </is>
      </c>
      <c r="E2977" s="3" t="inlineStr">
        <is>
          <t>MOVE_IRON_DEFENSE</t>
        </is>
      </c>
    </row>
    <row r="2978">
      <c r="A2978" s="3" t="inlineStr">
        <is>
          <t>SPECIES_GOLURK</t>
        </is>
      </c>
      <c r="B2978" s="3" t="inlineStr">
        <is>
          <t>Golurk</t>
        </is>
      </c>
      <c r="C2978" s="3" t="n">
        <v>32</v>
      </c>
      <c r="D2978" s="3" t="inlineStr">
        <is>
          <t>Mega Punch</t>
        </is>
      </c>
      <c r="E2978" s="3" t="inlineStr">
        <is>
          <t>MOVE_MEGA_PUNCH</t>
        </is>
      </c>
    </row>
    <row r="2979">
      <c r="A2979" s="3" t="inlineStr">
        <is>
          <t>SPECIES_GOLURK</t>
        </is>
      </c>
      <c r="B2979" s="3" t="inlineStr">
        <is>
          <t>Golurk</t>
        </is>
      </c>
      <c r="C2979" s="3" t="n">
        <v>36</v>
      </c>
      <c r="D2979" s="3" t="inlineStr">
        <is>
          <t>Shadow Ball</t>
        </is>
      </c>
      <c r="E2979" s="3" t="inlineStr">
        <is>
          <t>MOVE_SHADOW_BALL</t>
        </is>
      </c>
    </row>
    <row r="2980">
      <c r="A2980" s="3" t="inlineStr">
        <is>
          <t>SPECIES_GOLURK</t>
        </is>
      </c>
      <c r="B2980" s="3" t="inlineStr">
        <is>
          <t>Golurk</t>
        </is>
      </c>
      <c r="C2980" s="3" t="n">
        <v>40</v>
      </c>
      <c r="D2980" s="3" t="inlineStr">
        <is>
          <t>Heavy Slam</t>
        </is>
      </c>
      <c r="E2980" s="3" t="inlineStr">
        <is>
          <t>MOVE_HEAVY_SLAM</t>
        </is>
      </c>
    </row>
    <row r="2981">
      <c r="A2981" s="3" t="inlineStr">
        <is>
          <t>SPECIES_GOLURK</t>
        </is>
      </c>
      <c r="B2981" s="3" t="inlineStr">
        <is>
          <t>Golurk</t>
        </is>
      </c>
      <c r="C2981" s="3" t="n">
        <v>46</v>
      </c>
      <c r="D2981" s="3" t="inlineStr">
        <is>
          <t>Phantom Force</t>
        </is>
      </c>
      <c r="E2981" s="3" t="inlineStr">
        <is>
          <t>MOVE_PHANTOM_FORCE</t>
        </is>
      </c>
    </row>
    <row r="2982">
      <c r="A2982" s="3" t="inlineStr">
        <is>
          <t>SPECIES_GOLURK</t>
        </is>
      </c>
      <c r="B2982" s="3" t="inlineStr">
        <is>
          <t>Golurk</t>
        </is>
      </c>
      <c r="C2982" s="3" t="n">
        <v>52</v>
      </c>
      <c r="D2982" s="3" t="inlineStr">
        <is>
          <t>Hammer Arm</t>
        </is>
      </c>
      <c r="E2982" s="3" t="inlineStr">
        <is>
          <t>MOVE_HAMMER_ARM</t>
        </is>
      </c>
    </row>
    <row r="2983">
      <c r="A2983" s="3" t="inlineStr">
        <is>
          <t>SPECIES_GOLURK</t>
        </is>
      </c>
      <c r="B2983" s="3" t="inlineStr">
        <is>
          <t>Golurk</t>
        </is>
      </c>
      <c r="C2983" s="3" t="n">
        <v>58</v>
      </c>
      <c r="D2983" s="3" t="inlineStr">
        <is>
          <t>Earthquake</t>
        </is>
      </c>
      <c r="E2983" s="3" t="inlineStr">
        <is>
          <t>MOVE_EARTHQUAKE</t>
        </is>
      </c>
    </row>
    <row r="2984">
      <c r="A2984" s="3" t="inlineStr">
        <is>
          <t>SPECIES_GOLURK</t>
        </is>
      </c>
      <c r="B2984" s="3" t="inlineStr">
        <is>
          <t>Golurk</t>
        </is>
      </c>
      <c r="C2984" s="3" t="n">
        <v>64</v>
      </c>
      <c r="D2984" s="3" t="inlineStr">
        <is>
          <t>Dynamic Punch</t>
        </is>
      </c>
      <c r="E2984" s="3" t="inlineStr">
        <is>
          <t>MOVE_DYNAMIC_PUNCH</t>
        </is>
      </c>
    </row>
    <row r="2985">
      <c r="A2985" s="3" t="inlineStr">
        <is>
          <t>SPECIES_PAWNIARD</t>
        </is>
      </c>
      <c r="B2985" s="3" t="inlineStr">
        <is>
          <t>Pawniard</t>
        </is>
      </c>
      <c r="C2985" s="3" t="n">
        <v>1</v>
      </c>
      <c r="D2985" s="3" t="inlineStr">
        <is>
          <t>Scratch</t>
        </is>
      </c>
      <c r="E2985" s="3" t="inlineStr">
        <is>
          <t>MOVE_SCRATCH</t>
        </is>
      </c>
    </row>
    <row r="2986">
      <c r="A2986" s="3" t="inlineStr">
        <is>
          <t>SPECIES_PAWNIARD</t>
        </is>
      </c>
      <c r="B2986" s="3" t="inlineStr">
        <is>
          <t>Pawniard</t>
        </is>
      </c>
      <c r="C2986" s="3" t="n">
        <v>1</v>
      </c>
      <c r="D2986" s="3" t="inlineStr">
        <is>
          <t>Leer</t>
        </is>
      </c>
      <c r="E2986" s="3" t="inlineStr">
        <is>
          <t>MOVE_LEER</t>
        </is>
      </c>
    </row>
    <row r="2987">
      <c r="A2987" s="3" t="inlineStr">
        <is>
          <t>SPECIES_PAWNIARD</t>
        </is>
      </c>
      <c r="B2987" s="3" t="inlineStr">
        <is>
          <t>Pawniard</t>
        </is>
      </c>
      <c r="C2987" s="3" t="n">
        <v>5</v>
      </c>
      <c r="D2987" s="3" t="inlineStr">
        <is>
          <t>Fury Cutter</t>
        </is>
      </c>
      <c r="E2987" s="3" t="inlineStr">
        <is>
          <t>MOVE_FURY_CUTTER</t>
        </is>
      </c>
    </row>
    <row r="2988">
      <c r="A2988" s="3" t="inlineStr">
        <is>
          <t>SPECIES_PAWNIARD</t>
        </is>
      </c>
      <c r="B2988" s="3" t="inlineStr">
        <is>
          <t>Pawniard</t>
        </is>
      </c>
      <c r="C2988" s="3" t="n">
        <v>10</v>
      </c>
      <c r="D2988" s="3" t="inlineStr">
        <is>
          <t>Metal Claw</t>
        </is>
      </c>
      <c r="E2988" s="3" t="inlineStr">
        <is>
          <t>MOVE_METAL_CLAW</t>
        </is>
      </c>
    </row>
    <row r="2989">
      <c r="A2989" s="3" t="inlineStr">
        <is>
          <t>SPECIES_PAWNIARD</t>
        </is>
      </c>
      <c r="B2989" s="3" t="inlineStr">
        <is>
          <t>Pawniard</t>
        </is>
      </c>
      <c r="C2989" s="3" t="n">
        <v>15</v>
      </c>
      <c r="D2989" s="3" t="inlineStr">
        <is>
          <t>Torment</t>
        </is>
      </c>
      <c r="E2989" s="3" t="inlineStr">
        <is>
          <t>MOVE_TORMENT</t>
        </is>
      </c>
    </row>
    <row r="2990">
      <c r="A2990" s="3" t="inlineStr">
        <is>
          <t>SPECIES_PAWNIARD</t>
        </is>
      </c>
      <c r="B2990" s="3" t="inlineStr">
        <is>
          <t>Pawniard</t>
        </is>
      </c>
      <c r="C2990" s="3" t="n">
        <v>20</v>
      </c>
      <c r="D2990" s="3" t="inlineStr">
        <is>
          <t>Scary Face</t>
        </is>
      </c>
      <c r="E2990" s="3" t="inlineStr">
        <is>
          <t>MOVE_SCARY_FACE</t>
        </is>
      </c>
    </row>
    <row r="2991">
      <c r="A2991" s="3" t="inlineStr">
        <is>
          <t>SPECIES_PAWNIARD</t>
        </is>
      </c>
      <c r="B2991" s="3" t="inlineStr">
        <is>
          <t>Pawniard</t>
        </is>
      </c>
      <c r="C2991" s="3" t="n">
        <v>25</v>
      </c>
      <c r="D2991" s="3" t="inlineStr">
        <is>
          <t>Assurance</t>
        </is>
      </c>
      <c r="E2991" s="3" t="inlineStr">
        <is>
          <t>MOVE_ASSURANCE</t>
        </is>
      </c>
    </row>
    <row r="2992">
      <c r="A2992" s="3" t="inlineStr">
        <is>
          <t>SPECIES_PAWNIARD</t>
        </is>
      </c>
      <c r="B2992" s="3" t="inlineStr">
        <is>
          <t>Pawniard</t>
        </is>
      </c>
      <c r="C2992" s="3" t="n">
        <v>30</v>
      </c>
      <c r="D2992" s="3" t="inlineStr">
        <is>
          <t>Metal Sound</t>
        </is>
      </c>
      <c r="E2992" s="3" t="inlineStr">
        <is>
          <t>MOVE_METAL_SOUND</t>
        </is>
      </c>
    </row>
    <row r="2993">
      <c r="A2993" s="3" t="inlineStr">
        <is>
          <t>SPECIES_PAWNIARD</t>
        </is>
      </c>
      <c r="B2993" s="3" t="inlineStr">
        <is>
          <t>Pawniard</t>
        </is>
      </c>
      <c r="C2993" s="3" t="n">
        <v>35</v>
      </c>
      <c r="D2993" s="3" t="inlineStr">
        <is>
          <t>Slash</t>
        </is>
      </c>
      <c r="E2993" s="3" t="inlineStr">
        <is>
          <t>MOVE_SLASH</t>
        </is>
      </c>
    </row>
    <row r="2994">
      <c r="A2994" s="3" t="inlineStr">
        <is>
          <t>SPECIES_PAWNIARD</t>
        </is>
      </c>
      <c r="B2994" s="3" t="inlineStr">
        <is>
          <t>Pawniard</t>
        </is>
      </c>
      <c r="C2994" s="3" t="n">
        <v>40</v>
      </c>
      <c r="D2994" s="3" t="inlineStr">
        <is>
          <t>Night Slash</t>
        </is>
      </c>
      <c r="E2994" s="3" t="inlineStr">
        <is>
          <t>MOVE_NIGHT_SLASH</t>
        </is>
      </c>
    </row>
    <row r="2995">
      <c r="A2995" s="3" t="inlineStr">
        <is>
          <t>SPECIES_PAWNIARD</t>
        </is>
      </c>
      <c r="B2995" s="3" t="inlineStr">
        <is>
          <t>Pawniard</t>
        </is>
      </c>
      <c r="C2995" s="3" t="n">
        <v>45</v>
      </c>
      <c r="D2995" s="3" t="inlineStr">
        <is>
          <t>Iron Defense</t>
        </is>
      </c>
      <c r="E2995" s="3" t="inlineStr">
        <is>
          <t>MOVE_IRON_DEFENSE</t>
        </is>
      </c>
    </row>
    <row r="2996">
      <c r="A2996" s="3" t="inlineStr">
        <is>
          <t>SPECIES_PAWNIARD</t>
        </is>
      </c>
      <c r="B2996" s="3" t="inlineStr">
        <is>
          <t>Pawniard</t>
        </is>
      </c>
      <c r="C2996" s="3" t="n">
        <v>50</v>
      </c>
      <c r="D2996" s="3" t="inlineStr">
        <is>
          <t>Retaliate</t>
        </is>
      </c>
      <c r="E2996" s="3" t="inlineStr">
        <is>
          <t>MOVE_RETALIATE</t>
        </is>
      </c>
    </row>
    <row r="2997">
      <c r="A2997" s="3" t="inlineStr">
        <is>
          <t>SPECIES_PAWNIARD</t>
        </is>
      </c>
      <c r="B2997" s="3" t="inlineStr">
        <is>
          <t>Pawniard</t>
        </is>
      </c>
      <c r="C2997" s="3" t="n">
        <v>55</v>
      </c>
      <c r="D2997" s="3" t="inlineStr">
        <is>
          <t>Iron Head</t>
        </is>
      </c>
      <c r="E2997" s="3" t="inlineStr">
        <is>
          <t>MOVE_IRON_HEAD</t>
        </is>
      </c>
    </row>
    <row r="2998">
      <c r="A2998" s="3" t="inlineStr">
        <is>
          <t>SPECIES_PAWNIARD</t>
        </is>
      </c>
      <c r="B2998" s="3" t="inlineStr">
        <is>
          <t>Pawniard</t>
        </is>
      </c>
      <c r="C2998" s="3" t="n">
        <v>60</v>
      </c>
      <c r="D2998" s="3" t="inlineStr">
        <is>
          <t>Swords Dance</t>
        </is>
      </c>
      <c r="E2998" s="3" t="inlineStr">
        <is>
          <t>MOVE_SWORDS_DANCE</t>
        </is>
      </c>
    </row>
    <row r="2999">
      <c r="A2999" s="3" t="inlineStr">
        <is>
          <t>SPECIES_PAWNIARD</t>
        </is>
      </c>
      <c r="B2999" s="3" t="inlineStr">
        <is>
          <t>Pawniard</t>
        </is>
      </c>
      <c r="C2999" s="3" t="n">
        <v>65</v>
      </c>
      <c r="D2999" s="3" t="inlineStr">
        <is>
          <t>Guillotine</t>
        </is>
      </c>
      <c r="E2999" s="3" t="inlineStr">
        <is>
          <t>MOVE_GUILLOTINE</t>
        </is>
      </c>
    </row>
    <row r="3000">
      <c r="A3000" s="3" t="inlineStr">
        <is>
          <t>SPECIES_BISHARP</t>
        </is>
      </c>
      <c r="B3000" s="3" t="inlineStr">
        <is>
          <t>Bisharp</t>
        </is>
      </c>
      <c r="C3000" s="3" t="n">
        <v>1</v>
      </c>
      <c r="D3000" s="3" t="inlineStr">
        <is>
          <t>Scratch</t>
        </is>
      </c>
      <c r="E3000" s="3" t="inlineStr">
        <is>
          <t>MOVE_SCRATCH</t>
        </is>
      </c>
    </row>
    <row r="3001">
      <c r="A3001" s="3" t="inlineStr">
        <is>
          <t>SPECIES_BISHARP</t>
        </is>
      </c>
      <c r="B3001" s="3" t="inlineStr">
        <is>
          <t>Bisharp</t>
        </is>
      </c>
      <c r="C3001" s="3" t="n">
        <v>1</v>
      </c>
      <c r="D3001" s="3" t="inlineStr">
        <is>
          <t>Leer</t>
        </is>
      </c>
      <c r="E3001" s="3" t="inlineStr">
        <is>
          <t>MOVE_LEER</t>
        </is>
      </c>
    </row>
    <row r="3002">
      <c r="A3002" s="3" t="inlineStr">
        <is>
          <t>SPECIES_BISHARP</t>
        </is>
      </c>
      <c r="B3002" s="3" t="inlineStr">
        <is>
          <t>Bisharp</t>
        </is>
      </c>
      <c r="C3002" s="3" t="n">
        <v>1</v>
      </c>
      <c r="D3002" s="3" t="inlineStr">
        <is>
          <t>Fury Cutter</t>
        </is>
      </c>
      <c r="E3002" s="3" t="inlineStr">
        <is>
          <t>MOVE_FURY_CUTTER</t>
        </is>
      </c>
    </row>
    <row r="3003">
      <c r="A3003" s="3" t="inlineStr">
        <is>
          <t>SPECIES_BISHARP</t>
        </is>
      </c>
      <c r="B3003" s="3" t="inlineStr">
        <is>
          <t>Bisharp</t>
        </is>
      </c>
      <c r="C3003" s="3" t="n">
        <v>1</v>
      </c>
      <c r="D3003" s="3" t="inlineStr">
        <is>
          <t>Metal Claw</t>
        </is>
      </c>
      <c r="E3003" s="3" t="inlineStr">
        <is>
          <t>MOVE_METAL_CLAW</t>
        </is>
      </c>
    </row>
    <row r="3004">
      <c r="A3004" s="3" t="inlineStr">
        <is>
          <t>SPECIES_BISHARP</t>
        </is>
      </c>
      <c r="B3004" s="3" t="inlineStr">
        <is>
          <t>Bisharp</t>
        </is>
      </c>
      <c r="C3004" s="3" t="n">
        <v>1</v>
      </c>
      <c r="D3004" s="3" t="inlineStr">
        <is>
          <t>Metal Burst</t>
        </is>
      </c>
      <c r="E3004" s="3" t="inlineStr">
        <is>
          <t>MOVE_METAL_BURST</t>
        </is>
      </c>
    </row>
    <row r="3005">
      <c r="A3005" s="3" t="inlineStr">
        <is>
          <t>SPECIES_BISHARP</t>
        </is>
      </c>
      <c r="B3005" s="3" t="inlineStr">
        <is>
          <t>Bisharp</t>
        </is>
      </c>
      <c r="C3005" s="3" t="n">
        <v>15</v>
      </c>
      <c r="D3005" s="3" t="inlineStr">
        <is>
          <t>Torment</t>
        </is>
      </c>
      <c r="E3005" s="3" t="inlineStr">
        <is>
          <t>MOVE_TORMENT</t>
        </is>
      </c>
    </row>
    <row r="3006">
      <c r="A3006" s="3" t="inlineStr">
        <is>
          <t>SPECIES_BISHARP</t>
        </is>
      </c>
      <c r="B3006" s="3" t="inlineStr">
        <is>
          <t>Bisharp</t>
        </is>
      </c>
      <c r="C3006" s="3" t="n">
        <v>20</v>
      </c>
      <c r="D3006" s="3" t="inlineStr">
        <is>
          <t>Scary Face</t>
        </is>
      </c>
      <c r="E3006" s="3" t="inlineStr">
        <is>
          <t>MOVE_SCARY_FACE</t>
        </is>
      </c>
    </row>
    <row r="3007">
      <c r="A3007" s="3" t="inlineStr">
        <is>
          <t>SPECIES_BISHARP</t>
        </is>
      </c>
      <c r="B3007" s="3" t="inlineStr">
        <is>
          <t>Bisharp</t>
        </is>
      </c>
      <c r="C3007" s="3" t="n">
        <v>25</v>
      </c>
      <c r="D3007" s="3" t="inlineStr">
        <is>
          <t>Assurance</t>
        </is>
      </c>
      <c r="E3007" s="3" t="inlineStr">
        <is>
          <t>MOVE_ASSURANCE</t>
        </is>
      </c>
    </row>
    <row r="3008">
      <c r="A3008" s="3" t="inlineStr">
        <is>
          <t>SPECIES_BISHARP</t>
        </is>
      </c>
      <c r="B3008" s="3" t="inlineStr">
        <is>
          <t>Bisharp</t>
        </is>
      </c>
      <c r="C3008" s="3" t="n">
        <v>30</v>
      </c>
      <c r="D3008" s="3" t="inlineStr">
        <is>
          <t>Metal Sound</t>
        </is>
      </c>
      <c r="E3008" s="3" t="inlineStr">
        <is>
          <t>MOVE_METAL_SOUND</t>
        </is>
      </c>
    </row>
    <row r="3009">
      <c r="A3009" s="3" t="inlineStr">
        <is>
          <t>SPECIES_BISHARP</t>
        </is>
      </c>
      <c r="B3009" s="3" t="inlineStr">
        <is>
          <t>Bisharp</t>
        </is>
      </c>
      <c r="C3009" s="3" t="n">
        <v>35</v>
      </c>
      <c r="D3009" s="3" t="inlineStr">
        <is>
          <t>Slash</t>
        </is>
      </c>
      <c r="E3009" s="3" t="inlineStr">
        <is>
          <t>MOVE_SLASH</t>
        </is>
      </c>
    </row>
    <row r="3010">
      <c r="A3010" s="3" t="inlineStr">
        <is>
          <t>SPECIES_BISHARP</t>
        </is>
      </c>
      <c r="B3010" s="3" t="inlineStr">
        <is>
          <t>Bisharp</t>
        </is>
      </c>
      <c r="C3010" s="3" t="n">
        <v>40</v>
      </c>
      <c r="D3010" s="3" t="inlineStr">
        <is>
          <t>Night Slash</t>
        </is>
      </c>
      <c r="E3010" s="3" t="inlineStr">
        <is>
          <t>MOVE_NIGHT_SLASH</t>
        </is>
      </c>
    </row>
    <row r="3011">
      <c r="A3011" s="3" t="inlineStr">
        <is>
          <t>SPECIES_BISHARP</t>
        </is>
      </c>
      <c r="B3011" s="3" t="inlineStr">
        <is>
          <t>Bisharp</t>
        </is>
      </c>
      <c r="C3011" s="3" t="n">
        <v>45</v>
      </c>
      <c r="D3011" s="3" t="inlineStr">
        <is>
          <t>Iron Defense</t>
        </is>
      </c>
      <c r="E3011" s="3" t="inlineStr">
        <is>
          <t>MOVE_IRON_DEFENSE</t>
        </is>
      </c>
    </row>
    <row r="3012">
      <c r="A3012" s="3" t="inlineStr">
        <is>
          <t>SPECIES_BISHARP</t>
        </is>
      </c>
      <c r="B3012" s="3" t="inlineStr">
        <is>
          <t>Bisharp</t>
        </is>
      </c>
      <c r="C3012" s="3" t="n">
        <v>50</v>
      </c>
      <c r="D3012" s="3" t="inlineStr">
        <is>
          <t>Retaliate</t>
        </is>
      </c>
      <c r="E3012" s="3" t="inlineStr">
        <is>
          <t>MOVE_RETALIATE</t>
        </is>
      </c>
    </row>
    <row r="3013">
      <c r="A3013" s="3" t="inlineStr">
        <is>
          <t>SPECIES_BISHARP</t>
        </is>
      </c>
      <c r="B3013" s="3" t="inlineStr">
        <is>
          <t>Bisharp</t>
        </is>
      </c>
      <c r="C3013" s="3" t="n">
        <v>57</v>
      </c>
      <c r="D3013" s="3" t="inlineStr">
        <is>
          <t>Iron Head</t>
        </is>
      </c>
      <c r="E3013" s="3" t="inlineStr">
        <is>
          <t>MOVE_IRON_HEAD</t>
        </is>
      </c>
    </row>
    <row r="3014">
      <c r="A3014" s="3" t="inlineStr">
        <is>
          <t>SPECIES_BISHARP</t>
        </is>
      </c>
      <c r="B3014" s="3" t="inlineStr">
        <is>
          <t>Bisharp</t>
        </is>
      </c>
      <c r="C3014" s="3" t="n">
        <v>64</v>
      </c>
      <c r="D3014" s="3" t="inlineStr">
        <is>
          <t>Swords Dance</t>
        </is>
      </c>
      <c r="E3014" s="3" t="inlineStr">
        <is>
          <t>MOVE_SWORDS_DANCE</t>
        </is>
      </c>
    </row>
    <row r="3015">
      <c r="A3015" s="3" t="inlineStr">
        <is>
          <t>SPECIES_BISHARP</t>
        </is>
      </c>
      <c r="B3015" s="3" t="inlineStr">
        <is>
          <t>Bisharp</t>
        </is>
      </c>
      <c r="C3015" s="3" t="n">
        <v>71</v>
      </c>
      <c r="D3015" s="3" t="inlineStr">
        <is>
          <t>Guillotine</t>
        </is>
      </c>
      <c r="E3015" s="3" t="inlineStr">
        <is>
          <t>MOVE_GUILLOTINE</t>
        </is>
      </c>
    </row>
    <row r="3016">
      <c r="A3016" s="3" t="inlineStr">
        <is>
          <t>SPECIES_KINGAMBIT</t>
        </is>
      </c>
      <c r="B3016" s="3" t="inlineStr">
        <is>
          <t>Kingambit</t>
        </is>
      </c>
      <c r="C3016" s="3" t="n">
        <v>0</v>
      </c>
      <c r="D3016" s="3" t="inlineStr">
        <is>
          <t>Kowtow Cleave</t>
        </is>
      </c>
      <c r="E3016" s="3" t="inlineStr">
        <is>
          <t>MOVE_KOWTOW_CLEAVE</t>
        </is>
      </c>
    </row>
    <row r="3017">
      <c r="A3017" s="3" t="inlineStr">
        <is>
          <t>SPECIES_KINGAMBIT</t>
        </is>
      </c>
      <c r="B3017" s="3" t="inlineStr">
        <is>
          <t>Kingambit</t>
        </is>
      </c>
      <c r="C3017" s="3" t="n">
        <v>1</v>
      </c>
      <c r="D3017" s="3" t="inlineStr">
        <is>
          <t>Metal Burst</t>
        </is>
      </c>
      <c r="E3017" s="3" t="inlineStr">
        <is>
          <t>MOVE_METAL_BURST</t>
        </is>
      </c>
    </row>
    <row r="3018">
      <c r="A3018" s="3" t="inlineStr">
        <is>
          <t>SPECIES_KINGAMBIT</t>
        </is>
      </c>
      <c r="B3018" s="3" t="inlineStr">
        <is>
          <t>Kingambit</t>
        </is>
      </c>
      <c r="C3018" s="3" t="n">
        <v>1</v>
      </c>
      <c r="D3018" s="3" t="inlineStr">
        <is>
          <t>Metal Claw</t>
        </is>
      </c>
      <c r="E3018" s="3" t="inlineStr">
        <is>
          <t>MOVE_METAL_CLAW</t>
        </is>
      </c>
    </row>
    <row r="3019">
      <c r="A3019" s="3" t="inlineStr">
        <is>
          <t>SPECIES_KINGAMBIT</t>
        </is>
      </c>
      <c r="B3019" s="3" t="inlineStr">
        <is>
          <t>Kingambit</t>
        </is>
      </c>
      <c r="C3019" s="3" t="n">
        <v>1</v>
      </c>
      <c r="D3019" s="3" t="inlineStr">
        <is>
          <t>Fury Cutter</t>
        </is>
      </c>
      <c r="E3019" s="3" t="inlineStr">
        <is>
          <t>MOVE_FURY_CUTTER</t>
        </is>
      </c>
    </row>
    <row r="3020">
      <c r="A3020" s="3" t="inlineStr">
        <is>
          <t>SPECIES_KINGAMBIT</t>
        </is>
      </c>
      <c r="B3020" s="3" t="inlineStr">
        <is>
          <t>Kingambit</t>
        </is>
      </c>
      <c r="C3020" s="3" t="n">
        <v>1</v>
      </c>
      <c r="D3020" s="3" t="inlineStr">
        <is>
          <t>Scratch</t>
        </is>
      </c>
      <c r="E3020" s="3" t="inlineStr">
        <is>
          <t>MOVE_SCRATCH</t>
        </is>
      </c>
    </row>
    <row r="3021">
      <c r="A3021" s="3" t="inlineStr">
        <is>
          <t>SPECIES_KINGAMBIT</t>
        </is>
      </c>
      <c r="B3021" s="3" t="inlineStr">
        <is>
          <t>Kingambit</t>
        </is>
      </c>
      <c r="C3021" s="3" t="n">
        <v>1</v>
      </c>
      <c r="D3021" s="3" t="inlineStr">
        <is>
          <t>Leer</t>
        </is>
      </c>
      <c r="E3021" s="3" t="inlineStr">
        <is>
          <t>MOVE_LEER</t>
        </is>
      </c>
    </row>
    <row r="3022">
      <c r="A3022" s="3" t="inlineStr">
        <is>
          <t>SPECIES_KINGAMBIT</t>
        </is>
      </c>
      <c r="B3022" s="3" t="inlineStr">
        <is>
          <t>Kingambit</t>
        </is>
      </c>
      <c r="C3022" s="3" t="n">
        <v>15</v>
      </c>
      <c r="D3022" s="3" t="inlineStr">
        <is>
          <t>Torment</t>
        </is>
      </c>
      <c r="E3022" s="3" t="inlineStr">
        <is>
          <t>MOVE_TORMENT</t>
        </is>
      </c>
    </row>
    <row r="3023">
      <c r="A3023" s="3" t="inlineStr">
        <is>
          <t>SPECIES_KINGAMBIT</t>
        </is>
      </c>
      <c r="B3023" s="3" t="inlineStr">
        <is>
          <t>Kingambit</t>
        </is>
      </c>
      <c r="C3023" s="3" t="n">
        <v>20</v>
      </c>
      <c r="D3023" s="3" t="inlineStr">
        <is>
          <t>Scary Face</t>
        </is>
      </c>
      <c r="E3023" s="3" t="inlineStr">
        <is>
          <t>MOVE_SCARY_FACE</t>
        </is>
      </c>
    </row>
    <row r="3024">
      <c r="A3024" s="3" t="inlineStr">
        <is>
          <t>SPECIES_KINGAMBIT</t>
        </is>
      </c>
      <c r="B3024" s="3" t="inlineStr">
        <is>
          <t>Kingambit</t>
        </is>
      </c>
      <c r="C3024" s="3" t="n">
        <v>25</v>
      </c>
      <c r="D3024" s="3" t="inlineStr">
        <is>
          <t>Assurance</t>
        </is>
      </c>
      <c r="E3024" s="3" t="inlineStr">
        <is>
          <t>MOVE_ASSURANCE</t>
        </is>
      </c>
    </row>
    <row r="3025">
      <c r="A3025" s="3" t="inlineStr">
        <is>
          <t>SPECIES_KINGAMBIT</t>
        </is>
      </c>
      <c r="B3025" s="3" t="inlineStr">
        <is>
          <t>Kingambit</t>
        </is>
      </c>
      <c r="C3025" s="3" t="n">
        <v>30</v>
      </c>
      <c r="D3025" s="3" t="inlineStr">
        <is>
          <t>Metal Sound</t>
        </is>
      </c>
      <c r="E3025" s="3" t="inlineStr">
        <is>
          <t>MOVE_METAL_SOUND</t>
        </is>
      </c>
    </row>
    <row r="3026">
      <c r="A3026" s="3" t="inlineStr">
        <is>
          <t>SPECIES_KINGAMBIT</t>
        </is>
      </c>
      <c r="B3026" s="3" t="inlineStr">
        <is>
          <t>Kingambit</t>
        </is>
      </c>
      <c r="C3026" s="3" t="n">
        <v>35</v>
      </c>
      <c r="D3026" s="3" t="inlineStr">
        <is>
          <t>Slash</t>
        </is>
      </c>
      <c r="E3026" s="3" t="inlineStr">
        <is>
          <t>MOVE_SLASH</t>
        </is>
      </c>
    </row>
    <row r="3027">
      <c r="A3027" s="3" t="inlineStr">
        <is>
          <t>SPECIES_KINGAMBIT</t>
        </is>
      </c>
      <c r="B3027" s="3" t="inlineStr">
        <is>
          <t>Kingambit</t>
        </is>
      </c>
      <c r="C3027" s="3" t="n">
        <v>40</v>
      </c>
      <c r="D3027" s="3" t="inlineStr">
        <is>
          <t>Night Slash</t>
        </is>
      </c>
      <c r="E3027" s="3" t="inlineStr">
        <is>
          <t>MOVE_NIGHT_SLASH</t>
        </is>
      </c>
    </row>
    <row r="3028">
      <c r="A3028" s="3" t="inlineStr">
        <is>
          <t>SPECIES_KINGAMBIT</t>
        </is>
      </c>
      <c r="B3028" s="3" t="inlineStr">
        <is>
          <t>Kingambit</t>
        </is>
      </c>
      <c r="C3028" s="3" t="n">
        <v>45</v>
      </c>
      <c r="D3028" s="3" t="inlineStr">
        <is>
          <t>Iron Defense</t>
        </is>
      </c>
      <c r="E3028" s="3" t="inlineStr">
        <is>
          <t>MOVE_IRON_DEFENSE</t>
        </is>
      </c>
    </row>
    <row r="3029">
      <c r="A3029" s="3" t="inlineStr">
        <is>
          <t>SPECIES_KINGAMBIT</t>
        </is>
      </c>
      <c r="B3029" s="3" t="inlineStr">
        <is>
          <t>Kingambit</t>
        </is>
      </c>
      <c r="C3029" s="3" t="n">
        <v>50</v>
      </c>
      <c r="D3029" s="3" t="inlineStr">
        <is>
          <t>Retaliate</t>
        </is>
      </c>
      <c r="E3029" s="3" t="inlineStr">
        <is>
          <t>MOVE_RETALIATE</t>
        </is>
      </c>
    </row>
    <row r="3030">
      <c r="A3030" s="3" t="inlineStr">
        <is>
          <t>SPECIES_KINGAMBIT</t>
        </is>
      </c>
      <c r="B3030" s="3" t="inlineStr">
        <is>
          <t>Kingambit</t>
        </is>
      </c>
      <c r="C3030" s="3" t="n">
        <v>57</v>
      </c>
      <c r="D3030" s="3" t="inlineStr">
        <is>
          <t>Iron Head</t>
        </is>
      </c>
      <c r="E3030" s="3" t="inlineStr">
        <is>
          <t>MOVE_IRON_HEAD</t>
        </is>
      </c>
    </row>
    <row r="3031">
      <c r="A3031" s="3" t="inlineStr">
        <is>
          <t>SPECIES_KINGAMBIT</t>
        </is>
      </c>
      <c r="B3031" s="3" t="inlineStr">
        <is>
          <t>Kingambit</t>
        </is>
      </c>
      <c r="C3031" s="3" t="n">
        <v>64</v>
      </c>
      <c r="D3031" s="3" t="inlineStr">
        <is>
          <t>Swords Dance</t>
        </is>
      </c>
      <c r="E3031" s="3" t="inlineStr">
        <is>
          <t>MOVE_SWORDS_DANCE</t>
        </is>
      </c>
    </row>
    <row r="3032">
      <c r="A3032" s="3" t="inlineStr">
        <is>
          <t>SPECIES_KINGAMBIT</t>
        </is>
      </c>
      <c r="B3032" s="3" t="inlineStr">
        <is>
          <t>Kingambit</t>
        </is>
      </c>
      <c r="C3032" s="3" t="n">
        <v>71</v>
      </c>
      <c r="D3032" s="3" t="inlineStr">
        <is>
          <t>Guillotine</t>
        </is>
      </c>
      <c r="E3032" s="3" t="inlineStr">
        <is>
          <t>MOVE_GUILLOTINE</t>
        </is>
      </c>
    </row>
    <row r="3033">
      <c r="A3033" s="3" t="inlineStr">
        <is>
          <t>SPECIES_RUFFLET</t>
        </is>
      </c>
      <c r="B3033" s="3" t="inlineStr">
        <is>
          <t>Rufflet</t>
        </is>
      </c>
      <c r="C3033" s="3" t="n">
        <v>1</v>
      </c>
      <c r="D3033" s="3" t="inlineStr">
        <is>
          <t>Leer</t>
        </is>
      </c>
      <c r="E3033" s="3" t="inlineStr">
        <is>
          <t>MOVE_LEER</t>
        </is>
      </c>
    </row>
    <row r="3034">
      <c r="A3034" s="3" t="inlineStr">
        <is>
          <t>SPECIES_RUFFLET</t>
        </is>
      </c>
      <c r="B3034" s="3" t="inlineStr">
        <is>
          <t>Rufflet</t>
        </is>
      </c>
      <c r="C3034" s="3" t="n">
        <v>1</v>
      </c>
      <c r="D3034" s="3" t="inlineStr">
        <is>
          <t>Peck</t>
        </is>
      </c>
      <c r="E3034" s="3" t="inlineStr">
        <is>
          <t>MOVE_PECK</t>
        </is>
      </c>
    </row>
    <row r="3035">
      <c r="A3035" s="3" t="inlineStr">
        <is>
          <t>SPECIES_RUFFLET</t>
        </is>
      </c>
      <c r="B3035" s="3" t="inlineStr">
        <is>
          <t>Rufflet</t>
        </is>
      </c>
      <c r="C3035" s="3" t="n">
        <v>6</v>
      </c>
      <c r="D3035" s="3" t="inlineStr">
        <is>
          <t>Hone Claws</t>
        </is>
      </c>
      <c r="E3035" s="3" t="inlineStr">
        <is>
          <t>MOVE_HONE_CLAWS</t>
        </is>
      </c>
    </row>
    <row r="3036">
      <c r="A3036" s="3" t="inlineStr">
        <is>
          <t>SPECIES_RUFFLET</t>
        </is>
      </c>
      <c r="B3036" s="3" t="inlineStr">
        <is>
          <t>Rufflet</t>
        </is>
      </c>
      <c r="C3036" s="3" t="n">
        <v>12</v>
      </c>
      <c r="D3036" s="3" t="inlineStr">
        <is>
          <t>Wing Attack</t>
        </is>
      </c>
      <c r="E3036" s="3" t="inlineStr">
        <is>
          <t>MOVE_WING_ATTACK</t>
        </is>
      </c>
    </row>
    <row r="3037">
      <c r="A3037" s="3" t="inlineStr">
        <is>
          <t>SPECIES_RUFFLET</t>
        </is>
      </c>
      <c r="B3037" s="3" t="inlineStr">
        <is>
          <t>Rufflet</t>
        </is>
      </c>
      <c r="C3037" s="3" t="n">
        <v>18</v>
      </c>
      <c r="D3037" s="3" t="inlineStr">
        <is>
          <t>Tailwind</t>
        </is>
      </c>
      <c r="E3037" s="3" t="inlineStr">
        <is>
          <t>MOVE_TAILWIND</t>
        </is>
      </c>
    </row>
    <row r="3038">
      <c r="A3038" s="3" t="inlineStr">
        <is>
          <t>SPECIES_RUFFLET</t>
        </is>
      </c>
      <c r="B3038" s="3" t="inlineStr">
        <is>
          <t>Rufflet</t>
        </is>
      </c>
      <c r="C3038" s="3" t="n">
        <v>24</v>
      </c>
      <c r="D3038" s="3" t="inlineStr">
        <is>
          <t>Scary Face</t>
        </is>
      </c>
      <c r="E3038" s="3" t="inlineStr">
        <is>
          <t>MOVE_SCARY_FACE</t>
        </is>
      </c>
    </row>
    <row r="3039">
      <c r="A3039" s="3" t="inlineStr">
        <is>
          <t>SPECIES_RUFFLET</t>
        </is>
      </c>
      <c r="B3039" s="3" t="inlineStr">
        <is>
          <t>Rufflet</t>
        </is>
      </c>
      <c r="C3039" s="3" t="n">
        <v>30</v>
      </c>
      <c r="D3039" s="3" t="inlineStr">
        <is>
          <t>Aerial Ace</t>
        </is>
      </c>
      <c r="E3039" s="3" t="inlineStr">
        <is>
          <t>MOVE_AERIAL_ACE</t>
        </is>
      </c>
    </row>
    <row r="3040">
      <c r="A3040" s="3" t="inlineStr">
        <is>
          <t>SPECIES_RUFFLET</t>
        </is>
      </c>
      <c r="B3040" s="3" t="inlineStr">
        <is>
          <t>Rufflet</t>
        </is>
      </c>
      <c r="C3040" s="3" t="n">
        <v>36</v>
      </c>
      <c r="D3040" s="3" t="inlineStr">
        <is>
          <t>Slash</t>
        </is>
      </c>
      <c r="E3040" s="3" t="inlineStr">
        <is>
          <t>MOVE_SLASH</t>
        </is>
      </c>
    </row>
    <row r="3041">
      <c r="A3041" s="3" t="inlineStr">
        <is>
          <t>SPECIES_RUFFLET</t>
        </is>
      </c>
      <c r="B3041" s="3" t="inlineStr">
        <is>
          <t>Rufflet</t>
        </is>
      </c>
      <c r="C3041" s="3" t="n">
        <v>42</v>
      </c>
      <c r="D3041" s="3" t="inlineStr">
        <is>
          <t>Whirlwind</t>
        </is>
      </c>
      <c r="E3041" s="3" t="inlineStr">
        <is>
          <t>MOVE_WHIRLWIND</t>
        </is>
      </c>
    </row>
    <row r="3042">
      <c r="A3042" s="3" t="inlineStr">
        <is>
          <t>SPECIES_RUFFLET</t>
        </is>
      </c>
      <c r="B3042" s="3" t="inlineStr">
        <is>
          <t>Rufflet</t>
        </is>
      </c>
      <c r="C3042" s="3" t="n">
        <v>48</v>
      </c>
      <c r="D3042" s="3" t="inlineStr">
        <is>
          <t>Crush Claw</t>
        </is>
      </c>
      <c r="E3042" s="3" t="inlineStr">
        <is>
          <t>MOVE_CRUSH_CLAW</t>
        </is>
      </c>
    </row>
    <row r="3043">
      <c r="A3043" s="3" t="inlineStr">
        <is>
          <t>SPECIES_RUFFLET</t>
        </is>
      </c>
      <c r="B3043" s="3" t="inlineStr">
        <is>
          <t>Rufflet</t>
        </is>
      </c>
      <c r="C3043" s="3" t="n">
        <v>55</v>
      </c>
      <c r="D3043" s="3" t="inlineStr">
        <is>
          <t>Air Slash</t>
        </is>
      </c>
      <c r="E3043" s="3" t="inlineStr">
        <is>
          <t>MOVE_AIR_SLASH</t>
        </is>
      </c>
    </row>
    <row r="3044">
      <c r="A3044" s="3" t="inlineStr">
        <is>
          <t>SPECIES_RUFFLET</t>
        </is>
      </c>
      <c r="B3044" s="3" t="inlineStr">
        <is>
          <t>Rufflet</t>
        </is>
      </c>
      <c r="C3044" s="3" t="n">
        <v>60</v>
      </c>
      <c r="D3044" s="3" t="inlineStr">
        <is>
          <t>Defog</t>
        </is>
      </c>
      <c r="E3044" s="3" t="inlineStr">
        <is>
          <t>MOVE_DEFOG</t>
        </is>
      </c>
    </row>
    <row r="3045">
      <c r="A3045" s="3" t="inlineStr">
        <is>
          <t>SPECIES_RUFFLET</t>
        </is>
      </c>
      <c r="B3045" s="3" t="inlineStr">
        <is>
          <t>Rufflet</t>
        </is>
      </c>
      <c r="C3045" s="3" t="n">
        <v>66</v>
      </c>
      <c r="D3045" s="3" t="inlineStr">
        <is>
          <t>Thrash</t>
        </is>
      </c>
      <c r="E3045" s="3" t="inlineStr">
        <is>
          <t>MOVE_THRASH</t>
        </is>
      </c>
    </row>
    <row r="3046">
      <c r="A3046" s="3" t="inlineStr">
        <is>
          <t>SPECIES_RUFFLET</t>
        </is>
      </c>
      <c r="B3046" s="3" t="inlineStr">
        <is>
          <t>Rufflet</t>
        </is>
      </c>
      <c r="C3046" s="3" t="n">
        <v>72</v>
      </c>
      <c r="D3046" s="3" t="inlineStr">
        <is>
          <t>Brave Bird</t>
        </is>
      </c>
      <c r="E3046" s="3" t="inlineStr">
        <is>
          <t>MOVE_BRAVE_BIRD</t>
        </is>
      </c>
    </row>
    <row r="3047">
      <c r="A3047" s="3" t="inlineStr">
        <is>
          <t>SPECIES_BRAVIARY</t>
        </is>
      </c>
      <c r="B3047" s="3" t="inlineStr">
        <is>
          <t>Braviary</t>
        </is>
      </c>
      <c r="C3047" s="3" t="n">
        <v>0</v>
      </c>
      <c r="D3047" s="3" t="inlineStr">
        <is>
          <t>Superpower</t>
        </is>
      </c>
      <c r="E3047" s="3" t="inlineStr">
        <is>
          <t>MOVE_SUPERPOWER</t>
        </is>
      </c>
    </row>
    <row r="3048">
      <c r="A3048" s="3" t="inlineStr">
        <is>
          <t>SPECIES_BRAVIARY</t>
        </is>
      </c>
      <c r="B3048" s="3" t="inlineStr">
        <is>
          <t>Braviary</t>
        </is>
      </c>
      <c r="C3048" s="3" t="n">
        <v>1</v>
      </c>
      <c r="D3048" s="3" t="inlineStr">
        <is>
          <t>Wing Attack</t>
        </is>
      </c>
      <c r="E3048" s="3" t="inlineStr">
        <is>
          <t>MOVE_WING_ATTACK</t>
        </is>
      </c>
    </row>
    <row r="3049">
      <c r="A3049" s="3" t="inlineStr">
        <is>
          <t>SPECIES_BRAVIARY</t>
        </is>
      </c>
      <c r="B3049" s="3" t="inlineStr">
        <is>
          <t>Braviary</t>
        </is>
      </c>
      <c r="C3049" s="3" t="n">
        <v>1</v>
      </c>
      <c r="D3049" s="3" t="inlineStr">
        <is>
          <t>Leer</t>
        </is>
      </c>
      <c r="E3049" s="3" t="inlineStr">
        <is>
          <t>MOVE_LEER</t>
        </is>
      </c>
    </row>
    <row r="3050">
      <c r="A3050" s="3" t="inlineStr">
        <is>
          <t>SPECIES_BRAVIARY</t>
        </is>
      </c>
      <c r="B3050" s="3" t="inlineStr">
        <is>
          <t>Braviary</t>
        </is>
      </c>
      <c r="C3050" s="3" t="n">
        <v>1</v>
      </c>
      <c r="D3050" s="3" t="inlineStr">
        <is>
          <t>Peck</t>
        </is>
      </c>
      <c r="E3050" s="3" t="inlineStr">
        <is>
          <t>MOVE_PECK</t>
        </is>
      </c>
    </row>
    <row r="3051">
      <c r="A3051" s="3" t="inlineStr">
        <is>
          <t>SPECIES_BRAVIARY</t>
        </is>
      </c>
      <c r="B3051" s="3" t="inlineStr">
        <is>
          <t>Braviary</t>
        </is>
      </c>
      <c r="C3051" s="3" t="n">
        <v>1</v>
      </c>
      <c r="D3051" s="3" t="inlineStr">
        <is>
          <t>Sky Attack</t>
        </is>
      </c>
      <c r="E3051" s="3" t="inlineStr">
        <is>
          <t>MOVE_SKY_ATTACK</t>
        </is>
      </c>
    </row>
    <row r="3052">
      <c r="A3052" s="3" t="inlineStr">
        <is>
          <t>SPECIES_BRAVIARY</t>
        </is>
      </c>
      <c r="B3052" s="3" t="inlineStr">
        <is>
          <t>Braviary</t>
        </is>
      </c>
      <c r="C3052" s="3" t="n">
        <v>1</v>
      </c>
      <c r="D3052" s="3" t="inlineStr">
        <is>
          <t>Hone Claws</t>
        </is>
      </c>
      <c r="E3052" s="3" t="inlineStr">
        <is>
          <t>MOVE_HONE_CLAWS</t>
        </is>
      </c>
    </row>
    <row r="3053">
      <c r="A3053" s="3" t="inlineStr">
        <is>
          <t>SPECIES_BRAVIARY</t>
        </is>
      </c>
      <c r="B3053" s="3" t="inlineStr">
        <is>
          <t>Braviary</t>
        </is>
      </c>
      <c r="C3053" s="3" t="n">
        <v>18</v>
      </c>
      <c r="D3053" s="3" t="inlineStr">
        <is>
          <t>Tailwind</t>
        </is>
      </c>
      <c r="E3053" s="3" t="inlineStr">
        <is>
          <t>MOVE_TAILWIND</t>
        </is>
      </c>
    </row>
    <row r="3054">
      <c r="A3054" s="3" t="inlineStr">
        <is>
          <t>SPECIES_BRAVIARY</t>
        </is>
      </c>
      <c r="B3054" s="3" t="inlineStr">
        <is>
          <t>Braviary</t>
        </is>
      </c>
      <c r="C3054" s="3" t="n">
        <v>24</v>
      </c>
      <c r="D3054" s="3" t="inlineStr">
        <is>
          <t>Scary Face</t>
        </is>
      </c>
      <c r="E3054" s="3" t="inlineStr">
        <is>
          <t>MOVE_SCARY_FACE</t>
        </is>
      </c>
    </row>
    <row r="3055">
      <c r="A3055" s="3" t="inlineStr">
        <is>
          <t>SPECIES_BRAVIARY</t>
        </is>
      </c>
      <c r="B3055" s="3" t="inlineStr">
        <is>
          <t>Braviary</t>
        </is>
      </c>
      <c r="C3055" s="3" t="n">
        <v>30</v>
      </c>
      <c r="D3055" s="3" t="inlineStr">
        <is>
          <t>Aerial Ace</t>
        </is>
      </c>
      <c r="E3055" s="3" t="inlineStr">
        <is>
          <t>MOVE_AERIAL_ACE</t>
        </is>
      </c>
    </row>
    <row r="3056">
      <c r="A3056" s="3" t="inlineStr">
        <is>
          <t>SPECIES_BRAVIARY</t>
        </is>
      </c>
      <c r="B3056" s="3" t="inlineStr">
        <is>
          <t>Braviary</t>
        </is>
      </c>
      <c r="C3056" s="3" t="n">
        <v>36</v>
      </c>
      <c r="D3056" s="3" t="inlineStr">
        <is>
          <t>Slash</t>
        </is>
      </c>
      <c r="E3056" s="3" t="inlineStr">
        <is>
          <t>MOVE_SLASH</t>
        </is>
      </c>
    </row>
    <row r="3057">
      <c r="A3057" s="3" t="inlineStr">
        <is>
          <t>SPECIES_BRAVIARY</t>
        </is>
      </c>
      <c r="B3057" s="3" t="inlineStr">
        <is>
          <t>Braviary</t>
        </is>
      </c>
      <c r="C3057" s="3" t="n">
        <v>42</v>
      </c>
      <c r="D3057" s="3" t="inlineStr">
        <is>
          <t>Whirlwind</t>
        </is>
      </c>
      <c r="E3057" s="3" t="inlineStr">
        <is>
          <t>MOVE_WHIRLWIND</t>
        </is>
      </c>
    </row>
    <row r="3058">
      <c r="A3058" s="3" t="inlineStr">
        <is>
          <t>SPECIES_BRAVIARY</t>
        </is>
      </c>
      <c r="B3058" s="3" t="inlineStr">
        <is>
          <t>Braviary</t>
        </is>
      </c>
      <c r="C3058" s="3" t="n">
        <v>48</v>
      </c>
      <c r="D3058" s="3" t="inlineStr">
        <is>
          <t>Crush Claw</t>
        </is>
      </c>
      <c r="E3058" s="3" t="inlineStr">
        <is>
          <t>MOVE_CRUSH_CLAW</t>
        </is>
      </c>
    </row>
    <row r="3059">
      <c r="A3059" s="3" t="inlineStr">
        <is>
          <t>SPECIES_BRAVIARY</t>
        </is>
      </c>
      <c r="B3059" s="3" t="inlineStr">
        <is>
          <t>Braviary</t>
        </is>
      </c>
      <c r="C3059" s="3" t="n">
        <v>57</v>
      </c>
      <c r="D3059" s="3" t="inlineStr">
        <is>
          <t>Air Slash</t>
        </is>
      </c>
      <c r="E3059" s="3" t="inlineStr">
        <is>
          <t>MOVE_AIR_SLASH</t>
        </is>
      </c>
    </row>
    <row r="3060">
      <c r="A3060" s="3" t="inlineStr">
        <is>
          <t>SPECIES_BRAVIARY</t>
        </is>
      </c>
      <c r="B3060" s="3" t="inlineStr">
        <is>
          <t>Braviary</t>
        </is>
      </c>
      <c r="C3060" s="3" t="n">
        <v>64</v>
      </c>
      <c r="D3060" s="3" t="inlineStr">
        <is>
          <t>Defog</t>
        </is>
      </c>
      <c r="E3060" s="3" t="inlineStr">
        <is>
          <t>MOVE_DEFOG</t>
        </is>
      </c>
    </row>
    <row r="3061">
      <c r="A3061" s="3" t="inlineStr">
        <is>
          <t>SPECIES_BRAVIARY</t>
        </is>
      </c>
      <c r="B3061" s="3" t="inlineStr">
        <is>
          <t>Braviary</t>
        </is>
      </c>
      <c r="C3061" s="3" t="n">
        <v>72</v>
      </c>
      <c r="D3061" s="3" t="inlineStr">
        <is>
          <t>Thrash</t>
        </is>
      </c>
      <c r="E3061" s="3" t="inlineStr">
        <is>
          <t>MOVE_THRASH</t>
        </is>
      </c>
    </row>
    <row r="3062">
      <c r="A3062" s="3" t="inlineStr">
        <is>
          <t>SPECIES_BRAVIARY_HISUI</t>
        </is>
      </c>
      <c r="B3062" s="3" t="inlineStr">
        <is>
          <t>Braviary-Hisui</t>
        </is>
      </c>
      <c r="C3062" s="3" t="n">
        <v>0</v>
      </c>
      <c r="D3062" s="3" t="inlineStr">
        <is>
          <t>Esper Wing</t>
        </is>
      </c>
      <c r="E3062" s="3" t="inlineStr">
        <is>
          <t>MOVE_ESPER_WING</t>
        </is>
      </c>
    </row>
    <row r="3063">
      <c r="A3063" s="3" t="inlineStr">
        <is>
          <t>SPECIES_BRAVIARY_HISUI</t>
        </is>
      </c>
      <c r="B3063" s="3" t="inlineStr">
        <is>
          <t>Braviary-Hisui</t>
        </is>
      </c>
      <c r="C3063" s="3" t="n">
        <v>1</v>
      </c>
      <c r="D3063" s="3" t="inlineStr">
        <is>
          <t>Hone Claws</t>
        </is>
      </c>
      <c r="E3063" s="3" t="inlineStr">
        <is>
          <t>MOVE_HONE_CLAWS</t>
        </is>
      </c>
    </row>
    <row r="3064">
      <c r="A3064" s="3" t="inlineStr">
        <is>
          <t>SPECIES_BRAVIARY_HISUI</t>
        </is>
      </c>
      <c r="B3064" s="3" t="inlineStr">
        <is>
          <t>Braviary-Hisui</t>
        </is>
      </c>
      <c r="C3064" s="3" t="n">
        <v>1</v>
      </c>
      <c r="D3064" s="3" t="inlineStr">
        <is>
          <t>Sky Attack</t>
        </is>
      </c>
      <c r="E3064" s="3" t="inlineStr">
        <is>
          <t>MOVE_SKY_ATTACK</t>
        </is>
      </c>
    </row>
    <row r="3065">
      <c r="A3065" s="3" t="inlineStr">
        <is>
          <t>SPECIES_BRAVIARY_HISUI</t>
        </is>
      </c>
      <c r="B3065" s="3" t="inlineStr">
        <is>
          <t>Braviary-Hisui</t>
        </is>
      </c>
      <c r="C3065" s="3" t="n">
        <v>1</v>
      </c>
      <c r="D3065" s="3" t="inlineStr">
        <is>
          <t>Peck</t>
        </is>
      </c>
      <c r="E3065" s="3" t="inlineStr">
        <is>
          <t>MOVE_PECK</t>
        </is>
      </c>
    </row>
    <row r="3066">
      <c r="A3066" s="3" t="inlineStr">
        <is>
          <t>SPECIES_BRAVIARY_HISUI</t>
        </is>
      </c>
      <c r="B3066" s="3" t="inlineStr">
        <is>
          <t>Braviary-Hisui</t>
        </is>
      </c>
      <c r="C3066" s="3" t="n">
        <v>1</v>
      </c>
      <c r="D3066" s="3" t="inlineStr">
        <is>
          <t>Superpower</t>
        </is>
      </c>
      <c r="E3066" s="3" t="inlineStr">
        <is>
          <t>MOVE_SUPERPOWER</t>
        </is>
      </c>
    </row>
    <row r="3067">
      <c r="A3067" s="3" t="inlineStr">
        <is>
          <t>SPECIES_BRAVIARY_HISUI</t>
        </is>
      </c>
      <c r="B3067" s="3" t="inlineStr">
        <is>
          <t>Braviary-Hisui</t>
        </is>
      </c>
      <c r="C3067" s="3" t="n">
        <v>1</v>
      </c>
      <c r="D3067" s="3" t="inlineStr">
        <is>
          <t>Leer</t>
        </is>
      </c>
      <c r="E3067" s="3" t="inlineStr">
        <is>
          <t>MOVE_LEER</t>
        </is>
      </c>
    </row>
    <row r="3068">
      <c r="A3068" s="3" t="inlineStr">
        <is>
          <t>SPECIES_BRAVIARY_HISUI</t>
        </is>
      </c>
      <c r="B3068" s="3" t="inlineStr">
        <is>
          <t>Braviary-Hisui</t>
        </is>
      </c>
      <c r="C3068" s="3" t="n">
        <v>1</v>
      </c>
      <c r="D3068" s="3" t="inlineStr">
        <is>
          <t>Wing Attack</t>
        </is>
      </c>
      <c r="E3068" s="3" t="inlineStr">
        <is>
          <t>MOVE_WING_ATTACK</t>
        </is>
      </c>
    </row>
    <row r="3069">
      <c r="A3069" s="3" t="inlineStr">
        <is>
          <t>SPECIES_BRAVIARY_HISUI</t>
        </is>
      </c>
      <c r="B3069" s="3" t="inlineStr">
        <is>
          <t>Braviary-Hisui</t>
        </is>
      </c>
      <c r="C3069" s="3" t="n">
        <v>18</v>
      </c>
      <c r="D3069" s="3" t="inlineStr">
        <is>
          <t>Tailwind</t>
        </is>
      </c>
      <c r="E3069" s="3" t="inlineStr">
        <is>
          <t>MOVE_TAILWIND</t>
        </is>
      </c>
    </row>
    <row r="3070">
      <c r="A3070" s="3" t="inlineStr">
        <is>
          <t>SPECIES_BRAVIARY_HISUI</t>
        </is>
      </c>
      <c r="B3070" s="3" t="inlineStr">
        <is>
          <t>Braviary-Hisui</t>
        </is>
      </c>
      <c r="C3070" s="3" t="n">
        <v>24</v>
      </c>
      <c r="D3070" s="3" t="inlineStr">
        <is>
          <t>Scary Face</t>
        </is>
      </c>
      <c r="E3070" s="3" t="inlineStr">
        <is>
          <t>MOVE_SCARY_FACE</t>
        </is>
      </c>
    </row>
    <row r="3071">
      <c r="A3071" s="3" t="inlineStr">
        <is>
          <t>SPECIES_BRAVIARY_HISUI</t>
        </is>
      </c>
      <c r="B3071" s="3" t="inlineStr">
        <is>
          <t>Braviary-Hisui</t>
        </is>
      </c>
      <c r="C3071" s="3" t="n">
        <v>30</v>
      </c>
      <c r="D3071" s="3" t="inlineStr">
        <is>
          <t>Aerial Ace</t>
        </is>
      </c>
      <c r="E3071" s="3" t="inlineStr">
        <is>
          <t>MOVE_AERIAL_ACE</t>
        </is>
      </c>
    </row>
    <row r="3072">
      <c r="A3072" s="3" t="inlineStr">
        <is>
          <t>SPECIES_BRAVIARY_HISUI</t>
        </is>
      </c>
      <c r="B3072" s="3" t="inlineStr">
        <is>
          <t>Braviary-Hisui</t>
        </is>
      </c>
      <c r="C3072" s="3" t="n">
        <v>36</v>
      </c>
      <c r="D3072" s="3" t="inlineStr">
        <is>
          <t>Slash</t>
        </is>
      </c>
      <c r="E3072" s="3" t="inlineStr">
        <is>
          <t>MOVE_SLASH</t>
        </is>
      </c>
    </row>
    <row r="3073">
      <c r="A3073" s="3" t="inlineStr">
        <is>
          <t>SPECIES_BRAVIARY_HISUI</t>
        </is>
      </c>
      <c r="B3073" s="3" t="inlineStr">
        <is>
          <t>Braviary-Hisui</t>
        </is>
      </c>
      <c r="C3073" s="3" t="n">
        <v>42</v>
      </c>
      <c r="D3073" s="3" t="inlineStr">
        <is>
          <t>Whirlwind</t>
        </is>
      </c>
      <c r="E3073" s="3" t="inlineStr">
        <is>
          <t>MOVE_WHIRLWIND</t>
        </is>
      </c>
    </row>
    <row r="3074">
      <c r="A3074" s="3" t="inlineStr">
        <is>
          <t>SPECIES_BRAVIARY_HISUI</t>
        </is>
      </c>
      <c r="B3074" s="3" t="inlineStr">
        <is>
          <t>Braviary-Hisui</t>
        </is>
      </c>
      <c r="C3074" s="3" t="n">
        <v>48</v>
      </c>
      <c r="D3074" s="3" t="inlineStr">
        <is>
          <t>Crush Claw</t>
        </is>
      </c>
      <c r="E3074" s="3" t="inlineStr">
        <is>
          <t>MOVE_CRUSH_CLAW</t>
        </is>
      </c>
    </row>
    <row r="3075">
      <c r="A3075" s="3" t="inlineStr">
        <is>
          <t>SPECIES_BRAVIARY_HISUI</t>
        </is>
      </c>
      <c r="B3075" s="3" t="inlineStr">
        <is>
          <t>Braviary-Hisui</t>
        </is>
      </c>
      <c r="C3075" s="3" t="n">
        <v>57</v>
      </c>
      <c r="D3075" s="3" t="inlineStr">
        <is>
          <t>Air Slash</t>
        </is>
      </c>
      <c r="E3075" s="3" t="inlineStr">
        <is>
          <t>MOVE_AIR_SLASH</t>
        </is>
      </c>
    </row>
    <row r="3076">
      <c r="A3076" s="3" t="inlineStr">
        <is>
          <t>SPECIES_BRAVIARY_HISUI</t>
        </is>
      </c>
      <c r="B3076" s="3" t="inlineStr">
        <is>
          <t>Braviary-Hisui</t>
        </is>
      </c>
      <c r="C3076" s="3" t="n">
        <v>64</v>
      </c>
      <c r="D3076" s="3" t="inlineStr">
        <is>
          <t>Defog</t>
        </is>
      </c>
      <c r="E3076" s="3" t="inlineStr">
        <is>
          <t>MOVE_DEFOG</t>
        </is>
      </c>
    </row>
    <row r="3077">
      <c r="A3077" s="3" t="inlineStr">
        <is>
          <t>SPECIES_BRAVIARY_HISUI</t>
        </is>
      </c>
      <c r="B3077" s="3" t="inlineStr">
        <is>
          <t>Braviary-Hisui</t>
        </is>
      </c>
      <c r="C3077" s="3" t="n">
        <v>72</v>
      </c>
      <c r="D3077" s="3" t="inlineStr">
        <is>
          <t>Thrash</t>
        </is>
      </c>
      <c r="E3077" s="3" t="inlineStr">
        <is>
          <t>MOVE_THRASH</t>
        </is>
      </c>
    </row>
    <row r="3078">
      <c r="A3078" s="3" t="inlineStr">
        <is>
          <t>SPECIES_BRAVIARY_HISUI</t>
        </is>
      </c>
      <c r="B3078" s="3" t="inlineStr">
        <is>
          <t>Braviary-Hisui</t>
        </is>
      </c>
      <c r="C3078" s="3" t="n">
        <v>80</v>
      </c>
      <c r="D3078" s="3" t="inlineStr">
        <is>
          <t>Hurricane</t>
        </is>
      </c>
      <c r="E3078" s="3" t="inlineStr">
        <is>
          <t>MOVE_HURRICANE</t>
        </is>
      </c>
    </row>
    <row r="3079">
      <c r="A3079" s="3" t="inlineStr">
        <is>
          <t>SPECIES_DEINO</t>
        </is>
      </c>
      <c r="B3079" s="3" t="inlineStr">
        <is>
          <t>Deino</t>
        </is>
      </c>
      <c r="C3079" s="3" t="n">
        <v>1</v>
      </c>
      <c r="D3079" s="3" t="inlineStr">
        <is>
          <t>Tackle</t>
        </is>
      </c>
      <c r="E3079" s="3" t="inlineStr">
        <is>
          <t>MOVE_TACKLE</t>
        </is>
      </c>
    </row>
    <row r="3080">
      <c r="A3080" s="3" t="inlineStr">
        <is>
          <t>SPECIES_DEINO</t>
        </is>
      </c>
      <c r="B3080" s="3" t="inlineStr">
        <is>
          <t>Deino</t>
        </is>
      </c>
      <c r="C3080" s="3" t="n">
        <v>1</v>
      </c>
      <c r="D3080" s="3" t="inlineStr">
        <is>
          <t>Focus Energy</t>
        </is>
      </c>
      <c r="E3080" s="3" t="inlineStr">
        <is>
          <t>MOVE_FOCUS_ENERGY</t>
        </is>
      </c>
    </row>
    <row r="3081">
      <c r="A3081" s="3" t="inlineStr">
        <is>
          <t>SPECIES_DEINO</t>
        </is>
      </c>
      <c r="B3081" s="3" t="inlineStr">
        <is>
          <t>Deino</t>
        </is>
      </c>
      <c r="C3081" s="3" t="n">
        <v>4</v>
      </c>
      <c r="D3081" s="3" t="inlineStr">
        <is>
          <t>Dragon Breath</t>
        </is>
      </c>
      <c r="E3081" s="3" t="inlineStr">
        <is>
          <t>MOVE_DRAGON_BREATH</t>
        </is>
      </c>
    </row>
    <row r="3082">
      <c r="A3082" s="3" t="inlineStr">
        <is>
          <t>SPECIES_DEINO</t>
        </is>
      </c>
      <c r="B3082" s="3" t="inlineStr">
        <is>
          <t>Deino</t>
        </is>
      </c>
      <c r="C3082" s="3" t="n">
        <v>8</v>
      </c>
      <c r="D3082" s="3" t="inlineStr">
        <is>
          <t>Bite</t>
        </is>
      </c>
      <c r="E3082" s="3" t="inlineStr">
        <is>
          <t>MOVE_BITE</t>
        </is>
      </c>
    </row>
    <row r="3083">
      <c r="A3083" s="3" t="inlineStr">
        <is>
          <t>SPECIES_DEINO</t>
        </is>
      </c>
      <c r="B3083" s="3" t="inlineStr">
        <is>
          <t>Deino</t>
        </is>
      </c>
      <c r="C3083" s="3" t="n">
        <v>12</v>
      </c>
      <c r="D3083" s="3" t="inlineStr">
        <is>
          <t>Roar</t>
        </is>
      </c>
      <c r="E3083" s="3" t="inlineStr">
        <is>
          <t>MOVE_ROAR</t>
        </is>
      </c>
    </row>
    <row r="3084">
      <c r="A3084" s="3" t="inlineStr">
        <is>
          <t>SPECIES_DEINO</t>
        </is>
      </c>
      <c r="B3084" s="3" t="inlineStr">
        <is>
          <t>Deino</t>
        </is>
      </c>
      <c r="C3084" s="3" t="n">
        <v>16</v>
      </c>
      <c r="D3084" s="3" t="inlineStr">
        <is>
          <t>Assurance</t>
        </is>
      </c>
      <c r="E3084" s="3" t="inlineStr">
        <is>
          <t>MOVE_ASSURANCE</t>
        </is>
      </c>
    </row>
    <row r="3085">
      <c r="A3085" s="3" t="inlineStr">
        <is>
          <t>SPECIES_DEINO</t>
        </is>
      </c>
      <c r="B3085" s="3" t="inlineStr">
        <is>
          <t>Deino</t>
        </is>
      </c>
      <c r="C3085" s="3" t="n">
        <v>20</v>
      </c>
      <c r="D3085" s="3" t="inlineStr">
        <is>
          <t>Headbutt</t>
        </is>
      </c>
      <c r="E3085" s="3" t="inlineStr">
        <is>
          <t>MOVE_HEADBUTT</t>
        </is>
      </c>
    </row>
    <row r="3086">
      <c r="A3086" s="3" t="inlineStr">
        <is>
          <t>SPECIES_DEINO</t>
        </is>
      </c>
      <c r="B3086" s="3" t="inlineStr">
        <is>
          <t>Deino</t>
        </is>
      </c>
      <c r="C3086" s="3" t="n">
        <v>24</v>
      </c>
      <c r="D3086" s="3" t="inlineStr">
        <is>
          <t>Work Up</t>
        </is>
      </c>
      <c r="E3086" s="3" t="inlineStr">
        <is>
          <t>MOVE_WORK_UP</t>
        </is>
      </c>
    </row>
    <row r="3087">
      <c r="A3087" s="3" t="inlineStr">
        <is>
          <t>SPECIES_DEINO</t>
        </is>
      </c>
      <c r="B3087" s="3" t="inlineStr">
        <is>
          <t>Deino</t>
        </is>
      </c>
      <c r="C3087" s="3" t="n">
        <v>28</v>
      </c>
      <c r="D3087" s="3" t="inlineStr">
        <is>
          <t>Slam</t>
        </is>
      </c>
      <c r="E3087" s="3" t="inlineStr">
        <is>
          <t>MOVE_SLAM</t>
        </is>
      </c>
    </row>
    <row r="3088">
      <c r="A3088" s="3" t="inlineStr">
        <is>
          <t>SPECIES_DEINO</t>
        </is>
      </c>
      <c r="B3088" s="3" t="inlineStr">
        <is>
          <t>Deino</t>
        </is>
      </c>
      <c r="C3088" s="3" t="n">
        <v>32</v>
      </c>
      <c r="D3088" s="3" t="inlineStr">
        <is>
          <t>Crunch</t>
        </is>
      </c>
      <c r="E3088" s="3" t="inlineStr">
        <is>
          <t>MOVE_CRUNCH</t>
        </is>
      </c>
    </row>
    <row r="3089">
      <c r="A3089" s="3" t="inlineStr">
        <is>
          <t>SPECIES_DEINO</t>
        </is>
      </c>
      <c r="B3089" s="3" t="inlineStr">
        <is>
          <t>Deino</t>
        </is>
      </c>
      <c r="C3089" s="3" t="n">
        <v>36</v>
      </c>
      <c r="D3089" s="3" t="inlineStr">
        <is>
          <t>Scary Face</t>
        </is>
      </c>
      <c r="E3089" s="3" t="inlineStr">
        <is>
          <t>MOVE_SCARY_FACE</t>
        </is>
      </c>
    </row>
    <row r="3090">
      <c r="A3090" s="3" t="inlineStr">
        <is>
          <t>SPECIES_DEINO</t>
        </is>
      </c>
      <c r="B3090" s="3" t="inlineStr">
        <is>
          <t>Deino</t>
        </is>
      </c>
      <c r="C3090" s="3" t="n">
        <v>40</v>
      </c>
      <c r="D3090" s="3" t="inlineStr">
        <is>
          <t>Dragon Pulse</t>
        </is>
      </c>
      <c r="E3090" s="3" t="inlineStr">
        <is>
          <t>MOVE_DRAGON_PULSE</t>
        </is>
      </c>
    </row>
    <row r="3091">
      <c r="A3091" s="3" t="inlineStr">
        <is>
          <t>SPECIES_DEINO</t>
        </is>
      </c>
      <c r="B3091" s="3" t="inlineStr">
        <is>
          <t>Deino</t>
        </is>
      </c>
      <c r="C3091" s="3" t="n">
        <v>44</v>
      </c>
      <c r="D3091" s="3" t="inlineStr">
        <is>
          <t>Body Slam</t>
        </is>
      </c>
      <c r="E3091" s="3" t="inlineStr">
        <is>
          <t>MOVE_BODY_SLAM</t>
        </is>
      </c>
    </row>
    <row r="3092">
      <c r="A3092" s="3" t="inlineStr">
        <is>
          <t>SPECIES_DEINO</t>
        </is>
      </c>
      <c r="B3092" s="3" t="inlineStr">
        <is>
          <t>Deino</t>
        </is>
      </c>
      <c r="C3092" s="3" t="n">
        <v>48</v>
      </c>
      <c r="D3092" s="3" t="inlineStr">
        <is>
          <t>Hyper Voice</t>
        </is>
      </c>
      <c r="E3092" s="3" t="inlineStr">
        <is>
          <t>MOVE_HYPER_VOICE</t>
        </is>
      </c>
    </row>
    <row r="3093">
      <c r="A3093" s="3" t="inlineStr">
        <is>
          <t>SPECIES_DEINO</t>
        </is>
      </c>
      <c r="B3093" s="3" t="inlineStr">
        <is>
          <t>Deino</t>
        </is>
      </c>
      <c r="C3093" s="3" t="n">
        <v>52</v>
      </c>
      <c r="D3093" s="3" t="inlineStr">
        <is>
          <t>Dragon Rush</t>
        </is>
      </c>
      <c r="E3093" s="3" t="inlineStr">
        <is>
          <t>MOVE_DRAGON_RUSH</t>
        </is>
      </c>
    </row>
    <row r="3094">
      <c r="A3094" s="3" t="inlineStr">
        <is>
          <t>SPECIES_DEINO</t>
        </is>
      </c>
      <c r="B3094" s="3" t="inlineStr">
        <is>
          <t>Deino</t>
        </is>
      </c>
      <c r="C3094" s="3" t="n">
        <v>56</v>
      </c>
      <c r="D3094" s="3" t="inlineStr">
        <is>
          <t>Nasty Plot</t>
        </is>
      </c>
      <c r="E3094" s="3" t="inlineStr">
        <is>
          <t>MOVE_NASTY_PLOT</t>
        </is>
      </c>
    </row>
    <row r="3095">
      <c r="A3095" s="3" t="inlineStr">
        <is>
          <t>SPECIES_DEINO</t>
        </is>
      </c>
      <c r="B3095" s="3" t="inlineStr">
        <is>
          <t>Deino</t>
        </is>
      </c>
      <c r="C3095" s="3" t="n">
        <v>60</v>
      </c>
      <c r="D3095" s="3" t="inlineStr">
        <is>
          <t>Outrage</t>
        </is>
      </c>
      <c r="E3095" s="3" t="inlineStr">
        <is>
          <t>MOVE_OUTRAGE</t>
        </is>
      </c>
    </row>
    <row r="3096">
      <c r="A3096" s="3" t="inlineStr">
        <is>
          <t>SPECIES_ZWEILOUS</t>
        </is>
      </c>
      <c r="B3096" s="3" t="inlineStr">
        <is>
          <t>Zweilous</t>
        </is>
      </c>
      <c r="C3096" s="3" t="n">
        <v>1</v>
      </c>
      <c r="D3096" s="3" t="inlineStr">
        <is>
          <t>Tackle</t>
        </is>
      </c>
      <c r="E3096" s="3" t="inlineStr">
        <is>
          <t>MOVE_TACKLE</t>
        </is>
      </c>
    </row>
    <row r="3097">
      <c r="A3097" s="3" t="inlineStr">
        <is>
          <t>SPECIES_ZWEILOUS</t>
        </is>
      </c>
      <c r="B3097" s="3" t="inlineStr">
        <is>
          <t>Zweilous</t>
        </is>
      </c>
      <c r="C3097" s="3" t="n">
        <v>1</v>
      </c>
      <c r="D3097" s="3" t="inlineStr">
        <is>
          <t>Bite</t>
        </is>
      </c>
      <c r="E3097" s="3" t="inlineStr">
        <is>
          <t>MOVE_BITE</t>
        </is>
      </c>
    </row>
    <row r="3098">
      <c r="A3098" s="3" t="inlineStr">
        <is>
          <t>SPECIES_ZWEILOUS</t>
        </is>
      </c>
      <c r="B3098" s="3" t="inlineStr">
        <is>
          <t>Zweilous</t>
        </is>
      </c>
      <c r="C3098" s="3" t="n">
        <v>1</v>
      </c>
      <c r="D3098" s="3" t="inlineStr">
        <is>
          <t>Focus Energy</t>
        </is>
      </c>
      <c r="E3098" s="3" t="inlineStr">
        <is>
          <t>MOVE_FOCUS_ENERGY</t>
        </is>
      </c>
    </row>
    <row r="3099">
      <c r="A3099" s="3" t="inlineStr">
        <is>
          <t>SPECIES_ZWEILOUS</t>
        </is>
      </c>
      <c r="B3099" s="3" t="inlineStr">
        <is>
          <t>Zweilous</t>
        </is>
      </c>
      <c r="C3099" s="3" t="n">
        <v>1</v>
      </c>
      <c r="D3099" s="3" t="inlineStr">
        <is>
          <t>Dragon Breath</t>
        </is>
      </c>
      <c r="E3099" s="3" t="inlineStr">
        <is>
          <t>MOVE_DRAGON_BREATH</t>
        </is>
      </c>
    </row>
    <row r="3100">
      <c r="A3100" s="3" t="inlineStr">
        <is>
          <t>SPECIES_ZWEILOUS</t>
        </is>
      </c>
      <c r="B3100" s="3" t="inlineStr">
        <is>
          <t>Zweilous</t>
        </is>
      </c>
      <c r="C3100" s="3" t="n">
        <v>1</v>
      </c>
      <c r="D3100" s="3" t="inlineStr">
        <is>
          <t>Double Hit</t>
        </is>
      </c>
      <c r="E3100" s="3" t="inlineStr">
        <is>
          <t>MOVE_DOUBLE_HIT</t>
        </is>
      </c>
    </row>
    <row r="3101">
      <c r="A3101" s="3" t="inlineStr">
        <is>
          <t>SPECIES_ZWEILOUS</t>
        </is>
      </c>
      <c r="B3101" s="3" t="inlineStr">
        <is>
          <t>Zweilous</t>
        </is>
      </c>
      <c r="C3101" s="3" t="n">
        <v>12</v>
      </c>
      <c r="D3101" s="3" t="inlineStr">
        <is>
          <t>Roar</t>
        </is>
      </c>
      <c r="E3101" s="3" t="inlineStr">
        <is>
          <t>MOVE_ROAR</t>
        </is>
      </c>
    </row>
    <row r="3102">
      <c r="A3102" s="3" t="inlineStr">
        <is>
          <t>SPECIES_ZWEILOUS</t>
        </is>
      </c>
      <c r="B3102" s="3" t="inlineStr">
        <is>
          <t>Zweilous</t>
        </is>
      </c>
      <c r="C3102" s="3" t="n">
        <v>16</v>
      </c>
      <c r="D3102" s="3" t="inlineStr">
        <is>
          <t>Assurance</t>
        </is>
      </c>
      <c r="E3102" s="3" t="inlineStr">
        <is>
          <t>MOVE_ASSURANCE</t>
        </is>
      </c>
    </row>
    <row r="3103">
      <c r="A3103" s="3" t="inlineStr">
        <is>
          <t>SPECIES_ZWEILOUS</t>
        </is>
      </c>
      <c r="B3103" s="3" t="inlineStr">
        <is>
          <t>Zweilous</t>
        </is>
      </c>
      <c r="C3103" s="3" t="n">
        <v>20</v>
      </c>
      <c r="D3103" s="3" t="inlineStr">
        <is>
          <t>Headbutt</t>
        </is>
      </c>
      <c r="E3103" s="3" t="inlineStr">
        <is>
          <t>MOVE_HEADBUTT</t>
        </is>
      </c>
    </row>
    <row r="3104">
      <c r="A3104" s="3" t="inlineStr">
        <is>
          <t>SPECIES_ZWEILOUS</t>
        </is>
      </c>
      <c r="B3104" s="3" t="inlineStr">
        <is>
          <t>Zweilous</t>
        </is>
      </c>
      <c r="C3104" s="3" t="n">
        <v>24</v>
      </c>
      <c r="D3104" s="3" t="inlineStr">
        <is>
          <t>Work Up</t>
        </is>
      </c>
      <c r="E3104" s="3" t="inlineStr">
        <is>
          <t>MOVE_WORK_UP</t>
        </is>
      </c>
    </row>
    <row r="3105">
      <c r="A3105" s="3" t="inlineStr">
        <is>
          <t>SPECIES_ZWEILOUS</t>
        </is>
      </c>
      <c r="B3105" s="3" t="inlineStr">
        <is>
          <t>Zweilous</t>
        </is>
      </c>
      <c r="C3105" s="3" t="n">
        <v>28</v>
      </c>
      <c r="D3105" s="3" t="inlineStr">
        <is>
          <t>Slam</t>
        </is>
      </c>
      <c r="E3105" s="3" t="inlineStr">
        <is>
          <t>MOVE_SLAM</t>
        </is>
      </c>
    </row>
    <row r="3106">
      <c r="A3106" s="3" t="inlineStr">
        <is>
          <t>SPECIES_ZWEILOUS</t>
        </is>
      </c>
      <c r="B3106" s="3" t="inlineStr">
        <is>
          <t>Zweilous</t>
        </is>
      </c>
      <c r="C3106" s="3" t="n">
        <v>32</v>
      </c>
      <c r="D3106" s="3" t="inlineStr">
        <is>
          <t>Crunch</t>
        </is>
      </c>
      <c r="E3106" s="3" t="inlineStr">
        <is>
          <t>MOVE_CRUNCH</t>
        </is>
      </c>
    </row>
    <row r="3107">
      <c r="A3107" s="3" t="inlineStr">
        <is>
          <t>SPECIES_ZWEILOUS</t>
        </is>
      </c>
      <c r="B3107" s="3" t="inlineStr">
        <is>
          <t>Zweilous</t>
        </is>
      </c>
      <c r="C3107" s="3" t="n">
        <v>36</v>
      </c>
      <c r="D3107" s="3" t="inlineStr">
        <is>
          <t>Scary Face</t>
        </is>
      </c>
      <c r="E3107" s="3" t="inlineStr">
        <is>
          <t>MOVE_SCARY_FACE</t>
        </is>
      </c>
    </row>
    <row r="3108">
      <c r="A3108" s="3" t="inlineStr">
        <is>
          <t>SPECIES_ZWEILOUS</t>
        </is>
      </c>
      <c r="B3108" s="3" t="inlineStr">
        <is>
          <t>Zweilous</t>
        </is>
      </c>
      <c r="C3108" s="3" t="n">
        <v>40</v>
      </c>
      <c r="D3108" s="3" t="inlineStr">
        <is>
          <t>Dragon Pulse</t>
        </is>
      </c>
      <c r="E3108" s="3" t="inlineStr">
        <is>
          <t>MOVE_DRAGON_PULSE</t>
        </is>
      </c>
    </row>
    <row r="3109">
      <c r="A3109" s="3" t="inlineStr">
        <is>
          <t>SPECIES_ZWEILOUS</t>
        </is>
      </c>
      <c r="B3109" s="3" t="inlineStr">
        <is>
          <t>Zweilous</t>
        </is>
      </c>
      <c r="C3109" s="3" t="n">
        <v>44</v>
      </c>
      <c r="D3109" s="3" t="inlineStr">
        <is>
          <t>Body Slam</t>
        </is>
      </c>
      <c r="E3109" s="3" t="inlineStr">
        <is>
          <t>MOVE_BODY_SLAM</t>
        </is>
      </c>
    </row>
    <row r="3110">
      <c r="A3110" s="3" t="inlineStr">
        <is>
          <t>SPECIES_ZWEILOUS</t>
        </is>
      </c>
      <c r="B3110" s="3" t="inlineStr">
        <is>
          <t>Zweilous</t>
        </is>
      </c>
      <c r="C3110" s="3" t="n">
        <v>48</v>
      </c>
      <c r="D3110" s="3" t="inlineStr">
        <is>
          <t>Hyper Voice</t>
        </is>
      </c>
      <c r="E3110" s="3" t="inlineStr">
        <is>
          <t>MOVE_HYPER_VOICE</t>
        </is>
      </c>
    </row>
    <row r="3111">
      <c r="A3111" s="3" t="inlineStr">
        <is>
          <t>SPECIES_ZWEILOUS</t>
        </is>
      </c>
      <c r="B3111" s="3" t="inlineStr">
        <is>
          <t>Zweilous</t>
        </is>
      </c>
      <c r="C3111" s="3" t="n">
        <v>54</v>
      </c>
      <c r="D3111" s="3" t="inlineStr">
        <is>
          <t>Dragon Rush</t>
        </is>
      </c>
      <c r="E3111" s="3" t="inlineStr">
        <is>
          <t>MOVE_DRAGON_RUSH</t>
        </is>
      </c>
    </row>
    <row r="3112">
      <c r="A3112" s="3" t="inlineStr">
        <is>
          <t>SPECIES_ZWEILOUS</t>
        </is>
      </c>
      <c r="B3112" s="3" t="inlineStr">
        <is>
          <t>Zweilous</t>
        </is>
      </c>
      <c r="C3112" s="3" t="n">
        <v>60</v>
      </c>
      <c r="D3112" s="3" t="inlineStr">
        <is>
          <t>Nasty Plot</t>
        </is>
      </c>
      <c r="E3112" s="3" t="inlineStr">
        <is>
          <t>MOVE_NASTY_PLOT</t>
        </is>
      </c>
    </row>
    <row r="3113">
      <c r="A3113" s="3" t="inlineStr">
        <is>
          <t>SPECIES_ZWEILOUS</t>
        </is>
      </c>
      <c r="B3113" s="3" t="inlineStr">
        <is>
          <t>Zweilous</t>
        </is>
      </c>
      <c r="C3113" s="3" t="n">
        <v>66</v>
      </c>
      <c r="D3113" s="3" t="inlineStr">
        <is>
          <t>Outrage</t>
        </is>
      </c>
      <c r="E3113" s="3" t="inlineStr">
        <is>
          <t>MOVE_OUTRAGE</t>
        </is>
      </c>
    </row>
    <row r="3114">
      <c r="A3114" s="3" t="inlineStr">
        <is>
          <t>SPECIES_HYDREIGON</t>
        </is>
      </c>
      <c r="B3114" s="3" t="inlineStr">
        <is>
          <t>Hydreigon</t>
        </is>
      </c>
      <c r="C3114" s="3" t="n">
        <v>1</v>
      </c>
      <c r="D3114" s="3" t="inlineStr">
        <is>
          <t>Tackle</t>
        </is>
      </c>
      <c r="E3114" s="3" t="inlineStr">
        <is>
          <t>MOVE_TACKLE</t>
        </is>
      </c>
    </row>
    <row r="3115">
      <c r="A3115" s="3" t="inlineStr">
        <is>
          <t>SPECIES_HYDREIGON</t>
        </is>
      </c>
      <c r="B3115" s="3" t="inlineStr">
        <is>
          <t>Hydreigon</t>
        </is>
      </c>
      <c r="C3115" s="3" t="n">
        <v>1</v>
      </c>
      <c r="D3115" s="3" t="inlineStr">
        <is>
          <t>Bite</t>
        </is>
      </c>
      <c r="E3115" s="3" t="inlineStr">
        <is>
          <t>MOVE_BITE</t>
        </is>
      </c>
    </row>
    <row r="3116">
      <c r="A3116" s="3" t="inlineStr">
        <is>
          <t>SPECIES_HYDREIGON</t>
        </is>
      </c>
      <c r="B3116" s="3" t="inlineStr">
        <is>
          <t>Hydreigon</t>
        </is>
      </c>
      <c r="C3116" s="3" t="n">
        <v>1</v>
      </c>
      <c r="D3116" s="3" t="inlineStr">
        <is>
          <t>Dragon Breath</t>
        </is>
      </c>
      <c r="E3116" s="3" t="inlineStr">
        <is>
          <t>MOVE_DRAGON_BREATH</t>
        </is>
      </c>
    </row>
    <row r="3117">
      <c r="A3117" s="3" t="inlineStr">
        <is>
          <t>SPECIES_HYDREIGON</t>
        </is>
      </c>
      <c r="B3117" s="3" t="inlineStr">
        <is>
          <t>Hydreigon</t>
        </is>
      </c>
      <c r="C3117" s="3" t="n">
        <v>1</v>
      </c>
      <c r="D3117" s="3" t="inlineStr">
        <is>
          <t>Focus Energy</t>
        </is>
      </c>
      <c r="E3117" s="3" t="inlineStr">
        <is>
          <t>MOVE_FOCUS_ENERGY</t>
        </is>
      </c>
    </row>
    <row r="3118">
      <c r="A3118" s="3" t="inlineStr">
        <is>
          <t>SPECIES_HYDREIGON</t>
        </is>
      </c>
      <c r="B3118" s="3" t="inlineStr">
        <is>
          <t>Hydreigon</t>
        </is>
      </c>
      <c r="C3118" s="3" t="n">
        <v>1</v>
      </c>
      <c r="D3118" s="3" t="inlineStr">
        <is>
          <t>Tri Attack</t>
        </is>
      </c>
      <c r="E3118" s="3" t="inlineStr">
        <is>
          <t>MOVE_TRI_ATTACK</t>
        </is>
      </c>
    </row>
    <row r="3119">
      <c r="A3119" s="3" t="inlineStr">
        <is>
          <t>SPECIES_HYDREIGON</t>
        </is>
      </c>
      <c r="B3119" s="3" t="inlineStr">
        <is>
          <t>Hydreigon</t>
        </is>
      </c>
      <c r="C3119" s="3" t="n">
        <v>1</v>
      </c>
      <c r="D3119" s="3" t="inlineStr">
        <is>
          <t>Double Hit</t>
        </is>
      </c>
      <c r="E3119" s="3" t="inlineStr">
        <is>
          <t>MOVE_DOUBLE_HIT</t>
        </is>
      </c>
    </row>
    <row r="3120">
      <c r="A3120" s="3" t="inlineStr">
        <is>
          <t>SPECIES_HYDREIGON</t>
        </is>
      </c>
      <c r="B3120" s="3" t="inlineStr">
        <is>
          <t>Hydreigon</t>
        </is>
      </c>
      <c r="C3120" s="3" t="n">
        <v>12</v>
      </c>
      <c r="D3120" s="3" t="inlineStr">
        <is>
          <t>Roar</t>
        </is>
      </c>
      <c r="E3120" s="3" t="inlineStr">
        <is>
          <t>MOVE_ROAR</t>
        </is>
      </c>
    </row>
    <row r="3121">
      <c r="A3121" s="3" t="inlineStr">
        <is>
          <t>SPECIES_HYDREIGON</t>
        </is>
      </c>
      <c r="B3121" s="3" t="inlineStr">
        <is>
          <t>Hydreigon</t>
        </is>
      </c>
      <c r="C3121" s="3" t="n">
        <v>16</v>
      </c>
      <c r="D3121" s="3" t="inlineStr">
        <is>
          <t>Assurance</t>
        </is>
      </c>
      <c r="E3121" s="3" t="inlineStr">
        <is>
          <t>MOVE_ASSURANCE</t>
        </is>
      </c>
    </row>
    <row r="3122">
      <c r="A3122" s="3" t="inlineStr">
        <is>
          <t>SPECIES_HYDREIGON</t>
        </is>
      </c>
      <c r="B3122" s="3" t="inlineStr">
        <is>
          <t>Hydreigon</t>
        </is>
      </c>
      <c r="C3122" s="3" t="n">
        <v>20</v>
      </c>
      <c r="D3122" s="3" t="inlineStr">
        <is>
          <t>Headbutt</t>
        </is>
      </c>
      <c r="E3122" s="3" t="inlineStr">
        <is>
          <t>MOVE_HEADBUTT</t>
        </is>
      </c>
    </row>
    <row r="3123">
      <c r="A3123" s="3" t="inlineStr">
        <is>
          <t>SPECIES_HYDREIGON</t>
        </is>
      </c>
      <c r="B3123" s="3" t="inlineStr">
        <is>
          <t>Hydreigon</t>
        </is>
      </c>
      <c r="C3123" s="3" t="n">
        <v>24</v>
      </c>
      <c r="D3123" s="3" t="inlineStr">
        <is>
          <t>Work Up</t>
        </is>
      </c>
      <c r="E3123" s="3" t="inlineStr">
        <is>
          <t>MOVE_WORK_UP</t>
        </is>
      </c>
    </row>
    <row r="3124">
      <c r="A3124" s="3" t="inlineStr">
        <is>
          <t>SPECIES_HYDREIGON</t>
        </is>
      </c>
      <c r="B3124" s="3" t="inlineStr">
        <is>
          <t>Hydreigon</t>
        </is>
      </c>
      <c r="C3124" s="3" t="n">
        <v>28</v>
      </c>
      <c r="D3124" s="3" t="inlineStr">
        <is>
          <t>Slam</t>
        </is>
      </c>
      <c r="E3124" s="3" t="inlineStr">
        <is>
          <t>MOVE_SLAM</t>
        </is>
      </c>
    </row>
    <row r="3125">
      <c r="A3125" s="3" t="inlineStr">
        <is>
          <t>SPECIES_HYDREIGON</t>
        </is>
      </c>
      <c r="B3125" s="3" t="inlineStr">
        <is>
          <t>Hydreigon</t>
        </is>
      </c>
      <c r="C3125" s="3" t="n">
        <v>32</v>
      </c>
      <c r="D3125" s="3" t="inlineStr">
        <is>
          <t>Crunch</t>
        </is>
      </c>
      <c r="E3125" s="3" t="inlineStr">
        <is>
          <t>MOVE_CRUNCH</t>
        </is>
      </c>
    </row>
    <row r="3126">
      <c r="A3126" s="3" t="inlineStr">
        <is>
          <t>SPECIES_HYDREIGON</t>
        </is>
      </c>
      <c r="B3126" s="3" t="inlineStr">
        <is>
          <t>Hydreigon</t>
        </is>
      </c>
      <c r="C3126" s="3" t="n">
        <v>36</v>
      </c>
      <c r="D3126" s="3" t="inlineStr">
        <is>
          <t>Scary Face</t>
        </is>
      </c>
      <c r="E3126" s="3" t="inlineStr">
        <is>
          <t>MOVE_SCARY_FACE</t>
        </is>
      </c>
    </row>
    <row r="3127">
      <c r="A3127" s="3" t="inlineStr">
        <is>
          <t>SPECIES_HYDREIGON</t>
        </is>
      </c>
      <c r="B3127" s="3" t="inlineStr">
        <is>
          <t>Hydreigon</t>
        </is>
      </c>
      <c r="C3127" s="3" t="n">
        <v>40</v>
      </c>
      <c r="D3127" s="3" t="inlineStr">
        <is>
          <t>Dragon Pulse</t>
        </is>
      </c>
      <c r="E3127" s="3" t="inlineStr">
        <is>
          <t>MOVE_DRAGON_PULSE</t>
        </is>
      </c>
    </row>
    <row r="3128">
      <c r="A3128" s="3" t="inlineStr">
        <is>
          <t>SPECIES_HYDREIGON</t>
        </is>
      </c>
      <c r="B3128" s="3" t="inlineStr">
        <is>
          <t>Hydreigon</t>
        </is>
      </c>
      <c r="C3128" s="3" t="n">
        <v>44</v>
      </c>
      <c r="D3128" s="3" t="inlineStr">
        <is>
          <t>Body Slam</t>
        </is>
      </c>
      <c r="E3128" s="3" t="inlineStr">
        <is>
          <t>MOVE_BODY_SLAM</t>
        </is>
      </c>
    </row>
    <row r="3129">
      <c r="A3129" s="3" t="inlineStr">
        <is>
          <t>SPECIES_HYDREIGON</t>
        </is>
      </c>
      <c r="B3129" s="3" t="inlineStr">
        <is>
          <t>Hydreigon</t>
        </is>
      </c>
      <c r="C3129" s="3" t="n">
        <v>48</v>
      </c>
      <c r="D3129" s="3" t="inlineStr">
        <is>
          <t>Hyper Voice</t>
        </is>
      </c>
      <c r="E3129" s="3" t="inlineStr">
        <is>
          <t>MOVE_HYPER_VOICE</t>
        </is>
      </c>
    </row>
    <row r="3130">
      <c r="A3130" s="3" t="inlineStr">
        <is>
          <t>SPECIES_HYDREIGON</t>
        </is>
      </c>
      <c r="B3130" s="3" t="inlineStr">
        <is>
          <t>Hydreigon</t>
        </is>
      </c>
      <c r="C3130" s="3" t="n">
        <v>54</v>
      </c>
      <c r="D3130" s="3" t="inlineStr">
        <is>
          <t>Dragon Rush</t>
        </is>
      </c>
      <c r="E3130" s="3" t="inlineStr">
        <is>
          <t>MOVE_DRAGON_RUSH</t>
        </is>
      </c>
    </row>
    <row r="3131">
      <c r="A3131" s="3" t="inlineStr">
        <is>
          <t>SPECIES_HYDREIGON</t>
        </is>
      </c>
      <c r="B3131" s="3" t="inlineStr">
        <is>
          <t>Hydreigon</t>
        </is>
      </c>
      <c r="C3131" s="3" t="n">
        <v>60</v>
      </c>
      <c r="D3131" s="3" t="inlineStr">
        <is>
          <t>Nasty Plot</t>
        </is>
      </c>
      <c r="E3131" s="3" t="inlineStr">
        <is>
          <t>MOVE_NASTY_PLOT</t>
        </is>
      </c>
    </row>
    <row r="3132">
      <c r="A3132" s="3" t="inlineStr">
        <is>
          <t>SPECIES_HYDREIGON</t>
        </is>
      </c>
      <c r="B3132" s="3" t="inlineStr">
        <is>
          <t>Hydreigon</t>
        </is>
      </c>
      <c r="C3132" s="3" t="n">
        <v>68</v>
      </c>
      <c r="D3132" s="3" t="inlineStr">
        <is>
          <t>Outrage</t>
        </is>
      </c>
      <c r="E3132" s="3" t="inlineStr">
        <is>
          <t>MOVE_OUTRAGE</t>
        </is>
      </c>
    </row>
    <row r="3133">
      <c r="A3133" s="3" t="inlineStr">
        <is>
          <t>SPECIES_HYDREIGON</t>
        </is>
      </c>
      <c r="B3133" s="3" t="inlineStr">
        <is>
          <t>Hydreigon</t>
        </is>
      </c>
      <c r="C3133" s="3" t="n">
        <v>76</v>
      </c>
      <c r="D3133" s="3" t="inlineStr">
        <is>
          <t>Hyper Beam</t>
        </is>
      </c>
      <c r="E3133" s="3" t="inlineStr">
        <is>
          <t>MOVE_HYPER_BEAM</t>
        </is>
      </c>
    </row>
    <row r="3134">
      <c r="A3134" s="3" t="inlineStr">
        <is>
          <t>SPECIES_CHESPIN</t>
        </is>
      </c>
      <c r="B3134" s="3" t="inlineStr">
        <is>
          <t>Chespin</t>
        </is>
      </c>
      <c r="C3134" s="3" t="n">
        <v>1</v>
      </c>
      <c r="D3134" s="3" t="inlineStr">
        <is>
          <t>Vine Whip</t>
        </is>
      </c>
      <c r="E3134" s="3" t="inlineStr">
        <is>
          <t>MOVE_VINE_WHIP</t>
        </is>
      </c>
    </row>
    <row r="3135">
      <c r="A3135" s="3" t="inlineStr">
        <is>
          <t>SPECIES_CHESPIN</t>
        </is>
      </c>
      <c r="B3135" s="3" t="inlineStr">
        <is>
          <t>Chespin</t>
        </is>
      </c>
      <c r="C3135" s="3" t="n">
        <v>1</v>
      </c>
      <c r="D3135" s="3" t="inlineStr">
        <is>
          <t>Growl</t>
        </is>
      </c>
      <c r="E3135" s="3" t="inlineStr">
        <is>
          <t>MOVE_GROWL</t>
        </is>
      </c>
    </row>
    <row r="3136">
      <c r="A3136" s="3" t="inlineStr">
        <is>
          <t>SPECIES_CHESPIN</t>
        </is>
      </c>
      <c r="B3136" s="3" t="inlineStr">
        <is>
          <t>Chespin</t>
        </is>
      </c>
      <c r="C3136" s="3" t="n">
        <v>8</v>
      </c>
      <c r="D3136" s="3" t="inlineStr">
        <is>
          <t>Rollout</t>
        </is>
      </c>
      <c r="E3136" s="3" t="inlineStr">
        <is>
          <t>MOVE_ROLLOUT</t>
        </is>
      </c>
    </row>
    <row r="3137">
      <c r="A3137" s="3" t="inlineStr">
        <is>
          <t>SPECIES_CHESPIN</t>
        </is>
      </c>
      <c r="B3137" s="3" t="inlineStr">
        <is>
          <t>Chespin</t>
        </is>
      </c>
      <c r="C3137" s="3" t="n">
        <v>11</v>
      </c>
      <c r="D3137" s="3" t="inlineStr">
        <is>
          <t>Bite</t>
        </is>
      </c>
      <c r="E3137" s="3" t="inlineStr">
        <is>
          <t>MOVE_BITE</t>
        </is>
      </c>
    </row>
    <row r="3138">
      <c r="A3138" s="3" t="inlineStr">
        <is>
          <t>SPECIES_CHESPIN</t>
        </is>
      </c>
      <c r="B3138" s="3" t="inlineStr">
        <is>
          <t>Chespin</t>
        </is>
      </c>
      <c r="C3138" s="3" t="n">
        <v>15</v>
      </c>
      <c r="D3138" s="3" t="inlineStr">
        <is>
          <t>Leech Seed</t>
        </is>
      </c>
      <c r="E3138" s="3" t="inlineStr">
        <is>
          <t>MOVE_LEECH_SEED</t>
        </is>
      </c>
    </row>
    <row r="3139">
      <c r="A3139" s="3" t="inlineStr">
        <is>
          <t>SPECIES_CHESPIN</t>
        </is>
      </c>
      <c r="B3139" s="3" t="inlineStr">
        <is>
          <t>Chespin</t>
        </is>
      </c>
      <c r="C3139" s="3" t="n">
        <v>18</v>
      </c>
      <c r="D3139" s="3" t="inlineStr">
        <is>
          <t>Pin Missile</t>
        </is>
      </c>
      <c r="E3139" s="3" t="inlineStr">
        <is>
          <t>MOVE_PIN_MISSILE</t>
        </is>
      </c>
    </row>
    <row r="3140">
      <c r="A3140" s="3" t="inlineStr">
        <is>
          <t>SPECIES_CHESPIN</t>
        </is>
      </c>
      <c r="B3140" s="3" t="inlineStr">
        <is>
          <t>Chespin</t>
        </is>
      </c>
      <c r="C3140" s="3" t="n">
        <v>27</v>
      </c>
      <c r="D3140" s="3" t="inlineStr">
        <is>
          <t>Take Down</t>
        </is>
      </c>
      <c r="E3140" s="3" t="inlineStr">
        <is>
          <t>MOVE_TAKE_DOWN</t>
        </is>
      </c>
    </row>
    <row r="3141">
      <c r="A3141" s="3" t="inlineStr">
        <is>
          <t>SPECIES_CHESPIN</t>
        </is>
      </c>
      <c r="B3141" s="3" t="inlineStr">
        <is>
          <t>Chespin</t>
        </is>
      </c>
      <c r="C3141" s="3" t="n">
        <v>32</v>
      </c>
      <c r="D3141" s="3" t="inlineStr">
        <is>
          <t>Seed Bomb</t>
        </is>
      </c>
      <c r="E3141" s="3" t="inlineStr">
        <is>
          <t>MOVE_SEED_BOMB</t>
        </is>
      </c>
    </row>
    <row r="3142">
      <c r="A3142" s="3" t="inlineStr">
        <is>
          <t>SPECIES_CHESPIN</t>
        </is>
      </c>
      <c r="B3142" s="3" t="inlineStr">
        <is>
          <t>Chespin</t>
        </is>
      </c>
      <c r="C3142" s="3" t="n">
        <v>35</v>
      </c>
      <c r="D3142" s="3" t="inlineStr">
        <is>
          <t>Mud Shot</t>
        </is>
      </c>
      <c r="E3142" s="3" t="inlineStr">
        <is>
          <t>MOVE_MUD_SHOT</t>
        </is>
      </c>
    </row>
    <row r="3143">
      <c r="A3143" s="3" t="inlineStr">
        <is>
          <t>SPECIES_CHESPIN</t>
        </is>
      </c>
      <c r="B3143" s="3" t="inlineStr">
        <is>
          <t>Chespin</t>
        </is>
      </c>
      <c r="C3143" s="3" t="n">
        <v>42</v>
      </c>
      <c r="D3143" s="3" t="inlineStr">
        <is>
          <t>Body Slam</t>
        </is>
      </c>
      <c r="E3143" s="3" t="inlineStr">
        <is>
          <t>MOVE_BODY_SLAM</t>
        </is>
      </c>
    </row>
    <row r="3144">
      <c r="A3144" s="3" t="inlineStr">
        <is>
          <t>SPECIES_CHESPIN</t>
        </is>
      </c>
      <c r="B3144" s="3" t="inlineStr">
        <is>
          <t>Chespin</t>
        </is>
      </c>
      <c r="C3144" s="3" t="n">
        <v>45</v>
      </c>
      <c r="D3144" s="3" t="inlineStr">
        <is>
          <t>Pain Split</t>
        </is>
      </c>
      <c r="E3144" s="3" t="inlineStr">
        <is>
          <t>MOVE_PAIN_SPLIT</t>
        </is>
      </c>
    </row>
    <row r="3145">
      <c r="A3145" s="3" t="inlineStr">
        <is>
          <t>SPECIES_CHESPIN</t>
        </is>
      </c>
      <c r="B3145" s="3" t="inlineStr">
        <is>
          <t>Chespin</t>
        </is>
      </c>
      <c r="C3145" s="3" t="n">
        <v>48</v>
      </c>
      <c r="D3145" s="3" t="inlineStr">
        <is>
          <t>Wood Hammer</t>
        </is>
      </c>
      <c r="E3145" s="3" t="inlineStr">
        <is>
          <t>MOVE_WOOD_HAMMER</t>
        </is>
      </c>
    </row>
    <row r="3146">
      <c r="A3146" s="3" t="inlineStr">
        <is>
          <t>SPECIES_QUILLADIN</t>
        </is>
      </c>
      <c r="B3146" s="3" t="inlineStr">
        <is>
          <t>Quilladin</t>
        </is>
      </c>
      <c r="C3146" s="3" t="n">
        <v>1</v>
      </c>
      <c r="D3146" s="3" t="inlineStr">
        <is>
          <t>Vine Whip</t>
        </is>
      </c>
      <c r="E3146" s="3" t="inlineStr">
        <is>
          <t>MOVE_VINE_WHIP</t>
        </is>
      </c>
    </row>
    <row r="3147">
      <c r="A3147" s="3" t="inlineStr">
        <is>
          <t>SPECIES_QUILLADIN</t>
        </is>
      </c>
      <c r="B3147" s="3" t="inlineStr">
        <is>
          <t>Quilladin</t>
        </is>
      </c>
      <c r="C3147" s="3" t="n">
        <v>1</v>
      </c>
      <c r="D3147" s="3" t="inlineStr">
        <is>
          <t>Growl</t>
        </is>
      </c>
      <c r="E3147" s="3" t="inlineStr">
        <is>
          <t>MOVE_GROWL</t>
        </is>
      </c>
    </row>
    <row r="3148">
      <c r="A3148" s="3" t="inlineStr">
        <is>
          <t>SPECIES_QUILLADIN</t>
        </is>
      </c>
      <c r="B3148" s="3" t="inlineStr">
        <is>
          <t>Quilladin</t>
        </is>
      </c>
      <c r="C3148" s="3" t="n">
        <v>8</v>
      </c>
      <c r="D3148" s="3" t="inlineStr">
        <is>
          <t>Rollout</t>
        </is>
      </c>
      <c r="E3148" s="3" t="inlineStr">
        <is>
          <t>MOVE_ROLLOUT</t>
        </is>
      </c>
    </row>
    <row r="3149">
      <c r="A3149" s="3" t="inlineStr">
        <is>
          <t>SPECIES_QUILLADIN</t>
        </is>
      </c>
      <c r="B3149" s="3" t="inlineStr">
        <is>
          <t>Quilladin</t>
        </is>
      </c>
      <c r="C3149" s="3" t="n">
        <v>11</v>
      </c>
      <c r="D3149" s="3" t="inlineStr">
        <is>
          <t>Bite</t>
        </is>
      </c>
      <c r="E3149" s="3" t="inlineStr">
        <is>
          <t>MOVE_BITE</t>
        </is>
      </c>
    </row>
    <row r="3150">
      <c r="A3150" s="3" t="inlineStr">
        <is>
          <t>SPECIES_QUILLADIN</t>
        </is>
      </c>
      <c r="B3150" s="3" t="inlineStr">
        <is>
          <t>Quilladin</t>
        </is>
      </c>
      <c r="C3150" s="3" t="n">
        <v>15</v>
      </c>
      <c r="D3150" s="3" t="inlineStr">
        <is>
          <t>Leech Seed</t>
        </is>
      </c>
      <c r="E3150" s="3" t="inlineStr">
        <is>
          <t>MOVE_LEECH_SEED</t>
        </is>
      </c>
    </row>
    <row r="3151">
      <c r="A3151" s="3" t="inlineStr">
        <is>
          <t>SPECIES_QUILLADIN</t>
        </is>
      </c>
      <c r="B3151" s="3" t="inlineStr">
        <is>
          <t>Quilladin</t>
        </is>
      </c>
      <c r="C3151" s="3" t="n">
        <v>20</v>
      </c>
      <c r="D3151" s="3" t="inlineStr">
        <is>
          <t>Seed Bomb</t>
        </is>
      </c>
      <c r="E3151" s="3" t="inlineStr">
        <is>
          <t>MOVE_SEED_BOMB</t>
        </is>
      </c>
    </row>
    <row r="3152">
      <c r="A3152" s="3" t="inlineStr">
        <is>
          <t>SPECIES_QUILLADIN</t>
        </is>
      </c>
      <c r="B3152" s="3" t="inlineStr">
        <is>
          <t>Quilladin</t>
        </is>
      </c>
      <c r="C3152" s="3" t="n">
        <v>24</v>
      </c>
      <c r="D3152" s="3" t="inlineStr">
        <is>
          <t>Pin Missile</t>
        </is>
      </c>
      <c r="E3152" s="3" t="inlineStr">
        <is>
          <t>MOVE_PIN_MISSILE</t>
        </is>
      </c>
    </row>
    <row r="3153">
      <c r="A3153" s="3" t="inlineStr">
        <is>
          <t>SPECIES_QUILLADIN</t>
        </is>
      </c>
      <c r="B3153" s="3" t="inlineStr">
        <is>
          <t>Quilladin</t>
        </is>
      </c>
      <c r="C3153" s="3" t="n">
        <v>29</v>
      </c>
      <c r="D3153" s="3" t="inlineStr">
        <is>
          <t>Take Down</t>
        </is>
      </c>
      <c r="E3153" s="3" t="inlineStr">
        <is>
          <t>MOVE_TAKE_DOWN</t>
        </is>
      </c>
    </row>
    <row r="3154">
      <c r="A3154" s="3" t="inlineStr">
        <is>
          <t>SPECIES_QUILLADIN</t>
        </is>
      </c>
      <c r="B3154" s="3" t="inlineStr">
        <is>
          <t>Quilladin</t>
        </is>
      </c>
      <c r="C3154" s="3" t="n">
        <v>34</v>
      </c>
      <c r="D3154" s="3" t="inlineStr">
        <is>
          <t>Mud Shot</t>
        </is>
      </c>
      <c r="E3154" s="3" t="inlineStr">
        <is>
          <t>MOVE_MUD_SHOT</t>
        </is>
      </c>
    </row>
    <row r="3155">
      <c r="A3155" s="3" t="inlineStr">
        <is>
          <t>SPECIES_QUILLADIN</t>
        </is>
      </c>
      <c r="B3155" s="3" t="inlineStr">
        <is>
          <t>Quilladin</t>
        </is>
      </c>
      <c r="C3155" s="3" t="n">
        <v>38</v>
      </c>
      <c r="D3155" s="3" t="inlineStr">
        <is>
          <t>Bulk Up</t>
        </is>
      </c>
      <c r="E3155" s="3" t="inlineStr">
        <is>
          <t>MOVE_BULK_UP</t>
        </is>
      </c>
    </row>
    <row r="3156">
      <c r="A3156" s="3" t="inlineStr">
        <is>
          <t>SPECIES_QUILLADIN</t>
        </is>
      </c>
      <c r="B3156" s="3" t="inlineStr">
        <is>
          <t>Quilladin</t>
        </is>
      </c>
      <c r="C3156" s="3" t="n">
        <v>43</v>
      </c>
      <c r="D3156" s="3" t="inlineStr">
        <is>
          <t>Body Slam</t>
        </is>
      </c>
      <c r="E3156" s="3" t="inlineStr">
        <is>
          <t>MOVE_BODY_SLAM</t>
        </is>
      </c>
    </row>
    <row r="3157">
      <c r="A3157" s="3" t="inlineStr">
        <is>
          <t>SPECIES_QUILLADIN</t>
        </is>
      </c>
      <c r="B3157" s="3" t="inlineStr">
        <is>
          <t>Quilladin</t>
        </is>
      </c>
      <c r="C3157" s="3" t="n">
        <v>47</v>
      </c>
      <c r="D3157" s="3" t="inlineStr">
        <is>
          <t>Pain Split</t>
        </is>
      </c>
      <c r="E3157" s="3" t="inlineStr">
        <is>
          <t>MOVE_PAIN_SPLIT</t>
        </is>
      </c>
    </row>
    <row r="3158">
      <c r="A3158" s="3" t="inlineStr">
        <is>
          <t>SPECIES_QUILLADIN</t>
        </is>
      </c>
      <c r="B3158" s="3" t="inlineStr">
        <is>
          <t>Quilladin</t>
        </is>
      </c>
      <c r="C3158" s="3" t="n">
        <v>53</v>
      </c>
      <c r="D3158" s="3" t="inlineStr">
        <is>
          <t>Wood Hammer</t>
        </is>
      </c>
      <c r="E3158" s="3" t="inlineStr">
        <is>
          <t>MOVE_WOOD_HAMMER</t>
        </is>
      </c>
    </row>
    <row r="3159">
      <c r="A3159" s="3" t="inlineStr">
        <is>
          <t>SPECIES_CHESNAUGHT</t>
        </is>
      </c>
      <c r="B3159" s="3" t="inlineStr">
        <is>
          <t>Chesnaught</t>
        </is>
      </c>
      <c r="C3159" s="3" t="n">
        <v>0</v>
      </c>
      <c r="D3159" s="3" t="inlineStr">
        <is>
          <t>Spiky Shield</t>
        </is>
      </c>
      <c r="E3159" s="3" t="inlineStr">
        <is>
          <t>MOVE_SPIKY_SHIELD</t>
        </is>
      </c>
    </row>
    <row r="3160">
      <c r="A3160" s="3" t="inlineStr">
        <is>
          <t>SPECIES_CHESNAUGHT</t>
        </is>
      </c>
      <c r="B3160" s="3" t="inlineStr">
        <is>
          <t>Chesnaught</t>
        </is>
      </c>
      <c r="C3160" s="3" t="n">
        <v>1</v>
      </c>
      <c r="D3160" s="3" t="inlineStr">
        <is>
          <t>Feint</t>
        </is>
      </c>
      <c r="E3160" s="3" t="inlineStr">
        <is>
          <t>MOVE_FEINT</t>
        </is>
      </c>
    </row>
    <row r="3161">
      <c r="A3161" s="3" t="inlineStr">
        <is>
          <t>SPECIES_CHESNAUGHT</t>
        </is>
      </c>
      <c r="B3161" s="3" t="inlineStr">
        <is>
          <t>Chesnaught</t>
        </is>
      </c>
      <c r="C3161" s="3" t="n">
        <v>1</v>
      </c>
      <c r="D3161" s="3" t="inlineStr">
        <is>
          <t>Hammer Arm</t>
        </is>
      </c>
      <c r="E3161" s="3" t="inlineStr">
        <is>
          <t>MOVE_HAMMER_ARM</t>
        </is>
      </c>
    </row>
    <row r="3162">
      <c r="A3162" s="3" t="inlineStr">
        <is>
          <t>SPECIES_CHESNAUGHT</t>
        </is>
      </c>
      <c r="B3162" s="3" t="inlineStr">
        <is>
          <t>Chesnaught</t>
        </is>
      </c>
      <c r="C3162" s="3" t="n">
        <v>1</v>
      </c>
      <c r="D3162" s="3" t="inlineStr">
        <is>
          <t>Growl</t>
        </is>
      </c>
      <c r="E3162" s="3" t="inlineStr">
        <is>
          <t>MOVE_GROWL</t>
        </is>
      </c>
    </row>
    <row r="3163">
      <c r="A3163" s="3" t="inlineStr">
        <is>
          <t>SPECIES_CHESNAUGHT</t>
        </is>
      </c>
      <c r="B3163" s="3" t="inlineStr">
        <is>
          <t>Chesnaught</t>
        </is>
      </c>
      <c r="C3163" s="3" t="n">
        <v>1</v>
      </c>
      <c r="D3163" s="3" t="inlineStr">
        <is>
          <t>Rollout</t>
        </is>
      </c>
      <c r="E3163" s="3" t="inlineStr">
        <is>
          <t>MOVE_ROLLOUT</t>
        </is>
      </c>
    </row>
    <row r="3164">
      <c r="A3164" s="3" t="inlineStr">
        <is>
          <t>SPECIES_CHESNAUGHT</t>
        </is>
      </c>
      <c r="B3164" s="3" t="inlineStr">
        <is>
          <t>Chesnaught</t>
        </is>
      </c>
      <c r="C3164" s="3" t="n">
        <v>1</v>
      </c>
      <c r="D3164" s="3" t="inlineStr">
        <is>
          <t>Tackle</t>
        </is>
      </c>
      <c r="E3164" s="3" t="inlineStr">
        <is>
          <t>MOVE_TACKLE</t>
        </is>
      </c>
    </row>
    <row r="3165">
      <c r="A3165" s="3" t="inlineStr">
        <is>
          <t>SPECIES_CHESNAUGHT</t>
        </is>
      </c>
      <c r="B3165" s="3" t="inlineStr">
        <is>
          <t>Chesnaught</t>
        </is>
      </c>
      <c r="C3165" s="3" t="n">
        <v>1</v>
      </c>
      <c r="D3165" s="3" t="inlineStr">
        <is>
          <t>Vine Whip</t>
        </is>
      </c>
      <c r="E3165" s="3" t="inlineStr">
        <is>
          <t>MOVE_VINE_WHIP</t>
        </is>
      </c>
    </row>
    <row r="3166">
      <c r="A3166" s="3" t="inlineStr">
        <is>
          <t>SPECIES_CHESNAUGHT</t>
        </is>
      </c>
      <c r="B3166" s="3" t="inlineStr">
        <is>
          <t>Chesnaught</t>
        </is>
      </c>
      <c r="C3166" s="3" t="n">
        <v>11</v>
      </c>
      <c r="D3166" s="3" t="inlineStr">
        <is>
          <t>Bite</t>
        </is>
      </c>
      <c r="E3166" s="3" t="inlineStr">
        <is>
          <t>MOVE_BITE</t>
        </is>
      </c>
    </row>
    <row r="3167">
      <c r="A3167" s="3" t="inlineStr">
        <is>
          <t>SPECIES_CHESNAUGHT</t>
        </is>
      </c>
      <c r="B3167" s="3" t="inlineStr">
        <is>
          <t>Chesnaught</t>
        </is>
      </c>
      <c r="C3167" s="3" t="n">
        <v>15</v>
      </c>
      <c r="D3167" s="3" t="inlineStr">
        <is>
          <t>Leech Seed</t>
        </is>
      </c>
      <c r="E3167" s="3" t="inlineStr">
        <is>
          <t>MOVE_LEECH_SEED</t>
        </is>
      </c>
    </row>
    <row r="3168">
      <c r="A3168" s="3" t="inlineStr">
        <is>
          <t>SPECIES_CHESNAUGHT</t>
        </is>
      </c>
      <c r="B3168" s="3" t="inlineStr">
        <is>
          <t>Chesnaught</t>
        </is>
      </c>
      <c r="C3168" s="3" t="n">
        <v>19</v>
      </c>
      <c r="D3168" s="3" t="inlineStr">
        <is>
          <t>Pin Missile</t>
        </is>
      </c>
      <c r="E3168" s="3" t="inlineStr">
        <is>
          <t>MOVE_PIN_MISSILE</t>
        </is>
      </c>
    </row>
    <row r="3169">
      <c r="A3169" s="3" t="inlineStr">
        <is>
          <t>SPECIES_CHESNAUGHT</t>
        </is>
      </c>
      <c r="B3169" s="3" t="inlineStr">
        <is>
          <t>Chesnaught</t>
        </is>
      </c>
      <c r="C3169" s="3" t="n">
        <v>29</v>
      </c>
      <c r="D3169" s="3" t="inlineStr">
        <is>
          <t>Take Down</t>
        </is>
      </c>
      <c r="E3169" s="3" t="inlineStr">
        <is>
          <t>MOVE_TAKE_DOWN</t>
        </is>
      </c>
    </row>
    <row r="3170">
      <c r="A3170" s="3" t="inlineStr">
        <is>
          <t>SPECIES_CHESNAUGHT</t>
        </is>
      </c>
      <c r="B3170" s="3" t="inlineStr">
        <is>
          <t>Chesnaught</t>
        </is>
      </c>
      <c r="C3170" s="3" t="n">
        <v>35</v>
      </c>
      <c r="D3170" s="3" t="inlineStr">
        <is>
          <t>Seed Bomb</t>
        </is>
      </c>
      <c r="E3170" s="3" t="inlineStr">
        <is>
          <t>MOVE_SEED_BOMB</t>
        </is>
      </c>
    </row>
    <row r="3171">
      <c r="A3171" s="3" t="inlineStr">
        <is>
          <t>SPECIES_CHESNAUGHT</t>
        </is>
      </c>
      <c r="B3171" s="3" t="inlineStr">
        <is>
          <t>Chesnaught</t>
        </is>
      </c>
      <c r="C3171" s="3" t="n">
        <v>41</v>
      </c>
      <c r="D3171" s="3" t="inlineStr">
        <is>
          <t>Mud Shot</t>
        </is>
      </c>
      <c r="E3171" s="3" t="inlineStr">
        <is>
          <t>MOVE_MUD_SHOT</t>
        </is>
      </c>
    </row>
    <row r="3172">
      <c r="A3172" s="3" t="inlineStr">
        <is>
          <t>SPECIES_CHESNAUGHT</t>
        </is>
      </c>
      <c r="B3172" s="3" t="inlineStr">
        <is>
          <t>Chesnaught</t>
        </is>
      </c>
      <c r="C3172" s="3" t="n">
        <v>48</v>
      </c>
      <c r="D3172" s="3" t="inlineStr">
        <is>
          <t>Bulk Up</t>
        </is>
      </c>
      <c r="E3172" s="3" t="inlineStr">
        <is>
          <t>MOVE_BULK_UP</t>
        </is>
      </c>
    </row>
    <row r="3173">
      <c r="A3173" s="3" t="inlineStr">
        <is>
          <t>SPECIES_CHESNAUGHT</t>
        </is>
      </c>
      <c r="B3173" s="3" t="inlineStr">
        <is>
          <t>Chesnaught</t>
        </is>
      </c>
      <c r="C3173" s="3" t="n">
        <v>54</v>
      </c>
      <c r="D3173" s="3" t="inlineStr">
        <is>
          <t>Body Slam</t>
        </is>
      </c>
      <c r="E3173" s="3" t="inlineStr">
        <is>
          <t>MOVE_BODY_SLAM</t>
        </is>
      </c>
    </row>
    <row r="3174">
      <c r="A3174" s="3" t="inlineStr">
        <is>
          <t>SPECIES_CHESNAUGHT</t>
        </is>
      </c>
      <c r="B3174" s="3" t="inlineStr">
        <is>
          <t>Chesnaught</t>
        </is>
      </c>
      <c r="C3174" s="3" t="n">
        <v>60</v>
      </c>
      <c r="D3174" s="3" t="inlineStr">
        <is>
          <t>Pain Split</t>
        </is>
      </c>
      <c r="E3174" s="3" t="inlineStr">
        <is>
          <t>MOVE_PAIN_SPLIT</t>
        </is>
      </c>
    </row>
    <row r="3175">
      <c r="A3175" s="3" t="inlineStr">
        <is>
          <t>SPECIES_CHESNAUGHT</t>
        </is>
      </c>
      <c r="B3175" s="3" t="inlineStr">
        <is>
          <t>Chesnaught</t>
        </is>
      </c>
      <c r="C3175" s="3" t="n">
        <v>66</v>
      </c>
      <c r="D3175" s="3" t="inlineStr">
        <is>
          <t>Wood Hammer</t>
        </is>
      </c>
      <c r="E3175" s="3" t="inlineStr">
        <is>
          <t>MOVE_WOOD_HAMMER</t>
        </is>
      </c>
    </row>
    <row r="3176">
      <c r="A3176" s="3" t="inlineStr">
        <is>
          <t>SPECIES_CHESNAUGHT</t>
        </is>
      </c>
      <c r="B3176" s="3" t="inlineStr">
        <is>
          <t>Chesnaught</t>
        </is>
      </c>
      <c r="C3176" s="3" t="n">
        <v>78</v>
      </c>
      <c r="D3176" s="3" t="inlineStr">
        <is>
          <t>Giga Impact</t>
        </is>
      </c>
      <c r="E3176" s="3" t="inlineStr">
        <is>
          <t>MOVE_GIGA_IMPACT</t>
        </is>
      </c>
    </row>
    <row r="3177">
      <c r="A3177" s="3" t="inlineStr">
        <is>
          <t>SPECIES_FENNEKIN</t>
        </is>
      </c>
      <c r="B3177" s="3" t="inlineStr">
        <is>
          <t>Fennekin</t>
        </is>
      </c>
      <c r="C3177" s="3" t="n">
        <v>1</v>
      </c>
      <c r="D3177" s="3" t="inlineStr">
        <is>
          <t>Scratch</t>
        </is>
      </c>
      <c r="E3177" s="3" t="inlineStr">
        <is>
          <t>MOVE_SCRATCH</t>
        </is>
      </c>
    </row>
    <row r="3178">
      <c r="A3178" s="3" t="inlineStr">
        <is>
          <t>SPECIES_FENNEKIN</t>
        </is>
      </c>
      <c r="B3178" s="3" t="inlineStr">
        <is>
          <t>Fennekin</t>
        </is>
      </c>
      <c r="C3178" s="3" t="n">
        <v>1</v>
      </c>
      <c r="D3178" s="3" t="inlineStr">
        <is>
          <t>Tail Whip</t>
        </is>
      </c>
      <c r="E3178" s="3" t="inlineStr">
        <is>
          <t>MOVE_TAIL_WHIP</t>
        </is>
      </c>
    </row>
    <row r="3179">
      <c r="A3179" s="3" t="inlineStr">
        <is>
          <t>SPECIES_FENNEKIN</t>
        </is>
      </c>
      <c r="B3179" s="3" t="inlineStr">
        <is>
          <t>Fennekin</t>
        </is>
      </c>
      <c r="C3179" s="3" t="n">
        <v>5</v>
      </c>
      <c r="D3179" s="3" t="inlineStr">
        <is>
          <t>Ember</t>
        </is>
      </c>
      <c r="E3179" s="3" t="inlineStr">
        <is>
          <t>MOVE_EMBER</t>
        </is>
      </c>
    </row>
    <row r="3180">
      <c r="A3180" s="3" t="inlineStr">
        <is>
          <t>SPECIES_FENNEKIN</t>
        </is>
      </c>
      <c r="B3180" s="3" t="inlineStr">
        <is>
          <t>Fennekin</t>
        </is>
      </c>
      <c r="C3180" s="3" t="n">
        <v>11</v>
      </c>
      <c r="D3180" s="3" t="inlineStr">
        <is>
          <t>Howl</t>
        </is>
      </c>
      <c r="E3180" s="3" t="inlineStr">
        <is>
          <t>MOVE_HOWL</t>
        </is>
      </c>
    </row>
    <row r="3181">
      <c r="A3181" s="3" t="inlineStr">
        <is>
          <t>SPECIES_FENNEKIN</t>
        </is>
      </c>
      <c r="B3181" s="3" t="inlineStr">
        <is>
          <t>Fennekin</t>
        </is>
      </c>
      <c r="C3181" s="3" t="n">
        <v>14</v>
      </c>
      <c r="D3181" s="3" t="inlineStr">
        <is>
          <t>Flame Charge</t>
        </is>
      </c>
      <c r="E3181" s="3" t="inlineStr">
        <is>
          <t>MOVE_FLAME_CHARGE</t>
        </is>
      </c>
    </row>
    <row r="3182">
      <c r="A3182" s="3" t="inlineStr">
        <is>
          <t>SPECIES_FENNEKIN</t>
        </is>
      </c>
      <c r="B3182" s="3" t="inlineStr">
        <is>
          <t>Fennekin</t>
        </is>
      </c>
      <c r="C3182" s="3" t="n">
        <v>17</v>
      </c>
      <c r="D3182" s="3" t="inlineStr">
        <is>
          <t>Psybeam</t>
        </is>
      </c>
      <c r="E3182" s="3" t="inlineStr">
        <is>
          <t>MOVE_PSYBEAM</t>
        </is>
      </c>
    </row>
    <row r="3183">
      <c r="A3183" s="3" t="inlineStr">
        <is>
          <t>SPECIES_FENNEKIN</t>
        </is>
      </c>
      <c r="B3183" s="3" t="inlineStr">
        <is>
          <t>Fennekin</t>
        </is>
      </c>
      <c r="C3183" s="3" t="n">
        <v>20</v>
      </c>
      <c r="D3183" s="3" t="inlineStr">
        <is>
          <t>Fire Spin</t>
        </is>
      </c>
      <c r="E3183" s="3" t="inlineStr">
        <is>
          <t>MOVE_FIRE_SPIN</t>
        </is>
      </c>
    </row>
    <row r="3184">
      <c r="A3184" s="3" t="inlineStr">
        <is>
          <t>SPECIES_FENNEKIN</t>
        </is>
      </c>
      <c r="B3184" s="3" t="inlineStr">
        <is>
          <t>Fennekin</t>
        </is>
      </c>
      <c r="C3184" s="3" t="n">
        <v>25</v>
      </c>
      <c r="D3184" s="3" t="inlineStr">
        <is>
          <t>Light Screen</t>
        </is>
      </c>
      <c r="E3184" s="3" t="inlineStr">
        <is>
          <t>MOVE_LIGHT_SCREEN</t>
        </is>
      </c>
    </row>
    <row r="3185">
      <c r="A3185" s="3" t="inlineStr">
        <is>
          <t>SPECIES_FENNEKIN</t>
        </is>
      </c>
      <c r="B3185" s="3" t="inlineStr">
        <is>
          <t>Fennekin</t>
        </is>
      </c>
      <c r="C3185" s="3" t="n">
        <v>31</v>
      </c>
      <c r="D3185" s="3" t="inlineStr">
        <is>
          <t>Psyshock</t>
        </is>
      </c>
      <c r="E3185" s="3" t="inlineStr">
        <is>
          <t>MOVE_PSYSHOCK</t>
        </is>
      </c>
    </row>
    <row r="3186">
      <c r="A3186" s="3" t="inlineStr">
        <is>
          <t>SPECIES_FENNEKIN</t>
        </is>
      </c>
      <c r="B3186" s="3" t="inlineStr">
        <is>
          <t>Fennekin</t>
        </is>
      </c>
      <c r="C3186" s="3" t="n">
        <v>35</v>
      </c>
      <c r="D3186" s="3" t="inlineStr">
        <is>
          <t>Flamethrower</t>
        </is>
      </c>
      <c r="E3186" s="3" t="inlineStr">
        <is>
          <t>MOVE_FLAMETHROWER</t>
        </is>
      </c>
    </row>
    <row r="3187">
      <c r="A3187" s="3" t="inlineStr">
        <is>
          <t>SPECIES_FENNEKIN</t>
        </is>
      </c>
      <c r="B3187" s="3" t="inlineStr">
        <is>
          <t>Fennekin</t>
        </is>
      </c>
      <c r="C3187" s="3" t="n">
        <v>38</v>
      </c>
      <c r="D3187" s="3" t="inlineStr">
        <is>
          <t>Will-O-Wisp</t>
        </is>
      </c>
      <c r="E3187" s="3" t="inlineStr">
        <is>
          <t>MOVE_WILL_O_WISP</t>
        </is>
      </c>
    </row>
    <row r="3188">
      <c r="A3188" s="3" t="inlineStr">
        <is>
          <t>SPECIES_FENNEKIN</t>
        </is>
      </c>
      <c r="B3188" s="3" t="inlineStr">
        <is>
          <t>Fennekin</t>
        </is>
      </c>
      <c r="C3188" s="3" t="n">
        <v>41</v>
      </c>
      <c r="D3188" s="3" t="inlineStr">
        <is>
          <t>Psychic</t>
        </is>
      </c>
      <c r="E3188" s="3" t="inlineStr">
        <is>
          <t>MOVE_PSYCHIC</t>
        </is>
      </c>
    </row>
    <row r="3189">
      <c r="A3189" s="3" t="inlineStr">
        <is>
          <t>SPECIES_FENNEKIN</t>
        </is>
      </c>
      <c r="B3189" s="3" t="inlineStr">
        <is>
          <t>Fennekin</t>
        </is>
      </c>
      <c r="C3189" s="3" t="n">
        <v>43</v>
      </c>
      <c r="D3189" s="3" t="inlineStr">
        <is>
          <t>Sunny Day</t>
        </is>
      </c>
      <c r="E3189" s="3" t="inlineStr">
        <is>
          <t>MOVE_SUNNY_DAY</t>
        </is>
      </c>
    </row>
    <row r="3190">
      <c r="A3190" s="3" t="inlineStr">
        <is>
          <t>SPECIES_FENNEKIN</t>
        </is>
      </c>
      <c r="B3190" s="3" t="inlineStr">
        <is>
          <t>Fennekin</t>
        </is>
      </c>
      <c r="C3190" s="3" t="n">
        <v>48</v>
      </c>
      <c r="D3190" s="3" t="inlineStr">
        <is>
          <t>Fire Blast</t>
        </is>
      </c>
      <c r="E3190" s="3" t="inlineStr">
        <is>
          <t>MOVE_FIRE_BLAST</t>
        </is>
      </c>
    </row>
    <row r="3191">
      <c r="A3191" s="3" t="inlineStr">
        <is>
          <t>SPECIES_BRAIXEN</t>
        </is>
      </c>
      <c r="B3191" s="3" t="inlineStr">
        <is>
          <t>Braixen</t>
        </is>
      </c>
      <c r="C3191" s="3" t="n">
        <v>1</v>
      </c>
      <c r="D3191" s="3" t="inlineStr">
        <is>
          <t>Scratch</t>
        </is>
      </c>
      <c r="E3191" s="3" t="inlineStr">
        <is>
          <t>MOVE_SCRATCH</t>
        </is>
      </c>
    </row>
    <row r="3192">
      <c r="A3192" s="3" t="inlineStr">
        <is>
          <t>SPECIES_BRAIXEN</t>
        </is>
      </c>
      <c r="B3192" s="3" t="inlineStr">
        <is>
          <t>Braixen</t>
        </is>
      </c>
      <c r="C3192" s="3" t="n">
        <v>1</v>
      </c>
      <c r="D3192" s="3" t="inlineStr">
        <is>
          <t>Tail Whip</t>
        </is>
      </c>
      <c r="E3192" s="3" t="inlineStr">
        <is>
          <t>MOVE_TAIL_WHIP</t>
        </is>
      </c>
    </row>
    <row r="3193">
      <c r="A3193" s="3" t="inlineStr">
        <is>
          <t>SPECIES_BRAIXEN</t>
        </is>
      </c>
      <c r="B3193" s="3" t="inlineStr">
        <is>
          <t>Braixen</t>
        </is>
      </c>
      <c r="C3193" s="3" t="n">
        <v>1</v>
      </c>
      <c r="D3193" s="3" t="inlineStr">
        <is>
          <t>Ember</t>
        </is>
      </c>
      <c r="E3193" s="3" t="inlineStr">
        <is>
          <t>MOVE_EMBER</t>
        </is>
      </c>
    </row>
    <row r="3194">
      <c r="A3194" s="3" t="inlineStr">
        <is>
          <t>SPECIES_BRAIXEN</t>
        </is>
      </c>
      <c r="B3194" s="3" t="inlineStr">
        <is>
          <t>Braixen</t>
        </is>
      </c>
      <c r="C3194" s="3" t="n">
        <v>11</v>
      </c>
      <c r="D3194" s="3" t="inlineStr">
        <is>
          <t>Howl</t>
        </is>
      </c>
      <c r="E3194" s="3" t="inlineStr">
        <is>
          <t>MOVE_HOWL</t>
        </is>
      </c>
    </row>
    <row r="3195">
      <c r="A3195" s="3" t="inlineStr">
        <is>
          <t>SPECIES_BRAIXEN</t>
        </is>
      </c>
      <c r="B3195" s="3" t="inlineStr">
        <is>
          <t>Braixen</t>
        </is>
      </c>
      <c r="C3195" s="3" t="n">
        <v>14</v>
      </c>
      <c r="D3195" s="3" t="inlineStr">
        <is>
          <t>Flame Charge</t>
        </is>
      </c>
      <c r="E3195" s="3" t="inlineStr">
        <is>
          <t>MOVE_FLAME_CHARGE</t>
        </is>
      </c>
    </row>
    <row r="3196">
      <c r="A3196" s="3" t="inlineStr">
        <is>
          <t>SPECIES_BRAIXEN</t>
        </is>
      </c>
      <c r="B3196" s="3" t="inlineStr">
        <is>
          <t>Braixen</t>
        </is>
      </c>
      <c r="C3196" s="3" t="n">
        <v>18</v>
      </c>
      <c r="D3196" s="3" t="inlineStr">
        <is>
          <t>Psybeam</t>
        </is>
      </c>
      <c r="E3196" s="3" t="inlineStr">
        <is>
          <t>MOVE_PSYBEAM</t>
        </is>
      </c>
    </row>
    <row r="3197">
      <c r="A3197" s="3" t="inlineStr">
        <is>
          <t>SPECIES_BRAIXEN</t>
        </is>
      </c>
      <c r="B3197" s="3" t="inlineStr">
        <is>
          <t>Braixen</t>
        </is>
      </c>
      <c r="C3197" s="3" t="n">
        <v>22</v>
      </c>
      <c r="D3197" s="3" t="inlineStr">
        <is>
          <t>Fire Spin</t>
        </is>
      </c>
      <c r="E3197" s="3" t="inlineStr">
        <is>
          <t>MOVE_FIRE_SPIN</t>
        </is>
      </c>
    </row>
    <row r="3198">
      <c r="A3198" s="3" t="inlineStr">
        <is>
          <t>SPECIES_BRAIXEN</t>
        </is>
      </c>
      <c r="B3198" s="3" t="inlineStr">
        <is>
          <t>Braixen</t>
        </is>
      </c>
      <c r="C3198" s="3" t="n">
        <v>28</v>
      </c>
      <c r="D3198" s="3" t="inlineStr">
        <is>
          <t>Light Screen</t>
        </is>
      </c>
      <c r="E3198" s="3" t="inlineStr">
        <is>
          <t>MOVE_LIGHT_SCREEN</t>
        </is>
      </c>
    </row>
    <row r="3199">
      <c r="A3199" s="3" t="inlineStr">
        <is>
          <t>SPECIES_BRAIXEN</t>
        </is>
      </c>
      <c r="B3199" s="3" t="inlineStr">
        <is>
          <t>Braixen</t>
        </is>
      </c>
      <c r="C3199" s="3" t="n">
        <v>36</v>
      </c>
      <c r="D3199" s="3" t="inlineStr">
        <is>
          <t>Psyshock</t>
        </is>
      </c>
      <c r="E3199" s="3" t="inlineStr">
        <is>
          <t>MOVE_PSYSHOCK</t>
        </is>
      </c>
    </row>
    <row r="3200">
      <c r="A3200" s="3" t="inlineStr">
        <is>
          <t>SPECIES_BRAIXEN</t>
        </is>
      </c>
      <c r="B3200" s="3" t="inlineStr">
        <is>
          <t>Braixen</t>
        </is>
      </c>
      <c r="C3200" s="3" t="n">
        <v>41</v>
      </c>
      <c r="D3200" s="3" t="inlineStr">
        <is>
          <t>Flamethrower</t>
        </is>
      </c>
      <c r="E3200" s="3" t="inlineStr">
        <is>
          <t>MOVE_FLAMETHROWER</t>
        </is>
      </c>
    </row>
    <row r="3201">
      <c r="A3201" s="3" t="inlineStr">
        <is>
          <t>SPECIES_BRAIXEN</t>
        </is>
      </c>
      <c r="B3201" s="3" t="inlineStr">
        <is>
          <t>Braixen</t>
        </is>
      </c>
      <c r="C3201" s="3" t="n">
        <v>45</v>
      </c>
      <c r="D3201" s="3" t="inlineStr">
        <is>
          <t>Will-O-Wisp</t>
        </is>
      </c>
      <c r="E3201" s="3" t="inlineStr">
        <is>
          <t>MOVE_WILL_O_WISP</t>
        </is>
      </c>
    </row>
    <row r="3202">
      <c r="A3202" s="3" t="inlineStr">
        <is>
          <t>SPECIES_BRAIXEN</t>
        </is>
      </c>
      <c r="B3202" s="3" t="inlineStr">
        <is>
          <t>Braixen</t>
        </is>
      </c>
      <c r="C3202" s="3" t="n">
        <v>49</v>
      </c>
      <c r="D3202" s="3" t="inlineStr">
        <is>
          <t>Psychic</t>
        </is>
      </c>
      <c r="E3202" s="3" t="inlineStr">
        <is>
          <t>MOVE_PSYCHIC</t>
        </is>
      </c>
    </row>
    <row r="3203">
      <c r="A3203" s="3" t="inlineStr">
        <is>
          <t>SPECIES_BRAIXEN</t>
        </is>
      </c>
      <c r="B3203" s="3" t="inlineStr">
        <is>
          <t>Braixen</t>
        </is>
      </c>
      <c r="C3203" s="3" t="n">
        <v>52</v>
      </c>
      <c r="D3203" s="3" t="inlineStr">
        <is>
          <t>Sunny Day</t>
        </is>
      </c>
      <c r="E3203" s="3" t="inlineStr">
        <is>
          <t>MOVE_SUNNY_DAY</t>
        </is>
      </c>
    </row>
    <row r="3204">
      <c r="A3204" s="3" t="inlineStr">
        <is>
          <t>SPECIES_BRAIXEN</t>
        </is>
      </c>
      <c r="B3204" s="3" t="inlineStr">
        <is>
          <t>Braixen</t>
        </is>
      </c>
      <c r="C3204" s="3" t="n">
        <v>56</v>
      </c>
      <c r="D3204" s="3" t="inlineStr">
        <is>
          <t>Magic Room</t>
        </is>
      </c>
      <c r="E3204" s="3" t="inlineStr">
        <is>
          <t>MOVE_MAGIC_ROOM</t>
        </is>
      </c>
    </row>
    <row r="3205">
      <c r="A3205" s="3" t="inlineStr">
        <is>
          <t>SPECIES_BRAIXEN</t>
        </is>
      </c>
      <c r="B3205" s="3" t="inlineStr">
        <is>
          <t>Braixen</t>
        </is>
      </c>
      <c r="C3205" s="3" t="n">
        <v>59</v>
      </c>
      <c r="D3205" s="3" t="inlineStr">
        <is>
          <t>Fire Blast</t>
        </is>
      </c>
      <c r="E3205" s="3" t="inlineStr">
        <is>
          <t>MOVE_FIRE_BLAST</t>
        </is>
      </c>
    </row>
    <row r="3206">
      <c r="A3206" s="3" t="inlineStr">
        <is>
          <t>SPECIES_DELPHOX</t>
        </is>
      </c>
      <c r="B3206" s="3" t="inlineStr">
        <is>
          <t>Delphox</t>
        </is>
      </c>
      <c r="C3206" s="3" t="n">
        <v>0</v>
      </c>
      <c r="D3206" s="3" t="inlineStr">
        <is>
          <t>Mystical Fire</t>
        </is>
      </c>
      <c r="E3206" s="3" t="inlineStr">
        <is>
          <t>MOVE_MYSTICAL_FIRE</t>
        </is>
      </c>
    </row>
    <row r="3207">
      <c r="A3207" s="3" t="inlineStr">
        <is>
          <t>SPECIES_DELPHOX</t>
        </is>
      </c>
      <c r="B3207" s="3" t="inlineStr">
        <is>
          <t>Delphox</t>
        </is>
      </c>
      <c r="C3207" s="3" t="n">
        <v>1</v>
      </c>
      <c r="D3207" s="3" t="inlineStr">
        <is>
          <t>Switcheroo</t>
        </is>
      </c>
      <c r="E3207" s="3" t="inlineStr">
        <is>
          <t>MOVE_SWITCHEROO</t>
        </is>
      </c>
    </row>
    <row r="3208">
      <c r="A3208" s="3" t="inlineStr">
        <is>
          <t>SPECIES_DELPHOX</t>
        </is>
      </c>
      <c r="B3208" s="3" t="inlineStr">
        <is>
          <t>Delphox</t>
        </is>
      </c>
      <c r="C3208" s="3" t="n">
        <v>1</v>
      </c>
      <c r="D3208" s="3" t="inlineStr">
        <is>
          <t>Howl</t>
        </is>
      </c>
      <c r="E3208" s="3" t="inlineStr">
        <is>
          <t>MOVE_HOWL</t>
        </is>
      </c>
    </row>
    <row r="3209">
      <c r="A3209" s="3" t="inlineStr">
        <is>
          <t>SPECIES_DELPHOX</t>
        </is>
      </c>
      <c r="B3209" s="3" t="inlineStr">
        <is>
          <t>Delphox</t>
        </is>
      </c>
      <c r="C3209" s="3" t="n">
        <v>1</v>
      </c>
      <c r="D3209" s="3" t="inlineStr">
        <is>
          <t>Role Play</t>
        </is>
      </c>
      <c r="E3209" s="3" t="inlineStr">
        <is>
          <t>MOVE_ROLE_PLAY</t>
        </is>
      </c>
    </row>
    <row r="3210">
      <c r="A3210" s="3" t="inlineStr">
        <is>
          <t>SPECIES_DELPHOX</t>
        </is>
      </c>
      <c r="B3210" s="3" t="inlineStr">
        <is>
          <t>Delphox</t>
        </is>
      </c>
      <c r="C3210" s="3" t="n">
        <v>1</v>
      </c>
      <c r="D3210" s="3" t="inlineStr">
        <is>
          <t>Future Sight</t>
        </is>
      </c>
      <c r="E3210" s="3" t="inlineStr">
        <is>
          <t>MOVE_FUTURE_SIGHT</t>
        </is>
      </c>
    </row>
    <row r="3211">
      <c r="A3211" s="3" t="inlineStr">
        <is>
          <t>SPECIES_DELPHOX</t>
        </is>
      </c>
      <c r="B3211" s="3" t="inlineStr">
        <is>
          <t>Delphox</t>
        </is>
      </c>
      <c r="C3211" s="3" t="n">
        <v>1</v>
      </c>
      <c r="D3211" s="3" t="inlineStr">
        <is>
          <t>Shadow Ball</t>
        </is>
      </c>
      <c r="E3211" s="3" t="inlineStr">
        <is>
          <t>MOVE_SHADOW_BALL</t>
        </is>
      </c>
    </row>
    <row r="3212">
      <c r="A3212" s="3" t="inlineStr">
        <is>
          <t>SPECIES_DELPHOX</t>
        </is>
      </c>
      <c r="B3212" s="3" t="inlineStr">
        <is>
          <t>Delphox</t>
        </is>
      </c>
      <c r="C3212" s="3" t="n">
        <v>1</v>
      </c>
      <c r="D3212" s="3" t="inlineStr">
        <is>
          <t>Scratch</t>
        </is>
      </c>
      <c r="E3212" s="3" t="inlineStr">
        <is>
          <t>MOVE_SCRATCH</t>
        </is>
      </c>
    </row>
    <row r="3213">
      <c r="A3213" s="3" t="inlineStr">
        <is>
          <t>SPECIES_DELPHOX</t>
        </is>
      </c>
      <c r="B3213" s="3" t="inlineStr">
        <is>
          <t>Delphox</t>
        </is>
      </c>
      <c r="C3213" s="3" t="n">
        <v>1</v>
      </c>
      <c r="D3213" s="3" t="inlineStr">
        <is>
          <t>Ember</t>
        </is>
      </c>
      <c r="E3213" s="3" t="inlineStr">
        <is>
          <t>MOVE_EMBER</t>
        </is>
      </c>
    </row>
    <row r="3214">
      <c r="A3214" s="3" t="inlineStr">
        <is>
          <t>SPECIES_DELPHOX</t>
        </is>
      </c>
      <c r="B3214" s="3" t="inlineStr">
        <is>
          <t>Delphox</t>
        </is>
      </c>
      <c r="C3214" s="3" t="n">
        <v>1</v>
      </c>
      <c r="D3214" s="3" t="inlineStr">
        <is>
          <t>Tail Whip</t>
        </is>
      </c>
      <c r="E3214" s="3" t="inlineStr">
        <is>
          <t>MOVE_TAIL_WHIP</t>
        </is>
      </c>
    </row>
    <row r="3215">
      <c r="A3215" s="3" t="inlineStr">
        <is>
          <t>SPECIES_DELPHOX</t>
        </is>
      </c>
      <c r="B3215" s="3" t="inlineStr">
        <is>
          <t>Delphox</t>
        </is>
      </c>
      <c r="C3215" s="3" t="n">
        <v>14</v>
      </c>
      <c r="D3215" s="3" t="inlineStr">
        <is>
          <t>Flame Charge</t>
        </is>
      </c>
      <c r="E3215" s="3" t="inlineStr">
        <is>
          <t>MOVE_FLAME_CHARGE</t>
        </is>
      </c>
    </row>
    <row r="3216">
      <c r="A3216" s="3" t="inlineStr">
        <is>
          <t>SPECIES_DELPHOX</t>
        </is>
      </c>
      <c r="B3216" s="3" t="inlineStr">
        <is>
          <t>Delphox</t>
        </is>
      </c>
      <c r="C3216" s="3" t="n">
        <v>18</v>
      </c>
      <c r="D3216" s="3" t="inlineStr">
        <is>
          <t>Psybeam</t>
        </is>
      </c>
      <c r="E3216" s="3" t="inlineStr">
        <is>
          <t>MOVE_PSYBEAM</t>
        </is>
      </c>
    </row>
    <row r="3217">
      <c r="A3217" s="3" t="inlineStr">
        <is>
          <t>SPECIES_DELPHOX</t>
        </is>
      </c>
      <c r="B3217" s="3" t="inlineStr">
        <is>
          <t>Delphox</t>
        </is>
      </c>
      <c r="C3217" s="3" t="n">
        <v>22</v>
      </c>
      <c r="D3217" s="3" t="inlineStr">
        <is>
          <t>Fire Spin</t>
        </is>
      </c>
      <c r="E3217" s="3" t="inlineStr">
        <is>
          <t>MOVE_FIRE_SPIN</t>
        </is>
      </c>
    </row>
    <row r="3218">
      <c r="A3218" s="3" t="inlineStr">
        <is>
          <t>SPECIES_DELPHOX</t>
        </is>
      </c>
      <c r="B3218" s="3" t="inlineStr">
        <is>
          <t>Delphox</t>
        </is>
      </c>
      <c r="C3218" s="3" t="n">
        <v>28</v>
      </c>
      <c r="D3218" s="3" t="inlineStr">
        <is>
          <t>Light Screen</t>
        </is>
      </c>
      <c r="E3218" s="3" t="inlineStr">
        <is>
          <t>MOVE_LIGHT_SCREEN</t>
        </is>
      </c>
    </row>
    <row r="3219">
      <c r="A3219" s="3" t="inlineStr">
        <is>
          <t>SPECIES_DELPHOX</t>
        </is>
      </c>
      <c r="B3219" s="3" t="inlineStr">
        <is>
          <t>Delphox</t>
        </is>
      </c>
      <c r="C3219" s="3" t="n">
        <v>38</v>
      </c>
      <c r="D3219" s="3" t="inlineStr">
        <is>
          <t>Psyshock</t>
        </is>
      </c>
      <c r="E3219" s="3" t="inlineStr">
        <is>
          <t>MOVE_PSYSHOCK</t>
        </is>
      </c>
    </row>
    <row r="3220">
      <c r="A3220" s="3" t="inlineStr">
        <is>
          <t>SPECIES_DELPHOX</t>
        </is>
      </c>
      <c r="B3220" s="3" t="inlineStr">
        <is>
          <t>Delphox</t>
        </is>
      </c>
      <c r="C3220" s="3" t="n">
        <v>45</v>
      </c>
      <c r="D3220" s="3" t="inlineStr">
        <is>
          <t>Flamethrower</t>
        </is>
      </c>
      <c r="E3220" s="3" t="inlineStr">
        <is>
          <t>MOVE_FLAMETHROWER</t>
        </is>
      </c>
    </row>
    <row r="3221">
      <c r="A3221" s="3" t="inlineStr">
        <is>
          <t>SPECIES_DELPHOX</t>
        </is>
      </c>
      <c r="B3221" s="3" t="inlineStr">
        <is>
          <t>Delphox</t>
        </is>
      </c>
      <c r="C3221" s="3" t="n">
        <v>51</v>
      </c>
      <c r="D3221" s="3" t="inlineStr">
        <is>
          <t>Will-O-Wisp</t>
        </is>
      </c>
      <c r="E3221" s="3" t="inlineStr">
        <is>
          <t>MOVE_WILL_O_WISP</t>
        </is>
      </c>
    </row>
    <row r="3222">
      <c r="A3222" s="3" t="inlineStr">
        <is>
          <t>SPECIES_DELPHOX</t>
        </is>
      </c>
      <c r="B3222" s="3" t="inlineStr">
        <is>
          <t>Delphox</t>
        </is>
      </c>
      <c r="C3222" s="3" t="n">
        <v>57</v>
      </c>
      <c r="D3222" s="3" t="inlineStr">
        <is>
          <t>Psychic</t>
        </is>
      </c>
      <c r="E3222" s="3" t="inlineStr">
        <is>
          <t>MOVE_PSYCHIC</t>
        </is>
      </c>
    </row>
    <row r="3223">
      <c r="A3223" s="3" t="inlineStr">
        <is>
          <t>SPECIES_DELPHOX</t>
        </is>
      </c>
      <c r="B3223" s="3" t="inlineStr">
        <is>
          <t>Delphox</t>
        </is>
      </c>
      <c r="C3223" s="3" t="n">
        <v>62</v>
      </c>
      <c r="D3223" s="3" t="inlineStr">
        <is>
          <t>Sunny Day</t>
        </is>
      </c>
      <c r="E3223" s="3" t="inlineStr">
        <is>
          <t>MOVE_SUNNY_DAY</t>
        </is>
      </c>
    </row>
    <row r="3224">
      <c r="A3224" s="3" t="inlineStr">
        <is>
          <t>SPECIES_DELPHOX</t>
        </is>
      </c>
      <c r="B3224" s="3" t="inlineStr">
        <is>
          <t>Delphox</t>
        </is>
      </c>
      <c r="C3224" s="3" t="n">
        <v>68</v>
      </c>
      <c r="D3224" s="3" t="inlineStr">
        <is>
          <t>Magic Room</t>
        </is>
      </c>
      <c r="E3224" s="3" t="inlineStr">
        <is>
          <t>MOVE_MAGIC_ROOM</t>
        </is>
      </c>
    </row>
    <row r="3225">
      <c r="A3225" s="3" t="inlineStr">
        <is>
          <t>SPECIES_DELPHOX</t>
        </is>
      </c>
      <c r="B3225" s="3" t="inlineStr">
        <is>
          <t>Delphox</t>
        </is>
      </c>
      <c r="C3225" s="3" t="n">
        <v>74</v>
      </c>
      <c r="D3225" s="3" t="inlineStr">
        <is>
          <t>Fire Blast</t>
        </is>
      </c>
      <c r="E3225" s="3" t="inlineStr">
        <is>
          <t>MOVE_FIRE_BLAST</t>
        </is>
      </c>
    </row>
    <row r="3226">
      <c r="A3226" s="3" t="inlineStr">
        <is>
          <t>SPECIES_FROAKIE</t>
        </is>
      </c>
      <c r="B3226" s="3" t="inlineStr">
        <is>
          <t>Froakie</t>
        </is>
      </c>
      <c r="C3226" s="3" t="n">
        <v>1</v>
      </c>
      <c r="D3226" s="3" t="inlineStr">
        <is>
          <t>Pound</t>
        </is>
      </c>
      <c r="E3226" s="3" t="inlineStr">
        <is>
          <t>MOVE_POUND</t>
        </is>
      </c>
    </row>
    <row r="3227">
      <c r="A3227" s="3" t="inlineStr">
        <is>
          <t>SPECIES_FROAKIE</t>
        </is>
      </c>
      <c r="B3227" s="3" t="inlineStr">
        <is>
          <t>Froakie</t>
        </is>
      </c>
      <c r="C3227" s="3" t="n">
        <v>1</v>
      </c>
      <c r="D3227" s="3" t="inlineStr">
        <is>
          <t>Growl</t>
        </is>
      </c>
      <c r="E3227" s="3" t="inlineStr">
        <is>
          <t>MOVE_GROWL</t>
        </is>
      </c>
    </row>
    <row r="3228">
      <c r="A3228" s="3" t="inlineStr">
        <is>
          <t>SPECIES_FROAKIE</t>
        </is>
      </c>
      <c r="B3228" s="3" t="inlineStr">
        <is>
          <t>Froakie</t>
        </is>
      </c>
      <c r="C3228" s="3" t="n">
        <v>5</v>
      </c>
      <c r="D3228" s="3" t="inlineStr">
        <is>
          <t>Water Gun</t>
        </is>
      </c>
      <c r="E3228" s="3" t="inlineStr">
        <is>
          <t>MOVE_WATER_GUN</t>
        </is>
      </c>
    </row>
    <row r="3229">
      <c r="A3229" s="3" t="inlineStr">
        <is>
          <t>SPECIES_FROAKIE</t>
        </is>
      </c>
      <c r="B3229" s="3" t="inlineStr">
        <is>
          <t>Froakie</t>
        </is>
      </c>
      <c r="C3229" s="3" t="n">
        <v>8</v>
      </c>
      <c r="D3229" s="3" t="inlineStr">
        <is>
          <t>Quick Attack</t>
        </is>
      </c>
      <c r="E3229" s="3" t="inlineStr">
        <is>
          <t>MOVE_QUICK_ATTACK</t>
        </is>
      </c>
    </row>
    <row r="3230">
      <c r="A3230" s="3" t="inlineStr">
        <is>
          <t>SPECIES_FROAKIE</t>
        </is>
      </c>
      <c r="B3230" s="3" t="inlineStr">
        <is>
          <t>Froakie</t>
        </is>
      </c>
      <c r="C3230" s="3" t="n">
        <v>10</v>
      </c>
      <c r="D3230" s="3" t="inlineStr">
        <is>
          <t>Lick</t>
        </is>
      </c>
      <c r="E3230" s="3" t="inlineStr">
        <is>
          <t>MOVE_LICK</t>
        </is>
      </c>
    </row>
    <row r="3231">
      <c r="A3231" s="3" t="inlineStr">
        <is>
          <t>SPECIES_FROAKIE</t>
        </is>
      </c>
      <c r="B3231" s="3" t="inlineStr">
        <is>
          <t>Froakie</t>
        </is>
      </c>
      <c r="C3231" s="3" t="n">
        <v>14</v>
      </c>
      <c r="D3231" s="3" t="inlineStr">
        <is>
          <t>Water Pulse</t>
        </is>
      </c>
      <c r="E3231" s="3" t="inlineStr">
        <is>
          <t>MOVE_WATER_PULSE</t>
        </is>
      </c>
    </row>
    <row r="3232">
      <c r="A3232" s="3" t="inlineStr">
        <is>
          <t>SPECIES_FROAKIE</t>
        </is>
      </c>
      <c r="B3232" s="3" t="inlineStr">
        <is>
          <t>Froakie</t>
        </is>
      </c>
      <c r="C3232" s="3" t="n">
        <v>18</v>
      </c>
      <c r="D3232" s="3" t="inlineStr">
        <is>
          <t>Smokescreen</t>
        </is>
      </c>
      <c r="E3232" s="3" t="inlineStr">
        <is>
          <t>MOVE_SMOKESCREEN</t>
        </is>
      </c>
    </row>
    <row r="3233">
      <c r="A3233" s="3" t="inlineStr">
        <is>
          <t>SPECIES_FROAKIE</t>
        </is>
      </c>
      <c r="B3233" s="3" t="inlineStr">
        <is>
          <t>Froakie</t>
        </is>
      </c>
      <c r="C3233" s="3" t="n">
        <v>21</v>
      </c>
      <c r="D3233" s="3" t="inlineStr">
        <is>
          <t>Round</t>
        </is>
      </c>
      <c r="E3233" s="3" t="inlineStr">
        <is>
          <t>MOVE_ROUND</t>
        </is>
      </c>
    </row>
    <row r="3234">
      <c r="A3234" s="3" t="inlineStr">
        <is>
          <t>SPECIES_FROAKIE</t>
        </is>
      </c>
      <c r="B3234" s="3" t="inlineStr">
        <is>
          <t>Froakie</t>
        </is>
      </c>
      <c r="C3234" s="3" t="n">
        <v>25</v>
      </c>
      <c r="D3234" s="3" t="inlineStr">
        <is>
          <t>Fling</t>
        </is>
      </c>
      <c r="E3234" s="3" t="inlineStr">
        <is>
          <t>MOVE_FLING</t>
        </is>
      </c>
    </row>
    <row r="3235">
      <c r="A3235" s="3" t="inlineStr">
        <is>
          <t>SPECIES_FROAKIE</t>
        </is>
      </c>
      <c r="B3235" s="3" t="inlineStr">
        <is>
          <t>Froakie</t>
        </is>
      </c>
      <c r="C3235" s="3" t="n">
        <v>29</v>
      </c>
      <c r="D3235" s="3" t="inlineStr">
        <is>
          <t>Smack Down</t>
        </is>
      </c>
      <c r="E3235" s="3" t="inlineStr">
        <is>
          <t>MOVE_SMACK_DOWN</t>
        </is>
      </c>
    </row>
    <row r="3236">
      <c r="A3236" s="3" t="inlineStr">
        <is>
          <t>SPECIES_FROAKIE</t>
        </is>
      </c>
      <c r="B3236" s="3" t="inlineStr">
        <is>
          <t>Froakie</t>
        </is>
      </c>
      <c r="C3236" s="3" t="n">
        <v>35</v>
      </c>
      <c r="D3236" s="3" t="inlineStr">
        <is>
          <t>Substitute</t>
        </is>
      </c>
      <c r="E3236" s="3" t="inlineStr">
        <is>
          <t>MOVE_SUBSTITUTE</t>
        </is>
      </c>
    </row>
    <row r="3237">
      <c r="A3237" s="3" t="inlineStr">
        <is>
          <t>SPECIES_FROAKIE</t>
        </is>
      </c>
      <c r="B3237" s="3" t="inlineStr">
        <is>
          <t>Froakie</t>
        </is>
      </c>
      <c r="C3237" s="3" t="n">
        <v>39</v>
      </c>
      <c r="D3237" s="3" t="inlineStr">
        <is>
          <t>Bounce</t>
        </is>
      </c>
      <c r="E3237" s="3" t="inlineStr">
        <is>
          <t>MOVE_BOUNCE</t>
        </is>
      </c>
    </row>
    <row r="3238">
      <c r="A3238" s="3" t="inlineStr">
        <is>
          <t>SPECIES_FROAKIE</t>
        </is>
      </c>
      <c r="B3238" s="3" t="inlineStr">
        <is>
          <t>Froakie</t>
        </is>
      </c>
      <c r="C3238" s="3" t="n">
        <v>43</v>
      </c>
      <c r="D3238" s="3" t="inlineStr">
        <is>
          <t>Double Team</t>
        </is>
      </c>
      <c r="E3238" s="3" t="inlineStr">
        <is>
          <t>MOVE_DOUBLE_TEAM</t>
        </is>
      </c>
    </row>
    <row r="3239">
      <c r="A3239" s="3" t="inlineStr">
        <is>
          <t>SPECIES_FROAKIE</t>
        </is>
      </c>
      <c r="B3239" s="3" t="inlineStr">
        <is>
          <t>Froakie</t>
        </is>
      </c>
      <c r="C3239" s="3" t="n">
        <v>48</v>
      </c>
      <c r="D3239" s="3" t="inlineStr">
        <is>
          <t>Hydro Pump</t>
        </is>
      </c>
      <c r="E3239" s="3" t="inlineStr">
        <is>
          <t>MOVE_HYDRO_PUMP</t>
        </is>
      </c>
    </row>
    <row r="3240">
      <c r="A3240" s="3" t="inlineStr">
        <is>
          <t>SPECIES_FROGADIER</t>
        </is>
      </c>
      <c r="B3240" s="3" t="inlineStr">
        <is>
          <t>Frogadier</t>
        </is>
      </c>
      <c r="C3240" s="3" t="n">
        <v>1</v>
      </c>
      <c r="D3240" s="3" t="inlineStr">
        <is>
          <t>Pound</t>
        </is>
      </c>
      <c r="E3240" s="3" t="inlineStr">
        <is>
          <t>MOVE_POUND</t>
        </is>
      </c>
    </row>
    <row r="3241">
      <c r="A3241" s="3" t="inlineStr">
        <is>
          <t>SPECIES_FROGADIER</t>
        </is>
      </c>
      <c r="B3241" s="3" t="inlineStr">
        <is>
          <t>Frogadier</t>
        </is>
      </c>
      <c r="C3241" s="3" t="n">
        <v>1</v>
      </c>
      <c r="D3241" s="3" t="inlineStr">
        <is>
          <t>Growl</t>
        </is>
      </c>
      <c r="E3241" s="3" t="inlineStr">
        <is>
          <t>MOVE_GROWL</t>
        </is>
      </c>
    </row>
    <row r="3242">
      <c r="A3242" s="3" t="inlineStr">
        <is>
          <t>SPECIES_FROGADIER</t>
        </is>
      </c>
      <c r="B3242" s="3" t="inlineStr">
        <is>
          <t>Frogadier</t>
        </is>
      </c>
      <c r="C3242" s="3" t="n">
        <v>1</v>
      </c>
      <c r="D3242" s="3" t="inlineStr">
        <is>
          <t>Water Gun</t>
        </is>
      </c>
      <c r="E3242" s="3" t="inlineStr">
        <is>
          <t>MOVE_WATER_GUN</t>
        </is>
      </c>
    </row>
    <row r="3243">
      <c r="A3243" s="3" t="inlineStr">
        <is>
          <t>SPECIES_FROGADIER</t>
        </is>
      </c>
      <c r="B3243" s="3" t="inlineStr">
        <is>
          <t>Frogadier</t>
        </is>
      </c>
      <c r="C3243" s="3" t="n">
        <v>8</v>
      </c>
      <c r="D3243" s="3" t="inlineStr">
        <is>
          <t>Quick Attack</t>
        </is>
      </c>
      <c r="E3243" s="3" t="inlineStr">
        <is>
          <t>MOVE_QUICK_ATTACK</t>
        </is>
      </c>
    </row>
    <row r="3244">
      <c r="A3244" s="3" t="inlineStr">
        <is>
          <t>SPECIES_FROGADIER</t>
        </is>
      </c>
      <c r="B3244" s="3" t="inlineStr">
        <is>
          <t>Frogadier</t>
        </is>
      </c>
      <c r="C3244" s="3" t="n">
        <v>10</v>
      </c>
      <c r="D3244" s="3" t="inlineStr">
        <is>
          <t>Lick</t>
        </is>
      </c>
      <c r="E3244" s="3" t="inlineStr">
        <is>
          <t>MOVE_LICK</t>
        </is>
      </c>
    </row>
    <row r="3245">
      <c r="A3245" s="3" t="inlineStr">
        <is>
          <t>SPECIES_FROGADIER</t>
        </is>
      </c>
      <c r="B3245" s="3" t="inlineStr">
        <is>
          <t>Frogadier</t>
        </is>
      </c>
      <c r="C3245" s="3" t="n">
        <v>14</v>
      </c>
      <c r="D3245" s="3" t="inlineStr">
        <is>
          <t>Water Pulse</t>
        </is>
      </c>
      <c r="E3245" s="3" t="inlineStr">
        <is>
          <t>MOVE_WATER_PULSE</t>
        </is>
      </c>
    </row>
    <row r="3246">
      <c r="A3246" s="3" t="inlineStr">
        <is>
          <t>SPECIES_FROGADIER</t>
        </is>
      </c>
      <c r="B3246" s="3" t="inlineStr">
        <is>
          <t>Frogadier</t>
        </is>
      </c>
      <c r="C3246" s="3" t="n">
        <v>19</v>
      </c>
      <c r="D3246" s="3" t="inlineStr">
        <is>
          <t>Smokescreen</t>
        </is>
      </c>
      <c r="E3246" s="3" t="inlineStr">
        <is>
          <t>MOVE_SMOKESCREEN</t>
        </is>
      </c>
    </row>
    <row r="3247">
      <c r="A3247" s="3" t="inlineStr">
        <is>
          <t>SPECIES_FROGADIER</t>
        </is>
      </c>
      <c r="B3247" s="3" t="inlineStr">
        <is>
          <t>Frogadier</t>
        </is>
      </c>
      <c r="C3247" s="3" t="n">
        <v>23</v>
      </c>
      <c r="D3247" s="3" t="inlineStr">
        <is>
          <t>Round</t>
        </is>
      </c>
      <c r="E3247" s="3" t="inlineStr">
        <is>
          <t>MOVE_ROUND</t>
        </is>
      </c>
    </row>
    <row r="3248">
      <c r="A3248" s="3" t="inlineStr">
        <is>
          <t>SPECIES_FROGADIER</t>
        </is>
      </c>
      <c r="B3248" s="3" t="inlineStr">
        <is>
          <t>Frogadier</t>
        </is>
      </c>
      <c r="C3248" s="3" t="n">
        <v>28</v>
      </c>
      <c r="D3248" s="3" t="inlineStr">
        <is>
          <t>Fling</t>
        </is>
      </c>
      <c r="E3248" s="3" t="inlineStr">
        <is>
          <t>MOVE_FLING</t>
        </is>
      </c>
    </row>
    <row r="3249">
      <c r="A3249" s="3" t="inlineStr">
        <is>
          <t>SPECIES_FROGADIER</t>
        </is>
      </c>
      <c r="B3249" s="3" t="inlineStr">
        <is>
          <t>Frogadier</t>
        </is>
      </c>
      <c r="C3249" s="3" t="n">
        <v>33</v>
      </c>
      <c r="D3249" s="3" t="inlineStr">
        <is>
          <t>Smack Down</t>
        </is>
      </c>
      <c r="E3249" s="3" t="inlineStr">
        <is>
          <t>MOVE_SMACK_DOWN</t>
        </is>
      </c>
    </row>
    <row r="3250">
      <c r="A3250" s="3" t="inlineStr">
        <is>
          <t>SPECIES_FROGADIER</t>
        </is>
      </c>
      <c r="B3250" s="3" t="inlineStr">
        <is>
          <t>Frogadier</t>
        </is>
      </c>
      <c r="C3250" s="3" t="n">
        <v>40</v>
      </c>
      <c r="D3250" s="3" t="inlineStr">
        <is>
          <t>Substitute</t>
        </is>
      </c>
      <c r="E3250" s="3" t="inlineStr">
        <is>
          <t>MOVE_SUBSTITUTE</t>
        </is>
      </c>
    </row>
    <row r="3251">
      <c r="A3251" s="3" t="inlineStr">
        <is>
          <t>SPECIES_FROGADIER</t>
        </is>
      </c>
      <c r="B3251" s="3" t="inlineStr">
        <is>
          <t>Frogadier</t>
        </is>
      </c>
      <c r="C3251" s="3" t="n">
        <v>45</v>
      </c>
      <c r="D3251" s="3" t="inlineStr">
        <is>
          <t>Bounce</t>
        </is>
      </c>
      <c r="E3251" s="3" t="inlineStr">
        <is>
          <t>MOVE_BOUNCE</t>
        </is>
      </c>
    </row>
    <row r="3252">
      <c r="A3252" s="3" t="inlineStr">
        <is>
          <t>SPECIES_FROGADIER</t>
        </is>
      </c>
      <c r="B3252" s="3" t="inlineStr">
        <is>
          <t>Frogadier</t>
        </is>
      </c>
      <c r="C3252" s="3" t="n">
        <v>50</v>
      </c>
      <c r="D3252" s="3" t="inlineStr">
        <is>
          <t>Double Team</t>
        </is>
      </c>
      <c r="E3252" s="3" t="inlineStr">
        <is>
          <t>MOVE_DOUBLE_TEAM</t>
        </is>
      </c>
    </row>
    <row r="3253">
      <c r="A3253" s="3" t="inlineStr">
        <is>
          <t>SPECIES_FROGADIER</t>
        </is>
      </c>
      <c r="B3253" s="3" t="inlineStr">
        <is>
          <t>Frogadier</t>
        </is>
      </c>
      <c r="C3253" s="3" t="n">
        <v>56</v>
      </c>
      <c r="D3253" s="3" t="inlineStr">
        <is>
          <t>Hydro Pump</t>
        </is>
      </c>
      <c r="E3253" s="3" t="inlineStr">
        <is>
          <t>MOVE_HYDRO_PUMP</t>
        </is>
      </c>
    </row>
    <row r="3254">
      <c r="A3254" s="3" t="inlineStr">
        <is>
          <t>SPECIES_GRENINJA</t>
        </is>
      </c>
      <c r="B3254" s="3" t="inlineStr">
        <is>
          <t>Greninja</t>
        </is>
      </c>
      <c r="C3254" s="3" t="n">
        <v>0</v>
      </c>
      <c r="D3254" s="3" t="inlineStr">
        <is>
          <t>Water Shuriken</t>
        </is>
      </c>
      <c r="E3254" s="3" t="inlineStr">
        <is>
          <t>MOVE_WATER_SHURIKEN</t>
        </is>
      </c>
    </row>
    <row r="3255">
      <c r="A3255" s="3" t="inlineStr">
        <is>
          <t>SPECIES_GRENINJA</t>
        </is>
      </c>
      <c r="B3255" s="3" t="inlineStr">
        <is>
          <t>Greninja</t>
        </is>
      </c>
      <c r="C3255" s="3" t="n">
        <v>1</v>
      </c>
      <c r="D3255" s="3" t="inlineStr">
        <is>
          <t>Night Slash</t>
        </is>
      </c>
      <c r="E3255" s="3" t="inlineStr">
        <is>
          <t>MOVE_NIGHT_SLASH</t>
        </is>
      </c>
    </row>
    <row r="3256">
      <c r="A3256" s="3" t="inlineStr">
        <is>
          <t>SPECIES_GRENINJA</t>
        </is>
      </c>
      <c r="B3256" s="3" t="inlineStr">
        <is>
          <t>Greninja</t>
        </is>
      </c>
      <c r="C3256" s="3" t="n">
        <v>1</v>
      </c>
      <c r="D3256" s="3" t="inlineStr">
        <is>
          <t>Role Play</t>
        </is>
      </c>
      <c r="E3256" s="3" t="inlineStr">
        <is>
          <t>MOVE_ROLE_PLAY</t>
        </is>
      </c>
    </row>
    <row r="3257">
      <c r="A3257" s="3" t="inlineStr">
        <is>
          <t>SPECIES_GRENINJA</t>
        </is>
      </c>
      <c r="B3257" s="3" t="inlineStr">
        <is>
          <t>Greninja</t>
        </is>
      </c>
      <c r="C3257" s="3" t="n">
        <v>1</v>
      </c>
      <c r="D3257" s="3" t="inlineStr">
        <is>
          <t>Haze</t>
        </is>
      </c>
      <c r="E3257" s="3" t="inlineStr">
        <is>
          <t>MOVE_HAZE</t>
        </is>
      </c>
    </row>
    <row r="3258">
      <c r="A3258" s="3" t="inlineStr">
        <is>
          <t>SPECIES_GRENINJA</t>
        </is>
      </c>
      <c r="B3258" s="3" t="inlineStr">
        <is>
          <t>Greninja</t>
        </is>
      </c>
      <c r="C3258" s="3" t="n">
        <v>1</v>
      </c>
      <c r="D3258" s="3" t="inlineStr">
        <is>
          <t>Pound</t>
        </is>
      </c>
      <c r="E3258" s="3" t="inlineStr">
        <is>
          <t>MOVE_POUND</t>
        </is>
      </c>
    </row>
    <row r="3259">
      <c r="A3259" s="3" t="inlineStr">
        <is>
          <t>SPECIES_GRENINJA</t>
        </is>
      </c>
      <c r="B3259" s="3" t="inlineStr">
        <is>
          <t>Greninja</t>
        </is>
      </c>
      <c r="C3259" s="3" t="n">
        <v>1</v>
      </c>
      <c r="D3259" s="3" t="inlineStr">
        <is>
          <t>Water Gun</t>
        </is>
      </c>
      <c r="E3259" s="3" t="inlineStr">
        <is>
          <t>MOVE_WATER_GUN</t>
        </is>
      </c>
    </row>
    <row r="3260">
      <c r="A3260" s="3" t="inlineStr">
        <is>
          <t>SPECIES_GRENINJA</t>
        </is>
      </c>
      <c r="B3260" s="3" t="inlineStr">
        <is>
          <t>Greninja</t>
        </is>
      </c>
      <c r="C3260" s="3" t="n">
        <v>1</v>
      </c>
      <c r="D3260" s="3" t="inlineStr">
        <is>
          <t>Growl</t>
        </is>
      </c>
      <c r="E3260" s="3" t="inlineStr">
        <is>
          <t>MOVE_GROWL</t>
        </is>
      </c>
    </row>
    <row r="3261">
      <c r="A3261" s="3" t="inlineStr">
        <is>
          <t>SPECIES_GRENINJA</t>
        </is>
      </c>
      <c r="B3261" s="3" t="inlineStr">
        <is>
          <t>Greninja</t>
        </is>
      </c>
      <c r="C3261" s="3" t="n">
        <v>1</v>
      </c>
      <c r="D3261" s="3" t="inlineStr">
        <is>
          <t>Quick Attack</t>
        </is>
      </c>
      <c r="E3261" s="3" t="inlineStr">
        <is>
          <t>MOVE_QUICK_ATTACK</t>
        </is>
      </c>
    </row>
    <row r="3262">
      <c r="A3262" s="3" t="inlineStr">
        <is>
          <t>SPECIES_GRENINJA</t>
        </is>
      </c>
      <c r="B3262" s="3" t="inlineStr">
        <is>
          <t>Greninja</t>
        </is>
      </c>
      <c r="C3262" s="3" t="n">
        <v>10</v>
      </c>
      <c r="D3262" s="3" t="inlineStr">
        <is>
          <t>Lick</t>
        </is>
      </c>
      <c r="E3262" s="3" t="inlineStr">
        <is>
          <t>MOVE_LICK</t>
        </is>
      </c>
    </row>
    <row r="3263">
      <c r="A3263" s="3" t="inlineStr">
        <is>
          <t>SPECIES_GRENINJA</t>
        </is>
      </c>
      <c r="B3263" s="3" t="inlineStr">
        <is>
          <t>Greninja</t>
        </is>
      </c>
      <c r="C3263" s="3" t="n">
        <v>14</v>
      </c>
      <c r="D3263" s="3" t="inlineStr">
        <is>
          <t>Water Pulse</t>
        </is>
      </c>
      <c r="E3263" s="3" t="inlineStr">
        <is>
          <t>MOVE_WATER_PULSE</t>
        </is>
      </c>
    </row>
    <row r="3264">
      <c r="A3264" s="3" t="inlineStr">
        <is>
          <t>SPECIES_GRENINJA</t>
        </is>
      </c>
      <c r="B3264" s="3" t="inlineStr">
        <is>
          <t>Greninja</t>
        </is>
      </c>
      <c r="C3264" s="3" t="n">
        <v>19</v>
      </c>
      <c r="D3264" s="3" t="inlineStr">
        <is>
          <t>Smokescreen</t>
        </is>
      </c>
      <c r="E3264" s="3" t="inlineStr">
        <is>
          <t>MOVE_SMOKESCREEN</t>
        </is>
      </c>
    </row>
    <row r="3265">
      <c r="A3265" s="3" t="inlineStr">
        <is>
          <t>SPECIES_GRENINJA</t>
        </is>
      </c>
      <c r="B3265" s="3" t="inlineStr">
        <is>
          <t>Greninja</t>
        </is>
      </c>
      <c r="C3265" s="3" t="n">
        <v>23</v>
      </c>
      <c r="D3265" s="3" t="inlineStr">
        <is>
          <t>Shadow Sneak</t>
        </is>
      </c>
      <c r="E3265" s="3" t="inlineStr">
        <is>
          <t>MOVE_SHADOW_SNEAK</t>
        </is>
      </c>
    </row>
    <row r="3266">
      <c r="A3266" s="3" t="inlineStr">
        <is>
          <t>SPECIES_GRENINJA</t>
        </is>
      </c>
      <c r="B3266" s="3" t="inlineStr">
        <is>
          <t>Greninja</t>
        </is>
      </c>
      <c r="C3266" s="3" t="n">
        <v>28</v>
      </c>
      <c r="D3266" s="3" t="inlineStr">
        <is>
          <t>Spikes</t>
        </is>
      </c>
      <c r="E3266" s="3" t="inlineStr">
        <is>
          <t>MOVE_SPIKES</t>
        </is>
      </c>
    </row>
    <row r="3267">
      <c r="A3267" s="3" t="inlineStr">
        <is>
          <t>SPECIES_GRENINJA</t>
        </is>
      </c>
      <c r="B3267" s="3" t="inlineStr">
        <is>
          <t>Greninja</t>
        </is>
      </c>
      <c r="C3267" s="3" t="n">
        <v>33</v>
      </c>
      <c r="D3267" s="3" t="inlineStr">
        <is>
          <t>Aerial Ace</t>
        </is>
      </c>
      <c r="E3267" s="3" t="inlineStr">
        <is>
          <t>MOVE_AERIAL_ACE</t>
        </is>
      </c>
    </row>
    <row r="3268">
      <c r="A3268" s="3" t="inlineStr">
        <is>
          <t>SPECIES_GRENINJA</t>
        </is>
      </c>
      <c r="B3268" s="3" t="inlineStr">
        <is>
          <t>Greninja</t>
        </is>
      </c>
      <c r="C3268" s="3" t="n">
        <v>42</v>
      </c>
      <c r="D3268" s="3" t="inlineStr">
        <is>
          <t>Substitute</t>
        </is>
      </c>
      <c r="E3268" s="3" t="inlineStr">
        <is>
          <t>MOVE_SUBSTITUTE</t>
        </is>
      </c>
    </row>
    <row r="3269">
      <c r="A3269" s="3" t="inlineStr">
        <is>
          <t>SPECIES_GRENINJA</t>
        </is>
      </c>
      <c r="B3269" s="3" t="inlineStr">
        <is>
          <t>Greninja</t>
        </is>
      </c>
      <c r="C3269" s="3" t="n">
        <v>49</v>
      </c>
      <c r="D3269" s="3" t="inlineStr">
        <is>
          <t>Extrasensory</t>
        </is>
      </c>
      <c r="E3269" s="3" t="inlineStr">
        <is>
          <t>MOVE_EXTRASENSORY</t>
        </is>
      </c>
    </row>
    <row r="3270">
      <c r="A3270" s="3" t="inlineStr">
        <is>
          <t>SPECIES_GRENINJA</t>
        </is>
      </c>
      <c r="B3270" s="3" t="inlineStr">
        <is>
          <t>Greninja</t>
        </is>
      </c>
      <c r="C3270" s="3" t="n">
        <v>56</v>
      </c>
      <c r="D3270" s="3" t="inlineStr">
        <is>
          <t>Double Team</t>
        </is>
      </c>
      <c r="E3270" s="3" t="inlineStr">
        <is>
          <t>MOVE_DOUBLE_TEAM</t>
        </is>
      </c>
    </row>
    <row r="3271">
      <c r="A3271" s="3" t="inlineStr">
        <is>
          <t>SPECIES_GRENINJA</t>
        </is>
      </c>
      <c r="B3271" s="3" t="inlineStr">
        <is>
          <t>Greninja</t>
        </is>
      </c>
      <c r="C3271" s="3" t="n">
        <v>68</v>
      </c>
      <c r="D3271" s="3" t="inlineStr">
        <is>
          <t>Hydro Pump</t>
        </is>
      </c>
      <c r="E3271" s="3" t="inlineStr">
        <is>
          <t>MOVE_HYDRO_PUMP</t>
        </is>
      </c>
    </row>
    <row r="3272">
      <c r="A3272" s="3" t="inlineStr">
        <is>
          <t>SPECIES_FLETCHLING</t>
        </is>
      </c>
      <c r="B3272" s="3" t="inlineStr">
        <is>
          <t>Fletchling</t>
        </is>
      </c>
      <c r="C3272" s="3" t="n">
        <v>1</v>
      </c>
      <c r="D3272" s="3" t="inlineStr">
        <is>
          <t>Growl</t>
        </is>
      </c>
      <c r="E3272" s="3" t="inlineStr">
        <is>
          <t>MOVE_GROWL</t>
        </is>
      </c>
    </row>
    <row r="3273">
      <c r="A3273" s="3" t="inlineStr">
        <is>
          <t>SPECIES_FLETCHLING</t>
        </is>
      </c>
      <c r="B3273" s="3" t="inlineStr">
        <is>
          <t>Fletchling</t>
        </is>
      </c>
      <c r="C3273" s="3" t="n">
        <v>1</v>
      </c>
      <c r="D3273" s="3" t="inlineStr">
        <is>
          <t>Peck</t>
        </is>
      </c>
      <c r="E3273" s="3" t="inlineStr">
        <is>
          <t>MOVE_PECK</t>
        </is>
      </c>
    </row>
    <row r="3274">
      <c r="A3274" s="3" t="inlineStr">
        <is>
          <t>SPECIES_FLETCHLING</t>
        </is>
      </c>
      <c r="B3274" s="3" t="inlineStr">
        <is>
          <t>Fletchling</t>
        </is>
      </c>
      <c r="C3274" s="3" t="n">
        <v>5</v>
      </c>
      <c r="D3274" s="3" t="inlineStr">
        <is>
          <t>Quick Attack</t>
        </is>
      </c>
      <c r="E3274" s="3" t="inlineStr">
        <is>
          <t>MOVE_QUICK_ATTACK</t>
        </is>
      </c>
    </row>
    <row r="3275">
      <c r="A3275" s="3" t="inlineStr">
        <is>
          <t>SPECIES_FLETCHLING</t>
        </is>
      </c>
      <c r="B3275" s="3" t="inlineStr">
        <is>
          <t>Fletchling</t>
        </is>
      </c>
      <c r="C3275" s="3" t="n">
        <v>10</v>
      </c>
      <c r="D3275" s="3" t="inlineStr">
        <is>
          <t>Ember</t>
        </is>
      </c>
      <c r="E3275" s="3" t="inlineStr">
        <is>
          <t>MOVE_EMBER</t>
        </is>
      </c>
    </row>
    <row r="3276">
      <c r="A3276" s="3" t="inlineStr">
        <is>
          <t>SPECIES_FLETCHLING</t>
        </is>
      </c>
      <c r="B3276" s="3" t="inlineStr">
        <is>
          <t>Fletchling</t>
        </is>
      </c>
      <c r="C3276" s="3" t="n">
        <v>15</v>
      </c>
      <c r="D3276" s="3" t="inlineStr">
        <is>
          <t>Flail</t>
        </is>
      </c>
      <c r="E3276" s="3" t="inlineStr">
        <is>
          <t>MOVE_FLAIL</t>
        </is>
      </c>
    </row>
    <row r="3277">
      <c r="A3277" s="3" t="inlineStr">
        <is>
          <t>SPECIES_FLETCHLING</t>
        </is>
      </c>
      <c r="B3277" s="3" t="inlineStr">
        <is>
          <t>Fletchling</t>
        </is>
      </c>
      <c r="C3277" s="3" t="n">
        <v>20</v>
      </c>
      <c r="D3277" s="3" t="inlineStr">
        <is>
          <t>Acrobatics</t>
        </is>
      </c>
      <c r="E3277" s="3" t="inlineStr">
        <is>
          <t>MOVE_ACROBATICS</t>
        </is>
      </c>
    </row>
    <row r="3278">
      <c r="A3278" s="3" t="inlineStr">
        <is>
          <t>SPECIES_FLETCHLING</t>
        </is>
      </c>
      <c r="B3278" s="3" t="inlineStr">
        <is>
          <t>Fletchling</t>
        </is>
      </c>
      <c r="C3278" s="3" t="n">
        <v>25</v>
      </c>
      <c r="D3278" s="3" t="inlineStr">
        <is>
          <t>Agility</t>
        </is>
      </c>
      <c r="E3278" s="3" t="inlineStr">
        <is>
          <t>MOVE_AGILITY</t>
        </is>
      </c>
    </row>
    <row r="3279">
      <c r="A3279" s="3" t="inlineStr">
        <is>
          <t>SPECIES_FLETCHLING</t>
        </is>
      </c>
      <c r="B3279" s="3" t="inlineStr">
        <is>
          <t>Fletchling</t>
        </is>
      </c>
      <c r="C3279" s="3" t="n">
        <v>30</v>
      </c>
      <c r="D3279" s="3" t="inlineStr">
        <is>
          <t>Aerial Ace</t>
        </is>
      </c>
      <c r="E3279" s="3" t="inlineStr">
        <is>
          <t>MOVE_AERIAL_ACE</t>
        </is>
      </c>
    </row>
    <row r="3280">
      <c r="A3280" s="3" t="inlineStr">
        <is>
          <t>SPECIES_FLETCHLING</t>
        </is>
      </c>
      <c r="B3280" s="3" t="inlineStr">
        <is>
          <t>Fletchling</t>
        </is>
      </c>
      <c r="C3280" s="3" t="n">
        <v>35</v>
      </c>
      <c r="D3280" s="3" t="inlineStr">
        <is>
          <t>Tailwind</t>
        </is>
      </c>
      <c r="E3280" s="3" t="inlineStr">
        <is>
          <t>MOVE_TAILWIND</t>
        </is>
      </c>
    </row>
    <row r="3281">
      <c r="A3281" s="3" t="inlineStr">
        <is>
          <t>SPECIES_FLETCHLING</t>
        </is>
      </c>
      <c r="B3281" s="3" t="inlineStr">
        <is>
          <t>Fletchling</t>
        </is>
      </c>
      <c r="C3281" s="3" t="n">
        <v>40</v>
      </c>
      <c r="D3281" s="3" t="inlineStr">
        <is>
          <t>Steel Wing</t>
        </is>
      </c>
      <c r="E3281" s="3" t="inlineStr">
        <is>
          <t>MOVE_STEEL_WING</t>
        </is>
      </c>
    </row>
    <row r="3282">
      <c r="A3282" s="3" t="inlineStr">
        <is>
          <t>SPECIES_FLETCHLING</t>
        </is>
      </c>
      <c r="B3282" s="3" t="inlineStr">
        <is>
          <t>Fletchling</t>
        </is>
      </c>
      <c r="C3282" s="3" t="n">
        <v>45</v>
      </c>
      <c r="D3282" s="3" t="inlineStr">
        <is>
          <t>Roost</t>
        </is>
      </c>
      <c r="E3282" s="3" t="inlineStr">
        <is>
          <t>MOVE_ROOST</t>
        </is>
      </c>
    </row>
    <row r="3283">
      <c r="A3283" s="3" t="inlineStr">
        <is>
          <t>SPECIES_FLETCHLING</t>
        </is>
      </c>
      <c r="B3283" s="3" t="inlineStr">
        <is>
          <t>Fletchling</t>
        </is>
      </c>
      <c r="C3283" s="3" t="n">
        <v>50</v>
      </c>
      <c r="D3283" s="3" t="inlineStr">
        <is>
          <t>Fly</t>
        </is>
      </c>
      <c r="E3283" s="3" t="inlineStr">
        <is>
          <t>MOVE_FLY</t>
        </is>
      </c>
    </row>
    <row r="3284">
      <c r="A3284" s="3" t="inlineStr">
        <is>
          <t>SPECIES_FLETCHINDER</t>
        </is>
      </c>
      <c r="B3284" s="3" t="inlineStr">
        <is>
          <t>Fletchinder</t>
        </is>
      </c>
      <c r="C3284" s="3" t="n">
        <v>0</v>
      </c>
      <c r="D3284" s="3" t="inlineStr">
        <is>
          <t>Flame Charge</t>
        </is>
      </c>
      <c r="E3284" s="3" t="inlineStr">
        <is>
          <t>MOVE_FLAME_CHARGE</t>
        </is>
      </c>
    </row>
    <row r="3285">
      <c r="A3285" s="3" t="inlineStr">
        <is>
          <t>SPECIES_FLETCHINDER</t>
        </is>
      </c>
      <c r="B3285" s="3" t="inlineStr">
        <is>
          <t>Fletchinder</t>
        </is>
      </c>
      <c r="C3285" s="3" t="n">
        <v>1</v>
      </c>
      <c r="D3285" s="3" t="inlineStr">
        <is>
          <t>Growl</t>
        </is>
      </c>
      <c r="E3285" s="3" t="inlineStr">
        <is>
          <t>MOVE_GROWL</t>
        </is>
      </c>
    </row>
    <row r="3286">
      <c r="A3286" s="3" t="inlineStr">
        <is>
          <t>SPECIES_FLETCHINDER</t>
        </is>
      </c>
      <c r="B3286" s="3" t="inlineStr">
        <is>
          <t>Fletchinder</t>
        </is>
      </c>
      <c r="C3286" s="3" t="n">
        <v>1</v>
      </c>
      <c r="D3286" s="3" t="inlineStr">
        <is>
          <t>Ember</t>
        </is>
      </c>
      <c r="E3286" s="3" t="inlineStr">
        <is>
          <t>MOVE_EMBER</t>
        </is>
      </c>
    </row>
    <row r="3287">
      <c r="A3287" s="3" t="inlineStr">
        <is>
          <t>SPECIES_FLETCHINDER</t>
        </is>
      </c>
      <c r="B3287" s="3" t="inlineStr">
        <is>
          <t>Fletchinder</t>
        </is>
      </c>
      <c r="C3287" s="3" t="n">
        <v>1</v>
      </c>
      <c r="D3287" s="3" t="inlineStr">
        <is>
          <t>Peck</t>
        </is>
      </c>
      <c r="E3287" s="3" t="inlineStr">
        <is>
          <t>MOVE_PECK</t>
        </is>
      </c>
    </row>
    <row r="3288">
      <c r="A3288" s="3" t="inlineStr">
        <is>
          <t>SPECIES_FLETCHINDER</t>
        </is>
      </c>
      <c r="B3288" s="3" t="inlineStr">
        <is>
          <t>Fletchinder</t>
        </is>
      </c>
      <c r="C3288" s="3" t="n">
        <v>1</v>
      </c>
      <c r="D3288" s="3" t="inlineStr">
        <is>
          <t>Quick Attack</t>
        </is>
      </c>
      <c r="E3288" s="3" t="inlineStr">
        <is>
          <t>MOVE_QUICK_ATTACK</t>
        </is>
      </c>
    </row>
    <row r="3289">
      <c r="A3289" s="3" t="inlineStr">
        <is>
          <t>SPECIES_FLETCHINDER</t>
        </is>
      </c>
      <c r="B3289" s="3" t="inlineStr">
        <is>
          <t>Fletchinder</t>
        </is>
      </c>
      <c r="C3289" s="3" t="n">
        <v>1</v>
      </c>
      <c r="D3289" s="3" t="inlineStr">
        <is>
          <t>Feint</t>
        </is>
      </c>
      <c r="E3289" s="3" t="inlineStr">
        <is>
          <t>MOVE_FEINT</t>
        </is>
      </c>
    </row>
    <row r="3290">
      <c r="A3290" s="3" t="inlineStr">
        <is>
          <t>SPECIES_FLETCHINDER</t>
        </is>
      </c>
      <c r="B3290" s="3" t="inlineStr">
        <is>
          <t>Fletchinder</t>
        </is>
      </c>
      <c r="C3290" s="3" t="n">
        <v>15</v>
      </c>
      <c r="D3290" s="3" t="inlineStr">
        <is>
          <t>Flail</t>
        </is>
      </c>
      <c r="E3290" s="3" t="inlineStr">
        <is>
          <t>MOVE_FLAIL</t>
        </is>
      </c>
    </row>
    <row r="3291">
      <c r="A3291" s="3" t="inlineStr">
        <is>
          <t>SPECIES_FLETCHINDER</t>
        </is>
      </c>
      <c r="B3291" s="3" t="inlineStr">
        <is>
          <t>Fletchinder</t>
        </is>
      </c>
      <c r="C3291" s="3" t="n">
        <v>22</v>
      </c>
      <c r="D3291" s="3" t="inlineStr">
        <is>
          <t>Acrobatics</t>
        </is>
      </c>
      <c r="E3291" s="3" t="inlineStr">
        <is>
          <t>MOVE_ACROBATICS</t>
        </is>
      </c>
    </row>
    <row r="3292">
      <c r="A3292" s="3" t="inlineStr">
        <is>
          <t>SPECIES_FLETCHINDER</t>
        </is>
      </c>
      <c r="B3292" s="3" t="inlineStr">
        <is>
          <t>Fletchinder</t>
        </is>
      </c>
      <c r="C3292" s="3" t="n">
        <v>29</v>
      </c>
      <c r="D3292" s="3" t="inlineStr">
        <is>
          <t>Agility</t>
        </is>
      </c>
      <c r="E3292" s="3" t="inlineStr">
        <is>
          <t>MOVE_AGILITY</t>
        </is>
      </c>
    </row>
    <row r="3293">
      <c r="A3293" s="3" t="inlineStr">
        <is>
          <t>SPECIES_FLETCHINDER</t>
        </is>
      </c>
      <c r="B3293" s="3" t="inlineStr">
        <is>
          <t>Fletchinder</t>
        </is>
      </c>
      <c r="C3293" s="3" t="n">
        <v>36</v>
      </c>
      <c r="D3293" s="3" t="inlineStr">
        <is>
          <t>Aerial Ace</t>
        </is>
      </c>
      <c r="E3293" s="3" t="inlineStr">
        <is>
          <t>MOVE_AERIAL_ACE</t>
        </is>
      </c>
    </row>
    <row r="3294">
      <c r="A3294" s="3" t="inlineStr">
        <is>
          <t>SPECIES_FLETCHINDER</t>
        </is>
      </c>
      <c r="B3294" s="3" t="inlineStr">
        <is>
          <t>Fletchinder</t>
        </is>
      </c>
      <c r="C3294" s="3" t="n">
        <v>43</v>
      </c>
      <c r="D3294" s="3" t="inlineStr">
        <is>
          <t>Tailwind</t>
        </is>
      </c>
      <c r="E3294" s="3" t="inlineStr">
        <is>
          <t>MOVE_TAILWIND</t>
        </is>
      </c>
    </row>
    <row r="3295">
      <c r="A3295" s="3" t="inlineStr">
        <is>
          <t>SPECIES_FLETCHINDER</t>
        </is>
      </c>
      <c r="B3295" s="3" t="inlineStr">
        <is>
          <t>Fletchinder</t>
        </is>
      </c>
      <c r="C3295" s="3" t="n">
        <v>50</v>
      </c>
      <c r="D3295" s="3" t="inlineStr">
        <is>
          <t>Steel Wing</t>
        </is>
      </c>
      <c r="E3295" s="3" t="inlineStr">
        <is>
          <t>MOVE_STEEL_WING</t>
        </is>
      </c>
    </row>
    <row r="3296">
      <c r="A3296" s="3" t="inlineStr">
        <is>
          <t>SPECIES_FLETCHINDER</t>
        </is>
      </c>
      <c r="B3296" s="3" t="inlineStr">
        <is>
          <t>Fletchinder</t>
        </is>
      </c>
      <c r="C3296" s="3" t="n">
        <v>57</v>
      </c>
      <c r="D3296" s="3" t="inlineStr">
        <is>
          <t>Roost</t>
        </is>
      </c>
      <c r="E3296" s="3" t="inlineStr">
        <is>
          <t>MOVE_ROOST</t>
        </is>
      </c>
    </row>
    <row r="3297">
      <c r="A3297" s="3" t="inlineStr">
        <is>
          <t>SPECIES_FLETCHINDER</t>
        </is>
      </c>
      <c r="B3297" s="3" t="inlineStr">
        <is>
          <t>Fletchinder</t>
        </is>
      </c>
      <c r="C3297" s="3" t="n">
        <v>64</v>
      </c>
      <c r="D3297" s="3" t="inlineStr">
        <is>
          <t>Fly</t>
        </is>
      </c>
      <c r="E3297" s="3" t="inlineStr">
        <is>
          <t>MOVE_FLY</t>
        </is>
      </c>
    </row>
    <row r="3298">
      <c r="A3298" s="3" t="inlineStr">
        <is>
          <t>SPECIES_TALONFLAME</t>
        </is>
      </c>
      <c r="B3298" s="3" t="inlineStr">
        <is>
          <t>Talonflame</t>
        </is>
      </c>
      <c r="C3298" s="3" t="n">
        <v>1</v>
      </c>
      <c r="D3298" s="3" t="inlineStr">
        <is>
          <t>Growl</t>
        </is>
      </c>
      <c r="E3298" s="3" t="inlineStr">
        <is>
          <t>MOVE_GROWL</t>
        </is>
      </c>
    </row>
    <row r="3299">
      <c r="A3299" s="3" t="inlineStr">
        <is>
          <t>SPECIES_TALONFLAME</t>
        </is>
      </c>
      <c r="B3299" s="3" t="inlineStr">
        <is>
          <t>Talonflame</t>
        </is>
      </c>
      <c r="C3299" s="3" t="n">
        <v>1</v>
      </c>
      <c r="D3299" s="3" t="inlineStr">
        <is>
          <t>Ember</t>
        </is>
      </c>
      <c r="E3299" s="3" t="inlineStr">
        <is>
          <t>MOVE_EMBER</t>
        </is>
      </c>
    </row>
    <row r="3300">
      <c r="A3300" s="3" t="inlineStr">
        <is>
          <t>SPECIES_TALONFLAME</t>
        </is>
      </c>
      <c r="B3300" s="3" t="inlineStr">
        <is>
          <t>Talonflame</t>
        </is>
      </c>
      <c r="C3300" s="3" t="n">
        <v>1</v>
      </c>
      <c r="D3300" s="3" t="inlineStr">
        <is>
          <t>Peck</t>
        </is>
      </c>
      <c r="E3300" s="3" t="inlineStr">
        <is>
          <t>MOVE_PECK</t>
        </is>
      </c>
    </row>
    <row r="3301">
      <c r="A3301" s="3" t="inlineStr">
        <is>
          <t>SPECIES_TALONFLAME</t>
        </is>
      </c>
      <c r="B3301" s="3" t="inlineStr">
        <is>
          <t>Talonflame</t>
        </is>
      </c>
      <c r="C3301" s="3" t="n">
        <v>1</v>
      </c>
      <c r="D3301" s="3" t="inlineStr">
        <is>
          <t>Quick Attack</t>
        </is>
      </c>
      <c r="E3301" s="3" t="inlineStr">
        <is>
          <t>MOVE_QUICK_ATTACK</t>
        </is>
      </c>
    </row>
    <row r="3302">
      <c r="A3302" s="3" t="inlineStr">
        <is>
          <t>SPECIES_TALONFLAME</t>
        </is>
      </c>
      <c r="B3302" s="3" t="inlineStr">
        <is>
          <t>Talonflame</t>
        </is>
      </c>
      <c r="C3302" s="3" t="n">
        <v>1</v>
      </c>
      <c r="D3302" s="3" t="inlineStr">
        <is>
          <t>Feint</t>
        </is>
      </c>
      <c r="E3302" s="3" t="inlineStr">
        <is>
          <t>MOVE_FEINT</t>
        </is>
      </c>
    </row>
    <row r="3303">
      <c r="A3303" s="3" t="inlineStr">
        <is>
          <t>SPECIES_TALONFLAME</t>
        </is>
      </c>
      <c r="B3303" s="3" t="inlineStr">
        <is>
          <t>Talonflame</t>
        </is>
      </c>
      <c r="C3303" s="3" t="n">
        <v>1</v>
      </c>
      <c r="D3303" s="3" t="inlineStr">
        <is>
          <t>Flare Blitz</t>
        </is>
      </c>
      <c r="E3303" s="3" t="inlineStr">
        <is>
          <t>MOVE_FLARE_BLITZ</t>
        </is>
      </c>
    </row>
    <row r="3304">
      <c r="A3304" s="3" t="inlineStr">
        <is>
          <t>SPECIES_TALONFLAME</t>
        </is>
      </c>
      <c r="B3304" s="3" t="inlineStr">
        <is>
          <t>Talonflame</t>
        </is>
      </c>
      <c r="C3304" s="3" t="n">
        <v>1</v>
      </c>
      <c r="D3304" s="3" t="inlineStr">
        <is>
          <t>Flame Charge</t>
        </is>
      </c>
      <c r="E3304" s="3" t="inlineStr">
        <is>
          <t>MOVE_FLAME_CHARGE</t>
        </is>
      </c>
    </row>
    <row r="3305">
      <c r="A3305" s="3" t="inlineStr">
        <is>
          <t>SPECIES_TALONFLAME</t>
        </is>
      </c>
      <c r="B3305" s="3" t="inlineStr">
        <is>
          <t>Talonflame</t>
        </is>
      </c>
      <c r="C3305" s="3" t="n">
        <v>15</v>
      </c>
      <c r="D3305" s="3" t="inlineStr">
        <is>
          <t>Flail</t>
        </is>
      </c>
      <c r="E3305" s="3" t="inlineStr">
        <is>
          <t>MOVE_FLAIL</t>
        </is>
      </c>
    </row>
    <row r="3306">
      <c r="A3306" s="3" t="inlineStr">
        <is>
          <t>SPECIES_TALONFLAME</t>
        </is>
      </c>
      <c r="B3306" s="3" t="inlineStr">
        <is>
          <t>Talonflame</t>
        </is>
      </c>
      <c r="C3306" s="3" t="n">
        <v>22</v>
      </c>
      <c r="D3306" s="3" t="inlineStr">
        <is>
          <t>Acrobatics</t>
        </is>
      </c>
      <c r="E3306" s="3" t="inlineStr">
        <is>
          <t>MOVE_ACROBATICS</t>
        </is>
      </c>
    </row>
    <row r="3307">
      <c r="A3307" s="3" t="inlineStr">
        <is>
          <t>SPECIES_TALONFLAME</t>
        </is>
      </c>
      <c r="B3307" s="3" t="inlineStr">
        <is>
          <t>Talonflame</t>
        </is>
      </c>
      <c r="C3307" s="3" t="n">
        <v>29</v>
      </c>
      <c r="D3307" s="3" t="inlineStr">
        <is>
          <t>Agility</t>
        </is>
      </c>
      <c r="E3307" s="3" t="inlineStr">
        <is>
          <t>MOVE_AGILITY</t>
        </is>
      </c>
    </row>
    <row r="3308">
      <c r="A3308" s="3" t="inlineStr">
        <is>
          <t>SPECIES_TALONFLAME</t>
        </is>
      </c>
      <c r="B3308" s="3" t="inlineStr">
        <is>
          <t>Talonflame</t>
        </is>
      </c>
      <c r="C3308" s="3" t="n">
        <v>38</v>
      </c>
      <c r="D3308" s="3" t="inlineStr">
        <is>
          <t>Aerial Ace</t>
        </is>
      </c>
      <c r="E3308" s="3" t="inlineStr">
        <is>
          <t>MOVE_AERIAL_ACE</t>
        </is>
      </c>
    </row>
    <row r="3309">
      <c r="A3309" s="3" t="inlineStr">
        <is>
          <t>SPECIES_TALONFLAME</t>
        </is>
      </c>
      <c r="B3309" s="3" t="inlineStr">
        <is>
          <t>Talonflame</t>
        </is>
      </c>
      <c r="C3309" s="3" t="n">
        <v>47</v>
      </c>
      <c r="D3309" s="3" t="inlineStr">
        <is>
          <t>Tailwind</t>
        </is>
      </c>
      <c r="E3309" s="3" t="inlineStr">
        <is>
          <t>MOVE_TAILWIND</t>
        </is>
      </c>
    </row>
    <row r="3310">
      <c r="A3310" s="3" t="inlineStr">
        <is>
          <t>SPECIES_TALONFLAME</t>
        </is>
      </c>
      <c r="B3310" s="3" t="inlineStr">
        <is>
          <t>Talonflame</t>
        </is>
      </c>
      <c r="C3310" s="3" t="n">
        <v>56</v>
      </c>
      <c r="D3310" s="3" t="inlineStr">
        <is>
          <t>Steel Wing</t>
        </is>
      </c>
      <c r="E3310" s="3" t="inlineStr">
        <is>
          <t>MOVE_STEEL_WING</t>
        </is>
      </c>
    </row>
    <row r="3311">
      <c r="A3311" s="3" t="inlineStr">
        <is>
          <t>SPECIES_TALONFLAME</t>
        </is>
      </c>
      <c r="B3311" s="3" t="inlineStr">
        <is>
          <t>Talonflame</t>
        </is>
      </c>
      <c r="C3311" s="3" t="n">
        <v>65</v>
      </c>
      <c r="D3311" s="3" t="inlineStr">
        <is>
          <t>Roost</t>
        </is>
      </c>
      <c r="E3311" s="3" t="inlineStr">
        <is>
          <t>MOVE_ROOST</t>
        </is>
      </c>
    </row>
    <row r="3312">
      <c r="A3312" s="3" t="inlineStr">
        <is>
          <t>SPECIES_TALONFLAME</t>
        </is>
      </c>
      <c r="B3312" s="3" t="inlineStr">
        <is>
          <t>Talonflame</t>
        </is>
      </c>
      <c r="C3312" s="3" t="n">
        <v>74</v>
      </c>
      <c r="D3312" s="3" t="inlineStr">
        <is>
          <t>Fly</t>
        </is>
      </c>
      <c r="E3312" s="3" t="inlineStr">
        <is>
          <t>MOVE_FLY</t>
        </is>
      </c>
    </row>
    <row r="3313">
      <c r="A3313" s="3" t="inlineStr">
        <is>
          <t>SPECIES_TALONFLAME</t>
        </is>
      </c>
      <c r="B3313" s="3" t="inlineStr">
        <is>
          <t>Talonflame</t>
        </is>
      </c>
      <c r="C3313" s="3" t="n">
        <v>83</v>
      </c>
      <c r="D3313" s="3" t="inlineStr">
        <is>
          <t>Brave Bird</t>
        </is>
      </c>
      <c r="E3313" s="3" t="inlineStr">
        <is>
          <t>MOVE_BRAVE_BIRD</t>
        </is>
      </c>
    </row>
    <row r="3314">
      <c r="A3314" s="3" t="inlineStr">
        <is>
          <t>SPECIES_LITLEO</t>
        </is>
      </c>
      <c r="B3314" s="3" t="inlineStr">
        <is>
          <t>Litleo</t>
        </is>
      </c>
      <c r="C3314" s="3" t="n">
        <v>1</v>
      </c>
      <c r="D3314" s="3" t="inlineStr">
        <is>
          <t>Tackle</t>
        </is>
      </c>
      <c r="E3314" s="3" t="inlineStr">
        <is>
          <t>MOVE_TACKLE</t>
        </is>
      </c>
    </row>
    <row r="3315">
      <c r="A3315" s="3" t="inlineStr">
        <is>
          <t>SPECIES_LITLEO</t>
        </is>
      </c>
      <c r="B3315" s="3" t="inlineStr">
        <is>
          <t>Litleo</t>
        </is>
      </c>
      <c r="C3315" s="3" t="n">
        <v>1</v>
      </c>
      <c r="D3315" s="3" t="inlineStr">
        <is>
          <t>Leer</t>
        </is>
      </c>
      <c r="E3315" s="3" t="inlineStr">
        <is>
          <t>MOVE_LEER</t>
        </is>
      </c>
    </row>
    <row r="3316">
      <c r="A3316" s="3" t="inlineStr">
        <is>
          <t>SPECIES_LITLEO</t>
        </is>
      </c>
      <c r="B3316" s="3" t="inlineStr">
        <is>
          <t>Litleo</t>
        </is>
      </c>
      <c r="C3316" s="3" t="n">
        <v>5</v>
      </c>
      <c r="D3316" s="3" t="inlineStr">
        <is>
          <t>Ember</t>
        </is>
      </c>
      <c r="E3316" s="3" t="inlineStr">
        <is>
          <t>MOVE_EMBER</t>
        </is>
      </c>
    </row>
    <row r="3317">
      <c r="A3317" s="3" t="inlineStr">
        <is>
          <t>SPECIES_LITLEO</t>
        </is>
      </c>
      <c r="B3317" s="3" t="inlineStr">
        <is>
          <t>Litleo</t>
        </is>
      </c>
      <c r="C3317" s="3" t="n">
        <v>8</v>
      </c>
      <c r="D3317" s="3" t="inlineStr">
        <is>
          <t>Work Up</t>
        </is>
      </c>
      <c r="E3317" s="3" t="inlineStr">
        <is>
          <t>MOVE_WORK_UP</t>
        </is>
      </c>
    </row>
    <row r="3318">
      <c r="A3318" s="3" t="inlineStr">
        <is>
          <t>SPECIES_LITLEO</t>
        </is>
      </c>
      <c r="B3318" s="3" t="inlineStr">
        <is>
          <t>Litleo</t>
        </is>
      </c>
      <c r="C3318" s="3" t="n">
        <v>11</v>
      </c>
      <c r="D3318" s="3" t="inlineStr">
        <is>
          <t>Headbutt</t>
        </is>
      </c>
      <c r="E3318" s="3" t="inlineStr">
        <is>
          <t>MOVE_HEADBUTT</t>
        </is>
      </c>
    </row>
    <row r="3319">
      <c r="A3319" s="3" t="inlineStr">
        <is>
          <t>SPECIES_LITLEO</t>
        </is>
      </c>
      <c r="B3319" s="3" t="inlineStr">
        <is>
          <t>Litleo</t>
        </is>
      </c>
      <c r="C3319" s="3" t="n">
        <v>15</v>
      </c>
      <c r="D3319" s="3" t="inlineStr">
        <is>
          <t>Noble Roar</t>
        </is>
      </c>
      <c r="E3319" s="3" t="inlineStr">
        <is>
          <t>MOVE_NOBLE_ROAR</t>
        </is>
      </c>
    </row>
    <row r="3320">
      <c r="A3320" s="3" t="inlineStr">
        <is>
          <t>SPECIES_LITLEO</t>
        </is>
      </c>
      <c r="B3320" s="3" t="inlineStr">
        <is>
          <t>Litleo</t>
        </is>
      </c>
      <c r="C3320" s="3" t="n">
        <v>20</v>
      </c>
      <c r="D3320" s="3" t="inlineStr">
        <is>
          <t>Take Down</t>
        </is>
      </c>
      <c r="E3320" s="3" t="inlineStr">
        <is>
          <t>MOVE_TAKE_DOWN</t>
        </is>
      </c>
    </row>
    <row r="3321">
      <c r="A3321" s="3" t="inlineStr">
        <is>
          <t>SPECIES_LITLEO</t>
        </is>
      </c>
      <c r="B3321" s="3" t="inlineStr">
        <is>
          <t>Litleo</t>
        </is>
      </c>
      <c r="C3321" s="3" t="n">
        <v>23</v>
      </c>
      <c r="D3321" s="3" t="inlineStr">
        <is>
          <t>Fire Fang</t>
        </is>
      </c>
      <c r="E3321" s="3" t="inlineStr">
        <is>
          <t>MOVE_FIRE_FANG</t>
        </is>
      </c>
    </row>
    <row r="3322">
      <c r="A3322" s="3" t="inlineStr">
        <is>
          <t>SPECIES_LITLEO</t>
        </is>
      </c>
      <c r="B3322" s="3" t="inlineStr">
        <is>
          <t>Litleo</t>
        </is>
      </c>
      <c r="C3322" s="3" t="n">
        <v>28</v>
      </c>
      <c r="D3322" s="3" t="inlineStr">
        <is>
          <t>Endeavor</t>
        </is>
      </c>
      <c r="E3322" s="3" t="inlineStr">
        <is>
          <t>MOVE_ENDEAVOR</t>
        </is>
      </c>
    </row>
    <row r="3323">
      <c r="A3323" s="3" t="inlineStr">
        <is>
          <t>SPECIES_LITLEO</t>
        </is>
      </c>
      <c r="B3323" s="3" t="inlineStr">
        <is>
          <t>Litleo</t>
        </is>
      </c>
      <c r="C3323" s="3" t="n">
        <v>33</v>
      </c>
      <c r="D3323" s="3" t="inlineStr">
        <is>
          <t>Echoed Voice</t>
        </is>
      </c>
      <c r="E3323" s="3" t="inlineStr">
        <is>
          <t>MOVE_ECHOED_VOICE</t>
        </is>
      </c>
    </row>
    <row r="3324">
      <c r="A3324" s="3" t="inlineStr">
        <is>
          <t>SPECIES_LITLEO</t>
        </is>
      </c>
      <c r="B3324" s="3" t="inlineStr">
        <is>
          <t>Litleo</t>
        </is>
      </c>
      <c r="C3324" s="3" t="n">
        <v>36</v>
      </c>
      <c r="D3324" s="3" t="inlineStr">
        <is>
          <t>Flamethrower</t>
        </is>
      </c>
      <c r="E3324" s="3" t="inlineStr">
        <is>
          <t>MOVE_FLAMETHROWER</t>
        </is>
      </c>
    </row>
    <row r="3325">
      <c r="A3325" s="3" t="inlineStr">
        <is>
          <t>SPECIES_LITLEO</t>
        </is>
      </c>
      <c r="B3325" s="3" t="inlineStr">
        <is>
          <t>Litleo</t>
        </is>
      </c>
      <c r="C3325" s="3" t="n">
        <v>39</v>
      </c>
      <c r="D3325" s="3" t="inlineStr">
        <is>
          <t>Crunch</t>
        </is>
      </c>
      <c r="E3325" s="3" t="inlineStr">
        <is>
          <t>MOVE_CRUNCH</t>
        </is>
      </c>
    </row>
    <row r="3326">
      <c r="A3326" s="3" t="inlineStr">
        <is>
          <t>SPECIES_LITLEO</t>
        </is>
      </c>
      <c r="B3326" s="3" t="inlineStr">
        <is>
          <t>Litleo</t>
        </is>
      </c>
      <c r="C3326" s="3" t="n">
        <v>43</v>
      </c>
      <c r="D3326" s="3" t="inlineStr">
        <is>
          <t>Hyper Voice</t>
        </is>
      </c>
      <c r="E3326" s="3" t="inlineStr">
        <is>
          <t>MOVE_HYPER_VOICE</t>
        </is>
      </c>
    </row>
    <row r="3327">
      <c r="A3327" s="3" t="inlineStr">
        <is>
          <t>SPECIES_LITLEO</t>
        </is>
      </c>
      <c r="B3327" s="3" t="inlineStr">
        <is>
          <t>Litleo</t>
        </is>
      </c>
      <c r="C3327" s="3" t="n">
        <v>46</v>
      </c>
      <c r="D3327" s="3" t="inlineStr">
        <is>
          <t>Incinerate</t>
        </is>
      </c>
      <c r="E3327" s="3" t="inlineStr">
        <is>
          <t>MOVE_INCINERATE</t>
        </is>
      </c>
    </row>
    <row r="3328">
      <c r="A3328" s="3" t="inlineStr">
        <is>
          <t>SPECIES_LITLEO</t>
        </is>
      </c>
      <c r="B3328" s="3" t="inlineStr">
        <is>
          <t>Litleo</t>
        </is>
      </c>
      <c r="C3328" s="3" t="n">
        <v>50</v>
      </c>
      <c r="D3328" s="3" t="inlineStr">
        <is>
          <t>Overheat</t>
        </is>
      </c>
      <c r="E3328" s="3" t="inlineStr">
        <is>
          <t>MOVE_OVERHEAT</t>
        </is>
      </c>
    </row>
    <row r="3329">
      <c r="A3329" s="3" t="inlineStr">
        <is>
          <t>SPECIES_PYROAR</t>
        </is>
      </c>
      <c r="B3329" s="3" t="inlineStr">
        <is>
          <t>Pyroar</t>
        </is>
      </c>
      <c r="C3329" s="3" t="n">
        <v>1</v>
      </c>
      <c r="D3329" s="3" t="inlineStr">
        <is>
          <t>Tackle</t>
        </is>
      </c>
      <c r="E3329" s="3" t="inlineStr">
        <is>
          <t>MOVE_TACKLE</t>
        </is>
      </c>
    </row>
    <row r="3330">
      <c r="A3330" s="3" t="inlineStr">
        <is>
          <t>SPECIES_PYROAR</t>
        </is>
      </c>
      <c r="B3330" s="3" t="inlineStr">
        <is>
          <t>Pyroar</t>
        </is>
      </c>
      <c r="C3330" s="3" t="n">
        <v>1</v>
      </c>
      <c r="D3330" s="3" t="inlineStr">
        <is>
          <t>Leer</t>
        </is>
      </c>
      <c r="E3330" s="3" t="inlineStr">
        <is>
          <t>MOVE_LEER</t>
        </is>
      </c>
    </row>
    <row r="3331">
      <c r="A3331" s="3" t="inlineStr">
        <is>
          <t>SPECIES_PYROAR</t>
        </is>
      </c>
      <c r="B3331" s="3" t="inlineStr">
        <is>
          <t>Pyroar</t>
        </is>
      </c>
      <c r="C3331" s="3" t="n">
        <v>1</v>
      </c>
      <c r="D3331" s="3" t="inlineStr">
        <is>
          <t>Ember</t>
        </is>
      </c>
      <c r="E3331" s="3" t="inlineStr">
        <is>
          <t>MOVE_EMBER</t>
        </is>
      </c>
    </row>
    <row r="3332">
      <c r="A3332" s="3" t="inlineStr">
        <is>
          <t>SPECIES_PYROAR</t>
        </is>
      </c>
      <c r="B3332" s="3" t="inlineStr">
        <is>
          <t>Pyroar</t>
        </is>
      </c>
      <c r="C3332" s="3" t="n">
        <v>1</v>
      </c>
      <c r="D3332" s="3" t="inlineStr">
        <is>
          <t>Hyper Beam</t>
        </is>
      </c>
      <c r="E3332" s="3" t="inlineStr">
        <is>
          <t>MOVE_HYPER_BEAM</t>
        </is>
      </c>
    </row>
    <row r="3333">
      <c r="A3333" s="3" t="inlineStr">
        <is>
          <t>SPECIES_PYROAR</t>
        </is>
      </c>
      <c r="B3333" s="3" t="inlineStr">
        <is>
          <t>Pyroar</t>
        </is>
      </c>
      <c r="C3333" s="3" t="n">
        <v>1</v>
      </c>
      <c r="D3333" s="3" t="inlineStr">
        <is>
          <t>Work Up</t>
        </is>
      </c>
      <c r="E3333" s="3" t="inlineStr">
        <is>
          <t>MOVE_WORK_UP</t>
        </is>
      </c>
    </row>
    <row r="3334">
      <c r="A3334" s="3" t="inlineStr">
        <is>
          <t>SPECIES_PYROAR</t>
        </is>
      </c>
      <c r="B3334" s="3" t="inlineStr">
        <is>
          <t>Pyroar</t>
        </is>
      </c>
      <c r="C3334" s="3" t="n">
        <v>11</v>
      </c>
      <c r="D3334" s="3" t="inlineStr">
        <is>
          <t>Headbutt</t>
        </is>
      </c>
      <c r="E3334" s="3" t="inlineStr">
        <is>
          <t>MOVE_HEADBUTT</t>
        </is>
      </c>
    </row>
    <row r="3335">
      <c r="A3335" s="3" t="inlineStr">
        <is>
          <t>SPECIES_PYROAR</t>
        </is>
      </c>
      <c r="B3335" s="3" t="inlineStr">
        <is>
          <t>Pyroar</t>
        </is>
      </c>
      <c r="C3335" s="3" t="n">
        <v>15</v>
      </c>
      <c r="D3335" s="3" t="inlineStr">
        <is>
          <t>Noble Roar</t>
        </is>
      </c>
      <c r="E3335" s="3" t="inlineStr">
        <is>
          <t>MOVE_NOBLE_ROAR</t>
        </is>
      </c>
    </row>
    <row r="3336">
      <c r="A3336" s="3" t="inlineStr">
        <is>
          <t>SPECIES_PYROAR</t>
        </is>
      </c>
      <c r="B3336" s="3" t="inlineStr">
        <is>
          <t>Pyroar</t>
        </is>
      </c>
      <c r="C3336" s="3" t="n">
        <v>20</v>
      </c>
      <c r="D3336" s="3" t="inlineStr">
        <is>
          <t>Take Down</t>
        </is>
      </c>
      <c r="E3336" s="3" t="inlineStr">
        <is>
          <t>MOVE_TAKE_DOWN</t>
        </is>
      </c>
    </row>
    <row r="3337">
      <c r="A3337" s="3" t="inlineStr">
        <is>
          <t>SPECIES_PYROAR</t>
        </is>
      </c>
      <c r="B3337" s="3" t="inlineStr">
        <is>
          <t>Pyroar</t>
        </is>
      </c>
      <c r="C3337" s="3" t="n">
        <v>23</v>
      </c>
      <c r="D3337" s="3" t="inlineStr">
        <is>
          <t>Fire Fang</t>
        </is>
      </c>
      <c r="E3337" s="3" t="inlineStr">
        <is>
          <t>MOVE_FIRE_FANG</t>
        </is>
      </c>
    </row>
    <row r="3338">
      <c r="A3338" s="3" t="inlineStr">
        <is>
          <t>SPECIES_PYROAR</t>
        </is>
      </c>
      <c r="B3338" s="3" t="inlineStr">
        <is>
          <t>Pyroar</t>
        </is>
      </c>
      <c r="C3338" s="3" t="n">
        <v>28</v>
      </c>
      <c r="D3338" s="3" t="inlineStr">
        <is>
          <t>Endeavor</t>
        </is>
      </c>
      <c r="E3338" s="3" t="inlineStr">
        <is>
          <t>MOVE_ENDEAVOR</t>
        </is>
      </c>
    </row>
    <row r="3339">
      <c r="A3339" s="3" t="inlineStr">
        <is>
          <t>SPECIES_PYROAR</t>
        </is>
      </c>
      <c r="B3339" s="3" t="inlineStr">
        <is>
          <t>Pyroar</t>
        </is>
      </c>
      <c r="C3339" s="3" t="n">
        <v>33</v>
      </c>
      <c r="D3339" s="3" t="inlineStr">
        <is>
          <t>Echoed Voice</t>
        </is>
      </c>
      <c r="E3339" s="3" t="inlineStr">
        <is>
          <t>MOVE_ECHOED_VOICE</t>
        </is>
      </c>
    </row>
    <row r="3340">
      <c r="A3340" s="3" t="inlineStr">
        <is>
          <t>SPECIES_PYROAR</t>
        </is>
      </c>
      <c r="B3340" s="3" t="inlineStr">
        <is>
          <t>Pyroar</t>
        </is>
      </c>
      <c r="C3340" s="3" t="n">
        <v>38</v>
      </c>
      <c r="D3340" s="3" t="inlineStr">
        <is>
          <t>Flamethrower</t>
        </is>
      </c>
      <c r="E3340" s="3" t="inlineStr">
        <is>
          <t>MOVE_FLAMETHROWER</t>
        </is>
      </c>
    </row>
    <row r="3341">
      <c r="A3341" s="3" t="inlineStr">
        <is>
          <t>SPECIES_PYROAR</t>
        </is>
      </c>
      <c r="B3341" s="3" t="inlineStr">
        <is>
          <t>Pyroar</t>
        </is>
      </c>
      <c r="C3341" s="3" t="n">
        <v>42</v>
      </c>
      <c r="D3341" s="3" t="inlineStr">
        <is>
          <t>Crunch</t>
        </is>
      </c>
      <c r="E3341" s="3" t="inlineStr">
        <is>
          <t>MOVE_CRUNCH</t>
        </is>
      </c>
    </row>
    <row r="3342">
      <c r="A3342" s="3" t="inlineStr">
        <is>
          <t>SPECIES_PYROAR</t>
        </is>
      </c>
      <c r="B3342" s="3" t="inlineStr">
        <is>
          <t>Pyroar</t>
        </is>
      </c>
      <c r="C3342" s="3" t="n">
        <v>48</v>
      </c>
      <c r="D3342" s="3" t="inlineStr">
        <is>
          <t>Hyper Voice</t>
        </is>
      </c>
      <c r="E3342" s="3" t="inlineStr">
        <is>
          <t>MOVE_HYPER_VOICE</t>
        </is>
      </c>
    </row>
    <row r="3343">
      <c r="A3343" s="3" t="inlineStr">
        <is>
          <t>SPECIES_PYROAR</t>
        </is>
      </c>
      <c r="B3343" s="3" t="inlineStr">
        <is>
          <t>Pyroar</t>
        </is>
      </c>
      <c r="C3343" s="3" t="n">
        <v>51</v>
      </c>
      <c r="D3343" s="3" t="inlineStr">
        <is>
          <t>Incinerate</t>
        </is>
      </c>
      <c r="E3343" s="3" t="inlineStr">
        <is>
          <t>MOVE_INCINERATE</t>
        </is>
      </c>
    </row>
    <row r="3344">
      <c r="A3344" s="3" t="inlineStr">
        <is>
          <t>SPECIES_PYROAR</t>
        </is>
      </c>
      <c r="B3344" s="3" t="inlineStr">
        <is>
          <t>Pyroar</t>
        </is>
      </c>
      <c r="C3344" s="3" t="n">
        <v>57</v>
      </c>
      <c r="D3344" s="3" t="inlineStr">
        <is>
          <t>Overheat</t>
        </is>
      </c>
      <c r="E3344" s="3" t="inlineStr">
        <is>
          <t>MOVE_OVERHEAT</t>
        </is>
      </c>
    </row>
    <row r="3345">
      <c r="A3345" s="3" t="inlineStr">
        <is>
          <t>SPECIES_SKIDDO</t>
        </is>
      </c>
      <c r="B3345" s="3" t="inlineStr">
        <is>
          <t>Skiddo</t>
        </is>
      </c>
      <c r="C3345" s="3" t="n">
        <v>1</v>
      </c>
      <c r="D3345" s="3" t="inlineStr">
        <is>
          <t>Tackle</t>
        </is>
      </c>
      <c r="E3345" s="3" t="inlineStr">
        <is>
          <t>MOVE_TACKLE</t>
        </is>
      </c>
    </row>
    <row r="3346">
      <c r="A3346" s="3" t="inlineStr">
        <is>
          <t>SPECIES_SKIDDO</t>
        </is>
      </c>
      <c r="B3346" s="3" t="inlineStr">
        <is>
          <t>Skiddo</t>
        </is>
      </c>
      <c r="C3346" s="3" t="n">
        <v>1</v>
      </c>
      <c r="D3346" s="3" t="inlineStr">
        <is>
          <t>Growth</t>
        </is>
      </c>
      <c r="E3346" s="3" t="inlineStr">
        <is>
          <t>MOVE_GROWTH</t>
        </is>
      </c>
    </row>
    <row r="3347">
      <c r="A3347" s="3" t="inlineStr">
        <is>
          <t>SPECIES_SKIDDO</t>
        </is>
      </c>
      <c r="B3347" s="3" t="inlineStr">
        <is>
          <t>Skiddo</t>
        </is>
      </c>
      <c r="C3347" s="3" t="n">
        <v>7</v>
      </c>
      <c r="D3347" s="3" t="inlineStr">
        <is>
          <t>Vine Whip</t>
        </is>
      </c>
      <c r="E3347" s="3" t="inlineStr">
        <is>
          <t>MOVE_VINE_WHIP</t>
        </is>
      </c>
    </row>
    <row r="3348">
      <c r="A3348" s="3" t="inlineStr">
        <is>
          <t>SPECIES_SKIDDO</t>
        </is>
      </c>
      <c r="B3348" s="3" t="inlineStr">
        <is>
          <t>Skiddo</t>
        </is>
      </c>
      <c r="C3348" s="3" t="n">
        <v>9</v>
      </c>
      <c r="D3348" s="3" t="inlineStr">
        <is>
          <t>Tail Whip</t>
        </is>
      </c>
      <c r="E3348" s="3" t="inlineStr">
        <is>
          <t>MOVE_TAIL_WHIP</t>
        </is>
      </c>
    </row>
    <row r="3349">
      <c r="A3349" s="3" t="inlineStr">
        <is>
          <t>SPECIES_SKIDDO</t>
        </is>
      </c>
      <c r="B3349" s="3" t="inlineStr">
        <is>
          <t>Skiddo</t>
        </is>
      </c>
      <c r="C3349" s="3" t="n">
        <v>12</v>
      </c>
      <c r="D3349" s="3" t="inlineStr">
        <is>
          <t>Leech Seed</t>
        </is>
      </c>
      <c r="E3349" s="3" t="inlineStr">
        <is>
          <t>MOVE_LEECH_SEED</t>
        </is>
      </c>
    </row>
    <row r="3350">
      <c r="A3350" s="3" t="inlineStr">
        <is>
          <t>SPECIES_SKIDDO</t>
        </is>
      </c>
      <c r="B3350" s="3" t="inlineStr">
        <is>
          <t>Skiddo</t>
        </is>
      </c>
      <c r="C3350" s="3" t="n">
        <v>13</v>
      </c>
      <c r="D3350" s="3" t="inlineStr">
        <is>
          <t>Razor Leaf</t>
        </is>
      </c>
      <c r="E3350" s="3" t="inlineStr">
        <is>
          <t>MOVE_RAZOR_LEAF</t>
        </is>
      </c>
    </row>
    <row r="3351">
      <c r="A3351" s="3" t="inlineStr">
        <is>
          <t>SPECIES_SKIDDO</t>
        </is>
      </c>
      <c r="B3351" s="3" t="inlineStr">
        <is>
          <t>Skiddo</t>
        </is>
      </c>
      <c r="C3351" s="3" t="n">
        <v>16</v>
      </c>
      <c r="D3351" s="3" t="inlineStr">
        <is>
          <t>Worry Seed</t>
        </is>
      </c>
      <c r="E3351" s="3" t="inlineStr">
        <is>
          <t>MOVE_WORRY_SEED</t>
        </is>
      </c>
    </row>
    <row r="3352">
      <c r="A3352" s="3" t="inlineStr">
        <is>
          <t>SPECIES_SKIDDO</t>
        </is>
      </c>
      <c r="B3352" s="3" t="inlineStr">
        <is>
          <t>Skiddo</t>
        </is>
      </c>
      <c r="C3352" s="3" t="n">
        <v>20</v>
      </c>
      <c r="D3352" s="3" t="inlineStr">
        <is>
          <t>Synthesis</t>
        </is>
      </c>
      <c r="E3352" s="3" t="inlineStr">
        <is>
          <t>MOVE_SYNTHESIS</t>
        </is>
      </c>
    </row>
    <row r="3353">
      <c r="A3353" s="3" t="inlineStr">
        <is>
          <t>SPECIES_SKIDDO</t>
        </is>
      </c>
      <c r="B3353" s="3" t="inlineStr">
        <is>
          <t>Skiddo</t>
        </is>
      </c>
      <c r="C3353" s="3" t="n">
        <v>22</v>
      </c>
      <c r="D3353" s="3" t="inlineStr">
        <is>
          <t>Take Down</t>
        </is>
      </c>
      <c r="E3353" s="3" t="inlineStr">
        <is>
          <t>MOVE_TAKE_DOWN</t>
        </is>
      </c>
    </row>
    <row r="3354">
      <c r="A3354" s="3" t="inlineStr">
        <is>
          <t>SPECIES_SKIDDO</t>
        </is>
      </c>
      <c r="B3354" s="3" t="inlineStr">
        <is>
          <t>Skiddo</t>
        </is>
      </c>
      <c r="C3354" s="3" t="n">
        <v>26</v>
      </c>
      <c r="D3354" s="3" t="inlineStr">
        <is>
          <t>Bulldoze</t>
        </is>
      </c>
      <c r="E3354" s="3" t="inlineStr">
        <is>
          <t>MOVE_BULLDOZE</t>
        </is>
      </c>
    </row>
    <row r="3355">
      <c r="A3355" s="3" t="inlineStr">
        <is>
          <t>SPECIES_SKIDDO</t>
        </is>
      </c>
      <c r="B3355" s="3" t="inlineStr">
        <is>
          <t>Skiddo</t>
        </is>
      </c>
      <c r="C3355" s="3" t="n">
        <v>30</v>
      </c>
      <c r="D3355" s="3" t="inlineStr">
        <is>
          <t>Seed Bomb</t>
        </is>
      </c>
      <c r="E3355" s="3" t="inlineStr">
        <is>
          <t>MOVE_SEED_BOMB</t>
        </is>
      </c>
    </row>
    <row r="3356">
      <c r="A3356" s="3" t="inlineStr">
        <is>
          <t>SPECIES_SKIDDO</t>
        </is>
      </c>
      <c r="B3356" s="3" t="inlineStr">
        <is>
          <t>Skiddo</t>
        </is>
      </c>
      <c r="C3356" s="3" t="n">
        <v>34</v>
      </c>
      <c r="D3356" s="3" t="inlineStr">
        <is>
          <t>Bulk Up</t>
        </is>
      </c>
      <c r="E3356" s="3" t="inlineStr">
        <is>
          <t>MOVE_BULK_UP</t>
        </is>
      </c>
    </row>
    <row r="3357">
      <c r="A3357" s="3" t="inlineStr">
        <is>
          <t>SPECIES_SKIDDO</t>
        </is>
      </c>
      <c r="B3357" s="3" t="inlineStr">
        <is>
          <t>Skiddo</t>
        </is>
      </c>
      <c r="C3357" s="3" t="n">
        <v>38</v>
      </c>
      <c r="D3357" s="3" t="inlineStr">
        <is>
          <t>Double-Edge</t>
        </is>
      </c>
      <c r="E3357" s="3" t="inlineStr">
        <is>
          <t>MOVE_DOUBLE_EDGE</t>
        </is>
      </c>
    </row>
    <row r="3358">
      <c r="A3358" s="3" t="inlineStr">
        <is>
          <t>SPECIES_SKIDDO</t>
        </is>
      </c>
      <c r="B3358" s="3" t="inlineStr">
        <is>
          <t>Skiddo</t>
        </is>
      </c>
      <c r="C3358" s="3" t="n">
        <v>42</v>
      </c>
      <c r="D3358" s="3" t="inlineStr">
        <is>
          <t>Horn Leech</t>
        </is>
      </c>
      <c r="E3358" s="3" t="inlineStr">
        <is>
          <t>MOVE_HORN_LEECH</t>
        </is>
      </c>
    </row>
    <row r="3359">
      <c r="A3359" s="3" t="inlineStr">
        <is>
          <t>SPECIES_SKIDDO</t>
        </is>
      </c>
      <c r="B3359" s="3" t="inlineStr">
        <is>
          <t>Skiddo</t>
        </is>
      </c>
      <c r="C3359" s="3" t="n">
        <v>45</v>
      </c>
      <c r="D3359" s="3" t="inlineStr">
        <is>
          <t>Leaf Blade</t>
        </is>
      </c>
      <c r="E3359" s="3" t="inlineStr">
        <is>
          <t>MOVE_LEAF_BLADE</t>
        </is>
      </c>
    </row>
    <row r="3360">
      <c r="A3360" s="3" t="inlineStr">
        <is>
          <t>SPECIES_GOGOAT</t>
        </is>
      </c>
      <c r="B3360" s="3" t="inlineStr">
        <is>
          <t>Gogoat</t>
        </is>
      </c>
      <c r="C3360" s="3" t="n">
        <v>0</v>
      </c>
      <c r="D3360" s="3" t="inlineStr">
        <is>
          <t>Aerial Ace</t>
        </is>
      </c>
      <c r="E3360" s="3" t="inlineStr">
        <is>
          <t>MOVE_AERIAL_ACE</t>
        </is>
      </c>
    </row>
    <row r="3361">
      <c r="A3361" s="3" t="inlineStr">
        <is>
          <t>SPECIES_GOGOAT</t>
        </is>
      </c>
      <c r="B3361" s="3" t="inlineStr">
        <is>
          <t>Gogoat</t>
        </is>
      </c>
      <c r="C3361" s="3" t="n">
        <v>1</v>
      </c>
      <c r="D3361" s="3" t="inlineStr">
        <is>
          <t>Earthquake</t>
        </is>
      </c>
      <c r="E3361" s="3" t="inlineStr">
        <is>
          <t>MOVE_EARTHQUAKE</t>
        </is>
      </c>
    </row>
    <row r="3362">
      <c r="A3362" s="3" t="inlineStr">
        <is>
          <t>SPECIES_GOGOAT</t>
        </is>
      </c>
      <c r="B3362" s="3" t="inlineStr">
        <is>
          <t>Gogoat</t>
        </is>
      </c>
      <c r="C3362" s="3" t="n">
        <v>1</v>
      </c>
      <c r="D3362" s="3" t="inlineStr">
        <is>
          <t>Growth</t>
        </is>
      </c>
      <c r="E3362" s="3" t="inlineStr">
        <is>
          <t>MOVE_GROWTH</t>
        </is>
      </c>
    </row>
    <row r="3363">
      <c r="A3363" s="3" t="inlineStr">
        <is>
          <t>SPECIES_GOGOAT</t>
        </is>
      </c>
      <c r="B3363" s="3" t="inlineStr">
        <is>
          <t>Gogoat</t>
        </is>
      </c>
      <c r="C3363" s="3" t="n">
        <v>1</v>
      </c>
      <c r="D3363" s="3" t="inlineStr">
        <is>
          <t>Tail Whip</t>
        </is>
      </c>
      <c r="E3363" s="3" t="inlineStr">
        <is>
          <t>MOVE_TAIL_WHIP</t>
        </is>
      </c>
    </row>
    <row r="3364">
      <c r="A3364" s="3" t="inlineStr">
        <is>
          <t>SPECIES_GOGOAT</t>
        </is>
      </c>
      <c r="B3364" s="3" t="inlineStr">
        <is>
          <t>Gogoat</t>
        </is>
      </c>
      <c r="C3364" s="3" t="n">
        <v>1</v>
      </c>
      <c r="D3364" s="3" t="inlineStr">
        <is>
          <t>Vine Whip</t>
        </is>
      </c>
      <c r="E3364" s="3" t="inlineStr">
        <is>
          <t>MOVE_VINE_WHIP</t>
        </is>
      </c>
    </row>
    <row r="3365">
      <c r="A3365" s="3" t="inlineStr">
        <is>
          <t>SPECIES_GOGOAT</t>
        </is>
      </c>
      <c r="B3365" s="3" t="inlineStr">
        <is>
          <t>Gogoat</t>
        </is>
      </c>
      <c r="C3365" s="3" t="n">
        <v>1</v>
      </c>
      <c r="D3365" s="3" t="inlineStr">
        <is>
          <t>Tackle</t>
        </is>
      </c>
      <c r="E3365" s="3" t="inlineStr">
        <is>
          <t>MOVE_TACKLE</t>
        </is>
      </c>
    </row>
    <row r="3366">
      <c r="A3366" s="3" t="inlineStr">
        <is>
          <t>SPECIES_GOGOAT</t>
        </is>
      </c>
      <c r="B3366" s="3" t="inlineStr">
        <is>
          <t>Gogoat</t>
        </is>
      </c>
      <c r="C3366" s="3" t="n">
        <v>12</v>
      </c>
      <c r="D3366" s="3" t="inlineStr">
        <is>
          <t>Leech Seed</t>
        </is>
      </c>
      <c r="E3366" s="3" t="inlineStr">
        <is>
          <t>MOVE_LEECH_SEED</t>
        </is>
      </c>
    </row>
    <row r="3367">
      <c r="A3367" s="3" t="inlineStr">
        <is>
          <t>SPECIES_GOGOAT</t>
        </is>
      </c>
      <c r="B3367" s="3" t="inlineStr">
        <is>
          <t>Gogoat</t>
        </is>
      </c>
      <c r="C3367" s="3" t="n">
        <v>13</v>
      </c>
      <c r="D3367" s="3" t="inlineStr">
        <is>
          <t>Razor Leaf</t>
        </is>
      </c>
      <c r="E3367" s="3" t="inlineStr">
        <is>
          <t>MOVE_RAZOR_LEAF</t>
        </is>
      </c>
    </row>
    <row r="3368">
      <c r="A3368" s="3" t="inlineStr">
        <is>
          <t>SPECIES_GOGOAT</t>
        </is>
      </c>
      <c r="B3368" s="3" t="inlineStr">
        <is>
          <t>Gogoat</t>
        </is>
      </c>
      <c r="C3368" s="3" t="n">
        <v>16</v>
      </c>
      <c r="D3368" s="3" t="inlineStr">
        <is>
          <t>Worry Seed</t>
        </is>
      </c>
      <c r="E3368" s="3" t="inlineStr">
        <is>
          <t>MOVE_WORRY_SEED</t>
        </is>
      </c>
    </row>
    <row r="3369">
      <c r="A3369" s="3" t="inlineStr">
        <is>
          <t>SPECIES_GOGOAT</t>
        </is>
      </c>
      <c r="B3369" s="3" t="inlineStr">
        <is>
          <t>Gogoat</t>
        </is>
      </c>
      <c r="C3369" s="3" t="n">
        <v>20</v>
      </c>
      <c r="D3369" s="3" t="inlineStr">
        <is>
          <t>Synthesis</t>
        </is>
      </c>
      <c r="E3369" s="3" t="inlineStr">
        <is>
          <t>MOVE_SYNTHESIS</t>
        </is>
      </c>
    </row>
    <row r="3370">
      <c r="A3370" s="3" t="inlineStr">
        <is>
          <t>SPECIES_GOGOAT</t>
        </is>
      </c>
      <c r="B3370" s="3" t="inlineStr">
        <is>
          <t>Gogoat</t>
        </is>
      </c>
      <c r="C3370" s="3" t="n">
        <v>22</v>
      </c>
      <c r="D3370" s="3" t="inlineStr">
        <is>
          <t>Take Down</t>
        </is>
      </c>
      <c r="E3370" s="3" t="inlineStr">
        <is>
          <t>MOVE_TAKE_DOWN</t>
        </is>
      </c>
    </row>
    <row r="3371">
      <c r="A3371" s="3" t="inlineStr">
        <is>
          <t>SPECIES_GOGOAT</t>
        </is>
      </c>
      <c r="B3371" s="3" t="inlineStr">
        <is>
          <t>Gogoat</t>
        </is>
      </c>
      <c r="C3371" s="3" t="n">
        <v>26</v>
      </c>
      <c r="D3371" s="3" t="inlineStr">
        <is>
          <t>Bulldoze</t>
        </is>
      </c>
      <c r="E3371" s="3" t="inlineStr">
        <is>
          <t>MOVE_BULLDOZE</t>
        </is>
      </c>
    </row>
    <row r="3372">
      <c r="A3372" s="3" t="inlineStr">
        <is>
          <t>SPECIES_GOGOAT</t>
        </is>
      </c>
      <c r="B3372" s="3" t="inlineStr">
        <is>
          <t>Gogoat</t>
        </is>
      </c>
      <c r="C3372" s="3" t="n">
        <v>30</v>
      </c>
      <c r="D3372" s="3" t="inlineStr">
        <is>
          <t>Seed Bomb</t>
        </is>
      </c>
      <c r="E3372" s="3" t="inlineStr">
        <is>
          <t>MOVE_SEED_BOMB</t>
        </is>
      </c>
    </row>
    <row r="3373">
      <c r="A3373" s="3" t="inlineStr">
        <is>
          <t>SPECIES_GOGOAT</t>
        </is>
      </c>
      <c r="B3373" s="3" t="inlineStr">
        <is>
          <t>Gogoat</t>
        </is>
      </c>
      <c r="C3373" s="3" t="n">
        <v>34</v>
      </c>
      <c r="D3373" s="3" t="inlineStr">
        <is>
          <t>Bulk Up</t>
        </is>
      </c>
      <c r="E3373" s="3" t="inlineStr">
        <is>
          <t>MOVE_BULK_UP</t>
        </is>
      </c>
    </row>
    <row r="3374">
      <c r="A3374" s="3" t="inlineStr">
        <is>
          <t>SPECIES_GOGOAT</t>
        </is>
      </c>
      <c r="B3374" s="3" t="inlineStr">
        <is>
          <t>Gogoat</t>
        </is>
      </c>
      <c r="C3374" s="3" t="n">
        <v>40</v>
      </c>
      <c r="D3374" s="3" t="inlineStr">
        <is>
          <t>Double-Edge</t>
        </is>
      </c>
      <c r="E3374" s="3" t="inlineStr">
        <is>
          <t>MOVE_DOUBLE_EDGE</t>
        </is>
      </c>
    </row>
    <row r="3375">
      <c r="A3375" s="3" t="inlineStr">
        <is>
          <t>SPECIES_GOGOAT</t>
        </is>
      </c>
      <c r="B3375" s="3" t="inlineStr">
        <is>
          <t>Gogoat</t>
        </is>
      </c>
      <c r="C3375" s="3" t="n">
        <v>47</v>
      </c>
      <c r="D3375" s="3" t="inlineStr">
        <is>
          <t>Horn Leech</t>
        </is>
      </c>
      <c r="E3375" s="3" t="inlineStr">
        <is>
          <t>MOVE_HORN_LEECH</t>
        </is>
      </c>
    </row>
    <row r="3376">
      <c r="A3376" s="3" t="inlineStr">
        <is>
          <t>SPECIES_GOGOAT</t>
        </is>
      </c>
      <c r="B3376" s="3" t="inlineStr">
        <is>
          <t>Gogoat</t>
        </is>
      </c>
      <c r="C3376" s="3" t="n">
        <v>55</v>
      </c>
      <c r="D3376" s="3" t="inlineStr">
        <is>
          <t>Leaf Blade</t>
        </is>
      </c>
      <c r="E3376" s="3" t="inlineStr">
        <is>
          <t>MOVE_LEAF_BLADE</t>
        </is>
      </c>
    </row>
    <row r="3377">
      <c r="A3377" s="3" t="inlineStr">
        <is>
          <t>SPECIES_GOGOAT</t>
        </is>
      </c>
      <c r="B3377" s="3" t="inlineStr">
        <is>
          <t>Gogoat</t>
        </is>
      </c>
      <c r="C3377" s="3" t="n">
        <v>58</v>
      </c>
      <c r="D3377" s="3" t="inlineStr">
        <is>
          <t>Milk Drink</t>
        </is>
      </c>
      <c r="E3377" s="3" t="inlineStr">
        <is>
          <t>MOVE_MILK_DRINK</t>
        </is>
      </c>
    </row>
    <row r="3378">
      <c r="A3378" s="3" t="inlineStr">
        <is>
          <t>SPECIES_PANCHAM</t>
        </is>
      </c>
      <c r="B3378" s="3" t="inlineStr">
        <is>
          <t>Pancham</t>
        </is>
      </c>
      <c r="C3378" s="3" t="n">
        <v>1</v>
      </c>
      <c r="D3378" s="3" t="inlineStr">
        <is>
          <t>Tackle</t>
        </is>
      </c>
      <c r="E3378" s="3" t="inlineStr">
        <is>
          <t>MOVE_TACKLE</t>
        </is>
      </c>
    </row>
    <row r="3379">
      <c r="A3379" s="3" t="inlineStr">
        <is>
          <t>SPECIES_PANCHAM</t>
        </is>
      </c>
      <c r="B3379" s="3" t="inlineStr">
        <is>
          <t>Pancham</t>
        </is>
      </c>
      <c r="C3379" s="3" t="n">
        <v>1</v>
      </c>
      <c r="D3379" s="3" t="inlineStr">
        <is>
          <t>Leer</t>
        </is>
      </c>
      <c r="E3379" s="3" t="inlineStr">
        <is>
          <t>MOVE_LEER</t>
        </is>
      </c>
    </row>
    <row r="3380">
      <c r="A3380" s="3" t="inlineStr">
        <is>
          <t>SPECIES_PANCHAM</t>
        </is>
      </c>
      <c r="B3380" s="3" t="inlineStr">
        <is>
          <t>Pancham</t>
        </is>
      </c>
      <c r="C3380" s="3" t="n">
        <v>4</v>
      </c>
      <c r="D3380" s="3" t="inlineStr">
        <is>
          <t>Arm Thrust</t>
        </is>
      </c>
      <c r="E3380" s="3" t="inlineStr">
        <is>
          <t>MOVE_ARM_THRUST</t>
        </is>
      </c>
    </row>
    <row r="3381">
      <c r="A3381" s="3" t="inlineStr">
        <is>
          <t>SPECIES_PANCHAM</t>
        </is>
      </c>
      <c r="B3381" s="3" t="inlineStr">
        <is>
          <t>Pancham</t>
        </is>
      </c>
      <c r="C3381" s="3" t="n">
        <v>8</v>
      </c>
      <c r="D3381" s="3" t="inlineStr">
        <is>
          <t>Taunt</t>
        </is>
      </c>
      <c r="E3381" s="3" t="inlineStr">
        <is>
          <t>MOVE_TAUNT</t>
        </is>
      </c>
    </row>
    <row r="3382">
      <c r="A3382" s="3" t="inlineStr">
        <is>
          <t>SPECIES_PANCHAM</t>
        </is>
      </c>
      <c r="B3382" s="3" t="inlineStr">
        <is>
          <t>Pancham</t>
        </is>
      </c>
      <c r="C3382" s="3" t="n">
        <v>12</v>
      </c>
      <c r="D3382" s="3" t="inlineStr">
        <is>
          <t>Circle Throw</t>
        </is>
      </c>
      <c r="E3382" s="3" t="inlineStr">
        <is>
          <t>MOVE_CIRCLE_THROW</t>
        </is>
      </c>
    </row>
    <row r="3383">
      <c r="A3383" s="3" t="inlineStr">
        <is>
          <t>SPECIES_PANCHAM</t>
        </is>
      </c>
      <c r="B3383" s="3" t="inlineStr">
        <is>
          <t>Pancham</t>
        </is>
      </c>
      <c r="C3383" s="3" t="n">
        <v>16</v>
      </c>
      <c r="D3383" s="3" t="inlineStr">
        <is>
          <t>Low Sweep</t>
        </is>
      </c>
      <c r="E3383" s="3" t="inlineStr">
        <is>
          <t>MOVE_LOW_SWEEP</t>
        </is>
      </c>
    </row>
    <row r="3384">
      <c r="A3384" s="3" t="inlineStr">
        <is>
          <t>SPECIES_PANCHAM</t>
        </is>
      </c>
      <c r="B3384" s="3" t="inlineStr">
        <is>
          <t>Pancham</t>
        </is>
      </c>
      <c r="C3384" s="3" t="n">
        <v>20</v>
      </c>
      <c r="D3384" s="3" t="inlineStr">
        <is>
          <t>Work Up</t>
        </is>
      </c>
      <c r="E3384" s="3" t="inlineStr">
        <is>
          <t>MOVE_WORK_UP</t>
        </is>
      </c>
    </row>
    <row r="3385">
      <c r="A3385" s="3" t="inlineStr">
        <is>
          <t>SPECIES_PANCHAM</t>
        </is>
      </c>
      <c r="B3385" s="3" t="inlineStr">
        <is>
          <t>Pancham</t>
        </is>
      </c>
      <c r="C3385" s="3" t="n">
        <v>24</v>
      </c>
      <c r="D3385" s="3" t="inlineStr">
        <is>
          <t>Slash</t>
        </is>
      </c>
      <c r="E3385" s="3" t="inlineStr">
        <is>
          <t>MOVE_SLASH</t>
        </is>
      </c>
    </row>
    <row r="3386">
      <c r="A3386" s="3" t="inlineStr">
        <is>
          <t>SPECIES_PANCHAM</t>
        </is>
      </c>
      <c r="B3386" s="3" t="inlineStr">
        <is>
          <t>Pancham</t>
        </is>
      </c>
      <c r="C3386" s="3" t="n">
        <v>28</v>
      </c>
      <c r="D3386" s="3" t="inlineStr">
        <is>
          <t>Vital Throw</t>
        </is>
      </c>
      <c r="E3386" s="3" t="inlineStr">
        <is>
          <t>MOVE_VITAL_THROW</t>
        </is>
      </c>
    </row>
    <row r="3387">
      <c r="A3387" s="3" t="inlineStr">
        <is>
          <t>SPECIES_PANCHAM</t>
        </is>
      </c>
      <c r="B3387" s="3" t="inlineStr">
        <is>
          <t>Pancham</t>
        </is>
      </c>
      <c r="C3387" s="3" t="n">
        <v>33</v>
      </c>
      <c r="D3387" s="3" t="inlineStr">
        <is>
          <t>Crunch</t>
        </is>
      </c>
      <c r="E3387" s="3" t="inlineStr">
        <is>
          <t>MOVE_CRUNCH</t>
        </is>
      </c>
    </row>
    <row r="3388">
      <c r="A3388" s="3" t="inlineStr">
        <is>
          <t>SPECIES_PANCHAM</t>
        </is>
      </c>
      <c r="B3388" s="3" t="inlineStr">
        <is>
          <t>Pancham</t>
        </is>
      </c>
      <c r="C3388" s="3" t="n">
        <v>36</v>
      </c>
      <c r="D3388" s="3" t="inlineStr">
        <is>
          <t>Body Slam</t>
        </is>
      </c>
      <c r="E3388" s="3" t="inlineStr">
        <is>
          <t>MOVE_BODY_SLAM</t>
        </is>
      </c>
    </row>
    <row r="3389">
      <c r="A3389" s="3" t="inlineStr">
        <is>
          <t>SPECIES_PANCHAM</t>
        </is>
      </c>
      <c r="B3389" s="3" t="inlineStr">
        <is>
          <t>Pancham</t>
        </is>
      </c>
      <c r="C3389" s="3" t="n">
        <v>40</v>
      </c>
      <c r="D3389" s="3" t="inlineStr">
        <is>
          <t>Parting Shot</t>
        </is>
      </c>
      <c r="E3389" s="3" t="inlineStr">
        <is>
          <t>MOVE_PARTING_SHOT</t>
        </is>
      </c>
    </row>
    <row r="3390">
      <c r="A3390" s="3" t="inlineStr">
        <is>
          <t>SPECIES_PANCHAM</t>
        </is>
      </c>
      <c r="B3390" s="3" t="inlineStr">
        <is>
          <t>Pancham</t>
        </is>
      </c>
      <c r="C3390" s="3" t="n">
        <v>44</v>
      </c>
      <c r="D3390" s="3" t="inlineStr">
        <is>
          <t>Entrainment</t>
        </is>
      </c>
      <c r="E3390" s="3" t="inlineStr">
        <is>
          <t>MOVE_ENTRAINMENT</t>
        </is>
      </c>
    </row>
    <row r="3391">
      <c r="A3391" s="3" t="inlineStr">
        <is>
          <t>SPECIES_PANGORO</t>
        </is>
      </c>
      <c r="B3391" s="3" t="inlineStr">
        <is>
          <t>Pangoro</t>
        </is>
      </c>
      <c r="C3391" s="3" t="n">
        <v>0</v>
      </c>
      <c r="D3391" s="3" t="inlineStr">
        <is>
          <t>Night Slash</t>
        </is>
      </c>
      <c r="E3391" s="3" t="inlineStr">
        <is>
          <t>MOVE_NIGHT_SLASH</t>
        </is>
      </c>
    </row>
    <row r="3392">
      <c r="A3392" s="3" t="inlineStr">
        <is>
          <t>SPECIES_PANGORO</t>
        </is>
      </c>
      <c r="B3392" s="3" t="inlineStr">
        <is>
          <t>Pangoro</t>
        </is>
      </c>
      <c r="C3392" s="3" t="n">
        <v>1</v>
      </c>
      <c r="D3392" s="3" t="inlineStr">
        <is>
          <t>Night Slash</t>
        </is>
      </c>
      <c r="E3392" s="3" t="inlineStr">
        <is>
          <t>MOVE_NIGHT_SLASH</t>
        </is>
      </c>
    </row>
    <row r="3393">
      <c r="A3393" s="3" t="inlineStr">
        <is>
          <t>SPECIES_PANGORO</t>
        </is>
      </c>
      <c r="B3393" s="3" t="inlineStr">
        <is>
          <t>Pangoro</t>
        </is>
      </c>
      <c r="C3393" s="3" t="n">
        <v>1</v>
      </c>
      <c r="D3393" s="3" t="inlineStr">
        <is>
          <t>Bullet Punch</t>
        </is>
      </c>
      <c r="E3393" s="3" t="inlineStr">
        <is>
          <t>MOVE_BULLET_PUNCH</t>
        </is>
      </c>
    </row>
    <row r="3394">
      <c r="A3394" s="3" t="inlineStr">
        <is>
          <t>SPECIES_PANGORO</t>
        </is>
      </c>
      <c r="B3394" s="3" t="inlineStr">
        <is>
          <t>Pangoro</t>
        </is>
      </c>
      <c r="C3394" s="3" t="n">
        <v>1</v>
      </c>
      <c r="D3394" s="3" t="inlineStr">
        <is>
          <t>Tackle</t>
        </is>
      </c>
      <c r="E3394" s="3" t="inlineStr">
        <is>
          <t>MOVE_TACKLE</t>
        </is>
      </c>
    </row>
    <row r="3395">
      <c r="A3395" s="3" t="inlineStr">
        <is>
          <t>SPECIES_PANGORO</t>
        </is>
      </c>
      <c r="B3395" s="3" t="inlineStr">
        <is>
          <t>Pangoro</t>
        </is>
      </c>
      <c r="C3395" s="3" t="n">
        <v>1</v>
      </c>
      <c r="D3395" s="3" t="inlineStr">
        <is>
          <t>Leer</t>
        </is>
      </c>
      <c r="E3395" s="3" t="inlineStr">
        <is>
          <t>MOVE_LEER</t>
        </is>
      </c>
    </row>
    <row r="3396">
      <c r="A3396" s="3" t="inlineStr">
        <is>
          <t>SPECIES_PANGORO</t>
        </is>
      </c>
      <c r="B3396" s="3" t="inlineStr">
        <is>
          <t>Pangoro</t>
        </is>
      </c>
      <c r="C3396" s="3" t="n">
        <v>1</v>
      </c>
      <c r="D3396" s="3" t="inlineStr">
        <is>
          <t>Arm Thrust</t>
        </is>
      </c>
      <c r="E3396" s="3" t="inlineStr">
        <is>
          <t>MOVE_ARM_THRUST</t>
        </is>
      </c>
    </row>
    <row r="3397">
      <c r="A3397" s="3" t="inlineStr">
        <is>
          <t>SPECIES_PANGORO</t>
        </is>
      </c>
      <c r="B3397" s="3" t="inlineStr">
        <is>
          <t>Pangoro</t>
        </is>
      </c>
      <c r="C3397" s="3" t="n">
        <v>1</v>
      </c>
      <c r="D3397" s="3" t="inlineStr">
        <is>
          <t>Taunt</t>
        </is>
      </c>
      <c r="E3397" s="3" t="inlineStr">
        <is>
          <t>MOVE_TAUNT</t>
        </is>
      </c>
    </row>
    <row r="3398">
      <c r="A3398" s="3" t="inlineStr">
        <is>
          <t>SPECIES_PANGORO</t>
        </is>
      </c>
      <c r="B3398" s="3" t="inlineStr">
        <is>
          <t>Pangoro</t>
        </is>
      </c>
      <c r="C3398" s="3" t="n">
        <v>12</v>
      </c>
      <c r="D3398" s="3" t="inlineStr">
        <is>
          <t>Circle Throw</t>
        </is>
      </c>
      <c r="E3398" s="3" t="inlineStr">
        <is>
          <t>MOVE_CIRCLE_THROW</t>
        </is>
      </c>
    </row>
    <row r="3399">
      <c r="A3399" s="3" t="inlineStr">
        <is>
          <t>SPECIES_PANGORO</t>
        </is>
      </c>
      <c r="B3399" s="3" t="inlineStr">
        <is>
          <t>Pangoro</t>
        </is>
      </c>
      <c r="C3399" s="3" t="n">
        <v>16</v>
      </c>
      <c r="D3399" s="3" t="inlineStr">
        <is>
          <t>Low Sweep</t>
        </is>
      </c>
      <c r="E3399" s="3" t="inlineStr">
        <is>
          <t>MOVE_LOW_SWEEP</t>
        </is>
      </c>
    </row>
    <row r="3400">
      <c r="A3400" s="3" t="inlineStr">
        <is>
          <t>SPECIES_PANGORO</t>
        </is>
      </c>
      <c r="B3400" s="3" t="inlineStr">
        <is>
          <t>Pangoro</t>
        </is>
      </c>
      <c r="C3400" s="3" t="n">
        <v>20</v>
      </c>
      <c r="D3400" s="3" t="inlineStr">
        <is>
          <t>Work Up</t>
        </is>
      </c>
      <c r="E3400" s="3" t="inlineStr">
        <is>
          <t>MOVE_WORK_UP</t>
        </is>
      </c>
    </row>
    <row r="3401">
      <c r="A3401" s="3" t="inlineStr">
        <is>
          <t>SPECIES_PANGORO</t>
        </is>
      </c>
      <c r="B3401" s="3" t="inlineStr">
        <is>
          <t>Pangoro</t>
        </is>
      </c>
      <c r="C3401" s="3" t="n">
        <v>24</v>
      </c>
      <c r="D3401" s="3" t="inlineStr">
        <is>
          <t>Slash</t>
        </is>
      </c>
      <c r="E3401" s="3" t="inlineStr">
        <is>
          <t>MOVE_SLASH</t>
        </is>
      </c>
    </row>
    <row r="3402">
      <c r="A3402" s="3" t="inlineStr">
        <is>
          <t>SPECIES_PANGORO</t>
        </is>
      </c>
      <c r="B3402" s="3" t="inlineStr">
        <is>
          <t>Pangoro</t>
        </is>
      </c>
      <c r="C3402" s="3" t="n">
        <v>28</v>
      </c>
      <c r="D3402" s="3" t="inlineStr">
        <is>
          <t>Vital Throw</t>
        </is>
      </c>
      <c r="E3402" s="3" t="inlineStr">
        <is>
          <t>MOVE_VITAL_THROW</t>
        </is>
      </c>
    </row>
    <row r="3403">
      <c r="A3403" s="3" t="inlineStr">
        <is>
          <t>SPECIES_PANGORO</t>
        </is>
      </c>
      <c r="B3403" s="3" t="inlineStr">
        <is>
          <t>Pangoro</t>
        </is>
      </c>
      <c r="C3403" s="3" t="n">
        <v>35</v>
      </c>
      <c r="D3403" s="3" t="inlineStr">
        <is>
          <t>Crunch</t>
        </is>
      </c>
      <c r="E3403" s="3" t="inlineStr">
        <is>
          <t>MOVE_CRUNCH</t>
        </is>
      </c>
    </row>
    <row r="3404">
      <c r="A3404" s="3" t="inlineStr">
        <is>
          <t>SPECIES_PANGORO</t>
        </is>
      </c>
      <c r="B3404" s="3" t="inlineStr">
        <is>
          <t>Pangoro</t>
        </is>
      </c>
      <c r="C3404" s="3" t="n">
        <v>40</v>
      </c>
      <c r="D3404" s="3" t="inlineStr">
        <is>
          <t>Body Slam</t>
        </is>
      </c>
      <c r="E3404" s="3" t="inlineStr">
        <is>
          <t>MOVE_BODY_SLAM</t>
        </is>
      </c>
    </row>
    <row r="3405">
      <c r="A3405" s="3" t="inlineStr">
        <is>
          <t>SPECIES_PANGORO</t>
        </is>
      </c>
      <c r="B3405" s="3" t="inlineStr">
        <is>
          <t>Pangoro</t>
        </is>
      </c>
      <c r="C3405" s="3" t="n">
        <v>46</v>
      </c>
      <c r="D3405" s="3" t="inlineStr">
        <is>
          <t>Parting Shot</t>
        </is>
      </c>
      <c r="E3405" s="3" t="inlineStr">
        <is>
          <t>MOVE_PARTING_SHOT</t>
        </is>
      </c>
    </row>
    <row r="3406">
      <c r="A3406" s="3" t="inlineStr">
        <is>
          <t>SPECIES_PANGORO</t>
        </is>
      </c>
      <c r="B3406" s="3" t="inlineStr">
        <is>
          <t>Pangoro</t>
        </is>
      </c>
      <c r="C3406" s="3" t="n">
        <v>52</v>
      </c>
      <c r="D3406" s="3" t="inlineStr">
        <is>
          <t>Entrainment</t>
        </is>
      </c>
      <c r="E3406" s="3" t="inlineStr">
        <is>
          <t>MOVE_ENTRAINMENT</t>
        </is>
      </c>
    </row>
    <row r="3407">
      <c r="A3407" s="3" t="inlineStr">
        <is>
          <t>SPECIES_PANGORO</t>
        </is>
      </c>
      <c r="B3407" s="3" t="inlineStr">
        <is>
          <t>Pangoro</t>
        </is>
      </c>
      <c r="C3407" s="3" t="n">
        <v>58</v>
      </c>
      <c r="D3407" s="3" t="inlineStr">
        <is>
          <t>Hammer Arm</t>
        </is>
      </c>
      <c r="E3407" s="3" t="inlineStr">
        <is>
          <t>MOVE_HAMMER_ARM</t>
        </is>
      </c>
    </row>
    <row r="3408">
      <c r="A3408" s="3" t="inlineStr">
        <is>
          <t>SPECIES_HONEDGE</t>
        </is>
      </c>
      <c r="B3408" s="3" t="inlineStr">
        <is>
          <t>Honedge</t>
        </is>
      </c>
      <c r="C3408" s="3" t="n">
        <v>1</v>
      </c>
      <c r="D3408" s="3" t="inlineStr">
        <is>
          <t>Tackle</t>
        </is>
      </c>
      <c r="E3408" s="3" t="inlineStr">
        <is>
          <t>MOVE_TACKLE</t>
        </is>
      </c>
    </row>
    <row r="3409">
      <c r="A3409" s="3" t="inlineStr">
        <is>
          <t>SPECIES_HONEDGE</t>
        </is>
      </c>
      <c r="B3409" s="3" t="inlineStr">
        <is>
          <t>Honedge</t>
        </is>
      </c>
      <c r="C3409" s="3" t="n">
        <v>1</v>
      </c>
      <c r="D3409" s="3" t="inlineStr">
        <is>
          <t>Fury Cutter</t>
        </is>
      </c>
      <c r="E3409" s="3" t="inlineStr">
        <is>
          <t>MOVE_FURY_CUTTER</t>
        </is>
      </c>
    </row>
    <row r="3410">
      <c r="A3410" s="3" t="inlineStr">
        <is>
          <t>SPECIES_HONEDGE</t>
        </is>
      </c>
      <c r="B3410" s="3" t="inlineStr">
        <is>
          <t>Honedge</t>
        </is>
      </c>
      <c r="C3410" s="3" t="n">
        <v>4</v>
      </c>
      <c r="D3410" s="3" t="inlineStr">
        <is>
          <t>Shadow Sneak</t>
        </is>
      </c>
      <c r="E3410" s="3" t="inlineStr">
        <is>
          <t>MOVE_SHADOW_SNEAK</t>
        </is>
      </c>
    </row>
    <row r="3411">
      <c r="A3411" s="3" t="inlineStr">
        <is>
          <t>SPECIES_HONEDGE</t>
        </is>
      </c>
      <c r="B3411" s="3" t="inlineStr">
        <is>
          <t>Honedge</t>
        </is>
      </c>
      <c r="C3411" s="3" t="n">
        <v>8</v>
      </c>
      <c r="D3411" s="3" t="inlineStr">
        <is>
          <t>Autotomize</t>
        </is>
      </c>
      <c r="E3411" s="3" t="inlineStr">
        <is>
          <t>MOVE_AUTOTOMIZE</t>
        </is>
      </c>
    </row>
    <row r="3412">
      <c r="A3412" s="3" t="inlineStr">
        <is>
          <t>SPECIES_HONEDGE</t>
        </is>
      </c>
      <c r="B3412" s="3" t="inlineStr">
        <is>
          <t>Honedge</t>
        </is>
      </c>
      <c r="C3412" s="3" t="n">
        <v>12</v>
      </c>
      <c r="D3412" s="3" t="inlineStr">
        <is>
          <t>Aerial Ace</t>
        </is>
      </c>
      <c r="E3412" s="3" t="inlineStr">
        <is>
          <t>MOVE_AERIAL_ACE</t>
        </is>
      </c>
    </row>
    <row r="3413">
      <c r="A3413" s="3" t="inlineStr">
        <is>
          <t>SPECIES_HONEDGE</t>
        </is>
      </c>
      <c r="B3413" s="3" t="inlineStr">
        <is>
          <t>Honedge</t>
        </is>
      </c>
      <c r="C3413" s="3" t="n">
        <v>16</v>
      </c>
      <c r="D3413" s="3" t="inlineStr">
        <is>
          <t>Metal Sound</t>
        </is>
      </c>
      <c r="E3413" s="3" t="inlineStr">
        <is>
          <t>MOVE_METAL_SOUND</t>
        </is>
      </c>
    </row>
    <row r="3414">
      <c r="A3414" s="3" t="inlineStr">
        <is>
          <t>SPECIES_HONEDGE</t>
        </is>
      </c>
      <c r="B3414" s="3" t="inlineStr">
        <is>
          <t>Honedge</t>
        </is>
      </c>
      <c r="C3414" s="3" t="n">
        <v>20</v>
      </c>
      <c r="D3414" s="3" t="inlineStr">
        <is>
          <t>Slash</t>
        </is>
      </c>
      <c r="E3414" s="3" t="inlineStr">
        <is>
          <t>MOVE_SLASH</t>
        </is>
      </c>
    </row>
    <row r="3415">
      <c r="A3415" s="3" t="inlineStr">
        <is>
          <t>SPECIES_HONEDGE</t>
        </is>
      </c>
      <c r="B3415" s="3" t="inlineStr">
        <is>
          <t>Honedge</t>
        </is>
      </c>
      <c r="C3415" s="3" t="n">
        <v>24</v>
      </c>
      <c r="D3415" s="3" t="inlineStr">
        <is>
          <t>Night Slash</t>
        </is>
      </c>
      <c r="E3415" s="3" t="inlineStr">
        <is>
          <t>MOVE_NIGHT_SLASH</t>
        </is>
      </c>
    </row>
    <row r="3416">
      <c r="A3416" s="3" t="inlineStr">
        <is>
          <t>SPECIES_HONEDGE</t>
        </is>
      </c>
      <c r="B3416" s="3" t="inlineStr">
        <is>
          <t>Honedge</t>
        </is>
      </c>
      <c r="C3416" s="3" t="n">
        <v>28</v>
      </c>
      <c r="D3416" s="3" t="inlineStr">
        <is>
          <t>Retaliate</t>
        </is>
      </c>
      <c r="E3416" s="3" t="inlineStr">
        <is>
          <t>MOVE_RETALIATE</t>
        </is>
      </c>
    </row>
    <row r="3417">
      <c r="A3417" s="3" t="inlineStr">
        <is>
          <t>SPECIES_HONEDGE</t>
        </is>
      </c>
      <c r="B3417" s="3" t="inlineStr">
        <is>
          <t>Honedge</t>
        </is>
      </c>
      <c r="C3417" s="3" t="n">
        <v>32</v>
      </c>
      <c r="D3417" s="3" t="inlineStr">
        <is>
          <t>Iron Defense</t>
        </is>
      </c>
      <c r="E3417" s="3" t="inlineStr">
        <is>
          <t>MOVE_IRON_DEFENSE</t>
        </is>
      </c>
    </row>
    <row r="3418">
      <c r="A3418" s="3" t="inlineStr">
        <is>
          <t>SPECIES_HONEDGE</t>
        </is>
      </c>
      <c r="B3418" s="3" t="inlineStr">
        <is>
          <t>Honedge</t>
        </is>
      </c>
      <c r="C3418" s="3" t="n">
        <v>36</v>
      </c>
      <c r="D3418" s="3" t="inlineStr">
        <is>
          <t>Iron Head</t>
        </is>
      </c>
      <c r="E3418" s="3" t="inlineStr">
        <is>
          <t>MOVE_IRON_HEAD</t>
        </is>
      </c>
    </row>
    <row r="3419">
      <c r="A3419" s="3" t="inlineStr">
        <is>
          <t>SPECIES_HONEDGE</t>
        </is>
      </c>
      <c r="B3419" s="3" t="inlineStr">
        <is>
          <t>Honedge</t>
        </is>
      </c>
      <c r="C3419" s="3" t="n">
        <v>40</v>
      </c>
      <c r="D3419" s="3" t="inlineStr">
        <is>
          <t>Power Trick</t>
        </is>
      </c>
      <c r="E3419" s="3" t="inlineStr">
        <is>
          <t>MOVE_POWER_TRICK</t>
        </is>
      </c>
    </row>
    <row r="3420">
      <c r="A3420" s="3" t="inlineStr">
        <is>
          <t>SPECIES_HONEDGE</t>
        </is>
      </c>
      <c r="B3420" s="3" t="inlineStr">
        <is>
          <t>Honedge</t>
        </is>
      </c>
      <c r="C3420" s="3" t="n">
        <v>44</v>
      </c>
      <c r="D3420" s="3" t="inlineStr">
        <is>
          <t>Swords Dance</t>
        </is>
      </c>
      <c r="E3420" s="3" t="inlineStr">
        <is>
          <t>MOVE_SWORDS_DANCE</t>
        </is>
      </c>
    </row>
    <row r="3421">
      <c r="A3421" s="3" t="inlineStr">
        <is>
          <t>SPECIES_HONEDGE</t>
        </is>
      </c>
      <c r="B3421" s="3" t="inlineStr">
        <is>
          <t>Honedge</t>
        </is>
      </c>
      <c r="C3421" s="3" t="n">
        <v>48</v>
      </c>
      <c r="D3421" s="3" t="inlineStr">
        <is>
          <t>Sacred Sword</t>
        </is>
      </c>
      <c r="E3421" s="3" t="inlineStr">
        <is>
          <t>MOVE_SACRED_SWORD</t>
        </is>
      </c>
    </row>
    <row r="3422">
      <c r="A3422" s="3" t="inlineStr">
        <is>
          <t>SPECIES_DOUBLADE</t>
        </is>
      </c>
      <c r="B3422" s="3" t="inlineStr">
        <is>
          <t>Doublade</t>
        </is>
      </c>
      <c r="C3422" s="3" t="n">
        <v>1</v>
      </c>
      <c r="D3422" s="3" t="inlineStr">
        <is>
          <t>Tackle</t>
        </is>
      </c>
      <c r="E3422" s="3" t="inlineStr">
        <is>
          <t>MOVE_TACKLE</t>
        </is>
      </c>
    </row>
    <row r="3423">
      <c r="A3423" s="3" t="inlineStr">
        <is>
          <t>SPECIES_DOUBLADE</t>
        </is>
      </c>
      <c r="B3423" s="3" t="inlineStr">
        <is>
          <t>Doublade</t>
        </is>
      </c>
      <c r="C3423" s="3" t="n">
        <v>1</v>
      </c>
      <c r="D3423" s="3" t="inlineStr">
        <is>
          <t>Fury Cutter</t>
        </is>
      </c>
      <c r="E3423" s="3" t="inlineStr">
        <is>
          <t>MOVE_FURY_CUTTER</t>
        </is>
      </c>
    </row>
    <row r="3424">
      <c r="A3424" s="3" t="inlineStr">
        <is>
          <t>SPECIES_DOUBLADE</t>
        </is>
      </c>
      <c r="B3424" s="3" t="inlineStr">
        <is>
          <t>Doublade</t>
        </is>
      </c>
      <c r="C3424" s="3" t="n">
        <v>1</v>
      </c>
      <c r="D3424" s="3" t="inlineStr">
        <is>
          <t>Shadow Sneak</t>
        </is>
      </c>
      <c r="E3424" s="3" t="inlineStr">
        <is>
          <t>MOVE_SHADOW_SNEAK</t>
        </is>
      </c>
    </row>
    <row r="3425">
      <c r="A3425" s="3" t="inlineStr">
        <is>
          <t>SPECIES_DOUBLADE</t>
        </is>
      </c>
      <c r="B3425" s="3" t="inlineStr">
        <is>
          <t>Doublade</t>
        </is>
      </c>
      <c r="C3425" s="3" t="n">
        <v>1</v>
      </c>
      <c r="D3425" s="3" t="inlineStr">
        <is>
          <t>Autotomize</t>
        </is>
      </c>
      <c r="E3425" s="3" t="inlineStr">
        <is>
          <t>MOVE_AUTOTOMIZE</t>
        </is>
      </c>
    </row>
    <row r="3426">
      <c r="A3426" s="3" t="inlineStr">
        <is>
          <t>SPECIES_DOUBLADE</t>
        </is>
      </c>
      <c r="B3426" s="3" t="inlineStr">
        <is>
          <t>Doublade</t>
        </is>
      </c>
      <c r="C3426" s="3" t="n">
        <v>12</v>
      </c>
      <c r="D3426" s="3" t="inlineStr">
        <is>
          <t>Aerial Ace</t>
        </is>
      </c>
      <c r="E3426" s="3" t="inlineStr">
        <is>
          <t>MOVE_AERIAL_ACE</t>
        </is>
      </c>
    </row>
    <row r="3427">
      <c r="A3427" s="3" t="inlineStr">
        <is>
          <t>SPECIES_DOUBLADE</t>
        </is>
      </c>
      <c r="B3427" s="3" t="inlineStr">
        <is>
          <t>Doublade</t>
        </is>
      </c>
      <c r="C3427" s="3" t="n">
        <v>16</v>
      </c>
      <c r="D3427" s="3" t="inlineStr">
        <is>
          <t>Metal Sound</t>
        </is>
      </c>
      <c r="E3427" s="3" t="inlineStr">
        <is>
          <t>MOVE_METAL_SOUND</t>
        </is>
      </c>
    </row>
    <row r="3428">
      <c r="A3428" s="3" t="inlineStr">
        <is>
          <t>SPECIES_DOUBLADE</t>
        </is>
      </c>
      <c r="B3428" s="3" t="inlineStr">
        <is>
          <t>Doublade</t>
        </is>
      </c>
      <c r="C3428" s="3" t="n">
        <v>20</v>
      </c>
      <c r="D3428" s="3" t="inlineStr">
        <is>
          <t>Slash</t>
        </is>
      </c>
      <c r="E3428" s="3" t="inlineStr">
        <is>
          <t>MOVE_SLASH</t>
        </is>
      </c>
    </row>
    <row r="3429">
      <c r="A3429" s="3" t="inlineStr">
        <is>
          <t>SPECIES_DOUBLADE</t>
        </is>
      </c>
      <c r="B3429" s="3" t="inlineStr">
        <is>
          <t>Doublade</t>
        </is>
      </c>
      <c r="C3429" s="3" t="n">
        <v>24</v>
      </c>
      <c r="D3429" s="3" t="inlineStr">
        <is>
          <t>Night Slash</t>
        </is>
      </c>
      <c r="E3429" s="3" t="inlineStr">
        <is>
          <t>MOVE_NIGHT_SLASH</t>
        </is>
      </c>
    </row>
    <row r="3430">
      <c r="A3430" s="3" t="inlineStr">
        <is>
          <t>SPECIES_DOUBLADE</t>
        </is>
      </c>
      <c r="B3430" s="3" t="inlineStr">
        <is>
          <t>Doublade</t>
        </is>
      </c>
      <c r="C3430" s="3" t="n">
        <v>28</v>
      </c>
      <c r="D3430" s="3" t="inlineStr">
        <is>
          <t>Retaliate</t>
        </is>
      </c>
      <c r="E3430" s="3" t="inlineStr">
        <is>
          <t>MOVE_RETALIATE</t>
        </is>
      </c>
    </row>
    <row r="3431">
      <c r="A3431" s="3" t="inlineStr">
        <is>
          <t>SPECIES_DOUBLADE</t>
        </is>
      </c>
      <c r="B3431" s="3" t="inlineStr">
        <is>
          <t>Doublade</t>
        </is>
      </c>
      <c r="C3431" s="3" t="n">
        <v>32</v>
      </c>
      <c r="D3431" s="3" t="inlineStr">
        <is>
          <t>Iron Defense</t>
        </is>
      </c>
      <c r="E3431" s="3" t="inlineStr">
        <is>
          <t>MOVE_IRON_DEFENSE</t>
        </is>
      </c>
    </row>
    <row r="3432">
      <c r="A3432" s="3" t="inlineStr">
        <is>
          <t>SPECIES_DOUBLADE</t>
        </is>
      </c>
      <c r="B3432" s="3" t="inlineStr">
        <is>
          <t>Doublade</t>
        </is>
      </c>
      <c r="C3432" s="3" t="n">
        <v>38</v>
      </c>
      <c r="D3432" s="3" t="inlineStr">
        <is>
          <t>Iron Head</t>
        </is>
      </c>
      <c r="E3432" s="3" t="inlineStr">
        <is>
          <t>MOVE_IRON_HEAD</t>
        </is>
      </c>
    </row>
    <row r="3433">
      <c r="A3433" s="3" t="inlineStr">
        <is>
          <t>SPECIES_DOUBLADE</t>
        </is>
      </c>
      <c r="B3433" s="3" t="inlineStr">
        <is>
          <t>Doublade</t>
        </is>
      </c>
      <c r="C3433" s="3" t="n">
        <v>44</v>
      </c>
      <c r="D3433" s="3" t="inlineStr">
        <is>
          <t>Power Trick</t>
        </is>
      </c>
      <c r="E3433" s="3" t="inlineStr">
        <is>
          <t>MOVE_POWER_TRICK</t>
        </is>
      </c>
    </row>
    <row r="3434">
      <c r="A3434" s="3" t="inlineStr">
        <is>
          <t>SPECIES_DOUBLADE</t>
        </is>
      </c>
      <c r="B3434" s="3" t="inlineStr">
        <is>
          <t>Doublade</t>
        </is>
      </c>
      <c r="C3434" s="3" t="n">
        <v>50</v>
      </c>
      <c r="D3434" s="3" t="inlineStr">
        <is>
          <t>Swords Dance</t>
        </is>
      </c>
      <c r="E3434" s="3" t="inlineStr">
        <is>
          <t>MOVE_SWORDS_DANCE</t>
        </is>
      </c>
    </row>
    <row r="3435">
      <c r="A3435" s="3" t="inlineStr">
        <is>
          <t>SPECIES_DOUBLADE</t>
        </is>
      </c>
      <c r="B3435" s="3" t="inlineStr">
        <is>
          <t>Doublade</t>
        </is>
      </c>
      <c r="C3435" s="3" t="n">
        <v>56</v>
      </c>
      <c r="D3435" s="3" t="inlineStr">
        <is>
          <t>Sacred Sword</t>
        </is>
      </c>
      <c r="E3435" s="3" t="inlineStr">
        <is>
          <t>MOVE_SACRED_SWORD</t>
        </is>
      </c>
    </row>
    <row r="3436">
      <c r="A3436" s="3" t="inlineStr">
        <is>
          <t>SPECIES_AEGISLASH_SHIELD</t>
        </is>
      </c>
      <c r="B3436" s="3" t="inlineStr">
        <is>
          <t>Aegislash</t>
        </is>
      </c>
      <c r="C3436" s="3" t="n">
        <v>0</v>
      </c>
      <c r="D3436" s="3" t="inlineStr">
        <is>
          <t>King's Shield</t>
        </is>
      </c>
      <c r="E3436" s="3" t="inlineStr">
        <is>
          <t>MOVE_KINGS_SHIELD</t>
        </is>
      </c>
    </row>
    <row r="3437">
      <c r="A3437" s="3" t="inlineStr">
        <is>
          <t>SPECIES_AEGISLASH_SHIELD</t>
        </is>
      </c>
      <c r="B3437" s="3" t="inlineStr">
        <is>
          <t>Aegislash</t>
        </is>
      </c>
      <c r="C3437" s="3" t="n">
        <v>1</v>
      </c>
      <c r="D3437" s="3" t="inlineStr">
        <is>
          <t>King's Shield</t>
        </is>
      </c>
      <c r="E3437" s="3" t="inlineStr">
        <is>
          <t>MOVE_KINGS_SHIELD</t>
        </is>
      </c>
    </row>
    <row r="3438">
      <c r="A3438" s="3" t="inlineStr">
        <is>
          <t>SPECIES_AEGISLASH_SHIELD</t>
        </is>
      </c>
      <c r="B3438" s="3" t="inlineStr">
        <is>
          <t>Aegislash</t>
        </is>
      </c>
      <c r="C3438" s="3" t="n">
        <v>1</v>
      </c>
      <c r="D3438" s="3" t="inlineStr">
        <is>
          <t>Head Smash</t>
        </is>
      </c>
      <c r="E3438" s="3" t="inlineStr">
        <is>
          <t>MOVE_HEAD_SMASH</t>
        </is>
      </c>
    </row>
    <row r="3439">
      <c r="A3439" s="3" t="inlineStr">
        <is>
          <t>SPECIES_AEGISLASH_SHIELD</t>
        </is>
      </c>
      <c r="B3439" s="3" t="inlineStr">
        <is>
          <t>Aegislash</t>
        </is>
      </c>
      <c r="C3439" s="3" t="n">
        <v>1</v>
      </c>
      <c r="D3439" s="3" t="inlineStr">
        <is>
          <t>Aerial Ace</t>
        </is>
      </c>
      <c r="E3439" s="3" t="inlineStr">
        <is>
          <t>MOVE_AERIAL_ACE</t>
        </is>
      </c>
    </row>
    <row r="3440">
      <c r="A3440" s="3" t="inlineStr">
        <is>
          <t>SPECIES_AEGISLASH_SHIELD</t>
        </is>
      </c>
      <c r="B3440" s="3" t="inlineStr">
        <is>
          <t>Aegislash</t>
        </is>
      </c>
      <c r="C3440" s="3" t="n">
        <v>1</v>
      </c>
      <c r="D3440" s="3" t="inlineStr">
        <is>
          <t>Metal Sound</t>
        </is>
      </c>
      <c r="E3440" s="3" t="inlineStr">
        <is>
          <t>MOVE_METAL_SOUND</t>
        </is>
      </c>
    </row>
    <row r="3441">
      <c r="A3441" s="3" t="inlineStr">
        <is>
          <t>SPECIES_AEGISLASH_SHIELD</t>
        </is>
      </c>
      <c r="B3441" s="3" t="inlineStr">
        <is>
          <t>Aegislash</t>
        </is>
      </c>
      <c r="C3441" s="3" t="n">
        <v>1</v>
      </c>
      <c r="D3441" s="3" t="inlineStr">
        <is>
          <t>Slash</t>
        </is>
      </c>
      <c r="E3441" s="3" t="inlineStr">
        <is>
          <t>MOVE_SLASH</t>
        </is>
      </c>
    </row>
    <row r="3442">
      <c r="A3442" s="3" t="inlineStr">
        <is>
          <t>SPECIES_AEGISLASH_SHIELD</t>
        </is>
      </c>
      <c r="B3442" s="3" t="inlineStr">
        <is>
          <t>Aegislash</t>
        </is>
      </c>
      <c r="C3442" s="3" t="n">
        <v>1</v>
      </c>
      <c r="D3442" s="3" t="inlineStr">
        <is>
          <t>Night Slash</t>
        </is>
      </c>
      <c r="E3442" s="3" t="inlineStr">
        <is>
          <t>MOVE_NIGHT_SLASH</t>
        </is>
      </c>
    </row>
    <row r="3443">
      <c r="A3443" s="3" t="inlineStr">
        <is>
          <t>SPECIES_AEGISLASH_SHIELD</t>
        </is>
      </c>
      <c r="B3443" s="3" t="inlineStr">
        <is>
          <t>Aegislash</t>
        </is>
      </c>
      <c r="C3443" s="3" t="n">
        <v>1</v>
      </c>
      <c r="D3443" s="3" t="inlineStr">
        <is>
          <t>Retaliate</t>
        </is>
      </c>
      <c r="E3443" s="3" t="inlineStr">
        <is>
          <t>MOVE_RETALIATE</t>
        </is>
      </c>
    </row>
    <row r="3444">
      <c r="A3444" s="3" t="inlineStr">
        <is>
          <t>SPECIES_AEGISLASH_SHIELD</t>
        </is>
      </c>
      <c r="B3444" s="3" t="inlineStr">
        <is>
          <t>Aegislash</t>
        </is>
      </c>
      <c r="C3444" s="3" t="n">
        <v>1</v>
      </c>
      <c r="D3444" s="3" t="inlineStr">
        <is>
          <t>Iron Defense</t>
        </is>
      </c>
      <c r="E3444" s="3" t="inlineStr">
        <is>
          <t>MOVE_IRON_DEFENSE</t>
        </is>
      </c>
    </row>
    <row r="3445">
      <c r="A3445" s="3" t="inlineStr">
        <is>
          <t>SPECIES_AEGISLASH_SHIELD</t>
        </is>
      </c>
      <c r="B3445" s="3" t="inlineStr">
        <is>
          <t>Aegislash</t>
        </is>
      </c>
      <c r="C3445" s="3" t="n">
        <v>1</v>
      </c>
      <c r="D3445" s="3" t="inlineStr">
        <is>
          <t>Iron Head</t>
        </is>
      </c>
      <c r="E3445" s="3" t="inlineStr">
        <is>
          <t>MOVE_IRON_HEAD</t>
        </is>
      </c>
    </row>
    <row r="3446">
      <c r="A3446" s="3" t="inlineStr">
        <is>
          <t>SPECIES_AEGISLASH_SHIELD</t>
        </is>
      </c>
      <c r="B3446" s="3" t="inlineStr">
        <is>
          <t>Aegislash</t>
        </is>
      </c>
      <c r="C3446" s="3" t="n">
        <v>1</v>
      </c>
      <c r="D3446" s="3" t="inlineStr">
        <is>
          <t>Power Trick</t>
        </is>
      </c>
      <c r="E3446" s="3" t="inlineStr">
        <is>
          <t>MOVE_POWER_TRICK</t>
        </is>
      </c>
    </row>
    <row r="3447">
      <c r="A3447" s="3" t="inlineStr">
        <is>
          <t>SPECIES_AEGISLASH_SHIELD</t>
        </is>
      </c>
      <c r="B3447" s="3" t="inlineStr">
        <is>
          <t>Aegislash</t>
        </is>
      </c>
      <c r="C3447" s="3" t="n">
        <v>1</v>
      </c>
      <c r="D3447" s="3" t="inlineStr">
        <is>
          <t>Swords Dance</t>
        </is>
      </c>
      <c r="E3447" s="3" t="inlineStr">
        <is>
          <t>MOVE_SWORDS_DANCE</t>
        </is>
      </c>
    </row>
    <row r="3448">
      <c r="A3448" s="3" t="inlineStr">
        <is>
          <t>SPECIES_AEGISLASH_SHIELD</t>
        </is>
      </c>
      <c r="B3448" s="3" t="inlineStr">
        <is>
          <t>Aegislash</t>
        </is>
      </c>
      <c r="C3448" s="3" t="n">
        <v>1</v>
      </c>
      <c r="D3448" s="3" t="inlineStr">
        <is>
          <t>Sacred Sword</t>
        </is>
      </c>
      <c r="E3448" s="3" t="inlineStr">
        <is>
          <t>MOVE_SACRED_SWORD</t>
        </is>
      </c>
    </row>
    <row r="3449">
      <c r="A3449" s="3" t="inlineStr">
        <is>
          <t>SPECIES_AEGISLASH_SHIELD</t>
        </is>
      </c>
      <c r="B3449" s="3" t="inlineStr">
        <is>
          <t>Aegislash</t>
        </is>
      </c>
      <c r="C3449" s="3" t="n">
        <v>1</v>
      </c>
      <c r="D3449" s="3" t="inlineStr">
        <is>
          <t>Tackle</t>
        </is>
      </c>
      <c r="E3449" s="3" t="inlineStr">
        <is>
          <t>MOVE_TACKLE</t>
        </is>
      </c>
    </row>
    <row r="3450">
      <c r="A3450" s="3" t="inlineStr">
        <is>
          <t>SPECIES_AEGISLASH_SHIELD</t>
        </is>
      </c>
      <c r="B3450" s="3" t="inlineStr">
        <is>
          <t>Aegislash</t>
        </is>
      </c>
      <c r="C3450" s="3" t="n">
        <v>1</v>
      </c>
      <c r="D3450" s="3" t="inlineStr">
        <is>
          <t>Fury Cutter</t>
        </is>
      </c>
      <c r="E3450" s="3" t="inlineStr">
        <is>
          <t>MOVE_FURY_CUTTER</t>
        </is>
      </c>
    </row>
    <row r="3451">
      <c r="A3451" s="3" t="inlineStr">
        <is>
          <t>SPECIES_AEGISLASH_SHIELD</t>
        </is>
      </c>
      <c r="B3451" s="3" t="inlineStr">
        <is>
          <t>Aegislash</t>
        </is>
      </c>
      <c r="C3451" s="3" t="n">
        <v>1</v>
      </c>
      <c r="D3451" s="3" t="inlineStr">
        <is>
          <t>Shadow Sneak</t>
        </is>
      </c>
      <c r="E3451" s="3" t="inlineStr">
        <is>
          <t>MOVE_SHADOW_SNEAK</t>
        </is>
      </c>
    </row>
    <row r="3452">
      <c r="A3452" s="3" t="inlineStr">
        <is>
          <t>SPECIES_AEGISLASH_SHIELD</t>
        </is>
      </c>
      <c r="B3452" s="3" t="inlineStr">
        <is>
          <t>Aegislash</t>
        </is>
      </c>
      <c r="C3452" s="3" t="n">
        <v>1</v>
      </c>
      <c r="D3452" s="3" t="inlineStr">
        <is>
          <t>Autotomize</t>
        </is>
      </c>
      <c r="E3452" s="3" t="inlineStr">
        <is>
          <t>MOVE_AUTOTOMIZE</t>
        </is>
      </c>
    </row>
    <row r="3453">
      <c r="A3453" s="3" t="inlineStr">
        <is>
          <t>SPECIES_INKAY</t>
        </is>
      </c>
      <c r="B3453" s="3" t="inlineStr">
        <is>
          <t>Inkay</t>
        </is>
      </c>
      <c r="C3453" s="3" t="n">
        <v>1</v>
      </c>
      <c r="D3453" s="3" t="inlineStr">
        <is>
          <t>Tackle</t>
        </is>
      </c>
      <c r="E3453" s="3" t="inlineStr">
        <is>
          <t>MOVE_TACKLE</t>
        </is>
      </c>
    </row>
    <row r="3454">
      <c r="A3454" s="3" t="inlineStr">
        <is>
          <t>SPECIES_INKAY</t>
        </is>
      </c>
      <c r="B3454" s="3" t="inlineStr">
        <is>
          <t>Inkay</t>
        </is>
      </c>
      <c r="C3454" s="3" t="n">
        <v>1</v>
      </c>
      <c r="D3454" s="3" t="inlineStr">
        <is>
          <t>Peck</t>
        </is>
      </c>
      <c r="E3454" s="3" t="inlineStr">
        <is>
          <t>MOVE_PECK</t>
        </is>
      </c>
    </row>
    <row r="3455">
      <c r="A3455" s="3" t="inlineStr">
        <is>
          <t>SPECIES_INKAY</t>
        </is>
      </c>
      <c r="B3455" s="3" t="inlineStr">
        <is>
          <t>Inkay</t>
        </is>
      </c>
      <c r="C3455" s="3" t="n">
        <v>3</v>
      </c>
      <c r="D3455" s="3" t="inlineStr">
        <is>
          <t>Hypnosis</t>
        </is>
      </c>
      <c r="E3455" s="3" t="inlineStr">
        <is>
          <t>MOVE_HYPNOSIS</t>
        </is>
      </c>
    </row>
    <row r="3456">
      <c r="A3456" s="3" t="inlineStr">
        <is>
          <t>SPECIES_INKAY</t>
        </is>
      </c>
      <c r="B3456" s="3" t="inlineStr">
        <is>
          <t>Inkay</t>
        </is>
      </c>
      <c r="C3456" s="3" t="n">
        <v>6</v>
      </c>
      <c r="D3456" s="3" t="inlineStr">
        <is>
          <t>Wrap</t>
        </is>
      </c>
      <c r="E3456" s="3" t="inlineStr">
        <is>
          <t>MOVE_WRAP</t>
        </is>
      </c>
    </row>
    <row r="3457">
      <c r="A3457" s="3" t="inlineStr">
        <is>
          <t>SPECIES_INKAY</t>
        </is>
      </c>
      <c r="B3457" s="3" t="inlineStr">
        <is>
          <t>Inkay</t>
        </is>
      </c>
      <c r="C3457" s="3" t="n">
        <v>9</v>
      </c>
      <c r="D3457" s="3" t="inlineStr">
        <is>
          <t>Payback</t>
        </is>
      </c>
      <c r="E3457" s="3" t="inlineStr">
        <is>
          <t>MOVE_PAYBACK</t>
        </is>
      </c>
    </row>
    <row r="3458">
      <c r="A3458" s="3" t="inlineStr">
        <is>
          <t>SPECIES_INKAY</t>
        </is>
      </c>
      <c r="B3458" s="3" t="inlineStr">
        <is>
          <t>Inkay</t>
        </is>
      </c>
      <c r="C3458" s="3" t="n">
        <v>12</v>
      </c>
      <c r="D3458" s="3" t="inlineStr">
        <is>
          <t>Pluck</t>
        </is>
      </c>
      <c r="E3458" s="3" t="inlineStr">
        <is>
          <t>MOVE_PLUCK</t>
        </is>
      </c>
    </row>
    <row r="3459">
      <c r="A3459" s="3" t="inlineStr">
        <is>
          <t>SPECIES_INKAY</t>
        </is>
      </c>
      <c r="B3459" s="3" t="inlineStr">
        <is>
          <t>Inkay</t>
        </is>
      </c>
      <c r="C3459" s="3" t="n">
        <v>15</v>
      </c>
      <c r="D3459" s="3" t="inlineStr">
        <is>
          <t>Psybeam</t>
        </is>
      </c>
      <c r="E3459" s="3" t="inlineStr">
        <is>
          <t>MOVE_PSYBEAM</t>
        </is>
      </c>
    </row>
    <row r="3460">
      <c r="A3460" s="3" t="inlineStr">
        <is>
          <t>SPECIES_INKAY</t>
        </is>
      </c>
      <c r="B3460" s="3" t="inlineStr">
        <is>
          <t>Inkay</t>
        </is>
      </c>
      <c r="C3460" s="3" t="n">
        <v>18</v>
      </c>
      <c r="D3460" s="3" t="inlineStr">
        <is>
          <t>Swagger</t>
        </is>
      </c>
      <c r="E3460" s="3" t="inlineStr">
        <is>
          <t>MOVE_SWAGGER</t>
        </is>
      </c>
    </row>
    <row r="3461">
      <c r="A3461" s="3" t="inlineStr">
        <is>
          <t>SPECIES_INKAY</t>
        </is>
      </c>
      <c r="B3461" s="3" t="inlineStr">
        <is>
          <t>Inkay</t>
        </is>
      </c>
      <c r="C3461" s="3" t="n">
        <v>21</v>
      </c>
      <c r="D3461" s="3" t="inlineStr">
        <is>
          <t>Slash</t>
        </is>
      </c>
      <c r="E3461" s="3" t="inlineStr">
        <is>
          <t>MOVE_SLASH</t>
        </is>
      </c>
    </row>
    <row r="3462">
      <c r="A3462" s="3" t="inlineStr">
        <is>
          <t>SPECIES_INKAY</t>
        </is>
      </c>
      <c r="B3462" s="3" t="inlineStr">
        <is>
          <t>Inkay</t>
        </is>
      </c>
      <c r="C3462" s="3" t="n">
        <v>24</v>
      </c>
      <c r="D3462" s="3" t="inlineStr">
        <is>
          <t>Night Slash</t>
        </is>
      </c>
      <c r="E3462" s="3" t="inlineStr">
        <is>
          <t>MOVE_NIGHT_SLASH</t>
        </is>
      </c>
    </row>
    <row r="3463">
      <c r="A3463" s="3" t="inlineStr">
        <is>
          <t>SPECIES_INKAY</t>
        </is>
      </c>
      <c r="B3463" s="3" t="inlineStr">
        <is>
          <t>Inkay</t>
        </is>
      </c>
      <c r="C3463" s="3" t="n">
        <v>27</v>
      </c>
      <c r="D3463" s="3" t="inlineStr">
        <is>
          <t>Psycho Cut</t>
        </is>
      </c>
      <c r="E3463" s="3" t="inlineStr">
        <is>
          <t>MOVE_PSYCHO_CUT</t>
        </is>
      </c>
    </row>
    <row r="3464">
      <c r="A3464" s="3" t="inlineStr">
        <is>
          <t>SPECIES_INKAY</t>
        </is>
      </c>
      <c r="B3464" s="3" t="inlineStr">
        <is>
          <t>Inkay</t>
        </is>
      </c>
      <c r="C3464" s="3" t="n">
        <v>31</v>
      </c>
      <c r="D3464" s="3" t="inlineStr">
        <is>
          <t>Switcheroo</t>
        </is>
      </c>
      <c r="E3464" s="3" t="inlineStr">
        <is>
          <t>MOVE_SWITCHEROO</t>
        </is>
      </c>
    </row>
    <row r="3465">
      <c r="A3465" s="3" t="inlineStr">
        <is>
          <t>SPECIES_INKAY</t>
        </is>
      </c>
      <c r="B3465" s="3" t="inlineStr">
        <is>
          <t>Inkay</t>
        </is>
      </c>
      <c r="C3465" s="3" t="n">
        <v>33</v>
      </c>
      <c r="D3465" s="3" t="inlineStr">
        <is>
          <t>Foul Play</t>
        </is>
      </c>
      <c r="E3465" s="3" t="inlineStr">
        <is>
          <t>MOVE_FOUL_PLAY</t>
        </is>
      </c>
    </row>
    <row r="3466">
      <c r="A3466" s="3" t="inlineStr">
        <is>
          <t>SPECIES_INKAY</t>
        </is>
      </c>
      <c r="B3466" s="3" t="inlineStr">
        <is>
          <t>Inkay</t>
        </is>
      </c>
      <c r="C3466" s="3" t="n">
        <v>36</v>
      </c>
      <c r="D3466" s="3" t="inlineStr">
        <is>
          <t>Topsy-Turvy</t>
        </is>
      </c>
      <c r="E3466" s="3" t="inlineStr">
        <is>
          <t>MOVE_TOPSY_TURVY</t>
        </is>
      </c>
    </row>
    <row r="3467">
      <c r="A3467" s="3" t="inlineStr">
        <is>
          <t>SPECIES_INKAY</t>
        </is>
      </c>
      <c r="B3467" s="3" t="inlineStr">
        <is>
          <t>Inkay</t>
        </is>
      </c>
      <c r="C3467" s="3" t="n">
        <v>39</v>
      </c>
      <c r="D3467" s="3" t="inlineStr">
        <is>
          <t>Superpower</t>
        </is>
      </c>
      <c r="E3467" s="3" t="inlineStr">
        <is>
          <t>MOVE_SUPERPOWER</t>
        </is>
      </c>
    </row>
    <row r="3468">
      <c r="A3468" s="3" t="inlineStr">
        <is>
          <t>SPECIES_MALAMAR</t>
        </is>
      </c>
      <c r="B3468" s="3" t="inlineStr">
        <is>
          <t>Malamar</t>
        </is>
      </c>
      <c r="C3468" s="3" t="n">
        <v>1</v>
      </c>
      <c r="D3468" s="3" t="inlineStr">
        <is>
          <t>Tackle</t>
        </is>
      </c>
      <c r="E3468" s="3" t="inlineStr">
        <is>
          <t>MOVE_TACKLE</t>
        </is>
      </c>
    </row>
    <row r="3469">
      <c r="A3469" s="3" t="inlineStr">
        <is>
          <t>SPECIES_MALAMAR</t>
        </is>
      </c>
      <c r="B3469" s="3" t="inlineStr">
        <is>
          <t>Malamar</t>
        </is>
      </c>
      <c r="C3469" s="3" t="n">
        <v>1</v>
      </c>
      <c r="D3469" s="3" t="inlineStr">
        <is>
          <t>Wrap</t>
        </is>
      </c>
      <c r="E3469" s="3" t="inlineStr">
        <is>
          <t>MOVE_WRAP</t>
        </is>
      </c>
    </row>
    <row r="3470">
      <c r="A3470" s="3" t="inlineStr">
        <is>
          <t>SPECIES_MALAMAR</t>
        </is>
      </c>
      <c r="B3470" s="3" t="inlineStr">
        <is>
          <t>Malamar</t>
        </is>
      </c>
      <c r="C3470" s="3" t="n">
        <v>1</v>
      </c>
      <c r="D3470" s="3" t="inlineStr">
        <is>
          <t>Peck</t>
        </is>
      </c>
      <c r="E3470" s="3" t="inlineStr">
        <is>
          <t>MOVE_PECK</t>
        </is>
      </c>
    </row>
    <row r="3471">
      <c r="A3471" s="3" t="inlineStr">
        <is>
          <t>SPECIES_MALAMAR</t>
        </is>
      </c>
      <c r="B3471" s="3" t="inlineStr">
        <is>
          <t>Malamar</t>
        </is>
      </c>
      <c r="C3471" s="3" t="n">
        <v>1</v>
      </c>
      <c r="D3471" s="3" t="inlineStr">
        <is>
          <t>Hypnosis</t>
        </is>
      </c>
      <c r="E3471" s="3" t="inlineStr">
        <is>
          <t>MOVE_HYPNOSIS</t>
        </is>
      </c>
    </row>
    <row r="3472">
      <c r="A3472" s="3" t="inlineStr">
        <is>
          <t>SPECIES_MALAMAR</t>
        </is>
      </c>
      <c r="B3472" s="3" t="inlineStr">
        <is>
          <t>Malamar</t>
        </is>
      </c>
      <c r="C3472" s="3" t="n">
        <v>1</v>
      </c>
      <c r="D3472" s="3" t="inlineStr">
        <is>
          <t>Reversal</t>
        </is>
      </c>
      <c r="E3472" s="3" t="inlineStr">
        <is>
          <t>MOVE_REVERSAL</t>
        </is>
      </c>
    </row>
    <row r="3473">
      <c r="A3473" s="3" t="inlineStr">
        <is>
          <t>SPECIES_MALAMAR</t>
        </is>
      </c>
      <c r="B3473" s="3" t="inlineStr">
        <is>
          <t>Malamar</t>
        </is>
      </c>
      <c r="C3473" s="3" t="n">
        <v>9</v>
      </c>
      <c r="D3473" s="3" t="inlineStr">
        <is>
          <t>Payback</t>
        </is>
      </c>
      <c r="E3473" s="3" t="inlineStr">
        <is>
          <t>MOVE_PAYBACK</t>
        </is>
      </c>
    </row>
    <row r="3474">
      <c r="A3474" s="3" t="inlineStr">
        <is>
          <t>SPECIES_MALAMAR</t>
        </is>
      </c>
      <c r="B3474" s="3" t="inlineStr">
        <is>
          <t>Malamar</t>
        </is>
      </c>
      <c r="C3474" s="3" t="n">
        <v>12</v>
      </c>
      <c r="D3474" s="3" t="inlineStr">
        <is>
          <t>Pluck</t>
        </is>
      </c>
      <c r="E3474" s="3" t="inlineStr">
        <is>
          <t>MOVE_PLUCK</t>
        </is>
      </c>
    </row>
    <row r="3475">
      <c r="A3475" s="3" t="inlineStr">
        <is>
          <t>SPECIES_MALAMAR</t>
        </is>
      </c>
      <c r="B3475" s="3" t="inlineStr">
        <is>
          <t>Malamar</t>
        </is>
      </c>
      <c r="C3475" s="3" t="n">
        <v>15</v>
      </c>
      <c r="D3475" s="3" t="inlineStr">
        <is>
          <t>Psybeam</t>
        </is>
      </c>
      <c r="E3475" s="3" t="inlineStr">
        <is>
          <t>MOVE_PSYBEAM</t>
        </is>
      </c>
    </row>
    <row r="3476">
      <c r="A3476" s="3" t="inlineStr">
        <is>
          <t>SPECIES_MALAMAR</t>
        </is>
      </c>
      <c r="B3476" s="3" t="inlineStr">
        <is>
          <t>Malamar</t>
        </is>
      </c>
      <c r="C3476" s="3" t="n">
        <v>18</v>
      </c>
      <c r="D3476" s="3" t="inlineStr">
        <is>
          <t>Swagger</t>
        </is>
      </c>
      <c r="E3476" s="3" t="inlineStr">
        <is>
          <t>MOVE_SWAGGER</t>
        </is>
      </c>
    </row>
    <row r="3477">
      <c r="A3477" s="3" t="inlineStr">
        <is>
          <t>SPECIES_MALAMAR</t>
        </is>
      </c>
      <c r="B3477" s="3" t="inlineStr">
        <is>
          <t>Malamar</t>
        </is>
      </c>
      <c r="C3477" s="3" t="n">
        <v>21</v>
      </c>
      <c r="D3477" s="3" t="inlineStr">
        <is>
          <t>Slash</t>
        </is>
      </c>
      <c r="E3477" s="3" t="inlineStr">
        <is>
          <t>MOVE_SLASH</t>
        </is>
      </c>
    </row>
    <row r="3478">
      <c r="A3478" s="3" t="inlineStr">
        <is>
          <t>SPECIES_MALAMAR</t>
        </is>
      </c>
      <c r="B3478" s="3" t="inlineStr">
        <is>
          <t>Malamar</t>
        </is>
      </c>
      <c r="C3478" s="3" t="n">
        <v>24</v>
      </c>
      <c r="D3478" s="3" t="inlineStr">
        <is>
          <t>Night Slash</t>
        </is>
      </c>
      <c r="E3478" s="3" t="inlineStr">
        <is>
          <t>MOVE_NIGHT_SLASH</t>
        </is>
      </c>
    </row>
    <row r="3479">
      <c r="A3479" s="3" t="inlineStr">
        <is>
          <t>SPECIES_MALAMAR</t>
        </is>
      </c>
      <c r="B3479" s="3" t="inlineStr">
        <is>
          <t>Malamar</t>
        </is>
      </c>
      <c r="C3479" s="3" t="n">
        <v>27</v>
      </c>
      <c r="D3479" s="3" t="inlineStr">
        <is>
          <t>Psycho Cut</t>
        </is>
      </c>
      <c r="E3479" s="3" t="inlineStr">
        <is>
          <t>MOVE_PSYCHO_CUT</t>
        </is>
      </c>
    </row>
    <row r="3480">
      <c r="A3480" s="3" t="inlineStr">
        <is>
          <t>SPECIES_MALAMAR</t>
        </is>
      </c>
      <c r="B3480" s="3" t="inlineStr">
        <is>
          <t>Malamar</t>
        </is>
      </c>
      <c r="C3480" s="3" t="n">
        <v>33</v>
      </c>
      <c r="D3480" s="3" t="inlineStr">
        <is>
          <t>Switcheroo</t>
        </is>
      </c>
      <c r="E3480" s="3" t="inlineStr">
        <is>
          <t>MOVE_SWITCHEROO</t>
        </is>
      </c>
    </row>
    <row r="3481">
      <c r="A3481" s="3" t="inlineStr">
        <is>
          <t>SPECIES_MALAMAR</t>
        </is>
      </c>
      <c r="B3481" s="3" t="inlineStr">
        <is>
          <t>Malamar</t>
        </is>
      </c>
      <c r="C3481" s="3" t="n">
        <v>37</v>
      </c>
      <c r="D3481" s="3" t="inlineStr">
        <is>
          <t>Foul Play</t>
        </is>
      </c>
      <c r="E3481" s="3" t="inlineStr">
        <is>
          <t>MOVE_FOUL_PLAY</t>
        </is>
      </c>
    </row>
    <row r="3482">
      <c r="A3482" s="3" t="inlineStr">
        <is>
          <t>SPECIES_MALAMAR</t>
        </is>
      </c>
      <c r="B3482" s="3" t="inlineStr">
        <is>
          <t>Malamar</t>
        </is>
      </c>
      <c r="C3482" s="3" t="n">
        <v>42</v>
      </c>
      <c r="D3482" s="3" t="inlineStr">
        <is>
          <t>Topsy-Turvy</t>
        </is>
      </c>
      <c r="E3482" s="3" t="inlineStr">
        <is>
          <t>MOVE_TOPSY_TURVY</t>
        </is>
      </c>
    </row>
    <row r="3483">
      <c r="A3483" s="3" t="inlineStr">
        <is>
          <t>SPECIES_MALAMAR</t>
        </is>
      </c>
      <c r="B3483" s="3" t="inlineStr">
        <is>
          <t>Malamar</t>
        </is>
      </c>
      <c r="C3483" s="3" t="n">
        <v>47</v>
      </c>
      <c r="D3483" s="3" t="inlineStr">
        <is>
          <t>Superpower</t>
        </is>
      </c>
      <c r="E3483" s="3" t="inlineStr">
        <is>
          <t>MOVE_SUPERPOWER</t>
        </is>
      </c>
    </row>
    <row r="3484">
      <c r="A3484" s="3" t="inlineStr">
        <is>
          <t>SPECIES_SKRELP</t>
        </is>
      </c>
      <c r="B3484" s="3" t="inlineStr">
        <is>
          <t>Skrelp</t>
        </is>
      </c>
      <c r="C3484" s="3" t="n">
        <v>1</v>
      </c>
      <c r="D3484" s="3" t="inlineStr">
        <is>
          <t>Tackle</t>
        </is>
      </c>
      <c r="E3484" s="3" t="inlineStr">
        <is>
          <t>MOVE_TACKLE</t>
        </is>
      </c>
    </row>
    <row r="3485">
      <c r="A3485" s="3" t="inlineStr">
        <is>
          <t>SPECIES_SKRELP</t>
        </is>
      </c>
      <c r="B3485" s="3" t="inlineStr">
        <is>
          <t>Skrelp</t>
        </is>
      </c>
      <c r="C3485" s="3" t="n">
        <v>1</v>
      </c>
      <c r="D3485" s="3" t="inlineStr">
        <is>
          <t>Smokescreen</t>
        </is>
      </c>
      <c r="E3485" s="3" t="inlineStr">
        <is>
          <t>MOVE_SMOKESCREEN</t>
        </is>
      </c>
    </row>
    <row r="3486">
      <c r="A3486" s="3" t="inlineStr">
        <is>
          <t>SPECIES_SKRELP</t>
        </is>
      </c>
      <c r="B3486" s="3" t="inlineStr">
        <is>
          <t>Skrelp</t>
        </is>
      </c>
      <c r="C3486" s="3" t="n">
        <v>5</v>
      </c>
      <c r="D3486" s="3" t="inlineStr">
        <is>
          <t>Acid</t>
        </is>
      </c>
      <c r="E3486" s="3" t="inlineStr">
        <is>
          <t>MOVE_ACID</t>
        </is>
      </c>
    </row>
    <row r="3487">
      <c r="A3487" s="3" t="inlineStr">
        <is>
          <t>SPECIES_SKRELP</t>
        </is>
      </c>
      <c r="B3487" s="3" t="inlineStr">
        <is>
          <t>Skrelp</t>
        </is>
      </c>
      <c r="C3487" s="3" t="n">
        <v>10</v>
      </c>
      <c r="D3487" s="3" t="inlineStr">
        <is>
          <t>Water Gun</t>
        </is>
      </c>
      <c r="E3487" s="3" t="inlineStr">
        <is>
          <t>MOVE_WATER_GUN</t>
        </is>
      </c>
    </row>
    <row r="3488">
      <c r="A3488" s="3" t="inlineStr">
        <is>
          <t>SPECIES_SKRELP</t>
        </is>
      </c>
      <c r="B3488" s="3" t="inlineStr">
        <is>
          <t>Skrelp</t>
        </is>
      </c>
      <c r="C3488" s="3" t="n">
        <v>15</v>
      </c>
      <c r="D3488" s="3" t="inlineStr">
        <is>
          <t>Tail Whip</t>
        </is>
      </c>
      <c r="E3488" s="3" t="inlineStr">
        <is>
          <t>MOVE_TAIL_WHIP</t>
        </is>
      </c>
    </row>
    <row r="3489">
      <c r="A3489" s="3" t="inlineStr">
        <is>
          <t>SPECIES_SKRELP</t>
        </is>
      </c>
      <c r="B3489" s="3" t="inlineStr">
        <is>
          <t>Skrelp</t>
        </is>
      </c>
      <c r="C3489" s="3" t="n">
        <v>20</v>
      </c>
      <c r="D3489" s="3" t="inlineStr">
        <is>
          <t>Double Team</t>
        </is>
      </c>
      <c r="E3489" s="3" t="inlineStr">
        <is>
          <t>MOVE_DOUBLE_TEAM</t>
        </is>
      </c>
    </row>
    <row r="3490">
      <c r="A3490" s="3" t="inlineStr">
        <is>
          <t>SPECIES_SKRELP</t>
        </is>
      </c>
      <c r="B3490" s="3" t="inlineStr">
        <is>
          <t>Skrelp</t>
        </is>
      </c>
      <c r="C3490" s="3" t="n">
        <v>25</v>
      </c>
      <c r="D3490" s="3" t="inlineStr">
        <is>
          <t>Poison Tail</t>
        </is>
      </c>
      <c r="E3490" s="3" t="inlineStr">
        <is>
          <t>MOVE_POISON_TAIL</t>
        </is>
      </c>
    </row>
    <row r="3491">
      <c r="A3491" s="3" t="inlineStr">
        <is>
          <t>SPECIES_SKRELP</t>
        </is>
      </c>
      <c r="B3491" s="3" t="inlineStr">
        <is>
          <t>Skrelp</t>
        </is>
      </c>
      <c r="C3491" s="3" t="n">
        <v>30</v>
      </c>
      <c r="D3491" s="3" t="inlineStr">
        <is>
          <t>Water Pulse</t>
        </is>
      </c>
      <c r="E3491" s="3" t="inlineStr">
        <is>
          <t>MOVE_WATER_PULSE</t>
        </is>
      </c>
    </row>
    <row r="3492">
      <c r="A3492" s="3" t="inlineStr">
        <is>
          <t>SPECIES_SKRELP</t>
        </is>
      </c>
      <c r="B3492" s="3" t="inlineStr">
        <is>
          <t>Skrelp</t>
        </is>
      </c>
      <c r="C3492" s="3" t="n">
        <v>35</v>
      </c>
      <c r="D3492" s="3" t="inlineStr">
        <is>
          <t>Toxic</t>
        </is>
      </c>
      <c r="E3492" s="3" t="inlineStr">
        <is>
          <t>MOVE_TOXIC</t>
        </is>
      </c>
    </row>
    <row r="3493">
      <c r="A3493" s="3" t="inlineStr">
        <is>
          <t>SPECIES_SKRELP</t>
        </is>
      </c>
      <c r="B3493" s="3" t="inlineStr">
        <is>
          <t>Skrelp</t>
        </is>
      </c>
      <c r="C3493" s="3" t="n">
        <v>40</v>
      </c>
      <c r="D3493" s="3" t="inlineStr">
        <is>
          <t>Dragon Pulse</t>
        </is>
      </c>
      <c r="E3493" s="3" t="inlineStr">
        <is>
          <t>MOVE_DRAGON_PULSE</t>
        </is>
      </c>
    </row>
    <row r="3494">
      <c r="A3494" s="3" t="inlineStr">
        <is>
          <t>SPECIES_SKRELP</t>
        </is>
      </c>
      <c r="B3494" s="3" t="inlineStr">
        <is>
          <t>Skrelp</t>
        </is>
      </c>
      <c r="C3494" s="3" t="n">
        <v>45</v>
      </c>
      <c r="D3494" s="3" t="inlineStr">
        <is>
          <t>Aqua Tail</t>
        </is>
      </c>
      <c r="E3494" s="3" t="inlineStr">
        <is>
          <t>MOVE_AQUA_TAIL</t>
        </is>
      </c>
    </row>
    <row r="3495">
      <c r="A3495" s="3" t="inlineStr">
        <is>
          <t>SPECIES_SKRELP</t>
        </is>
      </c>
      <c r="B3495" s="3" t="inlineStr">
        <is>
          <t>Skrelp</t>
        </is>
      </c>
      <c r="C3495" s="3" t="n">
        <v>50</v>
      </c>
      <c r="D3495" s="3" t="inlineStr">
        <is>
          <t>Sludge Bomb</t>
        </is>
      </c>
      <c r="E3495" s="3" t="inlineStr">
        <is>
          <t>MOVE_SLUDGE_BOMB</t>
        </is>
      </c>
    </row>
    <row r="3496">
      <c r="A3496" s="3" t="inlineStr">
        <is>
          <t>SPECIES_SKRELP</t>
        </is>
      </c>
      <c r="B3496" s="3" t="inlineStr">
        <is>
          <t>Skrelp</t>
        </is>
      </c>
      <c r="C3496" s="3" t="n">
        <v>55</v>
      </c>
      <c r="D3496" s="3" t="inlineStr">
        <is>
          <t>Hydro Pump</t>
        </is>
      </c>
      <c r="E3496" s="3" t="inlineStr">
        <is>
          <t>MOVE_HYDRO_PUMP</t>
        </is>
      </c>
    </row>
    <row r="3497">
      <c r="A3497" s="3" t="inlineStr">
        <is>
          <t>SPECIES_DRAGALGE</t>
        </is>
      </c>
      <c r="B3497" s="3" t="inlineStr">
        <is>
          <t>Dragalge</t>
        </is>
      </c>
      <c r="C3497" s="3" t="n">
        <v>1</v>
      </c>
      <c r="D3497" s="3" t="inlineStr">
        <is>
          <t>Tackle</t>
        </is>
      </c>
      <c r="E3497" s="3" t="inlineStr">
        <is>
          <t>MOVE_TACKLE</t>
        </is>
      </c>
    </row>
    <row r="3498">
      <c r="A3498" s="3" t="inlineStr">
        <is>
          <t>SPECIES_DRAGALGE</t>
        </is>
      </c>
      <c r="B3498" s="3" t="inlineStr">
        <is>
          <t>Dragalge</t>
        </is>
      </c>
      <c r="C3498" s="3" t="n">
        <v>1</v>
      </c>
      <c r="D3498" s="3" t="inlineStr">
        <is>
          <t>Acid</t>
        </is>
      </c>
      <c r="E3498" s="3" t="inlineStr">
        <is>
          <t>MOVE_ACID</t>
        </is>
      </c>
    </row>
    <row r="3499">
      <c r="A3499" s="3" t="inlineStr">
        <is>
          <t>SPECIES_DRAGALGE</t>
        </is>
      </c>
      <c r="B3499" s="3" t="inlineStr">
        <is>
          <t>Dragalge</t>
        </is>
      </c>
      <c r="C3499" s="3" t="n">
        <v>1</v>
      </c>
      <c r="D3499" s="3" t="inlineStr">
        <is>
          <t>Water Gun</t>
        </is>
      </c>
      <c r="E3499" s="3" t="inlineStr">
        <is>
          <t>MOVE_WATER_GUN</t>
        </is>
      </c>
    </row>
    <row r="3500">
      <c r="A3500" s="3" t="inlineStr">
        <is>
          <t>SPECIES_DRAGALGE</t>
        </is>
      </c>
      <c r="B3500" s="3" t="inlineStr">
        <is>
          <t>Dragalge</t>
        </is>
      </c>
      <c r="C3500" s="3" t="n">
        <v>1</v>
      </c>
      <c r="D3500" s="3" t="inlineStr">
        <is>
          <t>Smokescreen</t>
        </is>
      </c>
      <c r="E3500" s="3" t="inlineStr">
        <is>
          <t>MOVE_SMOKESCREEN</t>
        </is>
      </c>
    </row>
    <row r="3501">
      <c r="A3501" s="3" t="inlineStr">
        <is>
          <t>SPECIES_DRAGALGE</t>
        </is>
      </c>
      <c r="B3501" s="3" t="inlineStr">
        <is>
          <t>Dragalge</t>
        </is>
      </c>
      <c r="C3501" s="3" t="n">
        <v>15</v>
      </c>
      <c r="D3501" s="3" t="inlineStr">
        <is>
          <t>Tail Whip</t>
        </is>
      </c>
      <c r="E3501" s="3" t="inlineStr">
        <is>
          <t>MOVE_TAIL_WHIP</t>
        </is>
      </c>
    </row>
    <row r="3502">
      <c r="A3502" s="3" t="inlineStr">
        <is>
          <t>SPECIES_DRAGALGE</t>
        </is>
      </c>
      <c r="B3502" s="3" t="inlineStr">
        <is>
          <t>Dragalge</t>
        </is>
      </c>
      <c r="C3502" s="3" t="n">
        <v>20</v>
      </c>
      <c r="D3502" s="3" t="inlineStr">
        <is>
          <t>Double Team</t>
        </is>
      </c>
      <c r="E3502" s="3" t="inlineStr">
        <is>
          <t>MOVE_DOUBLE_TEAM</t>
        </is>
      </c>
    </row>
    <row r="3503">
      <c r="A3503" s="3" t="inlineStr">
        <is>
          <t>SPECIES_DRAGALGE</t>
        </is>
      </c>
      <c r="B3503" s="3" t="inlineStr">
        <is>
          <t>Dragalge</t>
        </is>
      </c>
      <c r="C3503" s="3" t="n">
        <v>25</v>
      </c>
      <c r="D3503" s="3" t="inlineStr">
        <is>
          <t>Poison Tail</t>
        </is>
      </c>
      <c r="E3503" s="3" t="inlineStr">
        <is>
          <t>MOVE_POISON_TAIL</t>
        </is>
      </c>
    </row>
    <row r="3504">
      <c r="A3504" s="3" t="inlineStr">
        <is>
          <t>SPECIES_DRAGALGE</t>
        </is>
      </c>
      <c r="B3504" s="3" t="inlineStr">
        <is>
          <t>Dragalge</t>
        </is>
      </c>
      <c r="C3504" s="3" t="n">
        <v>30</v>
      </c>
      <c r="D3504" s="3" t="inlineStr">
        <is>
          <t>Water Pulse</t>
        </is>
      </c>
      <c r="E3504" s="3" t="inlineStr">
        <is>
          <t>MOVE_WATER_PULSE</t>
        </is>
      </c>
    </row>
    <row r="3505">
      <c r="A3505" s="3" t="inlineStr">
        <is>
          <t>SPECIES_DRAGALGE</t>
        </is>
      </c>
      <c r="B3505" s="3" t="inlineStr">
        <is>
          <t>Dragalge</t>
        </is>
      </c>
      <c r="C3505" s="3" t="n">
        <v>35</v>
      </c>
      <c r="D3505" s="3" t="inlineStr">
        <is>
          <t>Toxic</t>
        </is>
      </c>
      <c r="E3505" s="3" t="inlineStr">
        <is>
          <t>MOVE_TOXIC</t>
        </is>
      </c>
    </row>
    <row r="3506">
      <c r="A3506" s="3" t="inlineStr">
        <is>
          <t>SPECIES_DRAGALGE</t>
        </is>
      </c>
      <c r="B3506" s="3" t="inlineStr">
        <is>
          <t>Dragalge</t>
        </is>
      </c>
      <c r="C3506" s="3" t="n">
        <v>40</v>
      </c>
      <c r="D3506" s="3" t="inlineStr">
        <is>
          <t>Dragon Pulse</t>
        </is>
      </c>
      <c r="E3506" s="3" t="inlineStr">
        <is>
          <t>MOVE_DRAGON_PULSE</t>
        </is>
      </c>
    </row>
    <row r="3507">
      <c r="A3507" s="3" t="inlineStr">
        <is>
          <t>SPECIES_DRAGALGE</t>
        </is>
      </c>
      <c r="B3507" s="3" t="inlineStr">
        <is>
          <t>Dragalge</t>
        </is>
      </c>
      <c r="C3507" s="3" t="n">
        <v>45</v>
      </c>
      <c r="D3507" s="3" t="inlineStr">
        <is>
          <t>Aqua Tail</t>
        </is>
      </c>
      <c r="E3507" s="3" t="inlineStr">
        <is>
          <t>MOVE_AQUA_TAIL</t>
        </is>
      </c>
    </row>
    <row r="3508">
      <c r="A3508" s="3" t="inlineStr">
        <is>
          <t>SPECIES_DRAGALGE</t>
        </is>
      </c>
      <c r="B3508" s="3" t="inlineStr">
        <is>
          <t>Dragalge</t>
        </is>
      </c>
      <c r="C3508" s="3" t="n">
        <v>52</v>
      </c>
      <c r="D3508" s="3" t="inlineStr">
        <is>
          <t>Sludge Bomb</t>
        </is>
      </c>
      <c r="E3508" s="3" t="inlineStr">
        <is>
          <t>MOVE_SLUDGE_BOMB</t>
        </is>
      </c>
    </row>
    <row r="3509">
      <c r="A3509" s="3" t="inlineStr">
        <is>
          <t>SPECIES_DRAGALGE</t>
        </is>
      </c>
      <c r="B3509" s="3" t="inlineStr">
        <is>
          <t>Dragalge</t>
        </is>
      </c>
      <c r="C3509" s="3" t="n">
        <v>59</v>
      </c>
      <c r="D3509" s="3" t="inlineStr">
        <is>
          <t>Hydro Pump</t>
        </is>
      </c>
      <c r="E3509" s="3" t="inlineStr">
        <is>
          <t>MOVE_HYDRO_PUMP</t>
        </is>
      </c>
    </row>
    <row r="3510">
      <c r="A3510" s="3" t="inlineStr">
        <is>
          <t>SPECIES_DRAGALGE</t>
        </is>
      </c>
      <c r="B3510" s="3" t="inlineStr">
        <is>
          <t>Dragalge</t>
        </is>
      </c>
      <c r="C3510" s="3" t="n">
        <v>66</v>
      </c>
      <c r="D3510" s="3" t="inlineStr">
        <is>
          <t>Outrage</t>
        </is>
      </c>
      <c r="E3510" s="3" t="inlineStr">
        <is>
          <t>MOVE_OUTRAGE</t>
        </is>
      </c>
    </row>
    <row r="3511">
      <c r="A3511" s="3" t="inlineStr">
        <is>
          <t>SPECIES_CLAUNCHER</t>
        </is>
      </c>
      <c r="B3511" s="3" t="inlineStr">
        <is>
          <t>Clauncher</t>
        </is>
      </c>
      <c r="C3511" s="3" t="n">
        <v>1</v>
      </c>
      <c r="D3511" s="3" t="inlineStr">
        <is>
          <t>Water Gun</t>
        </is>
      </c>
      <c r="E3511" s="3" t="inlineStr">
        <is>
          <t>MOVE_WATER_GUN</t>
        </is>
      </c>
    </row>
    <row r="3512">
      <c r="A3512" s="3" t="inlineStr">
        <is>
          <t>SPECIES_CLAUNCHER</t>
        </is>
      </c>
      <c r="B3512" s="3" t="inlineStr">
        <is>
          <t>Clauncher</t>
        </is>
      </c>
      <c r="C3512" s="3" t="n">
        <v>1</v>
      </c>
      <c r="D3512" s="3" t="inlineStr">
        <is>
          <t>Splash</t>
        </is>
      </c>
      <c r="E3512" s="3" t="inlineStr">
        <is>
          <t>MOVE_SPLASH</t>
        </is>
      </c>
    </row>
    <row r="3513">
      <c r="A3513" s="3" t="inlineStr">
        <is>
          <t>SPECIES_CLAUNCHER</t>
        </is>
      </c>
      <c r="B3513" s="3" t="inlineStr">
        <is>
          <t>Clauncher</t>
        </is>
      </c>
      <c r="C3513" s="3" t="n">
        <v>5</v>
      </c>
      <c r="D3513" s="3" t="inlineStr">
        <is>
          <t>Vise Grip</t>
        </is>
      </c>
      <c r="E3513" s="3" t="inlineStr">
        <is>
          <t>MOVE_VISE_GRIP</t>
        </is>
      </c>
    </row>
    <row r="3514">
      <c r="A3514" s="3" t="inlineStr">
        <is>
          <t>SPECIES_CLAUNCHER</t>
        </is>
      </c>
      <c r="B3514" s="3" t="inlineStr">
        <is>
          <t>Clauncher</t>
        </is>
      </c>
      <c r="C3514" s="3" t="n">
        <v>10</v>
      </c>
      <c r="D3514" s="3" t="inlineStr">
        <is>
          <t>Flail</t>
        </is>
      </c>
      <c r="E3514" s="3" t="inlineStr">
        <is>
          <t>MOVE_FLAIL</t>
        </is>
      </c>
    </row>
    <row r="3515">
      <c r="A3515" s="3" t="inlineStr">
        <is>
          <t>SPECIES_CLAUNCHER</t>
        </is>
      </c>
      <c r="B3515" s="3" t="inlineStr">
        <is>
          <t>Clauncher</t>
        </is>
      </c>
      <c r="C3515" s="3" t="n">
        <v>15</v>
      </c>
      <c r="D3515" s="3" t="inlineStr">
        <is>
          <t>Aqua Jet</t>
        </is>
      </c>
      <c r="E3515" s="3" t="inlineStr">
        <is>
          <t>MOVE_AQUA_JET</t>
        </is>
      </c>
    </row>
    <row r="3516">
      <c r="A3516" s="3" t="inlineStr">
        <is>
          <t>SPECIES_CLAUNCHER</t>
        </is>
      </c>
      <c r="B3516" s="3" t="inlineStr">
        <is>
          <t>Clauncher</t>
        </is>
      </c>
      <c r="C3516" s="3" t="n">
        <v>20</v>
      </c>
      <c r="D3516" s="3" t="inlineStr">
        <is>
          <t>Smack Down</t>
        </is>
      </c>
      <c r="E3516" s="3" t="inlineStr">
        <is>
          <t>MOVE_SMACK_DOWN</t>
        </is>
      </c>
    </row>
    <row r="3517">
      <c r="A3517" s="3" t="inlineStr">
        <is>
          <t>SPECIES_CLAUNCHER</t>
        </is>
      </c>
      <c r="B3517" s="3" t="inlineStr">
        <is>
          <t>Clauncher</t>
        </is>
      </c>
      <c r="C3517" s="3" t="n">
        <v>25</v>
      </c>
      <c r="D3517" s="3" t="inlineStr">
        <is>
          <t>Hone Claws</t>
        </is>
      </c>
      <c r="E3517" s="3" t="inlineStr">
        <is>
          <t>MOVE_HONE_CLAWS</t>
        </is>
      </c>
    </row>
    <row r="3518">
      <c r="A3518" s="3" t="inlineStr">
        <is>
          <t>SPECIES_CLAUNCHER</t>
        </is>
      </c>
      <c r="B3518" s="3" t="inlineStr">
        <is>
          <t>Clauncher</t>
        </is>
      </c>
      <c r="C3518" s="3" t="n">
        <v>30</v>
      </c>
      <c r="D3518" s="3" t="inlineStr">
        <is>
          <t>Water Pulse</t>
        </is>
      </c>
      <c r="E3518" s="3" t="inlineStr">
        <is>
          <t>MOVE_WATER_PULSE</t>
        </is>
      </c>
    </row>
    <row r="3519">
      <c r="A3519" s="3" t="inlineStr">
        <is>
          <t>SPECIES_CLAUNCHER</t>
        </is>
      </c>
      <c r="B3519" s="3" t="inlineStr">
        <is>
          <t>Clauncher</t>
        </is>
      </c>
      <c r="C3519" s="3" t="n">
        <v>35</v>
      </c>
      <c r="D3519" s="3" t="inlineStr">
        <is>
          <t>Swords Dance</t>
        </is>
      </c>
      <c r="E3519" s="3" t="inlineStr">
        <is>
          <t>MOVE_SWORDS_DANCE</t>
        </is>
      </c>
    </row>
    <row r="3520">
      <c r="A3520" s="3" t="inlineStr">
        <is>
          <t>SPECIES_CLAUNCHER</t>
        </is>
      </c>
      <c r="B3520" s="3" t="inlineStr">
        <is>
          <t>Clauncher</t>
        </is>
      </c>
      <c r="C3520" s="3" t="n">
        <v>40</v>
      </c>
      <c r="D3520" s="3" t="inlineStr">
        <is>
          <t>Aura Sphere</t>
        </is>
      </c>
      <c r="E3520" s="3" t="inlineStr">
        <is>
          <t>MOVE_AURA_SPHERE</t>
        </is>
      </c>
    </row>
    <row r="3521">
      <c r="A3521" s="3" t="inlineStr">
        <is>
          <t>SPECIES_CLAUNCHER</t>
        </is>
      </c>
      <c r="B3521" s="3" t="inlineStr">
        <is>
          <t>Clauncher</t>
        </is>
      </c>
      <c r="C3521" s="3" t="n">
        <v>45</v>
      </c>
      <c r="D3521" s="3" t="inlineStr">
        <is>
          <t>Bounce</t>
        </is>
      </c>
      <c r="E3521" s="3" t="inlineStr">
        <is>
          <t>MOVE_BOUNCE</t>
        </is>
      </c>
    </row>
    <row r="3522">
      <c r="A3522" s="3" t="inlineStr">
        <is>
          <t>SPECIES_CLAUNCHER</t>
        </is>
      </c>
      <c r="B3522" s="3" t="inlineStr">
        <is>
          <t>Clauncher</t>
        </is>
      </c>
      <c r="C3522" s="3" t="n">
        <v>50</v>
      </c>
      <c r="D3522" s="3" t="inlineStr">
        <is>
          <t>Muddy Water</t>
        </is>
      </c>
      <c r="E3522" s="3" t="inlineStr">
        <is>
          <t>MOVE_MUDDY_WATER</t>
        </is>
      </c>
    </row>
    <row r="3523">
      <c r="A3523" s="3" t="inlineStr">
        <is>
          <t>SPECIES_CLAUNCHER</t>
        </is>
      </c>
      <c r="B3523" s="3" t="inlineStr">
        <is>
          <t>Clauncher</t>
        </is>
      </c>
      <c r="C3523" s="3" t="n">
        <v>55</v>
      </c>
      <c r="D3523" s="3" t="inlineStr">
        <is>
          <t>Crabhammer</t>
        </is>
      </c>
      <c r="E3523" s="3" t="inlineStr">
        <is>
          <t>MOVE_CRABHAMMER</t>
        </is>
      </c>
    </row>
    <row r="3524">
      <c r="A3524" s="3" t="inlineStr">
        <is>
          <t>SPECIES_CLAWITZER</t>
        </is>
      </c>
      <c r="B3524" s="3" t="inlineStr">
        <is>
          <t>Clawitzer</t>
        </is>
      </c>
      <c r="C3524" s="3" t="n">
        <v>1</v>
      </c>
      <c r="D3524" s="3" t="inlineStr">
        <is>
          <t>Vise Grip</t>
        </is>
      </c>
      <c r="E3524" s="3" t="inlineStr">
        <is>
          <t>MOVE_VISE_GRIP</t>
        </is>
      </c>
    </row>
    <row r="3525">
      <c r="A3525" s="3" t="inlineStr">
        <is>
          <t>SPECIES_CLAWITZER</t>
        </is>
      </c>
      <c r="B3525" s="3" t="inlineStr">
        <is>
          <t>Clawitzer</t>
        </is>
      </c>
      <c r="C3525" s="3" t="n">
        <v>1</v>
      </c>
      <c r="D3525" s="3" t="inlineStr">
        <is>
          <t>Water Gun</t>
        </is>
      </c>
      <c r="E3525" s="3" t="inlineStr">
        <is>
          <t>MOVE_WATER_GUN</t>
        </is>
      </c>
    </row>
    <row r="3526">
      <c r="A3526" s="3" t="inlineStr">
        <is>
          <t>SPECIES_CLAWITZER</t>
        </is>
      </c>
      <c r="B3526" s="3" t="inlineStr">
        <is>
          <t>Clawitzer</t>
        </is>
      </c>
      <c r="C3526" s="3" t="n">
        <v>1</v>
      </c>
      <c r="D3526" s="3" t="inlineStr">
        <is>
          <t>Splash</t>
        </is>
      </c>
      <c r="E3526" s="3" t="inlineStr">
        <is>
          <t>MOVE_SPLASH</t>
        </is>
      </c>
    </row>
    <row r="3527">
      <c r="A3527" s="3" t="inlineStr">
        <is>
          <t>SPECIES_CLAWITZER</t>
        </is>
      </c>
      <c r="B3527" s="3" t="inlineStr">
        <is>
          <t>Clawitzer</t>
        </is>
      </c>
      <c r="C3527" s="3" t="n">
        <v>1</v>
      </c>
      <c r="D3527" s="3" t="inlineStr">
        <is>
          <t>Flail</t>
        </is>
      </c>
      <c r="E3527" s="3" t="inlineStr">
        <is>
          <t>MOVE_FLAIL</t>
        </is>
      </c>
    </row>
    <row r="3528">
      <c r="A3528" s="3" t="inlineStr">
        <is>
          <t>SPECIES_CLAWITZER</t>
        </is>
      </c>
      <c r="B3528" s="3" t="inlineStr">
        <is>
          <t>Clawitzer</t>
        </is>
      </c>
      <c r="C3528" s="3" t="n">
        <v>1</v>
      </c>
      <c r="D3528" s="3" t="inlineStr">
        <is>
          <t>Dark Pulse</t>
        </is>
      </c>
      <c r="E3528" s="3" t="inlineStr">
        <is>
          <t>MOVE_DARK_PULSE</t>
        </is>
      </c>
    </row>
    <row r="3529">
      <c r="A3529" s="3" t="inlineStr">
        <is>
          <t>SPECIES_CLAWITZER</t>
        </is>
      </c>
      <c r="B3529" s="3" t="inlineStr">
        <is>
          <t>Clawitzer</t>
        </is>
      </c>
      <c r="C3529" s="3" t="n">
        <v>1</v>
      </c>
      <c r="D3529" s="3" t="inlineStr">
        <is>
          <t>Dragon Pulse</t>
        </is>
      </c>
      <c r="E3529" s="3" t="inlineStr">
        <is>
          <t>MOVE_DRAGON_PULSE</t>
        </is>
      </c>
    </row>
    <row r="3530">
      <c r="A3530" s="3" t="inlineStr">
        <is>
          <t>SPECIES_CLAWITZER</t>
        </is>
      </c>
      <c r="B3530" s="3" t="inlineStr">
        <is>
          <t>Clawitzer</t>
        </is>
      </c>
      <c r="C3530" s="3" t="n">
        <v>1</v>
      </c>
      <c r="D3530" s="3" t="inlineStr">
        <is>
          <t>Heal Pulse</t>
        </is>
      </c>
      <c r="E3530" s="3" t="inlineStr">
        <is>
          <t>MOVE_HEAL_PULSE</t>
        </is>
      </c>
    </row>
    <row r="3531">
      <c r="A3531" s="3" t="inlineStr">
        <is>
          <t>SPECIES_CLAWITZER</t>
        </is>
      </c>
      <c r="B3531" s="3" t="inlineStr">
        <is>
          <t>Clawitzer</t>
        </is>
      </c>
      <c r="C3531" s="3" t="n">
        <v>15</v>
      </c>
      <c r="D3531" s="3" t="inlineStr">
        <is>
          <t>Aqua Jet</t>
        </is>
      </c>
      <c r="E3531" s="3" t="inlineStr">
        <is>
          <t>MOVE_AQUA_JET</t>
        </is>
      </c>
    </row>
    <row r="3532">
      <c r="A3532" s="3" t="inlineStr">
        <is>
          <t>SPECIES_CLAWITZER</t>
        </is>
      </c>
      <c r="B3532" s="3" t="inlineStr">
        <is>
          <t>Clawitzer</t>
        </is>
      </c>
      <c r="C3532" s="3" t="n">
        <v>20</v>
      </c>
      <c r="D3532" s="3" t="inlineStr">
        <is>
          <t>Smack Down</t>
        </is>
      </c>
      <c r="E3532" s="3" t="inlineStr">
        <is>
          <t>MOVE_SMACK_DOWN</t>
        </is>
      </c>
    </row>
    <row r="3533">
      <c r="A3533" s="3" t="inlineStr">
        <is>
          <t>SPECIES_CLAWITZER</t>
        </is>
      </c>
      <c r="B3533" s="3" t="inlineStr">
        <is>
          <t>Clawitzer</t>
        </is>
      </c>
      <c r="C3533" s="3" t="n">
        <v>25</v>
      </c>
      <c r="D3533" s="3" t="inlineStr">
        <is>
          <t>Hone Claws</t>
        </is>
      </c>
      <c r="E3533" s="3" t="inlineStr">
        <is>
          <t>MOVE_HONE_CLAWS</t>
        </is>
      </c>
    </row>
    <row r="3534">
      <c r="A3534" s="3" t="inlineStr">
        <is>
          <t>SPECIES_CLAWITZER</t>
        </is>
      </c>
      <c r="B3534" s="3" t="inlineStr">
        <is>
          <t>Clawitzer</t>
        </is>
      </c>
      <c r="C3534" s="3" t="n">
        <v>30</v>
      </c>
      <c r="D3534" s="3" t="inlineStr">
        <is>
          <t>Water Pulse</t>
        </is>
      </c>
      <c r="E3534" s="3" t="inlineStr">
        <is>
          <t>MOVE_WATER_PULSE</t>
        </is>
      </c>
    </row>
    <row r="3535">
      <c r="A3535" s="3" t="inlineStr">
        <is>
          <t>SPECIES_CLAWITZER</t>
        </is>
      </c>
      <c r="B3535" s="3" t="inlineStr">
        <is>
          <t>Clawitzer</t>
        </is>
      </c>
      <c r="C3535" s="3" t="n">
        <v>35</v>
      </c>
      <c r="D3535" s="3" t="inlineStr">
        <is>
          <t>Swords Dance</t>
        </is>
      </c>
      <c r="E3535" s="3" t="inlineStr">
        <is>
          <t>MOVE_SWORDS_DANCE</t>
        </is>
      </c>
    </row>
    <row r="3536">
      <c r="A3536" s="3" t="inlineStr">
        <is>
          <t>SPECIES_CLAWITZER</t>
        </is>
      </c>
      <c r="B3536" s="3" t="inlineStr">
        <is>
          <t>Clawitzer</t>
        </is>
      </c>
      <c r="C3536" s="3" t="n">
        <v>42</v>
      </c>
      <c r="D3536" s="3" t="inlineStr">
        <is>
          <t>Aura Sphere</t>
        </is>
      </c>
      <c r="E3536" s="3" t="inlineStr">
        <is>
          <t>MOVE_AURA_SPHERE</t>
        </is>
      </c>
    </row>
    <row r="3537">
      <c r="A3537" s="3" t="inlineStr">
        <is>
          <t>SPECIES_CLAWITZER</t>
        </is>
      </c>
      <c r="B3537" s="3" t="inlineStr">
        <is>
          <t>Clawitzer</t>
        </is>
      </c>
      <c r="C3537" s="3" t="n">
        <v>49</v>
      </c>
      <c r="D3537" s="3" t="inlineStr">
        <is>
          <t>Bounce</t>
        </is>
      </c>
      <c r="E3537" s="3" t="inlineStr">
        <is>
          <t>MOVE_BOUNCE</t>
        </is>
      </c>
    </row>
    <row r="3538">
      <c r="A3538" s="3" t="inlineStr">
        <is>
          <t>SPECIES_CLAWITZER</t>
        </is>
      </c>
      <c r="B3538" s="3" t="inlineStr">
        <is>
          <t>Clawitzer</t>
        </is>
      </c>
      <c r="C3538" s="3" t="n">
        <v>56</v>
      </c>
      <c r="D3538" s="3" t="inlineStr">
        <is>
          <t>Muddy Water</t>
        </is>
      </c>
      <c r="E3538" s="3" t="inlineStr">
        <is>
          <t>MOVE_MUDDY_WATER</t>
        </is>
      </c>
    </row>
    <row r="3539">
      <c r="A3539" s="3" t="inlineStr">
        <is>
          <t>SPECIES_CLAWITZER</t>
        </is>
      </c>
      <c r="B3539" s="3" t="inlineStr">
        <is>
          <t>Clawitzer</t>
        </is>
      </c>
      <c r="C3539" s="3" t="n">
        <v>63</v>
      </c>
      <c r="D3539" s="3" t="inlineStr">
        <is>
          <t>Crabhammer</t>
        </is>
      </c>
      <c r="E3539" s="3" t="inlineStr">
        <is>
          <t>MOVE_CRABHAMMER</t>
        </is>
      </c>
    </row>
    <row r="3540">
      <c r="A3540" s="3" t="inlineStr">
        <is>
          <t>SPECIES_HELIOPTILE</t>
        </is>
      </c>
      <c r="B3540" s="3" t="inlineStr">
        <is>
          <t>Helioptile</t>
        </is>
      </c>
      <c r="C3540" s="3" t="n">
        <v>1</v>
      </c>
      <c r="D3540" s="3" t="inlineStr">
        <is>
          <t>Mud-Slap</t>
        </is>
      </c>
      <c r="E3540" s="3" t="inlineStr">
        <is>
          <t>MOVE_MUD_SLAP</t>
        </is>
      </c>
    </row>
    <row r="3541">
      <c r="A3541" s="3" t="inlineStr">
        <is>
          <t>SPECIES_HELIOPTILE</t>
        </is>
      </c>
      <c r="B3541" s="3" t="inlineStr">
        <is>
          <t>Helioptile</t>
        </is>
      </c>
      <c r="C3541" s="3" t="n">
        <v>1</v>
      </c>
      <c r="D3541" s="3" t="inlineStr">
        <is>
          <t>Tail Whip</t>
        </is>
      </c>
      <c r="E3541" s="3" t="inlineStr">
        <is>
          <t>MOVE_TAIL_WHIP</t>
        </is>
      </c>
    </row>
    <row r="3542">
      <c r="A3542" s="3" t="inlineStr">
        <is>
          <t>SPECIES_HELIOPTILE</t>
        </is>
      </c>
      <c r="B3542" s="3" t="inlineStr">
        <is>
          <t>Helioptile</t>
        </is>
      </c>
      <c r="C3542" s="3" t="n">
        <v>4</v>
      </c>
      <c r="D3542" s="3" t="inlineStr">
        <is>
          <t>Pound</t>
        </is>
      </c>
      <c r="E3542" s="3" t="inlineStr">
        <is>
          <t>MOVE_POUND</t>
        </is>
      </c>
    </row>
    <row r="3543">
      <c r="A3543" s="3" t="inlineStr">
        <is>
          <t>SPECIES_HELIOPTILE</t>
        </is>
      </c>
      <c r="B3543" s="3" t="inlineStr">
        <is>
          <t>Helioptile</t>
        </is>
      </c>
      <c r="C3543" s="3" t="n">
        <v>8</v>
      </c>
      <c r="D3543" s="3" t="inlineStr">
        <is>
          <t>Thunder Shock</t>
        </is>
      </c>
      <c r="E3543" s="3" t="inlineStr">
        <is>
          <t>MOVE_THUNDER_SHOCK</t>
        </is>
      </c>
    </row>
    <row r="3544">
      <c r="A3544" s="3" t="inlineStr">
        <is>
          <t>SPECIES_HELIOPTILE</t>
        </is>
      </c>
      <c r="B3544" s="3" t="inlineStr">
        <is>
          <t>Helioptile</t>
        </is>
      </c>
      <c r="C3544" s="3" t="n">
        <v>12</v>
      </c>
      <c r="D3544" s="3" t="inlineStr">
        <is>
          <t>Quick Attack</t>
        </is>
      </c>
      <c r="E3544" s="3" t="inlineStr">
        <is>
          <t>MOVE_QUICK_ATTACK</t>
        </is>
      </c>
    </row>
    <row r="3545">
      <c r="A3545" s="3" t="inlineStr">
        <is>
          <t>SPECIES_HELIOPTILE</t>
        </is>
      </c>
      <c r="B3545" s="3" t="inlineStr">
        <is>
          <t>Helioptile</t>
        </is>
      </c>
      <c r="C3545" s="3" t="n">
        <v>16</v>
      </c>
      <c r="D3545" s="3" t="inlineStr">
        <is>
          <t>Charge</t>
        </is>
      </c>
      <c r="E3545" s="3" t="inlineStr">
        <is>
          <t>MOVE_CHARGE</t>
        </is>
      </c>
    </row>
    <row r="3546">
      <c r="A3546" s="3" t="inlineStr">
        <is>
          <t>SPECIES_HELIOPTILE</t>
        </is>
      </c>
      <c r="B3546" s="3" t="inlineStr">
        <is>
          <t>Helioptile</t>
        </is>
      </c>
      <c r="C3546" s="3" t="n">
        <v>20</v>
      </c>
      <c r="D3546" s="3" t="inlineStr">
        <is>
          <t>Bulldoze</t>
        </is>
      </c>
      <c r="E3546" s="3" t="inlineStr">
        <is>
          <t>MOVE_BULLDOZE</t>
        </is>
      </c>
    </row>
    <row r="3547">
      <c r="A3547" s="3" t="inlineStr">
        <is>
          <t>SPECIES_HELIOPTILE</t>
        </is>
      </c>
      <c r="B3547" s="3" t="inlineStr">
        <is>
          <t>Helioptile</t>
        </is>
      </c>
      <c r="C3547" s="3" t="n">
        <v>24</v>
      </c>
      <c r="D3547" s="3" t="inlineStr">
        <is>
          <t>Volt Switch</t>
        </is>
      </c>
      <c r="E3547" s="3" t="inlineStr">
        <is>
          <t>MOVE_VOLT_SWITCH</t>
        </is>
      </c>
    </row>
    <row r="3548">
      <c r="A3548" s="3" t="inlineStr">
        <is>
          <t>SPECIES_HELIOPTILE</t>
        </is>
      </c>
      <c r="B3548" s="3" t="inlineStr">
        <is>
          <t>Helioptile</t>
        </is>
      </c>
      <c r="C3548" s="3" t="n">
        <v>28</v>
      </c>
      <c r="D3548" s="3" t="inlineStr">
        <is>
          <t>Parabolic Charge</t>
        </is>
      </c>
      <c r="E3548" s="3" t="inlineStr">
        <is>
          <t>MOVE_PARABOLIC_CHARGE</t>
        </is>
      </c>
    </row>
    <row r="3549">
      <c r="A3549" s="3" t="inlineStr">
        <is>
          <t>SPECIES_HELIOPTILE</t>
        </is>
      </c>
      <c r="B3549" s="3" t="inlineStr">
        <is>
          <t>Helioptile</t>
        </is>
      </c>
      <c r="C3549" s="3" t="n">
        <v>32</v>
      </c>
      <c r="D3549" s="3" t="inlineStr">
        <is>
          <t>Thunder Wave</t>
        </is>
      </c>
      <c r="E3549" s="3" t="inlineStr">
        <is>
          <t>MOVE_THUNDER_WAVE</t>
        </is>
      </c>
    </row>
    <row r="3550">
      <c r="A3550" s="3" t="inlineStr">
        <is>
          <t>SPECIES_HELIOPTILE</t>
        </is>
      </c>
      <c r="B3550" s="3" t="inlineStr">
        <is>
          <t>Helioptile</t>
        </is>
      </c>
      <c r="C3550" s="3" t="n">
        <v>36</v>
      </c>
      <c r="D3550" s="3" t="inlineStr">
        <is>
          <t>Thunderbolt</t>
        </is>
      </c>
      <c r="E3550" s="3" t="inlineStr">
        <is>
          <t>MOVE_THUNDERBOLT</t>
        </is>
      </c>
    </row>
    <row r="3551">
      <c r="A3551" s="3" t="inlineStr">
        <is>
          <t>SPECIES_HELIOPTILE</t>
        </is>
      </c>
      <c r="B3551" s="3" t="inlineStr">
        <is>
          <t>Helioptile</t>
        </is>
      </c>
      <c r="C3551" s="3" t="n">
        <v>40</v>
      </c>
      <c r="D3551" s="3" t="inlineStr">
        <is>
          <t>Electrify</t>
        </is>
      </c>
      <c r="E3551" s="3" t="inlineStr">
        <is>
          <t>MOVE_ELECTRIFY</t>
        </is>
      </c>
    </row>
    <row r="3552">
      <c r="A3552" s="3" t="inlineStr">
        <is>
          <t>SPECIES_HELIOPTILE</t>
        </is>
      </c>
      <c r="B3552" s="3" t="inlineStr">
        <is>
          <t>Helioptile</t>
        </is>
      </c>
      <c r="C3552" s="3" t="n">
        <v>44</v>
      </c>
      <c r="D3552" s="3" t="inlineStr">
        <is>
          <t>Thunder</t>
        </is>
      </c>
      <c r="E3552" s="3" t="inlineStr">
        <is>
          <t>MOVE_THUNDER</t>
        </is>
      </c>
    </row>
    <row r="3553">
      <c r="A3553" s="3" t="inlineStr">
        <is>
          <t>SPECIES_HELIOLISK</t>
        </is>
      </c>
      <c r="B3553" s="3" t="inlineStr">
        <is>
          <t>Heliolisk</t>
        </is>
      </c>
      <c r="C3553" s="3" t="n">
        <v>1</v>
      </c>
      <c r="D3553" s="3" t="inlineStr">
        <is>
          <t>Eerie Impulse</t>
        </is>
      </c>
      <c r="E3553" s="3" t="inlineStr">
        <is>
          <t>MOVE_EERIE_IMPULSE</t>
        </is>
      </c>
    </row>
    <row r="3554">
      <c r="A3554" s="3" t="inlineStr">
        <is>
          <t>SPECIES_HELIOLISK</t>
        </is>
      </c>
      <c r="B3554" s="3" t="inlineStr">
        <is>
          <t>Heliolisk</t>
        </is>
      </c>
      <c r="C3554" s="3" t="n">
        <v>1</v>
      </c>
      <c r="D3554" s="3" t="inlineStr">
        <is>
          <t>Discharge</t>
        </is>
      </c>
      <c r="E3554" s="3" t="inlineStr">
        <is>
          <t>MOVE_DISCHARGE</t>
        </is>
      </c>
    </row>
    <row r="3555">
      <c r="A3555" s="3" t="inlineStr">
        <is>
          <t>SPECIES_HELIOLISK</t>
        </is>
      </c>
      <c r="B3555" s="3" t="inlineStr">
        <is>
          <t>Heliolisk</t>
        </is>
      </c>
      <c r="C3555" s="3" t="n">
        <v>1</v>
      </c>
      <c r="D3555" s="3" t="inlineStr">
        <is>
          <t>Quick Attack</t>
        </is>
      </c>
      <c r="E3555" s="3" t="inlineStr">
        <is>
          <t>MOVE_QUICK_ATTACK</t>
        </is>
      </c>
    </row>
    <row r="3556">
      <c r="A3556" s="3" t="inlineStr">
        <is>
          <t>SPECIES_HELIOLISK</t>
        </is>
      </c>
      <c r="B3556" s="3" t="inlineStr">
        <is>
          <t>Heliolisk</t>
        </is>
      </c>
      <c r="C3556" s="3" t="n">
        <v>1</v>
      </c>
      <c r="D3556" s="3" t="inlineStr">
        <is>
          <t>Charge</t>
        </is>
      </c>
      <c r="E3556" s="3" t="inlineStr">
        <is>
          <t>MOVE_CHARGE</t>
        </is>
      </c>
    </row>
    <row r="3557">
      <c r="A3557" s="3" t="inlineStr">
        <is>
          <t>SPECIES_HELIOLISK</t>
        </is>
      </c>
      <c r="B3557" s="3" t="inlineStr">
        <is>
          <t>Heliolisk</t>
        </is>
      </c>
      <c r="C3557" s="3" t="n">
        <v>1</v>
      </c>
      <c r="D3557" s="3" t="inlineStr">
        <is>
          <t>Bulldoze</t>
        </is>
      </c>
      <c r="E3557" s="3" t="inlineStr">
        <is>
          <t>MOVE_BULLDOZE</t>
        </is>
      </c>
    </row>
    <row r="3558">
      <c r="A3558" s="3" t="inlineStr">
        <is>
          <t>SPECIES_HELIOLISK</t>
        </is>
      </c>
      <c r="B3558" s="3" t="inlineStr">
        <is>
          <t>Heliolisk</t>
        </is>
      </c>
      <c r="C3558" s="3" t="n">
        <v>1</v>
      </c>
      <c r="D3558" s="3" t="inlineStr">
        <is>
          <t>Volt Switch</t>
        </is>
      </c>
      <c r="E3558" s="3" t="inlineStr">
        <is>
          <t>MOVE_VOLT_SWITCH</t>
        </is>
      </c>
    </row>
    <row r="3559">
      <c r="A3559" s="3" t="inlineStr">
        <is>
          <t>SPECIES_HELIOLISK</t>
        </is>
      </c>
      <c r="B3559" s="3" t="inlineStr">
        <is>
          <t>Heliolisk</t>
        </is>
      </c>
      <c r="C3559" s="3" t="n">
        <v>1</v>
      </c>
      <c r="D3559" s="3" t="inlineStr">
        <is>
          <t>Parabolic Charge</t>
        </is>
      </c>
      <c r="E3559" s="3" t="inlineStr">
        <is>
          <t>MOVE_PARABOLIC_CHARGE</t>
        </is>
      </c>
    </row>
    <row r="3560">
      <c r="A3560" s="3" t="inlineStr">
        <is>
          <t>SPECIES_HELIOLISK</t>
        </is>
      </c>
      <c r="B3560" s="3" t="inlineStr">
        <is>
          <t>Heliolisk</t>
        </is>
      </c>
      <c r="C3560" s="3" t="n">
        <v>1</v>
      </c>
      <c r="D3560" s="3" t="inlineStr">
        <is>
          <t>Thunder Wave</t>
        </is>
      </c>
      <c r="E3560" s="3" t="inlineStr">
        <is>
          <t>MOVE_THUNDER_WAVE</t>
        </is>
      </c>
    </row>
    <row r="3561">
      <c r="A3561" s="3" t="inlineStr">
        <is>
          <t>SPECIES_HELIOLISK</t>
        </is>
      </c>
      <c r="B3561" s="3" t="inlineStr">
        <is>
          <t>Heliolisk</t>
        </is>
      </c>
      <c r="C3561" s="3" t="n">
        <v>1</v>
      </c>
      <c r="D3561" s="3" t="inlineStr">
        <is>
          <t>Thunderbolt</t>
        </is>
      </c>
      <c r="E3561" s="3" t="inlineStr">
        <is>
          <t>MOVE_THUNDERBOLT</t>
        </is>
      </c>
    </row>
    <row r="3562">
      <c r="A3562" s="3" t="inlineStr">
        <is>
          <t>SPECIES_HELIOLISK</t>
        </is>
      </c>
      <c r="B3562" s="3" t="inlineStr">
        <is>
          <t>Heliolisk</t>
        </is>
      </c>
      <c r="C3562" s="3" t="n">
        <v>1</v>
      </c>
      <c r="D3562" s="3" t="inlineStr">
        <is>
          <t>Electrify</t>
        </is>
      </c>
      <c r="E3562" s="3" t="inlineStr">
        <is>
          <t>MOVE_ELECTRIFY</t>
        </is>
      </c>
    </row>
    <row r="3563">
      <c r="A3563" s="3" t="inlineStr">
        <is>
          <t>SPECIES_HELIOLISK</t>
        </is>
      </c>
      <c r="B3563" s="3" t="inlineStr">
        <is>
          <t>Heliolisk</t>
        </is>
      </c>
      <c r="C3563" s="3" t="n">
        <v>1</v>
      </c>
      <c r="D3563" s="3" t="inlineStr">
        <is>
          <t>Thunder</t>
        </is>
      </c>
      <c r="E3563" s="3" t="inlineStr">
        <is>
          <t>MOVE_THUNDER</t>
        </is>
      </c>
    </row>
    <row r="3564">
      <c r="A3564" s="3" t="inlineStr">
        <is>
          <t>SPECIES_HELIOLISK</t>
        </is>
      </c>
      <c r="B3564" s="3" t="inlineStr">
        <is>
          <t>Heliolisk</t>
        </is>
      </c>
      <c r="C3564" s="3" t="n">
        <v>1</v>
      </c>
      <c r="D3564" s="3" t="inlineStr">
        <is>
          <t>Mud-Slap</t>
        </is>
      </c>
      <c r="E3564" s="3" t="inlineStr">
        <is>
          <t>MOVE_MUD_SLAP</t>
        </is>
      </c>
    </row>
    <row r="3565">
      <c r="A3565" s="3" t="inlineStr">
        <is>
          <t>SPECIES_HELIOLISK</t>
        </is>
      </c>
      <c r="B3565" s="3" t="inlineStr">
        <is>
          <t>Heliolisk</t>
        </is>
      </c>
      <c r="C3565" s="3" t="n">
        <v>1</v>
      </c>
      <c r="D3565" s="3" t="inlineStr">
        <is>
          <t>Tail Whip</t>
        </is>
      </c>
      <c r="E3565" s="3" t="inlineStr">
        <is>
          <t>MOVE_TAIL_WHIP</t>
        </is>
      </c>
    </row>
    <row r="3566">
      <c r="A3566" s="3" t="inlineStr">
        <is>
          <t>SPECIES_HELIOLISK</t>
        </is>
      </c>
      <c r="B3566" s="3" t="inlineStr">
        <is>
          <t>Heliolisk</t>
        </is>
      </c>
      <c r="C3566" s="3" t="n">
        <v>1</v>
      </c>
      <c r="D3566" s="3" t="inlineStr">
        <is>
          <t>Pound</t>
        </is>
      </c>
      <c r="E3566" s="3" t="inlineStr">
        <is>
          <t>MOVE_POUND</t>
        </is>
      </c>
    </row>
    <row r="3567">
      <c r="A3567" s="3" t="inlineStr">
        <is>
          <t>SPECIES_HELIOLISK</t>
        </is>
      </c>
      <c r="B3567" s="3" t="inlineStr">
        <is>
          <t>Heliolisk</t>
        </is>
      </c>
      <c r="C3567" s="3" t="n">
        <v>1</v>
      </c>
      <c r="D3567" s="3" t="inlineStr">
        <is>
          <t>Thunder Shock</t>
        </is>
      </c>
      <c r="E3567" s="3" t="inlineStr">
        <is>
          <t>MOVE_THUNDER_SHOCK</t>
        </is>
      </c>
    </row>
    <row r="3568">
      <c r="A3568" s="3" t="inlineStr">
        <is>
          <t>SPECIES_TYRUNT</t>
        </is>
      </c>
      <c r="B3568" s="3" t="inlineStr">
        <is>
          <t>Tyrunt</t>
        </is>
      </c>
      <c r="C3568" s="3" t="n">
        <v>1</v>
      </c>
      <c r="D3568" s="3" t="inlineStr">
        <is>
          <t>Tackle</t>
        </is>
      </c>
      <c r="E3568" s="3" t="inlineStr">
        <is>
          <t>MOVE_TACKLE</t>
        </is>
      </c>
    </row>
    <row r="3569">
      <c r="A3569" s="3" t="inlineStr">
        <is>
          <t>SPECIES_TYRUNT</t>
        </is>
      </c>
      <c r="B3569" s="3" t="inlineStr">
        <is>
          <t>Tyrunt</t>
        </is>
      </c>
      <c r="C3569" s="3" t="n">
        <v>1</v>
      </c>
      <c r="D3569" s="3" t="inlineStr">
        <is>
          <t>Tail Whip</t>
        </is>
      </c>
      <c r="E3569" s="3" t="inlineStr">
        <is>
          <t>MOVE_TAIL_WHIP</t>
        </is>
      </c>
    </row>
    <row r="3570">
      <c r="A3570" s="3" t="inlineStr">
        <is>
          <t>SPECIES_TYRUNT</t>
        </is>
      </c>
      <c r="B3570" s="3" t="inlineStr">
        <is>
          <t>Tyrunt</t>
        </is>
      </c>
      <c r="C3570" s="3" t="n">
        <v>4</v>
      </c>
      <c r="D3570" s="3" t="inlineStr">
        <is>
          <t>Roar</t>
        </is>
      </c>
      <c r="E3570" s="3" t="inlineStr">
        <is>
          <t>MOVE_ROAR</t>
        </is>
      </c>
    </row>
    <row r="3571">
      <c r="A3571" s="3" t="inlineStr">
        <is>
          <t>SPECIES_TYRUNT</t>
        </is>
      </c>
      <c r="B3571" s="3" t="inlineStr">
        <is>
          <t>Tyrunt</t>
        </is>
      </c>
      <c r="C3571" s="3" t="n">
        <v>8</v>
      </c>
      <c r="D3571" s="3" t="inlineStr">
        <is>
          <t>Ancient Power</t>
        </is>
      </c>
      <c r="E3571" s="3" t="inlineStr">
        <is>
          <t>MOVE_ANCIENT_POWER</t>
        </is>
      </c>
    </row>
    <row r="3572">
      <c r="A3572" s="3" t="inlineStr">
        <is>
          <t>SPECIES_TYRUNT</t>
        </is>
      </c>
      <c r="B3572" s="3" t="inlineStr">
        <is>
          <t>Tyrunt</t>
        </is>
      </c>
      <c r="C3572" s="3" t="n">
        <v>12</v>
      </c>
      <c r="D3572" s="3" t="inlineStr">
        <is>
          <t>Charm</t>
        </is>
      </c>
      <c r="E3572" s="3" t="inlineStr">
        <is>
          <t>MOVE_CHARM</t>
        </is>
      </c>
    </row>
    <row r="3573">
      <c r="A3573" s="3" t="inlineStr">
        <is>
          <t>SPECIES_TYRUNT</t>
        </is>
      </c>
      <c r="B3573" s="3" t="inlineStr">
        <is>
          <t>Tyrunt</t>
        </is>
      </c>
      <c r="C3573" s="3" t="n">
        <v>16</v>
      </c>
      <c r="D3573" s="3" t="inlineStr">
        <is>
          <t>Bite</t>
        </is>
      </c>
      <c r="E3573" s="3" t="inlineStr">
        <is>
          <t>MOVE_BITE</t>
        </is>
      </c>
    </row>
    <row r="3574">
      <c r="A3574" s="3" t="inlineStr">
        <is>
          <t>SPECIES_TYRUNT</t>
        </is>
      </c>
      <c r="B3574" s="3" t="inlineStr">
        <is>
          <t>Tyrunt</t>
        </is>
      </c>
      <c r="C3574" s="3" t="n">
        <v>20</v>
      </c>
      <c r="D3574" s="3" t="inlineStr">
        <is>
          <t>Dragon Tail</t>
        </is>
      </c>
      <c r="E3574" s="3" t="inlineStr">
        <is>
          <t>MOVE_DRAGON_TAIL</t>
        </is>
      </c>
    </row>
    <row r="3575">
      <c r="A3575" s="3" t="inlineStr">
        <is>
          <t>SPECIES_TYRUNT</t>
        </is>
      </c>
      <c r="B3575" s="3" t="inlineStr">
        <is>
          <t>Tyrunt</t>
        </is>
      </c>
      <c r="C3575" s="3" t="n">
        <v>24</v>
      </c>
      <c r="D3575" s="3" t="inlineStr">
        <is>
          <t>Stomp</t>
        </is>
      </c>
      <c r="E3575" s="3" t="inlineStr">
        <is>
          <t>MOVE_STOMP</t>
        </is>
      </c>
    </row>
    <row r="3576">
      <c r="A3576" s="3" t="inlineStr">
        <is>
          <t>SPECIES_TYRUNT</t>
        </is>
      </c>
      <c r="B3576" s="3" t="inlineStr">
        <is>
          <t>Tyrunt</t>
        </is>
      </c>
      <c r="C3576" s="3" t="n">
        <v>28</v>
      </c>
      <c r="D3576" s="3" t="inlineStr">
        <is>
          <t>Rock Slide</t>
        </is>
      </c>
      <c r="E3576" s="3" t="inlineStr">
        <is>
          <t>MOVE_ROCK_SLIDE</t>
        </is>
      </c>
    </row>
    <row r="3577">
      <c r="A3577" s="3" t="inlineStr">
        <is>
          <t>SPECIES_TYRUNT</t>
        </is>
      </c>
      <c r="B3577" s="3" t="inlineStr">
        <is>
          <t>Tyrunt</t>
        </is>
      </c>
      <c r="C3577" s="3" t="n">
        <v>32</v>
      </c>
      <c r="D3577" s="3" t="inlineStr">
        <is>
          <t>Crunch</t>
        </is>
      </c>
      <c r="E3577" s="3" t="inlineStr">
        <is>
          <t>MOVE_CRUNCH</t>
        </is>
      </c>
    </row>
    <row r="3578">
      <c r="A3578" s="3" t="inlineStr">
        <is>
          <t>SPECIES_TYRUNT</t>
        </is>
      </c>
      <c r="B3578" s="3" t="inlineStr">
        <is>
          <t>Tyrunt</t>
        </is>
      </c>
      <c r="C3578" s="3" t="n">
        <v>36</v>
      </c>
      <c r="D3578" s="3" t="inlineStr">
        <is>
          <t>Dragon Claw</t>
        </is>
      </c>
      <c r="E3578" s="3" t="inlineStr">
        <is>
          <t>MOVE_DRAGON_CLAW</t>
        </is>
      </c>
    </row>
    <row r="3579">
      <c r="A3579" s="3" t="inlineStr">
        <is>
          <t>SPECIES_TYRUNT</t>
        </is>
      </c>
      <c r="B3579" s="3" t="inlineStr">
        <is>
          <t>Tyrunt</t>
        </is>
      </c>
      <c r="C3579" s="3" t="n">
        <v>40</v>
      </c>
      <c r="D3579" s="3" t="inlineStr">
        <is>
          <t>Thrash</t>
        </is>
      </c>
      <c r="E3579" s="3" t="inlineStr">
        <is>
          <t>MOVE_THRASH</t>
        </is>
      </c>
    </row>
    <row r="3580">
      <c r="A3580" s="3" t="inlineStr">
        <is>
          <t>SPECIES_TYRUNT</t>
        </is>
      </c>
      <c r="B3580" s="3" t="inlineStr">
        <is>
          <t>Tyrunt</t>
        </is>
      </c>
      <c r="C3580" s="3" t="n">
        <v>44</v>
      </c>
      <c r="D3580" s="3" t="inlineStr">
        <is>
          <t>Earthquake</t>
        </is>
      </c>
      <c r="E3580" s="3" t="inlineStr">
        <is>
          <t>MOVE_EARTHQUAKE</t>
        </is>
      </c>
    </row>
    <row r="3581">
      <c r="A3581" s="3" t="inlineStr">
        <is>
          <t>SPECIES_TYRUNT</t>
        </is>
      </c>
      <c r="B3581" s="3" t="inlineStr">
        <is>
          <t>Tyrunt</t>
        </is>
      </c>
      <c r="C3581" s="3" t="n">
        <v>48</v>
      </c>
      <c r="D3581" s="3" t="inlineStr">
        <is>
          <t>Horn Drill</t>
        </is>
      </c>
      <c r="E3581" s="3" t="inlineStr">
        <is>
          <t>MOVE_HORN_DRILL</t>
        </is>
      </c>
    </row>
    <row r="3582">
      <c r="A3582" s="3" t="inlineStr">
        <is>
          <t>SPECIES_TYRANTRUM</t>
        </is>
      </c>
      <c r="B3582" s="3" t="inlineStr">
        <is>
          <t>Tyrantrum</t>
        </is>
      </c>
      <c r="C3582" s="3" t="n">
        <v>1</v>
      </c>
      <c r="D3582" s="3" t="inlineStr">
        <is>
          <t>Tackle</t>
        </is>
      </c>
      <c r="E3582" s="3" t="inlineStr">
        <is>
          <t>MOVE_TACKLE</t>
        </is>
      </c>
    </row>
    <row r="3583">
      <c r="A3583" s="3" t="inlineStr">
        <is>
          <t>SPECIES_TYRANTRUM</t>
        </is>
      </c>
      <c r="B3583" s="3" t="inlineStr">
        <is>
          <t>Tyrantrum</t>
        </is>
      </c>
      <c r="C3583" s="3" t="n">
        <v>1</v>
      </c>
      <c r="D3583" s="3" t="inlineStr">
        <is>
          <t>Tail Whip</t>
        </is>
      </c>
      <c r="E3583" s="3" t="inlineStr">
        <is>
          <t>MOVE_TAIL_WHIP</t>
        </is>
      </c>
    </row>
    <row r="3584">
      <c r="A3584" s="3" t="inlineStr">
        <is>
          <t>SPECIES_TYRANTRUM</t>
        </is>
      </c>
      <c r="B3584" s="3" t="inlineStr">
        <is>
          <t>Tyrantrum</t>
        </is>
      </c>
      <c r="C3584" s="3" t="n">
        <v>1</v>
      </c>
      <c r="D3584" s="3" t="inlineStr">
        <is>
          <t>Roar</t>
        </is>
      </c>
      <c r="E3584" s="3" t="inlineStr">
        <is>
          <t>MOVE_ROAR</t>
        </is>
      </c>
    </row>
    <row r="3585">
      <c r="A3585" s="3" t="inlineStr">
        <is>
          <t>SPECIES_TYRANTRUM</t>
        </is>
      </c>
      <c r="B3585" s="3" t="inlineStr">
        <is>
          <t>Tyrantrum</t>
        </is>
      </c>
      <c r="C3585" s="3" t="n">
        <v>1</v>
      </c>
      <c r="D3585" s="3" t="inlineStr">
        <is>
          <t>Ancient Power</t>
        </is>
      </c>
      <c r="E3585" s="3" t="inlineStr">
        <is>
          <t>MOVE_ANCIENT_POWER</t>
        </is>
      </c>
    </row>
    <row r="3586">
      <c r="A3586" s="3" t="inlineStr">
        <is>
          <t>SPECIES_TYRANTRUM</t>
        </is>
      </c>
      <c r="B3586" s="3" t="inlineStr">
        <is>
          <t>Tyrantrum</t>
        </is>
      </c>
      <c r="C3586" s="3" t="n">
        <v>12</v>
      </c>
      <c r="D3586" s="3" t="inlineStr">
        <is>
          <t>Charm</t>
        </is>
      </c>
      <c r="E3586" s="3" t="inlineStr">
        <is>
          <t>MOVE_CHARM</t>
        </is>
      </c>
    </row>
    <row r="3587">
      <c r="A3587" s="3" t="inlineStr">
        <is>
          <t>SPECIES_TYRANTRUM</t>
        </is>
      </c>
      <c r="B3587" s="3" t="inlineStr">
        <is>
          <t>Tyrantrum</t>
        </is>
      </c>
      <c r="C3587" s="3" t="n">
        <v>16</v>
      </c>
      <c r="D3587" s="3" t="inlineStr">
        <is>
          <t>Bite</t>
        </is>
      </c>
      <c r="E3587" s="3" t="inlineStr">
        <is>
          <t>MOVE_BITE</t>
        </is>
      </c>
    </row>
    <row r="3588">
      <c r="A3588" s="3" t="inlineStr">
        <is>
          <t>SPECIES_TYRANTRUM</t>
        </is>
      </c>
      <c r="B3588" s="3" t="inlineStr">
        <is>
          <t>Tyrantrum</t>
        </is>
      </c>
      <c r="C3588" s="3" t="n">
        <v>20</v>
      </c>
      <c r="D3588" s="3" t="inlineStr">
        <is>
          <t>Dragon Tail</t>
        </is>
      </c>
      <c r="E3588" s="3" t="inlineStr">
        <is>
          <t>MOVE_DRAGON_TAIL</t>
        </is>
      </c>
    </row>
    <row r="3589">
      <c r="A3589" s="3" t="inlineStr">
        <is>
          <t>SPECIES_TYRANTRUM</t>
        </is>
      </c>
      <c r="B3589" s="3" t="inlineStr">
        <is>
          <t>Tyrantrum</t>
        </is>
      </c>
      <c r="C3589" s="3" t="n">
        <v>24</v>
      </c>
      <c r="D3589" s="3" t="inlineStr">
        <is>
          <t>Stomp</t>
        </is>
      </c>
      <c r="E3589" s="3" t="inlineStr">
        <is>
          <t>MOVE_STOMP</t>
        </is>
      </c>
    </row>
    <row r="3590">
      <c r="A3590" s="3" t="inlineStr">
        <is>
          <t>SPECIES_TYRANTRUM</t>
        </is>
      </c>
      <c r="B3590" s="3" t="inlineStr">
        <is>
          <t>Tyrantrum</t>
        </is>
      </c>
      <c r="C3590" s="3" t="n">
        <v>28</v>
      </c>
      <c r="D3590" s="3" t="inlineStr">
        <is>
          <t>Rock Slide</t>
        </is>
      </c>
      <c r="E3590" s="3" t="inlineStr">
        <is>
          <t>MOVE_ROCK_SLIDE</t>
        </is>
      </c>
    </row>
    <row r="3591">
      <c r="A3591" s="3" t="inlineStr">
        <is>
          <t>SPECIES_TYRANTRUM</t>
        </is>
      </c>
      <c r="B3591" s="3" t="inlineStr">
        <is>
          <t>Tyrantrum</t>
        </is>
      </c>
      <c r="C3591" s="3" t="n">
        <v>32</v>
      </c>
      <c r="D3591" s="3" t="inlineStr">
        <is>
          <t>Crunch</t>
        </is>
      </c>
      <c r="E3591" s="3" t="inlineStr">
        <is>
          <t>MOVE_CRUNCH</t>
        </is>
      </c>
    </row>
    <row r="3592">
      <c r="A3592" s="3" t="inlineStr">
        <is>
          <t>SPECIES_TYRANTRUM</t>
        </is>
      </c>
      <c r="B3592" s="3" t="inlineStr">
        <is>
          <t>Tyrantrum</t>
        </is>
      </c>
      <c r="C3592" s="3" t="n">
        <v>36</v>
      </c>
      <c r="D3592" s="3" t="inlineStr">
        <is>
          <t>Dragon Claw</t>
        </is>
      </c>
      <c r="E3592" s="3" t="inlineStr">
        <is>
          <t>MOVE_DRAGON_CLAW</t>
        </is>
      </c>
    </row>
    <row r="3593">
      <c r="A3593" s="3" t="inlineStr">
        <is>
          <t>SPECIES_TYRANTRUM</t>
        </is>
      </c>
      <c r="B3593" s="3" t="inlineStr">
        <is>
          <t>Tyrantrum</t>
        </is>
      </c>
      <c r="C3593" s="3" t="n">
        <v>42</v>
      </c>
      <c r="D3593" s="3" t="inlineStr">
        <is>
          <t>Thrash</t>
        </is>
      </c>
      <c r="E3593" s="3" t="inlineStr">
        <is>
          <t>MOVE_THRASH</t>
        </is>
      </c>
    </row>
    <row r="3594">
      <c r="A3594" s="3" t="inlineStr">
        <is>
          <t>SPECIES_TYRANTRUM</t>
        </is>
      </c>
      <c r="B3594" s="3" t="inlineStr">
        <is>
          <t>Tyrantrum</t>
        </is>
      </c>
      <c r="C3594" s="3" t="n">
        <v>48</v>
      </c>
      <c r="D3594" s="3" t="inlineStr">
        <is>
          <t>Earthquake</t>
        </is>
      </c>
      <c r="E3594" s="3" t="inlineStr">
        <is>
          <t>MOVE_EARTHQUAKE</t>
        </is>
      </c>
    </row>
    <row r="3595">
      <c r="A3595" s="3" t="inlineStr">
        <is>
          <t>SPECIES_TYRANTRUM</t>
        </is>
      </c>
      <c r="B3595" s="3" t="inlineStr">
        <is>
          <t>Tyrantrum</t>
        </is>
      </c>
      <c r="C3595" s="3" t="n">
        <v>54</v>
      </c>
      <c r="D3595" s="3" t="inlineStr">
        <is>
          <t>Horn Drill</t>
        </is>
      </c>
      <c r="E3595" s="3" t="inlineStr">
        <is>
          <t>MOVE_HORN_DRILL</t>
        </is>
      </c>
    </row>
    <row r="3596">
      <c r="A3596" s="3" t="inlineStr">
        <is>
          <t>SPECIES_TYRANTRUM</t>
        </is>
      </c>
      <c r="B3596" s="3" t="inlineStr">
        <is>
          <t>Tyrantrum</t>
        </is>
      </c>
      <c r="C3596" s="3" t="n">
        <v>60</v>
      </c>
      <c r="D3596" s="3" t="inlineStr">
        <is>
          <t>Giga Impact</t>
        </is>
      </c>
      <c r="E3596" s="3" t="inlineStr">
        <is>
          <t>MOVE_GIGA_IMPACT</t>
        </is>
      </c>
    </row>
    <row r="3597">
      <c r="A3597" s="3" t="inlineStr">
        <is>
          <t>SPECIES_TYRANTRUM</t>
        </is>
      </c>
      <c r="B3597" s="3" t="inlineStr">
        <is>
          <t>Tyrantrum</t>
        </is>
      </c>
      <c r="C3597" s="3" t="n">
        <v>66</v>
      </c>
      <c r="D3597" s="3" t="inlineStr">
        <is>
          <t>Head Smash</t>
        </is>
      </c>
      <c r="E3597" s="3" t="inlineStr">
        <is>
          <t>MOVE_HEAD_SMASH</t>
        </is>
      </c>
    </row>
    <row r="3598">
      <c r="A3598" s="3" t="inlineStr">
        <is>
          <t>SPECIES_AMAURA</t>
        </is>
      </c>
      <c r="B3598" s="3" t="inlineStr">
        <is>
          <t>Amaura</t>
        </is>
      </c>
      <c r="C3598" s="3" t="n">
        <v>1</v>
      </c>
      <c r="D3598" s="3" t="inlineStr">
        <is>
          <t>Powder Snow</t>
        </is>
      </c>
      <c r="E3598" s="3" t="inlineStr">
        <is>
          <t>MOVE_POWDER_SNOW</t>
        </is>
      </c>
    </row>
    <row r="3599">
      <c r="A3599" s="3" t="inlineStr">
        <is>
          <t>SPECIES_AMAURA</t>
        </is>
      </c>
      <c r="B3599" s="3" t="inlineStr">
        <is>
          <t>Amaura</t>
        </is>
      </c>
      <c r="C3599" s="3" t="n">
        <v>1</v>
      </c>
      <c r="D3599" s="3" t="inlineStr">
        <is>
          <t>Growl</t>
        </is>
      </c>
      <c r="E3599" s="3" t="inlineStr">
        <is>
          <t>MOVE_GROWL</t>
        </is>
      </c>
    </row>
    <row r="3600">
      <c r="A3600" s="3" t="inlineStr">
        <is>
          <t>SPECIES_AMAURA</t>
        </is>
      </c>
      <c r="B3600" s="3" t="inlineStr">
        <is>
          <t>Amaura</t>
        </is>
      </c>
      <c r="C3600" s="3" t="n">
        <v>4</v>
      </c>
      <c r="D3600" s="3" t="inlineStr">
        <is>
          <t>Encore</t>
        </is>
      </c>
      <c r="E3600" s="3" t="inlineStr">
        <is>
          <t>MOVE_ENCORE</t>
        </is>
      </c>
    </row>
    <row r="3601">
      <c r="A3601" s="3" t="inlineStr">
        <is>
          <t>SPECIES_AMAURA</t>
        </is>
      </c>
      <c r="B3601" s="3" t="inlineStr">
        <is>
          <t>Amaura</t>
        </is>
      </c>
      <c r="C3601" s="3" t="n">
        <v>8</v>
      </c>
      <c r="D3601" s="3" t="inlineStr">
        <is>
          <t>Ancient Power</t>
        </is>
      </c>
      <c r="E3601" s="3" t="inlineStr">
        <is>
          <t>MOVE_ANCIENT_POWER</t>
        </is>
      </c>
    </row>
    <row r="3602">
      <c r="A3602" s="3" t="inlineStr">
        <is>
          <t>SPECIES_AMAURA</t>
        </is>
      </c>
      <c r="B3602" s="3" t="inlineStr">
        <is>
          <t>Amaura</t>
        </is>
      </c>
      <c r="C3602" s="3" t="n">
        <v>12</v>
      </c>
      <c r="D3602" s="3" t="inlineStr">
        <is>
          <t>Icy Wind</t>
        </is>
      </c>
      <c r="E3602" s="3" t="inlineStr">
        <is>
          <t>MOVE_ICY_WIND</t>
        </is>
      </c>
    </row>
    <row r="3603">
      <c r="A3603" s="3" t="inlineStr">
        <is>
          <t>SPECIES_AMAURA</t>
        </is>
      </c>
      <c r="B3603" s="3" t="inlineStr">
        <is>
          <t>Amaura</t>
        </is>
      </c>
      <c r="C3603" s="3" t="n">
        <v>16</v>
      </c>
      <c r="D3603" s="3" t="inlineStr">
        <is>
          <t>Round</t>
        </is>
      </c>
      <c r="E3603" s="3" t="inlineStr">
        <is>
          <t>MOVE_ROUND</t>
        </is>
      </c>
    </row>
    <row r="3604">
      <c r="A3604" s="3" t="inlineStr">
        <is>
          <t>SPECIES_AMAURA</t>
        </is>
      </c>
      <c r="B3604" s="3" t="inlineStr">
        <is>
          <t>Amaura</t>
        </is>
      </c>
      <c r="C3604" s="3" t="n">
        <v>20</v>
      </c>
      <c r="D3604" s="3" t="inlineStr">
        <is>
          <t>Mist</t>
        </is>
      </c>
      <c r="E3604" s="3" t="inlineStr">
        <is>
          <t>MOVE_MIST</t>
        </is>
      </c>
    </row>
    <row r="3605">
      <c r="A3605" s="3" t="inlineStr">
        <is>
          <t>SPECIES_AMAURA</t>
        </is>
      </c>
      <c r="B3605" s="3" t="inlineStr">
        <is>
          <t>Amaura</t>
        </is>
      </c>
      <c r="C3605" s="3" t="n">
        <v>24</v>
      </c>
      <c r="D3605" s="3" t="inlineStr">
        <is>
          <t>Aurora Beam</t>
        </is>
      </c>
      <c r="E3605" s="3" t="inlineStr">
        <is>
          <t>MOVE_AURORA_BEAM</t>
        </is>
      </c>
    </row>
    <row r="3606">
      <c r="A3606" s="3" t="inlineStr">
        <is>
          <t>SPECIES_AMAURA</t>
        </is>
      </c>
      <c r="B3606" s="3" t="inlineStr">
        <is>
          <t>Amaura</t>
        </is>
      </c>
      <c r="C3606" s="3" t="n">
        <v>28</v>
      </c>
      <c r="D3606" s="3" t="inlineStr">
        <is>
          <t>Thunder Wave</t>
        </is>
      </c>
      <c r="E3606" s="3" t="inlineStr">
        <is>
          <t>MOVE_THUNDER_WAVE</t>
        </is>
      </c>
    </row>
    <row r="3607">
      <c r="A3607" s="3" t="inlineStr">
        <is>
          <t>SPECIES_AMAURA</t>
        </is>
      </c>
      <c r="B3607" s="3" t="inlineStr">
        <is>
          <t>Amaura</t>
        </is>
      </c>
      <c r="C3607" s="3" t="n">
        <v>32</v>
      </c>
      <c r="D3607" s="3" t="inlineStr">
        <is>
          <t>Nature Power</t>
        </is>
      </c>
      <c r="E3607" s="3" t="inlineStr">
        <is>
          <t>MOVE_NATURE_POWER</t>
        </is>
      </c>
    </row>
    <row r="3608">
      <c r="A3608" s="3" t="inlineStr">
        <is>
          <t>SPECIES_AMAURA</t>
        </is>
      </c>
      <c r="B3608" s="3" t="inlineStr">
        <is>
          <t>Amaura</t>
        </is>
      </c>
      <c r="C3608" s="3" t="n">
        <v>36</v>
      </c>
      <c r="D3608" s="3" t="inlineStr">
        <is>
          <t>Freeze-Dry</t>
        </is>
      </c>
      <c r="E3608" s="3" t="inlineStr">
        <is>
          <t>MOVE_FREEZE_DRY</t>
        </is>
      </c>
    </row>
    <row r="3609">
      <c r="A3609" s="3" t="inlineStr">
        <is>
          <t>SPECIES_AMAURA</t>
        </is>
      </c>
      <c r="B3609" s="3" t="inlineStr">
        <is>
          <t>Amaura</t>
        </is>
      </c>
      <c r="C3609" s="3" t="n">
        <v>40</v>
      </c>
      <c r="D3609" s="3" t="inlineStr">
        <is>
          <t>Ice Beam</t>
        </is>
      </c>
      <c r="E3609" s="3" t="inlineStr">
        <is>
          <t>MOVE_ICE_BEAM</t>
        </is>
      </c>
    </row>
    <row r="3610">
      <c r="A3610" s="3" t="inlineStr">
        <is>
          <t>SPECIES_AMAURA</t>
        </is>
      </c>
      <c r="B3610" s="3" t="inlineStr">
        <is>
          <t>Amaura</t>
        </is>
      </c>
      <c r="C3610" s="3" t="n">
        <v>44</v>
      </c>
      <c r="D3610" s="3" t="inlineStr">
        <is>
          <t>Light Screen</t>
        </is>
      </c>
      <c r="E3610" s="3" t="inlineStr">
        <is>
          <t>MOVE_LIGHT_SCREEN</t>
        </is>
      </c>
    </row>
    <row r="3611">
      <c r="A3611" s="3" t="inlineStr">
        <is>
          <t>SPECIES_AMAURA</t>
        </is>
      </c>
      <c r="B3611" s="3" t="inlineStr">
        <is>
          <t>Amaura</t>
        </is>
      </c>
      <c r="C3611" s="3" t="n">
        <v>48</v>
      </c>
      <c r="D3611" s="3" t="inlineStr">
        <is>
          <t>Hail</t>
        </is>
      </c>
      <c r="E3611" s="3" t="inlineStr">
        <is>
          <t>MOVE_HAIL</t>
        </is>
      </c>
    </row>
    <row r="3612">
      <c r="A3612" s="3" t="inlineStr">
        <is>
          <t>SPECIES_AMAURA</t>
        </is>
      </c>
      <c r="B3612" s="3" t="inlineStr">
        <is>
          <t>Amaura</t>
        </is>
      </c>
      <c r="C3612" s="3" t="n">
        <v>52</v>
      </c>
      <c r="D3612" s="3" t="inlineStr">
        <is>
          <t>Blizzard</t>
        </is>
      </c>
      <c r="E3612" s="3" t="inlineStr">
        <is>
          <t>MOVE_BLIZZARD</t>
        </is>
      </c>
    </row>
    <row r="3613">
      <c r="A3613" s="3" t="inlineStr">
        <is>
          <t>SPECIES_AMAURA</t>
        </is>
      </c>
      <c r="B3613" s="3" t="inlineStr">
        <is>
          <t>Amaura</t>
        </is>
      </c>
      <c r="C3613" s="3" t="n">
        <v>56</v>
      </c>
      <c r="D3613" s="3" t="inlineStr">
        <is>
          <t>Hyper Beam</t>
        </is>
      </c>
      <c r="E3613" s="3" t="inlineStr">
        <is>
          <t>MOVE_HYPER_BEAM</t>
        </is>
      </c>
    </row>
    <row r="3614">
      <c r="A3614" s="3" t="inlineStr">
        <is>
          <t>SPECIES_AURORUS</t>
        </is>
      </c>
      <c r="B3614" s="3" t="inlineStr">
        <is>
          <t>Aurorus</t>
        </is>
      </c>
      <c r="C3614" s="3" t="n">
        <v>1</v>
      </c>
      <c r="D3614" s="3" t="inlineStr">
        <is>
          <t>Powder Snow</t>
        </is>
      </c>
      <c r="E3614" s="3" t="inlineStr">
        <is>
          <t>MOVE_POWDER_SNOW</t>
        </is>
      </c>
    </row>
    <row r="3615">
      <c r="A3615" s="3" t="inlineStr">
        <is>
          <t>SPECIES_AURORUS</t>
        </is>
      </c>
      <c r="B3615" s="3" t="inlineStr">
        <is>
          <t>Aurorus</t>
        </is>
      </c>
      <c r="C3615" s="3" t="n">
        <v>1</v>
      </c>
      <c r="D3615" s="3" t="inlineStr">
        <is>
          <t>Growl</t>
        </is>
      </c>
      <c r="E3615" s="3" t="inlineStr">
        <is>
          <t>MOVE_GROWL</t>
        </is>
      </c>
    </row>
    <row r="3616">
      <c r="A3616" s="3" t="inlineStr">
        <is>
          <t>SPECIES_AURORUS</t>
        </is>
      </c>
      <c r="B3616" s="3" t="inlineStr">
        <is>
          <t>Aurorus</t>
        </is>
      </c>
      <c r="C3616" s="3" t="n">
        <v>1</v>
      </c>
      <c r="D3616" s="3" t="inlineStr">
        <is>
          <t>Encore</t>
        </is>
      </c>
      <c r="E3616" s="3" t="inlineStr">
        <is>
          <t>MOVE_ENCORE</t>
        </is>
      </c>
    </row>
    <row r="3617">
      <c r="A3617" s="3" t="inlineStr">
        <is>
          <t>SPECIES_AURORUS</t>
        </is>
      </c>
      <c r="B3617" s="3" t="inlineStr">
        <is>
          <t>Aurorus</t>
        </is>
      </c>
      <c r="C3617" s="3" t="n">
        <v>1</v>
      </c>
      <c r="D3617" s="3" t="inlineStr">
        <is>
          <t>Ancient Power</t>
        </is>
      </c>
      <c r="E3617" s="3" t="inlineStr">
        <is>
          <t>MOVE_ANCIENT_POWER</t>
        </is>
      </c>
    </row>
    <row r="3618">
      <c r="A3618" s="3" t="inlineStr">
        <is>
          <t>SPECIES_AURORUS</t>
        </is>
      </c>
      <c r="B3618" s="3" t="inlineStr">
        <is>
          <t>Aurorus</t>
        </is>
      </c>
      <c r="C3618" s="3" t="n">
        <v>12</v>
      </c>
      <c r="D3618" s="3" t="inlineStr">
        <is>
          <t>Icy Wind</t>
        </is>
      </c>
      <c r="E3618" s="3" t="inlineStr">
        <is>
          <t>MOVE_ICY_WIND</t>
        </is>
      </c>
    </row>
    <row r="3619">
      <c r="A3619" s="3" t="inlineStr">
        <is>
          <t>SPECIES_AURORUS</t>
        </is>
      </c>
      <c r="B3619" s="3" t="inlineStr">
        <is>
          <t>Aurorus</t>
        </is>
      </c>
      <c r="C3619" s="3" t="n">
        <v>16</v>
      </c>
      <c r="D3619" s="3" t="inlineStr">
        <is>
          <t>Round</t>
        </is>
      </c>
      <c r="E3619" s="3" t="inlineStr">
        <is>
          <t>MOVE_ROUND</t>
        </is>
      </c>
    </row>
    <row r="3620">
      <c r="A3620" s="3" t="inlineStr">
        <is>
          <t>SPECIES_AURORUS</t>
        </is>
      </c>
      <c r="B3620" s="3" t="inlineStr">
        <is>
          <t>Aurorus</t>
        </is>
      </c>
      <c r="C3620" s="3" t="n">
        <v>20</v>
      </c>
      <c r="D3620" s="3" t="inlineStr">
        <is>
          <t>Mist</t>
        </is>
      </c>
      <c r="E3620" s="3" t="inlineStr">
        <is>
          <t>MOVE_MIST</t>
        </is>
      </c>
    </row>
    <row r="3621">
      <c r="A3621" s="3" t="inlineStr">
        <is>
          <t>SPECIES_AURORUS</t>
        </is>
      </c>
      <c r="B3621" s="3" t="inlineStr">
        <is>
          <t>Aurorus</t>
        </is>
      </c>
      <c r="C3621" s="3" t="n">
        <v>24</v>
      </c>
      <c r="D3621" s="3" t="inlineStr">
        <is>
          <t>Aurora Beam</t>
        </is>
      </c>
      <c r="E3621" s="3" t="inlineStr">
        <is>
          <t>MOVE_AURORA_BEAM</t>
        </is>
      </c>
    </row>
    <row r="3622">
      <c r="A3622" s="3" t="inlineStr">
        <is>
          <t>SPECIES_AURORUS</t>
        </is>
      </c>
      <c r="B3622" s="3" t="inlineStr">
        <is>
          <t>Aurorus</t>
        </is>
      </c>
      <c r="C3622" s="3" t="n">
        <v>28</v>
      </c>
      <c r="D3622" s="3" t="inlineStr">
        <is>
          <t>Thunder Wave</t>
        </is>
      </c>
      <c r="E3622" s="3" t="inlineStr">
        <is>
          <t>MOVE_THUNDER_WAVE</t>
        </is>
      </c>
    </row>
    <row r="3623">
      <c r="A3623" s="3" t="inlineStr">
        <is>
          <t>SPECIES_AURORUS</t>
        </is>
      </c>
      <c r="B3623" s="3" t="inlineStr">
        <is>
          <t>Aurorus</t>
        </is>
      </c>
      <c r="C3623" s="3" t="n">
        <v>32</v>
      </c>
      <c r="D3623" s="3" t="inlineStr">
        <is>
          <t>Nature Power</t>
        </is>
      </c>
      <c r="E3623" s="3" t="inlineStr">
        <is>
          <t>MOVE_NATURE_POWER</t>
        </is>
      </c>
    </row>
    <row r="3624">
      <c r="A3624" s="3" t="inlineStr">
        <is>
          <t>SPECIES_AURORUS</t>
        </is>
      </c>
      <c r="B3624" s="3" t="inlineStr">
        <is>
          <t>Aurorus</t>
        </is>
      </c>
      <c r="C3624" s="3" t="n">
        <v>36</v>
      </c>
      <c r="D3624" s="3" t="inlineStr">
        <is>
          <t>Freeze-Dry</t>
        </is>
      </c>
      <c r="E3624" s="3" t="inlineStr">
        <is>
          <t>MOVE_FREEZE_DRY</t>
        </is>
      </c>
    </row>
    <row r="3625">
      <c r="A3625" s="3" t="inlineStr">
        <is>
          <t>SPECIES_AURORUS</t>
        </is>
      </c>
      <c r="B3625" s="3" t="inlineStr">
        <is>
          <t>Aurorus</t>
        </is>
      </c>
      <c r="C3625" s="3" t="n">
        <v>42</v>
      </c>
      <c r="D3625" s="3" t="inlineStr">
        <is>
          <t>Ice Beam</t>
        </is>
      </c>
      <c r="E3625" s="3" t="inlineStr">
        <is>
          <t>MOVE_ICE_BEAM</t>
        </is>
      </c>
    </row>
    <row r="3626">
      <c r="A3626" s="3" t="inlineStr">
        <is>
          <t>SPECIES_AURORUS</t>
        </is>
      </c>
      <c r="B3626" s="3" t="inlineStr">
        <is>
          <t>Aurorus</t>
        </is>
      </c>
      <c r="C3626" s="3" t="n">
        <v>48</v>
      </c>
      <c r="D3626" s="3" t="inlineStr">
        <is>
          <t>Light Screen</t>
        </is>
      </c>
      <c r="E3626" s="3" t="inlineStr">
        <is>
          <t>MOVE_LIGHT_SCREEN</t>
        </is>
      </c>
    </row>
    <row r="3627">
      <c r="A3627" s="3" t="inlineStr">
        <is>
          <t>SPECIES_AURORUS</t>
        </is>
      </c>
      <c r="B3627" s="3" t="inlineStr">
        <is>
          <t>Aurorus</t>
        </is>
      </c>
      <c r="C3627" s="3" t="n">
        <v>54</v>
      </c>
      <c r="D3627" s="3" t="inlineStr">
        <is>
          <t>Hail</t>
        </is>
      </c>
      <c r="E3627" s="3" t="inlineStr">
        <is>
          <t>MOVE_HAIL</t>
        </is>
      </c>
    </row>
    <row r="3628">
      <c r="A3628" s="3" t="inlineStr">
        <is>
          <t>SPECIES_AURORUS</t>
        </is>
      </c>
      <c r="B3628" s="3" t="inlineStr">
        <is>
          <t>Aurorus</t>
        </is>
      </c>
      <c r="C3628" s="3" t="n">
        <v>60</v>
      </c>
      <c r="D3628" s="3" t="inlineStr">
        <is>
          <t>Blizzard</t>
        </is>
      </c>
      <c r="E3628" s="3" t="inlineStr">
        <is>
          <t>MOVE_BLIZZARD</t>
        </is>
      </c>
    </row>
    <row r="3629">
      <c r="A3629" s="3" t="inlineStr">
        <is>
          <t>SPECIES_AURORUS</t>
        </is>
      </c>
      <c r="B3629" s="3" t="inlineStr">
        <is>
          <t>Aurorus</t>
        </is>
      </c>
      <c r="C3629" s="3" t="n">
        <v>66</v>
      </c>
      <c r="D3629" s="3" t="inlineStr">
        <is>
          <t>Hyper Beam</t>
        </is>
      </c>
      <c r="E3629" s="3" t="inlineStr">
        <is>
          <t>MOVE_HYPER_BEAM</t>
        </is>
      </c>
    </row>
    <row r="3630">
      <c r="A3630" s="3" t="inlineStr">
        <is>
          <t>SPECIES_CARBINK</t>
        </is>
      </c>
      <c r="B3630" s="3" t="inlineStr">
        <is>
          <t>Carbink</t>
        </is>
      </c>
      <c r="C3630" s="3" t="n">
        <v>1</v>
      </c>
      <c r="D3630" s="3" t="inlineStr">
        <is>
          <t>Tackle</t>
        </is>
      </c>
      <c r="E3630" s="3" t="inlineStr">
        <is>
          <t>MOVE_TACKLE</t>
        </is>
      </c>
    </row>
    <row r="3631">
      <c r="A3631" s="3" t="inlineStr">
        <is>
          <t>SPECIES_CARBINK</t>
        </is>
      </c>
      <c r="B3631" s="3" t="inlineStr">
        <is>
          <t>Carbink</t>
        </is>
      </c>
      <c r="C3631" s="3" t="n">
        <v>1</v>
      </c>
      <c r="D3631" s="3" t="inlineStr">
        <is>
          <t>Harden</t>
        </is>
      </c>
      <c r="E3631" s="3" t="inlineStr">
        <is>
          <t>MOVE_HARDEN</t>
        </is>
      </c>
    </row>
    <row r="3632">
      <c r="A3632" s="3" t="inlineStr">
        <is>
          <t>SPECIES_CARBINK</t>
        </is>
      </c>
      <c r="B3632" s="3" t="inlineStr">
        <is>
          <t>Carbink</t>
        </is>
      </c>
      <c r="C3632" s="3" t="n">
        <v>5</v>
      </c>
      <c r="D3632" s="3" t="inlineStr">
        <is>
          <t>Guard Split</t>
        </is>
      </c>
      <c r="E3632" s="3" t="inlineStr">
        <is>
          <t>MOVE_GUARD_SPLIT</t>
        </is>
      </c>
    </row>
    <row r="3633">
      <c r="A3633" s="3" t="inlineStr">
        <is>
          <t>SPECIES_CARBINK</t>
        </is>
      </c>
      <c r="B3633" s="3" t="inlineStr">
        <is>
          <t>Carbink</t>
        </is>
      </c>
      <c r="C3633" s="3" t="n">
        <v>10</v>
      </c>
      <c r="D3633" s="3" t="inlineStr">
        <is>
          <t>Smack Down</t>
        </is>
      </c>
      <c r="E3633" s="3" t="inlineStr">
        <is>
          <t>MOVE_SMACK_DOWN</t>
        </is>
      </c>
    </row>
    <row r="3634">
      <c r="A3634" s="3" t="inlineStr">
        <is>
          <t>SPECIES_CARBINK</t>
        </is>
      </c>
      <c r="B3634" s="3" t="inlineStr">
        <is>
          <t>Carbink</t>
        </is>
      </c>
      <c r="C3634" s="3" t="n">
        <v>15</v>
      </c>
      <c r="D3634" s="3" t="inlineStr">
        <is>
          <t>Flail</t>
        </is>
      </c>
      <c r="E3634" s="3" t="inlineStr">
        <is>
          <t>MOVE_FLAIL</t>
        </is>
      </c>
    </row>
    <row r="3635">
      <c r="A3635" s="3" t="inlineStr">
        <is>
          <t>SPECIES_CARBINK</t>
        </is>
      </c>
      <c r="B3635" s="3" t="inlineStr">
        <is>
          <t>Carbink</t>
        </is>
      </c>
      <c r="C3635" s="3" t="n">
        <v>20</v>
      </c>
      <c r="D3635" s="3" t="inlineStr">
        <is>
          <t>Ancient Power</t>
        </is>
      </c>
      <c r="E3635" s="3" t="inlineStr">
        <is>
          <t>MOVE_ANCIENT_POWER</t>
        </is>
      </c>
    </row>
    <row r="3636">
      <c r="A3636" s="3" t="inlineStr">
        <is>
          <t>SPECIES_CARBINK</t>
        </is>
      </c>
      <c r="B3636" s="3" t="inlineStr">
        <is>
          <t>Carbink</t>
        </is>
      </c>
      <c r="C3636" s="3" t="n">
        <v>25</v>
      </c>
      <c r="D3636" s="3" t="inlineStr">
        <is>
          <t>Rock Polish</t>
        </is>
      </c>
      <c r="E3636" s="3" t="inlineStr">
        <is>
          <t>MOVE_ROCK_POLISH</t>
        </is>
      </c>
    </row>
    <row r="3637">
      <c r="A3637" s="3" t="inlineStr">
        <is>
          <t>SPECIES_CARBINK</t>
        </is>
      </c>
      <c r="B3637" s="3" t="inlineStr">
        <is>
          <t>Carbink</t>
        </is>
      </c>
      <c r="C3637" s="3" t="n">
        <v>30</v>
      </c>
      <c r="D3637" s="3" t="inlineStr">
        <is>
          <t>Light Screen</t>
        </is>
      </c>
      <c r="E3637" s="3" t="inlineStr">
        <is>
          <t>MOVE_LIGHT_SCREEN</t>
        </is>
      </c>
    </row>
    <row r="3638">
      <c r="A3638" s="3" t="inlineStr">
        <is>
          <t>SPECIES_CARBINK</t>
        </is>
      </c>
      <c r="B3638" s="3" t="inlineStr">
        <is>
          <t>Carbink</t>
        </is>
      </c>
      <c r="C3638" s="3" t="n">
        <v>35</v>
      </c>
      <c r="D3638" s="3" t="inlineStr">
        <is>
          <t>Rock Slide</t>
        </is>
      </c>
      <c r="E3638" s="3" t="inlineStr">
        <is>
          <t>MOVE_ROCK_SLIDE</t>
        </is>
      </c>
    </row>
    <row r="3639">
      <c r="A3639" s="3" t="inlineStr">
        <is>
          <t>SPECIES_CARBINK</t>
        </is>
      </c>
      <c r="B3639" s="3" t="inlineStr">
        <is>
          <t>Carbink</t>
        </is>
      </c>
      <c r="C3639" s="3" t="n">
        <v>40</v>
      </c>
      <c r="D3639" s="3" t="inlineStr">
        <is>
          <t>Skill Swap</t>
        </is>
      </c>
      <c r="E3639" s="3" t="inlineStr">
        <is>
          <t>MOVE_SKILL_SWAP</t>
        </is>
      </c>
    </row>
    <row r="3640">
      <c r="A3640" s="3" t="inlineStr">
        <is>
          <t>SPECIES_CARBINK</t>
        </is>
      </c>
      <c r="B3640" s="3" t="inlineStr">
        <is>
          <t>Carbink</t>
        </is>
      </c>
      <c r="C3640" s="3" t="n">
        <v>45</v>
      </c>
      <c r="D3640" s="3" t="inlineStr">
        <is>
          <t>Power Gem</t>
        </is>
      </c>
      <c r="E3640" s="3" t="inlineStr">
        <is>
          <t>MOVE_POWER_GEM</t>
        </is>
      </c>
    </row>
    <row r="3641">
      <c r="A3641" s="3" t="inlineStr">
        <is>
          <t>SPECIES_CARBINK</t>
        </is>
      </c>
      <c r="B3641" s="3" t="inlineStr">
        <is>
          <t>Carbink</t>
        </is>
      </c>
      <c r="C3641" s="3" t="n">
        <v>50</v>
      </c>
      <c r="D3641" s="3" t="inlineStr">
        <is>
          <t>Stealth Rock</t>
        </is>
      </c>
      <c r="E3641" s="3" t="inlineStr">
        <is>
          <t>MOVE_STEALTH_ROCK</t>
        </is>
      </c>
    </row>
    <row r="3642">
      <c r="A3642" s="3" t="inlineStr">
        <is>
          <t>SPECIES_CARBINK</t>
        </is>
      </c>
      <c r="B3642" s="3" t="inlineStr">
        <is>
          <t>Carbink</t>
        </is>
      </c>
      <c r="C3642" s="3" t="n">
        <v>55</v>
      </c>
      <c r="D3642" s="3" t="inlineStr">
        <is>
          <t>Moonblast</t>
        </is>
      </c>
      <c r="E3642" s="3" t="inlineStr">
        <is>
          <t>MOVE_MOONBLAST</t>
        </is>
      </c>
    </row>
    <row r="3643">
      <c r="A3643" s="3" t="inlineStr">
        <is>
          <t>SPECIES_CARBINK</t>
        </is>
      </c>
      <c r="B3643" s="3" t="inlineStr">
        <is>
          <t>Carbink</t>
        </is>
      </c>
      <c r="C3643" s="3" t="n">
        <v>60</v>
      </c>
      <c r="D3643" s="3" t="inlineStr">
        <is>
          <t>Stone Edge</t>
        </is>
      </c>
      <c r="E3643" s="3" t="inlineStr">
        <is>
          <t>MOVE_STONE_EDGE</t>
        </is>
      </c>
    </row>
    <row r="3644">
      <c r="A3644" s="3" t="inlineStr">
        <is>
          <t>SPECIES_DIANCIE</t>
        </is>
      </c>
      <c r="B3644" s="3" t="inlineStr">
        <is>
          <t>Diancie</t>
        </is>
      </c>
      <c r="C3644" s="3" t="n">
        <v>1</v>
      </c>
      <c r="D3644" s="3" t="inlineStr">
        <is>
          <t>Tackle</t>
        </is>
      </c>
      <c r="E3644" s="3" t="inlineStr">
        <is>
          <t>MOVE_TACKLE</t>
        </is>
      </c>
    </row>
    <row r="3645">
      <c r="A3645" s="3" t="inlineStr">
        <is>
          <t>SPECIES_DIANCIE</t>
        </is>
      </c>
      <c r="B3645" s="3" t="inlineStr">
        <is>
          <t>Diancie</t>
        </is>
      </c>
      <c r="C3645" s="3" t="n">
        <v>1</v>
      </c>
      <c r="D3645" s="3" t="inlineStr">
        <is>
          <t>Harden</t>
        </is>
      </c>
      <c r="E3645" s="3" t="inlineStr">
        <is>
          <t>MOVE_HARDEN</t>
        </is>
      </c>
    </row>
    <row r="3646">
      <c r="A3646" s="3" t="inlineStr">
        <is>
          <t>SPECIES_DIANCIE</t>
        </is>
      </c>
      <c r="B3646" s="3" t="inlineStr">
        <is>
          <t>Diancie</t>
        </is>
      </c>
      <c r="C3646" s="3" t="n">
        <v>1</v>
      </c>
      <c r="D3646" s="3" t="inlineStr">
        <is>
          <t>Diamond Storm</t>
        </is>
      </c>
      <c r="E3646" s="3" t="inlineStr">
        <is>
          <t>MOVE_DIAMOND_STORM</t>
        </is>
      </c>
    </row>
    <row r="3647">
      <c r="A3647" s="3" t="inlineStr">
        <is>
          <t>SPECIES_DIANCIE</t>
        </is>
      </c>
      <c r="B3647" s="3" t="inlineStr">
        <is>
          <t>Diancie</t>
        </is>
      </c>
      <c r="C3647" s="3" t="n">
        <v>7</v>
      </c>
      <c r="D3647" s="3" t="inlineStr">
        <is>
          <t>Guard Split</t>
        </is>
      </c>
      <c r="E3647" s="3" t="inlineStr">
        <is>
          <t>MOVE_GUARD_SPLIT</t>
        </is>
      </c>
    </row>
    <row r="3648">
      <c r="A3648" s="3" t="inlineStr">
        <is>
          <t>SPECIES_DIANCIE</t>
        </is>
      </c>
      <c r="B3648" s="3" t="inlineStr">
        <is>
          <t>Diancie</t>
        </is>
      </c>
      <c r="C3648" s="3" t="n">
        <v>14</v>
      </c>
      <c r="D3648" s="3" t="inlineStr">
        <is>
          <t>Smack Down</t>
        </is>
      </c>
      <c r="E3648" s="3" t="inlineStr">
        <is>
          <t>MOVE_SMACK_DOWN</t>
        </is>
      </c>
    </row>
    <row r="3649">
      <c r="A3649" s="3" t="inlineStr">
        <is>
          <t>SPECIES_DIANCIE</t>
        </is>
      </c>
      <c r="B3649" s="3" t="inlineStr">
        <is>
          <t>Diancie</t>
        </is>
      </c>
      <c r="C3649" s="3" t="n">
        <v>21</v>
      </c>
      <c r="D3649" s="3" t="inlineStr">
        <is>
          <t>Flail</t>
        </is>
      </c>
      <c r="E3649" s="3" t="inlineStr">
        <is>
          <t>MOVE_FLAIL</t>
        </is>
      </c>
    </row>
    <row r="3650">
      <c r="A3650" s="3" t="inlineStr">
        <is>
          <t>SPECIES_DIANCIE</t>
        </is>
      </c>
      <c r="B3650" s="3" t="inlineStr">
        <is>
          <t>Diancie</t>
        </is>
      </c>
      <c r="C3650" s="3" t="n">
        <v>28</v>
      </c>
      <c r="D3650" s="3" t="inlineStr">
        <is>
          <t>Ancient Power</t>
        </is>
      </c>
      <c r="E3650" s="3" t="inlineStr">
        <is>
          <t>MOVE_ANCIENT_POWER</t>
        </is>
      </c>
    </row>
    <row r="3651">
      <c r="A3651" s="3" t="inlineStr">
        <is>
          <t>SPECIES_DIANCIE</t>
        </is>
      </c>
      <c r="B3651" s="3" t="inlineStr">
        <is>
          <t>Diancie</t>
        </is>
      </c>
      <c r="C3651" s="3" t="n">
        <v>35</v>
      </c>
      <c r="D3651" s="3" t="inlineStr">
        <is>
          <t>Rock Polish</t>
        </is>
      </c>
      <c r="E3651" s="3" t="inlineStr">
        <is>
          <t>MOVE_ROCK_POLISH</t>
        </is>
      </c>
    </row>
    <row r="3652">
      <c r="A3652" s="3" t="inlineStr">
        <is>
          <t>SPECIES_DIANCIE</t>
        </is>
      </c>
      <c r="B3652" s="3" t="inlineStr">
        <is>
          <t>Diancie</t>
        </is>
      </c>
      <c r="C3652" s="3" t="n">
        <v>42</v>
      </c>
      <c r="D3652" s="3" t="inlineStr">
        <is>
          <t>Light Screen</t>
        </is>
      </c>
      <c r="E3652" s="3" t="inlineStr">
        <is>
          <t>MOVE_LIGHT_SCREEN</t>
        </is>
      </c>
    </row>
    <row r="3653">
      <c r="A3653" s="3" t="inlineStr">
        <is>
          <t>SPECIES_DIANCIE</t>
        </is>
      </c>
      <c r="B3653" s="3" t="inlineStr">
        <is>
          <t>Diancie</t>
        </is>
      </c>
      <c r="C3653" s="3" t="n">
        <v>49</v>
      </c>
      <c r="D3653" s="3" t="inlineStr">
        <is>
          <t>Rock Slide</t>
        </is>
      </c>
      <c r="E3653" s="3" t="inlineStr">
        <is>
          <t>MOVE_ROCK_SLIDE</t>
        </is>
      </c>
    </row>
    <row r="3654">
      <c r="A3654" s="3" t="inlineStr">
        <is>
          <t>SPECIES_DIANCIE</t>
        </is>
      </c>
      <c r="B3654" s="3" t="inlineStr">
        <is>
          <t>Diancie</t>
        </is>
      </c>
      <c r="C3654" s="3" t="n">
        <v>56</v>
      </c>
      <c r="D3654" s="3" t="inlineStr">
        <is>
          <t>Skill Swap</t>
        </is>
      </c>
      <c r="E3654" s="3" t="inlineStr">
        <is>
          <t>MOVE_SKILL_SWAP</t>
        </is>
      </c>
    </row>
    <row r="3655">
      <c r="A3655" s="3" t="inlineStr">
        <is>
          <t>SPECIES_DIANCIE</t>
        </is>
      </c>
      <c r="B3655" s="3" t="inlineStr">
        <is>
          <t>Diancie</t>
        </is>
      </c>
      <c r="C3655" s="3" t="n">
        <v>63</v>
      </c>
      <c r="D3655" s="3" t="inlineStr">
        <is>
          <t>Power Gem</t>
        </is>
      </c>
      <c r="E3655" s="3" t="inlineStr">
        <is>
          <t>MOVE_POWER_GEM</t>
        </is>
      </c>
    </row>
    <row r="3656">
      <c r="A3656" s="3" t="inlineStr">
        <is>
          <t>SPECIES_DIANCIE</t>
        </is>
      </c>
      <c r="B3656" s="3" t="inlineStr">
        <is>
          <t>Diancie</t>
        </is>
      </c>
      <c r="C3656" s="3" t="n">
        <v>70</v>
      </c>
      <c r="D3656" s="3" t="inlineStr">
        <is>
          <t>Stealth Rock</t>
        </is>
      </c>
      <c r="E3656" s="3" t="inlineStr">
        <is>
          <t>MOVE_STEALTH_ROCK</t>
        </is>
      </c>
    </row>
    <row r="3657">
      <c r="A3657" s="3" t="inlineStr">
        <is>
          <t>SPECIES_DIANCIE</t>
        </is>
      </c>
      <c r="B3657" s="3" t="inlineStr">
        <is>
          <t>Diancie</t>
        </is>
      </c>
      <c r="C3657" s="3" t="n">
        <v>77</v>
      </c>
      <c r="D3657" s="3" t="inlineStr">
        <is>
          <t>Moonblast</t>
        </is>
      </c>
      <c r="E3657" s="3" t="inlineStr">
        <is>
          <t>MOVE_MOONBLAST</t>
        </is>
      </c>
    </row>
    <row r="3658">
      <c r="A3658" s="3" t="inlineStr">
        <is>
          <t>SPECIES_DIANCIE</t>
        </is>
      </c>
      <c r="B3658" s="3" t="inlineStr">
        <is>
          <t>Diancie</t>
        </is>
      </c>
      <c r="C3658" s="3" t="n">
        <v>84</v>
      </c>
      <c r="D3658" s="3" t="inlineStr">
        <is>
          <t>Stone Edge</t>
        </is>
      </c>
      <c r="E3658" s="3" t="inlineStr">
        <is>
          <t>MOVE_STONE_EDGE</t>
        </is>
      </c>
    </row>
    <row r="3659">
      <c r="A3659" s="3" t="inlineStr">
        <is>
          <t>SPECIES_PHANTUMP</t>
        </is>
      </c>
      <c r="B3659" s="3" t="inlineStr">
        <is>
          <t>Phantump</t>
        </is>
      </c>
      <c r="C3659" s="3" t="n">
        <v>1</v>
      </c>
      <c r="D3659" s="3" t="inlineStr">
        <is>
          <t>Tackle</t>
        </is>
      </c>
      <c r="E3659" s="3" t="inlineStr">
        <is>
          <t>MOVE_TACKLE</t>
        </is>
      </c>
    </row>
    <row r="3660">
      <c r="A3660" s="3" t="inlineStr">
        <is>
          <t>SPECIES_PHANTUMP</t>
        </is>
      </c>
      <c r="B3660" s="3" t="inlineStr">
        <is>
          <t>Phantump</t>
        </is>
      </c>
      <c r="C3660" s="3" t="n">
        <v>1</v>
      </c>
      <c r="D3660" s="3" t="inlineStr">
        <is>
          <t>Astonish</t>
        </is>
      </c>
      <c r="E3660" s="3" t="inlineStr">
        <is>
          <t>MOVE_ASTONISH</t>
        </is>
      </c>
    </row>
    <row r="3661">
      <c r="A3661" s="3" t="inlineStr">
        <is>
          <t>SPECIES_PHANTUMP</t>
        </is>
      </c>
      <c r="B3661" s="3" t="inlineStr">
        <is>
          <t>Phantump</t>
        </is>
      </c>
      <c r="C3661" s="3" t="n">
        <v>4</v>
      </c>
      <c r="D3661" s="3" t="inlineStr">
        <is>
          <t>Branch Poke</t>
        </is>
      </c>
      <c r="E3661" s="3" t="inlineStr">
        <is>
          <t>MOVE_BRANCH_POKE</t>
        </is>
      </c>
    </row>
    <row r="3662">
      <c r="A3662" s="3" t="inlineStr">
        <is>
          <t>SPECIES_PHANTUMP</t>
        </is>
      </c>
      <c r="B3662" s="3" t="inlineStr">
        <is>
          <t>Phantump</t>
        </is>
      </c>
      <c r="C3662" s="3" t="n">
        <v>8</v>
      </c>
      <c r="D3662" s="3" t="inlineStr">
        <is>
          <t>Leech Seed</t>
        </is>
      </c>
      <c r="E3662" s="3" t="inlineStr">
        <is>
          <t>MOVE_LEECH_SEED</t>
        </is>
      </c>
    </row>
    <row r="3663">
      <c r="A3663" s="3" t="inlineStr">
        <is>
          <t>SPECIES_PHANTUMP</t>
        </is>
      </c>
      <c r="B3663" s="3" t="inlineStr">
        <is>
          <t>Phantump</t>
        </is>
      </c>
      <c r="C3663" s="3" t="n">
        <v>12</v>
      </c>
      <c r="D3663" s="3" t="inlineStr">
        <is>
          <t>Confuse Ray</t>
        </is>
      </c>
      <c r="E3663" s="3" t="inlineStr">
        <is>
          <t>MOVE_CONFUSE_RAY</t>
        </is>
      </c>
    </row>
    <row r="3664">
      <c r="A3664" s="3" t="inlineStr">
        <is>
          <t>SPECIES_PHANTUMP</t>
        </is>
      </c>
      <c r="B3664" s="3" t="inlineStr">
        <is>
          <t>Phantump</t>
        </is>
      </c>
      <c r="C3664" s="3" t="n">
        <v>16</v>
      </c>
      <c r="D3664" s="3" t="inlineStr">
        <is>
          <t>Will-O-Wisp</t>
        </is>
      </c>
      <c r="E3664" s="3" t="inlineStr">
        <is>
          <t>MOVE_WILL_O_WISP</t>
        </is>
      </c>
    </row>
    <row r="3665">
      <c r="A3665" s="3" t="inlineStr">
        <is>
          <t>SPECIES_PHANTUMP</t>
        </is>
      </c>
      <c r="B3665" s="3" t="inlineStr">
        <is>
          <t>Phantump</t>
        </is>
      </c>
      <c r="C3665" s="3" t="n">
        <v>20</v>
      </c>
      <c r="D3665" s="3" t="inlineStr">
        <is>
          <t>Hex</t>
        </is>
      </c>
      <c r="E3665" s="3" t="inlineStr">
        <is>
          <t>MOVE_HEX</t>
        </is>
      </c>
    </row>
    <row r="3666">
      <c r="A3666" s="3" t="inlineStr">
        <is>
          <t>SPECIES_PHANTUMP</t>
        </is>
      </c>
      <c r="B3666" s="3" t="inlineStr">
        <is>
          <t>Phantump</t>
        </is>
      </c>
      <c r="C3666" s="3" t="n">
        <v>24</v>
      </c>
      <c r="D3666" s="3" t="inlineStr">
        <is>
          <t>Growth</t>
        </is>
      </c>
      <c r="E3666" s="3" t="inlineStr">
        <is>
          <t>MOVE_GROWTH</t>
        </is>
      </c>
    </row>
    <row r="3667">
      <c r="A3667" s="3" t="inlineStr">
        <is>
          <t>SPECIES_PHANTUMP</t>
        </is>
      </c>
      <c r="B3667" s="3" t="inlineStr">
        <is>
          <t>Phantump</t>
        </is>
      </c>
      <c r="C3667" s="3" t="n">
        <v>28</v>
      </c>
      <c r="D3667" s="3" t="inlineStr">
        <is>
          <t>Horn Leech</t>
        </is>
      </c>
      <c r="E3667" s="3" t="inlineStr">
        <is>
          <t>MOVE_HORN_LEECH</t>
        </is>
      </c>
    </row>
    <row r="3668">
      <c r="A3668" s="3" t="inlineStr">
        <is>
          <t>SPECIES_PHANTUMP</t>
        </is>
      </c>
      <c r="B3668" s="3" t="inlineStr">
        <is>
          <t>Phantump</t>
        </is>
      </c>
      <c r="C3668" s="3" t="n">
        <v>32</v>
      </c>
      <c r="D3668" s="3" t="inlineStr">
        <is>
          <t>Curse</t>
        </is>
      </c>
      <c r="E3668" s="3" t="inlineStr">
        <is>
          <t>MOVE_CURSE</t>
        </is>
      </c>
    </row>
    <row r="3669">
      <c r="A3669" s="3" t="inlineStr">
        <is>
          <t>SPECIES_PHANTUMP</t>
        </is>
      </c>
      <c r="B3669" s="3" t="inlineStr">
        <is>
          <t>Phantump</t>
        </is>
      </c>
      <c r="C3669" s="3" t="n">
        <v>36</v>
      </c>
      <c r="D3669" s="3" t="inlineStr">
        <is>
          <t>Phantom Force</t>
        </is>
      </c>
      <c r="E3669" s="3" t="inlineStr">
        <is>
          <t>MOVE_PHANTOM_FORCE</t>
        </is>
      </c>
    </row>
    <row r="3670">
      <c r="A3670" s="3" t="inlineStr">
        <is>
          <t>SPECIES_PHANTUMP</t>
        </is>
      </c>
      <c r="B3670" s="3" t="inlineStr">
        <is>
          <t>Phantump</t>
        </is>
      </c>
      <c r="C3670" s="3" t="n">
        <v>40</v>
      </c>
      <c r="D3670" s="3" t="inlineStr">
        <is>
          <t>Ingrain</t>
        </is>
      </c>
      <c r="E3670" s="3" t="inlineStr">
        <is>
          <t>MOVE_INGRAIN</t>
        </is>
      </c>
    </row>
    <row r="3671">
      <c r="A3671" s="3" t="inlineStr">
        <is>
          <t>SPECIES_PHANTUMP</t>
        </is>
      </c>
      <c r="B3671" s="3" t="inlineStr">
        <is>
          <t>Phantump</t>
        </is>
      </c>
      <c r="C3671" s="3" t="n">
        <v>44</v>
      </c>
      <c r="D3671" s="3" t="inlineStr">
        <is>
          <t>Wood Hammer</t>
        </is>
      </c>
      <c r="E3671" s="3" t="inlineStr">
        <is>
          <t>MOVE_WOOD_HAMMER</t>
        </is>
      </c>
    </row>
    <row r="3672">
      <c r="A3672" s="3" t="inlineStr">
        <is>
          <t>SPECIES_PHANTUMP</t>
        </is>
      </c>
      <c r="B3672" s="3" t="inlineStr">
        <is>
          <t>Phantump</t>
        </is>
      </c>
      <c r="C3672" s="3" t="n">
        <v>48</v>
      </c>
      <c r="D3672" s="3" t="inlineStr">
        <is>
          <t>Destiny Bond</t>
        </is>
      </c>
      <c r="E3672" s="3" t="inlineStr">
        <is>
          <t>MOVE_DESTINY_BOND</t>
        </is>
      </c>
    </row>
    <row r="3673">
      <c r="A3673" s="3" t="inlineStr">
        <is>
          <t>SPECIES_PHANTUMP</t>
        </is>
      </c>
      <c r="B3673" s="3" t="inlineStr">
        <is>
          <t>Phantump</t>
        </is>
      </c>
      <c r="C3673" s="3" t="n">
        <v>52</v>
      </c>
      <c r="D3673" s="3" t="inlineStr">
        <is>
          <t>Forest's Curse</t>
        </is>
      </c>
      <c r="E3673" s="3" t="inlineStr">
        <is>
          <t>MOVE_FORESTS_CURSE</t>
        </is>
      </c>
    </row>
    <row r="3674">
      <c r="A3674" s="3" t="inlineStr">
        <is>
          <t>SPECIES_TREVENANT</t>
        </is>
      </c>
      <c r="B3674" s="3" t="inlineStr">
        <is>
          <t>Trevenant</t>
        </is>
      </c>
      <c r="C3674" s="3" t="n">
        <v>0</v>
      </c>
      <c r="D3674" s="3" t="inlineStr">
        <is>
          <t>Shadow Claw</t>
        </is>
      </c>
      <c r="E3674" s="3" t="inlineStr">
        <is>
          <t>MOVE_SHADOW_CLAW</t>
        </is>
      </c>
    </row>
    <row r="3675">
      <c r="A3675" s="3" t="inlineStr">
        <is>
          <t>SPECIES_TREVENANT</t>
        </is>
      </c>
      <c r="B3675" s="3" t="inlineStr">
        <is>
          <t>Trevenant</t>
        </is>
      </c>
      <c r="C3675" s="3" t="n">
        <v>1</v>
      </c>
      <c r="D3675" s="3" t="inlineStr">
        <is>
          <t>Tackle</t>
        </is>
      </c>
      <c r="E3675" s="3" t="inlineStr">
        <is>
          <t>MOVE_TACKLE</t>
        </is>
      </c>
    </row>
    <row r="3676">
      <c r="A3676" s="3" t="inlineStr">
        <is>
          <t>SPECIES_TREVENANT</t>
        </is>
      </c>
      <c r="B3676" s="3" t="inlineStr">
        <is>
          <t>Trevenant</t>
        </is>
      </c>
      <c r="C3676" s="3" t="n">
        <v>1</v>
      </c>
      <c r="D3676" s="3" t="inlineStr">
        <is>
          <t>Leech Seed</t>
        </is>
      </c>
      <c r="E3676" s="3" t="inlineStr">
        <is>
          <t>MOVE_LEECH_SEED</t>
        </is>
      </c>
    </row>
    <row r="3677">
      <c r="A3677" s="3" t="inlineStr">
        <is>
          <t>SPECIES_TREVENANT</t>
        </is>
      </c>
      <c r="B3677" s="3" t="inlineStr">
        <is>
          <t>Trevenant</t>
        </is>
      </c>
      <c r="C3677" s="3" t="n">
        <v>1</v>
      </c>
      <c r="D3677" s="3" t="inlineStr">
        <is>
          <t>Astonish</t>
        </is>
      </c>
      <c r="E3677" s="3" t="inlineStr">
        <is>
          <t>MOVE_ASTONISH</t>
        </is>
      </c>
    </row>
    <row r="3678">
      <c r="A3678" s="3" t="inlineStr">
        <is>
          <t>SPECIES_TREVENANT</t>
        </is>
      </c>
      <c r="B3678" s="3" t="inlineStr">
        <is>
          <t>Trevenant</t>
        </is>
      </c>
      <c r="C3678" s="3" t="n">
        <v>1</v>
      </c>
      <c r="D3678" s="3" t="inlineStr">
        <is>
          <t>Branch Poke</t>
        </is>
      </c>
      <c r="E3678" s="3" t="inlineStr">
        <is>
          <t>MOVE_BRANCH_POKE</t>
        </is>
      </c>
    </row>
    <row r="3679">
      <c r="A3679" s="3" t="inlineStr">
        <is>
          <t>SPECIES_TREVENANT</t>
        </is>
      </c>
      <c r="B3679" s="3" t="inlineStr">
        <is>
          <t>Trevenant</t>
        </is>
      </c>
      <c r="C3679" s="3" t="n">
        <v>12</v>
      </c>
      <c r="D3679" s="3" t="inlineStr">
        <is>
          <t>Confuse Ray</t>
        </is>
      </c>
      <c r="E3679" s="3" t="inlineStr">
        <is>
          <t>MOVE_CONFUSE_RAY</t>
        </is>
      </c>
    </row>
    <row r="3680">
      <c r="A3680" s="3" t="inlineStr">
        <is>
          <t>SPECIES_TREVENANT</t>
        </is>
      </c>
      <c r="B3680" s="3" t="inlineStr">
        <is>
          <t>Trevenant</t>
        </is>
      </c>
      <c r="C3680" s="3" t="n">
        <v>16</v>
      </c>
      <c r="D3680" s="3" t="inlineStr">
        <is>
          <t>Will-O-Wisp</t>
        </is>
      </c>
      <c r="E3680" s="3" t="inlineStr">
        <is>
          <t>MOVE_WILL_O_WISP</t>
        </is>
      </c>
    </row>
    <row r="3681">
      <c r="A3681" s="3" t="inlineStr">
        <is>
          <t>SPECIES_TREVENANT</t>
        </is>
      </c>
      <c r="B3681" s="3" t="inlineStr">
        <is>
          <t>Trevenant</t>
        </is>
      </c>
      <c r="C3681" s="3" t="n">
        <v>20</v>
      </c>
      <c r="D3681" s="3" t="inlineStr">
        <is>
          <t>Hex</t>
        </is>
      </c>
      <c r="E3681" s="3" t="inlineStr">
        <is>
          <t>MOVE_HEX</t>
        </is>
      </c>
    </row>
    <row r="3682">
      <c r="A3682" s="3" t="inlineStr">
        <is>
          <t>SPECIES_TREVENANT</t>
        </is>
      </c>
      <c r="B3682" s="3" t="inlineStr">
        <is>
          <t>Trevenant</t>
        </is>
      </c>
      <c r="C3682" s="3" t="n">
        <v>24</v>
      </c>
      <c r="D3682" s="3" t="inlineStr">
        <is>
          <t>Growth</t>
        </is>
      </c>
      <c r="E3682" s="3" t="inlineStr">
        <is>
          <t>MOVE_GROWTH</t>
        </is>
      </c>
    </row>
    <row r="3683">
      <c r="A3683" s="3" t="inlineStr">
        <is>
          <t>SPECIES_TREVENANT</t>
        </is>
      </c>
      <c r="B3683" s="3" t="inlineStr">
        <is>
          <t>Trevenant</t>
        </is>
      </c>
      <c r="C3683" s="3" t="n">
        <v>28</v>
      </c>
      <c r="D3683" s="3" t="inlineStr">
        <is>
          <t>Horn Leech</t>
        </is>
      </c>
      <c r="E3683" s="3" t="inlineStr">
        <is>
          <t>MOVE_HORN_LEECH</t>
        </is>
      </c>
    </row>
    <row r="3684">
      <c r="A3684" s="3" t="inlineStr">
        <is>
          <t>SPECIES_TREVENANT</t>
        </is>
      </c>
      <c r="B3684" s="3" t="inlineStr">
        <is>
          <t>Trevenant</t>
        </is>
      </c>
      <c r="C3684" s="3" t="n">
        <v>32</v>
      </c>
      <c r="D3684" s="3" t="inlineStr">
        <is>
          <t>Curse</t>
        </is>
      </c>
      <c r="E3684" s="3" t="inlineStr">
        <is>
          <t>MOVE_CURSE</t>
        </is>
      </c>
    </row>
    <row r="3685">
      <c r="A3685" s="3" t="inlineStr">
        <is>
          <t>SPECIES_TREVENANT</t>
        </is>
      </c>
      <c r="B3685" s="3" t="inlineStr">
        <is>
          <t>Trevenant</t>
        </is>
      </c>
      <c r="C3685" s="3" t="n">
        <v>36</v>
      </c>
      <c r="D3685" s="3" t="inlineStr">
        <is>
          <t>Phantom Force</t>
        </is>
      </c>
      <c r="E3685" s="3" t="inlineStr">
        <is>
          <t>MOVE_PHANTOM_FORCE</t>
        </is>
      </c>
    </row>
    <row r="3686">
      <c r="A3686" s="3" t="inlineStr">
        <is>
          <t>SPECIES_TREVENANT</t>
        </is>
      </c>
      <c r="B3686" s="3" t="inlineStr">
        <is>
          <t>Trevenant</t>
        </is>
      </c>
      <c r="C3686" s="3" t="n">
        <v>40</v>
      </c>
      <c r="D3686" s="3" t="inlineStr">
        <is>
          <t>Ingrain</t>
        </is>
      </c>
      <c r="E3686" s="3" t="inlineStr">
        <is>
          <t>MOVE_INGRAIN</t>
        </is>
      </c>
    </row>
    <row r="3687">
      <c r="A3687" s="3" t="inlineStr">
        <is>
          <t>SPECIES_TREVENANT</t>
        </is>
      </c>
      <c r="B3687" s="3" t="inlineStr">
        <is>
          <t>Trevenant</t>
        </is>
      </c>
      <c r="C3687" s="3" t="n">
        <v>44</v>
      </c>
      <c r="D3687" s="3" t="inlineStr">
        <is>
          <t>Wood Hammer</t>
        </is>
      </c>
      <c r="E3687" s="3" t="inlineStr">
        <is>
          <t>MOVE_WOOD_HAMMER</t>
        </is>
      </c>
    </row>
    <row r="3688">
      <c r="A3688" s="3" t="inlineStr">
        <is>
          <t>SPECIES_TREVENANT</t>
        </is>
      </c>
      <c r="B3688" s="3" t="inlineStr">
        <is>
          <t>Trevenant</t>
        </is>
      </c>
      <c r="C3688" s="3" t="n">
        <v>48</v>
      </c>
      <c r="D3688" s="3" t="inlineStr">
        <is>
          <t>Destiny Bond</t>
        </is>
      </c>
      <c r="E3688" s="3" t="inlineStr">
        <is>
          <t>MOVE_DESTINY_BOND</t>
        </is>
      </c>
    </row>
    <row r="3689">
      <c r="A3689" s="3" t="inlineStr">
        <is>
          <t>SPECIES_TREVENANT</t>
        </is>
      </c>
      <c r="B3689" s="3" t="inlineStr">
        <is>
          <t>Trevenant</t>
        </is>
      </c>
      <c r="C3689" s="3" t="n">
        <v>52</v>
      </c>
      <c r="D3689" s="3" t="inlineStr">
        <is>
          <t>Forest's Curse</t>
        </is>
      </c>
      <c r="E3689" s="3" t="inlineStr">
        <is>
          <t>MOVE_FORESTS_CURSE</t>
        </is>
      </c>
    </row>
    <row r="3690">
      <c r="A3690" s="3" t="inlineStr">
        <is>
          <t>SPECIES_NOIBAT</t>
        </is>
      </c>
      <c r="B3690" s="3" t="inlineStr">
        <is>
          <t>Noibat</t>
        </is>
      </c>
      <c r="C3690" s="3" t="n">
        <v>1</v>
      </c>
      <c r="D3690" s="3" t="inlineStr">
        <is>
          <t>Tackle</t>
        </is>
      </c>
      <c r="E3690" s="3" t="inlineStr">
        <is>
          <t>MOVE_TACKLE</t>
        </is>
      </c>
    </row>
    <row r="3691">
      <c r="A3691" s="3" t="inlineStr">
        <is>
          <t>SPECIES_NOIBAT</t>
        </is>
      </c>
      <c r="B3691" s="3" t="inlineStr">
        <is>
          <t>Noibat</t>
        </is>
      </c>
      <c r="C3691" s="3" t="n">
        <v>1</v>
      </c>
      <c r="D3691" s="3" t="inlineStr">
        <is>
          <t>Absorb</t>
        </is>
      </c>
      <c r="E3691" s="3" t="inlineStr">
        <is>
          <t>MOVE_ABSORB</t>
        </is>
      </c>
    </row>
    <row r="3692">
      <c r="A3692" s="3" t="inlineStr">
        <is>
          <t>SPECIES_NOIBAT</t>
        </is>
      </c>
      <c r="B3692" s="3" t="inlineStr">
        <is>
          <t>Noibat</t>
        </is>
      </c>
      <c r="C3692" s="3" t="n">
        <v>4</v>
      </c>
      <c r="D3692" s="3" t="inlineStr">
        <is>
          <t>Gust</t>
        </is>
      </c>
      <c r="E3692" s="3" t="inlineStr">
        <is>
          <t>MOVE_GUST</t>
        </is>
      </c>
    </row>
    <row r="3693">
      <c r="A3693" s="3" t="inlineStr">
        <is>
          <t>SPECIES_NOIBAT</t>
        </is>
      </c>
      <c r="B3693" s="3" t="inlineStr">
        <is>
          <t>Noibat</t>
        </is>
      </c>
      <c r="C3693" s="3" t="n">
        <v>8</v>
      </c>
      <c r="D3693" s="3" t="inlineStr">
        <is>
          <t>Supersonic</t>
        </is>
      </c>
      <c r="E3693" s="3" t="inlineStr">
        <is>
          <t>MOVE_SUPERSONIC</t>
        </is>
      </c>
    </row>
    <row r="3694">
      <c r="A3694" s="3" t="inlineStr">
        <is>
          <t>SPECIES_NOIBAT</t>
        </is>
      </c>
      <c r="B3694" s="3" t="inlineStr">
        <is>
          <t>Noibat</t>
        </is>
      </c>
      <c r="C3694" s="3" t="n">
        <v>12</v>
      </c>
      <c r="D3694" s="3" t="inlineStr">
        <is>
          <t>Double Team</t>
        </is>
      </c>
      <c r="E3694" s="3" t="inlineStr">
        <is>
          <t>MOVE_DOUBLE_TEAM</t>
        </is>
      </c>
    </row>
    <row r="3695">
      <c r="A3695" s="3" t="inlineStr">
        <is>
          <t>SPECIES_NOIBAT</t>
        </is>
      </c>
      <c r="B3695" s="3" t="inlineStr">
        <is>
          <t>Noibat</t>
        </is>
      </c>
      <c r="C3695" s="3" t="n">
        <v>16</v>
      </c>
      <c r="D3695" s="3" t="inlineStr">
        <is>
          <t>Wing Attack</t>
        </is>
      </c>
      <c r="E3695" s="3" t="inlineStr">
        <is>
          <t>MOVE_WING_ATTACK</t>
        </is>
      </c>
    </row>
    <row r="3696">
      <c r="A3696" s="3" t="inlineStr">
        <is>
          <t>SPECIES_NOIBAT</t>
        </is>
      </c>
      <c r="B3696" s="3" t="inlineStr">
        <is>
          <t>Noibat</t>
        </is>
      </c>
      <c r="C3696" s="3" t="n">
        <v>20</v>
      </c>
      <c r="D3696" s="3" t="inlineStr">
        <is>
          <t>Bite</t>
        </is>
      </c>
      <c r="E3696" s="3" t="inlineStr">
        <is>
          <t>MOVE_BITE</t>
        </is>
      </c>
    </row>
    <row r="3697">
      <c r="A3697" s="3" t="inlineStr">
        <is>
          <t>SPECIES_NOIBAT</t>
        </is>
      </c>
      <c r="B3697" s="3" t="inlineStr">
        <is>
          <t>Noibat</t>
        </is>
      </c>
      <c r="C3697" s="3" t="n">
        <v>24</v>
      </c>
      <c r="D3697" s="3" t="inlineStr">
        <is>
          <t>Air Cutter</t>
        </is>
      </c>
      <c r="E3697" s="3" t="inlineStr">
        <is>
          <t>MOVE_AIR_CUTTER</t>
        </is>
      </c>
    </row>
    <row r="3698">
      <c r="A3698" s="3" t="inlineStr">
        <is>
          <t>SPECIES_NOIBAT</t>
        </is>
      </c>
      <c r="B3698" s="3" t="inlineStr">
        <is>
          <t>Noibat</t>
        </is>
      </c>
      <c r="C3698" s="3" t="n">
        <v>28</v>
      </c>
      <c r="D3698" s="3" t="inlineStr">
        <is>
          <t>Whirlwind</t>
        </is>
      </c>
      <c r="E3698" s="3" t="inlineStr">
        <is>
          <t>MOVE_WHIRLWIND</t>
        </is>
      </c>
    </row>
    <row r="3699">
      <c r="A3699" s="3" t="inlineStr">
        <is>
          <t>SPECIES_NOIBAT</t>
        </is>
      </c>
      <c r="B3699" s="3" t="inlineStr">
        <is>
          <t>Noibat</t>
        </is>
      </c>
      <c r="C3699" s="3" t="n">
        <v>32</v>
      </c>
      <c r="D3699" s="3" t="inlineStr">
        <is>
          <t>Super Fang</t>
        </is>
      </c>
      <c r="E3699" s="3" t="inlineStr">
        <is>
          <t>MOVE_SUPER_FANG</t>
        </is>
      </c>
    </row>
    <row r="3700">
      <c r="A3700" s="3" t="inlineStr">
        <is>
          <t>SPECIES_NOIBAT</t>
        </is>
      </c>
      <c r="B3700" s="3" t="inlineStr">
        <is>
          <t>Noibat</t>
        </is>
      </c>
      <c r="C3700" s="3" t="n">
        <v>36</v>
      </c>
      <c r="D3700" s="3" t="inlineStr">
        <is>
          <t>Air Slash</t>
        </is>
      </c>
      <c r="E3700" s="3" t="inlineStr">
        <is>
          <t>MOVE_AIR_SLASH</t>
        </is>
      </c>
    </row>
    <row r="3701">
      <c r="A3701" s="3" t="inlineStr">
        <is>
          <t>SPECIES_NOIBAT</t>
        </is>
      </c>
      <c r="B3701" s="3" t="inlineStr">
        <is>
          <t>Noibat</t>
        </is>
      </c>
      <c r="C3701" s="3" t="n">
        <v>40</v>
      </c>
      <c r="D3701" s="3" t="inlineStr">
        <is>
          <t>Screech</t>
        </is>
      </c>
      <c r="E3701" s="3" t="inlineStr">
        <is>
          <t>MOVE_SCREECH</t>
        </is>
      </c>
    </row>
    <row r="3702">
      <c r="A3702" s="3" t="inlineStr">
        <is>
          <t>SPECIES_NOIBAT</t>
        </is>
      </c>
      <c r="B3702" s="3" t="inlineStr">
        <is>
          <t>Noibat</t>
        </is>
      </c>
      <c r="C3702" s="3" t="n">
        <v>44</v>
      </c>
      <c r="D3702" s="3" t="inlineStr">
        <is>
          <t>Roost</t>
        </is>
      </c>
      <c r="E3702" s="3" t="inlineStr">
        <is>
          <t>MOVE_ROOST</t>
        </is>
      </c>
    </row>
    <row r="3703">
      <c r="A3703" s="3" t="inlineStr">
        <is>
          <t>SPECIES_NOIBAT</t>
        </is>
      </c>
      <c r="B3703" s="3" t="inlineStr">
        <is>
          <t>Noibat</t>
        </is>
      </c>
      <c r="C3703" s="3" t="n">
        <v>49</v>
      </c>
      <c r="D3703" s="3" t="inlineStr">
        <is>
          <t>Tailwind</t>
        </is>
      </c>
      <c r="E3703" s="3" t="inlineStr">
        <is>
          <t>MOVE_TAILWIND</t>
        </is>
      </c>
    </row>
    <row r="3704">
      <c r="A3704" s="3" t="inlineStr">
        <is>
          <t>SPECIES_NOIBAT</t>
        </is>
      </c>
      <c r="B3704" s="3" t="inlineStr">
        <is>
          <t>Noibat</t>
        </is>
      </c>
      <c r="C3704" s="3" t="n">
        <v>52</v>
      </c>
      <c r="D3704" s="3" t="inlineStr">
        <is>
          <t>Hurricane</t>
        </is>
      </c>
      <c r="E3704" s="3" t="inlineStr">
        <is>
          <t>MOVE_HURRICANE</t>
        </is>
      </c>
    </row>
    <row r="3705">
      <c r="A3705" s="3" t="inlineStr">
        <is>
          <t>SPECIES_NOIVERN</t>
        </is>
      </c>
      <c r="B3705" s="3" t="inlineStr">
        <is>
          <t>Noivern</t>
        </is>
      </c>
      <c r="C3705" s="3" t="n">
        <v>0</v>
      </c>
      <c r="D3705" s="3" t="inlineStr">
        <is>
          <t>Dragon Pulse</t>
        </is>
      </c>
      <c r="E3705" s="3" t="inlineStr">
        <is>
          <t>MOVE_DRAGON_PULSE</t>
        </is>
      </c>
    </row>
    <row r="3706">
      <c r="A3706" s="3" t="inlineStr">
        <is>
          <t>SPECIES_NOIVERN</t>
        </is>
      </c>
      <c r="B3706" s="3" t="inlineStr">
        <is>
          <t>Noivern</t>
        </is>
      </c>
      <c r="C3706" s="3" t="n">
        <v>1</v>
      </c>
      <c r="D3706" s="3" t="inlineStr">
        <is>
          <t>Gust</t>
        </is>
      </c>
      <c r="E3706" s="3" t="inlineStr">
        <is>
          <t>MOVE_GUST</t>
        </is>
      </c>
    </row>
    <row r="3707">
      <c r="A3707" s="3" t="inlineStr">
        <is>
          <t>SPECIES_NOIVERN</t>
        </is>
      </c>
      <c r="B3707" s="3" t="inlineStr">
        <is>
          <t>Noivern</t>
        </is>
      </c>
      <c r="C3707" s="3" t="n">
        <v>1</v>
      </c>
      <c r="D3707" s="3" t="inlineStr">
        <is>
          <t>Moonlight</t>
        </is>
      </c>
      <c r="E3707" s="3" t="inlineStr">
        <is>
          <t>MOVE_MOONLIGHT</t>
        </is>
      </c>
    </row>
    <row r="3708">
      <c r="A3708" s="3" t="inlineStr">
        <is>
          <t>SPECIES_NOIVERN</t>
        </is>
      </c>
      <c r="B3708" s="3" t="inlineStr">
        <is>
          <t>Noivern</t>
        </is>
      </c>
      <c r="C3708" s="3" t="n">
        <v>1</v>
      </c>
      <c r="D3708" s="3" t="inlineStr">
        <is>
          <t>Tackle</t>
        </is>
      </c>
      <c r="E3708" s="3" t="inlineStr">
        <is>
          <t>MOVE_TACKLE</t>
        </is>
      </c>
    </row>
    <row r="3709">
      <c r="A3709" s="3" t="inlineStr">
        <is>
          <t>SPECIES_NOIVERN</t>
        </is>
      </c>
      <c r="B3709" s="3" t="inlineStr">
        <is>
          <t>Noivern</t>
        </is>
      </c>
      <c r="C3709" s="3" t="n">
        <v>1</v>
      </c>
      <c r="D3709" s="3" t="inlineStr">
        <is>
          <t>Absorb</t>
        </is>
      </c>
      <c r="E3709" s="3" t="inlineStr">
        <is>
          <t>MOVE_ABSORB</t>
        </is>
      </c>
    </row>
    <row r="3710">
      <c r="A3710" s="3" t="inlineStr">
        <is>
          <t>SPECIES_NOIVERN</t>
        </is>
      </c>
      <c r="B3710" s="3" t="inlineStr">
        <is>
          <t>Noivern</t>
        </is>
      </c>
      <c r="C3710" s="3" t="n">
        <v>1</v>
      </c>
      <c r="D3710" s="3" t="inlineStr">
        <is>
          <t>Supersonic</t>
        </is>
      </c>
      <c r="E3710" s="3" t="inlineStr">
        <is>
          <t>MOVE_SUPERSONIC</t>
        </is>
      </c>
    </row>
    <row r="3711">
      <c r="A3711" s="3" t="inlineStr">
        <is>
          <t>SPECIES_NOIVERN</t>
        </is>
      </c>
      <c r="B3711" s="3" t="inlineStr">
        <is>
          <t>Noivern</t>
        </is>
      </c>
      <c r="C3711" s="3" t="n">
        <v>12</v>
      </c>
      <c r="D3711" s="3" t="inlineStr">
        <is>
          <t>Double Team</t>
        </is>
      </c>
      <c r="E3711" s="3" t="inlineStr">
        <is>
          <t>MOVE_DOUBLE_TEAM</t>
        </is>
      </c>
    </row>
    <row r="3712">
      <c r="A3712" s="3" t="inlineStr">
        <is>
          <t>SPECIES_NOIVERN</t>
        </is>
      </c>
      <c r="B3712" s="3" t="inlineStr">
        <is>
          <t>Noivern</t>
        </is>
      </c>
      <c r="C3712" s="3" t="n">
        <v>16</v>
      </c>
      <c r="D3712" s="3" t="inlineStr">
        <is>
          <t>Wing Attack</t>
        </is>
      </c>
      <c r="E3712" s="3" t="inlineStr">
        <is>
          <t>MOVE_WING_ATTACK</t>
        </is>
      </c>
    </row>
    <row r="3713">
      <c r="A3713" s="3" t="inlineStr">
        <is>
          <t>SPECIES_NOIVERN</t>
        </is>
      </c>
      <c r="B3713" s="3" t="inlineStr">
        <is>
          <t>Noivern</t>
        </is>
      </c>
      <c r="C3713" s="3" t="n">
        <v>20</v>
      </c>
      <c r="D3713" s="3" t="inlineStr">
        <is>
          <t>Bite</t>
        </is>
      </c>
      <c r="E3713" s="3" t="inlineStr">
        <is>
          <t>MOVE_BITE</t>
        </is>
      </c>
    </row>
    <row r="3714">
      <c r="A3714" s="3" t="inlineStr">
        <is>
          <t>SPECIES_NOIVERN</t>
        </is>
      </c>
      <c r="B3714" s="3" t="inlineStr">
        <is>
          <t>Noivern</t>
        </is>
      </c>
      <c r="C3714" s="3" t="n">
        <v>24</v>
      </c>
      <c r="D3714" s="3" t="inlineStr">
        <is>
          <t>Air Cutter</t>
        </is>
      </c>
      <c r="E3714" s="3" t="inlineStr">
        <is>
          <t>MOVE_AIR_CUTTER</t>
        </is>
      </c>
    </row>
    <row r="3715">
      <c r="A3715" s="3" t="inlineStr">
        <is>
          <t>SPECIES_NOIVERN</t>
        </is>
      </c>
      <c r="B3715" s="3" t="inlineStr">
        <is>
          <t>Noivern</t>
        </is>
      </c>
      <c r="C3715" s="3" t="n">
        <v>28</v>
      </c>
      <c r="D3715" s="3" t="inlineStr">
        <is>
          <t>Whirlwind</t>
        </is>
      </c>
      <c r="E3715" s="3" t="inlineStr">
        <is>
          <t>MOVE_WHIRLWIND</t>
        </is>
      </c>
    </row>
    <row r="3716">
      <c r="A3716" s="3" t="inlineStr">
        <is>
          <t>SPECIES_NOIVERN</t>
        </is>
      </c>
      <c r="B3716" s="3" t="inlineStr">
        <is>
          <t>Noivern</t>
        </is>
      </c>
      <c r="C3716" s="3" t="n">
        <v>32</v>
      </c>
      <c r="D3716" s="3" t="inlineStr">
        <is>
          <t>Super Fang</t>
        </is>
      </c>
      <c r="E3716" s="3" t="inlineStr">
        <is>
          <t>MOVE_SUPER_FANG</t>
        </is>
      </c>
    </row>
    <row r="3717">
      <c r="A3717" s="3" t="inlineStr">
        <is>
          <t>SPECIES_NOIVERN</t>
        </is>
      </c>
      <c r="B3717" s="3" t="inlineStr">
        <is>
          <t>Noivern</t>
        </is>
      </c>
      <c r="C3717" s="3" t="n">
        <v>36</v>
      </c>
      <c r="D3717" s="3" t="inlineStr">
        <is>
          <t>Air Slash</t>
        </is>
      </c>
      <c r="E3717" s="3" t="inlineStr">
        <is>
          <t>MOVE_AIR_SLASH</t>
        </is>
      </c>
    </row>
    <row r="3718">
      <c r="A3718" s="3" t="inlineStr">
        <is>
          <t>SPECIES_NOIVERN</t>
        </is>
      </c>
      <c r="B3718" s="3" t="inlineStr">
        <is>
          <t>Noivern</t>
        </is>
      </c>
      <c r="C3718" s="3" t="n">
        <v>40</v>
      </c>
      <c r="D3718" s="3" t="inlineStr">
        <is>
          <t>Screech</t>
        </is>
      </c>
      <c r="E3718" s="3" t="inlineStr">
        <is>
          <t>MOVE_SCREECH</t>
        </is>
      </c>
    </row>
    <row r="3719">
      <c r="A3719" s="3" t="inlineStr">
        <is>
          <t>SPECIES_NOIVERN</t>
        </is>
      </c>
      <c r="B3719" s="3" t="inlineStr">
        <is>
          <t>Noivern</t>
        </is>
      </c>
      <c r="C3719" s="3" t="n">
        <v>44</v>
      </c>
      <c r="D3719" s="3" t="inlineStr">
        <is>
          <t>Roost</t>
        </is>
      </c>
      <c r="E3719" s="3" t="inlineStr">
        <is>
          <t>MOVE_ROOST</t>
        </is>
      </c>
    </row>
    <row r="3720">
      <c r="A3720" s="3" t="inlineStr">
        <is>
          <t>SPECIES_NOIVERN</t>
        </is>
      </c>
      <c r="B3720" s="3" t="inlineStr">
        <is>
          <t>Noivern</t>
        </is>
      </c>
      <c r="C3720" s="3" t="n">
        <v>51</v>
      </c>
      <c r="D3720" s="3" t="inlineStr">
        <is>
          <t>Tailwind</t>
        </is>
      </c>
      <c r="E3720" s="3" t="inlineStr">
        <is>
          <t>MOVE_TAILWIND</t>
        </is>
      </c>
    </row>
    <row r="3721">
      <c r="A3721" s="3" t="inlineStr">
        <is>
          <t>SPECIES_NOIVERN</t>
        </is>
      </c>
      <c r="B3721" s="3" t="inlineStr">
        <is>
          <t>Noivern</t>
        </is>
      </c>
      <c r="C3721" s="3" t="n">
        <v>56</v>
      </c>
      <c r="D3721" s="3" t="inlineStr">
        <is>
          <t>Hurricane</t>
        </is>
      </c>
      <c r="E3721" s="3" t="inlineStr">
        <is>
          <t>MOVE_HURRICANE</t>
        </is>
      </c>
    </row>
    <row r="3722">
      <c r="A3722" s="3" t="inlineStr">
        <is>
          <t>SPECIES_NOIVERN</t>
        </is>
      </c>
      <c r="B3722" s="3" t="inlineStr">
        <is>
          <t>Noivern</t>
        </is>
      </c>
      <c r="C3722" s="3" t="n">
        <v>62</v>
      </c>
      <c r="D3722" s="3" t="inlineStr">
        <is>
          <t>Boomburst</t>
        </is>
      </c>
      <c r="E3722" s="3" t="inlineStr">
        <is>
          <t>MOVE_BOOMBURST</t>
        </is>
      </c>
    </row>
    <row r="3723">
      <c r="A3723" s="3" t="inlineStr">
        <is>
          <t>SPECIES_GRUBBIN</t>
        </is>
      </c>
      <c r="B3723" s="3" t="inlineStr">
        <is>
          <t>Grubbin</t>
        </is>
      </c>
      <c r="C3723" s="3" t="n">
        <v>1</v>
      </c>
      <c r="D3723" s="3" t="inlineStr">
        <is>
          <t>Vise Grip</t>
        </is>
      </c>
      <c r="E3723" s="3" t="inlineStr">
        <is>
          <t>MOVE_VISE_GRIP</t>
        </is>
      </c>
    </row>
    <row r="3724">
      <c r="A3724" s="3" t="inlineStr">
        <is>
          <t>SPECIES_GRUBBIN</t>
        </is>
      </c>
      <c r="B3724" s="3" t="inlineStr">
        <is>
          <t>Grubbin</t>
        </is>
      </c>
      <c r="C3724" s="3" t="n">
        <v>1</v>
      </c>
      <c r="D3724" s="3" t="inlineStr">
        <is>
          <t>Mud-Slap</t>
        </is>
      </c>
      <c r="E3724" s="3" t="inlineStr">
        <is>
          <t>MOVE_MUD_SLAP</t>
        </is>
      </c>
    </row>
    <row r="3725">
      <c r="A3725" s="3" t="inlineStr">
        <is>
          <t>SPECIES_GRUBBIN</t>
        </is>
      </c>
      <c r="B3725" s="3" t="inlineStr">
        <is>
          <t>Grubbin</t>
        </is>
      </c>
      <c r="C3725" s="3" t="n">
        <v>5</v>
      </c>
      <c r="D3725" s="3" t="inlineStr">
        <is>
          <t>String Shot</t>
        </is>
      </c>
      <c r="E3725" s="3" t="inlineStr">
        <is>
          <t>MOVE_STRING_SHOT</t>
        </is>
      </c>
    </row>
    <row r="3726">
      <c r="A3726" s="3" t="inlineStr">
        <is>
          <t>SPECIES_GRUBBIN</t>
        </is>
      </c>
      <c r="B3726" s="3" t="inlineStr">
        <is>
          <t>Grubbin</t>
        </is>
      </c>
      <c r="C3726" s="3" t="n">
        <v>10</v>
      </c>
      <c r="D3726" s="3" t="inlineStr">
        <is>
          <t>Bug Bite</t>
        </is>
      </c>
      <c r="E3726" s="3" t="inlineStr">
        <is>
          <t>MOVE_BUG_BITE</t>
        </is>
      </c>
    </row>
    <row r="3727">
      <c r="A3727" s="3" t="inlineStr">
        <is>
          <t>SPECIES_GRUBBIN</t>
        </is>
      </c>
      <c r="B3727" s="3" t="inlineStr">
        <is>
          <t>Grubbin</t>
        </is>
      </c>
      <c r="C3727" s="3" t="n">
        <v>15</v>
      </c>
      <c r="D3727" s="3" t="inlineStr">
        <is>
          <t>Bite</t>
        </is>
      </c>
      <c r="E3727" s="3" t="inlineStr">
        <is>
          <t>MOVE_BITE</t>
        </is>
      </c>
    </row>
    <row r="3728">
      <c r="A3728" s="3" t="inlineStr">
        <is>
          <t>SPECIES_GRUBBIN</t>
        </is>
      </c>
      <c r="B3728" s="3" t="inlineStr">
        <is>
          <t>Grubbin</t>
        </is>
      </c>
      <c r="C3728" s="3" t="n">
        <v>21</v>
      </c>
      <c r="D3728" s="3" t="inlineStr">
        <is>
          <t>Spark</t>
        </is>
      </c>
      <c r="E3728" s="3" t="inlineStr">
        <is>
          <t>MOVE_SPARK</t>
        </is>
      </c>
    </row>
    <row r="3729">
      <c r="A3729" s="3" t="inlineStr">
        <is>
          <t>SPECIES_GRUBBIN</t>
        </is>
      </c>
      <c r="B3729" s="3" t="inlineStr">
        <is>
          <t>Grubbin</t>
        </is>
      </c>
      <c r="C3729" s="3" t="n">
        <v>25</v>
      </c>
      <c r="D3729" s="3" t="inlineStr">
        <is>
          <t>Sticky Web</t>
        </is>
      </c>
      <c r="E3729" s="3" t="inlineStr">
        <is>
          <t>MOVE_STICKY_WEB</t>
        </is>
      </c>
    </row>
    <row r="3730">
      <c r="A3730" s="3" t="inlineStr">
        <is>
          <t>SPECIES_GRUBBIN</t>
        </is>
      </c>
      <c r="B3730" s="3" t="inlineStr">
        <is>
          <t>Grubbin</t>
        </is>
      </c>
      <c r="C3730" s="3" t="n">
        <v>30</v>
      </c>
      <c r="D3730" s="3" t="inlineStr">
        <is>
          <t>X-Scissor</t>
        </is>
      </c>
      <c r="E3730" s="3" t="inlineStr">
        <is>
          <t>MOVE_X_SCISSOR</t>
        </is>
      </c>
    </row>
    <row r="3731">
      <c r="A3731" s="3" t="inlineStr">
        <is>
          <t>SPECIES_GRUBBIN</t>
        </is>
      </c>
      <c r="B3731" s="3" t="inlineStr">
        <is>
          <t>Grubbin</t>
        </is>
      </c>
      <c r="C3731" s="3" t="n">
        <v>35</v>
      </c>
      <c r="D3731" s="3" t="inlineStr">
        <is>
          <t>Crunch</t>
        </is>
      </c>
      <c r="E3731" s="3" t="inlineStr">
        <is>
          <t>MOVE_CRUNCH</t>
        </is>
      </c>
    </row>
    <row r="3732">
      <c r="A3732" s="3" t="inlineStr">
        <is>
          <t>SPECIES_GRUBBIN</t>
        </is>
      </c>
      <c r="B3732" s="3" t="inlineStr">
        <is>
          <t>Grubbin</t>
        </is>
      </c>
      <c r="C3732" s="3" t="n">
        <v>40</v>
      </c>
      <c r="D3732" s="3" t="inlineStr">
        <is>
          <t>Dig</t>
        </is>
      </c>
      <c r="E3732" s="3" t="inlineStr">
        <is>
          <t>MOVE_DIG</t>
        </is>
      </c>
    </row>
    <row r="3733">
      <c r="A3733" s="3" t="inlineStr">
        <is>
          <t>SPECIES_CHARJABUG</t>
        </is>
      </c>
      <c r="B3733" s="3" t="inlineStr">
        <is>
          <t>Charjabug</t>
        </is>
      </c>
      <c r="C3733" s="3" t="n">
        <v>0</v>
      </c>
      <c r="D3733" s="3" t="inlineStr">
        <is>
          <t>Charge</t>
        </is>
      </c>
      <c r="E3733" s="3" t="inlineStr">
        <is>
          <t>MOVE_CHARGE</t>
        </is>
      </c>
    </row>
    <row r="3734">
      <c r="A3734" s="3" t="inlineStr">
        <is>
          <t>SPECIES_CHARJABUG</t>
        </is>
      </c>
      <c r="B3734" s="3" t="inlineStr">
        <is>
          <t>Charjabug</t>
        </is>
      </c>
      <c r="C3734" s="3" t="n">
        <v>1</v>
      </c>
      <c r="D3734" s="3" t="inlineStr">
        <is>
          <t>Vise Grip</t>
        </is>
      </c>
      <c r="E3734" s="3" t="inlineStr">
        <is>
          <t>MOVE_VISE_GRIP</t>
        </is>
      </c>
    </row>
    <row r="3735">
      <c r="A3735" s="3" t="inlineStr">
        <is>
          <t>SPECIES_CHARJABUG</t>
        </is>
      </c>
      <c r="B3735" s="3" t="inlineStr">
        <is>
          <t>Charjabug</t>
        </is>
      </c>
      <c r="C3735" s="3" t="n">
        <v>1</v>
      </c>
      <c r="D3735" s="3" t="inlineStr">
        <is>
          <t>String Shot</t>
        </is>
      </c>
      <c r="E3735" s="3" t="inlineStr">
        <is>
          <t>MOVE_STRING_SHOT</t>
        </is>
      </c>
    </row>
    <row r="3736">
      <c r="A3736" s="3" t="inlineStr">
        <is>
          <t>SPECIES_CHARJABUG</t>
        </is>
      </c>
      <c r="B3736" s="3" t="inlineStr">
        <is>
          <t>Charjabug</t>
        </is>
      </c>
      <c r="C3736" s="3" t="n">
        <v>1</v>
      </c>
      <c r="D3736" s="3" t="inlineStr">
        <is>
          <t>Mud-Slap</t>
        </is>
      </c>
      <c r="E3736" s="3" t="inlineStr">
        <is>
          <t>MOVE_MUD_SLAP</t>
        </is>
      </c>
    </row>
    <row r="3737">
      <c r="A3737" s="3" t="inlineStr">
        <is>
          <t>SPECIES_CHARJABUG</t>
        </is>
      </c>
      <c r="B3737" s="3" t="inlineStr">
        <is>
          <t>Charjabug</t>
        </is>
      </c>
      <c r="C3737" s="3" t="n">
        <v>1</v>
      </c>
      <c r="D3737" s="3" t="inlineStr">
        <is>
          <t>Bug Bite</t>
        </is>
      </c>
      <c r="E3737" s="3" t="inlineStr">
        <is>
          <t>MOVE_BUG_BITE</t>
        </is>
      </c>
    </row>
    <row r="3738">
      <c r="A3738" s="3" t="inlineStr">
        <is>
          <t>SPECIES_CHARJABUG</t>
        </is>
      </c>
      <c r="B3738" s="3" t="inlineStr">
        <is>
          <t>Charjabug</t>
        </is>
      </c>
      <c r="C3738" s="3" t="n">
        <v>15</v>
      </c>
      <c r="D3738" s="3" t="inlineStr">
        <is>
          <t>Bite</t>
        </is>
      </c>
      <c r="E3738" s="3" t="inlineStr">
        <is>
          <t>MOVE_BITE</t>
        </is>
      </c>
    </row>
    <row r="3739">
      <c r="A3739" s="3" t="inlineStr">
        <is>
          <t>SPECIES_CHARJABUG</t>
        </is>
      </c>
      <c r="B3739" s="3" t="inlineStr">
        <is>
          <t>Charjabug</t>
        </is>
      </c>
      <c r="C3739" s="3" t="n">
        <v>23</v>
      </c>
      <c r="D3739" s="3" t="inlineStr">
        <is>
          <t>Spark</t>
        </is>
      </c>
      <c r="E3739" s="3" t="inlineStr">
        <is>
          <t>MOVE_SPARK</t>
        </is>
      </c>
    </row>
    <row r="3740">
      <c r="A3740" s="3" t="inlineStr">
        <is>
          <t>SPECIES_CHARJABUG</t>
        </is>
      </c>
      <c r="B3740" s="3" t="inlineStr">
        <is>
          <t>Charjabug</t>
        </is>
      </c>
      <c r="C3740" s="3" t="n">
        <v>29</v>
      </c>
      <c r="D3740" s="3" t="inlineStr">
        <is>
          <t>Sticky Web</t>
        </is>
      </c>
      <c r="E3740" s="3" t="inlineStr">
        <is>
          <t>MOVE_STICKY_WEB</t>
        </is>
      </c>
    </row>
    <row r="3741">
      <c r="A3741" s="3" t="inlineStr">
        <is>
          <t>SPECIES_CHARJABUG</t>
        </is>
      </c>
      <c r="B3741" s="3" t="inlineStr">
        <is>
          <t>Charjabug</t>
        </is>
      </c>
      <c r="C3741" s="3" t="n">
        <v>36</v>
      </c>
      <c r="D3741" s="3" t="inlineStr">
        <is>
          <t>X-Scissor</t>
        </is>
      </c>
      <c r="E3741" s="3" t="inlineStr">
        <is>
          <t>MOVE_X_SCISSOR</t>
        </is>
      </c>
    </row>
    <row r="3742">
      <c r="A3742" s="3" t="inlineStr">
        <is>
          <t>SPECIES_CHARJABUG</t>
        </is>
      </c>
      <c r="B3742" s="3" t="inlineStr">
        <is>
          <t>Charjabug</t>
        </is>
      </c>
      <c r="C3742" s="3" t="n">
        <v>43</v>
      </c>
      <c r="D3742" s="3" t="inlineStr">
        <is>
          <t>Crunch</t>
        </is>
      </c>
      <c r="E3742" s="3" t="inlineStr">
        <is>
          <t>MOVE_CRUNCH</t>
        </is>
      </c>
    </row>
    <row r="3743">
      <c r="A3743" s="3" t="inlineStr">
        <is>
          <t>SPECIES_CHARJABUG</t>
        </is>
      </c>
      <c r="B3743" s="3" t="inlineStr">
        <is>
          <t>Charjabug</t>
        </is>
      </c>
      <c r="C3743" s="3" t="n">
        <v>50</v>
      </c>
      <c r="D3743" s="3" t="inlineStr">
        <is>
          <t>Dig</t>
        </is>
      </c>
      <c r="E3743" s="3" t="inlineStr">
        <is>
          <t>MOVE_DIG</t>
        </is>
      </c>
    </row>
    <row r="3744">
      <c r="A3744" s="3" t="inlineStr">
        <is>
          <t>SPECIES_CHARJABUG</t>
        </is>
      </c>
      <c r="B3744" s="3" t="inlineStr">
        <is>
          <t>Charjabug</t>
        </is>
      </c>
      <c r="C3744" s="3" t="n">
        <v>57</v>
      </c>
      <c r="D3744" s="3" t="inlineStr">
        <is>
          <t>Iron Defense</t>
        </is>
      </c>
      <c r="E3744" s="3" t="inlineStr">
        <is>
          <t>MOVE_IRON_DEFENSE</t>
        </is>
      </c>
    </row>
    <row r="3745">
      <c r="A3745" s="3" t="inlineStr">
        <is>
          <t>SPECIES_CHARJABUG</t>
        </is>
      </c>
      <c r="B3745" s="3" t="inlineStr">
        <is>
          <t>Charjabug</t>
        </is>
      </c>
      <c r="C3745" s="3" t="n">
        <v>64</v>
      </c>
      <c r="D3745" s="3" t="inlineStr">
        <is>
          <t>Discharge</t>
        </is>
      </c>
      <c r="E3745" s="3" t="inlineStr">
        <is>
          <t>MOVE_DISCHARGE</t>
        </is>
      </c>
    </row>
    <row r="3746">
      <c r="A3746" s="3" t="inlineStr">
        <is>
          <t>SPECIES_VIKAVOLT</t>
        </is>
      </c>
      <c r="B3746" s="3" t="inlineStr">
        <is>
          <t>Vikavolt</t>
        </is>
      </c>
      <c r="C3746" s="3" t="n">
        <v>0</v>
      </c>
      <c r="D3746" s="3" t="inlineStr">
        <is>
          <t>Thunderbolt</t>
        </is>
      </c>
      <c r="E3746" s="3" t="inlineStr">
        <is>
          <t>MOVE_THUNDERBOLT</t>
        </is>
      </c>
    </row>
    <row r="3747">
      <c r="A3747" s="3" t="inlineStr">
        <is>
          <t>SPECIES_VIKAVOLT</t>
        </is>
      </c>
      <c r="B3747" s="3" t="inlineStr">
        <is>
          <t>Vikavolt</t>
        </is>
      </c>
      <c r="C3747" s="3" t="n">
        <v>1</v>
      </c>
      <c r="D3747" s="3" t="inlineStr">
        <is>
          <t>Vise Grip</t>
        </is>
      </c>
      <c r="E3747" s="3" t="inlineStr">
        <is>
          <t>MOVE_VISE_GRIP</t>
        </is>
      </c>
    </row>
    <row r="3748">
      <c r="A3748" s="3" t="inlineStr">
        <is>
          <t>SPECIES_VIKAVOLT</t>
        </is>
      </c>
      <c r="B3748" s="3" t="inlineStr">
        <is>
          <t>Vikavolt</t>
        </is>
      </c>
      <c r="C3748" s="3" t="n">
        <v>1</v>
      </c>
      <c r="D3748" s="3" t="inlineStr">
        <is>
          <t>Dig</t>
        </is>
      </c>
      <c r="E3748" s="3" t="inlineStr">
        <is>
          <t>MOVE_DIG</t>
        </is>
      </c>
    </row>
    <row r="3749">
      <c r="A3749" s="3" t="inlineStr">
        <is>
          <t>SPECIES_VIKAVOLT</t>
        </is>
      </c>
      <c r="B3749" s="3" t="inlineStr">
        <is>
          <t>Vikavolt</t>
        </is>
      </c>
      <c r="C3749" s="3" t="n">
        <v>1</v>
      </c>
      <c r="D3749" s="3" t="inlineStr">
        <is>
          <t>Mud-Slap</t>
        </is>
      </c>
      <c r="E3749" s="3" t="inlineStr">
        <is>
          <t>MOVE_MUD_SLAP</t>
        </is>
      </c>
    </row>
    <row r="3750">
      <c r="A3750" s="3" t="inlineStr">
        <is>
          <t>SPECIES_VIKAVOLT</t>
        </is>
      </c>
      <c r="B3750" s="3" t="inlineStr">
        <is>
          <t>Vikavolt</t>
        </is>
      </c>
      <c r="C3750" s="3" t="n">
        <v>1</v>
      </c>
      <c r="D3750" s="3" t="inlineStr">
        <is>
          <t>Iron Defense</t>
        </is>
      </c>
      <c r="E3750" s="3" t="inlineStr">
        <is>
          <t>MOVE_IRON_DEFENSE</t>
        </is>
      </c>
    </row>
    <row r="3751">
      <c r="A3751" s="3" t="inlineStr">
        <is>
          <t>SPECIES_VIKAVOLT</t>
        </is>
      </c>
      <c r="B3751" s="3" t="inlineStr">
        <is>
          <t>Vikavolt</t>
        </is>
      </c>
      <c r="C3751" s="3" t="n">
        <v>1</v>
      </c>
      <c r="D3751" s="3" t="inlineStr">
        <is>
          <t>X-Scissor</t>
        </is>
      </c>
      <c r="E3751" s="3" t="inlineStr">
        <is>
          <t>MOVE_X_SCISSOR</t>
        </is>
      </c>
    </row>
    <row r="3752">
      <c r="A3752" s="3" t="inlineStr">
        <is>
          <t>SPECIES_VIKAVOLT</t>
        </is>
      </c>
      <c r="B3752" s="3" t="inlineStr">
        <is>
          <t>Vikavolt</t>
        </is>
      </c>
      <c r="C3752" s="3" t="n">
        <v>1</v>
      </c>
      <c r="D3752" s="3" t="inlineStr">
        <is>
          <t>Bug Bite</t>
        </is>
      </c>
      <c r="E3752" s="3" t="inlineStr">
        <is>
          <t>MOVE_BUG_BITE</t>
        </is>
      </c>
    </row>
    <row r="3753">
      <c r="A3753" s="3" t="inlineStr">
        <is>
          <t>SPECIES_VIKAVOLT</t>
        </is>
      </c>
      <c r="B3753" s="3" t="inlineStr">
        <is>
          <t>Vikavolt</t>
        </is>
      </c>
      <c r="C3753" s="3" t="n">
        <v>1</v>
      </c>
      <c r="D3753" s="3" t="inlineStr">
        <is>
          <t>String Shot</t>
        </is>
      </c>
      <c r="E3753" s="3" t="inlineStr">
        <is>
          <t>MOVE_STRING_SHOT</t>
        </is>
      </c>
    </row>
    <row r="3754">
      <c r="A3754" s="3" t="inlineStr">
        <is>
          <t>SPECIES_VIKAVOLT</t>
        </is>
      </c>
      <c r="B3754" s="3" t="inlineStr">
        <is>
          <t>Vikavolt</t>
        </is>
      </c>
      <c r="C3754" s="3" t="n">
        <v>1</v>
      </c>
      <c r="D3754" s="3" t="inlineStr">
        <is>
          <t>Crunch</t>
        </is>
      </c>
      <c r="E3754" s="3" t="inlineStr">
        <is>
          <t>MOVE_CRUNCH</t>
        </is>
      </c>
    </row>
    <row r="3755">
      <c r="A3755" s="3" t="inlineStr">
        <is>
          <t>SPECIES_VIKAVOLT</t>
        </is>
      </c>
      <c r="B3755" s="3" t="inlineStr">
        <is>
          <t>Vikavolt</t>
        </is>
      </c>
      <c r="C3755" s="3" t="n">
        <v>1</v>
      </c>
      <c r="D3755" s="3" t="inlineStr">
        <is>
          <t>Charge</t>
        </is>
      </c>
      <c r="E3755" s="3" t="inlineStr">
        <is>
          <t>MOVE_CHARGE</t>
        </is>
      </c>
    </row>
    <row r="3756">
      <c r="A3756" s="3" t="inlineStr">
        <is>
          <t>SPECIES_VIKAVOLT</t>
        </is>
      </c>
      <c r="B3756" s="3" t="inlineStr">
        <is>
          <t>Vikavolt</t>
        </is>
      </c>
      <c r="C3756" s="3" t="n">
        <v>1</v>
      </c>
      <c r="D3756" s="3" t="inlineStr">
        <is>
          <t>Discharge</t>
        </is>
      </c>
      <c r="E3756" s="3" t="inlineStr">
        <is>
          <t>MOVE_DISCHARGE</t>
        </is>
      </c>
    </row>
    <row r="3757">
      <c r="A3757" s="3" t="inlineStr">
        <is>
          <t>SPECIES_VIKAVOLT</t>
        </is>
      </c>
      <c r="B3757" s="3" t="inlineStr">
        <is>
          <t>Vikavolt</t>
        </is>
      </c>
      <c r="C3757" s="3" t="n">
        <v>15</v>
      </c>
      <c r="D3757" s="3" t="inlineStr">
        <is>
          <t>Bite</t>
        </is>
      </c>
      <c r="E3757" s="3" t="inlineStr">
        <is>
          <t>MOVE_BITE</t>
        </is>
      </c>
    </row>
    <row r="3758">
      <c r="A3758" s="3" t="inlineStr">
        <is>
          <t>SPECIES_VIKAVOLT</t>
        </is>
      </c>
      <c r="B3758" s="3" t="inlineStr">
        <is>
          <t>Vikavolt</t>
        </is>
      </c>
      <c r="C3758" s="3" t="n">
        <v>23</v>
      </c>
      <c r="D3758" s="3" t="inlineStr">
        <is>
          <t>Spark</t>
        </is>
      </c>
      <c r="E3758" s="3" t="inlineStr">
        <is>
          <t>MOVE_SPARK</t>
        </is>
      </c>
    </row>
    <row r="3759">
      <c r="A3759" s="3" t="inlineStr">
        <is>
          <t>SPECIES_VIKAVOLT</t>
        </is>
      </c>
      <c r="B3759" s="3" t="inlineStr">
        <is>
          <t>Vikavolt</t>
        </is>
      </c>
      <c r="C3759" s="3" t="n">
        <v>29</v>
      </c>
      <c r="D3759" s="3" t="inlineStr">
        <is>
          <t>Sticky Web</t>
        </is>
      </c>
      <c r="E3759" s="3" t="inlineStr">
        <is>
          <t>MOVE_STICKY_WEB</t>
        </is>
      </c>
    </row>
    <row r="3760">
      <c r="A3760" s="3" t="inlineStr">
        <is>
          <t>SPECIES_VIKAVOLT</t>
        </is>
      </c>
      <c r="B3760" s="3" t="inlineStr">
        <is>
          <t>Vikavolt</t>
        </is>
      </c>
      <c r="C3760" s="3" t="n">
        <v>36</v>
      </c>
      <c r="D3760" s="3" t="inlineStr">
        <is>
          <t>Bug Buzz</t>
        </is>
      </c>
      <c r="E3760" s="3" t="inlineStr">
        <is>
          <t>MOVE_BUG_BUZZ</t>
        </is>
      </c>
    </row>
    <row r="3761">
      <c r="A3761" s="3" t="inlineStr">
        <is>
          <t>SPECIES_VIKAVOLT</t>
        </is>
      </c>
      <c r="B3761" s="3" t="inlineStr">
        <is>
          <t>Vikavolt</t>
        </is>
      </c>
      <c r="C3761" s="3" t="n">
        <v>43</v>
      </c>
      <c r="D3761" s="3" t="inlineStr">
        <is>
          <t>Guillotine</t>
        </is>
      </c>
      <c r="E3761" s="3" t="inlineStr">
        <is>
          <t>MOVE_GUILLOTINE</t>
        </is>
      </c>
    </row>
    <row r="3762">
      <c r="A3762" s="3" t="inlineStr">
        <is>
          <t>SPECIES_VIKAVOLT</t>
        </is>
      </c>
      <c r="B3762" s="3" t="inlineStr">
        <is>
          <t>Vikavolt</t>
        </is>
      </c>
      <c r="C3762" s="3" t="n">
        <v>50</v>
      </c>
      <c r="D3762" s="3" t="inlineStr">
        <is>
          <t>Fly</t>
        </is>
      </c>
      <c r="E3762" s="3" t="inlineStr">
        <is>
          <t>MOVE_FLY</t>
        </is>
      </c>
    </row>
    <row r="3763">
      <c r="A3763" s="3" t="inlineStr">
        <is>
          <t>SPECIES_VIKAVOLT</t>
        </is>
      </c>
      <c r="B3763" s="3" t="inlineStr">
        <is>
          <t>Vikavolt</t>
        </is>
      </c>
      <c r="C3763" s="3" t="n">
        <v>57</v>
      </c>
      <c r="D3763" s="3" t="inlineStr">
        <is>
          <t>Agility</t>
        </is>
      </c>
      <c r="E3763" s="3" t="inlineStr">
        <is>
          <t>MOVE_AGILITY</t>
        </is>
      </c>
    </row>
    <row r="3764">
      <c r="A3764" s="3" t="inlineStr">
        <is>
          <t>SPECIES_VIKAVOLT</t>
        </is>
      </c>
      <c r="B3764" s="3" t="inlineStr">
        <is>
          <t>Vikavolt</t>
        </is>
      </c>
      <c r="C3764" s="3" t="n">
        <v>64</v>
      </c>
      <c r="D3764" s="3" t="inlineStr">
        <is>
          <t>Zap Cannon</t>
        </is>
      </c>
      <c r="E3764" s="3" t="inlineStr">
        <is>
          <t>MOVE_ZAP_CANNON</t>
        </is>
      </c>
    </row>
    <row r="3765">
      <c r="A3765" s="3" t="inlineStr">
        <is>
          <t>SPECIES_CRABRAWLER</t>
        </is>
      </c>
      <c r="B3765" s="3" t="inlineStr">
        <is>
          <t>Crabrawler</t>
        </is>
      </c>
      <c r="C3765" s="3" t="n">
        <v>1</v>
      </c>
      <c r="D3765" s="3" t="inlineStr">
        <is>
          <t>Vise Grip</t>
        </is>
      </c>
      <c r="E3765" s="3" t="inlineStr">
        <is>
          <t>MOVE_VISE_GRIP</t>
        </is>
      </c>
    </row>
    <row r="3766">
      <c r="A3766" s="3" t="inlineStr">
        <is>
          <t>SPECIES_CRABRAWLER</t>
        </is>
      </c>
      <c r="B3766" s="3" t="inlineStr">
        <is>
          <t>Crabrawler</t>
        </is>
      </c>
      <c r="C3766" s="3" t="n">
        <v>5</v>
      </c>
      <c r="D3766" s="3" t="inlineStr">
        <is>
          <t>Rock Smash</t>
        </is>
      </c>
      <c r="E3766" s="3" t="inlineStr">
        <is>
          <t>MOVE_ROCK_SMASH</t>
        </is>
      </c>
    </row>
    <row r="3767">
      <c r="A3767" s="3" t="inlineStr">
        <is>
          <t>SPECIES_CRABRAWLER</t>
        </is>
      </c>
      <c r="B3767" s="3" t="inlineStr">
        <is>
          <t>Crabrawler</t>
        </is>
      </c>
      <c r="C3767" s="3" t="n">
        <v>9</v>
      </c>
      <c r="D3767" s="3" t="inlineStr">
        <is>
          <t>Leer</t>
        </is>
      </c>
      <c r="E3767" s="3" t="inlineStr">
        <is>
          <t>MOVE_LEER</t>
        </is>
      </c>
    </row>
    <row r="3768">
      <c r="A3768" s="3" t="inlineStr">
        <is>
          <t>SPECIES_CRABRAWLER</t>
        </is>
      </c>
      <c r="B3768" s="3" t="inlineStr">
        <is>
          <t>Crabrawler</t>
        </is>
      </c>
      <c r="C3768" s="3" t="n">
        <v>13</v>
      </c>
      <c r="D3768" s="3" t="inlineStr">
        <is>
          <t>Bubble Beam</t>
        </is>
      </c>
      <c r="E3768" s="3" t="inlineStr">
        <is>
          <t>MOVE_BUBBLE_BEAM</t>
        </is>
      </c>
    </row>
    <row r="3769">
      <c r="A3769" s="3" t="inlineStr">
        <is>
          <t>SPECIES_CRABRAWLER</t>
        </is>
      </c>
      <c r="B3769" s="3" t="inlineStr">
        <is>
          <t>Crabrawler</t>
        </is>
      </c>
      <c r="C3769" s="3" t="n">
        <v>17</v>
      </c>
      <c r="D3769" s="3" t="inlineStr">
        <is>
          <t>Protect</t>
        </is>
      </c>
      <c r="E3769" s="3" t="inlineStr">
        <is>
          <t>MOVE_PROTECT</t>
        </is>
      </c>
    </row>
    <row r="3770">
      <c r="A3770" s="3" t="inlineStr">
        <is>
          <t>SPECIES_CRABRAWLER</t>
        </is>
      </c>
      <c r="B3770" s="3" t="inlineStr">
        <is>
          <t>Crabrawler</t>
        </is>
      </c>
      <c r="C3770" s="3" t="n">
        <v>22</v>
      </c>
      <c r="D3770" s="3" t="inlineStr">
        <is>
          <t>Brick Break</t>
        </is>
      </c>
      <c r="E3770" s="3" t="inlineStr">
        <is>
          <t>MOVE_BRICK_BREAK</t>
        </is>
      </c>
    </row>
    <row r="3771">
      <c r="A3771" s="3" t="inlineStr">
        <is>
          <t>SPECIES_CRABRAWLER</t>
        </is>
      </c>
      <c r="B3771" s="3" t="inlineStr">
        <is>
          <t>Crabrawler</t>
        </is>
      </c>
      <c r="C3771" s="3" t="n">
        <v>25</v>
      </c>
      <c r="D3771" s="3" t="inlineStr">
        <is>
          <t>Slam</t>
        </is>
      </c>
      <c r="E3771" s="3" t="inlineStr">
        <is>
          <t>MOVE_SLAM</t>
        </is>
      </c>
    </row>
    <row r="3772">
      <c r="A3772" s="3" t="inlineStr">
        <is>
          <t>SPECIES_CRABRAWLER</t>
        </is>
      </c>
      <c r="B3772" s="3" t="inlineStr">
        <is>
          <t>Crabrawler</t>
        </is>
      </c>
      <c r="C3772" s="3" t="n">
        <v>29</v>
      </c>
      <c r="D3772" s="3" t="inlineStr">
        <is>
          <t>Payback</t>
        </is>
      </c>
      <c r="E3772" s="3" t="inlineStr">
        <is>
          <t>MOVE_PAYBACK</t>
        </is>
      </c>
    </row>
    <row r="3773">
      <c r="A3773" s="3" t="inlineStr">
        <is>
          <t>SPECIES_CRABRAWLER</t>
        </is>
      </c>
      <c r="B3773" s="3" t="inlineStr">
        <is>
          <t>Crabrawler</t>
        </is>
      </c>
      <c r="C3773" s="3" t="n">
        <v>33</v>
      </c>
      <c r="D3773" s="3" t="inlineStr">
        <is>
          <t>Reversal</t>
        </is>
      </c>
      <c r="E3773" s="3" t="inlineStr">
        <is>
          <t>MOVE_REVERSAL</t>
        </is>
      </c>
    </row>
    <row r="3774">
      <c r="A3774" s="3" t="inlineStr">
        <is>
          <t>SPECIES_CRABRAWLER</t>
        </is>
      </c>
      <c r="B3774" s="3" t="inlineStr">
        <is>
          <t>Crabrawler</t>
        </is>
      </c>
      <c r="C3774" s="3" t="n">
        <v>37</v>
      </c>
      <c r="D3774" s="3" t="inlineStr">
        <is>
          <t>Crabhammer</t>
        </is>
      </c>
      <c r="E3774" s="3" t="inlineStr">
        <is>
          <t>MOVE_CRABHAMMER</t>
        </is>
      </c>
    </row>
    <row r="3775">
      <c r="A3775" s="3" t="inlineStr">
        <is>
          <t>SPECIES_CRABRAWLER</t>
        </is>
      </c>
      <c r="B3775" s="3" t="inlineStr">
        <is>
          <t>Crabrawler</t>
        </is>
      </c>
      <c r="C3775" s="3" t="n">
        <v>42</v>
      </c>
      <c r="D3775" s="3" t="inlineStr">
        <is>
          <t>Iron Defense</t>
        </is>
      </c>
      <c r="E3775" s="3" t="inlineStr">
        <is>
          <t>MOVE_IRON_DEFENSE</t>
        </is>
      </c>
    </row>
    <row r="3776">
      <c r="A3776" s="3" t="inlineStr">
        <is>
          <t>SPECIES_CRABRAWLER</t>
        </is>
      </c>
      <c r="B3776" s="3" t="inlineStr">
        <is>
          <t>Crabrawler</t>
        </is>
      </c>
      <c r="C3776" s="3" t="n">
        <v>45</v>
      </c>
      <c r="D3776" s="3" t="inlineStr">
        <is>
          <t>Dynamic Punch</t>
        </is>
      </c>
      <c r="E3776" s="3" t="inlineStr">
        <is>
          <t>MOVE_DYNAMIC_PUNCH</t>
        </is>
      </c>
    </row>
    <row r="3777">
      <c r="A3777" s="3" t="inlineStr">
        <is>
          <t>SPECIES_CRABRAWLER</t>
        </is>
      </c>
      <c r="B3777" s="3" t="inlineStr">
        <is>
          <t>Crabrawler</t>
        </is>
      </c>
      <c r="C3777" s="3" t="n">
        <v>49</v>
      </c>
      <c r="D3777" s="3" t="inlineStr">
        <is>
          <t>Close Combat</t>
        </is>
      </c>
      <c r="E3777" s="3" t="inlineStr">
        <is>
          <t>MOVE_CLOSE_COMBAT</t>
        </is>
      </c>
    </row>
    <row r="3778">
      <c r="A3778" s="3" t="inlineStr">
        <is>
          <t>SPECIES_CRABOMINABLE</t>
        </is>
      </c>
      <c r="B3778" s="3" t="inlineStr">
        <is>
          <t>Crabominable</t>
        </is>
      </c>
      <c r="C3778" s="3" t="n">
        <v>0</v>
      </c>
      <c r="D3778" s="3" t="inlineStr">
        <is>
          <t>Ice Punch</t>
        </is>
      </c>
      <c r="E3778" s="3" t="inlineStr">
        <is>
          <t>MOVE_ICE_PUNCH</t>
        </is>
      </c>
    </row>
    <row r="3779">
      <c r="A3779" s="3" t="inlineStr">
        <is>
          <t>SPECIES_CRABOMINABLE</t>
        </is>
      </c>
      <c r="B3779" s="3" t="inlineStr">
        <is>
          <t>Crabominable</t>
        </is>
      </c>
      <c r="C3779" s="3" t="n">
        <v>1</v>
      </c>
      <c r="D3779" s="3" t="inlineStr">
        <is>
          <t>Leer</t>
        </is>
      </c>
      <c r="E3779" s="3" t="inlineStr">
        <is>
          <t>MOVE_LEER</t>
        </is>
      </c>
    </row>
    <row r="3780">
      <c r="A3780" s="3" t="inlineStr">
        <is>
          <t>SPECIES_CRABOMINABLE</t>
        </is>
      </c>
      <c r="B3780" s="3" t="inlineStr">
        <is>
          <t>Crabominable</t>
        </is>
      </c>
      <c r="C3780" s="3" t="n">
        <v>1</v>
      </c>
      <c r="D3780" s="3" t="inlineStr">
        <is>
          <t>Protect</t>
        </is>
      </c>
      <c r="E3780" s="3" t="inlineStr">
        <is>
          <t>MOVE_PROTECT</t>
        </is>
      </c>
    </row>
    <row r="3781">
      <c r="A3781" s="3" t="inlineStr">
        <is>
          <t>SPECIES_CRABOMINABLE</t>
        </is>
      </c>
      <c r="B3781" s="3" t="inlineStr">
        <is>
          <t>Crabominable</t>
        </is>
      </c>
      <c r="C3781" s="3" t="n">
        <v>1</v>
      </c>
      <c r="D3781" s="3" t="inlineStr">
        <is>
          <t>Rock Smash</t>
        </is>
      </c>
      <c r="E3781" s="3" t="inlineStr">
        <is>
          <t>MOVE_ROCK_SMASH</t>
        </is>
      </c>
    </row>
    <row r="3782">
      <c r="A3782" s="3" t="inlineStr">
        <is>
          <t>SPECIES_CRABOMINABLE</t>
        </is>
      </c>
      <c r="B3782" s="3" t="inlineStr">
        <is>
          <t>Crabominable</t>
        </is>
      </c>
      <c r="C3782" s="3" t="n">
        <v>17</v>
      </c>
      <c r="D3782" s="3" t="inlineStr">
        <is>
          <t>Bubble Beam</t>
        </is>
      </c>
      <c r="E3782" s="3" t="inlineStr">
        <is>
          <t>MOVE_BUBBLE_BEAM</t>
        </is>
      </c>
    </row>
    <row r="3783">
      <c r="A3783" s="3" t="inlineStr">
        <is>
          <t>SPECIES_CRABOMINABLE</t>
        </is>
      </c>
      <c r="B3783" s="3" t="inlineStr">
        <is>
          <t>Crabominable</t>
        </is>
      </c>
      <c r="C3783" s="3" t="n">
        <v>22</v>
      </c>
      <c r="D3783" s="3" t="inlineStr">
        <is>
          <t>Brick Break</t>
        </is>
      </c>
      <c r="E3783" s="3" t="inlineStr">
        <is>
          <t>MOVE_BRICK_BREAK</t>
        </is>
      </c>
    </row>
    <row r="3784">
      <c r="A3784" s="3" t="inlineStr">
        <is>
          <t>SPECIES_CRABOMINABLE</t>
        </is>
      </c>
      <c r="B3784" s="3" t="inlineStr">
        <is>
          <t>Crabominable</t>
        </is>
      </c>
      <c r="C3784" s="3" t="n">
        <v>25</v>
      </c>
      <c r="D3784" s="3" t="inlineStr">
        <is>
          <t>Slam</t>
        </is>
      </c>
      <c r="E3784" s="3" t="inlineStr">
        <is>
          <t>MOVE_SLAM</t>
        </is>
      </c>
    </row>
    <row r="3785">
      <c r="A3785" s="3" t="inlineStr">
        <is>
          <t>SPECIES_CRABOMINABLE</t>
        </is>
      </c>
      <c r="B3785" s="3" t="inlineStr">
        <is>
          <t>Crabominable</t>
        </is>
      </c>
      <c r="C3785" s="3" t="n">
        <v>29</v>
      </c>
      <c r="D3785" s="3" t="inlineStr">
        <is>
          <t>Avalanche</t>
        </is>
      </c>
      <c r="E3785" s="3" t="inlineStr">
        <is>
          <t>MOVE_AVALANCHE</t>
        </is>
      </c>
    </row>
    <row r="3786">
      <c r="A3786" s="3" t="inlineStr">
        <is>
          <t>SPECIES_CRABOMINABLE</t>
        </is>
      </c>
      <c r="B3786" s="3" t="inlineStr">
        <is>
          <t>Crabominable</t>
        </is>
      </c>
      <c r="C3786" s="3" t="n">
        <v>33</v>
      </c>
      <c r="D3786" s="3" t="inlineStr">
        <is>
          <t>Reversal</t>
        </is>
      </c>
      <c r="E3786" s="3" t="inlineStr">
        <is>
          <t>MOVE_REVERSAL</t>
        </is>
      </c>
    </row>
    <row r="3787">
      <c r="A3787" s="3" t="inlineStr">
        <is>
          <t>SPECIES_CRABOMINABLE</t>
        </is>
      </c>
      <c r="B3787" s="3" t="inlineStr">
        <is>
          <t>Crabominable</t>
        </is>
      </c>
      <c r="C3787" s="3" t="n">
        <v>37</v>
      </c>
      <c r="D3787" s="3" t="inlineStr">
        <is>
          <t>Ice Hammer</t>
        </is>
      </c>
      <c r="E3787" s="3" t="inlineStr">
        <is>
          <t>MOVE_ICE_HAMMER</t>
        </is>
      </c>
    </row>
    <row r="3788">
      <c r="A3788" s="3" t="inlineStr">
        <is>
          <t>SPECIES_CRABOMINABLE</t>
        </is>
      </c>
      <c r="B3788" s="3" t="inlineStr">
        <is>
          <t>Crabominable</t>
        </is>
      </c>
      <c r="C3788" s="3" t="n">
        <v>42</v>
      </c>
      <c r="D3788" s="3" t="inlineStr">
        <is>
          <t>Iron Defense</t>
        </is>
      </c>
      <c r="E3788" s="3" t="inlineStr">
        <is>
          <t>MOVE_IRON_DEFENSE</t>
        </is>
      </c>
    </row>
    <row r="3789">
      <c r="A3789" s="3" t="inlineStr">
        <is>
          <t>SPECIES_CRABOMINABLE</t>
        </is>
      </c>
      <c r="B3789" s="3" t="inlineStr">
        <is>
          <t>Crabominable</t>
        </is>
      </c>
      <c r="C3789" s="3" t="n">
        <v>45</v>
      </c>
      <c r="D3789" s="3" t="inlineStr">
        <is>
          <t>Dynamic Punch</t>
        </is>
      </c>
      <c r="E3789" s="3" t="inlineStr">
        <is>
          <t>MOVE_DYNAMIC_PUNCH</t>
        </is>
      </c>
    </row>
    <row r="3790">
      <c r="A3790" s="3" t="inlineStr">
        <is>
          <t>SPECIES_CRABOMINABLE</t>
        </is>
      </c>
      <c r="B3790" s="3" t="inlineStr">
        <is>
          <t>Crabominable</t>
        </is>
      </c>
      <c r="C3790" s="3" t="n">
        <v>49</v>
      </c>
      <c r="D3790" s="3" t="inlineStr">
        <is>
          <t>Close Combat</t>
        </is>
      </c>
      <c r="E3790" s="3" t="inlineStr">
        <is>
          <t>MOVE_CLOSE_COMBAT</t>
        </is>
      </c>
    </row>
    <row r="3791">
      <c r="A3791" s="3" t="inlineStr">
        <is>
          <t>SPECIES_CUTIEFLY</t>
        </is>
      </c>
      <c r="B3791" s="3" t="inlineStr">
        <is>
          <t>Cutiefly</t>
        </is>
      </c>
      <c r="C3791" s="3" t="n">
        <v>1</v>
      </c>
      <c r="D3791" s="3" t="inlineStr">
        <is>
          <t>Absorb</t>
        </is>
      </c>
      <c r="E3791" s="3" t="inlineStr">
        <is>
          <t>MOVE_ABSORB</t>
        </is>
      </c>
    </row>
    <row r="3792">
      <c r="A3792" s="3" t="inlineStr">
        <is>
          <t>SPECIES_CUTIEFLY</t>
        </is>
      </c>
      <c r="B3792" s="3" t="inlineStr">
        <is>
          <t>Cutiefly</t>
        </is>
      </c>
      <c r="C3792" s="3" t="n">
        <v>1</v>
      </c>
      <c r="D3792" s="3" t="inlineStr">
        <is>
          <t>Fairy Wind</t>
        </is>
      </c>
      <c r="E3792" s="3" t="inlineStr">
        <is>
          <t>MOVE_FAIRY_WIND</t>
        </is>
      </c>
    </row>
    <row r="3793">
      <c r="A3793" s="3" t="inlineStr">
        <is>
          <t>SPECIES_CUTIEFLY</t>
        </is>
      </c>
      <c r="B3793" s="3" t="inlineStr">
        <is>
          <t>Cutiefly</t>
        </is>
      </c>
      <c r="C3793" s="3" t="n">
        <v>6</v>
      </c>
      <c r="D3793" s="3" t="inlineStr">
        <is>
          <t>Stun Spore</t>
        </is>
      </c>
      <c r="E3793" s="3" t="inlineStr">
        <is>
          <t>MOVE_STUN_SPORE</t>
        </is>
      </c>
    </row>
    <row r="3794">
      <c r="A3794" s="3" t="inlineStr">
        <is>
          <t>SPECIES_CUTIEFLY</t>
        </is>
      </c>
      <c r="B3794" s="3" t="inlineStr">
        <is>
          <t>Cutiefly</t>
        </is>
      </c>
      <c r="C3794" s="3" t="n">
        <v>12</v>
      </c>
      <c r="D3794" s="3" t="inlineStr">
        <is>
          <t>Sweet Scent</t>
        </is>
      </c>
      <c r="E3794" s="3" t="inlineStr">
        <is>
          <t>MOVE_SWEET_SCENT</t>
        </is>
      </c>
    </row>
    <row r="3795">
      <c r="A3795" s="3" t="inlineStr">
        <is>
          <t>SPECIES_CUTIEFLY</t>
        </is>
      </c>
      <c r="B3795" s="3" t="inlineStr">
        <is>
          <t>Cutiefly</t>
        </is>
      </c>
      <c r="C3795" s="3" t="n">
        <v>18</v>
      </c>
      <c r="D3795" s="3" t="inlineStr">
        <is>
          <t>Draining Kiss</t>
        </is>
      </c>
      <c r="E3795" s="3" t="inlineStr">
        <is>
          <t>MOVE_DRAINING_KISS</t>
        </is>
      </c>
    </row>
    <row r="3796">
      <c r="A3796" s="3" t="inlineStr">
        <is>
          <t>SPECIES_CUTIEFLY</t>
        </is>
      </c>
      <c r="B3796" s="3" t="inlineStr">
        <is>
          <t>Cutiefly</t>
        </is>
      </c>
      <c r="C3796" s="3" t="n">
        <v>24</v>
      </c>
      <c r="D3796" s="3" t="inlineStr">
        <is>
          <t>Struggle Bug</t>
        </is>
      </c>
      <c r="E3796" s="3" t="inlineStr">
        <is>
          <t>MOVE_STRUGGLE_BUG</t>
        </is>
      </c>
    </row>
    <row r="3797">
      <c r="A3797" s="3" t="inlineStr">
        <is>
          <t>SPECIES_CUTIEFLY</t>
        </is>
      </c>
      <c r="B3797" s="3" t="inlineStr">
        <is>
          <t>Cutiefly</t>
        </is>
      </c>
      <c r="C3797" s="3" t="n">
        <v>30</v>
      </c>
      <c r="D3797" s="3" t="inlineStr">
        <is>
          <t>Covet</t>
        </is>
      </c>
      <c r="E3797" s="3" t="inlineStr">
        <is>
          <t>MOVE_COVET</t>
        </is>
      </c>
    </row>
    <row r="3798">
      <c r="A3798" s="3" t="inlineStr">
        <is>
          <t>SPECIES_CUTIEFLY</t>
        </is>
      </c>
      <c r="B3798" s="3" t="inlineStr">
        <is>
          <t>Cutiefly</t>
        </is>
      </c>
      <c r="C3798" s="3" t="n">
        <v>36</v>
      </c>
      <c r="D3798" s="3" t="inlineStr">
        <is>
          <t>Switcheroo</t>
        </is>
      </c>
      <c r="E3798" s="3" t="inlineStr">
        <is>
          <t>MOVE_SWITCHEROO</t>
        </is>
      </c>
    </row>
    <row r="3799">
      <c r="A3799" s="3" t="inlineStr">
        <is>
          <t>SPECIES_CUTIEFLY</t>
        </is>
      </c>
      <c r="B3799" s="3" t="inlineStr">
        <is>
          <t>Cutiefly</t>
        </is>
      </c>
      <c r="C3799" s="3" t="n">
        <v>42</v>
      </c>
      <c r="D3799" s="3" t="inlineStr">
        <is>
          <t>Dazzling Gleam</t>
        </is>
      </c>
      <c r="E3799" s="3" t="inlineStr">
        <is>
          <t>MOVE_DAZZLING_GLEAM</t>
        </is>
      </c>
    </row>
    <row r="3800">
      <c r="A3800" s="3" t="inlineStr">
        <is>
          <t>SPECIES_CUTIEFLY</t>
        </is>
      </c>
      <c r="B3800" s="3" t="inlineStr">
        <is>
          <t>Cutiefly</t>
        </is>
      </c>
      <c r="C3800" s="3" t="n">
        <v>48</v>
      </c>
      <c r="D3800" s="3" t="inlineStr">
        <is>
          <t>Bug Buzz</t>
        </is>
      </c>
      <c r="E3800" s="3" t="inlineStr">
        <is>
          <t>MOVE_BUG_BUZZ</t>
        </is>
      </c>
    </row>
    <row r="3801">
      <c r="A3801" s="3" t="inlineStr">
        <is>
          <t>SPECIES_CUTIEFLY</t>
        </is>
      </c>
      <c r="B3801" s="3" t="inlineStr">
        <is>
          <t>Cutiefly</t>
        </is>
      </c>
      <c r="C3801" s="3" t="n">
        <v>54</v>
      </c>
      <c r="D3801" s="3" t="inlineStr">
        <is>
          <t>Quiver Dance</t>
        </is>
      </c>
      <c r="E3801" s="3" t="inlineStr">
        <is>
          <t>MOVE_QUIVER_DANCE</t>
        </is>
      </c>
    </row>
    <row r="3802">
      <c r="A3802" s="3" t="inlineStr">
        <is>
          <t>SPECIES_RIBOMBEE</t>
        </is>
      </c>
      <c r="B3802" s="3" t="inlineStr">
        <is>
          <t>Ribombee</t>
        </is>
      </c>
      <c r="C3802" s="3" t="n">
        <v>0</v>
      </c>
      <c r="D3802" s="3" t="inlineStr">
        <is>
          <t>Pollen Puff</t>
        </is>
      </c>
      <c r="E3802" s="3" t="inlineStr">
        <is>
          <t>MOVE_POLLEN_PUFF</t>
        </is>
      </c>
    </row>
    <row r="3803">
      <c r="A3803" s="3" t="inlineStr">
        <is>
          <t>SPECIES_RIBOMBEE</t>
        </is>
      </c>
      <c r="B3803" s="3" t="inlineStr">
        <is>
          <t>Ribombee</t>
        </is>
      </c>
      <c r="C3803" s="3" t="n">
        <v>1</v>
      </c>
      <c r="D3803" s="3" t="inlineStr">
        <is>
          <t>Absorb</t>
        </is>
      </c>
      <c r="E3803" s="3" t="inlineStr">
        <is>
          <t>MOVE_ABSORB</t>
        </is>
      </c>
    </row>
    <row r="3804">
      <c r="A3804" s="3" t="inlineStr">
        <is>
          <t>SPECIES_RIBOMBEE</t>
        </is>
      </c>
      <c r="B3804" s="3" t="inlineStr">
        <is>
          <t>Ribombee</t>
        </is>
      </c>
      <c r="C3804" s="3" t="n">
        <v>1</v>
      </c>
      <c r="D3804" s="3" t="inlineStr">
        <is>
          <t>Stun Spore</t>
        </is>
      </c>
      <c r="E3804" s="3" t="inlineStr">
        <is>
          <t>MOVE_STUN_SPORE</t>
        </is>
      </c>
    </row>
    <row r="3805">
      <c r="A3805" s="3" t="inlineStr">
        <is>
          <t>SPECIES_RIBOMBEE</t>
        </is>
      </c>
      <c r="B3805" s="3" t="inlineStr">
        <is>
          <t>Ribombee</t>
        </is>
      </c>
      <c r="C3805" s="3" t="n">
        <v>1</v>
      </c>
      <c r="D3805" s="3" t="inlineStr">
        <is>
          <t>Sweet Scent</t>
        </is>
      </c>
      <c r="E3805" s="3" t="inlineStr">
        <is>
          <t>MOVE_SWEET_SCENT</t>
        </is>
      </c>
    </row>
    <row r="3806">
      <c r="A3806" s="3" t="inlineStr">
        <is>
          <t>SPECIES_RIBOMBEE</t>
        </is>
      </c>
      <c r="B3806" s="3" t="inlineStr">
        <is>
          <t>Ribombee</t>
        </is>
      </c>
      <c r="C3806" s="3" t="n">
        <v>1</v>
      </c>
      <c r="D3806" s="3" t="inlineStr">
        <is>
          <t>Fairy Wind</t>
        </is>
      </c>
      <c r="E3806" s="3" t="inlineStr">
        <is>
          <t>MOVE_FAIRY_WIND</t>
        </is>
      </c>
    </row>
    <row r="3807">
      <c r="A3807" s="3" t="inlineStr">
        <is>
          <t>SPECIES_RIBOMBEE</t>
        </is>
      </c>
      <c r="B3807" s="3" t="inlineStr">
        <is>
          <t>Ribombee</t>
        </is>
      </c>
      <c r="C3807" s="3" t="n">
        <v>18</v>
      </c>
      <c r="D3807" s="3" t="inlineStr">
        <is>
          <t>Draining Kiss</t>
        </is>
      </c>
      <c r="E3807" s="3" t="inlineStr">
        <is>
          <t>MOVE_DRAINING_KISS</t>
        </is>
      </c>
    </row>
    <row r="3808">
      <c r="A3808" s="3" t="inlineStr">
        <is>
          <t>SPECIES_RIBOMBEE</t>
        </is>
      </c>
      <c r="B3808" s="3" t="inlineStr">
        <is>
          <t>Ribombee</t>
        </is>
      </c>
      <c r="C3808" s="3" t="n">
        <v>24</v>
      </c>
      <c r="D3808" s="3" t="inlineStr">
        <is>
          <t>Struggle Bug</t>
        </is>
      </c>
      <c r="E3808" s="3" t="inlineStr">
        <is>
          <t>MOVE_STRUGGLE_BUG</t>
        </is>
      </c>
    </row>
    <row r="3809">
      <c r="A3809" s="3" t="inlineStr">
        <is>
          <t>SPECIES_RIBOMBEE</t>
        </is>
      </c>
      <c r="B3809" s="3" t="inlineStr">
        <is>
          <t>Ribombee</t>
        </is>
      </c>
      <c r="C3809" s="3" t="n">
        <v>32</v>
      </c>
      <c r="D3809" s="3" t="inlineStr">
        <is>
          <t>Covet</t>
        </is>
      </c>
      <c r="E3809" s="3" t="inlineStr">
        <is>
          <t>MOVE_COVET</t>
        </is>
      </c>
    </row>
    <row r="3810">
      <c r="A3810" s="3" t="inlineStr">
        <is>
          <t>SPECIES_RIBOMBEE</t>
        </is>
      </c>
      <c r="B3810" s="3" t="inlineStr">
        <is>
          <t>Ribombee</t>
        </is>
      </c>
      <c r="C3810" s="3" t="n">
        <v>40</v>
      </c>
      <c r="D3810" s="3" t="inlineStr">
        <is>
          <t>Switcheroo</t>
        </is>
      </c>
      <c r="E3810" s="3" t="inlineStr">
        <is>
          <t>MOVE_SWITCHEROO</t>
        </is>
      </c>
    </row>
    <row r="3811">
      <c r="A3811" s="3" t="inlineStr">
        <is>
          <t>SPECIES_RIBOMBEE</t>
        </is>
      </c>
      <c r="B3811" s="3" t="inlineStr">
        <is>
          <t>Ribombee</t>
        </is>
      </c>
      <c r="C3811" s="3" t="n">
        <v>48</v>
      </c>
      <c r="D3811" s="3" t="inlineStr">
        <is>
          <t>Dazzling Gleam</t>
        </is>
      </c>
      <c r="E3811" s="3" t="inlineStr">
        <is>
          <t>MOVE_DAZZLING_GLEAM</t>
        </is>
      </c>
    </row>
    <row r="3812">
      <c r="A3812" s="3" t="inlineStr">
        <is>
          <t>SPECIES_RIBOMBEE</t>
        </is>
      </c>
      <c r="B3812" s="3" t="inlineStr">
        <is>
          <t>Ribombee</t>
        </is>
      </c>
      <c r="C3812" s="3" t="n">
        <v>56</v>
      </c>
      <c r="D3812" s="3" t="inlineStr">
        <is>
          <t>Bug Buzz</t>
        </is>
      </c>
      <c r="E3812" s="3" t="inlineStr">
        <is>
          <t>MOVE_BUG_BUZZ</t>
        </is>
      </c>
    </row>
    <row r="3813">
      <c r="A3813" s="3" t="inlineStr">
        <is>
          <t>SPECIES_RIBOMBEE</t>
        </is>
      </c>
      <c r="B3813" s="3" t="inlineStr">
        <is>
          <t>Ribombee</t>
        </is>
      </c>
      <c r="C3813" s="3" t="n">
        <v>64</v>
      </c>
      <c r="D3813" s="3" t="inlineStr">
        <is>
          <t>Quiver Dance</t>
        </is>
      </c>
      <c r="E3813" s="3" t="inlineStr">
        <is>
          <t>MOVE_QUIVER_DANCE</t>
        </is>
      </c>
    </row>
    <row r="3814">
      <c r="A3814" s="3" t="inlineStr">
        <is>
          <t>SPECIES_DEWPIDER</t>
        </is>
      </c>
      <c r="B3814" s="3" t="inlineStr">
        <is>
          <t>Dewpider</t>
        </is>
      </c>
      <c r="C3814" s="3" t="n">
        <v>1</v>
      </c>
      <c r="D3814" s="3" t="inlineStr">
        <is>
          <t>Water Gun</t>
        </is>
      </c>
      <c r="E3814" s="3" t="inlineStr">
        <is>
          <t>MOVE_WATER_GUN</t>
        </is>
      </c>
    </row>
    <row r="3815">
      <c r="A3815" s="3" t="inlineStr">
        <is>
          <t>SPECIES_DEWPIDER</t>
        </is>
      </c>
      <c r="B3815" s="3" t="inlineStr">
        <is>
          <t>Dewpider</t>
        </is>
      </c>
      <c r="C3815" s="3" t="n">
        <v>1</v>
      </c>
      <c r="D3815" s="3" t="inlineStr">
        <is>
          <t>Infestation</t>
        </is>
      </c>
      <c r="E3815" s="3" t="inlineStr">
        <is>
          <t>MOVE_INFESTATION</t>
        </is>
      </c>
    </row>
    <row r="3816">
      <c r="A3816" s="3" t="inlineStr">
        <is>
          <t>SPECIES_DEWPIDER</t>
        </is>
      </c>
      <c r="B3816" s="3" t="inlineStr">
        <is>
          <t>Dewpider</t>
        </is>
      </c>
      <c r="C3816" s="3" t="n">
        <v>4</v>
      </c>
      <c r="D3816" s="3" t="inlineStr">
        <is>
          <t>Bug Bite</t>
        </is>
      </c>
      <c r="E3816" s="3" t="inlineStr">
        <is>
          <t>MOVE_BUG_BITE</t>
        </is>
      </c>
    </row>
    <row r="3817">
      <c r="A3817" s="3" t="inlineStr">
        <is>
          <t>SPECIES_DEWPIDER</t>
        </is>
      </c>
      <c r="B3817" s="3" t="inlineStr">
        <is>
          <t>Dewpider</t>
        </is>
      </c>
      <c r="C3817" s="3" t="n">
        <v>8</v>
      </c>
      <c r="D3817" s="3" t="inlineStr">
        <is>
          <t>Bite</t>
        </is>
      </c>
      <c r="E3817" s="3" t="inlineStr">
        <is>
          <t>MOVE_BITE</t>
        </is>
      </c>
    </row>
    <row r="3818">
      <c r="A3818" s="3" t="inlineStr">
        <is>
          <t>SPECIES_DEWPIDER</t>
        </is>
      </c>
      <c r="B3818" s="3" t="inlineStr">
        <is>
          <t>Dewpider</t>
        </is>
      </c>
      <c r="C3818" s="3" t="n">
        <v>12</v>
      </c>
      <c r="D3818" s="3" t="inlineStr">
        <is>
          <t>Bubble Beam</t>
        </is>
      </c>
      <c r="E3818" s="3" t="inlineStr">
        <is>
          <t>MOVE_BUBBLE_BEAM</t>
        </is>
      </c>
    </row>
    <row r="3819">
      <c r="A3819" s="3" t="inlineStr">
        <is>
          <t>SPECIES_DEWPIDER</t>
        </is>
      </c>
      <c r="B3819" s="3" t="inlineStr">
        <is>
          <t>Dewpider</t>
        </is>
      </c>
      <c r="C3819" s="3" t="n">
        <v>16</v>
      </c>
      <c r="D3819" s="3" t="inlineStr">
        <is>
          <t>Aqua Ring</t>
        </is>
      </c>
      <c r="E3819" s="3" t="inlineStr">
        <is>
          <t>MOVE_AQUA_RING</t>
        </is>
      </c>
    </row>
    <row r="3820">
      <c r="A3820" s="3" t="inlineStr">
        <is>
          <t>SPECIES_DEWPIDER</t>
        </is>
      </c>
      <c r="B3820" s="3" t="inlineStr">
        <is>
          <t>Dewpider</t>
        </is>
      </c>
      <c r="C3820" s="3" t="n">
        <v>20</v>
      </c>
      <c r="D3820" s="3" t="inlineStr">
        <is>
          <t>Headbutt</t>
        </is>
      </c>
      <c r="E3820" s="3" t="inlineStr">
        <is>
          <t>MOVE_HEADBUTT</t>
        </is>
      </c>
    </row>
    <row r="3821">
      <c r="A3821" s="3" t="inlineStr">
        <is>
          <t>SPECIES_DEWPIDER</t>
        </is>
      </c>
      <c r="B3821" s="3" t="inlineStr">
        <is>
          <t>Dewpider</t>
        </is>
      </c>
      <c r="C3821" s="3" t="n">
        <v>24</v>
      </c>
      <c r="D3821" s="3" t="inlineStr">
        <is>
          <t>Crunch</t>
        </is>
      </c>
      <c r="E3821" s="3" t="inlineStr">
        <is>
          <t>MOVE_CRUNCH</t>
        </is>
      </c>
    </row>
    <row r="3822">
      <c r="A3822" s="3" t="inlineStr">
        <is>
          <t>SPECIES_DEWPIDER</t>
        </is>
      </c>
      <c r="B3822" s="3" t="inlineStr">
        <is>
          <t>Dewpider</t>
        </is>
      </c>
      <c r="C3822" s="3" t="n">
        <v>28</v>
      </c>
      <c r="D3822" s="3" t="inlineStr">
        <is>
          <t>Soak</t>
        </is>
      </c>
      <c r="E3822" s="3" t="inlineStr">
        <is>
          <t>MOVE_SOAK</t>
        </is>
      </c>
    </row>
    <row r="3823">
      <c r="A3823" s="3" t="inlineStr">
        <is>
          <t>SPECIES_DEWPIDER</t>
        </is>
      </c>
      <c r="B3823" s="3" t="inlineStr">
        <is>
          <t>Dewpider</t>
        </is>
      </c>
      <c r="C3823" s="3" t="n">
        <v>32</v>
      </c>
      <c r="D3823" s="3" t="inlineStr">
        <is>
          <t>Entrainment</t>
        </is>
      </c>
      <c r="E3823" s="3" t="inlineStr">
        <is>
          <t>MOVE_ENTRAINMENT</t>
        </is>
      </c>
    </row>
    <row r="3824">
      <c r="A3824" s="3" t="inlineStr">
        <is>
          <t>SPECIES_DEWPIDER</t>
        </is>
      </c>
      <c r="B3824" s="3" t="inlineStr">
        <is>
          <t>Dewpider</t>
        </is>
      </c>
      <c r="C3824" s="3" t="n">
        <v>36</v>
      </c>
      <c r="D3824" s="3" t="inlineStr">
        <is>
          <t>Lunge</t>
        </is>
      </c>
      <c r="E3824" s="3" t="inlineStr">
        <is>
          <t>MOVE_LUNGE</t>
        </is>
      </c>
    </row>
    <row r="3825">
      <c r="A3825" s="3" t="inlineStr">
        <is>
          <t>SPECIES_DEWPIDER</t>
        </is>
      </c>
      <c r="B3825" s="3" t="inlineStr">
        <is>
          <t>Dewpider</t>
        </is>
      </c>
      <c r="C3825" s="3" t="n">
        <v>40</v>
      </c>
      <c r="D3825" s="3" t="inlineStr">
        <is>
          <t>Liquidation</t>
        </is>
      </c>
      <c r="E3825" s="3" t="inlineStr">
        <is>
          <t>MOVE_LIQUIDATION</t>
        </is>
      </c>
    </row>
    <row r="3826">
      <c r="A3826" s="3" t="inlineStr">
        <is>
          <t>SPECIES_DEWPIDER</t>
        </is>
      </c>
      <c r="B3826" s="3" t="inlineStr">
        <is>
          <t>Dewpider</t>
        </is>
      </c>
      <c r="C3826" s="3" t="n">
        <v>44</v>
      </c>
      <c r="D3826" s="3" t="inlineStr">
        <is>
          <t>Leech Life</t>
        </is>
      </c>
      <c r="E3826" s="3" t="inlineStr">
        <is>
          <t>MOVE_LEECH_LIFE</t>
        </is>
      </c>
    </row>
    <row r="3827">
      <c r="A3827" s="3" t="inlineStr">
        <is>
          <t>SPECIES_DEWPIDER</t>
        </is>
      </c>
      <c r="B3827" s="3" t="inlineStr">
        <is>
          <t>Dewpider</t>
        </is>
      </c>
      <c r="C3827" s="3" t="n">
        <v>48</v>
      </c>
      <c r="D3827" s="3" t="inlineStr">
        <is>
          <t>Mirror Coat</t>
        </is>
      </c>
      <c r="E3827" s="3" t="inlineStr">
        <is>
          <t>MOVE_MIRROR_COAT</t>
        </is>
      </c>
    </row>
    <row r="3828">
      <c r="A3828" s="3" t="inlineStr">
        <is>
          <t>SPECIES_ARAQUANID</t>
        </is>
      </c>
      <c r="B3828" s="3" t="inlineStr">
        <is>
          <t>Araquanid</t>
        </is>
      </c>
      <c r="C3828" s="3" t="n">
        <v>1</v>
      </c>
      <c r="D3828" s="3" t="inlineStr">
        <is>
          <t>Bite</t>
        </is>
      </c>
      <c r="E3828" s="3" t="inlineStr">
        <is>
          <t>MOVE_BITE</t>
        </is>
      </c>
    </row>
    <row r="3829">
      <c r="A3829" s="3" t="inlineStr">
        <is>
          <t>SPECIES_ARAQUANID</t>
        </is>
      </c>
      <c r="B3829" s="3" t="inlineStr">
        <is>
          <t>Araquanid</t>
        </is>
      </c>
      <c r="C3829" s="3" t="n">
        <v>1</v>
      </c>
      <c r="D3829" s="3" t="inlineStr">
        <is>
          <t>Water Gun</t>
        </is>
      </c>
      <c r="E3829" s="3" t="inlineStr">
        <is>
          <t>MOVE_WATER_GUN</t>
        </is>
      </c>
    </row>
    <row r="3830">
      <c r="A3830" s="3" t="inlineStr">
        <is>
          <t>SPECIES_ARAQUANID</t>
        </is>
      </c>
      <c r="B3830" s="3" t="inlineStr">
        <is>
          <t>Araquanid</t>
        </is>
      </c>
      <c r="C3830" s="3" t="n">
        <v>1</v>
      </c>
      <c r="D3830" s="3" t="inlineStr">
        <is>
          <t>Bug Bite</t>
        </is>
      </c>
      <c r="E3830" s="3" t="inlineStr">
        <is>
          <t>MOVE_BUG_BITE</t>
        </is>
      </c>
    </row>
    <row r="3831">
      <c r="A3831" s="3" t="inlineStr">
        <is>
          <t>SPECIES_ARAQUANID</t>
        </is>
      </c>
      <c r="B3831" s="3" t="inlineStr">
        <is>
          <t>Araquanid</t>
        </is>
      </c>
      <c r="C3831" s="3" t="n">
        <v>1</v>
      </c>
      <c r="D3831" s="3" t="inlineStr">
        <is>
          <t>Wide Guard</t>
        </is>
      </c>
      <c r="E3831" s="3" t="inlineStr">
        <is>
          <t>MOVE_WIDE_GUARD</t>
        </is>
      </c>
    </row>
    <row r="3832">
      <c r="A3832" s="3" t="inlineStr">
        <is>
          <t>SPECIES_ARAQUANID</t>
        </is>
      </c>
      <c r="B3832" s="3" t="inlineStr">
        <is>
          <t>Araquanid</t>
        </is>
      </c>
      <c r="C3832" s="3" t="n">
        <v>1</v>
      </c>
      <c r="D3832" s="3" t="inlineStr">
        <is>
          <t>Infestation</t>
        </is>
      </c>
      <c r="E3832" s="3" t="inlineStr">
        <is>
          <t>MOVE_INFESTATION</t>
        </is>
      </c>
    </row>
    <row r="3833">
      <c r="A3833" s="3" t="inlineStr">
        <is>
          <t>SPECIES_ARAQUANID</t>
        </is>
      </c>
      <c r="B3833" s="3" t="inlineStr">
        <is>
          <t>Araquanid</t>
        </is>
      </c>
      <c r="C3833" s="3" t="n">
        <v>12</v>
      </c>
      <c r="D3833" s="3" t="inlineStr">
        <is>
          <t>Bubble Beam</t>
        </is>
      </c>
      <c r="E3833" s="3" t="inlineStr">
        <is>
          <t>MOVE_BUBBLE_BEAM</t>
        </is>
      </c>
    </row>
    <row r="3834">
      <c r="A3834" s="3" t="inlineStr">
        <is>
          <t>SPECIES_ARAQUANID</t>
        </is>
      </c>
      <c r="B3834" s="3" t="inlineStr">
        <is>
          <t>Araquanid</t>
        </is>
      </c>
      <c r="C3834" s="3" t="n">
        <v>16</v>
      </c>
      <c r="D3834" s="3" t="inlineStr">
        <is>
          <t>Aqua Ring</t>
        </is>
      </c>
      <c r="E3834" s="3" t="inlineStr">
        <is>
          <t>MOVE_AQUA_RING</t>
        </is>
      </c>
    </row>
    <row r="3835">
      <c r="A3835" s="3" t="inlineStr">
        <is>
          <t>SPECIES_ARAQUANID</t>
        </is>
      </c>
      <c r="B3835" s="3" t="inlineStr">
        <is>
          <t>Araquanid</t>
        </is>
      </c>
      <c r="C3835" s="3" t="n">
        <v>20</v>
      </c>
      <c r="D3835" s="3" t="inlineStr">
        <is>
          <t>Headbutt</t>
        </is>
      </c>
      <c r="E3835" s="3" t="inlineStr">
        <is>
          <t>MOVE_HEADBUTT</t>
        </is>
      </c>
    </row>
    <row r="3836">
      <c r="A3836" s="3" t="inlineStr">
        <is>
          <t>SPECIES_ARAQUANID</t>
        </is>
      </c>
      <c r="B3836" s="3" t="inlineStr">
        <is>
          <t>Araquanid</t>
        </is>
      </c>
      <c r="C3836" s="3" t="n">
        <v>26</v>
      </c>
      <c r="D3836" s="3" t="inlineStr">
        <is>
          <t>Crunch</t>
        </is>
      </c>
      <c r="E3836" s="3" t="inlineStr">
        <is>
          <t>MOVE_CRUNCH</t>
        </is>
      </c>
    </row>
    <row r="3837">
      <c r="A3837" s="3" t="inlineStr">
        <is>
          <t>SPECIES_ARAQUANID</t>
        </is>
      </c>
      <c r="B3837" s="3" t="inlineStr">
        <is>
          <t>Araquanid</t>
        </is>
      </c>
      <c r="C3837" s="3" t="n">
        <v>32</v>
      </c>
      <c r="D3837" s="3" t="inlineStr">
        <is>
          <t>Soak</t>
        </is>
      </c>
      <c r="E3837" s="3" t="inlineStr">
        <is>
          <t>MOVE_SOAK</t>
        </is>
      </c>
    </row>
    <row r="3838">
      <c r="A3838" s="3" t="inlineStr">
        <is>
          <t>SPECIES_ARAQUANID</t>
        </is>
      </c>
      <c r="B3838" s="3" t="inlineStr">
        <is>
          <t>Araquanid</t>
        </is>
      </c>
      <c r="C3838" s="3" t="n">
        <v>38</v>
      </c>
      <c r="D3838" s="3" t="inlineStr">
        <is>
          <t>Entrainment</t>
        </is>
      </c>
      <c r="E3838" s="3" t="inlineStr">
        <is>
          <t>MOVE_ENTRAINMENT</t>
        </is>
      </c>
    </row>
    <row r="3839">
      <c r="A3839" s="3" t="inlineStr">
        <is>
          <t>SPECIES_ARAQUANID</t>
        </is>
      </c>
      <c r="B3839" s="3" t="inlineStr">
        <is>
          <t>Araquanid</t>
        </is>
      </c>
      <c r="C3839" s="3" t="n">
        <v>44</v>
      </c>
      <c r="D3839" s="3" t="inlineStr">
        <is>
          <t>Lunge</t>
        </is>
      </c>
      <c r="E3839" s="3" t="inlineStr">
        <is>
          <t>MOVE_LUNGE</t>
        </is>
      </c>
    </row>
    <row r="3840">
      <c r="A3840" s="3" t="inlineStr">
        <is>
          <t>SPECIES_ARAQUANID</t>
        </is>
      </c>
      <c r="B3840" s="3" t="inlineStr">
        <is>
          <t>Araquanid</t>
        </is>
      </c>
      <c r="C3840" s="3" t="n">
        <v>50</v>
      </c>
      <c r="D3840" s="3" t="inlineStr">
        <is>
          <t>Liquidation</t>
        </is>
      </c>
      <c r="E3840" s="3" t="inlineStr">
        <is>
          <t>MOVE_LIQUIDATION</t>
        </is>
      </c>
    </row>
    <row r="3841">
      <c r="A3841" s="3" t="inlineStr">
        <is>
          <t>SPECIES_ARAQUANID</t>
        </is>
      </c>
      <c r="B3841" s="3" t="inlineStr">
        <is>
          <t>Araquanid</t>
        </is>
      </c>
      <c r="C3841" s="3" t="n">
        <v>56</v>
      </c>
      <c r="D3841" s="3" t="inlineStr">
        <is>
          <t>Leech Life</t>
        </is>
      </c>
      <c r="E3841" s="3" t="inlineStr">
        <is>
          <t>MOVE_LEECH_LIFE</t>
        </is>
      </c>
    </row>
    <row r="3842">
      <c r="A3842" s="3" t="inlineStr">
        <is>
          <t>SPECIES_ARAQUANID</t>
        </is>
      </c>
      <c r="B3842" s="3" t="inlineStr">
        <is>
          <t>Araquanid</t>
        </is>
      </c>
      <c r="C3842" s="3" t="n">
        <v>62</v>
      </c>
      <c r="D3842" s="3" t="inlineStr">
        <is>
          <t>Mirror Coat</t>
        </is>
      </c>
      <c r="E3842" s="3" t="inlineStr">
        <is>
          <t>MOVE_MIRROR_COAT</t>
        </is>
      </c>
    </row>
    <row r="3843">
      <c r="A3843" s="3" t="inlineStr">
        <is>
          <t>SPECIES_SALANDIT</t>
        </is>
      </c>
      <c r="B3843" s="3" t="inlineStr">
        <is>
          <t>Salandit</t>
        </is>
      </c>
      <c r="C3843" s="3" t="n">
        <v>1</v>
      </c>
      <c r="D3843" s="3" t="inlineStr">
        <is>
          <t>Scratch</t>
        </is>
      </c>
      <c r="E3843" s="3" t="inlineStr">
        <is>
          <t>MOVE_SCRATCH</t>
        </is>
      </c>
    </row>
    <row r="3844">
      <c r="A3844" s="3" t="inlineStr">
        <is>
          <t>SPECIES_SALANDIT</t>
        </is>
      </c>
      <c r="B3844" s="3" t="inlineStr">
        <is>
          <t>Salandit</t>
        </is>
      </c>
      <c r="C3844" s="3" t="n">
        <v>1</v>
      </c>
      <c r="D3844" s="3" t="inlineStr">
        <is>
          <t>Poison Gas</t>
        </is>
      </c>
      <c r="E3844" s="3" t="inlineStr">
        <is>
          <t>MOVE_POISON_GAS</t>
        </is>
      </c>
    </row>
    <row r="3845">
      <c r="A3845" s="3" t="inlineStr">
        <is>
          <t>SPECIES_SALANDIT</t>
        </is>
      </c>
      <c r="B3845" s="3" t="inlineStr">
        <is>
          <t>Salandit</t>
        </is>
      </c>
      <c r="C3845" s="3" t="n">
        <v>5</v>
      </c>
      <c r="D3845" s="3" t="inlineStr">
        <is>
          <t>Smog</t>
        </is>
      </c>
      <c r="E3845" s="3" t="inlineStr">
        <is>
          <t>MOVE_SMOG</t>
        </is>
      </c>
    </row>
    <row r="3846">
      <c r="A3846" s="3" t="inlineStr">
        <is>
          <t>SPECIES_SALANDIT</t>
        </is>
      </c>
      <c r="B3846" s="3" t="inlineStr">
        <is>
          <t>Salandit</t>
        </is>
      </c>
      <c r="C3846" s="3" t="n">
        <v>10</v>
      </c>
      <c r="D3846" s="3" t="inlineStr">
        <is>
          <t>Ember</t>
        </is>
      </c>
      <c r="E3846" s="3" t="inlineStr">
        <is>
          <t>MOVE_EMBER</t>
        </is>
      </c>
    </row>
    <row r="3847">
      <c r="A3847" s="3" t="inlineStr">
        <is>
          <t>SPECIES_SALANDIT</t>
        </is>
      </c>
      <c r="B3847" s="3" t="inlineStr">
        <is>
          <t>Salandit</t>
        </is>
      </c>
      <c r="C3847" s="3" t="n">
        <v>15</v>
      </c>
      <c r="D3847" s="3" t="inlineStr">
        <is>
          <t>Poison Fang</t>
        </is>
      </c>
      <c r="E3847" s="3" t="inlineStr">
        <is>
          <t>MOVE_POISON_FANG</t>
        </is>
      </c>
    </row>
    <row r="3848">
      <c r="A3848" s="3" t="inlineStr">
        <is>
          <t>SPECIES_SALANDIT</t>
        </is>
      </c>
      <c r="B3848" s="3" t="inlineStr">
        <is>
          <t>Salandit</t>
        </is>
      </c>
      <c r="C3848" s="3" t="n">
        <v>20</v>
      </c>
      <c r="D3848" s="3" t="inlineStr">
        <is>
          <t>Sweet Scent</t>
        </is>
      </c>
      <c r="E3848" s="3" t="inlineStr">
        <is>
          <t>MOVE_SWEET_SCENT</t>
        </is>
      </c>
    </row>
    <row r="3849">
      <c r="A3849" s="3" t="inlineStr">
        <is>
          <t>SPECIES_SALANDIT</t>
        </is>
      </c>
      <c r="B3849" s="3" t="inlineStr">
        <is>
          <t>Salandit</t>
        </is>
      </c>
      <c r="C3849" s="3" t="n">
        <v>25</v>
      </c>
      <c r="D3849" s="3" t="inlineStr">
        <is>
          <t>Nasty Plot</t>
        </is>
      </c>
      <c r="E3849" s="3" t="inlineStr">
        <is>
          <t>MOVE_NASTY_PLOT</t>
        </is>
      </c>
    </row>
    <row r="3850">
      <c r="A3850" s="3" t="inlineStr">
        <is>
          <t>SPECIES_SALANDIT</t>
        </is>
      </c>
      <c r="B3850" s="3" t="inlineStr">
        <is>
          <t>Salandit</t>
        </is>
      </c>
      <c r="C3850" s="3" t="n">
        <v>30</v>
      </c>
      <c r="D3850" s="3" t="inlineStr">
        <is>
          <t>Incinerate</t>
        </is>
      </c>
      <c r="E3850" s="3" t="inlineStr">
        <is>
          <t>MOVE_INCINERATE</t>
        </is>
      </c>
    </row>
    <row r="3851">
      <c r="A3851" s="3" t="inlineStr">
        <is>
          <t>SPECIES_SALANDIT</t>
        </is>
      </c>
      <c r="B3851" s="3" t="inlineStr">
        <is>
          <t>Salandit</t>
        </is>
      </c>
      <c r="C3851" s="3" t="n">
        <v>35</v>
      </c>
      <c r="D3851" s="3" t="inlineStr">
        <is>
          <t>Venoshock</t>
        </is>
      </c>
      <c r="E3851" s="3" t="inlineStr">
        <is>
          <t>MOVE_VENOSHOCK</t>
        </is>
      </c>
    </row>
    <row r="3852">
      <c r="A3852" s="3" t="inlineStr">
        <is>
          <t>SPECIES_SALANDIT</t>
        </is>
      </c>
      <c r="B3852" s="3" t="inlineStr">
        <is>
          <t>Salandit</t>
        </is>
      </c>
      <c r="C3852" s="3" t="n">
        <v>40</v>
      </c>
      <c r="D3852" s="3" t="inlineStr">
        <is>
          <t>Dragon Pulse</t>
        </is>
      </c>
      <c r="E3852" s="3" t="inlineStr">
        <is>
          <t>MOVE_DRAGON_PULSE</t>
        </is>
      </c>
    </row>
    <row r="3853">
      <c r="A3853" s="3" t="inlineStr">
        <is>
          <t>SPECIES_SALANDIT</t>
        </is>
      </c>
      <c r="B3853" s="3" t="inlineStr">
        <is>
          <t>Salandit</t>
        </is>
      </c>
      <c r="C3853" s="3" t="n">
        <v>45</v>
      </c>
      <c r="D3853" s="3" t="inlineStr">
        <is>
          <t>Flamethrower</t>
        </is>
      </c>
      <c r="E3853" s="3" t="inlineStr">
        <is>
          <t>MOVE_FLAMETHROWER</t>
        </is>
      </c>
    </row>
    <row r="3854">
      <c r="A3854" s="3" t="inlineStr">
        <is>
          <t>SPECIES_SALANDIT</t>
        </is>
      </c>
      <c r="B3854" s="3" t="inlineStr">
        <is>
          <t>Salandit</t>
        </is>
      </c>
      <c r="C3854" s="3" t="n">
        <v>50</v>
      </c>
      <c r="D3854" s="3" t="inlineStr">
        <is>
          <t>Toxic</t>
        </is>
      </c>
      <c r="E3854" s="3" t="inlineStr">
        <is>
          <t>MOVE_TOXIC</t>
        </is>
      </c>
    </row>
    <row r="3855">
      <c r="A3855" s="3" t="inlineStr">
        <is>
          <t>SPECIES_SALANDIT</t>
        </is>
      </c>
      <c r="B3855" s="3" t="inlineStr">
        <is>
          <t>Salandit</t>
        </is>
      </c>
      <c r="C3855" s="3" t="n">
        <v>55</v>
      </c>
      <c r="D3855" s="3" t="inlineStr">
        <is>
          <t>Endeavor</t>
        </is>
      </c>
      <c r="E3855" s="3" t="inlineStr">
        <is>
          <t>MOVE_ENDEAVOR</t>
        </is>
      </c>
    </row>
    <row r="3856">
      <c r="A3856" s="3" t="inlineStr">
        <is>
          <t>SPECIES_SALAZZLE</t>
        </is>
      </c>
      <c r="B3856" s="3" t="inlineStr">
        <is>
          <t>Salazzle</t>
        </is>
      </c>
      <c r="C3856" s="3" t="n">
        <v>0</v>
      </c>
      <c r="D3856" s="3" t="inlineStr">
        <is>
          <t>Fire Lash</t>
        </is>
      </c>
      <c r="E3856" s="3" t="inlineStr">
        <is>
          <t>MOVE_FIRE_LASH</t>
        </is>
      </c>
    </row>
    <row r="3857">
      <c r="A3857" s="3" t="inlineStr">
        <is>
          <t>SPECIES_SALAZZLE</t>
        </is>
      </c>
      <c r="B3857" s="3" t="inlineStr">
        <is>
          <t>Salazzle</t>
        </is>
      </c>
      <c r="C3857" s="3" t="n">
        <v>1</v>
      </c>
      <c r="D3857" s="3" t="inlineStr">
        <is>
          <t>Endeavor</t>
        </is>
      </c>
      <c r="E3857" s="3" t="inlineStr">
        <is>
          <t>MOVE_ENDEAVOR</t>
        </is>
      </c>
    </row>
    <row r="3858">
      <c r="A3858" s="3" t="inlineStr">
        <is>
          <t>SPECIES_SALAZZLE</t>
        </is>
      </c>
      <c r="B3858" s="3" t="inlineStr">
        <is>
          <t>Salazzle</t>
        </is>
      </c>
      <c r="C3858" s="3" t="n">
        <v>1</v>
      </c>
      <c r="D3858" s="3" t="inlineStr">
        <is>
          <t>Knock Off</t>
        </is>
      </c>
      <c r="E3858" s="3" t="inlineStr">
        <is>
          <t>MOVE_KNOCK_OFF</t>
        </is>
      </c>
    </row>
    <row r="3859">
      <c r="A3859" s="3" t="inlineStr">
        <is>
          <t>SPECIES_SALAZZLE</t>
        </is>
      </c>
      <c r="B3859" s="3" t="inlineStr">
        <is>
          <t>Salazzle</t>
        </is>
      </c>
      <c r="C3859" s="3" t="n">
        <v>1</v>
      </c>
      <c r="D3859" s="3" t="inlineStr">
        <is>
          <t>Torment</t>
        </is>
      </c>
      <c r="E3859" s="3" t="inlineStr">
        <is>
          <t>MOVE_TORMENT</t>
        </is>
      </c>
    </row>
    <row r="3860">
      <c r="A3860" s="3" t="inlineStr">
        <is>
          <t>SPECIES_SALAZZLE</t>
        </is>
      </c>
      <c r="B3860" s="3" t="inlineStr">
        <is>
          <t>Salazzle</t>
        </is>
      </c>
      <c r="C3860" s="3" t="n">
        <v>1</v>
      </c>
      <c r="D3860" s="3" t="inlineStr">
        <is>
          <t>Swagger</t>
        </is>
      </c>
      <c r="E3860" s="3" t="inlineStr">
        <is>
          <t>MOVE_SWAGGER</t>
        </is>
      </c>
    </row>
    <row r="3861">
      <c r="A3861" s="3" t="inlineStr">
        <is>
          <t>SPECIES_SALAZZLE</t>
        </is>
      </c>
      <c r="B3861" s="3" t="inlineStr">
        <is>
          <t>Salazzle</t>
        </is>
      </c>
      <c r="C3861" s="3" t="n">
        <v>1</v>
      </c>
      <c r="D3861" s="3" t="inlineStr">
        <is>
          <t>Poison Gas</t>
        </is>
      </c>
      <c r="E3861" s="3" t="inlineStr">
        <is>
          <t>MOVE_POISON_GAS</t>
        </is>
      </c>
    </row>
    <row r="3862">
      <c r="A3862" s="3" t="inlineStr">
        <is>
          <t>SPECIES_SALAZZLE</t>
        </is>
      </c>
      <c r="B3862" s="3" t="inlineStr">
        <is>
          <t>Salazzle</t>
        </is>
      </c>
      <c r="C3862" s="3" t="n">
        <v>1</v>
      </c>
      <c r="D3862" s="3" t="inlineStr">
        <is>
          <t>Encore</t>
        </is>
      </c>
      <c r="E3862" s="3" t="inlineStr">
        <is>
          <t>MOVE_ENCORE</t>
        </is>
      </c>
    </row>
    <row r="3863">
      <c r="A3863" s="3" t="inlineStr">
        <is>
          <t>SPECIES_SALAZZLE</t>
        </is>
      </c>
      <c r="B3863" s="3" t="inlineStr">
        <is>
          <t>Salazzle</t>
        </is>
      </c>
      <c r="C3863" s="3" t="n">
        <v>1</v>
      </c>
      <c r="D3863" s="3" t="inlineStr">
        <is>
          <t>Ember</t>
        </is>
      </c>
      <c r="E3863" s="3" t="inlineStr">
        <is>
          <t>MOVE_EMBER</t>
        </is>
      </c>
    </row>
    <row r="3864">
      <c r="A3864" s="3" t="inlineStr">
        <is>
          <t>SPECIES_SALAZZLE</t>
        </is>
      </c>
      <c r="B3864" s="3" t="inlineStr">
        <is>
          <t>Salazzle</t>
        </is>
      </c>
      <c r="C3864" s="3" t="n">
        <v>1</v>
      </c>
      <c r="D3864" s="3" t="inlineStr">
        <is>
          <t>Disable</t>
        </is>
      </c>
      <c r="E3864" s="3" t="inlineStr">
        <is>
          <t>MOVE_DISABLE</t>
        </is>
      </c>
    </row>
    <row r="3865">
      <c r="A3865" s="3" t="inlineStr">
        <is>
          <t>SPECIES_SALAZZLE</t>
        </is>
      </c>
      <c r="B3865" s="3" t="inlineStr">
        <is>
          <t>Salazzle</t>
        </is>
      </c>
      <c r="C3865" s="3" t="n">
        <v>1</v>
      </c>
      <c r="D3865" s="3" t="inlineStr">
        <is>
          <t>Scratch</t>
        </is>
      </c>
      <c r="E3865" s="3" t="inlineStr">
        <is>
          <t>MOVE_SCRATCH</t>
        </is>
      </c>
    </row>
    <row r="3866">
      <c r="A3866" s="3" t="inlineStr">
        <is>
          <t>SPECIES_SALAZZLE</t>
        </is>
      </c>
      <c r="B3866" s="3" t="inlineStr">
        <is>
          <t>Salazzle</t>
        </is>
      </c>
      <c r="C3866" s="3" t="n">
        <v>1</v>
      </c>
      <c r="D3866" s="3" t="inlineStr">
        <is>
          <t>Smog</t>
        </is>
      </c>
      <c r="E3866" s="3" t="inlineStr">
        <is>
          <t>MOVE_SMOG</t>
        </is>
      </c>
    </row>
    <row r="3867">
      <c r="A3867" s="3" t="inlineStr">
        <is>
          <t>SPECIES_SALAZZLE</t>
        </is>
      </c>
      <c r="B3867" s="3" t="inlineStr">
        <is>
          <t>Salazzle</t>
        </is>
      </c>
      <c r="C3867" s="3" t="n">
        <v>1</v>
      </c>
      <c r="D3867" s="3" t="inlineStr">
        <is>
          <t>Pound</t>
        </is>
      </c>
      <c r="E3867" s="3" t="inlineStr">
        <is>
          <t>MOVE_POUND</t>
        </is>
      </c>
    </row>
    <row r="3868">
      <c r="A3868" s="3" t="inlineStr">
        <is>
          <t>SPECIES_SALAZZLE</t>
        </is>
      </c>
      <c r="B3868" s="3" t="inlineStr">
        <is>
          <t>Salazzle</t>
        </is>
      </c>
      <c r="C3868" s="3" t="n">
        <v>15</v>
      </c>
      <c r="D3868" s="3" t="inlineStr">
        <is>
          <t>Poison Fang</t>
        </is>
      </c>
      <c r="E3868" s="3" t="inlineStr">
        <is>
          <t>MOVE_POISON_FANG</t>
        </is>
      </c>
    </row>
    <row r="3869">
      <c r="A3869" s="3" t="inlineStr">
        <is>
          <t>SPECIES_SALAZZLE</t>
        </is>
      </c>
      <c r="B3869" s="3" t="inlineStr">
        <is>
          <t>Salazzle</t>
        </is>
      </c>
      <c r="C3869" s="3" t="n">
        <v>20</v>
      </c>
      <c r="D3869" s="3" t="inlineStr">
        <is>
          <t>Sweet Scent</t>
        </is>
      </c>
      <c r="E3869" s="3" t="inlineStr">
        <is>
          <t>MOVE_SWEET_SCENT</t>
        </is>
      </c>
    </row>
    <row r="3870">
      <c r="A3870" s="3" t="inlineStr">
        <is>
          <t>SPECIES_SALAZZLE</t>
        </is>
      </c>
      <c r="B3870" s="3" t="inlineStr">
        <is>
          <t>Salazzle</t>
        </is>
      </c>
      <c r="C3870" s="3" t="n">
        <v>25</v>
      </c>
      <c r="D3870" s="3" t="inlineStr">
        <is>
          <t>Nasty Plot</t>
        </is>
      </c>
      <c r="E3870" s="3" t="inlineStr">
        <is>
          <t>MOVE_NASTY_PLOT</t>
        </is>
      </c>
    </row>
    <row r="3871">
      <c r="A3871" s="3" t="inlineStr">
        <is>
          <t>SPECIES_SALAZZLE</t>
        </is>
      </c>
      <c r="B3871" s="3" t="inlineStr">
        <is>
          <t>Salazzle</t>
        </is>
      </c>
      <c r="C3871" s="3" t="n">
        <v>30</v>
      </c>
      <c r="D3871" s="3" t="inlineStr">
        <is>
          <t>Incinerate</t>
        </is>
      </c>
      <c r="E3871" s="3" t="inlineStr">
        <is>
          <t>MOVE_INCINERATE</t>
        </is>
      </c>
    </row>
    <row r="3872">
      <c r="A3872" s="3" t="inlineStr">
        <is>
          <t>SPECIES_SALAZZLE</t>
        </is>
      </c>
      <c r="B3872" s="3" t="inlineStr">
        <is>
          <t>Salazzle</t>
        </is>
      </c>
      <c r="C3872" s="3" t="n">
        <v>37</v>
      </c>
      <c r="D3872" s="3" t="inlineStr">
        <is>
          <t>Venoshock</t>
        </is>
      </c>
      <c r="E3872" s="3" t="inlineStr">
        <is>
          <t>MOVE_VENOSHOCK</t>
        </is>
      </c>
    </row>
    <row r="3873">
      <c r="A3873" s="3" t="inlineStr">
        <is>
          <t>SPECIES_SALAZZLE</t>
        </is>
      </c>
      <c r="B3873" s="3" t="inlineStr">
        <is>
          <t>Salazzle</t>
        </is>
      </c>
      <c r="C3873" s="3" t="n">
        <v>44</v>
      </c>
      <c r="D3873" s="3" t="inlineStr">
        <is>
          <t>Dragon Pulse</t>
        </is>
      </c>
      <c r="E3873" s="3" t="inlineStr">
        <is>
          <t>MOVE_DRAGON_PULSE</t>
        </is>
      </c>
    </row>
    <row r="3874">
      <c r="A3874" s="3" t="inlineStr">
        <is>
          <t>SPECIES_SALAZZLE</t>
        </is>
      </c>
      <c r="B3874" s="3" t="inlineStr">
        <is>
          <t>Salazzle</t>
        </is>
      </c>
      <c r="C3874" s="3" t="n">
        <v>51</v>
      </c>
      <c r="D3874" s="3" t="inlineStr">
        <is>
          <t>Flamethrower</t>
        </is>
      </c>
      <c r="E3874" s="3" t="inlineStr">
        <is>
          <t>MOVE_FLAMETHROWER</t>
        </is>
      </c>
    </row>
    <row r="3875">
      <c r="A3875" s="3" t="inlineStr">
        <is>
          <t>SPECIES_SALAZZLE</t>
        </is>
      </c>
      <c r="B3875" s="3" t="inlineStr">
        <is>
          <t>Salazzle</t>
        </is>
      </c>
      <c r="C3875" s="3" t="n">
        <v>58</v>
      </c>
      <c r="D3875" s="3" t="inlineStr">
        <is>
          <t>Toxic</t>
        </is>
      </c>
      <c r="E3875" s="3" t="inlineStr">
        <is>
          <t>MOVE_TOXIC</t>
        </is>
      </c>
    </row>
    <row r="3876">
      <c r="A3876" s="3" t="inlineStr">
        <is>
          <t>SPECIES_STUFFUL</t>
        </is>
      </c>
      <c r="B3876" s="3" t="inlineStr">
        <is>
          <t>Stufful</t>
        </is>
      </c>
      <c r="C3876" s="3" t="n">
        <v>1</v>
      </c>
      <c r="D3876" s="3" t="inlineStr">
        <is>
          <t>Tackle</t>
        </is>
      </c>
      <c r="E3876" s="3" t="inlineStr">
        <is>
          <t>MOVE_TACKLE</t>
        </is>
      </c>
    </row>
    <row r="3877">
      <c r="A3877" s="3" t="inlineStr">
        <is>
          <t>SPECIES_STUFFUL</t>
        </is>
      </c>
      <c r="B3877" s="3" t="inlineStr">
        <is>
          <t>Stufful</t>
        </is>
      </c>
      <c r="C3877" s="3" t="n">
        <v>1</v>
      </c>
      <c r="D3877" s="3" t="inlineStr">
        <is>
          <t>Leer</t>
        </is>
      </c>
      <c r="E3877" s="3" t="inlineStr">
        <is>
          <t>MOVE_LEER</t>
        </is>
      </c>
    </row>
    <row r="3878">
      <c r="A3878" s="3" t="inlineStr">
        <is>
          <t>SPECIES_STUFFUL</t>
        </is>
      </c>
      <c r="B3878" s="3" t="inlineStr">
        <is>
          <t>Stufful</t>
        </is>
      </c>
      <c r="C3878" s="3" t="n">
        <v>4</v>
      </c>
      <c r="D3878" s="3" t="inlineStr">
        <is>
          <t>Doll Eyes</t>
        </is>
      </c>
      <c r="E3878" s="3" t="inlineStr">
        <is>
          <t>MOVE_BABY_DOLL_EYES</t>
        </is>
      </c>
    </row>
    <row r="3879">
      <c r="A3879" s="3" t="inlineStr">
        <is>
          <t>SPECIES_STUFFUL</t>
        </is>
      </c>
      <c r="B3879" s="3" t="inlineStr">
        <is>
          <t>Stufful</t>
        </is>
      </c>
      <c r="C3879" s="3" t="n">
        <v>8</v>
      </c>
      <c r="D3879" s="3" t="inlineStr">
        <is>
          <t>Payback</t>
        </is>
      </c>
      <c r="E3879" s="3" t="inlineStr">
        <is>
          <t>MOVE_PAYBACK</t>
        </is>
      </c>
    </row>
    <row r="3880">
      <c r="A3880" s="3" t="inlineStr">
        <is>
          <t>SPECIES_STUFFUL</t>
        </is>
      </c>
      <c r="B3880" s="3" t="inlineStr">
        <is>
          <t>Stufful</t>
        </is>
      </c>
      <c r="C3880" s="3" t="n">
        <v>12</v>
      </c>
      <c r="D3880" s="3" t="inlineStr">
        <is>
          <t>Brutal Swing</t>
        </is>
      </c>
      <c r="E3880" s="3" t="inlineStr">
        <is>
          <t>MOVE_BRUTAL_SWING</t>
        </is>
      </c>
    </row>
    <row r="3881">
      <c r="A3881" s="3" t="inlineStr">
        <is>
          <t>SPECIES_STUFFUL</t>
        </is>
      </c>
      <c r="B3881" s="3" t="inlineStr">
        <is>
          <t>Stufful</t>
        </is>
      </c>
      <c r="C3881" s="3" t="n">
        <v>16</v>
      </c>
      <c r="D3881" s="3" t="inlineStr">
        <is>
          <t>Endure</t>
        </is>
      </c>
      <c r="E3881" s="3" t="inlineStr">
        <is>
          <t>MOVE_ENDURE</t>
        </is>
      </c>
    </row>
    <row r="3882">
      <c r="A3882" s="3" t="inlineStr">
        <is>
          <t>SPECIES_STUFFUL</t>
        </is>
      </c>
      <c r="B3882" s="3" t="inlineStr">
        <is>
          <t>Stufful</t>
        </is>
      </c>
      <c r="C3882" s="3" t="n">
        <v>20</v>
      </c>
      <c r="D3882" s="3" t="inlineStr">
        <is>
          <t>Strength</t>
        </is>
      </c>
      <c r="E3882" s="3" t="inlineStr">
        <is>
          <t>MOVE_STRENGTH</t>
        </is>
      </c>
    </row>
    <row r="3883">
      <c r="A3883" s="3" t="inlineStr">
        <is>
          <t>SPECIES_STUFFUL</t>
        </is>
      </c>
      <c r="B3883" s="3" t="inlineStr">
        <is>
          <t>Stufful</t>
        </is>
      </c>
      <c r="C3883" s="3" t="n">
        <v>24</v>
      </c>
      <c r="D3883" s="3" t="inlineStr">
        <is>
          <t>Take Down</t>
        </is>
      </c>
      <c r="E3883" s="3" t="inlineStr">
        <is>
          <t>MOVE_TAKE_DOWN</t>
        </is>
      </c>
    </row>
    <row r="3884">
      <c r="A3884" s="3" t="inlineStr">
        <is>
          <t>SPECIES_STUFFUL</t>
        </is>
      </c>
      <c r="B3884" s="3" t="inlineStr">
        <is>
          <t>Stufful</t>
        </is>
      </c>
      <c r="C3884" s="3" t="n">
        <v>28</v>
      </c>
      <c r="D3884" s="3" t="inlineStr">
        <is>
          <t>Flail</t>
        </is>
      </c>
      <c r="E3884" s="3" t="inlineStr">
        <is>
          <t>MOVE_FLAIL</t>
        </is>
      </c>
    </row>
    <row r="3885">
      <c r="A3885" s="3" t="inlineStr">
        <is>
          <t>SPECIES_STUFFUL</t>
        </is>
      </c>
      <c r="B3885" s="3" t="inlineStr">
        <is>
          <t>Stufful</t>
        </is>
      </c>
      <c r="C3885" s="3" t="n">
        <v>32</v>
      </c>
      <c r="D3885" s="3" t="inlineStr">
        <is>
          <t>Hammer Arm</t>
        </is>
      </c>
      <c r="E3885" s="3" t="inlineStr">
        <is>
          <t>MOVE_HAMMER_ARM</t>
        </is>
      </c>
    </row>
    <row r="3886">
      <c r="A3886" s="3" t="inlineStr">
        <is>
          <t>SPECIES_STUFFUL</t>
        </is>
      </c>
      <c r="B3886" s="3" t="inlineStr">
        <is>
          <t>Stufful</t>
        </is>
      </c>
      <c r="C3886" s="3" t="n">
        <v>36</v>
      </c>
      <c r="D3886" s="3" t="inlineStr">
        <is>
          <t>Thrash</t>
        </is>
      </c>
      <c r="E3886" s="3" t="inlineStr">
        <is>
          <t>MOVE_THRASH</t>
        </is>
      </c>
    </row>
    <row r="3887">
      <c r="A3887" s="3" t="inlineStr">
        <is>
          <t>SPECIES_STUFFUL</t>
        </is>
      </c>
      <c r="B3887" s="3" t="inlineStr">
        <is>
          <t>Stufful</t>
        </is>
      </c>
      <c r="C3887" s="3" t="n">
        <v>40</v>
      </c>
      <c r="D3887" s="3" t="inlineStr">
        <is>
          <t>Pain Split</t>
        </is>
      </c>
      <c r="E3887" s="3" t="inlineStr">
        <is>
          <t>MOVE_PAIN_SPLIT</t>
        </is>
      </c>
    </row>
    <row r="3888">
      <c r="A3888" s="3" t="inlineStr">
        <is>
          <t>SPECIES_STUFFUL</t>
        </is>
      </c>
      <c r="B3888" s="3" t="inlineStr">
        <is>
          <t>Stufful</t>
        </is>
      </c>
      <c r="C3888" s="3" t="n">
        <v>44</v>
      </c>
      <c r="D3888" s="3" t="inlineStr">
        <is>
          <t>Double-Edge</t>
        </is>
      </c>
      <c r="E3888" s="3" t="inlineStr">
        <is>
          <t>MOVE_DOUBLE_EDGE</t>
        </is>
      </c>
    </row>
    <row r="3889">
      <c r="A3889" s="3" t="inlineStr">
        <is>
          <t>SPECIES_STUFFUL</t>
        </is>
      </c>
      <c r="B3889" s="3" t="inlineStr">
        <is>
          <t>Stufful</t>
        </is>
      </c>
      <c r="C3889" s="3" t="n">
        <v>48</v>
      </c>
      <c r="D3889" s="3" t="inlineStr">
        <is>
          <t>Superpower</t>
        </is>
      </c>
      <c r="E3889" s="3" t="inlineStr">
        <is>
          <t>MOVE_SUPERPOWER</t>
        </is>
      </c>
    </row>
    <row r="3890">
      <c r="A3890" s="3" t="inlineStr">
        <is>
          <t>SPECIES_BEWEAR</t>
        </is>
      </c>
      <c r="B3890" s="3" t="inlineStr">
        <is>
          <t>Bewear</t>
        </is>
      </c>
      <c r="C3890" s="3" t="n">
        <v>0</v>
      </c>
      <c r="D3890" s="3" t="inlineStr">
        <is>
          <t>Bind</t>
        </is>
      </c>
      <c r="E3890" s="3" t="inlineStr">
        <is>
          <t>MOVE_BIND</t>
        </is>
      </c>
    </row>
    <row r="3891">
      <c r="A3891" s="3" t="inlineStr">
        <is>
          <t>SPECIES_BEWEAR</t>
        </is>
      </c>
      <c r="B3891" s="3" t="inlineStr">
        <is>
          <t>Bewear</t>
        </is>
      </c>
      <c r="C3891" s="3" t="n">
        <v>1</v>
      </c>
      <c r="D3891" s="3" t="inlineStr">
        <is>
          <t>Bind</t>
        </is>
      </c>
      <c r="E3891" s="3" t="inlineStr">
        <is>
          <t>MOVE_BIND</t>
        </is>
      </c>
    </row>
    <row r="3892">
      <c r="A3892" s="3" t="inlineStr">
        <is>
          <t>SPECIES_BEWEAR</t>
        </is>
      </c>
      <c r="B3892" s="3" t="inlineStr">
        <is>
          <t>Bewear</t>
        </is>
      </c>
      <c r="C3892" s="3" t="n">
        <v>1</v>
      </c>
      <c r="D3892" s="3" t="inlineStr">
        <is>
          <t>Tackle</t>
        </is>
      </c>
      <c r="E3892" s="3" t="inlineStr">
        <is>
          <t>MOVE_TACKLE</t>
        </is>
      </c>
    </row>
    <row r="3893">
      <c r="A3893" s="3" t="inlineStr">
        <is>
          <t>SPECIES_BEWEAR</t>
        </is>
      </c>
      <c r="B3893" s="3" t="inlineStr">
        <is>
          <t>Bewear</t>
        </is>
      </c>
      <c r="C3893" s="3" t="n">
        <v>1</v>
      </c>
      <c r="D3893" s="3" t="inlineStr">
        <is>
          <t>Leer</t>
        </is>
      </c>
      <c r="E3893" s="3" t="inlineStr">
        <is>
          <t>MOVE_LEER</t>
        </is>
      </c>
    </row>
    <row r="3894">
      <c r="A3894" s="3" t="inlineStr">
        <is>
          <t>SPECIES_BEWEAR</t>
        </is>
      </c>
      <c r="B3894" s="3" t="inlineStr">
        <is>
          <t>Bewear</t>
        </is>
      </c>
      <c r="C3894" s="3" t="n">
        <v>1</v>
      </c>
      <c r="D3894" s="3" t="inlineStr">
        <is>
          <t>Doll Eyes</t>
        </is>
      </c>
      <c r="E3894" s="3" t="inlineStr">
        <is>
          <t>MOVE_BABY_DOLL_EYES</t>
        </is>
      </c>
    </row>
    <row r="3895">
      <c r="A3895" s="3" t="inlineStr">
        <is>
          <t>SPECIES_BEWEAR</t>
        </is>
      </c>
      <c r="B3895" s="3" t="inlineStr">
        <is>
          <t>Bewear</t>
        </is>
      </c>
      <c r="C3895" s="3" t="n">
        <v>1</v>
      </c>
      <c r="D3895" s="3" t="inlineStr">
        <is>
          <t>Payback</t>
        </is>
      </c>
      <c r="E3895" s="3" t="inlineStr">
        <is>
          <t>MOVE_PAYBACK</t>
        </is>
      </c>
    </row>
    <row r="3896">
      <c r="A3896" s="3" t="inlineStr">
        <is>
          <t>SPECIES_BEWEAR</t>
        </is>
      </c>
      <c r="B3896" s="3" t="inlineStr">
        <is>
          <t>Bewear</t>
        </is>
      </c>
      <c r="C3896" s="3" t="n">
        <v>12</v>
      </c>
      <c r="D3896" s="3" t="inlineStr">
        <is>
          <t>Brutal Swing</t>
        </is>
      </c>
      <c r="E3896" s="3" t="inlineStr">
        <is>
          <t>MOVE_BRUTAL_SWING</t>
        </is>
      </c>
    </row>
    <row r="3897">
      <c r="A3897" s="3" t="inlineStr">
        <is>
          <t>SPECIES_BEWEAR</t>
        </is>
      </c>
      <c r="B3897" s="3" t="inlineStr">
        <is>
          <t>Bewear</t>
        </is>
      </c>
      <c r="C3897" s="3" t="n">
        <v>16</v>
      </c>
      <c r="D3897" s="3" t="inlineStr">
        <is>
          <t>Endure</t>
        </is>
      </c>
      <c r="E3897" s="3" t="inlineStr">
        <is>
          <t>MOVE_ENDURE</t>
        </is>
      </c>
    </row>
    <row r="3898">
      <c r="A3898" s="3" t="inlineStr">
        <is>
          <t>SPECIES_BEWEAR</t>
        </is>
      </c>
      <c r="B3898" s="3" t="inlineStr">
        <is>
          <t>Bewear</t>
        </is>
      </c>
      <c r="C3898" s="3" t="n">
        <v>20</v>
      </c>
      <c r="D3898" s="3" t="inlineStr">
        <is>
          <t>Strength</t>
        </is>
      </c>
      <c r="E3898" s="3" t="inlineStr">
        <is>
          <t>MOVE_STRENGTH</t>
        </is>
      </c>
    </row>
    <row r="3899">
      <c r="A3899" s="3" t="inlineStr">
        <is>
          <t>SPECIES_BEWEAR</t>
        </is>
      </c>
      <c r="B3899" s="3" t="inlineStr">
        <is>
          <t>Bewear</t>
        </is>
      </c>
      <c r="C3899" s="3" t="n">
        <v>24</v>
      </c>
      <c r="D3899" s="3" t="inlineStr">
        <is>
          <t>Take Down</t>
        </is>
      </c>
      <c r="E3899" s="3" t="inlineStr">
        <is>
          <t>MOVE_TAKE_DOWN</t>
        </is>
      </c>
    </row>
    <row r="3900">
      <c r="A3900" s="3" t="inlineStr">
        <is>
          <t>SPECIES_BEWEAR</t>
        </is>
      </c>
      <c r="B3900" s="3" t="inlineStr">
        <is>
          <t>Bewear</t>
        </is>
      </c>
      <c r="C3900" s="3" t="n">
        <v>30</v>
      </c>
      <c r="D3900" s="3" t="inlineStr">
        <is>
          <t>Flail</t>
        </is>
      </c>
      <c r="E3900" s="3" t="inlineStr">
        <is>
          <t>MOVE_FLAIL</t>
        </is>
      </c>
    </row>
    <row r="3901">
      <c r="A3901" s="3" t="inlineStr">
        <is>
          <t>SPECIES_BEWEAR</t>
        </is>
      </c>
      <c r="B3901" s="3" t="inlineStr">
        <is>
          <t>Bewear</t>
        </is>
      </c>
      <c r="C3901" s="3" t="n">
        <v>36</v>
      </c>
      <c r="D3901" s="3" t="inlineStr">
        <is>
          <t>Hammer Arm</t>
        </is>
      </c>
      <c r="E3901" s="3" t="inlineStr">
        <is>
          <t>MOVE_HAMMER_ARM</t>
        </is>
      </c>
    </row>
    <row r="3902">
      <c r="A3902" s="3" t="inlineStr">
        <is>
          <t>SPECIES_BEWEAR</t>
        </is>
      </c>
      <c r="B3902" s="3" t="inlineStr">
        <is>
          <t>Bewear</t>
        </is>
      </c>
      <c r="C3902" s="3" t="n">
        <v>42</v>
      </c>
      <c r="D3902" s="3" t="inlineStr">
        <is>
          <t>Thrash</t>
        </is>
      </c>
      <c r="E3902" s="3" t="inlineStr">
        <is>
          <t>MOVE_THRASH</t>
        </is>
      </c>
    </row>
    <row r="3903">
      <c r="A3903" s="3" t="inlineStr">
        <is>
          <t>SPECIES_BEWEAR</t>
        </is>
      </c>
      <c r="B3903" s="3" t="inlineStr">
        <is>
          <t>Bewear</t>
        </is>
      </c>
      <c r="C3903" s="3" t="n">
        <v>48</v>
      </c>
      <c r="D3903" s="3" t="inlineStr">
        <is>
          <t>Pain Split</t>
        </is>
      </c>
      <c r="E3903" s="3" t="inlineStr">
        <is>
          <t>MOVE_PAIN_SPLIT</t>
        </is>
      </c>
    </row>
    <row r="3904">
      <c r="A3904" s="3" t="inlineStr">
        <is>
          <t>SPECIES_BEWEAR</t>
        </is>
      </c>
      <c r="B3904" s="3" t="inlineStr">
        <is>
          <t>Bewear</t>
        </is>
      </c>
      <c r="C3904" s="3" t="n">
        <v>54</v>
      </c>
      <c r="D3904" s="3" t="inlineStr">
        <is>
          <t>Double-Edge</t>
        </is>
      </c>
      <c r="E3904" s="3" t="inlineStr">
        <is>
          <t>MOVE_DOUBLE_EDGE</t>
        </is>
      </c>
    </row>
    <row r="3905">
      <c r="A3905" s="3" t="inlineStr">
        <is>
          <t>SPECIES_BEWEAR</t>
        </is>
      </c>
      <c r="B3905" s="3" t="inlineStr">
        <is>
          <t>Bewear</t>
        </is>
      </c>
      <c r="C3905" s="3" t="n">
        <v>60</v>
      </c>
      <c r="D3905" s="3" t="inlineStr">
        <is>
          <t>Superpower</t>
        </is>
      </c>
      <c r="E3905" s="3" t="inlineStr">
        <is>
          <t>MOVE_SUPERPOWER</t>
        </is>
      </c>
    </row>
    <row r="3906">
      <c r="A3906" s="3" t="inlineStr">
        <is>
          <t>SPECIES_BOUNSWEET</t>
        </is>
      </c>
      <c r="B3906" s="3" t="inlineStr">
        <is>
          <t>Bounsweet</t>
        </is>
      </c>
      <c r="C3906" s="3" t="n">
        <v>1</v>
      </c>
      <c r="D3906" s="3" t="inlineStr">
        <is>
          <t>Splash</t>
        </is>
      </c>
      <c r="E3906" s="3" t="inlineStr">
        <is>
          <t>MOVE_SPLASH</t>
        </is>
      </c>
    </row>
    <row r="3907">
      <c r="A3907" s="3" t="inlineStr">
        <is>
          <t>SPECIES_BOUNSWEET</t>
        </is>
      </c>
      <c r="B3907" s="3" t="inlineStr">
        <is>
          <t>Bounsweet</t>
        </is>
      </c>
      <c r="C3907" s="3" t="n">
        <v>4</v>
      </c>
      <c r="D3907" s="3" t="inlineStr">
        <is>
          <t>Play Nice</t>
        </is>
      </c>
      <c r="E3907" s="3" t="inlineStr">
        <is>
          <t>MOVE_PLAY_NICE</t>
        </is>
      </c>
    </row>
    <row r="3908">
      <c r="A3908" s="3" t="inlineStr">
        <is>
          <t>SPECIES_BOUNSWEET</t>
        </is>
      </c>
      <c r="B3908" s="3" t="inlineStr">
        <is>
          <t>Bounsweet</t>
        </is>
      </c>
      <c r="C3908" s="3" t="n">
        <v>8</v>
      </c>
      <c r="D3908" s="3" t="inlineStr">
        <is>
          <t>Rapid Spin</t>
        </is>
      </c>
      <c r="E3908" s="3" t="inlineStr">
        <is>
          <t>MOVE_RAPID_SPIN</t>
        </is>
      </c>
    </row>
    <row r="3909">
      <c r="A3909" s="3" t="inlineStr">
        <is>
          <t>SPECIES_BOUNSWEET</t>
        </is>
      </c>
      <c r="B3909" s="3" t="inlineStr">
        <is>
          <t>Bounsweet</t>
        </is>
      </c>
      <c r="C3909" s="3" t="n">
        <v>12</v>
      </c>
      <c r="D3909" s="3" t="inlineStr">
        <is>
          <t>Razor Leaf</t>
        </is>
      </c>
      <c r="E3909" s="3" t="inlineStr">
        <is>
          <t>MOVE_RAZOR_LEAF</t>
        </is>
      </c>
    </row>
    <row r="3910">
      <c r="A3910" s="3" t="inlineStr">
        <is>
          <t>SPECIES_BOUNSWEET</t>
        </is>
      </c>
      <c r="B3910" s="3" t="inlineStr">
        <is>
          <t>Bounsweet</t>
        </is>
      </c>
      <c r="C3910" s="3" t="n">
        <v>16</v>
      </c>
      <c r="D3910" s="3" t="inlineStr">
        <is>
          <t>Sweet Scent</t>
        </is>
      </c>
      <c r="E3910" s="3" t="inlineStr">
        <is>
          <t>MOVE_SWEET_SCENT</t>
        </is>
      </c>
    </row>
    <row r="3911">
      <c r="A3911" s="3" t="inlineStr">
        <is>
          <t>SPECIES_BOUNSWEET</t>
        </is>
      </c>
      <c r="B3911" s="3" t="inlineStr">
        <is>
          <t>Bounsweet</t>
        </is>
      </c>
      <c r="C3911" s="3" t="n">
        <v>20</v>
      </c>
      <c r="D3911" s="3" t="inlineStr">
        <is>
          <t>Magical Leaf</t>
        </is>
      </c>
      <c r="E3911" s="3" t="inlineStr">
        <is>
          <t>MOVE_MAGICAL_LEAF</t>
        </is>
      </c>
    </row>
    <row r="3912">
      <c r="A3912" s="3" t="inlineStr">
        <is>
          <t>SPECIES_BOUNSWEET</t>
        </is>
      </c>
      <c r="B3912" s="3" t="inlineStr">
        <is>
          <t>Bounsweet</t>
        </is>
      </c>
      <c r="C3912" s="3" t="n">
        <v>24</v>
      </c>
      <c r="D3912" s="3" t="inlineStr">
        <is>
          <t>Flail</t>
        </is>
      </c>
      <c r="E3912" s="3" t="inlineStr">
        <is>
          <t>MOVE_FLAIL</t>
        </is>
      </c>
    </row>
    <row r="3913">
      <c r="A3913" s="3" t="inlineStr">
        <is>
          <t>SPECIES_BOUNSWEET</t>
        </is>
      </c>
      <c r="B3913" s="3" t="inlineStr">
        <is>
          <t>Bounsweet</t>
        </is>
      </c>
      <c r="C3913" s="3" t="n">
        <v>28</v>
      </c>
      <c r="D3913" s="3" t="inlineStr">
        <is>
          <t>Teeter Dance</t>
        </is>
      </c>
      <c r="E3913" s="3" t="inlineStr">
        <is>
          <t>MOVE_TEETER_DANCE</t>
        </is>
      </c>
    </row>
    <row r="3914">
      <c r="A3914" s="3" t="inlineStr">
        <is>
          <t>SPECIES_BOUNSWEET</t>
        </is>
      </c>
      <c r="B3914" s="3" t="inlineStr">
        <is>
          <t>Bounsweet</t>
        </is>
      </c>
      <c r="C3914" s="3" t="n">
        <v>32</v>
      </c>
      <c r="D3914" s="3" t="inlineStr">
        <is>
          <t>Aromatic Mist</t>
        </is>
      </c>
      <c r="E3914" s="3" t="inlineStr">
        <is>
          <t>MOVE_AROMATIC_MIST</t>
        </is>
      </c>
    </row>
    <row r="3915">
      <c r="A3915" s="3" t="inlineStr">
        <is>
          <t>SPECIES_STEENEE</t>
        </is>
      </c>
      <c r="B3915" s="3" t="inlineStr">
        <is>
          <t>Steenee</t>
        </is>
      </c>
      <c r="C3915" s="3" t="n">
        <v>1</v>
      </c>
      <c r="D3915" s="3" t="inlineStr">
        <is>
          <t>Razor Leaf</t>
        </is>
      </c>
      <c r="E3915" s="3" t="inlineStr">
        <is>
          <t>MOVE_RAZOR_LEAF</t>
        </is>
      </c>
    </row>
    <row r="3916">
      <c r="A3916" s="3" t="inlineStr">
        <is>
          <t>SPECIES_STEENEE</t>
        </is>
      </c>
      <c r="B3916" s="3" t="inlineStr">
        <is>
          <t>Steenee</t>
        </is>
      </c>
      <c r="C3916" s="3" t="n">
        <v>1</v>
      </c>
      <c r="D3916" s="3" t="inlineStr">
        <is>
          <t>Splash</t>
        </is>
      </c>
      <c r="E3916" s="3" t="inlineStr">
        <is>
          <t>MOVE_SPLASH</t>
        </is>
      </c>
    </row>
    <row r="3917">
      <c r="A3917" s="3" t="inlineStr">
        <is>
          <t>SPECIES_STEENEE</t>
        </is>
      </c>
      <c r="B3917" s="3" t="inlineStr">
        <is>
          <t>Steenee</t>
        </is>
      </c>
      <c r="C3917" s="3" t="n">
        <v>1</v>
      </c>
      <c r="D3917" s="3" t="inlineStr">
        <is>
          <t>Flail</t>
        </is>
      </c>
      <c r="E3917" s="3" t="inlineStr">
        <is>
          <t>MOVE_FLAIL</t>
        </is>
      </c>
    </row>
    <row r="3918">
      <c r="A3918" s="3" t="inlineStr">
        <is>
          <t>SPECIES_STEENEE</t>
        </is>
      </c>
      <c r="B3918" s="3" t="inlineStr">
        <is>
          <t>Steenee</t>
        </is>
      </c>
      <c r="C3918" s="3" t="n">
        <v>1</v>
      </c>
      <c r="D3918" s="3" t="inlineStr">
        <is>
          <t>Rapid Spin</t>
        </is>
      </c>
      <c r="E3918" s="3" t="inlineStr">
        <is>
          <t>MOVE_RAPID_SPIN</t>
        </is>
      </c>
    </row>
    <row r="3919">
      <c r="A3919" s="3" t="inlineStr">
        <is>
          <t>SPECIES_STEENEE</t>
        </is>
      </c>
      <c r="B3919" s="3" t="inlineStr">
        <is>
          <t>Steenee</t>
        </is>
      </c>
      <c r="C3919" s="3" t="n">
        <v>1</v>
      </c>
      <c r="D3919" s="3" t="inlineStr">
        <is>
          <t>Play Nice</t>
        </is>
      </c>
      <c r="E3919" s="3" t="inlineStr">
        <is>
          <t>MOVE_PLAY_NICE</t>
        </is>
      </c>
    </row>
    <row r="3920">
      <c r="A3920" s="3" t="inlineStr">
        <is>
          <t>SPECIES_STEENEE</t>
        </is>
      </c>
      <c r="B3920" s="3" t="inlineStr">
        <is>
          <t>Steenee</t>
        </is>
      </c>
      <c r="C3920" s="3" t="n">
        <v>16</v>
      </c>
      <c r="D3920" s="3" t="inlineStr">
        <is>
          <t>Sweet Scent</t>
        </is>
      </c>
      <c r="E3920" s="3" t="inlineStr">
        <is>
          <t>MOVE_SWEET_SCENT</t>
        </is>
      </c>
    </row>
    <row r="3921">
      <c r="A3921" s="3" t="inlineStr">
        <is>
          <t>SPECIES_STEENEE</t>
        </is>
      </c>
      <c r="B3921" s="3" t="inlineStr">
        <is>
          <t>Steenee</t>
        </is>
      </c>
      <c r="C3921" s="3" t="n">
        <v>22</v>
      </c>
      <c r="D3921" s="3" t="inlineStr">
        <is>
          <t>Magical Leaf</t>
        </is>
      </c>
      <c r="E3921" s="3" t="inlineStr">
        <is>
          <t>MOVE_MAGICAL_LEAF</t>
        </is>
      </c>
    </row>
    <row r="3922">
      <c r="A3922" s="3" t="inlineStr">
        <is>
          <t>SPECIES_STEENEE</t>
        </is>
      </c>
      <c r="B3922" s="3" t="inlineStr">
        <is>
          <t>Steenee</t>
        </is>
      </c>
      <c r="C3922" s="3" t="n">
        <v>28</v>
      </c>
      <c r="D3922" s="3" t="inlineStr">
        <is>
          <t>Stomp</t>
        </is>
      </c>
      <c r="E3922" s="3" t="inlineStr">
        <is>
          <t>MOVE_STOMP</t>
        </is>
      </c>
    </row>
    <row r="3923">
      <c r="A3923" s="3" t="inlineStr">
        <is>
          <t>SPECIES_STEENEE</t>
        </is>
      </c>
      <c r="B3923" s="3" t="inlineStr">
        <is>
          <t>Steenee</t>
        </is>
      </c>
      <c r="C3923" s="3" t="n">
        <v>34</v>
      </c>
      <c r="D3923" s="3" t="inlineStr">
        <is>
          <t>Teeter Dance</t>
        </is>
      </c>
      <c r="E3923" s="3" t="inlineStr">
        <is>
          <t>MOVE_TEETER_DANCE</t>
        </is>
      </c>
    </row>
    <row r="3924">
      <c r="A3924" s="3" t="inlineStr">
        <is>
          <t>SPECIES_STEENEE</t>
        </is>
      </c>
      <c r="B3924" s="3" t="inlineStr">
        <is>
          <t>Steenee</t>
        </is>
      </c>
      <c r="C3924" s="3" t="n">
        <v>40</v>
      </c>
      <c r="D3924" s="3" t="inlineStr">
        <is>
          <t>Aromatic Mist</t>
        </is>
      </c>
      <c r="E3924" s="3" t="inlineStr">
        <is>
          <t>MOVE_AROMATIC_MIST</t>
        </is>
      </c>
    </row>
    <row r="3925">
      <c r="A3925" s="3" t="inlineStr">
        <is>
          <t>SPECIES_STEENEE</t>
        </is>
      </c>
      <c r="B3925" s="3" t="inlineStr">
        <is>
          <t>Steenee</t>
        </is>
      </c>
      <c r="C3925" s="3" t="n">
        <v>46</v>
      </c>
      <c r="D3925" s="3" t="inlineStr">
        <is>
          <t>Leaf Storm</t>
        </is>
      </c>
      <c r="E3925" s="3" t="inlineStr">
        <is>
          <t>MOVE_LEAF_STORM</t>
        </is>
      </c>
    </row>
    <row r="3926">
      <c r="A3926" s="3" t="inlineStr">
        <is>
          <t>SPECIES_TSAREENA</t>
        </is>
      </c>
      <c r="B3926" s="3" t="inlineStr">
        <is>
          <t>Tsareena</t>
        </is>
      </c>
      <c r="C3926" s="3" t="n">
        <v>0</v>
      </c>
      <c r="D3926" s="3" t="inlineStr">
        <is>
          <t>Trop Kick</t>
        </is>
      </c>
      <c r="E3926" s="3" t="inlineStr">
        <is>
          <t>MOVE_TROP_KICK</t>
        </is>
      </c>
    </row>
    <row r="3927">
      <c r="A3927" s="3" t="inlineStr">
        <is>
          <t>SPECIES_TSAREENA</t>
        </is>
      </c>
      <c r="B3927" s="3" t="inlineStr">
        <is>
          <t>Tsareena</t>
        </is>
      </c>
      <c r="C3927" s="3" t="n">
        <v>1</v>
      </c>
      <c r="D3927" s="3" t="inlineStr">
        <is>
          <t>Razor Leaf</t>
        </is>
      </c>
      <c r="E3927" s="3" t="inlineStr">
        <is>
          <t>MOVE_RAZOR_LEAF</t>
        </is>
      </c>
    </row>
    <row r="3928">
      <c r="A3928" s="3" t="inlineStr">
        <is>
          <t>SPECIES_TSAREENA</t>
        </is>
      </c>
      <c r="B3928" s="3" t="inlineStr">
        <is>
          <t>Tsareena</t>
        </is>
      </c>
      <c r="C3928" s="3" t="n">
        <v>1</v>
      </c>
      <c r="D3928" s="3" t="inlineStr">
        <is>
          <t>Splash</t>
        </is>
      </c>
      <c r="E3928" s="3" t="inlineStr">
        <is>
          <t>MOVE_SPLASH</t>
        </is>
      </c>
    </row>
    <row r="3929">
      <c r="A3929" s="3" t="inlineStr">
        <is>
          <t>SPECIES_TSAREENA</t>
        </is>
      </c>
      <c r="B3929" s="3" t="inlineStr">
        <is>
          <t>Tsareena</t>
        </is>
      </c>
      <c r="C3929" s="3" t="n">
        <v>1</v>
      </c>
      <c r="D3929" s="3" t="inlineStr">
        <is>
          <t>Flail</t>
        </is>
      </c>
      <c r="E3929" s="3" t="inlineStr">
        <is>
          <t>MOVE_FLAIL</t>
        </is>
      </c>
    </row>
    <row r="3930">
      <c r="A3930" s="3" t="inlineStr">
        <is>
          <t>SPECIES_TSAREENA</t>
        </is>
      </c>
      <c r="B3930" s="3" t="inlineStr">
        <is>
          <t>Tsareena</t>
        </is>
      </c>
      <c r="C3930" s="3" t="n">
        <v>1</v>
      </c>
      <c r="D3930" s="3" t="inlineStr">
        <is>
          <t>Swagger</t>
        </is>
      </c>
      <c r="E3930" s="3" t="inlineStr">
        <is>
          <t>MOVE_SWAGGER</t>
        </is>
      </c>
    </row>
    <row r="3931">
      <c r="A3931" s="3" t="inlineStr">
        <is>
          <t>SPECIES_TSAREENA</t>
        </is>
      </c>
      <c r="B3931" s="3" t="inlineStr">
        <is>
          <t>Tsareena</t>
        </is>
      </c>
      <c r="C3931" s="3" t="n">
        <v>1</v>
      </c>
      <c r="D3931" s="3" t="inlineStr">
        <is>
          <t>Rapid Spin</t>
        </is>
      </c>
      <c r="E3931" s="3" t="inlineStr">
        <is>
          <t>MOVE_RAPID_SPIN</t>
        </is>
      </c>
    </row>
    <row r="3932">
      <c r="A3932" s="3" t="inlineStr">
        <is>
          <t>SPECIES_TSAREENA</t>
        </is>
      </c>
      <c r="B3932" s="3" t="inlineStr">
        <is>
          <t>Tsareena</t>
        </is>
      </c>
      <c r="C3932" s="3" t="n">
        <v>1</v>
      </c>
      <c r="D3932" s="3" t="inlineStr">
        <is>
          <t>Power Whip</t>
        </is>
      </c>
      <c r="E3932" s="3" t="inlineStr">
        <is>
          <t>MOVE_POWER_WHIP</t>
        </is>
      </c>
    </row>
    <row r="3933">
      <c r="A3933" s="3" t="inlineStr">
        <is>
          <t>SPECIES_TSAREENA</t>
        </is>
      </c>
      <c r="B3933" s="3" t="inlineStr">
        <is>
          <t>Tsareena</t>
        </is>
      </c>
      <c r="C3933" s="3" t="n">
        <v>1</v>
      </c>
      <c r="D3933" s="3" t="inlineStr">
        <is>
          <t>Play Nice</t>
        </is>
      </c>
      <c r="E3933" s="3" t="inlineStr">
        <is>
          <t>MOVE_PLAY_NICE</t>
        </is>
      </c>
    </row>
    <row r="3934">
      <c r="A3934" s="3" t="inlineStr">
        <is>
          <t>SPECIES_TSAREENA</t>
        </is>
      </c>
      <c r="B3934" s="3" t="inlineStr">
        <is>
          <t>Tsareena</t>
        </is>
      </c>
      <c r="C3934" s="3" t="n">
        <v>16</v>
      </c>
      <c r="D3934" s="3" t="inlineStr">
        <is>
          <t>Sweet Scent</t>
        </is>
      </c>
      <c r="E3934" s="3" t="inlineStr">
        <is>
          <t>MOVE_SWEET_SCENT</t>
        </is>
      </c>
    </row>
    <row r="3935">
      <c r="A3935" s="3" t="inlineStr">
        <is>
          <t>SPECIES_TSAREENA</t>
        </is>
      </c>
      <c r="B3935" s="3" t="inlineStr">
        <is>
          <t>Tsareena</t>
        </is>
      </c>
      <c r="C3935" s="3" t="n">
        <v>22</v>
      </c>
      <c r="D3935" s="3" t="inlineStr">
        <is>
          <t>Magical Leaf</t>
        </is>
      </c>
      <c r="E3935" s="3" t="inlineStr">
        <is>
          <t>MOVE_MAGICAL_LEAF</t>
        </is>
      </c>
    </row>
    <row r="3936">
      <c r="A3936" s="3" t="inlineStr">
        <is>
          <t>SPECIES_TSAREENA</t>
        </is>
      </c>
      <c r="B3936" s="3" t="inlineStr">
        <is>
          <t>Tsareena</t>
        </is>
      </c>
      <c r="C3936" s="3" t="n">
        <v>28</v>
      </c>
      <c r="D3936" s="3" t="inlineStr">
        <is>
          <t>Stomp</t>
        </is>
      </c>
      <c r="E3936" s="3" t="inlineStr">
        <is>
          <t>MOVE_STOMP</t>
        </is>
      </c>
    </row>
    <row r="3937">
      <c r="A3937" s="3" t="inlineStr">
        <is>
          <t>SPECIES_TSAREENA</t>
        </is>
      </c>
      <c r="B3937" s="3" t="inlineStr">
        <is>
          <t>Tsareena</t>
        </is>
      </c>
      <c r="C3937" s="3" t="n">
        <v>34</v>
      </c>
      <c r="D3937" s="3" t="inlineStr">
        <is>
          <t>Teeter Dance</t>
        </is>
      </c>
      <c r="E3937" s="3" t="inlineStr">
        <is>
          <t>MOVE_TEETER_DANCE</t>
        </is>
      </c>
    </row>
    <row r="3938">
      <c r="A3938" s="3" t="inlineStr">
        <is>
          <t>SPECIES_TSAREENA</t>
        </is>
      </c>
      <c r="B3938" s="3" t="inlineStr">
        <is>
          <t>Tsareena</t>
        </is>
      </c>
      <c r="C3938" s="3" t="n">
        <v>40</v>
      </c>
      <c r="D3938" s="3" t="inlineStr">
        <is>
          <t>Aromatic Mist</t>
        </is>
      </c>
      <c r="E3938" s="3" t="inlineStr">
        <is>
          <t>MOVE_AROMATIC_MIST</t>
        </is>
      </c>
    </row>
    <row r="3939">
      <c r="A3939" s="3" t="inlineStr">
        <is>
          <t>SPECIES_TSAREENA</t>
        </is>
      </c>
      <c r="B3939" s="3" t="inlineStr">
        <is>
          <t>Tsareena</t>
        </is>
      </c>
      <c r="C3939" s="3" t="n">
        <v>46</v>
      </c>
      <c r="D3939" s="3" t="inlineStr">
        <is>
          <t>Leaf Storm</t>
        </is>
      </c>
      <c r="E3939" s="3" t="inlineStr">
        <is>
          <t>MOVE_LEAF_STORM</t>
        </is>
      </c>
    </row>
    <row r="3940">
      <c r="A3940" s="3" t="inlineStr">
        <is>
          <t>SPECIES_TSAREENA</t>
        </is>
      </c>
      <c r="B3940" s="3" t="inlineStr">
        <is>
          <t>Tsareena</t>
        </is>
      </c>
      <c r="C3940" s="3" t="n">
        <v>58</v>
      </c>
      <c r="D3940" s="3" t="inlineStr">
        <is>
          <t>High Jump Kick</t>
        </is>
      </c>
      <c r="E3940" s="3" t="inlineStr">
        <is>
          <t>MOVE_HIGH_JUMP_KICK</t>
        </is>
      </c>
    </row>
    <row r="3941">
      <c r="A3941" s="3" t="inlineStr">
        <is>
          <t>SPECIES_BLIPBUG</t>
        </is>
      </c>
      <c r="B3941" s="3" t="inlineStr">
        <is>
          <t>Blipbug</t>
        </is>
      </c>
      <c r="C3941" s="3" t="n">
        <v>1</v>
      </c>
      <c r="D3941" s="3" t="inlineStr">
        <is>
          <t>Struggle Bug</t>
        </is>
      </c>
      <c r="E3941" s="3" t="inlineStr">
        <is>
          <t>MOVE_STRUGGLE_BUG</t>
        </is>
      </c>
    </row>
    <row r="3942">
      <c r="A3942" s="3" t="inlineStr">
        <is>
          <t>SPECIES_DOTTLER</t>
        </is>
      </c>
      <c r="B3942" s="3" t="inlineStr">
        <is>
          <t>Dottler</t>
        </is>
      </c>
      <c r="C3942" s="3" t="n">
        <v>0</v>
      </c>
      <c r="D3942" s="3" t="inlineStr">
        <is>
          <t>Confusion</t>
        </is>
      </c>
      <c r="E3942" s="3" t="inlineStr">
        <is>
          <t>MOVE_CONFUSION</t>
        </is>
      </c>
    </row>
    <row r="3943">
      <c r="A3943" s="3" t="inlineStr">
        <is>
          <t>SPECIES_DOTTLER</t>
        </is>
      </c>
      <c r="B3943" s="3" t="inlineStr">
        <is>
          <t>Dottler</t>
        </is>
      </c>
      <c r="C3943" s="3" t="n">
        <v>0</v>
      </c>
      <c r="D3943" s="3" t="inlineStr">
        <is>
          <t>Light Screen</t>
        </is>
      </c>
      <c r="E3943" s="3" t="inlineStr">
        <is>
          <t>MOVE_LIGHT_SCREEN</t>
        </is>
      </c>
    </row>
    <row r="3944">
      <c r="A3944" s="3" t="inlineStr">
        <is>
          <t>SPECIES_DOTTLER</t>
        </is>
      </c>
      <c r="B3944" s="3" t="inlineStr">
        <is>
          <t>Dottler</t>
        </is>
      </c>
      <c r="C3944" s="3" t="n">
        <v>0</v>
      </c>
      <c r="D3944" s="3" t="inlineStr">
        <is>
          <t>Reflect</t>
        </is>
      </c>
      <c r="E3944" s="3" t="inlineStr">
        <is>
          <t>MOVE_REFLECT</t>
        </is>
      </c>
    </row>
    <row r="3945">
      <c r="A3945" s="3" t="inlineStr">
        <is>
          <t>SPECIES_DOTTLER</t>
        </is>
      </c>
      <c r="B3945" s="3" t="inlineStr">
        <is>
          <t>Dottler</t>
        </is>
      </c>
      <c r="C3945" s="3" t="n">
        <v>1</v>
      </c>
      <c r="D3945" s="3" t="inlineStr">
        <is>
          <t>Reflect</t>
        </is>
      </c>
      <c r="E3945" s="3" t="inlineStr">
        <is>
          <t>MOVE_REFLECT</t>
        </is>
      </c>
    </row>
    <row r="3946">
      <c r="A3946" s="3" t="inlineStr">
        <is>
          <t>SPECIES_DOTTLER</t>
        </is>
      </c>
      <c r="B3946" s="3" t="inlineStr">
        <is>
          <t>Dottler</t>
        </is>
      </c>
      <c r="C3946" s="3" t="n">
        <v>1</v>
      </c>
      <c r="D3946" s="3" t="inlineStr">
        <is>
          <t>Light Screen</t>
        </is>
      </c>
      <c r="E3946" s="3" t="inlineStr">
        <is>
          <t>MOVE_LIGHT_SCREEN</t>
        </is>
      </c>
    </row>
    <row r="3947">
      <c r="A3947" s="3" t="inlineStr">
        <is>
          <t>SPECIES_DOTTLER</t>
        </is>
      </c>
      <c r="B3947" s="3" t="inlineStr">
        <is>
          <t>Dottler</t>
        </is>
      </c>
      <c r="C3947" s="3" t="n">
        <v>1</v>
      </c>
      <c r="D3947" s="3" t="inlineStr">
        <is>
          <t>Confusion</t>
        </is>
      </c>
      <c r="E3947" s="3" t="inlineStr">
        <is>
          <t>MOVE_CONFUSION</t>
        </is>
      </c>
    </row>
    <row r="3948">
      <c r="A3948" s="3" t="inlineStr">
        <is>
          <t>SPECIES_DOTTLER</t>
        </is>
      </c>
      <c r="B3948" s="3" t="inlineStr">
        <is>
          <t>Dottler</t>
        </is>
      </c>
      <c r="C3948" s="3" t="n">
        <v>1</v>
      </c>
      <c r="D3948" s="3" t="inlineStr">
        <is>
          <t>Struggle Bug</t>
        </is>
      </c>
      <c r="E3948" s="3" t="inlineStr">
        <is>
          <t>MOVE_STRUGGLE_BUG</t>
        </is>
      </c>
    </row>
    <row r="3949">
      <c r="A3949" s="3" t="inlineStr">
        <is>
          <t>SPECIES_ORBEETLE</t>
        </is>
      </c>
      <c r="B3949" s="3" t="inlineStr">
        <is>
          <t>Orbeetle</t>
        </is>
      </c>
      <c r="C3949" s="3" t="n">
        <v>1</v>
      </c>
      <c r="D3949" s="3" t="inlineStr">
        <is>
          <t>Reflect</t>
        </is>
      </c>
      <c r="E3949" s="3" t="inlineStr">
        <is>
          <t>MOVE_REFLECT</t>
        </is>
      </c>
    </row>
    <row r="3950">
      <c r="A3950" s="3" t="inlineStr">
        <is>
          <t>SPECIES_ORBEETLE</t>
        </is>
      </c>
      <c r="B3950" s="3" t="inlineStr">
        <is>
          <t>Orbeetle</t>
        </is>
      </c>
      <c r="C3950" s="3" t="n">
        <v>1</v>
      </c>
      <c r="D3950" s="3" t="inlineStr">
        <is>
          <t>Light Screen</t>
        </is>
      </c>
      <c r="E3950" s="3" t="inlineStr">
        <is>
          <t>MOVE_LIGHT_SCREEN</t>
        </is>
      </c>
    </row>
    <row r="3951">
      <c r="A3951" s="3" t="inlineStr">
        <is>
          <t>SPECIES_ORBEETLE</t>
        </is>
      </c>
      <c r="B3951" s="3" t="inlineStr">
        <is>
          <t>Orbeetle</t>
        </is>
      </c>
      <c r="C3951" s="3" t="n">
        <v>1</v>
      </c>
      <c r="D3951" s="3" t="inlineStr">
        <is>
          <t>Confusion</t>
        </is>
      </c>
      <c r="E3951" s="3" t="inlineStr">
        <is>
          <t>MOVE_CONFUSION</t>
        </is>
      </c>
    </row>
    <row r="3952">
      <c r="A3952" s="3" t="inlineStr">
        <is>
          <t>SPECIES_ORBEETLE</t>
        </is>
      </c>
      <c r="B3952" s="3" t="inlineStr">
        <is>
          <t>Orbeetle</t>
        </is>
      </c>
      <c r="C3952" s="3" t="n">
        <v>1</v>
      </c>
      <c r="D3952" s="3" t="inlineStr">
        <is>
          <t>Struggle Bug</t>
        </is>
      </c>
      <c r="E3952" s="3" t="inlineStr">
        <is>
          <t>MOVE_STRUGGLE_BUG</t>
        </is>
      </c>
    </row>
    <row r="3953">
      <c r="A3953" s="3" t="inlineStr">
        <is>
          <t>SPECIES_ORBEETLE</t>
        </is>
      </c>
      <c r="B3953" s="3" t="inlineStr">
        <is>
          <t>Orbeetle</t>
        </is>
      </c>
      <c r="C3953" s="3" t="n">
        <v>4</v>
      </c>
      <c r="D3953" s="3" t="inlineStr">
        <is>
          <t>Confuse Ray</t>
        </is>
      </c>
      <c r="E3953" s="3" t="inlineStr">
        <is>
          <t>MOVE_CONFUSE_RAY</t>
        </is>
      </c>
    </row>
    <row r="3954">
      <c r="A3954" s="3" t="inlineStr">
        <is>
          <t>SPECIES_ORBEETLE</t>
        </is>
      </c>
      <c r="B3954" s="3" t="inlineStr">
        <is>
          <t>Orbeetle</t>
        </is>
      </c>
      <c r="C3954" s="3" t="n">
        <v>8</v>
      </c>
      <c r="D3954" s="3" t="inlineStr">
        <is>
          <t>Magic Coat</t>
        </is>
      </c>
      <c r="E3954" s="3" t="inlineStr">
        <is>
          <t>MOVE_MAGIC_COAT</t>
        </is>
      </c>
    </row>
    <row r="3955">
      <c r="A3955" s="3" t="inlineStr">
        <is>
          <t>SPECIES_ORBEETLE</t>
        </is>
      </c>
      <c r="B3955" s="3" t="inlineStr">
        <is>
          <t>Orbeetle</t>
        </is>
      </c>
      <c r="C3955" s="3" t="n">
        <v>12</v>
      </c>
      <c r="D3955" s="3" t="inlineStr">
        <is>
          <t>Agility</t>
        </is>
      </c>
      <c r="E3955" s="3" t="inlineStr">
        <is>
          <t>MOVE_AGILITY</t>
        </is>
      </c>
    </row>
    <row r="3956">
      <c r="A3956" s="3" t="inlineStr">
        <is>
          <t>SPECIES_ORBEETLE</t>
        </is>
      </c>
      <c r="B3956" s="3" t="inlineStr">
        <is>
          <t>Orbeetle</t>
        </is>
      </c>
      <c r="C3956" s="3" t="n">
        <v>16</v>
      </c>
      <c r="D3956" s="3" t="inlineStr">
        <is>
          <t>Psybeam</t>
        </is>
      </c>
      <c r="E3956" s="3" t="inlineStr">
        <is>
          <t>MOVE_PSYBEAM</t>
        </is>
      </c>
    </row>
    <row r="3957">
      <c r="A3957" s="3" t="inlineStr">
        <is>
          <t>SPECIES_ORBEETLE</t>
        </is>
      </c>
      <c r="B3957" s="3" t="inlineStr">
        <is>
          <t>Orbeetle</t>
        </is>
      </c>
      <c r="C3957" s="3" t="n">
        <v>20</v>
      </c>
      <c r="D3957" s="3" t="inlineStr">
        <is>
          <t>Hypnosis</t>
        </is>
      </c>
      <c r="E3957" s="3" t="inlineStr">
        <is>
          <t>MOVE_HYPNOSIS</t>
        </is>
      </c>
    </row>
    <row r="3958">
      <c r="A3958" s="3" t="inlineStr">
        <is>
          <t>SPECIES_ORBEETLE</t>
        </is>
      </c>
      <c r="B3958" s="3" t="inlineStr">
        <is>
          <t>Orbeetle</t>
        </is>
      </c>
      <c r="C3958" s="3" t="n">
        <v>24</v>
      </c>
      <c r="D3958" s="3" t="inlineStr">
        <is>
          <t>Ally Switch</t>
        </is>
      </c>
      <c r="E3958" s="3" t="inlineStr">
        <is>
          <t>MOVE_ALLY_SWITCH</t>
        </is>
      </c>
    </row>
    <row r="3959">
      <c r="A3959" s="3" t="inlineStr">
        <is>
          <t>SPECIES_ORBEETLE</t>
        </is>
      </c>
      <c r="B3959" s="3" t="inlineStr">
        <is>
          <t>Orbeetle</t>
        </is>
      </c>
      <c r="C3959" s="3" t="n">
        <v>28</v>
      </c>
      <c r="D3959" s="3" t="inlineStr">
        <is>
          <t>Bug Buzz</t>
        </is>
      </c>
      <c r="E3959" s="3" t="inlineStr">
        <is>
          <t>MOVE_BUG_BUZZ</t>
        </is>
      </c>
    </row>
    <row r="3960">
      <c r="A3960" s="3" t="inlineStr">
        <is>
          <t>SPECIES_ORBEETLE</t>
        </is>
      </c>
      <c r="B3960" s="3" t="inlineStr">
        <is>
          <t>Orbeetle</t>
        </is>
      </c>
      <c r="C3960" s="3" t="n">
        <v>32</v>
      </c>
      <c r="D3960" s="3" t="inlineStr">
        <is>
          <t>Mirror Coat</t>
        </is>
      </c>
      <c r="E3960" s="3" t="inlineStr">
        <is>
          <t>MOVE_MIRROR_COAT</t>
        </is>
      </c>
    </row>
    <row r="3961">
      <c r="A3961" s="3" t="inlineStr">
        <is>
          <t>SPECIES_ORBEETLE</t>
        </is>
      </c>
      <c r="B3961" s="3" t="inlineStr">
        <is>
          <t>Orbeetle</t>
        </is>
      </c>
      <c r="C3961" s="3" t="n">
        <v>36</v>
      </c>
      <c r="D3961" s="3" t="inlineStr">
        <is>
          <t>Psychic</t>
        </is>
      </c>
      <c r="E3961" s="3" t="inlineStr">
        <is>
          <t>MOVE_PSYCHIC</t>
        </is>
      </c>
    </row>
    <row r="3962">
      <c r="A3962" s="3" t="inlineStr">
        <is>
          <t>SPECIES_ORBEETLE</t>
        </is>
      </c>
      <c r="B3962" s="3" t="inlineStr">
        <is>
          <t>Orbeetle</t>
        </is>
      </c>
      <c r="C3962" s="3" t="n">
        <v>40</v>
      </c>
      <c r="D3962" s="3" t="inlineStr">
        <is>
          <t>After You</t>
        </is>
      </c>
      <c r="E3962" s="3" t="inlineStr">
        <is>
          <t>MOVE_AFTER_YOU</t>
        </is>
      </c>
    </row>
    <row r="3963">
      <c r="A3963" s="3" t="inlineStr">
        <is>
          <t>SPECIES_ORBEETLE</t>
        </is>
      </c>
      <c r="B3963" s="3" t="inlineStr">
        <is>
          <t>Orbeetle</t>
        </is>
      </c>
      <c r="C3963" s="3" t="n">
        <v>44</v>
      </c>
      <c r="D3963" s="3" t="inlineStr">
        <is>
          <t>Calm Mind</t>
        </is>
      </c>
      <c r="E3963" s="3" t="inlineStr">
        <is>
          <t>MOVE_CALM_MIND</t>
        </is>
      </c>
    </row>
    <row r="3964">
      <c r="A3964" s="3" t="inlineStr">
        <is>
          <t>SPECIES_ORBEETLE</t>
        </is>
      </c>
      <c r="B3964" s="3" t="inlineStr">
        <is>
          <t>Orbeetle</t>
        </is>
      </c>
      <c r="C3964" s="3" t="n">
        <v>48</v>
      </c>
      <c r="D3964" s="3" t="inlineStr">
        <is>
          <t>Psychic Terrain</t>
        </is>
      </c>
      <c r="E3964" s="3" t="inlineStr">
        <is>
          <t>MOVE_PSYCHIC_TERRAIN</t>
        </is>
      </c>
    </row>
    <row r="3965">
      <c r="A3965" s="3" t="inlineStr">
        <is>
          <t>SPECIES_SILICOBRA</t>
        </is>
      </c>
      <c r="B3965" s="3" t="inlineStr">
        <is>
          <t>Silicobra</t>
        </is>
      </c>
      <c r="C3965" s="3" t="n">
        <v>1</v>
      </c>
      <c r="D3965" s="3" t="inlineStr">
        <is>
          <t>Sand Attack</t>
        </is>
      </c>
      <c r="E3965" s="3" t="inlineStr">
        <is>
          <t>MOVE_SAND_ATTACK</t>
        </is>
      </c>
    </row>
    <row r="3966">
      <c r="A3966" s="3" t="inlineStr">
        <is>
          <t>SPECIES_SILICOBRA</t>
        </is>
      </c>
      <c r="B3966" s="3" t="inlineStr">
        <is>
          <t>Silicobra</t>
        </is>
      </c>
      <c r="C3966" s="3" t="n">
        <v>1</v>
      </c>
      <c r="D3966" s="3" t="inlineStr">
        <is>
          <t>Wrap</t>
        </is>
      </c>
      <c r="E3966" s="3" t="inlineStr">
        <is>
          <t>MOVE_WRAP</t>
        </is>
      </c>
    </row>
    <row r="3967">
      <c r="A3967" s="3" t="inlineStr">
        <is>
          <t>SPECIES_SILICOBRA</t>
        </is>
      </c>
      <c r="B3967" s="3" t="inlineStr">
        <is>
          <t>Silicobra</t>
        </is>
      </c>
      <c r="C3967" s="3" t="n">
        <v>5</v>
      </c>
      <c r="D3967" s="3" t="inlineStr">
        <is>
          <t>Minimize</t>
        </is>
      </c>
      <c r="E3967" s="3" t="inlineStr">
        <is>
          <t>MOVE_MINIMIZE</t>
        </is>
      </c>
    </row>
    <row r="3968">
      <c r="A3968" s="3" t="inlineStr">
        <is>
          <t>SPECIES_SILICOBRA</t>
        </is>
      </c>
      <c r="B3968" s="3" t="inlineStr">
        <is>
          <t>Silicobra</t>
        </is>
      </c>
      <c r="C3968" s="3" t="n">
        <v>10</v>
      </c>
      <c r="D3968" s="3" t="inlineStr">
        <is>
          <t>Brutal Swing</t>
        </is>
      </c>
      <c r="E3968" s="3" t="inlineStr">
        <is>
          <t>MOVE_BRUTAL_SWING</t>
        </is>
      </c>
    </row>
    <row r="3969">
      <c r="A3969" s="3" t="inlineStr">
        <is>
          <t>SPECIES_SILICOBRA</t>
        </is>
      </c>
      <c r="B3969" s="3" t="inlineStr">
        <is>
          <t>Silicobra</t>
        </is>
      </c>
      <c r="C3969" s="3" t="n">
        <v>15</v>
      </c>
      <c r="D3969" s="3" t="inlineStr">
        <is>
          <t>Bulldoze</t>
        </is>
      </c>
      <c r="E3969" s="3" t="inlineStr">
        <is>
          <t>MOVE_BULLDOZE</t>
        </is>
      </c>
    </row>
    <row r="3970">
      <c r="A3970" s="3" t="inlineStr">
        <is>
          <t>SPECIES_SILICOBRA</t>
        </is>
      </c>
      <c r="B3970" s="3" t="inlineStr">
        <is>
          <t>Silicobra</t>
        </is>
      </c>
      <c r="C3970" s="3" t="n">
        <v>20</v>
      </c>
      <c r="D3970" s="3" t="inlineStr">
        <is>
          <t>Headbutt</t>
        </is>
      </c>
      <c r="E3970" s="3" t="inlineStr">
        <is>
          <t>MOVE_HEADBUTT</t>
        </is>
      </c>
    </row>
    <row r="3971">
      <c r="A3971" s="3" t="inlineStr">
        <is>
          <t>SPECIES_SILICOBRA</t>
        </is>
      </c>
      <c r="B3971" s="3" t="inlineStr">
        <is>
          <t>Silicobra</t>
        </is>
      </c>
      <c r="C3971" s="3" t="n">
        <v>25</v>
      </c>
      <c r="D3971" s="3" t="inlineStr">
        <is>
          <t>Glare</t>
        </is>
      </c>
      <c r="E3971" s="3" t="inlineStr">
        <is>
          <t>MOVE_GLARE</t>
        </is>
      </c>
    </row>
    <row r="3972">
      <c r="A3972" s="3" t="inlineStr">
        <is>
          <t>SPECIES_SILICOBRA</t>
        </is>
      </c>
      <c r="B3972" s="3" t="inlineStr">
        <is>
          <t>Silicobra</t>
        </is>
      </c>
      <c r="C3972" s="3" t="n">
        <v>30</v>
      </c>
      <c r="D3972" s="3" t="inlineStr">
        <is>
          <t>Dig</t>
        </is>
      </c>
      <c r="E3972" s="3" t="inlineStr">
        <is>
          <t>MOVE_DIG</t>
        </is>
      </c>
    </row>
    <row r="3973">
      <c r="A3973" s="3" t="inlineStr">
        <is>
          <t>SPECIES_SILICOBRA</t>
        </is>
      </c>
      <c r="B3973" s="3" t="inlineStr">
        <is>
          <t>Silicobra</t>
        </is>
      </c>
      <c r="C3973" s="3" t="n">
        <v>35</v>
      </c>
      <c r="D3973" s="3" t="inlineStr">
        <is>
          <t>Sandstorm</t>
        </is>
      </c>
      <c r="E3973" s="3" t="inlineStr">
        <is>
          <t>MOVE_SANDSTORM</t>
        </is>
      </c>
    </row>
    <row r="3974">
      <c r="A3974" s="3" t="inlineStr">
        <is>
          <t>SPECIES_SILICOBRA</t>
        </is>
      </c>
      <c r="B3974" s="3" t="inlineStr">
        <is>
          <t>Silicobra</t>
        </is>
      </c>
      <c r="C3974" s="3" t="n">
        <v>40</v>
      </c>
      <c r="D3974" s="3" t="inlineStr">
        <is>
          <t>Slam</t>
        </is>
      </c>
      <c r="E3974" s="3" t="inlineStr">
        <is>
          <t>MOVE_SLAM</t>
        </is>
      </c>
    </row>
    <row r="3975">
      <c r="A3975" s="3" t="inlineStr">
        <is>
          <t>SPECIES_SILICOBRA</t>
        </is>
      </c>
      <c r="B3975" s="3" t="inlineStr">
        <is>
          <t>Silicobra</t>
        </is>
      </c>
      <c r="C3975" s="3" t="n">
        <v>45</v>
      </c>
      <c r="D3975" s="3" t="inlineStr">
        <is>
          <t>Coil</t>
        </is>
      </c>
      <c r="E3975" s="3" t="inlineStr">
        <is>
          <t>MOVE_COIL</t>
        </is>
      </c>
    </row>
    <row r="3976">
      <c r="A3976" s="3" t="inlineStr">
        <is>
          <t>SPECIES_SILICOBRA</t>
        </is>
      </c>
      <c r="B3976" s="3" t="inlineStr">
        <is>
          <t>Silicobra</t>
        </is>
      </c>
      <c r="C3976" s="3" t="n">
        <v>50</v>
      </c>
      <c r="D3976" s="3" t="inlineStr">
        <is>
          <t>Sand Tomb</t>
        </is>
      </c>
      <c r="E3976" s="3" t="inlineStr">
        <is>
          <t>MOVE_SAND_TOMB</t>
        </is>
      </c>
    </row>
    <row r="3977">
      <c r="A3977" s="3" t="inlineStr">
        <is>
          <t>SPECIES_SANDACONDA</t>
        </is>
      </c>
      <c r="B3977" s="3" t="inlineStr">
        <is>
          <t>Sandaconda</t>
        </is>
      </c>
      <c r="C3977" s="3" t="n">
        <v>1</v>
      </c>
      <c r="D3977" s="3" t="inlineStr">
        <is>
          <t>Sand Attack</t>
        </is>
      </c>
      <c r="E3977" s="3" t="inlineStr">
        <is>
          <t>MOVE_SAND_ATTACK</t>
        </is>
      </c>
    </row>
    <row r="3978">
      <c r="A3978" s="3" t="inlineStr">
        <is>
          <t>SPECIES_SANDACONDA</t>
        </is>
      </c>
      <c r="B3978" s="3" t="inlineStr">
        <is>
          <t>Sandaconda</t>
        </is>
      </c>
      <c r="C3978" s="3" t="n">
        <v>1</v>
      </c>
      <c r="D3978" s="3" t="inlineStr">
        <is>
          <t>Wrap</t>
        </is>
      </c>
      <c r="E3978" s="3" t="inlineStr">
        <is>
          <t>MOVE_WRAP</t>
        </is>
      </c>
    </row>
    <row r="3979">
      <c r="A3979" s="3" t="inlineStr">
        <is>
          <t>SPECIES_SANDACONDA</t>
        </is>
      </c>
      <c r="B3979" s="3" t="inlineStr">
        <is>
          <t>Sandaconda</t>
        </is>
      </c>
      <c r="C3979" s="3" t="n">
        <v>1</v>
      </c>
      <c r="D3979" s="3" t="inlineStr">
        <is>
          <t>Minimize</t>
        </is>
      </c>
      <c r="E3979" s="3" t="inlineStr">
        <is>
          <t>MOVE_MINIMIZE</t>
        </is>
      </c>
    </row>
    <row r="3980">
      <c r="A3980" s="3" t="inlineStr">
        <is>
          <t>SPECIES_SANDACONDA</t>
        </is>
      </c>
      <c r="B3980" s="3" t="inlineStr">
        <is>
          <t>Sandaconda</t>
        </is>
      </c>
      <c r="C3980" s="3" t="n">
        <v>1</v>
      </c>
      <c r="D3980" s="3" t="inlineStr">
        <is>
          <t>Brutal Swing</t>
        </is>
      </c>
      <c r="E3980" s="3" t="inlineStr">
        <is>
          <t>MOVE_BRUTAL_SWING</t>
        </is>
      </c>
    </row>
    <row r="3981">
      <c r="A3981" s="3" t="inlineStr">
        <is>
          <t>SPECIES_SANDACONDA</t>
        </is>
      </c>
      <c r="B3981" s="3" t="inlineStr">
        <is>
          <t>Sandaconda</t>
        </is>
      </c>
      <c r="C3981" s="3" t="n">
        <v>15</v>
      </c>
      <c r="D3981" s="3" t="inlineStr">
        <is>
          <t>Bulldoze</t>
        </is>
      </c>
      <c r="E3981" s="3" t="inlineStr">
        <is>
          <t>MOVE_BULLDOZE</t>
        </is>
      </c>
    </row>
    <row r="3982">
      <c r="A3982" s="3" t="inlineStr">
        <is>
          <t>SPECIES_SANDACONDA</t>
        </is>
      </c>
      <c r="B3982" s="3" t="inlineStr">
        <is>
          <t>Sandaconda</t>
        </is>
      </c>
      <c r="C3982" s="3" t="n">
        <v>20</v>
      </c>
      <c r="D3982" s="3" t="inlineStr">
        <is>
          <t>Headbutt</t>
        </is>
      </c>
      <c r="E3982" s="3" t="inlineStr">
        <is>
          <t>MOVE_HEADBUTT</t>
        </is>
      </c>
    </row>
    <row r="3983">
      <c r="A3983" s="3" t="inlineStr">
        <is>
          <t>SPECIES_SANDACONDA</t>
        </is>
      </c>
      <c r="B3983" s="3" t="inlineStr">
        <is>
          <t>Sandaconda</t>
        </is>
      </c>
      <c r="C3983" s="3" t="n">
        <v>25</v>
      </c>
      <c r="D3983" s="3" t="inlineStr">
        <is>
          <t>Glare</t>
        </is>
      </c>
      <c r="E3983" s="3" t="inlineStr">
        <is>
          <t>MOVE_GLARE</t>
        </is>
      </c>
    </row>
    <row r="3984">
      <c r="A3984" s="3" t="inlineStr">
        <is>
          <t>SPECIES_SANDACONDA</t>
        </is>
      </c>
      <c r="B3984" s="3" t="inlineStr">
        <is>
          <t>Sandaconda</t>
        </is>
      </c>
      <c r="C3984" s="3" t="n">
        <v>30</v>
      </c>
      <c r="D3984" s="3" t="inlineStr">
        <is>
          <t>Dig</t>
        </is>
      </c>
      <c r="E3984" s="3" t="inlineStr">
        <is>
          <t>MOVE_DIG</t>
        </is>
      </c>
    </row>
    <row r="3985">
      <c r="A3985" s="3" t="inlineStr">
        <is>
          <t>SPECIES_SANDACONDA</t>
        </is>
      </c>
      <c r="B3985" s="3" t="inlineStr">
        <is>
          <t>Sandaconda</t>
        </is>
      </c>
      <c r="C3985" s="3" t="n">
        <v>35</v>
      </c>
      <c r="D3985" s="3" t="inlineStr">
        <is>
          <t>Sandstorm</t>
        </is>
      </c>
      <c r="E3985" s="3" t="inlineStr">
        <is>
          <t>MOVE_SANDSTORM</t>
        </is>
      </c>
    </row>
    <row r="3986">
      <c r="A3986" s="3" t="inlineStr">
        <is>
          <t>SPECIES_SANDACONDA</t>
        </is>
      </c>
      <c r="B3986" s="3" t="inlineStr">
        <is>
          <t>Sandaconda</t>
        </is>
      </c>
      <c r="C3986" s="3" t="n">
        <v>42</v>
      </c>
      <c r="D3986" s="3" t="inlineStr">
        <is>
          <t>Slam</t>
        </is>
      </c>
      <c r="E3986" s="3" t="inlineStr">
        <is>
          <t>MOVE_SLAM</t>
        </is>
      </c>
    </row>
    <row r="3987">
      <c r="A3987" s="3" t="inlineStr">
        <is>
          <t>SPECIES_SANDACONDA</t>
        </is>
      </c>
      <c r="B3987" s="3" t="inlineStr">
        <is>
          <t>Sandaconda</t>
        </is>
      </c>
      <c r="C3987" s="3" t="n">
        <v>49</v>
      </c>
      <c r="D3987" s="3" t="inlineStr">
        <is>
          <t>Coil</t>
        </is>
      </c>
      <c r="E3987" s="3" t="inlineStr">
        <is>
          <t>MOVE_COIL</t>
        </is>
      </c>
    </row>
    <row r="3988">
      <c r="A3988" s="3" t="inlineStr">
        <is>
          <t>SPECIES_SANDACONDA</t>
        </is>
      </c>
      <c r="B3988" s="3" t="inlineStr">
        <is>
          <t>Sandaconda</t>
        </is>
      </c>
      <c r="C3988" s="3" t="n">
        <v>51</v>
      </c>
      <c r="D3988" s="3" t="inlineStr">
        <is>
          <t>Sand Tomb</t>
        </is>
      </c>
      <c r="E3988" s="3" t="inlineStr">
        <is>
          <t>MOVE_SAND_TOMB</t>
        </is>
      </c>
    </row>
    <row r="3989">
      <c r="A3989" s="3" t="inlineStr">
        <is>
          <t>SPECIES_TOXEL</t>
        </is>
      </c>
      <c r="B3989" s="3" t="inlineStr">
        <is>
          <t>Toxel</t>
        </is>
      </c>
      <c r="C3989" s="3" t="n">
        <v>1</v>
      </c>
      <c r="D3989" s="3" t="inlineStr">
        <is>
          <t>Growl</t>
        </is>
      </c>
      <c r="E3989" s="3" t="inlineStr">
        <is>
          <t>MOVE_GROWL</t>
        </is>
      </c>
    </row>
    <row r="3990">
      <c r="A3990" s="3" t="inlineStr">
        <is>
          <t>SPECIES_TOXEL</t>
        </is>
      </c>
      <c r="B3990" s="3" t="inlineStr">
        <is>
          <t>Toxel</t>
        </is>
      </c>
      <c r="C3990" s="3" t="n">
        <v>1</v>
      </c>
      <c r="D3990" s="3" t="inlineStr">
        <is>
          <t>Acid</t>
        </is>
      </c>
      <c r="E3990" s="3" t="inlineStr">
        <is>
          <t>MOVE_ACID</t>
        </is>
      </c>
    </row>
    <row r="3991">
      <c r="A3991" s="3" t="inlineStr">
        <is>
          <t>SPECIES_TOXEL</t>
        </is>
      </c>
      <c r="B3991" s="3" t="inlineStr">
        <is>
          <t>Toxel</t>
        </is>
      </c>
      <c r="C3991" s="3" t="n">
        <v>1</v>
      </c>
      <c r="D3991" s="3" t="inlineStr">
        <is>
          <t>Flail</t>
        </is>
      </c>
      <c r="E3991" s="3" t="inlineStr">
        <is>
          <t>MOVE_FLAIL</t>
        </is>
      </c>
    </row>
    <row r="3992">
      <c r="A3992" s="3" t="inlineStr">
        <is>
          <t>SPECIES_TOXEL</t>
        </is>
      </c>
      <c r="B3992" s="3" t="inlineStr">
        <is>
          <t>Toxel</t>
        </is>
      </c>
      <c r="C3992" s="3" t="n">
        <v>1</v>
      </c>
      <c r="D3992" s="3" t="inlineStr">
        <is>
          <t>Belch</t>
        </is>
      </c>
      <c r="E3992" s="3" t="inlineStr">
        <is>
          <t>MOVE_BELCH</t>
        </is>
      </c>
    </row>
    <row r="3993">
      <c r="A3993" s="3" t="inlineStr">
        <is>
          <t>SPECIES_TOXEL</t>
        </is>
      </c>
      <c r="B3993" s="3" t="inlineStr">
        <is>
          <t>Toxel</t>
        </is>
      </c>
      <c r="C3993" s="3" t="n">
        <v>1</v>
      </c>
      <c r="D3993" s="3" t="inlineStr">
        <is>
          <t>Nuzzle</t>
        </is>
      </c>
      <c r="E3993" s="3" t="inlineStr">
        <is>
          <t>MOVE_NUZZLE</t>
        </is>
      </c>
    </row>
    <row r="3994">
      <c r="A3994" s="3" t="inlineStr">
        <is>
          <t>SPECIES_TOXEL</t>
        </is>
      </c>
      <c r="B3994" s="3" t="inlineStr">
        <is>
          <t>Toxel</t>
        </is>
      </c>
      <c r="C3994" s="3" t="n">
        <v>1</v>
      </c>
      <c r="D3994" s="3" t="inlineStr">
        <is>
          <t>Tearful Look</t>
        </is>
      </c>
      <c r="E3994" s="3" t="inlineStr">
        <is>
          <t>MOVE_TEARFUL_LOOK</t>
        </is>
      </c>
    </row>
    <row r="3995">
      <c r="A3995" s="3" t="inlineStr">
        <is>
          <t>SPECIES_TOXTRICITY_AMPED</t>
        </is>
      </c>
      <c r="B3995" s="3" t="inlineStr">
        <is>
          <t>Toxtricity</t>
        </is>
      </c>
      <c r="C3995" s="3" t="n">
        <v>0</v>
      </c>
      <c r="D3995" s="3" t="inlineStr">
        <is>
          <t>Spark</t>
        </is>
      </c>
      <c r="E3995" s="3" t="inlineStr">
        <is>
          <t>MOVE_SPARK</t>
        </is>
      </c>
    </row>
    <row r="3996">
      <c r="A3996" s="3" t="inlineStr">
        <is>
          <t>SPECIES_TOXTRICITY_AMPED</t>
        </is>
      </c>
      <c r="B3996" s="3" t="inlineStr">
        <is>
          <t>Toxtricity</t>
        </is>
      </c>
      <c r="C3996" s="3" t="n">
        <v>1</v>
      </c>
      <c r="D3996" s="3" t="inlineStr">
        <is>
          <t>Leer</t>
        </is>
      </c>
      <c r="E3996" s="3" t="inlineStr">
        <is>
          <t>MOVE_LEER</t>
        </is>
      </c>
    </row>
    <row r="3997">
      <c r="A3997" s="3" t="inlineStr">
        <is>
          <t>SPECIES_TOXTRICITY_AMPED</t>
        </is>
      </c>
      <c r="B3997" s="3" t="inlineStr">
        <is>
          <t>Toxtricity</t>
        </is>
      </c>
      <c r="C3997" s="3" t="n">
        <v>1</v>
      </c>
      <c r="D3997" s="3" t="inlineStr">
        <is>
          <t>Growl</t>
        </is>
      </c>
      <c r="E3997" s="3" t="inlineStr">
        <is>
          <t>MOVE_GROWL</t>
        </is>
      </c>
    </row>
    <row r="3998">
      <c r="A3998" s="3" t="inlineStr">
        <is>
          <t>SPECIES_TOXTRICITY_AMPED</t>
        </is>
      </c>
      <c r="B3998" s="3" t="inlineStr">
        <is>
          <t>Toxtricity</t>
        </is>
      </c>
      <c r="C3998" s="3" t="n">
        <v>1</v>
      </c>
      <c r="D3998" s="3" t="inlineStr">
        <is>
          <t>Acid</t>
        </is>
      </c>
      <c r="E3998" s="3" t="inlineStr">
        <is>
          <t>MOVE_ACID</t>
        </is>
      </c>
    </row>
    <row r="3999">
      <c r="A3999" s="3" t="inlineStr">
        <is>
          <t>SPECIES_TOXTRICITY_AMPED</t>
        </is>
      </c>
      <c r="B3999" s="3" t="inlineStr">
        <is>
          <t>Toxtricity</t>
        </is>
      </c>
      <c r="C3999" s="3" t="n">
        <v>1</v>
      </c>
      <c r="D3999" s="3" t="inlineStr">
        <is>
          <t>Thunder Shock</t>
        </is>
      </c>
      <c r="E3999" s="3" t="inlineStr">
        <is>
          <t>MOVE_THUNDER_SHOCK</t>
        </is>
      </c>
    </row>
    <row r="4000">
      <c r="A4000" s="3" t="inlineStr">
        <is>
          <t>SPECIES_TOXTRICITY_AMPED</t>
        </is>
      </c>
      <c r="B4000" s="3" t="inlineStr">
        <is>
          <t>Toxtricity</t>
        </is>
      </c>
      <c r="C4000" s="3" t="n">
        <v>1</v>
      </c>
      <c r="D4000" s="3" t="inlineStr">
        <is>
          <t>Nuzzle</t>
        </is>
      </c>
      <c r="E4000" s="3" t="inlineStr">
        <is>
          <t>MOVE_NUZZLE</t>
        </is>
      </c>
    </row>
    <row r="4001">
      <c r="A4001" s="3" t="inlineStr">
        <is>
          <t>SPECIES_TOXTRICITY_AMPED</t>
        </is>
      </c>
      <c r="B4001" s="3" t="inlineStr">
        <is>
          <t>Toxtricity</t>
        </is>
      </c>
      <c r="C4001" s="3" t="n">
        <v>1</v>
      </c>
      <c r="D4001" s="3" t="inlineStr">
        <is>
          <t>Noble Roar</t>
        </is>
      </c>
      <c r="E4001" s="3" t="inlineStr">
        <is>
          <t>MOVE_NOBLE_ROAR</t>
        </is>
      </c>
    </row>
    <row r="4002">
      <c r="A4002" s="3" t="inlineStr">
        <is>
          <t>SPECIES_TOXTRICITY_AMPED</t>
        </is>
      </c>
      <c r="B4002" s="3" t="inlineStr">
        <is>
          <t>Toxtricity</t>
        </is>
      </c>
      <c r="C4002" s="3" t="n">
        <v>1</v>
      </c>
      <c r="D4002" s="3" t="inlineStr">
        <is>
          <t>Flail</t>
        </is>
      </c>
      <c r="E4002" s="3" t="inlineStr">
        <is>
          <t>MOVE_FLAIL</t>
        </is>
      </c>
    </row>
    <row r="4003">
      <c r="A4003" s="3" t="inlineStr">
        <is>
          <t>SPECIES_TOXTRICITY_AMPED</t>
        </is>
      </c>
      <c r="B4003" s="3" t="inlineStr">
        <is>
          <t>Toxtricity</t>
        </is>
      </c>
      <c r="C4003" s="3" t="n">
        <v>1</v>
      </c>
      <c r="D4003" s="3" t="inlineStr">
        <is>
          <t>Belch</t>
        </is>
      </c>
      <c r="E4003" s="3" t="inlineStr">
        <is>
          <t>MOVE_BELCH</t>
        </is>
      </c>
    </row>
    <row r="4004">
      <c r="A4004" s="3" t="inlineStr">
        <is>
          <t>SPECIES_TOXTRICITY_AMPED</t>
        </is>
      </c>
      <c r="B4004" s="3" t="inlineStr">
        <is>
          <t>Toxtricity</t>
        </is>
      </c>
      <c r="C4004" s="3" t="n">
        <v>1</v>
      </c>
      <c r="D4004" s="3" t="inlineStr">
        <is>
          <t>Tearful Look</t>
        </is>
      </c>
      <c r="E4004" s="3" t="inlineStr">
        <is>
          <t>MOVE_TEARFUL_LOOK</t>
        </is>
      </c>
    </row>
    <row r="4005">
      <c r="A4005" s="3" t="inlineStr">
        <is>
          <t>SPECIES_TOXTRICITY_AMPED</t>
        </is>
      </c>
      <c r="B4005" s="3" t="inlineStr">
        <is>
          <t>Toxtricity</t>
        </is>
      </c>
      <c r="C4005" s="3" t="n">
        <v>1</v>
      </c>
      <c r="D4005" s="3" t="inlineStr">
        <is>
          <t>Acid Spray</t>
        </is>
      </c>
      <c r="E4005" s="3" t="inlineStr">
        <is>
          <t>MOVE_ACID_SPRAY</t>
        </is>
      </c>
    </row>
    <row r="4006">
      <c r="A4006" s="3" t="inlineStr">
        <is>
          <t>SPECIES_TOXTRICITY_AMPED</t>
        </is>
      </c>
      <c r="B4006" s="3" t="inlineStr">
        <is>
          <t>Toxtricity</t>
        </is>
      </c>
      <c r="C4006" s="3" t="n">
        <v>4</v>
      </c>
      <c r="D4006" s="3" t="inlineStr">
        <is>
          <t>Charge</t>
        </is>
      </c>
      <c r="E4006" s="3" t="inlineStr">
        <is>
          <t>MOVE_CHARGE</t>
        </is>
      </c>
    </row>
    <row r="4007">
      <c r="A4007" s="3" t="inlineStr">
        <is>
          <t>SPECIES_TOXTRICITY_AMPED</t>
        </is>
      </c>
      <c r="B4007" s="3" t="inlineStr">
        <is>
          <t>Toxtricity</t>
        </is>
      </c>
      <c r="C4007" s="3" t="n">
        <v>8</v>
      </c>
      <c r="D4007" s="3" t="inlineStr">
        <is>
          <t>Shock Wave</t>
        </is>
      </c>
      <c r="E4007" s="3" t="inlineStr">
        <is>
          <t>MOVE_SHOCK_WAVE</t>
        </is>
      </c>
    </row>
    <row r="4008">
      <c r="A4008" s="3" t="inlineStr">
        <is>
          <t>SPECIES_TOXTRICITY_AMPED</t>
        </is>
      </c>
      <c r="B4008" s="3" t="inlineStr">
        <is>
          <t>Toxtricity</t>
        </is>
      </c>
      <c r="C4008" s="3" t="n">
        <v>12</v>
      </c>
      <c r="D4008" s="3" t="inlineStr">
        <is>
          <t>Scary Face</t>
        </is>
      </c>
      <c r="E4008" s="3" t="inlineStr">
        <is>
          <t>MOVE_SCARY_FACE</t>
        </is>
      </c>
    </row>
    <row r="4009">
      <c r="A4009" s="3" t="inlineStr">
        <is>
          <t>SPECIES_TOXTRICITY_AMPED</t>
        </is>
      </c>
      <c r="B4009" s="3" t="inlineStr">
        <is>
          <t>Toxtricity</t>
        </is>
      </c>
      <c r="C4009" s="3" t="n">
        <v>16</v>
      </c>
      <c r="D4009" s="3" t="inlineStr">
        <is>
          <t>Taunt</t>
        </is>
      </c>
      <c r="E4009" s="3" t="inlineStr">
        <is>
          <t>MOVE_TAUNT</t>
        </is>
      </c>
    </row>
    <row r="4010">
      <c r="A4010" s="3" t="inlineStr">
        <is>
          <t>SPECIES_TOXTRICITY_AMPED</t>
        </is>
      </c>
      <c r="B4010" s="3" t="inlineStr">
        <is>
          <t>Toxtricity</t>
        </is>
      </c>
      <c r="C4010" s="3" t="n">
        <v>24</v>
      </c>
      <c r="D4010" s="3" t="inlineStr">
        <is>
          <t>Screech</t>
        </is>
      </c>
      <c r="E4010" s="3" t="inlineStr">
        <is>
          <t>MOVE_SCREECH</t>
        </is>
      </c>
    </row>
    <row r="4011">
      <c r="A4011" s="3" t="inlineStr">
        <is>
          <t>SPECIES_TOXTRICITY_AMPED</t>
        </is>
      </c>
      <c r="B4011" s="3" t="inlineStr">
        <is>
          <t>Toxtricity</t>
        </is>
      </c>
      <c r="C4011" s="3" t="n">
        <v>28</v>
      </c>
      <c r="D4011" s="3" t="inlineStr">
        <is>
          <t>Swagger</t>
        </is>
      </c>
      <c r="E4011" s="3" t="inlineStr">
        <is>
          <t>MOVE_SWAGGER</t>
        </is>
      </c>
    </row>
    <row r="4012">
      <c r="A4012" s="3" t="inlineStr">
        <is>
          <t>SPECIES_TOXTRICITY_AMPED</t>
        </is>
      </c>
      <c r="B4012" s="3" t="inlineStr">
        <is>
          <t>Toxtricity</t>
        </is>
      </c>
      <c r="C4012" s="3" t="n">
        <v>32</v>
      </c>
      <c r="D4012" s="3" t="inlineStr">
        <is>
          <t>Toxic</t>
        </is>
      </c>
      <c r="E4012" s="3" t="inlineStr">
        <is>
          <t>MOVE_TOXIC</t>
        </is>
      </c>
    </row>
    <row r="4013">
      <c r="A4013" s="3" t="inlineStr">
        <is>
          <t>SPECIES_TOXTRICITY_AMPED</t>
        </is>
      </c>
      <c r="B4013" s="3" t="inlineStr">
        <is>
          <t>Toxtricity</t>
        </is>
      </c>
      <c r="C4013" s="3" t="n">
        <v>36</v>
      </c>
      <c r="D4013" s="3" t="inlineStr">
        <is>
          <t>Discharge</t>
        </is>
      </c>
      <c r="E4013" s="3" t="inlineStr">
        <is>
          <t>MOVE_DISCHARGE</t>
        </is>
      </c>
    </row>
    <row r="4014">
      <c r="A4014" s="3" t="inlineStr">
        <is>
          <t>SPECIES_TOXTRICITY_AMPED</t>
        </is>
      </c>
      <c r="B4014" s="3" t="inlineStr">
        <is>
          <t>Toxtricity</t>
        </is>
      </c>
      <c r="C4014" s="3" t="n">
        <v>40</v>
      </c>
      <c r="D4014" s="3" t="inlineStr">
        <is>
          <t>Poison Jab</t>
        </is>
      </c>
      <c r="E4014" s="3" t="inlineStr">
        <is>
          <t>MOVE_POISON_JAB</t>
        </is>
      </c>
    </row>
    <row r="4015">
      <c r="A4015" s="3" t="inlineStr">
        <is>
          <t>SPECIES_TOXTRICITY_AMPED</t>
        </is>
      </c>
      <c r="B4015" s="3" t="inlineStr">
        <is>
          <t>Toxtricity</t>
        </is>
      </c>
      <c r="C4015" s="3" t="n">
        <v>44</v>
      </c>
      <c r="D4015" s="3" t="inlineStr">
        <is>
          <t>Overdrive</t>
        </is>
      </c>
      <c r="E4015" s="3" t="inlineStr">
        <is>
          <t>MOVE_OVERDRIVE</t>
        </is>
      </c>
    </row>
    <row r="4016">
      <c r="A4016" s="3" t="inlineStr">
        <is>
          <t>SPECIES_TOXTRICITY_AMPED</t>
        </is>
      </c>
      <c r="B4016" s="3" t="inlineStr">
        <is>
          <t>Toxtricity</t>
        </is>
      </c>
      <c r="C4016" s="3" t="n">
        <v>48</v>
      </c>
      <c r="D4016" s="3" t="inlineStr">
        <is>
          <t>Boomburst</t>
        </is>
      </c>
      <c r="E4016" s="3" t="inlineStr">
        <is>
          <t>MOVE_BOOMBURST</t>
        </is>
      </c>
    </row>
    <row r="4017">
      <c r="A4017" s="3" t="inlineStr">
        <is>
          <t>SPECIES_TOXTRICITY_AMPED</t>
        </is>
      </c>
      <c r="B4017" s="3" t="inlineStr">
        <is>
          <t>Toxtricity</t>
        </is>
      </c>
      <c r="C4017" s="3" t="n">
        <v>52</v>
      </c>
      <c r="D4017" s="3" t="inlineStr">
        <is>
          <t>Shift Gear</t>
        </is>
      </c>
      <c r="E4017" s="3" t="inlineStr">
        <is>
          <t>MOVE_SHIFT_GEAR</t>
        </is>
      </c>
    </row>
    <row r="4018">
      <c r="A4018" s="3" t="inlineStr">
        <is>
          <t>SPECIES_SIZZLIPEDE</t>
        </is>
      </c>
      <c r="B4018" s="3" t="inlineStr">
        <is>
          <t>Sizzlipede</t>
        </is>
      </c>
      <c r="C4018" s="3" t="n">
        <v>1</v>
      </c>
      <c r="D4018" s="3" t="inlineStr">
        <is>
          <t>Ember</t>
        </is>
      </c>
      <c r="E4018" s="3" t="inlineStr">
        <is>
          <t>MOVE_EMBER</t>
        </is>
      </c>
    </row>
    <row r="4019">
      <c r="A4019" s="3" t="inlineStr">
        <is>
          <t>SPECIES_SIZZLIPEDE</t>
        </is>
      </c>
      <c r="B4019" s="3" t="inlineStr">
        <is>
          <t>Sizzlipede</t>
        </is>
      </c>
      <c r="C4019" s="3" t="n">
        <v>1</v>
      </c>
      <c r="D4019" s="3" t="inlineStr">
        <is>
          <t>Smokescreen</t>
        </is>
      </c>
      <c r="E4019" s="3" t="inlineStr">
        <is>
          <t>MOVE_SMOKESCREEN</t>
        </is>
      </c>
    </row>
    <row r="4020">
      <c r="A4020" s="3" t="inlineStr">
        <is>
          <t>SPECIES_SIZZLIPEDE</t>
        </is>
      </c>
      <c r="B4020" s="3" t="inlineStr">
        <is>
          <t>Sizzlipede</t>
        </is>
      </c>
      <c r="C4020" s="3" t="n">
        <v>5</v>
      </c>
      <c r="D4020" s="3" t="inlineStr">
        <is>
          <t>Wrap</t>
        </is>
      </c>
      <c r="E4020" s="3" t="inlineStr">
        <is>
          <t>MOVE_WRAP</t>
        </is>
      </c>
    </row>
    <row r="4021">
      <c r="A4021" s="3" t="inlineStr">
        <is>
          <t>SPECIES_SIZZLIPEDE</t>
        </is>
      </c>
      <c r="B4021" s="3" t="inlineStr">
        <is>
          <t>Sizzlipede</t>
        </is>
      </c>
      <c r="C4021" s="3" t="n">
        <v>10</v>
      </c>
      <c r="D4021" s="3" t="inlineStr">
        <is>
          <t>Bite</t>
        </is>
      </c>
      <c r="E4021" s="3" t="inlineStr">
        <is>
          <t>MOVE_BITE</t>
        </is>
      </c>
    </row>
    <row r="4022">
      <c r="A4022" s="3" t="inlineStr">
        <is>
          <t>SPECIES_SIZZLIPEDE</t>
        </is>
      </c>
      <c r="B4022" s="3" t="inlineStr">
        <is>
          <t>Sizzlipede</t>
        </is>
      </c>
      <c r="C4022" s="3" t="n">
        <v>15</v>
      </c>
      <c r="D4022" s="3" t="inlineStr">
        <is>
          <t>Flame Wheel</t>
        </is>
      </c>
      <c r="E4022" s="3" t="inlineStr">
        <is>
          <t>MOVE_FLAME_WHEEL</t>
        </is>
      </c>
    </row>
    <row r="4023">
      <c r="A4023" s="3" t="inlineStr">
        <is>
          <t>SPECIES_SIZZLIPEDE</t>
        </is>
      </c>
      <c r="B4023" s="3" t="inlineStr">
        <is>
          <t>Sizzlipede</t>
        </is>
      </c>
      <c r="C4023" s="3" t="n">
        <v>20</v>
      </c>
      <c r="D4023" s="3" t="inlineStr">
        <is>
          <t>Bug Bite</t>
        </is>
      </c>
      <c r="E4023" s="3" t="inlineStr">
        <is>
          <t>MOVE_BUG_BITE</t>
        </is>
      </c>
    </row>
    <row r="4024">
      <c r="A4024" s="3" t="inlineStr">
        <is>
          <t>SPECIES_SIZZLIPEDE</t>
        </is>
      </c>
      <c r="B4024" s="3" t="inlineStr">
        <is>
          <t>Sizzlipede</t>
        </is>
      </c>
      <c r="C4024" s="3" t="n">
        <v>25</v>
      </c>
      <c r="D4024" s="3" t="inlineStr">
        <is>
          <t>Coil</t>
        </is>
      </c>
      <c r="E4024" s="3" t="inlineStr">
        <is>
          <t>MOVE_COIL</t>
        </is>
      </c>
    </row>
    <row r="4025">
      <c r="A4025" s="3" t="inlineStr">
        <is>
          <t>SPECIES_SIZZLIPEDE</t>
        </is>
      </c>
      <c r="B4025" s="3" t="inlineStr">
        <is>
          <t>Sizzlipede</t>
        </is>
      </c>
      <c r="C4025" s="3" t="n">
        <v>30</v>
      </c>
      <c r="D4025" s="3" t="inlineStr">
        <is>
          <t>Slam</t>
        </is>
      </c>
      <c r="E4025" s="3" t="inlineStr">
        <is>
          <t>MOVE_SLAM</t>
        </is>
      </c>
    </row>
    <row r="4026">
      <c r="A4026" s="3" t="inlineStr">
        <is>
          <t>SPECIES_SIZZLIPEDE</t>
        </is>
      </c>
      <c r="B4026" s="3" t="inlineStr">
        <is>
          <t>Sizzlipede</t>
        </is>
      </c>
      <c r="C4026" s="3" t="n">
        <v>35</v>
      </c>
      <c r="D4026" s="3" t="inlineStr">
        <is>
          <t>Fire Spin</t>
        </is>
      </c>
      <c r="E4026" s="3" t="inlineStr">
        <is>
          <t>MOVE_FIRE_SPIN</t>
        </is>
      </c>
    </row>
    <row r="4027">
      <c r="A4027" s="3" t="inlineStr">
        <is>
          <t>SPECIES_SIZZLIPEDE</t>
        </is>
      </c>
      <c r="B4027" s="3" t="inlineStr">
        <is>
          <t>Sizzlipede</t>
        </is>
      </c>
      <c r="C4027" s="3" t="n">
        <v>40</v>
      </c>
      <c r="D4027" s="3" t="inlineStr">
        <is>
          <t>Crunch</t>
        </is>
      </c>
      <c r="E4027" s="3" t="inlineStr">
        <is>
          <t>MOVE_CRUNCH</t>
        </is>
      </c>
    </row>
    <row r="4028">
      <c r="A4028" s="3" t="inlineStr">
        <is>
          <t>SPECIES_SIZZLIPEDE</t>
        </is>
      </c>
      <c r="B4028" s="3" t="inlineStr">
        <is>
          <t>Sizzlipede</t>
        </is>
      </c>
      <c r="C4028" s="3" t="n">
        <v>45</v>
      </c>
      <c r="D4028" s="3" t="inlineStr">
        <is>
          <t>Fire Lash</t>
        </is>
      </c>
      <c r="E4028" s="3" t="inlineStr">
        <is>
          <t>MOVE_FIRE_LASH</t>
        </is>
      </c>
    </row>
    <row r="4029">
      <c r="A4029" s="3" t="inlineStr">
        <is>
          <t>SPECIES_SIZZLIPEDE</t>
        </is>
      </c>
      <c r="B4029" s="3" t="inlineStr">
        <is>
          <t>Sizzlipede</t>
        </is>
      </c>
      <c r="C4029" s="3" t="n">
        <v>50</v>
      </c>
      <c r="D4029" s="3" t="inlineStr">
        <is>
          <t>Lunge</t>
        </is>
      </c>
      <c r="E4029" s="3" t="inlineStr">
        <is>
          <t>MOVE_LUNGE</t>
        </is>
      </c>
    </row>
    <row r="4030">
      <c r="A4030" s="3" t="inlineStr">
        <is>
          <t>SPECIES_SIZZLIPEDE</t>
        </is>
      </c>
      <c r="B4030" s="3" t="inlineStr">
        <is>
          <t>Sizzlipede</t>
        </is>
      </c>
      <c r="C4030" s="3" t="n">
        <v>55</v>
      </c>
      <c r="D4030" s="3" t="inlineStr">
        <is>
          <t>Burn Up</t>
        </is>
      </c>
      <c r="E4030" s="3" t="inlineStr">
        <is>
          <t>MOVE_BURN_UP</t>
        </is>
      </c>
    </row>
    <row r="4031">
      <c r="A4031" s="3" t="inlineStr">
        <is>
          <t>SPECIES_CENTISKORCH</t>
        </is>
      </c>
      <c r="B4031" s="3" t="inlineStr">
        <is>
          <t>Centiskorch</t>
        </is>
      </c>
      <c r="C4031" s="3" t="n">
        <v>1</v>
      </c>
      <c r="D4031" s="3" t="inlineStr">
        <is>
          <t>Inferno</t>
        </is>
      </c>
      <c r="E4031" s="3" t="inlineStr">
        <is>
          <t>MOVE_INFERNO</t>
        </is>
      </c>
    </row>
    <row r="4032">
      <c r="A4032" s="3" t="inlineStr">
        <is>
          <t>SPECIES_CENTISKORCH</t>
        </is>
      </c>
      <c r="B4032" s="3" t="inlineStr">
        <is>
          <t>Centiskorch</t>
        </is>
      </c>
      <c r="C4032" s="3" t="n">
        <v>1</v>
      </c>
      <c r="D4032" s="3" t="inlineStr">
        <is>
          <t>Ember</t>
        </is>
      </c>
      <c r="E4032" s="3" t="inlineStr">
        <is>
          <t>MOVE_EMBER</t>
        </is>
      </c>
    </row>
    <row r="4033">
      <c r="A4033" s="3" t="inlineStr">
        <is>
          <t>SPECIES_CENTISKORCH</t>
        </is>
      </c>
      <c r="B4033" s="3" t="inlineStr">
        <is>
          <t>Centiskorch</t>
        </is>
      </c>
      <c r="C4033" s="3" t="n">
        <v>1</v>
      </c>
      <c r="D4033" s="3" t="inlineStr">
        <is>
          <t>Smokescreen</t>
        </is>
      </c>
      <c r="E4033" s="3" t="inlineStr">
        <is>
          <t>MOVE_SMOKESCREEN</t>
        </is>
      </c>
    </row>
    <row r="4034">
      <c r="A4034" s="3" t="inlineStr">
        <is>
          <t>SPECIES_CENTISKORCH</t>
        </is>
      </c>
      <c r="B4034" s="3" t="inlineStr">
        <is>
          <t>Centiskorch</t>
        </is>
      </c>
      <c r="C4034" s="3" t="n">
        <v>1</v>
      </c>
      <c r="D4034" s="3" t="inlineStr">
        <is>
          <t>Wrap</t>
        </is>
      </c>
      <c r="E4034" s="3" t="inlineStr">
        <is>
          <t>MOVE_WRAP</t>
        </is>
      </c>
    </row>
    <row r="4035">
      <c r="A4035" s="3" t="inlineStr">
        <is>
          <t>SPECIES_CENTISKORCH</t>
        </is>
      </c>
      <c r="B4035" s="3" t="inlineStr">
        <is>
          <t>Centiskorch</t>
        </is>
      </c>
      <c r="C4035" s="3" t="n">
        <v>1</v>
      </c>
      <c r="D4035" s="3" t="inlineStr">
        <is>
          <t>Bite</t>
        </is>
      </c>
      <c r="E4035" s="3" t="inlineStr">
        <is>
          <t>MOVE_BITE</t>
        </is>
      </c>
    </row>
    <row r="4036">
      <c r="A4036" s="3" t="inlineStr">
        <is>
          <t>SPECIES_CENTISKORCH</t>
        </is>
      </c>
      <c r="B4036" s="3" t="inlineStr">
        <is>
          <t>Centiskorch</t>
        </is>
      </c>
      <c r="C4036" s="3" t="n">
        <v>15</v>
      </c>
      <c r="D4036" s="3" t="inlineStr">
        <is>
          <t>Flame Wheel</t>
        </is>
      </c>
      <c r="E4036" s="3" t="inlineStr">
        <is>
          <t>MOVE_FLAME_WHEEL</t>
        </is>
      </c>
    </row>
    <row r="4037">
      <c r="A4037" s="3" t="inlineStr">
        <is>
          <t>SPECIES_CENTISKORCH</t>
        </is>
      </c>
      <c r="B4037" s="3" t="inlineStr">
        <is>
          <t>Centiskorch</t>
        </is>
      </c>
      <c r="C4037" s="3" t="n">
        <v>20</v>
      </c>
      <c r="D4037" s="3" t="inlineStr">
        <is>
          <t>Bug Bite</t>
        </is>
      </c>
      <c r="E4037" s="3" t="inlineStr">
        <is>
          <t>MOVE_BUG_BITE</t>
        </is>
      </c>
    </row>
    <row r="4038">
      <c r="A4038" s="3" t="inlineStr">
        <is>
          <t>SPECIES_CENTISKORCH</t>
        </is>
      </c>
      <c r="B4038" s="3" t="inlineStr">
        <is>
          <t>Centiskorch</t>
        </is>
      </c>
      <c r="C4038" s="3" t="n">
        <v>25</v>
      </c>
      <c r="D4038" s="3" t="inlineStr">
        <is>
          <t>Coil</t>
        </is>
      </c>
      <c r="E4038" s="3" t="inlineStr">
        <is>
          <t>MOVE_COIL</t>
        </is>
      </c>
    </row>
    <row r="4039">
      <c r="A4039" s="3" t="inlineStr">
        <is>
          <t>SPECIES_CENTISKORCH</t>
        </is>
      </c>
      <c r="B4039" s="3" t="inlineStr">
        <is>
          <t>Centiskorch</t>
        </is>
      </c>
      <c r="C4039" s="3" t="n">
        <v>32</v>
      </c>
      <c r="D4039" s="3" t="inlineStr">
        <is>
          <t>Slam</t>
        </is>
      </c>
      <c r="E4039" s="3" t="inlineStr">
        <is>
          <t>MOVE_SLAM</t>
        </is>
      </c>
    </row>
    <row r="4040">
      <c r="A4040" s="3" t="inlineStr">
        <is>
          <t>SPECIES_CENTISKORCH</t>
        </is>
      </c>
      <c r="B4040" s="3" t="inlineStr">
        <is>
          <t>Centiskorch</t>
        </is>
      </c>
      <c r="C4040" s="3" t="n">
        <v>39</v>
      </c>
      <c r="D4040" s="3" t="inlineStr">
        <is>
          <t>Fire Spin</t>
        </is>
      </c>
      <c r="E4040" s="3" t="inlineStr">
        <is>
          <t>MOVE_FIRE_SPIN</t>
        </is>
      </c>
    </row>
    <row r="4041">
      <c r="A4041" s="3" t="inlineStr">
        <is>
          <t>SPECIES_CENTISKORCH</t>
        </is>
      </c>
      <c r="B4041" s="3" t="inlineStr">
        <is>
          <t>Centiskorch</t>
        </is>
      </c>
      <c r="C4041" s="3" t="n">
        <v>46</v>
      </c>
      <c r="D4041" s="3" t="inlineStr">
        <is>
          <t>Crunch</t>
        </is>
      </c>
      <c r="E4041" s="3" t="inlineStr">
        <is>
          <t>MOVE_CRUNCH</t>
        </is>
      </c>
    </row>
    <row r="4042">
      <c r="A4042" s="3" t="inlineStr">
        <is>
          <t>SPECIES_CENTISKORCH</t>
        </is>
      </c>
      <c r="B4042" s="3" t="inlineStr">
        <is>
          <t>Centiskorch</t>
        </is>
      </c>
      <c r="C4042" s="3" t="n">
        <v>53</v>
      </c>
      <c r="D4042" s="3" t="inlineStr">
        <is>
          <t>Fire Lash</t>
        </is>
      </c>
      <c r="E4042" s="3" t="inlineStr">
        <is>
          <t>MOVE_FIRE_LASH</t>
        </is>
      </c>
    </row>
    <row r="4043">
      <c r="A4043" s="3" t="inlineStr">
        <is>
          <t>SPECIES_CENTISKORCH</t>
        </is>
      </c>
      <c r="B4043" s="3" t="inlineStr">
        <is>
          <t>Centiskorch</t>
        </is>
      </c>
      <c r="C4043" s="3" t="n">
        <v>60</v>
      </c>
      <c r="D4043" s="3" t="inlineStr">
        <is>
          <t>Lunge</t>
        </is>
      </c>
      <c r="E4043" s="3" t="inlineStr">
        <is>
          <t>MOVE_LUNGE</t>
        </is>
      </c>
    </row>
    <row r="4044">
      <c r="A4044" s="3" t="inlineStr">
        <is>
          <t>SPECIES_CENTISKORCH</t>
        </is>
      </c>
      <c r="B4044" s="3" t="inlineStr">
        <is>
          <t>Centiskorch</t>
        </is>
      </c>
      <c r="C4044" s="3" t="n">
        <v>67</v>
      </c>
      <c r="D4044" s="3" t="inlineStr">
        <is>
          <t>Burn Up</t>
        </is>
      </c>
      <c r="E4044" s="3" t="inlineStr">
        <is>
          <t>MOVE_BURN_UP</t>
        </is>
      </c>
    </row>
    <row r="4045">
      <c r="A4045" s="3" t="inlineStr">
        <is>
          <t>SPECIES_CLOBBOPUS</t>
        </is>
      </c>
      <c r="B4045" s="3" t="inlineStr">
        <is>
          <t>Clobbopus</t>
        </is>
      </c>
      <c r="C4045" s="3" t="n">
        <v>1</v>
      </c>
      <c r="D4045" s="3" t="inlineStr">
        <is>
          <t>Rock Smash</t>
        </is>
      </c>
      <c r="E4045" s="3" t="inlineStr">
        <is>
          <t>MOVE_ROCK_SMASH</t>
        </is>
      </c>
    </row>
    <row r="4046">
      <c r="A4046" s="3" t="inlineStr">
        <is>
          <t>SPECIES_CLOBBOPUS</t>
        </is>
      </c>
      <c r="B4046" s="3" t="inlineStr">
        <is>
          <t>Clobbopus</t>
        </is>
      </c>
      <c r="C4046" s="3" t="n">
        <v>1</v>
      </c>
      <c r="D4046" s="3" t="inlineStr">
        <is>
          <t>Leer</t>
        </is>
      </c>
      <c r="E4046" s="3" t="inlineStr">
        <is>
          <t>MOVE_LEER</t>
        </is>
      </c>
    </row>
    <row r="4047">
      <c r="A4047" s="3" t="inlineStr">
        <is>
          <t>SPECIES_CLOBBOPUS</t>
        </is>
      </c>
      <c r="B4047" s="3" t="inlineStr">
        <is>
          <t>Clobbopus</t>
        </is>
      </c>
      <c r="C4047" s="3" t="n">
        <v>5</v>
      </c>
      <c r="D4047" s="3" t="inlineStr">
        <is>
          <t>Feint</t>
        </is>
      </c>
      <c r="E4047" s="3" t="inlineStr">
        <is>
          <t>MOVE_FEINT</t>
        </is>
      </c>
    </row>
    <row r="4048">
      <c r="A4048" s="3" t="inlineStr">
        <is>
          <t>SPECIES_CLOBBOPUS</t>
        </is>
      </c>
      <c r="B4048" s="3" t="inlineStr">
        <is>
          <t>Clobbopus</t>
        </is>
      </c>
      <c r="C4048" s="3" t="n">
        <v>10</v>
      </c>
      <c r="D4048" s="3" t="inlineStr">
        <is>
          <t>Bind</t>
        </is>
      </c>
      <c r="E4048" s="3" t="inlineStr">
        <is>
          <t>MOVE_BIND</t>
        </is>
      </c>
    </row>
    <row r="4049">
      <c r="A4049" s="3" t="inlineStr">
        <is>
          <t>SPECIES_CLOBBOPUS</t>
        </is>
      </c>
      <c r="B4049" s="3" t="inlineStr">
        <is>
          <t>Clobbopus</t>
        </is>
      </c>
      <c r="C4049" s="3" t="n">
        <v>15</v>
      </c>
      <c r="D4049" s="3" t="inlineStr">
        <is>
          <t>Detect</t>
        </is>
      </c>
      <c r="E4049" s="3" t="inlineStr">
        <is>
          <t>MOVE_DETECT</t>
        </is>
      </c>
    </row>
    <row r="4050">
      <c r="A4050" s="3" t="inlineStr">
        <is>
          <t>SPECIES_CLOBBOPUS</t>
        </is>
      </c>
      <c r="B4050" s="3" t="inlineStr">
        <is>
          <t>Clobbopus</t>
        </is>
      </c>
      <c r="C4050" s="3" t="n">
        <v>20</v>
      </c>
      <c r="D4050" s="3" t="inlineStr">
        <is>
          <t>Brick Break</t>
        </is>
      </c>
      <c r="E4050" s="3" t="inlineStr">
        <is>
          <t>MOVE_BRICK_BREAK</t>
        </is>
      </c>
    </row>
    <row r="4051">
      <c r="A4051" s="3" t="inlineStr">
        <is>
          <t>SPECIES_CLOBBOPUS</t>
        </is>
      </c>
      <c r="B4051" s="3" t="inlineStr">
        <is>
          <t>Clobbopus</t>
        </is>
      </c>
      <c r="C4051" s="3" t="n">
        <v>25</v>
      </c>
      <c r="D4051" s="3" t="inlineStr">
        <is>
          <t>Bulk Up</t>
        </is>
      </c>
      <c r="E4051" s="3" t="inlineStr">
        <is>
          <t>MOVE_BULK_UP</t>
        </is>
      </c>
    </row>
    <row r="4052">
      <c r="A4052" s="3" t="inlineStr">
        <is>
          <t>SPECIES_CLOBBOPUS</t>
        </is>
      </c>
      <c r="B4052" s="3" t="inlineStr">
        <is>
          <t>Clobbopus</t>
        </is>
      </c>
      <c r="C4052" s="3" t="n">
        <v>30</v>
      </c>
      <c r="D4052" s="3" t="inlineStr">
        <is>
          <t>Submission</t>
        </is>
      </c>
      <c r="E4052" s="3" t="inlineStr">
        <is>
          <t>MOVE_SUBMISSION</t>
        </is>
      </c>
    </row>
    <row r="4053">
      <c r="A4053" s="3" t="inlineStr">
        <is>
          <t>SPECIES_CLOBBOPUS</t>
        </is>
      </c>
      <c r="B4053" s="3" t="inlineStr">
        <is>
          <t>Clobbopus</t>
        </is>
      </c>
      <c r="C4053" s="3" t="n">
        <v>35</v>
      </c>
      <c r="D4053" s="3" t="inlineStr">
        <is>
          <t>Taunt</t>
        </is>
      </c>
      <c r="E4053" s="3" t="inlineStr">
        <is>
          <t>MOVE_TAUNT</t>
        </is>
      </c>
    </row>
    <row r="4054">
      <c r="A4054" s="3" t="inlineStr">
        <is>
          <t>SPECIES_CLOBBOPUS</t>
        </is>
      </c>
      <c r="B4054" s="3" t="inlineStr">
        <is>
          <t>Clobbopus</t>
        </is>
      </c>
      <c r="C4054" s="3" t="n">
        <v>40</v>
      </c>
      <c r="D4054" s="3" t="inlineStr">
        <is>
          <t>Reversal</t>
        </is>
      </c>
      <c r="E4054" s="3" t="inlineStr">
        <is>
          <t>MOVE_REVERSAL</t>
        </is>
      </c>
    </row>
    <row r="4055">
      <c r="A4055" s="3" t="inlineStr">
        <is>
          <t>SPECIES_CLOBBOPUS</t>
        </is>
      </c>
      <c r="B4055" s="3" t="inlineStr">
        <is>
          <t>Clobbopus</t>
        </is>
      </c>
      <c r="C4055" s="3" t="n">
        <v>45</v>
      </c>
      <c r="D4055" s="3" t="inlineStr">
        <is>
          <t>Superpower</t>
        </is>
      </c>
      <c r="E4055" s="3" t="inlineStr">
        <is>
          <t>MOVE_SUPERPOWER</t>
        </is>
      </c>
    </row>
    <row r="4056">
      <c r="A4056" s="3" t="inlineStr">
        <is>
          <t>SPECIES_GRAPPLOCT</t>
        </is>
      </c>
      <c r="B4056" s="3" t="inlineStr">
        <is>
          <t>Grapploct</t>
        </is>
      </c>
      <c r="C4056" s="3" t="n">
        <v>0</v>
      </c>
      <c r="D4056" s="3" t="inlineStr">
        <is>
          <t>Octolock</t>
        </is>
      </c>
      <c r="E4056" s="3" t="inlineStr">
        <is>
          <t>MOVE_OCTOLOCK</t>
        </is>
      </c>
    </row>
    <row r="4057">
      <c r="A4057" s="3" t="inlineStr">
        <is>
          <t>SPECIES_GRAPPLOCT</t>
        </is>
      </c>
      <c r="B4057" s="3" t="inlineStr">
        <is>
          <t>Grapploct</t>
        </is>
      </c>
      <c r="C4057" s="3" t="n">
        <v>1</v>
      </c>
      <c r="D4057" s="3" t="inlineStr">
        <is>
          <t>Octolock</t>
        </is>
      </c>
      <c r="E4057" s="3" t="inlineStr">
        <is>
          <t>MOVE_OCTOLOCK</t>
        </is>
      </c>
    </row>
    <row r="4058">
      <c r="A4058" s="3" t="inlineStr">
        <is>
          <t>SPECIES_GRAPPLOCT</t>
        </is>
      </c>
      <c r="B4058" s="3" t="inlineStr">
        <is>
          <t>Grapploct</t>
        </is>
      </c>
      <c r="C4058" s="3" t="n">
        <v>1</v>
      </c>
      <c r="D4058" s="3" t="inlineStr">
        <is>
          <t>Octazooka</t>
        </is>
      </c>
      <c r="E4058" s="3" t="inlineStr">
        <is>
          <t>MOVE_OCTAZOOKA</t>
        </is>
      </c>
    </row>
    <row r="4059">
      <c r="A4059" s="3" t="inlineStr">
        <is>
          <t>SPECIES_GRAPPLOCT</t>
        </is>
      </c>
      <c r="B4059" s="3" t="inlineStr">
        <is>
          <t>Grapploct</t>
        </is>
      </c>
      <c r="C4059" s="3" t="n">
        <v>1</v>
      </c>
      <c r="D4059" s="3" t="inlineStr">
        <is>
          <t>Rock Smash</t>
        </is>
      </c>
      <c r="E4059" s="3" t="inlineStr">
        <is>
          <t>MOVE_ROCK_SMASH</t>
        </is>
      </c>
    </row>
    <row r="4060">
      <c r="A4060" s="3" t="inlineStr">
        <is>
          <t>SPECIES_GRAPPLOCT</t>
        </is>
      </c>
      <c r="B4060" s="3" t="inlineStr">
        <is>
          <t>Grapploct</t>
        </is>
      </c>
      <c r="C4060" s="3" t="n">
        <v>1</v>
      </c>
      <c r="D4060" s="3" t="inlineStr">
        <is>
          <t>Leer</t>
        </is>
      </c>
      <c r="E4060" s="3" t="inlineStr">
        <is>
          <t>MOVE_LEER</t>
        </is>
      </c>
    </row>
    <row r="4061">
      <c r="A4061" s="3" t="inlineStr">
        <is>
          <t>SPECIES_GRAPPLOCT</t>
        </is>
      </c>
      <c r="B4061" s="3" t="inlineStr">
        <is>
          <t>Grapploct</t>
        </is>
      </c>
      <c r="C4061" s="3" t="n">
        <v>1</v>
      </c>
      <c r="D4061" s="3" t="inlineStr">
        <is>
          <t>Feint</t>
        </is>
      </c>
      <c r="E4061" s="3" t="inlineStr">
        <is>
          <t>MOVE_FEINT</t>
        </is>
      </c>
    </row>
    <row r="4062">
      <c r="A4062" s="3" t="inlineStr">
        <is>
          <t>SPECIES_GRAPPLOCT</t>
        </is>
      </c>
      <c r="B4062" s="3" t="inlineStr">
        <is>
          <t>Grapploct</t>
        </is>
      </c>
      <c r="C4062" s="3" t="n">
        <v>1</v>
      </c>
      <c r="D4062" s="3" t="inlineStr">
        <is>
          <t>Bind</t>
        </is>
      </c>
      <c r="E4062" s="3" t="inlineStr">
        <is>
          <t>MOVE_BIND</t>
        </is>
      </c>
    </row>
    <row r="4063">
      <c r="A4063" s="3" t="inlineStr">
        <is>
          <t>SPECIES_GRAPPLOCT</t>
        </is>
      </c>
      <c r="B4063" s="3" t="inlineStr">
        <is>
          <t>Grapploct</t>
        </is>
      </c>
      <c r="C4063" s="3" t="n">
        <v>15</v>
      </c>
      <c r="D4063" s="3" t="inlineStr">
        <is>
          <t>Detect</t>
        </is>
      </c>
      <c r="E4063" s="3" t="inlineStr">
        <is>
          <t>MOVE_DETECT</t>
        </is>
      </c>
    </row>
    <row r="4064">
      <c r="A4064" s="3" t="inlineStr">
        <is>
          <t>SPECIES_GRAPPLOCT</t>
        </is>
      </c>
      <c r="B4064" s="3" t="inlineStr">
        <is>
          <t>Grapploct</t>
        </is>
      </c>
      <c r="C4064" s="3" t="n">
        <v>20</v>
      </c>
      <c r="D4064" s="3" t="inlineStr">
        <is>
          <t>Brick Break</t>
        </is>
      </c>
      <c r="E4064" s="3" t="inlineStr">
        <is>
          <t>MOVE_BRICK_BREAK</t>
        </is>
      </c>
    </row>
    <row r="4065">
      <c r="A4065" s="3" t="inlineStr">
        <is>
          <t>SPECIES_GRAPPLOCT</t>
        </is>
      </c>
      <c r="B4065" s="3" t="inlineStr">
        <is>
          <t>Grapploct</t>
        </is>
      </c>
      <c r="C4065" s="3" t="n">
        <v>25</v>
      </c>
      <c r="D4065" s="3" t="inlineStr">
        <is>
          <t>Bulk Up</t>
        </is>
      </c>
      <c r="E4065" s="3" t="inlineStr">
        <is>
          <t>MOVE_BULK_UP</t>
        </is>
      </c>
    </row>
    <row r="4066">
      <c r="A4066" s="3" t="inlineStr">
        <is>
          <t>SPECIES_GRAPPLOCT</t>
        </is>
      </c>
      <c r="B4066" s="3" t="inlineStr">
        <is>
          <t>Grapploct</t>
        </is>
      </c>
      <c r="C4066" s="3" t="n">
        <v>30</v>
      </c>
      <c r="D4066" s="3" t="inlineStr">
        <is>
          <t>Submission</t>
        </is>
      </c>
      <c r="E4066" s="3" t="inlineStr">
        <is>
          <t>MOVE_SUBMISSION</t>
        </is>
      </c>
    </row>
    <row r="4067">
      <c r="A4067" s="3" t="inlineStr">
        <is>
          <t>SPECIES_GRAPPLOCT</t>
        </is>
      </c>
      <c r="B4067" s="3" t="inlineStr">
        <is>
          <t>Grapploct</t>
        </is>
      </c>
      <c r="C4067" s="3" t="n">
        <v>35</v>
      </c>
      <c r="D4067" s="3" t="inlineStr">
        <is>
          <t>Taunt</t>
        </is>
      </c>
      <c r="E4067" s="3" t="inlineStr">
        <is>
          <t>MOVE_TAUNT</t>
        </is>
      </c>
    </row>
    <row r="4068">
      <c r="A4068" s="3" t="inlineStr">
        <is>
          <t>SPECIES_GRAPPLOCT</t>
        </is>
      </c>
      <c r="B4068" s="3" t="inlineStr">
        <is>
          <t>Grapploct</t>
        </is>
      </c>
      <c r="C4068" s="3" t="n">
        <v>40</v>
      </c>
      <c r="D4068" s="3" t="inlineStr">
        <is>
          <t>Reversal</t>
        </is>
      </c>
      <c r="E4068" s="3" t="inlineStr">
        <is>
          <t>MOVE_REVERSAL</t>
        </is>
      </c>
    </row>
    <row r="4069">
      <c r="A4069" s="3" t="inlineStr">
        <is>
          <t>SPECIES_GRAPPLOCT</t>
        </is>
      </c>
      <c r="B4069" s="3" t="inlineStr">
        <is>
          <t>Grapploct</t>
        </is>
      </c>
      <c r="C4069" s="3" t="n">
        <v>45</v>
      </c>
      <c r="D4069" s="3" t="inlineStr">
        <is>
          <t>Superpower</t>
        </is>
      </c>
      <c r="E4069" s="3" t="inlineStr">
        <is>
          <t>MOVE_SUPERPOWER</t>
        </is>
      </c>
    </row>
    <row r="4070">
      <c r="A4070" s="3" t="inlineStr">
        <is>
          <t>SPECIES_GRAPPLOCT</t>
        </is>
      </c>
      <c r="B4070" s="3" t="inlineStr">
        <is>
          <t>Grapploct</t>
        </is>
      </c>
      <c r="C4070" s="3" t="n">
        <v>50</v>
      </c>
      <c r="D4070" s="3" t="inlineStr">
        <is>
          <t>Topsy-Turvy</t>
        </is>
      </c>
      <c r="E4070" s="3" t="inlineStr">
        <is>
          <t>MOVE_TOPSY_TURVY</t>
        </is>
      </c>
    </row>
    <row r="4071">
      <c r="A4071" s="3" t="inlineStr">
        <is>
          <t>SPECIES_IMPIDIMP</t>
        </is>
      </c>
      <c r="B4071" s="3" t="inlineStr">
        <is>
          <t>Impidimp</t>
        </is>
      </c>
      <c r="C4071" s="3" t="n">
        <v>1</v>
      </c>
      <c r="D4071" s="3" t="inlineStr">
        <is>
          <t>Fake Out</t>
        </is>
      </c>
      <c r="E4071" s="3" t="inlineStr">
        <is>
          <t>MOVE_FAKE_OUT</t>
        </is>
      </c>
    </row>
    <row r="4072">
      <c r="A4072" s="3" t="inlineStr">
        <is>
          <t>SPECIES_IMPIDIMP</t>
        </is>
      </c>
      <c r="B4072" s="3" t="inlineStr">
        <is>
          <t>Impidimp</t>
        </is>
      </c>
      <c r="C4072" s="3" t="n">
        <v>1</v>
      </c>
      <c r="D4072" s="3" t="inlineStr">
        <is>
          <t>Confide</t>
        </is>
      </c>
      <c r="E4072" s="3" t="inlineStr">
        <is>
          <t>MOVE_CONFIDE</t>
        </is>
      </c>
    </row>
    <row r="4073">
      <c r="A4073" s="3" t="inlineStr">
        <is>
          <t>SPECIES_IMPIDIMP</t>
        </is>
      </c>
      <c r="B4073" s="3" t="inlineStr">
        <is>
          <t>Impidimp</t>
        </is>
      </c>
      <c r="C4073" s="3" t="n">
        <v>4</v>
      </c>
      <c r="D4073" s="3" t="inlineStr">
        <is>
          <t>Bite</t>
        </is>
      </c>
      <c r="E4073" s="3" t="inlineStr">
        <is>
          <t>MOVE_BITE</t>
        </is>
      </c>
    </row>
    <row r="4074">
      <c r="A4074" s="3" t="inlineStr">
        <is>
          <t>SPECIES_IMPIDIMP</t>
        </is>
      </c>
      <c r="B4074" s="3" t="inlineStr">
        <is>
          <t>Impidimp</t>
        </is>
      </c>
      <c r="C4074" s="3" t="n">
        <v>8</v>
      </c>
      <c r="D4074" s="3" t="inlineStr">
        <is>
          <t>Flatter</t>
        </is>
      </c>
      <c r="E4074" s="3" t="inlineStr">
        <is>
          <t>MOVE_FLATTER</t>
        </is>
      </c>
    </row>
    <row r="4075">
      <c r="A4075" s="3" t="inlineStr">
        <is>
          <t>SPECIES_IMPIDIMP</t>
        </is>
      </c>
      <c r="B4075" s="3" t="inlineStr">
        <is>
          <t>Impidimp</t>
        </is>
      </c>
      <c r="C4075" s="3" t="n">
        <v>12</v>
      </c>
      <c r="D4075" s="3" t="inlineStr">
        <is>
          <t>Fake Tears</t>
        </is>
      </c>
      <c r="E4075" s="3" t="inlineStr">
        <is>
          <t>MOVE_FAKE_TEARS</t>
        </is>
      </c>
    </row>
    <row r="4076">
      <c r="A4076" s="3" t="inlineStr">
        <is>
          <t>SPECIES_IMPIDIMP</t>
        </is>
      </c>
      <c r="B4076" s="3" t="inlineStr">
        <is>
          <t>Impidimp</t>
        </is>
      </c>
      <c r="C4076" s="3" t="n">
        <v>16</v>
      </c>
      <c r="D4076" s="3" t="inlineStr">
        <is>
          <t>Assurance</t>
        </is>
      </c>
      <c r="E4076" s="3" t="inlineStr">
        <is>
          <t>MOVE_ASSURANCE</t>
        </is>
      </c>
    </row>
    <row r="4077">
      <c r="A4077" s="3" t="inlineStr">
        <is>
          <t>SPECIES_IMPIDIMP</t>
        </is>
      </c>
      <c r="B4077" s="3" t="inlineStr">
        <is>
          <t>Impidimp</t>
        </is>
      </c>
      <c r="C4077" s="3" t="n">
        <v>20</v>
      </c>
      <c r="D4077" s="3" t="inlineStr">
        <is>
          <t>Swagger</t>
        </is>
      </c>
      <c r="E4077" s="3" t="inlineStr">
        <is>
          <t>MOVE_SWAGGER</t>
        </is>
      </c>
    </row>
    <row r="4078">
      <c r="A4078" s="3" t="inlineStr">
        <is>
          <t>SPECIES_IMPIDIMP</t>
        </is>
      </c>
      <c r="B4078" s="3" t="inlineStr">
        <is>
          <t>Impidimp</t>
        </is>
      </c>
      <c r="C4078" s="3" t="n">
        <v>24</v>
      </c>
      <c r="D4078" s="3" t="inlineStr">
        <is>
          <t>Sucker Punch</t>
        </is>
      </c>
      <c r="E4078" s="3" t="inlineStr">
        <is>
          <t>MOVE_SUCKER_PUNCH</t>
        </is>
      </c>
    </row>
    <row r="4079">
      <c r="A4079" s="3" t="inlineStr">
        <is>
          <t>SPECIES_IMPIDIMP</t>
        </is>
      </c>
      <c r="B4079" s="3" t="inlineStr">
        <is>
          <t>Impidimp</t>
        </is>
      </c>
      <c r="C4079" s="3" t="n">
        <v>28</v>
      </c>
      <c r="D4079" s="3" t="inlineStr">
        <is>
          <t>Torment</t>
        </is>
      </c>
      <c r="E4079" s="3" t="inlineStr">
        <is>
          <t>MOVE_TORMENT</t>
        </is>
      </c>
    </row>
    <row r="4080">
      <c r="A4080" s="3" t="inlineStr">
        <is>
          <t>SPECIES_IMPIDIMP</t>
        </is>
      </c>
      <c r="B4080" s="3" t="inlineStr">
        <is>
          <t>Impidimp</t>
        </is>
      </c>
      <c r="C4080" s="3" t="n">
        <v>33</v>
      </c>
      <c r="D4080" s="3" t="inlineStr">
        <is>
          <t>Dark Pulse</t>
        </is>
      </c>
      <c r="E4080" s="3" t="inlineStr">
        <is>
          <t>MOVE_DARK_PULSE</t>
        </is>
      </c>
    </row>
    <row r="4081">
      <c r="A4081" s="3" t="inlineStr">
        <is>
          <t>SPECIES_IMPIDIMP</t>
        </is>
      </c>
      <c r="B4081" s="3" t="inlineStr">
        <is>
          <t>Impidimp</t>
        </is>
      </c>
      <c r="C4081" s="3" t="n">
        <v>36</v>
      </c>
      <c r="D4081" s="3" t="inlineStr">
        <is>
          <t>Nasty Plot</t>
        </is>
      </c>
      <c r="E4081" s="3" t="inlineStr">
        <is>
          <t>MOVE_NASTY_PLOT</t>
        </is>
      </c>
    </row>
    <row r="4082">
      <c r="A4082" s="3" t="inlineStr">
        <is>
          <t>SPECIES_IMPIDIMP</t>
        </is>
      </c>
      <c r="B4082" s="3" t="inlineStr">
        <is>
          <t>Impidimp</t>
        </is>
      </c>
      <c r="C4082" s="3" t="n">
        <v>40</v>
      </c>
      <c r="D4082" s="3" t="inlineStr">
        <is>
          <t>Play Rough</t>
        </is>
      </c>
      <c r="E4082" s="3" t="inlineStr">
        <is>
          <t>MOVE_PLAY_ROUGH</t>
        </is>
      </c>
    </row>
    <row r="4083">
      <c r="A4083" s="3" t="inlineStr">
        <is>
          <t>SPECIES_IMPIDIMP</t>
        </is>
      </c>
      <c r="B4083" s="3" t="inlineStr">
        <is>
          <t>Impidimp</t>
        </is>
      </c>
      <c r="C4083" s="3" t="n">
        <v>44</v>
      </c>
      <c r="D4083" s="3" t="inlineStr">
        <is>
          <t>Foul Play</t>
        </is>
      </c>
      <c r="E4083" s="3" t="inlineStr">
        <is>
          <t>MOVE_FOUL_PLAY</t>
        </is>
      </c>
    </row>
    <row r="4084">
      <c r="A4084" s="3" t="inlineStr">
        <is>
          <t>SPECIES_MORGREM</t>
        </is>
      </c>
      <c r="B4084" s="3" t="inlineStr">
        <is>
          <t>Morgrem</t>
        </is>
      </c>
      <c r="C4084" s="3" t="n">
        <v>0</v>
      </c>
      <c r="D4084" s="3" t="inlineStr">
        <is>
          <t>False Surrender</t>
        </is>
      </c>
      <c r="E4084" s="3" t="inlineStr">
        <is>
          <t>MOVE_FALSE_SURRENDER</t>
        </is>
      </c>
    </row>
    <row r="4085">
      <c r="A4085" s="3" t="inlineStr">
        <is>
          <t>SPECIES_MORGREM</t>
        </is>
      </c>
      <c r="B4085" s="3" t="inlineStr">
        <is>
          <t>Morgrem</t>
        </is>
      </c>
      <c r="C4085" s="3" t="n">
        <v>1</v>
      </c>
      <c r="D4085" s="3" t="inlineStr">
        <is>
          <t>Bite</t>
        </is>
      </c>
      <c r="E4085" s="3" t="inlineStr">
        <is>
          <t>MOVE_BITE</t>
        </is>
      </c>
    </row>
    <row r="4086">
      <c r="A4086" s="3" t="inlineStr">
        <is>
          <t>SPECIES_MORGREM</t>
        </is>
      </c>
      <c r="B4086" s="3" t="inlineStr">
        <is>
          <t>Morgrem</t>
        </is>
      </c>
      <c r="C4086" s="3" t="n">
        <v>1</v>
      </c>
      <c r="D4086" s="3" t="inlineStr">
        <is>
          <t>Fake Out</t>
        </is>
      </c>
      <c r="E4086" s="3" t="inlineStr">
        <is>
          <t>MOVE_FAKE_OUT</t>
        </is>
      </c>
    </row>
    <row r="4087">
      <c r="A4087" s="3" t="inlineStr">
        <is>
          <t>SPECIES_MORGREM</t>
        </is>
      </c>
      <c r="B4087" s="3" t="inlineStr">
        <is>
          <t>Morgrem</t>
        </is>
      </c>
      <c r="C4087" s="3" t="n">
        <v>1</v>
      </c>
      <c r="D4087" s="3" t="inlineStr">
        <is>
          <t>Flatter</t>
        </is>
      </c>
      <c r="E4087" s="3" t="inlineStr">
        <is>
          <t>MOVE_FLATTER</t>
        </is>
      </c>
    </row>
    <row r="4088">
      <c r="A4088" s="3" t="inlineStr">
        <is>
          <t>SPECIES_MORGREM</t>
        </is>
      </c>
      <c r="B4088" s="3" t="inlineStr">
        <is>
          <t>Morgrem</t>
        </is>
      </c>
      <c r="C4088" s="3" t="n">
        <v>1</v>
      </c>
      <c r="D4088" s="3" t="inlineStr">
        <is>
          <t>Confide</t>
        </is>
      </c>
      <c r="E4088" s="3" t="inlineStr">
        <is>
          <t>MOVE_CONFIDE</t>
        </is>
      </c>
    </row>
    <row r="4089">
      <c r="A4089" s="3" t="inlineStr">
        <is>
          <t>SPECIES_MORGREM</t>
        </is>
      </c>
      <c r="B4089" s="3" t="inlineStr">
        <is>
          <t>Morgrem</t>
        </is>
      </c>
      <c r="C4089" s="3" t="n">
        <v>12</v>
      </c>
      <c r="D4089" s="3" t="inlineStr">
        <is>
          <t>Fake Tears</t>
        </is>
      </c>
      <c r="E4089" s="3" t="inlineStr">
        <is>
          <t>MOVE_FAKE_TEARS</t>
        </is>
      </c>
    </row>
    <row r="4090">
      <c r="A4090" s="3" t="inlineStr">
        <is>
          <t>SPECIES_MORGREM</t>
        </is>
      </c>
      <c r="B4090" s="3" t="inlineStr">
        <is>
          <t>Morgrem</t>
        </is>
      </c>
      <c r="C4090" s="3" t="n">
        <v>16</v>
      </c>
      <c r="D4090" s="3" t="inlineStr">
        <is>
          <t>Assurance</t>
        </is>
      </c>
      <c r="E4090" s="3" t="inlineStr">
        <is>
          <t>MOVE_ASSURANCE</t>
        </is>
      </c>
    </row>
    <row r="4091">
      <c r="A4091" s="3" t="inlineStr">
        <is>
          <t>SPECIES_MORGREM</t>
        </is>
      </c>
      <c r="B4091" s="3" t="inlineStr">
        <is>
          <t>Morgrem</t>
        </is>
      </c>
      <c r="C4091" s="3" t="n">
        <v>20</v>
      </c>
      <c r="D4091" s="3" t="inlineStr">
        <is>
          <t>Swagger</t>
        </is>
      </c>
      <c r="E4091" s="3" t="inlineStr">
        <is>
          <t>MOVE_SWAGGER</t>
        </is>
      </c>
    </row>
    <row r="4092">
      <c r="A4092" s="3" t="inlineStr">
        <is>
          <t>SPECIES_MORGREM</t>
        </is>
      </c>
      <c r="B4092" s="3" t="inlineStr">
        <is>
          <t>Morgrem</t>
        </is>
      </c>
      <c r="C4092" s="3" t="n">
        <v>24</v>
      </c>
      <c r="D4092" s="3" t="inlineStr">
        <is>
          <t>Sucker Punch</t>
        </is>
      </c>
      <c r="E4092" s="3" t="inlineStr">
        <is>
          <t>MOVE_SUCKER_PUNCH</t>
        </is>
      </c>
    </row>
    <row r="4093">
      <c r="A4093" s="3" t="inlineStr">
        <is>
          <t>SPECIES_MORGREM</t>
        </is>
      </c>
      <c r="B4093" s="3" t="inlineStr">
        <is>
          <t>Morgrem</t>
        </is>
      </c>
      <c r="C4093" s="3" t="n">
        <v>28</v>
      </c>
      <c r="D4093" s="3" t="inlineStr">
        <is>
          <t>Torment</t>
        </is>
      </c>
      <c r="E4093" s="3" t="inlineStr">
        <is>
          <t>MOVE_TORMENT</t>
        </is>
      </c>
    </row>
    <row r="4094">
      <c r="A4094" s="3" t="inlineStr">
        <is>
          <t>SPECIES_MORGREM</t>
        </is>
      </c>
      <c r="B4094" s="3" t="inlineStr">
        <is>
          <t>Morgrem</t>
        </is>
      </c>
      <c r="C4094" s="3" t="n">
        <v>35</v>
      </c>
      <c r="D4094" s="3" t="inlineStr">
        <is>
          <t>Dark Pulse</t>
        </is>
      </c>
      <c r="E4094" s="3" t="inlineStr">
        <is>
          <t>MOVE_DARK_PULSE</t>
        </is>
      </c>
    </row>
    <row r="4095">
      <c r="A4095" s="3" t="inlineStr">
        <is>
          <t>SPECIES_MORGREM</t>
        </is>
      </c>
      <c r="B4095" s="3" t="inlineStr">
        <is>
          <t>Morgrem</t>
        </is>
      </c>
      <c r="C4095" s="3" t="n">
        <v>40</v>
      </c>
      <c r="D4095" s="3" t="inlineStr">
        <is>
          <t>Nasty Plot</t>
        </is>
      </c>
      <c r="E4095" s="3" t="inlineStr">
        <is>
          <t>MOVE_NASTY_PLOT</t>
        </is>
      </c>
    </row>
    <row r="4096">
      <c r="A4096" s="3" t="inlineStr">
        <is>
          <t>SPECIES_MORGREM</t>
        </is>
      </c>
      <c r="B4096" s="3" t="inlineStr">
        <is>
          <t>Morgrem</t>
        </is>
      </c>
      <c r="C4096" s="3" t="n">
        <v>46</v>
      </c>
      <c r="D4096" s="3" t="inlineStr">
        <is>
          <t>Play Rough</t>
        </is>
      </c>
      <c r="E4096" s="3" t="inlineStr">
        <is>
          <t>MOVE_PLAY_ROUGH</t>
        </is>
      </c>
    </row>
    <row r="4097">
      <c r="A4097" s="3" t="inlineStr">
        <is>
          <t>SPECIES_MORGREM</t>
        </is>
      </c>
      <c r="B4097" s="3" t="inlineStr">
        <is>
          <t>Morgrem</t>
        </is>
      </c>
      <c r="C4097" s="3" t="n">
        <v>52</v>
      </c>
      <c r="D4097" s="3" t="inlineStr">
        <is>
          <t>Foul Play</t>
        </is>
      </c>
      <c r="E4097" s="3" t="inlineStr">
        <is>
          <t>MOVE_FOUL_PLAY</t>
        </is>
      </c>
    </row>
    <row r="4098">
      <c r="A4098" s="3" t="inlineStr">
        <is>
          <t>SPECIES_GRIMMSNARL</t>
        </is>
      </c>
      <c r="B4098" s="3" t="inlineStr">
        <is>
          <t>Grimmsnarl</t>
        </is>
      </c>
      <c r="C4098" s="3" t="n">
        <v>0</v>
      </c>
      <c r="D4098" s="3" t="inlineStr">
        <is>
          <t>Spirit Break</t>
        </is>
      </c>
      <c r="E4098" s="3" t="inlineStr">
        <is>
          <t>MOVE_SPIRIT_BREAK</t>
        </is>
      </c>
    </row>
    <row r="4099">
      <c r="A4099" s="3" t="inlineStr">
        <is>
          <t>SPECIES_GRIMMSNARL</t>
        </is>
      </c>
      <c r="B4099" s="3" t="inlineStr">
        <is>
          <t>Grimmsnarl</t>
        </is>
      </c>
      <c r="C4099" s="3" t="n">
        <v>1</v>
      </c>
      <c r="D4099" s="3" t="inlineStr">
        <is>
          <t>False Surrender</t>
        </is>
      </c>
      <c r="E4099" s="3" t="inlineStr">
        <is>
          <t>MOVE_FALSE_SURRENDER</t>
        </is>
      </c>
    </row>
    <row r="4100">
      <c r="A4100" s="3" t="inlineStr">
        <is>
          <t>SPECIES_GRIMMSNARL</t>
        </is>
      </c>
      <c r="B4100" s="3" t="inlineStr">
        <is>
          <t>Grimmsnarl</t>
        </is>
      </c>
      <c r="C4100" s="3" t="n">
        <v>1</v>
      </c>
      <c r="D4100" s="3" t="inlineStr">
        <is>
          <t>Confide</t>
        </is>
      </c>
      <c r="E4100" s="3" t="inlineStr">
        <is>
          <t>MOVE_CONFIDE</t>
        </is>
      </c>
    </row>
    <row r="4101">
      <c r="A4101" s="3" t="inlineStr">
        <is>
          <t>SPECIES_GRIMMSNARL</t>
        </is>
      </c>
      <c r="B4101" s="3" t="inlineStr">
        <is>
          <t>Grimmsnarl</t>
        </is>
      </c>
      <c r="C4101" s="3" t="n">
        <v>1</v>
      </c>
      <c r="D4101" s="3" t="inlineStr">
        <is>
          <t>Bulk Up</t>
        </is>
      </c>
      <c r="E4101" s="3" t="inlineStr">
        <is>
          <t>MOVE_BULK_UP</t>
        </is>
      </c>
    </row>
    <row r="4102">
      <c r="A4102" s="3" t="inlineStr">
        <is>
          <t>SPECIES_GRIMMSNARL</t>
        </is>
      </c>
      <c r="B4102" s="3" t="inlineStr">
        <is>
          <t>Grimmsnarl</t>
        </is>
      </c>
      <c r="C4102" s="3" t="n">
        <v>1</v>
      </c>
      <c r="D4102" s="3" t="inlineStr">
        <is>
          <t>Bite</t>
        </is>
      </c>
      <c r="E4102" s="3" t="inlineStr">
        <is>
          <t>MOVE_BITE</t>
        </is>
      </c>
    </row>
    <row r="4103">
      <c r="A4103" s="3" t="inlineStr">
        <is>
          <t>SPECIES_GRIMMSNARL</t>
        </is>
      </c>
      <c r="B4103" s="3" t="inlineStr">
        <is>
          <t>Grimmsnarl</t>
        </is>
      </c>
      <c r="C4103" s="3" t="n">
        <v>1</v>
      </c>
      <c r="D4103" s="3" t="inlineStr">
        <is>
          <t>Fake Out</t>
        </is>
      </c>
      <c r="E4103" s="3" t="inlineStr">
        <is>
          <t>MOVE_FAKE_OUT</t>
        </is>
      </c>
    </row>
    <row r="4104">
      <c r="A4104" s="3" t="inlineStr">
        <is>
          <t>SPECIES_GRIMMSNARL</t>
        </is>
      </c>
      <c r="B4104" s="3" t="inlineStr">
        <is>
          <t>Grimmsnarl</t>
        </is>
      </c>
      <c r="C4104" s="3" t="n">
        <v>1</v>
      </c>
      <c r="D4104" s="3" t="inlineStr">
        <is>
          <t>Flatter</t>
        </is>
      </c>
      <c r="E4104" s="3" t="inlineStr">
        <is>
          <t>MOVE_FLATTER</t>
        </is>
      </c>
    </row>
    <row r="4105">
      <c r="A4105" s="3" t="inlineStr">
        <is>
          <t>SPECIES_GRIMMSNARL</t>
        </is>
      </c>
      <c r="B4105" s="3" t="inlineStr">
        <is>
          <t>Grimmsnarl</t>
        </is>
      </c>
      <c r="C4105" s="3" t="n">
        <v>12</v>
      </c>
      <c r="D4105" s="3" t="inlineStr">
        <is>
          <t>Fake Tears</t>
        </is>
      </c>
      <c r="E4105" s="3" t="inlineStr">
        <is>
          <t>MOVE_FAKE_TEARS</t>
        </is>
      </c>
    </row>
    <row r="4106">
      <c r="A4106" s="3" t="inlineStr">
        <is>
          <t>SPECIES_GRIMMSNARL</t>
        </is>
      </c>
      <c r="B4106" s="3" t="inlineStr">
        <is>
          <t>Grimmsnarl</t>
        </is>
      </c>
      <c r="C4106" s="3" t="n">
        <v>16</v>
      </c>
      <c r="D4106" s="3" t="inlineStr">
        <is>
          <t>Assurance</t>
        </is>
      </c>
      <c r="E4106" s="3" t="inlineStr">
        <is>
          <t>MOVE_ASSURANCE</t>
        </is>
      </c>
    </row>
    <row r="4107">
      <c r="A4107" s="3" t="inlineStr">
        <is>
          <t>SPECIES_GRIMMSNARL</t>
        </is>
      </c>
      <c r="B4107" s="3" t="inlineStr">
        <is>
          <t>Grimmsnarl</t>
        </is>
      </c>
      <c r="C4107" s="3" t="n">
        <v>20</v>
      </c>
      <c r="D4107" s="3" t="inlineStr">
        <is>
          <t>Swagger</t>
        </is>
      </c>
      <c r="E4107" s="3" t="inlineStr">
        <is>
          <t>MOVE_SWAGGER</t>
        </is>
      </c>
    </row>
    <row r="4108">
      <c r="A4108" s="3" t="inlineStr">
        <is>
          <t>SPECIES_GRIMMSNARL</t>
        </is>
      </c>
      <c r="B4108" s="3" t="inlineStr">
        <is>
          <t>Grimmsnarl</t>
        </is>
      </c>
      <c r="C4108" s="3" t="n">
        <v>24</v>
      </c>
      <c r="D4108" s="3" t="inlineStr">
        <is>
          <t>Sucker Punch</t>
        </is>
      </c>
      <c r="E4108" s="3" t="inlineStr">
        <is>
          <t>MOVE_SUCKER_PUNCH</t>
        </is>
      </c>
    </row>
    <row r="4109">
      <c r="A4109" s="3" t="inlineStr">
        <is>
          <t>SPECIES_GRIMMSNARL</t>
        </is>
      </c>
      <c r="B4109" s="3" t="inlineStr">
        <is>
          <t>Grimmsnarl</t>
        </is>
      </c>
      <c r="C4109" s="3" t="n">
        <v>28</v>
      </c>
      <c r="D4109" s="3" t="inlineStr">
        <is>
          <t>Torment</t>
        </is>
      </c>
      <c r="E4109" s="3" t="inlineStr">
        <is>
          <t>MOVE_TORMENT</t>
        </is>
      </c>
    </row>
    <row r="4110">
      <c r="A4110" s="3" t="inlineStr">
        <is>
          <t>SPECIES_GRIMMSNARL</t>
        </is>
      </c>
      <c r="B4110" s="3" t="inlineStr">
        <is>
          <t>Grimmsnarl</t>
        </is>
      </c>
      <c r="C4110" s="3" t="n">
        <v>35</v>
      </c>
      <c r="D4110" s="3" t="inlineStr">
        <is>
          <t>Dark Pulse</t>
        </is>
      </c>
      <c r="E4110" s="3" t="inlineStr">
        <is>
          <t>MOVE_DARK_PULSE</t>
        </is>
      </c>
    </row>
    <row r="4111">
      <c r="A4111" s="3" t="inlineStr">
        <is>
          <t>SPECIES_GRIMMSNARL</t>
        </is>
      </c>
      <c r="B4111" s="3" t="inlineStr">
        <is>
          <t>Grimmsnarl</t>
        </is>
      </c>
      <c r="C4111" s="3" t="n">
        <v>40</v>
      </c>
      <c r="D4111" s="3" t="inlineStr">
        <is>
          <t>Nasty Plot</t>
        </is>
      </c>
      <c r="E4111" s="3" t="inlineStr">
        <is>
          <t>MOVE_NASTY_PLOT</t>
        </is>
      </c>
    </row>
    <row r="4112">
      <c r="A4112" s="3" t="inlineStr">
        <is>
          <t>SPECIES_GRIMMSNARL</t>
        </is>
      </c>
      <c r="B4112" s="3" t="inlineStr">
        <is>
          <t>Grimmsnarl</t>
        </is>
      </c>
      <c r="C4112" s="3" t="n">
        <v>48</v>
      </c>
      <c r="D4112" s="3" t="inlineStr">
        <is>
          <t>Play Rough</t>
        </is>
      </c>
      <c r="E4112" s="3" t="inlineStr">
        <is>
          <t>MOVE_PLAY_ROUGH</t>
        </is>
      </c>
    </row>
    <row r="4113">
      <c r="A4113" s="3" t="inlineStr">
        <is>
          <t>SPECIES_GRIMMSNARL</t>
        </is>
      </c>
      <c r="B4113" s="3" t="inlineStr">
        <is>
          <t>Grimmsnarl</t>
        </is>
      </c>
      <c r="C4113" s="3" t="n">
        <v>56</v>
      </c>
      <c r="D4113" s="3" t="inlineStr">
        <is>
          <t>Foul Play</t>
        </is>
      </c>
      <c r="E4113" s="3" t="inlineStr">
        <is>
          <t>MOVE_FOUL_PLAY</t>
        </is>
      </c>
    </row>
    <row r="4114">
      <c r="A4114" s="3" t="inlineStr">
        <is>
          <t>SPECIES_GRIMMSNARL</t>
        </is>
      </c>
      <c r="B4114" s="3" t="inlineStr">
        <is>
          <t>Grimmsnarl</t>
        </is>
      </c>
      <c r="C4114" s="3" t="n">
        <v>64</v>
      </c>
      <c r="D4114" s="3" t="inlineStr">
        <is>
          <t>Hammer Arm</t>
        </is>
      </c>
      <c r="E4114" s="3" t="inlineStr">
        <is>
          <t>MOVE_HAMMER_ARM</t>
        </is>
      </c>
    </row>
    <row r="4115">
      <c r="A4115" s="3" t="inlineStr">
        <is>
          <t>SPECIES_SNOM</t>
        </is>
      </c>
      <c r="B4115" s="3" t="inlineStr">
        <is>
          <t>Snom</t>
        </is>
      </c>
      <c r="C4115" s="3" t="n">
        <v>1</v>
      </c>
      <c r="D4115" s="3" t="inlineStr">
        <is>
          <t>Struggle Bug</t>
        </is>
      </c>
      <c r="E4115" s="3" t="inlineStr">
        <is>
          <t>MOVE_STRUGGLE_BUG</t>
        </is>
      </c>
    </row>
    <row r="4116">
      <c r="A4116" s="3" t="inlineStr">
        <is>
          <t>SPECIES_SNOM</t>
        </is>
      </c>
      <c r="B4116" s="3" t="inlineStr">
        <is>
          <t>Snom</t>
        </is>
      </c>
      <c r="C4116" s="3" t="n">
        <v>1</v>
      </c>
      <c r="D4116" s="3" t="inlineStr">
        <is>
          <t>Powder Snow</t>
        </is>
      </c>
      <c r="E4116" s="3" t="inlineStr">
        <is>
          <t>MOVE_POWDER_SNOW</t>
        </is>
      </c>
    </row>
    <row r="4117">
      <c r="A4117" s="3" t="inlineStr">
        <is>
          <t>SPECIES_FROSMOTH</t>
        </is>
      </c>
      <c r="B4117" s="3" t="inlineStr">
        <is>
          <t>Frosmoth</t>
        </is>
      </c>
      <c r="C4117" s="3" t="n">
        <v>0</v>
      </c>
      <c r="D4117" s="3" t="inlineStr">
        <is>
          <t>Icy Wind</t>
        </is>
      </c>
      <c r="E4117" s="3" t="inlineStr">
        <is>
          <t>MOVE_ICY_WIND</t>
        </is>
      </c>
    </row>
    <row r="4118">
      <c r="A4118" s="3" t="inlineStr">
        <is>
          <t>SPECIES_FROSMOTH</t>
        </is>
      </c>
      <c r="B4118" s="3" t="inlineStr">
        <is>
          <t>Frosmoth</t>
        </is>
      </c>
      <c r="C4118" s="3" t="n">
        <v>1</v>
      </c>
      <c r="D4118" s="3" t="inlineStr">
        <is>
          <t>Struggle Bug</t>
        </is>
      </c>
      <c r="E4118" s="3" t="inlineStr">
        <is>
          <t>MOVE_STRUGGLE_BUG</t>
        </is>
      </c>
    </row>
    <row r="4119">
      <c r="A4119" s="3" t="inlineStr">
        <is>
          <t>SPECIES_FROSMOTH</t>
        </is>
      </c>
      <c r="B4119" s="3" t="inlineStr">
        <is>
          <t>Frosmoth</t>
        </is>
      </c>
      <c r="C4119" s="3" t="n">
        <v>1</v>
      </c>
      <c r="D4119" s="3" t="inlineStr">
        <is>
          <t>Powder Snow</t>
        </is>
      </c>
      <c r="E4119" s="3" t="inlineStr">
        <is>
          <t>MOVE_POWDER_SNOW</t>
        </is>
      </c>
    </row>
    <row r="4120">
      <c r="A4120" s="3" t="inlineStr">
        <is>
          <t>SPECIES_FROSMOTH</t>
        </is>
      </c>
      <c r="B4120" s="3" t="inlineStr">
        <is>
          <t>Frosmoth</t>
        </is>
      </c>
      <c r="C4120" s="3" t="n">
        <v>1</v>
      </c>
      <c r="D4120" s="3" t="inlineStr">
        <is>
          <t>Attract</t>
        </is>
      </c>
      <c r="E4120" s="3" t="inlineStr">
        <is>
          <t>MOVE_ATTRACT</t>
        </is>
      </c>
    </row>
    <row r="4121">
      <c r="A4121" s="3" t="inlineStr">
        <is>
          <t>SPECIES_FROSMOTH</t>
        </is>
      </c>
      <c r="B4121" s="3" t="inlineStr">
        <is>
          <t>Frosmoth</t>
        </is>
      </c>
      <c r="C4121" s="3" t="n">
        <v>1</v>
      </c>
      <c r="D4121" s="3" t="inlineStr">
        <is>
          <t>Helping Hand</t>
        </is>
      </c>
      <c r="E4121" s="3" t="inlineStr">
        <is>
          <t>MOVE_HELPING_HAND</t>
        </is>
      </c>
    </row>
    <row r="4122">
      <c r="A4122" s="3" t="inlineStr">
        <is>
          <t>SPECIES_FROSMOTH</t>
        </is>
      </c>
      <c r="B4122" s="3" t="inlineStr">
        <is>
          <t>Frosmoth</t>
        </is>
      </c>
      <c r="C4122" s="3" t="n">
        <v>4</v>
      </c>
      <c r="D4122" s="3" t="inlineStr">
        <is>
          <t>Stun Spore</t>
        </is>
      </c>
      <c r="E4122" s="3" t="inlineStr">
        <is>
          <t>MOVE_STUN_SPORE</t>
        </is>
      </c>
    </row>
    <row r="4123">
      <c r="A4123" s="3" t="inlineStr">
        <is>
          <t>SPECIES_FROSMOTH</t>
        </is>
      </c>
      <c r="B4123" s="3" t="inlineStr">
        <is>
          <t>Frosmoth</t>
        </is>
      </c>
      <c r="C4123" s="3" t="n">
        <v>8</v>
      </c>
      <c r="D4123" s="3" t="inlineStr">
        <is>
          <t>Infestation</t>
        </is>
      </c>
      <c r="E4123" s="3" t="inlineStr">
        <is>
          <t>MOVE_INFESTATION</t>
        </is>
      </c>
    </row>
    <row r="4124">
      <c r="A4124" s="3" t="inlineStr">
        <is>
          <t>SPECIES_FROSMOTH</t>
        </is>
      </c>
      <c r="B4124" s="3" t="inlineStr">
        <is>
          <t>Frosmoth</t>
        </is>
      </c>
      <c r="C4124" s="3" t="n">
        <v>12</v>
      </c>
      <c r="D4124" s="3" t="inlineStr">
        <is>
          <t>Mist</t>
        </is>
      </c>
      <c r="E4124" s="3" t="inlineStr">
        <is>
          <t>MOVE_MIST</t>
        </is>
      </c>
    </row>
    <row r="4125">
      <c r="A4125" s="3" t="inlineStr">
        <is>
          <t>SPECIES_FROSMOTH</t>
        </is>
      </c>
      <c r="B4125" s="3" t="inlineStr">
        <is>
          <t>Frosmoth</t>
        </is>
      </c>
      <c r="C4125" s="3" t="n">
        <v>16</v>
      </c>
      <c r="D4125" s="3" t="inlineStr">
        <is>
          <t>Defog</t>
        </is>
      </c>
      <c r="E4125" s="3" t="inlineStr">
        <is>
          <t>MOVE_DEFOG</t>
        </is>
      </c>
    </row>
    <row r="4126">
      <c r="A4126" s="3" t="inlineStr">
        <is>
          <t>SPECIES_FROSMOTH</t>
        </is>
      </c>
      <c r="B4126" s="3" t="inlineStr">
        <is>
          <t>Frosmoth</t>
        </is>
      </c>
      <c r="C4126" s="3" t="n">
        <v>21</v>
      </c>
      <c r="D4126" s="3" t="inlineStr">
        <is>
          <t>Feather Dance</t>
        </is>
      </c>
      <c r="E4126" s="3" t="inlineStr">
        <is>
          <t>MOVE_FEATHER_DANCE</t>
        </is>
      </c>
    </row>
    <row r="4127">
      <c r="A4127" s="3" t="inlineStr">
        <is>
          <t>SPECIES_FROSMOTH</t>
        </is>
      </c>
      <c r="B4127" s="3" t="inlineStr">
        <is>
          <t>Frosmoth</t>
        </is>
      </c>
      <c r="C4127" s="3" t="n">
        <v>24</v>
      </c>
      <c r="D4127" s="3" t="inlineStr">
        <is>
          <t>Aurora Beam</t>
        </is>
      </c>
      <c r="E4127" s="3" t="inlineStr">
        <is>
          <t>MOVE_AURORA_BEAM</t>
        </is>
      </c>
    </row>
    <row r="4128">
      <c r="A4128" s="3" t="inlineStr">
        <is>
          <t>SPECIES_FROSMOTH</t>
        </is>
      </c>
      <c r="B4128" s="3" t="inlineStr">
        <is>
          <t>Frosmoth</t>
        </is>
      </c>
      <c r="C4128" s="3" t="n">
        <v>28</v>
      </c>
      <c r="D4128" s="3" t="inlineStr">
        <is>
          <t>Snowscape</t>
        </is>
      </c>
      <c r="E4128" s="3" t="inlineStr">
        <is>
          <t>MOVE_SNOWSCAPE</t>
        </is>
      </c>
    </row>
    <row r="4129">
      <c r="A4129" s="3" t="inlineStr">
        <is>
          <t>SPECIES_FROSMOTH</t>
        </is>
      </c>
      <c r="B4129" s="3" t="inlineStr">
        <is>
          <t>Frosmoth</t>
        </is>
      </c>
      <c r="C4129" s="3" t="n">
        <v>32</v>
      </c>
      <c r="D4129" s="3" t="inlineStr">
        <is>
          <t>Bug Buzz</t>
        </is>
      </c>
      <c r="E4129" s="3" t="inlineStr">
        <is>
          <t>MOVE_BUG_BUZZ</t>
        </is>
      </c>
    </row>
    <row r="4130">
      <c r="A4130" s="3" t="inlineStr">
        <is>
          <t>SPECIES_FROSMOTH</t>
        </is>
      </c>
      <c r="B4130" s="3" t="inlineStr">
        <is>
          <t>Frosmoth</t>
        </is>
      </c>
      <c r="C4130" s="3" t="n">
        <v>36</v>
      </c>
      <c r="D4130" s="3" t="inlineStr">
        <is>
          <t>Aurora Veil</t>
        </is>
      </c>
      <c r="E4130" s="3" t="inlineStr">
        <is>
          <t>MOVE_AURORA_VEIL</t>
        </is>
      </c>
    </row>
    <row r="4131">
      <c r="A4131" s="3" t="inlineStr">
        <is>
          <t>SPECIES_FROSMOTH</t>
        </is>
      </c>
      <c r="B4131" s="3" t="inlineStr">
        <is>
          <t>Frosmoth</t>
        </is>
      </c>
      <c r="C4131" s="3" t="n">
        <v>40</v>
      </c>
      <c r="D4131" s="3" t="inlineStr">
        <is>
          <t>Blizzard</t>
        </is>
      </c>
      <c r="E4131" s="3" t="inlineStr">
        <is>
          <t>MOVE_BLIZZARD</t>
        </is>
      </c>
    </row>
    <row r="4132">
      <c r="A4132" s="3" t="inlineStr">
        <is>
          <t>SPECIES_FROSMOTH</t>
        </is>
      </c>
      <c r="B4132" s="3" t="inlineStr">
        <is>
          <t>Frosmoth</t>
        </is>
      </c>
      <c r="C4132" s="3" t="n">
        <v>44</v>
      </c>
      <c r="D4132" s="3" t="inlineStr">
        <is>
          <t>Tailwind</t>
        </is>
      </c>
      <c r="E4132" s="3" t="inlineStr">
        <is>
          <t>MOVE_TAILWIND</t>
        </is>
      </c>
    </row>
    <row r="4133">
      <c r="A4133" s="3" t="inlineStr">
        <is>
          <t>SPECIES_FROSMOTH</t>
        </is>
      </c>
      <c r="B4133" s="3" t="inlineStr">
        <is>
          <t>Frosmoth</t>
        </is>
      </c>
      <c r="C4133" s="3" t="n">
        <v>48</v>
      </c>
      <c r="D4133" s="3" t="inlineStr">
        <is>
          <t>Wide Guard</t>
        </is>
      </c>
      <c r="E4133" s="3" t="inlineStr">
        <is>
          <t>MOVE_WIDE_GUARD</t>
        </is>
      </c>
    </row>
    <row r="4134">
      <c r="A4134" s="3" t="inlineStr">
        <is>
          <t>SPECIES_FROSMOTH</t>
        </is>
      </c>
      <c r="B4134" s="3" t="inlineStr">
        <is>
          <t>Frosmoth</t>
        </is>
      </c>
      <c r="C4134" s="3" t="n">
        <v>52</v>
      </c>
      <c r="D4134" s="3" t="inlineStr">
        <is>
          <t>Quiver Dance</t>
        </is>
      </c>
      <c r="E4134" s="3" t="inlineStr">
        <is>
          <t>MOVE_QUIVER_DANCE</t>
        </is>
      </c>
    </row>
    <row r="4135">
      <c r="A4135" s="3" t="inlineStr">
        <is>
          <t>SPECIES_CUFANT</t>
        </is>
      </c>
      <c r="B4135" s="3" t="inlineStr">
        <is>
          <t>Cufant</t>
        </is>
      </c>
      <c r="C4135" s="3" t="n">
        <v>1</v>
      </c>
      <c r="D4135" s="3" t="inlineStr">
        <is>
          <t>Tackle</t>
        </is>
      </c>
      <c r="E4135" s="3" t="inlineStr">
        <is>
          <t>MOVE_TACKLE</t>
        </is>
      </c>
    </row>
    <row r="4136">
      <c r="A4136" s="3" t="inlineStr">
        <is>
          <t>SPECIES_CUFANT</t>
        </is>
      </c>
      <c r="B4136" s="3" t="inlineStr">
        <is>
          <t>Cufant</t>
        </is>
      </c>
      <c r="C4136" s="3" t="n">
        <v>1</v>
      </c>
      <c r="D4136" s="3" t="inlineStr">
        <is>
          <t>Growl</t>
        </is>
      </c>
      <c r="E4136" s="3" t="inlineStr">
        <is>
          <t>MOVE_GROWL</t>
        </is>
      </c>
    </row>
    <row r="4137">
      <c r="A4137" s="3" t="inlineStr">
        <is>
          <t>SPECIES_CUFANT</t>
        </is>
      </c>
      <c r="B4137" s="3" t="inlineStr">
        <is>
          <t>Cufant</t>
        </is>
      </c>
      <c r="C4137" s="3" t="n">
        <v>5</v>
      </c>
      <c r="D4137" s="3" t="inlineStr">
        <is>
          <t>Rollout</t>
        </is>
      </c>
      <c r="E4137" s="3" t="inlineStr">
        <is>
          <t>MOVE_ROLLOUT</t>
        </is>
      </c>
    </row>
    <row r="4138">
      <c r="A4138" s="3" t="inlineStr">
        <is>
          <t>SPECIES_CUFANT</t>
        </is>
      </c>
      <c r="B4138" s="3" t="inlineStr">
        <is>
          <t>Cufant</t>
        </is>
      </c>
      <c r="C4138" s="3" t="n">
        <v>10</v>
      </c>
      <c r="D4138" s="3" t="inlineStr">
        <is>
          <t>Rock Smash</t>
        </is>
      </c>
      <c r="E4138" s="3" t="inlineStr">
        <is>
          <t>MOVE_ROCK_SMASH</t>
        </is>
      </c>
    </row>
    <row r="4139">
      <c r="A4139" s="3" t="inlineStr">
        <is>
          <t>SPECIES_CUFANT</t>
        </is>
      </c>
      <c r="B4139" s="3" t="inlineStr">
        <is>
          <t>Cufant</t>
        </is>
      </c>
      <c r="C4139" s="3" t="n">
        <v>15</v>
      </c>
      <c r="D4139" s="3" t="inlineStr">
        <is>
          <t>Bulldoze</t>
        </is>
      </c>
      <c r="E4139" s="3" t="inlineStr">
        <is>
          <t>MOVE_BULLDOZE</t>
        </is>
      </c>
    </row>
    <row r="4140">
      <c r="A4140" s="3" t="inlineStr">
        <is>
          <t>SPECIES_CUFANT</t>
        </is>
      </c>
      <c r="B4140" s="3" t="inlineStr">
        <is>
          <t>Cufant</t>
        </is>
      </c>
      <c r="C4140" s="3" t="n">
        <v>20</v>
      </c>
      <c r="D4140" s="3" t="inlineStr">
        <is>
          <t>Stomp</t>
        </is>
      </c>
      <c r="E4140" s="3" t="inlineStr">
        <is>
          <t>MOVE_STOMP</t>
        </is>
      </c>
    </row>
    <row r="4141">
      <c r="A4141" s="3" t="inlineStr">
        <is>
          <t>SPECIES_CUFANT</t>
        </is>
      </c>
      <c r="B4141" s="3" t="inlineStr">
        <is>
          <t>Cufant</t>
        </is>
      </c>
      <c r="C4141" s="3" t="n">
        <v>25</v>
      </c>
      <c r="D4141" s="3" t="inlineStr">
        <is>
          <t>Iron Defense</t>
        </is>
      </c>
      <c r="E4141" s="3" t="inlineStr">
        <is>
          <t>MOVE_IRON_DEFENSE</t>
        </is>
      </c>
    </row>
    <row r="4142">
      <c r="A4142" s="3" t="inlineStr">
        <is>
          <t>SPECIES_CUFANT</t>
        </is>
      </c>
      <c r="B4142" s="3" t="inlineStr">
        <is>
          <t>Cufant</t>
        </is>
      </c>
      <c r="C4142" s="3" t="n">
        <v>30</v>
      </c>
      <c r="D4142" s="3" t="inlineStr">
        <is>
          <t>Dig</t>
        </is>
      </c>
      <c r="E4142" s="3" t="inlineStr">
        <is>
          <t>MOVE_DIG</t>
        </is>
      </c>
    </row>
    <row r="4143">
      <c r="A4143" s="3" t="inlineStr">
        <is>
          <t>SPECIES_CUFANT</t>
        </is>
      </c>
      <c r="B4143" s="3" t="inlineStr">
        <is>
          <t>Cufant</t>
        </is>
      </c>
      <c r="C4143" s="3" t="n">
        <v>35</v>
      </c>
      <c r="D4143" s="3" t="inlineStr">
        <is>
          <t>Strength</t>
        </is>
      </c>
      <c r="E4143" s="3" t="inlineStr">
        <is>
          <t>MOVE_STRENGTH</t>
        </is>
      </c>
    </row>
    <row r="4144">
      <c r="A4144" s="3" t="inlineStr">
        <is>
          <t>SPECIES_CUFANT</t>
        </is>
      </c>
      <c r="B4144" s="3" t="inlineStr">
        <is>
          <t>Cufant</t>
        </is>
      </c>
      <c r="C4144" s="3" t="n">
        <v>40</v>
      </c>
      <c r="D4144" s="3" t="inlineStr">
        <is>
          <t>Iron Head</t>
        </is>
      </c>
      <c r="E4144" s="3" t="inlineStr">
        <is>
          <t>MOVE_IRON_HEAD</t>
        </is>
      </c>
    </row>
    <row r="4145">
      <c r="A4145" s="3" t="inlineStr">
        <is>
          <t>SPECIES_CUFANT</t>
        </is>
      </c>
      <c r="B4145" s="3" t="inlineStr">
        <is>
          <t>Cufant</t>
        </is>
      </c>
      <c r="C4145" s="3" t="n">
        <v>45</v>
      </c>
      <c r="D4145" s="3" t="inlineStr">
        <is>
          <t>Play Rough</t>
        </is>
      </c>
      <c r="E4145" s="3" t="inlineStr">
        <is>
          <t>MOVE_PLAY_ROUGH</t>
        </is>
      </c>
    </row>
    <row r="4146">
      <c r="A4146" s="3" t="inlineStr">
        <is>
          <t>SPECIES_CUFANT</t>
        </is>
      </c>
      <c r="B4146" s="3" t="inlineStr">
        <is>
          <t>Cufant</t>
        </is>
      </c>
      <c r="C4146" s="3" t="n">
        <v>50</v>
      </c>
      <c r="D4146" s="3" t="inlineStr">
        <is>
          <t>High Horsepower</t>
        </is>
      </c>
      <c r="E4146" s="3" t="inlineStr">
        <is>
          <t>MOVE_HIGH_HORSEPOWER</t>
        </is>
      </c>
    </row>
    <row r="4147">
      <c r="A4147" s="3" t="inlineStr">
        <is>
          <t>SPECIES_CUFANT</t>
        </is>
      </c>
      <c r="B4147" s="3" t="inlineStr">
        <is>
          <t>Cufant</t>
        </is>
      </c>
      <c r="C4147" s="3" t="n">
        <v>55</v>
      </c>
      <c r="D4147" s="3" t="inlineStr">
        <is>
          <t>Superpower</t>
        </is>
      </c>
      <c r="E4147" s="3" t="inlineStr">
        <is>
          <t>MOVE_SUPERPOWER</t>
        </is>
      </c>
    </row>
    <row r="4148">
      <c r="A4148" s="3" t="inlineStr">
        <is>
          <t>SPECIES_COPPERAJAH</t>
        </is>
      </c>
      <c r="B4148" s="3" t="inlineStr">
        <is>
          <t>Copperajah</t>
        </is>
      </c>
      <c r="C4148" s="3" t="n">
        <v>0</v>
      </c>
      <c r="D4148" s="3" t="inlineStr">
        <is>
          <t>Heavy Slam</t>
        </is>
      </c>
      <c r="E4148" s="3" t="inlineStr">
        <is>
          <t>MOVE_HEAVY_SLAM</t>
        </is>
      </c>
    </row>
    <row r="4149">
      <c r="A4149" s="3" t="inlineStr">
        <is>
          <t>SPECIES_COPPERAJAH</t>
        </is>
      </c>
      <c r="B4149" s="3" t="inlineStr">
        <is>
          <t>Copperajah</t>
        </is>
      </c>
      <c r="C4149" s="3" t="n">
        <v>1</v>
      </c>
      <c r="D4149" s="3" t="inlineStr">
        <is>
          <t>Tackle</t>
        </is>
      </c>
      <c r="E4149" s="3" t="inlineStr">
        <is>
          <t>MOVE_TACKLE</t>
        </is>
      </c>
    </row>
    <row r="4150">
      <c r="A4150" s="3" t="inlineStr">
        <is>
          <t>SPECIES_COPPERAJAH</t>
        </is>
      </c>
      <c r="B4150" s="3" t="inlineStr">
        <is>
          <t>Copperajah</t>
        </is>
      </c>
      <c r="C4150" s="3" t="n">
        <v>1</v>
      </c>
      <c r="D4150" s="3" t="inlineStr">
        <is>
          <t>Growl</t>
        </is>
      </c>
      <c r="E4150" s="3" t="inlineStr">
        <is>
          <t>MOVE_GROWL</t>
        </is>
      </c>
    </row>
    <row r="4151">
      <c r="A4151" s="3" t="inlineStr">
        <is>
          <t>SPECIES_COPPERAJAH</t>
        </is>
      </c>
      <c r="B4151" s="3" t="inlineStr">
        <is>
          <t>Copperajah</t>
        </is>
      </c>
      <c r="C4151" s="3" t="n">
        <v>1</v>
      </c>
      <c r="D4151" s="3" t="inlineStr">
        <is>
          <t>Rollout</t>
        </is>
      </c>
      <c r="E4151" s="3" t="inlineStr">
        <is>
          <t>MOVE_ROLLOUT</t>
        </is>
      </c>
    </row>
    <row r="4152">
      <c r="A4152" s="3" t="inlineStr">
        <is>
          <t>SPECIES_COPPERAJAH</t>
        </is>
      </c>
      <c r="B4152" s="3" t="inlineStr">
        <is>
          <t>Copperajah</t>
        </is>
      </c>
      <c r="C4152" s="3" t="n">
        <v>1</v>
      </c>
      <c r="D4152" s="3" t="inlineStr">
        <is>
          <t>Rock Smash</t>
        </is>
      </c>
      <c r="E4152" s="3" t="inlineStr">
        <is>
          <t>MOVE_ROCK_SMASH</t>
        </is>
      </c>
    </row>
    <row r="4153">
      <c r="A4153" s="3" t="inlineStr">
        <is>
          <t>SPECIES_COPPERAJAH</t>
        </is>
      </c>
      <c r="B4153" s="3" t="inlineStr">
        <is>
          <t>Copperajah</t>
        </is>
      </c>
      <c r="C4153" s="3" t="n">
        <v>15</v>
      </c>
      <c r="D4153" s="3" t="inlineStr">
        <is>
          <t>Bulldoze</t>
        </is>
      </c>
      <c r="E4153" s="3" t="inlineStr">
        <is>
          <t>MOVE_BULLDOZE</t>
        </is>
      </c>
    </row>
    <row r="4154">
      <c r="A4154" s="3" t="inlineStr">
        <is>
          <t>SPECIES_COPPERAJAH</t>
        </is>
      </c>
      <c r="B4154" s="3" t="inlineStr">
        <is>
          <t>Copperajah</t>
        </is>
      </c>
      <c r="C4154" s="3" t="n">
        <v>20</v>
      </c>
      <c r="D4154" s="3" t="inlineStr">
        <is>
          <t>Stomp</t>
        </is>
      </c>
      <c r="E4154" s="3" t="inlineStr">
        <is>
          <t>MOVE_STOMP</t>
        </is>
      </c>
    </row>
    <row r="4155">
      <c r="A4155" s="3" t="inlineStr">
        <is>
          <t>SPECIES_COPPERAJAH</t>
        </is>
      </c>
      <c r="B4155" s="3" t="inlineStr">
        <is>
          <t>Copperajah</t>
        </is>
      </c>
      <c r="C4155" s="3" t="n">
        <v>25</v>
      </c>
      <c r="D4155" s="3" t="inlineStr">
        <is>
          <t>Iron Defense</t>
        </is>
      </c>
      <c r="E4155" s="3" t="inlineStr">
        <is>
          <t>MOVE_IRON_DEFENSE</t>
        </is>
      </c>
    </row>
    <row r="4156">
      <c r="A4156" s="3" t="inlineStr">
        <is>
          <t>SPECIES_COPPERAJAH</t>
        </is>
      </c>
      <c r="B4156" s="3" t="inlineStr">
        <is>
          <t>Copperajah</t>
        </is>
      </c>
      <c r="C4156" s="3" t="n">
        <v>30</v>
      </c>
      <c r="D4156" s="3" t="inlineStr">
        <is>
          <t>Dig</t>
        </is>
      </c>
      <c r="E4156" s="3" t="inlineStr">
        <is>
          <t>MOVE_DIG</t>
        </is>
      </c>
    </row>
    <row r="4157">
      <c r="A4157" s="3" t="inlineStr">
        <is>
          <t>SPECIES_COPPERAJAH</t>
        </is>
      </c>
      <c r="B4157" s="3" t="inlineStr">
        <is>
          <t>Copperajah</t>
        </is>
      </c>
      <c r="C4157" s="3" t="n">
        <v>37</v>
      </c>
      <c r="D4157" s="3" t="inlineStr">
        <is>
          <t>Strength</t>
        </is>
      </c>
      <c r="E4157" s="3" t="inlineStr">
        <is>
          <t>MOVE_STRENGTH</t>
        </is>
      </c>
    </row>
    <row r="4158">
      <c r="A4158" s="3" t="inlineStr">
        <is>
          <t>SPECIES_COPPERAJAH</t>
        </is>
      </c>
      <c r="B4158" s="3" t="inlineStr">
        <is>
          <t>Copperajah</t>
        </is>
      </c>
      <c r="C4158" s="3" t="n">
        <v>44</v>
      </c>
      <c r="D4158" s="3" t="inlineStr">
        <is>
          <t>Iron Head</t>
        </is>
      </c>
      <c r="E4158" s="3" t="inlineStr">
        <is>
          <t>MOVE_IRON_HEAD</t>
        </is>
      </c>
    </row>
    <row r="4159">
      <c r="A4159" s="3" t="inlineStr">
        <is>
          <t>SPECIES_COPPERAJAH</t>
        </is>
      </c>
      <c r="B4159" s="3" t="inlineStr">
        <is>
          <t>Copperajah</t>
        </is>
      </c>
      <c r="C4159" s="3" t="n">
        <v>51</v>
      </c>
      <c r="D4159" s="3" t="inlineStr">
        <is>
          <t>Play Rough</t>
        </is>
      </c>
      <c r="E4159" s="3" t="inlineStr">
        <is>
          <t>MOVE_PLAY_ROUGH</t>
        </is>
      </c>
    </row>
    <row r="4160">
      <c r="A4160" s="3" t="inlineStr">
        <is>
          <t>SPECIES_COPPERAJAH</t>
        </is>
      </c>
      <c r="B4160" s="3" t="inlineStr">
        <is>
          <t>Copperajah</t>
        </is>
      </c>
      <c r="C4160" s="3" t="n">
        <v>58</v>
      </c>
      <c r="D4160" s="3" t="inlineStr">
        <is>
          <t>High Horsepower</t>
        </is>
      </c>
      <c r="E4160" s="3" t="inlineStr">
        <is>
          <t>MOVE_HIGH_HORSEPOWER</t>
        </is>
      </c>
    </row>
    <row r="4161">
      <c r="A4161" s="3" t="inlineStr">
        <is>
          <t>SPECIES_COPPERAJAH</t>
        </is>
      </c>
      <c r="B4161" s="3" t="inlineStr">
        <is>
          <t>Copperajah</t>
        </is>
      </c>
      <c r="C4161" s="3" t="n">
        <v>65</v>
      </c>
      <c r="D4161" s="3" t="inlineStr">
        <is>
          <t>Superpower</t>
        </is>
      </c>
      <c r="E4161" s="3" t="inlineStr">
        <is>
          <t>MOVE_SUPERPOWER</t>
        </is>
      </c>
    </row>
    <row r="4162">
      <c r="A4162" s="3" t="inlineStr">
        <is>
          <t>SPECIES_DREEPY</t>
        </is>
      </c>
      <c r="B4162" s="3" t="inlineStr">
        <is>
          <t>Dreepy</t>
        </is>
      </c>
      <c r="C4162" s="3" t="n">
        <v>1</v>
      </c>
      <c r="D4162" s="3" t="inlineStr">
        <is>
          <t>Bite</t>
        </is>
      </c>
      <c r="E4162" s="3" t="inlineStr">
        <is>
          <t>MOVE_BITE</t>
        </is>
      </c>
    </row>
    <row r="4163">
      <c r="A4163" s="3" t="inlineStr">
        <is>
          <t>SPECIES_DREEPY</t>
        </is>
      </c>
      <c r="B4163" s="3" t="inlineStr">
        <is>
          <t>Dreepy</t>
        </is>
      </c>
      <c r="C4163" s="3" t="n">
        <v>1</v>
      </c>
      <c r="D4163" s="3" t="inlineStr">
        <is>
          <t>Quick Attack</t>
        </is>
      </c>
      <c r="E4163" s="3" t="inlineStr">
        <is>
          <t>MOVE_QUICK_ATTACK</t>
        </is>
      </c>
    </row>
    <row r="4164">
      <c r="A4164" s="3" t="inlineStr">
        <is>
          <t>SPECIES_DREEPY</t>
        </is>
      </c>
      <c r="B4164" s="3" t="inlineStr">
        <is>
          <t>Dreepy</t>
        </is>
      </c>
      <c r="C4164" s="3" t="n">
        <v>1</v>
      </c>
      <c r="D4164" s="3" t="inlineStr">
        <is>
          <t>Astonish</t>
        </is>
      </c>
      <c r="E4164" s="3" t="inlineStr">
        <is>
          <t>MOVE_ASTONISH</t>
        </is>
      </c>
    </row>
    <row r="4165">
      <c r="A4165" s="3" t="inlineStr">
        <is>
          <t>SPECIES_DREEPY</t>
        </is>
      </c>
      <c r="B4165" s="3" t="inlineStr">
        <is>
          <t>Dreepy</t>
        </is>
      </c>
      <c r="C4165" s="3" t="n">
        <v>1</v>
      </c>
      <c r="D4165" s="3" t="inlineStr">
        <is>
          <t>Infestation</t>
        </is>
      </c>
      <c r="E4165" s="3" t="inlineStr">
        <is>
          <t>MOVE_INFESTATION</t>
        </is>
      </c>
    </row>
    <row r="4166">
      <c r="A4166" s="3" t="inlineStr">
        <is>
          <t>SPECIES_DRAKLOAK</t>
        </is>
      </c>
      <c r="B4166" s="3" t="inlineStr">
        <is>
          <t>Drakloak</t>
        </is>
      </c>
      <c r="C4166" s="3" t="n">
        <v>0</v>
      </c>
      <c r="D4166" s="3" t="inlineStr">
        <is>
          <t>Dragon Pulse</t>
        </is>
      </c>
      <c r="E4166" s="3" t="inlineStr">
        <is>
          <t>MOVE_DRAGON_PULSE</t>
        </is>
      </c>
    </row>
    <row r="4167">
      <c r="A4167" s="3" t="inlineStr">
        <is>
          <t>SPECIES_DRAKLOAK</t>
        </is>
      </c>
      <c r="B4167" s="3" t="inlineStr">
        <is>
          <t>Drakloak</t>
        </is>
      </c>
      <c r="C4167" s="3" t="n">
        <v>1</v>
      </c>
      <c r="D4167" s="3" t="inlineStr">
        <is>
          <t>Infestation</t>
        </is>
      </c>
      <c r="E4167" s="3" t="inlineStr">
        <is>
          <t>MOVE_INFESTATION</t>
        </is>
      </c>
    </row>
    <row r="4168">
      <c r="A4168" s="3" t="inlineStr">
        <is>
          <t>SPECIES_DRAKLOAK</t>
        </is>
      </c>
      <c r="B4168" s="3" t="inlineStr">
        <is>
          <t>Drakloak</t>
        </is>
      </c>
      <c r="C4168" s="3" t="n">
        <v>1</v>
      </c>
      <c r="D4168" s="3" t="inlineStr">
        <is>
          <t>Bite</t>
        </is>
      </c>
      <c r="E4168" s="3" t="inlineStr">
        <is>
          <t>MOVE_BITE</t>
        </is>
      </c>
    </row>
    <row r="4169">
      <c r="A4169" s="3" t="inlineStr">
        <is>
          <t>SPECIES_DRAKLOAK</t>
        </is>
      </c>
      <c r="B4169" s="3" t="inlineStr">
        <is>
          <t>Drakloak</t>
        </is>
      </c>
      <c r="C4169" s="3" t="n">
        <v>1</v>
      </c>
      <c r="D4169" s="3" t="inlineStr">
        <is>
          <t>Quick Attack</t>
        </is>
      </c>
      <c r="E4169" s="3" t="inlineStr">
        <is>
          <t>MOVE_QUICK_ATTACK</t>
        </is>
      </c>
    </row>
    <row r="4170">
      <c r="A4170" s="3" t="inlineStr">
        <is>
          <t>SPECIES_DRAKLOAK</t>
        </is>
      </c>
      <c r="B4170" s="3" t="inlineStr">
        <is>
          <t>Drakloak</t>
        </is>
      </c>
      <c r="C4170" s="3" t="n">
        <v>1</v>
      </c>
      <c r="D4170" s="3" t="inlineStr">
        <is>
          <t>Astonish</t>
        </is>
      </c>
      <c r="E4170" s="3" t="inlineStr">
        <is>
          <t>MOVE_ASTONISH</t>
        </is>
      </c>
    </row>
    <row r="4171">
      <c r="A4171" s="3" t="inlineStr">
        <is>
          <t>SPECIES_DRAKLOAK</t>
        </is>
      </c>
      <c r="B4171" s="3" t="inlineStr">
        <is>
          <t>Drakloak</t>
        </is>
      </c>
      <c r="C4171" s="3" t="n">
        <v>6</v>
      </c>
      <c r="D4171" s="3" t="inlineStr">
        <is>
          <t>Lock-On</t>
        </is>
      </c>
      <c r="E4171" s="3" t="inlineStr">
        <is>
          <t>MOVE_LOCK_ON</t>
        </is>
      </c>
    </row>
    <row r="4172">
      <c r="A4172" s="3" t="inlineStr">
        <is>
          <t>SPECIES_DRAKLOAK</t>
        </is>
      </c>
      <c r="B4172" s="3" t="inlineStr">
        <is>
          <t>Drakloak</t>
        </is>
      </c>
      <c r="C4172" s="3" t="n">
        <v>12</v>
      </c>
      <c r="D4172" s="3" t="inlineStr">
        <is>
          <t>Assurance</t>
        </is>
      </c>
      <c r="E4172" s="3" t="inlineStr">
        <is>
          <t>MOVE_ASSURANCE</t>
        </is>
      </c>
    </row>
    <row r="4173">
      <c r="A4173" s="3" t="inlineStr">
        <is>
          <t>SPECIES_DRAKLOAK</t>
        </is>
      </c>
      <c r="B4173" s="3" t="inlineStr">
        <is>
          <t>Drakloak</t>
        </is>
      </c>
      <c r="C4173" s="3" t="n">
        <v>18</v>
      </c>
      <c r="D4173" s="3" t="inlineStr">
        <is>
          <t>Hex</t>
        </is>
      </c>
      <c r="E4173" s="3" t="inlineStr">
        <is>
          <t>MOVE_HEX</t>
        </is>
      </c>
    </row>
    <row r="4174">
      <c r="A4174" s="3" t="inlineStr">
        <is>
          <t>SPECIES_DRAKLOAK</t>
        </is>
      </c>
      <c r="B4174" s="3" t="inlineStr">
        <is>
          <t>Drakloak</t>
        </is>
      </c>
      <c r="C4174" s="3" t="n">
        <v>24</v>
      </c>
      <c r="D4174" s="3" t="inlineStr">
        <is>
          <t>Agility</t>
        </is>
      </c>
      <c r="E4174" s="3" t="inlineStr">
        <is>
          <t>MOVE_AGILITY</t>
        </is>
      </c>
    </row>
    <row r="4175">
      <c r="A4175" s="3" t="inlineStr">
        <is>
          <t>SPECIES_DRAKLOAK</t>
        </is>
      </c>
      <c r="B4175" s="3" t="inlineStr">
        <is>
          <t>Drakloak</t>
        </is>
      </c>
      <c r="C4175" s="3" t="n">
        <v>30</v>
      </c>
      <c r="D4175" s="3" t="inlineStr">
        <is>
          <t>Double Hit</t>
        </is>
      </c>
      <c r="E4175" s="3" t="inlineStr">
        <is>
          <t>MOVE_DOUBLE_HIT</t>
        </is>
      </c>
    </row>
    <row r="4176">
      <c r="A4176" s="3" t="inlineStr">
        <is>
          <t>SPECIES_DRAKLOAK</t>
        </is>
      </c>
      <c r="B4176" s="3" t="inlineStr">
        <is>
          <t>Drakloak</t>
        </is>
      </c>
      <c r="C4176" s="3" t="n">
        <v>36</v>
      </c>
      <c r="D4176" s="3" t="inlineStr">
        <is>
          <t>U-turn</t>
        </is>
      </c>
      <c r="E4176" s="3" t="inlineStr">
        <is>
          <t>MOVE_U_TURN</t>
        </is>
      </c>
    </row>
    <row r="4177">
      <c r="A4177" s="3" t="inlineStr">
        <is>
          <t>SPECIES_DRAKLOAK</t>
        </is>
      </c>
      <c r="B4177" s="3" t="inlineStr">
        <is>
          <t>Drakloak</t>
        </is>
      </c>
      <c r="C4177" s="3" t="n">
        <v>42</v>
      </c>
      <c r="D4177" s="3" t="inlineStr">
        <is>
          <t>Dragon Dance</t>
        </is>
      </c>
      <c r="E4177" s="3" t="inlineStr">
        <is>
          <t>MOVE_DRAGON_DANCE</t>
        </is>
      </c>
    </row>
    <row r="4178">
      <c r="A4178" s="3" t="inlineStr">
        <is>
          <t>SPECIES_DRAKLOAK</t>
        </is>
      </c>
      <c r="B4178" s="3" t="inlineStr">
        <is>
          <t>Drakloak</t>
        </is>
      </c>
      <c r="C4178" s="3" t="n">
        <v>48</v>
      </c>
      <c r="D4178" s="3" t="inlineStr">
        <is>
          <t>Phantom Force</t>
        </is>
      </c>
      <c r="E4178" s="3" t="inlineStr">
        <is>
          <t>MOVE_PHANTOM_FORCE</t>
        </is>
      </c>
    </row>
    <row r="4179">
      <c r="A4179" s="3" t="inlineStr">
        <is>
          <t>SPECIES_DRAKLOAK</t>
        </is>
      </c>
      <c r="B4179" s="3" t="inlineStr">
        <is>
          <t>Drakloak</t>
        </is>
      </c>
      <c r="C4179" s="3" t="n">
        <v>54</v>
      </c>
      <c r="D4179" s="3" t="inlineStr">
        <is>
          <t>Take Down</t>
        </is>
      </c>
      <c r="E4179" s="3" t="inlineStr">
        <is>
          <t>MOVE_TAKE_DOWN</t>
        </is>
      </c>
    </row>
    <row r="4180">
      <c r="A4180" s="3" t="inlineStr">
        <is>
          <t>SPECIES_DRAKLOAK</t>
        </is>
      </c>
      <c r="B4180" s="3" t="inlineStr">
        <is>
          <t>Drakloak</t>
        </is>
      </c>
      <c r="C4180" s="3" t="n">
        <v>61</v>
      </c>
      <c r="D4180" s="3" t="inlineStr">
        <is>
          <t>Dragon Rush</t>
        </is>
      </c>
      <c r="E4180" s="3" t="inlineStr">
        <is>
          <t>MOVE_DRAGON_RUSH</t>
        </is>
      </c>
    </row>
    <row r="4181">
      <c r="A4181" s="3" t="inlineStr">
        <is>
          <t>SPECIES_DRAKLOAK</t>
        </is>
      </c>
      <c r="B4181" s="3" t="inlineStr">
        <is>
          <t>Drakloak</t>
        </is>
      </c>
      <c r="C4181" s="3" t="n">
        <v>66</v>
      </c>
      <c r="D4181" s="3" t="inlineStr">
        <is>
          <t>Double-Edge</t>
        </is>
      </c>
      <c r="E4181" s="3" t="inlineStr">
        <is>
          <t>MOVE_DOUBLE_EDGE</t>
        </is>
      </c>
    </row>
    <row r="4182">
      <c r="A4182" s="3" t="inlineStr">
        <is>
          <t>SPECIES_DRAKLOAK</t>
        </is>
      </c>
      <c r="B4182" s="3" t="inlineStr">
        <is>
          <t>Drakloak</t>
        </is>
      </c>
      <c r="C4182" s="3" t="n">
        <v>72</v>
      </c>
      <c r="D4182" s="3" t="inlineStr">
        <is>
          <t>Last Resort</t>
        </is>
      </c>
      <c r="E4182" s="3" t="inlineStr">
        <is>
          <t>MOVE_LAST_RESORT</t>
        </is>
      </c>
    </row>
    <row r="4183">
      <c r="A4183" s="3" t="inlineStr">
        <is>
          <t>SPECIES_DRAGAPULT</t>
        </is>
      </c>
      <c r="B4183" s="3" t="inlineStr">
        <is>
          <t>Dragapult</t>
        </is>
      </c>
      <c r="C4183" s="3" t="n">
        <v>0</v>
      </c>
      <c r="D4183" s="3" t="inlineStr">
        <is>
          <t>Dragon Darts</t>
        </is>
      </c>
      <c r="E4183" s="3" t="inlineStr">
        <is>
          <t>MOVE_DRAGON_DARTS</t>
        </is>
      </c>
    </row>
    <row r="4184">
      <c r="A4184" s="3" t="inlineStr">
        <is>
          <t>SPECIES_DRAGAPULT</t>
        </is>
      </c>
      <c r="B4184" s="3" t="inlineStr">
        <is>
          <t>Dragapult</t>
        </is>
      </c>
      <c r="C4184" s="3" t="n">
        <v>1</v>
      </c>
      <c r="D4184" s="3" t="inlineStr">
        <is>
          <t>Bite</t>
        </is>
      </c>
      <c r="E4184" s="3" t="inlineStr">
        <is>
          <t>MOVE_BITE</t>
        </is>
      </c>
    </row>
    <row r="4185">
      <c r="A4185" s="3" t="inlineStr">
        <is>
          <t>SPECIES_DRAGAPULT</t>
        </is>
      </c>
      <c r="B4185" s="3" t="inlineStr">
        <is>
          <t>Dragapult</t>
        </is>
      </c>
      <c r="C4185" s="3" t="n">
        <v>1</v>
      </c>
      <c r="D4185" s="3" t="inlineStr">
        <is>
          <t>Quick Attack</t>
        </is>
      </c>
      <c r="E4185" s="3" t="inlineStr">
        <is>
          <t>MOVE_QUICK_ATTACK</t>
        </is>
      </c>
    </row>
    <row r="4186">
      <c r="A4186" s="3" t="inlineStr">
        <is>
          <t>SPECIES_DRAGAPULT</t>
        </is>
      </c>
      <c r="B4186" s="3" t="inlineStr">
        <is>
          <t>Dragapult</t>
        </is>
      </c>
      <c r="C4186" s="3" t="n">
        <v>1</v>
      </c>
      <c r="D4186" s="3" t="inlineStr">
        <is>
          <t>Dragon Breath</t>
        </is>
      </c>
      <c r="E4186" s="3" t="inlineStr">
        <is>
          <t>MOVE_DRAGON_BREATH</t>
        </is>
      </c>
    </row>
    <row r="4187">
      <c r="A4187" s="3" t="inlineStr">
        <is>
          <t>SPECIES_DRAGAPULT</t>
        </is>
      </c>
      <c r="B4187" s="3" t="inlineStr">
        <is>
          <t>Dragapult</t>
        </is>
      </c>
      <c r="C4187" s="3" t="n">
        <v>1</v>
      </c>
      <c r="D4187" s="3" t="inlineStr">
        <is>
          <t>Astonish</t>
        </is>
      </c>
      <c r="E4187" s="3" t="inlineStr">
        <is>
          <t>MOVE_ASTONISH</t>
        </is>
      </c>
    </row>
    <row r="4188">
      <c r="A4188" s="3" t="inlineStr">
        <is>
          <t>SPECIES_DRAGAPULT</t>
        </is>
      </c>
      <c r="B4188" s="3" t="inlineStr">
        <is>
          <t>Dragapult</t>
        </is>
      </c>
      <c r="C4188" s="3" t="n">
        <v>1</v>
      </c>
      <c r="D4188" s="3" t="inlineStr">
        <is>
          <t>Infestation</t>
        </is>
      </c>
      <c r="E4188" s="3" t="inlineStr">
        <is>
          <t>MOVE_INFESTATION</t>
        </is>
      </c>
    </row>
    <row r="4189">
      <c r="A4189" s="3" t="inlineStr">
        <is>
          <t>SPECIES_DRAGAPULT</t>
        </is>
      </c>
      <c r="B4189" s="3" t="inlineStr">
        <is>
          <t>Dragapult</t>
        </is>
      </c>
      <c r="C4189" s="3" t="n">
        <v>6</v>
      </c>
      <c r="D4189" s="3" t="inlineStr">
        <is>
          <t>Lock-On</t>
        </is>
      </c>
      <c r="E4189" s="3" t="inlineStr">
        <is>
          <t>MOVE_LOCK_ON</t>
        </is>
      </c>
    </row>
    <row r="4190">
      <c r="A4190" s="3" t="inlineStr">
        <is>
          <t>SPECIES_DRAGAPULT</t>
        </is>
      </c>
      <c r="B4190" s="3" t="inlineStr">
        <is>
          <t>Dragapult</t>
        </is>
      </c>
      <c r="C4190" s="3" t="n">
        <v>12</v>
      </c>
      <c r="D4190" s="3" t="inlineStr">
        <is>
          <t>Assurance</t>
        </is>
      </c>
      <c r="E4190" s="3" t="inlineStr">
        <is>
          <t>MOVE_ASSURANCE</t>
        </is>
      </c>
    </row>
    <row r="4191">
      <c r="A4191" s="3" t="inlineStr">
        <is>
          <t>SPECIES_DRAGAPULT</t>
        </is>
      </c>
      <c r="B4191" s="3" t="inlineStr">
        <is>
          <t>Dragapult</t>
        </is>
      </c>
      <c r="C4191" s="3" t="n">
        <v>18</v>
      </c>
      <c r="D4191" s="3" t="inlineStr">
        <is>
          <t>Hex</t>
        </is>
      </c>
      <c r="E4191" s="3" t="inlineStr">
        <is>
          <t>MOVE_HEX</t>
        </is>
      </c>
    </row>
    <row r="4192">
      <c r="A4192" s="3" t="inlineStr">
        <is>
          <t>SPECIES_DRAGAPULT</t>
        </is>
      </c>
      <c r="B4192" s="3" t="inlineStr">
        <is>
          <t>Dragapult</t>
        </is>
      </c>
      <c r="C4192" s="3" t="n">
        <v>24</v>
      </c>
      <c r="D4192" s="3" t="inlineStr">
        <is>
          <t>Agility</t>
        </is>
      </c>
      <c r="E4192" s="3" t="inlineStr">
        <is>
          <t>MOVE_AGILITY</t>
        </is>
      </c>
    </row>
    <row r="4193">
      <c r="A4193" s="3" t="inlineStr">
        <is>
          <t>SPECIES_DRAGAPULT</t>
        </is>
      </c>
      <c r="B4193" s="3" t="inlineStr">
        <is>
          <t>Dragapult</t>
        </is>
      </c>
      <c r="C4193" s="3" t="n">
        <v>30</v>
      </c>
      <c r="D4193" s="3" t="inlineStr">
        <is>
          <t>Double Hit</t>
        </is>
      </c>
      <c r="E4193" s="3" t="inlineStr">
        <is>
          <t>MOVE_DOUBLE_HIT</t>
        </is>
      </c>
    </row>
    <row r="4194">
      <c r="A4194" s="3" t="inlineStr">
        <is>
          <t>SPECIES_DRAGAPULT</t>
        </is>
      </c>
      <c r="B4194" s="3" t="inlineStr">
        <is>
          <t>Dragapult</t>
        </is>
      </c>
      <c r="C4194" s="3" t="n">
        <v>36</v>
      </c>
      <c r="D4194" s="3" t="inlineStr">
        <is>
          <t>U-turn</t>
        </is>
      </c>
      <c r="E4194" s="3" t="inlineStr">
        <is>
          <t>MOVE_U_TURN</t>
        </is>
      </c>
    </row>
    <row r="4195">
      <c r="A4195" s="3" t="inlineStr">
        <is>
          <t>SPECIES_DRAGAPULT</t>
        </is>
      </c>
      <c r="B4195" s="3" t="inlineStr">
        <is>
          <t>Dragapult</t>
        </is>
      </c>
      <c r="C4195" s="3" t="n">
        <v>42</v>
      </c>
      <c r="D4195" s="3" t="inlineStr">
        <is>
          <t>Dragon Dance</t>
        </is>
      </c>
      <c r="E4195" s="3" t="inlineStr">
        <is>
          <t>MOVE_DRAGON_DANCE</t>
        </is>
      </c>
    </row>
    <row r="4196">
      <c r="A4196" s="3" t="inlineStr">
        <is>
          <t>SPECIES_DRAGAPULT</t>
        </is>
      </c>
      <c r="B4196" s="3" t="inlineStr">
        <is>
          <t>Dragapult</t>
        </is>
      </c>
      <c r="C4196" s="3" t="n">
        <v>48</v>
      </c>
      <c r="D4196" s="3" t="inlineStr">
        <is>
          <t>Phantom Force</t>
        </is>
      </c>
      <c r="E4196" s="3" t="inlineStr">
        <is>
          <t>MOVE_PHANTOM_FORCE</t>
        </is>
      </c>
    </row>
    <row r="4197">
      <c r="A4197" s="3" t="inlineStr">
        <is>
          <t>SPECIES_DRAGAPULT</t>
        </is>
      </c>
      <c r="B4197" s="3" t="inlineStr">
        <is>
          <t>Dragapult</t>
        </is>
      </c>
      <c r="C4197" s="3" t="n">
        <v>54</v>
      </c>
      <c r="D4197" s="3" t="inlineStr">
        <is>
          <t>Take Down</t>
        </is>
      </c>
      <c r="E4197" s="3" t="inlineStr">
        <is>
          <t>MOVE_TAKE_DOWN</t>
        </is>
      </c>
    </row>
    <row r="4198">
      <c r="A4198" s="3" t="inlineStr">
        <is>
          <t>SPECIES_DRAGAPULT</t>
        </is>
      </c>
      <c r="B4198" s="3" t="inlineStr">
        <is>
          <t>Dragapult</t>
        </is>
      </c>
      <c r="C4198" s="3" t="n">
        <v>63</v>
      </c>
      <c r="D4198" s="3" t="inlineStr">
        <is>
          <t>Dragon Rush</t>
        </is>
      </c>
      <c r="E4198" s="3" t="inlineStr">
        <is>
          <t>MOVE_DRAGON_RUSH</t>
        </is>
      </c>
    </row>
    <row r="4199">
      <c r="A4199" s="3" t="inlineStr">
        <is>
          <t>SPECIES_DRAGAPULT</t>
        </is>
      </c>
      <c r="B4199" s="3" t="inlineStr">
        <is>
          <t>Dragapult</t>
        </is>
      </c>
      <c r="C4199" s="3" t="n">
        <v>70</v>
      </c>
      <c r="D4199" s="3" t="inlineStr">
        <is>
          <t>Double-Edge</t>
        </is>
      </c>
      <c r="E4199" s="3" t="inlineStr">
        <is>
          <t>MOVE_DOUBLE_EDGE</t>
        </is>
      </c>
    </row>
    <row r="4200">
      <c r="A4200" s="3" t="inlineStr">
        <is>
          <t>SPECIES_DRAGAPULT</t>
        </is>
      </c>
      <c r="B4200" s="3" t="inlineStr">
        <is>
          <t>Dragapult</t>
        </is>
      </c>
      <c r="C4200" s="3" t="n">
        <v>78</v>
      </c>
      <c r="D4200" s="3" t="inlineStr">
        <is>
          <t>Last Resort</t>
        </is>
      </c>
      <c r="E4200" s="3" t="inlineStr">
        <is>
          <t>MOVE_LAST_RESORT</t>
        </is>
      </c>
    </row>
    <row r="4201">
      <c r="A4201" s="3" t="inlineStr">
        <is>
          <t>SPECIES_BASCULIN_WHITE_STRIPED</t>
        </is>
      </c>
      <c r="B4201" s="3" t="inlineStr">
        <is>
          <t>Basculin</t>
        </is>
      </c>
      <c r="C4201" s="3" t="n">
        <v>1</v>
      </c>
      <c r="D4201" s="3" t="inlineStr">
        <is>
          <t>Tail Whip</t>
        </is>
      </c>
      <c r="E4201" s="3" t="inlineStr">
        <is>
          <t>MOVE_TAIL_WHIP</t>
        </is>
      </c>
    </row>
    <row r="4202">
      <c r="A4202" s="3" t="inlineStr">
        <is>
          <t>SPECIES_BASCULIN_WHITE_STRIPED</t>
        </is>
      </c>
      <c r="B4202" s="3" t="inlineStr">
        <is>
          <t>Basculin</t>
        </is>
      </c>
      <c r="C4202" s="3" t="n">
        <v>1</v>
      </c>
      <c r="D4202" s="3" t="inlineStr">
        <is>
          <t>Water Gun</t>
        </is>
      </c>
      <c r="E4202" s="3" t="inlineStr">
        <is>
          <t>MOVE_WATER_GUN</t>
        </is>
      </c>
    </row>
    <row r="4203">
      <c r="A4203" s="3" t="inlineStr">
        <is>
          <t>SPECIES_BASCULIN_WHITE_STRIPED</t>
        </is>
      </c>
      <c r="B4203" s="3" t="inlineStr">
        <is>
          <t>Basculin</t>
        </is>
      </c>
      <c r="C4203" s="3" t="n">
        <v>4</v>
      </c>
      <c r="D4203" s="3" t="inlineStr">
        <is>
          <t>Tackle</t>
        </is>
      </c>
      <c r="E4203" s="3" t="inlineStr">
        <is>
          <t>MOVE_TACKLE</t>
        </is>
      </c>
    </row>
    <row r="4204">
      <c r="A4204" s="3" t="inlineStr">
        <is>
          <t>SPECIES_BASCULIN_WHITE_STRIPED</t>
        </is>
      </c>
      <c r="B4204" s="3" t="inlineStr">
        <is>
          <t>Basculin</t>
        </is>
      </c>
      <c r="C4204" s="3" t="n">
        <v>8</v>
      </c>
      <c r="D4204" s="3" t="inlineStr">
        <is>
          <t>Flail</t>
        </is>
      </c>
      <c r="E4204" s="3" t="inlineStr">
        <is>
          <t>MOVE_FLAIL</t>
        </is>
      </c>
    </row>
    <row r="4205">
      <c r="A4205" s="3" t="inlineStr">
        <is>
          <t>SPECIES_BASCULIN_WHITE_STRIPED</t>
        </is>
      </c>
      <c r="B4205" s="3" t="inlineStr">
        <is>
          <t>Basculin</t>
        </is>
      </c>
      <c r="C4205" s="3" t="n">
        <v>12</v>
      </c>
      <c r="D4205" s="3" t="inlineStr">
        <is>
          <t>Aqua Jet</t>
        </is>
      </c>
      <c r="E4205" s="3" t="inlineStr">
        <is>
          <t>MOVE_AQUA_JET</t>
        </is>
      </c>
    </row>
    <row r="4206">
      <c r="A4206" s="3" t="inlineStr">
        <is>
          <t>SPECIES_BASCULIN_WHITE_STRIPED</t>
        </is>
      </c>
      <c r="B4206" s="3" t="inlineStr">
        <is>
          <t>Basculin</t>
        </is>
      </c>
      <c r="C4206" s="3" t="n">
        <v>16</v>
      </c>
      <c r="D4206" s="3" t="inlineStr">
        <is>
          <t>Bite</t>
        </is>
      </c>
      <c r="E4206" s="3" t="inlineStr">
        <is>
          <t>MOVE_BITE</t>
        </is>
      </c>
    </row>
    <row r="4207">
      <c r="A4207" s="3" t="inlineStr">
        <is>
          <t>SPECIES_BASCULIN_WHITE_STRIPED</t>
        </is>
      </c>
      <c r="B4207" s="3" t="inlineStr">
        <is>
          <t>Basculin</t>
        </is>
      </c>
      <c r="C4207" s="3" t="n">
        <v>20</v>
      </c>
      <c r="D4207" s="3" t="inlineStr">
        <is>
          <t>Scary Face</t>
        </is>
      </c>
      <c r="E4207" s="3" t="inlineStr">
        <is>
          <t>MOVE_SCARY_FACE</t>
        </is>
      </c>
    </row>
    <row r="4208">
      <c r="A4208" s="3" t="inlineStr">
        <is>
          <t>SPECIES_BASCULIN_WHITE_STRIPED</t>
        </is>
      </c>
      <c r="B4208" s="3" t="inlineStr">
        <is>
          <t>Basculin</t>
        </is>
      </c>
      <c r="C4208" s="3" t="n">
        <v>24</v>
      </c>
      <c r="D4208" s="3" t="inlineStr">
        <is>
          <t>Headbutt</t>
        </is>
      </c>
      <c r="E4208" s="3" t="inlineStr">
        <is>
          <t>MOVE_HEADBUTT</t>
        </is>
      </c>
    </row>
    <row r="4209">
      <c r="A4209" s="3" t="inlineStr">
        <is>
          <t>SPECIES_BASCULIN_WHITE_STRIPED</t>
        </is>
      </c>
      <c r="B4209" s="3" t="inlineStr">
        <is>
          <t>Basculin</t>
        </is>
      </c>
      <c r="C4209" s="3" t="n">
        <v>28</v>
      </c>
      <c r="D4209" s="3" t="inlineStr">
        <is>
          <t>Soak</t>
        </is>
      </c>
      <c r="E4209" s="3" t="inlineStr">
        <is>
          <t>MOVE_SOAK</t>
        </is>
      </c>
    </row>
    <row r="4210">
      <c r="A4210" s="3" t="inlineStr">
        <is>
          <t>SPECIES_BASCULIN_WHITE_STRIPED</t>
        </is>
      </c>
      <c r="B4210" s="3" t="inlineStr">
        <is>
          <t>Basculin</t>
        </is>
      </c>
      <c r="C4210" s="3" t="n">
        <v>32</v>
      </c>
      <c r="D4210" s="3" t="inlineStr">
        <is>
          <t>Crunch</t>
        </is>
      </c>
      <c r="E4210" s="3" t="inlineStr">
        <is>
          <t>MOVE_CRUNCH</t>
        </is>
      </c>
    </row>
    <row r="4211">
      <c r="A4211" s="3" t="inlineStr">
        <is>
          <t>SPECIES_BASCULIN_WHITE_STRIPED</t>
        </is>
      </c>
      <c r="B4211" s="3" t="inlineStr">
        <is>
          <t>Basculin</t>
        </is>
      </c>
      <c r="C4211" s="3" t="n">
        <v>36</v>
      </c>
      <c r="D4211" s="3" t="inlineStr">
        <is>
          <t>Take Down</t>
        </is>
      </c>
      <c r="E4211" s="3" t="inlineStr">
        <is>
          <t>MOVE_TAKE_DOWN</t>
        </is>
      </c>
    </row>
    <row r="4212">
      <c r="A4212" s="3" t="inlineStr">
        <is>
          <t>SPECIES_BASCULIN_WHITE_STRIPED</t>
        </is>
      </c>
      <c r="B4212" s="3" t="inlineStr">
        <is>
          <t>Basculin</t>
        </is>
      </c>
      <c r="C4212" s="3" t="n">
        <v>40</v>
      </c>
      <c r="D4212" s="3" t="inlineStr">
        <is>
          <t>Uproar</t>
        </is>
      </c>
      <c r="E4212" s="3" t="inlineStr">
        <is>
          <t>MOVE_UPROAR</t>
        </is>
      </c>
    </row>
    <row r="4213">
      <c r="A4213" s="3" t="inlineStr">
        <is>
          <t>SPECIES_BASCULIN_WHITE_STRIPED</t>
        </is>
      </c>
      <c r="B4213" s="3" t="inlineStr">
        <is>
          <t>Basculin</t>
        </is>
      </c>
      <c r="C4213" s="3" t="n">
        <v>44</v>
      </c>
      <c r="D4213" s="3" t="inlineStr">
        <is>
          <t>Wave Crash</t>
        </is>
      </c>
      <c r="E4213" s="3" t="inlineStr">
        <is>
          <t>MOVE_WAVE_CRASH</t>
        </is>
      </c>
    </row>
    <row r="4214">
      <c r="A4214" s="3" t="inlineStr">
        <is>
          <t>SPECIES_BASCULIN_WHITE_STRIPED</t>
        </is>
      </c>
      <c r="B4214" s="3" t="inlineStr">
        <is>
          <t>Basculin</t>
        </is>
      </c>
      <c r="C4214" s="3" t="n">
        <v>48</v>
      </c>
      <c r="D4214" s="3" t="inlineStr">
        <is>
          <t>Thrash</t>
        </is>
      </c>
      <c r="E4214" s="3" t="inlineStr">
        <is>
          <t>MOVE_THRASH</t>
        </is>
      </c>
    </row>
    <row r="4215">
      <c r="A4215" s="3" t="inlineStr">
        <is>
          <t>SPECIES_BASCULIN_WHITE_STRIPED</t>
        </is>
      </c>
      <c r="B4215" s="3" t="inlineStr">
        <is>
          <t>Basculin</t>
        </is>
      </c>
      <c r="C4215" s="3" t="n">
        <v>52</v>
      </c>
      <c r="D4215" s="3" t="inlineStr">
        <is>
          <t>Double-Edge</t>
        </is>
      </c>
      <c r="E4215" s="3" t="inlineStr">
        <is>
          <t>MOVE_DOUBLE_EDGE</t>
        </is>
      </c>
    </row>
    <row r="4216">
      <c r="A4216" s="3" t="inlineStr">
        <is>
          <t>SPECIES_BASCULIN_WHITE_STRIPED</t>
        </is>
      </c>
      <c r="B4216" s="3" t="inlineStr">
        <is>
          <t>Basculin</t>
        </is>
      </c>
      <c r="C4216" s="3" t="n">
        <v>56</v>
      </c>
      <c r="D4216" s="3" t="inlineStr">
        <is>
          <t>Head Smash</t>
        </is>
      </c>
      <c r="E4216" s="3" t="inlineStr">
        <is>
          <t>MOVE_HEAD_SMASH</t>
        </is>
      </c>
    </row>
    <row r="4217">
      <c r="A4217" s="3" t="inlineStr">
        <is>
          <t>SPECIES_BASCULEGION_M</t>
        </is>
      </c>
      <c r="B4217" s="3" t="inlineStr">
        <is>
          <t>Basculegion</t>
        </is>
      </c>
      <c r="C4217" s="3" t="n">
        <v>1</v>
      </c>
      <c r="D4217" s="3" t="inlineStr">
        <is>
          <t>Shadow Ball</t>
        </is>
      </c>
      <c r="E4217" s="3" t="inlineStr">
        <is>
          <t>MOVE_SHADOW_BALL</t>
        </is>
      </c>
    </row>
    <row r="4218">
      <c r="A4218" s="3" t="inlineStr">
        <is>
          <t>SPECIES_BASCULEGION_M</t>
        </is>
      </c>
      <c r="B4218" s="3" t="inlineStr">
        <is>
          <t>Basculegion</t>
        </is>
      </c>
      <c r="C4218" s="3" t="n">
        <v>1</v>
      </c>
      <c r="D4218" s="3" t="inlineStr">
        <is>
          <t>Tail Whip</t>
        </is>
      </c>
      <c r="E4218" s="3" t="inlineStr">
        <is>
          <t>MOVE_TAIL_WHIP</t>
        </is>
      </c>
    </row>
    <row r="4219">
      <c r="A4219" s="3" t="inlineStr">
        <is>
          <t>SPECIES_BASCULEGION_M</t>
        </is>
      </c>
      <c r="B4219" s="3" t="inlineStr">
        <is>
          <t>Basculegion</t>
        </is>
      </c>
      <c r="C4219" s="3" t="n">
        <v>1</v>
      </c>
      <c r="D4219" s="3" t="inlineStr">
        <is>
          <t>Water Gun</t>
        </is>
      </c>
      <c r="E4219" s="3" t="inlineStr">
        <is>
          <t>MOVE_WATER_GUN</t>
        </is>
      </c>
    </row>
    <row r="4220">
      <c r="A4220" s="3" t="inlineStr">
        <is>
          <t>SPECIES_BASCULEGION_M</t>
        </is>
      </c>
      <c r="B4220" s="3" t="inlineStr">
        <is>
          <t>Basculegion</t>
        </is>
      </c>
      <c r="C4220" s="3" t="n">
        <v>1</v>
      </c>
      <c r="D4220" s="3" t="inlineStr">
        <is>
          <t>Phantom Force</t>
        </is>
      </c>
      <c r="E4220" s="3" t="inlineStr">
        <is>
          <t>MOVE_PHANTOM_FORCE</t>
        </is>
      </c>
    </row>
    <row r="4221">
      <c r="A4221" s="3" t="inlineStr">
        <is>
          <t>SPECIES_BASCULEGION_M</t>
        </is>
      </c>
      <c r="B4221" s="3" t="inlineStr">
        <is>
          <t>Basculegion</t>
        </is>
      </c>
      <c r="C4221" s="3" t="n">
        <v>4</v>
      </c>
      <c r="D4221" s="3" t="inlineStr">
        <is>
          <t>Tackle</t>
        </is>
      </c>
      <c r="E4221" s="3" t="inlineStr">
        <is>
          <t>MOVE_TACKLE</t>
        </is>
      </c>
    </row>
    <row r="4222">
      <c r="A4222" s="3" t="inlineStr">
        <is>
          <t>SPECIES_BASCULEGION_M</t>
        </is>
      </c>
      <c r="B4222" s="3" t="inlineStr">
        <is>
          <t>Basculegion</t>
        </is>
      </c>
      <c r="C4222" s="3" t="n">
        <v>8</v>
      </c>
      <c r="D4222" s="3" t="inlineStr">
        <is>
          <t>Flail</t>
        </is>
      </c>
      <c r="E4222" s="3" t="inlineStr">
        <is>
          <t>MOVE_FLAIL</t>
        </is>
      </c>
    </row>
    <row r="4223">
      <c r="A4223" s="3" t="inlineStr">
        <is>
          <t>SPECIES_BASCULEGION_M</t>
        </is>
      </c>
      <c r="B4223" s="3" t="inlineStr">
        <is>
          <t>Basculegion</t>
        </is>
      </c>
      <c r="C4223" s="3" t="n">
        <v>12</v>
      </c>
      <c r="D4223" s="3" t="inlineStr">
        <is>
          <t>Aqua Jet</t>
        </is>
      </c>
      <c r="E4223" s="3" t="inlineStr">
        <is>
          <t>MOVE_AQUA_JET</t>
        </is>
      </c>
    </row>
    <row r="4224">
      <c r="A4224" s="3" t="inlineStr">
        <is>
          <t>SPECIES_BASCULEGION_M</t>
        </is>
      </c>
      <c r="B4224" s="3" t="inlineStr">
        <is>
          <t>Basculegion</t>
        </is>
      </c>
      <c r="C4224" s="3" t="n">
        <v>16</v>
      </c>
      <c r="D4224" s="3" t="inlineStr">
        <is>
          <t>Bite</t>
        </is>
      </c>
      <c r="E4224" s="3" t="inlineStr">
        <is>
          <t>MOVE_BITE</t>
        </is>
      </c>
    </row>
    <row r="4225">
      <c r="A4225" s="3" t="inlineStr">
        <is>
          <t>SPECIES_BASCULEGION_M</t>
        </is>
      </c>
      <c r="B4225" s="3" t="inlineStr">
        <is>
          <t>Basculegion</t>
        </is>
      </c>
      <c r="C4225" s="3" t="n">
        <v>20</v>
      </c>
      <c r="D4225" s="3" t="inlineStr">
        <is>
          <t>Scary Face</t>
        </is>
      </c>
      <c r="E4225" s="3" t="inlineStr">
        <is>
          <t>MOVE_SCARY_FACE</t>
        </is>
      </c>
    </row>
    <row r="4226">
      <c r="A4226" s="3" t="inlineStr">
        <is>
          <t>SPECIES_BASCULEGION_M</t>
        </is>
      </c>
      <c r="B4226" s="3" t="inlineStr">
        <is>
          <t>Basculegion</t>
        </is>
      </c>
      <c r="C4226" s="3" t="n">
        <v>24</v>
      </c>
      <c r="D4226" s="3" t="inlineStr">
        <is>
          <t>Headbutt</t>
        </is>
      </c>
      <c r="E4226" s="3" t="inlineStr">
        <is>
          <t>MOVE_HEADBUTT</t>
        </is>
      </c>
    </row>
    <row r="4227">
      <c r="A4227" s="3" t="inlineStr">
        <is>
          <t>SPECIES_BASCULEGION_M</t>
        </is>
      </c>
      <c r="B4227" s="3" t="inlineStr">
        <is>
          <t>Basculegion</t>
        </is>
      </c>
      <c r="C4227" s="3" t="n">
        <v>28</v>
      </c>
      <c r="D4227" s="3" t="inlineStr">
        <is>
          <t>Soak</t>
        </is>
      </c>
      <c r="E4227" s="3" t="inlineStr">
        <is>
          <t>MOVE_SOAK</t>
        </is>
      </c>
    </row>
    <row r="4228">
      <c r="A4228" s="3" t="inlineStr">
        <is>
          <t>SPECIES_BASCULEGION_M</t>
        </is>
      </c>
      <c r="B4228" s="3" t="inlineStr">
        <is>
          <t>Basculegion</t>
        </is>
      </c>
      <c r="C4228" s="3" t="n">
        <v>32</v>
      </c>
      <c r="D4228" s="3" t="inlineStr">
        <is>
          <t>Crunch</t>
        </is>
      </c>
      <c r="E4228" s="3" t="inlineStr">
        <is>
          <t>MOVE_CRUNCH</t>
        </is>
      </c>
    </row>
    <row r="4229">
      <c r="A4229" s="3" t="inlineStr">
        <is>
          <t>SPECIES_BASCULEGION_M</t>
        </is>
      </c>
      <c r="B4229" s="3" t="inlineStr">
        <is>
          <t>Basculegion</t>
        </is>
      </c>
      <c r="C4229" s="3" t="n">
        <v>36</v>
      </c>
      <c r="D4229" s="3" t="inlineStr">
        <is>
          <t>Take Down</t>
        </is>
      </c>
      <c r="E4229" s="3" t="inlineStr">
        <is>
          <t>MOVE_TAKE_DOWN</t>
        </is>
      </c>
    </row>
    <row r="4230">
      <c r="A4230" s="3" t="inlineStr">
        <is>
          <t>SPECIES_BASCULEGION_M</t>
        </is>
      </c>
      <c r="B4230" s="3" t="inlineStr">
        <is>
          <t>Basculegion</t>
        </is>
      </c>
      <c r="C4230" s="3" t="n">
        <v>40</v>
      </c>
      <c r="D4230" s="3" t="inlineStr">
        <is>
          <t>Uproar</t>
        </is>
      </c>
      <c r="E4230" s="3" t="inlineStr">
        <is>
          <t>MOVE_UPROAR</t>
        </is>
      </c>
    </row>
    <row r="4231">
      <c r="A4231" s="3" t="inlineStr">
        <is>
          <t>SPECIES_BASCULEGION_M</t>
        </is>
      </c>
      <c r="B4231" s="3" t="inlineStr">
        <is>
          <t>Basculegion</t>
        </is>
      </c>
      <c r="C4231" s="3" t="n">
        <v>44</v>
      </c>
      <c r="D4231" s="3" t="inlineStr">
        <is>
          <t>Wave Crash</t>
        </is>
      </c>
      <c r="E4231" s="3" t="inlineStr">
        <is>
          <t>MOVE_WAVE_CRASH</t>
        </is>
      </c>
    </row>
    <row r="4232">
      <c r="A4232" s="3" t="inlineStr">
        <is>
          <t>SPECIES_BASCULEGION_M</t>
        </is>
      </c>
      <c r="B4232" s="3" t="inlineStr">
        <is>
          <t>Basculegion</t>
        </is>
      </c>
      <c r="C4232" s="3" t="n">
        <v>48</v>
      </c>
      <c r="D4232" s="3" t="inlineStr">
        <is>
          <t>Thrash</t>
        </is>
      </c>
      <c r="E4232" s="3" t="inlineStr">
        <is>
          <t>MOVE_THRASH</t>
        </is>
      </c>
    </row>
    <row r="4233">
      <c r="A4233" s="3" t="inlineStr">
        <is>
          <t>SPECIES_BASCULEGION_M</t>
        </is>
      </c>
      <c r="B4233" s="3" t="inlineStr">
        <is>
          <t>Basculegion</t>
        </is>
      </c>
      <c r="C4233" s="3" t="n">
        <v>52</v>
      </c>
      <c r="D4233" s="3" t="inlineStr">
        <is>
          <t>Double-Edge</t>
        </is>
      </c>
      <c r="E4233" s="3" t="inlineStr">
        <is>
          <t>MOVE_DOUBLE_EDGE</t>
        </is>
      </c>
    </row>
    <row r="4234">
      <c r="A4234" s="3" t="inlineStr">
        <is>
          <t>SPECIES_BASCULEGION_M</t>
        </is>
      </c>
      <c r="B4234" s="3" t="inlineStr">
        <is>
          <t>Basculegion</t>
        </is>
      </c>
      <c r="C4234" s="3" t="n">
        <v>56</v>
      </c>
      <c r="D4234" s="3" t="inlineStr">
        <is>
          <t>Head Smash</t>
        </is>
      </c>
      <c r="E4234" s="3" t="inlineStr">
        <is>
          <t>MOVE_HEAD_SMASH</t>
        </is>
      </c>
    </row>
    <row r="4235">
      <c r="A4235" s="3" t="inlineStr">
        <is>
          <t>SPECIES_NYMBLE</t>
        </is>
      </c>
      <c r="B4235" s="3" t="inlineStr">
        <is>
          <t>Nymble</t>
        </is>
      </c>
      <c r="C4235" s="3" t="n">
        <v>1</v>
      </c>
      <c r="D4235" s="3" t="inlineStr">
        <is>
          <t>Tackle</t>
        </is>
      </c>
      <c r="E4235" s="3" t="inlineStr">
        <is>
          <t>MOVE_TACKLE</t>
        </is>
      </c>
    </row>
    <row r="4236">
      <c r="A4236" s="3" t="inlineStr">
        <is>
          <t>SPECIES_NYMBLE</t>
        </is>
      </c>
      <c r="B4236" s="3" t="inlineStr">
        <is>
          <t>Nymble</t>
        </is>
      </c>
      <c r="C4236" s="3" t="n">
        <v>1</v>
      </c>
      <c r="D4236" s="3" t="inlineStr">
        <is>
          <t>Leer</t>
        </is>
      </c>
      <c r="E4236" s="3" t="inlineStr">
        <is>
          <t>MOVE_LEER</t>
        </is>
      </c>
    </row>
    <row r="4237">
      <c r="A4237" s="3" t="inlineStr">
        <is>
          <t>SPECIES_NYMBLE</t>
        </is>
      </c>
      <c r="B4237" s="3" t="inlineStr">
        <is>
          <t>Nymble</t>
        </is>
      </c>
      <c r="C4237" s="3" t="n">
        <v>4</v>
      </c>
      <c r="D4237" s="3" t="inlineStr">
        <is>
          <t>Struggle Bug</t>
        </is>
      </c>
      <c r="E4237" s="3" t="inlineStr">
        <is>
          <t>MOVE_STRUGGLE_BUG</t>
        </is>
      </c>
    </row>
    <row r="4238">
      <c r="A4238" s="3" t="inlineStr">
        <is>
          <t>SPECIES_NYMBLE</t>
        </is>
      </c>
      <c r="B4238" s="3" t="inlineStr">
        <is>
          <t>Nymble</t>
        </is>
      </c>
      <c r="C4238" s="3" t="n">
        <v>6</v>
      </c>
      <c r="D4238" s="3" t="inlineStr">
        <is>
          <t>Astonish</t>
        </is>
      </c>
      <c r="E4238" s="3" t="inlineStr">
        <is>
          <t>MOVE_ASTONISH</t>
        </is>
      </c>
    </row>
    <row r="4239">
      <c r="A4239" s="3" t="inlineStr">
        <is>
          <t>SPECIES_NYMBLE</t>
        </is>
      </c>
      <c r="B4239" s="3" t="inlineStr">
        <is>
          <t>Nymble</t>
        </is>
      </c>
      <c r="C4239" s="3" t="n">
        <v>9</v>
      </c>
      <c r="D4239" s="3" t="inlineStr">
        <is>
          <t>Assurance</t>
        </is>
      </c>
      <c r="E4239" s="3" t="inlineStr">
        <is>
          <t>MOVE_ASSURANCE</t>
        </is>
      </c>
    </row>
    <row r="4240">
      <c r="A4240" s="3" t="inlineStr">
        <is>
          <t>SPECIES_NYMBLE</t>
        </is>
      </c>
      <c r="B4240" s="3" t="inlineStr">
        <is>
          <t>Nymble</t>
        </is>
      </c>
      <c r="C4240" s="3" t="n">
        <v>11</v>
      </c>
      <c r="D4240" s="3" t="inlineStr">
        <is>
          <t>Double Kick</t>
        </is>
      </c>
      <c r="E4240" s="3" t="inlineStr">
        <is>
          <t>MOVE_DOUBLE_KICK</t>
        </is>
      </c>
    </row>
    <row r="4241">
      <c r="A4241" s="3" t="inlineStr">
        <is>
          <t>SPECIES_NYMBLE</t>
        </is>
      </c>
      <c r="B4241" s="3" t="inlineStr">
        <is>
          <t>Nymble</t>
        </is>
      </c>
      <c r="C4241" s="3" t="n">
        <v>14</v>
      </c>
      <c r="D4241" s="3" t="inlineStr">
        <is>
          <t>Screech</t>
        </is>
      </c>
      <c r="E4241" s="3" t="inlineStr">
        <is>
          <t>MOVE_SCREECH</t>
        </is>
      </c>
    </row>
    <row r="4242">
      <c r="A4242" s="3" t="inlineStr">
        <is>
          <t>SPECIES_NYMBLE</t>
        </is>
      </c>
      <c r="B4242" s="3" t="inlineStr">
        <is>
          <t>Nymble</t>
        </is>
      </c>
      <c r="C4242" s="3" t="n">
        <v>18</v>
      </c>
      <c r="D4242" s="3" t="inlineStr">
        <is>
          <t>Endure</t>
        </is>
      </c>
      <c r="E4242" s="3" t="inlineStr">
        <is>
          <t>MOVE_ENDURE</t>
        </is>
      </c>
    </row>
    <row r="4243">
      <c r="A4243" s="3" t="inlineStr">
        <is>
          <t>SPECIES_NYMBLE</t>
        </is>
      </c>
      <c r="B4243" s="3" t="inlineStr">
        <is>
          <t>Nymble</t>
        </is>
      </c>
      <c r="C4243" s="3" t="n">
        <v>22</v>
      </c>
      <c r="D4243" s="3" t="inlineStr">
        <is>
          <t>Bug Bite</t>
        </is>
      </c>
      <c r="E4243" s="3" t="inlineStr">
        <is>
          <t>MOVE_BUG_BITE</t>
        </is>
      </c>
    </row>
    <row r="4244">
      <c r="A4244" s="3" t="inlineStr">
        <is>
          <t>SPECIES_NYMBLE</t>
        </is>
      </c>
      <c r="B4244" s="3" t="inlineStr">
        <is>
          <t>Nymble</t>
        </is>
      </c>
      <c r="C4244" s="3" t="n">
        <v>26</v>
      </c>
      <c r="D4244" s="3" t="inlineStr">
        <is>
          <t>Feint</t>
        </is>
      </c>
      <c r="E4244" s="3" t="inlineStr">
        <is>
          <t>MOVE_FEINT</t>
        </is>
      </c>
    </row>
    <row r="4245">
      <c r="A4245" s="3" t="inlineStr">
        <is>
          <t>SPECIES_NYMBLE</t>
        </is>
      </c>
      <c r="B4245" s="3" t="inlineStr">
        <is>
          <t>Nymble</t>
        </is>
      </c>
      <c r="C4245" s="3" t="n">
        <v>30</v>
      </c>
      <c r="D4245" s="3" t="inlineStr">
        <is>
          <t>Agility</t>
        </is>
      </c>
      <c r="E4245" s="3" t="inlineStr">
        <is>
          <t>MOVE_AGILITY</t>
        </is>
      </c>
    </row>
    <row r="4246">
      <c r="A4246" s="3" t="inlineStr">
        <is>
          <t>SPECIES_NYMBLE</t>
        </is>
      </c>
      <c r="B4246" s="3" t="inlineStr">
        <is>
          <t>Nymble</t>
        </is>
      </c>
      <c r="C4246" s="3" t="n">
        <v>38</v>
      </c>
      <c r="D4246" s="3" t="inlineStr">
        <is>
          <t>Sucker Punch</t>
        </is>
      </c>
      <c r="E4246" s="3" t="inlineStr">
        <is>
          <t>MOVE_SUCKER_PUNCH</t>
        </is>
      </c>
    </row>
    <row r="4247">
      <c r="A4247" s="3" t="inlineStr">
        <is>
          <t>SPECIES_NYMBLE</t>
        </is>
      </c>
      <c r="B4247" s="3" t="inlineStr">
        <is>
          <t>Nymble</t>
        </is>
      </c>
      <c r="C4247" s="3" t="n">
        <v>41</v>
      </c>
      <c r="D4247" s="3" t="inlineStr">
        <is>
          <t>First Impression</t>
        </is>
      </c>
      <c r="E4247" s="3" t="inlineStr">
        <is>
          <t>MOVE_FIRST_IMPRESSION</t>
        </is>
      </c>
    </row>
    <row r="4248">
      <c r="A4248" s="3" t="inlineStr">
        <is>
          <t>SPECIES_LOKIX</t>
        </is>
      </c>
      <c r="B4248" s="3" t="inlineStr">
        <is>
          <t>Lokix</t>
        </is>
      </c>
      <c r="C4248" s="3" t="n">
        <v>0</v>
      </c>
      <c r="D4248" s="3" t="inlineStr">
        <is>
          <t>Lunge</t>
        </is>
      </c>
      <c r="E4248" s="3" t="inlineStr">
        <is>
          <t>MOVE_LUNGE</t>
        </is>
      </c>
    </row>
    <row r="4249">
      <c r="A4249" s="3" t="inlineStr">
        <is>
          <t>SPECIES_LOKIX</t>
        </is>
      </c>
      <c r="B4249" s="3" t="inlineStr">
        <is>
          <t>Lokix</t>
        </is>
      </c>
      <c r="C4249" s="3" t="n">
        <v>1</v>
      </c>
      <c r="D4249" s="3" t="inlineStr">
        <is>
          <t>Tackle</t>
        </is>
      </c>
      <c r="E4249" s="3" t="inlineStr">
        <is>
          <t>MOVE_TACKLE</t>
        </is>
      </c>
    </row>
    <row r="4250">
      <c r="A4250" s="3" t="inlineStr">
        <is>
          <t>SPECIES_LOKIX</t>
        </is>
      </c>
      <c r="B4250" s="3" t="inlineStr">
        <is>
          <t>Lokix</t>
        </is>
      </c>
      <c r="C4250" s="3" t="n">
        <v>1</v>
      </c>
      <c r="D4250" s="3" t="inlineStr">
        <is>
          <t>Leer</t>
        </is>
      </c>
      <c r="E4250" s="3" t="inlineStr">
        <is>
          <t>MOVE_LEER</t>
        </is>
      </c>
    </row>
    <row r="4251">
      <c r="A4251" s="3" t="inlineStr">
        <is>
          <t>SPECIES_LOKIX</t>
        </is>
      </c>
      <c r="B4251" s="3" t="inlineStr">
        <is>
          <t>Lokix</t>
        </is>
      </c>
      <c r="C4251" s="3" t="n">
        <v>1</v>
      </c>
      <c r="D4251" s="3" t="inlineStr">
        <is>
          <t>Low Kick</t>
        </is>
      </c>
      <c r="E4251" s="3" t="inlineStr">
        <is>
          <t>MOVE_LOW_KICK</t>
        </is>
      </c>
    </row>
    <row r="4252">
      <c r="A4252" s="3" t="inlineStr">
        <is>
          <t>SPECIES_LOKIX</t>
        </is>
      </c>
      <c r="B4252" s="3" t="inlineStr">
        <is>
          <t>Lokix</t>
        </is>
      </c>
      <c r="C4252" s="3" t="n">
        <v>1</v>
      </c>
      <c r="D4252" s="3" t="inlineStr">
        <is>
          <t>Detect</t>
        </is>
      </c>
      <c r="E4252" s="3" t="inlineStr">
        <is>
          <t>MOVE_DETECT</t>
        </is>
      </c>
    </row>
    <row r="4253">
      <c r="A4253" s="3" t="inlineStr">
        <is>
          <t>SPECIES_LOKIX</t>
        </is>
      </c>
      <c r="B4253" s="3" t="inlineStr">
        <is>
          <t>Lokix</t>
        </is>
      </c>
      <c r="C4253" s="3" t="n">
        <v>4</v>
      </c>
      <c r="D4253" s="3" t="inlineStr">
        <is>
          <t>Struggle Bug</t>
        </is>
      </c>
      <c r="E4253" s="3" t="inlineStr">
        <is>
          <t>MOVE_STRUGGLE_BUG</t>
        </is>
      </c>
    </row>
    <row r="4254">
      <c r="A4254" s="3" t="inlineStr">
        <is>
          <t>SPECIES_LOKIX</t>
        </is>
      </c>
      <c r="B4254" s="3" t="inlineStr">
        <is>
          <t>Lokix</t>
        </is>
      </c>
      <c r="C4254" s="3" t="n">
        <v>6</v>
      </c>
      <c r="D4254" s="3" t="inlineStr">
        <is>
          <t>Astonish</t>
        </is>
      </c>
      <c r="E4254" s="3" t="inlineStr">
        <is>
          <t>MOVE_ASTONISH</t>
        </is>
      </c>
    </row>
    <row r="4255">
      <c r="A4255" s="3" t="inlineStr">
        <is>
          <t>SPECIES_LOKIX</t>
        </is>
      </c>
      <c r="B4255" s="3" t="inlineStr">
        <is>
          <t>Lokix</t>
        </is>
      </c>
      <c r="C4255" s="3" t="n">
        <v>9</v>
      </c>
      <c r="D4255" s="3" t="inlineStr">
        <is>
          <t>Assurance</t>
        </is>
      </c>
      <c r="E4255" s="3" t="inlineStr">
        <is>
          <t>MOVE_ASSURANCE</t>
        </is>
      </c>
    </row>
    <row r="4256">
      <c r="A4256" s="3" t="inlineStr">
        <is>
          <t>SPECIES_LOKIX</t>
        </is>
      </c>
      <c r="B4256" s="3" t="inlineStr">
        <is>
          <t>Lokix</t>
        </is>
      </c>
      <c r="C4256" s="3" t="n">
        <v>11</v>
      </c>
      <c r="D4256" s="3" t="inlineStr">
        <is>
          <t>Double Kick</t>
        </is>
      </c>
      <c r="E4256" s="3" t="inlineStr">
        <is>
          <t>MOVE_DOUBLE_KICK</t>
        </is>
      </c>
    </row>
    <row r="4257">
      <c r="A4257" s="3" t="inlineStr">
        <is>
          <t>SPECIES_LOKIX</t>
        </is>
      </c>
      <c r="B4257" s="3" t="inlineStr">
        <is>
          <t>Lokix</t>
        </is>
      </c>
      <c r="C4257" s="3" t="n">
        <v>14</v>
      </c>
      <c r="D4257" s="3" t="inlineStr">
        <is>
          <t>Screech</t>
        </is>
      </c>
      <c r="E4257" s="3" t="inlineStr">
        <is>
          <t>MOVE_SCREECH</t>
        </is>
      </c>
    </row>
    <row r="4258">
      <c r="A4258" s="3" t="inlineStr">
        <is>
          <t>SPECIES_LOKIX</t>
        </is>
      </c>
      <c r="B4258" s="3" t="inlineStr">
        <is>
          <t>Lokix</t>
        </is>
      </c>
      <c r="C4258" s="3" t="n">
        <v>18</v>
      </c>
      <c r="D4258" s="3" t="inlineStr">
        <is>
          <t>Endure</t>
        </is>
      </c>
      <c r="E4258" s="3" t="inlineStr">
        <is>
          <t>MOVE_ENDURE</t>
        </is>
      </c>
    </row>
    <row r="4259">
      <c r="A4259" s="3" t="inlineStr">
        <is>
          <t>SPECIES_LOKIX</t>
        </is>
      </c>
      <c r="B4259" s="3" t="inlineStr">
        <is>
          <t>Lokix</t>
        </is>
      </c>
      <c r="C4259" s="3" t="n">
        <v>22</v>
      </c>
      <c r="D4259" s="3" t="inlineStr">
        <is>
          <t>Bug Bite</t>
        </is>
      </c>
      <c r="E4259" s="3" t="inlineStr">
        <is>
          <t>MOVE_BUG_BITE</t>
        </is>
      </c>
    </row>
    <row r="4260">
      <c r="A4260" s="3" t="inlineStr">
        <is>
          <t>SPECIES_LOKIX</t>
        </is>
      </c>
      <c r="B4260" s="3" t="inlineStr">
        <is>
          <t>Lokix</t>
        </is>
      </c>
      <c r="C4260" s="3" t="n">
        <v>28</v>
      </c>
      <c r="D4260" s="3" t="inlineStr">
        <is>
          <t>Feint</t>
        </is>
      </c>
      <c r="E4260" s="3" t="inlineStr">
        <is>
          <t>MOVE_FEINT</t>
        </is>
      </c>
    </row>
    <row r="4261">
      <c r="A4261" s="3" t="inlineStr">
        <is>
          <t>SPECIES_LOKIX</t>
        </is>
      </c>
      <c r="B4261" s="3" t="inlineStr">
        <is>
          <t>Lokix</t>
        </is>
      </c>
      <c r="C4261" s="3" t="n">
        <v>32</v>
      </c>
      <c r="D4261" s="3" t="inlineStr">
        <is>
          <t>Agility</t>
        </is>
      </c>
      <c r="E4261" s="3" t="inlineStr">
        <is>
          <t>MOVE_AGILITY</t>
        </is>
      </c>
    </row>
    <row r="4262">
      <c r="A4262" s="3" t="inlineStr">
        <is>
          <t>SPECIES_LOKIX</t>
        </is>
      </c>
      <c r="B4262" s="3" t="inlineStr">
        <is>
          <t>Lokix</t>
        </is>
      </c>
      <c r="C4262" s="3" t="n">
        <v>36</v>
      </c>
      <c r="D4262" s="3" t="inlineStr">
        <is>
          <t>Throat Chop</t>
        </is>
      </c>
      <c r="E4262" s="3" t="inlineStr">
        <is>
          <t>MOVE_THROAT_CHOP</t>
        </is>
      </c>
    </row>
    <row r="4263">
      <c r="A4263" s="3" t="inlineStr">
        <is>
          <t>SPECIES_LOKIX</t>
        </is>
      </c>
      <c r="B4263" s="3" t="inlineStr">
        <is>
          <t>Lokix</t>
        </is>
      </c>
      <c r="C4263" s="3" t="n">
        <v>40</v>
      </c>
      <c r="D4263" s="3" t="inlineStr">
        <is>
          <t>Sucker Punch</t>
        </is>
      </c>
      <c r="E4263" s="3" t="inlineStr">
        <is>
          <t>MOVE_SUCKER_PUNCH</t>
        </is>
      </c>
    </row>
    <row r="4264">
      <c r="A4264" s="3" t="inlineStr">
        <is>
          <t>SPECIES_LOKIX</t>
        </is>
      </c>
      <c r="B4264" s="3" t="inlineStr">
        <is>
          <t>Lokix</t>
        </is>
      </c>
      <c r="C4264" s="3" t="n">
        <v>44</v>
      </c>
      <c r="D4264" s="3" t="inlineStr">
        <is>
          <t>First Impression</t>
        </is>
      </c>
      <c r="E4264" s="3" t="inlineStr">
        <is>
          <t>MOVE_FIRST_IMPRESSION</t>
        </is>
      </c>
    </row>
    <row r="4265">
      <c r="A4265" s="3" t="inlineStr">
        <is>
          <t>SPECIES_LOKIX</t>
        </is>
      </c>
      <c r="B4265" s="3" t="inlineStr">
        <is>
          <t>Lokix</t>
        </is>
      </c>
      <c r="C4265" s="3" t="n">
        <v>48</v>
      </c>
      <c r="D4265" s="3" t="inlineStr">
        <is>
          <t>Bounce</t>
        </is>
      </c>
      <c r="E4265" s="3" t="inlineStr">
        <is>
          <t>MOVE_BOUNCE</t>
        </is>
      </c>
    </row>
    <row r="4266">
      <c r="A4266" s="3" t="inlineStr">
        <is>
          <t>SPECIES_LOKIX</t>
        </is>
      </c>
      <c r="B4266" s="3" t="inlineStr">
        <is>
          <t>Lokix</t>
        </is>
      </c>
      <c r="C4266" s="3" t="n">
        <v>53</v>
      </c>
      <c r="D4266" s="3" t="inlineStr">
        <is>
          <t>Axe Kick</t>
        </is>
      </c>
      <c r="E4266" s="3" t="inlineStr">
        <is>
          <t>MOVE_AXE_KICK</t>
        </is>
      </c>
    </row>
    <row r="4267">
      <c r="A4267" s="3" t="inlineStr">
        <is>
          <t>SPECIES_TANDEMAUS</t>
        </is>
      </c>
      <c r="B4267" s="3" t="inlineStr">
        <is>
          <t>Tandemaus</t>
        </is>
      </c>
      <c r="C4267" s="3" t="n">
        <v>1</v>
      </c>
      <c r="D4267" s="3" t="inlineStr">
        <is>
          <t>Pound</t>
        </is>
      </c>
      <c r="E4267" s="3" t="inlineStr">
        <is>
          <t>MOVE_POUND</t>
        </is>
      </c>
    </row>
    <row r="4268">
      <c r="A4268" s="3" t="inlineStr">
        <is>
          <t>SPECIES_TANDEMAUS</t>
        </is>
      </c>
      <c r="B4268" s="3" t="inlineStr">
        <is>
          <t>Tandemaus</t>
        </is>
      </c>
      <c r="C4268" s="3" t="n">
        <v>1</v>
      </c>
      <c r="D4268" s="3" t="inlineStr">
        <is>
          <t>Doll Eyes</t>
        </is>
      </c>
      <c r="E4268" s="3" t="inlineStr">
        <is>
          <t>MOVE_BABY_DOLL_EYES</t>
        </is>
      </c>
    </row>
    <row r="4269">
      <c r="A4269" s="3" t="inlineStr">
        <is>
          <t>SPECIES_TANDEMAUS</t>
        </is>
      </c>
      <c r="B4269" s="3" t="inlineStr">
        <is>
          <t>Tandemaus</t>
        </is>
      </c>
      <c r="C4269" s="3" t="n">
        <v>5</v>
      </c>
      <c r="D4269" s="3" t="inlineStr">
        <is>
          <t>Echoed Voice</t>
        </is>
      </c>
      <c r="E4269" s="3" t="inlineStr">
        <is>
          <t>MOVE_ECHOED_VOICE</t>
        </is>
      </c>
    </row>
    <row r="4270">
      <c r="A4270" s="3" t="inlineStr">
        <is>
          <t>SPECIES_TANDEMAUS</t>
        </is>
      </c>
      <c r="B4270" s="3" t="inlineStr">
        <is>
          <t>Tandemaus</t>
        </is>
      </c>
      <c r="C4270" s="3" t="n">
        <v>8</v>
      </c>
      <c r="D4270" s="3" t="inlineStr">
        <is>
          <t>Helping Hand</t>
        </is>
      </c>
      <c r="E4270" s="3" t="inlineStr">
        <is>
          <t>MOVE_HELPING_HAND</t>
        </is>
      </c>
    </row>
    <row r="4271">
      <c r="A4271" s="3" t="inlineStr">
        <is>
          <t>SPECIES_TANDEMAUS</t>
        </is>
      </c>
      <c r="B4271" s="3" t="inlineStr">
        <is>
          <t>Tandemaus</t>
        </is>
      </c>
      <c r="C4271" s="3" t="n">
        <v>11</v>
      </c>
      <c r="D4271" s="3" t="inlineStr">
        <is>
          <t>Super Fang</t>
        </is>
      </c>
      <c r="E4271" s="3" t="inlineStr">
        <is>
          <t>MOVE_SUPER_FANG</t>
        </is>
      </c>
    </row>
    <row r="4272">
      <c r="A4272" s="3" t="inlineStr">
        <is>
          <t>SPECIES_TANDEMAUS</t>
        </is>
      </c>
      <c r="B4272" s="3" t="inlineStr">
        <is>
          <t>Tandemaus</t>
        </is>
      </c>
      <c r="C4272" s="3" t="n">
        <v>14</v>
      </c>
      <c r="D4272" s="3" t="inlineStr">
        <is>
          <t>Double Hit</t>
        </is>
      </c>
      <c r="E4272" s="3" t="inlineStr">
        <is>
          <t>MOVE_DOUBLE_HIT</t>
        </is>
      </c>
    </row>
    <row r="4273">
      <c r="A4273" s="3" t="inlineStr">
        <is>
          <t>SPECIES_TANDEMAUS</t>
        </is>
      </c>
      <c r="B4273" s="3" t="inlineStr">
        <is>
          <t>Tandemaus</t>
        </is>
      </c>
      <c r="C4273" s="3" t="n">
        <v>18</v>
      </c>
      <c r="D4273" s="3" t="inlineStr">
        <is>
          <t>Bullet Seed</t>
        </is>
      </c>
      <c r="E4273" s="3" t="inlineStr">
        <is>
          <t>MOVE_BULLET_SEED</t>
        </is>
      </c>
    </row>
    <row r="4274">
      <c r="A4274" s="3" t="inlineStr">
        <is>
          <t>SPECIES_TANDEMAUS</t>
        </is>
      </c>
      <c r="B4274" s="3" t="inlineStr">
        <is>
          <t>Tandemaus</t>
        </is>
      </c>
      <c r="C4274" s="3" t="n">
        <v>22</v>
      </c>
      <c r="D4274" s="3" t="inlineStr">
        <is>
          <t>Encore</t>
        </is>
      </c>
      <c r="E4274" s="3" t="inlineStr">
        <is>
          <t>MOVE_ENCORE</t>
        </is>
      </c>
    </row>
    <row r="4275">
      <c r="A4275" s="3" t="inlineStr">
        <is>
          <t>SPECIES_TANDEMAUS</t>
        </is>
      </c>
      <c r="B4275" s="3" t="inlineStr">
        <is>
          <t>Tandemaus</t>
        </is>
      </c>
      <c r="C4275" s="3" t="n">
        <v>26</v>
      </c>
      <c r="D4275" s="3" t="inlineStr">
        <is>
          <t>Play Rough</t>
        </is>
      </c>
      <c r="E4275" s="3" t="inlineStr">
        <is>
          <t>MOVE_PLAY_ROUGH</t>
        </is>
      </c>
    </row>
    <row r="4276">
      <c r="A4276" s="3" t="inlineStr">
        <is>
          <t>SPECIES_TANDEMAUS</t>
        </is>
      </c>
      <c r="B4276" s="3" t="inlineStr">
        <is>
          <t>Tandemaus</t>
        </is>
      </c>
      <c r="C4276" s="3" t="n">
        <v>30</v>
      </c>
      <c r="D4276" s="3" t="inlineStr">
        <is>
          <t>Hyper Voice</t>
        </is>
      </c>
      <c r="E4276" s="3" t="inlineStr">
        <is>
          <t>MOVE_HYPER_VOICE</t>
        </is>
      </c>
    </row>
    <row r="4277">
      <c r="A4277" s="3" t="inlineStr">
        <is>
          <t>SPECIES_TANDEMAUS</t>
        </is>
      </c>
      <c r="B4277" s="3" t="inlineStr">
        <is>
          <t>Tandemaus</t>
        </is>
      </c>
      <c r="C4277" s="3" t="n">
        <v>33</v>
      </c>
      <c r="D4277" s="3" t="inlineStr">
        <is>
          <t>Charm</t>
        </is>
      </c>
      <c r="E4277" s="3" t="inlineStr">
        <is>
          <t>MOVE_CHARM</t>
        </is>
      </c>
    </row>
    <row r="4278">
      <c r="A4278" s="3" t="inlineStr">
        <is>
          <t>SPECIES_TANDEMAUS</t>
        </is>
      </c>
      <c r="B4278" s="3" t="inlineStr">
        <is>
          <t>Tandemaus</t>
        </is>
      </c>
      <c r="C4278" s="3" t="n">
        <v>37</v>
      </c>
      <c r="D4278" s="3" t="inlineStr">
        <is>
          <t>Beat Up</t>
        </is>
      </c>
      <c r="E4278" s="3" t="inlineStr">
        <is>
          <t>MOVE_BEAT_UP</t>
        </is>
      </c>
    </row>
    <row r="4279">
      <c r="A4279" s="3" t="inlineStr">
        <is>
          <t>SPECIES_TANDEMAUS</t>
        </is>
      </c>
      <c r="B4279" s="3" t="inlineStr">
        <is>
          <t>Tandemaus</t>
        </is>
      </c>
      <c r="C4279" s="3" t="n">
        <v>41</v>
      </c>
      <c r="D4279" s="3" t="inlineStr">
        <is>
          <t>Copycat</t>
        </is>
      </c>
      <c r="E4279" s="3" t="inlineStr">
        <is>
          <t>MOVE_COPYCAT</t>
        </is>
      </c>
    </row>
    <row r="4280">
      <c r="A4280" s="3" t="inlineStr">
        <is>
          <t>SPECIES_TANDEMAUS</t>
        </is>
      </c>
      <c r="B4280" s="3" t="inlineStr">
        <is>
          <t>Tandemaus</t>
        </is>
      </c>
      <c r="C4280" s="3" t="n">
        <v>46</v>
      </c>
      <c r="D4280" s="3" t="inlineStr">
        <is>
          <t>Population Bomb</t>
        </is>
      </c>
      <c r="E4280" s="3" t="inlineStr">
        <is>
          <t>MOVE_POPULATION_BOMB</t>
        </is>
      </c>
    </row>
    <row r="4281">
      <c r="A4281" s="3" t="inlineStr">
        <is>
          <t>SPECIES_MAUSHOLD_FOUR</t>
        </is>
      </c>
      <c r="B4281" s="3" t="inlineStr">
        <is>
          <t>Maushold</t>
        </is>
      </c>
      <c r="C4281" s="3" t="n">
        <v>1</v>
      </c>
      <c r="D4281" s="3" t="inlineStr">
        <is>
          <t>Pound</t>
        </is>
      </c>
      <c r="E4281" s="3" t="inlineStr">
        <is>
          <t>MOVE_POUND</t>
        </is>
      </c>
    </row>
    <row r="4282">
      <c r="A4282" s="3" t="inlineStr">
        <is>
          <t>SPECIES_MAUSHOLD_FOUR</t>
        </is>
      </c>
      <c r="B4282" s="3" t="inlineStr">
        <is>
          <t>Maushold</t>
        </is>
      </c>
      <c r="C4282" s="3" t="n">
        <v>1</v>
      </c>
      <c r="D4282" s="3" t="inlineStr">
        <is>
          <t>Follow Me</t>
        </is>
      </c>
      <c r="E4282" s="3" t="inlineStr">
        <is>
          <t>MOVE_FOLLOW_ME</t>
        </is>
      </c>
    </row>
    <row r="4283">
      <c r="A4283" s="3" t="inlineStr">
        <is>
          <t>SPECIES_MAUSHOLD_FOUR</t>
        </is>
      </c>
      <c r="B4283" s="3" t="inlineStr">
        <is>
          <t>Maushold</t>
        </is>
      </c>
      <c r="C4283" s="3" t="n">
        <v>1</v>
      </c>
      <c r="D4283" s="3" t="inlineStr">
        <is>
          <t>Doll Eyes</t>
        </is>
      </c>
      <c r="E4283" s="3" t="inlineStr">
        <is>
          <t>MOVE_BABY_DOLL_EYES</t>
        </is>
      </c>
    </row>
    <row r="4284">
      <c r="A4284" s="3" t="inlineStr">
        <is>
          <t>SPECIES_MAUSHOLD_FOUR</t>
        </is>
      </c>
      <c r="B4284" s="3" t="inlineStr">
        <is>
          <t>Maushold</t>
        </is>
      </c>
      <c r="C4284" s="3" t="n">
        <v>1</v>
      </c>
      <c r="D4284" s="3" t="inlineStr">
        <is>
          <t>Tidy Up</t>
        </is>
      </c>
      <c r="E4284" s="3" t="inlineStr">
        <is>
          <t>MOVE_TIDY_UP</t>
        </is>
      </c>
    </row>
    <row r="4285">
      <c r="A4285" s="3" t="inlineStr">
        <is>
          <t>SPECIES_MAUSHOLD_FOUR</t>
        </is>
      </c>
      <c r="B4285" s="3" t="inlineStr">
        <is>
          <t>Maushold</t>
        </is>
      </c>
      <c r="C4285" s="3" t="n">
        <v>5</v>
      </c>
      <c r="D4285" s="3" t="inlineStr">
        <is>
          <t>Echoed Voice</t>
        </is>
      </c>
      <c r="E4285" s="3" t="inlineStr">
        <is>
          <t>MOVE_ECHOED_VOICE</t>
        </is>
      </c>
    </row>
    <row r="4286">
      <c r="A4286" s="3" t="inlineStr">
        <is>
          <t>SPECIES_MAUSHOLD_FOUR</t>
        </is>
      </c>
      <c r="B4286" s="3" t="inlineStr">
        <is>
          <t>Maushold</t>
        </is>
      </c>
      <c r="C4286" s="3" t="n">
        <v>8</v>
      </c>
      <c r="D4286" s="3" t="inlineStr">
        <is>
          <t>Helping Hand</t>
        </is>
      </c>
      <c r="E4286" s="3" t="inlineStr">
        <is>
          <t>MOVE_HELPING_HAND</t>
        </is>
      </c>
    </row>
    <row r="4287">
      <c r="A4287" s="3" t="inlineStr">
        <is>
          <t>SPECIES_MAUSHOLD_FOUR</t>
        </is>
      </c>
      <c r="B4287" s="3" t="inlineStr">
        <is>
          <t>Maushold</t>
        </is>
      </c>
      <c r="C4287" s="3" t="n">
        <v>11</v>
      </c>
      <c r="D4287" s="3" t="inlineStr">
        <is>
          <t>Super Fang</t>
        </is>
      </c>
      <c r="E4287" s="3" t="inlineStr">
        <is>
          <t>MOVE_SUPER_FANG</t>
        </is>
      </c>
    </row>
    <row r="4288">
      <c r="A4288" s="3" t="inlineStr">
        <is>
          <t>SPECIES_MAUSHOLD_FOUR</t>
        </is>
      </c>
      <c r="B4288" s="3" t="inlineStr">
        <is>
          <t>Maushold</t>
        </is>
      </c>
      <c r="C4288" s="3" t="n">
        <v>14</v>
      </c>
      <c r="D4288" s="3" t="inlineStr">
        <is>
          <t>Double Hit</t>
        </is>
      </c>
      <c r="E4288" s="3" t="inlineStr">
        <is>
          <t>MOVE_DOUBLE_HIT</t>
        </is>
      </c>
    </row>
    <row r="4289">
      <c r="A4289" s="3" t="inlineStr">
        <is>
          <t>SPECIES_MAUSHOLD_FOUR</t>
        </is>
      </c>
      <c r="B4289" s="3" t="inlineStr">
        <is>
          <t>Maushold</t>
        </is>
      </c>
      <c r="C4289" s="3" t="n">
        <v>18</v>
      </c>
      <c r="D4289" s="3" t="inlineStr">
        <is>
          <t>Bullet Seed</t>
        </is>
      </c>
      <c r="E4289" s="3" t="inlineStr">
        <is>
          <t>MOVE_BULLET_SEED</t>
        </is>
      </c>
    </row>
    <row r="4290">
      <c r="A4290" s="3" t="inlineStr">
        <is>
          <t>SPECIES_MAUSHOLD_FOUR</t>
        </is>
      </c>
      <c r="B4290" s="3" t="inlineStr">
        <is>
          <t>Maushold</t>
        </is>
      </c>
      <c r="C4290" s="3" t="n">
        <v>22</v>
      </c>
      <c r="D4290" s="3" t="inlineStr">
        <is>
          <t>Encore</t>
        </is>
      </c>
      <c r="E4290" s="3" t="inlineStr">
        <is>
          <t>MOVE_ENCORE</t>
        </is>
      </c>
    </row>
    <row r="4291">
      <c r="A4291" s="3" t="inlineStr">
        <is>
          <t>SPECIES_MAUSHOLD_FOUR</t>
        </is>
      </c>
      <c r="B4291" s="3" t="inlineStr">
        <is>
          <t>Maushold</t>
        </is>
      </c>
      <c r="C4291" s="3" t="n">
        <v>29</v>
      </c>
      <c r="D4291" s="3" t="inlineStr">
        <is>
          <t>Play Rough</t>
        </is>
      </c>
      <c r="E4291" s="3" t="inlineStr">
        <is>
          <t>MOVE_PLAY_ROUGH</t>
        </is>
      </c>
    </row>
    <row r="4292">
      <c r="A4292" s="3" t="inlineStr">
        <is>
          <t>SPECIES_MAUSHOLD_FOUR</t>
        </is>
      </c>
      <c r="B4292" s="3" t="inlineStr">
        <is>
          <t>Maushold</t>
        </is>
      </c>
      <c r="C4292" s="3" t="n">
        <v>33</v>
      </c>
      <c r="D4292" s="3" t="inlineStr">
        <is>
          <t>Hyper Voice</t>
        </is>
      </c>
      <c r="E4292" s="3" t="inlineStr">
        <is>
          <t>MOVE_HYPER_VOICE</t>
        </is>
      </c>
    </row>
    <row r="4293">
      <c r="A4293" s="3" t="inlineStr">
        <is>
          <t>SPECIES_MAUSHOLD_FOUR</t>
        </is>
      </c>
      <c r="B4293" s="3" t="inlineStr">
        <is>
          <t>Maushold</t>
        </is>
      </c>
      <c r="C4293" s="3" t="n">
        <v>37</v>
      </c>
      <c r="D4293" s="3" t="inlineStr">
        <is>
          <t>Charm</t>
        </is>
      </c>
      <c r="E4293" s="3" t="inlineStr">
        <is>
          <t>MOVE_CHARM</t>
        </is>
      </c>
    </row>
    <row r="4294">
      <c r="A4294" s="3" t="inlineStr">
        <is>
          <t>SPECIES_MAUSHOLD_FOUR</t>
        </is>
      </c>
      <c r="B4294" s="3" t="inlineStr">
        <is>
          <t>Maushold</t>
        </is>
      </c>
      <c r="C4294" s="3" t="n">
        <v>41</v>
      </c>
      <c r="D4294" s="3" t="inlineStr">
        <is>
          <t>Beat Up</t>
        </is>
      </c>
      <c r="E4294" s="3" t="inlineStr">
        <is>
          <t>MOVE_BEAT_UP</t>
        </is>
      </c>
    </row>
    <row r="4295">
      <c r="A4295" s="3" t="inlineStr">
        <is>
          <t>SPECIES_MAUSHOLD_FOUR</t>
        </is>
      </c>
      <c r="B4295" s="3" t="inlineStr">
        <is>
          <t>Maushold</t>
        </is>
      </c>
      <c r="C4295" s="3" t="n">
        <v>46</v>
      </c>
      <c r="D4295" s="3" t="inlineStr">
        <is>
          <t>Copycat</t>
        </is>
      </c>
      <c r="E4295" s="3" t="inlineStr">
        <is>
          <t>MOVE_COPYCAT</t>
        </is>
      </c>
    </row>
    <row r="4296">
      <c r="A4296" s="3" t="inlineStr">
        <is>
          <t>SPECIES_MAUSHOLD_FOUR</t>
        </is>
      </c>
      <c r="B4296" s="3" t="inlineStr">
        <is>
          <t>Maushold</t>
        </is>
      </c>
      <c r="C4296" s="3" t="n">
        <v>53</v>
      </c>
      <c r="D4296" s="3" t="inlineStr">
        <is>
          <t>Population Bomb</t>
        </is>
      </c>
      <c r="E4296" s="3" t="inlineStr">
        <is>
          <t>MOVE_POPULATION_BOMB</t>
        </is>
      </c>
    </row>
    <row r="4297">
      <c r="A4297" s="3" t="inlineStr">
        <is>
          <t>SPECIES_CHARCADET</t>
        </is>
      </c>
      <c r="B4297" s="3" t="inlineStr">
        <is>
          <t>Charcadet</t>
        </is>
      </c>
      <c r="C4297" s="3" t="n">
        <v>1</v>
      </c>
      <c r="D4297" s="3" t="inlineStr">
        <is>
          <t>Leer</t>
        </is>
      </c>
      <c r="E4297" s="3" t="inlineStr">
        <is>
          <t>MOVE_LEER</t>
        </is>
      </c>
    </row>
    <row r="4298">
      <c r="A4298" s="3" t="inlineStr">
        <is>
          <t>SPECIES_CHARCADET</t>
        </is>
      </c>
      <c r="B4298" s="3" t="inlineStr">
        <is>
          <t>Charcadet</t>
        </is>
      </c>
      <c r="C4298" s="3" t="n">
        <v>1</v>
      </c>
      <c r="D4298" s="3" t="inlineStr">
        <is>
          <t>Ember</t>
        </is>
      </c>
      <c r="E4298" s="3" t="inlineStr">
        <is>
          <t>MOVE_EMBER</t>
        </is>
      </c>
    </row>
    <row r="4299">
      <c r="A4299" s="3" t="inlineStr">
        <is>
          <t>SPECIES_CHARCADET</t>
        </is>
      </c>
      <c r="B4299" s="3" t="inlineStr">
        <is>
          <t>Charcadet</t>
        </is>
      </c>
      <c r="C4299" s="3" t="n">
        <v>1</v>
      </c>
      <c r="D4299" s="3" t="inlineStr">
        <is>
          <t>Astonish</t>
        </is>
      </c>
      <c r="E4299" s="3" t="inlineStr">
        <is>
          <t>MOVE_ASTONISH</t>
        </is>
      </c>
    </row>
    <row r="4300">
      <c r="A4300" s="3" t="inlineStr">
        <is>
          <t>SPECIES_CHARCADET</t>
        </is>
      </c>
      <c r="B4300" s="3" t="inlineStr">
        <is>
          <t>Charcadet</t>
        </is>
      </c>
      <c r="C4300" s="3" t="n">
        <v>8</v>
      </c>
      <c r="D4300" s="3" t="inlineStr">
        <is>
          <t>Clear Smog</t>
        </is>
      </c>
      <c r="E4300" s="3" t="inlineStr">
        <is>
          <t>MOVE_CLEAR_SMOG</t>
        </is>
      </c>
    </row>
    <row r="4301">
      <c r="A4301" s="3" t="inlineStr">
        <is>
          <t>SPECIES_CHARCADET</t>
        </is>
      </c>
      <c r="B4301" s="3" t="inlineStr">
        <is>
          <t>Charcadet</t>
        </is>
      </c>
      <c r="C4301" s="3" t="n">
        <v>12</v>
      </c>
      <c r="D4301" s="3" t="inlineStr">
        <is>
          <t>Fire Spin</t>
        </is>
      </c>
      <c r="E4301" s="3" t="inlineStr">
        <is>
          <t>MOVE_FIRE_SPIN</t>
        </is>
      </c>
    </row>
    <row r="4302">
      <c r="A4302" s="3" t="inlineStr">
        <is>
          <t>SPECIES_CHARCADET</t>
        </is>
      </c>
      <c r="B4302" s="3" t="inlineStr">
        <is>
          <t>Charcadet</t>
        </is>
      </c>
      <c r="C4302" s="3" t="n">
        <v>16</v>
      </c>
      <c r="D4302" s="3" t="inlineStr">
        <is>
          <t>Will-O-Wisp</t>
        </is>
      </c>
      <c r="E4302" s="3" t="inlineStr">
        <is>
          <t>MOVE_WILL_O_WISP</t>
        </is>
      </c>
    </row>
    <row r="4303">
      <c r="A4303" s="3" t="inlineStr">
        <is>
          <t>SPECIES_CHARCADET</t>
        </is>
      </c>
      <c r="B4303" s="3" t="inlineStr">
        <is>
          <t>Charcadet</t>
        </is>
      </c>
      <c r="C4303" s="3" t="n">
        <v>20</v>
      </c>
      <c r="D4303" s="3" t="inlineStr">
        <is>
          <t>Night Shade</t>
        </is>
      </c>
      <c r="E4303" s="3" t="inlineStr">
        <is>
          <t>MOVE_NIGHT_SHADE</t>
        </is>
      </c>
    </row>
    <row r="4304">
      <c r="A4304" s="3" t="inlineStr">
        <is>
          <t>SPECIES_CHARCADET</t>
        </is>
      </c>
      <c r="B4304" s="3" t="inlineStr">
        <is>
          <t>Charcadet</t>
        </is>
      </c>
      <c r="C4304" s="3" t="n">
        <v>24</v>
      </c>
      <c r="D4304" s="3" t="inlineStr">
        <is>
          <t>Flame Charge</t>
        </is>
      </c>
      <c r="E4304" s="3" t="inlineStr">
        <is>
          <t>MOVE_FLAME_CHARGE</t>
        </is>
      </c>
    </row>
    <row r="4305">
      <c r="A4305" s="3" t="inlineStr">
        <is>
          <t>SPECIES_CHARCADET</t>
        </is>
      </c>
      <c r="B4305" s="3" t="inlineStr">
        <is>
          <t>Charcadet</t>
        </is>
      </c>
      <c r="C4305" s="3" t="n">
        <v>28</v>
      </c>
      <c r="D4305" s="3" t="inlineStr">
        <is>
          <t>Incinerate</t>
        </is>
      </c>
      <c r="E4305" s="3" t="inlineStr">
        <is>
          <t>MOVE_INCINERATE</t>
        </is>
      </c>
    </row>
    <row r="4306">
      <c r="A4306" s="3" t="inlineStr">
        <is>
          <t>SPECIES_CHARCADET</t>
        </is>
      </c>
      <c r="B4306" s="3" t="inlineStr">
        <is>
          <t>Charcadet</t>
        </is>
      </c>
      <c r="C4306" s="3" t="n">
        <v>32</v>
      </c>
      <c r="D4306" s="3" t="inlineStr">
        <is>
          <t>Lava Plume</t>
        </is>
      </c>
      <c r="E4306" s="3" t="inlineStr">
        <is>
          <t>MOVE_LAVA_PLUME</t>
        </is>
      </c>
    </row>
    <row r="4307">
      <c r="A4307" s="3" t="inlineStr">
        <is>
          <t>SPECIES_ARMAROUGE</t>
        </is>
      </c>
      <c r="B4307" s="3" t="inlineStr">
        <is>
          <t>Armarouge</t>
        </is>
      </c>
      <c r="C4307" s="3" t="n">
        <v>0</v>
      </c>
      <c r="D4307" s="3" t="inlineStr">
        <is>
          <t>Psyshock</t>
        </is>
      </c>
      <c r="E4307" s="3" t="inlineStr">
        <is>
          <t>MOVE_PSYSHOCK</t>
        </is>
      </c>
    </row>
    <row r="4308">
      <c r="A4308" s="3" t="inlineStr">
        <is>
          <t>SPECIES_ARMAROUGE</t>
        </is>
      </c>
      <c r="B4308" s="3" t="inlineStr">
        <is>
          <t>Armarouge</t>
        </is>
      </c>
      <c r="C4308" s="3" t="n">
        <v>1</v>
      </c>
      <c r="D4308" s="3" t="inlineStr">
        <is>
          <t>Leer</t>
        </is>
      </c>
      <c r="E4308" s="3" t="inlineStr">
        <is>
          <t>MOVE_LEER</t>
        </is>
      </c>
    </row>
    <row r="4309">
      <c r="A4309" s="3" t="inlineStr">
        <is>
          <t>SPECIES_ARMAROUGE</t>
        </is>
      </c>
      <c r="B4309" s="3" t="inlineStr">
        <is>
          <t>Armarouge</t>
        </is>
      </c>
      <c r="C4309" s="3" t="n">
        <v>1</v>
      </c>
      <c r="D4309" s="3" t="inlineStr">
        <is>
          <t>Ember</t>
        </is>
      </c>
      <c r="E4309" s="3" t="inlineStr">
        <is>
          <t>MOVE_EMBER</t>
        </is>
      </c>
    </row>
    <row r="4310">
      <c r="A4310" s="3" t="inlineStr">
        <is>
          <t>SPECIES_ARMAROUGE</t>
        </is>
      </c>
      <c r="B4310" s="3" t="inlineStr">
        <is>
          <t>Armarouge</t>
        </is>
      </c>
      <c r="C4310" s="3" t="n">
        <v>1</v>
      </c>
      <c r="D4310" s="3" t="inlineStr">
        <is>
          <t>Mystical Fire</t>
        </is>
      </c>
      <c r="E4310" s="3" t="inlineStr">
        <is>
          <t>MOVE_MYSTICAL_FIRE</t>
        </is>
      </c>
    </row>
    <row r="4311">
      <c r="A4311" s="3" t="inlineStr">
        <is>
          <t>SPECIES_ARMAROUGE</t>
        </is>
      </c>
      <c r="B4311" s="3" t="inlineStr">
        <is>
          <t>Armarouge</t>
        </is>
      </c>
      <c r="C4311" s="3" t="n">
        <v>1</v>
      </c>
      <c r="D4311" s="3" t="inlineStr">
        <is>
          <t>Astonish</t>
        </is>
      </c>
      <c r="E4311" s="3" t="inlineStr">
        <is>
          <t>MOVE_ASTONISH</t>
        </is>
      </c>
    </row>
    <row r="4312">
      <c r="A4312" s="3" t="inlineStr">
        <is>
          <t>SPECIES_ARMAROUGE</t>
        </is>
      </c>
      <c r="B4312" s="3" t="inlineStr">
        <is>
          <t>Armarouge</t>
        </is>
      </c>
      <c r="C4312" s="3" t="n">
        <v>1</v>
      </c>
      <c r="D4312" s="3" t="inlineStr">
        <is>
          <t>Wide Guard</t>
        </is>
      </c>
      <c r="E4312" s="3" t="inlineStr">
        <is>
          <t>MOVE_WIDE_GUARD</t>
        </is>
      </c>
    </row>
    <row r="4313">
      <c r="A4313" s="3" t="inlineStr">
        <is>
          <t>SPECIES_ARMAROUGE</t>
        </is>
      </c>
      <c r="B4313" s="3" t="inlineStr">
        <is>
          <t>Armarouge</t>
        </is>
      </c>
      <c r="C4313" s="3" t="n">
        <v>8</v>
      </c>
      <c r="D4313" s="3" t="inlineStr">
        <is>
          <t>Clear Smog</t>
        </is>
      </c>
      <c r="E4313" s="3" t="inlineStr">
        <is>
          <t>MOVE_CLEAR_SMOG</t>
        </is>
      </c>
    </row>
    <row r="4314">
      <c r="A4314" s="3" t="inlineStr">
        <is>
          <t>SPECIES_ARMAROUGE</t>
        </is>
      </c>
      <c r="B4314" s="3" t="inlineStr">
        <is>
          <t>Armarouge</t>
        </is>
      </c>
      <c r="C4314" s="3" t="n">
        <v>12</v>
      </c>
      <c r="D4314" s="3" t="inlineStr">
        <is>
          <t>Fire Spin</t>
        </is>
      </c>
      <c r="E4314" s="3" t="inlineStr">
        <is>
          <t>MOVE_FIRE_SPIN</t>
        </is>
      </c>
    </row>
    <row r="4315">
      <c r="A4315" s="3" t="inlineStr">
        <is>
          <t>SPECIES_ARMAROUGE</t>
        </is>
      </c>
      <c r="B4315" s="3" t="inlineStr">
        <is>
          <t>Armarouge</t>
        </is>
      </c>
      <c r="C4315" s="3" t="n">
        <v>16</v>
      </c>
      <c r="D4315" s="3" t="inlineStr">
        <is>
          <t>Will-O-Wisp</t>
        </is>
      </c>
      <c r="E4315" s="3" t="inlineStr">
        <is>
          <t>MOVE_WILL_O_WISP</t>
        </is>
      </c>
    </row>
    <row r="4316">
      <c r="A4316" s="3" t="inlineStr">
        <is>
          <t>SPECIES_ARMAROUGE</t>
        </is>
      </c>
      <c r="B4316" s="3" t="inlineStr">
        <is>
          <t>Armarouge</t>
        </is>
      </c>
      <c r="C4316" s="3" t="n">
        <v>20</v>
      </c>
      <c r="D4316" s="3" t="inlineStr">
        <is>
          <t>Night Shade</t>
        </is>
      </c>
      <c r="E4316" s="3" t="inlineStr">
        <is>
          <t>MOVE_NIGHT_SHADE</t>
        </is>
      </c>
    </row>
    <row r="4317">
      <c r="A4317" s="3" t="inlineStr">
        <is>
          <t>SPECIES_ARMAROUGE</t>
        </is>
      </c>
      <c r="B4317" s="3" t="inlineStr">
        <is>
          <t>Armarouge</t>
        </is>
      </c>
      <c r="C4317" s="3" t="n">
        <v>24</v>
      </c>
      <c r="D4317" s="3" t="inlineStr">
        <is>
          <t>Flame Charge</t>
        </is>
      </c>
      <c r="E4317" s="3" t="inlineStr">
        <is>
          <t>MOVE_FLAME_CHARGE</t>
        </is>
      </c>
    </row>
    <row r="4318">
      <c r="A4318" s="3" t="inlineStr">
        <is>
          <t>SPECIES_ARMAROUGE</t>
        </is>
      </c>
      <c r="B4318" s="3" t="inlineStr">
        <is>
          <t>Armarouge</t>
        </is>
      </c>
      <c r="C4318" s="3" t="n">
        <v>28</v>
      </c>
      <c r="D4318" s="3" t="inlineStr">
        <is>
          <t>Incinerate</t>
        </is>
      </c>
      <c r="E4318" s="3" t="inlineStr">
        <is>
          <t>MOVE_INCINERATE</t>
        </is>
      </c>
    </row>
    <row r="4319">
      <c r="A4319" s="3" t="inlineStr">
        <is>
          <t>SPECIES_ARMAROUGE</t>
        </is>
      </c>
      <c r="B4319" s="3" t="inlineStr">
        <is>
          <t>Armarouge</t>
        </is>
      </c>
      <c r="C4319" s="3" t="n">
        <v>32</v>
      </c>
      <c r="D4319" s="3" t="inlineStr">
        <is>
          <t>Lava Plume</t>
        </is>
      </c>
      <c r="E4319" s="3" t="inlineStr">
        <is>
          <t>MOVE_LAVA_PLUME</t>
        </is>
      </c>
    </row>
    <row r="4320">
      <c r="A4320" s="3" t="inlineStr">
        <is>
          <t>SPECIES_ARMAROUGE</t>
        </is>
      </c>
      <c r="B4320" s="3" t="inlineStr">
        <is>
          <t>Armarouge</t>
        </is>
      </c>
      <c r="C4320" s="3" t="n">
        <v>37</v>
      </c>
      <c r="D4320" s="3" t="inlineStr">
        <is>
          <t>Calm Mind</t>
        </is>
      </c>
      <c r="E4320" s="3" t="inlineStr">
        <is>
          <t>MOVE_CALM_MIND</t>
        </is>
      </c>
    </row>
    <row r="4321">
      <c r="A4321" s="3" t="inlineStr">
        <is>
          <t>SPECIES_ARMAROUGE</t>
        </is>
      </c>
      <c r="B4321" s="3" t="inlineStr">
        <is>
          <t>Armarouge</t>
        </is>
      </c>
      <c r="C4321" s="3" t="n">
        <v>42</v>
      </c>
      <c r="D4321" s="3" t="inlineStr">
        <is>
          <t>Ally Switch</t>
        </is>
      </c>
      <c r="E4321" s="3" t="inlineStr">
        <is>
          <t>MOVE_ALLY_SWITCH</t>
        </is>
      </c>
    </row>
    <row r="4322">
      <c r="A4322" s="3" t="inlineStr">
        <is>
          <t>SPECIES_ARMAROUGE</t>
        </is>
      </c>
      <c r="B4322" s="3" t="inlineStr">
        <is>
          <t>Armarouge</t>
        </is>
      </c>
      <c r="C4322" s="3" t="n">
        <v>48</v>
      </c>
      <c r="D4322" s="3" t="inlineStr">
        <is>
          <t>Flamethrower</t>
        </is>
      </c>
      <c r="E4322" s="3" t="inlineStr">
        <is>
          <t>MOVE_FLAMETHROWER</t>
        </is>
      </c>
    </row>
    <row r="4323">
      <c r="A4323" s="3" t="inlineStr">
        <is>
          <t>SPECIES_ARMAROUGE</t>
        </is>
      </c>
      <c r="B4323" s="3" t="inlineStr">
        <is>
          <t>Armarouge</t>
        </is>
      </c>
      <c r="C4323" s="3" t="n">
        <v>56</v>
      </c>
      <c r="D4323" s="3" t="inlineStr">
        <is>
          <t>Expanding Force</t>
        </is>
      </c>
      <c r="E4323" s="3" t="inlineStr">
        <is>
          <t>MOVE_EXPANDING_FORCE</t>
        </is>
      </c>
    </row>
    <row r="4324">
      <c r="A4324" s="3" t="inlineStr">
        <is>
          <t>SPECIES_ARMAROUGE</t>
        </is>
      </c>
      <c r="B4324" s="3" t="inlineStr">
        <is>
          <t>Armarouge</t>
        </is>
      </c>
      <c r="C4324" s="3" t="n">
        <v>62</v>
      </c>
      <c r="D4324" s="3" t="inlineStr">
        <is>
          <t>Armor Cannon</t>
        </is>
      </c>
      <c r="E4324" s="3" t="inlineStr">
        <is>
          <t>MOVE_ARMOR_CANNON</t>
        </is>
      </c>
    </row>
    <row r="4325">
      <c r="A4325" s="3" t="inlineStr">
        <is>
          <t>SPECIES_CERULEDGE</t>
        </is>
      </c>
      <c r="B4325" s="3" t="inlineStr">
        <is>
          <t>Ceruledge</t>
        </is>
      </c>
      <c r="C4325" s="3" t="n">
        <v>0</v>
      </c>
      <c r="D4325" s="3" t="inlineStr">
        <is>
          <t>Shadow Claw</t>
        </is>
      </c>
      <c r="E4325" s="3" t="inlineStr">
        <is>
          <t>MOVE_SHADOW_CLAW</t>
        </is>
      </c>
    </row>
    <row r="4326">
      <c r="A4326" s="3" t="inlineStr">
        <is>
          <t>SPECIES_CERULEDGE</t>
        </is>
      </c>
      <c r="B4326" s="3" t="inlineStr">
        <is>
          <t>Ceruledge</t>
        </is>
      </c>
      <c r="C4326" s="3" t="n">
        <v>1</v>
      </c>
      <c r="D4326" s="3" t="inlineStr">
        <is>
          <t>Night Slash</t>
        </is>
      </c>
      <c r="E4326" s="3" t="inlineStr">
        <is>
          <t>MOVE_NIGHT_SLASH</t>
        </is>
      </c>
    </row>
    <row r="4327">
      <c r="A4327" s="3" t="inlineStr">
        <is>
          <t>SPECIES_CERULEDGE</t>
        </is>
      </c>
      <c r="B4327" s="3" t="inlineStr">
        <is>
          <t>Ceruledge</t>
        </is>
      </c>
      <c r="C4327" s="3" t="n">
        <v>1</v>
      </c>
      <c r="D4327" s="3" t="inlineStr">
        <is>
          <t>Shadow Sneak</t>
        </is>
      </c>
      <c r="E4327" s="3" t="inlineStr">
        <is>
          <t>MOVE_SHADOW_SNEAK</t>
        </is>
      </c>
    </row>
    <row r="4328">
      <c r="A4328" s="3" t="inlineStr">
        <is>
          <t>SPECIES_CERULEDGE</t>
        </is>
      </c>
      <c r="B4328" s="3" t="inlineStr">
        <is>
          <t>Ceruledge</t>
        </is>
      </c>
      <c r="C4328" s="3" t="n">
        <v>1</v>
      </c>
      <c r="D4328" s="3" t="inlineStr">
        <is>
          <t>Quick Guard</t>
        </is>
      </c>
      <c r="E4328" s="3" t="inlineStr">
        <is>
          <t>MOVE_QUICK_GUARD</t>
        </is>
      </c>
    </row>
    <row r="4329">
      <c r="A4329" s="3" t="inlineStr">
        <is>
          <t>SPECIES_CERULEDGE</t>
        </is>
      </c>
      <c r="B4329" s="3" t="inlineStr">
        <is>
          <t>Ceruledge</t>
        </is>
      </c>
      <c r="C4329" s="3" t="n">
        <v>1</v>
      </c>
      <c r="D4329" s="3" t="inlineStr">
        <is>
          <t>Solar Blade</t>
        </is>
      </c>
      <c r="E4329" s="3" t="inlineStr">
        <is>
          <t>MOVE_SOLAR_BLADE</t>
        </is>
      </c>
    </row>
    <row r="4330">
      <c r="A4330" s="3" t="inlineStr">
        <is>
          <t>SPECIES_CERULEDGE</t>
        </is>
      </c>
      <c r="B4330" s="3" t="inlineStr">
        <is>
          <t>Ceruledge</t>
        </is>
      </c>
      <c r="C4330" s="3" t="n">
        <v>1</v>
      </c>
      <c r="D4330" s="3" t="inlineStr">
        <is>
          <t>Leer</t>
        </is>
      </c>
      <c r="E4330" s="3" t="inlineStr">
        <is>
          <t>MOVE_LEER</t>
        </is>
      </c>
    </row>
    <row r="4331">
      <c r="A4331" s="3" t="inlineStr">
        <is>
          <t>SPECIES_CERULEDGE</t>
        </is>
      </c>
      <c r="B4331" s="3" t="inlineStr">
        <is>
          <t>Ceruledge</t>
        </is>
      </c>
      <c r="C4331" s="3" t="n">
        <v>1</v>
      </c>
      <c r="D4331" s="3" t="inlineStr">
        <is>
          <t>Ember</t>
        </is>
      </c>
      <c r="E4331" s="3" t="inlineStr">
        <is>
          <t>MOVE_EMBER</t>
        </is>
      </c>
    </row>
    <row r="4332">
      <c r="A4332" s="3" t="inlineStr">
        <is>
          <t>SPECIES_CERULEDGE</t>
        </is>
      </c>
      <c r="B4332" s="3" t="inlineStr">
        <is>
          <t>Ceruledge</t>
        </is>
      </c>
      <c r="C4332" s="3" t="n">
        <v>1</v>
      </c>
      <c r="D4332" s="3" t="inlineStr">
        <is>
          <t>Astonish</t>
        </is>
      </c>
      <c r="E4332" s="3" t="inlineStr">
        <is>
          <t>MOVE_ASTONISH</t>
        </is>
      </c>
    </row>
    <row r="4333">
      <c r="A4333" s="3" t="inlineStr">
        <is>
          <t>SPECIES_CERULEDGE</t>
        </is>
      </c>
      <c r="B4333" s="3" t="inlineStr">
        <is>
          <t>Ceruledge</t>
        </is>
      </c>
      <c r="C4333" s="3" t="n">
        <v>8</v>
      </c>
      <c r="D4333" s="3" t="inlineStr">
        <is>
          <t>Clear Smog</t>
        </is>
      </c>
      <c r="E4333" s="3" t="inlineStr">
        <is>
          <t>MOVE_CLEAR_SMOG</t>
        </is>
      </c>
    </row>
    <row r="4334">
      <c r="A4334" s="3" t="inlineStr">
        <is>
          <t>SPECIES_CERULEDGE</t>
        </is>
      </c>
      <c r="B4334" s="3" t="inlineStr">
        <is>
          <t>Ceruledge</t>
        </is>
      </c>
      <c r="C4334" s="3" t="n">
        <v>12</v>
      </c>
      <c r="D4334" s="3" t="inlineStr">
        <is>
          <t>Fire Spin</t>
        </is>
      </c>
      <c r="E4334" s="3" t="inlineStr">
        <is>
          <t>MOVE_FIRE_SPIN</t>
        </is>
      </c>
    </row>
    <row r="4335">
      <c r="A4335" s="3" t="inlineStr">
        <is>
          <t>SPECIES_CERULEDGE</t>
        </is>
      </c>
      <c r="B4335" s="3" t="inlineStr">
        <is>
          <t>Ceruledge</t>
        </is>
      </c>
      <c r="C4335" s="3" t="n">
        <v>16</v>
      </c>
      <c r="D4335" s="3" t="inlineStr">
        <is>
          <t>Will-O-Wisp</t>
        </is>
      </c>
      <c r="E4335" s="3" t="inlineStr">
        <is>
          <t>MOVE_WILL_O_WISP</t>
        </is>
      </c>
    </row>
    <row r="4336">
      <c r="A4336" s="3" t="inlineStr">
        <is>
          <t>SPECIES_CERULEDGE</t>
        </is>
      </c>
      <c r="B4336" s="3" t="inlineStr">
        <is>
          <t>Ceruledge</t>
        </is>
      </c>
      <c r="C4336" s="3" t="n">
        <v>20</v>
      </c>
      <c r="D4336" s="3" t="inlineStr">
        <is>
          <t>Night Shade</t>
        </is>
      </c>
      <c r="E4336" s="3" t="inlineStr">
        <is>
          <t>MOVE_NIGHT_SHADE</t>
        </is>
      </c>
    </row>
    <row r="4337">
      <c r="A4337" s="3" t="inlineStr">
        <is>
          <t>SPECIES_CERULEDGE</t>
        </is>
      </c>
      <c r="B4337" s="3" t="inlineStr">
        <is>
          <t>Ceruledge</t>
        </is>
      </c>
      <c r="C4337" s="3" t="n">
        <v>24</v>
      </c>
      <c r="D4337" s="3" t="inlineStr">
        <is>
          <t>Flame Charge</t>
        </is>
      </c>
      <c r="E4337" s="3" t="inlineStr">
        <is>
          <t>MOVE_FLAME_CHARGE</t>
        </is>
      </c>
    </row>
    <row r="4338">
      <c r="A4338" s="3" t="inlineStr">
        <is>
          <t>SPECIES_CERULEDGE</t>
        </is>
      </c>
      <c r="B4338" s="3" t="inlineStr">
        <is>
          <t>Ceruledge</t>
        </is>
      </c>
      <c r="C4338" s="3" t="n">
        <v>28</v>
      </c>
      <c r="D4338" s="3" t="inlineStr">
        <is>
          <t>Incinerate</t>
        </is>
      </c>
      <c r="E4338" s="3" t="inlineStr">
        <is>
          <t>MOVE_INCINERATE</t>
        </is>
      </c>
    </row>
    <row r="4339">
      <c r="A4339" s="3" t="inlineStr">
        <is>
          <t>SPECIES_CERULEDGE</t>
        </is>
      </c>
      <c r="B4339" s="3" t="inlineStr">
        <is>
          <t>Ceruledge</t>
        </is>
      </c>
      <c r="C4339" s="3" t="n">
        <v>32</v>
      </c>
      <c r="D4339" s="3" t="inlineStr">
        <is>
          <t>Lava Plume</t>
        </is>
      </c>
      <c r="E4339" s="3" t="inlineStr">
        <is>
          <t>MOVE_LAVA_PLUME</t>
        </is>
      </c>
    </row>
    <row r="4340">
      <c r="A4340" s="3" t="inlineStr">
        <is>
          <t>SPECIES_CERULEDGE</t>
        </is>
      </c>
      <c r="B4340" s="3" t="inlineStr">
        <is>
          <t>Ceruledge</t>
        </is>
      </c>
      <c r="C4340" s="3" t="n">
        <v>37</v>
      </c>
      <c r="D4340" s="3" t="inlineStr">
        <is>
          <t>Swords Dance</t>
        </is>
      </c>
      <c r="E4340" s="3" t="inlineStr">
        <is>
          <t>MOVE_SWORDS_DANCE</t>
        </is>
      </c>
    </row>
    <row r="4341">
      <c r="A4341" s="3" t="inlineStr">
        <is>
          <t>SPECIES_CERULEDGE</t>
        </is>
      </c>
      <c r="B4341" s="3" t="inlineStr">
        <is>
          <t>Ceruledge</t>
        </is>
      </c>
      <c r="C4341" s="3" t="n">
        <v>42</v>
      </c>
      <c r="D4341" s="3" t="inlineStr">
        <is>
          <t>Ally Switch</t>
        </is>
      </c>
      <c r="E4341" s="3" t="inlineStr">
        <is>
          <t>MOVE_ALLY_SWITCH</t>
        </is>
      </c>
    </row>
    <row r="4342">
      <c r="A4342" s="3" t="inlineStr">
        <is>
          <t>SPECIES_CERULEDGE</t>
        </is>
      </c>
      <c r="B4342" s="3" t="inlineStr">
        <is>
          <t>Ceruledge</t>
        </is>
      </c>
      <c r="C4342" s="3" t="n">
        <v>48</v>
      </c>
      <c r="D4342" s="3" t="inlineStr">
        <is>
          <t>Bitter Blade</t>
        </is>
      </c>
      <c r="E4342" s="3" t="inlineStr">
        <is>
          <t>MOVE_BITTER_BLADE</t>
        </is>
      </c>
    </row>
    <row r="4343">
      <c r="A4343" s="3" t="inlineStr">
        <is>
          <t>SPECIES_CERULEDGE</t>
        </is>
      </c>
      <c r="B4343" s="3" t="inlineStr">
        <is>
          <t>Ceruledge</t>
        </is>
      </c>
      <c r="C4343" s="3" t="n">
        <v>56</v>
      </c>
      <c r="D4343" s="3" t="inlineStr">
        <is>
          <t>Psycho Cut</t>
        </is>
      </c>
      <c r="E4343" s="3" t="inlineStr">
        <is>
          <t>MOVE_PSYCHO_CUT</t>
        </is>
      </c>
    </row>
    <row r="4344">
      <c r="A4344" s="3" t="inlineStr">
        <is>
          <t>SPECIES_CERULEDGE</t>
        </is>
      </c>
      <c r="B4344" s="3" t="inlineStr">
        <is>
          <t>Ceruledge</t>
        </is>
      </c>
      <c r="C4344" s="3" t="n">
        <v>62</v>
      </c>
      <c r="D4344" s="3" t="inlineStr">
        <is>
          <t>Flare Blitz</t>
        </is>
      </c>
      <c r="E4344" s="3" t="inlineStr">
        <is>
          <t>MOVE_FLARE_BLITZ</t>
        </is>
      </c>
    </row>
    <row r="4345">
      <c r="A4345" s="3" t="inlineStr">
        <is>
          <t>SPECIES_WATTREL</t>
        </is>
      </c>
      <c r="B4345" s="3" t="inlineStr">
        <is>
          <t>Wattrel</t>
        </is>
      </c>
      <c r="C4345" s="3" t="n">
        <v>1</v>
      </c>
      <c r="D4345" s="3" t="inlineStr">
        <is>
          <t>Growl</t>
        </is>
      </c>
      <c r="E4345" s="3" t="inlineStr">
        <is>
          <t>MOVE_GROWL</t>
        </is>
      </c>
    </row>
    <row r="4346">
      <c r="A4346" s="3" t="inlineStr">
        <is>
          <t>SPECIES_WATTREL</t>
        </is>
      </c>
      <c r="B4346" s="3" t="inlineStr">
        <is>
          <t>Wattrel</t>
        </is>
      </c>
      <c r="C4346" s="3" t="n">
        <v>1</v>
      </c>
      <c r="D4346" s="3" t="inlineStr">
        <is>
          <t>Peck</t>
        </is>
      </c>
      <c r="E4346" s="3" t="inlineStr">
        <is>
          <t>MOVE_PECK</t>
        </is>
      </c>
    </row>
    <row r="4347">
      <c r="A4347" s="3" t="inlineStr">
        <is>
          <t>SPECIES_WATTREL</t>
        </is>
      </c>
      <c r="B4347" s="3" t="inlineStr">
        <is>
          <t>Wattrel</t>
        </is>
      </c>
      <c r="C4347" s="3" t="n">
        <v>4</v>
      </c>
      <c r="D4347" s="3" t="inlineStr">
        <is>
          <t>Thunder Shock</t>
        </is>
      </c>
      <c r="E4347" s="3" t="inlineStr">
        <is>
          <t>MOVE_THUNDER_SHOCK</t>
        </is>
      </c>
    </row>
    <row r="4348">
      <c r="A4348" s="3" t="inlineStr">
        <is>
          <t>SPECIES_WATTREL</t>
        </is>
      </c>
      <c r="B4348" s="3" t="inlineStr">
        <is>
          <t>Wattrel</t>
        </is>
      </c>
      <c r="C4348" s="3" t="n">
        <v>7</v>
      </c>
      <c r="D4348" s="3" t="inlineStr">
        <is>
          <t>Quick Attack</t>
        </is>
      </c>
      <c r="E4348" s="3" t="inlineStr">
        <is>
          <t>MOVE_QUICK_ATTACK</t>
        </is>
      </c>
    </row>
    <row r="4349">
      <c r="A4349" s="3" t="inlineStr">
        <is>
          <t>SPECIES_WATTREL</t>
        </is>
      </c>
      <c r="B4349" s="3" t="inlineStr">
        <is>
          <t>Wattrel</t>
        </is>
      </c>
      <c r="C4349" s="3" t="n">
        <v>11</v>
      </c>
      <c r="D4349" s="3" t="inlineStr">
        <is>
          <t>Pluck</t>
        </is>
      </c>
      <c r="E4349" s="3" t="inlineStr">
        <is>
          <t>MOVE_PLUCK</t>
        </is>
      </c>
    </row>
    <row r="4350">
      <c r="A4350" s="3" t="inlineStr">
        <is>
          <t>SPECIES_WATTREL</t>
        </is>
      </c>
      <c r="B4350" s="3" t="inlineStr">
        <is>
          <t>Wattrel</t>
        </is>
      </c>
      <c r="C4350" s="3" t="n">
        <v>15</v>
      </c>
      <c r="D4350" s="3" t="inlineStr">
        <is>
          <t>Spark</t>
        </is>
      </c>
      <c r="E4350" s="3" t="inlineStr">
        <is>
          <t>MOVE_SPARK</t>
        </is>
      </c>
    </row>
    <row r="4351">
      <c r="A4351" s="3" t="inlineStr">
        <is>
          <t>SPECIES_WATTREL</t>
        </is>
      </c>
      <c r="B4351" s="3" t="inlineStr">
        <is>
          <t>Wattrel</t>
        </is>
      </c>
      <c r="C4351" s="3" t="n">
        <v>19</v>
      </c>
      <c r="D4351" s="3" t="inlineStr">
        <is>
          <t>Uproar</t>
        </is>
      </c>
      <c r="E4351" s="3" t="inlineStr">
        <is>
          <t>MOVE_UPROAR</t>
        </is>
      </c>
    </row>
    <row r="4352">
      <c r="A4352" s="3" t="inlineStr">
        <is>
          <t>SPECIES_WATTREL</t>
        </is>
      </c>
      <c r="B4352" s="3" t="inlineStr">
        <is>
          <t>Wattrel</t>
        </is>
      </c>
      <c r="C4352" s="3" t="n">
        <v>23</v>
      </c>
      <c r="D4352" s="3" t="inlineStr">
        <is>
          <t>Roost</t>
        </is>
      </c>
      <c r="E4352" s="3" t="inlineStr">
        <is>
          <t>MOVE_ROOST</t>
        </is>
      </c>
    </row>
    <row r="4353">
      <c r="A4353" s="3" t="inlineStr">
        <is>
          <t>SPECIES_WATTREL</t>
        </is>
      </c>
      <c r="B4353" s="3" t="inlineStr">
        <is>
          <t>Wattrel</t>
        </is>
      </c>
      <c r="C4353" s="3" t="n">
        <v>27</v>
      </c>
      <c r="D4353" s="3" t="inlineStr">
        <is>
          <t>Dual Wingbeat</t>
        </is>
      </c>
      <c r="E4353" s="3" t="inlineStr">
        <is>
          <t>MOVE_DUAL_WINGBEAT</t>
        </is>
      </c>
    </row>
    <row r="4354">
      <c r="A4354" s="3" t="inlineStr">
        <is>
          <t>SPECIES_WATTREL</t>
        </is>
      </c>
      <c r="B4354" s="3" t="inlineStr">
        <is>
          <t>Wattrel</t>
        </is>
      </c>
      <c r="C4354" s="3" t="n">
        <v>32</v>
      </c>
      <c r="D4354" s="3" t="inlineStr">
        <is>
          <t>Agility</t>
        </is>
      </c>
      <c r="E4354" s="3" t="inlineStr">
        <is>
          <t>MOVE_AGILITY</t>
        </is>
      </c>
    </row>
    <row r="4355">
      <c r="A4355" s="3" t="inlineStr">
        <is>
          <t>SPECIES_WATTREL</t>
        </is>
      </c>
      <c r="B4355" s="3" t="inlineStr">
        <is>
          <t>Wattrel</t>
        </is>
      </c>
      <c r="C4355" s="3" t="n">
        <v>37</v>
      </c>
      <c r="D4355" s="3" t="inlineStr">
        <is>
          <t>Volt Switch</t>
        </is>
      </c>
      <c r="E4355" s="3" t="inlineStr">
        <is>
          <t>MOVE_VOLT_SWITCH</t>
        </is>
      </c>
    </row>
    <row r="4356">
      <c r="A4356" s="3" t="inlineStr">
        <is>
          <t>SPECIES_WATTREL</t>
        </is>
      </c>
      <c r="B4356" s="3" t="inlineStr">
        <is>
          <t>Wattrel</t>
        </is>
      </c>
      <c r="C4356" s="3" t="n">
        <v>43</v>
      </c>
      <c r="D4356" s="3" t="inlineStr">
        <is>
          <t>Discharge</t>
        </is>
      </c>
      <c r="E4356" s="3" t="inlineStr">
        <is>
          <t>MOVE_DISCHARGE</t>
        </is>
      </c>
    </row>
    <row r="4357">
      <c r="A4357" s="3" t="inlineStr">
        <is>
          <t>SPECIES_KILOWATTREL</t>
        </is>
      </c>
      <c r="B4357" s="3" t="inlineStr">
        <is>
          <t>Kilowattrel</t>
        </is>
      </c>
      <c r="C4357" s="3" t="n">
        <v>0</v>
      </c>
      <c r="D4357" s="3" t="inlineStr">
        <is>
          <t>Electro Ball</t>
        </is>
      </c>
      <c r="E4357" s="3" t="inlineStr">
        <is>
          <t>MOVE_ELECTRO_BALL</t>
        </is>
      </c>
    </row>
    <row r="4358">
      <c r="A4358" s="3" t="inlineStr">
        <is>
          <t>SPECIES_KILOWATTREL</t>
        </is>
      </c>
      <c r="B4358" s="3" t="inlineStr">
        <is>
          <t>Kilowattrel</t>
        </is>
      </c>
      <c r="C4358" s="3" t="n">
        <v>1</v>
      </c>
      <c r="D4358" s="3" t="inlineStr">
        <is>
          <t>Growl</t>
        </is>
      </c>
      <c r="E4358" s="3" t="inlineStr">
        <is>
          <t>MOVE_GROWL</t>
        </is>
      </c>
    </row>
    <row r="4359">
      <c r="A4359" s="3" t="inlineStr">
        <is>
          <t>SPECIES_KILOWATTREL</t>
        </is>
      </c>
      <c r="B4359" s="3" t="inlineStr">
        <is>
          <t>Kilowattrel</t>
        </is>
      </c>
      <c r="C4359" s="3" t="n">
        <v>1</v>
      </c>
      <c r="D4359" s="3" t="inlineStr">
        <is>
          <t>Peck</t>
        </is>
      </c>
      <c r="E4359" s="3" t="inlineStr">
        <is>
          <t>MOVE_PECK</t>
        </is>
      </c>
    </row>
    <row r="4360">
      <c r="A4360" s="3" t="inlineStr">
        <is>
          <t>SPECIES_KILOWATTREL</t>
        </is>
      </c>
      <c r="B4360" s="3" t="inlineStr">
        <is>
          <t>Kilowattrel</t>
        </is>
      </c>
      <c r="C4360" s="3" t="n">
        <v>4</v>
      </c>
      <c r="D4360" s="3" t="inlineStr">
        <is>
          <t>Thunder Shock</t>
        </is>
      </c>
      <c r="E4360" s="3" t="inlineStr">
        <is>
          <t>MOVE_THUNDER_SHOCK</t>
        </is>
      </c>
    </row>
    <row r="4361">
      <c r="A4361" s="3" t="inlineStr">
        <is>
          <t>SPECIES_KILOWATTREL</t>
        </is>
      </c>
      <c r="B4361" s="3" t="inlineStr">
        <is>
          <t>Kilowattrel</t>
        </is>
      </c>
      <c r="C4361" s="3" t="n">
        <v>7</v>
      </c>
      <c r="D4361" s="3" t="inlineStr">
        <is>
          <t>Quick Attack</t>
        </is>
      </c>
      <c r="E4361" s="3" t="inlineStr">
        <is>
          <t>MOVE_QUICK_ATTACK</t>
        </is>
      </c>
    </row>
    <row r="4362">
      <c r="A4362" s="3" t="inlineStr">
        <is>
          <t>SPECIES_KILOWATTREL</t>
        </is>
      </c>
      <c r="B4362" s="3" t="inlineStr">
        <is>
          <t>Kilowattrel</t>
        </is>
      </c>
      <c r="C4362" s="3" t="n">
        <v>11</v>
      </c>
      <c r="D4362" s="3" t="inlineStr">
        <is>
          <t>Pluck</t>
        </is>
      </c>
      <c r="E4362" s="3" t="inlineStr">
        <is>
          <t>MOVE_PLUCK</t>
        </is>
      </c>
    </row>
    <row r="4363">
      <c r="A4363" s="3" t="inlineStr">
        <is>
          <t>SPECIES_KILOWATTREL</t>
        </is>
      </c>
      <c r="B4363" s="3" t="inlineStr">
        <is>
          <t>Kilowattrel</t>
        </is>
      </c>
      <c r="C4363" s="3" t="n">
        <v>15</v>
      </c>
      <c r="D4363" s="3" t="inlineStr">
        <is>
          <t>Spark</t>
        </is>
      </c>
      <c r="E4363" s="3" t="inlineStr">
        <is>
          <t>MOVE_SPARK</t>
        </is>
      </c>
    </row>
    <row r="4364">
      <c r="A4364" s="3" t="inlineStr">
        <is>
          <t>SPECIES_KILOWATTREL</t>
        </is>
      </c>
      <c r="B4364" s="3" t="inlineStr">
        <is>
          <t>Kilowattrel</t>
        </is>
      </c>
      <c r="C4364" s="3" t="n">
        <v>19</v>
      </c>
      <c r="D4364" s="3" t="inlineStr">
        <is>
          <t>Uproar</t>
        </is>
      </c>
      <c r="E4364" s="3" t="inlineStr">
        <is>
          <t>MOVE_UPROAR</t>
        </is>
      </c>
    </row>
    <row r="4365">
      <c r="A4365" s="3" t="inlineStr">
        <is>
          <t>SPECIES_KILOWATTREL</t>
        </is>
      </c>
      <c r="B4365" s="3" t="inlineStr">
        <is>
          <t>Kilowattrel</t>
        </is>
      </c>
      <c r="C4365" s="3" t="n">
        <v>24</v>
      </c>
      <c r="D4365" s="3" t="inlineStr">
        <is>
          <t>Roost</t>
        </is>
      </c>
      <c r="E4365" s="3" t="inlineStr">
        <is>
          <t>MOVE_ROOST</t>
        </is>
      </c>
    </row>
    <row r="4366">
      <c r="A4366" s="3" t="inlineStr">
        <is>
          <t>SPECIES_KILOWATTREL</t>
        </is>
      </c>
      <c r="B4366" s="3" t="inlineStr">
        <is>
          <t>Kilowattrel</t>
        </is>
      </c>
      <c r="C4366" s="3" t="n">
        <v>30</v>
      </c>
      <c r="D4366" s="3" t="inlineStr">
        <is>
          <t>Dual Wingbeat</t>
        </is>
      </c>
      <c r="E4366" s="3" t="inlineStr">
        <is>
          <t>MOVE_DUAL_WINGBEAT</t>
        </is>
      </c>
    </row>
    <row r="4367">
      <c r="A4367" s="3" t="inlineStr">
        <is>
          <t>SPECIES_KILOWATTREL</t>
        </is>
      </c>
      <c r="B4367" s="3" t="inlineStr">
        <is>
          <t>Kilowattrel</t>
        </is>
      </c>
      <c r="C4367" s="3" t="n">
        <v>36</v>
      </c>
      <c r="D4367" s="3" t="inlineStr">
        <is>
          <t>Agility</t>
        </is>
      </c>
      <c r="E4367" s="3" t="inlineStr">
        <is>
          <t>MOVE_AGILITY</t>
        </is>
      </c>
    </row>
    <row r="4368">
      <c r="A4368" s="3" t="inlineStr">
        <is>
          <t>SPECIES_KILOWATTREL</t>
        </is>
      </c>
      <c r="B4368" s="3" t="inlineStr">
        <is>
          <t>Kilowattrel</t>
        </is>
      </c>
      <c r="C4368" s="3" t="n">
        <v>43</v>
      </c>
      <c r="D4368" s="3" t="inlineStr">
        <is>
          <t>Volt Switch</t>
        </is>
      </c>
      <c r="E4368" s="3" t="inlineStr">
        <is>
          <t>MOVE_VOLT_SWITCH</t>
        </is>
      </c>
    </row>
    <row r="4369">
      <c r="A4369" s="3" t="inlineStr">
        <is>
          <t>SPECIES_KILOWATTREL</t>
        </is>
      </c>
      <c r="B4369" s="3" t="inlineStr">
        <is>
          <t>Kilowattrel</t>
        </is>
      </c>
      <c r="C4369" s="3" t="n">
        <v>48</v>
      </c>
      <c r="D4369" s="3" t="inlineStr">
        <is>
          <t>Discharge</t>
        </is>
      </c>
      <c r="E4369" s="3" t="inlineStr">
        <is>
          <t>MOVE_DISCHARGE</t>
        </is>
      </c>
    </row>
    <row r="4370">
      <c r="A4370" s="3" t="inlineStr">
        <is>
          <t>SPECIES_KILOWATTREL</t>
        </is>
      </c>
      <c r="B4370" s="3" t="inlineStr">
        <is>
          <t>Kilowattrel</t>
        </is>
      </c>
      <c r="C4370" s="3" t="n">
        <v>55</v>
      </c>
      <c r="D4370" s="3" t="inlineStr">
        <is>
          <t>Hurricane</t>
        </is>
      </c>
      <c r="E4370" s="3" t="inlineStr">
        <is>
          <t>MOVE_HURRICANE</t>
        </is>
      </c>
    </row>
    <row r="4371">
      <c r="A4371" s="3" t="inlineStr">
        <is>
          <t>SPECIES_FLITTLE</t>
        </is>
      </c>
      <c r="B4371" s="3" t="inlineStr">
        <is>
          <t>Flittle</t>
        </is>
      </c>
      <c r="C4371" s="3" t="n">
        <v>1</v>
      </c>
      <c r="D4371" s="3" t="inlineStr">
        <is>
          <t>Growl</t>
        </is>
      </c>
      <c r="E4371" s="3" t="inlineStr">
        <is>
          <t>MOVE_GROWL</t>
        </is>
      </c>
    </row>
    <row r="4372">
      <c r="A4372" s="3" t="inlineStr">
        <is>
          <t>SPECIES_FLITTLE</t>
        </is>
      </c>
      <c r="B4372" s="3" t="inlineStr">
        <is>
          <t>Flittle</t>
        </is>
      </c>
      <c r="C4372" s="3" t="n">
        <v>1</v>
      </c>
      <c r="D4372" s="3" t="inlineStr">
        <is>
          <t>Peck</t>
        </is>
      </c>
      <c r="E4372" s="3" t="inlineStr">
        <is>
          <t>MOVE_PECK</t>
        </is>
      </c>
    </row>
    <row r="4373">
      <c r="A4373" s="3" t="inlineStr">
        <is>
          <t>SPECIES_FLITTLE</t>
        </is>
      </c>
      <c r="B4373" s="3" t="inlineStr">
        <is>
          <t>Flittle</t>
        </is>
      </c>
      <c r="C4373" s="3" t="n">
        <v>5</v>
      </c>
      <c r="D4373" s="3" t="inlineStr">
        <is>
          <t>Confusion</t>
        </is>
      </c>
      <c r="E4373" s="3" t="inlineStr">
        <is>
          <t>MOVE_CONFUSION</t>
        </is>
      </c>
    </row>
    <row r="4374">
      <c r="A4374" s="3" t="inlineStr">
        <is>
          <t>SPECIES_FLITTLE</t>
        </is>
      </c>
      <c r="B4374" s="3" t="inlineStr">
        <is>
          <t>Flittle</t>
        </is>
      </c>
      <c r="C4374" s="3" t="n">
        <v>8</v>
      </c>
      <c r="D4374" s="3" t="inlineStr">
        <is>
          <t>Doll Eyes</t>
        </is>
      </c>
      <c r="E4374" s="3" t="inlineStr">
        <is>
          <t>MOVE_BABY_DOLL_EYES</t>
        </is>
      </c>
    </row>
    <row r="4375">
      <c r="A4375" s="3" t="inlineStr">
        <is>
          <t>SPECIES_FLITTLE</t>
        </is>
      </c>
      <c r="B4375" s="3" t="inlineStr">
        <is>
          <t>Flittle</t>
        </is>
      </c>
      <c r="C4375" s="3" t="n">
        <v>11</v>
      </c>
      <c r="D4375" s="3" t="inlineStr">
        <is>
          <t>Disarming Voice</t>
        </is>
      </c>
      <c r="E4375" s="3" t="inlineStr">
        <is>
          <t>MOVE_DISARMING_VOICE</t>
        </is>
      </c>
    </row>
    <row r="4376">
      <c r="A4376" s="3" t="inlineStr">
        <is>
          <t>SPECIES_FLITTLE</t>
        </is>
      </c>
      <c r="B4376" s="3" t="inlineStr">
        <is>
          <t>Flittle</t>
        </is>
      </c>
      <c r="C4376" s="3" t="n">
        <v>15</v>
      </c>
      <c r="D4376" s="3" t="inlineStr">
        <is>
          <t>Quick Attack</t>
        </is>
      </c>
      <c r="E4376" s="3" t="inlineStr">
        <is>
          <t>MOVE_QUICK_ATTACK</t>
        </is>
      </c>
    </row>
    <row r="4377">
      <c r="A4377" s="3" t="inlineStr">
        <is>
          <t>SPECIES_FLITTLE</t>
        </is>
      </c>
      <c r="B4377" s="3" t="inlineStr">
        <is>
          <t>Flittle</t>
        </is>
      </c>
      <c r="C4377" s="3" t="n">
        <v>19</v>
      </c>
      <c r="D4377" s="3" t="inlineStr">
        <is>
          <t>Psybeam</t>
        </is>
      </c>
      <c r="E4377" s="3" t="inlineStr">
        <is>
          <t>MOVE_PSYBEAM</t>
        </is>
      </c>
    </row>
    <row r="4378">
      <c r="A4378" s="3" t="inlineStr">
        <is>
          <t>SPECIES_FLITTLE</t>
        </is>
      </c>
      <c r="B4378" s="3" t="inlineStr">
        <is>
          <t>Flittle</t>
        </is>
      </c>
      <c r="C4378" s="3" t="n">
        <v>24</v>
      </c>
      <c r="D4378" s="3" t="inlineStr">
        <is>
          <t>Pluck</t>
        </is>
      </c>
      <c r="E4378" s="3" t="inlineStr">
        <is>
          <t>MOVE_PLUCK</t>
        </is>
      </c>
    </row>
    <row r="4379">
      <c r="A4379" s="3" t="inlineStr">
        <is>
          <t>SPECIES_FLITTLE</t>
        </is>
      </c>
      <c r="B4379" s="3" t="inlineStr">
        <is>
          <t>Flittle</t>
        </is>
      </c>
      <c r="C4379" s="3" t="n">
        <v>29</v>
      </c>
      <c r="D4379" s="3" t="inlineStr">
        <is>
          <t>Agility</t>
        </is>
      </c>
      <c r="E4379" s="3" t="inlineStr">
        <is>
          <t>MOVE_AGILITY</t>
        </is>
      </c>
    </row>
    <row r="4380">
      <c r="A4380" s="3" t="inlineStr">
        <is>
          <t>SPECIES_FLITTLE</t>
        </is>
      </c>
      <c r="B4380" s="3" t="inlineStr">
        <is>
          <t>Flittle</t>
        </is>
      </c>
      <c r="C4380" s="3" t="n">
        <v>34</v>
      </c>
      <c r="D4380" s="3" t="inlineStr">
        <is>
          <t>Uproar</t>
        </is>
      </c>
      <c r="E4380" s="3" t="inlineStr">
        <is>
          <t>MOVE_UPROAR</t>
        </is>
      </c>
    </row>
    <row r="4381">
      <c r="A4381" s="3" t="inlineStr">
        <is>
          <t>SPECIES_ESPATHRA</t>
        </is>
      </c>
      <c r="B4381" s="3" t="inlineStr">
        <is>
          <t>Espathra</t>
        </is>
      </c>
      <c r="C4381" s="3" t="n">
        <v>0</v>
      </c>
      <c r="D4381" s="3" t="inlineStr">
        <is>
          <t>Lumina Crash</t>
        </is>
      </c>
      <c r="E4381" s="3" t="inlineStr">
        <is>
          <t>MOVE_LUMINA_CRASH</t>
        </is>
      </c>
    </row>
    <row r="4382">
      <c r="A4382" s="3" t="inlineStr">
        <is>
          <t>SPECIES_ESPATHRA</t>
        </is>
      </c>
      <c r="B4382" s="3" t="inlineStr">
        <is>
          <t>Espathra</t>
        </is>
      </c>
      <c r="C4382" s="3" t="n">
        <v>1</v>
      </c>
      <c r="D4382" s="3" t="inlineStr">
        <is>
          <t>Growl</t>
        </is>
      </c>
      <c r="E4382" s="3" t="inlineStr">
        <is>
          <t>MOVE_GROWL</t>
        </is>
      </c>
    </row>
    <row r="4383">
      <c r="A4383" s="3" t="inlineStr">
        <is>
          <t>SPECIES_ESPATHRA</t>
        </is>
      </c>
      <c r="B4383" s="3" t="inlineStr">
        <is>
          <t>Espathra</t>
        </is>
      </c>
      <c r="C4383" s="3" t="n">
        <v>1</v>
      </c>
      <c r="D4383" s="3" t="inlineStr">
        <is>
          <t>Peck</t>
        </is>
      </c>
      <c r="E4383" s="3" t="inlineStr">
        <is>
          <t>MOVE_PECK</t>
        </is>
      </c>
    </row>
    <row r="4384">
      <c r="A4384" s="3" t="inlineStr">
        <is>
          <t>SPECIES_ESPATHRA</t>
        </is>
      </c>
      <c r="B4384" s="3" t="inlineStr">
        <is>
          <t>Espathra</t>
        </is>
      </c>
      <c r="C4384" s="3" t="n">
        <v>1</v>
      </c>
      <c r="D4384" s="3" t="inlineStr">
        <is>
          <t>Drill Peck</t>
        </is>
      </c>
      <c r="E4384" s="3" t="inlineStr">
        <is>
          <t>MOVE_DRILL_PECK</t>
        </is>
      </c>
    </row>
    <row r="4385">
      <c r="A4385" s="3" t="inlineStr">
        <is>
          <t>SPECIES_ESPATHRA</t>
        </is>
      </c>
      <c r="B4385" s="3" t="inlineStr">
        <is>
          <t>Espathra</t>
        </is>
      </c>
      <c r="C4385" s="3" t="n">
        <v>1</v>
      </c>
      <c r="D4385" s="3" t="inlineStr">
        <is>
          <t>Feather Dance</t>
        </is>
      </c>
      <c r="E4385" s="3" t="inlineStr">
        <is>
          <t>MOVE_FEATHER_DANCE</t>
        </is>
      </c>
    </row>
    <row r="4386">
      <c r="A4386" s="3" t="inlineStr">
        <is>
          <t>SPECIES_ESPATHRA</t>
        </is>
      </c>
      <c r="B4386" s="3" t="inlineStr">
        <is>
          <t>Espathra</t>
        </is>
      </c>
      <c r="C4386" s="3" t="n">
        <v>5</v>
      </c>
      <c r="D4386" s="3" t="inlineStr">
        <is>
          <t>Confusion</t>
        </is>
      </c>
      <c r="E4386" s="3" t="inlineStr">
        <is>
          <t>MOVE_CONFUSION</t>
        </is>
      </c>
    </row>
    <row r="4387">
      <c r="A4387" s="3" t="inlineStr">
        <is>
          <t>SPECIES_ESPATHRA</t>
        </is>
      </c>
      <c r="B4387" s="3" t="inlineStr">
        <is>
          <t>Espathra</t>
        </is>
      </c>
      <c r="C4387" s="3" t="n">
        <v>8</v>
      </c>
      <c r="D4387" s="3" t="inlineStr">
        <is>
          <t>Doll Eyes</t>
        </is>
      </c>
      <c r="E4387" s="3" t="inlineStr">
        <is>
          <t>MOVE_BABY_DOLL_EYES</t>
        </is>
      </c>
    </row>
    <row r="4388">
      <c r="A4388" s="3" t="inlineStr">
        <is>
          <t>SPECIES_ESPATHRA</t>
        </is>
      </c>
      <c r="B4388" s="3" t="inlineStr">
        <is>
          <t>Espathra</t>
        </is>
      </c>
      <c r="C4388" s="3" t="n">
        <v>11</v>
      </c>
      <c r="D4388" s="3" t="inlineStr">
        <is>
          <t>Disarming Voice</t>
        </is>
      </c>
      <c r="E4388" s="3" t="inlineStr">
        <is>
          <t>MOVE_DISARMING_VOICE</t>
        </is>
      </c>
    </row>
    <row r="4389">
      <c r="A4389" s="3" t="inlineStr">
        <is>
          <t>SPECIES_ESPATHRA</t>
        </is>
      </c>
      <c r="B4389" s="3" t="inlineStr">
        <is>
          <t>Espathra</t>
        </is>
      </c>
      <c r="C4389" s="3" t="n">
        <v>15</v>
      </c>
      <c r="D4389" s="3" t="inlineStr">
        <is>
          <t>Quick Attack</t>
        </is>
      </c>
      <c r="E4389" s="3" t="inlineStr">
        <is>
          <t>MOVE_QUICK_ATTACK</t>
        </is>
      </c>
    </row>
    <row r="4390">
      <c r="A4390" s="3" t="inlineStr">
        <is>
          <t>SPECIES_ESPATHRA</t>
        </is>
      </c>
      <c r="B4390" s="3" t="inlineStr">
        <is>
          <t>Espathra</t>
        </is>
      </c>
      <c r="C4390" s="3" t="n">
        <v>19</v>
      </c>
      <c r="D4390" s="3" t="inlineStr">
        <is>
          <t>Psybeam</t>
        </is>
      </c>
      <c r="E4390" s="3" t="inlineStr">
        <is>
          <t>MOVE_PSYBEAM</t>
        </is>
      </c>
    </row>
    <row r="4391">
      <c r="A4391" s="3" t="inlineStr">
        <is>
          <t>SPECIES_ESPATHRA</t>
        </is>
      </c>
      <c r="B4391" s="3" t="inlineStr">
        <is>
          <t>Espathra</t>
        </is>
      </c>
      <c r="C4391" s="3" t="n">
        <v>24</v>
      </c>
      <c r="D4391" s="3" t="inlineStr">
        <is>
          <t>Pluck</t>
        </is>
      </c>
      <c r="E4391" s="3" t="inlineStr">
        <is>
          <t>MOVE_PLUCK</t>
        </is>
      </c>
    </row>
    <row r="4392">
      <c r="A4392" s="3" t="inlineStr">
        <is>
          <t>SPECIES_ESPATHRA</t>
        </is>
      </c>
      <c r="B4392" s="3" t="inlineStr">
        <is>
          <t>Espathra</t>
        </is>
      </c>
      <c r="C4392" s="3" t="n">
        <v>29</v>
      </c>
      <c r="D4392" s="3" t="inlineStr">
        <is>
          <t>Agility</t>
        </is>
      </c>
      <c r="E4392" s="3" t="inlineStr">
        <is>
          <t>MOVE_AGILITY</t>
        </is>
      </c>
    </row>
    <row r="4393">
      <c r="A4393" s="3" t="inlineStr">
        <is>
          <t>SPECIES_ESPATHRA</t>
        </is>
      </c>
      <c r="B4393" s="3" t="inlineStr">
        <is>
          <t>Espathra</t>
        </is>
      </c>
      <c r="C4393" s="3" t="n">
        <v>34</v>
      </c>
      <c r="D4393" s="3" t="inlineStr">
        <is>
          <t>Uproar</t>
        </is>
      </c>
      <c r="E4393" s="3" t="inlineStr">
        <is>
          <t>MOVE_UPROAR</t>
        </is>
      </c>
    </row>
    <row r="4394">
      <c r="A4394" s="3" t="inlineStr">
        <is>
          <t>SPECIES_ESPATHRA</t>
        </is>
      </c>
      <c r="B4394" s="3" t="inlineStr">
        <is>
          <t>Espathra</t>
        </is>
      </c>
      <c r="C4394" s="3" t="n">
        <v>43</v>
      </c>
      <c r="D4394" s="3" t="inlineStr">
        <is>
          <t>Dazzling Gleam</t>
        </is>
      </c>
      <c r="E4394" s="3" t="inlineStr">
        <is>
          <t>MOVE_DAZZLING_GLEAM</t>
        </is>
      </c>
    </row>
    <row r="4395">
      <c r="A4395" s="3" t="inlineStr">
        <is>
          <t>SPECIES_ESPATHRA</t>
        </is>
      </c>
      <c r="B4395" s="3" t="inlineStr">
        <is>
          <t>Espathra</t>
        </is>
      </c>
      <c r="C4395" s="3" t="n">
        <v>49</v>
      </c>
      <c r="D4395" s="3" t="inlineStr">
        <is>
          <t>Psychic</t>
        </is>
      </c>
      <c r="E4395" s="3" t="inlineStr">
        <is>
          <t>MOVE_PSYCHIC</t>
        </is>
      </c>
    </row>
    <row r="4396">
      <c r="A4396" s="3" t="inlineStr">
        <is>
          <t>SPECIES_ESPATHRA</t>
        </is>
      </c>
      <c r="B4396" s="3" t="inlineStr">
        <is>
          <t>Espathra</t>
        </is>
      </c>
      <c r="C4396" s="3" t="n">
        <v>54</v>
      </c>
      <c r="D4396" s="3" t="inlineStr">
        <is>
          <t>Last Resort</t>
        </is>
      </c>
      <c r="E4396" s="3" t="inlineStr">
        <is>
          <t>MOVE_LAST_RESORT</t>
        </is>
      </c>
    </row>
    <row r="4397">
      <c r="A4397" s="3" t="inlineStr">
        <is>
          <t>SPECIES_TINKATINK</t>
        </is>
      </c>
      <c r="B4397" s="3" t="inlineStr">
        <is>
          <t>Tinkatink</t>
        </is>
      </c>
      <c r="C4397" s="3" t="n">
        <v>1</v>
      </c>
      <c r="D4397" s="3" t="inlineStr">
        <is>
          <t>Astonish</t>
        </is>
      </c>
      <c r="E4397" s="3" t="inlineStr">
        <is>
          <t>MOVE_ASTONISH</t>
        </is>
      </c>
    </row>
    <row r="4398">
      <c r="A4398" s="3" t="inlineStr">
        <is>
          <t>SPECIES_TINKATINK</t>
        </is>
      </c>
      <c r="B4398" s="3" t="inlineStr">
        <is>
          <t>Tinkatink</t>
        </is>
      </c>
      <c r="C4398" s="3" t="n">
        <v>1</v>
      </c>
      <c r="D4398" s="3" t="inlineStr">
        <is>
          <t>Fairy Wind</t>
        </is>
      </c>
      <c r="E4398" s="3" t="inlineStr">
        <is>
          <t>MOVE_FAIRY_WIND</t>
        </is>
      </c>
    </row>
    <row r="4399">
      <c r="A4399" s="3" t="inlineStr">
        <is>
          <t>SPECIES_TINKATINK</t>
        </is>
      </c>
      <c r="B4399" s="3" t="inlineStr">
        <is>
          <t>Tinkatink</t>
        </is>
      </c>
      <c r="C4399" s="3" t="n">
        <v>5</v>
      </c>
      <c r="D4399" s="3" t="inlineStr">
        <is>
          <t>Doll Eyes</t>
        </is>
      </c>
      <c r="E4399" s="3" t="inlineStr">
        <is>
          <t>MOVE_BABY_DOLL_EYES</t>
        </is>
      </c>
    </row>
    <row r="4400">
      <c r="A4400" s="3" t="inlineStr">
        <is>
          <t>SPECIES_TINKATINK</t>
        </is>
      </c>
      <c r="B4400" s="3" t="inlineStr">
        <is>
          <t>Tinkatink</t>
        </is>
      </c>
      <c r="C4400" s="3" t="n">
        <v>8</v>
      </c>
      <c r="D4400" s="3" t="inlineStr">
        <is>
          <t>Metal Claw</t>
        </is>
      </c>
      <c r="E4400" s="3" t="inlineStr">
        <is>
          <t>MOVE_METAL_CLAW</t>
        </is>
      </c>
    </row>
    <row r="4401">
      <c r="A4401" s="3" t="inlineStr">
        <is>
          <t>SPECIES_TINKATINK</t>
        </is>
      </c>
      <c r="B4401" s="3" t="inlineStr">
        <is>
          <t>Tinkatink</t>
        </is>
      </c>
      <c r="C4401" s="3" t="n">
        <v>11</v>
      </c>
      <c r="D4401" s="3" t="inlineStr">
        <is>
          <t>Covet</t>
        </is>
      </c>
      <c r="E4401" s="3" t="inlineStr">
        <is>
          <t>MOVE_COVET</t>
        </is>
      </c>
    </row>
    <row r="4402">
      <c r="A4402" s="3" t="inlineStr">
        <is>
          <t>SPECIES_TINKATINK</t>
        </is>
      </c>
      <c r="B4402" s="3" t="inlineStr">
        <is>
          <t>Tinkatink</t>
        </is>
      </c>
      <c r="C4402" s="3" t="n">
        <v>14</v>
      </c>
      <c r="D4402" s="3" t="inlineStr">
        <is>
          <t>Rock Smash</t>
        </is>
      </c>
      <c r="E4402" s="3" t="inlineStr">
        <is>
          <t>MOVE_ROCK_SMASH</t>
        </is>
      </c>
    </row>
    <row r="4403">
      <c r="A4403" s="3" t="inlineStr">
        <is>
          <t>SPECIES_TINKATINK</t>
        </is>
      </c>
      <c r="B4403" s="3" t="inlineStr">
        <is>
          <t>Tinkatink</t>
        </is>
      </c>
      <c r="C4403" s="3" t="n">
        <v>17</v>
      </c>
      <c r="D4403" s="3" t="inlineStr">
        <is>
          <t>Draining Kiss</t>
        </is>
      </c>
      <c r="E4403" s="3" t="inlineStr">
        <is>
          <t>MOVE_DRAINING_KISS</t>
        </is>
      </c>
    </row>
    <row r="4404">
      <c r="A4404" s="3" t="inlineStr">
        <is>
          <t>SPECIES_TINKATINK</t>
        </is>
      </c>
      <c r="B4404" s="3" t="inlineStr">
        <is>
          <t>Tinkatink</t>
        </is>
      </c>
      <c r="C4404" s="3" t="n">
        <v>21</v>
      </c>
      <c r="D4404" s="3" t="inlineStr">
        <is>
          <t>Sweet Kiss</t>
        </is>
      </c>
      <c r="E4404" s="3" t="inlineStr">
        <is>
          <t>MOVE_SWEET_KISS</t>
        </is>
      </c>
    </row>
    <row r="4405">
      <c r="A4405" s="3" t="inlineStr">
        <is>
          <t>SPECIES_TINKATINK</t>
        </is>
      </c>
      <c r="B4405" s="3" t="inlineStr">
        <is>
          <t>Tinkatink</t>
        </is>
      </c>
      <c r="C4405" s="3" t="n">
        <v>24</v>
      </c>
      <c r="D4405" s="3" t="inlineStr">
        <is>
          <t>Brutal Swing</t>
        </is>
      </c>
      <c r="E4405" s="3" t="inlineStr">
        <is>
          <t>MOVE_BRUTAL_SWING</t>
        </is>
      </c>
    </row>
    <row r="4406">
      <c r="A4406" s="3" t="inlineStr">
        <is>
          <t>SPECIES_TINKATINK</t>
        </is>
      </c>
      <c r="B4406" s="3" t="inlineStr">
        <is>
          <t>Tinkatink</t>
        </is>
      </c>
      <c r="C4406" s="3" t="n">
        <v>27</v>
      </c>
      <c r="D4406" s="3" t="inlineStr">
        <is>
          <t>Slam</t>
        </is>
      </c>
      <c r="E4406" s="3" t="inlineStr">
        <is>
          <t>MOVE_SLAM</t>
        </is>
      </c>
    </row>
    <row r="4407">
      <c r="A4407" s="3" t="inlineStr">
        <is>
          <t>SPECIES_TINKATINK</t>
        </is>
      </c>
      <c r="B4407" s="3" t="inlineStr">
        <is>
          <t>Tinkatink</t>
        </is>
      </c>
      <c r="C4407" s="3" t="n">
        <v>31</v>
      </c>
      <c r="D4407" s="3" t="inlineStr">
        <is>
          <t>Flash Cannon</t>
        </is>
      </c>
      <c r="E4407" s="3" t="inlineStr">
        <is>
          <t>MOVE_FLASH_CANNON</t>
        </is>
      </c>
    </row>
    <row r="4408">
      <c r="A4408" s="3" t="inlineStr">
        <is>
          <t>SPECIES_TINKATINK</t>
        </is>
      </c>
      <c r="B4408" s="3" t="inlineStr">
        <is>
          <t>Tinkatink</t>
        </is>
      </c>
      <c r="C4408" s="3" t="n">
        <v>35</v>
      </c>
      <c r="D4408" s="3" t="inlineStr">
        <is>
          <t>Play Rough</t>
        </is>
      </c>
      <c r="E4408" s="3" t="inlineStr">
        <is>
          <t>MOVE_PLAY_ROUGH</t>
        </is>
      </c>
    </row>
    <row r="4409">
      <c r="A4409" s="3" t="inlineStr">
        <is>
          <t>SPECIES_TINKATINK</t>
        </is>
      </c>
      <c r="B4409" s="3" t="inlineStr">
        <is>
          <t>Tinkatink</t>
        </is>
      </c>
      <c r="C4409" s="3" t="n">
        <v>39</v>
      </c>
      <c r="D4409" s="3" t="inlineStr">
        <is>
          <t>Fake Out</t>
        </is>
      </c>
      <c r="E4409" s="3" t="inlineStr">
        <is>
          <t>MOVE_FAKE_OUT</t>
        </is>
      </c>
    </row>
    <row r="4410">
      <c r="A4410" s="3" t="inlineStr">
        <is>
          <t>SPECIES_TINKATINK</t>
        </is>
      </c>
      <c r="B4410" s="3" t="inlineStr">
        <is>
          <t>Tinkatink</t>
        </is>
      </c>
      <c r="C4410" s="3" t="n">
        <v>43</v>
      </c>
      <c r="D4410" s="3" t="inlineStr">
        <is>
          <t>Flatter</t>
        </is>
      </c>
      <c r="E4410" s="3" t="inlineStr">
        <is>
          <t>MOVE_FLATTER</t>
        </is>
      </c>
    </row>
    <row r="4411">
      <c r="A4411" s="3" t="inlineStr">
        <is>
          <t>SPECIES_TINKATINK</t>
        </is>
      </c>
      <c r="B4411" s="3" t="inlineStr">
        <is>
          <t>Tinkatink</t>
        </is>
      </c>
      <c r="C4411" s="3" t="n">
        <v>47</v>
      </c>
      <c r="D4411" s="3" t="inlineStr">
        <is>
          <t>Skitter Smack</t>
        </is>
      </c>
      <c r="E4411" s="3" t="inlineStr">
        <is>
          <t>MOVE_SKITTER_SMACK</t>
        </is>
      </c>
    </row>
    <row r="4412">
      <c r="A4412" s="3" t="inlineStr">
        <is>
          <t>SPECIES_TINKATINK</t>
        </is>
      </c>
      <c r="B4412" s="3" t="inlineStr">
        <is>
          <t>Tinkatink</t>
        </is>
      </c>
      <c r="C4412" s="3" t="n">
        <v>52</v>
      </c>
      <c r="D4412" s="3" t="inlineStr">
        <is>
          <t>Knock Off</t>
        </is>
      </c>
      <c r="E4412" s="3" t="inlineStr">
        <is>
          <t>MOVE_KNOCK_OFF</t>
        </is>
      </c>
    </row>
    <row r="4413">
      <c r="A4413" s="3" t="inlineStr">
        <is>
          <t>SPECIES_TINKATUFF</t>
        </is>
      </c>
      <c r="B4413" s="3" t="inlineStr">
        <is>
          <t>Tinkatuff</t>
        </is>
      </c>
      <c r="C4413" s="3" t="n">
        <v>1</v>
      </c>
      <c r="D4413" s="3" t="inlineStr">
        <is>
          <t>Astonish</t>
        </is>
      </c>
      <c r="E4413" s="3" t="inlineStr">
        <is>
          <t>MOVE_ASTONISH</t>
        </is>
      </c>
    </row>
    <row r="4414">
      <c r="A4414" s="3" t="inlineStr">
        <is>
          <t>SPECIES_TINKATUFF</t>
        </is>
      </c>
      <c r="B4414" s="3" t="inlineStr">
        <is>
          <t>Tinkatuff</t>
        </is>
      </c>
      <c r="C4414" s="3" t="n">
        <v>1</v>
      </c>
      <c r="D4414" s="3" t="inlineStr">
        <is>
          <t>Fairy Wind</t>
        </is>
      </c>
      <c r="E4414" s="3" t="inlineStr">
        <is>
          <t>MOVE_FAIRY_WIND</t>
        </is>
      </c>
    </row>
    <row r="4415">
      <c r="A4415" s="3" t="inlineStr">
        <is>
          <t>SPECIES_TINKATUFF</t>
        </is>
      </c>
      <c r="B4415" s="3" t="inlineStr">
        <is>
          <t>Tinkatuff</t>
        </is>
      </c>
      <c r="C4415" s="3" t="n">
        <v>5</v>
      </c>
      <c r="D4415" s="3" t="inlineStr">
        <is>
          <t>Doll Eyes</t>
        </is>
      </c>
      <c r="E4415" s="3" t="inlineStr">
        <is>
          <t>MOVE_BABY_DOLL_EYES</t>
        </is>
      </c>
    </row>
    <row r="4416">
      <c r="A4416" s="3" t="inlineStr">
        <is>
          <t>SPECIES_TINKATUFF</t>
        </is>
      </c>
      <c r="B4416" s="3" t="inlineStr">
        <is>
          <t>Tinkatuff</t>
        </is>
      </c>
      <c r="C4416" s="3" t="n">
        <v>8</v>
      </c>
      <c r="D4416" s="3" t="inlineStr">
        <is>
          <t>Metal Claw</t>
        </is>
      </c>
      <c r="E4416" s="3" t="inlineStr">
        <is>
          <t>MOVE_METAL_CLAW</t>
        </is>
      </c>
    </row>
    <row r="4417">
      <c r="A4417" s="3" t="inlineStr">
        <is>
          <t>SPECIES_TINKATUFF</t>
        </is>
      </c>
      <c r="B4417" s="3" t="inlineStr">
        <is>
          <t>Tinkatuff</t>
        </is>
      </c>
      <c r="C4417" s="3" t="n">
        <v>11</v>
      </c>
      <c r="D4417" s="3" t="inlineStr">
        <is>
          <t>Covet</t>
        </is>
      </c>
      <c r="E4417" s="3" t="inlineStr">
        <is>
          <t>MOVE_COVET</t>
        </is>
      </c>
    </row>
    <row r="4418">
      <c r="A4418" s="3" t="inlineStr">
        <is>
          <t>SPECIES_TINKATUFF</t>
        </is>
      </c>
      <c r="B4418" s="3" t="inlineStr">
        <is>
          <t>Tinkatuff</t>
        </is>
      </c>
      <c r="C4418" s="3" t="n">
        <v>14</v>
      </c>
      <c r="D4418" s="3" t="inlineStr">
        <is>
          <t>Rock Smash</t>
        </is>
      </c>
      <c r="E4418" s="3" t="inlineStr">
        <is>
          <t>MOVE_ROCK_SMASH</t>
        </is>
      </c>
    </row>
    <row r="4419">
      <c r="A4419" s="3" t="inlineStr">
        <is>
          <t>SPECIES_TINKATUFF</t>
        </is>
      </c>
      <c r="B4419" s="3" t="inlineStr">
        <is>
          <t>Tinkatuff</t>
        </is>
      </c>
      <c r="C4419" s="3" t="n">
        <v>17</v>
      </c>
      <c r="D4419" s="3" t="inlineStr">
        <is>
          <t>Draining Kiss</t>
        </is>
      </c>
      <c r="E4419" s="3" t="inlineStr">
        <is>
          <t>MOVE_DRAINING_KISS</t>
        </is>
      </c>
    </row>
    <row r="4420">
      <c r="A4420" s="3" t="inlineStr">
        <is>
          <t>SPECIES_TINKATUFF</t>
        </is>
      </c>
      <c r="B4420" s="3" t="inlineStr">
        <is>
          <t>Tinkatuff</t>
        </is>
      </c>
      <c r="C4420" s="3" t="n">
        <v>21</v>
      </c>
      <c r="D4420" s="3" t="inlineStr">
        <is>
          <t>Sweet Kiss</t>
        </is>
      </c>
      <c r="E4420" s="3" t="inlineStr">
        <is>
          <t>MOVE_SWEET_KISS</t>
        </is>
      </c>
    </row>
    <row r="4421">
      <c r="A4421" s="3" t="inlineStr">
        <is>
          <t>SPECIES_TINKATUFF</t>
        </is>
      </c>
      <c r="B4421" s="3" t="inlineStr">
        <is>
          <t>Tinkatuff</t>
        </is>
      </c>
      <c r="C4421" s="3" t="n">
        <v>24</v>
      </c>
      <c r="D4421" s="3" t="inlineStr">
        <is>
          <t>Brutal Swing</t>
        </is>
      </c>
      <c r="E4421" s="3" t="inlineStr">
        <is>
          <t>MOVE_BRUTAL_SWING</t>
        </is>
      </c>
    </row>
    <row r="4422">
      <c r="A4422" s="3" t="inlineStr">
        <is>
          <t>SPECIES_TINKATUFF</t>
        </is>
      </c>
      <c r="B4422" s="3" t="inlineStr">
        <is>
          <t>Tinkatuff</t>
        </is>
      </c>
      <c r="C4422" s="3" t="n">
        <v>27</v>
      </c>
      <c r="D4422" s="3" t="inlineStr">
        <is>
          <t>Slam</t>
        </is>
      </c>
      <c r="E4422" s="3" t="inlineStr">
        <is>
          <t>MOVE_SLAM</t>
        </is>
      </c>
    </row>
    <row r="4423">
      <c r="A4423" s="3" t="inlineStr">
        <is>
          <t>SPECIES_TINKATUFF</t>
        </is>
      </c>
      <c r="B4423" s="3" t="inlineStr">
        <is>
          <t>Tinkatuff</t>
        </is>
      </c>
      <c r="C4423" s="3" t="n">
        <v>31</v>
      </c>
      <c r="D4423" s="3" t="inlineStr">
        <is>
          <t>Flash Cannon</t>
        </is>
      </c>
      <c r="E4423" s="3" t="inlineStr">
        <is>
          <t>MOVE_FLASH_CANNON</t>
        </is>
      </c>
    </row>
    <row r="4424">
      <c r="A4424" s="3" t="inlineStr">
        <is>
          <t>SPECIES_TINKATUFF</t>
        </is>
      </c>
      <c r="B4424" s="3" t="inlineStr">
        <is>
          <t>Tinkatuff</t>
        </is>
      </c>
      <c r="C4424" s="3" t="n">
        <v>35</v>
      </c>
      <c r="D4424" s="3" t="inlineStr">
        <is>
          <t>Play Rough</t>
        </is>
      </c>
      <c r="E4424" s="3" t="inlineStr">
        <is>
          <t>MOVE_PLAY_ROUGH</t>
        </is>
      </c>
    </row>
    <row r="4425">
      <c r="A4425" s="3" t="inlineStr">
        <is>
          <t>SPECIES_TINKATUFF</t>
        </is>
      </c>
      <c r="B4425" s="3" t="inlineStr">
        <is>
          <t>Tinkatuff</t>
        </is>
      </c>
      <c r="C4425" s="3" t="n">
        <v>39</v>
      </c>
      <c r="D4425" s="3" t="inlineStr">
        <is>
          <t>Fake Out</t>
        </is>
      </c>
      <c r="E4425" s="3" t="inlineStr">
        <is>
          <t>MOVE_FAKE_OUT</t>
        </is>
      </c>
    </row>
    <row r="4426">
      <c r="A4426" s="3" t="inlineStr">
        <is>
          <t>SPECIES_TINKATUFF</t>
        </is>
      </c>
      <c r="B4426" s="3" t="inlineStr">
        <is>
          <t>Tinkatuff</t>
        </is>
      </c>
      <c r="C4426" s="3" t="n">
        <v>43</v>
      </c>
      <c r="D4426" s="3" t="inlineStr">
        <is>
          <t>Flatter</t>
        </is>
      </c>
      <c r="E4426" s="3" t="inlineStr">
        <is>
          <t>MOVE_FLATTER</t>
        </is>
      </c>
    </row>
    <row r="4427">
      <c r="A4427" s="3" t="inlineStr">
        <is>
          <t>SPECIES_TINKATUFF</t>
        </is>
      </c>
      <c r="B4427" s="3" t="inlineStr">
        <is>
          <t>Tinkatuff</t>
        </is>
      </c>
      <c r="C4427" s="3" t="n">
        <v>47</v>
      </c>
      <c r="D4427" s="3" t="inlineStr">
        <is>
          <t>Skitter Smack</t>
        </is>
      </c>
      <c r="E4427" s="3" t="inlineStr">
        <is>
          <t>MOVE_SKITTER_SMACK</t>
        </is>
      </c>
    </row>
    <row r="4428">
      <c r="A4428" s="3" t="inlineStr">
        <is>
          <t>SPECIES_TINKATUFF</t>
        </is>
      </c>
      <c r="B4428" s="3" t="inlineStr">
        <is>
          <t>Tinkatuff</t>
        </is>
      </c>
      <c r="C4428" s="3" t="n">
        <v>52</v>
      </c>
      <c r="D4428" s="3" t="inlineStr">
        <is>
          <t>Knock Off</t>
        </is>
      </c>
      <c r="E4428" s="3" t="inlineStr">
        <is>
          <t>MOVE_KNOCK_OFF</t>
        </is>
      </c>
    </row>
    <row r="4429">
      <c r="A4429" s="3" t="inlineStr">
        <is>
          <t>SPECIES_TINKATON</t>
        </is>
      </c>
      <c r="B4429" s="3" t="inlineStr">
        <is>
          <t>Tinkaton</t>
        </is>
      </c>
      <c r="C4429" s="3" t="n">
        <v>0</v>
      </c>
      <c r="D4429" s="3" t="inlineStr">
        <is>
          <t>Gigaton Hammer</t>
        </is>
      </c>
      <c r="E4429" s="3" t="inlineStr">
        <is>
          <t>MOVE_GIGATON_HAMMER</t>
        </is>
      </c>
    </row>
    <row r="4430">
      <c r="A4430" s="3" t="inlineStr">
        <is>
          <t>SPECIES_TINKATON</t>
        </is>
      </c>
      <c r="B4430" s="3" t="inlineStr">
        <is>
          <t>Tinkaton</t>
        </is>
      </c>
      <c r="C4430" s="3" t="n">
        <v>1</v>
      </c>
      <c r="D4430" s="3" t="inlineStr">
        <is>
          <t>Fairy Wind</t>
        </is>
      </c>
      <c r="E4430" s="3" t="inlineStr">
        <is>
          <t>MOVE_FAIRY_WIND</t>
        </is>
      </c>
    </row>
    <row r="4431">
      <c r="A4431" s="3" t="inlineStr">
        <is>
          <t>SPECIES_TINKATON</t>
        </is>
      </c>
      <c r="B4431" s="3" t="inlineStr">
        <is>
          <t>Tinkaton</t>
        </is>
      </c>
      <c r="C4431" s="3" t="n">
        <v>1</v>
      </c>
      <c r="D4431" s="3" t="inlineStr">
        <is>
          <t>Astonish</t>
        </is>
      </c>
      <c r="E4431" s="3" t="inlineStr">
        <is>
          <t>MOVE_ASTONISH</t>
        </is>
      </c>
    </row>
    <row r="4432">
      <c r="A4432" s="3" t="inlineStr">
        <is>
          <t>SPECIES_TINKATON</t>
        </is>
      </c>
      <c r="B4432" s="3" t="inlineStr">
        <is>
          <t>Tinkaton</t>
        </is>
      </c>
      <c r="C4432" s="3" t="n">
        <v>5</v>
      </c>
      <c r="D4432" s="3" t="inlineStr">
        <is>
          <t>Doll Eyes</t>
        </is>
      </c>
      <c r="E4432" s="3" t="inlineStr">
        <is>
          <t>MOVE_BABY_DOLL_EYES</t>
        </is>
      </c>
    </row>
    <row r="4433">
      <c r="A4433" s="3" t="inlineStr">
        <is>
          <t>SPECIES_TINKATON</t>
        </is>
      </c>
      <c r="B4433" s="3" t="inlineStr">
        <is>
          <t>Tinkaton</t>
        </is>
      </c>
      <c r="C4433" s="3" t="n">
        <v>8</v>
      </c>
      <c r="D4433" s="3" t="inlineStr">
        <is>
          <t>Metal Claw</t>
        </is>
      </c>
      <c r="E4433" s="3" t="inlineStr">
        <is>
          <t>MOVE_METAL_CLAW</t>
        </is>
      </c>
    </row>
    <row r="4434">
      <c r="A4434" s="3" t="inlineStr">
        <is>
          <t>SPECIES_TINKATON</t>
        </is>
      </c>
      <c r="B4434" s="3" t="inlineStr">
        <is>
          <t>Tinkaton</t>
        </is>
      </c>
      <c r="C4434" s="3" t="n">
        <v>11</v>
      </c>
      <c r="D4434" s="3" t="inlineStr">
        <is>
          <t>Covet</t>
        </is>
      </c>
      <c r="E4434" s="3" t="inlineStr">
        <is>
          <t>MOVE_COVET</t>
        </is>
      </c>
    </row>
    <row r="4435">
      <c r="A4435" s="3" t="inlineStr">
        <is>
          <t>SPECIES_TINKATON</t>
        </is>
      </c>
      <c r="B4435" s="3" t="inlineStr">
        <is>
          <t>Tinkaton</t>
        </is>
      </c>
      <c r="C4435" s="3" t="n">
        <v>14</v>
      </c>
      <c r="D4435" s="3" t="inlineStr">
        <is>
          <t>Rock Smash</t>
        </is>
      </c>
      <c r="E4435" s="3" t="inlineStr">
        <is>
          <t>MOVE_ROCK_SMASH</t>
        </is>
      </c>
    </row>
    <row r="4436">
      <c r="A4436" s="3" t="inlineStr">
        <is>
          <t>SPECIES_TINKATON</t>
        </is>
      </c>
      <c r="B4436" s="3" t="inlineStr">
        <is>
          <t>Tinkaton</t>
        </is>
      </c>
      <c r="C4436" s="3" t="n">
        <v>17</v>
      </c>
      <c r="D4436" s="3" t="inlineStr">
        <is>
          <t>Draining Kiss</t>
        </is>
      </c>
      <c r="E4436" s="3" t="inlineStr">
        <is>
          <t>MOVE_DRAINING_KISS</t>
        </is>
      </c>
    </row>
    <row r="4437">
      <c r="A4437" s="3" t="inlineStr">
        <is>
          <t>SPECIES_TINKATON</t>
        </is>
      </c>
      <c r="B4437" s="3" t="inlineStr">
        <is>
          <t>Tinkaton</t>
        </is>
      </c>
      <c r="C4437" s="3" t="n">
        <v>21</v>
      </c>
      <c r="D4437" s="3" t="inlineStr">
        <is>
          <t>Sweet Kiss</t>
        </is>
      </c>
      <c r="E4437" s="3" t="inlineStr">
        <is>
          <t>MOVE_SWEET_KISS</t>
        </is>
      </c>
    </row>
    <row r="4438">
      <c r="A4438" s="3" t="inlineStr">
        <is>
          <t>SPECIES_TINKATON</t>
        </is>
      </c>
      <c r="B4438" s="3" t="inlineStr">
        <is>
          <t>Tinkaton</t>
        </is>
      </c>
      <c r="C4438" s="3" t="n">
        <v>24</v>
      </c>
      <c r="D4438" s="3" t="inlineStr">
        <is>
          <t>Brutal Swing</t>
        </is>
      </c>
      <c r="E4438" s="3" t="inlineStr">
        <is>
          <t>MOVE_BRUTAL_SWING</t>
        </is>
      </c>
    </row>
    <row r="4439">
      <c r="A4439" s="3" t="inlineStr">
        <is>
          <t>SPECIES_TINKATON</t>
        </is>
      </c>
      <c r="B4439" s="3" t="inlineStr">
        <is>
          <t>Tinkaton</t>
        </is>
      </c>
      <c r="C4439" s="3" t="n">
        <v>27</v>
      </c>
      <c r="D4439" s="3" t="inlineStr">
        <is>
          <t>Slam</t>
        </is>
      </c>
      <c r="E4439" s="3" t="inlineStr">
        <is>
          <t>MOVE_SLAM</t>
        </is>
      </c>
    </row>
    <row r="4440">
      <c r="A4440" s="3" t="inlineStr">
        <is>
          <t>SPECIES_TINKATON</t>
        </is>
      </c>
      <c r="B4440" s="3" t="inlineStr">
        <is>
          <t>Tinkaton</t>
        </is>
      </c>
      <c r="C4440" s="3" t="n">
        <v>31</v>
      </c>
      <c r="D4440" s="3" t="inlineStr">
        <is>
          <t>Flash Cannon</t>
        </is>
      </c>
      <c r="E4440" s="3" t="inlineStr">
        <is>
          <t>MOVE_FLASH_CANNON</t>
        </is>
      </c>
    </row>
    <row r="4441">
      <c r="A4441" s="3" t="inlineStr">
        <is>
          <t>SPECIES_TINKATON</t>
        </is>
      </c>
      <c r="B4441" s="3" t="inlineStr">
        <is>
          <t>Tinkaton</t>
        </is>
      </c>
      <c r="C4441" s="3" t="n">
        <v>35</v>
      </c>
      <c r="D4441" s="3" t="inlineStr">
        <is>
          <t>Play Rough</t>
        </is>
      </c>
      <c r="E4441" s="3" t="inlineStr">
        <is>
          <t>MOVE_PLAY_ROUGH</t>
        </is>
      </c>
    </row>
    <row r="4442">
      <c r="A4442" s="3" t="inlineStr">
        <is>
          <t>SPECIES_TINKATON</t>
        </is>
      </c>
      <c r="B4442" s="3" t="inlineStr">
        <is>
          <t>Tinkaton</t>
        </is>
      </c>
      <c r="C4442" s="3" t="n">
        <v>39</v>
      </c>
      <c r="D4442" s="3" t="inlineStr">
        <is>
          <t>Fake Out</t>
        </is>
      </c>
      <c r="E4442" s="3" t="inlineStr">
        <is>
          <t>MOVE_FAKE_OUT</t>
        </is>
      </c>
    </row>
    <row r="4443">
      <c r="A4443" s="3" t="inlineStr">
        <is>
          <t>SPECIES_TINKATON</t>
        </is>
      </c>
      <c r="B4443" s="3" t="inlineStr">
        <is>
          <t>Tinkaton</t>
        </is>
      </c>
      <c r="C4443" s="3" t="n">
        <v>43</v>
      </c>
      <c r="D4443" s="3" t="inlineStr">
        <is>
          <t>Flatter</t>
        </is>
      </c>
      <c r="E4443" s="3" t="inlineStr">
        <is>
          <t>MOVE_FLATTER</t>
        </is>
      </c>
    </row>
    <row r="4444">
      <c r="A4444" s="3" t="inlineStr">
        <is>
          <t>SPECIES_TINKATON</t>
        </is>
      </c>
      <c r="B4444" s="3" t="inlineStr">
        <is>
          <t>Tinkaton</t>
        </is>
      </c>
      <c r="C4444" s="3" t="n">
        <v>47</v>
      </c>
      <c r="D4444" s="3" t="inlineStr">
        <is>
          <t>Skitter Smack</t>
        </is>
      </c>
      <c r="E4444" s="3" t="inlineStr">
        <is>
          <t>MOVE_SKITTER_SMACK</t>
        </is>
      </c>
    </row>
    <row r="4445">
      <c r="A4445" s="3" t="inlineStr">
        <is>
          <t>SPECIES_TINKATON</t>
        </is>
      </c>
      <c r="B4445" s="3" t="inlineStr">
        <is>
          <t>Tinkaton</t>
        </is>
      </c>
      <c r="C4445" s="3" t="n">
        <v>52</v>
      </c>
      <c r="D4445" s="3" t="inlineStr">
        <is>
          <t>Knock Off</t>
        </is>
      </c>
      <c r="E4445" s="3" t="inlineStr">
        <is>
          <t>MOVE_KNOCK_OFF</t>
        </is>
      </c>
    </row>
    <row r="4446">
      <c r="A4446" s="3" t="inlineStr">
        <is>
          <t>SPECIES_VAROOM</t>
        </is>
      </c>
      <c r="B4446" s="3" t="inlineStr">
        <is>
          <t>Varoom</t>
        </is>
      </c>
      <c r="C4446" s="3" t="n">
        <v>1</v>
      </c>
      <c r="D4446" s="3" t="inlineStr">
        <is>
          <t>Lick</t>
        </is>
      </c>
      <c r="E4446" s="3" t="inlineStr">
        <is>
          <t>MOVE_LICK</t>
        </is>
      </c>
    </row>
    <row r="4447">
      <c r="A4447" s="3" t="inlineStr">
        <is>
          <t>SPECIES_VAROOM</t>
        </is>
      </c>
      <c r="B4447" s="3" t="inlineStr">
        <is>
          <t>Varoom</t>
        </is>
      </c>
      <c r="C4447" s="3" t="n">
        <v>1</v>
      </c>
      <c r="D4447" s="3" t="inlineStr">
        <is>
          <t>Poison Gas</t>
        </is>
      </c>
      <c r="E4447" s="3" t="inlineStr">
        <is>
          <t>MOVE_POISON_GAS</t>
        </is>
      </c>
    </row>
    <row r="4448">
      <c r="A4448" s="3" t="inlineStr">
        <is>
          <t>SPECIES_VAROOM</t>
        </is>
      </c>
      <c r="B4448" s="3" t="inlineStr">
        <is>
          <t>Varoom</t>
        </is>
      </c>
      <c r="C4448" s="3" t="n">
        <v>4</v>
      </c>
      <c r="D4448" s="3" t="inlineStr">
        <is>
          <t>Smog</t>
        </is>
      </c>
      <c r="E4448" s="3" t="inlineStr">
        <is>
          <t>MOVE_SMOG</t>
        </is>
      </c>
    </row>
    <row r="4449">
      <c r="A4449" s="3" t="inlineStr">
        <is>
          <t>SPECIES_VAROOM</t>
        </is>
      </c>
      <c r="B4449" s="3" t="inlineStr">
        <is>
          <t>Varoom</t>
        </is>
      </c>
      <c r="C4449" s="3" t="n">
        <v>7</v>
      </c>
      <c r="D4449" s="3" t="inlineStr">
        <is>
          <t>Taunt</t>
        </is>
      </c>
      <c r="E4449" s="3" t="inlineStr">
        <is>
          <t>MOVE_TAUNT</t>
        </is>
      </c>
    </row>
    <row r="4450">
      <c r="A4450" s="3" t="inlineStr">
        <is>
          <t>SPECIES_VAROOM</t>
        </is>
      </c>
      <c r="B4450" s="3" t="inlineStr">
        <is>
          <t>Varoom</t>
        </is>
      </c>
      <c r="C4450" s="3" t="n">
        <v>10</v>
      </c>
      <c r="D4450" s="3" t="inlineStr">
        <is>
          <t>Assurance</t>
        </is>
      </c>
      <c r="E4450" s="3" t="inlineStr">
        <is>
          <t>MOVE_ASSURANCE</t>
        </is>
      </c>
    </row>
    <row r="4451">
      <c r="A4451" s="3" t="inlineStr">
        <is>
          <t>SPECIES_VAROOM</t>
        </is>
      </c>
      <c r="B4451" s="3" t="inlineStr">
        <is>
          <t>Varoom</t>
        </is>
      </c>
      <c r="C4451" s="3" t="n">
        <v>13</v>
      </c>
      <c r="D4451" s="3" t="inlineStr">
        <is>
          <t>Sludge</t>
        </is>
      </c>
      <c r="E4451" s="3" t="inlineStr">
        <is>
          <t>MOVE_SLUDGE</t>
        </is>
      </c>
    </row>
    <row r="4452">
      <c r="A4452" s="3" t="inlineStr">
        <is>
          <t>SPECIES_VAROOM</t>
        </is>
      </c>
      <c r="B4452" s="3" t="inlineStr">
        <is>
          <t>Varoom</t>
        </is>
      </c>
      <c r="C4452" s="3" t="n">
        <v>17</v>
      </c>
      <c r="D4452" s="3" t="inlineStr">
        <is>
          <t>Gyro Ball</t>
        </is>
      </c>
      <c r="E4452" s="3" t="inlineStr">
        <is>
          <t>MOVE_GYRO_BALL</t>
        </is>
      </c>
    </row>
    <row r="4453">
      <c r="A4453" s="3" t="inlineStr">
        <is>
          <t>SPECIES_VAROOM</t>
        </is>
      </c>
      <c r="B4453" s="3" t="inlineStr">
        <is>
          <t>Varoom</t>
        </is>
      </c>
      <c r="C4453" s="3" t="n">
        <v>21</v>
      </c>
      <c r="D4453" s="3" t="inlineStr">
        <is>
          <t>Headbutt</t>
        </is>
      </c>
      <c r="E4453" s="3" t="inlineStr">
        <is>
          <t>MOVE_HEADBUTT</t>
        </is>
      </c>
    </row>
    <row r="4454">
      <c r="A4454" s="3" t="inlineStr">
        <is>
          <t>SPECIES_VAROOM</t>
        </is>
      </c>
      <c r="B4454" s="3" t="inlineStr">
        <is>
          <t>Varoom</t>
        </is>
      </c>
      <c r="C4454" s="3" t="n">
        <v>25</v>
      </c>
      <c r="D4454" s="3" t="inlineStr">
        <is>
          <t>Screech</t>
        </is>
      </c>
      <c r="E4454" s="3" t="inlineStr">
        <is>
          <t>MOVE_SCREECH</t>
        </is>
      </c>
    </row>
    <row r="4455">
      <c r="A4455" s="3" t="inlineStr">
        <is>
          <t>SPECIES_VAROOM</t>
        </is>
      </c>
      <c r="B4455" s="3" t="inlineStr">
        <is>
          <t>Varoom</t>
        </is>
      </c>
      <c r="C4455" s="3" t="n">
        <v>28</v>
      </c>
      <c r="D4455" s="3" t="inlineStr">
        <is>
          <t>Iron Head</t>
        </is>
      </c>
      <c r="E4455" s="3" t="inlineStr">
        <is>
          <t>MOVE_IRON_HEAD</t>
        </is>
      </c>
    </row>
    <row r="4456">
      <c r="A4456" s="3" t="inlineStr">
        <is>
          <t>SPECIES_VAROOM</t>
        </is>
      </c>
      <c r="B4456" s="3" t="inlineStr">
        <is>
          <t>Varoom</t>
        </is>
      </c>
      <c r="C4456" s="3" t="n">
        <v>32</v>
      </c>
      <c r="D4456" s="3" t="inlineStr">
        <is>
          <t>Swagger</t>
        </is>
      </c>
      <c r="E4456" s="3" t="inlineStr">
        <is>
          <t>MOVE_SWAGGER</t>
        </is>
      </c>
    </row>
    <row r="4457">
      <c r="A4457" s="3" t="inlineStr">
        <is>
          <t>SPECIES_VAROOM</t>
        </is>
      </c>
      <c r="B4457" s="3" t="inlineStr">
        <is>
          <t>Varoom</t>
        </is>
      </c>
      <c r="C4457" s="3" t="n">
        <v>36</v>
      </c>
      <c r="D4457" s="3" t="inlineStr">
        <is>
          <t>Poison Jab</t>
        </is>
      </c>
      <c r="E4457" s="3" t="inlineStr">
        <is>
          <t>MOVE_POISON_JAB</t>
        </is>
      </c>
    </row>
    <row r="4458">
      <c r="A4458" s="3" t="inlineStr">
        <is>
          <t>SPECIES_VAROOM</t>
        </is>
      </c>
      <c r="B4458" s="3" t="inlineStr">
        <is>
          <t>Varoom</t>
        </is>
      </c>
      <c r="C4458" s="3" t="n">
        <v>41</v>
      </c>
      <c r="D4458" s="3" t="inlineStr">
        <is>
          <t>Uproar</t>
        </is>
      </c>
      <c r="E4458" s="3" t="inlineStr">
        <is>
          <t>MOVE_UPROAR</t>
        </is>
      </c>
    </row>
    <row r="4459">
      <c r="A4459" s="3" t="inlineStr">
        <is>
          <t>SPECIES_VAROOM</t>
        </is>
      </c>
      <c r="B4459" s="3" t="inlineStr">
        <is>
          <t>Varoom</t>
        </is>
      </c>
      <c r="C4459" s="3" t="n">
        <v>46</v>
      </c>
      <c r="D4459" s="3" t="inlineStr">
        <is>
          <t>Spin Out</t>
        </is>
      </c>
      <c r="E4459" s="3" t="inlineStr">
        <is>
          <t>MOVE_SPIN_OUT</t>
        </is>
      </c>
    </row>
    <row r="4460">
      <c r="A4460" s="3" t="inlineStr">
        <is>
          <t>SPECIES_VAROOM</t>
        </is>
      </c>
      <c r="B4460" s="3" t="inlineStr">
        <is>
          <t>Varoom</t>
        </is>
      </c>
      <c r="C4460" s="3" t="n">
        <v>50</v>
      </c>
      <c r="D4460" s="3" t="inlineStr">
        <is>
          <t>Gunk Shot</t>
        </is>
      </c>
      <c r="E4460" s="3" t="inlineStr">
        <is>
          <t>MOVE_GUNK_SHOT</t>
        </is>
      </c>
    </row>
    <row r="4461">
      <c r="A4461" s="3" t="inlineStr">
        <is>
          <t>SPECIES_REVAVROOM</t>
        </is>
      </c>
      <c r="B4461" s="3" t="inlineStr">
        <is>
          <t>Revavroom</t>
        </is>
      </c>
      <c r="C4461" s="3" t="n">
        <v>0</v>
      </c>
      <c r="D4461" s="3" t="inlineStr">
        <is>
          <t>Shift Gear</t>
        </is>
      </c>
      <c r="E4461" s="3" t="inlineStr">
        <is>
          <t>MOVE_SHIFT_GEAR</t>
        </is>
      </c>
    </row>
    <row r="4462">
      <c r="A4462" s="3" t="inlineStr">
        <is>
          <t>SPECIES_REVAVROOM</t>
        </is>
      </c>
      <c r="B4462" s="3" t="inlineStr">
        <is>
          <t>Revavroom</t>
        </is>
      </c>
      <c r="C4462" s="3" t="n">
        <v>1</v>
      </c>
      <c r="D4462" s="3" t="inlineStr">
        <is>
          <t>Magnet Rise</t>
        </is>
      </c>
      <c r="E4462" s="3" t="inlineStr">
        <is>
          <t>MOVE_MAGNET_RISE</t>
        </is>
      </c>
    </row>
    <row r="4463">
      <c r="A4463" s="3" t="inlineStr">
        <is>
          <t>SPECIES_REVAVROOM</t>
        </is>
      </c>
      <c r="B4463" s="3" t="inlineStr">
        <is>
          <t>Revavroom</t>
        </is>
      </c>
      <c r="C4463" s="3" t="n">
        <v>1</v>
      </c>
      <c r="D4463" s="3" t="inlineStr">
        <is>
          <t>Lick</t>
        </is>
      </c>
      <c r="E4463" s="3" t="inlineStr">
        <is>
          <t>MOVE_LICK</t>
        </is>
      </c>
    </row>
    <row r="4464">
      <c r="A4464" s="3" t="inlineStr">
        <is>
          <t>SPECIES_REVAVROOM</t>
        </is>
      </c>
      <c r="B4464" s="3" t="inlineStr">
        <is>
          <t>Revavroom</t>
        </is>
      </c>
      <c r="C4464" s="3" t="n">
        <v>1</v>
      </c>
      <c r="D4464" s="3" t="inlineStr">
        <is>
          <t>Poison Gas</t>
        </is>
      </c>
      <c r="E4464" s="3" t="inlineStr">
        <is>
          <t>MOVE_POISON_GAS</t>
        </is>
      </c>
    </row>
    <row r="4465">
      <c r="A4465" s="3" t="inlineStr">
        <is>
          <t>SPECIES_REVAVROOM</t>
        </is>
      </c>
      <c r="B4465" s="3" t="inlineStr">
        <is>
          <t>Revavroom</t>
        </is>
      </c>
      <c r="C4465" s="3" t="n">
        <v>4</v>
      </c>
      <c r="D4465" s="3" t="inlineStr">
        <is>
          <t>Smog</t>
        </is>
      </c>
      <c r="E4465" s="3" t="inlineStr">
        <is>
          <t>MOVE_SMOG</t>
        </is>
      </c>
    </row>
    <row r="4466">
      <c r="A4466" s="3" t="inlineStr">
        <is>
          <t>SPECIES_REVAVROOM</t>
        </is>
      </c>
      <c r="B4466" s="3" t="inlineStr">
        <is>
          <t>Revavroom</t>
        </is>
      </c>
      <c r="C4466" s="3" t="n">
        <v>7</v>
      </c>
      <c r="D4466" s="3" t="inlineStr">
        <is>
          <t>Taunt</t>
        </is>
      </c>
      <c r="E4466" s="3" t="inlineStr">
        <is>
          <t>MOVE_TAUNT</t>
        </is>
      </c>
    </row>
    <row r="4467">
      <c r="A4467" s="3" t="inlineStr">
        <is>
          <t>SPECIES_REVAVROOM</t>
        </is>
      </c>
      <c r="B4467" s="3" t="inlineStr">
        <is>
          <t>Revavroom</t>
        </is>
      </c>
      <c r="C4467" s="3" t="n">
        <v>10</v>
      </c>
      <c r="D4467" s="3" t="inlineStr">
        <is>
          <t>Assurance</t>
        </is>
      </c>
      <c r="E4467" s="3" t="inlineStr">
        <is>
          <t>MOVE_ASSURANCE</t>
        </is>
      </c>
    </row>
    <row r="4468">
      <c r="A4468" s="3" t="inlineStr">
        <is>
          <t>SPECIES_REVAVROOM</t>
        </is>
      </c>
      <c r="B4468" s="3" t="inlineStr">
        <is>
          <t>Revavroom</t>
        </is>
      </c>
      <c r="C4468" s="3" t="n">
        <v>13</v>
      </c>
      <c r="D4468" s="3" t="inlineStr">
        <is>
          <t>Sludge</t>
        </is>
      </c>
      <c r="E4468" s="3" t="inlineStr">
        <is>
          <t>MOVE_SLUDGE</t>
        </is>
      </c>
    </row>
    <row r="4469">
      <c r="A4469" s="3" t="inlineStr">
        <is>
          <t>SPECIES_REVAVROOM</t>
        </is>
      </c>
      <c r="B4469" s="3" t="inlineStr">
        <is>
          <t>Revavroom</t>
        </is>
      </c>
      <c r="C4469" s="3" t="n">
        <v>17</v>
      </c>
      <c r="D4469" s="3" t="inlineStr">
        <is>
          <t>Gyro Ball</t>
        </is>
      </c>
      <c r="E4469" s="3" t="inlineStr">
        <is>
          <t>MOVE_GYRO_BALL</t>
        </is>
      </c>
    </row>
    <row r="4470">
      <c r="A4470" s="3" t="inlineStr">
        <is>
          <t>SPECIES_REVAVROOM</t>
        </is>
      </c>
      <c r="B4470" s="3" t="inlineStr">
        <is>
          <t>Revavroom</t>
        </is>
      </c>
      <c r="C4470" s="3" t="n">
        <v>21</v>
      </c>
      <c r="D4470" s="3" t="inlineStr">
        <is>
          <t>Headbutt</t>
        </is>
      </c>
      <c r="E4470" s="3" t="inlineStr">
        <is>
          <t>MOVE_HEADBUTT</t>
        </is>
      </c>
    </row>
    <row r="4471">
      <c r="A4471" s="3" t="inlineStr">
        <is>
          <t>SPECIES_REVAVROOM</t>
        </is>
      </c>
      <c r="B4471" s="3" t="inlineStr">
        <is>
          <t>Revavroom</t>
        </is>
      </c>
      <c r="C4471" s="3" t="n">
        <v>25</v>
      </c>
      <c r="D4471" s="3" t="inlineStr">
        <is>
          <t>Screech</t>
        </is>
      </c>
      <c r="E4471" s="3" t="inlineStr">
        <is>
          <t>MOVE_SCREECH</t>
        </is>
      </c>
    </row>
    <row r="4472">
      <c r="A4472" s="3" t="inlineStr">
        <is>
          <t>SPECIES_REVAVROOM</t>
        </is>
      </c>
      <c r="B4472" s="3" t="inlineStr">
        <is>
          <t>Revavroom</t>
        </is>
      </c>
      <c r="C4472" s="3" t="n">
        <v>28</v>
      </c>
      <c r="D4472" s="3" t="inlineStr">
        <is>
          <t>Iron Head</t>
        </is>
      </c>
      <c r="E4472" s="3" t="inlineStr">
        <is>
          <t>MOVE_IRON_HEAD</t>
        </is>
      </c>
    </row>
    <row r="4473">
      <c r="A4473" s="3" t="inlineStr">
        <is>
          <t>SPECIES_REVAVROOM</t>
        </is>
      </c>
      <c r="B4473" s="3" t="inlineStr">
        <is>
          <t>Revavroom</t>
        </is>
      </c>
      <c r="C4473" s="3" t="n">
        <v>32</v>
      </c>
      <c r="D4473" s="3" t="inlineStr">
        <is>
          <t>Swagger</t>
        </is>
      </c>
      <c r="E4473" s="3" t="inlineStr">
        <is>
          <t>MOVE_SWAGGER</t>
        </is>
      </c>
    </row>
    <row r="4474">
      <c r="A4474" s="3" t="inlineStr">
        <is>
          <t>SPECIES_REVAVROOM</t>
        </is>
      </c>
      <c r="B4474" s="3" t="inlineStr">
        <is>
          <t>Revavroom</t>
        </is>
      </c>
      <c r="C4474" s="3" t="n">
        <v>36</v>
      </c>
      <c r="D4474" s="3" t="inlineStr">
        <is>
          <t>Poison Jab</t>
        </is>
      </c>
      <c r="E4474" s="3" t="inlineStr">
        <is>
          <t>MOVE_POISON_JAB</t>
        </is>
      </c>
    </row>
    <row r="4475">
      <c r="A4475" s="3" t="inlineStr">
        <is>
          <t>SPECIES_REVAVROOM</t>
        </is>
      </c>
      <c r="B4475" s="3" t="inlineStr">
        <is>
          <t>Revavroom</t>
        </is>
      </c>
      <c r="C4475" s="3" t="n">
        <v>46</v>
      </c>
      <c r="D4475" s="3" t="inlineStr">
        <is>
          <t>Uproar</t>
        </is>
      </c>
      <c r="E4475" s="3" t="inlineStr">
        <is>
          <t>MOVE_UPROAR</t>
        </is>
      </c>
    </row>
    <row r="4476">
      <c r="A4476" s="3" t="inlineStr">
        <is>
          <t>SPECIES_REVAVROOM</t>
        </is>
      </c>
      <c r="B4476" s="3" t="inlineStr">
        <is>
          <t>Revavroom</t>
        </is>
      </c>
      <c r="C4476" s="3" t="n">
        <v>52</v>
      </c>
      <c r="D4476" s="3" t="inlineStr">
        <is>
          <t>Spin Out</t>
        </is>
      </c>
      <c r="E4476" s="3" t="inlineStr">
        <is>
          <t>MOVE_SPIN_OUT</t>
        </is>
      </c>
    </row>
    <row r="4477">
      <c r="A4477" s="3" t="inlineStr">
        <is>
          <t>SPECIES_REVAVROOM</t>
        </is>
      </c>
      <c r="B4477" s="3" t="inlineStr">
        <is>
          <t>Revavroom</t>
        </is>
      </c>
      <c r="C4477" s="3" t="n">
        <v>58</v>
      </c>
      <c r="D4477" s="3" t="inlineStr">
        <is>
          <t>Gunk Shot</t>
        </is>
      </c>
      <c r="E4477" s="3" t="inlineStr">
        <is>
          <t>MOVE_GUNK_SHOT</t>
        </is>
      </c>
    </row>
    <row r="4478">
      <c r="A4478" s="3" t="inlineStr">
        <is>
          <t>SPECIES_GLIMMET</t>
        </is>
      </c>
      <c r="B4478" s="3" t="inlineStr">
        <is>
          <t>Glimmet</t>
        </is>
      </c>
      <c r="C4478" s="3" t="n">
        <v>1</v>
      </c>
      <c r="D4478" s="3" t="inlineStr">
        <is>
          <t>Rock Throw</t>
        </is>
      </c>
      <c r="E4478" s="3" t="inlineStr">
        <is>
          <t>MOVE_ROCK_THROW</t>
        </is>
      </c>
    </row>
    <row r="4479">
      <c r="A4479" s="3" t="inlineStr">
        <is>
          <t>SPECIES_GLIMMET</t>
        </is>
      </c>
      <c r="B4479" s="3" t="inlineStr">
        <is>
          <t>Glimmet</t>
        </is>
      </c>
      <c r="C4479" s="3" t="n">
        <v>1</v>
      </c>
      <c r="D4479" s="3" t="inlineStr">
        <is>
          <t>Harden</t>
        </is>
      </c>
      <c r="E4479" s="3" t="inlineStr">
        <is>
          <t>MOVE_HARDEN</t>
        </is>
      </c>
    </row>
    <row r="4480">
      <c r="A4480" s="3" t="inlineStr">
        <is>
          <t>SPECIES_GLIMMET</t>
        </is>
      </c>
      <c r="B4480" s="3" t="inlineStr">
        <is>
          <t>Glimmet</t>
        </is>
      </c>
      <c r="C4480" s="3" t="n">
        <v>1</v>
      </c>
      <c r="D4480" s="3" t="inlineStr">
        <is>
          <t>Smack Down</t>
        </is>
      </c>
      <c r="E4480" s="3" t="inlineStr">
        <is>
          <t>MOVE_SMACK_DOWN</t>
        </is>
      </c>
    </row>
    <row r="4481">
      <c r="A4481" s="3" t="inlineStr">
        <is>
          <t>SPECIES_GLIMMET</t>
        </is>
      </c>
      <c r="B4481" s="3" t="inlineStr">
        <is>
          <t>Glimmet</t>
        </is>
      </c>
      <c r="C4481" s="3" t="n">
        <v>7</v>
      </c>
      <c r="D4481" s="3" t="inlineStr">
        <is>
          <t>Acid Spray</t>
        </is>
      </c>
      <c r="E4481" s="3" t="inlineStr">
        <is>
          <t>MOVE_ACID_SPRAY</t>
        </is>
      </c>
    </row>
    <row r="4482">
      <c r="A4482" s="3" t="inlineStr">
        <is>
          <t>SPECIES_GLIMMET</t>
        </is>
      </c>
      <c r="B4482" s="3" t="inlineStr">
        <is>
          <t>Glimmet</t>
        </is>
      </c>
      <c r="C4482" s="3" t="n">
        <v>11</v>
      </c>
      <c r="D4482" s="3" t="inlineStr">
        <is>
          <t>Ancient Power</t>
        </is>
      </c>
      <c r="E4482" s="3" t="inlineStr">
        <is>
          <t>MOVE_ANCIENT_POWER</t>
        </is>
      </c>
    </row>
    <row r="4483">
      <c r="A4483" s="3" t="inlineStr">
        <is>
          <t>SPECIES_GLIMMET</t>
        </is>
      </c>
      <c r="B4483" s="3" t="inlineStr">
        <is>
          <t>Glimmet</t>
        </is>
      </c>
      <c r="C4483" s="3" t="n">
        <v>15</v>
      </c>
      <c r="D4483" s="3" t="inlineStr">
        <is>
          <t>Rock Polish</t>
        </is>
      </c>
      <c r="E4483" s="3" t="inlineStr">
        <is>
          <t>MOVE_ROCK_POLISH</t>
        </is>
      </c>
    </row>
    <row r="4484">
      <c r="A4484" s="3" t="inlineStr">
        <is>
          <t>SPECIES_GLIMMET</t>
        </is>
      </c>
      <c r="B4484" s="3" t="inlineStr">
        <is>
          <t>Glimmet</t>
        </is>
      </c>
      <c r="C4484" s="3" t="n">
        <v>18</v>
      </c>
      <c r="D4484" s="3" t="inlineStr">
        <is>
          <t>Stealth Rock</t>
        </is>
      </c>
      <c r="E4484" s="3" t="inlineStr">
        <is>
          <t>MOVE_STEALTH_ROCK</t>
        </is>
      </c>
    </row>
    <row r="4485">
      <c r="A4485" s="3" t="inlineStr">
        <is>
          <t>SPECIES_GLIMMET</t>
        </is>
      </c>
      <c r="B4485" s="3" t="inlineStr">
        <is>
          <t>Glimmet</t>
        </is>
      </c>
      <c r="C4485" s="3" t="n">
        <v>22</v>
      </c>
      <c r="D4485" s="3" t="inlineStr">
        <is>
          <t>Venoshock</t>
        </is>
      </c>
      <c r="E4485" s="3" t="inlineStr">
        <is>
          <t>MOVE_VENOSHOCK</t>
        </is>
      </c>
    </row>
    <row r="4486">
      <c r="A4486" s="3" t="inlineStr">
        <is>
          <t>SPECIES_GLIMMET</t>
        </is>
      </c>
      <c r="B4486" s="3" t="inlineStr">
        <is>
          <t>Glimmet</t>
        </is>
      </c>
      <c r="C4486" s="3" t="n">
        <v>26</v>
      </c>
      <c r="D4486" s="3" t="inlineStr">
        <is>
          <t>Sandstorm</t>
        </is>
      </c>
      <c r="E4486" s="3" t="inlineStr">
        <is>
          <t>MOVE_SANDSTORM</t>
        </is>
      </c>
    </row>
    <row r="4487">
      <c r="A4487" s="3" t="inlineStr">
        <is>
          <t>SPECIES_GLIMMET</t>
        </is>
      </c>
      <c r="B4487" s="3" t="inlineStr">
        <is>
          <t>Glimmet</t>
        </is>
      </c>
      <c r="C4487" s="3" t="n">
        <v>29</v>
      </c>
      <c r="D4487" s="3" t="inlineStr">
        <is>
          <t>Self-Destruct</t>
        </is>
      </c>
      <c r="E4487" s="3" t="inlineStr">
        <is>
          <t>MOVE_SELF_DESTRUCT</t>
        </is>
      </c>
    </row>
    <row r="4488">
      <c r="A4488" s="3" t="inlineStr">
        <is>
          <t>SPECIES_GLIMMET</t>
        </is>
      </c>
      <c r="B4488" s="3" t="inlineStr">
        <is>
          <t>Glimmet</t>
        </is>
      </c>
      <c r="C4488" s="3" t="n">
        <v>33</v>
      </c>
      <c r="D4488" s="3" t="inlineStr">
        <is>
          <t>Rock Slide</t>
        </is>
      </c>
      <c r="E4488" s="3" t="inlineStr">
        <is>
          <t>MOVE_ROCK_SLIDE</t>
        </is>
      </c>
    </row>
    <row r="4489">
      <c r="A4489" s="3" t="inlineStr">
        <is>
          <t>SPECIES_GLIMMET</t>
        </is>
      </c>
      <c r="B4489" s="3" t="inlineStr">
        <is>
          <t>Glimmet</t>
        </is>
      </c>
      <c r="C4489" s="3" t="n">
        <v>37</v>
      </c>
      <c r="D4489" s="3" t="inlineStr">
        <is>
          <t>Power Gem</t>
        </is>
      </c>
      <c r="E4489" s="3" t="inlineStr">
        <is>
          <t>MOVE_POWER_GEM</t>
        </is>
      </c>
    </row>
    <row r="4490">
      <c r="A4490" s="3" t="inlineStr">
        <is>
          <t>SPECIES_GLIMMET</t>
        </is>
      </c>
      <c r="B4490" s="3" t="inlineStr">
        <is>
          <t>Glimmet</t>
        </is>
      </c>
      <c r="C4490" s="3" t="n">
        <v>41</v>
      </c>
      <c r="D4490" s="3" t="inlineStr">
        <is>
          <t>Acid Armor</t>
        </is>
      </c>
      <c r="E4490" s="3" t="inlineStr">
        <is>
          <t>MOVE_ACID_ARMOR</t>
        </is>
      </c>
    </row>
    <row r="4491">
      <c r="A4491" s="3" t="inlineStr">
        <is>
          <t>SPECIES_GLIMMET</t>
        </is>
      </c>
      <c r="B4491" s="3" t="inlineStr">
        <is>
          <t>Glimmet</t>
        </is>
      </c>
      <c r="C4491" s="3" t="n">
        <v>46</v>
      </c>
      <c r="D4491" s="3" t="inlineStr">
        <is>
          <t>Sludge Wave</t>
        </is>
      </c>
      <c r="E4491" s="3" t="inlineStr">
        <is>
          <t>MOVE_SLUDGE_WAVE</t>
        </is>
      </c>
    </row>
    <row r="4492">
      <c r="A4492" s="3" t="inlineStr">
        <is>
          <t>SPECIES_GLIMMORA</t>
        </is>
      </c>
      <c r="B4492" s="3" t="inlineStr">
        <is>
          <t>Glimmora</t>
        </is>
      </c>
      <c r="C4492" s="3" t="n">
        <v>0</v>
      </c>
      <c r="D4492" s="3" t="inlineStr">
        <is>
          <t>Mortal Spin</t>
        </is>
      </c>
      <c r="E4492" s="3" t="inlineStr">
        <is>
          <t>MOVE_MORTAL_SPIN</t>
        </is>
      </c>
    </row>
    <row r="4493">
      <c r="A4493" s="3" t="inlineStr">
        <is>
          <t>SPECIES_GLIMMORA</t>
        </is>
      </c>
      <c r="B4493" s="3" t="inlineStr">
        <is>
          <t>Glimmora</t>
        </is>
      </c>
      <c r="C4493" s="3" t="n">
        <v>1</v>
      </c>
      <c r="D4493" s="3" t="inlineStr">
        <is>
          <t>Smack Down</t>
        </is>
      </c>
      <c r="E4493" s="3" t="inlineStr">
        <is>
          <t>MOVE_SMACK_DOWN</t>
        </is>
      </c>
    </row>
    <row r="4494">
      <c r="A4494" s="3" t="inlineStr">
        <is>
          <t>SPECIES_GLIMMORA</t>
        </is>
      </c>
      <c r="B4494" s="3" t="inlineStr">
        <is>
          <t>Glimmora</t>
        </is>
      </c>
      <c r="C4494" s="3" t="n">
        <v>1</v>
      </c>
      <c r="D4494" s="3" t="inlineStr">
        <is>
          <t>Spiky Shield</t>
        </is>
      </c>
      <c r="E4494" s="3" t="inlineStr">
        <is>
          <t>MOVE_SPIKY_SHIELD</t>
        </is>
      </c>
    </row>
    <row r="4495">
      <c r="A4495" s="3" t="inlineStr">
        <is>
          <t>SPECIES_GLIMMORA</t>
        </is>
      </c>
      <c r="B4495" s="3" t="inlineStr">
        <is>
          <t>Glimmora</t>
        </is>
      </c>
      <c r="C4495" s="3" t="n">
        <v>1</v>
      </c>
      <c r="D4495" s="3" t="inlineStr">
        <is>
          <t>Toxic Spikes</t>
        </is>
      </c>
      <c r="E4495" s="3" t="inlineStr">
        <is>
          <t>MOVE_TOXIC_SPIKES</t>
        </is>
      </c>
    </row>
    <row r="4496">
      <c r="A4496" s="3" t="inlineStr">
        <is>
          <t>SPECIES_GLIMMORA</t>
        </is>
      </c>
      <c r="B4496" s="3" t="inlineStr">
        <is>
          <t>Glimmora</t>
        </is>
      </c>
      <c r="C4496" s="3" t="n">
        <v>1</v>
      </c>
      <c r="D4496" s="3" t="inlineStr">
        <is>
          <t>Rock Throw</t>
        </is>
      </c>
      <c r="E4496" s="3" t="inlineStr">
        <is>
          <t>MOVE_ROCK_THROW</t>
        </is>
      </c>
    </row>
    <row r="4497">
      <c r="A4497" s="3" t="inlineStr">
        <is>
          <t>SPECIES_GLIMMORA</t>
        </is>
      </c>
      <c r="B4497" s="3" t="inlineStr">
        <is>
          <t>Glimmora</t>
        </is>
      </c>
      <c r="C4497" s="3" t="n">
        <v>1</v>
      </c>
      <c r="D4497" s="3" t="inlineStr">
        <is>
          <t>Harden</t>
        </is>
      </c>
      <c r="E4497" s="3" t="inlineStr">
        <is>
          <t>MOVE_HARDEN</t>
        </is>
      </c>
    </row>
    <row r="4498">
      <c r="A4498" s="3" t="inlineStr">
        <is>
          <t>SPECIES_GLIMMORA</t>
        </is>
      </c>
      <c r="B4498" s="3" t="inlineStr">
        <is>
          <t>Glimmora</t>
        </is>
      </c>
      <c r="C4498" s="3" t="n">
        <v>7</v>
      </c>
      <c r="D4498" s="3" t="inlineStr">
        <is>
          <t>Acid Spray</t>
        </is>
      </c>
      <c r="E4498" s="3" t="inlineStr">
        <is>
          <t>MOVE_ACID_SPRAY</t>
        </is>
      </c>
    </row>
    <row r="4499">
      <c r="A4499" s="3" t="inlineStr">
        <is>
          <t>SPECIES_GLIMMORA</t>
        </is>
      </c>
      <c r="B4499" s="3" t="inlineStr">
        <is>
          <t>Glimmora</t>
        </is>
      </c>
      <c r="C4499" s="3" t="n">
        <v>11</v>
      </c>
      <c r="D4499" s="3" t="inlineStr">
        <is>
          <t>Ancient Power</t>
        </is>
      </c>
      <c r="E4499" s="3" t="inlineStr">
        <is>
          <t>MOVE_ANCIENT_POWER</t>
        </is>
      </c>
    </row>
    <row r="4500">
      <c r="A4500" s="3" t="inlineStr">
        <is>
          <t>SPECIES_GLIMMORA</t>
        </is>
      </c>
      <c r="B4500" s="3" t="inlineStr">
        <is>
          <t>Glimmora</t>
        </is>
      </c>
      <c r="C4500" s="3" t="n">
        <v>15</v>
      </c>
      <c r="D4500" s="3" t="inlineStr">
        <is>
          <t>Rock Polish</t>
        </is>
      </c>
      <c r="E4500" s="3" t="inlineStr">
        <is>
          <t>MOVE_ROCK_POLISH</t>
        </is>
      </c>
    </row>
    <row r="4501">
      <c r="A4501" s="3" t="inlineStr">
        <is>
          <t>SPECIES_GLIMMORA</t>
        </is>
      </c>
      <c r="B4501" s="3" t="inlineStr">
        <is>
          <t>Glimmora</t>
        </is>
      </c>
      <c r="C4501" s="3" t="n">
        <v>18</v>
      </c>
      <c r="D4501" s="3" t="inlineStr">
        <is>
          <t>Stealth Rock</t>
        </is>
      </c>
      <c r="E4501" s="3" t="inlineStr">
        <is>
          <t>MOVE_STEALTH_ROCK</t>
        </is>
      </c>
    </row>
    <row r="4502">
      <c r="A4502" s="3" t="inlineStr">
        <is>
          <t>SPECIES_GLIMMORA</t>
        </is>
      </c>
      <c r="B4502" s="3" t="inlineStr">
        <is>
          <t>Glimmora</t>
        </is>
      </c>
      <c r="C4502" s="3" t="n">
        <v>22</v>
      </c>
      <c r="D4502" s="3" t="inlineStr">
        <is>
          <t>Venoshock</t>
        </is>
      </c>
      <c r="E4502" s="3" t="inlineStr">
        <is>
          <t>MOVE_VENOSHOCK</t>
        </is>
      </c>
    </row>
    <row r="4503">
      <c r="A4503" s="3" t="inlineStr">
        <is>
          <t>SPECIES_GLIMMORA</t>
        </is>
      </c>
      <c r="B4503" s="3" t="inlineStr">
        <is>
          <t>Glimmora</t>
        </is>
      </c>
      <c r="C4503" s="3" t="n">
        <v>26</v>
      </c>
      <c r="D4503" s="3" t="inlineStr">
        <is>
          <t>Sandstorm</t>
        </is>
      </c>
      <c r="E4503" s="3" t="inlineStr">
        <is>
          <t>MOVE_SANDSTORM</t>
        </is>
      </c>
    </row>
    <row r="4504">
      <c r="A4504" s="3" t="inlineStr">
        <is>
          <t>SPECIES_GLIMMORA</t>
        </is>
      </c>
      <c r="B4504" s="3" t="inlineStr">
        <is>
          <t>Glimmora</t>
        </is>
      </c>
      <c r="C4504" s="3" t="n">
        <v>29</v>
      </c>
      <c r="D4504" s="3" t="inlineStr">
        <is>
          <t>Self-Destruct</t>
        </is>
      </c>
      <c r="E4504" s="3" t="inlineStr">
        <is>
          <t>MOVE_SELF_DESTRUCT</t>
        </is>
      </c>
    </row>
    <row r="4505">
      <c r="A4505" s="3" t="inlineStr">
        <is>
          <t>SPECIES_GLIMMORA</t>
        </is>
      </c>
      <c r="B4505" s="3" t="inlineStr">
        <is>
          <t>Glimmora</t>
        </is>
      </c>
      <c r="C4505" s="3" t="n">
        <v>33</v>
      </c>
      <c r="D4505" s="3" t="inlineStr">
        <is>
          <t>Rock Slide</t>
        </is>
      </c>
      <c r="E4505" s="3" t="inlineStr">
        <is>
          <t>MOVE_ROCK_SLIDE</t>
        </is>
      </c>
    </row>
    <row r="4506">
      <c r="A4506" s="3" t="inlineStr">
        <is>
          <t>SPECIES_GLIMMORA</t>
        </is>
      </c>
      <c r="B4506" s="3" t="inlineStr">
        <is>
          <t>Glimmora</t>
        </is>
      </c>
      <c r="C4506" s="3" t="n">
        <v>39</v>
      </c>
      <c r="D4506" s="3" t="inlineStr">
        <is>
          <t>Power Gem</t>
        </is>
      </c>
      <c r="E4506" s="3" t="inlineStr">
        <is>
          <t>MOVE_POWER_GEM</t>
        </is>
      </c>
    </row>
    <row r="4507">
      <c r="A4507" s="3" t="inlineStr">
        <is>
          <t>SPECIES_GLIMMORA</t>
        </is>
      </c>
      <c r="B4507" s="3" t="inlineStr">
        <is>
          <t>Glimmora</t>
        </is>
      </c>
      <c r="C4507" s="3" t="n">
        <v>44</v>
      </c>
      <c r="D4507" s="3" t="inlineStr">
        <is>
          <t>Acid Armor</t>
        </is>
      </c>
      <c r="E4507" s="3" t="inlineStr">
        <is>
          <t>MOVE_ACID_ARMOR</t>
        </is>
      </c>
    </row>
    <row r="4508">
      <c r="A4508" s="3" t="inlineStr">
        <is>
          <t>SPECIES_GLIMMORA</t>
        </is>
      </c>
      <c r="B4508" s="3" t="inlineStr">
        <is>
          <t>Glimmora</t>
        </is>
      </c>
      <c r="C4508" s="3" t="n">
        <v>50</v>
      </c>
      <c r="D4508" s="3" t="inlineStr">
        <is>
          <t>Sludge Wave</t>
        </is>
      </c>
      <c r="E4508" s="3" t="inlineStr">
        <is>
          <t>MOVE_SLUDGE_WAVE</t>
        </is>
      </c>
    </row>
    <row r="4509">
      <c r="A4509" s="3" t="inlineStr">
        <is>
          <t>SPECIES_CETODDLE</t>
        </is>
      </c>
      <c r="B4509" s="3" t="inlineStr">
        <is>
          <t>Cetoddle</t>
        </is>
      </c>
      <c r="C4509" s="3" t="n">
        <v>1</v>
      </c>
      <c r="D4509" s="3" t="inlineStr">
        <is>
          <t>Tackle</t>
        </is>
      </c>
      <c r="E4509" s="3" t="inlineStr">
        <is>
          <t>MOVE_TACKLE</t>
        </is>
      </c>
    </row>
    <row r="4510">
      <c r="A4510" s="3" t="inlineStr">
        <is>
          <t>SPECIES_CETODDLE</t>
        </is>
      </c>
      <c r="B4510" s="3" t="inlineStr">
        <is>
          <t>Cetoddle</t>
        </is>
      </c>
      <c r="C4510" s="3" t="n">
        <v>1</v>
      </c>
      <c r="D4510" s="3" t="inlineStr">
        <is>
          <t>Powder Snow</t>
        </is>
      </c>
      <c r="E4510" s="3" t="inlineStr">
        <is>
          <t>MOVE_POWDER_SNOW</t>
        </is>
      </c>
    </row>
    <row r="4511">
      <c r="A4511" s="3" t="inlineStr">
        <is>
          <t>SPECIES_CETODDLE</t>
        </is>
      </c>
      <c r="B4511" s="3" t="inlineStr">
        <is>
          <t>Cetoddle</t>
        </is>
      </c>
      <c r="C4511" s="3" t="n">
        <v>6</v>
      </c>
      <c r="D4511" s="3" t="inlineStr">
        <is>
          <t>Growl</t>
        </is>
      </c>
      <c r="E4511" s="3" t="inlineStr">
        <is>
          <t>MOVE_GROWL</t>
        </is>
      </c>
    </row>
    <row r="4512">
      <c r="A4512" s="3" t="inlineStr">
        <is>
          <t>SPECIES_CETODDLE</t>
        </is>
      </c>
      <c r="B4512" s="3" t="inlineStr">
        <is>
          <t>Cetoddle</t>
        </is>
      </c>
      <c r="C4512" s="3" t="n">
        <v>9</v>
      </c>
      <c r="D4512" s="3" t="inlineStr">
        <is>
          <t>Echoed Voice</t>
        </is>
      </c>
      <c r="E4512" s="3" t="inlineStr">
        <is>
          <t>MOVE_ECHOED_VOICE</t>
        </is>
      </c>
    </row>
    <row r="4513">
      <c r="A4513" s="3" t="inlineStr">
        <is>
          <t>SPECIES_CETODDLE</t>
        </is>
      </c>
      <c r="B4513" s="3" t="inlineStr">
        <is>
          <t>Cetoddle</t>
        </is>
      </c>
      <c r="C4513" s="3" t="n">
        <v>12</v>
      </c>
      <c r="D4513" s="3" t="inlineStr">
        <is>
          <t>Ice Shard</t>
        </is>
      </c>
      <c r="E4513" s="3" t="inlineStr">
        <is>
          <t>MOVE_ICE_SHARD</t>
        </is>
      </c>
    </row>
    <row r="4514">
      <c r="A4514" s="3" t="inlineStr">
        <is>
          <t>SPECIES_CETODDLE</t>
        </is>
      </c>
      <c r="B4514" s="3" t="inlineStr">
        <is>
          <t>Cetoddle</t>
        </is>
      </c>
      <c r="C4514" s="3" t="n">
        <v>15</v>
      </c>
      <c r="D4514" s="3" t="inlineStr">
        <is>
          <t>Rest</t>
        </is>
      </c>
      <c r="E4514" s="3" t="inlineStr">
        <is>
          <t>MOVE_REST</t>
        </is>
      </c>
    </row>
    <row r="4515">
      <c r="A4515" s="3" t="inlineStr">
        <is>
          <t>SPECIES_CETODDLE</t>
        </is>
      </c>
      <c r="B4515" s="3" t="inlineStr">
        <is>
          <t>Cetoddle</t>
        </is>
      </c>
      <c r="C4515" s="3" t="n">
        <v>19</v>
      </c>
      <c r="D4515" s="3" t="inlineStr">
        <is>
          <t>Take Down</t>
        </is>
      </c>
      <c r="E4515" s="3" t="inlineStr">
        <is>
          <t>MOVE_TAKE_DOWN</t>
        </is>
      </c>
    </row>
    <row r="4516">
      <c r="A4516" s="3" t="inlineStr">
        <is>
          <t>SPECIES_CETODDLE</t>
        </is>
      </c>
      <c r="B4516" s="3" t="inlineStr">
        <is>
          <t>Cetoddle</t>
        </is>
      </c>
      <c r="C4516" s="3" t="n">
        <v>25</v>
      </c>
      <c r="D4516" s="3" t="inlineStr">
        <is>
          <t>Flail</t>
        </is>
      </c>
      <c r="E4516" s="3" t="inlineStr">
        <is>
          <t>MOVE_FLAIL</t>
        </is>
      </c>
    </row>
    <row r="4517">
      <c r="A4517" s="3" t="inlineStr">
        <is>
          <t>SPECIES_CETODDLE</t>
        </is>
      </c>
      <c r="B4517" s="3" t="inlineStr">
        <is>
          <t>Cetoddle</t>
        </is>
      </c>
      <c r="C4517" s="3" t="n">
        <v>27</v>
      </c>
      <c r="D4517" s="3" t="inlineStr">
        <is>
          <t>Avalanche</t>
        </is>
      </c>
      <c r="E4517" s="3" t="inlineStr">
        <is>
          <t>MOVE_AVALANCHE</t>
        </is>
      </c>
    </row>
    <row r="4518">
      <c r="A4518" s="3" t="inlineStr">
        <is>
          <t>SPECIES_CETODDLE</t>
        </is>
      </c>
      <c r="B4518" s="3" t="inlineStr">
        <is>
          <t>Cetoddle</t>
        </is>
      </c>
      <c r="C4518" s="3" t="n">
        <v>31</v>
      </c>
      <c r="D4518" s="3" t="inlineStr">
        <is>
          <t>Bounce</t>
        </is>
      </c>
      <c r="E4518" s="3" t="inlineStr">
        <is>
          <t>MOVE_BOUNCE</t>
        </is>
      </c>
    </row>
    <row r="4519">
      <c r="A4519" s="3" t="inlineStr">
        <is>
          <t>SPECIES_CETODDLE</t>
        </is>
      </c>
      <c r="B4519" s="3" t="inlineStr">
        <is>
          <t>Cetoddle</t>
        </is>
      </c>
      <c r="C4519" s="3" t="n">
        <v>36</v>
      </c>
      <c r="D4519" s="3" t="inlineStr">
        <is>
          <t>Body Slam</t>
        </is>
      </c>
      <c r="E4519" s="3" t="inlineStr">
        <is>
          <t>MOVE_BODY_SLAM</t>
        </is>
      </c>
    </row>
    <row r="4520">
      <c r="A4520" s="3" t="inlineStr">
        <is>
          <t>SPECIES_CETODDLE</t>
        </is>
      </c>
      <c r="B4520" s="3" t="inlineStr">
        <is>
          <t>Cetoddle</t>
        </is>
      </c>
      <c r="C4520" s="3" t="n">
        <v>40</v>
      </c>
      <c r="D4520" s="3" t="inlineStr">
        <is>
          <t>Amnesia</t>
        </is>
      </c>
      <c r="E4520" s="3" t="inlineStr">
        <is>
          <t>MOVE_AMNESIA</t>
        </is>
      </c>
    </row>
    <row r="4521">
      <c r="A4521" s="3" t="inlineStr">
        <is>
          <t>SPECIES_CETODDLE</t>
        </is>
      </c>
      <c r="B4521" s="3" t="inlineStr">
        <is>
          <t>Cetoddle</t>
        </is>
      </c>
      <c r="C4521" s="3" t="n">
        <v>44</v>
      </c>
      <c r="D4521" s="3" t="inlineStr">
        <is>
          <t>Ice Spinner</t>
        </is>
      </c>
      <c r="E4521" s="3" t="inlineStr">
        <is>
          <t>MOVE_ICE_SPINNER</t>
        </is>
      </c>
    </row>
    <row r="4522">
      <c r="A4522" s="3" t="inlineStr">
        <is>
          <t>SPECIES_CETODDLE</t>
        </is>
      </c>
      <c r="B4522" s="3" t="inlineStr">
        <is>
          <t>Cetoddle</t>
        </is>
      </c>
      <c r="C4522" s="3" t="n">
        <v>49</v>
      </c>
      <c r="D4522" s="3" t="inlineStr">
        <is>
          <t>Double-Edge</t>
        </is>
      </c>
      <c r="E4522" s="3" t="inlineStr">
        <is>
          <t>MOVE_DOUBLE_EDGE</t>
        </is>
      </c>
    </row>
    <row r="4523">
      <c r="A4523" s="3" t="inlineStr">
        <is>
          <t>SPECIES_CETODDLE</t>
        </is>
      </c>
      <c r="B4523" s="3" t="inlineStr">
        <is>
          <t>Cetoddle</t>
        </is>
      </c>
      <c r="C4523" s="3" t="n">
        <v>53</v>
      </c>
      <c r="D4523" s="3" t="inlineStr">
        <is>
          <t>Blizzard</t>
        </is>
      </c>
      <c r="E4523" s="3" t="inlineStr">
        <is>
          <t>MOVE_BLIZZARD</t>
        </is>
      </c>
    </row>
    <row r="4524">
      <c r="A4524" s="3" t="inlineStr">
        <is>
          <t>SPECIES_CETITAN</t>
        </is>
      </c>
      <c r="B4524" s="3" t="inlineStr">
        <is>
          <t>Cetitan</t>
        </is>
      </c>
      <c r="C4524" s="3" t="n">
        <v>1</v>
      </c>
      <c r="D4524" s="3" t="inlineStr">
        <is>
          <t>Tackle</t>
        </is>
      </c>
      <c r="E4524" s="3" t="inlineStr">
        <is>
          <t>MOVE_TACKLE</t>
        </is>
      </c>
    </row>
    <row r="4525">
      <c r="A4525" s="3" t="inlineStr">
        <is>
          <t>SPECIES_CETITAN</t>
        </is>
      </c>
      <c r="B4525" s="3" t="inlineStr">
        <is>
          <t>Cetitan</t>
        </is>
      </c>
      <c r="C4525" s="3" t="n">
        <v>1</v>
      </c>
      <c r="D4525" s="3" t="inlineStr">
        <is>
          <t>Powder Snow</t>
        </is>
      </c>
      <c r="E4525" s="3" t="inlineStr">
        <is>
          <t>MOVE_POWDER_SNOW</t>
        </is>
      </c>
    </row>
    <row r="4526">
      <c r="A4526" s="3" t="inlineStr">
        <is>
          <t>SPECIES_CETITAN</t>
        </is>
      </c>
      <c r="B4526" s="3" t="inlineStr">
        <is>
          <t>Cetitan</t>
        </is>
      </c>
      <c r="C4526" s="3" t="n">
        <v>6</v>
      </c>
      <c r="D4526" s="3" t="inlineStr">
        <is>
          <t>Growl</t>
        </is>
      </c>
      <c r="E4526" s="3" t="inlineStr">
        <is>
          <t>MOVE_GROWL</t>
        </is>
      </c>
    </row>
    <row r="4527">
      <c r="A4527" s="3" t="inlineStr">
        <is>
          <t>SPECIES_CETITAN</t>
        </is>
      </c>
      <c r="B4527" s="3" t="inlineStr">
        <is>
          <t>Cetitan</t>
        </is>
      </c>
      <c r="C4527" s="3" t="n">
        <v>9</v>
      </c>
      <c r="D4527" s="3" t="inlineStr">
        <is>
          <t>Echoed Voice</t>
        </is>
      </c>
      <c r="E4527" s="3" t="inlineStr">
        <is>
          <t>MOVE_ECHOED_VOICE</t>
        </is>
      </c>
    </row>
    <row r="4528">
      <c r="A4528" s="3" t="inlineStr">
        <is>
          <t>SPECIES_CETITAN</t>
        </is>
      </c>
      <c r="B4528" s="3" t="inlineStr">
        <is>
          <t>Cetitan</t>
        </is>
      </c>
      <c r="C4528" s="3" t="n">
        <v>12</v>
      </c>
      <c r="D4528" s="3" t="inlineStr">
        <is>
          <t>Ice Shard</t>
        </is>
      </c>
      <c r="E4528" s="3" t="inlineStr">
        <is>
          <t>MOVE_ICE_SHARD</t>
        </is>
      </c>
    </row>
    <row r="4529">
      <c r="A4529" s="3" t="inlineStr">
        <is>
          <t>SPECIES_CETITAN</t>
        </is>
      </c>
      <c r="B4529" s="3" t="inlineStr">
        <is>
          <t>Cetitan</t>
        </is>
      </c>
      <c r="C4529" s="3" t="n">
        <v>15</v>
      </c>
      <c r="D4529" s="3" t="inlineStr">
        <is>
          <t>Rest</t>
        </is>
      </c>
      <c r="E4529" s="3" t="inlineStr">
        <is>
          <t>MOVE_REST</t>
        </is>
      </c>
    </row>
    <row r="4530">
      <c r="A4530" s="3" t="inlineStr">
        <is>
          <t>SPECIES_CETITAN</t>
        </is>
      </c>
      <c r="B4530" s="3" t="inlineStr">
        <is>
          <t>Cetitan</t>
        </is>
      </c>
      <c r="C4530" s="3" t="n">
        <v>19</v>
      </c>
      <c r="D4530" s="3" t="inlineStr">
        <is>
          <t>Take Down</t>
        </is>
      </c>
      <c r="E4530" s="3" t="inlineStr">
        <is>
          <t>MOVE_TAKE_DOWN</t>
        </is>
      </c>
    </row>
    <row r="4531">
      <c r="A4531" s="3" t="inlineStr">
        <is>
          <t>SPECIES_CETITAN</t>
        </is>
      </c>
      <c r="B4531" s="3" t="inlineStr">
        <is>
          <t>Cetitan</t>
        </is>
      </c>
      <c r="C4531" s="3" t="n">
        <v>25</v>
      </c>
      <c r="D4531" s="3" t="inlineStr">
        <is>
          <t>Flail</t>
        </is>
      </c>
      <c r="E4531" s="3" t="inlineStr">
        <is>
          <t>MOVE_FLAIL</t>
        </is>
      </c>
    </row>
    <row r="4532">
      <c r="A4532" s="3" t="inlineStr">
        <is>
          <t>SPECIES_CETITAN</t>
        </is>
      </c>
      <c r="B4532" s="3" t="inlineStr">
        <is>
          <t>Cetitan</t>
        </is>
      </c>
      <c r="C4532" s="3" t="n">
        <v>27</v>
      </c>
      <c r="D4532" s="3" t="inlineStr">
        <is>
          <t>Avalanche</t>
        </is>
      </c>
      <c r="E4532" s="3" t="inlineStr">
        <is>
          <t>MOVE_AVALANCHE</t>
        </is>
      </c>
    </row>
    <row r="4533">
      <c r="A4533" s="3" t="inlineStr">
        <is>
          <t>SPECIES_CETITAN</t>
        </is>
      </c>
      <c r="B4533" s="3" t="inlineStr">
        <is>
          <t>Cetitan</t>
        </is>
      </c>
      <c r="C4533" s="3" t="n">
        <v>31</v>
      </c>
      <c r="D4533" s="3" t="inlineStr">
        <is>
          <t>Bounce</t>
        </is>
      </c>
      <c r="E4533" s="3" t="inlineStr">
        <is>
          <t>MOVE_BOUNCE</t>
        </is>
      </c>
    </row>
    <row r="4534">
      <c r="A4534" s="3" t="inlineStr">
        <is>
          <t>SPECIES_CETITAN</t>
        </is>
      </c>
      <c r="B4534" s="3" t="inlineStr">
        <is>
          <t>Cetitan</t>
        </is>
      </c>
      <c r="C4534" s="3" t="n">
        <v>36</v>
      </c>
      <c r="D4534" s="3" t="inlineStr">
        <is>
          <t>Body Slam</t>
        </is>
      </c>
      <c r="E4534" s="3" t="inlineStr">
        <is>
          <t>MOVE_BODY_SLAM</t>
        </is>
      </c>
    </row>
    <row r="4535">
      <c r="A4535" s="3" t="inlineStr">
        <is>
          <t>SPECIES_CETITAN</t>
        </is>
      </c>
      <c r="B4535" s="3" t="inlineStr">
        <is>
          <t>Cetitan</t>
        </is>
      </c>
      <c r="C4535" s="3" t="n">
        <v>40</v>
      </c>
      <c r="D4535" s="3" t="inlineStr">
        <is>
          <t>Amnesia</t>
        </is>
      </c>
      <c r="E4535" s="3" t="inlineStr">
        <is>
          <t>MOVE_AMNESIA</t>
        </is>
      </c>
    </row>
    <row r="4536">
      <c r="A4536" s="3" t="inlineStr">
        <is>
          <t>SPECIES_CETITAN</t>
        </is>
      </c>
      <c r="B4536" s="3" t="inlineStr">
        <is>
          <t>Cetitan</t>
        </is>
      </c>
      <c r="C4536" s="3" t="n">
        <v>44</v>
      </c>
      <c r="D4536" s="3" t="inlineStr">
        <is>
          <t>Ice Spinner</t>
        </is>
      </c>
      <c r="E4536" s="3" t="inlineStr">
        <is>
          <t>MOVE_ICE_SPINNER</t>
        </is>
      </c>
    </row>
    <row r="4537">
      <c r="A4537" s="3" t="inlineStr">
        <is>
          <t>SPECIES_CETITAN</t>
        </is>
      </c>
      <c r="B4537" s="3" t="inlineStr">
        <is>
          <t>Cetitan</t>
        </is>
      </c>
      <c r="C4537" s="3" t="n">
        <v>49</v>
      </c>
      <c r="D4537" s="3" t="inlineStr">
        <is>
          <t>Double-Edge</t>
        </is>
      </c>
      <c r="E4537" s="3" t="inlineStr">
        <is>
          <t>MOVE_DOUBLE_EDGE</t>
        </is>
      </c>
    </row>
    <row r="4538">
      <c r="A4538" s="3" t="inlineStr">
        <is>
          <t>SPECIES_CETITAN</t>
        </is>
      </c>
      <c r="B4538" s="3" t="inlineStr">
        <is>
          <t>Cetitan</t>
        </is>
      </c>
      <c r="C4538" s="3" t="n">
        <v>53</v>
      </c>
      <c r="D4538" s="3" t="inlineStr">
        <is>
          <t>Blizzard</t>
        </is>
      </c>
      <c r="E4538" s="3" t="inlineStr">
        <is>
          <t>MOVE_BLIZZARD</t>
        </is>
      </c>
    </row>
    <row r="4539">
      <c r="A4539" s="3" t="inlineStr">
        <is>
          <t>SPECIES_CAPSAKID</t>
        </is>
      </c>
      <c r="B4539" s="3" t="inlineStr">
        <is>
          <t>Capsakid</t>
        </is>
      </c>
      <c r="C4539" s="3" t="n">
        <v>1</v>
      </c>
      <c r="D4539" s="3" t="inlineStr">
        <is>
          <t>Leer</t>
        </is>
      </c>
      <c r="E4539" s="3" t="inlineStr">
        <is>
          <t>MOVE_LEER</t>
        </is>
      </c>
    </row>
    <row r="4540">
      <c r="A4540" s="3" t="inlineStr">
        <is>
          <t>SPECIES_CAPSAKID</t>
        </is>
      </c>
      <c r="B4540" s="3" t="inlineStr">
        <is>
          <t>Capsakid</t>
        </is>
      </c>
      <c r="C4540" s="3" t="n">
        <v>1</v>
      </c>
      <c r="D4540" s="3" t="inlineStr">
        <is>
          <t>Leafage</t>
        </is>
      </c>
      <c r="E4540" s="3" t="inlineStr">
        <is>
          <t>MOVE_LEAFAGE</t>
        </is>
      </c>
    </row>
    <row r="4541">
      <c r="A4541" s="3" t="inlineStr">
        <is>
          <t>SPECIES_CAPSAKID</t>
        </is>
      </c>
      <c r="B4541" s="3" t="inlineStr">
        <is>
          <t>Capsakid</t>
        </is>
      </c>
      <c r="C4541" s="3" t="n">
        <v>4</v>
      </c>
      <c r="D4541" s="3" t="inlineStr">
        <is>
          <t>Bite</t>
        </is>
      </c>
      <c r="E4541" s="3" t="inlineStr">
        <is>
          <t>MOVE_BITE</t>
        </is>
      </c>
    </row>
    <row r="4542">
      <c r="A4542" s="3" t="inlineStr">
        <is>
          <t>SPECIES_CAPSAKID</t>
        </is>
      </c>
      <c r="B4542" s="3" t="inlineStr">
        <is>
          <t>Capsakid</t>
        </is>
      </c>
      <c r="C4542" s="3" t="n">
        <v>10</v>
      </c>
      <c r="D4542" s="3" t="inlineStr">
        <is>
          <t>Growth</t>
        </is>
      </c>
      <c r="E4542" s="3" t="inlineStr">
        <is>
          <t>MOVE_GROWTH</t>
        </is>
      </c>
    </row>
    <row r="4543">
      <c r="A4543" s="3" t="inlineStr">
        <is>
          <t>SPECIES_CAPSAKID</t>
        </is>
      </c>
      <c r="B4543" s="3" t="inlineStr">
        <is>
          <t>Capsakid</t>
        </is>
      </c>
      <c r="C4543" s="3" t="n">
        <v>13</v>
      </c>
      <c r="D4543" s="3" t="inlineStr">
        <is>
          <t>Razor Leaf</t>
        </is>
      </c>
      <c r="E4543" s="3" t="inlineStr">
        <is>
          <t>MOVE_RAZOR_LEAF</t>
        </is>
      </c>
    </row>
    <row r="4544">
      <c r="A4544" s="3" t="inlineStr">
        <is>
          <t>SPECIES_CAPSAKID</t>
        </is>
      </c>
      <c r="B4544" s="3" t="inlineStr">
        <is>
          <t>Capsakid</t>
        </is>
      </c>
      <c r="C4544" s="3" t="n">
        <v>17</v>
      </c>
      <c r="D4544" s="3" t="inlineStr">
        <is>
          <t>Sunny Day</t>
        </is>
      </c>
      <c r="E4544" s="3" t="inlineStr">
        <is>
          <t>MOVE_SUNNY_DAY</t>
        </is>
      </c>
    </row>
    <row r="4545">
      <c r="A4545" s="3" t="inlineStr">
        <is>
          <t>SPECIES_CAPSAKID</t>
        </is>
      </c>
      <c r="B4545" s="3" t="inlineStr">
        <is>
          <t>Capsakid</t>
        </is>
      </c>
      <c r="C4545" s="3" t="n">
        <v>21</v>
      </c>
      <c r="D4545" s="3" t="inlineStr">
        <is>
          <t>Bullet Seed</t>
        </is>
      </c>
      <c r="E4545" s="3" t="inlineStr">
        <is>
          <t>MOVE_BULLET_SEED</t>
        </is>
      </c>
    </row>
    <row r="4546">
      <c r="A4546" s="3" t="inlineStr">
        <is>
          <t>SPECIES_CAPSAKID</t>
        </is>
      </c>
      <c r="B4546" s="3" t="inlineStr">
        <is>
          <t>Capsakid</t>
        </is>
      </c>
      <c r="C4546" s="3" t="n">
        <v>24</v>
      </c>
      <c r="D4546" s="3" t="inlineStr">
        <is>
          <t>Headbutt</t>
        </is>
      </c>
      <c r="E4546" s="3" t="inlineStr">
        <is>
          <t>MOVE_HEADBUTT</t>
        </is>
      </c>
    </row>
    <row r="4547">
      <c r="A4547" s="3" t="inlineStr">
        <is>
          <t>SPECIES_CAPSAKID</t>
        </is>
      </c>
      <c r="B4547" s="3" t="inlineStr">
        <is>
          <t>Capsakid</t>
        </is>
      </c>
      <c r="C4547" s="3" t="n">
        <v>28</v>
      </c>
      <c r="D4547" s="3" t="inlineStr">
        <is>
          <t>Zen Headbutt</t>
        </is>
      </c>
      <c r="E4547" s="3" t="inlineStr">
        <is>
          <t>MOVE_ZEN_HEADBUTT</t>
        </is>
      </c>
    </row>
    <row r="4548">
      <c r="A4548" s="3" t="inlineStr">
        <is>
          <t>SPECIES_CAPSAKID</t>
        </is>
      </c>
      <c r="B4548" s="3" t="inlineStr">
        <is>
          <t>Capsakid</t>
        </is>
      </c>
      <c r="C4548" s="3" t="n">
        <v>38</v>
      </c>
      <c r="D4548" s="3" t="inlineStr">
        <is>
          <t>Crunch</t>
        </is>
      </c>
      <c r="E4548" s="3" t="inlineStr">
        <is>
          <t>MOVE_CRUNCH</t>
        </is>
      </c>
    </row>
    <row r="4549">
      <c r="A4549" s="3" t="inlineStr">
        <is>
          <t>SPECIES_CAPSAKID</t>
        </is>
      </c>
      <c r="B4549" s="3" t="inlineStr">
        <is>
          <t>Capsakid</t>
        </is>
      </c>
      <c r="C4549" s="3" t="n">
        <v>44</v>
      </c>
      <c r="D4549" s="3" t="inlineStr">
        <is>
          <t>Seed Bomb</t>
        </is>
      </c>
      <c r="E4549" s="3" t="inlineStr">
        <is>
          <t>MOVE_SEED_BOMB</t>
        </is>
      </c>
    </row>
    <row r="4550">
      <c r="A4550" s="3" t="inlineStr">
        <is>
          <t>SPECIES_CAPSAKID</t>
        </is>
      </c>
      <c r="B4550" s="3" t="inlineStr">
        <is>
          <t>Capsakid</t>
        </is>
      </c>
      <c r="C4550" s="3" t="n">
        <v>48</v>
      </c>
      <c r="D4550" s="3" t="inlineStr">
        <is>
          <t>Solar Beam</t>
        </is>
      </c>
      <c r="E4550" s="3" t="inlineStr">
        <is>
          <t>MOVE_SOLAR_BEAM</t>
        </is>
      </c>
    </row>
    <row r="4551">
      <c r="A4551" s="3" t="inlineStr">
        <is>
          <t>SPECIES_SCOVILLAIN</t>
        </is>
      </c>
      <c r="B4551" s="3" t="inlineStr">
        <is>
          <t>Scovillain</t>
        </is>
      </c>
      <c r="C4551" s="3" t="n">
        <v>0</v>
      </c>
      <c r="D4551" s="3" t="inlineStr">
        <is>
          <t>Spicy Extract</t>
        </is>
      </c>
      <c r="E4551" s="3" t="inlineStr">
        <is>
          <t>MOVE_SPICY_EXTRACT</t>
        </is>
      </c>
    </row>
    <row r="4552">
      <c r="A4552" s="3" t="inlineStr">
        <is>
          <t>SPECIES_SCOVILLAIN</t>
        </is>
      </c>
      <c r="B4552" s="3" t="inlineStr">
        <is>
          <t>Scovillain</t>
        </is>
      </c>
      <c r="C4552" s="3" t="n">
        <v>0</v>
      </c>
      <c r="D4552" s="3" t="inlineStr">
        <is>
          <t>Flamethrower</t>
        </is>
      </c>
      <c r="E4552" s="3" t="inlineStr">
        <is>
          <t>MOVE_FLAMETHROWER</t>
        </is>
      </c>
    </row>
    <row r="4553">
      <c r="A4553" s="3" t="inlineStr">
        <is>
          <t>SPECIES_SCOVILLAIN</t>
        </is>
      </c>
      <c r="B4553" s="3" t="inlineStr">
        <is>
          <t>Scovillain</t>
        </is>
      </c>
      <c r="C4553" s="3" t="n">
        <v>1</v>
      </c>
      <c r="D4553" s="3" t="inlineStr">
        <is>
          <t>Leer</t>
        </is>
      </c>
      <c r="E4553" s="3" t="inlineStr">
        <is>
          <t>MOVE_LEER</t>
        </is>
      </c>
    </row>
    <row r="4554">
      <c r="A4554" s="3" t="inlineStr">
        <is>
          <t>SPECIES_SCOVILLAIN</t>
        </is>
      </c>
      <c r="B4554" s="3" t="inlineStr">
        <is>
          <t>Scovillain</t>
        </is>
      </c>
      <c r="C4554" s="3" t="n">
        <v>1</v>
      </c>
      <c r="D4554" s="3" t="inlineStr">
        <is>
          <t>Fire Fang</t>
        </is>
      </c>
      <c r="E4554" s="3" t="inlineStr">
        <is>
          <t>MOVE_FIRE_FANG</t>
        </is>
      </c>
    </row>
    <row r="4555">
      <c r="A4555" s="3" t="inlineStr">
        <is>
          <t>SPECIES_SCOVILLAIN</t>
        </is>
      </c>
      <c r="B4555" s="3" t="inlineStr">
        <is>
          <t>Scovillain</t>
        </is>
      </c>
      <c r="C4555" s="3" t="n">
        <v>1</v>
      </c>
      <c r="D4555" s="3" t="inlineStr">
        <is>
          <t>Leafage</t>
        </is>
      </c>
      <c r="E4555" s="3" t="inlineStr">
        <is>
          <t>MOVE_LEAFAGE</t>
        </is>
      </c>
    </row>
    <row r="4556">
      <c r="A4556" s="3" t="inlineStr">
        <is>
          <t>SPECIES_SCOVILLAIN</t>
        </is>
      </c>
      <c r="B4556" s="3" t="inlineStr">
        <is>
          <t>Scovillain</t>
        </is>
      </c>
      <c r="C4556" s="3" t="n">
        <v>4</v>
      </c>
      <c r="D4556" s="3" t="inlineStr">
        <is>
          <t>Bite</t>
        </is>
      </c>
      <c r="E4556" s="3" t="inlineStr">
        <is>
          <t>MOVE_BITE</t>
        </is>
      </c>
    </row>
    <row r="4557">
      <c r="A4557" s="3" t="inlineStr">
        <is>
          <t>SPECIES_SCOVILLAIN</t>
        </is>
      </c>
      <c r="B4557" s="3" t="inlineStr">
        <is>
          <t>Scovillain</t>
        </is>
      </c>
      <c r="C4557" s="3" t="n">
        <v>10</v>
      </c>
      <c r="D4557" s="3" t="inlineStr">
        <is>
          <t>Growth</t>
        </is>
      </c>
      <c r="E4557" s="3" t="inlineStr">
        <is>
          <t>MOVE_GROWTH</t>
        </is>
      </c>
    </row>
    <row r="4558">
      <c r="A4558" s="3" t="inlineStr">
        <is>
          <t>SPECIES_SCOVILLAIN</t>
        </is>
      </c>
      <c r="B4558" s="3" t="inlineStr">
        <is>
          <t>Scovillain</t>
        </is>
      </c>
      <c r="C4558" s="3" t="n">
        <v>13</v>
      </c>
      <c r="D4558" s="3" t="inlineStr">
        <is>
          <t>Razor Leaf</t>
        </is>
      </c>
      <c r="E4558" s="3" t="inlineStr">
        <is>
          <t>MOVE_RAZOR_LEAF</t>
        </is>
      </c>
    </row>
    <row r="4559">
      <c r="A4559" s="3" t="inlineStr">
        <is>
          <t>SPECIES_SCOVILLAIN</t>
        </is>
      </c>
      <c r="B4559" s="3" t="inlineStr">
        <is>
          <t>Scovillain</t>
        </is>
      </c>
      <c r="C4559" s="3" t="n">
        <v>17</v>
      </c>
      <c r="D4559" s="3" t="inlineStr">
        <is>
          <t>Sunny Day</t>
        </is>
      </c>
      <c r="E4559" s="3" t="inlineStr">
        <is>
          <t>MOVE_SUNNY_DAY</t>
        </is>
      </c>
    </row>
    <row r="4560">
      <c r="A4560" s="3" t="inlineStr">
        <is>
          <t>SPECIES_SCOVILLAIN</t>
        </is>
      </c>
      <c r="B4560" s="3" t="inlineStr">
        <is>
          <t>Scovillain</t>
        </is>
      </c>
      <c r="C4560" s="3" t="n">
        <v>21</v>
      </c>
      <c r="D4560" s="3" t="inlineStr">
        <is>
          <t>Bullet Seed</t>
        </is>
      </c>
      <c r="E4560" s="3" t="inlineStr">
        <is>
          <t>MOVE_BULLET_SEED</t>
        </is>
      </c>
    </row>
    <row r="4561">
      <c r="A4561" s="3" t="inlineStr">
        <is>
          <t>SPECIES_SCOVILLAIN</t>
        </is>
      </c>
      <c r="B4561" s="3" t="inlineStr">
        <is>
          <t>Scovillain</t>
        </is>
      </c>
      <c r="C4561" s="3" t="n">
        <v>24</v>
      </c>
      <c r="D4561" s="3" t="inlineStr">
        <is>
          <t>Headbutt</t>
        </is>
      </c>
      <c r="E4561" s="3" t="inlineStr">
        <is>
          <t>MOVE_HEADBUTT</t>
        </is>
      </c>
    </row>
    <row r="4562">
      <c r="A4562" s="3" t="inlineStr">
        <is>
          <t>SPECIES_SCOVILLAIN</t>
        </is>
      </c>
      <c r="B4562" s="3" t="inlineStr">
        <is>
          <t>Scovillain</t>
        </is>
      </c>
      <c r="C4562" s="3" t="n">
        <v>28</v>
      </c>
      <c r="D4562" s="3" t="inlineStr">
        <is>
          <t>Zen Headbutt</t>
        </is>
      </c>
      <c r="E4562" s="3" t="inlineStr">
        <is>
          <t>MOVE_ZEN_HEADBUTT</t>
        </is>
      </c>
    </row>
    <row r="4563">
      <c r="A4563" s="3" t="inlineStr">
        <is>
          <t>SPECIES_SCOVILLAIN</t>
        </is>
      </c>
      <c r="B4563" s="3" t="inlineStr">
        <is>
          <t>Scovillain</t>
        </is>
      </c>
      <c r="C4563" s="3" t="n">
        <v>33</v>
      </c>
      <c r="D4563" s="3" t="inlineStr">
        <is>
          <t>Worry Seed</t>
        </is>
      </c>
      <c r="E4563" s="3" t="inlineStr">
        <is>
          <t>MOVE_WORRY_SEED</t>
        </is>
      </c>
    </row>
    <row r="4564">
      <c r="A4564" s="3" t="inlineStr">
        <is>
          <t>SPECIES_SCOVILLAIN</t>
        </is>
      </c>
      <c r="B4564" s="3" t="inlineStr">
        <is>
          <t>Scovillain</t>
        </is>
      </c>
      <c r="C4564" s="3" t="n">
        <v>38</v>
      </c>
      <c r="D4564" s="3" t="inlineStr">
        <is>
          <t>Crunch</t>
        </is>
      </c>
      <c r="E4564" s="3" t="inlineStr">
        <is>
          <t>MOVE_CRUNCH</t>
        </is>
      </c>
    </row>
    <row r="4565">
      <c r="A4565" s="3" t="inlineStr">
        <is>
          <t>SPECIES_SCOVILLAIN</t>
        </is>
      </c>
      <c r="B4565" s="3" t="inlineStr">
        <is>
          <t>Scovillain</t>
        </is>
      </c>
      <c r="C4565" s="3" t="n">
        <v>44</v>
      </c>
      <c r="D4565" s="3" t="inlineStr">
        <is>
          <t>Seed Bomb</t>
        </is>
      </c>
      <c r="E4565" s="3" t="inlineStr">
        <is>
          <t>MOVE_SEED_BOMB</t>
        </is>
      </c>
    </row>
    <row r="4566">
      <c r="A4566" s="3" t="inlineStr">
        <is>
          <t>SPECIES_SCOVILLAIN</t>
        </is>
      </c>
      <c r="B4566" s="3" t="inlineStr">
        <is>
          <t>Scovillain</t>
        </is>
      </c>
      <c r="C4566" s="3" t="n">
        <v>48</v>
      </c>
      <c r="D4566" s="3" t="inlineStr">
        <is>
          <t>Solar Beam</t>
        </is>
      </c>
      <c r="E4566" s="3" t="inlineStr">
        <is>
          <t>MOVE_SOLAR_BEAM</t>
        </is>
      </c>
    </row>
    <row r="4567">
      <c r="A4567" s="3" t="inlineStr">
        <is>
          <t>SPECIES_SCOVILLAIN</t>
        </is>
      </c>
      <c r="B4567" s="3" t="inlineStr">
        <is>
          <t>Scovillain</t>
        </is>
      </c>
      <c r="C4567" s="3" t="n">
        <v>48</v>
      </c>
      <c r="D4567" s="3" t="inlineStr">
        <is>
          <t>Overheat</t>
        </is>
      </c>
      <c r="E4567" s="3" t="inlineStr">
        <is>
          <t>MOVE_OVERHEAT</t>
        </is>
      </c>
    </row>
  </sheetData>
  <autoFilter ref="A1:E456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62"/>
  <sheetViews>
    <sheetView showGridLines="0" workbookViewId="0">
      <pane ySplit="1" topLeftCell="A2" activePane="bottomLeft" state="frozen"/>
      <selection pane="bottomLeft" activeCell="A1" sqref="A1"/>
    </sheetView>
  </sheetViews>
  <sheetFormatPr baseColWidth="8" defaultRowHeight="15"/>
  <cols>
    <col width="23" customWidth="1" min="1" max="1"/>
    <col width="18" customWidth="1" min="2" max="2"/>
    <col width="10" customWidth="1" min="3" max="3"/>
    <col width="10" customWidth="1" min="4" max="4"/>
    <col width="9" customWidth="1" min="5" max="5"/>
    <col width="10" customWidth="1" min="6" max="6"/>
    <col width="9" customWidth="1" min="7" max="7"/>
  </cols>
  <sheetData>
    <row r="1" ht="32" customHeight="1">
      <c r="A1" s="1" t="inlineStr">
        <is>
          <t>Move ID</t>
        </is>
      </c>
      <c r="B1" s="1" t="inlineStr">
        <is>
          <t>Name</t>
        </is>
      </c>
      <c r="C1" s="1" t="inlineStr">
        <is>
          <t>Type</t>
        </is>
      </c>
      <c r="D1" s="1" t="inlineStr">
        <is>
          <t>Category</t>
        </is>
      </c>
      <c r="E1" s="1" t="inlineStr">
        <is>
          <t>Power</t>
        </is>
      </c>
      <c r="F1" s="1" t="inlineStr">
        <is>
          <t>Accuracy</t>
        </is>
      </c>
      <c r="G1" s="1" t="inlineStr">
        <is>
          <t>PP</t>
        </is>
      </c>
    </row>
    <row r="2">
      <c r="A2" s="3" t="inlineStr">
        <is>
          <t>MOVE_ABSORB</t>
        </is>
      </c>
      <c r="B2" s="3" t="inlineStr">
        <is>
          <t>Absorb</t>
        </is>
      </c>
      <c r="C2" s="3" t="inlineStr">
        <is>
          <t>Grass</t>
        </is>
      </c>
      <c r="D2" s="3" t="inlineStr">
        <is>
          <t>Special</t>
        </is>
      </c>
      <c r="E2" s="3" t="n">
        <v>40</v>
      </c>
      <c r="F2" s="3" t="n">
        <v>100</v>
      </c>
      <c r="G2" s="3" t="n">
        <v>25</v>
      </c>
    </row>
    <row r="3">
      <c r="A3" s="3" t="inlineStr">
        <is>
          <t>MOVE_ACID</t>
        </is>
      </c>
      <c r="B3" s="3" t="inlineStr">
        <is>
          <t>Acid</t>
        </is>
      </c>
      <c r="C3" s="3" t="inlineStr">
        <is>
          <t>Poison</t>
        </is>
      </c>
      <c r="D3" s="3" t="inlineStr">
        <is>
          <t>Special</t>
        </is>
      </c>
      <c r="E3" s="3" t="n">
        <v>40</v>
      </c>
      <c r="F3" s="3" t="n">
        <v>100</v>
      </c>
      <c r="G3" s="3" t="n">
        <v>30</v>
      </c>
    </row>
    <row r="4">
      <c r="A4" s="3" t="inlineStr">
        <is>
          <t>MOVE_ACID_ARMOR</t>
        </is>
      </c>
      <c r="B4" s="3" t="inlineStr">
        <is>
          <t>Acid Armor</t>
        </is>
      </c>
      <c r="C4" s="3" t="inlineStr">
        <is>
          <t>Poison</t>
        </is>
      </c>
      <c r="D4" s="3" t="inlineStr">
        <is>
          <t>Status</t>
        </is>
      </c>
      <c r="E4" s="3" t="n">
        <v>0</v>
      </c>
      <c r="F4" s="3" t="n">
        <v>0</v>
      </c>
      <c r="G4" s="3" t="n">
        <v>20</v>
      </c>
    </row>
    <row r="5">
      <c r="A5" s="3" t="inlineStr">
        <is>
          <t>MOVE_ACID_SPRAY</t>
        </is>
      </c>
      <c r="B5" s="3" t="inlineStr">
        <is>
          <t>Acid Spray</t>
        </is>
      </c>
      <c r="C5" s="3" t="inlineStr">
        <is>
          <t>Poison</t>
        </is>
      </c>
      <c r="D5" s="3" t="inlineStr">
        <is>
          <t>Special</t>
        </is>
      </c>
      <c r="E5" s="3" t="n">
        <v>40</v>
      </c>
      <c r="F5" s="3" t="n">
        <v>100</v>
      </c>
      <c r="G5" s="3" t="n">
        <v>20</v>
      </c>
    </row>
    <row r="6">
      <c r="A6" s="3" t="inlineStr">
        <is>
          <t>MOVE_ACROBATICS</t>
        </is>
      </c>
      <c r="B6" s="3" t="inlineStr">
        <is>
          <t>Acrobatics</t>
        </is>
      </c>
      <c r="C6" s="3" t="inlineStr">
        <is>
          <t>Flying</t>
        </is>
      </c>
      <c r="D6" s="3" t="inlineStr">
        <is>
          <t>Physical</t>
        </is>
      </c>
      <c r="E6" s="3" t="n">
        <v>55</v>
      </c>
      <c r="F6" s="3" t="n">
        <v>100</v>
      </c>
      <c r="G6" s="3" t="n">
        <v>15</v>
      </c>
    </row>
    <row r="7">
      <c r="A7" s="3" t="inlineStr">
        <is>
          <t>MOVE_ACUPRESSURE</t>
        </is>
      </c>
      <c r="B7" s="3" t="inlineStr">
        <is>
          <t>Acupressure</t>
        </is>
      </c>
      <c r="C7" s="3" t="inlineStr">
        <is>
          <t>Normal</t>
        </is>
      </c>
      <c r="D7" s="3" t="inlineStr">
        <is>
          <t>Status</t>
        </is>
      </c>
      <c r="E7" s="3" t="n">
        <v>0</v>
      </c>
      <c r="F7" s="3" t="n">
        <v>0</v>
      </c>
      <c r="G7" s="3" t="n">
        <v>30</v>
      </c>
    </row>
    <row r="8">
      <c r="A8" s="3" t="inlineStr">
        <is>
          <t>MOVE_AERIAL_ACE</t>
        </is>
      </c>
      <c r="B8" s="3" t="inlineStr">
        <is>
          <t>Aerial Ace</t>
        </is>
      </c>
      <c r="C8" s="3" t="inlineStr">
        <is>
          <t>Flying</t>
        </is>
      </c>
      <c r="D8" s="3" t="inlineStr">
        <is>
          <t>Physical</t>
        </is>
      </c>
      <c r="E8" s="3" t="n">
        <v>60</v>
      </c>
      <c r="F8" s="3" t="n">
        <v>0</v>
      </c>
      <c r="G8" s="3" t="n">
        <v>20</v>
      </c>
    </row>
    <row r="9">
      <c r="A9" s="3" t="inlineStr">
        <is>
          <t>MOVE_AFTER_YOU</t>
        </is>
      </c>
      <c r="B9" s="3" t="inlineStr">
        <is>
          <t>After You</t>
        </is>
      </c>
      <c r="C9" s="3" t="inlineStr">
        <is>
          <t>Normal</t>
        </is>
      </c>
      <c r="D9" s="3" t="inlineStr">
        <is>
          <t>Status</t>
        </is>
      </c>
      <c r="E9" s="3" t="n">
        <v>0</v>
      </c>
      <c r="F9" s="3" t="n">
        <v>0</v>
      </c>
      <c r="G9" s="3" t="n">
        <v>15</v>
      </c>
    </row>
    <row r="10">
      <c r="A10" s="3" t="inlineStr">
        <is>
          <t>MOVE_AGILITY</t>
        </is>
      </c>
      <c r="B10" s="3" t="inlineStr">
        <is>
          <t>Agility</t>
        </is>
      </c>
      <c r="C10" s="3" t="inlineStr">
        <is>
          <t>Psychic</t>
        </is>
      </c>
      <c r="D10" s="3" t="inlineStr">
        <is>
          <t>Status</t>
        </is>
      </c>
      <c r="E10" s="3" t="n">
        <v>0</v>
      </c>
      <c r="F10" s="3" t="n">
        <v>0</v>
      </c>
      <c r="G10" s="3" t="n">
        <v>30</v>
      </c>
    </row>
    <row r="11">
      <c r="A11" s="3" t="inlineStr">
        <is>
          <t>MOVE_AIR_CUTTER</t>
        </is>
      </c>
      <c r="B11" s="3" t="inlineStr">
        <is>
          <t>Air Cutter</t>
        </is>
      </c>
      <c r="C11" s="3" t="inlineStr">
        <is>
          <t>Flying</t>
        </is>
      </c>
      <c r="D11" s="3" t="inlineStr">
        <is>
          <t>Special</t>
        </is>
      </c>
      <c r="E11" s="3" t="n">
        <v>60</v>
      </c>
      <c r="F11" s="3" t="n">
        <v>95</v>
      </c>
      <c r="G11" s="3" t="n">
        <v>25</v>
      </c>
    </row>
    <row r="12">
      <c r="A12" s="3" t="inlineStr">
        <is>
          <t>MOVE_AIR_SLASH</t>
        </is>
      </c>
      <c r="B12" s="3" t="inlineStr">
        <is>
          <t>Air Slash</t>
        </is>
      </c>
      <c r="C12" s="3" t="inlineStr">
        <is>
          <t>Flying</t>
        </is>
      </c>
      <c r="D12" s="3" t="inlineStr">
        <is>
          <t>Special</t>
        </is>
      </c>
      <c r="E12" s="3" t="n">
        <v>75</v>
      </c>
      <c r="F12" s="3" t="n">
        <v>95</v>
      </c>
      <c r="G12" s="3" t="n">
        <v>15</v>
      </c>
    </row>
    <row r="13">
      <c r="A13" s="3" t="inlineStr">
        <is>
          <t>MOVE_ALLY_SWITCH</t>
        </is>
      </c>
      <c r="B13" s="3" t="inlineStr">
        <is>
          <t>Ally Switch</t>
        </is>
      </c>
      <c r="C13" s="3" t="inlineStr">
        <is>
          <t>Psychic</t>
        </is>
      </c>
      <c r="D13" s="3" t="inlineStr">
        <is>
          <t>Status</t>
        </is>
      </c>
      <c r="E13" s="3" t="n">
        <v>0</v>
      </c>
      <c r="F13" s="3" t="n">
        <v>0</v>
      </c>
      <c r="G13" s="3" t="n">
        <v>15</v>
      </c>
    </row>
    <row r="14">
      <c r="A14" s="3" t="inlineStr">
        <is>
          <t>MOVE_AMNESIA</t>
        </is>
      </c>
      <c r="B14" s="3" t="inlineStr">
        <is>
          <t>Amnesia</t>
        </is>
      </c>
      <c r="C14" s="3" t="inlineStr">
        <is>
          <t>Psychic</t>
        </is>
      </c>
      <c r="D14" s="3" t="inlineStr">
        <is>
          <t>Status</t>
        </is>
      </c>
      <c r="E14" s="3" t="n">
        <v>0</v>
      </c>
      <c r="F14" s="3" t="n">
        <v>0</v>
      </c>
      <c r="G14" s="3" t="n">
        <v>20</v>
      </c>
    </row>
    <row r="15">
      <c r="A15" s="3" t="inlineStr">
        <is>
          <t>MOVE_ANCIENT_POWER</t>
        </is>
      </c>
      <c r="B15" s="3" t="inlineStr">
        <is>
          <t>Ancient Power</t>
        </is>
      </c>
      <c r="C15" s="3" t="inlineStr">
        <is>
          <t>Rock</t>
        </is>
      </c>
      <c r="D15" s="3" t="inlineStr">
        <is>
          <t>Special</t>
        </is>
      </c>
      <c r="E15" s="3" t="n">
        <v>60</v>
      </c>
      <c r="F15" s="3" t="n">
        <v>100</v>
      </c>
      <c r="G15" s="3" t="n">
        <v>5</v>
      </c>
    </row>
    <row r="16">
      <c r="A16" s="3" t="inlineStr">
        <is>
          <t>MOVE_AQUA_CUTTER</t>
        </is>
      </c>
      <c r="B16" s="3" t="inlineStr">
        <is>
          <t>Aqua Cutter</t>
        </is>
      </c>
      <c r="C16" s="3" t="inlineStr">
        <is>
          <t>Water</t>
        </is>
      </c>
      <c r="D16" s="3" t="inlineStr">
        <is>
          <t>Physical</t>
        </is>
      </c>
      <c r="E16" s="3" t="n">
        <v>70</v>
      </c>
      <c r="F16" s="3" t="n">
        <v>100</v>
      </c>
      <c r="G16" s="3" t="n">
        <v>20</v>
      </c>
    </row>
    <row r="17">
      <c r="A17" s="3" t="inlineStr">
        <is>
          <t>MOVE_AQUA_JET</t>
        </is>
      </c>
      <c r="B17" s="3" t="inlineStr">
        <is>
          <t>Aqua Jet</t>
        </is>
      </c>
      <c r="C17" s="3" t="inlineStr">
        <is>
          <t>Water</t>
        </is>
      </c>
      <c r="D17" s="3" t="inlineStr">
        <is>
          <t>Physical</t>
        </is>
      </c>
      <c r="E17" s="3" t="n">
        <v>40</v>
      </c>
      <c r="F17" s="3" t="n">
        <v>100</v>
      </c>
      <c r="G17" s="3" t="n">
        <v>20</v>
      </c>
    </row>
    <row r="18">
      <c r="A18" s="3" t="inlineStr">
        <is>
          <t>MOVE_AQUA_RING</t>
        </is>
      </c>
      <c r="B18" s="3" t="inlineStr">
        <is>
          <t>Aqua Ring</t>
        </is>
      </c>
      <c r="C18" s="3" t="inlineStr">
        <is>
          <t>Water</t>
        </is>
      </c>
      <c r="D18" s="3" t="inlineStr">
        <is>
          <t>Status</t>
        </is>
      </c>
      <c r="E18" s="3" t="n">
        <v>0</v>
      </c>
      <c r="F18" s="3" t="n">
        <v>0</v>
      </c>
      <c r="G18" s="3" t="n">
        <v>20</v>
      </c>
    </row>
    <row r="19">
      <c r="A19" s="3" t="inlineStr">
        <is>
          <t>MOVE_AQUA_TAIL</t>
        </is>
      </c>
      <c r="B19" s="3" t="inlineStr">
        <is>
          <t>Aqua Tail</t>
        </is>
      </c>
      <c r="C19" s="3" t="inlineStr">
        <is>
          <t>Water</t>
        </is>
      </c>
      <c r="D19" s="3" t="inlineStr">
        <is>
          <t>Physical</t>
        </is>
      </c>
      <c r="E19" s="3" t="n">
        <v>90</v>
      </c>
      <c r="F19" s="3" t="n">
        <v>90</v>
      </c>
      <c r="G19" s="3" t="n">
        <v>10</v>
      </c>
    </row>
    <row r="20">
      <c r="A20" s="3" t="inlineStr">
        <is>
          <t>MOVE_ARM_THRUST</t>
        </is>
      </c>
      <c r="B20" s="3" t="inlineStr">
        <is>
          <t>Arm Thrust</t>
        </is>
      </c>
      <c r="C20" s="3" t="inlineStr">
        <is>
          <t>Fighting</t>
        </is>
      </c>
      <c r="D20" s="3" t="inlineStr">
        <is>
          <t>Physical</t>
        </is>
      </c>
      <c r="E20" s="3" t="n">
        <v>25</v>
      </c>
      <c r="F20" s="3" t="n">
        <v>100</v>
      </c>
      <c r="G20" s="3" t="n">
        <v>10</v>
      </c>
    </row>
    <row r="21">
      <c r="A21" s="3" t="inlineStr">
        <is>
          <t>MOVE_ARMOR_CANNON</t>
        </is>
      </c>
      <c r="B21" s="3" t="inlineStr">
        <is>
          <t>Armor Cannon</t>
        </is>
      </c>
      <c r="C21" s="3" t="inlineStr">
        <is>
          <t>Fire</t>
        </is>
      </c>
      <c r="D21" s="3" t="inlineStr">
        <is>
          <t>Special</t>
        </is>
      </c>
      <c r="E21" s="3" t="n">
        <v>120</v>
      </c>
      <c r="F21" s="3" t="n">
        <v>100</v>
      </c>
      <c r="G21" s="3" t="n">
        <v>5</v>
      </c>
    </row>
    <row r="22">
      <c r="A22" s="3" t="inlineStr">
        <is>
          <t>MOVE_AROMATHERAPY</t>
        </is>
      </c>
      <c r="B22" s="3" t="inlineStr">
        <is>
          <t>Aromatherapy</t>
        </is>
      </c>
      <c r="C22" s="3" t="inlineStr">
        <is>
          <t>Grass</t>
        </is>
      </c>
      <c r="D22" s="3" t="inlineStr">
        <is>
          <t>Status</t>
        </is>
      </c>
      <c r="E22" s="3" t="n">
        <v>0</v>
      </c>
      <c r="F22" s="3" t="n">
        <v>0</v>
      </c>
      <c r="G22" s="3" t="n">
        <v>5</v>
      </c>
    </row>
    <row r="23">
      <c r="A23" s="3" t="inlineStr">
        <is>
          <t>MOVE_AROMATIC_MIST</t>
        </is>
      </c>
      <c r="B23" s="3" t="inlineStr">
        <is>
          <t>Aromatic Mist</t>
        </is>
      </c>
      <c r="C23" s="3" t="inlineStr">
        <is>
          <t>Fairy</t>
        </is>
      </c>
      <c r="D23" s="3" t="inlineStr">
        <is>
          <t>Status</t>
        </is>
      </c>
      <c r="E23" s="3" t="n">
        <v>0</v>
      </c>
      <c r="F23" s="3" t="n">
        <v>0</v>
      </c>
      <c r="G23" s="3" t="n">
        <v>20</v>
      </c>
    </row>
    <row r="24">
      <c r="A24" s="3" t="inlineStr">
        <is>
          <t>MOVE_ASSIST</t>
        </is>
      </c>
      <c r="B24" s="3" t="inlineStr">
        <is>
          <t>Assist</t>
        </is>
      </c>
      <c r="C24" s="3" t="inlineStr">
        <is>
          <t>Normal</t>
        </is>
      </c>
      <c r="D24" s="3" t="inlineStr">
        <is>
          <t>Status</t>
        </is>
      </c>
      <c r="E24" s="3" t="n">
        <v>0</v>
      </c>
      <c r="F24" s="3" t="n">
        <v>0</v>
      </c>
      <c r="G24" s="3" t="n">
        <v>20</v>
      </c>
    </row>
    <row r="25">
      <c r="A25" s="3" t="inlineStr">
        <is>
          <t>MOVE_ASSURANCE</t>
        </is>
      </c>
      <c r="B25" s="3" t="inlineStr">
        <is>
          <t>Assurance</t>
        </is>
      </c>
      <c r="C25" s="3" t="inlineStr">
        <is>
          <t>Dark</t>
        </is>
      </c>
      <c r="D25" s="3" t="inlineStr">
        <is>
          <t>Physical</t>
        </is>
      </c>
      <c r="E25" s="3" t="n">
        <v>60</v>
      </c>
      <c r="F25" s="3" t="n">
        <v>100</v>
      </c>
      <c r="G25" s="3" t="n">
        <v>10</v>
      </c>
    </row>
    <row r="26">
      <c r="A26" s="3" t="inlineStr">
        <is>
          <t>MOVE_ASTONISH</t>
        </is>
      </c>
      <c r="B26" s="3" t="inlineStr">
        <is>
          <t>Astonish</t>
        </is>
      </c>
      <c r="C26" s="3" t="inlineStr">
        <is>
          <t>Ghost</t>
        </is>
      </c>
      <c r="D26" s="3" t="inlineStr">
        <is>
          <t>Physical</t>
        </is>
      </c>
      <c r="E26" s="3" t="n">
        <v>30</v>
      </c>
      <c r="F26" s="3" t="n">
        <v>100</v>
      </c>
      <c r="G26" s="3" t="n">
        <v>15</v>
      </c>
    </row>
    <row r="27">
      <c r="A27" s="3" t="inlineStr">
        <is>
          <t>MOVE_ATTACK_ORDER</t>
        </is>
      </c>
      <c r="B27" s="3" t="inlineStr">
        <is>
          <t>Attack Order</t>
        </is>
      </c>
      <c r="C27" s="3" t="inlineStr">
        <is>
          <t>Bug</t>
        </is>
      </c>
      <c r="D27" s="3" t="inlineStr">
        <is>
          <t>Physical</t>
        </is>
      </c>
      <c r="E27" s="3" t="n">
        <v>90</v>
      </c>
      <c r="F27" s="3" t="n">
        <v>100</v>
      </c>
      <c r="G27" s="3" t="n">
        <v>15</v>
      </c>
    </row>
    <row r="28">
      <c r="A28" s="3" t="inlineStr">
        <is>
          <t>MOVE_ATTRACT</t>
        </is>
      </c>
      <c r="B28" s="3" t="inlineStr">
        <is>
          <t>Attract</t>
        </is>
      </c>
      <c r="C28" s="3" t="inlineStr">
        <is>
          <t>Normal</t>
        </is>
      </c>
      <c r="D28" s="3" t="inlineStr">
        <is>
          <t>Status</t>
        </is>
      </c>
      <c r="E28" s="3" t="n">
        <v>0</v>
      </c>
      <c r="F28" s="3" t="n">
        <v>100</v>
      </c>
      <c r="G28" s="3" t="n">
        <v>15</v>
      </c>
    </row>
    <row r="29">
      <c r="A29" s="3" t="inlineStr">
        <is>
          <t>MOVE_AURA_SPHERE</t>
        </is>
      </c>
      <c r="B29" s="3" t="inlineStr">
        <is>
          <t>Aura Sphere</t>
        </is>
      </c>
      <c r="C29" s="3" t="inlineStr">
        <is>
          <t>Fighting</t>
        </is>
      </c>
      <c r="D29" s="3" t="inlineStr">
        <is>
          <t>Special</t>
        </is>
      </c>
      <c r="E29" s="3" t="n">
        <v>80</v>
      </c>
      <c r="F29" s="3" t="n">
        <v>0</v>
      </c>
      <c r="G29" s="3" t="n">
        <v>20</v>
      </c>
    </row>
    <row r="30">
      <c r="A30" s="3" t="inlineStr">
        <is>
          <t>MOVE_AURORA_BEAM</t>
        </is>
      </c>
      <c r="B30" s="3" t="inlineStr">
        <is>
          <t>Aurora Beam</t>
        </is>
      </c>
      <c r="C30" s="3" t="inlineStr">
        <is>
          <t>Ice</t>
        </is>
      </c>
      <c r="D30" s="3" t="inlineStr">
        <is>
          <t>Special</t>
        </is>
      </c>
      <c r="E30" s="3" t="n">
        <v>65</v>
      </c>
      <c r="F30" s="3" t="n">
        <v>100</v>
      </c>
      <c r="G30" s="3" t="n">
        <v>20</v>
      </c>
    </row>
    <row r="31">
      <c r="A31" s="3" t="inlineStr">
        <is>
          <t>MOVE_AURORA_VEIL</t>
        </is>
      </c>
      <c r="B31" s="3" t="inlineStr">
        <is>
          <t>Aurora Veil</t>
        </is>
      </c>
      <c r="C31" s="3" t="inlineStr">
        <is>
          <t>Ice</t>
        </is>
      </c>
      <c r="D31" s="3" t="inlineStr">
        <is>
          <t>Status</t>
        </is>
      </c>
      <c r="E31" s="3" t="n">
        <v>0</v>
      </c>
      <c r="F31" s="3" t="n">
        <v>0</v>
      </c>
      <c r="G31" s="3" t="n">
        <v>20</v>
      </c>
    </row>
    <row r="32">
      <c r="A32" s="3" t="inlineStr">
        <is>
          <t>MOVE_AUTOTOMIZE</t>
        </is>
      </c>
      <c r="B32" s="3" t="inlineStr">
        <is>
          <t>Autotomize</t>
        </is>
      </c>
      <c r="C32" s="3" t="inlineStr">
        <is>
          <t>Steel</t>
        </is>
      </c>
      <c r="D32" s="3" t="inlineStr">
        <is>
          <t>Status</t>
        </is>
      </c>
      <c r="E32" s="3" t="n">
        <v>0</v>
      </c>
      <c r="F32" s="3" t="n">
        <v>0</v>
      </c>
      <c r="G32" s="3" t="n">
        <v>15</v>
      </c>
    </row>
    <row r="33">
      <c r="A33" s="3" t="inlineStr">
        <is>
          <t>MOVE_AVALANCHE</t>
        </is>
      </c>
      <c r="B33" s="3" t="inlineStr">
        <is>
          <t>Avalanche</t>
        </is>
      </c>
      <c r="C33" s="3" t="inlineStr">
        <is>
          <t>Ice</t>
        </is>
      </c>
      <c r="D33" s="3" t="inlineStr">
        <is>
          <t>Physical</t>
        </is>
      </c>
      <c r="E33" s="3" t="n">
        <v>60</v>
      </c>
      <c r="F33" s="3" t="n">
        <v>100</v>
      </c>
      <c r="G33" s="3" t="n">
        <v>10</v>
      </c>
    </row>
    <row r="34">
      <c r="A34" s="3" t="inlineStr">
        <is>
          <t>MOVE_AXE_KICK</t>
        </is>
      </c>
      <c r="B34" s="3" t="inlineStr">
        <is>
          <t>Axe Kick</t>
        </is>
      </c>
      <c r="C34" s="3" t="inlineStr">
        <is>
          <t>Fighting</t>
        </is>
      </c>
      <c r="D34" s="3" t="inlineStr">
        <is>
          <t>Physical</t>
        </is>
      </c>
      <c r="E34" s="3" t="n">
        <v>120</v>
      </c>
      <c r="F34" s="3" t="n">
        <v>90</v>
      </c>
      <c r="G34" s="3" t="n">
        <v>10</v>
      </c>
    </row>
    <row r="35">
      <c r="A35" s="3" t="inlineStr">
        <is>
          <t>MOVE_BARB_BARRAGE</t>
        </is>
      </c>
      <c r="B35" s="3" t="inlineStr">
        <is>
          <t>Barb Barrage</t>
        </is>
      </c>
      <c r="C35" s="3" t="inlineStr">
        <is>
          <t>Poison</t>
        </is>
      </c>
      <c r="D35" s="3" t="inlineStr">
        <is>
          <t>Physical</t>
        </is>
      </c>
      <c r="E35" s="3" t="n">
        <v>60</v>
      </c>
      <c r="F35" s="3" t="n">
        <v>100</v>
      </c>
      <c r="G35" s="3" t="n">
        <v>10</v>
      </c>
    </row>
    <row r="36">
      <c r="A36" s="3" t="inlineStr">
        <is>
          <t>MOVE_BARRIER</t>
        </is>
      </c>
      <c r="B36" s="3" t="inlineStr">
        <is>
          <t>Barrier</t>
        </is>
      </c>
      <c r="C36" s="3" t="inlineStr">
        <is>
          <t>Psychic</t>
        </is>
      </c>
      <c r="D36" s="3" t="inlineStr">
        <is>
          <t>Status</t>
        </is>
      </c>
      <c r="E36" s="3" t="n">
        <v>0</v>
      </c>
      <c r="F36" s="3" t="n">
        <v>0</v>
      </c>
      <c r="G36" s="3" t="n">
        <v>20</v>
      </c>
    </row>
    <row r="37">
      <c r="A37" s="3" t="inlineStr">
        <is>
          <t>MOVE_BATON_PASS</t>
        </is>
      </c>
      <c r="B37" s="3" t="inlineStr">
        <is>
          <t>Baton Pass</t>
        </is>
      </c>
      <c r="C37" s="3" t="inlineStr">
        <is>
          <t>Normal</t>
        </is>
      </c>
      <c r="D37" s="3" t="inlineStr">
        <is>
          <t>Status</t>
        </is>
      </c>
      <c r="E37" s="3" t="n">
        <v>0</v>
      </c>
      <c r="F37" s="3" t="n">
        <v>0</v>
      </c>
      <c r="G37" s="3" t="n">
        <v>40</v>
      </c>
    </row>
    <row r="38">
      <c r="A38" s="3" t="inlineStr">
        <is>
          <t>MOVE_BEAT_UP</t>
        </is>
      </c>
      <c r="B38" s="3" t="inlineStr">
        <is>
          <t>Beat Up</t>
        </is>
      </c>
      <c r="C38" s="3" t="inlineStr">
        <is>
          <t>Dark</t>
        </is>
      </c>
      <c r="D38" s="3" t="inlineStr">
        <is>
          <t>Physical</t>
        </is>
      </c>
      <c r="E38" s="3" t="n">
        <v>1</v>
      </c>
      <c r="F38" s="3" t="n">
        <v>100</v>
      </c>
      <c r="G38" s="3" t="n">
        <v>10</v>
      </c>
    </row>
    <row r="39">
      <c r="A39" s="3" t="inlineStr">
        <is>
          <t>MOVE_BELCH</t>
        </is>
      </c>
      <c r="B39" s="3" t="inlineStr">
        <is>
          <t>Belch</t>
        </is>
      </c>
      <c r="C39" s="3" t="inlineStr">
        <is>
          <t>Poison</t>
        </is>
      </c>
      <c r="D39" s="3" t="inlineStr">
        <is>
          <t>Special</t>
        </is>
      </c>
      <c r="E39" s="3" t="n">
        <v>120</v>
      </c>
      <c r="F39" s="3" t="n">
        <v>90</v>
      </c>
      <c r="G39" s="3" t="n">
        <v>10</v>
      </c>
    </row>
    <row r="40">
      <c r="A40" s="3" t="inlineStr">
        <is>
          <t>MOVE_BELLY_DRUM</t>
        </is>
      </c>
      <c r="B40" s="3" t="inlineStr">
        <is>
          <t>Belly Drum</t>
        </is>
      </c>
      <c r="C40" s="3" t="inlineStr">
        <is>
          <t>Normal</t>
        </is>
      </c>
      <c r="D40" s="3" t="inlineStr">
        <is>
          <t>Status</t>
        </is>
      </c>
      <c r="E40" s="3" t="n">
        <v>0</v>
      </c>
      <c r="F40" s="3" t="n">
        <v>0</v>
      </c>
      <c r="G40" s="3" t="n">
        <v>10</v>
      </c>
    </row>
    <row r="41">
      <c r="A41" s="3" t="inlineStr">
        <is>
          <t>MOVE_BESTOW</t>
        </is>
      </c>
      <c r="B41" s="3" t="inlineStr">
        <is>
          <t>Bestow</t>
        </is>
      </c>
      <c r="C41" s="3" t="inlineStr">
        <is>
          <t>Normal</t>
        </is>
      </c>
      <c r="D41" s="3" t="inlineStr">
        <is>
          <t>Status</t>
        </is>
      </c>
      <c r="E41" s="3" t="n">
        <v>0</v>
      </c>
      <c r="F41" s="3" t="n">
        <v>0</v>
      </c>
      <c r="G41" s="3" t="n">
        <v>15</v>
      </c>
    </row>
    <row r="42">
      <c r="A42" s="3" t="inlineStr">
        <is>
          <t>MOVE_BIDE</t>
        </is>
      </c>
      <c r="B42" s="3" t="inlineStr">
        <is>
          <t>Bide</t>
        </is>
      </c>
      <c r="C42" s="3" t="inlineStr">
        <is>
          <t>Normal</t>
        </is>
      </c>
      <c r="D42" s="3" t="inlineStr">
        <is>
          <t>Physical</t>
        </is>
      </c>
      <c r="E42" s="3" t="n">
        <v>1</v>
      </c>
      <c r="F42" s="3" t="n">
        <v>0</v>
      </c>
      <c r="G42" s="3" t="n">
        <v>10</v>
      </c>
    </row>
    <row r="43">
      <c r="A43" s="3" t="inlineStr">
        <is>
          <t>MOVE_BIND</t>
        </is>
      </c>
      <c r="B43" s="3" t="inlineStr">
        <is>
          <t>Bind</t>
        </is>
      </c>
      <c r="C43" s="3" t="inlineStr">
        <is>
          <t>Normal</t>
        </is>
      </c>
      <c r="D43" s="3" t="inlineStr">
        <is>
          <t>Physical</t>
        </is>
      </c>
      <c r="E43" s="3" t="n">
        <v>15</v>
      </c>
      <c r="F43" s="3" t="n">
        <v>85</v>
      </c>
      <c r="G43" s="3" t="n">
        <v>20</v>
      </c>
    </row>
    <row r="44">
      <c r="A44" s="3" t="inlineStr">
        <is>
          <t>MOVE_BITE</t>
        </is>
      </c>
      <c r="B44" s="3" t="inlineStr">
        <is>
          <t>Bite</t>
        </is>
      </c>
      <c r="C44" s="3" t="inlineStr">
        <is>
          <t>Dark</t>
        </is>
      </c>
      <c r="D44" s="3" t="inlineStr">
        <is>
          <t>Physical</t>
        </is>
      </c>
      <c r="E44" s="3" t="n">
        <v>60</v>
      </c>
      <c r="F44" s="3" t="n">
        <v>100</v>
      </c>
      <c r="G44" s="3" t="n">
        <v>25</v>
      </c>
    </row>
    <row r="45">
      <c r="A45" s="3" t="inlineStr">
        <is>
          <t>MOVE_BITTER_BLADE</t>
        </is>
      </c>
      <c r="B45" s="3" t="inlineStr">
        <is>
          <t>Bitter Blade</t>
        </is>
      </c>
      <c r="C45" s="3" t="inlineStr">
        <is>
          <t>Fire</t>
        </is>
      </c>
      <c r="D45" s="3" t="inlineStr">
        <is>
          <t>Physical</t>
        </is>
      </c>
      <c r="E45" s="3" t="n">
        <v>90</v>
      </c>
      <c r="F45" s="3" t="n">
        <v>100</v>
      </c>
      <c r="G45" s="3" t="n">
        <v>10</v>
      </c>
    </row>
    <row r="46">
      <c r="A46" s="3" t="inlineStr">
        <is>
          <t>MOVE_BLAZE_KICK</t>
        </is>
      </c>
      <c r="B46" s="3" t="inlineStr">
        <is>
          <t>Blaze Kick</t>
        </is>
      </c>
      <c r="C46" s="3" t="inlineStr">
        <is>
          <t>Fire</t>
        </is>
      </c>
      <c r="D46" s="3" t="inlineStr">
        <is>
          <t>Physical</t>
        </is>
      </c>
      <c r="E46" s="3" t="n">
        <v>85</v>
      </c>
      <c r="F46" s="3" t="n">
        <v>90</v>
      </c>
      <c r="G46" s="3" t="n">
        <v>10</v>
      </c>
    </row>
    <row r="47">
      <c r="A47" s="3" t="inlineStr">
        <is>
          <t>MOVE_BLIZZARD</t>
        </is>
      </c>
      <c r="B47" s="3" t="inlineStr">
        <is>
          <t>Blizzard</t>
        </is>
      </c>
      <c r="C47" s="3" t="inlineStr">
        <is>
          <t>Ice</t>
        </is>
      </c>
      <c r="D47" s="3" t="inlineStr">
        <is>
          <t>Special</t>
        </is>
      </c>
      <c r="E47" s="3" t="n">
        <v>110</v>
      </c>
      <c r="F47" s="3" t="n">
        <v>70</v>
      </c>
      <c r="G47" s="3" t="n">
        <v>5</v>
      </c>
    </row>
    <row r="48">
      <c r="A48" s="3" t="inlineStr">
        <is>
          <t>MOVE_BLOCK</t>
        </is>
      </c>
      <c r="B48" s="3" t="inlineStr">
        <is>
          <t>Block</t>
        </is>
      </c>
      <c r="C48" s="3" t="inlineStr">
        <is>
          <t>Normal</t>
        </is>
      </c>
      <c r="D48" s="3" t="inlineStr">
        <is>
          <t>Status</t>
        </is>
      </c>
      <c r="E48" s="3" t="n">
        <v>0</v>
      </c>
      <c r="F48" s="3" t="n">
        <v>0</v>
      </c>
      <c r="G48" s="3" t="n">
        <v>5</v>
      </c>
    </row>
    <row r="49">
      <c r="A49" s="3" t="inlineStr">
        <is>
          <t>MOVE_BODY_SLAM</t>
        </is>
      </c>
      <c r="B49" s="3" t="inlineStr">
        <is>
          <t>Body Slam</t>
        </is>
      </c>
      <c r="C49" s="3" t="inlineStr">
        <is>
          <t>Normal</t>
        </is>
      </c>
      <c r="D49" s="3" t="inlineStr">
        <is>
          <t>Physical</t>
        </is>
      </c>
      <c r="E49" s="3" t="n">
        <v>85</v>
      </c>
      <c r="F49" s="3" t="n">
        <v>100</v>
      </c>
      <c r="G49" s="3" t="n">
        <v>15</v>
      </c>
    </row>
    <row r="50">
      <c r="A50" s="3" t="inlineStr">
        <is>
          <t>MOVE_BONE_RUSH</t>
        </is>
      </c>
      <c r="B50" s="3" t="inlineStr">
        <is>
          <t>Bone Rush</t>
        </is>
      </c>
      <c r="C50" s="3" t="inlineStr">
        <is>
          <t>Ground</t>
        </is>
      </c>
      <c r="D50" s="3" t="inlineStr">
        <is>
          <t>Physical</t>
        </is>
      </c>
      <c r="E50" s="3" t="n">
        <v>25</v>
      </c>
      <c r="F50" s="3" t="n">
        <v>100</v>
      </c>
      <c r="G50" s="3" t="n">
        <v>10</v>
      </c>
    </row>
    <row r="51">
      <c r="A51" s="3" t="inlineStr">
        <is>
          <t>MOVE_BOOMBURST</t>
        </is>
      </c>
      <c r="B51" s="3" t="inlineStr">
        <is>
          <t>Boomburst</t>
        </is>
      </c>
      <c r="C51" s="3" t="inlineStr">
        <is>
          <t>Normal</t>
        </is>
      </c>
      <c r="D51" s="3" t="inlineStr">
        <is>
          <t>Special</t>
        </is>
      </c>
      <c r="E51" s="3" t="n">
        <v>140</v>
      </c>
      <c r="F51" s="3" t="n">
        <v>100</v>
      </c>
      <c r="G51" s="3" t="n">
        <v>10</v>
      </c>
    </row>
    <row r="52">
      <c r="A52" s="3" t="inlineStr">
        <is>
          <t>MOVE_BOUNCE</t>
        </is>
      </c>
      <c r="B52" s="3" t="inlineStr">
        <is>
          <t>Bounce</t>
        </is>
      </c>
      <c r="C52" s="3" t="inlineStr">
        <is>
          <t>Flying</t>
        </is>
      </c>
      <c r="D52" s="3" t="inlineStr">
        <is>
          <t>Physical</t>
        </is>
      </c>
      <c r="E52" s="3" t="n">
        <v>85</v>
      </c>
      <c r="F52" s="3" t="n">
        <v>85</v>
      </c>
      <c r="G52" s="3" t="n">
        <v>5</v>
      </c>
    </row>
    <row r="53">
      <c r="A53" s="3" t="inlineStr">
        <is>
          <t>MOVE_BRANCH_POKE</t>
        </is>
      </c>
      <c r="B53" s="3" t="inlineStr">
        <is>
          <t>Branch Poke</t>
        </is>
      </c>
      <c r="C53" s="3" t="inlineStr">
        <is>
          <t>Grass</t>
        </is>
      </c>
      <c r="D53" s="3" t="inlineStr">
        <is>
          <t>Physical</t>
        </is>
      </c>
      <c r="E53" s="3" t="n">
        <v>40</v>
      </c>
      <c r="F53" s="3" t="n">
        <v>100</v>
      </c>
      <c r="G53" s="3" t="n">
        <v>40</v>
      </c>
    </row>
    <row r="54">
      <c r="A54" s="3" t="inlineStr">
        <is>
          <t>MOVE_BRAVE_BIRD</t>
        </is>
      </c>
      <c r="B54" s="3" t="inlineStr">
        <is>
          <t>Brave Bird</t>
        </is>
      </c>
      <c r="C54" s="3" t="inlineStr">
        <is>
          <t>Flying</t>
        </is>
      </c>
      <c r="D54" s="3" t="inlineStr">
        <is>
          <t>Physical</t>
        </is>
      </c>
      <c r="E54" s="3" t="n">
        <v>120</v>
      </c>
      <c r="F54" s="3" t="n">
        <v>100</v>
      </c>
      <c r="G54" s="3" t="n">
        <v>15</v>
      </c>
    </row>
    <row r="55">
      <c r="A55" s="3" t="inlineStr">
        <is>
          <t>MOVE_BREAKING_SWIPE</t>
        </is>
      </c>
      <c r="B55" s="3" t="inlineStr">
        <is>
          <t>Breaking Swipe</t>
        </is>
      </c>
      <c r="C55" s="3" t="inlineStr">
        <is>
          <t>Dragon</t>
        </is>
      </c>
      <c r="D55" s="3" t="inlineStr">
        <is>
          <t>Physical</t>
        </is>
      </c>
      <c r="E55" s="3" t="n">
        <v>60</v>
      </c>
      <c r="F55" s="3" t="n">
        <v>100</v>
      </c>
      <c r="G55" s="3" t="n">
        <v>15</v>
      </c>
    </row>
    <row r="56">
      <c r="A56" s="3" t="inlineStr">
        <is>
          <t>MOVE_BRICK_BREAK</t>
        </is>
      </c>
      <c r="B56" s="3" t="inlineStr">
        <is>
          <t>Brick Break</t>
        </is>
      </c>
      <c r="C56" s="3" t="inlineStr">
        <is>
          <t>Fighting</t>
        </is>
      </c>
      <c r="D56" s="3" t="inlineStr">
        <is>
          <t>Physical</t>
        </is>
      </c>
      <c r="E56" s="3" t="n">
        <v>75</v>
      </c>
      <c r="F56" s="3" t="n">
        <v>100</v>
      </c>
      <c r="G56" s="3" t="n">
        <v>15</v>
      </c>
    </row>
    <row r="57">
      <c r="A57" s="3" t="inlineStr">
        <is>
          <t>MOVE_BRINE</t>
        </is>
      </c>
      <c r="B57" s="3" t="inlineStr">
        <is>
          <t>Brine</t>
        </is>
      </c>
      <c r="C57" s="3" t="inlineStr">
        <is>
          <t>Water</t>
        </is>
      </c>
      <c r="D57" s="3" t="inlineStr">
        <is>
          <t>Special</t>
        </is>
      </c>
      <c r="E57" s="3" t="n">
        <v>65</v>
      </c>
      <c r="F57" s="3" t="n">
        <v>100</v>
      </c>
      <c r="G57" s="3" t="n">
        <v>10</v>
      </c>
    </row>
    <row r="58">
      <c r="A58" s="3" t="inlineStr">
        <is>
          <t>MOVE_BRUTAL_SWING</t>
        </is>
      </c>
      <c r="B58" s="3" t="inlineStr">
        <is>
          <t>Brutal Swing</t>
        </is>
      </c>
      <c r="C58" s="3" t="inlineStr">
        <is>
          <t>Dark</t>
        </is>
      </c>
      <c r="D58" s="3" t="inlineStr">
        <is>
          <t>Physical</t>
        </is>
      </c>
      <c r="E58" s="3" t="n">
        <v>60</v>
      </c>
      <c r="F58" s="3" t="n">
        <v>100</v>
      </c>
      <c r="G58" s="3" t="n">
        <v>20</v>
      </c>
    </row>
    <row r="59">
      <c r="A59" s="3" t="inlineStr">
        <is>
          <t>MOVE_BUBBLE</t>
        </is>
      </c>
      <c r="B59" s="3" t="inlineStr">
        <is>
          <t>Bubble</t>
        </is>
      </c>
      <c r="C59" s="3" t="inlineStr">
        <is>
          <t>Water</t>
        </is>
      </c>
      <c r="D59" s="3" t="inlineStr">
        <is>
          <t>Special</t>
        </is>
      </c>
      <c r="E59" s="3" t="n">
        <v>40</v>
      </c>
      <c r="F59" s="3" t="n">
        <v>100</v>
      </c>
      <c r="G59" s="3" t="n">
        <v>30</v>
      </c>
    </row>
    <row r="60">
      <c r="A60" s="3" t="inlineStr">
        <is>
          <t>MOVE_BUBBLE_BEAM</t>
        </is>
      </c>
      <c r="B60" s="3" t="inlineStr">
        <is>
          <t>Bubble Beam</t>
        </is>
      </c>
      <c r="C60" s="3" t="inlineStr">
        <is>
          <t>Water</t>
        </is>
      </c>
      <c r="D60" s="3" t="inlineStr">
        <is>
          <t>Special</t>
        </is>
      </c>
      <c r="E60" s="3" t="n">
        <v>65</v>
      </c>
      <c r="F60" s="3" t="n">
        <v>100</v>
      </c>
      <c r="G60" s="3" t="n">
        <v>20</v>
      </c>
    </row>
    <row r="61">
      <c r="A61" s="3" t="inlineStr">
        <is>
          <t>MOVE_BUG_BITE</t>
        </is>
      </c>
      <c r="B61" s="3" t="inlineStr">
        <is>
          <t>Bug Bite</t>
        </is>
      </c>
      <c r="C61" s="3" t="inlineStr">
        <is>
          <t>Bug</t>
        </is>
      </c>
      <c r="D61" s="3" t="inlineStr">
        <is>
          <t>Physical</t>
        </is>
      </c>
      <c r="E61" s="3" t="n">
        <v>60</v>
      </c>
      <c r="F61" s="3" t="n">
        <v>100</v>
      </c>
      <c r="G61" s="3" t="n">
        <v>20</v>
      </c>
    </row>
    <row r="62">
      <c r="A62" s="3" t="inlineStr">
        <is>
          <t>MOVE_BUG_BUZZ</t>
        </is>
      </c>
      <c r="B62" s="3" t="inlineStr">
        <is>
          <t>Bug Buzz</t>
        </is>
      </c>
      <c r="C62" s="3" t="inlineStr">
        <is>
          <t>Bug</t>
        </is>
      </c>
      <c r="D62" s="3" t="inlineStr">
        <is>
          <t>Special</t>
        </is>
      </c>
      <c r="E62" s="3" t="n">
        <v>90</v>
      </c>
      <c r="F62" s="3" t="n">
        <v>100</v>
      </c>
      <c r="G62" s="3" t="n">
        <v>10</v>
      </c>
    </row>
    <row r="63">
      <c r="A63" s="3" t="inlineStr">
        <is>
          <t>MOVE_BULK_UP</t>
        </is>
      </c>
      <c r="B63" s="3" t="inlineStr">
        <is>
          <t>Bulk Up</t>
        </is>
      </c>
      <c r="C63" s="3" t="inlineStr">
        <is>
          <t>Fighting</t>
        </is>
      </c>
      <c r="D63" s="3" t="inlineStr">
        <is>
          <t>Status</t>
        </is>
      </c>
      <c r="E63" s="3" t="n">
        <v>0</v>
      </c>
      <c r="F63" s="3" t="n">
        <v>0</v>
      </c>
      <c r="G63" s="3" t="n">
        <v>20</v>
      </c>
    </row>
    <row r="64">
      <c r="A64" s="3" t="inlineStr">
        <is>
          <t>MOVE_BULLDOZE</t>
        </is>
      </c>
      <c r="B64" s="3" t="inlineStr">
        <is>
          <t>Bulldoze</t>
        </is>
      </c>
      <c r="C64" s="3" t="inlineStr">
        <is>
          <t>Ground</t>
        </is>
      </c>
      <c r="D64" s="3" t="inlineStr">
        <is>
          <t>Physical</t>
        </is>
      </c>
      <c r="E64" s="3" t="n">
        <v>60</v>
      </c>
      <c r="F64" s="3" t="n">
        <v>100</v>
      </c>
      <c r="G64" s="3" t="n">
        <v>20</v>
      </c>
    </row>
    <row r="65">
      <c r="A65" s="3" t="inlineStr">
        <is>
          <t>MOVE_BULLET_PUNCH</t>
        </is>
      </c>
      <c r="B65" s="3" t="inlineStr">
        <is>
          <t>Bullet Punch</t>
        </is>
      </c>
      <c r="C65" s="3" t="inlineStr">
        <is>
          <t>Steel</t>
        </is>
      </c>
      <c r="D65" s="3" t="inlineStr">
        <is>
          <t>Physical</t>
        </is>
      </c>
      <c r="E65" s="3" t="n">
        <v>40</v>
      </c>
      <c r="F65" s="3" t="n">
        <v>100</v>
      </c>
      <c r="G65" s="3" t="n">
        <v>30</v>
      </c>
    </row>
    <row r="66">
      <c r="A66" s="3" t="inlineStr">
        <is>
          <t>MOVE_BULLET_SEED</t>
        </is>
      </c>
      <c r="B66" s="3" t="inlineStr">
        <is>
          <t>Bullet Seed</t>
        </is>
      </c>
      <c r="C66" s="3" t="inlineStr">
        <is>
          <t>Grass</t>
        </is>
      </c>
      <c r="D66" s="3" t="inlineStr">
        <is>
          <t>Physical</t>
        </is>
      </c>
      <c r="E66" s="3" t="n">
        <v>25</v>
      </c>
      <c r="F66" s="3" t="n">
        <v>100</v>
      </c>
      <c r="G66" s="3" t="n">
        <v>10</v>
      </c>
    </row>
    <row r="67">
      <c r="A67" s="3" t="inlineStr">
        <is>
          <t>MOVE_BURN_UP</t>
        </is>
      </c>
      <c r="B67" s="3" t="inlineStr">
        <is>
          <t>Burn Up</t>
        </is>
      </c>
      <c r="C67" s="3" t="inlineStr">
        <is>
          <t>Fire</t>
        </is>
      </c>
      <c r="D67" s="3" t="inlineStr">
        <is>
          <t>Special</t>
        </is>
      </c>
      <c r="E67" s="3" t="n">
        <v>130</v>
      </c>
      <c r="F67" s="3" t="n">
        <v>100</v>
      </c>
      <c r="G67" s="3" t="n">
        <v>5</v>
      </c>
    </row>
    <row r="68">
      <c r="A68" s="3" t="inlineStr">
        <is>
          <t>MOVE_CALM_MIND</t>
        </is>
      </c>
      <c r="B68" s="3" t="inlineStr">
        <is>
          <t>Calm Mind</t>
        </is>
      </c>
      <c r="C68" s="3" t="inlineStr">
        <is>
          <t>Psychic</t>
        </is>
      </c>
      <c r="D68" s="3" t="inlineStr">
        <is>
          <t>Status</t>
        </is>
      </c>
      <c r="E68" s="3" t="n">
        <v>0</v>
      </c>
      <c r="F68" s="3" t="n">
        <v>0</v>
      </c>
      <c r="G68" s="3" t="n">
        <v>20</v>
      </c>
    </row>
    <row r="69">
      <c r="A69" s="3" t="inlineStr">
        <is>
          <t>MOVE_CAMOUFLAGE</t>
        </is>
      </c>
      <c r="B69" s="3" t="inlineStr">
        <is>
          <t>Camouflage</t>
        </is>
      </c>
      <c r="C69" s="3" t="inlineStr">
        <is>
          <t>Normal</t>
        </is>
      </c>
      <c r="D69" s="3" t="inlineStr">
        <is>
          <t>Status</t>
        </is>
      </c>
      <c r="E69" s="3" t="n">
        <v>0</v>
      </c>
      <c r="F69" s="3" t="n">
        <v>0</v>
      </c>
      <c r="G69" s="3" t="n">
        <v>20</v>
      </c>
    </row>
    <row r="70">
      <c r="A70" s="3" t="inlineStr">
        <is>
          <t>MOVE_CAPTIVATE</t>
        </is>
      </c>
      <c r="B70" s="3" t="inlineStr">
        <is>
          <t>Captivate</t>
        </is>
      </c>
      <c r="C70" s="3" t="inlineStr">
        <is>
          <t>Normal</t>
        </is>
      </c>
      <c r="D70" s="3" t="inlineStr">
        <is>
          <t>Status</t>
        </is>
      </c>
      <c r="E70" s="3" t="n">
        <v>0</v>
      </c>
      <c r="F70" s="3" t="n">
        <v>100</v>
      </c>
      <c r="G70" s="3" t="n">
        <v>20</v>
      </c>
    </row>
    <row r="71">
      <c r="A71" s="3" t="inlineStr">
        <is>
          <t>MOVE_CHARGE</t>
        </is>
      </c>
      <c r="B71" s="3" t="inlineStr">
        <is>
          <t>Charge</t>
        </is>
      </c>
      <c r="C71" s="3" t="inlineStr">
        <is>
          <t>Electric</t>
        </is>
      </c>
      <c r="D71" s="3" t="inlineStr">
        <is>
          <t>Status</t>
        </is>
      </c>
      <c r="E71" s="3" t="n">
        <v>0</v>
      </c>
      <c r="F71" s="3" t="n">
        <v>0</v>
      </c>
      <c r="G71" s="3" t="n">
        <v>20</v>
      </c>
    </row>
    <row r="72">
      <c r="A72" s="3" t="inlineStr">
        <is>
          <t>MOVE_CHARGE_BEAM</t>
        </is>
      </c>
      <c r="B72" s="3" t="inlineStr">
        <is>
          <t>Charge Beam</t>
        </is>
      </c>
      <c r="C72" s="3" t="inlineStr">
        <is>
          <t>Electric</t>
        </is>
      </c>
      <c r="D72" s="3" t="inlineStr">
        <is>
          <t>Special</t>
        </is>
      </c>
      <c r="E72" s="3" t="n">
        <v>50</v>
      </c>
      <c r="F72" s="3" t="n">
        <v>90</v>
      </c>
      <c r="G72" s="3" t="n">
        <v>10</v>
      </c>
    </row>
    <row r="73">
      <c r="A73" s="3" t="inlineStr">
        <is>
          <t>MOVE_CHARM</t>
        </is>
      </c>
      <c r="B73" s="3" t="inlineStr">
        <is>
          <t>Charm</t>
        </is>
      </c>
      <c r="C73" s="3" t="inlineStr">
        <is>
          <t>Fairy</t>
        </is>
      </c>
      <c r="D73" s="3" t="inlineStr">
        <is>
          <t>Status</t>
        </is>
      </c>
      <c r="E73" s="3" t="n">
        <v>0</v>
      </c>
      <c r="F73" s="3" t="n">
        <v>100</v>
      </c>
      <c r="G73" s="3" t="n">
        <v>20</v>
      </c>
    </row>
    <row r="74">
      <c r="A74" s="3" t="inlineStr">
        <is>
          <t>MOVE_CHIP_AWAY</t>
        </is>
      </c>
      <c r="B74" s="3" t="inlineStr">
        <is>
          <t>Chip Away</t>
        </is>
      </c>
      <c r="C74" s="3" t="inlineStr">
        <is>
          <t>Normal</t>
        </is>
      </c>
      <c r="D74" s="3" t="inlineStr">
        <is>
          <t>Physical</t>
        </is>
      </c>
      <c r="E74" s="3" t="n">
        <v>70</v>
      </c>
      <c r="F74" s="3" t="n">
        <v>100</v>
      </c>
      <c r="G74" s="3" t="n">
        <v>20</v>
      </c>
    </row>
    <row r="75">
      <c r="A75" s="3" t="inlineStr">
        <is>
          <t>MOVE_CIRCLE_THROW</t>
        </is>
      </c>
      <c r="B75" s="3" t="inlineStr">
        <is>
          <t>Circle Throw</t>
        </is>
      </c>
      <c r="C75" s="3" t="inlineStr">
        <is>
          <t>Fighting</t>
        </is>
      </c>
      <c r="D75" s="3" t="inlineStr">
        <is>
          <t>Physical</t>
        </is>
      </c>
      <c r="E75" s="3" t="n">
        <v>60</v>
      </c>
      <c r="F75" s="3" t="n">
        <v>90</v>
      </c>
      <c r="G75" s="3" t="n">
        <v>10</v>
      </c>
    </row>
    <row r="76">
      <c r="A76" s="3" t="inlineStr">
        <is>
          <t>MOVE_CLEAR_SMOG</t>
        </is>
      </c>
      <c r="B76" s="3" t="inlineStr">
        <is>
          <t>Clear Smog</t>
        </is>
      </c>
      <c r="C76" s="3" t="inlineStr">
        <is>
          <t>Poison</t>
        </is>
      </c>
      <c r="D76" s="3" t="inlineStr">
        <is>
          <t>Special</t>
        </is>
      </c>
      <c r="E76" s="3" t="n">
        <v>50</v>
      </c>
      <c r="F76" s="3" t="n">
        <v>0</v>
      </c>
      <c r="G76" s="3" t="n">
        <v>15</v>
      </c>
    </row>
    <row r="77">
      <c r="A77" s="3" t="inlineStr">
        <is>
          <t>MOVE_CLOSE_COMBAT</t>
        </is>
      </c>
      <c r="B77" s="3" t="inlineStr">
        <is>
          <t>Close Combat</t>
        </is>
      </c>
      <c r="C77" s="3" t="inlineStr">
        <is>
          <t>Fighting</t>
        </is>
      </c>
      <c r="D77" s="3" t="inlineStr">
        <is>
          <t>Physical</t>
        </is>
      </c>
      <c r="E77" s="3" t="n">
        <v>120</v>
      </c>
      <c r="F77" s="3" t="n">
        <v>100</v>
      </c>
      <c r="G77" s="3" t="n">
        <v>5</v>
      </c>
    </row>
    <row r="78">
      <c r="A78" s="3" t="inlineStr">
        <is>
          <t>MOVE_COIL</t>
        </is>
      </c>
      <c r="B78" s="3" t="inlineStr">
        <is>
          <t>Coil</t>
        </is>
      </c>
      <c r="C78" s="3" t="inlineStr">
        <is>
          <t>Poison</t>
        </is>
      </c>
      <c r="D78" s="3" t="inlineStr">
        <is>
          <t>Status</t>
        </is>
      </c>
      <c r="E78" s="3" t="n">
        <v>0</v>
      </c>
      <c r="F78" s="3" t="n">
        <v>0</v>
      </c>
      <c r="G78" s="3" t="n">
        <v>20</v>
      </c>
    </row>
    <row r="79">
      <c r="A79" s="3" t="inlineStr">
        <is>
          <t>MOVE_COMEUPPANCE</t>
        </is>
      </c>
      <c r="B79" s="3" t="inlineStr">
        <is>
          <t>Comeuppance</t>
        </is>
      </c>
      <c r="C79" s="3" t="inlineStr">
        <is>
          <t>Dark</t>
        </is>
      </c>
      <c r="D79" s="3" t="inlineStr">
        <is>
          <t>Physical</t>
        </is>
      </c>
      <c r="E79" s="3" t="n">
        <v>1</v>
      </c>
      <c r="F79" s="3" t="n">
        <v>100</v>
      </c>
      <c r="G79" s="3" t="n">
        <v>10</v>
      </c>
    </row>
    <row r="80">
      <c r="A80" s="3" t="inlineStr">
        <is>
          <t>MOVE_CONFIDE</t>
        </is>
      </c>
      <c r="B80" s="3" t="inlineStr">
        <is>
          <t>Confide</t>
        </is>
      </c>
      <c r="C80" s="3" t="inlineStr">
        <is>
          <t>Normal</t>
        </is>
      </c>
      <c r="D80" s="3" t="inlineStr">
        <is>
          <t>Status</t>
        </is>
      </c>
      <c r="E80" s="3" t="n">
        <v>0</v>
      </c>
      <c r="F80" s="3" t="n">
        <v>0</v>
      </c>
      <c r="G80" s="3" t="n">
        <v>20</v>
      </c>
    </row>
    <row r="81">
      <c r="A81" s="3" t="inlineStr">
        <is>
          <t>MOVE_CONFUSE_RAY</t>
        </is>
      </c>
      <c r="B81" s="3" t="inlineStr">
        <is>
          <t>Confuse Ray</t>
        </is>
      </c>
      <c r="C81" s="3" t="inlineStr">
        <is>
          <t>Ghost</t>
        </is>
      </c>
      <c r="D81" s="3" t="inlineStr">
        <is>
          <t>Status</t>
        </is>
      </c>
      <c r="E81" s="3" t="n">
        <v>0</v>
      </c>
      <c r="F81" s="3" t="n">
        <v>100</v>
      </c>
      <c r="G81" s="3" t="n">
        <v>10</v>
      </c>
    </row>
    <row r="82">
      <c r="A82" s="3" t="inlineStr">
        <is>
          <t>MOVE_CONFUSION</t>
        </is>
      </c>
      <c r="B82" s="3" t="inlineStr">
        <is>
          <t>Confusion</t>
        </is>
      </c>
      <c r="C82" s="3" t="inlineStr">
        <is>
          <t>Psychic</t>
        </is>
      </c>
      <c r="D82" s="3" t="inlineStr">
        <is>
          <t>Special</t>
        </is>
      </c>
      <c r="E82" s="3" t="n">
        <v>50</v>
      </c>
      <c r="F82" s="3" t="n">
        <v>100</v>
      </c>
      <c r="G82" s="3" t="n">
        <v>25</v>
      </c>
    </row>
    <row r="83">
      <c r="A83" s="3" t="inlineStr">
        <is>
          <t>MOVE_COPYCAT</t>
        </is>
      </c>
      <c r="B83" s="3" t="inlineStr">
        <is>
          <t>Copycat</t>
        </is>
      </c>
      <c r="C83" s="3" t="inlineStr">
        <is>
          <t>Normal</t>
        </is>
      </c>
      <c r="D83" s="3" t="inlineStr">
        <is>
          <t>Status</t>
        </is>
      </c>
      <c r="E83" s="3" t="n">
        <v>0</v>
      </c>
      <c r="F83" s="3" t="n">
        <v>0</v>
      </c>
      <c r="G83" s="3" t="n">
        <v>20</v>
      </c>
    </row>
    <row r="84">
      <c r="A84" s="3" t="inlineStr">
        <is>
          <t>MOVE_COSMIC_POWER</t>
        </is>
      </c>
      <c r="B84" s="3" t="inlineStr">
        <is>
          <t>Cosmic Power</t>
        </is>
      </c>
      <c r="C84" s="3" t="inlineStr">
        <is>
          <t>Psychic</t>
        </is>
      </c>
      <c r="D84" s="3" t="inlineStr">
        <is>
          <t>Status</t>
        </is>
      </c>
      <c r="E84" s="3" t="n">
        <v>0</v>
      </c>
      <c r="F84" s="3" t="n">
        <v>0</v>
      </c>
      <c r="G84" s="3" t="n">
        <v>20</v>
      </c>
    </row>
    <row r="85">
      <c r="A85" s="3" t="inlineStr">
        <is>
          <t>MOVE_COTTON_GUARD</t>
        </is>
      </c>
      <c r="B85" s="3" t="inlineStr">
        <is>
          <t>Cotton Guard</t>
        </is>
      </c>
      <c r="C85" s="3" t="inlineStr">
        <is>
          <t>Grass</t>
        </is>
      </c>
      <c r="D85" s="3" t="inlineStr">
        <is>
          <t>Status</t>
        </is>
      </c>
      <c r="E85" s="3" t="n">
        <v>0</v>
      </c>
      <c r="F85" s="3" t="n">
        <v>0</v>
      </c>
      <c r="G85" s="3" t="n">
        <v>10</v>
      </c>
    </row>
    <row r="86">
      <c r="A86" s="3" t="inlineStr">
        <is>
          <t>MOVE_COTTON_SPORE</t>
        </is>
      </c>
      <c r="B86" s="3" t="inlineStr">
        <is>
          <t>Cotton Spore</t>
        </is>
      </c>
      <c r="C86" s="3" t="inlineStr">
        <is>
          <t>Grass</t>
        </is>
      </c>
      <c r="D86" s="3" t="inlineStr">
        <is>
          <t>Status</t>
        </is>
      </c>
      <c r="E86" s="3" t="n">
        <v>0</v>
      </c>
      <c r="F86" s="3" t="n">
        <v>100</v>
      </c>
      <c r="G86" s="3" t="n">
        <v>40</v>
      </c>
    </row>
    <row r="87">
      <c r="A87" s="3" t="inlineStr">
        <is>
          <t>MOVE_COUNTER</t>
        </is>
      </c>
      <c r="B87" s="3" t="inlineStr">
        <is>
          <t>Counter</t>
        </is>
      </c>
      <c r="C87" s="3" t="inlineStr">
        <is>
          <t>Fighting</t>
        </is>
      </c>
      <c r="D87" s="3" t="inlineStr">
        <is>
          <t>Physical</t>
        </is>
      </c>
      <c r="E87" s="3" t="n">
        <v>1</v>
      </c>
      <c r="F87" s="3" t="n">
        <v>100</v>
      </c>
      <c r="G87" s="3" t="n">
        <v>20</v>
      </c>
    </row>
    <row r="88">
      <c r="A88" s="3" t="inlineStr">
        <is>
          <t>MOVE_COVET</t>
        </is>
      </c>
      <c r="B88" s="3" t="inlineStr">
        <is>
          <t>Covet</t>
        </is>
      </c>
      <c r="C88" s="3" t="inlineStr">
        <is>
          <t>Normal</t>
        </is>
      </c>
      <c r="D88" s="3" t="inlineStr">
        <is>
          <t>Physical</t>
        </is>
      </c>
      <c r="E88" s="3" t="n">
        <v>60</v>
      </c>
      <c r="F88" s="3" t="n">
        <v>100</v>
      </c>
      <c r="G88" s="3" t="n">
        <v>25</v>
      </c>
    </row>
    <row r="89">
      <c r="A89" s="3" t="inlineStr">
        <is>
          <t>MOVE_CRABHAMMER</t>
        </is>
      </c>
      <c r="B89" s="3" t="inlineStr">
        <is>
          <t>Crabhammer</t>
        </is>
      </c>
      <c r="C89" s="3" t="inlineStr">
        <is>
          <t>Water</t>
        </is>
      </c>
      <c r="D89" s="3" t="inlineStr">
        <is>
          <t>Physical</t>
        </is>
      </c>
      <c r="E89" s="3" t="n">
        <v>100</v>
      </c>
      <c r="F89" s="3" t="n">
        <v>90</v>
      </c>
      <c r="G89" s="3" t="n">
        <v>10</v>
      </c>
    </row>
    <row r="90">
      <c r="A90" s="3" t="inlineStr">
        <is>
          <t>MOVE_CRAFTY_SHIELD</t>
        </is>
      </c>
      <c r="B90" s="3" t="inlineStr">
        <is>
          <t>Crafty Shield</t>
        </is>
      </c>
      <c r="C90" s="3" t="inlineStr">
        <is>
          <t>Fairy</t>
        </is>
      </c>
      <c r="D90" s="3" t="inlineStr">
        <is>
          <t>Status</t>
        </is>
      </c>
      <c r="E90" s="3" t="n">
        <v>0</v>
      </c>
      <c r="F90" s="3" t="n">
        <v>0</v>
      </c>
      <c r="G90" s="3" t="n">
        <v>10</v>
      </c>
    </row>
    <row r="91">
      <c r="A91" s="3" t="inlineStr">
        <is>
          <t>MOVE_CROSS_CHOP</t>
        </is>
      </c>
      <c r="B91" s="3" t="inlineStr">
        <is>
          <t>Cross Chop</t>
        </is>
      </c>
      <c r="C91" s="3" t="inlineStr">
        <is>
          <t>Fighting</t>
        </is>
      </c>
      <c r="D91" s="3" t="inlineStr">
        <is>
          <t>Physical</t>
        </is>
      </c>
      <c r="E91" s="3" t="n">
        <v>100</v>
      </c>
      <c r="F91" s="3" t="n">
        <v>80</v>
      </c>
      <c r="G91" s="3" t="n">
        <v>5</v>
      </c>
    </row>
    <row r="92">
      <c r="A92" s="3" t="inlineStr">
        <is>
          <t>MOVE_CROSS_POISON</t>
        </is>
      </c>
      <c r="B92" s="3" t="inlineStr">
        <is>
          <t>Cross Poison</t>
        </is>
      </c>
      <c r="C92" s="3" t="inlineStr">
        <is>
          <t>Poison</t>
        </is>
      </c>
      <c r="D92" s="3" t="inlineStr">
        <is>
          <t>Physical</t>
        </is>
      </c>
      <c r="E92" s="3" t="n">
        <v>70</v>
      </c>
      <c r="F92" s="3" t="n">
        <v>100</v>
      </c>
      <c r="G92" s="3" t="n">
        <v>20</v>
      </c>
    </row>
    <row r="93">
      <c r="A93" s="3" t="inlineStr">
        <is>
          <t>MOVE_CRUNCH</t>
        </is>
      </c>
      <c r="B93" s="3" t="inlineStr">
        <is>
          <t>Crunch</t>
        </is>
      </c>
      <c r="C93" s="3" t="inlineStr">
        <is>
          <t>Dark</t>
        </is>
      </c>
      <c r="D93" s="3" t="inlineStr">
        <is>
          <t>Physical</t>
        </is>
      </c>
      <c r="E93" s="3" t="n">
        <v>80</v>
      </c>
      <c r="F93" s="3" t="n">
        <v>100</v>
      </c>
      <c r="G93" s="3" t="n">
        <v>15</v>
      </c>
    </row>
    <row r="94">
      <c r="A94" s="3" t="inlineStr">
        <is>
          <t>MOVE_CRUSH_CLAW</t>
        </is>
      </c>
      <c r="B94" s="3" t="inlineStr">
        <is>
          <t>Crush Claw</t>
        </is>
      </c>
      <c r="C94" s="3" t="inlineStr">
        <is>
          <t>Normal</t>
        </is>
      </c>
      <c r="D94" s="3" t="inlineStr">
        <is>
          <t>Physical</t>
        </is>
      </c>
      <c r="E94" s="3" t="n">
        <v>75</v>
      </c>
      <c r="F94" s="3" t="n">
        <v>95</v>
      </c>
      <c r="G94" s="3" t="n">
        <v>10</v>
      </c>
    </row>
    <row r="95">
      <c r="A95" s="3" t="inlineStr">
        <is>
          <t>MOVE_CURSE</t>
        </is>
      </c>
      <c r="B95" s="3" t="inlineStr">
        <is>
          <t>Curse</t>
        </is>
      </c>
      <c r="C95" s="3" t="inlineStr">
        <is>
          <t>Ghost</t>
        </is>
      </c>
      <c r="D95" s="3" t="inlineStr">
        <is>
          <t>Status</t>
        </is>
      </c>
      <c r="E95" s="3" t="n">
        <v>0</v>
      </c>
      <c r="F95" s="3" t="n">
        <v>0</v>
      </c>
      <c r="G95" s="3" t="n">
        <v>10</v>
      </c>
    </row>
    <row r="96">
      <c r="A96" s="3" t="inlineStr">
        <is>
          <t>MOVE_CUT</t>
        </is>
      </c>
      <c r="B96" s="3" t="inlineStr">
        <is>
          <t>Cut</t>
        </is>
      </c>
      <c r="C96" s="3" t="inlineStr">
        <is>
          <t>Normal</t>
        </is>
      </c>
      <c r="D96" s="3" t="inlineStr">
        <is>
          <t>Physical</t>
        </is>
      </c>
      <c r="E96" s="3" t="n">
        <v>50</v>
      </c>
      <c r="F96" s="3" t="n">
        <v>95</v>
      </c>
      <c r="G96" s="3" t="n">
        <v>30</v>
      </c>
    </row>
    <row r="97">
      <c r="A97" s="3" t="inlineStr">
        <is>
          <t>MOVE_DARK_PULSE</t>
        </is>
      </c>
      <c r="B97" s="3" t="inlineStr">
        <is>
          <t>Dark Pulse</t>
        </is>
      </c>
      <c r="C97" s="3" t="inlineStr">
        <is>
          <t>Dark</t>
        </is>
      </c>
      <c r="D97" s="3" t="inlineStr">
        <is>
          <t>Special</t>
        </is>
      </c>
      <c r="E97" s="3" t="n">
        <v>80</v>
      </c>
      <c r="F97" s="3" t="n">
        <v>100</v>
      </c>
      <c r="G97" s="3" t="n">
        <v>15</v>
      </c>
    </row>
    <row r="98">
      <c r="A98" s="3" t="inlineStr">
        <is>
          <t>MOVE_DAZZLING_GLEAM</t>
        </is>
      </c>
      <c r="B98" s="3" t="inlineStr">
        <is>
          <t>Dazzling Gleam</t>
        </is>
      </c>
      <c r="C98" s="3" t="inlineStr">
        <is>
          <t>Fairy</t>
        </is>
      </c>
      <c r="D98" s="3" t="inlineStr">
        <is>
          <t>Special</t>
        </is>
      </c>
      <c r="E98" s="3" t="n">
        <v>80</v>
      </c>
      <c r="F98" s="3" t="n">
        <v>100</v>
      </c>
      <c r="G98" s="3" t="n">
        <v>10</v>
      </c>
    </row>
    <row r="99">
      <c r="A99" s="3" t="inlineStr">
        <is>
          <t>MOVE_DEFEND_ORDER</t>
        </is>
      </c>
      <c r="B99" s="3" t="inlineStr">
        <is>
          <t>Defend Order</t>
        </is>
      </c>
      <c r="C99" s="3" t="inlineStr">
        <is>
          <t>Bug</t>
        </is>
      </c>
      <c r="D99" s="3" t="inlineStr">
        <is>
          <t>Status</t>
        </is>
      </c>
      <c r="E99" s="3" t="n">
        <v>0</v>
      </c>
      <c r="F99" s="3" t="n">
        <v>0</v>
      </c>
      <c r="G99" s="3" t="n">
        <v>10</v>
      </c>
    </row>
    <row r="100">
      <c r="A100" s="3" t="inlineStr">
        <is>
          <t>MOVE_DEFENSE_CURL</t>
        </is>
      </c>
      <c r="B100" s="3" t="inlineStr">
        <is>
          <t>Defense Curl</t>
        </is>
      </c>
      <c r="C100" s="3" t="inlineStr">
        <is>
          <t>Normal</t>
        </is>
      </c>
      <c r="D100" s="3" t="inlineStr">
        <is>
          <t>Status</t>
        </is>
      </c>
      <c r="E100" s="3" t="n">
        <v>0</v>
      </c>
      <c r="F100" s="3" t="n">
        <v>0</v>
      </c>
      <c r="G100" s="3" t="n">
        <v>40</v>
      </c>
    </row>
    <row r="101">
      <c r="A101" s="3" t="inlineStr">
        <is>
          <t>MOVE_DEFOG</t>
        </is>
      </c>
      <c r="B101" s="3" t="inlineStr">
        <is>
          <t>Defog</t>
        </is>
      </c>
      <c r="C101" s="3" t="inlineStr">
        <is>
          <t>Flying</t>
        </is>
      </c>
      <c r="D101" s="3" t="inlineStr">
        <is>
          <t>Status</t>
        </is>
      </c>
      <c r="E101" s="3" t="n">
        <v>0</v>
      </c>
      <c r="F101" s="3" t="n">
        <v>0</v>
      </c>
      <c r="G101" s="3" t="n">
        <v>15</v>
      </c>
    </row>
    <row r="102">
      <c r="A102" s="3" t="inlineStr">
        <is>
          <t>MOVE_DESTINY_BOND</t>
        </is>
      </c>
      <c r="B102" s="3" t="inlineStr">
        <is>
          <t>Destiny Bond</t>
        </is>
      </c>
      <c r="C102" s="3" t="inlineStr">
        <is>
          <t>Ghost</t>
        </is>
      </c>
      <c r="D102" s="3" t="inlineStr">
        <is>
          <t>Status</t>
        </is>
      </c>
      <c r="E102" s="3" t="n">
        <v>0</v>
      </c>
      <c r="F102" s="3" t="n">
        <v>0</v>
      </c>
      <c r="G102" s="3" t="n">
        <v>5</v>
      </c>
    </row>
    <row r="103">
      <c r="A103" s="3" t="inlineStr">
        <is>
          <t>MOVE_DETECT</t>
        </is>
      </c>
      <c r="B103" s="3" t="inlineStr">
        <is>
          <t>Detect</t>
        </is>
      </c>
      <c r="C103" s="3" t="inlineStr">
        <is>
          <t>Fighting</t>
        </is>
      </c>
      <c r="D103" s="3" t="inlineStr">
        <is>
          <t>Status</t>
        </is>
      </c>
      <c r="E103" s="3" t="n">
        <v>0</v>
      </c>
      <c r="F103" s="3" t="n">
        <v>0</v>
      </c>
      <c r="G103" s="3" t="n">
        <v>5</v>
      </c>
    </row>
    <row r="104">
      <c r="A104" s="3" t="inlineStr">
        <is>
          <t>MOVE_DIAMOND_STORM</t>
        </is>
      </c>
      <c r="B104" s="3" t="inlineStr">
        <is>
          <t>Diamond Storm</t>
        </is>
      </c>
      <c r="C104" s="3" t="inlineStr">
        <is>
          <t>Rock</t>
        </is>
      </c>
      <c r="D104" s="3" t="inlineStr">
        <is>
          <t>Physical</t>
        </is>
      </c>
      <c r="E104" s="3" t="n">
        <v>100</v>
      </c>
      <c r="F104" s="3" t="n">
        <v>95</v>
      </c>
      <c r="G104" s="3" t="n">
        <v>5</v>
      </c>
    </row>
    <row r="105">
      <c r="A105" s="3" t="inlineStr">
        <is>
          <t>MOVE_DIG</t>
        </is>
      </c>
      <c r="B105" s="3" t="inlineStr">
        <is>
          <t>Dig</t>
        </is>
      </c>
      <c r="C105" s="3" t="inlineStr">
        <is>
          <t>Ground</t>
        </is>
      </c>
      <c r="D105" s="3" t="inlineStr">
        <is>
          <t>Physical</t>
        </is>
      </c>
      <c r="E105" s="3" t="n">
        <v>80</v>
      </c>
      <c r="F105" s="3" t="n">
        <v>100</v>
      </c>
      <c r="G105" s="3" t="n">
        <v>10</v>
      </c>
    </row>
    <row r="106">
      <c r="A106" s="3" t="inlineStr">
        <is>
          <t>MOVE_DISABLE</t>
        </is>
      </c>
      <c r="B106" s="3" t="inlineStr">
        <is>
          <t>Disable</t>
        </is>
      </c>
      <c r="C106" s="3" t="inlineStr">
        <is>
          <t>Normal</t>
        </is>
      </c>
      <c r="D106" s="3" t="inlineStr">
        <is>
          <t>Status</t>
        </is>
      </c>
      <c r="E106" s="3" t="n">
        <v>0</v>
      </c>
      <c r="F106" s="3" t="n">
        <v>100</v>
      </c>
      <c r="G106" s="3" t="n">
        <v>20</v>
      </c>
    </row>
    <row r="107">
      <c r="A107" s="3" t="inlineStr">
        <is>
          <t>MOVE_DISARMING_VOICE</t>
        </is>
      </c>
      <c r="B107" s="3" t="inlineStr">
        <is>
          <t>Disarming Voice</t>
        </is>
      </c>
      <c r="C107" s="3" t="inlineStr">
        <is>
          <t>Fairy</t>
        </is>
      </c>
      <c r="D107" s="3" t="inlineStr">
        <is>
          <t>Special</t>
        </is>
      </c>
      <c r="E107" s="3" t="n">
        <v>40</v>
      </c>
      <c r="F107" s="3" t="n">
        <v>0</v>
      </c>
      <c r="G107" s="3" t="n">
        <v>15</v>
      </c>
    </row>
    <row r="108">
      <c r="A108" s="3" t="inlineStr">
        <is>
          <t>MOVE_DISCHARGE</t>
        </is>
      </c>
      <c r="B108" s="3" t="inlineStr">
        <is>
          <t>Discharge</t>
        </is>
      </c>
      <c r="C108" s="3" t="inlineStr">
        <is>
          <t>Electric</t>
        </is>
      </c>
      <c r="D108" s="3" t="inlineStr">
        <is>
          <t>Special</t>
        </is>
      </c>
      <c r="E108" s="3" t="n">
        <v>80</v>
      </c>
      <c r="F108" s="3" t="n">
        <v>100</v>
      </c>
      <c r="G108" s="3" t="n">
        <v>15</v>
      </c>
    </row>
    <row r="109">
      <c r="A109" s="3" t="inlineStr">
        <is>
          <t>MOVE_DIVE</t>
        </is>
      </c>
      <c r="B109" s="3" t="inlineStr">
        <is>
          <t>Dive</t>
        </is>
      </c>
      <c r="C109" s="3" t="inlineStr">
        <is>
          <t>Water</t>
        </is>
      </c>
      <c r="D109" s="3" t="inlineStr">
        <is>
          <t>Physical</t>
        </is>
      </c>
      <c r="E109" s="3" t="n">
        <v>80</v>
      </c>
      <c r="F109" s="3" t="n">
        <v>100</v>
      </c>
      <c r="G109" s="3" t="n">
        <v>10</v>
      </c>
    </row>
    <row r="110">
      <c r="A110" s="3" t="inlineStr">
        <is>
          <t>MOVE_BABY_DOLL_EYES</t>
        </is>
      </c>
      <c r="B110" s="3" t="inlineStr">
        <is>
          <t>Doll Eyes</t>
        </is>
      </c>
      <c r="C110" s="3" t="inlineStr">
        <is>
          <t>Fairy</t>
        </is>
      </c>
      <c r="D110" s="3" t="inlineStr">
        <is>
          <t>Status</t>
        </is>
      </c>
      <c r="E110" s="3" t="n">
        <v>0</v>
      </c>
      <c r="F110" s="3" t="n">
        <v>100</v>
      </c>
      <c r="G110" s="3" t="n">
        <v>15</v>
      </c>
    </row>
    <row r="111">
      <c r="A111" s="3" t="inlineStr">
        <is>
          <t>MOVE_DOUBLE_HIT</t>
        </is>
      </c>
      <c r="B111" s="3" t="inlineStr">
        <is>
          <t>Double Hit</t>
        </is>
      </c>
      <c r="C111" s="3" t="inlineStr">
        <is>
          <t>Normal</t>
        </is>
      </c>
      <c r="D111" s="3" t="inlineStr">
        <is>
          <t>Physical</t>
        </is>
      </c>
      <c r="E111" s="3" t="n">
        <v>35</v>
      </c>
      <c r="F111" s="3" t="n">
        <v>90</v>
      </c>
      <c r="G111" s="3" t="n">
        <v>10</v>
      </c>
    </row>
    <row r="112">
      <c r="A112" s="3" t="inlineStr">
        <is>
          <t>MOVE_DOUBLE_KICK</t>
        </is>
      </c>
      <c r="B112" s="3" t="inlineStr">
        <is>
          <t>Double Kick</t>
        </is>
      </c>
      <c r="C112" s="3" t="inlineStr">
        <is>
          <t>Fighting</t>
        </is>
      </c>
      <c r="D112" s="3" t="inlineStr">
        <is>
          <t>Physical</t>
        </is>
      </c>
      <c r="E112" s="3" t="n">
        <v>30</v>
      </c>
      <c r="F112" s="3" t="n">
        <v>100</v>
      </c>
      <c r="G112" s="3" t="n">
        <v>30</v>
      </c>
    </row>
    <row r="113">
      <c r="A113" s="3" t="inlineStr">
        <is>
          <t>MOVE_DOUBLE_SLAP</t>
        </is>
      </c>
      <c r="B113" s="3" t="inlineStr">
        <is>
          <t>Double Slap</t>
        </is>
      </c>
      <c r="C113" s="3" t="inlineStr">
        <is>
          <t>Fairy</t>
        </is>
      </c>
      <c r="D113" s="3" t="inlineStr">
        <is>
          <t>Physical</t>
        </is>
      </c>
      <c r="E113" s="3" t="n">
        <v>25</v>
      </c>
      <c r="F113" s="3" t="n">
        <v>100</v>
      </c>
      <c r="G113" s="3" t="n">
        <v>10</v>
      </c>
    </row>
    <row r="114">
      <c r="A114" s="3" t="inlineStr">
        <is>
          <t>MOVE_DOUBLE_TEAM</t>
        </is>
      </c>
      <c r="B114" s="3" t="inlineStr">
        <is>
          <t>Double Team</t>
        </is>
      </c>
      <c r="C114" s="3" t="inlineStr">
        <is>
          <t>Normal</t>
        </is>
      </c>
      <c r="D114" s="3" t="inlineStr">
        <is>
          <t>Status</t>
        </is>
      </c>
      <c r="E114" s="3" t="n">
        <v>0</v>
      </c>
      <c r="F114" s="3" t="n">
        <v>0</v>
      </c>
      <c r="G114" s="3" t="n">
        <v>15</v>
      </c>
    </row>
    <row r="115">
      <c r="A115" s="3" t="inlineStr">
        <is>
          <t>MOVE_DOUBLE_EDGE</t>
        </is>
      </c>
      <c r="B115" s="3" t="inlineStr">
        <is>
          <t>Double-Edge</t>
        </is>
      </c>
      <c r="C115" s="3" t="inlineStr">
        <is>
          <t>Normal</t>
        </is>
      </c>
      <c r="D115" s="3" t="inlineStr">
        <is>
          <t>Physical</t>
        </is>
      </c>
      <c r="E115" s="3" t="n">
        <v>120</v>
      </c>
      <c r="F115" s="3" t="n">
        <v>100</v>
      </c>
      <c r="G115" s="3" t="n">
        <v>15</v>
      </c>
    </row>
    <row r="116">
      <c r="A116" s="3" t="inlineStr">
        <is>
          <t>MOVE_DRAGON_BREATH</t>
        </is>
      </c>
      <c r="B116" s="3" t="inlineStr">
        <is>
          <t>Dragon Breath</t>
        </is>
      </c>
      <c r="C116" s="3" t="inlineStr">
        <is>
          <t>Dragon</t>
        </is>
      </c>
      <c r="D116" s="3" t="inlineStr">
        <is>
          <t>Special</t>
        </is>
      </c>
      <c r="E116" s="3" t="n">
        <v>60</v>
      </c>
      <c r="F116" s="3" t="n">
        <v>100</v>
      </c>
      <c r="G116" s="3" t="n">
        <v>20</v>
      </c>
    </row>
    <row r="117">
      <c r="A117" s="3" t="inlineStr">
        <is>
          <t>MOVE_DRAGON_CLAW</t>
        </is>
      </c>
      <c r="B117" s="3" t="inlineStr">
        <is>
          <t>Dragon Claw</t>
        </is>
      </c>
      <c r="C117" s="3" t="inlineStr">
        <is>
          <t>Dragon</t>
        </is>
      </c>
      <c r="D117" s="3" t="inlineStr">
        <is>
          <t>Physical</t>
        </is>
      </c>
      <c r="E117" s="3" t="n">
        <v>80</v>
      </c>
      <c r="F117" s="3" t="n">
        <v>100</v>
      </c>
      <c r="G117" s="3" t="n">
        <v>15</v>
      </c>
    </row>
    <row r="118">
      <c r="A118" s="3" t="inlineStr">
        <is>
          <t>MOVE_DRAGON_DANCE</t>
        </is>
      </c>
      <c r="B118" s="3" t="inlineStr">
        <is>
          <t>Dragon Dance</t>
        </is>
      </c>
      <c r="C118" s="3" t="inlineStr">
        <is>
          <t>Dragon</t>
        </is>
      </c>
      <c r="D118" s="3" t="inlineStr">
        <is>
          <t>Status</t>
        </is>
      </c>
      <c r="E118" s="3" t="n">
        <v>0</v>
      </c>
      <c r="F118" s="3" t="n">
        <v>0</v>
      </c>
      <c r="G118" s="3" t="n">
        <v>20</v>
      </c>
    </row>
    <row r="119">
      <c r="A119" s="3" t="inlineStr">
        <is>
          <t>MOVE_DRAGON_DARTS</t>
        </is>
      </c>
      <c r="B119" s="3" t="inlineStr">
        <is>
          <t>Dragon Darts</t>
        </is>
      </c>
      <c r="C119" s="3" t="inlineStr">
        <is>
          <t>Dragon</t>
        </is>
      </c>
      <c r="D119" s="3" t="inlineStr">
        <is>
          <t>Physical</t>
        </is>
      </c>
      <c r="E119" s="3" t="n">
        <v>50</v>
      </c>
      <c r="F119" s="3" t="n">
        <v>100</v>
      </c>
      <c r="G119" s="3" t="n">
        <v>10</v>
      </c>
    </row>
    <row r="120">
      <c r="A120" s="3" t="inlineStr">
        <is>
          <t>MOVE_DRAGON_PULSE</t>
        </is>
      </c>
      <c r="B120" s="3" t="inlineStr">
        <is>
          <t>Dragon Pulse</t>
        </is>
      </c>
      <c r="C120" s="3" t="inlineStr">
        <is>
          <t>Dragon</t>
        </is>
      </c>
      <c r="D120" s="3" t="inlineStr">
        <is>
          <t>Special</t>
        </is>
      </c>
      <c r="E120" s="3" t="n">
        <v>85</v>
      </c>
      <c r="F120" s="3" t="n">
        <v>100</v>
      </c>
      <c r="G120" s="3" t="n">
        <v>10</v>
      </c>
    </row>
    <row r="121">
      <c r="A121" s="3" t="inlineStr">
        <is>
          <t>MOVE_DRAGON_RAGE</t>
        </is>
      </c>
      <c r="B121" s="3" t="inlineStr">
        <is>
          <t>Dragon Rage</t>
        </is>
      </c>
      <c r="C121" s="3" t="inlineStr">
        <is>
          <t>Dragon</t>
        </is>
      </c>
      <c r="D121" s="3" t="inlineStr">
        <is>
          <t>Special</t>
        </is>
      </c>
      <c r="E121" s="3" t="n">
        <v>1</v>
      </c>
      <c r="F121" s="3" t="n">
        <v>100</v>
      </c>
      <c r="G121" s="3" t="n">
        <v>10</v>
      </c>
    </row>
    <row r="122">
      <c r="A122" s="3" t="inlineStr">
        <is>
          <t>MOVE_DRAGON_RUSH</t>
        </is>
      </c>
      <c r="B122" s="3" t="inlineStr">
        <is>
          <t>Dragon Rush</t>
        </is>
      </c>
      <c r="C122" s="3" t="inlineStr">
        <is>
          <t>Dragon</t>
        </is>
      </c>
      <c r="D122" s="3" t="inlineStr">
        <is>
          <t>Physical</t>
        </is>
      </c>
      <c r="E122" s="3" t="n">
        <v>100</v>
      </c>
      <c r="F122" s="3" t="n">
        <v>75</v>
      </c>
      <c r="G122" s="3" t="n">
        <v>10</v>
      </c>
    </row>
    <row r="123">
      <c r="A123" s="3" t="inlineStr">
        <is>
          <t>MOVE_DRAGON_TAIL</t>
        </is>
      </c>
      <c r="B123" s="3" t="inlineStr">
        <is>
          <t>Dragon Tail</t>
        </is>
      </c>
      <c r="C123" s="3" t="inlineStr">
        <is>
          <t>Dragon</t>
        </is>
      </c>
      <c r="D123" s="3" t="inlineStr">
        <is>
          <t>Physical</t>
        </is>
      </c>
      <c r="E123" s="3" t="n">
        <v>60</v>
      </c>
      <c r="F123" s="3" t="n">
        <v>90</v>
      </c>
      <c r="G123" s="3" t="n">
        <v>10</v>
      </c>
    </row>
    <row r="124">
      <c r="A124" s="3" t="inlineStr">
        <is>
          <t>MOVE_DRAIN_PUNCH</t>
        </is>
      </c>
      <c r="B124" s="3" t="inlineStr">
        <is>
          <t>Drain Punch</t>
        </is>
      </c>
      <c r="C124" s="3" t="inlineStr">
        <is>
          <t>Fighting</t>
        </is>
      </c>
      <c r="D124" s="3" t="inlineStr">
        <is>
          <t>Physical</t>
        </is>
      </c>
      <c r="E124" s="3" t="n">
        <v>75</v>
      </c>
      <c r="F124" s="3" t="n">
        <v>100</v>
      </c>
      <c r="G124" s="3" t="n">
        <v>10</v>
      </c>
    </row>
    <row r="125">
      <c r="A125" s="3" t="inlineStr">
        <is>
          <t>MOVE_DRAINING_KISS</t>
        </is>
      </c>
      <c r="B125" s="3" t="inlineStr">
        <is>
          <t>Draining Kiss</t>
        </is>
      </c>
      <c r="C125" s="3" t="inlineStr">
        <is>
          <t>Fairy</t>
        </is>
      </c>
      <c r="D125" s="3" t="inlineStr">
        <is>
          <t>Special</t>
        </is>
      </c>
      <c r="E125" s="3" t="n">
        <v>50</v>
      </c>
      <c r="F125" s="3" t="n">
        <v>100</v>
      </c>
      <c r="G125" s="3" t="n">
        <v>10</v>
      </c>
    </row>
    <row r="126">
      <c r="A126" s="3" t="inlineStr">
        <is>
          <t>MOVE_DREAM_EATER</t>
        </is>
      </c>
      <c r="B126" s="3" t="inlineStr">
        <is>
          <t>Dream Eater</t>
        </is>
      </c>
      <c r="C126" s="3" t="inlineStr">
        <is>
          <t>Psychic</t>
        </is>
      </c>
      <c r="D126" s="3" t="inlineStr">
        <is>
          <t>Special</t>
        </is>
      </c>
      <c r="E126" s="3" t="n">
        <v>100</v>
      </c>
      <c r="F126" s="3" t="n">
        <v>100</v>
      </c>
      <c r="G126" s="3" t="n">
        <v>15</v>
      </c>
    </row>
    <row r="127">
      <c r="A127" s="3" t="inlineStr">
        <is>
          <t>MOVE_DRILL_PECK</t>
        </is>
      </c>
      <c r="B127" s="3" t="inlineStr">
        <is>
          <t>Drill Peck</t>
        </is>
      </c>
      <c r="C127" s="3" t="inlineStr">
        <is>
          <t>Flying</t>
        </is>
      </c>
      <c r="D127" s="3" t="inlineStr">
        <is>
          <t>Physical</t>
        </is>
      </c>
      <c r="E127" s="3" t="n">
        <v>80</v>
      </c>
      <c r="F127" s="3" t="n">
        <v>100</v>
      </c>
      <c r="G127" s="3" t="n">
        <v>20</v>
      </c>
    </row>
    <row r="128">
      <c r="A128" s="3" t="inlineStr">
        <is>
          <t>MOVE_DRILL_RUN</t>
        </is>
      </c>
      <c r="B128" s="3" t="inlineStr">
        <is>
          <t>Drill Run</t>
        </is>
      </c>
      <c r="C128" s="3" t="inlineStr">
        <is>
          <t>Ground</t>
        </is>
      </c>
      <c r="D128" s="3" t="inlineStr">
        <is>
          <t>Physical</t>
        </is>
      </c>
      <c r="E128" s="3" t="n">
        <v>80</v>
      </c>
      <c r="F128" s="3" t="n">
        <v>95</v>
      </c>
      <c r="G128" s="3" t="n">
        <v>10</v>
      </c>
    </row>
    <row r="129">
      <c r="A129" s="3" t="inlineStr">
        <is>
          <t>MOVE_DUAL_WINGBEAT</t>
        </is>
      </c>
      <c r="B129" s="3" t="inlineStr">
        <is>
          <t>Dual Wingbeat</t>
        </is>
      </c>
      <c r="C129" s="3" t="inlineStr">
        <is>
          <t>Flying</t>
        </is>
      </c>
      <c r="D129" s="3" t="inlineStr">
        <is>
          <t>Physical</t>
        </is>
      </c>
      <c r="E129" s="3" t="n">
        <v>40</v>
      </c>
      <c r="F129" s="3" t="n">
        <v>90</v>
      </c>
      <c r="G129" s="3" t="n">
        <v>10</v>
      </c>
    </row>
    <row r="130">
      <c r="A130" s="3" t="inlineStr">
        <is>
          <t>MOVE_DYNAMIC_PUNCH</t>
        </is>
      </c>
      <c r="B130" s="3" t="inlineStr">
        <is>
          <t>Dynamic Punch</t>
        </is>
      </c>
      <c r="C130" s="3" t="inlineStr">
        <is>
          <t>Fighting</t>
        </is>
      </c>
      <c r="D130" s="3" t="inlineStr">
        <is>
          <t>Physical</t>
        </is>
      </c>
      <c r="E130" s="3" t="n">
        <v>100</v>
      </c>
      <c r="F130" s="3" t="n">
        <v>50</v>
      </c>
      <c r="G130" s="3" t="n">
        <v>5</v>
      </c>
    </row>
    <row r="131">
      <c r="A131" s="3" t="inlineStr">
        <is>
          <t>MOVE_EARTH_POWER</t>
        </is>
      </c>
      <c r="B131" s="3" t="inlineStr">
        <is>
          <t>Earth Power</t>
        </is>
      </c>
      <c r="C131" s="3" t="inlineStr">
        <is>
          <t>Ground</t>
        </is>
      </c>
      <c r="D131" s="3" t="inlineStr">
        <is>
          <t>Special</t>
        </is>
      </c>
      <c r="E131" s="3" t="n">
        <v>90</v>
      </c>
      <c r="F131" s="3" t="n">
        <v>100</v>
      </c>
      <c r="G131" s="3" t="n">
        <v>10</v>
      </c>
    </row>
    <row r="132">
      <c r="A132" s="3" t="inlineStr">
        <is>
          <t>MOVE_EARTHQUAKE</t>
        </is>
      </c>
      <c r="B132" s="3" t="inlineStr">
        <is>
          <t>Earthquake</t>
        </is>
      </c>
      <c r="C132" s="3" t="inlineStr">
        <is>
          <t>Ground</t>
        </is>
      </c>
      <c r="D132" s="3" t="inlineStr">
        <is>
          <t>Physical</t>
        </is>
      </c>
      <c r="E132" s="3" t="n">
        <v>100</v>
      </c>
      <c r="F132" s="3" t="n">
        <v>100</v>
      </c>
      <c r="G132" s="3" t="n">
        <v>10</v>
      </c>
    </row>
    <row r="133">
      <c r="A133" s="3" t="inlineStr">
        <is>
          <t>MOVE_ECHOED_VOICE</t>
        </is>
      </c>
      <c r="B133" s="3" t="inlineStr">
        <is>
          <t>Echoed Voice</t>
        </is>
      </c>
      <c r="C133" s="3" t="inlineStr">
        <is>
          <t>Normal</t>
        </is>
      </c>
      <c r="D133" s="3" t="inlineStr">
        <is>
          <t>Special</t>
        </is>
      </c>
      <c r="E133" s="3" t="n">
        <v>40</v>
      </c>
      <c r="F133" s="3" t="n">
        <v>100</v>
      </c>
      <c r="G133" s="3" t="n">
        <v>15</v>
      </c>
    </row>
    <row r="134">
      <c r="A134" s="3" t="inlineStr">
        <is>
          <t>MOVE_EERIE_IMPULSE</t>
        </is>
      </c>
      <c r="B134" s="3" t="inlineStr">
        <is>
          <t>Eerie Impulse</t>
        </is>
      </c>
      <c r="C134" s="3" t="inlineStr">
        <is>
          <t>Electric</t>
        </is>
      </c>
      <c r="D134" s="3" t="inlineStr">
        <is>
          <t>Status</t>
        </is>
      </c>
      <c r="E134" s="3" t="n">
        <v>0</v>
      </c>
      <c r="F134" s="3" t="n">
        <v>100</v>
      </c>
      <c r="G134" s="3" t="n">
        <v>15</v>
      </c>
    </row>
    <row r="135">
      <c r="A135" s="3" t="inlineStr">
        <is>
          <t>MOVE_ELECTRIC_TERRAIN</t>
        </is>
      </c>
      <c r="B135" s="3" t="inlineStr">
        <is>
          <t>Electric Terrain</t>
        </is>
      </c>
      <c r="C135" s="3" t="inlineStr">
        <is>
          <t>Electric</t>
        </is>
      </c>
      <c r="D135" s="3" t="inlineStr">
        <is>
          <t>Status</t>
        </is>
      </c>
      <c r="E135" s="3" t="n">
        <v>0</v>
      </c>
      <c r="F135" s="3" t="n">
        <v>0</v>
      </c>
      <c r="G135" s="3" t="n">
        <v>10</v>
      </c>
    </row>
    <row r="136">
      <c r="A136" s="3" t="inlineStr">
        <is>
          <t>MOVE_ELECTRIFY</t>
        </is>
      </c>
      <c r="B136" s="3" t="inlineStr">
        <is>
          <t>Electrify</t>
        </is>
      </c>
      <c r="C136" s="3" t="inlineStr">
        <is>
          <t>Electric</t>
        </is>
      </c>
      <c r="D136" s="3" t="inlineStr">
        <is>
          <t>Status</t>
        </is>
      </c>
      <c r="E136" s="3" t="n">
        <v>0</v>
      </c>
      <c r="F136" s="3" t="n">
        <v>0</v>
      </c>
      <c r="G136" s="3" t="n">
        <v>20</v>
      </c>
    </row>
    <row r="137">
      <c r="A137" s="3" t="inlineStr">
        <is>
          <t>MOVE_ELECTRO_BALL</t>
        </is>
      </c>
      <c r="B137" s="3" t="inlineStr">
        <is>
          <t>Electro Ball</t>
        </is>
      </c>
      <c r="C137" s="3" t="inlineStr">
        <is>
          <t>Electric</t>
        </is>
      </c>
      <c r="D137" s="3" t="inlineStr">
        <is>
          <t>Special</t>
        </is>
      </c>
      <c r="E137" s="3" t="n">
        <v>1</v>
      </c>
      <c r="F137" s="3" t="n">
        <v>100</v>
      </c>
      <c r="G137" s="3" t="n">
        <v>10</v>
      </c>
    </row>
    <row r="138">
      <c r="A138" s="3" t="inlineStr">
        <is>
          <t>MOVE_ELECTROWEB</t>
        </is>
      </c>
      <c r="B138" s="3" t="inlineStr">
        <is>
          <t>Electroweb</t>
        </is>
      </c>
      <c r="C138" s="3" t="inlineStr">
        <is>
          <t>Electric</t>
        </is>
      </c>
      <c r="D138" s="3" t="inlineStr">
        <is>
          <t>Special</t>
        </is>
      </c>
      <c r="E138" s="3" t="n">
        <v>55</v>
      </c>
      <c r="F138" s="3" t="n">
        <v>95</v>
      </c>
      <c r="G138" s="3" t="n">
        <v>15</v>
      </c>
    </row>
    <row r="139">
      <c r="A139" s="3" t="inlineStr">
        <is>
          <t>MOVE_EMBER</t>
        </is>
      </c>
      <c r="B139" s="3" t="inlineStr">
        <is>
          <t>Ember</t>
        </is>
      </c>
      <c r="C139" s="3" t="inlineStr">
        <is>
          <t>Fire</t>
        </is>
      </c>
      <c r="D139" s="3" t="inlineStr">
        <is>
          <t>Special</t>
        </is>
      </c>
      <c r="E139" s="3" t="n">
        <v>40</v>
      </c>
      <c r="F139" s="3" t="n">
        <v>100</v>
      </c>
      <c r="G139" s="3" t="n">
        <v>25</v>
      </c>
    </row>
    <row r="140">
      <c r="A140" s="3" t="inlineStr">
        <is>
          <t>MOVE_ENCORE</t>
        </is>
      </c>
      <c r="B140" s="3" t="inlineStr">
        <is>
          <t>Encore</t>
        </is>
      </c>
      <c r="C140" s="3" t="inlineStr">
        <is>
          <t>Normal</t>
        </is>
      </c>
      <c r="D140" s="3" t="inlineStr">
        <is>
          <t>Status</t>
        </is>
      </c>
      <c r="E140" s="3" t="n">
        <v>0</v>
      </c>
      <c r="F140" s="3" t="n">
        <v>100</v>
      </c>
      <c r="G140" s="3" t="n">
        <v>5</v>
      </c>
    </row>
    <row r="141">
      <c r="A141" s="3" t="inlineStr">
        <is>
          <t>MOVE_ENDEAVOR</t>
        </is>
      </c>
      <c r="B141" s="3" t="inlineStr">
        <is>
          <t>Endeavor</t>
        </is>
      </c>
      <c r="C141" s="3" t="inlineStr">
        <is>
          <t>Normal</t>
        </is>
      </c>
      <c r="D141" s="3" t="inlineStr">
        <is>
          <t>Physical</t>
        </is>
      </c>
      <c r="E141" s="3" t="n">
        <v>1</v>
      </c>
      <c r="F141" s="3" t="n">
        <v>100</v>
      </c>
      <c r="G141" s="3" t="n">
        <v>5</v>
      </c>
    </row>
    <row r="142">
      <c r="A142" s="3" t="inlineStr">
        <is>
          <t>MOVE_ENDURE</t>
        </is>
      </c>
      <c r="B142" s="3" t="inlineStr">
        <is>
          <t>Endure</t>
        </is>
      </c>
      <c r="C142" s="3" t="inlineStr">
        <is>
          <t>Normal</t>
        </is>
      </c>
      <c r="D142" s="3" t="inlineStr">
        <is>
          <t>Status</t>
        </is>
      </c>
      <c r="E142" s="3" t="n">
        <v>0</v>
      </c>
      <c r="F142" s="3" t="n">
        <v>0</v>
      </c>
      <c r="G142" s="3" t="n">
        <v>10</v>
      </c>
    </row>
    <row r="143">
      <c r="A143" s="3" t="inlineStr">
        <is>
          <t>MOVE_ENERGY_BALL</t>
        </is>
      </c>
      <c r="B143" s="3" t="inlineStr">
        <is>
          <t>Energy Ball</t>
        </is>
      </c>
      <c r="C143" s="3" t="inlineStr">
        <is>
          <t>Grass</t>
        </is>
      </c>
      <c r="D143" s="3" t="inlineStr">
        <is>
          <t>Special</t>
        </is>
      </c>
      <c r="E143" s="3" t="n">
        <v>90</v>
      </c>
      <c r="F143" s="3" t="n">
        <v>100</v>
      </c>
      <c r="G143" s="3" t="n">
        <v>10</v>
      </c>
    </row>
    <row r="144">
      <c r="A144" s="3" t="inlineStr">
        <is>
          <t>MOVE_ENTRAINMENT</t>
        </is>
      </c>
      <c r="B144" s="3" t="inlineStr">
        <is>
          <t>Entrainment</t>
        </is>
      </c>
      <c r="C144" s="3" t="inlineStr">
        <is>
          <t>Normal</t>
        </is>
      </c>
      <c r="D144" s="3" t="inlineStr">
        <is>
          <t>Status</t>
        </is>
      </c>
      <c r="E144" s="3" t="n">
        <v>0</v>
      </c>
      <c r="F144" s="3" t="n">
        <v>100</v>
      </c>
      <c r="G144" s="3" t="n">
        <v>15</v>
      </c>
    </row>
    <row r="145">
      <c r="A145" s="3" t="inlineStr">
        <is>
          <t>MOVE_ERUPTION</t>
        </is>
      </c>
      <c r="B145" s="3" t="inlineStr">
        <is>
          <t>Eruption</t>
        </is>
      </c>
      <c r="C145" s="3" t="inlineStr">
        <is>
          <t>Fire</t>
        </is>
      </c>
      <c r="D145" s="3" t="inlineStr">
        <is>
          <t>Special</t>
        </is>
      </c>
      <c r="E145" s="3" t="n">
        <v>150</v>
      </c>
      <c r="F145" s="3" t="n">
        <v>100</v>
      </c>
      <c r="G145" s="3" t="n">
        <v>5</v>
      </c>
    </row>
    <row r="146">
      <c r="A146" s="3" t="inlineStr">
        <is>
          <t>MOVE_ESPER_WING</t>
        </is>
      </c>
      <c r="B146" s="3" t="inlineStr">
        <is>
          <t>Esper Wing</t>
        </is>
      </c>
      <c r="C146" s="3" t="inlineStr">
        <is>
          <t>Psychic</t>
        </is>
      </c>
      <c r="D146" s="3" t="inlineStr">
        <is>
          <t>Special</t>
        </is>
      </c>
      <c r="E146" s="3" t="n">
        <v>80</v>
      </c>
      <c r="F146" s="3" t="n">
        <v>100</v>
      </c>
      <c r="G146" s="3" t="n">
        <v>10</v>
      </c>
    </row>
    <row r="147">
      <c r="A147" s="3" t="inlineStr">
        <is>
          <t>MOVE_EXPANDING_FORCE</t>
        </is>
      </c>
      <c r="B147" s="3" t="inlineStr">
        <is>
          <t>Expanding Force</t>
        </is>
      </c>
      <c r="C147" s="3" t="inlineStr">
        <is>
          <t>Psychic</t>
        </is>
      </c>
      <c r="D147" s="3" t="inlineStr">
        <is>
          <t>Special</t>
        </is>
      </c>
      <c r="E147" s="3" t="n">
        <v>80</v>
      </c>
      <c r="F147" s="3" t="n">
        <v>100</v>
      </c>
      <c r="G147" s="3" t="n">
        <v>10</v>
      </c>
    </row>
    <row r="148">
      <c r="A148" s="3" t="inlineStr">
        <is>
          <t>MOVE_EXPLOSION</t>
        </is>
      </c>
      <c r="B148" s="3" t="inlineStr">
        <is>
          <t>Explosion</t>
        </is>
      </c>
      <c r="C148" s="3" t="inlineStr">
        <is>
          <t>Normal</t>
        </is>
      </c>
      <c r="D148" s="3" t="inlineStr">
        <is>
          <t>Physical</t>
        </is>
      </c>
      <c r="E148" s="3" t="n">
        <v>250</v>
      </c>
      <c r="F148" s="3" t="n">
        <v>100</v>
      </c>
      <c r="G148" s="3" t="n">
        <v>5</v>
      </c>
    </row>
    <row r="149">
      <c r="A149" s="3" t="inlineStr">
        <is>
          <t>MOVE_EXTRASENSORY</t>
        </is>
      </c>
      <c r="B149" s="3" t="inlineStr">
        <is>
          <t>Extrasensory</t>
        </is>
      </c>
      <c r="C149" s="3" t="inlineStr">
        <is>
          <t>Psychic</t>
        </is>
      </c>
      <c r="D149" s="3" t="inlineStr">
        <is>
          <t>Special</t>
        </is>
      </c>
      <c r="E149" s="3" t="n">
        <v>80</v>
      </c>
      <c r="F149" s="3" t="n">
        <v>100</v>
      </c>
      <c r="G149" s="3" t="n">
        <v>20</v>
      </c>
    </row>
    <row r="150">
      <c r="A150" s="3" t="inlineStr">
        <is>
          <t>MOVE_EXTREME_SPEED</t>
        </is>
      </c>
      <c r="B150" s="3" t="inlineStr">
        <is>
          <t>Extreme Speed</t>
        </is>
      </c>
      <c r="C150" s="3" t="inlineStr">
        <is>
          <t>Normal</t>
        </is>
      </c>
      <c r="D150" s="3" t="inlineStr">
        <is>
          <t>Physical</t>
        </is>
      </c>
      <c r="E150" s="3" t="n">
        <v>80</v>
      </c>
      <c r="F150" s="3" t="n">
        <v>100</v>
      </c>
      <c r="G150" s="3" t="n">
        <v>5</v>
      </c>
    </row>
    <row r="151">
      <c r="A151" s="3" t="inlineStr">
        <is>
          <t>MOVE_FACADE</t>
        </is>
      </c>
      <c r="B151" s="3" t="inlineStr">
        <is>
          <t>Facade</t>
        </is>
      </c>
      <c r="C151" s="3" t="inlineStr">
        <is>
          <t>Normal</t>
        </is>
      </c>
      <c r="D151" s="3" t="inlineStr">
        <is>
          <t>Physical</t>
        </is>
      </c>
      <c r="E151" s="3" t="n">
        <v>70</v>
      </c>
      <c r="F151" s="3" t="n">
        <v>100</v>
      </c>
      <c r="G151" s="3" t="n">
        <v>20</v>
      </c>
    </row>
    <row r="152">
      <c r="A152" s="3" t="inlineStr">
        <is>
          <t>MOVE_FAIRY_WIND</t>
        </is>
      </c>
      <c r="B152" s="3" t="inlineStr">
        <is>
          <t>Fairy Wind</t>
        </is>
      </c>
      <c r="C152" s="3" t="inlineStr">
        <is>
          <t>Fairy</t>
        </is>
      </c>
      <c r="D152" s="3" t="inlineStr">
        <is>
          <t>Special</t>
        </is>
      </c>
      <c r="E152" s="3" t="n">
        <v>40</v>
      </c>
      <c r="F152" s="3" t="n">
        <v>100</v>
      </c>
      <c r="G152" s="3" t="n">
        <v>30</v>
      </c>
    </row>
    <row r="153">
      <c r="A153" s="3" t="inlineStr">
        <is>
          <t>MOVE_FAKE_OUT</t>
        </is>
      </c>
      <c r="B153" s="3" t="inlineStr">
        <is>
          <t>Fake Out</t>
        </is>
      </c>
      <c r="C153" s="3" t="inlineStr">
        <is>
          <t>Normal</t>
        </is>
      </c>
      <c r="D153" s="3" t="inlineStr">
        <is>
          <t>Physical</t>
        </is>
      </c>
      <c r="E153" s="3" t="n">
        <v>40</v>
      </c>
      <c r="F153" s="3" t="n">
        <v>100</v>
      </c>
      <c r="G153" s="3" t="n">
        <v>10</v>
      </c>
    </row>
    <row r="154">
      <c r="A154" s="3" t="inlineStr">
        <is>
          <t>MOVE_FAKE_TEARS</t>
        </is>
      </c>
      <c r="B154" s="3" t="inlineStr">
        <is>
          <t>Fake Tears</t>
        </is>
      </c>
      <c r="C154" s="3" t="inlineStr">
        <is>
          <t>Dark</t>
        </is>
      </c>
      <c r="D154" s="3" t="inlineStr">
        <is>
          <t>Status</t>
        </is>
      </c>
      <c r="E154" s="3" t="n">
        <v>0</v>
      </c>
      <c r="F154" s="3" t="n">
        <v>100</v>
      </c>
      <c r="G154" s="3" t="n">
        <v>20</v>
      </c>
    </row>
    <row r="155">
      <c r="A155" s="3" t="inlineStr">
        <is>
          <t>MOVE_FALSE_SURRENDER</t>
        </is>
      </c>
      <c r="B155" s="3" t="inlineStr">
        <is>
          <t>False Surrender</t>
        </is>
      </c>
      <c r="C155" s="3" t="inlineStr">
        <is>
          <t>Dark</t>
        </is>
      </c>
      <c r="D155" s="3" t="inlineStr">
        <is>
          <t>Physical</t>
        </is>
      </c>
      <c r="E155" s="3" t="n">
        <v>80</v>
      </c>
      <c r="F155" s="3" t="n">
        <v>0</v>
      </c>
      <c r="G155" s="3" t="n">
        <v>10</v>
      </c>
    </row>
    <row r="156">
      <c r="A156" s="3" t="inlineStr">
        <is>
          <t>MOVE_FALSE_SWIPE</t>
        </is>
      </c>
      <c r="B156" s="3" t="inlineStr">
        <is>
          <t>False Swipe</t>
        </is>
      </c>
      <c r="C156" s="3" t="inlineStr">
        <is>
          <t>Normal</t>
        </is>
      </c>
      <c r="D156" s="3" t="inlineStr">
        <is>
          <t>Physical</t>
        </is>
      </c>
      <c r="E156" s="3" t="n">
        <v>40</v>
      </c>
      <c r="F156" s="3" t="n">
        <v>100</v>
      </c>
      <c r="G156" s="3" t="n">
        <v>40</v>
      </c>
    </row>
    <row r="157">
      <c r="A157" s="3" t="inlineStr">
        <is>
          <t>MOVE_FEATHER_DANCE</t>
        </is>
      </c>
      <c r="B157" s="3" t="inlineStr">
        <is>
          <t>Feather Dance</t>
        </is>
      </c>
      <c r="C157" s="3" t="inlineStr">
        <is>
          <t>Flying</t>
        </is>
      </c>
      <c r="D157" s="3" t="inlineStr">
        <is>
          <t>Status</t>
        </is>
      </c>
      <c r="E157" s="3" t="n">
        <v>0</v>
      </c>
      <c r="F157" s="3" t="n">
        <v>100</v>
      </c>
      <c r="G157" s="3" t="n">
        <v>15</v>
      </c>
    </row>
    <row r="158">
      <c r="A158" s="3" t="inlineStr">
        <is>
          <t>MOVE_FEINT</t>
        </is>
      </c>
      <c r="B158" s="3" t="inlineStr">
        <is>
          <t>Feint</t>
        </is>
      </c>
      <c r="C158" s="3" t="inlineStr">
        <is>
          <t>Normal</t>
        </is>
      </c>
      <c r="D158" s="3" t="inlineStr">
        <is>
          <t>Physical</t>
        </is>
      </c>
      <c r="E158" s="3" t="n">
        <v>30</v>
      </c>
      <c r="F158" s="3" t="n">
        <v>100</v>
      </c>
      <c r="G158" s="3" t="n">
        <v>10</v>
      </c>
    </row>
    <row r="159">
      <c r="A159" s="3" t="inlineStr">
        <is>
          <t>MOVE_FEINT_ATTACK</t>
        </is>
      </c>
      <c r="B159" s="3" t="inlineStr">
        <is>
          <t>Feint Attack</t>
        </is>
      </c>
      <c r="C159" s="3" t="inlineStr">
        <is>
          <t>Dark</t>
        </is>
      </c>
      <c r="D159" s="3" t="inlineStr">
        <is>
          <t>Physical</t>
        </is>
      </c>
      <c r="E159" s="3" t="n">
        <v>60</v>
      </c>
      <c r="F159" s="3" t="n">
        <v>0</v>
      </c>
      <c r="G159" s="3" t="n">
        <v>20</v>
      </c>
    </row>
    <row r="160">
      <c r="A160" s="3" t="inlineStr">
        <is>
          <t>MOVE_FELL_STINGER</t>
        </is>
      </c>
      <c r="B160" s="3" t="inlineStr">
        <is>
          <t>Fell Stinger</t>
        </is>
      </c>
      <c r="C160" s="3" t="inlineStr">
        <is>
          <t>Bug</t>
        </is>
      </c>
      <c r="D160" s="3" t="inlineStr">
        <is>
          <t>Physical</t>
        </is>
      </c>
      <c r="E160" s="3" t="n">
        <v>50</v>
      </c>
      <c r="F160" s="3" t="n">
        <v>100</v>
      </c>
      <c r="G160" s="3" t="n">
        <v>25</v>
      </c>
    </row>
    <row r="161">
      <c r="A161" s="3" t="inlineStr">
        <is>
          <t>MOVE_FINAL_GAMBIT</t>
        </is>
      </c>
      <c r="B161" s="3" t="inlineStr">
        <is>
          <t>Final Gambit</t>
        </is>
      </c>
      <c r="C161" s="3" t="inlineStr">
        <is>
          <t>Fighting</t>
        </is>
      </c>
      <c r="D161" s="3" t="inlineStr">
        <is>
          <t>Special</t>
        </is>
      </c>
      <c r="E161" s="3" t="n">
        <v>1</v>
      </c>
      <c r="F161" s="3" t="n">
        <v>100</v>
      </c>
      <c r="G161" s="3" t="n">
        <v>5</v>
      </c>
    </row>
    <row r="162">
      <c r="A162" s="3" t="inlineStr">
        <is>
          <t>MOVE_FIRE_BLAST</t>
        </is>
      </c>
      <c r="B162" s="3" t="inlineStr">
        <is>
          <t>Fire Blast</t>
        </is>
      </c>
      <c r="C162" s="3" t="inlineStr">
        <is>
          <t>Fire</t>
        </is>
      </c>
      <c r="D162" s="3" t="inlineStr">
        <is>
          <t>Special</t>
        </is>
      </c>
      <c r="E162" s="3" t="n">
        <v>110</v>
      </c>
      <c r="F162" s="3" t="n">
        <v>85</v>
      </c>
      <c r="G162" s="3" t="n">
        <v>5</v>
      </c>
    </row>
    <row r="163">
      <c r="A163" s="3" t="inlineStr">
        <is>
          <t>MOVE_FIRE_FANG</t>
        </is>
      </c>
      <c r="B163" s="3" t="inlineStr">
        <is>
          <t>Fire Fang</t>
        </is>
      </c>
      <c r="C163" s="3" t="inlineStr">
        <is>
          <t>Fire</t>
        </is>
      </c>
      <c r="D163" s="3" t="inlineStr">
        <is>
          <t>Physical</t>
        </is>
      </c>
      <c r="E163" s="3" t="n">
        <v>65</v>
      </c>
      <c r="F163" s="3" t="n">
        <v>95</v>
      </c>
      <c r="G163" s="3" t="n">
        <v>15</v>
      </c>
    </row>
    <row r="164">
      <c r="A164" s="3" t="inlineStr">
        <is>
          <t>MOVE_FIRE_LASH</t>
        </is>
      </c>
      <c r="B164" s="3" t="inlineStr">
        <is>
          <t>Fire Lash</t>
        </is>
      </c>
      <c r="C164" s="3" t="inlineStr">
        <is>
          <t>Fire</t>
        </is>
      </c>
      <c r="D164" s="3" t="inlineStr">
        <is>
          <t>Physical</t>
        </is>
      </c>
      <c r="E164" s="3" t="n">
        <v>80</v>
      </c>
      <c r="F164" s="3" t="n">
        <v>100</v>
      </c>
      <c r="G164" s="3" t="n">
        <v>15</v>
      </c>
    </row>
    <row r="165">
      <c r="A165" s="3" t="inlineStr">
        <is>
          <t>MOVE_FIRE_PUNCH</t>
        </is>
      </c>
      <c r="B165" s="3" t="inlineStr">
        <is>
          <t>Fire Punch</t>
        </is>
      </c>
      <c r="C165" s="3" t="inlineStr">
        <is>
          <t>Fire</t>
        </is>
      </c>
      <c r="D165" s="3" t="inlineStr">
        <is>
          <t>Physical</t>
        </is>
      </c>
      <c r="E165" s="3" t="n">
        <v>75</v>
      </c>
      <c r="F165" s="3" t="n">
        <v>100</v>
      </c>
      <c r="G165" s="3" t="n">
        <v>15</v>
      </c>
    </row>
    <row r="166">
      <c r="A166" s="3" t="inlineStr">
        <is>
          <t>MOVE_FIRE_SPIN</t>
        </is>
      </c>
      <c r="B166" s="3" t="inlineStr">
        <is>
          <t>Fire Spin</t>
        </is>
      </c>
      <c r="C166" s="3" t="inlineStr">
        <is>
          <t>Fire</t>
        </is>
      </c>
      <c r="D166" s="3" t="inlineStr">
        <is>
          <t>Special</t>
        </is>
      </c>
      <c r="E166" s="3" t="n">
        <v>35</v>
      </c>
      <c r="F166" s="3" t="n">
        <v>85</v>
      </c>
      <c r="G166" s="3" t="n">
        <v>15</v>
      </c>
    </row>
    <row r="167">
      <c r="A167" s="3" t="inlineStr">
        <is>
          <t>MOVE_FIRST_IMPRESSION</t>
        </is>
      </c>
      <c r="B167" s="3" t="inlineStr">
        <is>
          <t>First Impression</t>
        </is>
      </c>
      <c r="C167" s="3" t="inlineStr">
        <is>
          <t>Bug</t>
        </is>
      </c>
      <c r="D167" s="3" t="inlineStr">
        <is>
          <t>Physical</t>
        </is>
      </c>
      <c r="E167" s="3" t="n">
        <v>90</v>
      </c>
      <c r="F167" s="3" t="n">
        <v>100</v>
      </c>
      <c r="G167" s="3" t="n">
        <v>10</v>
      </c>
    </row>
    <row r="168">
      <c r="A168" s="3" t="inlineStr">
        <is>
          <t>MOVE_FISSURE</t>
        </is>
      </c>
      <c r="B168" s="3" t="inlineStr">
        <is>
          <t>Fissure</t>
        </is>
      </c>
      <c r="C168" s="3" t="inlineStr">
        <is>
          <t>Ground</t>
        </is>
      </c>
      <c r="D168" s="3" t="inlineStr">
        <is>
          <t>Physical</t>
        </is>
      </c>
      <c r="E168" s="3" t="n">
        <v>1</v>
      </c>
      <c r="F168" s="3" t="n">
        <v>30</v>
      </c>
      <c r="G168" s="3" t="n">
        <v>5</v>
      </c>
    </row>
    <row r="169">
      <c r="A169" s="3" t="inlineStr">
        <is>
          <t>MOVE_FLAIL</t>
        </is>
      </c>
      <c r="B169" s="3" t="inlineStr">
        <is>
          <t>Flail</t>
        </is>
      </c>
      <c r="C169" s="3" t="inlineStr">
        <is>
          <t>Normal</t>
        </is>
      </c>
      <c r="D169" s="3" t="inlineStr">
        <is>
          <t>Physical</t>
        </is>
      </c>
      <c r="E169" s="3" t="n">
        <v>1</v>
      </c>
      <c r="F169" s="3" t="n">
        <v>100</v>
      </c>
      <c r="G169" s="3" t="n">
        <v>15</v>
      </c>
    </row>
    <row r="170">
      <c r="A170" s="3" t="inlineStr">
        <is>
          <t>MOVE_FLAME_BURST</t>
        </is>
      </c>
      <c r="B170" s="3" t="inlineStr">
        <is>
          <t>Flame Burst</t>
        </is>
      </c>
      <c r="C170" s="3" t="inlineStr">
        <is>
          <t>Fire</t>
        </is>
      </c>
      <c r="D170" s="3" t="inlineStr">
        <is>
          <t>Special</t>
        </is>
      </c>
      <c r="E170" s="3" t="n">
        <v>70</v>
      </c>
      <c r="F170" s="3" t="n">
        <v>100</v>
      </c>
      <c r="G170" s="3" t="n">
        <v>15</v>
      </c>
    </row>
    <row r="171">
      <c r="A171" s="3" t="inlineStr">
        <is>
          <t>MOVE_FLAME_CHARGE</t>
        </is>
      </c>
      <c r="B171" s="3" t="inlineStr">
        <is>
          <t>Flame Charge</t>
        </is>
      </c>
      <c r="C171" s="3" t="inlineStr">
        <is>
          <t>Fire</t>
        </is>
      </c>
      <c r="D171" s="3" t="inlineStr">
        <is>
          <t>Physical</t>
        </is>
      </c>
      <c r="E171" s="3" t="n">
        <v>50</v>
      </c>
      <c r="F171" s="3" t="n">
        <v>100</v>
      </c>
      <c r="G171" s="3" t="n">
        <v>20</v>
      </c>
    </row>
    <row r="172">
      <c r="A172" s="3" t="inlineStr">
        <is>
          <t>MOVE_FLAME_WHEEL</t>
        </is>
      </c>
      <c r="B172" s="3" t="inlineStr">
        <is>
          <t>Flame Wheel</t>
        </is>
      </c>
      <c r="C172" s="3" t="inlineStr">
        <is>
          <t>Fire</t>
        </is>
      </c>
      <c r="D172" s="3" t="inlineStr">
        <is>
          <t>Physical</t>
        </is>
      </c>
      <c r="E172" s="3" t="n">
        <v>60</v>
      </c>
      <c r="F172" s="3" t="n">
        <v>100</v>
      </c>
      <c r="G172" s="3" t="n">
        <v>25</v>
      </c>
    </row>
    <row r="173">
      <c r="A173" s="3" t="inlineStr">
        <is>
          <t>MOVE_FLAMETHROWER</t>
        </is>
      </c>
      <c r="B173" s="3" t="inlineStr">
        <is>
          <t>Flamethrower</t>
        </is>
      </c>
      <c r="C173" s="3" t="inlineStr">
        <is>
          <t>Fire</t>
        </is>
      </c>
      <c r="D173" s="3" t="inlineStr">
        <is>
          <t>Special</t>
        </is>
      </c>
      <c r="E173" s="3" t="n">
        <v>90</v>
      </c>
      <c r="F173" s="3" t="n">
        <v>100</v>
      </c>
      <c r="G173" s="3" t="n">
        <v>15</v>
      </c>
    </row>
    <row r="174">
      <c r="A174" s="3" t="inlineStr">
        <is>
          <t>MOVE_FLARE_BLITZ</t>
        </is>
      </c>
      <c r="B174" s="3" t="inlineStr">
        <is>
          <t>Flare Blitz</t>
        </is>
      </c>
      <c r="C174" s="3" t="inlineStr">
        <is>
          <t>Fire</t>
        </is>
      </c>
      <c r="D174" s="3" t="inlineStr">
        <is>
          <t>Physical</t>
        </is>
      </c>
      <c r="E174" s="3" t="n">
        <v>120</v>
      </c>
      <c r="F174" s="3" t="n">
        <v>100</v>
      </c>
      <c r="G174" s="3" t="n">
        <v>15</v>
      </c>
    </row>
    <row r="175">
      <c r="A175" s="3" t="inlineStr">
        <is>
          <t>MOVE_FLASH</t>
        </is>
      </c>
      <c r="B175" s="3" t="inlineStr">
        <is>
          <t>Flash</t>
        </is>
      </c>
      <c r="C175" s="3" t="inlineStr">
        <is>
          <t>Normal</t>
        </is>
      </c>
      <c r="D175" s="3" t="inlineStr">
        <is>
          <t>Status</t>
        </is>
      </c>
      <c r="E175" s="3" t="n">
        <v>0</v>
      </c>
      <c r="F175" s="3" t="n">
        <v>100</v>
      </c>
      <c r="G175" s="3" t="n">
        <v>20</v>
      </c>
    </row>
    <row r="176">
      <c r="A176" s="3" t="inlineStr">
        <is>
          <t>MOVE_FLASH_CANNON</t>
        </is>
      </c>
      <c r="B176" s="3" t="inlineStr">
        <is>
          <t>Flash Cannon</t>
        </is>
      </c>
      <c r="C176" s="3" t="inlineStr">
        <is>
          <t>Steel</t>
        </is>
      </c>
      <c r="D176" s="3" t="inlineStr">
        <is>
          <t>Special</t>
        </is>
      </c>
      <c r="E176" s="3" t="n">
        <v>80</v>
      </c>
      <c r="F176" s="3" t="n">
        <v>100</v>
      </c>
      <c r="G176" s="3" t="n">
        <v>10</v>
      </c>
    </row>
    <row r="177">
      <c r="A177" s="3" t="inlineStr">
        <is>
          <t>MOVE_FLATTER</t>
        </is>
      </c>
      <c r="B177" s="3" t="inlineStr">
        <is>
          <t>Flatter</t>
        </is>
      </c>
      <c r="C177" s="3" t="inlineStr">
        <is>
          <t>Dark</t>
        </is>
      </c>
      <c r="D177" s="3" t="inlineStr">
        <is>
          <t>Status</t>
        </is>
      </c>
      <c r="E177" s="3" t="n">
        <v>0</v>
      </c>
      <c r="F177" s="3" t="n">
        <v>100</v>
      </c>
      <c r="G177" s="3" t="n">
        <v>15</v>
      </c>
    </row>
    <row r="178">
      <c r="A178" s="3" t="inlineStr">
        <is>
          <t>MOVE_FLING</t>
        </is>
      </c>
      <c r="B178" s="3" t="inlineStr">
        <is>
          <t>Fling</t>
        </is>
      </c>
      <c r="C178" s="3" t="inlineStr">
        <is>
          <t>Dark</t>
        </is>
      </c>
      <c r="D178" s="3" t="inlineStr">
        <is>
          <t>Physical</t>
        </is>
      </c>
      <c r="E178" s="3" t="n">
        <v>1</v>
      </c>
      <c r="F178" s="3" t="n">
        <v>100</v>
      </c>
      <c r="G178" s="3" t="n">
        <v>10</v>
      </c>
    </row>
    <row r="179">
      <c r="A179" s="3" t="inlineStr">
        <is>
          <t>MOVE_FLY</t>
        </is>
      </c>
      <c r="B179" s="3" t="inlineStr">
        <is>
          <t>Fly</t>
        </is>
      </c>
      <c r="C179" s="3" t="inlineStr">
        <is>
          <t>Flying</t>
        </is>
      </c>
      <c r="D179" s="3" t="inlineStr">
        <is>
          <t>Physical</t>
        </is>
      </c>
      <c r="E179" s="3" t="n">
        <v>90</v>
      </c>
      <c r="F179" s="3" t="n">
        <v>95</v>
      </c>
      <c r="G179" s="3" t="n">
        <v>15</v>
      </c>
    </row>
    <row r="180">
      <c r="A180" s="3" t="inlineStr">
        <is>
          <t>MOVE_FOCUS_ENERGY</t>
        </is>
      </c>
      <c r="B180" s="3" t="inlineStr">
        <is>
          <t>Focus Energy</t>
        </is>
      </c>
      <c r="C180" s="3" t="inlineStr">
        <is>
          <t>Normal</t>
        </is>
      </c>
      <c r="D180" s="3" t="inlineStr">
        <is>
          <t>Status</t>
        </is>
      </c>
      <c r="E180" s="3" t="n">
        <v>0</v>
      </c>
      <c r="F180" s="3" t="n">
        <v>0</v>
      </c>
      <c r="G180" s="3" t="n">
        <v>30</v>
      </c>
    </row>
    <row r="181">
      <c r="A181" s="3" t="inlineStr">
        <is>
          <t>MOVE_FOCUS_PUNCH</t>
        </is>
      </c>
      <c r="B181" s="3" t="inlineStr">
        <is>
          <t>Focus Punch</t>
        </is>
      </c>
      <c r="C181" s="3" t="inlineStr">
        <is>
          <t>Fighting</t>
        </is>
      </c>
      <c r="D181" s="3" t="inlineStr">
        <is>
          <t>Physical</t>
        </is>
      </c>
      <c r="E181" s="3" t="n">
        <v>150</v>
      </c>
      <c r="F181" s="3" t="n">
        <v>100</v>
      </c>
      <c r="G181" s="3" t="n">
        <v>20</v>
      </c>
    </row>
    <row r="182">
      <c r="A182" s="3" t="inlineStr">
        <is>
          <t>MOVE_FOLLOW_ME</t>
        </is>
      </c>
      <c r="B182" s="3" t="inlineStr">
        <is>
          <t>Follow Me</t>
        </is>
      </c>
      <c r="C182" s="3" t="inlineStr">
        <is>
          <t>Normal</t>
        </is>
      </c>
      <c r="D182" s="3" t="inlineStr">
        <is>
          <t>Status</t>
        </is>
      </c>
      <c r="E182" s="3" t="n">
        <v>0</v>
      </c>
      <c r="F182" s="3" t="n">
        <v>0</v>
      </c>
      <c r="G182" s="3" t="n">
        <v>20</v>
      </c>
    </row>
    <row r="183">
      <c r="A183" s="3" t="inlineStr">
        <is>
          <t>MOVE_FORCE_PALM</t>
        </is>
      </c>
      <c r="B183" s="3" t="inlineStr">
        <is>
          <t>Force Palm</t>
        </is>
      </c>
      <c r="C183" s="3" t="inlineStr">
        <is>
          <t>Fighting</t>
        </is>
      </c>
      <c r="D183" s="3" t="inlineStr">
        <is>
          <t>Physical</t>
        </is>
      </c>
      <c r="E183" s="3" t="n">
        <v>60</v>
      </c>
      <c r="F183" s="3" t="n">
        <v>100</v>
      </c>
      <c r="G183" s="3" t="n">
        <v>10</v>
      </c>
    </row>
    <row r="184">
      <c r="A184" s="3" t="inlineStr">
        <is>
          <t>MOVE_FORESIGHT</t>
        </is>
      </c>
      <c r="B184" s="3" t="inlineStr">
        <is>
          <t>Foresight</t>
        </is>
      </c>
      <c r="C184" s="3" t="inlineStr">
        <is>
          <t>Normal</t>
        </is>
      </c>
      <c r="D184" s="3" t="inlineStr">
        <is>
          <t>Status</t>
        </is>
      </c>
      <c r="E184" s="3" t="n">
        <v>0</v>
      </c>
      <c r="F184" s="3" t="n">
        <v>0</v>
      </c>
      <c r="G184" s="3" t="n">
        <v>40</v>
      </c>
    </row>
    <row r="185">
      <c r="A185" s="3" t="inlineStr">
        <is>
          <t>MOVE_FORESTS_CURSE</t>
        </is>
      </c>
      <c r="B185" s="3" t="inlineStr">
        <is>
          <t>Forest's Curse</t>
        </is>
      </c>
      <c r="C185" s="3" t="inlineStr">
        <is>
          <t>Grass</t>
        </is>
      </c>
      <c r="D185" s="3" t="inlineStr">
        <is>
          <t>Status</t>
        </is>
      </c>
      <c r="E185" s="3" t="n">
        <v>0</v>
      </c>
      <c r="F185" s="3" t="n">
        <v>100</v>
      </c>
      <c r="G185" s="3" t="n">
        <v>20</v>
      </c>
    </row>
    <row r="186">
      <c r="A186" s="3" t="inlineStr">
        <is>
          <t>MOVE_FOUL_PLAY</t>
        </is>
      </c>
      <c r="B186" s="3" t="inlineStr">
        <is>
          <t>Foul Play</t>
        </is>
      </c>
      <c r="C186" s="3" t="inlineStr">
        <is>
          <t>Dark</t>
        </is>
      </c>
      <c r="D186" s="3" t="inlineStr">
        <is>
          <t>Physical</t>
        </is>
      </c>
      <c r="E186" s="3" t="n">
        <v>95</v>
      </c>
      <c r="F186" s="3" t="n">
        <v>100</v>
      </c>
      <c r="G186" s="3" t="n">
        <v>15</v>
      </c>
    </row>
    <row r="187">
      <c r="A187" s="3" t="inlineStr">
        <is>
          <t>MOVE_FREEZE_DRY</t>
        </is>
      </c>
      <c r="B187" s="3" t="inlineStr">
        <is>
          <t>Freeze-Dry</t>
        </is>
      </c>
      <c r="C187" s="3" t="inlineStr">
        <is>
          <t>Ice</t>
        </is>
      </c>
      <c r="D187" s="3" t="inlineStr">
        <is>
          <t>Special</t>
        </is>
      </c>
      <c r="E187" s="3" t="n">
        <v>70</v>
      </c>
      <c r="F187" s="3" t="n">
        <v>100</v>
      </c>
      <c r="G187" s="3" t="n">
        <v>20</v>
      </c>
    </row>
    <row r="188">
      <c r="A188" s="3" t="inlineStr">
        <is>
          <t>MOVE_FROST_BREATH</t>
        </is>
      </c>
      <c r="B188" s="3" t="inlineStr">
        <is>
          <t>Frost Breath</t>
        </is>
      </c>
      <c r="C188" s="3" t="inlineStr">
        <is>
          <t>Ice</t>
        </is>
      </c>
      <c r="D188" s="3" t="inlineStr">
        <is>
          <t>Special</t>
        </is>
      </c>
      <c r="E188" s="3" t="n">
        <v>60</v>
      </c>
      <c r="F188" s="3" t="n">
        <v>90</v>
      </c>
      <c r="G188" s="3" t="n">
        <v>10</v>
      </c>
    </row>
    <row r="189">
      <c r="A189" s="3" t="inlineStr">
        <is>
          <t>MOVE_FRUSTRATION</t>
        </is>
      </c>
      <c r="B189" s="3" t="inlineStr">
        <is>
          <t>Frustration</t>
        </is>
      </c>
      <c r="C189" s="3" t="inlineStr">
        <is>
          <t>Normal</t>
        </is>
      </c>
      <c r="D189" s="3" t="inlineStr">
        <is>
          <t>Physical</t>
        </is>
      </c>
      <c r="E189" s="3" t="n">
        <v>1</v>
      </c>
      <c r="F189" s="3" t="n">
        <v>100</v>
      </c>
      <c r="G189" s="3" t="n">
        <v>20</v>
      </c>
    </row>
    <row r="190">
      <c r="A190" s="3" t="inlineStr">
        <is>
          <t>MOVE_FURY_ATTACK</t>
        </is>
      </c>
      <c r="B190" s="3" t="inlineStr">
        <is>
          <t>Fury Attack</t>
        </is>
      </c>
      <c r="C190" s="3" t="inlineStr">
        <is>
          <t>Flying</t>
        </is>
      </c>
      <c r="D190" s="3" t="inlineStr">
        <is>
          <t>Physical</t>
        </is>
      </c>
      <c r="E190" s="3" t="n">
        <v>25</v>
      </c>
      <c r="F190" s="3" t="n">
        <v>100</v>
      </c>
      <c r="G190" s="3" t="n">
        <v>10</v>
      </c>
    </row>
    <row r="191">
      <c r="A191" s="3" t="inlineStr">
        <is>
          <t>MOVE_FURY_CUTTER</t>
        </is>
      </c>
      <c r="B191" s="3" t="inlineStr">
        <is>
          <t>Fury Cutter</t>
        </is>
      </c>
      <c r="C191" s="3" t="inlineStr">
        <is>
          <t>Bug</t>
        </is>
      </c>
      <c r="D191" s="3" t="inlineStr">
        <is>
          <t>Physical</t>
        </is>
      </c>
      <c r="E191" s="3" t="n">
        <v>40</v>
      </c>
      <c r="F191" s="3" t="n">
        <v>95</v>
      </c>
      <c r="G191" s="3" t="n">
        <v>20</v>
      </c>
    </row>
    <row r="192">
      <c r="A192" s="3" t="inlineStr">
        <is>
          <t>MOVE_FURY_SWIPES</t>
        </is>
      </c>
      <c r="B192" s="3" t="inlineStr">
        <is>
          <t>Fury Swipes</t>
        </is>
      </c>
      <c r="C192" s="3" t="inlineStr">
        <is>
          <t>Dark</t>
        </is>
      </c>
      <c r="D192" s="3" t="inlineStr">
        <is>
          <t>Physical</t>
        </is>
      </c>
      <c r="E192" s="3" t="n">
        <v>25</v>
      </c>
      <c r="F192" s="3" t="n">
        <v>100</v>
      </c>
      <c r="G192" s="3" t="n">
        <v>10</v>
      </c>
    </row>
    <row r="193">
      <c r="A193" s="3" t="inlineStr">
        <is>
          <t>MOVE_FUTURE_SIGHT</t>
        </is>
      </c>
      <c r="B193" s="3" t="inlineStr">
        <is>
          <t>Future Sight</t>
        </is>
      </c>
      <c r="C193" s="3" t="inlineStr">
        <is>
          <t>Psychic</t>
        </is>
      </c>
      <c r="D193" s="3" t="inlineStr">
        <is>
          <t>Special</t>
        </is>
      </c>
      <c r="E193" s="3" t="n">
        <v>120</v>
      </c>
      <c r="F193" s="3" t="n">
        <v>100</v>
      </c>
      <c r="G193" s="3" t="n">
        <v>10</v>
      </c>
    </row>
    <row r="194">
      <c r="A194" s="3" t="inlineStr">
        <is>
          <t>MOVE_GASTRO_ACID</t>
        </is>
      </c>
      <c r="B194" s="3" t="inlineStr">
        <is>
          <t>Gastro Acid</t>
        </is>
      </c>
      <c r="C194" s="3" t="inlineStr">
        <is>
          <t>Poison</t>
        </is>
      </c>
      <c r="D194" s="3" t="inlineStr">
        <is>
          <t>Status</t>
        </is>
      </c>
      <c r="E194" s="3" t="n">
        <v>0</v>
      </c>
      <c r="F194" s="3" t="n">
        <v>100</v>
      </c>
      <c r="G194" s="3" t="n">
        <v>10</v>
      </c>
    </row>
    <row r="195">
      <c r="A195" s="3" t="inlineStr">
        <is>
          <t>MOVE_GIGA_DRAIN</t>
        </is>
      </c>
      <c r="B195" s="3" t="inlineStr">
        <is>
          <t>Giga Drain</t>
        </is>
      </c>
      <c r="C195" s="3" t="inlineStr">
        <is>
          <t>Grass</t>
        </is>
      </c>
      <c r="D195" s="3" t="inlineStr">
        <is>
          <t>Special</t>
        </is>
      </c>
      <c r="E195" s="3" t="n">
        <v>75</v>
      </c>
      <c r="F195" s="3" t="n">
        <v>100</v>
      </c>
      <c r="G195" s="3" t="n">
        <v>10</v>
      </c>
    </row>
    <row r="196">
      <c r="A196" s="3" t="inlineStr">
        <is>
          <t>MOVE_GIGA_IMPACT</t>
        </is>
      </c>
      <c r="B196" s="3" t="inlineStr">
        <is>
          <t>Giga Impact</t>
        </is>
      </c>
      <c r="C196" s="3" t="inlineStr">
        <is>
          <t>Normal</t>
        </is>
      </c>
      <c r="D196" s="3" t="inlineStr">
        <is>
          <t>Physical</t>
        </is>
      </c>
      <c r="E196" s="3" t="n">
        <v>150</v>
      </c>
      <c r="F196" s="3" t="n">
        <v>90</v>
      </c>
      <c r="G196" s="3" t="n">
        <v>5</v>
      </c>
    </row>
    <row r="197">
      <c r="A197" s="3" t="inlineStr">
        <is>
          <t>MOVE_GIGATON_HAMMER</t>
        </is>
      </c>
      <c r="B197" s="3" t="inlineStr">
        <is>
          <t>Gigaton Hammer</t>
        </is>
      </c>
      <c r="C197" s="3" t="inlineStr">
        <is>
          <t>Steel</t>
        </is>
      </c>
      <c r="D197" s="3" t="inlineStr">
        <is>
          <t>Physical</t>
        </is>
      </c>
      <c r="E197" s="3" t="n">
        <v>160</v>
      </c>
      <c r="F197" s="3" t="n">
        <v>100</v>
      </c>
      <c r="G197" s="3" t="n">
        <v>5</v>
      </c>
    </row>
    <row r="198">
      <c r="A198" s="3" t="inlineStr">
        <is>
          <t>MOVE_GLARE</t>
        </is>
      </c>
      <c r="B198" s="3" t="inlineStr">
        <is>
          <t>Glare</t>
        </is>
      </c>
      <c r="C198" s="3" t="inlineStr">
        <is>
          <t>Normal</t>
        </is>
      </c>
      <c r="D198" s="3" t="inlineStr">
        <is>
          <t>Status</t>
        </is>
      </c>
      <c r="E198" s="3" t="n">
        <v>0</v>
      </c>
      <c r="F198" s="3" t="n">
        <v>100</v>
      </c>
      <c r="G198" s="3" t="n">
        <v>30</v>
      </c>
    </row>
    <row r="199">
      <c r="A199" s="3" t="inlineStr">
        <is>
          <t>MOVE_GRASS_WHISTLE</t>
        </is>
      </c>
      <c r="B199" s="3" t="inlineStr">
        <is>
          <t>Grass Whistle</t>
        </is>
      </c>
      <c r="C199" s="3" t="inlineStr">
        <is>
          <t>Grass</t>
        </is>
      </c>
      <c r="D199" s="3" t="inlineStr">
        <is>
          <t>Status</t>
        </is>
      </c>
      <c r="E199" s="3" t="n">
        <v>0</v>
      </c>
      <c r="F199" s="3" t="n">
        <v>55</v>
      </c>
      <c r="G199" s="3" t="n">
        <v>15</v>
      </c>
    </row>
    <row r="200">
      <c r="A200" s="3" t="inlineStr">
        <is>
          <t>MOVE_GRASSY_TERRAIN</t>
        </is>
      </c>
      <c r="B200" s="3" t="inlineStr">
        <is>
          <t>Grassy Terrain</t>
        </is>
      </c>
      <c r="C200" s="3" t="inlineStr">
        <is>
          <t>Grass</t>
        </is>
      </c>
      <c r="D200" s="3" t="inlineStr">
        <is>
          <t>Status</t>
        </is>
      </c>
      <c r="E200" s="3" t="n">
        <v>0</v>
      </c>
      <c r="F200" s="3" t="n">
        <v>0</v>
      </c>
      <c r="G200" s="3" t="n">
        <v>10</v>
      </c>
    </row>
    <row r="201">
      <c r="A201" s="3" t="inlineStr">
        <is>
          <t>MOVE_GRAVITY</t>
        </is>
      </c>
      <c r="B201" s="3" t="inlineStr">
        <is>
          <t>Gravity</t>
        </is>
      </c>
      <c r="C201" s="3" t="inlineStr">
        <is>
          <t>Psychic</t>
        </is>
      </c>
      <c r="D201" s="3" t="inlineStr">
        <is>
          <t>Status</t>
        </is>
      </c>
      <c r="E201" s="3" t="n">
        <v>0</v>
      </c>
      <c r="F201" s="3" t="n">
        <v>0</v>
      </c>
      <c r="G201" s="3" t="n">
        <v>5</v>
      </c>
    </row>
    <row r="202">
      <c r="A202" s="3" t="inlineStr">
        <is>
          <t>MOVE_GROWL</t>
        </is>
      </c>
      <c r="B202" s="3" t="inlineStr">
        <is>
          <t>Growl</t>
        </is>
      </c>
      <c r="C202" s="3" t="inlineStr">
        <is>
          <t>Normal</t>
        </is>
      </c>
      <c r="D202" s="3" t="inlineStr">
        <is>
          <t>Status</t>
        </is>
      </c>
      <c r="E202" s="3" t="n">
        <v>0</v>
      </c>
      <c r="F202" s="3" t="n">
        <v>100</v>
      </c>
      <c r="G202" s="3" t="n">
        <v>40</v>
      </c>
    </row>
    <row r="203">
      <c r="A203" s="3" t="inlineStr">
        <is>
          <t>MOVE_GROWTH</t>
        </is>
      </c>
      <c r="B203" s="3" t="inlineStr">
        <is>
          <t>Growth</t>
        </is>
      </c>
      <c r="C203" s="3" t="inlineStr">
        <is>
          <t>Normal</t>
        </is>
      </c>
      <c r="D203" s="3" t="inlineStr">
        <is>
          <t>Status</t>
        </is>
      </c>
      <c r="E203" s="3" t="n">
        <v>0</v>
      </c>
      <c r="F203" s="3" t="n">
        <v>0</v>
      </c>
      <c r="G203" s="3" t="n">
        <v>20</v>
      </c>
    </row>
    <row r="204">
      <c r="A204" s="3" t="inlineStr">
        <is>
          <t>MOVE_GRUDGE</t>
        </is>
      </c>
      <c r="B204" s="3" t="inlineStr">
        <is>
          <t>Grudge</t>
        </is>
      </c>
      <c r="C204" s="3" t="inlineStr">
        <is>
          <t>Ghost</t>
        </is>
      </c>
      <c r="D204" s="3" t="inlineStr">
        <is>
          <t>Status</t>
        </is>
      </c>
      <c r="E204" s="3" t="n">
        <v>0</v>
      </c>
      <c r="F204" s="3" t="n">
        <v>0</v>
      </c>
      <c r="G204" s="3" t="n">
        <v>5</v>
      </c>
    </row>
    <row r="205">
      <c r="A205" s="3" t="inlineStr">
        <is>
          <t>MOVE_GUARD_SPLIT</t>
        </is>
      </c>
      <c r="B205" s="3" t="inlineStr">
        <is>
          <t>Guard Split</t>
        </is>
      </c>
      <c r="C205" s="3" t="inlineStr">
        <is>
          <t>Psychic</t>
        </is>
      </c>
      <c r="D205" s="3" t="inlineStr">
        <is>
          <t>Status</t>
        </is>
      </c>
      <c r="E205" s="3" t="n">
        <v>0</v>
      </c>
      <c r="F205" s="3" t="n">
        <v>0</v>
      </c>
      <c r="G205" s="3" t="n">
        <v>10</v>
      </c>
    </row>
    <row r="206">
      <c r="A206" s="3" t="inlineStr">
        <is>
          <t>MOVE_GUARD_SWAP</t>
        </is>
      </c>
      <c r="B206" s="3" t="inlineStr">
        <is>
          <t>Guard Swap</t>
        </is>
      </c>
      <c r="C206" s="3" t="inlineStr">
        <is>
          <t>Psychic</t>
        </is>
      </c>
      <c r="D206" s="3" t="inlineStr">
        <is>
          <t>Status</t>
        </is>
      </c>
      <c r="E206" s="3" t="n">
        <v>0</v>
      </c>
      <c r="F206" s="3" t="n">
        <v>0</v>
      </c>
      <c r="G206" s="3" t="n">
        <v>10</v>
      </c>
    </row>
    <row r="207">
      <c r="A207" s="3" t="inlineStr">
        <is>
          <t>MOVE_GUILLOTINE</t>
        </is>
      </c>
      <c r="B207" s="3" t="inlineStr">
        <is>
          <t>Guillotine</t>
        </is>
      </c>
      <c r="C207" s="3" t="inlineStr">
        <is>
          <t>Normal</t>
        </is>
      </c>
      <c r="D207" s="3" t="inlineStr">
        <is>
          <t>Physical</t>
        </is>
      </c>
      <c r="E207" s="3" t="n">
        <v>1</v>
      </c>
      <c r="F207" s="3" t="n">
        <v>30</v>
      </c>
      <c r="G207" s="3" t="n">
        <v>5</v>
      </c>
    </row>
    <row r="208">
      <c r="A208" s="3" t="inlineStr">
        <is>
          <t>MOVE_GUNK_SHOT</t>
        </is>
      </c>
      <c r="B208" s="3" t="inlineStr">
        <is>
          <t>Gunk Shot</t>
        </is>
      </c>
      <c r="C208" s="3" t="inlineStr">
        <is>
          <t>Poison</t>
        </is>
      </c>
      <c r="D208" s="3" t="inlineStr">
        <is>
          <t>Physical</t>
        </is>
      </c>
      <c r="E208" s="3" t="n">
        <v>120</v>
      </c>
      <c r="F208" s="3" t="n">
        <v>80</v>
      </c>
      <c r="G208" s="3" t="n">
        <v>5</v>
      </c>
    </row>
    <row r="209">
      <c r="A209" s="3" t="inlineStr">
        <is>
          <t>MOVE_GUST</t>
        </is>
      </c>
      <c r="B209" s="3" t="inlineStr">
        <is>
          <t>Gust</t>
        </is>
      </c>
      <c r="C209" s="3" t="inlineStr">
        <is>
          <t>Flying</t>
        </is>
      </c>
      <c r="D209" s="3" t="inlineStr">
        <is>
          <t>Special</t>
        </is>
      </c>
      <c r="E209" s="3" t="n">
        <v>40</v>
      </c>
      <c r="F209" s="3" t="n">
        <v>100</v>
      </c>
      <c r="G209" s="3" t="n">
        <v>35</v>
      </c>
    </row>
    <row r="210">
      <c r="A210" s="3" t="inlineStr">
        <is>
          <t>MOVE_GYRO_BALL</t>
        </is>
      </c>
      <c r="B210" s="3" t="inlineStr">
        <is>
          <t>Gyro Ball</t>
        </is>
      </c>
      <c r="C210" s="3" t="inlineStr">
        <is>
          <t>Steel</t>
        </is>
      </c>
      <c r="D210" s="3" t="inlineStr">
        <is>
          <t>Physical</t>
        </is>
      </c>
      <c r="E210" s="3" t="n">
        <v>1</v>
      </c>
      <c r="F210" s="3" t="n">
        <v>100</v>
      </c>
      <c r="G210" s="3" t="n">
        <v>5</v>
      </c>
    </row>
    <row r="211">
      <c r="A211" s="3" t="inlineStr">
        <is>
          <t>MOVE_HAIL</t>
        </is>
      </c>
      <c r="B211" s="3" t="inlineStr">
        <is>
          <t>Hail</t>
        </is>
      </c>
      <c r="C211" s="3" t="inlineStr">
        <is>
          <t>Ice</t>
        </is>
      </c>
      <c r="D211" s="3" t="inlineStr">
        <is>
          <t>Status</t>
        </is>
      </c>
      <c r="E211" s="3" t="n">
        <v>0</v>
      </c>
      <c r="F211" s="3" t="n">
        <v>0</v>
      </c>
      <c r="G211" s="3" t="n">
        <v>10</v>
      </c>
    </row>
    <row r="212">
      <c r="A212" s="3" t="inlineStr">
        <is>
          <t>MOVE_HAMMER_ARM</t>
        </is>
      </c>
      <c r="B212" s="3" t="inlineStr">
        <is>
          <t>Hammer Arm</t>
        </is>
      </c>
      <c r="C212" s="3" t="inlineStr">
        <is>
          <t>Fighting</t>
        </is>
      </c>
      <c r="D212" s="3" t="inlineStr">
        <is>
          <t>Physical</t>
        </is>
      </c>
      <c r="E212" s="3" t="n">
        <v>100</v>
      </c>
      <c r="F212" s="3" t="n">
        <v>90</v>
      </c>
      <c r="G212" s="3" t="n">
        <v>10</v>
      </c>
    </row>
    <row r="213">
      <c r="A213" s="3" t="inlineStr">
        <is>
          <t>MOVE_HARDEN</t>
        </is>
      </c>
      <c r="B213" s="3" t="inlineStr">
        <is>
          <t>Harden</t>
        </is>
      </c>
      <c r="C213" s="3" t="inlineStr">
        <is>
          <t>Normal</t>
        </is>
      </c>
      <c r="D213" s="3" t="inlineStr">
        <is>
          <t>Status</t>
        </is>
      </c>
      <c r="E213" s="3" t="n">
        <v>0</v>
      </c>
      <c r="F213" s="3" t="n">
        <v>0</v>
      </c>
      <c r="G213" s="3" t="n">
        <v>30</v>
      </c>
    </row>
    <row r="214">
      <c r="A214" s="3" t="inlineStr">
        <is>
          <t>MOVE_HAZE</t>
        </is>
      </c>
      <c r="B214" s="3" t="inlineStr">
        <is>
          <t>Haze</t>
        </is>
      </c>
      <c r="C214" s="3" t="inlineStr">
        <is>
          <t>Ice</t>
        </is>
      </c>
      <c r="D214" s="3" t="inlineStr">
        <is>
          <t>Status</t>
        </is>
      </c>
      <c r="E214" s="3" t="n">
        <v>0</v>
      </c>
      <c r="F214" s="3" t="n">
        <v>0</v>
      </c>
      <c r="G214" s="3" t="n">
        <v>30</v>
      </c>
    </row>
    <row r="215">
      <c r="A215" s="3" t="inlineStr">
        <is>
          <t>MOVE_HEAD_SMASH</t>
        </is>
      </c>
      <c r="B215" s="3" t="inlineStr">
        <is>
          <t>Head Smash</t>
        </is>
      </c>
      <c r="C215" s="3" t="inlineStr">
        <is>
          <t>Rock</t>
        </is>
      </c>
      <c r="D215" s="3" t="inlineStr">
        <is>
          <t>Physical</t>
        </is>
      </c>
      <c r="E215" s="3" t="n">
        <v>150</v>
      </c>
      <c r="F215" s="3" t="n">
        <v>80</v>
      </c>
      <c r="G215" s="3" t="n">
        <v>5</v>
      </c>
    </row>
    <row r="216">
      <c r="A216" s="3" t="inlineStr">
        <is>
          <t>MOVE_HEADBUTT</t>
        </is>
      </c>
      <c r="B216" s="3" t="inlineStr">
        <is>
          <t>Headbutt</t>
        </is>
      </c>
      <c r="C216" s="3" t="inlineStr">
        <is>
          <t>Normal</t>
        </is>
      </c>
      <c r="D216" s="3" t="inlineStr">
        <is>
          <t>Physical</t>
        </is>
      </c>
      <c r="E216" s="3" t="n">
        <v>70</v>
      </c>
      <c r="F216" s="3" t="n">
        <v>100</v>
      </c>
      <c r="G216" s="3" t="n">
        <v>15</v>
      </c>
    </row>
    <row r="217">
      <c r="A217" s="3" t="inlineStr">
        <is>
          <t>MOVE_HEADLONG_RUSH</t>
        </is>
      </c>
      <c r="B217" s="3" t="inlineStr">
        <is>
          <t>Headlong Rush</t>
        </is>
      </c>
      <c r="C217" s="3" t="inlineStr">
        <is>
          <t>Ground</t>
        </is>
      </c>
      <c r="D217" s="3" t="inlineStr">
        <is>
          <t>Physical</t>
        </is>
      </c>
      <c r="E217" s="3" t="n">
        <v>120</v>
      </c>
      <c r="F217" s="3" t="n">
        <v>100</v>
      </c>
      <c r="G217" s="3" t="n">
        <v>5</v>
      </c>
    </row>
    <row r="218">
      <c r="A218" s="3" t="inlineStr">
        <is>
          <t>MOVE_HEAL_BLOCK</t>
        </is>
      </c>
      <c r="B218" s="3" t="inlineStr">
        <is>
          <t>Heal Block</t>
        </is>
      </c>
      <c r="C218" s="3" t="inlineStr">
        <is>
          <t>Psychic</t>
        </is>
      </c>
      <c r="D218" s="3" t="inlineStr">
        <is>
          <t>Status</t>
        </is>
      </c>
      <c r="E218" s="3" t="n">
        <v>0</v>
      </c>
      <c r="F218" s="3" t="n">
        <v>100</v>
      </c>
      <c r="G218" s="3" t="n">
        <v>15</v>
      </c>
    </row>
    <row r="219">
      <c r="A219" s="3" t="inlineStr">
        <is>
          <t>MOVE_HEAL_PULSE</t>
        </is>
      </c>
      <c r="B219" s="3" t="inlineStr">
        <is>
          <t>Heal Pulse</t>
        </is>
      </c>
      <c r="C219" s="3" t="inlineStr">
        <is>
          <t>Psychic</t>
        </is>
      </c>
      <c r="D219" s="3" t="inlineStr">
        <is>
          <t>Status</t>
        </is>
      </c>
      <c r="E219" s="3" t="n">
        <v>0</v>
      </c>
      <c r="F219" s="3" t="n">
        <v>0</v>
      </c>
      <c r="G219" s="3" t="n">
        <v>10</v>
      </c>
    </row>
    <row r="220">
      <c r="A220" s="3" t="inlineStr">
        <is>
          <t>MOVE_HEALING_WISH</t>
        </is>
      </c>
      <c r="B220" s="3" t="inlineStr">
        <is>
          <t>Healing Wish</t>
        </is>
      </c>
      <c r="C220" s="3" t="inlineStr">
        <is>
          <t>Psychic</t>
        </is>
      </c>
      <c r="D220" s="3" t="inlineStr">
        <is>
          <t>Status</t>
        </is>
      </c>
      <c r="E220" s="3" t="n">
        <v>0</v>
      </c>
      <c r="F220" s="3" t="n">
        <v>0</v>
      </c>
      <c r="G220" s="3" t="n">
        <v>10</v>
      </c>
    </row>
    <row r="221">
      <c r="A221" s="3" t="inlineStr">
        <is>
          <t>MOVE_HEAT_WAVE</t>
        </is>
      </c>
      <c r="B221" s="3" t="inlineStr">
        <is>
          <t>Heat Wave</t>
        </is>
      </c>
      <c r="C221" s="3" t="inlineStr">
        <is>
          <t>Fire</t>
        </is>
      </c>
      <c r="D221" s="3" t="inlineStr">
        <is>
          <t>Special</t>
        </is>
      </c>
      <c r="E221" s="3" t="n">
        <v>95</v>
      </c>
      <c r="F221" s="3" t="n">
        <v>90</v>
      </c>
      <c r="G221" s="3" t="n">
        <v>10</v>
      </c>
    </row>
    <row r="222">
      <c r="A222" s="3" t="inlineStr">
        <is>
          <t>MOVE_HEAVY_SLAM</t>
        </is>
      </c>
      <c r="B222" s="3" t="inlineStr">
        <is>
          <t>Heavy Slam</t>
        </is>
      </c>
      <c r="C222" s="3" t="inlineStr">
        <is>
          <t>Steel</t>
        </is>
      </c>
      <c r="D222" s="3" t="inlineStr">
        <is>
          <t>Physical</t>
        </is>
      </c>
      <c r="E222" s="3" t="n">
        <v>1</v>
      </c>
      <c r="F222" s="3" t="n">
        <v>100</v>
      </c>
      <c r="G222" s="3" t="n">
        <v>10</v>
      </c>
    </row>
    <row r="223">
      <c r="A223" s="3" t="inlineStr">
        <is>
          <t>MOVE_HELPING_HAND</t>
        </is>
      </c>
      <c r="B223" s="3" t="inlineStr">
        <is>
          <t>Helping Hand</t>
        </is>
      </c>
      <c r="C223" s="3" t="inlineStr">
        <is>
          <t>Normal</t>
        </is>
      </c>
      <c r="D223" s="3" t="inlineStr">
        <is>
          <t>Status</t>
        </is>
      </c>
      <c r="E223" s="3" t="n">
        <v>0</v>
      </c>
      <c r="F223" s="3" t="n">
        <v>0</v>
      </c>
      <c r="G223" s="3" t="n">
        <v>20</v>
      </c>
    </row>
    <row r="224">
      <c r="A224" s="3" t="inlineStr">
        <is>
          <t>MOVE_HEX</t>
        </is>
      </c>
      <c r="B224" s="3" t="inlineStr">
        <is>
          <t>Hex</t>
        </is>
      </c>
      <c r="C224" s="3" t="inlineStr">
        <is>
          <t>Ghost</t>
        </is>
      </c>
      <c r="D224" s="3" t="inlineStr">
        <is>
          <t>Special</t>
        </is>
      </c>
      <c r="E224" s="3" t="n">
        <v>65</v>
      </c>
      <c r="F224" s="3" t="n">
        <v>100</v>
      </c>
      <c r="G224" s="3" t="n">
        <v>10</v>
      </c>
    </row>
    <row r="225">
      <c r="A225" s="3" t="inlineStr">
        <is>
          <t>MOVE_HIDDEN_POWER</t>
        </is>
      </c>
      <c r="B225" s="3" t="inlineStr">
        <is>
          <t>Hidden Power</t>
        </is>
      </c>
      <c r="C225" s="3" t="inlineStr">
        <is>
          <t>Normal</t>
        </is>
      </c>
      <c r="D225" s="3" t="inlineStr">
        <is>
          <t>Special</t>
        </is>
      </c>
      <c r="E225" s="3" t="n">
        <v>5</v>
      </c>
      <c r="F225" s="3" t="n">
        <v>100</v>
      </c>
      <c r="G225" s="3" t="n">
        <v>15</v>
      </c>
    </row>
    <row r="226">
      <c r="A226" s="3" t="inlineStr">
        <is>
          <t>MOVE_HIGH_HORSEPOWER</t>
        </is>
      </c>
      <c r="B226" s="3" t="inlineStr">
        <is>
          <t>High Horsepower</t>
        </is>
      </c>
      <c r="C226" s="3" t="inlineStr">
        <is>
          <t>Ground</t>
        </is>
      </c>
      <c r="D226" s="3" t="inlineStr">
        <is>
          <t>Physical</t>
        </is>
      </c>
      <c r="E226" s="3" t="n">
        <v>95</v>
      </c>
      <c r="F226" s="3" t="n">
        <v>95</v>
      </c>
      <c r="G226" s="3" t="n">
        <v>10</v>
      </c>
    </row>
    <row r="227">
      <c r="A227" s="3" t="inlineStr">
        <is>
          <t>MOVE_HIGH_JUMP_KICK</t>
        </is>
      </c>
      <c r="B227" s="3" t="inlineStr">
        <is>
          <t>High Jump Kick</t>
        </is>
      </c>
      <c r="C227" s="3" t="inlineStr">
        <is>
          <t>Fighting</t>
        </is>
      </c>
      <c r="D227" s="3" t="inlineStr">
        <is>
          <t>Physical</t>
        </is>
      </c>
      <c r="E227" s="3" t="n">
        <v>130</v>
      </c>
      <c r="F227" s="3" t="n">
        <v>90</v>
      </c>
      <c r="G227" s="3" t="n">
        <v>10</v>
      </c>
    </row>
    <row r="228">
      <c r="A228" s="3" t="inlineStr">
        <is>
          <t>MOVE_HONE_CLAWS</t>
        </is>
      </c>
      <c r="B228" s="3" t="inlineStr">
        <is>
          <t>Hone Claws</t>
        </is>
      </c>
      <c r="C228" s="3" t="inlineStr">
        <is>
          <t>Dark</t>
        </is>
      </c>
      <c r="D228" s="3" t="inlineStr">
        <is>
          <t>Status</t>
        </is>
      </c>
      <c r="E228" s="3" t="n">
        <v>0</v>
      </c>
      <c r="F228" s="3" t="n">
        <v>0</v>
      </c>
      <c r="G228" s="3" t="n">
        <v>15</v>
      </c>
    </row>
    <row r="229">
      <c r="A229" s="3" t="inlineStr">
        <is>
          <t>MOVE_HORN_ATTACK</t>
        </is>
      </c>
      <c r="B229" s="3" t="inlineStr">
        <is>
          <t>Horn Attack</t>
        </is>
      </c>
      <c r="C229" s="3" t="inlineStr">
        <is>
          <t>Normal</t>
        </is>
      </c>
      <c r="D229" s="3" t="inlineStr">
        <is>
          <t>Physical</t>
        </is>
      </c>
      <c r="E229" s="3" t="n">
        <v>65</v>
      </c>
      <c r="F229" s="3" t="n">
        <v>100</v>
      </c>
      <c r="G229" s="3" t="n">
        <v>25</v>
      </c>
    </row>
    <row r="230">
      <c r="A230" s="3" t="inlineStr">
        <is>
          <t>MOVE_HORN_DRILL</t>
        </is>
      </c>
      <c r="B230" s="3" t="inlineStr">
        <is>
          <t>Horn Drill</t>
        </is>
      </c>
      <c r="C230" s="3" t="inlineStr">
        <is>
          <t>Normal</t>
        </is>
      </c>
      <c r="D230" s="3" t="inlineStr">
        <is>
          <t>Physical</t>
        </is>
      </c>
      <c r="E230" s="3" t="n">
        <v>1</v>
      </c>
      <c r="F230" s="3" t="n">
        <v>30</v>
      </c>
      <c r="G230" s="3" t="n">
        <v>5</v>
      </c>
    </row>
    <row r="231">
      <c r="A231" s="3" t="inlineStr">
        <is>
          <t>MOVE_HORN_LEECH</t>
        </is>
      </c>
      <c r="B231" s="3" t="inlineStr">
        <is>
          <t>Horn Leech</t>
        </is>
      </c>
      <c r="C231" s="3" t="inlineStr">
        <is>
          <t>Grass</t>
        </is>
      </c>
      <c r="D231" s="3" t="inlineStr">
        <is>
          <t>Physical</t>
        </is>
      </c>
      <c r="E231" s="3" t="n">
        <v>75</v>
      </c>
      <c r="F231" s="3" t="n">
        <v>100</v>
      </c>
      <c r="G231" s="3" t="n">
        <v>10</v>
      </c>
    </row>
    <row r="232">
      <c r="A232" s="3" t="inlineStr">
        <is>
          <t>MOVE_HOWL</t>
        </is>
      </c>
      <c r="B232" s="3" t="inlineStr">
        <is>
          <t>Howl</t>
        </is>
      </c>
      <c r="C232" s="3" t="inlineStr">
        <is>
          <t>Normal</t>
        </is>
      </c>
      <c r="D232" s="3" t="inlineStr">
        <is>
          <t>Status</t>
        </is>
      </c>
      <c r="E232" s="3" t="n">
        <v>0</v>
      </c>
      <c r="F232" s="3" t="n">
        <v>0</v>
      </c>
      <c r="G232" s="3" t="n">
        <v>40</v>
      </c>
    </row>
    <row r="233">
      <c r="A233" s="3" t="inlineStr">
        <is>
          <t>MOVE_HURRICANE</t>
        </is>
      </c>
      <c r="B233" s="3" t="inlineStr">
        <is>
          <t>Hurricane</t>
        </is>
      </c>
      <c r="C233" s="3" t="inlineStr">
        <is>
          <t>Flying</t>
        </is>
      </c>
      <c r="D233" s="3" t="inlineStr">
        <is>
          <t>Special</t>
        </is>
      </c>
      <c r="E233" s="3" t="n">
        <v>110</v>
      </c>
      <c r="F233" s="3" t="n">
        <v>70</v>
      </c>
      <c r="G233" s="3" t="n">
        <v>10</v>
      </c>
    </row>
    <row r="234">
      <c r="A234" s="3" t="inlineStr">
        <is>
          <t>MOVE_HYDRO_PUMP</t>
        </is>
      </c>
      <c r="B234" s="3" t="inlineStr">
        <is>
          <t>Hydro Pump</t>
        </is>
      </c>
      <c r="C234" s="3" t="inlineStr">
        <is>
          <t>Water</t>
        </is>
      </c>
      <c r="D234" s="3" t="inlineStr">
        <is>
          <t>Special</t>
        </is>
      </c>
      <c r="E234" s="3" t="n">
        <v>110</v>
      </c>
      <c r="F234" s="3" t="n">
        <v>80</v>
      </c>
      <c r="G234" s="3" t="n">
        <v>5</v>
      </c>
    </row>
    <row r="235">
      <c r="A235" s="3" t="inlineStr">
        <is>
          <t>MOVE_HYPER_BEAM</t>
        </is>
      </c>
      <c r="B235" s="3" t="inlineStr">
        <is>
          <t>Hyper Beam</t>
        </is>
      </c>
      <c r="C235" s="3" t="inlineStr">
        <is>
          <t>Normal</t>
        </is>
      </c>
      <c r="D235" s="3" t="inlineStr">
        <is>
          <t>Special</t>
        </is>
      </c>
      <c r="E235" s="3" t="n">
        <v>150</v>
      </c>
      <c r="F235" s="3" t="n">
        <v>90</v>
      </c>
      <c r="G235" s="3" t="n">
        <v>5</v>
      </c>
    </row>
    <row r="236">
      <c r="A236" s="3" t="inlineStr">
        <is>
          <t>MOVE_HYPER_VOICE</t>
        </is>
      </c>
      <c r="B236" s="3" t="inlineStr">
        <is>
          <t>Hyper Voice</t>
        </is>
      </c>
      <c r="C236" s="3" t="inlineStr">
        <is>
          <t>Normal</t>
        </is>
      </c>
      <c r="D236" s="3" t="inlineStr">
        <is>
          <t>Special</t>
        </is>
      </c>
      <c r="E236" s="3" t="n">
        <v>90</v>
      </c>
      <c r="F236" s="3" t="n">
        <v>100</v>
      </c>
      <c r="G236" s="3" t="n">
        <v>10</v>
      </c>
    </row>
    <row r="237">
      <c r="A237" s="3" t="inlineStr">
        <is>
          <t>MOVE_HYPNOSIS</t>
        </is>
      </c>
      <c r="B237" s="3" t="inlineStr">
        <is>
          <t>Hypnosis</t>
        </is>
      </c>
      <c r="C237" s="3" t="inlineStr">
        <is>
          <t>Psychic</t>
        </is>
      </c>
      <c r="D237" s="3" t="inlineStr">
        <is>
          <t>Status</t>
        </is>
      </c>
      <c r="E237" s="3" t="n">
        <v>0</v>
      </c>
      <c r="F237" s="3" t="n">
        <v>60</v>
      </c>
      <c r="G237" s="3" t="n">
        <v>20</v>
      </c>
    </row>
    <row r="238">
      <c r="A238" s="3" t="inlineStr">
        <is>
          <t>MOVE_ICE_BALL</t>
        </is>
      </c>
      <c r="B238" s="3" t="inlineStr">
        <is>
          <t>Ice Ball</t>
        </is>
      </c>
      <c r="C238" s="3" t="inlineStr">
        <is>
          <t>Ice</t>
        </is>
      </c>
      <c r="D238" s="3" t="inlineStr">
        <is>
          <t>Physical</t>
        </is>
      </c>
      <c r="E238" s="3" t="n">
        <v>30</v>
      </c>
      <c r="F238" s="3" t="n">
        <v>90</v>
      </c>
      <c r="G238" s="3" t="n">
        <v>20</v>
      </c>
    </row>
    <row r="239">
      <c r="A239" s="3" t="inlineStr">
        <is>
          <t>MOVE_ICE_BEAM</t>
        </is>
      </c>
      <c r="B239" s="3" t="inlineStr">
        <is>
          <t>Ice Beam</t>
        </is>
      </c>
      <c r="C239" s="3" t="inlineStr">
        <is>
          <t>Ice</t>
        </is>
      </c>
      <c r="D239" s="3" t="inlineStr">
        <is>
          <t>Special</t>
        </is>
      </c>
      <c r="E239" s="3" t="n">
        <v>90</v>
      </c>
      <c r="F239" s="3" t="n">
        <v>100</v>
      </c>
      <c r="G239" s="3" t="n">
        <v>10</v>
      </c>
    </row>
    <row r="240">
      <c r="A240" s="3" t="inlineStr">
        <is>
          <t>MOVE_ICE_FANG</t>
        </is>
      </c>
      <c r="B240" s="3" t="inlineStr">
        <is>
          <t>Ice Fang</t>
        </is>
      </c>
      <c r="C240" s="3" t="inlineStr">
        <is>
          <t>Ice</t>
        </is>
      </c>
      <c r="D240" s="3" t="inlineStr">
        <is>
          <t>Physical</t>
        </is>
      </c>
      <c r="E240" s="3" t="n">
        <v>65</v>
      </c>
      <c r="F240" s="3" t="n">
        <v>95</v>
      </c>
      <c r="G240" s="3" t="n">
        <v>15</v>
      </c>
    </row>
    <row r="241">
      <c r="A241" s="3" t="inlineStr">
        <is>
          <t>MOVE_ICE_HAMMER</t>
        </is>
      </c>
      <c r="B241" s="3" t="inlineStr">
        <is>
          <t>Ice Hammer</t>
        </is>
      </c>
      <c r="C241" s="3" t="inlineStr">
        <is>
          <t>Ice</t>
        </is>
      </c>
      <c r="D241" s="3" t="inlineStr">
        <is>
          <t>Physical</t>
        </is>
      </c>
      <c r="E241" s="3" t="n">
        <v>100</v>
      </c>
      <c r="F241" s="3" t="n">
        <v>90</v>
      </c>
      <c r="G241" s="3" t="n">
        <v>10</v>
      </c>
    </row>
    <row r="242">
      <c r="A242" s="3" t="inlineStr">
        <is>
          <t>MOVE_ICE_PUNCH</t>
        </is>
      </c>
      <c r="B242" s="3" t="inlineStr">
        <is>
          <t>Ice Punch</t>
        </is>
      </c>
      <c r="C242" s="3" t="inlineStr">
        <is>
          <t>Ice</t>
        </is>
      </c>
      <c r="D242" s="3" t="inlineStr">
        <is>
          <t>Physical</t>
        </is>
      </c>
      <c r="E242" s="3" t="n">
        <v>75</v>
      </c>
      <c r="F242" s="3" t="n">
        <v>100</v>
      </c>
      <c r="G242" s="3" t="n">
        <v>15</v>
      </c>
    </row>
    <row r="243">
      <c r="A243" s="3" t="inlineStr">
        <is>
          <t>MOVE_ICE_SHARD</t>
        </is>
      </c>
      <c r="B243" s="3" t="inlineStr">
        <is>
          <t>Ice Shard</t>
        </is>
      </c>
      <c r="C243" s="3" t="inlineStr">
        <is>
          <t>Ice</t>
        </is>
      </c>
      <c r="D243" s="3" t="inlineStr">
        <is>
          <t>Physical</t>
        </is>
      </c>
      <c r="E243" s="3" t="n">
        <v>40</v>
      </c>
      <c r="F243" s="3" t="n">
        <v>100</v>
      </c>
      <c r="G243" s="3" t="n">
        <v>30</v>
      </c>
    </row>
    <row r="244">
      <c r="A244" s="3" t="inlineStr">
        <is>
          <t>MOVE_ICE_SPINNER</t>
        </is>
      </c>
      <c r="B244" s="3" t="inlineStr">
        <is>
          <t>Ice Spinner</t>
        </is>
      </c>
      <c r="C244" s="3" t="inlineStr">
        <is>
          <t>Ice</t>
        </is>
      </c>
      <c r="D244" s="3" t="inlineStr">
        <is>
          <t>Physical</t>
        </is>
      </c>
      <c r="E244" s="3" t="n">
        <v>80</v>
      </c>
      <c r="F244" s="3" t="n">
        <v>100</v>
      </c>
      <c r="G244" s="3" t="n">
        <v>15</v>
      </c>
    </row>
    <row r="245">
      <c r="A245" s="3" t="inlineStr">
        <is>
          <t>MOVE_ICICLE_CRASH</t>
        </is>
      </c>
      <c r="B245" s="3" t="inlineStr">
        <is>
          <t>Icicle Crash</t>
        </is>
      </c>
      <c r="C245" s="3" t="inlineStr">
        <is>
          <t>Ice</t>
        </is>
      </c>
      <c r="D245" s="3" t="inlineStr">
        <is>
          <t>Physical</t>
        </is>
      </c>
      <c r="E245" s="3" t="n">
        <v>85</v>
      </c>
      <c r="F245" s="3" t="n">
        <v>90</v>
      </c>
      <c r="G245" s="3" t="n">
        <v>10</v>
      </c>
    </row>
    <row r="246">
      <c r="A246" s="3" t="inlineStr">
        <is>
          <t>MOVE_ICICLE_SPEAR</t>
        </is>
      </c>
      <c r="B246" s="3" t="inlineStr">
        <is>
          <t>Icicle Spear</t>
        </is>
      </c>
      <c r="C246" s="3" t="inlineStr">
        <is>
          <t>Ice</t>
        </is>
      </c>
      <c r="D246" s="3" t="inlineStr">
        <is>
          <t>Physical</t>
        </is>
      </c>
      <c r="E246" s="3" t="n">
        <v>25</v>
      </c>
      <c r="F246" s="3" t="n">
        <v>100</v>
      </c>
      <c r="G246" s="3" t="n">
        <v>10</v>
      </c>
    </row>
    <row r="247">
      <c r="A247" s="3" t="inlineStr">
        <is>
          <t>MOVE_ICY_WIND</t>
        </is>
      </c>
      <c r="B247" s="3" t="inlineStr">
        <is>
          <t>Icy Wind</t>
        </is>
      </c>
      <c r="C247" s="3" t="inlineStr">
        <is>
          <t>Ice</t>
        </is>
      </c>
      <c r="D247" s="3" t="inlineStr">
        <is>
          <t>Special</t>
        </is>
      </c>
      <c r="E247" s="3" t="n">
        <v>55</v>
      </c>
      <c r="F247" s="3" t="n">
        <v>95</v>
      </c>
      <c r="G247" s="3" t="n">
        <v>15</v>
      </c>
    </row>
    <row r="248">
      <c r="A248" s="3" t="inlineStr">
        <is>
          <t>MOVE_IMPRISON</t>
        </is>
      </c>
      <c r="B248" s="3" t="inlineStr">
        <is>
          <t>Imprison</t>
        </is>
      </c>
      <c r="C248" s="3" t="inlineStr">
        <is>
          <t>Psychic</t>
        </is>
      </c>
      <c r="D248" s="3" t="inlineStr">
        <is>
          <t>Status</t>
        </is>
      </c>
      <c r="E248" s="3" t="n">
        <v>0</v>
      </c>
      <c r="F248" s="3" t="n">
        <v>0</v>
      </c>
      <c r="G248" s="3" t="n">
        <v>10</v>
      </c>
    </row>
    <row r="249">
      <c r="A249" s="3" t="inlineStr">
        <is>
          <t>MOVE_INCINERATE</t>
        </is>
      </c>
      <c r="B249" s="3" t="inlineStr">
        <is>
          <t>Incinerate</t>
        </is>
      </c>
      <c r="C249" s="3" t="inlineStr">
        <is>
          <t>Fire</t>
        </is>
      </c>
      <c r="D249" s="3" t="inlineStr">
        <is>
          <t>Special</t>
        </is>
      </c>
      <c r="E249" s="3" t="n">
        <v>60</v>
      </c>
      <c r="F249" s="3" t="n">
        <v>100</v>
      </c>
      <c r="G249" s="3" t="n">
        <v>15</v>
      </c>
    </row>
    <row r="250">
      <c r="A250" s="3" t="inlineStr">
        <is>
          <t>MOVE_INFERNO</t>
        </is>
      </c>
      <c r="B250" s="3" t="inlineStr">
        <is>
          <t>Inferno</t>
        </is>
      </c>
      <c r="C250" s="3" t="inlineStr">
        <is>
          <t>Fire</t>
        </is>
      </c>
      <c r="D250" s="3" t="inlineStr">
        <is>
          <t>Special</t>
        </is>
      </c>
      <c r="E250" s="3" t="n">
        <v>100</v>
      </c>
      <c r="F250" s="3" t="n">
        <v>50</v>
      </c>
      <c r="G250" s="3" t="n">
        <v>5</v>
      </c>
    </row>
    <row r="251">
      <c r="A251" s="3" t="inlineStr">
        <is>
          <t>MOVE_INFESTATION</t>
        </is>
      </c>
      <c r="B251" s="3" t="inlineStr">
        <is>
          <t>Infestation</t>
        </is>
      </c>
      <c r="C251" s="3" t="inlineStr">
        <is>
          <t>Bug</t>
        </is>
      </c>
      <c r="D251" s="3" t="inlineStr">
        <is>
          <t>Special</t>
        </is>
      </c>
      <c r="E251" s="3" t="n">
        <v>20</v>
      </c>
      <c r="F251" s="3" t="n">
        <v>100</v>
      </c>
      <c r="G251" s="3" t="n">
        <v>20</v>
      </c>
    </row>
    <row r="252">
      <c r="A252" s="3" t="inlineStr">
        <is>
          <t>MOVE_INGRAIN</t>
        </is>
      </c>
      <c r="B252" s="3" t="inlineStr">
        <is>
          <t>Ingrain</t>
        </is>
      </c>
      <c r="C252" s="3" t="inlineStr">
        <is>
          <t>Grass</t>
        </is>
      </c>
      <c r="D252" s="3" t="inlineStr">
        <is>
          <t>Status</t>
        </is>
      </c>
      <c r="E252" s="3" t="n">
        <v>0</v>
      </c>
      <c r="F252" s="3" t="n">
        <v>0</v>
      </c>
      <c r="G252" s="3" t="n">
        <v>20</v>
      </c>
    </row>
    <row r="253">
      <c r="A253" s="3" t="inlineStr">
        <is>
          <t>MOVE_IRON_DEFENSE</t>
        </is>
      </c>
      <c r="B253" s="3" t="inlineStr">
        <is>
          <t>Iron Defense</t>
        </is>
      </c>
      <c r="C253" s="3" t="inlineStr">
        <is>
          <t>Steel</t>
        </is>
      </c>
      <c r="D253" s="3" t="inlineStr">
        <is>
          <t>Status</t>
        </is>
      </c>
      <c r="E253" s="3" t="n">
        <v>0</v>
      </c>
      <c r="F253" s="3" t="n">
        <v>0</v>
      </c>
      <c r="G253" s="3" t="n">
        <v>15</v>
      </c>
    </row>
    <row r="254">
      <c r="A254" s="3" t="inlineStr">
        <is>
          <t>MOVE_IRON_HEAD</t>
        </is>
      </c>
      <c r="B254" s="3" t="inlineStr">
        <is>
          <t>Iron Head</t>
        </is>
      </c>
      <c r="C254" s="3" t="inlineStr">
        <is>
          <t>Steel</t>
        </is>
      </c>
      <c r="D254" s="3" t="inlineStr">
        <is>
          <t>Physical</t>
        </is>
      </c>
      <c r="E254" s="3" t="n">
        <v>80</v>
      </c>
      <c r="F254" s="3" t="n">
        <v>100</v>
      </c>
      <c r="G254" s="3" t="n">
        <v>15</v>
      </c>
    </row>
    <row r="255">
      <c r="A255" s="3" t="inlineStr">
        <is>
          <t>MOVE_IRON_TAIL</t>
        </is>
      </c>
      <c r="B255" s="3" t="inlineStr">
        <is>
          <t>Iron Tail</t>
        </is>
      </c>
      <c r="C255" s="3" t="inlineStr">
        <is>
          <t>Steel</t>
        </is>
      </c>
      <c r="D255" s="3" t="inlineStr">
        <is>
          <t>Physical</t>
        </is>
      </c>
      <c r="E255" s="3" t="n">
        <v>100</v>
      </c>
      <c r="F255" s="3" t="n">
        <v>75</v>
      </c>
      <c r="G255" s="3" t="n">
        <v>15</v>
      </c>
    </row>
    <row r="256">
      <c r="A256" s="3" t="inlineStr">
        <is>
          <t>MOVE_KARATE_CHOP</t>
        </is>
      </c>
      <c r="B256" s="3" t="inlineStr">
        <is>
          <t>Karate Chop</t>
        </is>
      </c>
      <c r="C256" s="3" t="inlineStr">
        <is>
          <t>Fighting</t>
        </is>
      </c>
      <c r="D256" s="3" t="inlineStr">
        <is>
          <t>Physical</t>
        </is>
      </c>
      <c r="E256" s="3" t="n">
        <v>50</v>
      </c>
      <c r="F256" s="3" t="n">
        <v>100</v>
      </c>
      <c r="G256" s="3" t="n">
        <v>25</v>
      </c>
    </row>
    <row r="257">
      <c r="A257" s="3" t="inlineStr">
        <is>
          <t>MOVE_KINGS_SHIELD</t>
        </is>
      </c>
      <c r="B257" s="3" t="inlineStr">
        <is>
          <t>King's Shield</t>
        </is>
      </c>
      <c r="C257" s="3" t="inlineStr">
        <is>
          <t>Steel</t>
        </is>
      </c>
      <c r="D257" s="3" t="inlineStr">
        <is>
          <t>Status</t>
        </is>
      </c>
      <c r="E257" s="3" t="n">
        <v>0</v>
      </c>
      <c r="F257" s="3" t="n">
        <v>0</v>
      </c>
      <c r="G257" s="3" t="n">
        <v>10</v>
      </c>
    </row>
    <row r="258">
      <c r="A258" s="3" t="inlineStr">
        <is>
          <t>MOVE_KNOCK_OFF</t>
        </is>
      </c>
      <c r="B258" s="3" t="inlineStr">
        <is>
          <t>Knock Off</t>
        </is>
      </c>
      <c r="C258" s="3" t="inlineStr">
        <is>
          <t>Dark</t>
        </is>
      </c>
      <c r="D258" s="3" t="inlineStr">
        <is>
          <t>Physical</t>
        </is>
      </c>
      <c r="E258" s="3" t="n">
        <v>65</v>
      </c>
      <c r="F258" s="3" t="n">
        <v>100</v>
      </c>
      <c r="G258" s="3" t="n">
        <v>20</v>
      </c>
    </row>
    <row r="259">
      <c r="A259" s="3" t="inlineStr">
        <is>
          <t>MOVE_KOWTOW_CLEAVE</t>
        </is>
      </c>
      <c r="B259" s="3" t="inlineStr">
        <is>
          <t>Kowtow Cleave</t>
        </is>
      </c>
      <c r="C259" s="3" t="inlineStr">
        <is>
          <t>Dark</t>
        </is>
      </c>
      <c r="D259" s="3" t="inlineStr">
        <is>
          <t>Physical</t>
        </is>
      </c>
      <c r="E259" s="3" t="n">
        <v>85</v>
      </c>
      <c r="F259" s="3" t="n">
        <v>0</v>
      </c>
      <c r="G259" s="3" t="n">
        <v>10</v>
      </c>
    </row>
    <row r="260">
      <c r="A260" s="3" t="inlineStr">
        <is>
          <t>MOVE_LAST_RESORT</t>
        </is>
      </c>
      <c r="B260" s="3" t="inlineStr">
        <is>
          <t>Last Resort</t>
        </is>
      </c>
      <c r="C260" s="3" t="inlineStr">
        <is>
          <t>Normal</t>
        </is>
      </c>
      <c r="D260" s="3" t="inlineStr">
        <is>
          <t>Physical</t>
        </is>
      </c>
      <c r="E260" s="3" t="n">
        <v>140</v>
      </c>
      <c r="F260" s="3" t="n">
        <v>100</v>
      </c>
      <c r="G260" s="3" t="n">
        <v>5</v>
      </c>
    </row>
    <row r="261">
      <c r="A261" s="3" t="inlineStr">
        <is>
          <t>MOVE_LAST_RESPECTS</t>
        </is>
      </c>
      <c r="B261" s="3" t="inlineStr">
        <is>
          <t>Last Respects</t>
        </is>
      </c>
      <c r="C261" s="3" t="inlineStr">
        <is>
          <t>Ghost</t>
        </is>
      </c>
      <c r="D261" s="3" t="inlineStr">
        <is>
          <t>Physical</t>
        </is>
      </c>
      <c r="E261" s="3" t="n">
        <v>50</v>
      </c>
      <c r="F261" s="3" t="n">
        <v>100</v>
      </c>
      <c r="G261" s="3" t="n">
        <v>10</v>
      </c>
    </row>
    <row r="262">
      <c r="A262" s="3" t="inlineStr">
        <is>
          <t>MOVE_LAVA_PLUME</t>
        </is>
      </c>
      <c r="B262" s="3" t="inlineStr">
        <is>
          <t>Lava Plume</t>
        </is>
      </c>
      <c r="C262" s="3" t="inlineStr">
        <is>
          <t>Fire</t>
        </is>
      </c>
      <c r="D262" s="3" t="inlineStr">
        <is>
          <t>Special</t>
        </is>
      </c>
      <c r="E262" s="3" t="n">
        <v>80</v>
      </c>
      <c r="F262" s="3" t="n">
        <v>100</v>
      </c>
      <c r="G262" s="3" t="n">
        <v>15</v>
      </c>
    </row>
    <row r="263">
      <c r="A263" s="3" t="inlineStr">
        <is>
          <t>MOVE_LEAF_BLADE</t>
        </is>
      </c>
      <c r="B263" s="3" t="inlineStr">
        <is>
          <t>Leaf Blade</t>
        </is>
      </c>
      <c r="C263" s="3" t="inlineStr">
        <is>
          <t>Grass</t>
        </is>
      </c>
      <c r="D263" s="3" t="inlineStr">
        <is>
          <t>Physical</t>
        </is>
      </c>
      <c r="E263" s="3" t="n">
        <v>90</v>
      </c>
      <c r="F263" s="3" t="n">
        <v>100</v>
      </c>
      <c r="G263" s="3" t="n">
        <v>15</v>
      </c>
    </row>
    <row r="264">
      <c r="A264" s="3" t="inlineStr">
        <is>
          <t>MOVE_LEAF_STORM</t>
        </is>
      </c>
      <c r="B264" s="3" t="inlineStr">
        <is>
          <t>Leaf Storm</t>
        </is>
      </c>
      <c r="C264" s="3" t="inlineStr">
        <is>
          <t>Grass</t>
        </is>
      </c>
      <c r="D264" s="3" t="inlineStr">
        <is>
          <t>Special</t>
        </is>
      </c>
      <c r="E264" s="3" t="n">
        <v>130</v>
      </c>
      <c r="F264" s="3" t="n">
        <v>90</v>
      </c>
      <c r="G264" s="3" t="n">
        <v>5</v>
      </c>
    </row>
    <row r="265">
      <c r="A265" s="3" t="inlineStr">
        <is>
          <t>MOVE_LEAFAGE</t>
        </is>
      </c>
      <c r="B265" s="3" t="inlineStr">
        <is>
          <t>Leafage</t>
        </is>
      </c>
      <c r="C265" s="3" t="inlineStr">
        <is>
          <t>Grass</t>
        </is>
      </c>
      <c r="D265" s="3" t="inlineStr">
        <is>
          <t>Physical</t>
        </is>
      </c>
      <c r="E265" s="3" t="n">
        <v>40</v>
      </c>
      <c r="F265" s="3" t="n">
        <v>100</v>
      </c>
      <c r="G265" s="3" t="n">
        <v>30</v>
      </c>
    </row>
    <row r="266">
      <c r="A266" s="3" t="inlineStr">
        <is>
          <t>MOVE_LEECH_LIFE</t>
        </is>
      </c>
      <c r="B266" s="3" t="inlineStr">
        <is>
          <t>Leech Life</t>
        </is>
      </c>
      <c r="C266" s="3" t="inlineStr">
        <is>
          <t>Bug</t>
        </is>
      </c>
      <c r="D266" s="3" t="inlineStr">
        <is>
          <t>Physical</t>
        </is>
      </c>
      <c r="E266" s="3" t="n">
        <v>80</v>
      </c>
      <c r="F266" s="3" t="n">
        <v>100</v>
      </c>
      <c r="G266" s="3" t="n">
        <v>10</v>
      </c>
    </row>
    <row r="267">
      <c r="A267" s="3" t="inlineStr">
        <is>
          <t>MOVE_LEECH_SEED</t>
        </is>
      </c>
      <c r="B267" s="3" t="inlineStr">
        <is>
          <t>Leech Seed</t>
        </is>
      </c>
      <c r="C267" s="3" t="inlineStr">
        <is>
          <t>Grass</t>
        </is>
      </c>
      <c r="D267" s="3" t="inlineStr">
        <is>
          <t>Status</t>
        </is>
      </c>
      <c r="E267" s="3" t="n">
        <v>0</v>
      </c>
      <c r="F267" s="3" t="n">
        <v>100</v>
      </c>
      <c r="G267" s="3" t="n">
        <v>5</v>
      </c>
    </row>
    <row r="268">
      <c r="A268" s="3" t="inlineStr">
        <is>
          <t>MOVE_LEER</t>
        </is>
      </c>
      <c r="B268" s="3" t="inlineStr">
        <is>
          <t>Leer</t>
        </is>
      </c>
      <c r="C268" s="3" t="inlineStr">
        <is>
          <t>Normal</t>
        </is>
      </c>
      <c r="D268" s="3" t="inlineStr">
        <is>
          <t>Status</t>
        </is>
      </c>
      <c r="E268" s="3" t="n">
        <v>0</v>
      </c>
      <c r="F268" s="3" t="n">
        <v>100</v>
      </c>
      <c r="G268" s="3" t="n">
        <v>30</v>
      </c>
    </row>
    <row r="269">
      <c r="A269" s="3" t="inlineStr">
        <is>
          <t>MOVE_LICK</t>
        </is>
      </c>
      <c r="B269" s="3" t="inlineStr">
        <is>
          <t>Lick</t>
        </is>
      </c>
      <c r="C269" s="3" t="inlineStr">
        <is>
          <t>Ghost</t>
        </is>
      </c>
      <c r="D269" s="3" t="inlineStr">
        <is>
          <t>Physical</t>
        </is>
      </c>
      <c r="E269" s="3" t="n">
        <v>30</v>
      </c>
      <c r="F269" s="3" t="n">
        <v>100</v>
      </c>
      <c r="G269" s="3" t="n">
        <v>30</v>
      </c>
    </row>
    <row r="270">
      <c r="A270" s="3" t="inlineStr">
        <is>
          <t>MOVE_LIFE_DEW</t>
        </is>
      </c>
      <c r="B270" s="3" t="inlineStr">
        <is>
          <t>Life Dew</t>
        </is>
      </c>
      <c r="C270" s="3" t="inlineStr">
        <is>
          <t>Water</t>
        </is>
      </c>
      <c r="D270" s="3" t="inlineStr">
        <is>
          <t>Status</t>
        </is>
      </c>
      <c r="E270" s="3" t="n">
        <v>0</v>
      </c>
      <c r="F270" s="3" t="n">
        <v>0</v>
      </c>
      <c r="G270" s="3" t="n">
        <v>10</v>
      </c>
    </row>
    <row r="271">
      <c r="A271" s="3" t="inlineStr">
        <is>
          <t>MOVE_LIGHT_SCREEN</t>
        </is>
      </c>
      <c r="B271" s="3" t="inlineStr">
        <is>
          <t>Light Screen</t>
        </is>
      </c>
      <c r="C271" s="3" t="inlineStr">
        <is>
          <t>Psychic</t>
        </is>
      </c>
      <c r="D271" s="3" t="inlineStr">
        <is>
          <t>Status</t>
        </is>
      </c>
      <c r="E271" s="3" t="n">
        <v>0</v>
      </c>
      <c r="F271" s="3" t="n">
        <v>0</v>
      </c>
      <c r="G271" s="3" t="n">
        <v>30</v>
      </c>
    </row>
    <row r="272">
      <c r="A272" s="3" t="inlineStr">
        <is>
          <t>MOVE_LIQUIDATION</t>
        </is>
      </c>
      <c r="B272" s="3" t="inlineStr">
        <is>
          <t>Liquidation</t>
        </is>
      </c>
      <c r="C272" s="3" t="inlineStr">
        <is>
          <t>Water</t>
        </is>
      </c>
      <c r="D272" s="3" t="inlineStr">
        <is>
          <t>Physical</t>
        </is>
      </c>
      <c r="E272" s="3" t="n">
        <v>85</v>
      </c>
      <c r="F272" s="3" t="n">
        <v>100</v>
      </c>
      <c r="G272" s="3" t="n">
        <v>10</v>
      </c>
    </row>
    <row r="273">
      <c r="A273" s="3" t="inlineStr">
        <is>
          <t>MOVE_LOCK_ON</t>
        </is>
      </c>
      <c r="B273" s="3" t="inlineStr">
        <is>
          <t>Lock-On</t>
        </is>
      </c>
      <c r="C273" s="3" t="inlineStr">
        <is>
          <t>Normal</t>
        </is>
      </c>
      <c r="D273" s="3" t="inlineStr">
        <is>
          <t>Status</t>
        </is>
      </c>
      <c r="E273" s="3" t="n">
        <v>0</v>
      </c>
      <c r="F273" s="3" t="n">
        <v>0</v>
      </c>
      <c r="G273" s="3" t="n">
        <v>5</v>
      </c>
    </row>
    <row r="274">
      <c r="A274" s="3" t="inlineStr">
        <is>
          <t>MOVE_LOW_KICK</t>
        </is>
      </c>
      <c r="B274" s="3" t="inlineStr">
        <is>
          <t>Low Kick</t>
        </is>
      </c>
      <c r="C274" s="3" t="inlineStr">
        <is>
          <t>Fighting</t>
        </is>
      </c>
      <c r="D274" s="3" t="inlineStr">
        <is>
          <t>Physical</t>
        </is>
      </c>
      <c r="E274" s="3" t="n">
        <v>1</v>
      </c>
      <c r="F274" s="3" t="n">
        <v>100</v>
      </c>
      <c r="G274" s="3" t="n">
        <v>20</v>
      </c>
    </row>
    <row r="275">
      <c r="A275" s="3" t="inlineStr">
        <is>
          <t>MOVE_LOW_SWEEP</t>
        </is>
      </c>
      <c r="B275" s="3" t="inlineStr">
        <is>
          <t>Low Sweep</t>
        </is>
      </c>
      <c r="C275" s="3" t="inlineStr">
        <is>
          <t>Fighting</t>
        </is>
      </c>
      <c r="D275" s="3" t="inlineStr">
        <is>
          <t>Physical</t>
        </is>
      </c>
      <c r="E275" s="3" t="n">
        <v>65</v>
      </c>
      <c r="F275" s="3" t="n">
        <v>100</v>
      </c>
      <c r="G275" s="3" t="n">
        <v>20</v>
      </c>
    </row>
    <row r="276">
      <c r="A276" s="3" t="inlineStr">
        <is>
          <t>MOVE_LUCKY_CHANT</t>
        </is>
      </c>
      <c r="B276" s="3" t="inlineStr">
        <is>
          <t>Lucky Chant</t>
        </is>
      </c>
      <c r="C276" s="3" t="inlineStr">
        <is>
          <t>Normal</t>
        </is>
      </c>
      <c r="D276" s="3" t="inlineStr">
        <is>
          <t>Status</t>
        </is>
      </c>
      <c r="E276" s="3" t="n">
        <v>0</v>
      </c>
      <c r="F276" s="3" t="n">
        <v>0</v>
      </c>
      <c r="G276" s="3" t="n">
        <v>30</v>
      </c>
    </row>
    <row r="277">
      <c r="A277" s="3" t="inlineStr">
        <is>
          <t>MOVE_LUMINA_CRASH</t>
        </is>
      </c>
      <c r="B277" s="3" t="inlineStr">
        <is>
          <t>Lumina Crash</t>
        </is>
      </c>
      <c r="C277" s="3" t="inlineStr">
        <is>
          <t>Psychic</t>
        </is>
      </c>
      <c r="D277" s="3" t="inlineStr">
        <is>
          <t>Special</t>
        </is>
      </c>
      <c r="E277" s="3" t="n">
        <v>80</v>
      </c>
      <c r="F277" s="3" t="n">
        <v>100</v>
      </c>
      <c r="G277" s="3" t="n">
        <v>10</v>
      </c>
    </row>
    <row r="278">
      <c r="A278" s="3" t="inlineStr">
        <is>
          <t>MOVE_LUNGE</t>
        </is>
      </c>
      <c r="B278" s="3" t="inlineStr">
        <is>
          <t>Lunge</t>
        </is>
      </c>
      <c r="C278" s="3" t="inlineStr">
        <is>
          <t>Bug</t>
        </is>
      </c>
      <c r="D278" s="3" t="inlineStr">
        <is>
          <t>Physical</t>
        </is>
      </c>
      <c r="E278" s="3" t="n">
        <v>80</v>
      </c>
      <c r="F278" s="3" t="n">
        <v>100</v>
      </c>
      <c r="G278" s="3" t="n">
        <v>15</v>
      </c>
    </row>
    <row r="279">
      <c r="A279" s="3" t="inlineStr">
        <is>
          <t>MOVE_MACH_PUNCH</t>
        </is>
      </c>
      <c r="B279" s="3" t="inlineStr">
        <is>
          <t>Mach Punch</t>
        </is>
      </c>
      <c r="C279" s="3" t="inlineStr">
        <is>
          <t>Fighting</t>
        </is>
      </c>
      <c r="D279" s="3" t="inlineStr">
        <is>
          <t>Physical</t>
        </is>
      </c>
      <c r="E279" s="3" t="n">
        <v>40</v>
      </c>
      <c r="F279" s="3" t="n">
        <v>100</v>
      </c>
      <c r="G279" s="3" t="n">
        <v>30</v>
      </c>
    </row>
    <row r="280">
      <c r="A280" s="3" t="inlineStr">
        <is>
          <t>MOVE_MAGIC_COAT</t>
        </is>
      </c>
      <c r="B280" s="3" t="inlineStr">
        <is>
          <t>Magic Coat</t>
        </is>
      </c>
      <c r="C280" s="3" t="inlineStr">
        <is>
          <t>Psychic</t>
        </is>
      </c>
      <c r="D280" s="3" t="inlineStr">
        <is>
          <t>Status</t>
        </is>
      </c>
      <c r="E280" s="3" t="n">
        <v>0</v>
      </c>
      <c r="F280" s="3" t="n">
        <v>0</v>
      </c>
      <c r="G280" s="3" t="n">
        <v>15</v>
      </c>
    </row>
    <row r="281">
      <c r="A281" s="3" t="inlineStr">
        <is>
          <t>MOVE_MAGIC_ROOM</t>
        </is>
      </c>
      <c r="B281" s="3" t="inlineStr">
        <is>
          <t>Magic Room</t>
        </is>
      </c>
      <c r="C281" s="3" t="inlineStr">
        <is>
          <t>Psychic</t>
        </is>
      </c>
      <c r="D281" s="3" t="inlineStr">
        <is>
          <t>Status</t>
        </is>
      </c>
      <c r="E281" s="3" t="n">
        <v>0</v>
      </c>
      <c r="F281" s="3" t="n">
        <v>0</v>
      </c>
      <c r="G281" s="3" t="n">
        <v>10</v>
      </c>
    </row>
    <row r="282">
      <c r="A282" s="3" t="inlineStr">
        <is>
          <t>MOVE_MAGICAL_LEAF</t>
        </is>
      </c>
      <c r="B282" s="3" t="inlineStr">
        <is>
          <t>Magical Leaf</t>
        </is>
      </c>
      <c r="C282" s="3" t="inlineStr">
        <is>
          <t>Grass</t>
        </is>
      </c>
      <c r="D282" s="3" t="inlineStr">
        <is>
          <t>Special</t>
        </is>
      </c>
      <c r="E282" s="3" t="n">
        <v>60</v>
      </c>
      <c r="F282" s="3" t="n">
        <v>0</v>
      </c>
      <c r="G282" s="3" t="n">
        <v>20</v>
      </c>
    </row>
    <row r="283">
      <c r="A283" s="3" t="inlineStr">
        <is>
          <t>MOVE_MAGNET_RISE</t>
        </is>
      </c>
      <c r="B283" s="3" t="inlineStr">
        <is>
          <t>Magnet Rise</t>
        </is>
      </c>
      <c r="C283" s="3" t="inlineStr">
        <is>
          <t>Electric</t>
        </is>
      </c>
      <c r="D283" s="3" t="inlineStr">
        <is>
          <t>Status</t>
        </is>
      </c>
      <c r="E283" s="3" t="n">
        <v>0</v>
      </c>
      <c r="F283" s="3" t="n">
        <v>0</v>
      </c>
      <c r="G283" s="3" t="n">
        <v>10</v>
      </c>
    </row>
    <row r="284">
      <c r="A284" s="3" t="inlineStr">
        <is>
          <t>MOVE_MAGNETIC_FLUX</t>
        </is>
      </c>
      <c r="B284" s="3" t="inlineStr">
        <is>
          <t>Magnetic Flux</t>
        </is>
      </c>
      <c r="C284" s="3" t="inlineStr">
        <is>
          <t>Electric</t>
        </is>
      </c>
      <c r="D284" s="3" t="inlineStr">
        <is>
          <t>Status</t>
        </is>
      </c>
      <c r="E284" s="3" t="n">
        <v>0</v>
      </c>
      <c r="F284" s="3" t="n">
        <v>0</v>
      </c>
      <c r="G284" s="3" t="n">
        <v>20</v>
      </c>
    </row>
    <row r="285">
      <c r="A285" s="3" t="inlineStr">
        <is>
          <t>MOVE_MAGNITUDE</t>
        </is>
      </c>
      <c r="B285" s="3" t="inlineStr">
        <is>
          <t>Magnitude</t>
        </is>
      </c>
      <c r="C285" s="3" t="inlineStr">
        <is>
          <t>Ground</t>
        </is>
      </c>
      <c r="D285" s="3" t="inlineStr">
        <is>
          <t>Physical</t>
        </is>
      </c>
      <c r="E285" s="3" t="n">
        <v>1</v>
      </c>
      <c r="F285" s="3" t="n">
        <v>100</v>
      </c>
      <c r="G285" s="3" t="n">
        <v>30</v>
      </c>
    </row>
    <row r="286">
      <c r="A286" s="3" t="inlineStr">
        <is>
          <t>MOVE_ME_FIRST</t>
        </is>
      </c>
      <c r="B286" s="3" t="inlineStr">
        <is>
          <t>Me First</t>
        </is>
      </c>
      <c r="C286" s="3" t="inlineStr">
        <is>
          <t>Normal</t>
        </is>
      </c>
      <c r="D286" s="3" t="inlineStr">
        <is>
          <t>Status</t>
        </is>
      </c>
      <c r="E286" s="3" t="n">
        <v>0</v>
      </c>
      <c r="F286" s="3" t="n">
        <v>0</v>
      </c>
      <c r="G286" s="3" t="n">
        <v>20</v>
      </c>
    </row>
    <row r="287">
      <c r="A287" s="3" t="inlineStr">
        <is>
          <t>MOVE_MEAN_LOOK</t>
        </is>
      </c>
      <c r="B287" s="3" t="inlineStr">
        <is>
          <t>Mean Look</t>
        </is>
      </c>
      <c r="C287" s="3" t="inlineStr">
        <is>
          <t>Normal</t>
        </is>
      </c>
      <c r="D287" s="3" t="inlineStr">
        <is>
          <t>Status</t>
        </is>
      </c>
      <c r="E287" s="3" t="n">
        <v>0</v>
      </c>
      <c r="F287" s="3" t="n">
        <v>0</v>
      </c>
      <c r="G287" s="3" t="n">
        <v>5</v>
      </c>
    </row>
    <row r="288">
      <c r="A288" s="3" t="inlineStr">
        <is>
          <t>MOVE_MEDITATE</t>
        </is>
      </c>
      <c r="B288" s="3" t="inlineStr">
        <is>
          <t>Meditate</t>
        </is>
      </c>
      <c r="C288" s="3" t="inlineStr">
        <is>
          <t>Psychic</t>
        </is>
      </c>
      <c r="D288" s="3" t="inlineStr">
        <is>
          <t>Status</t>
        </is>
      </c>
      <c r="E288" s="3" t="n">
        <v>0</v>
      </c>
      <c r="F288" s="3" t="n">
        <v>0</v>
      </c>
      <c r="G288" s="3" t="n">
        <v>40</v>
      </c>
    </row>
    <row r="289">
      <c r="A289" s="3" t="inlineStr">
        <is>
          <t>MOVE_MEGA_DRAIN</t>
        </is>
      </c>
      <c r="B289" s="3" t="inlineStr">
        <is>
          <t>Mega Drain</t>
        </is>
      </c>
      <c r="C289" s="3" t="inlineStr">
        <is>
          <t>Grass</t>
        </is>
      </c>
      <c r="D289" s="3" t="inlineStr">
        <is>
          <t>Special</t>
        </is>
      </c>
      <c r="E289" s="3" t="n">
        <v>60</v>
      </c>
      <c r="F289" s="3" t="n">
        <v>100</v>
      </c>
      <c r="G289" s="3" t="n">
        <v>15</v>
      </c>
    </row>
    <row r="290">
      <c r="A290" s="3" t="inlineStr">
        <is>
          <t>MOVE_MEGA_KICK</t>
        </is>
      </c>
      <c r="B290" s="3" t="inlineStr">
        <is>
          <t>Mega Kick</t>
        </is>
      </c>
      <c r="C290" s="3" t="inlineStr">
        <is>
          <t>Normal</t>
        </is>
      </c>
      <c r="D290" s="3" t="inlineStr">
        <is>
          <t>Physical</t>
        </is>
      </c>
      <c r="E290" s="3" t="n">
        <v>120</v>
      </c>
      <c r="F290" s="3" t="n">
        <v>75</v>
      </c>
      <c r="G290" s="3" t="n">
        <v>5</v>
      </c>
    </row>
    <row r="291">
      <c r="A291" s="3" t="inlineStr">
        <is>
          <t>MOVE_MEGA_PUNCH</t>
        </is>
      </c>
      <c r="B291" s="3" t="inlineStr">
        <is>
          <t>Mega Punch</t>
        </is>
      </c>
      <c r="C291" s="3" t="inlineStr">
        <is>
          <t>Normal</t>
        </is>
      </c>
      <c r="D291" s="3" t="inlineStr">
        <is>
          <t>Physical</t>
        </is>
      </c>
      <c r="E291" s="3" t="n">
        <v>80</v>
      </c>
      <c r="F291" s="3" t="n">
        <v>85</v>
      </c>
      <c r="G291" s="3" t="n">
        <v>20</v>
      </c>
    </row>
    <row r="292">
      <c r="A292" s="3" t="inlineStr">
        <is>
          <t>MOVE_MEGAHORN</t>
        </is>
      </c>
      <c r="B292" s="3" t="inlineStr">
        <is>
          <t>Megahorn</t>
        </is>
      </c>
      <c r="C292" s="3" t="inlineStr">
        <is>
          <t>Bug</t>
        </is>
      </c>
      <c r="D292" s="3" t="inlineStr">
        <is>
          <t>Physical</t>
        </is>
      </c>
      <c r="E292" s="3" t="n">
        <v>120</v>
      </c>
      <c r="F292" s="3" t="n">
        <v>85</v>
      </c>
      <c r="G292" s="3" t="n">
        <v>10</v>
      </c>
    </row>
    <row r="293">
      <c r="A293" s="3" t="inlineStr">
        <is>
          <t>MOVE_MEMENTO</t>
        </is>
      </c>
      <c r="B293" s="3" t="inlineStr">
        <is>
          <t>Memento</t>
        </is>
      </c>
      <c r="C293" s="3" t="inlineStr">
        <is>
          <t>Dark</t>
        </is>
      </c>
      <c r="D293" s="3" t="inlineStr">
        <is>
          <t>Status</t>
        </is>
      </c>
      <c r="E293" s="3" t="n">
        <v>0</v>
      </c>
      <c r="F293" s="3" t="n">
        <v>100</v>
      </c>
      <c r="G293" s="3" t="n">
        <v>10</v>
      </c>
    </row>
    <row r="294">
      <c r="A294" s="3" t="inlineStr">
        <is>
          <t>MOVE_METAL_BURST</t>
        </is>
      </c>
      <c r="B294" s="3" t="inlineStr">
        <is>
          <t>Metal Burst</t>
        </is>
      </c>
      <c r="C294" s="3" t="inlineStr">
        <is>
          <t>Steel</t>
        </is>
      </c>
      <c r="D294" s="3" t="inlineStr">
        <is>
          <t>Physical</t>
        </is>
      </c>
      <c r="E294" s="3" t="n">
        <v>1</v>
      </c>
      <c r="F294" s="3" t="n">
        <v>100</v>
      </c>
      <c r="G294" s="3" t="n">
        <v>10</v>
      </c>
    </row>
    <row r="295">
      <c r="A295" s="3" t="inlineStr">
        <is>
          <t>MOVE_METAL_CLAW</t>
        </is>
      </c>
      <c r="B295" s="3" t="inlineStr">
        <is>
          <t>Metal Claw</t>
        </is>
      </c>
      <c r="C295" s="3" t="inlineStr">
        <is>
          <t>Steel</t>
        </is>
      </c>
      <c r="D295" s="3" t="inlineStr">
        <is>
          <t>Physical</t>
        </is>
      </c>
      <c r="E295" s="3" t="n">
        <v>50</v>
      </c>
      <c r="F295" s="3" t="n">
        <v>95</v>
      </c>
      <c r="G295" s="3" t="n">
        <v>35</v>
      </c>
    </row>
    <row r="296">
      <c r="A296" s="3" t="inlineStr">
        <is>
          <t>MOVE_METAL_SOUND</t>
        </is>
      </c>
      <c r="B296" s="3" t="inlineStr">
        <is>
          <t>Metal Sound</t>
        </is>
      </c>
      <c r="C296" s="3" t="inlineStr">
        <is>
          <t>Steel</t>
        </is>
      </c>
      <c r="D296" s="3" t="inlineStr">
        <is>
          <t>Status</t>
        </is>
      </c>
      <c r="E296" s="3" t="n">
        <v>0</v>
      </c>
      <c r="F296" s="3" t="n">
        <v>85</v>
      </c>
      <c r="G296" s="3" t="n">
        <v>40</v>
      </c>
    </row>
    <row r="297">
      <c r="A297" s="3" t="inlineStr">
        <is>
          <t>MOVE_METEOR_MASH</t>
        </is>
      </c>
      <c r="B297" s="3" t="inlineStr">
        <is>
          <t>Meteor Mash</t>
        </is>
      </c>
      <c r="C297" s="3" t="inlineStr">
        <is>
          <t>Steel</t>
        </is>
      </c>
      <c r="D297" s="3" t="inlineStr">
        <is>
          <t>Physical</t>
        </is>
      </c>
      <c r="E297" s="3" t="n">
        <v>90</v>
      </c>
      <c r="F297" s="3" t="n">
        <v>90</v>
      </c>
      <c r="G297" s="3" t="n">
        <v>10</v>
      </c>
    </row>
    <row r="298">
      <c r="A298" s="3" t="inlineStr">
        <is>
          <t>MOVE_METRONOME</t>
        </is>
      </c>
      <c r="B298" s="3" t="inlineStr">
        <is>
          <t>Metronome</t>
        </is>
      </c>
      <c r="C298" s="3" t="inlineStr">
        <is>
          <t>Normal</t>
        </is>
      </c>
      <c r="D298" s="3" t="inlineStr">
        <is>
          <t>Status</t>
        </is>
      </c>
      <c r="E298" s="3" t="n">
        <v>0</v>
      </c>
      <c r="F298" s="3" t="n">
        <v>0</v>
      </c>
      <c r="G298" s="3" t="n">
        <v>10</v>
      </c>
    </row>
    <row r="299">
      <c r="A299" s="3" t="inlineStr">
        <is>
          <t>MOVE_MILK_DRINK</t>
        </is>
      </c>
      <c r="B299" s="3" t="inlineStr">
        <is>
          <t>Milk Drink</t>
        </is>
      </c>
      <c r="C299" s="3" t="inlineStr">
        <is>
          <t>Normal</t>
        </is>
      </c>
      <c r="D299" s="3" t="inlineStr">
        <is>
          <t>Status</t>
        </is>
      </c>
      <c r="E299" s="3" t="n">
        <v>0</v>
      </c>
      <c r="F299" s="3" t="n">
        <v>0</v>
      </c>
      <c r="G299" s="3" t="n">
        <v>5</v>
      </c>
    </row>
    <row r="300">
      <c r="A300" s="3" t="inlineStr">
        <is>
          <t>MOVE_MIMIC</t>
        </is>
      </c>
      <c r="B300" s="3" t="inlineStr">
        <is>
          <t>Mimic</t>
        </is>
      </c>
      <c r="C300" s="3" t="inlineStr">
        <is>
          <t>Normal</t>
        </is>
      </c>
      <c r="D300" s="3" t="inlineStr">
        <is>
          <t>Status</t>
        </is>
      </c>
      <c r="E300" s="3" t="n">
        <v>0</v>
      </c>
      <c r="F300" s="3" t="n">
        <v>0</v>
      </c>
      <c r="G300" s="3" t="n">
        <v>10</v>
      </c>
    </row>
    <row r="301">
      <c r="A301" s="3" t="inlineStr">
        <is>
          <t>MOVE_MIND_READER</t>
        </is>
      </c>
      <c r="B301" s="3" t="inlineStr">
        <is>
          <t>Mind Reader</t>
        </is>
      </c>
      <c r="C301" s="3" t="inlineStr">
        <is>
          <t>Normal</t>
        </is>
      </c>
      <c r="D301" s="3" t="inlineStr">
        <is>
          <t>Status</t>
        </is>
      </c>
      <c r="E301" s="3" t="n">
        <v>0</v>
      </c>
      <c r="F301" s="3" t="n">
        <v>0</v>
      </c>
      <c r="G301" s="3" t="n">
        <v>5</v>
      </c>
    </row>
    <row r="302">
      <c r="A302" s="3" t="inlineStr">
        <is>
          <t>MOVE_MINIMIZE</t>
        </is>
      </c>
      <c r="B302" s="3" t="inlineStr">
        <is>
          <t>Minimize</t>
        </is>
      </c>
      <c r="C302" s="3" t="inlineStr">
        <is>
          <t>Normal</t>
        </is>
      </c>
      <c r="D302" s="3" t="inlineStr">
        <is>
          <t>Status</t>
        </is>
      </c>
      <c r="E302" s="3" t="n">
        <v>0</v>
      </c>
      <c r="F302" s="3" t="n">
        <v>0</v>
      </c>
      <c r="G302" s="3" t="n">
        <v>10</v>
      </c>
    </row>
    <row r="303">
      <c r="A303" s="3" t="inlineStr">
        <is>
          <t>MOVE_MIRROR_COAT</t>
        </is>
      </c>
      <c r="B303" s="3" t="inlineStr">
        <is>
          <t>Mirror Coat</t>
        </is>
      </c>
      <c r="C303" s="3" t="inlineStr">
        <is>
          <t>Psychic</t>
        </is>
      </c>
      <c r="D303" s="3" t="inlineStr">
        <is>
          <t>Special</t>
        </is>
      </c>
      <c r="E303" s="3" t="n">
        <v>1</v>
      </c>
      <c r="F303" s="3" t="n">
        <v>100</v>
      </c>
      <c r="G303" s="3" t="n">
        <v>20</v>
      </c>
    </row>
    <row r="304">
      <c r="A304" s="3" t="inlineStr">
        <is>
          <t>MOVE_MIRROR_MOVE</t>
        </is>
      </c>
      <c r="B304" s="3" t="inlineStr">
        <is>
          <t>Mirror Move</t>
        </is>
      </c>
      <c r="C304" s="3" t="inlineStr">
        <is>
          <t>Flying</t>
        </is>
      </c>
      <c r="D304" s="3" t="inlineStr">
        <is>
          <t>Status</t>
        </is>
      </c>
      <c r="E304" s="3" t="n">
        <v>0</v>
      </c>
      <c r="F304" s="3" t="n">
        <v>0</v>
      </c>
      <c r="G304" s="3" t="n">
        <v>20</v>
      </c>
    </row>
    <row r="305">
      <c r="A305" s="3" t="inlineStr">
        <is>
          <t>MOVE_MIST</t>
        </is>
      </c>
      <c r="B305" s="3" t="inlineStr">
        <is>
          <t>Mist</t>
        </is>
      </c>
      <c r="C305" s="3" t="inlineStr">
        <is>
          <t>Ice</t>
        </is>
      </c>
      <c r="D305" s="3" t="inlineStr">
        <is>
          <t>Status</t>
        </is>
      </c>
      <c r="E305" s="3" t="n">
        <v>0</v>
      </c>
      <c r="F305" s="3" t="n">
        <v>0</v>
      </c>
      <c r="G305" s="3" t="n">
        <v>30</v>
      </c>
    </row>
    <row r="306">
      <c r="A306" s="3" t="inlineStr">
        <is>
          <t>MOVE_MISTY_TERRAIN</t>
        </is>
      </c>
      <c r="B306" s="3" t="inlineStr">
        <is>
          <t>Misty Terrain</t>
        </is>
      </c>
      <c r="C306" s="3" t="inlineStr">
        <is>
          <t>Fairy</t>
        </is>
      </c>
      <c r="D306" s="3" t="inlineStr">
        <is>
          <t>Status</t>
        </is>
      </c>
      <c r="E306" s="3" t="n">
        <v>0</v>
      </c>
      <c r="F306" s="3" t="n">
        <v>0</v>
      </c>
      <c r="G306" s="3" t="n">
        <v>10</v>
      </c>
    </row>
    <row r="307">
      <c r="A307" s="3" t="inlineStr">
        <is>
          <t>MOVE_MOONBLAST</t>
        </is>
      </c>
      <c r="B307" s="3" t="inlineStr">
        <is>
          <t>Moonblast</t>
        </is>
      </c>
      <c r="C307" s="3" t="inlineStr">
        <is>
          <t>Fairy</t>
        </is>
      </c>
      <c r="D307" s="3" t="inlineStr">
        <is>
          <t>Special</t>
        </is>
      </c>
      <c r="E307" s="3" t="n">
        <v>95</v>
      </c>
      <c r="F307" s="3" t="n">
        <v>100</v>
      </c>
      <c r="G307" s="3" t="n">
        <v>15</v>
      </c>
    </row>
    <row r="308">
      <c r="A308" s="3" t="inlineStr">
        <is>
          <t>MOVE_MOONLIGHT</t>
        </is>
      </c>
      <c r="B308" s="3" t="inlineStr">
        <is>
          <t>Moonlight</t>
        </is>
      </c>
      <c r="C308" s="3" t="inlineStr">
        <is>
          <t>Fairy</t>
        </is>
      </c>
      <c r="D308" s="3" t="inlineStr">
        <is>
          <t>Status</t>
        </is>
      </c>
      <c r="E308" s="3" t="n">
        <v>0</v>
      </c>
      <c r="F308" s="3" t="n">
        <v>0</v>
      </c>
      <c r="G308" s="3" t="n">
        <v>5</v>
      </c>
    </row>
    <row r="309">
      <c r="A309" s="3" t="inlineStr">
        <is>
          <t>MOVE_MORTAL_SPIN</t>
        </is>
      </c>
      <c r="B309" s="3" t="inlineStr">
        <is>
          <t>Mortal Spin</t>
        </is>
      </c>
      <c r="C309" s="3" t="inlineStr">
        <is>
          <t>Poison</t>
        </is>
      </c>
      <c r="D309" s="3" t="inlineStr">
        <is>
          <t>Physical</t>
        </is>
      </c>
      <c r="E309" s="3" t="n">
        <v>30</v>
      </c>
      <c r="F309" s="3" t="n">
        <v>100</v>
      </c>
      <c r="G309" s="3" t="n">
        <v>15</v>
      </c>
    </row>
    <row r="310">
      <c r="A310" s="3" t="inlineStr">
        <is>
          <t>MOVE_MUD_BOMB</t>
        </is>
      </c>
      <c r="B310" s="3" t="inlineStr">
        <is>
          <t>Mud Bomb</t>
        </is>
      </c>
      <c r="C310" s="3" t="inlineStr">
        <is>
          <t>Ground</t>
        </is>
      </c>
      <c r="D310" s="3" t="inlineStr">
        <is>
          <t>Special</t>
        </is>
      </c>
      <c r="E310" s="3" t="n">
        <v>65</v>
      </c>
      <c r="F310" s="3" t="n">
        <v>85</v>
      </c>
      <c r="G310" s="3" t="n">
        <v>10</v>
      </c>
    </row>
    <row r="311">
      <c r="A311" s="3" t="inlineStr">
        <is>
          <t>MOVE_MUD_SHOT</t>
        </is>
      </c>
      <c r="B311" s="3" t="inlineStr">
        <is>
          <t>Mud Shot</t>
        </is>
      </c>
      <c r="C311" s="3" t="inlineStr">
        <is>
          <t>Ground</t>
        </is>
      </c>
      <c r="D311" s="3" t="inlineStr">
        <is>
          <t>Special</t>
        </is>
      </c>
      <c r="E311" s="3" t="n">
        <v>55</v>
      </c>
      <c r="F311" s="3" t="n">
        <v>95</v>
      </c>
      <c r="G311" s="3" t="n">
        <v>15</v>
      </c>
    </row>
    <row r="312">
      <c r="A312" s="3" t="inlineStr">
        <is>
          <t>MOVE_MUD_SPORT</t>
        </is>
      </c>
      <c r="B312" s="3" t="inlineStr">
        <is>
          <t>Mud Sport</t>
        </is>
      </c>
      <c r="C312" s="3" t="inlineStr">
        <is>
          <t>Ground</t>
        </is>
      </c>
      <c r="D312" s="3" t="inlineStr">
        <is>
          <t>Status</t>
        </is>
      </c>
      <c r="E312" s="3" t="n">
        <v>0</v>
      </c>
      <c r="F312" s="3" t="n">
        <v>0</v>
      </c>
      <c r="G312" s="3" t="n">
        <v>15</v>
      </c>
    </row>
    <row r="313">
      <c r="A313" s="3" t="inlineStr">
        <is>
          <t>MOVE_MUD_SLAP</t>
        </is>
      </c>
      <c r="B313" s="3" t="inlineStr">
        <is>
          <t>Mud-Slap</t>
        </is>
      </c>
      <c r="C313" s="3" t="inlineStr">
        <is>
          <t>Ground</t>
        </is>
      </c>
      <c r="D313" s="3" t="inlineStr">
        <is>
          <t>Special</t>
        </is>
      </c>
      <c r="E313" s="3" t="n">
        <v>20</v>
      </c>
      <c r="F313" s="3" t="n">
        <v>100</v>
      </c>
      <c r="G313" s="3" t="n">
        <v>10</v>
      </c>
    </row>
    <row r="314">
      <c r="A314" s="3" t="inlineStr">
        <is>
          <t>MOVE_MUDDY_WATER</t>
        </is>
      </c>
      <c r="B314" s="3" t="inlineStr">
        <is>
          <t>Muddy Water</t>
        </is>
      </c>
      <c r="C314" s="3" t="inlineStr">
        <is>
          <t>Water</t>
        </is>
      </c>
      <c r="D314" s="3" t="inlineStr">
        <is>
          <t>Special</t>
        </is>
      </c>
      <c r="E314" s="3" t="n">
        <v>90</v>
      </c>
      <c r="F314" s="3" t="n">
        <v>85</v>
      </c>
      <c r="G314" s="3" t="n">
        <v>10</v>
      </c>
    </row>
    <row r="315">
      <c r="A315" s="3" t="inlineStr">
        <is>
          <t>MOVE_MYSTICAL_FIRE</t>
        </is>
      </c>
      <c r="B315" s="3" t="inlineStr">
        <is>
          <t>Mystical Fire</t>
        </is>
      </c>
      <c r="C315" s="3" t="inlineStr">
        <is>
          <t>Fire</t>
        </is>
      </c>
      <c r="D315" s="3" t="inlineStr">
        <is>
          <t>Special</t>
        </is>
      </c>
      <c r="E315" s="3" t="n">
        <v>75</v>
      </c>
      <c r="F315" s="3" t="n">
        <v>100</v>
      </c>
      <c r="G315" s="3" t="n">
        <v>10</v>
      </c>
    </row>
    <row r="316">
      <c r="A316" s="3" t="inlineStr">
        <is>
          <t>MOVE_NASTY_PLOT</t>
        </is>
      </c>
      <c r="B316" s="3" t="inlineStr">
        <is>
          <t>Nasty Plot</t>
        </is>
      </c>
      <c r="C316" s="3" t="inlineStr">
        <is>
          <t>Dark</t>
        </is>
      </c>
      <c r="D316" s="3" t="inlineStr">
        <is>
          <t>Status</t>
        </is>
      </c>
      <c r="E316" s="3" t="n">
        <v>0</v>
      </c>
      <c r="F316" s="3" t="n">
        <v>0</v>
      </c>
      <c r="G316" s="3" t="n">
        <v>20</v>
      </c>
    </row>
    <row r="317">
      <c r="A317" s="3" t="inlineStr">
        <is>
          <t>MOVE_NATURAL_GIFT</t>
        </is>
      </c>
      <c r="B317" s="3" t="inlineStr">
        <is>
          <t>Natural Gift</t>
        </is>
      </c>
      <c r="C317" s="3" t="inlineStr">
        <is>
          <t>Normal</t>
        </is>
      </c>
      <c r="D317" s="3" t="inlineStr">
        <is>
          <t>Physical</t>
        </is>
      </c>
      <c r="E317" s="3" t="n">
        <v>1</v>
      </c>
      <c r="F317" s="3" t="n">
        <v>100</v>
      </c>
      <c r="G317" s="3" t="n">
        <v>15</v>
      </c>
    </row>
    <row r="318">
      <c r="A318" s="3" t="inlineStr">
        <is>
          <t>MOVE_NATURE_POWER</t>
        </is>
      </c>
      <c r="B318" s="3" t="inlineStr">
        <is>
          <t>Nature Power</t>
        </is>
      </c>
      <c r="C318" s="3" t="inlineStr">
        <is>
          <t>Normal</t>
        </is>
      </c>
      <c r="D318" s="3" t="inlineStr">
        <is>
          <t>Status</t>
        </is>
      </c>
      <c r="E318" s="3" t="n">
        <v>1</v>
      </c>
      <c r="F318" s="3" t="n">
        <v>0</v>
      </c>
      <c r="G318" s="3" t="n">
        <v>20</v>
      </c>
    </row>
    <row r="319">
      <c r="A319" s="3" t="inlineStr">
        <is>
          <t>MOVE_NIGHT_SHADE</t>
        </is>
      </c>
      <c r="B319" s="3" t="inlineStr">
        <is>
          <t>Night Shade</t>
        </is>
      </c>
      <c r="C319" s="3" t="inlineStr">
        <is>
          <t>Ghost</t>
        </is>
      </c>
      <c r="D319" s="3" t="inlineStr">
        <is>
          <t>Special</t>
        </is>
      </c>
      <c r="E319" s="3" t="n">
        <v>1</v>
      </c>
      <c r="F319" s="3" t="n">
        <v>100</v>
      </c>
      <c r="G319" s="3" t="n">
        <v>15</v>
      </c>
    </row>
    <row r="320">
      <c r="A320" s="3" t="inlineStr">
        <is>
          <t>MOVE_NIGHT_SLASH</t>
        </is>
      </c>
      <c r="B320" s="3" t="inlineStr">
        <is>
          <t>Night Slash</t>
        </is>
      </c>
      <c r="C320" s="3" t="inlineStr">
        <is>
          <t>Dark</t>
        </is>
      </c>
      <c r="D320" s="3" t="inlineStr">
        <is>
          <t>Physical</t>
        </is>
      </c>
      <c r="E320" s="3" t="n">
        <v>70</v>
      </c>
      <c r="F320" s="3" t="n">
        <v>100</v>
      </c>
      <c r="G320" s="3" t="n">
        <v>15</v>
      </c>
    </row>
    <row r="321">
      <c r="A321" s="3" t="inlineStr">
        <is>
          <t>MOVE_NIGHTMARE</t>
        </is>
      </c>
      <c r="B321" s="3" t="inlineStr">
        <is>
          <t>Nightmare</t>
        </is>
      </c>
      <c r="C321" s="3" t="inlineStr">
        <is>
          <t>Ghost</t>
        </is>
      </c>
      <c r="D321" s="3" t="inlineStr">
        <is>
          <t>Status</t>
        </is>
      </c>
      <c r="E321" s="3" t="n">
        <v>0</v>
      </c>
      <c r="F321" s="3" t="n">
        <v>100</v>
      </c>
      <c r="G321" s="3" t="n">
        <v>15</v>
      </c>
    </row>
    <row r="322">
      <c r="A322" s="3" t="inlineStr">
        <is>
          <t>MOVE_NOBLE_ROAR</t>
        </is>
      </c>
      <c r="B322" s="3" t="inlineStr">
        <is>
          <t>Noble Roar</t>
        </is>
      </c>
      <c r="C322" s="3" t="inlineStr">
        <is>
          <t>Normal</t>
        </is>
      </c>
      <c r="D322" s="3" t="inlineStr">
        <is>
          <t>Status</t>
        </is>
      </c>
      <c r="E322" s="3" t="n">
        <v>0</v>
      </c>
      <c r="F322" s="3" t="n">
        <v>100</v>
      </c>
      <c r="G322" s="3" t="n">
        <v>30</v>
      </c>
    </row>
    <row r="323">
      <c r="A323" s="3" t="inlineStr">
        <is>
          <t>MOVE_NUZZLE</t>
        </is>
      </c>
      <c r="B323" s="3" t="inlineStr">
        <is>
          <t>Nuzzle</t>
        </is>
      </c>
      <c r="C323" s="3" t="inlineStr">
        <is>
          <t>Electric</t>
        </is>
      </c>
      <c r="D323" s="3" t="inlineStr">
        <is>
          <t>Physical</t>
        </is>
      </c>
      <c r="E323" s="3" t="n">
        <v>20</v>
      </c>
      <c r="F323" s="3" t="n">
        <v>100</v>
      </c>
      <c r="G323" s="3" t="n">
        <v>20</v>
      </c>
    </row>
    <row r="324">
      <c r="A324" s="3" t="inlineStr">
        <is>
          <t>MOVE_OCTAZOOKA</t>
        </is>
      </c>
      <c r="B324" s="3" t="inlineStr">
        <is>
          <t>Octazooka</t>
        </is>
      </c>
      <c r="C324" s="3" t="inlineStr">
        <is>
          <t>Water</t>
        </is>
      </c>
      <c r="D324" s="3" t="inlineStr">
        <is>
          <t>Special</t>
        </is>
      </c>
      <c r="E324" s="3" t="n">
        <v>65</v>
      </c>
      <c r="F324" s="3" t="n">
        <v>85</v>
      </c>
      <c r="G324" s="3" t="n">
        <v>10</v>
      </c>
    </row>
    <row r="325">
      <c r="A325" s="3" t="inlineStr">
        <is>
          <t>MOVE_OCTOLOCK</t>
        </is>
      </c>
      <c r="B325" s="3" t="inlineStr">
        <is>
          <t>Octolock</t>
        </is>
      </c>
      <c r="C325" s="3" t="inlineStr">
        <is>
          <t>Fighting</t>
        </is>
      </c>
      <c r="D325" s="3" t="inlineStr">
        <is>
          <t>Status</t>
        </is>
      </c>
      <c r="E325" s="3" t="n">
        <v>0</v>
      </c>
      <c r="F325" s="3" t="n">
        <v>100</v>
      </c>
      <c r="G325" s="3" t="n">
        <v>15</v>
      </c>
    </row>
    <row r="326">
      <c r="A326" s="3" t="inlineStr">
        <is>
          <t>MOVE_ODOR_SLEUTH</t>
        </is>
      </c>
      <c r="B326" s="3" t="inlineStr">
        <is>
          <t>Odor Sleuth</t>
        </is>
      </c>
      <c r="C326" s="3" t="inlineStr">
        <is>
          <t>Normal</t>
        </is>
      </c>
      <c r="D326" s="3" t="inlineStr">
        <is>
          <t>Status</t>
        </is>
      </c>
      <c r="E326" s="3" t="n">
        <v>0</v>
      </c>
      <c r="F326" s="3" t="n">
        <v>0</v>
      </c>
      <c r="G326" s="3" t="n">
        <v>40</v>
      </c>
    </row>
    <row r="327">
      <c r="A327" s="3" t="inlineStr">
        <is>
          <t>MOVE_OMINOUS_WIND</t>
        </is>
      </c>
      <c r="B327" s="3" t="inlineStr">
        <is>
          <t>Ominous Wind</t>
        </is>
      </c>
      <c r="C327" s="3" t="inlineStr">
        <is>
          <t>Ghost</t>
        </is>
      </c>
      <c r="D327" s="3" t="inlineStr">
        <is>
          <t>Special</t>
        </is>
      </c>
      <c r="E327" s="3" t="n">
        <v>60</v>
      </c>
      <c r="F327" s="3" t="n">
        <v>100</v>
      </c>
      <c r="G327" s="3" t="n">
        <v>5</v>
      </c>
    </row>
    <row r="328">
      <c r="A328" s="3" t="inlineStr">
        <is>
          <t>MOVE_OUTRAGE</t>
        </is>
      </c>
      <c r="B328" s="3" t="inlineStr">
        <is>
          <t>Outrage</t>
        </is>
      </c>
      <c r="C328" s="3" t="inlineStr">
        <is>
          <t>Dragon</t>
        </is>
      </c>
      <c r="D328" s="3" t="inlineStr">
        <is>
          <t>Physical</t>
        </is>
      </c>
      <c r="E328" s="3" t="n">
        <v>120</v>
      </c>
      <c r="F328" s="3" t="n">
        <v>100</v>
      </c>
      <c r="G328" s="3" t="n">
        <v>10</v>
      </c>
    </row>
    <row r="329">
      <c r="A329" s="3" t="inlineStr">
        <is>
          <t>MOVE_OVERDRIVE</t>
        </is>
      </c>
      <c r="B329" s="3" t="inlineStr">
        <is>
          <t>Overdrive</t>
        </is>
      </c>
      <c r="C329" s="3" t="inlineStr">
        <is>
          <t>Electric</t>
        </is>
      </c>
      <c r="D329" s="3" t="inlineStr">
        <is>
          <t>Special</t>
        </is>
      </c>
      <c r="E329" s="3" t="n">
        <v>80</v>
      </c>
      <c r="F329" s="3" t="n">
        <v>100</v>
      </c>
      <c r="G329" s="3" t="n">
        <v>10</v>
      </c>
    </row>
    <row r="330">
      <c r="A330" s="3" t="inlineStr">
        <is>
          <t>MOVE_OVERHEAT</t>
        </is>
      </c>
      <c r="B330" s="3" t="inlineStr">
        <is>
          <t>Overheat</t>
        </is>
      </c>
      <c r="C330" s="3" t="inlineStr">
        <is>
          <t>Fire</t>
        </is>
      </c>
      <c r="D330" s="3" t="inlineStr">
        <is>
          <t>Special</t>
        </is>
      </c>
      <c r="E330" s="3" t="n">
        <v>130</v>
      </c>
      <c r="F330" s="3" t="n">
        <v>90</v>
      </c>
      <c r="G330" s="3" t="n">
        <v>5</v>
      </c>
    </row>
    <row r="331">
      <c r="A331" s="3" t="inlineStr">
        <is>
          <t>MOVE_PAIN_SPLIT</t>
        </is>
      </c>
      <c r="B331" s="3" t="inlineStr">
        <is>
          <t>Pain Split</t>
        </is>
      </c>
      <c r="C331" s="3" t="inlineStr">
        <is>
          <t>Normal</t>
        </is>
      </c>
      <c r="D331" s="3" t="inlineStr">
        <is>
          <t>Status</t>
        </is>
      </c>
      <c r="E331" s="3" t="n">
        <v>0</v>
      </c>
      <c r="F331" s="3" t="n">
        <v>0</v>
      </c>
      <c r="G331" s="3" t="n">
        <v>20</v>
      </c>
    </row>
    <row r="332">
      <c r="A332" s="3" t="inlineStr">
        <is>
          <t>MOVE_PARABOLIC_CHARGE</t>
        </is>
      </c>
      <c r="B332" s="3" t="inlineStr">
        <is>
          <t>Parabolic Charge</t>
        </is>
      </c>
      <c r="C332" s="3" t="inlineStr">
        <is>
          <t>Electric</t>
        </is>
      </c>
      <c r="D332" s="3" t="inlineStr">
        <is>
          <t>Special</t>
        </is>
      </c>
      <c r="E332" s="3" t="n">
        <v>65</v>
      </c>
      <c r="F332" s="3" t="n">
        <v>100</v>
      </c>
      <c r="G332" s="3" t="n">
        <v>20</v>
      </c>
    </row>
    <row r="333">
      <c r="A333" s="3" t="inlineStr">
        <is>
          <t>MOVE_PARTING_SHOT</t>
        </is>
      </c>
      <c r="B333" s="3" t="inlineStr">
        <is>
          <t>Parting Shot</t>
        </is>
      </c>
      <c r="C333" s="3" t="inlineStr">
        <is>
          <t>Dark</t>
        </is>
      </c>
      <c r="D333" s="3" t="inlineStr">
        <is>
          <t>Status</t>
        </is>
      </c>
      <c r="E333" s="3" t="n">
        <v>0</v>
      </c>
      <c r="F333" s="3" t="n">
        <v>100</v>
      </c>
      <c r="G333" s="3" t="n">
        <v>20</v>
      </c>
    </row>
    <row r="334">
      <c r="A334" s="3" t="inlineStr">
        <is>
          <t>MOVE_PAYBACK</t>
        </is>
      </c>
      <c r="B334" s="3" t="inlineStr">
        <is>
          <t>Payback</t>
        </is>
      </c>
      <c r="C334" s="3" t="inlineStr">
        <is>
          <t>Dark</t>
        </is>
      </c>
      <c r="D334" s="3" t="inlineStr">
        <is>
          <t>Physical</t>
        </is>
      </c>
      <c r="E334" s="3" t="n">
        <v>50</v>
      </c>
      <c r="F334" s="3" t="n">
        <v>100</v>
      </c>
      <c r="G334" s="3" t="n">
        <v>10</v>
      </c>
    </row>
    <row r="335">
      <c r="A335" s="3" t="inlineStr">
        <is>
          <t>MOVE_PECK</t>
        </is>
      </c>
      <c r="B335" s="3" t="inlineStr">
        <is>
          <t>Peck</t>
        </is>
      </c>
      <c r="C335" s="3" t="inlineStr">
        <is>
          <t>Flying</t>
        </is>
      </c>
      <c r="D335" s="3" t="inlineStr">
        <is>
          <t>Physical</t>
        </is>
      </c>
      <c r="E335" s="3" t="n">
        <v>40</v>
      </c>
      <c r="F335" s="3" t="n">
        <v>100</v>
      </c>
      <c r="G335" s="3" t="n">
        <v>30</v>
      </c>
    </row>
    <row r="336">
      <c r="A336" s="3" t="inlineStr">
        <is>
          <t>MOVE_PERISH_SONG</t>
        </is>
      </c>
      <c r="B336" s="3" t="inlineStr">
        <is>
          <t>Perish Song</t>
        </is>
      </c>
      <c r="C336" s="3" t="inlineStr">
        <is>
          <t>Normal</t>
        </is>
      </c>
      <c r="D336" s="3" t="inlineStr">
        <is>
          <t>Status</t>
        </is>
      </c>
      <c r="E336" s="3" t="n">
        <v>0</v>
      </c>
      <c r="F336" s="3" t="n">
        <v>0</v>
      </c>
      <c r="G336" s="3" t="n">
        <v>5</v>
      </c>
    </row>
    <row r="337">
      <c r="A337" s="3" t="inlineStr">
        <is>
          <t>MOVE_PETAL_BLIZZARD</t>
        </is>
      </c>
      <c r="B337" s="3" t="inlineStr">
        <is>
          <t>Petal Blizzard</t>
        </is>
      </c>
      <c r="C337" s="3" t="inlineStr">
        <is>
          <t>Grass</t>
        </is>
      </c>
      <c r="D337" s="3" t="inlineStr">
        <is>
          <t>Physical</t>
        </is>
      </c>
      <c r="E337" s="3" t="n">
        <v>90</v>
      </c>
      <c r="F337" s="3" t="n">
        <v>100</v>
      </c>
      <c r="G337" s="3" t="n">
        <v>15</v>
      </c>
    </row>
    <row r="338">
      <c r="A338" s="3" t="inlineStr">
        <is>
          <t>MOVE_PETAL_DANCE</t>
        </is>
      </c>
      <c r="B338" s="3" t="inlineStr">
        <is>
          <t>Petal Dance</t>
        </is>
      </c>
      <c r="C338" s="3" t="inlineStr">
        <is>
          <t>Grass</t>
        </is>
      </c>
      <c r="D338" s="3" t="inlineStr">
        <is>
          <t>Special</t>
        </is>
      </c>
      <c r="E338" s="3" t="n">
        <v>120</v>
      </c>
      <c r="F338" s="3" t="n">
        <v>100</v>
      </c>
      <c r="G338" s="3" t="n">
        <v>10</v>
      </c>
    </row>
    <row r="339">
      <c r="A339" s="3" t="inlineStr">
        <is>
          <t>MOVE_PHANTOM_FORCE</t>
        </is>
      </c>
      <c r="B339" s="3" t="inlineStr">
        <is>
          <t>Phantom Force</t>
        </is>
      </c>
      <c r="C339" s="3" t="inlineStr">
        <is>
          <t>Ghost</t>
        </is>
      </c>
      <c r="D339" s="3" t="inlineStr">
        <is>
          <t>Physical</t>
        </is>
      </c>
      <c r="E339" s="3" t="n">
        <v>90</v>
      </c>
      <c r="F339" s="3" t="n">
        <v>100</v>
      </c>
      <c r="G339" s="3" t="n">
        <v>10</v>
      </c>
    </row>
    <row r="340">
      <c r="A340" s="3" t="inlineStr">
        <is>
          <t>MOVE_PIN_MISSILE</t>
        </is>
      </c>
      <c r="B340" s="3" t="inlineStr">
        <is>
          <t>Pin Missile</t>
        </is>
      </c>
      <c r="C340" s="3" t="inlineStr">
        <is>
          <t>Bug</t>
        </is>
      </c>
      <c r="D340" s="3" t="inlineStr">
        <is>
          <t>Physical</t>
        </is>
      </c>
      <c r="E340" s="3" t="n">
        <v>25</v>
      </c>
      <c r="F340" s="3" t="n">
        <v>100</v>
      </c>
      <c r="G340" s="3" t="n">
        <v>10</v>
      </c>
    </row>
    <row r="341">
      <c r="A341" s="3" t="inlineStr">
        <is>
          <t>MOVE_PLAY_NICE</t>
        </is>
      </c>
      <c r="B341" s="3" t="inlineStr">
        <is>
          <t>Play Nice</t>
        </is>
      </c>
      <c r="C341" s="3" t="inlineStr">
        <is>
          <t>Fairy</t>
        </is>
      </c>
      <c r="D341" s="3" t="inlineStr">
        <is>
          <t>Status</t>
        </is>
      </c>
      <c r="E341" s="3" t="n">
        <v>0</v>
      </c>
      <c r="F341" s="3" t="n">
        <v>100</v>
      </c>
      <c r="G341" s="3" t="n">
        <v>15</v>
      </c>
    </row>
    <row r="342">
      <c r="A342" s="3" t="inlineStr">
        <is>
          <t>MOVE_PLAY_ROUGH</t>
        </is>
      </c>
      <c r="B342" s="3" t="inlineStr">
        <is>
          <t>Play Rough</t>
        </is>
      </c>
      <c r="C342" s="3" t="inlineStr">
        <is>
          <t>Fairy</t>
        </is>
      </c>
      <c r="D342" s="3" t="inlineStr">
        <is>
          <t>Physical</t>
        </is>
      </c>
      <c r="E342" s="3" t="n">
        <v>90</v>
      </c>
      <c r="F342" s="3" t="n">
        <v>90</v>
      </c>
      <c r="G342" s="3" t="n">
        <v>10</v>
      </c>
    </row>
    <row r="343">
      <c r="A343" s="3" t="inlineStr">
        <is>
          <t>MOVE_PLUCK</t>
        </is>
      </c>
      <c r="B343" s="3" t="inlineStr">
        <is>
          <t>Pluck</t>
        </is>
      </c>
      <c r="C343" s="3" t="inlineStr">
        <is>
          <t>Flying</t>
        </is>
      </c>
      <c r="D343" s="3" t="inlineStr">
        <is>
          <t>Physical</t>
        </is>
      </c>
      <c r="E343" s="3" t="n">
        <v>60</v>
      </c>
      <c r="F343" s="3" t="n">
        <v>100</v>
      </c>
      <c r="G343" s="3" t="n">
        <v>20</v>
      </c>
    </row>
    <row r="344">
      <c r="A344" s="3" t="inlineStr">
        <is>
          <t>MOVE_POISON_FANG</t>
        </is>
      </c>
      <c r="B344" s="3" t="inlineStr">
        <is>
          <t>Poison Fang</t>
        </is>
      </c>
      <c r="C344" s="3" t="inlineStr">
        <is>
          <t>Poison</t>
        </is>
      </c>
      <c r="D344" s="3" t="inlineStr">
        <is>
          <t>Physical</t>
        </is>
      </c>
      <c r="E344" s="3" t="n">
        <v>50</v>
      </c>
      <c r="F344" s="3" t="n">
        <v>100</v>
      </c>
      <c r="G344" s="3" t="n">
        <v>15</v>
      </c>
    </row>
    <row r="345">
      <c r="A345" s="3" t="inlineStr">
        <is>
          <t>MOVE_POISON_GAS</t>
        </is>
      </c>
      <c r="B345" s="3" t="inlineStr">
        <is>
          <t>Poison Gas</t>
        </is>
      </c>
      <c r="C345" s="3" t="inlineStr">
        <is>
          <t>Poison</t>
        </is>
      </c>
      <c r="D345" s="3" t="inlineStr">
        <is>
          <t>Status</t>
        </is>
      </c>
      <c r="E345" s="3" t="n">
        <v>0</v>
      </c>
      <c r="F345" s="3" t="n">
        <v>90</v>
      </c>
      <c r="G345" s="3" t="n">
        <v>40</v>
      </c>
    </row>
    <row r="346">
      <c r="A346" s="3" t="inlineStr">
        <is>
          <t>MOVE_POISON_JAB</t>
        </is>
      </c>
      <c r="B346" s="3" t="inlineStr">
        <is>
          <t>Poison Jab</t>
        </is>
      </c>
      <c r="C346" s="3" t="inlineStr">
        <is>
          <t>Poison</t>
        </is>
      </c>
      <c r="D346" s="3" t="inlineStr">
        <is>
          <t>Physical</t>
        </is>
      </c>
      <c r="E346" s="3" t="n">
        <v>80</v>
      </c>
      <c r="F346" s="3" t="n">
        <v>100</v>
      </c>
      <c r="G346" s="3" t="n">
        <v>20</v>
      </c>
    </row>
    <row r="347">
      <c r="A347" s="3" t="inlineStr">
        <is>
          <t>MOVE_POISON_POWDER</t>
        </is>
      </c>
      <c r="B347" s="3" t="inlineStr">
        <is>
          <t>Poison Powder</t>
        </is>
      </c>
      <c r="C347" s="3" t="inlineStr">
        <is>
          <t>Poison</t>
        </is>
      </c>
      <c r="D347" s="3" t="inlineStr">
        <is>
          <t>Status</t>
        </is>
      </c>
      <c r="E347" s="3" t="n">
        <v>0</v>
      </c>
      <c r="F347" s="3" t="n">
        <v>75</v>
      </c>
      <c r="G347" s="3" t="n">
        <v>35</v>
      </c>
    </row>
    <row r="348">
      <c r="A348" s="3" t="inlineStr">
        <is>
          <t>MOVE_POISON_STING</t>
        </is>
      </c>
      <c r="B348" s="3" t="inlineStr">
        <is>
          <t>Poison Sting</t>
        </is>
      </c>
      <c r="C348" s="3" t="inlineStr">
        <is>
          <t>Poison</t>
        </is>
      </c>
      <c r="D348" s="3" t="inlineStr">
        <is>
          <t>Physical</t>
        </is>
      </c>
      <c r="E348" s="3" t="n">
        <v>15</v>
      </c>
      <c r="F348" s="3" t="n">
        <v>100</v>
      </c>
      <c r="G348" s="3" t="n">
        <v>35</v>
      </c>
    </row>
    <row r="349">
      <c r="A349" s="3" t="inlineStr">
        <is>
          <t>MOVE_POISON_TAIL</t>
        </is>
      </c>
      <c r="B349" s="3" t="inlineStr">
        <is>
          <t>Poison Tail</t>
        </is>
      </c>
      <c r="C349" s="3" t="inlineStr">
        <is>
          <t>Poison</t>
        </is>
      </c>
      <c r="D349" s="3" t="inlineStr">
        <is>
          <t>Physical</t>
        </is>
      </c>
      <c r="E349" s="3" t="n">
        <v>50</v>
      </c>
      <c r="F349" s="3" t="n">
        <v>100</v>
      </c>
      <c r="G349" s="3" t="n">
        <v>25</v>
      </c>
    </row>
    <row r="350">
      <c r="A350" s="3" t="inlineStr">
        <is>
          <t>MOVE_POLLEN_PUFF</t>
        </is>
      </c>
      <c r="B350" s="3" t="inlineStr">
        <is>
          <t>Pollen Puff</t>
        </is>
      </c>
      <c r="C350" s="3" t="inlineStr">
        <is>
          <t>Bug</t>
        </is>
      </c>
      <c r="D350" s="3" t="inlineStr">
        <is>
          <t>Special</t>
        </is>
      </c>
      <c r="E350" s="3" t="n">
        <v>90</v>
      </c>
      <c r="F350" s="3" t="n">
        <v>100</v>
      </c>
      <c r="G350" s="3" t="n">
        <v>15</v>
      </c>
    </row>
    <row r="351">
      <c r="A351" s="3" t="inlineStr">
        <is>
          <t>MOVE_POPULATION_BOMB</t>
        </is>
      </c>
      <c r="B351" s="3" t="inlineStr">
        <is>
          <t>Population Bomb</t>
        </is>
      </c>
      <c r="C351" s="3" t="inlineStr">
        <is>
          <t>Normal</t>
        </is>
      </c>
      <c r="D351" s="3" t="inlineStr">
        <is>
          <t>Physical</t>
        </is>
      </c>
      <c r="E351" s="3" t="n">
        <v>20</v>
      </c>
      <c r="F351" s="3" t="n">
        <v>90</v>
      </c>
      <c r="G351" s="3" t="n">
        <v>10</v>
      </c>
    </row>
    <row r="352">
      <c r="A352" s="3" t="inlineStr">
        <is>
          <t>MOVE_POUND</t>
        </is>
      </c>
      <c r="B352" s="3" t="inlineStr">
        <is>
          <t>Pound</t>
        </is>
      </c>
      <c r="C352" s="3" t="inlineStr">
        <is>
          <t>Normal</t>
        </is>
      </c>
      <c r="D352" s="3" t="inlineStr">
        <is>
          <t>Physical</t>
        </is>
      </c>
      <c r="E352" s="3" t="n">
        <v>40</v>
      </c>
      <c r="F352" s="3" t="n">
        <v>100</v>
      </c>
      <c r="G352" s="3" t="n">
        <v>30</v>
      </c>
    </row>
    <row r="353">
      <c r="A353" s="3" t="inlineStr">
        <is>
          <t>MOVE_POWDER</t>
        </is>
      </c>
      <c r="B353" s="3" t="inlineStr">
        <is>
          <t>Powder</t>
        </is>
      </c>
      <c r="C353" s="3" t="inlineStr">
        <is>
          <t>Bug</t>
        </is>
      </c>
      <c r="D353" s="3" t="inlineStr">
        <is>
          <t>Status</t>
        </is>
      </c>
      <c r="E353" s="3" t="n">
        <v>0</v>
      </c>
      <c r="F353" s="3" t="n">
        <v>100</v>
      </c>
      <c r="G353" s="3" t="n">
        <v>20</v>
      </c>
    </row>
    <row r="354">
      <c r="A354" s="3" t="inlineStr">
        <is>
          <t>MOVE_POWDER_SNOW</t>
        </is>
      </c>
      <c r="B354" s="3" t="inlineStr">
        <is>
          <t>Powder Snow</t>
        </is>
      </c>
      <c r="C354" s="3" t="inlineStr">
        <is>
          <t>Ice</t>
        </is>
      </c>
      <c r="D354" s="3" t="inlineStr">
        <is>
          <t>Special</t>
        </is>
      </c>
      <c r="E354" s="3" t="n">
        <v>40</v>
      </c>
      <c r="F354" s="3" t="n">
        <v>100</v>
      </c>
      <c r="G354" s="3" t="n">
        <v>25</v>
      </c>
    </row>
    <row r="355">
      <c r="A355" s="3" t="inlineStr">
        <is>
          <t>MOVE_POWER_GEM</t>
        </is>
      </c>
      <c r="B355" s="3" t="inlineStr">
        <is>
          <t>Power Gem</t>
        </is>
      </c>
      <c r="C355" s="3" t="inlineStr">
        <is>
          <t>Rock</t>
        </is>
      </c>
      <c r="D355" s="3" t="inlineStr">
        <is>
          <t>Special</t>
        </is>
      </c>
      <c r="E355" s="3" t="n">
        <v>80</v>
      </c>
      <c r="F355" s="3" t="n">
        <v>100</v>
      </c>
      <c r="G355" s="3" t="n">
        <v>20</v>
      </c>
    </row>
    <row r="356">
      <c r="A356" s="3" t="inlineStr">
        <is>
          <t>MOVE_POWER_SPLIT</t>
        </is>
      </c>
      <c r="B356" s="3" t="inlineStr">
        <is>
          <t>Power Split</t>
        </is>
      </c>
      <c r="C356" s="3" t="inlineStr">
        <is>
          <t>Psychic</t>
        </is>
      </c>
      <c r="D356" s="3" t="inlineStr">
        <is>
          <t>Status</t>
        </is>
      </c>
      <c r="E356" s="3" t="n">
        <v>0</v>
      </c>
      <c r="F356" s="3" t="n">
        <v>0</v>
      </c>
      <c r="G356" s="3" t="n">
        <v>10</v>
      </c>
    </row>
    <row r="357">
      <c r="A357" s="3" t="inlineStr">
        <is>
          <t>MOVE_POWER_SWAP</t>
        </is>
      </c>
      <c r="B357" s="3" t="inlineStr">
        <is>
          <t>Power Swap</t>
        </is>
      </c>
      <c r="C357" s="3" t="inlineStr">
        <is>
          <t>Psychic</t>
        </is>
      </c>
      <c r="D357" s="3" t="inlineStr">
        <is>
          <t>Status</t>
        </is>
      </c>
      <c r="E357" s="3" t="n">
        <v>0</v>
      </c>
      <c r="F357" s="3" t="n">
        <v>0</v>
      </c>
      <c r="G357" s="3" t="n">
        <v>10</v>
      </c>
    </row>
    <row r="358">
      <c r="A358" s="3" t="inlineStr">
        <is>
          <t>MOVE_POWER_TRICK</t>
        </is>
      </c>
      <c r="B358" s="3" t="inlineStr">
        <is>
          <t>Power Trick</t>
        </is>
      </c>
      <c r="C358" s="3" t="inlineStr">
        <is>
          <t>Psychic</t>
        </is>
      </c>
      <c r="D358" s="3" t="inlineStr">
        <is>
          <t>Status</t>
        </is>
      </c>
      <c r="E358" s="3" t="n">
        <v>0</v>
      </c>
      <c r="F358" s="3" t="n">
        <v>0</v>
      </c>
      <c r="G358" s="3" t="n">
        <v>10</v>
      </c>
    </row>
    <row r="359">
      <c r="A359" s="3" t="inlineStr">
        <is>
          <t>MOVE_POWER_TRIP</t>
        </is>
      </c>
      <c r="B359" s="3" t="inlineStr">
        <is>
          <t>Power Trip</t>
        </is>
      </c>
      <c r="C359" s="3" t="inlineStr">
        <is>
          <t>Dark</t>
        </is>
      </c>
      <c r="D359" s="3" t="inlineStr">
        <is>
          <t>Physical</t>
        </is>
      </c>
      <c r="E359" s="3" t="n">
        <v>20</v>
      </c>
      <c r="F359" s="3" t="n">
        <v>100</v>
      </c>
      <c r="G359" s="3" t="n">
        <v>10</v>
      </c>
    </row>
    <row r="360">
      <c r="A360" s="3" t="inlineStr">
        <is>
          <t>MOVE_POWER_WHIP</t>
        </is>
      </c>
      <c r="B360" s="3" t="inlineStr">
        <is>
          <t>Power Whip</t>
        </is>
      </c>
      <c r="C360" s="3" t="inlineStr">
        <is>
          <t>Grass</t>
        </is>
      </c>
      <c r="D360" s="3" t="inlineStr">
        <is>
          <t>Physical</t>
        </is>
      </c>
      <c r="E360" s="3" t="n">
        <v>120</v>
      </c>
      <c r="F360" s="3" t="n">
        <v>85</v>
      </c>
      <c r="G360" s="3" t="n">
        <v>10</v>
      </c>
    </row>
    <row r="361">
      <c r="A361" s="3" t="inlineStr">
        <is>
          <t>MOVE_POWER_UP_PUNCH</t>
        </is>
      </c>
      <c r="B361" s="3" t="inlineStr">
        <is>
          <t>Power-Up Punch</t>
        </is>
      </c>
      <c r="C361" s="3" t="inlineStr">
        <is>
          <t>Fighting</t>
        </is>
      </c>
      <c r="D361" s="3" t="inlineStr">
        <is>
          <t>Physical</t>
        </is>
      </c>
      <c r="E361" s="3" t="n">
        <v>40</v>
      </c>
      <c r="F361" s="3" t="n">
        <v>100</v>
      </c>
      <c r="G361" s="3" t="n">
        <v>20</v>
      </c>
    </row>
    <row r="362">
      <c r="A362" s="3" t="inlineStr">
        <is>
          <t>MOVE_PROTECT</t>
        </is>
      </c>
      <c r="B362" s="3" t="inlineStr">
        <is>
          <t>Protect</t>
        </is>
      </c>
      <c r="C362" s="3" t="inlineStr">
        <is>
          <t>Normal</t>
        </is>
      </c>
      <c r="D362" s="3" t="inlineStr">
        <is>
          <t>Status</t>
        </is>
      </c>
      <c r="E362" s="3" t="n">
        <v>0</v>
      </c>
      <c r="F362" s="3" t="n">
        <v>0</v>
      </c>
      <c r="G362" s="3" t="n">
        <v>10</v>
      </c>
    </row>
    <row r="363">
      <c r="A363" s="3" t="inlineStr">
        <is>
          <t>MOVE_PSYBEAM</t>
        </is>
      </c>
      <c r="B363" s="3" t="inlineStr">
        <is>
          <t>Psybeam</t>
        </is>
      </c>
      <c r="C363" s="3" t="inlineStr">
        <is>
          <t>Psychic</t>
        </is>
      </c>
      <c r="D363" s="3" t="inlineStr">
        <is>
          <t>Special</t>
        </is>
      </c>
      <c r="E363" s="3" t="n">
        <v>65</v>
      </c>
      <c r="F363" s="3" t="n">
        <v>100</v>
      </c>
      <c r="G363" s="3" t="n">
        <v>20</v>
      </c>
    </row>
    <row r="364">
      <c r="A364" s="3" t="inlineStr">
        <is>
          <t>MOVE_PSYCH_UP</t>
        </is>
      </c>
      <c r="B364" s="3" t="inlineStr">
        <is>
          <t>Psych Up</t>
        </is>
      </c>
      <c r="C364" s="3" t="inlineStr">
        <is>
          <t>Normal</t>
        </is>
      </c>
      <c r="D364" s="3" t="inlineStr">
        <is>
          <t>Status</t>
        </is>
      </c>
      <c r="E364" s="3" t="n">
        <v>0</v>
      </c>
      <c r="F364" s="3" t="n">
        <v>0</v>
      </c>
      <c r="G364" s="3" t="n">
        <v>10</v>
      </c>
    </row>
    <row r="365">
      <c r="A365" s="3" t="inlineStr">
        <is>
          <t>MOVE_PSYCHIC</t>
        </is>
      </c>
      <c r="B365" s="3" t="inlineStr">
        <is>
          <t>Psychic</t>
        </is>
      </c>
      <c r="C365" s="3" t="inlineStr">
        <is>
          <t>Psychic</t>
        </is>
      </c>
      <c r="D365" s="3" t="inlineStr">
        <is>
          <t>Special</t>
        </is>
      </c>
      <c r="E365" s="3" t="n">
        <v>90</v>
      </c>
      <c r="F365" s="3" t="n">
        <v>100</v>
      </c>
      <c r="G365" s="3" t="n">
        <v>10</v>
      </c>
    </row>
    <row r="366">
      <c r="A366" s="3" t="inlineStr">
        <is>
          <t>MOVE_PSYCHIC_TERRAIN</t>
        </is>
      </c>
      <c r="B366" s="3" t="inlineStr">
        <is>
          <t>Psychic Terrain</t>
        </is>
      </c>
      <c r="C366" s="3" t="inlineStr">
        <is>
          <t>Psychic</t>
        </is>
      </c>
      <c r="D366" s="3" t="inlineStr">
        <is>
          <t>Status</t>
        </is>
      </c>
      <c r="E366" s="3" t="n">
        <v>0</v>
      </c>
      <c r="F366" s="3" t="n">
        <v>0</v>
      </c>
      <c r="G366" s="3" t="n">
        <v>10</v>
      </c>
    </row>
    <row r="367">
      <c r="A367" s="3" t="inlineStr">
        <is>
          <t>MOVE_PSYCHO_CUT</t>
        </is>
      </c>
      <c r="B367" s="3" t="inlineStr">
        <is>
          <t>Psycho Cut</t>
        </is>
      </c>
      <c r="C367" s="3" t="inlineStr">
        <is>
          <t>Psychic</t>
        </is>
      </c>
      <c r="D367" s="3" t="inlineStr">
        <is>
          <t>Physical</t>
        </is>
      </c>
      <c r="E367" s="3" t="n">
        <v>70</v>
      </c>
      <c r="F367" s="3" t="n">
        <v>100</v>
      </c>
      <c r="G367" s="3" t="n">
        <v>20</v>
      </c>
    </row>
    <row r="368">
      <c r="A368" s="3" t="inlineStr">
        <is>
          <t>MOVE_PSYCHO_SHIFT</t>
        </is>
      </c>
      <c r="B368" s="3" t="inlineStr">
        <is>
          <t>Psycho Shift</t>
        </is>
      </c>
      <c r="C368" s="3" t="inlineStr">
        <is>
          <t>Psychic</t>
        </is>
      </c>
      <c r="D368" s="3" t="inlineStr">
        <is>
          <t>Status</t>
        </is>
      </c>
      <c r="E368" s="3" t="n">
        <v>0</v>
      </c>
      <c r="F368" s="3" t="n">
        <v>100</v>
      </c>
      <c r="G368" s="3" t="n">
        <v>10</v>
      </c>
    </row>
    <row r="369">
      <c r="A369" s="3" t="inlineStr">
        <is>
          <t>MOVE_PSYSHOCK</t>
        </is>
      </c>
      <c r="B369" s="3" t="inlineStr">
        <is>
          <t>Psyshock</t>
        </is>
      </c>
      <c r="C369" s="3" t="inlineStr">
        <is>
          <t>Psychic</t>
        </is>
      </c>
      <c r="D369" s="3" t="inlineStr">
        <is>
          <t>Special</t>
        </is>
      </c>
      <c r="E369" s="3" t="n">
        <v>80</v>
      </c>
      <c r="F369" s="3" t="n">
        <v>100</v>
      </c>
      <c r="G369" s="3" t="n">
        <v>10</v>
      </c>
    </row>
    <row r="370">
      <c r="A370" s="3" t="inlineStr">
        <is>
          <t>MOVE_PUNISHMENT</t>
        </is>
      </c>
      <c r="B370" s="3" t="inlineStr">
        <is>
          <t>Punishment</t>
        </is>
      </c>
      <c r="C370" s="3" t="inlineStr">
        <is>
          <t>Dark</t>
        </is>
      </c>
      <c r="D370" s="3" t="inlineStr">
        <is>
          <t>Physical</t>
        </is>
      </c>
      <c r="E370" s="3" t="n">
        <v>60</v>
      </c>
      <c r="F370" s="3" t="n">
        <v>100</v>
      </c>
      <c r="G370" s="3" t="n">
        <v>5</v>
      </c>
    </row>
    <row r="371">
      <c r="A371" s="3" t="inlineStr">
        <is>
          <t>MOVE_PURSUIT</t>
        </is>
      </c>
      <c r="B371" s="3" t="inlineStr">
        <is>
          <t>Pursuit</t>
        </is>
      </c>
      <c r="C371" s="3" t="inlineStr">
        <is>
          <t>Dark</t>
        </is>
      </c>
      <c r="D371" s="3" t="inlineStr">
        <is>
          <t>Physical</t>
        </is>
      </c>
      <c r="E371" s="3" t="n">
        <v>40</v>
      </c>
      <c r="F371" s="3" t="n">
        <v>100</v>
      </c>
      <c r="G371" s="3" t="n">
        <v>20</v>
      </c>
    </row>
    <row r="372">
      <c r="A372" s="3" t="inlineStr">
        <is>
          <t>MOVE_QUASH</t>
        </is>
      </c>
      <c r="B372" s="3" t="inlineStr">
        <is>
          <t>Quash</t>
        </is>
      </c>
      <c r="C372" s="3" t="inlineStr">
        <is>
          <t>Dark</t>
        </is>
      </c>
      <c r="D372" s="3" t="inlineStr">
        <is>
          <t>Status</t>
        </is>
      </c>
      <c r="E372" s="3" t="n">
        <v>0</v>
      </c>
      <c r="F372" s="3" t="n">
        <v>100</v>
      </c>
      <c r="G372" s="3" t="n">
        <v>15</v>
      </c>
    </row>
    <row r="373">
      <c r="A373" s="3" t="inlineStr">
        <is>
          <t>MOVE_QUICK_ATTACK</t>
        </is>
      </c>
      <c r="B373" s="3" t="inlineStr">
        <is>
          <t>Quick Attack</t>
        </is>
      </c>
      <c r="C373" s="3" t="inlineStr">
        <is>
          <t>Normal</t>
        </is>
      </c>
      <c r="D373" s="3" t="inlineStr">
        <is>
          <t>Physical</t>
        </is>
      </c>
      <c r="E373" s="3" t="n">
        <v>40</v>
      </c>
      <c r="F373" s="3" t="n">
        <v>100</v>
      </c>
      <c r="G373" s="3" t="n">
        <v>15</v>
      </c>
    </row>
    <row r="374">
      <c r="A374" s="3" t="inlineStr">
        <is>
          <t>MOVE_QUICK_GUARD</t>
        </is>
      </c>
      <c r="B374" s="3" t="inlineStr">
        <is>
          <t>Quick Guard</t>
        </is>
      </c>
      <c r="C374" s="3" t="inlineStr">
        <is>
          <t>Fighting</t>
        </is>
      </c>
      <c r="D374" s="3" t="inlineStr">
        <is>
          <t>Status</t>
        </is>
      </c>
      <c r="E374" s="3" t="n">
        <v>0</v>
      </c>
      <c r="F374" s="3" t="n">
        <v>0</v>
      </c>
      <c r="G374" s="3" t="n">
        <v>15</v>
      </c>
    </row>
    <row r="375">
      <c r="A375" s="3" t="inlineStr">
        <is>
          <t>MOVE_QUIVER_DANCE</t>
        </is>
      </c>
      <c r="B375" s="3" t="inlineStr">
        <is>
          <t>Quiver Dance</t>
        </is>
      </c>
      <c r="C375" s="3" t="inlineStr">
        <is>
          <t>Bug</t>
        </is>
      </c>
      <c r="D375" s="3" t="inlineStr">
        <is>
          <t>Status</t>
        </is>
      </c>
      <c r="E375" s="3" t="n">
        <v>0</v>
      </c>
      <c r="F375" s="3" t="n">
        <v>0</v>
      </c>
      <c r="G375" s="3" t="n">
        <v>20</v>
      </c>
    </row>
    <row r="376">
      <c r="A376" s="3" t="inlineStr">
        <is>
          <t>MOVE_RAGE</t>
        </is>
      </c>
      <c r="B376" s="3" t="inlineStr">
        <is>
          <t>Rage</t>
        </is>
      </c>
      <c r="C376" s="3" t="inlineStr">
        <is>
          <t>Normal</t>
        </is>
      </c>
      <c r="D376" s="3" t="inlineStr">
        <is>
          <t>Physical</t>
        </is>
      </c>
      <c r="E376" s="3" t="n">
        <v>20</v>
      </c>
      <c r="F376" s="3" t="n">
        <v>100</v>
      </c>
      <c r="G376" s="3" t="n">
        <v>20</v>
      </c>
    </row>
    <row r="377">
      <c r="A377" s="3" t="inlineStr">
        <is>
          <t>MOVE_RAGE_FIST</t>
        </is>
      </c>
      <c r="B377" s="3" t="inlineStr">
        <is>
          <t>Rage Fist</t>
        </is>
      </c>
      <c r="C377" s="3" t="inlineStr">
        <is>
          <t>Ghost</t>
        </is>
      </c>
      <c r="D377" s="3" t="inlineStr">
        <is>
          <t>Physical</t>
        </is>
      </c>
      <c r="E377" s="3" t="n">
        <v>50</v>
      </c>
      <c r="F377" s="3" t="n">
        <v>100</v>
      </c>
      <c r="G377" s="3" t="n">
        <v>10</v>
      </c>
    </row>
    <row r="378">
      <c r="A378" s="3" t="inlineStr">
        <is>
          <t>MOVE_RAGE_POWDER</t>
        </is>
      </c>
      <c r="B378" s="3" t="inlineStr">
        <is>
          <t>Rage Powder</t>
        </is>
      </c>
      <c r="C378" s="3" t="inlineStr">
        <is>
          <t>Bug</t>
        </is>
      </c>
      <c r="D378" s="3" t="inlineStr">
        <is>
          <t>Status</t>
        </is>
      </c>
      <c r="E378" s="3" t="n">
        <v>0</v>
      </c>
      <c r="F378" s="3" t="n">
        <v>0</v>
      </c>
      <c r="G378" s="3" t="n">
        <v>20</v>
      </c>
    </row>
    <row r="379">
      <c r="A379" s="3" t="inlineStr">
        <is>
          <t>MOVE_RAIN_DANCE</t>
        </is>
      </c>
      <c r="B379" s="3" t="inlineStr">
        <is>
          <t>Rain Dance</t>
        </is>
      </c>
      <c r="C379" s="3" t="inlineStr">
        <is>
          <t>Water</t>
        </is>
      </c>
      <c r="D379" s="3" t="inlineStr">
        <is>
          <t>Status</t>
        </is>
      </c>
      <c r="E379" s="3" t="n">
        <v>0</v>
      </c>
      <c r="F379" s="3" t="n">
        <v>0</v>
      </c>
      <c r="G379" s="3" t="n">
        <v>5</v>
      </c>
    </row>
    <row r="380">
      <c r="A380" s="3" t="inlineStr">
        <is>
          <t>MOVE_RAPID_SPIN</t>
        </is>
      </c>
      <c r="B380" s="3" t="inlineStr">
        <is>
          <t>Rapid Spin</t>
        </is>
      </c>
      <c r="C380" s="3" t="inlineStr">
        <is>
          <t>Normal</t>
        </is>
      </c>
      <c r="D380" s="3" t="inlineStr">
        <is>
          <t>Physical</t>
        </is>
      </c>
      <c r="E380" s="3" t="n">
        <v>50</v>
      </c>
      <c r="F380" s="3" t="n">
        <v>100</v>
      </c>
      <c r="G380" s="3" t="n">
        <v>40</v>
      </c>
    </row>
    <row r="381">
      <c r="A381" s="3" t="inlineStr">
        <is>
          <t>MOVE_RAZOR_LEAF</t>
        </is>
      </c>
      <c r="B381" s="3" t="inlineStr">
        <is>
          <t>Razor Leaf</t>
        </is>
      </c>
      <c r="C381" s="3" t="inlineStr">
        <is>
          <t>Grass</t>
        </is>
      </c>
      <c r="D381" s="3" t="inlineStr">
        <is>
          <t>Physical</t>
        </is>
      </c>
      <c r="E381" s="3" t="n">
        <v>60</v>
      </c>
      <c r="F381" s="3" t="n">
        <v>100</v>
      </c>
      <c r="G381" s="3" t="n">
        <v>20</v>
      </c>
    </row>
    <row r="382">
      <c r="A382" s="3" t="inlineStr">
        <is>
          <t>MOVE_RAZOR_SHELL</t>
        </is>
      </c>
      <c r="B382" s="3" t="inlineStr">
        <is>
          <t>Razor Shell</t>
        </is>
      </c>
      <c r="C382" s="3" t="inlineStr">
        <is>
          <t>Water</t>
        </is>
      </c>
      <c r="D382" s="3" t="inlineStr">
        <is>
          <t>Physical</t>
        </is>
      </c>
      <c r="E382" s="3" t="n">
        <v>75</v>
      </c>
      <c r="F382" s="3" t="n">
        <v>95</v>
      </c>
      <c r="G382" s="3" t="n">
        <v>10</v>
      </c>
    </row>
    <row r="383">
      <c r="A383" s="3" t="inlineStr">
        <is>
          <t>MOVE_RAZOR_WIND</t>
        </is>
      </c>
      <c r="B383" s="3" t="inlineStr">
        <is>
          <t>Razor Wind</t>
        </is>
      </c>
      <c r="C383" s="3" t="inlineStr">
        <is>
          <t>Normal</t>
        </is>
      </c>
      <c r="D383" s="3" t="inlineStr">
        <is>
          <t>Special</t>
        </is>
      </c>
      <c r="E383" s="3" t="n">
        <v>80</v>
      </c>
      <c r="F383" s="3" t="n">
        <v>100</v>
      </c>
      <c r="G383" s="3" t="n">
        <v>10</v>
      </c>
    </row>
    <row r="384">
      <c r="A384" s="3" t="inlineStr">
        <is>
          <t>MOVE_RECOVER</t>
        </is>
      </c>
      <c r="B384" s="3" t="inlineStr">
        <is>
          <t>Recover</t>
        </is>
      </c>
      <c r="C384" s="3" t="inlineStr">
        <is>
          <t>Normal</t>
        </is>
      </c>
      <c r="D384" s="3" t="inlineStr">
        <is>
          <t>Status</t>
        </is>
      </c>
      <c r="E384" s="3" t="n">
        <v>0</v>
      </c>
      <c r="F384" s="3" t="n">
        <v>0</v>
      </c>
      <c r="G384" s="3" t="n">
        <v>5</v>
      </c>
    </row>
    <row r="385">
      <c r="A385" s="3" t="inlineStr">
        <is>
          <t>MOVE_RECYCLE</t>
        </is>
      </c>
      <c r="B385" s="3" t="inlineStr">
        <is>
          <t>Recycle</t>
        </is>
      </c>
      <c r="C385" s="3" t="inlineStr">
        <is>
          <t>Normal</t>
        </is>
      </c>
      <c r="D385" s="3" t="inlineStr">
        <is>
          <t>Status</t>
        </is>
      </c>
      <c r="E385" s="3" t="n">
        <v>0</v>
      </c>
      <c r="F385" s="3" t="n">
        <v>0</v>
      </c>
      <c r="G385" s="3" t="n">
        <v>10</v>
      </c>
    </row>
    <row r="386">
      <c r="A386" s="3" t="inlineStr">
        <is>
          <t>MOVE_REFLECT</t>
        </is>
      </c>
      <c r="B386" s="3" t="inlineStr">
        <is>
          <t>Reflect</t>
        </is>
      </c>
      <c r="C386" s="3" t="inlineStr">
        <is>
          <t>Psychic</t>
        </is>
      </c>
      <c r="D386" s="3" t="inlineStr">
        <is>
          <t>Status</t>
        </is>
      </c>
      <c r="E386" s="3" t="n">
        <v>0</v>
      </c>
      <c r="F386" s="3" t="n">
        <v>0</v>
      </c>
      <c r="G386" s="3" t="n">
        <v>20</v>
      </c>
    </row>
    <row r="387">
      <c r="A387" s="3" t="inlineStr">
        <is>
          <t>MOVE_REFLECT_TYPE</t>
        </is>
      </c>
      <c r="B387" s="3" t="inlineStr">
        <is>
          <t>Reflect Type</t>
        </is>
      </c>
      <c r="C387" s="3" t="inlineStr">
        <is>
          <t>Normal</t>
        </is>
      </c>
      <c r="D387" s="3" t="inlineStr">
        <is>
          <t>Status</t>
        </is>
      </c>
      <c r="E387" s="3" t="n">
        <v>0</v>
      </c>
      <c r="F387" s="3" t="n">
        <v>0</v>
      </c>
      <c r="G387" s="3" t="n">
        <v>15</v>
      </c>
    </row>
    <row r="388">
      <c r="A388" s="3" t="inlineStr">
        <is>
          <t>MOVE_REFRESH</t>
        </is>
      </c>
      <c r="B388" s="3" t="inlineStr">
        <is>
          <t>Refresh</t>
        </is>
      </c>
      <c r="C388" s="3" t="inlineStr">
        <is>
          <t>Normal</t>
        </is>
      </c>
      <c r="D388" s="3" t="inlineStr">
        <is>
          <t>Status</t>
        </is>
      </c>
      <c r="E388" s="3" t="n">
        <v>0</v>
      </c>
      <c r="F388" s="3" t="n">
        <v>0</v>
      </c>
      <c r="G388" s="3" t="n">
        <v>20</v>
      </c>
    </row>
    <row r="389">
      <c r="A389" s="3" t="inlineStr">
        <is>
          <t>MOVE_REST</t>
        </is>
      </c>
      <c r="B389" s="3" t="inlineStr">
        <is>
          <t>Rest</t>
        </is>
      </c>
      <c r="C389" s="3" t="inlineStr">
        <is>
          <t>Psychic</t>
        </is>
      </c>
      <c r="D389" s="3" t="inlineStr">
        <is>
          <t>Status</t>
        </is>
      </c>
      <c r="E389" s="3" t="n">
        <v>0</v>
      </c>
      <c r="F389" s="3" t="n">
        <v>0</v>
      </c>
      <c r="G389" s="3" t="n">
        <v>5</v>
      </c>
    </row>
    <row r="390">
      <c r="A390" s="3" t="inlineStr">
        <is>
          <t>MOVE_RETALIATE</t>
        </is>
      </c>
      <c r="B390" s="3" t="inlineStr">
        <is>
          <t>Retaliate</t>
        </is>
      </c>
      <c r="C390" s="3" t="inlineStr">
        <is>
          <t>Normal</t>
        </is>
      </c>
      <c r="D390" s="3" t="inlineStr">
        <is>
          <t>Physical</t>
        </is>
      </c>
      <c r="E390" s="3" t="n">
        <v>70</v>
      </c>
      <c r="F390" s="3" t="n">
        <v>100</v>
      </c>
      <c r="G390" s="3" t="n">
        <v>5</v>
      </c>
    </row>
    <row r="391">
      <c r="A391" s="3" t="inlineStr">
        <is>
          <t>MOVE_RETURN</t>
        </is>
      </c>
      <c r="B391" s="3" t="inlineStr">
        <is>
          <t>Return</t>
        </is>
      </c>
      <c r="C391" s="3" t="inlineStr">
        <is>
          <t>Normal</t>
        </is>
      </c>
      <c r="D391" s="3" t="inlineStr">
        <is>
          <t>Physical</t>
        </is>
      </c>
      <c r="E391" s="3" t="n">
        <v>1</v>
      </c>
      <c r="F391" s="3" t="n">
        <v>100</v>
      </c>
      <c r="G391" s="3" t="n">
        <v>20</v>
      </c>
    </row>
    <row r="392">
      <c r="A392" s="3" t="inlineStr">
        <is>
          <t>MOVE_REVENGE</t>
        </is>
      </c>
      <c r="B392" s="3" t="inlineStr">
        <is>
          <t>Revenge</t>
        </is>
      </c>
      <c r="C392" s="3" t="inlineStr">
        <is>
          <t>Fighting</t>
        </is>
      </c>
      <c r="D392" s="3" t="inlineStr">
        <is>
          <t>Physical</t>
        </is>
      </c>
      <c r="E392" s="3" t="n">
        <v>60</v>
      </c>
      <c r="F392" s="3" t="n">
        <v>100</v>
      </c>
      <c r="G392" s="3" t="n">
        <v>10</v>
      </c>
    </row>
    <row r="393">
      <c r="A393" s="3" t="inlineStr">
        <is>
          <t>MOVE_REVERSAL</t>
        </is>
      </c>
      <c r="B393" s="3" t="inlineStr">
        <is>
          <t>Reversal</t>
        </is>
      </c>
      <c r="C393" s="3" t="inlineStr">
        <is>
          <t>Fighting</t>
        </is>
      </c>
      <c r="D393" s="3" t="inlineStr">
        <is>
          <t>Physical</t>
        </is>
      </c>
      <c r="E393" s="3" t="n">
        <v>1</v>
      </c>
      <c r="F393" s="3" t="n">
        <v>100</v>
      </c>
      <c r="G393" s="3" t="n">
        <v>15</v>
      </c>
    </row>
    <row r="394">
      <c r="A394" s="3" t="inlineStr">
        <is>
          <t>MOVE_ROAR</t>
        </is>
      </c>
      <c r="B394" s="3" t="inlineStr">
        <is>
          <t>Roar</t>
        </is>
      </c>
      <c r="C394" s="3" t="inlineStr">
        <is>
          <t>Normal</t>
        </is>
      </c>
      <c r="D394" s="3" t="inlineStr">
        <is>
          <t>Status</t>
        </is>
      </c>
      <c r="E394" s="3" t="n">
        <v>0</v>
      </c>
      <c r="F394" s="3" t="n">
        <v>0</v>
      </c>
      <c r="G394" s="3" t="n">
        <v>20</v>
      </c>
    </row>
    <row r="395">
      <c r="A395" s="3" t="inlineStr">
        <is>
          <t>MOVE_ROCK_BLAST</t>
        </is>
      </c>
      <c r="B395" s="3" t="inlineStr">
        <is>
          <t>Rock Blast</t>
        </is>
      </c>
      <c r="C395" s="3" t="inlineStr">
        <is>
          <t>Rock</t>
        </is>
      </c>
      <c r="D395" s="3" t="inlineStr">
        <is>
          <t>Physical</t>
        </is>
      </c>
      <c r="E395" s="3" t="n">
        <v>25</v>
      </c>
      <c r="F395" s="3" t="n">
        <v>100</v>
      </c>
      <c r="G395" s="3" t="n">
        <v>10</v>
      </c>
    </row>
    <row r="396">
      <c r="A396" s="3" t="inlineStr">
        <is>
          <t>MOVE_ROCK_CLIMB</t>
        </is>
      </c>
      <c r="B396" s="3" t="inlineStr">
        <is>
          <t>Rock Climb</t>
        </is>
      </c>
      <c r="C396" s="3" t="inlineStr">
        <is>
          <t>Normal</t>
        </is>
      </c>
      <c r="D396" s="3" t="inlineStr">
        <is>
          <t>Physical</t>
        </is>
      </c>
      <c r="E396" s="3" t="n">
        <v>90</v>
      </c>
      <c r="F396" s="3" t="n">
        <v>85</v>
      </c>
      <c r="G396" s="3" t="n">
        <v>20</v>
      </c>
    </row>
    <row r="397">
      <c r="A397" s="3" t="inlineStr">
        <is>
          <t>MOVE_ROCK_POLISH</t>
        </is>
      </c>
      <c r="B397" s="3" t="inlineStr">
        <is>
          <t>Rock Polish</t>
        </is>
      </c>
      <c r="C397" s="3" t="inlineStr">
        <is>
          <t>Rock</t>
        </is>
      </c>
      <c r="D397" s="3" t="inlineStr">
        <is>
          <t>Status</t>
        </is>
      </c>
      <c r="E397" s="3" t="n">
        <v>0</v>
      </c>
      <c r="F397" s="3" t="n">
        <v>0</v>
      </c>
      <c r="G397" s="3" t="n">
        <v>20</v>
      </c>
    </row>
    <row r="398">
      <c r="A398" s="3" t="inlineStr">
        <is>
          <t>MOVE_ROCK_SLIDE</t>
        </is>
      </c>
      <c r="B398" s="3" t="inlineStr">
        <is>
          <t>Rock Slide</t>
        </is>
      </c>
      <c r="C398" s="3" t="inlineStr">
        <is>
          <t>Rock</t>
        </is>
      </c>
      <c r="D398" s="3" t="inlineStr">
        <is>
          <t>Physical</t>
        </is>
      </c>
      <c r="E398" s="3" t="n">
        <v>75</v>
      </c>
      <c r="F398" s="3" t="n">
        <v>90</v>
      </c>
      <c r="G398" s="3" t="n">
        <v>10</v>
      </c>
    </row>
    <row r="399">
      <c r="A399" s="3" t="inlineStr">
        <is>
          <t>MOVE_ROCK_SMASH</t>
        </is>
      </c>
      <c r="B399" s="3" t="inlineStr">
        <is>
          <t>Rock Smash</t>
        </is>
      </c>
      <c r="C399" s="3" t="inlineStr">
        <is>
          <t>Fighting</t>
        </is>
      </c>
      <c r="D399" s="3" t="inlineStr">
        <is>
          <t>Physical</t>
        </is>
      </c>
      <c r="E399" s="3" t="n">
        <v>40</v>
      </c>
      <c r="F399" s="3" t="n">
        <v>100</v>
      </c>
      <c r="G399" s="3" t="n">
        <v>15</v>
      </c>
    </row>
    <row r="400">
      <c r="A400" s="3" t="inlineStr">
        <is>
          <t>MOVE_ROCK_THROW</t>
        </is>
      </c>
      <c r="B400" s="3" t="inlineStr">
        <is>
          <t>Rock Throw</t>
        </is>
      </c>
      <c r="C400" s="3" t="inlineStr">
        <is>
          <t>Rock</t>
        </is>
      </c>
      <c r="D400" s="3" t="inlineStr">
        <is>
          <t>Physical</t>
        </is>
      </c>
      <c r="E400" s="3" t="n">
        <v>50</v>
      </c>
      <c r="F400" s="3" t="n">
        <v>100</v>
      </c>
      <c r="G400" s="3" t="n">
        <v>25</v>
      </c>
    </row>
    <row r="401">
      <c r="A401" s="3" t="inlineStr">
        <is>
          <t>MOVE_ROCK_TOMB</t>
        </is>
      </c>
      <c r="B401" s="3" t="inlineStr">
        <is>
          <t>Rock Tomb</t>
        </is>
      </c>
      <c r="C401" s="3" t="inlineStr">
        <is>
          <t>Rock</t>
        </is>
      </c>
      <c r="D401" s="3" t="inlineStr">
        <is>
          <t>Physical</t>
        </is>
      </c>
      <c r="E401" s="3" t="n">
        <v>60</v>
      </c>
      <c r="F401" s="3" t="n">
        <v>95</v>
      </c>
      <c r="G401" s="3" t="n">
        <v>15</v>
      </c>
    </row>
    <row r="402">
      <c r="A402" s="3" t="inlineStr">
        <is>
          <t>MOVE_ROCK_WRECKER</t>
        </is>
      </c>
      <c r="B402" s="3" t="inlineStr">
        <is>
          <t>Rock Wrecker</t>
        </is>
      </c>
      <c r="C402" s="3" t="inlineStr">
        <is>
          <t>Rock</t>
        </is>
      </c>
      <c r="D402" s="3" t="inlineStr">
        <is>
          <t>Physical</t>
        </is>
      </c>
      <c r="E402" s="3" t="n">
        <v>150</v>
      </c>
      <c r="F402" s="3" t="n">
        <v>90</v>
      </c>
      <c r="G402" s="3" t="n">
        <v>5</v>
      </c>
    </row>
    <row r="403">
      <c r="A403" s="3" t="inlineStr">
        <is>
          <t>MOVE_ROLE_PLAY</t>
        </is>
      </c>
      <c r="B403" s="3" t="inlineStr">
        <is>
          <t>Role Play</t>
        </is>
      </c>
      <c r="C403" s="3" t="inlineStr">
        <is>
          <t>Psychic</t>
        </is>
      </c>
      <c r="D403" s="3" t="inlineStr">
        <is>
          <t>Status</t>
        </is>
      </c>
      <c r="E403" s="3" t="n">
        <v>0</v>
      </c>
      <c r="F403" s="3" t="n">
        <v>0</v>
      </c>
      <c r="G403" s="3" t="n">
        <v>10</v>
      </c>
    </row>
    <row r="404">
      <c r="A404" s="3" t="inlineStr">
        <is>
          <t>MOVE_ROLLING_KICK</t>
        </is>
      </c>
      <c r="B404" s="3" t="inlineStr">
        <is>
          <t>Rolling Kick</t>
        </is>
      </c>
      <c r="C404" s="3" t="inlineStr">
        <is>
          <t>Fighting</t>
        </is>
      </c>
      <c r="D404" s="3" t="inlineStr">
        <is>
          <t>Physical</t>
        </is>
      </c>
      <c r="E404" s="3" t="n">
        <v>60</v>
      </c>
      <c r="F404" s="3" t="n">
        <v>85</v>
      </c>
      <c r="G404" s="3" t="n">
        <v>15</v>
      </c>
    </row>
    <row r="405">
      <c r="A405" s="3" t="inlineStr">
        <is>
          <t>MOVE_ROLLOUT</t>
        </is>
      </c>
      <c r="B405" s="3" t="inlineStr">
        <is>
          <t>Rollout</t>
        </is>
      </c>
      <c r="C405" s="3" t="inlineStr">
        <is>
          <t>Rock</t>
        </is>
      </c>
      <c r="D405" s="3" t="inlineStr">
        <is>
          <t>Physical</t>
        </is>
      </c>
      <c r="E405" s="3" t="n">
        <v>30</v>
      </c>
      <c r="F405" s="3" t="n">
        <v>90</v>
      </c>
      <c r="G405" s="3" t="n">
        <v>20</v>
      </c>
    </row>
    <row r="406">
      <c r="A406" s="3" t="inlineStr">
        <is>
          <t>MOVE_ROOST</t>
        </is>
      </c>
      <c r="B406" s="3" t="inlineStr">
        <is>
          <t>Roost</t>
        </is>
      </c>
      <c r="C406" s="3" t="inlineStr">
        <is>
          <t>Flying</t>
        </is>
      </c>
      <c r="D406" s="3" t="inlineStr">
        <is>
          <t>Status</t>
        </is>
      </c>
      <c r="E406" s="3" t="n">
        <v>0</v>
      </c>
      <c r="F406" s="3" t="n">
        <v>0</v>
      </c>
      <c r="G406" s="3" t="n">
        <v>5</v>
      </c>
    </row>
    <row r="407">
      <c r="A407" s="3" t="inlineStr">
        <is>
          <t>MOVE_ROTOTILLER</t>
        </is>
      </c>
      <c r="B407" s="3" t="inlineStr">
        <is>
          <t>Rototiller</t>
        </is>
      </c>
      <c r="C407" s="3" t="inlineStr">
        <is>
          <t>Ground</t>
        </is>
      </c>
      <c r="D407" s="3" t="inlineStr">
        <is>
          <t>Status</t>
        </is>
      </c>
      <c r="E407" s="3" t="n">
        <v>0</v>
      </c>
      <c r="F407" s="3" t="n">
        <v>0</v>
      </c>
      <c r="G407" s="3" t="n">
        <v>10</v>
      </c>
    </row>
    <row r="408">
      <c r="A408" s="3" t="inlineStr">
        <is>
          <t>MOVE_ROUND</t>
        </is>
      </c>
      <c r="B408" s="3" t="inlineStr">
        <is>
          <t>Round</t>
        </is>
      </c>
      <c r="C408" s="3" t="inlineStr">
        <is>
          <t>Normal</t>
        </is>
      </c>
      <c r="D408" s="3" t="inlineStr">
        <is>
          <t>Special</t>
        </is>
      </c>
      <c r="E408" s="3" t="n">
        <v>60</v>
      </c>
      <c r="F408" s="3" t="n">
        <v>100</v>
      </c>
      <c r="G408" s="3" t="n">
        <v>15</v>
      </c>
    </row>
    <row r="409">
      <c r="A409" s="3" t="inlineStr">
        <is>
          <t>MOVE_SACRED_SWORD</t>
        </is>
      </c>
      <c r="B409" s="3" t="inlineStr">
        <is>
          <t>Sacred Sword</t>
        </is>
      </c>
      <c r="C409" s="3" t="inlineStr">
        <is>
          <t>Fighting</t>
        </is>
      </c>
      <c r="D409" s="3" t="inlineStr">
        <is>
          <t>Physical</t>
        </is>
      </c>
      <c r="E409" s="3" t="n">
        <v>90</v>
      </c>
      <c r="F409" s="3" t="n">
        <v>100</v>
      </c>
      <c r="G409" s="3" t="n">
        <v>15</v>
      </c>
    </row>
    <row r="410">
      <c r="A410" s="3" t="inlineStr">
        <is>
          <t>MOVE_SAFEGUARD</t>
        </is>
      </c>
      <c r="B410" s="3" t="inlineStr">
        <is>
          <t>Safeguard</t>
        </is>
      </c>
      <c r="C410" s="3" t="inlineStr">
        <is>
          <t>Normal</t>
        </is>
      </c>
      <c r="D410" s="3" t="inlineStr">
        <is>
          <t>Status</t>
        </is>
      </c>
      <c r="E410" s="3" t="n">
        <v>0</v>
      </c>
      <c r="F410" s="3" t="n">
        <v>0</v>
      </c>
      <c r="G410" s="3" t="n">
        <v>25</v>
      </c>
    </row>
    <row r="411">
      <c r="A411" s="3" t="inlineStr">
        <is>
          <t>MOVE_SAND_ATTACK</t>
        </is>
      </c>
      <c r="B411" s="3" t="inlineStr">
        <is>
          <t>Sand Attack</t>
        </is>
      </c>
      <c r="C411" s="3" t="inlineStr">
        <is>
          <t>Ground</t>
        </is>
      </c>
      <c r="D411" s="3" t="inlineStr">
        <is>
          <t>Status</t>
        </is>
      </c>
      <c r="E411" s="3" t="n">
        <v>0</v>
      </c>
      <c r="F411" s="3" t="n">
        <v>100</v>
      </c>
      <c r="G411" s="3" t="n">
        <v>15</v>
      </c>
    </row>
    <row r="412">
      <c r="A412" s="3" t="inlineStr">
        <is>
          <t>MOVE_SAND_TOMB</t>
        </is>
      </c>
      <c r="B412" s="3" t="inlineStr">
        <is>
          <t>Sand Tomb</t>
        </is>
      </c>
      <c r="C412" s="3" t="inlineStr">
        <is>
          <t>Ground</t>
        </is>
      </c>
      <c r="D412" s="3" t="inlineStr">
        <is>
          <t>Physical</t>
        </is>
      </c>
      <c r="E412" s="3" t="n">
        <v>35</v>
      </c>
      <c r="F412" s="3" t="n">
        <v>85</v>
      </c>
      <c r="G412" s="3" t="n">
        <v>15</v>
      </c>
    </row>
    <row r="413">
      <c r="A413" s="3" t="inlineStr">
        <is>
          <t>MOVE_SANDSTORM</t>
        </is>
      </c>
      <c r="B413" s="3" t="inlineStr">
        <is>
          <t>Sandstorm</t>
        </is>
      </c>
      <c r="C413" s="3" t="inlineStr">
        <is>
          <t>Rock</t>
        </is>
      </c>
      <c r="D413" s="3" t="inlineStr">
        <is>
          <t>Status</t>
        </is>
      </c>
      <c r="E413" s="3" t="n">
        <v>0</v>
      </c>
      <c r="F413" s="3" t="n">
        <v>0</v>
      </c>
      <c r="G413" s="3" t="n">
        <v>10</v>
      </c>
    </row>
    <row r="414">
      <c r="A414" s="3" t="inlineStr">
        <is>
          <t>MOVE_SCARY_FACE</t>
        </is>
      </c>
      <c r="B414" s="3" t="inlineStr">
        <is>
          <t>Scary Face</t>
        </is>
      </c>
      <c r="C414" s="3" t="inlineStr">
        <is>
          <t>Normal</t>
        </is>
      </c>
      <c r="D414" s="3" t="inlineStr">
        <is>
          <t>Status</t>
        </is>
      </c>
      <c r="E414" s="3" t="n">
        <v>0</v>
      </c>
      <c r="F414" s="3" t="n">
        <v>100</v>
      </c>
      <c r="G414" s="3" t="n">
        <v>10</v>
      </c>
    </row>
    <row r="415">
      <c r="A415" s="3" t="inlineStr">
        <is>
          <t>MOVE_SCRATCH</t>
        </is>
      </c>
      <c r="B415" s="3" t="inlineStr">
        <is>
          <t>Scratch</t>
        </is>
      </c>
      <c r="C415" s="3" t="inlineStr">
        <is>
          <t>Normal</t>
        </is>
      </c>
      <c r="D415" s="3" t="inlineStr">
        <is>
          <t>Physical</t>
        </is>
      </c>
      <c r="E415" s="3" t="n">
        <v>40</v>
      </c>
      <c r="F415" s="3" t="n">
        <v>100</v>
      </c>
      <c r="G415" s="3" t="n">
        <v>30</v>
      </c>
    </row>
    <row r="416">
      <c r="A416" s="3" t="inlineStr">
        <is>
          <t>MOVE_SCREECH</t>
        </is>
      </c>
      <c r="B416" s="3" t="inlineStr">
        <is>
          <t>Screech</t>
        </is>
      </c>
      <c r="C416" s="3" t="inlineStr">
        <is>
          <t>Normal</t>
        </is>
      </c>
      <c r="D416" s="3" t="inlineStr">
        <is>
          <t>Status</t>
        </is>
      </c>
      <c r="E416" s="3" t="n">
        <v>0</v>
      </c>
      <c r="F416" s="3" t="n">
        <v>85</v>
      </c>
      <c r="G416" s="3" t="n">
        <v>40</v>
      </c>
    </row>
    <row r="417">
      <c r="A417" s="3" t="inlineStr">
        <is>
          <t>MOVE_SECRET_POWER</t>
        </is>
      </c>
      <c r="B417" s="3" t="inlineStr">
        <is>
          <t>Secret Power</t>
        </is>
      </c>
      <c r="C417" s="3" t="inlineStr">
        <is>
          <t>Normal</t>
        </is>
      </c>
      <c r="D417" s="3" t="inlineStr">
        <is>
          <t>Physical</t>
        </is>
      </c>
      <c r="E417" s="3" t="n">
        <v>70</v>
      </c>
      <c r="F417" s="3" t="n">
        <v>100</v>
      </c>
      <c r="G417" s="3" t="n">
        <v>20</v>
      </c>
    </row>
    <row r="418">
      <c r="A418" s="3" t="inlineStr">
        <is>
          <t>MOVE_SEED_BOMB</t>
        </is>
      </c>
      <c r="B418" s="3" t="inlineStr">
        <is>
          <t>Seed Bomb</t>
        </is>
      </c>
      <c r="C418" s="3" t="inlineStr">
        <is>
          <t>Grass</t>
        </is>
      </c>
      <c r="D418" s="3" t="inlineStr">
        <is>
          <t>Physical</t>
        </is>
      </c>
      <c r="E418" s="3" t="n">
        <v>80</v>
      </c>
      <c r="F418" s="3" t="n">
        <v>100</v>
      </c>
      <c r="G418" s="3" t="n">
        <v>15</v>
      </c>
    </row>
    <row r="419">
      <c r="A419" s="3" t="inlineStr">
        <is>
          <t>MOVE_SEISMIC_TOSS</t>
        </is>
      </c>
      <c r="B419" s="3" t="inlineStr">
        <is>
          <t>Seismic Toss</t>
        </is>
      </c>
      <c r="C419" s="3" t="inlineStr">
        <is>
          <t>Fighting</t>
        </is>
      </c>
      <c r="D419" s="3" t="inlineStr">
        <is>
          <t>Physical</t>
        </is>
      </c>
      <c r="E419" s="3" t="n">
        <v>1</v>
      </c>
      <c r="F419" s="3" t="n">
        <v>100</v>
      </c>
      <c r="G419" s="3" t="n">
        <v>20</v>
      </c>
    </row>
    <row r="420">
      <c r="A420" s="3" t="inlineStr">
        <is>
          <t>MOVE_SELF_DESTRUCT</t>
        </is>
      </c>
      <c r="B420" s="3" t="inlineStr">
        <is>
          <t>Self-Destruct</t>
        </is>
      </c>
      <c r="C420" s="3" t="inlineStr">
        <is>
          <t>Normal</t>
        </is>
      </c>
      <c r="D420" s="3" t="inlineStr">
        <is>
          <t>Physical</t>
        </is>
      </c>
      <c r="E420" s="3" t="n">
        <v>200</v>
      </c>
      <c r="F420" s="3" t="n">
        <v>100</v>
      </c>
      <c r="G420" s="3" t="n">
        <v>5</v>
      </c>
    </row>
    <row r="421">
      <c r="A421" s="3" t="inlineStr">
        <is>
          <t>MOVE_SHADOW_BALL</t>
        </is>
      </c>
      <c r="B421" s="3" t="inlineStr">
        <is>
          <t>Shadow Ball</t>
        </is>
      </c>
      <c r="C421" s="3" t="inlineStr">
        <is>
          <t>Ghost</t>
        </is>
      </c>
      <c r="D421" s="3" t="inlineStr">
        <is>
          <t>Special</t>
        </is>
      </c>
      <c r="E421" s="3" t="n">
        <v>80</v>
      </c>
      <c r="F421" s="3" t="n">
        <v>100</v>
      </c>
      <c r="G421" s="3" t="n">
        <v>15</v>
      </c>
    </row>
    <row r="422">
      <c r="A422" s="3" t="inlineStr">
        <is>
          <t>MOVE_SHADOW_CLAW</t>
        </is>
      </c>
      <c r="B422" s="3" t="inlineStr">
        <is>
          <t>Shadow Claw</t>
        </is>
      </c>
      <c r="C422" s="3" t="inlineStr">
        <is>
          <t>Ghost</t>
        </is>
      </c>
      <c r="D422" s="3" t="inlineStr">
        <is>
          <t>Physical</t>
        </is>
      </c>
      <c r="E422" s="3" t="n">
        <v>70</v>
      </c>
      <c r="F422" s="3" t="n">
        <v>100</v>
      </c>
      <c r="G422" s="3" t="n">
        <v>15</v>
      </c>
    </row>
    <row r="423">
      <c r="A423" s="3" t="inlineStr">
        <is>
          <t>MOVE_SHADOW_PUNCH</t>
        </is>
      </c>
      <c r="B423" s="3" t="inlineStr">
        <is>
          <t>Shadow Punch</t>
        </is>
      </c>
      <c r="C423" s="3" t="inlineStr">
        <is>
          <t>Ghost</t>
        </is>
      </c>
      <c r="D423" s="3" t="inlineStr">
        <is>
          <t>Physical</t>
        </is>
      </c>
      <c r="E423" s="3" t="n">
        <v>60</v>
      </c>
      <c r="F423" s="3" t="n">
        <v>0</v>
      </c>
      <c r="G423" s="3" t="n">
        <v>20</v>
      </c>
    </row>
    <row r="424">
      <c r="A424" s="3" t="inlineStr">
        <is>
          <t>MOVE_SHADOW_SNEAK</t>
        </is>
      </c>
      <c r="B424" s="3" t="inlineStr">
        <is>
          <t>Shadow Sneak</t>
        </is>
      </c>
      <c r="C424" s="3" t="inlineStr">
        <is>
          <t>Ghost</t>
        </is>
      </c>
      <c r="D424" s="3" t="inlineStr">
        <is>
          <t>Physical</t>
        </is>
      </c>
      <c r="E424" s="3" t="n">
        <v>40</v>
      </c>
      <c r="F424" s="3" t="n">
        <v>100</v>
      </c>
      <c r="G424" s="3" t="n">
        <v>30</v>
      </c>
    </row>
    <row r="425">
      <c r="A425" s="3" t="inlineStr">
        <is>
          <t>MOVE_SHED_TAIL</t>
        </is>
      </c>
      <c r="B425" s="3" t="inlineStr">
        <is>
          <t>Shed Tail</t>
        </is>
      </c>
      <c r="C425" s="3" t="inlineStr">
        <is>
          <t>Normal</t>
        </is>
      </c>
      <c r="D425" s="3" t="inlineStr">
        <is>
          <t>Status</t>
        </is>
      </c>
      <c r="E425" s="3" t="n">
        <v>0</v>
      </c>
      <c r="F425" s="3" t="n">
        <v>0</v>
      </c>
      <c r="G425" s="3" t="n">
        <v>10</v>
      </c>
    </row>
    <row r="426">
      <c r="A426" s="3" t="inlineStr">
        <is>
          <t>MOVE_SHEER_COLD</t>
        </is>
      </c>
      <c r="B426" s="3" t="inlineStr">
        <is>
          <t>Sheer Cold</t>
        </is>
      </c>
      <c r="C426" s="3" t="inlineStr">
        <is>
          <t>Ice</t>
        </is>
      </c>
      <c r="D426" s="3" t="inlineStr">
        <is>
          <t>Special</t>
        </is>
      </c>
      <c r="E426" s="3" t="n">
        <v>1</v>
      </c>
      <c r="F426" s="3" t="n">
        <v>30</v>
      </c>
      <c r="G426" s="3" t="n">
        <v>5</v>
      </c>
    </row>
    <row r="427">
      <c r="A427" s="3" t="inlineStr">
        <is>
          <t>MOVE_SHELL_SMASH</t>
        </is>
      </c>
      <c r="B427" s="3" t="inlineStr">
        <is>
          <t>Shell Smash</t>
        </is>
      </c>
      <c r="C427" s="3" t="inlineStr">
        <is>
          <t>Normal</t>
        </is>
      </c>
      <c r="D427" s="3" t="inlineStr">
        <is>
          <t>Status</t>
        </is>
      </c>
      <c r="E427" s="3" t="n">
        <v>0</v>
      </c>
      <c r="F427" s="3" t="n">
        <v>0</v>
      </c>
      <c r="G427" s="3" t="n">
        <v>15</v>
      </c>
    </row>
    <row r="428">
      <c r="A428" s="3" t="inlineStr">
        <is>
          <t>MOVE_SHIFT_GEAR</t>
        </is>
      </c>
      <c r="B428" s="3" t="inlineStr">
        <is>
          <t>Shift Gear</t>
        </is>
      </c>
      <c r="C428" s="3" t="inlineStr">
        <is>
          <t>Steel</t>
        </is>
      </c>
      <c r="D428" s="3" t="inlineStr">
        <is>
          <t>Status</t>
        </is>
      </c>
      <c r="E428" s="3" t="n">
        <v>0</v>
      </c>
      <c r="F428" s="3" t="n">
        <v>0</v>
      </c>
      <c r="G428" s="3" t="n">
        <v>10</v>
      </c>
    </row>
    <row r="429">
      <c r="A429" s="3" t="inlineStr">
        <is>
          <t>MOVE_SHOCK_WAVE</t>
        </is>
      </c>
      <c r="B429" s="3" t="inlineStr">
        <is>
          <t>Shock Wave</t>
        </is>
      </c>
      <c r="C429" s="3" t="inlineStr">
        <is>
          <t>Electric</t>
        </is>
      </c>
      <c r="D429" s="3" t="inlineStr">
        <is>
          <t>Special</t>
        </is>
      </c>
      <c r="E429" s="3" t="n">
        <v>60</v>
      </c>
      <c r="F429" s="3" t="n">
        <v>0</v>
      </c>
      <c r="G429" s="3" t="n">
        <v>20</v>
      </c>
    </row>
    <row r="430">
      <c r="A430" s="3" t="inlineStr">
        <is>
          <t>MOVE_SIGNAL_BEAM</t>
        </is>
      </c>
      <c r="B430" s="3" t="inlineStr">
        <is>
          <t>Signal Beam</t>
        </is>
      </c>
      <c r="C430" s="3" t="inlineStr">
        <is>
          <t>Bug</t>
        </is>
      </c>
      <c r="D430" s="3" t="inlineStr">
        <is>
          <t>Special</t>
        </is>
      </c>
      <c r="E430" s="3" t="n">
        <v>75</v>
      </c>
      <c r="F430" s="3" t="n">
        <v>100</v>
      </c>
      <c r="G430" s="3" t="n">
        <v>15</v>
      </c>
    </row>
    <row r="431">
      <c r="A431" s="3" t="inlineStr">
        <is>
          <t>MOVE_SILVER_WIND</t>
        </is>
      </c>
      <c r="B431" s="3" t="inlineStr">
        <is>
          <t>Silver Wind</t>
        </is>
      </c>
      <c r="C431" s="3" t="inlineStr">
        <is>
          <t>Bug</t>
        </is>
      </c>
      <c r="D431" s="3" t="inlineStr">
        <is>
          <t>Special</t>
        </is>
      </c>
      <c r="E431" s="3" t="n">
        <v>60</v>
      </c>
      <c r="F431" s="3" t="n">
        <v>100</v>
      </c>
      <c r="G431" s="3" t="n">
        <v>5</v>
      </c>
    </row>
    <row r="432">
      <c r="A432" s="3" t="inlineStr">
        <is>
          <t>MOVE_SIMPLE_BEAM</t>
        </is>
      </c>
      <c r="B432" s="3" t="inlineStr">
        <is>
          <t>Simple Beam</t>
        </is>
      </c>
      <c r="C432" s="3" t="inlineStr">
        <is>
          <t>Normal</t>
        </is>
      </c>
      <c r="D432" s="3" t="inlineStr">
        <is>
          <t>Status</t>
        </is>
      </c>
      <c r="E432" s="3" t="n">
        <v>0</v>
      </c>
      <c r="F432" s="3" t="n">
        <v>100</v>
      </c>
      <c r="G432" s="3" t="n">
        <v>15</v>
      </c>
    </row>
    <row r="433">
      <c r="A433" s="3" t="inlineStr">
        <is>
          <t>MOVE_SING</t>
        </is>
      </c>
      <c r="B433" s="3" t="inlineStr">
        <is>
          <t>Sing</t>
        </is>
      </c>
      <c r="C433" s="3" t="inlineStr">
        <is>
          <t>Normal</t>
        </is>
      </c>
      <c r="D433" s="3" t="inlineStr">
        <is>
          <t>Status</t>
        </is>
      </c>
      <c r="E433" s="3" t="n">
        <v>0</v>
      </c>
      <c r="F433" s="3" t="n">
        <v>55</v>
      </c>
      <c r="G433" s="3" t="n">
        <v>15</v>
      </c>
    </row>
    <row r="434">
      <c r="A434" s="3" t="inlineStr">
        <is>
          <t>MOVE_SKILL_SWAP</t>
        </is>
      </c>
      <c r="B434" s="3" t="inlineStr">
        <is>
          <t>Skill Swap</t>
        </is>
      </c>
      <c r="C434" s="3" t="inlineStr">
        <is>
          <t>Psychic</t>
        </is>
      </c>
      <c r="D434" s="3" t="inlineStr">
        <is>
          <t>Status</t>
        </is>
      </c>
      <c r="E434" s="3" t="n">
        <v>0</v>
      </c>
      <c r="F434" s="3" t="n">
        <v>0</v>
      </c>
      <c r="G434" s="3" t="n">
        <v>10</v>
      </c>
    </row>
    <row r="435">
      <c r="A435" s="3" t="inlineStr">
        <is>
          <t>MOVE_SKITTER_SMACK</t>
        </is>
      </c>
      <c r="B435" s="3" t="inlineStr">
        <is>
          <t>Skitter Smack</t>
        </is>
      </c>
      <c r="C435" s="3" t="inlineStr">
        <is>
          <t>Bug</t>
        </is>
      </c>
      <c r="D435" s="3" t="inlineStr">
        <is>
          <t>Physical</t>
        </is>
      </c>
      <c r="E435" s="3" t="n">
        <v>70</v>
      </c>
      <c r="F435" s="3" t="n">
        <v>90</v>
      </c>
      <c r="G435" s="3" t="n">
        <v>10</v>
      </c>
    </row>
    <row r="436">
      <c r="A436" s="3" t="inlineStr">
        <is>
          <t>MOVE_SKULL_BASH</t>
        </is>
      </c>
      <c r="B436" s="3" t="inlineStr">
        <is>
          <t>Skull Bash</t>
        </is>
      </c>
      <c r="C436" s="3" t="inlineStr">
        <is>
          <t>Normal</t>
        </is>
      </c>
      <c r="D436" s="3" t="inlineStr">
        <is>
          <t>Physical</t>
        </is>
      </c>
      <c r="E436" s="3" t="n">
        <v>130</v>
      </c>
      <c r="F436" s="3" t="n">
        <v>100</v>
      </c>
      <c r="G436" s="3" t="n">
        <v>10</v>
      </c>
    </row>
    <row r="437">
      <c r="A437" s="3" t="inlineStr">
        <is>
          <t>MOVE_SKY_ATTACK</t>
        </is>
      </c>
      <c r="B437" s="3" t="inlineStr">
        <is>
          <t>Sky Attack</t>
        </is>
      </c>
      <c r="C437" s="3" t="inlineStr">
        <is>
          <t>Flying</t>
        </is>
      </c>
      <c r="D437" s="3" t="inlineStr">
        <is>
          <t>Physical</t>
        </is>
      </c>
      <c r="E437" s="3" t="n">
        <v>140</v>
      </c>
      <c r="F437" s="3" t="n">
        <v>90</v>
      </c>
      <c r="G437" s="3" t="n">
        <v>5</v>
      </c>
    </row>
    <row r="438">
      <c r="A438" s="3" t="inlineStr">
        <is>
          <t>MOVE_SKY_UPPERCUT</t>
        </is>
      </c>
      <c r="B438" s="3" t="inlineStr">
        <is>
          <t>Sky Uppercut</t>
        </is>
      </c>
      <c r="C438" s="3" t="inlineStr">
        <is>
          <t>Fighting</t>
        </is>
      </c>
      <c r="D438" s="3" t="inlineStr">
        <is>
          <t>Physical</t>
        </is>
      </c>
      <c r="E438" s="3" t="n">
        <v>85</v>
      </c>
      <c r="F438" s="3" t="n">
        <v>90</v>
      </c>
      <c r="G438" s="3" t="n">
        <v>15</v>
      </c>
    </row>
    <row r="439">
      <c r="A439" s="3" t="inlineStr">
        <is>
          <t>MOVE_SLAM</t>
        </is>
      </c>
      <c r="B439" s="3" t="inlineStr">
        <is>
          <t>Slam</t>
        </is>
      </c>
      <c r="C439" s="3" t="inlineStr">
        <is>
          <t>Normal</t>
        </is>
      </c>
      <c r="D439" s="3" t="inlineStr">
        <is>
          <t>Physical</t>
        </is>
      </c>
      <c r="E439" s="3" t="n">
        <v>80</v>
      </c>
      <c r="F439" s="3" t="n">
        <v>75</v>
      </c>
      <c r="G439" s="3" t="n">
        <v>20</v>
      </c>
    </row>
    <row r="440">
      <c r="A440" s="3" t="inlineStr">
        <is>
          <t>MOVE_SLASH</t>
        </is>
      </c>
      <c r="B440" s="3" t="inlineStr">
        <is>
          <t>Slash</t>
        </is>
      </c>
      <c r="C440" s="3" t="inlineStr">
        <is>
          <t>Normal</t>
        </is>
      </c>
      <c r="D440" s="3" t="inlineStr">
        <is>
          <t>Physical</t>
        </is>
      </c>
      <c r="E440" s="3" t="n">
        <v>70</v>
      </c>
      <c r="F440" s="3" t="n">
        <v>100</v>
      </c>
      <c r="G440" s="3" t="n">
        <v>20</v>
      </c>
    </row>
    <row r="441">
      <c r="A441" s="3" t="inlineStr">
        <is>
          <t>MOVE_SLEEP_POWDER</t>
        </is>
      </c>
      <c r="B441" s="3" t="inlineStr">
        <is>
          <t>Sleep Powder</t>
        </is>
      </c>
      <c r="C441" s="3" t="inlineStr">
        <is>
          <t>Grass</t>
        </is>
      </c>
      <c r="D441" s="3" t="inlineStr">
        <is>
          <t>Status</t>
        </is>
      </c>
      <c r="E441" s="3" t="n">
        <v>0</v>
      </c>
      <c r="F441" s="3" t="n">
        <v>75</v>
      </c>
      <c r="G441" s="3" t="n">
        <v>15</v>
      </c>
    </row>
    <row r="442">
      <c r="A442" s="3" t="inlineStr">
        <is>
          <t>MOVE_SLEEP_TALK</t>
        </is>
      </c>
      <c r="B442" s="3" t="inlineStr">
        <is>
          <t>Sleep Talk</t>
        </is>
      </c>
      <c r="C442" s="3" t="inlineStr">
        <is>
          <t>Normal</t>
        </is>
      </c>
      <c r="D442" s="3" t="inlineStr">
        <is>
          <t>Status</t>
        </is>
      </c>
      <c r="E442" s="3" t="n">
        <v>0</v>
      </c>
      <c r="F442" s="3" t="n">
        <v>0</v>
      </c>
      <c r="G442" s="3" t="n">
        <v>10</v>
      </c>
    </row>
    <row r="443">
      <c r="A443" s="3" t="inlineStr">
        <is>
          <t>MOVE_SLUDGE</t>
        </is>
      </c>
      <c r="B443" s="3" t="inlineStr">
        <is>
          <t>Sludge</t>
        </is>
      </c>
      <c r="C443" s="3" t="inlineStr">
        <is>
          <t>Poison</t>
        </is>
      </c>
      <c r="D443" s="3" t="inlineStr">
        <is>
          <t>Special</t>
        </is>
      </c>
      <c r="E443" s="3" t="n">
        <v>65</v>
      </c>
      <c r="F443" s="3" t="n">
        <v>100</v>
      </c>
      <c r="G443" s="3" t="n">
        <v>20</v>
      </c>
    </row>
    <row r="444">
      <c r="A444" s="3" t="inlineStr">
        <is>
          <t>MOVE_SLUDGE_BOMB</t>
        </is>
      </c>
      <c r="B444" s="3" t="inlineStr">
        <is>
          <t>Sludge Bomb</t>
        </is>
      </c>
      <c r="C444" s="3" t="inlineStr">
        <is>
          <t>Poison</t>
        </is>
      </c>
      <c r="D444" s="3" t="inlineStr">
        <is>
          <t>Special</t>
        </is>
      </c>
      <c r="E444" s="3" t="n">
        <v>90</v>
      </c>
      <c r="F444" s="3" t="n">
        <v>100</v>
      </c>
      <c r="G444" s="3" t="n">
        <v>10</v>
      </c>
    </row>
    <row r="445">
      <c r="A445" s="3" t="inlineStr">
        <is>
          <t>MOVE_SLUDGE_WAVE</t>
        </is>
      </c>
      <c r="B445" s="3" t="inlineStr">
        <is>
          <t>Sludge Wave</t>
        </is>
      </c>
      <c r="C445" s="3" t="inlineStr">
        <is>
          <t>Poison</t>
        </is>
      </c>
      <c r="D445" s="3" t="inlineStr">
        <is>
          <t>Special</t>
        </is>
      </c>
      <c r="E445" s="3" t="n">
        <v>95</v>
      </c>
      <c r="F445" s="3" t="n">
        <v>100</v>
      </c>
      <c r="G445" s="3" t="n">
        <v>10</v>
      </c>
    </row>
    <row r="446">
      <c r="A446" s="3" t="inlineStr">
        <is>
          <t>MOVE_SMACK_DOWN</t>
        </is>
      </c>
      <c r="B446" s="3" t="inlineStr">
        <is>
          <t>Smack Down</t>
        </is>
      </c>
      <c r="C446" s="3" t="inlineStr">
        <is>
          <t>Rock</t>
        </is>
      </c>
      <c r="D446" s="3" t="inlineStr">
        <is>
          <t>Physical</t>
        </is>
      </c>
      <c r="E446" s="3" t="n">
        <v>50</v>
      </c>
      <c r="F446" s="3" t="n">
        <v>100</v>
      </c>
      <c r="G446" s="3" t="n">
        <v>15</v>
      </c>
    </row>
    <row r="447">
      <c r="A447" s="3" t="inlineStr">
        <is>
          <t>MOVE_SMELLING_SALTS</t>
        </is>
      </c>
      <c r="B447" s="3" t="inlineStr">
        <is>
          <t>Smelling Salts</t>
        </is>
      </c>
      <c r="C447" s="3" t="inlineStr">
        <is>
          <t>Normal</t>
        </is>
      </c>
      <c r="D447" s="3" t="inlineStr">
        <is>
          <t>Physical</t>
        </is>
      </c>
      <c r="E447" s="3" t="n">
        <v>70</v>
      </c>
      <c r="F447" s="3" t="n">
        <v>100</v>
      </c>
      <c r="G447" s="3" t="n">
        <v>10</v>
      </c>
    </row>
    <row r="448">
      <c r="A448" s="3" t="inlineStr">
        <is>
          <t>MOVE_SMOG</t>
        </is>
      </c>
      <c r="B448" s="3" t="inlineStr">
        <is>
          <t>Smog</t>
        </is>
      </c>
      <c r="C448" s="3" t="inlineStr">
        <is>
          <t>Poison</t>
        </is>
      </c>
      <c r="D448" s="3" t="inlineStr">
        <is>
          <t>Special</t>
        </is>
      </c>
      <c r="E448" s="3" t="n">
        <v>30</v>
      </c>
      <c r="F448" s="3" t="n">
        <v>70</v>
      </c>
      <c r="G448" s="3" t="n">
        <v>20</v>
      </c>
    </row>
    <row r="449">
      <c r="A449" s="3" t="inlineStr">
        <is>
          <t>MOVE_SMOKESCREEN</t>
        </is>
      </c>
      <c r="B449" s="3" t="inlineStr">
        <is>
          <t>Smokescreen</t>
        </is>
      </c>
      <c r="C449" s="3" t="inlineStr">
        <is>
          <t>Normal</t>
        </is>
      </c>
      <c r="D449" s="3" t="inlineStr">
        <is>
          <t>Status</t>
        </is>
      </c>
      <c r="E449" s="3" t="n">
        <v>0</v>
      </c>
      <c r="F449" s="3" t="n">
        <v>100</v>
      </c>
      <c r="G449" s="3" t="n">
        <v>20</v>
      </c>
    </row>
    <row r="450">
      <c r="A450" s="3" t="inlineStr">
        <is>
          <t>MOVE_SNATCH</t>
        </is>
      </c>
      <c r="B450" s="3" t="inlineStr">
        <is>
          <t>Snatch</t>
        </is>
      </c>
      <c r="C450" s="3" t="inlineStr">
        <is>
          <t>Dark</t>
        </is>
      </c>
      <c r="D450" s="3" t="inlineStr">
        <is>
          <t>Status</t>
        </is>
      </c>
      <c r="E450" s="3" t="n">
        <v>0</v>
      </c>
      <c r="F450" s="3" t="n">
        <v>0</v>
      </c>
      <c r="G450" s="3" t="n">
        <v>10</v>
      </c>
    </row>
    <row r="451">
      <c r="A451" s="3" t="inlineStr">
        <is>
          <t>MOVE_SNORE</t>
        </is>
      </c>
      <c r="B451" s="3" t="inlineStr">
        <is>
          <t>Snore</t>
        </is>
      </c>
      <c r="C451" s="3" t="inlineStr">
        <is>
          <t>Normal</t>
        </is>
      </c>
      <c r="D451" s="3" t="inlineStr">
        <is>
          <t>Special</t>
        </is>
      </c>
      <c r="E451" s="3" t="n">
        <v>50</v>
      </c>
      <c r="F451" s="3" t="n">
        <v>100</v>
      </c>
      <c r="G451" s="3" t="n">
        <v>15</v>
      </c>
    </row>
    <row r="452">
      <c r="A452" s="3" t="inlineStr">
        <is>
          <t>MOVE_SNOWSCAPE</t>
        </is>
      </c>
      <c r="B452" s="3" t="inlineStr">
        <is>
          <t>Snowscape</t>
        </is>
      </c>
      <c r="C452" s="3" t="inlineStr">
        <is>
          <t>Ice</t>
        </is>
      </c>
      <c r="D452" s="3" t="inlineStr">
        <is>
          <t>Status</t>
        </is>
      </c>
      <c r="E452" s="3" t="n">
        <v>0</v>
      </c>
      <c r="F452" s="3" t="n">
        <v>0</v>
      </c>
      <c r="G452" s="3" t="n">
        <v>10</v>
      </c>
    </row>
    <row r="453">
      <c r="A453" s="3" t="inlineStr">
        <is>
          <t>MOVE_SOAK</t>
        </is>
      </c>
      <c r="B453" s="3" t="inlineStr">
        <is>
          <t>Soak</t>
        </is>
      </c>
      <c r="C453" s="3" t="inlineStr">
        <is>
          <t>Water</t>
        </is>
      </c>
      <c r="D453" s="3" t="inlineStr">
        <is>
          <t>Status</t>
        </is>
      </c>
      <c r="E453" s="3" t="n">
        <v>0</v>
      </c>
      <c r="F453" s="3" t="n">
        <v>100</v>
      </c>
      <c r="G453" s="3" t="n">
        <v>20</v>
      </c>
    </row>
    <row r="454">
      <c r="A454" s="3" t="inlineStr">
        <is>
          <t>MOVE_SOLAR_BEAM</t>
        </is>
      </c>
      <c r="B454" s="3" t="inlineStr">
        <is>
          <t>Solar Beam</t>
        </is>
      </c>
      <c r="C454" s="3" t="inlineStr">
        <is>
          <t>Grass</t>
        </is>
      </c>
      <c r="D454" s="3" t="inlineStr">
        <is>
          <t>Special</t>
        </is>
      </c>
      <c r="E454" s="3" t="n">
        <v>120</v>
      </c>
      <c r="F454" s="3" t="n">
        <v>100</v>
      </c>
      <c r="G454" s="3" t="n">
        <v>10</v>
      </c>
    </row>
    <row r="455">
      <c r="A455" s="3" t="inlineStr">
        <is>
          <t>MOVE_SOLAR_BLADE</t>
        </is>
      </c>
      <c r="B455" s="3" t="inlineStr">
        <is>
          <t>Solar Blade</t>
        </is>
      </c>
      <c r="C455" s="3" t="inlineStr">
        <is>
          <t>Grass</t>
        </is>
      </c>
      <c r="D455" s="3" t="inlineStr">
        <is>
          <t>Physical</t>
        </is>
      </c>
      <c r="E455" s="3" t="n">
        <v>125</v>
      </c>
      <c r="F455" s="3" t="n">
        <v>100</v>
      </c>
      <c r="G455" s="3" t="n">
        <v>10</v>
      </c>
    </row>
    <row r="456">
      <c r="A456" s="3" t="inlineStr">
        <is>
          <t>MOVE_SPARK</t>
        </is>
      </c>
      <c r="B456" s="3" t="inlineStr">
        <is>
          <t>Spark</t>
        </is>
      </c>
      <c r="C456" s="3" t="inlineStr">
        <is>
          <t>Electric</t>
        </is>
      </c>
      <c r="D456" s="3" t="inlineStr">
        <is>
          <t>Physical</t>
        </is>
      </c>
      <c r="E456" s="3" t="n">
        <v>65</v>
      </c>
      <c r="F456" s="3" t="n">
        <v>100</v>
      </c>
      <c r="G456" s="3" t="n">
        <v>20</v>
      </c>
    </row>
    <row r="457">
      <c r="A457" s="3" t="inlineStr">
        <is>
          <t>MOVE_SPEED_SWAP</t>
        </is>
      </c>
      <c r="B457" s="3" t="inlineStr">
        <is>
          <t>Speed Swap</t>
        </is>
      </c>
      <c r="C457" s="3" t="inlineStr">
        <is>
          <t>Psychic</t>
        </is>
      </c>
      <c r="D457" s="3" t="inlineStr">
        <is>
          <t>Status</t>
        </is>
      </c>
      <c r="E457" s="3" t="n">
        <v>0</v>
      </c>
      <c r="F457" s="3" t="n">
        <v>0</v>
      </c>
      <c r="G457" s="3" t="n">
        <v>10</v>
      </c>
    </row>
    <row r="458">
      <c r="A458" s="3" t="inlineStr">
        <is>
          <t>MOVE_SPICY_EXTRACT</t>
        </is>
      </c>
      <c r="B458" s="3" t="inlineStr">
        <is>
          <t>Spicy Extract</t>
        </is>
      </c>
      <c r="C458" s="3" t="inlineStr">
        <is>
          <t>Grass</t>
        </is>
      </c>
      <c r="D458" s="3" t="inlineStr">
        <is>
          <t>Status</t>
        </is>
      </c>
      <c r="E458" s="3" t="n">
        <v>0</v>
      </c>
      <c r="F458" s="3" t="n">
        <v>0</v>
      </c>
      <c r="G458" s="3" t="n">
        <v>15</v>
      </c>
    </row>
    <row r="459">
      <c r="A459" s="3" t="inlineStr">
        <is>
          <t>MOVE_SPIKES</t>
        </is>
      </c>
      <c r="B459" s="3" t="inlineStr">
        <is>
          <t>Spikes</t>
        </is>
      </c>
      <c r="C459" s="3" t="inlineStr">
        <is>
          <t>Ground</t>
        </is>
      </c>
      <c r="D459" s="3" t="inlineStr">
        <is>
          <t>Status</t>
        </is>
      </c>
      <c r="E459" s="3" t="n">
        <v>0</v>
      </c>
      <c r="F459" s="3" t="n">
        <v>0</v>
      </c>
      <c r="G459" s="3" t="n">
        <v>20</v>
      </c>
    </row>
    <row r="460">
      <c r="A460" s="3" t="inlineStr">
        <is>
          <t>MOVE_SPIKY_SHIELD</t>
        </is>
      </c>
      <c r="B460" s="3" t="inlineStr">
        <is>
          <t>Spiky Shield</t>
        </is>
      </c>
      <c r="C460" s="3" t="inlineStr">
        <is>
          <t>Grass</t>
        </is>
      </c>
      <c r="D460" s="3" t="inlineStr">
        <is>
          <t>Status</t>
        </is>
      </c>
      <c r="E460" s="3" t="n">
        <v>0</v>
      </c>
      <c r="F460" s="3" t="n">
        <v>0</v>
      </c>
      <c r="G460" s="3" t="n">
        <v>10</v>
      </c>
    </row>
    <row r="461">
      <c r="A461" s="3" t="inlineStr">
        <is>
          <t>MOVE_SPIN_OUT</t>
        </is>
      </c>
      <c r="B461" s="3" t="inlineStr">
        <is>
          <t>Spin Out</t>
        </is>
      </c>
      <c r="C461" s="3" t="inlineStr">
        <is>
          <t>Steel</t>
        </is>
      </c>
      <c r="D461" s="3" t="inlineStr">
        <is>
          <t>Physical</t>
        </is>
      </c>
      <c r="E461" s="3" t="n">
        <v>100</v>
      </c>
      <c r="F461" s="3" t="n">
        <v>100</v>
      </c>
      <c r="G461" s="3" t="n">
        <v>5</v>
      </c>
    </row>
    <row r="462">
      <c r="A462" s="3" t="inlineStr">
        <is>
          <t>MOVE_SPIRIT_BREAK</t>
        </is>
      </c>
      <c r="B462" s="3" t="inlineStr">
        <is>
          <t>Spirit Break</t>
        </is>
      </c>
      <c r="C462" s="3" t="inlineStr">
        <is>
          <t>Fairy</t>
        </is>
      </c>
      <c r="D462" s="3" t="inlineStr">
        <is>
          <t>Physical</t>
        </is>
      </c>
      <c r="E462" s="3" t="n">
        <v>75</v>
      </c>
      <c r="F462" s="3" t="n">
        <v>100</v>
      </c>
      <c r="G462" s="3" t="n">
        <v>15</v>
      </c>
    </row>
    <row r="463">
      <c r="A463" s="3" t="inlineStr">
        <is>
          <t>MOVE_SPIT_UP</t>
        </is>
      </c>
      <c r="B463" s="3" t="inlineStr">
        <is>
          <t>Spit Up</t>
        </is>
      </c>
      <c r="C463" s="3" t="inlineStr">
        <is>
          <t>Normal</t>
        </is>
      </c>
      <c r="D463" s="3" t="inlineStr">
        <is>
          <t>Special</t>
        </is>
      </c>
      <c r="E463" s="3" t="n">
        <v>1</v>
      </c>
      <c r="F463" s="3" t="n">
        <v>100</v>
      </c>
      <c r="G463" s="3" t="n">
        <v>10</v>
      </c>
    </row>
    <row r="464">
      <c r="A464" s="3" t="inlineStr">
        <is>
          <t>MOVE_SPITE</t>
        </is>
      </c>
      <c r="B464" s="3" t="inlineStr">
        <is>
          <t>Spite</t>
        </is>
      </c>
      <c r="C464" s="3" t="inlineStr">
        <is>
          <t>Ghost</t>
        </is>
      </c>
      <c r="D464" s="3" t="inlineStr">
        <is>
          <t>Status</t>
        </is>
      </c>
      <c r="E464" s="3" t="n">
        <v>0</v>
      </c>
      <c r="F464" s="3" t="n">
        <v>100</v>
      </c>
      <c r="G464" s="3" t="n">
        <v>10</v>
      </c>
    </row>
    <row r="465">
      <c r="A465" s="3" t="inlineStr">
        <is>
          <t>MOVE_SPLASH</t>
        </is>
      </c>
      <c r="B465" s="3" t="inlineStr">
        <is>
          <t>Splash</t>
        </is>
      </c>
      <c r="C465" s="3" t="inlineStr">
        <is>
          <t>Normal</t>
        </is>
      </c>
      <c r="D465" s="3" t="inlineStr">
        <is>
          <t>Status</t>
        </is>
      </c>
      <c r="E465" s="3" t="n">
        <v>0</v>
      </c>
      <c r="F465" s="3" t="n">
        <v>0</v>
      </c>
      <c r="G465" s="3" t="n">
        <v>40</v>
      </c>
    </row>
    <row r="466">
      <c r="A466" s="3" t="inlineStr">
        <is>
          <t>MOVE_SPORE</t>
        </is>
      </c>
      <c r="B466" s="3" t="inlineStr">
        <is>
          <t>Spore</t>
        </is>
      </c>
      <c r="C466" s="3" t="inlineStr">
        <is>
          <t>Grass</t>
        </is>
      </c>
      <c r="D466" s="3" t="inlineStr">
        <is>
          <t>Status</t>
        </is>
      </c>
      <c r="E466" s="3" t="n">
        <v>0</v>
      </c>
      <c r="F466" s="3" t="n">
        <v>100</v>
      </c>
      <c r="G466" s="3" t="n">
        <v>15</v>
      </c>
    </row>
    <row r="467">
      <c r="A467" s="3" t="inlineStr">
        <is>
          <t>MOVE_STEALTH_ROCK</t>
        </is>
      </c>
      <c r="B467" s="3" t="inlineStr">
        <is>
          <t>Stealth Rock</t>
        </is>
      </c>
      <c r="C467" s="3" t="inlineStr">
        <is>
          <t>Rock</t>
        </is>
      </c>
      <c r="D467" s="3" t="inlineStr">
        <is>
          <t>Status</t>
        </is>
      </c>
      <c r="E467" s="3" t="n">
        <v>0</v>
      </c>
      <c r="F467" s="3" t="n">
        <v>0</v>
      </c>
      <c r="G467" s="3" t="n">
        <v>20</v>
      </c>
    </row>
    <row r="468">
      <c r="A468" s="3" t="inlineStr">
        <is>
          <t>MOVE_STEEL_WING</t>
        </is>
      </c>
      <c r="B468" s="3" t="inlineStr">
        <is>
          <t>Steel Wing</t>
        </is>
      </c>
      <c r="C468" s="3" t="inlineStr">
        <is>
          <t>Steel</t>
        </is>
      </c>
      <c r="D468" s="3" t="inlineStr">
        <is>
          <t>Physical</t>
        </is>
      </c>
      <c r="E468" s="3" t="n">
        <v>70</v>
      </c>
      <c r="F468" s="3" t="n">
        <v>90</v>
      </c>
      <c r="G468" s="3" t="n">
        <v>25</v>
      </c>
    </row>
    <row r="469">
      <c r="A469" s="3" t="inlineStr">
        <is>
          <t>MOVE_STICKY_WEB</t>
        </is>
      </c>
      <c r="B469" s="3" t="inlineStr">
        <is>
          <t>Sticky Web</t>
        </is>
      </c>
      <c r="C469" s="3" t="inlineStr">
        <is>
          <t>Bug</t>
        </is>
      </c>
      <c r="D469" s="3" t="inlineStr">
        <is>
          <t>Status</t>
        </is>
      </c>
      <c r="E469" s="3" t="n">
        <v>0</v>
      </c>
      <c r="F469" s="3" t="n">
        <v>0</v>
      </c>
      <c r="G469" s="3" t="n">
        <v>20</v>
      </c>
    </row>
    <row r="470">
      <c r="A470" s="3" t="inlineStr">
        <is>
          <t>MOVE_STOCKPILE</t>
        </is>
      </c>
      <c r="B470" s="3" t="inlineStr">
        <is>
          <t>Stockpile</t>
        </is>
      </c>
      <c r="C470" s="3" t="inlineStr">
        <is>
          <t>Normal</t>
        </is>
      </c>
      <c r="D470" s="3" t="inlineStr">
        <is>
          <t>Status</t>
        </is>
      </c>
      <c r="E470" s="3" t="n">
        <v>0</v>
      </c>
      <c r="F470" s="3" t="n">
        <v>0</v>
      </c>
      <c r="G470" s="3" t="n">
        <v>20</v>
      </c>
    </row>
    <row r="471">
      <c r="A471" s="3" t="inlineStr">
        <is>
          <t>MOVE_STOMP</t>
        </is>
      </c>
      <c r="B471" s="3" t="inlineStr">
        <is>
          <t>Stomp</t>
        </is>
      </c>
      <c r="C471" s="3" t="inlineStr">
        <is>
          <t>Normal</t>
        </is>
      </c>
      <c r="D471" s="3" t="inlineStr">
        <is>
          <t>Physical</t>
        </is>
      </c>
      <c r="E471" s="3" t="n">
        <v>65</v>
      </c>
      <c r="F471" s="3" t="n">
        <v>100</v>
      </c>
      <c r="G471" s="3" t="n">
        <v>20</v>
      </c>
    </row>
    <row r="472">
      <c r="A472" s="3" t="inlineStr">
        <is>
          <t>MOVE_STOMPING_TANTRUM</t>
        </is>
      </c>
      <c r="B472" s="3" t="inlineStr">
        <is>
          <t>Stomping Tantrum</t>
        </is>
      </c>
      <c r="C472" s="3" t="inlineStr">
        <is>
          <t>Ground</t>
        </is>
      </c>
      <c r="D472" s="3" t="inlineStr">
        <is>
          <t>Physical</t>
        </is>
      </c>
      <c r="E472" s="3" t="n">
        <v>75</v>
      </c>
      <c r="F472" s="3" t="n">
        <v>100</v>
      </c>
      <c r="G472" s="3" t="n">
        <v>10</v>
      </c>
    </row>
    <row r="473">
      <c r="A473" s="3" t="inlineStr">
        <is>
          <t>MOVE_STONE_EDGE</t>
        </is>
      </c>
      <c r="B473" s="3" t="inlineStr">
        <is>
          <t>Stone Edge</t>
        </is>
      </c>
      <c r="C473" s="3" t="inlineStr">
        <is>
          <t>Rock</t>
        </is>
      </c>
      <c r="D473" s="3" t="inlineStr">
        <is>
          <t>Physical</t>
        </is>
      </c>
      <c r="E473" s="3" t="n">
        <v>100</v>
      </c>
      <c r="F473" s="3" t="n">
        <v>80</v>
      </c>
      <c r="G473" s="3" t="n">
        <v>5</v>
      </c>
    </row>
    <row r="474">
      <c r="A474" s="3" t="inlineStr">
        <is>
          <t>MOVE_STORED_POWER</t>
        </is>
      </c>
      <c r="B474" s="3" t="inlineStr">
        <is>
          <t>Stored Power</t>
        </is>
      </c>
      <c r="C474" s="3" t="inlineStr">
        <is>
          <t>Psychic</t>
        </is>
      </c>
      <c r="D474" s="3" t="inlineStr">
        <is>
          <t>Special</t>
        </is>
      </c>
      <c r="E474" s="3" t="n">
        <v>20</v>
      </c>
      <c r="F474" s="3" t="n">
        <v>100</v>
      </c>
      <c r="G474" s="3" t="n">
        <v>10</v>
      </c>
    </row>
    <row r="475">
      <c r="A475" s="3" t="inlineStr">
        <is>
          <t>MOVE_STORM_THROW</t>
        </is>
      </c>
      <c r="B475" s="3" t="inlineStr">
        <is>
          <t>Storm Throw</t>
        </is>
      </c>
      <c r="C475" s="3" t="inlineStr">
        <is>
          <t>Fighting</t>
        </is>
      </c>
      <c r="D475" s="3" t="inlineStr">
        <is>
          <t>Physical</t>
        </is>
      </c>
      <c r="E475" s="3" t="n">
        <v>60</v>
      </c>
      <c r="F475" s="3" t="n">
        <v>100</v>
      </c>
      <c r="G475" s="3" t="n">
        <v>10</v>
      </c>
    </row>
    <row r="476">
      <c r="A476" s="3" t="inlineStr">
        <is>
          <t>MOVE_STRENGTH</t>
        </is>
      </c>
      <c r="B476" s="3" t="inlineStr">
        <is>
          <t>Strength</t>
        </is>
      </c>
      <c r="C476" s="3" t="inlineStr">
        <is>
          <t>Normal</t>
        </is>
      </c>
      <c r="D476" s="3" t="inlineStr">
        <is>
          <t>Physical</t>
        </is>
      </c>
      <c r="E476" s="3" t="n">
        <v>80</v>
      </c>
      <c r="F476" s="3" t="n">
        <v>100</v>
      </c>
      <c r="G476" s="3" t="n">
        <v>15</v>
      </c>
    </row>
    <row r="477">
      <c r="A477" s="3" t="inlineStr">
        <is>
          <t>MOVE_STRENGTH_SAP</t>
        </is>
      </c>
      <c r="B477" s="3" t="inlineStr">
        <is>
          <t>Strength Sap</t>
        </is>
      </c>
      <c r="C477" s="3" t="inlineStr">
        <is>
          <t>Grass</t>
        </is>
      </c>
      <c r="D477" s="3" t="inlineStr">
        <is>
          <t>Status</t>
        </is>
      </c>
      <c r="E477" s="3" t="n">
        <v>0</v>
      </c>
      <c r="F477" s="3" t="n">
        <v>100</v>
      </c>
      <c r="G477" s="3" t="n">
        <v>10</v>
      </c>
    </row>
    <row r="478">
      <c r="A478" s="3" t="inlineStr">
        <is>
          <t>MOVE_STRING_SHOT</t>
        </is>
      </c>
      <c r="B478" s="3" t="inlineStr">
        <is>
          <t>String Shot</t>
        </is>
      </c>
      <c r="C478" s="3" t="inlineStr">
        <is>
          <t>Bug</t>
        </is>
      </c>
      <c r="D478" s="3" t="inlineStr">
        <is>
          <t>Status</t>
        </is>
      </c>
      <c r="E478" s="3" t="n">
        <v>0</v>
      </c>
      <c r="F478" s="3" t="n">
        <v>95</v>
      </c>
      <c r="G478" s="3" t="n">
        <v>40</v>
      </c>
    </row>
    <row r="479">
      <c r="A479" s="3" t="inlineStr">
        <is>
          <t>MOVE_STRUGGLE_BUG</t>
        </is>
      </c>
      <c r="B479" s="3" t="inlineStr">
        <is>
          <t>Struggle Bug</t>
        </is>
      </c>
      <c r="C479" s="3" t="inlineStr">
        <is>
          <t>Bug</t>
        </is>
      </c>
      <c r="D479" s="3" t="inlineStr">
        <is>
          <t>Special</t>
        </is>
      </c>
      <c r="E479" s="3" t="n">
        <v>50</v>
      </c>
      <c r="F479" s="3" t="n">
        <v>100</v>
      </c>
      <c r="G479" s="3" t="n">
        <v>20</v>
      </c>
    </row>
    <row r="480">
      <c r="A480" s="3" t="inlineStr">
        <is>
          <t>MOVE_STUN_SPORE</t>
        </is>
      </c>
      <c r="B480" s="3" t="inlineStr">
        <is>
          <t>Stun Spore</t>
        </is>
      </c>
      <c r="C480" s="3" t="inlineStr">
        <is>
          <t>Grass</t>
        </is>
      </c>
      <c r="D480" s="3" t="inlineStr">
        <is>
          <t>Status</t>
        </is>
      </c>
      <c r="E480" s="3" t="n">
        <v>0</v>
      </c>
      <c r="F480" s="3" t="n">
        <v>75</v>
      </c>
      <c r="G480" s="3" t="n">
        <v>30</v>
      </c>
    </row>
    <row r="481">
      <c r="A481" s="3" t="inlineStr">
        <is>
          <t>MOVE_SUBMISSION</t>
        </is>
      </c>
      <c r="B481" s="3" t="inlineStr">
        <is>
          <t>Submission</t>
        </is>
      </c>
      <c r="C481" s="3" t="inlineStr">
        <is>
          <t>Fighting</t>
        </is>
      </c>
      <c r="D481" s="3" t="inlineStr">
        <is>
          <t>Physical</t>
        </is>
      </c>
      <c r="E481" s="3" t="n">
        <v>80</v>
      </c>
      <c r="F481" s="3" t="n">
        <v>80</v>
      </c>
      <c r="G481" s="3" t="n">
        <v>20</v>
      </c>
    </row>
    <row r="482">
      <c r="A482" s="3" t="inlineStr">
        <is>
          <t>MOVE_SUBSTITUTE</t>
        </is>
      </c>
      <c r="B482" s="3" t="inlineStr">
        <is>
          <t>Substitute</t>
        </is>
      </c>
      <c r="C482" s="3" t="inlineStr">
        <is>
          <t>Normal</t>
        </is>
      </c>
      <c r="D482" s="3" t="inlineStr">
        <is>
          <t>Status</t>
        </is>
      </c>
      <c r="E482" s="3" t="n">
        <v>0</v>
      </c>
      <c r="F482" s="3" t="n">
        <v>0</v>
      </c>
      <c r="G482" s="3" t="n">
        <v>10</v>
      </c>
    </row>
    <row r="483">
      <c r="A483" s="3" t="inlineStr">
        <is>
          <t>MOVE_SUCKER_PUNCH</t>
        </is>
      </c>
      <c r="B483" s="3" t="inlineStr">
        <is>
          <t>Sucker Punch</t>
        </is>
      </c>
      <c r="C483" s="3" t="inlineStr">
        <is>
          <t>Dark</t>
        </is>
      </c>
      <c r="D483" s="3" t="inlineStr">
        <is>
          <t>Physical</t>
        </is>
      </c>
      <c r="E483" s="3" t="n">
        <v>70</v>
      </c>
      <c r="F483" s="3" t="n">
        <v>100</v>
      </c>
      <c r="G483" s="3" t="n">
        <v>5</v>
      </c>
    </row>
    <row r="484">
      <c r="A484" s="3" t="inlineStr">
        <is>
          <t>MOVE_SUNNY_DAY</t>
        </is>
      </c>
      <c r="B484" s="3" t="inlineStr">
        <is>
          <t>Sunny Day</t>
        </is>
      </c>
      <c r="C484" s="3" t="inlineStr">
        <is>
          <t>Fire</t>
        </is>
      </c>
      <c r="D484" s="3" t="inlineStr">
        <is>
          <t>Status</t>
        </is>
      </c>
      <c r="E484" s="3" t="n">
        <v>0</v>
      </c>
      <c r="F484" s="3" t="n">
        <v>0</v>
      </c>
      <c r="G484" s="3" t="n">
        <v>5</v>
      </c>
    </row>
    <row r="485">
      <c r="A485" s="3" t="inlineStr">
        <is>
          <t>MOVE_SUPER_FANG</t>
        </is>
      </c>
      <c r="B485" s="3" t="inlineStr">
        <is>
          <t>Super Fang</t>
        </is>
      </c>
      <c r="C485" s="3" t="inlineStr">
        <is>
          <t>Normal</t>
        </is>
      </c>
      <c r="D485" s="3" t="inlineStr">
        <is>
          <t>Physical</t>
        </is>
      </c>
      <c r="E485" s="3" t="n">
        <v>1</v>
      </c>
      <c r="F485" s="3" t="n">
        <v>90</v>
      </c>
      <c r="G485" s="3" t="n">
        <v>10</v>
      </c>
    </row>
    <row r="486">
      <c r="A486" s="3" t="inlineStr">
        <is>
          <t>MOVE_SUPERPOWER</t>
        </is>
      </c>
      <c r="B486" s="3" t="inlineStr">
        <is>
          <t>Superpower</t>
        </is>
      </c>
      <c r="C486" s="3" t="inlineStr">
        <is>
          <t>Fighting</t>
        </is>
      </c>
      <c r="D486" s="3" t="inlineStr">
        <is>
          <t>Physical</t>
        </is>
      </c>
      <c r="E486" s="3" t="n">
        <v>120</v>
      </c>
      <c r="F486" s="3" t="n">
        <v>100</v>
      </c>
      <c r="G486" s="3" t="n">
        <v>5</v>
      </c>
    </row>
    <row r="487">
      <c r="A487" s="3" t="inlineStr">
        <is>
          <t>MOVE_SUPERSONIC</t>
        </is>
      </c>
      <c r="B487" s="3" t="inlineStr">
        <is>
          <t>Supersonic</t>
        </is>
      </c>
      <c r="C487" s="3" t="inlineStr">
        <is>
          <t>Normal</t>
        </is>
      </c>
      <c r="D487" s="3" t="inlineStr">
        <is>
          <t>Status</t>
        </is>
      </c>
      <c r="E487" s="3" t="n">
        <v>0</v>
      </c>
      <c r="F487" s="3" t="n">
        <v>55</v>
      </c>
      <c r="G487" s="3" t="n">
        <v>20</v>
      </c>
    </row>
    <row r="488">
      <c r="A488" s="3" t="inlineStr">
        <is>
          <t>MOVE_SURF</t>
        </is>
      </c>
      <c r="B488" s="3" t="inlineStr">
        <is>
          <t>Surf</t>
        </is>
      </c>
      <c r="C488" s="3" t="inlineStr">
        <is>
          <t>Water</t>
        </is>
      </c>
      <c r="D488" s="3" t="inlineStr">
        <is>
          <t>Special</t>
        </is>
      </c>
      <c r="E488" s="3" t="n">
        <v>90</v>
      </c>
      <c r="F488" s="3" t="n">
        <v>100</v>
      </c>
      <c r="G488" s="3" t="n">
        <v>15</v>
      </c>
    </row>
    <row r="489">
      <c r="A489" s="3" t="inlineStr">
        <is>
          <t>MOVE_SWAGGER</t>
        </is>
      </c>
      <c r="B489" s="3" t="inlineStr">
        <is>
          <t>Swagger</t>
        </is>
      </c>
      <c r="C489" s="3" t="inlineStr">
        <is>
          <t>Normal</t>
        </is>
      </c>
      <c r="D489" s="3" t="inlineStr">
        <is>
          <t>Status</t>
        </is>
      </c>
      <c r="E489" s="3" t="n">
        <v>0</v>
      </c>
      <c r="F489" s="3" t="n">
        <v>85</v>
      </c>
      <c r="G489" s="3" t="n">
        <v>15</v>
      </c>
    </row>
    <row r="490">
      <c r="A490" s="3" t="inlineStr">
        <is>
          <t>MOVE_SWALLOW</t>
        </is>
      </c>
      <c r="B490" s="3" t="inlineStr">
        <is>
          <t>Swallow</t>
        </is>
      </c>
      <c r="C490" s="3" t="inlineStr">
        <is>
          <t>Normal</t>
        </is>
      </c>
      <c r="D490" s="3" t="inlineStr">
        <is>
          <t>Status</t>
        </is>
      </c>
      <c r="E490" s="3" t="n">
        <v>0</v>
      </c>
      <c r="F490" s="3" t="n">
        <v>0</v>
      </c>
      <c r="G490" s="3" t="n">
        <v>10</v>
      </c>
    </row>
    <row r="491">
      <c r="A491" s="3" t="inlineStr">
        <is>
          <t>MOVE_SWEET_KISS</t>
        </is>
      </c>
      <c r="B491" s="3" t="inlineStr">
        <is>
          <t>Sweet Kiss</t>
        </is>
      </c>
      <c r="C491" s="3" t="inlineStr">
        <is>
          <t>Fairy</t>
        </is>
      </c>
      <c r="D491" s="3" t="inlineStr">
        <is>
          <t>Status</t>
        </is>
      </c>
      <c r="E491" s="3" t="n">
        <v>0</v>
      </c>
      <c r="F491" s="3" t="n">
        <v>75</v>
      </c>
      <c r="G491" s="3" t="n">
        <v>10</v>
      </c>
    </row>
    <row r="492">
      <c r="A492" s="3" t="inlineStr">
        <is>
          <t>MOVE_SWEET_SCENT</t>
        </is>
      </c>
      <c r="B492" s="3" t="inlineStr">
        <is>
          <t>Sweet Scent</t>
        </is>
      </c>
      <c r="C492" s="3" t="inlineStr">
        <is>
          <t>Normal</t>
        </is>
      </c>
      <c r="D492" s="3" t="inlineStr">
        <is>
          <t>Status</t>
        </is>
      </c>
      <c r="E492" s="3" t="n">
        <v>0</v>
      </c>
      <c r="F492" s="3" t="n">
        <v>100</v>
      </c>
      <c r="G492" s="3" t="n">
        <v>20</v>
      </c>
    </row>
    <row r="493">
      <c r="A493" s="3" t="inlineStr">
        <is>
          <t>MOVE_SWIFT</t>
        </is>
      </c>
      <c r="B493" s="3" t="inlineStr">
        <is>
          <t>Swift</t>
        </is>
      </c>
      <c r="C493" s="3" t="inlineStr">
        <is>
          <t>Normal</t>
        </is>
      </c>
      <c r="D493" s="3" t="inlineStr">
        <is>
          <t>Special</t>
        </is>
      </c>
      <c r="E493" s="3" t="n">
        <v>60</v>
      </c>
      <c r="F493" s="3" t="n">
        <v>0</v>
      </c>
      <c r="G493" s="3" t="n">
        <v>20</v>
      </c>
    </row>
    <row r="494">
      <c r="A494" s="3" t="inlineStr">
        <is>
          <t>MOVE_SWITCHEROO</t>
        </is>
      </c>
      <c r="B494" s="3" t="inlineStr">
        <is>
          <t>Switcheroo</t>
        </is>
      </c>
      <c r="C494" s="3" t="inlineStr">
        <is>
          <t>Dark</t>
        </is>
      </c>
      <c r="D494" s="3" t="inlineStr">
        <is>
          <t>Status</t>
        </is>
      </c>
      <c r="E494" s="3" t="n">
        <v>0</v>
      </c>
      <c r="F494" s="3" t="n">
        <v>100</v>
      </c>
      <c r="G494" s="3" t="n">
        <v>10</v>
      </c>
    </row>
    <row r="495">
      <c r="A495" s="3" t="inlineStr">
        <is>
          <t>MOVE_SWORDS_DANCE</t>
        </is>
      </c>
      <c r="B495" s="3" t="inlineStr">
        <is>
          <t>Swords Dance</t>
        </is>
      </c>
      <c r="C495" s="3" t="inlineStr">
        <is>
          <t>Normal</t>
        </is>
      </c>
      <c r="D495" s="3" t="inlineStr">
        <is>
          <t>Status</t>
        </is>
      </c>
      <c r="E495" s="3" t="n">
        <v>0</v>
      </c>
      <c r="F495" s="3" t="n">
        <v>0</v>
      </c>
      <c r="G495" s="3" t="n">
        <v>20</v>
      </c>
    </row>
    <row r="496">
      <c r="A496" s="3" t="inlineStr">
        <is>
          <t>MOVE_SYNCHRONOISE</t>
        </is>
      </c>
      <c r="B496" s="3" t="inlineStr">
        <is>
          <t>Synchronoise</t>
        </is>
      </c>
      <c r="C496" s="3" t="inlineStr">
        <is>
          <t>Psychic</t>
        </is>
      </c>
      <c r="D496" s="3" t="inlineStr">
        <is>
          <t>Special</t>
        </is>
      </c>
      <c r="E496" s="3" t="n">
        <v>120</v>
      </c>
      <c r="F496" s="3" t="n">
        <v>100</v>
      </c>
      <c r="G496" s="3" t="n">
        <v>10</v>
      </c>
    </row>
    <row r="497">
      <c r="A497" s="3" t="inlineStr">
        <is>
          <t>MOVE_SYNTHESIS</t>
        </is>
      </c>
      <c r="B497" s="3" t="inlineStr">
        <is>
          <t>Synthesis</t>
        </is>
      </c>
      <c r="C497" s="3" t="inlineStr">
        <is>
          <t>Grass</t>
        </is>
      </c>
      <c r="D497" s="3" t="inlineStr">
        <is>
          <t>Status</t>
        </is>
      </c>
      <c r="E497" s="3" t="n">
        <v>0</v>
      </c>
      <c r="F497" s="3" t="n">
        <v>0</v>
      </c>
      <c r="G497" s="3" t="n">
        <v>5</v>
      </c>
    </row>
    <row r="498">
      <c r="A498" s="3" t="inlineStr">
        <is>
          <t>MOVE_TACKLE</t>
        </is>
      </c>
      <c r="B498" s="3" t="inlineStr">
        <is>
          <t>Tackle</t>
        </is>
      </c>
      <c r="C498" s="3" t="inlineStr">
        <is>
          <t>Normal</t>
        </is>
      </c>
      <c r="D498" s="3" t="inlineStr">
        <is>
          <t>Physical</t>
        </is>
      </c>
      <c r="E498" s="3" t="n">
        <v>40</v>
      </c>
      <c r="F498" s="3" t="n">
        <v>100</v>
      </c>
      <c r="G498" s="3" t="n">
        <v>30</v>
      </c>
    </row>
    <row r="499">
      <c r="A499" s="3" t="inlineStr">
        <is>
          <t>MOVE_TAIL_SLAP</t>
        </is>
      </c>
      <c r="B499" s="3" t="inlineStr">
        <is>
          <t>Tail Slap</t>
        </is>
      </c>
      <c r="C499" s="3" t="inlineStr">
        <is>
          <t>Normal</t>
        </is>
      </c>
      <c r="D499" s="3" t="inlineStr">
        <is>
          <t>Physical</t>
        </is>
      </c>
      <c r="E499" s="3" t="n">
        <v>25</v>
      </c>
      <c r="F499" s="3" t="n">
        <v>100</v>
      </c>
      <c r="G499" s="3" t="n">
        <v>10</v>
      </c>
    </row>
    <row r="500">
      <c r="A500" s="3" t="inlineStr">
        <is>
          <t>MOVE_TAIL_WHIP</t>
        </is>
      </c>
      <c r="B500" s="3" t="inlineStr">
        <is>
          <t>Tail Whip</t>
        </is>
      </c>
      <c r="C500" s="3" t="inlineStr">
        <is>
          <t>Normal</t>
        </is>
      </c>
      <c r="D500" s="3" t="inlineStr">
        <is>
          <t>Status</t>
        </is>
      </c>
      <c r="E500" s="3" t="n">
        <v>0</v>
      </c>
      <c r="F500" s="3" t="n">
        <v>100</v>
      </c>
      <c r="G500" s="3" t="n">
        <v>30</v>
      </c>
    </row>
    <row r="501">
      <c r="A501" s="3" t="inlineStr">
        <is>
          <t>MOVE_TAILWIND</t>
        </is>
      </c>
      <c r="B501" s="3" t="inlineStr">
        <is>
          <t>Tailwind</t>
        </is>
      </c>
      <c r="C501" s="3" t="inlineStr">
        <is>
          <t>Flying</t>
        </is>
      </c>
      <c r="D501" s="3" t="inlineStr">
        <is>
          <t>Status</t>
        </is>
      </c>
      <c r="E501" s="3" t="n">
        <v>0</v>
      </c>
      <c r="F501" s="3" t="n">
        <v>0</v>
      </c>
      <c r="G501" s="3" t="n">
        <v>15</v>
      </c>
    </row>
    <row r="502">
      <c r="A502" s="3" t="inlineStr">
        <is>
          <t>MOVE_TAKE_DOWN</t>
        </is>
      </c>
      <c r="B502" s="3" t="inlineStr">
        <is>
          <t>Take Down</t>
        </is>
      </c>
      <c r="C502" s="3" t="inlineStr">
        <is>
          <t>Normal</t>
        </is>
      </c>
      <c r="D502" s="3" t="inlineStr">
        <is>
          <t>Physical</t>
        </is>
      </c>
      <c r="E502" s="3" t="n">
        <v>90</v>
      </c>
      <c r="F502" s="3" t="n">
        <v>85</v>
      </c>
      <c r="G502" s="3" t="n">
        <v>20</v>
      </c>
    </row>
    <row r="503">
      <c r="A503" s="3" t="inlineStr">
        <is>
          <t>MOVE_TAUNT</t>
        </is>
      </c>
      <c r="B503" s="3" t="inlineStr">
        <is>
          <t>Taunt</t>
        </is>
      </c>
      <c r="C503" s="3" t="inlineStr">
        <is>
          <t>Dark</t>
        </is>
      </c>
      <c r="D503" s="3" t="inlineStr">
        <is>
          <t>Status</t>
        </is>
      </c>
      <c r="E503" s="3" t="n">
        <v>0</v>
      </c>
      <c r="F503" s="3" t="n">
        <v>100</v>
      </c>
      <c r="G503" s="3" t="n">
        <v>20</v>
      </c>
    </row>
    <row r="504">
      <c r="A504" s="3" t="inlineStr">
        <is>
          <t>MOVE_TEARFUL_LOOK</t>
        </is>
      </c>
      <c r="B504" s="3" t="inlineStr">
        <is>
          <t>Tearful Look</t>
        </is>
      </c>
      <c r="C504" s="3" t="inlineStr">
        <is>
          <t>Normal</t>
        </is>
      </c>
      <c r="D504" s="3" t="inlineStr">
        <is>
          <t>Status</t>
        </is>
      </c>
      <c r="E504" s="3" t="n">
        <v>0</v>
      </c>
      <c r="F504" s="3" t="n">
        <v>0</v>
      </c>
      <c r="G504" s="3" t="n">
        <v>20</v>
      </c>
    </row>
    <row r="505">
      <c r="A505" s="3" t="inlineStr">
        <is>
          <t>MOVE_TEETER_DANCE</t>
        </is>
      </c>
      <c r="B505" s="3" t="inlineStr">
        <is>
          <t>Teeter Dance</t>
        </is>
      </c>
      <c r="C505" s="3" t="inlineStr">
        <is>
          <t>Normal</t>
        </is>
      </c>
      <c r="D505" s="3" t="inlineStr">
        <is>
          <t>Status</t>
        </is>
      </c>
      <c r="E505" s="3" t="n">
        <v>0</v>
      </c>
      <c r="F505" s="3" t="n">
        <v>100</v>
      </c>
      <c r="G505" s="3" t="n">
        <v>20</v>
      </c>
    </row>
    <row r="506">
      <c r="A506" s="3" t="inlineStr">
        <is>
          <t>MOVE_TELEPORT</t>
        </is>
      </c>
      <c r="B506" s="3" t="inlineStr">
        <is>
          <t>Teleport</t>
        </is>
      </c>
      <c r="C506" s="3" t="inlineStr">
        <is>
          <t>Psychic</t>
        </is>
      </c>
      <c r="D506" s="3" t="inlineStr">
        <is>
          <t>Status</t>
        </is>
      </c>
      <c r="E506" s="3" t="n">
        <v>0</v>
      </c>
      <c r="F506" s="3" t="n">
        <v>0</v>
      </c>
      <c r="G506" s="3" t="n">
        <v>20</v>
      </c>
    </row>
    <row r="507">
      <c r="A507" s="3" t="inlineStr">
        <is>
          <t>MOVE_THIEF</t>
        </is>
      </c>
      <c r="B507" s="3" t="inlineStr">
        <is>
          <t>Thief</t>
        </is>
      </c>
      <c r="C507" s="3" t="inlineStr">
        <is>
          <t>Dark</t>
        </is>
      </c>
      <c r="D507" s="3" t="inlineStr">
        <is>
          <t>Physical</t>
        </is>
      </c>
      <c r="E507" s="3" t="n">
        <v>60</v>
      </c>
      <c r="F507" s="3" t="n">
        <v>100</v>
      </c>
      <c r="G507" s="3" t="n">
        <v>25</v>
      </c>
    </row>
    <row r="508">
      <c r="A508" s="3" t="inlineStr">
        <is>
          <t>MOVE_THRASH</t>
        </is>
      </c>
      <c r="B508" s="3" t="inlineStr">
        <is>
          <t>Thrash</t>
        </is>
      </c>
      <c r="C508" s="3" t="inlineStr">
        <is>
          <t>Normal</t>
        </is>
      </c>
      <c r="D508" s="3" t="inlineStr">
        <is>
          <t>Physical</t>
        </is>
      </c>
      <c r="E508" s="3" t="n">
        <v>120</v>
      </c>
      <c r="F508" s="3" t="n">
        <v>100</v>
      </c>
      <c r="G508" s="3" t="n">
        <v>10</v>
      </c>
    </row>
    <row r="509">
      <c r="A509" s="3" t="inlineStr">
        <is>
          <t>MOVE_THROAT_CHOP</t>
        </is>
      </c>
      <c r="B509" s="3" t="inlineStr">
        <is>
          <t>Throat Chop</t>
        </is>
      </c>
      <c r="C509" s="3" t="inlineStr">
        <is>
          <t>Dark</t>
        </is>
      </c>
      <c r="D509" s="3" t="inlineStr">
        <is>
          <t>Physical</t>
        </is>
      </c>
      <c r="E509" s="3" t="n">
        <v>80</v>
      </c>
      <c r="F509" s="3" t="n">
        <v>100</v>
      </c>
      <c r="G509" s="3" t="n">
        <v>15</v>
      </c>
    </row>
    <row r="510">
      <c r="A510" s="3" t="inlineStr">
        <is>
          <t>MOVE_THUNDER</t>
        </is>
      </c>
      <c r="B510" s="3" t="inlineStr">
        <is>
          <t>Thunder</t>
        </is>
      </c>
      <c r="C510" s="3" t="inlineStr">
        <is>
          <t>Electric</t>
        </is>
      </c>
      <c r="D510" s="3" t="inlineStr">
        <is>
          <t>Special</t>
        </is>
      </c>
      <c r="E510" s="3" t="n">
        <v>110</v>
      </c>
      <c r="F510" s="3" t="n">
        <v>70</v>
      </c>
      <c r="G510" s="3" t="n">
        <v>10</v>
      </c>
    </row>
    <row r="511">
      <c r="A511" s="3" t="inlineStr">
        <is>
          <t>MOVE_THUNDER_FANG</t>
        </is>
      </c>
      <c r="B511" s="3" t="inlineStr">
        <is>
          <t>Thunder Fang</t>
        </is>
      </c>
      <c r="C511" s="3" t="inlineStr">
        <is>
          <t>Electric</t>
        </is>
      </c>
      <c r="D511" s="3" t="inlineStr">
        <is>
          <t>Physical</t>
        </is>
      </c>
      <c r="E511" s="3" t="n">
        <v>65</v>
      </c>
      <c r="F511" s="3" t="n">
        <v>95</v>
      </c>
      <c r="G511" s="3" t="n">
        <v>15</v>
      </c>
    </row>
    <row r="512">
      <c r="A512" s="3" t="inlineStr">
        <is>
          <t>MOVE_THUNDER_PUNCH</t>
        </is>
      </c>
      <c r="B512" s="3" t="inlineStr">
        <is>
          <t>Thunder Punch</t>
        </is>
      </c>
      <c r="C512" s="3" t="inlineStr">
        <is>
          <t>Electric</t>
        </is>
      </c>
      <c r="D512" s="3" t="inlineStr">
        <is>
          <t>Physical</t>
        </is>
      </c>
      <c r="E512" s="3" t="n">
        <v>75</v>
      </c>
      <c r="F512" s="3" t="n">
        <v>100</v>
      </c>
      <c r="G512" s="3" t="n">
        <v>15</v>
      </c>
    </row>
    <row r="513">
      <c r="A513" s="3" t="inlineStr">
        <is>
          <t>MOVE_THUNDER_SHOCK</t>
        </is>
      </c>
      <c r="B513" s="3" t="inlineStr">
        <is>
          <t>Thunder Shock</t>
        </is>
      </c>
      <c r="C513" s="3" t="inlineStr">
        <is>
          <t>Electric</t>
        </is>
      </c>
      <c r="D513" s="3" t="inlineStr">
        <is>
          <t>Special</t>
        </is>
      </c>
      <c r="E513" s="3" t="n">
        <v>40</v>
      </c>
      <c r="F513" s="3" t="n">
        <v>100</v>
      </c>
      <c r="G513" s="3" t="n">
        <v>30</v>
      </c>
    </row>
    <row r="514">
      <c r="A514" s="3" t="inlineStr">
        <is>
          <t>MOVE_THUNDER_WAVE</t>
        </is>
      </c>
      <c r="B514" s="3" t="inlineStr">
        <is>
          <t>Thunder Wave</t>
        </is>
      </c>
      <c r="C514" s="3" t="inlineStr">
        <is>
          <t>Electric</t>
        </is>
      </c>
      <c r="D514" s="3" t="inlineStr">
        <is>
          <t>Status</t>
        </is>
      </c>
      <c r="E514" s="3" t="n">
        <v>0</v>
      </c>
      <c r="F514" s="3" t="n">
        <v>90</v>
      </c>
      <c r="G514" s="3" t="n">
        <v>20</v>
      </c>
    </row>
    <row r="515">
      <c r="A515" s="3" t="inlineStr">
        <is>
          <t>MOVE_THUNDERBOLT</t>
        </is>
      </c>
      <c r="B515" s="3" t="inlineStr">
        <is>
          <t>Thunderbolt</t>
        </is>
      </c>
      <c r="C515" s="3" t="inlineStr">
        <is>
          <t>Electric</t>
        </is>
      </c>
      <c r="D515" s="3" t="inlineStr">
        <is>
          <t>Special</t>
        </is>
      </c>
      <c r="E515" s="3" t="n">
        <v>90</v>
      </c>
      <c r="F515" s="3" t="n">
        <v>100</v>
      </c>
      <c r="G515" s="3" t="n">
        <v>15</v>
      </c>
    </row>
    <row r="516">
      <c r="A516" s="3" t="inlineStr">
        <is>
          <t>MOVE_TICKLE</t>
        </is>
      </c>
      <c r="B516" s="3" t="inlineStr">
        <is>
          <t>Tickle</t>
        </is>
      </c>
      <c r="C516" s="3" t="inlineStr">
        <is>
          <t>Normal</t>
        </is>
      </c>
      <c r="D516" s="3" t="inlineStr">
        <is>
          <t>Status</t>
        </is>
      </c>
      <c r="E516" s="3" t="n">
        <v>0</v>
      </c>
      <c r="F516" s="3" t="n">
        <v>100</v>
      </c>
      <c r="G516" s="3" t="n">
        <v>20</v>
      </c>
    </row>
    <row r="517">
      <c r="A517" s="3" t="inlineStr">
        <is>
          <t>MOVE_TIDY_UP</t>
        </is>
      </c>
      <c r="B517" s="3" t="inlineStr">
        <is>
          <t>Tidy Up</t>
        </is>
      </c>
      <c r="C517" s="3" t="inlineStr">
        <is>
          <t>Normal</t>
        </is>
      </c>
      <c r="D517" s="3" t="inlineStr">
        <is>
          <t>Status</t>
        </is>
      </c>
      <c r="E517" s="3" t="n">
        <v>0</v>
      </c>
      <c r="F517" s="3" t="n">
        <v>0</v>
      </c>
      <c r="G517" s="3" t="n">
        <v>10</v>
      </c>
    </row>
    <row r="518">
      <c r="A518" s="3" t="inlineStr">
        <is>
          <t>MOVE_TOPSY_TURVY</t>
        </is>
      </c>
      <c r="B518" s="3" t="inlineStr">
        <is>
          <t>Topsy-Turvy</t>
        </is>
      </c>
      <c r="C518" s="3" t="inlineStr">
        <is>
          <t>Dark</t>
        </is>
      </c>
      <c r="D518" s="3" t="inlineStr">
        <is>
          <t>Status</t>
        </is>
      </c>
      <c r="E518" s="3" t="n">
        <v>0</v>
      </c>
      <c r="F518" s="3" t="n">
        <v>0</v>
      </c>
      <c r="G518" s="3" t="n">
        <v>20</v>
      </c>
    </row>
    <row r="519">
      <c r="A519" s="3" t="inlineStr">
        <is>
          <t>MOVE_TORMENT</t>
        </is>
      </c>
      <c r="B519" s="3" t="inlineStr">
        <is>
          <t>Torment</t>
        </is>
      </c>
      <c r="C519" s="3" t="inlineStr">
        <is>
          <t>Dark</t>
        </is>
      </c>
      <c r="D519" s="3" t="inlineStr">
        <is>
          <t>Status</t>
        </is>
      </c>
      <c r="E519" s="3" t="n">
        <v>0</v>
      </c>
      <c r="F519" s="3" t="n">
        <v>100</v>
      </c>
      <c r="G519" s="3" t="n">
        <v>15</v>
      </c>
    </row>
    <row r="520">
      <c r="A520" s="3" t="inlineStr">
        <is>
          <t>MOVE_TOXIC</t>
        </is>
      </c>
      <c r="B520" s="3" t="inlineStr">
        <is>
          <t>Toxic</t>
        </is>
      </c>
      <c r="C520" s="3" t="inlineStr">
        <is>
          <t>Poison</t>
        </is>
      </c>
      <c r="D520" s="3" t="inlineStr">
        <is>
          <t>Status</t>
        </is>
      </c>
      <c r="E520" s="3" t="n">
        <v>0</v>
      </c>
      <c r="F520" s="3" t="n">
        <v>90</v>
      </c>
      <c r="G520" s="3" t="n">
        <v>10</v>
      </c>
    </row>
    <row r="521">
      <c r="A521" s="3" t="inlineStr">
        <is>
          <t>MOVE_TOXIC_SPIKES</t>
        </is>
      </c>
      <c r="B521" s="3" t="inlineStr">
        <is>
          <t>Toxic Spikes</t>
        </is>
      </c>
      <c r="C521" s="3" t="inlineStr">
        <is>
          <t>Poison</t>
        </is>
      </c>
      <c r="D521" s="3" t="inlineStr">
        <is>
          <t>Status</t>
        </is>
      </c>
      <c r="E521" s="3" t="n">
        <v>0</v>
      </c>
      <c r="F521" s="3" t="n">
        <v>0</v>
      </c>
      <c r="G521" s="3" t="n">
        <v>20</v>
      </c>
    </row>
    <row r="522">
      <c r="A522" s="3" t="inlineStr">
        <is>
          <t>MOVE_TRI_ATTACK</t>
        </is>
      </c>
      <c r="B522" s="3" t="inlineStr">
        <is>
          <t>Tri Attack</t>
        </is>
      </c>
      <c r="C522" s="3" t="inlineStr">
        <is>
          <t>Normal</t>
        </is>
      </c>
      <c r="D522" s="3" t="inlineStr">
        <is>
          <t>Special</t>
        </is>
      </c>
      <c r="E522" s="3" t="n">
        <v>80</v>
      </c>
      <c r="F522" s="3" t="n">
        <v>100</v>
      </c>
      <c r="G522" s="3" t="n">
        <v>10</v>
      </c>
    </row>
    <row r="523">
      <c r="A523" s="3" t="inlineStr">
        <is>
          <t>MOVE_TRICK</t>
        </is>
      </c>
      <c r="B523" s="3" t="inlineStr">
        <is>
          <t>Trick</t>
        </is>
      </c>
      <c r="C523" s="3" t="inlineStr">
        <is>
          <t>Psychic</t>
        </is>
      </c>
      <c r="D523" s="3" t="inlineStr">
        <is>
          <t>Status</t>
        </is>
      </c>
      <c r="E523" s="3" t="n">
        <v>0</v>
      </c>
      <c r="F523" s="3" t="n">
        <v>100</v>
      </c>
      <c r="G523" s="3" t="n">
        <v>10</v>
      </c>
    </row>
    <row r="524">
      <c r="A524" s="3" t="inlineStr">
        <is>
          <t>MOVE_TROP_KICK</t>
        </is>
      </c>
      <c r="B524" s="3" t="inlineStr">
        <is>
          <t>Trop Kick</t>
        </is>
      </c>
      <c r="C524" s="3" t="inlineStr">
        <is>
          <t>Grass</t>
        </is>
      </c>
      <c r="D524" s="3" t="inlineStr">
        <is>
          <t>Physical</t>
        </is>
      </c>
      <c r="E524" s="3" t="n">
        <v>70</v>
      </c>
      <c r="F524" s="3" t="n">
        <v>100</v>
      </c>
      <c r="G524" s="3" t="n">
        <v>15</v>
      </c>
    </row>
    <row r="525">
      <c r="A525" s="3" t="inlineStr">
        <is>
          <t>MOVE_TRUMP_CARD</t>
        </is>
      </c>
      <c r="B525" s="3" t="inlineStr">
        <is>
          <t>Trump Card</t>
        </is>
      </c>
      <c r="C525" s="3" t="inlineStr">
        <is>
          <t>Normal</t>
        </is>
      </c>
      <c r="D525" s="3" t="inlineStr">
        <is>
          <t>Special</t>
        </is>
      </c>
      <c r="E525" s="3" t="n">
        <v>1</v>
      </c>
      <c r="F525" s="3" t="n">
        <v>0</v>
      </c>
      <c r="G525" s="3" t="n">
        <v>5</v>
      </c>
    </row>
    <row r="526">
      <c r="A526" s="3" t="inlineStr">
        <is>
          <t>MOVE_TWINEEDLE</t>
        </is>
      </c>
      <c r="B526" s="3" t="inlineStr">
        <is>
          <t>Twineedle</t>
        </is>
      </c>
      <c r="C526" s="3" t="inlineStr">
        <is>
          <t>Bug</t>
        </is>
      </c>
      <c r="D526" s="3" t="inlineStr">
        <is>
          <t>Physical</t>
        </is>
      </c>
      <c r="E526" s="3" t="n">
        <v>25</v>
      </c>
      <c r="F526" s="3" t="n">
        <v>100</v>
      </c>
      <c r="G526" s="3" t="n">
        <v>20</v>
      </c>
    </row>
    <row r="527">
      <c r="A527" s="3" t="inlineStr">
        <is>
          <t>MOVE_TWISTER</t>
        </is>
      </c>
      <c r="B527" s="3" t="inlineStr">
        <is>
          <t>Twister</t>
        </is>
      </c>
      <c r="C527" s="3" t="inlineStr">
        <is>
          <t>Dragon</t>
        </is>
      </c>
      <c r="D527" s="3" t="inlineStr">
        <is>
          <t>Special</t>
        </is>
      </c>
      <c r="E527" s="3" t="n">
        <v>40</v>
      </c>
      <c r="F527" s="3" t="n">
        <v>100</v>
      </c>
      <c r="G527" s="3" t="n">
        <v>20</v>
      </c>
    </row>
    <row r="528">
      <c r="A528" s="3" t="inlineStr">
        <is>
          <t>MOVE_U_TURN</t>
        </is>
      </c>
      <c r="B528" s="3" t="inlineStr">
        <is>
          <t>U-turn</t>
        </is>
      </c>
      <c r="C528" s="3" t="inlineStr">
        <is>
          <t>Bug</t>
        </is>
      </c>
      <c r="D528" s="3" t="inlineStr">
        <is>
          <t>Physical</t>
        </is>
      </c>
      <c r="E528" s="3" t="n">
        <v>70</v>
      </c>
      <c r="F528" s="3" t="n">
        <v>100</v>
      </c>
      <c r="G528" s="3" t="n">
        <v>20</v>
      </c>
    </row>
    <row r="529">
      <c r="A529" s="3" t="inlineStr">
        <is>
          <t>MOVE_UPROAR</t>
        </is>
      </c>
      <c r="B529" s="3" t="inlineStr">
        <is>
          <t>Uproar</t>
        </is>
      </c>
      <c r="C529" s="3" t="inlineStr">
        <is>
          <t>Normal</t>
        </is>
      </c>
      <c r="D529" s="3" t="inlineStr">
        <is>
          <t>Special</t>
        </is>
      </c>
      <c r="E529" s="3" t="n">
        <v>90</v>
      </c>
      <c r="F529" s="3" t="n">
        <v>100</v>
      </c>
      <c r="G529" s="3" t="n">
        <v>10</v>
      </c>
    </row>
    <row r="530">
      <c r="A530" s="3" t="inlineStr">
        <is>
          <t>MOVE_VACUUM_WAVE</t>
        </is>
      </c>
      <c r="B530" s="3" t="inlineStr">
        <is>
          <t>Vacuum Wave</t>
        </is>
      </c>
      <c r="C530" s="3" t="inlineStr">
        <is>
          <t>Fighting</t>
        </is>
      </c>
      <c r="D530" s="3" t="inlineStr">
        <is>
          <t>Special</t>
        </is>
      </c>
      <c r="E530" s="3" t="n">
        <v>40</v>
      </c>
      <c r="F530" s="3" t="n">
        <v>100</v>
      </c>
      <c r="G530" s="3" t="n">
        <v>30</v>
      </c>
    </row>
    <row r="531">
      <c r="A531" s="3" t="inlineStr">
        <is>
          <t>MOVE_VENOM_DRENCH</t>
        </is>
      </c>
      <c r="B531" s="3" t="inlineStr">
        <is>
          <t>Venom Drench</t>
        </is>
      </c>
      <c r="C531" s="3" t="inlineStr">
        <is>
          <t>Poison</t>
        </is>
      </c>
      <c r="D531" s="3" t="inlineStr">
        <is>
          <t>Status</t>
        </is>
      </c>
      <c r="E531" s="3" t="n">
        <v>0</v>
      </c>
      <c r="F531" s="3" t="n">
        <v>100</v>
      </c>
      <c r="G531" s="3" t="n">
        <v>20</v>
      </c>
    </row>
    <row r="532">
      <c r="A532" s="3" t="inlineStr">
        <is>
          <t>MOVE_VENOSHOCK</t>
        </is>
      </c>
      <c r="B532" s="3" t="inlineStr">
        <is>
          <t>Venoshock</t>
        </is>
      </c>
      <c r="C532" s="3" t="inlineStr">
        <is>
          <t>Poison</t>
        </is>
      </c>
      <c r="D532" s="3" t="inlineStr">
        <is>
          <t>Special</t>
        </is>
      </c>
      <c r="E532" s="3" t="n">
        <v>65</v>
      </c>
      <c r="F532" s="3" t="n">
        <v>100</v>
      </c>
      <c r="G532" s="3" t="n">
        <v>10</v>
      </c>
    </row>
    <row r="533">
      <c r="A533" s="3" t="inlineStr">
        <is>
          <t>MOVE_VINE_WHIP</t>
        </is>
      </c>
      <c r="B533" s="3" t="inlineStr">
        <is>
          <t>Vine Whip</t>
        </is>
      </c>
      <c r="C533" s="3" t="inlineStr">
        <is>
          <t>Grass</t>
        </is>
      </c>
      <c r="D533" s="3" t="inlineStr">
        <is>
          <t>Physical</t>
        </is>
      </c>
      <c r="E533" s="3" t="n">
        <v>45</v>
      </c>
      <c r="F533" s="3" t="n">
        <v>100</v>
      </c>
      <c r="G533" s="3" t="n">
        <v>25</v>
      </c>
    </row>
    <row r="534">
      <c r="A534" s="3" t="inlineStr">
        <is>
          <t>MOVE_VISE_GRIP</t>
        </is>
      </c>
      <c r="B534" s="3" t="inlineStr">
        <is>
          <t>Vise Grip</t>
        </is>
      </c>
      <c r="C534" s="3" t="inlineStr">
        <is>
          <t>Normal</t>
        </is>
      </c>
      <c r="D534" s="3" t="inlineStr">
        <is>
          <t>Physical</t>
        </is>
      </c>
      <c r="E534" s="3" t="n">
        <v>55</v>
      </c>
      <c r="F534" s="3" t="n">
        <v>100</v>
      </c>
      <c r="G534" s="3" t="n">
        <v>30</v>
      </c>
    </row>
    <row r="535">
      <c r="A535" s="3" t="inlineStr">
        <is>
          <t>MOVE_VITAL_THROW</t>
        </is>
      </c>
      <c r="B535" s="3" t="inlineStr">
        <is>
          <t>Vital Throw</t>
        </is>
      </c>
      <c r="C535" s="3" t="inlineStr">
        <is>
          <t>Fighting</t>
        </is>
      </c>
      <c r="D535" s="3" t="inlineStr">
        <is>
          <t>Physical</t>
        </is>
      </c>
      <c r="E535" s="3" t="n">
        <v>70</v>
      </c>
      <c r="F535" s="3" t="n">
        <v>0</v>
      </c>
      <c r="G535" s="3" t="n">
        <v>10</v>
      </c>
    </row>
    <row r="536">
      <c r="A536" s="3" t="inlineStr">
        <is>
          <t>MOVE_VOLT_SWITCH</t>
        </is>
      </c>
      <c r="B536" s="3" t="inlineStr">
        <is>
          <t>Volt Switch</t>
        </is>
      </c>
      <c r="C536" s="3" t="inlineStr">
        <is>
          <t>Electric</t>
        </is>
      </c>
      <c r="D536" s="3" t="inlineStr">
        <is>
          <t>Special</t>
        </is>
      </c>
      <c r="E536" s="3" t="n">
        <v>70</v>
      </c>
      <c r="F536" s="3" t="n">
        <v>100</v>
      </c>
      <c r="G536" s="3" t="n">
        <v>20</v>
      </c>
    </row>
    <row r="537">
      <c r="A537" s="3" t="inlineStr">
        <is>
          <t>MOVE_WAKE_UP_SLAP</t>
        </is>
      </c>
      <c r="B537" s="3" t="inlineStr">
        <is>
          <t>Wake-Up Slap</t>
        </is>
      </c>
      <c r="C537" s="3" t="inlineStr">
        <is>
          <t>Fighting</t>
        </is>
      </c>
      <c r="D537" s="3" t="inlineStr">
        <is>
          <t>Physical</t>
        </is>
      </c>
      <c r="E537" s="3" t="n">
        <v>70</v>
      </c>
      <c r="F537" s="3" t="n">
        <v>100</v>
      </c>
      <c r="G537" s="3" t="n">
        <v>10</v>
      </c>
    </row>
    <row r="538">
      <c r="A538" s="3" t="inlineStr">
        <is>
          <t>MOVE_WATER_GUN</t>
        </is>
      </c>
      <c r="B538" s="3" t="inlineStr">
        <is>
          <t>Water Gun</t>
        </is>
      </c>
      <c r="C538" s="3" t="inlineStr">
        <is>
          <t>Water</t>
        </is>
      </c>
      <c r="D538" s="3" t="inlineStr">
        <is>
          <t>Special</t>
        </is>
      </c>
      <c r="E538" s="3" t="n">
        <v>40</v>
      </c>
      <c r="F538" s="3" t="n">
        <v>100</v>
      </c>
      <c r="G538" s="3" t="n">
        <v>25</v>
      </c>
    </row>
    <row r="539">
      <c r="A539" s="3" t="inlineStr">
        <is>
          <t>MOVE_WATER_PULSE</t>
        </is>
      </c>
      <c r="B539" s="3" t="inlineStr">
        <is>
          <t>Water Pulse</t>
        </is>
      </c>
      <c r="C539" s="3" t="inlineStr">
        <is>
          <t>Water</t>
        </is>
      </c>
      <c r="D539" s="3" t="inlineStr">
        <is>
          <t>Special</t>
        </is>
      </c>
      <c r="E539" s="3" t="n">
        <v>60</v>
      </c>
      <c r="F539" s="3" t="n">
        <v>100</v>
      </c>
      <c r="G539" s="3" t="n">
        <v>20</v>
      </c>
    </row>
    <row r="540">
      <c r="A540" s="3" t="inlineStr">
        <is>
          <t>MOVE_WATER_SHURIKEN</t>
        </is>
      </c>
      <c r="B540" s="3" t="inlineStr">
        <is>
          <t>Water Shuriken</t>
        </is>
      </c>
      <c r="C540" s="3" t="inlineStr">
        <is>
          <t>Water</t>
        </is>
      </c>
      <c r="D540" s="3" t="inlineStr">
        <is>
          <t>Special</t>
        </is>
      </c>
      <c r="E540" s="3" t="n">
        <v>15</v>
      </c>
      <c r="F540" s="3" t="n">
        <v>100</v>
      </c>
      <c r="G540" s="3" t="n">
        <v>20</v>
      </c>
    </row>
    <row r="541">
      <c r="A541" s="3" t="inlineStr">
        <is>
          <t>MOVE_WATER_SPORT</t>
        </is>
      </c>
      <c r="B541" s="3" t="inlineStr">
        <is>
          <t>Water Sport</t>
        </is>
      </c>
      <c r="C541" s="3" t="inlineStr">
        <is>
          <t>Water</t>
        </is>
      </c>
      <c r="D541" s="3" t="inlineStr">
        <is>
          <t>Status</t>
        </is>
      </c>
      <c r="E541" s="3" t="n">
        <v>0</v>
      </c>
      <c r="F541" s="3" t="n">
        <v>0</v>
      </c>
      <c r="G541" s="3" t="n">
        <v>15</v>
      </c>
    </row>
    <row r="542">
      <c r="A542" s="3" t="inlineStr">
        <is>
          <t>MOVE_WATERFALL</t>
        </is>
      </c>
      <c r="B542" s="3" t="inlineStr">
        <is>
          <t>Waterfall</t>
        </is>
      </c>
      <c r="C542" s="3" t="inlineStr">
        <is>
          <t>Water</t>
        </is>
      </c>
      <c r="D542" s="3" t="inlineStr">
        <is>
          <t>Physical</t>
        </is>
      </c>
      <c r="E542" s="3" t="n">
        <v>80</v>
      </c>
      <c r="F542" s="3" t="n">
        <v>100</v>
      </c>
      <c r="G542" s="3" t="n">
        <v>15</v>
      </c>
    </row>
    <row r="543">
      <c r="A543" s="3" t="inlineStr">
        <is>
          <t>MOVE_WAVE_CRASH</t>
        </is>
      </c>
      <c r="B543" s="3" t="inlineStr">
        <is>
          <t>Wave Crash</t>
        </is>
      </c>
      <c r="C543" s="3" t="inlineStr">
        <is>
          <t>Water</t>
        </is>
      </c>
      <c r="D543" s="3" t="inlineStr">
        <is>
          <t>Physical</t>
        </is>
      </c>
      <c r="E543" s="3" t="n">
        <v>120</v>
      </c>
      <c r="F543" s="3" t="n">
        <v>100</v>
      </c>
      <c r="G543" s="3" t="n">
        <v>10</v>
      </c>
    </row>
    <row r="544">
      <c r="A544" s="3" t="inlineStr">
        <is>
          <t>MOVE_WEATHER_BALL</t>
        </is>
      </c>
      <c r="B544" s="3" t="inlineStr">
        <is>
          <t>Weather Ball</t>
        </is>
      </c>
      <c r="C544" s="3" t="inlineStr">
        <is>
          <t>Normal</t>
        </is>
      </c>
      <c r="D544" s="3" t="inlineStr">
        <is>
          <t>Special</t>
        </is>
      </c>
      <c r="E544" s="3" t="n">
        <v>50</v>
      </c>
      <c r="F544" s="3" t="n">
        <v>100</v>
      </c>
      <c r="G544" s="3" t="n">
        <v>10</v>
      </c>
    </row>
    <row r="545">
      <c r="A545" s="3" t="inlineStr">
        <is>
          <t>MOVE_WHIRLPOOL</t>
        </is>
      </c>
      <c r="B545" s="3" t="inlineStr">
        <is>
          <t>Whirlpool</t>
        </is>
      </c>
      <c r="C545" s="3" t="inlineStr">
        <is>
          <t>Water</t>
        </is>
      </c>
      <c r="D545" s="3" t="inlineStr">
        <is>
          <t>Special</t>
        </is>
      </c>
      <c r="E545" s="3" t="n">
        <v>35</v>
      </c>
      <c r="F545" s="3" t="n">
        <v>85</v>
      </c>
      <c r="G545" s="3" t="n">
        <v>15</v>
      </c>
    </row>
    <row r="546">
      <c r="A546" s="3" t="inlineStr">
        <is>
          <t>MOVE_WHIRLWIND</t>
        </is>
      </c>
      <c r="B546" s="3" t="inlineStr">
        <is>
          <t>Whirlwind</t>
        </is>
      </c>
      <c r="C546" s="3" t="inlineStr">
        <is>
          <t>Normal</t>
        </is>
      </c>
      <c r="D546" s="3" t="inlineStr">
        <is>
          <t>Status</t>
        </is>
      </c>
      <c r="E546" s="3" t="n">
        <v>0</v>
      </c>
      <c r="F546" s="3" t="n">
        <v>0</v>
      </c>
      <c r="G546" s="3" t="n">
        <v>20</v>
      </c>
    </row>
    <row r="547">
      <c r="A547" s="3" t="inlineStr">
        <is>
          <t>MOVE_WIDE_GUARD</t>
        </is>
      </c>
      <c r="B547" s="3" t="inlineStr">
        <is>
          <t>Wide Guard</t>
        </is>
      </c>
      <c r="C547" s="3" t="inlineStr">
        <is>
          <t>Rock</t>
        </is>
      </c>
      <c r="D547" s="3" t="inlineStr">
        <is>
          <t>Status</t>
        </is>
      </c>
      <c r="E547" s="3" t="n">
        <v>0</v>
      </c>
      <c r="F547" s="3" t="n">
        <v>0</v>
      </c>
      <c r="G547" s="3" t="n">
        <v>10</v>
      </c>
    </row>
    <row r="548">
      <c r="A548" s="3" t="inlineStr">
        <is>
          <t>MOVE_WILD_CHARGE</t>
        </is>
      </c>
      <c r="B548" s="3" t="inlineStr">
        <is>
          <t>Wild Charge</t>
        </is>
      </c>
      <c r="C548" s="3" t="inlineStr">
        <is>
          <t>Electric</t>
        </is>
      </c>
      <c r="D548" s="3" t="inlineStr">
        <is>
          <t>Physical</t>
        </is>
      </c>
      <c r="E548" s="3" t="n">
        <v>90</v>
      </c>
      <c r="F548" s="3" t="n">
        <v>100</v>
      </c>
      <c r="G548" s="3" t="n">
        <v>15</v>
      </c>
    </row>
    <row r="549">
      <c r="A549" s="3" t="inlineStr">
        <is>
          <t>MOVE_WILL_O_WISP</t>
        </is>
      </c>
      <c r="B549" s="3" t="inlineStr">
        <is>
          <t>Will-O-Wisp</t>
        </is>
      </c>
      <c r="C549" s="3" t="inlineStr">
        <is>
          <t>Fire</t>
        </is>
      </c>
      <c r="D549" s="3" t="inlineStr">
        <is>
          <t>Status</t>
        </is>
      </c>
      <c r="E549" s="3" t="n">
        <v>0</v>
      </c>
      <c r="F549" s="3" t="n">
        <v>85</v>
      </c>
      <c r="G549" s="3" t="n">
        <v>15</v>
      </c>
    </row>
    <row r="550">
      <c r="A550" s="3" t="inlineStr">
        <is>
          <t>MOVE_WING_ATTACK</t>
        </is>
      </c>
      <c r="B550" s="3" t="inlineStr">
        <is>
          <t>Wing Attack</t>
        </is>
      </c>
      <c r="C550" s="3" t="inlineStr">
        <is>
          <t>Flying</t>
        </is>
      </c>
      <c r="D550" s="3" t="inlineStr">
        <is>
          <t>Physical</t>
        </is>
      </c>
      <c r="E550" s="3" t="n">
        <v>60</v>
      </c>
      <c r="F550" s="3" t="n">
        <v>100</v>
      </c>
      <c r="G550" s="3" t="n">
        <v>35</v>
      </c>
    </row>
    <row r="551">
      <c r="A551" s="3" t="inlineStr">
        <is>
          <t>MOVE_WISH</t>
        </is>
      </c>
      <c r="B551" s="3" t="inlineStr">
        <is>
          <t>Wish</t>
        </is>
      </c>
      <c r="C551" s="3" t="inlineStr">
        <is>
          <t>Normal</t>
        </is>
      </c>
      <c r="D551" s="3" t="inlineStr">
        <is>
          <t>Status</t>
        </is>
      </c>
      <c r="E551" s="3" t="n">
        <v>0</v>
      </c>
      <c r="F551" s="3" t="n">
        <v>0</v>
      </c>
      <c r="G551" s="3" t="n">
        <v>10</v>
      </c>
    </row>
    <row r="552">
      <c r="A552" s="3" t="inlineStr">
        <is>
          <t>MOVE_WITHDRAW</t>
        </is>
      </c>
      <c r="B552" s="3" t="inlineStr">
        <is>
          <t>Withdraw</t>
        </is>
      </c>
      <c r="C552" s="3" t="inlineStr">
        <is>
          <t>Water</t>
        </is>
      </c>
      <c r="D552" s="3" t="inlineStr">
        <is>
          <t>Status</t>
        </is>
      </c>
      <c r="E552" s="3" t="n">
        <v>0</v>
      </c>
      <c r="F552" s="3" t="n">
        <v>0</v>
      </c>
      <c r="G552" s="3" t="n">
        <v>40</v>
      </c>
    </row>
    <row r="553">
      <c r="A553" s="3" t="inlineStr">
        <is>
          <t>MOVE_WONDER_ROOM</t>
        </is>
      </c>
      <c r="B553" s="3" t="inlineStr">
        <is>
          <t>Wonder Room</t>
        </is>
      </c>
      <c r="C553" s="3" t="inlineStr">
        <is>
          <t>Psychic</t>
        </is>
      </c>
      <c r="D553" s="3" t="inlineStr">
        <is>
          <t>Status</t>
        </is>
      </c>
      <c r="E553" s="3" t="n">
        <v>0</v>
      </c>
      <c r="F553" s="3" t="n">
        <v>0</v>
      </c>
      <c r="G553" s="3" t="n">
        <v>10</v>
      </c>
    </row>
    <row r="554">
      <c r="A554" s="3" t="inlineStr">
        <is>
          <t>MOVE_WOOD_HAMMER</t>
        </is>
      </c>
      <c r="B554" s="3" t="inlineStr">
        <is>
          <t>Wood Hammer</t>
        </is>
      </c>
      <c r="C554" s="3" t="inlineStr">
        <is>
          <t>Grass</t>
        </is>
      </c>
      <c r="D554" s="3" t="inlineStr">
        <is>
          <t>Physical</t>
        </is>
      </c>
      <c r="E554" s="3" t="n">
        <v>120</v>
      </c>
      <c r="F554" s="3" t="n">
        <v>100</v>
      </c>
      <c r="G554" s="3" t="n">
        <v>15</v>
      </c>
    </row>
    <row r="555">
      <c r="A555" s="3" t="inlineStr">
        <is>
          <t>MOVE_WORK_UP</t>
        </is>
      </c>
      <c r="B555" s="3" t="inlineStr">
        <is>
          <t>Work Up</t>
        </is>
      </c>
      <c r="C555" s="3" t="inlineStr">
        <is>
          <t>Normal</t>
        </is>
      </c>
      <c r="D555" s="3" t="inlineStr">
        <is>
          <t>Status</t>
        </is>
      </c>
      <c r="E555" s="3" t="n">
        <v>0</v>
      </c>
      <c r="F555" s="3" t="n">
        <v>0</v>
      </c>
      <c r="G555" s="3" t="n">
        <v>30</v>
      </c>
    </row>
    <row r="556">
      <c r="A556" s="3" t="inlineStr">
        <is>
          <t>MOVE_WORRY_SEED</t>
        </is>
      </c>
      <c r="B556" s="3" t="inlineStr">
        <is>
          <t>Worry Seed</t>
        </is>
      </c>
      <c r="C556" s="3" t="inlineStr">
        <is>
          <t>Grass</t>
        </is>
      </c>
      <c r="D556" s="3" t="inlineStr">
        <is>
          <t>Status</t>
        </is>
      </c>
      <c r="E556" s="3" t="n">
        <v>0</v>
      </c>
      <c r="F556" s="3" t="n">
        <v>100</v>
      </c>
      <c r="G556" s="3" t="n">
        <v>10</v>
      </c>
    </row>
    <row r="557">
      <c r="A557" s="3" t="inlineStr">
        <is>
          <t>MOVE_WRAP</t>
        </is>
      </c>
      <c r="B557" s="3" t="inlineStr">
        <is>
          <t>Wrap</t>
        </is>
      </c>
      <c r="C557" s="3" t="inlineStr">
        <is>
          <t>Normal</t>
        </is>
      </c>
      <c r="D557" s="3" t="inlineStr">
        <is>
          <t>Physical</t>
        </is>
      </c>
      <c r="E557" s="3" t="n">
        <v>15</v>
      </c>
      <c r="F557" s="3" t="n">
        <v>90</v>
      </c>
      <c r="G557" s="3" t="n">
        <v>20</v>
      </c>
    </row>
    <row r="558">
      <c r="A558" s="3" t="inlineStr">
        <is>
          <t>MOVE_WRING_OUT</t>
        </is>
      </c>
      <c r="B558" s="3" t="inlineStr">
        <is>
          <t>Wring Out</t>
        </is>
      </c>
      <c r="C558" s="3" t="inlineStr">
        <is>
          <t>Normal</t>
        </is>
      </c>
      <c r="D558" s="3" t="inlineStr">
        <is>
          <t>Special</t>
        </is>
      </c>
      <c r="E558" s="3" t="n">
        <v>120</v>
      </c>
      <c r="F558" s="3" t="n">
        <v>100</v>
      </c>
      <c r="G558" s="3" t="n">
        <v>5</v>
      </c>
    </row>
    <row r="559">
      <c r="A559" s="3" t="inlineStr">
        <is>
          <t>MOVE_X_SCISSOR</t>
        </is>
      </c>
      <c r="B559" s="3" t="inlineStr">
        <is>
          <t>X-Scissor</t>
        </is>
      </c>
      <c r="C559" s="3" t="inlineStr">
        <is>
          <t>Bug</t>
        </is>
      </c>
      <c r="D559" s="3" t="inlineStr">
        <is>
          <t>Physical</t>
        </is>
      </c>
      <c r="E559" s="3" t="n">
        <v>80</v>
      </c>
      <c r="F559" s="3" t="n">
        <v>100</v>
      </c>
      <c r="G559" s="3" t="n">
        <v>15</v>
      </c>
    </row>
    <row r="560">
      <c r="A560" s="3" t="inlineStr">
        <is>
          <t>MOVE_YAWN</t>
        </is>
      </c>
      <c r="B560" s="3" t="inlineStr">
        <is>
          <t>Yawn</t>
        </is>
      </c>
      <c r="C560" s="3" t="inlineStr">
        <is>
          <t>Normal</t>
        </is>
      </c>
      <c r="D560" s="3" t="inlineStr">
        <is>
          <t>Status</t>
        </is>
      </c>
      <c r="E560" s="3" t="n">
        <v>0</v>
      </c>
      <c r="F560" s="3" t="n">
        <v>0</v>
      </c>
      <c r="G560" s="3" t="n">
        <v>10</v>
      </c>
    </row>
    <row r="561">
      <c r="A561" s="3" t="inlineStr">
        <is>
          <t>MOVE_ZAP_CANNON</t>
        </is>
      </c>
      <c r="B561" s="3" t="inlineStr">
        <is>
          <t>Zap Cannon</t>
        </is>
      </c>
      <c r="C561" s="3" t="inlineStr">
        <is>
          <t>Electric</t>
        </is>
      </c>
      <c r="D561" s="3" t="inlineStr">
        <is>
          <t>Special</t>
        </is>
      </c>
      <c r="E561" s="3" t="n">
        <v>120</v>
      </c>
      <c r="F561" s="3" t="n">
        <v>50</v>
      </c>
      <c r="G561" s="3" t="n">
        <v>5</v>
      </c>
    </row>
    <row r="562">
      <c r="A562" s="3" t="inlineStr">
        <is>
          <t>MOVE_ZEN_HEADBUTT</t>
        </is>
      </c>
      <c r="B562" s="3" t="inlineStr">
        <is>
          <t>Zen Headbutt</t>
        </is>
      </c>
      <c r="C562" s="3" t="inlineStr">
        <is>
          <t>Psychic</t>
        </is>
      </c>
      <c r="D562" s="3" t="inlineStr">
        <is>
          <t>Physical</t>
        </is>
      </c>
      <c r="E562" s="3" t="n">
        <v>80</v>
      </c>
      <c r="F562" s="3" t="n">
        <v>90</v>
      </c>
      <c r="G562" s="3" t="n">
        <v>15</v>
      </c>
    </row>
  </sheetData>
  <autoFilter ref="A1:G56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5"/>
  <sheetViews>
    <sheetView showGridLines="0" workbookViewId="0">
      <pane ySplit="1" topLeftCell="A2" activePane="bottomLeft" state="frozen"/>
      <selection pane="bottomLeft" activeCell="A1" sqref="A1"/>
    </sheetView>
  </sheetViews>
  <sheetFormatPr baseColWidth="8" defaultRowHeight="15"/>
  <cols>
    <col width="16" customWidth="1" min="1" max="1"/>
    <col width="9" customWidth="1" min="2" max="2"/>
    <col width="9" customWidth="1" min="3" max="3"/>
    <col width="9" customWidth="1" min="4" max="4"/>
    <col width="9" customWidth="1" min="5" max="5"/>
    <col width="9" customWidth="1" min="6" max="6"/>
    <col width="42" customWidth="1" min="7" max="7"/>
    <col width="42" customWidth="1" min="8" max="8"/>
  </cols>
  <sheetData>
    <row r="1" ht="32" customHeight="1">
      <c r="A1" s="1" t="inlineStr">
        <is>
          <t>Nature</t>
        </is>
      </c>
      <c r="B1" s="1" t="inlineStr">
        <is>
          <t>Atk x</t>
        </is>
      </c>
      <c r="C1" s="1" t="inlineStr">
        <is>
          <t>Def x</t>
        </is>
      </c>
      <c r="D1" s="1" t="inlineStr">
        <is>
          <t>SpA x</t>
        </is>
      </c>
      <c r="E1" s="1" t="inlineStr">
        <is>
          <t>SpD x</t>
        </is>
      </c>
      <c r="F1" s="1" t="inlineStr">
        <is>
          <t>Spe x</t>
        </is>
      </c>
      <c r="G1" s="1" t="inlineStr">
        <is>
          <t>Description</t>
        </is>
      </c>
      <c r="H1" s="1" t="inlineStr">
        <is>
          <t>Model notes</t>
        </is>
      </c>
    </row>
    <row r="2">
      <c r="A2" s="3" t="inlineStr">
        <is>
          <t>Neutral</t>
        </is>
      </c>
      <c r="B2" s="3" t="n">
        <v>1</v>
      </c>
      <c r="C2" s="3" t="n">
        <v>1</v>
      </c>
      <c r="D2" s="3" t="n">
        <v>1</v>
      </c>
      <c r="E2" s="3" t="n">
        <v>1</v>
      </c>
      <c r="F2" s="3" t="n">
        <v>1</v>
      </c>
      <c r="G2" s="3" t="inlineStr">
        <is>
          <t>No stat changes.</t>
        </is>
      </c>
      <c r="H2" s="3" t="inlineStr"/>
    </row>
    <row r="3">
      <c r="A3" s="3" t="inlineStr">
        <is>
          <t>Abrasive</t>
        </is>
      </c>
      <c r="B3" s="3" t="n">
        <v>1</v>
      </c>
      <c r="C3" s="3" t="n">
        <v>1</v>
      </c>
      <c r="D3" s="3" t="n">
        <v>1</v>
      </c>
      <c r="E3" s="3" t="n">
        <v>1</v>
      </c>
      <c r="F3" s="3" t="n">
        <v>1</v>
      </c>
      <c r="G3" s="3" t="inlineStr">
        <is>
          <t>While on the field, increases indirect damage suffered by foes by 1.5x.</t>
        </is>
      </c>
      <c r="H3" s="3" t="inlineStr"/>
    </row>
    <row r="4">
      <c r="A4" s="3" t="inlineStr">
        <is>
          <t>Adamant</t>
        </is>
      </c>
      <c r="B4" s="3" t="n">
        <v>1</v>
      </c>
      <c r="C4" s="3" t="n">
        <v>1</v>
      </c>
      <c r="D4" s="3" t="n">
        <v>1</v>
      </c>
      <c r="E4" s="3" t="n">
        <v>1</v>
      </c>
      <c r="F4" s="3" t="n">
        <v>1</v>
      </c>
      <c r="G4" s="3" t="inlineStr">
        <is>
          <t>+15% Atk, -15% SpAtk.</t>
        </is>
      </c>
      <c r="H4" s="3" t="inlineStr"/>
    </row>
    <row r="5">
      <c r="A5" s="3" t="inlineStr">
        <is>
          <t>Affable</t>
        </is>
      </c>
      <c r="B5" s="3" t="n">
        <v>1</v>
      </c>
      <c r="C5" s="3" t="n">
        <v>1</v>
      </c>
      <c r="D5" s="3" t="n">
        <v>1</v>
      </c>
      <c r="E5" s="3" t="n">
        <v>1</v>
      </c>
      <c r="F5" s="3" t="n">
        <v>1</v>
      </c>
      <c r="G5" s="3" t="inlineStr">
        <is>
          <t>Befriends newly caught Pokémon, setting their Friendship to 150 and fully healing them.</t>
        </is>
      </c>
      <c r="H5" s="3" t="inlineStr"/>
    </row>
    <row r="6">
      <c r="A6" s="3" t="inlineStr">
        <is>
          <t>Affectionate</t>
        </is>
      </c>
      <c r="B6" s="3" t="n">
        <v>1</v>
      </c>
      <c r="C6" s="3" t="n">
        <v>1</v>
      </c>
      <c r="D6" s="3" t="n">
        <v>1</v>
      </c>
      <c r="E6" s="3" t="n">
        <v>1</v>
      </c>
      <c r="F6" s="3" t="n">
        <v>1</v>
      </c>
      <c r="G6" s="3" t="inlineStr">
        <is>
          <t>At max Friendship, has a 20% chance to tough out an attack with 1 HP remaining.</t>
        </is>
      </c>
      <c r="H6" s="3" t="inlineStr"/>
    </row>
    <row r="7">
      <c r="A7" s="3" t="inlineStr">
        <is>
          <t>Ambient</t>
        </is>
      </c>
      <c r="B7" s="3" t="n">
        <v>1</v>
      </c>
      <c r="C7" s="3" t="n">
        <v>1</v>
      </c>
      <c r="D7" s="3" t="n">
        <v>1</v>
      </c>
      <c r="E7" s="3" t="n">
        <v>1</v>
      </c>
      <c r="F7" s="3" t="n">
        <v>1</v>
      </c>
      <c r="G7" s="3" t="inlineStr">
        <is>
          <t>Extends timed field effects by 1 turn.</t>
        </is>
      </c>
      <c r="H7" s="3" t="inlineStr"/>
    </row>
    <row r="8">
      <c r="A8" s="3" t="inlineStr">
        <is>
          <t>Ambitious</t>
        </is>
      </c>
      <c r="B8" s="3" t="n">
        <v>1</v>
      </c>
      <c r="C8" s="3" t="n">
        <v>1</v>
      </c>
      <c r="D8" s="3" t="n">
        <v>1</v>
      </c>
      <c r="E8" s="3" t="n">
        <v>1</v>
      </c>
      <c r="F8" s="3" t="n">
        <v>1</v>
      </c>
      <c r="G8" s="3" t="inlineStr">
        <is>
          <t>Benefits from Badge Boosts exclusively, which boost stats by 10%.</t>
        </is>
      </c>
      <c r="H8" s="3" t="inlineStr"/>
    </row>
    <row r="9">
      <c r="A9" s="3" t="inlineStr">
        <is>
          <t>Anxious</t>
        </is>
      </c>
      <c r="B9" s="3" t="n">
        <v>1</v>
      </c>
      <c r="C9" s="3" t="n">
        <v>1</v>
      </c>
      <c r="D9" s="3" t="n">
        <v>1</v>
      </c>
      <c r="E9" s="3" t="n">
        <v>1</v>
      </c>
      <c r="F9" s="3" t="n">
        <v>0.8</v>
      </c>
      <c r="G9" s="3" t="inlineStr">
        <is>
          <t>Lowers Speed by 20% at full HP. Boosts Speed by 20% at half HP or below.</t>
        </is>
      </c>
      <c r="H9" s="3" t="inlineStr"/>
    </row>
    <row r="10">
      <c r="A10" s="3" t="inlineStr">
        <is>
          <t>Apathetic</t>
        </is>
      </c>
      <c r="B10" s="3" t="n">
        <v>1</v>
      </c>
      <c r="C10" s="3" t="n">
        <v>1</v>
      </c>
      <c r="D10" s="3" t="n">
        <v>1</v>
      </c>
      <c r="E10" s="3" t="n">
        <v>1</v>
      </c>
      <c r="F10" s="3" t="n">
        <v>1</v>
      </c>
      <c r="G10" s="3" t="inlineStr">
        <is>
          <t>Ignores all effects of Weather and Terrain, whether beneficial or harmful.</t>
        </is>
      </c>
      <c r="H10" s="3" t="inlineStr"/>
    </row>
    <row r="11">
      <c r="A11" s="3" t="inlineStr">
        <is>
          <t>Arrogant</t>
        </is>
      </c>
      <c r="B11" s="3" t="n">
        <v>1</v>
      </c>
      <c r="C11" s="3" t="n">
        <v>1</v>
      </c>
      <c r="D11" s="3" t="n">
        <v>1</v>
      </c>
      <c r="E11" s="3" t="n">
        <v>1</v>
      </c>
      <c r="F11" s="3" t="n">
        <v>1</v>
      </c>
      <c r="G11" s="3" t="inlineStr">
        <is>
          <t>Deals 10% more damage to higher-level targets.</t>
        </is>
      </c>
      <c r="H11" s="3" t="inlineStr"/>
    </row>
    <row r="12">
      <c r="A12" s="3" t="inlineStr">
        <is>
          <t>Bad-Tempered</t>
        </is>
      </c>
      <c r="B12" s="3" t="n">
        <v>1</v>
      </c>
      <c r="C12" s="3" t="n">
        <v>1</v>
      </c>
      <c r="D12" s="3" t="n">
        <v>1</v>
      </c>
      <c r="E12" s="3" t="n">
        <v>1</v>
      </c>
      <c r="F12" s="3" t="n">
        <v>1</v>
      </c>
      <c r="G12" s="3" t="inlineStr">
        <is>
          <t>If a move fails by any means, grants a 1.5x damage boost on the next turn.</t>
        </is>
      </c>
      <c r="H12" s="3" t="inlineStr"/>
    </row>
    <row r="13">
      <c r="A13" s="3" t="inlineStr">
        <is>
          <t>Bashful</t>
        </is>
      </c>
      <c r="B13" s="3" t="n">
        <v>1</v>
      </c>
      <c r="C13" s="3" t="n">
        <v>1</v>
      </c>
      <c r="D13" s="3" t="n">
        <v>1</v>
      </c>
      <c r="E13" s="3" t="n">
        <v>1</v>
      </c>
      <c r="F13" s="3" t="n">
        <v>1</v>
      </c>
      <c r="G13" s="3" t="inlineStr">
        <is>
          <t>On its first turn, takes 20% less damage from moves.</t>
        </is>
      </c>
      <c r="H13" s="3" t="inlineStr"/>
    </row>
    <row r="14">
      <c r="A14" s="3" t="inlineStr">
        <is>
          <t>Benevolent</t>
        </is>
      </c>
      <c r="B14" s="3" t="n">
        <v>1</v>
      </c>
      <c r="C14" s="3" t="n">
        <v>1</v>
      </c>
      <c r="D14" s="3" t="n">
        <v>1</v>
      </c>
      <c r="E14" s="3" t="n">
        <v>1</v>
      </c>
      <c r="F14" s="3" t="n">
        <v>1</v>
      </c>
      <c r="G14" s="3" t="inlineStr">
        <is>
          <t>Boosts healing by 20% for ALL Pokémon, including opponents.</t>
        </is>
      </c>
      <c r="H14" s="3" t="inlineStr"/>
    </row>
    <row r="15">
      <c r="A15" s="3" t="inlineStr">
        <is>
          <t>Bitter</t>
        </is>
      </c>
      <c r="B15" s="3" t="n">
        <v>1</v>
      </c>
      <c r="C15" s="3" t="n">
        <v>1</v>
      </c>
      <c r="D15" s="3" t="n">
        <v>1</v>
      </c>
      <c r="E15" s="3" t="n">
        <v>1</v>
      </c>
      <c r="F15" s="3" t="n">
        <v>1</v>
      </c>
      <c r="G15" s="3" t="inlineStr">
        <is>
          <t>If a foe heals with a move, the next damaging move deals 20% more damage.</t>
        </is>
      </c>
      <c r="H15" s="3" t="inlineStr"/>
    </row>
    <row r="16">
      <c r="A16" s="3" t="inlineStr">
        <is>
          <t>Bold</t>
        </is>
      </c>
      <c r="B16" s="3" t="n">
        <v>1</v>
      </c>
      <c r="C16" s="3" t="n">
        <v>1</v>
      </c>
      <c r="D16" s="3" t="n">
        <v>1</v>
      </c>
      <c r="E16" s="3" t="n">
        <v>1</v>
      </c>
      <c r="F16" s="3" t="n">
        <v>1</v>
      </c>
      <c r="G16" s="3" t="inlineStr">
        <is>
          <t>+15% Def, -15% Atk.</t>
        </is>
      </c>
      <c r="H16" s="3" t="inlineStr"/>
    </row>
    <row r="17">
      <c r="A17" s="3" t="inlineStr">
        <is>
          <t>Brave</t>
        </is>
      </c>
      <c r="B17" s="3" t="n">
        <v>1</v>
      </c>
      <c r="C17" s="3" t="n">
        <v>1</v>
      </c>
      <c r="D17" s="3" t="n">
        <v>1</v>
      </c>
      <c r="E17" s="3" t="n">
        <v>1</v>
      </c>
      <c r="F17" s="3" t="n">
        <v>0.85</v>
      </c>
      <c r="G17" s="3" t="inlineStr">
        <is>
          <t>+15% Atk, -15% Speed.</t>
        </is>
      </c>
      <c r="H17" s="3" t="inlineStr"/>
    </row>
    <row r="18">
      <c r="A18" s="3" t="inlineStr">
        <is>
          <t>Calculating</t>
        </is>
      </c>
      <c r="B18" s="3" t="n">
        <v>1</v>
      </c>
      <c r="C18" s="3" t="n">
        <v>1</v>
      </c>
      <c r="D18" s="3" t="n">
        <v>1</v>
      </c>
      <c r="E18" s="3" t="n">
        <v>1</v>
      </c>
      <c r="F18" s="3" t="n">
        <v>1</v>
      </c>
      <c r="G18" s="3" t="inlineStr">
        <is>
          <t>Averages the targets' Def and SpDef stats during damage calculation.</t>
        </is>
      </c>
      <c r="H18" s="3" t="inlineStr"/>
    </row>
    <row r="19">
      <c r="A19" s="3" t="inlineStr">
        <is>
          <t>Callous</t>
        </is>
      </c>
      <c r="B19" s="3" t="n">
        <v>1</v>
      </c>
      <c r="C19" s="3" t="n">
        <v>1</v>
      </c>
      <c r="D19" s="3" t="n">
        <v>1</v>
      </c>
      <c r="E19" s="3" t="n">
        <v>1</v>
      </c>
      <c r="F19" s="3" t="n">
        <v>1</v>
      </c>
      <c r="G19" s="3" t="inlineStr">
        <is>
          <t>Immune to Frostbite. Attacks have a 1/8 chance to inflict Frostbite.</t>
        </is>
      </c>
      <c r="H19" s="3" t="inlineStr"/>
    </row>
    <row r="20">
      <c r="A20" s="3" t="inlineStr">
        <is>
          <t>Calm</t>
        </is>
      </c>
      <c r="B20" s="3" t="n">
        <v>1</v>
      </c>
      <c r="C20" s="3" t="n">
        <v>1</v>
      </c>
      <c r="D20" s="3" t="n">
        <v>1</v>
      </c>
      <c r="E20" s="3" t="n">
        <v>1</v>
      </c>
      <c r="F20" s="3" t="n">
        <v>1</v>
      </c>
      <c r="G20" s="3" t="inlineStr">
        <is>
          <t>+15% SpDef, -15% Atk.</t>
        </is>
      </c>
      <c r="H20" s="3" t="inlineStr"/>
    </row>
    <row r="21">
      <c r="A21" s="3" t="inlineStr">
        <is>
          <t>Cantankerous</t>
        </is>
      </c>
      <c r="B21" s="3" t="n">
        <v>1</v>
      </c>
      <c r="C21" s="3" t="n">
        <v>1</v>
      </c>
      <c r="D21" s="3" t="n">
        <v>1</v>
      </c>
      <c r="E21" s="3" t="n">
        <v>1</v>
      </c>
      <c r="F21" s="3" t="n">
        <v>1</v>
      </c>
      <c r="G21" s="3" t="inlineStr">
        <is>
          <t>On entry, all Pokémon (including itself and allies) take 1/16 max HP as indirect damage.</t>
        </is>
      </c>
      <c r="H21" s="3" t="inlineStr"/>
    </row>
    <row r="22">
      <c r="A22" s="3" t="inlineStr">
        <is>
          <t>Capricious</t>
        </is>
      </c>
      <c r="B22" s="3" t="n">
        <v>1</v>
      </c>
      <c r="C22" s="3" t="n">
        <v>1</v>
      </c>
      <c r="D22" s="3" t="n">
        <v>1</v>
      </c>
      <c r="E22" s="3" t="n">
        <v>1</v>
      </c>
      <c r="F22" s="3" t="n">
        <v>1</v>
      </c>
      <c r="G22" s="3" t="inlineStr">
        <is>
          <t>Changes Nature after every battle. This effect stays even on changed Natures, unless minted away.</t>
        </is>
      </c>
      <c r="H22" s="3" t="inlineStr"/>
    </row>
    <row r="23">
      <c r="A23" s="3" t="inlineStr">
        <is>
          <t>Careful</t>
        </is>
      </c>
      <c r="B23" s="3" t="n">
        <v>1</v>
      </c>
      <c r="C23" s="3" t="n">
        <v>1</v>
      </c>
      <c r="D23" s="3" t="n">
        <v>1</v>
      </c>
      <c r="E23" s="3" t="n">
        <v>1</v>
      </c>
      <c r="F23" s="3" t="n">
        <v>1</v>
      </c>
      <c r="G23" s="3" t="inlineStr">
        <is>
          <t>+15% SpDef, -15% SpAtk.</t>
        </is>
      </c>
      <c r="H23" s="3" t="inlineStr"/>
    </row>
    <row r="24">
      <c r="A24" s="3" t="inlineStr">
        <is>
          <t>Charitable</t>
        </is>
      </c>
      <c r="B24" s="3" t="n">
        <v>1</v>
      </c>
      <c r="C24" s="3" t="n">
        <v>1</v>
      </c>
      <c r="D24" s="3" t="n">
        <v>1</v>
      </c>
      <c r="E24" s="3" t="n">
        <v>1</v>
      </c>
      <c r="F24" s="3" t="n">
        <v>1</v>
      </c>
      <c r="G24" s="3" t="inlineStr">
        <is>
          <t>Can use the move “Care Package” from the overworld, sacrificing 20% max HP to heal a party Pokémon.</t>
        </is>
      </c>
      <c r="H24" s="3" t="inlineStr"/>
    </row>
    <row r="25">
      <c r="A25" s="3" t="inlineStr">
        <is>
          <t>Childish</t>
        </is>
      </c>
      <c r="B25" s="3" t="n">
        <v>1</v>
      </c>
      <c r="C25" s="3" t="n">
        <v>1</v>
      </c>
      <c r="D25" s="3" t="n">
        <v>1</v>
      </c>
      <c r="E25" s="3" t="n">
        <v>1</v>
      </c>
      <c r="F25" s="3" t="n">
        <v>1</v>
      </c>
      <c r="G25" s="3" t="inlineStr">
        <is>
          <t>Deals 10% less damage. Gains 20% more EXP.</t>
        </is>
      </c>
      <c r="H25" s="3" t="inlineStr"/>
    </row>
    <row r="26">
      <c r="A26" s="3" t="inlineStr">
        <is>
          <t>Communal</t>
        </is>
      </c>
      <c r="B26" s="3" t="n">
        <v>1</v>
      </c>
      <c r="C26" s="3" t="n">
        <v>1</v>
      </c>
      <c r="D26" s="3" t="n">
        <v>1</v>
      </c>
      <c r="E26" s="3" t="n">
        <v>1</v>
      </c>
      <c r="F26" s="3" t="n">
        <v>1</v>
      </c>
      <c r="G26" s="3" t="inlineStr">
        <is>
          <t>Boosts Def and SpDef by 2% each per trait shared by another party Pokémon, max 10%.</t>
        </is>
      </c>
      <c r="H26" s="3" t="inlineStr"/>
    </row>
    <row r="27">
      <c r="A27" s="3" t="inlineStr">
        <is>
          <t>Cowardly</t>
        </is>
      </c>
      <c r="B27" s="3" t="n">
        <v>1</v>
      </c>
      <c r="C27" s="3" t="n">
        <v>1</v>
      </c>
      <c r="D27" s="3" t="n">
        <v>1</v>
      </c>
      <c r="E27" s="3" t="n">
        <v>1</v>
      </c>
      <c r="F27" s="3" t="n">
        <v>1</v>
      </c>
      <c r="G27" s="3" t="inlineStr">
        <is>
          <t>Wimps Out when HP falls to 25%.</t>
        </is>
      </c>
      <c r="H27" s="3" t="inlineStr"/>
    </row>
    <row r="28">
      <c r="A28" s="3" t="inlineStr">
        <is>
          <t>Cynical</t>
        </is>
      </c>
      <c r="B28" s="3" t="n">
        <v>1</v>
      </c>
      <c r="C28" s="3" t="n">
        <v>1</v>
      </c>
      <c r="D28" s="3" t="n">
        <v>1</v>
      </c>
      <c r="E28" s="3" t="n">
        <v>1</v>
      </c>
      <c r="F28" s="3" t="n">
        <v>1</v>
      </c>
      <c r="G28" s="3" t="inlineStr">
        <is>
          <t>Secondary effect chances from opponents' moves are flat 20% less likely. Cannot be minted into.</t>
        </is>
      </c>
      <c r="H28" s="3" t="inlineStr"/>
    </row>
    <row r="29">
      <c r="A29" s="3" t="inlineStr">
        <is>
          <t>Deceitful</t>
        </is>
      </c>
      <c r="B29" s="3" t="n">
        <v>1</v>
      </c>
      <c r="C29" s="3" t="n">
        <v>1</v>
      </c>
      <c r="D29" s="3" t="n">
        <v>1</v>
      </c>
      <c r="E29" s="3" t="n">
        <v>1</v>
      </c>
      <c r="F29" s="3" t="n">
        <v>1</v>
      </c>
      <c r="G29" s="3" t="inlineStr">
        <is>
          <t>Claims Weakness/Blunder Policy, Adrenaline Orb and Room Service effects fraudulently.</t>
        </is>
      </c>
      <c r="H29" s="3" t="inlineStr"/>
    </row>
    <row r="30">
      <c r="A30" s="3" t="inlineStr">
        <is>
          <t>Delicate</t>
        </is>
      </c>
      <c r="B30" s="3" t="n">
        <v>1</v>
      </c>
      <c r="C30" s="3" t="n">
        <v>1</v>
      </c>
      <c r="D30" s="3" t="n">
        <v>1</v>
      </c>
      <c r="E30" s="3" t="n">
        <v>1</v>
      </c>
      <c r="F30" s="3" t="n">
        <v>1</v>
      </c>
      <c r="G30" s="3" t="inlineStr">
        <is>
          <t>Suffers 1.5x indirect damage. Receives 1.3x more healing.</t>
        </is>
      </c>
      <c r="H30" s="3" t="inlineStr"/>
    </row>
    <row r="31">
      <c r="A31" s="3" t="inlineStr">
        <is>
          <t>Devoted</t>
        </is>
      </c>
      <c r="B31" s="3" t="n">
        <v>1</v>
      </c>
      <c r="C31" s="3" t="n">
        <v>1</v>
      </c>
      <c r="D31" s="3" t="n">
        <v>1</v>
      </c>
      <c r="E31" s="3" t="n">
        <v>1</v>
      </c>
      <c r="F31" s="3" t="n">
        <v>1</v>
      </c>
      <c r="G31" s="3" t="inlineStr">
        <is>
          <t>Dotes on most-similar-personality mon. Ups their defenses &amp; own offenses by up to 10%.</t>
        </is>
      </c>
      <c r="H31" s="3" t="inlineStr"/>
    </row>
    <row r="32">
      <c r="A32" s="3" t="inlineStr">
        <is>
          <t>Diplomatic</t>
        </is>
      </c>
      <c r="B32" s="3" t="n">
        <v>1</v>
      </c>
      <c r="C32" s="3" t="n">
        <v>1</v>
      </c>
      <c r="D32" s="3" t="n">
        <v>1</v>
      </c>
      <c r="E32" s="3" t="n">
        <v>1</v>
      </c>
      <c r="F32" s="3" t="n">
        <v>1</v>
      </c>
      <c r="G32" s="3" t="inlineStr">
        <is>
          <t>While on the field, no Pokémon can land critical hits.</t>
        </is>
      </c>
      <c r="H32" s="3" t="inlineStr"/>
    </row>
    <row r="33">
      <c r="A33" s="3" t="inlineStr">
        <is>
          <t>Docile</t>
        </is>
      </c>
      <c r="B33" s="3" t="n">
        <v>1</v>
      </c>
      <c r="C33" s="3" t="n">
        <v>1</v>
      </c>
      <c r="D33" s="3" t="n">
        <v>1</v>
      </c>
      <c r="E33" s="3" t="n">
        <v>1</v>
      </c>
      <c r="F33" s="3" t="n">
        <v>1</v>
      </c>
      <c r="G33" s="3" t="inlineStr">
        <is>
          <t>The Pokémon is docile and easygoing. This Nature does nothing.</t>
        </is>
      </c>
      <c r="H33" s="3" t="inlineStr"/>
    </row>
    <row r="34">
      <c r="A34" s="3" t="inlineStr">
        <is>
          <t>Dreamy</t>
        </is>
      </c>
      <c r="B34" s="3" t="n">
        <v>1</v>
      </c>
      <c r="C34" s="3" t="n">
        <v>1</v>
      </c>
      <c r="D34" s="3" t="n">
        <v>1</v>
      </c>
      <c r="E34" s="3" t="n">
        <v>1</v>
      </c>
      <c r="F34" s="3" t="n">
        <v>0.9</v>
      </c>
      <c r="G34" s="3" t="inlineStr">
        <is>
          <t>Can act even while asleep. Does not block other status conditions, however. -10% Speed.</t>
        </is>
      </c>
      <c r="H34" s="3" t="inlineStr"/>
    </row>
    <row r="35">
      <c r="A35" s="3" t="inlineStr">
        <is>
          <t>Eccentric</t>
        </is>
      </c>
      <c r="B35" s="3" t="n">
        <v>1</v>
      </c>
      <c r="C35" s="3" t="n">
        <v>1</v>
      </c>
      <c r="D35" s="3" t="n">
        <v>1</v>
      </c>
      <c r="E35" s="3" t="n">
        <v>1</v>
      </c>
      <c r="F35" s="3" t="n">
        <v>1</v>
      </c>
      <c r="G35" s="3" t="inlineStr">
        <is>
          <t>After each battle, this Pokémon replaces its Pokéball for a different one from the player's bag.</t>
        </is>
      </c>
      <c r="H35" s="3" t="inlineStr"/>
    </row>
    <row r="36">
      <c r="A36" s="3" t="inlineStr">
        <is>
          <t>Eclectic</t>
        </is>
      </c>
      <c r="B36" s="3" t="n">
        <v>1</v>
      </c>
      <c r="C36" s="3" t="n">
        <v>1</v>
      </c>
      <c r="D36" s="3" t="n">
        <v>1</v>
      </c>
      <c r="E36" s="3" t="n">
        <v>1</v>
      </c>
      <c r="F36" s="3" t="n">
        <v>1</v>
      </c>
      <c r="G36" s="3" t="inlineStr">
        <is>
          <t>Must run 1 move each - Physical / Special / Status. Boosts Atk / SpA / Spe by 5% each accordingly.</t>
        </is>
      </c>
      <c r="H36" s="3" t="inlineStr"/>
    </row>
    <row r="37">
      <c r="A37" s="3" t="inlineStr">
        <is>
          <t>Energetic</t>
        </is>
      </c>
      <c r="B37" s="3" t="n">
        <v>1</v>
      </c>
      <c r="C37" s="3" t="n">
        <v>1</v>
      </c>
      <c r="D37" s="3" t="n">
        <v>1</v>
      </c>
      <c r="E37" s="3" t="n">
        <v>1</v>
      </c>
      <c r="F37" s="3" t="n">
        <v>1</v>
      </c>
      <c r="G37" s="3" t="inlineStr">
        <is>
          <t>Speed cannot be lowered. Eggs hatch twice as fast.</t>
        </is>
      </c>
      <c r="H37" s="3" t="inlineStr"/>
    </row>
    <row r="38">
      <c r="A38" s="3" t="inlineStr">
        <is>
          <t>Fastidious</t>
        </is>
      </c>
      <c r="B38" s="3" t="n">
        <v>1</v>
      </c>
      <c r="C38" s="3" t="n">
        <v>1</v>
      </c>
      <c r="D38" s="3" t="n">
        <v>1</v>
      </c>
      <c r="E38" s="3" t="n">
        <v>1</v>
      </c>
      <c r="F38" s="3" t="n">
        <v>1</v>
      </c>
      <c r="G38" s="3" t="inlineStr">
        <is>
          <t>Cleans party's status conditions after battles. Refuses “dirty” held items.</t>
        </is>
      </c>
      <c r="H38" s="3" t="inlineStr"/>
    </row>
    <row r="39">
      <c r="A39" s="3" t="inlineStr">
        <is>
          <t>Finicky</t>
        </is>
      </c>
      <c r="B39" s="3" t="n">
        <v>1</v>
      </c>
      <c r="C39" s="3" t="n">
        <v>1</v>
      </c>
      <c r="D39" s="3" t="n">
        <v>1</v>
      </c>
      <c r="E39" s="3" t="n">
        <v>1</v>
      </c>
      <c r="F39" s="3" t="n">
        <v>1.2</v>
      </c>
      <c r="G39" s="3" t="inlineStr">
        <is>
          <t>Too klutzy to utilize Held Items, but boosts Speed by 20%.</t>
        </is>
      </c>
      <c r="H39" s="3" t="inlineStr"/>
    </row>
    <row r="40">
      <c r="A40" s="3" t="inlineStr">
        <is>
          <t>Flighty</t>
        </is>
      </c>
      <c r="B40" s="3" t="n">
        <v>1</v>
      </c>
      <c r="C40" s="3" t="n">
        <v>1</v>
      </c>
      <c r="D40" s="3" t="n">
        <v>1</v>
      </c>
      <c r="E40" s="3" t="n">
        <v>1</v>
      </c>
      <c r="F40" s="3" t="n">
        <v>1</v>
      </c>
      <c r="G40" s="3" t="inlineStr">
        <is>
          <t>Twice as hard to catch. Ignores trapping effects and boosts pivot moves by 10%.</t>
        </is>
      </c>
      <c r="H40" s="3" t="inlineStr"/>
    </row>
    <row r="41">
      <c r="A41" s="3" t="inlineStr">
        <is>
          <t>Flirty</t>
        </is>
      </c>
      <c r="B41" s="3" t="n">
        <v>1</v>
      </c>
      <c r="C41" s="3" t="n">
        <v>1</v>
      </c>
      <c r="D41" s="3" t="n">
        <v>1</v>
      </c>
      <c r="E41" s="3" t="n">
        <v>1</v>
      </c>
      <c r="F41" s="3" t="n">
        <v>1</v>
      </c>
      <c r="G41" s="3" t="inlineStr">
        <is>
          <t>Immune to Infatuation. Attacks have a 1/8 chance to infatuate.</t>
        </is>
      </c>
      <c r="H41" s="3" t="inlineStr"/>
    </row>
    <row r="42">
      <c r="A42" s="3" t="inlineStr">
        <is>
          <t>Forgiving</t>
        </is>
      </c>
      <c r="B42" s="3" t="n">
        <v>1</v>
      </c>
      <c r="C42" s="3" t="n">
        <v>1</v>
      </c>
      <c r="D42" s="3" t="n">
        <v>1</v>
      </c>
      <c r="E42" s="3" t="n">
        <v>1</v>
      </c>
      <c r="F42" s="3" t="n">
        <v>1</v>
      </c>
      <c r="G42" s="3" t="inlineStr">
        <is>
          <t>Friendship never decreases and boosts Return by 10%. Refuses “vengeance” moves.</t>
        </is>
      </c>
      <c r="H42" s="3" t="inlineStr"/>
    </row>
    <row r="43">
      <c r="A43" s="3" t="inlineStr">
        <is>
          <t>Frivolous</t>
        </is>
      </c>
      <c r="B43" s="3" t="n">
        <v>1</v>
      </c>
      <c r="C43" s="3" t="n">
        <v>1</v>
      </c>
      <c r="D43" s="3" t="n">
        <v>1</v>
      </c>
      <c r="E43" s="3" t="n">
        <v>1</v>
      </c>
      <c r="F43" s="3" t="n">
        <v>1</v>
      </c>
      <c r="G43" s="3" t="inlineStr">
        <is>
          <t>When buying items, 10% chance to secretly buy another item at a discounted price of 1/3.</t>
        </is>
      </c>
      <c r="H43" s="3" t="inlineStr"/>
    </row>
    <row r="44">
      <c r="A44" s="3" t="inlineStr">
        <is>
          <t>Frugal</t>
        </is>
      </c>
      <c r="B44" s="3" t="n">
        <v>1</v>
      </c>
      <c r="C44" s="3" t="n">
        <v>1</v>
      </c>
      <c r="D44" s="3" t="n">
        <v>1</v>
      </c>
      <c r="E44" s="3" t="n">
        <v>1</v>
      </c>
      <c r="F44" s="3" t="n">
        <v>1</v>
      </c>
      <c r="G44" s="3" t="inlineStr">
        <is>
          <t>Gets a 5% discount at PokéMarts. Refuses to utilize held items that cost above ¥5000.</t>
        </is>
      </c>
      <c r="H44" s="3" t="inlineStr"/>
    </row>
    <row r="45">
      <c r="A45" s="3" t="inlineStr">
        <is>
          <t>Gentle</t>
        </is>
      </c>
      <c r="B45" s="3" t="n">
        <v>1</v>
      </c>
      <c r="C45" s="3" t="n">
        <v>1</v>
      </c>
      <c r="D45" s="3" t="n">
        <v>1</v>
      </c>
      <c r="E45" s="3" t="n">
        <v>1</v>
      </c>
      <c r="F45" s="3" t="n">
        <v>1</v>
      </c>
      <c r="G45" s="3" t="inlineStr">
        <is>
          <t>+15% SpDef, -15% Def.</t>
        </is>
      </c>
      <c r="H45" s="3" t="inlineStr"/>
    </row>
    <row r="46">
      <c r="A46" s="3" t="inlineStr">
        <is>
          <t>Greedy</t>
        </is>
      </c>
      <c r="B46" s="3" t="n">
        <v>1</v>
      </c>
      <c r="C46" s="3" t="n">
        <v>1</v>
      </c>
      <c r="D46" s="3" t="n">
        <v>1</v>
      </c>
      <c r="E46" s="3" t="n">
        <v>1</v>
      </c>
      <c r="F46" s="3" t="n">
        <v>1</v>
      </c>
      <c r="G46" s="3" t="inlineStr">
        <is>
          <t>Steals held items after attacking. Gains 5% more money from battles.</t>
        </is>
      </c>
      <c r="H46" s="3" t="inlineStr"/>
    </row>
    <row r="47">
      <c r="A47" s="3" t="inlineStr">
        <is>
          <t>Hardy</t>
        </is>
      </c>
      <c r="B47" s="3" t="n">
        <v>1</v>
      </c>
      <c r="C47" s="3" t="n">
        <v>1</v>
      </c>
      <c r="D47" s="3" t="n">
        <v>1</v>
      </c>
      <c r="E47" s="3" t="n">
        <v>1</v>
      </c>
      <c r="F47" s="3" t="n">
        <v>1</v>
      </c>
      <c r="G47" s="3" t="inlineStr">
        <is>
          <t>Accustomed to hardships, this Pokémon cannot suffer stat reductions below -1.</t>
        </is>
      </c>
      <c r="H47" s="3" t="inlineStr"/>
    </row>
    <row r="48">
      <c r="A48" s="3" t="inlineStr">
        <is>
          <t>Hasty</t>
        </is>
      </c>
      <c r="B48" s="3" t="n">
        <v>1</v>
      </c>
      <c r="C48" s="3" t="n">
        <v>1</v>
      </c>
      <c r="D48" s="3" t="n">
        <v>1</v>
      </c>
      <c r="E48" s="3" t="n">
        <v>1</v>
      </c>
      <c r="F48" s="3" t="n">
        <v>1.15</v>
      </c>
      <c r="G48" s="3" t="inlineStr">
        <is>
          <t>+15% Speed, -15% Def.</t>
        </is>
      </c>
      <c r="H48" s="3" t="inlineStr"/>
    </row>
    <row r="49">
      <c r="A49" s="3" t="inlineStr">
        <is>
          <t>Hedonistic</t>
        </is>
      </c>
      <c r="B49" s="3" t="n">
        <v>1</v>
      </c>
      <c r="C49" s="3" t="n">
        <v>1</v>
      </c>
      <c r="D49" s="3" t="n">
        <v>1</v>
      </c>
      <c r="E49" s="3" t="n">
        <v>1</v>
      </c>
      <c r="F49" s="3" t="n">
        <v>1</v>
      </c>
      <c r="G49" s="3" t="inlineStr">
        <is>
          <t>Heals 1/16 HP each turn. Refuses moves that lower own stats, or ones with recoil or crash damage.</t>
        </is>
      </c>
      <c r="H49" s="3" t="inlineStr"/>
    </row>
    <row r="50">
      <c r="A50" s="3" t="inlineStr">
        <is>
          <t>Humble</t>
        </is>
      </c>
      <c r="B50" s="3" t="n">
        <v>1.05</v>
      </c>
      <c r="C50" s="3" t="n">
        <v>1.05</v>
      </c>
      <c r="D50" s="3" t="n">
        <v>1.05</v>
      </c>
      <c r="E50" s="3" t="n">
        <v>1.05</v>
      </c>
      <c r="F50" s="3" t="n">
        <v>1.05</v>
      </c>
      <c r="G50" s="3" t="inlineStr">
        <is>
          <t>Cannot accumulate more than a +1 in any stat. Instead, all non-HP stats are boosted by 5%.</t>
        </is>
      </c>
      <c r="H50" s="3" t="inlineStr"/>
    </row>
    <row r="51">
      <c r="A51" s="3" t="inlineStr">
        <is>
          <t>Idealistic</t>
        </is>
      </c>
      <c r="B51" s="3" t="n">
        <v>1</v>
      </c>
      <c r="C51" s="3" t="n">
        <v>1</v>
      </c>
      <c r="D51" s="3" t="n">
        <v>1</v>
      </c>
      <c r="E51" s="3" t="n">
        <v>1</v>
      </c>
      <c r="F51" s="3" t="n">
        <v>1</v>
      </c>
      <c r="G51" s="3" t="inlineStr">
        <is>
          <t>Ignores critical hits made at the base critical-hit rate. Cannot be minted into.</t>
        </is>
      </c>
      <c r="H51" s="3" t="inlineStr"/>
    </row>
    <row r="52">
      <c r="A52" s="3" t="inlineStr">
        <is>
          <t>Impish</t>
        </is>
      </c>
      <c r="B52" s="3" t="n">
        <v>1</v>
      </c>
      <c r="C52" s="3" t="n">
        <v>1</v>
      </c>
      <c r="D52" s="3" t="n">
        <v>1</v>
      </c>
      <c r="E52" s="3" t="n">
        <v>1</v>
      </c>
      <c r="F52" s="3" t="n">
        <v>1</v>
      </c>
      <c r="G52" s="3" t="inlineStr">
        <is>
          <t>+15% Def, -15% SpAtk.</t>
        </is>
      </c>
      <c r="H52" s="3" t="inlineStr"/>
    </row>
    <row r="53">
      <c r="A53" s="3" t="inlineStr">
        <is>
          <t>Impressionable</t>
        </is>
      </c>
      <c r="B53" s="3" t="n">
        <v>1</v>
      </c>
      <c r="C53" s="3" t="n">
        <v>1</v>
      </c>
      <c r="D53" s="3" t="n">
        <v>1</v>
      </c>
      <c r="E53" s="3" t="n">
        <v>1</v>
      </c>
      <c r="F53" s="3" t="n">
        <v>1</v>
      </c>
      <c r="G53" s="3" t="inlineStr">
        <is>
          <t>Takes after the Pokémon before it in the party, altering its non-HP stats.</t>
        </is>
      </c>
      <c r="H53" s="3" t="inlineStr"/>
    </row>
    <row r="54">
      <c r="A54" s="3" t="inlineStr">
        <is>
          <t>Indomitable</t>
        </is>
      </c>
      <c r="B54" s="3" t="n">
        <v>1</v>
      </c>
      <c r="C54" s="3" t="n">
        <v>1</v>
      </c>
      <c r="D54" s="3" t="n">
        <v>1</v>
      </c>
      <c r="E54" s="3" t="n">
        <v>1</v>
      </c>
      <c r="F54" s="3" t="n">
        <v>1</v>
      </c>
      <c r="G54" s="3" t="inlineStr">
        <is>
          <t>If knocked out before using its move, it completes the move and then faints.</t>
        </is>
      </c>
      <c r="H54" s="3" t="inlineStr"/>
    </row>
    <row r="55">
      <c r="A55" s="3" t="inlineStr">
        <is>
          <t>Innocent</t>
        </is>
      </c>
      <c r="B55" s="3" t="n">
        <v>1</v>
      </c>
      <c r="C55" s="3" t="n">
        <v>1</v>
      </c>
      <c r="D55" s="3" t="n">
        <v>1</v>
      </c>
      <c r="E55" s="3" t="n">
        <v>1</v>
      </c>
      <c r="F55" s="3" t="n">
        <v>1</v>
      </c>
      <c r="G55" s="3" t="inlineStr">
        <is>
          <t>Friendship is set to 0. When it evolves, its Nature changes depending on its Friendship.</t>
        </is>
      </c>
      <c r="H55" s="3" t="inlineStr"/>
    </row>
    <row r="56">
      <c r="A56" s="3" t="inlineStr">
        <is>
          <t>Jolly</t>
        </is>
      </c>
      <c r="B56" s="3" t="n">
        <v>1</v>
      </c>
      <c r="C56" s="3" t="n">
        <v>1</v>
      </c>
      <c r="D56" s="3" t="n">
        <v>1</v>
      </c>
      <c r="E56" s="3" t="n">
        <v>1</v>
      </c>
      <c r="F56" s="3" t="n">
        <v>1.15</v>
      </c>
      <c r="G56" s="3" t="inlineStr">
        <is>
          <t>+15% Speed, -15% SpAtk.</t>
        </is>
      </c>
      <c r="H56" s="3" t="inlineStr"/>
    </row>
    <row r="57">
      <c r="A57" s="3" t="inlineStr">
        <is>
          <t>Lax</t>
        </is>
      </c>
      <c r="B57" s="3" t="n">
        <v>1</v>
      </c>
      <c r="C57" s="3" t="n">
        <v>1</v>
      </c>
      <c r="D57" s="3" t="n">
        <v>1</v>
      </c>
      <c r="E57" s="3" t="n">
        <v>1</v>
      </c>
      <c r="F57" s="3" t="n">
        <v>1</v>
      </c>
      <c r="G57" s="3" t="inlineStr">
        <is>
          <t>+15% Def, -15% SpDef.</t>
        </is>
      </c>
      <c r="H57" s="3" t="inlineStr"/>
    </row>
    <row r="58">
      <c r="A58" s="3" t="inlineStr">
        <is>
          <t>Lazy</t>
        </is>
      </c>
      <c r="B58" s="3" t="n">
        <v>1</v>
      </c>
      <c r="C58" s="3" t="n">
        <v>1</v>
      </c>
      <c r="D58" s="3" t="n">
        <v>1</v>
      </c>
      <c r="E58" s="3" t="n">
        <v>1</v>
      </c>
      <c r="F58" s="3" t="n">
        <v>0.9</v>
      </c>
      <c r="G58" s="3" t="inlineStr">
        <is>
          <t>Loss of turn recovers 1/8 max HP. Lowers Speed by 10%.</t>
        </is>
      </c>
      <c r="H58" s="3" t="inlineStr"/>
    </row>
    <row r="59">
      <c r="A59" s="3" t="inlineStr">
        <is>
          <t>Level-Headed</t>
        </is>
      </c>
      <c r="B59" s="3" t="n">
        <v>1</v>
      </c>
      <c r="C59" s="3" t="n">
        <v>1</v>
      </c>
      <c r="D59" s="3" t="n">
        <v>1</v>
      </c>
      <c r="E59" s="3" t="n">
        <v>1</v>
      </c>
      <c r="F59" s="3" t="n">
        <v>1</v>
      </c>
      <c r="G59" s="3" t="inlineStr">
        <is>
          <t>Ignores Confusion, Flinching and Redirection.</t>
        </is>
      </c>
      <c r="H59" s="3" t="inlineStr"/>
    </row>
    <row r="60">
      <c r="A60" s="3" t="inlineStr">
        <is>
          <t>Lonely</t>
        </is>
      </c>
      <c r="B60" s="3" t="n">
        <v>1</v>
      </c>
      <c r="C60" s="3" t="n">
        <v>1</v>
      </c>
      <c r="D60" s="3" t="n">
        <v>1</v>
      </c>
      <c r="E60" s="3" t="n">
        <v>1</v>
      </c>
      <c r="F60" s="3" t="n">
        <v>1</v>
      </c>
      <c r="G60" s="3" t="inlineStr">
        <is>
          <t>+15% Atk, -15% Def.</t>
        </is>
      </c>
      <c r="H60" s="3" t="inlineStr"/>
    </row>
    <row r="61">
      <c r="A61" s="3" t="inlineStr">
        <is>
          <t>Loyal</t>
        </is>
      </c>
      <c r="B61" s="3" t="n">
        <v>1</v>
      </c>
      <c r="C61" s="3" t="n">
        <v>1</v>
      </c>
      <c r="D61" s="3" t="n">
        <v>1</v>
      </c>
      <c r="E61" s="3" t="n">
        <v>1</v>
      </c>
      <c r="F61" s="3" t="n">
        <v>1</v>
      </c>
      <c r="G61" s="3" t="inlineStr">
        <is>
          <t>Boosts Atk and SpA by 1% per 3 levels gained since met, max 15%.</t>
        </is>
      </c>
      <c r="H61" s="3" t="inlineStr">
        <is>
          <t>Loyal modeled with 0% bonus from met level</t>
        </is>
      </c>
    </row>
    <row r="62">
      <c r="A62" s="3" t="inlineStr">
        <is>
          <t>Mild</t>
        </is>
      </c>
      <c r="B62" s="3" t="n">
        <v>1</v>
      </c>
      <c r="C62" s="3" t="n">
        <v>1</v>
      </c>
      <c r="D62" s="3" t="n">
        <v>1</v>
      </c>
      <c r="E62" s="3" t="n">
        <v>1</v>
      </c>
      <c r="F62" s="3" t="n">
        <v>1</v>
      </c>
      <c r="G62" s="3" t="inlineStr">
        <is>
          <t>+15% SpAtk, -15% Def.</t>
        </is>
      </c>
      <c r="H62" s="3" t="inlineStr"/>
    </row>
    <row r="63">
      <c r="A63" s="3" t="inlineStr">
        <is>
          <t>Modest</t>
        </is>
      </c>
      <c r="B63" s="3" t="n">
        <v>1</v>
      </c>
      <c r="C63" s="3" t="n">
        <v>1</v>
      </c>
      <c r="D63" s="3" t="n">
        <v>1</v>
      </c>
      <c r="E63" s="3" t="n">
        <v>1</v>
      </c>
      <c r="F63" s="3" t="n">
        <v>1</v>
      </c>
      <c r="G63" s="3" t="inlineStr">
        <is>
          <t>+15% SpAtk, -15% Atk.</t>
        </is>
      </c>
      <c r="H63" s="3" t="inlineStr"/>
    </row>
    <row r="64">
      <c r="A64" s="3" t="inlineStr">
        <is>
          <t>Naive</t>
        </is>
      </c>
      <c r="B64" s="3" t="n">
        <v>1</v>
      </c>
      <c r="C64" s="3" t="n">
        <v>1</v>
      </c>
      <c r="D64" s="3" t="n">
        <v>1</v>
      </c>
      <c r="E64" s="3" t="n">
        <v>1</v>
      </c>
      <c r="F64" s="3" t="n">
        <v>1.15</v>
      </c>
      <c r="G64" s="3" t="inlineStr">
        <is>
          <t>+15% Speed, -15% SpDef.</t>
        </is>
      </c>
      <c r="H64" s="3" t="inlineStr"/>
    </row>
    <row r="65">
      <c r="A65" s="3" t="inlineStr">
        <is>
          <t>Naughty</t>
        </is>
      </c>
      <c r="B65" s="3" t="n">
        <v>1</v>
      </c>
      <c r="C65" s="3" t="n">
        <v>1</v>
      </c>
      <c r="D65" s="3" t="n">
        <v>1</v>
      </c>
      <c r="E65" s="3" t="n">
        <v>1</v>
      </c>
      <c r="F65" s="3" t="n">
        <v>1</v>
      </c>
      <c r="G65" s="3" t="inlineStr">
        <is>
          <t>+15% Atk, -15% SpDef.</t>
        </is>
      </c>
      <c r="H65" s="3" t="inlineStr"/>
    </row>
    <row r="66">
      <c r="A66" s="3" t="inlineStr">
        <is>
          <t>Noble</t>
        </is>
      </c>
      <c r="B66" s="3" t="n">
        <v>1</v>
      </c>
      <c r="C66" s="3" t="n">
        <v>1.05</v>
      </c>
      <c r="D66" s="3" t="n">
        <v>1</v>
      </c>
      <c r="E66" s="3" t="n">
        <v>1</v>
      </c>
      <c r="F66" s="3" t="n">
        <v>1</v>
      </c>
      <c r="G66" s="3" t="inlineStr">
        <is>
          <t>Always spares wild Pokémon at 1 HP, preventing them from being knocked out. +5% Def.</t>
        </is>
      </c>
      <c r="H66" s="3" t="inlineStr"/>
    </row>
    <row r="67">
      <c r="A67" s="3" t="inlineStr">
        <is>
          <t>Nostalgic</t>
        </is>
      </c>
      <c r="B67" s="3" t="n">
        <v>1</v>
      </c>
      <c r="C67" s="3" t="n">
        <v>1</v>
      </c>
      <c r="D67" s="3" t="n">
        <v>1</v>
      </c>
      <c r="E67" s="3" t="n">
        <v>1</v>
      </c>
      <c r="F67" s="3" t="n">
        <v>1</v>
      </c>
      <c r="G67" s="3" t="inlineStr">
        <is>
          <t>Refuses to let go of moves in slots 1 &amp; 2, but boosts them by 30%. Only slots 3 &amp; 4 may be changed.</t>
        </is>
      </c>
      <c r="H67" s="3" t="inlineStr"/>
    </row>
    <row r="68">
      <c r="A68" s="3" t="inlineStr">
        <is>
          <t>Observant</t>
        </is>
      </c>
      <c r="B68" s="3" t="n">
        <v>1</v>
      </c>
      <c r="C68" s="3" t="n">
        <v>1</v>
      </c>
      <c r="D68" s="3" t="n">
        <v>1</v>
      </c>
      <c r="E68" s="3" t="n">
        <v>1</v>
      </c>
      <c r="F68" s="3" t="n">
        <v>1</v>
      </c>
      <c r="G68" s="3" t="inlineStr">
        <is>
          <t>Wild Pokémon are 2x as likely to hold items and be shiny. Stacking this adds 0.2x.</t>
        </is>
      </c>
      <c r="H68" s="3" t="inlineStr"/>
    </row>
    <row r="69">
      <c r="A69" s="3" t="inlineStr">
        <is>
          <t>Old-Fashioned</t>
        </is>
      </c>
      <c r="B69" s="3" t="n">
        <v>1</v>
      </c>
      <c r="C69" s="3" t="n">
        <v>1</v>
      </c>
      <c r="D69" s="3" t="n">
        <v>1</v>
      </c>
      <c r="E69" s="3" t="n">
        <v>1</v>
      </c>
      <c r="F69" s="3" t="n">
        <v>1</v>
      </c>
      <c r="G69" s="3" t="inlineStr">
        <is>
          <t>Damaging moves use old type-based Physical/Special split. Fairy-moves are Special.</t>
        </is>
      </c>
      <c r="H69" s="3" t="inlineStr"/>
    </row>
    <row r="70">
      <c r="A70" s="3" t="inlineStr">
        <is>
          <t>Pack-Rat</t>
        </is>
      </c>
      <c r="B70" s="3" t="n">
        <v>1</v>
      </c>
      <c r="C70" s="3" t="n">
        <v>1</v>
      </c>
      <c r="D70" s="3" t="n">
        <v>1</v>
      </c>
      <c r="E70" s="3" t="n">
        <v>1</v>
      </c>
      <c r="F70" s="3" t="n">
        <v>1</v>
      </c>
      <c r="G70" s="3" t="inlineStr">
        <is>
          <t>Gains 1 Hoard Counter on entry and can relearn Stockpile.</t>
        </is>
      </c>
      <c r="H70" s="3" t="inlineStr"/>
    </row>
    <row r="71">
      <c r="A71" s="3" t="inlineStr">
        <is>
          <t>Perfectionist</t>
        </is>
      </c>
      <c r="B71" s="3" t="n">
        <v>1</v>
      </c>
      <c r="C71" s="3" t="n">
        <v>1</v>
      </c>
      <c r="D71" s="3" t="n">
        <v>1</v>
      </c>
      <c r="E71" s="3" t="n">
        <v>1</v>
      </c>
      <c r="F71" s="3" t="n">
        <v>1</v>
      </c>
      <c r="G71" s="3" t="inlineStr">
        <is>
          <t>Always acts last in a turn, but its moves always hit.</t>
        </is>
      </c>
      <c r="H71" s="3" t="inlineStr"/>
    </row>
    <row r="72">
      <c r="A72" s="3" t="inlineStr">
        <is>
          <t>Persuasive</t>
        </is>
      </c>
      <c r="B72" s="3" t="n">
        <v>1</v>
      </c>
      <c r="C72" s="3" t="n">
        <v>1</v>
      </c>
      <c r="D72" s="3" t="n">
        <v>1</v>
      </c>
      <c r="E72" s="3" t="n">
        <v>1</v>
      </c>
      <c r="F72" s="3" t="n">
        <v>1</v>
      </c>
      <c r="G72" s="3" t="inlineStr">
        <is>
          <t>Volatile Statuses inflicted by this Pokémon last 1 extra turn.</t>
        </is>
      </c>
      <c r="H72" s="3" t="inlineStr"/>
    </row>
    <row r="73">
      <c r="A73" s="3" t="inlineStr">
        <is>
          <t>Pompous</t>
        </is>
      </c>
      <c r="B73" s="3" t="n">
        <v>1</v>
      </c>
      <c r="C73" s="3" t="n">
        <v>1</v>
      </c>
      <c r="D73" s="3" t="n">
        <v>1</v>
      </c>
      <c r="E73" s="3" t="n">
        <v>1</v>
      </c>
      <c r="F73" s="3" t="n">
        <v>1</v>
      </c>
      <c r="G73" s="3" t="inlineStr">
        <is>
          <t>Its name carries weight, literally! Changes weight based on nickname length.</t>
        </is>
      </c>
      <c r="H73" s="3" t="inlineStr"/>
    </row>
    <row r="74">
      <c r="A74" s="3" t="inlineStr">
        <is>
          <t>Prodigious</t>
        </is>
      </c>
      <c r="B74" s="3" t="n">
        <v>1</v>
      </c>
      <c r="C74" s="3" t="n">
        <v>1</v>
      </c>
      <c r="D74" s="3" t="n">
        <v>1</v>
      </c>
      <c r="E74" s="3" t="n">
        <v>1</v>
      </c>
      <c r="F74" s="3" t="n">
        <v>1</v>
      </c>
      <c r="G74" s="3" t="inlineStr">
        <is>
          <t>Learns moves and evolves 1 level early.</t>
        </is>
      </c>
      <c r="H74" s="3" t="inlineStr"/>
    </row>
    <row r="75">
      <c r="A75" s="3" t="inlineStr">
        <is>
          <t>Proud</t>
        </is>
      </c>
      <c r="B75" s="3" t="n">
        <v>1.1</v>
      </c>
      <c r="C75" s="3" t="n">
        <v>1</v>
      </c>
      <c r="D75" s="3" t="n">
        <v>1</v>
      </c>
      <c r="E75" s="3" t="n">
        <v>1</v>
      </c>
      <c r="F75" s="3" t="n">
        <v>0.9</v>
      </c>
      <c r="G75" s="3" t="inlineStr">
        <is>
          <t>Its highest non-HP stat is boosted by 10% and its lowest non-HP stat is reduced by 10%.</t>
        </is>
      </c>
      <c r="H75" s="3" t="inlineStr">
        <is>
          <t>Proud boosts Atk, lowers Spe</t>
        </is>
      </c>
    </row>
    <row r="76">
      <c r="A76" s="3" t="inlineStr">
        <is>
          <t>Pugnacious</t>
        </is>
      </c>
      <c r="B76" s="3" t="n">
        <v>1</v>
      </c>
      <c r="C76" s="3" t="n">
        <v>1</v>
      </c>
      <c r="D76" s="3" t="n">
        <v>1</v>
      </c>
      <c r="E76" s="3" t="n">
        <v>1</v>
      </c>
      <c r="F76" s="3" t="n">
        <v>1</v>
      </c>
      <c r="G76" s="3" t="inlineStr">
        <is>
          <t>Infiltrates while attacking, ignoring opposing Screens and Substitute.</t>
        </is>
      </c>
      <c r="H76" s="3" t="inlineStr"/>
    </row>
    <row r="77">
      <c r="A77" s="3" t="inlineStr">
        <is>
          <t>Quiet</t>
        </is>
      </c>
      <c r="B77" s="3" t="n">
        <v>1</v>
      </c>
      <c r="C77" s="3" t="n">
        <v>1</v>
      </c>
      <c r="D77" s="3" t="n">
        <v>1</v>
      </c>
      <c r="E77" s="3" t="n">
        <v>1</v>
      </c>
      <c r="F77" s="3" t="n">
        <v>0.85</v>
      </c>
      <c r="G77" s="3" t="inlineStr">
        <is>
          <t>+15% SpAtk, -15% Speed.</t>
        </is>
      </c>
      <c r="H77" s="3" t="inlineStr"/>
    </row>
    <row r="78">
      <c r="A78" s="3" t="inlineStr">
        <is>
          <t>Quirky</t>
        </is>
      </c>
      <c r="B78" s="3" t="n">
        <v>1.03</v>
      </c>
      <c r="C78" s="3" t="n">
        <v>1.03</v>
      </c>
      <c r="D78" s="3" t="n">
        <v>1.03</v>
      </c>
      <c r="E78" s="3" t="n">
        <v>1.03</v>
      </c>
      <c r="F78" s="3" t="n">
        <v>1.03</v>
      </c>
      <c r="G78" s="3" t="inlineStr">
        <is>
          <t>Boosts each non-HP stat by 1% to 5% based entirely on its hidden personality value.</t>
        </is>
      </c>
      <c r="H78" s="3" t="inlineStr">
        <is>
          <t>Quirky modeled at configurable midpoint 3%</t>
        </is>
      </c>
    </row>
    <row r="79">
      <c r="A79" s="3" t="inlineStr">
        <is>
          <t>Rash</t>
        </is>
      </c>
      <c r="B79" s="3" t="n">
        <v>1</v>
      </c>
      <c r="C79" s="3" t="n">
        <v>1</v>
      </c>
      <c r="D79" s="3" t="n">
        <v>1</v>
      </c>
      <c r="E79" s="3" t="n">
        <v>1</v>
      </c>
      <c r="F79" s="3" t="n">
        <v>1</v>
      </c>
      <c r="G79" s="3" t="inlineStr">
        <is>
          <t>+15% SpAtk, -15% SpDef.</t>
        </is>
      </c>
      <c r="H79" s="3" t="inlineStr"/>
    </row>
    <row r="80">
      <c r="A80" s="3" t="inlineStr">
        <is>
          <t>Realistic</t>
        </is>
      </c>
      <c r="B80" s="3" t="n">
        <v>1</v>
      </c>
      <c r="C80" s="3" t="n">
        <v>1</v>
      </c>
      <c r="D80" s="3" t="n">
        <v>1</v>
      </c>
      <c r="E80" s="3" t="n">
        <v>1</v>
      </c>
      <c r="F80" s="3" t="n">
        <v>1</v>
      </c>
      <c r="G80" s="3" t="inlineStr">
        <is>
          <t>Damage rolls are always average or better. Move effect chances are raised by 10%. Cannot be minted into.</t>
        </is>
      </c>
      <c r="H80" s="3" t="inlineStr"/>
    </row>
    <row r="81">
      <c r="A81" s="3" t="inlineStr">
        <is>
          <t>Rebellious</t>
        </is>
      </c>
      <c r="B81" s="3" t="n">
        <v>1</v>
      </c>
      <c r="C81" s="3" t="n">
        <v>1</v>
      </c>
      <c r="D81" s="3" t="n">
        <v>1</v>
      </c>
      <c r="E81" s="3" t="n">
        <v>1</v>
      </c>
      <c r="F81" s="3" t="n">
        <v>1</v>
      </c>
      <c r="G81" s="3" t="inlineStr">
        <is>
          <t>Ignores Encore, Taunt, Torment, Disable and Heal Block.</t>
        </is>
      </c>
      <c r="H81" s="3" t="inlineStr"/>
    </row>
    <row r="82">
      <c r="A82" s="3" t="inlineStr">
        <is>
          <t>Relaxed</t>
        </is>
      </c>
      <c r="B82" s="3" t="n">
        <v>1</v>
      </c>
      <c r="C82" s="3" t="n">
        <v>1</v>
      </c>
      <c r="D82" s="3" t="n">
        <v>1</v>
      </c>
      <c r="E82" s="3" t="n">
        <v>1</v>
      </c>
      <c r="F82" s="3" t="n">
        <v>0.85</v>
      </c>
      <c r="G82" s="3" t="inlineStr">
        <is>
          <t>+15% Def, -15% Speed.</t>
        </is>
      </c>
      <c r="H82" s="3" t="inlineStr"/>
    </row>
    <row r="83">
      <c r="A83" s="3" t="inlineStr">
        <is>
          <t>Relentless</t>
        </is>
      </c>
      <c r="B83" s="3" t="n">
        <v>1</v>
      </c>
      <c r="C83" s="3" t="n">
        <v>1</v>
      </c>
      <c r="D83" s="3" t="n">
        <v>1</v>
      </c>
      <c r="E83" s="3" t="n">
        <v>1</v>
      </c>
      <c r="F83" s="3" t="n">
        <v>1</v>
      </c>
      <c r="G83" s="3" t="inlineStr">
        <is>
          <t>Boosts move damage and secondary effect chances by a flat 10%, but consumes 2 PP.</t>
        </is>
      </c>
      <c r="H83" s="3" t="inlineStr"/>
    </row>
    <row r="84">
      <c r="A84" s="3" t="inlineStr">
        <is>
          <t>Resolute</t>
        </is>
      </c>
      <c r="B84" s="3" t="n">
        <v>1</v>
      </c>
      <c r="C84" s="3" t="n">
        <v>1</v>
      </c>
      <c r="D84" s="3" t="n">
        <v>1</v>
      </c>
      <c r="E84" s="3" t="n">
        <v>1</v>
      </c>
      <c r="F84" s="3" t="n">
        <v>1</v>
      </c>
      <c r="G84" s="3" t="inlineStr">
        <is>
          <t>At 1/3 HP or lower, recovers 1/8 max HP and cleanses Volatile Statuses.</t>
        </is>
      </c>
      <c r="H84" s="3" t="inlineStr"/>
    </row>
    <row r="85">
      <c r="A85" s="3" t="inlineStr">
        <is>
          <t>Resourceful</t>
        </is>
      </c>
      <c r="B85" s="3" t="n">
        <v>1</v>
      </c>
      <c r="C85" s="3" t="n">
        <v>1</v>
      </c>
      <c r="D85" s="3" t="n">
        <v>1</v>
      </c>
      <c r="E85" s="3" t="n">
        <v>1</v>
      </c>
      <c r="F85" s="3" t="n">
        <v>1</v>
      </c>
      <c r="G85" s="3" t="inlineStr">
        <is>
          <t>Organic Held Items are 25% more effective.</t>
        </is>
      </c>
      <c r="H85" s="3" t="inlineStr"/>
    </row>
    <row r="86">
      <c r="A86" s="3" t="inlineStr">
        <is>
          <t>Rugged</t>
        </is>
      </c>
      <c r="B86" s="3" t="n">
        <v>1</v>
      </c>
      <c r="C86" s="3" t="n">
        <v>1</v>
      </c>
      <c r="D86" s="3" t="n">
        <v>1</v>
      </c>
      <c r="E86" s="3" t="n">
        <v>1</v>
      </c>
      <c r="F86" s="3" t="n">
        <v>1</v>
      </c>
      <c r="G86" s="3" t="inlineStr">
        <is>
          <t>Unaffected by recoil, crash damage or entry hazards.</t>
        </is>
      </c>
      <c r="H86" s="3" t="inlineStr"/>
    </row>
    <row r="87">
      <c r="A87" s="3" t="inlineStr">
        <is>
          <t>Sassy</t>
        </is>
      </c>
      <c r="B87" s="3" t="n">
        <v>1</v>
      </c>
      <c r="C87" s="3" t="n">
        <v>1</v>
      </c>
      <c r="D87" s="3" t="n">
        <v>1</v>
      </c>
      <c r="E87" s="3" t="n">
        <v>1</v>
      </c>
      <c r="F87" s="3" t="n">
        <v>0.85</v>
      </c>
      <c r="G87" s="3" t="inlineStr">
        <is>
          <t>+15% SpDef, -15% Speed.</t>
        </is>
      </c>
      <c r="H87" s="3" t="inlineStr"/>
    </row>
    <row r="88">
      <c r="A88" s="3" t="inlineStr">
        <is>
          <t>Scholarly</t>
        </is>
      </c>
      <c r="B88" s="3" t="n">
        <v>1</v>
      </c>
      <c r="C88" s="3" t="n">
        <v>1</v>
      </c>
      <c r="D88" s="3" t="n">
        <v>1</v>
      </c>
      <c r="E88" s="3" t="n">
        <v>1</v>
      </c>
      <c r="F88" s="3" t="n">
        <v>1</v>
      </c>
      <c r="G88" s="3" t="inlineStr">
        <is>
          <t>Can learn Egg Moves via Move Relearning. Boosts moves that are not learned via level-up by 10%.</t>
        </is>
      </c>
      <c r="H88" s="3" t="inlineStr"/>
    </row>
    <row r="89">
      <c r="A89" s="3" t="inlineStr">
        <is>
          <t>Scrounger</t>
        </is>
      </c>
      <c r="B89" s="3" t="n">
        <v>1</v>
      </c>
      <c r="C89" s="3" t="n">
        <v>1</v>
      </c>
      <c r="D89" s="3" t="n">
        <v>1</v>
      </c>
      <c r="E89" s="3" t="n">
        <v>1</v>
      </c>
      <c r="F89" s="3" t="n">
        <v>1</v>
      </c>
      <c r="G89" s="3" t="inlineStr">
        <is>
          <t>1/3 chance after battle to scrounge up half-used items and add them to the Bag.</t>
        </is>
      </c>
      <c r="H89" s="3" t="inlineStr"/>
    </row>
    <row r="90">
      <c r="A90" s="3" t="inlineStr">
        <is>
          <t>Serious</t>
        </is>
      </c>
      <c r="B90" s="3" t="n">
        <v>1</v>
      </c>
      <c r="C90" s="3" t="n">
        <v>1</v>
      </c>
      <c r="D90" s="3" t="n">
        <v>1</v>
      </c>
      <c r="E90" s="3" t="n">
        <v>1</v>
      </c>
      <c r="F90" s="3" t="n">
        <v>1</v>
      </c>
      <c r="G90" s="3" t="inlineStr">
        <is>
          <t>Raises the max PP of all moves by 1.</t>
        </is>
      </c>
      <c r="H90" s="3" t="inlineStr"/>
    </row>
    <row r="91">
      <c r="A91" s="3" t="inlineStr">
        <is>
          <t>Shortsighted</t>
        </is>
      </c>
      <c r="B91" s="3" t="n">
        <v>1</v>
      </c>
      <c r="C91" s="3" t="n">
        <v>1</v>
      </c>
      <c r="D91" s="3" t="n">
        <v>1</v>
      </c>
      <c r="E91" s="3" t="n">
        <v>1</v>
      </c>
      <c r="F91" s="3" t="n">
        <v>1</v>
      </c>
      <c r="G91" s="3" t="inlineStr">
        <is>
          <t>Boosts damage dealt by 20% on the user's first turn. Refuses to learn future-turn or two-turn moves.</t>
        </is>
      </c>
      <c r="H91" s="3" t="inlineStr"/>
    </row>
    <row r="92">
      <c r="A92" s="3" t="inlineStr">
        <is>
          <t>Soft-Hearted</t>
        </is>
      </c>
      <c r="B92" s="3" t="n">
        <v>1</v>
      </c>
      <c r="C92" s="3" t="n">
        <v>1</v>
      </c>
      <c r="D92" s="3" t="n">
        <v>1</v>
      </c>
      <c r="E92" s="3" t="n">
        <v>1.1</v>
      </c>
      <c r="F92" s="3" t="n">
        <v>1</v>
      </c>
      <c r="G92" s="3" t="inlineStr">
        <is>
          <t>When knocking out a Pokémon, suffers 1/12 max HP as damage. +10% SpDef.</t>
        </is>
      </c>
      <c r="H92" s="3" t="inlineStr"/>
    </row>
    <row r="93">
      <c r="A93" s="3" t="inlineStr">
        <is>
          <t>Stoic</t>
        </is>
      </c>
      <c r="B93" s="3" t="n">
        <v>1</v>
      </c>
      <c r="C93" s="3" t="n">
        <v>1</v>
      </c>
      <c r="D93" s="3" t="n">
        <v>1</v>
      </c>
      <c r="E93" s="3" t="n">
        <v>1</v>
      </c>
      <c r="F93" s="3" t="n">
        <v>0.95</v>
      </c>
      <c r="G93" s="3" t="inlineStr">
        <is>
          <t>Ignores the stat drops from status conditions. -5% Speed.</t>
        </is>
      </c>
      <c r="H93" s="3" t="inlineStr"/>
    </row>
    <row r="94">
      <c r="A94" s="3" t="inlineStr">
        <is>
          <t>Stubborn</t>
        </is>
      </c>
      <c r="B94" s="3" t="n">
        <v>1</v>
      </c>
      <c r="C94" s="3" t="n">
        <v>1</v>
      </c>
      <c r="D94" s="3" t="n">
        <v>1</v>
      </c>
      <c r="E94" s="3" t="n">
        <v>1</v>
      </c>
      <c r="F94" s="3" t="n">
        <v>1</v>
      </c>
      <c r="G94" s="3" t="inlineStr">
        <is>
          <t>Prevents loss of held items and forced switching out.</t>
        </is>
      </c>
      <c r="H94" s="3" t="inlineStr"/>
    </row>
    <row r="95">
      <c r="A95" s="3" t="inlineStr">
        <is>
          <t>Supportive</t>
        </is>
      </c>
      <c r="B95" s="3" t="n">
        <v>1</v>
      </c>
      <c r="C95" s="3" t="n">
        <v>1</v>
      </c>
      <c r="D95" s="3" t="n">
        <v>1</v>
      </c>
      <c r="E95" s="3" t="n">
        <v>1</v>
      </c>
      <c r="F95" s="3" t="n">
        <v>1</v>
      </c>
      <c r="G95" s="3" t="inlineStr">
        <is>
          <t>Boosts the best stat of all other Party Pokémon by 6%. Stacking this adds 1% each.</t>
        </is>
      </c>
      <c r="H95" s="3" t="inlineStr"/>
    </row>
    <row r="96">
      <c r="A96" s="3" t="inlineStr">
        <is>
          <t>Tactical</t>
        </is>
      </c>
      <c r="B96" s="3" t="n">
        <v>1</v>
      </c>
      <c r="C96" s="3" t="n">
        <v>1</v>
      </c>
      <c r="D96" s="3" t="n">
        <v>1</v>
      </c>
      <c r="E96" s="3" t="n">
        <v>1</v>
      </c>
      <c r="F96" s="3" t="n">
        <v>1</v>
      </c>
      <c r="G96" s="3" t="inlineStr">
        <is>
          <t>Grants different buffs to moves in different slots.</t>
        </is>
      </c>
      <c r="H96" s="3" t="inlineStr"/>
    </row>
    <row r="97">
      <c r="A97" s="3" t="inlineStr">
        <is>
          <t>Territorial</t>
        </is>
      </c>
      <c r="B97" s="3" t="n">
        <v>1</v>
      </c>
      <c r="C97" s="3" t="n">
        <v>1</v>
      </c>
      <c r="D97" s="3" t="n">
        <v>1</v>
      </c>
      <c r="E97" s="3" t="n">
        <v>1</v>
      </c>
      <c r="F97" s="3" t="n">
        <v>1</v>
      </c>
      <c r="G97" s="3" t="inlineStr">
        <is>
          <t>Foes leaving its turf lose 1/12 max HP when switching out.</t>
        </is>
      </c>
      <c r="H97" s="3" t="inlineStr"/>
    </row>
    <row r="98">
      <c r="A98" s="3" t="inlineStr">
        <is>
          <t>Timid</t>
        </is>
      </c>
      <c r="B98" s="3" t="n">
        <v>1</v>
      </c>
      <c r="C98" s="3" t="n">
        <v>1</v>
      </c>
      <c r="D98" s="3" t="n">
        <v>1</v>
      </c>
      <c r="E98" s="3" t="n">
        <v>1</v>
      </c>
      <c r="F98" s="3" t="n">
        <v>1.15</v>
      </c>
      <c r="G98" s="3" t="inlineStr">
        <is>
          <t>+15% Speed, -15% Atk.</t>
        </is>
      </c>
      <c r="H98" s="3" t="inlineStr"/>
    </row>
    <row r="99">
      <c r="A99" s="3" t="inlineStr">
        <is>
          <t>Vain</t>
        </is>
      </c>
      <c r="B99" s="3" t="n">
        <v>1.05</v>
      </c>
      <c r="C99" s="3" t="n">
        <v>1.05</v>
      </c>
      <c r="D99" s="3" t="n">
        <v>1.05</v>
      </c>
      <c r="E99" s="3" t="n">
        <v>1.05</v>
      </c>
      <c r="F99" s="3" t="n">
        <v>1.05</v>
      </c>
      <c r="G99" s="3" t="inlineStr">
        <is>
          <t>+5% to all non-HP stats, but this boost is lost for the rest of battle if any stat is lowered.</t>
        </is>
      </c>
      <c r="H99" s="3" t="inlineStr"/>
    </row>
    <row r="100">
      <c r="A100" s="3" t="inlineStr">
        <is>
          <t>Vigilant</t>
        </is>
      </c>
      <c r="B100" s="3" t="n">
        <v>1</v>
      </c>
      <c r="C100" s="3" t="n">
        <v>1</v>
      </c>
      <c r="D100" s="3" t="n">
        <v>1</v>
      </c>
      <c r="E100" s="3" t="n">
        <v>1</v>
      </c>
      <c r="F100" s="3" t="n">
        <v>1</v>
      </c>
      <c r="G100" s="3" t="inlineStr">
        <is>
          <t>Priority moves targeting the user or allies have their priority reduced by 1.</t>
        </is>
      </c>
      <c r="H100" s="3" t="inlineStr"/>
    </row>
    <row r="101">
      <c r="A101" s="3" t="inlineStr">
        <is>
          <t>Voracious</t>
        </is>
      </c>
      <c r="B101" s="3" t="n">
        <v>1</v>
      </c>
      <c r="C101" s="3" t="n">
        <v>1</v>
      </c>
      <c r="D101" s="3" t="n">
        <v>1</v>
      </c>
      <c r="E101" s="3" t="n">
        <v>1</v>
      </c>
      <c r="F101" s="3" t="n">
        <v>1</v>
      </c>
      <c r="G101" s="3" t="inlineStr">
        <is>
          <t>Consumes pinch berries at 1/2 max HP. Boosts Leftovers by 1.5x.</t>
        </is>
      </c>
      <c r="H101" s="3" t="inlineStr"/>
    </row>
    <row r="102">
      <c r="A102" s="3" t="inlineStr">
        <is>
          <t>Wayfaring</t>
        </is>
      </c>
      <c r="B102" s="3" t="n">
        <v>1</v>
      </c>
      <c r="C102" s="3" t="n">
        <v>1</v>
      </c>
      <c r="D102" s="3" t="n">
        <v>1</v>
      </c>
      <c r="E102" s="3" t="n">
        <v>1</v>
      </c>
      <c r="F102" s="3" t="n">
        <v>1</v>
      </c>
      <c r="G102" s="3" t="inlineStr">
        <is>
          <t>Can use the field move “Head Home” from the overworld, teleporting to the last Pokémon Center.</t>
        </is>
      </c>
      <c r="H102" s="3" t="inlineStr"/>
    </row>
    <row r="103">
      <c r="A103" s="3" t="inlineStr">
        <is>
          <t>Worldly</t>
        </is>
      </c>
      <c r="B103" s="3" t="n">
        <v>1</v>
      </c>
      <c r="C103" s="3" t="n">
        <v>1</v>
      </c>
      <c r="D103" s="3" t="n">
        <v>1</v>
      </c>
      <c r="E103" s="3" t="n">
        <v>1</v>
      </c>
      <c r="F103" s="3" t="n">
        <v>1</v>
      </c>
      <c r="G103" s="3" t="inlineStr">
        <is>
          <t>Seeks out rare Pokémon while leading the party, making uncommon encounters more likely.</t>
        </is>
      </c>
      <c r="H103" s="3" t="inlineStr"/>
    </row>
    <row r="104">
      <c r="A104" s="3" t="inlineStr">
        <is>
          <t>Youthful</t>
        </is>
      </c>
      <c r="B104" s="3" t="n">
        <v>1</v>
      </c>
      <c r="C104" s="3" t="n">
        <v>1</v>
      </c>
      <c r="D104" s="3" t="n">
        <v>1</v>
      </c>
      <c r="E104" s="3" t="n">
        <v>1</v>
      </c>
      <c r="F104" s="3" t="n">
        <v>1</v>
      </c>
      <c r="G104" s="3" t="inlineStr">
        <is>
          <t>+20% Atk, SpAtk and Speed if the Pokémon is past its evolution level but has not evolved.</t>
        </is>
      </c>
      <c r="H104" s="3" t="inlineStr"/>
    </row>
    <row r="105">
      <c r="A105" s="3" t="inlineStr">
        <is>
          <t>Zealous</t>
        </is>
      </c>
      <c r="B105" s="3" t="n">
        <v>1</v>
      </c>
      <c r="C105" s="3" t="n">
        <v>1</v>
      </c>
      <c r="D105" s="3" t="n">
        <v>1</v>
      </c>
      <c r="E105" s="3" t="n">
        <v>1</v>
      </c>
      <c r="F105" s="3" t="n">
        <v>1</v>
      </c>
      <c r="G105" s="3" t="inlineStr">
        <is>
          <t>Enhances the Primary type. 2x weaknesses become 3x and 0.5x resistances become 0.33x.</t>
        </is>
      </c>
      <c r="H105" s="3" t="inlineStr"/>
    </row>
  </sheetData>
  <autoFilter ref="A1:H10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19"/>
  <sheetViews>
    <sheetView showGridLines="0" workbookViewId="0">
      <pane ySplit="1" topLeftCell="A2" activePane="bottomLeft" state="frozen"/>
      <selection pane="bottomLeft" activeCell="A1" sqref="A1"/>
    </sheetView>
  </sheetViews>
  <sheetFormatPr baseColWidth="8" defaultRowHeight="15"/>
  <cols>
    <col width="16" customWidth="1" min="1" max="1"/>
    <col width="9" customWidth="1" min="2" max="2"/>
    <col width="9" customWidth="1" min="3" max="3"/>
    <col width="9" customWidth="1" min="4" max="4"/>
    <col width="10" customWidth="1" min="5" max="5"/>
    <col width="9" customWidth="1" min="6" max="6"/>
    <col width="10"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s>
  <sheetData>
    <row r="1" ht="32" customHeight="1">
      <c r="A1" s="1" t="inlineStr">
        <is>
          <t>Attacking type</t>
        </is>
      </c>
      <c r="B1" s="1" t="inlineStr">
        <is>
          <t>Bug</t>
        </is>
      </c>
      <c r="C1" s="1" t="inlineStr">
        <is>
          <t>Dark</t>
        </is>
      </c>
      <c r="D1" s="1" t="inlineStr">
        <is>
          <t>Dragon</t>
        </is>
      </c>
      <c r="E1" s="1" t="inlineStr">
        <is>
          <t>Electric</t>
        </is>
      </c>
      <c r="F1" s="1" t="inlineStr">
        <is>
          <t>Fairy</t>
        </is>
      </c>
      <c r="G1" s="1" t="inlineStr">
        <is>
          <t>Fighting</t>
        </is>
      </c>
      <c r="H1" s="1" t="inlineStr">
        <is>
          <t>Fire</t>
        </is>
      </c>
      <c r="I1" s="1" t="inlineStr">
        <is>
          <t>Flying</t>
        </is>
      </c>
      <c r="J1" s="1" t="inlineStr">
        <is>
          <t>Ghost</t>
        </is>
      </c>
      <c r="K1" s="1" t="inlineStr">
        <is>
          <t>Grass</t>
        </is>
      </c>
      <c r="L1" s="1" t="inlineStr">
        <is>
          <t>Ground</t>
        </is>
      </c>
      <c r="M1" s="1" t="inlineStr">
        <is>
          <t>Ice</t>
        </is>
      </c>
      <c r="N1" s="1" t="inlineStr">
        <is>
          <t>Normal</t>
        </is>
      </c>
      <c r="O1" s="1" t="inlineStr">
        <is>
          <t>Poison</t>
        </is>
      </c>
      <c r="P1" s="1" t="inlineStr">
        <is>
          <t>Psychic</t>
        </is>
      </c>
      <c r="Q1" s="1" t="inlineStr">
        <is>
          <t>Rock</t>
        </is>
      </c>
      <c r="R1" s="1" t="inlineStr">
        <is>
          <t>Steel</t>
        </is>
      </c>
      <c r="S1" s="1" t="inlineStr">
        <is>
          <t>Water</t>
        </is>
      </c>
    </row>
    <row r="2">
      <c r="A2" s="3" t="inlineStr">
        <is>
          <t>Bug</t>
        </is>
      </c>
      <c r="B2" s="3" t="n">
        <v>1</v>
      </c>
      <c r="C2" s="3" t="n">
        <v>2</v>
      </c>
      <c r="D2" s="3" t="n">
        <v>1</v>
      </c>
      <c r="E2" s="3" t="n">
        <v>1</v>
      </c>
      <c r="F2" s="3" t="n">
        <v>0.5</v>
      </c>
      <c r="G2" s="3" t="n">
        <v>0.5</v>
      </c>
      <c r="H2" s="3" t="n">
        <v>0.5</v>
      </c>
      <c r="I2" s="3" t="n">
        <v>0.5</v>
      </c>
      <c r="J2" s="3" t="n">
        <v>0.5</v>
      </c>
      <c r="K2" s="3" t="n">
        <v>2</v>
      </c>
      <c r="L2" s="3" t="n">
        <v>1</v>
      </c>
      <c r="M2" s="3" t="n">
        <v>1</v>
      </c>
      <c r="N2" s="3" t="n">
        <v>1</v>
      </c>
      <c r="O2" s="3" t="n">
        <v>0.5</v>
      </c>
      <c r="P2" s="3" t="n">
        <v>2</v>
      </c>
      <c r="Q2" s="3" t="n">
        <v>1</v>
      </c>
      <c r="R2" s="3" t="n">
        <v>0.5</v>
      </c>
      <c r="S2" s="3" t="n">
        <v>1</v>
      </c>
    </row>
    <row r="3">
      <c r="A3" s="3" t="inlineStr">
        <is>
          <t>Dark</t>
        </is>
      </c>
      <c r="B3" s="3" t="n">
        <v>1</v>
      </c>
      <c r="C3" s="3" t="n">
        <v>0.5</v>
      </c>
      <c r="D3" s="3" t="n">
        <v>1</v>
      </c>
      <c r="E3" s="3" t="n">
        <v>1</v>
      </c>
      <c r="F3" s="3" t="n">
        <v>0.5</v>
      </c>
      <c r="G3" s="3" t="n">
        <v>0.5</v>
      </c>
      <c r="H3" s="3" t="n">
        <v>1</v>
      </c>
      <c r="I3" s="3" t="n">
        <v>1</v>
      </c>
      <c r="J3" s="3" t="n">
        <v>2</v>
      </c>
      <c r="K3" s="3" t="n">
        <v>1</v>
      </c>
      <c r="L3" s="3" t="n">
        <v>1</v>
      </c>
      <c r="M3" s="3" t="n">
        <v>1</v>
      </c>
      <c r="N3" s="3" t="n">
        <v>1</v>
      </c>
      <c r="O3" s="3" t="n">
        <v>1</v>
      </c>
      <c r="P3" s="3" t="n">
        <v>2</v>
      </c>
      <c r="Q3" s="3" t="n">
        <v>1</v>
      </c>
      <c r="R3" s="3" t="n">
        <v>1</v>
      </c>
      <c r="S3" s="3" t="n">
        <v>1</v>
      </c>
    </row>
    <row r="4">
      <c r="A4" s="3" t="inlineStr">
        <is>
          <t>Dragon</t>
        </is>
      </c>
      <c r="B4" s="3" t="n">
        <v>1</v>
      </c>
      <c r="C4" s="3" t="n">
        <v>1</v>
      </c>
      <c r="D4" s="3" t="n">
        <v>2</v>
      </c>
      <c r="E4" s="3" t="n">
        <v>1</v>
      </c>
      <c r="F4" s="3" t="n">
        <v>0</v>
      </c>
      <c r="G4" s="3" t="n">
        <v>1</v>
      </c>
      <c r="H4" s="3" t="n">
        <v>1</v>
      </c>
      <c r="I4" s="3" t="n">
        <v>1</v>
      </c>
      <c r="J4" s="3" t="n">
        <v>1</v>
      </c>
      <c r="K4" s="3" t="n">
        <v>1</v>
      </c>
      <c r="L4" s="3" t="n">
        <v>1</v>
      </c>
      <c r="M4" s="3" t="n">
        <v>1</v>
      </c>
      <c r="N4" s="3" t="n">
        <v>1</v>
      </c>
      <c r="O4" s="3" t="n">
        <v>1</v>
      </c>
      <c r="P4" s="3" t="n">
        <v>1</v>
      </c>
      <c r="Q4" s="3" t="n">
        <v>1</v>
      </c>
      <c r="R4" s="3" t="n">
        <v>0.5</v>
      </c>
      <c r="S4" s="3" t="n">
        <v>1</v>
      </c>
    </row>
    <row r="5">
      <c r="A5" s="3" t="inlineStr">
        <is>
          <t>Electric</t>
        </is>
      </c>
      <c r="B5" s="3" t="n">
        <v>1</v>
      </c>
      <c r="C5" s="3" t="n">
        <v>1</v>
      </c>
      <c r="D5" s="3" t="n">
        <v>0.5</v>
      </c>
      <c r="E5" s="3" t="n">
        <v>0.5</v>
      </c>
      <c r="F5" s="3" t="n">
        <v>1</v>
      </c>
      <c r="G5" s="3" t="n">
        <v>1</v>
      </c>
      <c r="H5" s="3" t="n">
        <v>1</v>
      </c>
      <c r="I5" s="3" t="n">
        <v>2</v>
      </c>
      <c r="J5" s="3" t="n">
        <v>1</v>
      </c>
      <c r="K5" s="3" t="n">
        <v>0.5</v>
      </c>
      <c r="L5" s="3" t="n">
        <v>0</v>
      </c>
      <c r="M5" s="3" t="n">
        <v>1</v>
      </c>
      <c r="N5" s="3" t="n">
        <v>1</v>
      </c>
      <c r="O5" s="3" t="n">
        <v>1</v>
      </c>
      <c r="P5" s="3" t="n">
        <v>1</v>
      </c>
      <c r="Q5" s="3" t="n">
        <v>1</v>
      </c>
      <c r="R5" s="3" t="n">
        <v>1</v>
      </c>
      <c r="S5" s="3" t="n">
        <v>2</v>
      </c>
    </row>
    <row r="6">
      <c r="A6" s="3" t="inlineStr">
        <is>
          <t>Fairy</t>
        </is>
      </c>
      <c r="B6" s="3" t="n">
        <v>1</v>
      </c>
      <c r="C6" s="3" t="n">
        <v>2</v>
      </c>
      <c r="D6" s="3" t="n">
        <v>2</v>
      </c>
      <c r="E6" s="3" t="n">
        <v>1</v>
      </c>
      <c r="F6" s="3" t="n">
        <v>1</v>
      </c>
      <c r="G6" s="3" t="n">
        <v>2</v>
      </c>
      <c r="H6" s="3" t="n">
        <v>0.5</v>
      </c>
      <c r="I6" s="3" t="n">
        <v>1</v>
      </c>
      <c r="J6" s="3" t="n">
        <v>1</v>
      </c>
      <c r="K6" s="3" t="n">
        <v>1</v>
      </c>
      <c r="L6" s="3" t="n">
        <v>1</v>
      </c>
      <c r="M6" s="3" t="n">
        <v>1</v>
      </c>
      <c r="N6" s="3" t="n">
        <v>1</v>
      </c>
      <c r="O6" s="3" t="n">
        <v>0.5</v>
      </c>
      <c r="P6" s="3" t="n">
        <v>1</v>
      </c>
      <c r="Q6" s="3" t="n">
        <v>1</v>
      </c>
      <c r="R6" s="3" t="n">
        <v>0.5</v>
      </c>
      <c r="S6" s="3" t="n">
        <v>1</v>
      </c>
    </row>
    <row r="7">
      <c r="A7" s="3" t="inlineStr">
        <is>
          <t>Fighting</t>
        </is>
      </c>
      <c r="B7" s="3" t="n">
        <v>0.5</v>
      </c>
      <c r="C7" s="3" t="n">
        <v>2</v>
      </c>
      <c r="D7" s="3" t="n">
        <v>1</v>
      </c>
      <c r="E7" s="3" t="n">
        <v>1</v>
      </c>
      <c r="F7" s="3" t="n">
        <v>0.5</v>
      </c>
      <c r="G7" s="3" t="n">
        <v>1</v>
      </c>
      <c r="H7" s="3" t="n">
        <v>1</v>
      </c>
      <c r="I7" s="3" t="n">
        <v>0.5</v>
      </c>
      <c r="J7" s="3" t="n">
        <v>0</v>
      </c>
      <c r="K7" s="3" t="n">
        <v>1</v>
      </c>
      <c r="L7" s="3" t="n">
        <v>1</v>
      </c>
      <c r="M7" s="3" t="n">
        <v>2</v>
      </c>
      <c r="N7" s="3" t="n">
        <v>2</v>
      </c>
      <c r="O7" s="3" t="n">
        <v>0.5</v>
      </c>
      <c r="P7" s="3" t="n">
        <v>0.5</v>
      </c>
      <c r="Q7" s="3" t="n">
        <v>2</v>
      </c>
      <c r="R7" s="3" t="n">
        <v>2</v>
      </c>
      <c r="S7" s="3" t="n">
        <v>1</v>
      </c>
    </row>
    <row r="8">
      <c r="A8" s="3" t="inlineStr">
        <is>
          <t>Fire</t>
        </is>
      </c>
      <c r="B8" s="3" t="n">
        <v>2</v>
      </c>
      <c r="C8" s="3" t="n">
        <v>1</v>
      </c>
      <c r="D8" s="3" t="n">
        <v>0.5</v>
      </c>
      <c r="E8" s="3" t="n">
        <v>1</v>
      </c>
      <c r="F8" s="3" t="n">
        <v>1</v>
      </c>
      <c r="G8" s="3" t="n">
        <v>1</v>
      </c>
      <c r="H8" s="3" t="n">
        <v>0.5</v>
      </c>
      <c r="I8" s="3" t="n">
        <v>1</v>
      </c>
      <c r="J8" s="3" t="n">
        <v>1</v>
      </c>
      <c r="K8" s="3" t="n">
        <v>2</v>
      </c>
      <c r="L8" s="3" t="n">
        <v>1</v>
      </c>
      <c r="M8" s="3" t="n">
        <v>2</v>
      </c>
      <c r="N8" s="3" t="n">
        <v>1</v>
      </c>
      <c r="O8" s="3" t="n">
        <v>1</v>
      </c>
      <c r="P8" s="3" t="n">
        <v>1</v>
      </c>
      <c r="Q8" s="3" t="n">
        <v>0.5</v>
      </c>
      <c r="R8" s="3" t="n">
        <v>2</v>
      </c>
      <c r="S8" s="3" t="n">
        <v>0.5</v>
      </c>
    </row>
    <row r="9">
      <c r="A9" s="3" t="inlineStr">
        <is>
          <t>Flying</t>
        </is>
      </c>
      <c r="B9" s="3" t="n">
        <v>2</v>
      </c>
      <c r="C9" s="3" t="n">
        <v>1</v>
      </c>
      <c r="D9" s="3" t="n">
        <v>1</v>
      </c>
      <c r="E9" s="3" t="n">
        <v>0.5</v>
      </c>
      <c r="F9" s="3" t="n">
        <v>1</v>
      </c>
      <c r="G9" s="3" t="n">
        <v>2</v>
      </c>
      <c r="H9" s="3" t="n">
        <v>1</v>
      </c>
      <c r="I9" s="3" t="n">
        <v>1</v>
      </c>
      <c r="J9" s="3" t="n">
        <v>1</v>
      </c>
      <c r="K9" s="3" t="n">
        <v>2</v>
      </c>
      <c r="L9" s="3" t="n">
        <v>1</v>
      </c>
      <c r="M9" s="3" t="n">
        <v>1</v>
      </c>
      <c r="N9" s="3" t="n">
        <v>1</v>
      </c>
      <c r="O9" s="3" t="n">
        <v>1</v>
      </c>
      <c r="P9" s="3" t="n">
        <v>1</v>
      </c>
      <c r="Q9" s="3" t="n">
        <v>0.5</v>
      </c>
      <c r="R9" s="3" t="n">
        <v>0.5</v>
      </c>
      <c r="S9" s="3" t="n">
        <v>1</v>
      </c>
    </row>
    <row r="10">
      <c r="A10" s="3" t="inlineStr">
        <is>
          <t>Ghost</t>
        </is>
      </c>
      <c r="B10" s="3" t="n">
        <v>1</v>
      </c>
      <c r="C10" s="3" t="n">
        <v>0.5</v>
      </c>
      <c r="D10" s="3" t="n">
        <v>1</v>
      </c>
      <c r="E10" s="3" t="n">
        <v>1</v>
      </c>
      <c r="F10" s="3" t="n">
        <v>1</v>
      </c>
      <c r="G10" s="3" t="n">
        <v>1</v>
      </c>
      <c r="H10" s="3" t="n">
        <v>1</v>
      </c>
      <c r="I10" s="3" t="n">
        <v>1</v>
      </c>
      <c r="J10" s="3" t="n">
        <v>2</v>
      </c>
      <c r="K10" s="3" t="n">
        <v>1</v>
      </c>
      <c r="L10" s="3" t="n">
        <v>1</v>
      </c>
      <c r="M10" s="3" t="n">
        <v>1</v>
      </c>
      <c r="N10" s="3" t="n">
        <v>0</v>
      </c>
      <c r="O10" s="3" t="n">
        <v>1</v>
      </c>
      <c r="P10" s="3" t="n">
        <v>2</v>
      </c>
      <c r="Q10" s="3" t="n">
        <v>1</v>
      </c>
      <c r="R10" s="3" t="n">
        <v>1</v>
      </c>
      <c r="S10" s="3" t="n">
        <v>1</v>
      </c>
    </row>
    <row r="11">
      <c r="A11" s="3" t="inlineStr">
        <is>
          <t>Grass</t>
        </is>
      </c>
      <c r="B11" s="3" t="n">
        <v>0.5</v>
      </c>
      <c r="C11" s="3" t="n">
        <v>1</v>
      </c>
      <c r="D11" s="3" t="n">
        <v>0.5</v>
      </c>
      <c r="E11" s="3" t="n">
        <v>1</v>
      </c>
      <c r="F11" s="3" t="n">
        <v>1</v>
      </c>
      <c r="G11" s="3" t="n">
        <v>1</v>
      </c>
      <c r="H11" s="3" t="n">
        <v>0.5</v>
      </c>
      <c r="I11" s="3" t="n">
        <v>0.5</v>
      </c>
      <c r="J11" s="3" t="n">
        <v>1</v>
      </c>
      <c r="K11" s="3" t="n">
        <v>0.5</v>
      </c>
      <c r="L11" s="3" t="n">
        <v>2</v>
      </c>
      <c r="M11" s="3" t="n">
        <v>1</v>
      </c>
      <c r="N11" s="3" t="n">
        <v>1</v>
      </c>
      <c r="O11" s="3" t="n">
        <v>0.5</v>
      </c>
      <c r="P11" s="3" t="n">
        <v>1</v>
      </c>
      <c r="Q11" s="3" t="n">
        <v>2</v>
      </c>
      <c r="R11" s="3" t="n">
        <v>0.5</v>
      </c>
      <c r="S11" s="3" t="n">
        <v>2</v>
      </c>
    </row>
    <row r="12">
      <c r="A12" s="3" t="inlineStr">
        <is>
          <t>Ground</t>
        </is>
      </c>
      <c r="B12" s="3" t="n">
        <v>0.5</v>
      </c>
      <c r="C12" s="3" t="n">
        <v>1</v>
      </c>
      <c r="D12" s="3" t="n">
        <v>1</v>
      </c>
      <c r="E12" s="3" t="n">
        <v>2</v>
      </c>
      <c r="F12" s="3" t="n">
        <v>1</v>
      </c>
      <c r="G12" s="3" t="n">
        <v>1</v>
      </c>
      <c r="H12" s="3" t="n">
        <v>2</v>
      </c>
      <c r="I12" s="3" t="n">
        <v>0</v>
      </c>
      <c r="J12" s="3" t="n">
        <v>1</v>
      </c>
      <c r="K12" s="3" t="n">
        <v>0.5</v>
      </c>
      <c r="L12" s="3" t="n">
        <v>1</v>
      </c>
      <c r="M12" s="3" t="n">
        <v>1</v>
      </c>
      <c r="N12" s="3" t="n">
        <v>1</v>
      </c>
      <c r="O12" s="3" t="n">
        <v>2</v>
      </c>
      <c r="P12" s="3" t="n">
        <v>1</v>
      </c>
      <c r="Q12" s="3" t="n">
        <v>2</v>
      </c>
      <c r="R12" s="3" t="n">
        <v>2</v>
      </c>
      <c r="S12" s="3" t="n">
        <v>1</v>
      </c>
    </row>
    <row r="13">
      <c r="A13" s="3" t="inlineStr">
        <is>
          <t>Ice</t>
        </is>
      </c>
      <c r="B13" s="3" t="n">
        <v>1</v>
      </c>
      <c r="C13" s="3" t="n">
        <v>1</v>
      </c>
      <c r="D13" s="3" t="n">
        <v>2</v>
      </c>
      <c r="E13" s="3" t="n">
        <v>1</v>
      </c>
      <c r="F13" s="3" t="n">
        <v>1</v>
      </c>
      <c r="G13" s="3" t="n">
        <v>1</v>
      </c>
      <c r="H13" s="3" t="n">
        <v>0.5</v>
      </c>
      <c r="I13" s="3" t="n">
        <v>2</v>
      </c>
      <c r="J13" s="3" t="n">
        <v>1</v>
      </c>
      <c r="K13" s="3" t="n">
        <v>2</v>
      </c>
      <c r="L13" s="3" t="n">
        <v>2</v>
      </c>
      <c r="M13" s="3" t="n">
        <v>0.5</v>
      </c>
      <c r="N13" s="3" t="n">
        <v>1</v>
      </c>
      <c r="O13" s="3" t="n">
        <v>1</v>
      </c>
      <c r="P13" s="3" t="n">
        <v>1</v>
      </c>
      <c r="Q13" s="3" t="n">
        <v>1</v>
      </c>
      <c r="R13" s="3" t="n">
        <v>0.5</v>
      </c>
      <c r="S13" s="3" t="n">
        <v>0.5</v>
      </c>
    </row>
    <row r="14">
      <c r="A14" s="3" t="inlineStr">
        <is>
          <t>Normal</t>
        </is>
      </c>
      <c r="B14" s="3" t="n">
        <v>1</v>
      </c>
      <c r="C14" s="3" t="n">
        <v>1</v>
      </c>
      <c r="D14" s="3" t="n">
        <v>1</v>
      </c>
      <c r="E14" s="3" t="n">
        <v>1</v>
      </c>
      <c r="F14" s="3" t="n">
        <v>1</v>
      </c>
      <c r="G14" s="3" t="n">
        <v>1</v>
      </c>
      <c r="H14" s="3" t="n">
        <v>1</v>
      </c>
      <c r="I14" s="3" t="n">
        <v>1</v>
      </c>
      <c r="J14" s="3" t="n">
        <v>0</v>
      </c>
      <c r="K14" s="3" t="n">
        <v>1</v>
      </c>
      <c r="L14" s="3" t="n">
        <v>1</v>
      </c>
      <c r="M14" s="3" t="n">
        <v>1</v>
      </c>
      <c r="N14" s="3" t="n">
        <v>1</v>
      </c>
      <c r="O14" s="3" t="n">
        <v>1</v>
      </c>
      <c r="P14" s="3" t="n">
        <v>1</v>
      </c>
      <c r="Q14" s="3" t="n">
        <v>0.5</v>
      </c>
      <c r="R14" s="3" t="n">
        <v>0.5</v>
      </c>
      <c r="S14" s="3" t="n">
        <v>1</v>
      </c>
    </row>
    <row r="15">
      <c r="A15" s="3" t="inlineStr">
        <is>
          <t>Poison</t>
        </is>
      </c>
      <c r="B15" s="3" t="n">
        <v>1</v>
      </c>
      <c r="C15" s="3" t="n">
        <v>1</v>
      </c>
      <c r="D15" s="3" t="n">
        <v>1</v>
      </c>
      <c r="E15" s="3" t="n">
        <v>1</v>
      </c>
      <c r="F15" s="3" t="n">
        <v>2</v>
      </c>
      <c r="G15" s="3" t="n">
        <v>1</v>
      </c>
      <c r="H15" s="3" t="n">
        <v>1</v>
      </c>
      <c r="I15" s="3" t="n">
        <v>1</v>
      </c>
      <c r="J15" s="3" t="n">
        <v>0.5</v>
      </c>
      <c r="K15" s="3" t="n">
        <v>2</v>
      </c>
      <c r="L15" s="3" t="n">
        <v>0.5</v>
      </c>
      <c r="M15" s="3" t="n">
        <v>1</v>
      </c>
      <c r="N15" s="3" t="n">
        <v>1</v>
      </c>
      <c r="O15" s="3" t="n">
        <v>0.5</v>
      </c>
      <c r="P15" s="3" t="n">
        <v>1</v>
      </c>
      <c r="Q15" s="3" t="n">
        <v>0.5</v>
      </c>
      <c r="R15" s="3" t="n">
        <v>0</v>
      </c>
      <c r="S15" s="3" t="n">
        <v>1</v>
      </c>
    </row>
    <row r="16">
      <c r="A16" s="3" t="inlineStr">
        <is>
          <t>Psychic</t>
        </is>
      </c>
      <c r="B16" s="3" t="n">
        <v>1</v>
      </c>
      <c r="C16" s="3" t="n">
        <v>0</v>
      </c>
      <c r="D16" s="3" t="n">
        <v>1</v>
      </c>
      <c r="E16" s="3" t="n">
        <v>1</v>
      </c>
      <c r="F16" s="3" t="n">
        <v>1</v>
      </c>
      <c r="G16" s="3" t="n">
        <v>2</v>
      </c>
      <c r="H16" s="3" t="n">
        <v>1</v>
      </c>
      <c r="I16" s="3" t="n">
        <v>1</v>
      </c>
      <c r="J16" s="3" t="n">
        <v>1</v>
      </c>
      <c r="K16" s="3" t="n">
        <v>1</v>
      </c>
      <c r="L16" s="3" t="n">
        <v>1</v>
      </c>
      <c r="M16" s="3" t="n">
        <v>1</v>
      </c>
      <c r="N16" s="3" t="n">
        <v>1</v>
      </c>
      <c r="O16" s="3" t="n">
        <v>2</v>
      </c>
      <c r="P16" s="3" t="n">
        <v>0.5</v>
      </c>
      <c r="Q16" s="3" t="n">
        <v>1</v>
      </c>
      <c r="R16" s="3" t="n">
        <v>0.5</v>
      </c>
      <c r="S16" s="3" t="n">
        <v>1</v>
      </c>
    </row>
    <row r="17">
      <c r="A17" s="3" t="inlineStr">
        <is>
          <t>Rock</t>
        </is>
      </c>
      <c r="B17" s="3" t="n">
        <v>2</v>
      </c>
      <c r="C17" s="3" t="n">
        <v>1</v>
      </c>
      <c r="D17" s="3" t="n">
        <v>1</v>
      </c>
      <c r="E17" s="3" t="n">
        <v>1</v>
      </c>
      <c r="F17" s="3" t="n">
        <v>1</v>
      </c>
      <c r="G17" s="3" t="n">
        <v>0.5</v>
      </c>
      <c r="H17" s="3" t="n">
        <v>2</v>
      </c>
      <c r="I17" s="3" t="n">
        <v>2</v>
      </c>
      <c r="J17" s="3" t="n">
        <v>1</v>
      </c>
      <c r="K17" s="3" t="n">
        <v>1</v>
      </c>
      <c r="L17" s="3" t="n">
        <v>0.5</v>
      </c>
      <c r="M17" s="3" t="n">
        <v>2</v>
      </c>
      <c r="N17" s="3" t="n">
        <v>1</v>
      </c>
      <c r="O17" s="3" t="n">
        <v>1</v>
      </c>
      <c r="P17" s="3" t="n">
        <v>1</v>
      </c>
      <c r="Q17" s="3" t="n">
        <v>1</v>
      </c>
      <c r="R17" s="3" t="n">
        <v>0.5</v>
      </c>
      <c r="S17" s="3" t="n">
        <v>1</v>
      </c>
    </row>
    <row r="18">
      <c r="A18" s="3" t="inlineStr">
        <is>
          <t>Steel</t>
        </is>
      </c>
      <c r="B18" s="3" t="n">
        <v>1</v>
      </c>
      <c r="C18" s="3" t="n">
        <v>1</v>
      </c>
      <c r="D18" s="3" t="n">
        <v>1</v>
      </c>
      <c r="E18" s="3" t="n">
        <v>0.5</v>
      </c>
      <c r="F18" s="3" t="n">
        <v>2</v>
      </c>
      <c r="G18" s="3" t="n">
        <v>1</v>
      </c>
      <c r="H18" s="3" t="n">
        <v>0.5</v>
      </c>
      <c r="I18" s="3" t="n">
        <v>1</v>
      </c>
      <c r="J18" s="3" t="n">
        <v>1</v>
      </c>
      <c r="K18" s="3" t="n">
        <v>1</v>
      </c>
      <c r="L18" s="3" t="n">
        <v>1</v>
      </c>
      <c r="M18" s="3" t="n">
        <v>2</v>
      </c>
      <c r="N18" s="3" t="n">
        <v>1</v>
      </c>
      <c r="O18" s="3" t="n">
        <v>1</v>
      </c>
      <c r="P18" s="3" t="n">
        <v>1</v>
      </c>
      <c r="Q18" s="3" t="n">
        <v>2</v>
      </c>
      <c r="R18" s="3" t="n">
        <v>0.5</v>
      </c>
      <c r="S18" s="3" t="n">
        <v>0.5</v>
      </c>
    </row>
    <row r="19">
      <c r="A19" s="3" t="inlineStr">
        <is>
          <t>Water</t>
        </is>
      </c>
      <c r="B19" s="3" t="n">
        <v>1</v>
      </c>
      <c r="C19" s="3" t="n">
        <v>1</v>
      </c>
      <c r="D19" s="3" t="n">
        <v>0.5</v>
      </c>
      <c r="E19" s="3" t="n">
        <v>1</v>
      </c>
      <c r="F19" s="3" t="n">
        <v>1</v>
      </c>
      <c r="G19" s="3" t="n">
        <v>1</v>
      </c>
      <c r="H19" s="3" t="n">
        <v>2</v>
      </c>
      <c r="I19" s="3" t="n">
        <v>1</v>
      </c>
      <c r="J19" s="3" t="n">
        <v>1</v>
      </c>
      <c r="K19" s="3" t="n">
        <v>0.5</v>
      </c>
      <c r="L19" s="3" t="n">
        <v>2</v>
      </c>
      <c r="M19" s="3" t="n">
        <v>1</v>
      </c>
      <c r="N19" s="3" t="n">
        <v>1</v>
      </c>
      <c r="O19" s="3" t="n">
        <v>1</v>
      </c>
      <c r="P19" s="3" t="n">
        <v>1</v>
      </c>
      <c r="Q19" s="3" t="n">
        <v>2</v>
      </c>
      <c r="R19" s="3" t="n">
        <v>1</v>
      </c>
      <c r="S19" s="3" t="n">
        <v>0.5</v>
      </c>
    </row>
  </sheetData>
  <autoFilter ref="A1:S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4"/>
  <sheetViews>
    <sheetView showGridLines="0" workbookViewId="0">
      <pane ySplit="1" topLeftCell="A2" activePane="bottomLeft" state="frozen"/>
      <selection pane="bottomLeft" activeCell="A1" sqref="A1"/>
    </sheetView>
  </sheetViews>
  <sheetFormatPr baseColWidth="8" defaultRowHeight="15"/>
  <cols>
    <col width="9" customWidth="1" min="1" max="1"/>
    <col width="24" customWidth="1" min="2" max="2"/>
    <col width="18" customWidth="1" min="3" max="3"/>
    <col width="9" customWidth="1" min="4" max="4"/>
    <col width="9" customWidth="1" min="5" max="5"/>
    <col width="22"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32" customHeight="1">
      <c r="A1" s="1" t="inlineStr">
        <is>
          <t>Slot</t>
        </is>
      </c>
      <c r="B1" s="1" t="inlineStr">
        <is>
          <t>Boss</t>
        </is>
      </c>
      <c r="C1" s="1" t="inlineStr">
        <is>
          <t>Species ID</t>
        </is>
      </c>
      <c r="D1" s="1" t="inlineStr">
        <is>
          <t>Level</t>
        </is>
      </c>
      <c r="E1" s="1" t="inlineStr">
        <is>
          <t>Nature</t>
        </is>
      </c>
      <c r="F1" s="1" t="inlineStr">
        <is>
          <t>Ability</t>
        </is>
      </c>
      <c r="G1" s="1" t="inlineStr">
        <is>
          <t>HP EV</t>
        </is>
      </c>
      <c r="H1" s="1" t="inlineStr">
        <is>
          <t>Atk EV</t>
        </is>
      </c>
      <c r="I1" s="1" t="inlineStr">
        <is>
          <t>Def EV</t>
        </is>
      </c>
      <c r="J1" s="1" t="inlineStr">
        <is>
          <t>SpA EV</t>
        </is>
      </c>
      <c r="K1" s="1" t="inlineStr">
        <is>
          <t>SpD EV</t>
        </is>
      </c>
      <c r="L1" s="1" t="inlineStr">
        <is>
          <t>Spe EV</t>
        </is>
      </c>
      <c r="M1" s="1" t="inlineStr">
        <is>
          <t>Move 1</t>
        </is>
      </c>
      <c r="N1" s="1" t="inlineStr">
        <is>
          <t>Move 2</t>
        </is>
      </c>
      <c r="O1" s="1" t="inlineStr">
        <is>
          <t>Move 3</t>
        </is>
      </c>
      <c r="P1" s="1" t="inlineStr">
        <is>
          <t>Move 4</t>
        </is>
      </c>
    </row>
    <row r="2">
      <c r="A2" s="3" t="n">
        <v>1</v>
      </c>
      <c r="B2" s="3" t="inlineStr">
        <is>
          <t>Roxanne (Fossil draft)</t>
        </is>
      </c>
      <c r="C2" s="3" t="inlineStr">
        <is>
          <t>SPECIES_TIRTOUGA</t>
        </is>
      </c>
      <c r="D2" s="3" t="n">
        <v>12</v>
      </c>
      <c r="E2" s="3" t="inlineStr">
        <is>
          <t>Neutral</t>
        </is>
      </c>
      <c r="F2" s="3" t="inlineStr">
        <is>
          <t>ABILITY_SOLID_ROCK</t>
        </is>
      </c>
      <c r="G2" s="3" t="n">
        <v>0</v>
      </c>
      <c r="H2" s="3" t="n">
        <v>0</v>
      </c>
      <c r="I2" s="3" t="n">
        <v>0</v>
      </c>
      <c r="J2" s="3" t="n">
        <v>0</v>
      </c>
      <c r="K2" s="3" t="n">
        <v>0</v>
      </c>
      <c r="L2" s="3" t="n">
        <v>0</v>
      </c>
      <c r="M2" s="3" t="inlineStr"/>
      <c r="N2" s="3" t="inlineStr"/>
      <c r="O2" s="3" t="inlineStr"/>
      <c r="P2" s="3" t="inlineStr"/>
    </row>
    <row r="3">
      <c r="A3" s="3" t="n">
        <v>2</v>
      </c>
      <c r="B3" s="3" t="inlineStr">
        <is>
          <t>Roxanne (Fossil draft)</t>
        </is>
      </c>
      <c r="C3" s="3" t="inlineStr">
        <is>
          <t>SPECIES_ANORITH</t>
        </is>
      </c>
      <c r="D3" s="3" t="n">
        <v>12</v>
      </c>
      <c r="E3" s="3" t="inlineStr">
        <is>
          <t>Neutral</t>
        </is>
      </c>
      <c r="F3" s="3" t="inlineStr">
        <is>
          <t>ABILITY_BATTLE_ARMOR</t>
        </is>
      </c>
      <c r="G3" s="3" t="n">
        <v>0</v>
      </c>
      <c r="H3" s="3" t="n">
        <v>0</v>
      </c>
      <c r="I3" s="3" t="n">
        <v>0</v>
      </c>
      <c r="J3" s="3" t="n">
        <v>0</v>
      </c>
      <c r="K3" s="3" t="n">
        <v>0</v>
      </c>
      <c r="L3" s="3" t="n">
        <v>0</v>
      </c>
      <c r="M3" s="3" t="inlineStr"/>
      <c r="N3" s="3" t="inlineStr"/>
      <c r="O3" s="3" t="inlineStr"/>
      <c r="P3" s="3" t="inlineStr"/>
    </row>
    <row r="4">
      <c r="A4" s="3" t="n">
        <v>3</v>
      </c>
      <c r="B4" s="3" t="inlineStr">
        <is>
          <t>Roxanne (Fossil draft)</t>
        </is>
      </c>
      <c r="C4" s="3" t="inlineStr">
        <is>
          <t>SPECIES_LILEEP</t>
        </is>
      </c>
      <c r="D4" s="3" t="n">
        <v>15</v>
      </c>
      <c r="E4" s="3" t="inlineStr">
        <is>
          <t>Neutral</t>
        </is>
      </c>
      <c r="F4" s="3" t="inlineStr">
        <is>
          <t>ABILITY_SUCTION_CUPS</t>
        </is>
      </c>
      <c r="G4" s="3" t="n">
        <v>0</v>
      </c>
      <c r="H4" s="3" t="n">
        <v>0</v>
      </c>
      <c r="I4" s="3" t="n">
        <v>0</v>
      </c>
      <c r="J4" s="3" t="n">
        <v>0</v>
      </c>
      <c r="K4" s="3" t="n">
        <v>0</v>
      </c>
      <c r="L4" s="3" t="n">
        <v>0</v>
      </c>
      <c r="M4" s="3" t="inlineStr"/>
      <c r="N4" s="3" t="inlineStr"/>
      <c r="O4" s="3" t="inlineStr"/>
      <c r="P4" s="3" t="inlineStr"/>
    </row>
  </sheetData>
  <autoFilter ref="A1:P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7"/>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9" customWidth="1" min="3" max="3"/>
    <col width="17" customWidth="1" min="4" max="4"/>
    <col width="42" customWidth="1" min="5" max="5"/>
  </cols>
  <sheetData>
    <row r="1" ht="32" customHeight="1">
      <c r="A1" s="1" t="inlineStr">
        <is>
          <t>LIVE DAMAGE CALCULATOR</t>
        </is>
      </c>
      <c r="B1" s="1" t="inlineStr">
        <is>
          <t>Attacker</t>
        </is>
      </c>
      <c r="C1" s="1" t="inlineStr"/>
      <c r="D1" s="1" t="inlineStr">
        <is>
          <t>Defender</t>
        </is>
      </c>
      <c r="E1" s="1" t="inlineStr"/>
    </row>
    <row r="2">
      <c r="A2" s="3" t="inlineStr">
        <is>
          <t>Species ID</t>
        </is>
      </c>
      <c r="B2" s="5" t="inlineStr">
        <is>
          <t>SPECIES_FLAAFFY</t>
        </is>
      </c>
      <c r="C2" s="3" t="inlineStr"/>
      <c r="D2" s="3" t="inlineStr">
        <is>
          <t>Species ID</t>
        </is>
      </c>
      <c r="E2" s="5" t="inlineStr">
        <is>
          <t>SPECIES_LILEEP</t>
        </is>
      </c>
    </row>
    <row r="3">
      <c r="A3" s="3" t="inlineStr">
        <is>
          <t>Level</t>
        </is>
      </c>
      <c r="B3" s="5" t="n">
        <v>15</v>
      </c>
      <c r="C3" s="3" t="inlineStr"/>
      <c r="D3" s="3" t="inlineStr">
        <is>
          <t>Level</t>
        </is>
      </c>
      <c r="E3" s="5" t="n">
        <v>15</v>
      </c>
    </row>
    <row r="4">
      <c r="A4" s="3" t="inlineStr">
        <is>
          <t>Nature</t>
        </is>
      </c>
      <c r="B4" s="5" t="inlineStr">
        <is>
          <t>Neutral</t>
        </is>
      </c>
      <c r="C4" s="3" t="inlineStr"/>
      <c r="D4" s="3" t="inlineStr">
        <is>
          <t>Nature</t>
        </is>
      </c>
      <c r="E4" s="5" t="inlineStr">
        <is>
          <t>Neutral</t>
        </is>
      </c>
    </row>
    <row r="5">
      <c r="A5" s="3" t="inlineStr">
        <is>
          <t>Ability</t>
        </is>
      </c>
      <c r="B5" s="5" t="inlineStr"/>
      <c r="C5" s="3" t="inlineStr"/>
      <c r="D5" s="3" t="inlineStr">
        <is>
          <t>Ability</t>
        </is>
      </c>
      <c r="E5" s="5" t="n"/>
    </row>
    <row r="6">
      <c r="A6" s="3" t="inlineStr">
        <is>
          <t>Move ID</t>
        </is>
      </c>
      <c r="B6" s="5" t="inlineStr">
        <is>
          <t>MOVE_THUNDER_SHOCK</t>
        </is>
      </c>
      <c r="C6" s="3" t="inlineStr"/>
      <c r="D6" s="3" t="inlineStr">
        <is>
          <t>Move ID</t>
        </is>
      </c>
      <c r="E6" s="5" t="inlineStr"/>
    </row>
    <row r="7">
      <c r="A7" s="3" t="inlineStr">
        <is>
          <t>HP EV</t>
        </is>
      </c>
      <c r="B7" s="5" t="n">
        <v>0</v>
      </c>
      <c r="C7" s="3" t="inlineStr"/>
      <c r="D7" s="3" t="inlineStr">
        <is>
          <t>HP EV</t>
        </is>
      </c>
      <c r="E7" s="5" t="n">
        <v>0</v>
      </c>
    </row>
    <row r="8">
      <c r="A8" s="3" t="inlineStr">
        <is>
          <t>Atk EV</t>
        </is>
      </c>
      <c r="B8" s="5" t="n">
        <v>0</v>
      </c>
      <c r="C8" s="3" t="inlineStr"/>
      <c r="D8" s="3" t="inlineStr">
        <is>
          <t>Atk EV</t>
        </is>
      </c>
      <c r="E8" s="5" t="n">
        <v>0</v>
      </c>
    </row>
    <row r="9">
      <c r="A9" s="3" t="inlineStr">
        <is>
          <t>Def EV</t>
        </is>
      </c>
      <c r="B9" s="5" t="n">
        <v>0</v>
      </c>
      <c r="C9" s="3" t="inlineStr"/>
      <c r="D9" s="3" t="inlineStr">
        <is>
          <t>Def EV</t>
        </is>
      </c>
      <c r="E9" s="5" t="n">
        <v>0</v>
      </c>
    </row>
    <row r="10">
      <c r="A10" s="3" t="inlineStr">
        <is>
          <t>SpA EV</t>
        </is>
      </c>
      <c r="B10" s="5" t="n">
        <v>0</v>
      </c>
      <c r="C10" s="3" t="inlineStr"/>
      <c r="D10" s="3" t="inlineStr">
        <is>
          <t>SpA EV</t>
        </is>
      </c>
      <c r="E10" s="5" t="n">
        <v>0</v>
      </c>
    </row>
    <row r="11">
      <c r="A11" s="3" t="inlineStr">
        <is>
          <t>SpD EV</t>
        </is>
      </c>
      <c r="B11" s="5" t="n">
        <v>0</v>
      </c>
      <c r="C11" s="3" t="inlineStr"/>
      <c r="D11" s="3" t="inlineStr">
        <is>
          <t>SpD EV</t>
        </is>
      </c>
      <c r="E11" s="5" t="n">
        <v>0</v>
      </c>
    </row>
    <row r="12">
      <c r="A12" s="3" t="inlineStr">
        <is>
          <t>Spe EV</t>
        </is>
      </c>
      <c r="B12" s="5" t="n">
        <v>0</v>
      </c>
      <c r="C12" s="3" t="inlineStr"/>
      <c r="D12" s="3" t="inlineStr">
        <is>
          <t>Spe EV</t>
        </is>
      </c>
      <c r="E12" s="5" t="n">
        <v>0</v>
      </c>
    </row>
    <row r="13">
      <c r="A13" s="3" t="n"/>
      <c r="B13" s="3" t="n"/>
      <c r="C13" s="3" t="n"/>
      <c r="D13" s="3" t="n"/>
      <c r="E13" s="3" t="n"/>
    </row>
    <row r="14">
      <c r="A14" s="3" t="inlineStr">
        <is>
          <t>Calculated stat</t>
        </is>
      </c>
      <c r="B14" s="3" t="inlineStr">
        <is>
          <t>Attacker</t>
        </is>
      </c>
      <c r="C14" s="3" t="inlineStr"/>
      <c r="D14" s="3" t="inlineStr">
        <is>
          <t>Calculated stat</t>
        </is>
      </c>
      <c r="E14" s="3" t="inlineStr">
        <is>
          <t>Defender</t>
        </is>
      </c>
    </row>
    <row r="15">
      <c r="A15" s="3" t="inlineStr">
        <is>
          <t>HP</t>
        </is>
      </c>
      <c r="B15" s="3">
        <f>FLOOR(((2*XLOOKUP($B$2,'Pokemon Editor'!$A:$A,'Pokemon Editor'!$E:$E,0)+31+FLOOR($B$7/4))*$B$3)/100)+$B$3+10</f>
        <v/>
      </c>
      <c r="C15" s="3" t="n"/>
      <c r="D15" s="3" t="inlineStr">
        <is>
          <t>HP</t>
        </is>
      </c>
      <c r="E15" s="3">
        <f>FLOOR(((2*XLOOKUP($E$2,'Pokemon Editor'!$A:$A,'Pokemon Editor'!$E:$E,0)+31+FLOOR($E$7/4))*$E$3)/100)+$E$3+10</f>
        <v/>
      </c>
    </row>
    <row r="16">
      <c r="A16" s="3" t="inlineStr">
        <is>
          <t>Attack</t>
        </is>
      </c>
      <c r="B16" s="3">
        <f>FLOOR((FLOOR(((2*XLOOKUP($B$2,'Pokemon Editor'!$A:$A,'Pokemon Editor'!$F:$F,0)+31+FLOOR($B$8/4))*$B$3)/100)+5)*XLOOKUP($B$4,'Nature Editor'!$A:$A,'Nature Editor'!$B:$B,1))</f>
        <v/>
      </c>
      <c r="C16" s="3" t="n"/>
      <c r="D16" s="3" t="inlineStr">
        <is>
          <t>Attack</t>
        </is>
      </c>
      <c r="E16" s="3">
        <f>FLOOR((FLOOR(((2*XLOOKUP($E$2,'Pokemon Editor'!$A:$A,'Pokemon Editor'!$F:$F,0)+31+FLOOR($E$8/4))*$E$3)/100)+5)*XLOOKUP($E$4,'Nature Editor'!$A:$A,'Nature Editor'!$B:$B,1))</f>
        <v/>
      </c>
    </row>
    <row r="17">
      <c r="A17" s="3" t="inlineStr">
        <is>
          <t>Defense</t>
        </is>
      </c>
      <c r="B17" s="3">
        <f>FLOOR((FLOOR(((2*XLOOKUP($B$2,'Pokemon Editor'!$A:$A,'Pokemon Editor'!$G:$G,0)+31+FLOOR($B$9/4))*$B$3)/100)+5)*XLOOKUP($B$4,'Nature Editor'!$A:$A,'Nature Editor'!$C:$C,1))</f>
        <v/>
      </c>
      <c r="C17" s="3" t="n"/>
      <c r="D17" s="3" t="inlineStr">
        <is>
          <t>Defense</t>
        </is>
      </c>
      <c r="E17" s="3">
        <f>FLOOR((FLOOR(((2*XLOOKUP($E$2,'Pokemon Editor'!$A:$A,'Pokemon Editor'!$G:$G,0)+31+FLOOR($E$9/4))*$E$3)/100)+5)*XLOOKUP($E$4,'Nature Editor'!$A:$A,'Nature Editor'!$C:$C,1))</f>
        <v/>
      </c>
    </row>
    <row r="18">
      <c r="A18" s="3" t="inlineStr">
        <is>
          <t>Sp. Atk</t>
        </is>
      </c>
      <c r="B18" s="3">
        <f>FLOOR((FLOOR(((2*XLOOKUP($B$2,'Pokemon Editor'!$A:$A,'Pokemon Editor'!$H:$H,0)+31+FLOOR($B$10/4))*$B$3)/100)+5)*XLOOKUP($B$4,'Nature Editor'!$A:$A,'Nature Editor'!$D:$D,1))</f>
        <v/>
      </c>
      <c r="C18" s="3" t="n"/>
      <c r="D18" s="3" t="inlineStr">
        <is>
          <t>Sp. Atk</t>
        </is>
      </c>
      <c r="E18" s="3">
        <f>FLOOR((FLOOR(((2*XLOOKUP($E$2,'Pokemon Editor'!$A:$A,'Pokemon Editor'!$H:$H,0)+31+FLOOR($E$10/4))*$E$3)/100)+5)*XLOOKUP($E$4,'Nature Editor'!$A:$A,'Nature Editor'!$D:$D,1))</f>
        <v/>
      </c>
    </row>
    <row r="19">
      <c r="A19" s="3" t="inlineStr">
        <is>
          <t>Sp. Def</t>
        </is>
      </c>
      <c r="B19" s="3">
        <f>FLOOR((FLOOR(((2*XLOOKUP($B$2,'Pokemon Editor'!$A:$A,'Pokemon Editor'!$I:$I,0)+31+FLOOR($B$11/4))*$B$3)/100)+5)*XLOOKUP($B$4,'Nature Editor'!$A:$A,'Nature Editor'!$E:$E,1))</f>
        <v/>
      </c>
      <c r="C19" s="3" t="n"/>
      <c r="D19" s="3" t="inlineStr">
        <is>
          <t>Sp. Def</t>
        </is>
      </c>
      <c r="E19" s="3">
        <f>FLOOR((FLOOR(((2*XLOOKUP($E$2,'Pokemon Editor'!$A:$A,'Pokemon Editor'!$I:$I,0)+31+FLOOR($E$11/4))*$E$3)/100)+5)*XLOOKUP($E$4,'Nature Editor'!$A:$A,'Nature Editor'!$E:$E,1))</f>
        <v/>
      </c>
    </row>
    <row r="20">
      <c r="A20" s="3" t="inlineStr">
        <is>
          <t>Speed</t>
        </is>
      </c>
      <c r="B20" s="3">
        <f>FLOOR((FLOOR(((2*XLOOKUP($B$2,'Pokemon Editor'!$A:$A,'Pokemon Editor'!$J:$J,0)+31+FLOOR($B$12/4))*$B$3)/100)+5)*XLOOKUP($B$4,'Nature Editor'!$A:$A,'Nature Editor'!$F:$F,1))</f>
        <v/>
      </c>
      <c r="C20" s="3" t="n"/>
      <c r="D20" s="3" t="inlineStr">
        <is>
          <t>Speed</t>
        </is>
      </c>
      <c r="E20" s="3">
        <f>FLOOR((FLOOR(((2*XLOOKUP($E$2,'Pokemon Editor'!$A:$A,'Pokemon Editor'!$J:$J,0)+31+FLOOR($E$12/4))*$E$3)/100)+5)*XLOOKUP($E$4,'Nature Editor'!$A:$A,'Nature Editor'!$F:$F,1))</f>
        <v/>
      </c>
    </row>
    <row r="21">
      <c r="A21" s="3" t="n"/>
      <c r="B21" s="3" t="n"/>
      <c r="C21" s="3" t="n"/>
      <c r="D21" s="3" t="n"/>
      <c r="E21" s="3" t="n"/>
    </row>
    <row r="22">
      <c r="A22" s="3" t="inlineStr">
        <is>
          <t>Move name</t>
        </is>
      </c>
      <c r="B22" s="3">
        <f>XLOOKUP($B$6,'Move Editor'!$A:$A,'Move Editor'!$B:$B,"Unknown")</f>
        <v/>
      </c>
      <c r="C22" s="3" t="n"/>
      <c r="D22" s="3" t="n"/>
      <c r="E22" s="3" t="n"/>
    </row>
    <row r="23">
      <c r="A23" s="3" t="inlineStr">
        <is>
          <t>Move type</t>
        </is>
      </c>
      <c r="B23" s="3">
        <f>XLOOKUP($B$6,'Move Editor'!$A:$A,'Move Editor'!$C:$C,"")</f>
        <v/>
      </c>
      <c r="C23" s="3" t="n"/>
      <c r="D23" s="3" t="n"/>
      <c r="E23" s="3" t="n"/>
    </row>
    <row r="24">
      <c r="A24" s="3" t="inlineStr">
        <is>
          <t>Category</t>
        </is>
      </c>
      <c r="B24" s="3">
        <f>XLOOKUP($B$6,'Move Editor'!$A:$A,'Move Editor'!$D:$D,"")</f>
        <v/>
      </c>
      <c r="C24" s="3" t="n"/>
      <c r="D24" s="3" t="n"/>
      <c r="E24" s="3" t="n"/>
    </row>
    <row r="25">
      <c r="A25" s="3" t="inlineStr">
        <is>
          <t>Power</t>
        </is>
      </c>
      <c r="B25" s="3">
        <f>XLOOKUP($B$6,'Move Editor'!$A:$A,'Move Editor'!$E:$E,0)</f>
        <v/>
      </c>
      <c r="C25" s="3" t="n"/>
      <c r="D25" s="3" t="n"/>
      <c r="E25" s="3" t="n"/>
    </row>
    <row r="26">
      <c r="A26" s="3" t="inlineStr">
        <is>
          <t>Attack stat</t>
        </is>
      </c>
      <c r="B26" s="3">
        <f>IF(B24="Physical",B16,B18)</f>
        <v/>
      </c>
      <c r="C26" s="3" t="n"/>
      <c r="D26" s="3" t="n"/>
      <c r="E26" s="3" t="n"/>
    </row>
    <row r="27">
      <c r="A27" s="3" t="inlineStr">
        <is>
          <t>Defense stat</t>
        </is>
      </c>
      <c r="B27" s="3">
        <f>IF(B24="Physical",E17,E19)</f>
        <v/>
      </c>
      <c r="C27" s="3" t="n"/>
      <c r="D27" s="3" t="n"/>
      <c r="E27" s="3" t="n"/>
    </row>
    <row r="28">
      <c r="A28" s="3" t="inlineStr">
        <is>
          <t>STAB</t>
        </is>
      </c>
      <c r="B28" s="3">
        <f>IF(OR(B23=XLOOKUP($B$2,'Pokemon Editor'!$A:$A,'Pokemon Editor'!$C:$C,""),B23=XLOOKUP($B$2,'Pokemon Editor'!$A:$A,'Pokemon Editor'!$D:$D,"")),1.5,1)</f>
        <v/>
      </c>
      <c r="C28" s="3" t="n"/>
      <c r="D28" s="3" t="n"/>
      <c r="E28" s="3" t="n"/>
    </row>
    <row r="29">
      <c r="A29" s="3" t="inlineStr">
        <is>
          <t>Type effectiveness</t>
        </is>
      </c>
      <c r="B29" s="3">
        <f>INDEX('Type Chart'!$B:$S,MATCH(B23,'Type Chart'!$A:$A,0),MATCH(XLOOKUP($E$2,'Pokemon Editor'!$A:$A,'Pokemon Editor'!$C:$C,""),'Type Chart'!$B$1:$S$1,0))*IF(XLOOKUP($E$2,'Pokemon Editor'!$A:$A,'Pokemon Editor'!$D:$D,"")="",1,INDEX('Type Chart'!$B:$S,MATCH(B23,'Type Chart'!$A:$A,0),MATCH(XLOOKUP($E$2,'Pokemon Editor'!$A:$A,'Pokemon Editor'!$D:$D,""),'Type Chart'!$B$1:$S$1,0)))</f>
        <v/>
      </c>
      <c r="C29" s="3" t="n"/>
      <c r="D29" s="3" t="n"/>
      <c r="E29" s="3" t="n"/>
    </row>
    <row r="30">
      <c r="A30" s="3" t="inlineStr">
        <is>
          <t>Other multiplier</t>
        </is>
      </c>
      <c r="B30" s="5" t="n">
        <v>1</v>
      </c>
      <c r="C30" s="3" t="n"/>
      <c r="D30" s="3" t="n"/>
      <c r="E30" s="3" t="n"/>
    </row>
    <row r="31">
      <c r="A31" s="3" t="inlineStr">
        <is>
          <t>Base damage</t>
        </is>
      </c>
      <c r="B31" s="3">
        <f>IF(OR(B24="Status",B25=0),0,FLOOR(FLOOR(FLOOR((2*$B$3/5+2)*B25*B26/B27)/50)+2))</f>
        <v/>
      </c>
      <c r="C31" s="3" t="n"/>
      <c r="D31" s="3" t="n"/>
      <c r="E31" s="3" t="n"/>
    </row>
    <row r="32">
      <c r="A32" s="3" t="inlineStr">
        <is>
          <t>Minimum damage</t>
        </is>
      </c>
      <c r="B32" s="3">
        <f>FLOOR(B31*B28*B29*B30*0.85)</f>
        <v/>
      </c>
      <c r="C32" s="3" t="n"/>
      <c r="D32" s="3" t="n"/>
      <c r="E32" s="3" t="n"/>
    </row>
    <row r="33">
      <c r="A33" s="3" t="inlineStr">
        <is>
          <t>Maximum damage</t>
        </is>
      </c>
      <c r="B33" s="3">
        <f>FLOOR(B31*B28*B29*B30)</f>
        <v/>
      </c>
      <c r="C33" s="3" t="n"/>
      <c r="D33" s="3" t="n"/>
      <c r="E33" s="3" t="n"/>
    </row>
    <row r="34">
      <c r="A34" s="3" t="inlineStr">
        <is>
          <t>Min %</t>
        </is>
      </c>
      <c r="B34" s="4">
        <f>IF(E15=0,0,B32/E15)</f>
        <v/>
      </c>
      <c r="C34" s="3" t="n"/>
      <c r="D34" s="3" t="n"/>
      <c r="E34" s="3" t="n"/>
    </row>
    <row r="35">
      <c r="A35" s="3" t="inlineStr">
        <is>
          <t>Max %</t>
        </is>
      </c>
      <c r="B35" s="4">
        <f>IF(E15=0,0,B33/E15)</f>
        <v/>
      </c>
      <c r="C35" s="3" t="n"/>
      <c r="D35" s="3" t="n"/>
      <c r="E35" s="3" t="n"/>
    </row>
    <row r="36">
      <c r="A36" s="3" t="n"/>
      <c r="B36" s="3" t="n"/>
      <c r="C36" s="3" t="n"/>
      <c r="D36" s="3" t="n"/>
      <c r="E36" s="3" t="n"/>
    </row>
    <row r="37">
      <c r="A37" s="3" t="inlineStr">
        <is>
          <t>Notes</t>
        </is>
      </c>
      <c r="B37" s="3" t="inlineStr">
        <is>
          <t>Edit yellow input cells or any editor database. IVs are fixed at 31. Other multiplier is for contextual abilities, items, weather, terrain, or custom Nature effects not represented by raw stats.</t>
        </is>
      </c>
      <c r="C37" s="3" t="n"/>
      <c r="D37" s="3" t="n"/>
      <c r="E37" s="3" t="n"/>
    </row>
  </sheetData>
  <autoFilter ref="A1:E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2026-08-17T16:15:23Z</dcterms:created>
  <dcterms:modified xsi:type="dcterms:W3CDTF">2026-08-17T16:15:26Z</dcterms:modified>
</cp:coreProperties>
</file>